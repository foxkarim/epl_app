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E5D1E7B1-6628-F0F0-D09B-76B25B5F3CD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kiko/Desktop/Fantasy /"/>
    </mc:Choice>
  </mc:AlternateContent>
  <xr:revisionPtr revIDLastSave="0" documentId="13_ncr:1_{57050FA7-C3DB-2C43-812F-355535318520}" xr6:coauthVersionLast="47" xr6:coauthVersionMax="47" xr10:uidLastSave="{00000000-0000-0000-0000-000000000000}"/>
  <bookViews>
    <workbookView xWindow="0" yWindow="500" windowWidth="25600" windowHeight="14380" xr2:uid="{1A5A669E-8FE2-D34B-93DF-7FC8213DC5FB}"/>
  </bookViews>
  <sheets>
    <sheet name="CLUBS" sheetId="15" r:id="rId1"/>
    <sheet name="Schedule" sheetId="45" r:id="rId2"/>
    <sheet name="Face-Off" sheetId="1" r:id="rId3"/>
    <sheet name="PlayerStats" sheetId="47" r:id="rId4"/>
    <sheet name="FDRating" sheetId="42" r:id="rId5"/>
    <sheet name="Table" sheetId="44" r:id="rId6"/>
    <sheet name="Cards" sheetId="46" r:id="rId7"/>
    <sheet name="PLYDEX" sheetId="37" r:id="rId8"/>
    <sheet name="Transfer_Market" sheetId="30" r:id="rId9"/>
    <sheet name="INDEX" sheetId="31" r:id="rId10"/>
  </sheets>
  <definedNames>
    <definedName name="_xlnm._FilterDatabase" localSheetId="0" hidden="1">INDEX!$F$329:$F$933</definedName>
    <definedName name="_xlnm._FilterDatabase" localSheetId="9" hidden="1">INDEX!$Q$1:$Q$16</definedName>
    <definedName name="_xlnm._FilterDatabase" localSheetId="7" hidden="1">PLYDEX!$I$1:$J$640</definedName>
    <definedName name="_xlnm._FilterDatabase" localSheetId="8" hidden="1">Transfer_Market!#REF!</definedName>
    <definedName name="_xleta.AND" hidden="1" xlm="1">#NAME?</definedName>
    <definedName name="_xleta.IF" hidden="1" xlm="1">#NAME?</definedName>
    <definedName name="_xleta.IFERROR" hidden="1" xlm="1">#NAME?</definedName>
    <definedName name="_xleta.PRICE" hidden="1" xlm="1">#NAME?</definedName>
    <definedName name="_xlpm.DR" hidden="1" xlm="1">#NAME?</definedName>
    <definedName name="_xlpm.IR" hidden="1" xlm="1">#NAME?</definedName>
    <definedName name="_xlpm.lookupArray" hidden="1" xlm="1">#NAME?</definedName>
    <definedName name="_xlpm.P" hidden="1" xlm="1">#NAME?</definedName>
    <definedName name="_xlpm.returnArray" hidden="1" xlm="1">#NAME?</definedName>
    <definedName name="_xlpm.T" hidden="1" xlm="1">#NAME?</definedName>
    <definedName name="_xlpm.team" hidden="1" xlm="1">#NAME?</definedName>
    <definedName name="_xlpm.wk" hidden="1" xlm="1">#NAME?</definedName>
    <definedName name="_xlpm.Y" hidden="1" xlm="1">#NAME?</definedName>
    <definedName name="DEF">INDEX!$I$2:$I$213</definedName>
    <definedName name="FWD">INDEX!$M$2:$M$68</definedName>
    <definedName name="GKP">INDEX!$G$2:$G$71</definedName>
    <definedName name="MID">INDEX!$K$2:$K$288</definedName>
  </definedNames>
  <calcPr calcId="191028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C75" i="47" l="1"/>
  <c r="CC76" i="47"/>
  <c r="CC77" i="47"/>
  <c r="CC78" i="47"/>
  <c r="CC79" i="47"/>
  <c r="CC80" i="47"/>
  <c r="CC81" i="47"/>
  <c r="CC82" i="47"/>
  <c r="CC83" i="47"/>
  <c r="CC84" i="47"/>
  <c r="CC85" i="47"/>
  <c r="CC86" i="47"/>
  <c r="CC87" i="47"/>
  <c r="CC88" i="47"/>
  <c r="CC89" i="47"/>
  <c r="CC90" i="47"/>
  <c r="CC91" i="47"/>
  <c r="CC92" i="47"/>
  <c r="CC93" i="47"/>
  <c r="CC94" i="47"/>
  <c r="CC50" i="47"/>
  <c r="CC95" i="47"/>
  <c r="CC96" i="47"/>
  <c r="CC97" i="47"/>
  <c r="CC98" i="47"/>
  <c r="CC51" i="47"/>
  <c r="CC99" i="47"/>
  <c r="CC100" i="47"/>
  <c r="CC101" i="47"/>
  <c r="CC102" i="47"/>
  <c r="CC103" i="47"/>
  <c r="CC104" i="47"/>
  <c r="CC4" i="47"/>
  <c r="CC105" i="47"/>
  <c r="CC106" i="47"/>
  <c r="CC107" i="47"/>
  <c r="CC108" i="47"/>
  <c r="CC109" i="47"/>
  <c r="CC110" i="47"/>
  <c r="CC111" i="47"/>
  <c r="CC112" i="47"/>
  <c r="CC113" i="47"/>
  <c r="CC5" i="47"/>
  <c r="CC52" i="47"/>
  <c r="CC114" i="47"/>
  <c r="CC115" i="47"/>
  <c r="CC116" i="47"/>
  <c r="CC117" i="47"/>
  <c r="CC118" i="47"/>
  <c r="CC119" i="47"/>
  <c r="CC120" i="47"/>
  <c r="CC121" i="47"/>
  <c r="CC122" i="47"/>
  <c r="CC123" i="47"/>
  <c r="CC124" i="47"/>
  <c r="CC125" i="47"/>
  <c r="CC126" i="47"/>
  <c r="CC127" i="47"/>
  <c r="CC128" i="47"/>
  <c r="CC129" i="47"/>
  <c r="CC130" i="47"/>
  <c r="CC131" i="47"/>
  <c r="CC132" i="47"/>
  <c r="CC133" i="47"/>
  <c r="CC134" i="47"/>
  <c r="CC135" i="47"/>
  <c r="CC136" i="47"/>
  <c r="CC137" i="47"/>
  <c r="CC138" i="47"/>
  <c r="CC139" i="47"/>
  <c r="CC140" i="47"/>
  <c r="CC141" i="47"/>
  <c r="CC142" i="47"/>
  <c r="CC143" i="47"/>
  <c r="CC144" i="47"/>
  <c r="CC145" i="47"/>
  <c r="CC146" i="47"/>
  <c r="CC147" i="47"/>
  <c r="CC148" i="47"/>
  <c r="CC8" i="47"/>
  <c r="CC149" i="47"/>
  <c r="CC150" i="47"/>
  <c r="CC21" i="47"/>
  <c r="CC151" i="47"/>
  <c r="CC152" i="47"/>
  <c r="CC153" i="47"/>
  <c r="CC22" i="47"/>
  <c r="CC154" i="47"/>
  <c r="CC155" i="47"/>
  <c r="CC156" i="47"/>
  <c r="CC157" i="47"/>
  <c r="CC158" i="47"/>
  <c r="CC159" i="47"/>
  <c r="CC160" i="47"/>
  <c r="CC161" i="47"/>
  <c r="CC162" i="47"/>
  <c r="CC163" i="47"/>
  <c r="CC164" i="47"/>
  <c r="CC165" i="47"/>
  <c r="CC166" i="47"/>
  <c r="CC167" i="47"/>
  <c r="CC53" i="47"/>
  <c r="CC168" i="47"/>
  <c r="CC169" i="47"/>
  <c r="CC170" i="47"/>
  <c r="CC171" i="47"/>
  <c r="CC9" i="47"/>
  <c r="CC172" i="47"/>
  <c r="CC173" i="47"/>
  <c r="CC174" i="47"/>
  <c r="CC175" i="47"/>
  <c r="CC12" i="47"/>
  <c r="CC176" i="47"/>
  <c r="CC177" i="47"/>
  <c r="CC178" i="47"/>
  <c r="CC179" i="47"/>
  <c r="CC180" i="47"/>
  <c r="CC181" i="47"/>
  <c r="CC182" i="47"/>
  <c r="CC183" i="47"/>
  <c r="CC184" i="47"/>
  <c r="CC15" i="47"/>
  <c r="CC185" i="47"/>
  <c r="CC186" i="47"/>
  <c r="CC187" i="47"/>
  <c r="CC23" i="47"/>
  <c r="CC188" i="47"/>
  <c r="CC189" i="47"/>
  <c r="CC54" i="47"/>
  <c r="CC190" i="47"/>
  <c r="CC191" i="47"/>
  <c r="CC192" i="47"/>
  <c r="CC55" i="47"/>
  <c r="CC193" i="47"/>
  <c r="CC194" i="47"/>
  <c r="CC47" i="47"/>
  <c r="CC195" i="47"/>
  <c r="CC196" i="47"/>
  <c r="CC197" i="47"/>
  <c r="CC198" i="47"/>
  <c r="CC199" i="47"/>
  <c r="CC200" i="47"/>
  <c r="CC201" i="47"/>
  <c r="CC202" i="47"/>
  <c r="CC203" i="47"/>
  <c r="CC204" i="47"/>
  <c r="CC205" i="47"/>
  <c r="CC206" i="47"/>
  <c r="CC207" i="47"/>
  <c r="CC208" i="47"/>
  <c r="CC209" i="47"/>
  <c r="CC210" i="47"/>
  <c r="CC211" i="47"/>
  <c r="CC212" i="47"/>
  <c r="CC213" i="47"/>
  <c r="CC214" i="47"/>
  <c r="CC215" i="47"/>
  <c r="CC56" i="47"/>
  <c r="CC216" i="47"/>
  <c r="CC24" i="47"/>
  <c r="CC217" i="47"/>
  <c r="CC218" i="47"/>
  <c r="CC57" i="47"/>
  <c r="CC219" i="47"/>
  <c r="CC25" i="47"/>
  <c r="CC220" i="47"/>
  <c r="CC221" i="47"/>
  <c r="CC222" i="47"/>
  <c r="CC223" i="47"/>
  <c r="CC224" i="47"/>
  <c r="CC225" i="47"/>
  <c r="CC226" i="47"/>
  <c r="CC227" i="47"/>
  <c r="CC10" i="47"/>
  <c r="CC228" i="47"/>
  <c r="CC229" i="47"/>
  <c r="CC230" i="47"/>
  <c r="CC231" i="47"/>
  <c r="CC232" i="47"/>
  <c r="CC233" i="47"/>
  <c r="CC234" i="47"/>
  <c r="CC235" i="47"/>
  <c r="CC236" i="47"/>
  <c r="CC237" i="47"/>
  <c r="CC26" i="47"/>
  <c r="CC238" i="47"/>
  <c r="CC16" i="47"/>
  <c r="CC239" i="47"/>
  <c r="CC240" i="47"/>
  <c r="CC241" i="47"/>
  <c r="CC242" i="47"/>
  <c r="CC243" i="47"/>
  <c r="CC244" i="47"/>
  <c r="CC245" i="47"/>
  <c r="CC246" i="47"/>
  <c r="CC58" i="47"/>
  <c r="CC247" i="47"/>
  <c r="CC248" i="47"/>
  <c r="CC249" i="47"/>
  <c r="CC250" i="47"/>
  <c r="CC251" i="47"/>
  <c r="CC252" i="47"/>
  <c r="CC253" i="47"/>
  <c r="CC254" i="47"/>
  <c r="CC255" i="47"/>
  <c r="CC256" i="47"/>
  <c r="CC59" i="47"/>
  <c r="CC27" i="47"/>
  <c r="CC257" i="47"/>
  <c r="CC258" i="47"/>
  <c r="CC259" i="47"/>
  <c r="CC260" i="47"/>
  <c r="CC261" i="47"/>
  <c r="CC262" i="47"/>
  <c r="CC263" i="47"/>
  <c r="CC60" i="47"/>
  <c r="CC264" i="47"/>
  <c r="CC265" i="47"/>
  <c r="CC266" i="47"/>
  <c r="CC267" i="47"/>
  <c r="CC268" i="47"/>
  <c r="CC269" i="47"/>
  <c r="CC270" i="47"/>
  <c r="CC271" i="47"/>
  <c r="CC61" i="47"/>
  <c r="CC272" i="47"/>
  <c r="CC273" i="47"/>
  <c r="CC274" i="47"/>
  <c r="CC275" i="47"/>
  <c r="CC6" i="47"/>
  <c r="CC276" i="47"/>
  <c r="CC277" i="47"/>
  <c r="CC278" i="47"/>
  <c r="CC279" i="47"/>
  <c r="CC280" i="47"/>
  <c r="CC281" i="47"/>
  <c r="CC282" i="47"/>
  <c r="CC28" i="47"/>
  <c r="CC283" i="47"/>
  <c r="CC29" i="47"/>
  <c r="CC284" i="47"/>
  <c r="CC285" i="47"/>
  <c r="CC286" i="47"/>
  <c r="CC30" i="47"/>
  <c r="CC287" i="47"/>
  <c r="CC288" i="47"/>
  <c r="CC289" i="47"/>
  <c r="CC290" i="47"/>
  <c r="CC48" i="47"/>
  <c r="CC291" i="47"/>
  <c r="CC292" i="47"/>
  <c r="CC293" i="47"/>
  <c r="CC294" i="47"/>
  <c r="CC295" i="47"/>
  <c r="CC296" i="47"/>
  <c r="CC297" i="47"/>
  <c r="CC298" i="47"/>
  <c r="CC299" i="47"/>
  <c r="CC17" i="47"/>
  <c r="CC300" i="47"/>
  <c r="CC301" i="47"/>
  <c r="CC302" i="47"/>
  <c r="CC303" i="47"/>
  <c r="CC304" i="47"/>
  <c r="CC305" i="47"/>
  <c r="CC31" i="47"/>
  <c r="CC306" i="47"/>
  <c r="CC307" i="47"/>
  <c r="CC308" i="47"/>
  <c r="CC309" i="47"/>
  <c r="CC310" i="47"/>
  <c r="CC311" i="47"/>
  <c r="CC312" i="47"/>
  <c r="CC313" i="47"/>
  <c r="CC314" i="47"/>
  <c r="CC315" i="47"/>
  <c r="CC316" i="47"/>
  <c r="CC317" i="47"/>
  <c r="CC318" i="47"/>
  <c r="CC319" i="47"/>
  <c r="CC320" i="47"/>
  <c r="CC321" i="47"/>
  <c r="CC322" i="47"/>
  <c r="CC323" i="47"/>
  <c r="CC324" i="47"/>
  <c r="CC325" i="47"/>
  <c r="CC326" i="47"/>
  <c r="CC327" i="47"/>
  <c r="CC328" i="47"/>
  <c r="CC329" i="47"/>
  <c r="CC330" i="47"/>
  <c r="CC331" i="47"/>
  <c r="CC332" i="47"/>
  <c r="CC333" i="47"/>
  <c r="CC334" i="47"/>
  <c r="CC335" i="47"/>
  <c r="CC336" i="47"/>
  <c r="CC13" i="47"/>
  <c r="CC337" i="47"/>
  <c r="CC338" i="47"/>
  <c r="CC339" i="47"/>
  <c r="CC340" i="47"/>
  <c r="CC341" i="47"/>
  <c r="CC342" i="47"/>
  <c r="CC343" i="47"/>
  <c r="CC344" i="47"/>
  <c r="CC345" i="47"/>
  <c r="CC346" i="47"/>
  <c r="CC347" i="47"/>
  <c r="CC348" i="47"/>
  <c r="CC349" i="47"/>
  <c r="CC350" i="47"/>
  <c r="CC351" i="47"/>
  <c r="CC18" i="47"/>
  <c r="CC352" i="47"/>
  <c r="CC353" i="47"/>
  <c r="CC354" i="47"/>
  <c r="CC355" i="47"/>
  <c r="CC356" i="47"/>
  <c r="CC357" i="47"/>
  <c r="CC358" i="47"/>
  <c r="CC359" i="47"/>
  <c r="CC7" i="47"/>
  <c r="CC360" i="47"/>
  <c r="CC361" i="47"/>
  <c r="CC362" i="47"/>
  <c r="CC363" i="47"/>
  <c r="CC364" i="47"/>
  <c r="CC365" i="47"/>
  <c r="CC366" i="47"/>
  <c r="CC367" i="47"/>
  <c r="CC368" i="47"/>
  <c r="CC369" i="47"/>
  <c r="CC370" i="47"/>
  <c r="CC371" i="47"/>
  <c r="CC372" i="47"/>
  <c r="CC373" i="47"/>
  <c r="CC374" i="47"/>
  <c r="CC375" i="47"/>
  <c r="CC376" i="47"/>
  <c r="CC377" i="47"/>
  <c r="CC378" i="47"/>
  <c r="CC379" i="47"/>
  <c r="CC380" i="47"/>
  <c r="CC381" i="47"/>
  <c r="CC382" i="47"/>
  <c r="CC383" i="47"/>
  <c r="CC384" i="47"/>
  <c r="CC385" i="47"/>
  <c r="CC386" i="47"/>
  <c r="CC387" i="47"/>
  <c r="CC62" i="47"/>
  <c r="CC388" i="47"/>
  <c r="CC389" i="47"/>
  <c r="CC390" i="47"/>
  <c r="CC391" i="47"/>
  <c r="CC392" i="47"/>
  <c r="CC393" i="47"/>
  <c r="CC394" i="47"/>
  <c r="CC395" i="47"/>
  <c r="CC396" i="47"/>
  <c r="CC397" i="47"/>
  <c r="CC398" i="47"/>
  <c r="CC399" i="47"/>
  <c r="CC400" i="47"/>
  <c r="CC401" i="47"/>
  <c r="CC402" i="47"/>
  <c r="CC403" i="47"/>
  <c r="CC404" i="47"/>
  <c r="CC405" i="47"/>
  <c r="CC406" i="47"/>
  <c r="CC407" i="47"/>
  <c r="CC408" i="47"/>
  <c r="CC409" i="47"/>
  <c r="CC410" i="47"/>
  <c r="CC32" i="47"/>
  <c r="CC411" i="47"/>
  <c r="CC412" i="47"/>
  <c r="CC413" i="47"/>
  <c r="CC414" i="47"/>
  <c r="CC33" i="47"/>
  <c r="CC415" i="47"/>
  <c r="CC416" i="47"/>
  <c r="CC417" i="47"/>
  <c r="CC418" i="47"/>
  <c r="CC419" i="47"/>
  <c r="CC420" i="47"/>
  <c r="CC421" i="47"/>
  <c r="CC422" i="47"/>
  <c r="CC423" i="47"/>
  <c r="CC424" i="47"/>
  <c r="CC425" i="47"/>
  <c r="CC426" i="47"/>
  <c r="CC427" i="47"/>
  <c r="CC428" i="47"/>
  <c r="CC63" i="47"/>
  <c r="CC429" i="47"/>
  <c r="CC430" i="47"/>
  <c r="CC431" i="47"/>
  <c r="CC432" i="47"/>
  <c r="CC433" i="47"/>
  <c r="CC34" i="47"/>
  <c r="CC434" i="47"/>
  <c r="CC435" i="47"/>
  <c r="CC436" i="47"/>
  <c r="CC437" i="47"/>
  <c r="CC438" i="47"/>
  <c r="CC439" i="47"/>
  <c r="CC440" i="47"/>
  <c r="CC441" i="47"/>
  <c r="CC442" i="47"/>
  <c r="CC443" i="47"/>
  <c r="CC444" i="47"/>
  <c r="CC445" i="47"/>
  <c r="CC446" i="47"/>
  <c r="CC447" i="47"/>
  <c r="CC448" i="47"/>
  <c r="CC449" i="47"/>
  <c r="CC450" i="47"/>
  <c r="CC451" i="47"/>
  <c r="CC35" i="47"/>
  <c r="CC452" i="47"/>
  <c r="CC453" i="47"/>
  <c r="CC454" i="47"/>
  <c r="CC455" i="47"/>
  <c r="CC64" i="47"/>
  <c r="CC456" i="47"/>
  <c r="CC457" i="47"/>
  <c r="CC458" i="47"/>
  <c r="CC459" i="47"/>
  <c r="CC460" i="47"/>
  <c r="CC461" i="47"/>
  <c r="CC462" i="47"/>
  <c r="CC463" i="47"/>
  <c r="CC464" i="47"/>
  <c r="CC465" i="47"/>
  <c r="CC466" i="47"/>
  <c r="CC467" i="47"/>
  <c r="CC468" i="47"/>
  <c r="CC469" i="47"/>
  <c r="CC470" i="47"/>
  <c r="CC471" i="47"/>
  <c r="CC49" i="47"/>
  <c r="CC19" i="47"/>
  <c r="CC36" i="47"/>
  <c r="CC472" i="47"/>
  <c r="CC65" i="47"/>
  <c r="CC473" i="47"/>
  <c r="CC474" i="47"/>
  <c r="CC37" i="47"/>
  <c r="CC475" i="47"/>
  <c r="CC476" i="47"/>
  <c r="CC477" i="47"/>
  <c r="CC478" i="47"/>
  <c r="CC479" i="47"/>
  <c r="CC480" i="47"/>
  <c r="CC481" i="47"/>
  <c r="CC482" i="47"/>
  <c r="CC483" i="47"/>
  <c r="CC484" i="47"/>
  <c r="CC485" i="47"/>
  <c r="CC486" i="47"/>
  <c r="CC487" i="47"/>
  <c r="CC488" i="47"/>
  <c r="CC489" i="47"/>
  <c r="CC490" i="47"/>
  <c r="CC491" i="47"/>
  <c r="CC66" i="47"/>
  <c r="CC492" i="47"/>
  <c r="CC493" i="47"/>
  <c r="CC494" i="47"/>
  <c r="CC495" i="47"/>
  <c r="CC496" i="47"/>
  <c r="CC497" i="47"/>
  <c r="CC498" i="47"/>
  <c r="CC499" i="47"/>
  <c r="CC500" i="47"/>
  <c r="CC501" i="47"/>
  <c r="CC502" i="47"/>
  <c r="CC503" i="47"/>
  <c r="CC504" i="47"/>
  <c r="CC505" i="47"/>
  <c r="CC506" i="47"/>
  <c r="CC507" i="47"/>
  <c r="CC508" i="47"/>
  <c r="CC509" i="47"/>
  <c r="CC510" i="47"/>
  <c r="CC511" i="47"/>
  <c r="CC512" i="47"/>
  <c r="CC513" i="47"/>
  <c r="CC67" i="47"/>
  <c r="CC514" i="47"/>
  <c r="CC515" i="47"/>
  <c r="CC68" i="47"/>
  <c r="CC38" i="47"/>
  <c r="CC516" i="47"/>
  <c r="CC517" i="47"/>
  <c r="CC69" i="47"/>
  <c r="CC518" i="47"/>
  <c r="CC519" i="47"/>
  <c r="CC520" i="47"/>
  <c r="CC521" i="47"/>
  <c r="CC522" i="47"/>
  <c r="CC523" i="47"/>
  <c r="CC39" i="47"/>
  <c r="CC524" i="47"/>
  <c r="CC525" i="47"/>
  <c r="CC526" i="47"/>
  <c r="CC527" i="47"/>
  <c r="CC528" i="47"/>
  <c r="CC529" i="47"/>
  <c r="CC530" i="47"/>
  <c r="CC531" i="47"/>
  <c r="CC532" i="47"/>
  <c r="CC40" i="47"/>
  <c r="CC533" i="47"/>
  <c r="CC534" i="47"/>
  <c r="CC535" i="47"/>
  <c r="CC536" i="47"/>
  <c r="CC537" i="47"/>
  <c r="CC14" i="47"/>
  <c r="CC538" i="47"/>
  <c r="CC70" i="47"/>
  <c r="CC41" i="47"/>
  <c r="CC539" i="47"/>
  <c r="CC540" i="47"/>
  <c r="CC541" i="47"/>
  <c r="CC42" i="47"/>
  <c r="CC542" i="47"/>
  <c r="CC543" i="47"/>
  <c r="CC544" i="47"/>
  <c r="CC545" i="47"/>
  <c r="CC546" i="47"/>
  <c r="CC547" i="47"/>
  <c r="CC548" i="47"/>
  <c r="CC549" i="47"/>
  <c r="CC71" i="47"/>
  <c r="CC550" i="47"/>
  <c r="CC43" i="47"/>
  <c r="CC551" i="47"/>
  <c r="CC552" i="47"/>
  <c r="CC553" i="47"/>
  <c r="CC554" i="47"/>
  <c r="CC555" i="47"/>
  <c r="CC556" i="47"/>
  <c r="CC557" i="47"/>
  <c r="CC558" i="47"/>
  <c r="CC559" i="47"/>
  <c r="CC560" i="47"/>
  <c r="CC561" i="47"/>
  <c r="CC562" i="47"/>
  <c r="CC563" i="47"/>
  <c r="CC564" i="47"/>
  <c r="CC565" i="47"/>
  <c r="CC566" i="47"/>
  <c r="CC567" i="47"/>
  <c r="CC568" i="47"/>
  <c r="CC569" i="47"/>
  <c r="CC570" i="47"/>
  <c r="CC571" i="47"/>
  <c r="CC572" i="47"/>
  <c r="CC573" i="47"/>
  <c r="CC574" i="47"/>
  <c r="CC72" i="47"/>
  <c r="CC575" i="47"/>
  <c r="CC576" i="47"/>
  <c r="CC577" i="47"/>
  <c r="CC578" i="47"/>
  <c r="CC579" i="47"/>
  <c r="CC580" i="47"/>
  <c r="CC581" i="47"/>
  <c r="CC582" i="47"/>
  <c r="CC583" i="47"/>
  <c r="CC584" i="47"/>
  <c r="CC585" i="47"/>
  <c r="CC586" i="47"/>
  <c r="CC20" i="47"/>
  <c r="CC587" i="47"/>
  <c r="CC588" i="47"/>
  <c r="CC589" i="47"/>
  <c r="CC73" i="47"/>
  <c r="CC590" i="47"/>
  <c r="CC591" i="47"/>
  <c r="CC592" i="47"/>
  <c r="CC593" i="47"/>
  <c r="CC594" i="47"/>
  <c r="CC595" i="47"/>
  <c r="CC596" i="47"/>
  <c r="CC597" i="47"/>
  <c r="CC598" i="47"/>
  <c r="CC599" i="47"/>
  <c r="CC600" i="47"/>
  <c r="CC44" i="47"/>
  <c r="CC601" i="47"/>
  <c r="CC602" i="47"/>
  <c r="CC603" i="47"/>
  <c r="CC604" i="47"/>
  <c r="CC605" i="47"/>
  <c r="CC606" i="47"/>
  <c r="CC607" i="47"/>
  <c r="CC608" i="47"/>
  <c r="CC609" i="47"/>
  <c r="CC11" i="47"/>
  <c r="CC610" i="47"/>
  <c r="CC611" i="47"/>
  <c r="CC612" i="47"/>
  <c r="CC613" i="47"/>
  <c r="CC614" i="47"/>
  <c r="CC74" i="47"/>
  <c r="CC615" i="47"/>
  <c r="CC616" i="47"/>
  <c r="CC617" i="47"/>
  <c r="CC618" i="47"/>
  <c r="CC619" i="47"/>
  <c r="CC45" i="47"/>
  <c r="CC620" i="47"/>
  <c r="CC621" i="47"/>
  <c r="CC46" i="47"/>
  <c r="CC622" i="47"/>
  <c r="CC623" i="47"/>
  <c r="CC624" i="47"/>
  <c r="CC625" i="47"/>
  <c r="CC626" i="47"/>
  <c r="CC627" i="47"/>
  <c r="CC628" i="47"/>
  <c r="CC629" i="47"/>
  <c r="CC630" i="47"/>
  <c r="CC631" i="47"/>
  <c r="CC632" i="47"/>
  <c r="CC633" i="47"/>
  <c r="CC634" i="47"/>
  <c r="CC635" i="47"/>
  <c r="CC636" i="47"/>
  <c r="CC637" i="47"/>
  <c r="CC638" i="47"/>
  <c r="CB75" i="47"/>
  <c r="CB76" i="47"/>
  <c r="CB77" i="47"/>
  <c r="CB78" i="47"/>
  <c r="CB79" i="47"/>
  <c r="CB80" i="47"/>
  <c r="CB81" i="47"/>
  <c r="CB82" i="47"/>
  <c r="CB83" i="47"/>
  <c r="CB84" i="47"/>
  <c r="CB85" i="47"/>
  <c r="CB86" i="47"/>
  <c r="CB87" i="47"/>
  <c r="CB88" i="47"/>
  <c r="CB89" i="47"/>
  <c r="CB90" i="47"/>
  <c r="CB91" i="47"/>
  <c r="CB92" i="47"/>
  <c r="CB93" i="47"/>
  <c r="CB94" i="47"/>
  <c r="CB50" i="47"/>
  <c r="CB95" i="47"/>
  <c r="CB96" i="47"/>
  <c r="CB97" i="47"/>
  <c r="CB98" i="47"/>
  <c r="CB51" i="47"/>
  <c r="CB99" i="47"/>
  <c r="CB100" i="47"/>
  <c r="CB101" i="47"/>
  <c r="CB102" i="47"/>
  <c r="CB103" i="47"/>
  <c r="CB104" i="47"/>
  <c r="CB4" i="47"/>
  <c r="CB105" i="47"/>
  <c r="CB106" i="47"/>
  <c r="CB107" i="47"/>
  <c r="CB108" i="47"/>
  <c r="CB109" i="47"/>
  <c r="CB110" i="47"/>
  <c r="CB111" i="47"/>
  <c r="CB112" i="47"/>
  <c r="CB113" i="47"/>
  <c r="CB5" i="47"/>
  <c r="CB52" i="47"/>
  <c r="CB114" i="47"/>
  <c r="CB115" i="47"/>
  <c r="CB116" i="47"/>
  <c r="CB117" i="47"/>
  <c r="CB118" i="47"/>
  <c r="CB119" i="47"/>
  <c r="CB120" i="47"/>
  <c r="CB121" i="47"/>
  <c r="CB122" i="47"/>
  <c r="CB123" i="47"/>
  <c r="CB124" i="47"/>
  <c r="CB125" i="47"/>
  <c r="CB126" i="47"/>
  <c r="CB127" i="47"/>
  <c r="CB128" i="47"/>
  <c r="CB129" i="47"/>
  <c r="CB130" i="47"/>
  <c r="CB131" i="47"/>
  <c r="CB132" i="47"/>
  <c r="CB133" i="47"/>
  <c r="CB134" i="47"/>
  <c r="CB135" i="47"/>
  <c r="CB136" i="47"/>
  <c r="CB137" i="47"/>
  <c r="CB138" i="47"/>
  <c r="CB139" i="47"/>
  <c r="CB140" i="47"/>
  <c r="CB141" i="47"/>
  <c r="CB142" i="47"/>
  <c r="CB143" i="47"/>
  <c r="CB144" i="47"/>
  <c r="CB145" i="47"/>
  <c r="CB146" i="47"/>
  <c r="CB147" i="47"/>
  <c r="CB148" i="47"/>
  <c r="CB8" i="47"/>
  <c r="CB149" i="47"/>
  <c r="CB150" i="47"/>
  <c r="CB21" i="47"/>
  <c r="CB151" i="47"/>
  <c r="CB152" i="47"/>
  <c r="CB153" i="47"/>
  <c r="CB22" i="47"/>
  <c r="CB154" i="47"/>
  <c r="CB155" i="47"/>
  <c r="CB156" i="47"/>
  <c r="CB157" i="47"/>
  <c r="CB158" i="47"/>
  <c r="CB159" i="47"/>
  <c r="CB160" i="47"/>
  <c r="CB161" i="47"/>
  <c r="CB162" i="47"/>
  <c r="CB163" i="47"/>
  <c r="CB164" i="47"/>
  <c r="CB165" i="47"/>
  <c r="CB166" i="47"/>
  <c r="CB167" i="47"/>
  <c r="CB53" i="47"/>
  <c r="CB168" i="47"/>
  <c r="CB169" i="47"/>
  <c r="CB170" i="47"/>
  <c r="CB171" i="47"/>
  <c r="CB9" i="47"/>
  <c r="CB172" i="47"/>
  <c r="CB173" i="47"/>
  <c r="CB174" i="47"/>
  <c r="CB175" i="47"/>
  <c r="CB12" i="47"/>
  <c r="CB176" i="47"/>
  <c r="CB177" i="47"/>
  <c r="CB178" i="47"/>
  <c r="CB179" i="47"/>
  <c r="CB180" i="47"/>
  <c r="CB181" i="47"/>
  <c r="CB182" i="47"/>
  <c r="CB183" i="47"/>
  <c r="CB184" i="47"/>
  <c r="CB15" i="47"/>
  <c r="CB185" i="47"/>
  <c r="CB186" i="47"/>
  <c r="CB187" i="47"/>
  <c r="CB23" i="47"/>
  <c r="CB188" i="47"/>
  <c r="CB189" i="47"/>
  <c r="CB54" i="47"/>
  <c r="CB190" i="47"/>
  <c r="CB191" i="47"/>
  <c r="CB192" i="47"/>
  <c r="CB55" i="47"/>
  <c r="CB193" i="47"/>
  <c r="CB194" i="47"/>
  <c r="CB47" i="47"/>
  <c r="CB195" i="47"/>
  <c r="CB196" i="47"/>
  <c r="CB197" i="47"/>
  <c r="CB198" i="47"/>
  <c r="CB199" i="47"/>
  <c r="CB200" i="47"/>
  <c r="CB201" i="47"/>
  <c r="CB202" i="47"/>
  <c r="CB203" i="47"/>
  <c r="CB204" i="47"/>
  <c r="CB205" i="47"/>
  <c r="CB206" i="47"/>
  <c r="CB207" i="47"/>
  <c r="CB208" i="47"/>
  <c r="CB209" i="47"/>
  <c r="CB210" i="47"/>
  <c r="CB211" i="47"/>
  <c r="CB212" i="47"/>
  <c r="CB213" i="47"/>
  <c r="CB214" i="47"/>
  <c r="CB215" i="47"/>
  <c r="CB56" i="47"/>
  <c r="CB216" i="47"/>
  <c r="CB24" i="47"/>
  <c r="CB217" i="47"/>
  <c r="CB218" i="47"/>
  <c r="CB57" i="47"/>
  <c r="CB219" i="47"/>
  <c r="CB25" i="47"/>
  <c r="CB220" i="47"/>
  <c r="CB221" i="47"/>
  <c r="CB222" i="47"/>
  <c r="CB223" i="47"/>
  <c r="CB224" i="47"/>
  <c r="CB225" i="47"/>
  <c r="CB226" i="47"/>
  <c r="CB227" i="47"/>
  <c r="CB10" i="47"/>
  <c r="CB228" i="47"/>
  <c r="CB229" i="47"/>
  <c r="CB230" i="47"/>
  <c r="CB231" i="47"/>
  <c r="CB232" i="47"/>
  <c r="CB233" i="47"/>
  <c r="CB234" i="47"/>
  <c r="CB235" i="47"/>
  <c r="CB236" i="47"/>
  <c r="CB237" i="47"/>
  <c r="CB26" i="47"/>
  <c r="CB238" i="47"/>
  <c r="CB16" i="47"/>
  <c r="CB239" i="47"/>
  <c r="CB240" i="47"/>
  <c r="CB241" i="47"/>
  <c r="CB242" i="47"/>
  <c r="CB243" i="47"/>
  <c r="CB244" i="47"/>
  <c r="CB245" i="47"/>
  <c r="CB246" i="47"/>
  <c r="CB58" i="47"/>
  <c r="CB247" i="47"/>
  <c r="CB248" i="47"/>
  <c r="CB249" i="47"/>
  <c r="CB250" i="47"/>
  <c r="CB251" i="47"/>
  <c r="CB252" i="47"/>
  <c r="CB253" i="47"/>
  <c r="CB254" i="47"/>
  <c r="CB255" i="47"/>
  <c r="CB256" i="47"/>
  <c r="CB59" i="47"/>
  <c r="CB27" i="47"/>
  <c r="CB257" i="47"/>
  <c r="CB258" i="47"/>
  <c r="CB259" i="47"/>
  <c r="CB260" i="47"/>
  <c r="CB261" i="47"/>
  <c r="CB262" i="47"/>
  <c r="CB263" i="47"/>
  <c r="CB60" i="47"/>
  <c r="CB264" i="47"/>
  <c r="CB265" i="47"/>
  <c r="CB266" i="47"/>
  <c r="CB267" i="47"/>
  <c r="CB268" i="47"/>
  <c r="CB269" i="47"/>
  <c r="CB270" i="47"/>
  <c r="CB271" i="47"/>
  <c r="CB61" i="47"/>
  <c r="CB272" i="47"/>
  <c r="CB273" i="47"/>
  <c r="CB274" i="47"/>
  <c r="CB275" i="47"/>
  <c r="CB6" i="47"/>
  <c r="CB276" i="47"/>
  <c r="CB277" i="47"/>
  <c r="CB278" i="47"/>
  <c r="CB279" i="47"/>
  <c r="CB280" i="47"/>
  <c r="CB281" i="47"/>
  <c r="CB282" i="47"/>
  <c r="CB28" i="47"/>
  <c r="CB283" i="47"/>
  <c r="CB29" i="47"/>
  <c r="CB284" i="47"/>
  <c r="CB285" i="47"/>
  <c r="CB286" i="47"/>
  <c r="CB30" i="47"/>
  <c r="CB287" i="47"/>
  <c r="CB288" i="47"/>
  <c r="CB289" i="47"/>
  <c r="CB290" i="47"/>
  <c r="CB48" i="47"/>
  <c r="CB291" i="47"/>
  <c r="CB292" i="47"/>
  <c r="CB293" i="47"/>
  <c r="CB294" i="47"/>
  <c r="CB295" i="47"/>
  <c r="CB296" i="47"/>
  <c r="CB297" i="47"/>
  <c r="CB298" i="47"/>
  <c r="CB299" i="47"/>
  <c r="CB17" i="47"/>
  <c r="CB300" i="47"/>
  <c r="CB301" i="47"/>
  <c r="CB302" i="47"/>
  <c r="CB303" i="47"/>
  <c r="CB304" i="47"/>
  <c r="CB305" i="47"/>
  <c r="CB31" i="47"/>
  <c r="CB306" i="47"/>
  <c r="CB307" i="47"/>
  <c r="CB308" i="47"/>
  <c r="CB309" i="47"/>
  <c r="CB310" i="47"/>
  <c r="CB311" i="47"/>
  <c r="CB312" i="47"/>
  <c r="CB313" i="47"/>
  <c r="CB314" i="47"/>
  <c r="CB315" i="47"/>
  <c r="CB316" i="47"/>
  <c r="CB317" i="47"/>
  <c r="CB318" i="47"/>
  <c r="CB319" i="47"/>
  <c r="CB320" i="47"/>
  <c r="CB321" i="47"/>
  <c r="CB322" i="47"/>
  <c r="CB323" i="47"/>
  <c r="CB324" i="47"/>
  <c r="CB325" i="47"/>
  <c r="CB326" i="47"/>
  <c r="CB327" i="47"/>
  <c r="CB328" i="47"/>
  <c r="CB329" i="47"/>
  <c r="CB330" i="47"/>
  <c r="CB331" i="47"/>
  <c r="CB332" i="47"/>
  <c r="CB333" i="47"/>
  <c r="CB334" i="47"/>
  <c r="CB335" i="47"/>
  <c r="CB336" i="47"/>
  <c r="CB13" i="47"/>
  <c r="CB337" i="47"/>
  <c r="CB338" i="47"/>
  <c r="CB339" i="47"/>
  <c r="CB340" i="47"/>
  <c r="CB341" i="47"/>
  <c r="CB342" i="47"/>
  <c r="CB343" i="47"/>
  <c r="CB344" i="47"/>
  <c r="CB345" i="47"/>
  <c r="CB346" i="47"/>
  <c r="CB347" i="47"/>
  <c r="CB348" i="47"/>
  <c r="CB349" i="47"/>
  <c r="CB350" i="47"/>
  <c r="CB351" i="47"/>
  <c r="CB18" i="47"/>
  <c r="CB352" i="47"/>
  <c r="CB353" i="47"/>
  <c r="CB354" i="47"/>
  <c r="CB355" i="47"/>
  <c r="CB356" i="47"/>
  <c r="CB357" i="47"/>
  <c r="CB358" i="47"/>
  <c r="CB359" i="47"/>
  <c r="CB7" i="47"/>
  <c r="CB360" i="47"/>
  <c r="CB361" i="47"/>
  <c r="CB362" i="47"/>
  <c r="CB363" i="47"/>
  <c r="CB364" i="47"/>
  <c r="CB365" i="47"/>
  <c r="CB366" i="47"/>
  <c r="CB367" i="47"/>
  <c r="CB368" i="47"/>
  <c r="CB369" i="47"/>
  <c r="CB370" i="47"/>
  <c r="CB371" i="47"/>
  <c r="CB372" i="47"/>
  <c r="CB373" i="47"/>
  <c r="CB374" i="47"/>
  <c r="CB375" i="47"/>
  <c r="CB376" i="47"/>
  <c r="CB377" i="47"/>
  <c r="CB378" i="47"/>
  <c r="CB379" i="47"/>
  <c r="CB380" i="47"/>
  <c r="CB381" i="47"/>
  <c r="CB382" i="47"/>
  <c r="CB383" i="47"/>
  <c r="CB384" i="47"/>
  <c r="CB385" i="47"/>
  <c r="CB386" i="47"/>
  <c r="CB387" i="47"/>
  <c r="CB62" i="47"/>
  <c r="CB388" i="47"/>
  <c r="CB389" i="47"/>
  <c r="CB390" i="47"/>
  <c r="CB391" i="47"/>
  <c r="CB392" i="47"/>
  <c r="CB393" i="47"/>
  <c r="CB394" i="47"/>
  <c r="CB395" i="47"/>
  <c r="CB396" i="47"/>
  <c r="CB397" i="47"/>
  <c r="CB398" i="47"/>
  <c r="CB399" i="47"/>
  <c r="CB400" i="47"/>
  <c r="CB401" i="47"/>
  <c r="CB402" i="47"/>
  <c r="CB403" i="47"/>
  <c r="CB404" i="47"/>
  <c r="CB405" i="47"/>
  <c r="CB406" i="47"/>
  <c r="CB407" i="47"/>
  <c r="CB408" i="47"/>
  <c r="CB409" i="47"/>
  <c r="CB410" i="47"/>
  <c r="CB32" i="47"/>
  <c r="CB411" i="47"/>
  <c r="CB412" i="47"/>
  <c r="CB413" i="47"/>
  <c r="CB414" i="47"/>
  <c r="CB33" i="47"/>
  <c r="CB415" i="47"/>
  <c r="CB416" i="47"/>
  <c r="CB417" i="47"/>
  <c r="CB418" i="47"/>
  <c r="CB419" i="47"/>
  <c r="CB420" i="47"/>
  <c r="CB421" i="47"/>
  <c r="CB422" i="47"/>
  <c r="CB423" i="47"/>
  <c r="CB424" i="47"/>
  <c r="CB425" i="47"/>
  <c r="CB426" i="47"/>
  <c r="CB427" i="47"/>
  <c r="CB428" i="47"/>
  <c r="CB63" i="47"/>
  <c r="CB429" i="47"/>
  <c r="CB430" i="47"/>
  <c r="CB431" i="47"/>
  <c r="CB432" i="47"/>
  <c r="CB433" i="47"/>
  <c r="CB34" i="47"/>
  <c r="CB434" i="47"/>
  <c r="CB435" i="47"/>
  <c r="CB436" i="47"/>
  <c r="CB437" i="47"/>
  <c r="CB438" i="47"/>
  <c r="CB439" i="47"/>
  <c r="CB440" i="47"/>
  <c r="CB441" i="47"/>
  <c r="CB442" i="47"/>
  <c r="CB443" i="47"/>
  <c r="CB444" i="47"/>
  <c r="CB445" i="47"/>
  <c r="CB446" i="47"/>
  <c r="CB447" i="47"/>
  <c r="CB448" i="47"/>
  <c r="CB449" i="47"/>
  <c r="CB450" i="47"/>
  <c r="CB451" i="47"/>
  <c r="CB35" i="47"/>
  <c r="CB452" i="47"/>
  <c r="CB453" i="47"/>
  <c r="CB454" i="47"/>
  <c r="CB455" i="47"/>
  <c r="CB64" i="47"/>
  <c r="CB456" i="47"/>
  <c r="CB457" i="47"/>
  <c r="CB458" i="47"/>
  <c r="CB459" i="47"/>
  <c r="CB460" i="47"/>
  <c r="CB461" i="47"/>
  <c r="CB462" i="47"/>
  <c r="CB463" i="47"/>
  <c r="CB464" i="47"/>
  <c r="CB465" i="47"/>
  <c r="CB466" i="47"/>
  <c r="CB467" i="47"/>
  <c r="CB468" i="47"/>
  <c r="CB469" i="47"/>
  <c r="CB470" i="47"/>
  <c r="CB471" i="47"/>
  <c r="CB49" i="47"/>
  <c r="CB19" i="47"/>
  <c r="CB36" i="47"/>
  <c r="CB472" i="47"/>
  <c r="CB65" i="47"/>
  <c r="CB473" i="47"/>
  <c r="CB474" i="47"/>
  <c r="CB37" i="47"/>
  <c r="CB475" i="47"/>
  <c r="CB476" i="47"/>
  <c r="CB477" i="47"/>
  <c r="CB478" i="47"/>
  <c r="CB479" i="47"/>
  <c r="CB480" i="47"/>
  <c r="CB481" i="47"/>
  <c r="CB482" i="47"/>
  <c r="CB483" i="47"/>
  <c r="CB484" i="47"/>
  <c r="CB485" i="47"/>
  <c r="CB486" i="47"/>
  <c r="CB487" i="47"/>
  <c r="CB488" i="47"/>
  <c r="CB489" i="47"/>
  <c r="CB490" i="47"/>
  <c r="CB491" i="47"/>
  <c r="CB66" i="47"/>
  <c r="CB492" i="47"/>
  <c r="CB493" i="47"/>
  <c r="CB494" i="47"/>
  <c r="CB495" i="47"/>
  <c r="CB496" i="47"/>
  <c r="CB497" i="47"/>
  <c r="CB498" i="47"/>
  <c r="CB499" i="47"/>
  <c r="CB500" i="47"/>
  <c r="CB501" i="47"/>
  <c r="CB502" i="47"/>
  <c r="CB503" i="47"/>
  <c r="CB504" i="47"/>
  <c r="CB505" i="47"/>
  <c r="CB506" i="47"/>
  <c r="CB507" i="47"/>
  <c r="CB508" i="47"/>
  <c r="CB509" i="47"/>
  <c r="CB510" i="47"/>
  <c r="CB511" i="47"/>
  <c r="CB512" i="47"/>
  <c r="CB513" i="47"/>
  <c r="CB67" i="47"/>
  <c r="CB514" i="47"/>
  <c r="CB515" i="47"/>
  <c r="CB68" i="47"/>
  <c r="CB38" i="47"/>
  <c r="CB516" i="47"/>
  <c r="CB517" i="47"/>
  <c r="CB69" i="47"/>
  <c r="CB518" i="47"/>
  <c r="CB519" i="47"/>
  <c r="CB520" i="47"/>
  <c r="CB521" i="47"/>
  <c r="CB522" i="47"/>
  <c r="CB523" i="47"/>
  <c r="CB39" i="47"/>
  <c r="CB524" i="47"/>
  <c r="CB525" i="47"/>
  <c r="CB526" i="47"/>
  <c r="CB527" i="47"/>
  <c r="CB528" i="47"/>
  <c r="CB529" i="47"/>
  <c r="CB530" i="47"/>
  <c r="CB531" i="47"/>
  <c r="CB532" i="47"/>
  <c r="CB40" i="47"/>
  <c r="CB533" i="47"/>
  <c r="CB534" i="47"/>
  <c r="CB535" i="47"/>
  <c r="CB536" i="47"/>
  <c r="CB537" i="47"/>
  <c r="CB14" i="47"/>
  <c r="CB538" i="47"/>
  <c r="CB70" i="47"/>
  <c r="CB41" i="47"/>
  <c r="CB539" i="47"/>
  <c r="CB540" i="47"/>
  <c r="CB541" i="47"/>
  <c r="CB42" i="47"/>
  <c r="CB542" i="47"/>
  <c r="CB543" i="47"/>
  <c r="CB544" i="47"/>
  <c r="CB545" i="47"/>
  <c r="CB546" i="47"/>
  <c r="CB547" i="47"/>
  <c r="CB548" i="47"/>
  <c r="CB549" i="47"/>
  <c r="CB71" i="47"/>
  <c r="CB550" i="47"/>
  <c r="CB43" i="47"/>
  <c r="CB551" i="47"/>
  <c r="CB552" i="47"/>
  <c r="CB553" i="47"/>
  <c r="CB554" i="47"/>
  <c r="CB555" i="47"/>
  <c r="CB556" i="47"/>
  <c r="CB557" i="47"/>
  <c r="CB558" i="47"/>
  <c r="CB559" i="47"/>
  <c r="CB560" i="47"/>
  <c r="CB561" i="47"/>
  <c r="CB562" i="47"/>
  <c r="CB563" i="47"/>
  <c r="CB564" i="47"/>
  <c r="CB565" i="47"/>
  <c r="CB566" i="47"/>
  <c r="CB567" i="47"/>
  <c r="CB568" i="47"/>
  <c r="CB569" i="47"/>
  <c r="CB570" i="47"/>
  <c r="CB571" i="47"/>
  <c r="CB572" i="47"/>
  <c r="CB573" i="47"/>
  <c r="CB574" i="47"/>
  <c r="CB72" i="47"/>
  <c r="CB575" i="47"/>
  <c r="CB576" i="47"/>
  <c r="CB577" i="47"/>
  <c r="CB578" i="47"/>
  <c r="CB579" i="47"/>
  <c r="CB580" i="47"/>
  <c r="CB581" i="47"/>
  <c r="CB582" i="47"/>
  <c r="CB583" i="47"/>
  <c r="CB584" i="47"/>
  <c r="CB585" i="47"/>
  <c r="CB586" i="47"/>
  <c r="CB20" i="47"/>
  <c r="CB587" i="47"/>
  <c r="CB588" i="47"/>
  <c r="CB589" i="47"/>
  <c r="CB73" i="47"/>
  <c r="CB590" i="47"/>
  <c r="CB591" i="47"/>
  <c r="CB592" i="47"/>
  <c r="CB593" i="47"/>
  <c r="CB594" i="47"/>
  <c r="CB595" i="47"/>
  <c r="CB596" i="47"/>
  <c r="CB597" i="47"/>
  <c r="CB598" i="47"/>
  <c r="CB599" i="47"/>
  <c r="CB600" i="47"/>
  <c r="CB44" i="47"/>
  <c r="CB601" i="47"/>
  <c r="CB602" i="47"/>
  <c r="CB603" i="47"/>
  <c r="CB604" i="47"/>
  <c r="CB605" i="47"/>
  <c r="CB606" i="47"/>
  <c r="CB607" i="47"/>
  <c r="CB608" i="47"/>
  <c r="CB609" i="47"/>
  <c r="CB11" i="47"/>
  <c r="CB610" i="47"/>
  <c r="CB611" i="47"/>
  <c r="CB612" i="47"/>
  <c r="CB613" i="47"/>
  <c r="CB614" i="47"/>
  <c r="CB74" i="47"/>
  <c r="CB615" i="47"/>
  <c r="CB616" i="47"/>
  <c r="CB617" i="47"/>
  <c r="CB618" i="47"/>
  <c r="CB619" i="47"/>
  <c r="CB45" i="47"/>
  <c r="CB620" i="47"/>
  <c r="CB621" i="47"/>
  <c r="CB46" i="47"/>
  <c r="CB622" i="47"/>
  <c r="CB623" i="47"/>
  <c r="CB624" i="47"/>
  <c r="CB625" i="47"/>
  <c r="CB626" i="47"/>
  <c r="CB627" i="47"/>
  <c r="CB628" i="47"/>
  <c r="CB629" i="47"/>
  <c r="CB630" i="47"/>
  <c r="CB631" i="47"/>
  <c r="CB632" i="47"/>
  <c r="CB633" i="47"/>
  <c r="CB634" i="47"/>
  <c r="CB635" i="47"/>
  <c r="CB636" i="47"/>
  <c r="CB637" i="47"/>
  <c r="CB638" i="47"/>
  <c r="CA75" i="47"/>
  <c r="CA76" i="47"/>
  <c r="CA77" i="47"/>
  <c r="CA78" i="47"/>
  <c r="CA79" i="47"/>
  <c r="CA80" i="47"/>
  <c r="CA81" i="47"/>
  <c r="CA82" i="47"/>
  <c r="CA83" i="47"/>
  <c r="CA84" i="47"/>
  <c r="CA85" i="47"/>
  <c r="CA86" i="47"/>
  <c r="CA87" i="47"/>
  <c r="CA88" i="47"/>
  <c r="CA89" i="47"/>
  <c r="CA90" i="47"/>
  <c r="CA91" i="47"/>
  <c r="CA92" i="47"/>
  <c r="CA93" i="47"/>
  <c r="CA94" i="47"/>
  <c r="CA50" i="47"/>
  <c r="CA95" i="47"/>
  <c r="CA96" i="47"/>
  <c r="CA97" i="47"/>
  <c r="CA98" i="47"/>
  <c r="CA51" i="47"/>
  <c r="CA99" i="47"/>
  <c r="CA100" i="47"/>
  <c r="CA101" i="47"/>
  <c r="CA102" i="47"/>
  <c r="CA103" i="47"/>
  <c r="CA104" i="47"/>
  <c r="CA4" i="47"/>
  <c r="CA105" i="47"/>
  <c r="CA106" i="47"/>
  <c r="CA107" i="47"/>
  <c r="CA108" i="47"/>
  <c r="CA109" i="47"/>
  <c r="CA110" i="47"/>
  <c r="CA111" i="47"/>
  <c r="CA112" i="47"/>
  <c r="CA113" i="47"/>
  <c r="CA5" i="47"/>
  <c r="CA52" i="47"/>
  <c r="CA114" i="47"/>
  <c r="CA115" i="47"/>
  <c r="CA116" i="47"/>
  <c r="CA117" i="47"/>
  <c r="CA118" i="47"/>
  <c r="CA119" i="47"/>
  <c r="CA120" i="47"/>
  <c r="CA121" i="47"/>
  <c r="CA122" i="47"/>
  <c r="CA123" i="47"/>
  <c r="CA124" i="47"/>
  <c r="CA125" i="47"/>
  <c r="CA126" i="47"/>
  <c r="CA127" i="47"/>
  <c r="CA128" i="47"/>
  <c r="CA129" i="47"/>
  <c r="CA130" i="47"/>
  <c r="CA131" i="47"/>
  <c r="CA132" i="47"/>
  <c r="CA133" i="47"/>
  <c r="CA134" i="47"/>
  <c r="CA135" i="47"/>
  <c r="CA136" i="47"/>
  <c r="CA137" i="47"/>
  <c r="CA138" i="47"/>
  <c r="CA139" i="47"/>
  <c r="CA140" i="47"/>
  <c r="CA141" i="47"/>
  <c r="CA142" i="47"/>
  <c r="CA143" i="47"/>
  <c r="CA144" i="47"/>
  <c r="CA145" i="47"/>
  <c r="CA146" i="47"/>
  <c r="CA147" i="47"/>
  <c r="CA148" i="47"/>
  <c r="CA8" i="47"/>
  <c r="CA149" i="47"/>
  <c r="CA150" i="47"/>
  <c r="CA21" i="47"/>
  <c r="CA151" i="47"/>
  <c r="CA152" i="47"/>
  <c r="CA153" i="47"/>
  <c r="CA22" i="47"/>
  <c r="CA154" i="47"/>
  <c r="CA155" i="47"/>
  <c r="CA156" i="47"/>
  <c r="CA157" i="47"/>
  <c r="CA158" i="47"/>
  <c r="CA159" i="47"/>
  <c r="CA160" i="47"/>
  <c r="CA161" i="47"/>
  <c r="CA162" i="47"/>
  <c r="CA163" i="47"/>
  <c r="CA164" i="47"/>
  <c r="CA165" i="47"/>
  <c r="CA166" i="47"/>
  <c r="CA167" i="47"/>
  <c r="CA53" i="47"/>
  <c r="CA168" i="47"/>
  <c r="CA169" i="47"/>
  <c r="CA170" i="47"/>
  <c r="CA171" i="47"/>
  <c r="CA9" i="47"/>
  <c r="CA172" i="47"/>
  <c r="CA173" i="47"/>
  <c r="CA174" i="47"/>
  <c r="CA175" i="47"/>
  <c r="CA12" i="47"/>
  <c r="CA176" i="47"/>
  <c r="CA177" i="47"/>
  <c r="CA178" i="47"/>
  <c r="CA179" i="47"/>
  <c r="CA180" i="47"/>
  <c r="CA181" i="47"/>
  <c r="CA182" i="47"/>
  <c r="CA183" i="47"/>
  <c r="CA184" i="47"/>
  <c r="CA15" i="47"/>
  <c r="CA185" i="47"/>
  <c r="CA186" i="47"/>
  <c r="CA187" i="47"/>
  <c r="CA23" i="47"/>
  <c r="CA188" i="47"/>
  <c r="CA189" i="47"/>
  <c r="CA54" i="47"/>
  <c r="CA190" i="47"/>
  <c r="CA191" i="47"/>
  <c r="CA192" i="47"/>
  <c r="CA55" i="47"/>
  <c r="CA193" i="47"/>
  <c r="CA194" i="47"/>
  <c r="CA47" i="47"/>
  <c r="CA195" i="47"/>
  <c r="CA196" i="47"/>
  <c r="CA197" i="47"/>
  <c r="CA198" i="47"/>
  <c r="CA199" i="47"/>
  <c r="CA200" i="47"/>
  <c r="CA201" i="47"/>
  <c r="CA202" i="47"/>
  <c r="CA203" i="47"/>
  <c r="CA204" i="47"/>
  <c r="CA205" i="47"/>
  <c r="CA206" i="47"/>
  <c r="CA207" i="47"/>
  <c r="CA208" i="47"/>
  <c r="CA209" i="47"/>
  <c r="CA210" i="47"/>
  <c r="CA211" i="47"/>
  <c r="CA212" i="47"/>
  <c r="CA213" i="47"/>
  <c r="CA214" i="47"/>
  <c r="CA215" i="47"/>
  <c r="CA56" i="47"/>
  <c r="CA216" i="47"/>
  <c r="CA24" i="47"/>
  <c r="CA217" i="47"/>
  <c r="CA218" i="47"/>
  <c r="CA57" i="47"/>
  <c r="CA219" i="47"/>
  <c r="CA25" i="47"/>
  <c r="CA220" i="47"/>
  <c r="CA221" i="47"/>
  <c r="CA222" i="47"/>
  <c r="CA223" i="47"/>
  <c r="CA224" i="47"/>
  <c r="CA225" i="47"/>
  <c r="CA226" i="47"/>
  <c r="CA227" i="47"/>
  <c r="CA10" i="47"/>
  <c r="CA228" i="47"/>
  <c r="CA229" i="47"/>
  <c r="CA230" i="47"/>
  <c r="CA231" i="47"/>
  <c r="CA232" i="47"/>
  <c r="CA233" i="47"/>
  <c r="CA234" i="47"/>
  <c r="CA235" i="47"/>
  <c r="CA236" i="47"/>
  <c r="CA237" i="47"/>
  <c r="CA26" i="47"/>
  <c r="CA238" i="47"/>
  <c r="CA16" i="47"/>
  <c r="CA239" i="47"/>
  <c r="CA240" i="47"/>
  <c r="CA241" i="47"/>
  <c r="CA242" i="47"/>
  <c r="CA243" i="47"/>
  <c r="CA244" i="47"/>
  <c r="CA245" i="47"/>
  <c r="CA246" i="47"/>
  <c r="CA58" i="47"/>
  <c r="CA247" i="47"/>
  <c r="CA248" i="47"/>
  <c r="CA249" i="47"/>
  <c r="CA250" i="47"/>
  <c r="CA251" i="47"/>
  <c r="CA252" i="47"/>
  <c r="CA253" i="47"/>
  <c r="CA254" i="47"/>
  <c r="CA255" i="47"/>
  <c r="CA256" i="47"/>
  <c r="CA59" i="47"/>
  <c r="CA27" i="47"/>
  <c r="CA257" i="47"/>
  <c r="CA258" i="47"/>
  <c r="CA259" i="47"/>
  <c r="CA260" i="47"/>
  <c r="CA261" i="47"/>
  <c r="CA262" i="47"/>
  <c r="CA263" i="47"/>
  <c r="CA60" i="47"/>
  <c r="CA264" i="47"/>
  <c r="CA265" i="47"/>
  <c r="CA266" i="47"/>
  <c r="CA267" i="47"/>
  <c r="CA268" i="47"/>
  <c r="CA269" i="47"/>
  <c r="CA270" i="47"/>
  <c r="CA271" i="47"/>
  <c r="CA61" i="47"/>
  <c r="CA272" i="47"/>
  <c r="CA273" i="47"/>
  <c r="CA274" i="47"/>
  <c r="CA275" i="47"/>
  <c r="CA6" i="47"/>
  <c r="CA276" i="47"/>
  <c r="CA277" i="47"/>
  <c r="CA278" i="47"/>
  <c r="CA279" i="47"/>
  <c r="CA280" i="47"/>
  <c r="CA281" i="47"/>
  <c r="CA282" i="47"/>
  <c r="CA28" i="47"/>
  <c r="CA283" i="47"/>
  <c r="CA29" i="47"/>
  <c r="CA284" i="47"/>
  <c r="CA285" i="47"/>
  <c r="CA286" i="47"/>
  <c r="CA30" i="47"/>
  <c r="CA287" i="47"/>
  <c r="CA288" i="47"/>
  <c r="CA289" i="47"/>
  <c r="CA290" i="47"/>
  <c r="CA48" i="47"/>
  <c r="CA291" i="47"/>
  <c r="CA292" i="47"/>
  <c r="CA293" i="47"/>
  <c r="CA294" i="47"/>
  <c r="CA295" i="47"/>
  <c r="CA296" i="47"/>
  <c r="CA297" i="47"/>
  <c r="CA298" i="47"/>
  <c r="CA299" i="47"/>
  <c r="CA17" i="47"/>
  <c r="CA300" i="47"/>
  <c r="CA301" i="47"/>
  <c r="CA302" i="47"/>
  <c r="CA303" i="47"/>
  <c r="CA304" i="47"/>
  <c r="CA305" i="47"/>
  <c r="CA31" i="47"/>
  <c r="CA306" i="47"/>
  <c r="CA307" i="47"/>
  <c r="CA308" i="47"/>
  <c r="CA309" i="47"/>
  <c r="CA310" i="47"/>
  <c r="CA311" i="47"/>
  <c r="CA312" i="47"/>
  <c r="CA313" i="47"/>
  <c r="CA314" i="47"/>
  <c r="CA315" i="47"/>
  <c r="CA316" i="47"/>
  <c r="CA317" i="47"/>
  <c r="CA318" i="47"/>
  <c r="CA319" i="47"/>
  <c r="CA320" i="47"/>
  <c r="CA321" i="47"/>
  <c r="CA322" i="47"/>
  <c r="CA323" i="47"/>
  <c r="CA324" i="47"/>
  <c r="CA325" i="47"/>
  <c r="CA326" i="47"/>
  <c r="CA327" i="47"/>
  <c r="CA328" i="47"/>
  <c r="CA329" i="47"/>
  <c r="CA330" i="47"/>
  <c r="CA331" i="47"/>
  <c r="CA332" i="47"/>
  <c r="CA333" i="47"/>
  <c r="CA334" i="47"/>
  <c r="CA335" i="47"/>
  <c r="CA336" i="47"/>
  <c r="CA13" i="47"/>
  <c r="CA337" i="47"/>
  <c r="CA338" i="47"/>
  <c r="CA339" i="47"/>
  <c r="CA340" i="47"/>
  <c r="CA341" i="47"/>
  <c r="CA342" i="47"/>
  <c r="CA343" i="47"/>
  <c r="CA344" i="47"/>
  <c r="CA345" i="47"/>
  <c r="CA346" i="47"/>
  <c r="CA347" i="47"/>
  <c r="CA348" i="47"/>
  <c r="CA349" i="47"/>
  <c r="CA350" i="47"/>
  <c r="CA351" i="47"/>
  <c r="CA18" i="47"/>
  <c r="CA352" i="47"/>
  <c r="CA353" i="47"/>
  <c r="CA354" i="47"/>
  <c r="CA355" i="47"/>
  <c r="CA356" i="47"/>
  <c r="CA357" i="47"/>
  <c r="CA358" i="47"/>
  <c r="CA359" i="47"/>
  <c r="CA7" i="47"/>
  <c r="CA360" i="47"/>
  <c r="CA361" i="47"/>
  <c r="CA362" i="47"/>
  <c r="CA363" i="47"/>
  <c r="CA364" i="47"/>
  <c r="CA365" i="47"/>
  <c r="CA366" i="47"/>
  <c r="CA367" i="47"/>
  <c r="CA368" i="47"/>
  <c r="CA369" i="47"/>
  <c r="CA370" i="47"/>
  <c r="CA371" i="47"/>
  <c r="CA372" i="47"/>
  <c r="CA373" i="47"/>
  <c r="CA374" i="47"/>
  <c r="CA375" i="47"/>
  <c r="CA376" i="47"/>
  <c r="CA377" i="47"/>
  <c r="CA378" i="47"/>
  <c r="CA379" i="47"/>
  <c r="CA380" i="47"/>
  <c r="CA381" i="47"/>
  <c r="CA382" i="47"/>
  <c r="CA383" i="47"/>
  <c r="CA384" i="47"/>
  <c r="CA385" i="47"/>
  <c r="CA386" i="47"/>
  <c r="CA387" i="47"/>
  <c r="CA62" i="47"/>
  <c r="CA388" i="47"/>
  <c r="CA389" i="47"/>
  <c r="CA390" i="47"/>
  <c r="CA391" i="47"/>
  <c r="CA392" i="47"/>
  <c r="CA393" i="47"/>
  <c r="CA394" i="47"/>
  <c r="CA395" i="47"/>
  <c r="CA396" i="47"/>
  <c r="CA397" i="47"/>
  <c r="CA398" i="47"/>
  <c r="CA399" i="47"/>
  <c r="CA400" i="47"/>
  <c r="CA401" i="47"/>
  <c r="CA402" i="47"/>
  <c r="CA403" i="47"/>
  <c r="CA404" i="47"/>
  <c r="CA405" i="47"/>
  <c r="CA406" i="47"/>
  <c r="CA407" i="47"/>
  <c r="CA408" i="47"/>
  <c r="CA409" i="47"/>
  <c r="CA410" i="47"/>
  <c r="CA32" i="47"/>
  <c r="CA411" i="47"/>
  <c r="CA412" i="47"/>
  <c r="CA413" i="47"/>
  <c r="CA414" i="47"/>
  <c r="CA33" i="47"/>
  <c r="CA415" i="47"/>
  <c r="CA416" i="47"/>
  <c r="CA417" i="47"/>
  <c r="CA418" i="47"/>
  <c r="CA419" i="47"/>
  <c r="CA420" i="47"/>
  <c r="CA421" i="47"/>
  <c r="CA422" i="47"/>
  <c r="CA423" i="47"/>
  <c r="CA424" i="47"/>
  <c r="CA425" i="47"/>
  <c r="CA426" i="47"/>
  <c r="CA427" i="47"/>
  <c r="CA428" i="47"/>
  <c r="CA63" i="47"/>
  <c r="CA429" i="47"/>
  <c r="CA430" i="47"/>
  <c r="CA431" i="47"/>
  <c r="CA432" i="47"/>
  <c r="CA433" i="47"/>
  <c r="CA34" i="47"/>
  <c r="CA434" i="47"/>
  <c r="CA435" i="47"/>
  <c r="CA436" i="47"/>
  <c r="CA437" i="47"/>
  <c r="CA438" i="47"/>
  <c r="CA439" i="47"/>
  <c r="CA440" i="47"/>
  <c r="CA441" i="47"/>
  <c r="CA442" i="47"/>
  <c r="CA443" i="47"/>
  <c r="CA444" i="47"/>
  <c r="CA445" i="47"/>
  <c r="CA446" i="47"/>
  <c r="CA447" i="47"/>
  <c r="CA448" i="47"/>
  <c r="CA449" i="47"/>
  <c r="CA450" i="47"/>
  <c r="CA451" i="47"/>
  <c r="CA35" i="47"/>
  <c r="CA452" i="47"/>
  <c r="CA453" i="47"/>
  <c r="CA454" i="47"/>
  <c r="CA455" i="47"/>
  <c r="CA64" i="47"/>
  <c r="CA456" i="47"/>
  <c r="CA457" i="47"/>
  <c r="CA458" i="47"/>
  <c r="CA459" i="47"/>
  <c r="CA460" i="47"/>
  <c r="CA461" i="47"/>
  <c r="CA462" i="47"/>
  <c r="CA463" i="47"/>
  <c r="CA464" i="47"/>
  <c r="CA465" i="47"/>
  <c r="CA466" i="47"/>
  <c r="CA467" i="47"/>
  <c r="CA468" i="47"/>
  <c r="CA469" i="47"/>
  <c r="CA470" i="47"/>
  <c r="CA471" i="47"/>
  <c r="CA49" i="47"/>
  <c r="CA19" i="47"/>
  <c r="CA36" i="47"/>
  <c r="CA472" i="47"/>
  <c r="CA65" i="47"/>
  <c r="CA473" i="47"/>
  <c r="CA474" i="47"/>
  <c r="CA37" i="47"/>
  <c r="CA475" i="47"/>
  <c r="CA476" i="47"/>
  <c r="CA477" i="47"/>
  <c r="CA478" i="47"/>
  <c r="CA479" i="47"/>
  <c r="CA480" i="47"/>
  <c r="CA481" i="47"/>
  <c r="CA482" i="47"/>
  <c r="CA483" i="47"/>
  <c r="CA484" i="47"/>
  <c r="CA485" i="47"/>
  <c r="CA486" i="47"/>
  <c r="CA487" i="47"/>
  <c r="CA488" i="47"/>
  <c r="CA489" i="47"/>
  <c r="CA490" i="47"/>
  <c r="CA491" i="47"/>
  <c r="CA66" i="47"/>
  <c r="CA492" i="47"/>
  <c r="CA493" i="47"/>
  <c r="CA494" i="47"/>
  <c r="CA495" i="47"/>
  <c r="CA496" i="47"/>
  <c r="CA497" i="47"/>
  <c r="CA498" i="47"/>
  <c r="CA499" i="47"/>
  <c r="CA500" i="47"/>
  <c r="CA501" i="47"/>
  <c r="CA502" i="47"/>
  <c r="CA503" i="47"/>
  <c r="CA504" i="47"/>
  <c r="CA505" i="47"/>
  <c r="CA506" i="47"/>
  <c r="CA507" i="47"/>
  <c r="CA508" i="47"/>
  <c r="CA509" i="47"/>
  <c r="CA510" i="47"/>
  <c r="CA511" i="47"/>
  <c r="CA512" i="47"/>
  <c r="CA513" i="47"/>
  <c r="CA67" i="47"/>
  <c r="CA514" i="47"/>
  <c r="CA515" i="47"/>
  <c r="CA68" i="47"/>
  <c r="CA38" i="47"/>
  <c r="CA516" i="47"/>
  <c r="CA517" i="47"/>
  <c r="CA69" i="47"/>
  <c r="CA518" i="47"/>
  <c r="CA519" i="47"/>
  <c r="CA520" i="47"/>
  <c r="CA521" i="47"/>
  <c r="CA522" i="47"/>
  <c r="CA523" i="47"/>
  <c r="CA39" i="47"/>
  <c r="CA524" i="47"/>
  <c r="CA525" i="47"/>
  <c r="CA526" i="47"/>
  <c r="CA527" i="47"/>
  <c r="CA528" i="47"/>
  <c r="CA529" i="47"/>
  <c r="CA530" i="47"/>
  <c r="CA531" i="47"/>
  <c r="CA532" i="47"/>
  <c r="CA40" i="47"/>
  <c r="CA533" i="47"/>
  <c r="CA534" i="47"/>
  <c r="CA535" i="47"/>
  <c r="CA536" i="47"/>
  <c r="CA537" i="47"/>
  <c r="CA14" i="47"/>
  <c r="CA538" i="47"/>
  <c r="CA70" i="47"/>
  <c r="CA41" i="47"/>
  <c r="CA539" i="47"/>
  <c r="CA540" i="47"/>
  <c r="CA541" i="47"/>
  <c r="CA42" i="47"/>
  <c r="CA542" i="47"/>
  <c r="CA543" i="47"/>
  <c r="CA544" i="47"/>
  <c r="CA545" i="47"/>
  <c r="CA546" i="47"/>
  <c r="CA547" i="47"/>
  <c r="CA548" i="47"/>
  <c r="CA549" i="47"/>
  <c r="CA71" i="47"/>
  <c r="CA550" i="47"/>
  <c r="CA43" i="47"/>
  <c r="CA551" i="47"/>
  <c r="CA552" i="47"/>
  <c r="CA553" i="47"/>
  <c r="CA554" i="47"/>
  <c r="CA555" i="47"/>
  <c r="CA556" i="47"/>
  <c r="CA557" i="47"/>
  <c r="CA558" i="47"/>
  <c r="CA559" i="47"/>
  <c r="CA560" i="47"/>
  <c r="CA561" i="47"/>
  <c r="CA562" i="47"/>
  <c r="CA563" i="47"/>
  <c r="CA564" i="47"/>
  <c r="CA565" i="47"/>
  <c r="CA566" i="47"/>
  <c r="CA567" i="47"/>
  <c r="CA568" i="47"/>
  <c r="CA569" i="47"/>
  <c r="CA570" i="47"/>
  <c r="CA571" i="47"/>
  <c r="CA572" i="47"/>
  <c r="CA573" i="47"/>
  <c r="CA574" i="47"/>
  <c r="CA72" i="47"/>
  <c r="CA575" i="47"/>
  <c r="CA576" i="47"/>
  <c r="CA577" i="47"/>
  <c r="CA578" i="47"/>
  <c r="CA579" i="47"/>
  <c r="CA580" i="47"/>
  <c r="CA581" i="47"/>
  <c r="CA582" i="47"/>
  <c r="CA583" i="47"/>
  <c r="CA584" i="47"/>
  <c r="CA585" i="47"/>
  <c r="CA586" i="47"/>
  <c r="CA20" i="47"/>
  <c r="CA587" i="47"/>
  <c r="CA588" i="47"/>
  <c r="CA589" i="47"/>
  <c r="CA73" i="47"/>
  <c r="CA590" i="47"/>
  <c r="CA591" i="47"/>
  <c r="CA592" i="47"/>
  <c r="CA593" i="47"/>
  <c r="CA594" i="47"/>
  <c r="CA595" i="47"/>
  <c r="CA596" i="47"/>
  <c r="CA597" i="47"/>
  <c r="CA598" i="47"/>
  <c r="CA599" i="47"/>
  <c r="CA600" i="47"/>
  <c r="CA44" i="47"/>
  <c r="CA601" i="47"/>
  <c r="CA602" i="47"/>
  <c r="CA603" i="47"/>
  <c r="CA604" i="47"/>
  <c r="CA605" i="47"/>
  <c r="CA606" i="47"/>
  <c r="CA607" i="47"/>
  <c r="CA608" i="47"/>
  <c r="CA609" i="47"/>
  <c r="CA11" i="47"/>
  <c r="CA610" i="47"/>
  <c r="CA611" i="47"/>
  <c r="CA612" i="47"/>
  <c r="CA613" i="47"/>
  <c r="CA614" i="47"/>
  <c r="CA74" i="47"/>
  <c r="CA615" i="47"/>
  <c r="CA616" i="47"/>
  <c r="CA617" i="47"/>
  <c r="CA618" i="47"/>
  <c r="CA619" i="47"/>
  <c r="CA45" i="47"/>
  <c r="CA620" i="47"/>
  <c r="CA621" i="47"/>
  <c r="CA46" i="47"/>
  <c r="CA622" i="47"/>
  <c r="CA623" i="47"/>
  <c r="CA624" i="47"/>
  <c r="CA625" i="47"/>
  <c r="CA626" i="47"/>
  <c r="CA627" i="47"/>
  <c r="CA628" i="47"/>
  <c r="CA629" i="47"/>
  <c r="CA630" i="47"/>
  <c r="CA631" i="47"/>
  <c r="CA632" i="47"/>
  <c r="CA633" i="47"/>
  <c r="CA634" i="47"/>
  <c r="CA635" i="47"/>
  <c r="CA636" i="47"/>
  <c r="CA637" i="47"/>
  <c r="CA638" i="47"/>
  <c r="A553" i="37"/>
  <c r="H553" i="37"/>
  <c r="M553" i="37" a="1"/>
  <c r="M553" i="37" s="1"/>
  <c r="N553" i="37" a="1"/>
  <c r="N553" i="37" s="1"/>
  <c r="O553" i="37" a="1"/>
  <c r="O553" i="37" s="1"/>
  <c r="P553" i="37" a="1"/>
  <c r="P553" i="37" s="1"/>
  <c r="Q553" i="37" a="1"/>
  <c r="Q553" i="37" s="1"/>
  <c r="R553" i="37" a="1"/>
  <c r="R553" i="37" s="1"/>
  <c r="S553" i="37" a="1"/>
  <c r="S553" i="37" s="1"/>
  <c r="T553" i="37" a="1"/>
  <c r="T553" i="37" s="1"/>
  <c r="U553" i="37" a="1"/>
  <c r="U553" i="37" s="1"/>
  <c r="V553" i="37" a="1"/>
  <c r="V553" i="37" s="1"/>
  <c r="W553" i="37" a="1"/>
  <c r="W553" i="37"/>
  <c r="X553" i="37" a="1"/>
  <c r="X553" i="37" s="1"/>
  <c r="Y553" i="37" a="1"/>
  <c r="Y553" i="37" s="1"/>
  <c r="Z553" i="37" a="1"/>
  <c r="Z553" i="37" s="1"/>
  <c r="AA553" i="37" a="1"/>
  <c r="AA553" i="37" s="1"/>
  <c r="AB553" i="37" a="1"/>
  <c r="AB553" i="37" s="1"/>
  <c r="AC553" i="37" a="1"/>
  <c r="AC553" i="37" s="1"/>
  <c r="AD553" i="37" a="1"/>
  <c r="AD553" i="37" s="1"/>
  <c r="AE553" i="37" a="1"/>
  <c r="AE553" i="37" s="1"/>
  <c r="AF553" i="37" a="1"/>
  <c r="AF553" i="37" s="1"/>
  <c r="AG553" i="37" a="1"/>
  <c r="AG553" i="37" s="1"/>
  <c r="AH553" i="37" a="1"/>
  <c r="AH553" i="37" s="1"/>
  <c r="AI553" i="37" a="1"/>
  <c r="AI553" i="37" s="1"/>
  <c r="AJ553" i="37" a="1"/>
  <c r="AJ553" i="37" s="1"/>
  <c r="AK553" i="37" a="1"/>
  <c r="AK553" i="37" s="1"/>
  <c r="AL553" i="37" a="1"/>
  <c r="AL553" i="37" s="1"/>
  <c r="AM553" i="37" a="1"/>
  <c r="AM553" i="37" s="1"/>
  <c r="AN553" i="37" a="1"/>
  <c r="AN553" i="37" s="1"/>
  <c r="AO553" i="37" a="1"/>
  <c r="AO553" i="37" s="1"/>
  <c r="AP553" i="37" a="1"/>
  <c r="AP553" i="37" s="1"/>
  <c r="AQ553" i="37" a="1"/>
  <c r="AQ553" i="37" s="1"/>
  <c r="AR553" i="37" a="1"/>
  <c r="AR553" i="37" s="1"/>
  <c r="AS553" i="37" a="1"/>
  <c r="AS553" i="37" s="1"/>
  <c r="AT553" i="37" a="1"/>
  <c r="AT553" i="37" s="1"/>
  <c r="AU553" i="37" a="1"/>
  <c r="AU553" i="37" s="1"/>
  <c r="AV553" i="37" a="1"/>
  <c r="AV553" i="37" s="1"/>
  <c r="AW553" i="37" a="1"/>
  <c r="AW553" i="37" s="1"/>
  <c r="AX553" i="37" a="1"/>
  <c r="AX553" i="37" s="1"/>
  <c r="A561" i="37"/>
  <c r="H561" i="37"/>
  <c r="M561" i="37" a="1"/>
  <c r="M561" i="37" s="1"/>
  <c r="N561" i="37" a="1"/>
  <c r="N561" i="37" s="1"/>
  <c r="O561" i="37" a="1"/>
  <c r="O561" i="37" s="1"/>
  <c r="P561" i="37" a="1"/>
  <c r="P561" i="37" s="1"/>
  <c r="Q561" i="37" a="1"/>
  <c r="Q561" i="37" s="1"/>
  <c r="R561" i="37" a="1"/>
  <c r="R561" i="37" s="1"/>
  <c r="S561" i="37" a="1"/>
  <c r="S561" i="37" s="1"/>
  <c r="T561" i="37" a="1"/>
  <c r="T561" i="37" s="1"/>
  <c r="U561" i="37" a="1"/>
  <c r="U561" i="37" s="1"/>
  <c r="V561" i="37" a="1"/>
  <c r="V561" i="37" s="1"/>
  <c r="W561" i="37" a="1"/>
  <c r="W561" i="37" s="1"/>
  <c r="X561" i="37" a="1"/>
  <c r="X561" i="37" s="1"/>
  <c r="Y561" i="37" a="1"/>
  <c r="Y561" i="37" s="1"/>
  <c r="Z561" i="37" a="1"/>
  <c r="Z561" i="37" s="1"/>
  <c r="AA561" i="37" a="1"/>
  <c r="AA561" i="37" s="1"/>
  <c r="AB561" i="37" a="1"/>
  <c r="AB561" i="37" s="1"/>
  <c r="AC561" i="37" a="1"/>
  <c r="AC561" i="37" s="1"/>
  <c r="AD561" i="37" a="1"/>
  <c r="AD561" i="37" s="1"/>
  <c r="AE561" i="37" a="1"/>
  <c r="AE561" i="37" s="1"/>
  <c r="AF561" i="37" a="1"/>
  <c r="AF561" i="37" s="1"/>
  <c r="AG561" i="37" a="1"/>
  <c r="AG561" i="37" s="1"/>
  <c r="AH561" i="37" a="1"/>
  <c r="AH561" i="37" s="1"/>
  <c r="AI561" i="37" a="1"/>
  <c r="AI561" i="37" s="1"/>
  <c r="AJ561" i="37" a="1"/>
  <c r="AJ561" i="37" s="1"/>
  <c r="AK561" i="37" a="1"/>
  <c r="AK561" i="37" s="1"/>
  <c r="AL561" i="37" a="1"/>
  <c r="AL561" i="37" s="1"/>
  <c r="AM561" i="37" a="1"/>
  <c r="AM561" i="37" s="1"/>
  <c r="AN561" i="37" a="1"/>
  <c r="AN561" i="37" s="1"/>
  <c r="AO561" i="37" a="1"/>
  <c r="AO561" i="37" s="1"/>
  <c r="AP561" i="37" a="1"/>
  <c r="AP561" i="37" s="1"/>
  <c r="AQ561" i="37" a="1"/>
  <c r="AQ561" i="37" s="1"/>
  <c r="AR561" i="37" a="1"/>
  <c r="AR561" i="37" s="1"/>
  <c r="AS561" i="37" a="1"/>
  <c r="AS561" i="37" s="1"/>
  <c r="AT561" i="37" a="1"/>
  <c r="AT561" i="37" s="1"/>
  <c r="AU561" i="37" a="1"/>
  <c r="AU561" i="37" s="1"/>
  <c r="AV561" i="37" a="1"/>
  <c r="AV561" i="37" s="1"/>
  <c r="AW561" i="37" a="1"/>
  <c r="AW561" i="37" s="1"/>
  <c r="AX561" i="37" a="1"/>
  <c r="AX561" i="37" s="1"/>
  <c r="H526" i="37"/>
  <c r="M526" i="37" a="1"/>
  <c r="M526" i="37" s="1"/>
  <c r="N526" i="37" a="1"/>
  <c r="N526" i="37" s="1"/>
  <c r="O526" i="37" a="1"/>
  <c r="O526" i="37" s="1"/>
  <c r="P526" i="37" a="1"/>
  <c r="P526" i="37" s="1"/>
  <c r="Q526" i="37" a="1"/>
  <c r="Q526" i="37" s="1"/>
  <c r="R526" i="37" a="1"/>
  <c r="R526" i="37" s="1"/>
  <c r="S526" i="37" a="1"/>
  <c r="S526" i="37" s="1"/>
  <c r="T526" i="37" a="1"/>
  <c r="T526" i="37" s="1"/>
  <c r="U526" i="37" a="1"/>
  <c r="U526" i="37" s="1"/>
  <c r="V526" i="37" a="1"/>
  <c r="V526" i="37" s="1"/>
  <c r="W526" i="37" a="1"/>
  <c r="W526" i="37" s="1"/>
  <c r="X526" i="37" a="1"/>
  <c r="X526" i="37" s="1"/>
  <c r="Y526" i="37" a="1"/>
  <c r="Y526" i="37" s="1"/>
  <c r="Z526" i="37" a="1"/>
  <c r="Z526" i="37" s="1"/>
  <c r="AA526" i="37" a="1"/>
  <c r="AA526" i="37" s="1"/>
  <c r="AB526" i="37" a="1"/>
  <c r="AB526" i="37" s="1"/>
  <c r="AC526" i="37" a="1"/>
  <c r="AC526" i="37" s="1"/>
  <c r="AD526" i="37" a="1"/>
  <c r="AD526" i="37" s="1"/>
  <c r="AE526" i="37" a="1"/>
  <c r="AE526" i="37" s="1"/>
  <c r="AF526" i="37" a="1"/>
  <c r="AF526" i="37" s="1"/>
  <c r="AG526" i="37" a="1"/>
  <c r="AG526" i="37" s="1"/>
  <c r="AH526" i="37" a="1"/>
  <c r="AH526" i="37" s="1"/>
  <c r="AI526" i="37" a="1"/>
  <c r="AI526" i="37" s="1"/>
  <c r="AJ526" i="37" a="1"/>
  <c r="AJ526" i="37" s="1"/>
  <c r="AK526" i="37" a="1"/>
  <c r="AK526" i="37" s="1"/>
  <c r="AL526" i="37" a="1"/>
  <c r="AL526" i="37" s="1"/>
  <c r="AM526" i="37" a="1"/>
  <c r="AM526" i="37" s="1"/>
  <c r="AN526" i="37" a="1"/>
  <c r="AN526" i="37" s="1"/>
  <c r="AO526" i="37" a="1"/>
  <c r="AO526" i="37" s="1"/>
  <c r="AP526" i="37" a="1"/>
  <c r="AP526" i="37" s="1"/>
  <c r="AQ526" i="37" a="1"/>
  <c r="AQ526" i="37" s="1"/>
  <c r="AR526" i="37" a="1"/>
  <c r="AR526" i="37" s="1"/>
  <c r="AS526" i="37" a="1"/>
  <c r="AS526" i="37" s="1"/>
  <c r="AT526" i="37" a="1"/>
  <c r="AT526" i="37" s="1"/>
  <c r="AU526" i="37" a="1"/>
  <c r="AU526" i="37" s="1"/>
  <c r="AV526" i="37" a="1"/>
  <c r="AV526" i="37" s="1"/>
  <c r="AW526" i="37" a="1"/>
  <c r="AW526" i="37" s="1"/>
  <c r="AX526" i="37" a="1"/>
  <c r="AX526" i="37" s="1"/>
  <c r="A35" i="37"/>
  <c r="A34" i="37"/>
  <c r="H507" i="37"/>
  <c r="N507" i="37" a="1"/>
  <c r="N507" i="37" s="1"/>
  <c r="O507" i="37" a="1"/>
  <c r="O507" i="37" s="1"/>
  <c r="P507" i="37" a="1"/>
  <c r="P507" i="37" s="1"/>
  <c r="Q507" i="37" a="1"/>
  <c r="Q507" i="37" s="1"/>
  <c r="R507" i="37" a="1"/>
  <c r="R507" i="37" s="1"/>
  <c r="S507" i="37" a="1"/>
  <c r="S507" i="37" s="1"/>
  <c r="T507" i="37" a="1"/>
  <c r="T507" i="37" s="1"/>
  <c r="U507" i="37" a="1"/>
  <c r="U507" i="37" s="1"/>
  <c r="V507" i="37" a="1"/>
  <c r="V507" i="37" s="1"/>
  <c r="W507" i="37" a="1"/>
  <c r="W507" i="37" s="1"/>
  <c r="X507" i="37" a="1"/>
  <c r="X507" i="37" s="1"/>
  <c r="Y507" i="37" a="1"/>
  <c r="Y507" i="37" s="1"/>
  <c r="Z507" i="37" a="1"/>
  <c r="Z507" i="37" s="1"/>
  <c r="AA507" i="37" a="1"/>
  <c r="AA507" i="37" s="1"/>
  <c r="AB507" i="37" a="1"/>
  <c r="AB507" i="37" s="1"/>
  <c r="AC507" i="37" a="1"/>
  <c r="AC507" i="37" s="1"/>
  <c r="AD507" i="37" a="1"/>
  <c r="AD507" i="37" s="1"/>
  <c r="AE507" i="37" a="1"/>
  <c r="AE507" i="37" s="1"/>
  <c r="AF507" i="37" a="1"/>
  <c r="AF507" i="37" s="1"/>
  <c r="AG507" i="37" a="1"/>
  <c r="AG507" i="37" s="1"/>
  <c r="AH507" i="37" a="1"/>
  <c r="AH507" i="37" s="1"/>
  <c r="AI507" i="37" a="1"/>
  <c r="AI507" i="37" s="1"/>
  <c r="AJ507" i="37" a="1"/>
  <c r="AJ507" i="37" s="1"/>
  <c r="AK507" i="37" a="1"/>
  <c r="AK507" i="37" s="1"/>
  <c r="AL507" i="37" a="1"/>
  <c r="AL507" i="37" s="1"/>
  <c r="AM507" i="37" a="1"/>
  <c r="AM507" i="37" s="1"/>
  <c r="AN507" i="37" a="1"/>
  <c r="AN507" i="37" s="1"/>
  <c r="AO507" i="37" a="1"/>
  <c r="AO507" i="37" s="1"/>
  <c r="AP507" i="37" a="1"/>
  <c r="AP507" i="37" s="1"/>
  <c r="AQ507" i="37" a="1"/>
  <c r="AQ507" i="37" s="1"/>
  <c r="AR507" i="37" a="1"/>
  <c r="AR507" i="37" s="1"/>
  <c r="AS507" i="37" a="1"/>
  <c r="AS507" i="37" s="1"/>
  <c r="AT507" i="37" a="1"/>
  <c r="AT507" i="37" s="1"/>
  <c r="AU507" i="37" a="1"/>
  <c r="AU507" i="37" s="1"/>
  <c r="AV507" i="37" a="1"/>
  <c r="AV507" i="37" s="1"/>
  <c r="AW507" i="37" a="1"/>
  <c r="AW507" i="37" s="1"/>
  <c r="AX507" i="37" a="1"/>
  <c r="AX507" i="37" s="1"/>
  <c r="A395" i="37"/>
  <c r="H395" i="37"/>
  <c r="N395" i="37" a="1"/>
  <c r="N395" i="37" s="1"/>
  <c r="O395" i="37" a="1"/>
  <c r="O395" i="37" s="1"/>
  <c r="P395" i="37" a="1"/>
  <c r="P395" i="37" s="1"/>
  <c r="Q395" i="37" a="1"/>
  <c r="Q395" i="37" s="1"/>
  <c r="R395" i="37" a="1"/>
  <c r="R395" i="37" s="1"/>
  <c r="S395" i="37" a="1"/>
  <c r="S395" i="37" s="1"/>
  <c r="T395" i="37" a="1"/>
  <c r="T395" i="37" s="1"/>
  <c r="U395" i="37" a="1"/>
  <c r="U395" i="37" s="1"/>
  <c r="V395" i="37" a="1"/>
  <c r="V395" i="37" s="1"/>
  <c r="W395" i="37" a="1"/>
  <c r="W395" i="37" s="1"/>
  <c r="X395" i="37" a="1"/>
  <c r="X395" i="37" s="1"/>
  <c r="Y395" i="37" a="1"/>
  <c r="Y395" i="37" s="1"/>
  <c r="Z395" i="37" a="1"/>
  <c r="Z395" i="37" s="1"/>
  <c r="AA395" i="37" a="1"/>
  <c r="AA395" i="37" s="1"/>
  <c r="AB395" i="37" a="1"/>
  <c r="AB395" i="37" s="1"/>
  <c r="AC395" i="37" a="1"/>
  <c r="AC395" i="37" s="1"/>
  <c r="AD395" i="37" a="1"/>
  <c r="AD395" i="37" s="1"/>
  <c r="AE395" i="37" a="1"/>
  <c r="AE395" i="37" s="1"/>
  <c r="AF395" i="37" a="1"/>
  <c r="AF395" i="37" s="1"/>
  <c r="AG395" i="37" a="1"/>
  <c r="AG395" i="37" s="1"/>
  <c r="AH395" i="37" a="1"/>
  <c r="AH395" i="37" s="1"/>
  <c r="AI395" i="37" a="1"/>
  <c r="AI395" i="37" s="1"/>
  <c r="AJ395" i="37" a="1"/>
  <c r="AJ395" i="37" s="1"/>
  <c r="AK395" i="37" a="1"/>
  <c r="AK395" i="37" s="1"/>
  <c r="AL395" i="37" a="1"/>
  <c r="AL395" i="37" s="1"/>
  <c r="AM395" i="37" a="1"/>
  <c r="AM395" i="37" s="1"/>
  <c r="AN395" i="37" a="1"/>
  <c r="AN395" i="37" s="1"/>
  <c r="AO395" i="37" a="1"/>
  <c r="AO395" i="37" s="1"/>
  <c r="AP395" i="37" a="1"/>
  <c r="AP395" i="37" s="1"/>
  <c r="AQ395" i="37" a="1"/>
  <c r="AQ395" i="37" s="1"/>
  <c r="AR395" i="37" a="1"/>
  <c r="AR395" i="37" s="1"/>
  <c r="AS395" i="37" a="1"/>
  <c r="AS395" i="37" s="1"/>
  <c r="AT395" i="37" a="1"/>
  <c r="AT395" i="37" s="1"/>
  <c r="AU395" i="37" a="1"/>
  <c r="AU395" i="37" s="1"/>
  <c r="AV395" i="37" a="1"/>
  <c r="AV395" i="37" s="1"/>
  <c r="AW395" i="37" a="1"/>
  <c r="AW395" i="37" s="1"/>
  <c r="AX395" i="37" a="1"/>
  <c r="AX395" i="37" s="1"/>
  <c r="A197" i="37"/>
  <c r="H197" i="37"/>
  <c r="N197" i="37" a="1"/>
  <c r="N197" i="37" s="1"/>
  <c r="O197" i="37" a="1"/>
  <c r="O197" i="37" s="1"/>
  <c r="P197" i="37" a="1"/>
  <c r="P197" i="37" s="1"/>
  <c r="Q197" i="37" a="1"/>
  <c r="Q197" i="37" s="1"/>
  <c r="R197" i="37" a="1"/>
  <c r="R197" i="37" s="1"/>
  <c r="S197" i="37" a="1"/>
  <c r="S197" i="37" s="1"/>
  <c r="T197" i="37" a="1"/>
  <c r="T197" i="37" s="1"/>
  <c r="U197" i="37" a="1"/>
  <c r="U197" i="37" s="1"/>
  <c r="V197" i="37" a="1"/>
  <c r="V197" i="37" s="1"/>
  <c r="W197" i="37" a="1"/>
  <c r="W197" i="37" s="1"/>
  <c r="X197" i="37" a="1"/>
  <c r="X197" i="37" s="1"/>
  <c r="Y197" i="37" a="1"/>
  <c r="Y197" i="37" s="1"/>
  <c r="Z197" i="37" a="1"/>
  <c r="Z197" i="37" s="1"/>
  <c r="AA197" i="37" a="1"/>
  <c r="AA197" i="37" s="1"/>
  <c r="AB197" i="37" a="1"/>
  <c r="AB197" i="37" s="1"/>
  <c r="AC197" i="37" a="1"/>
  <c r="AC197" i="37" s="1"/>
  <c r="AD197" i="37" a="1"/>
  <c r="AD197" i="37" s="1"/>
  <c r="AE197" i="37" a="1"/>
  <c r="AE197" i="37" s="1"/>
  <c r="AF197" i="37" a="1"/>
  <c r="AF197" i="37" s="1"/>
  <c r="AG197" i="37" a="1"/>
  <c r="AG197" i="37" s="1"/>
  <c r="AH197" i="37" a="1"/>
  <c r="AH197" i="37" s="1"/>
  <c r="AI197" i="37" a="1"/>
  <c r="AI197" i="37" s="1"/>
  <c r="AJ197" i="37" a="1"/>
  <c r="AJ197" i="37" s="1"/>
  <c r="AK197" i="37" a="1"/>
  <c r="AK197" i="37" s="1"/>
  <c r="AL197" i="37" a="1"/>
  <c r="AL197" i="37" s="1"/>
  <c r="AM197" i="37" a="1"/>
  <c r="AM197" i="37" s="1"/>
  <c r="AN197" i="37" a="1"/>
  <c r="AN197" i="37" s="1"/>
  <c r="AO197" i="37" a="1"/>
  <c r="AO197" i="37" s="1"/>
  <c r="AP197" i="37" a="1"/>
  <c r="AP197" i="37" s="1"/>
  <c r="AQ197" i="37" a="1"/>
  <c r="AQ197" i="37" s="1"/>
  <c r="AR197" i="37" a="1"/>
  <c r="AR197" i="37" s="1"/>
  <c r="AS197" i="37" a="1"/>
  <c r="AS197" i="37" s="1"/>
  <c r="AT197" i="37" a="1"/>
  <c r="AT197" i="37" s="1"/>
  <c r="AU197" i="37" a="1"/>
  <c r="AU197" i="37" s="1"/>
  <c r="AV197" i="37" a="1"/>
  <c r="AV197" i="37" s="1"/>
  <c r="AW197" i="37" a="1"/>
  <c r="AW197" i="37" s="1"/>
  <c r="AX197" i="37" a="1"/>
  <c r="AX197" i="37" s="1"/>
  <c r="G2" i="30"/>
  <c r="G3" i="30"/>
  <c r="G4" i="30"/>
  <c r="G5" i="30"/>
  <c r="G6" i="30"/>
  <c r="G7" i="30"/>
  <c r="G8" i="30"/>
  <c r="G9" i="30"/>
  <c r="G10" i="30"/>
  <c r="G11" i="30"/>
  <c r="G12" i="30"/>
  <c r="G13" i="30"/>
  <c r="G14" i="30"/>
  <c r="G15" i="30"/>
  <c r="G16" i="30"/>
  <c r="F2" i="30"/>
  <c r="F3" i="30"/>
  <c r="F4" i="30"/>
  <c r="F5" i="30"/>
  <c r="F6" i="30"/>
  <c r="F7" i="30"/>
  <c r="F8" i="30"/>
  <c r="F9" i="30"/>
  <c r="F10" i="30"/>
  <c r="F11" i="30"/>
  <c r="F12" i="30"/>
  <c r="F13" i="30"/>
  <c r="F14" i="30"/>
  <c r="F15" i="30"/>
  <c r="F16" i="30"/>
  <c r="E2" i="30"/>
  <c r="E3" i="30"/>
  <c r="E4" i="30"/>
  <c r="E5" i="30"/>
  <c r="E6" i="30"/>
  <c r="E7" i="30"/>
  <c r="E8" i="30"/>
  <c r="E9" i="30"/>
  <c r="E10" i="30"/>
  <c r="E11" i="30"/>
  <c r="E12" i="30"/>
  <c r="E13" i="30"/>
  <c r="E14" i="30"/>
  <c r="E15" i="30"/>
  <c r="E16" i="30"/>
  <c r="D2" i="30"/>
  <c r="D3" i="30"/>
  <c r="D4" i="30"/>
  <c r="D5" i="30"/>
  <c r="D6" i="30"/>
  <c r="D7" i="30"/>
  <c r="D8" i="30"/>
  <c r="D9" i="30"/>
  <c r="D10" i="30"/>
  <c r="D11" i="30"/>
  <c r="D12" i="30"/>
  <c r="D13" i="30"/>
  <c r="D14" i="30"/>
  <c r="D15" i="30"/>
  <c r="D16" i="30"/>
  <c r="C2" i="30"/>
  <c r="C3" i="30"/>
  <c r="C4" i="30"/>
  <c r="C5" i="30"/>
  <c r="C6" i="30"/>
  <c r="C7" i="30"/>
  <c r="C8" i="30"/>
  <c r="C9" i="30"/>
  <c r="C10" i="30"/>
  <c r="C11" i="30"/>
  <c r="C12" i="30"/>
  <c r="C13" i="30"/>
  <c r="C14" i="30"/>
  <c r="C15" i="30"/>
  <c r="C16" i="30"/>
  <c r="H547" i="37"/>
  <c r="H637" i="37"/>
  <c r="H545" i="37"/>
  <c r="H596" i="37"/>
  <c r="H626" i="37"/>
  <c r="H567" i="37"/>
  <c r="H579" i="37"/>
  <c r="H632" i="37"/>
  <c r="H539" i="37"/>
  <c r="H639" i="37"/>
  <c r="H533" i="37"/>
  <c r="H611" i="37"/>
  <c r="H535" i="37"/>
  <c r="H550" i="37"/>
  <c r="H556" i="37"/>
  <c r="H560" i="37"/>
  <c r="H568" i="37"/>
  <c r="H577" i="37"/>
  <c r="H585" i="37"/>
  <c r="H593" i="37"/>
  <c r="H595" i="37"/>
  <c r="H613" i="37"/>
  <c r="H576" i="37"/>
  <c r="H607" i="37"/>
  <c r="H610" i="37"/>
  <c r="H538" i="37"/>
  <c r="H541" i="37"/>
  <c r="H543" i="37"/>
  <c r="H551" i="37"/>
  <c r="H557" i="37"/>
  <c r="H563" i="37"/>
  <c r="H574" i="37"/>
  <c r="H578" i="37"/>
  <c r="H580" i="37"/>
  <c r="H582" i="37"/>
  <c r="H590" i="37"/>
  <c r="H591" i="37"/>
  <c r="H594" i="37"/>
  <c r="H598" i="37"/>
  <c r="H604" i="37"/>
  <c r="H605" i="37"/>
  <c r="H620" i="37"/>
  <c r="H621" i="37"/>
  <c r="H628" i="37"/>
  <c r="H630" i="37"/>
  <c r="H540" i="37"/>
  <c r="H546" i="37"/>
  <c r="H549" i="37"/>
  <c r="H552" i="37"/>
  <c r="H562" i="37"/>
  <c r="H565" i="37"/>
  <c r="H573" i="37"/>
  <c r="H587" i="37"/>
  <c r="H597" i="37"/>
  <c r="H599" i="37"/>
  <c r="H601" i="37"/>
  <c r="H603" i="37"/>
  <c r="H606" i="37"/>
  <c r="H608" i="37"/>
  <c r="H623" i="37"/>
  <c r="H625" i="37"/>
  <c r="H640" i="37"/>
  <c r="H537" i="37"/>
  <c r="H544" i="37"/>
  <c r="H558" i="37"/>
  <c r="H559" i="37"/>
  <c r="H571" i="37"/>
  <c r="H572" i="37"/>
  <c r="H575" i="37"/>
  <c r="H581" i="37"/>
  <c r="H589" i="37"/>
  <c r="H609" i="37"/>
  <c r="H618" i="37"/>
  <c r="H622" i="37"/>
  <c r="H634" i="37"/>
  <c r="H555" i="37"/>
  <c r="H566" i="37"/>
  <c r="H586" i="37"/>
  <c r="H588" i="37"/>
  <c r="H592" i="37"/>
  <c r="H614" i="37"/>
  <c r="H616" i="37"/>
  <c r="H617" i="37"/>
  <c r="H624" i="37"/>
  <c r="H627" i="37"/>
  <c r="H631" i="37"/>
  <c r="H564" i="37"/>
  <c r="H570" i="37"/>
  <c r="H600" i="37"/>
  <c r="H602" i="37"/>
  <c r="H612" i="37"/>
  <c r="H548" i="37"/>
  <c r="H619" i="37"/>
  <c r="H536" i="37"/>
  <c r="H583" i="37"/>
  <c r="H636" i="37"/>
  <c r="H638" i="37"/>
  <c r="H542" i="37"/>
  <c r="H554" i="37"/>
  <c r="H569" i="37"/>
  <c r="H584" i="37"/>
  <c r="H633" i="37"/>
  <c r="H615" i="37"/>
  <c r="H629" i="37"/>
  <c r="H534" i="37"/>
  <c r="H635" i="37"/>
  <c r="H2" i="37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83" i="37"/>
  <c r="H84" i="37"/>
  <c r="H85" i="37"/>
  <c r="H86" i="37"/>
  <c r="H87" i="37"/>
  <c r="H88" i="37"/>
  <c r="H89" i="37"/>
  <c r="H90" i="37"/>
  <c r="H91" i="37"/>
  <c r="H92" i="37"/>
  <c r="H93" i="37"/>
  <c r="H94" i="37"/>
  <c r="H95" i="37"/>
  <c r="H96" i="37"/>
  <c r="H97" i="37"/>
  <c r="H98" i="37"/>
  <c r="H99" i="37"/>
  <c r="H100" i="37"/>
  <c r="H101" i="37"/>
  <c r="H102" i="37"/>
  <c r="H103" i="37"/>
  <c r="H104" i="37"/>
  <c r="H105" i="37"/>
  <c r="H106" i="37"/>
  <c r="H107" i="37"/>
  <c r="H108" i="37"/>
  <c r="H109" i="37"/>
  <c r="H110" i="37"/>
  <c r="H111" i="37"/>
  <c r="H112" i="37"/>
  <c r="H113" i="37"/>
  <c r="H114" i="37"/>
  <c r="H115" i="37"/>
  <c r="H116" i="37"/>
  <c r="H117" i="37"/>
  <c r="H118" i="37"/>
  <c r="H119" i="37"/>
  <c r="H120" i="37"/>
  <c r="H121" i="37"/>
  <c r="H122" i="37"/>
  <c r="H123" i="37"/>
  <c r="H124" i="37"/>
  <c r="H125" i="37"/>
  <c r="H126" i="37"/>
  <c r="H127" i="37"/>
  <c r="H128" i="37"/>
  <c r="H129" i="37"/>
  <c r="H130" i="37"/>
  <c r="H131" i="37"/>
  <c r="H132" i="37"/>
  <c r="H133" i="37"/>
  <c r="H134" i="37"/>
  <c r="H135" i="37"/>
  <c r="H136" i="37"/>
  <c r="H137" i="37"/>
  <c r="H138" i="37"/>
  <c r="H139" i="37"/>
  <c r="H140" i="37"/>
  <c r="H141" i="37"/>
  <c r="H142" i="37"/>
  <c r="H143" i="37"/>
  <c r="H144" i="37"/>
  <c r="H145" i="37"/>
  <c r="H146" i="37"/>
  <c r="H147" i="37"/>
  <c r="H148" i="37"/>
  <c r="H149" i="37"/>
  <c r="H150" i="37"/>
  <c r="H151" i="37"/>
  <c r="H152" i="37"/>
  <c r="H153" i="37"/>
  <c r="H154" i="37"/>
  <c r="H155" i="37"/>
  <c r="H156" i="37"/>
  <c r="H157" i="37"/>
  <c r="H158" i="37"/>
  <c r="H159" i="37"/>
  <c r="H160" i="37"/>
  <c r="H161" i="37"/>
  <c r="H162" i="37"/>
  <c r="H163" i="37"/>
  <c r="H164" i="37"/>
  <c r="H165" i="37"/>
  <c r="H166" i="37"/>
  <c r="H167" i="37"/>
  <c r="H168" i="37"/>
  <c r="H169" i="37"/>
  <c r="H170" i="37"/>
  <c r="H171" i="37"/>
  <c r="H172" i="37"/>
  <c r="H173" i="37"/>
  <c r="H174" i="37"/>
  <c r="H175" i="37"/>
  <c r="H176" i="37"/>
  <c r="H177" i="37"/>
  <c r="H178" i="37"/>
  <c r="H179" i="37"/>
  <c r="H180" i="37"/>
  <c r="H181" i="37"/>
  <c r="H182" i="37"/>
  <c r="H183" i="37"/>
  <c r="H184" i="37"/>
  <c r="H185" i="37"/>
  <c r="H186" i="37"/>
  <c r="H187" i="37"/>
  <c r="H188" i="37"/>
  <c r="H189" i="37"/>
  <c r="H190" i="37"/>
  <c r="H191" i="37"/>
  <c r="H192" i="37"/>
  <c r="H193" i="37"/>
  <c r="H194" i="37"/>
  <c r="H195" i="37"/>
  <c r="H196" i="37"/>
  <c r="H198" i="37"/>
  <c r="H199" i="37"/>
  <c r="H200" i="37"/>
  <c r="H201" i="37"/>
  <c r="H202" i="37"/>
  <c r="H203" i="37"/>
  <c r="H204" i="37"/>
  <c r="H205" i="37"/>
  <c r="H206" i="37"/>
  <c r="H207" i="37"/>
  <c r="H208" i="37"/>
  <c r="H209" i="37"/>
  <c r="H210" i="37"/>
  <c r="H211" i="37"/>
  <c r="H212" i="37"/>
  <c r="H213" i="37"/>
  <c r="H214" i="37"/>
  <c r="H215" i="37"/>
  <c r="H216" i="37"/>
  <c r="H217" i="37"/>
  <c r="H218" i="37"/>
  <c r="H219" i="37"/>
  <c r="H220" i="37"/>
  <c r="H221" i="37"/>
  <c r="H222" i="37"/>
  <c r="H223" i="37"/>
  <c r="H224" i="37"/>
  <c r="H225" i="37"/>
  <c r="H226" i="37"/>
  <c r="H227" i="37"/>
  <c r="H228" i="37"/>
  <c r="H229" i="37"/>
  <c r="H230" i="37"/>
  <c r="H231" i="37"/>
  <c r="H232" i="37"/>
  <c r="H233" i="37"/>
  <c r="H234" i="37"/>
  <c r="H235" i="37"/>
  <c r="H236" i="37"/>
  <c r="H237" i="37"/>
  <c r="H238" i="37"/>
  <c r="H239" i="37"/>
  <c r="H240" i="37"/>
  <c r="H241" i="37"/>
  <c r="H242" i="37"/>
  <c r="H243" i="37"/>
  <c r="H244" i="37"/>
  <c r="H245" i="37"/>
  <c r="H246" i="37"/>
  <c r="H247" i="37"/>
  <c r="H248" i="37"/>
  <c r="H249" i="37"/>
  <c r="H250" i="37"/>
  <c r="H251" i="37"/>
  <c r="H252" i="37"/>
  <c r="H253" i="37"/>
  <c r="H254" i="37"/>
  <c r="H255" i="37"/>
  <c r="H256" i="37"/>
  <c r="H257" i="37"/>
  <c r="H258" i="37"/>
  <c r="H259" i="37"/>
  <c r="H260" i="37"/>
  <c r="H261" i="37"/>
  <c r="H262" i="37"/>
  <c r="H263" i="37"/>
  <c r="H264" i="37"/>
  <c r="H265" i="37"/>
  <c r="H266" i="37"/>
  <c r="H267" i="37"/>
  <c r="H268" i="37"/>
  <c r="H269" i="37"/>
  <c r="H270" i="37"/>
  <c r="H271" i="37"/>
  <c r="H272" i="37"/>
  <c r="H273" i="37"/>
  <c r="H274" i="37"/>
  <c r="H275" i="37"/>
  <c r="H276" i="37"/>
  <c r="H277" i="37"/>
  <c r="H278" i="37"/>
  <c r="H279" i="37"/>
  <c r="H280" i="37"/>
  <c r="H281" i="37"/>
  <c r="H282" i="37"/>
  <c r="H283" i="37"/>
  <c r="H284" i="37"/>
  <c r="H285" i="37"/>
  <c r="H286" i="37"/>
  <c r="H287" i="37"/>
  <c r="H288" i="37"/>
  <c r="H289" i="37"/>
  <c r="H290" i="37"/>
  <c r="H291" i="37"/>
  <c r="H292" i="37"/>
  <c r="H293" i="37"/>
  <c r="H294" i="37"/>
  <c r="H295" i="37"/>
  <c r="H296" i="37"/>
  <c r="H297" i="37"/>
  <c r="H298" i="37"/>
  <c r="H299" i="37"/>
  <c r="H300" i="37"/>
  <c r="H301" i="37"/>
  <c r="H302" i="37"/>
  <c r="H303" i="37"/>
  <c r="H304" i="37"/>
  <c r="H305" i="37"/>
  <c r="H306" i="37"/>
  <c r="H307" i="37"/>
  <c r="H308" i="37"/>
  <c r="H309" i="37"/>
  <c r="H310" i="37"/>
  <c r="H311" i="37"/>
  <c r="H312" i="37"/>
  <c r="H313" i="37"/>
  <c r="H314" i="37"/>
  <c r="H315" i="37"/>
  <c r="H316" i="37"/>
  <c r="H317" i="37"/>
  <c r="H318" i="37"/>
  <c r="H319" i="37"/>
  <c r="H320" i="37"/>
  <c r="H321" i="37"/>
  <c r="H322" i="37"/>
  <c r="H323" i="37"/>
  <c r="H324" i="37"/>
  <c r="H325" i="37"/>
  <c r="H326" i="37"/>
  <c r="H327" i="37"/>
  <c r="H328" i="37"/>
  <c r="H329" i="37"/>
  <c r="H330" i="37"/>
  <c r="H331" i="37"/>
  <c r="H332" i="37"/>
  <c r="H333" i="37"/>
  <c r="H334" i="37"/>
  <c r="H335" i="37"/>
  <c r="H336" i="37"/>
  <c r="H337" i="37"/>
  <c r="H338" i="37"/>
  <c r="H339" i="37"/>
  <c r="H340" i="37"/>
  <c r="H341" i="37"/>
  <c r="H342" i="37"/>
  <c r="H343" i="37"/>
  <c r="H344" i="37"/>
  <c r="H345" i="37"/>
  <c r="H346" i="37"/>
  <c r="H347" i="37"/>
  <c r="H348" i="37"/>
  <c r="H349" i="37"/>
  <c r="H350" i="37"/>
  <c r="H351" i="37"/>
  <c r="H352" i="37"/>
  <c r="H353" i="37"/>
  <c r="H354" i="37"/>
  <c r="H355" i="37"/>
  <c r="H356" i="37"/>
  <c r="H357" i="37"/>
  <c r="H358" i="37"/>
  <c r="H359" i="37"/>
  <c r="H360" i="37"/>
  <c r="H361" i="37"/>
  <c r="H362" i="37"/>
  <c r="H363" i="37"/>
  <c r="H364" i="37"/>
  <c r="H365" i="37"/>
  <c r="H366" i="37"/>
  <c r="H367" i="37"/>
  <c r="H368" i="37"/>
  <c r="H369" i="37"/>
  <c r="H370" i="37"/>
  <c r="H371" i="37"/>
  <c r="H372" i="37"/>
  <c r="H373" i="37"/>
  <c r="H374" i="37"/>
  <c r="H375" i="37"/>
  <c r="H376" i="37"/>
  <c r="H377" i="37"/>
  <c r="H378" i="37"/>
  <c r="H379" i="37"/>
  <c r="H380" i="37"/>
  <c r="H381" i="37"/>
  <c r="H382" i="37"/>
  <c r="H383" i="37"/>
  <c r="H384" i="37"/>
  <c r="H385" i="37"/>
  <c r="H386" i="37"/>
  <c r="H387" i="37"/>
  <c r="H388" i="37"/>
  <c r="H389" i="37"/>
  <c r="H390" i="37"/>
  <c r="H391" i="37"/>
  <c r="H392" i="37"/>
  <c r="H393" i="37"/>
  <c r="H394" i="37"/>
  <c r="H396" i="37"/>
  <c r="H397" i="37"/>
  <c r="H398" i="37"/>
  <c r="H399" i="37"/>
  <c r="H400" i="37"/>
  <c r="H401" i="37"/>
  <c r="H402" i="37"/>
  <c r="H403" i="37"/>
  <c r="H404" i="37"/>
  <c r="H405" i="37"/>
  <c r="H406" i="37"/>
  <c r="H407" i="37"/>
  <c r="H408" i="37"/>
  <c r="H409" i="37"/>
  <c r="H410" i="37"/>
  <c r="H411" i="37"/>
  <c r="H412" i="37"/>
  <c r="H413" i="37"/>
  <c r="H414" i="37"/>
  <c r="H415" i="37"/>
  <c r="H416" i="37"/>
  <c r="H417" i="37"/>
  <c r="H418" i="37"/>
  <c r="H419" i="37"/>
  <c r="H420" i="37"/>
  <c r="H421" i="37"/>
  <c r="H422" i="37"/>
  <c r="H423" i="37"/>
  <c r="H424" i="37"/>
  <c r="H425" i="37"/>
  <c r="H426" i="37"/>
  <c r="H427" i="37"/>
  <c r="H428" i="37"/>
  <c r="H429" i="37"/>
  <c r="H430" i="37"/>
  <c r="H431" i="37"/>
  <c r="H432" i="37"/>
  <c r="H433" i="37"/>
  <c r="H434" i="37"/>
  <c r="H435" i="37"/>
  <c r="H436" i="37"/>
  <c r="H437" i="37"/>
  <c r="H438" i="37"/>
  <c r="H439" i="37"/>
  <c r="H440" i="37"/>
  <c r="H441" i="37"/>
  <c r="H442" i="37"/>
  <c r="H443" i="37"/>
  <c r="H444" i="37"/>
  <c r="H445" i="37"/>
  <c r="H446" i="37"/>
  <c r="H447" i="37"/>
  <c r="H448" i="37"/>
  <c r="H449" i="37"/>
  <c r="H450" i="37"/>
  <c r="H451" i="37"/>
  <c r="H452" i="37"/>
  <c r="H453" i="37"/>
  <c r="H454" i="37"/>
  <c r="H455" i="37"/>
  <c r="H456" i="37"/>
  <c r="H457" i="37"/>
  <c r="H458" i="37"/>
  <c r="H459" i="37"/>
  <c r="H460" i="37"/>
  <c r="H461" i="37"/>
  <c r="H462" i="37"/>
  <c r="H463" i="37"/>
  <c r="H464" i="37"/>
  <c r="H465" i="37"/>
  <c r="H466" i="37"/>
  <c r="H467" i="37"/>
  <c r="H468" i="37"/>
  <c r="H469" i="37"/>
  <c r="H470" i="37"/>
  <c r="H471" i="37"/>
  <c r="H472" i="37"/>
  <c r="H473" i="37"/>
  <c r="H474" i="37"/>
  <c r="H475" i="37"/>
  <c r="H476" i="37"/>
  <c r="H477" i="37"/>
  <c r="H478" i="37"/>
  <c r="H479" i="37"/>
  <c r="H480" i="37"/>
  <c r="H481" i="37"/>
  <c r="H482" i="37"/>
  <c r="H483" i="37"/>
  <c r="H484" i="37"/>
  <c r="H485" i="37"/>
  <c r="H486" i="37"/>
  <c r="H487" i="37"/>
  <c r="H488" i="37"/>
  <c r="H489" i="37"/>
  <c r="H490" i="37"/>
  <c r="H491" i="37"/>
  <c r="H492" i="37"/>
  <c r="H493" i="37"/>
  <c r="H494" i="37"/>
  <c r="H495" i="37"/>
  <c r="H496" i="37"/>
  <c r="H497" i="37"/>
  <c r="H498" i="37"/>
  <c r="H499" i="37"/>
  <c r="H500" i="37"/>
  <c r="H501" i="37"/>
  <c r="H502" i="37"/>
  <c r="H503" i="37"/>
  <c r="H504" i="37"/>
  <c r="H505" i="37"/>
  <c r="H506" i="37"/>
  <c r="H508" i="37"/>
  <c r="H509" i="37"/>
  <c r="H510" i="37"/>
  <c r="H511" i="37"/>
  <c r="H512" i="37"/>
  <c r="H513" i="37"/>
  <c r="H514" i="37"/>
  <c r="H515" i="37"/>
  <c r="H516" i="37"/>
  <c r="H517" i="37"/>
  <c r="H518" i="37"/>
  <c r="H519" i="37"/>
  <c r="H520" i="37"/>
  <c r="H521" i="37"/>
  <c r="H522" i="37"/>
  <c r="H523" i="37"/>
  <c r="H524" i="37"/>
  <c r="H525" i="37"/>
  <c r="H527" i="37"/>
  <c r="H528" i="37"/>
  <c r="H529" i="37"/>
  <c r="H530" i="37"/>
  <c r="H531" i="37"/>
  <c r="H532" i="37"/>
  <c r="A559" i="37"/>
  <c r="M559" i="37" a="1"/>
  <c r="M559" i="37" s="1"/>
  <c r="N559" i="37" a="1"/>
  <c r="N559" i="37" s="1"/>
  <c r="O559" i="37" a="1"/>
  <c r="O559" i="37" s="1"/>
  <c r="P559" i="37" a="1"/>
  <c r="P559" i="37" s="1"/>
  <c r="Q559" i="37" a="1"/>
  <c r="Q559" i="37" s="1"/>
  <c r="R559" i="37" a="1"/>
  <c r="R559" i="37" s="1"/>
  <c r="S559" i="37" a="1"/>
  <c r="S559" i="37" s="1"/>
  <c r="T559" i="37" a="1"/>
  <c r="T559" i="37" s="1"/>
  <c r="U559" i="37" a="1"/>
  <c r="U559" i="37" s="1"/>
  <c r="V559" i="37" a="1"/>
  <c r="V559" i="37" s="1"/>
  <c r="W559" i="37" a="1"/>
  <c r="W559" i="37" s="1"/>
  <c r="X559" i="37" a="1"/>
  <c r="X559" i="37" s="1"/>
  <c r="Y559" i="37" a="1"/>
  <c r="Y559" i="37" s="1"/>
  <c r="Z559" i="37" a="1"/>
  <c r="Z559" i="37" s="1"/>
  <c r="AA559" i="37" a="1"/>
  <c r="AA559" i="37" s="1"/>
  <c r="AB559" i="37" a="1"/>
  <c r="AB559" i="37" s="1"/>
  <c r="AC559" i="37" a="1"/>
  <c r="AC559" i="37" s="1"/>
  <c r="AD559" i="37" a="1"/>
  <c r="AD559" i="37" s="1"/>
  <c r="AE559" i="37" a="1"/>
  <c r="AE559" i="37" s="1"/>
  <c r="AF559" i="37" a="1"/>
  <c r="AF559" i="37" s="1"/>
  <c r="AG559" i="37" a="1"/>
  <c r="AG559" i="37" s="1"/>
  <c r="AH559" i="37" a="1"/>
  <c r="AH559" i="37" s="1"/>
  <c r="AI559" i="37" a="1"/>
  <c r="AI559" i="37" s="1"/>
  <c r="AJ559" i="37" a="1"/>
  <c r="AJ559" i="37" s="1"/>
  <c r="AK559" i="37" a="1"/>
  <c r="AK559" i="37" s="1"/>
  <c r="AL559" i="37" a="1"/>
  <c r="AL559" i="37" s="1"/>
  <c r="AM559" i="37" a="1"/>
  <c r="AM559" i="37" s="1"/>
  <c r="AN559" i="37" a="1"/>
  <c r="AN559" i="37" s="1"/>
  <c r="AO559" i="37" a="1"/>
  <c r="AO559" i="37" s="1"/>
  <c r="AP559" i="37" a="1"/>
  <c r="AP559" i="37" s="1"/>
  <c r="AQ559" i="37" a="1"/>
  <c r="AQ559" i="37" s="1"/>
  <c r="AR559" i="37" a="1"/>
  <c r="AR559" i="37" s="1"/>
  <c r="AS559" i="37" a="1"/>
  <c r="AS559" i="37" s="1"/>
  <c r="AT559" i="37" a="1"/>
  <c r="AT559" i="37" s="1"/>
  <c r="AU559" i="37" a="1"/>
  <c r="AU559" i="37" s="1"/>
  <c r="AV559" i="37" a="1"/>
  <c r="AV559" i="37" s="1"/>
  <c r="AW559" i="37" a="1"/>
  <c r="AW559" i="37" s="1"/>
  <c r="AX559" i="37" a="1"/>
  <c r="AX559" i="37" s="1"/>
  <c r="AX2" i="37" a="1"/>
  <c r="AX2" i="37" s="1"/>
  <c r="AX3" i="37" a="1"/>
  <c r="AX3" i="37" s="1"/>
  <c r="AX10" i="37" a="1"/>
  <c r="AX10" i="37" s="1"/>
  <c r="AX534" i="37" a="1"/>
  <c r="AX534" i="37" s="1"/>
  <c r="AX533" i="37" a="1"/>
  <c r="AX533" i="37" s="1"/>
  <c r="AX6" i="37" a="1"/>
  <c r="AX6" i="37" s="1"/>
  <c r="AX5" i="37" a="1"/>
  <c r="AX5" i="37" s="1"/>
  <c r="AX11" i="37" a="1"/>
  <c r="AX11" i="37" s="1"/>
  <c r="AX4" i="37" a="1"/>
  <c r="AX4" i="37" s="1"/>
  <c r="AX23" i="37" a="1"/>
  <c r="AX23" i="37" s="1"/>
  <c r="AX7" i="37" a="1"/>
  <c r="AX7" i="37" s="1"/>
  <c r="AX13" i="37" a="1"/>
  <c r="AX13" i="37" s="1"/>
  <c r="AX24" i="37" a="1"/>
  <c r="AX24" i="37" s="1"/>
  <c r="AX36" i="37" a="1"/>
  <c r="AX36" i="37" s="1"/>
  <c r="AX25" i="37" a="1"/>
  <c r="AX25" i="37" s="1"/>
  <c r="AX37" i="37" a="1"/>
  <c r="AX37" i="37" s="1"/>
  <c r="AX20" i="37" a="1"/>
  <c r="AX20" i="37" s="1"/>
  <c r="AX14" i="37" a="1"/>
  <c r="AX14" i="37" s="1"/>
  <c r="AX15" i="37" a="1"/>
  <c r="AX15" i="37" s="1"/>
  <c r="AX19" i="37" a="1"/>
  <c r="AX19" i="37" s="1"/>
  <c r="AX22" i="37" a="1"/>
  <c r="AX22" i="37" s="1"/>
  <c r="AX26" i="37" a="1"/>
  <c r="AX26" i="37" s="1"/>
  <c r="AX537" i="37" a="1"/>
  <c r="AX537" i="37" s="1"/>
  <c r="AX27" i="37" a="1"/>
  <c r="AX27" i="37" s="1"/>
  <c r="AX21" i="37" a="1"/>
  <c r="AX21" i="37" s="1"/>
  <c r="AX38" i="37" a="1"/>
  <c r="AX38" i="37" s="1"/>
  <c r="AX538" i="37" a="1"/>
  <c r="AX538" i="37" s="1"/>
  <c r="AX28" i="37" a="1"/>
  <c r="AX28" i="37" s="1"/>
  <c r="AX16" i="37" a="1"/>
  <c r="AX16" i="37" s="1"/>
  <c r="AX39" i="37" a="1"/>
  <c r="AX39" i="37" s="1"/>
  <c r="AX40" i="37" a="1"/>
  <c r="AX40" i="37" s="1"/>
  <c r="AX29" i="37" a="1"/>
  <c r="AX29" i="37" s="1"/>
  <c r="AX41" i="37" a="1"/>
  <c r="AX41" i="37" s="1"/>
  <c r="AX33" i="37" a="1"/>
  <c r="AX33" i="37" s="1"/>
  <c r="AX42" i="37" a="1"/>
  <c r="AX42" i="37" s="1"/>
  <c r="AX539" i="37" a="1"/>
  <c r="AX539" i="37" s="1"/>
  <c r="AX85" i="37" a="1"/>
  <c r="AX85" i="37" s="1"/>
  <c r="AX43" i="37" a="1"/>
  <c r="AX43" i="37" s="1"/>
  <c r="AX44" i="37" a="1"/>
  <c r="AX44" i="37" s="1"/>
  <c r="AX535" i="37" a="1"/>
  <c r="AX535" i="37" s="1"/>
  <c r="AX45" i="37" a="1"/>
  <c r="AX45" i="37" s="1"/>
  <c r="AX17" i="37" a="1"/>
  <c r="AX17" i="37" s="1"/>
  <c r="AX70" i="37" a="1"/>
  <c r="AX70" i="37" s="1"/>
  <c r="AX30" i="37" a="1"/>
  <c r="AX30" i="37" s="1"/>
  <c r="AX18" i="37" a="1"/>
  <c r="AX18" i="37" s="1"/>
  <c r="AX62" i="37" a="1"/>
  <c r="AX62" i="37" s="1"/>
  <c r="AX57" i="37" a="1"/>
  <c r="AX57" i="37" s="1"/>
  <c r="AX46" i="37" a="1"/>
  <c r="AX46" i="37" s="1"/>
  <c r="AX61" i="37" a="1"/>
  <c r="AX61" i="37" s="1"/>
  <c r="AX71" i="37" a="1"/>
  <c r="AX71" i="37" s="1"/>
  <c r="AX31" i="37" a="1"/>
  <c r="AX31" i="37" s="1"/>
  <c r="AX541" i="37" a="1"/>
  <c r="AX541" i="37" s="1"/>
  <c r="AX56" i="37" a="1"/>
  <c r="AX56" i="37" s="1"/>
  <c r="AX536" i="37" a="1"/>
  <c r="AX536" i="37" s="1"/>
  <c r="AX47" i="37" a="1"/>
  <c r="AX47" i="37" s="1"/>
  <c r="AX86" i="37" a="1"/>
  <c r="AX86" i="37" s="1"/>
  <c r="AX72" i="37" a="1"/>
  <c r="AX72" i="37" s="1"/>
  <c r="AX48" i="37" a="1"/>
  <c r="AX48" i="37" s="1"/>
  <c r="AX547" i="37" a="1"/>
  <c r="AX547" i="37" s="1"/>
  <c r="AX115" i="37" a="1"/>
  <c r="AX115" i="37" s="1"/>
  <c r="AX562" i="37" a="1"/>
  <c r="AX562" i="37" s="1"/>
  <c r="AX58" i="37" a="1"/>
  <c r="AX58" i="37" s="1"/>
  <c r="AX63" i="37" a="1"/>
  <c r="AX63" i="37" s="1"/>
  <c r="AX34" i="37" a="1"/>
  <c r="AX34" i="37" s="1"/>
  <c r="AX540" i="37" a="1"/>
  <c r="AX540" i="37" s="1"/>
  <c r="AX116" i="37" a="1"/>
  <c r="AX116" i="37" s="1"/>
  <c r="AX12" i="37" a="1"/>
  <c r="AX12" i="37" s="1"/>
  <c r="AX32" i="37" a="1"/>
  <c r="AX32" i="37" s="1"/>
  <c r="AX73" i="37" a="1"/>
  <c r="AX73" i="37" s="1"/>
  <c r="AX74" i="37" a="1"/>
  <c r="AX74" i="37" s="1"/>
  <c r="AX542" i="37" a="1"/>
  <c r="AX542" i="37" s="1"/>
  <c r="AX75" i="37" a="1"/>
  <c r="AX75" i="37" s="1"/>
  <c r="AX543" i="37" a="1"/>
  <c r="AX543" i="37" s="1"/>
  <c r="AX117" i="37" a="1"/>
  <c r="AX117" i="37" s="1"/>
  <c r="AX546" i="37" a="1"/>
  <c r="AX546" i="37" s="1"/>
  <c r="AX99" i="37" a="1"/>
  <c r="AX99" i="37" s="1"/>
  <c r="AX67" i="37" a="1"/>
  <c r="AX67" i="37" s="1"/>
  <c r="AX100" i="37" a="1"/>
  <c r="AX100" i="37" s="1"/>
  <c r="AX68" i="37" a="1"/>
  <c r="AX68" i="37" s="1"/>
  <c r="AX64" i="37" a="1"/>
  <c r="AX64" i="37" s="1"/>
  <c r="AX101" i="37" a="1"/>
  <c r="AX101" i="37" s="1"/>
  <c r="AX65" i="37" a="1"/>
  <c r="AX65" i="37" s="1"/>
  <c r="AX92" i="37" a="1"/>
  <c r="AX92" i="37" s="1"/>
  <c r="AX49" i="37" a="1"/>
  <c r="AX49" i="37" s="1"/>
  <c r="AX185" i="37" a="1"/>
  <c r="AX185" i="37" s="1"/>
  <c r="AX163" i="37" a="1"/>
  <c r="AX163" i="37" s="1"/>
  <c r="AX76" i="37" a="1"/>
  <c r="AX76" i="37" s="1"/>
  <c r="AX87" i="37" a="1"/>
  <c r="AX87" i="37" s="1"/>
  <c r="AX82" i="37" a="1"/>
  <c r="AX82" i="37" s="1"/>
  <c r="AX88" i="37" a="1"/>
  <c r="AX88" i="37" s="1"/>
  <c r="AX554" i="37" a="1"/>
  <c r="AX554" i="37" s="1"/>
  <c r="AX93" i="37" a="1"/>
  <c r="AX93" i="37" s="1"/>
  <c r="AX118" i="37" a="1"/>
  <c r="AX118" i="37" s="1"/>
  <c r="AX83" i="37" a="1"/>
  <c r="AX83" i="37" s="1"/>
  <c r="AX164" i="37" a="1"/>
  <c r="AX164" i="37" s="1"/>
  <c r="AX119" i="37" a="1"/>
  <c r="AX119" i="37" s="1"/>
  <c r="AX549" i="37" a="1"/>
  <c r="AX549" i="37" s="1"/>
  <c r="AX50" i="37" a="1"/>
  <c r="AX50" i="37" s="1"/>
  <c r="AX120" i="37" a="1"/>
  <c r="AX120" i="37" s="1"/>
  <c r="AX121" i="37" a="1"/>
  <c r="AX121" i="37" s="1"/>
  <c r="AX84" i="37" a="1"/>
  <c r="AX84" i="37" s="1"/>
  <c r="AX165" i="37" a="1"/>
  <c r="AX165" i="37" s="1"/>
  <c r="AX206" i="37" a="1"/>
  <c r="AX206" i="37" s="1"/>
  <c r="AX89" i="37" a="1"/>
  <c r="AX89" i="37" s="1"/>
  <c r="AX574" i="37" a="1"/>
  <c r="AX574" i="37" s="1"/>
  <c r="AX166" i="37" a="1"/>
  <c r="AX166" i="37" s="1"/>
  <c r="AX167" i="37" a="1"/>
  <c r="AX167" i="37" s="1"/>
  <c r="AX77" i="37" a="1"/>
  <c r="AX77" i="37" s="1"/>
  <c r="AX123" i="37" a="1"/>
  <c r="AX123" i="37" s="1"/>
  <c r="AX122" i="37" a="1"/>
  <c r="AX122" i="37" s="1"/>
  <c r="AX575" i="37" a="1"/>
  <c r="AX575" i="37" s="1"/>
  <c r="AX96" i="37" a="1"/>
  <c r="AX96" i="37" s="1"/>
  <c r="AX186" i="37" a="1"/>
  <c r="AX186" i="37" s="1"/>
  <c r="AX176" i="37" a="1"/>
  <c r="AX176" i="37" s="1"/>
  <c r="AX151" i="37" a="1"/>
  <c r="AX151" i="37" s="1"/>
  <c r="AX97" i="37" a="1"/>
  <c r="AX97" i="37" s="1"/>
  <c r="AX274" i="37" a="1"/>
  <c r="AX274" i="37" s="1"/>
  <c r="AX545" i="37" a="1"/>
  <c r="AX545" i="37" s="1"/>
  <c r="AX187" i="37" a="1"/>
  <c r="AX187" i="37" s="1"/>
  <c r="AX207" i="37" a="1"/>
  <c r="AX207" i="37" s="1"/>
  <c r="AX9" i="37" a="1"/>
  <c r="AX9" i="37" s="1"/>
  <c r="AX570" i="37" a="1"/>
  <c r="AX570" i="37" s="1"/>
  <c r="AX296" i="37" a="1"/>
  <c r="AX296" i="37" s="1"/>
  <c r="AX102" i="37" a="1"/>
  <c r="AX102" i="37" s="1"/>
  <c r="AX66" i="37" a="1"/>
  <c r="AX66" i="37" s="1"/>
  <c r="AX177" i="37" a="1"/>
  <c r="AX177" i="37" s="1"/>
  <c r="AX297" i="37" a="1"/>
  <c r="AX297" i="37" s="1"/>
  <c r="AX576" i="37" a="1"/>
  <c r="AX576" i="37" s="1"/>
  <c r="AX156" i="37" a="1"/>
  <c r="AX156" i="37" s="1"/>
  <c r="AX188" i="37" a="1"/>
  <c r="AX188" i="37" s="1"/>
  <c r="AX189" i="37" a="1"/>
  <c r="AX189" i="37" s="1"/>
  <c r="AX103" i="37" a="1"/>
  <c r="AX103" i="37" s="1"/>
  <c r="AX190" i="37" a="1"/>
  <c r="AX190" i="37" s="1"/>
  <c r="AX152" i="37" a="1"/>
  <c r="AX152" i="37" s="1"/>
  <c r="AX208" i="37" a="1"/>
  <c r="AX208" i="37" s="1"/>
  <c r="AX209" i="37" a="1"/>
  <c r="AX209" i="37" s="1"/>
  <c r="AX210" i="37" a="1"/>
  <c r="AX210" i="37" s="1"/>
  <c r="AX596" i="37" a="1"/>
  <c r="AX596" i="37" s="1"/>
  <c r="AX168" i="37" a="1"/>
  <c r="AX168" i="37" s="1"/>
  <c r="AX568" i="37" a="1"/>
  <c r="AX568" i="37" s="1"/>
  <c r="AX124" i="37" a="1"/>
  <c r="AX124" i="37" s="1"/>
  <c r="AX571" i="37" a="1"/>
  <c r="AX571" i="37" s="1"/>
  <c r="AX175" i="37" a="1"/>
  <c r="AX175" i="37" s="1"/>
  <c r="AX211" i="37" a="1"/>
  <c r="AX211" i="37" s="1"/>
  <c r="AX104" i="37" a="1"/>
  <c r="AX104" i="37" s="1"/>
  <c r="AX125" i="37" a="1"/>
  <c r="AX125" i="37" s="1"/>
  <c r="AX105" i="37" a="1"/>
  <c r="AX105" i="37" s="1"/>
  <c r="AX126" i="37" a="1"/>
  <c r="AX126" i="37" s="1"/>
  <c r="AX548" i="37" a="1"/>
  <c r="AX548" i="37" s="1"/>
  <c r="AX191" i="37" a="1"/>
  <c r="AX191" i="37" s="1"/>
  <c r="AX563" i="37" a="1"/>
  <c r="AX563" i="37" s="1"/>
  <c r="AX213" i="37" a="1"/>
  <c r="AX213" i="37" s="1"/>
  <c r="AX298" i="37" a="1"/>
  <c r="AX298" i="37" s="1"/>
  <c r="AX106" i="37" a="1"/>
  <c r="AX106" i="37" s="1"/>
  <c r="AX212" i="37" a="1"/>
  <c r="AX212" i="37" s="1"/>
  <c r="AX564" i="37" a="1"/>
  <c r="AX564" i="37" s="1"/>
  <c r="AX577" i="37" a="1"/>
  <c r="AX577" i="37" s="1"/>
  <c r="AX107" i="37" a="1"/>
  <c r="AX107" i="37" s="1"/>
  <c r="AX157" i="37" a="1"/>
  <c r="AX157" i="37" s="1"/>
  <c r="AX214" i="37" a="1"/>
  <c r="AX214" i="37" s="1"/>
  <c r="AX158" i="37" a="1"/>
  <c r="AX158" i="37" s="1"/>
  <c r="AX578" i="37" a="1"/>
  <c r="AX578" i="37" s="1"/>
  <c r="AX215" i="37" a="1"/>
  <c r="AX215" i="37" s="1"/>
  <c r="AX155" i="37" a="1"/>
  <c r="AX155" i="37" s="1"/>
  <c r="AX216" i="37" a="1"/>
  <c r="AX216" i="37" s="1"/>
  <c r="AX217" i="37" a="1"/>
  <c r="AX217" i="37" s="1"/>
  <c r="AX127" i="37" a="1"/>
  <c r="AX127" i="37" s="1"/>
  <c r="AX90" i="37" a="1"/>
  <c r="AX90" i="37" s="1"/>
  <c r="AX153" i="37" a="1"/>
  <c r="AX153" i="37" s="1"/>
  <c r="AX128" i="37" a="1"/>
  <c r="AX128" i="37" s="1"/>
  <c r="AX299" i="37" a="1"/>
  <c r="AX299" i="37" s="1"/>
  <c r="AX192" i="37" a="1"/>
  <c r="AX192" i="37" s="1"/>
  <c r="AX129" i="37" a="1"/>
  <c r="AX129" i="37" s="1"/>
  <c r="AX565" i="37" a="1"/>
  <c r="AX565" i="37" s="1"/>
  <c r="AX130" i="37" a="1"/>
  <c r="AX130" i="37" s="1"/>
  <c r="AX218" i="37" a="1"/>
  <c r="AX218" i="37" s="1"/>
  <c r="AX131" i="37" a="1"/>
  <c r="AX131" i="37" s="1"/>
  <c r="AX154" i="37" a="1"/>
  <c r="AX154" i="37" s="1"/>
  <c r="AX555" i="37" a="1"/>
  <c r="AX555" i="37" s="1"/>
  <c r="AX579" i="37" a="1"/>
  <c r="AX579" i="37" s="1"/>
  <c r="AX132" i="37" a="1"/>
  <c r="AX132" i="37" s="1"/>
  <c r="AX580" i="37" a="1"/>
  <c r="AX580" i="37" s="1"/>
  <c r="AX219" i="37" a="1"/>
  <c r="AX219" i="37" s="1"/>
  <c r="AX133" i="37" a="1"/>
  <c r="AX133" i="37" s="1"/>
  <c r="AX134" i="37" a="1"/>
  <c r="AX134" i="37" s="1"/>
  <c r="AX599" i="37" a="1"/>
  <c r="AX599" i="37" s="1"/>
  <c r="AX220" i="37" a="1"/>
  <c r="AX220" i="37" s="1"/>
  <c r="AX221" i="37" a="1"/>
  <c r="AX221" i="37" s="1"/>
  <c r="AX59" i="37" a="1"/>
  <c r="AX59" i="37" s="1"/>
  <c r="AX222" i="37" a="1"/>
  <c r="AX222" i="37" s="1"/>
  <c r="AX223" i="37" a="1"/>
  <c r="AX223" i="37" s="1"/>
  <c r="AX275" i="37" a="1"/>
  <c r="AX275" i="37" s="1"/>
  <c r="AX51" i="37" a="1"/>
  <c r="AX51" i="37" s="1"/>
  <c r="AX224" i="37" a="1"/>
  <c r="AX224" i="37" s="1"/>
  <c r="AX78" i="37" a="1"/>
  <c r="AX78" i="37" s="1"/>
  <c r="AX225" i="37" a="1"/>
  <c r="AX225" i="37" s="1"/>
  <c r="AX35" i="37" a="1"/>
  <c r="AX35" i="37" s="1"/>
  <c r="AX226" i="37" a="1"/>
  <c r="AX226" i="37" s="1"/>
  <c r="AX169" i="37" a="1"/>
  <c r="AX169" i="37" s="1"/>
  <c r="AX170" i="37" a="1"/>
  <c r="AX170" i="37" s="1"/>
  <c r="AX557" i="37" a="1"/>
  <c r="AX557" i="37" s="1"/>
  <c r="AX361" i="37" a="1"/>
  <c r="AX361" i="37" s="1"/>
  <c r="AX558" i="37" a="1"/>
  <c r="AX558" i="37" s="1"/>
  <c r="AX227" i="37" a="1"/>
  <c r="AX227" i="37" s="1"/>
  <c r="AX556" i="37" a="1"/>
  <c r="AX556" i="37" s="1"/>
  <c r="AX228" i="37" a="1"/>
  <c r="AX228" i="37" s="1"/>
  <c r="AX171" i="37" a="1"/>
  <c r="AX171" i="37" s="1"/>
  <c r="AX178" i="37" a="1"/>
  <c r="AX178" i="37" s="1"/>
  <c r="AX595" i="37" a="1"/>
  <c r="AX595" i="37" s="1"/>
  <c r="AX193" i="37" a="1"/>
  <c r="AX193" i="37" s="1"/>
  <c r="AX69" i="37" a="1"/>
  <c r="AX69" i="37" s="1"/>
  <c r="AX179" i="37" a="1"/>
  <c r="AX179" i="37" s="1"/>
  <c r="AX135" i="37" a="1"/>
  <c r="AX135" i="37" s="1"/>
  <c r="AX108" i="37" a="1"/>
  <c r="AX108" i="37" s="1"/>
  <c r="AX300" i="37" a="1"/>
  <c r="AX300" i="37" s="1"/>
  <c r="AX98" i="37" a="1"/>
  <c r="AX98" i="37" s="1"/>
  <c r="AX159" i="37" a="1"/>
  <c r="AX159" i="37" s="1"/>
  <c r="AX597" i="37" a="1"/>
  <c r="AX597" i="37" s="1"/>
  <c r="AX560" i="37" a="1"/>
  <c r="AX560" i="37" s="1"/>
  <c r="AX79" i="37" a="1"/>
  <c r="AX79" i="37" s="1"/>
  <c r="AX279" i="37" a="1"/>
  <c r="AX279" i="37" s="1"/>
  <c r="AX569" i="37" a="1"/>
  <c r="AX569" i="37" s="1"/>
  <c r="AX229" i="37" a="1"/>
  <c r="AX229" i="37" s="1"/>
  <c r="AX230" i="37" a="1"/>
  <c r="AX230" i="37" s="1"/>
  <c r="AX301" i="37" a="1"/>
  <c r="AX301" i="37" s="1"/>
  <c r="AX437" i="37" a="1"/>
  <c r="AX437" i="37" s="1"/>
  <c r="AX160" i="37" a="1"/>
  <c r="AX160" i="37" s="1"/>
  <c r="AX280" i="37" a="1"/>
  <c r="AX280" i="37" s="1"/>
  <c r="AX302" i="37" a="1"/>
  <c r="AX302" i="37" s="1"/>
  <c r="AX231" i="37" a="1"/>
  <c r="AX231" i="37" s="1"/>
  <c r="AX303" i="37" a="1"/>
  <c r="AX303" i="37" s="1"/>
  <c r="AX304" i="37" a="1"/>
  <c r="AX304" i="37" s="1"/>
  <c r="AX305" i="37" a="1"/>
  <c r="AX305" i="37" s="1"/>
  <c r="AX194" i="37" a="1"/>
  <c r="AX194" i="37" s="1"/>
  <c r="AX265" i="37" a="1"/>
  <c r="AX265" i="37" s="1"/>
  <c r="AX306" i="37" a="1"/>
  <c r="AX306" i="37" s="1"/>
  <c r="AX232" i="37" a="1"/>
  <c r="AX232" i="37" s="1"/>
  <c r="AX195" i="37" a="1"/>
  <c r="AX195" i="37" s="1"/>
  <c r="AX598" i="37" a="1"/>
  <c r="AX598" i="37" s="1"/>
  <c r="AX281" i="37" a="1"/>
  <c r="AX281" i="37" s="1"/>
  <c r="AX600" i="37" a="1"/>
  <c r="AX600" i="37" s="1"/>
  <c r="AX80" i="37" a="1"/>
  <c r="AX80" i="37" s="1"/>
  <c r="AX270" i="37" a="1"/>
  <c r="AX270" i="37" s="1"/>
  <c r="AX180" i="37" a="1"/>
  <c r="AX180" i="37" s="1"/>
  <c r="AX307" i="37" a="1"/>
  <c r="AX307" i="37" s="1"/>
  <c r="AX267" i="37" a="1"/>
  <c r="AX267" i="37" s="1"/>
  <c r="AX196" i="37" a="1"/>
  <c r="AX196" i="37" s="1"/>
  <c r="AX269" i="37" a="1"/>
  <c r="AX269" i="37" s="1"/>
  <c r="AX198" i="37" a="1"/>
  <c r="AX198" i="37" s="1"/>
  <c r="AX282" i="37" a="1"/>
  <c r="AX282" i="37" s="1"/>
  <c r="AX308" i="37" a="1"/>
  <c r="AX308" i="37" s="1"/>
  <c r="AX471" i="37" a="1"/>
  <c r="AX471" i="37" s="1"/>
  <c r="AX283" i="37" a="1"/>
  <c r="AX283" i="37" s="1"/>
  <c r="AX161" i="37" a="1"/>
  <c r="AX161" i="37" s="1"/>
  <c r="AX581" i="37" a="1"/>
  <c r="AX581" i="37" s="1"/>
  <c r="AX234" i="37" a="1"/>
  <c r="AX234" i="37" s="1"/>
  <c r="AX233" i="37" a="1"/>
  <c r="AX233" i="37" s="1"/>
  <c r="AX235" i="37" a="1"/>
  <c r="AX235" i="37" s="1"/>
  <c r="AX268" i="37" a="1"/>
  <c r="AX268" i="37" s="1"/>
  <c r="AX199" i="37" a="1"/>
  <c r="AX199" i="37" s="1"/>
  <c r="AX236" i="37" a="1"/>
  <c r="AX236" i="37" s="1"/>
  <c r="AX582" i="37" a="1"/>
  <c r="AX582" i="37" s="1"/>
  <c r="AX237" i="37" a="1"/>
  <c r="AX237" i="37" s="1"/>
  <c r="AX238" i="37" a="1"/>
  <c r="AX238" i="37" s="1"/>
  <c r="AX583" i="37" a="1"/>
  <c r="AX583" i="37" s="1"/>
  <c r="AX172" i="37" a="1"/>
  <c r="AX172" i="37" s="1"/>
  <c r="AX239" i="37" a="1"/>
  <c r="AX239" i="37" s="1"/>
  <c r="AX363" i="37" a="1"/>
  <c r="AX363" i="37" s="1"/>
  <c r="AX364" i="37" a="1"/>
  <c r="AX364" i="37" s="1"/>
  <c r="AX362" i="37" a="1"/>
  <c r="AX362" i="37" s="1"/>
  <c r="AX594" i="37" a="1"/>
  <c r="AX594" i="37" s="1"/>
  <c r="AX612" i="37" a="1"/>
  <c r="AX612" i="37" s="1"/>
  <c r="AX266" i="37" a="1"/>
  <c r="AX266" i="37" s="1"/>
  <c r="AX309" i="37" a="1"/>
  <c r="AX309" i="37" s="1"/>
  <c r="AX365" i="37" a="1"/>
  <c r="AX365" i="37" s="1"/>
  <c r="AX240" i="37" a="1"/>
  <c r="AX240" i="37" s="1"/>
  <c r="AX91" i="37" a="1"/>
  <c r="AX91" i="37" s="1"/>
  <c r="AX613" i="37" a="1"/>
  <c r="AX613" i="37" s="1"/>
  <c r="AX551" i="37" a="1"/>
  <c r="AX551" i="37" s="1"/>
  <c r="AX271" i="37" a="1"/>
  <c r="AX271" i="37" s="1"/>
  <c r="AX584" i="37" a="1"/>
  <c r="AX584" i="37" s="1"/>
  <c r="AX52" i="37" a="1"/>
  <c r="AX52" i="37" s="1"/>
  <c r="AX366" i="37" a="1"/>
  <c r="AX366" i="37" s="1"/>
  <c r="AX241" i="37" a="1"/>
  <c r="AX241" i="37" s="1"/>
  <c r="AX614" i="37" a="1"/>
  <c r="AX614" i="37" s="1"/>
  <c r="AX367" i="37" a="1"/>
  <c r="AX367" i="37" s="1"/>
  <c r="AX544" i="37" a="1"/>
  <c r="AX544" i="37" s="1"/>
  <c r="AX136" i="37" a="1"/>
  <c r="AX136" i="37" s="1"/>
  <c r="AX585" i="37" a="1"/>
  <c r="AX585" i="37" s="1"/>
  <c r="AX371" i="37" a="1"/>
  <c r="AX371" i="37" s="1"/>
  <c r="AX369" i="37" a="1"/>
  <c r="AX369" i="37" s="1"/>
  <c r="AX615" i="37" a="1"/>
  <c r="AX615" i="37" s="1"/>
  <c r="AX368" i="37" a="1"/>
  <c r="AX368" i="37" s="1"/>
  <c r="AX370" i="37" a="1"/>
  <c r="AX370" i="37" s="1"/>
  <c r="AX242" i="37" a="1"/>
  <c r="AX242" i="37" s="1"/>
  <c r="AX244" i="37" a="1"/>
  <c r="AX244" i="37" s="1"/>
  <c r="AX372" i="37" a="1"/>
  <c r="AX372" i="37" s="1"/>
  <c r="AX566" i="37" a="1"/>
  <c r="AX566" i="37" s="1"/>
  <c r="AX243" i="37" a="1"/>
  <c r="AX243" i="37" s="1"/>
  <c r="AX407" i="37" a="1"/>
  <c r="AX407" i="37" s="1"/>
  <c r="AX8" i="37" a="1"/>
  <c r="AX8" i="37" s="1"/>
  <c r="AX310" i="37" a="1"/>
  <c r="AX310" i="37" s="1"/>
  <c r="AX385" i="37" a="1"/>
  <c r="AX385" i="37" s="1"/>
  <c r="AX94" i="37" a="1"/>
  <c r="AX94" i="37" s="1"/>
  <c r="AX55" i="37" a="1"/>
  <c r="AX55" i="37" s="1"/>
  <c r="AX258" i="37" a="1"/>
  <c r="AX258" i="37" s="1"/>
  <c r="AX137" i="37" a="1"/>
  <c r="AX137" i="37" s="1"/>
  <c r="AX54" i="37" a="1"/>
  <c r="AX54" i="37" s="1"/>
  <c r="AX418" i="37" a="1"/>
  <c r="AX418" i="37" s="1"/>
  <c r="AX174" i="37" a="1"/>
  <c r="AX174" i="37" s="1"/>
  <c r="AX311" i="37" a="1"/>
  <c r="AX311" i="37" s="1"/>
  <c r="AX416" i="37" a="1"/>
  <c r="AX416" i="37" s="1"/>
  <c r="AX312" i="37" a="1"/>
  <c r="AX312" i="37" s="1"/>
  <c r="AX145" i="37" a="1"/>
  <c r="AX145" i="37" s="1"/>
  <c r="AX278" i="37" a="1"/>
  <c r="AX278" i="37" s="1"/>
  <c r="AX181" i="37" a="1"/>
  <c r="AX181" i="37" s="1"/>
  <c r="AX375" i="37" a="1"/>
  <c r="AX375" i="37" s="1"/>
  <c r="AX146" i="37" a="1"/>
  <c r="AX146" i="37" s="1"/>
  <c r="AX388" i="37" a="1"/>
  <c r="AX388" i="37" s="1"/>
  <c r="AX419" i="37" a="1"/>
  <c r="AX419" i="37" s="1"/>
  <c r="AX60" i="37" a="1"/>
  <c r="AX60" i="37" s="1"/>
  <c r="AX81" i="37" a="1"/>
  <c r="AX81" i="37" s="1"/>
  <c r="AX149" i="37" a="1"/>
  <c r="AX149" i="37" s="1"/>
  <c r="AX246" i="37" a="1"/>
  <c r="AX246" i="37" s="1"/>
  <c r="AX590" i="37" a="1"/>
  <c r="AX590" i="37" s="1"/>
  <c r="AX254" i="37" a="1"/>
  <c r="AX254" i="37" s="1"/>
  <c r="AX373" i="37" a="1"/>
  <c r="AX373" i="37" s="1"/>
  <c r="AX376" i="37" a="1"/>
  <c r="AX376" i="37" s="1"/>
  <c r="AX378" i="37" a="1"/>
  <c r="AX378" i="37" s="1"/>
  <c r="AX410" i="37" a="1"/>
  <c r="AX410" i="37" s="1"/>
  <c r="AX409" i="37" a="1"/>
  <c r="AX409" i="37" s="1"/>
  <c r="AX420" i="37" a="1"/>
  <c r="AX420" i="37" s="1"/>
  <c r="AX248" i="37" a="1"/>
  <c r="AX248" i="37" s="1"/>
  <c r="AX247" i="37" a="1"/>
  <c r="AX247" i="37" s="1"/>
  <c r="AX259" i="37" a="1"/>
  <c r="AX259" i="37" s="1"/>
  <c r="AX402" i="37" a="1"/>
  <c r="AX402" i="37" s="1"/>
  <c r="AX415" i="37" a="1"/>
  <c r="AX415" i="37" s="1"/>
  <c r="AX417" i="37" a="1"/>
  <c r="AX417" i="37" s="1"/>
  <c r="AX53" i="37" a="1"/>
  <c r="AX53" i="37" s="1"/>
  <c r="AX140" i="37" a="1"/>
  <c r="AX140" i="37" s="1"/>
  <c r="AX142" i="37" a="1"/>
  <c r="AX142" i="37" s="1"/>
  <c r="AX109" i="37" a="1"/>
  <c r="AX109" i="37" s="1"/>
  <c r="AX313" i="37" a="1"/>
  <c r="AX313" i="37" s="1"/>
  <c r="AX314" i="37" a="1"/>
  <c r="AX314" i="37" s="1"/>
  <c r="AX601" i="37" a="1"/>
  <c r="AX601" i="37" s="1"/>
  <c r="AX315" i="37" a="1"/>
  <c r="AX315" i="37" s="1"/>
  <c r="AX618" i="37" a="1"/>
  <c r="AX618" i="37" s="1"/>
  <c r="AX143" i="37" a="1"/>
  <c r="AX143" i="37" s="1"/>
  <c r="AX622" i="37" a="1"/>
  <c r="AX622" i="37" s="1"/>
  <c r="AX316" i="37" a="1"/>
  <c r="AX316" i="37" s="1"/>
  <c r="AX552" i="37" a="1"/>
  <c r="AX552" i="37" s="1"/>
  <c r="AX317" i="37" a="1"/>
  <c r="AX317" i="37" s="1"/>
  <c r="AX182" i="37" a="1"/>
  <c r="AX182" i="37" s="1"/>
  <c r="AX200" i="37" a="1"/>
  <c r="AX200" i="37" s="1"/>
  <c r="AX284" i="37" a="1"/>
  <c r="AX284" i="37" s="1"/>
  <c r="AX427" i="37" a="1"/>
  <c r="AX427" i="37" s="1"/>
  <c r="AX147" i="37" a="1"/>
  <c r="AX147" i="37" s="1"/>
  <c r="AX173" i="37" a="1"/>
  <c r="AX173" i="37" s="1"/>
  <c r="AX318" i="37" a="1"/>
  <c r="AX318" i="37" s="1"/>
  <c r="AX435" i="37" a="1"/>
  <c r="AX435" i="37" s="1"/>
  <c r="AX285" i="37" a="1"/>
  <c r="AX285" i="37" s="1"/>
  <c r="AX602" i="37" a="1"/>
  <c r="AX602" i="37" s="1"/>
  <c r="AX319" i="37" a="1"/>
  <c r="AX319" i="37" s="1"/>
  <c r="AX148" i="37" a="1"/>
  <c r="AX148" i="37" s="1"/>
  <c r="AX320" i="37" a="1"/>
  <c r="AX320" i="37" s="1"/>
  <c r="AX321" i="37" a="1"/>
  <c r="AX321" i="37" s="1"/>
  <c r="AX150" i="37" a="1"/>
  <c r="AX150" i="37" s="1"/>
  <c r="AX322" i="37" a="1"/>
  <c r="AX322" i="37" s="1"/>
  <c r="AX323" i="37" a="1"/>
  <c r="AX323" i="37" s="1"/>
  <c r="AX621" i="37" a="1"/>
  <c r="AX621" i="37" s="1"/>
  <c r="AX424" i="37" a="1"/>
  <c r="AX424" i="37" s="1"/>
  <c r="AX201" i="37" a="1"/>
  <c r="AX201" i="37" s="1"/>
  <c r="AX440" i="37" a="1"/>
  <c r="AX440" i="37" s="1"/>
  <c r="AX110" i="37" a="1"/>
  <c r="AX110" i="37" s="1"/>
  <c r="AX286" i="37" a="1"/>
  <c r="AX286" i="37" s="1"/>
  <c r="AX325" i="37" a="1"/>
  <c r="AX325" i="37" s="1"/>
  <c r="AX423" i="37" a="1"/>
  <c r="AX423" i="37" s="1"/>
  <c r="AX431" i="37" a="1"/>
  <c r="AX431" i="37" s="1"/>
  <c r="AX421" i="37" a="1"/>
  <c r="AX421" i="37" s="1"/>
  <c r="AX245" i="37" a="1"/>
  <c r="AX245" i="37" s="1"/>
  <c r="AX434" i="37" a="1"/>
  <c r="AX434" i="37" s="1"/>
  <c r="AX324" i="37" a="1"/>
  <c r="AX324" i="37" s="1"/>
  <c r="AX572" i="37" a="1"/>
  <c r="AX572" i="37" s="1"/>
  <c r="AX202" i="37" a="1"/>
  <c r="AX202" i="37" s="1"/>
  <c r="AX588" i="37" a="1"/>
  <c r="AX588" i="37" s="1"/>
  <c r="AX603" i="37" a="1"/>
  <c r="AX603" i="37" s="1"/>
  <c r="AX619" i="37" a="1"/>
  <c r="AX619" i="37" s="1"/>
  <c r="AX250" i="37" a="1"/>
  <c r="AX250" i="37" s="1"/>
  <c r="AX441" i="37" a="1"/>
  <c r="AX441" i="37" s="1"/>
  <c r="AX438" i="37" a="1"/>
  <c r="AX438" i="37" s="1"/>
  <c r="AX327" i="37" a="1"/>
  <c r="AX327" i="37" s="1"/>
  <c r="AX426" i="37" a="1"/>
  <c r="AX426" i="37" s="1"/>
  <c r="AX287" i="37" a="1"/>
  <c r="AX287" i="37" s="1"/>
  <c r="AX95" i="37" a="1"/>
  <c r="AX95" i="37" s="1"/>
  <c r="AX326" i="37" a="1"/>
  <c r="AX326" i="37" s="1"/>
  <c r="AX249" i="37" a="1"/>
  <c r="AX249" i="37" s="1"/>
  <c r="AX425" i="37" a="1"/>
  <c r="AX425" i="37" s="1"/>
  <c r="AX604" i="37" a="1"/>
  <c r="AX604" i="37" s="1"/>
  <c r="AX162" i="37" a="1"/>
  <c r="AX162" i="37" s="1"/>
  <c r="AX276" i="37" a="1"/>
  <c r="AX276" i="37" s="1"/>
  <c r="AX328" i="37" a="1"/>
  <c r="AX328" i="37" s="1"/>
  <c r="AX472" i="37" a="1"/>
  <c r="AX472" i="37" s="1"/>
  <c r="AX272" i="37" a="1"/>
  <c r="AX272" i="37" s="1"/>
  <c r="AX255" i="37" a="1"/>
  <c r="AX255" i="37" s="1"/>
  <c r="AX277" i="37" a="1"/>
  <c r="AX277" i="37" s="1"/>
  <c r="AX442" i="37" a="1"/>
  <c r="AX442" i="37" s="1"/>
  <c r="AX591" i="37" a="1"/>
  <c r="AX591" i="37" s="1"/>
  <c r="AX592" i="37" a="1"/>
  <c r="AX592" i="37" s="1"/>
  <c r="AX329" i="37" a="1"/>
  <c r="AX329" i="37" s="1"/>
  <c r="AX473" i="37" a="1"/>
  <c r="AX473" i="37" s="1"/>
  <c r="AX474" i="37" a="1"/>
  <c r="AX474" i="37" s="1"/>
  <c r="AX428" i="37" a="1"/>
  <c r="AX428" i="37" s="1"/>
  <c r="AX330" i="37" a="1"/>
  <c r="AX330" i="37" s="1"/>
  <c r="AX257" i="37" a="1"/>
  <c r="AX257" i="37" s="1"/>
  <c r="AX429" i="37" a="1"/>
  <c r="AX429" i="37" s="1"/>
  <c r="AX263" i="37" a="1"/>
  <c r="AX263" i="37" s="1"/>
  <c r="AX444" i="37" a="1"/>
  <c r="AX444" i="37" s="1"/>
  <c r="AX430" i="37" a="1"/>
  <c r="AX430" i="37" s="1"/>
  <c r="AX432" i="37" a="1"/>
  <c r="AX432" i="37" s="1"/>
  <c r="AX260" i="37" a="1"/>
  <c r="AX260" i="37" s="1"/>
  <c r="AX261" i="37" a="1"/>
  <c r="AX261" i="37" s="1"/>
  <c r="AX262" i="37" a="1"/>
  <c r="AX262" i="37" s="1"/>
  <c r="AX331" i="37" a="1"/>
  <c r="AX331" i="37" s="1"/>
  <c r="AX374" i="37" a="1"/>
  <c r="AX374" i="37" s="1"/>
  <c r="AX332" i="37" a="1"/>
  <c r="AX332" i="37" s="1"/>
  <c r="AX377" i="37" a="1"/>
  <c r="AX377" i="37" s="1"/>
  <c r="AX203" i="37" a="1"/>
  <c r="AX203" i="37" s="1"/>
  <c r="AX111" i="37" a="1"/>
  <c r="AX111" i="37" s="1"/>
  <c r="AX379" i="37" a="1"/>
  <c r="AX379" i="37" s="1"/>
  <c r="AX333" i="37" a="1"/>
  <c r="AX333" i="37" s="1"/>
  <c r="AX334" i="37" a="1"/>
  <c r="AX334" i="37" s="1"/>
  <c r="AX443" i="37" a="1"/>
  <c r="AX443" i="37" s="1"/>
  <c r="AX459" i="37" a="1"/>
  <c r="AX459" i="37" s="1"/>
  <c r="AX289" i="37" a="1"/>
  <c r="AX289" i="37" s="1"/>
  <c r="AX475" i="37" a="1"/>
  <c r="AX475" i="37" s="1"/>
  <c r="AX335" i="37" a="1"/>
  <c r="AX335" i="37" s="1"/>
  <c r="AX112" i="37" a="1"/>
  <c r="AX112" i="37" s="1"/>
  <c r="AX422" i="37" a="1"/>
  <c r="AX422" i="37" s="1"/>
  <c r="AX381" i="37" a="1"/>
  <c r="AX381" i="37" s="1"/>
  <c r="AX605" i="37" a="1"/>
  <c r="AX605" i="37" s="1"/>
  <c r="AX616" i="37" a="1"/>
  <c r="AX616" i="37" s="1"/>
  <c r="AX383" i="37" a="1"/>
  <c r="AX383" i="37" s="1"/>
  <c r="AX183" i="37" a="1"/>
  <c r="AX183" i="37" s="1"/>
  <c r="AX433" i="37" a="1"/>
  <c r="AX433" i="37" s="1"/>
  <c r="AX336" i="37" a="1"/>
  <c r="AX336" i="37" s="1"/>
  <c r="AX337" i="37" a="1"/>
  <c r="AX337" i="37" s="1"/>
  <c r="AX386" i="37" a="1"/>
  <c r="AX386" i="37" s="1"/>
  <c r="AX338" i="37" a="1"/>
  <c r="AX338" i="37" s="1"/>
  <c r="AX617" i="37" a="1"/>
  <c r="AX617" i="37" s="1"/>
  <c r="AX389" i="37" a="1"/>
  <c r="AX389" i="37" s="1"/>
  <c r="AX606" i="37" a="1"/>
  <c r="AX606" i="37" s="1"/>
  <c r="AX204" i="37" a="1"/>
  <c r="AX204" i="37" s="1"/>
  <c r="AX291" i="37" a="1"/>
  <c r="AX291" i="37" s="1"/>
  <c r="AX390" i="37" a="1"/>
  <c r="AX390" i="37" s="1"/>
  <c r="AX394" i="37" a="1"/>
  <c r="AX394" i="37" s="1"/>
  <c r="AX398" i="37" a="1"/>
  <c r="AX398" i="37" s="1"/>
  <c r="AX400" i="37" a="1"/>
  <c r="AX400" i="37" s="1"/>
  <c r="AX476" i="37" a="1"/>
  <c r="AX476" i="37" s="1"/>
  <c r="AX399" i="37" a="1"/>
  <c r="AX399" i="37" s="1"/>
  <c r="AX403" i="37" a="1"/>
  <c r="AX403" i="37" s="1"/>
  <c r="AX477" i="37" a="1"/>
  <c r="AX477" i="37" s="1"/>
  <c r="AX408" i="37" a="1"/>
  <c r="AX408" i="37" s="1"/>
  <c r="AX439" i="37" a="1"/>
  <c r="AX439" i="37" s="1"/>
  <c r="AX573" i="37" a="1"/>
  <c r="AX573" i="37" s="1"/>
  <c r="AX413" i="37" a="1"/>
  <c r="AX413" i="37" s="1"/>
  <c r="AX607" i="37" a="1"/>
  <c r="AX607" i="37" s="1"/>
  <c r="AX412" i="37" a="1"/>
  <c r="AX412" i="37" s="1"/>
  <c r="AX113" i="37" a="1"/>
  <c r="AX113" i="37" s="1"/>
  <c r="AX414" i="37" a="1"/>
  <c r="AX414" i="37" s="1"/>
  <c r="AX411" i="37" a="1"/>
  <c r="AX411" i="37" s="1"/>
  <c r="AX138" i="37" a="1"/>
  <c r="AX138" i="37" s="1"/>
  <c r="AX139" i="37" a="1"/>
  <c r="AX139" i="37" s="1"/>
  <c r="AX339" i="37" a="1"/>
  <c r="AX339" i="37" s="1"/>
  <c r="AX478" i="37" a="1"/>
  <c r="AX478" i="37" s="1"/>
  <c r="AX141" i="37" a="1"/>
  <c r="AX141" i="37" s="1"/>
  <c r="AX479" i="37" a="1"/>
  <c r="AX479" i="37" s="1"/>
  <c r="AX340" i="37" a="1"/>
  <c r="AX340" i="37" s="1"/>
  <c r="AX144" i="37" a="1"/>
  <c r="AX144" i="37" s="1"/>
  <c r="AX567" i="37" a="1"/>
  <c r="AX567" i="37" s="1"/>
  <c r="AX586" i="37" a="1"/>
  <c r="AX586" i="37" s="1"/>
  <c r="AX587" i="37" a="1"/>
  <c r="AX587" i="37" s="1"/>
  <c r="AX589" i="37" a="1"/>
  <c r="AX589" i="37" s="1"/>
  <c r="AX625" i="37" a="1"/>
  <c r="AX625" i="37" s="1"/>
  <c r="AX480" i="37" a="1"/>
  <c r="AX480" i="37" s="1"/>
  <c r="AX342" i="37" a="1"/>
  <c r="AX342" i="37" s="1"/>
  <c r="AX253" i="37" a="1"/>
  <c r="AX253" i="37" s="1"/>
  <c r="AX341" i="37" a="1"/>
  <c r="AX341" i="37" s="1"/>
  <c r="AX252" i="37" a="1"/>
  <c r="AX252" i="37" s="1"/>
  <c r="AX482" i="37" a="1"/>
  <c r="AX482" i="37" s="1"/>
  <c r="AX481" i="37" a="1"/>
  <c r="AX481" i="37" s="1"/>
  <c r="AX343" i="37" a="1"/>
  <c r="AX343" i="37" s="1"/>
  <c r="AX251" i="37" a="1"/>
  <c r="AX251" i="37" s="1"/>
  <c r="AX256" i="37" a="1"/>
  <c r="AX256" i="37" s="1"/>
  <c r="AX264" i="37" a="1"/>
  <c r="AX264" i="37" s="1"/>
  <c r="AX593" i="37" a="1"/>
  <c r="AX593" i="37" s="1"/>
  <c r="AX345" i="37" a="1"/>
  <c r="AX345" i="37" s="1"/>
  <c r="AX484" i="37" a="1"/>
  <c r="AX484" i="37" s="1"/>
  <c r="AX483" i="37" a="1"/>
  <c r="AX483" i="37" s="1"/>
  <c r="AX344" i="37" a="1"/>
  <c r="AX344" i="37" s="1"/>
  <c r="AX458" i="37" a="1"/>
  <c r="AX458" i="37" s="1"/>
  <c r="AX486" i="37" a="1"/>
  <c r="AX486" i="37" s="1"/>
  <c r="AX485" i="37" a="1"/>
  <c r="AX485" i="37" s="1"/>
  <c r="AX626" i="37" a="1"/>
  <c r="AX626" i="37" s="1"/>
  <c r="AX346" i="37" a="1"/>
  <c r="AX346" i="37" s="1"/>
  <c r="AX628" i="37" a="1"/>
  <c r="AX628" i="37" s="1"/>
  <c r="AX380" i="37" a="1"/>
  <c r="AX380" i="37" s="1"/>
  <c r="AX382" i="37" a="1"/>
  <c r="AX382" i="37" s="1"/>
  <c r="AX627" i="37" a="1"/>
  <c r="AX627" i="37" s="1"/>
  <c r="AX384" i="37" a="1"/>
  <c r="AX384" i="37" s="1"/>
  <c r="AX387" i="37" a="1"/>
  <c r="AX387" i="37" s="1"/>
  <c r="AX391" i="37" a="1"/>
  <c r="AX391" i="37" s="1"/>
  <c r="AX392" i="37" a="1"/>
  <c r="AX392" i="37" s="1"/>
  <c r="AX393" i="37" a="1"/>
  <c r="AX393" i="37" s="1"/>
  <c r="AX397" i="37" a="1"/>
  <c r="AX397" i="37" s="1"/>
  <c r="AX396" i="37" a="1"/>
  <c r="AX396" i="37" s="1"/>
  <c r="AX401" i="37" a="1"/>
  <c r="AX401" i="37" s="1"/>
  <c r="AX405" i="37" a="1"/>
  <c r="AX405" i="37" s="1"/>
  <c r="AX404" i="37" a="1"/>
  <c r="AX404" i="37" s="1"/>
  <c r="AX406" i="37" a="1"/>
  <c r="AX406" i="37" s="1"/>
  <c r="AX487" i="37" a="1"/>
  <c r="AX487" i="37" s="1"/>
  <c r="AX506" i="37" a="1"/>
  <c r="AX506" i="37" s="1"/>
  <c r="AX620" i="37" a="1"/>
  <c r="AX620" i="37" s="1"/>
  <c r="AX466" i="37" a="1"/>
  <c r="AX466" i="37" s="1"/>
  <c r="AX550" i="37" a="1"/>
  <c r="AX550" i="37" s="1"/>
  <c r="AX498" i="37" a="1"/>
  <c r="AX498" i="37" s="1"/>
  <c r="AX521" i="37" a="1"/>
  <c r="AX521" i="37" s="1"/>
  <c r="AX445" i="37" a="1"/>
  <c r="AX445" i="37" s="1"/>
  <c r="AX184" i="37" a="1"/>
  <c r="AX184" i="37" s="1"/>
  <c r="AX348" i="37" a="1"/>
  <c r="AX348" i="37" s="1"/>
  <c r="AX357" i="37" a="1"/>
  <c r="AX357" i="37" s="1"/>
  <c r="AX640" i="37" a="1"/>
  <c r="AX640" i="37" s="1"/>
  <c r="AX469" i="37" a="1"/>
  <c r="AX469" i="37" s="1"/>
  <c r="AX510" i="37" a="1"/>
  <c r="AX510" i="37" s="1"/>
  <c r="AX511" i="37" a="1"/>
  <c r="AX511" i="37" s="1"/>
  <c r="AX528" i="37" a="1"/>
  <c r="AX528" i="37" s="1"/>
  <c r="AX347" i="37" a="1"/>
  <c r="AX347" i="37" s="1"/>
  <c r="AX436" i="37" a="1"/>
  <c r="AX436" i="37" s="1"/>
  <c r="AX517" i="37" a="1"/>
  <c r="AX517" i="37" s="1"/>
  <c r="AX493" i="37" a="1"/>
  <c r="AX493" i="37" s="1"/>
  <c r="AX467" i="37" a="1"/>
  <c r="AX467" i="37" s="1"/>
  <c r="AX293" i="37" a="1"/>
  <c r="AX293" i="37" s="1"/>
  <c r="AX452" i="37" a="1"/>
  <c r="AX452" i="37" s="1"/>
  <c r="AX358" i="37" a="1"/>
  <c r="AX358" i="37" s="1"/>
  <c r="AX455" i="37" a="1"/>
  <c r="AX455" i="37" s="1"/>
  <c r="AX522" i="37" a="1"/>
  <c r="AX522" i="37" s="1"/>
  <c r="AX351" i="37" a="1"/>
  <c r="AX351" i="37" s="1"/>
  <c r="AX610" i="37" a="1"/>
  <c r="AX610" i="37" s="1"/>
  <c r="AX463" i="37" a="1"/>
  <c r="AX463" i="37" s="1"/>
  <c r="AX490" i="37" a="1"/>
  <c r="AX490" i="37" s="1"/>
  <c r="AX500" i="37" a="1"/>
  <c r="AX500" i="37" s="1"/>
  <c r="AX499" i="37" a="1"/>
  <c r="AX499" i="37" s="1"/>
  <c r="AX523" i="37" a="1"/>
  <c r="AX523" i="37" s="1"/>
  <c r="AX470" i="37" a="1"/>
  <c r="AX470" i="37" s="1"/>
  <c r="AX273" i="37" a="1"/>
  <c r="AX273" i="37" s="1"/>
  <c r="AX489" i="37" a="1"/>
  <c r="AX489" i="37" s="1"/>
  <c r="AX488" i="37" a="1"/>
  <c r="AX488" i="37" s="1"/>
  <c r="AX288" i="37" a="1"/>
  <c r="AX288" i="37" s="1"/>
  <c r="AX292" i="37" a="1"/>
  <c r="AX292" i="37" s="1"/>
  <c r="AX491" i="37" a="1"/>
  <c r="AX491" i="37" s="1"/>
  <c r="AX448" i="37" a="1"/>
  <c r="AX448" i="37" s="1"/>
  <c r="AX494" i="37" a="1"/>
  <c r="AX494" i="37" s="1"/>
  <c r="AX451" i="37" a="1"/>
  <c r="AX451" i="37" s="1"/>
  <c r="AX512" i="37" a="1"/>
  <c r="AX512" i="37" s="1"/>
  <c r="AX525" i="37" a="1"/>
  <c r="AX525" i="37" s="1"/>
  <c r="AX527" i="37" a="1"/>
  <c r="AX527" i="37" s="1"/>
  <c r="AX524" i="37" a="1"/>
  <c r="AX524" i="37" s="1"/>
  <c r="AX639" i="37" a="1"/>
  <c r="AX639" i="37" s="1"/>
  <c r="AX356" i="37" a="1"/>
  <c r="AX356" i="37" s="1"/>
  <c r="AX453" i="37" a="1"/>
  <c r="AX453" i="37" s="1"/>
  <c r="AX460" i="37" a="1"/>
  <c r="AX460" i="37" s="1"/>
  <c r="AX290" i="37" a="1"/>
  <c r="AX290" i="37" s="1"/>
  <c r="AX611" i="37" a="1"/>
  <c r="AX611" i="37" s="1"/>
  <c r="AX492" i="37" a="1"/>
  <c r="AX492" i="37" s="1"/>
  <c r="AX495" i="37" a="1"/>
  <c r="AX495" i="37" s="1"/>
  <c r="AX294" i="37" a="1"/>
  <c r="AX294" i="37" s="1"/>
  <c r="AX496" i="37" a="1"/>
  <c r="AX496" i="37" s="1"/>
  <c r="AX497" i="37" a="1"/>
  <c r="AX497" i="37" s="1"/>
  <c r="AX502" i="37" a="1"/>
  <c r="AX502" i="37" s="1"/>
  <c r="AX446" i="37" a="1"/>
  <c r="AX446" i="37" s="1"/>
  <c r="AX503" i="37" a="1"/>
  <c r="AX503" i="37" s="1"/>
  <c r="AX449" i="37" a="1"/>
  <c r="AX449" i="37" s="1"/>
  <c r="AX631" i="37" a="1"/>
  <c r="AX631" i="37" s="1"/>
  <c r="AX504" i="37" a="1"/>
  <c r="AX504" i="37" s="1"/>
  <c r="AX630" i="37" a="1"/>
  <c r="AX630" i="37" s="1"/>
  <c r="AX629" i="37" a="1"/>
  <c r="AX629" i="37" s="1"/>
  <c r="AX623" i="37" a="1"/>
  <c r="AX623" i="37" s="1"/>
  <c r="AX501" i="37" a="1"/>
  <c r="AX501" i="37" s="1"/>
  <c r="AX505" i="37" a="1"/>
  <c r="AX505" i="37" s="1"/>
  <c r="AX508" i="37" a="1"/>
  <c r="AX508" i="37" s="1"/>
  <c r="AX509" i="37" a="1"/>
  <c r="AX509" i="37" s="1"/>
  <c r="AX513" i="37" a="1"/>
  <c r="AX513" i="37" s="1"/>
  <c r="AX632" i="37" a="1"/>
  <c r="AX632" i="37" s="1"/>
  <c r="AX514" i="37" a="1"/>
  <c r="AX514" i="37" s="1"/>
  <c r="AX515" i="37" a="1"/>
  <c r="AX515" i="37" s="1"/>
  <c r="AX519" i="37" a="1"/>
  <c r="AX519" i="37" s="1"/>
  <c r="AX518" i="37" a="1"/>
  <c r="AX518" i="37" s="1"/>
  <c r="AX520" i="37" a="1"/>
  <c r="AX520" i="37" s="1"/>
  <c r="AX114" i="37" a="1"/>
  <c r="AX114" i="37" s="1"/>
  <c r="AX205" i="37" a="1"/>
  <c r="AX205" i="37" s="1"/>
  <c r="AX349" i="37" a="1"/>
  <c r="AX349" i="37" s="1"/>
  <c r="AX350" i="37" a="1"/>
  <c r="AX350" i="37" s="1"/>
  <c r="AX608" i="37" a="1"/>
  <c r="AX608" i="37" s="1"/>
  <c r="AX609" i="37" a="1"/>
  <c r="AX609" i="37" s="1"/>
  <c r="AX352" i="37" a="1"/>
  <c r="AX352" i="37" s="1"/>
  <c r="AX355" i="37" a="1"/>
  <c r="AX355" i="37" s="1"/>
  <c r="AX353" i="37" a="1"/>
  <c r="AX353" i="37" s="1"/>
  <c r="AX468" i="37" a="1"/>
  <c r="AX468" i="37" s="1"/>
  <c r="AX354" i="37" a="1"/>
  <c r="AX354" i="37" s="1"/>
  <c r="AX295" i="37" a="1"/>
  <c r="AX295" i="37" s="1"/>
  <c r="AX447" i="37" a="1"/>
  <c r="AX447" i="37" s="1"/>
  <c r="AX450" i="37" a="1"/>
  <c r="AX450" i="37" s="1"/>
  <c r="AX454" i="37" a="1"/>
  <c r="AX454" i="37" s="1"/>
  <c r="AX359" i="37" a="1"/>
  <c r="AX359" i="37" s="1"/>
  <c r="AX456" i="37" a="1"/>
  <c r="AX456" i="37" s="1"/>
  <c r="AX457" i="37" a="1"/>
  <c r="AX457" i="37" s="1"/>
  <c r="AX360" i="37" a="1"/>
  <c r="AX360" i="37" s="1"/>
  <c r="AX462" i="37" a="1"/>
  <c r="AX462" i="37" s="1"/>
  <c r="AX461" i="37" a="1"/>
  <c r="AX461" i="37" s="1"/>
  <c r="AX633" i="37" a="1"/>
  <c r="AX633" i="37" s="1"/>
  <c r="AX464" i="37" a="1"/>
  <c r="AX464" i="37" s="1"/>
  <c r="AX624" i="37" a="1"/>
  <c r="AX624" i="37" s="1"/>
  <c r="AX465" i="37" a="1"/>
  <c r="AX465" i="37" s="1"/>
  <c r="AX516" i="37" a="1"/>
  <c r="AX516" i="37" s="1"/>
  <c r="AX634" i="37" a="1"/>
  <c r="AX634" i="37" s="1"/>
  <c r="AX635" i="37" a="1"/>
  <c r="AX635" i="37" s="1"/>
  <c r="AX638" i="37" a="1"/>
  <c r="AX638" i="37" s="1"/>
  <c r="AX637" i="37" a="1"/>
  <c r="AX637" i="37" s="1"/>
  <c r="AX636" i="37" a="1"/>
  <c r="AX636" i="37" s="1"/>
  <c r="AX529" i="37" a="1"/>
  <c r="AX529" i="37" s="1"/>
  <c r="AX530" i="37" a="1"/>
  <c r="AX530" i="37" s="1"/>
  <c r="AX531" i="37" a="1"/>
  <c r="AX531" i="37" s="1"/>
  <c r="AX532" i="37" a="1"/>
  <c r="AX532" i="37" s="1"/>
  <c r="AW2" i="37" a="1"/>
  <c r="AW2" i="37" s="1"/>
  <c r="AW3" i="37" a="1"/>
  <c r="AW3" i="37" s="1"/>
  <c r="AW10" i="37" a="1"/>
  <c r="AW10" i="37" s="1"/>
  <c r="AW534" i="37" a="1"/>
  <c r="AW534" i="37" s="1"/>
  <c r="AW533" i="37" a="1"/>
  <c r="AW533" i="37" s="1"/>
  <c r="AW6" i="37" a="1"/>
  <c r="AW6" i="37" s="1"/>
  <c r="AW5" i="37" a="1"/>
  <c r="AW5" i="37" s="1"/>
  <c r="AW11" i="37" a="1"/>
  <c r="AW11" i="37" s="1"/>
  <c r="AW4" i="37" a="1"/>
  <c r="AW4" i="37" s="1"/>
  <c r="AW23" i="37" a="1"/>
  <c r="AW23" i="37" s="1"/>
  <c r="AW7" i="37" a="1"/>
  <c r="AW7" i="37" s="1"/>
  <c r="AW13" i="37" a="1"/>
  <c r="AW13" i="37" s="1"/>
  <c r="AW24" i="37" a="1"/>
  <c r="AW24" i="37" s="1"/>
  <c r="AW36" i="37" a="1"/>
  <c r="AW36" i="37" s="1"/>
  <c r="AW25" i="37" a="1"/>
  <c r="AW25" i="37" s="1"/>
  <c r="AW37" i="37" a="1"/>
  <c r="AW37" i="37" s="1"/>
  <c r="AW20" i="37" a="1"/>
  <c r="AW20" i="37" s="1"/>
  <c r="AW14" i="37" a="1"/>
  <c r="AW14" i="37" s="1"/>
  <c r="AW15" i="37" a="1"/>
  <c r="AW15" i="37" s="1"/>
  <c r="AW19" i="37" a="1"/>
  <c r="AW19" i="37" s="1"/>
  <c r="AW22" i="37" a="1"/>
  <c r="AW22" i="37" s="1"/>
  <c r="AW26" i="37" a="1"/>
  <c r="AW26" i="37" s="1"/>
  <c r="AW537" i="37" a="1"/>
  <c r="AW537" i="37" s="1"/>
  <c r="AW27" i="37" a="1"/>
  <c r="AW27" i="37" s="1"/>
  <c r="AW21" i="37" a="1"/>
  <c r="AW21" i="37" s="1"/>
  <c r="AW38" i="37" a="1"/>
  <c r="AW38" i="37" s="1"/>
  <c r="AW538" i="37" a="1"/>
  <c r="AW538" i="37" s="1"/>
  <c r="AW28" i="37" a="1"/>
  <c r="AW28" i="37" s="1"/>
  <c r="AW16" i="37" a="1"/>
  <c r="AW16" i="37" s="1"/>
  <c r="AW39" i="37" a="1"/>
  <c r="AW39" i="37" s="1"/>
  <c r="AW40" i="37" a="1"/>
  <c r="AW40" i="37" s="1"/>
  <c r="AW29" i="37" a="1"/>
  <c r="AW29" i="37" s="1"/>
  <c r="AW41" i="37" a="1"/>
  <c r="AW41" i="37" s="1"/>
  <c r="AW33" i="37" a="1"/>
  <c r="AW33" i="37" s="1"/>
  <c r="AW42" i="37" a="1"/>
  <c r="AW42" i="37" s="1"/>
  <c r="AW539" i="37" a="1"/>
  <c r="AW539" i="37" s="1"/>
  <c r="AW85" i="37" a="1"/>
  <c r="AW85" i="37" s="1"/>
  <c r="AW43" i="37" a="1"/>
  <c r="AW43" i="37" s="1"/>
  <c r="AW44" i="37" a="1"/>
  <c r="AW44" i="37" s="1"/>
  <c r="AW535" i="37" a="1"/>
  <c r="AW535" i="37" s="1"/>
  <c r="AW45" i="37" a="1"/>
  <c r="AW45" i="37" s="1"/>
  <c r="AW17" i="37" a="1"/>
  <c r="AW17" i="37" s="1"/>
  <c r="AW70" i="37" a="1"/>
  <c r="AW70" i="37" s="1"/>
  <c r="AW30" i="37" a="1"/>
  <c r="AW30" i="37" s="1"/>
  <c r="AW18" i="37" a="1"/>
  <c r="AW18" i="37" s="1"/>
  <c r="AW62" i="37" a="1"/>
  <c r="AW62" i="37" s="1"/>
  <c r="AW57" i="37" a="1"/>
  <c r="AW57" i="37" s="1"/>
  <c r="AW46" i="37" a="1"/>
  <c r="AW46" i="37" s="1"/>
  <c r="AW61" i="37" a="1"/>
  <c r="AW61" i="37" s="1"/>
  <c r="AW71" i="37" a="1"/>
  <c r="AW71" i="37" s="1"/>
  <c r="AW31" i="37" a="1"/>
  <c r="AW31" i="37" s="1"/>
  <c r="AW541" i="37" a="1"/>
  <c r="AW541" i="37" s="1"/>
  <c r="AW56" i="37" a="1"/>
  <c r="AW56" i="37" s="1"/>
  <c r="AW536" i="37" a="1"/>
  <c r="AW536" i="37" s="1"/>
  <c r="AW47" i="37" a="1"/>
  <c r="AW47" i="37" s="1"/>
  <c r="AW86" i="37" a="1"/>
  <c r="AW86" i="37" s="1"/>
  <c r="AW72" i="37" a="1"/>
  <c r="AW72" i="37" s="1"/>
  <c r="AW48" i="37" a="1"/>
  <c r="AW48" i="37" s="1"/>
  <c r="AW547" i="37" a="1"/>
  <c r="AW547" i="37" s="1"/>
  <c r="AW115" i="37" a="1"/>
  <c r="AW115" i="37" s="1"/>
  <c r="AW562" i="37" a="1"/>
  <c r="AW562" i="37" s="1"/>
  <c r="AW58" i="37" a="1"/>
  <c r="AW58" i="37" s="1"/>
  <c r="AW63" i="37" a="1"/>
  <c r="AW63" i="37" s="1"/>
  <c r="AW34" i="37" a="1"/>
  <c r="AW34" i="37" s="1"/>
  <c r="AW540" i="37" a="1"/>
  <c r="AW540" i="37" s="1"/>
  <c r="AW116" i="37" a="1"/>
  <c r="AW116" i="37" s="1"/>
  <c r="AW12" i="37" a="1"/>
  <c r="AW12" i="37" s="1"/>
  <c r="AW32" i="37" a="1"/>
  <c r="AW32" i="37" s="1"/>
  <c r="AW73" i="37" a="1"/>
  <c r="AW73" i="37" s="1"/>
  <c r="AW74" i="37" a="1"/>
  <c r="AW74" i="37" s="1"/>
  <c r="AW542" i="37" a="1"/>
  <c r="AW542" i="37" s="1"/>
  <c r="AW75" i="37" a="1"/>
  <c r="AW75" i="37" s="1"/>
  <c r="AW543" i="37" a="1"/>
  <c r="AW543" i="37" s="1"/>
  <c r="AW117" i="37" a="1"/>
  <c r="AW117" i="37" s="1"/>
  <c r="AW546" i="37" a="1"/>
  <c r="AW546" i="37" s="1"/>
  <c r="AW99" i="37" a="1"/>
  <c r="AW99" i="37" s="1"/>
  <c r="AW67" i="37" a="1"/>
  <c r="AW67" i="37" s="1"/>
  <c r="AW100" i="37" a="1"/>
  <c r="AW100" i="37" s="1"/>
  <c r="AW68" i="37" a="1"/>
  <c r="AW68" i="37" s="1"/>
  <c r="AW64" i="37" a="1"/>
  <c r="AW64" i="37" s="1"/>
  <c r="AW101" i="37" a="1"/>
  <c r="AW101" i="37" s="1"/>
  <c r="AW65" i="37" a="1"/>
  <c r="AW65" i="37" s="1"/>
  <c r="AW92" i="37" a="1"/>
  <c r="AW92" i="37" s="1"/>
  <c r="AW49" i="37" a="1"/>
  <c r="AW49" i="37" s="1"/>
  <c r="AW185" i="37" a="1"/>
  <c r="AW185" i="37" s="1"/>
  <c r="AW163" i="37" a="1"/>
  <c r="AW163" i="37" s="1"/>
  <c r="AW76" i="37" a="1"/>
  <c r="AW76" i="37" s="1"/>
  <c r="AW87" i="37" a="1"/>
  <c r="AW87" i="37" s="1"/>
  <c r="AW82" i="37" a="1"/>
  <c r="AW82" i="37" s="1"/>
  <c r="AW88" i="37" a="1"/>
  <c r="AW88" i="37" s="1"/>
  <c r="AW554" i="37" a="1"/>
  <c r="AW554" i="37" s="1"/>
  <c r="AW93" i="37" a="1"/>
  <c r="AW93" i="37" s="1"/>
  <c r="AW118" i="37" a="1"/>
  <c r="AW118" i="37" s="1"/>
  <c r="AW83" i="37" a="1"/>
  <c r="AW83" i="37" s="1"/>
  <c r="AW164" i="37" a="1"/>
  <c r="AW164" i="37" s="1"/>
  <c r="AW119" i="37" a="1"/>
  <c r="AW119" i="37" s="1"/>
  <c r="AW549" i="37" a="1"/>
  <c r="AW549" i="37" s="1"/>
  <c r="AW50" i="37" a="1"/>
  <c r="AW50" i="37" s="1"/>
  <c r="AW120" i="37" a="1"/>
  <c r="AW120" i="37" s="1"/>
  <c r="AW121" i="37" a="1"/>
  <c r="AW121" i="37" s="1"/>
  <c r="AW84" i="37" a="1"/>
  <c r="AW84" i="37" s="1"/>
  <c r="AW165" i="37" a="1"/>
  <c r="AW165" i="37" s="1"/>
  <c r="AW206" i="37" a="1"/>
  <c r="AW206" i="37" s="1"/>
  <c r="AW89" i="37" a="1"/>
  <c r="AW89" i="37" s="1"/>
  <c r="AW574" i="37" a="1"/>
  <c r="AW574" i="37" s="1"/>
  <c r="AW166" i="37" a="1"/>
  <c r="AW166" i="37" s="1"/>
  <c r="AW167" i="37" a="1"/>
  <c r="AW167" i="37" s="1"/>
  <c r="AW77" i="37" a="1"/>
  <c r="AW77" i="37" s="1"/>
  <c r="AW123" i="37" a="1"/>
  <c r="AW123" i="37" s="1"/>
  <c r="AW122" i="37" a="1"/>
  <c r="AW122" i="37" s="1"/>
  <c r="AW575" i="37" a="1"/>
  <c r="AW575" i="37" s="1"/>
  <c r="AW96" i="37" a="1"/>
  <c r="AW96" i="37" s="1"/>
  <c r="AW186" i="37" a="1"/>
  <c r="AW186" i="37" s="1"/>
  <c r="AW176" i="37" a="1"/>
  <c r="AW176" i="37" s="1"/>
  <c r="AW151" i="37" a="1"/>
  <c r="AW151" i="37" s="1"/>
  <c r="AW97" i="37" a="1"/>
  <c r="AW97" i="37" s="1"/>
  <c r="AW274" i="37" a="1"/>
  <c r="AW274" i="37" s="1"/>
  <c r="AW545" i="37" a="1"/>
  <c r="AW545" i="37" s="1"/>
  <c r="AW187" i="37" a="1"/>
  <c r="AW187" i="37" s="1"/>
  <c r="AW207" i="37" a="1"/>
  <c r="AW207" i="37" s="1"/>
  <c r="AW9" i="37" a="1"/>
  <c r="AW9" i="37" s="1"/>
  <c r="AW570" i="37" a="1"/>
  <c r="AW570" i="37" s="1"/>
  <c r="AW296" i="37" a="1"/>
  <c r="AW296" i="37" s="1"/>
  <c r="AW102" i="37" a="1"/>
  <c r="AW102" i="37" s="1"/>
  <c r="AW66" i="37" a="1"/>
  <c r="AW66" i="37" s="1"/>
  <c r="AW177" i="37" a="1"/>
  <c r="AW177" i="37" s="1"/>
  <c r="AW297" i="37" a="1"/>
  <c r="AW297" i="37" s="1"/>
  <c r="AW576" i="37" a="1"/>
  <c r="AW576" i="37" s="1"/>
  <c r="AW156" i="37" a="1"/>
  <c r="AW156" i="37" s="1"/>
  <c r="AW188" i="37" a="1"/>
  <c r="AW188" i="37" s="1"/>
  <c r="AW189" i="37" a="1"/>
  <c r="AW189" i="37" s="1"/>
  <c r="AW103" i="37" a="1"/>
  <c r="AW103" i="37" s="1"/>
  <c r="AW190" i="37" a="1"/>
  <c r="AW190" i="37" s="1"/>
  <c r="AW152" i="37" a="1"/>
  <c r="AW152" i="37" s="1"/>
  <c r="AW208" i="37" a="1"/>
  <c r="AW208" i="37" s="1"/>
  <c r="AW209" i="37" a="1"/>
  <c r="AW209" i="37" s="1"/>
  <c r="AW210" i="37" a="1"/>
  <c r="AW210" i="37" s="1"/>
  <c r="AW596" i="37" a="1"/>
  <c r="AW596" i="37" s="1"/>
  <c r="AW168" i="37" a="1"/>
  <c r="AW168" i="37" s="1"/>
  <c r="AW568" i="37" a="1"/>
  <c r="AW568" i="37" s="1"/>
  <c r="AW124" i="37" a="1"/>
  <c r="AW124" i="37" s="1"/>
  <c r="AW571" i="37" a="1"/>
  <c r="AW571" i="37" s="1"/>
  <c r="AW175" i="37" a="1"/>
  <c r="AW175" i="37" s="1"/>
  <c r="AW211" i="37" a="1"/>
  <c r="AW211" i="37" s="1"/>
  <c r="AW104" i="37" a="1"/>
  <c r="AW104" i="37" s="1"/>
  <c r="AW125" i="37" a="1"/>
  <c r="AW125" i="37" s="1"/>
  <c r="AW105" i="37" a="1"/>
  <c r="AW105" i="37" s="1"/>
  <c r="AW126" i="37" a="1"/>
  <c r="AW126" i="37" s="1"/>
  <c r="AW548" i="37" a="1"/>
  <c r="AW548" i="37" s="1"/>
  <c r="AW191" i="37" a="1"/>
  <c r="AW191" i="37" s="1"/>
  <c r="AW563" i="37" a="1"/>
  <c r="AW563" i="37" s="1"/>
  <c r="AW213" i="37" a="1"/>
  <c r="AW213" i="37" s="1"/>
  <c r="AW298" i="37" a="1"/>
  <c r="AW298" i="37" s="1"/>
  <c r="AW106" i="37" a="1"/>
  <c r="AW106" i="37" s="1"/>
  <c r="AW212" i="37" a="1"/>
  <c r="AW212" i="37" s="1"/>
  <c r="AW564" i="37" a="1"/>
  <c r="AW564" i="37" s="1"/>
  <c r="AW577" i="37" a="1"/>
  <c r="AW577" i="37" s="1"/>
  <c r="AW107" i="37" a="1"/>
  <c r="AW107" i="37" s="1"/>
  <c r="AW157" i="37" a="1"/>
  <c r="AW157" i="37" s="1"/>
  <c r="AW214" i="37" a="1"/>
  <c r="AW214" i="37" s="1"/>
  <c r="AW158" i="37" a="1"/>
  <c r="AW158" i="37" s="1"/>
  <c r="AW578" i="37" a="1"/>
  <c r="AW578" i="37" s="1"/>
  <c r="AW215" i="37" a="1"/>
  <c r="AW215" i="37" s="1"/>
  <c r="AW155" i="37" a="1"/>
  <c r="AW155" i="37" s="1"/>
  <c r="AW216" i="37" a="1"/>
  <c r="AW216" i="37" s="1"/>
  <c r="AW217" i="37" a="1"/>
  <c r="AW217" i="37" s="1"/>
  <c r="AW127" i="37" a="1"/>
  <c r="AW127" i="37" s="1"/>
  <c r="AW90" i="37" a="1"/>
  <c r="AW90" i="37" s="1"/>
  <c r="AW153" i="37" a="1"/>
  <c r="AW153" i="37" s="1"/>
  <c r="AW128" i="37" a="1"/>
  <c r="AW128" i="37" s="1"/>
  <c r="AW299" i="37" a="1"/>
  <c r="AW299" i="37" s="1"/>
  <c r="AW192" i="37" a="1"/>
  <c r="AW192" i="37" s="1"/>
  <c r="AW129" i="37" a="1"/>
  <c r="AW129" i="37" s="1"/>
  <c r="AW565" i="37" a="1"/>
  <c r="AW565" i="37" s="1"/>
  <c r="AW130" i="37" a="1"/>
  <c r="AW130" i="37" s="1"/>
  <c r="AW218" i="37" a="1"/>
  <c r="AW218" i="37" s="1"/>
  <c r="AW131" i="37" a="1"/>
  <c r="AW131" i="37" s="1"/>
  <c r="AW154" i="37" a="1"/>
  <c r="AW154" i="37" s="1"/>
  <c r="AW555" i="37" a="1"/>
  <c r="AW555" i="37" s="1"/>
  <c r="AW579" i="37" a="1"/>
  <c r="AW579" i="37" s="1"/>
  <c r="AW132" i="37" a="1"/>
  <c r="AW132" i="37" s="1"/>
  <c r="AW580" i="37" a="1"/>
  <c r="AW580" i="37" s="1"/>
  <c r="AW219" i="37" a="1"/>
  <c r="AW219" i="37" s="1"/>
  <c r="AW133" i="37" a="1"/>
  <c r="AW133" i="37" s="1"/>
  <c r="AW134" i="37" a="1"/>
  <c r="AW134" i="37" s="1"/>
  <c r="AW599" i="37" a="1"/>
  <c r="AW599" i="37" s="1"/>
  <c r="AW220" i="37" a="1"/>
  <c r="AW220" i="37" s="1"/>
  <c r="AW221" i="37" a="1"/>
  <c r="AW221" i="37" s="1"/>
  <c r="AW59" i="37" a="1"/>
  <c r="AW59" i="37" s="1"/>
  <c r="AW222" i="37" a="1"/>
  <c r="AW222" i="37" s="1"/>
  <c r="AW223" i="37" a="1"/>
  <c r="AW223" i="37" s="1"/>
  <c r="AW275" i="37" a="1"/>
  <c r="AW275" i="37" s="1"/>
  <c r="AW51" i="37" a="1"/>
  <c r="AW51" i="37" s="1"/>
  <c r="AW224" i="37" a="1"/>
  <c r="AW224" i="37" s="1"/>
  <c r="AW78" i="37" a="1"/>
  <c r="AW78" i="37" s="1"/>
  <c r="AW225" i="37" a="1"/>
  <c r="AW225" i="37" s="1"/>
  <c r="AW35" i="37" a="1"/>
  <c r="AW35" i="37" s="1"/>
  <c r="AW226" i="37" a="1"/>
  <c r="AW226" i="37" s="1"/>
  <c r="AW169" i="37" a="1"/>
  <c r="AW169" i="37" s="1"/>
  <c r="AW170" i="37" a="1"/>
  <c r="AW170" i="37" s="1"/>
  <c r="AW557" i="37" a="1"/>
  <c r="AW557" i="37" s="1"/>
  <c r="AW361" i="37" a="1"/>
  <c r="AW361" i="37" s="1"/>
  <c r="AW558" i="37" a="1"/>
  <c r="AW558" i="37" s="1"/>
  <c r="AW227" i="37" a="1"/>
  <c r="AW227" i="37" s="1"/>
  <c r="AW556" i="37" a="1"/>
  <c r="AW556" i="37" s="1"/>
  <c r="AW228" i="37" a="1"/>
  <c r="AW228" i="37" s="1"/>
  <c r="AW171" i="37" a="1"/>
  <c r="AW171" i="37" s="1"/>
  <c r="AW178" i="37" a="1"/>
  <c r="AW178" i="37" s="1"/>
  <c r="AW595" i="37" a="1"/>
  <c r="AW595" i="37" s="1"/>
  <c r="AW193" i="37" a="1"/>
  <c r="AW193" i="37" s="1"/>
  <c r="AW69" i="37" a="1"/>
  <c r="AW69" i="37" s="1"/>
  <c r="AW179" i="37" a="1"/>
  <c r="AW179" i="37" s="1"/>
  <c r="AW135" i="37" a="1"/>
  <c r="AW135" i="37" s="1"/>
  <c r="AW108" i="37" a="1"/>
  <c r="AW108" i="37" s="1"/>
  <c r="AW300" i="37" a="1"/>
  <c r="AW300" i="37" s="1"/>
  <c r="AW98" i="37" a="1"/>
  <c r="AW98" i="37" s="1"/>
  <c r="AW159" i="37" a="1"/>
  <c r="AW159" i="37" s="1"/>
  <c r="AW597" i="37" a="1"/>
  <c r="AW597" i="37" s="1"/>
  <c r="AW560" i="37" a="1"/>
  <c r="AW560" i="37" s="1"/>
  <c r="AW79" i="37" a="1"/>
  <c r="AW79" i="37" s="1"/>
  <c r="AW279" i="37" a="1"/>
  <c r="AW279" i="37" s="1"/>
  <c r="AW569" i="37" a="1"/>
  <c r="AW569" i="37" s="1"/>
  <c r="AW229" i="37" a="1"/>
  <c r="AW229" i="37" s="1"/>
  <c r="AW230" i="37" a="1"/>
  <c r="AW230" i="37" s="1"/>
  <c r="AW301" i="37" a="1"/>
  <c r="AW301" i="37" s="1"/>
  <c r="AW437" i="37" a="1"/>
  <c r="AW437" i="37" s="1"/>
  <c r="AW160" i="37" a="1"/>
  <c r="AW160" i="37" s="1"/>
  <c r="AW280" i="37" a="1"/>
  <c r="AW280" i="37" s="1"/>
  <c r="AW302" i="37" a="1"/>
  <c r="AW302" i="37" s="1"/>
  <c r="AW231" i="37" a="1"/>
  <c r="AW231" i="37" s="1"/>
  <c r="AW303" i="37" a="1"/>
  <c r="AW303" i="37" s="1"/>
  <c r="AW304" i="37" a="1"/>
  <c r="AW304" i="37" s="1"/>
  <c r="AW305" i="37" a="1"/>
  <c r="AW305" i="37" s="1"/>
  <c r="AW194" i="37" a="1"/>
  <c r="AW194" i="37" s="1"/>
  <c r="AW265" i="37" a="1"/>
  <c r="AW265" i="37" s="1"/>
  <c r="AW306" i="37" a="1"/>
  <c r="AW306" i="37" s="1"/>
  <c r="AW232" i="37" a="1"/>
  <c r="AW232" i="37" s="1"/>
  <c r="AW195" i="37" a="1"/>
  <c r="AW195" i="37" s="1"/>
  <c r="AW598" i="37" a="1"/>
  <c r="AW598" i="37" s="1"/>
  <c r="AW281" i="37" a="1"/>
  <c r="AW281" i="37" s="1"/>
  <c r="AW600" i="37" a="1"/>
  <c r="AW600" i="37" s="1"/>
  <c r="AW80" i="37" a="1"/>
  <c r="AW80" i="37" s="1"/>
  <c r="AW270" i="37" a="1"/>
  <c r="AW270" i="37" s="1"/>
  <c r="AW180" i="37" a="1"/>
  <c r="AW180" i="37" s="1"/>
  <c r="AW307" i="37" a="1"/>
  <c r="AW307" i="37" s="1"/>
  <c r="AW267" i="37" a="1"/>
  <c r="AW267" i="37" s="1"/>
  <c r="AW196" i="37" a="1"/>
  <c r="AW196" i="37" s="1"/>
  <c r="AW269" i="37" a="1"/>
  <c r="AW269" i="37" s="1"/>
  <c r="AW198" i="37" a="1"/>
  <c r="AW198" i="37" s="1"/>
  <c r="AW282" i="37" a="1"/>
  <c r="AW282" i="37" s="1"/>
  <c r="AW308" i="37" a="1"/>
  <c r="AW308" i="37" s="1"/>
  <c r="AW471" i="37" a="1"/>
  <c r="AW471" i="37" s="1"/>
  <c r="AW283" i="37" a="1"/>
  <c r="AW283" i="37" s="1"/>
  <c r="AW161" i="37" a="1"/>
  <c r="AW161" i="37" s="1"/>
  <c r="AW581" i="37" a="1"/>
  <c r="AW581" i="37" s="1"/>
  <c r="AW234" i="37" a="1"/>
  <c r="AW234" i="37" s="1"/>
  <c r="AW233" i="37" a="1"/>
  <c r="AW233" i="37" s="1"/>
  <c r="AW235" i="37" a="1"/>
  <c r="AW235" i="37" s="1"/>
  <c r="AW268" i="37" a="1"/>
  <c r="AW268" i="37" s="1"/>
  <c r="AW199" i="37" a="1"/>
  <c r="AW199" i="37" s="1"/>
  <c r="AW236" i="37" a="1"/>
  <c r="AW236" i="37" s="1"/>
  <c r="AW582" i="37" a="1"/>
  <c r="AW582" i="37" s="1"/>
  <c r="AW237" i="37" a="1"/>
  <c r="AW237" i="37" s="1"/>
  <c r="AW238" i="37" a="1"/>
  <c r="AW238" i="37" s="1"/>
  <c r="AW583" i="37" a="1"/>
  <c r="AW583" i="37" s="1"/>
  <c r="AW172" i="37" a="1"/>
  <c r="AW172" i="37" s="1"/>
  <c r="AW239" i="37" a="1"/>
  <c r="AW239" i="37" s="1"/>
  <c r="AW363" i="37" a="1"/>
  <c r="AW363" i="37" s="1"/>
  <c r="AW364" i="37" a="1"/>
  <c r="AW364" i="37" s="1"/>
  <c r="AW362" i="37" a="1"/>
  <c r="AW362" i="37" s="1"/>
  <c r="AW594" i="37" a="1"/>
  <c r="AW594" i="37" s="1"/>
  <c r="AW612" i="37" a="1"/>
  <c r="AW612" i="37" s="1"/>
  <c r="AW266" i="37" a="1"/>
  <c r="AW266" i="37" s="1"/>
  <c r="AW309" i="37" a="1"/>
  <c r="AW309" i="37" s="1"/>
  <c r="AW365" i="37" a="1"/>
  <c r="AW365" i="37" s="1"/>
  <c r="AW240" i="37" a="1"/>
  <c r="AW240" i="37" s="1"/>
  <c r="AW91" i="37" a="1"/>
  <c r="AW91" i="37" s="1"/>
  <c r="AW613" i="37" a="1"/>
  <c r="AW613" i="37" s="1"/>
  <c r="AW551" i="37" a="1"/>
  <c r="AW551" i="37" s="1"/>
  <c r="AW271" i="37" a="1"/>
  <c r="AW271" i="37" s="1"/>
  <c r="AW584" i="37" a="1"/>
  <c r="AW584" i="37" s="1"/>
  <c r="AW52" i="37" a="1"/>
  <c r="AW52" i="37" s="1"/>
  <c r="AW366" i="37" a="1"/>
  <c r="AW366" i="37" s="1"/>
  <c r="AW241" i="37" a="1"/>
  <c r="AW241" i="37" s="1"/>
  <c r="AW614" i="37" a="1"/>
  <c r="AW614" i="37" s="1"/>
  <c r="AW367" i="37" a="1"/>
  <c r="AW367" i="37" s="1"/>
  <c r="AW544" i="37" a="1"/>
  <c r="AW544" i="37" s="1"/>
  <c r="AW136" i="37" a="1"/>
  <c r="AW136" i="37" s="1"/>
  <c r="AW585" i="37" a="1"/>
  <c r="AW585" i="37" s="1"/>
  <c r="AW371" i="37" a="1"/>
  <c r="AW371" i="37" s="1"/>
  <c r="AW369" i="37" a="1"/>
  <c r="AW369" i="37" s="1"/>
  <c r="AW615" i="37" a="1"/>
  <c r="AW615" i="37" s="1"/>
  <c r="AW368" i="37" a="1"/>
  <c r="AW368" i="37" s="1"/>
  <c r="AW370" i="37" a="1"/>
  <c r="AW370" i="37" s="1"/>
  <c r="AW242" i="37" a="1"/>
  <c r="AW242" i="37" s="1"/>
  <c r="AW244" i="37" a="1"/>
  <c r="AW244" i="37" s="1"/>
  <c r="AW372" i="37" a="1"/>
  <c r="AW372" i="37" s="1"/>
  <c r="AW566" i="37" a="1"/>
  <c r="AW566" i="37" s="1"/>
  <c r="AW243" i="37" a="1"/>
  <c r="AW243" i="37" s="1"/>
  <c r="AW407" i="37" a="1"/>
  <c r="AW407" i="37" s="1"/>
  <c r="AW8" i="37" a="1"/>
  <c r="AW8" i="37" s="1"/>
  <c r="AW310" i="37" a="1"/>
  <c r="AW310" i="37" s="1"/>
  <c r="AW385" i="37" a="1"/>
  <c r="AW385" i="37" s="1"/>
  <c r="AW94" i="37" a="1"/>
  <c r="AW94" i="37" s="1"/>
  <c r="AW55" i="37" a="1"/>
  <c r="AW55" i="37" s="1"/>
  <c r="AW258" i="37" a="1"/>
  <c r="AW258" i="37" s="1"/>
  <c r="AW137" i="37" a="1"/>
  <c r="AW137" i="37" s="1"/>
  <c r="AW54" i="37" a="1"/>
  <c r="AW54" i="37" s="1"/>
  <c r="AW418" i="37" a="1"/>
  <c r="AW418" i="37" s="1"/>
  <c r="AW174" i="37" a="1"/>
  <c r="AW174" i="37" s="1"/>
  <c r="AW311" i="37" a="1"/>
  <c r="AW311" i="37" s="1"/>
  <c r="AW416" i="37" a="1"/>
  <c r="AW416" i="37" s="1"/>
  <c r="AW312" i="37" a="1"/>
  <c r="AW312" i="37" s="1"/>
  <c r="AW145" i="37" a="1"/>
  <c r="AW145" i="37" s="1"/>
  <c r="AW278" i="37" a="1"/>
  <c r="AW278" i="37" s="1"/>
  <c r="AW181" i="37" a="1"/>
  <c r="AW181" i="37" s="1"/>
  <c r="AW375" i="37" a="1"/>
  <c r="AW375" i="37" s="1"/>
  <c r="AW146" i="37" a="1"/>
  <c r="AW146" i="37" s="1"/>
  <c r="AW388" i="37" a="1"/>
  <c r="AW388" i="37" s="1"/>
  <c r="AW419" i="37" a="1"/>
  <c r="AW419" i="37" s="1"/>
  <c r="AW60" i="37" a="1"/>
  <c r="AW60" i="37" s="1"/>
  <c r="AW81" i="37" a="1"/>
  <c r="AW81" i="37" s="1"/>
  <c r="AW149" i="37" a="1"/>
  <c r="AW149" i="37" s="1"/>
  <c r="AW246" i="37" a="1"/>
  <c r="AW246" i="37" s="1"/>
  <c r="AW590" i="37" a="1"/>
  <c r="AW590" i="37" s="1"/>
  <c r="AW254" i="37" a="1"/>
  <c r="AW254" i="37" s="1"/>
  <c r="AW373" i="37" a="1"/>
  <c r="AW373" i="37" s="1"/>
  <c r="AW376" i="37" a="1"/>
  <c r="AW376" i="37" s="1"/>
  <c r="AW378" i="37" a="1"/>
  <c r="AW378" i="37" s="1"/>
  <c r="AW410" i="37" a="1"/>
  <c r="AW410" i="37" s="1"/>
  <c r="AW409" i="37" a="1"/>
  <c r="AW409" i="37" s="1"/>
  <c r="AW420" i="37" a="1"/>
  <c r="AW420" i="37" s="1"/>
  <c r="AW248" i="37" a="1"/>
  <c r="AW248" i="37" s="1"/>
  <c r="AW247" i="37" a="1"/>
  <c r="AW247" i="37" s="1"/>
  <c r="AW259" i="37" a="1"/>
  <c r="AW259" i="37" s="1"/>
  <c r="AW402" i="37" a="1"/>
  <c r="AW402" i="37" s="1"/>
  <c r="AW415" i="37" a="1"/>
  <c r="AW415" i="37" s="1"/>
  <c r="AW417" i="37" a="1"/>
  <c r="AW417" i="37" s="1"/>
  <c r="AW53" i="37" a="1"/>
  <c r="AW53" i="37" s="1"/>
  <c r="AW140" i="37" a="1"/>
  <c r="AW140" i="37" s="1"/>
  <c r="AW142" i="37" a="1"/>
  <c r="AW142" i="37" s="1"/>
  <c r="AW109" i="37" a="1"/>
  <c r="AW109" i="37" s="1"/>
  <c r="AW313" i="37" a="1"/>
  <c r="AW313" i="37" s="1"/>
  <c r="AW314" i="37" a="1"/>
  <c r="AW314" i="37" s="1"/>
  <c r="AW601" i="37" a="1"/>
  <c r="AW601" i="37" s="1"/>
  <c r="AW315" i="37" a="1"/>
  <c r="AW315" i="37" s="1"/>
  <c r="AW618" i="37" a="1"/>
  <c r="AW618" i="37" s="1"/>
  <c r="AW143" i="37" a="1"/>
  <c r="AW143" i="37" s="1"/>
  <c r="AW622" i="37" a="1"/>
  <c r="AW622" i="37" s="1"/>
  <c r="AW316" i="37" a="1"/>
  <c r="AW316" i="37" s="1"/>
  <c r="AW552" i="37" a="1"/>
  <c r="AW552" i="37" s="1"/>
  <c r="AW317" i="37" a="1"/>
  <c r="AW317" i="37" s="1"/>
  <c r="AW182" i="37" a="1"/>
  <c r="AW182" i="37" s="1"/>
  <c r="AW200" i="37" a="1"/>
  <c r="AW200" i="37" s="1"/>
  <c r="AW284" i="37" a="1"/>
  <c r="AW284" i="37" s="1"/>
  <c r="AW427" i="37" a="1"/>
  <c r="AW427" i="37" s="1"/>
  <c r="AW147" i="37" a="1"/>
  <c r="AW147" i="37" s="1"/>
  <c r="AW173" i="37" a="1"/>
  <c r="AW173" i="37" s="1"/>
  <c r="AW318" i="37" a="1"/>
  <c r="AW318" i="37" s="1"/>
  <c r="AW435" i="37" a="1"/>
  <c r="AW435" i="37" s="1"/>
  <c r="AW285" i="37" a="1"/>
  <c r="AW285" i="37" s="1"/>
  <c r="AW602" i="37" a="1"/>
  <c r="AW602" i="37" s="1"/>
  <c r="AW319" i="37" a="1"/>
  <c r="AW319" i="37" s="1"/>
  <c r="AW148" i="37" a="1"/>
  <c r="AW148" i="37" s="1"/>
  <c r="AW320" i="37" a="1"/>
  <c r="AW320" i="37" s="1"/>
  <c r="AW321" i="37" a="1"/>
  <c r="AW321" i="37" s="1"/>
  <c r="AW150" i="37" a="1"/>
  <c r="AW150" i="37" s="1"/>
  <c r="AW322" i="37" a="1"/>
  <c r="AW322" i="37" s="1"/>
  <c r="AW323" i="37" a="1"/>
  <c r="AW323" i="37" s="1"/>
  <c r="AW621" i="37" a="1"/>
  <c r="AW621" i="37" s="1"/>
  <c r="AW424" i="37" a="1"/>
  <c r="AW424" i="37" s="1"/>
  <c r="AW201" i="37" a="1"/>
  <c r="AW201" i="37" s="1"/>
  <c r="AW440" i="37" a="1"/>
  <c r="AW440" i="37" s="1"/>
  <c r="AW110" i="37" a="1"/>
  <c r="AW110" i="37" s="1"/>
  <c r="AW286" i="37" a="1"/>
  <c r="AW286" i="37" s="1"/>
  <c r="AW325" i="37" a="1"/>
  <c r="AW325" i="37" s="1"/>
  <c r="AW423" i="37" a="1"/>
  <c r="AW423" i="37" s="1"/>
  <c r="AW431" i="37" a="1"/>
  <c r="AW431" i="37" s="1"/>
  <c r="AW421" i="37" a="1"/>
  <c r="AW421" i="37" s="1"/>
  <c r="AW245" i="37" a="1"/>
  <c r="AW245" i="37" s="1"/>
  <c r="AW434" i="37" a="1"/>
  <c r="AW434" i="37" s="1"/>
  <c r="AW324" i="37" a="1"/>
  <c r="AW324" i="37" s="1"/>
  <c r="AW572" i="37" a="1"/>
  <c r="AW572" i="37" s="1"/>
  <c r="AW202" i="37" a="1"/>
  <c r="AW202" i="37" s="1"/>
  <c r="AW588" i="37" a="1"/>
  <c r="AW588" i="37" s="1"/>
  <c r="AW603" i="37" a="1"/>
  <c r="AW603" i="37" s="1"/>
  <c r="AW619" i="37" a="1"/>
  <c r="AW619" i="37" s="1"/>
  <c r="AW250" i="37" a="1"/>
  <c r="AW250" i="37" s="1"/>
  <c r="AW441" i="37" a="1"/>
  <c r="AW441" i="37" s="1"/>
  <c r="AW438" i="37" a="1"/>
  <c r="AW438" i="37" s="1"/>
  <c r="AW327" i="37" a="1"/>
  <c r="AW327" i="37" s="1"/>
  <c r="AW426" i="37" a="1"/>
  <c r="AW426" i="37" s="1"/>
  <c r="AW287" i="37" a="1"/>
  <c r="AW287" i="37" s="1"/>
  <c r="AW95" i="37" a="1"/>
  <c r="AW95" i="37" s="1"/>
  <c r="AW326" i="37" a="1"/>
  <c r="AW326" i="37" s="1"/>
  <c r="AW249" i="37" a="1"/>
  <c r="AW249" i="37" s="1"/>
  <c r="AW425" i="37" a="1"/>
  <c r="AW425" i="37" s="1"/>
  <c r="AW604" i="37" a="1"/>
  <c r="AW604" i="37" s="1"/>
  <c r="AW162" i="37" a="1"/>
  <c r="AW162" i="37" s="1"/>
  <c r="AW276" i="37" a="1"/>
  <c r="AW276" i="37" s="1"/>
  <c r="AW328" i="37" a="1"/>
  <c r="AW328" i="37" s="1"/>
  <c r="AW472" i="37" a="1"/>
  <c r="AW472" i="37" s="1"/>
  <c r="AW272" i="37" a="1"/>
  <c r="AW272" i="37" s="1"/>
  <c r="AW255" i="37" a="1"/>
  <c r="AW255" i="37" s="1"/>
  <c r="AW277" i="37" a="1"/>
  <c r="AW277" i="37" s="1"/>
  <c r="AW442" i="37" a="1"/>
  <c r="AW442" i="37" s="1"/>
  <c r="AW591" i="37" a="1"/>
  <c r="AW591" i="37" s="1"/>
  <c r="AW592" i="37" a="1"/>
  <c r="AW592" i="37" s="1"/>
  <c r="AW329" i="37" a="1"/>
  <c r="AW329" i="37" s="1"/>
  <c r="AW473" i="37" a="1"/>
  <c r="AW473" i="37" s="1"/>
  <c r="AW474" i="37" a="1"/>
  <c r="AW474" i="37" s="1"/>
  <c r="AW428" i="37" a="1"/>
  <c r="AW428" i="37" s="1"/>
  <c r="AW330" i="37" a="1"/>
  <c r="AW330" i="37" s="1"/>
  <c r="AW257" i="37" a="1"/>
  <c r="AW257" i="37" s="1"/>
  <c r="AW429" i="37" a="1"/>
  <c r="AW429" i="37" s="1"/>
  <c r="AW263" i="37" a="1"/>
  <c r="AW263" i="37" s="1"/>
  <c r="AW444" i="37" a="1"/>
  <c r="AW444" i="37" s="1"/>
  <c r="AW430" i="37" a="1"/>
  <c r="AW430" i="37" s="1"/>
  <c r="AW432" i="37" a="1"/>
  <c r="AW432" i="37" s="1"/>
  <c r="AW260" i="37" a="1"/>
  <c r="AW260" i="37" s="1"/>
  <c r="AW261" i="37" a="1"/>
  <c r="AW261" i="37" s="1"/>
  <c r="AW262" i="37" a="1"/>
  <c r="AW262" i="37" s="1"/>
  <c r="AW331" i="37" a="1"/>
  <c r="AW331" i="37" s="1"/>
  <c r="AW374" i="37" a="1"/>
  <c r="AW374" i="37" s="1"/>
  <c r="AW332" i="37" a="1"/>
  <c r="AW332" i="37" s="1"/>
  <c r="AW377" i="37" a="1"/>
  <c r="AW377" i="37" s="1"/>
  <c r="AW203" i="37" a="1"/>
  <c r="AW203" i="37" s="1"/>
  <c r="AW111" i="37" a="1"/>
  <c r="AW111" i="37" s="1"/>
  <c r="AW379" i="37" a="1"/>
  <c r="AW379" i="37" s="1"/>
  <c r="AW333" i="37" a="1"/>
  <c r="AW333" i="37" s="1"/>
  <c r="AW334" i="37" a="1"/>
  <c r="AW334" i="37" s="1"/>
  <c r="AW443" i="37" a="1"/>
  <c r="AW443" i="37" s="1"/>
  <c r="AW459" i="37" a="1"/>
  <c r="AW459" i="37" s="1"/>
  <c r="AW289" i="37" a="1"/>
  <c r="AW289" i="37" s="1"/>
  <c r="AW475" i="37" a="1"/>
  <c r="AW475" i="37" s="1"/>
  <c r="AW335" i="37" a="1"/>
  <c r="AW335" i="37" s="1"/>
  <c r="AW112" i="37" a="1"/>
  <c r="AW112" i="37" s="1"/>
  <c r="AW422" i="37" a="1"/>
  <c r="AW422" i="37" s="1"/>
  <c r="AW381" i="37" a="1"/>
  <c r="AW381" i="37" s="1"/>
  <c r="AW605" i="37" a="1"/>
  <c r="AW605" i="37" s="1"/>
  <c r="AW616" i="37" a="1"/>
  <c r="AW616" i="37" s="1"/>
  <c r="AW383" i="37" a="1"/>
  <c r="AW383" i="37" s="1"/>
  <c r="AW183" i="37" a="1"/>
  <c r="AW183" i="37" s="1"/>
  <c r="AW433" i="37" a="1"/>
  <c r="AW433" i="37" s="1"/>
  <c r="AW336" i="37" a="1"/>
  <c r="AW336" i="37" s="1"/>
  <c r="AW337" i="37" a="1"/>
  <c r="AW337" i="37" s="1"/>
  <c r="AW386" i="37" a="1"/>
  <c r="AW386" i="37" s="1"/>
  <c r="AW338" i="37" a="1"/>
  <c r="AW338" i="37" s="1"/>
  <c r="AW617" i="37" a="1"/>
  <c r="AW617" i="37" s="1"/>
  <c r="AW389" i="37" a="1"/>
  <c r="AW389" i="37" s="1"/>
  <c r="AW606" i="37" a="1"/>
  <c r="AW606" i="37" s="1"/>
  <c r="AW204" i="37" a="1"/>
  <c r="AW204" i="37" s="1"/>
  <c r="AW291" i="37" a="1"/>
  <c r="AW291" i="37" s="1"/>
  <c r="AW390" i="37" a="1"/>
  <c r="AW390" i="37" s="1"/>
  <c r="AW394" i="37" a="1"/>
  <c r="AW394" i="37" s="1"/>
  <c r="AW398" i="37" a="1"/>
  <c r="AW398" i="37" s="1"/>
  <c r="AW400" i="37" a="1"/>
  <c r="AW400" i="37" s="1"/>
  <c r="AW476" i="37" a="1"/>
  <c r="AW476" i="37" s="1"/>
  <c r="AW399" i="37" a="1"/>
  <c r="AW399" i="37" s="1"/>
  <c r="AW403" i="37" a="1"/>
  <c r="AW403" i="37" s="1"/>
  <c r="AW477" i="37" a="1"/>
  <c r="AW477" i="37" s="1"/>
  <c r="AW408" i="37" a="1"/>
  <c r="AW408" i="37" s="1"/>
  <c r="AW439" i="37" a="1"/>
  <c r="AW439" i="37" s="1"/>
  <c r="AW573" i="37" a="1"/>
  <c r="AW573" i="37" s="1"/>
  <c r="AW413" i="37" a="1"/>
  <c r="AW413" i="37" s="1"/>
  <c r="AW607" i="37" a="1"/>
  <c r="AW607" i="37" s="1"/>
  <c r="AW412" i="37" a="1"/>
  <c r="AW412" i="37" s="1"/>
  <c r="AW113" i="37" a="1"/>
  <c r="AW113" i="37" s="1"/>
  <c r="AW414" i="37" a="1"/>
  <c r="AW414" i="37" s="1"/>
  <c r="AW411" i="37" a="1"/>
  <c r="AW411" i="37" s="1"/>
  <c r="AW138" i="37" a="1"/>
  <c r="AW138" i="37" s="1"/>
  <c r="AW139" i="37" a="1"/>
  <c r="AW139" i="37" s="1"/>
  <c r="AW339" i="37" a="1"/>
  <c r="AW339" i="37" s="1"/>
  <c r="AW478" i="37" a="1"/>
  <c r="AW478" i="37" s="1"/>
  <c r="AW141" i="37" a="1"/>
  <c r="AW141" i="37" s="1"/>
  <c r="AW479" i="37" a="1"/>
  <c r="AW479" i="37" s="1"/>
  <c r="AW340" i="37" a="1"/>
  <c r="AW340" i="37" s="1"/>
  <c r="AW144" i="37" a="1"/>
  <c r="AW144" i="37" s="1"/>
  <c r="AW567" i="37" a="1"/>
  <c r="AW567" i="37" s="1"/>
  <c r="AW586" i="37" a="1"/>
  <c r="AW586" i="37" s="1"/>
  <c r="AW587" i="37" a="1"/>
  <c r="AW587" i="37" s="1"/>
  <c r="AW589" i="37" a="1"/>
  <c r="AW589" i="37" s="1"/>
  <c r="AW625" i="37" a="1"/>
  <c r="AW625" i="37" s="1"/>
  <c r="AW480" i="37" a="1"/>
  <c r="AW480" i="37" s="1"/>
  <c r="AW342" i="37" a="1"/>
  <c r="AW342" i="37" s="1"/>
  <c r="AW253" i="37" a="1"/>
  <c r="AW253" i="37" s="1"/>
  <c r="AW341" i="37" a="1"/>
  <c r="AW341" i="37" s="1"/>
  <c r="AW252" i="37" a="1"/>
  <c r="AW252" i="37" s="1"/>
  <c r="AW482" i="37" a="1"/>
  <c r="AW482" i="37" s="1"/>
  <c r="AW481" i="37" a="1"/>
  <c r="AW481" i="37" s="1"/>
  <c r="AW343" i="37" a="1"/>
  <c r="AW343" i="37" s="1"/>
  <c r="AW251" i="37" a="1"/>
  <c r="AW251" i="37" s="1"/>
  <c r="AW256" i="37" a="1"/>
  <c r="AW256" i="37" s="1"/>
  <c r="AW264" i="37" a="1"/>
  <c r="AW264" i="37" s="1"/>
  <c r="AW593" i="37" a="1"/>
  <c r="AW593" i="37" s="1"/>
  <c r="AW345" i="37" a="1"/>
  <c r="AW345" i="37" s="1"/>
  <c r="AW484" i="37" a="1"/>
  <c r="AW484" i="37" s="1"/>
  <c r="AW483" i="37" a="1"/>
  <c r="AW483" i="37" s="1"/>
  <c r="AW344" i="37" a="1"/>
  <c r="AW344" i="37" s="1"/>
  <c r="AW458" i="37" a="1"/>
  <c r="AW458" i="37" s="1"/>
  <c r="AW486" i="37" a="1"/>
  <c r="AW486" i="37" s="1"/>
  <c r="AW485" i="37" a="1"/>
  <c r="AW485" i="37" s="1"/>
  <c r="AW626" i="37" a="1"/>
  <c r="AW626" i="37" s="1"/>
  <c r="AW346" i="37" a="1"/>
  <c r="AW346" i="37" s="1"/>
  <c r="AW628" i="37" a="1"/>
  <c r="AW628" i="37" s="1"/>
  <c r="AW380" i="37" a="1"/>
  <c r="AW380" i="37" s="1"/>
  <c r="AW382" i="37" a="1"/>
  <c r="AW382" i="37" s="1"/>
  <c r="AW627" i="37" a="1"/>
  <c r="AW627" i="37" s="1"/>
  <c r="AW384" i="37" a="1"/>
  <c r="AW384" i="37" s="1"/>
  <c r="AW387" i="37" a="1"/>
  <c r="AW387" i="37" s="1"/>
  <c r="AW391" i="37" a="1"/>
  <c r="AW391" i="37" s="1"/>
  <c r="AW392" i="37" a="1"/>
  <c r="AW392" i="37" s="1"/>
  <c r="AW393" i="37" a="1"/>
  <c r="AW393" i="37" s="1"/>
  <c r="AW397" i="37" a="1"/>
  <c r="AW397" i="37" s="1"/>
  <c r="AW396" i="37" a="1"/>
  <c r="AW396" i="37" s="1"/>
  <c r="AW401" i="37" a="1"/>
  <c r="AW401" i="37" s="1"/>
  <c r="AW405" i="37" a="1"/>
  <c r="AW405" i="37" s="1"/>
  <c r="AW404" i="37" a="1"/>
  <c r="AW404" i="37" s="1"/>
  <c r="AW406" i="37" a="1"/>
  <c r="AW406" i="37" s="1"/>
  <c r="AW487" i="37" a="1"/>
  <c r="AW487" i="37" s="1"/>
  <c r="AW506" i="37" a="1"/>
  <c r="AW506" i="37" s="1"/>
  <c r="AW620" i="37" a="1"/>
  <c r="AW620" i="37" s="1"/>
  <c r="AW466" i="37" a="1"/>
  <c r="AW466" i="37" s="1"/>
  <c r="AW550" i="37" a="1"/>
  <c r="AW550" i="37" s="1"/>
  <c r="AW498" i="37" a="1"/>
  <c r="AW498" i="37" s="1"/>
  <c r="AW521" i="37" a="1"/>
  <c r="AW521" i="37" s="1"/>
  <c r="AW445" i="37" a="1"/>
  <c r="AW445" i="37" s="1"/>
  <c r="AW184" i="37" a="1"/>
  <c r="AW184" i="37" s="1"/>
  <c r="AW348" i="37" a="1"/>
  <c r="AW348" i="37" s="1"/>
  <c r="AW357" i="37" a="1"/>
  <c r="AW357" i="37" s="1"/>
  <c r="AW640" i="37" a="1"/>
  <c r="AW640" i="37" s="1"/>
  <c r="AW469" i="37" a="1"/>
  <c r="AW469" i="37" s="1"/>
  <c r="AW510" i="37" a="1"/>
  <c r="AW510" i="37" s="1"/>
  <c r="AW511" i="37" a="1"/>
  <c r="AW511" i="37" s="1"/>
  <c r="AW528" i="37" a="1"/>
  <c r="AW528" i="37" s="1"/>
  <c r="AW347" i="37" a="1"/>
  <c r="AW347" i="37" s="1"/>
  <c r="AW436" i="37" a="1"/>
  <c r="AW436" i="37" s="1"/>
  <c r="AW517" i="37" a="1"/>
  <c r="AW517" i="37" s="1"/>
  <c r="AW493" i="37" a="1"/>
  <c r="AW493" i="37" s="1"/>
  <c r="AW467" i="37" a="1"/>
  <c r="AW467" i="37" s="1"/>
  <c r="AW293" i="37" a="1"/>
  <c r="AW293" i="37" s="1"/>
  <c r="AW452" i="37" a="1"/>
  <c r="AW452" i="37" s="1"/>
  <c r="AW358" i="37" a="1"/>
  <c r="AW358" i="37" s="1"/>
  <c r="AW455" i="37" a="1"/>
  <c r="AW455" i="37" s="1"/>
  <c r="AW522" i="37" a="1"/>
  <c r="AW522" i="37" s="1"/>
  <c r="AW351" i="37" a="1"/>
  <c r="AW351" i="37" s="1"/>
  <c r="AW610" i="37" a="1"/>
  <c r="AW610" i="37" s="1"/>
  <c r="AW463" i="37" a="1"/>
  <c r="AW463" i="37" s="1"/>
  <c r="AW490" i="37" a="1"/>
  <c r="AW490" i="37" s="1"/>
  <c r="AW500" i="37" a="1"/>
  <c r="AW500" i="37" s="1"/>
  <c r="AW499" i="37" a="1"/>
  <c r="AW499" i="37" s="1"/>
  <c r="AW523" i="37" a="1"/>
  <c r="AW523" i="37" s="1"/>
  <c r="AW470" i="37" a="1"/>
  <c r="AW470" i="37" s="1"/>
  <c r="AW273" i="37" a="1"/>
  <c r="AW273" i="37" s="1"/>
  <c r="AW489" i="37" a="1"/>
  <c r="AW489" i="37" s="1"/>
  <c r="AW488" i="37" a="1"/>
  <c r="AW488" i="37" s="1"/>
  <c r="AW288" i="37" a="1"/>
  <c r="AW288" i="37" s="1"/>
  <c r="AW292" i="37" a="1"/>
  <c r="AW292" i="37" s="1"/>
  <c r="AW491" i="37" a="1"/>
  <c r="AW491" i="37" s="1"/>
  <c r="AW448" i="37" a="1"/>
  <c r="AW448" i="37" s="1"/>
  <c r="AW494" i="37" a="1"/>
  <c r="AW494" i="37" s="1"/>
  <c r="AW451" i="37" a="1"/>
  <c r="AW451" i="37" s="1"/>
  <c r="AW512" i="37" a="1"/>
  <c r="AW512" i="37" s="1"/>
  <c r="AW525" i="37" a="1"/>
  <c r="AW525" i="37" s="1"/>
  <c r="AW527" i="37" a="1"/>
  <c r="AW527" i="37" s="1"/>
  <c r="AW524" i="37" a="1"/>
  <c r="AW524" i="37" s="1"/>
  <c r="AW639" i="37" a="1"/>
  <c r="AW639" i="37" s="1"/>
  <c r="AW356" i="37" a="1"/>
  <c r="AW356" i="37" s="1"/>
  <c r="AW453" i="37" a="1"/>
  <c r="AW453" i="37" s="1"/>
  <c r="AW460" i="37" a="1"/>
  <c r="AW460" i="37" s="1"/>
  <c r="AW290" i="37" a="1"/>
  <c r="AW290" i="37" s="1"/>
  <c r="AW611" i="37" a="1"/>
  <c r="AW611" i="37" s="1"/>
  <c r="AW492" i="37" a="1"/>
  <c r="AW492" i="37" s="1"/>
  <c r="AW495" i="37" a="1"/>
  <c r="AW495" i="37" s="1"/>
  <c r="AW294" i="37" a="1"/>
  <c r="AW294" i="37" s="1"/>
  <c r="AW496" i="37" a="1"/>
  <c r="AW496" i="37" s="1"/>
  <c r="AW497" i="37" a="1"/>
  <c r="AW497" i="37" s="1"/>
  <c r="AW502" i="37" a="1"/>
  <c r="AW502" i="37" s="1"/>
  <c r="AW446" i="37" a="1"/>
  <c r="AW446" i="37" s="1"/>
  <c r="AW503" i="37" a="1"/>
  <c r="AW503" i="37" s="1"/>
  <c r="AW449" i="37" a="1"/>
  <c r="AW449" i="37" s="1"/>
  <c r="AW631" i="37" a="1"/>
  <c r="AW631" i="37" s="1"/>
  <c r="AW504" i="37" a="1"/>
  <c r="AW504" i="37" s="1"/>
  <c r="AW630" i="37" a="1"/>
  <c r="AW630" i="37" s="1"/>
  <c r="AW629" i="37" a="1"/>
  <c r="AW629" i="37" s="1"/>
  <c r="AW623" i="37" a="1"/>
  <c r="AW623" i="37" s="1"/>
  <c r="AW501" i="37" a="1"/>
  <c r="AW501" i="37" s="1"/>
  <c r="AW505" i="37" a="1"/>
  <c r="AW505" i="37" s="1"/>
  <c r="AW508" i="37" a="1"/>
  <c r="AW508" i="37" s="1"/>
  <c r="AW509" i="37" a="1"/>
  <c r="AW509" i="37" s="1"/>
  <c r="AW513" i="37" a="1"/>
  <c r="AW513" i="37" s="1"/>
  <c r="AW632" i="37" a="1"/>
  <c r="AW632" i="37" s="1"/>
  <c r="AW514" i="37" a="1"/>
  <c r="AW514" i="37" s="1"/>
  <c r="AW515" i="37" a="1"/>
  <c r="AW515" i="37" s="1"/>
  <c r="AW519" i="37" a="1"/>
  <c r="AW519" i="37" s="1"/>
  <c r="AW518" i="37" a="1"/>
  <c r="AW518" i="37" s="1"/>
  <c r="AW520" i="37" a="1"/>
  <c r="AW520" i="37" s="1"/>
  <c r="AW114" i="37" a="1"/>
  <c r="AW114" i="37" s="1"/>
  <c r="AW205" i="37" a="1"/>
  <c r="AW205" i="37" s="1"/>
  <c r="AW349" i="37" a="1"/>
  <c r="AW349" i="37" s="1"/>
  <c r="AW350" i="37" a="1"/>
  <c r="AW350" i="37" s="1"/>
  <c r="AW608" i="37" a="1"/>
  <c r="AW608" i="37" s="1"/>
  <c r="AW609" i="37" a="1"/>
  <c r="AW609" i="37" s="1"/>
  <c r="AW352" i="37" a="1"/>
  <c r="AW352" i="37" s="1"/>
  <c r="AW355" i="37" a="1"/>
  <c r="AW355" i="37" s="1"/>
  <c r="AW353" i="37" a="1"/>
  <c r="AW353" i="37" s="1"/>
  <c r="AW468" i="37" a="1"/>
  <c r="AW468" i="37" s="1"/>
  <c r="AW354" i="37" a="1"/>
  <c r="AW354" i="37" s="1"/>
  <c r="AW295" i="37" a="1"/>
  <c r="AW295" i="37" s="1"/>
  <c r="AW447" i="37" a="1"/>
  <c r="AW447" i="37" s="1"/>
  <c r="AW450" i="37" a="1"/>
  <c r="AW450" i="37" s="1"/>
  <c r="AW454" i="37" a="1"/>
  <c r="AW454" i="37" s="1"/>
  <c r="AW359" i="37" a="1"/>
  <c r="AW359" i="37" s="1"/>
  <c r="AW456" i="37" a="1"/>
  <c r="AW456" i="37" s="1"/>
  <c r="AW457" i="37" a="1"/>
  <c r="AW457" i="37" s="1"/>
  <c r="AW360" i="37" a="1"/>
  <c r="AW360" i="37" s="1"/>
  <c r="AW462" i="37" a="1"/>
  <c r="AW462" i="37" s="1"/>
  <c r="AW461" i="37" a="1"/>
  <c r="AW461" i="37" s="1"/>
  <c r="AW633" i="37" a="1"/>
  <c r="AW633" i="37" s="1"/>
  <c r="AW464" i="37" a="1"/>
  <c r="AW464" i="37" s="1"/>
  <c r="AW624" i="37" a="1"/>
  <c r="AW624" i="37" s="1"/>
  <c r="AW465" i="37" a="1"/>
  <c r="AW465" i="37" s="1"/>
  <c r="AW516" i="37" a="1"/>
  <c r="AW516" i="37" s="1"/>
  <c r="AW634" i="37" a="1"/>
  <c r="AW634" i="37" s="1"/>
  <c r="AW635" i="37" a="1"/>
  <c r="AW635" i="37" s="1"/>
  <c r="AW638" i="37" a="1"/>
  <c r="AW638" i="37" s="1"/>
  <c r="AW637" i="37" a="1"/>
  <c r="AW637" i="37" s="1"/>
  <c r="AW636" i="37" a="1"/>
  <c r="AW636" i="37" s="1"/>
  <c r="AW529" i="37" a="1"/>
  <c r="AW529" i="37" s="1"/>
  <c r="AW530" i="37" a="1"/>
  <c r="AW530" i="37" s="1"/>
  <c r="AW531" i="37" a="1"/>
  <c r="AW531" i="37" s="1"/>
  <c r="AW532" i="37" a="1"/>
  <c r="AW532" i="37" s="1"/>
  <c r="AV2" i="37" a="1"/>
  <c r="AV2" i="37" s="1"/>
  <c r="AV3" i="37" a="1"/>
  <c r="AV3" i="37" s="1"/>
  <c r="AV10" i="37" a="1"/>
  <c r="AV10" i="37" s="1"/>
  <c r="AV534" i="37" a="1"/>
  <c r="AV534" i="37" s="1"/>
  <c r="AV533" i="37" a="1"/>
  <c r="AV533" i="37" s="1"/>
  <c r="AV6" i="37" a="1"/>
  <c r="AV6" i="37" s="1"/>
  <c r="AV5" i="37" a="1"/>
  <c r="AV5" i="37" s="1"/>
  <c r="AV11" i="37" a="1"/>
  <c r="AV11" i="37" s="1"/>
  <c r="AV4" i="37" a="1"/>
  <c r="AV4" i="37" s="1"/>
  <c r="AV23" i="37" a="1"/>
  <c r="AV23" i="37" s="1"/>
  <c r="AV7" i="37" a="1"/>
  <c r="AV7" i="37" s="1"/>
  <c r="AV13" i="37" a="1"/>
  <c r="AV13" i="37" s="1"/>
  <c r="AV24" i="37" a="1"/>
  <c r="AV24" i="37" s="1"/>
  <c r="AV36" i="37" a="1"/>
  <c r="AV36" i="37" s="1"/>
  <c r="AV25" i="37" a="1"/>
  <c r="AV25" i="37" s="1"/>
  <c r="AV37" i="37" a="1"/>
  <c r="AV37" i="37" s="1"/>
  <c r="AV20" i="37" a="1"/>
  <c r="AV20" i="37" s="1"/>
  <c r="AV14" i="37" a="1"/>
  <c r="AV14" i="37" s="1"/>
  <c r="AV15" i="37" a="1"/>
  <c r="AV15" i="37" s="1"/>
  <c r="AV19" i="37" a="1"/>
  <c r="AV19" i="37" s="1"/>
  <c r="AV22" i="37" a="1"/>
  <c r="AV22" i="37" s="1"/>
  <c r="AV26" i="37" a="1"/>
  <c r="AV26" i="37" s="1"/>
  <c r="AV537" i="37" a="1"/>
  <c r="AV537" i="37" s="1"/>
  <c r="AV27" i="37" a="1"/>
  <c r="AV27" i="37" s="1"/>
  <c r="AV21" i="37" a="1"/>
  <c r="AV21" i="37" s="1"/>
  <c r="AV38" i="37" a="1"/>
  <c r="AV38" i="37" s="1"/>
  <c r="AV538" i="37" a="1"/>
  <c r="AV538" i="37" s="1"/>
  <c r="AV28" i="37" a="1"/>
  <c r="AV28" i="37" s="1"/>
  <c r="AV16" i="37" a="1"/>
  <c r="AV16" i="37" s="1"/>
  <c r="AV39" i="37" a="1"/>
  <c r="AV39" i="37" s="1"/>
  <c r="AV40" i="37" a="1"/>
  <c r="AV40" i="37" s="1"/>
  <c r="AV29" i="37" a="1"/>
  <c r="AV29" i="37" s="1"/>
  <c r="AV41" i="37" a="1"/>
  <c r="AV41" i="37" s="1"/>
  <c r="AV33" i="37" a="1"/>
  <c r="AV33" i="37" s="1"/>
  <c r="AV42" i="37" a="1"/>
  <c r="AV42" i="37" s="1"/>
  <c r="AV539" i="37" a="1"/>
  <c r="AV539" i="37" s="1"/>
  <c r="AV85" i="37" a="1"/>
  <c r="AV85" i="37" s="1"/>
  <c r="AV43" i="37" a="1"/>
  <c r="AV43" i="37" s="1"/>
  <c r="AV44" i="37" a="1"/>
  <c r="AV44" i="37" s="1"/>
  <c r="AV535" i="37" a="1"/>
  <c r="AV535" i="37" s="1"/>
  <c r="AV45" i="37" a="1"/>
  <c r="AV45" i="37" s="1"/>
  <c r="AV17" i="37" a="1"/>
  <c r="AV17" i="37" s="1"/>
  <c r="AV70" i="37" a="1"/>
  <c r="AV70" i="37" s="1"/>
  <c r="AV30" i="37" a="1"/>
  <c r="AV30" i="37" s="1"/>
  <c r="AV18" i="37" a="1"/>
  <c r="AV18" i="37" s="1"/>
  <c r="AV62" i="37" a="1"/>
  <c r="AV62" i="37" s="1"/>
  <c r="AV57" i="37" a="1"/>
  <c r="AV57" i="37" s="1"/>
  <c r="AV46" i="37" a="1"/>
  <c r="AV46" i="37" s="1"/>
  <c r="AV61" i="37" a="1"/>
  <c r="AV61" i="37" s="1"/>
  <c r="AV71" i="37" a="1"/>
  <c r="AV71" i="37" s="1"/>
  <c r="AV31" i="37" a="1"/>
  <c r="AV31" i="37" s="1"/>
  <c r="AV541" i="37" a="1"/>
  <c r="AV541" i="37" s="1"/>
  <c r="AV56" i="37" a="1"/>
  <c r="AV56" i="37" s="1"/>
  <c r="AV536" i="37" a="1"/>
  <c r="AV536" i="37" s="1"/>
  <c r="AV47" i="37" a="1"/>
  <c r="AV47" i="37" s="1"/>
  <c r="AV86" i="37" a="1"/>
  <c r="AV86" i="37" s="1"/>
  <c r="AV72" i="37" a="1"/>
  <c r="AV72" i="37" s="1"/>
  <c r="AV48" i="37" a="1"/>
  <c r="AV48" i="37" s="1"/>
  <c r="AV547" i="37" a="1"/>
  <c r="AV547" i="37" s="1"/>
  <c r="AV115" i="37" a="1"/>
  <c r="AV115" i="37" s="1"/>
  <c r="AV562" i="37" a="1"/>
  <c r="AV562" i="37" s="1"/>
  <c r="AV58" i="37" a="1"/>
  <c r="AV58" i="37" s="1"/>
  <c r="AV63" i="37" a="1"/>
  <c r="AV63" i="37" s="1"/>
  <c r="AV34" i="37" a="1"/>
  <c r="AV34" i="37" s="1"/>
  <c r="AV540" i="37" a="1"/>
  <c r="AV540" i="37" s="1"/>
  <c r="AV116" i="37" a="1"/>
  <c r="AV116" i="37" s="1"/>
  <c r="AV12" i="37" a="1"/>
  <c r="AV12" i="37" s="1"/>
  <c r="AV32" i="37" a="1"/>
  <c r="AV32" i="37" s="1"/>
  <c r="AV73" i="37" a="1"/>
  <c r="AV73" i="37" s="1"/>
  <c r="AV74" i="37" a="1"/>
  <c r="AV74" i="37" s="1"/>
  <c r="AV542" i="37" a="1"/>
  <c r="AV542" i="37" s="1"/>
  <c r="AV75" i="37" a="1"/>
  <c r="AV75" i="37" s="1"/>
  <c r="AV543" i="37" a="1"/>
  <c r="AV543" i="37" s="1"/>
  <c r="AV117" i="37" a="1"/>
  <c r="AV117" i="37" s="1"/>
  <c r="AV546" i="37" a="1"/>
  <c r="AV546" i="37" s="1"/>
  <c r="AV99" i="37" a="1"/>
  <c r="AV99" i="37" s="1"/>
  <c r="AV67" i="37" a="1"/>
  <c r="AV67" i="37" s="1"/>
  <c r="AV100" i="37" a="1"/>
  <c r="AV100" i="37" s="1"/>
  <c r="AV68" i="37" a="1"/>
  <c r="AV68" i="37" s="1"/>
  <c r="AV64" i="37" a="1"/>
  <c r="AV64" i="37" s="1"/>
  <c r="AV101" i="37" a="1"/>
  <c r="AV101" i="37" s="1"/>
  <c r="AV65" i="37" a="1"/>
  <c r="AV65" i="37" s="1"/>
  <c r="AV92" i="37" a="1"/>
  <c r="AV92" i="37" s="1"/>
  <c r="AV49" i="37" a="1"/>
  <c r="AV49" i="37" s="1"/>
  <c r="AV185" i="37" a="1"/>
  <c r="AV185" i="37" s="1"/>
  <c r="AV163" i="37" a="1"/>
  <c r="AV163" i="37" s="1"/>
  <c r="AV76" i="37" a="1"/>
  <c r="AV76" i="37" s="1"/>
  <c r="AV87" i="37" a="1"/>
  <c r="AV87" i="37" s="1"/>
  <c r="AV82" i="37" a="1"/>
  <c r="AV82" i="37" s="1"/>
  <c r="AV88" i="37" a="1"/>
  <c r="AV88" i="37" s="1"/>
  <c r="AV554" i="37" a="1"/>
  <c r="AV554" i="37" s="1"/>
  <c r="AV93" i="37" a="1"/>
  <c r="AV93" i="37" s="1"/>
  <c r="AV118" i="37" a="1"/>
  <c r="AV118" i="37" s="1"/>
  <c r="AV83" i="37" a="1"/>
  <c r="AV83" i="37" s="1"/>
  <c r="AV164" i="37" a="1"/>
  <c r="AV164" i="37" s="1"/>
  <c r="AV119" i="37" a="1"/>
  <c r="AV119" i="37" s="1"/>
  <c r="AV549" i="37" a="1"/>
  <c r="AV549" i="37" s="1"/>
  <c r="AV50" i="37" a="1"/>
  <c r="AV50" i="37" s="1"/>
  <c r="AV120" i="37" a="1"/>
  <c r="AV120" i="37" s="1"/>
  <c r="AV121" i="37" a="1"/>
  <c r="AV121" i="37" s="1"/>
  <c r="AV84" i="37" a="1"/>
  <c r="AV84" i="37" s="1"/>
  <c r="AV165" i="37" a="1"/>
  <c r="AV165" i="37" s="1"/>
  <c r="AV206" i="37" a="1"/>
  <c r="AV206" i="37" s="1"/>
  <c r="AV89" i="37" a="1"/>
  <c r="AV89" i="37" s="1"/>
  <c r="AV574" i="37" a="1"/>
  <c r="AV574" i="37" s="1"/>
  <c r="AV166" i="37" a="1"/>
  <c r="AV166" i="37" s="1"/>
  <c r="AV167" i="37" a="1"/>
  <c r="AV167" i="37" s="1"/>
  <c r="AV77" i="37" a="1"/>
  <c r="AV77" i="37" s="1"/>
  <c r="AV123" i="37" a="1"/>
  <c r="AV123" i="37" s="1"/>
  <c r="AV122" i="37" a="1"/>
  <c r="AV122" i="37" s="1"/>
  <c r="AV575" i="37" a="1"/>
  <c r="AV575" i="37" s="1"/>
  <c r="AV96" i="37" a="1"/>
  <c r="AV96" i="37" s="1"/>
  <c r="AV186" i="37" a="1"/>
  <c r="AV186" i="37" s="1"/>
  <c r="AV176" i="37" a="1"/>
  <c r="AV176" i="37" s="1"/>
  <c r="AV151" i="37" a="1"/>
  <c r="AV151" i="37" s="1"/>
  <c r="AV97" i="37" a="1"/>
  <c r="AV97" i="37" s="1"/>
  <c r="AV274" i="37" a="1"/>
  <c r="AV274" i="37" s="1"/>
  <c r="AV545" i="37" a="1"/>
  <c r="AV545" i="37" s="1"/>
  <c r="AV187" i="37" a="1"/>
  <c r="AV187" i="37" s="1"/>
  <c r="AV207" i="37" a="1"/>
  <c r="AV207" i="37" s="1"/>
  <c r="AV9" i="37" a="1"/>
  <c r="AV9" i="37" s="1"/>
  <c r="AV570" i="37" a="1"/>
  <c r="AV570" i="37" s="1"/>
  <c r="AV296" i="37" a="1"/>
  <c r="AV296" i="37" s="1"/>
  <c r="AV102" i="37" a="1"/>
  <c r="AV102" i="37" s="1"/>
  <c r="AV66" i="37" a="1"/>
  <c r="AV66" i="37" s="1"/>
  <c r="AV177" i="37" a="1"/>
  <c r="AV177" i="37" s="1"/>
  <c r="AV297" i="37" a="1"/>
  <c r="AV297" i="37" s="1"/>
  <c r="AV576" i="37" a="1"/>
  <c r="AV576" i="37" s="1"/>
  <c r="AV156" i="37" a="1"/>
  <c r="AV156" i="37" s="1"/>
  <c r="AV188" i="37" a="1"/>
  <c r="AV188" i="37" s="1"/>
  <c r="AV189" i="37" a="1"/>
  <c r="AV189" i="37" s="1"/>
  <c r="AV103" i="37" a="1"/>
  <c r="AV103" i="37" s="1"/>
  <c r="AV190" i="37" a="1"/>
  <c r="AV190" i="37" s="1"/>
  <c r="AV152" i="37" a="1"/>
  <c r="AV152" i="37" s="1"/>
  <c r="AV208" i="37" a="1"/>
  <c r="AV208" i="37" s="1"/>
  <c r="AV209" i="37" a="1"/>
  <c r="AV209" i="37" s="1"/>
  <c r="AV210" i="37" a="1"/>
  <c r="AV210" i="37" s="1"/>
  <c r="AV596" i="37" a="1"/>
  <c r="AV596" i="37" s="1"/>
  <c r="AV168" i="37" a="1"/>
  <c r="AV168" i="37" s="1"/>
  <c r="AV568" i="37" a="1"/>
  <c r="AV568" i="37" s="1"/>
  <c r="AV124" i="37" a="1"/>
  <c r="AV124" i="37" s="1"/>
  <c r="AV571" i="37" a="1"/>
  <c r="AV571" i="37" s="1"/>
  <c r="AV175" i="37" a="1"/>
  <c r="AV175" i="37" s="1"/>
  <c r="AV211" i="37" a="1"/>
  <c r="AV211" i="37" s="1"/>
  <c r="AV104" i="37" a="1"/>
  <c r="AV104" i="37" s="1"/>
  <c r="AV125" i="37" a="1"/>
  <c r="AV125" i="37" s="1"/>
  <c r="AV105" i="37" a="1"/>
  <c r="AV105" i="37" s="1"/>
  <c r="AV126" i="37" a="1"/>
  <c r="AV126" i="37" s="1"/>
  <c r="AV548" i="37" a="1"/>
  <c r="AV548" i="37" s="1"/>
  <c r="AV191" i="37" a="1"/>
  <c r="AV191" i="37" s="1"/>
  <c r="AV563" i="37" a="1"/>
  <c r="AV563" i="37" s="1"/>
  <c r="AV213" i="37" a="1"/>
  <c r="AV213" i="37" s="1"/>
  <c r="AV298" i="37" a="1"/>
  <c r="AV298" i="37" s="1"/>
  <c r="AV106" i="37" a="1"/>
  <c r="AV106" i="37" s="1"/>
  <c r="AV212" i="37" a="1"/>
  <c r="AV212" i="37" s="1"/>
  <c r="AV564" i="37" a="1"/>
  <c r="AV564" i="37" s="1"/>
  <c r="AV577" i="37" a="1"/>
  <c r="AV577" i="37" s="1"/>
  <c r="AV107" i="37" a="1"/>
  <c r="AV107" i="37" s="1"/>
  <c r="AV157" i="37" a="1"/>
  <c r="AV157" i="37" s="1"/>
  <c r="AV214" i="37" a="1"/>
  <c r="AV214" i="37" s="1"/>
  <c r="AV158" i="37" a="1"/>
  <c r="AV158" i="37" s="1"/>
  <c r="AV578" i="37" a="1"/>
  <c r="AV578" i="37" s="1"/>
  <c r="AV215" i="37" a="1"/>
  <c r="AV215" i="37" s="1"/>
  <c r="AV155" i="37" a="1"/>
  <c r="AV155" i="37" s="1"/>
  <c r="AV216" i="37" a="1"/>
  <c r="AV216" i="37" s="1"/>
  <c r="AV217" i="37" a="1"/>
  <c r="AV217" i="37" s="1"/>
  <c r="AV127" i="37" a="1"/>
  <c r="AV127" i="37" s="1"/>
  <c r="AV90" i="37" a="1"/>
  <c r="AV90" i="37" s="1"/>
  <c r="AV153" i="37" a="1"/>
  <c r="AV153" i="37" s="1"/>
  <c r="AV128" i="37" a="1"/>
  <c r="AV128" i="37" s="1"/>
  <c r="AV299" i="37" a="1"/>
  <c r="AV299" i="37" s="1"/>
  <c r="AV192" i="37" a="1"/>
  <c r="AV192" i="37" s="1"/>
  <c r="AV129" i="37" a="1"/>
  <c r="AV129" i="37" s="1"/>
  <c r="AV565" i="37" a="1"/>
  <c r="AV565" i="37" s="1"/>
  <c r="AV130" i="37" a="1"/>
  <c r="AV130" i="37" s="1"/>
  <c r="AV218" i="37" a="1"/>
  <c r="AV218" i="37" s="1"/>
  <c r="AV131" i="37" a="1"/>
  <c r="AV131" i="37" s="1"/>
  <c r="AV154" i="37" a="1"/>
  <c r="AV154" i="37" s="1"/>
  <c r="AV555" i="37" a="1"/>
  <c r="AV555" i="37" s="1"/>
  <c r="AV579" i="37" a="1"/>
  <c r="AV579" i="37" s="1"/>
  <c r="AV132" i="37" a="1"/>
  <c r="AV132" i="37" s="1"/>
  <c r="AV580" i="37" a="1"/>
  <c r="AV580" i="37" s="1"/>
  <c r="AV219" i="37" a="1"/>
  <c r="AV219" i="37" s="1"/>
  <c r="AV133" i="37" a="1"/>
  <c r="AV133" i="37" s="1"/>
  <c r="AV134" i="37" a="1"/>
  <c r="AV134" i="37" s="1"/>
  <c r="AV599" i="37" a="1"/>
  <c r="AV599" i="37" s="1"/>
  <c r="AV220" i="37" a="1"/>
  <c r="AV220" i="37" s="1"/>
  <c r="AV221" i="37" a="1"/>
  <c r="AV221" i="37" s="1"/>
  <c r="AV59" i="37" a="1"/>
  <c r="AV59" i="37" s="1"/>
  <c r="AV222" i="37" a="1"/>
  <c r="AV222" i="37" s="1"/>
  <c r="AV223" i="37" a="1"/>
  <c r="AV223" i="37" s="1"/>
  <c r="AV275" i="37" a="1"/>
  <c r="AV275" i="37" s="1"/>
  <c r="AV51" i="37" a="1"/>
  <c r="AV51" i="37" s="1"/>
  <c r="AV224" i="37" a="1"/>
  <c r="AV224" i="37" s="1"/>
  <c r="AV78" i="37" a="1"/>
  <c r="AV78" i="37" s="1"/>
  <c r="AV225" i="37" a="1"/>
  <c r="AV225" i="37" s="1"/>
  <c r="AV35" i="37" a="1"/>
  <c r="AV35" i="37" s="1"/>
  <c r="AV226" i="37" a="1"/>
  <c r="AV226" i="37" s="1"/>
  <c r="AV169" i="37" a="1"/>
  <c r="AV169" i="37" s="1"/>
  <c r="AV170" i="37" a="1"/>
  <c r="AV170" i="37" s="1"/>
  <c r="AV557" i="37" a="1"/>
  <c r="AV557" i="37" s="1"/>
  <c r="AV361" i="37" a="1"/>
  <c r="AV361" i="37" s="1"/>
  <c r="AV558" i="37" a="1"/>
  <c r="AV558" i="37" s="1"/>
  <c r="AV227" i="37" a="1"/>
  <c r="AV227" i="37" s="1"/>
  <c r="AV556" i="37" a="1"/>
  <c r="AV556" i="37" s="1"/>
  <c r="AV228" i="37" a="1"/>
  <c r="AV228" i="37" s="1"/>
  <c r="AV171" i="37" a="1"/>
  <c r="AV171" i="37" s="1"/>
  <c r="AV178" i="37" a="1"/>
  <c r="AV178" i="37" s="1"/>
  <c r="AV595" i="37" a="1"/>
  <c r="AV595" i="37" s="1"/>
  <c r="AV193" i="37" a="1"/>
  <c r="AV193" i="37" s="1"/>
  <c r="AV69" i="37" a="1"/>
  <c r="AV69" i="37" s="1"/>
  <c r="AV179" i="37" a="1"/>
  <c r="AV179" i="37" s="1"/>
  <c r="AV135" i="37" a="1"/>
  <c r="AV135" i="37" s="1"/>
  <c r="AV108" i="37" a="1"/>
  <c r="AV108" i="37" s="1"/>
  <c r="AV300" i="37" a="1"/>
  <c r="AV300" i="37" s="1"/>
  <c r="AV98" i="37" a="1"/>
  <c r="AV98" i="37" s="1"/>
  <c r="AV159" i="37" a="1"/>
  <c r="AV159" i="37" s="1"/>
  <c r="AV597" i="37" a="1"/>
  <c r="AV597" i="37" s="1"/>
  <c r="AV560" i="37" a="1"/>
  <c r="AV560" i="37" s="1"/>
  <c r="AV79" i="37" a="1"/>
  <c r="AV79" i="37" s="1"/>
  <c r="AV279" i="37" a="1"/>
  <c r="AV279" i="37" s="1"/>
  <c r="AV569" i="37" a="1"/>
  <c r="AV569" i="37" s="1"/>
  <c r="AV229" i="37" a="1"/>
  <c r="AV229" i="37" s="1"/>
  <c r="AV230" i="37" a="1"/>
  <c r="AV230" i="37" s="1"/>
  <c r="AV301" i="37" a="1"/>
  <c r="AV301" i="37" s="1"/>
  <c r="AV437" i="37" a="1"/>
  <c r="AV437" i="37" s="1"/>
  <c r="AV160" i="37" a="1"/>
  <c r="AV160" i="37" s="1"/>
  <c r="AV280" i="37" a="1"/>
  <c r="AV280" i="37" s="1"/>
  <c r="AV302" i="37" a="1"/>
  <c r="AV302" i="37" s="1"/>
  <c r="AV231" i="37" a="1"/>
  <c r="AV231" i="37" s="1"/>
  <c r="AV303" i="37" a="1"/>
  <c r="AV303" i="37" s="1"/>
  <c r="AV304" i="37" a="1"/>
  <c r="AV304" i="37" s="1"/>
  <c r="AV305" i="37" a="1"/>
  <c r="AV305" i="37" s="1"/>
  <c r="AV194" i="37" a="1"/>
  <c r="AV194" i="37" s="1"/>
  <c r="AV265" i="37" a="1"/>
  <c r="AV265" i="37" s="1"/>
  <c r="AV306" i="37" a="1"/>
  <c r="AV306" i="37" s="1"/>
  <c r="AV232" i="37" a="1"/>
  <c r="AV232" i="37" s="1"/>
  <c r="AV195" i="37" a="1"/>
  <c r="AV195" i="37" s="1"/>
  <c r="AV598" i="37" a="1"/>
  <c r="AV598" i="37" s="1"/>
  <c r="AV281" i="37" a="1"/>
  <c r="AV281" i="37" s="1"/>
  <c r="AV600" i="37" a="1"/>
  <c r="AV600" i="37" s="1"/>
  <c r="AV80" i="37" a="1"/>
  <c r="AV80" i="37" s="1"/>
  <c r="AV270" i="37" a="1"/>
  <c r="AV270" i="37" s="1"/>
  <c r="AV180" i="37" a="1"/>
  <c r="AV180" i="37" s="1"/>
  <c r="AV307" i="37" a="1"/>
  <c r="AV307" i="37" s="1"/>
  <c r="AV267" i="37" a="1"/>
  <c r="AV267" i="37" s="1"/>
  <c r="AV196" i="37" a="1"/>
  <c r="AV196" i="37" s="1"/>
  <c r="AV269" i="37" a="1"/>
  <c r="AV269" i="37" s="1"/>
  <c r="AV198" i="37" a="1"/>
  <c r="AV198" i="37" s="1"/>
  <c r="AV282" i="37" a="1"/>
  <c r="AV282" i="37" s="1"/>
  <c r="AV308" i="37" a="1"/>
  <c r="AV308" i="37" s="1"/>
  <c r="AV471" i="37" a="1"/>
  <c r="AV471" i="37" s="1"/>
  <c r="AV283" i="37" a="1"/>
  <c r="AV283" i="37" s="1"/>
  <c r="AV161" i="37" a="1"/>
  <c r="AV161" i="37" s="1"/>
  <c r="AV581" i="37" a="1"/>
  <c r="AV581" i="37" s="1"/>
  <c r="AV234" i="37" a="1"/>
  <c r="AV234" i="37" s="1"/>
  <c r="AV233" i="37" a="1"/>
  <c r="AV233" i="37" s="1"/>
  <c r="AV235" i="37" a="1"/>
  <c r="AV235" i="37" s="1"/>
  <c r="AV268" i="37" a="1"/>
  <c r="AV268" i="37" s="1"/>
  <c r="AV199" i="37" a="1"/>
  <c r="AV199" i="37" s="1"/>
  <c r="AV236" i="37" a="1"/>
  <c r="AV236" i="37" s="1"/>
  <c r="AV582" i="37" a="1"/>
  <c r="AV582" i="37" s="1"/>
  <c r="AV237" i="37" a="1"/>
  <c r="AV237" i="37" s="1"/>
  <c r="AV238" i="37" a="1"/>
  <c r="AV238" i="37" s="1"/>
  <c r="AV583" i="37" a="1"/>
  <c r="AV583" i="37" s="1"/>
  <c r="AV172" i="37" a="1"/>
  <c r="AV172" i="37" s="1"/>
  <c r="AV239" i="37" a="1"/>
  <c r="AV239" i="37" s="1"/>
  <c r="AV363" i="37" a="1"/>
  <c r="AV363" i="37" s="1"/>
  <c r="AV364" i="37" a="1"/>
  <c r="AV364" i="37" s="1"/>
  <c r="AV362" i="37" a="1"/>
  <c r="AV362" i="37" s="1"/>
  <c r="AV594" i="37" a="1"/>
  <c r="AV594" i="37" s="1"/>
  <c r="AV612" i="37" a="1"/>
  <c r="AV612" i="37" s="1"/>
  <c r="AV266" i="37" a="1"/>
  <c r="AV266" i="37" s="1"/>
  <c r="AV309" i="37" a="1"/>
  <c r="AV309" i="37" s="1"/>
  <c r="AV365" i="37" a="1"/>
  <c r="AV365" i="37" s="1"/>
  <c r="AV240" i="37" a="1"/>
  <c r="AV240" i="37" s="1"/>
  <c r="AV91" i="37" a="1"/>
  <c r="AV91" i="37" s="1"/>
  <c r="AV613" i="37" a="1"/>
  <c r="AV613" i="37" s="1"/>
  <c r="AV551" i="37" a="1"/>
  <c r="AV551" i="37" s="1"/>
  <c r="AV271" i="37" a="1"/>
  <c r="AV271" i="37" s="1"/>
  <c r="AV584" i="37" a="1"/>
  <c r="AV584" i="37" s="1"/>
  <c r="AV52" i="37" a="1"/>
  <c r="AV52" i="37" s="1"/>
  <c r="AV366" i="37" a="1"/>
  <c r="AV366" i="37" s="1"/>
  <c r="AV241" i="37" a="1"/>
  <c r="AV241" i="37" s="1"/>
  <c r="AV614" i="37" a="1"/>
  <c r="AV614" i="37" s="1"/>
  <c r="AV367" i="37" a="1"/>
  <c r="AV367" i="37" s="1"/>
  <c r="AV544" i="37" a="1"/>
  <c r="AV544" i="37" s="1"/>
  <c r="AV136" i="37" a="1"/>
  <c r="AV136" i="37" s="1"/>
  <c r="AV585" i="37" a="1"/>
  <c r="AV585" i="37" s="1"/>
  <c r="AV371" i="37" a="1"/>
  <c r="AV371" i="37" s="1"/>
  <c r="AV369" i="37" a="1"/>
  <c r="AV369" i="37" s="1"/>
  <c r="AV615" i="37" a="1"/>
  <c r="AV615" i="37" s="1"/>
  <c r="AV368" i="37" a="1"/>
  <c r="AV368" i="37" s="1"/>
  <c r="AV370" i="37" a="1"/>
  <c r="AV370" i="37" s="1"/>
  <c r="AV242" i="37" a="1"/>
  <c r="AV242" i="37" s="1"/>
  <c r="AV244" i="37" a="1"/>
  <c r="AV244" i="37" s="1"/>
  <c r="AV372" i="37" a="1"/>
  <c r="AV372" i="37" s="1"/>
  <c r="AV566" i="37" a="1"/>
  <c r="AV566" i="37" s="1"/>
  <c r="AV243" i="37" a="1"/>
  <c r="AV243" i="37" s="1"/>
  <c r="AV407" i="37" a="1"/>
  <c r="AV407" i="37" s="1"/>
  <c r="AV8" i="37" a="1"/>
  <c r="AV8" i="37" s="1"/>
  <c r="AV310" i="37" a="1"/>
  <c r="AV310" i="37" s="1"/>
  <c r="AV385" i="37" a="1"/>
  <c r="AV385" i="37" s="1"/>
  <c r="AV94" i="37" a="1"/>
  <c r="AV94" i="37" s="1"/>
  <c r="AV55" i="37" a="1"/>
  <c r="AV55" i="37" s="1"/>
  <c r="AV258" i="37" a="1"/>
  <c r="AV258" i="37" s="1"/>
  <c r="AV137" i="37" a="1"/>
  <c r="AV137" i="37" s="1"/>
  <c r="AV54" i="37" a="1"/>
  <c r="AV54" i="37" s="1"/>
  <c r="AV418" i="37" a="1"/>
  <c r="AV418" i="37" s="1"/>
  <c r="AV174" i="37" a="1"/>
  <c r="AV174" i="37" s="1"/>
  <c r="AV311" i="37" a="1"/>
  <c r="AV311" i="37" s="1"/>
  <c r="AV416" i="37" a="1"/>
  <c r="AV416" i="37" s="1"/>
  <c r="AV312" i="37" a="1"/>
  <c r="AV312" i="37" s="1"/>
  <c r="AV145" i="37" a="1"/>
  <c r="AV145" i="37" s="1"/>
  <c r="AV278" i="37" a="1"/>
  <c r="AV278" i="37" s="1"/>
  <c r="AV181" i="37" a="1"/>
  <c r="AV181" i="37" s="1"/>
  <c r="AV375" i="37" a="1"/>
  <c r="AV375" i="37" s="1"/>
  <c r="AV146" i="37" a="1"/>
  <c r="AV146" i="37" s="1"/>
  <c r="AV388" i="37" a="1"/>
  <c r="AV388" i="37" s="1"/>
  <c r="AV419" i="37" a="1"/>
  <c r="AV419" i="37" s="1"/>
  <c r="AV60" i="37" a="1"/>
  <c r="AV60" i="37" s="1"/>
  <c r="AV81" i="37" a="1"/>
  <c r="AV81" i="37" s="1"/>
  <c r="AV149" i="37" a="1"/>
  <c r="AV149" i="37" s="1"/>
  <c r="AV246" i="37" a="1"/>
  <c r="AV246" i="37" s="1"/>
  <c r="AV590" i="37" a="1"/>
  <c r="AV590" i="37" s="1"/>
  <c r="AV254" i="37" a="1"/>
  <c r="AV254" i="37" s="1"/>
  <c r="AV373" i="37" a="1"/>
  <c r="AV373" i="37" s="1"/>
  <c r="AV376" i="37" a="1"/>
  <c r="AV376" i="37" s="1"/>
  <c r="AV378" i="37" a="1"/>
  <c r="AV378" i="37" s="1"/>
  <c r="AV410" i="37" a="1"/>
  <c r="AV410" i="37" s="1"/>
  <c r="AV409" i="37" a="1"/>
  <c r="AV409" i="37" s="1"/>
  <c r="AV420" i="37" a="1"/>
  <c r="AV420" i="37" s="1"/>
  <c r="AV248" i="37" a="1"/>
  <c r="AV248" i="37" s="1"/>
  <c r="AV247" i="37" a="1"/>
  <c r="AV247" i="37" s="1"/>
  <c r="AV259" i="37" a="1"/>
  <c r="AV259" i="37" s="1"/>
  <c r="AV402" i="37" a="1"/>
  <c r="AV402" i="37" s="1"/>
  <c r="AV415" i="37" a="1"/>
  <c r="AV415" i="37" s="1"/>
  <c r="AV417" i="37" a="1"/>
  <c r="AV417" i="37" s="1"/>
  <c r="AV53" i="37" a="1"/>
  <c r="AV53" i="37" s="1"/>
  <c r="AV140" i="37" a="1"/>
  <c r="AV140" i="37" s="1"/>
  <c r="AV142" i="37" a="1"/>
  <c r="AV142" i="37" s="1"/>
  <c r="AV109" i="37" a="1"/>
  <c r="AV109" i="37" s="1"/>
  <c r="AV313" i="37" a="1"/>
  <c r="AV313" i="37" s="1"/>
  <c r="AV314" i="37" a="1"/>
  <c r="AV314" i="37" s="1"/>
  <c r="AV601" i="37" a="1"/>
  <c r="AV601" i="37" s="1"/>
  <c r="AV315" i="37" a="1"/>
  <c r="AV315" i="37" s="1"/>
  <c r="AV618" i="37" a="1"/>
  <c r="AV618" i="37" s="1"/>
  <c r="AV143" i="37" a="1"/>
  <c r="AV143" i="37" s="1"/>
  <c r="AV622" i="37" a="1"/>
  <c r="AV622" i="37" s="1"/>
  <c r="AV316" i="37" a="1"/>
  <c r="AV316" i="37" s="1"/>
  <c r="AV552" i="37" a="1"/>
  <c r="AV552" i="37" s="1"/>
  <c r="AV317" i="37" a="1"/>
  <c r="AV317" i="37" s="1"/>
  <c r="AV182" i="37" a="1"/>
  <c r="AV182" i="37" s="1"/>
  <c r="AV200" i="37" a="1"/>
  <c r="AV200" i="37" s="1"/>
  <c r="AV284" i="37" a="1"/>
  <c r="AV284" i="37" s="1"/>
  <c r="AV427" i="37" a="1"/>
  <c r="AV427" i="37" s="1"/>
  <c r="AV147" i="37" a="1"/>
  <c r="AV147" i="37" s="1"/>
  <c r="AV173" i="37" a="1"/>
  <c r="AV173" i="37" s="1"/>
  <c r="AV318" i="37" a="1"/>
  <c r="AV318" i="37" s="1"/>
  <c r="AV435" i="37" a="1"/>
  <c r="AV435" i="37" s="1"/>
  <c r="AV285" i="37" a="1"/>
  <c r="AV285" i="37" s="1"/>
  <c r="AV602" i="37" a="1"/>
  <c r="AV602" i="37" s="1"/>
  <c r="AV319" i="37" a="1"/>
  <c r="AV319" i="37" s="1"/>
  <c r="AV148" i="37" a="1"/>
  <c r="AV148" i="37" s="1"/>
  <c r="AV320" i="37" a="1"/>
  <c r="AV320" i="37" s="1"/>
  <c r="AV321" i="37" a="1"/>
  <c r="AV321" i="37" s="1"/>
  <c r="AV150" i="37" a="1"/>
  <c r="AV150" i="37" s="1"/>
  <c r="AV322" i="37" a="1"/>
  <c r="AV322" i="37" s="1"/>
  <c r="AV323" i="37" a="1"/>
  <c r="AV323" i="37" s="1"/>
  <c r="AV621" i="37" a="1"/>
  <c r="AV621" i="37" s="1"/>
  <c r="AV424" i="37" a="1"/>
  <c r="AV424" i="37" s="1"/>
  <c r="AV201" i="37" a="1"/>
  <c r="AV201" i="37" s="1"/>
  <c r="AV440" i="37" a="1"/>
  <c r="AV440" i="37" s="1"/>
  <c r="AV110" i="37" a="1"/>
  <c r="AV110" i="37" s="1"/>
  <c r="AV286" i="37" a="1"/>
  <c r="AV286" i="37" s="1"/>
  <c r="AV325" i="37" a="1"/>
  <c r="AV325" i="37" s="1"/>
  <c r="AV423" i="37" a="1"/>
  <c r="AV423" i="37" s="1"/>
  <c r="AV431" i="37" a="1"/>
  <c r="AV431" i="37" s="1"/>
  <c r="AV421" i="37" a="1"/>
  <c r="AV421" i="37" s="1"/>
  <c r="AV245" i="37" a="1"/>
  <c r="AV245" i="37" s="1"/>
  <c r="AV434" i="37" a="1"/>
  <c r="AV434" i="37" s="1"/>
  <c r="AV324" i="37" a="1"/>
  <c r="AV324" i="37" s="1"/>
  <c r="AV572" i="37" a="1"/>
  <c r="AV572" i="37" s="1"/>
  <c r="AV202" i="37" a="1"/>
  <c r="AV202" i="37" s="1"/>
  <c r="AV588" i="37" a="1"/>
  <c r="AV588" i="37" s="1"/>
  <c r="AV603" i="37" a="1"/>
  <c r="AV603" i="37" s="1"/>
  <c r="AV619" i="37" a="1"/>
  <c r="AV619" i="37" s="1"/>
  <c r="AV250" i="37" a="1"/>
  <c r="AV250" i="37" s="1"/>
  <c r="AV441" i="37" a="1"/>
  <c r="AV441" i="37" s="1"/>
  <c r="AV438" i="37" a="1"/>
  <c r="AV438" i="37" s="1"/>
  <c r="AV327" i="37" a="1"/>
  <c r="AV327" i="37" s="1"/>
  <c r="AV426" i="37" a="1"/>
  <c r="AV426" i="37" s="1"/>
  <c r="AV287" i="37" a="1"/>
  <c r="AV287" i="37" s="1"/>
  <c r="AV95" i="37" a="1"/>
  <c r="AV95" i="37" s="1"/>
  <c r="AV326" i="37" a="1"/>
  <c r="AV326" i="37" s="1"/>
  <c r="AV249" i="37" a="1"/>
  <c r="AV249" i="37" s="1"/>
  <c r="AV425" i="37" a="1"/>
  <c r="AV425" i="37" s="1"/>
  <c r="AV604" i="37" a="1"/>
  <c r="AV604" i="37" s="1"/>
  <c r="AV162" i="37" a="1"/>
  <c r="AV162" i="37" s="1"/>
  <c r="AV276" i="37" a="1"/>
  <c r="AV276" i="37" s="1"/>
  <c r="AV328" i="37" a="1"/>
  <c r="AV328" i="37" s="1"/>
  <c r="AV472" i="37" a="1"/>
  <c r="AV472" i="37" s="1"/>
  <c r="AV272" i="37" a="1"/>
  <c r="AV272" i="37" s="1"/>
  <c r="AV255" i="37" a="1"/>
  <c r="AV255" i="37" s="1"/>
  <c r="AV277" i="37" a="1"/>
  <c r="AV277" i="37" s="1"/>
  <c r="AV442" i="37" a="1"/>
  <c r="AV442" i="37" s="1"/>
  <c r="AV591" i="37" a="1"/>
  <c r="AV591" i="37" s="1"/>
  <c r="AV592" i="37" a="1"/>
  <c r="AV592" i="37" s="1"/>
  <c r="AV329" i="37" a="1"/>
  <c r="AV329" i="37" s="1"/>
  <c r="AV473" i="37" a="1"/>
  <c r="AV473" i="37" s="1"/>
  <c r="AV474" i="37" a="1"/>
  <c r="AV474" i="37" s="1"/>
  <c r="AV428" i="37" a="1"/>
  <c r="AV428" i="37" s="1"/>
  <c r="AV330" i="37" a="1"/>
  <c r="AV330" i="37" s="1"/>
  <c r="AV257" i="37" a="1"/>
  <c r="AV257" i="37" s="1"/>
  <c r="AV429" i="37" a="1"/>
  <c r="AV429" i="37" s="1"/>
  <c r="AV263" i="37" a="1"/>
  <c r="AV263" i="37" s="1"/>
  <c r="AV444" i="37" a="1"/>
  <c r="AV444" i="37" s="1"/>
  <c r="AV430" i="37" a="1"/>
  <c r="AV430" i="37" s="1"/>
  <c r="AV432" i="37" a="1"/>
  <c r="AV432" i="37" s="1"/>
  <c r="AV260" i="37" a="1"/>
  <c r="AV260" i="37" s="1"/>
  <c r="AV261" i="37" a="1"/>
  <c r="AV261" i="37" s="1"/>
  <c r="AV262" i="37" a="1"/>
  <c r="AV262" i="37" s="1"/>
  <c r="AV331" i="37" a="1"/>
  <c r="AV331" i="37" s="1"/>
  <c r="AV374" i="37" a="1"/>
  <c r="AV374" i="37" s="1"/>
  <c r="AV332" i="37" a="1"/>
  <c r="AV332" i="37" s="1"/>
  <c r="AV377" i="37" a="1"/>
  <c r="AV377" i="37" s="1"/>
  <c r="AV203" i="37" a="1"/>
  <c r="AV203" i="37" s="1"/>
  <c r="AV111" i="37" a="1"/>
  <c r="AV111" i="37" s="1"/>
  <c r="AV379" i="37" a="1"/>
  <c r="AV379" i="37" s="1"/>
  <c r="AV333" i="37" a="1"/>
  <c r="AV333" i="37" s="1"/>
  <c r="AV334" i="37" a="1"/>
  <c r="AV334" i="37" s="1"/>
  <c r="AV443" i="37" a="1"/>
  <c r="AV443" i="37" s="1"/>
  <c r="AV459" i="37" a="1"/>
  <c r="AV459" i="37" s="1"/>
  <c r="AV289" i="37" a="1"/>
  <c r="AV289" i="37" s="1"/>
  <c r="AV475" i="37" a="1"/>
  <c r="AV475" i="37" s="1"/>
  <c r="AV335" i="37" a="1"/>
  <c r="AV335" i="37" s="1"/>
  <c r="AV112" i="37" a="1"/>
  <c r="AV112" i="37" s="1"/>
  <c r="AV422" i="37" a="1"/>
  <c r="AV422" i="37" s="1"/>
  <c r="AV381" i="37" a="1"/>
  <c r="AV381" i="37" s="1"/>
  <c r="AV605" i="37" a="1"/>
  <c r="AV605" i="37" s="1"/>
  <c r="AV616" i="37" a="1"/>
  <c r="AV616" i="37" s="1"/>
  <c r="AV383" i="37" a="1"/>
  <c r="AV383" i="37" s="1"/>
  <c r="AV183" i="37" a="1"/>
  <c r="AV183" i="37" s="1"/>
  <c r="AV433" i="37" a="1"/>
  <c r="AV433" i="37" s="1"/>
  <c r="AV336" i="37" a="1"/>
  <c r="AV336" i="37" s="1"/>
  <c r="AV337" i="37" a="1"/>
  <c r="AV337" i="37" s="1"/>
  <c r="AV386" i="37" a="1"/>
  <c r="AV386" i="37" s="1"/>
  <c r="AV338" i="37" a="1"/>
  <c r="AV338" i="37" s="1"/>
  <c r="AV617" i="37" a="1"/>
  <c r="AV617" i="37" s="1"/>
  <c r="AV389" i="37" a="1"/>
  <c r="AV389" i="37" s="1"/>
  <c r="AV606" i="37" a="1"/>
  <c r="AV606" i="37" s="1"/>
  <c r="AV204" i="37" a="1"/>
  <c r="AV204" i="37" s="1"/>
  <c r="AV291" i="37" a="1"/>
  <c r="AV291" i="37" s="1"/>
  <c r="AV390" i="37" a="1"/>
  <c r="AV390" i="37" s="1"/>
  <c r="AV394" i="37" a="1"/>
  <c r="AV394" i="37" s="1"/>
  <c r="AV398" i="37" a="1"/>
  <c r="AV398" i="37" s="1"/>
  <c r="AV400" i="37" a="1"/>
  <c r="AV400" i="37" s="1"/>
  <c r="AV476" i="37" a="1"/>
  <c r="AV476" i="37" s="1"/>
  <c r="AV399" i="37" a="1"/>
  <c r="AV399" i="37" s="1"/>
  <c r="AV403" i="37" a="1"/>
  <c r="AV403" i="37" s="1"/>
  <c r="AV477" i="37" a="1"/>
  <c r="AV477" i="37" s="1"/>
  <c r="AV408" i="37" a="1"/>
  <c r="AV408" i="37" s="1"/>
  <c r="AV439" i="37" a="1"/>
  <c r="AV439" i="37" s="1"/>
  <c r="AV573" i="37" a="1"/>
  <c r="AV573" i="37" s="1"/>
  <c r="AV413" i="37" a="1"/>
  <c r="AV413" i="37" s="1"/>
  <c r="AV607" i="37" a="1"/>
  <c r="AV607" i="37" s="1"/>
  <c r="AV412" i="37" a="1"/>
  <c r="AV412" i="37" s="1"/>
  <c r="AV113" i="37" a="1"/>
  <c r="AV113" i="37" s="1"/>
  <c r="AV414" i="37" a="1"/>
  <c r="AV414" i="37" s="1"/>
  <c r="AV411" i="37" a="1"/>
  <c r="AV411" i="37" s="1"/>
  <c r="AV138" i="37" a="1"/>
  <c r="AV138" i="37" s="1"/>
  <c r="AV139" i="37" a="1"/>
  <c r="AV139" i="37" s="1"/>
  <c r="AV339" i="37" a="1"/>
  <c r="AV339" i="37" s="1"/>
  <c r="AV478" i="37" a="1"/>
  <c r="AV478" i="37" s="1"/>
  <c r="AV141" i="37" a="1"/>
  <c r="AV141" i="37" s="1"/>
  <c r="AV479" i="37" a="1"/>
  <c r="AV479" i="37" s="1"/>
  <c r="AV340" i="37" a="1"/>
  <c r="AV340" i="37" s="1"/>
  <c r="AV144" i="37" a="1"/>
  <c r="AV144" i="37" s="1"/>
  <c r="AV567" i="37" a="1"/>
  <c r="AV567" i="37" s="1"/>
  <c r="AV586" i="37" a="1"/>
  <c r="AV586" i="37" s="1"/>
  <c r="AV587" i="37" a="1"/>
  <c r="AV587" i="37" s="1"/>
  <c r="AV589" i="37" a="1"/>
  <c r="AV589" i="37" s="1"/>
  <c r="AV625" i="37" a="1"/>
  <c r="AV625" i="37" s="1"/>
  <c r="AV480" i="37" a="1"/>
  <c r="AV480" i="37" s="1"/>
  <c r="AV342" i="37" a="1"/>
  <c r="AV342" i="37" s="1"/>
  <c r="AV253" i="37" a="1"/>
  <c r="AV253" i="37" s="1"/>
  <c r="AV341" i="37" a="1"/>
  <c r="AV341" i="37" s="1"/>
  <c r="AV252" i="37" a="1"/>
  <c r="AV252" i="37" s="1"/>
  <c r="AV482" i="37" a="1"/>
  <c r="AV482" i="37" s="1"/>
  <c r="AV481" i="37" a="1"/>
  <c r="AV481" i="37" s="1"/>
  <c r="AV343" i="37" a="1"/>
  <c r="AV343" i="37" s="1"/>
  <c r="AV251" i="37" a="1"/>
  <c r="AV251" i="37" s="1"/>
  <c r="AV256" i="37" a="1"/>
  <c r="AV256" i="37" s="1"/>
  <c r="AV264" i="37" a="1"/>
  <c r="AV264" i="37" s="1"/>
  <c r="AV593" i="37" a="1"/>
  <c r="AV593" i="37" s="1"/>
  <c r="AV345" i="37" a="1"/>
  <c r="AV345" i="37" s="1"/>
  <c r="AV484" i="37" a="1"/>
  <c r="AV484" i="37" s="1"/>
  <c r="AV483" i="37" a="1"/>
  <c r="AV483" i="37" s="1"/>
  <c r="AV344" i="37" a="1"/>
  <c r="AV344" i="37" s="1"/>
  <c r="AV458" i="37" a="1"/>
  <c r="AV458" i="37" s="1"/>
  <c r="AV486" i="37" a="1"/>
  <c r="AV486" i="37" s="1"/>
  <c r="AV485" i="37" a="1"/>
  <c r="AV485" i="37" s="1"/>
  <c r="AV626" i="37" a="1"/>
  <c r="AV626" i="37" s="1"/>
  <c r="AV346" i="37" a="1"/>
  <c r="AV346" i="37" s="1"/>
  <c r="AV628" i="37" a="1"/>
  <c r="AV628" i="37" s="1"/>
  <c r="AV380" i="37" a="1"/>
  <c r="AV380" i="37" s="1"/>
  <c r="AV382" i="37" a="1"/>
  <c r="AV382" i="37" s="1"/>
  <c r="AV627" i="37" a="1"/>
  <c r="AV627" i="37" s="1"/>
  <c r="AV384" i="37" a="1"/>
  <c r="AV384" i="37" s="1"/>
  <c r="AV387" i="37" a="1"/>
  <c r="AV387" i="37" s="1"/>
  <c r="AV391" i="37" a="1"/>
  <c r="AV391" i="37" s="1"/>
  <c r="AV392" i="37" a="1"/>
  <c r="AV392" i="37" s="1"/>
  <c r="AV393" i="37" a="1"/>
  <c r="AV393" i="37" s="1"/>
  <c r="AV397" i="37" a="1"/>
  <c r="AV397" i="37" s="1"/>
  <c r="AV396" i="37" a="1"/>
  <c r="AV396" i="37" s="1"/>
  <c r="AV401" i="37" a="1"/>
  <c r="AV401" i="37" s="1"/>
  <c r="AV405" i="37" a="1"/>
  <c r="AV405" i="37" s="1"/>
  <c r="AV404" i="37" a="1"/>
  <c r="AV404" i="37" s="1"/>
  <c r="AV406" i="37" a="1"/>
  <c r="AV406" i="37" s="1"/>
  <c r="AV487" i="37" a="1"/>
  <c r="AV487" i="37" s="1"/>
  <c r="AV506" i="37" a="1"/>
  <c r="AV506" i="37" s="1"/>
  <c r="AV620" i="37" a="1"/>
  <c r="AV620" i="37" s="1"/>
  <c r="AV466" i="37" a="1"/>
  <c r="AV466" i="37" s="1"/>
  <c r="AV550" i="37" a="1"/>
  <c r="AV550" i="37" s="1"/>
  <c r="AV498" i="37" a="1"/>
  <c r="AV498" i="37" s="1"/>
  <c r="AV521" i="37" a="1"/>
  <c r="AV521" i="37" s="1"/>
  <c r="AV445" i="37" a="1"/>
  <c r="AV445" i="37" s="1"/>
  <c r="AV184" i="37" a="1"/>
  <c r="AV184" i="37" s="1"/>
  <c r="AV348" i="37" a="1"/>
  <c r="AV348" i="37" s="1"/>
  <c r="AV357" i="37" a="1"/>
  <c r="AV357" i="37" s="1"/>
  <c r="AV640" i="37" a="1"/>
  <c r="AV640" i="37" s="1"/>
  <c r="AV469" i="37" a="1"/>
  <c r="AV469" i="37" s="1"/>
  <c r="AV510" i="37" a="1"/>
  <c r="AV510" i="37" s="1"/>
  <c r="AV511" i="37" a="1"/>
  <c r="AV511" i="37" s="1"/>
  <c r="AV528" i="37" a="1"/>
  <c r="AV528" i="37" s="1"/>
  <c r="AV347" i="37" a="1"/>
  <c r="AV347" i="37" s="1"/>
  <c r="AV436" i="37" a="1"/>
  <c r="AV436" i="37" s="1"/>
  <c r="AV517" i="37" a="1"/>
  <c r="AV517" i="37" s="1"/>
  <c r="AV493" i="37" a="1"/>
  <c r="AV493" i="37" s="1"/>
  <c r="AV467" i="37" a="1"/>
  <c r="AV467" i="37" s="1"/>
  <c r="AV293" i="37" a="1"/>
  <c r="AV293" i="37" s="1"/>
  <c r="AV452" i="37" a="1"/>
  <c r="AV452" i="37" s="1"/>
  <c r="AV358" i="37" a="1"/>
  <c r="AV358" i="37" s="1"/>
  <c r="AV455" i="37" a="1"/>
  <c r="AV455" i="37" s="1"/>
  <c r="AV522" i="37" a="1"/>
  <c r="AV522" i="37" s="1"/>
  <c r="AV351" i="37" a="1"/>
  <c r="AV351" i="37" s="1"/>
  <c r="AV610" i="37" a="1"/>
  <c r="AV610" i="37" s="1"/>
  <c r="AV463" i="37" a="1"/>
  <c r="AV463" i="37" s="1"/>
  <c r="AV490" i="37" a="1"/>
  <c r="AV490" i="37" s="1"/>
  <c r="AV500" i="37" a="1"/>
  <c r="AV500" i="37" s="1"/>
  <c r="AV499" i="37" a="1"/>
  <c r="AV499" i="37" s="1"/>
  <c r="AV523" i="37" a="1"/>
  <c r="AV523" i="37" s="1"/>
  <c r="AV470" i="37" a="1"/>
  <c r="AV470" i="37" s="1"/>
  <c r="AV273" i="37" a="1"/>
  <c r="AV273" i="37" s="1"/>
  <c r="AV489" i="37" a="1"/>
  <c r="AV489" i="37" s="1"/>
  <c r="AV488" i="37" a="1"/>
  <c r="AV488" i="37" s="1"/>
  <c r="AV288" i="37" a="1"/>
  <c r="AV288" i="37" s="1"/>
  <c r="AV292" i="37" a="1"/>
  <c r="AV292" i="37" s="1"/>
  <c r="AV491" i="37" a="1"/>
  <c r="AV491" i="37" s="1"/>
  <c r="AV448" i="37" a="1"/>
  <c r="AV448" i="37" s="1"/>
  <c r="AV494" i="37" a="1"/>
  <c r="AV494" i="37" s="1"/>
  <c r="AV451" i="37" a="1"/>
  <c r="AV451" i="37" s="1"/>
  <c r="AV512" i="37" a="1"/>
  <c r="AV512" i="37" s="1"/>
  <c r="AV525" i="37" a="1"/>
  <c r="AV525" i="37" s="1"/>
  <c r="AV527" i="37" a="1"/>
  <c r="AV527" i="37" s="1"/>
  <c r="AV524" i="37" a="1"/>
  <c r="AV524" i="37" s="1"/>
  <c r="AV639" i="37" a="1"/>
  <c r="AV639" i="37" s="1"/>
  <c r="AV356" i="37" a="1"/>
  <c r="AV356" i="37" s="1"/>
  <c r="AV453" i="37" a="1"/>
  <c r="AV453" i="37" s="1"/>
  <c r="AV460" i="37" a="1"/>
  <c r="AV460" i="37" s="1"/>
  <c r="AV290" i="37" a="1"/>
  <c r="AV290" i="37" s="1"/>
  <c r="AV611" i="37" a="1"/>
  <c r="AV611" i="37" s="1"/>
  <c r="AV492" i="37" a="1"/>
  <c r="AV492" i="37" s="1"/>
  <c r="AV495" i="37" a="1"/>
  <c r="AV495" i="37" s="1"/>
  <c r="AV294" i="37" a="1"/>
  <c r="AV294" i="37" s="1"/>
  <c r="AV496" i="37" a="1"/>
  <c r="AV496" i="37" s="1"/>
  <c r="AV497" i="37" a="1"/>
  <c r="AV497" i="37" s="1"/>
  <c r="AV502" i="37" a="1"/>
  <c r="AV502" i="37" s="1"/>
  <c r="AV446" i="37" a="1"/>
  <c r="AV446" i="37" s="1"/>
  <c r="AV503" i="37" a="1"/>
  <c r="AV503" i="37" s="1"/>
  <c r="AV449" i="37" a="1"/>
  <c r="AV449" i="37" s="1"/>
  <c r="AV631" i="37" a="1"/>
  <c r="AV631" i="37" s="1"/>
  <c r="AV504" i="37" a="1"/>
  <c r="AV504" i="37" s="1"/>
  <c r="AV630" i="37" a="1"/>
  <c r="AV630" i="37" s="1"/>
  <c r="AV629" i="37" a="1"/>
  <c r="AV629" i="37" s="1"/>
  <c r="AV623" i="37" a="1"/>
  <c r="AV623" i="37" s="1"/>
  <c r="AV501" i="37" a="1"/>
  <c r="AV501" i="37" s="1"/>
  <c r="AV505" i="37" a="1"/>
  <c r="AV505" i="37" s="1"/>
  <c r="AV508" i="37" a="1"/>
  <c r="AV508" i="37" s="1"/>
  <c r="AV509" i="37" a="1"/>
  <c r="AV509" i="37" s="1"/>
  <c r="AV513" i="37" a="1"/>
  <c r="AV513" i="37" s="1"/>
  <c r="AV632" i="37" a="1"/>
  <c r="AV632" i="37" s="1"/>
  <c r="AV514" i="37" a="1"/>
  <c r="AV514" i="37" s="1"/>
  <c r="AV515" i="37" a="1"/>
  <c r="AV515" i="37" s="1"/>
  <c r="AV519" i="37" a="1"/>
  <c r="AV519" i="37" s="1"/>
  <c r="AV518" i="37" a="1"/>
  <c r="AV518" i="37" s="1"/>
  <c r="AV520" i="37" a="1"/>
  <c r="AV520" i="37" s="1"/>
  <c r="AV114" i="37" a="1"/>
  <c r="AV114" i="37" s="1"/>
  <c r="AV205" i="37" a="1"/>
  <c r="AV205" i="37" s="1"/>
  <c r="AV349" i="37" a="1"/>
  <c r="AV349" i="37" s="1"/>
  <c r="AV350" i="37" a="1"/>
  <c r="AV350" i="37" s="1"/>
  <c r="AV608" i="37" a="1"/>
  <c r="AV608" i="37" s="1"/>
  <c r="AV609" i="37" a="1"/>
  <c r="AV609" i="37" s="1"/>
  <c r="AV352" i="37" a="1"/>
  <c r="AV352" i="37" s="1"/>
  <c r="AV355" i="37" a="1"/>
  <c r="AV355" i="37" s="1"/>
  <c r="AV353" i="37" a="1"/>
  <c r="AV353" i="37" s="1"/>
  <c r="AV468" i="37" a="1"/>
  <c r="AV468" i="37" s="1"/>
  <c r="AV354" i="37" a="1"/>
  <c r="AV354" i="37" s="1"/>
  <c r="AV295" i="37" a="1"/>
  <c r="AV295" i="37" s="1"/>
  <c r="AV447" i="37" a="1"/>
  <c r="AV447" i="37" s="1"/>
  <c r="AV450" i="37" a="1"/>
  <c r="AV450" i="37" s="1"/>
  <c r="AV454" i="37" a="1"/>
  <c r="AV454" i="37" s="1"/>
  <c r="AV359" i="37" a="1"/>
  <c r="AV359" i="37" s="1"/>
  <c r="AV456" i="37" a="1"/>
  <c r="AV456" i="37" s="1"/>
  <c r="AV457" i="37" a="1"/>
  <c r="AV457" i="37" s="1"/>
  <c r="AV360" i="37" a="1"/>
  <c r="AV360" i="37" s="1"/>
  <c r="AV462" i="37" a="1"/>
  <c r="AV462" i="37" s="1"/>
  <c r="AV461" i="37" a="1"/>
  <c r="AV461" i="37" s="1"/>
  <c r="AV633" i="37" a="1"/>
  <c r="AV633" i="37" s="1"/>
  <c r="AV464" i="37" a="1"/>
  <c r="AV464" i="37" s="1"/>
  <c r="AV624" i="37" a="1"/>
  <c r="AV624" i="37" s="1"/>
  <c r="AV465" i="37" a="1"/>
  <c r="AV465" i="37" s="1"/>
  <c r="AV516" i="37" a="1"/>
  <c r="AV516" i="37" s="1"/>
  <c r="AV634" i="37" a="1"/>
  <c r="AV634" i="37" s="1"/>
  <c r="AV635" i="37" a="1"/>
  <c r="AV635" i="37" s="1"/>
  <c r="AV638" i="37" a="1"/>
  <c r="AV638" i="37" s="1"/>
  <c r="AV637" i="37" a="1"/>
  <c r="AV637" i="37" s="1"/>
  <c r="AV636" i="37" a="1"/>
  <c r="AV636" i="37" s="1"/>
  <c r="AV529" i="37" a="1"/>
  <c r="AV529" i="37" s="1"/>
  <c r="AV530" i="37" a="1"/>
  <c r="AV530" i="37" s="1"/>
  <c r="AV531" i="37" a="1"/>
  <c r="AV531" i="37" s="1"/>
  <c r="AV532" i="37" a="1"/>
  <c r="AV532" i="37" s="1"/>
  <c r="AU2" i="37" a="1"/>
  <c r="AU2" i="37" s="1"/>
  <c r="AU3" i="37" a="1"/>
  <c r="AU3" i="37" s="1"/>
  <c r="AU10" i="37" a="1"/>
  <c r="AU10" i="37" s="1"/>
  <c r="AU534" i="37" a="1"/>
  <c r="AU534" i="37" s="1"/>
  <c r="AU533" i="37" a="1"/>
  <c r="AU533" i="37" s="1"/>
  <c r="AU6" i="37" a="1"/>
  <c r="AU6" i="37" s="1"/>
  <c r="AU5" i="37" a="1"/>
  <c r="AU5" i="37" s="1"/>
  <c r="AU11" i="37" a="1"/>
  <c r="AU11" i="37" s="1"/>
  <c r="AU4" i="37" a="1"/>
  <c r="AU4" i="37" s="1"/>
  <c r="AU23" i="37" a="1"/>
  <c r="AU23" i="37" s="1"/>
  <c r="AU7" i="37" a="1"/>
  <c r="AU7" i="37" s="1"/>
  <c r="AU13" i="37" a="1"/>
  <c r="AU13" i="37" s="1"/>
  <c r="AU24" i="37" a="1"/>
  <c r="AU24" i="37" s="1"/>
  <c r="AU36" i="37" a="1"/>
  <c r="AU36" i="37" s="1"/>
  <c r="AU25" i="37" a="1"/>
  <c r="AU25" i="37" s="1"/>
  <c r="AU37" i="37" a="1"/>
  <c r="AU37" i="37" s="1"/>
  <c r="AU20" i="37" a="1"/>
  <c r="AU20" i="37" s="1"/>
  <c r="AU14" i="37" a="1"/>
  <c r="AU14" i="37" s="1"/>
  <c r="AU15" i="37" a="1"/>
  <c r="AU15" i="37" s="1"/>
  <c r="AU19" i="37" a="1"/>
  <c r="AU19" i="37" s="1"/>
  <c r="AU22" i="37" a="1"/>
  <c r="AU22" i="37" s="1"/>
  <c r="AU26" i="37" a="1"/>
  <c r="AU26" i="37" s="1"/>
  <c r="AU537" i="37" a="1"/>
  <c r="AU537" i="37" s="1"/>
  <c r="AU27" i="37" a="1"/>
  <c r="AU27" i="37" s="1"/>
  <c r="AU21" i="37" a="1"/>
  <c r="AU21" i="37" s="1"/>
  <c r="AU38" i="37" a="1"/>
  <c r="AU38" i="37" s="1"/>
  <c r="AU538" i="37" a="1"/>
  <c r="AU538" i="37" s="1"/>
  <c r="AU28" i="37" a="1"/>
  <c r="AU28" i="37" s="1"/>
  <c r="AU16" i="37" a="1"/>
  <c r="AU16" i="37" s="1"/>
  <c r="AU39" i="37" a="1"/>
  <c r="AU39" i="37" s="1"/>
  <c r="AU40" i="37" a="1"/>
  <c r="AU40" i="37" s="1"/>
  <c r="AU29" i="37" a="1"/>
  <c r="AU29" i="37" s="1"/>
  <c r="AU41" i="37" a="1"/>
  <c r="AU41" i="37" s="1"/>
  <c r="AU33" i="37" a="1"/>
  <c r="AU33" i="37" s="1"/>
  <c r="AU42" i="37" a="1"/>
  <c r="AU42" i="37" s="1"/>
  <c r="AU539" i="37" a="1"/>
  <c r="AU539" i="37" s="1"/>
  <c r="AU85" i="37" a="1"/>
  <c r="AU85" i="37" s="1"/>
  <c r="AU43" i="37" a="1"/>
  <c r="AU43" i="37" s="1"/>
  <c r="AU44" i="37" a="1"/>
  <c r="AU44" i="37" s="1"/>
  <c r="AU535" i="37" a="1"/>
  <c r="AU535" i="37" s="1"/>
  <c r="AU45" i="37" a="1"/>
  <c r="AU45" i="37" s="1"/>
  <c r="AU17" i="37" a="1"/>
  <c r="AU17" i="37" s="1"/>
  <c r="AU70" i="37" a="1"/>
  <c r="AU70" i="37" s="1"/>
  <c r="AU30" i="37" a="1"/>
  <c r="AU30" i="37" s="1"/>
  <c r="AU18" i="37" a="1"/>
  <c r="AU18" i="37" s="1"/>
  <c r="AU62" i="37" a="1"/>
  <c r="AU62" i="37" s="1"/>
  <c r="AU57" i="37" a="1"/>
  <c r="AU57" i="37" s="1"/>
  <c r="AU46" i="37" a="1"/>
  <c r="AU46" i="37" s="1"/>
  <c r="AU61" i="37" a="1"/>
  <c r="AU61" i="37" s="1"/>
  <c r="AU71" i="37" a="1"/>
  <c r="AU71" i="37" s="1"/>
  <c r="AU31" i="37" a="1"/>
  <c r="AU31" i="37" s="1"/>
  <c r="AU541" i="37" a="1"/>
  <c r="AU541" i="37" s="1"/>
  <c r="AU56" i="37" a="1"/>
  <c r="AU56" i="37" s="1"/>
  <c r="AU536" i="37" a="1"/>
  <c r="AU536" i="37" s="1"/>
  <c r="AU47" i="37" a="1"/>
  <c r="AU47" i="37" s="1"/>
  <c r="AU86" i="37" a="1"/>
  <c r="AU86" i="37" s="1"/>
  <c r="AU72" i="37" a="1"/>
  <c r="AU72" i="37" s="1"/>
  <c r="AU48" i="37" a="1"/>
  <c r="AU48" i="37" s="1"/>
  <c r="AU547" i="37" a="1"/>
  <c r="AU547" i="37" s="1"/>
  <c r="AU115" i="37" a="1"/>
  <c r="AU115" i="37" s="1"/>
  <c r="AU562" i="37" a="1"/>
  <c r="AU562" i="37" s="1"/>
  <c r="AU58" i="37" a="1"/>
  <c r="AU58" i="37" s="1"/>
  <c r="AU63" i="37" a="1"/>
  <c r="AU63" i="37" s="1"/>
  <c r="AU34" i="37" a="1"/>
  <c r="AU34" i="37" s="1"/>
  <c r="AU540" i="37" a="1"/>
  <c r="AU540" i="37" s="1"/>
  <c r="AU116" i="37" a="1"/>
  <c r="AU116" i="37" s="1"/>
  <c r="AU12" i="37" a="1"/>
  <c r="AU12" i="37" s="1"/>
  <c r="AU32" i="37" a="1"/>
  <c r="AU32" i="37" s="1"/>
  <c r="AU73" i="37" a="1"/>
  <c r="AU73" i="37" s="1"/>
  <c r="AU74" i="37" a="1"/>
  <c r="AU74" i="37" s="1"/>
  <c r="AU542" i="37" a="1"/>
  <c r="AU542" i="37" s="1"/>
  <c r="AU75" i="37" a="1"/>
  <c r="AU75" i="37" s="1"/>
  <c r="AU543" i="37" a="1"/>
  <c r="AU543" i="37" s="1"/>
  <c r="AU117" i="37" a="1"/>
  <c r="AU117" i="37" s="1"/>
  <c r="AU546" i="37" a="1"/>
  <c r="AU546" i="37" s="1"/>
  <c r="AU99" i="37" a="1"/>
  <c r="AU99" i="37" s="1"/>
  <c r="AU67" i="37" a="1"/>
  <c r="AU67" i="37" s="1"/>
  <c r="AU100" i="37" a="1"/>
  <c r="AU100" i="37" s="1"/>
  <c r="AU68" i="37" a="1"/>
  <c r="AU68" i="37" s="1"/>
  <c r="AU64" i="37" a="1"/>
  <c r="AU64" i="37" s="1"/>
  <c r="AU101" i="37" a="1"/>
  <c r="AU101" i="37" s="1"/>
  <c r="AU65" i="37" a="1"/>
  <c r="AU65" i="37" s="1"/>
  <c r="AU92" i="37" a="1"/>
  <c r="AU92" i="37" s="1"/>
  <c r="AU49" i="37" a="1"/>
  <c r="AU49" i="37" s="1"/>
  <c r="AU185" i="37" a="1"/>
  <c r="AU185" i="37" s="1"/>
  <c r="AU163" i="37" a="1"/>
  <c r="AU163" i="37" s="1"/>
  <c r="AU76" i="37" a="1"/>
  <c r="AU76" i="37" s="1"/>
  <c r="AU87" i="37" a="1"/>
  <c r="AU87" i="37" s="1"/>
  <c r="AU82" i="37" a="1"/>
  <c r="AU82" i="37" s="1"/>
  <c r="AU88" i="37" a="1"/>
  <c r="AU88" i="37" s="1"/>
  <c r="AU554" i="37" a="1"/>
  <c r="AU554" i="37" s="1"/>
  <c r="AU93" i="37" a="1"/>
  <c r="AU93" i="37" s="1"/>
  <c r="AU118" i="37" a="1"/>
  <c r="AU118" i="37" s="1"/>
  <c r="AU83" i="37" a="1"/>
  <c r="AU83" i="37" s="1"/>
  <c r="AU164" i="37" a="1"/>
  <c r="AU164" i="37" s="1"/>
  <c r="AU119" i="37" a="1"/>
  <c r="AU119" i="37" s="1"/>
  <c r="AU549" i="37" a="1"/>
  <c r="AU549" i="37" s="1"/>
  <c r="AU50" i="37" a="1"/>
  <c r="AU50" i="37" s="1"/>
  <c r="AU120" i="37" a="1"/>
  <c r="AU120" i="37" s="1"/>
  <c r="AU121" i="37" a="1"/>
  <c r="AU121" i="37" s="1"/>
  <c r="AU84" i="37" a="1"/>
  <c r="AU84" i="37" s="1"/>
  <c r="AU165" i="37" a="1"/>
  <c r="AU165" i="37" s="1"/>
  <c r="AU206" i="37" a="1"/>
  <c r="AU206" i="37" s="1"/>
  <c r="AU89" i="37" a="1"/>
  <c r="AU89" i="37" s="1"/>
  <c r="AU574" i="37" a="1"/>
  <c r="AU574" i="37" s="1"/>
  <c r="AU166" i="37" a="1"/>
  <c r="AU166" i="37" s="1"/>
  <c r="AU167" i="37" a="1"/>
  <c r="AU167" i="37" s="1"/>
  <c r="AU77" i="37" a="1"/>
  <c r="AU77" i="37" s="1"/>
  <c r="AU123" i="37" a="1"/>
  <c r="AU123" i="37" s="1"/>
  <c r="AU122" i="37" a="1"/>
  <c r="AU122" i="37" s="1"/>
  <c r="AU575" i="37" a="1"/>
  <c r="AU575" i="37" s="1"/>
  <c r="AU96" i="37" a="1"/>
  <c r="AU96" i="37" s="1"/>
  <c r="AU186" i="37" a="1"/>
  <c r="AU186" i="37" s="1"/>
  <c r="AU176" i="37" a="1"/>
  <c r="AU176" i="37" s="1"/>
  <c r="AU151" i="37" a="1"/>
  <c r="AU151" i="37" s="1"/>
  <c r="AU97" i="37" a="1"/>
  <c r="AU97" i="37" s="1"/>
  <c r="AU274" i="37" a="1"/>
  <c r="AU274" i="37" s="1"/>
  <c r="AU545" i="37" a="1"/>
  <c r="AU545" i="37" s="1"/>
  <c r="AU187" i="37" a="1"/>
  <c r="AU187" i="37" s="1"/>
  <c r="AU207" i="37" a="1"/>
  <c r="AU207" i="37" s="1"/>
  <c r="AU9" i="37" a="1"/>
  <c r="AU9" i="37" s="1"/>
  <c r="AU570" i="37" a="1"/>
  <c r="AU570" i="37" s="1"/>
  <c r="AU296" i="37" a="1"/>
  <c r="AU296" i="37" s="1"/>
  <c r="AU102" i="37" a="1"/>
  <c r="AU102" i="37" s="1"/>
  <c r="AU66" i="37" a="1"/>
  <c r="AU66" i="37" s="1"/>
  <c r="AU177" i="37" a="1"/>
  <c r="AU177" i="37" s="1"/>
  <c r="AU297" i="37" a="1"/>
  <c r="AU297" i="37" s="1"/>
  <c r="AU576" i="37" a="1"/>
  <c r="AU576" i="37" s="1"/>
  <c r="AU156" i="37" a="1"/>
  <c r="AU156" i="37" s="1"/>
  <c r="AU188" i="37" a="1"/>
  <c r="AU188" i="37" s="1"/>
  <c r="AU189" i="37" a="1"/>
  <c r="AU189" i="37" s="1"/>
  <c r="AU103" i="37" a="1"/>
  <c r="AU103" i="37" s="1"/>
  <c r="AU190" i="37" a="1"/>
  <c r="AU190" i="37" s="1"/>
  <c r="AU152" i="37" a="1"/>
  <c r="AU152" i="37" s="1"/>
  <c r="AU208" i="37" a="1"/>
  <c r="AU208" i="37" s="1"/>
  <c r="AU209" i="37" a="1"/>
  <c r="AU209" i="37" s="1"/>
  <c r="AU210" i="37" a="1"/>
  <c r="AU210" i="37" s="1"/>
  <c r="AU596" i="37" a="1"/>
  <c r="AU596" i="37" s="1"/>
  <c r="AU168" i="37" a="1"/>
  <c r="AU168" i="37" s="1"/>
  <c r="AU568" i="37" a="1"/>
  <c r="AU568" i="37" s="1"/>
  <c r="AU124" i="37" a="1"/>
  <c r="AU124" i="37" s="1"/>
  <c r="AU571" i="37" a="1"/>
  <c r="AU571" i="37" s="1"/>
  <c r="AU175" i="37" a="1"/>
  <c r="AU175" i="37" s="1"/>
  <c r="AU211" i="37" a="1"/>
  <c r="AU211" i="37" s="1"/>
  <c r="AU104" i="37" a="1"/>
  <c r="AU104" i="37" s="1"/>
  <c r="AU125" i="37" a="1"/>
  <c r="AU125" i="37" s="1"/>
  <c r="AU105" i="37" a="1"/>
  <c r="AU105" i="37" s="1"/>
  <c r="AU126" i="37" a="1"/>
  <c r="AU126" i="37" s="1"/>
  <c r="AU548" i="37" a="1"/>
  <c r="AU548" i="37" s="1"/>
  <c r="AU191" i="37" a="1"/>
  <c r="AU191" i="37" s="1"/>
  <c r="AU563" i="37" a="1"/>
  <c r="AU563" i="37" s="1"/>
  <c r="AU213" i="37" a="1"/>
  <c r="AU213" i="37" s="1"/>
  <c r="AU298" i="37" a="1"/>
  <c r="AU298" i="37" s="1"/>
  <c r="AU106" i="37" a="1"/>
  <c r="AU106" i="37" s="1"/>
  <c r="AU212" i="37" a="1"/>
  <c r="AU212" i="37" s="1"/>
  <c r="AU564" i="37" a="1"/>
  <c r="AU564" i="37" s="1"/>
  <c r="AU577" i="37" a="1"/>
  <c r="AU577" i="37" s="1"/>
  <c r="AU107" i="37" a="1"/>
  <c r="AU107" i="37" s="1"/>
  <c r="AU157" i="37" a="1"/>
  <c r="AU157" i="37" s="1"/>
  <c r="AU214" i="37" a="1"/>
  <c r="AU214" i="37" s="1"/>
  <c r="AU158" i="37" a="1"/>
  <c r="AU158" i="37" s="1"/>
  <c r="AU578" i="37" a="1"/>
  <c r="AU578" i="37" s="1"/>
  <c r="AU215" i="37" a="1"/>
  <c r="AU215" i="37" s="1"/>
  <c r="AU155" i="37" a="1"/>
  <c r="AU155" i="37" s="1"/>
  <c r="AU216" i="37" a="1"/>
  <c r="AU216" i="37" s="1"/>
  <c r="AU217" i="37" a="1"/>
  <c r="AU217" i="37" s="1"/>
  <c r="AU127" i="37" a="1"/>
  <c r="AU127" i="37" s="1"/>
  <c r="AU90" i="37" a="1"/>
  <c r="AU90" i="37" s="1"/>
  <c r="AU153" i="37" a="1"/>
  <c r="AU153" i="37" s="1"/>
  <c r="AU128" i="37" a="1"/>
  <c r="AU128" i="37" s="1"/>
  <c r="AU299" i="37" a="1"/>
  <c r="AU299" i="37" s="1"/>
  <c r="AU192" i="37" a="1"/>
  <c r="AU192" i="37" s="1"/>
  <c r="AU129" i="37" a="1"/>
  <c r="AU129" i="37" s="1"/>
  <c r="AU565" i="37" a="1"/>
  <c r="AU565" i="37" s="1"/>
  <c r="AU130" i="37" a="1"/>
  <c r="AU130" i="37" s="1"/>
  <c r="AU218" i="37" a="1"/>
  <c r="AU218" i="37" s="1"/>
  <c r="AU131" i="37" a="1"/>
  <c r="AU131" i="37" s="1"/>
  <c r="AU154" i="37" a="1"/>
  <c r="AU154" i="37" s="1"/>
  <c r="AU555" i="37" a="1"/>
  <c r="AU555" i="37" s="1"/>
  <c r="AU579" i="37" a="1"/>
  <c r="AU579" i="37" s="1"/>
  <c r="AU132" i="37" a="1"/>
  <c r="AU132" i="37" s="1"/>
  <c r="AU580" i="37" a="1"/>
  <c r="AU580" i="37" s="1"/>
  <c r="AU219" i="37" a="1"/>
  <c r="AU219" i="37" s="1"/>
  <c r="AU133" i="37" a="1"/>
  <c r="AU133" i="37" s="1"/>
  <c r="AU134" i="37" a="1"/>
  <c r="AU134" i="37" s="1"/>
  <c r="AU599" i="37" a="1"/>
  <c r="AU599" i="37" s="1"/>
  <c r="AU220" i="37" a="1"/>
  <c r="AU220" i="37" s="1"/>
  <c r="AU221" i="37" a="1"/>
  <c r="AU221" i="37" s="1"/>
  <c r="AU59" i="37" a="1"/>
  <c r="AU59" i="37" s="1"/>
  <c r="AU222" i="37" a="1"/>
  <c r="AU222" i="37" s="1"/>
  <c r="AU223" i="37" a="1"/>
  <c r="AU223" i="37" s="1"/>
  <c r="AU275" i="37" a="1"/>
  <c r="AU275" i="37" s="1"/>
  <c r="AU51" i="37" a="1"/>
  <c r="AU51" i="37" s="1"/>
  <c r="AU224" i="37" a="1"/>
  <c r="AU224" i="37" s="1"/>
  <c r="AU78" i="37" a="1"/>
  <c r="AU78" i="37" s="1"/>
  <c r="AU225" i="37" a="1"/>
  <c r="AU225" i="37" s="1"/>
  <c r="AU35" i="37" a="1"/>
  <c r="AU35" i="37" s="1"/>
  <c r="AU226" i="37" a="1"/>
  <c r="AU226" i="37" s="1"/>
  <c r="AU169" i="37" a="1"/>
  <c r="AU169" i="37" s="1"/>
  <c r="AU170" i="37" a="1"/>
  <c r="AU170" i="37" s="1"/>
  <c r="AU557" i="37" a="1"/>
  <c r="AU557" i="37" s="1"/>
  <c r="AU361" i="37" a="1"/>
  <c r="AU361" i="37" s="1"/>
  <c r="AU558" i="37" a="1"/>
  <c r="AU558" i="37" s="1"/>
  <c r="AU227" i="37" a="1"/>
  <c r="AU227" i="37" s="1"/>
  <c r="AU556" i="37" a="1"/>
  <c r="AU556" i="37" s="1"/>
  <c r="AU228" i="37" a="1"/>
  <c r="AU228" i="37" s="1"/>
  <c r="AU171" i="37" a="1"/>
  <c r="AU171" i="37" s="1"/>
  <c r="AU178" i="37" a="1"/>
  <c r="AU178" i="37" s="1"/>
  <c r="AU595" i="37" a="1"/>
  <c r="AU595" i="37" s="1"/>
  <c r="AU193" i="37" a="1"/>
  <c r="AU193" i="37" s="1"/>
  <c r="AU69" i="37" a="1"/>
  <c r="AU69" i="37" s="1"/>
  <c r="AU179" i="37" a="1"/>
  <c r="AU179" i="37" s="1"/>
  <c r="AU135" i="37" a="1"/>
  <c r="AU135" i="37" s="1"/>
  <c r="AU108" i="37" a="1"/>
  <c r="AU108" i="37" s="1"/>
  <c r="AU300" i="37" a="1"/>
  <c r="AU300" i="37" s="1"/>
  <c r="AU98" i="37" a="1"/>
  <c r="AU98" i="37" s="1"/>
  <c r="AU159" i="37" a="1"/>
  <c r="AU159" i="37" s="1"/>
  <c r="AU597" i="37" a="1"/>
  <c r="AU597" i="37" s="1"/>
  <c r="AU560" i="37" a="1"/>
  <c r="AU560" i="37" s="1"/>
  <c r="AU79" i="37" a="1"/>
  <c r="AU79" i="37" s="1"/>
  <c r="AU279" i="37" a="1"/>
  <c r="AU279" i="37" s="1"/>
  <c r="AU569" i="37" a="1"/>
  <c r="AU569" i="37" s="1"/>
  <c r="AU229" i="37" a="1"/>
  <c r="AU229" i="37" s="1"/>
  <c r="AU230" i="37" a="1"/>
  <c r="AU230" i="37" s="1"/>
  <c r="AU301" i="37" a="1"/>
  <c r="AU301" i="37" s="1"/>
  <c r="AU437" i="37" a="1"/>
  <c r="AU437" i="37" s="1"/>
  <c r="AU160" i="37" a="1"/>
  <c r="AU160" i="37" s="1"/>
  <c r="AU280" i="37" a="1"/>
  <c r="AU280" i="37" s="1"/>
  <c r="AU302" i="37" a="1"/>
  <c r="AU302" i="37" s="1"/>
  <c r="AU231" i="37" a="1"/>
  <c r="AU231" i="37" s="1"/>
  <c r="AU303" i="37" a="1"/>
  <c r="AU303" i="37" s="1"/>
  <c r="AU304" i="37" a="1"/>
  <c r="AU304" i="37" s="1"/>
  <c r="AU305" i="37" a="1"/>
  <c r="AU305" i="37" s="1"/>
  <c r="AU194" i="37" a="1"/>
  <c r="AU194" i="37" s="1"/>
  <c r="AU265" i="37" a="1"/>
  <c r="AU265" i="37" s="1"/>
  <c r="AU306" i="37" a="1"/>
  <c r="AU306" i="37" s="1"/>
  <c r="AU232" i="37" a="1"/>
  <c r="AU232" i="37" s="1"/>
  <c r="AU195" i="37" a="1"/>
  <c r="AU195" i="37" s="1"/>
  <c r="AU598" i="37" a="1"/>
  <c r="AU598" i="37" s="1"/>
  <c r="AU281" i="37" a="1"/>
  <c r="AU281" i="37" s="1"/>
  <c r="AU600" i="37" a="1"/>
  <c r="AU600" i="37" s="1"/>
  <c r="AU80" i="37" a="1"/>
  <c r="AU80" i="37" s="1"/>
  <c r="AU270" i="37" a="1"/>
  <c r="AU270" i="37" s="1"/>
  <c r="AU180" i="37" a="1"/>
  <c r="AU180" i="37" s="1"/>
  <c r="AU307" i="37" a="1"/>
  <c r="AU307" i="37" s="1"/>
  <c r="AU267" i="37" a="1"/>
  <c r="AU267" i="37" s="1"/>
  <c r="AU196" i="37" a="1"/>
  <c r="AU196" i="37" s="1"/>
  <c r="AU269" i="37" a="1"/>
  <c r="AU269" i="37" s="1"/>
  <c r="AU198" i="37" a="1"/>
  <c r="AU198" i="37" s="1"/>
  <c r="AU282" i="37" a="1"/>
  <c r="AU282" i="37" s="1"/>
  <c r="AU308" i="37" a="1"/>
  <c r="AU308" i="37" s="1"/>
  <c r="AU471" i="37" a="1"/>
  <c r="AU471" i="37" s="1"/>
  <c r="AU283" i="37" a="1"/>
  <c r="AU283" i="37" s="1"/>
  <c r="AU161" i="37" a="1"/>
  <c r="AU161" i="37" s="1"/>
  <c r="AU581" i="37" a="1"/>
  <c r="AU581" i="37" s="1"/>
  <c r="AU234" i="37" a="1"/>
  <c r="AU234" i="37" s="1"/>
  <c r="AU233" i="37" a="1"/>
  <c r="AU233" i="37" s="1"/>
  <c r="AU235" i="37" a="1"/>
  <c r="AU235" i="37" s="1"/>
  <c r="AU268" i="37" a="1"/>
  <c r="AU268" i="37" s="1"/>
  <c r="AU199" i="37" a="1"/>
  <c r="AU199" i="37" s="1"/>
  <c r="AU236" i="37" a="1"/>
  <c r="AU236" i="37" s="1"/>
  <c r="AU582" i="37" a="1"/>
  <c r="AU582" i="37" s="1"/>
  <c r="AU237" i="37" a="1"/>
  <c r="AU237" i="37" s="1"/>
  <c r="AU238" i="37" a="1"/>
  <c r="AU238" i="37" s="1"/>
  <c r="AU583" i="37" a="1"/>
  <c r="AU583" i="37" s="1"/>
  <c r="AU172" i="37" a="1"/>
  <c r="AU172" i="37" s="1"/>
  <c r="AU239" i="37" a="1"/>
  <c r="AU239" i="37" s="1"/>
  <c r="AU363" i="37" a="1"/>
  <c r="AU363" i="37" s="1"/>
  <c r="AU364" i="37" a="1"/>
  <c r="AU364" i="37" s="1"/>
  <c r="AU362" i="37" a="1"/>
  <c r="AU362" i="37" s="1"/>
  <c r="AU594" i="37" a="1"/>
  <c r="AU594" i="37" s="1"/>
  <c r="AU612" i="37" a="1"/>
  <c r="AU612" i="37" s="1"/>
  <c r="AU266" i="37" a="1"/>
  <c r="AU266" i="37" s="1"/>
  <c r="AU309" i="37" a="1"/>
  <c r="AU309" i="37" s="1"/>
  <c r="AU365" i="37" a="1"/>
  <c r="AU365" i="37" s="1"/>
  <c r="AU240" i="37" a="1"/>
  <c r="AU240" i="37" s="1"/>
  <c r="AU91" i="37" a="1"/>
  <c r="AU91" i="37" s="1"/>
  <c r="AU613" i="37" a="1"/>
  <c r="AU613" i="37" s="1"/>
  <c r="AU551" i="37" a="1"/>
  <c r="AU551" i="37" s="1"/>
  <c r="AU271" i="37" a="1"/>
  <c r="AU271" i="37" s="1"/>
  <c r="AU584" i="37" a="1"/>
  <c r="AU584" i="37" s="1"/>
  <c r="AU52" i="37" a="1"/>
  <c r="AU52" i="37" s="1"/>
  <c r="AU366" i="37" a="1"/>
  <c r="AU366" i="37" s="1"/>
  <c r="AU241" i="37" a="1"/>
  <c r="AU241" i="37" s="1"/>
  <c r="AU614" i="37" a="1"/>
  <c r="AU614" i="37" s="1"/>
  <c r="AU367" i="37" a="1"/>
  <c r="AU367" i="37" s="1"/>
  <c r="AU544" i="37" a="1"/>
  <c r="AU544" i="37" s="1"/>
  <c r="AU136" i="37" a="1"/>
  <c r="AU136" i="37" s="1"/>
  <c r="AU585" i="37" a="1"/>
  <c r="AU585" i="37" s="1"/>
  <c r="AU371" i="37" a="1"/>
  <c r="AU371" i="37" s="1"/>
  <c r="AU369" i="37" a="1"/>
  <c r="AU369" i="37" s="1"/>
  <c r="AU615" i="37" a="1"/>
  <c r="AU615" i="37" s="1"/>
  <c r="AU368" i="37" a="1"/>
  <c r="AU368" i="37" s="1"/>
  <c r="AU370" i="37" a="1"/>
  <c r="AU370" i="37" s="1"/>
  <c r="AU242" i="37" a="1"/>
  <c r="AU242" i="37" s="1"/>
  <c r="AU244" i="37" a="1"/>
  <c r="AU244" i="37" s="1"/>
  <c r="AU372" i="37" a="1"/>
  <c r="AU372" i="37" s="1"/>
  <c r="AU566" i="37" a="1"/>
  <c r="AU566" i="37" s="1"/>
  <c r="AU243" i="37" a="1"/>
  <c r="AU243" i="37" s="1"/>
  <c r="AU407" i="37" a="1"/>
  <c r="AU407" i="37" s="1"/>
  <c r="AU8" i="37" a="1"/>
  <c r="AU8" i="37" s="1"/>
  <c r="AU310" i="37" a="1"/>
  <c r="AU310" i="37" s="1"/>
  <c r="AU385" i="37" a="1"/>
  <c r="AU385" i="37" s="1"/>
  <c r="AU94" i="37" a="1"/>
  <c r="AU94" i="37" s="1"/>
  <c r="AU55" i="37" a="1"/>
  <c r="AU55" i="37" s="1"/>
  <c r="AU258" i="37" a="1"/>
  <c r="AU258" i="37" s="1"/>
  <c r="AU137" i="37" a="1"/>
  <c r="AU137" i="37" s="1"/>
  <c r="AU54" i="37" a="1"/>
  <c r="AU54" i="37" s="1"/>
  <c r="AU418" i="37" a="1"/>
  <c r="AU418" i="37" s="1"/>
  <c r="AU174" i="37" a="1"/>
  <c r="AU174" i="37" s="1"/>
  <c r="AU311" i="37" a="1"/>
  <c r="AU311" i="37" s="1"/>
  <c r="AU416" i="37" a="1"/>
  <c r="AU416" i="37" s="1"/>
  <c r="AU312" i="37" a="1"/>
  <c r="AU312" i="37" s="1"/>
  <c r="AU145" i="37" a="1"/>
  <c r="AU145" i="37" s="1"/>
  <c r="AU278" i="37" a="1"/>
  <c r="AU278" i="37" s="1"/>
  <c r="AU181" i="37" a="1"/>
  <c r="AU181" i="37" s="1"/>
  <c r="AU375" i="37" a="1"/>
  <c r="AU375" i="37" s="1"/>
  <c r="AU146" i="37" a="1"/>
  <c r="AU146" i="37" s="1"/>
  <c r="AU388" i="37" a="1"/>
  <c r="AU388" i="37" s="1"/>
  <c r="AU419" i="37" a="1"/>
  <c r="AU419" i="37" s="1"/>
  <c r="AU60" i="37" a="1"/>
  <c r="AU60" i="37" s="1"/>
  <c r="AU81" i="37" a="1"/>
  <c r="AU81" i="37" s="1"/>
  <c r="AU149" i="37" a="1"/>
  <c r="AU149" i="37" s="1"/>
  <c r="AU246" i="37" a="1"/>
  <c r="AU246" i="37" s="1"/>
  <c r="AU590" i="37" a="1"/>
  <c r="AU590" i="37" s="1"/>
  <c r="AU254" i="37" a="1"/>
  <c r="AU254" i="37" s="1"/>
  <c r="AU373" i="37" a="1"/>
  <c r="AU373" i="37" s="1"/>
  <c r="AU376" i="37" a="1"/>
  <c r="AU376" i="37" s="1"/>
  <c r="AU378" i="37" a="1"/>
  <c r="AU378" i="37" s="1"/>
  <c r="AU410" i="37" a="1"/>
  <c r="AU410" i="37" s="1"/>
  <c r="AU409" i="37" a="1"/>
  <c r="AU409" i="37" s="1"/>
  <c r="AU420" i="37" a="1"/>
  <c r="AU420" i="37" s="1"/>
  <c r="AU248" i="37" a="1"/>
  <c r="AU248" i="37" s="1"/>
  <c r="AU247" i="37" a="1"/>
  <c r="AU247" i="37" s="1"/>
  <c r="AU259" i="37" a="1"/>
  <c r="AU259" i="37" s="1"/>
  <c r="AU402" i="37" a="1"/>
  <c r="AU402" i="37" s="1"/>
  <c r="AU415" i="37" a="1"/>
  <c r="AU415" i="37" s="1"/>
  <c r="AU417" i="37" a="1"/>
  <c r="AU417" i="37" s="1"/>
  <c r="AU53" i="37" a="1"/>
  <c r="AU53" i="37" s="1"/>
  <c r="AU140" i="37" a="1"/>
  <c r="AU140" i="37" s="1"/>
  <c r="AU142" i="37" a="1"/>
  <c r="AU142" i="37" s="1"/>
  <c r="AU109" i="37" a="1"/>
  <c r="AU109" i="37" s="1"/>
  <c r="AU313" i="37" a="1"/>
  <c r="AU313" i="37" s="1"/>
  <c r="AU314" i="37" a="1"/>
  <c r="AU314" i="37" s="1"/>
  <c r="AU601" i="37" a="1"/>
  <c r="AU601" i="37" s="1"/>
  <c r="AU315" i="37" a="1"/>
  <c r="AU315" i="37" s="1"/>
  <c r="AU618" i="37" a="1"/>
  <c r="AU618" i="37" s="1"/>
  <c r="AU143" i="37" a="1"/>
  <c r="AU143" i="37" s="1"/>
  <c r="AU622" i="37" a="1"/>
  <c r="AU622" i="37" s="1"/>
  <c r="AU316" i="37" a="1"/>
  <c r="AU316" i="37" s="1"/>
  <c r="AU552" i="37" a="1"/>
  <c r="AU552" i="37" s="1"/>
  <c r="AU317" i="37" a="1"/>
  <c r="AU317" i="37" s="1"/>
  <c r="AU182" i="37" a="1"/>
  <c r="AU182" i="37" s="1"/>
  <c r="AU200" i="37" a="1"/>
  <c r="AU200" i="37" s="1"/>
  <c r="AU284" i="37" a="1"/>
  <c r="AU284" i="37" s="1"/>
  <c r="AU427" i="37" a="1"/>
  <c r="AU427" i="37" s="1"/>
  <c r="AU147" i="37" a="1"/>
  <c r="AU147" i="37" s="1"/>
  <c r="AU173" i="37" a="1"/>
  <c r="AU173" i="37" s="1"/>
  <c r="AU318" i="37" a="1"/>
  <c r="AU318" i="37" s="1"/>
  <c r="AU435" i="37" a="1"/>
  <c r="AU435" i="37" s="1"/>
  <c r="AU285" i="37" a="1"/>
  <c r="AU285" i="37" s="1"/>
  <c r="AU602" i="37" a="1"/>
  <c r="AU602" i="37" s="1"/>
  <c r="AU319" i="37" a="1"/>
  <c r="AU319" i="37" s="1"/>
  <c r="AU148" i="37" a="1"/>
  <c r="AU148" i="37" s="1"/>
  <c r="AU320" i="37" a="1"/>
  <c r="AU320" i="37" s="1"/>
  <c r="AU321" i="37" a="1"/>
  <c r="AU321" i="37" s="1"/>
  <c r="AU150" i="37" a="1"/>
  <c r="AU150" i="37" s="1"/>
  <c r="AU322" i="37" a="1"/>
  <c r="AU322" i="37" s="1"/>
  <c r="AU323" i="37" a="1"/>
  <c r="AU323" i="37" s="1"/>
  <c r="AU621" i="37" a="1"/>
  <c r="AU621" i="37" s="1"/>
  <c r="AU424" i="37" a="1"/>
  <c r="AU424" i="37" s="1"/>
  <c r="AU201" i="37" a="1"/>
  <c r="AU201" i="37" s="1"/>
  <c r="AU440" i="37" a="1"/>
  <c r="AU440" i="37" s="1"/>
  <c r="AU110" i="37" a="1"/>
  <c r="AU110" i="37" s="1"/>
  <c r="AU286" i="37" a="1"/>
  <c r="AU286" i="37" s="1"/>
  <c r="AU325" i="37" a="1"/>
  <c r="AU325" i="37" s="1"/>
  <c r="AU423" i="37" a="1"/>
  <c r="AU423" i="37" s="1"/>
  <c r="AU431" i="37" a="1"/>
  <c r="AU431" i="37" s="1"/>
  <c r="AU421" i="37" a="1"/>
  <c r="AU421" i="37" s="1"/>
  <c r="AU245" i="37" a="1"/>
  <c r="AU245" i="37" s="1"/>
  <c r="AU434" i="37" a="1"/>
  <c r="AU434" i="37" s="1"/>
  <c r="AU324" i="37" a="1"/>
  <c r="AU324" i="37" s="1"/>
  <c r="AU572" i="37" a="1"/>
  <c r="AU572" i="37" s="1"/>
  <c r="AU202" i="37" a="1"/>
  <c r="AU202" i="37" s="1"/>
  <c r="AU588" i="37" a="1"/>
  <c r="AU588" i="37" s="1"/>
  <c r="AU603" i="37" a="1"/>
  <c r="AU603" i="37" s="1"/>
  <c r="AU619" i="37" a="1"/>
  <c r="AU619" i="37" s="1"/>
  <c r="AU250" i="37" a="1"/>
  <c r="AU250" i="37" s="1"/>
  <c r="AU441" i="37" a="1"/>
  <c r="AU441" i="37" s="1"/>
  <c r="AU438" i="37" a="1"/>
  <c r="AU438" i="37" s="1"/>
  <c r="AU327" i="37" a="1"/>
  <c r="AU327" i="37" s="1"/>
  <c r="AU426" i="37" a="1"/>
  <c r="AU426" i="37" s="1"/>
  <c r="AU287" i="37" a="1"/>
  <c r="AU287" i="37" s="1"/>
  <c r="AU95" i="37" a="1"/>
  <c r="AU95" i="37" s="1"/>
  <c r="AU326" i="37" a="1"/>
  <c r="AU326" i="37" s="1"/>
  <c r="AU249" i="37" a="1"/>
  <c r="AU249" i="37" s="1"/>
  <c r="AU425" i="37" a="1"/>
  <c r="AU425" i="37" s="1"/>
  <c r="AU604" i="37" a="1"/>
  <c r="AU604" i="37" s="1"/>
  <c r="AU162" i="37" a="1"/>
  <c r="AU162" i="37" s="1"/>
  <c r="AU276" i="37" a="1"/>
  <c r="AU276" i="37" s="1"/>
  <c r="AU328" i="37" a="1"/>
  <c r="AU328" i="37" s="1"/>
  <c r="AU472" i="37" a="1"/>
  <c r="AU472" i="37" s="1"/>
  <c r="AU272" i="37" a="1"/>
  <c r="AU272" i="37" s="1"/>
  <c r="AU255" i="37" a="1"/>
  <c r="AU255" i="37" s="1"/>
  <c r="AU277" i="37" a="1"/>
  <c r="AU277" i="37" s="1"/>
  <c r="AU442" i="37" a="1"/>
  <c r="AU442" i="37" s="1"/>
  <c r="AU591" i="37" a="1"/>
  <c r="AU591" i="37" s="1"/>
  <c r="AU592" i="37" a="1"/>
  <c r="AU592" i="37" s="1"/>
  <c r="AU329" i="37" a="1"/>
  <c r="AU329" i="37" s="1"/>
  <c r="AU473" i="37" a="1"/>
  <c r="AU473" i="37" s="1"/>
  <c r="AU474" i="37" a="1"/>
  <c r="AU474" i="37" s="1"/>
  <c r="AU428" i="37" a="1"/>
  <c r="AU428" i="37" s="1"/>
  <c r="AU330" i="37" a="1"/>
  <c r="AU330" i="37" s="1"/>
  <c r="AU257" i="37" a="1"/>
  <c r="AU257" i="37" s="1"/>
  <c r="AU429" i="37" a="1"/>
  <c r="AU429" i="37" s="1"/>
  <c r="AU263" i="37" a="1"/>
  <c r="AU263" i="37" s="1"/>
  <c r="AU444" i="37" a="1"/>
  <c r="AU444" i="37" s="1"/>
  <c r="AU430" i="37" a="1"/>
  <c r="AU430" i="37" s="1"/>
  <c r="AU432" i="37" a="1"/>
  <c r="AU432" i="37" s="1"/>
  <c r="AU260" i="37" a="1"/>
  <c r="AU260" i="37" s="1"/>
  <c r="AU261" i="37" a="1"/>
  <c r="AU261" i="37" s="1"/>
  <c r="AU262" i="37" a="1"/>
  <c r="AU262" i="37" s="1"/>
  <c r="AU331" i="37" a="1"/>
  <c r="AU331" i="37" s="1"/>
  <c r="AU374" i="37" a="1"/>
  <c r="AU374" i="37" s="1"/>
  <c r="AU332" i="37" a="1"/>
  <c r="AU332" i="37" s="1"/>
  <c r="AU377" i="37" a="1"/>
  <c r="AU377" i="37" s="1"/>
  <c r="AU203" i="37" a="1"/>
  <c r="AU203" i="37" s="1"/>
  <c r="AU111" i="37" a="1"/>
  <c r="AU111" i="37" s="1"/>
  <c r="AU379" i="37" a="1"/>
  <c r="AU379" i="37" s="1"/>
  <c r="AU333" i="37" a="1"/>
  <c r="AU333" i="37" s="1"/>
  <c r="AU334" i="37" a="1"/>
  <c r="AU334" i="37" s="1"/>
  <c r="AU443" i="37" a="1"/>
  <c r="AU443" i="37" s="1"/>
  <c r="AU459" i="37" a="1"/>
  <c r="AU459" i="37" s="1"/>
  <c r="AU289" i="37" a="1"/>
  <c r="AU289" i="37" s="1"/>
  <c r="AU475" i="37" a="1"/>
  <c r="AU475" i="37" s="1"/>
  <c r="AU335" i="37" a="1"/>
  <c r="AU335" i="37" s="1"/>
  <c r="AU112" i="37" a="1"/>
  <c r="AU112" i="37" s="1"/>
  <c r="AU422" i="37" a="1"/>
  <c r="AU422" i="37" s="1"/>
  <c r="AU381" i="37" a="1"/>
  <c r="AU381" i="37" s="1"/>
  <c r="AU605" i="37" a="1"/>
  <c r="AU605" i="37" s="1"/>
  <c r="AU616" i="37" a="1"/>
  <c r="AU616" i="37" s="1"/>
  <c r="AU383" i="37" a="1"/>
  <c r="AU383" i="37" s="1"/>
  <c r="AU183" i="37" a="1"/>
  <c r="AU183" i="37" s="1"/>
  <c r="AU433" i="37" a="1"/>
  <c r="AU433" i="37" s="1"/>
  <c r="AU336" i="37" a="1"/>
  <c r="AU336" i="37" s="1"/>
  <c r="AU337" i="37" a="1"/>
  <c r="AU337" i="37" s="1"/>
  <c r="AU386" i="37" a="1"/>
  <c r="AU386" i="37" s="1"/>
  <c r="AU338" i="37" a="1"/>
  <c r="AU338" i="37" s="1"/>
  <c r="AU617" i="37" a="1"/>
  <c r="AU617" i="37" s="1"/>
  <c r="AU389" i="37" a="1"/>
  <c r="AU389" i="37" s="1"/>
  <c r="AU606" i="37" a="1"/>
  <c r="AU606" i="37" s="1"/>
  <c r="AU204" i="37" a="1"/>
  <c r="AU204" i="37" s="1"/>
  <c r="AU291" i="37" a="1"/>
  <c r="AU291" i="37" s="1"/>
  <c r="AU390" i="37" a="1"/>
  <c r="AU390" i="37" s="1"/>
  <c r="AU394" i="37" a="1"/>
  <c r="AU394" i="37" s="1"/>
  <c r="AU398" i="37" a="1"/>
  <c r="AU398" i="37" s="1"/>
  <c r="AU400" i="37" a="1"/>
  <c r="AU400" i="37" s="1"/>
  <c r="AU476" i="37" a="1"/>
  <c r="AU476" i="37" s="1"/>
  <c r="AU399" i="37" a="1"/>
  <c r="AU399" i="37" s="1"/>
  <c r="AU403" i="37" a="1"/>
  <c r="AU403" i="37" s="1"/>
  <c r="AU477" i="37" a="1"/>
  <c r="AU477" i="37" s="1"/>
  <c r="AU408" i="37" a="1"/>
  <c r="AU408" i="37" s="1"/>
  <c r="AU439" i="37" a="1"/>
  <c r="AU439" i="37" s="1"/>
  <c r="AU573" i="37" a="1"/>
  <c r="AU573" i="37" s="1"/>
  <c r="AU413" i="37" a="1"/>
  <c r="AU413" i="37" s="1"/>
  <c r="AU607" i="37" a="1"/>
  <c r="AU607" i="37" s="1"/>
  <c r="AU412" i="37" a="1"/>
  <c r="AU412" i="37" s="1"/>
  <c r="AU113" i="37" a="1"/>
  <c r="AU113" i="37" s="1"/>
  <c r="AU414" i="37" a="1"/>
  <c r="AU414" i="37" s="1"/>
  <c r="AU411" i="37" a="1"/>
  <c r="AU411" i="37" s="1"/>
  <c r="AU138" i="37" a="1"/>
  <c r="AU138" i="37" s="1"/>
  <c r="AU139" i="37" a="1"/>
  <c r="AU139" i="37" s="1"/>
  <c r="AU339" i="37" a="1"/>
  <c r="AU339" i="37" s="1"/>
  <c r="AU478" i="37" a="1"/>
  <c r="AU478" i="37" s="1"/>
  <c r="AU141" i="37" a="1"/>
  <c r="AU141" i="37" s="1"/>
  <c r="AU479" i="37" a="1"/>
  <c r="AU479" i="37" s="1"/>
  <c r="AU340" i="37" a="1"/>
  <c r="AU340" i="37" s="1"/>
  <c r="AU144" i="37" a="1"/>
  <c r="AU144" i="37" s="1"/>
  <c r="AU567" i="37" a="1"/>
  <c r="AU567" i="37" s="1"/>
  <c r="AU586" i="37" a="1"/>
  <c r="AU586" i="37" s="1"/>
  <c r="AU587" i="37" a="1"/>
  <c r="AU587" i="37" s="1"/>
  <c r="AU589" i="37" a="1"/>
  <c r="AU589" i="37" s="1"/>
  <c r="AU625" i="37" a="1"/>
  <c r="AU625" i="37" s="1"/>
  <c r="AU480" i="37" a="1"/>
  <c r="AU480" i="37" s="1"/>
  <c r="AU342" i="37" a="1"/>
  <c r="AU342" i="37" s="1"/>
  <c r="AU253" i="37" a="1"/>
  <c r="AU253" i="37" s="1"/>
  <c r="AU341" i="37" a="1"/>
  <c r="AU341" i="37" s="1"/>
  <c r="AU252" i="37" a="1"/>
  <c r="AU252" i="37" s="1"/>
  <c r="AU482" i="37" a="1"/>
  <c r="AU482" i="37" s="1"/>
  <c r="AU481" i="37" a="1"/>
  <c r="AU481" i="37" s="1"/>
  <c r="AU343" i="37" a="1"/>
  <c r="AU343" i="37" s="1"/>
  <c r="AU251" i="37" a="1"/>
  <c r="AU251" i="37" s="1"/>
  <c r="AU256" i="37" a="1"/>
  <c r="AU256" i="37" s="1"/>
  <c r="AU264" i="37" a="1"/>
  <c r="AU264" i="37" s="1"/>
  <c r="AU593" i="37" a="1"/>
  <c r="AU593" i="37" s="1"/>
  <c r="AU345" i="37" a="1"/>
  <c r="AU345" i="37" s="1"/>
  <c r="AU484" i="37" a="1"/>
  <c r="AU484" i="37" s="1"/>
  <c r="AU483" i="37" a="1"/>
  <c r="AU483" i="37" s="1"/>
  <c r="AU344" i="37" a="1"/>
  <c r="AU344" i="37" s="1"/>
  <c r="AU458" i="37" a="1"/>
  <c r="AU458" i="37" s="1"/>
  <c r="AU486" i="37" a="1"/>
  <c r="AU486" i="37" s="1"/>
  <c r="AU485" i="37" a="1"/>
  <c r="AU485" i="37" s="1"/>
  <c r="AU626" i="37" a="1"/>
  <c r="AU626" i="37" s="1"/>
  <c r="AU346" i="37" a="1"/>
  <c r="AU346" i="37" s="1"/>
  <c r="AU628" i="37" a="1"/>
  <c r="AU628" i="37" s="1"/>
  <c r="AU380" i="37" a="1"/>
  <c r="AU380" i="37" s="1"/>
  <c r="AU382" i="37" a="1"/>
  <c r="AU382" i="37" s="1"/>
  <c r="AU627" i="37" a="1"/>
  <c r="AU627" i="37" s="1"/>
  <c r="AU384" i="37" a="1"/>
  <c r="AU384" i="37" s="1"/>
  <c r="AU387" i="37" a="1"/>
  <c r="AU387" i="37" s="1"/>
  <c r="AU391" i="37" a="1"/>
  <c r="AU391" i="37" s="1"/>
  <c r="AU392" i="37" a="1"/>
  <c r="AU392" i="37" s="1"/>
  <c r="AU393" i="37" a="1"/>
  <c r="AU393" i="37" s="1"/>
  <c r="AU397" i="37" a="1"/>
  <c r="AU397" i="37" s="1"/>
  <c r="AU396" i="37" a="1"/>
  <c r="AU396" i="37" s="1"/>
  <c r="AU401" i="37" a="1"/>
  <c r="AU401" i="37" s="1"/>
  <c r="AU405" i="37" a="1"/>
  <c r="AU405" i="37" s="1"/>
  <c r="AU404" i="37" a="1"/>
  <c r="AU404" i="37" s="1"/>
  <c r="AU406" i="37" a="1"/>
  <c r="AU406" i="37" s="1"/>
  <c r="AU487" i="37" a="1"/>
  <c r="AU487" i="37" s="1"/>
  <c r="AU506" i="37" a="1"/>
  <c r="AU506" i="37" s="1"/>
  <c r="AU620" i="37" a="1"/>
  <c r="AU620" i="37" s="1"/>
  <c r="AU466" i="37" a="1"/>
  <c r="AU466" i="37" s="1"/>
  <c r="AU550" i="37" a="1"/>
  <c r="AU550" i="37" s="1"/>
  <c r="AU498" i="37" a="1"/>
  <c r="AU498" i="37" s="1"/>
  <c r="AU521" i="37" a="1"/>
  <c r="AU521" i="37" s="1"/>
  <c r="AU445" i="37" a="1"/>
  <c r="AU445" i="37" s="1"/>
  <c r="AU184" i="37" a="1"/>
  <c r="AU184" i="37" s="1"/>
  <c r="AU348" i="37" a="1"/>
  <c r="AU348" i="37" s="1"/>
  <c r="AU357" i="37" a="1"/>
  <c r="AU357" i="37" s="1"/>
  <c r="AU640" i="37" a="1"/>
  <c r="AU640" i="37" s="1"/>
  <c r="AU469" i="37" a="1"/>
  <c r="AU469" i="37" s="1"/>
  <c r="AU510" i="37" a="1"/>
  <c r="AU510" i="37" s="1"/>
  <c r="AU511" i="37" a="1"/>
  <c r="AU511" i="37" s="1"/>
  <c r="AU528" i="37" a="1"/>
  <c r="AU528" i="37" s="1"/>
  <c r="AU347" i="37" a="1"/>
  <c r="AU347" i="37" s="1"/>
  <c r="AU436" i="37" a="1"/>
  <c r="AU436" i="37" s="1"/>
  <c r="AU517" i="37" a="1"/>
  <c r="AU517" i="37" s="1"/>
  <c r="AU493" i="37" a="1"/>
  <c r="AU493" i="37" s="1"/>
  <c r="AU467" i="37" a="1"/>
  <c r="AU467" i="37" s="1"/>
  <c r="AU293" i="37" a="1"/>
  <c r="AU293" i="37" s="1"/>
  <c r="AU452" i="37" a="1"/>
  <c r="AU452" i="37" s="1"/>
  <c r="AU358" i="37" a="1"/>
  <c r="AU358" i="37" s="1"/>
  <c r="AU455" i="37" a="1"/>
  <c r="AU455" i="37" s="1"/>
  <c r="AU522" i="37" a="1"/>
  <c r="AU522" i="37" s="1"/>
  <c r="AU351" i="37" a="1"/>
  <c r="AU351" i="37" s="1"/>
  <c r="AU610" i="37" a="1"/>
  <c r="AU610" i="37" s="1"/>
  <c r="AU463" i="37" a="1"/>
  <c r="AU463" i="37" s="1"/>
  <c r="AU490" i="37" a="1"/>
  <c r="AU490" i="37" s="1"/>
  <c r="AU500" i="37" a="1"/>
  <c r="AU500" i="37" s="1"/>
  <c r="AU499" i="37" a="1"/>
  <c r="AU499" i="37" s="1"/>
  <c r="AU523" i="37" a="1"/>
  <c r="AU523" i="37" s="1"/>
  <c r="AU470" i="37" a="1"/>
  <c r="AU470" i="37" s="1"/>
  <c r="AU273" i="37" a="1"/>
  <c r="AU273" i="37" s="1"/>
  <c r="AU489" i="37" a="1"/>
  <c r="AU489" i="37" s="1"/>
  <c r="AU488" i="37" a="1"/>
  <c r="AU488" i="37" s="1"/>
  <c r="AU288" i="37" a="1"/>
  <c r="AU288" i="37" s="1"/>
  <c r="AU292" i="37" a="1"/>
  <c r="AU292" i="37" s="1"/>
  <c r="AU491" i="37" a="1"/>
  <c r="AU491" i="37" s="1"/>
  <c r="AU448" i="37" a="1"/>
  <c r="AU448" i="37" s="1"/>
  <c r="AU494" i="37" a="1"/>
  <c r="AU494" i="37" s="1"/>
  <c r="AU451" i="37" a="1"/>
  <c r="AU451" i="37" s="1"/>
  <c r="AU512" i="37" a="1"/>
  <c r="AU512" i="37" s="1"/>
  <c r="AU525" i="37" a="1"/>
  <c r="AU525" i="37" s="1"/>
  <c r="AU527" i="37" a="1"/>
  <c r="AU527" i="37" s="1"/>
  <c r="AU524" i="37" a="1"/>
  <c r="AU524" i="37" s="1"/>
  <c r="AU639" i="37" a="1"/>
  <c r="AU639" i="37" s="1"/>
  <c r="AU356" i="37" a="1"/>
  <c r="AU356" i="37" s="1"/>
  <c r="AU453" i="37" a="1"/>
  <c r="AU453" i="37" s="1"/>
  <c r="AU460" i="37" a="1"/>
  <c r="AU460" i="37" s="1"/>
  <c r="AU290" i="37" a="1"/>
  <c r="AU290" i="37" s="1"/>
  <c r="AU611" i="37" a="1"/>
  <c r="AU611" i="37" s="1"/>
  <c r="AU492" i="37" a="1"/>
  <c r="AU492" i="37" s="1"/>
  <c r="AU495" i="37" a="1"/>
  <c r="AU495" i="37" s="1"/>
  <c r="AU294" i="37" a="1"/>
  <c r="AU294" i="37" s="1"/>
  <c r="AU496" i="37" a="1"/>
  <c r="AU496" i="37" s="1"/>
  <c r="AU497" i="37" a="1"/>
  <c r="AU497" i="37" s="1"/>
  <c r="AU502" i="37" a="1"/>
  <c r="AU502" i="37" s="1"/>
  <c r="AU446" i="37" a="1"/>
  <c r="AU446" i="37" s="1"/>
  <c r="AU503" i="37" a="1"/>
  <c r="AU503" i="37" s="1"/>
  <c r="AU449" i="37" a="1"/>
  <c r="AU449" i="37" s="1"/>
  <c r="AU631" i="37" a="1"/>
  <c r="AU631" i="37" s="1"/>
  <c r="AU504" i="37" a="1"/>
  <c r="AU504" i="37" s="1"/>
  <c r="AU630" i="37" a="1"/>
  <c r="AU630" i="37" s="1"/>
  <c r="AU629" i="37" a="1"/>
  <c r="AU629" i="37" s="1"/>
  <c r="AU623" i="37" a="1"/>
  <c r="AU623" i="37" s="1"/>
  <c r="AU501" i="37" a="1"/>
  <c r="AU501" i="37" s="1"/>
  <c r="AU505" i="37" a="1"/>
  <c r="AU505" i="37" s="1"/>
  <c r="AU508" i="37" a="1"/>
  <c r="AU508" i="37" s="1"/>
  <c r="AU509" i="37" a="1"/>
  <c r="AU509" i="37" s="1"/>
  <c r="AU513" i="37" a="1"/>
  <c r="AU513" i="37" s="1"/>
  <c r="AU632" i="37" a="1"/>
  <c r="AU632" i="37" s="1"/>
  <c r="AU514" i="37" a="1"/>
  <c r="AU514" i="37" s="1"/>
  <c r="AU515" i="37" a="1"/>
  <c r="AU515" i="37" s="1"/>
  <c r="AU519" i="37" a="1"/>
  <c r="AU519" i="37" s="1"/>
  <c r="AU518" i="37" a="1"/>
  <c r="AU518" i="37" s="1"/>
  <c r="AU520" i="37" a="1"/>
  <c r="AU520" i="37" s="1"/>
  <c r="AU114" i="37" a="1"/>
  <c r="AU114" i="37" s="1"/>
  <c r="AU205" i="37" a="1"/>
  <c r="AU205" i="37" s="1"/>
  <c r="AU349" i="37" a="1"/>
  <c r="AU349" i="37" s="1"/>
  <c r="AU350" i="37" a="1"/>
  <c r="AU350" i="37" s="1"/>
  <c r="AU608" i="37" a="1"/>
  <c r="AU608" i="37" s="1"/>
  <c r="AU609" i="37" a="1"/>
  <c r="AU609" i="37" s="1"/>
  <c r="AU352" i="37" a="1"/>
  <c r="AU352" i="37" s="1"/>
  <c r="AU355" i="37" a="1"/>
  <c r="AU355" i="37" s="1"/>
  <c r="AU353" i="37" a="1"/>
  <c r="AU353" i="37" s="1"/>
  <c r="AU468" i="37" a="1"/>
  <c r="AU468" i="37" s="1"/>
  <c r="AU354" i="37" a="1"/>
  <c r="AU354" i="37" s="1"/>
  <c r="AU295" i="37" a="1"/>
  <c r="AU295" i="37" s="1"/>
  <c r="AU447" i="37" a="1"/>
  <c r="AU447" i="37" s="1"/>
  <c r="AU450" i="37" a="1"/>
  <c r="AU450" i="37" s="1"/>
  <c r="AU454" i="37" a="1"/>
  <c r="AU454" i="37" s="1"/>
  <c r="AU359" i="37" a="1"/>
  <c r="AU359" i="37" s="1"/>
  <c r="AU456" i="37" a="1"/>
  <c r="AU456" i="37" s="1"/>
  <c r="AU457" i="37" a="1"/>
  <c r="AU457" i="37" s="1"/>
  <c r="AU360" i="37" a="1"/>
  <c r="AU360" i="37" s="1"/>
  <c r="AU462" i="37" a="1"/>
  <c r="AU462" i="37" s="1"/>
  <c r="AU461" i="37" a="1"/>
  <c r="AU461" i="37" s="1"/>
  <c r="AU633" i="37" a="1"/>
  <c r="AU633" i="37" s="1"/>
  <c r="AU464" i="37" a="1"/>
  <c r="AU464" i="37" s="1"/>
  <c r="AU624" i="37" a="1"/>
  <c r="AU624" i="37" s="1"/>
  <c r="AU465" i="37" a="1"/>
  <c r="AU465" i="37" s="1"/>
  <c r="AU516" i="37" a="1"/>
  <c r="AU516" i="37" s="1"/>
  <c r="AU634" i="37" a="1"/>
  <c r="AU634" i="37" s="1"/>
  <c r="AU635" i="37" a="1"/>
  <c r="AU635" i="37" s="1"/>
  <c r="AU638" i="37" a="1"/>
  <c r="AU638" i="37" s="1"/>
  <c r="AU637" i="37" a="1"/>
  <c r="AU637" i="37" s="1"/>
  <c r="AU636" i="37" a="1"/>
  <c r="AU636" i="37" s="1"/>
  <c r="AU529" i="37" a="1"/>
  <c r="AU529" i="37" s="1"/>
  <c r="AU530" i="37" a="1"/>
  <c r="AU530" i="37" s="1"/>
  <c r="AU531" i="37" a="1"/>
  <c r="AU531" i="37" s="1"/>
  <c r="AU532" i="37" a="1"/>
  <c r="AU532" i="37" s="1"/>
  <c r="AT2" i="37" a="1"/>
  <c r="AT2" i="37" s="1"/>
  <c r="AT3" i="37" a="1"/>
  <c r="AT3" i="37" s="1"/>
  <c r="AT10" i="37" a="1"/>
  <c r="AT10" i="37" s="1"/>
  <c r="AT534" i="37" a="1"/>
  <c r="AT534" i="37" s="1"/>
  <c r="AT533" i="37" a="1"/>
  <c r="AT533" i="37" s="1"/>
  <c r="AT6" i="37" a="1"/>
  <c r="AT6" i="37" s="1"/>
  <c r="AT5" i="37" a="1"/>
  <c r="AT5" i="37" s="1"/>
  <c r="AT11" i="37" a="1"/>
  <c r="AT11" i="37" s="1"/>
  <c r="AT4" i="37" a="1"/>
  <c r="AT4" i="37" s="1"/>
  <c r="AT23" i="37" a="1"/>
  <c r="AT23" i="37" s="1"/>
  <c r="AT7" i="37" a="1"/>
  <c r="AT7" i="37" s="1"/>
  <c r="AT13" i="37" a="1"/>
  <c r="AT13" i="37" s="1"/>
  <c r="AT24" i="37" a="1"/>
  <c r="AT24" i="37" s="1"/>
  <c r="AT36" i="37" a="1"/>
  <c r="AT36" i="37" s="1"/>
  <c r="AT25" i="37" a="1"/>
  <c r="AT25" i="37" s="1"/>
  <c r="AT37" i="37" a="1"/>
  <c r="AT37" i="37" s="1"/>
  <c r="AT20" i="37" a="1"/>
  <c r="AT20" i="37" s="1"/>
  <c r="AT14" i="37" a="1"/>
  <c r="AT14" i="37" s="1"/>
  <c r="AT15" i="37" a="1"/>
  <c r="AT15" i="37" s="1"/>
  <c r="AT19" i="37" a="1"/>
  <c r="AT19" i="37" s="1"/>
  <c r="AT22" i="37" a="1"/>
  <c r="AT22" i="37" s="1"/>
  <c r="AT26" i="37" a="1"/>
  <c r="AT26" i="37" s="1"/>
  <c r="AT537" i="37" a="1"/>
  <c r="AT537" i="37" s="1"/>
  <c r="AT27" i="37" a="1"/>
  <c r="AT27" i="37" s="1"/>
  <c r="AT21" i="37" a="1"/>
  <c r="AT21" i="37" s="1"/>
  <c r="AT38" i="37" a="1"/>
  <c r="AT38" i="37" s="1"/>
  <c r="AT538" i="37" a="1"/>
  <c r="AT538" i="37" s="1"/>
  <c r="AT28" i="37" a="1"/>
  <c r="AT28" i="37" s="1"/>
  <c r="AT16" i="37" a="1"/>
  <c r="AT16" i="37" s="1"/>
  <c r="AT39" i="37" a="1"/>
  <c r="AT39" i="37" s="1"/>
  <c r="AT40" i="37" a="1"/>
  <c r="AT40" i="37" s="1"/>
  <c r="AT29" i="37" a="1"/>
  <c r="AT29" i="37" s="1"/>
  <c r="AT41" i="37" a="1"/>
  <c r="AT41" i="37" s="1"/>
  <c r="AT33" i="37" a="1"/>
  <c r="AT33" i="37" s="1"/>
  <c r="AT42" i="37" a="1"/>
  <c r="AT42" i="37" s="1"/>
  <c r="AT539" i="37" a="1"/>
  <c r="AT539" i="37" s="1"/>
  <c r="AT85" i="37" a="1"/>
  <c r="AT85" i="37" s="1"/>
  <c r="AT43" i="37" a="1"/>
  <c r="AT43" i="37" s="1"/>
  <c r="AT44" i="37" a="1"/>
  <c r="AT44" i="37" s="1"/>
  <c r="AT535" i="37" a="1"/>
  <c r="AT535" i="37" s="1"/>
  <c r="AT45" i="37" a="1"/>
  <c r="AT45" i="37" s="1"/>
  <c r="AT17" i="37" a="1"/>
  <c r="AT17" i="37" s="1"/>
  <c r="AT70" i="37" a="1"/>
  <c r="AT70" i="37" s="1"/>
  <c r="AT30" i="37" a="1"/>
  <c r="AT30" i="37" s="1"/>
  <c r="AT18" i="37" a="1"/>
  <c r="AT18" i="37" s="1"/>
  <c r="AT62" i="37" a="1"/>
  <c r="AT62" i="37" s="1"/>
  <c r="AT57" i="37" a="1"/>
  <c r="AT57" i="37" s="1"/>
  <c r="AT46" i="37" a="1"/>
  <c r="AT46" i="37" s="1"/>
  <c r="AT61" i="37" a="1"/>
  <c r="AT61" i="37" s="1"/>
  <c r="AT71" i="37" a="1"/>
  <c r="AT71" i="37" s="1"/>
  <c r="AT31" i="37" a="1"/>
  <c r="AT31" i="37" s="1"/>
  <c r="AT541" i="37" a="1"/>
  <c r="AT541" i="37" s="1"/>
  <c r="AT56" i="37" a="1"/>
  <c r="AT56" i="37" s="1"/>
  <c r="AT536" i="37" a="1"/>
  <c r="AT536" i="37" s="1"/>
  <c r="AT47" i="37" a="1"/>
  <c r="AT47" i="37" s="1"/>
  <c r="AT86" i="37" a="1"/>
  <c r="AT86" i="37" s="1"/>
  <c r="AT72" i="37" a="1"/>
  <c r="AT72" i="37" s="1"/>
  <c r="AT48" i="37" a="1"/>
  <c r="AT48" i="37" s="1"/>
  <c r="AT547" i="37" a="1"/>
  <c r="AT547" i="37" s="1"/>
  <c r="AT115" i="37" a="1"/>
  <c r="AT115" i="37" s="1"/>
  <c r="AT562" i="37" a="1"/>
  <c r="AT562" i="37" s="1"/>
  <c r="AT58" i="37" a="1"/>
  <c r="AT58" i="37" s="1"/>
  <c r="AT63" i="37" a="1"/>
  <c r="AT63" i="37" s="1"/>
  <c r="AT34" i="37" a="1"/>
  <c r="AT34" i="37" s="1"/>
  <c r="AT540" i="37" a="1"/>
  <c r="AT540" i="37" s="1"/>
  <c r="AT116" i="37" a="1"/>
  <c r="AT116" i="37" s="1"/>
  <c r="AT12" i="37" a="1"/>
  <c r="AT12" i="37" s="1"/>
  <c r="AT32" i="37" a="1"/>
  <c r="AT32" i="37" s="1"/>
  <c r="AT73" i="37" a="1"/>
  <c r="AT73" i="37" s="1"/>
  <c r="AT74" i="37" a="1"/>
  <c r="AT74" i="37" s="1"/>
  <c r="AT542" i="37" a="1"/>
  <c r="AT542" i="37" s="1"/>
  <c r="AT75" i="37" a="1"/>
  <c r="AT75" i="37" s="1"/>
  <c r="AT543" i="37" a="1"/>
  <c r="AT543" i="37" s="1"/>
  <c r="AT117" i="37" a="1"/>
  <c r="AT117" i="37" s="1"/>
  <c r="AT546" i="37" a="1"/>
  <c r="AT546" i="37" s="1"/>
  <c r="AT99" i="37" a="1"/>
  <c r="AT99" i="37" s="1"/>
  <c r="AT67" i="37" a="1"/>
  <c r="AT67" i="37" s="1"/>
  <c r="AT100" i="37" a="1"/>
  <c r="AT100" i="37" s="1"/>
  <c r="AT68" i="37" a="1"/>
  <c r="AT68" i="37" s="1"/>
  <c r="AT64" i="37" a="1"/>
  <c r="AT64" i="37" s="1"/>
  <c r="AT101" i="37" a="1"/>
  <c r="AT101" i="37" s="1"/>
  <c r="AT65" i="37" a="1"/>
  <c r="AT65" i="37" s="1"/>
  <c r="AT92" i="37" a="1"/>
  <c r="AT92" i="37" s="1"/>
  <c r="AT49" i="37" a="1"/>
  <c r="AT49" i="37" s="1"/>
  <c r="AT185" i="37" a="1"/>
  <c r="AT185" i="37" s="1"/>
  <c r="AT163" i="37" a="1"/>
  <c r="AT163" i="37" s="1"/>
  <c r="AT76" i="37" a="1"/>
  <c r="AT76" i="37" s="1"/>
  <c r="AT87" i="37" a="1"/>
  <c r="AT87" i="37" s="1"/>
  <c r="AT82" i="37" a="1"/>
  <c r="AT82" i="37" s="1"/>
  <c r="AT88" i="37" a="1"/>
  <c r="AT88" i="37" s="1"/>
  <c r="AT554" i="37" a="1"/>
  <c r="AT554" i="37" s="1"/>
  <c r="AT93" i="37" a="1"/>
  <c r="AT93" i="37" s="1"/>
  <c r="AT118" i="37" a="1"/>
  <c r="AT118" i="37" s="1"/>
  <c r="AT83" i="37" a="1"/>
  <c r="AT83" i="37" s="1"/>
  <c r="AT164" i="37" a="1"/>
  <c r="AT164" i="37" s="1"/>
  <c r="AT119" i="37" a="1"/>
  <c r="AT119" i="37" s="1"/>
  <c r="AT549" i="37" a="1"/>
  <c r="AT549" i="37" s="1"/>
  <c r="AT50" i="37" a="1"/>
  <c r="AT50" i="37" s="1"/>
  <c r="AT120" i="37" a="1"/>
  <c r="AT120" i="37" s="1"/>
  <c r="AT121" i="37" a="1"/>
  <c r="AT121" i="37" s="1"/>
  <c r="AT84" i="37" a="1"/>
  <c r="AT84" i="37" s="1"/>
  <c r="AT165" i="37" a="1"/>
  <c r="AT165" i="37" s="1"/>
  <c r="AT206" i="37" a="1"/>
  <c r="AT206" i="37" s="1"/>
  <c r="AT89" i="37" a="1"/>
  <c r="AT89" i="37" s="1"/>
  <c r="AT574" i="37" a="1"/>
  <c r="AT574" i="37" s="1"/>
  <c r="AT166" i="37" a="1"/>
  <c r="AT166" i="37" s="1"/>
  <c r="AT167" i="37" a="1"/>
  <c r="AT167" i="37" s="1"/>
  <c r="AT77" i="37" a="1"/>
  <c r="AT77" i="37" s="1"/>
  <c r="AT123" i="37" a="1"/>
  <c r="AT123" i="37" s="1"/>
  <c r="AT122" i="37" a="1"/>
  <c r="AT122" i="37" s="1"/>
  <c r="AT575" i="37" a="1"/>
  <c r="AT575" i="37" s="1"/>
  <c r="AT96" i="37" a="1"/>
  <c r="AT96" i="37" s="1"/>
  <c r="AT186" i="37" a="1"/>
  <c r="AT186" i="37" s="1"/>
  <c r="AT176" i="37" a="1"/>
  <c r="AT176" i="37" s="1"/>
  <c r="AT151" i="37" a="1"/>
  <c r="AT151" i="37" s="1"/>
  <c r="AT97" i="37" a="1"/>
  <c r="AT97" i="37" s="1"/>
  <c r="AT274" i="37" a="1"/>
  <c r="AT274" i="37" s="1"/>
  <c r="AT545" i="37" a="1"/>
  <c r="AT545" i="37" s="1"/>
  <c r="AT187" i="37" a="1"/>
  <c r="AT187" i="37" s="1"/>
  <c r="AT207" i="37" a="1"/>
  <c r="AT207" i="37" s="1"/>
  <c r="AT9" i="37" a="1"/>
  <c r="AT9" i="37" s="1"/>
  <c r="AT570" i="37" a="1"/>
  <c r="AT570" i="37" s="1"/>
  <c r="AT296" i="37" a="1"/>
  <c r="AT296" i="37" s="1"/>
  <c r="AT102" i="37" a="1"/>
  <c r="AT102" i="37" s="1"/>
  <c r="AT66" i="37" a="1"/>
  <c r="AT66" i="37" s="1"/>
  <c r="AT177" i="37" a="1"/>
  <c r="AT177" i="37" s="1"/>
  <c r="AT297" i="37" a="1"/>
  <c r="AT297" i="37" s="1"/>
  <c r="AT576" i="37" a="1"/>
  <c r="AT576" i="37" s="1"/>
  <c r="AT156" i="37" a="1"/>
  <c r="AT156" i="37" s="1"/>
  <c r="AT188" i="37" a="1"/>
  <c r="AT188" i="37" s="1"/>
  <c r="AT189" i="37" a="1"/>
  <c r="AT189" i="37" s="1"/>
  <c r="AT103" i="37" a="1"/>
  <c r="AT103" i="37" s="1"/>
  <c r="AT190" i="37" a="1"/>
  <c r="AT190" i="37" s="1"/>
  <c r="AT152" i="37" a="1"/>
  <c r="AT152" i="37" s="1"/>
  <c r="AT208" i="37" a="1"/>
  <c r="AT208" i="37" s="1"/>
  <c r="AT209" i="37" a="1"/>
  <c r="AT209" i="37" s="1"/>
  <c r="AT210" i="37" a="1"/>
  <c r="AT210" i="37" s="1"/>
  <c r="AT596" i="37" a="1"/>
  <c r="AT596" i="37" s="1"/>
  <c r="AT168" i="37" a="1"/>
  <c r="AT168" i="37" s="1"/>
  <c r="AT568" i="37" a="1"/>
  <c r="AT568" i="37" s="1"/>
  <c r="AT124" i="37" a="1"/>
  <c r="AT124" i="37" s="1"/>
  <c r="AT571" i="37" a="1"/>
  <c r="AT571" i="37" s="1"/>
  <c r="AT175" i="37" a="1"/>
  <c r="AT175" i="37" s="1"/>
  <c r="AT211" i="37" a="1"/>
  <c r="AT211" i="37" s="1"/>
  <c r="AT104" i="37" a="1"/>
  <c r="AT104" i="37" s="1"/>
  <c r="AT125" i="37" a="1"/>
  <c r="AT125" i="37" s="1"/>
  <c r="AT105" i="37" a="1"/>
  <c r="AT105" i="37" s="1"/>
  <c r="AT126" i="37" a="1"/>
  <c r="AT126" i="37" s="1"/>
  <c r="AT548" i="37" a="1"/>
  <c r="AT548" i="37" s="1"/>
  <c r="AT191" i="37" a="1"/>
  <c r="AT191" i="37" s="1"/>
  <c r="AT563" i="37" a="1"/>
  <c r="AT563" i="37" s="1"/>
  <c r="AT213" i="37" a="1"/>
  <c r="AT213" i="37" s="1"/>
  <c r="AT298" i="37" a="1"/>
  <c r="AT298" i="37" s="1"/>
  <c r="AT106" i="37" a="1"/>
  <c r="AT106" i="37" s="1"/>
  <c r="AT212" i="37" a="1"/>
  <c r="AT212" i="37" s="1"/>
  <c r="AT564" i="37" a="1"/>
  <c r="AT564" i="37" s="1"/>
  <c r="AT577" i="37" a="1"/>
  <c r="AT577" i="37" s="1"/>
  <c r="AT107" i="37" a="1"/>
  <c r="AT107" i="37" s="1"/>
  <c r="AT157" i="37" a="1"/>
  <c r="AT157" i="37" s="1"/>
  <c r="AT214" i="37" a="1"/>
  <c r="AT214" i="37" s="1"/>
  <c r="AT158" i="37" a="1"/>
  <c r="AT158" i="37" s="1"/>
  <c r="AT578" i="37" a="1"/>
  <c r="AT578" i="37" s="1"/>
  <c r="AT215" i="37" a="1"/>
  <c r="AT215" i="37" s="1"/>
  <c r="AT155" i="37" a="1"/>
  <c r="AT155" i="37" s="1"/>
  <c r="AT216" i="37" a="1"/>
  <c r="AT216" i="37" s="1"/>
  <c r="AT217" i="37" a="1"/>
  <c r="AT217" i="37" s="1"/>
  <c r="AT127" i="37" a="1"/>
  <c r="AT127" i="37" s="1"/>
  <c r="AT90" i="37" a="1"/>
  <c r="AT90" i="37" s="1"/>
  <c r="AT153" i="37" a="1"/>
  <c r="AT153" i="37" s="1"/>
  <c r="AT128" i="37" a="1"/>
  <c r="AT128" i="37" s="1"/>
  <c r="AT299" i="37" a="1"/>
  <c r="AT299" i="37" s="1"/>
  <c r="AT192" i="37" a="1"/>
  <c r="AT192" i="37" s="1"/>
  <c r="AT129" i="37" a="1"/>
  <c r="AT129" i="37" s="1"/>
  <c r="AT565" i="37" a="1"/>
  <c r="AT565" i="37" s="1"/>
  <c r="AT130" i="37" a="1"/>
  <c r="AT130" i="37" s="1"/>
  <c r="AT218" i="37" a="1"/>
  <c r="AT218" i="37" s="1"/>
  <c r="AT131" i="37" a="1"/>
  <c r="AT131" i="37" s="1"/>
  <c r="AT154" i="37" a="1"/>
  <c r="AT154" i="37" s="1"/>
  <c r="AT555" i="37" a="1"/>
  <c r="AT555" i="37" s="1"/>
  <c r="AT579" i="37" a="1"/>
  <c r="AT579" i="37" s="1"/>
  <c r="AT132" i="37" a="1"/>
  <c r="AT132" i="37" s="1"/>
  <c r="AT580" i="37" a="1"/>
  <c r="AT580" i="37" s="1"/>
  <c r="AT219" i="37" a="1"/>
  <c r="AT219" i="37" s="1"/>
  <c r="AT133" i="37" a="1"/>
  <c r="AT133" i="37" s="1"/>
  <c r="AT134" i="37" a="1"/>
  <c r="AT134" i="37" s="1"/>
  <c r="AT599" i="37" a="1"/>
  <c r="AT599" i="37" s="1"/>
  <c r="AT220" i="37" a="1"/>
  <c r="AT220" i="37" s="1"/>
  <c r="AT221" i="37" a="1"/>
  <c r="AT221" i="37" s="1"/>
  <c r="AT59" i="37" a="1"/>
  <c r="AT59" i="37" s="1"/>
  <c r="AT222" i="37" a="1"/>
  <c r="AT222" i="37" s="1"/>
  <c r="AT223" i="37" a="1"/>
  <c r="AT223" i="37" s="1"/>
  <c r="AT275" i="37" a="1"/>
  <c r="AT275" i="37" s="1"/>
  <c r="AT51" i="37" a="1"/>
  <c r="AT51" i="37" s="1"/>
  <c r="AT224" i="37" a="1"/>
  <c r="AT224" i="37" s="1"/>
  <c r="AT78" i="37" a="1"/>
  <c r="AT78" i="37" s="1"/>
  <c r="AT225" i="37" a="1"/>
  <c r="AT225" i="37" s="1"/>
  <c r="AT35" i="37" a="1"/>
  <c r="AT35" i="37" s="1"/>
  <c r="AT226" i="37" a="1"/>
  <c r="AT226" i="37" s="1"/>
  <c r="AT169" i="37" a="1"/>
  <c r="AT169" i="37" s="1"/>
  <c r="AT170" i="37" a="1"/>
  <c r="AT170" i="37" s="1"/>
  <c r="AT557" i="37" a="1"/>
  <c r="AT557" i="37" s="1"/>
  <c r="AT361" i="37" a="1"/>
  <c r="AT361" i="37" s="1"/>
  <c r="AT558" i="37" a="1"/>
  <c r="AT558" i="37" s="1"/>
  <c r="AT227" i="37" a="1"/>
  <c r="AT227" i="37" s="1"/>
  <c r="AT556" i="37" a="1"/>
  <c r="AT556" i="37" s="1"/>
  <c r="AT228" i="37" a="1"/>
  <c r="AT228" i="37" s="1"/>
  <c r="AT171" i="37" a="1"/>
  <c r="AT171" i="37" s="1"/>
  <c r="AT178" i="37" a="1"/>
  <c r="AT178" i="37" s="1"/>
  <c r="AT595" i="37" a="1"/>
  <c r="AT595" i="37" s="1"/>
  <c r="AT193" i="37" a="1"/>
  <c r="AT193" i="37" s="1"/>
  <c r="AT69" i="37" a="1"/>
  <c r="AT69" i="37" s="1"/>
  <c r="AT179" i="37" a="1"/>
  <c r="AT179" i="37" s="1"/>
  <c r="AT135" i="37" a="1"/>
  <c r="AT135" i="37" s="1"/>
  <c r="AT108" i="37" a="1"/>
  <c r="AT108" i="37" s="1"/>
  <c r="AT300" i="37" a="1"/>
  <c r="AT300" i="37" s="1"/>
  <c r="AT98" i="37" a="1"/>
  <c r="AT98" i="37" s="1"/>
  <c r="AT159" i="37" a="1"/>
  <c r="AT159" i="37" s="1"/>
  <c r="AT597" i="37" a="1"/>
  <c r="AT597" i="37" s="1"/>
  <c r="AT560" i="37" a="1"/>
  <c r="AT560" i="37" s="1"/>
  <c r="AT79" i="37" a="1"/>
  <c r="AT79" i="37" s="1"/>
  <c r="AT279" i="37" a="1"/>
  <c r="AT279" i="37" s="1"/>
  <c r="AT569" i="37" a="1"/>
  <c r="AT569" i="37" s="1"/>
  <c r="AT229" i="37" a="1"/>
  <c r="AT229" i="37" s="1"/>
  <c r="AT230" i="37" a="1"/>
  <c r="AT230" i="37" s="1"/>
  <c r="AT301" i="37" a="1"/>
  <c r="AT301" i="37" s="1"/>
  <c r="AT437" i="37" a="1"/>
  <c r="AT437" i="37" s="1"/>
  <c r="AT160" i="37" a="1"/>
  <c r="AT160" i="37" s="1"/>
  <c r="AT280" i="37" a="1"/>
  <c r="AT280" i="37" s="1"/>
  <c r="AT302" i="37" a="1"/>
  <c r="AT302" i="37" s="1"/>
  <c r="AT231" i="37" a="1"/>
  <c r="AT231" i="37" s="1"/>
  <c r="AT303" i="37" a="1"/>
  <c r="AT303" i="37" s="1"/>
  <c r="AT304" i="37" a="1"/>
  <c r="AT304" i="37" s="1"/>
  <c r="AT305" i="37" a="1"/>
  <c r="AT305" i="37" s="1"/>
  <c r="AT194" i="37" a="1"/>
  <c r="AT194" i="37" s="1"/>
  <c r="AT265" i="37" a="1"/>
  <c r="AT265" i="37" s="1"/>
  <c r="AT306" i="37" a="1"/>
  <c r="AT306" i="37" s="1"/>
  <c r="AT232" i="37" a="1"/>
  <c r="AT232" i="37" s="1"/>
  <c r="AT195" i="37" a="1"/>
  <c r="AT195" i="37" s="1"/>
  <c r="AT598" i="37" a="1"/>
  <c r="AT598" i="37" s="1"/>
  <c r="AT281" i="37" a="1"/>
  <c r="AT281" i="37" s="1"/>
  <c r="AT600" i="37" a="1"/>
  <c r="AT600" i="37" s="1"/>
  <c r="AT80" i="37" a="1"/>
  <c r="AT80" i="37" s="1"/>
  <c r="AT270" i="37" a="1"/>
  <c r="AT270" i="37" s="1"/>
  <c r="AT180" i="37" a="1"/>
  <c r="AT180" i="37" s="1"/>
  <c r="AT307" i="37" a="1"/>
  <c r="AT307" i="37" s="1"/>
  <c r="AT267" i="37" a="1"/>
  <c r="AT267" i="37" s="1"/>
  <c r="AT196" i="37" a="1"/>
  <c r="AT196" i="37" s="1"/>
  <c r="AT269" i="37" a="1"/>
  <c r="AT269" i="37" s="1"/>
  <c r="AT198" i="37" a="1"/>
  <c r="AT198" i="37" s="1"/>
  <c r="AT282" i="37" a="1"/>
  <c r="AT282" i="37" s="1"/>
  <c r="AT308" i="37" a="1"/>
  <c r="AT308" i="37" s="1"/>
  <c r="AT471" i="37" a="1"/>
  <c r="AT471" i="37" s="1"/>
  <c r="AT283" i="37" a="1"/>
  <c r="AT283" i="37" s="1"/>
  <c r="AT161" i="37" a="1"/>
  <c r="AT161" i="37" s="1"/>
  <c r="AT581" i="37" a="1"/>
  <c r="AT581" i="37" s="1"/>
  <c r="AT234" i="37" a="1"/>
  <c r="AT234" i="37" s="1"/>
  <c r="AT233" i="37" a="1"/>
  <c r="AT233" i="37" s="1"/>
  <c r="AT235" i="37" a="1"/>
  <c r="AT235" i="37" s="1"/>
  <c r="AT268" i="37" a="1"/>
  <c r="AT268" i="37" s="1"/>
  <c r="AT199" i="37" a="1"/>
  <c r="AT199" i="37" s="1"/>
  <c r="AT236" i="37" a="1"/>
  <c r="AT236" i="37" s="1"/>
  <c r="AT582" i="37" a="1"/>
  <c r="AT582" i="37" s="1"/>
  <c r="AT237" i="37" a="1"/>
  <c r="AT237" i="37" s="1"/>
  <c r="AT238" i="37" a="1"/>
  <c r="AT238" i="37" s="1"/>
  <c r="AT583" i="37" a="1"/>
  <c r="AT583" i="37" s="1"/>
  <c r="AT172" i="37" a="1"/>
  <c r="AT172" i="37" s="1"/>
  <c r="AT239" i="37" a="1"/>
  <c r="AT239" i="37" s="1"/>
  <c r="AT363" i="37" a="1"/>
  <c r="AT363" i="37" s="1"/>
  <c r="AT364" i="37" a="1"/>
  <c r="AT364" i="37" s="1"/>
  <c r="AT362" i="37" a="1"/>
  <c r="AT362" i="37" s="1"/>
  <c r="AT594" i="37" a="1"/>
  <c r="AT594" i="37" s="1"/>
  <c r="AT612" i="37" a="1"/>
  <c r="AT612" i="37" s="1"/>
  <c r="AT266" i="37" a="1"/>
  <c r="AT266" i="37" s="1"/>
  <c r="AT309" i="37" a="1"/>
  <c r="AT309" i="37" s="1"/>
  <c r="AT365" i="37" a="1"/>
  <c r="AT365" i="37" s="1"/>
  <c r="AT240" i="37" a="1"/>
  <c r="AT240" i="37" s="1"/>
  <c r="AT91" i="37" a="1"/>
  <c r="AT91" i="37" s="1"/>
  <c r="AT613" i="37" a="1"/>
  <c r="AT613" i="37" s="1"/>
  <c r="AT551" i="37" a="1"/>
  <c r="AT551" i="37" s="1"/>
  <c r="AT271" i="37" a="1"/>
  <c r="AT271" i="37" s="1"/>
  <c r="AT584" i="37" a="1"/>
  <c r="AT584" i="37" s="1"/>
  <c r="AT52" i="37" a="1"/>
  <c r="AT52" i="37" s="1"/>
  <c r="AT366" i="37" a="1"/>
  <c r="AT366" i="37" s="1"/>
  <c r="AT241" i="37" a="1"/>
  <c r="AT241" i="37" s="1"/>
  <c r="AT614" i="37" a="1"/>
  <c r="AT614" i="37" s="1"/>
  <c r="AT367" i="37" a="1"/>
  <c r="AT367" i="37" s="1"/>
  <c r="AT544" i="37" a="1"/>
  <c r="AT544" i="37" s="1"/>
  <c r="AT136" i="37" a="1"/>
  <c r="AT136" i="37" s="1"/>
  <c r="AT585" i="37" a="1"/>
  <c r="AT585" i="37" s="1"/>
  <c r="AT371" i="37" a="1"/>
  <c r="AT371" i="37" s="1"/>
  <c r="AT369" i="37" a="1"/>
  <c r="AT369" i="37" s="1"/>
  <c r="AT615" i="37" a="1"/>
  <c r="AT615" i="37" s="1"/>
  <c r="AT368" i="37" a="1"/>
  <c r="AT368" i="37" s="1"/>
  <c r="AT370" i="37" a="1"/>
  <c r="AT370" i="37" s="1"/>
  <c r="AT242" i="37" a="1"/>
  <c r="AT242" i="37" s="1"/>
  <c r="AT244" i="37" a="1"/>
  <c r="AT244" i="37" s="1"/>
  <c r="AT372" i="37" a="1"/>
  <c r="AT372" i="37" s="1"/>
  <c r="AT566" i="37" a="1"/>
  <c r="AT566" i="37" s="1"/>
  <c r="AT243" i="37" a="1"/>
  <c r="AT243" i="37" s="1"/>
  <c r="AT407" i="37" a="1"/>
  <c r="AT407" i="37" s="1"/>
  <c r="AT8" i="37" a="1"/>
  <c r="AT8" i="37" s="1"/>
  <c r="AT310" i="37" a="1"/>
  <c r="AT310" i="37" s="1"/>
  <c r="AT385" i="37" a="1"/>
  <c r="AT385" i="37" s="1"/>
  <c r="AT94" i="37" a="1"/>
  <c r="AT94" i="37" s="1"/>
  <c r="AT55" i="37" a="1"/>
  <c r="AT55" i="37" s="1"/>
  <c r="AT258" i="37" a="1"/>
  <c r="AT258" i="37" s="1"/>
  <c r="AT137" i="37" a="1"/>
  <c r="AT137" i="37" s="1"/>
  <c r="AT54" i="37" a="1"/>
  <c r="AT54" i="37" s="1"/>
  <c r="AT418" i="37" a="1"/>
  <c r="AT418" i="37" s="1"/>
  <c r="AT174" i="37" a="1"/>
  <c r="AT174" i="37" s="1"/>
  <c r="AT311" i="37" a="1"/>
  <c r="AT311" i="37" s="1"/>
  <c r="AT416" i="37" a="1"/>
  <c r="AT416" i="37" s="1"/>
  <c r="AT312" i="37" a="1"/>
  <c r="AT312" i="37" s="1"/>
  <c r="AT145" i="37" a="1"/>
  <c r="AT145" i="37" s="1"/>
  <c r="AT278" i="37" a="1"/>
  <c r="AT278" i="37" s="1"/>
  <c r="AT181" i="37" a="1"/>
  <c r="AT181" i="37" s="1"/>
  <c r="AT375" i="37" a="1"/>
  <c r="AT375" i="37" s="1"/>
  <c r="AT146" i="37" a="1"/>
  <c r="AT146" i="37" s="1"/>
  <c r="AT388" i="37" a="1"/>
  <c r="AT388" i="37" s="1"/>
  <c r="AT419" i="37" a="1"/>
  <c r="AT419" i="37" s="1"/>
  <c r="AT60" i="37" a="1"/>
  <c r="AT60" i="37" s="1"/>
  <c r="AT81" i="37" a="1"/>
  <c r="AT81" i="37" s="1"/>
  <c r="AT149" i="37" a="1"/>
  <c r="AT149" i="37" s="1"/>
  <c r="AT246" i="37" a="1"/>
  <c r="AT246" i="37" s="1"/>
  <c r="AT590" i="37" a="1"/>
  <c r="AT590" i="37" s="1"/>
  <c r="AT254" i="37" a="1"/>
  <c r="AT254" i="37" s="1"/>
  <c r="AT373" i="37" a="1"/>
  <c r="AT373" i="37" s="1"/>
  <c r="AT376" i="37" a="1"/>
  <c r="AT376" i="37" s="1"/>
  <c r="AT378" i="37" a="1"/>
  <c r="AT378" i="37" s="1"/>
  <c r="AT410" i="37" a="1"/>
  <c r="AT410" i="37" s="1"/>
  <c r="AT409" i="37" a="1"/>
  <c r="AT409" i="37" s="1"/>
  <c r="AT420" i="37" a="1"/>
  <c r="AT420" i="37" s="1"/>
  <c r="AT248" i="37" a="1"/>
  <c r="AT248" i="37" s="1"/>
  <c r="AT247" i="37" a="1"/>
  <c r="AT247" i="37" s="1"/>
  <c r="AT259" i="37" a="1"/>
  <c r="AT259" i="37" s="1"/>
  <c r="AT402" i="37" a="1"/>
  <c r="AT402" i="37" s="1"/>
  <c r="AT415" i="37" a="1"/>
  <c r="AT415" i="37" s="1"/>
  <c r="AT417" i="37" a="1"/>
  <c r="AT417" i="37" s="1"/>
  <c r="AT53" i="37" a="1"/>
  <c r="AT53" i="37" s="1"/>
  <c r="AT140" i="37" a="1"/>
  <c r="AT140" i="37" s="1"/>
  <c r="AT142" i="37" a="1"/>
  <c r="AT142" i="37" s="1"/>
  <c r="AT109" i="37" a="1"/>
  <c r="AT109" i="37" s="1"/>
  <c r="AT313" i="37" a="1"/>
  <c r="AT313" i="37" s="1"/>
  <c r="AT314" i="37" a="1"/>
  <c r="AT314" i="37" s="1"/>
  <c r="AT601" i="37" a="1"/>
  <c r="AT601" i="37" s="1"/>
  <c r="AT315" i="37" a="1"/>
  <c r="AT315" i="37" s="1"/>
  <c r="AT618" i="37" a="1"/>
  <c r="AT618" i="37" s="1"/>
  <c r="AT143" i="37" a="1"/>
  <c r="AT143" i="37" s="1"/>
  <c r="AT622" i="37" a="1"/>
  <c r="AT622" i="37" s="1"/>
  <c r="AT316" i="37" a="1"/>
  <c r="AT316" i="37" s="1"/>
  <c r="AT552" i="37" a="1"/>
  <c r="AT552" i="37" s="1"/>
  <c r="AT317" i="37" a="1"/>
  <c r="AT317" i="37" s="1"/>
  <c r="AT182" i="37" a="1"/>
  <c r="AT182" i="37" s="1"/>
  <c r="AT200" i="37" a="1"/>
  <c r="AT200" i="37" s="1"/>
  <c r="AT284" i="37" a="1"/>
  <c r="AT284" i="37" s="1"/>
  <c r="AT427" i="37" a="1"/>
  <c r="AT427" i="37" s="1"/>
  <c r="AT147" i="37" a="1"/>
  <c r="AT147" i="37" s="1"/>
  <c r="AT173" i="37" a="1"/>
  <c r="AT173" i="37" s="1"/>
  <c r="AT318" i="37" a="1"/>
  <c r="AT318" i="37" s="1"/>
  <c r="AT435" i="37" a="1"/>
  <c r="AT435" i="37" s="1"/>
  <c r="AT285" i="37" a="1"/>
  <c r="AT285" i="37" s="1"/>
  <c r="AT602" i="37" a="1"/>
  <c r="AT602" i="37" s="1"/>
  <c r="AT319" i="37" a="1"/>
  <c r="AT319" i="37" s="1"/>
  <c r="AT148" i="37" a="1"/>
  <c r="AT148" i="37" s="1"/>
  <c r="AT320" i="37" a="1"/>
  <c r="AT320" i="37" s="1"/>
  <c r="AT321" i="37" a="1"/>
  <c r="AT321" i="37" s="1"/>
  <c r="AT150" i="37" a="1"/>
  <c r="AT150" i="37" s="1"/>
  <c r="AT322" i="37" a="1"/>
  <c r="AT322" i="37" s="1"/>
  <c r="AT323" i="37" a="1"/>
  <c r="AT323" i="37" s="1"/>
  <c r="AT621" i="37" a="1"/>
  <c r="AT621" i="37" s="1"/>
  <c r="AT424" i="37" a="1"/>
  <c r="AT424" i="37" s="1"/>
  <c r="AT201" i="37" a="1"/>
  <c r="AT201" i="37" s="1"/>
  <c r="AT440" i="37" a="1"/>
  <c r="AT440" i="37" s="1"/>
  <c r="AT110" i="37" a="1"/>
  <c r="AT110" i="37" s="1"/>
  <c r="AT286" i="37" a="1"/>
  <c r="AT286" i="37" s="1"/>
  <c r="AT325" i="37" a="1"/>
  <c r="AT325" i="37" s="1"/>
  <c r="AT423" i="37" a="1"/>
  <c r="AT423" i="37" s="1"/>
  <c r="AT431" i="37" a="1"/>
  <c r="AT431" i="37" s="1"/>
  <c r="AT421" i="37" a="1"/>
  <c r="AT421" i="37" s="1"/>
  <c r="AT245" i="37" a="1"/>
  <c r="AT245" i="37" s="1"/>
  <c r="AT434" i="37" a="1"/>
  <c r="AT434" i="37" s="1"/>
  <c r="AT324" i="37" a="1"/>
  <c r="AT324" i="37" s="1"/>
  <c r="AT572" i="37" a="1"/>
  <c r="AT572" i="37" s="1"/>
  <c r="AT202" i="37" a="1"/>
  <c r="AT202" i="37" s="1"/>
  <c r="AT588" i="37" a="1"/>
  <c r="AT588" i="37" s="1"/>
  <c r="AT603" i="37" a="1"/>
  <c r="AT603" i="37" s="1"/>
  <c r="AT619" i="37" a="1"/>
  <c r="AT619" i="37" s="1"/>
  <c r="AT250" i="37" a="1"/>
  <c r="AT250" i="37" s="1"/>
  <c r="AT441" i="37" a="1"/>
  <c r="AT441" i="37" s="1"/>
  <c r="AT438" i="37" a="1"/>
  <c r="AT438" i="37" s="1"/>
  <c r="AT327" i="37" a="1"/>
  <c r="AT327" i="37" s="1"/>
  <c r="AT426" i="37" a="1"/>
  <c r="AT426" i="37" s="1"/>
  <c r="AT287" i="37" a="1"/>
  <c r="AT287" i="37" s="1"/>
  <c r="AT95" i="37" a="1"/>
  <c r="AT95" i="37" s="1"/>
  <c r="AT326" i="37" a="1"/>
  <c r="AT326" i="37" s="1"/>
  <c r="AT249" i="37" a="1"/>
  <c r="AT249" i="37" s="1"/>
  <c r="AT425" i="37" a="1"/>
  <c r="AT425" i="37" s="1"/>
  <c r="AT604" i="37" a="1"/>
  <c r="AT604" i="37" s="1"/>
  <c r="AT162" i="37" a="1"/>
  <c r="AT162" i="37" s="1"/>
  <c r="AT276" i="37" a="1"/>
  <c r="AT276" i="37" s="1"/>
  <c r="AT328" i="37" a="1"/>
  <c r="AT328" i="37" s="1"/>
  <c r="AT472" i="37" a="1"/>
  <c r="AT472" i="37" s="1"/>
  <c r="AT272" i="37" a="1"/>
  <c r="AT272" i="37" s="1"/>
  <c r="AT255" i="37" a="1"/>
  <c r="AT255" i="37" s="1"/>
  <c r="AT277" i="37" a="1"/>
  <c r="AT277" i="37" s="1"/>
  <c r="AT442" i="37" a="1"/>
  <c r="AT442" i="37" s="1"/>
  <c r="AT591" i="37" a="1"/>
  <c r="AT591" i="37" s="1"/>
  <c r="AT592" i="37" a="1"/>
  <c r="AT592" i="37" s="1"/>
  <c r="AT329" i="37" a="1"/>
  <c r="AT329" i="37" s="1"/>
  <c r="AT473" i="37" a="1"/>
  <c r="AT473" i="37" s="1"/>
  <c r="AT474" i="37" a="1"/>
  <c r="AT474" i="37" s="1"/>
  <c r="AT428" i="37" a="1"/>
  <c r="AT428" i="37" s="1"/>
  <c r="AT330" i="37" a="1"/>
  <c r="AT330" i="37" s="1"/>
  <c r="AT257" i="37" a="1"/>
  <c r="AT257" i="37" s="1"/>
  <c r="AT429" i="37" a="1"/>
  <c r="AT429" i="37" s="1"/>
  <c r="AT263" i="37" a="1"/>
  <c r="AT263" i="37" s="1"/>
  <c r="AT444" i="37" a="1"/>
  <c r="AT444" i="37" s="1"/>
  <c r="AT430" i="37" a="1"/>
  <c r="AT430" i="37" s="1"/>
  <c r="AT432" i="37" a="1"/>
  <c r="AT432" i="37" s="1"/>
  <c r="AT260" i="37" a="1"/>
  <c r="AT260" i="37" s="1"/>
  <c r="AT261" i="37" a="1"/>
  <c r="AT261" i="37" s="1"/>
  <c r="AT262" i="37" a="1"/>
  <c r="AT262" i="37" s="1"/>
  <c r="AT331" i="37" a="1"/>
  <c r="AT331" i="37" s="1"/>
  <c r="AT374" i="37" a="1"/>
  <c r="AT374" i="37" s="1"/>
  <c r="AT332" i="37" a="1"/>
  <c r="AT332" i="37" s="1"/>
  <c r="AT377" i="37" a="1"/>
  <c r="AT377" i="37" s="1"/>
  <c r="AT203" i="37" a="1"/>
  <c r="AT203" i="37" s="1"/>
  <c r="AT111" i="37" a="1"/>
  <c r="AT111" i="37" s="1"/>
  <c r="AT379" i="37" a="1"/>
  <c r="AT379" i="37" s="1"/>
  <c r="AT333" i="37" a="1"/>
  <c r="AT333" i="37" s="1"/>
  <c r="AT334" i="37" a="1"/>
  <c r="AT334" i="37" s="1"/>
  <c r="AT443" i="37" a="1"/>
  <c r="AT443" i="37" s="1"/>
  <c r="AT459" i="37" a="1"/>
  <c r="AT459" i="37" s="1"/>
  <c r="AT289" i="37" a="1"/>
  <c r="AT289" i="37" s="1"/>
  <c r="AT475" i="37" a="1"/>
  <c r="AT475" i="37" s="1"/>
  <c r="AT335" i="37" a="1"/>
  <c r="AT335" i="37" s="1"/>
  <c r="AT112" i="37" a="1"/>
  <c r="AT112" i="37" s="1"/>
  <c r="AT422" i="37" a="1"/>
  <c r="AT422" i="37" s="1"/>
  <c r="AT381" i="37" a="1"/>
  <c r="AT381" i="37" s="1"/>
  <c r="AT605" i="37" a="1"/>
  <c r="AT605" i="37" s="1"/>
  <c r="AT616" i="37" a="1"/>
  <c r="AT616" i="37" s="1"/>
  <c r="AT383" i="37" a="1"/>
  <c r="AT383" i="37" s="1"/>
  <c r="AT183" i="37" a="1"/>
  <c r="AT183" i="37" s="1"/>
  <c r="AT433" i="37" a="1"/>
  <c r="AT433" i="37" s="1"/>
  <c r="AT336" i="37" a="1"/>
  <c r="AT336" i="37" s="1"/>
  <c r="AT337" i="37" a="1"/>
  <c r="AT337" i="37" s="1"/>
  <c r="AT386" i="37" a="1"/>
  <c r="AT386" i="37" s="1"/>
  <c r="AT338" i="37" a="1"/>
  <c r="AT338" i="37" s="1"/>
  <c r="AT617" i="37" a="1"/>
  <c r="AT617" i="37" s="1"/>
  <c r="AT389" i="37" a="1"/>
  <c r="AT389" i="37" s="1"/>
  <c r="AT606" i="37" a="1"/>
  <c r="AT606" i="37" s="1"/>
  <c r="AT204" i="37" a="1"/>
  <c r="AT204" i="37" s="1"/>
  <c r="AT291" i="37" a="1"/>
  <c r="AT291" i="37" s="1"/>
  <c r="AT390" i="37" a="1"/>
  <c r="AT390" i="37" s="1"/>
  <c r="AT394" i="37" a="1"/>
  <c r="AT394" i="37" s="1"/>
  <c r="AT398" i="37" a="1"/>
  <c r="AT398" i="37" s="1"/>
  <c r="AT400" i="37" a="1"/>
  <c r="AT400" i="37" s="1"/>
  <c r="AT476" i="37" a="1"/>
  <c r="AT476" i="37" s="1"/>
  <c r="AT399" i="37" a="1"/>
  <c r="AT399" i="37" s="1"/>
  <c r="AT403" i="37" a="1"/>
  <c r="AT403" i="37" s="1"/>
  <c r="AT477" i="37" a="1"/>
  <c r="AT477" i="37" s="1"/>
  <c r="AT408" i="37" a="1"/>
  <c r="AT408" i="37" s="1"/>
  <c r="AT439" i="37" a="1"/>
  <c r="AT439" i="37" s="1"/>
  <c r="AT573" i="37" a="1"/>
  <c r="AT573" i="37" s="1"/>
  <c r="AT413" i="37" a="1"/>
  <c r="AT413" i="37" s="1"/>
  <c r="AT607" i="37" a="1"/>
  <c r="AT607" i="37" s="1"/>
  <c r="AT412" i="37" a="1"/>
  <c r="AT412" i="37" s="1"/>
  <c r="AT113" i="37" a="1"/>
  <c r="AT113" i="37" s="1"/>
  <c r="AT414" i="37" a="1"/>
  <c r="AT414" i="37" s="1"/>
  <c r="AT411" i="37" a="1"/>
  <c r="AT411" i="37" s="1"/>
  <c r="AT138" i="37" a="1"/>
  <c r="AT138" i="37" s="1"/>
  <c r="AT139" i="37" a="1"/>
  <c r="AT139" i="37" s="1"/>
  <c r="AT339" i="37" a="1"/>
  <c r="AT339" i="37" s="1"/>
  <c r="AT478" i="37" a="1"/>
  <c r="AT478" i="37" s="1"/>
  <c r="AT141" i="37" a="1"/>
  <c r="AT141" i="37" s="1"/>
  <c r="AT479" i="37" a="1"/>
  <c r="AT479" i="37" s="1"/>
  <c r="AT340" i="37" a="1"/>
  <c r="AT340" i="37" s="1"/>
  <c r="AT144" i="37" a="1"/>
  <c r="AT144" i="37" s="1"/>
  <c r="AT567" i="37" a="1"/>
  <c r="AT567" i="37" s="1"/>
  <c r="AT586" i="37" a="1"/>
  <c r="AT586" i="37" s="1"/>
  <c r="AT587" i="37" a="1"/>
  <c r="AT587" i="37" s="1"/>
  <c r="AT589" i="37" a="1"/>
  <c r="AT589" i="37" s="1"/>
  <c r="AT625" i="37" a="1"/>
  <c r="AT625" i="37" s="1"/>
  <c r="AT480" i="37" a="1"/>
  <c r="AT480" i="37" s="1"/>
  <c r="AT342" i="37" a="1"/>
  <c r="AT342" i="37" s="1"/>
  <c r="AT253" i="37" a="1"/>
  <c r="AT253" i="37" s="1"/>
  <c r="AT341" i="37" a="1"/>
  <c r="AT341" i="37" s="1"/>
  <c r="AT252" i="37" a="1"/>
  <c r="AT252" i="37" s="1"/>
  <c r="AT482" i="37" a="1"/>
  <c r="AT482" i="37" s="1"/>
  <c r="AT481" i="37" a="1"/>
  <c r="AT481" i="37" s="1"/>
  <c r="AT343" i="37" a="1"/>
  <c r="AT343" i="37" s="1"/>
  <c r="AT251" i="37" a="1"/>
  <c r="AT251" i="37" s="1"/>
  <c r="AT256" i="37" a="1"/>
  <c r="AT256" i="37" s="1"/>
  <c r="AT264" i="37" a="1"/>
  <c r="AT264" i="37" s="1"/>
  <c r="AT593" i="37" a="1"/>
  <c r="AT593" i="37" s="1"/>
  <c r="AT345" i="37" a="1"/>
  <c r="AT345" i="37" s="1"/>
  <c r="AT484" i="37" a="1"/>
  <c r="AT484" i="37" s="1"/>
  <c r="AT483" i="37" a="1"/>
  <c r="AT483" i="37" s="1"/>
  <c r="AT344" i="37" a="1"/>
  <c r="AT344" i="37" s="1"/>
  <c r="AT458" i="37" a="1"/>
  <c r="AT458" i="37" s="1"/>
  <c r="AT486" i="37" a="1"/>
  <c r="AT486" i="37" s="1"/>
  <c r="AT485" i="37" a="1"/>
  <c r="AT485" i="37" s="1"/>
  <c r="AT626" i="37" a="1"/>
  <c r="AT626" i="37" s="1"/>
  <c r="AT346" i="37" a="1"/>
  <c r="AT346" i="37" s="1"/>
  <c r="AT628" i="37" a="1"/>
  <c r="AT628" i="37" s="1"/>
  <c r="AT380" i="37" a="1"/>
  <c r="AT380" i="37" s="1"/>
  <c r="AT382" i="37" a="1"/>
  <c r="AT382" i="37" s="1"/>
  <c r="AT627" i="37" a="1"/>
  <c r="AT627" i="37" s="1"/>
  <c r="AT384" i="37" a="1"/>
  <c r="AT384" i="37" s="1"/>
  <c r="AT387" i="37" a="1"/>
  <c r="AT387" i="37" s="1"/>
  <c r="AT391" i="37" a="1"/>
  <c r="AT391" i="37" s="1"/>
  <c r="AT392" i="37" a="1"/>
  <c r="AT392" i="37" s="1"/>
  <c r="AT393" i="37" a="1"/>
  <c r="AT393" i="37" s="1"/>
  <c r="AT397" i="37" a="1"/>
  <c r="AT397" i="37" s="1"/>
  <c r="AT396" i="37" a="1"/>
  <c r="AT396" i="37" s="1"/>
  <c r="AT401" i="37" a="1"/>
  <c r="AT401" i="37" s="1"/>
  <c r="AT405" i="37" a="1"/>
  <c r="AT405" i="37" s="1"/>
  <c r="AT404" i="37" a="1"/>
  <c r="AT404" i="37" s="1"/>
  <c r="AT406" i="37" a="1"/>
  <c r="AT406" i="37" s="1"/>
  <c r="AT487" i="37" a="1"/>
  <c r="AT487" i="37" s="1"/>
  <c r="AT506" i="37" a="1"/>
  <c r="AT506" i="37" s="1"/>
  <c r="AT620" i="37" a="1"/>
  <c r="AT620" i="37" s="1"/>
  <c r="AT466" i="37" a="1"/>
  <c r="AT466" i="37" s="1"/>
  <c r="AT550" i="37" a="1"/>
  <c r="AT550" i="37" s="1"/>
  <c r="AT498" i="37" a="1"/>
  <c r="AT498" i="37" s="1"/>
  <c r="AT521" i="37" a="1"/>
  <c r="AT521" i="37" s="1"/>
  <c r="AT445" i="37" a="1"/>
  <c r="AT445" i="37" s="1"/>
  <c r="AT184" i="37" a="1"/>
  <c r="AT184" i="37" s="1"/>
  <c r="AT348" i="37" a="1"/>
  <c r="AT348" i="37" s="1"/>
  <c r="AT357" i="37" a="1"/>
  <c r="AT357" i="37" s="1"/>
  <c r="AT640" i="37" a="1"/>
  <c r="AT640" i="37" s="1"/>
  <c r="AT469" i="37" a="1"/>
  <c r="AT469" i="37" s="1"/>
  <c r="AT510" i="37" a="1"/>
  <c r="AT510" i="37" s="1"/>
  <c r="AT511" i="37" a="1"/>
  <c r="AT511" i="37" s="1"/>
  <c r="AT528" i="37" a="1"/>
  <c r="AT528" i="37" s="1"/>
  <c r="AT347" i="37" a="1"/>
  <c r="AT347" i="37" s="1"/>
  <c r="AT436" i="37" a="1"/>
  <c r="AT436" i="37" s="1"/>
  <c r="AT517" i="37" a="1"/>
  <c r="AT517" i="37" s="1"/>
  <c r="AT493" i="37" a="1"/>
  <c r="AT493" i="37" s="1"/>
  <c r="AT467" i="37" a="1"/>
  <c r="AT467" i="37" s="1"/>
  <c r="AT293" i="37" a="1"/>
  <c r="AT293" i="37" s="1"/>
  <c r="AT452" i="37" a="1"/>
  <c r="AT452" i="37" s="1"/>
  <c r="AT358" i="37" a="1"/>
  <c r="AT358" i="37" s="1"/>
  <c r="AT455" i="37" a="1"/>
  <c r="AT455" i="37" s="1"/>
  <c r="AT522" i="37" a="1"/>
  <c r="AT522" i="37" s="1"/>
  <c r="AT351" i="37" a="1"/>
  <c r="AT351" i="37" s="1"/>
  <c r="AT610" i="37" a="1"/>
  <c r="AT610" i="37" s="1"/>
  <c r="AT463" i="37" a="1"/>
  <c r="AT463" i="37" s="1"/>
  <c r="AT490" i="37" a="1"/>
  <c r="AT490" i="37" s="1"/>
  <c r="AT500" i="37" a="1"/>
  <c r="AT500" i="37" s="1"/>
  <c r="AT499" i="37" a="1"/>
  <c r="AT499" i="37" s="1"/>
  <c r="AT523" i="37" a="1"/>
  <c r="AT523" i="37" s="1"/>
  <c r="AT470" i="37" a="1"/>
  <c r="AT470" i="37" s="1"/>
  <c r="AT273" i="37" a="1"/>
  <c r="AT273" i="37" s="1"/>
  <c r="AT489" i="37" a="1"/>
  <c r="AT489" i="37" s="1"/>
  <c r="AT488" i="37" a="1"/>
  <c r="AT488" i="37" s="1"/>
  <c r="AT288" i="37" a="1"/>
  <c r="AT288" i="37" s="1"/>
  <c r="AT292" i="37" a="1"/>
  <c r="AT292" i="37" s="1"/>
  <c r="AT491" i="37" a="1"/>
  <c r="AT491" i="37" s="1"/>
  <c r="AT448" i="37" a="1"/>
  <c r="AT448" i="37" s="1"/>
  <c r="AT494" i="37" a="1"/>
  <c r="AT494" i="37" s="1"/>
  <c r="AT451" i="37" a="1"/>
  <c r="AT451" i="37" s="1"/>
  <c r="AT512" i="37" a="1"/>
  <c r="AT512" i="37" s="1"/>
  <c r="AT525" i="37" a="1"/>
  <c r="AT525" i="37" s="1"/>
  <c r="AT527" i="37" a="1"/>
  <c r="AT527" i="37" s="1"/>
  <c r="AT524" i="37" a="1"/>
  <c r="AT524" i="37" s="1"/>
  <c r="AT639" i="37" a="1"/>
  <c r="AT639" i="37" s="1"/>
  <c r="AT356" i="37" a="1"/>
  <c r="AT356" i="37" s="1"/>
  <c r="AT453" i="37" a="1"/>
  <c r="AT453" i="37" s="1"/>
  <c r="AT460" i="37" a="1"/>
  <c r="AT460" i="37" s="1"/>
  <c r="AT290" i="37" a="1"/>
  <c r="AT290" i="37" s="1"/>
  <c r="AT611" i="37" a="1"/>
  <c r="AT611" i="37" s="1"/>
  <c r="AT492" i="37" a="1"/>
  <c r="AT492" i="37" s="1"/>
  <c r="AT495" i="37" a="1"/>
  <c r="AT495" i="37" s="1"/>
  <c r="AT294" i="37" a="1"/>
  <c r="AT294" i="37" s="1"/>
  <c r="AT496" i="37" a="1"/>
  <c r="AT496" i="37" s="1"/>
  <c r="AT497" i="37" a="1"/>
  <c r="AT497" i="37" s="1"/>
  <c r="AT502" i="37" a="1"/>
  <c r="AT502" i="37" s="1"/>
  <c r="AT446" i="37" a="1"/>
  <c r="AT446" i="37" s="1"/>
  <c r="AT503" i="37" a="1"/>
  <c r="AT503" i="37" s="1"/>
  <c r="AT449" i="37" a="1"/>
  <c r="AT449" i="37" s="1"/>
  <c r="AT631" i="37" a="1"/>
  <c r="AT631" i="37" s="1"/>
  <c r="AT504" i="37" a="1"/>
  <c r="AT504" i="37" s="1"/>
  <c r="AT630" i="37" a="1"/>
  <c r="AT630" i="37" s="1"/>
  <c r="AT629" i="37" a="1"/>
  <c r="AT629" i="37" s="1"/>
  <c r="AT623" i="37" a="1"/>
  <c r="AT623" i="37" s="1"/>
  <c r="AT501" i="37" a="1"/>
  <c r="AT501" i="37" s="1"/>
  <c r="AT505" i="37" a="1"/>
  <c r="AT505" i="37" s="1"/>
  <c r="AT508" i="37" a="1"/>
  <c r="AT508" i="37" s="1"/>
  <c r="AT509" i="37" a="1"/>
  <c r="AT509" i="37" s="1"/>
  <c r="AT513" i="37" a="1"/>
  <c r="AT513" i="37" s="1"/>
  <c r="AT632" i="37" a="1"/>
  <c r="AT632" i="37" s="1"/>
  <c r="AT514" i="37" a="1"/>
  <c r="AT514" i="37" s="1"/>
  <c r="AT515" i="37" a="1"/>
  <c r="AT515" i="37" s="1"/>
  <c r="AT519" i="37" a="1"/>
  <c r="AT519" i="37" s="1"/>
  <c r="AT518" i="37" a="1"/>
  <c r="AT518" i="37" s="1"/>
  <c r="AT520" i="37" a="1"/>
  <c r="AT520" i="37" s="1"/>
  <c r="AT114" i="37" a="1"/>
  <c r="AT114" i="37" s="1"/>
  <c r="AT205" i="37" a="1"/>
  <c r="AT205" i="37" s="1"/>
  <c r="AT349" i="37" a="1"/>
  <c r="AT349" i="37" s="1"/>
  <c r="AT350" i="37" a="1"/>
  <c r="AT350" i="37" s="1"/>
  <c r="AT608" i="37" a="1"/>
  <c r="AT608" i="37" s="1"/>
  <c r="AT609" i="37" a="1"/>
  <c r="AT609" i="37" s="1"/>
  <c r="AT352" i="37" a="1"/>
  <c r="AT352" i="37" s="1"/>
  <c r="AT355" i="37" a="1"/>
  <c r="AT355" i="37" s="1"/>
  <c r="AT353" i="37" a="1"/>
  <c r="AT353" i="37" s="1"/>
  <c r="AT468" i="37" a="1"/>
  <c r="AT468" i="37" s="1"/>
  <c r="AT354" i="37" a="1"/>
  <c r="AT354" i="37" s="1"/>
  <c r="AT295" i="37" a="1"/>
  <c r="AT295" i="37" s="1"/>
  <c r="AT447" i="37" a="1"/>
  <c r="AT447" i="37" s="1"/>
  <c r="AT450" i="37" a="1"/>
  <c r="AT450" i="37" s="1"/>
  <c r="AT454" i="37" a="1"/>
  <c r="AT454" i="37" s="1"/>
  <c r="AT359" i="37" a="1"/>
  <c r="AT359" i="37" s="1"/>
  <c r="AT456" i="37" a="1"/>
  <c r="AT456" i="37" s="1"/>
  <c r="AT457" i="37" a="1"/>
  <c r="AT457" i="37" s="1"/>
  <c r="AT360" i="37" a="1"/>
  <c r="AT360" i="37" s="1"/>
  <c r="AT462" i="37" a="1"/>
  <c r="AT462" i="37" s="1"/>
  <c r="AT461" i="37" a="1"/>
  <c r="AT461" i="37" s="1"/>
  <c r="AT633" i="37" a="1"/>
  <c r="AT633" i="37" s="1"/>
  <c r="AT464" i="37" a="1"/>
  <c r="AT464" i="37" s="1"/>
  <c r="AT624" i="37" a="1"/>
  <c r="AT624" i="37" s="1"/>
  <c r="AT465" i="37" a="1"/>
  <c r="AT465" i="37" s="1"/>
  <c r="AT516" i="37" a="1"/>
  <c r="AT516" i="37" s="1"/>
  <c r="AT634" i="37" a="1"/>
  <c r="AT634" i="37" s="1"/>
  <c r="AT635" i="37" a="1"/>
  <c r="AT635" i="37" s="1"/>
  <c r="AT638" i="37" a="1"/>
  <c r="AT638" i="37" s="1"/>
  <c r="AT637" i="37" a="1"/>
  <c r="AT637" i="37" s="1"/>
  <c r="AT636" i="37" a="1"/>
  <c r="AT636" i="37" s="1"/>
  <c r="AT529" i="37" a="1"/>
  <c r="AT529" i="37" s="1"/>
  <c r="AT530" i="37" a="1"/>
  <c r="AT530" i="37" s="1"/>
  <c r="AT531" i="37" a="1"/>
  <c r="AT531" i="37" s="1"/>
  <c r="AT532" i="37" a="1"/>
  <c r="AT532" i="37" s="1"/>
  <c r="AS2" i="37" a="1"/>
  <c r="AS2" i="37" s="1"/>
  <c r="AS3" i="37" a="1"/>
  <c r="AS3" i="37" s="1"/>
  <c r="AS10" i="37" a="1"/>
  <c r="AS10" i="37" s="1"/>
  <c r="AS534" i="37" a="1"/>
  <c r="AS534" i="37" s="1"/>
  <c r="AS533" i="37" a="1"/>
  <c r="AS533" i="37" s="1"/>
  <c r="AS6" i="37" a="1"/>
  <c r="AS6" i="37" s="1"/>
  <c r="AS5" i="37" a="1"/>
  <c r="AS5" i="37" s="1"/>
  <c r="AS11" i="37" a="1"/>
  <c r="AS11" i="37" s="1"/>
  <c r="AS4" i="37" a="1"/>
  <c r="AS4" i="37" s="1"/>
  <c r="AS23" i="37" a="1"/>
  <c r="AS23" i="37" s="1"/>
  <c r="AS7" i="37" a="1"/>
  <c r="AS7" i="37" s="1"/>
  <c r="AS13" i="37" a="1"/>
  <c r="AS13" i="37" s="1"/>
  <c r="AS24" i="37" a="1"/>
  <c r="AS24" i="37" s="1"/>
  <c r="AS36" i="37" a="1"/>
  <c r="AS36" i="37" s="1"/>
  <c r="AS25" i="37" a="1"/>
  <c r="AS25" i="37" s="1"/>
  <c r="AS37" i="37" a="1"/>
  <c r="AS37" i="37" s="1"/>
  <c r="AS20" i="37" a="1"/>
  <c r="AS20" i="37" s="1"/>
  <c r="AS14" i="37" a="1"/>
  <c r="AS14" i="37" s="1"/>
  <c r="AS15" i="37" a="1"/>
  <c r="AS15" i="37" s="1"/>
  <c r="AS19" i="37" a="1"/>
  <c r="AS19" i="37" s="1"/>
  <c r="AS22" i="37" a="1"/>
  <c r="AS22" i="37" s="1"/>
  <c r="AS26" i="37" a="1"/>
  <c r="AS26" i="37" s="1"/>
  <c r="AS537" i="37" a="1"/>
  <c r="AS537" i="37" s="1"/>
  <c r="AS27" i="37" a="1"/>
  <c r="AS27" i="37" s="1"/>
  <c r="AS21" i="37" a="1"/>
  <c r="AS21" i="37" s="1"/>
  <c r="AS38" i="37" a="1"/>
  <c r="AS38" i="37" s="1"/>
  <c r="AS538" i="37" a="1"/>
  <c r="AS538" i="37" s="1"/>
  <c r="AS28" i="37" a="1"/>
  <c r="AS28" i="37" s="1"/>
  <c r="AS16" i="37" a="1"/>
  <c r="AS16" i="37" s="1"/>
  <c r="AS39" i="37" a="1"/>
  <c r="AS39" i="37" s="1"/>
  <c r="AS40" i="37" a="1"/>
  <c r="AS40" i="37" s="1"/>
  <c r="AS29" i="37" a="1"/>
  <c r="AS29" i="37" s="1"/>
  <c r="AS41" i="37" a="1"/>
  <c r="AS41" i="37" s="1"/>
  <c r="AS33" i="37" a="1"/>
  <c r="AS33" i="37" s="1"/>
  <c r="AS42" i="37" a="1"/>
  <c r="AS42" i="37" s="1"/>
  <c r="AS539" i="37" a="1"/>
  <c r="AS539" i="37" s="1"/>
  <c r="AS85" i="37" a="1"/>
  <c r="AS85" i="37" s="1"/>
  <c r="AS43" i="37" a="1"/>
  <c r="AS43" i="37" s="1"/>
  <c r="AS44" i="37" a="1"/>
  <c r="AS44" i="37" s="1"/>
  <c r="AS535" i="37" a="1"/>
  <c r="AS535" i="37" s="1"/>
  <c r="AS45" i="37" a="1"/>
  <c r="AS45" i="37" s="1"/>
  <c r="AS17" i="37" a="1"/>
  <c r="AS17" i="37" s="1"/>
  <c r="AS70" i="37" a="1"/>
  <c r="AS70" i="37" s="1"/>
  <c r="AS30" i="37" a="1"/>
  <c r="AS30" i="37" s="1"/>
  <c r="AS18" i="37" a="1"/>
  <c r="AS18" i="37" s="1"/>
  <c r="AS62" i="37" a="1"/>
  <c r="AS62" i="37" s="1"/>
  <c r="AS57" i="37" a="1"/>
  <c r="AS57" i="37" s="1"/>
  <c r="AS46" i="37" a="1"/>
  <c r="AS46" i="37" s="1"/>
  <c r="AS61" i="37" a="1"/>
  <c r="AS61" i="37" s="1"/>
  <c r="AS71" i="37" a="1"/>
  <c r="AS71" i="37" s="1"/>
  <c r="AS31" i="37" a="1"/>
  <c r="AS31" i="37" s="1"/>
  <c r="AS541" i="37" a="1"/>
  <c r="AS541" i="37" s="1"/>
  <c r="AS56" i="37" a="1"/>
  <c r="AS56" i="37" s="1"/>
  <c r="AS536" i="37" a="1"/>
  <c r="AS536" i="37" s="1"/>
  <c r="AS47" i="37" a="1"/>
  <c r="AS47" i="37" s="1"/>
  <c r="AS86" i="37" a="1"/>
  <c r="AS86" i="37" s="1"/>
  <c r="AS72" i="37" a="1"/>
  <c r="AS72" i="37" s="1"/>
  <c r="AS48" i="37" a="1"/>
  <c r="AS48" i="37" s="1"/>
  <c r="AS547" i="37" a="1"/>
  <c r="AS547" i="37" s="1"/>
  <c r="AS115" i="37" a="1"/>
  <c r="AS115" i="37" s="1"/>
  <c r="AS562" i="37" a="1"/>
  <c r="AS562" i="37" s="1"/>
  <c r="AS58" i="37" a="1"/>
  <c r="AS58" i="37" s="1"/>
  <c r="AS63" i="37" a="1"/>
  <c r="AS63" i="37" s="1"/>
  <c r="AS34" i="37" a="1"/>
  <c r="AS34" i="37" s="1"/>
  <c r="AS540" i="37" a="1"/>
  <c r="AS540" i="37" s="1"/>
  <c r="AS116" i="37" a="1"/>
  <c r="AS116" i="37" s="1"/>
  <c r="AS12" i="37" a="1"/>
  <c r="AS12" i="37" s="1"/>
  <c r="AS32" i="37" a="1"/>
  <c r="AS32" i="37" s="1"/>
  <c r="AS73" i="37" a="1"/>
  <c r="AS73" i="37" s="1"/>
  <c r="AS74" i="37" a="1"/>
  <c r="AS74" i="37" s="1"/>
  <c r="AS542" i="37" a="1"/>
  <c r="AS542" i="37" s="1"/>
  <c r="AS75" i="37" a="1"/>
  <c r="AS75" i="37" s="1"/>
  <c r="AS543" i="37" a="1"/>
  <c r="AS543" i="37" s="1"/>
  <c r="AS117" i="37" a="1"/>
  <c r="AS117" i="37" s="1"/>
  <c r="AS546" i="37" a="1"/>
  <c r="AS546" i="37" s="1"/>
  <c r="AS99" i="37" a="1"/>
  <c r="AS99" i="37" s="1"/>
  <c r="AS67" i="37" a="1"/>
  <c r="AS67" i="37" s="1"/>
  <c r="AS100" i="37" a="1"/>
  <c r="AS100" i="37" s="1"/>
  <c r="AS68" i="37" a="1"/>
  <c r="AS68" i="37" s="1"/>
  <c r="AS64" i="37" a="1"/>
  <c r="AS64" i="37" s="1"/>
  <c r="AS101" i="37" a="1"/>
  <c r="AS101" i="37" s="1"/>
  <c r="AS65" i="37" a="1"/>
  <c r="AS65" i="37" s="1"/>
  <c r="AS92" i="37" a="1"/>
  <c r="AS92" i="37" s="1"/>
  <c r="AS49" i="37" a="1"/>
  <c r="AS49" i="37" s="1"/>
  <c r="AS185" i="37" a="1"/>
  <c r="AS185" i="37" s="1"/>
  <c r="AS163" i="37" a="1"/>
  <c r="AS163" i="37" s="1"/>
  <c r="AS76" i="37" a="1"/>
  <c r="AS76" i="37" s="1"/>
  <c r="AS87" i="37" a="1"/>
  <c r="AS87" i="37" s="1"/>
  <c r="AS82" i="37" a="1"/>
  <c r="AS82" i="37" s="1"/>
  <c r="AS88" i="37" a="1"/>
  <c r="AS88" i="37" s="1"/>
  <c r="AS554" i="37" a="1"/>
  <c r="AS554" i="37" s="1"/>
  <c r="AS93" i="37" a="1"/>
  <c r="AS93" i="37" s="1"/>
  <c r="AS118" i="37" a="1"/>
  <c r="AS118" i="37" s="1"/>
  <c r="AS83" i="37" a="1"/>
  <c r="AS83" i="37" s="1"/>
  <c r="AS164" i="37" a="1"/>
  <c r="AS164" i="37" s="1"/>
  <c r="AS119" i="37" a="1"/>
  <c r="AS119" i="37" s="1"/>
  <c r="AS549" i="37" a="1"/>
  <c r="AS549" i="37" s="1"/>
  <c r="AS50" i="37" a="1"/>
  <c r="AS50" i="37" s="1"/>
  <c r="AS120" i="37" a="1"/>
  <c r="AS120" i="37" s="1"/>
  <c r="AS121" i="37" a="1"/>
  <c r="AS121" i="37" s="1"/>
  <c r="AS84" i="37" a="1"/>
  <c r="AS84" i="37" s="1"/>
  <c r="AS165" i="37" a="1"/>
  <c r="AS165" i="37" s="1"/>
  <c r="AS206" i="37" a="1"/>
  <c r="AS206" i="37" s="1"/>
  <c r="AS89" i="37" a="1"/>
  <c r="AS89" i="37" s="1"/>
  <c r="AS574" i="37" a="1"/>
  <c r="AS574" i="37" s="1"/>
  <c r="AS166" i="37" a="1"/>
  <c r="AS166" i="37" s="1"/>
  <c r="AS167" i="37" a="1"/>
  <c r="AS167" i="37" s="1"/>
  <c r="AS77" i="37" a="1"/>
  <c r="AS77" i="37" s="1"/>
  <c r="AS123" i="37" a="1"/>
  <c r="AS123" i="37" s="1"/>
  <c r="AS122" i="37" a="1"/>
  <c r="AS122" i="37" s="1"/>
  <c r="AS575" i="37" a="1"/>
  <c r="AS575" i="37" s="1"/>
  <c r="AS96" i="37" a="1"/>
  <c r="AS96" i="37" s="1"/>
  <c r="AS186" i="37" a="1"/>
  <c r="AS186" i="37" s="1"/>
  <c r="AS176" i="37" a="1"/>
  <c r="AS176" i="37" s="1"/>
  <c r="AS151" i="37" a="1"/>
  <c r="AS151" i="37" s="1"/>
  <c r="AS97" i="37" a="1"/>
  <c r="AS97" i="37" s="1"/>
  <c r="AS274" i="37" a="1"/>
  <c r="AS274" i="37" s="1"/>
  <c r="AS545" i="37" a="1"/>
  <c r="AS545" i="37" s="1"/>
  <c r="AS187" i="37" a="1"/>
  <c r="AS187" i="37" s="1"/>
  <c r="AS207" i="37" a="1"/>
  <c r="AS207" i="37" s="1"/>
  <c r="AS9" i="37" a="1"/>
  <c r="AS9" i="37" s="1"/>
  <c r="AS570" i="37" a="1"/>
  <c r="AS570" i="37" s="1"/>
  <c r="AS296" i="37" a="1"/>
  <c r="AS296" i="37" s="1"/>
  <c r="AS102" i="37" a="1"/>
  <c r="AS102" i="37" s="1"/>
  <c r="AS66" i="37" a="1"/>
  <c r="AS66" i="37" s="1"/>
  <c r="AS177" i="37" a="1"/>
  <c r="AS177" i="37" s="1"/>
  <c r="AS297" i="37" a="1"/>
  <c r="AS297" i="37" s="1"/>
  <c r="AS576" i="37" a="1"/>
  <c r="AS576" i="37" s="1"/>
  <c r="AS156" i="37" a="1"/>
  <c r="AS156" i="37" s="1"/>
  <c r="AS188" i="37" a="1"/>
  <c r="AS188" i="37" s="1"/>
  <c r="AS189" i="37" a="1"/>
  <c r="AS189" i="37" s="1"/>
  <c r="AS103" i="37" a="1"/>
  <c r="AS103" i="37" s="1"/>
  <c r="AS190" i="37" a="1"/>
  <c r="AS190" i="37" s="1"/>
  <c r="AS152" i="37" a="1"/>
  <c r="AS152" i="37" s="1"/>
  <c r="AS208" i="37" a="1"/>
  <c r="AS208" i="37" s="1"/>
  <c r="AS209" i="37" a="1"/>
  <c r="AS209" i="37" s="1"/>
  <c r="AS210" i="37" a="1"/>
  <c r="AS210" i="37" s="1"/>
  <c r="AS596" i="37" a="1"/>
  <c r="AS596" i="37" s="1"/>
  <c r="AS168" i="37" a="1"/>
  <c r="AS168" i="37" s="1"/>
  <c r="AS568" i="37" a="1"/>
  <c r="AS568" i="37" s="1"/>
  <c r="AS124" i="37" a="1"/>
  <c r="AS124" i="37" s="1"/>
  <c r="AS571" i="37" a="1"/>
  <c r="AS571" i="37" s="1"/>
  <c r="AS175" i="37" a="1"/>
  <c r="AS175" i="37" s="1"/>
  <c r="AS211" i="37" a="1"/>
  <c r="AS211" i="37" s="1"/>
  <c r="AS104" i="37" a="1"/>
  <c r="AS104" i="37" s="1"/>
  <c r="AS125" i="37" a="1"/>
  <c r="AS125" i="37" s="1"/>
  <c r="AS105" i="37" a="1"/>
  <c r="AS105" i="37" s="1"/>
  <c r="AS126" i="37" a="1"/>
  <c r="AS126" i="37" s="1"/>
  <c r="AS548" i="37" a="1"/>
  <c r="AS548" i="37" s="1"/>
  <c r="AS191" i="37" a="1"/>
  <c r="AS191" i="37" s="1"/>
  <c r="AS563" i="37" a="1"/>
  <c r="AS563" i="37" s="1"/>
  <c r="AS213" i="37" a="1"/>
  <c r="AS213" i="37" s="1"/>
  <c r="AS298" i="37" a="1"/>
  <c r="AS298" i="37" s="1"/>
  <c r="AS106" i="37" a="1"/>
  <c r="AS106" i="37" s="1"/>
  <c r="AS212" i="37" a="1"/>
  <c r="AS212" i="37" s="1"/>
  <c r="AS564" i="37" a="1"/>
  <c r="AS564" i="37" s="1"/>
  <c r="AS577" i="37" a="1"/>
  <c r="AS577" i="37" s="1"/>
  <c r="AS107" i="37" a="1"/>
  <c r="AS107" i="37" s="1"/>
  <c r="AS157" i="37" a="1"/>
  <c r="AS157" i="37" s="1"/>
  <c r="AS214" i="37" a="1"/>
  <c r="AS214" i="37" s="1"/>
  <c r="AS158" i="37" a="1"/>
  <c r="AS158" i="37" s="1"/>
  <c r="AS578" i="37" a="1"/>
  <c r="AS578" i="37" s="1"/>
  <c r="AS215" i="37" a="1"/>
  <c r="AS215" i="37" s="1"/>
  <c r="AS155" i="37" a="1"/>
  <c r="AS155" i="37" s="1"/>
  <c r="AS216" i="37" a="1"/>
  <c r="AS216" i="37" s="1"/>
  <c r="AS217" i="37" a="1"/>
  <c r="AS217" i="37" s="1"/>
  <c r="AS127" i="37" a="1"/>
  <c r="AS127" i="37" s="1"/>
  <c r="AS90" i="37" a="1"/>
  <c r="AS90" i="37" s="1"/>
  <c r="AS153" i="37" a="1"/>
  <c r="AS153" i="37" s="1"/>
  <c r="AS128" i="37" a="1"/>
  <c r="AS128" i="37" s="1"/>
  <c r="AS299" i="37" a="1"/>
  <c r="AS299" i="37" s="1"/>
  <c r="AS192" i="37" a="1"/>
  <c r="AS192" i="37" s="1"/>
  <c r="AS129" i="37" a="1"/>
  <c r="AS129" i="37" s="1"/>
  <c r="AS565" i="37" a="1"/>
  <c r="AS565" i="37" s="1"/>
  <c r="AS130" i="37" a="1"/>
  <c r="AS130" i="37" s="1"/>
  <c r="AS218" i="37" a="1"/>
  <c r="AS218" i="37" s="1"/>
  <c r="AS131" i="37" a="1"/>
  <c r="AS131" i="37" s="1"/>
  <c r="AS154" i="37" a="1"/>
  <c r="AS154" i="37" s="1"/>
  <c r="AS555" i="37" a="1"/>
  <c r="AS555" i="37" s="1"/>
  <c r="AS579" i="37" a="1"/>
  <c r="AS579" i="37" s="1"/>
  <c r="AS132" i="37" a="1"/>
  <c r="AS132" i="37" s="1"/>
  <c r="AS580" i="37" a="1"/>
  <c r="AS580" i="37" s="1"/>
  <c r="AS219" i="37" a="1"/>
  <c r="AS219" i="37" s="1"/>
  <c r="AS133" i="37" a="1"/>
  <c r="AS133" i="37" s="1"/>
  <c r="AS134" i="37" a="1"/>
  <c r="AS134" i="37" s="1"/>
  <c r="AS599" i="37" a="1"/>
  <c r="AS599" i="37" s="1"/>
  <c r="AS220" i="37" a="1"/>
  <c r="AS220" i="37" s="1"/>
  <c r="AS221" i="37" a="1"/>
  <c r="AS221" i="37" s="1"/>
  <c r="AS59" i="37" a="1"/>
  <c r="AS59" i="37" s="1"/>
  <c r="AS222" i="37" a="1"/>
  <c r="AS222" i="37" s="1"/>
  <c r="AS223" i="37" a="1"/>
  <c r="AS223" i="37" s="1"/>
  <c r="AS275" i="37" a="1"/>
  <c r="AS275" i="37" s="1"/>
  <c r="AS51" i="37" a="1"/>
  <c r="AS51" i="37" s="1"/>
  <c r="AS224" i="37" a="1"/>
  <c r="AS224" i="37" s="1"/>
  <c r="AS78" i="37" a="1"/>
  <c r="AS78" i="37" s="1"/>
  <c r="AS225" i="37" a="1"/>
  <c r="AS225" i="37" s="1"/>
  <c r="AS35" i="37" a="1"/>
  <c r="AS35" i="37" s="1"/>
  <c r="AS226" i="37" a="1"/>
  <c r="AS226" i="37" s="1"/>
  <c r="AS169" i="37" a="1"/>
  <c r="AS169" i="37" s="1"/>
  <c r="AS170" i="37" a="1"/>
  <c r="AS170" i="37" s="1"/>
  <c r="AS557" i="37" a="1"/>
  <c r="AS557" i="37" s="1"/>
  <c r="AS361" i="37" a="1"/>
  <c r="AS361" i="37" s="1"/>
  <c r="AS558" i="37" a="1"/>
  <c r="AS558" i="37" s="1"/>
  <c r="AS227" i="37" a="1"/>
  <c r="AS227" i="37" s="1"/>
  <c r="AS556" i="37" a="1"/>
  <c r="AS556" i="37" s="1"/>
  <c r="AS228" i="37" a="1"/>
  <c r="AS228" i="37" s="1"/>
  <c r="AS171" i="37" a="1"/>
  <c r="AS171" i="37" s="1"/>
  <c r="AS178" i="37" a="1"/>
  <c r="AS178" i="37" s="1"/>
  <c r="AS595" i="37" a="1"/>
  <c r="AS595" i="37" s="1"/>
  <c r="AS193" i="37" a="1"/>
  <c r="AS193" i="37" s="1"/>
  <c r="AS69" i="37" a="1"/>
  <c r="AS69" i="37" s="1"/>
  <c r="AS179" i="37" a="1"/>
  <c r="AS179" i="37" s="1"/>
  <c r="AS135" i="37" a="1"/>
  <c r="AS135" i="37" s="1"/>
  <c r="AS108" i="37" a="1"/>
  <c r="AS108" i="37" s="1"/>
  <c r="AS300" i="37" a="1"/>
  <c r="AS300" i="37" s="1"/>
  <c r="AS98" i="37" a="1"/>
  <c r="AS98" i="37" s="1"/>
  <c r="AS159" i="37" a="1"/>
  <c r="AS159" i="37" s="1"/>
  <c r="AS597" i="37" a="1"/>
  <c r="AS597" i="37" s="1"/>
  <c r="AS560" i="37" a="1"/>
  <c r="AS560" i="37" s="1"/>
  <c r="AS79" i="37" a="1"/>
  <c r="AS79" i="37" s="1"/>
  <c r="AS279" i="37" a="1"/>
  <c r="AS279" i="37" s="1"/>
  <c r="AS569" i="37" a="1"/>
  <c r="AS569" i="37" s="1"/>
  <c r="AS229" i="37" a="1"/>
  <c r="AS229" i="37" s="1"/>
  <c r="AS230" i="37" a="1"/>
  <c r="AS230" i="37" s="1"/>
  <c r="AS301" i="37" a="1"/>
  <c r="AS301" i="37" s="1"/>
  <c r="AS437" i="37" a="1"/>
  <c r="AS437" i="37" s="1"/>
  <c r="AS160" i="37" a="1"/>
  <c r="AS160" i="37" s="1"/>
  <c r="AS280" i="37" a="1"/>
  <c r="AS280" i="37" s="1"/>
  <c r="AS302" i="37" a="1"/>
  <c r="AS302" i="37" s="1"/>
  <c r="AS231" i="37" a="1"/>
  <c r="AS231" i="37" s="1"/>
  <c r="AS303" i="37" a="1"/>
  <c r="AS303" i="37" s="1"/>
  <c r="AS304" i="37" a="1"/>
  <c r="AS304" i="37" s="1"/>
  <c r="AS305" i="37" a="1"/>
  <c r="AS305" i="37" s="1"/>
  <c r="AS194" i="37" a="1"/>
  <c r="AS194" i="37" s="1"/>
  <c r="AS265" i="37" a="1"/>
  <c r="AS265" i="37" s="1"/>
  <c r="AS306" i="37" a="1"/>
  <c r="AS306" i="37" s="1"/>
  <c r="AS232" i="37" a="1"/>
  <c r="AS232" i="37" s="1"/>
  <c r="AS195" i="37" a="1"/>
  <c r="AS195" i="37" s="1"/>
  <c r="AS598" i="37" a="1"/>
  <c r="AS598" i="37" s="1"/>
  <c r="AS281" i="37" a="1"/>
  <c r="AS281" i="37" s="1"/>
  <c r="AS600" i="37" a="1"/>
  <c r="AS600" i="37" s="1"/>
  <c r="AS80" i="37" a="1"/>
  <c r="AS80" i="37" s="1"/>
  <c r="AS270" i="37" a="1"/>
  <c r="AS270" i="37" s="1"/>
  <c r="AS180" i="37" a="1"/>
  <c r="AS180" i="37" s="1"/>
  <c r="AS307" i="37" a="1"/>
  <c r="AS307" i="37" s="1"/>
  <c r="AS267" i="37" a="1"/>
  <c r="AS267" i="37" s="1"/>
  <c r="AS196" i="37" a="1"/>
  <c r="AS196" i="37" s="1"/>
  <c r="AS269" i="37" a="1"/>
  <c r="AS269" i="37" s="1"/>
  <c r="AS198" i="37" a="1"/>
  <c r="AS198" i="37" s="1"/>
  <c r="AS282" i="37" a="1"/>
  <c r="AS282" i="37" s="1"/>
  <c r="AS308" i="37" a="1"/>
  <c r="AS308" i="37" s="1"/>
  <c r="AS471" i="37" a="1"/>
  <c r="AS471" i="37" s="1"/>
  <c r="AS283" i="37" a="1"/>
  <c r="AS283" i="37" s="1"/>
  <c r="AS161" i="37" a="1"/>
  <c r="AS161" i="37" s="1"/>
  <c r="AS581" i="37" a="1"/>
  <c r="AS581" i="37" s="1"/>
  <c r="AS234" i="37" a="1"/>
  <c r="AS234" i="37" s="1"/>
  <c r="AS233" i="37" a="1"/>
  <c r="AS233" i="37" s="1"/>
  <c r="AS235" i="37" a="1"/>
  <c r="AS235" i="37" s="1"/>
  <c r="AS268" i="37" a="1"/>
  <c r="AS268" i="37" s="1"/>
  <c r="AS199" i="37" a="1"/>
  <c r="AS199" i="37" s="1"/>
  <c r="AS236" i="37" a="1"/>
  <c r="AS236" i="37" s="1"/>
  <c r="AS582" i="37" a="1"/>
  <c r="AS582" i="37" s="1"/>
  <c r="AS237" i="37" a="1"/>
  <c r="AS237" i="37" s="1"/>
  <c r="AS238" i="37" a="1"/>
  <c r="AS238" i="37" s="1"/>
  <c r="AS583" i="37" a="1"/>
  <c r="AS583" i="37" s="1"/>
  <c r="AS172" i="37" a="1"/>
  <c r="AS172" i="37" s="1"/>
  <c r="AS239" i="37" a="1"/>
  <c r="AS239" i="37" s="1"/>
  <c r="AS363" i="37" a="1"/>
  <c r="AS363" i="37" s="1"/>
  <c r="AS364" i="37" a="1"/>
  <c r="AS364" i="37" s="1"/>
  <c r="AS362" i="37" a="1"/>
  <c r="AS362" i="37" s="1"/>
  <c r="AS594" i="37" a="1"/>
  <c r="AS594" i="37" s="1"/>
  <c r="AS612" i="37" a="1"/>
  <c r="AS612" i="37" s="1"/>
  <c r="AS266" i="37" a="1"/>
  <c r="AS266" i="37" s="1"/>
  <c r="AS309" i="37" a="1"/>
  <c r="AS309" i="37" s="1"/>
  <c r="AS365" i="37" a="1"/>
  <c r="AS365" i="37" s="1"/>
  <c r="AS240" i="37" a="1"/>
  <c r="AS240" i="37" s="1"/>
  <c r="AS91" i="37" a="1"/>
  <c r="AS91" i="37" s="1"/>
  <c r="AS613" i="37" a="1"/>
  <c r="AS613" i="37" s="1"/>
  <c r="AS551" i="37" a="1"/>
  <c r="AS551" i="37" s="1"/>
  <c r="AS271" i="37" a="1"/>
  <c r="AS271" i="37" s="1"/>
  <c r="AS584" i="37" a="1"/>
  <c r="AS584" i="37" s="1"/>
  <c r="AS52" i="37" a="1"/>
  <c r="AS52" i="37" s="1"/>
  <c r="AS366" i="37" a="1"/>
  <c r="AS366" i="37" s="1"/>
  <c r="AS241" i="37" a="1"/>
  <c r="AS241" i="37" s="1"/>
  <c r="AS614" i="37" a="1"/>
  <c r="AS614" i="37" s="1"/>
  <c r="AS367" i="37" a="1"/>
  <c r="AS367" i="37" s="1"/>
  <c r="AS544" i="37" a="1"/>
  <c r="AS544" i="37" s="1"/>
  <c r="AS136" i="37" a="1"/>
  <c r="AS136" i="37" s="1"/>
  <c r="AS585" i="37" a="1"/>
  <c r="AS585" i="37" s="1"/>
  <c r="AS371" i="37" a="1"/>
  <c r="AS371" i="37" s="1"/>
  <c r="AS369" i="37" a="1"/>
  <c r="AS369" i="37" s="1"/>
  <c r="AS615" i="37" a="1"/>
  <c r="AS615" i="37" s="1"/>
  <c r="AS368" i="37" a="1"/>
  <c r="AS368" i="37" s="1"/>
  <c r="AS370" i="37" a="1"/>
  <c r="AS370" i="37" s="1"/>
  <c r="AS242" i="37" a="1"/>
  <c r="AS242" i="37" s="1"/>
  <c r="AS244" i="37" a="1"/>
  <c r="AS244" i="37" s="1"/>
  <c r="AS372" i="37" a="1"/>
  <c r="AS372" i="37" s="1"/>
  <c r="AS566" i="37" a="1"/>
  <c r="AS566" i="37" s="1"/>
  <c r="AS243" i="37" a="1"/>
  <c r="AS243" i="37" s="1"/>
  <c r="AS407" i="37" a="1"/>
  <c r="AS407" i="37" s="1"/>
  <c r="AS8" i="37" a="1"/>
  <c r="AS8" i="37" s="1"/>
  <c r="AS310" i="37" a="1"/>
  <c r="AS310" i="37" s="1"/>
  <c r="AS385" i="37" a="1"/>
  <c r="AS385" i="37" s="1"/>
  <c r="AS94" i="37" a="1"/>
  <c r="AS94" i="37" s="1"/>
  <c r="AS55" i="37" a="1"/>
  <c r="AS55" i="37" s="1"/>
  <c r="AS258" i="37" a="1"/>
  <c r="AS258" i="37" s="1"/>
  <c r="AS137" i="37" a="1"/>
  <c r="AS137" i="37" s="1"/>
  <c r="AS54" i="37" a="1"/>
  <c r="AS54" i="37" s="1"/>
  <c r="AS418" i="37" a="1"/>
  <c r="AS418" i="37" s="1"/>
  <c r="AS174" i="37" a="1"/>
  <c r="AS174" i="37" s="1"/>
  <c r="AS311" i="37" a="1"/>
  <c r="AS311" i="37" s="1"/>
  <c r="AS416" i="37" a="1"/>
  <c r="AS416" i="37" s="1"/>
  <c r="AS312" i="37" a="1"/>
  <c r="AS312" i="37" s="1"/>
  <c r="AS145" i="37" a="1"/>
  <c r="AS145" i="37" s="1"/>
  <c r="AS278" i="37" a="1"/>
  <c r="AS278" i="37" s="1"/>
  <c r="AS181" i="37" a="1"/>
  <c r="AS181" i="37" s="1"/>
  <c r="AS375" i="37" a="1"/>
  <c r="AS375" i="37" s="1"/>
  <c r="AS146" i="37" a="1"/>
  <c r="AS146" i="37" s="1"/>
  <c r="AS388" i="37" a="1"/>
  <c r="AS388" i="37" s="1"/>
  <c r="AS419" i="37" a="1"/>
  <c r="AS419" i="37" s="1"/>
  <c r="AS60" i="37" a="1"/>
  <c r="AS60" i="37" s="1"/>
  <c r="AS81" i="37" a="1"/>
  <c r="AS81" i="37" s="1"/>
  <c r="AS149" i="37" a="1"/>
  <c r="AS149" i="37" s="1"/>
  <c r="AS246" i="37" a="1"/>
  <c r="AS246" i="37" s="1"/>
  <c r="AS590" i="37" a="1"/>
  <c r="AS590" i="37" s="1"/>
  <c r="AS254" i="37" a="1"/>
  <c r="AS254" i="37" s="1"/>
  <c r="AS373" i="37" a="1"/>
  <c r="AS373" i="37" s="1"/>
  <c r="AS376" i="37" a="1"/>
  <c r="AS376" i="37" s="1"/>
  <c r="AS378" i="37" a="1"/>
  <c r="AS378" i="37" s="1"/>
  <c r="AS410" i="37" a="1"/>
  <c r="AS410" i="37" s="1"/>
  <c r="AS409" i="37" a="1"/>
  <c r="AS409" i="37" s="1"/>
  <c r="AS420" i="37" a="1"/>
  <c r="AS420" i="37" s="1"/>
  <c r="AS248" i="37" a="1"/>
  <c r="AS248" i="37" s="1"/>
  <c r="AS247" i="37" a="1"/>
  <c r="AS247" i="37" s="1"/>
  <c r="AS259" i="37" a="1"/>
  <c r="AS259" i="37" s="1"/>
  <c r="AS402" i="37" a="1"/>
  <c r="AS402" i="37" s="1"/>
  <c r="AS415" i="37" a="1"/>
  <c r="AS415" i="37" s="1"/>
  <c r="AS417" i="37" a="1"/>
  <c r="AS417" i="37" s="1"/>
  <c r="AS53" i="37" a="1"/>
  <c r="AS53" i="37" s="1"/>
  <c r="AS140" i="37" a="1"/>
  <c r="AS140" i="37" s="1"/>
  <c r="AS142" i="37" a="1"/>
  <c r="AS142" i="37" s="1"/>
  <c r="AS109" i="37" a="1"/>
  <c r="AS109" i="37" s="1"/>
  <c r="AS313" i="37" a="1"/>
  <c r="AS313" i="37" s="1"/>
  <c r="AS314" i="37" a="1"/>
  <c r="AS314" i="37" s="1"/>
  <c r="AS601" i="37" a="1"/>
  <c r="AS601" i="37" s="1"/>
  <c r="AS315" i="37" a="1"/>
  <c r="AS315" i="37" s="1"/>
  <c r="AS618" i="37" a="1"/>
  <c r="AS618" i="37" s="1"/>
  <c r="AS143" i="37" a="1"/>
  <c r="AS143" i="37" s="1"/>
  <c r="AS622" i="37" a="1"/>
  <c r="AS622" i="37" s="1"/>
  <c r="AS316" i="37" a="1"/>
  <c r="AS316" i="37" s="1"/>
  <c r="AS552" i="37" a="1"/>
  <c r="AS552" i="37" s="1"/>
  <c r="AS317" i="37" a="1"/>
  <c r="AS317" i="37" s="1"/>
  <c r="AS182" i="37" a="1"/>
  <c r="AS182" i="37" s="1"/>
  <c r="AS200" i="37" a="1"/>
  <c r="AS200" i="37" s="1"/>
  <c r="AS284" i="37" a="1"/>
  <c r="AS284" i="37" s="1"/>
  <c r="AS427" i="37" a="1"/>
  <c r="AS427" i="37" s="1"/>
  <c r="AS147" i="37" a="1"/>
  <c r="AS147" i="37" s="1"/>
  <c r="AS173" i="37" a="1"/>
  <c r="AS173" i="37" s="1"/>
  <c r="AS318" i="37" a="1"/>
  <c r="AS318" i="37" s="1"/>
  <c r="AS435" i="37" a="1"/>
  <c r="AS435" i="37" s="1"/>
  <c r="AS285" i="37" a="1"/>
  <c r="AS285" i="37" s="1"/>
  <c r="AS602" i="37" a="1"/>
  <c r="AS602" i="37" s="1"/>
  <c r="AS319" i="37" a="1"/>
  <c r="AS319" i="37" s="1"/>
  <c r="AS148" i="37" a="1"/>
  <c r="AS148" i="37" s="1"/>
  <c r="AS320" i="37" a="1"/>
  <c r="AS320" i="37" s="1"/>
  <c r="AS321" i="37" a="1"/>
  <c r="AS321" i="37" s="1"/>
  <c r="AS150" i="37" a="1"/>
  <c r="AS150" i="37" s="1"/>
  <c r="AS322" i="37" a="1"/>
  <c r="AS322" i="37" s="1"/>
  <c r="AS323" i="37" a="1"/>
  <c r="AS323" i="37" s="1"/>
  <c r="AS621" i="37" a="1"/>
  <c r="AS621" i="37" s="1"/>
  <c r="AS424" i="37" a="1"/>
  <c r="AS424" i="37" s="1"/>
  <c r="AS201" i="37" a="1"/>
  <c r="AS201" i="37" s="1"/>
  <c r="AS440" i="37" a="1"/>
  <c r="AS440" i="37" s="1"/>
  <c r="AS110" i="37" a="1"/>
  <c r="AS110" i="37" s="1"/>
  <c r="AS286" i="37" a="1"/>
  <c r="AS286" i="37" s="1"/>
  <c r="AS325" i="37" a="1"/>
  <c r="AS325" i="37" s="1"/>
  <c r="AS423" i="37" a="1"/>
  <c r="AS423" i="37" s="1"/>
  <c r="AS431" i="37" a="1"/>
  <c r="AS431" i="37" s="1"/>
  <c r="AS421" i="37" a="1"/>
  <c r="AS421" i="37" s="1"/>
  <c r="AS245" i="37" a="1"/>
  <c r="AS245" i="37" s="1"/>
  <c r="AS434" i="37" a="1"/>
  <c r="AS434" i="37" s="1"/>
  <c r="AS324" i="37" a="1"/>
  <c r="AS324" i="37" s="1"/>
  <c r="AS572" i="37" a="1"/>
  <c r="AS572" i="37" s="1"/>
  <c r="AS202" i="37" a="1"/>
  <c r="AS202" i="37" s="1"/>
  <c r="AS588" i="37" a="1"/>
  <c r="AS588" i="37" s="1"/>
  <c r="AS603" i="37" a="1"/>
  <c r="AS603" i="37" s="1"/>
  <c r="AS619" i="37" a="1"/>
  <c r="AS619" i="37" s="1"/>
  <c r="AS250" i="37" a="1"/>
  <c r="AS250" i="37" s="1"/>
  <c r="AS441" i="37" a="1"/>
  <c r="AS441" i="37" s="1"/>
  <c r="AS438" i="37" a="1"/>
  <c r="AS438" i="37" s="1"/>
  <c r="AS327" i="37" a="1"/>
  <c r="AS327" i="37" s="1"/>
  <c r="AS426" i="37" a="1"/>
  <c r="AS426" i="37" s="1"/>
  <c r="AS287" i="37" a="1"/>
  <c r="AS287" i="37" s="1"/>
  <c r="AS95" i="37" a="1"/>
  <c r="AS95" i="37" s="1"/>
  <c r="AS326" i="37" a="1"/>
  <c r="AS326" i="37" s="1"/>
  <c r="AS249" i="37" a="1"/>
  <c r="AS249" i="37" s="1"/>
  <c r="AS425" i="37" a="1"/>
  <c r="AS425" i="37" s="1"/>
  <c r="AS604" i="37" a="1"/>
  <c r="AS604" i="37" s="1"/>
  <c r="AS162" i="37" a="1"/>
  <c r="AS162" i="37" s="1"/>
  <c r="AS276" i="37" a="1"/>
  <c r="AS276" i="37" s="1"/>
  <c r="AS328" i="37" a="1"/>
  <c r="AS328" i="37" s="1"/>
  <c r="AS472" i="37" a="1"/>
  <c r="AS472" i="37" s="1"/>
  <c r="AS272" i="37" a="1"/>
  <c r="AS272" i="37" s="1"/>
  <c r="AS255" i="37" a="1"/>
  <c r="AS255" i="37" s="1"/>
  <c r="AS277" i="37" a="1"/>
  <c r="AS277" i="37" s="1"/>
  <c r="AS442" i="37" a="1"/>
  <c r="AS442" i="37" s="1"/>
  <c r="AS591" i="37" a="1"/>
  <c r="AS591" i="37" s="1"/>
  <c r="AS592" i="37" a="1"/>
  <c r="AS592" i="37" s="1"/>
  <c r="AS329" i="37" a="1"/>
  <c r="AS329" i="37" s="1"/>
  <c r="AS473" i="37" a="1"/>
  <c r="AS473" i="37" s="1"/>
  <c r="AS474" i="37" a="1"/>
  <c r="AS474" i="37" s="1"/>
  <c r="AS428" i="37" a="1"/>
  <c r="AS428" i="37" s="1"/>
  <c r="AS330" i="37" a="1"/>
  <c r="AS330" i="37" s="1"/>
  <c r="AS257" i="37" a="1"/>
  <c r="AS257" i="37" s="1"/>
  <c r="AS429" i="37" a="1"/>
  <c r="AS429" i="37" s="1"/>
  <c r="AS263" i="37" a="1"/>
  <c r="AS263" i="37" s="1"/>
  <c r="AS444" i="37" a="1"/>
  <c r="AS444" i="37" s="1"/>
  <c r="AS430" i="37" a="1"/>
  <c r="AS430" i="37" s="1"/>
  <c r="AS432" i="37" a="1"/>
  <c r="AS432" i="37" s="1"/>
  <c r="AS260" i="37" a="1"/>
  <c r="AS260" i="37" s="1"/>
  <c r="AS261" i="37" a="1"/>
  <c r="AS261" i="37" s="1"/>
  <c r="AS262" i="37" a="1"/>
  <c r="AS262" i="37" s="1"/>
  <c r="AS331" i="37" a="1"/>
  <c r="AS331" i="37" s="1"/>
  <c r="AS374" i="37" a="1"/>
  <c r="AS374" i="37" s="1"/>
  <c r="AS332" i="37" a="1"/>
  <c r="AS332" i="37" s="1"/>
  <c r="AS377" i="37" a="1"/>
  <c r="AS377" i="37" s="1"/>
  <c r="AS203" i="37" a="1"/>
  <c r="AS203" i="37" s="1"/>
  <c r="AS111" i="37" a="1"/>
  <c r="AS111" i="37" s="1"/>
  <c r="AS379" i="37" a="1"/>
  <c r="AS379" i="37" s="1"/>
  <c r="AS333" i="37" a="1"/>
  <c r="AS333" i="37" s="1"/>
  <c r="AS334" i="37" a="1"/>
  <c r="AS334" i="37" s="1"/>
  <c r="AS443" i="37" a="1"/>
  <c r="AS443" i="37" s="1"/>
  <c r="AS459" i="37" a="1"/>
  <c r="AS459" i="37" s="1"/>
  <c r="AS289" i="37" a="1"/>
  <c r="AS289" i="37" s="1"/>
  <c r="AS475" i="37" a="1"/>
  <c r="AS475" i="37" s="1"/>
  <c r="AS335" i="37" a="1"/>
  <c r="AS335" i="37" s="1"/>
  <c r="AS112" i="37" a="1"/>
  <c r="AS112" i="37" s="1"/>
  <c r="AS422" i="37" a="1"/>
  <c r="AS422" i="37" s="1"/>
  <c r="AS381" i="37" a="1"/>
  <c r="AS381" i="37" s="1"/>
  <c r="AS605" i="37" a="1"/>
  <c r="AS605" i="37" s="1"/>
  <c r="AS616" i="37" a="1"/>
  <c r="AS616" i="37" s="1"/>
  <c r="AS383" i="37" a="1"/>
  <c r="AS383" i="37" s="1"/>
  <c r="AS183" i="37" a="1"/>
  <c r="AS183" i="37" s="1"/>
  <c r="AS433" i="37" a="1"/>
  <c r="AS433" i="37" s="1"/>
  <c r="AS336" i="37" a="1"/>
  <c r="AS336" i="37" s="1"/>
  <c r="AS337" i="37" a="1"/>
  <c r="AS337" i="37" s="1"/>
  <c r="AS386" i="37" a="1"/>
  <c r="AS386" i="37" s="1"/>
  <c r="AS338" i="37" a="1"/>
  <c r="AS338" i="37" s="1"/>
  <c r="AS617" i="37" a="1"/>
  <c r="AS617" i="37" s="1"/>
  <c r="AS389" i="37" a="1"/>
  <c r="AS389" i="37" s="1"/>
  <c r="AS606" i="37" a="1"/>
  <c r="AS606" i="37" s="1"/>
  <c r="AS204" i="37" a="1"/>
  <c r="AS204" i="37" s="1"/>
  <c r="AS291" i="37" a="1"/>
  <c r="AS291" i="37" s="1"/>
  <c r="AS390" i="37" a="1"/>
  <c r="AS390" i="37" s="1"/>
  <c r="AS394" i="37" a="1"/>
  <c r="AS394" i="37" s="1"/>
  <c r="AS398" i="37" a="1"/>
  <c r="AS398" i="37" s="1"/>
  <c r="AS400" i="37" a="1"/>
  <c r="AS400" i="37" s="1"/>
  <c r="AS476" i="37" a="1"/>
  <c r="AS476" i="37" s="1"/>
  <c r="AS399" i="37" a="1"/>
  <c r="AS399" i="37" s="1"/>
  <c r="AS403" i="37" a="1"/>
  <c r="AS403" i="37" s="1"/>
  <c r="AS477" i="37" a="1"/>
  <c r="AS477" i="37" s="1"/>
  <c r="AS408" i="37" a="1"/>
  <c r="AS408" i="37" s="1"/>
  <c r="AS439" i="37" a="1"/>
  <c r="AS439" i="37" s="1"/>
  <c r="AS573" i="37" a="1"/>
  <c r="AS573" i="37" s="1"/>
  <c r="AS413" i="37" a="1"/>
  <c r="AS413" i="37" s="1"/>
  <c r="AS607" i="37" a="1"/>
  <c r="AS607" i="37" s="1"/>
  <c r="AS412" i="37" a="1"/>
  <c r="AS412" i="37" s="1"/>
  <c r="AS113" i="37" a="1"/>
  <c r="AS113" i="37" s="1"/>
  <c r="AS414" i="37" a="1"/>
  <c r="AS414" i="37" s="1"/>
  <c r="AS411" i="37" a="1"/>
  <c r="AS411" i="37" s="1"/>
  <c r="AS138" i="37" a="1"/>
  <c r="AS138" i="37" s="1"/>
  <c r="AS139" i="37" a="1"/>
  <c r="AS139" i="37" s="1"/>
  <c r="AS339" i="37" a="1"/>
  <c r="AS339" i="37" s="1"/>
  <c r="AS478" i="37" a="1"/>
  <c r="AS478" i="37" s="1"/>
  <c r="AS141" i="37" a="1"/>
  <c r="AS141" i="37" s="1"/>
  <c r="AS479" i="37" a="1"/>
  <c r="AS479" i="37" s="1"/>
  <c r="AS340" i="37" a="1"/>
  <c r="AS340" i="37" s="1"/>
  <c r="AS144" i="37" a="1"/>
  <c r="AS144" i="37" s="1"/>
  <c r="AS567" i="37" a="1"/>
  <c r="AS567" i="37" s="1"/>
  <c r="AS586" i="37" a="1"/>
  <c r="AS586" i="37" s="1"/>
  <c r="AS587" i="37" a="1"/>
  <c r="AS587" i="37" s="1"/>
  <c r="AS589" i="37" a="1"/>
  <c r="AS589" i="37" s="1"/>
  <c r="AS625" i="37" a="1"/>
  <c r="AS625" i="37" s="1"/>
  <c r="AS480" i="37" a="1"/>
  <c r="AS480" i="37" s="1"/>
  <c r="AS342" i="37" a="1"/>
  <c r="AS342" i="37" s="1"/>
  <c r="AS253" i="37" a="1"/>
  <c r="AS253" i="37" s="1"/>
  <c r="AS341" i="37" a="1"/>
  <c r="AS341" i="37" s="1"/>
  <c r="AS252" i="37" a="1"/>
  <c r="AS252" i="37" s="1"/>
  <c r="AS482" i="37" a="1"/>
  <c r="AS482" i="37" s="1"/>
  <c r="AS481" i="37" a="1"/>
  <c r="AS481" i="37" s="1"/>
  <c r="AS343" i="37" a="1"/>
  <c r="AS343" i="37" s="1"/>
  <c r="AS251" i="37" a="1"/>
  <c r="AS251" i="37" s="1"/>
  <c r="AS256" i="37" a="1"/>
  <c r="AS256" i="37" s="1"/>
  <c r="AS264" i="37" a="1"/>
  <c r="AS264" i="37" s="1"/>
  <c r="AS593" i="37" a="1"/>
  <c r="AS593" i="37" s="1"/>
  <c r="AS345" i="37" a="1"/>
  <c r="AS345" i="37" s="1"/>
  <c r="AS484" i="37" a="1"/>
  <c r="AS484" i="37" s="1"/>
  <c r="AS483" i="37" a="1"/>
  <c r="AS483" i="37" s="1"/>
  <c r="AS344" i="37" a="1"/>
  <c r="AS344" i="37" s="1"/>
  <c r="AS458" i="37" a="1"/>
  <c r="AS458" i="37" s="1"/>
  <c r="AS486" i="37" a="1"/>
  <c r="AS486" i="37" s="1"/>
  <c r="AS485" i="37" a="1"/>
  <c r="AS485" i="37" s="1"/>
  <c r="AS626" i="37" a="1"/>
  <c r="AS626" i="37" s="1"/>
  <c r="AS346" i="37" a="1"/>
  <c r="AS346" i="37" s="1"/>
  <c r="AS628" i="37" a="1"/>
  <c r="AS628" i="37" s="1"/>
  <c r="AS380" i="37" a="1"/>
  <c r="AS380" i="37" s="1"/>
  <c r="AS382" i="37" a="1"/>
  <c r="AS382" i="37" s="1"/>
  <c r="AS627" i="37" a="1"/>
  <c r="AS627" i="37" s="1"/>
  <c r="AS384" i="37" a="1"/>
  <c r="AS384" i="37" s="1"/>
  <c r="AS387" i="37" a="1"/>
  <c r="AS387" i="37" s="1"/>
  <c r="AS391" i="37" a="1"/>
  <c r="AS391" i="37" s="1"/>
  <c r="AS392" i="37" a="1"/>
  <c r="AS392" i="37" s="1"/>
  <c r="AS393" i="37" a="1"/>
  <c r="AS393" i="37" s="1"/>
  <c r="AS397" i="37" a="1"/>
  <c r="AS397" i="37" s="1"/>
  <c r="AS396" i="37" a="1"/>
  <c r="AS396" i="37" s="1"/>
  <c r="AS401" i="37" a="1"/>
  <c r="AS401" i="37" s="1"/>
  <c r="AS405" i="37" a="1"/>
  <c r="AS405" i="37" s="1"/>
  <c r="AS404" i="37" a="1"/>
  <c r="AS404" i="37" s="1"/>
  <c r="AS406" i="37" a="1"/>
  <c r="AS406" i="37" s="1"/>
  <c r="AS487" i="37" a="1"/>
  <c r="AS487" i="37" s="1"/>
  <c r="AS506" i="37" a="1"/>
  <c r="AS506" i="37" s="1"/>
  <c r="AS620" i="37" a="1"/>
  <c r="AS620" i="37" s="1"/>
  <c r="AS466" i="37" a="1"/>
  <c r="AS466" i="37" s="1"/>
  <c r="AS550" i="37" a="1"/>
  <c r="AS550" i="37" s="1"/>
  <c r="AS498" i="37" a="1"/>
  <c r="AS498" i="37" s="1"/>
  <c r="AS521" i="37" a="1"/>
  <c r="AS521" i="37" s="1"/>
  <c r="AS445" i="37" a="1"/>
  <c r="AS445" i="37" s="1"/>
  <c r="AS184" i="37" a="1"/>
  <c r="AS184" i="37" s="1"/>
  <c r="AS348" i="37" a="1"/>
  <c r="AS348" i="37" s="1"/>
  <c r="AS357" i="37" a="1"/>
  <c r="AS357" i="37" s="1"/>
  <c r="AS640" i="37" a="1"/>
  <c r="AS640" i="37" s="1"/>
  <c r="AS469" i="37" a="1"/>
  <c r="AS469" i="37" s="1"/>
  <c r="AS510" i="37" a="1"/>
  <c r="AS510" i="37" s="1"/>
  <c r="AS511" i="37" a="1"/>
  <c r="AS511" i="37" s="1"/>
  <c r="AS528" i="37" a="1"/>
  <c r="AS528" i="37" s="1"/>
  <c r="AS347" i="37" a="1"/>
  <c r="AS347" i="37" s="1"/>
  <c r="AS436" i="37" a="1"/>
  <c r="AS436" i="37" s="1"/>
  <c r="AS517" i="37" a="1"/>
  <c r="AS517" i="37" s="1"/>
  <c r="AS493" i="37" a="1"/>
  <c r="AS493" i="37" s="1"/>
  <c r="AS467" i="37" a="1"/>
  <c r="AS467" i="37" s="1"/>
  <c r="AS293" i="37" a="1"/>
  <c r="AS293" i="37" s="1"/>
  <c r="AS452" i="37" a="1"/>
  <c r="AS452" i="37" s="1"/>
  <c r="AS358" i="37" a="1"/>
  <c r="AS358" i="37" s="1"/>
  <c r="AS455" i="37" a="1"/>
  <c r="AS455" i="37" s="1"/>
  <c r="AS522" i="37" a="1"/>
  <c r="AS522" i="37" s="1"/>
  <c r="AS351" i="37" a="1"/>
  <c r="AS351" i="37" s="1"/>
  <c r="AS610" i="37" a="1"/>
  <c r="AS610" i="37" s="1"/>
  <c r="AS463" i="37" a="1"/>
  <c r="AS463" i="37" s="1"/>
  <c r="AS490" i="37" a="1"/>
  <c r="AS490" i="37" s="1"/>
  <c r="AS500" i="37" a="1"/>
  <c r="AS500" i="37" s="1"/>
  <c r="AS499" i="37" a="1"/>
  <c r="AS499" i="37" s="1"/>
  <c r="AS523" i="37" a="1"/>
  <c r="AS523" i="37" s="1"/>
  <c r="AS470" i="37" a="1"/>
  <c r="AS470" i="37" s="1"/>
  <c r="AS273" i="37" a="1"/>
  <c r="AS273" i="37" s="1"/>
  <c r="AS489" i="37" a="1"/>
  <c r="AS489" i="37" s="1"/>
  <c r="AS488" i="37" a="1"/>
  <c r="AS488" i="37" s="1"/>
  <c r="AS288" i="37" a="1"/>
  <c r="AS288" i="37" s="1"/>
  <c r="AS292" i="37" a="1"/>
  <c r="AS292" i="37" s="1"/>
  <c r="AS491" i="37" a="1"/>
  <c r="AS491" i="37" s="1"/>
  <c r="AS448" i="37" a="1"/>
  <c r="AS448" i="37" s="1"/>
  <c r="AS494" i="37" a="1"/>
  <c r="AS494" i="37" s="1"/>
  <c r="AS451" i="37" a="1"/>
  <c r="AS451" i="37" s="1"/>
  <c r="AS512" i="37" a="1"/>
  <c r="AS512" i="37" s="1"/>
  <c r="AS525" i="37" a="1"/>
  <c r="AS525" i="37" s="1"/>
  <c r="AS527" i="37" a="1"/>
  <c r="AS527" i="37" s="1"/>
  <c r="AS524" i="37" a="1"/>
  <c r="AS524" i="37" s="1"/>
  <c r="AS639" i="37" a="1"/>
  <c r="AS639" i="37" s="1"/>
  <c r="AS356" i="37" a="1"/>
  <c r="AS356" i="37" s="1"/>
  <c r="AS453" i="37" a="1"/>
  <c r="AS453" i="37" s="1"/>
  <c r="AS460" i="37" a="1"/>
  <c r="AS460" i="37" s="1"/>
  <c r="AS290" i="37" a="1"/>
  <c r="AS290" i="37" s="1"/>
  <c r="AS611" i="37" a="1"/>
  <c r="AS611" i="37" s="1"/>
  <c r="AS492" i="37" a="1"/>
  <c r="AS492" i="37" s="1"/>
  <c r="AS495" i="37" a="1"/>
  <c r="AS495" i="37" s="1"/>
  <c r="AS294" i="37" a="1"/>
  <c r="AS294" i="37" s="1"/>
  <c r="AS496" i="37" a="1"/>
  <c r="AS496" i="37" s="1"/>
  <c r="AS497" i="37" a="1"/>
  <c r="AS497" i="37" s="1"/>
  <c r="AS502" i="37" a="1"/>
  <c r="AS502" i="37" s="1"/>
  <c r="AS446" i="37" a="1"/>
  <c r="AS446" i="37" s="1"/>
  <c r="AS503" i="37" a="1"/>
  <c r="AS503" i="37" s="1"/>
  <c r="AS449" i="37" a="1"/>
  <c r="AS449" i="37" s="1"/>
  <c r="AS631" i="37" a="1"/>
  <c r="AS631" i="37" s="1"/>
  <c r="AS504" i="37" a="1"/>
  <c r="AS504" i="37" s="1"/>
  <c r="AS630" i="37" a="1"/>
  <c r="AS630" i="37" s="1"/>
  <c r="AS629" i="37" a="1"/>
  <c r="AS629" i="37" s="1"/>
  <c r="AS623" i="37" a="1"/>
  <c r="AS623" i="37" s="1"/>
  <c r="AS501" i="37" a="1"/>
  <c r="AS501" i="37" s="1"/>
  <c r="AS505" i="37" a="1"/>
  <c r="AS505" i="37" s="1"/>
  <c r="AS508" i="37" a="1"/>
  <c r="AS508" i="37" s="1"/>
  <c r="AS509" i="37" a="1"/>
  <c r="AS509" i="37" s="1"/>
  <c r="AS513" i="37" a="1"/>
  <c r="AS513" i="37" s="1"/>
  <c r="AS632" i="37" a="1"/>
  <c r="AS632" i="37" s="1"/>
  <c r="AS514" i="37" a="1"/>
  <c r="AS514" i="37" s="1"/>
  <c r="AS515" i="37" a="1"/>
  <c r="AS515" i="37" s="1"/>
  <c r="AS519" i="37" a="1"/>
  <c r="AS519" i="37" s="1"/>
  <c r="AS518" i="37" a="1"/>
  <c r="AS518" i="37" s="1"/>
  <c r="AS520" i="37" a="1"/>
  <c r="AS520" i="37" s="1"/>
  <c r="AS114" i="37" a="1"/>
  <c r="AS114" i="37" s="1"/>
  <c r="AS205" i="37" a="1"/>
  <c r="AS205" i="37" s="1"/>
  <c r="AS349" i="37" a="1"/>
  <c r="AS349" i="37" s="1"/>
  <c r="AS350" i="37" a="1"/>
  <c r="AS350" i="37" s="1"/>
  <c r="AS608" i="37" a="1"/>
  <c r="AS608" i="37" s="1"/>
  <c r="AS609" i="37" a="1"/>
  <c r="AS609" i="37" s="1"/>
  <c r="AS352" i="37" a="1"/>
  <c r="AS352" i="37" s="1"/>
  <c r="AS355" i="37" a="1"/>
  <c r="AS355" i="37" s="1"/>
  <c r="AS353" i="37" a="1"/>
  <c r="AS353" i="37" s="1"/>
  <c r="AS468" i="37" a="1"/>
  <c r="AS468" i="37" s="1"/>
  <c r="AS354" i="37" a="1"/>
  <c r="AS354" i="37" s="1"/>
  <c r="AS295" i="37" a="1"/>
  <c r="AS295" i="37" s="1"/>
  <c r="AS447" i="37" a="1"/>
  <c r="AS447" i="37" s="1"/>
  <c r="AS450" i="37" a="1"/>
  <c r="AS450" i="37" s="1"/>
  <c r="AS454" i="37" a="1"/>
  <c r="AS454" i="37" s="1"/>
  <c r="AS359" i="37" a="1"/>
  <c r="AS359" i="37" s="1"/>
  <c r="AS456" i="37" a="1"/>
  <c r="AS456" i="37" s="1"/>
  <c r="AS457" i="37" a="1"/>
  <c r="AS457" i="37" s="1"/>
  <c r="AS360" i="37" a="1"/>
  <c r="AS360" i="37" s="1"/>
  <c r="AS462" i="37" a="1"/>
  <c r="AS462" i="37" s="1"/>
  <c r="AS461" i="37" a="1"/>
  <c r="AS461" i="37" s="1"/>
  <c r="AS633" i="37" a="1"/>
  <c r="AS633" i="37" s="1"/>
  <c r="AS464" i="37" a="1"/>
  <c r="AS464" i="37" s="1"/>
  <c r="AS624" i="37" a="1"/>
  <c r="AS624" i="37" s="1"/>
  <c r="AS465" i="37" a="1"/>
  <c r="AS465" i="37" s="1"/>
  <c r="AS516" i="37" a="1"/>
  <c r="AS516" i="37" s="1"/>
  <c r="AS634" i="37" a="1"/>
  <c r="AS634" i="37" s="1"/>
  <c r="AS635" i="37" a="1"/>
  <c r="AS635" i="37" s="1"/>
  <c r="AS638" i="37" a="1"/>
  <c r="AS638" i="37" s="1"/>
  <c r="AS637" i="37" a="1"/>
  <c r="AS637" i="37" s="1"/>
  <c r="AS636" i="37" a="1"/>
  <c r="AS636" i="37" s="1"/>
  <c r="AS529" i="37" a="1"/>
  <c r="AS529" i="37" s="1"/>
  <c r="AS530" i="37" a="1"/>
  <c r="AS530" i="37" s="1"/>
  <c r="AS531" i="37" a="1"/>
  <c r="AS531" i="37" s="1"/>
  <c r="AS532" i="37" a="1"/>
  <c r="AS532" i="37" s="1"/>
  <c r="AR2" i="37" a="1"/>
  <c r="AR2" i="37" s="1"/>
  <c r="AR3" i="37" a="1"/>
  <c r="AR3" i="37" s="1"/>
  <c r="AR10" i="37" a="1"/>
  <c r="AR10" i="37" s="1"/>
  <c r="AR534" i="37" a="1"/>
  <c r="AR534" i="37" s="1"/>
  <c r="AR533" i="37" a="1"/>
  <c r="AR533" i="37" s="1"/>
  <c r="AR6" i="37" a="1"/>
  <c r="AR6" i="37" s="1"/>
  <c r="AR5" i="37" a="1"/>
  <c r="AR5" i="37" s="1"/>
  <c r="AR11" i="37" a="1"/>
  <c r="AR11" i="37" s="1"/>
  <c r="AR4" i="37" a="1"/>
  <c r="AR4" i="37" s="1"/>
  <c r="AR23" i="37" a="1"/>
  <c r="AR23" i="37" s="1"/>
  <c r="AR7" i="37" a="1"/>
  <c r="AR7" i="37" s="1"/>
  <c r="AR13" i="37" a="1"/>
  <c r="AR13" i="37" s="1"/>
  <c r="AR24" i="37" a="1"/>
  <c r="AR24" i="37" s="1"/>
  <c r="AR36" i="37" a="1"/>
  <c r="AR36" i="37" s="1"/>
  <c r="AR25" i="37" a="1"/>
  <c r="AR25" i="37" s="1"/>
  <c r="AR37" i="37" a="1"/>
  <c r="AR37" i="37" s="1"/>
  <c r="AR20" i="37" a="1"/>
  <c r="AR20" i="37" s="1"/>
  <c r="AR14" i="37" a="1"/>
  <c r="AR14" i="37" s="1"/>
  <c r="AR15" i="37" a="1"/>
  <c r="AR15" i="37" s="1"/>
  <c r="AR19" i="37" a="1"/>
  <c r="AR19" i="37" s="1"/>
  <c r="AR22" i="37" a="1"/>
  <c r="AR22" i="37" s="1"/>
  <c r="AR26" i="37" a="1"/>
  <c r="AR26" i="37" s="1"/>
  <c r="AR537" i="37" a="1"/>
  <c r="AR537" i="37" s="1"/>
  <c r="AR27" i="37" a="1"/>
  <c r="AR27" i="37" s="1"/>
  <c r="AR21" i="37" a="1"/>
  <c r="AR21" i="37" s="1"/>
  <c r="AR38" i="37" a="1"/>
  <c r="AR38" i="37" s="1"/>
  <c r="AR538" i="37" a="1"/>
  <c r="AR538" i="37" s="1"/>
  <c r="AR28" i="37" a="1"/>
  <c r="AR28" i="37" s="1"/>
  <c r="AR16" i="37" a="1"/>
  <c r="AR16" i="37" s="1"/>
  <c r="AR39" i="37" a="1"/>
  <c r="AR39" i="37" s="1"/>
  <c r="AR40" i="37" a="1"/>
  <c r="AR40" i="37" s="1"/>
  <c r="AR29" i="37" a="1"/>
  <c r="AR29" i="37" s="1"/>
  <c r="AR41" i="37" a="1"/>
  <c r="AR41" i="37" s="1"/>
  <c r="AR33" i="37" a="1"/>
  <c r="AR33" i="37" s="1"/>
  <c r="AR42" i="37" a="1"/>
  <c r="AR42" i="37" s="1"/>
  <c r="AR539" i="37" a="1"/>
  <c r="AR539" i="37" s="1"/>
  <c r="AR85" i="37" a="1"/>
  <c r="AR85" i="37" s="1"/>
  <c r="AR43" i="37" a="1"/>
  <c r="AR43" i="37" s="1"/>
  <c r="AR44" i="37" a="1"/>
  <c r="AR44" i="37" s="1"/>
  <c r="AR535" i="37" a="1"/>
  <c r="AR535" i="37" s="1"/>
  <c r="AR45" i="37" a="1"/>
  <c r="AR45" i="37" s="1"/>
  <c r="AR17" i="37" a="1"/>
  <c r="AR17" i="37" s="1"/>
  <c r="AR70" i="37" a="1"/>
  <c r="AR70" i="37" s="1"/>
  <c r="AR30" i="37" a="1"/>
  <c r="AR30" i="37" s="1"/>
  <c r="AR18" i="37" a="1"/>
  <c r="AR18" i="37" s="1"/>
  <c r="AR62" i="37" a="1"/>
  <c r="AR62" i="37" s="1"/>
  <c r="AR57" i="37" a="1"/>
  <c r="AR57" i="37" s="1"/>
  <c r="AR46" i="37" a="1"/>
  <c r="AR46" i="37" s="1"/>
  <c r="AR61" i="37" a="1"/>
  <c r="AR61" i="37" s="1"/>
  <c r="AR71" i="37" a="1"/>
  <c r="AR71" i="37" s="1"/>
  <c r="AR31" i="37" a="1"/>
  <c r="AR31" i="37" s="1"/>
  <c r="AR541" i="37" a="1"/>
  <c r="AR541" i="37" s="1"/>
  <c r="AR56" i="37" a="1"/>
  <c r="AR56" i="37" s="1"/>
  <c r="AR536" i="37" a="1"/>
  <c r="AR536" i="37" s="1"/>
  <c r="AR47" i="37" a="1"/>
  <c r="AR47" i="37" s="1"/>
  <c r="AR86" i="37" a="1"/>
  <c r="AR86" i="37" s="1"/>
  <c r="AR72" i="37" a="1"/>
  <c r="AR72" i="37" s="1"/>
  <c r="AR48" i="37" a="1"/>
  <c r="AR48" i="37" s="1"/>
  <c r="AR547" i="37" a="1"/>
  <c r="AR547" i="37" s="1"/>
  <c r="AR115" i="37" a="1"/>
  <c r="AR115" i="37" s="1"/>
  <c r="AR562" i="37" a="1"/>
  <c r="AR562" i="37" s="1"/>
  <c r="AR58" i="37" a="1"/>
  <c r="AR58" i="37" s="1"/>
  <c r="AR63" i="37" a="1"/>
  <c r="AR63" i="37" s="1"/>
  <c r="AR34" i="37" a="1"/>
  <c r="AR34" i="37" s="1"/>
  <c r="AR540" i="37" a="1"/>
  <c r="AR540" i="37" s="1"/>
  <c r="AR116" i="37" a="1"/>
  <c r="AR116" i="37" s="1"/>
  <c r="AR12" i="37" a="1"/>
  <c r="AR12" i="37" s="1"/>
  <c r="AR32" i="37" a="1"/>
  <c r="AR32" i="37" s="1"/>
  <c r="AR73" i="37" a="1"/>
  <c r="AR73" i="37" s="1"/>
  <c r="AR74" i="37" a="1"/>
  <c r="AR74" i="37" s="1"/>
  <c r="AR542" i="37" a="1"/>
  <c r="AR542" i="37" s="1"/>
  <c r="AR75" i="37" a="1"/>
  <c r="AR75" i="37" s="1"/>
  <c r="AR543" i="37" a="1"/>
  <c r="AR543" i="37" s="1"/>
  <c r="AR117" i="37" a="1"/>
  <c r="AR117" i="37" s="1"/>
  <c r="AR546" i="37" a="1"/>
  <c r="AR546" i="37" s="1"/>
  <c r="AR99" i="37" a="1"/>
  <c r="AR99" i="37" s="1"/>
  <c r="AR67" i="37" a="1"/>
  <c r="AR67" i="37" s="1"/>
  <c r="AR100" i="37" a="1"/>
  <c r="AR100" i="37" s="1"/>
  <c r="AR68" i="37" a="1"/>
  <c r="AR68" i="37" s="1"/>
  <c r="AR64" i="37" a="1"/>
  <c r="AR64" i="37" s="1"/>
  <c r="AR101" i="37" a="1"/>
  <c r="AR101" i="37" s="1"/>
  <c r="AR65" i="37" a="1"/>
  <c r="AR65" i="37" s="1"/>
  <c r="AR92" i="37" a="1"/>
  <c r="AR92" i="37" s="1"/>
  <c r="AR49" i="37" a="1"/>
  <c r="AR49" i="37" s="1"/>
  <c r="AR185" i="37" a="1"/>
  <c r="AR185" i="37" s="1"/>
  <c r="AR163" i="37" a="1"/>
  <c r="AR163" i="37" s="1"/>
  <c r="AR76" i="37" a="1"/>
  <c r="AR76" i="37" s="1"/>
  <c r="AR87" i="37" a="1"/>
  <c r="AR87" i="37" s="1"/>
  <c r="AR82" i="37" a="1"/>
  <c r="AR82" i="37" s="1"/>
  <c r="AR88" i="37" a="1"/>
  <c r="AR88" i="37" s="1"/>
  <c r="AR554" i="37" a="1"/>
  <c r="AR554" i="37" s="1"/>
  <c r="AR93" i="37" a="1"/>
  <c r="AR93" i="37" s="1"/>
  <c r="AR118" i="37" a="1"/>
  <c r="AR118" i="37" s="1"/>
  <c r="AR83" i="37" a="1"/>
  <c r="AR83" i="37" s="1"/>
  <c r="AR164" i="37" a="1"/>
  <c r="AR164" i="37" s="1"/>
  <c r="AR119" i="37" a="1"/>
  <c r="AR119" i="37" s="1"/>
  <c r="AR549" i="37" a="1"/>
  <c r="AR549" i="37" s="1"/>
  <c r="AR50" i="37" a="1"/>
  <c r="AR50" i="37" s="1"/>
  <c r="AR120" i="37" a="1"/>
  <c r="AR120" i="37" s="1"/>
  <c r="AR121" i="37" a="1"/>
  <c r="AR121" i="37" s="1"/>
  <c r="AR84" i="37" a="1"/>
  <c r="AR84" i="37" s="1"/>
  <c r="AR165" i="37" a="1"/>
  <c r="AR165" i="37" s="1"/>
  <c r="AR206" i="37" a="1"/>
  <c r="AR206" i="37" s="1"/>
  <c r="AR89" i="37" a="1"/>
  <c r="AR89" i="37" s="1"/>
  <c r="AR574" i="37" a="1"/>
  <c r="AR574" i="37" s="1"/>
  <c r="AR166" i="37" a="1"/>
  <c r="AR166" i="37" s="1"/>
  <c r="AR167" i="37" a="1"/>
  <c r="AR167" i="37" s="1"/>
  <c r="AR77" i="37" a="1"/>
  <c r="AR77" i="37" s="1"/>
  <c r="AR123" i="37" a="1"/>
  <c r="AR123" i="37" s="1"/>
  <c r="AR122" i="37" a="1"/>
  <c r="AR122" i="37" s="1"/>
  <c r="AR575" i="37" a="1"/>
  <c r="AR575" i="37" s="1"/>
  <c r="AR96" i="37" a="1"/>
  <c r="AR96" i="37" s="1"/>
  <c r="AR186" i="37" a="1"/>
  <c r="AR186" i="37" s="1"/>
  <c r="AR176" i="37" a="1"/>
  <c r="AR176" i="37" s="1"/>
  <c r="AR151" i="37" a="1"/>
  <c r="AR151" i="37" s="1"/>
  <c r="AR97" i="37" a="1"/>
  <c r="AR97" i="37" s="1"/>
  <c r="AR274" i="37" a="1"/>
  <c r="AR274" i="37" s="1"/>
  <c r="AR545" i="37" a="1"/>
  <c r="AR545" i="37" s="1"/>
  <c r="AR187" i="37" a="1"/>
  <c r="AR187" i="37" s="1"/>
  <c r="AR207" i="37" a="1"/>
  <c r="AR207" i="37" s="1"/>
  <c r="AR9" i="37" a="1"/>
  <c r="AR9" i="37" s="1"/>
  <c r="AR570" i="37" a="1"/>
  <c r="AR570" i="37" s="1"/>
  <c r="AR296" i="37" a="1"/>
  <c r="AR296" i="37" s="1"/>
  <c r="AR102" i="37" a="1"/>
  <c r="AR102" i="37" s="1"/>
  <c r="AR66" i="37" a="1"/>
  <c r="AR66" i="37" s="1"/>
  <c r="AR177" i="37" a="1"/>
  <c r="AR177" i="37" s="1"/>
  <c r="AR297" i="37" a="1"/>
  <c r="AR297" i="37" s="1"/>
  <c r="AR576" i="37" a="1"/>
  <c r="AR576" i="37" s="1"/>
  <c r="AR156" i="37" a="1"/>
  <c r="AR156" i="37" s="1"/>
  <c r="AR188" i="37" a="1"/>
  <c r="AR188" i="37" s="1"/>
  <c r="AR189" i="37" a="1"/>
  <c r="AR189" i="37" s="1"/>
  <c r="AR103" i="37" a="1"/>
  <c r="AR103" i="37" s="1"/>
  <c r="AR190" i="37" a="1"/>
  <c r="AR190" i="37" s="1"/>
  <c r="AR152" i="37" a="1"/>
  <c r="AR152" i="37" s="1"/>
  <c r="AR208" i="37" a="1"/>
  <c r="AR208" i="37" s="1"/>
  <c r="AR209" i="37" a="1"/>
  <c r="AR209" i="37" s="1"/>
  <c r="AR210" i="37" a="1"/>
  <c r="AR210" i="37" s="1"/>
  <c r="AR596" i="37" a="1"/>
  <c r="AR596" i="37" s="1"/>
  <c r="AR168" i="37" a="1"/>
  <c r="AR168" i="37" s="1"/>
  <c r="AR568" i="37" a="1"/>
  <c r="AR568" i="37" s="1"/>
  <c r="AR124" i="37" a="1"/>
  <c r="AR124" i="37" s="1"/>
  <c r="AR571" i="37" a="1"/>
  <c r="AR571" i="37" s="1"/>
  <c r="AR175" i="37" a="1"/>
  <c r="AR175" i="37" s="1"/>
  <c r="AR211" i="37" a="1"/>
  <c r="AR211" i="37" s="1"/>
  <c r="AR104" i="37" a="1"/>
  <c r="AR104" i="37" s="1"/>
  <c r="AR125" i="37" a="1"/>
  <c r="AR125" i="37" s="1"/>
  <c r="AR105" i="37" a="1"/>
  <c r="AR105" i="37" s="1"/>
  <c r="AR126" i="37" a="1"/>
  <c r="AR126" i="37" s="1"/>
  <c r="AR548" i="37" a="1"/>
  <c r="AR548" i="37" s="1"/>
  <c r="AR191" i="37" a="1"/>
  <c r="AR191" i="37" s="1"/>
  <c r="AR563" i="37" a="1"/>
  <c r="AR563" i="37" s="1"/>
  <c r="AR213" i="37" a="1"/>
  <c r="AR213" i="37" s="1"/>
  <c r="AR298" i="37" a="1"/>
  <c r="AR298" i="37" s="1"/>
  <c r="AR106" i="37" a="1"/>
  <c r="AR106" i="37" s="1"/>
  <c r="AR212" i="37" a="1"/>
  <c r="AR212" i="37" s="1"/>
  <c r="AR564" i="37" a="1"/>
  <c r="AR564" i="37" s="1"/>
  <c r="AR577" i="37" a="1"/>
  <c r="AR577" i="37" s="1"/>
  <c r="AR107" i="37" a="1"/>
  <c r="AR107" i="37" s="1"/>
  <c r="AR157" i="37" a="1"/>
  <c r="AR157" i="37" s="1"/>
  <c r="AR214" i="37" a="1"/>
  <c r="AR214" i="37" s="1"/>
  <c r="AR158" i="37" a="1"/>
  <c r="AR158" i="37" s="1"/>
  <c r="AR578" i="37" a="1"/>
  <c r="AR578" i="37" s="1"/>
  <c r="AR215" i="37" a="1"/>
  <c r="AR215" i="37" s="1"/>
  <c r="AR155" i="37" a="1"/>
  <c r="AR155" i="37" s="1"/>
  <c r="AR216" i="37" a="1"/>
  <c r="AR216" i="37" s="1"/>
  <c r="AR217" i="37" a="1"/>
  <c r="AR217" i="37" s="1"/>
  <c r="AR127" i="37" a="1"/>
  <c r="AR127" i="37" s="1"/>
  <c r="AR90" i="37" a="1"/>
  <c r="AR90" i="37" s="1"/>
  <c r="AR153" i="37" a="1"/>
  <c r="AR153" i="37" s="1"/>
  <c r="AR128" i="37" a="1"/>
  <c r="AR128" i="37" s="1"/>
  <c r="AR299" i="37" a="1"/>
  <c r="AR299" i="37" s="1"/>
  <c r="AR192" i="37" a="1"/>
  <c r="AR192" i="37" s="1"/>
  <c r="AR129" i="37" a="1"/>
  <c r="AR129" i="37" s="1"/>
  <c r="AR565" i="37" a="1"/>
  <c r="AR565" i="37" s="1"/>
  <c r="AR130" i="37" a="1"/>
  <c r="AR130" i="37" s="1"/>
  <c r="AR218" i="37" a="1"/>
  <c r="AR218" i="37" s="1"/>
  <c r="AR131" i="37" a="1"/>
  <c r="AR131" i="37" s="1"/>
  <c r="AR154" i="37" a="1"/>
  <c r="AR154" i="37" s="1"/>
  <c r="AR555" i="37" a="1"/>
  <c r="AR555" i="37" s="1"/>
  <c r="AR579" i="37" a="1"/>
  <c r="AR579" i="37" s="1"/>
  <c r="AR132" i="37" a="1"/>
  <c r="AR132" i="37" s="1"/>
  <c r="AR580" i="37" a="1"/>
  <c r="AR580" i="37" s="1"/>
  <c r="AR219" i="37" a="1"/>
  <c r="AR219" i="37" s="1"/>
  <c r="AR133" i="37" a="1"/>
  <c r="AR133" i="37" s="1"/>
  <c r="AR134" i="37" a="1"/>
  <c r="AR134" i="37" s="1"/>
  <c r="AR599" i="37" a="1"/>
  <c r="AR599" i="37" s="1"/>
  <c r="AR220" i="37" a="1"/>
  <c r="AR220" i="37" s="1"/>
  <c r="AR221" i="37" a="1"/>
  <c r="AR221" i="37" s="1"/>
  <c r="AR59" i="37" a="1"/>
  <c r="AR59" i="37" s="1"/>
  <c r="AR222" i="37" a="1"/>
  <c r="AR222" i="37" s="1"/>
  <c r="AR223" i="37" a="1"/>
  <c r="AR223" i="37" s="1"/>
  <c r="AR275" i="37" a="1"/>
  <c r="AR275" i="37" s="1"/>
  <c r="AR51" i="37" a="1"/>
  <c r="AR51" i="37" s="1"/>
  <c r="AR224" i="37" a="1"/>
  <c r="AR224" i="37" s="1"/>
  <c r="AR78" i="37" a="1"/>
  <c r="AR78" i="37" s="1"/>
  <c r="AR225" i="37" a="1"/>
  <c r="AR225" i="37" s="1"/>
  <c r="AR35" i="37" a="1"/>
  <c r="AR35" i="37" s="1"/>
  <c r="AR226" i="37" a="1"/>
  <c r="AR226" i="37" s="1"/>
  <c r="AR169" i="37" a="1"/>
  <c r="AR169" i="37" s="1"/>
  <c r="AR170" i="37" a="1"/>
  <c r="AR170" i="37" s="1"/>
  <c r="AR557" i="37" a="1"/>
  <c r="AR557" i="37" s="1"/>
  <c r="AR361" i="37" a="1"/>
  <c r="AR361" i="37" s="1"/>
  <c r="AR558" i="37" a="1"/>
  <c r="AR558" i="37" s="1"/>
  <c r="AR227" i="37" a="1"/>
  <c r="AR227" i="37" s="1"/>
  <c r="AR556" i="37" a="1"/>
  <c r="AR556" i="37" s="1"/>
  <c r="AR228" i="37" a="1"/>
  <c r="AR228" i="37" s="1"/>
  <c r="AR171" i="37" a="1"/>
  <c r="AR171" i="37" s="1"/>
  <c r="AR178" i="37" a="1"/>
  <c r="AR178" i="37" s="1"/>
  <c r="AR595" i="37" a="1"/>
  <c r="AR595" i="37" s="1"/>
  <c r="AR193" i="37" a="1"/>
  <c r="AR193" i="37" s="1"/>
  <c r="AR69" i="37" a="1"/>
  <c r="AR69" i="37" s="1"/>
  <c r="AR179" i="37" a="1"/>
  <c r="AR179" i="37" s="1"/>
  <c r="AR135" i="37" a="1"/>
  <c r="AR135" i="37" s="1"/>
  <c r="AR108" i="37" a="1"/>
  <c r="AR108" i="37" s="1"/>
  <c r="AR300" i="37" a="1"/>
  <c r="AR300" i="37" s="1"/>
  <c r="AR98" i="37" a="1"/>
  <c r="AR98" i="37" s="1"/>
  <c r="AR159" i="37" a="1"/>
  <c r="AR159" i="37" s="1"/>
  <c r="AR597" i="37" a="1"/>
  <c r="AR597" i="37" s="1"/>
  <c r="AR560" i="37" a="1"/>
  <c r="AR560" i="37" s="1"/>
  <c r="AR79" i="37" a="1"/>
  <c r="AR79" i="37" s="1"/>
  <c r="AR279" i="37" a="1"/>
  <c r="AR279" i="37" s="1"/>
  <c r="AR569" i="37" a="1"/>
  <c r="AR569" i="37" s="1"/>
  <c r="AR229" i="37" a="1"/>
  <c r="AR229" i="37" s="1"/>
  <c r="AR230" i="37" a="1"/>
  <c r="AR230" i="37" s="1"/>
  <c r="AR301" i="37" a="1"/>
  <c r="AR301" i="37" s="1"/>
  <c r="AR437" i="37" a="1"/>
  <c r="AR437" i="37" s="1"/>
  <c r="AR160" i="37" a="1"/>
  <c r="AR160" i="37" s="1"/>
  <c r="AR280" i="37" a="1"/>
  <c r="AR280" i="37" s="1"/>
  <c r="AR302" i="37" a="1"/>
  <c r="AR302" i="37" s="1"/>
  <c r="AR231" i="37" a="1"/>
  <c r="AR231" i="37" s="1"/>
  <c r="AR303" i="37" a="1"/>
  <c r="AR303" i="37" s="1"/>
  <c r="AR304" i="37" a="1"/>
  <c r="AR304" i="37" s="1"/>
  <c r="AR305" i="37" a="1"/>
  <c r="AR305" i="37" s="1"/>
  <c r="AR194" i="37" a="1"/>
  <c r="AR194" i="37" s="1"/>
  <c r="AR265" i="37" a="1"/>
  <c r="AR265" i="37" s="1"/>
  <c r="AR306" i="37" a="1"/>
  <c r="AR306" i="37" s="1"/>
  <c r="AR232" i="37" a="1"/>
  <c r="AR232" i="37" s="1"/>
  <c r="AR195" i="37" a="1"/>
  <c r="AR195" i="37" s="1"/>
  <c r="AR598" i="37" a="1"/>
  <c r="AR598" i="37" s="1"/>
  <c r="AR281" i="37" a="1"/>
  <c r="AR281" i="37" s="1"/>
  <c r="AR600" i="37" a="1"/>
  <c r="AR600" i="37" s="1"/>
  <c r="AR80" i="37" a="1"/>
  <c r="AR80" i="37" s="1"/>
  <c r="AR270" i="37" a="1"/>
  <c r="AR270" i="37" s="1"/>
  <c r="AR180" i="37" a="1"/>
  <c r="AR180" i="37" s="1"/>
  <c r="AR307" i="37" a="1"/>
  <c r="AR307" i="37" s="1"/>
  <c r="AR267" i="37" a="1"/>
  <c r="AR267" i="37" s="1"/>
  <c r="AR196" i="37" a="1"/>
  <c r="AR196" i="37" s="1"/>
  <c r="AR269" i="37" a="1"/>
  <c r="AR269" i="37" s="1"/>
  <c r="AR198" i="37" a="1"/>
  <c r="AR198" i="37" s="1"/>
  <c r="AR282" i="37" a="1"/>
  <c r="AR282" i="37" s="1"/>
  <c r="AR308" i="37" a="1"/>
  <c r="AR308" i="37" s="1"/>
  <c r="AR471" i="37" a="1"/>
  <c r="AR471" i="37" s="1"/>
  <c r="AR283" i="37" a="1"/>
  <c r="AR283" i="37" s="1"/>
  <c r="AR161" i="37" a="1"/>
  <c r="AR161" i="37" s="1"/>
  <c r="AR581" i="37" a="1"/>
  <c r="AR581" i="37" s="1"/>
  <c r="AR234" i="37" a="1"/>
  <c r="AR234" i="37" s="1"/>
  <c r="AR233" i="37" a="1"/>
  <c r="AR233" i="37" s="1"/>
  <c r="AR235" i="37" a="1"/>
  <c r="AR235" i="37" s="1"/>
  <c r="AR268" i="37" a="1"/>
  <c r="AR268" i="37" s="1"/>
  <c r="AR199" i="37" a="1"/>
  <c r="AR199" i="37" s="1"/>
  <c r="AR236" i="37" a="1"/>
  <c r="AR236" i="37" s="1"/>
  <c r="AR582" i="37" a="1"/>
  <c r="AR582" i="37" s="1"/>
  <c r="AR237" i="37" a="1"/>
  <c r="AR237" i="37" s="1"/>
  <c r="AR238" i="37" a="1"/>
  <c r="AR238" i="37" s="1"/>
  <c r="AR583" i="37" a="1"/>
  <c r="AR583" i="37" s="1"/>
  <c r="AR172" i="37" a="1"/>
  <c r="AR172" i="37" s="1"/>
  <c r="AR239" i="37" a="1"/>
  <c r="AR239" i="37" s="1"/>
  <c r="AR363" i="37" a="1"/>
  <c r="AR363" i="37" s="1"/>
  <c r="AR364" i="37" a="1"/>
  <c r="AR364" i="37" s="1"/>
  <c r="AR362" i="37" a="1"/>
  <c r="AR362" i="37" s="1"/>
  <c r="AR594" i="37" a="1"/>
  <c r="AR594" i="37" s="1"/>
  <c r="AR612" i="37" a="1"/>
  <c r="AR612" i="37" s="1"/>
  <c r="AR266" i="37" a="1"/>
  <c r="AR266" i="37" s="1"/>
  <c r="AR309" i="37" a="1"/>
  <c r="AR309" i="37" s="1"/>
  <c r="AR365" i="37" a="1"/>
  <c r="AR365" i="37" s="1"/>
  <c r="AR240" i="37" a="1"/>
  <c r="AR240" i="37" s="1"/>
  <c r="AR91" i="37" a="1"/>
  <c r="AR91" i="37" s="1"/>
  <c r="AR613" i="37" a="1"/>
  <c r="AR613" i="37" s="1"/>
  <c r="AR551" i="37" a="1"/>
  <c r="AR551" i="37" s="1"/>
  <c r="AR271" i="37" a="1"/>
  <c r="AR271" i="37" s="1"/>
  <c r="AR584" i="37" a="1"/>
  <c r="AR584" i="37" s="1"/>
  <c r="AR52" i="37" a="1"/>
  <c r="AR52" i="37" s="1"/>
  <c r="AR366" i="37" a="1"/>
  <c r="AR366" i="37" s="1"/>
  <c r="AR241" i="37" a="1"/>
  <c r="AR241" i="37" s="1"/>
  <c r="AR614" i="37" a="1"/>
  <c r="AR614" i="37" s="1"/>
  <c r="AR367" i="37" a="1"/>
  <c r="AR367" i="37" s="1"/>
  <c r="AR544" i="37" a="1"/>
  <c r="AR544" i="37" s="1"/>
  <c r="AR136" i="37" a="1"/>
  <c r="AR136" i="37" s="1"/>
  <c r="AR585" i="37" a="1"/>
  <c r="AR585" i="37" s="1"/>
  <c r="AR371" i="37" a="1"/>
  <c r="AR371" i="37" s="1"/>
  <c r="AR369" i="37" a="1"/>
  <c r="AR369" i="37" s="1"/>
  <c r="AR615" i="37" a="1"/>
  <c r="AR615" i="37" s="1"/>
  <c r="AR368" i="37" a="1"/>
  <c r="AR368" i="37" s="1"/>
  <c r="AR370" i="37" a="1"/>
  <c r="AR370" i="37" s="1"/>
  <c r="AR242" i="37" a="1"/>
  <c r="AR242" i="37" s="1"/>
  <c r="AR244" i="37" a="1"/>
  <c r="AR244" i="37" s="1"/>
  <c r="AR372" i="37" a="1"/>
  <c r="AR372" i="37" s="1"/>
  <c r="AR566" i="37" a="1"/>
  <c r="AR566" i="37" s="1"/>
  <c r="AR243" i="37" a="1"/>
  <c r="AR243" i="37" s="1"/>
  <c r="AR407" i="37" a="1"/>
  <c r="AR407" i="37" s="1"/>
  <c r="AR8" i="37" a="1"/>
  <c r="AR8" i="37" s="1"/>
  <c r="AR310" i="37" a="1"/>
  <c r="AR310" i="37" s="1"/>
  <c r="AR385" i="37" a="1"/>
  <c r="AR385" i="37" s="1"/>
  <c r="AR94" i="37" a="1"/>
  <c r="AR94" i="37" s="1"/>
  <c r="AR55" i="37" a="1"/>
  <c r="AR55" i="37" s="1"/>
  <c r="AR258" i="37" a="1"/>
  <c r="AR258" i="37" s="1"/>
  <c r="AR137" i="37" a="1"/>
  <c r="AR137" i="37" s="1"/>
  <c r="AR54" i="37" a="1"/>
  <c r="AR54" i="37" s="1"/>
  <c r="AR418" i="37" a="1"/>
  <c r="AR418" i="37" s="1"/>
  <c r="AR174" i="37" a="1"/>
  <c r="AR174" i="37" s="1"/>
  <c r="AR311" i="37" a="1"/>
  <c r="AR311" i="37" s="1"/>
  <c r="AR416" i="37" a="1"/>
  <c r="AR416" i="37" s="1"/>
  <c r="AR312" i="37" a="1"/>
  <c r="AR312" i="37" s="1"/>
  <c r="AR145" i="37" a="1"/>
  <c r="AR145" i="37" s="1"/>
  <c r="AR278" i="37" a="1"/>
  <c r="AR278" i="37" s="1"/>
  <c r="AR181" i="37" a="1"/>
  <c r="AR181" i="37" s="1"/>
  <c r="AR375" i="37" a="1"/>
  <c r="AR375" i="37" s="1"/>
  <c r="AR146" i="37" a="1"/>
  <c r="AR146" i="37" s="1"/>
  <c r="AR388" i="37" a="1"/>
  <c r="AR388" i="37" s="1"/>
  <c r="AR419" i="37" a="1"/>
  <c r="AR419" i="37" s="1"/>
  <c r="AR60" i="37" a="1"/>
  <c r="AR60" i="37" s="1"/>
  <c r="AR81" i="37" a="1"/>
  <c r="AR81" i="37" s="1"/>
  <c r="AR149" i="37" a="1"/>
  <c r="AR149" i="37" s="1"/>
  <c r="AR246" i="37" a="1"/>
  <c r="AR246" i="37" s="1"/>
  <c r="AR590" i="37" a="1"/>
  <c r="AR590" i="37" s="1"/>
  <c r="AR254" i="37" a="1"/>
  <c r="AR254" i="37" s="1"/>
  <c r="AR373" i="37" a="1"/>
  <c r="AR373" i="37" s="1"/>
  <c r="AR376" i="37" a="1"/>
  <c r="AR376" i="37" s="1"/>
  <c r="AR378" i="37" a="1"/>
  <c r="AR378" i="37" s="1"/>
  <c r="AR410" i="37" a="1"/>
  <c r="AR410" i="37" s="1"/>
  <c r="AR409" i="37" a="1"/>
  <c r="AR409" i="37" s="1"/>
  <c r="AR420" i="37" a="1"/>
  <c r="AR420" i="37" s="1"/>
  <c r="AR248" i="37" a="1"/>
  <c r="AR248" i="37" s="1"/>
  <c r="AR247" i="37" a="1"/>
  <c r="AR247" i="37" s="1"/>
  <c r="AR259" i="37" a="1"/>
  <c r="AR259" i="37" s="1"/>
  <c r="AR402" i="37" a="1"/>
  <c r="AR402" i="37" s="1"/>
  <c r="AR415" i="37" a="1"/>
  <c r="AR415" i="37" s="1"/>
  <c r="AR417" i="37" a="1"/>
  <c r="AR417" i="37" s="1"/>
  <c r="AR53" i="37" a="1"/>
  <c r="AR53" i="37" s="1"/>
  <c r="AR140" i="37" a="1"/>
  <c r="AR140" i="37" s="1"/>
  <c r="AR142" i="37" a="1"/>
  <c r="AR142" i="37" s="1"/>
  <c r="AR109" i="37" a="1"/>
  <c r="AR109" i="37" s="1"/>
  <c r="AR313" i="37" a="1"/>
  <c r="AR313" i="37" s="1"/>
  <c r="AR314" i="37" a="1"/>
  <c r="AR314" i="37" s="1"/>
  <c r="AR601" i="37" a="1"/>
  <c r="AR601" i="37" s="1"/>
  <c r="AR315" i="37" a="1"/>
  <c r="AR315" i="37" s="1"/>
  <c r="AR618" i="37" a="1"/>
  <c r="AR618" i="37" s="1"/>
  <c r="AR143" i="37" a="1"/>
  <c r="AR143" i="37" s="1"/>
  <c r="AR622" i="37" a="1"/>
  <c r="AR622" i="37" s="1"/>
  <c r="AR316" i="37" a="1"/>
  <c r="AR316" i="37" s="1"/>
  <c r="AR552" i="37" a="1"/>
  <c r="AR552" i="37" s="1"/>
  <c r="AR317" i="37" a="1"/>
  <c r="AR317" i="37" s="1"/>
  <c r="AR182" i="37" a="1"/>
  <c r="AR182" i="37" s="1"/>
  <c r="AR200" i="37" a="1"/>
  <c r="AR200" i="37" s="1"/>
  <c r="AR284" i="37" a="1"/>
  <c r="AR284" i="37" s="1"/>
  <c r="AR427" i="37" a="1"/>
  <c r="AR427" i="37" s="1"/>
  <c r="AR147" i="37" a="1"/>
  <c r="AR147" i="37" s="1"/>
  <c r="AR173" i="37" a="1"/>
  <c r="AR173" i="37" s="1"/>
  <c r="AR318" i="37" a="1"/>
  <c r="AR318" i="37" s="1"/>
  <c r="AR435" i="37" a="1"/>
  <c r="AR435" i="37" s="1"/>
  <c r="AR285" i="37" a="1"/>
  <c r="AR285" i="37" s="1"/>
  <c r="AR602" i="37" a="1"/>
  <c r="AR602" i="37" s="1"/>
  <c r="AR319" i="37" a="1"/>
  <c r="AR319" i="37" s="1"/>
  <c r="AR148" i="37" a="1"/>
  <c r="AR148" i="37" s="1"/>
  <c r="AR320" i="37" a="1"/>
  <c r="AR320" i="37" s="1"/>
  <c r="AR321" i="37" a="1"/>
  <c r="AR321" i="37" s="1"/>
  <c r="AR150" i="37" a="1"/>
  <c r="AR150" i="37" s="1"/>
  <c r="AR322" i="37" a="1"/>
  <c r="AR322" i="37" s="1"/>
  <c r="AR323" i="37" a="1"/>
  <c r="AR323" i="37" s="1"/>
  <c r="AR621" i="37" a="1"/>
  <c r="AR621" i="37" s="1"/>
  <c r="AR424" i="37" a="1"/>
  <c r="AR424" i="37" s="1"/>
  <c r="AR201" i="37" a="1"/>
  <c r="AR201" i="37" s="1"/>
  <c r="AR440" i="37" a="1"/>
  <c r="AR440" i="37" s="1"/>
  <c r="AR110" i="37" a="1"/>
  <c r="AR110" i="37" s="1"/>
  <c r="AR286" i="37" a="1"/>
  <c r="AR286" i="37" s="1"/>
  <c r="AR325" i="37" a="1"/>
  <c r="AR325" i="37" s="1"/>
  <c r="AR423" i="37" a="1"/>
  <c r="AR423" i="37" s="1"/>
  <c r="AR431" i="37" a="1"/>
  <c r="AR431" i="37" s="1"/>
  <c r="AR421" i="37" a="1"/>
  <c r="AR421" i="37" s="1"/>
  <c r="AR245" i="37" a="1"/>
  <c r="AR245" i="37" s="1"/>
  <c r="AR434" i="37" a="1"/>
  <c r="AR434" i="37" s="1"/>
  <c r="AR324" i="37" a="1"/>
  <c r="AR324" i="37" s="1"/>
  <c r="AR572" i="37" a="1"/>
  <c r="AR572" i="37" s="1"/>
  <c r="AR202" i="37" a="1"/>
  <c r="AR202" i="37" s="1"/>
  <c r="AR588" i="37" a="1"/>
  <c r="AR588" i="37" s="1"/>
  <c r="AR603" i="37" a="1"/>
  <c r="AR603" i="37" s="1"/>
  <c r="AR619" i="37" a="1"/>
  <c r="AR619" i="37" s="1"/>
  <c r="AR250" i="37" a="1"/>
  <c r="AR250" i="37" s="1"/>
  <c r="AR441" i="37" a="1"/>
  <c r="AR441" i="37" s="1"/>
  <c r="AR438" i="37" a="1"/>
  <c r="AR438" i="37" s="1"/>
  <c r="AR327" i="37" a="1"/>
  <c r="AR327" i="37" s="1"/>
  <c r="AR426" i="37" a="1"/>
  <c r="AR426" i="37" s="1"/>
  <c r="AR287" i="37" a="1"/>
  <c r="AR287" i="37" s="1"/>
  <c r="AR95" i="37" a="1"/>
  <c r="AR95" i="37" s="1"/>
  <c r="AR326" i="37" a="1"/>
  <c r="AR326" i="37" s="1"/>
  <c r="AR249" i="37" a="1"/>
  <c r="AR249" i="37" s="1"/>
  <c r="AR425" i="37" a="1"/>
  <c r="AR425" i="37" s="1"/>
  <c r="AR604" i="37" a="1"/>
  <c r="AR604" i="37" s="1"/>
  <c r="AR162" i="37" a="1"/>
  <c r="AR162" i="37" s="1"/>
  <c r="AR276" i="37" a="1"/>
  <c r="AR276" i="37" s="1"/>
  <c r="AR328" i="37" a="1"/>
  <c r="AR328" i="37" s="1"/>
  <c r="AR472" i="37" a="1"/>
  <c r="AR472" i="37" s="1"/>
  <c r="AR272" i="37" a="1"/>
  <c r="AR272" i="37" s="1"/>
  <c r="AR255" i="37" a="1"/>
  <c r="AR255" i="37" s="1"/>
  <c r="AR277" i="37" a="1"/>
  <c r="AR277" i="37" s="1"/>
  <c r="AR442" i="37" a="1"/>
  <c r="AR442" i="37" s="1"/>
  <c r="AR591" i="37" a="1"/>
  <c r="AR591" i="37" s="1"/>
  <c r="AR592" i="37" a="1"/>
  <c r="AR592" i="37" s="1"/>
  <c r="AR329" i="37" a="1"/>
  <c r="AR329" i="37" s="1"/>
  <c r="AR473" i="37" a="1"/>
  <c r="AR473" i="37" s="1"/>
  <c r="AR474" i="37" a="1"/>
  <c r="AR474" i="37" s="1"/>
  <c r="AR428" i="37" a="1"/>
  <c r="AR428" i="37" s="1"/>
  <c r="AR330" i="37" a="1"/>
  <c r="AR330" i="37" s="1"/>
  <c r="AR257" i="37" a="1"/>
  <c r="AR257" i="37" s="1"/>
  <c r="AR429" i="37" a="1"/>
  <c r="AR429" i="37" s="1"/>
  <c r="AR263" i="37" a="1"/>
  <c r="AR263" i="37" s="1"/>
  <c r="AR444" i="37" a="1"/>
  <c r="AR444" i="37" s="1"/>
  <c r="AR430" i="37" a="1"/>
  <c r="AR430" i="37" s="1"/>
  <c r="AR432" i="37" a="1"/>
  <c r="AR432" i="37" s="1"/>
  <c r="AR260" i="37" a="1"/>
  <c r="AR260" i="37" s="1"/>
  <c r="AR261" i="37" a="1"/>
  <c r="AR261" i="37" s="1"/>
  <c r="AR262" i="37" a="1"/>
  <c r="AR262" i="37" s="1"/>
  <c r="AR331" i="37" a="1"/>
  <c r="AR331" i="37" s="1"/>
  <c r="AR374" i="37" a="1"/>
  <c r="AR374" i="37" s="1"/>
  <c r="AR332" i="37" a="1"/>
  <c r="AR332" i="37" s="1"/>
  <c r="AR377" i="37" a="1"/>
  <c r="AR377" i="37" s="1"/>
  <c r="AR203" i="37" a="1"/>
  <c r="AR203" i="37" s="1"/>
  <c r="AR111" i="37" a="1"/>
  <c r="AR111" i="37" s="1"/>
  <c r="AR379" i="37" a="1"/>
  <c r="AR379" i="37" s="1"/>
  <c r="AR333" i="37" a="1"/>
  <c r="AR333" i="37" s="1"/>
  <c r="AR334" i="37" a="1"/>
  <c r="AR334" i="37" s="1"/>
  <c r="AR443" i="37" a="1"/>
  <c r="AR443" i="37" s="1"/>
  <c r="AR459" i="37" a="1"/>
  <c r="AR459" i="37" s="1"/>
  <c r="AR289" i="37" a="1"/>
  <c r="AR289" i="37" s="1"/>
  <c r="AR475" i="37" a="1"/>
  <c r="AR475" i="37" s="1"/>
  <c r="AR335" i="37" a="1"/>
  <c r="AR335" i="37" s="1"/>
  <c r="AR112" i="37" a="1"/>
  <c r="AR112" i="37" s="1"/>
  <c r="AR422" i="37" a="1"/>
  <c r="AR422" i="37" s="1"/>
  <c r="AR381" i="37" a="1"/>
  <c r="AR381" i="37" s="1"/>
  <c r="AR605" i="37" a="1"/>
  <c r="AR605" i="37" s="1"/>
  <c r="AR616" i="37" a="1"/>
  <c r="AR616" i="37" s="1"/>
  <c r="AR383" i="37" a="1"/>
  <c r="AR383" i="37" s="1"/>
  <c r="AR183" i="37" a="1"/>
  <c r="AR183" i="37" s="1"/>
  <c r="AR433" i="37" a="1"/>
  <c r="AR433" i="37" s="1"/>
  <c r="AR336" i="37" a="1"/>
  <c r="AR336" i="37" s="1"/>
  <c r="AR337" i="37" a="1"/>
  <c r="AR337" i="37" s="1"/>
  <c r="AR386" i="37" a="1"/>
  <c r="AR386" i="37" s="1"/>
  <c r="AR338" i="37" a="1"/>
  <c r="AR338" i="37" s="1"/>
  <c r="AR617" i="37" a="1"/>
  <c r="AR617" i="37" s="1"/>
  <c r="AR389" i="37" a="1"/>
  <c r="AR389" i="37" s="1"/>
  <c r="AR606" i="37" a="1"/>
  <c r="AR606" i="37" s="1"/>
  <c r="AR204" i="37" a="1"/>
  <c r="AR204" i="37" s="1"/>
  <c r="AR291" i="37" a="1"/>
  <c r="AR291" i="37" s="1"/>
  <c r="AR390" i="37" a="1"/>
  <c r="AR390" i="37" s="1"/>
  <c r="AR394" i="37" a="1"/>
  <c r="AR394" i="37" s="1"/>
  <c r="AR398" i="37" a="1"/>
  <c r="AR398" i="37" s="1"/>
  <c r="AR400" i="37" a="1"/>
  <c r="AR400" i="37" s="1"/>
  <c r="AR476" i="37" a="1"/>
  <c r="AR476" i="37" s="1"/>
  <c r="AR399" i="37" a="1"/>
  <c r="AR399" i="37" s="1"/>
  <c r="AR403" i="37" a="1"/>
  <c r="AR403" i="37" s="1"/>
  <c r="AR477" i="37" a="1"/>
  <c r="AR477" i="37" s="1"/>
  <c r="AR408" i="37" a="1"/>
  <c r="AR408" i="37" s="1"/>
  <c r="AR439" i="37" a="1"/>
  <c r="AR439" i="37" s="1"/>
  <c r="AR573" i="37" a="1"/>
  <c r="AR573" i="37" s="1"/>
  <c r="AR413" i="37" a="1"/>
  <c r="AR413" i="37" s="1"/>
  <c r="AR607" i="37" a="1"/>
  <c r="AR607" i="37" s="1"/>
  <c r="AR412" i="37" a="1"/>
  <c r="AR412" i="37" s="1"/>
  <c r="AR113" i="37" a="1"/>
  <c r="AR113" i="37" s="1"/>
  <c r="AR414" i="37" a="1"/>
  <c r="AR414" i="37" s="1"/>
  <c r="AR411" i="37" a="1"/>
  <c r="AR411" i="37" s="1"/>
  <c r="AR138" i="37" a="1"/>
  <c r="AR138" i="37" s="1"/>
  <c r="AR139" i="37" a="1"/>
  <c r="AR139" i="37" s="1"/>
  <c r="AR339" i="37" a="1"/>
  <c r="AR339" i="37" s="1"/>
  <c r="AR478" i="37" a="1"/>
  <c r="AR478" i="37" s="1"/>
  <c r="AR141" i="37" a="1"/>
  <c r="AR141" i="37" s="1"/>
  <c r="AR479" i="37" a="1"/>
  <c r="AR479" i="37" s="1"/>
  <c r="AR340" i="37" a="1"/>
  <c r="AR340" i="37" s="1"/>
  <c r="AR144" i="37" a="1"/>
  <c r="AR144" i="37" s="1"/>
  <c r="AR567" i="37" a="1"/>
  <c r="AR567" i="37" s="1"/>
  <c r="AR586" i="37" a="1"/>
  <c r="AR586" i="37" s="1"/>
  <c r="AR587" i="37" a="1"/>
  <c r="AR587" i="37" s="1"/>
  <c r="AR589" i="37" a="1"/>
  <c r="AR589" i="37" s="1"/>
  <c r="AR625" i="37" a="1"/>
  <c r="AR625" i="37" s="1"/>
  <c r="AR480" i="37" a="1"/>
  <c r="AR480" i="37" s="1"/>
  <c r="AR342" i="37" a="1"/>
  <c r="AR342" i="37" s="1"/>
  <c r="AR253" i="37" a="1"/>
  <c r="AR253" i="37" s="1"/>
  <c r="AR341" i="37" a="1"/>
  <c r="AR341" i="37" s="1"/>
  <c r="AR252" i="37" a="1"/>
  <c r="AR252" i="37" s="1"/>
  <c r="AR482" i="37" a="1"/>
  <c r="AR482" i="37" s="1"/>
  <c r="AR481" i="37" a="1"/>
  <c r="AR481" i="37" s="1"/>
  <c r="AR343" i="37" a="1"/>
  <c r="AR343" i="37" s="1"/>
  <c r="AR251" i="37" a="1"/>
  <c r="AR251" i="37" s="1"/>
  <c r="AR256" i="37" a="1"/>
  <c r="AR256" i="37" s="1"/>
  <c r="AR264" i="37" a="1"/>
  <c r="AR264" i="37" s="1"/>
  <c r="AR593" i="37" a="1"/>
  <c r="AR593" i="37" s="1"/>
  <c r="AR345" i="37" a="1"/>
  <c r="AR345" i="37" s="1"/>
  <c r="AR484" i="37" a="1"/>
  <c r="AR484" i="37" s="1"/>
  <c r="AR483" i="37" a="1"/>
  <c r="AR483" i="37" s="1"/>
  <c r="AR344" i="37" a="1"/>
  <c r="AR344" i="37" s="1"/>
  <c r="AR458" i="37" a="1"/>
  <c r="AR458" i="37" s="1"/>
  <c r="AR486" i="37" a="1"/>
  <c r="AR486" i="37" s="1"/>
  <c r="AR485" i="37" a="1"/>
  <c r="AR485" i="37" s="1"/>
  <c r="AR626" i="37" a="1"/>
  <c r="AR626" i="37" s="1"/>
  <c r="AR346" i="37" a="1"/>
  <c r="AR346" i="37" s="1"/>
  <c r="AR628" i="37" a="1"/>
  <c r="AR628" i="37" s="1"/>
  <c r="AR380" i="37" a="1"/>
  <c r="AR380" i="37" s="1"/>
  <c r="AR382" i="37" a="1"/>
  <c r="AR382" i="37" s="1"/>
  <c r="AR627" i="37" a="1"/>
  <c r="AR627" i="37" s="1"/>
  <c r="AR384" i="37" a="1"/>
  <c r="AR384" i="37" s="1"/>
  <c r="AR387" i="37" a="1"/>
  <c r="AR387" i="37" s="1"/>
  <c r="AR391" i="37" a="1"/>
  <c r="AR391" i="37" s="1"/>
  <c r="AR392" i="37" a="1"/>
  <c r="AR392" i="37" s="1"/>
  <c r="AR393" i="37" a="1"/>
  <c r="AR393" i="37" s="1"/>
  <c r="AR397" i="37" a="1"/>
  <c r="AR397" i="37" s="1"/>
  <c r="AR396" i="37" a="1"/>
  <c r="AR396" i="37" s="1"/>
  <c r="AR401" i="37" a="1"/>
  <c r="AR401" i="37" s="1"/>
  <c r="AR405" i="37" a="1"/>
  <c r="AR405" i="37" s="1"/>
  <c r="AR404" i="37" a="1"/>
  <c r="AR404" i="37" s="1"/>
  <c r="AR406" i="37" a="1"/>
  <c r="AR406" i="37" s="1"/>
  <c r="AR487" i="37" a="1"/>
  <c r="AR487" i="37" s="1"/>
  <c r="AR506" i="37" a="1"/>
  <c r="AR506" i="37" s="1"/>
  <c r="AR620" i="37" a="1"/>
  <c r="AR620" i="37" s="1"/>
  <c r="AR466" i="37" a="1"/>
  <c r="AR466" i="37" s="1"/>
  <c r="AR550" i="37" a="1"/>
  <c r="AR550" i="37" s="1"/>
  <c r="AR498" i="37" a="1"/>
  <c r="AR498" i="37" s="1"/>
  <c r="AR521" i="37" a="1"/>
  <c r="AR521" i="37" s="1"/>
  <c r="AR445" i="37" a="1"/>
  <c r="AR445" i="37" s="1"/>
  <c r="AR184" i="37" a="1"/>
  <c r="AR184" i="37" s="1"/>
  <c r="AR348" i="37" a="1"/>
  <c r="AR348" i="37" s="1"/>
  <c r="AR357" i="37" a="1"/>
  <c r="AR357" i="37" s="1"/>
  <c r="AR640" i="37" a="1"/>
  <c r="AR640" i="37" s="1"/>
  <c r="AR469" i="37" a="1"/>
  <c r="AR469" i="37" s="1"/>
  <c r="AR510" i="37" a="1"/>
  <c r="AR510" i="37" s="1"/>
  <c r="AR511" i="37" a="1"/>
  <c r="AR511" i="37" s="1"/>
  <c r="AR528" i="37" a="1"/>
  <c r="AR528" i="37" s="1"/>
  <c r="AR347" i="37" a="1"/>
  <c r="AR347" i="37" s="1"/>
  <c r="AR436" i="37" a="1"/>
  <c r="AR436" i="37" s="1"/>
  <c r="AR517" i="37" a="1"/>
  <c r="AR517" i="37" s="1"/>
  <c r="AR493" i="37" a="1"/>
  <c r="AR493" i="37" s="1"/>
  <c r="AR467" i="37" a="1"/>
  <c r="AR467" i="37" s="1"/>
  <c r="AR293" i="37" a="1"/>
  <c r="AR293" i="37" s="1"/>
  <c r="AR452" i="37" a="1"/>
  <c r="AR452" i="37" s="1"/>
  <c r="AR358" i="37" a="1"/>
  <c r="AR358" i="37" s="1"/>
  <c r="AR455" i="37" a="1"/>
  <c r="AR455" i="37" s="1"/>
  <c r="AR522" i="37" a="1"/>
  <c r="AR522" i="37" s="1"/>
  <c r="AR351" i="37" a="1"/>
  <c r="AR351" i="37" s="1"/>
  <c r="AR610" i="37" a="1"/>
  <c r="AR610" i="37" s="1"/>
  <c r="AR463" i="37" a="1"/>
  <c r="AR463" i="37" s="1"/>
  <c r="AR490" i="37" a="1"/>
  <c r="AR490" i="37" s="1"/>
  <c r="AR500" i="37" a="1"/>
  <c r="AR500" i="37" s="1"/>
  <c r="AR499" i="37" a="1"/>
  <c r="AR499" i="37" s="1"/>
  <c r="AR523" i="37" a="1"/>
  <c r="AR523" i="37" s="1"/>
  <c r="AR470" i="37" a="1"/>
  <c r="AR470" i="37" s="1"/>
  <c r="AR273" i="37" a="1"/>
  <c r="AR273" i="37" s="1"/>
  <c r="AR489" i="37" a="1"/>
  <c r="AR489" i="37" s="1"/>
  <c r="AR488" i="37" a="1"/>
  <c r="AR488" i="37" s="1"/>
  <c r="AR288" i="37" a="1"/>
  <c r="AR288" i="37" s="1"/>
  <c r="AR292" i="37" a="1"/>
  <c r="AR292" i="37" s="1"/>
  <c r="AR491" i="37" a="1"/>
  <c r="AR491" i="37" s="1"/>
  <c r="AR448" i="37" a="1"/>
  <c r="AR448" i="37" s="1"/>
  <c r="AR494" i="37" a="1"/>
  <c r="AR494" i="37" s="1"/>
  <c r="AR451" i="37" a="1"/>
  <c r="AR451" i="37" s="1"/>
  <c r="AR512" i="37" a="1"/>
  <c r="AR512" i="37" s="1"/>
  <c r="AR525" i="37" a="1"/>
  <c r="AR525" i="37" s="1"/>
  <c r="AR527" i="37" a="1"/>
  <c r="AR527" i="37" s="1"/>
  <c r="AR524" i="37" a="1"/>
  <c r="AR524" i="37" s="1"/>
  <c r="AR639" i="37" a="1"/>
  <c r="AR639" i="37" s="1"/>
  <c r="AR356" i="37" a="1"/>
  <c r="AR356" i="37" s="1"/>
  <c r="AR453" i="37" a="1"/>
  <c r="AR453" i="37" s="1"/>
  <c r="AR460" i="37" a="1"/>
  <c r="AR460" i="37" s="1"/>
  <c r="AR290" i="37" a="1"/>
  <c r="AR290" i="37" s="1"/>
  <c r="AR611" i="37" a="1"/>
  <c r="AR611" i="37" s="1"/>
  <c r="AR492" i="37" a="1"/>
  <c r="AR492" i="37" s="1"/>
  <c r="AR495" i="37" a="1"/>
  <c r="AR495" i="37" s="1"/>
  <c r="AR294" i="37" a="1"/>
  <c r="AR294" i="37" s="1"/>
  <c r="AR496" i="37" a="1"/>
  <c r="AR496" i="37" s="1"/>
  <c r="AR497" i="37" a="1"/>
  <c r="AR497" i="37" s="1"/>
  <c r="AR502" i="37" a="1"/>
  <c r="AR502" i="37" s="1"/>
  <c r="AR446" i="37" a="1"/>
  <c r="AR446" i="37" s="1"/>
  <c r="AR503" i="37" a="1"/>
  <c r="AR503" i="37" s="1"/>
  <c r="AR449" i="37" a="1"/>
  <c r="AR449" i="37" s="1"/>
  <c r="AR631" i="37" a="1"/>
  <c r="AR631" i="37" s="1"/>
  <c r="AR504" i="37" a="1"/>
  <c r="AR504" i="37" s="1"/>
  <c r="AR630" i="37" a="1"/>
  <c r="AR630" i="37" s="1"/>
  <c r="AR629" i="37" a="1"/>
  <c r="AR629" i="37" s="1"/>
  <c r="AR623" i="37" a="1"/>
  <c r="AR623" i="37" s="1"/>
  <c r="AR501" i="37" a="1"/>
  <c r="AR501" i="37" s="1"/>
  <c r="AR505" i="37" a="1"/>
  <c r="AR505" i="37" s="1"/>
  <c r="AR508" i="37" a="1"/>
  <c r="AR508" i="37" s="1"/>
  <c r="AR509" i="37" a="1"/>
  <c r="AR509" i="37" s="1"/>
  <c r="AR513" i="37" a="1"/>
  <c r="AR513" i="37" s="1"/>
  <c r="AR632" i="37" a="1"/>
  <c r="AR632" i="37" s="1"/>
  <c r="AR514" i="37" a="1"/>
  <c r="AR514" i="37" s="1"/>
  <c r="AR515" i="37" a="1"/>
  <c r="AR515" i="37" s="1"/>
  <c r="AR519" i="37" a="1"/>
  <c r="AR519" i="37" s="1"/>
  <c r="AR518" i="37" a="1"/>
  <c r="AR518" i="37" s="1"/>
  <c r="AR520" i="37" a="1"/>
  <c r="AR520" i="37" s="1"/>
  <c r="AR114" i="37" a="1"/>
  <c r="AR114" i="37" s="1"/>
  <c r="AR205" i="37" a="1"/>
  <c r="AR205" i="37" s="1"/>
  <c r="AR349" i="37" a="1"/>
  <c r="AR349" i="37" s="1"/>
  <c r="AR350" i="37" a="1"/>
  <c r="AR350" i="37" s="1"/>
  <c r="AR608" i="37" a="1"/>
  <c r="AR608" i="37" s="1"/>
  <c r="AR609" i="37" a="1"/>
  <c r="AR609" i="37" s="1"/>
  <c r="AR352" i="37" a="1"/>
  <c r="AR352" i="37" s="1"/>
  <c r="AR355" i="37" a="1"/>
  <c r="AR355" i="37" s="1"/>
  <c r="AR353" i="37" a="1"/>
  <c r="AR353" i="37" s="1"/>
  <c r="AR468" i="37" a="1"/>
  <c r="AR468" i="37" s="1"/>
  <c r="AR354" i="37" a="1"/>
  <c r="AR354" i="37" s="1"/>
  <c r="AR295" i="37" a="1"/>
  <c r="AR295" i="37" s="1"/>
  <c r="AR447" i="37" a="1"/>
  <c r="AR447" i="37" s="1"/>
  <c r="AR450" i="37" a="1"/>
  <c r="AR450" i="37" s="1"/>
  <c r="AR454" i="37" a="1"/>
  <c r="AR454" i="37" s="1"/>
  <c r="AR359" i="37" a="1"/>
  <c r="AR359" i="37" s="1"/>
  <c r="AR456" i="37" a="1"/>
  <c r="AR456" i="37" s="1"/>
  <c r="AR457" i="37" a="1"/>
  <c r="AR457" i="37" s="1"/>
  <c r="AR360" i="37" a="1"/>
  <c r="AR360" i="37" s="1"/>
  <c r="AR462" i="37" a="1"/>
  <c r="AR462" i="37" s="1"/>
  <c r="AR461" i="37" a="1"/>
  <c r="AR461" i="37" s="1"/>
  <c r="AR633" i="37" a="1"/>
  <c r="AR633" i="37" s="1"/>
  <c r="AR464" i="37" a="1"/>
  <c r="AR464" i="37" s="1"/>
  <c r="AR624" i="37" a="1"/>
  <c r="AR624" i="37" s="1"/>
  <c r="AR465" i="37" a="1"/>
  <c r="AR465" i="37" s="1"/>
  <c r="AR516" i="37" a="1"/>
  <c r="AR516" i="37" s="1"/>
  <c r="AR634" i="37" a="1"/>
  <c r="AR634" i="37" s="1"/>
  <c r="AR635" i="37" a="1"/>
  <c r="AR635" i="37" s="1"/>
  <c r="AR638" i="37" a="1"/>
  <c r="AR638" i="37" s="1"/>
  <c r="AR637" i="37" a="1"/>
  <c r="AR637" i="37" s="1"/>
  <c r="AR636" i="37" a="1"/>
  <c r="AR636" i="37" s="1"/>
  <c r="AR529" i="37" a="1"/>
  <c r="AR529" i="37" s="1"/>
  <c r="AR530" i="37" a="1"/>
  <c r="AR530" i="37" s="1"/>
  <c r="AR531" i="37" a="1"/>
  <c r="AR531" i="37" s="1"/>
  <c r="AR532" i="37" a="1"/>
  <c r="AR532" i="37" s="1"/>
  <c r="AQ2" i="37" a="1"/>
  <c r="AQ2" i="37" s="1"/>
  <c r="AQ3" i="37" a="1"/>
  <c r="AQ3" i="37" s="1"/>
  <c r="AQ10" i="37" a="1"/>
  <c r="AQ10" i="37" s="1"/>
  <c r="AQ534" i="37" a="1"/>
  <c r="AQ534" i="37" s="1"/>
  <c r="AQ533" i="37" a="1"/>
  <c r="AQ533" i="37" s="1"/>
  <c r="AQ6" i="37" a="1"/>
  <c r="AQ6" i="37" s="1"/>
  <c r="AQ5" i="37" a="1"/>
  <c r="AQ5" i="37" s="1"/>
  <c r="AQ11" i="37" a="1"/>
  <c r="AQ11" i="37" s="1"/>
  <c r="AQ4" i="37" a="1"/>
  <c r="AQ4" i="37" s="1"/>
  <c r="AQ23" i="37" a="1"/>
  <c r="AQ23" i="37" s="1"/>
  <c r="AQ7" i="37" a="1"/>
  <c r="AQ7" i="37" s="1"/>
  <c r="AQ13" i="37" a="1"/>
  <c r="AQ13" i="37" s="1"/>
  <c r="AQ24" i="37" a="1"/>
  <c r="AQ24" i="37" s="1"/>
  <c r="AQ36" i="37" a="1"/>
  <c r="AQ36" i="37" s="1"/>
  <c r="AQ25" i="37" a="1"/>
  <c r="AQ25" i="37" s="1"/>
  <c r="AQ37" i="37" a="1"/>
  <c r="AQ37" i="37" s="1"/>
  <c r="AQ20" i="37" a="1"/>
  <c r="AQ20" i="37" s="1"/>
  <c r="AQ14" i="37" a="1"/>
  <c r="AQ14" i="37" s="1"/>
  <c r="AQ15" i="37" a="1"/>
  <c r="AQ15" i="37" s="1"/>
  <c r="AQ19" i="37" a="1"/>
  <c r="AQ19" i="37" s="1"/>
  <c r="AQ22" i="37" a="1"/>
  <c r="AQ22" i="37" s="1"/>
  <c r="AQ26" i="37" a="1"/>
  <c r="AQ26" i="37" s="1"/>
  <c r="AQ537" i="37" a="1"/>
  <c r="AQ537" i="37" s="1"/>
  <c r="AQ27" i="37" a="1"/>
  <c r="AQ27" i="37" s="1"/>
  <c r="AQ21" i="37" a="1"/>
  <c r="AQ21" i="37" s="1"/>
  <c r="AQ38" i="37" a="1"/>
  <c r="AQ38" i="37" s="1"/>
  <c r="AQ538" i="37" a="1"/>
  <c r="AQ538" i="37" s="1"/>
  <c r="AQ28" i="37" a="1"/>
  <c r="AQ28" i="37" s="1"/>
  <c r="AQ16" i="37" a="1"/>
  <c r="AQ16" i="37" s="1"/>
  <c r="AQ39" i="37" a="1"/>
  <c r="AQ39" i="37" s="1"/>
  <c r="AQ40" i="37" a="1"/>
  <c r="AQ40" i="37" s="1"/>
  <c r="AQ29" i="37" a="1"/>
  <c r="AQ29" i="37" s="1"/>
  <c r="AQ41" i="37" a="1"/>
  <c r="AQ41" i="37" s="1"/>
  <c r="AQ33" i="37" a="1"/>
  <c r="AQ33" i="37" s="1"/>
  <c r="AQ42" i="37" a="1"/>
  <c r="AQ42" i="37" s="1"/>
  <c r="AQ539" i="37" a="1"/>
  <c r="AQ539" i="37" s="1"/>
  <c r="AQ85" i="37" a="1"/>
  <c r="AQ85" i="37" s="1"/>
  <c r="AQ43" i="37" a="1"/>
  <c r="AQ43" i="37" s="1"/>
  <c r="AQ44" i="37" a="1"/>
  <c r="AQ44" i="37" s="1"/>
  <c r="AQ535" i="37" a="1"/>
  <c r="AQ535" i="37" s="1"/>
  <c r="AQ45" i="37" a="1"/>
  <c r="AQ45" i="37" s="1"/>
  <c r="AQ17" i="37" a="1"/>
  <c r="AQ17" i="37" s="1"/>
  <c r="AQ70" i="37" a="1"/>
  <c r="AQ70" i="37" s="1"/>
  <c r="AQ30" i="37" a="1"/>
  <c r="AQ30" i="37" s="1"/>
  <c r="AQ18" i="37" a="1"/>
  <c r="AQ18" i="37" s="1"/>
  <c r="AQ62" i="37" a="1"/>
  <c r="AQ62" i="37" s="1"/>
  <c r="AQ57" i="37" a="1"/>
  <c r="AQ57" i="37" s="1"/>
  <c r="AQ46" i="37" a="1"/>
  <c r="AQ46" i="37" s="1"/>
  <c r="AQ61" i="37" a="1"/>
  <c r="AQ61" i="37" s="1"/>
  <c r="AQ71" i="37" a="1"/>
  <c r="AQ71" i="37" s="1"/>
  <c r="AQ31" i="37" a="1"/>
  <c r="AQ31" i="37" s="1"/>
  <c r="AQ541" i="37" a="1"/>
  <c r="AQ541" i="37" s="1"/>
  <c r="AQ56" i="37" a="1"/>
  <c r="AQ56" i="37" s="1"/>
  <c r="AQ536" i="37" a="1"/>
  <c r="AQ536" i="37" s="1"/>
  <c r="AQ47" i="37" a="1"/>
  <c r="AQ47" i="37" s="1"/>
  <c r="AQ86" i="37" a="1"/>
  <c r="AQ86" i="37" s="1"/>
  <c r="AQ72" i="37" a="1"/>
  <c r="AQ72" i="37" s="1"/>
  <c r="AQ48" i="37" a="1"/>
  <c r="AQ48" i="37" s="1"/>
  <c r="AQ547" i="37" a="1"/>
  <c r="AQ547" i="37" s="1"/>
  <c r="AQ115" i="37" a="1"/>
  <c r="AQ115" i="37" s="1"/>
  <c r="AQ562" i="37" a="1"/>
  <c r="AQ562" i="37" s="1"/>
  <c r="AQ58" i="37" a="1"/>
  <c r="AQ58" i="37" s="1"/>
  <c r="AQ63" i="37" a="1"/>
  <c r="AQ63" i="37" s="1"/>
  <c r="AQ34" i="37" a="1"/>
  <c r="AQ34" i="37" s="1"/>
  <c r="AQ540" i="37" a="1"/>
  <c r="AQ540" i="37" s="1"/>
  <c r="AQ116" i="37" a="1"/>
  <c r="AQ116" i="37" s="1"/>
  <c r="AQ12" i="37" a="1"/>
  <c r="AQ12" i="37" s="1"/>
  <c r="AQ32" i="37" a="1"/>
  <c r="AQ32" i="37" s="1"/>
  <c r="AQ73" i="37" a="1"/>
  <c r="AQ73" i="37" s="1"/>
  <c r="AQ74" i="37" a="1"/>
  <c r="AQ74" i="37" s="1"/>
  <c r="AQ542" i="37" a="1"/>
  <c r="AQ542" i="37" s="1"/>
  <c r="AQ75" i="37" a="1"/>
  <c r="AQ75" i="37" s="1"/>
  <c r="AQ543" i="37" a="1"/>
  <c r="AQ543" i="37" s="1"/>
  <c r="AQ117" i="37" a="1"/>
  <c r="AQ117" i="37" s="1"/>
  <c r="AQ546" i="37" a="1"/>
  <c r="AQ546" i="37" s="1"/>
  <c r="AQ99" i="37" a="1"/>
  <c r="AQ99" i="37" s="1"/>
  <c r="AQ67" i="37" a="1"/>
  <c r="AQ67" i="37" s="1"/>
  <c r="AQ100" i="37" a="1"/>
  <c r="AQ100" i="37" s="1"/>
  <c r="AQ68" i="37" a="1"/>
  <c r="AQ68" i="37" s="1"/>
  <c r="AQ64" i="37" a="1"/>
  <c r="AQ64" i="37" s="1"/>
  <c r="AQ101" i="37" a="1"/>
  <c r="AQ101" i="37" s="1"/>
  <c r="AQ65" i="37" a="1"/>
  <c r="AQ65" i="37" s="1"/>
  <c r="AQ92" i="37" a="1"/>
  <c r="AQ92" i="37" s="1"/>
  <c r="AQ49" i="37" a="1"/>
  <c r="AQ49" i="37" s="1"/>
  <c r="AQ185" i="37" a="1"/>
  <c r="AQ185" i="37" s="1"/>
  <c r="AQ163" i="37" a="1"/>
  <c r="AQ163" i="37" s="1"/>
  <c r="AQ76" i="37" a="1"/>
  <c r="AQ76" i="37" s="1"/>
  <c r="AQ87" i="37" a="1"/>
  <c r="AQ87" i="37" s="1"/>
  <c r="AQ82" i="37" a="1"/>
  <c r="AQ82" i="37" s="1"/>
  <c r="AQ88" i="37" a="1"/>
  <c r="AQ88" i="37" s="1"/>
  <c r="AQ554" i="37" a="1"/>
  <c r="AQ554" i="37" s="1"/>
  <c r="AQ93" i="37" a="1"/>
  <c r="AQ93" i="37" s="1"/>
  <c r="AQ118" i="37" a="1"/>
  <c r="AQ118" i="37" s="1"/>
  <c r="AQ83" i="37" a="1"/>
  <c r="AQ83" i="37" s="1"/>
  <c r="AQ164" i="37" a="1"/>
  <c r="AQ164" i="37" s="1"/>
  <c r="AQ119" i="37" a="1"/>
  <c r="AQ119" i="37" s="1"/>
  <c r="AQ549" i="37" a="1"/>
  <c r="AQ549" i="37" s="1"/>
  <c r="AQ50" i="37" a="1"/>
  <c r="AQ50" i="37" s="1"/>
  <c r="AQ120" i="37" a="1"/>
  <c r="AQ120" i="37" s="1"/>
  <c r="AQ121" i="37" a="1"/>
  <c r="AQ121" i="37" s="1"/>
  <c r="AQ84" i="37" a="1"/>
  <c r="AQ84" i="37" s="1"/>
  <c r="AQ165" i="37" a="1"/>
  <c r="AQ165" i="37" s="1"/>
  <c r="AQ206" i="37" a="1"/>
  <c r="AQ206" i="37" s="1"/>
  <c r="AQ89" i="37" a="1"/>
  <c r="AQ89" i="37" s="1"/>
  <c r="AQ574" i="37" a="1"/>
  <c r="AQ574" i="37" s="1"/>
  <c r="AQ166" i="37" a="1"/>
  <c r="AQ166" i="37" s="1"/>
  <c r="AQ167" i="37" a="1"/>
  <c r="AQ167" i="37" s="1"/>
  <c r="AQ77" i="37" a="1"/>
  <c r="AQ77" i="37" s="1"/>
  <c r="AQ123" i="37" a="1"/>
  <c r="AQ123" i="37" s="1"/>
  <c r="AQ122" i="37" a="1"/>
  <c r="AQ122" i="37" s="1"/>
  <c r="AQ575" i="37" a="1"/>
  <c r="AQ575" i="37" s="1"/>
  <c r="AQ96" i="37" a="1"/>
  <c r="AQ96" i="37" s="1"/>
  <c r="AQ186" i="37" a="1"/>
  <c r="AQ186" i="37" s="1"/>
  <c r="AQ176" i="37" a="1"/>
  <c r="AQ176" i="37" s="1"/>
  <c r="AQ151" i="37" a="1"/>
  <c r="AQ151" i="37" s="1"/>
  <c r="AQ97" i="37" a="1"/>
  <c r="AQ97" i="37" s="1"/>
  <c r="AQ274" i="37" a="1"/>
  <c r="AQ274" i="37" s="1"/>
  <c r="AQ545" i="37" a="1"/>
  <c r="AQ545" i="37" s="1"/>
  <c r="AQ187" i="37" a="1"/>
  <c r="AQ187" i="37" s="1"/>
  <c r="AQ207" i="37" a="1"/>
  <c r="AQ207" i="37" s="1"/>
  <c r="AQ9" i="37" a="1"/>
  <c r="AQ9" i="37" s="1"/>
  <c r="AQ570" i="37" a="1"/>
  <c r="AQ570" i="37" s="1"/>
  <c r="AQ296" i="37" a="1"/>
  <c r="AQ296" i="37" s="1"/>
  <c r="AQ102" i="37" a="1"/>
  <c r="AQ102" i="37" s="1"/>
  <c r="AQ66" i="37" a="1"/>
  <c r="AQ66" i="37" s="1"/>
  <c r="AQ177" i="37" a="1"/>
  <c r="AQ177" i="37" s="1"/>
  <c r="AQ297" i="37" a="1"/>
  <c r="AQ297" i="37" s="1"/>
  <c r="AQ576" i="37" a="1"/>
  <c r="AQ576" i="37" s="1"/>
  <c r="AQ156" i="37" a="1"/>
  <c r="AQ156" i="37" s="1"/>
  <c r="AQ188" i="37" a="1"/>
  <c r="AQ188" i="37" s="1"/>
  <c r="AQ189" i="37" a="1"/>
  <c r="AQ189" i="37" s="1"/>
  <c r="AQ103" i="37" a="1"/>
  <c r="AQ103" i="37" s="1"/>
  <c r="AQ190" i="37" a="1"/>
  <c r="AQ190" i="37" s="1"/>
  <c r="AQ152" i="37" a="1"/>
  <c r="AQ152" i="37" s="1"/>
  <c r="AQ208" i="37" a="1"/>
  <c r="AQ208" i="37" s="1"/>
  <c r="AQ209" i="37" a="1"/>
  <c r="AQ209" i="37" s="1"/>
  <c r="AQ210" i="37" a="1"/>
  <c r="AQ210" i="37" s="1"/>
  <c r="AQ596" i="37" a="1"/>
  <c r="AQ596" i="37" s="1"/>
  <c r="AQ168" i="37" a="1"/>
  <c r="AQ168" i="37" s="1"/>
  <c r="AQ568" i="37" a="1"/>
  <c r="AQ568" i="37" s="1"/>
  <c r="AQ124" i="37" a="1"/>
  <c r="AQ124" i="37" s="1"/>
  <c r="AQ571" i="37" a="1"/>
  <c r="AQ571" i="37" s="1"/>
  <c r="AQ175" i="37" a="1"/>
  <c r="AQ175" i="37" s="1"/>
  <c r="AQ211" i="37" a="1"/>
  <c r="AQ211" i="37" s="1"/>
  <c r="AQ104" i="37" a="1"/>
  <c r="AQ104" i="37" s="1"/>
  <c r="AQ125" i="37" a="1"/>
  <c r="AQ125" i="37" s="1"/>
  <c r="AQ105" i="37" a="1"/>
  <c r="AQ105" i="37" s="1"/>
  <c r="AQ126" i="37" a="1"/>
  <c r="AQ126" i="37" s="1"/>
  <c r="AQ548" i="37" a="1"/>
  <c r="AQ548" i="37" s="1"/>
  <c r="AQ191" i="37" a="1"/>
  <c r="AQ191" i="37" s="1"/>
  <c r="AQ563" i="37" a="1"/>
  <c r="AQ563" i="37" s="1"/>
  <c r="AQ213" i="37" a="1"/>
  <c r="AQ213" i="37" s="1"/>
  <c r="AQ298" i="37" a="1"/>
  <c r="AQ298" i="37" s="1"/>
  <c r="AQ106" i="37" a="1"/>
  <c r="AQ106" i="37" s="1"/>
  <c r="AQ212" i="37" a="1"/>
  <c r="AQ212" i="37" s="1"/>
  <c r="AQ564" i="37" a="1"/>
  <c r="AQ564" i="37" s="1"/>
  <c r="AQ577" i="37" a="1"/>
  <c r="AQ577" i="37" s="1"/>
  <c r="AQ107" i="37" a="1"/>
  <c r="AQ107" i="37" s="1"/>
  <c r="AQ157" i="37" a="1"/>
  <c r="AQ157" i="37" s="1"/>
  <c r="AQ214" i="37" a="1"/>
  <c r="AQ214" i="37" s="1"/>
  <c r="AQ158" i="37" a="1"/>
  <c r="AQ158" i="37" s="1"/>
  <c r="AQ578" i="37" a="1"/>
  <c r="AQ578" i="37" s="1"/>
  <c r="AQ215" i="37" a="1"/>
  <c r="AQ215" i="37" s="1"/>
  <c r="AQ155" i="37" a="1"/>
  <c r="AQ155" i="37" s="1"/>
  <c r="AQ216" i="37" a="1"/>
  <c r="AQ216" i="37" s="1"/>
  <c r="AQ217" i="37" a="1"/>
  <c r="AQ217" i="37" s="1"/>
  <c r="AQ127" i="37" a="1"/>
  <c r="AQ127" i="37" s="1"/>
  <c r="AQ90" i="37" a="1"/>
  <c r="AQ90" i="37" s="1"/>
  <c r="AQ153" i="37" a="1"/>
  <c r="AQ153" i="37" s="1"/>
  <c r="AQ128" i="37" a="1"/>
  <c r="AQ128" i="37" s="1"/>
  <c r="AQ299" i="37" a="1"/>
  <c r="AQ299" i="37" s="1"/>
  <c r="AQ192" i="37" a="1"/>
  <c r="AQ192" i="37" s="1"/>
  <c r="AQ129" i="37" a="1"/>
  <c r="AQ129" i="37" s="1"/>
  <c r="AQ565" i="37" a="1"/>
  <c r="AQ565" i="37" s="1"/>
  <c r="AQ130" i="37" a="1"/>
  <c r="AQ130" i="37" s="1"/>
  <c r="AQ218" i="37" a="1"/>
  <c r="AQ218" i="37" s="1"/>
  <c r="AQ131" i="37" a="1"/>
  <c r="AQ131" i="37" s="1"/>
  <c r="AQ154" i="37" a="1"/>
  <c r="AQ154" i="37" s="1"/>
  <c r="AQ555" i="37" a="1"/>
  <c r="AQ555" i="37" s="1"/>
  <c r="AQ579" i="37" a="1"/>
  <c r="AQ579" i="37" s="1"/>
  <c r="AQ132" i="37" a="1"/>
  <c r="AQ132" i="37" s="1"/>
  <c r="AQ580" i="37" a="1"/>
  <c r="AQ580" i="37" s="1"/>
  <c r="AQ219" i="37" a="1"/>
  <c r="AQ219" i="37" s="1"/>
  <c r="AQ133" i="37" a="1"/>
  <c r="AQ133" i="37" s="1"/>
  <c r="AQ134" i="37" a="1"/>
  <c r="AQ134" i="37" s="1"/>
  <c r="AQ599" i="37" a="1"/>
  <c r="AQ599" i="37" s="1"/>
  <c r="AQ220" i="37" a="1"/>
  <c r="AQ220" i="37" s="1"/>
  <c r="AQ221" i="37" a="1"/>
  <c r="AQ221" i="37" s="1"/>
  <c r="AQ59" i="37" a="1"/>
  <c r="AQ59" i="37" s="1"/>
  <c r="AQ222" i="37" a="1"/>
  <c r="AQ222" i="37" s="1"/>
  <c r="AQ223" i="37" a="1"/>
  <c r="AQ223" i="37" s="1"/>
  <c r="AQ275" i="37" a="1"/>
  <c r="AQ275" i="37" s="1"/>
  <c r="AQ51" i="37" a="1"/>
  <c r="AQ51" i="37" s="1"/>
  <c r="AQ224" i="37" a="1"/>
  <c r="AQ224" i="37" s="1"/>
  <c r="AQ78" i="37" a="1"/>
  <c r="AQ78" i="37" s="1"/>
  <c r="AQ225" i="37" a="1"/>
  <c r="AQ225" i="37" s="1"/>
  <c r="AQ35" i="37" a="1"/>
  <c r="AQ35" i="37" s="1"/>
  <c r="AQ226" i="37" a="1"/>
  <c r="AQ226" i="37" s="1"/>
  <c r="AQ169" i="37" a="1"/>
  <c r="AQ169" i="37" s="1"/>
  <c r="AQ170" i="37" a="1"/>
  <c r="AQ170" i="37" s="1"/>
  <c r="AQ557" i="37" a="1"/>
  <c r="AQ557" i="37" s="1"/>
  <c r="AQ361" i="37" a="1"/>
  <c r="AQ361" i="37" s="1"/>
  <c r="AQ558" i="37" a="1"/>
  <c r="AQ558" i="37" s="1"/>
  <c r="AQ227" i="37" a="1"/>
  <c r="AQ227" i="37" s="1"/>
  <c r="AQ556" i="37" a="1"/>
  <c r="AQ556" i="37" s="1"/>
  <c r="AQ228" i="37" a="1"/>
  <c r="AQ228" i="37" s="1"/>
  <c r="AQ171" i="37" a="1"/>
  <c r="AQ171" i="37" s="1"/>
  <c r="AQ178" i="37" a="1"/>
  <c r="AQ178" i="37" s="1"/>
  <c r="AQ595" i="37" a="1"/>
  <c r="AQ595" i="37" s="1"/>
  <c r="AQ193" i="37" a="1"/>
  <c r="AQ193" i="37" s="1"/>
  <c r="AQ69" i="37" a="1"/>
  <c r="AQ69" i="37" s="1"/>
  <c r="AQ179" i="37" a="1"/>
  <c r="AQ179" i="37" s="1"/>
  <c r="AQ135" i="37" a="1"/>
  <c r="AQ135" i="37" s="1"/>
  <c r="AQ108" i="37" a="1"/>
  <c r="AQ108" i="37" s="1"/>
  <c r="AQ300" i="37" a="1"/>
  <c r="AQ300" i="37" s="1"/>
  <c r="AQ98" i="37" a="1"/>
  <c r="AQ98" i="37" s="1"/>
  <c r="AQ159" i="37" a="1"/>
  <c r="AQ159" i="37" s="1"/>
  <c r="AQ597" i="37" a="1"/>
  <c r="AQ597" i="37" s="1"/>
  <c r="AQ560" i="37" a="1"/>
  <c r="AQ560" i="37" s="1"/>
  <c r="AQ79" i="37" a="1"/>
  <c r="AQ79" i="37" s="1"/>
  <c r="AQ279" i="37" a="1"/>
  <c r="AQ279" i="37" s="1"/>
  <c r="AQ569" i="37" a="1"/>
  <c r="AQ569" i="37" s="1"/>
  <c r="AQ229" i="37" a="1"/>
  <c r="AQ229" i="37" s="1"/>
  <c r="AQ230" i="37" a="1"/>
  <c r="AQ230" i="37" s="1"/>
  <c r="AQ301" i="37" a="1"/>
  <c r="AQ301" i="37" s="1"/>
  <c r="AQ437" i="37" a="1"/>
  <c r="AQ437" i="37" s="1"/>
  <c r="AQ160" i="37" a="1"/>
  <c r="AQ160" i="37" s="1"/>
  <c r="AQ280" i="37" a="1"/>
  <c r="AQ280" i="37" s="1"/>
  <c r="AQ302" i="37" a="1"/>
  <c r="AQ302" i="37" s="1"/>
  <c r="AQ231" i="37" a="1"/>
  <c r="AQ231" i="37" s="1"/>
  <c r="AQ303" i="37" a="1"/>
  <c r="AQ303" i="37" s="1"/>
  <c r="AQ304" i="37" a="1"/>
  <c r="AQ304" i="37" s="1"/>
  <c r="AQ305" i="37" a="1"/>
  <c r="AQ305" i="37" s="1"/>
  <c r="AQ194" i="37" a="1"/>
  <c r="AQ194" i="37" s="1"/>
  <c r="AQ265" i="37" a="1"/>
  <c r="AQ265" i="37" s="1"/>
  <c r="AQ306" i="37" a="1"/>
  <c r="AQ306" i="37" s="1"/>
  <c r="AQ232" i="37" a="1"/>
  <c r="AQ232" i="37" s="1"/>
  <c r="AQ195" i="37" a="1"/>
  <c r="AQ195" i="37" s="1"/>
  <c r="AQ598" i="37" a="1"/>
  <c r="AQ598" i="37" s="1"/>
  <c r="AQ281" i="37" a="1"/>
  <c r="AQ281" i="37" s="1"/>
  <c r="AQ600" i="37" a="1"/>
  <c r="AQ600" i="37" s="1"/>
  <c r="AQ80" i="37" a="1"/>
  <c r="AQ80" i="37" s="1"/>
  <c r="AQ270" i="37" a="1"/>
  <c r="AQ270" i="37" s="1"/>
  <c r="AQ180" i="37" a="1"/>
  <c r="AQ180" i="37" s="1"/>
  <c r="AQ307" i="37" a="1"/>
  <c r="AQ307" i="37" s="1"/>
  <c r="AQ267" i="37" a="1"/>
  <c r="AQ267" i="37" s="1"/>
  <c r="AQ196" i="37" a="1"/>
  <c r="AQ196" i="37" s="1"/>
  <c r="AQ269" i="37" a="1"/>
  <c r="AQ269" i="37" s="1"/>
  <c r="AQ198" i="37" a="1"/>
  <c r="AQ198" i="37" s="1"/>
  <c r="AQ282" i="37" a="1"/>
  <c r="AQ282" i="37" s="1"/>
  <c r="AQ308" i="37" a="1"/>
  <c r="AQ308" i="37" s="1"/>
  <c r="AQ471" i="37" a="1"/>
  <c r="AQ471" i="37" s="1"/>
  <c r="AQ283" i="37" a="1"/>
  <c r="AQ283" i="37" s="1"/>
  <c r="AQ161" i="37" a="1"/>
  <c r="AQ161" i="37" s="1"/>
  <c r="AQ581" i="37" a="1"/>
  <c r="AQ581" i="37" s="1"/>
  <c r="AQ234" i="37" a="1"/>
  <c r="AQ234" i="37" s="1"/>
  <c r="AQ233" i="37" a="1"/>
  <c r="AQ233" i="37" s="1"/>
  <c r="AQ235" i="37" a="1"/>
  <c r="AQ235" i="37" s="1"/>
  <c r="AQ268" i="37" a="1"/>
  <c r="AQ268" i="37" s="1"/>
  <c r="AQ199" i="37" a="1"/>
  <c r="AQ199" i="37" s="1"/>
  <c r="AQ236" i="37" a="1"/>
  <c r="AQ236" i="37" s="1"/>
  <c r="AQ582" i="37" a="1"/>
  <c r="AQ582" i="37" s="1"/>
  <c r="AQ237" i="37" a="1"/>
  <c r="AQ237" i="37" s="1"/>
  <c r="AQ238" i="37" a="1"/>
  <c r="AQ238" i="37" s="1"/>
  <c r="AQ583" i="37" a="1"/>
  <c r="AQ583" i="37" s="1"/>
  <c r="AQ172" i="37" a="1"/>
  <c r="AQ172" i="37" s="1"/>
  <c r="AQ239" i="37" a="1"/>
  <c r="AQ239" i="37" s="1"/>
  <c r="AQ363" i="37" a="1"/>
  <c r="AQ363" i="37" s="1"/>
  <c r="AQ364" i="37" a="1"/>
  <c r="AQ364" i="37" s="1"/>
  <c r="AQ362" i="37" a="1"/>
  <c r="AQ362" i="37" s="1"/>
  <c r="AQ594" i="37" a="1"/>
  <c r="AQ594" i="37" s="1"/>
  <c r="AQ612" i="37" a="1"/>
  <c r="AQ612" i="37" s="1"/>
  <c r="AQ266" i="37" a="1"/>
  <c r="AQ266" i="37" s="1"/>
  <c r="AQ309" i="37" a="1"/>
  <c r="AQ309" i="37" s="1"/>
  <c r="AQ365" i="37" a="1"/>
  <c r="AQ365" i="37" s="1"/>
  <c r="AQ240" i="37" a="1"/>
  <c r="AQ240" i="37" s="1"/>
  <c r="AQ91" i="37" a="1"/>
  <c r="AQ91" i="37" s="1"/>
  <c r="AQ613" i="37" a="1"/>
  <c r="AQ613" i="37" s="1"/>
  <c r="AQ551" i="37" a="1"/>
  <c r="AQ551" i="37" s="1"/>
  <c r="AQ271" i="37" a="1"/>
  <c r="AQ271" i="37" s="1"/>
  <c r="AQ584" i="37" a="1"/>
  <c r="AQ584" i="37" s="1"/>
  <c r="AQ52" i="37" a="1"/>
  <c r="AQ52" i="37" s="1"/>
  <c r="AQ366" i="37" a="1"/>
  <c r="AQ366" i="37" s="1"/>
  <c r="AQ241" i="37" a="1"/>
  <c r="AQ241" i="37" s="1"/>
  <c r="AQ614" i="37" a="1"/>
  <c r="AQ614" i="37" s="1"/>
  <c r="AQ367" i="37" a="1"/>
  <c r="AQ367" i="37" s="1"/>
  <c r="AQ544" i="37" a="1"/>
  <c r="AQ544" i="37" s="1"/>
  <c r="AQ136" i="37" a="1"/>
  <c r="AQ136" i="37" s="1"/>
  <c r="AQ585" i="37" a="1"/>
  <c r="AQ585" i="37" s="1"/>
  <c r="AQ371" i="37" a="1"/>
  <c r="AQ371" i="37" s="1"/>
  <c r="AQ369" i="37" a="1"/>
  <c r="AQ369" i="37" s="1"/>
  <c r="AQ615" i="37" a="1"/>
  <c r="AQ615" i="37" s="1"/>
  <c r="AQ368" i="37" a="1"/>
  <c r="AQ368" i="37" s="1"/>
  <c r="AQ370" i="37" a="1"/>
  <c r="AQ370" i="37" s="1"/>
  <c r="AQ242" i="37" a="1"/>
  <c r="AQ242" i="37" s="1"/>
  <c r="AQ244" i="37" a="1"/>
  <c r="AQ244" i="37" s="1"/>
  <c r="AQ372" i="37" a="1"/>
  <c r="AQ372" i="37" s="1"/>
  <c r="AQ566" i="37" a="1"/>
  <c r="AQ566" i="37" s="1"/>
  <c r="AQ243" i="37" a="1"/>
  <c r="AQ243" i="37" s="1"/>
  <c r="AQ407" i="37" a="1"/>
  <c r="AQ407" i="37" s="1"/>
  <c r="AQ8" i="37" a="1"/>
  <c r="AQ8" i="37" s="1"/>
  <c r="AQ310" i="37" a="1"/>
  <c r="AQ310" i="37" s="1"/>
  <c r="AQ385" i="37" a="1"/>
  <c r="AQ385" i="37" s="1"/>
  <c r="AQ94" i="37" a="1"/>
  <c r="AQ94" i="37" s="1"/>
  <c r="AQ55" i="37" a="1"/>
  <c r="AQ55" i="37" s="1"/>
  <c r="AQ258" i="37" a="1"/>
  <c r="AQ258" i="37" s="1"/>
  <c r="AQ137" i="37" a="1"/>
  <c r="AQ137" i="37" s="1"/>
  <c r="AQ54" i="37" a="1"/>
  <c r="AQ54" i="37" s="1"/>
  <c r="AQ418" i="37" a="1"/>
  <c r="AQ418" i="37" s="1"/>
  <c r="AQ174" i="37" a="1"/>
  <c r="AQ174" i="37" s="1"/>
  <c r="AQ311" i="37" a="1"/>
  <c r="AQ311" i="37" s="1"/>
  <c r="AQ416" i="37" a="1"/>
  <c r="AQ416" i="37" s="1"/>
  <c r="AQ312" i="37" a="1"/>
  <c r="AQ312" i="37" s="1"/>
  <c r="AQ145" i="37" a="1"/>
  <c r="AQ145" i="37" s="1"/>
  <c r="AQ278" i="37" a="1"/>
  <c r="AQ278" i="37" s="1"/>
  <c r="AQ181" i="37" a="1"/>
  <c r="AQ181" i="37" s="1"/>
  <c r="AQ375" i="37" a="1"/>
  <c r="AQ375" i="37" s="1"/>
  <c r="AQ146" i="37" a="1"/>
  <c r="AQ146" i="37" s="1"/>
  <c r="AQ388" i="37" a="1"/>
  <c r="AQ388" i="37" s="1"/>
  <c r="AQ419" i="37" a="1"/>
  <c r="AQ419" i="37" s="1"/>
  <c r="AQ60" i="37" a="1"/>
  <c r="AQ60" i="37" s="1"/>
  <c r="AQ81" i="37" a="1"/>
  <c r="AQ81" i="37" s="1"/>
  <c r="AQ149" i="37" a="1"/>
  <c r="AQ149" i="37" s="1"/>
  <c r="AQ246" i="37" a="1"/>
  <c r="AQ246" i="37" s="1"/>
  <c r="AQ590" i="37" a="1"/>
  <c r="AQ590" i="37" s="1"/>
  <c r="AQ254" i="37" a="1"/>
  <c r="AQ254" i="37" s="1"/>
  <c r="AQ373" i="37" a="1"/>
  <c r="AQ373" i="37" s="1"/>
  <c r="AQ376" i="37" a="1"/>
  <c r="AQ376" i="37" s="1"/>
  <c r="AQ378" i="37" a="1"/>
  <c r="AQ378" i="37" s="1"/>
  <c r="AQ410" i="37" a="1"/>
  <c r="AQ410" i="37" s="1"/>
  <c r="AQ409" i="37" a="1"/>
  <c r="AQ409" i="37" s="1"/>
  <c r="AQ420" i="37" a="1"/>
  <c r="AQ420" i="37" s="1"/>
  <c r="AQ248" i="37" a="1"/>
  <c r="AQ248" i="37" s="1"/>
  <c r="AQ247" i="37" a="1"/>
  <c r="AQ247" i="37" s="1"/>
  <c r="AQ259" i="37" a="1"/>
  <c r="AQ259" i="37" s="1"/>
  <c r="AQ402" i="37" a="1"/>
  <c r="AQ402" i="37" s="1"/>
  <c r="AQ415" i="37" a="1"/>
  <c r="AQ415" i="37" s="1"/>
  <c r="AQ417" i="37" a="1"/>
  <c r="AQ417" i="37" s="1"/>
  <c r="AQ53" i="37" a="1"/>
  <c r="AQ53" i="37" s="1"/>
  <c r="AQ140" i="37" a="1"/>
  <c r="AQ140" i="37" s="1"/>
  <c r="AQ142" i="37" a="1"/>
  <c r="AQ142" i="37" s="1"/>
  <c r="AQ109" i="37" a="1"/>
  <c r="AQ109" i="37" s="1"/>
  <c r="AQ313" i="37" a="1"/>
  <c r="AQ313" i="37" s="1"/>
  <c r="AQ314" i="37" a="1"/>
  <c r="AQ314" i="37" s="1"/>
  <c r="AQ601" i="37" a="1"/>
  <c r="AQ601" i="37" s="1"/>
  <c r="AQ315" i="37" a="1"/>
  <c r="AQ315" i="37" s="1"/>
  <c r="AQ618" i="37" a="1"/>
  <c r="AQ618" i="37" s="1"/>
  <c r="AQ143" i="37" a="1"/>
  <c r="AQ143" i="37" s="1"/>
  <c r="AQ622" i="37" a="1"/>
  <c r="AQ622" i="37" s="1"/>
  <c r="AQ316" i="37" a="1"/>
  <c r="AQ316" i="37" s="1"/>
  <c r="AQ552" i="37" a="1"/>
  <c r="AQ552" i="37" s="1"/>
  <c r="AQ317" i="37" a="1"/>
  <c r="AQ317" i="37" s="1"/>
  <c r="AQ182" i="37" a="1"/>
  <c r="AQ182" i="37" s="1"/>
  <c r="AQ200" i="37" a="1"/>
  <c r="AQ200" i="37" s="1"/>
  <c r="AQ284" i="37" a="1"/>
  <c r="AQ284" i="37" s="1"/>
  <c r="AQ427" i="37" a="1"/>
  <c r="AQ427" i="37" s="1"/>
  <c r="AQ147" i="37" a="1"/>
  <c r="AQ147" i="37" s="1"/>
  <c r="AQ173" i="37" a="1"/>
  <c r="AQ173" i="37" s="1"/>
  <c r="AQ318" i="37" a="1"/>
  <c r="AQ318" i="37" s="1"/>
  <c r="AQ435" i="37" a="1"/>
  <c r="AQ435" i="37" s="1"/>
  <c r="AQ285" i="37" a="1"/>
  <c r="AQ285" i="37" s="1"/>
  <c r="AQ602" i="37" a="1"/>
  <c r="AQ602" i="37" s="1"/>
  <c r="AQ319" i="37" a="1"/>
  <c r="AQ319" i="37" s="1"/>
  <c r="AQ148" i="37" a="1"/>
  <c r="AQ148" i="37" s="1"/>
  <c r="AQ320" i="37" a="1"/>
  <c r="AQ320" i="37" s="1"/>
  <c r="AQ321" i="37" a="1"/>
  <c r="AQ321" i="37" s="1"/>
  <c r="AQ150" i="37" a="1"/>
  <c r="AQ150" i="37" s="1"/>
  <c r="AQ322" i="37" a="1"/>
  <c r="AQ322" i="37" s="1"/>
  <c r="AQ323" i="37" a="1"/>
  <c r="AQ323" i="37" s="1"/>
  <c r="AQ621" i="37" a="1"/>
  <c r="AQ621" i="37" s="1"/>
  <c r="AQ424" i="37" a="1"/>
  <c r="AQ424" i="37" s="1"/>
  <c r="AQ201" i="37" a="1"/>
  <c r="AQ201" i="37" s="1"/>
  <c r="AQ440" i="37" a="1"/>
  <c r="AQ440" i="37" s="1"/>
  <c r="AQ110" i="37" a="1"/>
  <c r="AQ110" i="37" s="1"/>
  <c r="AQ286" i="37" a="1"/>
  <c r="AQ286" i="37" s="1"/>
  <c r="AQ325" i="37" a="1"/>
  <c r="AQ325" i="37" s="1"/>
  <c r="AQ423" i="37" a="1"/>
  <c r="AQ423" i="37" s="1"/>
  <c r="AQ431" i="37" a="1"/>
  <c r="AQ431" i="37" s="1"/>
  <c r="AQ421" i="37" a="1"/>
  <c r="AQ421" i="37" s="1"/>
  <c r="AQ245" i="37" a="1"/>
  <c r="AQ245" i="37" s="1"/>
  <c r="AQ434" i="37" a="1"/>
  <c r="AQ434" i="37" s="1"/>
  <c r="AQ324" i="37" a="1"/>
  <c r="AQ324" i="37" s="1"/>
  <c r="AQ572" i="37" a="1"/>
  <c r="AQ572" i="37" s="1"/>
  <c r="AQ202" i="37" a="1"/>
  <c r="AQ202" i="37" s="1"/>
  <c r="AQ588" i="37" a="1"/>
  <c r="AQ588" i="37" s="1"/>
  <c r="AQ603" i="37" a="1"/>
  <c r="AQ603" i="37" s="1"/>
  <c r="AQ619" i="37" a="1"/>
  <c r="AQ619" i="37" s="1"/>
  <c r="AQ250" i="37" a="1"/>
  <c r="AQ250" i="37" s="1"/>
  <c r="AQ441" i="37" a="1"/>
  <c r="AQ441" i="37" s="1"/>
  <c r="AQ438" i="37" a="1"/>
  <c r="AQ438" i="37" s="1"/>
  <c r="AQ327" i="37" a="1"/>
  <c r="AQ327" i="37" s="1"/>
  <c r="AQ426" i="37" a="1"/>
  <c r="AQ426" i="37" s="1"/>
  <c r="AQ287" i="37" a="1"/>
  <c r="AQ287" i="37" s="1"/>
  <c r="AQ95" i="37" a="1"/>
  <c r="AQ95" i="37" s="1"/>
  <c r="AQ326" i="37" a="1"/>
  <c r="AQ326" i="37" s="1"/>
  <c r="AQ249" i="37" a="1"/>
  <c r="AQ249" i="37" s="1"/>
  <c r="AQ425" i="37" a="1"/>
  <c r="AQ425" i="37" s="1"/>
  <c r="AQ604" i="37" a="1"/>
  <c r="AQ604" i="37" s="1"/>
  <c r="AQ162" i="37" a="1"/>
  <c r="AQ162" i="37" s="1"/>
  <c r="AQ276" i="37" a="1"/>
  <c r="AQ276" i="37" s="1"/>
  <c r="AQ328" i="37" a="1"/>
  <c r="AQ328" i="37" s="1"/>
  <c r="AQ472" i="37" a="1"/>
  <c r="AQ472" i="37" s="1"/>
  <c r="AQ272" i="37" a="1"/>
  <c r="AQ272" i="37" s="1"/>
  <c r="AQ255" i="37" a="1"/>
  <c r="AQ255" i="37" s="1"/>
  <c r="AQ277" i="37" a="1"/>
  <c r="AQ277" i="37" s="1"/>
  <c r="AQ442" i="37" a="1"/>
  <c r="AQ442" i="37" s="1"/>
  <c r="AQ591" i="37" a="1"/>
  <c r="AQ591" i="37" s="1"/>
  <c r="AQ592" i="37" a="1"/>
  <c r="AQ592" i="37" s="1"/>
  <c r="AQ329" i="37" a="1"/>
  <c r="AQ329" i="37" s="1"/>
  <c r="AQ473" i="37" a="1"/>
  <c r="AQ473" i="37" s="1"/>
  <c r="AQ474" i="37" a="1"/>
  <c r="AQ474" i="37" s="1"/>
  <c r="AQ428" i="37" a="1"/>
  <c r="AQ428" i="37" s="1"/>
  <c r="AQ330" i="37" a="1"/>
  <c r="AQ330" i="37" s="1"/>
  <c r="AQ257" i="37" a="1"/>
  <c r="AQ257" i="37" s="1"/>
  <c r="AQ429" i="37" a="1"/>
  <c r="AQ429" i="37" s="1"/>
  <c r="AQ263" i="37" a="1"/>
  <c r="AQ263" i="37" s="1"/>
  <c r="AQ444" i="37" a="1"/>
  <c r="AQ444" i="37" s="1"/>
  <c r="AQ430" i="37" a="1"/>
  <c r="AQ430" i="37" s="1"/>
  <c r="AQ432" i="37" a="1"/>
  <c r="AQ432" i="37" s="1"/>
  <c r="AQ260" i="37" a="1"/>
  <c r="AQ260" i="37" s="1"/>
  <c r="AQ261" i="37" a="1"/>
  <c r="AQ261" i="37" s="1"/>
  <c r="AQ262" i="37" a="1"/>
  <c r="AQ262" i="37" s="1"/>
  <c r="AQ331" i="37" a="1"/>
  <c r="AQ331" i="37" s="1"/>
  <c r="AQ374" i="37" a="1"/>
  <c r="AQ374" i="37" s="1"/>
  <c r="AQ332" i="37" a="1"/>
  <c r="AQ332" i="37" s="1"/>
  <c r="AQ377" i="37" a="1"/>
  <c r="AQ377" i="37" s="1"/>
  <c r="AQ203" i="37" a="1"/>
  <c r="AQ203" i="37" s="1"/>
  <c r="AQ111" i="37" a="1"/>
  <c r="AQ111" i="37" s="1"/>
  <c r="AQ379" i="37" a="1"/>
  <c r="AQ379" i="37" s="1"/>
  <c r="AQ333" i="37" a="1"/>
  <c r="AQ333" i="37" s="1"/>
  <c r="AQ334" i="37" a="1"/>
  <c r="AQ334" i="37" s="1"/>
  <c r="AQ443" i="37" a="1"/>
  <c r="AQ443" i="37" s="1"/>
  <c r="AQ459" i="37" a="1"/>
  <c r="AQ459" i="37" s="1"/>
  <c r="AQ289" i="37" a="1"/>
  <c r="AQ289" i="37" s="1"/>
  <c r="AQ475" i="37" a="1"/>
  <c r="AQ475" i="37" s="1"/>
  <c r="AQ335" i="37" a="1"/>
  <c r="AQ335" i="37" s="1"/>
  <c r="AQ112" i="37" a="1"/>
  <c r="AQ112" i="37" s="1"/>
  <c r="AQ422" i="37" a="1"/>
  <c r="AQ422" i="37" s="1"/>
  <c r="AQ381" i="37" a="1"/>
  <c r="AQ381" i="37" s="1"/>
  <c r="AQ605" i="37" a="1"/>
  <c r="AQ605" i="37" s="1"/>
  <c r="AQ616" i="37" a="1"/>
  <c r="AQ616" i="37" s="1"/>
  <c r="AQ383" i="37" a="1"/>
  <c r="AQ383" i="37" s="1"/>
  <c r="AQ183" i="37" a="1"/>
  <c r="AQ183" i="37" s="1"/>
  <c r="AQ433" i="37" a="1"/>
  <c r="AQ433" i="37" s="1"/>
  <c r="AQ336" i="37" a="1"/>
  <c r="AQ336" i="37" s="1"/>
  <c r="AQ337" i="37" a="1"/>
  <c r="AQ337" i="37" s="1"/>
  <c r="AQ386" i="37" a="1"/>
  <c r="AQ386" i="37" s="1"/>
  <c r="AQ338" i="37" a="1"/>
  <c r="AQ338" i="37" s="1"/>
  <c r="AQ617" i="37" a="1"/>
  <c r="AQ617" i="37" s="1"/>
  <c r="AQ389" i="37" a="1"/>
  <c r="AQ389" i="37" s="1"/>
  <c r="AQ606" i="37" a="1"/>
  <c r="AQ606" i="37" s="1"/>
  <c r="AQ204" i="37" a="1"/>
  <c r="AQ204" i="37" s="1"/>
  <c r="AQ291" i="37" a="1"/>
  <c r="AQ291" i="37" s="1"/>
  <c r="AQ390" i="37" a="1"/>
  <c r="AQ390" i="37" s="1"/>
  <c r="AQ394" i="37" a="1"/>
  <c r="AQ394" i="37" s="1"/>
  <c r="AQ398" i="37" a="1"/>
  <c r="AQ398" i="37" s="1"/>
  <c r="AQ400" i="37" a="1"/>
  <c r="AQ400" i="37" s="1"/>
  <c r="AQ476" i="37" a="1"/>
  <c r="AQ476" i="37" s="1"/>
  <c r="AQ399" i="37" a="1"/>
  <c r="AQ399" i="37" s="1"/>
  <c r="AQ403" i="37" a="1"/>
  <c r="AQ403" i="37" s="1"/>
  <c r="AQ477" i="37" a="1"/>
  <c r="AQ477" i="37" s="1"/>
  <c r="AQ408" i="37" a="1"/>
  <c r="AQ408" i="37" s="1"/>
  <c r="AQ439" i="37" a="1"/>
  <c r="AQ439" i="37" s="1"/>
  <c r="AQ573" i="37" a="1"/>
  <c r="AQ573" i="37" s="1"/>
  <c r="AQ413" i="37" a="1"/>
  <c r="AQ413" i="37" s="1"/>
  <c r="AQ607" i="37" a="1"/>
  <c r="AQ607" i="37" s="1"/>
  <c r="AQ412" i="37" a="1"/>
  <c r="AQ412" i="37" s="1"/>
  <c r="AQ113" i="37" a="1"/>
  <c r="AQ113" i="37" s="1"/>
  <c r="AQ414" i="37" a="1"/>
  <c r="AQ414" i="37" s="1"/>
  <c r="AQ411" i="37" a="1"/>
  <c r="AQ411" i="37" s="1"/>
  <c r="AQ138" i="37" a="1"/>
  <c r="AQ138" i="37" s="1"/>
  <c r="AQ139" i="37" a="1"/>
  <c r="AQ139" i="37" s="1"/>
  <c r="AQ339" i="37" a="1"/>
  <c r="AQ339" i="37" s="1"/>
  <c r="AQ478" i="37" a="1"/>
  <c r="AQ478" i="37" s="1"/>
  <c r="AQ141" i="37" a="1"/>
  <c r="AQ141" i="37" s="1"/>
  <c r="AQ479" i="37" a="1"/>
  <c r="AQ479" i="37" s="1"/>
  <c r="AQ340" i="37" a="1"/>
  <c r="AQ340" i="37" s="1"/>
  <c r="AQ144" i="37" a="1"/>
  <c r="AQ144" i="37" s="1"/>
  <c r="AQ567" i="37" a="1"/>
  <c r="AQ567" i="37" s="1"/>
  <c r="AQ586" i="37" a="1"/>
  <c r="AQ586" i="37" s="1"/>
  <c r="AQ587" i="37" a="1"/>
  <c r="AQ587" i="37" s="1"/>
  <c r="AQ589" i="37" a="1"/>
  <c r="AQ589" i="37" s="1"/>
  <c r="AQ625" i="37" a="1"/>
  <c r="AQ625" i="37" s="1"/>
  <c r="AQ480" i="37" a="1"/>
  <c r="AQ480" i="37" s="1"/>
  <c r="AQ342" i="37" a="1"/>
  <c r="AQ342" i="37" s="1"/>
  <c r="AQ253" i="37" a="1"/>
  <c r="AQ253" i="37" s="1"/>
  <c r="AQ341" i="37" a="1"/>
  <c r="AQ341" i="37" s="1"/>
  <c r="AQ252" i="37" a="1"/>
  <c r="AQ252" i="37" s="1"/>
  <c r="AQ482" i="37" a="1"/>
  <c r="AQ482" i="37" s="1"/>
  <c r="AQ481" i="37" a="1"/>
  <c r="AQ481" i="37" s="1"/>
  <c r="AQ343" i="37" a="1"/>
  <c r="AQ343" i="37" s="1"/>
  <c r="AQ251" i="37" a="1"/>
  <c r="AQ251" i="37" s="1"/>
  <c r="AQ256" i="37" a="1"/>
  <c r="AQ256" i="37" s="1"/>
  <c r="AQ264" i="37" a="1"/>
  <c r="AQ264" i="37" s="1"/>
  <c r="AQ593" i="37" a="1"/>
  <c r="AQ593" i="37" s="1"/>
  <c r="AQ345" i="37" a="1"/>
  <c r="AQ345" i="37" s="1"/>
  <c r="AQ484" i="37" a="1"/>
  <c r="AQ484" i="37" s="1"/>
  <c r="AQ483" i="37" a="1"/>
  <c r="AQ483" i="37" s="1"/>
  <c r="AQ344" i="37" a="1"/>
  <c r="AQ344" i="37" s="1"/>
  <c r="AQ458" i="37" a="1"/>
  <c r="AQ458" i="37" s="1"/>
  <c r="AQ486" i="37" a="1"/>
  <c r="AQ486" i="37" s="1"/>
  <c r="AQ485" i="37" a="1"/>
  <c r="AQ485" i="37" s="1"/>
  <c r="AQ626" i="37" a="1"/>
  <c r="AQ626" i="37" s="1"/>
  <c r="AQ346" i="37" a="1"/>
  <c r="AQ346" i="37" s="1"/>
  <c r="AQ628" i="37" a="1"/>
  <c r="AQ628" i="37" s="1"/>
  <c r="AQ380" i="37" a="1"/>
  <c r="AQ380" i="37" s="1"/>
  <c r="AQ382" i="37" a="1"/>
  <c r="AQ382" i="37" s="1"/>
  <c r="AQ627" i="37" a="1"/>
  <c r="AQ627" i="37" s="1"/>
  <c r="AQ384" i="37" a="1"/>
  <c r="AQ384" i="37" s="1"/>
  <c r="AQ387" i="37" a="1"/>
  <c r="AQ387" i="37" s="1"/>
  <c r="AQ391" i="37" a="1"/>
  <c r="AQ391" i="37" s="1"/>
  <c r="AQ392" i="37" a="1"/>
  <c r="AQ392" i="37" s="1"/>
  <c r="AQ393" i="37" a="1"/>
  <c r="AQ393" i="37" s="1"/>
  <c r="AQ397" i="37" a="1"/>
  <c r="AQ397" i="37" s="1"/>
  <c r="AQ396" i="37" a="1"/>
  <c r="AQ396" i="37" s="1"/>
  <c r="AQ401" i="37" a="1"/>
  <c r="AQ401" i="37" s="1"/>
  <c r="AQ405" i="37" a="1"/>
  <c r="AQ405" i="37" s="1"/>
  <c r="AQ404" i="37" a="1"/>
  <c r="AQ404" i="37" s="1"/>
  <c r="AQ406" i="37" a="1"/>
  <c r="AQ406" i="37" s="1"/>
  <c r="AQ487" i="37" a="1"/>
  <c r="AQ487" i="37" s="1"/>
  <c r="AQ506" i="37" a="1"/>
  <c r="AQ506" i="37" s="1"/>
  <c r="AQ620" i="37" a="1"/>
  <c r="AQ620" i="37" s="1"/>
  <c r="AQ466" i="37" a="1"/>
  <c r="AQ466" i="37" s="1"/>
  <c r="AQ550" i="37" a="1"/>
  <c r="AQ550" i="37" s="1"/>
  <c r="AQ498" i="37" a="1"/>
  <c r="AQ498" i="37" s="1"/>
  <c r="AQ521" i="37" a="1"/>
  <c r="AQ521" i="37" s="1"/>
  <c r="AQ445" i="37" a="1"/>
  <c r="AQ445" i="37" s="1"/>
  <c r="AQ184" i="37" a="1"/>
  <c r="AQ184" i="37" s="1"/>
  <c r="AQ348" i="37" a="1"/>
  <c r="AQ348" i="37" s="1"/>
  <c r="AQ357" i="37" a="1"/>
  <c r="AQ357" i="37" s="1"/>
  <c r="AQ640" i="37" a="1"/>
  <c r="AQ640" i="37" s="1"/>
  <c r="AQ469" i="37" a="1"/>
  <c r="AQ469" i="37" s="1"/>
  <c r="AQ510" i="37" a="1"/>
  <c r="AQ510" i="37" s="1"/>
  <c r="AQ511" i="37" a="1"/>
  <c r="AQ511" i="37" s="1"/>
  <c r="AQ528" i="37" a="1"/>
  <c r="AQ528" i="37" s="1"/>
  <c r="AQ347" i="37" a="1"/>
  <c r="AQ347" i="37" s="1"/>
  <c r="AQ436" i="37" a="1"/>
  <c r="AQ436" i="37" s="1"/>
  <c r="AQ517" i="37" a="1"/>
  <c r="AQ517" i="37" s="1"/>
  <c r="AQ493" i="37" a="1"/>
  <c r="AQ493" i="37" s="1"/>
  <c r="AQ467" i="37" a="1"/>
  <c r="AQ467" i="37" s="1"/>
  <c r="AQ293" i="37" a="1"/>
  <c r="AQ293" i="37" s="1"/>
  <c r="AQ452" i="37" a="1"/>
  <c r="AQ452" i="37" s="1"/>
  <c r="AQ358" i="37" a="1"/>
  <c r="AQ358" i="37" s="1"/>
  <c r="AQ455" i="37" a="1"/>
  <c r="AQ455" i="37" s="1"/>
  <c r="AQ522" i="37" a="1"/>
  <c r="AQ522" i="37" s="1"/>
  <c r="AQ351" i="37" a="1"/>
  <c r="AQ351" i="37" s="1"/>
  <c r="AQ610" i="37" a="1"/>
  <c r="AQ610" i="37" s="1"/>
  <c r="AQ463" i="37" a="1"/>
  <c r="AQ463" i="37" s="1"/>
  <c r="AQ490" i="37" a="1"/>
  <c r="AQ490" i="37" s="1"/>
  <c r="AQ500" i="37" a="1"/>
  <c r="AQ500" i="37" s="1"/>
  <c r="AQ499" i="37" a="1"/>
  <c r="AQ499" i="37" s="1"/>
  <c r="AQ523" i="37" a="1"/>
  <c r="AQ523" i="37" s="1"/>
  <c r="AQ470" i="37" a="1"/>
  <c r="AQ470" i="37" s="1"/>
  <c r="AQ273" i="37" a="1"/>
  <c r="AQ273" i="37" s="1"/>
  <c r="AQ489" i="37" a="1"/>
  <c r="AQ489" i="37" s="1"/>
  <c r="AQ488" i="37" a="1"/>
  <c r="AQ488" i="37" s="1"/>
  <c r="AQ288" i="37" a="1"/>
  <c r="AQ288" i="37" s="1"/>
  <c r="AQ292" i="37" a="1"/>
  <c r="AQ292" i="37" s="1"/>
  <c r="AQ491" i="37" a="1"/>
  <c r="AQ491" i="37" s="1"/>
  <c r="AQ448" i="37" a="1"/>
  <c r="AQ448" i="37" s="1"/>
  <c r="AQ494" i="37" a="1"/>
  <c r="AQ494" i="37" s="1"/>
  <c r="AQ451" i="37" a="1"/>
  <c r="AQ451" i="37" s="1"/>
  <c r="AQ512" i="37" a="1"/>
  <c r="AQ512" i="37" s="1"/>
  <c r="AQ525" i="37" a="1"/>
  <c r="AQ525" i="37" s="1"/>
  <c r="AQ527" i="37" a="1"/>
  <c r="AQ527" i="37" s="1"/>
  <c r="AQ524" i="37" a="1"/>
  <c r="AQ524" i="37" s="1"/>
  <c r="AQ639" i="37" a="1"/>
  <c r="AQ639" i="37" s="1"/>
  <c r="AQ356" i="37" a="1"/>
  <c r="AQ356" i="37" s="1"/>
  <c r="AQ453" i="37" a="1"/>
  <c r="AQ453" i="37" s="1"/>
  <c r="AQ460" i="37" a="1"/>
  <c r="AQ460" i="37" s="1"/>
  <c r="AQ290" i="37" a="1"/>
  <c r="AQ290" i="37" s="1"/>
  <c r="AQ611" i="37" a="1"/>
  <c r="AQ611" i="37" s="1"/>
  <c r="AQ492" i="37" a="1"/>
  <c r="AQ492" i="37" s="1"/>
  <c r="AQ495" i="37" a="1"/>
  <c r="AQ495" i="37" s="1"/>
  <c r="AQ294" i="37" a="1"/>
  <c r="AQ294" i="37" s="1"/>
  <c r="AQ496" i="37" a="1"/>
  <c r="AQ496" i="37" s="1"/>
  <c r="AQ497" i="37" a="1"/>
  <c r="AQ497" i="37" s="1"/>
  <c r="AQ502" i="37" a="1"/>
  <c r="AQ502" i="37" s="1"/>
  <c r="AQ446" i="37" a="1"/>
  <c r="AQ446" i="37" s="1"/>
  <c r="AQ503" i="37" a="1"/>
  <c r="AQ503" i="37" s="1"/>
  <c r="AQ449" i="37" a="1"/>
  <c r="AQ449" i="37" s="1"/>
  <c r="AQ631" i="37" a="1"/>
  <c r="AQ631" i="37" s="1"/>
  <c r="AQ504" i="37" a="1"/>
  <c r="AQ504" i="37" s="1"/>
  <c r="AQ630" i="37" a="1"/>
  <c r="AQ630" i="37" s="1"/>
  <c r="AQ629" i="37" a="1"/>
  <c r="AQ629" i="37" s="1"/>
  <c r="AQ623" i="37" a="1"/>
  <c r="AQ623" i="37" s="1"/>
  <c r="AQ501" i="37" a="1"/>
  <c r="AQ501" i="37" s="1"/>
  <c r="AQ505" i="37" a="1"/>
  <c r="AQ505" i="37" s="1"/>
  <c r="AQ508" i="37" a="1"/>
  <c r="AQ508" i="37" s="1"/>
  <c r="AQ509" i="37" a="1"/>
  <c r="AQ509" i="37" s="1"/>
  <c r="AQ513" i="37" a="1"/>
  <c r="AQ513" i="37" s="1"/>
  <c r="AQ632" i="37" a="1"/>
  <c r="AQ632" i="37" s="1"/>
  <c r="AQ514" i="37" a="1"/>
  <c r="AQ514" i="37" s="1"/>
  <c r="AQ515" i="37" a="1"/>
  <c r="AQ515" i="37" s="1"/>
  <c r="AQ519" i="37" a="1"/>
  <c r="AQ519" i="37" s="1"/>
  <c r="AQ518" i="37" a="1"/>
  <c r="AQ518" i="37" s="1"/>
  <c r="AQ520" i="37" a="1"/>
  <c r="AQ520" i="37" s="1"/>
  <c r="AQ114" i="37" a="1"/>
  <c r="AQ114" i="37" s="1"/>
  <c r="AQ205" i="37" a="1"/>
  <c r="AQ205" i="37" s="1"/>
  <c r="AQ349" i="37" a="1"/>
  <c r="AQ349" i="37" s="1"/>
  <c r="AQ350" i="37" a="1"/>
  <c r="AQ350" i="37" s="1"/>
  <c r="AQ608" i="37" a="1"/>
  <c r="AQ608" i="37" s="1"/>
  <c r="AQ609" i="37" a="1"/>
  <c r="AQ609" i="37" s="1"/>
  <c r="AQ352" i="37" a="1"/>
  <c r="AQ352" i="37" s="1"/>
  <c r="AQ355" i="37" a="1"/>
  <c r="AQ355" i="37" s="1"/>
  <c r="AQ353" i="37" a="1"/>
  <c r="AQ353" i="37" s="1"/>
  <c r="AQ468" i="37" a="1"/>
  <c r="AQ468" i="37" s="1"/>
  <c r="AQ354" i="37" a="1"/>
  <c r="AQ354" i="37" s="1"/>
  <c r="AQ295" i="37" a="1"/>
  <c r="AQ295" i="37" s="1"/>
  <c r="AQ447" i="37" a="1"/>
  <c r="AQ447" i="37" s="1"/>
  <c r="AQ450" i="37" a="1"/>
  <c r="AQ450" i="37" s="1"/>
  <c r="AQ454" i="37" a="1"/>
  <c r="AQ454" i="37" s="1"/>
  <c r="AQ359" i="37" a="1"/>
  <c r="AQ359" i="37" s="1"/>
  <c r="AQ456" i="37" a="1"/>
  <c r="AQ456" i="37" s="1"/>
  <c r="AQ457" i="37" a="1"/>
  <c r="AQ457" i="37" s="1"/>
  <c r="AQ360" i="37" a="1"/>
  <c r="AQ360" i="37" s="1"/>
  <c r="AQ462" i="37" a="1"/>
  <c r="AQ462" i="37" s="1"/>
  <c r="AQ461" i="37" a="1"/>
  <c r="AQ461" i="37" s="1"/>
  <c r="AQ633" i="37" a="1"/>
  <c r="AQ633" i="37" s="1"/>
  <c r="AQ464" i="37" a="1"/>
  <c r="AQ464" i="37" s="1"/>
  <c r="AQ624" i="37" a="1"/>
  <c r="AQ624" i="37" s="1"/>
  <c r="AQ465" i="37" a="1"/>
  <c r="AQ465" i="37" s="1"/>
  <c r="AQ516" i="37" a="1"/>
  <c r="AQ516" i="37" s="1"/>
  <c r="AQ634" i="37" a="1"/>
  <c r="AQ634" i="37" s="1"/>
  <c r="AQ635" i="37" a="1"/>
  <c r="AQ635" i="37" s="1"/>
  <c r="AQ638" i="37" a="1"/>
  <c r="AQ638" i="37" s="1"/>
  <c r="AQ637" i="37" a="1"/>
  <c r="AQ637" i="37" s="1"/>
  <c r="AQ636" i="37" a="1"/>
  <c r="AQ636" i="37" s="1"/>
  <c r="AQ529" i="37" a="1"/>
  <c r="AQ529" i="37" s="1"/>
  <c r="AQ530" i="37" a="1"/>
  <c r="AQ530" i="37" s="1"/>
  <c r="AQ531" i="37" a="1"/>
  <c r="AQ531" i="37" s="1"/>
  <c r="AQ532" i="37" a="1"/>
  <c r="AQ532" i="37" s="1"/>
  <c r="AP2" i="37" a="1"/>
  <c r="AP2" i="37" s="1"/>
  <c r="AP3" i="37" a="1"/>
  <c r="AP3" i="37" s="1"/>
  <c r="AP10" i="37" a="1"/>
  <c r="AP10" i="37" s="1"/>
  <c r="AP534" i="37" a="1"/>
  <c r="AP534" i="37" s="1"/>
  <c r="AP533" i="37" a="1"/>
  <c r="AP533" i="37" s="1"/>
  <c r="AP6" i="37" a="1"/>
  <c r="AP6" i="37" s="1"/>
  <c r="AP5" i="37" a="1"/>
  <c r="AP5" i="37" s="1"/>
  <c r="AP11" i="37" a="1"/>
  <c r="AP11" i="37" s="1"/>
  <c r="AP4" i="37" a="1"/>
  <c r="AP4" i="37" s="1"/>
  <c r="AP23" i="37" a="1"/>
  <c r="AP23" i="37" s="1"/>
  <c r="AP7" i="37" a="1"/>
  <c r="AP7" i="37" s="1"/>
  <c r="AP13" i="37" a="1"/>
  <c r="AP13" i="37" s="1"/>
  <c r="AP24" i="37" a="1"/>
  <c r="AP24" i="37" s="1"/>
  <c r="AP36" i="37" a="1"/>
  <c r="AP36" i="37" s="1"/>
  <c r="AP25" i="37" a="1"/>
  <c r="AP25" i="37" s="1"/>
  <c r="AP37" i="37" a="1"/>
  <c r="AP37" i="37" s="1"/>
  <c r="AP20" i="37" a="1"/>
  <c r="AP20" i="37" s="1"/>
  <c r="AP14" i="37" a="1"/>
  <c r="AP14" i="37" s="1"/>
  <c r="AP15" i="37" a="1"/>
  <c r="AP15" i="37" s="1"/>
  <c r="AP19" i="37" a="1"/>
  <c r="AP19" i="37" s="1"/>
  <c r="AP22" i="37" a="1"/>
  <c r="AP22" i="37" s="1"/>
  <c r="AP26" i="37" a="1"/>
  <c r="AP26" i="37" s="1"/>
  <c r="AP537" i="37" a="1"/>
  <c r="AP537" i="37" s="1"/>
  <c r="AP27" i="37" a="1"/>
  <c r="AP27" i="37" s="1"/>
  <c r="AP21" i="37" a="1"/>
  <c r="AP21" i="37" s="1"/>
  <c r="AP38" i="37" a="1"/>
  <c r="AP38" i="37" s="1"/>
  <c r="AP538" i="37" a="1"/>
  <c r="AP538" i="37" s="1"/>
  <c r="AP28" i="37" a="1"/>
  <c r="AP28" i="37" s="1"/>
  <c r="AP16" i="37" a="1"/>
  <c r="AP16" i="37" s="1"/>
  <c r="AP39" i="37" a="1"/>
  <c r="AP39" i="37" s="1"/>
  <c r="AP40" i="37" a="1"/>
  <c r="AP40" i="37" s="1"/>
  <c r="AP29" i="37" a="1"/>
  <c r="AP29" i="37" s="1"/>
  <c r="AP41" i="37" a="1"/>
  <c r="AP41" i="37" s="1"/>
  <c r="AP33" i="37" a="1"/>
  <c r="AP33" i="37" s="1"/>
  <c r="AP42" i="37" a="1"/>
  <c r="AP42" i="37" s="1"/>
  <c r="AP539" i="37" a="1"/>
  <c r="AP539" i="37" s="1"/>
  <c r="AP85" i="37" a="1"/>
  <c r="AP85" i="37" s="1"/>
  <c r="AP43" i="37" a="1"/>
  <c r="AP43" i="37" s="1"/>
  <c r="AP44" i="37" a="1"/>
  <c r="AP44" i="37" s="1"/>
  <c r="AP535" i="37" a="1"/>
  <c r="AP535" i="37" s="1"/>
  <c r="AP45" i="37" a="1"/>
  <c r="AP45" i="37" s="1"/>
  <c r="AP17" i="37" a="1"/>
  <c r="AP17" i="37" s="1"/>
  <c r="AP70" i="37" a="1"/>
  <c r="AP70" i="37" s="1"/>
  <c r="AP30" i="37" a="1"/>
  <c r="AP30" i="37" s="1"/>
  <c r="AP18" i="37" a="1"/>
  <c r="AP18" i="37" s="1"/>
  <c r="AP62" i="37" a="1"/>
  <c r="AP62" i="37" s="1"/>
  <c r="AP57" i="37" a="1"/>
  <c r="AP57" i="37" s="1"/>
  <c r="AP46" i="37" a="1"/>
  <c r="AP46" i="37" s="1"/>
  <c r="AP61" i="37" a="1"/>
  <c r="AP61" i="37" s="1"/>
  <c r="AP71" i="37" a="1"/>
  <c r="AP71" i="37" s="1"/>
  <c r="AP31" i="37" a="1"/>
  <c r="AP31" i="37" s="1"/>
  <c r="AP541" i="37" a="1"/>
  <c r="AP541" i="37" s="1"/>
  <c r="AP56" i="37" a="1"/>
  <c r="AP56" i="37" s="1"/>
  <c r="AP536" i="37" a="1"/>
  <c r="AP536" i="37" s="1"/>
  <c r="AP47" i="37" a="1"/>
  <c r="AP47" i="37" s="1"/>
  <c r="AP86" i="37" a="1"/>
  <c r="AP86" i="37" s="1"/>
  <c r="AP72" i="37" a="1"/>
  <c r="AP72" i="37" s="1"/>
  <c r="AP48" i="37" a="1"/>
  <c r="AP48" i="37" s="1"/>
  <c r="AP547" i="37" a="1"/>
  <c r="AP547" i="37" s="1"/>
  <c r="AP115" i="37" a="1"/>
  <c r="AP115" i="37" s="1"/>
  <c r="AP562" i="37" a="1"/>
  <c r="AP562" i="37" s="1"/>
  <c r="AP58" i="37" a="1"/>
  <c r="AP58" i="37" s="1"/>
  <c r="AP63" i="37" a="1"/>
  <c r="AP63" i="37" s="1"/>
  <c r="AP34" i="37" a="1"/>
  <c r="AP34" i="37" s="1"/>
  <c r="AP540" i="37" a="1"/>
  <c r="AP540" i="37" s="1"/>
  <c r="AP116" i="37" a="1"/>
  <c r="AP116" i="37" s="1"/>
  <c r="AP12" i="37" a="1"/>
  <c r="AP12" i="37" s="1"/>
  <c r="AP32" i="37" a="1"/>
  <c r="AP32" i="37" s="1"/>
  <c r="AP73" i="37" a="1"/>
  <c r="AP73" i="37" s="1"/>
  <c r="AP74" i="37" a="1"/>
  <c r="AP74" i="37" s="1"/>
  <c r="AP542" i="37" a="1"/>
  <c r="AP542" i="37" s="1"/>
  <c r="AP75" i="37" a="1"/>
  <c r="AP75" i="37" s="1"/>
  <c r="AP543" i="37" a="1"/>
  <c r="AP543" i="37" s="1"/>
  <c r="AP117" i="37" a="1"/>
  <c r="AP117" i="37" s="1"/>
  <c r="AP546" i="37" a="1"/>
  <c r="AP546" i="37" s="1"/>
  <c r="AP99" i="37" a="1"/>
  <c r="AP99" i="37" s="1"/>
  <c r="AP67" i="37" a="1"/>
  <c r="AP67" i="37" s="1"/>
  <c r="AP100" i="37" a="1"/>
  <c r="AP100" i="37" s="1"/>
  <c r="AP68" i="37" a="1"/>
  <c r="AP68" i="37" s="1"/>
  <c r="AP64" i="37" a="1"/>
  <c r="AP64" i="37" s="1"/>
  <c r="AP101" i="37" a="1"/>
  <c r="AP101" i="37" s="1"/>
  <c r="AP65" i="37" a="1"/>
  <c r="AP65" i="37" s="1"/>
  <c r="AP92" i="37" a="1"/>
  <c r="AP92" i="37" s="1"/>
  <c r="AP49" i="37" a="1"/>
  <c r="AP49" i="37" s="1"/>
  <c r="AP185" i="37" a="1"/>
  <c r="AP185" i="37" s="1"/>
  <c r="AP163" i="37" a="1"/>
  <c r="AP163" i="37" s="1"/>
  <c r="AP76" i="37" a="1"/>
  <c r="AP76" i="37" s="1"/>
  <c r="AP87" i="37" a="1"/>
  <c r="AP87" i="37" s="1"/>
  <c r="AP82" i="37" a="1"/>
  <c r="AP82" i="37" s="1"/>
  <c r="AP88" i="37" a="1"/>
  <c r="AP88" i="37" s="1"/>
  <c r="AP554" i="37" a="1"/>
  <c r="AP554" i="37" s="1"/>
  <c r="AP93" i="37" a="1"/>
  <c r="AP93" i="37" s="1"/>
  <c r="AP118" i="37" a="1"/>
  <c r="AP118" i="37" s="1"/>
  <c r="AP83" i="37" a="1"/>
  <c r="AP83" i="37" s="1"/>
  <c r="AP164" i="37" a="1"/>
  <c r="AP164" i="37" s="1"/>
  <c r="AP119" i="37" a="1"/>
  <c r="AP119" i="37" s="1"/>
  <c r="AP549" i="37" a="1"/>
  <c r="AP549" i="37" s="1"/>
  <c r="AP50" i="37" a="1"/>
  <c r="AP50" i="37" s="1"/>
  <c r="AP120" i="37" a="1"/>
  <c r="AP120" i="37" s="1"/>
  <c r="AP121" i="37" a="1"/>
  <c r="AP121" i="37" s="1"/>
  <c r="AP84" i="37" a="1"/>
  <c r="AP84" i="37" s="1"/>
  <c r="AP165" i="37" a="1"/>
  <c r="AP165" i="37" s="1"/>
  <c r="AP206" i="37" a="1"/>
  <c r="AP206" i="37" s="1"/>
  <c r="AP89" i="37" a="1"/>
  <c r="AP89" i="37" s="1"/>
  <c r="AP574" i="37" a="1"/>
  <c r="AP574" i="37" s="1"/>
  <c r="AP166" i="37" a="1"/>
  <c r="AP166" i="37" s="1"/>
  <c r="AP167" i="37" a="1"/>
  <c r="AP167" i="37" s="1"/>
  <c r="AP77" i="37" a="1"/>
  <c r="AP77" i="37" s="1"/>
  <c r="AP123" i="37" a="1"/>
  <c r="AP123" i="37" s="1"/>
  <c r="AP122" i="37" a="1"/>
  <c r="AP122" i="37" s="1"/>
  <c r="AP575" i="37" a="1"/>
  <c r="AP575" i="37" s="1"/>
  <c r="AP96" i="37" a="1"/>
  <c r="AP96" i="37" s="1"/>
  <c r="AP186" i="37" a="1"/>
  <c r="AP186" i="37" s="1"/>
  <c r="AP176" i="37" a="1"/>
  <c r="AP176" i="37" s="1"/>
  <c r="AP151" i="37" a="1"/>
  <c r="AP151" i="37" s="1"/>
  <c r="AP97" i="37" a="1"/>
  <c r="AP97" i="37" s="1"/>
  <c r="AP274" i="37" a="1"/>
  <c r="AP274" i="37" s="1"/>
  <c r="AP545" i="37" a="1"/>
  <c r="AP545" i="37" s="1"/>
  <c r="AP187" i="37" a="1"/>
  <c r="AP187" i="37" s="1"/>
  <c r="AP207" i="37" a="1"/>
  <c r="AP207" i="37" s="1"/>
  <c r="AP9" i="37" a="1"/>
  <c r="AP9" i="37" s="1"/>
  <c r="AP570" i="37" a="1"/>
  <c r="AP570" i="37" s="1"/>
  <c r="AP296" i="37" a="1"/>
  <c r="AP296" i="37" s="1"/>
  <c r="AP102" i="37" a="1"/>
  <c r="AP102" i="37" s="1"/>
  <c r="AP66" i="37" a="1"/>
  <c r="AP66" i="37" s="1"/>
  <c r="AP177" i="37" a="1"/>
  <c r="AP177" i="37" s="1"/>
  <c r="AP297" i="37" a="1"/>
  <c r="AP297" i="37" s="1"/>
  <c r="AP576" i="37" a="1"/>
  <c r="AP576" i="37" s="1"/>
  <c r="AP156" i="37" a="1"/>
  <c r="AP156" i="37" s="1"/>
  <c r="AP188" i="37" a="1"/>
  <c r="AP188" i="37" s="1"/>
  <c r="AP189" i="37" a="1"/>
  <c r="AP189" i="37" s="1"/>
  <c r="AP103" i="37" a="1"/>
  <c r="AP103" i="37" s="1"/>
  <c r="AP190" i="37" a="1"/>
  <c r="AP190" i="37" s="1"/>
  <c r="AP152" i="37" a="1"/>
  <c r="AP152" i="37" s="1"/>
  <c r="AP208" i="37" a="1"/>
  <c r="AP208" i="37" s="1"/>
  <c r="AP209" i="37" a="1"/>
  <c r="AP209" i="37" s="1"/>
  <c r="AP210" i="37" a="1"/>
  <c r="AP210" i="37" s="1"/>
  <c r="AP596" i="37" a="1"/>
  <c r="AP596" i="37" s="1"/>
  <c r="AP168" i="37" a="1"/>
  <c r="AP168" i="37" s="1"/>
  <c r="AP568" i="37" a="1"/>
  <c r="AP568" i="37" s="1"/>
  <c r="AP124" i="37" a="1"/>
  <c r="AP124" i="37" s="1"/>
  <c r="AP571" i="37" a="1"/>
  <c r="AP571" i="37" s="1"/>
  <c r="AP175" i="37" a="1"/>
  <c r="AP175" i="37" s="1"/>
  <c r="AP211" i="37" a="1"/>
  <c r="AP211" i="37" s="1"/>
  <c r="AP104" i="37" a="1"/>
  <c r="AP104" i="37" s="1"/>
  <c r="AP125" i="37" a="1"/>
  <c r="AP125" i="37" s="1"/>
  <c r="AP105" i="37" a="1"/>
  <c r="AP105" i="37" s="1"/>
  <c r="AP126" i="37" a="1"/>
  <c r="AP126" i="37" s="1"/>
  <c r="AP548" i="37" a="1"/>
  <c r="AP548" i="37" s="1"/>
  <c r="AP191" i="37" a="1"/>
  <c r="AP191" i="37" s="1"/>
  <c r="AP563" i="37" a="1"/>
  <c r="AP563" i="37" s="1"/>
  <c r="AP213" i="37" a="1"/>
  <c r="AP213" i="37" s="1"/>
  <c r="AP298" i="37" a="1"/>
  <c r="AP298" i="37" s="1"/>
  <c r="AP106" i="37" a="1"/>
  <c r="AP106" i="37" s="1"/>
  <c r="AP212" i="37" a="1"/>
  <c r="AP212" i="37" s="1"/>
  <c r="AP564" i="37" a="1"/>
  <c r="AP564" i="37" s="1"/>
  <c r="AP577" i="37" a="1"/>
  <c r="AP577" i="37" s="1"/>
  <c r="AP107" i="37" a="1"/>
  <c r="AP107" i="37" s="1"/>
  <c r="AP157" i="37" a="1"/>
  <c r="AP157" i="37" s="1"/>
  <c r="AP214" i="37" a="1"/>
  <c r="AP214" i="37" s="1"/>
  <c r="AP158" i="37" a="1"/>
  <c r="AP158" i="37" s="1"/>
  <c r="AP578" i="37" a="1"/>
  <c r="AP578" i="37" s="1"/>
  <c r="AP215" i="37" a="1"/>
  <c r="AP215" i="37" s="1"/>
  <c r="AP155" i="37" a="1"/>
  <c r="AP155" i="37" s="1"/>
  <c r="AP216" i="37" a="1"/>
  <c r="AP216" i="37" s="1"/>
  <c r="AP217" i="37" a="1"/>
  <c r="AP217" i="37" s="1"/>
  <c r="AP127" i="37" a="1"/>
  <c r="AP127" i="37" s="1"/>
  <c r="AP90" i="37" a="1"/>
  <c r="AP90" i="37" s="1"/>
  <c r="AP153" i="37" a="1"/>
  <c r="AP153" i="37" s="1"/>
  <c r="AP128" i="37" a="1"/>
  <c r="AP128" i="37" s="1"/>
  <c r="AP299" i="37" a="1"/>
  <c r="AP299" i="37" s="1"/>
  <c r="AP192" i="37" a="1"/>
  <c r="AP192" i="37" s="1"/>
  <c r="AP129" i="37" a="1"/>
  <c r="AP129" i="37" s="1"/>
  <c r="AP565" i="37" a="1"/>
  <c r="AP565" i="37" s="1"/>
  <c r="AP130" i="37" a="1"/>
  <c r="AP130" i="37" s="1"/>
  <c r="AP218" i="37" a="1"/>
  <c r="AP218" i="37" s="1"/>
  <c r="AP131" i="37" a="1"/>
  <c r="AP131" i="37" s="1"/>
  <c r="AP154" i="37" a="1"/>
  <c r="AP154" i="37" s="1"/>
  <c r="AP555" i="37" a="1"/>
  <c r="AP555" i="37" s="1"/>
  <c r="AP579" i="37" a="1"/>
  <c r="AP579" i="37" s="1"/>
  <c r="AP132" i="37" a="1"/>
  <c r="AP132" i="37" s="1"/>
  <c r="AP580" i="37" a="1"/>
  <c r="AP580" i="37" s="1"/>
  <c r="AP219" i="37" a="1"/>
  <c r="AP219" i="37" s="1"/>
  <c r="AP133" i="37" a="1"/>
  <c r="AP133" i="37" s="1"/>
  <c r="AP134" i="37" a="1"/>
  <c r="AP134" i="37" s="1"/>
  <c r="AP599" i="37" a="1"/>
  <c r="AP599" i="37" s="1"/>
  <c r="AP220" i="37" a="1"/>
  <c r="AP220" i="37" s="1"/>
  <c r="AP221" i="37" a="1"/>
  <c r="AP221" i="37" s="1"/>
  <c r="AP59" i="37" a="1"/>
  <c r="AP59" i="37" s="1"/>
  <c r="AP222" i="37" a="1"/>
  <c r="AP222" i="37" s="1"/>
  <c r="AP223" i="37" a="1"/>
  <c r="AP223" i="37" s="1"/>
  <c r="AP275" i="37" a="1"/>
  <c r="AP275" i="37" s="1"/>
  <c r="AP51" i="37" a="1"/>
  <c r="AP51" i="37" s="1"/>
  <c r="AP224" i="37" a="1"/>
  <c r="AP224" i="37" s="1"/>
  <c r="AP78" i="37" a="1"/>
  <c r="AP78" i="37" s="1"/>
  <c r="AP225" i="37" a="1"/>
  <c r="AP225" i="37" s="1"/>
  <c r="AP35" i="37" a="1"/>
  <c r="AP35" i="37" s="1"/>
  <c r="AP226" i="37" a="1"/>
  <c r="AP226" i="37" s="1"/>
  <c r="AP169" i="37" a="1"/>
  <c r="AP169" i="37" s="1"/>
  <c r="AP170" i="37" a="1"/>
  <c r="AP170" i="37" s="1"/>
  <c r="AP557" i="37" a="1"/>
  <c r="AP557" i="37" s="1"/>
  <c r="AP361" i="37" a="1"/>
  <c r="AP361" i="37" s="1"/>
  <c r="AP558" i="37" a="1"/>
  <c r="AP558" i="37" s="1"/>
  <c r="AP227" i="37" a="1"/>
  <c r="AP227" i="37" s="1"/>
  <c r="AP556" i="37" a="1"/>
  <c r="AP556" i="37" s="1"/>
  <c r="AP228" i="37" a="1"/>
  <c r="AP228" i="37" s="1"/>
  <c r="AP171" i="37" a="1"/>
  <c r="AP171" i="37" s="1"/>
  <c r="AP178" i="37" a="1"/>
  <c r="AP178" i="37" s="1"/>
  <c r="AP595" i="37" a="1"/>
  <c r="AP595" i="37" s="1"/>
  <c r="AP193" i="37" a="1"/>
  <c r="AP193" i="37" s="1"/>
  <c r="AP69" i="37" a="1"/>
  <c r="AP69" i="37" s="1"/>
  <c r="AP179" i="37" a="1"/>
  <c r="AP179" i="37" s="1"/>
  <c r="AP135" i="37" a="1"/>
  <c r="AP135" i="37" s="1"/>
  <c r="AP108" i="37" a="1"/>
  <c r="AP108" i="37" s="1"/>
  <c r="AP300" i="37" a="1"/>
  <c r="AP300" i="37" s="1"/>
  <c r="AP98" i="37" a="1"/>
  <c r="AP98" i="37" s="1"/>
  <c r="AP159" i="37" a="1"/>
  <c r="AP159" i="37" s="1"/>
  <c r="AP597" i="37" a="1"/>
  <c r="AP597" i="37" s="1"/>
  <c r="AP560" i="37" a="1"/>
  <c r="AP560" i="37" s="1"/>
  <c r="AP79" i="37" a="1"/>
  <c r="AP79" i="37" s="1"/>
  <c r="AP279" i="37" a="1"/>
  <c r="AP279" i="37" s="1"/>
  <c r="AP569" i="37" a="1"/>
  <c r="AP569" i="37" s="1"/>
  <c r="AP229" i="37" a="1"/>
  <c r="AP229" i="37" s="1"/>
  <c r="AP230" i="37" a="1"/>
  <c r="AP230" i="37" s="1"/>
  <c r="AP301" i="37" a="1"/>
  <c r="AP301" i="37" s="1"/>
  <c r="AP437" i="37" a="1"/>
  <c r="AP437" i="37" s="1"/>
  <c r="AP160" i="37" a="1"/>
  <c r="AP160" i="37" s="1"/>
  <c r="AP280" i="37" a="1"/>
  <c r="AP280" i="37" s="1"/>
  <c r="AP302" i="37" a="1"/>
  <c r="AP302" i="37" s="1"/>
  <c r="AP231" i="37" a="1"/>
  <c r="AP231" i="37" s="1"/>
  <c r="AP303" i="37" a="1"/>
  <c r="AP303" i="37" s="1"/>
  <c r="AP304" i="37" a="1"/>
  <c r="AP304" i="37" s="1"/>
  <c r="AP305" i="37" a="1"/>
  <c r="AP305" i="37" s="1"/>
  <c r="AP194" i="37" a="1"/>
  <c r="AP194" i="37" s="1"/>
  <c r="AP265" i="37" a="1"/>
  <c r="AP265" i="37" s="1"/>
  <c r="AP306" i="37" a="1"/>
  <c r="AP306" i="37" s="1"/>
  <c r="AP232" i="37" a="1"/>
  <c r="AP232" i="37" s="1"/>
  <c r="AP195" i="37" a="1"/>
  <c r="AP195" i="37" s="1"/>
  <c r="AP598" i="37" a="1"/>
  <c r="AP598" i="37" s="1"/>
  <c r="AP281" i="37" a="1"/>
  <c r="AP281" i="37" s="1"/>
  <c r="AP600" i="37" a="1"/>
  <c r="AP600" i="37" s="1"/>
  <c r="AP80" i="37" a="1"/>
  <c r="AP80" i="37" s="1"/>
  <c r="AP270" i="37" a="1"/>
  <c r="AP270" i="37" s="1"/>
  <c r="AP180" i="37" a="1"/>
  <c r="AP180" i="37" s="1"/>
  <c r="AP307" i="37" a="1"/>
  <c r="AP307" i="37" s="1"/>
  <c r="AP267" i="37" a="1"/>
  <c r="AP267" i="37" s="1"/>
  <c r="AP196" i="37" a="1"/>
  <c r="AP196" i="37" s="1"/>
  <c r="AP269" i="37" a="1"/>
  <c r="AP269" i="37" s="1"/>
  <c r="AP198" i="37" a="1"/>
  <c r="AP198" i="37" s="1"/>
  <c r="AP282" i="37" a="1"/>
  <c r="AP282" i="37" s="1"/>
  <c r="AP308" i="37" a="1"/>
  <c r="AP308" i="37" s="1"/>
  <c r="AP471" i="37" a="1"/>
  <c r="AP471" i="37" s="1"/>
  <c r="AP283" i="37" a="1"/>
  <c r="AP283" i="37" s="1"/>
  <c r="AP161" i="37" a="1"/>
  <c r="AP161" i="37" s="1"/>
  <c r="AP581" i="37" a="1"/>
  <c r="AP581" i="37" s="1"/>
  <c r="AP234" i="37" a="1"/>
  <c r="AP234" i="37" s="1"/>
  <c r="AP233" i="37" a="1"/>
  <c r="AP233" i="37" s="1"/>
  <c r="AP235" i="37" a="1"/>
  <c r="AP235" i="37" s="1"/>
  <c r="AP268" i="37" a="1"/>
  <c r="AP268" i="37" s="1"/>
  <c r="AP199" i="37" a="1"/>
  <c r="AP199" i="37" s="1"/>
  <c r="AP236" i="37" a="1"/>
  <c r="AP236" i="37" s="1"/>
  <c r="AP582" i="37" a="1"/>
  <c r="AP582" i="37" s="1"/>
  <c r="AP237" i="37" a="1"/>
  <c r="AP237" i="37" s="1"/>
  <c r="AP238" i="37" a="1"/>
  <c r="AP238" i="37" s="1"/>
  <c r="AP583" i="37" a="1"/>
  <c r="AP583" i="37" s="1"/>
  <c r="AP172" i="37" a="1"/>
  <c r="AP172" i="37" s="1"/>
  <c r="AP239" i="37" a="1"/>
  <c r="AP239" i="37" s="1"/>
  <c r="AP363" i="37" a="1"/>
  <c r="AP363" i="37" s="1"/>
  <c r="AP364" i="37" a="1"/>
  <c r="AP364" i="37" s="1"/>
  <c r="AP362" i="37" a="1"/>
  <c r="AP362" i="37" s="1"/>
  <c r="AP594" i="37" a="1"/>
  <c r="AP594" i="37" s="1"/>
  <c r="AP612" i="37" a="1"/>
  <c r="AP612" i="37" s="1"/>
  <c r="AP266" i="37" a="1"/>
  <c r="AP266" i="37" s="1"/>
  <c r="AP309" i="37" a="1"/>
  <c r="AP309" i="37" s="1"/>
  <c r="AP365" i="37" a="1"/>
  <c r="AP365" i="37" s="1"/>
  <c r="AP240" i="37" a="1"/>
  <c r="AP240" i="37" s="1"/>
  <c r="AP91" i="37" a="1"/>
  <c r="AP91" i="37" s="1"/>
  <c r="AP613" i="37" a="1"/>
  <c r="AP613" i="37" s="1"/>
  <c r="AP551" i="37" a="1"/>
  <c r="AP551" i="37" s="1"/>
  <c r="AP271" i="37" a="1"/>
  <c r="AP271" i="37" s="1"/>
  <c r="AP584" i="37" a="1"/>
  <c r="AP584" i="37" s="1"/>
  <c r="AP52" i="37" a="1"/>
  <c r="AP52" i="37" s="1"/>
  <c r="AP366" i="37" a="1"/>
  <c r="AP366" i="37" s="1"/>
  <c r="AP241" i="37" a="1"/>
  <c r="AP241" i="37" s="1"/>
  <c r="AP614" i="37" a="1"/>
  <c r="AP614" i="37" s="1"/>
  <c r="AP367" i="37" a="1"/>
  <c r="AP367" i="37" s="1"/>
  <c r="AP544" i="37" a="1"/>
  <c r="AP544" i="37" s="1"/>
  <c r="AP136" i="37" a="1"/>
  <c r="AP136" i="37" s="1"/>
  <c r="AP585" i="37" a="1"/>
  <c r="AP585" i="37" s="1"/>
  <c r="AP371" i="37" a="1"/>
  <c r="AP371" i="37" s="1"/>
  <c r="AP369" i="37" a="1"/>
  <c r="AP369" i="37" s="1"/>
  <c r="AP615" i="37" a="1"/>
  <c r="AP615" i="37" s="1"/>
  <c r="AP368" i="37" a="1"/>
  <c r="AP368" i="37" s="1"/>
  <c r="AP370" i="37" a="1"/>
  <c r="AP370" i="37" s="1"/>
  <c r="AP242" i="37" a="1"/>
  <c r="AP242" i="37" s="1"/>
  <c r="AP244" i="37" a="1"/>
  <c r="AP244" i="37" s="1"/>
  <c r="AP372" i="37" a="1"/>
  <c r="AP372" i="37" s="1"/>
  <c r="AP566" i="37" a="1"/>
  <c r="AP566" i="37" s="1"/>
  <c r="AP243" i="37" a="1"/>
  <c r="AP243" i="37" s="1"/>
  <c r="AP407" i="37" a="1"/>
  <c r="AP407" i="37" s="1"/>
  <c r="AP8" i="37" a="1"/>
  <c r="AP8" i="37" s="1"/>
  <c r="AP310" i="37" a="1"/>
  <c r="AP310" i="37" s="1"/>
  <c r="AP385" i="37" a="1"/>
  <c r="AP385" i="37" s="1"/>
  <c r="AP94" i="37" a="1"/>
  <c r="AP94" i="37" s="1"/>
  <c r="AP55" i="37" a="1"/>
  <c r="AP55" i="37" s="1"/>
  <c r="AP258" i="37" a="1"/>
  <c r="AP258" i="37" s="1"/>
  <c r="AP137" i="37" a="1"/>
  <c r="AP137" i="37" s="1"/>
  <c r="AP54" i="37" a="1"/>
  <c r="AP54" i="37" s="1"/>
  <c r="AP418" i="37" a="1"/>
  <c r="AP418" i="37" s="1"/>
  <c r="AP174" i="37" a="1"/>
  <c r="AP174" i="37" s="1"/>
  <c r="AP311" i="37" a="1"/>
  <c r="AP311" i="37" s="1"/>
  <c r="AP416" i="37" a="1"/>
  <c r="AP416" i="37" s="1"/>
  <c r="AP312" i="37" a="1"/>
  <c r="AP312" i="37" s="1"/>
  <c r="AP145" i="37" a="1"/>
  <c r="AP145" i="37" s="1"/>
  <c r="AP278" i="37" a="1"/>
  <c r="AP278" i="37" s="1"/>
  <c r="AP181" i="37" a="1"/>
  <c r="AP181" i="37" s="1"/>
  <c r="AP375" i="37" a="1"/>
  <c r="AP375" i="37" s="1"/>
  <c r="AP146" i="37" a="1"/>
  <c r="AP146" i="37" s="1"/>
  <c r="AP388" i="37" a="1"/>
  <c r="AP388" i="37" s="1"/>
  <c r="AP419" i="37" a="1"/>
  <c r="AP419" i="37" s="1"/>
  <c r="AP60" i="37" a="1"/>
  <c r="AP60" i="37" s="1"/>
  <c r="AP81" i="37" a="1"/>
  <c r="AP81" i="37" s="1"/>
  <c r="AP149" i="37" a="1"/>
  <c r="AP149" i="37" s="1"/>
  <c r="AP246" i="37" a="1"/>
  <c r="AP246" i="37" s="1"/>
  <c r="AP590" i="37" a="1"/>
  <c r="AP590" i="37" s="1"/>
  <c r="AP254" i="37" a="1"/>
  <c r="AP254" i="37" s="1"/>
  <c r="AP373" i="37" a="1"/>
  <c r="AP373" i="37" s="1"/>
  <c r="AP376" i="37" a="1"/>
  <c r="AP376" i="37" s="1"/>
  <c r="AP378" i="37" a="1"/>
  <c r="AP378" i="37" s="1"/>
  <c r="AP410" i="37" a="1"/>
  <c r="AP410" i="37" s="1"/>
  <c r="AP409" i="37" a="1"/>
  <c r="AP409" i="37" s="1"/>
  <c r="AP420" i="37" a="1"/>
  <c r="AP420" i="37" s="1"/>
  <c r="AP248" i="37" a="1"/>
  <c r="AP248" i="37" s="1"/>
  <c r="AP247" i="37" a="1"/>
  <c r="AP247" i="37" s="1"/>
  <c r="AP259" i="37" a="1"/>
  <c r="AP259" i="37" s="1"/>
  <c r="AP402" i="37" a="1"/>
  <c r="AP402" i="37" s="1"/>
  <c r="AP415" i="37" a="1"/>
  <c r="AP415" i="37" s="1"/>
  <c r="AP417" i="37" a="1"/>
  <c r="AP417" i="37" s="1"/>
  <c r="AP53" i="37" a="1"/>
  <c r="AP53" i="37" s="1"/>
  <c r="AP140" i="37" a="1"/>
  <c r="AP140" i="37" s="1"/>
  <c r="AP142" i="37" a="1"/>
  <c r="AP142" i="37" s="1"/>
  <c r="AP109" i="37" a="1"/>
  <c r="AP109" i="37" s="1"/>
  <c r="AP313" i="37" a="1"/>
  <c r="AP313" i="37" s="1"/>
  <c r="AP314" i="37" a="1"/>
  <c r="AP314" i="37" s="1"/>
  <c r="AP601" i="37" a="1"/>
  <c r="AP601" i="37" s="1"/>
  <c r="AP315" i="37" a="1"/>
  <c r="AP315" i="37" s="1"/>
  <c r="AP618" i="37" a="1"/>
  <c r="AP618" i="37" s="1"/>
  <c r="AP143" i="37" a="1"/>
  <c r="AP143" i="37" s="1"/>
  <c r="AP622" i="37" a="1"/>
  <c r="AP622" i="37" s="1"/>
  <c r="AP316" i="37" a="1"/>
  <c r="AP316" i="37" s="1"/>
  <c r="AP552" i="37" a="1"/>
  <c r="AP552" i="37" s="1"/>
  <c r="AP317" i="37" a="1"/>
  <c r="AP317" i="37" s="1"/>
  <c r="AP182" i="37" a="1"/>
  <c r="AP182" i="37" s="1"/>
  <c r="AP200" i="37" a="1"/>
  <c r="AP200" i="37" s="1"/>
  <c r="AP284" i="37" a="1"/>
  <c r="AP284" i="37" s="1"/>
  <c r="AP427" i="37" a="1"/>
  <c r="AP427" i="37" s="1"/>
  <c r="AP147" i="37" a="1"/>
  <c r="AP147" i="37" s="1"/>
  <c r="AP173" i="37" a="1"/>
  <c r="AP173" i="37" s="1"/>
  <c r="AP318" i="37" a="1"/>
  <c r="AP318" i="37" s="1"/>
  <c r="AP435" i="37" a="1"/>
  <c r="AP435" i="37" s="1"/>
  <c r="AP285" i="37" a="1"/>
  <c r="AP285" i="37" s="1"/>
  <c r="AP602" i="37" a="1"/>
  <c r="AP602" i="37" s="1"/>
  <c r="AP319" i="37" a="1"/>
  <c r="AP319" i="37" s="1"/>
  <c r="AP148" i="37" a="1"/>
  <c r="AP148" i="37" s="1"/>
  <c r="AP320" i="37" a="1"/>
  <c r="AP320" i="37" s="1"/>
  <c r="AP321" i="37" a="1"/>
  <c r="AP321" i="37" s="1"/>
  <c r="AP150" i="37" a="1"/>
  <c r="AP150" i="37" s="1"/>
  <c r="AP322" i="37" a="1"/>
  <c r="AP322" i="37" s="1"/>
  <c r="AP323" i="37" a="1"/>
  <c r="AP323" i="37" s="1"/>
  <c r="AP621" i="37" a="1"/>
  <c r="AP621" i="37" s="1"/>
  <c r="AP424" i="37" a="1"/>
  <c r="AP424" i="37" s="1"/>
  <c r="AP201" i="37" a="1"/>
  <c r="AP201" i="37" s="1"/>
  <c r="AP440" i="37" a="1"/>
  <c r="AP440" i="37" s="1"/>
  <c r="AP110" i="37" a="1"/>
  <c r="AP110" i="37" s="1"/>
  <c r="AP286" i="37" a="1"/>
  <c r="AP286" i="37" s="1"/>
  <c r="AP325" i="37" a="1"/>
  <c r="AP325" i="37" s="1"/>
  <c r="AP423" i="37" a="1"/>
  <c r="AP423" i="37" s="1"/>
  <c r="AP431" i="37" a="1"/>
  <c r="AP431" i="37" s="1"/>
  <c r="AP421" i="37" a="1"/>
  <c r="AP421" i="37" s="1"/>
  <c r="AP245" i="37" a="1"/>
  <c r="AP245" i="37" s="1"/>
  <c r="AP434" i="37" a="1"/>
  <c r="AP434" i="37" s="1"/>
  <c r="AP324" i="37" a="1"/>
  <c r="AP324" i="37" s="1"/>
  <c r="AP572" i="37" a="1"/>
  <c r="AP572" i="37" s="1"/>
  <c r="AP202" i="37" a="1"/>
  <c r="AP202" i="37" s="1"/>
  <c r="AP588" i="37" a="1"/>
  <c r="AP588" i="37" s="1"/>
  <c r="AP603" i="37" a="1"/>
  <c r="AP603" i="37" s="1"/>
  <c r="AP619" i="37" a="1"/>
  <c r="AP619" i="37" s="1"/>
  <c r="AP250" i="37" a="1"/>
  <c r="AP250" i="37" s="1"/>
  <c r="AP441" i="37" a="1"/>
  <c r="AP441" i="37" s="1"/>
  <c r="AP438" i="37" a="1"/>
  <c r="AP438" i="37" s="1"/>
  <c r="AP327" i="37" a="1"/>
  <c r="AP327" i="37" s="1"/>
  <c r="AP426" i="37" a="1"/>
  <c r="AP426" i="37" s="1"/>
  <c r="AP287" i="37" a="1"/>
  <c r="AP287" i="37" s="1"/>
  <c r="AP95" i="37" a="1"/>
  <c r="AP95" i="37" s="1"/>
  <c r="AP326" i="37" a="1"/>
  <c r="AP326" i="37" s="1"/>
  <c r="AP249" i="37" a="1"/>
  <c r="AP249" i="37" s="1"/>
  <c r="AP425" i="37" a="1"/>
  <c r="AP425" i="37" s="1"/>
  <c r="AP604" i="37" a="1"/>
  <c r="AP604" i="37" s="1"/>
  <c r="AP162" i="37" a="1"/>
  <c r="AP162" i="37" s="1"/>
  <c r="AP276" i="37" a="1"/>
  <c r="AP276" i="37" s="1"/>
  <c r="AP328" i="37" a="1"/>
  <c r="AP328" i="37" s="1"/>
  <c r="AP472" i="37" a="1"/>
  <c r="AP472" i="37" s="1"/>
  <c r="AP272" i="37" a="1"/>
  <c r="AP272" i="37" s="1"/>
  <c r="AP255" i="37" a="1"/>
  <c r="AP255" i="37" s="1"/>
  <c r="AP277" i="37" a="1"/>
  <c r="AP277" i="37" s="1"/>
  <c r="AP442" i="37" a="1"/>
  <c r="AP442" i="37" s="1"/>
  <c r="AP591" i="37" a="1"/>
  <c r="AP591" i="37" s="1"/>
  <c r="AP592" i="37" a="1"/>
  <c r="AP592" i="37" s="1"/>
  <c r="AP329" i="37" a="1"/>
  <c r="AP329" i="37" s="1"/>
  <c r="AP473" i="37" a="1"/>
  <c r="AP473" i="37" s="1"/>
  <c r="AP474" i="37" a="1"/>
  <c r="AP474" i="37" s="1"/>
  <c r="AP428" i="37" a="1"/>
  <c r="AP428" i="37" s="1"/>
  <c r="AP330" i="37" a="1"/>
  <c r="AP330" i="37" s="1"/>
  <c r="AP257" i="37" a="1"/>
  <c r="AP257" i="37" s="1"/>
  <c r="AP429" i="37" a="1"/>
  <c r="AP429" i="37" s="1"/>
  <c r="AP263" i="37" a="1"/>
  <c r="AP263" i="37" s="1"/>
  <c r="AP444" i="37" a="1"/>
  <c r="AP444" i="37" s="1"/>
  <c r="AP430" i="37" a="1"/>
  <c r="AP430" i="37" s="1"/>
  <c r="AP432" i="37" a="1"/>
  <c r="AP432" i="37" s="1"/>
  <c r="AP260" i="37" a="1"/>
  <c r="AP260" i="37" s="1"/>
  <c r="AP261" i="37" a="1"/>
  <c r="AP261" i="37" s="1"/>
  <c r="AP262" i="37" a="1"/>
  <c r="AP262" i="37" s="1"/>
  <c r="AP331" i="37" a="1"/>
  <c r="AP331" i="37" s="1"/>
  <c r="AP374" i="37" a="1"/>
  <c r="AP374" i="37" s="1"/>
  <c r="AP332" i="37" a="1"/>
  <c r="AP332" i="37" s="1"/>
  <c r="AP377" i="37" a="1"/>
  <c r="AP377" i="37" s="1"/>
  <c r="AP203" i="37" a="1"/>
  <c r="AP203" i="37" s="1"/>
  <c r="AP111" i="37" a="1"/>
  <c r="AP111" i="37" s="1"/>
  <c r="AP379" i="37" a="1"/>
  <c r="AP379" i="37" s="1"/>
  <c r="AP333" i="37" a="1"/>
  <c r="AP333" i="37" s="1"/>
  <c r="AP334" i="37" a="1"/>
  <c r="AP334" i="37" s="1"/>
  <c r="AP443" i="37" a="1"/>
  <c r="AP443" i="37" s="1"/>
  <c r="AP459" i="37" a="1"/>
  <c r="AP459" i="37" s="1"/>
  <c r="AP289" i="37" a="1"/>
  <c r="AP289" i="37" s="1"/>
  <c r="AP475" i="37" a="1"/>
  <c r="AP475" i="37" s="1"/>
  <c r="AP335" i="37" a="1"/>
  <c r="AP335" i="37" s="1"/>
  <c r="AP112" i="37" a="1"/>
  <c r="AP112" i="37" s="1"/>
  <c r="AP422" i="37" a="1"/>
  <c r="AP422" i="37" s="1"/>
  <c r="AP381" i="37" a="1"/>
  <c r="AP381" i="37" s="1"/>
  <c r="AP605" i="37" a="1"/>
  <c r="AP605" i="37" s="1"/>
  <c r="AP616" i="37" a="1"/>
  <c r="AP616" i="37" s="1"/>
  <c r="AP383" i="37" a="1"/>
  <c r="AP383" i="37" s="1"/>
  <c r="AP183" i="37" a="1"/>
  <c r="AP183" i="37" s="1"/>
  <c r="AP433" i="37" a="1"/>
  <c r="AP433" i="37" s="1"/>
  <c r="AP336" i="37" a="1"/>
  <c r="AP336" i="37" s="1"/>
  <c r="AP337" i="37" a="1"/>
  <c r="AP337" i="37" s="1"/>
  <c r="AP386" i="37" a="1"/>
  <c r="AP386" i="37" s="1"/>
  <c r="AP338" i="37" a="1"/>
  <c r="AP338" i="37" s="1"/>
  <c r="AP617" i="37" a="1"/>
  <c r="AP617" i="37" s="1"/>
  <c r="AP389" i="37" a="1"/>
  <c r="AP389" i="37" s="1"/>
  <c r="AP606" i="37" a="1"/>
  <c r="AP606" i="37" s="1"/>
  <c r="AP204" i="37" a="1"/>
  <c r="AP204" i="37" s="1"/>
  <c r="AP291" i="37" a="1"/>
  <c r="AP291" i="37" s="1"/>
  <c r="AP390" i="37" a="1"/>
  <c r="AP390" i="37" s="1"/>
  <c r="AP394" i="37" a="1"/>
  <c r="AP394" i="37" s="1"/>
  <c r="AP398" i="37" a="1"/>
  <c r="AP398" i="37" s="1"/>
  <c r="AP400" i="37" a="1"/>
  <c r="AP400" i="37" s="1"/>
  <c r="AP476" i="37" a="1"/>
  <c r="AP476" i="37" s="1"/>
  <c r="AP399" i="37" a="1"/>
  <c r="AP399" i="37" s="1"/>
  <c r="AP403" i="37" a="1"/>
  <c r="AP403" i="37" s="1"/>
  <c r="AP477" i="37" a="1"/>
  <c r="AP477" i="37" s="1"/>
  <c r="AP408" i="37" a="1"/>
  <c r="AP408" i="37" s="1"/>
  <c r="AP439" i="37" a="1"/>
  <c r="AP439" i="37" s="1"/>
  <c r="AP573" i="37" a="1"/>
  <c r="AP573" i="37" s="1"/>
  <c r="AP413" i="37" a="1"/>
  <c r="AP413" i="37" s="1"/>
  <c r="AP607" i="37" a="1"/>
  <c r="AP607" i="37" s="1"/>
  <c r="AP412" i="37" a="1"/>
  <c r="AP412" i="37" s="1"/>
  <c r="AP113" i="37" a="1"/>
  <c r="AP113" i="37" s="1"/>
  <c r="AP414" i="37" a="1"/>
  <c r="AP414" i="37" s="1"/>
  <c r="AP411" i="37" a="1"/>
  <c r="AP411" i="37" s="1"/>
  <c r="AP138" i="37" a="1"/>
  <c r="AP138" i="37" s="1"/>
  <c r="AP139" i="37" a="1"/>
  <c r="AP139" i="37" s="1"/>
  <c r="AP339" i="37" a="1"/>
  <c r="AP339" i="37" s="1"/>
  <c r="AP478" i="37" a="1"/>
  <c r="AP478" i="37" s="1"/>
  <c r="AP141" i="37" a="1"/>
  <c r="AP141" i="37" s="1"/>
  <c r="AP479" i="37" a="1"/>
  <c r="AP479" i="37" s="1"/>
  <c r="AP340" i="37" a="1"/>
  <c r="AP340" i="37" s="1"/>
  <c r="AP144" i="37" a="1"/>
  <c r="AP144" i="37" s="1"/>
  <c r="AP567" i="37" a="1"/>
  <c r="AP567" i="37" s="1"/>
  <c r="AP586" i="37" a="1"/>
  <c r="AP586" i="37" s="1"/>
  <c r="AP587" i="37" a="1"/>
  <c r="AP587" i="37" s="1"/>
  <c r="AP589" i="37" a="1"/>
  <c r="AP589" i="37" s="1"/>
  <c r="AP625" i="37" a="1"/>
  <c r="AP625" i="37" s="1"/>
  <c r="AP480" i="37" a="1"/>
  <c r="AP480" i="37" s="1"/>
  <c r="AP342" i="37" a="1"/>
  <c r="AP342" i="37" s="1"/>
  <c r="AP253" i="37" a="1"/>
  <c r="AP253" i="37" s="1"/>
  <c r="AP341" i="37" a="1"/>
  <c r="AP341" i="37" s="1"/>
  <c r="AP252" i="37" a="1"/>
  <c r="AP252" i="37" s="1"/>
  <c r="AP482" i="37" a="1"/>
  <c r="AP482" i="37" s="1"/>
  <c r="AP481" i="37" a="1"/>
  <c r="AP481" i="37" s="1"/>
  <c r="AP343" i="37" a="1"/>
  <c r="AP343" i="37" s="1"/>
  <c r="AP251" i="37" a="1"/>
  <c r="AP251" i="37" s="1"/>
  <c r="AP256" i="37" a="1"/>
  <c r="AP256" i="37" s="1"/>
  <c r="AP264" i="37" a="1"/>
  <c r="AP264" i="37" s="1"/>
  <c r="AP593" i="37" a="1"/>
  <c r="AP593" i="37" s="1"/>
  <c r="AP345" i="37" a="1"/>
  <c r="AP345" i="37" s="1"/>
  <c r="AP484" i="37" a="1"/>
  <c r="AP484" i="37" s="1"/>
  <c r="AP483" i="37" a="1"/>
  <c r="AP483" i="37" s="1"/>
  <c r="AP344" i="37" a="1"/>
  <c r="AP344" i="37" s="1"/>
  <c r="AP458" i="37" a="1"/>
  <c r="AP458" i="37" s="1"/>
  <c r="AP486" i="37" a="1"/>
  <c r="AP486" i="37" s="1"/>
  <c r="AP485" i="37" a="1"/>
  <c r="AP485" i="37" s="1"/>
  <c r="AP626" i="37" a="1"/>
  <c r="AP626" i="37" s="1"/>
  <c r="AP346" i="37" a="1"/>
  <c r="AP346" i="37" s="1"/>
  <c r="AP628" i="37" a="1"/>
  <c r="AP628" i="37" s="1"/>
  <c r="AP380" i="37" a="1"/>
  <c r="AP380" i="37" s="1"/>
  <c r="AP382" i="37" a="1"/>
  <c r="AP382" i="37" s="1"/>
  <c r="AP627" i="37" a="1"/>
  <c r="AP627" i="37" s="1"/>
  <c r="AP384" i="37" a="1"/>
  <c r="AP384" i="37" s="1"/>
  <c r="AP387" i="37" a="1"/>
  <c r="AP387" i="37" s="1"/>
  <c r="AP391" i="37" a="1"/>
  <c r="AP391" i="37" s="1"/>
  <c r="AP392" i="37" a="1"/>
  <c r="AP392" i="37" s="1"/>
  <c r="AP393" i="37" a="1"/>
  <c r="AP393" i="37" s="1"/>
  <c r="AP397" i="37" a="1"/>
  <c r="AP397" i="37" s="1"/>
  <c r="AP396" i="37" a="1"/>
  <c r="AP396" i="37" s="1"/>
  <c r="AP401" i="37" a="1"/>
  <c r="AP401" i="37" s="1"/>
  <c r="AP405" i="37" a="1"/>
  <c r="AP405" i="37" s="1"/>
  <c r="AP404" i="37" a="1"/>
  <c r="AP404" i="37" s="1"/>
  <c r="AP406" i="37" a="1"/>
  <c r="AP406" i="37" s="1"/>
  <c r="AP487" i="37" a="1"/>
  <c r="AP487" i="37" s="1"/>
  <c r="AP506" i="37" a="1"/>
  <c r="AP506" i="37" s="1"/>
  <c r="AP620" i="37" a="1"/>
  <c r="AP620" i="37" s="1"/>
  <c r="AP466" i="37" a="1"/>
  <c r="AP466" i="37" s="1"/>
  <c r="AP550" i="37" a="1"/>
  <c r="AP550" i="37" s="1"/>
  <c r="AP498" i="37" a="1"/>
  <c r="AP498" i="37" s="1"/>
  <c r="AP521" i="37" a="1"/>
  <c r="AP521" i="37" s="1"/>
  <c r="AP445" i="37" a="1"/>
  <c r="AP445" i="37" s="1"/>
  <c r="AP184" i="37" a="1"/>
  <c r="AP184" i="37" s="1"/>
  <c r="AP348" i="37" a="1"/>
  <c r="AP348" i="37" s="1"/>
  <c r="AP357" i="37" a="1"/>
  <c r="AP357" i="37" s="1"/>
  <c r="AP640" i="37" a="1"/>
  <c r="AP640" i="37" s="1"/>
  <c r="AP469" i="37" a="1"/>
  <c r="AP469" i="37" s="1"/>
  <c r="AP510" i="37" a="1"/>
  <c r="AP510" i="37" s="1"/>
  <c r="AP511" i="37" a="1"/>
  <c r="AP511" i="37" s="1"/>
  <c r="AP528" i="37" a="1"/>
  <c r="AP528" i="37" s="1"/>
  <c r="AP347" i="37" a="1"/>
  <c r="AP347" i="37" s="1"/>
  <c r="AP436" i="37" a="1"/>
  <c r="AP436" i="37" s="1"/>
  <c r="AP517" i="37" a="1"/>
  <c r="AP517" i="37" s="1"/>
  <c r="AP493" i="37" a="1"/>
  <c r="AP493" i="37" s="1"/>
  <c r="AP467" i="37" a="1"/>
  <c r="AP467" i="37" s="1"/>
  <c r="AP293" i="37" a="1"/>
  <c r="AP293" i="37" s="1"/>
  <c r="AP452" i="37" a="1"/>
  <c r="AP452" i="37" s="1"/>
  <c r="AP358" i="37" a="1"/>
  <c r="AP358" i="37" s="1"/>
  <c r="AP455" i="37" a="1"/>
  <c r="AP455" i="37" s="1"/>
  <c r="AP522" i="37" a="1"/>
  <c r="AP522" i="37" s="1"/>
  <c r="AP351" i="37" a="1"/>
  <c r="AP351" i="37" s="1"/>
  <c r="AP610" i="37" a="1"/>
  <c r="AP610" i="37" s="1"/>
  <c r="AP463" i="37" a="1"/>
  <c r="AP463" i="37" s="1"/>
  <c r="AP490" i="37" a="1"/>
  <c r="AP490" i="37" s="1"/>
  <c r="AP500" i="37" a="1"/>
  <c r="AP500" i="37" s="1"/>
  <c r="AP499" i="37" a="1"/>
  <c r="AP499" i="37" s="1"/>
  <c r="AP523" i="37" a="1"/>
  <c r="AP523" i="37" s="1"/>
  <c r="AP470" i="37" a="1"/>
  <c r="AP470" i="37" s="1"/>
  <c r="AP273" i="37" a="1"/>
  <c r="AP273" i="37" s="1"/>
  <c r="AP489" i="37" a="1"/>
  <c r="AP489" i="37" s="1"/>
  <c r="AP488" i="37" a="1"/>
  <c r="AP488" i="37" s="1"/>
  <c r="AP288" i="37" a="1"/>
  <c r="AP288" i="37" s="1"/>
  <c r="AP292" i="37" a="1"/>
  <c r="AP292" i="37" s="1"/>
  <c r="AP491" i="37" a="1"/>
  <c r="AP491" i="37" s="1"/>
  <c r="AP448" i="37" a="1"/>
  <c r="AP448" i="37" s="1"/>
  <c r="AP494" i="37" a="1"/>
  <c r="AP494" i="37" s="1"/>
  <c r="AP451" i="37" a="1"/>
  <c r="AP451" i="37" s="1"/>
  <c r="AP512" i="37" a="1"/>
  <c r="AP512" i="37" s="1"/>
  <c r="AP525" i="37" a="1"/>
  <c r="AP525" i="37" s="1"/>
  <c r="AP527" i="37" a="1"/>
  <c r="AP527" i="37" s="1"/>
  <c r="AP524" i="37" a="1"/>
  <c r="AP524" i="37" s="1"/>
  <c r="AP639" i="37" a="1"/>
  <c r="AP639" i="37" s="1"/>
  <c r="AP356" i="37" a="1"/>
  <c r="AP356" i="37" s="1"/>
  <c r="AP453" i="37" a="1"/>
  <c r="AP453" i="37" s="1"/>
  <c r="AP460" i="37" a="1"/>
  <c r="AP460" i="37" s="1"/>
  <c r="AP290" i="37" a="1"/>
  <c r="AP290" i="37" s="1"/>
  <c r="AP611" i="37" a="1"/>
  <c r="AP611" i="37" s="1"/>
  <c r="AP492" i="37" a="1"/>
  <c r="AP492" i="37" s="1"/>
  <c r="AP495" i="37" a="1"/>
  <c r="AP495" i="37" s="1"/>
  <c r="AP294" i="37" a="1"/>
  <c r="AP294" i="37" s="1"/>
  <c r="AP496" i="37" a="1"/>
  <c r="AP496" i="37" s="1"/>
  <c r="AP497" i="37" a="1"/>
  <c r="AP497" i="37" s="1"/>
  <c r="AP502" i="37" a="1"/>
  <c r="AP502" i="37" s="1"/>
  <c r="AP446" i="37" a="1"/>
  <c r="AP446" i="37" s="1"/>
  <c r="AP503" i="37" a="1"/>
  <c r="AP503" i="37" s="1"/>
  <c r="AP449" i="37" a="1"/>
  <c r="AP449" i="37" s="1"/>
  <c r="AP631" i="37" a="1"/>
  <c r="AP631" i="37" s="1"/>
  <c r="AP504" i="37" a="1"/>
  <c r="AP504" i="37" s="1"/>
  <c r="AP630" i="37" a="1"/>
  <c r="AP630" i="37" s="1"/>
  <c r="AP629" i="37" a="1"/>
  <c r="AP629" i="37" s="1"/>
  <c r="AP623" i="37" a="1"/>
  <c r="AP623" i="37" s="1"/>
  <c r="AP501" i="37" a="1"/>
  <c r="AP501" i="37" s="1"/>
  <c r="AP505" i="37" a="1"/>
  <c r="AP505" i="37" s="1"/>
  <c r="AP508" i="37" a="1"/>
  <c r="AP508" i="37" s="1"/>
  <c r="AP509" i="37" a="1"/>
  <c r="AP509" i="37" s="1"/>
  <c r="AP513" i="37" a="1"/>
  <c r="AP513" i="37" s="1"/>
  <c r="AP632" i="37" a="1"/>
  <c r="AP632" i="37" s="1"/>
  <c r="AP514" i="37" a="1"/>
  <c r="AP514" i="37" s="1"/>
  <c r="AP515" i="37" a="1"/>
  <c r="AP515" i="37" s="1"/>
  <c r="AP519" i="37" a="1"/>
  <c r="AP519" i="37" s="1"/>
  <c r="AP518" i="37" a="1"/>
  <c r="AP518" i="37" s="1"/>
  <c r="AP520" i="37" a="1"/>
  <c r="AP520" i="37" s="1"/>
  <c r="AP114" i="37" a="1"/>
  <c r="AP114" i="37" s="1"/>
  <c r="AP205" i="37" a="1"/>
  <c r="AP205" i="37" s="1"/>
  <c r="AP349" i="37" a="1"/>
  <c r="AP349" i="37" s="1"/>
  <c r="AP350" i="37" a="1"/>
  <c r="AP350" i="37" s="1"/>
  <c r="AP608" i="37" a="1"/>
  <c r="AP608" i="37" s="1"/>
  <c r="AP609" i="37" a="1"/>
  <c r="AP609" i="37" s="1"/>
  <c r="AP352" i="37" a="1"/>
  <c r="AP352" i="37" s="1"/>
  <c r="AP355" i="37" a="1"/>
  <c r="AP355" i="37" s="1"/>
  <c r="AP353" i="37" a="1"/>
  <c r="AP353" i="37" s="1"/>
  <c r="AP468" i="37" a="1"/>
  <c r="AP468" i="37" s="1"/>
  <c r="AP354" i="37" a="1"/>
  <c r="AP354" i="37" s="1"/>
  <c r="AP295" i="37" a="1"/>
  <c r="AP295" i="37" s="1"/>
  <c r="AP447" i="37" a="1"/>
  <c r="AP447" i="37" s="1"/>
  <c r="AP450" i="37" a="1"/>
  <c r="AP450" i="37" s="1"/>
  <c r="AP454" i="37" a="1"/>
  <c r="AP454" i="37" s="1"/>
  <c r="AP359" i="37" a="1"/>
  <c r="AP359" i="37" s="1"/>
  <c r="AP456" i="37" a="1"/>
  <c r="AP456" i="37" s="1"/>
  <c r="AP457" i="37" a="1"/>
  <c r="AP457" i="37" s="1"/>
  <c r="AP360" i="37" a="1"/>
  <c r="AP360" i="37" s="1"/>
  <c r="AP462" i="37" a="1"/>
  <c r="AP462" i="37" s="1"/>
  <c r="AP461" i="37" a="1"/>
  <c r="AP461" i="37" s="1"/>
  <c r="AP633" i="37" a="1"/>
  <c r="AP633" i="37" s="1"/>
  <c r="AP464" i="37" a="1"/>
  <c r="AP464" i="37" s="1"/>
  <c r="AP624" i="37" a="1"/>
  <c r="AP624" i="37" s="1"/>
  <c r="AP465" i="37" a="1"/>
  <c r="AP465" i="37" s="1"/>
  <c r="AP516" i="37" a="1"/>
  <c r="AP516" i="37" s="1"/>
  <c r="AP634" i="37" a="1"/>
  <c r="AP634" i="37" s="1"/>
  <c r="AP635" i="37" a="1"/>
  <c r="AP635" i="37" s="1"/>
  <c r="AP638" i="37" a="1"/>
  <c r="AP638" i="37" s="1"/>
  <c r="AP637" i="37" a="1"/>
  <c r="AP637" i="37" s="1"/>
  <c r="AP636" i="37" a="1"/>
  <c r="AP636" i="37" s="1"/>
  <c r="AP529" i="37" a="1"/>
  <c r="AP529" i="37" s="1"/>
  <c r="AP530" i="37" a="1"/>
  <c r="AP530" i="37" s="1"/>
  <c r="AP531" i="37" a="1"/>
  <c r="AP531" i="37" s="1"/>
  <c r="AP532" i="37" a="1"/>
  <c r="AP532" i="37" s="1"/>
  <c r="AO2" i="37" a="1"/>
  <c r="AO2" i="37" s="1"/>
  <c r="AO3" i="37" a="1"/>
  <c r="AO3" i="37" s="1"/>
  <c r="AO10" i="37" a="1"/>
  <c r="AO10" i="37" s="1"/>
  <c r="AO534" i="37" a="1"/>
  <c r="AO534" i="37" s="1"/>
  <c r="AO533" i="37" a="1"/>
  <c r="AO533" i="37" s="1"/>
  <c r="AO6" i="37" a="1"/>
  <c r="AO6" i="37" s="1"/>
  <c r="AO5" i="37" a="1"/>
  <c r="AO5" i="37" s="1"/>
  <c r="AO11" i="37" a="1"/>
  <c r="AO11" i="37" s="1"/>
  <c r="AO4" i="37" a="1"/>
  <c r="AO4" i="37" s="1"/>
  <c r="AO23" i="37" a="1"/>
  <c r="AO23" i="37" s="1"/>
  <c r="AO7" i="37" a="1"/>
  <c r="AO7" i="37" s="1"/>
  <c r="AO13" i="37" a="1"/>
  <c r="AO13" i="37" s="1"/>
  <c r="AO24" i="37" a="1"/>
  <c r="AO24" i="37" s="1"/>
  <c r="AO36" i="37" a="1"/>
  <c r="AO36" i="37" s="1"/>
  <c r="AO25" i="37" a="1"/>
  <c r="AO25" i="37" s="1"/>
  <c r="AO37" i="37" a="1"/>
  <c r="AO37" i="37" s="1"/>
  <c r="AO20" i="37" a="1"/>
  <c r="AO20" i="37" s="1"/>
  <c r="AO14" i="37" a="1"/>
  <c r="AO14" i="37" s="1"/>
  <c r="AO15" i="37" a="1"/>
  <c r="AO15" i="37" s="1"/>
  <c r="AO19" i="37" a="1"/>
  <c r="AO19" i="37" s="1"/>
  <c r="AO22" i="37" a="1"/>
  <c r="AO22" i="37" s="1"/>
  <c r="AO26" i="37" a="1"/>
  <c r="AO26" i="37" s="1"/>
  <c r="AO537" i="37" a="1"/>
  <c r="AO537" i="37" s="1"/>
  <c r="AO27" i="37" a="1"/>
  <c r="AO27" i="37" s="1"/>
  <c r="AO21" i="37" a="1"/>
  <c r="AO21" i="37" s="1"/>
  <c r="AO38" i="37" a="1"/>
  <c r="AO38" i="37" s="1"/>
  <c r="AO538" i="37" a="1"/>
  <c r="AO538" i="37" s="1"/>
  <c r="AO28" i="37" a="1"/>
  <c r="AO28" i="37" s="1"/>
  <c r="AO16" i="37" a="1"/>
  <c r="AO16" i="37" s="1"/>
  <c r="AO39" i="37" a="1"/>
  <c r="AO39" i="37" s="1"/>
  <c r="AO40" i="37" a="1"/>
  <c r="AO40" i="37" s="1"/>
  <c r="AO29" i="37" a="1"/>
  <c r="AO29" i="37" s="1"/>
  <c r="AO41" i="37" a="1"/>
  <c r="AO41" i="37" s="1"/>
  <c r="AO33" i="37" a="1"/>
  <c r="AO33" i="37" s="1"/>
  <c r="AO42" i="37" a="1"/>
  <c r="AO42" i="37" s="1"/>
  <c r="AO539" i="37" a="1"/>
  <c r="AO539" i="37" s="1"/>
  <c r="AO85" i="37" a="1"/>
  <c r="AO85" i="37" s="1"/>
  <c r="AO43" i="37" a="1"/>
  <c r="AO43" i="37" s="1"/>
  <c r="AO44" i="37" a="1"/>
  <c r="AO44" i="37" s="1"/>
  <c r="AO535" i="37" a="1"/>
  <c r="AO535" i="37" s="1"/>
  <c r="AO45" i="37" a="1"/>
  <c r="AO45" i="37" s="1"/>
  <c r="AO17" i="37" a="1"/>
  <c r="AO17" i="37" s="1"/>
  <c r="AO70" i="37" a="1"/>
  <c r="AO70" i="37" s="1"/>
  <c r="AO30" i="37" a="1"/>
  <c r="AO30" i="37" s="1"/>
  <c r="AO18" i="37" a="1"/>
  <c r="AO18" i="37" s="1"/>
  <c r="AO62" i="37" a="1"/>
  <c r="AO62" i="37" s="1"/>
  <c r="AO57" i="37" a="1"/>
  <c r="AO57" i="37" s="1"/>
  <c r="AO46" i="37" a="1"/>
  <c r="AO46" i="37" s="1"/>
  <c r="AO61" i="37" a="1"/>
  <c r="AO61" i="37" s="1"/>
  <c r="AO71" i="37" a="1"/>
  <c r="AO71" i="37" s="1"/>
  <c r="AO31" i="37" a="1"/>
  <c r="AO31" i="37" s="1"/>
  <c r="AO541" i="37" a="1"/>
  <c r="AO541" i="37" s="1"/>
  <c r="AO56" i="37" a="1"/>
  <c r="AO56" i="37" s="1"/>
  <c r="AO536" i="37" a="1"/>
  <c r="AO536" i="37" s="1"/>
  <c r="AO47" i="37" a="1"/>
  <c r="AO47" i="37" s="1"/>
  <c r="AO86" i="37" a="1"/>
  <c r="AO86" i="37" s="1"/>
  <c r="AO72" i="37" a="1"/>
  <c r="AO72" i="37" s="1"/>
  <c r="AO48" i="37" a="1"/>
  <c r="AO48" i="37" s="1"/>
  <c r="AO547" i="37" a="1"/>
  <c r="AO547" i="37" s="1"/>
  <c r="AO115" i="37" a="1"/>
  <c r="AO115" i="37" s="1"/>
  <c r="AO562" i="37" a="1"/>
  <c r="AO562" i="37" s="1"/>
  <c r="AO58" i="37" a="1"/>
  <c r="AO58" i="37" s="1"/>
  <c r="AO63" i="37" a="1"/>
  <c r="AO63" i="37" s="1"/>
  <c r="AO34" i="37" a="1"/>
  <c r="AO34" i="37" s="1"/>
  <c r="AO540" i="37" a="1"/>
  <c r="AO540" i="37" s="1"/>
  <c r="AO116" i="37" a="1"/>
  <c r="AO116" i="37" s="1"/>
  <c r="AO12" i="37" a="1"/>
  <c r="AO12" i="37" s="1"/>
  <c r="AO32" i="37" a="1"/>
  <c r="AO32" i="37" s="1"/>
  <c r="AO73" i="37" a="1"/>
  <c r="AO73" i="37" s="1"/>
  <c r="AO74" i="37" a="1"/>
  <c r="AO74" i="37" s="1"/>
  <c r="AO542" i="37" a="1"/>
  <c r="AO542" i="37" s="1"/>
  <c r="AO75" i="37" a="1"/>
  <c r="AO75" i="37" s="1"/>
  <c r="AO543" i="37" a="1"/>
  <c r="AO543" i="37" s="1"/>
  <c r="AO117" i="37" a="1"/>
  <c r="AO117" i="37" s="1"/>
  <c r="AO546" i="37" a="1"/>
  <c r="AO546" i="37" s="1"/>
  <c r="AO99" i="37" a="1"/>
  <c r="AO99" i="37" s="1"/>
  <c r="AO67" i="37" a="1"/>
  <c r="AO67" i="37" s="1"/>
  <c r="AO100" i="37" a="1"/>
  <c r="AO100" i="37" s="1"/>
  <c r="AO68" i="37" a="1"/>
  <c r="AO68" i="37" s="1"/>
  <c r="AO64" i="37" a="1"/>
  <c r="AO64" i="37" s="1"/>
  <c r="AO101" i="37" a="1"/>
  <c r="AO101" i="37" s="1"/>
  <c r="AO65" i="37" a="1"/>
  <c r="AO65" i="37" s="1"/>
  <c r="AO92" i="37" a="1"/>
  <c r="AO92" i="37" s="1"/>
  <c r="AO49" i="37" a="1"/>
  <c r="AO49" i="37" s="1"/>
  <c r="AO185" i="37" a="1"/>
  <c r="AO185" i="37" s="1"/>
  <c r="AO163" i="37" a="1"/>
  <c r="AO163" i="37" s="1"/>
  <c r="AO76" i="37" a="1"/>
  <c r="AO76" i="37" s="1"/>
  <c r="AO87" i="37" a="1"/>
  <c r="AO87" i="37" s="1"/>
  <c r="AO82" i="37" a="1"/>
  <c r="AO82" i="37" s="1"/>
  <c r="AO88" i="37" a="1"/>
  <c r="AO88" i="37" s="1"/>
  <c r="AO554" i="37" a="1"/>
  <c r="AO554" i="37" s="1"/>
  <c r="AO93" i="37" a="1"/>
  <c r="AO93" i="37" s="1"/>
  <c r="AO118" i="37" a="1"/>
  <c r="AO118" i="37" s="1"/>
  <c r="AO83" i="37" a="1"/>
  <c r="AO83" i="37" s="1"/>
  <c r="AO164" i="37" a="1"/>
  <c r="AO164" i="37" s="1"/>
  <c r="AO119" i="37" a="1"/>
  <c r="AO119" i="37" s="1"/>
  <c r="AO549" i="37" a="1"/>
  <c r="AO549" i="37" s="1"/>
  <c r="AO50" i="37" a="1"/>
  <c r="AO50" i="37" s="1"/>
  <c r="AO120" i="37" a="1"/>
  <c r="AO120" i="37" s="1"/>
  <c r="AO121" i="37" a="1"/>
  <c r="AO121" i="37" s="1"/>
  <c r="AO84" i="37" a="1"/>
  <c r="AO84" i="37" s="1"/>
  <c r="AO165" i="37" a="1"/>
  <c r="AO165" i="37" s="1"/>
  <c r="AO206" i="37" a="1"/>
  <c r="AO206" i="37" s="1"/>
  <c r="AO89" i="37" a="1"/>
  <c r="AO89" i="37" s="1"/>
  <c r="AO574" i="37" a="1"/>
  <c r="AO574" i="37" s="1"/>
  <c r="AO166" i="37" a="1"/>
  <c r="AO166" i="37" s="1"/>
  <c r="AO167" i="37" a="1"/>
  <c r="AO167" i="37" s="1"/>
  <c r="AO77" i="37" a="1"/>
  <c r="AO77" i="37" s="1"/>
  <c r="AO123" i="37" a="1"/>
  <c r="AO123" i="37" s="1"/>
  <c r="AO122" i="37" a="1"/>
  <c r="AO122" i="37" s="1"/>
  <c r="AO575" i="37" a="1"/>
  <c r="AO575" i="37" s="1"/>
  <c r="AO96" i="37" a="1"/>
  <c r="AO96" i="37" s="1"/>
  <c r="AO186" i="37" a="1"/>
  <c r="AO186" i="37" s="1"/>
  <c r="AO176" i="37" a="1"/>
  <c r="AO176" i="37" s="1"/>
  <c r="AO151" i="37" a="1"/>
  <c r="AO151" i="37" s="1"/>
  <c r="AO97" i="37" a="1"/>
  <c r="AO97" i="37" s="1"/>
  <c r="AO274" i="37" a="1"/>
  <c r="AO274" i="37" s="1"/>
  <c r="AO545" i="37" a="1"/>
  <c r="AO545" i="37" s="1"/>
  <c r="AO187" i="37" a="1"/>
  <c r="AO187" i="37" s="1"/>
  <c r="AO207" i="37" a="1"/>
  <c r="AO207" i="37" s="1"/>
  <c r="AO9" i="37" a="1"/>
  <c r="AO9" i="37" s="1"/>
  <c r="AO570" i="37" a="1"/>
  <c r="AO570" i="37" s="1"/>
  <c r="AO296" i="37" a="1"/>
  <c r="AO296" i="37" s="1"/>
  <c r="AO102" i="37" a="1"/>
  <c r="AO102" i="37" s="1"/>
  <c r="AO66" i="37" a="1"/>
  <c r="AO66" i="37" s="1"/>
  <c r="AO177" i="37" a="1"/>
  <c r="AO177" i="37" s="1"/>
  <c r="AO297" i="37" a="1"/>
  <c r="AO297" i="37" s="1"/>
  <c r="AO576" i="37" a="1"/>
  <c r="AO576" i="37" s="1"/>
  <c r="AO156" i="37" a="1"/>
  <c r="AO156" i="37" s="1"/>
  <c r="AO188" i="37" a="1"/>
  <c r="AO188" i="37" s="1"/>
  <c r="AO189" i="37" a="1"/>
  <c r="AO189" i="37" s="1"/>
  <c r="AO103" i="37" a="1"/>
  <c r="AO103" i="37" s="1"/>
  <c r="AO190" i="37" a="1"/>
  <c r="AO190" i="37" s="1"/>
  <c r="AO152" i="37" a="1"/>
  <c r="AO152" i="37" s="1"/>
  <c r="AO208" i="37" a="1"/>
  <c r="AO208" i="37" s="1"/>
  <c r="AO209" i="37" a="1"/>
  <c r="AO209" i="37" s="1"/>
  <c r="AO210" i="37" a="1"/>
  <c r="AO210" i="37" s="1"/>
  <c r="AO596" i="37" a="1"/>
  <c r="AO596" i="37" s="1"/>
  <c r="AO168" i="37" a="1"/>
  <c r="AO168" i="37" s="1"/>
  <c r="AO568" i="37" a="1"/>
  <c r="AO568" i="37" s="1"/>
  <c r="AO124" i="37" a="1"/>
  <c r="AO124" i="37" s="1"/>
  <c r="AO571" i="37" a="1"/>
  <c r="AO571" i="37" s="1"/>
  <c r="AO175" i="37" a="1"/>
  <c r="AO175" i="37" s="1"/>
  <c r="AO211" i="37" a="1"/>
  <c r="AO211" i="37" s="1"/>
  <c r="AO104" i="37" a="1"/>
  <c r="AO104" i="37" s="1"/>
  <c r="AO125" i="37" a="1"/>
  <c r="AO125" i="37" s="1"/>
  <c r="AO105" i="37" a="1"/>
  <c r="AO105" i="37" s="1"/>
  <c r="AO126" i="37" a="1"/>
  <c r="AO126" i="37" s="1"/>
  <c r="AO548" i="37" a="1"/>
  <c r="AO548" i="37" s="1"/>
  <c r="AO191" i="37" a="1"/>
  <c r="AO191" i="37" s="1"/>
  <c r="AO563" i="37" a="1"/>
  <c r="AO563" i="37" s="1"/>
  <c r="AO213" i="37" a="1"/>
  <c r="AO213" i="37" s="1"/>
  <c r="AO298" i="37" a="1"/>
  <c r="AO298" i="37" s="1"/>
  <c r="AO106" i="37" a="1"/>
  <c r="AO106" i="37" s="1"/>
  <c r="AO212" i="37" a="1"/>
  <c r="AO212" i="37" s="1"/>
  <c r="AO564" i="37" a="1"/>
  <c r="AO564" i="37" s="1"/>
  <c r="AO577" i="37" a="1"/>
  <c r="AO577" i="37" s="1"/>
  <c r="AO107" i="37" a="1"/>
  <c r="AO107" i="37" s="1"/>
  <c r="AO157" i="37" a="1"/>
  <c r="AO157" i="37" s="1"/>
  <c r="AO214" i="37" a="1"/>
  <c r="AO214" i="37" s="1"/>
  <c r="AO158" i="37" a="1"/>
  <c r="AO158" i="37" s="1"/>
  <c r="AO578" i="37" a="1"/>
  <c r="AO578" i="37" s="1"/>
  <c r="AO215" i="37" a="1"/>
  <c r="AO215" i="37" s="1"/>
  <c r="AO155" i="37" a="1"/>
  <c r="AO155" i="37" s="1"/>
  <c r="AO216" i="37" a="1"/>
  <c r="AO216" i="37" s="1"/>
  <c r="AO217" i="37" a="1"/>
  <c r="AO217" i="37" s="1"/>
  <c r="AO127" i="37" a="1"/>
  <c r="AO127" i="37" s="1"/>
  <c r="AO90" i="37" a="1"/>
  <c r="AO90" i="37" s="1"/>
  <c r="AO153" i="37" a="1"/>
  <c r="AO153" i="37" s="1"/>
  <c r="AO128" i="37" a="1"/>
  <c r="AO128" i="37" s="1"/>
  <c r="AO299" i="37" a="1"/>
  <c r="AO299" i="37" s="1"/>
  <c r="AO192" i="37" a="1"/>
  <c r="AO192" i="37" s="1"/>
  <c r="AO129" i="37" a="1"/>
  <c r="AO129" i="37" s="1"/>
  <c r="AO565" i="37" a="1"/>
  <c r="AO565" i="37" s="1"/>
  <c r="AO130" i="37" a="1"/>
  <c r="AO130" i="37" s="1"/>
  <c r="AO218" i="37" a="1"/>
  <c r="AO218" i="37" s="1"/>
  <c r="AO131" i="37" a="1"/>
  <c r="AO131" i="37" s="1"/>
  <c r="AO154" i="37" a="1"/>
  <c r="AO154" i="37" s="1"/>
  <c r="AO555" i="37" a="1"/>
  <c r="AO555" i="37" s="1"/>
  <c r="AO579" i="37" a="1"/>
  <c r="AO579" i="37" s="1"/>
  <c r="AO132" i="37" a="1"/>
  <c r="AO132" i="37" s="1"/>
  <c r="AO580" i="37" a="1"/>
  <c r="AO580" i="37" s="1"/>
  <c r="AO219" i="37" a="1"/>
  <c r="AO219" i="37" s="1"/>
  <c r="AO133" i="37" a="1"/>
  <c r="AO133" i="37" s="1"/>
  <c r="AO134" i="37" a="1"/>
  <c r="AO134" i="37" s="1"/>
  <c r="AO599" i="37" a="1"/>
  <c r="AO599" i="37" s="1"/>
  <c r="AO220" i="37" a="1"/>
  <c r="AO220" i="37" s="1"/>
  <c r="AO221" i="37" a="1"/>
  <c r="AO221" i="37" s="1"/>
  <c r="AO59" i="37" a="1"/>
  <c r="AO59" i="37" s="1"/>
  <c r="AO222" i="37" a="1"/>
  <c r="AO222" i="37" s="1"/>
  <c r="AO223" i="37" a="1"/>
  <c r="AO223" i="37" s="1"/>
  <c r="AO275" i="37" a="1"/>
  <c r="AO275" i="37" s="1"/>
  <c r="AO51" i="37" a="1"/>
  <c r="AO51" i="37" s="1"/>
  <c r="AO224" i="37" a="1"/>
  <c r="AO224" i="37" s="1"/>
  <c r="AO78" i="37" a="1"/>
  <c r="AO78" i="37" s="1"/>
  <c r="AO225" i="37" a="1"/>
  <c r="AO225" i="37" s="1"/>
  <c r="AO35" i="37" a="1"/>
  <c r="AO35" i="37" s="1"/>
  <c r="AO226" i="37" a="1"/>
  <c r="AO226" i="37" s="1"/>
  <c r="AO169" i="37" a="1"/>
  <c r="AO169" i="37" s="1"/>
  <c r="AO170" i="37" a="1"/>
  <c r="AO170" i="37" s="1"/>
  <c r="AO557" i="37" a="1"/>
  <c r="AO557" i="37" s="1"/>
  <c r="AO361" i="37" a="1"/>
  <c r="AO361" i="37" s="1"/>
  <c r="AO558" i="37" a="1"/>
  <c r="AO558" i="37" s="1"/>
  <c r="AO227" i="37" a="1"/>
  <c r="AO227" i="37" s="1"/>
  <c r="AO556" i="37" a="1"/>
  <c r="AO556" i="37" s="1"/>
  <c r="AO228" i="37" a="1"/>
  <c r="AO228" i="37" s="1"/>
  <c r="AO171" i="37" a="1"/>
  <c r="AO171" i="37" s="1"/>
  <c r="AO178" i="37" a="1"/>
  <c r="AO178" i="37" s="1"/>
  <c r="AO595" i="37" a="1"/>
  <c r="AO595" i="37" s="1"/>
  <c r="AO193" i="37" a="1"/>
  <c r="AO193" i="37" s="1"/>
  <c r="AO69" i="37" a="1"/>
  <c r="AO69" i="37" s="1"/>
  <c r="AO179" i="37" a="1"/>
  <c r="AO179" i="37" s="1"/>
  <c r="AO135" i="37" a="1"/>
  <c r="AO135" i="37" s="1"/>
  <c r="AO108" i="37" a="1"/>
  <c r="AO108" i="37" s="1"/>
  <c r="AO300" i="37" a="1"/>
  <c r="AO300" i="37" s="1"/>
  <c r="AO98" i="37" a="1"/>
  <c r="AO98" i="37" s="1"/>
  <c r="AO159" i="37" a="1"/>
  <c r="AO159" i="37" s="1"/>
  <c r="AO597" i="37" a="1"/>
  <c r="AO597" i="37" s="1"/>
  <c r="AO560" i="37" a="1"/>
  <c r="AO560" i="37" s="1"/>
  <c r="AO79" i="37" a="1"/>
  <c r="AO79" i="37" s="1"/>
  <c r="AO279" i="37" a="1"/>
  <c r="AO279" i="37" s="1"/>
  <c r="AO569" i="37" a="1"/>
  <c r="AO569" i="37" s="1"/>
  <c r="AO229" i="37" a="1"/>
  <c r="AO229" i="37" s="1"/>
  <c r="AO230" i="37" a="1"/>
  <c r="AO230" i="37" s="1"/>
  <c r="AO301" i="37" a="1"/>
  <c r="AO301" i="37" s="1"/>
  <c r="AO437" i="37" a="1"/>
  <c r="AO437" i="37" s="1"/>
  <c r="AO160" i="37" a="1"/>
  <c r="AO160" i="37" s="1"/>
  <c r="AO280" i="37" a="1"/>
  <c r="AO280" i="37" s="1"/>
  <c r="AO302" i="37" a="1"/>
  <c r="AO302" i="37" s="1"/>
  <c r="AO231" i="37" a="1"/>
  <c r="AO231" i="37" s="1"/>
  <c r="AO303" i="37" a="1"/>
  <c r="AO303" i="37" s="1"/>
  <c r="AO304" i="37" a="1"/>
  <c r="AO304" i="37" s="1"/>
  <c r="AO305" i="37" a="1"/>
  <c r="AO305" i="37" s="1"/>
  <c r="AO194" i="37" a="1"/>
  <c r="AO194" i="37" s="1"/>
  <c r="AO265" i="37" a="1"/>
  <c r="AO265" i="37" s="1"/>
  <c r="AO306" i="37" a="1"/>
  <c r="AO306" i="37" s="1"/>
  <c r="AO232" i="37" a="1"/>
  <c r="AO232" i="37" s="1"/>
  <c r="AO195" i="37" a="1"/>
  <c r="AO195" i="37" s="1"/>
  <c r="AO598" i="37" a="1"/>
  <c r="AO598" i="37" s="1"/>
  <c r="AO281" i="37" a="1"/>
  <c r="AO281" i="37" s="1"/>
  <c r="AO600" i="37" a="1"/>
  <c r="AO600" i="37" s="1"/>
  <c r="AO80" i="37" a="1"/>
  <c r="AO80" i="37" s="1"/>
  <c r="AO270" i="37" a="1"/>
  <c r="AO270" i="37" s="1"/>
  <c r="AO180" i="37" a="1"/>
  <c r="AO180" i="37" s="1"/>
  <c r="AO307" i="37" a="1"/>
  <c r="AO307" i="37" s="1"/>
  <c r="AO267" i="37" a="1"/>
  <c r="AO267" i="37" s="1"/>
  <c r="AO196" i="37" a="1"/>
  <c r="AO196" i="37" s="1"/>
  <c r="AO269" i="37" a="1"/>
  <c r="AO269" i="37" s="1"/>
  <c r="AO198" i="37" a="1"/>
  <c r="AO198" i="37" s="1"/>
  <c r="AO282" i="37" a="1"/>
  <c r="AO282" i="37" s="1"/>
  <c r="AO308" i="37" a="1"/>
  <c r="AO308" i="37" s="1"/>
  <c r="AO471" i="37" a="1"/>
  <c r="AO471" i="37" s="1"/>
  <c r="AO283" i="37" a="1"/>
  <c r="AO283" i="37" s="1"/>
  <c r="AO161" i="37" a="1"/>
  <c r="AO161" i="37" s="1"/>
  <c r="AO581" i="37" a="1"/>
  <c r="AO581" i="37" s="1"/>
  <c r="AO234" i="37" a="1"/>
  <c r="AO234" i="37" s="1"/>
  <c r="AO233" i="37" a="1"/>
  <c r="AO233" i="37" s="1"/>
  <c r="AO235" i="37" a="1"/>
  <c r="AO235" i="37" s="1"/>
  <c r="AO268" i="37" a="1"/>
  <c r="AO268" i="37" s="1"/>
  <c r="AO199" i="37" a="1"/>
  <c r="AO199" i="37" s="1"/>
  <c r="AO236" i="37" a="1"/>
  <c r="AO236" i="37" s="1"/>
  <c r="AO582" i="37" a="1"/>
  <c r="AO582" i="37" s="1"/>
  <c r="AO237" i="37" a="1"/>
  <c r="AO237" i="37" s="1"/>
  <c r="AO238" i="37" a="1"/>
  <c r="AO238" i="37" s="1"/>
  <c r="AO583" i="37" a="1"/>
  <c r="AO583" i="37" s="1"/>
  <c r="AO172" i="37" a="1"/>
  <c r="AO172" i="37" s="1"/>
  <c r="AO239" i="37" a="1"/>
  <c r="AO239" i="37" s="1"/>
  <c r="AO363" i="37" a="1"/>
  <c r="AO363" i="37" s="1"/>
  <c r="AO364" i="37" a="1"/>
  <c r="AO364" i="37" s="1"/>
  <c r="AO362" i="37" a="1"/>
  <c r="AO362" i="37" s="1"/>
  <c r="AO594" i="37" a="1"/>
  <c r="AO594" i="37" s="1"/>
  <c r="AO612" i="37" a="1"/>
  <c r="AO612" i="37" s="1"/>
  <c r="AO266" i="37" a="1"/>
  <c r="AO266" i="37" s="1"/>
  <c r="AO309" i="37" a="1"/>
  <c r="AO309" i="37" s="1"/>
  <c r="AO365" i="37" a="1"/>
  <c r="AO365" i="37" s="1"/>
  <c r="AO240" i="37" a="1"/>
  <c r="AO240" i="37" s="1"/>
  <c r="AO91" i="37" a="1"/>
  <c r="AO91" i="37" s="1"/>
  <c r="AO613" i="37" a="1"/>
  <c r="AO613" i="37" s="1"/>
  <c r="AO551" i="37" a="1"/>
  <c r="AO551" i="37" s="1"/>
  <c r="AO271" i="37" a="1"/>
  <c r="AO271" i="37" s="1"/>
  <c r="AO584" i="37" a="1"/>
  <c r="AO584" i="37" s="1"/>
  <c r="AO52" i="37" a="1"/>
  <c r="AO52" i="37" s="1"/>
  <c r="AO366" i="37" a="1"/>
  <c r="AO366" i="37" s="1"/>
  <c r="AO241" i="37" a="1"/>
  <c r="AO241" i="37" s="1"/>
  <c r="AO614" i="37" a="1"/>
  <c r="AO614" i="37" s="1"/>
  <c r="AO367" i="37" a="1"/>
  <c r="AO367" i="37" s="1"/>
  <c r="AO544" i="37" a="1"/>
  <c r="AO544" i="37" s="1"/>
  <c r="AO136" i="37" a="1"/>
  <c r="AO136" i="37" s="1"/>
  <c r="AO585" i="37" a="1"/>
  <c r="AO585" i="37" s="1"/>
  <c r="AO371" i="37" a="1"/>
  <c r="AO371" i="37" s="1"/>
  <c r="AO369" i="37" a="1"/>
  <c r="AO369" i="37" s="1"/>
  <c r="AO615" i="37" a="1"/>
  <c r="AO615" i="37" s="1"/>
  <c r="AO368" i="37" a="1"/>
  <c r="AO368" i="37" s="1"/>
  <c r="AO370" i="37" a="1"/>
  <c r="AO370" i="37" s="1"/>
  <c r="AO242" i="37" a="1"/>
  <c r="AO242" i="37" s="1"/>
  <c r="AO244" i="37" a="1"/>
  <c r="AO244" i="37" s="1"/>
  <c r="AO372" i="37" a="1"/>
  <c r="AO372" i="37" s="1"/>
  <c r="AO566" i="37" a="1"/>
  <c r="AO566" i="37" s="1"/>
  <c r="AO243" i="37" a="1"/>
  <c r="AO243" i="37" s="1"/>
  <c r="AO407" i="37" a="1"/>
  <c r="AO407" i="37" s="1"/>
  <c r="AO8" i="37" a="1"/>
  <c r="AO8" i="37" s="1"/>
  <c r="AO310" i="37" a="1"/>
  <c r="AO310" i="37" s="1"/>
  <c r="AO385" i="37" a="1"/>
  <c r="AO385" i="37" s="1"/>
  <c r="AO94" i="37" a="1"/>
  <c r="AO94" i="37" s="1"/>
  <c r="AO55" i="37" a="1"/>
  <c r="AO55" i="37" s="1"/>
  <c r="AO258" i="37" a="1"/>
  <c r="AO258" i="37" s="1"/>
  <c r="AO137" i="37" a="1"/>
  <c r="AO137" i="37" s="1"/>
  <c r="AO54" i="37" a="1"/>
  <c r="AO54" i="37" s="1"/>
  <c r="AO418" i="37" a="1"/>
  <c r="AO418" i="37" s="1"/>
  <c r="AO174" i="37" a="1"/>
  <c r="AO174" i="37" s="1"/>
  <c r="AO311" i="37" a="1"/>
  <c r="AO311" i="37" s="1"/>
  <c r="AO416" i="37" a="1"/>
  <c r="AO416" i="37" s="1"/>
  <c r="AO312" i="37" a="1"/>
  <c r="AO312" i="37" s="1"/>
  <c r="AO145" i="37" a="1"/>
  <c r="AO145" i="37" s="1"/>
  <c r="AO278" i="37" a="1"/>
  <c r="AO278" i="37" s="1"/>
  <c r="AO181" i="37" a="1"/>
  <c r="AO181" i="37" s="1"/>
  <c r="AO375" i="37" a="1"/>
  <c r="AO375" i="37" s="1"/>
  <c r="AO146" i="37" a="1"/>
  <c r="AO146" i="37" s="1"/>
  <c r="AO388" i="37" a="1"/>
  <c r="AO388" i="37" s="1"/>
  <c r="AO419" i="37" a="1"/>
  <c r="AO419" i="37" s="1"/>
  <c r="AO60" i="37" a="1"/>
  <c r="AO60" i="37" s="1"/>
  <c r="AO81" i="37" a="1"/>
  <c r="AO81" i="37" s="1"/>
  <c r="AO149" i="37" a="1"/>
  <c r="AO149" i="37" s="1"/>
  <c r="AO246" i="37" a="1"/>
  <c r="AO246" i="37" s="1"/>
  <c r="AO590" i="37" a="1"/>
  <c r="AO590" i="37" s="1"/>
  <c r="AO254" i="37" a="1"/>
  <c r="AO254" i="37" s="1"/>
  <c r="AO373" i="37" a="1"/>
  <c r="AO373" i="37" s="1"/>
  <c r="AO376" i="37" a="1"/>
  <c r="AO376" i="37" s="1"/>
  <c r="AO378" i="37" a="1"/>
  <c r="AO378" i="37" s="1"/>
  <c r="AO410" i="37" a="1"/>
  <c r="AO410" i="37" s="1"/>
  <c r="AO409" i="37" a="1"/>
  <c r="AO409" i="37" s="1"/>
  <c r="AO420" i="37" a="1"/>
  <c r="AO420" i="37" s="1"/>
  <c r="AO248" i="37" a="1"/>
  <c r="AO248" i="37" s="1"/>
  <c r="AO247" i="37" a="1"/>
  <c r="AO247" i="37" s="1"/>
  <c r="AO259" i="37" a="1"/>
  <c r="AO259" i="37" s="1"/>
  <c r="AO402" i="37" a="1"/>
  <c r="AO402" i="37" s="1"/>
  <c r="AO415" i="37" a="1"/>
  <c r="AO415" i="37" s="1"/>
  <c r="AO417" i="37" a="1"/>
  <c r="AO417" i="37" s="1"/>
  <c r="AO53" i="37" a="1"/>
  <c r="AO53" i="37" s="1"/>
  <c r="AO140" i="37" a="1"/>
  <c r="AO140" i="37" s="1"/>
  <c r="AO142" i="37" a="1"/>
  <c r="AO142" i="37" s="1"/>
  <c r="AO109" i="37" a="1"/>
  <c r="AO109" i="37" s="1"/>
  <c r="AO313" i="37" a="1"/>
  <c r="AO313" i="37" s="1"/>
  <c r="AO314" i="37" a="1"/>
  <c r="AO314" i="37" s="1"/>
  <c r="AO601" i="37" a="1"/>
  <c r="AO601" i="37" s="1"/>
  <c r="AO315" i="37" a="1"/>
  <c r="AO315" i="37" s="1"/>
  <c r="AO618" i="37" a="1"/>
  <c r="AO618" i="37" s="1"/>
  <c r="AO143" i="37" a="1"/>
  <c r="AO143" i="37" s="1"/>
  <c r="AO622" i="37" a="1"/>
  <c r="AO622" i="37" s="1"/>
  <c r="AO316" i="37" a="1"/>
  <c r="AO316" i="37" s="1"/>
  <c r="AO552" i="37" a="1"/>
  <c r="AO552" i="37" s="1"/>
  <c r="AO317" i="37" a="1"/>
  <c r="AO317" i="37" s="1"/>
  <c r="AO182" i="37" a="1"/>
  <c r="AO182" i="37" s="1"/>
  <c r="AO200" i="37" a="1"/>
  <c r="AO200" i="37" s="1"/>
  <c r="AO284" i="37" a="1"/>
  <c r="AO284" i="37" s="1"/>
  <c r="AO427" i="37" a="1"/>
  <c r="AO427" i="37" s="1"/>
  <c r="AO147" i="37" a="1"/>
  <c r="AO147" i="37" s="1"/>
  <c r="AO173" i="37" a="1"/>
  <c r="AO173" i="37" s="1"/>
  <c r="AO318" i="37" a="1"/>
  <c r="AO318" i="37" s="1"/>
  <c r="AO435" i="37" a="1"/>
  <c r="AO435" i="37" s="1"/>
  <c r="AO285" i="37" a="1"/>
  <c r="AO285" i="37" s="1"/>
  <c r="AO602" i="37" a="1"/>
  <c r="AO602" i="37" s="1"/>
  <c r="AO319" i="37" a="1"/>
  <c r="AO319" i="37" s="1"/>
  <c r="AO148" i="37" a="1"/>
  <c r="AO148" i="37" s="1"/>
  <c r="AO320" i="37" a="1"/>
  <c r="AO320" i="37" s="1"/>
  <c r="AO321" i="37" a="1"/>
  <c r="AO321" i="37" s="1"/>
  <c r="AO150" i="37" a="1"/>
  <c r="AO150" i="37" s="1"/>
  <c r="AO322" i="37" a="1"/>
  <c r="AO322" i="37" s="1"/>
  <c r="AO323" i="37" a="1"/>
  <c r="AO323" i="37" s="1"/>
  <c r="AO621" i="37" a="1"/>
  <c r="AO621" i="37" s="1"/>
  <c r="AO424" i="37" a="1"/>
  <c r="AO424" i="37" s="1"/>
  <c r="AO201" i="37" a="1"/>
  <c r="AO201" i="37" s="1"/>
  <c r="AO440" i="37" a="1"/>
  <c r="AO440" i="37" s="1"/>
  <c r="AO110" i="37" a="1"/>
  <c r="AO110" i="37" s="1"/>
  <c r="AO286" i="37" a="1"/>
  <c r="AO286" i="37" s="1"/>
  <c r="AO325" i="37" a="1"/>
  <c r="AO325" i="37" s="1"/>
  <c r="AO423" i="37" a="1"/>
  <c r="AO423" i="37" s="1"/>
  <c r="AO431" i="37" a="1"/>
  <c r="AO431" i="37" s="1"/>
  <c r="AO421" i="37" a="1"/>
  <c r="AO421" i="37" s="1"/>
  <c r="AO245" i="37" a="1"/>
  <c r="AO245" i="37" s="1"/>
  <c r="AO434" i="37" a="1"/>
  <c r="AO434" i="37" s="1"/>
  <c r="AO324" i="37" a="1"/>
  <c r="AO324" i="37" s="1"/>
  <c r="AO572" i="37" a="1"/>
  <c r="AO572" i="37" s="1"/>
  <c r="AO202" i="37" a="1"/>
  <c r="AO202" i="37" s="1"/>
  <c r="AO588" i="37" a="1"/>
  <c r="AO588" i="37" s="1"/>
  <c r="AO603" i="37" a="1"/>
  <c r="AO603" i="37" s="1"/>
  <c r="AO619" i="37" a="1"/>
  <c r="AO619" i="37" s="1"/>
  <c r="AO250" i="37" a="1"/>
  <c r="AO250" i="37" s="1"/>
  <c r="AO441" i="37" a="1"/>
  <c r="AO441" i="37" s="1"/>
  <c r="AO438" i="37" a="1"/>
  <c r="AO438" i="37" s="1"/>
  <c r="AO327" i="37" a="1"/>
  <c r="AO327" i="37" s="1"/>
  <c r="AO426" i="37" a="1"/>
  <c r="AO426" i="37" s="1"/>
  <c r="AO287" i="37" a="1"/>
  <c r="AO287" i="37" s="1"/>
  <c r="AO95" i="37" a="1"/>
  <c r="AO95" i="37" s="1"/>
  <c r="AO326" i="37" a="1"/>
  <c r="AO326" i="37" s="1"/>
  <c r="AO249" i="37" a="1"/>
  <c r="AO249" i="37" s="1"/>
  <c r="AO425" i="37" a="1"/>
  <c r="AO425" i="37" s="1"/>
  <c r="AO604" i="37" a="1"/>
  <c r="AO604" i="37" s="1"/>
  <c r="AO162" i="37" a="1"/>
  <c r="AO162" i="37" s="1"/>
  <c r="AO276" i="37" a="1"/>
  <c r="AO276" i="37" s="1"/>
  <c r="AO328" i="37" a="1"/>
  <c r="AO328" i="37" s="1"/>
  <c r="AO472" i="37" a="1"/>
  <c r="AO472" i="37" s="1"/>
  <c r="AO272" i="37" a="1"/>
  <c r="AO272" i="37" s="1"/>
  <c r="AO255" i="37" a="1"/>
  <c r="AO255" i="37" s="1"/>
  <c r="AO277" i="37" a="1"/>
  <c r="AO277" i="37" s="1"/>
  <c r="AO442" i="37" a="1"/>
  <c r="AO442" i="37" s="1"/>
  <c r="AO591" i="37" a="1"/>
  <c r="AO591" i="37" s="1"/>
  <c r="AO592" i="37" a="1"/>
  <c r="AO592" i="37" s="1"/>
  <c r="AO329" i="37" a="1"/>
  <c r="AO329" i="37" s="1"/>
  <c r="AO473" i="37" a="1"/>
  <c r="AO473" i="37" s="1"/>
  <c r="AO474" i="37" a="1"/>
  <c r="AO474" i="37" s="1"/>
  <c r="AO428" i="37" a="1"/>
  <c r="AO428" i="37" s="1"/>
  <c r="AO330" i="37" a="1"/>
  <c r="AO330" i="37" s="1"/>
  <c r="AO257" i="37" a="1"/>
  <c r="AO257" i="37" s="1"/>
  <c r="AO429" i="37" a="1"/>
  <c r="AO429" i="37" s="1"/>
  <c r="AO263" i="37" a="1"/>
  <c r="AO263" i="37" s="1"/>
  <c r="AO444" i="37" a="1"/>
  <c r="AO444" i="37" s="1"/>
  <c r="AO430" i="37" a="1"/>
  <c r="AO430" i="37" s="1"/>
  <c r="AO432" i="37" a="1"/>
  <c r="AO432" i="37" s="1"/>
  <c r="AO260" i="37" a="1"/>
  <c r="AO260" i="37" s="1"/>
  <c r="AO261" i="37" a="1"/>
  <c r="AO261" i="37" s="1"/>
  <c r="AO262" i="37" a="1"/>
  <c r="AO262" i="37" s="1"/>
  <c r="AO331" i="37" a="1"/>
  <c r="AO331" i="37" s="1"/>
  <c r="AO374" i="37" a="1"/>
  <c r="AO374" i="37" s="1"/>
  <c r="AO332" i="37" a="1"/>
  <c r="AO332" i="37" s="1"/>
  <c r="AO377" i="37" a="1"/>
  <c r="AO377" i="37" s="1"/>
  <c r="AO203" i="37" a="1"/>
  <c r="AO203" i="37" s="1"/>
  <c r="AO111" i="37" a="1"/>
  <c r="AO111" i="37" s="1"/>
  <c r="AO379" i="37" a="1"/>
  <c r="AO379" i="37" s="1"/>
  <c r="AO333" i="37" a="1"/>
  <c r="AO333" i="37" s="1"/>
  <c r="AO334" i="37" a="1"/>
  <c r="AO334" i="37" s="1"/>
  <c r="AO443" i="37" a="1"/>
  <c r="AO443" i="37" s="1"/>
  <c r="AO459" i="37" a="1"/>
  <c r="AO459" i="37" s="1"/>
  <c r="AO289" i="37" a="1"/>
  <c r="AO289" i="37" s="1"/>
  <c r="AO475" i="37" a="1"/>
  <c r="AO475" i="37" s="1"/>
  <c r="AO335" i="37" a="1"/>
  <c r="AO335" i="37" s="1"/>
  <c r="AO112" i="37" a="1"/>
  <c r="AO112" i="37" s="1"/>
  <c r="AO422" i="37" a="1"/>
  <c r="AO422" i="37" s="1"/>
  <c r="AO381" i="37" a="1"/>
  <c r="AO381" i="37" s="1"/>
  <c r="AO605" i="37" a="1"/>
  <c r="AO605" i="37" s="1"/>
  <c r="AO616" i="37" a="1"/>
  <c r="AO616" i="37" s="1"/>
  <c r="AO383" i="37" a="1"/>
  <c r="AO383" i="37" s="1"/>
  <c r="AO183" i="37" a="1"/>
  <c r="AO183" i="37" s="1"/>
  <c r="AO433" i="37" a="1"/>
  <c r="AO433" i="37" s="1"/>
  <c r="AO336" i="37" a="1"/>
  <c r="AO336" i="37" s="1"/>
  <c r="AO337" i="37" a="1"/>
  <c r="AO337" i="37" s="1"/>
  <c r="AO386" i="37" a="1"/>
  <c r="AO386" i="37" s="1"/>
  <c r="AO338" i="37" a="1"/>
  <c r="AO338" i="37" s="1"/>
  <c r="AO617" i="37" a="1"/>
  <c r="AO617" i="37" s="1"/>
  <c r="AO389" i="37" a="1"/>
  <c r="AO389" i="37" s="1"/>
  <c r="AO606" i="37" a="1"/>
  <c r="AO606" i="37" s="1"/>
  <c r="AO204" i="37" a="1"/>
  <c r="AO204" i="37" s="1"/>
  <c r="AO291" i="37" a="1"/>
  <c r="AO291" i="37" s="1"/>
  <c r="AO390" i="37" a="1"/>
  <c r="AO390" i="37" s="1"/>
  <c r="AO394" i="37" a="1"/>
  <c r="AO394" i="37" s="1"/>
  <c r="AO398" i="37" a="1"/>
  <c r="AO398" i="37" s="1"/>
  <c r="AO400" i="37" a="1"/>
  <c r="AO400" i="37" s="1"/>
  <c r="AO476" i="37" a="1"/>
  <c r="AO476" i="37" s="1"/>
  <c r="AO399" i="37" a="1"/>
  <c r="AO399" i="37" s="1"/>
  <c r="AO403" i="37" a="1"/>
  <c r="AO403" i="37" s="1"/>
  <c r="AO477" i="37" a="1"/>
  <c r="AO477" i="37" s="1"/>
  <c r="AO408" i="37" a="1"/>
  <c r="AO408" i="37" s="1"/>
  <c r="AO439" i="37" a="1"/>
  <c r="AO439" i="37" s="1"/>
  <c r="AO573" i="37" a="1"/>
  <c r="AO573" i="37" s="1"/>
  <c r="AO413" i="37" a="1"/>
  <c r="AO413" i="37" s="1"/>
  <c r="AO607" i="37" a="1"/>
  <c r="AO607" i="37" s="1"/>
  <c r="AO412" i="37" a="1"/>
  <c r="AO412" i="37" s="1"/>
  <c r="AO113" i="37" a="1"/>
  <c r="AO113" i="37" s="1"/>
  <c r="AO414" i="37" a="1"/>
  <c r="AO414" i="37" s="1"/>
  <c r="AO411" i="37" a="1"/>
  <c r="AO411" i="37" s="1"/>
  <c r="AO138" i="37" a="1"/>
  <c r="AO138" i="37" s="1"/>
  <c r="AO139" i="37" a="1"/>
  <c r="AO139" i="37" s="1"/>
  <c r="AO339" i="37" a="1"/>
  <c r="AO339" i="37" s="1"/>
  <c r="AO478" i="37" a="1"/>
  <c r="AO478" i="37" s="1"/>
  <c r="AO141" i="37" a="1"/>
  <c r="AO141" i="37" s="1"/>
  <c r="AO479" i="37" a="1"/>
  <c r="AO479" i="37" s="1"/>
  <c r="AO340" i="37" a="1"/>
  <c r="AO340" i="37" s="1"/>
  <c r="AO144" i="37" a="1"/>
  <c r="AO144" i="37" s="1"/>
  <c r="AO567" i="37" a="1"/>
  <c r="AO567" i="37" s="1"/>
  <c r="AO586" i="37" a="1"/>
  <c r="AO586" i="37" s="1"/>
  <c r="AO587" i="37" a="1"/>
  <c r="AO587" i="37" s="1"/>
  <c r="AO589" i="37" a="1"/>
  <c r="AO589" i="37" s="1"/>
  <c r="AO625" i="37" a="1"/>
  <c r="AO625" i="37" s="1"/>
  <c r="AO480" i="37" a="1"/>
  <c r="AO480" i="37" s="1"/>
  <c r="AO342" i="37" a="1"/>
  <c r="AO342" i="37" s="1"/>
  <c r="AO253" i="37" a="1"/>
  <c r="AO253" i="37" s="1"/>
  <c r="AO341" i="37" a="1"/>
  <c r="AO341" i="37" s="1"/>
  <c r="AO252" i="37" a="1"/>
  <c r="AO252" i="37" s="1"/>
  <c r="AO482" i="37" a="1"/>
  <c r="AO482" i="37" s="1"/>
  <c r="AO481" i="37" a="1"/>
  <c r="AO481" i="37" s="1"/>
  <c r="AO343" i="37" a="1"/>
  <c r="AO343" i="37" s="1"/>
  <c r="AO251" i="37" a="1"/>
  <c r="AO251" i="37" s="1"/>
  <c r="AO256" i="37" a="1"/>
  <c r="AO256" i="37" s="1"/>
  <c r="AO264" i="37" a="1"/>
  <c r="AO264" i="37" s="1"/>
  <c r="AO593" i="37" a="1"/>
  <c r="AO593" i="37" s="1"/>
  <c r="AO345" i="37" a="1"/>
  <c r="AO345" i="37" s="1"/>
  <c r="AO484" i="37" a="1"/>
  <c r="AO484" i="37" s="1"/>
  <c r="AO483" i="37" a="1"/>
  <c r="AO483" i="37" s="1"/>
  <c r="AO344" i="37" a="1"/>
  <c r="AO344" i="37" s="1"/>
  <c r="AO458" i="37" a="1"/>
  <c r="AO458" i="37" s="1"/>
  <c r="AO486" i="37" a="1"/>
  <c r="AO486" i="37" s="1"/>
  <c r="AO485" i="37" a="1"/>
  <c r="AO485" i="37" s="1"/>
  <c r="AO626" i="37" a="1"/>
  <c r="AO626" i="37" s="1"/>
  <c r="AO346" i="37" a="1"/>
  <c r="AO346" i="37" s="1"/>
  <c r="AO628" i="37" a="1"/>
  <c r="AO628" i="37" s="1"/>
  <c r="AO380" i="37" a="1"/>
  <c r="AO380" i="37" s="1"/>
  <c r="AO382" i="37" a="1"/>
  <c r="AO382" i="37" s="1"/>
  <c r="AO627" i="37" a="1"/>
  <c r="AO627" i="37" s="1"/>
  <c r="AO384" i="37" a="1"/>
  <c r="AO384" i="37" s="1"/>
  <c r="AO387" i="37" a="1"/>
  <c r="AO387" i="37" s="1"/>
  <c r="AO391" i="37" a="1"/>
  <c r="AO391" i="37" s="1"/>
  <c r="AO392" i="37" a="1"/>
  <c r="AO392" i="37" s="1"/>
  <c r="AO393" i="37" a="1"/>
  <c r="AO393" i="37" s="1"/>
  <c r="AO397" i="37" a="1"/>
  <c r="AO397" i="37" s="1"/>
  <c r="AO396" i="37" a="1"/>
  <c r="AO396" i="37" s="1"/>
  <c r="AO401" i="37" a="1"/>
  <c r="AO401" i="37" s="1"/>
  <c r="AO405" i="37" a="1"/>
  <c r="AO405" i="37" s="1"/>
  <c r="AO404" i="37" a="1"/>
  <c r="AO404" i="37" s="1"/>
  <c r="AO406" i="37" a="1"/>
  <c r="AO406" i="37" s="1"/>
  <c r="AO487" i="37" a="1"/>
  <c r="AO487" i="37" s="1"/>
  <c r="AO506" i="37" a="1"/>
  <c r="AO506" i="37" s="1"/>
  <c r="AO620" i="37" a="1"/>
  <c r="AO620" i="37" s="1"/>
  <c r="AO466" i="37" a="1"/>
  <c r="AO466" i="37" s="1"/>
  <c r="AO550" i="37" a="1"/>
  <c r="AO550" i="37" s="1"/>
  <c r="AO498" i="37" a="1"/>
  <c r="AO498" i="37" s="1"/>
  <c r="AO521" i="37" a="1"/>
  <c r="AO521" i="37" s="1"/>
  <c r="AO445" i="37" a="1"/>
  <c r="AO445" i="37" s="1"/>
  <c r="AO184" i="37" a="1"/>
  <c r="AO184" i="37" s="1"/>
  <c r="AO348" i="37" a="1"/>
  <c r="AO348" i="37" s="1"/>
  <c r="AO357" i="37" a="1"/>
  <c r="AO357" i="37" s="1"/>
  <c r="AO640" i="37" a="1"/>
  <c r="AO640" i="37" s="1"/>
  <c r="AO469" i="37" a="1"/>
  <c r="AO469" i="37" s="1"/>
  <c r="AO510" i="37" a="1"/>
  <c r="AO510" i="37" s="1"/>
  <c r="AO511" i="37" a="1"/>
  <c r="AO511" i="37" s="1"/>
  <c r="AO528" i="37" a="1"/>
  <c r="AO528" i="37" s="1"/>
  <c r="AO347" i="37" a="1"/>
  <c r="AO347" i="37" s="1"/>
  <c r="AO436" i="37" a="1"/>
  <c r="AO436" i="37" s="1"/>
  <c r="AO517" i="37" a="1"/>
  <c r="AO517" i="37" s="1"/>
  <c r="AO493" i="37" a="1"/>
  <c r="AO493" i="37" s="1"/>
  <c r="AO467" i="37" a="1"/>
  <c r="AO467" i="37" s="1"/>
  <c r="AO293" i="37" a="1"/>
  <c r="AO293" i="37" s="1"/>
  <c r="AO452" i="37" a="1"/>
  <c r="AO452" i="37" s="1"/>
  <c r="AO358" i="37" a="1"/>
  <c r="AO358" i="37" s="1"/>
  <c r="AO455" i="37" a="1"/>
  <c r="AO455" i="37" s="1"/>
  <c r="AO522" i="37" a="1"/>
  <c r="AO522" i="37" s="1"/>
  <c r="AO351" i="37" a="1"/>
  <c r="AO351" i="37" s="1"/>
  <c r="AO610" i="37" a="1"/>
  <c r="AO610" i="37" s="1"/>
  <c r="AO463" i="37" a="1"/>
  <c r="AO463" i="37" s="1"/>
  <c r="AO490" i="37" a="1"/>
  <c r="AO490" i="37" s="1"/>
  <c r="AO500" i="37" a="1"/>
  <c r="AO500" i="37" s="1"/>
  <c r="AO499" i="37" a="1"/>
  <c r="AO499" i="37" s="1"/>
  <c r="AO523" i="37" a="1"/>
  <c r="AO523" i="37" s="1"/>
  <c r="AO470" i="37" a="1"/>
  <c r="AO470" i="37" s="1"/>
  <c r="AO273" i="37" a="1"/>
  <c r="AO273" i="37" s="1"/>
  <c r="AO489" i="37" a="1"/>
  <c r="AO489" i="37" s="1"/>
  <c r="AO488" i="37" a="1"/>
  <c r="AO488" i="37" s="1"/>
  <c r="AO288" i="37" a="1"/>
  <c r="AO288" i="37" s="1"/>
  <c r="AO292" i="37" a="1"/>
  <c r="AO292" i="37" s="1"/>
  <c r="AO491" i="37" a="1"/>
  <c r="AO491" i="37" s="1"/>
  <c r="AO448" i="37" a="1"/>
  <c r="AO448" i="37" s="1"/>
  <c r="AO494" i="37" a="1"/>
  <c r="AO494" i="37" s="1"/>
  <c r="AO451" i="37" a="1"/>
  <c r="AO451" i="37" s="1"/>
  <c r="AO512" i="37" a="1"/>
  <c r="AO512" i="37" s="1"/>
  <c r="AO525" i="37" a="1"/>
  <c r="AO525" i="37" s="1"/>
  <c r="AO527" i="37" a="1"/>
  <c r="AO527" i="37" s="1"/>
  <c r="AO524" i="37" a="1"/>
  <c r="AO524" i="37" s="1"/>
  <c r="AO639" i="37" a="1"/>
  <c r="AO639" i="37" s="1"/>
  <c r="AO356" i="37" a="1"/>
  <c r="AO356" i="37" s="1"/>
  <c r="AO453" i="37" a="1"/>
  <c r="AO453" i="37" s="1"/>
  <c r="AO460" i="37" a="1"/>
  <c r="AO460" i="37" s="1"/>
  <c r="AO290" i="37" a="1"/>
  <c r="AO290" i="37" s="1"/>
  <c r="AO611" i="37" a="1"/>
  <c r="AO611" i="37" s="1"/>
  <c r="AO492" i="37" a="1"/>
  <c r="AO492" i="37" s="1"/>
  <c r="AO495" i="37" a="1"/>
  <c r="AO495" i="37" s="1"/>
  <c r="AO294" i="37" a="1"/>
  <c r="AO294" i="37" s="1"/>
  <c r="AO496" i="37" a="1"/>
  <c r="AO496" i="37" s="1"/>
  <c r="AO497" i="37" a="1"/>
  <c r="AO497" i="37" s="1"/>
  <c r="AO502" i="37" a="1"/>
  <c r="AO502" i="37" s="1"/>
  <c r="AO446" i="37" a="1"/>
  <c r="AO446" i="37" s="1"/>
  <c r="AO503" i="37" a="1"/>
  <c r="AO503" i="37" s="1"/>
  <c r="AO449" i="37" a="1"/>
  <c r="AO449" i="37" s="1"/>
  <c r="AO631" i="37" a="1"/>
  <c r="AO631" i="37" s="1"/>
  <c r="AO504" i="37" a="1"/>
  <c r="AO504" i="37" s="1"/>
  <c r="AO630" i="37" a="1"/>
  <c r="AO630" i="37" s="1"/>
  <c r="AO629" i="37" a="1"/>
  <c r="AO629" i="37" s="1"/>
  <c r="AO623" i="37" a="1"/>
  <c r="AO623" i="37" s="1"/>
  <c r="AO501" i="37" a="1"/>
  <c r="AO501" i="37" s="1"/>
  <c r="AO505" i="37" a="1"/>
  <c r="AO505" i="37" s="1"/>
  <c r="AO508" i="37" a="1"/>
  <c r="AO508" i="37" s="1"/>
  <c r="AO509" i="37" a="1"/>
  <c r="AO509" i="37" s="1"/>
  <c r="AO513" i="37" a="1"/>
  <c r="AO513" i="37" s="1"/>
  <c r="AO632" i="37" a="1"/>
  <c r="AO632" i="37" s="1"/>
  <c r="AO514" i="37" a="1"/>
  <c r="AO514" i="37" s="1"/>
  <c r="AO515" i="37" a="1"/>
  <c r="AO515" i="37" s="1"/>
  <c r="AO519" i="37" a="1"/>
  <c r="AO519" i="37" s="1"/>
  <c r="AO518" i="37" a="1"/>
  <c r="AO518" i="37" s="1"/>
  <c r="AO520" i="37" a="1"/>
  <c r="AO520" i="37" s="1"/>
  <c r="AO114" i="37" a="1"/>
  <c r="AO114" i="37" s="1"/>
  <c r="AO205" i="37" a="1"/>
  <c r="AO205" i="37" s="1"/>
  <c r="AO349" i="37" a="1"/>
  <c r="AO349" i="37" s="1"/>
  <c r="AO350" i="37" a="1"/>
  <c r="AO350" i="37" s="1"/>
  <c r="AO608" i="37" a="1"/>
  <c r="AO608" i="37" s="1"/>
  <c r="AO609" i="37" a="1"/>
  <c r="AO609" i="37" s="1"/>
  <c r="AO352" i="37" a="1"/>
  <c r="AO352" i="37" s="1"/>
  <c r="AO355" i="37" a="1"/>
  <c r="AO355" i="37" s="1"/>
  <c r="AO353" i="37" a="1"/>
  <c r="AO353" i="37" s="1"/>
  <c r="AO468" i="37" a="1"/>
  <c r="AO468" i="37" s="1"/>
  <c r="AO354" i="37" a="1"/>
  <c r="AO354" i="37" s="1"/>
  <c r="AO295" i="37" a="1"/>
  <c r="AO295" i="37" s="1"/>
  <c r="AO447" i="37" a="1"/>
  <c r="AO447" i="37" s="1"/>
  <c r="AO450" i="37" a="1"/>
  <c r="AO450" i="37" s="1"/>
  <c r="AO454" i="37" a="1"/>
  <c r="AO454" i="37" s="1"/>
  <c r="AO359" i="37" a="1"/>
  <c r="AO359" i="37" s="1"/>
  <c r="AO456" i="37" a="1"/>
  <c r="AO456" i="37" s="1"/>
  <c r="AO457" i="37" a="1"/>
  <c r="AO457" i="37" s="1"/>
  <c r="AO360" i="37" a="1"/>
  <c r="AO360" i="37" s="1"/>
  <c r="AO462" i="37" a="1"/>
  <c r="AO462" i="37" s="1"/>
  <c r="AO461" i="37" a="1"/>
  <c r="AO461" i="37" s="1"/>
  <c r="AO633" i="37" a="1"/>
  <c r="AO633" i="37" s="1"/>
  <c r="AO464" i="37" a="1"/>
  <c r="AO464" i="37" s="1"/>
  <c r="AO624" i="37" a="1"/>
  <c r="AO624" i="37" s="1"/>
  <c r="AO465" i="37" a="1"/>
  <c r="AO465" i="37" s="1"/>
  <c r="AO516" i="37" a="1"/>
  <c r="AO516" i="37" s="1"/>
  <c r="AO634" i="37" a="1"/>
  <c r="AO634" i="37" s="1"/>
  <c r="AO635" i="37" a="1"/>
  <c r="AO635" i="37" s="1"/>
  <c r="AO638" i="37" a="1"/>
  <c r="AO638" i="37" s="1"/>
  <c r="AO637" i="37" a="1"/>
  <c r="AO637" i="37" s="1"/>
  <c r="AO636" i="37" a="1"/>
  <c r="AO636" i="37" s="1"/>
  <c r="AO529" i="37" a="1"/>
  <c r="AO529" i="37" s="1"/>
  <c r="AO530" i="37" a="1"/>
  <c r="AO530" i="37" s="1"/>
  <c r="AO531" i="37" a="1"/>
  <c r="AO531" i="37" s="1"/>
  <c r="AO532" i="37" a="1"/>
  <c r="AO532" i="37" s="1"/>
  <c r="AN2" i="37" a="1"/>
  <c r="AN2" i="37" s="1"/>
  <c r="AN3" i="37" a="1"/>
  <c r="AN3" i="37" s="1"/>
  <c r="AN10" i="37" a="1"/>
  <c r="AN10" i="37" s="1"/>
  <c r="AN534" i="37" a="1"/>
  <c r="AN534" i="37" s="1"/>
  <c r="AN533" i="37" a="1"/>
  <c r="AN533" i="37" s="1"/>
  <c r="AN6" i="37" a="1"/>
  <c r="AN6" i="37" s="1"/>
  <c r="AN5" i="37" a="1"/>
  <c r="AN5" i="37" s="1"/>
  <c r="AN11" i="37" a="1"/>
  <c r="AN11" i="37" s="1"/>
  <c r="AN4" i="37" a="1"/>
  <c r="AN4" i="37" s="1"/>
  <c r="AN23" i="37" a="1"/>
  <c r="AN23" i="37" s="1"/>
  <c r="AN7" i="37" a="1"/>
  <c r="AN7" i="37" s="1"/>
  <c r="AN13" i="37" a="1"/>
  <c r="AN13" i="37" s="1"/>
  <c r="AN24" i="37" a="1"/>
  <c r="AN24" i="37" s="1"/>
  <c r="AN36" i="37" a="1"/>
  <c r="AN36" i="37" s="1"/>
  <c r="AN25" i="37" a="1"/>
  <c r="AN25" i="37" s="1"/>
  <c r="AN37" i="37" a="1"/>
  <c r="AN37" i="37" s="1"/>
  <c r="AN20" i="37" a="1"/>
  <c r="AN20" i="37" s="1"/>
  <c r="AN14" i="37" a="1"/>
  <c r="AN14" i="37" s="1"/>
  <c r="AN15" i="37" a="1"/>
  <c r="AN15" i="37" s="1"/>
  <c r="AN19" i="37" a="1"/>
  <c r="AN19" i="37" s="1"/>
  <c r="AN22" i="37" a="1"/>
  <c r="AN22" i="37" s="1"/>
  <c r="AN26" i="37" a="1"/>
  <c r="AN26" i="37" s="1"/>
  <c r="AN537" i="37" a="1"/>
  <c r="AN537" i="37" s="1"/>
  <c r="AN27" i="37" a="1"/>
  <c r="AN27" i="37" s="1"/>
  <c r="AN21" i="37" a="1"/>
  <c r="AN21" i="37" s="1"/>
  <c r="AN38" i="37" a="1"/>
  <c r="AN38" i="37" s="1"/>
  <c r="AN538" i="37" a="1"/>
  <c r="AN538" i="37" s="1"/>
  <c r="AN28" i="37" a="1"/>
  <c r="AN28" i="37" s="1"/>
  <c r="AN16" i="37" a="1"/>
  <c r="AN16" i="37" s="1"/>
  <c r="AN39" i="37" a="1"/>
  <c r="AN39" i="37" s="1"/>
  <c r="AN40" i="37" a="1"/>
  <c r="AN40" i="37" s="1"/>
  <c r="AN29" i="37" a="1"/>
  <c r="AN29" i="37" s="1"/>
  <c r="AN41" i="37" a="1"/>
  <c r="AN41" i="37" s="1"/>
  <c r="AN33" i="37" a="1"/>
  <c r="AN33" i="37" s="1"/>
  <c r="AN42" i="37" a="1"/>
  <c r="AN42" i="37" s="1"/>
  <c r="AN539" i="37" a="1"/>
  <c r="AN539" i="37" s="1"/>
  <c r="AN85" i="37" a="1"/>
  <c r="AN85" i="37" s="1"/>
  <c r="AN43" i="37" a="1"/>
  <c r="AN43" i="37" s="1"/>
  <c r="AN44" i="37" a="1"/>
  <c r="AN44" i="37" s="1"/>
  <c r="AN535" i="37" a="1"/>
  <c r="AN535" i="37" s="1"/>
  <c r="AN45" i="37" a="1"/>
  <c r="AN45" i="37" s="1"/>
  <c r="AN17" i="37" a="1"/>
  <c r="AN17" i="37" s="1"/>
  <c r="AN70" i="37" a="1"/>
  <c r="AN70" i="37" s="1"/>
  <c r="AN30" i="37" a="1"/>
  <c r="AN30" i="37" s="1"/>
  <c r="AN18" i="37" a="1"/>
  <c r="AN18" i="37" s="1"/>
  <c r="AN62" i="37" a="1"/>
  <c r="AN62" i="37" s="1"/>
  <c r="AN57" i="37" a="1"/>
  <c r="AN57" i="37" s="1"/>
  <c r="AN46" i="37" a="1"/>
  <c r="AN46" i="37" s="1"/>
  <c r="AN61" i="37" a="1"/>
  <c r="AN61" i="37" s="1"/>
  <c r="AN71" i="37" a="1"/>
  <c r="AN71" i="37" s="1"/>
  <c r="AN31" i="37" a="1"/>
  <c r="AN31" i="37" s="1"/>
  <c r="AN541" i="37" a="1"/>
  <c r="AN541" i="37" s="1"/>
  <c r="AN56" i="37" a="1"/>
  <c r="AN56" i="37" s="1"/>
  <c r="AN536" i="37" a="1"/>
  <c r="AN536" i="37" s="1"/>
  <c r="AN47" i="37" a="1"/>
  <c r="AN47" i="37" s="1"/>
  <c r="AN86" i="37" a="1"/>
  <c r="AN86" i="37" s="1"/>
  <c r="AN72" i="37" a="1"/>
  <c r="AN72" i="37" s="1"/>
  <c r="AN48" i="37" a="1"/>
  <c r="AN48" i="37" s="1"/>
  <c r="AN547" i="37" a="1"/>
  <c r="AN547" i="37" s="1"/>
  <c r="AN115" i="37" a="1"/>
  <c r="AN115" i="37" s="1"/>
  <c r="AN562" i="37" a="1"/>
  <c r="AN562" i="37" s="1"/>
  <c r="AN58" i="37" a="1"/>
  <c r="AN58" i="37" s="1"/>
  <c r="AN63" i="37" a="1"/>
  <c r="AN63" i="37" s="1"/>
  <c r="AN34" i="37" a="1"/>
  <c r="AN34" i="37" s="1"/>
  <c r="AN540" i="37" a="1"/>
  <c r="AN540" i="37" s="1"/>
  <c r="AN116" i="37" a="1"/>
  <c r="AN116" i="37" s="1"/>
  <c r="AN12" i="37" a="1"/>
  <c r="AN12" i="37" s="1"/>
  <c r="AN32" i="37" a="1"/>
  <c r="AN32" i="37" s="1"/>
  <c r="AN73" i="37" a="1"/>
  <c r="AN73" i="37" s="1"/>
  <c r="AN74" i="37" a="1"/>
  <c r="AN74" i="37" s="1"/>
  <c r="AN542" i="37" a="1"/>
  <c r="AN542" i="37" s="1"/>
  <c r="AN75" i="37" a="1"/>
  <c r="AN75" i="37" s="1"/>
  <c r="AN543" i="37" a="1"/>
  <c r="AN543" i="37" s="1"/>
  <c r="AN117" i="37" a="1"/>
  <c r="AN117" i="37" s="1"/>
  <c r="AN546" i="37" a="1"/>
  <c r="AN546" i="37" s="1"/>
  <c r="AN99" i="37" a="1"/>
  <c r="AN99" i="37" s="1"/>
  <c r="AN67" i="37" a="1"/>
  <c r="AN67" i="37" s="1"/>
  <c r="AN100" i="37" a="1"/>
  <c r="AN100" i="37" s="1"/>
  <c r="AN68" i="37" a="1"/>
  <c r="AN68" i="37" s="1"/>
  <c r="AN64" i="37" a="1"/>
  <c r="AN64" i="37" s="1"/>
  <c r="AN101" i="37" a="1"/>
  <c r="AN101" i="37" s="1"/>
  <c r="AN65" i="37" a="1"/>
  <c r="AN65" i="37" s="1"/>
  <c r="AN92" i="37" a="1"/>
  <c r="AN92" i="37" s="1"/>
  <c r="AN49" i="37" a="1"/>
  <c r="AN49" i="37" s="1"/>
  <c r="AN185" i="37" a="1"/>
  <c r="AN185" i="37" s="1"/>
  <c r="AN163" i="37" a="1"/>
  <c r="AN163" i="37" s="1"/>
  <c r="AN76" i="37" a="1"/>
  <c r="AN76" i="37" s="1"/>
  <c r="AN87" i="37" a="1"/>
  <c r="AN87" i="37" s="1"/>
  <c r="AN82" i="37" a="1"/>
  <c r="AN82" i="37" s="1"/>
  <c r="AN88" i="37" a="1"/>
  <c r="AN88" i="37" s="1"/>
  <c r="AN554" i="37" a="1"/>
  <c r="AN554" i="37" s="1"/>
  <c r="AN93" i="37" a="1"/>
  <c r="AN93" i="37" s="1"/>
  <c r="AN118" i="37" a="1"/>
  <c r="AN118" i="37" s="1"/>
  <c r="AN83" i="37" a="1"/>
  <c r="AN83" i="37" s="1"/>
  <c r="AN164" i="37" a="1"/>
  <c r="AN164" i="37" s="1"/>
  <c r="AN119" i="37" a="1"/>
  <c r="AN119" i="37" s="1"/>
  <c r="AN549" i="37" a="1"/>
  <c r="AN549" i="37" s="1"/>
  <c r="AN50" i="37" a="1"/>
  <c r="AN50" i="37" s="1"/>
  <c r="AN120" i="37" a="1"/>
  <c r="AN120" i="37" s="1"/>
  <c r="AN121" i="37" a="1"/>
  <c r="AN121" i="37" s="1"/>
  <c r="AN84" i="37" a="1"/>
  <c r="AN84" i="37" s="1"/>
  <c r="AN165" i="37" a="1"/>
  <c r="AN165" i="37" s="1"/>
  <c r="AN206" i="37" a="1"/>
  <c r="AN206" i="37" s="1"/>
  <c r="AN89" i="37" a="1"/>
  <c r="AN89" i="37" s="1"/>
  <c r="AN574" i="37" a="1"/>
  <c r="AN574" i="37" s="1"/>
  <c r="AN166" i="37" a="1"/>
  <c r="AN166" i="37" s="1"/>
  <c r="AN167" i="37" a="1"/>
  <c r="AN167" i="37" s="1"/>
  <c r="AN77" i="37" a="1"/>
  <c r="AN77" i="37" s="1"/>
  <c r="AN123" i="37" a="1"/>
  <c r="AN123" i="37" s="1"/>
  <c r="AN122" i="37" a="1"/>
  <c r="AN122" i="37" s="1"/>
  <c r="AN575" i="37" a="1"/>
  <c r="AN575" i="37" s="1"/>
  <c r="AN96" i="37" a="1"/>
  <c r="AN96" i="37" s="1"/>
  <c r="AN186" i="37" a="1"/>
  <c r="AN186" i="37" s="1"/>
  <c r="AN176" i="37" a="1"/>
  <c r="AN176" i="37" s="1"/>
  <c r="AN151" i="37" a="1"/>
  <c r="AN151" i="37" s="1"/>
  <c r="AN97" i="37" a="1"/>
  <c r="AN97" i="37" s="1"/>
  <c r="AN274" i="37" a="1"/>
  <c r="AN274" i="37" s="1"/>
  <c r="AN545" i="37" a="1"/>
  <c r="AN545" i="37" s="1"/>
  <c r="AN187" i="37" a="1"/>
  <c r="AN187" i="37" s="1"/>
  <c r="AN207" i="37" a="1"/>
  <c r="AN207" i="37" s="1"/>
  <c r="AN9" i="37" a="1"/>
  <c r="AN9" i="37" s="1"/>
  <c r="AN570" i="37" a="1"/>
  <c r="AN570" i="37" s="1"/>
  <c r="AN296" i="37" a="1"/>
  <c r="AN296" i="37" s="1"/>
  <c r="AN102" i="37" a="1"/>
  <c r="AN102" i="37" s="1"/>
  <c r="AN66" i="37" a="1"/>
  <c r="AN66" i="37" s="1"/>
  <c r="AN177" i="37" a="1"/>
  <c r="AN177" i="37" s="1"/>
  <c r="AN297" i="37" a="1"/>
  <c r="AN297" i="37" s="1"/>
  <c r="AN576" i="37" a="1"/>
  <c r="AN576" i="37" s="1"/>
  <c r="AN156" i="37" a="1"/>
  <c r="AN156" i="37" s="1"/>
  <c r="AN188" i="37" a="1"/>
  <c r="AN188" i="37" s="1"/>
  <c r="AN189" i="37" a="1"/>
  <c r="AN189" i="37" s="1"/>
  <c r="AN103" i="37" a="1"/>
  <c r="AN103" i="37" s="1"/>
  <c r="AN190" i="37" a="1"/>
  <c r="AN190" i="37" s="1"/>
  <c r="AN152" i="37" a="1"/>
  <c r="AN152" i="37" s="1"/>
  <c r="AN208" i="37" a="1"/>
  <c r="AN208" i="37" s="1"/>
  <c r="AN209" i="37" a="1"/>
  <c r="AN209" i="37" s="1"/>
  <c r="AN210" i="37" a="1"/>
  <c r="AN210" i="37" s="1"/>
  <c r="AN596" i="37" a="1"/>
  <c r="AN596" i="37" s="1"/>
  <c r="AN168" i="37" a="1"/>
  <c r="AN168" i="37" s="1"/>
  <c r="AN568" i="37" a="1"/>
  <c r="AN568" i="37" s="1"/>
  <c r="AN124" i="37" a="1"/>
  <c r="AN124" i="37" s="1"/>
  <c r="AN571" i="37" a="1"/>
  <c r="AN571" i="37" s="1"/>
  <c r="AN175" i="37" a="1"/>
  <c r="AN175" i="37" s="1"/>
  <c r="AN211" i="37" a="1"/>
  <c r="AN211" i="37" s="1"/>
  <c r="AN104" i="37" a="1"/>
  <c r="AN104" i="37" s="1"/>
  <c r="AN125" i="37" a="1"/>
  <c r="AN125" i="37" s="1"/>
  <c r="AN105" i="37" a="1"/>
  <c r="AN105" i="37" s="1"/>
  <c r="AN126" i="37" a="1"/>
  <c r="AN126" i="37" s="1"/>
  <c r="AN548" i="37" a="1"/>
  <c r="AN548" i="37" s="1"/>
  <c r="AN191" i="37" a="1"/>
  <c r="AN191" i="37" s="1"/>
  <c r="AN563" i="37" a="1"/>
  <c r="AN563" i="37" s="1"/>
  <c r="AN213" i="37" a="1"/>
  <c r="AN213" i="37" s="1"/>
  <c r="AN298" i="37" a="1"/>
  <c r="AN298" i="37" s="1"/>
  <c r="AN106" i="37" a="1"/>
  <c r="AN106" i="37" s="1"/>
  <c r="AN212" i="37" a="1"/>
  <c r="AN212" i="37" s="1"/>
  <c r="AN564" i="37" a="1"/>
  <c r="AN564" i="37" s="1"/>
  <c r="AN577" i="37" a="1"/>
  <c r="AN577" i="37" s="1"/>
  <c r="AN107" i="37" a="1"/>
  <c r="AN107" i="37" s="1"/>
  <c r="AN157" i="37" a="1"/>
  <c r="AN157" i="37" s="1"/>
  <c r="AN214" i="37" a="1"/>
  <c r="AN214" i="37" s="1"/>
  <c r="AN158" i="37" a="1"/>
  <c r="AN158" i="37" s="1"/>
  <c r="AN578" i="37" a="1"/>
  <c r="AN578" i="37" s="1"/>
  <c r="AN215" i="37" a="1"/>
  <c r="AN215" i="37" s="1"/>
  <c r="AN155" i="37" a="1"/>
  <c r="AN155" i="37" s="1"/>
  <c r="AN216" i="37" a="1"/>
  <c r="AN216" i="37" s="1"/>
  <c r="AN217" i="37" a="1"/>
  <c r="AN217" i="37" s="1"/>
  <c r="AN127" i="37" a="1"/>
  <c r="AN127" i="37" s="1"/>
  <c r="AN90" i="37" a="1"/>
  <c r="AN90" i="37" s="1"/>
  <c r="AN153" i="37" a="1"/>
  <c r="AN153" i="37" s="1"/>
  <c r="AN128" i="37" a="1"/>
  <c r="AN128" i="37" s="1"/>
  <c r="AN299" i="37" a="1"/>
  <c r="AN299" i="37" s="1"/>
  <c r="AN192" i="37" a="1"/>
  <c r="AN192" i="37" s="1"/>
  <c r="AN129" i="37" a="1"/>
  <c r="AN129" i="37" s="1"/>
  <c r="AN565" i="37" a="1"/>
  <c r="AN565" i="37" s="1"/>
  <c r="AN130" i="37" a="1"/>
  <c r="AN130" i="37" s="1"/>
  <c r="AN218" i="37" a="1"/>
  <c r="AN218" i="37" s="1"/>
  <c r="AN131" i="37" a="1"/>
  <c r="AN131" i="37" s="1"/>
  <c r="AN154" i="37" a="1"/>
  <c r="AN154" i="37" s="1"/>
  <c r="AN555" i="37" a="1"/>
  <c r="AN555" i="37" s="1"/>
  <c r="AN579" i="37" a="1"/>
  <c r="AN579" i="37" s="1"/>
  <c r="AN132" i="37" a="1"/>
  <c r="AN132" i="37" s="1"/>
  <c r="AN580" i="37" a="1"/>
  <c r="AN580" i="37" s="1"/>
  <c r="AN219" i="37" a="1"/>
  <c r="AN219" i="37" s="1"/>
  <c r="AN133" i="37" a="1"/>
  <c r="AN133" i="37" s="1"/>
  <c r="AN134" i="37" a="1"/>
  <c r="AN134" i="37" s="1"/>
  <c r="AN599" i="37" a="1"/>
  <c r="AN599" i="37" s="1"/>
  <c r="AN220" i="37" a="1"/>
  <c r="AN220" i="37" s="1"/>
  <c r="AN221" i="37" a="1"/>
  <c r="AN221" i="37" s="1"/>
  <c r="AN59" i="37" a="1"/>
  <c r="AN59" i="37" s="1"/>
  <c r="AN222" i="37" a="1"/>
  <c r="AN222" i="37" s="1"/>
  <c r="AN223" i="37" a="1"/>
  <c r="AN223" i="37" s="1"/>
  <c r="AN275" i="37" a="1"/>
  <c r="AN275" i="37" s="1"/>
  <c r="AN51" i="37" a="1"/>
  <c r="AN51" i="37" s="1"/>
  <c r="AN224" i="37" a="1"/>
  <c r="AN224" i="37" s="1"/>
  <c r="AN78" i="37" a="1"/>
  <c r="AN78" i="37" s="1"/>
  <c r="AN225" i="37" a="1"/>
  <c r="AN225" i="37" s="1"/>
  <c r="AN35" i="37" a="1"/>
  <c r="AN35" i="37" s="1"/>
  <c r="AN226" i="37" a="1"/>
  <c r="AN226" i="37" s="1"/>
  <c r="AN169" i="37" a="1"/>
  <c r="AN169" i="37" s="1"/>
  <c r="AN170" i="37" a="1"/>
  <c r="AN170" i="37" s="1"/>
  <c r="AN557" i="37" a="1"/>
  <c r="AN557" i="37" s="1"/>
  <c r="AN361" i="37" a="1"/>
  <c r="AN361" i="37" s="1"/>
  <c r="AN558" i="37" a="1"/>
  <c r="AN558" i="37" s="1"/>
  <c r="AN227" i="37" a="1"/>
  <c r="AN227" i="37" s="1"/>
  <c r="AN556" i="37" a="1"/>
  <c r="AN556" i="37" s="1"/>
  <c r="AN228" i="37" a="1"/>
  <c r="AN228" i="37" s="1"/>
  <c r="AN171" i="37" a="1"/>
  <c r="AN171" i="37" s="1"/>
  <c r="AN178" i="37" a="1"/>
  <c r="AN178" i="37" s="1"/>
  <c r="AN595" i="37" a="1"/>
  <c r="AN595" i="37" s="1"/>
  <c r="AN193" i="37" a="1"/>
  <c r="AN193" i="37" s="1"/>
  <c r="AN69" i="37" a="1"/>
  <c r="AN69" i="37" s="1"/>
  <c r="AN179" i="37" a="1"/>
  <c r="AN179" i="37" s="1"/>
  <c r="AN135" i="37" a="1"/>
  <c r="AN135" i="37" s="1"/>
  <c r="AN108" i="37" a="1"/>
  <c r="AN108" i="37" s="1"/>
  <c r="AN300" i="37" a="1"/>
  <c r="AN300" i="37" s="1"/>
  <c r="AN98" i="37" a="1"/>
  <c r="AN98" i="37" s="1"/>
  <c r="AN159" i="37" a="1"/>
  <c r="AN159" i="37" s="1"/>
  <c r="AN597" i="37" a="1"/>
  <c r="AN597" i="37" s="1"/>
  <c r="AN560" i="37" a="1"/>
  <c r="AN560" i="37" s="1"/>
  <c r="AN79" i="37" a="1"/>
  <c r="AN79" i="37" s="1"/>
  <c r="AN279" i="37" a="1"/>
  <c r="AN279" i="37" s="1"/>
  <c r="AN569" i="37" a="1"/>
  <c r="AN569" i="37" s="1"/>
  <c r="AN229" i="37" a="1"/>
  <c r="AN229" i="37" s="1"/>
  <c r="AN230" i="37" a="1"/>
  <c r="AN230" i="37" s="1"/>
  <c r="AN301" i="37" a="1"/>
  <c r="AN301" i="37" s="1"/>
  <c r="AN437" i="37" a="1"/>
  <c r="AN437" i="37" s="1"/>
  <c r="AN160" i="37" a="1"/>
  <c r="AN160" i="37" s="1"/>
  <c r="AN280" i="37" a="1"/>
  <c r="AN280" i="37" s="1"/>
  <c r="AN302" i="37" a="1"/>
  <c r="AN302" i="37" s="1"/>
  <c r="AN231" i="37" a="1"/>
  <c r="AN231" i="37" s="1"/>
  <c r="AN303" i="37" a="1"/>
  <c r="AN303" i="37" s="1"/>
  <c r="AN304" i="37" a="1"/>
  <c r="AN304" i="37" s="1"/>
  <c r="AN305" i="37" a="1"/>
  <c r="AN305" i="37" s="1"/>
  <c r="AN194" i="37" a="1"/>
  <c r="AN194" i="37" s="1"/>
  <c r="AN265" i="37" a="1"/>
  <c r="AN265" i="37" s="1"/>
  <c r="AN306" i="37" a="1"/>
  <c r="AN306" i="37" s="1"/>
  <c r="AN232" i="37" a="1"/>
  <c r="AN232" i="37" s="1"/>
  <c r="AN195" i="37" a="1"/>
  <c r="AN195" i="37" s="1"/>
  <c r="AN598" i="37" a="1"/>
  <c r="AN598" i="37" s="1"/>
  <c r="AN281" i="37" a="1"/>
  <c r="AN281" i="37" s="1"/>
  <c r="AN600" i="37" a="1"/>
  <c r="AN600" i="37" s="1"/>
  <c r="AN80" i="37" a="1"/>
  <c r="AN80" i="37" s="1"/>
  <c r="AN270" i="37" a="1"/>
  <c r="AN270" i="37" s="1"/>
  <c r="AN180" i="37" a="1"/>
  <c r="AN180" i="37" s="1"/>
  <c r="AN307" i="37" a="1"/>
  <c r="AN307" i="37" s="1"/>
  <c r="AN267" i="37" a="1"/>
  <c r="AN267" i="37" s="1"/>
  <c r="AN196" i="37" a="1"/>
  <c r="AN196" i="37" s="1"/>
  <c r="AN269" i="37" a="1"/>
  <c r="AN269" i="37" s="1"/>
  <c r="AN198" i="37" a="1"/>
  <c r="AN198" i="37" s="1"/>
  <c r="AN282" i="37" a="1"/>
  <c r="AN282" i="37" s="1"/>
  <c r="AN308" i="37" a="1"/>
  <c r="AN308" i="37" s="1"/>
  <c r="AN471" i="37" a="1"/>
  <c r="AN471" i="37" s="1"/>
  <c r="AN283" i="37" a="1"/>
  <c r="AN283" i="37" s="1"/>
  <c r="AN161" i="37" a="1"/>
  <c r="AN161" i="37" s="1"/>
  <c r="AN581" i="37" a="1"/>
  <c r="AN581" i="37" s="1"/>
  <c r="AN234" i="37" a="1"/>
  <c r="AN234" i="37" s="1"/>
  <c r="AN233" i="37" a="1"/>
  <c r="AN233" i="37" s="1"/>
  <c r="AN235" i="37" a="1"/>
  <c r="AN235" i="37" s="1"/>
  <c r="AN268" i="37" a="1"/>
  <c r="AN268" i="37" s="1"/>
  <c r="AN199" i="37" a="1"/>
  <c r="AN199" i="37" s="1"/>
  <c r="AN236" i="37" a="1"/>
  <c r="AN236" i="37" s="1"/>
  <c r="AN582" i="37" a="1"/>
  <c r="AN582" i="37" s="1"/>
  <c r="AN237" i="37" a="1"/>
  <c r="AN237" i="37" s="1"/>
  <c r="AN238" i="37" a="1"/>
  <c r="AN238" i="37" s="1"/>
  <c r="AN583" i="37" a="1"/>
  <c r="AN583" i="37" s="1"/>
  <c r="AN172" i="37" a="1"/>
  <c r="AN172" i="37" s="1"/>
  <c r="AN239" i="37" a="1"/>
  <c r="AN239" i="37" s="1"/>
  <c r="AN363" i="37" a="1"/>
  <c r="AN363" i="37" s="1"/>
  <c r="AN364" i="37" a="1"/>
  <c r="AN364" i="37" s="1"/>
  <c r="AN362" i="37" a="1"/>
  <c r="AN362" i="37" s="1"/>
  <c r="AN594" i="37" a="1"/>
  <c r="AN594" i="37" s="1"/>
  <c r="AN612" i="37" a="1"/>
  <c r="AN612" i="37" s="1"/>
  <c r="AN266" i="37" a="1"/>
  <c r="AN266" i="37" s="1"/>
  <c r="AN309" i="37" a="1"/>
  <c r="AN309" i="37" s="1"/>
  <c r="AN365" i="37" a="1"/>
  <c r="AN365" i="37" s="1"/>
  <c r="AN240" i="37" a="1"/>
  <c r="AN240" i="37" s="1"/>
  <c r="AN91" i="37" a="1"/>
  <c r="AN91" i="37" s="1"/>
  <c r="AN613" i="37" a="1"/>
  <c r="AN613" i="37" s="1"/>
  <c r="AN551" i="37" a="1"/>
  <c r="AN551" i="37" s="1"/>
  <c r="AN271" i="37" a="1"/>
  <c r="AN271" i="37" s="1"/>
  <c r="AN584" i="37" a="1"/>
  <c r="AN584" i="37" s="1"/>
  <c r="AN52" i="37" a="1"/>
  <c r="AN52" i="37" s="1"/>
  <c r="AN366" i="37" a="1"/>
  <c r="AN366" i="37" s="1"/>
  <c r="AN241" i="37" a="1"/>
  <c r="AN241" i="37" s="1"/>
  <c r="AN614" i="37" a="1"/>
  <c r="AN614" i="37" s="1"/>
  <c r="AN367" i="37" a="1"/>
  <c r="AN367" i="37" s="1"/>
  <c r="AN544" i="37" a="1"/>
  <c r="AN544" i="37" s="1"/>
  <c r="AN136" i="37" a="1"/>
  <c r="AN136" i="37" s="1"/>
  <c r="AN585" i="37" a="1"/>
  <c r="AN585" i="37" s="1"/>
  <c r="AN371" i="37" a="1"/>
  <c r="AN371" i="37" s="1"/>
  <c r="AN369" i="37" a="1"/>
  <c r="AN369" i="37" s="1"/>
  <c r="AN615" i="37" a="1"/>
  <c r="AN615" i="37" s="1"/>
  <c r="AN368" i="37" a="1"/>
  <c r="AN368" i="37" s="1"/>
  <c r="AN370" i="37" a="1"/>
  <c r="AN370" i="37" s="1"/>
  <c r="AN242" i="37" a="1"/>
  <c r="AN242" i="37" s="1"/>
  <c r="AN244" i="37" a="1"/>
  <c r="AN244" i="37" s="1"/>
  <c r="AN372" i="37" a="1"/>
  <c r="AN372" i="37" s="1"/>
  <c r="AN566" i="37" a="1"/>
  <c r="AN566" i="37" s="1"/>
  <c r="AN243" i="37" a="1"/>
  <c r="AN243" i="37" s="1"/>
  <c r="AN407" i="37" a="1"/>
  <c r="AN407" i="37" s="1"/>
  <c r="AN8" i="37" a="1"/>
  <c r="AN8" i="37" s="1"/>
  <c r="AN310" i="37" a="1"/>
  <c r="AN310" i="37" s="1"/>
  <c r="AN385" i="37" a="1"/>
  <c r="AN385" i="37" s="1"/>
  <c r="AN94" i="37" a="1"/>
  <c r="AN94" i="37" s="1"/>
  <c r="AN55" i="37" a="1"/>
  <c r="AN55" i="37" s="1"/>
  <c r="AN258" i="37" a="1"/>
  <c r="AN258" i="37" s="1"/>
  <c r="AN137" i="37" a="1"/>
  <c r="AN137" i="37" s="1"/>
  <c r="AN54" i="37" a="1"/>
  <c r="AN54" i="37" s="1"/>
  <c r="AN418" i="37" a="1"/>
  <c r="AN418" i="37" s="1"/>
  <c r="AN174" i="37" a="1"/>
  <c r="AN174" i="37" s="1"/>
  <c r="AN311" i="37" a="1"/>
  <c r="AN311" i="37" s="1"/>
  <c r="AN416" i="37" a="1"/>
  <c r="AN416" i="37" s="1"/>
  <c r="AN312" i="37" a="1"/>
  <c r="AN312" i="37" s="1"/>
  <c r="AN145" i="37" a="1"/>
  <c r="AN145" i="37" s="1"/>
  <c r="AN278" i="37" a="1"/>
  <c r="AN278" i="37" s="1"/>
  <c r="AN181" i="37" a="1"/>
  <c r="AN181" i="37" s="1"/>
  <c r="AN375" i="37" a="1"/>
  <c r="AN375" i="37" s="1"/>
  <c r="AN146" i="37" a="1"/>
  <c r="AN146" i="37" s="1"/>
  <c r="AN388" i="37" a="1"/>
  <c r="AN388" i="37" s="1"/>
  <c r="AN419" i="37" a="1"/>
  <c r="AN419" i="37" s="1"/>
  <c r="AN60" i="37" a="1"/>
  <c r="AN60" i="37" s="1"/>
  <c r="AN81" i="37" a="1"/>
  <c r="AN81" i="37" s="1"/>
  <c r="AN149" i="37" a="1"/>
  <c r="AN149" i="37" s="1"/>
  <c r="AN246" i="37" a="1"/>
  <c r="AN246" i="37" s="1"/>
  <c r="AN590" i="37" a="1"/>
  <c r="AN590" i="37" s="1"/>
  <c r="AN254" i="37" a="1"/>
  <c r="AN254" i="37" s="1"/>
  <c r="AN373" i="37" a="1"/>
  <c r="AN373" i="37" s="1"/>
  <c r="AN376" i="37" a="1"/>
  <c r="AN376" i="37" s="1"/>
  <c r="AN378" i="37" a="1"/>
  <c r="AN378" i="37" s="1"/>
  <c r="AN410" i="37" a="1"/>
  <c r="AN410" i="37" s="1"/>
  <c r="AN409" i="37" a="1"/>
  <c r="AN409" i="37" s="1"/>
  <c r="AN420" i="37" a="1"/>
  <c r="AN420" i="37" s="1"/>
  <c r="AN248" i="37" a="1"/>
  <c r="AN248" i="37" s="1"/>
  <c r="AN247" i="37" a="1"/>
  <c r="AN247" i="37" s="1"/>
  <c r="AN259" i="37" a="1"/>
  <c r="AN259" i="37" s="1"/>
  <c r="AN402" i="37" a="1"/>
  <c r="AN402" i="37" s="1"/>
  <c r="AN415" i="37" a="1"/>
  <c r="AN415" i="37" s="1"/>
  <c r="AN417" i="37" a="1"/>
  <c r="AN417" i="37" s="1"/>
  <c r="AN53" i="37" a="1"/>
  <c r="AN53" i="37" s="1"/>
  <c r="AN140" i="37" a="1"/>
  <c r="AN140" i="37" s="1"/>
  <c r="AN142" i="37" a="1"/>
  <c r="AN142" i="37" s="1"/>
  <c r="AN109" i="37" a="1"/>
  <c r="AN109" i="37" s="1"/>
  <c r="AN313" i="37" a="1"/>
  <c r="AN313" i="37" s="1"/>
  <c r="AN314" i="37" a="1"/>
  <c r="AN314" i="37" s="1"/>
  <c r="AN601" i="37" a="1"/>
  <c r="AN601" i="37" s="1"/>
  <c r="AN315" i="37" a="1"/>
  <c r="AN315" i="37" s="1"/>
  <c r="AN618" i="37" a="1"/>
  <c r="AN618" i="37" s="1"/>
  <c r="AN143" i="37" a="1"/>
  <c r="AN143" i="37" s="1"/>
  <c r="AN622" i="37" a="1"/>
  <c r="AN622" i="37" s="1"/>
  <c r="AN316" i="37" a="1"/>
  <c r="AN316" i="37" s="1"/>
  <c r="AN552" i="37" a="1"/>
  <c r="AN552" i="37" s="1"/>
  <c r="AN317" i="37" a="1"/>
  <c r="AN317" i="37" s="1"/>
  <c r="AN182" i="37" a="1"/>
  <c r="AN182" i="37" s="1"/>
  <c r="AN200" i="37" a="1"/>
  <c r="AN200" i="37" s="1"/>
  <c r="AN284" i="37" a="1"/>
  <c r="AN284" i="37" s="1"/>
  <c r="AN427" i="37" a="1"/>
  <c r="AN427" i="37" s="1"/>
  <c r="AN147" i="37" a="1"/>
  <c r="AN147" i="37" s="1"/>
  <c r="AN173" i="37" a="1"/>
  <c r="AN173" i="37" s="1"/>
  <c r="AN318" i="37" a="1"/>
  <c r="AN318" i="37" s="1"/>
  <c r="AN435" i="37" a="1"/>
  <c r="AN435" i="37" s="1"/>
  <c r="AN285" i="37" a="1"/>
  <c r="AN285" i="37" s="1"/>
  <c r="AN602" i="37" a="1"/>
  <c r="AN602" i="37" s="1"/>
  <c r="AN319" i="37" a="1"/>
  <c r="AN319" i="37" s="1"/>
  <c r="AN148" i="37" a="1"/>
  <c r="AN148" i="37" s="1"/>
  <c r="AN320" i="37" a="1"/>
  <c r="AN320" i="37" s="1"/>
  <c r="AN321" i="37" a="1"/>
  <c r="AN321" i="37" s="1"/>
  <c r="AN150" i="37" a="1"/>
  <c r="AN150" i="37" s="1"/>
  <c r="AN322" i="37" a="1"/>
  <c r="AN322" i="37" s="1"/>
  <c r="AN323" i="37" a="1"/>
  <c r="AN323" i="37" s="1"/>
  <c r="AN621" i="37" a="1"/>
  <c r="AN621" i="37" s="1"/>
  <c r="AN424" i="37" a="1"/>
  <c r="AN424" i="37" s="1"/>
  <c r="AN201" i="37" a="1"/>
  <c r="AN201" i="37" s="1"/>
  <c r="AN440" i="37" a="1"/>
  <c r="AN440" i="37" s="1"/>
  <c r="AN110" i="37" a="1"/>
  <c r="AN110" i="37" s="1"/>
  <c r="AN286" i="37" a="1"/>
  <c r="AN286" i="37" s="1"/>
  <c r="AN325" i="37" a="1"/>
  <c r="AN325" i="37" s="1"/>
  <c r="AN423" i="37" a="1"/>
  <c r="AN423" i="37" s="1"/>
  <c r="AN431" i="37" a="1"/>
  <c r="AN431" i="37" s="1"/>
  <c r="AN421" i="37" a="1"/>
  <c r="AN421" i="37" s="1"/>
  <c r="AN245" i="37" a="1"/>
  <c r="AN245" i="37" s="1"/>
  <c r="AN434" i="37" a="1"/>
  <c r="AN434" i="37" s="1"/>
  <c r="AN324" i="37" a="1"/>
  <c r="AN324" i="37" s="1"/>
  <c r="AN572" i="37" a="1"/>
  <c r="AN572" i="37" s="1"/>
  <c r="AN202" i="37" a="1"/>
  <c r="AN202" i="37" s="1"/>
  <c r="AN588" i="37" a="1"/>
  <c r="AN588" i="37" s="1"/>
  <c r="AN603" i="37" a="1"/>
  <c r="AN603" i="37" s="1"/>
  <c r="AN619" i="37" a="1"/>
  <c r="AN619" i="37" s="1"/>
  <c r="AN250" i="37" a="1"/>
  <c r="AN250" i="37" s="1"/>
  <c r="AN441" i="37" a="1"/>
  <c r="AN441" i="37" s="1"/>
  <c r="AN438" i="37" a="1"/>
  <c r="AN438" i="37" s="1"/>
  <c r="AN327" i="37" a="1"/>
  <c r="AN327" i="37" s="1"/>
  <c r="AN426" i="37" a="1"/>
  <c r="AN426" i="37" s="1"/>
  <c r="AN287" i="37" a="1"/>
  <c r="AN287" i="37" s="1"/>
  <c r="AN95" i="37" a="1"/>
  <c r="AN95" i="37" s="1"/>
  <c r="AN326" i="37" a="1"/>
  <c r="AN326" i="37" s="1"/>
  <c r="AN249" i="37" a="1"/>
  <c r="AN249" i="37" s="1"/>
  <c r="AN425" i="37" a="1"/>
  <c r="AN425" i="37" s="1"/>
  <c r="AN604" i="37" a="1"/>
  <c r="AN604" i="37" s="1"/>
  <c r="AN162" i="37" a="1"/>
  <c r="AN162" i="37" s="1"/>
  <c r="AN276" i="37" a="1"/>
  <c r="AN276" i="37" s="1"/>
  <c r="AN328" i="37" a="1"/>
  <c r="AN328" i="37" s="1"/>
  <c r="AN472" i="37" a="1"/>
  <c r="AN472" i="37" s="1"/>
  <c r="AN272" i="37" a="1"/>
  <c r="AN272" i="37" s="1"/>
  <c r="AN255" i="37" a="1"/>
  <c r="AN255" i="37" s="1"/>
  <c r="AN277" i="37" a="1"/>
  <c r="AN277" i="37" s="1"/>
  <c r="AN442" i="37" a="1"/>
  <c r="AN442" i="37" s="1"/>
  <c r="AN591" i="37" a="1"/>
  <c r="AN591" i="37" s="1"/>
  <c r="AN592" i="37" a="1"/>
  <c r="AN592" i="37" s="1"/>
  <c r="AN329" i="37" a="1"/>
  <c r="AN329" i="37" s="1"/>
  <c r="AN473" i="37" a="1"/>
  <c r="AN473" i="37" s="1"/>
  <c r="AN474" i="37" a="1"/>
  <c r="AN474" i="37" s="1"/>
  <c r="AN428" i="37" a="1"/>
  <c r="AN428" i="37" s="1"/>
  <c r="AN330" i="37" a="1"/>
  <c r="AN330" i="37" s="1"/>
  <c r="AN257" i="37" a="1"/>
  <c r="AN257" i="37" s="1"/>
  <c r="AN429" i="37" a="1"/>
  <c r="AN429" i="37" s="1"/>
  <c r="AN263" i="37" a="1"/>
  <c r="AN263" i="37" s="1"/>
  <c r="AN444" i="37" a="1"/>
  <c r="AN444" i="37" s="1"/>
  <c r="AN430" i="37" a="1"/>
  <c r="AN430" i="37" s="1"/>
  <c r="AN432" i="37" a="1"/>
  <c r="AN432" i="37" s="1"/>
  <c r="AN260" i="37" a="1"/>
  <c r="AN260" i="37" s="1"/>
  <c r="AN261" i="37" a="1"/>
  <c r="AN261" i="37" s="1"/>
  <c r="AN262" i="37" a="1"/>
  <c r="AN262" i="37" s="1"/>
  <c r="AN331" i="37" a="1"/>
  <c r="AN331" i="37" s="1"/>
  <c r="AN374" i="37" a="1"/>
  <c r="AN374" i="37" s="1"/>
  <c r="AN332" i="37" a="1"/>
  <c r="AN332" i="37" s="1"/>
  <c r="AN377" i="37" a="1"/>
  <c r="AN377" i="37" s="1"/>
  <c r="AN203" i="37" a="1"/>
  <c r="AN203" i="37" s="1"/>
  <c r="AN111" i="37" a="1"/>
  <c r="AN111" i="37" s="1"/>
  <c r="AN379" i="37" a="1"/>
  <c r="AN379" i="37" s="1"/>
  <c r="AN333" i="37" a="1"/>
  <c r="AN333" i="37" s="1"/>
  <c r="AN334" i="37" a="1"/>
  <c r="AN334" i="37" s="1"/>
  <c r="AN443" i="37" a="1"/>
  <c r="AN443" i="37" s="1"/>
  <c r="AN459" i="37" a="1"/>
  <c r="AN459" i="37" s="1"/>
  <c r="AN289" i="37" a="1"/>
  <c r="AN289" i="37" s="1"/>
  <c r="AN475" i="37" a="1"/>
  <c r="AN475" i="37" s="1"/>
  <c r="AN335" i="37" a="1"/>
  <c r="AN335" i="37" s="1"/>
  <c r="AN112" i="37" a="1"/>
  <c r="AN112" i="37" s="1"/>
  <c r="AN422" i="37" a="1"/>
  <c r="AN422" i="37" s="1"/>
  <c r="AN381" i="37" a="1"/>
  <c r="AN381" i="37" s="1"/>
  <c r="AN605" i="37" a="1"/>
  <c r="AN605" i="37" s="1"/>
  <c r="AN616" i="37" a="1"/>
  <c r="AN616" i="37" s="1"/>
  <c r="AN383" i="37" a="1"/>
  <c r="AN383" i="37" s="1"/>
  <c r="AN183" i="37" a="1"/>
  <c r="AN183" i="37" s="1"/>
  <c r="AN433" i="37" a="1"/>
  <c r="AN433" i="37" s="1"/>
  <c r="AN336" i="37" a="1"/>
  <c r="AN336" i="37" s="1"/>
  <c r="AN337" i="37" a="1"/>
  <c r="AN337" i="37" s="1"/>
  <c r="AN386" i="37" a="1"/>
  <c r="AN386" i="37" s="1"/>
  <c r="AN338" i="37" a="1"/>
  <c r="AN338" i="37" s="1"/>
  <c r="AN617" i="37" a="1"/>
  <c r="AN617" i="37" s="1"/>
  <c r="AN389" i="37" a="1"/>
  <c r="AN389" i="37" s="1"/>
  <c r="AN606" i="37" a="1"/>
  <c r="AN606" i="37" s="1"/>
  <c r="AN204" i="37" a="1"/>
  <c r="AN204" i="37" s="1"/>
  <c r="AN291" i="37" a="1"/>
  <c r="AN291" i="37" s="1"/>
  <c r="AN390" i="37" a="1"/>
  <c r="AN390" i="37" s="1"/>
  <c r="AN394" i="37" a="1"/>
  <c r="AN394" i="37" s="1"/>
  <c r="AN398" i="37" a="1"/>
  <c r="AN398" i="37" s="1"/>
  <c r="AN400" i="37" a="1"/>
  <c r="AN400" i="37" s="1"/>
  <c r="AN476" i="37" a="1"/>
  <c r="AN476" i="37" s="1"/>
  <c r="AN399" i="37" a="1"/>
  <c r="AN399" i="37" s="1"/>
  <c r="AN403" i="37" a="1"/>
  <c r="AN403" i="37" s="1"/>
  <c r="AN477" i="37" a="1"/>
  <c r="AN477" i="37" s="1"/>
  <c r="AN408" i="37" a="1"/>
  <c r="AN408" i="37" s="1"/>
  <c r="AN439" i="37" a="1"/>
  <c r="AN439" i="37" s="1"/>
  <c r="AN573" i="37" a="1"/>
  <c r="AN573" i="37" s="1"/>
  <c r="AN413" i="37" a="1"/>
  <c r="AN413" i="37" s="1"/>
  <c r="AN607" i="37" a="1"/>
  <c r="AN607" i="37" s="1"/>
  <c r="AN412" i="37" a="1"/>
  <c r="AN412" i="37" s="1"/>
  <c r="AN113" i="37" a="1"/>
  <c r="AN113" i="37" s="1"/>
  <c r="AN414" i="37" a="1"/>
  <c r="AN414" i="37" s="1"/>
  <c r="AN411" i="37" a="1"/>
  <c r="AN411" i="37" s="1"/>
  <c r="AN138" i="37" a="1"/>
  <c r="AN138" i="37" s="1"/>
  <c r="AN139" i="37" a="1"/>
  <c r="AN139" i="37" s="1"/>
  <c r="AN339" i="37" a="1"/>
  <c r="AN339" i="37" s="1"/>
  <c r="AN478" i="37" a="1"/>
  <c r="AN478" i="37" s="1"/>
  <c r="AN141" i="37" a="1"/>
  <c r="AN141" i="37" s="1"/>
  <c r="AN479" i="37" a="1"/>
  <c r="AN479" i="37" s="1"/>
  <c r="AN340" i="37" a="1"/>
  <c r="AN340" i="37" s="1"/>
  <c r="AN144" i="37" a="1"/>
  <c r="AN144" i="37" s="1"/>
  <c r="AN567" i="37" a="1"/>
  <c r="AN567" i="37" s="1"/>
  <c r="AN586" i="37" a="1"/>
  <c r="AN586" i="37" s="1"/>
  <c r="AN587" i="37" a="1"/>
  <c r="AN587" i="37" s="1"/>
  <c r="AN589" i="37" a="1"/>
  <c r="AN589" i="37" s="1"/>
  <c r="AN625" i="37" a="1"/>
  <c r="AN625" i="37" s="1"/>
  <c r="AN480" i="37" a="1"/>
  <c r="AN480" i="37" s="1"/>
  <c r="AN342" i="37" a="1"/>
  <c r="AN342" i="37" s="1"/>
  <c r="AN253" i="37" a="1"/>
  <c r="AN253" i="37" s="1"/>
  <c r="AN341" i="37" a="1"/>
  <c r="AN341" i="37" s="1"/>
  <c r="AN252" i="37" a="1"/>
  <c r="AN252" i="37" s="1"/>
  <c r="AN482" i="37" a="1"/>
  <c r="AN482" i="37" s="1"/>
  <c r="AN481" i="37" a="1"/>
  <c r="AN481" i="37" s="1"/>
  <c r="AN343" i="37" a="1"/>
  <c r="AN343" i="37" s="1"/>
  <c r="AN251" i="37" a="1"/>
  <c r="AN251" i="37" s="1"/>
  <c r="AN256" i="37" a="1"/>
  <c r="AN256" i="37" s="1"/>
  <c r="AN264" i="37" a="1"/>
  <c r="AN264" i="37" s="1"/>
  <c r="AN593" i="37" a="1"/>
  <c r="AN593" i="37" s="1"/>
  <c r="AN345" i="37" a="1"/>
  <c r="AN345" i="37" s="1"/>
  <c r="AN484" i="37" a="1"/>
  <c r="AN484" i="37" s="1"/>
  <c r="AN483" i="37" a="1"/>
  <c r="AN483" i="37" s="1"/>
  <c r="AN344" i="37" a="1"/>
  <c r="AN344" i="37" s="1"/>
  <c r="AN458" i="37" a="1"/>
  <c r="AN458" i="37" s="1"/>
  <c r="AN486" i="37" a="1"/>
  <c r="AN486" i="37" s="1"/>
  <c r="AN485" i="37" a="1"/>
  <c r="AN485" i="37" s="1"/>
  <c r="AN626" i="37" a="1"/>
  <c r="AN626" i="37" s="1"/>
  <c r="AN346" i="37" a="1"/>
  <c r="AN346" i="37" s="1"/>
  <c r="AN628" i="37" a="1"/>
  <c r="AN628" i="37" s="1"/>
  <c r="AN380" i="37" a="1"/>
  <c r="AN380" i="37" s="1"/>
  <c r="AN382" i="37" a="1"/>
  <c r="AN382" i="37" s="1"/>
  <c r="AN627" i="37" a="1"/>
  <c r="AN627" i="37" s="1"/>
  <c r="AN384" i="37" a="1"/>
  <c r="AN384" i="37" s="1"/>
  <c r="AN387" i="37" a="1"/>
  <c r="AN387" i="37" s="1"/>
  <c r="AN391" i="37" a="1"/>
  <c r="AN391" i="37" s="1"/>
  <c r="AN392" i="37" a="1"/>
  <c r="AN392" i="37" s="1"/>
  <c r="AN393" i="37" a="1"/>
  <c r="AN393" i="37" s="1"/>
  <c r="AN397" i="37" a="1"/>
  <c r="AN397" i="37" s="1"/>
  <c r="AN396" i="37" a="1"/>
  <c r="AN396" i="37" s="1"/>
  <c r="AN401" i="37" a="1"/>
  <c r="AN401" i="37" s="1"/>
  <c r="AN405" i="37" a="1"/>
  <c r="AN405" i="37" s="1"/>
  <c r="AN404" i="37" a="1"/>
  <c r="AN404" i="37" s="1"/>
  <c r="AN406" i="37" a="1"/>
  <c r="AN406" i="37" s="1"/>
  <c r="AN487" i="37" a="1"/>
  <c r="AN487" i="37" s="1"/>
  <c r="AN506" i="37" a="1"/>
  <c r="AN506" i="37" s="1"/>
  <c r="AN620" i="37" a="1"/>
  <c r="AN620" i="37" s="1"/>
  <c r="AN466" i="37" a="1"/>
  <c r="AN466" i="37" s="1"/>
  <c r="AN550" i="37" a="1"/>
  <c r="AN550" i="37" s="1"/>
  <c r="AN498" i="37" a="1"/>
  <c r="AN498" i="37" s="1"/>
  <c r="AN521" i="37" a="1"/>
  <c r="AN521" i="37" s="1"/>
  <c r="AN445" i="37" a="1"/>
  <c r="AN445" i="37" s="1"/>
  <c r="AN184" i="37" a="1"/>
  <c r="AN184" i="37" s="1"/>
  <c r="AN348" i="37" a="1"/>
  <c r="AN348" i="37" s="1"/>
  <c r="AN357" i="37" a="1"/>
  <c r="AN357" i="37" s="1"/>
  <c r="AN640" i="37" a="1"/>
  <c r="AN640" i="37" s="1"/>
  <c r="AN469" i="37" a="1"/>
  <c r="AN469" i="37" s="1"/>
  <c r="AN510" i="37" a="1"/>
  <c r="AN510" i="37" s="1"/>
  <c r="AN511" i="37" a="1"/>
  <c r="AN511" i="37" s="1"/>
  <c r="AN528" i="37" a="1"/>
  <c r="AN528" i="37" s="1"/>
  <c r="AN347" i="37" a="1"/>
  <c r="AN347" i="37" s="1"/>
  <c r="AN436" i="37" a="1"/>
  <c r="AN436" i="37" s="1"/>
  <c r="AN517" i="37" a="1"/>
  <c r="AN517" i="37" s="1"/>
  <c r="AN493" i="37" a="1"/>
  <c r="AN493" i="37" s="1"/>
  <c r="AN467" i="37" a="1"/>
  <c r="AN467" i="37" s="1"/>
  <c r="AN293" i="37" a="1"/>
  <c r="AN293" i="37" s="1"/>
  <c r="AN452" i="37" a="1"/>
  <c r="AN452" i="37" s="1"/>
  <c r="AN358" i="37" a="1"/>
  <c r="AN358" i="37" s="1"/>
  <c r="AN455" i="37" a="1"/>
  <c r="AN455" i="37" s="1"/>
  <c r="AN522" i="37" a="1"/>
  <c r="AN522" i="37" s="1"/>
  <c r="AN351" i="37" a="1"/>
  <c r="AN351" i="37" s="1"/>
  <c r="AN610" i="37" a="1"/>
  <c r="AN610" i="37" s="1"/>
  <c r="AN463" i="37" a="1"/>
  <c r="AN463" i="37" s="1"/>
  <c r="AN490" i="37" a="1"/>
  <c r="AN490" i="37" s="1"/>
  <c r="AN500" i="37" a="1"/>
  <c r="AN500" i="37" s="1"/>
  <c r="AN499" i="37" a="1"/>
  <c r="AN499" i="37" s="1"/>
  <c r="AN523" i="37" a="1"/>
  <c r="AN523" i="37" s="1"/>
  <c r="AN470" i="37" a="1"/>
  <c r="AN470" i="37" s="1"/>
  <c r="AN273" i="37" a="1"/>
  <c r="AN273" i="37" s="1"/>
  <c r="AN489" i="37" a="1"/>
  <c r="AN489" i="37" s="1"/>
  <c r="AN488" i="37" a="1"/>
  <c r="AN488" i="37" s="1"/>
  <c r="AN288" i="37" a="1"/>
  <c r="AN288" i="37" s="1"/>
  <c r="AN292" i="37" a="1"/>
  <c r="AN292" i="37" s="1"/>
  <c r="AN491" i="37" a="1"/>
  <c r="AN491" i="37" s="1"/>
  <c r="AN448" i="37" a="1"/>
  <c r="AN448" i="37" s="1"/>
  <c r="AN494" i="37" a="1"/>
  <c r="AN494" i="37" s="1"/>
  <c r="AN451" i="37" a="1"/>
  <c r="AN451" i="37" s="1"/>
  <c r="AN512" i="37" a="1"/>
  <c r="AN512" i="37" s="1"/>
  <c r="AN525" i="37" a="1"/>
  <c r="AN525" i="37" s="1"/>
  <c r="AN527" i="37" a="1"/>
  <c r="AN527" i="37" s="1"/>
  <c r="AN524" i="37" a="1"/>
  <c r="AN524" i="37" s="1"/>
  <c r="AN639" i="37" a="1"/>
  <c r="AN639" i="37" s="1"/>
  <c r="AN356" i="37" a="1"/>
  <c r="AN356" i="37" s="1"/>
  <c r="AN453" i="37" a="1"/>
  <c r="AN453" i="37" s="1"/>
  <c r="AN460" i="37" a="1"/>
  <c r="AN460" i="37" s="1"/>
  <c r="AN290" i="37" a="1"/>
  <c r="AN290" i="37" s="1"/>
  <c r="AN611" i="37" a="1"/>
  <c r="AN611" i="37" s="1"/>
  <c r="AN492" i="37" a="1"/>
  <c r="AN492" i="37" s="1"/>
  <c r="AN495" i="37" a="1"/>
  <c r="AN495" i="37" s="1"/>
  <c r="AN294" i="37" a="1"/>
  <c r="AN294" i="37" s="1"/>
  <c r="AN496" i="37" a="1"/>
  <c r="AN496" i="37" s="1"/>
  <c r="AN497" i="37" a="1"/>
  <c r="AN497" i="37" s="1"/>
  <c r="AN502" i="37" a="1"/>
  <c r="AN502" i="37" s="1"/>
  <c r="AN446" i="37" a="1"/>
  <c r="AN446" i="37" s="1"/>
  <c r="AN503" i="37" a="1"/>
  <c r="AN503" i="37" s="1"/>
  <c r="AN449" i="37" a="1"/>
  <c r="AN449" i="37" s="1"/>
  <c r="AN631" i="37" a="1"/>
  <c r="AN631" i="37" s="1"/>
  <c r="AN504" i="37" a="1"/>
  <c r="AN504" i="37" s="1"/>
  <c r="AN630" i="37" a="1"/>
  <c r="AN630" i="37" s="1"/>
  <c r="AN629" i="37" a="1"/>
  <c r="AN629" i="37" s="1"/>
  <c r="AN623" i="37" a="1"/>
  <c r="AN623" i="37" s="1"/>
  <c r="AN501" i="37" a="1"/>
  <c r="AN501" i="37" s="1"/>
  <c r="AN505" i="37" a="1"/>
  <c r="AN505" i="37" s="1"/>
  <c r="AN508" i="37" a="1"/>
  <c r="AN508" i="37" s="1"/>
  <c r="AN509" i="37" a="1"/>
  <c r="AN509" i="37" s="1"/>
  <c r="AN513" i="37" a="1"/>
  <c r="AN513" i="37" s="1"/>
  <c r="AN632" i="37" a="1"/>
  <c r="AN632" i="37" s="1"/>
  <c r="AN514" i="37" a="1"/>
  <c r="AN514" i="37" s="1"/>
  <c r="AN515" i="37" a="1"/>
  <c r="AN515" i="37" s="1"/>
  <c r="AN519" i="37" a="1"/>
  <c r="AN519" i="37" s="1"/>
  <c r="AN518" i="37" a="1"/>
  <c r="AN518" i="37" s="1"/>
  <c r="AN520" i="37" a="1"/>
  <c r="AN520" i="37" s="1"/>
  <c r="AN114" i="37" a="1"/>
  <c r="AN114" i="37" s="1"/>
  <c r="AN205" i="37" a="1"/>
  <c r="AN205" i="37" s="1"/>
  <c r="AN349" i="37" a="1"/>
  <c r="AN349" i="37" s="1"/>
  <c r="AN350" i="37" a="1"/>
  <c r="AN350" i="37" s="1"/>
  <c r="AN608" i="37" a="1"/>
  <c r="AN608" i="37" s="1"/>
  <c r="AN609" i="37" a="1"/>
  <c r="AN609" i="37" s="1"/>
  <c r="AN352" i="37" a="1"/>
  <c r="AN352" i="37" s="1"/>
  <c r="AN355" i="37" a="1"/>
  <c r="AN355" i="37" s="1"/>
  <c r="AN353" i="37" a="1"/>
  <c r="AN353" i="37" s="1"/>
  <c r="AN468" i="37" a="1"/>
  <c r="AN468" i="37" s="1"/>
  <c r="AN354" i="37" a="1"/>
  <c r="AN354" i="37" s="1"/>
  <c r="AN295" i="37" a="1"/>
  <c r="AN295" i="37" s="1"/>
  <c r="AN447" i="37" a="1"/>
  <c r="AN447" i="37" s="1"/>
  <c r="AN450" i="37" a="1"/>
  <c r="AN450" i="37" s="1"/>
  <c r="AN454" i="37" a="1"/>
  <c r="AN454" i="37" s="1"/>
  <c r="AN359" i="37" a="1"/>
  <c r="AN359" i="37" s="1"/>
  <c r="AN456" i="37" a="1"/>
  <c r="AN456" i="37" s="1"/>
  <c r="AN457" i="37" a="1"/>
  <c r="AN457" i="37" s="1"/>
  <c r="AN360" i="37" a="1"/>
  <c r="AN360" i="37" s="1"/>
  <c r="AN462" i="37" a="1"/>
  <c r="AN462" i="37" s="1"/>
  <c r="AN461" i="37" a="1"/>
  <c r="AN461" i="37" s="1"/>
  <c r="AN633" i="37" a="1"/>
  <c r="AN633" i="37" s="1"/>
  <c r="AN464" i="37" a="1"/>
  <c r="AN464" i="37" s="1"/>
  <c r="AN624" i="37" a="1"/>
  <c r="AN624" i="37" s="1"/>
  <c r="AN465" i="37" a="1"/>
  <c r="AN465" i="37" s="1"/>
  <c r="AN516" i="37" a="1"/>
  <c r="AN516" i="37" s="1"/>
  <c r="AN634" i="37" a="1"/>
  <c r="AN634" i="37" s="1"/>
  <c r="AN635" i="37" a="1"/>
  <c r="AN635" i="37" s="1"/>
  <c r="AN638" i="37" a="1"/>
  <c r="AN638" i="37" s="1"/>
  <c r="AN637" i="37" a="1"/>
  <c r="AN637" i="37" s="1"/>
  <c r="AN636" i="37" a="1"/>
  <c r="AN636" i="37" s="1"/>
  <c r="AN529" i="37" a="1"/>
  <c r="AN529" i="37" s="1"/>
  <c r="AN530" i="37" a="1"/>
  <c r="AN530" i="37" s="1"/>
  <c r="AN531" i="37" a="1"/>
  <c r="AN531" i="37" s="1"/>
  <c r="AN532" i="37" a="1"/>
  <c r="AN532" i="37" s="1"/>
  <c r="AM2" i="37" a="1"/>
  <c r="AM2" i="37" s="1"/>
  <c r="AM3" i="37" a="1"/>
  <c r="AM3" i="37" s="1"/>
  <c r="AM10" i="37" a="1"/>
  <c r="AM10" i="37" s="1"/>
  <c r="AM534" i="37" a="1"/>
  <c r="AM534" i="37" s="1"/>
  <c r="AM533" i="37" a="1"/>
  <c r="AM533" i="37" s="1"/>
  <c r="AM6" i="37" a="1"/>
  <c r="AM6" i="37" s="1"/>
  <c r="AM5" i="37" a="1"/>
  <c r="AM5" i="37" s="1"/>
  <c r="AM11" i="37" a="1"/>
  <c r="AM11" i="37" s="1"/>
  <c r="AM4" i="37" a="1"/>
  <c r="AM4" i="37" s="1"/>
  <c r="AM23" i="37" a="1"/>
  <c r="AM23" i="37" s="1"/>
  <c r="AM7" i="37" a="1"/>
  <c r="AM7" i="37" s="1"/>
  <c r="AM13" i="37" a="1"/>
  <c r="AM13" i="37" s="1"/>
  <c r="AM24" i="37" a="1"/>
  <c r="AM24" i="37" s="1"/>
  <c r="AM36" i="37" a="1"/>
  <c r="AM36" i="37" s="1"/>
  <c r="AM25" i="37" a="1"/>
  <c r="AM25" i="37" s="1"/>
  <c r="AM37" i="37" a="1"/>
  <c r="AM37" i="37" s="1"/>
  <c r="AM20" i="37" a="1"/>
  <c r="AM20" i="37" s="1"/>
  <c r="AM14" i="37" a="1"/>
  <c r="AM14" i="37" s="1"/>
  <c r="AM15" i="37" a="1"/>
  <c r="AM15" i="37" s="1"/>
  <c r="AM19" i="37" a="1"/>
  <c r="AM19" i="37" s="1"/>
  <c r="AM22" i="37" a="1"/>
  <c r="AM22" i="37" s="1"/>
  <c r="AM26" i="37" a="1"/>
  <c r="AM26" i="37" s="1"/>
  <c r="AM537" i="37" a="1"/>
  <c r="AM537" i="37" s="1"/>
  <c r="AM27" i="37" a="1"/>
  <c r="AM27" i="37" s="1"/>
  <c r="AM21" i="37" a="1"/>
  <c r="AM21" i="37" s="1"/>
  <c r="AM38" i="37" a="1"/>
  <c r="AM38" i="37" s="1"/>
  <c r="AM538" i="37" a="1"/>
  <c r="AM538" i="37" s="1"/>
  <c r="AM28" i="37" a="1"/>
  <c r="AM28" i="37" s="1"/>
  <c r="AM16" i="37" a="1"/>
  <c r="AM16" i="37" s="1"/>
  <c r="AM39" i="37" a="1"/>
  <c r="AM39" i="37" s="1"/>
  <c r="AM40" i="37" a="1"/>
  <c r="AM40" i="37" s="1"/>
  <c r="AM29" i="37" a="1"/>
  <c r="AM29" i="37" s="1"/>
  <c r="AM41" i="37" a="1"/>
  <c r="AM41" i="37" s="1"/>
  <c r="AM33" i="37" a="1"/>
  <c r="AM33" i="37" s="1"/>
  <c r="AM42" i="37" a="1"/>
  <c r="AM42" i="37" s="1"/>
  <c r="AM539" i="37" a="1"/>
  <c r="AM539" i="37" s="1"/>
  <c r="AM85" i="37" a="1"/>
  <c r="AM85" i="37" s="1"/>
  <c r="AM43" i="37" a="1"/>
  <c r="AM43" i="37" s="1"/>
  <c r="AM44" i="37" a="1"/>
  <c r="AM44" i="37" s="1"/>
  <c r="AM535" i="37" a="1"/>
  <c r="AM535" i="37" s="1"/>
  <c r="AM45" i="37" a="1"/>
  <c r="AM45" i="37" s="1"/>
  <c r="AM17" i="37" a="1"/>
  <c r="AM17" i="37" s="1"/>
  <c r="AM70" i="37" a="1"/>
  <c r="AM70" i="37" s="1"/>
  <c r="AM30" i="37" a="1"/>
  <c r="AM30" i="37" s="1"/>
  <c r="AM18" i="37" a="1"/>
  <c r="AM18" i="37" s="1"/>
  <c r="AM62" i="37" a="1"/>
  <c r="AM62" i="37" s="1"/>
  <c r="AM57" i="37" a="1"/>
  <c r="AM57" i="37" s="1"/>
  <c r="AM46" i="37" a="1"/>
  <c r="AM46" i="37" s="1"/>
  <c r="AM61" i="37" a="1"/>
  <c r="AM61" i="37" s="1"/>
  <c r="AM71" i="37" a="1"/>
  <c r="AM71" i="37" s="1"/>
  <c r="AM31" i="37" a="1"/>
  <c r="AM31" i="37" s="1"/>
  <c r="AM541" i="37" a="1"/>
  <c r="AM541" i="37" s="1"/>
  <c r="AM56" i="37" a="1"/>
  <c r="AM56" i="37" s="1"/>
  <c r="AM536" i="37" a="1"/>
  <c r="AM536" i="37" s="1"/>
  <c r="AM47" i="37" a="1"/>
  <c r="AM47" i="37" s="1"/>
  <c r="AM86" i="37" a="1"/>
  <c r="AM86" i="37" s="1"/>
  <c r="AM72" i="37" a="1"/>
  <c r="AM72" i="37" s="1"/>
  <c r="AM48" i="37" a="1"/>
  <c r="AM48" i="37" s="1"/>
  <c r="AM547" i="37" a="1"/>
  <c r="AM547" i="37" s="1"/>
  <c r="AM115" i="37" a="1"/>
  <c r="AM115" i="37" s="1"/>
  <c r="AM562" i="37" a="1"/>
  <c r="AM562" i="37" s="1"/>
  <c r="AM58" i="37" a="1"/>
  <c r="AM58" i="37" s="1"/>
  <c r="AM63" i="37" a="1"/>
  <c r="AM63" i="37" s="1"/>
  <c r="AM34" i="37" a="1"/>
  <c r="AM34" i="37" s="1"/>
  <c r="AM540" i="37" a="1"/>
  <c r="AM540" i="37" s="1"/>
  <c r="AM116" i="37" a="1"/>
  <c r="AM116" i="37" s="1"/>
  <c r="AM12" i="37" a="1"/>
  <c r="AM12" i="37" s="1"/>
  <c r="AM32" i="37" a="1"/>
  <c r="AM32" i="37" s="1"/>
  <c r="AM73" i="37" a="1"/>
  <c r="AM73" i="37" s="1"/>
  <c r="AM74" i="37" a="1"/>
  <c r="AM74" i="37" s="1"/>
  <c r="AM542" i="37" a="1"/>
  <c r="AM542" i="37" s="1"/>
  <c r="AM75" i="37" a="1"/>
  <c r="AM75" i="37" s="1"/>
  <c r="AM543" i="37" a="1"/>
  <c r="AM543" i="37" s="1"/>
  <c r="AM117" i="37" a="1"/>
  <c r="AM117" i="37" s="1"/>
  <c r="AM546" i="37" a="1"/>
  <c r="AM546" i="37" s="1"/>
  <c r="AM99" i="37" a="1"/>
  <c r="AM99" i="37" s="1"/>
  <c r="AM67" i="37" a="1"/>
  <c r="AM67" i="37" s="1"/>
  <c r="AM100" i="37" a="1"/>
  <c r="AM100" i="37" s="1"/>
  <c r="AM68" i="37" a="1"/>
  <c r="AM68" i="37" s="1"/>
  <c r="AM64" i="37" a="1"/>
  <c r="AM64" i="37" s="1"/>
  <c r="AM101" i="37" a="1"/>
  <c r="AM101" i="37" s="1"/>
  <c r="AM65" i="37" a="1"/>
  <c r="AM65" i="37" s="1"/>
  <c r="AM92" i="37" a="1"/>
  <c r="AM92" i="37" s="1"/>
  <c r="AM49" i="37" a="1"/>
  <c r="AM49" i="37" s="1"/>
  <c r="AM185" i="37" a="1"/>
  <c r="AM185" i="37" s="1"/>
  <c r="AM163" i="37" a="1"/>
  <c r="AM163" i="37" s="1"/>
  <c r="AM76" i="37" a="1"/>
  <c r="AM76" i="37" s="1"/>
  <c r="AM87" i="37" a="1"/>
  <c r="AM87" i="37" s="1"/>
  <c r="AM82" i="37" a="1"/>
  <c r="AM82" i="37" s="1"/>
  <c r="AM88" i="37" a="1"/>
  <c r="AM88" i="37" s="1"/>
  <c r="AM554" i="37" a="1"/>
  <c r="AM554" i="37" s="1"/>
  <c r="AM93" i="37" a="1"/>
  <c r="AM93" i="37" s="1"/>
  <c r="AM118" i="37" a="1"/>
  <c r="AM118" i="37" s="1"/>
  <c r="AM83" i="37" a="1"/>
  <c r="AM83" i="37" s="1"/>
  <c r="AM164" i="37" a="1"/>
  <c r="AM164" i="37" s="1"/>
  <c r="AM119" i="37" a="1"/>
  <c r="AM119" i="37" s="1"/>
  <c r="AM549" i="37" a="1"/>
  <c r="AM549" i="37" s="1"/>
  <c r="AM50" i="37" a="1"/>
  <c r="AM50" i="37" s="1"/>
  <c r="AM120" i="37" a="1"/>
  <c r="AM120" i="37" s="1"/>
  <c r="AM121" i="37" a="1"/>
  <c r="AM121" i="37" s="1"/>
  <c r="AM84" i="37" a="1"/>
  <c r="AM84" i="37" s="1"/>
  <c r="AM165" i="37" a="1"/>
  <c r="AM165" i="37" s="1"/>
  <c r="AM206" i="37" a="1"/>
  <c r="AM206" i="37" s="1"/>
  <c r="AM89" i="37" a="1"/>
  <c r="AM89" i="37" s="1"/>
  <c r="AM574" i="37" a="1"/>
  <c r="AM574" i="37" s="1"/>
  <c r="AM166" i="37" a="1"/>
  <c r="AM166" i="37" s="1"/>
  <c r="AM167" i="37" a="1"/>
  <c r="AM167" i="37" s="1"/>
  <c r="AM77" i="37" a="1"/>
  <c r="AM77" i="37" s="1"/>
  <c r="AM123" i="37" a="1"/>
  <c r="AM123" i="37" s="1"/>
  <c r="AM122" i="37" a="1"/>
  <c r="AM122" i="37" s="1"/>
  <c r="AM575" i="37" a="1"/>
  <c r="AM575" i="37" s="1"/>
  <c r="AM96" i="37" a="1"/>
  <c r="AM96" i="37" s="1"/>
  <c r="AM186" i="37" a="1"/>
  <c r="AM186" i="37" s="1"/>
  <c r="AM176" i="37" a="1"/>
  <c r="AM176" i="37" s="1"/>
  <c r="AM151" i="37" a="1"/>
  <c r="AM151" i="37" s="1"/>
  <c r="AM97" i="37" a="1"/>
  <c r="AM97" i="37" s="1"/>
  <c r="AM274" i="37" a="1"/>
  <c r="AM274" i="37" s="1"/>
  <c r="AM545" i="37" a="1"/>
  <c r="AM545" i="37" s="1"/>
  <c r="AM187" i="37" a="1"/>
  <c r="AM187" i="37" s="1"/>
  <c r="AM207" i="37" a="1"/>
  <c r="AM207" i="37" s="1"/>
  <c r="AM9" i="37" a="1"/>
  <c r="AM9" i="37" s="1"/>
  <c r="AM570" i="37" a="1"/>
  <c r="AM570" i="37" s="1"/>
  <c r="AM296" i="37" a="1"/>
  <c r="AM296" i="37" s="1"/>
  <c r="AM102" i="37" a="1"/>
  <c r="AM102" i="37" s="1"/>
  <c r="AM66" i="37" a="1"/>
  <c r="AM66" i="37" s="1"/>
  <c r="AM177" i="37" a="1"/>
  <c r="AM177" i="37" s="1"/>
  <c r="AM297" i="37" a="1"/>
  <c r="AM297" i="37" s="1"/>
  <c r="AM576" i="37" a="1"/>
  <c r="AM576" i="37" s="1"/>
  <c r="AM156" i="37" a="1"/>
  <c r="AM156" i="37" s="1"/>
  <c r="AM188" i="37" a="1"/>
  <c r="AM188" i="37" s="1"/>
  <c r="AM189" i="37" a="1"/>
  <c r="AM189" i="37" s="1"/>
  <c r="AM103" i="37" a="1"/>
  <c r="AM103" i="37" s="1"/>
  <c r="AM190" i="37" a="1"/>
  <c r="AM190" i="37" s="1"/>
  <c r="AM152" i="37" a="1"/>
  <c r="AM152" i="37" s="1"/>
  <c r="AM208" i="37" a="1"/>
  <c r="AM208" i="37" s="1"/>
  <c r="AM209" i="37" a="1"/>
  <c r="AM209" i="37" s="1"/>
  <c r="AM210" i="37" a="1"/>
  <c r="AM210" i="37" s="1"/>
  <c r="AM596" i="37" a="1"/>
  <c r="AM596" i="37" s="1"/>
  <c r="AM168" i="37" a="1"/>
  <c r="AM168" i="37" s="1"/>
  <c r="AM568" i="37" a="1"/>
  <c r="AM568" i="37" s="1"/>
  <c r="AM124" i="37" a="1"/>
  <c r="AM124" i="37" s="1"/>
  <c r="AM571" i="37" a="1"/>
  <c r="AM571" i="37" s="1"/>
  <c r="AM175" i="37" a="1"/>
  <c r="AM175" i="37" s="1"/>
  <c r="AM211" i="37" a="1"/>
  <c r="AM211" i="37" s="1"/>
  <c r="AM104" i="37" a="1"/>
  <c r="AM104" i="37" s="1"/>
  <c r="AM125" i="37" a="1"/>
  <c r="AM125" i="37" s="1"/>
  <c r="AM105" i="37" a="1"/>
  <c r="AM105" i="37" s="1"/>
  <c r="AM126" i="37" a="1"/>
  <c r="AM126" i="37" s="1"/>
  <c r="AM548" i="37" a="1"/>
  <c r="AM548" i="37" s="1"/>
  <c r="AM191" i="37" a="1"/>
  <c r="AM191" i="37" s="1"/>
  <c r="AM563" i="37" a="1"/>
  <c r="AM563" i="37" s="1"/>
  <c r="AM213" i="37" a="1"/>
  <c r="AM213" i="37" s="1"/>
  <c r="AM298" i="37" a="1"/>
  <c r="AM298" i="37" s="1"/>
  <c r="AM106" i="37" a="1"/>
  <c r="AM106" i="37" s="1"/>
  <c r="AM212" i="37" a="1"/>
  <c r="AM212" i="37" s="1"/>
  <c r="AM564" i="37" a="1"/>
  <c r="AM564" i="37" s="1"/>
  <c r="AM577" i="37" a="1"/>
  <c r="AM577" i="37" s="1"/>
  <c r="AM107" i="37" a="1"/>
  <c r="AM107" i="37" s="1"/>
  <c r="AM157" i="37" a="1"/>
  <c r="AM157" i="37" s="1"/>
  <c r="AM214" i="37" a="1"/>
  <c r="AM214" i="37" s="1"/>
  <c r="AM158" i="37" a="1"/>
  <c r="AM158" i="37" s="1"/>
  <c r="AM578" i="37" a="1"/>
  <c r="AM578" i="37" s="1"/>
  <c r="AM215" i="37" a="1"/>
  <c r="AM215" i="37" s="1"/>
  <c r="AM155" i="37" a="1"/>
  <c r="AM155" i="37" s="1"/>
  <c r="AM216" i="37" a="1"/>
  <c r="AM216" i="37" s="1"/>
  <c r="AM217" i="37" a="1"/>
  <c r="AM217" i="37" s="1"/>
  <c r="AM127" i="37" a="1"/>
  <c r="AM127" i="37" s="1"/>
  <c r="AM90" i="37" a="1"/>
  <c r="AM90" i="37" s="1"/>
  <c r="AM153" i="37" a="1"/>
  <c r="AM153" i="37" s="1"/>
  <c r="AM128" i="37" a="1"/>
  <c r="AM128" i="37" s="1"/>
  <c r="AM299" i="37" a="1"/>
  <c r="AM299" i="37" s="1"/>
  <c r="AM192" i="37" a="1"/>
  <c r="AM192" i="37" s="1"/>
  <c r="AM129" i="37" a="1"/>
  <c r="AM129" i="37" s="1"/>
  <c r="AM565" i="37" a="1"/>
  <c r="AM565" i="37" s="1"/>
  <c r="AM130" i="37" a="1"/>
  <c r="AM130" i="37" s="1"/>
  <c r="AM218" i="37" a="1"/>
  <c r="AM218" i="37" s="1"/>
  <c r="AM131" i="37" a="1"/>
  <c r="AM131" i="37" s="1"/>
  <c r="AM154" i="37" a="1"/>
  <c r="AM154" i="37" s="1"/>
  <c r="AM555" i="37" a="1"/>
  <c r="AM555" i="37" s="1"/>
  <c r="AM579" i="37" a="1"/>
  <c r="AM579" i="37" s="1"/>
  <c r="AM132" i="37" a="1"/>
  <c r="AM132" i="37" s="1"/>
  <c r="AM580" i="37" a="1"/>
  <c r="AM580" i="37" s="1"/>
  <c r="AM219" i="37" a="1"/>
  <c r="AM219" i="37" s="1"/>
  <c r="AM133" i="37" a="1"/>
  <c r="AM133" i="37" s="1"/>
  <c r="AM134" i="37" a="1"/>
  <c r="AM134" i="37" s="1"/>
  <c r="AM599" i="37" a="1"/>
  <c r="AM599" i="37" s="1"/>
  <c r="AM220" i="37" a="1"/>
  <c r="AM220" i="37" s="1"/>
  <c r="AM221" i="37" a="1"/>
  <c r="AM221" i="37" s="1"/>
  <c r="AM59" i="37" a="1"/>
  <c r="AM59" i="37" s="1"/>
  <c r="AM222" i="37" a="1"/>
  <c r="AM222" i="37" s="1"/>
  <c r="AM223" i="37" a="1"/>
  <c r="AM223" i="37" s="1"/>
  <c r="AM275" i="37" a="1"/>
  <c r="AM275" i="37" s="1"/>
  <c r="AM51" i="37" a="1"/>
  <c r="AM51" i="37" s="1"/>
  <c r="AM224" i="37" a="1"/>
  <c r="AM224" i="37" s="1"/>
  <c r="AM78" i="37" a="1"/>
  <c r="AM78" i="37" s="1"/>
  <c r="AM225" i="37" a="1"/>
  <c r="AM225" i="37" s="1"/>
  <c r="AM35" i="37" a="1"/>
  <c r="AM35" i="37" s="1"/>
  <c r="AM226" i="37" a="1"/>
  <c r="AM226" i="37" s="1"/>
  <c r="AM169" i="37" a="1"/>
  <c r="AM169" i="37" s="1"/>
  <c r="AM170" i="37" a="1"/>
  <c r="AM170" i="37" s="1"/>
  <c r="AM557" i="37" a="1"/>
  <c r="AM557" i="37" s="1"/>
  <c r="AM361" i="37" a="1"/>
  <c r="AM361" i="37" s="1"/>
  <c r="AM558" i="37" a="1"/>
  <c r="AM558" i="37" s="1"/>
  <c r="AM227" i="37" a="1"/>
  <c r="AM227" i="37" s="1"/>
  <c r="AM556" i="37" a="1"/>
  <c r="AM556" i="37" s="1"/>
  <c r="AM228" i="37" a="1"/>
  <c r="AM228" i="37" s="1"/>
  <c r="AM171" i="37" a="1"/>
  <c r="AM171" i="37" s="1"/>
  <c r="AM178" i="37" a="1"/>
  <c r="AM178" i="37" s="1"/>
  <c r="AM595" i="37" a="1"/>
  <c r="AM595" i="37" s="1"/>
  <c r="AM193" i="37" a="1"/>
  <c r="AM193" i="37" s="1"/>
  <c r="AM69" i="37" a="1"/>
  <c r="AM69" i="37" s="1"/>
  <c r="AM179" i="37" a="1"/>
  <c r="AM179" i="37" s="1"/>
  <c r="AM135" i="37" a="1"/>
  <c r="AM135" i="37" s="1"/>
  <c r="AM108" i="37" a="1"/>
  <c r="AM108" i="37" s="1"/>
  <c r="AM300" i="37" a="1"/>
  <c r="AM300" i="37" s="1"/>
  <c r="AM98" i="37" a="1"/>
  <c r="AM98" i="37" s="1"/>
  <c r="AM159" i="37" a="1"/>
  <c r="AM159" i="37" s="1"/>
  <c r="AM597" i="37" a="1"/>
  <c r="AM597" i="37" s="1"/>
  <c r="AM560" i="37" a="1"/>
  <c r="AM560" i="37" s="1"/>
  <c r="AM79" i="37" a="1"/>
  <c r="AM79" i="37" s="1"/>
  <c r="AM279" i="37" a="1"/>
  <c r="AM279" i="37" s="1"/>
  <c r="AM569" i="37" a="1"/>
  <c r="AM569" i="37" s="1"/>
  <c r="AM229" i="37" a="1"/>
  <c r="AM229" i="37" s="1"/>
  <c r="AM230" i="37" a="1"/>
  <c r="AM230" i="37" s="1"/>
  <c r="AM301" i="37" a="1"/>
  <c r="AM301" i="37" s="1"/>
  <c r="AM437" i="37" a="1"/>
  <c r="AM437" i="37" s="1"/>
  <c r="AM160" i="37" a="1"/>
  <c r="AM160" i="37" s="1"/>
  <c r="AM280" i="37" a="1"/>
  <c r="AM280" i="37" s="1"/>
  <c r="AM302" i="37" a="1"/>
  <c r="AM302" i="37" s="1"/>
  <c r="AM231" i="37" a="1"/>
  <c r="AM231" i="37" s="1"/>
  <c r="AM303" i="37" a="1"/>
  <c r="AM303" i="37" s="1"/>
  <c r="AM304" i="37" a="1"/>
  <c r="AM304" i="37" s="1"/>
  <c r="AM305" i="37" a="1"/>
  <c r="AM305" i="37" s="1"/>
  <c r="AM194" i="37" a="1"/>
  <c r="AM194" i="37" s="1"/>
  <c r="AM265" i="37" a="1"/>
  <c r="AM265" i="37" s="1"/>
  <c r="AM306" i="37" a="1"/>
  <c r="AM306" i="37" s="1"/>
  <c r="AM232" i="37" a="1"/>
  <c r="AM232" i="37" s="1"/>
  <c r="AM195" i="37" a="1"/>
  <c r="AM195" i="37" s="1"/>
  <c r="AM598" i="37" a="1"/>
  <c r="AM598" i="37" s="1"/>
  <c r="AM281" i="37" a="1"/>
  <c r="AM281" i="37" s="1"/>
  <c r="AM600" i="37" a="1"/>
  <c r="AM600" i="37" s="1"/>
  <c r="AM80" i="37" a="1"/>
  <c r="AM80" i="37" s="1"/>
  <c r="AM270" i="37" a="1"/>
  <c r="AM270" i="37" s="1"/>
  <c r="AM180" i="37" a="1"/>
  <c r="AM180" i="37" s="1"/>
  <c r="AM307" i="37" a="1"/>
  <c r="AM307" i="37" s="1"/>
  <c r="AM267" i="37" a="1"/>
  <c r="AM267" i="37" s="1"/>
  <c r="AM196" i="37" a="1"/>
  <c r="AM196" i="37" s="1"/>
  <c r="AM269" i="37" a="1"/>
  <c r="AM269" i="37" s="1"/>
  <c r="AM198" i="37" a="1"/>
  <c r="AM198" i="37" s="1"/>
  <c r="AM282" i="37" a="1"/>
  <c r="AM282" i="37" s="1"/>
  <c r="AM308" i="37" a="1"/>
  <c r="AM308" i="37" s="1"/>
  <c r="AM471" i="37" a="1"/>
  <c r="AM471" i="37" s="1"/>
  <c r="AM283" i="37" a="1"/>
  <c r="AM283" i="37" s="1"/>
  <c r="AM161" i="37" a="1"/>
  <c r="AM161" i="37" s="1"/>
  <c r="AM581" i="37" a="1"/>
  <c r="AM581" i="37" s="1"/>
  <c r="AM234" i="37" a="1"/>
  <c r="AM234" i="37" s="1"/>
  <c r="AM233" i="37" a="1"/>
  <c r="AM233" i="37" s="1"/>
  <c r="AM235" i="37" a="1"/>
  <c r="AM235" i="37" s="1"/>
  <c r="AM268" i="37" a="1"/>
  <c r="AM268" i="37" s="1"/>
  <c r="AM199" i="37" a="1"/>
  <c r="AM199" i="37" s="1"/>
  <c r="AM236" i="37" a="1"/>
  <c r="AM236" i="37" s="1"/>
  <c r="AM582" i="37" a="1"/>
  <c r="AM582" i="37" s="1"/>
  <c r="AM237" i="37" a="1"/>
  <c r="AM237" i="37" s="1"/>
  <c r="AM238" i="37" a="1"/>
  <c r="AM238" i="37" s="1"/>
  <c r="AM583" i="37" a="1"/>
  <c r="AM583" i="37" s="1"/>
  <c r="AM172" i="37" a="1"/>
  <c r="AM172" i="37" s="1"/>
  <c r="AM239" i="37" a="1"/>
  <c r="AM239" i="37" s="1"/>
  <c r="AM363" i="37" a="1"/>
  <c r="AM363" i="37" s="1"/>
  <c r="AM364" i="37" a="1"/>
  <c r="AM364" i="37" s="1"/>
  <c r="AM362" i="37" a="1"/>
  <c r="AM362" i="37" s="1"/>
  <c r="AM594" i="37" a="1"/>
  <c r="AM594" i="37" s="1"/>
  <c r="AM612" i="37" a="1"/>
  <c r="AM612" i="37" s="1"/>
  <c r="AM266" i="37" a="1"/>
  <c r="AM266" i="37" s="1"/>
  <c r="AM309" i="37" a="1"/>
  <c r="AM309" i="37" s="1"/>
  <c r="AM365" i="37" a="1"/>
  <c r="AM365" i="37" s="1"/>
  <c r="AM240" i="37" a="1"/>
  <c r="AM240" i="37" s="1"/>
  <c r="AM91" i="37" a="1"/>
  <c r="AM91" i="37" s="1"/>
  <c r="AM613" i="37" a="1"/>
  <c r="AM613" i="37" s="1"/>
  <c r="AM551" i="37" a="1"/>
  <c r="AM551" i="37" s="1"/>
  <c r="AM271" i="37" a="1"/>
  <c r="AM271" i="37" s="1"/>
  <c r="AM584" i="37" a="1"/>
  <c r="AM584" i="37" s="1"/>
  <c r="AM52" i="37" a="1"/>
  <c r="AM52" i="37" s="1"/>
  <c r="AM366" i="37" a="1"/>
  <c r="AM366" i="37" s="1"/>
  <c r="AM241" i="37" a="1"/>
  <c r="AM241" i="37" s="1"/>
  <c r="AM614" i="37" a="1"/>
  <c r="AM614" i="37" s="1"/>
  <c r="AM367" i="37" a="1"/>
  <c r="AM367" i="37" s="1"/>
  <c r="AM544" i="37" a="1"/>
  <c r="AM544" i="37" s="1"/>
  <c r="AM136" i="37" a="1"/>
  <c r="AM136" i="37" s="1"/>
  <c r="AM585" i="37" a="1"/>
  <c r="AM585" i="37" s="1"/>
  <c r="AM371" i="37" a="1"/>
  <c r="AM371" i="37" s="1"/>
  <c r="AM369" i="37" a="1"/>
  <c r="AM369" i="37" s="1"/>
  <c r="AM615" i="37" a="1"/>
  <c r="AM615" i="37" s="1"/>
  <c r="AM368" i="37" a="1"/>
  <c r="AM368" i="37" s="1"/>
  <c r="AM370" i="37" a="1"/>
  <c r="AM370" i="37" s="1"/>
  <c r="AM242" i="37" a="1"/>
  <c r="AM242" i="37" s="1"/>
  <c r="AM244" i="37" a="1"/>
  <c r="AM244" i="37" s="1"/>
  <c r="AM372" i="37" a="1"/>
  <c r="AM372" i="37" s="1"/>
  <c r="AM566" i="37" a="1"/>
  <c r="AM566" i="37" s="1"/>
  <c r="AM243" i="37" a="1"/>
  <c r="AM243" i="37" s="1"/>
  <c r="AM407" i="37" a="1"/>
  <c r="AM407" i="37" s="1"/>
  <c r="AM8" i="37" a="1"/>
  <c r="AM8" i="37" s="1"/>
  <c r="AM310" i="37" a="1"/>
  <c r="AM310" i="37" s="1"/>
  <c r="AM385" i="37" a="1"/>
  <c r="AM385" i="37" s="1"/>
  <c r="AM94" i="37" a="1"/>
  <c r="AM94" i="37" s="1"/>
  <c r="AM55" i="37" a="1"/>
  <c r="AM55" i="37" s="1"/>
  <c r="AM258" i="37" a="1"/>
  <c r="AM258" i="37" s="1"/>
  <c r="AM137" i="37" a="1"/>
  <c r="AM137" i="37" s="1"/>
  <c r="AM54" i="37" a="1"/>
  <c r="AM54" i="37" s="1"/>
  <c r="AM418" i="37" a="1"/>
  <c r="AM418" i="37" s="1"/>
  <c r="AM174" i="37" a="1"/>
  <c r="AM174" i="37" s="1"/>
  <c r="AM311" i="37" a="1"/>
  <c r="AM311" i="37" s="1"/>
  <c r="AM416" i="37" a="1"/>
  <c r="AM416" i="37" s="1"/>
  <c r="AM312" i="37" a="1"/>
  <c r="AM312" i="37" s="1"/>
  <c r="AM145" i="37" a="1"/>
  <c r="AM145" i="37" s="1"/>
  <c r="AM278" i="37" a="1"/>
  <c r="AM278" i="37" s="1"/>
  <c r="AM181" i="37" a="1"/>
  <c r="AM181" i="37" s="1"/>
  <c r="AM375" i="37" a="1"/>
  <c r="AM375" i="37" s="1"/>
  <c r="AM146" i="37" a="1"/>
  <c r="AM146" i="37" s="1"/>
  <c r="AM388" i="37" a="1"/>
  <c r="AM388" i="37" s="1"/>
  <c r="AM419" i="37" a="1"/>
  <c r="AM419" i="37" s="1"/>
  <c r="AM60" i="37" a="1"/>
  <c r="AM60" i="37" s="1"/>
  <c r="AM81" i="37" a="1"/>
  <c r="AM81" i="37" s="1"/>
  <c r="AM149" i="37" a="1"/>
  <c r="AM149" i="37" s="1"/>
  <c r="AM246" i="37" a="1"/>
  <c r="AM246" i="37" s="1"/>
  <c r="AM590" i="37" a="1"/>
  <c r="AM590" i="37" s="1"/>
  <c r="AM254" i="37" a="1"/>
  <c r="AM254" i="37" s="1"/>
  <c r="AM373" i="37" a="1"/>
  <c r="AM373" i="37" s="1"/>
  <c r="AM376" i="37" a="1"/>
  <c r="AM376" i="37" s="1"/>
  <c r="AM378" i="37" a="1"/>
  <c r="AM378" i="37" s="1"/>
  <c r="AM410" i="37" a="1"/>
  <c r="AM410" i="37" s="1"/>
  <c r="AM409" i="37" a="1"/>
  <c r="AM409" i="37" s="1"/>
  <c r="AM420" i="37" a="1"/>
  <c r="AM420" i="37" s="1"/>
  <c r="AM248" i="37" a="1"/>
  <c r="AM248" i="37" s="1"/>
  <c r="AM247" i="37" a="1"/>
  <c r="AM247" i="37" s="1"/>
  <c r="AM259" i="37" a="1"/>
  <c r="AM259" i="37" s="1"/>
  <c r="AM402" i="37" a="1"/>
  <c r="AM402" i="37" s="1"/>
  <c r="AM415" i="37" a="1"/>
  <c r="AM415" i="37" s="1"/>
  <c r="AM417" i="37" a="1"/>
  <c r="AM417" i="37" s="1"/>
  <c r="AM53" i="37" a="1"/>
  <c r="AM53" i="37" s="1"/>
  <c r="AM140" i="37" a="1"/>
  <c r="AM140" i="37" s="1"/>
  <c r="AM142" i="37" a="1"/>
  <c r="AM142" i="37" s="1"/>
  <c r="AM109" i="37" a="1"/>
  <c r="AM109" i="37" s="1"/>
  <c r="AM313" i="37" a="1"/>
  <c r="AM313" i="37" s="1"/>
  <c r="AM314" i="37" a="1"/>
  <c r="AM314" i="37" s="1"/>
  <c r="AM601" i="37" a="1"/>
  <c r="AM601" i="37" s="1"/>
  <c r="AM315" i="37" a="1"/>
  <c r="AM315" i="37" s="1"/>
  <c r="AM618" i="37" a="1"/>
  <c r="AM618" i="37" s="1"/>
  <c r="AM143" i="37" a="1"/>
  <c r="AM143" i="37" s="1"/>
  <c r="AM622" i="37" a="1"/>
  <c r="AM622" i="37" s="1"/>
  <c r="AM316" i="37" a="1"/>
  <c r="AM316" i="37" s="1"/>
  <c r="AM552" i="37" a="1"/>
  <c r="AM552" i="37" s="1"/>
  <c r="AM317" i="37" a="1"/>
  <c r="AM317" i="37" s="1"/>
  <c r="AM182" i="37" a="1"/>
  <c r="AM182" i="37" s="1"/>
  <c r="AM200" i="37" a="1"/>
  <c r="AM200" i="37" s="1"/>
  <c r="AM284" i="37" a="1"/>
  <c r="AM284" i="37" s="1"/>
  <c r="AM427" i="37" a="1"/>
  <c r="AM427" i="37" s="1"/>
  <c r="AM147" i="37" a="1"/>
  <c r="AM147" i="37" s="1"/>
  <c r="AM173" i="37" a="1"/>
  <c r="AM173" i="37" s="1"/>
  <c r="AM318" i="37" a="1"/>
  <c r="AM318" i="37" s="1"/>
  <c r="AM435" i="37" a="1"/>
  <c r="AM435" i="37" s="1"/>
  <c r="AM285" i="37" a="1"/>
  <c r="AM285" i="37" s="1"/>
  <c r="AM602" i="37" a="1"/>
  <c r="AM602" i="37" s="1"/>
  <c r="AM319" i="37" a="1"/>
  <c r="AM319" i="37" s="1"/>
  <c r="AM148" i="37" a="1"/>
  <c r="AM148" i="37" s="1"/>
  <c r="AM320" i="37" a="1"/>
  <c r="AM320" i="37" s="1"/>
  <c r="AM321" i="37" a="1"/>
  <c r="AM321" i="37" s="1"/>
  <c r="AM150" i="37" a="1"/>
  <c r="AM150" i="37" s="1"/>
  <c r="AM322" i="37" a="1"/>
  <c r="AM322" i="37" s="1"/>
  <c r="AM323" i="37" a="1"/>
  <c r="AM323" i="37" s="1"/>
  <c r="AM621" i="37" a="1"/>
  <c r="AM621" i="37" s="1"/>
  <c r="AM424" i="37" a="1"/>
  <c r="AM424" i="37" s="1"/>
  <c r="AM201" i="37" a="1"/>
  <c r="AM201" i="37" s="1"/>
  <c r="AM440" i="37" a="1"/>
  <c r="AM440" i="37" s="1"/>
  <c r="AM110" i="37" a="1"/>
  <c r="AM110" i="37" s="1"/>
  <c r="AM286" i="37" a="1"/>
  <c r="AM286" i="37" s="1"/>
  <c r="AM325" i="37" a="1"/>
  <c r="AM325" i="37" s="1"/>
  <c r="AM423" i="37" a="1"/>
  <c r="AM423" i="37" s="1"/>
  <c r="AM431" i="37" a="1"/>
  <c r="AM431" i="37" s="1"/>
  <c r="AM421" i="37" a="1"/>
  <c r="AM421" i="37" s="1"/>
  <c r="AM245" i="37" a="1"/>
  <c r="AM245" i="37" s="1"/>
  <c r="AM434" i="37" a="1"/>
  <c r="AM434" i="37" s="1"/>
  <c r="AM324" i="37" a="1"/>
  <c r="AM324" i="37" s="1"/>
  <c r="AM572" i="37" a="1"/>
  <c r="AM572" i="37" s="1"/>
  <c r="AM202" i="37" a="1"/>
  <c r="AM202" i="37" s="1"/>
  <c r="AM588" i="37" a="1"/>
  <c r="AM588" i="37" s="1"/>
  <c r="AM603" i="37" a="1"/>
  <c r="AM603" i="37" s="1"/>
  <c r="AM619" i="37" a="1"/>
  <c r="AM619" i="37" s="1"/>
  <c r="AM250" i="37" a="1"/>
  <c r="AM250" i="37" s="1"/>
  <c r="AM441" i="37" a="1"/>
  <c r="AM441" i="37" s="1"/>
  <c r="AM438" i="37" a="1"/>
  <c r="AM438" i="37" s="1"/>
  <c r="AM327" i="37" a="1"/>
  <c r="AM327" i="37" s="1"/>
  <c r="AM426" i="37" a="1"/>
  <c r="AM426" i="37" s="1"/>
  <c r="AM287" i="37" a="1"/>
  <c r="AM287" i="37" s="1"/>
  <c r="AM95" i="37" a="1"/>
  <c r="AM95" i="37" s="1"/>
  <c r="AM326" i="37" a="1"/>
  <c r="AM326" i="37" s="1"/>
  <c r="AM249" i="37" a="1"/>
  <c r="AM249" i="37" s="1"/>
  <c r="AM425" i="37" a="1"/>
  <c r="AM425" i="37" s="1"/>
  <c r="AM604" i="37" a="1"/>
  <c r="AM604" i="37" s="1"/>
  <c r="AM162" i="37" a="1"/>
  <c r="AM162" i="37" s="1"/>
  <c r="AM276" i="37" a="1"/>
  <c r="AM276" i="37" s="1"/>
  <c r="AM328" i="37" a="1"/>
  <c r="AM328" i="37" s="1"/>
  <c r="AM472" i="37" a="1"/>
  <c r="AM472" i="37" s="1"/>
  <c r="AM272" i="37" a="1"/>
  <c r="AM272" i="37" s="1"/>
  <c r="AM255" i="37" a="1"/>
  <c r="AM255" i="37" s="1"/>
  <c r="AM277" i="37" a="1"/>
  <c r="AM277" i="37" s="1"/>
  <c r="AM442" i="37" a="1"/>
  <c r="AM442" i="37" s="1"/>
  <c r="AM591" i="37" a="1"/>
  <c r="AM591" i="37" s="1"/>
  <c r="AM592" i="37" a="1"/>
  <c r="AM592" i="37" s="1"/>
  <c r="AM329" i="37" a="1"/>
  <c r="AM329" i="37" s="1"/>
  <c r="AM473" i="37" a="1"/>
  <c r="AM473" i="37" s="1"/>
  <c r="AM474" i="37" a="1"/>
  <c r="AM474" i="37" s="1"/>
  <c r="AM428" i="37" a="1"/>
  <c r="AM428" i="37" s="1"/>
  <c r="AM330" i="37" a="1"/>
  <c r="AM330" i="37" s="1"/>
  <c r="AM257" i="37" a="1"/>
  <c r="AM257" i="37" s="1"/>
  <c r="AM429" i="37" a="1"/>
  <c r="AM429" i="37" s="1"/>
  <c r="AM263" i="37" a="1"/>
  <c r="AM263" i="37" s="1"/>
  <c r="AM444" i="37" a="1"/>
  <c r="AM444" i="37" s="1"/>
  <c r="AM430" i="37" a="1"/>
  <c r="AM430" i="37" s="1"/>
  <c r="AM432" i="37" a="1"/>
  <c r="AM432" i="37" s="1"/>
  <c r="AM260" i="37" a="1"/>
  <c r="AM260" i="37" s="1"/>
  <c r="AM261" i="37" a="1"/>
  <c r="AM261" i="37" s="1"/>
  <c r="AM262" i="37" a="1"/>
  <c r="AM262" i="37" s="1"/>
  <c r="AM331" i="37" a="1"/>
  <c r="AM331" i="37" s="1"/>
  <c r="AM374" i="37" a="1"/>
  <c r="AM374" i="37" s="1"/>
  <c r="AM332" i="37" a="1"/>
  <c r="AM332" i="37" s="1"/>
  <c r="AM377" i="37" a="1"/>
  <c r="AM377" i="37" s="1"/>
  <c r="AM203" i="37" a="1"/>
  <c r="AM203" i="37" s="1"/>
  <c r="AM111" i="37" a="1"/>
  <c r="AM111" i="37" s="1"/>
  <c r="AM379" i="37" a="1"/>
  <c r="AM379" i="37" s="1"/>
  <c r="AM333" i="37" a="1"/>
  <c r="AM333" i="37" s="1"/>
  <c r="AM334" i="37" a="1"/>
  <c r="AM334" i="37" s="1"/>
  <c r="AM443" i="37" a="1"/>
  <c r="AM443" i="37" s="1"/>
  <c r="AM459" i="37" a="1"/>
  <c r="AM459" i="37" s="1"/>
  <c r="AM289" i="37" a="1"/>
  <c r="AM289" i="37" s="1"/>
  <c r="AM475" i="37" a="1"/>
  <c r="AM475" i="37" s="1"/>
  <c r="AM335" i="37" a="1"/>
  <c r="AM335" i="37" s="1"/>
  <c r="AM112" i="37" a="1"/>
  <c r="AM112" i="37" s="1"/>
  <c r="AM422" i="37" a="1"/>
  <c r="AM422" i="37" s="1"/>
  <c r="AM381" i="37" a="1"/>
  <c r="AM381" i="37" s="1"/>
  <c r="AM605" i="37" a="1"/>
  <c r="AM605" i="37" s="1"/>
  <c r="AM616" i="37" a="1"/>
  <c r="AM616" i="37" s="1"/>
  <c r="AM383" i="37" a="1"/>
  <c r="AM383" i="37" s="1"/>
  <c r="AM183" i="37" a="1"/>
  <c r="AM183" i="37" s="1"/>
  <c r="AM433" i="37" a="1"/>
  <c r="AM433" i="37" s="1"/>
  <c r="AM336" i="37" a="1"/>
  <c r="AM336" i="37" s="1"/>
  <c r="AM337" i="37" a="1"/>
  <c r="AM337" i="37" s="1"/>
  <c r="AM386" i="37" a="1"/>
  <c r="AM386" i="37" s="1"/>
  <c r="AM338" i="37" a="1"/>
  <c r="AM338" i="37" s="1"/>
  <c r="AM617" i="37" a="1"/>
  <c r="AM617" i="37" s="1"/>
  <c r="AM389" i="37" a="1"/>
  <c r="AM389" i="37" s="1"/>
  <c r="AM606" i="37" a="1"/>
  <c r="AM606" i="37" s="1"/>
  <c r="AM204" i="37" a="1"/>
  <c r="AM204" i="37" s="1"/>
  <c r="AM291" i="37" a="1"/>
  <c r="AM291" i="37" s="1"/>
  <c r="AM390" i="37" a="1"/>
  <c r="AM390" i="37" s="1"/>
  <c r="AM394" i="37" a="1"/>
  <c r="AM394" i="37" s="1"/>
  <c r="AM398" i="37" a="1"/>
  <c r="AM398" i="37" s="1"/>
  <c r="AM400" i="37" a="1"/>
  <c r="AM400" i="37" s="1"/>
  <c r="AM476" i="37" a="1"/>
  <c r="AM476" i="37" s="1"/>
  <c r="AM399" i="37" a="1"/>
  <c r="AM399" i="37" s="1"/>
  <c r="AM403" i="37" a="1"/>
  <c r="AM403" i="37" s="1"/>
  <c r="AM477" i="37" a="1"/>
  <c r="AM477" i="37" s="1"/>
  <c r="AM408" i="37" a="1"/>
  <c r="AM408" i="37" s="1"/>
  <c r="AM439" i="37" a="1"/>
  <c r="AM439" i="37" s="1"/>
  <c r="AM573" i="37" a="1"/>
  <c r="AM573" i="37" s="1"/>
  <c r="AM413" i="37" a="1"/>
  <c r="AM413" i="37" s="1"/>
  <c r="AM607" i="37" a="1"/>
  <c r="AM607" i="37" s="1"/>
  <c r="AM412" i="37" a="1"/>
  <c r="AM412" i="37" s="1"/>
  <c r="AM113" i="37" a="1"/>
  <c r="AM113" i="37" s="1"/>
  <c r="AM414" i="37" a="1"/>
  <c r="AM414" i="37" s="1"/>
  <c r="AM411" i="37" a="1"/>
  <c r="AM411" i="37" s="1"/>
  <c r="AM138" i="37" a="1"/>
  <c r="AM138" i="37" s="1"/>
  <c r="AM139" i="37" a="1"/>
  <c r="AM139" i="37" s="1"/>
  <c r="AM339" i="37" a="1"/>
  <c r="AM339" i="37" s="1"/>
  <c r="AM478" i="37" a="1"/>
  <c r="AM478" i="37" s="1"/>
  <c r="AM141" i="37" a="1"/>
  <c r="AM141" i="37" s="1"/>
  <c r="AM479" i="37" a="1"/>
  <c r="AM479" i="37" s="1"/>
  <c r="AM340" i="37" a="1"/>
  <c r="AM340" i="37" s="1"/>
  <c r="AM144" i="37" a="1"/>
  <c r="AM144" i="37" s="1"/>
  <c r="AM567" i="37" a="1"/>
  <c r="AM567" i="37" s="1"/>
  <c r="AM586" i="37" a="1"/>
  <c r="AM586" i="37" s="1"/>
  <c r="AM587" i="37" a="1"/>
  <c r="AM587" i="37" s="1"/>
  <c r="AM589" i="37" a="1"/>
  <c r="AM589" i="37" s="1"/>
  <c r="AM625" i="37" a="1"/>
  <c r="AM625" i="37" s="1"/>
  <c r="AM480" i="37" a="1"/>
  <c r="AM480" i="37" s="1"/>
  <c r="AM342" i="37" a="1"/>
  <c r="AM342" i="37" s="1"/>
  <c r="AM253" i="37" a="1"/>
  <c r="AM253" i="37" s="1"/>
  <c r="AM341" i="37" a="1"/>
  <c r="AM341" i="37" s="1"/>
  <c r="AM252" i="37" a="1"/>
  <c r="AM252" i="37" s="1"/>
  <c r="AM482" i="37" a="1"/>
  <c r="AM482" i="37" s="1"/>
  <c r="AM481" i="37" a="1"/>
  <c r="AM481" i="37" s="1"/>
  <c r="AM343" i="37" a="1"/>
  <c r="AM343" i="37" s="1"/>
  <c r="AM251" i="37" a="1"/>
  <c r="AM251" i="37" s="1"/>
  <c r="AM256" i="37" a="1"/>
  <c r="AM256" i="37" s="1"/>
  <c r="AM264" i="37" a="1"/>
  <c r="AM264" i="37" s="1"/>
  <c r="AM593" i="37" a="1"/>
  <c r="AM593" i="37" s="1"/>
  <c r="AM345" i="37" a="1"/>
  <c r="AM345" i="37" s="1"/>
  <c r="AM484" i="37" a="1"/>
  <c r="AM484" i="37" s="1"/>
  <c r="AM483" i="37" a="1"/>
  <c r="AM483" i="37" s="1"/>
  <c r="AM344" i="37" a="1"/>
  <c r="AM344" i="37" s="1"/>
  <c r="AM458" i="37" a="1"/>
  <c r="AM458" i="37" s="1"/>
  <c r="AM486" i="37" a="1"/>
  <c r="AM486" i="37" s="1"/>
  <c r="AM485" i="37" a="1"/>
  <c r="AM485" i="37" s="1"/>
  <c r="AM626" i="37" a="1"/>
  <c r="AM626" i="37" s="1"/>
  <c r="AM346" i="37" a="1"/>
  <c r="AM346" i="37" s="1"/>
  <c r="AM628" i="37" a="1"/>
  <c r="AM628" i="37" s="1"/>
  <c r="AM380" i="37" a="1"/>
  <c r="AM380" i="37" s="1"/>
  <c r="AM382" i="37" a="1"/>
  <c r="AM382" i="37" s="1"/>
  <c r="AM627" i="37" a="1"/>
  <c r="AM627" i="37" s="1"/>
  <c r="AM384" i="37" a="1"/>
  <c r="AM384" i="37" s="1"/>
  <c r="AM387" i="37" a="1"/>
  <c r="AM387" i="37" s="1"/>
  <c r="AM391" i="37" a="1"/>
  <c r="AM391" i="37" s="1"/>
  <c r="AM392" i="37" a="1"/>
  <c r="AM392" i="37" s="1"/>
  <c r="AM393" i="37" a="1"/>
  <c r="AM393" i="37" s="1"/>
  <c r="AM397" i="37" a="1"/>
  <c r="AM397" i="37" s="1"/>
  <c r="AM396" i="37" a="1"/>
  <c r="AM396" i="37" s="1"/>
  <c r="AM401" i="37" a="1"/>
  <c r="AM401" i="37" s="1"/>
  <c r="AM405" i="37" a="1"/>
  <c r="AM405" i="37" s="1"/>
  <c r="AM404" i="37" a="1"/>
  <c r="AM404" i="37" s="1"/>
  <c r="AM406" i="37" a="1"/>
  <c r="AM406" i="37" s="1"/>
  <c r="AM487" i="37" a="1"/>
  <c r="AM487" i="37" s="1"/>
  <c r="AM506" i="37" a="1"/>
  <c r="AM506" i="37" s="1"/>
  <c r="AM620" i="37" a="1"/>
  <c r="AM620" i="37" s="1"/>
  <c r="AM466" i="37" a="1"/>
  <c r="AM466" i="37" s="1"/>
  <c r="AM550" i="37" a="1"/>
  <c r="AM550" i="37" s="1"/>
  <c r="AM498" i="37" a="1"/>
  <c r="AM498" i="37" s="1"/>
  <c r="AM521" i="37" a="1"/>
  <c r="AM521" i="37" s="1"/>
  <c r="AM445" i="37" a="1"/>
  <c r="AM445" i="37" s="1"/>
  <c r="AM184" i="37" a="1"/>
  <c r="AM184" i="37" s="1"/>
  <c r="AM348" i="37" a="1"/>
  <c r="AM348" i="37" s="1"/>
  <c r="AM357" i="37" a="1"/>
  <c r="AM357" i="37" s="1"/>
  <c r="AM640" i="37" a="1"/>
  <c r="AM640" i="37" s="1"/>
  <c r="AM469" i="37" a="1"/>
  <c r="AM469" i="37" s="1"/>
  <c r="AM510" i="37" a="1"/>
  <c r="AM510" i="37" s="1"/>
  <c r="AM511" i="37" a="1"/>
  <c r="AM511" i="37" s="1"/>
  <c r="AM528" i="37" a="1"/>
  <c r="AM528" i="37" s="1"/>
  <c r="AM347" i="37" a="1"/>
  <c r="AM347" i="37" s="1"/>
  <c r="AM436" i="37" a="1"/>
  <c r="AM436" i="37" s="1"/>
  <c r="AM517" i="37" a="1"/>
  <c r="AM517" i="37" s="1"/>
  <c r="AM493" i="37" a="1"/>
  <c r="AM493" i="37" s="1"/>
  <c r="AM467" i="37" a="1"/>
  <c r="AM467" i="37" s="1"/>
  <c r="AM293" i="37" a="1"/>
  <c r="AM293" i="37" s="1"/>
  <c r="AM452" i="37" a="1"/>
  <c r="AM452" i="37" s="1"/>
  <c r="AM358" i="37" a="1"/>
  <c r="AM358" i="37" s="1"/>
  <c r="AM455" i="37" a="1"/>
  <c r="AM455" i="37" s="1"/>
  <c r="AM522" i="37" a="1"/>
  <c r="AM522" i="37" s="1"/>
  <c r="AM351" i="37" a="1"/>
  <c r="AM351" i="37" s="1"/>
  <c r="AM610" i="37" a="1"/>
  <c r="AM610" i="37" s="1"/>
  <c r="AM463" i="37" a="1"/>
  <c r="AM463" i="37" s="1"/>
  <c r="AM490" i="37" a="1"/>
  <c r="AM490" i="37" s="1"/>
  <c r="AM500" i="37" a="1"/>
  <c r="AM500" i="37" s="1"/>
  <c r="AM499" i="37" a="1"/>
  <c r="AM499" i="37" s="1"/>
  <c r="AM523" i="37" a="1"/>
  <c r="AM523" i="37" s="1"/>
  <c r="AM470" i="37" a="1"/>
  <c r="AM470" i="37" s="1"/>
  <c r="AM273" i="37" a="1"/>
  <c r="AM273" i="37" s="1"/>
  <c r="AM489" i="37" a="1"/>
  <c r="AM489" i="37" s="1"/>
  <c r="AM488" i="37" a="1"/>
  <c r="AM488" i="37" s="1"/>
  <c r="AM288" i="37" a="1"/>
  <c r="AM288" i="37" s="1"/>
  <c r="AM292" i="37" a="1"/>
  <c r="AM292" i="37" s="1"/>
  <c r="AM491" i="37" a="1"/>
  <c r="AM491" i="37" s="1"/>
  <c r="AM448" i="37" a="1"/>
  <c r="AM448" i="37" s="1"/>
  <c r="AM494" i="37" a="1"/>
  <c r="AM494" i="37" s="1"/>
  <c r="AM451" i="37" a="1"/>
  <c r="AM451" i="37" s="1"/>
  <c r="AM512" i="37" a="1"/>
  <c r="AM512" i="37" s="1"/>
  <c r="AM525" i="37" a="1"/>
  <c r="AM525" i="37" s="1"/>
  <c r="AM527" i="37" a="1"/>
  <c r="AM527" i="37" s="1"/>
  <c r="AM524" i="37" a="1"/>
  <c r="AM524" i="37" s="1"/>
  <c r="AM639" i="37" a="1"/>
  <c r="AM639" i="37" s="1"/>
  <c r="AM356" i="37" a="1"/>
  <c r="AM356" i="37" s="1"/>
  <c r="AM453" i="37" a="1"/>
  <c r="AM453" i="37" s="1"/>
  <c r="AM460" i="37" a="1"/>
  <c r="AM460" i="37" s="1"/>
  <c r="AM290" i="37" a="1"/>
  <c r="AM290" i="37" s="1"/>
  <c r="AM611" i="37" a="1"/>
  <c r="AM611" i="37" s="1"/>
  <c r="AM492" i="37" a="1"/>
  <c r="AM492" i="37" s="1"/>
  <c r="AM495" i="37" a="1"/>
  <c r="AM495" i="37" s="1"/>
  <c r="AM294" i="37" a="1"/>
  <c r="AM294" i="37" s="1"/>
  <c r="AM496" i="37" a="1"/>
  <c r="AM496" i="37" s="1"/>
  <c r="AM497" i="37" a="1"/>
  <c r="AM497" i="37" s="1"/>
  <c r="AM502" i="37" a="1"/>
  <c r="AM502" i="37" s="1"/>
  <c r="AM446" i="37" a="1"/>
  <c r="AM446" i="37" s="1"/>
  <c r="AM503" i="37" a="1"/>
  <c r="AM503" i="37" s="1"/>
  <c r="AM449" i="37" a="1"/>
  <c r="AM449" i="37" s="1"/>
  <c r="AM631" i="37" a="1"/>
  <c r="AM631" i="37" s="1"/>
  <c r="AM504" i="37" a="1"/>
  <c r="AM504" i="37" s="1"/>
  <c r="AM630" i="37" a="1"/>
  <c r="AM630" i="37" s="1"/>
  <c r="AM629" i="37" a="1"/>
  <c r="AM629" i="37" s="1"/>
  <c r="AM623" i="37" a="1"/>
  <c r="AM623" i="37" s="1"/>
  <c r="AM501" i="37" a="1"/>
  <c r="AM501" i="37" s="1"/>
  <c r="AM505" i="37" a="1"/>
  <c r="AM505" i="37" s="1"/>
  <c r="AM508" i="37" a="1"/>
  <c r="AM508" i="37" s="1"/>
  <c r="AM509" i="37" a="1"/>
  <c r="AM509" i="37" s="1"/>
  <c r="AM513" i="37" a="1"/>
  <c r="AM513" i="37" s="1"/>
  <c r="AM632" i="37" a="1"/>
  <c r="AM632" i="37" s="1"/>
  <c r="AM514" i="37" a="1"/>
  <c r="AM514" i="37" s="1"/>
  <c r="AM515" i="37" a="1"/>
  <c r="AM515" i="37" s="1"/>
  <c r="AM519" i="37" a="1"/>
  <c r="AM519" i="37" s="1"/>
  <c r="AM518" i="37" a="1"/>
  <c r="AM518" i="37" s="1"/>
  <c r="AM520" i="37" a="1"/>
  <c r="AM520" i="37" s="1"/>
  <c r="AM114" i="37" a="1"/>
  <c r="AM114" i="37" s="1"/>
  <c r="AM205" i="37" a="1"/>
  <c r="AM205" i="37" s="1"/>
  <c r="AM349" i="37" a="1"/>
  <c r="AM349" i="37" s="1"/>
  <c r="AM350" i="37" a="1"/>
  <c r="AM350" i="37" s="1"/>
  <c r="AM608" i="37" a="1"/>
  <c r="AM608" i="37" s="1"/>
  <c r="AM609" i="37" a="1"/>
  <c r="AM609" i="37" s="1"/>
  <c r="AM352" i="37" a="1"/>
  <c r="AM352" i="37" s="1"/>
  <c r="AM355" i="37" a="1"/>
  <c r="AM355" i="37" s="1"/>
  <c r="AM353" i="37" a="1"/>
  <c r="AM353" i="37" s="1"/>
  <c r="AM468" i="37" a="1"/>
  <c r="AM468" i="37" s="1"/>
  <c r="AM354" i="37" a="1"/>
  <c r="AM354" i="37" s="1"/>
  <c r="AM295" i="37" a="1"/>
  <c r="AM295" i="37" s="1"/>
  <c r="AM447" i="37" a="1"/>
  <c r="AM447" i="37" s="1"/>
  <c r="AM450" i="37" a="1"/>
  <c r="AM450" i="37" s="1"/>
  <c r="AM454" i="37" a="1"/>
  <c r="AM454" i="37" s="1"/>
  <c r="AM359" i="37" a="1"/>
  <c r="AM359" i="37" s="1"/>
  <c r="AM456" i="37" a="1"/>
  <c r="AM456" i="37" s="1"/>
  <c r="AM457" i="37" a="1"/>
  <c r="AM457" i="37" s="1"/>
  <c r="AM360" i="37" a="1"/>
  <c r="AM360" i="37" s="1"/>
  <c r="AM462" i="37" a="1"/>
  <c r="AM462" i="37" s="1"/>
  <c r="AM461" i="37" a="1"/>
  <c r="AM461" i="37" s="1"/>
  <c r="AM633" i="37" a="1"/>
  <c r="AM633" i="37" s="1"/>
  <c r="AM464" i="37" a="1"/>
  <c r="AM464" i="37" s="1"/>
  <c r="AM624" i="37" a="1"/>
  <c r="AM624" i="37" s="1"/>
  <c r="AM465" i="37" a="1"/>
  <c r="AM465" i="37" s="1"/>
  <c r="AM516" i="37" a="1"/>
  <c r="AM516" i="37" s="1"/>
  <c r="AM634" i="37" a="1"/>
  <c r="AM634" i="37" s="1"/>
  <c r="AM635" i="37" a="1"/>
  <c r="AM635" i="37" s="1"/>
  <c r="AM638" i="37" a="1"/>
  <c r="AM638" i="37" s="1"/>
  <c r="AM637" i="37" a="1"/>
  <c r="AM637" i="37" s="1"/>
  <c r="AM636" i="37" a="1"/>
  <c r="AM636" i="37" s="1"/>
  <c r="AM529" i="37" a="1"/>
  <c r="AM529" i="37" s="1"/>
  <c r="AM530" i="37" a="1"/>
  <c r="AM530" i="37" s="1"/>
  <c r="AM531" i="37" a="1"/>
  <c r="AM531" i="37" s="1"/>
  <c r="AM532" i="37" a="1"/>
  <c r="AM532" i="37" s="1"/>
  <c r="AL2" i="37" a="1"/>
  <c r="AL2" i="37" s="1"/>
  <c r="AL3" i="37" a="1"/>
  <c r="AL3" i="37" s="1"/>
  <c r="AL10" i="37" a="1"/>
  <c r="AL10" i="37" s="1"/>
  <c r="AL534" i="37" a="1"/>
  <c r="AL534" i="37" s="1"/>
  <c r="AL533" i="37" a="1"/>
  <c r="AL533" i="37" s="1"/>
  <c r="AL6" i="37" a="1"/>
  <c r="AL6" i="37" s="1"/>
  <c r="AL5" i="37" a="1"/>
  <c r="AL5" i="37" s="1"/>
  <c r="AL11" i="37" a="1"/>
  <c r="AL11" i="37" s="1"/>
  <c r="AL4" i="37" a="1"/>
  <c r="AL4" i="37" s="1"/>
  <c r="AL23" i="37" a="1"/>
  <c r="AL23" i="37" s="1"/>
  <c r="AL7" i="37" a="1"/>
  <c r="AL7" i="37" s="1"/>
  <c r="AL13" i="37" a="1"/>
  <c r="AL13" i="37" s="1"/>
  <c r="AL24" i="37" a="1"/>
  <c r="AL24" i="37" s="1"/>
  <c r="AL36" i="37" a="1"/>
  <c r="AL36" i="37" s="1"/>
  <c r="AL25" i="37" a="1"/>
  <c r="AL25" i="37" s="1"/>
  <c r="AL37" i="37" a="1"/>
  <c r="AL37" i="37" s="1"/>
  <c r="AL20" i="37" a="1"/>
  <c r="AL20" i="37" s="1"/>
  <c r="AL14" i="37" a="1"/>
  <c r="AL14" i="37" s="1"/>
  <c r="AL15" i="37" a="1"/>
  <c r="AL15" i="37" s="1"/>
  <c r="AL19" i="37" a="1"/>
  <c r="AL19" i="37" s="1"/>
  <c r="AL22" i="37" a="1"/>
  <c r="AL22" i="37" s="1"/>
  <c r="AL26" i="37" a="1"/>
  <c r="AL26" i="37" s="1"/>
  <c r="AL537" i="37" a="1"/>
  <c r="AL537" i="37" s="1"/>
  <c r="AL27" i="37" a="1"/>
  <c r="AL27" i="37" s="1"/>
  <c r="AL21" i="37" a="1"/>
  <c r="AL21" i="37" s="1"/>
  <c r="AL38" i="37" a="1"/>
  <c r="AL38" i="37" s="1"/>
  <c r="AL538" i="37" a="1"/>
  <c r="AL538" i="37" s="1"/>
  <c r="AL28" i="37" a="1"/>
  <c r="AL28" i="37" s="1"/>
  <c r="AL16" i="37" a="1"/>
  <c r="AL16" i="37" s="1"/>
  <c r="AL39" i="37" a="1"/>
  <c r="AL39" i="37" s="1"/>
  <c r="AL40" i="37" a="1"/>
  <c r="AL40" i="37" s="1"/>
  <c r="AL29" i="37" a="1"/>
  <c r="AL29" i="37" s="1"/>
  <c r="AL41" i="37" a="1"/>
  <c r="AL41" i="37" s="1"/>
  <c r="AL33" i="37" a="1"/>
  <c r="AL33" i="37" s="1"/>
  <c r="AL42" i="37" a="1"/>
  <c r="AL42" i="37" s="1"/>
  <c r="AL539" i="37" a="1"/>
  <c r="AL539" i="37" s="1"/>
  <c r="AL85" i="37" a="1"/>
  <c r="AL85" i="37" s="1"/>
  <c r="AL43" i="37" a="1"/>
  <c r="AL43" i="37" s="1"/>
  <c r="AL44" i="37" a="1"/>
  <c r="AL44" i="37" s="1"/>
  <c r="AL535" i="37" a="1"/>
  <c r="AL535" i="37" s="1"/>
  <c r="AL45" i="37" a="1"/>
  <c r="AL45" i="37" s="1"/>
  <c r="AL17" i="37" a="1"/>
  <c r="AL17" i="37" s="1"/>
  <c r="AL70" i="37" a="1"/>
  <c r="AL70" i="37" s="1"/>
  <c r="AL30" i="37" a="1"/>
  <c r="AL30" i="37" s="1"/>
  <c r="AL18" i="37" a="1"/>
  <c r="AL18" i="37" s="1"/>
  <c r="AL62" i="37" a="1"/>
  <c r="AL62" i="37" s="1"/>
  <c r="AL57" i="37" a="1"/>
  <c r="AL57" i="37" s="1"/>
  <c r="AL46" i="37" a="1"/>
  <c r="AL46" i="37" s="1"/>
  <c r="AL61" i="37" a="1"/>
  <c r="AL61" i="37" s="1"/>
  <c r="AL71" i="37" a="1"/>
  <c r="AL71" i="37" s="1"/>
  <c r="AL31" i="37" a="1"/>
  <c r="AL31" i="37" s="1"/>
  <c r="AL541" i="37" a="1"/>
  <c r="AL541" i="37" s="1"/>
  <c r="AL56" i="37" a="1"/>
  <c r="AL56" i="37" s="1"/>
  <c r="AL536" i="37" a="1"/>
  <c r="AL536" i="37" s="1"/>
  <c r="AL47" i="37" a="1"/>
  <c r="AL47" i="37" s="1"/>
  <c r="AL86" i="37" a="1"/>
  <c r="AL86" i="37" s="1"/>
  <c r="AL72" i="37" a="1"/>
  <c r="AL72" i="37" s="1"/>
  <c r="AL48" i="37" a="1"/>
  <c r="AL48" i="37" s="1"/>
  <c r="AL547" i="37" a="1"/>
  <c r="AL547" i="37" s="1"/>
  <c r="AL115" i="37" a="1"/>
  <c r="AL115" i="37" s="1"/>
  <c r="AL562" i="37" a="1"/>
  <c r="AL562" i="37" s="1"/>
  <c r="AL58" i="37" a="1"/>
  <c r="AL58" i="37" s="1"/>
  <c r="AL63" i="37" a="1"/>
  <c r="AL63" i="37" s="1"/>
  <c r="AL34" i="37" a="1"/>
  <c r="AL34" i="37" s="1"/>
  <c r="AL540" i="37" a="1"/>
  <c r="AL540" i="37" s="1"/>
  <c r="AL116" i="37" a="1"/>
  <c r="AL116" i="37" s="1"/>
  <c r="AL12" i="37" a="1"/>
  <c r="AL12" i="37" s="1"/>
  <c r="AL32" i="37" a="1"/>
  <c r="AL32" i="37" s="1"/>
  <c r="AL73" i="37" a="1"/>
  <c r="AL73" i="37" s="1"/>
  <c r="AL74" i="37" a="1"/>
  <c r="AL74" i="37" s="1"/>
  <c r="AL542" i="37" a="1"/>
  <c r="AL542" i="37" s="1"/>
  <c r="AL75" i="37" a="1"/>
  <c r="AL75" i="37" s="1"/>
  <c r="AL543" i="37" a="1"/>
  <c r="AL543" i="37" s="1"/>
  <c r="AL117" i="37" a="1"/>
  <c r="AL117" i="37" s="1"/>
  <c r="AL546" i="37" a="1"/>
  <c r="AL546" i="37" s="1"/>
  <c r="AL99" i="37" a="1"/>
  <c r="AL99" i="37" s="1"/>
  <c r="AL67" i="37" a="1"/>
  <c r="AL67" i="37" s="1"/>
  <c r="AL100" i="37" a="1"/>
  <c r="AL100" i="37" s="1"/>
  <c r="AL68" i="37" a="1"/>
  <c r="AL68" i="37" s="1"/>
  <c r="AL64" i="37" a="1"/>
  <c r="AL64" i="37" s="1"/>
  <c r="AL101" i="37" a="1"/>
  <c r="AL101" i="37" s="1"/>
  <c r="AL65" i="37" a="1"/>
  <c r="AL65" i="37" s="1"/>
  <c r="AL92" i="37" a="1"/>
  <c r="AL92" i="37" s="1"/>
  <c r="AL49" i="37" a="1"/>
  <c r="AL49" i="37" s="1"/>
  <c r="AL185" i="37" a="1"/>
  <c r="AL185" i="37" s="1"/>
  <c r="AL163" i="37" a="1"/>
  <c r="AL163" i="37" s="1"/>
  <c r="AL76" i="37" a="1"/>
  <c r="AL76" i="37" s="1"/>
  <c r="AL87" i="37" a="1"/>
  <c r="AL87" i="37" s="1"/>
  <c r="AL82" i="37" a="1"/>
  <c r="AL82" i="37" s="1"/>
  <c r="AL88" i="37" a="1"/>
  <c r="AL88" i="37" s="1"/>
  <c r="AL554" i="37" a="1"/>
  <c r="AL554" i="37" s="1"/>
  <c r="AL93" i="37" a="1"/>
  <c r="AL93" i="37" s="1"/>
  <c r="AL118" i="37" a="1"/>
  <c r="AL118" i="37" s="1"/>
  <c r="AL83" i="37" a="1"/>
  <c r="AL83" i="37" s="1"/>
  <c r="AL164" i="37" a="1"/>
  <c r="AL164" i="37" s="1"/>
  <c r="AL119" i="37" a="1"/>
  <c r="AL119" i="37" s="1"/>
  <c r="AL549" i="37" a="1"/>
  <c r="AL549" i="37" s="1"/>
  <c r="AL50" i="37" a="1"/>
  <c r="AL50" i="37" s="1"/>
  <c r="AL120" i="37" a="1"/>
  <c r="AL120" i="37" s="1"/>
  <c r="AL121" i="37" a="1"/>
  <c r="AL121" i="37" s="1"/>
  <c r="AL84" i="37" a="1"/>
  <c r="AL84" i="37" s="1"/>
  <c r="AL165" i="37" a="1"/>
  <c r="AL165" i="37" s="1"/>
  <c r="AL206" i="37" a="1"/>
  <c r="AL206" i="37" s="1"/>
  <c r="AL89" i="37" a="1"/>
  <c r="AL89" i="37" s="1"/>
  <c r="AL574" i="37" a="1"/>
  <c r="AL574" i="37" s="1"/>
  <c r="AL166" i="37" a="1"/>
  <c r="AL166" i="37" s="1"/>
  <c r="AL167" i="37" a="1"/>
  <c r="AL167" i="37" s="1"/>
  <c r="AL77" i="37" a="1"/>
  <c r="AL77" i="37" s="1"/>
  <c r="AL123" i="37" a="1"/>
  <c r="AL123" i="37" s="1"/>
  <c r="AL122" i="37" a="1"/>
  <c r="AL122" i="37" s="1"/>
  <c r="AL575" i="37" a="1"/>
  <c r="AL575" i="37" s="1"/>
  <c r="AL96" i="37" a="1"/>
  <c r="AL96" i="37" s="1"/>
  <c r="AL186" i="37" a="1"/>
  <c r="AL186" i="37" s="1"/>
  <c r="AL176" i="37" a="1"/>
  <c r="AL176" i="37" s="1"/>
  <c r="AL151" i="37" a="1"/>
  <c r="AL151" i="37" s="1"/>
  <c r="AL97" i="37" a="1"/>
  <c r="AL97" i="37" s="1"/>
  <c r="AL274" i="37" a="1"/>
  <c r="AL274" i="37" s="1"/>
  <c r="AL545" i="37" a="1"/>
  <c r="AL545" i="37" s="1"/>
  <c r="AL187" i="37" a="1"/>
  <c r="AL187" i="37" s="1"/>
  <c r="AL207" i="37" a="1"/>
  <c r="AL207" i="37" s="1"/>
  <c r="AL9" i="37" a="1"/>
  <c r="AL9" i="37" s="1"/>
  <c r="AL570" i="37" a="1"/>
  <c r="AL570" i="37" s="1"/>
  <c r="AL296" i="37" a="1"/>
  <c r="AL296" i="37" s="1"/>
  <c r="AL102" i="37" a="1"/>
  <c r="AL102" i="37" s="1"/>
  <c r="AL66" i="37" a="1"/>
  <c r="AL66" i="37" s="1"/>
  <c r="AL177" i="37" a="1"/>
  <c r="AL177" i="37" s="1"/>
  <c r="AL297" i="37" a="1"/>
  <c r="AL297" i="37" s="1"/>
  <c r="AL576" i="37" a="1"/>
  <c r="AL576" i="37" s="1"/>
  <c r="AL156" i="37" a="1"/>
  <c r="AL156" i="37" s="1"/>
  <c r="AL188" i="37" a="1"/>
  <c r="AL188" i="37" s="1"/>
  <c r="AL189" i="37" a="1"/>
  <c r="AL189" i="37" s="1"/>
  <c r="AL103" i="37" a="1"/>
  <c r="AL103" i="37" s="1"/>
  <c r="AL190" i="37" a="1"/>
  <c r="AL190" i="37" s="1"/>
  <c r="AL152" i="37" a="1"/>
  <c r="AL152" i="37" s="1"/>
  <c r="AL208" i="37" a="1"/>
  <c r="AL208" i="37" s="1"/>
  <c r="AL209" i="37" a="1"/>
  <c r="AL209" i="37" s="1"/>
  <c r="AL210" i="37" a="1"/>
  <c r="AL210" i="37" s="1"/>
  <c r="AL596" i="37" a="1"/>
  <c r="AL596" i="37" s="1"/>
  <c r="AL168" i="37" a="1"/>
  <c r="AL168" i="37" s="1"/>
  <c r="AL568" i="37" a="1"/>
  <c r="AL568" i="37" s="1"/>
  <c r="AL124" i="37" a="1"/>
  <c r="AL124" i="37" s="1"/>
  <c r="AL571" i="37" a="1"/>
  <c r="AL571" i="37" s="1"/>
  <c r="AL175" i="37" a="1"/>
  <c r="AL175" i="37" s="1"/>
  <c r="AL211" i="37" a="1"/>
  <c r="AL211" i="37" s="1"/>
  <c r="AL104" i="37" a="1"/>
  <c r="AL104" i="37" s="1"/>
  <c r="AL125" i="37" a="1"/>
  <c r="AL125" i="37" s="1"/>
  <c r="AL105" i="37" a="1"/>
  <c r="AL105" i="37" s="1"/>
  <c r="AL126" i="37" a="1"/>
  <c r="AL126" i="37" s="1"/>
  <c r="AL548" i="37" a="1"/>
  <c r="AL548" i="37" s="1"/>
  <c r="AL191" i="37" a="1"/>
  <c r="AL191" i="37" s="1"/>
  <c r="AL563" i="37" a="1"/>
  <c r="AL563" i="37" s="1"/>
  <c r="AL213" i="37" a="1"/>
  <c r="AL213" i="37" s="1"/>
  <c r="AL298" i="37" a="1"/>
  <c r="AL298" i="37" s="1"/>
  <c r="AL106" i="37" a="1"/>
  <c r="AL106" i="37" s="1"/>
  <c r="AL212" i="37" a="1"/>
  <c r="AL212" i="37" s="1"/>
  <c r="AL564" i="37" a="1"/>
  <c r="AL564" i="37" s="1"/>
  <c r="AL577" i="37" a="1"/>
  <c r="AL577" i="37" s="1"/>
  <c r="AL107" i="37" a="1"/>
  <c r="AL107" i="37" s="1"/>
  <c r="AL157" i="37" a="1"/>
  <c r="AL157" i="37" s="1"/>
  <c r="AL214" i="37" a="1"/>
  <c r="AL214" i="37" s="1"/>
  <c r="AL158" i="37" a="1"/>
  <c r="AL158" i="37" s="1"/>
  <c r="AL578" i="37" a="1"/>
  <c r="AL578" i="37" s="1"/>
  <c r="AL215" i="37" a="1"/>
  <c r="AL215" i="37" s="1"/>
  <c r="AL155" i="37" a="1"/>
  <c r="AL155" i="37" s="1"/>
  <c r="AL216" i="37" a="1"/>
  <c r="AL216" i="37" s="1"/>
  <c r="AL217" i="37" a="1"/>
  <c r="AL217" i="37" s="1"/>
  <c r="AL127" i="37" a="1"/>
  <c r="AL127" i="37" s="1"/>
  <c r="AL90" i="37" a="1"/>
  <c r="AL90" i="37" s="1"/>
  <c r="AL153" i="37" a="1"/>
  <c r="AL153" i="37" s="1"/>
  <c r="AL128" i="37" a="1"/>
  <c r="AL128" i="37" s="1"/>
  <c r="AL299" i="37" a="1"/>
  <c r="AL299" i="37" s="1"/>
  <c r="AL192" i="37" a="1"/>
  <c r="AL192" i="37" s="1"/>
  <c r="AL129" i="37" a="1"/>
  <c r="AL129" i="37" s="1"/>
  <c r="AL565" i="37" a="1"/>
  <c r="AL565" i="37" s="1"/>
  <c r="AL130" i="37" a="1"/>
  <c r="AL130" i="37" s="1"/>
  <c r="AL218" i="37" a="1"/>
  <c r="AL218" i="37" s="1"/>
  <c r="AL131" i="37" a="1"/>
  <c r="AL131" i="37" s="1"/>
  <c r="AL154" i="37" a="1"/>
  <c r="AL154" i="37" s="1"/>
  <c r="AL555" i="37" a="1"/>
  <c r="AL555" i="37" s="1"/>
  <c r="AL579" i="37" a="1"/>
  <c r="AL579" i="37" s="1"/>
  <c r="AL132" i="37" a="1"/>
  <c r="AL132" i="37" s="1"/>
  <c r="AL580" i="37" a="1"/>
  <c r="AL580" i="37" s="1"/>
  <c r="AL219" i="37" a="1"/>
  <c r="AL219" i="37" s="1"/>
  <c r="AL133" i="37" a="1"/>
  <c r="AL133" i="37" s="1"/>
  <c r="AL134" i="37" a="1"/>
  <c r="AL134" i="37" s="1"/>
  <c r="AL599" i="37" a="1"/>
  <c r="AL599" i="37" s="1"/>
  <c r="AL220" i="37" a="1"/>
  <c r="AL220" i="37" s="1"/>
  <c r="AL221" i="37" a="1"/>
  <c r="AL221" i="37" s="1"/>
  <c r="AL59" i="37" a="1"/>
  <c r="AL59" i="37" s="1"/>
  <c r="AL222" i="37" a="1"/>
  <c r="AL222" i="37" s="1"/>
  <c r="AL223" i="37" a="1"/>
  <c r="AL223" i="37" s="1"/>
  <c r="AL275" i="37" a="1"/>
  <c r="AL275" i="37" s="1"/>
  <c r="AL51" i="37" a="1"/>
  <c r="AL51" i="37" s="1"/>
  <c r="AL224" i="37" a="1"/>
  <c r="AL224" i="37" s="1"/>
  <c r="AL78" i="37" a="1"/>
  <c r="AL78" i="37" s="1"/>
  <c r="AL225" i="37" a="1"/>
  <c r="AL225" i="37" s="1"/>
  <c r="AL35" i="37" a="1"/>
  <c r="AL35" i="37" s="1"/>
  <c r="AL226" i="37" a="1"/>
  <c r="AL226" i="37" s="1"/>
  <c r="AL169" i="37" a="1"/>
  <c r="AL169" i="37" s="1"/>
  <c r="AL170" i="37" a="1"/>
  <c r="AL170" i="37" s="1"/>
  <c r="AL557" i="37" a="1"/>
  <c r="AL557" i="37" s="1"/>
  <c r="AL361" i="37" a="1"/>
  <c r="AL361" i="37" s="1"/>
  <c r="AL558" i="37" a="1"/>
  <c r="AL558" i="37" s="1"/>
  <c r="AL227" i="37" a="1"/>
  <c r="AL227" i="37" s="1"/>
  <c r="AL556" i="37" a="1"/>
  <c r="AL556" i="37" s="1"/>
  <c r="AL228" i="37" a="1"/>
  <c r="AL228" i="37" s="1"/>
  <c r="AL171" i="37" a="1"/>
  <c r="AL171" i="37" s="1"/>
  <c r="AL178" i="37" a="1"/>
  <c r="AL178" i="37" s="1"/>
  <c r="AL595" i="37" a="1"/>
  <c r="AL595" i="37" s="1"/>
  <c r="AL193" i="37" a="1"/>
  <c r="AL193" i="37" s="1"/>
  <c r="AL69" i="37" a="1"/>
  <c r="AL69" i="37" s="1"/>
  <c r="AL179" i="37" a="1"/>
  <c r="AL179" i="37" s="1"/>
  <c r="AL135" i="37" a="1"/>
  <c r="AL135" i="37" s="1"/>
  <c r="AL108" i="37" a="1"/>
  <c r="AL108" i="37" s="1"/>
  <c r="AL300" i="37" a="1"/>
  <c r="AL300" i="37" s="1"/>
  <c r="AL98" i="37" a="1"/>
  <c r="AL98" i="37" s="1"/>
  <c r="AL159" i="37" a="1"/>
  <c r="AL159" i="37" s="1"/>
  <c r="AL597" i="37" a="1"/>
  <c r="AL597" i="37" s="1"/>
  <c r="AL560" i="37" a="1"/>
  <c r="AL560" i="37" s="1"/>
  <c r="AL79" i="37" a="1"/>
  <c r="AL79" i="37" s="1"/>
  <c r="AL279" i="37" a="1"/>
  <c r="AL279" i="37" s="1"/>
  <c r="AL569" i="37" a="1"/>
  <c r="AL569" i="37" s="1"/>
  <c r="AL229" i="37" a="1"/>
  <c r="AL229" i="37" s="1"/>
  <c r="AL230" i="37" a="1"/>
  <c r="AL230" i="37" s="1"/>
  <c r="AL301" i="37" a="1"/>
  <c r="AL301" i="37" s="1"/>
  <c r="AL437" i="37" a="1"/>
  <c r="AL437" i="37" s="1"/>
  <c r="AL160" i="37" a="1"/>
  <c r="AL160" i="37" s="1"/>
  <c r="AL280" i="37" a="1"/>
  <c r="AL280" i="37" s="1"/>
  <c r="AL302" i="37" a="1"/>
  <c r="AL302" i="37" s="1"/>
  <c r="AL231" i="37" a="1"/>
  <c r="AL231" i="37" s="1"/>
  <c r="AL303" i="37" a="1"/>
  <c r="AL303" i="37" s="1"/>
  <c r="AL304" i="37" a="1"/>
  <c r="AL304" i="37" s="1"/>
  <c r="AL305" i="37" a="1"/>
  <c r="AL305" i="37" s="1"/>
  <c r="AL194" i="37" a="1"/>
  <c r="AL194" i="37" s="1"/>
  <c r="AL265" i="37" a="1"/>
  <c r="AL265" i="37" s="1"/>
  <c r="AL306" i="37" a="1"/>
  <c r="AL306" i="37" s="1"/>
  <c r="AL232" i="37" a="1"/>
  <c r="AL232" i="37" s="1"/>
  <c r="AL195" i="37" a="1"/>
  <c r="AL195" i="37" s="1"/>
  <c r="AL598" i="37" a="1"/>
  <c r="AL598" i="37" s="1"/>
  <c r="AL281" i="37" a="1"/>
  <c r="AL281" i="37" s="1"/>
  <c r="AL600" i="37" a="1"/>
  <c r="AL600" i="37" s="1"/>
  <c r="AL80" i="37" a="1"/>
  <c r="AL80" i="37" s="1"/>
  <c r="AL270" i="37" a="1"/>
  <c r="AL270" i="37" s="1"/>
  <c r="AL180" i="37" a="1"/>
  <c r="AL180" i="37" s="1"/>
  <c r="AL307" i="37" a="1"/>
  <c r="AL307" i="37" s="1"/>
  <c r="AL267" i="37" a="1"/>
  <c r="AL267" i="37" s="1"/>
  <c r="AL196" i="37" a="1"/>
  <c r="AL196" i="37" s="1"/>
  <c r="AL269" i="37" a="1"/>
  <c r="AL269" i="37" s="1"/>
  <c r="AL198" i="37" a="1"/>
  <c r="AL198" i="37" s="1"/>
  <c r="AL282" i="37" a="1"/>
  <c r="AL282" i="37" s="1"/>
  <c r="AL308" i="37" a="1"/>
  <c r="AL308" i="37" s="1"/>
  <c r="AL471" i="37" a="1"/>
  <c r="AL471" i="37" s="1"/>
  <c r="AL283" i="37" a="1"/>
  <c r="AL283" i="37" s="1"/>
  <c r="AL161" i="37" a="1"/>
  <c r="AL161" i="37" s="1"/>
  <c r="AL581" i="37" a="1"/>
  <c r="AL581" i="37" s="1"/>
  <c r="AL234" i="37" a="1"/>
  <c r="AL234" i="37" s="1"/>
  <c r="AL233" i="37" a="1"/>
  <c r="AL233" i="37" s="1"/>
  <c r="AL235" i="37" a="1"/>
  <c r="AL235" i="37" s="1"/>
  <c r="AL268" i="37" a="1"/>
  <c r="AL268" i="37" s="1"/>
  <c r="AL199" i="37" a="1"/>
  <c r="AL199" i="37" s="1"/>
  <c r="AL236" i="37" a="1"/>
  <c r="AL236" i="37" s="1"/>
  <c r="AL582" i="37" a="1"/>
  <c r="AL582" i="37" s="1"/>
  <c r="AL237" i="37" a="1"/>
  <c r="AL237" i="37" s="1"/>
  <c r="AL238" i="37" a="1"/>
  <c r="AL238" i="37" s="1"/>
  <c r="AL583" i="37" a="1"/>
  <c r="AL583" i="37" s="1"/>
  <c r="AL172" i="37" a="1"/>
  <c r="AL172" i="37" s="1"/>
  <c r="AL239" i="37" a="1"/>
  <c r="AL239" i="37" s="1"/>
  <c r="AL363" i="37" a="1"/>
  <c r="AL363" i="37" s="1"/>
  <c r="AL364" i="37" a="1"/>
  <c r="AL364" i="37" s="1"/>
  <c r="AL362" i="37" a="1"/>
  <c r="AL362" i="37" s="1"/>
  <c r="AL594" i="37" a="1"/>
  <c r="AL594" i="37" s="1"/>
  <c r="AL612" i="37" a="1"/>
  <c r="AL612" i="37" s="1"/>
  <c r="AL266" i="37" a="1"/>
  <c r="AL266" i="37" s="1"/>
  <c r="AL309" i="37" a="1"/>
  <c r="AL309" i="37" s="1"/>
  <c r="AL365" i="37" a="1"/>
  <c r="AL365" i="37" s="1"/>
  <c r="AL240" i="37" a="1"/>
  <c r="AL240" i="37" s="1"/>
  <c r="AL91" i="37" a="1"/>
  <c r="AL91" i="37" s="1"/>
  <c r="AL613" i="37" a="1"/>
  <c r="AL613" i="37" s="1"/>
  <c r="AL551" i="37" a="1"/>
  <c r="AL551" i="37" s="1"/>
  <c r="AL271" i="37" a="1"/>
  <c r="AL271" i="37" s="1"/>
  <c r="AL584" i="37" a="1"/>
  <c r="AL584" i="37" s="1"/>
  <c r="AL52" i="37" a="1"/>
  <c r="AL52" i="37" s="1"/>
  <c r="AL366" i="37" a="1"/>
  <c r="AL366" i="37" s="1"/>
  <c r="AL241" i="37" a="1"/>
  <c r="AL241" i="37" s="1"/>
  <c r="AL614" i="37" a="1"/>
  <c r="AL614" i="37" s="1"/>
  <c r="AL367" i="37" a="1"/>
  <c r="AL367" i="37" s="1"/>
  <c r="AL544" i="37" a="1"/>
  <c r="AL544" i="37" s="1"/>
  <c r="AL136" i="37" a="1"/>
  <c r="AL136" i="37" s="1"/>
  <c r="AL585" i="37" a="1"/>
  <c r="AL585" i="37" s="1"/>
  <c r="AL371" i="37" a="1"/>
  <c r="AL371" i="37" s="1"/>
  <c r="AL369" i="37" a="1"/>
  <c r="AL369" i="37" s="1"/>
  <c r="AL615" i="37" a="1"/>
  <c r="AL615" i="37" s="1"/>
  <c r="AL368" i="37" a="1"/>
  <c r="AL368" i="37" s="1"/>
  <c r="AL370" i="37" a="1"/>
  <c r="AL370" i="37" s="1"/>
  <c r="AL242" i="37" a="1"/>
  <c r="AL242" i="37" s="1"/>
  <c r="AL244" i="37" a="1"/>
  <c r="AL244" i="37" s="1"/>
  <c r="AL372" i="37" a="1"/>
  <c r="AL372" i="37" s="1"/>
  <c r="AL566" i="37" a="1"/>
  <c r="AL566" i="37" s="1"/>
  <c r="AL243" i="37" a="1"/>
  <c r="AL243" i="37" s="1"/>
  <c r="AL407" i="37" a="1"/>
  <c r="AL407" i="37" s="1"/>
  <c r="AL8" i="37" a="1"/>
  <c r="AL8" i="37" s="1"/>
  <c r="AL310" i="37" a="1"/>
  <c r="AL310" i="37" s="1"/>
  <c r="AL385" i="37" a="1"/>
  <c r="AL385" i="37" s="1"/>
  <c r="AL94" i="37" a="1"/>
  <c r="AL94" i="37" s="1"/>
  <c r="AL55" i="37" a="1"/>
  <c r="AL55" i="37" s="1"/>
  <c r="AL258" i="37" a="1"/>
  <c r="AL258" i="37" s="1"/>
  <c r="AL137" i="37" a="1"/>
  <c r="AL137" i="37" s="1"/>
  <c r="AL54" i="37" a="1"/>
  <c r="AL54" i="37" s="1"/>
  <c r="AL418" i="37" a="1"/>
  <c r="AL418" i="37" s="1"/>
  <c r="AL174" i="37" a="1"/>
  <c r="AL174" i="37" s="1"/>
  <c r="AL311" i="37" a="1"/>
  <c r="AL311" i="37" s="1"/>
  <c r="AL416" i="37" a="1"/>
  <c r="AL416" i="37" s="1"/>
  <c r="AL312" i="37" a="1"/>
  <c r="AL312" i="37" s="1"/>
  <c r="AL145" i="37" a="1"/>
  <c r="AL145" i="37" s="1"/>
  <c r="AL278" i="37" a="1"/>
  <c r="AL278" i="37" s="1"/>
  <c r="AL181" i="37" a="1"/>
  <c r="AL181" i="37" s="1"/>
  <c r="AL375" i="37" a="1"/>
  <c r="AL375" i="37" s="1"/>
  <c r="AL146" i="37" a="1"/>
  <c r="AL146" i="37" s="1"/>
  <c r="AL388" i="37" a="1"/>
  <c r="AL388" i="37" s="1"/>
  <c r="AL419" i="37" a="1"/>
  <c r="AL419" i="37" s="1"/>
  <c r="AL60" i="37" a="1"/>
  <c r="AL60" i="37" s="1"/>
  <c r="AL81" i="37" a="1"/>
  <c r="AL81" i="37" s="1"/>
  <c r="AL149" i="37" a="1"/>
  <c r="AL149" i="37" s="1"/>
  <c r="AL246" i="37" a="1"/>
  <c r="AL246" i="37" s="1"/>
  <c r="AL590" i="37" a="1"/>
  <c r="AL590" i="37" s="1"/>
  <c r="AL254" i="37" a="1"/>
  <c r="AL254" i="37" s="1"/>
  <c r="AL373" i="37" a="1"/>
  <c r="AL373" i="37" s="1"/>
  <c r="AL376" i="37" a="1"/>
  <c r="AL376" i="37" s="1"/>
  <c r="AL378" i="37" a="1"/>
  <c r="AL378" i="37" s="1"/>
  <c r="AL410" i="37" a="1"/>
  <c r="AL410" i="37" s="1"/>
  <c r="AL409" i="37" a="1"/>
  <c r="AL409" i="37" s="1"/>
  <c r="AL420" i="37" a="1"/>
  <c r="AL420" i="37" s="1"/>
  <c r="AL248" i="37" a="1"/>
  <c r="AL248" i="37" s="1"/>
  <c r="AL247" i="37" a="1"/>
  <c r="AL247" i="37" s="1"/>
  <c r="AL259" i="37" a="1"/>
  <c r="AL259" i="37" s="1"/>
  <c r="AL402" i="37" a="1"/>
  <c r="AL402" i="37" s="1"/>
  <c r="AL415" i="37" a="1"/>
  <c r="AL415" i="37" s="1"/>
  <c r="AL417" i="37" a="1"/>
  <c r="AL417" i="37" s="1"/>
  <c r="AL53" i="37" a="1"/>
  <c r="AL53" i="37" s="1"/>
  <c r="AL140" i="37" a="1"/>
  <c r="AL140" i="37" s="1"/>
  <c r="AL142" i="37" a="1"/>
  <c r="AL142" i="37" s="1"/>
  <c r="AL109" i="37" a="1"/>
  <c r="AL109" i="37" s="1"/>
  <c r="AL313" i="37" a="1"/>
  <c r="AL313" i="37" s="1"/>
  <c r="AL314" i="37" a="1"/>
  <c r="AL314" i="37" s="1"/>
  <c r="AL601" i="37" a="1"/>
  <c r="AL601" i="37" s="1"/>
  <c r="AL315" i="37" a="1"/>
  <c r="AL315" i="37" s="1"/>
  <c r="AL618" i="37" a="1"/>
  <c r="AL618" i="37" s="1"/>
  <c r="AL143" i="37" a="1"/>
  <c r="AL143" i="37" s="1"/>
  <c r="AL622" i="37" a="1"/>
  <c r="AL622" i="37" s="1"/>
  <c r="AL316" i="37" a="1"/>
  <c r="AL316" i="37" s="1"/>
  <c r="AL552" i="37" a="1"/>
  <c r="AL552" i="37" s="1"/>
  <c r="AL317" i="37" a="1"/>
  <c r="AL317" i="37" s="1"/>
  <c r="AL182" i="37" a="1"/>
  <c r="AL182" i="37" s="1"/>
  <c r="AL200" i="37" a="1"/>
  <c r="AL200" i="37" s="1"/>
  <c r="AL284" i="37" a="1"/>
  <c r="AL284" i="37" s="1"/>
  <c r="AL427" i="37" a="1"/>
  <c r="AL427" i="37" s="1"/>
  <c r="AL147" i="37" a="1"/>
  <c r="AL147" i="37" s="1"/>
  <c r="AL173" i="37" a="1"/>
  <c r="AL173" i="37" s="1"/>
  <c r="AL318" i="37" a="1"/>
  <c r="AL318" i="37" s="1"/>
  <c r="AL435" i="37" a="1"/>
  <c r="AL435" i="37" s="1"/>
  <c r="AL285" i="37" a="1"/>
  <c r="AL285" i="37" s="1"/>
  <c r="AL602" i="37" a="1"/>
  <c r="AL602" i="37" s="1"/>
  <c r="AL319" i="37" a="1"/>
  <c r="AL319" i="37" s="1"/>
  <c r="AL148" i="37" a="1"/>
  <c r="AL148" i="37" s="1"/>
  <c r="AL320" i="37" a="1"/>
  <c r="AL320" i="37" s="1"/>
  <c r="AL321" i="37" a="1"/>
  <c r="AL321" i="37" s="1"/>
  <c r="AL150" i="37" a="1"/>
  <c r="AL150" i="37" s="1"/>
  <c r="AL322" i="37" a="1"/>
  <c r="AL322" i="37" s="1"/>
  <c r="AL323" i="37" a="1"/>
  <c r="AL323" i="37" s="1"/>
  <c r="AL621" i="37" a="1"/>
  <c r="AL621" i="37" s="1"/>
  <c r="AL424" i="37" a="1"/>
  <c r="AL424" i="37" s="1"/>
  <c r="AL201" i="37" a="1"/>
  <c r="AL201" i="37" s="1"/>
  <c r="AL440" i="37" a="1"/>
  <c r="AL440" i="37" s="1"/>
  <c r="AL110" i="37" a="1"/>
  <c r="AL110" i="37" s="1"/>
  <c r="AL286" i="37" a="1"/>
  <c r="AL286" i="37" s="1"/>
  <c r="AL325" i="37" a="1"/>
  <c r="AL325" i="37" s="1"/>
  <c r="AL423" i="37" a="1"/>
  <c r="AL423" i="37" s="1"/>
  <c r="AL431" i="37" a="1"/>
  <c r="AL431" i="37" s="1"/>
  <c r="AL421" i="37" a="1"/>
  <c r="AL421" i="37" s="1"/>
  <c r="AL245" i="37" a="1"/>
  <c r="AL245" i="37" s="1"/>
  <c r="AL434" i="37" a="1"/>
  <c r="AL434" i="37" s="1"/>
  <c r="AL324" i="37" a="1"/>
  <c r="AL324" i="37" s="1"/>
  <c r="AL572" i="37" a="1"/>
  <c r="AL572" i="37" s="1"/>
  <c r="AL202" i="37" a="1"/>
  <c r="AL202" i="37" s="1"/>
  <c r="AL588" i="37" a="1"/>
  <c r="AL588" i="37" s="1"/>
  <c r="AL603" i="37" a="1"/>
  <c r="AL603" i="37" s="1"/>
  <c r="AL619" i="37" a="1"/>
  <c r="AL619" i="37" s="1"/>
  <c r="AL250" i="37" a="1"/>
  <c r="AL250" i="37" s="1"/>
  <c r="AL441" i="37" a="1"/>
  <c r="AL441" i="37" s="1"/>
  <c r="AL438" i="37" a="1"/>
  <c r="AL438" i="37" s="1"/>
  <c r="AL327" i="37" a="1"/>
  <c r="AL327" i="37" s="1"/>
  <c r="AL426" i="37" a="1"/>
  <c r="AL426" i="37" s="1"/>
  <c r="AL287" i="37" a="1"/>
  <c r="AL287" i="37" s="1"/>
  <c r="AL95" i="37" a="1"/>
  <c r="AL95" i="37" s="1"/>
  <c r="AL326" i="37" a="1"/>
  <c r="AL326" i="37" s="1"/>
  <c r="AL249" i="37" a="1"/>
  <c r="AL249" i="37" s="1"/>
  <c r="AL425" i="37" a="1"/>
  <c r="AL425" i="37" s="1"/>
  <c r="AL604" i="37" a="1"/>
  <c r="AL604" i="37" s="1"/>
  <c r="AL162" i="37" a="1"/>
  <c r="AL162" i="37" s="1"/>
  <c r="AL276" i="37" a="1"/>
  <c r="AL276" i="37" s="1"/>
  <c r="AL328" i="37" a="1"/>
  <c r="AL328" i="37" s="1"/>
  <c r="AL472" i="37" a="1"/>
  <c r="AL472" i="37" s="1"/>
  <c r="AL272" i="37" a="1"/>
  <c r="AL272" i="37" s="1"/>
  <c r="AL255" i="37" a="1"/>
  <c r="AL255" i="37" s="1"/>
  <c r="AL277" i="37" a="1"/>
  <c r="AL277" i="37" s="1"/>
  <c r="AL442" i="37" a="1"/>
  <c r="AL442" i="37" s="1"/>
  <c r="AL591" i="37" a="1"/>
  <c r="AL591" i="37" s="1"/>
  <c r="AL592" i="37" a="1"/>
  <c r="AL592" i="37" s="1"/>
  <c r="AL329" i="37" a="1"/>
  <c r="AL329" i="37" s="1"/>
  <c r="AL473" i="37" a="1"/>
  <c r="AL473" i="37" s="1"/>
  <c r="AL474" i="37" a="1"/>
  <c r="AL474" i="37" s="1"/>
  <c r="AL428" i="37" a="1"/>
  <c r="AL428" i="37" s="1"/>
  <c r="AL330" i="37" a="1"/>
  <c r="AL330" i="37" s="1"/>
  <c r="AL257" i="37" a="1"/>
  <c r="AL257" i="37" s="1"/>
  <c r="AL429" i="37" a="1"/>
  <c r="AL429" i="37" s="1"/>
  <c r="AL263" i="37" a="1"/>
  <c r="AL263" i="37" s="1"/>
  <c r="AL444" i="37" a="1"/>
  <c r="AL444" i="37" s="1"/>
  <c r="AL430" i="37" a="1"/>
  <c r="AL430" i="37" s="1"/>
  <c r="AL432" i="37" a="1"/>
  <c r="AL432" i="37" s="1"/>
  <c r="AL260" i="37" a="1"/>
  <c r="AL260" i="37" s="1"/>
  <c r="AL261" i="37" a="1"/>
  <c r="AL261" i="37" s="1"/>
  <c r="AL262" i="37" a="1"/>
  <c r="AL262" i="37" s="1"/>
  <c r="AL331" i="37" a="1"/>
  <c r="AL331" i="37" s="1"/>
  <c r="AL374" i="37" a="1"/>
  <c r="AL374" i="37" s="1"/>
  <c r="AL332" i="37" a="1"/>
  <c r="AL332" i="37" s="1"/>
  <c r="AL377" i="37" a="1"/>
  <c r="AL377" i="37" s="1"/>
  <c r="AL203" i="37" a="1"/>
  <c r="AL203" i="37" s="1"/>
  <c r="AL111" i="37" a="1"/>
  <c r="AL111" i="37" s="1"/>
  <c r="AL379" i="37" a="1"/>
  <c r="AL379" i="37" s="1"/>
  <c r="AL333" i="37" a="1"/>
  <c r="AL333" i="37" s="1"/>
  <c r="AL334" i="37" a="1"/>
  <c r="AL334" i="37" s="1"/>
  <c r="AL443" i="37" a="1"/>
  <c r="AL443" i="37" s="1"/>
  <c r="AL459" i="37" a="1"/>
  <c r="AL459" i="37" s="1"/>
  <c r="AL289" i="37" a="1"/>
  <c r="AL289" i="37" s="1"/>
  <c r="AL475" i="37" a="1"/>
  <c r="AL475" i="37" s="1"/>
  <c r="AL335" i="37" a="1"/>
  <c r="AL335" i="37" s="1"/>
  <c r="AL112" i="37" a="1"/>
  <c r="AL112" i="37" s="1"/>
  <c r="AL422" i="37" a="1"/>
  <c r="AL422" i="37" s="1"/>
  <c r="AL381" i="37" a="1"/>
  <c r="AL381" i="37" s="1"/>
  <c r="AL605" i="37" a="1"/>
  <c r="AL605" i="37" s="1"/>
  <c r="AL616" i="37" a="1"/>
  <c r="AL616" i="37" s="1"/>
  <c r="AL383" i="37" a="1"/>
  <c r="AL383" i="37" s="1"/>
  <c r="AL183" i="37" a="1"/>
  <c r="AL183" i="37" s="1"/>
  <c r="AL433" i="37" a="1"/>
  <c r="AL433" i="37" s="1"/>
  <c r="AL336" i="37" a="1"/>
  <c r="AL336" i="37" s="1"/>
  <c r="AL337" i="37" a="1"/>
  <c r="AL337" i="37" s="1"/>
  <c r="AL386" i="37" a="1"/>
  <c r="AL386" i="37" s="1"/>
  <c r="AL338" i="37" a="1"/>
  <c r="AL338" i="37" s="1"/>
  <c r="AL617" i="37" a="1"/>
  <c r="AL617" i="37" s="1"/>
  <c r="AL389" i="37" a="1"/>
  <c r="AL389" i="37" s="1"/>
  <c r="AL606" i="37" a="1"/>
  <c r="AL606" i="37" s="1"/>
  <c r="AL204" i="37" a="1"/>
  <c r="AL204" i="37" s="1"/>
  <c r="AL291" i="37" a="1"/>
  <c r="AL291" i="37" s="1"/>
  <c r="AL390" i="37" a="1"/>
  <c r="AL390" i="37" s="1"/>
  <c r="AL394" i="37" a="1"/>
  <c r="AL394" i="37" s="1"/>
  <c r="AL398" i="37" a="1"/>
  <c r="AL398" i="37" s="1"/>
  <c r="AL400" i="37" a="1"/>
  <c r="AL400" i="37" s="1"/>
  <c r="AL476" i="37" a="1"/>
  <c r="AL476" i="37" s="1"/>
  <c r="AL399" i="37" a="1"/>
  <c r="AL399" i="37" s="1"/>
  <c r="AL403" i="37" a="1"/>
  <c r="AL403" i="37" s="1"/>
  <c r="AL477" i="37" a="1"/>
  <c r="AL477" i="37" s="1"/>
  <c r="AL408" i="37" a="1"/>
  <c r="AL408" i="37" s="1"/>
  <c r="AL439" i="37" a="1"/>
  <c r="AL439" i="37" s="1"/>
  <c r="AL573" i="37" a="1"/>
  <c r="AL573" i="37" s="1"/>
  <c r="AL413" i="37" a="1"/>
  <c r="AL413" i="37" s="1"/>
  <c r="AL607" i="37" a="1"/>
  <c r="AL607" i="37" s="1"/>
  <c r="AL412" i="37" a="1"/>
  <c r="AL412" i="37" s="1"/>
  <c r="AL113" i="37" a="1"/>
  <c r="AL113" i="37" s="1"/>
  <c r="AL414" i="37" a="1"/>
  <c r="AL414" i="37" s="1"/>
  <c r="AL411" i="37" a="1"/>
  <c r="AL411" i="37" s="1"/>
  <c r="AL138" i="37" a="1"/>
  <c r="AL138" i="37" s="1"/>
  <c r="AL139" i="37" a="1"/>
  <c r="AL139" i="37" s="1"/>
  <c r="AL339" i="37" a="1"/>
  <c r="AL339" i="37" s="1"/>
  <c r="AL478" i="37" a="1"/>
  <c r="AL478" i="37" s="1"/>
  <c r="AL141" i="37" a="1"/>
  <c r="AL141" i="37" s="1"/>
  <c r="AL479" i="37" a="1"/>
  <c r="AL479" i="37" s="1"/>
  <c r="AL340" i="37" a="1"/>
  <c r="AL340" i="37" s="1"/>
  <c r="AL144" i="37" a="1"/>
  <c r="AL144" i="37" s="1"/>
  <c r="AL567" i="37" a="1"/>
  <c r="AL567" i="37" s="1"/>
  <c r="AL586" i="37" a="1"/>
  <c r="AL586" i="37" s="1"/>
  <c r="AL587" i="37" a="1"/>
  <c r="AL587" i="37" s="1"/>
  <c r="AL589" i="37" a="1"/>
  <c r="AL589" i="37" s="1"/>
  <c r="AL625" i="37" a="1"/>
  <c r="AL625" i="37" s="1"/>
  <c r="AL480" i="37" a="1"/>
  <c r="AL480" i="37" s="1"/>
  <c r="AL342" i="37" a="1"/>
  <c r="AL342" i="37" s="1"/>
  <c r="AL253" i="37" a="1"/>
  <c r="AL253" i="37" s="1"/>
  <c r="AL341" i="37" a="1"/>
  <c r="AL341" i="37" s="1"/>
  <c r="AL252" i="37" a="1"/>
  <c r="AL252" i="37" s="1"/>
  <c r="AL482" i="37" a="1"/>
  <c r="AL482" i="37" s="1"/>
  <c r="AL481" i="37" a="1"/>
  <c r="AL481" i="37" s="1"/>
  <c r="AL343" i="37" a="1"/>
  <c r="AL343" i="37" s="1"/>
  <c r="AL251" i="37" a="1"/>
  <c r="AL251" i="37" s="1"/>
  <c r="AL256" i="37" a="1"/>
  <c r="AL256" i="37" s="1"/>
  <c r="AL264" i="37" a="1"/>
  <c r="AL264" i="37" s="1"/>
  <c r="AL593" i="37" a="1"/>
  <c r="AL593" i="37" s="1"/>
  <c r="AL345" i="37" a="1"/>
  <c r="AL345" i="37" s="1"/>
  <c r="AL484" i="37" a="1"/>
  <c r="AL484" i="37" s="1"/>
  <c r="AL483" i="37" a="1"/>
  <c r="AL483" i="37" s="1"/>
  <c r="AL344" i="37" a="1"/>
  <c r="AL344" i="37" s="1"/>
  <c r="AL458" i="37" a="1"/>
  <c r="AL458" i="37" s="1"/>
  <c r="AL486" i="37" a="1"/>
  <c r="AL486" i="37" s="1"/>
  <c r="AL485" i="37" a="1"/>
  <c r="AL485" i="37" s="1"/>
  <c r="AL626" i="37" a="1"/>
  <c r="AL626" i="37" s="1"/>
  <c r="AL346" i="37" a="1"/>
  <c r="AL346" i="37" s="1"/>
  <c r="AL628" i="37" a="1"/>
  <c r="AL628" i="37" s="1"/>
  <c r="AL380" i="37" a="1"/>
  <c r="AL380" i="37" s="1"/>
  <c r="AL382" i="37" a="1"/>
  <c r="AL382" i="37" s="1"/>
  <c r="AL627" i="37" a="1"/>
  <c r="AL627" i="37" s="1"/>
  <c r="AL384" i="37" a="1"/>
  <c r="AL384" i="37" s="1"/>
  <c r="AL387" i="37" a="1"/>
  <c r="AL387" i="37" s="1"/>
  <c r="AL391" i="37" a="1"/>
  <c r="AL391" i="37" s="1"/>
  <c r="AL392" i="37" a="1"/>
  <c r="AL392" i="37" s="1"/>
  <c r="AL393" i="37" a="1"/>
  <c r="AL393" i="37" s="1"/>
  <c r="AL397" i="37" a="1"/>
  <c r="AL397" i="37" s="1"/>
  <c r="AL396" i="37" a="1"/>
  <c r="AL396" i="37" s="1"/>
  <c r="AL401" i="37" a="1"/>
  <c r="AL401" i="37" s="1"/>
  <c r="AL405" i="37" a="1"/>
  <c r="AL405" i="37" s="1"/>
  <c r="AL404" i="37" a="1"/>
  <c r="AL404" i="37" s="1"/>
  <c r="AL406" i="37" a="1"/>
  <c r="AL406" i="37" s="1"/>
  <c r="AL487" i="37" a="1"/>
  <c r="AL487" i="37" s="1"/>
  <c r="AL506" i="37" a="1"/>
  <c r="AL506" i="37" s="1"/>
  <c r="AL620" i="37" a="1"/>
  <c r="AL620" i="37" s="1"/>
  <c r="AL466" i="37" a="1"/>
  <c r="AL466" i="37" s="1"/>
  <c r="AL550" i="37" a="1"/>
  <c r="AL550" i="37" s="1"/>
  <c r="AL498" i="37" a="1"/>
  <c r="AL498" i="37" s="1"/>
  <c r="AL521" i="37" a="1"/>
  <c r="AL521" i="37" s="1"/>
  <c r="AL445" i="37" a="1"/>
  <c r="AL445" i="37" s="1"/>
  <c r="AL184" i="37" a="1"/>
  <c r="AL184" i="37" s="1"/>
  <c r="AL348" i="37" a="1"/>
  <c r="AL348" i="37" s="1"/>
  <c r="AL357" i="37" a="1"/>
  <c r="AL357" i="37" s="1"/>
  <c r="AL640" i="37" a="1"/>
  <c r="AL640" i="37" s="1"/>
  <c r="AL469" i="37" a="1"/>
  <c r="AL469" i="37" s="1"/>
  <c r="AL510" i="37" a="1"/>
  <c r="AL510" i="37" s="1"/>
  <c r="AL511" i="37" a="1"/>
  <c r="AL511" i="37" s="1"/>
  <c r="AL528" i="37" a="1"/>
  <c r="AL528" i="37" s="1"/>
  <c r="AL347" i="37" a="1"/>
  <c r="AL347" i="37" s="1"/>
  <c r="AL436" i="37" a="1"/>
  <c r="AL436" i="37" s="1"/>
  <c r="AL517" i="37" a="1"/>
  <c r="AL517" i="37" s="1"/>
  <c r="AL493" i="37" a="1"/>
  <c r="AL493" i="37" s="1"/>
  <c r="AL467" i="37" a="1"/>
  <c r="AL467" i="37" s="1"/>
  <c r="AL293" i="37" a="1"/>
  <c r="AL293" i="37" s="1"/>
  <c r="AL452" i="37" a="1"/>
  <c r="AL452" i="37" s="1"/>
  <c r="AL358" i="37" a="1"/>
  <c r="AL358" i="37" s="1"/>
  <c r="AL455" i="37" a="1"/>
  <c r="AL455" i="37" s="1"/>
  <c r="AL522" i="37" a="1"/>
  <c r="AL522" i="37" s="1"/>
  <c r="AL351" i="37" a="1"/>
  <c r="AL351" i="37" s="1"/>
  <c r="AL610" i="37" a="1"/>
  <c r="AL610" i="37" s="1"/>
  <c r="AL463" i="37" a="1"/>
  <c r="AL463" i="37" s="1"/>
  <c r="AL490" i="37" a="1"/>
  <c r="AL490" i="37" s="1"/>
  <c r="AL500" i="37" a="1"/>
  <c r="AL500" i="37" s="1"/>
  <c r="AL499" i="37" a="1"/>
  <c r="AL499" i="37" s="1"/>
  <c r="AL523" i="37" a="1"/>
  <c r="AL523" i="37" s="1"/>
  <c r="AL470" i="37" a="1"/>
  <c r="AL470" i="37" s="1"/>
  <c r="AL273" i="37" a="1"/>
  <c r="AL273" i="37" s="1"/>
  <c r="AL489" i="37" a="1"/>
  <c r="AL489" i="37" s="1"/>
  <c r="AL488" i="37" a="1"/>
  <c r="AL488" i="37" s="1"/>
  <c r="AL288" i="37" a="1"/>
  <c r="AL288" i="37" s="1"/>
  <c r="AL292" i="37" a="1"/>
  <c r="AL292" i="37" s="1"/>
  <c r="AL491" i="37" a="1"/>
  <c r="AL491" i="37" s="1"/>
  <c r="AL448" i="37" a="1"/>
  <c r="AL448" i="37" s="1"/>
  <c r="AL494" i="37" a="1"/>
  <c r="AL494" i="37" s="1"/>
  <c r="AL451" i="37" a="1"/>
  <c r="AL451" i="37" s="1"/>
  <c r="AL512" i="37" a="1"/>
  <c r="AL512" i="37" s="1"/>
  <c r="AL525" i="37" a="1"/>
  <c r="AL525" i="37" s="1"/>
  <c r="AL527" i="37" a="1"/>
  <c r="AL527" i="37" s="1"/>
  <c r="AL524" i="37" a="1"/>
  <c r="AL524" i="37" s="1"/>
  <c r="AL639" i="37" a="1"/>
  <c r="AL639" i="37" s="1"/>
  <c r="AL356" i="37" a="1"/>
  <c r="AL356" i="37" s="1"/>
  <c r="AL453" i="37" a="1"/>
  <c r="AL453" i="37" s="1"/>
  <c r="AL460" i="37" a="1"/>
  <c r="AL460" i="37" s="1"/>
  <c r="AL290" i="37" a="1"/>
  <c r="AL290" i="37" s="1"/>
  <c r="AL611" i="37" a="1"/>
  <c r="AL611" i="37" s="1"/>
  <c r="AL492" i="37" a="1"/>
  <c r="AL492" i="37" s="1"/>
  <c r="AL495" i="37" a="1"/>
  <c r="AL495" i="37" s="1"/>
  <c r="AL294" i="37" a="1"/>
  <c r="AL294" i="37" s="1"/>
  <c r="AL496" i="37" a="1"/>
  <c r="AL496" i="37" s="1"/>
  <c r="AL497" i="37" a="1"/>
  <c r="AL497" i="37" s="1"/>
  <c r="AL502" i="37" a="1"/>
  <c r="AL502" i="37" s="1"/>
  <c r="AL446" i="37" a="1"/>
  <c r="AL446" i="37" s="1"/>
  <c r="AL503" i="37" a="1"/>
  <c r="AL503" i="37" s="1"/>
  <c r="AL449" i="37" a="1"/>
  <c r="AL449" i="37" s="1"/>
  <c r="AL631" i="37" a="1"/>
  <c r="AL631" i="37" s="1"/>
  <c r="AL504" i="37" a="1"/>
  <c r="AL504" i="37" s="1"/>
  <c r="AL630" i="37" a="1"/>
  <c r="AL630" i="37" s="1"/>
  <c r="AL629" i="37" a="1"/>
  <c r="AL629" i="37" s="1"/>
  <c r="AL623" i="37" a="1"/>
  <c r="AL623" i="37" s="1"/>
  <c r="AL501" i="37" a="1"/>
  <c r="AL501" i="37" s="1"/>
  <c r="AL505" i="37" a="1"/>
  <c r="AL505" i="37" s="1"/>
  <c r="AL508" i="37" a="1"/>
  <c r="AL508" i="37" s="1"/>
  <c r="AL509" i="37" a="1"/>
  <c r="AL509" i="37" s="1"/>
  <c r="AL513" i="37" a="1"/>
  <c r="AL513" i="37" s="1"/>
  <c r="AL632" i="37" a="1"/>
  <c r="AL632" i="37" s="1"/>
  <c r="AL514" i="37" a="1"/>
  <c r="AL514" i="37" s="1"/>
  <c r="AL515" i="37" a="1"/>
  <c r="AL515" i="37" s="1"/>
  <c r="AL519" i="37" a="1"/>
  <c r="AL519" i="37" s="1"/>
  <c r="AL518" i="37" a="1"/>
  <c r="AL518" i="37" s="1"/>
  <c r="AL520" i="37" a="1"/>
  <c r="AL520" i="37" s="1"/>
  <c r="AL114" i="37" a="1"/>
  <c r="AL114" i="37" s="1"/>
  <c r="AL205" i="37" a="1"/>
  <c r="AL205" i="37" s="1"/>
  <c r="AL349" i="37" a="1"/>
  <c r="AL349" i="37" s="1"/>
  <c r="AL350" i="37" a="1"/>
  <c r="AL350" i="37" s="1"/>
  <c r="AL608" i="37" a="1"/>
  <c r="AL608" i="37" s="1"/>
  <c r="AL609" i="37" a="1"/>
  <c r="AL609" i="37" s="1"/>
  <c r="AL352" i="37" a="1"/>
  <c r="AL352" i="37" s="1"/>
  <c r="AL355" i="37" a="1"/>
  <c r="AL355" i="37" s="1"/>
  <c r="AL353" i="37" a="1"/>
  <c r="AL353" i="37" s="1"/>
  <c r="AL468" i="37" a="1"/>
  <c r="AL468" i="37" s="1"/>
  <c r="AL354" i="37" a="1"/>
  <c r="AL354" i="37" s="1"/>
  <c r="AL295" i="37" a="1"/>
  <c r="AL295" i="37" s="1"/>
  <c r="AL447" i="37" a="1"/>
  <c r="AL447" i="37" s="1"/>
  <c r="AL450" i="37" a="1"/>
  <c r="AL450" i="37" s="1"/>
  <c r="AL454" i="37" a="1"/>
  <c r="AL454" i="37" s="1"/>
  <c r="AL359" i="37" a="1"/>
  <c r="AL359" i="37" s="1"/>
  <c r="AL456" i="37" a="1"/>
  <c r="AL456" i="37" s="1"/>
  <c r="AL457" i="37" a="1"/>
  <c r="AL457" i="37" s="1"/>
  <c r="AL360" i="37" a="1"/>
  <c r="AL360" i="37" s="1"/>
  <c r="AL462" i="37" a="1"/>
  <c r="AL462" i="37" s="1"/>
  <c r="AL461" i="37" a="1"/>
  <c r="AL461" i="37" s="1"/>
  <c r="AL633" i="37" a="1"/>
  <c r="AL633" i="37" s="1"/>
  <c r="AL464" i="37" a="1"/>
  <c r="AL464" i="37" s="1"/>
  <c r="AL624" i="37" a="1"/>
  <c r="AL624" i="37" s="1"/>
  <c r="AL465" i="37" a="1"/>
  <c r="AL465" i="37" s="1"/>
  <c r="AL516" i="37" a="1"/>
  <c r="AL516" i="37" s="1"/>
  <c r="AL634" i="37" a="1"/>
  <c r="AL634" i="37" s="1"/>
  <c r="AL635" i="37" a="1"/>
  <c r="AL635" i="37" s="1"/>
  <c r="AL638" i="37" a="1"/>
  <c r="AL638" i="37" s="1"/>
  <c r="AL637" i="37" a="1"/>
  <c r="AL637" i="37" s="1"/>
  <c r="AL636" i="37" a="1"/>
  <c r="AL636" i="37" s="1"/>
  <c r="AL529" i="37" a="1"/>
  <c r="AL529" i="37" s="1"/>
  <c r="AL530" i="37" a="1"/>
  <c r="AL530" i="37" s="1"/>
  <c r="AL531" i="37" a="1"/>
  <c r="AL531" i="37" s="1"/>
  <c r="AL532" i="37" a="1"/>
  <c r="AL532" i="37" s="1"/>
  <c r="AK2" i="37" a="1"/>
  <c r="AK2" i="37" s="1"/>
  <c r="AK3" i="37" a="1"/>
  <c r="AK3" i="37" s="1"/>
  <c r="AK10" i="37" a="1"/>
  <c r="AK10" i="37" s="1"/>
  <c r="AK534" i="37" a="1"/>
  <c r="AK534" i="37" s="1"/>
  <c r="AK533" i="37" a="1"/>
  <c r="AK533" i="37" s="1"/>
  <c r="AK6" i="37" a="1"/>
  <c r="AK6" i="37" s="1"/>
  <c r="AK5" i="37" a="1"/>
  <c r="AK5" i="37" s="1"/>
  <c r="AK11" i="37" a="1"/>
  <c r="AK11" i="37" s="1"/>
  <c r="AK4" i="37" a="1"/>
  <c r="AK4" i="37" s="1"/>
  <c r="AK23" i="37" a="1"/>
  <c r="AK23" i="37" s="1"/>
  <c r="AK7" i="37" a="1"/>
  <c r="AK7" i="37" s="1"/>
  <c r="AK13" i="37" a="1"/>
  <c r="AK13" i="37" s="1"/>
  <c r="AK24" i="37" a="1"/>
  <c r="AK24" i="37" s="1"/>
  <c r="AK36" i="37" a="1"/>
  <c r="AK36" i="37" s="1"/>
  <c r="AK25" i="37" a="1"/>
  <c r="AK25" i="37" s="1"/>
  <c r="AK37" i="37" a="1"/>
  <c r="AK37" i="37" s="1"/>
  <c r="AK20" i="37" a="1"/>
  <c r="AK20" i="37" s="1"/>
  <c r="AK14" i="37" a="1"/>
  <c r="AK14" i="37" s="1"/>
  <c r="AK15" i="37" a="1"/>
  <c r="AK15" i="37" s="1"/>
  <c r="AK19" i="37" a="1"/>
  <c r="AK19" i="37" s="1"/>
  <c r="AK22" i="37" a="1"/>
  <c r="AK22" i="37" s="1"/>
  <c r="AK26" i="37" a="1"/>
  <c r="AK26" i="37" s="1"/>
  <c r="AK537" i="37" a="1"/>
  <c r="AK537" i="37" s="1"/>
  <c r="AK27" i="37" a="1"/>
  <c r="AK27" i="37" s="1"/>
  <c r="AK21" i="37" a="1"/>
  <c r="AK21" i="37" s="1"/>
  <c r="AK38" i="37" a="1"/>
  <c r="AK38" i="37" s="1"/>
  <c r="AK538" i="37" a="1"/>
  <c r="AK538" i="37" s="1"/>
  <c r="AK28" i="37" a="1"/>
  <c r="AK28" i="37" s="1"/>
  <c r="AK16" i="37" a="1"/>
  <c r="AK16" i="37" s="1"/>
  <c r="AK39" i="37" a="1"/>
  <c r="AK39" i="37" s="1"/>
  <c r="AK40" i="37" a="1"/>
  <c r="AK40" i="37" s="1"/>
  <c r="AK29" i="37" a="1"/>
  <c r="AK29" i="37" s="1"/>
  <c r="AK41" i="37" a="1"/>
  <c r="AK41" i="37" s="1"/>
  <c r="AK33" i="37" a="1"/>
  <c r="AK33" i="37" s="1"/>
  <c r="AK42" i="37" a="1"/>
  <c r="AK42" i="37" s="1"/>
  <c r="AK539" i="37" a="1"/>
  <c r="AK539" i="37" s="1"/>
  <c r="AK85" i="37" a="1"/>
  <c r="AK85" i="37" s="1"/>
  <c r="AK43" i="37" a="1"/>
  <c r="AK43" i="37" s="1"/>
  <c r="AK44" i="37" a="1"/>
  <c r="AK44" i="37" s="1"/>
  <c r="AK535" i="37" a="1"/>
  <c r="AK535" i="37" s="1"/>
  <c r="AK45" i="37" a="1"/>
  <c r="AK45" i="37" s="1"/>
  <c r="AK17" i="37" a="1"/>
  <c r="AK17" i="37" s="1"/>
  <c r="AK70" i="37" a="1"/>
  <c r="AK70" i="37" s="1"/>
  <c r="AK30" i="37" a="1"/>
  <c r="AK30" i="37" s="1"/>
  <c r="AK18" i="37" a="1"/>
  <c r="AK18" i="37" s="1"/>
  <c r="AK62" i="37" a="1"/>
  <c r="AK62" i="37" s="1"/>
  <c r="AK57" i="37" a="1"/>
  <c r="AK57" i="37" s="1"/>
  <c r="AK46" i="37" a="1"/>
  <c r="AK46" i="37" s="1"/>
  <c r="AK61" i="37" a="1"/>
  <c r="AK61" i="37" s="1"/>
  <c r="AK71" i="37" a="1"/>
  <c r="AK71" i="37" s="1"/>
  <c r="AK31" i="37" a="1"/>
  <c r="AK31" i="37" s="1"/>
  <c r="AK541" i="37" a="1"/>
  <c r="AK541" i="37" s="1"/>
  <c r="AK56" i="37" a="1"/>
  <c r="AK56" i="37" s="1"/>
  <c r="AK536" i="37" a="1"/>
  <c r="AK536" i="37" s="1"/>
  <c r="AK47" i="37" a="1"/>
  <c r="AK47" i="37" s="1"/>
  <c r="AK86" i="37" a="1"/>
  <c r="AK86" i="37" s="1"/>
  <c r="AK72" i="37" a="1"/>
  <c r="AK72" i="37" s="1"/>
  <c r="AK48" i="37" a="1"/>
  <c r="AK48" i="37" s="1"/>
  <c r="AK547" i="37" a="1"/>
  <c r="AK547" i="37" s="1"/>
  <c r="AK115" i="37" a="1"/>
  <c r="AK115" i="37" s="1"/>
  <c r="AK562" i="37" a="1"/>
  <c r="AK562" i="37" s="1"/>
  <c r="AK58" i="37" a="1"/>
  <c r="AK58" i="37" s="1"/>
  <c r="AK63" i="37" a="1"/>
  <c r="AK63" i="37" s="1"/>
  <c r="AK34" i="37" a="1"/>
  <c r="AK34" i="37" s="1"/>
  <c r="AK540" i="37" a="1"/>
  <c r="AK540" i="37" s="1"/>
  <c r="AK116" i="37" a="1"/>
  <c r="AK116" i="37" s="1"/>
  <c r="AK12" i="37" a="1"/>
  <c r="AK12" i="37" s="1"/>
  <c r="AK32" i="37" a="1"/>
  <c r="AK32" i="37" s="1"/>
  <c r="AK73" i="37" a="1"/>
  <c r="AK73" i="37" s="1"/>
  <c r="AK74" i="37" a="1"/>
  <c r="AK74" i="37" s="1"/>
  <c r="AK542" i="37" a="1"/>
  <c r="AK542" i="37" s="1"/>
  <c r="AK75" i="37" a="1"/>
  <c r="AK75" i="37" s="1"/>
  <c r="AK543" i="37" a="1"/>
  <c r="AK543" i="37" s="1"/>
  <c r="AK117" i="37" a="1"/>
  <c r="AK117" i="37" s="1"/>
  <c r="AK546" i="37" a="1"/>
  <c r="AK546" i="37" s="1"/>
  <c r="AK99" i="37" a="1"/>
  <c r="AK99" i="37" s="1"/>
  <c r="AK67" i="37" a="1"/>
  <c r="AK67" i="37" s="1"/>
  <c r="AK100" i="37" a="1"/>
  <c r="AK100" i="37" s="1"/>
  <c r="AK68" i="37" a="1"/>
  <c r="AK68" i="37" s="1"/>
  <c r="AK64" i="37" a="1"/>
  <c r="AK64" i="37" s="1"/>
  <c r="AK101" i="37" a="1"/>
  <c r="AK101" i="37" s="1"/>
  <c r="AK65" i="37" a="1"/>
  <c r="AK65" i="37" s="1"/>
  <c r="AK92" i="37" a="1"/>
  <c r="AK92" i="37" s="1"/>
  <c r="AK49" i="37" a="1"/>
  <c r="AK49" i="37" s="1"/>
  <c r="AK185" i="37" a="1"/>
  <c r="AK185" i="37" s="1"/>
  <c r="AK163" i="37" a="1"/>
  <c r="AK163" i="37" s="1"/>
  <c r="AK76" i="37" a="1"/>
  <c r="AK76" i="37" s="1"/>
  <c r="AK87" i="37" a="1"/>
  <c r="AK87" i="37" s="1"/>
  <c r="AK82" i="37" a="1"/>
  <c r="AK82" i="37" s="1"/>
  <c r="AK88" i="37" a="1"/>
  <c r="AK88" i="37" s="1"/>
  <c r="AK554" i="37" a="1"/>
  <c r="AK554" i="37" s="1"/>
  <c r="AK93" i="37" a="1"/>
  <c r="AK93" i="37" s="1"/>
  <c r="AK118" i="37" a="1"/>
  <c r="AK118" i="37" s="1"/>
  <c r="AK83" i="37" a="1"/>
  <c r="AK83" i="37" s="1"/>
  <c r="AK164" i="37" a="1"/>
  <c r="AK164" i="37" s="1"/>
  <c r="AK119" i="37" a="1"/>
  <c r="AK119" i="37" s="1"/>
  <c r="AK549" i="37" a="1"/>
  <c r="AK549" i="37" s="1"/>
  <c r="AK50" i="37" a="1"/>
  <c r="AK50" i="37" s="1"/>
  <c r="AK120" i="37" a="1"/>
  <c r="AK120" i="37" s="1"/>
  <c r="AK121" i="37" a="1"/>
  <c r="AK121" i="37" s="1"/>
  <c r="AK84" i="37" a="1"/>
  <c r="AK84" i="37" s="1"/>
  <c r="AK165" i="37" a="1"/>
  <c r="AK165" i="37" s="1"/>
  <c r="AK206" i="37" a="1"/>
  <c r="AK206" i="37" s="1"/>
  <c r="AK89" i="37" a="1"/>
  <c r="AK89" i="37" s="1"/>
  <c r="AK574" i="37" a="1"/>
  <c r="AK574" i="37" s="1"/>
  <c r="AK166" i="37" a="1"/>
  <c r="AK166" i="37" s="1"/>
  <c r="AK167" i="37" a="1"/>
  <c r="AK167" i="37" s="1"/>
  <c r="AK77" i="37" a="1"/>
  <c r="AK77" i="37" s="1"/>
  <c r="AK123" i="37" a="1"/>
  <c r="AK123" i="37" s="1"/>
  <c r="AK122" i="37" a="1"/>
  <c r="AK122" i="37" s="1"/>
  <c r="AK575" i="37" a="1"/>
  <c r="AK575" i="37" s="1"/>
  <c r="AK96" i="37" a="1"/>
  <c r="AK96" i="37" s="1"/>
  <c r="AK186" i="37" a="1"/>
  <c r="AK186" i="37" s="1"/>
  <c r="AK176" i="37" a="1"/>
  <c r="AK176" i="37" s="1"/>
  <c r="AK151" i="37" a="1"/>
  <c r="AK151" i="37" s="1"/>
  <c r="AK97" i="37" a="1"/>
  <c r="AK97" i="37" s="1"/>
  <c r="AK274" i="37" a="1"/>
  <c r="AK274" i="37" s="1"/>
  <c r="AK545" i="37" a="1"/>
  <c r="AK545" i="37" s="1"/>
  <c r="AK187" i="37" a="1"/>
  <c r="AK187" i="37" s="1"/>
  <c r="AK207" i="37" a="1"/>
  <c r="AK207" i="37" s="1"/>
  <c r="AK9" i="37" a="1"/>
  <c r="AK9" i="37" s="1"/>
  <c r="AK570" i="37" a="1"/>
  <c r="AK570" i="37" s="1"/>
  <c r="AK296" i="37" a="1"/>
  <c r="AK296" i="37" s="1"/>
  <c r="AK102" i="37" a="1"/>
  <c r="AK102" i="37" s="1"/>
  <c r="AK66" i="37" a="1"/>
  <c r="AK66" i="37" s="1"/>
  <c r="AK177" i="37" a="1"/>
  <c r="AK177" i="37" s="1"/>
  <c r="AK297" i="37" a="1"/>
  <c r="AK297" i="37" s="1"/>
  <c r="AK576" i="37" a="1"/>
  <c r="AK576" i="37" s="1"/>
  <c r="AK156" i="37" a="1"/>
  <c r="AK156" i="37" s="1"/>
  <c r="AK188" i="37" a="1"/>
  <c r="AK188" i="37" s="1"/>
  <c r="AK189" i="37" a="1"/>
  <c r="AK189" i="37" s="1"/>
  <c r="AK103" i="37" a="1"/>
  <c r="AK103" i="37" s="1"/>
  <c r="AK190" i="37" a="1"/>
  <c r="AK190" i="37" s="1"/>
  <c r="AK152" i="37" a="1"/>
  <c r="AK152" i="37" s="1"/>
  <c r="AK208" i="37" a="1"/>
  <c r="AK208" i="37" s="1"/>
  <c r="AK209" i="37" a="1"/>
  <c r="AK209" i="37" s="1"/>
  <c r="AK210" i="37" a="1"/>
  <c r="AK210" i="37" s="1"/>
  <c r="AK596" i="37" a="1"/>
  <c r="AK596" i="37" s="1"/>
  <c r="AK168" i="37" a="1"/>
  <c r="AK168" i="37" s="1"/>
  <c r="AK568" i="37" a="1"/>
  <c r="AK568" i="37" s="1"/>
  <c r="AK124" i="37" a="1"/>
  <c r="AK124" i="37" s="1"/>
  <c r="AK571" i="37" a="1"/>
  <c r="AK571" i="37" s="1"/>
  <c r="AK175" i="37" a="1"/>
  <c r="AK175" i="37" s="1"/>
  <c r="AK211" i="37" a="1"/>
  <c r="AK211" i="37" s="1"/>
  <c r="AK104" i="37" a="1"/>
  <c r="AK104" i="37" s="1"/>
  <c r="AK125" i="37" a="1"/>
  <c r="AK125" i="37" s="1"/>
  <c r="AK105" i="37" a="1"/>
  <c r="AK105" i="37" s="1"/>
  <c r="AK126" i="37" a="1"/>
  <c r="AK126" i="37" s="1"/>
  <c r="AK548" i="37" a="1"/>
  <c r="AK548" i="37" s="1"/>
  <c r="AK191" i="37" a="1"/>
  <c r="AK191" i="37" s="1"/>
  <c r="AK563" i="37" a="1"/>
  <c r="AK563" i="37" s="1"/>
  <c r="AK213" i="37" a="1"/>
  <c r="AK213" i="37" s="1"/>
  <c r="AK298" i="37" a="1"/>
  <c r="AK298" i="37" s="1"/>
  <c r="AK106" i="37" a="1"/>
  <c r="AK106" i="37" s="1"/>
  <c r="AK212" i="37" a="1"/>
  <c r="AK212" i="37" s="1"/>
  <c r="AK564" i="37" a="1"/>
  <c r="AK564" i="37" s="1"/>
  <c r="AK577" i="37" a="1"/>
  <c r="AK577" i="37" s="1"/>
  <c r="AK107" i="37" a="1"/>
  <c r="AK107" i="37" s="1"/>
  <c r="AK157" i="37" a="1"/>
  <c r="AK157" i="37" s="1"/>
  <c r="AK214" i="37" a="1"/>
  <c r="AK214" i="37" s="1"/>
  <c r="AK158" i="37" a="1"/>
  <c r="AK158" i="37" s="1"/>
  <c r="AK578" i="37" a="1"/>
  <c r="AK578" i="37" s="1"/>
  <c r="AK215" i="37" a="1"/>
  <c r="AK215" i="37" s="1"/>
  <c r="AK155" i="37" a="1"/>
  <c r="AK155" i="37" s="1"/>
  <c r="AK216" i="37" a="1"/>
  <c r="AK216" i="37" s="1"/>
  <c r="AK217" i="37" a="1"/>
  <c r="AK217" i="37" s="1"/>
  <c r="AK127" i="37" a="1"/>
  <c r="AK127" i="37" s="1"/>
  <c r="AK90" i="37" a="1"/>
  <c r="AK90" i="37" s="1"/>
  <c r="AK153" i="37" a="1"/>
  <c r="AK153" i="37" s="1"/>
  <c r="AK128" i="37" a="1"/>
  <c r="AK128" i="37" s="1"/>
  <c r="AK299" i="37" a="1"/>
  <c r="AK299" i="37" s="1"/>
  <c r="AK192" i="37" a="1"/>
  <c r="AK192" i="37" s="1"/>
  <c r="AK129" i="37" a="1"/>
  <c r="AK129" i="37" s="1"/>
  <c r="AK565" i="37" a="1"/>
  <c r="AK565" i="37" s="1"/>
  <c r="AK130" i="37" a="1"/>
  <c r="AK130" i="37" s="1"/>
  <c r="AK218" i="37" a="1"/>
  <c r="AK218" i="37" s="1"/>
  <c r="AK131" i="37" a="1"/>
  <c r="AK131" i="37" s="1"/>
  <c r="AK154" i="37" a="1"/>
  <c r="AK154" i="37" s="1"/>
  <c r="AK555" i="37" a="1"/>
  <c r="AK555" i="37" s="1"/>
  <c r="AK579" i="37" a="1"/>
  <c r="AK579" i="37" s="1"/>
  <c r="AK132" i="37" a="1"/>
  <c r="AK132" i="37" s="1"/>
  <c r="AK580" i="37" a="1"/>
  <c r="AK580" i="37" s="1"/>
  <c r="AK219" i="37" a="1"/>
  <c r="AK219" i="37" s="1"/>
  <c r="AK133" i="37" a="1"/>
  <c r="AK133" i="37" s="1"/>
  <c r="AK134" i="37" a="1"/>
  <c r="AK134" i="37" s="1"/>
  <c r="AK599" i="37" a="1"/>
  <c r="AK599" i="37" s="1"/>
  <c r="AK220" i="37" a="1"/>
  <c r="AK220" i="37" s="1"/>
  <c r="AK221" i="37" a="1"/>
  <c r="AK221" i="37" s="1"/>
  <c r="AK59" i="37" a="1"/>
  <c r="AK59" i="37" s="1"/>
  <c r="AK222" i="37" a="1"/>
  <c r="AK222" i="37" s="1"/>
  <c r="AK223" i="37" a="1"/>
  <c r="AK223" i="37" s="1"/>
  <c r="AK275" i="37" a="1"/>
  <c r="AK275" i="37" s="1"/>
  <c r="AK51" i="37" a="1"/>
  <c r="AK51" i="37" s="1"/>
  <c r="AK224" i="37" a="1"/>
  <c r="AK224" i="37" s="1"/>
  <c r="AK78" i="37" a="1"/>
  <c r="AK78" i="37" s="1"/>
  <c r="AK225" i="37" a="1"/>
  <c r="AK225" i="37" s="1"/>
  <c r="AK35" i="37" a="1"/>
  <c r="AK35" i="37" s="1"/>
  <c r="AK226" i="37" a="1"/>
  <c r="AK226" i="37" s="1"/>
  <c r="AK169" i="37" a="1"/>
  <c r="AK169" i="37" s="1"/>
  <c r="AK170" i="37" a="1"/>
  <c r="AK170" i="37" s="1"/>
  <c r="AK557" i="37" a="1"/>
  <c r="AK557" i="37" s="1"/>
  <c r="AK361" i="37" a="1"/>
  <c r="AK361" i="37" s="1"/>
  <c r="AK558" i="37" a="1"/>
  <c r="AK558" i="37" s="1"/>
  <c r="AK227" i="37" a="1"/>
  <c r="AK227" i="37" s="1"/>
  <c r="AK556" i="37" a="1"/>
  <c r="AK556" i="37" s="1"/>
  <c r="AK228" i="37" a="1"/>
  <c r="AK228" i="37" s="1"/>
  <c r="AK171" i="37" a="1"/>
  <c r="AK171" i="37" s="1"/>
  <c r="AK178" i="37" a="1"/>
  <c r="AK178" i="37" s="1"/>
  <c r="AK595" i="37" a="1"/>
  <c r="AK595" i="37" s="1"/>
  <c r="AK193" i="37" a="1"/>
  <c r="AK193" i="37" s="1"/>
  <c r="AK69" i="37" a="1"/>
  <c r="AK69" i="37" s="1"/>
  <c r="AK179" i="37" a="1"/>
  <c r="AK179" i="37" s="1"/>
  <c r="AK135" i="37" a="1"/>
  <c r="AK135" i="37" s="1"/>
  <c r="AK108" i="37" a="1"/>
  <c r="AK108" i="37" s="1"/>
  <c r="AK300" i="37" a="1"/>
  <c r="AK300" i="37" s="1"/>
  <c r="AK98" i="37" a="1"/>
  <c r="AK98" i="37" s="1"/>
  <c r="AK159" i="37" a="1"/>
  <c r="AK159" i="37" s="1"/>
  <c r="AK597" i="37" a="1"/>
  <c r="AK597" i="37" s="1"/>
  <c r="AK560" i="37" a="1"/>
  <c r="AK560" i="37" s="1"/>
  <c r="AK79" i="37" a="1"/>
  <c r="AK79" i="37" s="1"/>
  <c r="AK279" i="37" a="1"/>
  <c r="AK279" i="37" s="1"/>
  <c r="AK569" i="37" a="1"/>
  <c r="AK569" i="37" s="1"/>
  <c r="AK229" i="37" a="1"/>
  <c r="AK229" i="37" s="1"/>
  <c r="AK230" i="37" a="1"/>
  <c r="AK230" i="37" s="1"/>
  <c r="AK301" i="37" a="1"/>
  <c r="AK301" i="37" s="1"/>
  <c r="AK437" i="37" a="1"/>
  <c r="AK437" i="37" s="1"/>
  <c r="AK160" i="37" a="1"/>
  <c r="AK160" i="37" s="1"/>
  <c r="AK280" i="37" a="1"/>
  <c r="AK280" i="37" s="1"/>
  <c r="AK302" i="37" a="1"/>
  <c r="AK302" i="37" s="1"/>
  <c r="AK231" i="37" a="1"/>
  <c r="AK231" i="37" s="1"/>
  <c r="AK303" i="37" a="1"/>
  <c r="AK303" i="37" s="1"/>
  <c r="AK304" i="37" a="1"/>
  <c r="AK304" i="37" s="1"/>
  <c r="AK305" i="37" a="1"/>
  <c r="AK305" i="37" s="1"/>
  <c r="AK194" i="37" a="1"/>
  <c r="AK194" i="37" s="1"/>
  <c r="AK265" i="37" a="1"/>
  <c r="AK265" i="37" s="1"/>
  <c r="AK306" i="37" a="1"/>
  <c r="AK306" i="37" s="1"/>
  <c r="AK232" i="37" a="1"/>
  <c r="AK232" i="37" s="1"/>
  <c r="AK195" i="37" a="1"/>
  <c r="AK195" i="37" s="1"/>
  <c r="AK598" i="37" a="1"/>
  <c r="AK598" i="37" s="1"/>
  <c r="AK281" i="37" a="1"/>
  <c r="AK281" i="37" s="1"/>
  <c r="AK600" i="37" a="1"/>
  <c r="AK600" i="37" s="1"/>
  <c r="AK80" i="37" a="1"/>
  <c r="AK80" i="37" s="1"/>
  <c r="AK270" i="37" a="1"/>
  <c r="AK270" i="37" s="1"/>
  <c r="AK180" i="37" a="1"/>
  <c r="AK180" i="37" s="1"/>
  <c r="AK307" i="37" a="1"/>
  <c r="AK307" i="37" s="1"/>
  <c r="AK267" i="37" a="1"/>
  <c r="AK267" i="37" s="1"/>
  <c r="AK196" i="37" a="1"/>
  <c r="AK196" i="37" s="1"/>
  <c r="AK269" i="37" a="1"/>
  <c r="AK269" i="37" s="1"/>
  <c r="AK198" i="37" a="1"/>
  <c r="AK198" i="37" s="1"/>
  <c r="AK282" i="37" a="1"/>
  <c r="AK282" i="37" s="1"/>
  <c r="AK308" i="37" a="1"/>
  <c r="AK308" i="37" s="1"/>
  <c r="AK471" i="37" a="1"/>
  <c r="AK471" i="37" s="1"/>
  <c r="AK283" i="37" a="1"/>
  <c r="AK283" i="37" s="1"/>
  <c r="AK161" i="37" a="1"/>
  <c r="AK161" i="37" s="1"/>
  <c r="AK581" i="37" a="1"/>
  <c r="AK581" i="37" s="1"/>
  <c r="AK234" i="37" a="1"/>
  <c r="AK234" i="37" s="1"/>
  <c r="AK233" i="37" a="1"/>
  <c r="AK233" i="37" s="1"/>
  <c r="AK235" i="37" a="1"/>
  <c r="AK235" i="37" s="1"/>
  <c r="AK268" i="37" a="1"/>
  <c r="AK268" i="37" s="1"/>
  <c r="AK199" i="37" a="1"/>
  <c r="AK199" i="37" s="1"/>
  <c r="AK236" i="37" a="1"/>
  <c r="AK236" i="37" s="1"/>
  <c r="AK582" i="37" a="1"/>
  <c r="AK582" i="37" s="1"/>
  <c r="AK237" i="37" a="1"/>
  <c r="AK237" i="37" s="1"/>
  <c r="AK238" i="37" a="1"/>
  <c r="AK238" i="37" s="1"/>
  <c r="AK583" i="37" a="1"/>
  <c r="AK583" i="37" s="1"/>
  <c r="AK172" i="37" a="1"/>
  <c r="AK172" i="37" s="1"/>
  <c r="AK239" i="37" a="1"/>
  <c r="AK239" i="37" s="1"/>
  <c r="AK363" i="37" a="1"/>
  <c r="AK363" i="37" s="1"/>
  <c r="AK364" i="37" a="1"/>
  <c r="AK364" i="37" s="1"/>
  <c r="AK362" i="37" a="1"/>
  <c r="AK362" i="37" s="1"/>
  <c r="AK594" i="37" a="1"/>
  <c r="AK594" i="37" s="1"/>
  <c r="AK612" i="37" a="1"/>
  <c r="AK612" i="37" s="1"/>
  <c r="AK266" i="37" a="1"/>
  <c r="AK266" i="37" s="1"/>
  <c r="AK309" i="37" a="1"/>
  <c r="AK309" i="37" s="1"/>
  <c r="AK365" i="37" a="1"/>
  <c r="AK365" i="37" s="1"/>
  <c r="AK240" i="37" a="1"/>
  <c r="AK240" i="37" s="1"/>
  <c r="AK91" i="37" a="1"/>
  <c r="AK91" i="37" s="1"/>
  <c r="AK613" i="37" a="1"/>
  <c r="AK613" i="37" s="1"/>
  <c r="AK551" i="37" a="1"/>
  <c r="AK551" i="37" s="1"/>
  <c r="AK271" i="37" a="1"/>
  <c r="AK271" i="37" s="1"/>
  <c r="AK584" i="37" a="1"/>
  <c r="AK584" i="37" s="1"/>
  <c r="AK52" i="37" a="1"/>
  <c r="AK52" i="37" s="1"/>
  <c r="AK366" i="37" a="1"/>
  <c r="AK366" i="37" s="1"/>
  <c r="AK241" i="37" a="1"/>
  <c r="AK241" i="37" s="1"/>
  <c r="AK614" i="37" a="1"/>
  <c r="AK614" i="37" s="1"/>
  <c r="AK367" i="37" a="1"/>
  <c r="AK367" i="37" s="1"/>
  <c r="AK544" i="37" a="1"/>
  <c r="AK544" i="37" s="1"/>
  <c r="AK136" i="37" a="1"/>
  <c r="AK136" i="37" s="1"/>
  <c r="AK585" i="37" a="1"/>
  <c r="AK585" i="37" s="1"/>
  <c r="AK371" i="37" a="1"/>
  <c r="AK371" i="37" s="1"/>
  <c r="AK369" i="37" a="1"/>
  <c r="AK369" i="37" s="1"/>
  <c r="AK615" i="37" a="1"/>
  <c r="AK615" i="37" s="1"/>
  <c r="AK368" i="37" a="1"/>
  <c r="AK368" i="37" s="1"/>
  <c r="AK370" i="37" a="1"/>
  <c r="AK370" i="37" s="1"/>
  <c r="AK242" i="37" a="1"/>
  <c r="AK242" i="37" s="1"/>
  <c r="AK244" i="37" a="1"/>
  <c r="AK244" i="37" s="1"/>
  <c r="AK372" i="37" a="1"/>
  <c r="AK372" i="37" s="1"/>
  <c r="AK566" i="37" a="1"/>
  <c r="AK566" i="37" s="1"/>
  <c r="AK243" i="37" a="1"/>
  <c r="AK243" i="37" s="1"/>
  <c r="AK407" i="37" a="1"/>
  <c r="AK407" i="37" s="1"/>
  <c r="AK8" i="37" a="1"/>
  <c r="AK8" i="37" s="1"/>
  <c r="AK310" i="37" a="1"/>
  <c r="AK310" i="37" s="1"/>
  <c r="AK385" i="37" a="1"/>
  <c r="AK385" i="37" s="1"/>
  <c r="AK94" i="37" a="1"/>
  <c r="AK94" i="37" s="1"/>
  <c r="AK55" i="37" a="1"/>
  <c r="AK55" i="37" s="1"/>
  <c r="AK258" i="37" a="1"/>
  <c r="AK258" i="37" s="1"/>
  <c r="AK137" i="37" a="1"/>
  <c r="AK137" i="37" s="1"/>
  <c r="AK54" i="37" a="1"/>
  <c r="AK54" i="37" s="1"/>
  <c r="AK418" i="37" a="1"/>
  <c r="AK418" i="37" s="1"/>
  <c r="AK174" i="37" a="1"/>
  <c r="AK174" i="37" s="1"/>
  <c r="AK311" i="37" a="1"/>
  <c r="AK311" i="37" s="1"/>
  <c r="AK416" i="37" a="1"/>
  <c r="AK416" i="37" s="1"/>
  <c r="AK312" i="37" a="1"/>
  <c r="AK312" i="37" s="1"/>
  <c r="AK145" i="37" a="1"/>
  <c r="AK145" i="37" s="1"/>
  <c r="AK278" i="37" a="1"/>
  <c r="AK278" i="37" s="1"/>
  <c r="AK181" i="37" a="1"/>
  <c r="AK181" i="37" s="1"/>
  <c r="AK375" i="37" a="1"/>
  <c r="AK375" i="37" s="1"/>
  <c r="AK146" i="37" a="1"/>
  <c r="AK146" i="37" s="1"/>
  <c r="AK388" i="37" a="1"/>
  <c r="AK388" i="37" s="1"/>
  <c r="AK419" i="37" a="1"/>
  <c r="AK419" i="37" s="1"/>
  <c r="AK60" i="37" a="1"/>
  <c r="AK60" i="37" s="1"/>
  <c r="AK81" i="37" a="1"/>
  <c r="AK81" i="37" s="1"/>
  <c r="AK149" i="37" a="1"/>
  <c r="AK149" i="37" s="1"/>
  <c r="AK246" i="37" a="1"/>
  <c r="AK246" i="37" s="1"/>
  <c r="AK590" i="37" a="1"/>
  <c r="AK590" i="37" s="1"/>
  <c r="AK254" i="37" a="1"/>
  <c r="AK254" i="37" s="1"/>
  <c r="AK373" i="37" a="1"/>
  <c r="AK373" i="37" s="1"/>
  <c r="AK376" i="37" a="1"/>
  <c r="AK376" i="37" s="1"/>
  <c r="AK378" i="37" a="1"/>
  <c r="AK378" i="37" s="1"/>
  <c r="AK410" i="37" a="1"/>
  <c r="AK410" i="37" s="1"/>
  <c r="AK409" i="37" a="1"/>
  <c r="AK409" i="37" s="1"/>
  <c r="AK420" i="37" a="1"/>
  <c r="AK420" i="37" s="1"/>
  <c r="AK248" i="37" a="1"/>
  <c r="AK248" i="37" s="1"/>
  <c r="AK247" i="37" a="1"/>
  <c r="AK247" i="37" s="1"/>
  <c r="AK259" i="37" a="1"/>
  <c r="AK259" i="37" s="1"/>
  <c r="AK402" i="37" a="1"/>
  <c r="AK402" i="37" s="1"/>
  <c r="AK415" i="37" a="1"/>
  <c r="AK415" i="37" s="1"/>
  <c r="AK417" i="37" a="1"/>
  <c r="AK417" i="37" s="1"/>
  <c r="AK53" i="37" a="1"/>
  <c r="AK53" i="37" s="1"/>
  <c r="AK140" i="37" a="1"/>
  <c r="AK140" i="37" s="1"/>
  <c r="AK142" i="37" a="1"/>
  <c r="AK142" i="37" s="1"/>
  <c r="AK109" i="37" a="1"/>
  <c r="AK109" i="37" s="1"/>
  <c r="AK313" i="37" a="1"/>
  <c r="AK313" i="37" s="1"/>
  <c r="AK314" i="37" a="1"/>
  <c r="AK314" i="37" s="1"/>
  <c r="AK601" i="37" a="1"/>
  <c r="AK601" i="37" s="1"/>
  <c r="AK315" i="37" a="1"/>
  <c r="AK315" i="37" s="1"/>
  <c r="AK618" i="37" a="1"/>
  <c r="AK618" i="37" s="1"/>
  <c r="AK143" i="37" a="1"/>
  <c r="AK143" i="37" s="1"/>
  <c r="AK622" i="37" a="1"/>
  <c r="AK622" i="37" s="1"/>
  <c r="AK316" i="37" a="1"/>
  <c r="AK316" i="37" s="1"/>
  <c r="AK552" i="37" a="1"/>
  <c r="AK552" i="37" s="1"/>
  <c r="AK317" i="37" a="1"/>
  <c r="AK317" i="37" s="1"/>
  <c r="AK182" i="37" a="1"/>
  <c r="AK182" i="37" s="1"/>
  <c r="AK200" i="37" a="1"/>
  <c r="AK200" i="37" s="1"/>
  <c r="AK284" i="37" a="1"/>
  <c r="AK284" i="37" s="1"/>
  <c r="AK427" i="37" a="1"/>
  <c r="AK427" i="37" s="1"/>
  <c r="AK147" i="37" a="1"/>
  <c r="AK147" i="37" s="1"/>
  <c r="AK173" i="37" a="1"/>
  <c r="AK173" i="37" s="1"/>
  <c r="AK318" i="37" a="1"/>
  <c r="AK318" i="37" s="1"/>
  <c r="AK435" i="37" a="1"/>
  <c r="AK435" i="37" s="1"/>
  <c r="AK285" i="37" a="1"/>
  <c r="AK285" i="37" s="1"/>
  <c r="AK602" i="37" a="1"/>
  <c r="AK602" i="37" s="1"/>
  <c r="AK319" i="37" a="1"/>
  <c r="AK319" i="37" s="1"/>
  <c r="AK148" i="37" a="1"/>
  <c r="AK148" i="37" s="1"/>
  <c r="AK320" i="37" a="1"/>
  <c r="AK320" i="37" s="1"/>
  <c r="AK321" i="37" a="1"/>
  <c r="AK321" i="37" s="1"/>
  <c r="AK150" i="37" a="1"/>
  <c r="AK150" i="37" s="1"/>
  <c r="AK322" i="37" a="1"/>
  <c r="AK322" i="37" s="1"/>
  <c r="AK323" i="37" a="1"/>
  <c r="AK323" i="37" s="1"/>
  <c r="AK621" i="37" a="1"/>
  <c r="AK621" i="37" s="1"/>
  <c r="AK424" i="37" a="1"/>
  <c r="AK424" i="37" s="1"/>
  <c r="AK201" i="37" a="1"/>
  <c r="AK201" i="37" s="1"/>
  <c r="AK440" i="37" a="1"/>
  <c r="AK440" i="37" s="1"/>
  <c r="AK110" i="37" a="1"/>
  <c r="AK110" i="37" s="1"/>
  <c r="AK286" i="37" a="1"/>
  <c r="AK286" i="37" s="1"/>
  <c r="AK325" i="37" a="1"/>
  <c r="AK325" i="37" s="1"/>
  <c r="AK423" i="37" a="1"/>
  <c r="AK423" i="37" s="1"/>
  <c r="AK431" i="37" a="1"/>
  <c r="AK431" i="37" s="1"/>
  <c r="AK421" i="37" a="1"/>
  <c r="AK421" i="37" s="1"/>
  <c r="AK245" i="37" a="1"/>
  <c r="AK245" i="37" s="1"/>
  <c r="AK434" i="37" a="1"/>
  <c r="AK434" i="37" s="1"/>
  <c r="AK324" i="37" a="1"/>
  <c r="AK324" i="37" s="1"/>
  <c r="AK572" i="37" a="1"/>
  <c r="AK572" i="37" s="1"/>
  <c r="AK202" i="37" a="1"/>
  <c r="AK202" i="37" s="1"/>
  <c r="AK588" i="37" a="1"/>
  <c r="AK588" i="37" s="1"/>
  <c r="AK603" i="37" a="1"/>
  <c r="AK603" i="37" s="1"/>
  <c r="AK619" i="37" a="1"/>
  <c r="AK619" i="37" s="1"/>
  <c r="AK250" i="37" a="1"/>
  <c r="AK250" i="37" s="1"/>
  <c r="AK441" i="37" a="1"/>
  <c r="AK441" i="37" s="1"/>
  <c r="AK438" i="37" a="1"/>
  <c r="AK438" i="37" s="1"/>
  <c r="AK327" i="37" a="1"/>
  <c r="AK327" i="37" s="1"/>
  <c r="AK426" i="37" a="1"/>
  <c r="AK426" i="37" s="1"/>
  <c r="AK287" i="37" a="1"/>
  <c r="AK287" i="37" s="1"/>
  <c r="AK95" i="37" a="1"/>
  <c r="AK95" i="37" s="1"/>
  <c r="AK326" i="37" a="1"/>
  <c r="AK326" i="37" s="1"/>
  <c r="AK249" i="37" a="1"/>
  <c r="AK249" i="37" s="1"/>
  <c r="AK425" i="37" a="1"/>
  <c r="AK425" i="37" s="1"/>
  <c r="AK604" i="37" a="1"/>
  <c r="AK604" i="37" s="1"/>
  <c r="AK162" i="37" a="1"/>
  <c r="AK162" i="37" s="1"/>
  <c r="AK276" i="37" a="1"/>
  <c r="AK276" i="37" s="1"/>
  <c r="AK328" i="37" a="1"/>
  <c r="AK328" i="37" s="1"/>
  <c r="AK472" i="37" a="1"/>
  <c r="AK472" i="37" s="1"/>
  <c r="AK272" i="37" a="1"/>
  <c r="AK272" i="37" s="1"/>
  <c r="AK255" i="37" a="1"/>
  <c r="AK255" i="37" s="1"/>
  <c r="AK277" i="37" a="1"/>
  <c r="AK277" i="37" s="1"/>
  <c r="AK442" i="37" a="1"/>
  <c r="AK442" i="37" s="1"/>
  <c r="AK591" i="37" a="1"/>
  <c r="AK591" i="37" s="1"/>
  <c r="AK592" i="37" a="1"/>
  <c r="AK592" i="37" s="1"/>
  <c r="AK329" i="37" a="1"/>
  <c r="AK329" i="37" s="1"/>
  <c r="AK473" i="37" a="1"/>
  <c r="AK473" i="37" s="1"/>
  <c r="AK474" i="37" a="1"/>
  <c r="AK474" i="37" s="1"/>
  <c r="AK428" i="37" a="1"/>
  <c r="AK428" i="37" s="1"/>
  <c r="AK330" i="37" a="1"/>
  <c r="AK330" i="37" s="1"/>
  <c r="AK257" i="37" a="1"/>
  <c r="AK257" i="37" s="1"/>
  <c r="AK429" i="37" a="1"/>
  <c r="AK429" i="37" s="1"/>
  <c r="AK263" i="37" a="1"/>
  <c r="AK263" i="37" s="1"/>
  <c r="AK444" i="37" a="1"/>
  <c r="AK444" i="37" s="1"/>
  <c r="AK430" i="37" a="1"/>
  <c r="AK430" i="37" s="1"/>
  <c r="AK432" i="37" a="1"/>
  <c r="AK432" i="37" s="1"/>
  <c r="AK260" i="37" a="1"/>
  <c r="AK260" i="37" s="1"/>
  <c r="AK261" i="37" a="1"/>
  <c r="AK261" i="37" s="1"/>
  <c r="AK262" i="37" a="1"/>
  <c r="AK262" i="37" s="1"/>
  <c r="AK331" i="37" a="1"/>
  <c r="AK331" i="37" s="1"/>
  <c r="AK374" i="37" a="1"/>
  <c r="AK374" i="37" s="1"/>
  <c r="AK332" i="37" a="1"/>
  <c r="AK332" i="37" s="1"/>
  <c r="AK377" i="37" a="1"/>
  <c r="AK377" i="37" s="1"/>
  <c r="AK203" i="37" a="1"/>
  <c r="AK203" i="37" s="1"/>
  <c r="AK111" i="37" a="1"/>
  <c r="AK111" i="37" s="1"/>
  <c r="AK379" i="37" a="1"/>
  <c r="AK379" i="37" s="1"/>
  <c r="AK333" i="37" a="1"/>
  <c r="AK333" i="37" s="1"/>
  <c r="AK334" i="37" a="1"/>
  <c r="AK334" i="37" s="1"/>
  <c r="AK443" i="37" a="1"/>
  <c r="AK443" i="37" s="1"/>
  <c r="AK459" i="37" a="1"/>
  <c r="AK459" i="37" s="1"/>
  <c r="AK289" i="37" a="1"/>
  <c r="AK289" i="37" s="1"/>
  <c r="AK475" i="37" a="1"/>
  <c r="AK475" i="37" s="1"/>
  <c r="AK335" i="37" a="1"/>
  <c r="AK335" i="37" s="1"/>
  <c r="AK112" i="37" a="1"/>
  <c r="AK112" i="37" s="1"/>
  <c r="AK422" i="37" a="1"/>
  <c r="AK422" i="37" s="1"/>
  <c r="AK381" i="37" a="1"/>
  <c r="AK381" i="37" s="1"/>
  <c r="AK605" i="37" a="1"/>
  <c r="AK605" i="37" s="1"/>
  <c r="AK616" i="37" a="1"/>
  <c r="AK616" i="37" s="1"/>
  <c r="AK383" i="37" a="1"/>
  <c r="AK383" i="37" s="1"/>
  <c r="AK183" i="37" a="1"/>
  <c r="AK183" i="37" s="1"/>
  <c r="AK433" i="37" a="1"/>
  <c r="AK433" i="37" s="1"/>
  <c r="AK336" i="37" a="1"/>
  <c r="AK336" i="37" s="1"/>
  <c r="AK337" i="37" a="1"/>
  <c r="AK337" i="37" s="1"/>
  <c r="AK386" i="37" a="1"/>
  <c r="AK386" i="37" s="1"/>
  <c r="AK338" i="37" a="1"/>
  <c r="AK338" i="37" s="1"/>
  <c r="AK617" i="37" a="1"/>
  <c r="AK617" i="37" s="1"/>
  <c r="AK389" i="37" a="1"/>
  <c r="AK389" i="37" s="1"/>
  <c r="AK606" i="37" a="1"/>
  <c r="AK606" i="37" s="1"/>
  <c r="AK204" i="37" a="1"/>
  <c r="AK204" i="37" s="1"/>
  <c r="AK291" i="37" a="1"/>
  <c r="AK291" i="37" s="1"/>
  <c r="AK390" i="37" a="1"/>
  <c r="AK390" i="37" s="1"/>
  <c r="AK394" i="37" a="1"/>
  <c r="AK394" i="37" s="1"/>
  <c r="AK398" i="37" a="1"/>
  <c r="AK398" i="37" s="1"/>
  <c r="AK400" i="37" a="1"/>
  <c r="AK400" i="37" s="1"/>
  <c r="AK476" i="37" a="1"/>
  <c r="AK476" i="37" s="1"/>
  <c r="AK399" i="37" a="1"/>
  <c r="AK399" i="37" s="1"/>
  <c r="AK403" i="37" a="1"/>
  <c r="AK403" i="37" s="1"/>
  <c r="AK477" i="37" a="1"/>
  <c r="AK477" i="37" s="1"/>
  <c r="AK408" i="37" a="1"/>
  <c r="AK408" i="37" s="1"/>
  <c r="AK439" i="37" a="1"/>
  <c r="AK439" i="37" s="1"/>
  <c r="AK573" i="37" a="1"/>
  <c r="AK573" i="37" s="1"/>
  <c r="AK413" i="37" a="1"/>
  <c r="AK413" i="37" s="1"/>
  <c r="AK607" i="37" a="1"/>
  <c r="AK607" i="37" s="1"/>
  <c r="AK412" i="37" a="1"/>
  <c r="AK412" i="37" s="1"/>
  <c r="AK113" i="37" a="1"/>
  <c r="AK113" i="37" s="1"/>
  <c r="AK414" i="37" a="1"/>
  <c r="AK414" i="37" s="1"/>
  <c r="AK411" i="37" a="1"/>
  <c r="AK411" i="37" s="1"/>
  <c r="AK138" i="37" a="1"/>
  <c r="AK138" i="37" s="1"/>
  <c r="AK139" i="37" a="1"/>
  <c r="AK139" i="37" s="1"/>
  <c r="AK339" i="37" a="1"/>
  <c r="AK339" i="37" s="1"/>
  <c r="AK478" i="37" a="1"/>
  <c r="AK478" i="37" s="1"/>
  <c r="AK141" i="37" a="1"/>
  <c r="AK141" i="37" s="1"/>
  <c r="AK479" i="37" a="1"/>
  <c r="AK479" i="37" s="1"/>
  <c r="AK340" i="37" a="1"/>
  <c r="AK340" i="37" s="1"/>
  <c r="AK144" i="37" a="1"/>
  <c r="AK144" i="37" s="1"/>
  <c r="AK567" i="37" a="1"/>
  <c r="AK567" i="37" s="1"/>
  <c r="AK586" i="37" a="1"/>
  <c r="AK586" i="37" s="1"/>
  <c r="AK587" i="37" a="1"/>
  <c r="AK587" i="37" s="1"/>
  <c r="AK589" i="37" a="1"/>
  <c r="AK589" i="37" s="1"/>
  <c r="AK625" i="37" a="1"/>
  <c r="AK625" i="37" s="1"/>
  <c r="AK480" i="37" a="1"/>
  <c r="AK480" i="37" s="1"/>
  <c r="AK342" i="37" a="1"/>
  <c r="AK342" i="37" s="1"/>
  <c r="AK253" i="37" a="1"/>
  <c r="AK253" i="37" s="1"/>
  <c r="AK341" i="37" a="1"/>
  <c r="AK341" i="37" s="1"/>
  <c r="AK252" i="37" a="1"/>
  <c r="AK252" i="37" s="1"/>
  <c r="AK482" i="37" a="1"/>
  <c r="AK482" i="37" s="1"/>
  <c r="AK481" i="37" a="1"/>
  <c r="AK481" i="37" s="1"/>
  <c r="AK343" i="37" a="1"/>
  <c r="AK343" i="37" s="1"/>
  <c r="AK251" i="37" a="1"/>
  <c r="AK251" i="37" s="1"/>
  <c r="AK256" i="37" a="1"/>
  <c r="AK256" i="37" s="1"/>
  <c r="AK264" i="37" a="1"/>
  <c r="AK264" i="37" s="1"/>
  <c r="AK593" i="37" a="1"/>
  <c r="AK593" i="37" s="1"/>
  <c r="AK345" i="37" a="1"/>
  <c r="AK345" i="37" s="1"/>
  <c r="AK484" i="37" a="1"/>
  <c r="AK484" i="37" s="1"/>
  <c r="AK483" i="37" a="1"/>
  <c r="AK483" i="37" s="1"/>
  <c r="AK344" i="37" a="1"/>
  <c r="AK344" i="37" s="1"/>
  <c r="AK458" i="37" a="1"/>
  <c r="AK458" i="37" s="1"/>
  <c r="AK486" i="37" a="1"/>
  <c r="AK486" i="37" s="1"/>
  <c r="AK485" i="37" a="1"/>
  <c r="AK485" i="37" s="1"/>
  <c r="AK626" i="37" a="1"/>
  <c r="AK626" i="37" s="1"/>
  <c r="AK346" i="37" a="1"/>
  <c r="AK346" i="37" s="1"/>
  <c r="AK628" i="37" a="1"/>
  <c r="AK628" i="37" s="1"/>
  <c r="AK380" i="37" a="1"/>
  <c r="AK380" i="37" s="1"/>
  <c r="AK382" i="37" a="1"/>
  <c r="AK382" i="37" s="1"/>
  <c r="AK627" i="37" a="1"/>
  <c r="AK627" i="37" s="1"/>
  <c r="AK384" i="37" a="1"/>
  <c r="AK384" i="37" s="1"/>
  <c r="AK387" i="37" a="1"/>
  <c r="AK387" i="37" s="1"/>
  <c r="AK391" i="37" a="1"/>
  <c r="AK391" i="37" s="1"/>
  <c r="AK392" i="37" a="1"/>
  <c r="AK392" i="37" s="1"/>
  <c r="AK393" i="37" a="1"/>
  <c r="AK393" i="37" s="1"/>
  <c r="AK397" i="37" a="1"/>
  <c r="AK397" i="37" s="1"/>
  <c r="AK396" i="37" a="1"/>
  <c r="AK396" i="37" s="1"/>
  <c r="AK401" i="37" a="1"/>
  <c r="AK401" i="37" s="1"/>
  <c r="AK405" i="37" a="1"/>
  <c r="AK405" i="37" s="1"/>
  <c r="AK404" i="37" a="1"/>
  <c r="AK404" i="37" s="1"/>
  <c r="AK406" i="37" a="1"/>
  <c r="AK406" i="37" s="1"/>
  <c r="AK487" i="37" a="1"/>
  <c r="AK487" i="37" s="1"/>
  <c r="AK506" i="37" a="1"/>
  <c r="AK506" i="37" s="1"/>
  <c r="AK620" i="37" a="1"/>
  <c r="AK620" i="37" s="1"/>
  <c r="AK466" i="37" a="1"/>
  <c r="AK466" i="37" s="1"/>
  <c r="AK550" i="37" a="1"/>
  <c r="AK550" i="37" s="1"/>
  <c r="AK498" i="37" a="1"/>
  <c r="AK498" i="37" s="1"/>
  <c r="AK521" i="37" a="1"/>
  <c r="AK521" i="37" s="1"/>
  <c r="AK445" i="37" a="1"/>
  <c r="AK445" i="37" s="1"/>
  <c r="AK184" i="37" a="1"/>
  <c r="AK184" i="37" s="1"/>
  <c r="AK348" i="37" a="1"/>
  <c r="AK348" i="37" s="1"/>
  <c r="AK357" i="37" a="1"/>
  <c r="AK357" i="37" s="1"/>
  <c r="AK640" i="37" a="1"/>
  <c r="AK640" i="37" s="1"/>
  <c r="AK469" i="37" a="1"/>
  <c r="AK469" i="37" s="1"/>
  <c r="AK510" i="37" a="1"/>
  <c r="AK510" i="37" s="1"/>
  <c r="AK511" i="37" a="1"/>
  <c r="AK511" i="37" s="1"/>
  <c r="AK528" i="37" a="1"/>
  <c r="AK528" i="37" s="1"/>
  <c r="AK347" i="37" a="1"/>
  <c r="AK347" i="37" s="1"/>
  <c r="AK436" i="37" a="1"/>
  <c r="AK436" i="37" s="1"/>
  <c r="AK517" i="37" a="1"/>
  <c r="AK517" i="37" s="1"/>
  <c r="AK493" i="37" a="1"/>
  <c r="AK493" i="37" s="1"/>
  <c r="AK467" i="37" a="1"/>
  <c r="AK467" i="37" s="1"/>
  <c r="AK293" i="37" a="1"/>
  <c r="AK293" i="37" s="1"/>
  <c r="AK452" i="37" a="1"/>
  <c r="AK452" i="37" s="1"/>
  <c r="AK358" i="37" a="1"/>
  <c r="AK358" i="37" s="1"/>
  <c r="AK455" i="37" a="1"/>
  <c r="AK455" i="37" s="1"/>
  <c r="AK522" i="37" a="1"/>
  <c r="AK522" i="37" s="1"/>
  <c r="AK351" i="37" a="1"/>
  <c r="AK351" i="37" s="1"/>
  <c r="AK610" i="37" a="1"/>
  <c r="AK610" i="37" s="1"/>
  <c r="AK463" i="37" a="1"/>
  <c r="AK463" i="37" s="1"/>
  <c r="AK490" i="37" a="1"/>
  <c r="AK490" i="37" s="1"/>
  <c r="AK500" i="37" a="1"/>
  <c r="AK500" i="37" s="1"/>
  <c r="AK499" i="37" a="1"/>
  <c r="AK499" i="37" s="1"/>
  <c r="AK523" i="37" a="1"/>
  <c r="AK523" i="37" s="1"/>
  <c r="AK470" i="37" a="1"/>
  <c r="AK470" i="37" s="1"/>
  <c r="AK273" i="37" a="1"/>
  <c r="AK273" i="37" s="1"/>
  <c r="AK489" i="37" a="1"/>
  <c r="AK489" i="37" s="1"/>
  <c r="AK488" i="37" a="1"/>
  <c r="AK488" i="37" s="1"/>
  <c r="AK288" i="37" a="1"/>
  <c r="AK288" i="37" s="1"/>
  <c r="AK292" i="37" a="1"/>
  <c r="AK292" i="37" s="1"/>
  <c r="AK491" i="37" a="1"/>
  <c r="AK491" i="37" s="1"/>
  <c r="AK448" i="37" a="1"/>
  <c r="AK448" i="37" s="1"/>
  <c r="AK494" i="37" a="1"/>
  <c r="AK494" i="37" s="1"/>
  <c r="AK451" i="37" a="1"/>
  <c r="AK451" i="37" s="1"/>
  <c r="AK512" i="37" a="1"/>
  <c r="AK512" i="37" s="1"/>
  <c r="AK525" i="37" a="1"/>
  <c r="AK525" i="37" s="1"/>
  <c r="AK527" i="37" a="1"/>
  <c r="AK527" i="37" s="1"/>
  <c r="AK524" i="37" a="1"/>
  <c r="AK524" i="37" s="1"/>
  <c r="AK639" i="37" a="1"/>
  <c r="AK639" i="37" s="1"/>
  <c r="AK356" i="37" a="1"/>
  <c r="AK356" i="37" s="1"/>
  <c r="AK453" i="37" a="1"/>
  <c r="AK453" i="37" s="1"/>
  <c r="AK460" i="37" a="1"/>
  <c r="AK460" i="37" s="1"/>
  <c r="AK290" i="37" a="1"/>
  <c r="AK290" i="37" s="1"/>
  <c r="AK611" i="37" a="1"/>
  <c r="AK611" i="37" s="1"/>
  <c r="AK492" i="37" a="1"/>
  <c r="AK492" i="37" s="1"/>
  <c r="AK495" i="37" a="1"/>
  <c r="AK495" i="37" s="1"/>
  <c r="AK294" i="37" a="1"/>
  <c r="AK294" i="37" s="1"/>
  <c r="AK496" i="37" a="1"/>
  <c r="AK496" i="37" s="1"/>
  <c r="AK497" i="37" a="1"/>
  <c r="AK497" i="37" s="1"/>
  <c r="AK502" i="37" a="1"/>
  <c r="AK502" i="37" s="1"/>
  <c r="AK446" i="37" a="1"/>
  <c r="AK446" i="37" s="1"/>
  <c r="AK503" i="37" a="1"/>
  <c r="AK503" i="37" s="1"/>
  <c r="AK449" i="37" a="1"/>
  <c r="AK449" i="37" s="1"/>
  <c r="AK631" i="37" a="1"/>
  <c r="AK631" i="37" s="1"/>
  <c r="AK504" i="37" a="1"/>
  <c r="AK504" i="37" s="1"/>
  <c r="AK630" i="37" a="1"/>
  <c r="AK630" i="37" s="1"/>
  <c r="AK629" i="37" a="1"/>
  <c r="AK629" i="37" s="1"/>
  <c r="AK623" i="37" a="1"/>
  <c r="AK623" i="37" s="1"/>
  <c r="AK501" i="37" a="1"/>
  <c r="AK501" i="37" s="1"/>
  <c r="AK505" i="37" a="1"/>
  <c r="AK505" i="37" s="1"/>
  <c r="AK508" i="37" a="1"/>
  <c r="AK508" i="37" s="1"/>
  <c r="AK509" i="37" a="1"/>
  <c r="AK509" i="37" s="1"/>
  <c r="AK513" i="37" a="1"/>
  <c r="AK513" i="37" s="1"/>
  <c r="AK632" i="37" a="1"/>
  <c r="AK632" i="37" s="1"/>
  <c r="AK514" i="37" a="1"/>
  <c r="AK514" i="37" s="1"/>
  <c r="AK515" i="37" a="1"/>
  <c r="AK515" i="37" s="1"/>
  <c r="AK519" i="37" a="1"/>
  <c r="AK519" i="37" s="1"/>
  <c r="AK518" i="37" a="1"/>
  <c r="AK518" i="37" s="1"/>
  <c r="AK520" i="37" a="1"/>
  <c r="AK520" i="37" s="1"/>
  <c r="AK114" i="37" a="1"/>
  <c r="AK114" i="37" s="1"/>
  <c r="AK205" i="37" a="1"/>
  <c r="AK205" i="37" s="1"/>
  <c r="AK349" i="37" a="1"/>
  <c r="AK349" i="37" s="1"/>
  <c r="AK350" i="37" a="1"/>
  <c r="AK350" i="37" s="1"/>
  <c r="AK608" i="37" a="1"/>
  <c r="AK608" i="37" s="1"/>
  <c r="AK609" i="37" a="1"/>
  <c r="AK609" i="37" s="1"/>
  <c r="AK352" i="37" a="1"/>
  <c r="AK352" i="37" s="1"/>
  <c r="AK355" i="37" a="1"/>
  <c r="AK355" i="37" s="1"/>
  <c r="AK353" i="37" a="1"/>
  <c r="AK353" i="37" s="1"/>
  <c r="AK468" i="37" a="1"/>
  <c r="AK468" i="37" s="1"/>
  <c r="AK354" i="37" a="1"/>
  <c r="AK354" i="37" s="1"/>
  <c r="AK295" i="37" a="1"/>
  <c r="AK295" i="37" s="1"/>
  <c r="AK447" i="37" a="1"/>
  <c r="AK447" i="37" s="1"/>
  <c r="AK450" i="37" a="1"/>
  <c r="AK450" i="37" s="1"/>
  <c r="AK454" i="37" a="1"/>
  <c r="AK454" i="37" s="1"/>
  <c r="AK359" i="37" a="1"/>
  <c r="AK359" i="37" s="1"/>
  <c r="AK456" i="37" a="1"/>
  <c r="AK456" i="37" s="1"/>
  <c r="AK457" i="37" a="1"/>
  <c r="AK457" i="37" s="1"/>
  <c r="AK360" i="37" a="1"/>
  <c r="AK360" i="37" s="1"/>
  <c r="AK462" i="37" a="1"/>
  <c r="AK462" i="37" s="1"/>
  <c r="AK461" i="37" a="1"/>
  <c r="AK461" i="37" s="1"/>
  <c r="AK633" i="37" a="1"/>
  <c r="AK633" i="37" s="1"/>
  <c r="AK464" i="37" a="1"/>
  <c r="AK464" i="37" s="1"/>
  <c r="AK624" i="37" a="1"/>
  <c r="AK624" i="37" s="1"/>
  <c r="AK465" i="37" a="1"/>
  <c r="AK465" i="37" s="1"/>
  <c r="AK516" i="37" a="1"/>
  <c r="AK516" i="37" s="1"/>
  <c r="AK634" i="37" a="1"/>
  <c r="AK634" i="37" s="1"/>
  <c r="AK635" i="37" a="1"/>
  <c r="AK635" i="37" s="1"/>
  <c r="AK638" i="37" a="1"/>
  <c r="AK638" i="37" s="1"/>
  <c r="AK637" i="37" a="1"/>
  <c r="AK637" i="37" s="1"/>
  <c r="AK636" i="37" a="1"/>
  <c r="AK636" i="37" s="1"/>
  <c r="AK529" i="37" a="1"/>
  <c r="AK529" i="37" s="1"/>
  <c r="AK530" i="37" a="1"/>
  <c r="AK530" i="37" s="1"/>
  <c r="AK531" i="37" a="1"/>
  <c r="AK531" i="37" s="1"/>
  <c r="AK532" i="37" a="1"/>
  <c r="AK532" i="37" s="1"/>
  <c r="AJ2" i="37" a="1"/>
  <c r="AJ2" i="37" s="1"/>
  <c r="AJ3" i="37" a="1"/>
  <c r="AJ3" i="37" s="1"/>
  <c r="AJ10" i="37" a="1"/>
  <c r="AJ10" i="37" s="1"/>
  <c r="AJ534" i="37" a="1"/>
  <c r="AJ534" i="37" s="1"/>
  <c r="AJ533" i="37" a="1"/>
  <c r="AJ533" i="37" s="1"/>
  <c r="AJ6" i="37" a="1"/>
  <c r="AJ6" i="37" s="1"/>
  <c r="AJ5" i="37" a="1"/>
  <c r="AJ5" i="37" s="1"/>
  <c r="AJ11" i="37" a="1"/>
  <c r="AJ11" i="37" s="1"/>
  <c r="AJ4" i="37" a="1"/>
  <c r="AJ4" i="37" s="1"/>
  <c r="AJ23" i="37" a="1"/>
  <c r="AJ23" i="37" s="1"/>
  <c r="AJ7" i="37" a="1"/>
  <c r="AJ7" i="37" s="1"/>
  <c r="AJ13" i="37" a="1"/>
  <c r="AJ13" i="37" s="1"/>
  <c r="AJ24" i="37" a="1"/>
  <c r="AJ24" i="37" s="1"/>
  <c r="AJ36" i="37" a="1"/>
  <c r="AJ36" i="37" s="1"/>
  <c r="AJ25" i="37" a="1"/>
  <c r="AJ25" i="37" s="1"/>
  <c r="AJ37" i="37" a="1"/>
  <c r="AJ37" i="37" s="1"/>
  <c r="AJ20" i="37" a="1"/>
  <c r="AJ20" i="37" s="1"/>
  <c r="AJ14" i="37" a="1"/>
  <c r="AJ14" i="37" s="1"/>
  <c r="AJ15" i="37" a="1"/>
  <c r="AJ15" i="37" s="1"/>
  <c r="AJ19" i="37" a="1"/>
  <c r="AJ19" i="37" s="1"/>
  <c r="AJ22" i="37" a="1"/>
  <c r="AJ22" i="37" s="1"/>
  <c r="AJ26" i="37" a="1"/>
  <c r="AJ26" i="37" s="1"/>
  <c r="AJ537" i="37" a="1"/>
  <c r="AJ537" i="37" s="1"/>
  <c r="AJ27" i="37" a="1"/>
  <c r="AJ27" i="37" s="1"/>
  <c r="AJ21" i="37" a="1"/>
  <c r="AJ21" i="37" s="1"/>
  <c r="AJ38" i="37" a="1"/>
  <c r="AJ38" i="37" s="1"/>
  <c r="AJ538" i="37" a="1"/>
  <c r="AJ538" i="37" s="1"/>
  <c r="AJ28" i="37" a="1"/>
  <c r="AJ28" i="37" s="1"/>
  <c r="AJ16" i="37" a="1"/>
  <c r="AJ16" i="37" s="1"/>
  <c r="AJ39" i="37" a="1"/>
  <c r="AJ39" i="37" s="1"/>
  <c r="AJ40" i="37" a="1"/>
  <c r="AJ40" i="37" s="1"/>
  <c r="AJ29" i="37" a="1"/>
  <c r="AJ29" i="37" s="1"/>
  <c r="AJ41" i="37" a="1"/>
  <c r="AJ41" i="37" s="1"/>
  <c r="AJ33" i="37" a="1"/>
  <c r="AJ33" i="37" s="1"/>
  <c r="AJ42" i="37" a="1"/>
  <c r="AJ42" i="37" s="1"/>
  <c r="AJ539" i="37" a="1"/>
  <c r="AJ539" i="37" s="1"/>
  <c r="AJ85" i="37" a="1"/>
  <c r="AJ85" i="37" s="1"/>
  <c r="AJ43" i="37" a="1"/>
  <c r="AJ43" i="37" s="1"/>
  <c r="AJ44" i="37" a="1"/>
  <c r="AJ44" i="37" s="1"/>
  <c r="AJ535" i="37" a="1"/>
  <c r="AJ535" i="37" s="1"/>
  <c r="AJ45" i="37" a="1"/>
  <c r="AJ45" i="37" s="1"/>
  <c r="AJ17" i="37" a="1"/>
  <c r="AJ17" i="37" s="1"/>
  <c r="AJ70" i="37" a="1"/>
  <c r="AJ70" i="37" s="1"/>
  <c r="AJ30" i="37" a="1"/>
  <c r="AJ30" i="37" s="1"/>
  <c r="AJ18" i="37" a="1"/>
  <c r="AJ18" i="37" s="1"/>
  <c r="AJ62" i="37" a="1"/>
  <c r="AJ62" i="37" s="1"/>
  <c r="AJ57" i="37" a="1"/>
  <c r="AJ57" i="37" s="1"/>
  <c r="AJ46" i="37" a="1"/>
  <c r="AJ46" i="37" s="1"/>
  <c r="AJ61" i="37" a="1"/>
  <c r="AJ61" i="37" s="1"/>
  <c r="AJ71" i="37" a="1"/>
  <c r="AJ71" i="37" s="1"/>
  <c r="AJ31" i="37" a="1"/>
  <c r="AJ31" i="37" s="1"/>
  <c r="AJ541" i="37" a="1"/>
  <c r="AJ541" i="37" s="1"/>
  <c r="AJ56" i="37" a="1"/>
  <c r="AJ56" i="37" s="1"/>
  <c r="AJ536" i="37" a="1"/>
  <c r="AJ536" i="37" s="1"/>
  <c r="AJ47" i="37" a="1"/>
  <c r="AJ47" i="37" s="1"/>
  <c r="AJ86" i="37" a="1"/>
  <c r="AJ86" i="37" s="1"/>
  <c r="AJ72" i="37" a="1"/>
  <c r="AJ72" i="37" s="1"/>
  <c r="AJ48" i="37" a="1"/>
  <c r="AJ48" i="37" s="1"/>
  <c r="AJ547" i="37" a="1"/>
  <c r="AJ547" i="37" s="1"/>
  <c r="AJ115" i="37" a="1"/>
  <c r="AJ115" i="37" s="1"/>
  <c r="AJ562" i="37" a="1"/>
  <c r="AJ562" i="37" s="1"/>
  <c r="AJ58" i="37" a="1"/>
  <c r="AJ58" i="37" s="1"/>
  <c r="AJ63" i="37" a="1"/>
  <c r="AJ63" i="37" s="1"/>
  <c r="AJ34" i="37" a="1"/>
  <c r="AJ34" i="37" s="1"/>
  <c r="AJ540" i="37" a="1"/>
  <c r="AJ540" i="37" s="1"/>
  <c r="AJ116" i="37" a="1"/>
  <c r="AJ116" i="37" s="1"/>
  <c r="AJ12" i="37" a="1"/>
  <c r="AJ12" i="37" s="1"/>
  <c r="AJ32" i="37" a="1"/>
  <c r="AJ32" i="37" s="1"/>
  <c r="AJ73" i="37" a="1"/>
  <c r="AJ73" i="37" s="1"/>
  <c r="AJ74" i="37" a="1"/>
  <c r="AJ74" i="37" s="1"/>
  <c r="AJ542" i="37" a="1"/>
  <c r="AJ542" i="37" s="1"/>
  <c r="AJ75" i="37" a="1"/>
  <c r="AJ75" i="37" s="1"/>
  <c r="AJ543" i="37" a="1"/>
  <c r="AJ543" i="37" s="1"/>
  <c r="AJ117" i="37" a="1"/>
  <c r="AJ117" i="37" s="1"/>
  <c r="AJ546" i="37" a="1"/>
  <c r="AJ546" i="37" s="1"/>
  <c r="AJ99" i="37" a="1"/>
  <c r="AJ99" i="37" s="1"/>
  <c r="AJ67" i="37" a="1"/>
  <c r="AJ67" i="37" s="1"/>
  <c r="AJ100" i="37" a="1"/>
  <c r="AJ100" i="37" s="1"/>
  <c r="AJ68" i="37" a="1"/>
  <c r="AJ68" i="37" s="1"/>
  <c r="AJ64" i="37" a="1"/>
  <c r="AJ64" i="37" s="1"/>
  <c r="AJ101" i="37" a="1"/>
  <c r="AJ101" i="37" s="1"/>
  <c r="AJ65" i="37" a="1"/>
  <c r="AJ65" i="37" s="1"/>
  <c r="AJ92" i="37" a="1"/>
  <c r="AJ92" i="37" s="1"/>
  <c r="AJ49" i="37" a="1"/>
  <c r="AJ49" i="37" s="1"/>
  <c r="AJ185" i="37" a="1"/>
  <c r="AJ185" i="37" s="1"/>
  <c r="AJ163" i="37" a="1"/>
  <c r="AJ163" i="37" s="1"/>
  <c r="AJ76" i="37" a="1"/>
  <c r="AJ76" i="37" s="1"/>
  <c r="AJ87" i="37" a="1"/>
  <c r="AJ87" i="37" s="1"/>
  <c r="AJ82" i="37" a="1"/>
  <c r="AJ82" i="37" s="1"/>
  <c r="AJ88" i="37" a="1"/>
  <c r="AJ88" i="37" s="1"/>
  <c r="AJ554" i="37" a="1"/>
  <c r="AJ554" i="37" s="1"/>
  <c r="AJ93" i="37" a="1"/>
  <c r="AJ93" i="37" s="1"/>
  <c r="AJ118" i="37" a="1"/>
  <c r="AJ118" i="37" s="1"/>
  <c r="AJ83" i="37" a="1"/>
  <c r="AJ83" i="37" s="1"/>
  <c r="AJ164" i="37" a="1"/>
  <c r="AJ164" i="37" s="1"/>
  <c r="AJ119" i="37" a="1"/>
  <c r="AJ119" i="37" s="1"/>
  <c r="AJ549" i="37" a="1"/>
  <c r="AJ549" i="37" s="1"/>
  <c r="AJ50" i="37" a="1"/>
  <c r="AJ50" i="37" s="1"/>
  <c r="AJ120" i="37" a="1"/>
  <c r="AJ120" i="37" s="1"/>
  <c r="AJ121" i="37" a="1"/>
  <c r="AJ121" i="37" s="1"/>
  <c r="AJ84" i="37" a="1"/>
  <c r="AJ84" i="37" s="1"/>
  <c r="AJ165" i="37" a="1"/>
  <c r="AJ165" i="37" s="1"/>
  <c r="AJ206" i="37" a="1"/>
  <c r="AJ206" i="37" s="1"/>
  <c r="AJ89" i="37" a="1"/>
  <c r="AJ89" i="37" s="1"/>
  <c r="AJ574" i="37" a="1"/>
  <c r="AJ574" i="37" s="1"/>
  <c r="AJ166" i="37" a="1"/>
  <c r="AJ166" i="37" s="1"/>
  <c r="AJ167" i="37" a="1"/>
  <c r="AJ167" i="37" s="1"/>
  <c r="AJ77" i="37" a="1"/>
  <c r="AJ77" i="37" s="1"/>
  <c r="AJ123" i="37" a="1"/>
  <c r="AJ123" i="37" s="1"/>
  <c r="AJ122" i="37" a="1"/>
  <c r="AJ122" i="37" s="1"/>
  <c r="AJ575" i="37" a="1"/>
  <c r="AJ575" i="37" s="1"/>
  <c r="AJ96" i="37" a="1"/>
  <c r="AJ96" i="37" s="1"/>
  <c r="AJ186" i="37" a="1"/>
  <c r="AJ186" i="37" s="1"/>
  <c r="AJ176" i="37" a="1"/>
  <c r="AJ176" i="37" s="1"/>
  <c r="AJ151" i="37" a="1"/>
  <c r="AJ151" i="37" s="1"/>
  <c r="AJ97" i="37" a="1"/>
  <c r="AJ97" i="37" s="1"/>
  <c r="AJ274" i="37" a="1"/>
  <c r="AJ274" i="37" s="1"/>
  <c r="AJ545" i="37" a="1"/>
  <c r="AJ545" i="37" s="1"/>
  <c r="AJ187" i="37" a="1"/>
  <c r="AJ187" i="37" s="1"/>
  <c r="AJ207" i="37" a="1"/>
  <c r="AJ207" i="37" s="1"/>
  <c r="AJ9" i="37" a="1"/>
  <c r="AJ9" i="37" s="1"/>
  <c r="AJ570" i="37" a="1"/>
  <c r="AJ570" i="37" s="1"/>
  <c r="AJ296" i="37" a="1"/>
  <c r="AJ296" i="37" s="1"/>
  <c r="AJ102" i="37" a="1"/>
  <c r="AJ102" i="37" s="1"/>
  <c r="AJ66" i="37" a="1"/>
  <c r="AJ66" i="37" s="1"/>
  <c r="AJ177" i="37" a="1"/>
  <c r="AJ177" i="37" s="1"/>
  <c r="AJ297" i="37" a="1"/>
  <c r="AJ297" i="37" s="1"/>
  <c r="AJ576" i="37" a="1"/>
  <c r="AJ576" i="37" s="1"/>
  <c r="AJ156" i="37" a="1"/>
  <c r="AJ156" i="37" s="1"/>
  <c r="AJ188" i="37" a="1"/>
  <c r="AJ188" i="37" s="1"/>
  <c r="AJ189" i="37" a="1"/>
  <c r="AJ189" i="37" s="1"/>
  <c r="AJ103" i="37" a="1"/>
  <c r="AJ103" i="37" s="1"/>
  <c r="AJ190" i="37" a="1"/>
  <c r="AJ190" i="37" s="1"/>
  <c r="AJ152" i="37" a="1"/>
  <c r="AJ152" i="37" s="1"/>
  <c r="AJ208" i="37" a="1"/>
  <c r="AJ208" i="37" s="1"/>
  <c r="AJ209" i="37" a="1"/>
  <c r="AJ209" i="37" s="1"/>
  <c r="AJ210" i="37" a="1"/>
  <c r="AJ210" i="37" s="1"/>
  <c r="AJ596" i="37" a="1"/>
  <c r="AJ596" i="37" s="1"/>
  <c r="AJ168" i="37" a="1"/>
  <c r="AJ168" i="37" s="1"/>
  <c r="AJ568" i="37" a="1"/>
  <c r="AJ568" i="37" s="1"/>
  <c r="AJ124" i="37" a="1"/>
  <c r="AJ124" i="37" s="1"/>
  <c r="AJ571" i="37" a="1"/>
  <c r="AJ571" i="37" s="1"/>
  <c r="AJ175" i="37" a="1"/>
  <c r="AJ175" i="37" s="1"/>
  <c r="AJ211" i="37" a="1"/>
  <c r="AJ211" i="37" s="1"/>
  <c r="AJ104" i="37" a="1"/>
  <c r="AJ104" i="37" s="1"/>
  <c r="AJ125" i="37" a="1"/>
  <c r="AJ125" i="37" s="1"/>
  <c r="AJ105" i="37" a="1"/>
  <c r="AJ105" i="37" s="1"/>
  <c r="AJ126" i="37" a="1"/>
  <c r="AJ126" i="37" s="1"/>
  <c r="AJ548" i="37" a="1"/>
  <c r="AJ548" i="37" s="1"/>
  <c r="AJ191" i="37" a="1"/>
  <c r="AJ191" i="37" s="1"/>
  <c r="AJ563" i="37" a="1"/>
  <c r="AJ563" i="37" s="1"/>
  <c r="AJ213" i="37" a="1"/>
  <c r="AJ213" i="37" s="1"/>
  <c r="AJ298" i="37" a="1"/>
  <c r="AJ298" i="37" s="1"/>
  <c r="AJ106" i="37" a="1"/>
  <c r="AJ106" i="37" s="1"/>
  <c r="AJ212" i="37" a="1"/>
  <c r="AJ212" i="37" s="1"/>
  <c r="AJ564" i="37" a="1"/>
  <c r="AJ564" i="37" s="1"/>
  <c r="AJ577" i="37" a="1"/>
  <c r="AJ577" i="37" s="1"/>
  <c r="AJ107" i="37" a="1"/>
  <c r="AJ107" i="37" s="1"/>
  <c r="AJ157" i="37" a="1"/>
  <c r="AJ157" i="37" s="1"/>
  <c r="AJ214" i="37" a="1"/>
  <c r="AJ214" i="37" s="1"/>
  <c r="AJ158" i="37" a="1"/>
  <c r="AJ158" i="37" s="1"/>
  <c r="AJ578" i="37" a="1"/>
  <c r="AJ578" i="37" s="1"/>
  <c r="AJ215" i="37" a="1"/>
  <c r="AJ215" i="37" s="1"/>
  <c r="AJ155" i="37" a="1"/>
  <c r="AJ155" i="37" s="1"/>
  <c r="AJ216" i="37" a="1"/>
  <c r="AJ216" i="37" s="1"/>
  <c r="AJ217" i="37" a="1"/>
  <c r="AJ217" i="37" s="1"/>
  <c r="AJ127" i="37" a="1"/>
  <c r="AJ127" i="37" s="1"/>
  <c r="AJ90" i="37" a="1"/>
  <c r="AJ90" i="37" s="1"/>
  <c r="AJ153" i="37" a="1"/>
  <c r="AJ153" i="37" s="1"/>
  <c r="AJ128" i="37" a="1"/>
  <c r="AJ128" i="37" s="1"/>
  <c r="AJ299" i="37" a="1"/>
  <c r="AJ299" i="37" s="1"/>
  <c r="AJ192" i="37" a="1"/>
  <c r="AJ192" i="37" s="1"/>
  <c r="AJ129" i="37" a="1"/>
  <c r="AJ129" i="37" s="1"/>
  <c r="AJ565" i="37" a="1"/>
  <c r="AJ565" i="37" s="1"/>
  <c r="AJ130" i="37" a="1"/>
  <c r="AJ130" i="37" s="1"/>
  <c r="AJ218" i="37" a="1"/>
  <c r="AJ218" i="37" s="1"/>
  <c r="AJ131" i="37" a="1"/>
  <c r="AJ131" i="37" s="1"/>
  <c r="AJ154" i="37" a="1"/>
  <c r="AJ154" i="37" s="1"/>
  <c r="AJ555" i="37" a="1"/>
  <c r="AJ555" i="37" s="1"/>
  <c r="AJ579" i="37" a="1"/>
  <c r="AJ579" i="37" s="1"/>
  <c r="AJ132" i="37" a="1"/>
  <c r="AJ132" i="37" s="1"/>
  <c r="AJ580" i="37" a="1"/>
  <c r="AJ580" i="37" s="1"/>
  <c r="AJ219" i="37" a="1"/>
  <c r="AJ219" i="37" s="1"/>
  <c r="AJ133" i="37" a="1"/>
  <c r="AJ133" i="37" s="1"/>
  <c r="AJ134" i="37" a="1"/>
  <c r="AJ134" i="37" s="1"/>
  <c r="AJ599" i="37" a="1"/>
  <c r="AJ599" i="37" s="1"/>
  <c r="AJ220" i="37" a="1"/>
  <c r="AJ220" i="37" s="1"/>
  <c r="AJ221" i="37" a="1"/>
  <c r="AJ221" i="37" s="1"/>
  <c r="AJ59" i="37" a="1"/>
  <c r="AJ59" i="37" s="1"/>
  <c r="AJ222" i="37" a="1"/>
  <c r="AJ222" i="37" s="1"/>
  <c r="AJ223" i="37" a="1"/>
  <c r="AJ223" i="37" s="1"/>
  <c r="AJ275" i="37" a="1"/>
  <c r="AJ275" i="37" s="1"/>
  <c r="AJ51" i="37" a="1"/>
  <c r="AJ51" i="37" s="1"/>
  <c r="AJ224" i="37" a="1"/>
  <c r="AJ224" i="37" s="1"/>
  <c r="AJ78" i="37" a="1"/>
  <c r="AJ78" i="37" s="1"/>
  <c r="AJ225" i="37" a="1"/>
  <c r="AJ225" i="37" s="1"/>
  <c r="AJ35" i="37" a="1"/>
  <c r="AJ35" i="37" s="1"/>
  <c r="AJ226" i="37" a="1"/>
  <c r="AJ226" i="37" s="1"/>
  <c r="AJ169" i="37" a="1"/>
  <c r="AJ169" i="37" s="1"/>
  <c r="AJ170" i="37" a="1"/>
  <c r="AJ170" i="37" s="1"/>
  <c r="AJ557" i="37" a="1"/>
  <c r="AJ557" i="37" s="1"/>
  <c r="AJ361" i="37" a="1"/>
  <c r="AJ361" i="37" s="1"/>
  <c r="AJ558" i="37" a="1"/>
  <c r="AJ558" i="37" s="1"/>
  <c r="AJ227" i="37" a="1"/>
  <c r="AJ227" i="37" s="1"/>
  <c r="AJ556" i="37" a="1"/>
  <c r="AJ556" i="37" s="1"/>
  <c r="AJ228" i="37" a="1"/>
  <c r="AJ228" i="37" s="1"/>
  <c r="AJ171" i="37" a="1"/>
  <c r="AJ171" i="37" s="1"/>
  <c r="AJ178" i="37" a="1"/>
  <c r="AJ178" i="37" s="1"/>
  <c r="AJ595" i="37" a="1"/>
  <c r="AJ595" i="37" s="1"/>
  <c r="AJ193" i="37" a="1"/>
  <c r="AJ193" i="37" s="1"/>
  <c r="AJ69" i="37" a="1"/>
  <c r="AJ69" i="37" s="1"/>
  <c r="AJ179" i="37" a="1"/>
  <c r="AJ179" i="37" s="1"/>
  <c r="AJ135" i="37" a="1"/>
  <c r="AJ135" i="37" s="1"/>
  <c r="AJ108" i="37" a="1"/>
  <c r="AJ108" i="37" s="1"/>
  <c r="AJ300" i="37" a="1"/>
  <c r="AJ300" i="37" s="1"/>
  <c r="AJ98" i="37" a="1"/>
  <c r="AJ98" i="37" s="1"/>
  <c r="AJ159" i="37" a="1"/>
  <c r="AJ159" i="37" s="1"/>
  <c r="AJ597" i="37" a="1"/>
  <c r="AJ597" i="37" s="1"/>
  <c r="AJ560" i="37" a="1"/>
  <c r="AJ560" i="37" s="1"/>
  <c r="AJ79" i="37" a="1"/>
  <c r="AJ79" i="37" s="1"/>
  <c r="AJ279" i="37" a="1"/>
  <c r="AJ279" i="37" s="1"/>
  <c r="AJ569" i="37" a="1"/>
  <c r="AJ569" i="37" s="1"/>
  <c r="AJ229" i="37" a="1"/>
  <c r="AJ229" i="37" s="1"/>
  <c r="AJ230" i="37" a="1"/>
  <c r="AJ230" i="37" s="1"/>
  <c r="AJ301" i="37" a="1"/>
  <c r="AJ301" i="37" s="1"/>
  <c r="AJ437" i="37" a="1"/>
  <c r="AJ437" i="37" s="1"/>
  <c r="AJ160" i="37" a="1"/>
  <c r="AJ160" i="37" s="1"/>
  <c r="AJ280" i="37" a="1"/>
  <c r="AJ280" i="37" s="1"/>
  <c r="AJ302" i="37" a="1"/>
  <c r="AJ302" i="37" s="1"/>
  <c r="AJ231" i="37" a="1"/>
  <c r="AJ231" i="37" s="1"/>
  <c r="AJ303" i="37" a="1"/>
  <c r="AJ303" i="37" s="1"/>
  <c r="AJ304" i="37" a="1"/>
  <c r="AJ304" i="37" s="1"/>
  <c r="AJ305" i="37" a="1"/>
  <c r="AJ305" i="37" s="1"/>
  <c r="AJ194" i="37" a="1"/>
  <c r="AJ194" i="37" s="1"/>
  <c r="AJ265" i="37" a="1"/>
  <c r="AJ265" i="37" s="1"/>
  <c r="AJ306" i="37" a="1"/>
  <c r="AJ306" i="37" s="1"/>
  <c r="AJ232" i="37" a="1"/>
  <c r="AJ232" i="37" s="1"/>
  <c r="AJ195" i="37" a="1"/>
  <c r="AJ195" i="37" s="1"/>
  <c r="AJ598" i="37" a="1"/>
  <c r="AJ598" i="37" s="1"/>
  <c r="AJ281" i="37" a="1"/>
  <c r="AJ281" i="37" s="1"/>
  <c r="AJ600" i="37" a="1"/>
  <c r="AJ600" i="37" s="1"/>
  <c r="AJ80" i="37" a="1"/>
  <c r="AJ80" i="37" s="1"/>
  <c r="AJ270" i="37" a="1"/>
  <c r="AJ270" i="37" s="1"/>
  <c r="AJ180" i="37" a="1"/>
  <c r="AJ180" i="37" s="1"/>
  <c r="AJ307" i="37" a="1"/>
  <c r="AJ307" i="37" s="1"/>
  <c r="AJ267" i="37" a="1"/>
  <c r="AJ267" i="37" s="1"/>
  <c r="AJ196" i="37" a="1"/>
  <c r="AJ196" i="37" s="1"/>
  <c r="AJ269" i="37" a="1"/>
  <c r="AJ269" i="37" s="1"/>
  <c r="AJ198" i="37" a="1"/>
  <c r="AJ198" i="37" s="1"/>
  <c r="AJ282" i="37" a="1"/>
  <c r="AJ282" i="37" s="1"/>
  <c r="AJ308" i="37" a="1"/>
  <c r="AJ308" i="37" s="1"/>
  <c r="AJ471" i="37" a="1"/>
  <c r="AJ471" i="37" s="1"/>
  <c r="AJ283" i="37" a="1"/>
  <c r="AJ283" i="37" s="1"/>
  <c r="AJ161" i="37" a="1"/>
  <c r="AJ161" i="37" s="1"/>
  <c r="AJ581" i="37" a="1"/>
  <c r="AJ581" i="37" s="1"/>
  <c r="AJ234" i="37" a="1"/>
  <c r="AJ234" i="37" s="1"/>
  <c r="AJ233" i="37" a="1"/>
  <c r="AJ233" i="37" s="1"/>
  <c r="AJ235" i="37" a="1"/>
  <c r="AJ235" i="37" s="1"/>
  <c r="AJ268" i="37" a="1"/>
  <c r="AJ268" i="37" s="1"/>
  <c r="AJ199" i="37" a="1"/>
  <c r="AJ199" i="37" s="1"/>
  <c r="AJ236" i="37" a="1"/>
  <c r="AJ236" i="37" s="1"/>
  <c r="AJ582" i="37" a="1"/>
  <c r="AJ582" i="37" s="1"/>
  <c r="AJ237" i="37" a="1"/>
  <c r="AJ237" i="37" s="1"/>
  <c r="AJ238" i="37" a="1"/>
  <c r="AJ238" i="37" s="1"/>
  <c r="AJ583" i="37" a="1"/>
  <c r="AJ583" i="37" s="1"/>
  <c r="AJ172" i="37" a="1"/>
  <c r="AJ172" i="37" s="1"/>
  <c r="AJ239" i="37" a="1"/>
  <c r="AJ239" i="37" s="1"/>
  <c r="AJ363" i="37" a="1"/>
  <c r="AJ363" i="37" s="1"/>
  <c r="AJ364" i="37" a="1"/>
  <c r="AJ364" i="37" s="1"/>
  <c r="AJ362" i="37" a="1"/>
  <c r="AJ362" i="37" s="1"/>
  <c r="AJ594" i="37" a="1"/>
  <c r="AJ594" i="37" s="1"/>
  <c r="AJ612" i="37" a="1"/>
  <c r="AJ612" i="37" s="1"/>
  <c r="AJ266" i="37" a="1"/>
  <c r="AJ266" i="37" s="1"/>
  <c r="AJ309" i="37" a="1"/>
  <c r="AJ309" i="37" s="1"/>
  <c r="AJ365" i="37" a="1"/>
  <c r="AJ365" i="37" s="1"/>
  <c r="AJ240" i="37" a="1"/>
  <c r="AJ240" i="37" s="1"/>
  <c r="AJ91" i="37" a="1"/>
  <c r="AJ91" i="37" s="1"/>
  <c r="AJ613" i="37" a="1"/>
  <c r="AJ613" i="37" s="1"/>
  <c r="AJ551" i="37" a="1"/>
  <c r="AJ551" i="37" s="1"/>
  <c r="AJ271" i="37" a="1"/>
  <c r="AJ271" i="37" s="1"/>
  <c r="AJ584" i="37" a="1"/>
  <c r="AJ584" i="37" s="1"/>
  <c r="AJ52" i="37" a="1"/>
  <c r="AJ52" i="37" s="1"/>
  <c r="AJ366" i="37" a="1"/>
  <c r="AJ366" i="37" s="1"/>
  <c r="AJ241" i="37" a="1"/>
  <c r="AJ241" i="37" s="1"/>
  <c r="AJ614" i="37" a="1"/>
  <c r="AJ614" i="37" s="1"/>
  <c r="AJ367" i="37" a="1"/>
  <c r="AJ367" i="37" s="1"/>
  <c r="AJ544" i="37" a="1"/>
  <c r="AJ544" i="37" s="1"/>
  <c r="AJ136" i="37" a="1"/>
  <c r="AJ136" i="37" s="1"/>
  <c r="AJ585" i="37" a="1"/>
  <c r="AJ585" i="37" s="1"/>
  <c r="AJ371" i="37" a="1"/>
  <c r="AJ371" i="37" s="1"/>
  <c r="AJ369" i="37" a="1"/>
  <c r="AJ369" i="37" s="1"/>
  <c r="AJ615" i="37" a="1"/>
  <c r="AJ615" i="37" s="1"/>
  <c r="AJ368" i="37" a="1"/>
  <c r="AJ368" i="37" s="1"/>
  <c r="AJ370" i="37" a="1"/>
  <c r="AJ370" i="37" s="1"/>
  <c r="AJ242" i="37" a="1"/>
  <c r="AJ242" i="37" s="1"/>
  <c r="AJ244" i="37" a="1"/>
  <c r="AJ244" i="37" s="1"/>
  <c r="AJ372" i="37" a="1"/>
  <c r="AJ372" i="37" s="1"/>
  <c r="AJ566" i="37" a="1"/>
  <c r="AJ566" i="37" s="1"/>
  <c r="AJ243" i="37" a="1"/>
  <c r="AJ243" i="37" s="1"/>
  <c r="AJ407" i="37" a="1"/>
  <c r="AJ407" i="37" s="1"/>
  <c r="AJ8" i="37" a="1"/>
  <c r="AJ8" i="37" s="1"/>
  <c r="AJ310" i="37" a="1"/>
  <c r="AJ310" i="37" s="1"/>
  <c r="AJ385" i="37" a="1"/>
  <c r="AJ385" i="37" s="1"/>
  <c r="AJ94" i="37" a="1"/>
  <c r="AJ94" i="37" s="1"/>
  <c r="AJ55" i="37" a="1"/>
  <c r="AJ55" i="37" s="1"/>
  <c r="AJ258" i="37" a="1"/>
  <c r="AJ258" i="37" s="1"/>
  <c r="AJ137" i="37" a="1"/>
  <c r="AJ137" i="37" s="1"/>
  <c r="AJ54" i="37" a="1"/>
  <c r="AJ54" i="37" s="1"/>
  <c r="AJ418" i="37" a="1"/>
  <c r="AJ418" i="37" s="1"/>
  <c r="AJ174" i="37" a="1"/>
  <c r="AJ174" i="37" s="1"/>
  <c r="AJ311" i="37" a="1"/>
  <c r="AJ311" i="37" s="1"/>
  <c r="AJ416" i="37" a="1"/>
  <c r="AJ416" i="37" s="1"/>
  <c r="AJ312" i="37" a="1"/>
  <c r="AJ312" i="37" s="1"/>
  <c r="AJ145" i="37" a="1"/>
  <c r="AJ145" i="37" s="1"/>
  <c r="AJ278" i="37" a="1"/>
  <c r="AJ278" i="37" s="1"/>
  <c r="AJ181" i="37" a="1"/>
  <c r="AJ181" i="37" s="1"/>
  <c r="AJ375" i="37" a="1"/>
  <c r="AJ375" i="37" s="1"/>
  <c r="AJ146" i="37" a="1"/>
  <c r="AJ146" i="37" s="1"/>
  <c r="AJ388" i="37" a="1"/>
  <c r="AJ388" i="37" s="1"/>
  <c r="AJ419" i="37" a="1"/>
  <c r="AJ419" i="37" s="1"/>
  <c r="AJ60" i="37" a="1"/>
  <c r="AJ60" i="37" s="1"/>
  <c r="AJ81" i="37" a="1"/>
  <c r="AJ81" i="37" s="1"/>
  <c r="AJ149" i="37" a="1"/>
  <c r="AJ149" i="37" s="1"/>
  <c r="AJ246" i="37" a="1"/>
  <c r="AJ246" i="37" s="1"/>
  <c r="AJ590" i="37" a="1"/>
  <c r="AJ590" i="37" s="1"/>
  <c r="AJ254" i="37" a="1"/>
  <c r="AJ254" i="37" s="1"/>
  <c r="AJ373" i="37" a="1"/>
  <c r="AJ373" i="37" s="1"/>
  <c r="AJ376" i="37" a="1"/>
  <c r="AJ376" i="37" s="1"/>
  <c r="AJ378" i="37" a="1"/>
  <c r="AJ378" i="37" s="1"/>
  <c r="AJ410" i="37" a="1"/>
  <c r="AJ410" i="37" s="1"/>
  <c r="AJ409" i="37" a="1"/>
  <c r="AJ409" i="37" s="1"/>
  <c r="AJ420" i="37" a="1"/>
  <c r="AJ420" i="37" s="1"/>
  <c r="AJ248" i="37" a="1"/>
  <c r="AJ248" i="37" s="1"/>
  <c r="AJ247" i="37" a="1"/>
  <c r="AJ247" i="37" s="1"/>
  <c r="AJ259" i="37" a="1"/>
  <c r="AJ259" i="37" s="1"/>
  <c r="AJ402" i="37" a="1"/>
  <c r="AJ402" i="37" s="1"/>
  <c r="AJ415" i="37" a="1"/>
  <c r="AJ415" i="37" s="1"/>
  <c r="AJ417" i="37" a="1"/>
  <c r="AJ417" i="37" s="1"/>
  <c r="AJ53" i="37" a="1"/>
  <c r="AJ53" i="37" s="1"/>
  <c r="AJ140" i="37" a="1"/>
  <c r="AJ140" i="37" s="1"/>
  <c r="AJ142" i="37" a="1"/>
  <c r="AJ142" i="37" s="1"/>
  <c r="AJ109" i="37" a="1"/>
  <c r="AJ109" i="37" s="1"/>
  <c r="AJ313" i="37" a="1"/>
  <c r="AJ313" i="37" s="1"/>
  <c r="AJ314" i="37" a="1"/>
  <c r="AJ314" i="37" s="1"/>
  <c r="AJ601" i="37" a="1"/>
  <c r="AJ601" i="37" s="1"/>
  <c r="AJ315" i="37" a="1"/>
  <c r="AJ315" i="37" s="1"/>
  <c r="AJ618" i="37" a="1"/>
  <c r="AJ618" i="37" s="1"/>
  <c r="AJ143" i="37" a="1"/>
  <c r="AJ143" i="37" s="1"/>
  <c r="AJ622" i="37" a="1"/>
  <c r="AJ622" i="37" s="1"/>
  <c r="AJ316" i="37" a="1"/>
  <c r="AJ316" i="37" s="1"/>
  <c r="AJ552" i="37" a="1"/>
  <c r="AJ552" i="37" s="1"/>
  <c r="AJ317" i="37" a="1"/>
  <c r="AJ317" i="37" s="1"/>
  <c r="AJ182" i="37" a="1"/>
  <c r="AJ182" i="37" s="1"/>
  <c r="AJ200" i="37" a="1"/>
  <c r="AJ200" i="37" s="1"/>
  <c r="AJ284" i="37" a="1"/>
  <c r="AJ284" i="37" s="1"/>
  <c r="AJ427" i="37" a="1"/>
  <c r="AJ427" i="37" s="1"/>
  <c r="AJ147" i="37" a="1"/>
  <c r="AJ147" i="37" s="1"/>
  <c r="AJ173" i="37" a="1"/>
  <c r="AJ173" i="37" s="1"/>
  <c r="AJ318" i="37" a="1"/>
  <c r="AJ318" i="37" s="1"/>
  <c r="AJ435" i="37" a="1"/>
  <c r="AJ435" i="37" s="1"/>
  <c r="AJ285" i="37" a="1"/>
  <c r="AJ285" i="37" s="1"/>
  <c r="AJ602" i="37" a="1"/>
  <c r="AJ602" i="37" s="1"/>
  <c r="AJ319" i="37" a="1"/>
  <c r="AJ319" i="37" s="1"/>
  <c r="AJ148" i="37" a="1"/>
  <c r="AJ148" i="37" s="1"/>
  <c r="AJ320" i="37" a="1"/>
  <c r="AJ320" i="37" s="1"/>
  <c r="AJ321" i="37" a="1"/>
  <c r="AJ321" i="37" s="1"/>
  <c r="AJ150" i="37" a="1"/>
  <c r="AJ150" i="37" s="1"/>
  <c r="AJ322" i="37" a="1"/>
  <c r="AJ322" i="37" s="1"/>
  <c r="AJ323" i="37" a="1"/>
  <c r="AJ323" i="37" s="1"/>
  <c r="AJ621" i="37" a="1"/>
  <c r="AJ621" i="37" s="1"/>
  <c r="AJ424" i="37" a="1"/>
  <c r="AJ424" i="37" s="1"/>
  <c r="AJ201" i="37" a="1"/>
  <c r="AJ201" i="37" s="1"/>
  <c r="AJ440" i="37" a="1"/>
  <c r="AJ440" i="37" s="1"/>
  <c r="AJ110" i="37" a="1"/>
  <c r="AJ110" i="37" s="1"/>
  <c r="AJ286" i="37" a="1"/>
  <c r="AJ286" i="37" s="1"/>
  <c r="AJ325" i="37" a="1"/>
  <c r="AJ325" i="37" s="1"/>
  <c r="AJ423" i="37" a="1"/>
  <c r="AJ423" i="37" s="1"/>
  <c r="AJ431" i="37" a="1"/>
  <c r="AJ431" i="37" s="1"/>
  <c r="AJ421" i="37" a="1"/>
  <c r="AJ421" i="37" s="1"/>
  <c r="AJ245" i="37" a="1"/>
  <c r="AJ245" i="37" s="1"/>
  <c r="AJ434" i="37" a="1"/>
  <c r="AJ434" i="37" s="1"/>
  <c r="AJ324" i="37" a="1"/>
  <c r="AJ324" i="37" s="1"/>
  <c r="AJ572" i="37" a="1"/>
  <c r="AJ572" i="37" s="1"/>
  <c r="AJ202" i="37" a="1"/>
  <c r="AJ202" i="37" s="1"/>
  <c r="AJ588" i="37" a="1"/>
  <c r="AJ588" i="37" s="1"/>
  <c r="AJ603" i="37" a="1"/>
  <c r="AJ603" i="37" s="1"/>
  <c r="AJ619" i="37" a="1"/>
  <c r="AJ619" i="37" s="1"/>
  <c r="AJ250" i="37" a="1"/>
  <c r="AJ250" i="37" s="1"/>
  <c r="AJ441" i="37" a="1"/>
  <c r="AJ441" i="37" s="1"/>
  <c r="AJ438" i="37" a="1"/>
  <c r="AJ438" i="37" s="1"/>
  <c r="AJ327" i="37" a="1"/>
  <c r="AJ327" i="37" s="1"/>
  <c r="AJ426" i="37" a="1"/>
  <c r="AJ426" i="37" s="1"/>
  <c r="AJ287" i="37" a="1"/>
  <c r="AJ287" i="37" s="1"/>
  <c r="AJ95" i="37" a="1"/>
  <c r="AJ95" i="37" s="1"/>
  <c r="AJ326" i="37" a="1"/>
  <c r="AJ326" i="37" s="1"/>
  <c r="AJ249" i="37" a="1"/>
  <c r="AJ249" i="37" s="1"/>
  <c r="AJ425" i="37" a="1"/>
  <c r="AJ425" i="37" s="1"/>
  <c r="AJ604" i="37" a="1"/>
  <c r="AJ604" i="37" s="1"/>
  <c r="AJ162" i="37" a="1"/>
  <c r="AJ162" i="37" s="1"/>
  <c r="AJ276" i="37" a="1"/>
  <c r="AJ276" i="37" s="1"/>
  <c r="AJ328" i="37" a="1"/>
  <c r="AJ328" i="37" s="1"/>
  <c r="AJ472" i="37" a="1"/>
  <c r="AJ472" i="37" s="1"/>
  <c r="AJ272" i="37" a="1"/>
  <c r="AJ272" i="37" s="1"/>
  <c r="AJ255" i="37" a="1"/>
  <c r="AJ255" i="37" s="1"/>
  <c r="AJ277" i="37" a="1"/>
  <c r="AJ277" i="37" s="1"/>
  <c r="AJ442" i="37" a="1"/>
  <c r="AJ442" i="37" s="1"/>
  <c r="AJ591" i="37" a="1"/>
  <c r="AJ591" i="37" s="1"/>
  <c r="AJ592" i="37" a="1"/>
  <c r="AJ592" i="37" s="1"/>
  <c r="AJ329" i="37" a="1"/>
  <c r="AJ329" i="37" s="1"/>
  <c r="AJ473" i="37" a="1"/>
  <c r="AJ473" i="37" s="1"/>
  <c r="AJ474" i="37" a="1"/>
  <c r="AJ474" i="37" s="1"/>
  <c r="AJ428" i="37" a="1"/>
  <c r="AJ428" i="37" s="1"/>
  <c r="AJ330" i="37" a="1"/>
  <c r="AJ330" i="37" s="1"/>
  <c r="AJ257" i="37" a="1"/>
  <c r="AJ257" i="37" s="1"/>
  <c r="AJ429" i="37" a="1"/>
  <c r="AJ429" i="37" s="1"/>
  <c r="AJ263" i="37" a="1"/>
  <c r="AJ263" i="37" s="1"/>
  <c r="AJ444" i="37" a="1"/>
  <c r="AJ444" i="37" s="1"/>
  <c r="AJ430" i="37" a="1"/>
  <c r="AJ430" i="37" s="1"/>
  <c r="AJ432" i="37" a="1"/>
  <c r="AJ432" i="37" s="1"/>
  <c r="AJ260" i="37" a="1"/>
  <c r="AJ260" i="37" s="1"/>
  <c r="AJ261" i="37" a="1"/>
  <c r="AJ261" i="37" s="1"/>
  <c r="AJ262" i="37" a="1"/>
  <c r="AJ262" i="37" s="1"/>
  <c r="AJ331" i="37" a="1"/>
  <c r="AJ331" i="37" s="1"/>
  <c r="AJ374" i="37" a="1"/>
  <c r="AJ374" i="37" s="1"/>
  <c r="AJ332" i="37" a="1"/>
  <c r="AJ332" i="37" s="1"/>
  <c r="AJ377" i="37" a="1"/>
  <c r="AJ377" i="37" s="1"/>
  <c r="AJ203" i="37" a="1"/>
  <c r="AJ203" i="37" s="1"/>
  <c r="AJ111" i="37" a="1"/>
  <c r="AJ111" i="37" s="1"/>
  <c r="AJ379" i="37" a="1"/>
  <c r="AJ379" i="37" s="1"/>
  <c r="AJ333" i="37" a="1"/>
  <c r="AJ333" i="37" s="1"/>
  <c r="AJ334" i="37" a="1"/>
  <c r="AJ334" i="37" s="1"/>
  <c r="AJ443" i="37" a="1"/>
  <c r="AJ443" i="37" s="1"/>
  <c r="AJ459" i="37" a="1"/>
  <c r="AJ459" i="37" s="1"/>
  <c r="AJ289" i="37" a="1"/>
  <c r="AJ289" i="37" s="1"/>
  <c r="AJ475" i="37" a="1"/>
  <c r="AJ475" i="37" s="1"/>
  <c r="AJ335" i="37" a="1"/>
  <c r="AJ335" i="37" s="1"/>
  <c r="AJ112" i="37" a="1"/>
  <c r="AJ112" i="37" s="1"/>
  <c r="AJ422" i="37" a="1"/>
  <c r="AJ422" i="37" s="1"/>
  <c r="AJ381" i="37" a="1"/>
  <c r="AJ381" i="37" s="1"/>
  <c r="AJ605" i="37" a="1"/>
  <c r="AJ605" i="37" s="1"/>
  <c r="AJ616" i="37" a="1"/>
  <c r="AJ616" i="37" s="1"/>
  <c r="AJ383" i="37" a="1"/>
  <c r="AJ383" i="37" s="1"/>
  <c r="AJ183" i="37" a="1"/>
  <c r="AJ183" i="37" s="1"/>
  <c r="AJ433" i="37" a="1"/>
  <c r="AJ433" i="37" s="1"/>
  <c r="AJ336" i="37" a="1"/>
  <c r="AJ336" i="37" s="1"/>
  <c r="AJ337" i="37" a="1"/>
  <c r="AJ337" i="37" s="1"/>
  <c r="AJ386" i="37" a="1"/>
  <c r="AJ386" i="37" s="1"/>
  <c r="AJ338" i="37" a="1"/>
  <c r="AJ338" i="37" s="1"/>
  <c r="AJ617" i="37" a="1"/>
  <c r="AJ617" i="37" s="1"/>
  <c r="AJ389" i="37" a="1"/>
  <c r="AJ389" i="37" s="1"/>
  <c r="AJ606" i="37" a="1"/>
  <c r="AJ606" i="37" s="1"/>
  <c r="AJ204" i="37" a="1"/>
  <c r="AJ204" i="37" s="1"/>
  <c r="AJ291" i="37" a="1"/>
  <c r="AJ291" i="37" s="1"/>
  <c r="AJ390" i="37" a="1"/>
  <c r="AJ390" i="37" s="1"/>
  <c r="AJ394" i="37" a="1"/>
  <c r="AJ394" i="37" s="1"/>
  <c r="AJ398" i="37" a="1"/>
  <c r="AJ398" i="37" s="1"/>
  <c r="AJ400" i="37" a="1"/>
  <c r="AJ400" i="37" s="1"/>
  <c r="AJ476" i="37" a="1"/>
  <c r="AJ476" i="37" s="1"/>
  <c r="AJ399" i="37" a="1"/>
  <c r="AJ399" i="37" s="1"/>
  <c r="AJ403" i="37" a="1"/>
  <c r="AJ403" i="37" s="1"/>
  <c r="AJ477" i="37" a="1"/>
  <c r="AJ477" i="37" s="1"/>
  <c r="AJ408" i="37" a="1"/>
  <c r="AJ408" i="37" s="1"/>
  <c r="AJ439" i="37" a="1"/>
  <c r="AJ439" i="37" s="1"/>
  <c r="AJ573" i="37" a="1"/>
  <c r="AJ573" i="37" s="1"/>
  <c r="AJ413" i="37" a="1"/>
  <c r="AJ413" i="37" s="1"/>
  <c r="AJ607" i="37" a="1"/>
  <c r="AJ607" i="37" s="1"/>
  <c r="AJ412" i="37" a="1"/>
  <c r="AJ412" i="37" s="1"/>
  <c r="AJ113" i="37" a="1"/>
  <c r="AJ113" i="37" s="1"/>
  <c r="AJ414" i="37" a="1"/>
  <c r="AJ414" i="37" s="1"/>
  <c r="AJ411" i="37" a="1"/>
  <c r="AJ411" i="37" s="1"/>
  <c r="AJ138" i="37" a="1"/>
  <c r="AJ138" i="37" s="1"/>
  <c r="AJ139" i="37" a="1"/>
  <c r="AJ139" i="37" s="1"/>
  <c r="AJ339" i="37" a="1"/>
  <c r="AJ339" i="37" s="1"/>
  <c r="AJ478" i="37" a="1"/>
  <c r="AJ478" i="37" s="1"/>
  <c r="AJ141" i="37" a="1"/>
  <c r="AJ141" i="37" s="1"/>
  <c r="AJ479" i="37" a="1"/>
  <c r="AJ479" i="37" s="1"/>
  <c r="AJ340" i="37" a="1"/>
  <c r="AJ340" i="37" s="1"/>
  <c r="AJ144" i="37" a="1"/>
  <c r="AJ144" i="37" s="1"/>
  <c r="AJ567" i="37" a="1"/>
  <c r="AJ567" i="37" s="1"/>
  <c r="AJ586" i="37" a="1"/>
  <c r="AJ586" i="37" s="1"/>
  <c r="AJ587" i="37" a="1"/>
  <c r="AJ587" i="37" s="1"/>
  <c r="AJ589" i="37" a="1"/>
  <c r="AJ589" i="37" s="1"/>
  <c r="AJ625" i="37" a="1"/>
  <c r="AJ625" i="37" s="1"/>
  <c r="AJ480" i="37" a="1"/>
  <c r="AJ480" i="37" s="1"/>
  <c r="AJ342" i="37" a="1"/>
  <c r="AJ342" i="37" s="1"/>
  <c r="AJ253" i="37" a="1"/>
  <c r="AJ253" i="37" s="1"/>
  <c r="AJ341" i="37" a="1"/>
  <c r="AJ341" i="37" s="1"/>
  <c r="AJ252" i="37" a="1"/>
  <c r="AJ252" i="37" s="1"/>
  <c r="AJ482" i="37" a="1"/>
  <c r="AJ482" i="37" s="1"/>
  <c r="AJ481" i="37" a="1"/>
  <c r="AJ481" i="37" s="1"/>
  <c r="AJ343" i="37" a="1"/>
  <c r="AJ343" i="37" s="1"/>
  <c r="AJ251" i="37" a="1"/>
  <c r="AJ251" i="37" s="1"/>
  <c r="AJ256" i="37" a="1"/>
  <c r="AJ256" i="37" s="1"/>
  <c r="AJ264" i="37" a="1"/>
  <c r="AJ264" i="37" s="1"/>
  <c r="AJ593" i="37" a="1"/>
  <c r="AJ593" i="37" s="1"/>
  <c r="AJ345" i="37" a="1"/>
  <c r="AJ345" i="37" s="1"/>
  <c r="AJ484" i="37" a="1"/>
  <c r="AJ484" i="37" s="1"/>
  <c r="AJ483" i="37" a="1"/>
  <c r="AJ483" i="37" s="1"/>
  <c r="AJ344" i="37" a="1"/>
  <c r="AJ344" i="37" s="1"/>
  <c r="AJ458" i="37" a="1"/>
  <c r="AJ458" i="37" s="1"/>
  <c r="AJ486" i="37" a="1"/>
  <c r="AJ486" i="37" s="1"/>
  <c r="AJ485" i="37" a="1"/>
  <c r="AJ485" i="37" s="1"/>
  <c r="AJ626" i="37" a="1"/>
  <c r="AJ626" i="37" s="1"/>
  <c r="AJ346" i="37" a="1"/>
  <c r="AJ346" i="37" s="1"/>
  <c r="AJ628" i="37" a="1"/>
  <c r="AJ628" i="37" s="1"/>
  <c r="AJ380" i="37" a="1"/>
  <c r="AJ380" i="37" s="1"/>
  <c r="AJ382" i="37" a="1"/>
  <c r="AJ382" i="37" s="1"/>
  <c r="AJ627" i="37" a="1"/>
  <c r="AJ627" i="37" s="1"/>
  <c r="AJ384" i="37" a="1"/>
  <c r="AJ384" i="37" s="1"/>
  <c r="AJ387" i="37" a="1"/>
  <c r="AJ387" i="37" s="1"/>
  <c r="AJ391" i="37" a="1"/>
  <c r="AJ391" i="37" s="1"/>
  <c r="AJ392" i="37" a="1"/>
  <c r="AJ392" i="37" s="1"/>
  <c r="AJ393" i="37" a="1"/>
  <c r="AJ393" i="37" s="1"/>
  <c r="AJ397" i="37" a="1"/>
  <c r="AJ397" i="37" s="1"/>
  <c r="AJ396" i="37" a="1"/>
  <c r="AJ396" i="37" s="1"/>
  <c r="AJ401" i="37" a="1"/>
  <c r="AJ401" i="37" s="1"/>
  <c r="AJ405" i="37" a="1"/>
  <c r="AJ405" i="37" s="1"/>
  <c r="AJ404" i="37" a="1"/>
  <c r="AJ404" i="37" s="1"/>
  <c r="AJ406" i="37" a="1"/>
  <c r="AJ406" i="37" s="1"/>
  <c r="AJ487" i="37" a="1"/>
  <c r="AJ487" i="37" s="1"/>
  <c r="AJ506" i="37" a="1"/>
  <c r="AJ506" i="37" s="1"/>
  <c r="AJ620" i="37" a="1"/>
  <c r="AJ620" i="37" s="1"/>
  <c r="AJ466" i="37" a="1"/>
  <c r="AJ466" i="37" s="1"/>
  <c r="AJ550" i="37" a="1"/>
  <c r="AJ550" i="37" s="1"/>
  <c r="AJ498" i="37" a="1"/>
  <c r="AJ498" i="37" s="1"/>
  <c r="AJ521" i="37" a="1"/>
  <c r="AJ521" i="37" s="1"/>
  <c r="AJ445" i="37" a="1"/>
  <c r="AJ445" i="37" s="1"/>
  <c r="AJ184" i="37" a="1"/>
  <c r="AJ184" i="37" s="1"/>
  <c r="AJ348" i="37" a="1"/>
  <c r="AJ348" i="37" s="1"/>
  <c r="AJ357" i="37" a="1"/>
  <c r="AJ357" i="37" s="1"/>
  <c r="AJ640" i="37" a="1"/>
  <c r="AJ640" i="37" s="1"/>
  <c r="AJ469" i="37" a="1"/>
  <c r="AJ469" i="37" s="1"/>
  <c r="AJ510" i="37" a="1"/>
  <c r="AJ510" i="37" s="1"/>
  <c r="AJ511" i="37" a="1"/>
  <c r="AJ511" i="37" s="1"/>
  <c r="AJ528" i="37" a="1"/>
  <c r="AJ528" i="37" s="1"/>
  <c r="AJ347" i="37" a="1"/>
  <c r="AJ347" i="37" s="1"/>
  <c r="AJ436" i="37" a="1"/>
  <c r="AJ436" i="37" s="1"/>
  <c r="AJ517" i="37" a="1"/>
  <c r="AJ517" i="37" s="1"/>
  <c r="AJ493" i="37" a="1"/>
  <c r="AJ493" i="37" s="1"/>
  <c r="AJ467" i="37" a="1"/>
  <c r="AJ467" i="37" s="1"/>
  <c r="AJ293" i="37" a="1"/>
  <c r="AJ293" i="37" s="1"/>
  <c r="AJ452" i="37" a="1"/>
  <c r="AJ452" i="37" s="1"/>
  <c r="AJ358" i="37" a="1"/>
  <c r="AJ358" i="37" s="1"/>
  <c r="AJ455" i="37" a="1"/>
  <c r="AJ455" i="37" s="1"/>
  <c r="AJ522" i="37" a="1"/>
  <c r="AJ522" i="37" s="1"/>
  <c r="AJ351" i="37" a="1"/>
  <c r="AJ351" i="37" s="1"/>
  <c r="AJ610" i="37" a="1"/>
  <c r="AJ610" i="37" s="1"/>
  <c r="AJ463" i="37" a="1"/>
  <c r="AJ463" i="37" s="1"/>
  <c r="AJ490" i="37" a="1"/>
  <c r="AJ490" i="37" s="1"/>
  <c r="AJ500" i="37" a="1"/>
  <c r="AJ500" i="37" s="1"/>
  <c r="AJ499" i="37" a="1"/>
  <c r="AJ499" i="37" s="1"/>
  <c r="AJ523" i="37" a="1"/>
  <c r="AJ523" i="37" s="1"/>
  <c r="AJ470" i="37" a="1"/>
  <c r="AJ470" i="37" s="1"/>
  <c r="AJ273" i="37" a="1"/>
  <c r="AJ273" i="37" s="1"/>
  <c r="AJ489" i="37" a="1"/>
  <c r="AJ489" i="37" s="1"/>
  <c r="AJ488" i="37" a="1"/>
  <c r="AJ488" i="37" s="1"/>
  <c r="AJ288" i="37" a="1"/>
  <c r="AJ288" i="37" s="1"/>
  <c r="AJ292" i="37" a="1"/>
  <c r="AJ292" i="37" s="1"/>
  <c r="AJ491" i="37" a="1"/>
  <c r="AJ491" i="37" s="1"/>
  <c r="AJ448" i="37" a="1"/>
  <c r="AJ448" i="37" s="1"/>
  <c r="AJ494" i="37" a="1"/>
  <c r="AJ494" i="37" s="1"/>
  <c r="AJ451" i="37" a="1"/>
  <c r="AJ451" i="37" s="1"/>
  <c r="AJ512" i="37" a="1"/>
  <c r="AJ512" i="37" s="1"/>
  <c r="AJ525" i="37" a="1"/>
  <c r="AJ525" i="37" s="1"/>
  <c r="AJ527" i="37" a="1"/>
  <c r="AJ527" i="37" s="1"/>
  <c r="AJ524" i="37" a="1"/>
  <c r="AJ524" i="37" s="1"/>
  <c r="AJ639" i="37" a="1"/>
  <c r="AJ639" i="37" s="1"/>
  <c r="AJ356" i="37" a="1"/>
  <c r="AJ356" i="37" s="1"/>
  <c r="AJ453" i="37" a="1"/>
  <c r="AJ453" i="37" s="1"/>
  <c r="AJ460" i="37" a="1"/>
  <c r="AJ460" i="37" s="1"/>
  <c r="AJ290" i="37" a="1"/>
  <c r="AJ290" i="37" s="1"/>
  <c r="AJ611" i="37" a="1"/>
  <c r="AJ611" i="37" s="1"/>
  <c r="AJ492" i="37" a="1"/>
  <c r="AJ492" i="37" s="1"/>
  <c r="AJ495" i="37" a="1"/>
  <c r="AJ495" i="37" s="1"/>
  <c r="AJ294" i="37" a="1"/>
  <c r="AJ294" i="37" s="1"/>
  <c r="AJ496" i="37" a="1"/>
  <c r="AJ496" i="37" s="1"/>
  <c r="AJ497" i="37" a="1"/>
  <c r="AJ497" i="37" s="1"/>
  <c r="AJ502" i="37" a="1"/>
  <c r="AJ502" i="37" s="1"/>
  <c r="AJ446" i="37" a="1"/>
  <c r="AJ446" i="37" s="1"/>
  <c r="AJ503" i="37" a="1"/>
  <c r="AJ503" i="37" s="1"/>
  <c r="AJ449" i="37" a="1"/>
  <c r="AJ449" i="37" s="1"/>
  <c r="AJ631" i="37" a="1"/>
  <c r="AJ631" i="37" s="1"/>
  <c r="AJ504" i="37" a="1"/>
  <c r="AJ504" i="37" s="1"/>
  <c r="AJ630" i="37" a="1"/>
  <c r="AJ630" i="37" s="1"/>
  <c r="AJ629" i="37" a="1"/>
  <c r="AJ629" i="37" s="1"/>
  <c r="AJ623" i="37" a="1"/>
  <c r="AJ623" i="37" s="1"/>
  <c r="AJ501" i="37" a="1"/>
  <c r="AJ501" i="37" s="1"/>
  <c r="AJ505" i="37" a="1"/>
  <c r="AJ505" i="37" s="1"/>
  <c r="AJ508" i="37" a="1"/>
  <c r="AJ508" i="37" s="1"/>
  <c r="AJ509" i="37" a="1"/>
  <c r="AJ509" i="37" s="1"/>
  <c r="AJ513" i="37" a="1"/>
  <c r="AJ513" i="37" s="1"/>
  <c r="AJ632" i="37" a="1"/>
  <c r="AJ632" i="37" s="1"/>
  <c r="AJ514" i="37" a="1"/>
  <c r="AJ514" i="37" s="1"/>
  <c r="AJ515" i="37" a="1"/>
  <c r="AJ515" i="37" s="1"/>
  <c r="AJ519" i="37" a="1"/>
  <c r="AJ519" i="37" s="1"/>
  <c r="AJ518" i="37" a="1"/>
  <c r="AJ518" i="37" s="1"/>
  <c r="AJ520" i="37" a="1"/>
  <c r="AJ520" i="37" s="1"/>
  <c r="AJ114" i="37" a="1"/>
  <c r="AJ114" i="37" s="1"/>
  <c r="AJ205" i="37" a="1"/>
  <c r="AJ205" i="37" s="1"/>
  <c r="AJ349" i="37" a="1"/>
  <c r="AJ349" i="37" s="1"/>
  <c r="AJ350" i="37" a="1"/>
  <c r="AJ350" i="37" s="1"/>
  <c r="AJ608" i="37" a="1"/>
  <c r="AJ608" i="37" s="1"/>
  <c r="AJ609" i="37" a="1"/>
  <c r="AJ609" i="37" s="1"/>
  <c r="AJ352" i="37" a="1"/>
  <c r="AJ352" i="37" s="1"/>
  <c r="AJ355" i="37" a="1"/>
  <c r="AJ355" i="37" s="1"/>
  <c r="AJ353" i="37" a="1"/>
  <c r="AJ353" i="37" s="1"/>
  <c r="AJ468" i="37" a="1"/>
  <c r="AJ468" i="37" s="1"/>
  <c r="AJ354" i="37" a="1"/>
  <c r="AJ354" i="37" s="1"/>
  <c r="AJ295" i="37" a="1"/>
  <c r="AJ295" i="37" s="1"/>
  <c r="AJ447" i="37" a="1"/>
  <c r="AJ447" i="37" s="1"/>
  <c r="AJ450" i="37" a="1"/>
  <c r="AJ450" i="37" s="1"/>
  <c r="AJ454" i="37" a="1"/>
  <c r="AJ454" i="37" s="1"/>
  <c r="AJ359" i="37" a="1"/>
  <c r="AJ359" i="37" s="1"/>
  <c r="AJ456" i="37" a="1"/>
  <c r="AJ456" i="37" s="1"/>
  <c r="AJ457" i="37" a="1"/>
  <c r="AJ457" i="37" s="1"/>
  <c r="AJ360" i="37" a="1"/>
  <c r="AJ360" i="37" s="1"/>
  <c r="AJ462" i="37" a="1"/>
  <c r="AJ462" i="37" s="1"/>
  <c r="AJ461" i="37" a="1"/>
  <c r="AJ461" i="37" s="1"/>
  <c r="AJ633" i="37" a="1"/>
  <c r="AJ633" i="37" s="1"/>
  <c r="AJ464" i="37" a="1"/>
  <c r="AJ464" i="37" s="1"/>
  <c r="AJ624" i="37" a="1"/>
  <c r="AJ624" i="37" s="1"/>
  <c r="AJ465" i="37" a="1"/>
  <c r="AJ465" i="37" s="1"/>
  <c r="AJ516" i="37" a="1"/>
  <c r="AJ516" i="37" s="1"/>
  <c r="AJ634" i="37" a="1"/>
  <c r="AJ634" i="37" s="1"/>
  <c r="AJ635" i="37" a="1"/>
  <c r="AJ635" i="37" s="1"/>
  <c r="AJ638" i="37" a="1"/>
  <c r="AJ638" i="37" s="1"/>
  <c r="AJ637" i="37" a="1"/>
  <c r="AJ637" i="37" s="1"/>
  <c r="AJ636" i="37" a="1"/>
  <c r="AJ636" i="37" s="1"/>
  <c r="AJ529" i="37" a="1"/>
  <c r="AJ529" i="37" s="1"/>
  <c r="AJ530" i="37" a="1"/>
  <c r="AJ530" i="37" s="1"/>
  <c r="AJ531" i="37" a="1"/>
  <c r="AJ531" i="37" s="1"/>
  <c r="AJ532" i="37" a="1"/>
  <c r="AJ532" i="37" s="1"/>
  <c r="AI2" i="37" a="1"/>
  <c r="AI2" i="37" s="1"/>
  <c r="AI3" i="37" a="1"/>
  <c r="AI3" i="37" s="1"/>
  <c r="AI10" i="37" a="1"/>
  <c r="AI10" i="37" s="1"/>
  <c r="AI534" i="37" a="1"/>
  <c r="AI534" i="37" s="1"/>
  <c r="AI533" i="37" a="1"/>
  <c r="AI533" i="37" s="1"/>
  <c r="AI6" i="37" a="1"/>
  <c r="AI6" i="37" s="1"/>
  <c r="AI5" i="37" a="1"/>
  <c r="AI5" i="37" s="1"/>
  <c r="AI11" i="37" a="1"/>
  <c r="AI11" i="37" s="1"/>
  <c r="AI4" i="37" a="1"/>
  <c r="AI4" i="37" s="1"/>
  <c r="AI23" i="37" a="1"/>
  <c r="AI23" i="37" s="1"/>
  <c r="AI7" i="37" a="1"/>
  <c r="AI7" i="37" s="1"/>
  <c r="AI13" i="37" a="1"/>
  <c r="AI13" i="37" s="1"/>
  <c r="AI24" i="37" a="1"/>
  <c r="AI24" i="37" s="1"/>
  <c r="AI36" i="37" a="1"/>
  <c r="AI36" i="37" s="1"/>
  <c r="AI25" i="37" a="1"/>
  <c r="AI25" i="37" s="1"/>
  <c r="AI37" i="37" a="1"/>
  <c r="AI37" i="37" s="1"/>
  <c r="AI20" i="37" a="1"/>
  <c r="AI20" i="37" s="1"/>
  <c r="AI14" i="37" a="1"/>
  <c r="AI14" i="37" s="1"/>
  <c r="AI15" i="37" a="1"/>
  <c r="AI15" i="37" s="1"/>
  <c r="AI19" i="37" a="1"/>
  <c r="AI19" i="37" s="1"/>
  <c r="AI22" i="37" a="1"/>
  <c r="AI22" i="37" s="1"/>
  <c r="AI26" i="37" a="1"/>
  <c r="AI26" i="37" s="1"/>
  <c r="AI537" i="37" a="1"/>
  <c r="AI537" i="37" s="1"/>
  <c r="AI27" i="37" a="1"/>
  <c r="AI27" i="37" s="1"/>
  <c r="AI21" i="37" a="1"/>
  <c r="AI21" i="37" s="1"/>
  <c r="AI38" i="37" a="1"/>
  <c r="AI38" i="37" s="1"/>
  <c r="AI538" i="37" a="1"/>
  <c r="AI538" i="37" s="1"/>
  <c r="AI28" i="37" a="1"/>
  <c r="AI28" i="37" s="1"/>
  <c r="AI16" i="37" a="1"/>
  <c r="AI16" i="37" s="1"/>
  <c r="AI39" i="37" a="1"/>
  <c r="AI39" i="37" s="1"/>
  <c r="AI40" i="37" a="1"/>
  <c r="AI40" i="37" s="1"/>
  <c r="AI29" i="37" a="1"/>
  <c r="AI29" i="37" s="1"/>
  <c r="AI41" i="37" a="1"/>
  <c r="AI41" i="37" s="1"/>
  <c r="AI33" i="37" a="1"/>
  <c r="AI33" i="37" s="1"/>
  <c r="AI42" i="37" a="1"/>
  <c r="AI42" i="37" s="1"/>
  <c r="AI539" i="37" a="1"/>
  <c r="AI539" i="37" s="1"/>
  <c r="AI85" i="37" a="1"/>
  <c r="AI85" i="37" s="1"/>
  <c r="AI43" i="37" a="1"/>
  <c r="AI43" i="37" s="1"/>
  <c r="AI44" i="37" a="1"/>
  <c r="AI44" i="37" s="1"/>
  <c r="AI535" i="37" a="1"/>
  <c r="AI535" i="37" s="1"/>
  <c r="AI45" i="37" a="1"/>
  <c r="AI45" i="37" s="1"/>
  <c r="AI17" i="37" a="1"/>
  <c r="AI17" i="37" s="1"/>
  <c r="AI70" i="37" a="1"/>
  <c r="AI70" i="37" s="1"/>
  <c r="AI30" i="37" a="1"/>
  <c r="AI30" i="37" s="1"/>
  <c r="AI18" i="37" a="1"/>
  <c r="AI18" i="37" s="1"/>
  <c r="AI62" i="37" a="1"/>
  <c r="AI62" i="37" s="1"/>
  <c r="AI57" i="37" a="1"/>
  <c r="AI57" i="37" s="1"/>
  <c r="AI46" i="37" a="1"/>
  <c r="AI46" i="37" s="1"/>
  <c r="AI61" i="37" a="1"/>
  <c r="AI61" i="37" s="1"/>
  <c r="AI71" i="37" a="1"/>
  <c r="AI71" i="37" s="1"/>
  <c r="AI31" i="37" a="1"/>
  <c r="AI31" i="37" s="1"/>
  <c r="AI541" i="37" a="1"/>
  <c r="AI541" i="37" s="1"/>
  <c r="AI56" i="37" a="1"/>
  <c r="AI56" i="37" s="1"/>
  <c r="AI536" i="37" a="1"/>
  <c r="AI536" i="37" s="1"/>
  <c r="AI47" i="37" a="1"/>
  <c r="AI47" i="37" s="1"/>
  <c r="AI86" i="37" a="1"/>
  <c r="AI86" i="37" s="1"/>
  <c r="AI72" i="37" a="1"/>
  <c r="AI72" i="37" s="1"/>
  <c r="AI48" i="37" a="1"/>
  <c r="AI48" i="37" s="1"/>
  <c r="AI547" i="37" a="1"/>
  <c r="AI547" i="37" s="1"/>
  <c r="AI115" i="37" a="1"/>
  <c r="AI115" i="37" s="1"/>
  <c r="AI562" i="37" a="1"/>
  <c r="AI562" i="37" s="1"/>
  <c r="AI58" i="37" a="1"/>
  <c r="AI58" i="37" s="1"/>
  <c r="AI63" i="37" a="1"/>
  <c r="AI63" i="37" s="1"/>
  <c r="AI34" i="37" a="1"/>
  <c r="AI34" i="37" s="1"/>
  <c r="AI540" i="37" a="1"/>
  <c r="AI540" i="37" s="1"/>
  <c r="AI116" i="37" a="1"/>
  <c r="AI116" i="37" s="1"/>
  <c r="AI12" i="37" a="1"/>
  <c r="AI12" i="37" s="1"/>
  <c r="AI32" i="37" a="1"/>
  <c r="AI32" i="37" s="1"/>
  <c r="AI73" i="37" a="1"/>
  <c r="AI73" i="37" s="1"/>
  <c r="AI74" i="37" a="1"/>
  <c r="AI74" i="37" s="1"/>
  <c r="AI542" i="37" a="1"/>
  <c r="AI542" i="37" s="1"/>
  <c r="AI75" i="37" a="1"/>
  <c r="AI75" i="37" s="1"/>
  <c r="AI543" i="37" a="1"/>
  <c r="AI543" i="37" s="1"/>
  <c r="AI117" i="37" a="1"/>
  <c r="AI117" i="37" s="1"/>
  <c r="AI546" i="37" a="1"/>
  <c r="AI546" i="37" s="1"/>
  <c r="AI99" i="37" a="1"/>
  <c r="AI99" i="37" s="1"/>
  <c r="AI67" i="37" a="1"/>
  <c r="AI67" i="37" s="1"/>
  <c r="AI100" i="37" a="1"/>
  <c r="AI100" i="37" s="1"/>
  <c r="AI68" i="37" a="1"/>
  <c r="AI68" i="37" s="1"/>
  <c r="AI64" i="37" a="1"/>
  <c r="AI64" i="37" s="1"/>
  <c r="AI101" i="37" a="1"/>
  <c r="AI101" i="37" s="1"/>
  <c r="AI65" i="37" a="1"/>
  <c r="AI65" i="37" s="1"/>
  <c r="AI92" i="37" a="1"/>
  <c r="AI92" i="37" s="1"/>
  <c r="AI49" i="37" a="1"/>
  <c r="AI49" i="37" s="1"/>
  <c r="AI185" i="37" a="1"/>
  <c r="AI185" i="37" s="1"/>
  <c r="AI163" i="37" a="1"/>
  <c r="AI163" i="37" s="1"/>
  <c r="AI76" i="37" a="1"/>
  <c r="AI76" i="37" s="1"/>
  <c r="AI87" i="37" a="1"/>
  <c r="AI87" i="37" s="1"/>
  <c r="AI82" i="37" a="1"/>
  <c r="AI82" i="37" s="1"/>
  <c r="AI88" i="37" a="1"/>
  <c r="AI88" i="37" s="1"/>
  <c r="AI554" i="37" a="1"/>
  <c r="AI554" i="37" s="1"/>
  <c r="AI93" i="37" a="1"/>
  <c r="AI93" i="37" s="1"/>
  <c r="AI118" i="37" a="1"/>
  <c r="AI118" i="37" s="1"/>
  <c r="AI83" i="37" a="1"/>
  <c r="AI83" i="37" s="1"/>
  <c r="AI164" i="37" a="1"/>
  <c r="AI164" i="37" s="1"/>
  <c r="AI119" i="37" a="1"/>
  <c r="AI119" i="37" s="1"/>
  <c r="AI549" i="37" a="1"/>
  <c r="AI549" i="37" s="1"/>
  <c r="AI50" i="37" a="1"/>
  <c r="AI50" i="37" s="1"/>
  <c r="AI120" i="37" a="1"/>
  <c r="AI120" i="37" s="1"/>
  <c r="AI121" i="37" a="1"/>
  <c r="AI121" i="37" s="1"/>
  <c r="AI84" i="37" a="1"/>
  <c r="AI84" i="37" s="1"/>
  <c r="AI165" i="37" a="1"/>
  <c r="AI165" i="37" s="1"/>
  <c r="AI206" i="37" a="1"/>
  <c r="AI206" i="37" s="1"/>
  <c r="AI89" i="37" a="1"/>
  <c r="AI89" i="37" s="1"/>
  <c r="AI574" i="37" a="1"/>
  <c r="AI574" i="37" s="1"/>
  <c r="AI166" i="37" a="1"/>
  <c r="AI166" i="37" s="1"/>
  <c r="AI167" i="37" a="1"/>
  <c r="AI167" i="37" s="1"/>
  <c r="AI77" i="37" a="1"/>
  <c r="AI77" i="37" s="1"/>
  <c r="AI123" i="37" a="1"/>
  <c r="AI123" i="37" s="1"/>
  <c r="AI122" i="37" a="1"/>
  <c r="AI122" i="37" s="1"/>
  <c r="AI575" i="37" a="1"/>
  <c r="AI575" i="37" s="1"/>
  <c r="AI96" i="37" a="1"/>
  <c r="AI96" i="37" s="1"/>
  <c r="AI186" i="37" a="1"/>
  <c r="AI186" i="37" s="1"/>
  <c r="AI176" i="37" a="1"/>
  <c r="AI176" i="37" s="1"/>
  <c r="AI151" i="37" a="1"/>
  <c r="AI151" i="37" s="1"/>
  <c r="AI97" i="37" a="1"/>
  <c r="AI97" i="37" s="1"/>
  <c r="AI274" i="37" a="1"/>
  <c r="AI274" i="37" s="1"/>
  <c r="AI545" i="37" a="1"/>
  <c r="AI545" i="37" s="1"/>
  <c r="AI187" i="37" a="1"/>
  <c r="AI187" i="37" s="1"/>
  <c r="AI207" i="37" a="1"/>
  <c r="AI207" i="37" s="1"/>
  <c r="AI9" i="37" a="1"/>
  <c r="AI9" i="37" s="1"/>
  <c r="AI570" i="37" a="1"/>
  <c r="AI570" i="37" s="1"/>
  <c r="AI296" i="37" a="1"/>
  <c r="AI296" i="37" s="1"/>
  <c r="AI102" i="37" a="1"/>
  <c r="AI102" i="37" s="1"/>
  <c r="AI66" i="37" a="1"/>
  <c r="AI66" i="37" s="1"/>
  <c r="AI177" i="37" a="1"/>
  <c r="AI177" i="37" s="1"/>
  <c r="AI297" i="37" a="1"/>
  <c r="AI297" i="37" s="1"/>
  <c r="AI576" i="37" a="1"/>
  <c r="AI576" i="37" s="1"/>
  <c r="AI156" i="37" a="1"/>
  <c r="AI156" i="37" s="1"/>
  <c r="AI188" i="37" a="1"/>
  <c r="AI188" i="37" s="1"/>
  <c r="AI189" i="37" a="1"/>
  <c r="AI189" i="37" s="1"/>
  <c r="AI103" i="37" a="1"/>
  <c r="AI103" i="37" s="1"/>
  <c r="AI190" i="37" a="1"/>
  <c r="AI190" i="37" s="1"/>
  <c r="AI152" i="37" a="1"/>
  <c r="AI152" i="37" s="1"/>
  <c r="AI208" i="37" a="1"/>
  <c r="AI208" i="37" s="1"/>
  <c r="AI209" i="37" a="1"/>
  <c r="AI209" i="37" s="1"/>
  <c r="AI210" i="37" a="1"/>
  <c r="AI210" i="37" s="1"/>
  <c r="AI596" i="37" a="1"/>
  <c r="AI596" i="37" s="1"/>
  <c r="AI168" i="37" a="1"/>
  <c r="AI168" i="37" s="1"/>
  <c r="AI568" i="37" a="1"/>
  <c r="AI568" i="37" s="1"/>
  <c r="AI124" i="37" a="1"/>
  <c r="AI124" i="37" s="1"/>
  <c r="AI571" i="37" a="1"/>
  <c r="AI571" i="37" s="1"/>
  <c r="AI175" i="37" a="1"/>
  <c r="AI175" i="37" s="1"/>
  <c r="AI211" i="37" a="1"/>
  <c r="AI211" i="37" s="1"/>
  <c r="AI104" i="37" a="1"/>
  <c r="AI104" i="37" s="1"/>
  <c r="AI125" i="37" a="1"/>
  <c r="AI125" i="37" s="1"/>
  <c r="AI105" i="37" a="1"/>
  <c r="AI105" i="37" s="1"/>
  <c r="AI126" i="37" a="1"/>
  <c r="AI126" i="37" s="1"/>
  <c r="AI548" i="37" a="1"/>
  <c r="AI548" i="37" s="1"/>
  <c r="AI191" i="37" a="1"/>
  <c r="AI191" i="37" s="1"/>
  <c r="AI563" i="37" a="1"/>
  <c r="AI563" i="37" s="1"/>
  <c r="AI213" i="37" a="1"/>
  <c r="AI213" i="37" s="1"/>
  <c r="AI298" i="37" a="1"/>
  <c r="AI298" i="37" s="1"/>
  <c r="AI106" i="37" a="1"/>
  <c r="AI106" i="37" s="1"/>
  <c r="AI212" i="37" a="1"/>
  <c r="AI212" i="37" s="1"/>
  <c r="AI564" i="37" a="1"/>
  <c r="AI564" i="37" s="1"/>
  <c r="AI577" i="37" a="1"/>
  <c r="AI577" i="37" s="1"/>
  <c r="AI107" i="37" a="1"/>
  <c r="AI107" i="37" s="1"/>
  <c r="AI157" i="37" a="1"/>
  <c r="AI157" i="37" s="1"/>
  <c r="AI214" i="37" a="1"/>
  <c r="AI214" i="37" s="1"/>
  <c r="AI158" i="37" a="1"/>
  <c r="AI158" i="37" s="1"/>
  <c r="AI578" i="37" a="1"/>
  <c r="AI578" i="37" s="1"/>
  <c r="AI215" i="37" a="1"/>
  <c r="AI215" i="37" s="1"/>
  <c r="AI155" i="37" a="1"/>
  <c r="AI155" i="37" s="1"/>
  <c r="AI216" i="37" a="1"/>
  <c r="AI216" i="37" s="1"/>
  <c r="AI217" i="37" a="1"/>
  <c r="AI217" i="37" s="1"/>
  <c r="AI127" i="37" a="1"/>
  <c r="AI127" i="37" s="1"/>
  <c r="AI90" i="37" a="1"/>
  <c r="AI90" i="37" s="1"/>
  <c r="AI153" i="37" a="1"/>
  <c r="AI153" i="37" s="1"/>
  <c r="AI128" i="37" a="1"/>
  <c r="AI128" i="37" s="1"/>
  <c r="AI299" i="37" a="1"/>
  <c r="AI299" i="37" s="1"/>
  <c r="AI192" i="37" a="1"/>
  <c r="AI192" i="37" s="1"/>
  <c r="AI129" i="37" a="1"/>
  <c r="AI129" i="37" s="1"/>
  <c r="AI565" i="37" a="1"/>
  <c r="AI565" i="37" s="1"/>
  <c r="AI130" i="37" a="1"/>
  <c r="AI130" i="37" s="1"/>
  <c r="AI218" i="37" a="1"/>
  <c r="AI218" i="37" s="1"/>
  <c r="AI131" i="37" a="1"/>
  <c r="AI131" i="37" s="1"/>
  <c r="AI154" i="37" a="1"/>
  <c r="AI154" i="37" s="1"/>
  <c r="AI555" i="37" a="1"/>
  <c r="AI555" i="37" s="1"/>
  <c r="AI579" i="37" a="1"/>
  <c r="AI579" i="37" s="1"/>
  <c r="AI132" i="37" a="1"/>
  <c r="AI132" i="37" s="1"/>
  <c r="AI580" i="37" a="1"/>
  <c r="AI580" i="37" s="1"/>
  <c r="AI219" i="37" a="1"/>
  <c r="AI219" i="37" s="1"/>
  <c r="AI133" i="37" a="1"/>
  <c r="AI133" i="37" s="1"/>
  <c r="AI134" i="37" a="1"/>
  <c r="AI134" i="37" s="1"/>
  <c r="AI599" i="37" a="1"/>
  <c r="AI599" i="37" s="1"/>
  <c r="AI220" i="37" a="1"/>
  <c r="AI220" i="37" s="1"/>
  <c r="AI221" i="37" a="1"/>
  <c r="AI221" i="37" s="1"/>
  <c r="AI59" i="37" a="1"/>
  <c r="AI59" i="37" s="1"/>
  <c r="AI222" i="37" a="1"/>
  <c r="AI222" i="37" s="1"/>
  <c r="AI223" i="37" a="1"/>
  <c r="AI223" i="37" s="1"/>
  <c r="AI275" i="37" a="1"/>
  <c r="AI275" i="37" s="1"/>
  <c r="AI51" i="37" a="1"/>
  <c r="AI51" i="37" s="1"/>
  <c r="AI224" i="37" a="1"/>
  <c r="AI224" i="37" s="1"/>
  <c r="AI78" i="37" a="1"/>
  <c r="AI78" i="37" s="1"/>
  <c r="AI225" i="37" a="1"/>
  <c r="AI225" i="37" s="1"/>
  <c r="AI35" i="37" a="1"/>
  <c r="AI35" i="37" s="1"/>
  <c r="AI226" i="37" a="1"/>
  <c r="AI226" i="37" s="1"/>
  <c r="AI169" i="37" a="1"/>
  <c r="AI169" i="37" s="1"/>
  <c r="AI170" i="37" a="1"/>
  <c r="AI170" i="37" s="1"/>
  <c r="AI557" i="37" a="1"/>
  <c r="AI557" i="37" s="1"/>
  <c r="AI361" i="37" a="1"/>
  <c r="AI361" i="37" s="1"/>
  <c r="AI558" i="37" a="1"/>
  <c r="AI558" i="37" s="1"/>
  <c r="AI227" i="37" a="1"/>
  <c r="AI227" i="37" s="1"/>
  <c r="AI556" i="37" a="1"/>
  <c r="AI556" i="37" s="1"/>
  <c r="AI228" i="37" a="1"/>
  <c r="AI228" i="37" s="1"/>
  <c r="AI171" i="37" a="1"/>
  <c r="AI171" i="37" s="1"/>
  <c r="AI178" i="37" a="1"/>
  <c r="AI178" i="37" s="1"/>
  <c r="AI595" i="37" a="1"/>
  <c r="AI595" i="37" s="1"/>
  <c r="AI193" i="37" a="1"/>
  <c r="AI193" i="37" s="1"/>
  <c r="AI69" i="37" a="1"/>
  <c r="AI69" i="37" s="1"/>
  <c r="AI179" i="37" a="1"/>
  <c r="AI179" i="37" s="1"/>
  <c r="AI135" i="37" a="1"/>
  <c r="AI135" i="37" s="1"/>
  <c r="AI108" i="37" a="1"/>
  <c r="AI108" i="37" s="1"/>
  <c r="AI300" i="37" a="1"/>
  <c r="AI300" i="37" s="1"/>
  <c r="AI98" i="37" a="1"/>
  <c r="AI98" i="37" s="1"/>
  <c r="AI159" i="37" a="1"/>
  <c r="AI159" i="37" s="1"/>
  <c r="AI597" i="37" a="1"/>
  <c r="AI597" i="37" s="1"/>
  <c r="AI560" i="37" a="1"/>
  <c r="AI560" i="37" s="1"/>
  <c r="AI79" i="37" a="1"/>
  <c r="AI79" i="37" s="1"/>
  <c r="AI279" i="37" a="1"/>
  <c r="AI279" i="37" s="1"/>
  <c r="AI569" i="37" a="1"/>
  <c r="AI569" i="37" s="1"/>
  <c r="AI229" i="37" a="1"/>
  <c r="AI229" i="37" s="1"/>
  <c r="AI230" i="37" a="1"/>
  <c r="AI230" i="37" s="1"/>
  <c r="AI301" i="37" a="1"/>
  <c r="AI301" i="37" s="1"/>
  <c r="AI437" i="37" a="1"/>
  <c r="AI437" i="37" s="1"/>
  <c r="AI160" i="37" a="1"/>
  <c r="AI160" i="37" s="1"/>
  <c r="AI280" i="37" a="1"/>
  <c r="AI280" i="37" s="1"/>
  <c r="AI302" i="37" a="1"/>
  <c r="AI302" i="37" s="1"/>
  <c r="AI231" i="37" a="1"/>
  <c r="AI231" i="37" s="1"/>
  <c r="AI303" i="37" a="1"/>
  <c r="AI303" i="37" s="1"/>
  <c r="AI304" i="37" a="1"/>
  <c r="AI304" i="37" s="1"/>
  <c r="AI305" i="37" a="1"/>
  <c r="AI305" i="37" s="1"/>
  <c r="AI194" i="37" a="1"/>
  <c r="AI194" i="37" s="1"/>
  <c r="AI265" i="37" a="1"/>
  <c r="AI265" i="37" s="1"/>
  <c r="AI306" i="37" a="1"/>
  <c r="AI306" i="37" s="1"/>
  <c r="AI232" i="37" a="1"/>
  <c r="AI232" i="37" s="1"/>
  <c r="AI195" i="37" a="1"/>
  <c r="AI195" i="37" s="1"/>
  <c r="AI598" i="37" a="1"/>
  <c r="AI598" i="37" s="1"/>
  <c r="AI281" i="37" a="1"/>
  <c r="AI281" i="37" s="1"/>
  <c r="AI600" i="37" a="1"/>
  <c r="AI600" i="37" s="1"/>
  <c r="AI80" i="37" a="1"/>
  <c r="AI80" i="37" s="1"/>
  <c r="AI270" i="37" a="1"/>
  <c r="AI270" i="37" s="1"/>
  <c r="AI180" i="37" a="1"/>
  <c r="AI180" i="37" s="1"/>
  <c r="AI307" i="37" a="1"/>
  <c r="AI307" i="37" s="1"/>
  <c r="AI267" i="37" a="1"/>
  <c r="AI267" i="37" s="1"/>
  <c r="AI196" i="37" a="1"/>
  <c r="AI196" i="37" s="1"/>
  <c r="AI269" i="37" a="1"/>
  <c r="AI269" i="37" s="1"/>
  <c r="AI198" i="37" a="1"/>
  <c r="AI198" i="37" s="1"/>
  <c r="AI282" i="37" a="1"/>
  <c r="AI282" i="37" s="1"/>
  <c r="AI308" i="37" a="1"/>
  <c r="AI308" i="37" s="1"/>
  <c r="AI471" i="37" a="1"/>
  <c r="AI471" i="37" s="1"/>
  <c r="AI283" i="37" a="1"/>
  <c r="AI283" i="37" s="1"/>
  <c r="AI161" i="37" a="1"/>
  <c r="AI161" i="37" s="1"/>
  <c r="AI581" i="37" a="1"/>
  <c r="AI581" i="37" s="1"/>
  <c r="AI234" i="37" a="1"/>
  <c r="AI234" i="37" s="1"/>
  <c r="AI233" i="37" a="1"/>
  <c r="AI233" i="37" s="1"/>
  <c r="AI235" i="37" a="1"/>
  <c r="AI235" i="37" s="1"/>
  <c r="AI268" i="37" a="1"/>
  <c r="AI268" i="37" s="1"/>
  <c r="AI199" i="37" a="1"/>
  <c r="AI199" i="37" s="1"/>
  <c r="AI236" i="37" a="1"/>
  <c r="AI236" i="37" s="1"/>
  <c r="AI582" i="37" a="1"/>
  <c r="AI582" i="37" s="1"/>
  <c r="AI237" i="37" a="1"/>
  <c r="AI237" i="37" s="1"/>
  <c r="AI238" i="37" a="1"/>
  <c r="AI238" i="37" s="1"/>
  <c r="AI583" i="37" a="1"/>
  <c r="AI583" i="37" s="1"/>
  <c r="AI172" i="37" a="1"/>
  <c r="AI172" i="37" s="1"/>
  <c r="AI239" i="37" a="1"/>
  <c r="AI239" i="37" s="1"/>
  <c r="AI363" i="37" a="1"/>
  <c r="AI363" i="37" s="1"/>
  <c r="AI364" i="37" a="1"/>
  <c r="AI364" i="37" s="1"/>
  <c r="AI362" i="37" a="1"/>
  <c r="AI362" i="37" s="1"/>
  <c r="AI594" i="37" a="1"/>
  <c r="AI594" i="37" s="1"/>
  <c r="AI612" i="37" a="1"/>
  <c r="AI612" i="37" s="1"/>
  <c r="AI266" i="37" a="1"/>
  <c r="AI266" i="37" s="1"/>
  <c r="AI309" i="37" a="1"/>
  <c r="AI309" i="37" s="1"/>
  <c r="AI365" i="37" a="1"/>
  <c r="AI365" i="37" s="1"/>
  <c r="AI240" i="37" a="1"/>
  <c r="AI240" i="37" s="1"/>
  <c r="AI91" i="37" a="1"/>
  <c r="AI91" i="37" s="1"/>
  <c r="AI613" i="37" a="1"/>
  <c r="AI613" i="37" s="1"/>
  <c r="AI551" i="37" a="1"/>
  <c r="AI551" i="37" s="1"/>
  <c r="AI271" i="37" a="1"/>
  <c r="AI271" i="37" s="1"/>
  <c r="AI584" i="37" a="1"/>
  <c r="AI584" i="37" s="1"/>
  <c r="AI52" i="37" a="1"/>
  <c r="AI52" i="37" s="1"/>
  <c r="AI366" i="37" a="1"/>
  <c r="AI366" i="37" s="1"/>
  <c r="AI241" i="37" a="1"/>
  <c r="AI241" i="37" s="1"/>
  <c r="AI614" i="37" a="1"/>
  <c r="AI614" i="37" s="1"/>
  <c r="AI367" i="37" a="1"/>
  <c r="AI367" i="37" s="1"/>
  <c r="AI544" i="37" a="1"/>
  <c r="AI544" i="37" s="1"/>
  <c r="AI136" i="37" a="1"/>
  <c r="AI136" i="37" s="1"/>
  <c r="AI585" i="37" a="1"/>
  <c r="AI585" i="37" s="1"/>
  <c r="AI371" i="37" a="1"/>
  <c r="AI371" i="37" s="1"/>
  <c r="AI369" i="37" a="1"/>
  <c r="AI369" i="37" s="1"/>
  <c r="AI615" i="37" a="1"/>
  <c r="AI615" i="37" s="1"/>
  <c r="AI368" i="37" a="1"/>
  <c r="AI368" i="37" s="1"/>
  <c r="AI370" i="37" a="1"/>
  <c r="AI370" i="37" s="1"/>
  <c r="AI242" i="37" a="1"/>
  <c r="AI242" i="37" s="1"/>
  <c r="AI244" i="37" a="1"/>
  <c r="AI244" i="37" s="1"/>
  <c r="AI372" i="37" a="1"/>
  <c r="AI372" i="37" s="1"/>
  <c r="AI566" i="37" a="1"/>
  <c r="AI566" i="37" s="1"/>
  <c r="AI243" i="37" a="1"/>
  <c r="AI243" i="37" s="1"/>
  <c r="AI407" i="37" a="1"/>
  <c r="AI407" i="37" s="1"/>
  <c r="AI8" i="37" a="1"/>
  <c r="AI8" i="37" s="1"/>
  <c r="AI310" i="37" a="1"/>
  <c r="AI310" i="37" s="1"/>
  <c r="AI385" i="37" a="1"/>
  <c r="AI385" i="37" s="1"/>
  <c r="AI94" i="37" a="1"/>
  <c r="AI94" i="37" s="1"/>
  <c r="AI55" i="37" a="1"/>
  <c r="AI55" i="37" s="1"/>
  <c r="AI258" i="37" a="1"/>
  <c r="AI258" i="37" s="1"/>
  <c r="AI137" i="37" a="1"/>
  <c r="AI137" i="37" s="1"/>
  <c r="AI54" i="37" a="1"/>
  <c r="AI54" i="37" s="1"/>
  <c r="AI418" i="37" a="1"/>
  <c r="AI418" i="37" s="1"/>
  <c r="AI174" i="37" a="1"/>
  <c r="AI174" i="37" s="1"/>
  <c r="AI311" i="37" a="1"/>
  <c r="AI311" i="37" s="1"/>
  <c r="AI416" i="37" a="1"/>
  <c r="AI416" i="37" s="1"/>
  <c r="AI312" i="37" a="1"/>
  <c r="AI312" i="37" s="1"/>
  <c r="AI145" i="37" a="1"/>
  <c r="AI145" i="37" s="1"/>
  <c r="AI278" i="37" a="1"/>
  <c r="AI278" i="37" s="1"/>
  <c r="AI181" i="37" a="1"/>
  <c r="AI181" i="37" s="1"/>
  <c r="AI375" i="37" a="1"/>
  <c r="AI375" i="37" s="1"/>
  <c r="AI146" i="37" a="1"/>
  <c r="AI146" i="37" s="1"/>
  <c r="AI388" i="37" a="1"/>
  <c r="AI388" i="37" s="1"/>
  <c r="AI419" i="37" a="1"/>
  <c r="AI419" i="37" s="1"/>
  <c r="AI60" i="37" a="1"/>
  <c r="AI60" i="37" s="1"/>
  <c r="AI81" i="37" a="1"/>
  <c r="AI81" i="37" s="1"/>
  <c r="AI149" i="37" a="1"/>
  <c r="AI149" i="37" s="1"/>
  <c r="AI246" i="37" a="1"/>
  <c r="AI246" i="37" s="1"/>
  <c r="AI590" i="37" a="1"/>
  <c r="AI590" i="37" s="1"/>
  <c r="AI254" i="37" a="1"/>
  <c r="AI254" i="37" s="1"/>
  <c r="AI373" i="37" a="1"/>
  <c r="AI373" i="37" s="1"/>
  <c r="AI376" i="37" a="1"/>
  <c r="AI376" i="37" s="1"/>
  <c r="AI378" i="37" a="1"/>
  <c r="AI378" i="37" s="1"/>
  <c r="AI410" i="37" a="1"/>
  <c r="AI410" i="37" s="1"/>
  <c r="AI409" i="37" a="1"/>
  <c r="AI409" i="37" s="1"/>
  <c r="AI420" i="37" a="1"/>
  <c r="AI420" i="37" s="1"/>
  <c r="AI248" i="37" a="1"/>
  <c r="AI248" i="37" s="1"/>
  <c r="AI247" i="37" a="1"/>
  <c r="AI247" i="37" s="1"/>
  <c r="AI259" i="37" a="1"/>
  <c r="AI259" i="37" s="1"/>
  <c r="AI402" i="37" a="1"/>
  <c r="AI402" i="37" s="1"/>
  <c r="AI415" i="37" a="1"/>
  <c r="AI415" i="37" s="1"/>
  <c r="AI417" i="37" a="1"/>
  <c r="AI417" i="37" s="1"/>
  <c r="AI53" i="37" a="1"/>
  <c r="AI53" i="37" s="1"/>
  <c r="AI140" i="37" a="1"/>
  <c r="AI140" i="37" s="1"/>
  <c r="AI142" i="37" a="1"/>
  <c r="AI142" i="37" s="1"/>
  <c r="AI109" i="37" a="1"/>
  <c r="AI109" i="37" s="1"/>
  <c r="AI313" i="37" a="1"/>
  <c r="AI313" i="37" s="1"/>
  <c r="AI314" i="37" a="1"/>
  <c r="AI314" i="37" s="1"/>
  <c r="AI601" i="37" a="1"/>
  <c r="AI601" i="37" s="1"/>
  <c r="AI315" i="37" a="1"/>
  <c r="AI315" i="37" s="1"/>
  <c r="AI618" i="37" a="1"/>
  <c r="AI618" i="37" s="1"/>
  <c r="AI143" i="37" a="1"/>
  <c r="AI143" i="37" s="1"/>
  <c r="AI622" i="37" a="1"/>
  <c r="AI622" i="37" s="1"/>
  <c r="AI316" i="37" a="1"/>
  <c r="AI316" i="37" s="1"/>
  <c r="AI552" i="37" a="1"/>
  <c r="AI552" i="37" s="1"/>
  <c r="AI317" i="37" a="1"/>
  <c r="AI317" i="37" s="1"/>
  <c r="AI182" i="37" a="1"/>
  <c r="AI182" i="37" s="1"/>
  <c r="AI200" i="37" a="1"/>
  <c r="AI200" i="37" s="1"/>
  <c r="AI284" i="37" a="1"/>
  <c r="AI284" i="37" s="1"/>
  <c r="AI427" i="37" a="1"/>
  <c r="AI427" i="37" s="1"/>
  <c r="AI147" i="37" a="1"/>
  <c r="AI147" i="37" s="1"/>
  <c r="AI173" i="37" a="1"/>
  <c r="AI173" i="37" s="1"/>
  <c r="AI318" i="37" a="1"/>
  <c r="AI318" i="37" s="1"/>
  <c r="AI435" i="37" a="1"/>
  <c r="AI435" i="37" s="1"/>
  <c r="AI285" i="37" a="1"/>
  <c r="AI285" i="37" s="1"/>
  <c r="AI602" i="37" a="1"/>
  <c r="AI602" i="37" s="1"/>
  <c r="AI319" i="37" a="1"/>
  <c r="AI319" i="37" s="1"/>
  <c r="AI148" i="37" a="1"/>
  <c r="AI148" i="37" s="1"/>
  <c r="AI320" i="37" a="1"/>
  <c r="AI320" i="37" s="1"/>
  <c r="AI321" i="37" a="1"/>
  <c r="AI321" i="37" s="1"/>
  <c r="AI150" i="37" a="1"/>
  <c r="AI150" i="37" s="1"/>
  <c r="AI322" i="37" a="1"/>
  <c r="AI322" i="37" s="1"/>
  <c r="AI323" i="37" a="1"/>
  <c r="AI323" i="37" s="1"/>
  <c r="AI621" i="37" a="1"/>
  <c r="AI621" i="37" s="1"/>
  <c r="AI424" i="37" a="1"/>
  <c r="AI424" i="37" s="1"/>
  <c r="AI201" i="37" a="1"/>
  <c r="AI201" i="37" s="1"/>
  <c r="AI440" i="37" a="1"/>
  <c r="AI440" i="37" s="1"/>
  <c r="AI110" i="37" a="1"/>
  <c r="AI110" i="37" s="1"/>
  <c r="AI286" i="37" a="1"/>
  <c r="AI286" i="37" s="1"/>
  <c r="AI325" i="37" a="1"/>
  <c r="AI325" i="37" s="1"/>
  <c r="AI423" i="37" a="1"/>
  <c r="AI423" i="37" s="1"/>
  <c r="AI431" i="37" a="1"/>
  <c r="AI431" i="37" s="1"/>
  <c r="AI421" i="37" a="1"/>
  <c r="AI421" i="37" s="1"/>
  <c r="AI245" i="37" a="1"/>
  <c r="AI245" i="37" s="1"/>
  <c r="AI434" i="37" a="1"/>
  <c r="AI434" i="37" s="1"/>
  <c r="AI324" i="37" a="1"/>
  <c r="AI324" i="37" s="1"/>
  <c r="AI572" i="37" a="1"/>
  <c r="AI572" i="37" s="1"/>
  <c r="AI202" i="37" a="1"/>
  <c r="AI202" i="37" s="1"/>
  <c r="AI588" i="37" a="1"/>
  <c r="AI588" i="37" s="1"/>
  <c r="AI603" i="37" a="1"/>
  <c r="AI603" i="37" s="1"/>
  <c r="AI619" i="37" a="1"/>
  <c r="AI619" i="37" s="1"/>
  <c r="AI250" i="37" a="1"/>
  <c r="AI250" i="37" s="1"/>
  <c r="AI441" i="37" a="1"/>
  <c r="AI441" i="37" s="1"/>
  <c r="AI438" i="37" a="1"/>
  <c r="AI438" i="37" s="1"/>
  <c r="AI327" i="37" a="1"/>
  <c r="AI327" i="37" s="1"/>
  <c r="AI426" i="37" a="1"/>
  <c r="AI426" i="37" s="1"/>
  <c r="AI287" i="37" a="1"/>
  <c r="AI287" i="37" s="1"/>
  <c r="AI95" i="37" a="1"/>
  <c r="AI95" i="37" s="1"/>
  <c r="AI326" i="37" a="1"/>
  <c r="AI326" i="37" s="1"/>
  <c r="AI249" i="37" a="1"/>
  <c r="AI249" i="37" s="1"/>
  <c r="AI425" i="37" a="1"/>
  <c r="AI425" i="37" s="1"/>
  <c r="AI604" i="37" a="1"/>
  <c r="AI604" i="37" s="1"/>
  <c r="AI162" i="37" a="1"/>
  <c r="AI162" i="37" s="1"/>
  <c r="AI276" i="37" a="1"/>
  <c r="AI276" i="37" s="1"/>
  <c r="AI328" i="37" a="1"/>
  <c r="AI328" i="37" s="1"/>
  <c r="AI472" i="37" a="1"/>
  <c r="AI472" i="37" s="1"/>
  <c r="AI272" i="37" a="1"/>
  <c r="AI272" i="37" s="1"/>
  <c r="AI255" i="37" a="1"/>
  <c r="AI255" i="37" s="1"/>
  <c r="AI277" i="37" a="1"/>
  <c r="AI277" i="37" s="1"/>
  <c r="AI442" i="37" a="1"/>
  <c r="AI442" i="37" s="1"/>
  <c r="AI591" i="37" a="1"/>
  <c r="AI591" i="37" s="1"/>
  <c r="AI592" i="37" a="1"/>
  <c r="AI592" i="37" s="1"/>
  <c r="AI329" i="37" a="1"/>
  <c r="AI329" i="37" s="1"/>
  <c r="AI473" i="37" a="1"/>
  <c r="AI473" i="37" s="1"/>
  <c r="AI474" i="37" a="1"/>
  <c r="AI474" i="37" s="1"/>
  <c r="AI428" i="37" a="1"/>
  <c r="AI428" i="37" s="1"/>
  <c r="AI330" i="37" a="1"/>
  <c r="AI330" i="37" s="1"/>
  <c r="AI257" i="37" a="1"/>
  <c r="AI257" i="37" s="1"/>
  <c r="AI429" i="37" a="1"/>
  <c r="AI429" i="37" s="1"/>
  <c r="AI263" i="37" a="1"/>
  <c r="AI263" i="37" s="1"/>
  <c r="AI444" i="37" a="1"/>
  <c r="AI444" i="37" s="1"/>
  <c r="AI430" i="37" a="1"/>
  <c r="AI430" i="37" s="1"/>
  <c r="AI432" i="37" a="1"/>
  <c r="AI432" i="37" s="1"/>
  <c r="AI260" i="37" a="1"/>
  <c r="AI260" i="37" s="1"/>
  <c r="AI261" i="37" a="1"/>
  <c r="AI261" i="37" s="1"/>
  <c r="AI262" i="37" a="1"/>
  <c r="AI262" i="37" s="1"/>
  <c r="AI331" i="37" a="1"/>
  <c r="AI331" i="37" s="1"/>
  <c r="AI374" i="37" a="1"/>
  <c r="AI374" i="37" s="1"/>
  <c r="AI332" i="37" a="1"/>
  <c r="AI332" i="37" s="1"/>
  <c r="AI377" i="37" a="1"/>
  <c r="AI377" i="37" s="1"/>
  <c r="AI203" i="37" a="1"/>
  <c r="AI203" i="37" s="1"/>
  <c r="AI111" i="37" a="1"/>
  <c r="AI111" i="37" s="1"/>
  <c r="AI379" i="37" a="1"/>
  <c r="AI379" i="37" s="1"/>
  <c r="AI333" i="37" a="1"/>
  <c r="AI333" i="37" s="1"/>
  <c r="AI334" i="37" a="1"/>
  <c r="AI334" i="37" s="1"/>
  <c r="AI443" i="37" a="1"/>
  <c r="AI443" i="37" s="1"/>
  <c r="AI459" i="37" a="1"/>
  <c r="AI459" i="37" s="1"/>
  <c r="AI289" i="37" a="1"/>
  <c r="AI289" i="37" s="1"/>
  <c r="AI475" i="37" a="1"/>
  <c r="AI475" i="37" s="1"/>
  <c r="AI335" i="37" a="1"/>
  <c r="AI335" i="37" s="1"/>
  <c r="AI112" i="37" a="1"/>
  <c r="AI112" i="37" s="1"/>
  <c r="AI422" i="37" a="1"/>
  <c r="AI422" i="37" s="1"/>
  <c r="AI381" i="37" a="1"/>
  <c r="AI381" i="37" s="1"/>
  <c r="AI605" i="37" a="1"/>
  <c r="AI605" i="37" s="1"/>
  <c r="AI616" i="37" a="1"/>
  <c r="AI616" i="37" s="1"/>
  <c r="AI383" i="37" a="1"/>
  <c r="AI383" i="37" s="1"/>
  <c r="AI183" i="37" a="1"/>
  <c r="AI183" i="37" s="1"/>
  <c r="AI433" i="37" a="1"/>
  <c r="AI433" i="37" s="1"/>
  <c r="AI336" i="37" a="1"/>
  <c r="AI336" i="37" s="1"/>
  <c r="AI337" i="37" a="1"/>
  <c r="AI337" i="37" s="1"/>
  <c r="AI386" i="37" a="1"/>
  <c r="AI386" i="37" s="1"/>
  <c r="AI338" i="37" a="1"/>
  <c r="AI338" i="37" s="1"/>
  <c r="AI617" i="37" a="1"/>
  <c r="AI617" i="37" s="1"/>
  <c r="AI389" i="37" a="1"/>
  <c r="AI389" i="37" s="1"/>
  <c r="AI606" i="37" a="1"/>
  <c r="AI606" i="37" s="1"/>
  <c r="AI204" i="37" a="1"/>
  <c r="AI204" i="37" s="1"/>
  <c r="AI291" i="37" a="1"/>
  <c r="AI291" i="37" s="1"/>
  <c r="AI390" i="37" a="1"/>
  <c r="AI390" i="37" s="1"/>
  <c r="AI394" i="37" a="1"/>
  <c r="AI394" i="37" s="1"/>
  <c r="AI398" i="37" a="1"/>
  <c r="AI398" i="37" s="1"/>
  <c r="AI400" i="37" a="1"/>
  <c r="AI400" i="37" s="1"/>
  <c r="AI476" i="37" a="1"/>
  <c r="AI476" i="37" s="1"/>
  <c r="AI399" i="37" a="1"/>
  <c r="AI399" i="37" s="1"/>
  <c r="AI403" i="37" a="1"/>
  <c r="AI403" i="37" s="1"/>
  <c r="AI477" i="37" a="1"/>
  <c r="AI477" i="37" s="1"/>
  <c r="AI408" i="37" a="1"/>
  <c r="AI408" i="37" s="1"/>
  <c r="AI439" i="37" a="1"/>
  <c r="AI439" i="37" s="1"/>
  <c r="AI573" i="37" a="1"/>
  <c r="AI573" i="37" s="1"/>
  <c r="AI413" i="37" a="1"/>
  <c r="AI413" i="37" s="1"/>
  <c r="AI607" i="37" a="1"/>
  <c r="AI607" i="37" s="1"/>
  <c r="AI412" i="37" a="1"/>
  <c r="AI412" i="37" s="1"/>
  <c r="AI113" i="37" a="1"/>
  <c r="AI113" i="37" s="1"/>
  <c r="AI414" i="37" a="1"/>
  <c r="AI414" i="37" s="1"/>
  <c r="AI411" i="37" a="1"/>
  <c r="AI411" i="37" s="1"/>
  <c r="AI138" i="37" a="1"/>
  <c r="AI138" i="37" s="1"/>
  <c r="AI139" i="37" a="1"/>
  <c r="AI139" i="37" s="1"/>
  <c r="AI339" i="37" a="1"/>
  <c r="AI339" i="37" s="1"/>
  <c r="AI478" i="37" a="1"/>
  <c r="AI478" i="37" s="1"/>
  <c r="AI141" i="37" a="1"/>
  <c r="AI141" i="37" s="1"/>
  <c r="AI479" i="37" a="1"/>
  <c r="AI479" i="37" s="1"/>
  <c r="AI340" i="37" a="1"/>
  <c r="AI340" i="37" s="1"/>
  <c r="AI144" i="37" a="1"/>
  <c r="AI144" i="37" s="1"/>
  <c r="AI567" i="37" a="1"/>
  <c r="AI567" i="37" s="1"/>
  <c r="AI586" i="37" a="1"/>
  <c r="AI586" i="37" s="1"/>
  <c r="AI587" i="37" a="1"/>
  <c r="AI587" i="37" s="1"/>
  <c r="AI589" i="37" a="1"/>
  <c r="AI589" i="37" s="1"/>
  <c r="AI625" i="37" a="1"/>
  <c r="AI625" i="37" s="1"/>
  <c r="AI480" i="37" a="1"/>
  <c r="AI480" i="37" s="1"/>
  <c r="AI342" i="37" a="1"/>
  <c r="AI342" i="37" s="1"/>
  <c r="AI253" i="37" a="1"/>
  <c r="AI253" i="37" s="1"/>
  <c r="AI341" i="37" a="1"/>
  <c r="AI341" i="37" s="1"/>
  <c r="AI252" i="37" a="1"/>
  <c r="AI252" i="37" s="1"/>
  <c r="AI482" i="37" a="1"/>
  <c r="AI482" i="37" s="1"/>
  <c r="AI481" i="37" a="1"/>
  <c r="AI481" i="37" s="1"/>
  <c r="AI343" i="37" a="1"/>
  <c r="AI343" i="37" s="1"/>
  <c r="AI251" i="37" a="1"/>
  <c r="AI251" i="37" s="1"/>
  <c r="AI256" i="37" a="1"/>
  <c r="AI256" i="37" s="1"/>
  <c r="AI264" i="37" a="1"/>
  <c r="AI264" i="37" s="1"/>
  <c r="AI593" i="37" a="1"/>
  <c r="AI593" i="37" s="1"/>
  <c r="AI345" i="37" a="1"/>
  <c r="AI345" i="37" s="1"/>
  <c r="AI484" i="37" a="1"/>
  <c r="AI484" i="37" s="1"/>
  <c r="AI483" i="37" a="1"/>
  <c r="AI483" i="37" s="1"/>
  <c r="AI344" i="37" a="1"/>
  <c r="AI344" i="37" s="1"/>
  <c r="AI458" i="37" a="1"/>
  <c r="AI458" i="37" s="1"/>
  <c r="AI486" i="37" a="1"/>
  <c r="AI486" i="37" s="1"/>
  <c r="AI485" i="37" a="1"/>
  <c r="AI485" i="37" s="1"/>
  <c r="AI626" i="37" a="1"/>
  <c r="AI626" i="37" s="1"/>
  <c r="AI346" i="37" a="1"/>
  <c r="AI346" i="37" s="1"/>
  <c r="AI628" i="37" a="1"/>
  <c r="AI628" i="37" s="1"/>
  <c r="AI380" i="37" a="1"/>
  <c r="AI380" i="37" s="1"/>
  <c r="AI382" i="37" a="1"/>
  <c r="AI382" i="37" s="1"/>
  <c r="AI627" i="37" a="1"/>
  <c r="AI627" i="37" s="1"/>
  <c r="AI384" i="37" a="1"/>
  <c r="AI384" i="37" s="1"/>
  <c r="AI387" i="37" a="1"/>
  <c r="AI387" i="37" s="1"/>
  <c r="AI391" i="37" a="1"/>
  <c r="AI391" i="37" s="1"/>
  <c r="AI392" i="37" a="1"/>
  <c r="AI392" i="37" s="1"/>
  <c r="AI393" i="37" a="1"/>
  <c r="AI393" i="37" s="1"/>
  <c r="AI397" i="37" a="1"/>
  <c r="AI397" i="37" s="1"/>
  <c r="AI396" i="37" a="1"/>
  <c r="AI396" i="37" s="1"/>
  <c r="AI401" i="37" a="1"/>
  <c r="AI401" i="37" s="1"/>
  <c r="AI405" i="37" a="1"/>
  <c r="AI405" i="37" s="1"/>
  <c r="AI404" i="37" a="1"/>
  <c r="AI404" i="37" s="1"/>
  <c r="AI406" i="37" a="1"/>
  <c r="AI406" i="37" s="1"/>
  <c r="AI487" i="37" a="1"/>
  <c r="AI487" i="37" s="1"/>
  <c r="AI506" i="37" a="1"/>
  <c r="AI506" i="37" s="1"/>
  <c r="AI620" i="37" a="1"/>
  <c r="AI620" i="37" s="1"/>
  <c r="AI466" i="37" a="1"/>
  <c r="AI466" i="37" s="1"/>
  <c r="AI550" i="37" a="1"/>
  <c r="AI550" i="37" s="1"/>
  <c r="AI498" i="37" a="1"/>
  <c r="AI498" i="37" s="1"/>
  <c r="AI521" i="37" a="1"/>
  <c r="AI521" i="37" s="1"/>
  <c r="AI445" i="37" a="1"/>
  <c r="AI445" i="37" s="1"/>
  <c r="AI184" i="37" a="1"/>
  <c r="AI184" i="37" s="1"/>
  <c r="AI348" i="37" a="1"/>
  <c r="AI348" i="37" s="1"/>
  <c r="AI357" i="37" a="1"/>
  <c r="AI357" i="37" s="1"/>
  <c r="AI640" i="37" a="1"/>
  <c r="AI640" i="37" s="1"/>
  <c r="AI469" i="37" a="1"/>
  <c r="AI469" i="37" s="1"/>
  <c r="AI510" i="37" a="1"/>
  <c r="AI510" i="37" s="1"/>
  <c r="AI511" i="37" a="1"/>
  <c r="AI511" i="37" s="1"/>
  <c r="AI528" i="37" a="1"/>
  <c r="AI528" i="37" s="1"/>
  <c r="AI347" i="37" a="1"/>
  <c r="AI347" i="37" s="1"/>
  <c r="AI436" i="37" a="1"/>
  <c r="AI436" i="37" s="1"/>
  <c r="AI517" i="37" a="1"/>
  <c r="AI517" i="37" s="1"/>
  <c r="AI493" i="37" a="1"/>
  <c r="AI493" i="37" s="1"/>
  <c r="AI467" i="37" a="1"/>
  <c r="AI467" i="37" s="1"/>
  <c r="AI293" i="37" a="1"/>
  <c r="AI293" i="37" s="1"/>
  <c r="AI452" i="37" a="1"/>
  <c r="AI452" i="37" s="1"/>
  <c r="AI358" i="37" a="1"/>
  <c r="AI358" i="37" s="1"/>
  <c r="AI455" i="37" a="1"/>
  <c r="AI455" i="37" s="1"/>
  <c r="AI522" i="37" a="1"/>
  <c r="AI522" i="37" s="1"/>
  <c r="AI351" i="37" a="1"/>
  <c r="AI351" i="37" s="1"/>
  <c r="AI610" i="37" a="1"/>
  <c r="AI610" i="37" s="1"/>
  <c r="AI463" i="37" a="1"/>
  <c r="AI463" i="37" s="1"/>
  <c r="AI490" i="37" a="1"/>
  <c r="AI490" i="37" s="1"/>
  <c r="AI500" i="37" a="1"/>
  <c r="AI500" i="37" s="1"/>
  <c r="AI499" i="37" a="1"/>
  <c r="AI499" i="37" s="1"/>
  <c r="AI523" i="37" a="1"/>
  <c r="AI523" i="37" s="1"/>
  <c r="AI470" i="37" a="1"/>
  <c r="AI470" i="37" s="1"/>
  <c r="AI273" i="37" a="1"/>
  <c r="AI273" i="37" s="1"/>
  <c r="AI489" i="37" a="1"/>
  <c r="AI489" i="37" s="1"/>
  <c r="AI488" i="37" a="1"/>
  <c r="AI488" i="37" s="1"/>
  <c r="AI288" i="37" a="1"/>
  <c r="AI288" i="37" s="1"/>
  <c r="AI292" i="37" a="1"/>
  <c r="AI292" i="37" s="1"/>
  <c r="AI491" i="37" a="1"/>
  <c r="AI491" i="37" s="1"/>
  <c r="AI448" i="37" a="1"/>
  <c r="AI448" i="37" s="1"/>
  <c r="AI494" i="37" a="1"/>
  <c r="AI494" i="37" s="1"/>
  <c r="AI451" i="37" a="1"/>
  <c r="AI451" i="37" s="1"/>
  <c r="AI512" i="37" a="1"/>
  <c r="AI512" i="37" s="1"/>
  <c r="AI525" i="37" a="1"/>
  <c r="AI525" i="37" s="1"/>
  <c r="AI527" i="37" a="1"/>
  <c r="AI527" i="37" s="1"/>
  <c r="AI524" i="37" a="1"/>
  <c r="AI524" i="37" s="1"/>
  <c r="AI639" i="37" a="1"/>
  <c r="AI639" i="37" s="1"/>
  <c r="AI356" i="37" a="1"/>
  <c r="AI356" i="37" s="1"/>
  <c r="AI453" i="37" a="1"/>
  <c r="AI453" i="37" s="1"/>
  <c r="AI460" i="37" a="1"/>
  <c r="AI460" i="37" s="1"/>
  <c r="AI290" i="37" a="1"/>
  <c r="AI290" i="37" s="1"/>
  <c r="AI611" i="37" a="1"/>
  <c r="AI611" i="37" s="1"/>
  <c r="AI492" i="37" a="1"/>
  <c r="AI492" i="37" s="1"/>
  <c r="AI495" i="37" a="1"/>
  <c r="AI495" i="37" s="1"/>
  <c r="AI294" i="37" a="1"/>
  <c r="AI294" i="37" s="1"/>
  <c r="AI496" i="37" a="1"/>
  <c r="AI496" i="37" s="1"/>
  <c r="AI497" i="37" a="1"/>
  <c r="AI497" i="37" s="1"/>
  <c r="AI502" i="37" a="1"/>
  <c r="AI502" i="37" s="1"/>
  <c r="AI446" i="37" a="1"/>
  <c r="AI446" i="37" s="1"/>
  <c r="AI503" i="37" a="1"/>
  <c r="AI503" i="37" s="1"/>
  <c r="AI449" i="37" a="1"/>
  <c r="AI449" i="37" s="1"/>
  <c r="AI631" i="37" a="1"/>
  <c r="AI631" i="37" s="1"/>
  <c r="AI504" i="37" a="1"/>
  <c r="AI504" i="37" s="1"/>
  <c r="AI630" i="37" a="1"/>
  <c r="AI630" i="37" s="1"/>
  <c r="AI629" i="37" a="1"/>
  <c r="AI629" i="37" s="1"/>
  <c r="AI623" i="37" a="1"/>
  <c r="AI623" i="37" s="1"/>
  <c r="AI501" i="37" a="1"/>
  <c r="AI501" i="37" s="1"/>
  <c r="AI505" i="37" a="1"/>
  <c r="AI505" i="37" s="1"/>
  <c r="AI508" i="37" a="1"/>
  <c r="AI508" i="37" s="1"/>
  <c r="AI509" i="37" a="1"/>
  <c r="AI509" i="37" s="1"/>
  <c r="AI513" i="37" a="1"/>
  <c r="AI513" i="37" s="1"/>
  <c r="AI632" i="37" a="1"/>
  <c r="AI632" i="37" s="1"/>
  <c r="AI514" i="37" a="1"/>
  <c r="AI514" i="37" s="1"/>
  <c r="AI515" i="37" a="1"/>
  <c r="AI515" i="37" s="1"/>
  <c r="AI519" i="37" a="1"/>
  <c r="AI519" i="37" s="1"/>
  <c r="AI518" i="37" a="1"/>
  <c r="AI518" i="37" s="1"/>
  <c r="AI520" i="37" a="1"/>
  <c r="AI520" i="37" s="1"/>
  <c r="AI114" i="37" a="1"/>
  <c r="AI114" i="37" s="1"/>
  <c r="AI205" i="37" a="1"/>
  <c r="AI205" i="37" s="1"/>
  <c r="AI349" i="37" a="1"/>
  <c r="AI349" i="37" s="1"/>
  <c r="AI350" i="37" a="1"/>
  <c r="AI350" i="37" s="1"/>
  <c r="AI608" i="37" a="1"/>
  <c r="AI608" i="37" s="1"/>
  <c r="AI609" i="37" a="1"/>
  <c r="AI609" i="37" s="1"/>
  <c r="AI352" i="37" a="1"/>
  <c r="AI352" i="37" s="1"/>
  <c r="AI355" i="37" a="1"/>
  <c r="AI355" i="37" s="1"/>
  <c r="AI353" i="37" a="1"/>
  <c r="AI353" i="37" s="1"/>
  <c r="AI468" i="37" a="1"/>
  <c r="AI468" i="37" s="1"/>
  <c r="AI354" i="37" a="1"/>
  <c r="AI354" i="37" s="1"/>
  <c r="AI295" i="37" a="1"/>
  <c r="AI295" i="37" s="1"/>
  <c r="AI447" i="37" a="1"/>
  <c r="AI447" i="37" s="1"/>
  <c r="AI450" i="37" a="1"/>
  <c r="AI450" i="37" s="1"/>
  <c r="AI454" i="37" a="1"/>
  <c r="AI454" i="37" s="1"/>
  <c r="AI359" i="37" a="1"/>
  <c r="AI359" i="37" s="1"/>
  <c r="AI456" i="37" a="1"/>
  <c r="AI456" i="37" s="1"/>
  <c r="AI457" i="37" a="1"/>
  <c r="AI457" i="37" s="1"/>
  <c r="AI360" i="37" a="1"/>
  <c r="AI360" i="37" s="1"/>
  <c r="AI462" i="37" a="1"/>
  <c r="AI462" i="37" s="1"/>
  <c r="AI461" i="37" a="1"/>
  <c r="AI461" i="37" s="1"/>
  <c r="AI633" i="37" a="1"/>
  <c r="AI633" i="37" s="1"/>
  <c r="AI464" i="37" a="1"/>
  <c r="AI464" i="37" s="1"/>
  <c r="AI624" i="37" a="1"/>
  <c r="AI624" i="37" s="1"/>
  <c r="AI465" i="37" a="1"/>
  <c r="AI465" i="37" s="1"/>
  <c r="AI516" i="37" a="1"/>
  <c r="AI516" i="37" s="1"/>
  <c r="AI634" i="37" a="1"/>
  <c r="AI634" i="37" s="1"/>
  <c r="AI635" i="37" a="1"/>
  <c r="AI635" i="37" s="1"/>
  <c r="AI638" i="37" a="1"/>
  <c r="AI638" i="37" s="1"/>
  <c r="AI637" i="37" a="1"/>
  <c r="AI637" i="37" s="1"/>
  <c r="AI636" i="37" a="1"/>
  <c r="AI636" i="37" s="1"/>
  <c r="AI529" i="37" a="1"/>
  <c r="AI529" i="37" s="1"/>
  <c r="AI530" i="37" a="1"/>
  <c r="AI530" i="37" s="1"/>
  <c r="AI531" i="37" a="1"/>
  <c r="AI531" i="37" s="1"/>
  <c r="AI532" i="37" a="1"/>
  <c r="AI532" i="37" s="1"/>
  <c r="AH2" i="37" a="1"/>
  <c r="AH2" i="37" s="1"/>
  <c r="AH3" i="37" a="1"/>
  <c r="AH3" i="37" s="1"/>
  <c r="AH10" i="37" a="1"/>
  <c r="AH10" i="37" s="1"/>
  <c r="AH534" i="37" a="1"/>
  <c r="AH534" i="37" s="1"/>
  <c r="AH533" i="37" a="1"/>
  <c r="AH533" i="37" s="1"/>
  <c r="AH6" i="37" a="1"/>
  <c r="AH6" i="37" s="1"/>
  <c r="AH5" i="37" a="1"/>
  <c r="AH5" i="37" s="1"/>
  <c r="AH11" i="37" a="1"/>
  <c r="AH11" i="37" s="1"/>
  <c r="AH4" i="37" a="1"/>
  <c r="AH4" i="37" s="1"/>
  <c r="AH23" i="37" a="1"/>
  <c r="AH23" i="37" s="1"/>
  <c r="AH7" i="37" a="1"/>
  <c r="AH7" i="37" s="1"/>
  <c r="AH13" i="37" a="1"/>
  <c r="AH13" i="37" s="1"/>
  <c r="AH24" i="37" a="1"/>
  <c r="AH24" i="37" s="1"/>
  <c r="AH36" i="37" a="1"/>
  <c r="AH36" i="37" s="1"/>
  <c r="AH25" i="37" a="1"/>
  <c r="AH25" i="37" s="1"/>
  <c r="AH37" i="37" a="1"/>
  <c r="AH37" i="37" s="1"/>
  <c r="AH20" i="37" a="1"/>
  <c r="AH20" i="37" s="1"/>
  <c r="AH14" i="37" a="1"/>
  <c r="AH14" i="37" s="1"/>
  <c r="AH15" i="37" a="1"/>
  <c r="AH15" i="37" s="1"/>
  <c r="AH19" i="37" a="1"/>
  <c r="AH19" i="37" s="1"/>
  <c r="AH22" i="37" a="1"/>
  <c r="AH22" i="37" s="1"/>
  <c r="AH26" i="37" a="1"/>
  <c r="AH26" i="37" s="1"/>
  <c r="AH537" i="37" a="1"/>
  <c r="AH537" i="37" s="1"/>
  <c r="AH27" i="37" a="1"/>
  <c r="AH27" i="37" s="1"/>
  <c r="AH21" i="37" a="1"/>
  <c r="AH21" i="37" s="1"/>
  <c r="AH38" i="37" a="1"/>
  <c r="AH38" i="37" s="1"/>
  <c r="AH538" i="37" a="1"/>
  <c r="AH538" i="37" s="1"/>
  <c r="AH28" i="37" a="1"/>
  <c r="AH28" i="37" s="1"/>
  <c r="AH16" i="37" a="1"/>
  <c r="AH16" i="37" s="1"/>
  <c r="AH39" i="37" a="1"/>
  <c r="AH39" i="37" s="1"/>
  <c r="AH40" i="37" a="1"/>
  <c r="AH40" i="37" s="1"/>
  <c r="AH29" i="37" a="1"/>
  <c r="AH29" i="37" s="1"/>
  <c r="AH41" i="37" a="1"/>
  <c r="AH41" i="37" s="1"/>
  <c r="AH33" i="37" a="1"/>
  <c r="AH33" i="37" s="1"/>
  <c r="AH42" i="37" a="1"/>
  <c r="AH42" i="37" s="1"/>
  <c r="AH539" i="37" a="1"/>
  <c r="AH539" i="37" s="1"/>
  <c r="AH85" i="37" a="1"/>
  <c r="AH85" i="37" s="1"/>
  <c r="AH43" i="37" a="1"/>
  <c r="AH43" i="37" s="1"/>
  <c r="AH44" i="37" a="1"/>
  <c r="AH44" i="37" s="1"/>
  <c r="AH535" i="37" a="1"/>
  <c r="AH535" i="37" s="1"/>
  <c r="AH45" i="37" a="1"/>
  <c r="AH45" i="37" s="1"/>
  <c r="AH17" i="37" a="1"/>
  <c r="AH17" i="37" s="1"/>
  <c r="AH70" i="37" a="1"/>
  <c r="AH70" i="37" s="1"/>
  <c r="AH30" i="37" a="1"/>
  <c r="AH30" i="37" s="1"/>
  <c r="AH18" i="37" a="1"/>
  <c r="AH18" i="37" s="1"/>
  <c r="AH62" i="37" a="1"/>
  <c r="AH62" i="37" s="1"/>
  <c r="AH57" i="37" a="1"/>
  <c r="AH57" i="37" s="1"/>
  <c r="AH46" i="37" a="1"/>
  <c r="AH46" i="37" s="1"/>
  <c r="AH61" i="37" a="1"/>
  <c r="AH61" i="37" s="1"/>
  <c r="AH71" i="37" a="1"/>
  <c r="AH71" i="37" s="1"/>
  <c r="AH31" i="37" a="1"/>
  <c r="AH31" i="37" s="1"/>
  <c r="AH541" i="37" a="1"/>
  <c r="AH541" i="37" s="1"/>
  <c r="AH56" i="37" a="1"/>
  <c r="AH56" i="37" s="1"/>
  <c r="AH536" i="37" a="1"/>
  <c r="AH536" i="37" s="1"/>
  <c r="AH47" i="37" a="1"/>
  <c r="AH47" i="37" s="1"/>
  <c r="AH86" i="37" a="1"/>
  <c r="AH86" i="37" s="1"/>
  <c r="AH72" i="37" a="1"/>
  <c r="AH72" i="37" s="1"/>
  <c r="AH48" i="37" a="1"/>
  <c r="AH48" i="37" s="1"/>
  <c r="AH547" i="37" a="1"/>
  <c r="AH547" i="37" s="1"/>
  <c r="AH115" i="37" a="1"/>
  <c r="AH115" i="37" s="1"/>
  <c r="AH562" i="37" a="1"/>
  <c r="AH562" i="37" s="1"/>
  <c r="AH58" i="37" a="1"/>
  <c r="AH58" i="37" s="1"/>
  <c r="AH63" i="37" a="1"/>
  <c r="AH63" i="37" s="1"/>
  <c r="AH34" i="37" a="1"/>
  <c r="AH34" i="37" s="1"/>
  <c r="AH540" i="37" a="1"/>
  <c r="AH540" i="37" s="1"/>
  <c r="AH116" i="37" a="1"/>
  <c r="AH116" i="37" s="1"/>
  <c r="AH12" i="37" a="1"/>
  <c r="AH12" i="37" s="1"/>
  <c r="AH32" i="37" a="1"/>
  <c r="AH32" i="37" s="1"/>
  <c r="AH73" i="37" a="1"/>
  <c r="AH73" i="37" s="1"/>
  <c r="AH74" i="37" a="1"/>
  <c r="AH74" i="37" s="1"/>
  <c r="AH542" i="37" a="1"/>
  <c r="AH542" i="37" s="1"/>
  <c r="AH75" i="37" a="1"/>
  <c r="AH75" i="37" s="1"/>
  <c r="AH543" i="37" a="1"/>
  <c r="AH543" i="37" s="1"/>
  <c r="AH117" i="37" a="1"/>
  <c r="AH117" i="37" s="1"/>
  <c r="AH546" i="37" a="1"/>
  <c r="AH546" i="37" s="1"/>
  <c r="AH99" i="37" a="1"/>
  <c r="AH99" i="37" s="1"/>
  <c r="AH67" i="37" a="1"/>
  <c r="AH67" i="37" s="1"/>
  <c r="AH100" i="37" a="1"/>
  <c r="AH100" i="37" s="1"/>
  <c r="AH68" i="37" a="1"/>
  <c r="AH68" i="37" s="1"/>
  <c r="AH64" i="37" a="1"/>
  <c r="AH64" i="37" s="1"/>
  <c r="AH101" i="37" a="1"/>
  <c r="AH101" i="37" s="1"/>
  <c r="AH65" i="37" a="1"/>
  <c r="AH65" i="37" s="1"/>
  <c r="AH92" i="37" a="1"/>
  <c r="AH92" i="37" s="1"/>
  <c r="AH49" i="37" a="1"/>
  <c r="AH49" i="37" s="1"/>
  <c r="AH185" i="37" a="1"/>
  <c r="AH185" i="37" s="1"/>
  <c r="AH163" i="37" a="1"/>
  <c r="AH163" i="37" s="1"/>
  <c r="AH76" i="37" a="1"/>
  <c r="AH76" i="37" s="1"/>
  <c r="AH87" i="37" a="1"/>
  <c r="AH87" i="37" s="1"/>
  <c r="AH82" i="37" a="1"/>
  <c r="AH82" i="37" s="1"/>
  <c r="AH88" i="37" a="1"/>
  <c r="AH88" i="37" s="1"/>
  <c r="AH554" i="37" a="1"/>
  <c r="AH554" i="37" s="1"/>
  <c r="AH93" i="37" a="1"/>
  <c r="AH93" i="37" s="1"/>
  <c r="AH118" i="37" a="1"/>
  <c r="AH118" i="37" s="1"/>
  <c r="AH83" i="37" a="1"/>
  <c r="AH83" i="37" s="1"/>
  <c r="AH164" i="37" a="1"/>
  <c r="AH164" i="37" s="1"/>
  <c r="AH119" i="37" a="1"/>
  <c r="AH119" i="37" s="1"/>
  <c r="AH549" i="37" a="1"/>
  <c r="AH549" i="37" s="1"/>
  <c r="AH50" i="37" a="1"/>
  <c r="AH50" i="37" s="1"/>
  <c r="AH120" i="37" a="1"/>
  <c r="AH120" i="37" s="1"/>
  <c r="AH121" i="37" a="1"/>
  <c r="AH121" i="37" s="1"/>
  <c r="AH84" i="37" a="1"/>
  <c r="AH84" i="37" s="1"/>
  <c r="AH165" i="37" a="1"/>
  <c r="AH165" i="37" s="1"/>
  <c r="AH206" i="37" a="1"/>
  <c r="AH206" i="37" s="1"/>
  <c r="AH89" i="37" a="1"/>
  <c r="AH89" i="37" s="1"/>
  <c r="AH574" i="37" a="1"/>
  <c r="AH574" i="37" s="1"/>
  <c r="AH166" i="37" a="1"/>
  <c r="AH166" i="37" s="1"/>
  <c r="AH167" i="37" a="1"/>
  <c r="AH167" i="37" s="1"/>
  <c r="AH77" i="37" a="1"/>
  <c r="AH77" i="37" s="1"/>
  <c r="AH123" i="37" a="1"/>
  <c r="AH123" i="37" s="1"/>
  <c r="AH122" i="37" a="1"/>
  <c r="AH122" i="37" s="1"/>
  <c r="AH575" i="37" a="1"/>
  <c r="AH575" i="37" s="1"/>
  <c r="AH96" i="37" a="1"/>
  <c r="AH96" i="37" s="1"/>
  <c r="AH186" i="37" a="1"/>
  <c r="AH186" i="37" s="1"/>
  <c r="AH176" i="37" a="1"/>
  <c r="AH176" i="37" s="1"/>
  <c r="AH151" i="37" a="1"/>
  <c r="AH151" i="37" s="1"/>
  <c r="AH97" i="37" a="1"/>
  <c r="AH97" i="37" s="1"/>
  <c r="AH274" i="37" a="1"/>
  <c r="AH274" i="37" s="1"/>
  <c r="AH545" i="37" a="1"/>
  <c r="AH545" i="37" s="1"/>
  <c r="AH187" i="37" a="1"/>
  <c r="AH187" i="37" s="1"/>
  <c r="AH207" i="37" a="1"/>
  <c r="AH207" i="37" s="1"/>
  <c r="AH9" i="37" a="1"/>
  <c r="AH9" i="37" s="1"/>
  <c r="AH570" i="37" a="1"/>
  <c r="AH570" i="37" s="1"/>
  <c r="AH296" i="37" a="1"/>
  <c r="AH296" i="37" s="1"/>
  <c r="AH102" i="37" a="1"/>
  <c r="AH102" i="37" s="1"/>
  <c r="AH66" i="37" a="1"/>
  <c r="AH66" i="37" s="1"/>
  <c r="AH177" i="37" a="1"/>
  <c r="AH177" i="37" s="1"/>
  <c r="AH297" i="37" a="1"/>
  <c r="AH297" i="37" s="1"/>
  <c r="AH576" i="37" a="1"/>
  <c r="AH576" i="37" s="1"/>
  <c r="AH156" i="37" a="1"/>
  <c r="AH156" i="37" s="1"/>
  <c r="AH188" i="37" a="1"/>
  <c r="AH188" i="37" s="1"/>
  <c r="AH189" i="37" a="1"/>
  <c r="AH189" i="37" s="1"/>
  <c r="AH103" i="37" a="1"/>
  <c r="AH103" i="37" s="1"/>
  <c r="AH190" i="37" a="1"/>
  <c r="AH190" i="37" s="1"/>
  <c r="AH152" i="37" a="1"/>
  <c r="AH152" i="37" s="1"/>
  <c r="AH208" i="37" a="1"/>
  <c r="AH208" i="37" s="1"/>
  <c r="AH209" i="37" a="1"/>
  <c r="AH209" i="37" s="1"/>
  <c r="AH210" i="37" a="1"/>
  <c r="AH210" i="37" s="1"/>
  <c r="AH596" i="37" a="1"/>
  <c r="AH596" i="37" s="1"/>
  <c r="AH168" i="37" a="1"/>
  <c r="AH168" i="37" s="1"/>
  <c r="AH568" i="37" a="1"/>
  <c r="AH568" i="37" s="1"/>
  <c r="AH124" i="37" a="1"/>
  <c r="AH124" i="37" s="1"/>
  <c r="AH571" i="37" a="1"/>
  <c r="AH571" i="37" s="1"/>
  <c r="AH175" i="37" a="1"/>
  <c r="AH175" i="37" s="1"/>
  <c r="AH211" i="37" a="1"/>
  <c r="AH211" i="37" s="1"/>
  <c r="AH104" i="37" a="1"/>
  <c r="AH104" i="37" s="1"/>
  <c r="AH125" i="37" a="1"/>
  <c r="AH125" i="37" s="1"/>
  <c r="AH105" i="37" a="1"/>
  <c r="AH105" i="37" s="1"/>
  <c r="AH126" i="37" a="1"/>
  <c r="AH126" i="37" s="1"/>
  <c r="AH548" i="37" a="1"/>
  <c r="AH548" i="37" s="1"/>
  <c r="AH191" i="37" a="1"/>
  <c r="AH191" i="37" s="1"/>
  <c r="AH563" i="37" a="1"/>
  <c r="AH563" i="37" s="1"/>
  <c r="AH213" i="37" a="1"/>
  <c r="AH213" i="37" s="1"/>
  <c r="AH298" i="37" a="1"/>
  <c r="AH298" i="37" s="1"/>
  <c r="AH106" i="37" a="1"/>
  <c r="AH106" i="37" s="1"/>
  <c r="AH212" i="37" a="1"/>
  <c r="AH212" i="37" s="1"/>
  <c r="AH564" i="37" a="1"/>
  <c r="AH564" i="37" s="1"/>
  <c r="AH577" i="37" a="1"/>
  <c r="AH577" i="37" s="1"/>
  <c r="AH107" i="37" a="1"/>
  <c r="AH107" i="37" s="1"/>
  <c r="AH157" i="37" a="1"/>
  <c r="AH157" i="37" s="1"/>
  <c r="AH214" i="37" a="1"/>
  <c r="AH214" i="37" s="1"/>
  <c r="AH158" i="37" a="1"/>
  <c r="AH158" i="37" s="1"/>
  <c r="AH578" i="37" a="1"/>
  <c r="AH578" i="37" s="1"/>
  <c r="AH215" i="37" a="1"/>
  <c r="AH215" i="37" s="1"/>
  <c r="AH155" i="37" a="1"/>
  <c r="AH155" i="37" s="1"/>
  <c r="AH216" i="37" a="1"/>
  <c r="AH216" i="37" s="1"/>
  <c r="AH217" i="37" a="1"/>
  <c r="AH217" i="37" s="1"/>
  <c r="AH127" i="37" a="1"/>
  <c r="AH127" i="37" s="1"/>
  <c r="AH90" i="37" a="1"/>
  <c r="AH90" i="37" s="1"/>
  <c r="AH153" i="37" a="1"/>
  <c r="AH153" i="37" s="1"/>
  <c r="AH128" i="37" a="1"/>
  <c r="AH128" i="37" s="1"/>
  <c r="AH299" i="37" a="1"/>
  <c r="AH299" i="37" s="1"/>
  <c r="AH192" i="37" a="1"/>
  <c r="AH192" i="37" s="1"/>
  <c r="AH129" i="37" a="1"/>
  <c r="AH129" i="37" s="1"/>
  <c r="AH565" i="37" a="1"/>
  <c r="AH565" i="37" s="1"/>
  <c r="AH130" i="37" a="1"/>
  <c r="AH130" i="37" s="1"/>
  <c r="AH218" i="37" a="1"/>
  <c r="AH218" i="37" s="1"/>
  <c r="AH131" i="37" a="1"/>
  <c r="AH131" i="37" s="1"/>
  <c r="AH154" i="37" a="1"/>
  <c r="AH154" i="37" s="1"/>
  <c r="AH555" i="37" a="1"/>
  <c r="AH555" i="37" s="1"/>
  <c r="AH579" i="37" a="1"/>
  <c r="AH579" i="37" s="1"/>
  <c r="AH132" i="37" a="1"/>
  <c r="AH132" i="37" s="1"/>
  <c r="AH580" i="37" a="1"/>
  <c r="AH580" i="37" s="1"/>
  <c r="AH219" i="37" a="1"/>
  <c r="AH219" i="37" s="1"/>
  <c r="AH133" i="37" a="1"/>
  <c r="AH133" i="37" s="1"/>
  <c r="AH134" i="37" a="1"/>
  <c r="AH134" i="37" s="1"/>
  <c r="AH599" i="37" a="1"/>
  <c r="AH599" i="37" s="1"/>
  <c r="AH220" i="37" a="1"/>
  <c r="AH220" i="37" s="1"/>
  <c r="AH221" i="37" a="1"/>
  <c r="AH221" i="37" s="1"/>
  <c r="AH59" i="37" a="1"/>
  <c r="AH59" i="37" s="1"/>
  <c r="AH222" i="37" a="1"/>
  <c r="AH222" i="37" s="1"/>
  <c r="AH223" i="37" a="1"/>
  <c r="AH223" i="37" s="1"/>
  <c r="AH275" i="37" a="1"/>
  <c r="AH275" i="37" s="1"/>
  <c r="AH51" i="37" a="1"/>
  <c r="AH51" i="37" s="1"/>
  <c r="AH224" i="37" a="1"/>
  <c r="AH224" i="37" s="1"/>
  <c r="AH78" i="37" a="1"/>
  <c r="AH78" i="37" s="1"/>
  <c r="AH225" i="37" a="1"/>
  <c r="AH225" i="37" s="1"/>
  <c r="AH35" i="37" a="1"/>
  <c r="AH35" i="37" s="1"/>
  <c r="AH226" i="37" a="1"/>
  <c r="AH226" i="37" s="1"/>
  <c r="AH169" i="37" a="1"/>
  <c r="AH169" i="37" s="1"/>
  <c r="AH170" i="37" a="1"/>
  <c r="AH170" i="37" s="1"/>
  <c r="AH557" i="37" a="1"/>
  <c r="AH557" i="37" s="1"/>
  <c r="AH361" i="37" a="1"/>
  <c r="AH361" i="37" s="1"/>
  <c r="AH558" i="37" a="1"/>
  <c r="AH558" i="37" s="1"/>
  <c r="AH227" i="37" a="1"/>
  <c r="AH227" i="37" s="1"/>
  <c r="AH556" i="37" a="1"/>
  <c r="AH556" i="37" s="1"/>
  <c r="AH228" i="37" a="1"/>
  <c r="AH228" i="37" s="1"/>
  <c r="AH171" i="37" a="1"/>
  <c r="AH171" i="37" s="1"/>
  <c r="AH178" i="37" a="1"/>
  <c r="AH178" i="37" s="1"/>
  <c r="AH595" i="37" a="1"/>
  <c r="AH595" i="37" s="1"/>
  <c r="AH193" i="37" a="1"/>
  <c r="AH193" i="37" s="1"/>
  <c r="AH69" i="37" a="1"/>
  <c r="AH69" i="37" s="1"/>
  <c r="AH179" i="37" a="1"/>
  <c r="AH179" i="37" s="1"/>
  <c r="AH135" i="37" a="1"/>
  <c r="AH135" i="37" s="1"/>
  <c r="AH108" i="37" a="1"/>
  <c r="AH108" i="37" s="1"/>
  <c r="AH300" i="37" a="1"/>
  <c r="AH300" i="37" s="1"/>
  <c r="AH98" i="37" a="1"/>
  <c r="AH98" i="37" s="1"/>
  <c r="AH159" i="37" a="1"/>
  <c r="AH159" i="37" s="1"/>
  <c r="AH597" i="37" a="1"/>
  <c r="AH597" i="37" s="1"/>
  <c r="AH560" i="37" a="1"/>
  <c r="AH560" i="37" s="1"/>
  <c r="AH79" i="37" a="1"/>
  <c r="AH79" i="37" s="1"/>
  <c r="AH279" i="37" a="1"/>
  <c r="AH279" i="37" s="1"/>
  <c r="AH569" i="37" a="1"/>
  <c r="AH569" i="37" s="1"/>
  <c r="AH229" i="37" a="1"/>
  <c r="AH229" i="37" s="1"/>
  <c r="AH230" i="37" a="1"/>
  <c r="AH230" i="37" s="1"/>
  <c r="AH301" i="37" a="1"/>
  <c r="AH301" i="37" s="1"/>
  <c r="AH437" i="37" a="1"/>
  <c r="AH437" i="37" s="1"/>
  <c r="AH160" i="37" a="1"/>
  <c r="AH160" i="37" s="1"/>
  <c r="AH280" i="37" a="1"/>
  <c r="AH280" i="37" s="1"/>
  <c r="AH302" i="37" a="1"/>
  <c r="AH302" i="37" s="1"/>
  <c r="AH231" i="37" a="1"/>
  <c r="AH231" i="37" s="1"/>
  <c r="AH303" i="37" a="1"/>
  <c r="AH303" i="37" s="1"/>
  <c r="AH304" i="37" a="1"/>
  <c r="AH304" i="37" s="1"/>
  <c r="AH305" i="37" a="1"/>
  <c r="AH305" i="37" s="1"/>
  <c r="AH194" i="37" a="1"/>
  <c r="AH194" i="37" s="1"/>
  <c r="AH265" i="37" a="1"/>
  <c r="AH265" i="37" s="1"/>
  <c r="AH306" i="37" a="1"/>
  <c r="AH306" i="37" s="1"/>
  <c r="AH232" i="37" a="1"/>
  <c r="AH232" i="37" s="1"/>
  <c r="AH195" i="37" a="1"/>
  <c r="AH195" i="37" s="1"/>
  <c r="AH598" i="37" a="1"/>
  <c r="AH598" i="37" s="1"/>
  <c r="AH281" i="37" a="1"/>
  <c r="AH281" i="37" s="1"/>
  <c r="AH600" i="37" a="1"/>
  <c r="AH600" i="37" s="1"/>
  <c r="AH80" i="37" a="1"/>
  <c r="AH80" i="37" s="1"/>
  <c r="AH270" i="37" a="1"/>
  <c r="AH270" i="37" s="1"/>
  <c r="AH180" i="37" a="1"/>
  <c r="AH180" i="37" s="1"/>
  <c r="AH307" i="37" a="1"/>
  <c r="AH307" i="37" s="1"/>
  <c r="AH267" i="37" a="1"/>
  <c r="AH267" i="37" s="1"/>
  <c r="AH196" i="37" a="1"/>
  <c r="AH196" i="37" s="1"/>
  <c r="AH269" i="37" a="1"/>
  <c r="AH269" i="37" s="1"/>
  <c r="AH198" i="37" a="1"/>
  <c r="AH198" i="37" s="1"/>
  <c r="AH282" i="37" a="1"/>
  <c r="AH282" i="37" s="1"/>
  <c r="AH308" i="37" a="1"/>
  <c r="AH308" i="37" s="1"/>
  <c r="AH471" i="37" a="1"/>
  <c r="AH471" i="37" s="1"/>
  <c r="AH283" i="37" a="1"/>
  <c r="AH283" i="37" s="1"/>
  <c r="AH161" i="37" a="1"/>
  <c r="AH161" i="37" s="1"/>
  <c r="AH581" i="37" a="1"/>
  <c r="AH581" i="37" s="1"/>
  <c r="AH234" i="37" a="1"/>
  <c r="AH234" i="37" s="1"/>
  <c r="AH233" i="37" a="1"/>
  <c r="AH233" i="37" s="1"/>
  <c r="AH235" i="37" a="1"/>
  <c r="AH235" i="37" s="1"/>
  <c r="AH268" i="37" a="1"/>
  <c r="AH268" i="37" s="1"/>
  <c r="AH199" i="37" a="1"/>
  <c r="AH199" i="37" s="1"/>
  <c r="AH236" i="37" a="1"/>
  <c r="AH236" i="37" s="1"/>
  <c r="AH582" i="37" a="1"/>
  <c r="AH582" i="37" s="1"/>
  <c r="AH237" i="37" a="1"/>
  <c r="AH237" i="37" s="1"/>
  <c r="AH238" i="37" a="1"/>
  <c r="AH238" i="37" s="1"/>
  <c r="AH583" i="37" a="1"/>
  <c r="AH583" i="37" s="1"/>
  <c r="AH172" i="37" a="1"/>
  <c r="AH172" i="37" s="1"/>
  <c r="AH239" i="37" a="1"/>
  <c r="AH239" i="37" s="1"/>
  <c r="AH363" i="37" a="1"/>
  <c r="AH363" i="37" s="1"/>
  <c r="AH364" i="37" a="1"/>
  <c r="AH364" i="37" s="1"/>
  <c r="AH362" i="37" a="1"/>
  <c r="AH362" i="37" s="1"/>
  <c r="AH594" i="37" a="1"/>
  <c r="AH594" i="37" s="1"/>
  <c r="AH612" i="37" a="1"/>
  <c r="AH612" i="37" s="1"/>
  <c r="AH266" i="37" a="1"/>
  <c r="AH266" i="37" s="1"/>
  <c r="AH309" i="37" a="1"/>
  <c r="AH309" i="37" s="1"/>
  <c r="AH365" i="37" a="1"/>
  <c r="AH365" i="37" s="1"/>
  <c r="AH240" i="37" a="1"/>
  <c r="AH240" i="37" s="1"/>
  <c r="AH91" i="37" a="1"/>
  <c r="AH91" i="37" s="1"/>
  <c r="AH613" i="37" a="1"/>
  <c r="AH613" i="37" s="1"/>
  <c r="AH551" i="37" a="1"/>
  <c r="AH551" i="37" s="1"/>
  <c r="AH271" i="37" a="1"/>
  <c r="AH271" i="37" s="1"/>
  <c r="AH584" i="37" a="1"/>
  <c r="AH584" i="37" s="1"/>
  <c r="AH52" i="37" a="1"/>
  <c r="AH52" i="37" s="1"/>
  <c r="AH366" i="37" a="1"/>
  <c r="AH366" i="37" s="1"/>
  <c r="AH241" i="37" a="1"/>
  <c r="AH241" i="37" s="1"/>
  <c r="AH614" i="37" a="1"/>
  <c r="AH614" i="37" s="1"/>
  <c r="AH367" i="37" a="1"/>
  <c r="AH367" i="37" s="1"/>
  <c r="AH544" i="37" a="1"/>
  <c r="AH544" i="37" s="1"/>
  <c r="AH136" i="37" a="1"/>
  <c r="AH136" i="37" s="1"/>
  <c r="AH585" i="37" a="1"/>
  <c r="AH585" i="37" s="1"/>
  <c r="AH371" i="37" a="1"/>
  <c r="AH371" i="37" s="1"/>
  <c r="AH369" i="37" a="1"/>
  <c r="AH369" i="37" s="1"/>
  <c r="AH615" i="37" a="1"/>
  <c r="AH615" i="37" s="1"/>
  <c r="AH368" i="37" a="1"/>
  <c r="AH368" i="37" s="1"/>
  <c r="AH370" i="37" a="1"/>
  <c r="AH370" i="37" s="1"/>
  <c r="AH242" i="37" a="1"/>
  <c r="AH242" i="37" s="1"/>
  <c r="AH244" i="37" a="1"/>
  <c r="AH244" i="37" s="1"/>
  <c r="AH372" i="37" a="1"/>
  <c r="AH372" i="37" s="1"/>
  <c r="AH566" i="37" a="1"/>
  <c r="AH566" i="37" s="1"/>
  <c r="AH243" i="37" a="1"/>
  <c r="AH243" i="37" s="1"/>
  <c r="AH407" i="37" a="1"/>
  <c r="AH407" i="37" s="1"/>
  <c r="AH8" i="37" a="1"/>
  <c r="AH8" i="37" s="1"/>
  <c r="AH310" i="37" a="1"/>
  <c r="AH310" i="37" s="1"/>
  <c r="AH385" i="37" a="1"/>
  <c r="AH385" i="37" s="1"/>
  <c r="AH94" i="37" a="1"/>
  <c r="AH94" i="37" s="1"/>
  <c r="AH55" i="37" a="1"/>
  <c r="AH55" i="37" s="1"/>
  <c r="AH258" i="37" a="1"/>
  <c r="AH258" i="37" s="1"/>
  <c r="AH137" i="37" a="1"/>
  <c r="AH137" i="37" s="1"/>
  <c r="AH54" i="37" a="1"/>
  <c r="AH54" i="37" s="1"/>
  <c r="AH418" i="37" a="1"/>
  <c r="AH418" i="37" s="1"/>
  <c r="AH174" i="37" a="1"/>
  <c r="AH174" i="37" s="1"/>
  <c r="AH311" i="37" a="1"/>
  <c r="AH311" i="37" s="1"/>
  <c r="AH416" i="37" a="1"/>
  <c r="AH416" i="37" s="1"/>
  <c r="AH312" i="37" a="1"/>
  <c r="AH312" i="37" s="1"/>
  <c r="AH145" i="37" a="1"/>
  <c r="AH145" i="37" s="1"/>
  <c r="AH278" i="37" a="1"/>
  <c r="AH278" i="37" s="1"/>
  <c r="AH181" i="37" a="1"/>
  <c r="AH181" i="37" s="1"/>
  <c r="AH375" i="37" a="1"/>
  <c r="AH375" i="37" s="1"/>
  <c r="AH146" i="37" a="1"/>
  <c r="AH146" i="37" s="1"/>
  <c r="AH388" i="37" a="1"/>
  <c r="AH388" i="37" s="1"/>
  <c r="AH419" i="37" a="1"/>
  <c r="AH419" i="37" s="1"/>
  <c r="AH60" i="37" a="1"/>
  <c r="AH60" i="37" s="1"/>
  <c r="AH81" i="37" a="1"/>
  <c r="AH81" i="37" s="1"/>
  <c r="AH149" i="37" a="1"/>
  <c r="AH149" i="37" s="1"/>
  <c r="AH246" i="37" a="1"/>
  <c r="AH246" i="37" s="1"/>
  <c r="AH590" i="37" a="1"/>
  <c r="AH590" i="37" s="1"/>
  <c r="AH254" i="37" a="1"/>
  <c r="AH254" i="37" s="1"/>
  <c r="AH373" i="37" a="1"/>
  <c r="AH373" i="37" s="1"/>
  <c r="AH376" i="37" a="1"/>
  <c r="AH376" i="37" s="1"/>
  <c r="AH378" i="37" a="1"/>
  <c r="AH378" i="37" s="1"/>
  <c r="AH410" i="37" a="1"/>
  <c r="AH410" i="37" s="1"/>
  <c r="AH409" i="37" a="1"/>
  <c r="AH409" i="37" s="1"/>
  <c r="AH420" i="37" a="1"/>
  <c r="AH420" i="37" s="1"/>
  <c r="AH248" i="37" a="1"/>
  <c r="AH248" i="37" s="1"/>
  <c r="AH247" i="37" a="1"/>
  <c r="AH247" i="37" s="1"/>
  <c r="AH259" i="37" a="1"/>
  <c r="AH259" i="37" s="1"/>
  <c r="AH402" i="37" a="1"/>
  <c r="AH402" i="37" s="1"/>
  <c r="AH415" i="37" a="1"/>
  <c r="AH415" i="37" s="1"/>
  <c r="AH417" i="37" a="1"/>
  <c r="AH417" i="37" s="1"/>
  <c r="AH53" i="37" a="1"/>
  <c r="AH53" i="37" s="1"/>
  <c r="AH140" i="37" a="1"/>
  <c r="AH140" i="37" s="1"/>
  <c r="AH142" i="37" a="1"/>
  <c r="AH142" i="37" s="1"/>
  <c r="AH109" i="37" a="1"/>
  <c r="AH109" i="37" s="1"/>
  <c r="AH313" i="37" a="1"/>
  <c r="AH313" i="37" s="1"/>
  <c r="AH314" i="37" a="1"/>
  <c r="AH314" i="37" s="1"/>
  <c r="AH601" i="37" a="1"/>
  <c r="AH601" i="37" s="1"/>
  <c r="AH315" i="37" a="1"/>
  <c r="AH315" i="37" s="1"/>
  <c r="AH618" i="37" a="1"/>
  <c r="AH618" i="37" s="1"/>
  <c r="AH143" i="37" a="1"/>
  <c r="AH143" i="37" s="1"/>
  <c r="AH622" i="37" a="1"/>
  <c r="AH622" i="37" s="1"/>
  <c r="AH316" i="37" a="1"/>
  <c r="AH316" i="37" s="1"/>
  <c r="AH552" i="37" a="1"/>
  <c r="AH552" i="37" s="1"/>
  <c r="AH317" i="37" a="1"/>
  <c r="AH317" i="37" s="1"/>
  <c r="AH182" i="37" a="1"/>
  <c r="AH182" i="37" s="1"/>
  <c r="AH200" i="37" a="1"/>
  <c r="AH200" i="37" s="1"/>
  <c r="AH284" i="37" a="1"/>
  <c r="AH284" i="37" s="1"/>
  <c r="AH427" i="37" a="1"/>
  <c r="AH427" i="37" s="1"/>
  <c r="AH147" i="37" a="1"/>
  <c r="AH147" i="37" s="1"/>
  <c r="AH173" i="37" a="1"/>
  <c r="AH173" i="37" s="1"/>
  <c r="AH318" i="37" a="1"/>
  <c r="AH318" i="37" s="1"/>
  <c r="AH435" i="37" a="1"/>
  <c r="AH435" i="37" s="1"/>
  <c r="AH285" i="37" a="1"/>
  <c r="AH285" i="37" s="1"/>
  <c r="AH602" i="37" a="1"/>
  <c r="AH602" i="37" s="1"/>
  <c r="AH319" i="37" a="1"/>
  <c r="AH319" i="37" s="1"/>
  <c r="AH148" i="37" a="1"/>
  <c r="AH148" i="37" s="1"/>
  <c r="AH320" i="37" a="1"/>
  <c r="AH320" i="37" s="1"/>
  <c r="AH321" i="37" a="1"/>
  <c r="AH321" i="37" s="1"/>
  <c r="AH150" i="37" a="1"/>
  <c r="AH150" i="37" s="1"/>
  <c r="AH322" i="37" a="1"/>
  <c r="AH322" i="37" s="1"/>
  <c r="AH323" i="37" a="1"/>
  <c r="AH323" i="37" s="1"/>
  <c r="AH621" i="37" a="1"/>
  <c r="AH621" i="37" s="1"/>
  <c r="AH424" i="37" a="1"/>
  <c r="AH424" i="37" s="1"/>
  <c r="AH201" i="37" a="1"/>
  <c r="AH201" i="37" s="1"/>
  <c r="AH440" i="37" a="1"/>
  <c r="AH440" i="37" s="1"/>
  <c r="AH110" i="37" a="1"/>
  <c r="AH110" i="37" s="1"/>
  <c r="AH286" i="37" a="1"/>
  <c r="AH286" i="37" s="1"/>
  <c r="AH325" i="37" a="1"/>
  <c r="AH325" i="37" s="1"/>
  <c r="AH423" i="37" a="1"/>
  <c r="AH423" i="37" s="1"/>
  <c r="AH431" i="37" a="1"/>
  <c r="AH431" i="37" s="1"/>
  <c r="AH421" i="37" a="1"/>
  <c r="AH421" i="37" s="1"/>
  <c r="AH245" i="37" a="1"/>
  <c r="AH245" i="37" s="1"/>
  <c r="AH434" i="37" a="1"/>
  <c r="AH434" i="37" s="1"/>
  <c r="AH324" i="37" a="1"/>
  <c r="AH324" i="37" s="1"/>
  <c r="AH572" i="37" a="1"/>
  <c r="AH572" i="37" s="1"/>
  <c r="AH202" i="37" a="1"/>
  <c r="AH202" i="37" s="1"/>
  <c r="AH588" i="37" a="1"/>
  <c r="AH588" i="37" s="1"/>
  <c r="AH603" i="37" a="1"/>
  <c r="AH603" i="37" s="1"/>
  <c r="AH619" i="37" a="1"/>
  <c r="AH619" i="37" s="1"/>
  <c r="AH250" i="37" a="1"/>
  <c r="AH250" i="37" s="1"/>
  <c r="AH441" i="37" a="1"/>
  <c r="AH441" i="37" s="1"/>
  <c r="AH438" i="37" a="1"/>
  <c r="AH438" i="37" s="1"/>
  <c r="AH327" i="37" a="1"/>
  <c r="AH327" i="37" s="1"/>
  <c r="AH426" i="37" a="1"/>
  <c r="AH426" i="37" s="1"/>
  <c r="AH287" i="37" a="1"/>
  <c r="AH287" i="37" s="1"/>
  <c r="AH95" i="37" a="1"/>
  <c r="AH95" i="37" s="1"/>
  <c r="AH326" i="37" a="1"/>
  <c r="AH326" i="37" s="1"/>
  <c r="AH249" i="37" a="1"/>
  <c r="AH249" i="37" s="1"/>
  <c r="AH425" i="37" a="1"/>
  <c r="AH425" i="37" s="1"/>
  <c r="AH604" i="37" a="1"/>
  <c r="AH604" i="37" s="1"/>
  <c r="AH162" i="37" a="1"/>
  <c r="AH162" i="37" s="1"/>
  <c r="AH276" i="37" a="1"/>
  <c r="AH276" i="37" s="1"/>
  <c r="AH328" i="37" a="1"/>
  <c r="AH328" i="37" s="1"/>
  <c r="AH472" i="37" a="1"/>
  <c r="AH472" i="37" s="1"/>
  <c r="AH272" i="37" a="1"/>
  <c r="AH272" i="37" s="1"/>
  <c r="AH255" i="37" a="1"/>
  <c r="AH255" i="37" s="1"/>
  <c r="AH277" i="37" a="1"/>
  <c r="AH277" i="37" s="1"/>
  <c r="AH442" i="37" a="1"/>
  <c r="AH442" i="37" s="1"/>
  <c r="AH591" i="37" a="1"/>
  <c r="AH591" i="37" s="1"/>
  <c r="AH592" i="37" a="1"/>
  <c r="AH592" i="37" s="1"/>
  <c r="AH329" i="37" a="1"/>
  <c r="AH329" i="37" s="1"/>
  <c r="AH473" i="37" a="1"/>
  <c r="AH473" i="37" s="1"/>
  <c r="AH474" i="37" a="1"/>
  <c r="AH474" i="37" s="1"/>
  <c r="AH428" i="37" a="1"/>
  <c r="AH428" i="37" s="1"/>
  <c r="AH330" i="37" a="1"/>
  <c r="AH330" i="37" s="1"/>
  <c r="AH257" i="37" a="1"/>
  <c r="AH257" i="37" s="1"/>
  <c r="AH429" i="37" a="1"/>
  <c r="AH429" i="37" s="1"/>
  <c r="AH263" i="37" a="1"/>
  <c r="AH263" i="37" s="1"/>
  <c r="AH444" i="37" a="1"/>
  <c r="AH444" i="37" s="1"/>
  <c r="AH430" i="37" a="1"/>
  <c r="AH430" i="37" s="1"/>
  <c r="AH432" i="37" a="1"/>
  <c r="AH432" i="37" s="1"/>
  <c r="AH260" i="37" a="1"/>
  <c r="AH260" i="37" s="1"/>
  <c r="AH261" i="37" a="1"/>
  <c r="AH261" i="37" s="1"/>
  <c r="AH262" i="37" a="1"/>
  <c r="AH262" i="37" s="1"/>
  <c r="AH331" i="37" a="1"/>
  <c r="AH331" i="37" s="1"/>
  <c r="AH374" i="37" a="1"/>
  <c r="AH374" i="37" s="1"/>
  <c r="AH332" i="37" a="1"/>
  <c r="AH332" i="37" s="1"/>
  <c r="AH377" i="37" a="1"/>
  <c r="AH377" i="37" s="1"/>
  <c r="AH203" i="37" a="1"/>
  <c r="AH203" i="37" s="1"/>
  <c r="AH111" i="37" a="1"/>
  <c r="AH111" i="37" s="1"/>
  <c r="AH379" i="37" a="1"/>
  <c r="AH379" i="37" s="1"/>
  <c r="AH333" i="37" a="1"/>
  <c r="AH333" i="37" s="1"/>
  <c r="AH334" i="37" a="1"/>
  <c r="AH334" i="37" s="1"/>
  <c r="AH443" i="37" a="1"/>
  <c r="AH443" i="37" s="1"/>
  <c r="AH459" i="37" a="1"/>
  <c r="AH459" i="37" s="1"/>
  <c r="AH289" i="37" a="1"/>
  <c r="AH289" i="37" s="1"/>
  <c r="AH475" i="37" a="1"/>
  <c r="AH475" i="37" s="1"/>
  <c r="AH335" i="37" a="1"/>
  <c r="AH335" i="37" s="1"/>
  <c r="AH112" i="37" a="1"/>
  <c r="AH112" i="37" s="1"/>
  <c r="AH422" i="37" a="1"/>
  <c r="AH422" i="37" s="1"/>
  <c r="AH381" i="37" a="1"/>
  <c r="AH381" i="37" s="1"/>
  <c r="AH605" i="37" a="1"/>
  <c r="AH605" i="37" s="1"/>
  <c r="AH616" i="37" a="1"/>
  <c r="AH616" i="37" s="1"/>
  <c r="AH383" i="37" a="1"/>
  <c r="AH383" i="37" s="1"/>
  <c r="AH183" i="37" a="1"/>
  <c r="AH183" i="37" s="1"/>
  <c r="AH433" i="37" a="1"/>
  <c r="AH433" i="37" s="1"/>
  <c r="AH336" i="37" a="1"/>
  <c r="AH336" i="37" s="1"/>
  <c r="AH337" i="37" a="1"/>
  <c r="AH337" i="37" s="1"/>
  <c r="AH386" i="37" a="1"/>
  <c r="AH386" i="37" s="1"/>
  <c r="AH338" i="37" a="1"/>
  <c r="AH338" i="37" s="1"/>
  <c r="AH617" i="37" a="1"/>
  <c r="AH617" i="37" s="1"/>
  <c r="AH389" i="37" a="1"/>
  <c r="AH389" i="37" s="1"/>
  <c r="AH606" i="37" a="1"/>
  <c r="AH606" i="37" s="1"/>
  <c r="AH204" i="37" a="1"/>
  <c r="AH204" i="37" s="1"/>
  <c r="AH291" i="37" a="1"/>
  <c r="AH291" i="37" s="1"/>
  <c r="AH390" i="37" a="1"/>
  <c r="AH390" i="37" s="1"/>
  <c r="AH394" i="37" a="1"/>
  <c r="AH394" i="37" s="1"/>
  <c r="AH398" i="37" a="1"/>
  <c r="AH398" i="37" s="1"/>
  <c r="AH400" i="37" a="1"/>
  <c r="AH400" i="37" s="1"/>
  <c r="AH476" i="37" a="1"/>
  <c r="AH476" i="37" s="1"/>
  <c r="AH399" i="37" a="1"/>
  <c r="AH399" i="37" s="1"/>
  <c r="AH403" i="37" a="1"/>
  <c r="AH403" i="37" s="1"/>
  <c r="AH477" i="37" a="1"/>
  <c r="AH477" i="37" s="1"/>
  <c r="AH408" i="37" a="1"/>
  <c r="AH408" i="37" s="1"/>
  <c r="AH439" i="37" a="1"/>
  <c r="AH439" i="37" s="1"/>
  <c r="AH573" i="37" a="1"/>
  <c r="AH573" i="37" s="1"/>
  <c r="AH413" i="37" a="1"/>
  <c r="AH413" i="37" s="1"/>
  <c r="AH607" i="37" a="1"/>
  <c r="AH607" i="37" s="1"/>
  <c r="AH412" i="37" a="1"/>
  <c r="AH412" i="37" s="1"/>
  <c r="AH113" i="37" a="1"/>
  <c r="AH113" i="37" s="1"/>
  <c r="AH414" i="37" a="1"/>
  <c r="AH414" i="37" s="1"/>
  <c r="AH411" i="37" a="1"/>
  <c r="AH411" i="37" s="1"/>
  <c r="AH138" i="37" a="1"/>
  <c r="AH138" i="37" s="1"/>
  <c r="AH139" i="37" a="1"/>
  <c r="AH139" i="37" s="1"/>
  <c r="AH339" i="37" a="1"/>
  <c r="AH339" i="37" s="1"/>
  <c r="AH478" i="37" a="1"/>
  <c r="AH478" i="37" s="1"/>
  <c r="AH141" i="37" a="1"/>
  <c r="AH141" i="37" s="1"/>
  <c r="AH479" i="37" a="1"/>
  <c r="AH479" i="37" s="1"/>
  <c r="AH340" i="37" a="1"/>
  <c r="AH340" i="37" s="1"/>
  <c r="AH144" i="37" a="1"/>
  <c r="AH144" i="37" s="1"/>
  <c r="AH567" i="37" a="1"/>
  <c r="AH567" i="37" s="1"/>
  <c r="AH586" i="37" a="1"/>
  <c r="AH586" i="37" s="1"/>
  <c r="AH587" i="37" a="1"/>
  <c r="AH587" i="37" s="1"/>
  <c r="AH589" i="37" a="1"/>
  <c r="AH589" i="37" s="1"/>
  <c r="AH625" i="37" a="1"/>
  <c r="AH625" i="37" s="1"/>
  <c r="AH480" i="37" a="1"/>
  <c r="AH480" i="37" s="1"/>
  <c r="AH342" i="37" a="1"/>
  <c r="AH342" i="37" s="1"/>
  <c r="AH253" i="37" a="1"/>
  <c r="AH253" i="37" s="1"/>
  <c r="AH341" i="37" a="1"/>
  <c r="AH341" i="37" s="1"/>
  <c r="AH252" i="37" a="1"/>
  <c r="AH252" i="37" s="1"/>
  <c r="AH482" i="37" a="1"/>
  <c r="AH482" i="37" s="1"/>
  <c r="AH481" i="37" a="1"/>
  <c r="AH481" i="37" s="1"/>
  <c r="AH343" i="37" a="1"/>
  <c r="AH343" i="37" s="1"/>
  <c r="AH251" i="37" a="1"/>
  <c r="AH251" i="37" s="1"/>
  <c r="AH256" i="37" a="1"/>
  <c r="AH256" i="37" s="1"/>
  <c r="AH264" i="37" a="1"/>
  <c r="AH264" i="37" s="1"/>
  <c r="AH593" i="37" a="1"/>
  <c r="AH593" i="37" s="1"/>
  <c r="AH345" i="37" a="1"/>
  <c r="AH345" i="37" s="1"/>
  <c r="AH484" i="37" a="1"/>
  <c r="AH484" i="37" s="1"/>
  <c r="AH483" i="37" a="1"/>
  <c r="AH483" i="37" s="1"/>
  <c r="AH344" i="37" a="1"/>
  <c r="AH344" i="37" s="1"/>
  <c r="AH458" i="37" a="1"/>
  <c r="AH458" i="37" s="1"/>
  <c r="AH486" i="37" a="1"/>
  <c r="AH486" i="37" s="1"/>
  <c r="AH485" i="37" a="1"/>
  <c r="AH485" i="37" s="1"/>
  <c r="AH626" i="37" a="1"/>
  <c r="AH626" i="37" s="1"/>
  <c r="AH346" i="37" a="1"/>
  <c r="AH346" i="37" s="1"/>
  <c r="AH628" i="37" a="1"/>
  <c r="AH628" i="37" s="1"/>
  <c r="AH380" i="37" a="1"/>
  <c r="AH380" i="37" s="1"/>
  <c r="AH382" i="37" a="1"/>
  <c r="AH382" i="37" s="1"/>
  <c r="AH627" i="37" a="1"/>
  <c r="AH627" i="37" s="1"/>
  <c r="AH384" i="37" a="1"/>
  <c r="AH384" i="37" s="1"/>
  <c r="AH387" i="37" a="1"/>
  <c r="AH387" i="37" s="1"/>
  <c r="AH391" i="37" a="1"/>
  <c r="AH391" i="37" s="1"/>
  <c r="AH392" i="37" a="1"/>
  <c r="AH392" i="37" s="1"/>
  <c r="AH393" i="37" a="1"/>
  <c r="AH393" i="37" s="1"/>
  <c r="AH397" i="37" a="1"/>
  <c r="AH397" i="37" s="1"/>
  <c r="AH396" i="37" a="1"/>
  <c r="AH396" i="37" s="1"/>
  <c r="AH401" i="37" a="1"/>
  <c r="AH401" i="37" s="1"/>
  <c r="AH405" i="37" a="1"/>
  <c r="AH405" i="37" s="1"/>
  <c r="AH404" i="37" a="1"/>
  <c r="AH404" i="37" s="1"/>
  <c r="AH406" i="37" a="1"/>
  <c r="AH406" i="37" s="1"/>
  <c r="AH487" i="37" a="1"/>
  <c r="AH487" i="37" s="1"/>
  <c r="AH506" i="37" a="1"/>
  <c r="AH506" i="37" s="1"/>
  <c r="AH620" i="37" a="1"/>
  <c r="AH620" i="37" s="1"/>
  <c r="AH466" i="37" a="1"/>
  <c r="AH466" i="37" s="1"/>
  <c r="AH550" i="37" a="1"/>
  <c r="AH550" i="37" s="1"/>
  <c r="AH498" i="37" a="1"/>
  <c r="AH498" i="37" s="1"/>
  <c r="AH521" i="37" a="1"/>
  <c r="AH521" i="37" s="1"/>
  <c r="AH445" i="37" a="1"/>
  <c r="AH445" i="37" s="1"/>
  <c r="AH184" i="37" a="1"/>
  <c r="AH184" i="37" s="1"/>
  <c r="AH348" i="37" a="1"/>
  <c r="AH348" i="37" s="1"/>
  <c r="AH357" i="37" a="1"/>
  <c r="AH357" i="37" s="1"/>
  <c r="AH640" i="37" a="1"/>
  <c r="AH640" i="37" s="1"/>
  <c r="AH469" i="37" a="1"/>
  <c r="AH469" i="37" s="1"/>
  <c r="AH510" i="37" a="1"/>
  <c r="AH510" i="37" s="1"/>
  <c r="AH511" i="37" a="1"/>
  <c r="AH511" i="37" s="1"/>
  <c r="AH528" i="37" a="1"/>
  <c r="AH528" i="37" s="1"/>
  <c r="AH347" i="37" a="1"/>
  <c r="AH347" i="37" s="1"/>
  <c r="AH436" i="37" a="1"/>
  <c r="AH436" i="37" s="1"/>
  <c r="AH517" i="37" a="1"/>
  <c r="AH517" i="37" s="1"/>
  <c r="AH493" i="37" a="1"/>
  <c r="AH493" i="37" s="1"/>
  <c r="AH467" i="37" a="1"/>
  <c r="AH467" i="37" s="1"/>
  <c r="AH293" i="37" a="1"/>
  <c r="AH293" i="37" s="1"/>
  <c r="AH452" i="37" a="1"/>
  <c r="AH452" i="37" s="1"/>
  <c r="AH358" i="37" a="1"/>
  <c r="AH358" i="37" s="1"/>
  <c r="AH455" i="37" a="1"/>
  <c r="AH455" i="37" s="1"/>
  <c r="AH522" i="37" a="1"/>
  <c r="AH522" i="37" s="1"/>
  <c r="AH351" i="37" a="1"/>
  <c r="AH351" i="37" s="1"/>
  <c r="AH610" i="37" a="1"/>
  <c r="AH610" i="37" s="1"/>
  <c r="AH463" i="37" a="1"/>
  <c r="AH463" i="37" s="1"/>
  <c r="AH490" i="37" a="1"/>
  <c r="AH490" i="37" s="1"/>
  <c r="AH500" i="37" a="1"/>
  <c r="AH500" i="37" s="1"/>
  <c r="AH499" i="37" a="1"/>
  <c r="AH499" i="37" s="1"/>
  <c r="AH523" i="37" a="1"/>
  <c r="AH523" i="37" s="1"/>
  <c r="AH470" i="37" a="1"/>
  <c r="AH470" i="37" s="1"/>
  <c r="AH273" i="37" a="1"/>
  <c r="AH273" i="37" s="1"/>
  <c r="AH489" i="37" a="1"/>
  <c r="AH489" i="37" s="1"/>
  <c r="AH488" i="37" a="1"/>
  <c r="AH488" i="37" s="1"/>
  <c r="AH288" i="37" a="1"/>
  <c r="AH288" i="37" s="1"/>
  <c r="AH292" i="37" a="1"/>
  <c r="AH292" i="37" s="1"/>
  <c r="AH491" i="37" a="1"/>
  <c r="AH491" i="37" s="1"/>
  <c r="AH448" i="37" a="1"/>
  <c r="AH448" i="37" s="1"/>
  <c r="AH494" i="37" a="1"/>
  <c r="AH494" i="37" s="1"/>
  <c r="AH451" i="37" a="1"/>
  <c r="AH451" i="37" s="1"/>
  <c r="AH512" i="37" a="1"/>
  <c r="AH512" i="37" s="1"/>
  <c r="AH525" i="37" a="1"/>
  <c r="AH525" i="37" s="1"/>
  <c r="AH527" i="37" a="1"/>
  <c r="AH527" i="37" s="1"/>
  <c r="AH524" i="37" a="1"/>
  <c r="AH524" i="37" s="1"/>
  <c r="AH639" i="37" a="1"/>
  <c r="AH639" i="37" s="1"/>
  <c r="AH356" i="37" a="1"/>
  <c r="AH356" i="37" s="1"/>
  <c r="AH453" i="37" a="1"/>
  <c r="AH453" i="37" s="1"/>
  <c r="AH460" i="37" a="1"/>
  <c r="AH460" i="37" s="1"/>
  <c r="AH290" i="37" a="1"/>
  <c r="AH290" i="37" s="1"/>
  <c r="AH611" i="37" a="1"/>
  <c r="AH611" i="37" s="1"/>
  <c r="AH492" i="37" a="1"/>
  <c r="AH492" i="37" s="1"/>
  <c r="AH495" i="37" a="1"/>
  <c r="AH495" i="37" s="1"/>
  <c r="AH294" i="37" a="1"/>
  <c r="AH294" i="37" s="1"/>
  <c r="AH496" i="37" a="1"/>
  <c r="AH496" i="37" s="1"/>
  <c r="AH497" i="37" a="1"/>
  <c r="AH497" i="37" s="1"/>
  <c r="AH502" i="37" a="1"/>
  <c r="AH502" i="37" s="1"/>
  <c r="AH446" i="37" a="1"/>
  <c r="AH446" i="37" s="1"/>
  <c r="AH503" i="37" a="1"/>
  <c r="AH503" i="37" s="1"/>
  <c r="AH449" i="37" a="1"/>
  <c r="AH449" i="37" s="1"/>
  <c r="AH631" i="37" a="1"/>
  <c r="AH631" i="37" s="1"/>
  <c r="AH504" i="37" a="1"/>
  <c r="AH504" i="37" s="1"/>
  <c r="AH630" i="37" a="1"/>
  <c r="AH630" i="37" s="1"/>
  <c r="AH629" i="37" a="1"/>
  <c r="AH629" i="37" s="1"/>
  <c r="AH623" i="37" a="1"/>
  <c r="AH623" i="37" s="1"/>
  <c r="AH501" i="37" a="1"/>
  <c r="AH501" i="37" s="1"/>
  <c r="AH505" i="37" a="1"/>
  <c r="AH505" i="37" s="1"/>
  <c r="AH508" i="37" a="1"/>
  <c r="AH508" i="37" s="1"/>
  <c r="AH509" i="37" a="1"/>
  <c r="AH509" i="37" s="1"/>
  <c r="AH513" i="37" a="1"/>
  <c r="AH513" i="37" s="1"/>
  <c r="AH632" i="37" a="1"/>
  <c r="AH632" i="37" s="1"/>
  <c r="AH514" i="37" a="1"/>
  <c r="AH514" i="37" s="1"/>
  <c r="AH515" i="37" a="1"/>
  <c r="AH515" i="37" s="1"/>
  <c r="AH519" i="37" a="1"/>
  <c r="AH519" i="37" s="1"/>
  <c r="AH518" i="37" a="1"/>
  <c r="AH518" i="37" s="1"/>
  <c r="AH520" i="37" a="1"/>
  <c r="AH520" i="37" s="1"/>
  <c r="AH114" i="37" a="1"/>
  <c r="AH114" i="37" s="1"/>
  <c r="AH205" i="37" a="1"/>
  <c r="AH205" i="37" s="1"/>
  <c r="AH349" i="37" a="1"/>
  <c r="AH349" i="37" s="1"/>
  <c r="AH350" i="37" a="1"/>
  <c r="AH350" i="37" s="1"/>
  <c r="AH608" i="37" a="1"/>
  <c r="AH608" i="37" s="1"/>
  <c r="AH609" i="37" a="1"/>
  <c r="AH609" i="37" s="1"/>
  <c r="AH352" i="37" a="1"/>
  <c r="AH352" i="37" s="1"/>
  <c r="AH355" i="37" a="1"/>
  <c r="AH355" i="37" s="1"/>
  <c r="AH353" i="37" a="1"/>
  <c r="AH353" i="37" s="1"/>
  <c r="AH468" i="37" a="1"/>
  <c r="AH468" i="37" s="1"/>
  <c r="AH354" i="37" a="1"/>
  <c r="AH354" i="37" s="1"/>
  <c r="AH295" i="37" a="1"/>
  <c r="AH295" i="37" s="1"/>
  <c r="AH447" i="37" a="1"/>
  <c r="AH447" i="37" s="1"/>
  <c r="AH450" i="37" a="1"/>
  <c r="AH450" i="37" s="1"/>
  <c r="AH454" i="37" a="1"/>
  <c r="AH454" i="37" s="1"/>
  <c r="AH359" i="37" a="1"/>
  <c r="AH359" i="37" s="1"/>
  <c r="AH456" i="37" a="1"/>
  <c r="AH456" i="37" s="1"/>
  <c r="AH457" i="37" a="1"/>
  <c r="AH457" i="37" s="1"/>
  <c r="AH360" i="37" a="1"/>
  <c r="AH360" i="37" s="1"/>
  <c r="AH462" i="37" a="1"/>
  <c r="AH462" i="37" s="1"/>
  <c r="AH461" i="37" a="1"/>
  <c r="AH461" i="37" s="1"/>
  <c r="AH633" i="37" a="1"/>
  <c r="AH633" i="37" s="1"/>
  <c r="AH464" i="37" a="1"/>
  <c r="AH464" i="37" s="1"/>
  <c r="AH624" i="37" a="1"/>
  <c r="AH624" i="37" s="1"/>
  <c r="AH465" i="37" a="1"/>
  <c r="AH465" i="37" s="1"/>
  <c r="AH516" i="37" a="1"/>
  <c r="AH516" i="37" s="1"/>
  <c r="AH634" i="37" a="1"/>
  <c r="AH634" i="37" s="1"/>
  <c r="AH635" i="37" a="1"/>
  <c r="AH635" i="37" s="1"/>
  <c r="AH638" i="37" a="1"/>
  <c r="AH638" i="37" s="1"/>
  <c r="AH637" i="37" a="1"/>
  <c r="AH637" i="37" s="1"/>
  <c r="AH636" i="37" a="1"/>
  <c r="AH636" i="37" s="1"/>
  <c r="AH529" i="37" a="1"/>
  <c r="AH529" i="37" s="1"/>
  <c r="AH530" i="37" a="1"/>
  <c r="AH530" i="37" s="1"/>
  <c r="AH531" i="37" a="1"/>
  <c r="AH531" i="37" s="1"/>
  <c r="AH532" i="37" a="1"/>
  <c r="AH532" i="37" s="1"/>
  <c r="AG2" i="37" a="1"/>
  <c r="AG2" i="37" s="1"/>
  <c r="AG3" i="37" a="1"/>
  <c r="AG3" i="37" s="1"/>
  <c r="AG10" i="37" a="1"/>
  <c r="AG10" i="37" s="1"/>
  <c r="AG534" i="37" a="1"/>
  <c r="AG534" i="37" s="1"/>
  <c r="AG533" i="37" a="1"/>
  <c r="AG533" i="37" s="1"/>
  <c r="AG6" i="37" a="1"/>
  <c r="AG6" i="37" s="1"/>
  <c r="AG5" i="37" a="1"/>
  <c r="AG5" i="37" s="1"/>
  <c r="AG11" i="37" a="1"/>
  <c r="AG11" i="37" s="1"/>
  <c r="AG4" i="37" a="1"/>
  <c r="AG4" i="37" s="1"/>
  <c r="AG23" i="37" a="1"/>
  <c r="AG23" i="37" s="1"/>
  <c r="AG7" i="37" a="1"/>
  <c r="AG7" i="37" s="1"/>
  <c r="AG13" i="37" a="1"/>
  <c r="AG13" i="37" s="1"/>
  <c r="AG24" i="37" a="1"/>
  <c r="AG24" i="37" s="1"/>
  <c r="AG36" i="37" a="1"/>
  <c r="AG36" i="37" s="1"/>
  <c r="AG25" i="37" a="1"/>
  <c r="AG25" i="37" s="1"/>
  <c r="AG37" i="37" a="1"/>
  <c r="AG37" i="37" s="1"/>
  <c r="AG20" i="37" a="1"/>
  <c r="AG20" i="37" s="1"/>
  <c r="AG14" i="37" a="1"/>
  <c r="AG14" i="37" s="1"/>
  <c r="AG15" i="37" a="1"/>
  <c r="AG15" i="37" s="1"/>
  <c r="AG19" i="37" a="1"/>
  <c r="AG19" i="37" s="1"/>
  <c r="AG22" i="37" a="1"/>
  <c r="AG22" i="37" s="1"/>
  <c r="AG26" i="37" a="1"/>
  <c r="AG26" i="37" s="1"/>
  <c r="AG537" i="37" a="1"/>
  <c r="AG537" i="37" s="1"/>
  <c r="AG27" i="37" a="1"/>
  <c r="AG27" i="37" s="1"/>
  <c r="AG21" i="37" a="1"/>
  <c r="AG21" i="37" s="1"/>
  <c r="AG38" i="37" a="1"/>
  <c r="AG38" i="37" s="1"/>
  <c r="AG538" i="37" a="1"/>
  <c r="AG538" i="37" s="1"/>
  <c r="AG28" i="37" a="1"/>
  <c r="AG28" i="37" s="1"/>
  <c r="AG16" i="37" a="1"/>
  <c r="AG16" i="37" s="1"/>
  <c r="AG39" i="37" a="1"/>
  <c r="AG39" i="37" s="1"/>
  <c r="AG40" i="37" a="1"/>
  <c r="AG40" i="37" s="1"/>
  <c r="AG29" i="37" a="1"/>
  <c r="AG29" i="37" s="1"/>
  <c r="AG41" i="37" a="1"/>
  <c r="AG41" i="37" s="1"/>
  <c r="AG33" i="37" a="1"/>
  <c r="AG33" i="37" s="1"/>
  <c r="AG42" i="37" a="1"/>
  <c r="AG42" i="37" s="1"/>
  <c r="AG539" i="37" a="1"/>
  <c r="AG539" i="37" s="1"/>
  <c r="AG85" i="37" a="1"/>
  <c r="AG85" i="37" s="1"/>
  <c r="AG43" i="37" a="1"/>
  <c r="AG43" i="37" s="1"/>
  <c r="AG44" i="37" a="1"/>
  <c r="AG44" i="37" s="1"/>
  <c r="AG535" i="37" a="1"/>
  <c r="AG535" i="37" s="1"/>
  <c r="AG45" i="37" a="1"/>
  <c r="AG45" i="37" s="1"/>
  <c r="AG17" i="37" a="1"/>
  <c r="AG17" i="37" s="1"/>
  <c r="AG70" i="37" a="1"/>
  <c r="AG70" i="37" s="1"/>
  <c r="AG30" i="37" a="1"/>
  <c r="AG30" i="37" s="1"/>
  <c r="AG18" i="37" a="1"/>
  <c r="AG18" i="37" s="1"/>
  <c r="AG62" i="37" a="1"/>
  <c r="AG62" i="37" s="1"/>
  <c r="AG57" i="37" a="1"/>
  <c r="AG57" i="37" s="1"/>
  <c r="AG46" i="37" a="1"/>
  <c r="AG46" i="37" s="1"/>
  <c r="AG61" i="37" a="1"/>
  <c r="AG61" i="37" s="1"/>
  <c r="AG71" i="37" a="1"/>
  <c r="AG71" i="37" s="1"/>
  <c r="AG31" i="37" a="1"/>
  <c r="AG31" i="37" s="1"/>
  <c r="AG541" i="37" a="1"/>
  <c r="AG541" i="37" s="1"/>
  <c r="AG56" i="37" a="1"/>
  <c r="AG56" i="37" s="1"/>
  <c r="AG536" i="37" a="1"/>
  <c r="AG536" i="37" s="1"/>
  <c r="AG47" i="37" a="1"/>
  <c r="AG47" i="37" s="1"/>
  <c r="AG86" i="37" a="1"/>
  <c r="AG86" i="37" s="1"/>
  <c r="AG72" i="37" a="1"/>
  <c r="AG72" i="37" s="1"/>
  <c r="AG48" i="37" a="1"/>
  <c r="AG48" i="37" s="1"/>
  <c r="AG547" i="37" a="1"/>
  <c r="AG547" i="37" s="1"/>
  <c r="AG115" i="37" a="1"/>
  <c r="AG115" i="37" s="1"/>
  <c r="AG562" i="37" a="1"/>
  <c r="AG562" i="37" s="1"/>
  <c r="AG58" i="37" a="1"/>
  <c r="AG58" i="37" s="1"/>
  <c r="AG63" i="37" a="1"/>
  <c r="AG63" i="37" s="1"/>
  <c r="AG34" i="37" a="1"/>
  <c r="AG34" i="37" s="1"/>
  <c r="AG540" i="37" a="1"/>
  <c r="AG540" i="37" s="1"/>
  <c r="AG116" i="37" a="1"/>
  <c r="AG116" i="37" s="1"/>
  <c r="AG12" i="37" a="1"/>
  <c r="AG12" i="37" s="1"/>
  <c r="AG32" i="37" a="1"/>
  <c r="AG32" i="37" s="1"/>
  <c r="AG73" i="37" a="1"/>
  <c r="AG73" i="37" s="1"/>
  <c r="AG74" i="37" a="1"/>
  <c r="AG74" i="37" s="1"/>
  <c r="AG542" i="37" a="1"/>
  <c r="AG542" i="37" s="1"/>
  <c r="AG75" i="37" a="1"/>
  <c r="AG75" i="37" s="1"/>
  <c r="AG543" i="37" a="1"/>
  <c r="AG543" i="37" s="1"/>
  <c r="AG117" i="37" a="1"/>
  <c r="AG117" i="37" s="1"/>
  <c r="AG546" i="37" a="1"/>
  <c r="AG546" i="37" s="1"/>
  <c r="AG99" i="37" a="1"/>
  <c r="AG99" i="37" s="1"/>
  <c r="AG67" i="37" a="1"/>
  <c r="AG67" i="37" s="1"/>
  <c r="AG100" i="37" a="1"/>
  <c r="AG100" i="37" s="1"/>
  <c r="AG68" i="37" a="1"/>
  <c r="AG68" i="37" s="1"/>
  <c r="AG64" i="37" a="1"/>
  <c r="AG64" i="37" s="1"/>
  <c r="AG101" i="37" a="1"/>
  <c r="AG101" i="37" s="1"/>
  <c r="AG65" i="37" a="1"/>
  <c r="AG65" i="37" s="1"/>
  <c r="AG92" i="37" a="1"/>
  <c r="AG92" i="37" s="1"/>
  <c r="AG49" i="37" a="1"/>
  <c r="AG49" i="37" s="1"/>
  <c r="AG185" i="37" a="1"/>
  <c r="AG185" i="37" s="1"/>
  <c r="AG163" i="37" a="1"/>
  <c r="AG163" i="37" s="1"/>
  <c r="AG76" i="37" a="1"/>
  <c r="AG76" i="37" s="1"/>
  <c r="AG87" i="37" a="1"/>
  <c r="AG87" i="37" s="1"/>
  <c r="AG82" i="37" a="1"/>
  <c r="AG82" i="37" s="1"/>
  <c r="AG88" i="37" a="1"/>
  <c r="AG88" i="37" s="1"/>
  <c r="AG554" i="37" a="1"/>
  <c r="AG554" i="37" s="1"/>
  <c r="AG93" i="37" a="1"/>
  <c r="AG93" i="37" s="1"/>
  <c r="AG118" i="37" a="1"/>
  <c r="AG118" i="37" s="1"/>
  <c r="AG83" i="37" a="1"/>
  <c r="AG83" i="37" s="1"/>
  <c r="AG164" i="37" a="1"/>
  <c r="AG164" i="37" s="1"/>
  <c r="AG119" i="37" a="1"/>
  <c r="AG119" i="37" s="1"/>
  <c r="AG549" i="37" a="1"/>
  <c r="AG549" i="37" s="1"/>
  <c r="AG50" i="37" a="1"/>
  <c r="AG50" i="37" s="1"/>
  <c r="AG120" i="37" a="1"/>
  <c r="AG120" i="37" s="1"/>
  <c r="AG121" i="37" a="1"/>
  <c r="AG121" i="37" s="1"/>
  <c r="AG84" i="37" a="1"/>
  <c r="AG84" i="37" s="1"/>
  <c r="AG165" i="37" a="1"/>
  <c r="AG165" i="37" s="1"/>
  <c r="AG206" i="37" a="1"/>
  <c r="AG206" i="37" s="1"/>
  <c r="AG89" i="37" a="1"/>
  <c r="AG89" i="37" s="1"/>
  <c r="AG574" i="37" a="1"/>
  <c r="AG574" i="37" s="1"/>
  <c r="AG166" i="37" a="1"/>
  <c r="AG166" i="37" s="1"/>
  <c r="AG167" i="37" a="1"/>
  <c r="AG167" i="37" s="1"/>
  <c r="AG77" i="37" a="1"/>
  <c r="AG77" i="37" s="1"/>
  <c r="AG123" i="37" a="1"/>
  <c r="AG123" i="37" s="1"/>
  <c r="AG122" i="37" a="1"/>
  <c r="AG122" i="37" s="1"/>
  <c r="AG575" i="37" a="1"/>
  <c r="AG575" i="37" s="1"/>
  <c r="AG96" i="37" a="1"/>
  <c r="AG96" i="37" s="1"/>
  <c r="AG186" i="37" a="1"/>
  <c r="AG186" i="37" s="1"/>
  <c r="AG176" i="37" a="1"/>
  <c r="AG176" i="37" s="1"/>
  <c r="AG151" i="37" a="1"/>
  <c r="AG151" i="37" s="1"/>
  <c r="AG97" i="37" a="1"/>
  <c r="AG97" i="37" s="1"/>
  <c r="AG274" i="37" a="1"/>
  <c r="AG274" i="37" s="1"/>
  <c r="AG545" i="37" a="1"/>
  <c r="AG545" i="37" s="1"/>
  <c r="AG187" i="37" a="1"/>
  <c r="AG187" i="37" s="1"/>
  <c r="AG207" i="37" a="1"/>
  <c r="AG207" i="37" s="1"/>
  <c r="AG9" i="37" a="1"/>
  <c r="AG9" i="37" s="1"/>
  <c r="AG570" i="37" a="1"/>
  <c r="AG570" i="37" s="1"/>
  <c r="AG296" i="37" a="1"/>
  <c r="AG296" i="37" s="1"/>
  <c r="AG102" i="37" a="1"/>
  <c r="AG102" i="37" s="1"/>
  <c r="AG66" i="37" a="1"/>
  <c r="AG66" i="37" s="1"/>
  <c r="AG177" i="37" a="1"/>
  <c r="AG177" i="37" s="1"/>
  <c r="AG297" i="37" a="1"/>
  <c r="AG297" i="37" s="1"/>
  <c r="AG576" i="37" a="1"/>
  <c r="AG576" i="37" s="1"/>
  <c r="AG156" i="37" a="1"/>
  <c r="AG156" i="37" s="1"/>
  <c r="AG188" i="37" a="1"/>
  <c r="AG188" i="37" s="1"/>
  <c r="AG189" i="37" a="1"/>
  <c r="AG189" i="37" s="1"/>
  <c r="AG103" i="37" a="1"/>
  <c r="AG103" i="37" s="1"/>
  <c r="AG190" i="37" a="1"/>
  <c r="AG190" i="37" s="1"/>
  <c r="AG152" i="37" a="1"/>
  <c r="AG152" i="37" s="1"/>
  <c r="AG208" i="37" a="1"/>
  <c r="AG208" i="37" s="1"/>
  <c r="AG209" i="37" a="1"/>
  <c r="AG209" i="37" s="1"/>
  <c r="AG210" i="37" a="1"/>
  <c r="AG210" i="37" s="1"/>
  <c r="AG596" i="37" a="1"/>
  <c r="AG596" i="37" s="1"/>
  <c r="AG168" i="37" a="1"/>
  <c r="AG168" i="37" s="1"/>
  <c r="AG568" i="37" a="1"/>
  <c r="AG568" i="37" s="1"/>
  <c r="AG124" i="37" a="1"/>
  <c r="AG124" i="37" s="1"/>
  <c r="AG571" i="37" a="1"/>
  <c r="AG571" i="37" s="1"/>
  <c r="AG175" i="37" a="1"/>
  <c r="AG175" i="37" s="1"/>
  <c r="AG211" i="37" a="1"/>
  <c r="AG211" i="37" s="1"/>
  <c r="AG104" i="37" a="1"/>
  <c r="AG104" i="37" s="1"/>
  <c r="AG125" i="37" a="1"/>
  <c r="AG125" i="37" s="1"/>
  <c r="AG105" i="37" a="1"/>
  <c r="AG105" i="37" s="1"/>
  <c r="AG126" i="37" a="1"/>
  <c r="AG126" i="37" s="1"/>
  <c r="AG548" i="37" a="1"/>
  <c r="AG548" i="37" s="1"/>
  <c r="AG191" i="37" a="1"/>
  <c r="AG191" i="37" s="1"/>
  <c r="AG563" i="37" a="1"/>
  <c r="AG563" i="37" s="1"/>
  <c r="AG213" i="37" a="1"/>
  <c r="AG213" i="37" s="1"/>
  <c r="AG298" i="37" a="1"/>
  <c r="AG298" i="37" s="1"/>
  <c r="AG106" i="37" a="1"/>
  <c r="AG106" i="37" s="1"/>
  <c r="AG212" i="37" a="1"/>
  <c r="AG212" i="37" s="1"/>
  <c r="AG564" i="37" a="1"/>
  <c r="AG564" i="37" s="1"/>
  <c r="AG577" i="37" a="1"/>
  <c r="AG577" i="37" s="1"/>
  <c r="AG107" i="37" a="1"/>
  <c r="AG107" i="37" s="1"/>
  <c r="AG157" i="37" a="1"/>
  <c r="AG157" i="37" s="1"/>
  <c r="AG214" i="37" a="1"/>
  <c r="AG214" i="37" s="1"/>
  <c r="AG158" i="37" a="1"/>
  <c r="AG158" i="37" s="1"/>
  <c r="AG578" i="37" a="1"/>
  <c r="AG578" i="37" s="1"/>
  <c r="AG215" i="37" a="1"/>
  <c r="AG215" i="37" s="1"/>
  <c r="AG155" i="37" a="1"/>
  <c r="AG155" i="37" s="1"/>
  <c r="AG216" i="37" a="1"/>
  <c r="AG216" i="37" s="1"/>
  <c r="AG217" i="37" a="1"/>
  <c r="AG217" i="37" s="1"/>
  <c r="AG127" i="37" a="1"/>
  <c r="AG127" i="37" s="1"/>
  <c r="AG90" i="37" a="1"/>
  <c r="AG90" i="37" s="1"/>
  <c r="AG153" i="37" a="1"/>
  <c r="AG153" i="37" s="1"/>
  <c r="AG128" i="37" a="1"/>
  <c r="AG128" i="37" s="1"/>
  <c r="AG299" i="37" a="1"/>
  <c r="AG299" i="37" s="1"/>
  <c r="AG192" i="37" a="1"/>
  <c r="AG192" i="37" s="1"/>
  <c r="AG129" i="37" a="1"/>
  <c r="AG129" i="37" s="1"/>
  <c r="AG565" i="37" a="1"/>
  <c r="AG565" i="37" s="1"/>
  <c r="AG130" i="37" a="1"/>
  <c r="AG130" i="37" s="1"/>
  <c r="AG218" i="37" a="1"/>
  <c r="AG218" i="37" s="1"/>
  <c r="AG131" i="37" a="1"/>
  <c r="AG131" i="37" s="1"/>
  <c r="AG154" i="37" a="1"/>
  <c r="AG154" i="37" s="1"/>
  <c r="AG555" i="37" a="1"/>
  <c r="AG555" i="37" s="1"/>
  <c r="AG579" i="37" a="1"/>
  <c r="AG579" i="37" s="1"/>
  <c r="AG132" i="37" a="1"/>
  <c r="AG132" i="37" s="1"/>
  <c r="AG580" i="37" a="1"/>
  <c r="AG580" i="37" s="1"/>
  <c r="AG219" i="37" a="1"/>
  <c r="AG219" i="37" s="1"/>
  <c r="AG133" i="37" a="1"/>
  <c r="AG133" i="37" s="1"/>
  <c r="AG134" i="37" a="1"/>
  <c r="AG134" i="37" s="1"/>
  <c r="AG599" i="37" a="1"/>
  <c r="AG599" i="37" s="1"/>
  <c r="AG220" i="37" a="1"/>
  <c r="AG220" i="37" s="1"/>
  <c r="AG221" i="37" a="1"/>
  <c r="AG221" i="37" s="1"/>
  <c r="AG59" i="37" a="1"/>
  <c r="AG59" i="37" s="1"/>
  <c r="AG222" i="37" a="1"/>
  <c r="AG222" i="37" s="1"/>
  <c r="AG223" i="37" a="1"/>
  <c r="AG223" i="37" s="1"/>
  <c r="AG275" i="37" a="1"/>
  <c r="AG275" i="37" s="1"/>
  <c r="AG51" i="37" a="1"/>
  <c r="AG51" i="37" s="1"/>
  <c r="AG224" i="37" a="1"/>
  <c r="AG224" i="37" s="1"/>
  <c r="AG78" i="37" a="1"/>
  <c r="AG78" i="37" s="1"/>
  <c r="AG225" i="37" a="1"/>
  <c r="AG225" i="37" s="1"/>
  <c r="AG35" i="37" a="1"/>
  <c r="AG35" i="37" s="1"/>
  <c r="AG226" i="37" a="1"/>
  <c r="AG226" i="37" s="1"/>
  <c r="AG169" i="37" a="1"/>
  <c r="AG169" i="37" s="1"/>
  <c r="AG170" i="37" a="1"/>
  <c r="AG170" i="37" s="1"/>
  <c r="AG557" i="37" a="1"/>
  <c r="AG557" i="37" s="1"/>
  <c r="AG361" i="37" a="1"/>
  <c r="AG361" i="37" s="1"/>
  <c r="AG558" i="37" a="1"/>
  <c r="AG558" i="37" s="1"/>
  <c r="AG227" i="37" a="1"/>
  <c r="AG227" i="37" s="1"/>
  <c r="AG556" i="37" a="1"/>
  <c r="AG556" i="37" s="1"/>
  <c r="AG228" i="37" a="1"/>
  <c r="AG228" i="37" s="1"/>
  <c r="AG171" i="37" a="1"/>
  <c r="AG171" i="37" s="1"/>
  <c r="AG178" i="37" a="1"/>
  <c r="AG178" i="37" s="1"/>
  <c r="AG595" i="37" a="1"/>
  <c r="AG595" i="37" s="1"/>
  <c r="AG193" i="37" a="1"/>
  <c r="AG193" i="37" s="1"/>
  <c r="AG69" i="37" a="1"/>
  <c r="AG69" i="37" s="1"/>
  <c r="AG179" i="37" a="1"/>
  <c r="AG179" i="37" s="1"/>
  <c r="AG135" i="37" a="1"/>
  <c r="AG135" i="37" s="1"/>
  <c r="AG108" i="37" a="1"/>
  <c r="AG108" i="37" s="1"/>
  <c r="AG300" i="37" a="1"/>
  <c r="AG300" i="37" s="1"/>
  <c r="AG98" i="37" a="1"/>
  <c r="AG98" i="37" s="1"/>
  <c r="AG159" i="37" a="1"/>
  <c r="AG159" i="37" s="1"/>
  <c r="AG597" i="37" a="1"/>
  <c r="AG597" i="37" s="1"/>
  <c r="AG560" i="37" a="1"/>
  <c r="AG560" i="37" s="1"/>
  <c r="AG79" i="37" a="1"/>
  <c r="AG79" i="37" s="1"/>
  <c r="AG279" i="37" a="1"/>
  <c r="AG279" i="37" s="1"/>
  <c r="AG569" i="37" a="1"/>
  <c r="AG569" i="37" s="1"/>
  <c r="AG229" i="37" a="1"/>
  <c r="AG229" i="37" s="1"/>
  <c r="AG230" i="37" a="1"/>
  <c r="AG230" i="37" s="1"/>
  <c r="AG301" i="37" a="1"/>
  <c r="AG301" i="37" s="1"/>
  <c r="AG437" i="37" a="1"/>
  <c r="AG437" i="37" s="1"/>
  <c r="AG160" i="37" a="1"/>
  <c r="AG160" i="37" s="1"/>
  <c r="AG280" i="37" a="1"/>
  <c r="AG280" i="37" s="1"/>
  <c r="AG302" i="37" a="1"/>
  <c r="AG302" i="37" s="1"/>
  <c r="AG231" i="37" a="1"/>
  <c r="AG231" i="37" s="1"/>
  <c r="AG303" i="37" a="1"/>
  <c r="AG303" i="37" s="1"/>
  <c r="AG304" i="37" a="1"/>
  <c r="AG304" i="37" s="1"/>
  <c r="AG305" i="37" a="1"/>
  <c r="AG305" i="37" s="1"/>
  <c r="AG194" i="37" a="1"/>
  <c r="AG194" i="37" s="1"/>
  <c r="AG265" i="37" a="1"/>
  <c r="AG265" i="37" s="1"/>
  <c r="AG306" i="37" a="1"/>
  <c r="AG306" i="37" s="1"/>
  <c r="AG232" i="37" a="1"/>
  <c r="AG232" i="37" s="1"/>
  <c r="AG195" i="37" a="1"/>
  <c r="AG195" i="37" s="1"/>
  <c r="AG598" i="37" a="1"/>
  <c r="AG598" i="37" s="1"/>
  <c r="AG281" i="37" a="1"/>
  <c r="AG281" i="37" s="1"/>
  <c r="AG600" i="37" a="1"/>
  <c r="AG600" i="37" s="1"/>
  <c r="AG80" i="37" a="1"/>
  <c r="AG80" i="37" s="1"/>
  <c r="AG270" i="37" a="1"/>
  <c r="AG270" i="37" s="1"/>
  <c r="AG180" i="37" a="1"/>
  <c r="AG180" i="37" s="1"/>
  <c r="AG307" i="37" a="1"/>
  <c r="AG307" i="37" s="1"/>
  <c r="AG267" i="37" a="1"/>
  <c r="AG267" i="37" s="1"/>
  <c r="AG196" i="37" a="1"/>
  <c r="AG196" i="37" s="1"/>
  <c r="AG269" i="37" a="1"/>
  <c r="AG269" i="37" s="1"/>
  <c r="AG198" i="37" a="1"/>
  <c r="AG198" i="37" s="1"/>
  <c r="AG282" i="37" a="1"/>
  <c r="AG282" i="37" s="1"/>
  <c r="AG308" i="37" a="1"/>
  <c r="AG308" i="37" s="1"/>
  <c r="AG471" i="37" a="1"/>
  <c r="AG471" i="37" s="1"/>
  <c r="AG283" i="37" a="1"/>
  <c r="AG283" i="37" s="1"/>
  <c r="AG161" i="37" a="1"/>
  <c r="AG161" i="37" s="1"/>
  <c r="AG581" i="37" a="1"/>
  <c r="AG581" i="37" s="1"/>
  <c r="AG234" i="37" a="1"/>
  <c r="AG234" i="37" s="1"/>
  <c r="AG233" i="37" a="1"/>
  <c r="AG233" i="37" s="1"/>
  <c r="AG235" i="37" a="1"/>
  <c r="AG235" i="37" s="1"/>
  <c r="AG268" i="37" a="1"/>
  <c r="AG268" i="37" s="1"/>
  <c r="AG199" i="37" a="1"/>
  <c r="AG199" i="37" s="1"/>
  <c r="AG236" i="37" a="1"/>
  <c r="AG236" i="37" s="1"/>
  <c r="AG582" i="37" a="1"/>
  <c r="AG582" i="37" s="1"/>
  <c r="AG237" i="37" a="1"/>
  <c r="AG237" i="37" s="1"/>
  <c r="AG238" i="37" a="1"/>
  <c r="AG238" i="37" s="1"/>
  <c r="AG583" i="37" a="1"/>
  <c r="AG583" i="37" s="1"/>
  <c r="AG172" i="37" a="1"/>
  <c r="AG172" i="37" s="1"/>
  <c r="AG239" i="37" a="1"/>
  <c r="AG239" i="37" s="1"/>
  <c r="AG363" i="37" a="1"/>
  <c r="AG363" i="37" s="1"/>
  <c r="AG364" i="37" a="1"/>
  <c r="AG364" i="37" s="1"/>
  <c r="AG362" i="37" a="1"/>
  <c r="AG362" i="37" s="1"/>
  <c r="AG594" i="37" a="1"/>
  <c r="AG594" i="37" s="1"/>
  <c r="AG612" i="37" a="1"/>
  <c r="AG612" i="37" s="1"/>
  <c r="AG266" i="37" a="1"/>
  <c r="AG266" i="37" s="1"/>
  <c r="AG309" i="37" a="1"/>
  <c r="AG309" i="37" s="1"/>
  <c r="AG365" i="37" a="1"/>
  <c r="AG365" i="37" s="1"/>
  <c r="AG240" i="37" a="1"/>
  <c r="AG240" i="37" s="1"/>
  <c r="AG91" i="37" a="1"/>
  <c r="AG91" i="37" s="1"/>
  <c r="AG613" i="37" a="1"/>
  <c r="AG613" i="37" s="1"/>
  <c r="AG551" i="37" a="1"/>
  <c r="AG551" i="37" s="1"/>
  <c r="AG271" i="37" a="1"/>
  <c r="AG271" i="37" s="1"/>
  <c r="AG584" i="37" a="1"/>
  <c r="AG584" i="37" s="1"/>
  <c r="AG52" i="37" a="1"/>
  <c r="AG52" i="37" s="1"/>
  <c r="AG366" i="37" a="1"/>
  <c r="AG366" i="37" s="1"/>
  <c r="AG241" i="37" a="1"/>
  <c r="AG241" i="37" s="1"/>
  <c r="AG614" i="37" a="1"/>
  <c r="AG614" i="37" s="1"/>
  <c r="AG367" i="37" a="1"/>
  <c r="AG367" i="37" s="1"/>
  <c r="AG544" i="37" a="1"/>
  <c r="AG544" i="37" s="1"/>
  <c r="AG136" i="37" a="1"/>
  <c r="AG136" i="37" s="1"/>
  <c r="AG585" i="37" a="1"/>
  <c r="AG585" i="37" s="1"/>
  <c r="AG371" i="37" a="1"/>
  <c r="AG371" i="37" s="1"/>
  <c r="AG369" i="37" a="1"/>
  <c r="AG369" i="37" s="1"/>
  <c r="AG615" i="37" a="1"/>
  <c r="AG615" i="37" s="1"/>
  <c r="AG368" i="37" a="1"/>
  <c r="AG368" i="37" s="1"/>
  <c r="AG370" i="37" a="1"/>
  <c r="AG370" i="37" s="1"/>
  <c r="AG242" i="37" a="1"/>
  <c r="AG242" i="37" s="1"/>
  <c r="AG244" i="37" a="1"/>
  <c r="AG244" i="37" s="1"/>
  <c r="AG372" i="37" a="1"/>
  <c r="AG372" i="37" s="1"/>
  <c r="AG566" i="37" a="1"/>
  <c r="AG566" i="37" s="1"/>
  <c r="AG243" i="37" a="1"/>
  <c r="AG243" i="37" s="1"/>
  <c r="AG407" i="37" a="1"/>
  <c r="AG407" i="37" s="1"/>
  <c r="AG8" i="37" a="1"/>
  <c r="AG8" i="37" s="1"/>
  <c r="AG310" i="37" a="1"/>
  <c r="AG310" i="37" s="1"/>
  <c r="AG385" i="37" a="1"/>
  <c r="AG385" i="37" s="1"/>
  <c r="AG94" i="37" a="1"/>
  <c r="AG94" i="37" s="1"/>
  <c r="AG55" i="37" a="1"/>
  <c r="AG55" i="37" s="1"/>
  <c r="AG258" i="37" a="1"/>
  <c r="AG258" i="37" s="1"/>
  <c r="AG137" i="37" a="1"/>
  <c r="AG137" i="37" s="1"/>
  <c r="AG54" i="37" a="1"/>
  <c r="AG54" i="37" s="1"/>
  <c r="AG418" i="37" a="1"/>
  <c r="AG418" i="37" s="1"/>
  <c r="AG174" i="37" a="1"/>
  <c r="AG174" i="37" s="1"/>
  <c r="AG311" i="37" a="1"/>
  <c r="AG311" i="37" s="1"/>
  <c r="AG416" i="37" a="1"/>
  <c r="AG416" i="37" s="1"/>
  <c r="AG312" i="37" a="1"/>
  <c r="AG312" i="37" s="1"/>
  <c r="AG145" i="37" a="1"/>
  <c r="AG145" i="37" s="1"/>
  <c r="AG278" i="37" a="1"/>
  <c r="AG278" i="37" s="1"/>
  <c r="AG181" i="37" a="1"/>
  <c r="AG181" i="37" s="1"/>
  <c r="AG375" i="37" a="1"/>
  <c r="AG375" i="37" s="1"/>
  <c r="AG146" i="37" a="1"/>
  <c r="AG146" i="37" s="1"/>
  <c r="AG388" i="37" a="1"/>
  <c r="AG388" i="37" s="1"/>
  <c r="AG419" i="37" a="1"/>
  <c r="AG419" i="37" s="1"/>
  <c r="AG60" i="37" a="1"/>
  <c r="AG60" i="37" s="1"/>
  <c r="AG81" i="37" a="1"/>
  <c r="AG81" i="37" s="1"/>
  <c r="AG149" i="37" a="1"/>
  <c r="AG149" i="37" s="1"/>
  <c r="AG246" i="37" a="1"/>
  <c r="AG246" i="37" s="1"/>
  <c r="AG590" i="37" a="1"/>
  <c r="AG590" i="37" s="1"/>
  <c r="AG254" i="37" a="1"/>
  <c r="AG254" i="37" s="1"/>
  <c r="AG373" i="37" a="1"/>
  <c r="AG373" i="37" s="1"/>
  <c r="AG376" i="37" a="1"/>
  <c r="AG376" i="37" s="1"/>
  <c r="AG378" i="37" a="1"/>
  <c r="AG378" i="37" s="1"/>
  <c r="AG410" i="37" a="1"/>
  <c r="AG410" i="37" s="1"/>
  <c r="AG409" i="37" a="1"/>
  <c r="AG409" i="37" s="1"/>
  <c r="AG420" i="37" a="1"/>
  <c r="AG420" i="37" s="1"/>
  <c r="AG248" i="37" a="1"/>
  <c r="AG248" i="37" s="1"/>
  <c r="AG247" i="37" a="1"/>
  <c r="AG247" i="37" s="1"/>
  <c r="AG259" i="37" a="1"/>
  <c r="AG259" i="37" s="1"/>
  <c r="AG402" i="37" a="1"/>
  <c r="AG402" i="37" s="1"/>
  <c r="AG415" i="37" a="1"/>
  <c r="AG415" i="37" s="1"/>
  <c r="AG417" i="37" a="1"/>
  <c r="AG417" i="37" s="1"/>
  <c r="AG53" i="37" a="1"/>
  <c r="AG53" i="37" s="1"/>
  <c r="AG140" i="37" a="1"/>
  <c r="AG140" i="37" s="1"/>
  <c r="AG142" i="37" a="1"/>
  <c r="AG142" i="37" s="1"/>
  <c r="AG109" i="37" a="1"/>
  <c r="AG109" i="37" s="1"/>
  <c r="AG313" i="37" a="1"/>
  <c r="AG313" i="37" s="1"/>
  <c r="AG314" i="37" a="1"/>
  <c r="AG314" i="37" s="1"/>
  <c r="AG601" i="37" a="1"/>
  <c r="AG601" i="37" s="1"/>
  <c r="AG315" i="37" a="1"/>
  <c r="AG315" i="37" s="1"/>
  <c r="AG618" i="37" a="1"/>
  <c r="AG618" i="37" s="1"/>
  <c r="AG143" i="37" a="1"/>
  <c r="AG143" i="37" s="1"/>
  <c r="AG622" i="37" a="1"/>
  <c r="AG622" i="37" s="1"/>
  <c r="AG316" i="37" a="1"/>
  <c r="AG316" i="37" s="1"/>
  <c r="AG552" i="37" a="1"/>
  <c r="AG552" i="37" s="1"/>
  <c r="AG317" i="37" a="1"/>
  <c r="AG317" i="37" s="1"/>
  <c r="AG182" i="37" a="1"/>
  <c r="AG182" i="37" s="1"/>
  <c r="AG200" i="37" a="1"/>
  <c r="AG200" i="37" s="1"/>
  <c r="AG284" i="37" a="1"/>
  <c r="AG284" i="37" s="1"/>
  <c r="AG427" i="37" a="1"/>
  <c r="AG427" i="37" s="1"/>
  <c r="AG147" i="37" a="1"/>
  <c r="AG147" i="37" s="1"/>
  <c r="AG173" i="37" a="1"/>
  <c r="AG173" i="37" s="1"/>
  <c r="AG318" i="37" a="1"/>
  <c r="AG318" i="37" s="1"/>
  <c r="AG435" i="37" a="1"/>
  <c r="AG435" i="37" s="1"/>
  <c r="AG285" i="37" a="1"/>
  <c r="AG285" i="37" s="1"/>
  <c r="AG602" i="37" a="1"/>
  <c r="AG602" i="37" s="1"/>
  <c r="AG319" i="37" a="1"/>
  <c r="AG319" i="37" s="1"/>
  <c r="AG148" i="37" a="1"/>
  <c r="AG148" i="37" s="1"/>
  <c r="AG320" i="37" a="1"/>
  <c r="AG320" i="37" s="1"/>
  <c r="AG321" i="37" a="1"/>
  <c r="AG321" i="37" s="1"/>
  <c r="AG150" i="37" a="1"/>
  <c r="AG150" i="37" s="1"/>
  <c r="AG322" i="37" a="1"/>
  <c r="AG322" i="37" s="1"/>
  <c r="AG323" i="37" a="1"/>
  <c r="AG323" i="37" s="1"/>
  <c r="AG621" i="37" a="1"/>
  <c r="AG621" i="37" s="1"/>
  <c r="AG424" i="37" a="1"/>
  <c r="AG424" i="37" s="1"/>
  <c r="AG201" i="37" a="1"/>
  <c r="AG201" i="37" s="1"/>
  <c r="AG440" i="37" a="1"/>
  <c r="AG440" i="37" s="1"/>
  <c r="AG110" i="37" a="1"/>
  <c r="AG110" i="37" s="1"/>
  <c r="AG286" i="37" a="1"/>
  <c r="AG286" i="37" s="1"/>
  <c r="AG325" i="37" a="1"/>
  <c r="AG325" i="37" s="1"/>
  <c r="AG423" i="37" a="1"/>
  <c r="AG423" i="37" s="1"/>
  <c r="AG431" i="37" a="1"/>
  <c r="AG431" i="37" s="1"/>
  <c r="AG421" i="37" a="1"/>
  <c r="AG421" i="37" s="1"/>
  <c r="AG245" i="37" a="1"/>
  <c r="AG245" i="37" s="1"/>
  <c r="AG434" i="37" a="1"/>
  <c r="AG434" i="37" s="1"/>
  <c r="AG324" i="37" a="1"/>
  <c r="AG324" i="37" s="1"/>
  <c r="AG572" i="37" a="1"/>
  <c r="AG572" i="37" s="1"/>
  <c r="AG202" i="37" a="1"/>
  <c r="AG202" i="37" s="1"/>
  <c r="AG588" i="37" a="1"/>
  <c r="AG588" i="37" s="1"/>
  <c r="AG603" i="37" a="1"/>
  <c r="AG603" i="37" s="1"/>
  <c r="AG619" i="37" a="1"/>
  <c r="AG619" i="37" s="1"/>
  <c r="AG250" i="37" a="1"/>
  <c r="AG250" i="37" s="1"/>
  <c r="AG441" i="37" a="1"/>
  <c r="AG441" i="37" s="1"/>
  <c r="AG438" i="37" a="1"/>
  <c r="AG438" i="37" s="1"/>
  <c r="AG327" i="37" a="1"/>
  <c r="AG327" i="37" s="1"/>
  <c r="AG426" i="37" a="1"/>
  <c r="AG426" i="37" s="1"/>
  <c r="AG287" i="37" a="1"/>
  <c r="AG287" i="37" s="1"/>
  <c r="AG95" i="37" a="1"/>
  <c r="AG95" i="37" s="1"/>
  <c r="AG326" i="37" a="1"/>
  <c r="AG326" i="37" s="1"/>
  <c r="AG249" i="37" a="1"/>
  <c r="AG249" i="37" s="1"/>
  <c r="AG425" i="37" a="1"/>
  <c r="AG425" i="37" s="1"/>
  <c r="AG604" i="37" a="1"/>
  <c r="AG604" i="37" s="1"/>
  <c r="AG162" i="37" a="1"/>
  <c r="AG162" i="37" s="1"/>
  <c r="AG276" i="37" a="1"/>
  <c r="AG276" i="37" s="1"/>
  <c r="AG328" i="37" a="1"/>
  <c r="AG328" i="37" s="1"/>
  <c r="AG472" i="37" a="1"/>
  <c r="AG472" i="37" s="1"/>
  <c r="AG272" i="37" a="1"/>
  <c r="AG272" i="37" s="1"/>
  <c r="AG255" i="37" a="1"/>
  <c r="AG255" i="37" s="1"/>
  <c r="AG277" i="37" a="1"/>
  <c r="AG277" i="37" s="1"/>
  <c r="AG442" i="37" a="1"/>
  <c r="AG442" i="37" s="1"/>
  <c r="AG591" i="37" a="1"/>
  <c r="AG591" i="37" s="1"/>
  <c r="AG592" i="37" a="1"/>
  <c r="AG592" i="37" s="1"/>
  <c r="AG329" i="37" a="1"/>
  <c r="AG329" i="37" s="1"/>
  <c r="AG473" i="37" a="1"/>
  <c r="AG473" i="37" s="1"/>
  <c r="AG474" i="37" a="1"/>
  <c r="AG474" i="37" s="1"/>
  <c r="AG428" i="37" a="1"/>
  <c r="AG428" i="37" s="1"/>
  <c r="AG330" i="37" a="1"/>
  <c r="AG330" i="37" s="1"/>
  <c r="AG257" i="37" a="1"/>
  <c r="AG257" i="37" s="1"/>
  <c r="AG429" i="37" a="1"/>
  <c r="AG429" i="37" s="1"/>
  <c r="AG263" i="37" a="1"/>
  <c r="AG263" i="37" s="1"/>
  <c r="AG444" i="37" a="1"/>
  <c r="AG444" i="37" s="1"/>
  <c r="AG430" i="37" a="1"/>
  <c r="AG430" i="37" s="1"/>
  <c r="AG432" i="37" a="1"/>
  <c r="AG432" i="37" s="1"/>
  <c r="AG260" i="37" a="1"/>
  <c r="AG260" i="37" s="1"/>
  <c r="AG261" i="37" a="1"/>
  <c r="AG261" i="37" s="1"/>
  <c r="AG262" i="37" a="1"/>
  <c r="AG262" i="37" s="1"/>
  <c r="AG331" i="37" a="1"/>
  <c r="AG331" i="37" s="1"/>
  <c r="AG374" i="37" a="1"/>
  <c r="AG374" i="37" s="1"/>
  <c r="AG332" i="37" a="1"/>
  <c r="AG332" i="37" s="1"/>
  <c r="AG377" i="37" a="1"/>
  <c r="AG377" i="37" s="1"/>
  <c r="AG203" i="37" a="1"/>
  <c r="AG203" i="37" s="1"/>
  <c r="AG111" i="37" a="1"/>
  <c r="AG111" i="37" s="1"/>
  <c r="AG379" i="37" a="1"/>
  <c r="AG379" i="37" s="1"/>
  <c r="AG333" i="37" a="1"/>
  <c r="AG333" i="37" s="1"/>
  <c r="AG334" i="37" a="1"/>
  <c r="AG334" i="37" s="1"/>
  <c r="AG443" i="37" a="1"/>
  <c r="AG443" i="37" s="1"/>
  <c r="AG459" i="37" a="1"/>
  <c r="AG459" i="37" s="1"/>
  <c r="AG289" i="37" a="1"/>
  <c r="AG289" i="37" s="1"/>
  <c r="AG475" i="37" a="1"/>
  <c r="AG475" i="37" s="1"/>
  <c r="AG335" i="37" a="1"/>
  <c r="AG335" i="37" s="1"/>
  <c r="AG112" i="37" a="1"/>
  <c r="AG112" i="37" s="1"/>
  <c r="AG422" i="37" a="1"/>
  <c r="AG422" i="37" s="1"/>
  <c r="AG381" i="37" a="1"/>
  <c r="AG381" i="37" s="1"/>
  <c r="AG605" i="37" a="1"/>
  <c r="AG605" i="37" s="1"/>
  <c r="AG616" i="37" a="1"/>
  <c r="AG616" i="37" s="1"/>
  <c r="AG383" i="37" a="1"/>
  <c r="AG383" i="37" s="1"/>
  <c r="AG183" i="37" a="1"/>
  <c r="AG183" i="37" s="1"/>
  <c r="AG433" i="37" a="1"/>
  <c r="AG433" i="37" s="1"/>
  <c r="AG336" i="37" a="1"/>
  <c r="AG336" i="37" s="1"/>
  <c r="AG337" i="37" a="1"/>
  <c r="AG337" i="37" s="1"/>
  <c r="AG386" i="37" a="1"/>
  <c r="AG386" i="37" s="1"/>
  <c r="AG338" i="37" a="1"/>
  <c r="AG338" i="37" s="1"/>
  <c r="AG617" i="37" a="1"/>
  <c r="AG617" i="37" s="1"/>
  <c r="AG389" i="37" a="1"/>
  <c r="AG389" i="37" s="1"/>
  <c r="AG606" i="37" a="1"/>
  <c r="AG606" i="37" s="1"/>
  <c r="AG204" i="37" a="1"/>
  <c r="AG204" i="37" s="1"/>
  <c r="AG291" i="37" a="1"/>
  <c r="AG291" i="37" s="1"/>
  <c r="AG390" i="37" a="1"/>
  <c r="AG390" i="37" s="1"/>
  <c r="AG394" i="37" a="1"/>
  <c r="AG394" i="37" s="1"/>
  <c r="AG398" i="37" a="1"/>
  <c r="AG398" i="37" s="1"/>
  <c r="AG400" i="37" a="1"/>
  <c r="AG400" i="37" s="1"/>
  <c r="AG476" i="37" a="1"/>
  <c r="AG476" i="37" s="1"/>
  <c r="AG399" i="37" a="1"/>
  <c r="AG399" i="37" s="1"/>
  <c r="AG403" i="37" a="1"/>
  <c r="AG403" i="37" s="1"/>
  <c r="AG477" i="37" a="1"/>
  <c r="AG477" i="37" s="1"/>
  <c r="AG408" i="37" a="1"/>
  <c r="AG408" i="37" s="1"/>
  <c r="AG439" i="37" a="1"/>
  <c r="AG439" i="37" s="1"/>
  <c r="AG573" i="37" a="1"/>
  <c r="AG573" i="37" s="1"/>
  <c r="AG413" i="37" a="1"/>
  <c r="AG413" i="37" s="1"/>
  <c r="AG607" i="37" a="1"/>
  <c r="AG607" i="37" s="1"/>
  <c r="AG412" i="37" a="1"/>
  <c r="AG412" i="37" s="1"/>
  <c r="AG113" i="37" a="1"/>
  <c r="AG113" i="37" s="1"/>
  <c r="AG414" i="37" a="1"/>
  <c r="AG414" i="37" s="1"/>
  <c r="AG411" i="37" a="1"/>
  <c r="AG411" i="37" s="1"/>
  <c r="AG138" i="37" a="1"/>
  <c r="AG138" i="37" s="1"/>
  <c r="AG139" i="37" a="1"/>
  <c r="AG139" i="37" s="1"/>
  <c r="AG339" i="37" a="1"/>
  <c r="AG339" i="37" s="1"/>
  <c r="AG478" i="37" a="1"/>
  <c r="AG478" i="37" s="1"/>
  <c r="AG141" i="37" a="1"/>
  <c r="AG141" i="37" s="1"/>
  <c r="AG479" i="37" a="1"/>
  <c r="AG479" i="37" s="1"/>
  <c r="AG340" i="37" a="1"/>
  <c r="AG340" i="37" s="1"/>
  <c r="AG144" i="37" a="1"/>
  <c r="AG144" i="37" s="1"/>
  <c r="AG567" i="37" a="1"/>
  <c r="AG567" i="37" s="1"/>
  <c r="AG586" i="37" a="1"/>
  <c r="AG586" i="37" s="1"/>
  <c r="AG587" i="37" a="1"/>
  <c r="AG587" i="37" s="1"/>
  <c r="AG589" i="37" a="1"/>
  <c r="AG589" i="37" s="1"/>
  <c r="AG625" i="37" a="1"/>
  <c r="AG625" i="37" s="1"/>
  <c r="AG480" i="37" a="1"/>
  <c r="AG480" i="37" s="1"/>
  <c r="AG342" i="37" a="1"/>
  <c r="AG342" i="37" s="1"/>
  <c r="AG253" i="37" a="1"/>
  <c r="AG253" i="37" s="1"/>
  <c r="AG341" i="37" a="1"/>
  <c r="AG341" i="37" s="1"/>
  <c r="AG252" i="37" a="1"/>
  <c r="AG252" i="37" s="1"/>
  <c r="AG482" i="37" a="1"/>
  <c r="AG482" i="37" s="1"/>
  <c r="AG481" i="37" a="1"/>
  <c r="AG481" i="37" s="1"/>
  <c r="AG343" i="37" a="1"/>
  <c r="AG343" i="37" s="1"/>
  <c r="AG251" i="37" a="1"/>
  <c r="AG251" i="37" s="1"/>
  <c r="AG256" i="37" a="1"/>
  <c r="AG256" i="37" s="1"/>
  <c r="AG264" i="37" a="1"/>
  <c r="AG264" i="37" s="1"/>
  <c r="AG593" i="37" a="1"/>
  <c r="AG593" i="37" s="1"/>
  <c r="AG345" i="37" a="1"/>
  <c r="AG345" i="37" s="1"/>
  <c r="AG484" i="37" a="1"/>
  <c r="AG484" i="37" s="1"/>
  <c r="AG483" i="37" a="1"/>
  <c r="AG483" i="37" s="1"/>
  <c r="AG344" i="37" a="1"/>
  <c r="AG344" i="37" s="1"/>
  <c r="AG458" i="37" a="1"/>
  <c r="AG458" i="37" s="1"/>
  <c r="AG486" i="37" a="1"/>
  <c r="AG486" i="37" s="1"/>
  <c r="AG485" i="37" a="1"/>
  <c r="AG485" i="37" s="1"/>
  <c r="AG626" i="37" a="1"/>
  <c r="AG626" i="37" s="1"/>
  <c r="AG346" i="37" a="1"/>
  <c r="AG346" i="37" s="1"/>
  <c r="AG628" i="37" a="1"/>
  <c r="AG628" i="37" s="1"/>
  <c r="AG380" i="37" a="1"/>
  <c r="AG380" i="37" s="1"/>
  <c r="AG382" i="37" a="1"/>
  <c r="AG382" i="37" s="1"/>
  <c r="AG627" i="37" a="1"/>
  <c r="AG627" i="37" s="1"/>
  <c r="AG384" i="37" a="1"/>
  <c r="AG384" i="37" s="1"/>
  <c r="AG387" i="37" a="1"/>
  <c r="AG387" i="37" s="1"/>
  <c r="AG391" i="37" a="1"/>
  <c r="AG391" i="37" s="1"/>
  <c r="AG392" i="37" a="1"/>
  <c r="AG392" i="37" s="1"/>
  <c r="AG393" i="37" a="1"/>
  <c r="AG393" i="37" s="1"/>
  <c r="AG397" i="37" a="1"/>
  <c r="AG397" i="37" s="1"/>
  <c r="AG396" i="37" a="1"/>
  <c r="AG396" i="37" s="1"/>
  <c r="AG401" i="37" a="1"/>
  <c r="AG401" i="37" s="1"/>
  <c r="AG405" i="37" a="1"/>
  <c r="AG405" i="37" s="1"/>
  <c r="AG404" i="37" a="1"/>
  <c r="AG404" i="37" s="1"/>
  <c r="AG406" i="37" a="1"/>
  <c r="AG406" i="37" s="1"/>
  <c r="AG487" i="37" a="1"/>
  <c r="AG487" i="37" s="1"/>
  <c r="AG506" i="37" a="1"/>
  <c r="AG506" i="37" s="1"/>
  <c r="AG620" i="37" a="1"/>
  <c r="AG620" i="37" s="1"/>
  <c r="AG466" i="37" a="1"/>
  <c r="AG466" i="37" s="1"/>
  <c r="AG550" i="37" a="1"/>
  <c r="AG550" i="37" s="1"/>
  <c r="AG498" i="37" a="1"/>
  <c r="AG498" i="37" s="1"/>
  <c r="AG521" i="37" a="1"/>
  <c r="AG521" i="37" s="1"/>
  <c r="AG445" i="37" a="1"/>
  <c r="AG445" i="37" s="1"/>
  <c r="AG184" i="37" a="1"/>
  <c r="AG184" i="37" s="1"/>
  <c r="AG348" i="37" a="1"/>
  <c r="AG348" i="37" s="1"/>
  <c r="AG357" i="37" a="1"/>
  <c r="AG357" i="37" s="1"/>
  <c r="AG640" i="37" a="1"/>
  <c r="AG640" i="37" s="1"/>
  <c r="AG469" i="37" a="1"/>
  <c r="AG469" i="37" s="1"/>
  <c r="AG510" i="37" a="1"/>
  <c r="AG510" i="37" s="1"/>
  <c r="AG511" i="37" a="1"/>
  <c r="AG511" i="37" s="1"/>
  <c r="AG528" i="37" a="1"/>
  <c r="AG528" i="37" s="1"/>
  <c r="AG347" i="37" a="1"/>
  <c r="AG347" i="37" s="1"/>
  <c r="AG436" i="37" a="1"/>
  <c r="AG436" i="37" s="1"/>
  <c r="AG517" i="37" a="1"/>
  <c r="AG517" i="37" s="1"/>
  <c r="AG493" i="37" a="1"/>
  <c r="AG493" i="37" s="1"/>
  <c r="AG467" i="37" a="1"/>
  <c r="AG467" i="37" s="1"/>
  <c r="AG293" i="37" a="1"/>
  <c r="AG293" i="37" s="1"/>
  <c r="AG452" i="37" a="1"/>
  <c r="AG452" i="37" s="1"/>
  <c r="AG358" i="37" a="1"/>
  <c r="AG358" i="37" s="1"/>
  <c r="AG455" i="37" a="1"/>
  <c r="AG455" i="37" s="1"/>
  <c r="AG522" i="37" a="1"/>
  <c r="AG522" i="37" s="1"/>
  <c r="AG351" i="37" a="1"/>
  <c r="AG351" i="37" s="1"/>
  <c r="AG610" i="37" a="1"/>
  <c r="AG610" i="37" s="1"/>
  <c r="AG463" i="37" a="1"/>
  <c r="AG463" i="37" s="1"/>
  <c r="AG490" i="37" a="1"/>
  <c r="AG490" i="37" s="1"/>
  <c r="AG500" i="37" a="1"/>
  <c r="AG500" i="37" s="1"/>
  <c r="AG499" i="37" a="1"/>
  <c r="AG499" i="37" s="1"/>
  <c r="AG523" i="37" a="1"/>
  <c r="AG523" i="37" s="1"/>
  <c r="AG470" i="37" a="1"/>
  <c r="AG470" i="37" s="1"/>
  <c r="AG273" i="37" a="1"/>
  <c r="AG273" i="37" s="1"/>
  <c r="AG489" i="37" a="1"/>
  <c r="AG489" i="37" s="1"/>
  <c r="AG488" i="37" a="1"/>
  <c r="AG488" i="37" s="1"/>
  <c r="AG288" i="37" a="1"/>
  <c r="AG288" i="37" s="1"/>
  <c r="AG292" i="37" a="1"/>
  <c r="AG292" i="37" s="1"/>
  <c r="AG491" i="37" a="1"/>
  <c r="AG491" i="37" s="1"/>
  <c r="AG448" i="37" a="1"/>
  <c r="AG448" i="37" s="1"/>
  <c r="AG494" i="37" a="1"/>
  <c r="AG494" i="37" s="1"/>
  <c r="AG451" i="37" a="1"/>
  <c r="AG451" i="37" s="1"/>
  <c r="AG512" i="37" a="1"/>
  <c r="AG512" i="37" s="1"/>
  <c r="AG525" i="37" a="1"/>
  <c r="AG525" i="37" s="1"/>
  <c r="AG527" i="37" a="1"/>
  <c r="AG527" i="37" s="1"/>
  <c r="AG524" i="37" a="1"/>
  <c r="AG524" i="37" s="1"/>
  <c r="AG639" i="37" a="1"/>
  <c r="AG639" i="37" s="1"/>
  <c r="AG356" i="37" a="1"/>
  <c r="AG356" i="37" s="1"/>
  <c r="AG453" i="37" a="1"/>
  <c r="AG453" i="37" s="1"/>
  <c r="AG460" i="37" a="1"/>
  <c r="AG460" i="37" s="1"/>
  <c r="AG290" i="37" a="1"/>
  <c r="AG290" i="37" s="1"/>
  <c r="AG611" i="37" a="1"/>
  <c r="AG611" i="37" s="1"/>
  <c r="AG492" i="37" a="1"/>
  <c r="AG492" i="37" s="1"/>
  <c r="AG495" i="37" a="1"/>
  <c r="AG495" i="37" s="1"/>
  <c r="AG294" i="37" a="1"/>
  <c r="AG294" i="37" s="1"/>
  <c r="AG496" i="37" a="1"/>
  <c r="AG496" i="37" s="1"/>
  <c r="AG497" i="37" a="1"/>
  <c r="AG497" i="37" s="1"/>
  <c r="AG502" i="37" a="1"/>
  <c r="AG502" i="37" s="1"/>
  <c r="AG446" i="37" a="1"/>
  <c r="AG446" i="37" s="1"/>
  <c r="AG503" i="37" a="1"/>
  <c r="AG503" i="37" s="1"/>
  <c r="AG449" i="37" a="1"/>
  <c r="AG449" i="37" s="1"/>
  <c r="AG631" i="37" a="1"/>
  <c r="AG631" i="37" s="1"/>
  <c r="AG504" i="37" a="1"/>
  <c r="AG504" i="37" s="1"/>
  <c r="AG630" i="37" a="1"/>
  <c r="AG630" i="37" s="1"/>
  <c r="AG629" i="37" a="1"/>
  <c r="AG629" i="37" s="1"/>
  <c r="AG623" i="37" a="1"/>
  <c r="AG623" i="37" s="1"/>
  <c r="AG501" i="37" a="1"/>
  <c r="AG501" i="37" s="1"/>
  <c r="AG505" i="37" a="1"/>
  <c r="AG505" i="37" s="1"/>
  <c r="AG508" i="37" a="1"/>
  <c r="AG508" i="37" s="1"/>
  <c r="AG509" i="37" a="1"/>
  <c r="AG509" i="37" s="1"/>
  <c r="AG513" i="37" a="1"/>
  <c r="AG513" i="37" s="1"/>
  <c r="AG632" i="37" a="1"/>
  <c r="AG632" i="37" s="1"/>
  <c r="AG514" i="37" a="1"/>
  <c r="AG514" i="37" s="1"/>
  <c r="AG515" i="37" a="1"/>
  <c r="AG515" i="37" s="1"/>
  <c r="AG519" i="37" a="1"/>
  <c r="AG519" i="37" s="1"/>
  <c r="AG518" i="37" a="1"/>
  <c r="AG518" i="37" s="1"/>
  <c r="AG520" i="37" a="1"/>
  <c r="AG520" i="37" s="1"/>
  <c r="AG114" i="37" a="1"/>
  <c r="AG114" i="37" s="1"/>
  <c r="AG205" i="37" a="1"/>
  <c r="AG205" i="37" s="1"/>
  <c r="AG349" i="37" a="1"/>
  <c r="AG349" i="37" s="1"/>
  <c r="AG350" i="37" a="1"/>
  <c r="AG350" i="37" s="1"/>
  <c r="AG608" i="37" a="1"/>
  <c r="AG608" i="37" s="1"/>
  <c r="AG609" i="37" a="1"/>
  <c r="AG609" i="37" s="1"/>
  <c r="AG352" i="37" a="1"/>
  <c r="AG352" i="37" s="1"/>
  <c r="AG355" i="37" a="1"/>
  <c r="AG355" i="37" s="1"/>
  <c r="AG353" i="37" a="1"/>
  <c r="AG353" i="37" s="1"/>
  <c r="AG468" i="37" a="1"/>
  <c r="AG468" i="37" s="1"/>
  <c r="AG354" i="37" a="1"/>
  <c r="AG354" i="37" s="1"/>
  <c r="AG295" i="37" a="1"/>
  <c r="AG295" i="37" s="1"/>
  <c r="AG447" i="37" a="1"/>
  <c r="AG447" i="37" s="1"/>
  <c r="AG450" i="37" a="1"/>
  <c r="AG450" i="37" s="1"/>
  <c r="AG454" i="37" a="1"/>
  <c r="AG454" i="37" s="1"/>
  <c r="AG359" i="37" a="1"/>
  <c r="AG359" i="37" s="1"/>
  <c r="AG456" i="37" a="1"/>
  <c r="AG456" i="37" s="1"/>
  <c r="AG457" i="37" a="1"/>
  <c r="AG457" i="37" s="1"/>
  <c r="AG360" i="37" a="1"/>
  <c r="AG360" i="37" s="1"/>
  <c r="AG462" i="37" a="1"/>
  <c r="AG462" i="37" s="1"/>
  <c r="AG461" i="37" a="1"/>
  <c r="AG461" i="37" s="1"/>
  <c r="AG633" i="37" a="1"/>
  <c r="AG633" i="37" s="1"/>
  <c r="AG464" i="37" a="1"/>
  <c r="AG464" i="37" s="1"/>
  <c r="AG624" i="37" a="1"/>
  <c r="AG624" i="37" s="1"/>
  <c r="AG465" i="37" a="1"/>
  <c r="AG465" i="37" s="1"/>
  <c r="AG516" i="37" a="1"/>
  <c r="AG516" i="37" s="1"/>
  <c r="AG634" i="37" a="1"/>
  <c r="AG634" i="37" s="1"/>
  <c r="AG635" i="37" a="1"/>
  <c r="AG635" i="37" s="1"/>
  <c r="AG638" i="37" a="1"/>
  <c r="AG638" i="37" s="1"/>
  <c r="AG637" i="37" a="1"/>
  <c r="AG637" i="37" s="1"/>
  <c r="AG636" i="37" a="1"/>
  <c r="AG636" i="37" s="1"/>
  <c r="AG529" i="37" a="1"/>
  <c r="AG529" i="37" s="1"/>
  <c r="AG530" i="37" a="1"/>
  <c r="AG530" i="37" s="1"/>
  <c r="AG531" i="37" a="1"/>
  <c r="AG531" i="37" s="1"/>
  <c r="AG532" i="37" a="1"/>
  <c r="AG532" i="37" s="1"/>
  <c r="AF2" i="37" a="1"/>
  <c r="AF2" i="37" s="1"/>
  <c r="AF3" i="37" a="1"/>
  <c r="AF3" i="37" s="1"/>
  <c r="AF10" i="37" a="1"/>
  <c r="AF10" i="37" s="1"/>
  <c r="AF534" i="37" a="1"/>
  <c r="AF534" i="37" s="1"/>
  <c r="AF533" i="37" a="1"/>
  <c r="AF533" i="37" s="1"/>
  <c r="AF6" i="37" a="1"/>
  <c r="AF6" i="37" s="1"/>
  <c r="AF5" i="37" a="1"/>
  <c r="AF5" i="37" s="1"/>
  <c r="AF11" i="37" a="1"/>
  <c r="AF11" i="37" s="1"/>
  <c r="AF4" i="37" a="1"/>
  <c r="AF4" i="37" s="1"/>
  <c r="AF23" i="37" a="1"/>
  <c r="AF23" i="37" s="1"/>
  <c r="AF7" i="37" a="1"/>
  <c r="AF7" i="37" s="1"/>
  <c r="AF13" i="37" a="1"/>
  <c r="AF13" i="37" s="1"/>
  <c r="AF24" i="37" a="1"/>
  <c r="AF24" i="37" s="1"/>
  <c r="AF36" i="37" a="1"/>
  <c r="AF36" i="37" s="1"/>
  <c r="AF25" i="37" a="1"/>
  <c r="AF25" i="37" s="1"/>
  <c r="AF37" i="37" a="1"/>
  <c r="AF37" i="37" s="1"/>
  <c r="AF20" i="37" a="1"/>
  <c r="AF20" i="37" s="1"/>
  <c r="AF14" i="37" a="1"/>
  <c r="AF14" i="37" s="1"/>
  <c r="AF15" i="37" a="1"/>
  <c r="AF15" i="37" s="1"/>
  <c r="AF19" i="37" a="1"/>
  <c r="AF19" i="37" s="1"/>
  <c r="AF22" i="37" a="1"/>
  <c r="AF22" i="37" s="1"/>
  <c r="AF26" i="37" a="1"/>
  <c r="AF26" i="37" s="1"/>
  <c r="AF537" i="37" a="1"/>
  <c r="AF537" i="37" s="1"/>
  <c r="AF27" i="37" a="1"/>
  <c r="AF27" i="37" s="1"/>
  <c r="AF21" i="37" a="1"/>
  <c r="AF21" i="37" s="1"/>
  <c r="AF38" i="37" a="1"/>
  <c r="AF38" i="37" s="1"/>
  <c r="AF538" i="37" a="1"/>
  <c r="AF538" i="37" s="1"/>
  <c r="AF28" i="37" a="1"/>
  <c r="AF28" i="37" s="1"/>
  <c r="AF16" i="37" a="1"/>
  <c r="AF16" i="37" s="1"/>
  <c r="AF39" i="37" a="1"/>
  <c r="AF39" i="37" s="1"/>
  <c r="AF40" i="37" a="1"/>
  <c r="AF40" i="37" s="1"/>
  <c r="AF29" i="37" a="1"/>
  <c r="AF29" i="37" s="1"/>
  <c r="AF41" i="37" a="1"/>
  <c r="AF41" i="37" s="1"/>
  <c r="AF33" i="37" a="1"/>
  <c r="AF33" i="37" s="1"/>
  <c r="AF42" i="37" a="1"/>
  <c r="AF42" i="37" s="1"/>
  <c r="AF539" i="37" a="1"/>
  <c r="AF539" i="37" s="1"/>
  <c r="AF85" i="37" a="1"/>
  <c r="AF85" i="37" s="1"/>
  <c r="AF43" i="37" a="1"/>
  <c r="AF43" i="37" s="1"/>
  <c r="AF44" i="37" a="1"/>
  <c r="AF44" i="37" s="1"/>
  <c r="AF535" i="37" a="1"/>
  <c r="AF535" i="37" s="1"/>
  <c r="AF45" i="37" a="1"/>
  <c r="AF45" i="37" s="1"/>
  <c r="AF17" i="37" a="1"/>
  <c r="AF17" i="37" s="1"/>
  <c r="AF70" i="37" a="1"/>
  <c r="AF70" i="37" s="1"/>
  <c r="AF30" i="37" a="1"/>
  <c r="AF30" i="37" s="1"/>
  <c r="AF18" i="37" a="1"/>
  <c r="AF18" i="37" s="1"/>
  <c r="AF62" i="37" a="1"/>
  <c r="AF62" i="37" s="1"/>
  <c r="AF57" i="37" a="1"/>
  <c r="AF57" i="37" s="1"/>
  <c r="AF46" i="37" a="1"/>
  <c r="AF46" i="37" s="1"/>
  <c r="AF61" i="37" a="1"/>
  <c r="AF61" i="37" s="1"/>
  <c r="AF71" i="37" a="1"/>
  <c r="AF71" i="37" s="1"/>
  <c r="AF31" i="37" a="1"/>
  <c r="AF31" i="37" s="1"/>
  <c r="AF541" i="37" a="1"/>
  <c r="AF541" i="37" s="1"/>
  <c r="AF56" i="37" a="1"/>
  <c r="AF56" i="37" s="1"/>
  <c r="AF536" i="37" a="1"/>
  <c r="AF536" i="37" s="1"/>
  <c r="AF47" i="37" a="1"/>
  <c r="AF47" i="37" s="1"/>
  <c r="AF86" i="37" a="1"/>
  <c r="AF86" i="37" s="1"/>
  <c r="AF72" i="37" a="1"/>
  <c r="AF72" i="37" s="1"/>
  <c r="AF48" i="37" a="1"/>
  <c r="AF48" i="37" s="1"/>
  <c r="AF547" i="37" a="1"/>
  <c r="AF547" i="37" s="1"/>
  <c r="AF115" i="37" a="1"/>
  <c r="AF115" i="37" s="1"/>
  <c r="AF562" i="37" a="1"/>
  <c r="AF562" i="37" s="1"/>
  <c r="AF58" i="37" a="1"/>
  <c r="AF58" i="37" s="1"/>
  <c r="AF63" i="37" a="1"/>
  <c r="AF63" i="37" s="1"/>
  <c r="AF34" i="37" a="1"/>
  <c r="AF34" i="37" s="1"/>
  <c r="AF540" i="37" a="1"/>
  <c r="AF540" i="37" s="1"/>
  <c r="AF116" i="37" a="1"/>
  <c r="AF116" i="37" s="1"/>
  <c r="AF12" i="37" a="1"/>
  <c r="AF12" i="37" s="1"/>
  <c r="AF32" i="37" a="1"/>
  <c r="AF32" i="37" s="1"/>
  <c r="AF73" i="37" a="1"/>
  <c r="AF73" i="37" s="1"/>
  <c r="AF74" i="37" a="1"/>
  <c r="AF74" i="37" s="1"/>
  <c r="AF542" i="37" a="1"/>
  <c r="AF542" i="37" s="1"/>
  <c r="AF75" i="37" a="1"/>
  <c r="AF75" i="37" s="1"/>
  <c r="AF543" i="37" a="1"/>
  <c r="AF543" i="37" s="1"/>
  <c r="AF117" i="37" a="1"/>
  <c r="AF117" i="37" s="1"/>
  <c r="AF546" i="37" a="1"/>
  <c r="AF546" i="37" s="1"/>
  <c r="AF99" i="37" a="1"/>
  <c r="AF99" i="37" s="1"/>
  <c r="AF67" i="37" a="1"/>
  <c r="AF67" i="37" s="1"/>
  <c r="AF100" i="37" a="1"/>
  <c r="AF100" i="37" s="1"/>
  <c r="AF68" i="37" a="1"/>
  <c r="AF68" i="37" s="1"/>
  <c r="AF64" i="37" a="1"/>
  <c r="AF64" i="37" s="1"/>
  <c r="AF101" i="37" a="1"/>
  <c r="AF101" i="37" s="1"/>
  <c r="AF65" i="37" a="1"/>
  <c r="AF65" i="37" s="1"/>
  <c r="AF92" i="37" a="1"/>
  <c r="AF92" i="37" s="1"/>
  <c r="AF49" i="37" a="1"/>
  <c r="AF49" i="37" s="1"/>
  <c r="AF185" i="37" a="1"/>
  <c r="AF185" i="37" s="1"/>
  <c r="AF163" i="37" a="1"/>
  <c r="AF163" i="37" s="1"/>
  <c r="AF76" i="37" a="1"/>
  <c r="AF76" i="37" s="1"/>
  <c r="AF87" i="37" a="1"/>
  <c r="AF87" i="37" s="1"/>
  <c r="AF82" i="37" a="1"/>
  <c r="AF82" i="37" s="1"/>
  <c r="AF88" i="37" a="1"/>
  <c r="AF88" i="37" s="1"/>
  <c r="AF554" i="37" a="1"/>
  <c r="AF554" i="37" s="1"/>
  <c r="AF93" i="37" a="1"/>
  <c r="AF93" i="37" s="1"/>
  <c r="AF118" i="37" a="1"/>
  <c r="AF118" i="37" s="1"/>
  <c r="AF83" i="37" a="1"/>
  <c r="AF83" i="37" s="1"/>
  <c r="AF164" i="37" a="1"/>
  <c r="AF164" i="37" s="1"/>
  <c r="AF119" i="37" a="1"/>
  <c r="AF119" i="37" s="1"/>
  <c r="AF549" i="37" a="1"/>
  <c r="AF549" i="37" s="1"/>
  <c r="AF50" i="37" a="1"/>
  <c r="AF50" i="37" s="1"/>
  <c r="AF120" i="37" a="1"/>
  <c r="AF120" i="37" s="1"/>
  <c r="AF121" i="37" a="1"/>
  <c r="AF121" i="37" s="1"/>
  <c r="AF84" i="37" a="1"/>
  <c r="AF84" i="37" s="1"/>
  <c r="AF165" i="37" a="1"/>
  <c r="AF165" i="37" s="1"/>
  <c r="AF206" i="37" a="1"/>
  <c r="AF206" i="37" s="1"/>
  <c r="AF89" i="37" a="1"/>
  <c r="AF89" i="37" s="1"/>
  <c r="AF574" i="37" a="1"/>
  <c r="AF574" i="37" s="1"/>
  <c r="AF166" i="37" a="1"/>
  <c r="AF166" i="37" s="1"/>
  <c r="AF167" i="37" a="1"/>
  <c r="AF167" i="37" s="1"/>
  <c r="AF77" i="37" a="1"/>
  <c r="AF77" i="37" s="1"/>
  <c r="AF123" i="37" a="1"/>
  <c r="AF123" i="37" s="1"/>
  <c r="AF122" i="37" a="1"/>
  <c r="AF122" i="37" s="1"/>
  <c r="AF575" i="37" a="1"/>
  <c r="AF575" i="37" s="1"/>
  <c r="AF96" i="37" a="1"/>
  <c r="AF96" i="37" s="1"/>
  <c r="AF186" i="37" a="1"/>
  <c r="AF186" i="37" s="1"/>
  <c r="AF176" i="37" a="1"/>
  <c r="AF176" i="37" s="1"/>
  <c r="AF151" i="37" a="1"/>
  <c r="AF151" i="37" s="1"/>
  <c r="AF97" i="37" a="1"/>
  <c r="AF97" i="37" s="1"/>
  <c r="AF274" i="37" a="1"/>
  <c r="AF274" i="37" s="1"/>
  <c r="AF545" i="37" a="1"/>
  <c r="AF545" i="37" s="1"/>
  <c r="AF187" i="37" a="1"/>
  <c r="AF187" i="37" s="1"/>
  <c r="AF207" i="37" a="1"/>
  <c r="AF207" i="37" s="1"/>
  <c r="AF9" i="37" a="1"/>
  <c r="AF9" i="37" s="1"/>
  <c r="AF570" i="37" a="1"/>
  <c r="AF570" i="37" s="1"/>
  <c r="AF296" i="37" a="1"/>
  <c r="AF296" i="37" s="1"/>
  <c r="AF102" i="37" a="1"/>
  <c r="AF102" i="37" s="1"/>
  <c r="AF66" i="37" a="1"/>
  <c r="AF66" i="37" s="1"/>
  <c r="AF177" i="37" a="1"/>
  <c r="AF177" i="37" s="1"/>
  <c r="AF297" i="37" a="1"/>
  <c r="AF297" i="37" s="1"/>
  <c r="AF576" i="37" a="1"/>
  <c r="AF576" i="37" s="1"/>
  <c r="AF156" i="37" a="1"/>
  <c r="AF156" i="37" s="1"/>
  <c r="AF188" i="37" a="1"/>
  <c r="AF188" i="37" s="1"/>
  <c r="AF189" i="37" a="1"/>
  <c r="AF189" i="37" s="1"/>
  <c r="AF103" i="37" a="1"/>
  <c r="AF103" i="37" s="1"/>
  <c r="AF190" i="37" a="1"/>
  <c r="AF190" i="37" s="1"/>
  <c r="AF152" i="37" a="1"/>
  <c r="AF152" i="37" s="1"/>
  <c r="AF208" i="37" a="1"/>
  <c r="AF208" i="37" s="1"/>
  <c r="AF209" i="37" a="1"/>
  <c r="AF209" i="37" s="1"/>
  <c r="AF210" i="37" a="1"/>
  <c r="AF210" i="37" s="1"/>
  <c r="AF596" i="37" a="1"/>
  <c r="AF596" i="37" s="1"/>
  <c r="AF168" i="37" a="1"/>
  <c r="AF168" i="37" s="1"/>
  <c r="AF568" i="37" a="1"/>
  <c r="AF568" i="37" s="1"/>
  <c r="AF124" i="37" a="1"/>
  <c r="AF124" i="37" s="1"/>
  <c r="AF571" i="37" a="1"/>
  <c r="AF571" i="37" s="1"/>
  <c r="AF175" i="37" a="1"/>
  <c r="AF175" i="37" s="1"/>
  <c r="AF211" i="37" a="1"/>
  <c r="AF211" i="37" s="1"/>
  <c r="AF104" i="37" a="1"/>
  <c r="AF104" i="37" s="1"/>
  <c r="AF125" i="37" a="1"/>
  <c r="AF125" i="37" s="1"/>
  <c r="AF105" i="37" a="1"/>
  <c r="AF105" i="37" s="1"/>
  <c r="AF126" i="37" a="1"/>
  <c r="AF126" i="37" s="1"/>
  <c r="AF548" i="37" a="1"/>
  <c r="AF548" i="37" s="1"/>
  <c r="AF191" i="37" a="1"/>
  <c r="AF191" i="37" s="1"/>
  <c r="AF563" i="37" a="1"/>
  <c r="AF563" i="37" s="1"/>
  <c r="AF213" i="37" a="1"/>
  <c r="AF213" i="37" s="1"/>
  <c r="AF298" i="37" a="1"/>
  <c r="AF298" i="37" s="1"/>
  <c r="AF106" i="37" a="1"/>
  <c r="AF106" i="37" s="1"/>
  <c r="AF212" i="37" a="1"/>
  <c r="AF212" i="37" s="1"/>
  <c r="AF564" i="37" a="1"/>
  <c r="AF564" i="37" s="1"/>
  <c r="AF577" i="37" a="1"/>
  <c r="AF577" i="37" s="1"/>
  <c r="AF107" i="37" a="1"/>
  <c r="AF107" i="37" s="1"/>
  <c r="AF157" i="37" a="1"/>
  <c r="AF157" i="37" s="1"/>
  <c r="AF214" i="37" a="1"/>
  <c r="AF214" i="37" s="1"/>
  <c r="AF158" i="37" a="1"/>
  <c r="AF158" i="37" s="1"/>
  <c r="AF578" i="37" a="1"/>
  <c r="AF578" i="37" s="1"/>
  <c r="AF215" i="37" a="1"/>
  <c r="AF215" i="37" s="1"/>
  <c r="AF155" i="37" a="1"/>
  <c r="AF155" i="37" s="1"/>
  <c r="AF216" i="37" a="1"/>
  <c r="AF216" i="37" s="1"/>
  <c r="AF217" i="37" a="1"/>
  <c r="AF217" i="37" s="1"/>
  <c r="AF127" i="37" a="1"/>
  <c r="AF127" i="37" s="1"/>
  <c r="AF90" i="37" a="1"/>
  <c r="AF90" i="37" s="1"/>
  <c r="AF153" i="37" a="1"/>
  <c r="AF153" i="37" s="1"/>
  <c r="AF128" i="37" a="1"/>
  <c r="AF128" i="37" s="1"/>
  <c r="AF299" i="37" a="1"/>
  <c r="AF299" i="37" s="1"/>
  <c r="AF192" i="37" a="1"/>
  <c r="AF192" i="37" s="1"/>
  <c r="AF129" i="37" a="1"/>
  <c r="AF129" i="37" s="1"/>
  <c r="AF565" i="37" a="1"/>
  <c r="AF565" i="37" s="1"/>
  <c r="AF130" i="37" a="1"/>
  <c r="AF130" i="37" s="1"/>
  <c r="AF218" i="37" a="1"/>
  <c r="AF218" i="37" s="1"/>
  <c r="AF131" i="37" a="1"/>
  <c r="AF131" i="37" s="1"/>
  <c r="AF154" i="37" a="1"/>
  <c r="AF154" i="37" s="1"/>
  <c r="AF555" i="37" a="1"/>
  <c r="AF555" i="37" s="1"/>
  <c r="AF579" i="37" a="1"/>
  <c r="AF579" i="37" s="1"/>
  <c r="AF132" i="37" a="1"/>
  <c r="AF132" i="37" s="1"/>
  <c r="AF580" i="37" a="1"/>
  <c r="AF580" i="37" s="1"/>
  <c r="AF219" i="37" a="1"/>
  <c r="AF219" i="37" s="1"/>
  <c r="AF133" i="37" a="1"/>
  <c r="AF133" i="37" s="1"/>
  <c r="AF134" i="37" a="1"/>
  <c r="AF134" i="37" s="1"/>
  <c r="AF599" i="37" a="1"/>
  <c r="AF599" i="37" s="1"/>
  <c r="AF220" i="37" a="1"/>
  <c r="AF220" i="37" s="1"/>
  <c r="AF221" i="37" a="1"/>
  <c r="AF221" i="37" s="1"/>
  <c r="AF59" i="37" a="1"/>
  <c r="AF59" i="37" s="1"/>
  <c r="AF222" i="37" a="1"/>
  <c r="AF222" i="37" s="1"/>
  <c r="AF223" i="37" a="1"/>
  <c r="AF223" i="37" s="1"/>
  <c r="AF275" i="37" a="1"/>
  <c r="AF275" i="37" s="1"/>
  <c r="AF51" i="37" a="1"/>
  <c r="AF51" i="37" s="1"/>
  <c r="AF224" i="37" a="1"/>
  <c r="AF224" i="37" s="1"/>
  <c r="AF78" i="37" a="1"/>
  <c r="AF78" i="37" s="1"/>
  <c r="AF225" i="37" a="1"/>
  <c r="AF225" i="37" s="1"/>
  <c r="AF35" i="37" a="1"/>
  <c r="AF35" i="37" s="1"/>
  <c r="AF226" i="37" a="1"/>
  <c r="AF226" i="37" s="1"/>
  <c r="AF169" i="37" a="1"/>
  <c r="AF169" i="37" s="1"/>
  <c r="AF170" i="37" a="1"/>
  <c r="AF170" i="37" s="1"/>
  <c r="AF557" i="37" a="1"/>
  <c r="AF557" i="37" s="1"/>
  <c r="AF361" i="37" a="1"/>
  <c r="AF361" i="37" s="1"/>
  <c r="AF558" i="37" a="1"/>
  <c r="AF558" i="37" s="1"/>
  <c r="AF227" i="37" a="1"/>
  <c r="AF227" i="37" s="1"/>
  <c r="AF556" i="37" a="1"/>
  <c r="AF556" i="37" s="1"/>
  <c r="AF228" i="37" a="1"/>
  <c r="AF228" i="37" s="1"/>
  <c r="AF171" i="37" a="1"/>
  <c r="AF171" i="37" s="1"/>
  <c r="AF178" i="37" a="1"/>
  <c r="AF178" i="37" s="1"/>
  <c r="AF595" i="37" a="1"/>
  <c r="AF595" i="37" s="1"/>
  <c r="AF193" i="37" a="1"/>
  <c r="AF193" i="37" s="1"/>
  <c r="AF69" i="37" a="1"/>
  <c r="AF69" i="37" s="1"/>
  <c r="AF179" i="37" a="1"/>
  <c r="AF179" i="37" s="1"/>
  <c r="AF135" i="37" a="1"/>
  <c r="AF135" i="37" s="1"/>
  <c r="AF108" i="37" a="1"/>
  <c r="AF108" i="37" s="1"/>
  <c r="AF300" i="37" a="1"/>
  <c r="AF300" i="37" s="1"/>
  <c r="AF98" i="37" a="1"/>
  <c r="AF98" i="37" s="1"/>
  <c r="AF159" i="37" a="1"/>
  <c r="AF159" i="37" s="1"/>
  <c r="AF597" i="37" a="1"/>
  <c r="AF597" i="37" s="1"/>
  <c r="AF560" i="37" a="1"/>
  <c r="AF560" i="37" s="1"/>
  <c r="AF79" i="37" a="1"/>
  <c r="AF79" i="37" s="1"/>
  <c r="AF279" i="37" a="1"/>
  <c r="AF279" i="37" s="1"/>
  <c r="AF569" i="37" a="1"/>
  <c r="AF569" i="37" s="1"/>
  <c r="AF229" i="37" a="1"/>
  <c r="AF229" i="37" s="1"/>
  <c r="AF230" i="37" a="1"/>
  <c r="AF230" i="37" s="1"/>
  <c r="AF301" i="37" a="1"/>
  <c r="AF301" i="37" s="1"/>
  <c r="AF437" i="37" a="1"/>
  <c r="AF437" i="37" s="1"/>
  <c r="AF160" i="37" a="1"/>
  <c r="AF160" i="37" s="1"/>
  <c r="AF280" i="37" a="1"/>
  <c r="AF280" i="37" s="1"/>
  <c r="AF302" i="37" a="1"/>
  <c r="AF302" i="37" s="1"/>
  <c r="AF231" i="37" a="1"/>
  <c r="AF231" i="37" s="1"/>
  <c r="AF303" i="37" a="1"/>
  <c r="AF303" i="37" s="1"/>
  <c r="AF304" i="37" a="1"/>
  <c r="AF304" i="37" s="1"/>
  <c r="AF305" i="37" a="1"/>
  <c r="AF305" i="37" s="1"/>
  <c r="AF194" i="37" a="1"/>
  <c r="AF194" i="37" s="1"/>
  <c r="AF265" i="37" a="1"/>
  <c r="AF265" i="37" s="1"/>
  <c r="AF306" i="37" a="1"/>
  <c r="AF306" i="37" s="1"/>
  <c r="AF232" i="37" a="1"/>
  <c r="AF232" i="37" s="1"/>
  <c r="AF195" i="37" a="1"/>
  <c r="AF195" i="37" s="1"/>
  <c r="AF598" i="37" a="1"/>
  <c r="AF598" i="37" s="1"/>
  <c r="AF281" i="37" a="1"/>
  <c r="AF281" i="37" s="1"/>
  <c r="AF600" i="37" a="1"/>
  <c r="AF600" i="37" s="1"/>
  <c r="AF80" i="37" a="1"/>
  <c r="AF80" i="37" s="1"/>
  <c r="AF270" i="37" a="1"/>
  <c r="AF270" i="37" s="1"/>
  <c r="AF180" i="37" a="1"/>
  <c r="AF180" i="37" s="1"/>
  <c r="AF307" i="37" a="1"/>
  <c r="AF307" i="37" s="1"/>
  <c r="AF267" i="37" a="1"/>
  <c r="AF267" i="37" s="1"/>
  <c r="AF196" i="37" a="1"/>
  <c r="AF196" i="37" s="1"/>
  <c r="AF269" i="37" a="1"/>
  <c r="AF269" i="37" s="1"/>
  <c r="AF198" i="37" a="1"/>
  <c r="AF198" i="37" s="1"/>
  <c r="AF282" i="37" a="1"/>
  <c r="AF282" i="37" s="1"/>
  <c r="AF308" i="37" a="1"/>
  <c r="AF308" i="37" s="1"/>
  <c r="AF471" i="37" a="1"/>
  <c r="AF471" i="37" s="1"/>
  <c r="AF283" i="37" a="1"/>
  <c r="AF283" i="37" s="1"/>
  <c r="AF161" i="37" a="1"/>
  <c r="AF161" i="37" s="1"/>
  <c r="AF581" i="37" a="1"/>
  <c r="AF581" i="37" s="1"/>
  <c r="AF234" i="37" a="1"/>
  <c r="AF234" i="37" s="1"/>
  <c r="AF233" i="37" a="1"/>
  <c r="AF233" i="37" s="1"/>
  <c r="AF235" i="37" a="1"/>
  <c r="AF235" i="37" s="1"/>
  <c r="AF268" i="37" a="1"/>
  <c r="AF268" i="37" s="1"/>
  <c r="AF199" i="37" a="1"/>
  <c r="AF199" i="37" s="1"/>
  <c r="AF236" i="37" a="1"/>
  <c r="AF236" i="37" s="1"/>
  <c r="AF582" i="37" a="1"/>
  <c r="AF582" i="37" s="1"/>
  <c r="AF237" i="37" a="1"/>
  <c r="AF237" i="37" s="1"/>
  <c r="AF238" i="37" a="1"/>
  <c r="AF238" i="37" s="1"/>
  <c r="AF583" i="37" a="1"/>
  <c r="AF583" i="37" s="1"/>
  <c r="AF172" i="37" a="1"/>
  <c r="AF172" i="37" s="1"/>
  <c r="AF239" i="37" a="1"/>
  <c r="AF239" i="37" s="1"/>
  <c r="AF363" i="37" a="1"/>
  <c r="AF363" i="37" s="1"/>
  <c r="AF364" i="37" a="1"/>
  <c r="AF364" i="37" s="1"/>
  <c r="AF362" i="37" a="1"/>
  <c r="AF362" i="37" s="1"/>
  <c r="AF594" i="37" a="1"/>
  <c r="AF594" i="37" s="1"/>
  <c r="AF612" i="37" a="1"/>
  <c r="AF612" i="37" s="1"/>
  <c r="AF266" i="37" a="1"/>
  <c r="AF266" i="37" s="1"/>
  <c r="AF309" i="37" a="1"/>
  <c r="AF309" i="37" s="1"/>
  <c r="AF365" i="37" a="1"/>
  <c r="AF365" i="37" s="1"/>
  <c r="AF240" i="37" a="1"/>
  <c r="AF240" i="37" s="1"/>
  <c r="AF91" i="37" a="1"/>
  <c r="AF91" i="37" s="1"/>
  <c r="AF613" i="37" a="1"/>
  <c r="AF613" i="37" s="1"/>
  <c r="AF551" i="37" a="1"/>
  <c r="AF551" i="37" s="1"/>
  <c r="AF271" i="37" a="1"/>
  <c r="AF271" i="37" s="1"/>
  <c r="AF584" i="37" a="1"/>
  <c r="AF584" i="37" s="1"/>
  <c r="AF52" i="37" a="1"/>
  <c r="AF52" i="37" s="1"/>
  <c r="AF366" i="37" a="1"/>
  <c r="AF366" i="37" s="1"/>
  <c r="AF241" i="37" a="1"/>
  <c r="AF241" i="37" s="1"/>
  <c r="AF614" i="37" a="1"/>
  <c r="AF614" i="37" s="1"/>
  <c r="AF367" i="37" a="1"/>
  <c r="AF367" i="37" s="1"/>
  <c r="AF544" i="37" a="1"/>
  <c r="AF544" i="37" s="1"/>
  <c r="AF136" i="37" a="1"/>
  <c r="AF136" i="37" s="1"/>
  <c r="AF585" i="37" a="1"/>
  <c r="AF585" i="37" s="1"/>
  <c r="AF371" i="37" a="1"/>
  <c r="AF371" i="37" s="1"/>
  <c r="AF369" i="37" a="1"/>
  <c r="AF369" i="37" s="1"/>
  <c r="AF615" i="37" a="1"/>
  <c r="AF615" i="37" s="1"/>
  <c r="AF368" i="37" a="1"/>
  <c r="AF368" i="37" s="1"/>
  <c r="AF370" i="37" a="1"/>
  <c r="AF370" i="37" s="1"/>
  <c r="AF242" i="37" a="1"/>
  <c r="AF242" i="37" s="1"/>
  <c r="AF244" i="37" a="1"/>
  <c r="AF244" i="37" s="1"/>
  <c r="AF372" i="37" a="1"/>
  <c r="AF372" i="37" s="1"/>
  <c r="AF566" i="37" a="1"/>
  <c r="AF566" i="37" s="1"/>
  <c r="AF243" i="37" a="1"/>
  <c r="AF243" i="37" s="1"/>
  <c r="AF407" i="37" a="1"/>
  <c r="AF407" i="37" s="1"/>
  <c r="AF8" i="37" a="1"/>
  <c r="AF8" i="37" s="1"/>
  <c r="AF310" i="37" a="1"/>
  <c r="AF310" i="37" s="1"/>
  <c r="AF385" i="37" a="1"/>
  <c r="AF385" i="37" s="1"/>
  <c r="AF94" i="37" a="1"/>
  <c r="AF94" i="37" s="1"/>
  <c r="AF55" i="37" a="1"/>
  <c r="AF55" i="37" s="1"/>
  <c r="AF258" i="37" a="1"/>
  <c r="AF258" i="37" s="1"/>
  <c r="AF137" i="37" a="1"/>
  <c r="AF137" i="37" s="1"/>
  <c r="AF54" i="37" a="1"/>
  <c r="AF54" i="37" s="1"/>
  <c r="AF418" i="37" a="1"/>
  <c r="AF418" i="37" s="1"/>
  <c r="AF174" i="37" a="1"/>
  <c r="AF174" i="37" s="1"/>
  <c r="AF311" i="37" a="1"/>
  <c r="AF311" i="37" s="1"/>
  <c r="AF416" i="37" a="1"/>
  <c r="AF416" i="37" s="1"/>
  <c r="AF312" i="37" a="1"/>
  <c r="AF312" i="37" s="1"/>
  <c r="AF145" i="37" a="1"/>
  <c r="AF145" i="37" s="1"/>
  <c r="AF278" i="37" a="1"/>
  <c r="AF278" i="37" s="1"/>
  <c r="AF181" i="37" a="1"/>
  <c r="AF181" i="37" s="1"/>
  <c r="AF375" i="37" a="1"/>
  <c r="AF375" i="37" s="1"/>
  <c r="AF146" i="37" a="1"/>
  <c r="AF146" i="37" s="1"/>
  <c r="AF388" i="37" a="1"/>
  <c r="AF388" i="37" s="1"/>
  <c r="AF419" i="37" a="1"/>
  <c r="AF419" i="37" s="1"/>
  <c r="AF60" i="37" a="1"/>
  <c r="AF60" i="37" s="1"/>
  <c r="AF81" i="37" a="1"/>
  <c r="AF81" i="37" s="1"/>
  <c r="AF149" i="37" a="1"/>
  <c r="AF149" i="37" s="1"/>
  <c r="AF246" i="37" a="1"/>
  <c r="AF246" i="37" s="1"/>
  <c r="AF590" i="37" a="1"/>
  <c r="AF590" i="37" s="1"/>
  <c r="AF254" i="37" a="1"/>
  <c r="AF254" i="37" s="1"/>
  <c r="AF373" i="37" a="1"/>
  <c r="AF373" i="37" s="1"/>
  <c r="AF376" i="37" a="1"/>
  <c r="AF376" i="37" s="1"/>
  <c r="AF378" i="37" a="1"/>
  <c r="AF378" i="37" s="1"/>
  <c r="AF410" i="37" a="1"/>
  <c r="AF410" i="37" s="1"/>
  <c r="AF409" i="37" a="1"/>
  <c r="AF409" i="37" s="1"/>
  <c r="AF420" i="37" a="1"/>
  <c r="AF420" i="37" s="1"/>
  <c r="AF248" i="37" a="1"/>
  <c r="AF248" i="37" s="1"/>
  <c r="AF247" i="37" a="1"/>
  <c r="AF247" i="37" s="1"/>
  <c r="AF259" i="37" a="1"/>
  <c r="AF259" i="37" s="1"/>
  <c r="AF402" i="37" a="1"/>
  <c r="AF402" i="37" s="1"/>
  <c r="AF415" i="37" a="1"/>
  <c r="AF415" i="37" s="1"/>
  <c r="AF417" i="37" a="1"/>
  <c r="AF417" i="37" s="1"/>
  <c r="AF53" i="37" a="1"/>
  <c r="AF53" i="37" s="1"/>
  <c r="AF140" i="37" a="1"/>
  <c r="AF140" i="37" s="1"/>
  <c r="AF142" i="37" a="1"/>
  <c r="AF142" i="37" s="1"/>
  <c r="AF109" i="37" a="1"/>
  <c r="AF109" i="37" s="1"/>
  <c r="AF313" i="37" a="1"/>
  <c r="AF313" i="37" s="1"/>
  <c r="AF314" i="37" a="1"/>
  <c r="AF314" i="37" s="1"/>
  <c r="AF601" i="37" a="1"/>
  <c r="AF601" i="37" s="1"/>
  <c r="AF315" i="37" a="1"/>
  <c r="AF315" i="37" s="1"/>
  <c r="AF618" i="37" a="1"/>
  <c r="AF618" i="37" s="1"/>
  <c r="AF143" i="37" a="1"/>
  <c r="AF143" i="37" s="1"/>
  <c r="AF622" i="37" a="1"/>
  <c r="AF622" i="37" s="1"/>
  <c r="AF316" i="37" a="1"/>
  <c r="AF316" i="37" s="1"/>
  <c r="AF552" i="37" a="1"/>
  <c r="AF552" i="37" s="1"/>
  <c r="AF317" i="37" a="1"/>
  <c r="AF317" i="37" s="1"/>
  <c r="AF182" i="37" a="1"/>
  <c r="AF182" i="37" s="1"/>
  <c r="AF200" i="37" a="1"/>
  <c r="AF200" i="37" s="1"/>
  <c r="AF284" i="37" a="1"/>
  <c r="AF284" i="37" s="1"/>
  <c r="AF427" i="37" a="1"/>
  <c r="AF427" i="37" s="1"/>
  <c r="AF147" i="37" a="1"/>
  <c r="AF147" i="37" s="1"/>
  <c r="AF173" i="37" a="1"/>
  <c r="AF173" i="37" s="1"/>
  <c r="AF318" i="37" a="1"/>
  <c r="AF318" i="37" s="1"/>
  <c r="AF435" i="37" a="1"/>
  <c r="AF435" i="37" s="1"/>
  <c r="AF285" i="37" a="1"/>
  <c r="AF285" i="37" s="1"/>
  <c r="AF602" i="37" a="1"/>
  <c r="AF602" i="37" s="1"/>
  <c r="AF319" i="37" a="1"/>
  <c r="AF319" i="37" s="1"/>
  <c r="AF148" i="37" a="1"/>
  <c r="AF148" i="37" s="1"/>
  <c r="AF320" i="37" a="1"/>
  <c r="AF320" i="37" s="1"/>
  <c r="AF321" i="37" a="1"/>
  <c r="AF321" i="37" s="1"/>
  <c r="AF150" i="37" a="1"/>
  <c r="AF150" i="37" s="1"/>
  <c r="AF322" i="37" a="1"/>
  <c r="AF322" i="37" s="1"/>
  <c r="AF323" i="37" a="1"/>
  <c r="AF323" i="37" s="1"/>
  <c r="AF621" i="37" a="1"/>
  <c r="AF621" i="37" s="1"/>
  <c r="AF424" i="37" a="1"/>
  <c r="AF424" i="37" s="1"/>
  <c r="AF201" i="37" a="1"/>
  <c r="AF201" i="37" s="1"/>
  <c r="AF440" i="37" a="1"/>
  <c r="AF440" i="37" s="1"/>
  <c r="AF110" i="37" a="1"/>
  <c r="AF110" i="37" s="1"/>
  <c r="AF286" i="37" a="1"/>
  <c r="AF286" i="37" s="1"/>
  <c r="AF325" i="37" a="1"/>
  <c r="AF325" i="37" s="1"/>
  <c r="AF423" i="37" a="1"/>
  <c r="AF423" i="37" s="1"/>
  <c r="AF431" i="37" a="1"/>
  <c r="AF431" i="37" s="1"/>
  <c r="AF421" i="37" a="1"/>
  <c r="AF421" i="37" s="1"/>
  <c r="AF245" i="37" a="1"/>
  <c r="AF245" i="37" s="1"/>
  <c r="AF434" i="37" a="1"/>
  <c r="AF434" i="37" s="1"/>
  <c r="AF324" i="37" a="1"/>
  <c r="AF324" i="37" s="1"/>
  <c r="AF572" i="37" a="1"/>
  <c r="AF572" i="37" s="1"/>
  <c r="AF202" i="37" a="1"/>
  <c r="AF202" i="37" s="1"/>
  <c r="AF588" i="37" a="1"/>
  <c r="AF588" i="37" s="1"/>
  <c r="AF603" i="37" a="1"/>
  <c r="AF603" i="37" s="1"/>
  <c r="AF619" i="37" a="1"/>
  <c r="AF619" i="37" s="1"/>
  <c r="AF250" i="37" a="1"/>
  <c r="AF250" i="37" s="1"/>
  <c r="AF441" i="37" a="1"/>
  <c r="AF441" i="37" s="1"/>
  <c r="AF438" i="37" a="1"/>
  <c r="AF438" i="37" s="1"/>
  <c r="AF327" i="37" a="1"/>
  <c r="AF327" i="37" s="1"/>
  <c r="AF426" i="37" a="1"/>
  <c r="AF426" i="37" s="1"/>
  <c r="AF287" i="37" a="1"/>
  <c r="AF287" i="37" s="1"/>
  <c r="AF95" i="37" a="1"/>
  <c r="AF95" i="37" s="1"/>
  <c r="AF326" i="37" a="1"/>
  <c r="AF326" i="37" s="1"/>
  <c r="AF249" i="37" a="1"/>
  <c r="AF249" i="37" s="1"/>
  <c r="AF425" i="37" a="1"/>
  <c r="AF425" i="37" s="1"/>
  <c r="AF604" i="37" a="1"/>
  <c r="AF604" i="37" s="1"/>
  <c r="AF162" i="37" a="1"/>
  <c r="AF162" i="37" s="1"/>
  <c r="AF276" i="37" a="1"/>
  <c r="AF276" i="37" s="1"/>
  <c r="AF328" i="37" a="1"/>
  <c r="AF328" i="37" s="1"/>
  <c r="AF472" i="37" a="1"/>
  <c r="AF472" i="37" s="1"/>
  <c r="AF272" i="37" a="1"/>
  <c r="AF272" i="37" s="1"/>
  <c r="AF255" i="37" a="1"/>
  <c r="AF255" i="37" s="1"/>
  <c r="AF277" i="37" a="1"/>
  <c r="AF277" i="37" s="1"/>
  <c r="AF442" i="37" a="1"/>
  <c r="AF442" i="37" s="1"/>
  <c r="AF591" i="37" a="1"/>
  <c r="AF591" i="37" s="1"/>
  <c r="AF592" i="37" a="1"/>
  <c r="AF592" i="37" s="1"/>
  <c r="AF329" i="37" a="1"/>
  <c r="AF329" i="37" s="1"/>
  <c r="AF473" i="37" a="1"/>
  <c r="AF473" i="37" s="1"/>
  <c r="AF474" i="37" a="1"/>
  <c r="AF474" i="37" s="1"/>
  <c r="AF428" i="37" a="1"/>
  <c r="AF428" i="37" s="1"/>
  <c r="AF330" i="37" a="1"/>
  <c r="AF330" i="37" s="1"/>
  <c r="AF257" i="37" a="1"/>
  <c r="AF257" i="37" s="1"/>
  <c r="AF429" i="37" a="1"/>
  <c r="AF429" i="37" s="1"/>
  <c r="AF263" i="37" a="1"/>
  <c r="AF263" i="37" s="1"/>
  <c r="AF444" i="37" a="1"/>
  <c r="AF444" i="37" s="1"/>
  <c r="AF430" i="37" a="1"/>
  <c r="AF430" i="37" s="1"/>
  <c r="AF432" i="37" a="1"/>
  <c r="AF432" i="37" s="1"/>
  <c r="AF260" i="37" a="1"/>
  <c r="AF260" i="37" s="1"/>
  <c r="AF261" i="37" a="1"/>
  <c r="AF261" i="37" s="1"/>
  <c r="AF262" i="37" a="1"/>
  <c r="AF262" i="37" s="1"/>
  <c r="AF331" i="37" a="1"/>
  <c r="AF331" i="37" s="1"/>
  <c r="AF374" i="37" a="1"/>
  <c r="AF374" i="37" s="1"/>
  <c r="AF332" i="37" a="1"/>
  <c r="AF332" i="37" s="1"/>
  <c r="AF377" i="37" a="1"/>
  <c r="AF377" i="37" s="1"/>
  <c r="AF203" i="37" a="1"/>
  <c r="AF203" i="37" s="1"/>
  <c r="AF111" i="37" a="1"/>
  <c r="AF111" i="37" s="1"/>
  <c r="AF379" i="37" a="1"/>
  <c r="AF379" i="37" s="1"/>
  <c r="AF333" i="37" a="1"/>
  <c r="AF333" i="37" s="1"/>
  <c r="AF334" i="37" a="1"/>
  <c r="AF334" i="37" s="1"/>
  <c r="AF443" i="37" a="1"/>
  <c r="AF443" i="37" s="1"/>
  <c r="AF459" i="37" a="1"/>
  <c r="AF459" i="37" s="1"/>
  <c r="AF289" i="37" a="1"/>
  <c r="AF289" i="37" s="1"/>
  <c r="AF475" i="37" a="1"/>
  <c r="AF475" i="37" s="1"/>
  <c r="AF335" i="37" a="1"/>
  <c r="AF335" i="37" s="1"/>
  <c r="AF112" i="37" a="1"/>
  <c r="AF112" i="37" s="1"/>
  <c r="AF422" i="37" a="1"/>
  <c r="AF422" i="37" s="1"/>
  <c r="AF381" i="37" a="1"/>
  <c r="AF381" i="37" s="1"/>
  <c r="AF605" i="37" a="1"/>
  <c r="AF605" i="37" s="1"/>
  <c r="AF616" i="37" a="1"/>
  <c r="AF616" i="37" s="1"/>
  <c r="AF383" i="37" a="1"/>
  <c r="AF383" i="37" s="1"/>
  <c r="AF183" i="37" a="1"/>
  <c r="AF183" i="37" s="1"/>
  <c r="AF433" i="37" a="1"/>
  <c r="AF433" i="37" s="1"/>
  <c r="AF336" i="37" a="1"/>
  <c r="AF336" i="37" s="1"/>
  <c r="AF337" i="37" a="1"/>
  <c r="AF337" i="37" s="1"/>
  <c r="AF386" i="37" a="1"/>
  <c r="AF386" i="37" s="1"/>
  <c r="AF338" i="37" a="1"/>
  <c r="AF338" i="37" s="1"/>
  <c r="AF617" i="37" a="1"/>
  <c r="AF617" i="37" s="1"/>
  <c r="AF389" i="37" a="1"/>
  <c r="AF389" i="37" s="1"/>
  <c r="AF606" i="37" a="1"/>
  <c r="AF606" i="37" s="1"/>
  <c r="AF204" i="37" a="1"/>
  <c r="AF204" i="37" s="1"/>
  <c r="AF291" i="37" a="1"/>
  <c r="AF291" i="37" s="1"/>
  <c r="AF390" i="37" a="1"/>
  <c r="AF390" i="37" s="1"/>
  <c r="AF394" i="37" a="1"/>
  <c r="AF394" i="37" s="1"/>
  <c r="AF398" i="37" a="1"/>
  <c r="AF398" i="37" s="1"/>
  <c r="AF400" i="37" a="1"/>
  <c r="AF400" i="37" s="1"/>
  <c r="AF476" i="37" a="1"/>
  <c r="AF476" i="37" s="1"/>
  <c r="AF399" i="37" a="1"/>
  <c r="AF399" i="37" s="1"/>
  <c r="AF403" i="37" a="1"/>
  <c r="AF403" i="37" s="1"/>
  <c r="AF477" i="37" a="1"/>
  <c r="AF477" i="37" s="1"/>
  <c r="AF408" i="37" a="1"/>
  <c r="AF408" i="37" s="1"/>
  <c r="AF439" i="37" a="1"/>
  <c r="AF439" i="37" s="1"/>
  <c r="AF573" i="37" a="1"/>
  <c r="AF573" i="37" s="1"/>
  <c r="AF413" i="37" a="1"/>
  <c r="AF413" i="37" s="1"/>
  <c r="AF607" i="37" a="1"/>
  <c r="AF607" i="37" s="1"/>
  <c r="AF412" i="37" a="1"/>
  <c r="AF412" i="37" s="1"/>
  <c r="AF113" i="37" a="1"/>
  <c r="AF113" i="37" s="1"/>
  <c r="AF414" i="37" a="1"/>
  <c r="AF414" i="37" s="1"/>
  <c r="AF411" i="37" a="1"/>
  <c r="AF411" i="37" s="1"/>
  <c r="AF138" i="37" a="1"/>
  <c r="AF138" i="37" s="1"/>
  <c r="AF139" i="37" a="1"/>
  <c r="AF139" i="37" s="1"/>
  <c r="AF339" i="37" a="1"/>
  <c r="AF339" i="37" s="1"/>
  <c r="AF478" i="37" a="1"/>
  <c r="AF478" i="37" s="1"/>
  <c r="AF141" i="37" a="1"/>
  <c r="AF141" i="37" s="1"/>
  <c r="AF479" i="37" a="1"/>
  <c r="AF479" i="37" s="1"/>
  <c r="AF340" i="37" a="1"/>
  <c r="AF340" i="37" s="1"/>
  <c r="AF144" i="37" a="1"/>
  <c r="AF144" i="37" s="1"/>
  <c r="AF567" i="37" a="1"/>
  <c r="AF567" i="37" s="1"/>
  <c r="AF586" i="37" a="1"/>
  <c r="AF586" i="37" s="1"/>
  <c r="AF587" i="37" a="1"/>
  <c r="AF587" i="37" s="1"/>
  <c r="AF589" i="37" a="1"/>
  <c r="AF589" i="37" s="1"/>
  <c r="AF625" i="37" a="1"/>
  <c r="AF625" i="37" s="1"/>
  <c r="AF480" i="37" a="1"/>
  <c r="AF480" i="37" s="1"/>
  <c r="AF342" i="37" a="1"/>
  <c r="AF342" i="37" s="1"/>
  <c r="AF253" i="37" a="1"/>
  <c r="AF253" i="37" s="1"/>
  <c r="AF341" i="37" a="1"/>
  <c r="AF341" i="37" s="1"/>
  <c r="AF252" i="37" a="1"/>
  <c r="AF252" i="37" s="1"/>
  <c r="AF482" i="37" a="1"/>
  <c r="AF482" i="37" s="1"/>
  <c r="AF481" i="37" a="1"/>
  <c r="AF481" i="37" s="1"/>
  <c r="AF343" i="37" a="1"/>
  <c r="AF343" i="37" s="1"/>
  <c r="AF251" i="37" a="1"/>
  <c r="AF251" i="37" s="1"/>
  <c r="AF256" i="37" a="1"/>
  <c r="AF256" i="37" s="1"/>
  <c r="AF264" i="37" a="1"/>
  <c r="AF264" i="37" s="1"/>
  <c r="AF593" i="37" a="1"/>
  <c r="AF593" i="37" s="1"/>
  <c r="AF345" i="37" a="1"/>
  <c r="AF345" i="37" s="1"/>
  <c r="AF484" i="37" a="1"/>
  <c r="AF484" i="37" s="1"/>
  <c r="AF483" i="37" a="1"/>
  <c r="AF483" i="37" s="1"/>
  <c r="AF344" i="37" a="1"/>
  <c r="AF344" i="37" s="1"/>
  <c r="AF458" i="37" a="1"/>
  <c r="AF458" i="37" s="1"/>
  <c r="AF486" i="37" a="1"/>
  <c r="AF486" i="37" s="1"/>
  <c r="AF485" i="37" a="1"/>
  <c r="AF485" i="37" s="1"/>
  <c r="AF626" i="37" a="1"/>
  <c r="AF626" i="37" s="1"/>
  <c r="AF346" i="37" a="1"/>
  <c r="AF346" i="37" s="1"/>
  <c r="AF628" i="37" a="1"/>
  <c r="AF628" i="37" s="1"/>
  <c r="AF380" i="37" a="1"/>
  <c r="AF380" i="37" s="1"/>
  <c r="AF382" i="37" a="1"/>
  <c r="AF382" i="37" s="1"/>
  <c r="AF627" i="37" a="1"/>
  <c r="AF627" i="37" s="1"/>
  <c r="AF384" i="37" a="1"/>
  <c r="AF384" i="37" s="1"/>
  <c r="AF387" i="37" a="1"/>
  <c r="AF387" i="37" s="1"/>
  <c r="AF391" i="37" a="1"/>
  <c r="AF391" i="37" s="1"/>
  <c r="AF392" i="37" a="1"/>
  <c r="AF392" i="37" s="1"/>
  <c r="AF393" i="37" a="1"/>
  <c r="AF393" i="37" s="1"/>
  <c r="AF397" i="37" a="1"/>
  <c r="AF397" i="37" s="1"/>
  <c r="AF396" i="37" a="1"/>
  <c r="AF396" i="37" s="1"/>
  <c r="AF401" i="37" a="1"/>
  <c r="AF401" i="37" s="1"/>
  <c r="AF405" i="37" a="1"/>
  <c r="AF405" i="37" s="1"/>
  <c r="AF404" i="37" a="1"/>
  <c r="AF404" i="37" s="1"/>
  <c r="AF406" i="37" a="1"/>
  <c r="AF406" i="37" s="1"/>
  <c r="AF487" i="37" a="1"/>
  <c r="AF487" i="37" s="1"/>
  <c r="AF506" i="37" a="1"/>
  <c r="AF506" i="37" s="1"/>
  <c r="AF620" i="37" a="1"/>
  <c r="AF620" i="37" s="1"/>
  <c r="AF466" i="37" a="1"/>
  <c r="AF466" i="37" s="1"/>
  <c r="AF550" i="37" a="1"/>
  <c r="AF550" i="37" s="1"/>
  <c r="AF498" i="37" a="1"/>
  <c r="AF498" i="37" s="1"/>
  <c r="AF521" i="37" a="1"/>
  <c r="AF521" i="37" s="1"/>
  <c r="AF445" i="37" a="1"/>
  <c r="AF445" i="37" s="1"/>
  <c r="AF184" i="37" a="1"/>
  <c r="AF184" i="37" s="1"/>
  <c r="AF348" i="37" a="1"/>
  <c r="AF348" i="37" s="1"/>
  <c r="AF357" i="37" a="1"/>
  <c r="AF357" i="37" s="1"/>
  <c r="AF640" i="37" a="1"/>
  <c r="AF640" i="37" s="1"/>
  <c r="AF469" i="37" a="1"/>
  <c r="AF469" i="37" s="1"/>
  <c r="AF510" i="37" a="1"/>
  <c r="AF510" i="37" s="1"/>
  <c r="AF511" i="37" a="1"/>
  <c r="AF511" i="37" s="1"/>
  <c r="AF528" i="37" a="1"/>
  <c r="AF528" i="37" s="1"/>
  <c r="AF347" i="37" a="1"/>
  <c r="AF347" i="37" s="1"/>
  <c r="AF436" i="37" a="1"/>
  <c r="AF436" i="37" s="1"/>
  <c r="AF517" i="37" a="1"/>
  <c r="AF517" i="37" s="1"/>
  <c r="AF493" i="37" a="1"/>
  <c r="AF493" i="37" s="1"/>
  <c r="AF467" i="37" a="1"/>
  <c r="AF467" i="37" s="1"/>
  <c r="AF293" i="37" a="1"/>
  <c r="AF293" i="37" s="1"/>
  <c r="AF452" i="37" a="1"/>
  <c r="AF452" i="37" s="1"/>
  <c r="AF358" i="37" a="1"/>
  <c r="AF358" i="37" s="1"/>
  <c r="AF455" i="37" a="1"/>
  <c r="AF455" i="37" s="1"/>
  <c r="AF522" i="37" a="1"/>
  <c r="AF522" i="37" s="1"/>
  <c r="AF351" i="37" a="1"/>
  <c r="AF351" i="37" s="1"/>
  <c r="AF610" i="37" a="1"/>
  <c r="AF610" i="37" s="1"/>
  <c r="AF463" i="37" a="1"/>
  <c r="AF463" i="37" s="1"/>
  <c r="AF490" i="37" a="1"/>
  <c r="AF490" i="37" s="1"/>
  <c r="AF500" i="37" a="1"/>
  <c r="AF500" i="37" s="1"/>
  <c r="AF499" i="37" a="1"/>
  <c r="AF499" i="37" s="1"/>
  <c r="AF523" i="37" a="1"/>
  <c r="AF523" i="37" s="1"/>
  <c r="AF470" i="37" a="1"/>
  <c r="AF470" i="37" s="1"/>
  <c r="AF273" i="37" a="1"/>
  <c r="AF273" i="37" s="1"/>
  <c r="AF489" i="37" a="1"/>
  <c r="AF489" i="37" s="1"/>
  <c r="AF488" i="37" a="1"/>
  <c r="AF488" i="37" s="1"/>
  <c r="AF288" i="37" a="1"/>
  <c r="AF288" i="37" s="1"/>
  <c r="AF292" i="37" a="1"/>
  <c r="AF292" i="37" s="1"/>
  <c r="AF491" i="37" a="1"/>
  <c r="AF491" i="37" s="1"/>
  <c r="AF448" i="37" a="1"/>
  <c r="AF448" i="37" s="1"/>
  <c r="AF494" i="37" a="1"/>
  <c r="AF494" i="37" s="1"/>
  <c r="AF451" i="37" a="1"/>
  <c r="AF451" i="37" s="1"/>
  <c r="AF512" i="37" a="1"/>
  <c r="AF512" i="37" s="1"/>
  <c r="AF525" i="37" a="1"/>
  <c r="AF525" i="37" s="1"/>
  <c r="AF527" i="37" a="1"/>
  <c r="AF527" i="37" s="1"/>
  <c r="AF524" i="37" a="1"/>
  <c r="AF524" i="37" s="1"/>
  <c r="AF639" i="37" a="1"/>
  <c r="AF639" i="37" s="1"/>
  <c r="AF356" i="37" a="1"/>
  <c r="AF356" i="37" s="1"/>
  <c r="AF453" i="37" a="1"/>
  <c r="AF453" i="37" s="1"/>
  <c r="AF460" i="37" a="1"/>
  <c r="AF460" i="37" s="1"/>
  <c r="AF290" i="37" a="1"/>
  <c r="AF290" i="37" s="1"/>
  <c r="AF611" i="37" a="1"/>
  <c r="AF611" i="37" s="1"/>
  <c r="AF492" i="37" a="1"/>
  <c r="AF492" i="37" s="1"/>
  <c r="AF495" i="37" a="1"/>
  <c r="AF495" i="37" s="1"/>
  <c r="AF294" i="37" a="1"/>
  <c r="AF294" i="37" s="1"/>
  <c r="AF496" i="37" a="1"/>
  <c r="AF496" i="37" s="1"/>
  <c r="AF497" i="37" a="1"/>
  <c r="AF497" i="37" s="1"/>
  <c r="AF502" i="37" a="1"/>
  <c r="AF502" i="37" s="1"/>
  <c r="AF446" i="37" a="1"/>
  <c r="AF446" i="37" s="1"/>
  <c r="AF503" i="37" a="1"/>
  <c r="AF503" i="37" s="1"/>
  <c r="AF449" i="37" a="1"/>
  <c r="AF449" i="37" s="1"/>
  <c r="AF631" i="37" a="1"/>
  <c r="AF631" i="37" s="1"/>
  <c r="AF504" i="37" a="1"/>
  <c r="AF504" i="37" s="1"/>
  <c r="AF630" i="37" a="1"/>
  <c r="AF630" i="37" s="1"/>
  <c r="AF629" i="37" a="1"/>
  <c r="AF629" i="37" s="1"/>
  <c r="AF623" i="37" a="1"/>
  <c r="AF623" i="37" s="1"/>
  <c r="AF501" i="37" a="1"/>
  <c r="AF501" i="37" s="1"/>
  <c r="AF505" i="37" a="1"/>
  <c r="AF505" i="37" s="1"/>
  <c r="AF508" i="37" a="1"/>
  <c r="AF508" i="37" s="1"/>
  <c r="AF509" i="37" a="1"/>
  <c r="AF509" i="37" s="1"/>
  <c r="AF513" i="37" a="1"/>
  <c r="AF513" i="37" s="1"/>
  <c r="AF632" i="37" a="1"/>
  <c r="AF632" i="37" s="1"/>
  <c r="AF514" i="37" a="1"/>
  <c r="AF514" i="37" s="1"/>
  <c r="AF515" i="37" a="1"/>
  <c r="AF515" i="37" s="1"/>
  <c r="AF519" i="37" a="1"/>
  <c r="AF519" i="37" s="1"/>
  <c r="AF518" i="37" a="1"/>
  <c r="AF518" i="37" s="1"/>
  <c r="AF520" i="37" a="1"/>
  <c r="AF520" i="37" s="1"/>
  <c r="AF114" i="37" a="1"/>
  <c r="AF114" i="37" s="1"/>
  <c r="AF205" i="37" a="1"/>
  <c r="AF205" i="37" s="1"/>
  <c r="AF349" i="37" a="1"/>
  <c r="AF349" i="37" s="1"/>
  <c r="AF350" i="37" a="1"/>
  <c r="AF350" i="37" s="1"/>
  <c r="AF608" i="37" a="1"/>
  <c r="AF608" i="37" s="1"/>
  <c r="AF609" i="37" a="1"/>
  <c r="AF609" i="37" s="1"/>
  <c r="AF352" i="37" a="1"/>
  <c r="AF352" i="37" s="1"/>
  <c r="AF355" i="37" a="1"/>
  <c r="AF355" i="37" s="1"/>
  <c r="AF353" i="37" a="1"/>
  <c r="AF353" i="37" s="1"/>
  <c r="AF468" i="37" a="1"/>
  <c r="AF468" i="37" s="1"/>
  <c r="AF354" i="37" a="1"/>
  <c r="AF354" i="37" s="1"/>
  <c r="AF295" i="37" a="1"/>
  <c r="AF295" i="37" s="1"/>
  <c r="AF447" i="37" a="1"/>
  <c r="AF447" i="37" s="1"/>
  <c r="AF450" i="37" a="1"/>
  <c r="AF450" i="37" s="1"/>
  <c r="AF454" i="37" a="1"/>
  <c r="AF454" i="37" s="1"/>
  <c r="AF359" i="37" a="1"/>
  <c r="AF359" i="37" s="1"/>
  <c r="AF456" i="37" a="1"/>
  <c r="AF456" i="37" s="1"/>
  <c r="AF457" i="37" a="1"/>
  <c r="AF457" i="37" s="1"/>
  <c r="AF360" i="37" a="1"/>
  <c r="AF360" i="37" s="1"/>
  <c r="AF462" i="37" a="1"/>
  <c r="AF462" i="37" s="1"/>
  <c r="AF461" i="37" a="1"/>
  <c r="AF461" i="37" s="1"/>
  <c r="AF633" i="37" a="1"/>
  <c r="AF633" i="37" s="1"/>
  <c r="AF464" i="37" a="1"/>
  <c r="AF464" i="37" s="1"/>
  <c r="AF624" i="37" a="1"/>
  <c r="AF624" i="37" s="1"/>
  <c r="AF465" i="37" a="1"/>
  <c r="AF465" i="37" s="1"/>
  <c r="AF516" i="37" a="1"/>
  <c r="AF516" i="37" s="1"/>
  <c r="AF634" i="37" a="1"/>
  <c r="AF634" i="37" s="1"/>
  <c r="AF635" i="37" a="1"/>
  <c r="AF635" i="37" s="1"/>
  <c r="AF638" i="37" a="1"/>
  <c r="AF638" i="37" s="1"/>
  <c r="AF637" i="37" a="1"/>
  <c r="AF637" i="37" s="1"/>
  <c r="AF636" i="37" a="1"/>
  <c r="AF636" i="37" s="1"/>
  <c r="AF529" i="37" a="1"/>
  <c r="AF529" i="37" s="1"/>
  <c r="AF530" i="37" a="1"/>
  <c r="AF530" i="37" s="1"/>
  <c r="AF531" i="37" a="1"/>
  <c r="AF531" i="37" s="1"/>
  <c r="AF532" i="37" a="1"/>
  <c r="AF532" i="37" s="1"/>
  <c r="AE2" i="37" a="1"/>
  <c r="AE2" i="37" s="1"/>
  <c r="AE3" i="37" a="1"/>
  <c r="AE3" i="37" s="1"/>
  <c r="AE10" i="37" a="1"/>
  <c r="AE10" i="37" s="1"/>
  <c r="AE534" i="37" a="1"/>
  <c r="AE534" i="37" s="1"/>
  <c r="AE533" i="37" a="1"/>
  <c r="AE533" i="37" s="1"/>
  <c r="AE6" i="37" a="1"/>
  <c r="AE6" i="37" s="1"/>
  <c r="AE5" i="37" a="1"/>
  <c r="AE5" i="37" s="1"/>
  <c r="AE11" i="37" a="1"/>
  <c r="AE11" i="37" s="1"/>
  <c r="AE4" i="37" a="1"/>
  <c r="AE4" i="37" s="1"/>
  <c r="AE23" i="37" a="1"/>
  <c r="AE23" i="37" s="1"/>
  <c r="AE7" i="37" a="1"/>
  <c r="AE7" i="37" s="1"/>
  <c r="AE13" i="37" a="1"/>
  <c r="AE13" i="37" s="1"/>
  <c r="AE24" i="37" a="1"/>
  <c r="AE24" i="37" s="1"/>
  <c r="AE36" i="37" a="1"/>
  <c r="AE36" i="37" s="1"/>
  <c r="AE25" i="37" a="1"/>
  <c r="AE25" i="37" s="1"/>
  <c r="AE37" i="37" a="1"/>
  <c r="AE37" i="37" s="1"/>
  <c r="AE20" i="37" a="1"/>
  <c r="AE20" i="37" s="1"/>
  <c r="AE14" i="37" a="1"/>
  <c r="AE14" i="37" s="1"/>
  <c r="AE15" i="37" a="1"/>
  <c r="AE15" i="37" s="1"/>
  <c r="AE19" i="37" a="1"/>
  <c r="AE19" i="37" s="1"/>
  <c r="AE22" i="37" a="1"/>
  <c r="AE22" i="37" s="1"/>
  <c r="AE26" i="37" a="1"/>
  <c r="AE26" i="37" s="1"/>
  <c r="AE537" i="37" a="1"/>
  <c r="AE537" i="37" s="1"/>
  <c r="AE27" i="37" a="1"/>
  <c r="AE27" i="37" s="1"/>
  <c r="AE21" i="37" a="1"/>
  <c r="AE21" i="37" s="1"/>
  <c r="AE38" i="37" a="1"/>
  <c r="AE38" i="37" s="1"/>
  <c r="AE538" i="37" a="1"/>
  <c r="AE538" i="37" s="1"/>
  <c r="AE28" i="37" a="1"/>
  <c r="AE28" i="37" s="1"/>
  <c r="AE16" i="37" a="1"/>
  <c r="AE16" i="37" s="1"/>
  <c r="AE39" i="37" a="1"/>
  <c r="AE39" i="37" s="1"/>
  <c r="AE40" i="37" a="1"/>
  <c r="AE40" i="37" s="1"/>
  <c r="AE29" i="37" a="1"/>
  <c r="AE29" i="37" s="1"/>
  <c r="AE41" i="37" a="1"/>
  <c r="AE41" i="37" s="1"/>
  <c r="AE33" i="37" a="1"/>
  <c r="AE33" i="37" s="1"/>
  <c r="AE42" i="37" a="1"/>
  <c r="AE42" i="37" s="1"/>
  <c r="AE539" i="37" a="1"/>
  <c r="AE539" i="37" s="1"/>
  <c r="AE85" i="37" a="1"/>
  <c r="AE85" i="37" s="1"/>
  <c r="AE43" i="37" a="1"/>
  <c r="AE43" i="37" s="1"/>
  <c r="AE44" i="37" a="1"/>
  <c r="AE44" i="37" s="1"/>
  <c r="AE535" i="37" a="1"/>
  <c r="AE535" i="37" s="1"/>
  <c r="AE45" i="37" a="1"/>
  <c r="AE45" i="37" s="1"/>
  <c r="AE17" i="37" a="1"/>
  <c r="AE17" i="37" s="1"/>
  <c r="AE70" i="37" a="1"/>
  <c r="AE70" i="37" s="1"/>
  <c r="AE30" i="37" a="1"/>
  <c r="AE30" i="37" s="1"/>
  <c r="AE18" i="37" a="1"/>
  <c r="AE18" i="37" s="1"/>
  <c r="AE62" i="37" a="1"/>
  <c r="AE62" i="37" s="1"/>
  <c r="AE57" i="37" a="1"/>
  <c r="AE57" i="37" s="1"/>
  <c r="AE46" i="37" a="1"/>
  <c r="AE46" i="37" s="1"/>
  <c r="AE61" i="37" a="1"/>
  <c r="AE61" i="37" s="1"/>
  <c r="AE71" i="37" a="1"/>
  <c r="AE71" i="37" s="1"/>
  <c r="AE31" i="37" a="1"/>
  <c r="AE31" i="37" s="1"/>
  <c r="AE541" i="37" a="1"/>
  <c r="AE541" i="37" s="1"/>
  <c r="AE56" i="37" a="1"/>
  <c r="AE56" i="37" s="1"/>
  <c r="AE536" i="37" a="1"/>
  <c r="AE536" i="37" s="1"/>
  <c r="AE47" i="37" a="1"/>
  <c r="AE47" i="37" s="1"/>
  <c r="AE86" i="37" a="1"/>
  <c r="AE86" i="37" s="1"/>
  <c r="AE72" i="37" a="1"/>
  <c r="AE72" i="37" s="1"/>
  <c r="AE48" i="37" a="1"/>
  <c r="AE48" i="37" s="1"/>
  <c r="AE547" i="37" a="1"/>
  <c r="AE547" i="37" s="1"/>
  <c r="AE115" i="37" a="1"/>
  <c r="AE115" i="37" s="1"/>
  <c r="AE562" i="37" a="1"/>
  <c r="AE562" i="37" s="1"/>
  <c r="AE58" i="37" a="1"/>
  <c r="AE58" i="37" s="1"/>
  <c r="AE63" i="37" a="1"/>
  <c r="AE63" i="37" s="1"/>
  <c r="AE34" i="37" a="1"/>
  <c r="AE34" i="37" s="1"/>
  <c r="AE540" i="37" a="1"/>
  <c r="AE540" i="37" s="1"/>
  <c r="AE116" i="37" a="1"/>
  <c r="AE116" i="37" s="1"/>
  <c r="AE12" i="37" a="1"/>
  <c r="AE12" i="37" s="1"/>
  <c r="AE32" i="37" a="1"/>
  <c r="AE32" i="37" s="1"/>
  <c r="AE73" i="37" a="1"/>
  <c r="AE73" i="37" s="1"/>
  <c r="AE74" i="37" a="1"/>
  <c r="AE74" i="37" s="1"/>
  <c r="AE542" i="37" a="1"/>
  <c r="AE542" i="37" s="1"/>
  <c r="AE75" i="37" a="1"/>
  <c r="AE75" i="37" s="1"/>
  <c r="AE543" i="37" a="1"/>
  <c r="AE543" i="37" s="1"/>
  <c r="AE117" i="37" a="1"/>
  <c r="AE117" i="37" s="1"/>
  <c r="AE546" i="37" a="1"/>
  <c r="AE546" i="37" s="1"/>
  <c r="AE99" i="37" a="1"/>
  <c r="AE99" i="37" s="1"/>
  <c r="AE67" i="37" a="1"/>
  <c r="AE67" i="37" s="1"/>
  <c r="AE100" i="37" a="1"/>
  <c r="AE100" i="37" s="1"/>
  <c r="AE68" i="37" a="1"/>
  <c r="AE68" i="37" s="1"/>
  <c r="AE64" i="37" a="1"/>
  <c r="AE64" i="37" s="1"/>
  <c r="AE101" i="37" a="1"/>
  <c r="AE101" i="37" s="1"/>
  <c r="AE65" i="37" a="1"/>
  <c r="AE65" i="37" s="1"/>
  <c r="AE92" i="37" a="1"/>
  <c r="AE92" i="37" s="1"/>
  <c r="AE49" i="37" a="1"/>
  <c r="AE49" i="37" s="1"/>
  <c r="AE185" i="37" a="1"/>
  <c r="AE185" i="37" s="1"/>
  <c r="AE163" i="37" a="1"/>
  <c r="AE163" i="37" s="1"/>
  <c r="AE76" i="37" a="1"/>
  <c r="AE76" i="37" s="1"/>
  <c r="AE87" i="37" a="1"/>
  <c r="AE87" i="37" s="1"/>
  <c r="AE82" i="37" a="1"/>
  <c r="AE82" i="37" s="1"/>
  <c r="AE88" i="37" a="1"/>
  <c r="AE88" i="37" s="1"/>
  <c r="AE554" i="37" a="1"/>
  <c r="AE554" i="37" s="1"/>
  <c r="AE93" i="37" a="1"/>
  <c r="AE93" i="37" s="1"/>
  <c r="AE118" i="37" a="1"/>
  <c r="AE118" i="37" s="1"/>
  <c r="AE83" i="37" a="1"/>
  <c r="AE83" i="37" s="1"/>
  <c r="AE164" i="37" a="1"/>
  <c r="AE164" i="37" s="1"/>
  <c r="AE119" i="37" a="1"/>
  <c r="AE119" i="37" s="1"/>
  <c r="AE549" i="37" a="1"/>
  <c r="AE549" i="37" s="1"/>
  <c r="AE50" i="37" a="1"/>
  <c r="AE50" i="37" s="1"/>
  <c r="AE120" i="37" a="1"/>
  <c r="AE120" i="37" s="1"/>
  <c r="AE121" i="37" a="1"/>
  <c r="AE121" i="37" s="1"/>
  <c r="AE84" i="37" a="1"/>
  <c r="AE84" i="37" s="1"/>
  <c r="AE165" i="37" a="1"/>
  <c r="AE165" i="37" s="1"/>
  <c r="AE206" i="37" a="1"/>
  <c r="AE206" i="37" s="1"/>
  <c r="AE89" i="37" a="1"/>
  <c r="AE89" i="37" s="1"/>
  <c r="AE574" i="37" a="1"/>
  <c r="AE574" i="37" s="1"/>
  <c r="AE166" i="37" a="1"/>
  <c r="AE166" i="37" s="1"/>
  <c r="AE167" i="37" a="1"/>
  <c r="AE167" i="37" s="1"/>
  <c r="AE77" i="37" a="1"/>
  <c r="AE77" i="37" s="1"/>
  <c r="AE123" i="37" a="1"/>
  <c r="AE123" i="37" s="1"/>
  <c r="AE122" i="37" a="1"/>
  <c r="AE122" i="37" s="1"/>
  <c r="AE575" i="37" a="1"/>
  <c r="AE575" i="37" s="1"/>
  <c r="AE96" i="37" a="1"/>
  <c r="AE96" i="37" s="1"/>
  <c r="AE186" i="37" a="1"/>
  <c r="AE186" i="37" s="1"/>
  <c r="AE176" i="37" a="1"/>
  <c r="AE176" i="37" s="1"/>
  <c r="AE151" i="37" a="1"/>
  <c r="AE151" i="37" s="1"/>
  <c r="AE97" i="37" a="1"/>
  <c r="AE97" i="37" s="1"/>
  <c r="AE274" i="37" a="1"/>
  <c r="AE274" i="37" s="1"/>
  <c r="AE545" i="37" a="1"/>
  <c r="AE545" i="37" s="1"/>
  <c r="AE187" i="37" a="1"/>
  <c r="AE187" i="37" s="1"/>
  <c r="AE207" i="37" a="1"/>
  <c r="AE207" i="37" s="1"/>
  <c r="AE9" i="37" a="1"/>
  <c r="AE9" i="37" s="1"/>
  <c r="AE570" i="37" a="1"/>
  <c r="AE570" i="37" s="1"/>
  <c r="AE296" i="37" a="1"/>
  <c r="AE296" i="37" s="1"/>
  <c r="AE102" i="37" a="1"/>
  <c r="AE102" i="37" s="1"/>
  <c r="AE66" i="37" a="1"/>
  <c r="AE66" i="37" s="1"/>
  <c r="AE177" i="37" a="1"/>
  <c r="AE177" i="37" s="1"/>
  <c r="AE297" i="37" a="1"/>
  <c r="AE297" i="37" s="1"/>
  <c r="AE576" i="37" a="1"/>
  <c r="AE576" i="37" s="1"/>
  <c r="AE156" i="37" a="1"/>
  <c r="AE156" i="37" s="1"/>
  <c r="AE188" i="37" a="1"/>
  <c r="AE188" i="37" s="1"/>
  <c r="AE189" i="37" a="1"/>
  <c r="AE189" i="37" s="1"/>
  <c r="AE103" i="37" a="1"/>
  <c r="AE103" i="37" s="1"/>
  <c r="AE190" i="37" a="1"/>
  <c r="AE190" i="37" s="1"/>
  <c r="AE152" i="37" a="1"/>
  <c r="AE152" i="37" s="1"/>
  <c r="AE208" i="37" a="1"/>
  <c r="AE208" i="37" s="1"/>
  <c r="AE209" i="37" a="1"/>
  <c r="AE209" i="37" s="1"/>
  <c r="AE210" i="37" a="1"/>
  <c r="AE210" i="37" s="1"/>
  <c r="AE596" i="37" a="1"/>
  <c r="AE596" i="37" s="1"/>
  <c r="AE168" i="37" a="1"/>
  <c r="AE168" i="37" s="1"/>
  <c r="AE568" i="37" a="1"/>
  <c r="AE568" i="37" s="1"/>
  <c r="AE124" i="37" a="1"/>
  <c r="AE124" i="37" s="1"/>
  <c r="AE571" i="37" a="1"/>
  <c r="AE571" i="37" s="1"/>
  <c r="AE175" i="37" a="1"/>
  <c r="AE175" i="37" s="1"/>
  <c r="AE211" i="37" a="1"/>
  <c r="AE211" i="37" s="1"/>
  <c r="AE104" i="37" a="1"/>
  <c r="AE104" i="37" s="1"/>
  <c r="AE125" i="37" a="1"/>
  <c r="AE125" i="37" s="1"/>
  <c r="AE105" i="37" a="1"/>
  <c r="AE105" i="37" s="1"/>
  <c r="AE126" i="37" a="1"/>
  <c r="AE126" i="37" s="1"/>
  <c r="AE548" i="37" a="1"/>
  <c r="AE548" i="37" s="1"/>
  <c r="AE191" i="37" a="1"/>
  <c r="AE191" i="37" s="1"/>
  <c r="AE563" i="37" a="1"/>
  <c r="AE563" i="37" s="1"/>
  <c r="AE213" i="37" a="1"/>
  <c r="AE213" i="37" s="1"/>
  <c r="AE298" i="37" a="1"/>
  <c r="AE298" i="37" s="1"/>
  <c r="AE106" i="37" a="1"/>
  <c r="AE106" i="37" s="1"/>
  <c r="AE212" i="37" a="1"/>
  <c r="AE212" i="37" s="1"/>
  <c r="AE564" i="37" a="1"/>
  <c r="AE564" i="37" s="1"/>
  <c r="AE577" i="37" a="1"/>
  <c r="AE577" i="37" s="1"/>
  <c r="AE107" i="37" a="1"/>
  <c r="AE107" i="37" s="1"/>
  <c r="AE157" i="37" a="1"/>
  <c r="AE157" i="37" s="1"/>
  <c r="AE214" i="37" a="1"/>
  <c r="AE214" i="37" s="1"/>
  <c r="AE158" i="37" a="1"/>
  <c r="AE158" i="37" s="1"/>
  <c r="AE578" i="37" a="1"/>
  <c r="AE578" i="37" s="1"/>
  <c r="AE215" i="37" a="1"/>
  <c r="AE215" i="37" s="1"/>
  <c r="AE155" i="37" a="1"/>
  <c r="AE155" i="37" s="1"/>
  <c r="AE216" i="37" a="1"/>
  <c r="AE216" i="37" s="1"/>
  <c r="AE217" i="37" a="1"/>
  <c r="AE217" i="37" s="1"/>
  <c r="AE127" i="37" a="1"/>
  <c r="AE127" i="37" s="1"/>
  <c r="AE90" i="37" a="1"/>
  <c r="AE90" i="37" s="1"/>
  <c r="AE153" i="37" a="1"/>
  <c r="AE153" i="37" s="1"/>
  <c r="AE128" i="37" a="1"/>
  <c r="AE128" i="37" s="1"/>
  <c r="AE299" i="37" a="1"/>
  <c r="AE299" i="37" s="1"/>
  <c r="AE192" i="37" a="1"/>
  <c r="AE192" i="37" s="1"/>
  <c r="AE129" i="37" a="1"/>
  <c r="AE129" i="37" s="1"/>
  <c r="AE565" i="37" a="1"/>
  <c r="AE565" i="37" s="1"/>
  <c r="AE130" i="37" a="1"/>
  <c r="AE130" i="37" s="1"/>
  <c r="AE218" i="37" a="1"/>
  <c r="AE218" i="37" s="1"/>
  <c r="AE131" i="37" a="1"/>
  <c r="AE131" i="37" s="1"/>
  <c r="AE154" i="37" a="1"/>
  <c r="AE154" i="37" s="1"/>
  <c r="AE555" i="37" a="1"/>
  <c r="AE555" i="37" s="1"/>
  <c r="AE579" i="37" a="1"/>
  <c r="AE579" i="37" s="1"/>
  <c r="AE132" i="37" a="1"/>
  <c r="AE132" i="37" s="1"/>
  <c r="AE580" i="37" a="1"/>
  <c r="AE580" i="37" s="1"/>
  <c r="AE219" i="37" a="1"/>
  <c r="AE219" i="37" s="1"/>
  <c r="AE133" i="37" a="1"/>
  <c r="AE133" i="37" s="1"/>
  <c r="AE134" i="37" a="1"/>
  <c r="AE134" i="37" s="1"/>
  <c r="AE599" i="37" a="1"/>
  <c r="AE599" i="37" s="1"/>
  <c r="AE220" i="37" a="1"/>
  <c r="AE220" i="37" s="1"/>
  <c r="AE221" i="37" a="1"/>
  <c r="AE221" i="37" s="1"/>
  <c r="AE59" i="37" a="1"/>
  <c r="AE59" i="37" s="1"/>
  <c r="AE222" i="37" a="1"/>
  <c r="AE222" i="37" s="1"/>
  <c r="AE223" i="37" a="1"/>
  <c r="AE223" i="37" s="1"/>
  <c r="AE275" i="37" a="1"/>
  <c r="AE275" i="37" s="1"/>
  <c r="AE51" i="37" a="1"/>
  <c r="AE51" i="37" s="1"/>
  <c r="AE224" i="37" a="1"/>
  <c r="AE224" i="37" s="1"/>
  <c r="AE78" i="37" a="1"/>
  <c r="AE78" i="37" s="1"/>
  <c r="AE225" i="37" a="1"/>
  <c r="AE225" i="37" s="1"/>
  <c r="AE35" i="37" a="1"/>
  <c r="AE35" i="37" s="1"/>
  <c r="AE226" i="37" a="1"/>
  <c r="AE226" i="37" s="1"/>
  <c r="AE169" i="37" a="1"/>
  <c r="AE169" i="37" s="1"/>
  <c r="AE170" i="37" a="1"/>
  <c r="AE170" i="37" s="1"/>
  <c r="AE557" i="37" a="1"/>
  <c r="AE557" i="37" s="1"/>
  <c r="AE361" i="37" a="1"/>
  <c r="AE361" i="37" s="1"/>
  <c r="AE558" i="37" a="1"/>
  <c r="AE558" i="37" s="1"/>
  <c r="AE227" i="37" a="1"/>
  <c r="AE227" i="37" s="1"/>
  <c r="AE556" i="37" a="1"/>
  <c r="AE556" i="37" s="1"/>
  <c r="AE228" i="37" a="1"/>
  <c r="AE228" i="37" s="1"/>
  <c r="AE171" i="37" a="1"/>
  <c r="AE171" i="37" s="1"/>
  <c r="AE178" i="37" a="1"/>
  <c r="AE178" i="37" s="1"/>
  <c r="AE595" i="37" a="1"/>
  <c r="AE595" i="37" s="1"/>
  <c r="AE193" i="37" a="1"/>
  <c r="AE193" i="37" s="1"/>
  <c r="AE69" i="37" a="1"/>
  <c r="AE69" i="37" s="1"/>
  <c r="AE179" i="37" a="1"/>
  <c r="AE179" i="37" s="1"/>
  <c r="AE135" i="37" a="1"/>
  <c r="AE135" i="37" s="1"/>
  <c r="AE108" i="37" a="1"/>
  <c r="AE108" i="37" s="1"/>
  <c r="AE300" i="37" a="1"/>
  <c r="AE300" i="37" s="1"/>
  <c r="AE98" i="37" a="1"/>
  <c r="AE98" i="37" s="1"/>
  <c r="AE159" i="37" a="1"/>
  <c r="AE159" i="37" s="1"/>
  <c r="AE597" i="37" a="1"/>
  <c r="AE597" i="37" s="1"/>
  <c r="AE560" i="37" a="1"/>
  <c r="AE560" i="37" s="1"/>
  <c r="AE79" i="37" a="1"/>
  <c r="AE79" i="37" s="1"/>
  <c r="AE279" i="37" a="1"/>
  <c r="AE279" i="37" s="1"/>
  <c r="AE569" i="37" a="1"/>
  <c r="AE569" i="37" s="1"/>
  <c r="AE229" i="37" a="1"/>
  <c r="AE229" i="37" s="1"/>
  <c r="AE230" i="37" a="1"/>
  <c r="AE230" i="37" s="1"/>
  <c r="AE301" i="37" a="1"/>
  <c r="AE301" i="37" s="1"/>
  <c r="AE437" i="37" a="1"/>
  <c r="AE437" i="37" s="1"/>
  <c r="AE160" i="37" a="1"/>
  <c r="AE160" i="37" s="1"/>
  <c r="AE280" i="37" a="1"/>
  <c r="AE280" i="37" s="1"/>
  <c r="AE302" i="37" a="1"/>
  <c r="AE302" i="37" s="1"/>
  <c r="AE231" i="37" a="1"/>
  <c r="AE231" i="37" s="1"/>
  <c r="AE303" i="37" a="1"/>
  <c r="AE303" i="37" s="1"/>
  <c r="AE304" i="37" a="1"/>
  <c r="AE304" i="37" s="1"/>
  <c r="AE305" i="37" a="1"/>
  <c r="AE305" i="37" s="1"/>
  <c r="AE194" i="37" a="1"/>
  <c r="AE194" i="37" s="1"/>
  <c r="AE265" i="37" a="1"/>
  <c r="AE265" i="37" s="1"/>
  <c r="AE306" i="37" a="1"/>
  <c r="AE306" i="37" s="1"/>
  <c r="AE232" i="37" a="1"/>
  <c r="AE232" i="37" s="1"/>
  <c r="AE195" i="37" a="1"/>
  <c r="AE195" i="37" s="1"/>
  <c r="AE598" i="37" a="1"/>
  <c r="AE598" i="37" s="1"/>
  <c r="AE281" i="37" a="1"/>
  <c r="AE281" i="37" s="1"/>
  <c r="AE600" i="37" a="1"/>
  <c r="AE600" i="37" s="1"/>
  <c r="AE80" i="37" a="1"/>
  <c r="AE80" i="37" s="1"/>
  <c r="AE270" i="37" a="1"/>
  <c r="AE270" i="37" s="1"/>
  <c r="AE180" i="37" a="1"/>
  <c r="AE180" i="37" s="1"/>
  <c r="AE307" i="37" a="1"/>
  <c r="AE307" i="37" s="1"/>
  <c r="AE267" i="37" a="1"/>
  <c r="AE267" i="37" s="1"/>
  <c r="AE196" i="37" a="1"/>
  <c r="AE196" i="37" s="1"/>
  <c r="AE269" i="37" a="1"/>
  <c r="AE269" i="37" s="1"/>
  <c r="AE198" i="37" a="1"/>
  <c r="AE198" i="37" s="1"/>
  <c r="AE282" i="37" a="1"/>
  <c r="AE282" i="37" s="1"/>
  <c r="AE308" i="37" a="1"/>
  <c r="AE308" i="37" s="1"/>
  <c r="AE471" i="37" a="1"/>
  <c r="AE471" i="37" s="1"/>
  <c r="AE283" i="37" a="1"/>
  <c r="AE283" i="37" s="1"/>
  <c r="AE161" i="37" a="1"/>
  <c r="AE161" i="37" s="1"/>
  <c r="AE581" i="37" a="1"/>
  <c r="AE581" i="37" s="1"/>
  <c r="AE234" i="37" a="1"/>
  <c r="AE234" i="37" s="1"/>
  <c r="AE233" i="37" a="1"/>
  <c r="AE233" i="37" s="1"/>
  <c r="AE235" i="37" a="1"/>
  <c r="AE235" i="37" s="1"/>
  <c r="AE268" i="37" a="1"/>
  <c r="AE268" i="37" s="1"/>
  <c r="AE199" i="37" a="1"/>
  <c r="AE199" i="37" s="1"/>
  <c r="AE236" i="37" a="1"/>
  <c r="AE236" i="37" s="1"/>
  <c r="AE582" i="37" a="1"/>
  <c r="AE582" i="37" s="1"/>
  <c r="AE237" i="37" a="1"/>
  <c r="AE237" i="37" s="1"/>
  <c r="AE238" i="37" a="1"/>
  <c r="AE238" i="37" s="1"/>
  <c r="AE583" i="37" a="1"/>
  <c r="AE583" i="37" s="1"/>
  <c r="AE172" i="37" a="1"/>
  <c r="AE172" i="37" s="1"/>
  <c r="AE239" i="37" a="1"/>
  <c r="AE239" i="37" s="1"/>
  <c r="AE363" i="37" a="1"/>
  <c r="AE363" i="37" s="1"/>
  <c r="AE364" i="37" a="1"/>
  <c r="AE364" i="37" s="1"/>
  <c r="AE362" i="37" a="1"/>
  <c r="AE362" i="37" s="1"/>
  <c r="AE594" i="37" a="1"/>
  <c r="AE594" i="37" s="1"/>
  <c r="AE612" i="37" a="1"/>
  <c r="AE612" i="37" s="1"/>
  <c r="AE266" i="37" a="1"/>
  <c r="AE266" i="37" s="1"/>
  <c r="AE309" i="37" a="1"/>
  <c r="AE309" i="37" s="1"/>
  <c r="AE365" i="37" a="1"/>
  <c r="AE365" i="37" s="1"/>
  <c r="AE240" i="37" a="1"/>
  <c r="AE240" i="37" s="1"/>
  <c r="AE91" i="37" a="1"/>
  <c r="AE91" i="37" s="1"/>
  <c r="AE613" i="37" a="1"/>
  <c r="AE613" i="37" s="1"/>
  <c r="AE551" i="37" a="1"/>
  <c r="AE551" i="37" s="1"/>
  <c r="AE271" i="37" a="1"/>
  <c r="AE271" i="37" s="1"/>
  <c r="AE584" i="37" a="1"/>
  <c r="AE584" i="37" s="1"/>
  <c r="AE52" i="37" a="1"/>
  <c r="AE52" i="37" s="1"/>
  <c r="AE366" i="37" a="1"/>
  <c r="AE366" i="37" s="1"/>
  <c r="AE241" i="37" a="1"/>
  <c r="AE241" i="37" s="1"/>
  <c r="AE614" i="37" a="1"/>
  <c r="AE614" i="37" s="1"/>
  <c r="AE367" i="37" a="1"/>
  <c r="AE367" i="37" s="1"/>
  <c r="AE544" i="37" a="1"/>
  <c r="AE544" i="37" s="1"/>
  <c r="AE136" i="37" a="1"/>
  <c r="AE136" i="37" s="1"/>
  <c r="AE585" i="37" a="1"/>
  <c r="AE585" i="37" s="1"/>
  <c r="AE371" i="37" a="1"/>
  <c r="AE371" i="37" s="1"/>
  <c r="AE369" i="37" a="1"/>
  <c r="AE369" i="37" s="1"/>
  <c r="AE615" i="37" a="1"/>
  <c r="AE615" i="37" s="1"/>
  <c r="AE368" i="37" a="1"/>
  <c r="AE368" i="37" s="1"/>
  <c r="AE370" i="37" a="1"/>
  <c r="AE370" i="37" s="1"/>
  <c r="AE242" i="37" a="1"/>
  <c r="AE242" i="37" s="1"/>
  <c r="AE244" i="37" a="1"/>
  <c r="AE244" i="37" s="1"/>
  <c r="AE372" i="37" a="1"/>
  <c r="AE372" i="37" s="1"/>
  <c r="AE566" i="37" a="1"/>
  <c r="AE566" i="37" s="1"/>
  <c r="AE243" i="37" a="1"/>
  <c r="AE243" i="37" s="1"/>
  <c r="AE407" i="37" a="1"/>
  <c r="AE407" i="37" s="1"/>
  <c r="AE8" i="37" a="1"/>
  <c r="AE8" i="37" s="1"/>
  <c r="AE310" i="37" a="1"/>
  <c r="AE310" i="37" s="1"/>
  <c r="AE385" i="37" a="1"/>
  <c r="AE385" i="37" s="1"/>
  <c r="AE94" i="37" a="1"/>
  <c r="AE94" i="37" s="1"/>
  <c r="AE55" i="37" a="1"/>
  <c r="AE55" i="37" s="1"/>
  <c r="AE258" i="37" a="1"/>
  <c r="AE258" i="37" s="1"/>
  <c r="AE137" i="37" a="1"/>
  <c r="AE137" i="37" s="1"/>
  <c r="AE54" i="37" a="1"/>
  <c r="AE54" i="37" s="1"/>
  <c r="AE418" i="37" a="1"/>
  <c r="AE418" i="37" s="1"/>
  <c r="AE174" i="37" a="1"/>
  <c r="AE174" i="37" s="1"/>
  <c r="AE311" i="37" a="1"/>
  <c r="AE311" i="37" s="1"/>
  <c r="AE416" i="37" a="1"/>
  <c r="AE416" i="37" s="1"/>
  <c r="AE312" i="37" a="1"/>
  <c r="AE312" i="37" s="1"/>
  <c r="AE145" i="37" a="1"/>
  <c r="AE145" i="37" s="1"/>
  <c r="AE278" i="37" a="1"/>
  <c r="AE278" i="37" s="1"/>
  <c r="AE181" i="37" a="1"/>
  <c r="AE181" i="37" s="1"/>
  <c r="AE375" i="37" a="1"/>
  <c r="AE375" i="37" s="1"/>
  <c r="AE146" i="37" a="1"/>
  <c r="AE146" i="37" s="1"/>
  <c r="AE388" i="37" a="1"/>
  <c r="AE388" i="37" s="1"/>
  <c r="AE419" i="37" a="1"/>
  <c r="AE419" i="37" s="1"/>
  <c r="AE60" i="37" a="1"/>
  <c r="AE60" i="37" s="1"/>
  <c r="AE81" i="37" a="1"/>
  <c r="AE81" i="37" s="1"/>
  <c r="AE149" i="37" a="1"/>
  <c r="AE149" i="37" s="1"/>
  <c r="AE246" i="37" a="1"/>
  <c r="AE246" i="37" s="1"/>
  <c r="AE590" i="37" a="1"/>
  <c r="AE590" i="37" s="1"/>
  <c r="AE254" i="37" a="1"/>
  <c r="AE254" i="37" s="1"/>
  <c r="AE373" i="37" a="1"/>
  <c r="AE373" i="37" s="1"/>
  <c r="AE376" i="37" a="1"/>
  <c r="AE376" i="37" s="1"/>
  <c r="AE378" i="37" a="1"/>
  <c r="AE378" i="37" s="1"/>
  <c r="AE410" i="37" a="1"/>
  <c r="AE410" i="37" s="1"/>
  <c r="AE409" i="37" a="1"/>
  <c r="AE409" i="37" s="1"/>
  <c r="AE420" i="37" a="1"/>
  <c r="AE420" i="37" s="1"/>
  <c r="AE248" i="37" a="1"/>
  <c r="AE248" i="37" s="1"/>
  <c r="AE247" i="37" a="1"/>
  <c r="AE247" i="37" s="1"/>
  <c r="AE259" i="37" a="1"/>
  <c r="AE259" i="37" s="1"/>
  <c r="AE402" i="37" a="1"/>
  <c r="AE402" i="37" s="1"/>
  <c r="AE415" i="37" a="1"/>
  <c r="AE415" i="37" s="1"/>
  <c r="AE417" i="37" a="1"/>
  <c r="AE417" i="37" s="1"/>
  <c r="AE53" i="37" a="1"/>
  <c r="AE53" i="37" s="1"/>
  <c r="AE140" i="37" a="1"/>
  <c r="AE140" i="37" s="1"/>
  <c r="AE142" i="37" a="1"/>
  <c r="AE142" i="37" s="1"/>
  <c r="AE109" i="37" a="1"/>
  <c r="AE109" i="37" s="1"/>
  <c r="AE313" i="37" a="1"/>
  <c r="AE313" i="37" s="1"/>
  <c r="AE314" i="37" a="1"/>
  <c r="AE314" i="37" s="1"/>
  <c r="AE601" i="37" a="1"/>
  <c r="AE601" i="37" s="1"/>
  <c r="AE315" i="37" a="1"/>
  <c r="AE315" i="37" s="1"/>
  <c r="AE618" i="37" a="1"/>
  <c r="AE618" i="37" s="1"/>
  <c r="AE143" i="37" a="1"/>
  <c r="AE143" i="37" s="1"/>
  <c r="AE622" i="37" a="1"/>
  <c r="AE622" i="37" s="1"/>
  <c r="AE316" i="37" a="1"/>
  <c r="AE316" i="37" s="1"/>
  <c r="AE552" i="37" a="1"/>
  <c r="AE552" i="37" s="1"/>
  <c r="AE317" i="37" a="1"/>
  <c r="AE317" i="37" s="1"/>
  <c r="AE182" i="37" a="1"/>
  <c r="AE182" i="37" s="1"/>
  <c r="AE200" i="37" a="1"/>
  <c r="AE200" i="37" s="1"/>
  <c r="AE284" i="37" a="1"/>
  <c r="AE284" i="37" s="1"/>
  <c r="AE427" i="37" a="1"/>
  <c r="AE427" i="37" s="1"/>
  <c r="AE147" i="37" a="1"/>
  <c r="AE147" i="37" s="1"/>
  <c r="AE173" i="37" a="1"/>
  <c r="AE173" i="37" s="1"/>
  <c r="AE318" i="37" a="1"/>
  <c r="AE318" i="37" s="1"/>
  <c r="AE435" i="37" a="1"/>
  <c r="AE435" i="37" s="1"/>
  <c r="AE285" i="37" a="1"/>
  <c r="AE285" i="37" s="1"/>
  <c r="AE602" i="37" a="1"/>
  <c r="AE602" i="37" s="1"/>
  <c r="AE319" i="37" a="1"/>
  <c r="AE319" i="37" s="1"/>
  <c r="AE148" i="37" a="1"/>
  <c r="AE148" i="37" s="1"/>
  <c r="AE320" i="37" a="1"/>
  <c r="AE320" i="37" s="1"/>
  <c r="AE321" i="37" a="1"/>
  <c r="AE321" i="37" s="1"/>
  <c r="AE150" i="37" a="1"/>
  <c r="AE150" i="37" s="1"/>
  <c r="AE322" i="37" a="1"/>
  <c r="AE322" i="37" s="1"/>
  <c r="AE323" i="37" a="1"/>
  <c r="AE323" i="37" s="1"/>
  <c r="AE621" i="37" a="1"/>
  <c r="AE621" i="37" s="1"/>
  <c r="AE424" i="37" a="1"/>
  <c r="AE424" i="37" s="1"/>
  <c r="AE201" i="37" a="1"/>
  <c r="AE201" i="37" s="1"/>
  <c r="AE440" i="37" a="1"/>
  <c r="AE440" i="37" s="1"/>
  <c r="AE110" i="37" a="1"/>
  <c r="AE110" i="37" s="1"/>
  <c r="AE286" i="37" a="1"/>
  <c r="AE286" i="37" s="1"/>
  <c r="AE325" i="37" a="1"/>
  <c r="AE325" i="37" s="1"/>
  <c r="AE423" i="37" a="1"/>
  <c r="AE423" i="37" s="1"/>
  <c r="AE431" i="37" a="1"/>
  <c r="AE431" i="37" s="1"/>
  <c r="AE421" i="37" a="1"/>
  <c r="AE421" i="37" s="1"/>
  <c r="AE245" i="37" a="1"/>
  <c r="AE245" i="37" s="1"/>
  <c r="AE434" i="37" a="1"/>
  <c r="AE434" i="37" s="1"/>
  <c r="AE324" i="37" a="1"/>
  <c r="AE324" i="37" s="1"/>
  <c r="AE572" i="37" a="1"/>
  <c r="AE572" i="37" s="1"/>
  <c r="AE202" i="37" a="1"/>
  <c r="AE202" i="37" s="1"/>
  <c r="AE588" i="37" a="1"/>
  <c r="AE588" i="37" s="1"/>
  <c r="AE603" i="37" a="1"/>
  <c r="AE603" i="37" s="1"/>
  <c r="AE619" i="37" a="1"/>
  <c r="AE619" i="37" s="1"/>
  <c r="AE250" i="37" a="1"/>
  <c r="AE250" i="37" s="1"/>
  <c r="AE441" i="37" a="1"/>
  <c r="AE441" i="37" s="1"/>
  <c r="AE438" i="37" a="1"/>
  <c r="AE438" i="37" s="1"/>
  <c r="AE327" i="37" a="1"/>
  <c r="AE327" i="37" s="1"/>
  <c r="AE426" i="37" a="1"/>
  <c r="AE426" i="37" s="1"/>
  <c r="AE287" i="37" a="1"/>
  <c r="AE287" i="37" s="1"/>
  <c r="AE95" i="37" a="1"/>
  <c r="AE95" i="37" s="1"/>
  <c r="AE326" i="37" a="1"/>
  <c r="AE326" i="37" s="1"/>
  <c r="AE249" i="37" a="1"/>
  <c r="AE249" i="37" s="1"/>
  <c r="AE425" i="37" a="1"/>
  <c r="AE425" i="37" s="1"/>
  <c r="AE604" i="37" a="1"/>
  <c r="AE604" i="37" s="1"/>
  <c r="AE162" i="37" a="1"/>
  <c r="AE162" i="37" s="1"/>
  <c r="AE276" i="37" a="1"/>
  <c r="AE276" i="37" s="1"/>
  <c r="AE328" i="37" a="1"/>
  <c r="AE328" i="37" s="1"/>
  <c r="AE472" i="37" a="1"/>
  <c r="AE472" i="37" s="1"/>
  <c r="AE272" i="37" a="1"/>
  <c r="AE272" i="37" s="1"/>
  <c r="AE255" i="37" a="1"/>
  <c r="AE255" i="37" s="1"/>
  <c r="AE277" i="37" a="1"/>
  <c r="AE277" i="37" s="1"/>
  <c r="AE442" i="37" a="1"/>
  <c r="AE442" i="37" s="1"/>
  <c r="AE591" i="37" a="1"/>
  <c r="AE591" i="37" s="1"/>
  <c r="AE592" i="37" a="1"/>
  <c r="AE592" i="37" s="1"/>
  <c r="AE329" i="37" a="1"/>
  <c r="AE329" i="37" s="1"/>
  <c r="AE473" i="37" a="1"/>
  <c r="AE473" i="37" s="1"/>
  <c r="AE474" i="37" a="1"/>
  <c r="AE474" i="37" s="1"/>
  <c r="AE428" i="37" a="1"/>
  <c r="AE428" i="37" s="1"/>
  <c r="AE330" i="37" a="1"/>
  <c r="AE330" i="37" s="1"/>
  <c r="AE257" i="37" a="1"/>
  <c r="AE257" i="37" s="1"/>
  <c r="AE429" i="37" a="1"/>
  <c r="AE429" i="37" s="1"/>
  <c r="AE263" i="37" a="1"/>
  <c r="AE263" i="37" s="1"/>
  <c r="AE444" i="37" a="1"/>
  <c r="AE444" i="37" s="1"/>
  <c r="AE430" i="37" a="1"/>
  <c r="AE430" i="37" s="1"/>
  <c r="AE432" i="37" a="1"/>
  <c r="AE432" i="37" s="1"/>
  <c r="AE260" i="37" a="1"/>
  <c r="AE260" i="37" s="1"/>
  <c r="AE261" i="37" a="1"/>
  <c r="AE261" i="37" s="1"/>
  <c r="AE262" i="37" a="1"/>
  <c r="AE262" i="37" s="1"/>
  <c r="AE331" i="37" a="1"/>
  <c r="AE331" i="37" s="1"/>
  <c r="AE374" i="37" a="1"/>
  <c r="AE374" i="37" s="1"/>
  <c r="AE332" i="37" a="1"/>
  <c r="AE332" i="37" s="1"/>
  <c r="AE377" i="37" a="1"/>
  <c r="AE377" i="37" s="1"/>
  <c r="AE203" i="37" a="1"/>
  <c r="AE203" i="37" s="1"/>
  <c r="AE111" i="37" a="1"/>
  <c r="AE111" i="37" s="1"/>
  <c r="AE379" i="37" a="1"/>
  <c r="AE379" i="37" s="1"/>
  <c r="AE333" i="37" a="1"/>
  <c r="AE333" i="37" s="1"/>
  <c r="AE334" i="37" a="1"/>
  <c r="AE334" i="37" s="1"/>
  <c r="AE443" i="37" a="1"/>
  <c r="AE443" i="37" s="1"/>
  <c r="AE459" i="37" a="1"/>
  <c r="AE459" i="37" s="1"/>
  <c r="AE289" i="37" a="1"/>
  <c r="AE289" i="37" s="1"/>
  <c r="AE475" i="37" a="1"/>
  <c r="AE475" i="37" s="1"/>
  <c r="AE335" i="37" a="1"/>
  <c r="AE335" i="37" s="1"/>
  <c r="AE112" i="37" a="1"/>
  <c r="AE112" i="37" s="1"/>
  <c r="AE422" i="37" a="1"/>
  <c r="AE422" i="37" s="1"/>
  <c r="AE381" i="37" a="1"/>
  <c r="AE381" i="37" s="1"/>
  <c r="AE605" i="37" a="1"/>
  <c r="AE605" i="37" s="1"/>
  <c r="AE616" i="37" a="1"/>
  <c r="AE616" i="37" s="1"/>
  <c r="AE383" i="37" a="1"/>
  <c r="AE383" i="37" s="1"/>
  <c r="AE183" i="37" a="1"/>
  <c r="AE183" i="37" s="1"/>
  <c r="AE433" i="37" a="1"/>
  <c r="AE433" i="37" s="1"/>
  <c r="AE336" i="37" a="1"/>
  <c r="AE336" i="37" s="1"/>
  <c r="AE337" i="37" a="1"/>
  <c r="AE337" i="37" s="1"/>
  <c r="AE386" i="37" a="1"/>
  <c r="AE386" i="37" s="1"/>
  <c r="AE338" i="37" a="1"/>
  <c r="AE338" i="37" s="1"/>
  <c r="AE617" i="37" a="1"/>
  <c r="AE617" i="37" s="1"/>
  <c r="AE389" i="37" a="1"/>
  <c r="AE389" i="37" s="1"/>
  <c r="AE606" i="37" a="1"/>
  <c r="AE606" i="37" s="1"/>
  <c r="AE204" i="37" a="1"/>
  <c r="AE204" i="37" s="1"/>
  <c r="AE291" i="37" a="1"/>
  <c r="AE291" i="37" s="1"/>
  <c r="AE390" i="37" a="1"/>
  <c r="AE390" i="37" s="1"/>
  <c r="AE394" i="37" a="1"/>
  <c r="AE394" i="37" s="1"/>
  <c r="AE398" i="37" a="1"/>
  <c r="AE398" i="37" s="1"/>
  <c r="AE400" i="37" a="1"/>
  <c r="AE400" i="37" s="1"/>
  <c r="AE476" i="37" a="1"/>
  <c r="AE476" i="37" s="1"/>
  <c r="AE399" i="37" a="1"/>
  <c r="AE399" i="37" s="1"/>
  <c r="AE403" i="37" a="1"/>
  <c r="AE403" i="37" s="1"/>
  <c r="AE477" i="37" a="1"/>
  <c r="AE477" i="37" s="1"/>
  <c r="AE408" i="37" a="1"/>
  <c r="AE408" i="37" s="1"/>
  <c r="AE439" i="37" a="1"/>
  <c r="AE439" i="37" s="1"/>
  <c r="AE573" i="37" a="1"/>
  <c r="AE573" i="37" s="1"/>
  <c r="AE413" i="37" a="1"/>
  <c r="AE413" i="37" s="1"/>
  <c r="AE607" i="37" a="1"/>
  <c r="AE607" i="37" s="1"/>
  <c r="AE412" i="37" a="1"/>
  <c r="AE412" i="37" s="1"/>
  <c r="AE113" i="37" a="1"/>
  <c r="AE113" i="37" s="1"/>
  <c r="AE414" i="37" a="1"/>
  <c r="AE414" i="37" s="1"/>
  <c r="AE411" i="37" a="1"/>
  <c r="AE411" i="37" s="1"/>
  <c r="AE138" i="37" a="1"/>
  <c r="AE138" i="37" s="1"/>
  <c r="AE139" i="37" a="1"/>
  <c r="AE139" i="37" s="1"/>
  <c r="AE339" i="37" a="1"/>
  <c r="AE339" i="37" s="1"/>
  <c r="AE478" i="37" a="1"/>
  <c r="AE478" i="37" s="1"/>
  <c r="AE141" i="37" a="1"/>
  <c r="AE141" i="37" s="1"/>
  <c r="AE479" i="37" a="1"/>
  <c r="AE479" i="37" s="1"/>
  <c r="AE340" i="37" a="1"/>
  <c r="AE340" i="37" s="1"/>
  <c r="AE144" i="37" a="1"/>
  <c r="AE144" i="37" s="1"/>
  <c r="AE567" i="37" a="1"/>
  <c r="AE567" i="37" s="1"/>
  <c r="AE586" i="37" a="1"/>
  <c r="AE586" i="37" s="1"/>
  <c r="AE587" i="37" a="1"/>
  <c r="AE587" i="37" s="1"/>
  <c r="AE589" i="37" a="1"/>
  <c r="AE589" i="37" s="1"/>
  <c r="AE625" i="37" a="1"/>
  <c r="AE625" i="37" s="1"/>
  <c r="AE480" i="37" a="1"/>
  <c r="AE480" i="37" s="1"/>
  <c r="AE342" i="37" a="1"/>
  <c r="AE342" i="37" s="1"/>
  <c r="AE253" i="37" a="1"/>
  <c r="AE253" i="37" s="1"/>
  <c r="AE341" i="37" a="1"/>
  <c r="AE341" i="37" s="1"/>
  <c r="AE252" i="37" a="1"/>
  <c r="AE252" i="37" s="1"/>
  <c r="AE482" i="37" a="1"/>
  <c r="AE482" i="37" s="1"/>
  <c r="AE481" i="37" a="1"/>
  <c r="AE481" i="37" s="1"/>
  <c r="AE343" i="37" a="1"/>
  <c r="AE343" i="37" s="1"/>
  <c r="AE251" i="37" a="1"/>
  <c r="AE251" i="37" s="1"/>
  <c r="AE256" i="37" a="1"/>
  <c r="AE256" i="37" s="1"/>
  <c r="AE264" i="37" a="1"/>
  <c r="AE264" i="37" s="1"/>
  <c r="AE593" i="37" a="1"/>
  <c r="AE593" i="37" s="1"/>
  <c r="AE345" i="37" a="1"/>
  <c r="AE345" i="37" s="1"/>
  <c r="AE484" i="37" a="1"/>
  <c r="AE484" i="37" s="1"/>
  <c r="AE483" i="37" a="1"/>
  <c r="AE483" i="37" s="1"/>
  <c r="AE344" i="37" a="1"/>
  <c r="AE344" i="37" s="1"/>
  <c r="AE458" i="37" a="1"/>
  <c r="AE458" i="37" s="1"/>
  <c r="AE486" i="37" a="1"/>
  <c r="AE486" i="37" s="1"/>
  <c r="AE485" i="37" a="1"/>
  <c r="AE485" i="37" s="1"/>
  <c r="AE626" i="37" a="1"/>
  <c r="AE626" i="37" s="1"/>
  <c r="AE346" i="37" a="1"/>
  <c r="AE346" i="37" s="1"/>
  <c r="AE628" i="37" a="1"/>
  <c r="AE628" i="37" s="1"/>
  <c r="AE380" i="37" a="1"/>
  <c r="AE380" i="37" s="1"/>
  <c r="AE382" i="37" a="1"/>
  <c r="AE382" i="37" s="1"/>
  <c r="AE627" i="37" a="1"/>
  <c r="AE627" i="37" s="1"/>
  <c r="AE384" i="37" a="1"/>
  <c r="AE384" i="37" s="1"/>
  <c r="AE387" i="37" a="1"/>
  <c r="AE387" i="37" s="1"/>
  <c r="AE391" i="37" a="1"/>
  <c r="AE391" i="37" s="1"/>
  <c r="AE392" i="37" a="1"/>
  <c r="AE392" i="37" s="1"/>
  <c r="AE393" i="37" a="1"/>
  <c r="AE393" i="37" s="1"/>
  <c r="AE397" i="37" a="1"/>
  <c r="AE397" i="37" s="1"/>
  <c r="AE396" i="37" a="1"/>
  <c r="AE396" i="37" s="1"/>
  <c r="AE401" i="37" a="1"/>
  <c r="AE401" i="37" s="1"/>
  <c r="AE405" i="37" a="1"/>
  <c r="AE405" i="37" s="1"/>
  <c r="AE404" i="37" a="1"/>
  <c r="AE404" i="37" s="1"/>
  <c r="AE406" i="37" a="1"/>
  <c r="AE406" i="37" s="1"/>
  <c r="AE487" i="37" a="1"/>
  <c r="AE487" i="37" s="1"/>
  <c r="AE506" i="37" a="1"/>
  <c r="AE506" i="37" s="1"/>
  <c r="AE620" i="37" a="1"/>
  <c r="AE620" i="37" s="1"/>
  <c r="AE466" i="37" a="1"/>
  <c r="AE466" i="37" s="1"/>
  <c r="AE550" i="37" a="1"/>
  <c r="AE550" i="37" s="1"/>
  <c r="AE498" i="37" a="1"/>
  <c r="AE498" i="37" s="1"/>
  <c r="AE521" i="37" a="1"/>
  <c r="AE521" i="37" s="1"/>
  <c r="AE445" i="37" a="1"/>
  <c r="AE445" i="37" s="1"/>
  <c r="AE184" i="37" a="1"/>
  <c r="AE184" i="37" s="1"/>
  <c r="AE348" i="37" a="1"/>
  <c r="AE348" i="37" s="1"/>
  <c r="AE357" i="37" a="1"/>
  <c r="AE357" i="37" s="1"/>
  <c r="AE640" i="37" a="1"/>
  <c r="AE640" i="37" s="1"/>
  <c r="AE469" i="37" a="1"/>
  <c r="AE469" i="37" s="1"/>
  <c r="AE510" i="37" a="1"/>
  <c r="AE510" i="37" s="1"/>
  <c r="AE511" i="37" a="1"/>
  <c r="AE511" i="37" s="1"/>
  <c r="AE528" i="37" a="1"/>
  <c r="AE528" i="37" s="1"/>
  <c r="AE347" i="37" a="1"/>
  <c r="AE347" i="37" s="1"/>
  <c r="AE436" i="37" a="1"/>
  <c r="AE436" i="37" s="1"/>
  <c r="AE517" i="37" a="1"/>
  <c r="AE517" i="37" s="1"/>
  <c r="AE493" i="37" a="1"/>
  <c r="AE493" i="37" s="1"/>
  <c r="AE467" i="37" a="1"/>
  <c r="AE467" i="37" s="1"/>
  <c r="AE293" i="37" a="1"/>
  <c r="AE293" i="37" s="1"/>
  <c r="AE452" i="37" a="1"/>
  <c r="AE452" i="37" s="1"/>
  <c r="AE358" i="37" a="1"/>
  <c r="AE358" i="37" s="1"/>
  <c r="AE455" i="37" a="1"/>
  <c r="AE455" i="37" s="1"/>
  <c r="AE522" i="37" a="1"/>
  <c r="AE522" i="37" s="1"/>
  <c r="AE351" i="37" a="1"/>
  <c r="AE351" i="37" s="1"/>
  <c r="AE610" i="37" a="1"/>
  <c r="AE610" i="37" s="1"/>
  <c r="AE463" i="37" a="1"/>
  <c r="AE463" i="37" s="1"/>
  <c r="AE490" i="37" a="1"/>
  <c r="AE490" i="37" s="1"/>
  <c r="AE500" i="37" a="1"/>
  <c r="AE500" i="37" s="1"/>
  <c r="AE499" i="37" a="1"/>
  <c r="AE499" i="37" s="1"/>
  <c r="AE523" i="37" a="1"/>
  <c r="AE523" i="37" s="1"/>
  <c r="AE470" i="37" a="1"/>
  <c r="AE470" i="37" s="1"/>
  <c r="AE273" i="37" a="1"/>
  <c r="AE273" i="37" s="1"/>
  <c r="AE489" i="37" a="1"/>
  <c r="AE489" i="37" s="1"/>
  <c r="AE488" i="37" a="1"/>
  <c r="AE488" i="37" s="1"/>
  <c r="AE288" i="37" a="1"/>
  <c r="AE288" i="37" s="1"/>
  <c r="AE292" i="37" a="1"/>
  <c r="AE292" i="37" s="1"/>
  <c r="AE491" i="37" a="1"/>
  <c r="AE491" i="37" s="1"/>
  <c r="AE448" i="37" a="1"/>
  <c r="AE448" i="37" s="1"/>
  <c r="AE494" i="37" a="1"/>
  <c r="AE494" i="37" s="1"/>
  <c r="AE451" i="37" a="1"/>
  <c r="AE451" i="37" s="1"/>
  <c r="AE512" i="37" a="1"/>
  <c r="AE512" i="37" s="1"/>
  <c r="AE525" i="37" a="1"/>
  <c r="AE525" i="37" s="1"/>
  <c r="AE527" i="37" a="1"/>
  <c r="AE527" i="37" s="1"/>
  <c r="AE524" i="37" a="1"/>
  <c r="AE524" i="37" s="1"/>
  <c r="AE639" i="37" a="1"/>
  <c r="AE639" i="37" s="1"/>
  <c r="AE356" i="37" a="1"/>
  <c r="AE356" i="37" s="1"/>
  <c r="AE453" i="37" a="1"/>
  <c r="AE453" i="37" s="1"/>
  <c r="AE460" i="37" a="1"/>
  <c r="AE460" i="37" s="1"/>
  <c r="AE290" i="37" a="1"/>
  <c r="AE290" i="37" s="1"/>
  <c r="AE611" i="37" a="1"/>
  <c r="AE611" i="37" s="1"/>
  <c r="AE492" i="37" a="1"/>
  <c r="AE492" i="37" s="1"/>
  <c r="AE495" i="37" a="1"/>
  <c r="AE495" i="37" s="1"/>
  <c r="AE294" i="37" a="1"/>
  <c r="AE294" i="37" s="1"/>
  <c r="AE496" i="37" a="1"/>
  <c r="AE496" i="37" s="1"/>
  <c r="AE497" i="37" a="1"/>
  <c r="AE497" i="37" s="1"/>
  <c r="AE502" i="37" a="1"/>
  <c r="AE502" i="37" s="1"/>
  <c r="AE446" i="37" a="1"/>
  <c r="AE446" i="37" s="1"/>
  <c r="AE503" i="37" a="1"/>
  <c r="AE503" i="37" s="1"/>
  <c r="AE449" i="37" a="1"/>
  <c r="AE449" i="37" s="1"/>
  <c r="AE631" i="37" a="1"/>
  <c r="AE631" i="37" s="1"/>
  <c r="AE504" i="37" a="1"/>
  <c r="AE504" i="37" s="1"/>
  <c r="AE630" i="37" a="1"/>
  <c r="AE630" i="37" s="1"/>
  <c r="AE629" i="37" a="1"/>
  <c r="AE629" i="37" s="1"/>
  <c r="AE623" i="37" a="1"/>
  <c r="AE623" i="37" s="1"/>
  <c r="AE501" i="37" a="1"/>
  <c r="AE501" i="37" s="1"/>
  <c r="AE505" i="37" a="1"/>
  <c r="AE505" i="37" s="1"/>
  <c r="AE508" i="37" a="1"/>
  <c r="AE508" i="37" s="1"/>
  <c r="AE509" i="37" a="1"/>
  <c r="AE509" i="37" s="1"/>
  <c r="AE513" i="37" a="1"/>
  <c r="AE513" i="37" s="1"/>
  <c r="AE632" i="37" a="1"/>
  <c r="AE632" i="37" s="1"/>
  <c r="AE514" i="37" a="1"/>
  <c r="AE514" i="37" s="1"/>
  <c r="AE515" i="37" a="1"/>
  <c r="AE515" i="37" s="1"/>
  <c r="AE519" i="37" a="1"/>
  <c r="AE519" i="37" s="1"/>
  <c r="AE518" i="37" a="1"/>
  <c r="AE518" i="37" s="1"/>
  <c r="AE520" i="37" a="1"/>
  <c r="AE520" i="37" s="1"/>
  <c r="AE114" i="37" a="1"/>
  <c r="AE114" i="37" s="1"/>
  <c r="AE205" i="37" a="1"/>
  <c r="AE205" i="37" s="1"/>
  <c r="AE349" i="37" a="1"/>
  <c r="AE349" i="37" s="1"/>
  <c r="AE350" i="37" a="1"/>
  <c r="AE350" i="37" s="1"/>
  <c r="AE608" i="37" a="1"/>
  <c r="AE608" i="37" s="1"/>
  <c r="AE609" i="37" a="1"/>
  <c r="AE609" i="37" s="1"/>
  <c r="AE352" i="37" a="1"/>
  <c r="AE352" i="37" s="1"/>
  <c r="AE355" i="37" a="1"/>
  <c r="AE355" i="37" s="1"/>
  <c r="AE353" i="37" a="1"/>
  <c r="AE353" i="37" s="1"/>
  <c r="AE468" i="37" a="1"/>
  <c r="AE468" i="37" s="1"/>
  <c r="AE354" i="37" a="1"/>
  <c r="AE354" i="37" s="1"/>
  <c r="AE295" i="37" a="1"/>
  <c r="AE295" i="37" s="1"/>
  <c r="AE447" i="37" a="1"/>
  <c r="AE447" i="37" s="1"/>
  <c r="AE450" i="37" a="1"/>
  <c r="AE450" i="37" s="1"/>
  <c r="AE454" i="37" a="1"/>
  <c r="AE454" i="37" s="1"/>
  <c r="AE359" i="37" a="1"/>
  <c r="AE359" i="37" s="1"/>
  <c r="AE456" i="37" a="1"/>
  <c r="AE456" i="37" s="1"/>
  <c r="AE457" i="37" a="1"/>
  <c r="AE457" i="37" s="1"/>
  <c r="AE360" i="37" a="1"/>
  <c r="AE360" i="37" s="1"/>
  <c r="AE462" i="37" a="1"/>
  <c r="AE462" i="37" s="1"/>
  <c r="AE461" i="37" a="1"/>
  <c r="AE461" i="37" s="1"/>
  <c r="AE633" i="37" a="1"/>
  <c r="AE633" i="37" s="1"/>
  <c r="AE464" i="37" a="1"/>
  <c r="AE464" i="37" s="1"/>
  <c r="AE624" i="37" a="1"/>
  <c r="AE624" i="37" s="1"/>
  <c r="AE465" i="37" a="1"/>
  <c r="AE465" i="37" s="1"/>
  <c r="AE516" i="37" a="1"/>
  <c r="AE516" i="37" s="1"/>
  <c r="AE634" i="37" a="1"/>
  <c r="AE634" i="37" s="1"/>
  <c r="AE635" i="37" a="1"/>
  <c r="AE635" i="37" s="1"/>
  <c r="AE638" i="37" a="1"/>
  <c r="AE638" i="37" s="1"/>
  <c r="AE637" i="37" a="1"/>
  <c r="AE637" i="37" s="1"/>
  <c r="AE636" i="37" a="1"/>
  <c r="AE636" i="37" s="1"/>
  <c r="AE529" i="37" a="1"/>
  <c r="AE529" i="37" s="1"/>
  <c r="AE530" i="37" a="1"/>
  <c r="AE530" i="37" s="1"/>
  <c r="AE531" i="37" a="1"/>
  <c r="AE531" i="37" s="1"/>
  <c r="AE532" i="37" a="1"/>
  <c r="AE532" i="37" s="1"/>
  <c r="AD2" i="37" a="1"/>
  <c r="AD2" i="37" s="1"/>
  <c r="AD3" i="37" a="1"/>
  <c r="AD3" i="37" s="1"/>
  <c r="AD10" i="37" a="1"/>
  <c r="AD10" i="37" s="1"/>
  <c r="AD534" i="37" a="1"/>
  <c r="AD534" i="37" s="1"/>
  <c r="AD533" i="37" a="1"/>
  <c r="AD533" i="37" s="1"/>
  <c r="AD6" i="37" a="1"/>
  <c r="AD6" i="37" s="1"/>
  <c r="AD5" i="37" a="1"/>
  <c r="AD5" i="37" s="1"/>
  <c r="AD11" i="37" a="1"/>
  <c r="AD11" i="37" s="1"/>
  <c r="AD4" i="37" a="1"/>
  <c r="AD4" i="37" s="1"/>
  <c r="AD23" i="37" a="1"/>
  <c r="AD23" i="37" s="1"/>
  <c r="AD7" i="37" a="1"/>
  <c r="AD7" i="37" s="1"/>
  <c r="AD13" i="37" a="1"/>
  <c r="AD13" i="37" s="1"/>
  <c r="AD24" i="37" a="1"/>
  <c r="AD24" i="37" s="1"/>
  <c r="AD36" i="37" a="1"/>
  <c r="AD36" i="37" s="1"/>
  <c r="AD25" i="37" a="1"/>
  <c r="AD25" i="37" s="1"/>
  <c r="AD37" i="37" a="1"/>
  <c r="AD37" i="37" s="1"/>
  <c r="AD20" i="37" a="1"/>
  <c r="AD20" i="37" s="1"/>
  <c r="AD14" i="37" a="1"/>
  <c r="AD14" i="37" s="1"/>
  <c r="AD15" i="37" a="1"/>
  <c r="AD15" i="37" s="1"/>
  <c r="AD19" i="37" a="1"/>
  <c r="AD19" i="37" s="1"/>
  <c r="AD22" i="37" a="1"/>
  <c r="AD22" i="37" s="1"/>
  <c r="AD26" i="37" a="1"/>
  <c r="AD26" i="37" s="1"/>
  <c r="AD537" i="37" a="1"/>
  <c r="AD537" i="37" s="1"/>
  <c r="AD27" i="37" a="1"/>
  <c r="AD27" i="37" s="1"/>
  <c r="AD21" i="37" a="1"/>
  <c r="AD21" i="37" s="1"/>
  <c r="AD38" i="37" a="1"/>
  <c r="AD38" i="37" s="1"/>
  <c r="AD538" i="37" a="1"/>
  <c r="AD538" i="37" s="1"/>
  <c r="AD28" i="37" a="1"/>
  <c r="AD28" i="37" s="1"/>
  <c r="AD16" i="37" a="1"/>
  <c r="AD16" i="37" s="1"/>
  <c r="AD39" i="37" a="1"/>
  <c r="AD39" i="37" s="1"/>
  <c r="AD40" i="37" a="1"/>
  <c r="AD40" i="37" s="1"/>
  <c r="AD29" i="37" a="1"/>
  <c r="AD29" i="37" s="1"/>
  <c r="AD41" i="37" a="1"/>
  <c r="AD41" i="37" s="1"/>
  <c r="AD33" i="37" a="1"/>
  <c r="AD33" i="37" s="1"/>
  <c r="AD42" i="37" a="1"/>
  <c r="AD42" i="37" s="1"/>
  <c r="AD539" i="37" a="1"/>
  <c r="AD539" i="37" s="1"/>
  <c r="AD85" i="37" a="1"/>
  <c r="AD85" i="37" s="1"/>
  <c r="AD43" i="37" a="1"/>
  <c r="AD43" i="37" s="1"/>
  <c r="AD44" i="37" a="1"/>
  <c r="AD44" i="37" s="1"/>
  <c r="AD535" i="37" a="1"/>
  <c r="AD535" i="37" s="1"/>
  <c r="AD45" i="37" a="1"/>
  <c r="AD45" i="37" s="1"/>
  <c r="AD17" i="37" a="1"/>
  <c r="AD17" i="37" s="1"/>
  <c r="AD70" i="37" a="1"/>
  <c r="AD70" i="37" s="1"/>
  <c r="AD30" i="37" a="1"/>
  <c r="AD30" i="37" s="1"/>
  <c r="AD18" i="37" a="1"/>
  <c r="AD18" i="37" s="1"/>
  <c r="AD62" i="37" a="1"/>
  <c r="AD62" i="37" s="1"/>
  <c r="AD57" i="37" a="1"/>
  <c r="AD57" i="37" s="1"/>
  <c r="AD46" i="37" a="1"/>
  <c r="AD46" i="37" s="1"/>
  <c r="AD61" i="37" a="1"/>
  <c r="AD61" i="37" s="1"/>
  <c r="AD71" i="37" a="1"/>
  <c r="AD71" i="37" s="1"/>
  <c r="AD31" i="37" a="1"/>
  <c r="AD31" i="37" s="1"/>
  <c r="AD541" i="37" a="1"/>
  <c r="AD541" i="37" s="1"/>
  <c r="AD56" i="37" a="1"/>
  <c r="AD56" i="37" s="1"/>
  <c r="AD536" i="37" a="1"/>
  <c r="AD536" i="37" s="1"/>
  <c r="AD47" i="37" a="1"/>
  <c r="AD47" i="37" s="1"/>
  <c r="AD86" i="37" a="1"/>
  <c r="AD86" i="37" s="1"/>
  <c r="AD72" i="37" a="1"/>
  <c r="AD72" i="37" s="1"/>
  <c r="AD48" i="37" a="1"/>
  <c r="AD48" i="37" s="1"/>
  <c r="AD547" i="37" a="1"/>
  <c r="AD547" i="37" s="1"/>
  <c r="AD115" i="37" a="1"/>
  <c r="AD115" i="37" s="1"/>
  <c r="AD562" i="37" a="1"/>
  <c r="AD562" i="37" s="1"/>
  <c r="AD58" i="37" a="1"/>
  <c r="AD58" i="37" s="1"/>
  <c r="AD63" i="37" a="1"/>
  <c r="AD63" i="37" s="1"/>
  <c r="AD34" i="37" a="1"/>
  <c r="AD34" i="37" s="1"/>
  <c r="AD540" i="37" a="1"/>
  <c r="AD540" i="37" s="1"/>
  <c r="AD116" i="37" a="1"/>
  <c r="AD116" i="37" s="1"/>
  <c r="AD12" i="37" a="1"/>
  <c r="AD12" i="37" s="1"/>
  <c r="AD32" i="37" a="1"/>
  <c r="AD32" i="37" s="1"/>
  <c r="AD73" i="37" a="1"/>
  <c r="AD73" i="37" s="1"/>
  <c r="AD74" i="37" a="1"/>
  <c r="AD74" i="37" s="1"/>
  <c r="AD542" i="37" a="1"/>
  <c r="AD542" i="37" s="1"/>
  <c r="AD75" i="37" a="1"/>
  <c r="AD75" i="37" s="1"/>
  <c r="AD543" i="37" a="1"/>
  <c r="AD543" i="37" s="1"/>
  <c r="AD117" i="37" a="1"/>
  <c r="AD117" i="37" s="1"/>
  <c r="AD546" i="37" a="1"/>
  <c r="AD546" i="37" s="1"/>
  <c r="AD99" i="37" a="1"/>
  <c r="AD99" i="37" s="1"/>
  <c r="AD67" i="37" a="1"/>
  <c r="AD67" i="37" s="1"/>
  <c r="AD100" i="37" a="1"/>
  <c r="AD100" i="37" s="1"/>
  <c r="AD68" i="37" a="1"/>
  <c r="AD68" i="37" s="1"/>
  <c r="AD64" i="37" a="1"/>
  <c r="AD64" i="37" s="1"/>
  <c r="AD101" i="37" a="1"/>
  <c r="AD101" i="37" s="1"/>
  <c r="AD65" i="37" a="1"/>
  <c r="AD65" i="37" s="1"/>
  <c r="AD92" i="37" a="1"/>
  <c r="AD92" i="37" s="1"/>
  <c r="AD49" i="37" a="1"/>
  <c r="AD49" i="37" s="1"/>
  <c r="AD185" i="37" a="1"/>
  <c r="AD185" i="37" s="1"/>
  <c r="AD163" i="37" a="1"/>
  <c r="AD163" i="37" s="1"/>
  <c r="AD76" i="37" a="1"/>
  <c r="AD76" i="37" s="1"/>
  <c r="AD87" i="37" a="1"/>
  <c r="AD87" i="37" s="1"/>
  <c r="AD82" i="37" a="1"/>
  <c r="AD82" i="37" s="1"/>
  <c r="AD88" i="37" a="1"/>
  <c r="AD88" i="37" s="1"/>
  <c r="AD554" i="37" a="1"/>
  <c r="AD554" i="37" s="1"/>
  <c r="AD93" i="37" a="1"/>
  <c r="AD93" i="37" s="1"/>
  <c r="AD118" i="37" a="1"/>
  <c r="AD118" i="37" s="1"/>
  <c r="AD83" i="37" a="1"/>
  <c r="AD83" i="37" s="1"/>
  <c r="AD164" i="37" a="1"/>
  <c r="AD164" i="37" s="1"/>
  <c r="AD119" i="37" a="1"/>
  <c r="AD119" i="37" s="1"/>
  <c r="AD549" i="37" a="1"/>
  <c r="AD549" i="37" s="1"/>
  <c r="AD50" i="37" a="1"/>
  <c r="AD50" i="37" s="1"/>
  <c r="AD120" i="37" a="1"/>
  <c r="AD120" i="37" s="1"/>
  <c r="AD121" i="37" a="1"/>
  <c r="AD121" i="37" s="1"/>
  <c r="AD84" i="37" a="1"/>
  <c r="AD84" i="37" s="1"/>
  <c r="AD165" i="37" a="1"/>
  <c r="AD165" i="37" s="1"/>
  <c r="AD206" i="37" a="1"/>
  <c r="AD206" i="37" s="1"/>
  <c r="AD89" i="37" a="1"/>
  <c r="AD89" i="37" s="1"/>
  <c r="AD574" i="37" a="1"/>
  <c r="AD574" i="37" s="1"/>
  <c r="AD166" i="37" a="1"/>
  <c r="AD166" i="37" s="1"/>
  <c r="AD167" i="37" a="1"/>
  <c r="AD167" i="37" s="1"/>
  <c r="AD77" i="37" a="1"/>
  <c r="AD77" i="37" s="1"/>
  <c r="AD123" i="37" a="1"/>
  <c r="AD123" i="37" s="1"/>
  <c r="AD122" i="37" a="1"/>
  <c r="AD122" i="37" s="1"/>
  <c r="AD575" i="37" a="1"/>
  <c r="AD575" i="37" s="1"/>
  <c r="AD96" i="37" a="1"/>
  <c r="AD96" i="37" s="1"/>
  <c r="AD186" i="37" a="1"/>
  <c r="AD186" i="37" s="1"/>
  <c r="AD176" i="37" a="1"/>
  <c r="AD176" i="37" s="1"/>
  <c r="AD151" i="37" a="1"/>
  <c r="AD151" i="37" s="1"/>
  <c r="AD97" i="37" a="1"/>
  <c r="AD97" i="37" s="1"/>
  <c r="AD274" i="37" a="1"/>
  <c r="AD274" i="37" s="1"/>
  <c r="AD545" i="37" a="1"/>
  <c r="AD545" i="37" s="1"/>
  <c r="AD187" i="37" a="1"/>
  <c r="AD187" i="37" s="1"/>
  <c r="AD207" i="37" a="1"/>
  <c r="AD207" i="37" s="1"/>
  <c r="AD9" i="37" a="1"/>
  <c r="AD9" i="37" s="1"/>
  <c r="AD570" i="37" a="1"/>
  <c r="AD570" i="37" s="1"/>
  <c r="AD296" i="37" a="1"/>
  <c r="AD296" i="37" s="1"/>
  <c r="AD102" i="37" a="1"/>
  <c r="AD102" i="37" s="1"/>
  <c r="AD66" i="37" a="1"/>
  <c r="AD66" i="37" s="1"/>
  <c r="AD177" i="37" a="1"/>
  <c r="AD177" i="37" s="1"/>
  <c r="AD297" i="37" a="1"/>
  <c r="AD297" i="37" s="1"/>
  <c r="AD576" i="37" a="1"/>
  <c r="AD576" i="37" s="1"/>
  <c r="AD156" i="37" a="1"/>
  <c r="AD156" i="37" s="1"/>
  <c r="AD188" i="37" a="1"/>
  <c r="AD188" i="37" s="1"/>
  <c r="AD189" i="37" a="1"/>
  <c r="AD189" i="37" s="1"/>
  <c r="AD103" i="37" a="1"/>
  <c r="AD103" i="37" s="1"/>
  <c r="AD190" i="37" a="1"/>
  <c r="AD190" i="37" s="1"/>
  <c r="AD152" i="37" a="1"/>
  <c r="AD152" i="37" s="1"/>
  <c r="AD208" i="37" a="1"/>
  <c r="AD208" i="37" s="1"/>
  <c r="AD209" i="37" a="1"/>
  <c r="AD209" i="37" s="1"/>
  <c r="AD210" i="37" a="1"/>
  <c r="AD210" i="37" s="1"/>
  <c r="AD596" i="37" a="1"/>
  <c r="AD596" i="37" s="1"/>
  <c r="AD168" i="37" a="1"/>
  <c r="AD168" i="37" s="1"/>
  <c r="AD568" i="37" a="1"/>
  <c r="AD568" i="37" s="1"/>
  <c r="AD124" i="37" a="1"/>
  <c r="AD124" i="37" s="1"/>
  <c r="AD571" i="37" a="1"/>
  <c r="AD571" i="37" s="1"/>
  <c r="AD175" i="37" a="1"/>
  <c r="AD175" i="37" s="1"/>
  <c r="AD211" i="37" a="1"/>
  <c r="AD211" i="37" s="1"/>
  <c r="AD104" i="37" a="1"/>
  <c r="AD104" i="37" s="1"/>
  <c r="AD125" i="37" a="1"/>
  <c r="AD125" i="37" s="1"/>
  <c r="AD105" i="37" a="1"/>
  <c r="AD105" i="37" s="1"/>
  <c r="AD126" i="37" a="1"/>
  <c r="AD126" i="37" s="1"/>
  <c r="AD548" i="37" a="1"/>
  <c r="AD548" i="37" s="1"/>
  <c r="AD191" i="37" a="1"/>
  <c r="AD191" i="37" s="1"/>
  <c r="AD563" i="37" a="1"/>
  <c r="AD563" i="37" s="1"/>
  <c r="AD213" i="37" a="1"/>
  <c r="AD213" i="37" s="1"/>
  <c r="AD298" i="37" a="1"/>
  <c r="AD298" i="37" s="1"/>
  <c r="AD106" i="37" a="1"/>
  <c r="AD106" i="37" s="1"/>
  <c r="AD212" i="37" a="1"/>
  <c r="AD212" i="37" s="1"/>
  <c r="AD564" i="37" a="1"/>
  <c r="AD564" i="37" s="1"/>
  <c r="AD577" i="37" a="1"/>
  <c r="AD577" i="37" s="1"/>
  <c r="AD107" i="37" a="1"/>
  <c r="AD107" i="37" s="1"/>
  <c r="AD157" i="37" a="1"/>
  <c r="AD157" i="37" s="1"/>
  <c r="AD214" i="37" a="1"/>
  <c r="AD214" i="37" s="1"/>
  <c r="AD158" i="37" a="1"/>
  <c r="AD158" i="37" s="1"/>
  <c r="AD578" i="37" a="1"/>
  <c r="AD578" i="37" s="1"/>
  <c r="AD215" i="37" a="1"/>
  <c r="AD215" i="37" s="1"/>
  <c r="AD155" i="37" a="1"/>
  <c r="AD155" i="37" s="1"/>
  <c r="AD216" i="37" a="1"/>
  <c r="AD216" i="37" s="1"/>
  <c r="AD217" i="37" a="1"/>
  <c r="AD217" i="37" s="1"/>
  <c r="AD127" i="37" a="1"/>
  <c r="AD127" i="37" s="1"/>
  <c r="AD90" i="37" a="1"/>
  <c r="AD90" i="37" s="1"/>
  <c r="AD153" i="37" a="1"/>
  <c r="AD153" i="37" s="1"/>
  <c r="AD128" i="37" a="1"/>
  <c r="AD128" i="37" s="1"/>
  <c r="AD299" i="37" a="1"/>
  <c r="AD299" i="37" s="1"/>
  <c r="AD192" i="37" a="1"/>
  <c r="AD192" i="37" s="1"/>
  <c r="AD129" i="37" a="1"/>
  <c r="AD129" i="37" s="1"/>
  <c r="AD565" i="37" a="1"/>
  <c r="AD565" i="37" s="1"/>
  <c r="AD130" i="37" a="1"/>
  <c r="AD130" i="37" s="1"/>
  <c r="AD218" i="37" a="1"/>
  <c r="AD218" i="37" s="1"/>
  <c r="AD131" i="37" a="1"/>
  <c r="AD131" i="37" s="1"/>
  <c r="AD154" i="37" a="1"/>
  <c r="AD154" i="37" s="1"/>
  <c r="AD555" i="37" a="1"/>
  <c r="AD555" i="37" s="1"/>
  <c r="AD579" i="37" a="1"/>
  <c r="AD579" i="37" s="1"/>
  <c r="AD132" i="37" a="1"/>
  <c r="AD132" i="37" s="1"/>
  <c r="AD580" i="37" a="1"/>
  <c r="AD580" i="37" s="1"/>
  <c r="AD219" i="37" a="1"/>
  <c r="AD219" i="37" s="1"/>
  <c r="AD133" i="37" a="1"/>
  <c r="AD133" i="37" s="1"/>
  <c r="AD134" i="37" a="1"/>
  <c r="AD134" i="37" s="1"/>
  <c r="AD599" i="37" a="1"/>
  <c r="AD599" i="37" s="1"/>
  <c r="AD220" i="37" a="1"/>
  <c r="AD220" i="37" s="1"/>
  <c r="AD221" i="37" a="1"/>
  <c r="AD221" i="37" s="1"/>
  <c r="AD59" i="37" a="1"/>
  <c r="AD59" i="37" s="1"/>
  <c r="AD222" i="37" a="1"/>
  <c r="AD222" i="37" s="1"/>
  <c r="AD223" i="37" a="1"/>
  <c r="AD223" i="37" s="1"/>
  <c r="AD275" i="37" a="1"/>
  <c r="AD275" i="37" s="1"/>
  <c r="AD51" i="37" a="1"/>
  <c r="AD51" i="37" s="1"/>
  <c r="AD224" i="37" a="1"/>
  <c r="AD224" i="37" s="1"/>
  <c r="AD78" i="37" a="1"/>
  <c r="AD78" i="37" s="1"/>
  <c r="AD225" i="37" a="1"/>
  <c r="AD225" i="37" s="1"/>
  <c r="AD35" i="37" a="1"/>
  <c r="AD35" i="37" s="1"/>
  <c r="AD226" i="37" a="1"/>
  <c r="AD226" i="37" s="1"/>
  <c r="AD169" i="37" a="1"/>
  <c r="AD169" i="37" s="1"/>
  <c r="AD170" i="37" a="1"/>
  <c r="AD170" i="37" s="1"/>
  <c r="AD557" i="37" a="1"/>
  <c r="AD557" i="37" s="1"/>
  <c r="AD361" i="37" a="1"/>
  <c r="AD361" i="37" s="1"/>
  <c r="AD558" i="37" a="1"/>
  <c r="AD558" i="37" s="1"/>
  <c r="AD227" i="37" a="1"/>
  <c r="AD227" i="37" s="1"/>
  <c r="AD556" i="37" a="1"/>
  <c r="AD556" i="37" s="1"/>
  <c r="AD228" i="37" a="1"/>
  <c r="AD228" i="37" s="1"/>
  <c r="AD171" i="37" a="1"/>
  <c r="AD171" i="37" s="1"/>
  <c r="AD178" i="37" a="1"/>
  <c r="AD178" i="37" s="1"/>
  <c r="AD595" i="37" a="1"/>
  <c r="AD595" i="37" s="1"/>
  <c r="AD193" i="37" a="1"/>
  <c r="AD193" i="37" s="1"/>
  <c r="AD69" i="37" a="1"/>
  <c r="AD69" i="37" s="1"/>
  <c r="AD179" i="37" a="1"/>
  <c r="AD179" i="37" s="1"/>
  <c r="AD135" i="37" a="1"/>
  <c r="AD135" i="37" s="1"/>
  <c r="AD108" i="37" a="1"/>
  <c r="AD108" i="37" s="1"/>
  <c r="AD300" i="37" a="1"/>
  <c r="AD300" i="37" s="1"/>
  <c r="AD98" i="37" a="1"/>
  <c r="AD98" i="37" s="1"/>
  <c r="AD159" i="37" a="1"/>
  <c r="AD159" i="37" s="1"/>
  <c r="AD597" i="37" a="1"/>
  <c r="AD597" i="37" s="1"/>
  <c r="AD560" i="37" a="1"/>
  <c r="AD560" i="37" s="1"/>
  <c r="AD79" i="37" a="1"/>
  <c r="AD79" i="37" s="1"/>
  <c r="AD279" i="37" a="1"/>
  <c r="AD279" i="37" s="1"/>
  <c r="AD569" i="37" a="1"/>
  <c r="AD569" i="37" s="1"/>
  <c r="AD229" i="37" a="1"/>
  <c r="AD229" i="37" s="1"/>
  <c r="AD230" i="37" a="1"/>
  <c r="AD230" i="37" s="1"/>
  <c r="AD301" i="37" a="1"/>
  <c r="AD301" i="37" s="1"/>
  <c r="AD437" i="37" a="1"/>
  <c r="AD437" i="37" s="1"/>
  <c r="AD160" i="37" a="1"/>
  <c r="AD160" i="37" s="1"/>
  <c r="AD280" i="37" a="1"/>
  <c r="AD280" i="37" s="1"/>
  <c r="AD302" i="37" a="1"/>
  <c r="AD302" i="37" s="1"/>
  <c r="AD231" i="37" a="1"/>
  <c r="AD231" i="37" s="1"/>
  <c r="AD303" i="37" a="1"/>
  <c r="AD303" i="37" s="1"/>
  <c r="AD304" i="37" a="1"/>
  <c r="AD304" i="37" s="1"/>
  <c r="AD305" i="37" a="1"/>
  <c r="AD305" i="37" s="1"/>
  <c r="AD194" i="37" a="1"/>
  <c r="AD194" i="37" s="1"/>
  <c r="AD265" i="37" a="1"/>
  <c r="AD265" i="37" s="1"/>
  <c r="AD306" i="37" a="1"/>
  <c r="AD306" i="37" s="1"/>
  <c r="AD232" i="37" a="1"/>
  <c r="AD232" i="37" s="1"/>
  <c r="AD195" i="37" a="1"/>
  <c r="AD195" i="37" s="1"/>
  <c r="AD598" i="37" a="1"/>
  <c r="AD598" i="37" s="1"/>
  <c r="AD281" i="37" a="1"/>
  <c r="AD281" i="37" s="1"/>
  <c r="AD600" i="37" a="1"/>
  <c r="AD600" i="37" s="1"/>
  <c r="AD80" i="37" a="1"/>
  <c r="AD80" i="37" s="1"/>
  <c r="AD270" i="37" a="1"/>
  <c r="AD270" i="37" s="1"/>
  <c r="AD180" i="37" a="1"/>
  <c r="AD180" i="37" s="1"/>
  <c r="AD307" i="37" a="1"/>
  <c r="AD307" i="37" s="1"/>
  <c r="AD267" i="37" a="1"/>
  <c r="AD267" i="37" s="1"/>
  <c r="AD196" i="37" a="1"/>
  <c r="AD196" i="37" s="1"/>
  <c r="AD269" i="37" a="1"/>
  <c r="AD269" i="37" s="1"/>
  <c r="AD198" i="37" a="1"/>
  <c r="AD198" i="37" s="1"/>
  <c r="AD282" i="37" a="1"/>
  <c r="AD282" i="37" s="1"/>
  <c r="AD308" i="37" a="1"/>
  <c r="AD308" i="37" s="1"/>
  <c r="AD471" i="37" a="1"/>
  <c r="AD471" i="37" s="1"/>
  <c r="AD283" i="37" a="1"/>
  <c r="AD283" i="37" s="1"/>
  <c r="AD161" i="37" a="1"/>
  <c r="AD161" i="37" s="1"/>
  <c r="AD581" i="37" a="1"/>
  <c r="AD581" i="37" s="1"/>
  <c r="AD234" i="37" a="1"/>
  <c r="AD234" i="37" s="1"/>
  <c r="AD233" i="37" a="1"/>
  <c r="AD233" i="37" s="1"/>
  <c r="AD235" i="37" a="1"/>
  <c r="AD235" i="37" s="1"/>
  <c r="AD268" i="37" a="1"/>
  <c r="AD268" i="37" s="1"/>
  <c r="AD199" i="37" a="1"/>
  <c r="AD199" i="37" s="1"/>
  <c r="AD236" i="37" a="1"/>
  <c r="AD236" i="37" s="1"/>
  <c r="AD582" i="37" a="1"/>
  <c r="AD582" i="37" s="1"/>
  <c r="AD237" i="37" a="1"/>
  <c r="AD237" i="37" s="1"/>
  <c r="AD238" i="37" a="1"/>
  <c r="AD238" i="37" s="1"/>
  <c r="AD583" i="37" a="1"/>
  <c r="AD583" i="37" s="1"/>
  <c r="AD172" i="37" a="1"/>
  <c r="AD172" i="37" s="1"/>
  <c r="AD239" i="37" a="1"/>
  <c r="AD239" i="37" s="1"/>
  <c r="AD363" i="37" a="1"/>
  <c r="AD363" i="37" s="1"/>
  <c r="AD364" i="37" a="1"/>
  <c r="AD364" i="37" s="1"/>
  <c r="AD362" i="37" a="1"/>
  <c r="AD362" i="37" s="1"/>
  <c r="AD594" i="37" a="1"/>
  <c r="AD594" i="37" s="1"/>
  <c r="AD612" i="37" a="1"/>
  <c r="AD612" i="37" s="1"/>
  <c r="AD266" i="37" a="1"/>
  <c r="AD266" i="37" s="1"/>
  <c r="AD309" i="37" a="1"/>
  <c r="AD309" i="37" s="1"/>
  <c r="AD365" i="37" a="1"/>
  <c r="AD365" i="37" s="1"/>
  <c r="AD240" i="37" a="1"/>
  <c r="AD240" i="37" s="1"/>
  <c r="AD91" i="37" a="1"/>
  <c r="AD91" i="37" s="1"/>
  <c r="AD613" i="37" a="1"/>
  <c r="AD613" i="37" s="1"/>
  <c r="AD551" i="37" a="1"/>
  <c r="AD551" i="37" s="1"/>
  <c r="AD271" i="37" a="1"/>
  <c r="AD271" i="37" s="1"/>
  <c r="AD584" i="37" a="1"/>
  <c r="AD584" i="37" s="1"/>
  <c r="AD52" i="37" a="1"/>
  <c r="AD52" i="37" s="1"/>
  <c r="AD366" i="37" a="1"/>
  <c r="AD366" i="37" s="1"/>
  <c r="AD241" i="37" a="1"/>
  <c r="AD241" i="37" s="1"/>
  <c r="AD614" i="37" a="1"/>
  <c r="AD614" i="37" s="1"/>
  <c r="AD367" i="37" a="1"/>
  <c r="AD367" i="37" s="1"/>
  <c r="AD544" i="37" a="1"/>
  <c r="AD544" i="37" s="1"/>
  <c r="AD136" i="37" a="1"/>
  <c r="AD136" i="37" s="1"/>
  <c r="AD585" i="37" a="1"/>
  <c r="AD585" i="37" s="1"/>
  <c r="AD371" i="37" a="1"/>
  <c r="AD371" i="37" s="1"/>
  <c r="AD369" i="37" a="1"/>
  <c r="AD369" i="37" s="1"/>
  <c r="AD615" i="37" a="1"/>
  <c r="AD615" i="37" s="1"/>
  <c r="AD368" i="37" a="1"/>
  <c r="AD368" i="37" s="1"/>
  <c r="AD370" i="37" a="1"/>
  <c r="AD370" i="37" s="1"/>
  <c r="AD242" i="37" a="1"/>
  <c r="AD242" i="37" s="1"/>
  <c r="AD244" i="37" a="1"/>
  <c r="AD244" i="37" s="1"/>
  <c r="AD372" i="37" a="1"/>
  <c r="AD372" i="37" s="1"/>
  <c r="AD566" i="37" a="1"/>
  <c r="AD566" i="37" s="1"/>
  <c r="AD243" i="37" a="1"/>
  <c r="AD243" i="37" s="1"/>
  <c r="AD407" i="37" a="1"/>
  <c r="AD407" i="37" s="1"/>
  <c r="AD8" i="37" a="1"/>
  <c r="AD8" i="37" s="1"/>
  <c r="AD310" i="37" a="1"/>
  <c r="AD310" i="37" s="1"/>
  <c r="AD385" i="37" a="1"/>
  <c r="AD385" i="37" s="1"/>
  <c r="AD94" i="37" a="1"/>
  <c r="AD94" i="37" s="1"/>
  <c r="AD55" i="37" a="1"/>
  <c r="AD55" i="37" s="1"/>
  <c r="AD258" i="37" a="1"/>
  <c r="AD258" i="37" s="1"/>
  <c r="AD137" i="37" a="1"/>
  <c r="AD137" i="37" s="1"/>
  <c r="AD54" i="37" a="1"/>
  <c r="AD54" i="37" s="1"/>
  <c r="AD418" i="37" a="1"/>
  <c r="AD418" i="37" s="1"/>
  <c r="AD174" i="37" a="1"/>
  <c r="AD174" i="37" s="1"/>
  <c r="AD311" i="37" a="1"/>
  <c r="AD311" i="37" s="1"/>
  <c r="AD416" i="37" a="1"/>
  <c r="AD416" i="37" s="1"/>
  <c r="AD312" i="37" a="1"/>
  <c r="AD312" i="37" s="1"/>
  <c r="AD145" i="37" a="1"/>
  <c r="AD145" i="37" s="1"/>
  <c r="AD278" i="37" a="1"/>
  <c r="AD278" i="37" s="1"/>
  <c r="AD181" i="37" a="1"/>
  <c r="AD181" i="37" s="1"/>
  <c r="AD375" i="37" a="1"/>
  <c r="AD375" i="37" s="1"/>
  <c r="AD146" i="37" a="1"/>
  <c r="AD146" i="37" s="1"/>
  <c r="AD388" i="37" a="1"/>
  <c r="AD388" i="37" s="1"/>
  <c r="AD419" i="37" a="1"/>
  <c r="AD419" i="37" s="1"/>
  <c r="AD60" i="37" a="1"/>
  <c r="AD60" i="37" s="1"/>
  <c r="AD81" i="37" a="1"/>
  <c r="AD81" i="37" s="1"/>
  <c r="AD149" i="37" a="1"/>
  <c r="AD149" i="37" s="1"/>
  <c r="AD246" i="37" a="1"/>
  <c r="AD246" i="37" s="1"/>
  <c r="AD590" i="37" a="1"/>
  <c r="AD590" i="37" s="1"/>
  <c r="AD254" i="37" a="1"/>
  <c r="AD254" i="37" s="1"/>
  <c r="AD373" i="37" a="1"/>
  <c r="AD373" i="37" s="1"/>
  <c r="AD376" i="37" a="1"/>
  <c r="AD376" i="37" s="1"/>
  <c r="AD378" i="37" a="1"/>
  <c r="AD378" i="37" s="1"/>
  <c r="AD410" i="37" a="1"/>
  <c r="AD410" i="37" s="1"/>
  <c r="AD409" i="37" a="1"/>
  <c r="AD409" i="37" s="1"/>
  <c r="AD420" i="37" a="1"/>
  <c r="AD420" i="37" s="1"/>
  <c r="AD248" i="37" a="1"/>
  <c r="AD248" i="37" s="1"/>
  <c r="AD247" i="37" a="1"/>
  <c r="AD247" i="37" s="1"/>
  <c r="AD259" i="37" a="1"/>
  <c r="AD259" i="37" s="1"/>
  <c r="AD402" i="37" a="1"/>
  <c r="AD402" i="37" s="1"/>
  <c r="AD415" i="37" a="1"/>
  <c r="AD415" i="37" s="1"/>
  <c r="AD417" i="37" a="1"/>
  <c r="AD417" i="37" s="1"/>
  <c r="AD53" i="37" a="1"/>
  <c r="AD53" i="37" s="1"/>
  <c r="AD140" i="37" a="1"/>
  <c r="AD140" i="37" s="1"/>
  <c r="AD142" i="37" a="1"/>
  <c r="AD142" i="37" s="1"/>
  <c r="AD109" i="37" a="1"/>
  <c r="AD109" i="37" s="1"/>
  <c r="AD313" i="37" a="1"/>
  <c r="AD313" i="37" s="1"/>
  <c r="AD314" i="37" a="1"/>
  <c r="AD314" i="37" s="1"/>
  <c r="AD601" i="37" a="1"/>
  <c r="AD601" i="37" s="1"/>
  <c r="AD315" i="37" a="1"/>
  <c r="AD315" i="37" s="1"/>
  <c r="AD618" i="37" a="1"/>
  <c r="AD618" i="37" s="1"/>
  <c r="AD143" i="37" a="1"/>
  <c r="AD143" i="37" s="1"/>
  <c r="AD622" i="37" a="1"/>
  <c r="AD622" i="37" s="1"/>
  <c r="AD316" i="37" a="1"/>
  <c r="AD316" i="37" s="1"/>
  <c r="AD552" i="37" a="1"/>
  <c r="AD552" i="37" s="1"/>
  <c r="AD317" i="37" a="1"/>
  <c r="AD317" i="37" s="1"/>
  <c r="AD182" i="37" a="1"/>
  <c r="AD182" i="37" s="1"/>
  <c r="AD200" i="37" a="1"/>
  <c r="AD200" i="37" s="1"/>
  <c r="AD284" i="37" a="1"/>
  <c r="AD284" i="37" s="1"/>
  <c r="AD427" i="37" a="1"/>
  <c r="AD427" i="37" s="1"/>
  <c r="AD147" i="37" a="1"/>
  <c r="AD147" i="37" s="1"/>
  <c r="AD173" i="37" a="1"/>
  <c r="AD173" i="37" s="1"/>
  <c r="AD318" i="37" a="1"/>
  <c r="AD318" i="37" s="1"/>
  <c r="AD435" i="37" a="1"/>
  <c r="AD435" i="37" s="1"/>
  <c r="AD285" i="37" a="1"/>
  <c r="AD285" i="37" s="1"/>
  <c r="AD602" i="37" a="1"/>
  <c r="AD602" i="37" s="1"/>
  <c r="AD319" i="37" a="1"/>
  <c r="AD319" i="37" s="1"/>
  <c r="AD148" i="37" a="1"/>
  <c r="AD148" i="37" s="1"/>
  <c r="AD320" i="37" a="1"/>
  <c r="AD320" i="37" s="1"/>
  <c r="AD321" i="37" a="1"/>
  <c r="AD321" i="37" s="1"/>
  <c r="AD150" i="37" a="1"/>
  <c r="AD150" i="37" s="1"/>
  <c r="AD322" i="37" a="1"/>
  <c r="AD322" i="37" s="1"/>
  <c r="AD323" i="37" a="1"/>
  <c r="AD323" i="37" s="1"/>
  <c r="AD621" i="37" a="1"/>
  <c r="AD621" i="37" s="1"/>
  <c r="AD424" i="37" a="1"/>
  <c r="AD424" i="37" s="1"/>
  <c r="AD201" i="37" a="1"/>
  <c r="AD201" i="37" s="1"/>
  <c r="AD440" i="37" a="1"/>
  <c r="AD440" i="37" s="1"/>
  <c r="AD110" i="37" a="1"/>
  <c r="AD110" i="37" s="1"/>
  <c r="AD286" i="37" a="1"/>
  <c r="AD286" i="37" s="1"/>
  <c r="AD325" i="37" a="1"/>
  <c r="AD325" i="37" s="1"/>
  <c r="AD423" i="37" a="1"/>
  <c r="AD423" i="37" s="1"/>
  <c r="AD431" i="37" a="1"/>
  <c r="AD431" i="37" s="1"/>
  <c r="AD421" i="37" a="1"/>
  <c r="AD421" i="37" s="1"/>
  <c r="AD245" i="37" a="1"/>
  <c r="AD245" i="37" s="1"/>
  <c r="AD434" i="37" a="1"/>
  <c r="AD434" i="37" s="1"/>
  <c r="AD324" i="37" a="1"/>
  <c r="AD324" i="37" s="1"/>
  <c r="AD572" i="37" a="1"/>
  <c r="AD572" i="37" s="1"/>
  <c r="AD202" i="37" a="1"/>
  <c r="AD202" i="37" s="1"/>
  <c r="AD588" i="37" a="1"/>
  <c r="AD588" i="37" s="1"/>
  <c r="AD603" i="37" a="1"/>
  <c r="AD603" i="37" s="1"/>
  <c r="AD619" i="37" a="1"/>
  <c r="AD619" i="37" s="1"/>
  <c r="AD250" i="37" a="1"/>
  <c r="AD250" i="37" s="1"/>
  <c r="AD441" i="37" a="1"/>
  <c r="AD441" i="37" s="1"/>
  <c r="AD438" i="37" a="1"/>
  <c r="AD438" i="37" s="1"/>
  <c r="AD327" i="37" a="1"/>
  <c r="AD327" i="37" s="1"/>
  <c r="AD426" i="37" a="1"/>
  <c r="AD426" i="37" s="1"/>
  <c r="AD287" i="37" a="1"/>
  <c r="AD287" i="37" s="1"/>
  <c r="AD95" i="37" a="1"/>
  <c r="AD95" i="37" s="1"/>
  <c r="AD326" i="37" a="1"/>
  <c r="AD326" i="37" s="1"/>
  <c r="AD249" i="37" a="1"/>
  <c r="AD249" i="37" s="1"/>
  <c r="AD425" i="37" a="1"/>
  <c r="AD425" i="37" s="1"/>
  <c r="AD604" i="37" a="1"/>
  <c r="AD604" i="37" s="1"/>
  <c r="AD162" i="37" a="1"/>
  <c r="AD162" i="37" s="1"/>
  <c r="AD276" i="37" a="1"/>
  <c r="AD276" i="37" s="1"/>
  <c r="AD328" i="37" a="1"/>
  <c r="AD328" i="37" s="1"/>
  <c r="AD472" i="37" a="1"/>
  <c r="AD472" i="37" s="1"/>
  <c r="AD272" i="37" a="1"/>
  <c r="AD272" i="37" s="1"/>
  <c r="AD255" i="37" a="1"/>
  <c r="AD255" i="37" s="1"/>
  <c r="AD277" i="37" a="1"/>
  <c r="AD277" i="37" s="1"/>
  <c r="AD442" i="37" a="1"/>
  <c r="AD442" i="37" s="1"/>
  <c r="AD591" i="37" a="1"/>
  <c r="AD591" i="37" s="1"/>
  <c r="AD592" i="37" a="1"/>
  <c r="AD592" i="37" s="1"/>
  <c r="AD329" i="37" a="1"/>
  <c r="AD329" i="37" s="1"/>
  <c r="AD473" i="37" a="1"/>
  <c r="AD473" i="37" s="1"/>
  <c r="AD474" i="37" a="1"/>
  <c r="AD474" i="37" s="1"/>
  <c r="AD428" i="37" a="1"/>
  <c r="AD428" i="37" s="1"/>
  <c r="AD330" i="37" a="1"/>
  <c r="AD330" i="37" s="1"/>
  <c r="AD257" i="37" a="1"/>
  <c r="AD257" i="37" s="1"/>
  <c r="AD429" i="37" a="1"/>
  <c r="AD429" i="37" s="1"/>
  <c r="AD263" i="37" a="1"/>
  <c r="AD263" i="37" s="1"/>
  <c r="AD444" i="37" a="1"/>
  <c r="AD444" i="37" s="1"/>
  <c r="AD430" i="37" a="1"/>
  <c r="AD430" i="37" s="1"/>
  <c r="AD432" i="37" a="1"/>
  <c r="AD432" i="37" s="1"/>
  <c r="AD260" i="37" a="1"/>
  <c r="AD260" i="37" s="1"/>
  <c r="AD261" i="37" a="1"/>
  <c r="AD261" i="37" s="1"/>
  <c r="AD262" i="37" a="1"/>
  <c r="AD262" i="37" s="1"/>
  <c r="AD331" i="37" a="1"/>
  <c r="AD331" i="37" s="1"/>
  <c r="AD374" i="37" a="1"/>
  <c r="AD374" i="37" s="1"/>
  <c r="AD332" i="37" a="1"/>
  <c r="AD332" i="37" s="1"/>
  <c r="AD377" i="37" a="1"/>
  <c r="AD377" i="37" s="1"/>
  <c r="AD203" i="37" a="1"/>
  <c r="AD203" i="37" s="1"/>
  <c r="AD111" i="37" a="1"/>
  <c r="AD111" i="37" s="1"/>
  <c r="AD379" i="37" a="1"/>
  <c r="AD379" i="37" s="1"/>
  <c r="AD333" i="37" a="1"/>
  <c r="AD333" i="37" s="1"/>
  <c r="AD334" i="37" a="1"/>
  <c r="AD334" i="37" s="1"/>
  <c r="AD443" i="37" a="1"/>
  <c r="AD443" i="37" s="1"/>
  <c r="AD459" i="37" a="1"/>
  <c r="AD459" i="37" s="1"/>
  <c r="AD289" i="37" a="1"/>
  <c r="AD289" i="37" s="1"/>
  <c r="AD475" i="37" a="1"/>
  <c r="AD475" i="37" s="1"/>
  <c r="AD335" i="37" a="1"/>
  <c r="AD335" i="37" s="1"/>
  <c r="AD112" i="37" a="1"/>
  <c r="AD112" i="37" s="1"/>
  <c r="AD422" i="37" a="1"/>
  <c r="AD422" i="37" s="1"/>
  <c r="AD381" i="37" a="1"/>
  <c r="AD381" i="37" s="1"/>
  <c r="AD605" i="37" a="1"/>
  <c r="AD605" i="37" s="1"/>
  <c r="AD616" i="37" a="1"/>
  <c r="AD616" i="37" s="1"/>
  <c r="AD383" i="37" a="1"/>
  <c r="AD383" i="37" s="1"/>
  <c r="AD183" i="37" a="1"/>
  <c r="AD183" i="37" s="1"/>
  <c r="AD433" i="37" a="1"/>
  <c r="AD433" i="37" s="1"/>
  <c r="AD336" i="37" a="1"/>
  <c r="AD336" i="37" s="1"/>
  <c r="AD337" i="37" a="1"/>
  <c r="AD337" i="37" s="1"/>
  <c r="AD386" i="37" a="1"/>
  <c r="AD386" i="37" s="1"/>
  <c r="AD338" i="37" a="1"/>
  <c r="AD338" i="37" s="1"/>
  <c r="AD617" i="37" a="1"/>
  <c r="AD617" i="37" s="1"/>
  <c r="AD389" i="37" a="1"/>
  <c r="AD389" i="37" s="1"/>
  <c r="AD606" i="37" a="1"/>
  <c r="AD606" i="37" s="1"/>
  <c r="AD204" i="37" a="1"/>
  <c r="AD204" i="37" s="1"/>
  <c r="AD291" i="37" a="1"/>
  <c r="AD291" i="37" s="1"/>
  <c r="AD390" i="37" a="1"/>
  <c r="AD390" i="37" s="1"/>
  <c r="AD394" i="37" a="1"/>
  <c r="AD394" i="37" s="1"/>
  <c r="AD398" i="37" a="1"/>
  <c r="AD398" i="37" s="1"/>
  <c r="AD400" i="37" a="1"/>
  <c r="AD400" i="37" s="1"/>
  <c r="AD476" i="37" a="1"/>
  <c r="AD476" i="37" s="1"/>
  <c r="AD399" i="37" a="1"/>
  <c r="AD399" i="37" s="1"/>
  <c r="AD403" i="37" a="1"/>
  <c r="AD403" i="37" s="1"/>
  <c r="AD477" i="37" a="1"/>
  <c r="AD477" i="37" s="1"/>
  <c r="AD408" i="37" a="1"/>
  <c r="AD408" i="37" s="1"/>
  <c r="AD439" i="37" a="1"/>
  <c r="AD439" i="37" s="1"/>
  <c r="AD573" i="37" a="1"/>
  <c r="AD573" i="37" s="1"/>
  <c r="AD413" i="37" a="1"/>
  <c r="AD413" i="37" s="1"/>
  <c r="AD607" i="37" a="1"/>
  <c r="AD607" i="37" s="1"/>
  <c r="AD412" i="37" a="1"/>
  <c r="AD412" i="37" s="1"/>
  <c r="AD113" i="37" a="1"/>
  <c r="AD113" i="37" s="1"/>
  <c r="AD414" i="37" a="1"/>
  <c r="AD414" i="37" s="1"/>
  <c r="AD411" i="37" a="1"/>
  <c r="AD411" i="37" s="1"/>
  <c r="AD138" i="37" a="1"/>
  <c r="AD138" i="37" s="1"/>
  <c r="AD139" i="37" a="1"/>
  <c r="AD139" i="37" s="1"/>
  <c r="AD339" i="37" a="1"/>
  <c r="AD339" i="37" s="1"/>
  <c r="AD478" i="37" a="1"/>
  <c r="AD478" i="37" s="1"/>
  <c r="AD141" i="37" a="1"/>
  <c r="AD141" i="37" s="1"/>
  <c r="AD479" i="37" a="1"/>
  <c r="AD479" i="37" s="1"/>
  <c r="AD340" i="37" a="1"/>
  <c r="AD340" i="37" s="1"/>
  <c r="AD144" i="37" a="1"/>
  <c r="AD144" i="37" s="1"/>
  <c r="AD567" i="37" a="1"/>
  <c r="AD567" i="37" s="1"/>
  <c r="AD586" i="37" a="1"/>
  <c r="AD586" i="37" s="1"/>
  <c r="AD587" i="37" a="1"/>
  <c r="AD587" i="37" s="1"/>
  <c r="AD589" i="37" a="1"/>
  <c r="AD589" i="37" s="1"/>
  <c r="AD625" i="37" a="1"/>
  <c r="AD625" i="37" s="1"/>
  <c r="AD480" i="37" a="1"/>
  <c r="AD480" i="37" s="1"/>
  <c r="AD342" i="37" a="1"/>
  <c r="AD342" i="37" s="1"/>
  <c r="AD253" i="37" a="1"/>
  <c r="AD253" i="37" s="1"/>
  <c r="AD341" i="37" a="1"/>
  <c r="AD341" i="37" s="1"/>
  <c r="AD252" i="37" a="1"/>
  <c r="AD252" i="37" s="1"/>
  <c r="AD482" i="37" a="1"/>
  <c r="AD482" i="37" s="1"/>
  <c r="AD481" i="37" a="1"/>
  <c r="AD481" i="37" s="1"/>
  <c r="AD343" i="37" a="1"/>
  <c r="AD343" i="37" s="1"/>
  <c r="AD251" i="37" a="1"/>
  <c r="AD251" i="37" s="1"/>
  <c r="AD256" i="37" a="1"/>
  <c r="AD256" i="37" s="1"/>
  <c r="AD264" i="37" a="1"/>
  <c r="AD264" i="37" s="1"/>
  <c r="AD593" i="37" a="1"/>
  <c r="AD593" i="37" s="1"/>
  <c r="AD345" i="37" a="1"/>
  <c r="AD345" i="37" s="1"/>
  <c r="AD484" i="37" a="1"/>
  <c r="AD484" i="37" s="1"/>
  <c r="AD483" i="37" a="1"/>
  <c r="AD483" i="37" s="1"/>
  <c r="AD344" i="37" a="1"/>
  <c r="AD344" i="37" s="1"/>
  <c r="AD458" i="37" a="1"/>
  <c r="AD458" i="37" s="1"/>
  <c r="AD486" i="37" a="1"/>
  <c r="AD486" i="37" s="1"/>
  <c r="AD485" i="37" a="1"/>
  <c r="AD485" i="37" s="1"/>
  <c r="AD626" i="37" a="1"/>
  <c r="AD626" i="37" s="1"/>
  <c r="AD346" i="37" a="1"/>
  <c r="AD346" i="37" s="1"/>
  <c r="AD628" i="37" a="1"/>
  <c r="AD628" i="37" s="1"/>
  <c r="AD380" i="37" a="1"/>
  <c r="AD380" i="37" s="1"/>
  <c r="AD382" i="37" a="1"/>
  <c r="AD382" i="37" s="1"/>
  <c r="AD627" i="37" a="1"/>
  <c r="AD627" i="37" s="1"/>
  <c r="AD384" i="37" a="1"/>
  <c r="AD384" i="37" s="1"/>
  <c r="AD387" i="37" a="1"/>
  <c r="AD387" i="37" s="1"/>
  <c r="AD391" i="37" a="1"/>
  <c r="AD391" i="37" s="1"/>
  <c r="AD392" i="37" a="1"/>
  <c r="AD392" i="37" s="1"/>
  <c r="AD393" i="37" a="1"/>
  <c r="AD393" i="37" s="1"/>
  <c r="AD397" i="37" a="1"/>
  <c r="AD397" i="37" s="1"/>
  <c r="AD396" i="37" a="1"/>
  <c r="AD396" i="37" s="1"/>
  <c r="AD401" i="37" a="1"/>
  <c r="AD401" i="37" s="1"/>
  <c r="AD405" i="37" a="1"/>
  <c r="AD405" i="37" s="1"/>
  <c r="AD404" i="37" a="1"/>
  <c r="AD404" i="37" s="1"/>
  <c r="AD406" i="37" a="1"/>
  <c r="AD406" i="37" s="1"/>
  <c r="AD487" i="37" a="1"/>
  <c r="AD487" i="37" s="1"/>
  <c r="AD506" i="37" a="1"/>
  <c r="AD506" i="37" s="1"/>
  <c r="AD620" i="37" a="1"/>
  <c r="AD620" i="37" s="1"/>
  <c r="AD466" i="37" a="1"/>
  <c r="AD466" i="37" s="1"/>
  <c r="AD550" i="37" a="1"/>
  <c r="AD550" i="37" s="1"/>
  <c r="AD498" i="37" a="1"/>
  <c r="AD498" i="37" s="1"/>
  <c r="AD521" i="37" a="1"/>
  <c r="AD521" i="37" s="1"/>
  <c r="AD445" i="37" a="1"/>
  <c r="AD445" i="37" s="1"/>
  <c r="AD184" i="37" a="1"/>
  <c r="AD184" i="37" s="1"/>
  <c r="AD348" i="37" a="1"/>
  <c r="AD348" i="37" s="1"/>
  <c r="AD357" i="37" a="1"/>
  <c r="AD357" i="37" s="1"/>
  <c r="AD640" i="37" a="1"/>
  <c r="AD640" i="37" s="1"/>
  <c r="AD469" i="37" a="1"/>
  <c r="AD469" i="37" s="1"/>
  <c r="AD510" i="37" a="1"/>
  <c r="AD510" i="37" s="1"/>
  <c r="AD511" i="37" a="1"/>
  <c r="AD511" i="37" s="1"/>
  <c r="AD528" i="37" a="1"/>
  <c r="AD528" i="37" s="1"/>
  <c r="AD347" i="37" a="1"/>
  <c r="AD347" i="37" s="1"/>
  <c r="AD436" i="37" a="1"/>
  <c r="AD436" i="37" s="1"/>
  <c r="AD517" i="37" a="1"/>
  <c r="AD517" i="37" s="1"/>
  <c r="AD493" i="37" a="1"/>
  <c r="AD493" i="37" s="1"/>
  <c r="AD467" i="37" a="1"/>
  <c r="AD467" i="37" s="1"/>
  <c r="AD293" i="37" a="1"/>
  <c r="AD293" i="37" s="1"/>
  <c r="AD452" i="37" a="1"/>
  <c r="AD452" i="37" s="1"/>
  <c r="AD358" i="37" a="1"/>
  <c r="AD358" i="37" s="1"/>
  <c r="AD455" i="37" a="1"/>
  <c r="AD455" i="37" s="1"/>
  <c r="AD522" i="37" a="1"/>
  <c r="AD522" i="37" s="1"/>
  <c r="AD351" i="37" a="1"/>
  <c r="AD351" i="37" s="1"/>
  <c r="AD610" i="37" a="1"/>
  <c r="AD610" i="37" s="1"/>
  <c r="AD463" i="37" a="1"/>
  <c r="AD463" i="37" s="1"/>
  <c r="AD490" i="37" a="1"/>
  <c r="AD490" i="37" s="1"/>
  <c r="AD500" i="37" a="1"/>
  <c r="AD500" i="37" s="1"/>
  <c r="AD499" i="37" a="1"/>
  <c r="AD499" i="37" s="1"/>
  <c r="AD523" i="37" a="1"/>
  <c r="AD523" i="37" s="1"/>
  <c r="AD470" i="37" a="1"/>
  <c r="AD470" i="37" s="1"/>
  <c r="AD273" i="37" a="1"/>
  <c r="AD273" i="37" s="1"/>
  <c r="AD489" i="37" a="1"/>
  <c r="AD489" i="37" s="1"/>
  <c r="AD488" i="37" a="1"/>
  <c r="AD488" i="37" s="1"/>
  <c r="AD288" i="37" a="1"/>
  <c r="AD288" i="37" s="1"/>
  <c r="AD292" i="37" a="1"/>
  <c r="AD292" i="37" s="1"/>
  <c r="AD491" i="37" a="1"/>
  <c r="AD491" i="37" s="1"/>
  <c r="AD448" i="37" a="1"/>
  <c r="AD448" i="37" s="1"/>
  <c r="AD494" i="37" a="1"/>
  <c r="AD494" i="37" s="1"/>
  <c r="AD451" i="37" a="1"/>
  <c r="AD451" i="37" s="1"/>
  <c r="AD512" i="37" a="1"/>
  <c r="AD512" i="37" s="1"/>
  <c r="AD525" i="37" a="1"/>
  <c r="AD525" i="37" s="1"/>
  <c r="AD527" i="37" a="1"/>
  <c r="AD527" i="37" s="1"/>
  <c r="AD524" i="37" a="1"/>
  <c r="AD524" i="37" s="1"/>
  <c r="AD639" i="37" a="1"/>
  <c r="AD639" i="37" s="1"/>
  <c r="AD356" i="37" a="1"/>
  <c r="AD356" i="37" s="1"/>
  <c r="AD453" i="37" a="1"/>
  <c r="AD453" i="37" s="1"/>
  <c r="AD460" i="37" a="1"/>
  <c r="AD460" i="37" s="1"/>
  <c r="AD290" i="37" a="1"/>
  <c r="AD290" i="37" s="1"/>
  <c r="AD611" i="37" a="1"/>
  <c r="AD611" i="37" s="1"/>
  <c r="AD492" i="37" a="1"/>
  <c r="AD492" i="37" s="1"/>
  <c r="AD495" i="37" a="1"/>
  <c r="AD495" i="37" s="1"/>
  <c r="AD294" i="37" a="1"/>
  <c r="AD294" i="37" s="1"/>
  <c r="AD496" i="37" a="1"/>
  <c r="AD496" i="37" s="1"/>
  <c r="AD497" i="37" a="1"/>
  <c r="AD497" i="37" s="1"/>
  <c r="AD502" i="37" a="1"/>
  <c r="AD502" i="37" s="1"/>
  <c r="AD446" i="37" a="1"/>
  <c r="AD446" i="37" s="1"/>
  <c r="AD503" i="37" a="1"/>
  <c r="AD503" i="37" s="1"/>
  <c r="AD449" i="37" a="1"/>
  <c r="AD449" i="37" s="1"/>
  <c r="AD631" i="37" a="1"/>
  <c r="AD631" i="37" s="1"/>
  <c r="AD504" i="37" a="1"/>
  <c r="AD504" i="37" s="1"/>
  <c r="AD630" i="37" a="1"/>
  <c r="AD630" i="37" s="1"/>
  <c r="AD629" i="37" a="1"/>
  <c r="AD629" i="37" s="1"/>
  <c r="AD623" i="37" a="1"/>
  <c r="AD623" i="37" s="1"/>
  <c r="AD501" i="37" a="1"/>
  <c r="AD501" i="37" s="1"/>
  <c r="AD505" i="37" a="1"/>
  <c r="AD505" i="37" s="1"/>
  <c r="AD508" i="37" a="1"/>
  <c r="AD508" i="37" s="1"/>
  <c r="AD509" i="37" a="1"/>
  <c r="AD509" i="37" s="1"/>
  <c r="AD513" i="37" a="1"/>
  <c r="AD513" i="37" s="1"/>
  <c r="AD632" i="37" a="1"/>
  <c r="AD632" i="37" s="1"/>
  <c r="AD514" i="37" a="1"/>
  <c r="AD514" i="37" s="1"/>
  <c r="AD515" i="37" a="1"/>
  <c r="AD515" i="37" s="1"/>
  <c r="AD519" i="37" a="1"/>
  <c r="AD519" i="37" s="1"/>
  <c r="AD518" i="37" a="1"/>
  <c r="AD518" i="37" s="1"/>
  <c r="AD520" i="37" a="1"/>
  <c r="AD520" i="37" s="1"/>
  <c r="AD114" i="37" a="1"/>
  <c r="AD114" i="37" s="1"/>
  <c r="AD205" i="37" a="1"/>
  <c r="AD205" i="37" s="1"/>
  <c r="AD349" i="37" a="1"/>
  <c r="AD349" i="37" s="1"/>
  <c r="AD350" i="37" a="1"/>
  <c r="AD350" i="37" s="1"/>
  <c r="AD608" i="37" a="1"/>
  <c r="AD608" i="37" s="1"/>
  <c r="AD609" i="37" a="1"/>
  <c r="AD609" i="37" s="1"/>
  <c r="AD352" i="37" a="1"/>
  <c r="AD352" i="37" s="1"/>
  <c r="AD355" i="37" a="1"/>
  <c r="AD355" i="37" s="1"/>
  <c r="AD353" i="37" a="1"/>
  <c r="AD353" i="37" s="1"/>
  <c r="AD468" i="37" a="1"/>
  <c r="AD468" i="37" s="1"/>
  <c r="AD354" i="37" a="1"/>
  <c r="AD354" i="37" s="1"/>
  <c r="AD295" i="37" a="1"/>
  <c r="AD295" i="37" s="1"/>
  <c r="AD447" i="37" a="1"/>
  <c r="AD447" i="37" s="1"/>
  <c r="AD450" i="37" a="1"/>
  <c r="AD450" i="37" s="1"/>
  <c r="AD454" i="37" a="1"/>
  <c r="AD454" i="37" s="1"/>
  <c r="AD359" i="37" a="1"/>
  <c r="AD359" i="37" s="1"/>
  <c r="AD456" i="37" a="1"/>
  <c r="AD456" i="37" s="1"/>
  <c r="AD457" i="37" a="1"/>
  <c r="AD457" i="37" s="1"/>
  <c r="AD360" i="37" a="1"/>
  <c r="AD360" i="37" s="1"/>
  <c r="AD462" i="37" a="1"/>
  <c r="AD462" i="37" s="1"/>
  <c r="AD461" i="37" a="1"/>
  <c r="AD461" i="37" s="1"/>
  <c r="AD633" i="37" a="1"/>
  <c r="AD633" i="37" s="1"/>
  <c r="AD464" i="37" a="1"/>
  <c r="AD464" i="37" s="1"/>
  <c r="AD624" i="37" a="1"/>
  <c r="AD624" i="37" s="1"/>
  <c r="AD465" i="37" a="1"/>
  <c r="AD465" i="37" s="1"/>
  <c r="AD516" i="37" a="1"/>
  <c r="AD516" i="37" s="1"/>
  <c r="AD634" i="37" a="1"/>
  <c r="AD634" i="37" s="1"/>
  <c r="AD635" i="37" a="1"/>
  <c r="AD635" i="37" s="1"/>
  <c r="AD638" i="37" a="1"/>
  <c r="AD638" i="37" s="1"/>
  <c r="AD637" i="37" a="1"/>
  <c r="AD637" i="37" s="1"/>
  <c r="AD636" i="37" a="1"/>
  <c r="AD636" i="37" s="1"/>
  <c r="AD529" i="37" a="1"/>
  <c r="AD529" i="37" s="1"/>
  <c r="AD530" i="37" a="1"/>
  <c r="AD530" i="37" s="1"/>
  <c r="AD531" i="37" a="1"/>
  <c r="AD531" i="37" s="1"/>
  <c r="AD532" i="37" a="1"/>
  <c r="AD532" i="37" s="1"/>
  <c r="AC2" i="37" a="1"/>
  <c r="AC2" i="37" s="1"/>
  <c r="AC3" i="37" a="1"/>
  <c r="AC3" i="37" s="1"/>
  <c r="AC10" i="37" a="1"/>
  <c r="AC10" i="37" s="1"/>
  <c r="AC534" i="37" a="1"/>
  <c r="AC534" i="37" s="1"/>
  <c r="AC533" i="37" a="1"/>
  <c r="AC533" i="37" s="1"/>
  <c r="AC6" i="37" a="1"/>
  <c r="AC6" i="37" s="1"/>
  <c r="AC5" i="37" a="1"/>
  <c r="AC5" i="37" s="1"/>
  <c r="AC11" i="37" a="1"/>
  <c r="AC11" i="37" s="1"/>
  <c r="AC4" i="37" a="1"/>
  <c r="AC4" i="37" s="1"/>
  <c r="AC23" i="37" a="1"/>
  <c r="AC23" i="37" s="1"/>
  <c r="AC7" i="37" a="1"/>
  <c r="AC7" i="37" s="1"/>
  <c r="AC13" i="37" a="1"/>
  <c r="AC13" i="37" s="1"/>
  <c r="AC24" i="37" a="1"/>
  <c r="AC24" i="37" s="1"/>
  <c r="AC36" i="37" a="1"/>
  <c r="AC36" i="37" s="1"/>
  <c r="AC25" i="37" a="1"/>
  <c r="AC25" i="37" s="1"/>
  <c r="AC37" i="37" a="1"/>
  <c r="AC37" i="37" s="1"/>
  <c r="AC20" i="37" a="1"/>
  <c r="AC20" i="37" s="1"/>
  <c r="AC14" i="37" a="1"/>
  <c r="AC14" i="37" s="1"/>
  <c r="AC15" i="37" a="1"/>
  <c r="AC15" i="37" s="1"/>
  <c r="AC19" i="37" a="1"/>
  <c r="AC19" i="37" s="1"/>
  <c r="AC22" i="37" a="1"/>
  <c r="AC22" i="37" s="1"/>
  <c r="AC26" i="37" a="1"/>
  <c r="AC26" i="37" s="1"/>
  <c r="AC537" i="37" a="1"/>
  <c r="AC537" i="37" s="1"/>
  <c r="AC27" i="37" a="1"/>
  <c r="AC27" i="37" s="1"/>
  <c r="AC21" i="37" a="1"/>
  <c r="AC21" i="37" s="1"/>
  <c r="AC38" i="37" a="1"/>
  <c r="AC38" i="37" s="1"/>
  <c r="AC538" i="37" a="1"/>
  <c r="AC538" i="37" s="1"/>
  <c r="AC28" i="37" a="1"/>
  <c r="AC28" i="37" s="1"/>
  <c r="AC16" i="37" a="1"/>
  <c r="AC16" i="37" s="1"/>
  <c r="AC39" i="37" a="1"/>
  <c r="AC39" i="37" s="1"/>
  <c r="AC40" i="37" a="1"/>
  <c r="AC40" i="37" s="1"/>
  <c r="AC29" i="37" a="1"/>
  <c r="AC29" i="37" s="1"/>
  <c r="AC41" i="37" a="1"/>
  <c r="AC41" i="37" s="1"/>
  <c r="AC33" i="37" a="1"/>
  <c r="AC33" i="37" s="1"/>
  <c r="AC42" i="37" a="1"/>
  <c r="AC42" i="37" s="1"/>
  <c r="AC539" i="37" a="1"/>
  <c r="AC539" i="37" s="1"/>
  <c r="AC85" i="37" a="1"/>
  <c r="AC85" i="37" s="1"/>
  <c r="AC43" i="37" a="1"/>
  <c r="AC43" i="37" s="1"/>
  <c r="AC44" i="37" a="1"/>
  <c r="AC44" i="37" s="1"/>
  <c r="AC535" i="37" a="1"/>
  <c r="AC535" i="37" s="1"/>
  <c r="AC45" i="37" a="1"/>
  <c r="AC45" i="37" s="1"/>
  <c r="AC17" i="37" a="1"/>
  <c r="AC17" i="37" s="1"/>
  <c r="AC70" i="37" a="1"/>
  <c r="AC70" i="37" s="1"/>
  <c r="AC30" i="37" a="1"/>
  <c r="AC30" i="37" s="1"/>
  <c r="AC18" i="37" a="1"/>
  <c r="AC18" i="37" s="1"/>
  <c r="AC62" i="37" a="1"/>
  <c r="AC62" i="37" s="1"/>
  <c r="AC57" i="37" a="1"/>
  <c r="AC57" i="37" s="1"/>
  <c r="AC46" i="37" a="1"/>
  <c r="AC46" i="37" s="1"/>
  <c r="AC61" i="37" a="1"/>
  <c r="AC61" i="37" s="1"/>
  <c r="AC71" i="37" a="1"/>
  <c r="AC71" i="37" s="1"/>
  <c r="AC31" i="37" a="1"/>
  <c r="AC31" i="37" s="1"/>
  <c r="AC541" i="37" a="1"/>
  <c r="AC541" i="37" s="1"/>
  <c r="AC56" i="37" a="1"/>
  <c r="AC56" i="37" s="1"/>
  <c r="AC536" i="37" a="1"/>
  <c r="AC536" i="37" s="1"/>
  <c r="AC47" i="37" a="1"/>
  <c r="AC47" i="37" s="1"/>
  <c r="AC86" i="37" a="1"/>
  <c r="AC86" i="37" s="1"/>
  <c r="AC72" i="37" a="1"/>
  <c r="AC72" i="37" s="1"/>
  <c r="AC48" i="37" a="1"/>
  <c r="AC48" i="37" s="1"/>
  <c r="AC547" i="37" a="1"/>
  <c r="AC547" i="37" s="1"/>
  <c r="AC115" i="37" a="1"/>
  <c r="AC115" i="37" s="1"/>
  <c r="AC562" i="37" a="1"/>
  <c r="AC562" i="37" s="1"/>
  <c r="AC58" i="37" a="1"/>
  <c r="AC58" i="37" s="1"/>
  <c r="AC63" i="37" a="1"/>
  <c r="AC63" i="37" s="1"/>
  <c r="AC34" i="37" a="1"/>
  <c r="AC34" i="37" s="1"/>
  <c r="AC540" i="37" a="1"/>
  <c r="AC540" i="37" s="1"/>
  <c r="AC116" i="37" a="1"/>
  <c r="AC116" i="37" s="1"/>
  <c r="AC12" i="37" a="1"/>
  <c r="AC12" i="37" s="1"/>
  <c r="AC32" i="37" a="1"/>
  <c r="AC32" i="37" s="1"/>
  <c r="AC73" i="37" a="1"/>
  <c r="AC73" i="37" s="1"/>
  <c r="AC74" i="37" a="1"/>
  <c r="AC74" i="37" s="1"/>
  <c r="AC542" i="37" a="1"/>
  <c r="AC542" i="37" s="1"/>
  <c r="AC75" i="37" a="1"/>
  <c r="AC75" i="37" s="1"/>
  <c r="AC543" i="37" a="1"/>
  <c r="AC543" i="37" s="1"/>
  <c r="AC117" i="37" a="1"/>
  <c r="AC117" i="37" s="1"/>
  <c r="AC546" i="37" a="1"/>
  <c r="AC546" i="37" s="1"/>
  <c r="AC99" i="37" a="1"/>
  <c r="AC99" i="37" s="1"/>
  <c r="AC67" i="37" a="1"/>
  <c r="AC67" i="37" s="1"/>
  <c r="AC100" i="37" a="1"/>
  <c r="AC100" i="37" s="1"/>
  <c r="AC68" i="37" a="1"/>
  <c r="AC68" i="37" s="1"/>
  <c r="AC64" i="37" a="1"/>
  <c r="AC64" i="37" s="1"/>
  <c r="AC101" i="37" a="1"/>
  <c r="AC101" i="37" s="1"/>
  <c r="AC65" i="37" a="1"/>
  <c r="AC65" i="37" s="1"/>
  <c r="AC92" i="37" a="1"/>
  <c r="AC92" i="37" s="1"/>
  <c r="AC49" i="37" a="1"/>
  <c r="AC49" i="37" s="1"/>
  <c r="AC185" i="37" a="1"/>
  <c r="AC185" i="37" s="1"/>
  <c r="AC163" i="37" a="1"/>
  <c r="AC163" i="37" s="1"/>
  <c r="AC76" i="37" a="1"/>
  <c r="AC76" i="37" s="1"/>
  <c r="AC87" i="37" a="1"/>
  <c r="AC87" i="37" s="1"/>
  <c r="AC82" i="37" a="1"/>
  <c r="AC82" i="37" s="1"/>
  <c r="AC88" i="37" a="1"/>
  <c r="AC88" i="37" s="1"/>
  <c r="AC554" i="37" a="1"/>
  <c r="AC554" i="37" s="1"/>
  <c r="AC93" i="37" a="1"/>
  <c r="AC93" i="37" s="1"/>
  <c r="AC118" i="37" a="1"/>
  <c r="AC118" i="37" s="1"/>
  <c r="AC83" i="37" a="1"/>
  <c r="AC83" i="37" s="1"/>
  <c r="AC164" i="37" a="1"/>
  <c r="AC164" i="37" s="1"/>
  <c r="AC119" i="37" a="1"/>
  <c r="AC119" i="37" s="1"/>
  <c r="AC549" i="37" a="1"/>
  <c r="AC549" i="37" s="1"/>
  <c r="AC50" i="37" a="1"/>
  <c r="AC50" i="37" s="1"/>
  <c r="AC120" i="37" a="1"/>
  <c r="AC120" i="37" s="1"/>
  <c r="AC121" i="37" a="1"/>
  <c r="AC121" i="37" s="1"/>
  <c r="AC84" i="37" a="1"/>
  <c r="AC84" i="37" s="1"/>
  <c r="AC165" i="37" a="1"/>
  <c r="AC165" i="37" s="1"/>
  <c r="AC206" i="37" a="1"/>
  <c r="AC206" i="37" s="1"/>
  <c r="AC89" i="37" a="1"/>
  <c r="AC89" i="37" s="1"/>
  <c r="AC574" i="37" a="1"/>
  <c r="AC574" i="37" s="1"/>
  <c r="AC166" i="37" a="1"/>
  <c r="AC166" i="37" s="1"/>
  <c r="AC167" i="37" a="1"/>
  <c r="AC167" i="37" s="1"/>
  <c r="AC77" i="37" a="1"/>
  <c r="AC77" i="37" s="1"/>
  <c r="AC123" i="37" a="1"/>
  <c r="AC123" i="37" s="1"/>
  <c r="AC122" i="37" a="1"/>
  <c r="AC122" i="37" s="1"/>
  <c r="AC575" i="37" a="1"/>
  <c r="AC575" i="37" s="1"/>
  <c r="AC96" i="37" a="1"/>
  <c r="AC96" i="37" s="1"/>
  <c r="AC186" i="37" a="1"/>
  <c r="AC186" i="37" s="1"/>
  <c r="AC176" i="37" a="1"/>
  <c r="AC176" i="37" s="1"/>
  <c r="AC151" i="37" a="1"/>
  <c r="AC151" i="37" s="1"/>
  <c r="AC97" i="37" a="1"/>
  <c r="AC97" i="37" s="1"/>
  <c r="AC274" i="37" a="1"/>
  <c r="AC274" i="37" s="1"/>
  <c r="AC545" i="37" a="1"/>
  <c r="AC545" i="37" s="1"/>
  <c r="AC187" i="37" a="1"/>
  <c r="AC187" i="37" s="1"/>
  <c r="AC207" i="37" a="1"/>
  <c r="AC207" i="37" s="1"/>
  <c r="AC9" i="37" a="1"/>
  <c r="AC9" i="37" s="1"/>
  <c r="AC570" i="37" a="1"/>
  <c r="AC570" i="37" s="1"/>
  <c r="AC296" i="37" a="1"/>
  <c r="AC296" i="37" s="1"/>
  <c r="AC102" i="37" a="1"/>
  <c r="AC102" i="37" s="1"/>
  <c r="AC66" i="37" a="1"/>
  <c r="AC66" i="37" s="1"/>
  <c r="AC177" i="37" a="1"/>
  <c r="AC177" i="37" s="1"/>
  <c r="AC297" i="37" a="1"/>
  <c r="AC297" i="37" s="1"/>
  <c r="AC576" i="37" a="1"/>
  <c r="AC576" i="37" s="1"/>
  <c r="AC156" i="37" a="1"/>
  <c r="AC156" i="37" s="1"/>
  <c r="AC188" i="37" a="1"/>
  <c r="AC188" i="37" s="1"/>
  <c r="AC189" i="37" a="1"/>
  <c r="AC189" i="37" s="1"/>
  <c r="AC103" i="37" a="1"/>
  <c r="AC103" i="37" s="1"/>
  <c r="AC190" i="37" a="1"/>
  <c r="AC190" i="37" s="1"/>
  <c r="AC152" i="37" a="1"/>
  <c r="AC152" i="37" s="1"/>
  <c r="AC208" i="37" a="1"/>
  <c r="AC208" i="37" s="1"/>
  <c r="AC209" i="37" a="1"/>
  <c r="AC209" i="37" s="1"/>
  <c r="AC210" i="37" a="1"/>
  <c r="AC210" i="37" s="1"/>
  <c r="AC596" i="37" a="1"/>
  <c r="AC596" i="37" s="1"/>
  <c r="AC168" i="37" a="1"/>
  <c r="AC168" i="37" s="1"/>
  <c r="AC568" i="37" a="1"/>
  <c r="AC568" i="37" s="1"/>
  <c r="AC124" i="37" a="1"/>
  <c r="AC124" i="37" s="1"/>
  <c r="AC571" i="37" a="1"/>
  <c r="AC571" i="37" s="1"/>
  <c r="AC175" i="37" a="1"/>
  <c r="AC175" i="37" s="1"/>
  <c r="AC211" i="37" a="1"/>
  <c r="AC211" i="37" s="1"/>
  <c r="AC104" i="37" a="1"/>
  <c r="AC104" i="37" s="1"/>
  <c r="AC125" i="37" a="1"/>
  <c r="AC125" i="37" s="1"/>
  <c r="AC105" i="37" a="1"/>
  <c r="AC105" i="37" s="1"/>
  <c r="AC126" i="37" a="1"/>
  <c r="AC126" i="37" s="1"/>
  <c r="AC548" i="37" a="1"/>
  <c r="AC548" i="37" s="1"/>
  <c r="AC191" i="37" a="1"/>
  <c r="AC191" i="37" s="1"/>
  <c r="AC563" i="37" a="1"/>
  <c r="AC563" i="37" s="1"/>
  <c r="AC213" i="37" a="1"/>
  <c r="AC213" i="37" s="1"/>
  <c r="AC298" i="37" a="1"/>
  <c r="AC298" i="37" s="1"/>
  <c r="AC106" i="37" a="1"/>
  <c r="AC106" i="37" s="1"/>
  <c r="AC212" i="37" a="1"/>
  <c r="AC212" i="37" s="1"/>
  <c r="AC564" i="37" a="1"/>
  <c r="AC564" i="37" s="1"/>
  <c r="AC577" i="37" a="1"/>
  <c r="AC577" i="37" s="1"/>
  <c r="AC107" i="37" a="1"/>
  <c r="AC107" i="37" s="1"/>
  <c r="AC157" i="37" a="1"/>
  <c r="AC157" i="37" s="1"/>
  <c r="AC214" i="37" a="1"/>
  <c r="AC214" i="37" s="1"/>
  <c r="AC158" i="37" a="1"/>
  <c r="AC158" i="37" s="1"/>
  <c r="AC578" i="37" a="1"/>
  <c r="AC578" i="37" s="1"/>
  <c r="AC215" i="37" a="1"/>
  <c r="AC215" i="37" s="1"/>
  <c r="AC155" i="37" a="1"/>
  <c r="AC155" i="37" s="1"/>
  <c r="AC216" i="37" a="1"/>
  <c r="AC216" i="37" s="1"/>
  <c r="AC217" i="37" a="1"/>
  <c r="AC217" i="37" s="1"/>
  <c r="AC127" i="37" a="1"/>
  <c r="AC127" i="37" s="1"/>
  <c r="AC90" i="37" a="1"/>
  <c r="AC90" i="37" s="1"/>
  <c r="AC153" i="37" a="1"/>
  <c r="AC153" i="37" s="1"/>
  <c r="AC128" i="37" a="1"/>
  <c r="AC128" i="37" s="1"/>
  <c r="AC299" i="37" a="1"/>
  <c r="AC299" i="37" s="1"/>
  <c r="AC192" i="37" a="1"/>
  <c r="AC192" i="37" s="1"/>
  <c r="AC129" i="37" a="1"/>
  <c r="AC129" i="37" s="1"/>
  <c r="AC565" i="37" a="1"/>
  <c r="AC565" i="37" s="1"/>
  <c r="AC130" i="37" a="1"/>
  <c r="AC130" i="37" s="1"/>
  <c r="AC218" i="37" a="1"/>
  <c r="AC218" i="37" s="1"/>
  <c r="AC131" i="37" a="1"/>
  <c r="AC131" i="37" s="1"/>
  <c r="AC154" i="37" a="1"/>
  <c r="AC154" i="37" s="1"/>
  <c r="AC555" i="37" a="1"/>
  <c r="AC555" i="37" s="1"/>
  <c r="AC579" i="37" a="1"/>
  <c r="AC579" i="37" s="1"/>
  <c r="AC132" i="37" a="1"/>
  <c r="AC132" i="37" s="1"/>
  <c r="AC580" i="37" a="1"/>
  <c r="AC580" i="37" s="1"/>
  <c r="AC219" i="37" a="1"/>
  <c r="AC219" i="37" s="1"/>
  <c r="AC133" i="37" a="1"/>
  <c r="AC133" i="37" s="1"/>
  <c r="AC134" i="37" a="1"/>
  <c r="AC134" i="37" s="1"/>
  <c r="AC599" i="37" a="1"/>
  <c r="AC599" i="37" s="1"/>
  <c r="AC220" i="37" a="1"/>
  <c r="AC220" i="37" s="1"/>
  <c r="AC221" i="37" a="1"/>
  <c r="AC221" i="37" s="1"/>
  <c r="AC59" i="37" a="1"/>
  <c r="AC59" i="37" s="1"/>
  <c r="AC222" i="37" a="1"/>
  <c r="AC222" i="37" s="1"/>
  <c r="AC223" i="37" a="1"/>
  <c r="AC223" i="37" s="1"/>
  <c r="AC275" i="37" a="1"/>
  <c r="AC275" i="37" s="1"/>
  <c r="AC51" i="37" a="1"/>
  <c r="AC51" i="37" s="1"/>
  <c r="AC224" i="37" a="1"/>
  <c r="AC224" i="37" s="1"/>
  <c r="AC78" i="37" a="1"/>
  <c r="AC78" i="37" s="1"/>
  <c r="AC225" i="37" a="1"/>
  <c r="AC225" i="37" s="1"/>
  <c r="AC35" i="37" a="1"/>
  <c r="AC35" i="37" s="1"/>
  <c r="AC226" i="37" a="1"/>
  <c r="AC226" i="37" s="1"/>
  <c r="AC169" i="37" a="1"/>
  <c r="AC169" i="37" s="1"/>
  <c r="AC170" i="37" a="1"/>
  <c r="AC170" i="37" s="1"/>
  <c r="AC557" i="37" a="1"/>
  <c r="AC557" i="37" s="1"/>
  <c r="AC361" i="37" a="1"/>
  <c r="AC361" i="37" s="1"/>
  <c r="AC558" i="37" a="1"/>
  <c r="AC558" i="37" s="1"/>
  <c r="AC227" i="37" a="1"/>
  <c r="AC227" i="37" s="1"/>
  <c r="AC556" i="37" a="1"/>
  <c r="AC556" i="37" s="1"/>
  <c r="AC228" i="37" a="1"/>
  <c r="AC228" i="37" s="1"/>
  <c r="AC171" i="37" a="1"/>
  <c r="AC171" i="37" s="1"/>
  <c r="AC178" i="37" a="1"/>
  <c r="AC178" i="37" s="1"/>
  <c r="AC595" i="37" a="1"/>
  <c r="AC595" i="37" s="1"/>
  <c r="AC193" i="37" a="1"/>
  <c r="AC193" i="37" s="1"/>
  <c r="AC69" i="37" a="1"/>
  <c r="AC69" i="37" s="1"/>
  <c r="AC179" i="37" a="1"/>
  <c r="AC179" i="37" s="1"/>
  <c r="AC135" i="37" a="1"/>
  <c r="AC135" i="37" s="1"/>
  <c r="AC108" i="37" a="1"/>
  <c r="AC108" i="37" s="1"/>
  <c r="AC300" i="37" a="1"/>
  <c r="AC300" i="37" s="1"/>
  <c r="AC98" i="37" a="1"/>
  <c r="AC98" i="37" s="1"/>
  <c r="AC159" i="37" a="1"/>
  <c r="AC159" i="37" s="1"/>
  <c r="AC597" i="37" a="1"/>
  <c r="AC597" i="37" s="1"/>
  <c r="AC560" i="37" a="1"/>
  <c r="AC560" i="37" s="1"/>
  <c r="AC79" i="37" a="1"/>
  <c r="AC79" i="37" s="1"/>
  <c r="AC279" i="37" a="1"/>
  <c r="AC279" i="37" s="1"/>
  <c r="AC569" i="37" a="1"/>
  <c r="AC569" i="37" s="1"/>
  <c r="AC229" i="37" a="1"/>
  <c r="AC229" i="37" s="1"/>
  <c r="AC230" i="37" a="1"/>
  <c r="AC230" i="37" s="1"/>
  <c r="AC301" i="37" a="1"/>
  <c r="AC301" i="37" s="1"/>
  <c r="AC437" i="37" a="1"/>
  <c r="AC437" i="37" s="1"/>
  <c r="AC160" i="37" a="1"/>
  <c r="AC160" i="37" s="1"/>
  <c r="AC280" i="37" a="1"/>
  <c r="AC280" i="37" s="1"/>
  <c r="AC302" i="37" a="1"/>
  <c r="AC302" i="37" s="1"/>
  <c r="AC231" i="37" a="1"/>
  <c r="AC231" i="37" s="1"/>
  <c r="AC303" i="37" a="1"/>
  <c r="AC303" i="37" s="1"/>
  <c r="AC304" i="37" a="1"/>
  <c r="AC304" i="37" s="1"/>
  <c r="AC305" i="37" a="1"/>
  <c r="AC305" i="37" s="1"/>
  <c r="AC194" i="37" a="1"/>
  <c r="AC194" i="37" s="1"/>
  <c r="AC265" i="37" a="1"/>
  <c r="AC265" i="37" s="1"/>
  <c r="AC306" i="37" a="1"/>
  <c r="AC306" i="37" s="1"/>
  <c r="AC232" i="37" a="1"/>
  <c r="AC232" i="37" s="1"/>
  <c r="AC195" i="37" a="1"/>
  <c r="AC195" i="37" s="1"/>
  <c r="AC598" i="37" a="1"/>
  <c r="AC598" i="37" s="1"/>
  <c r="AC281" i="37" a="1"/>
  <c r="AC281" i="37" s="1"/>
  <c r="AC600" i="37" a="1"/>
  <c r="AC600" i="37" s="1"/>
  <c r="AC80" i="37" a="1"/>
  <c r="AC80" i="37" s="1"/>
  <c r="AC270" i="37" a="1"/>
  <c r="AC270" i="37" s="1"/>
  <c r="AC180" i="37" a="1"/>
  <c r="AC180" i="37" s="1"/>
  <c r="AC307" i="37" a="1"/>
  <c r="AC307" i="37" s="1"/>
  <c r="AC267" i="37" a="1"/>
  <c r="AC267" i="37" s="1"/>
  <c r="AC196" i="37" a="1"/>
  <c r="AC196" i="37" s="1"/>
  <c r="AC269" i="37" a="1"/>
  <c r="AC269" i="37" s="1"/>
  <c r="AC198" i="37" a="1"/>
  <c r="AC198" i="37" s="1"/>
  <c r="AC282" i="37" a="1"/>
  <c r="AC282" i="37" s="1"/>
  <c r="AC308" i="37" a="1"/>
  <c r="AC308" i="37" s="1"/>
  <c r="AC471" i="37" a="1"/>
  <c r="AC471" i="37" s="1"/>
  <c r="AC283" i="37" a="1"/>
  <c r="AC283" i="37" s="1"/>
  <c r="AC161" i="37" a="1"/>
  <c r="AC161" i="37" s="1"/>
  <c r="AC581" i="37" a="1"/>
  <c r="AC581" i="37" s="1"/>
  <c r="AC234" i="37" a="1"/>
  <c r="AC234" i="37" s="1"/>
  <c r="AC233" i="37" a="1"/>
  <c r="AC233" i="37" s="1"/>
  <c r="AC235" i="37" a="1"/>
  <c r="AC235" i="37" s="1"/>
  <c r="AC268" i="37" a="1"/>
  <c r="AC268" i="37" s="1"/>
  <c r="AC199" i="37" a="1"/>
  <c r="AC199" i="37" s="1"/>
  <c r="AC236" i="37" a="1"/>
  <c r="AC236" i="37" s="1"/>
  <c r="AC582" i="37" a="1"/>
  <c r="AC582" i="37" s="1"/>
  <c r="AC237" i="37" a="1"/>
  <c r="AC237" i="37" s="1"/>
  <c r="AC238" i="37" a="1"/>
  <c r="AC238" i="37" s="1"/>
  <c r="AC583" i="37" a="1"/>
  <c r="AC583" i="37" s="1"/>
  <c r="AC172" i="37" a="1"/>
  <c r="AC172" i="37" s="1"/>
  <c r="AC239" i="37" a="1"/>
  <c r="AC239" i="37" s="1"/>
  <c r="AC363" i="37" a="1"/>
  <c r="AC363" i="37" s="1"/>
  <c r="AC364" i="37" a="1"/>
  <c r="AC364" i="37" s="1"/>
  <c r="AC362" i="37" a="1"/>
  <c r="AC362" i="37" s="1"/>
  <c r="AC594" i="37" a="1"/>
  <c r="AC594" i="37" s="1"/>
  <c r="AC612" i="37" a="1"/>
  <c r="AC612" i="37" s="1"/>
  <c r="AC266" i="37" a="1"/>
  <c r="AC266" i="37" s="1"/>
  <c r="AC309" i="37" a="1"/>
  <c r="AC309" i="37" s="1"/>
  <c r="AC365" i="37" a="1"/>
  <c r="AC365" i="37" s="1"/>
  <c r="AC240" i="37" a="1"/>
  <c r="AC240" i="37" s="1"/>
  <c r="AC91" i="37" a="1"/>
  <c r="AC91" i="37" s="1"/>
  <c r="AC613" i="37" a="1"/>
  <c r="AC613" i="37" s="1"/>
  <c r="AC551" i="37" a="1"/>
  <c r="AC551" i="37" s="1"/>
  <c r="AC271" i="37" a="1"/>
  <c r="AC271" i="37" s="1"/>
  <c r="AC584" i="37" a="1"/>
  <c r="AC584" i="37" s="1"/>
  <c r="AC52" i="37" a="1"/>
  <c r="AC52" i="37" s="1"/>
  <c r="AC366" i="37" a="1"/>
  <c r="AC366" i="37" s="1"/>
  <c r="AC241" i="37" a="1"/>
  <c r="AC241" i="37" s="1"/>
  <c r="AC614" i="37" a="1"/>
  <c r="AC614" i="37" s="1"/>
  <c r="AC367" i="37" a="1"/>
  <c r="AC367" i="37" s="1"/>
  <c r="AC544" i="37" a="1"/>
  <c r="AC544" i="37" s="1"/>
  <c r="AC136" i="37" a="1"/>
  <c r="AC136" i="37" s="1"/>
  <c r="AC585" i="37" a="1"/>
  <c r="AC585" i="37" s="1"/>
  <c r="AC371" i="37" a="1"/>
  <c r="AC371" i="37" s="1"/>
  <c r="AC369" i="37" a="1"/>
  <c r="AC369" i="37" s="1"/>
  <c r="AC615" i="37" a="1"/>
  <c r="AC615" i="37" s="1"/>
  <c r="AC368" i="37" a="1"/>
  <c r="AC368" i="37" s="1"/>
  <c r="AC370" i="37" a="1"/>
  <c r="AC370" i="37" s="1"/>
  <c r="AC242" i="37" a="1"/>
  <c r="AC242" i="37" s="1"/>
  <c r="AC244" i="37" a="1"/>
  <c r="AC244" i="37" s="1"/>
  <c r="AC372" i="37" a="1"/>
  <c r="AC372" i="37" s="1"/>
  <c r="AC566" i="37" a="1"/>
  <c r="AC566" i="37" s="1"/>
  <c r="AC243" i="37" a="1"/>
  <c r="AC243" i="37" s="1"/>
  <c r="AC407" i="37" a="1"/>
  <c r="AC407" i="37" s="1"/>
  <c r="AC8" i="37" a="1"/>
  <c r="AC8" i="37" s="1"/>
  <c r="AC310" i="37" a="1"/>
  <c r="AC310" i="37" s="1"/>
  <c r="AC385" i="37" a="1"/>
  <c r="AC385" i="37" s="1"/>
  <c r="AC94" i="37" a="1"/>
  <c r="AC94" i="37" s="1"/>
  <c r="AC55" i="37" a="1"/>
  <c r="AC55" i="37" s="1"/>
  <c r="AC258" i="37" a="1"/>
  <c r="AC258" i="37" s="1"/>
  <c r="AC137" i="37" a="1"/>
  <c r="AC137" i="37" s="1"/>
  <c r="AC54" i="37" a="1"/>
  <c r="AC54" i="37" s="1"/>
  <c r="AC418" i="37" a="1"/>
  <c r="AC418" i="37" s="1"/>
  <c r="AC174" i="37" a="1"/>
  <c r="AC174" i="37" s="1"/>
  <c r="AC311" i="37" a="1"/>
  <c r="AC311" i="37" s="1"/>
  <c r="AC416" i="37" a="1"/>
  <c r="AC416" i="37" s="1"/>
  <c r="AC312" i="37" a="1"/>
  <c r="AC312" i="37" s="1"/>
  <c r="AC145" i="37" a="1"/>
  <c r="AC145" i="37" s="1"/>
  <c r="AC278" i="37" a="1"/>
  <c r="AC278" i="37" s="1"/>
  <c r="AC181" i="37" a="1"/>
  <c r="AC181" i="37" s="1"/>
  <c r="AC375" i="37" a="1"/>
  <c r="AC375" i="37" s="1"/>
  <c r="AC146" i="37" a="1"/>
  <c r="AC146" i="37" s="1"/>
  <c r="AC388" i="37" a="1"/>
  <c r="AC388" i="37" s="1"/>
  <c r="AC419" i="37" a="1"/>
  <c r="AC419" i="37" s="1"/>
  <c r="AC60" i="37" a="1"/>
  <c r="AC60" i="37" s="1"/>
  <c r="AC81" i="37" a="1"/>
  <c r="AC81" i="37" s="1"/>
  <c r="AC149" i="37" a="1"/>
  <c r="AC149" i="37" s="1"/>
  <c r="AC246" i="37" a="1"/>
  <c r="AC246" i="37" s="1"/>
  <c r="AC590" i="37" a="1"/>
  <c r="AC590" i="37" s="1"/>
  <c r="AC254" i="37" a="1"/>
  <c r="AC254" i="37" s="1"/>
  <c r="AC373" i="37" a="1"/>
  <c r="AC373" i="37" s="1"/>
  <c r="AC376" i="37" a="1"/>
  <c r="AC376" i="37" s="1"/>
  <c r="AC378" i="37" a="1"/>
  <c r="AC378" i="37" s="1"/>
  <c r="AC410" i="37" a="1"/>
  <c r="AC410" i="37" s="1"/>
  <c r="AC409" i="37" a="1"/>
  <c r="AC409" i="37" s="1"/>
  <c r="AC420" i="37" a="1"/>
  <c r="AC420" i="37" s="1"/>
  <c r="AC248" i="37" a="1"/>
  <c r="AC248" i="37" s="1"/>
  <c r="AC247" i="37" a="1"/>
  <c r="AC247" i="37" s="1"/>
  <c r="AC259" i="37" a="1"/>
  <c r="AC259" i="37" s="1"/>
  <c r="AC402" i="37" a="1"/>
  <c r="AC402" i="37" s="1"/>
  <c r="AC415" i="37" a="1"/>
  <c r="AC415" i="37" s="1"/>
  <c r="AC417" i="37" a="1"/>
  <c r="AC417" i="37" s="1"/>
  <c r="AC53" i="37" a="1"/>
  <c r="AC53" i="37" s="1"/>
  <c r="AC140" i="37" a="1"/>
  <c r="AC140" i="37" s="1"/>
  <c r="AC142" i="37" a="1"/>
  <c r="AC142" i="37" s="1"/>
  <c r="AC109" i="37" a="1"/>
  <c r="AC109" i="37" s="1"/>
  <c r="AC313" i="37" a="1"/>
  <c r="AC313" i="37" s="1"/>
  <c r="AC314" i="37" a="1"/>
  <c r="AC314" i="37" s="1"/>
  <c r="AC601" i="37" a="1"/>
  <c r="AC601" i="37" s="1"/>
  <c r="AC315" i="37" a="1"/>
  <c r="AC315" i="37" s="1"/>
  <c r="AC618" i="37" a="1"/>
  <c r="AC618" i="37" s="1"/>
  <c r="AC143" i="37" a="1"/>
  <c r="AC143" i="37" s="1"/>
  <c r="AC622" i="37" a="1"/>
  <c r="AC622" i="37" s="1"/>
  <c r="AC316" i="37" a="1"/>
  <c r="AC316" i="37" s="1"/>
  <c r="AC552" i="37" a="1"/>
  <c r="AC552" i="37" s="1"/>
  <c r="AC317" i="37" a="1"/>
  <c r="AC317" i="37" s="1"/>
  <c r="AC182" i="37" a="1"/>
  <c r="AC182" i="37" s="1"/>
  <c r="AC200" i="37" a="1"/>
  <c r="AC200" i="37" s="1"/>
  <c r="AC284" i="37" a="1"/>
  <c r="AC284" i="37" s="1"/>
  <c r="AC427" i="37" a="1"/>
  <c r="AC427" i="37" s="1"/>
  <c r="AC147" i="37" a="1"/>
  <c r="AC147" i="37" s="1"/>
  <c r="AC173" i="37" a="1"/>
  <c r="AC173" i="37" s="1"/>
  <c r="AC318" i="37" a="1"/>
  <c r="AC318" i="37" s="1"/>
  <c r="AC435" i="37" a="1"/>
  <c r="AC435" i="37" s="1"/>
  <c r="AC285" i="37" a="1"/>
  <c r="AC285" i="37" s="1"/>
  <c r="AC602" i="37" a="1"/>
  <c r="AC602" i="37" s="1"/>
  <c r="AC319" i="37" a="1"/>
  <c r="AC319" i="37" s="1"/>
  <c r="AC148" i="37" a="1"/>
  <c r="AC148" i="37" s="1"/>
  <c r="AC320" i="37" a="1"/>
  <c r="AC320" i="37" s="1"/>
  <c r="AC321" i="37" a="1"/>
  <c r="AC321" i="37" s="1"/>
  <c r="AC150" i="37" a="1"/>
  <c r="AC150" i="37" s="1"/>
  <c r="AC322" i="37" a="1"/>
  <c r="AC322" i="37" s="1"/>
  <c r="AC323" i="37" a="1"/>
  <c r="AC323" i="37" s="1"/>
  <c r="AC621" i="37" a="1"/>
  <c r="AC621" i="37" s="1"/>
  <c r="AC424" i="37" a="1"/>
  <c r="AC424" i="37" s="1"/>
  <c r="AC201" i="37" a="1"/>
  <c r="AC201" i="37" s="1"/>
  <c r="AC440" i="37" a="1"/>
  <c r="AC440" i="37" s="1"/>
  <c r="AC110" i="37" a="1"/>
  <c r="AC110" i="37" s="1"/>
  <c r="AC286" i="37" a="1"/>
  <c r="AC286" i="37" s="1"/>
  <c r="AC325" i="37" a="1"/>
  <c r="AC325" i="37" s="1"/>
  <c r="AC423" i="37" a="1"/>
  <c r="AC423" i="37" s="1"/>
  <c r="AC431" i="37" a="1"/>
  <c r="AC431" i="37" s="1"/>
  <c r="AC421" i="37" a="1"/>
  <c r="AC421" i="37" s="1"/>
  <c r="AC245" i="37" a="1"/>
  <c r="AC245" i="37" s="1"/>
  <c r="AC434" i="37" a="1"/>
  <c r="AC434" i="37" s="1"/>
  <c r="AC324" i="37" a="1"/>
  <c r="AC324" i="37" s="1"/>
  <c r="AC572" i="37" a="1"/>
  <c r="AC572" i="37" s="1"/>
  <c r="AC202" i="37" a="1"/>
  <c r="AC202" i="37" s="1"/>
  <c r="AC588" i="37" a="1"/>
  <c r="AC588" i="37" s="1"/>
  <c r="AC603" i="37" a="1"/>
  <c r="AC603" i="37" s="1"/>
  <c r="AC619" i="37" a="1"/>
  <c r="AC619" i="37" s="1"/>
  <c r="AC250" i="37" a="1"/>
  <c r="AC250" i="37" s="1"/>
  <c r="AC441" i="37" a="1"/>
  <c r="AC441" i="37" s="1"/>
  <c r="AC438" i="37" a="1"/>
  <c r="AC438" i="37" s="1"/>
  <c r="AC327" i="37" a="1"/>
  <c r="AC327" i="37" s="1"/>
  <c r="AC426" i="37" a="1"/>
  <c r="AC426" i="37" s="1"/>
  <c r="AC287" i="37" a="1"/>
  <c r="AC287" i="37" s="1"/>
  <c r="AC95" i="37" a="1"/>
  <c r="AC95" i="37" s="1"/>
  <c r="AC326" i="37" a="1"/>
  <c r="AC326" i="37" s="1"/>
  <c r="AC249" i="37" a="1"/>
  <c r="AC249" i="37" s="1"/>
  <c r="AC425" i="37" a="1"/>
  <c r="AC425" i="37" s="1"/>
  <c r="AC604" i="37" a="1"/>
  <c r="AC604" i="37" s="1"/>
  <c r="AC162" i="37" a="1"/>
  <c r="AC162" i="37" s="1"/>
  <c r="AC276" i="37" a="1"/>
  <c r="AC276" i="37" s="1"/>
  <c r="AC328" i="37" a="1"/>
  <c r="AC328" i="37" s="1"/>
  <c r="AC472" i="37" a="1"/>
  <c r="AC472" i="37" s="1"/>
  <c r="AC272" i="37" a="1"/>
  <c r="AC272" i="37" s="1"/>
  <c r="AC255" i="37" a="1"/>
  <c r="AC255" i="37" s="1"/>
  <c r="AC277" i="37" a="1"/>
  <c r="AC277" i="37" s="1"/>
  <c r="AC442" i="37" a="1"/>
  <c r="AC442" i="37" s="1"/>
  <c r="AC591" i="37" a="1"/>
  <c r="AC591" i="37" s="1"/>
  <c r="AC592" i="37" a="1"/>
  <c r="AC592" i="37" s="1"/>
  <c r="AC329" i="37" a="1"/>
  <c r="AC329" i="37" s="1"/>
  <c r="AC473" i="37" a="1"/>
  <c r="AC473" i="37" s="1"/>
  <c r="AC474" i="37" a="1"/>
  <c r="AC474" i="37" s="1"/>
  <c r="AC428" i="37" a="1"/>
  <c r="AC428" i="37" s="1"/>
  <c r="AC330" i="37" a="1"/>
  <c r="AC330" i="37" s="1"/>
  <c r="AC257" i="37" a="1"/>
  <c r="AC257" i="37" s="1"/>
  <c r="AC429" i="37" a="1"/>
  <c r="AC429" i="37" s="1"/>
  <c r="AC263" i="37" a="1"/>
  <c r="AC263" i="37" s="1"/>
  <c r="AC444" i="37" a="1"/>
  <c r="AC444" i="37" s="1"/>
  <c r="AC430" i="37" a="1"/>
  <c r="AC430" i="37" s="1"/>
  <c r="AC432" i="37" a="1"/>
  <c r="AC432" i="37" s="1"/>
  <c r="AC260" i="37" a="1"/>
  <c r="AC260" i="37" s="1"/>
  <c r="AC261" i="37" a="1"/>
  <c r="AC261" i="37" s="1"/>
  <c r="AC262" i="37" a="1"/>
  <c r="AC262" i="37" s="1"/>
  <c r="AC331" i="37" a="1"/>
  <c r="AC331" i="37" s="1"/>
  <c r="AC374" i="37" a="1"/>
  <c r="AC374" i="37" s="1"/>
  <c r="AC332" i="37" a="1"/>
  <c r="AC332" i="37" s="1"/>
  <c r="AC377" i="37" a="1"/>
  <c r="AC377" i="37" s="1"/>
  <c r="AC203" i="37" a="1"/>
  <c r="AC203" i="37" s="1"/>
  <c r="AC111" i="37" a="1"/>
  <c r="AC111" i="37" s="1"/>
  <c r="AC379" i="37" a="1"/>
  <c r="AC379" i="37" s="1"/>
  <c r="AC333" i="37" a="1"/>
  <c r="AC333" i="37" s="1"/>
  <c r="AC334" i="37" a="1"/>
  <c r="AC334" i="37" s="1"/>
  <c r="AC443" i="37" a="1"/>
  <c r="AC443" i="37" s="1"/>
  <c r="AC459" i="37" a="1"/>
  <c r="AC459" i="37" s="1"/>
  <c r="AC289" i="37" a="1"/>
  <c r="AC289" i="37" s="1"/>
  <c r="AC475" i="37" a="1"/>
  <c r="AC475" i="37" s="1"/>
  <c r="AC335" i="37" a="1"/>
  <c r="AC335" i="37" s="1"/>
  <c r="AC112" i="37" a="1"/>
  <c r="AC112" i="37" s="1"/>
  <c r="AC422" i="37" a="1"/>
  <c r="AC422" i="37" s="1"/>
  <c r="AC381" i="37" a="1"/>
  <c r="AC381" i="37" s="1"/>
  <c r="AC605" i="37" a="1"/>
  <c r="AC605" i="37" s="1"/>
  <c r="AC616" i="37" a="1"/>
  <c r="AC616" i="37" s="1"/>
  <c r="AC383" i="37" a="1"/>
  <c r="AC383" i="37" s="1"/>
  <c r="AC183" i="37" a="1"/>
  <c r="AC183" i="37" s="1"/>
  <c r="AC433" i="37" a="1"/>
  <c r="AC433" i="37" s="1"/>
  <c r="AC336" i="37" a="1"/>
  <c r="AC336" i="37" s="1"/>
  <c r="AC337" i="37" a="1"/>
  <c r="AC337" i="37" s="1"/>
  <c r="AC386" i="37" a="1"/>
  <c r="AC386" i="37" s="1"/>
  <c r="AC338" i="37" a="1"/>
  <c r="AC338" i="37" s="1"/>
  <c r="AC617" i="37" a="1"/>
  <c r="AC617" i="37" s="1"/>
  <c r="AC389" i="37" a="1"/>
  <c r="AC389" i="37" s="1"/>
  <c r="AC606" i="37" a="1"/>
  <c r="AC606" i="37" s="1"/>
  <c r="AC204" i="37" a="1"/>
  <c r="AC204" i="37" s="1"/>
  <c r="AC291" i="37" a="1"/>
  <c r="AC291" i="37" s="1"/>
  <c r="AC390" i="37" a="1"/>
  <c r="AC390" i="37" s="1"/>
  <c r="AC394" i="37" a="1"/>
  <c r="AC394" i="37" s="1"/>
  <c r="AC398" i="37" a="1"/>
  <c r="AC398" i="37" s="1"/>
  <c r="AC400" i="37" a="1"/>
  <c r="AC400" i="37" s="1"/>
  <c r="AC476" i="37" a="1"/>
  <c r="AC476" i="37" s="1"/>
  <c r="AC399" i="37" a="1"/>
  <c r="AC399" i="37" s="1"/>
  <c r="AC403" i="37" a="1"/>
  <c r="AC403" i="37" s="1"/>
  <c r="AC477" i="37" a="1"/>
  <c r="AC477" i="37" s="1"/>
  <c r="AC408" i="37" a="1"/>
  <c r="AC408" i="37" s="1"/>
  <c r="AC439" i="37" a="1"/>
  <c r="AC439" i="37" s="1"/>
  <c r="AC573" i="37" a="1"/>
  <c r="AC573" i="37" s="1"/>
  <c r="AC413" i="37" a="1"/>
  <c r="AC413" i="37" s="1"/>
  <c r="AC607" i="37" a="1"/>
  <c r="AC607" i="37" s="1"/>
  <c r="AC412" i="37" a="1"/>
  <c r="AC412" i="37" s="1"/>
  <c r="AC113" i="37" a="1"/>
  <c r="AC113" i="37" s="1"/>
  <c r="AC414" i="37" a="1"/>
  <c r="AC414" i="37" s="1"/>
  <c r="AC411" i="37" a="1"/>
  <c r="AC411" i="37" s="1"/>
  <c r="AC138" i="37" a="1"/>
  <c r="AC138" i="37" s="1"/>
  <c r="AC139" i="37" a="1"/>
  <c r="AC139" i="37" s="1"/>
  <c r="AC339" i="37" a="1"/>
  <c r="AC339" i="37" s="1"/>
  <c r="AC478" i="37" a="1"/>
  <c r="AC478" i="37" s="1"/>
  <c r="AC141" i="37" a="1"/>
  <c r="AC141" i="37" s="1"/>
  <c r="AC479" i="37" a="1"/>
  <c r="AC479" i="37" s="1"/>
  <c r="AC340" i="37" a="1"/>
  <c r="AC340" i="37" s="1"/>
  <c r="AC144" i="37" a="1"/>
  <c r="AC144" i="37" s="1"/>
  <c r="AC567" i="37" a="1"/>
  <c r="AC567" i="37" s="1"/>
  <c r="AC586" i="37" a="1"/>
  <c r="AC586" i="37" s="1"/>
  <c r="AC587" i="37" a="1"/>
  <c r="AC587" i="37" s="1"/>
  <c r="AC589" i="37" a="1"/>
  <c r="AC589" i="37" s="1"/>
  <c r="AC625" i="37" a="1"/>
  <c r="AC625" i="37" s="1"/>
  <c r="AC480" i="37" a="1"/>
  <c r="AC480" i="37" s="1"/>
  <c r="AC342" i="37" a="1"/>
  <c r="AC342" i="37" s="1"/>
  <c r="AC253" i="37" a="1"/>
  <c r="AC253" i="37" s="1"/>
  <c r="AC341" i="37" a="1"/>
  <c r="AC341" i="37" s="1"/>
  <c r="AC252" i="37" a="1"/>
  <c r="AC252" i="37" s="1"/>
  <c r="AC482" i="37" a="1"/>
  <c r="AC482" i="37" s="1"/>
  <c r="AC481" i="37" a="1"/>
  <c r="AC481" i="37" s="1"/>
  <c r="AC343" i="37" a="1"/>
  <c r="AC343" i="37" s="1"/>
  <c r="AC251" i="37" a="1"/>
  <c r="AC251" i="37" s="1"/>
  <c r="AC256" i="37" a="1"/>
  <c r="AC256" i="37" s="1"/>
  <c r="AC264" i="37" a="1"/>
  <c r="AC264" i="37" s="1"/>
  <c r="AC593" i="37" a="1"/>
  <c r="AC593" i="37" s="1"/>
  <c r="AC345" i="37" a="1"/>
  <c r="AC345" i="37" s="1"/>
  <c r="AC484" i="37" a="1"/>
  <c r="AC484" i="37" s="1"/>
  <c r="AC483" i="37" a="1"/>
  <c r="AC483" i="37" s="1"/>
  <c r="AC344" i="37" a="1"/>
  <c r="AC344" i="37" s="1"/>
  <c r="AC458" i="37" a="1"/>
  <c r="AC458" i="37" s="1"/>
  <c r="AC486" i="37" a="1"/>
  <c r="AC486" i="37" s="1"/>
  <c r="AC485" i="37" a="1"/>
  <c r="AC485" i="37" s="1"/>
  <c r="AC626" i="37" a="1"/>
  <c r="AC626" i="37" s="1"/>
  <c r="AC346" i="37" a="1"/>
  <c r="AC346" i="37" s="1"/>
  <c r="AC628" i="37" a="1"/>
  <c r="AC628" i="37" s="1"/>
  <c r="AC380" i="37" a="1"/>
  <c r="AC380" i="37" s="1"/>
  <c r="AC382" i="37" a="1"/>
  <c r="AC382" i="37" s="1"/>
  <c r="AC627" i="37" a="1"/>
  <c r="AC627" i="37" s="1"/>
  <c r="AC384" i="37" a="1"/>
  <c r="AC384" i="37" s="1"/>
  <c r="AC387" i="37" a="1"/>
  <c r="AC387" i="37" s="1"/>
  <c r="AC391" i="37" a="1"/>
  <c r="AC391" i="37" s="1"/>
  <c r="AC392" i="37" a="1"/>
  <c r="AC392" i="37" s="1"/>
  <c r="AC393" i="37" a="1"/>
  <c r="AC393" i="37" s="1"/>
  <c r="AC397" i="37" a="1"/>
  <c r="AC397" i="37" s="1"/>
  <c r="AC396" i="37" a="1"/>
  <c r="AC396" i="37" s="1"/>
  <c r="AC401" i="37" a="1"/>
  <c r="AC401" i="37" s="1"/>
  <c r="AC405" i="37" a="1"/>
  <c r="AC405" i="37" s="1"/>
  <c r="AC404" i="37" a="1"/>
  <c r="AC404" i="37" s="1"/>
  <c r="AC406" i="37" a="1"/>
  <c r="AC406" i="37" s="1"/>
  <c r="AC487" i="37" a="1"/>
  <c r="AC487" i="37" s="1"/>
  <c r="AC506" i="37" a="1"/>
  <c r="AC506" i="37" s="1"/>
  <c r="AC620" i="37" a="1"/>
  <c r="AC620" i="37" s="1"/>
  <c r="AC466" i="37" a="1"/>
  <c r="AC466" i="37" s="1"/>
  <c r="AC550" i="37" a="1"/>
  <c r="AC550" i="37" s="1"/>
  <c r="AC498" i="37" a="1"/>
  <c r="AC498" i="37" s="1"/>
  <c r="AC521" i="37" a="1"/>
  <c r="AC521" i="37" s="1"/>
  <c r="AC445" i="37" a="1"/>
  <c r="AC445" i="37" s="1"/>
  <c r="AC184" i="37" a="1"/>
  <c r="AC184" i="37" s="1"/>
  <c r="AC348" i="37" a="1"/>
  <c r="AC348" i="37" s="1"/>
  <c r="AC357" i="37" a="1"/>
  <c r="AC357" i="37" s="1"/>
  <c r="AC640" i="37" a="1"/>
  <c r="AC640" i="37" s="1"/>
  <c r="AC469" i="37" a="1"/>
  <c r="AC469" i="37" s="1"/>
  <c r="AC510" i="37" a="1"/>
  <c r="AC510" i="37" s="1"/>
  <c r="AC511" i="37" a="1"/>
  <c r="AC511" i="37" s="1"/>
  <c r="AC528" i="37" a="1"/>
  <c r="AC528" i="37" s="1"/>
  <c r="AC347" i="37" a="1"/>
  <c r="AC347" i="37" s="1"/>
  <c r="AC436" i="37" a="1"/>
  <c r="AC436" i="37" s="1"/>
  <c r="AC517" i="37" a="1"/>
  <c r="AC517" i="37" s="1"/>
  <c r="AC493" i="37" a="1"/>
  <c r="AC493" i="37" s="1"/>
  <c r="AC467" i="37" a="1"/>
  <c r="AC467" i="37" s="1"/>
  <c r="AC293" i="37" a="1"/>
  <c r="AC293" i="37" s="1"/>
  <c r="AC452" i="37" a="1"/>
  <c r="AC452" i="37" s="1"/>
  <c r="AC358" i="37" a="1"/>
  <c r="AC358" i="37" s="1"/>
  <c r="AC455" i="37" a="1"/>
  <c r="AC455" i="37" s="1"/>
  <c r="AC522" i="37" a="1"/>
  <c r="AC522" i="37" s="1"/>
  <c r="AC351" i="37" a="1"/>
  <c r="AC351" i="37" s="1"/>
  <c r="AC610" i="37" a="1"/>
  <c r="AC610" i="37" s="1"/>
  <c r="AC463" i="37" a="1"/>
  <c r="AC463" i="37" s="1"/>
  <c r="AC490" i="37" a="1"/>
  <c r="AC490" i="37" s="1"/>
  <c r="AC500" i="37" a="1"/>
  <c r="AC500" i="37" s="1"/>
  <c r="AC499" i="37" a="1"/>
  <c r="AC499" i="37" s="1"/>
  <c r="AC523" i="37" a="1"/>
  <c r="AC523" i="37" s="1"/>
  <c r="AC470" i="37" a="1"/>
  <c r="AC470" i="37" s="1"/>
  <c r="AC273" i="37" a="1"/>
  <c r="AC273" i="37" s="1"/>
  <c r="AC489" i="37" a="1"/>
  <c r="AC489" i="37" s="1"/>
  <c r="AC488" i="37" a="1"/>
  <c r="AC488" i="37" s="1"/>
  <c r="AC288" i="37" a="1"/>
  <c r="AC288" i="37" s="1"/>
  <c r="AC292" i="37" a="1"/>
  <c r="AC292" i="37" s="1"/>
  <c r="AC491" i="37" a="1"/>
  <c r="AC491" i="37" s="1"/>
  <c r="AC448" i="37" a="1"/>
  <c r="AC448" i="37" s="1"/>
  <c r="AC494" i="37" a="1"/>
  <c r="AC494" i="37" s="1"/>
  <c r="AC451" i="37" a="1"/>
  <c r="AC451" i="37" s="1"/>
  <c r="AC512" i="37" a="1"/>
  <c r="AC512" i="37" s="1"/>
  <c r="AC525" i="37" a="1"/>
  <c r="AC525" i="37" s="1"/>
  <c r="AC527" i="37" a="1"/>
  <c r="AC527" i="37" s="1"/>
  <c r="AC524" i="37" a="1"/>
  <c r="AC524" i="37" s="1"/>
  <c r="AC639" i="37" a="1"/>
  <c r="AC639" i="37" s="1"/>
  <c r="AC356" i="37" a="1"/>
  <c r="AC356" i="37" s="1"/>
  <c r="AC453" i="37" a="1"/>
  <c r="AC453" i="37" s="1"/>
  <c r="AC460" i="37" a="1"/>
  <c r="AC460" i="37" s="1"/>
  <c r="AC290" i="37" a="1"/>
  <c r="AC290" i="37" s="1"/>
  <c r="AC611" i="37" a="1"/>
  <c r="AC611" i="37" s="1"/>
  <c r="AC492" i="37" a="1"/>
  <c r="AC492" i="37" s="1"/>
  <c r="AC495" i="37" a="1"/>
  <c r="AC495" i="37" s="1"/>
  <c r="AC294" i="37" a="1"/>
  <c r="AC294" i="37" s="1"/>
  <c r="AC496" i="37" a="1"/>
  <c r="AC496" i="37" s="1"/>
  <c r="AC497" i="37" a="1"/>
  <c r="AC497" i="37" s="1"/>
  <c r="AC502" i="37" a="1"/>
  <c r="AC502" i="37" s="1"/>
  <c r="AC446" i="37" a="1"/>
  <c r="AC446" i="37" s="1"/>
  <c r="AC503" i="37" a="1"/>
  <c r="AC503" i="37" s="1"/>
  <c r="AC449" i="37" a="1"/>
  <c r="AC449" i="37" s="1"/>
  <c r="AC631" i="37" a="1"/>
  <c r="AC631" i="37" s="1"/>
  <c r="AC504" i="37" a="1"/>
  <c r="AC504" i="37" s="1"/>
  <c r="AC630" i="37" a="1"/>
  <c r="AC630" i="37" s="1"/>
  <c r="AC629" i="37" a="1"/>
  <c r="AC629" i="37" s="1"/>
  <c r="AC623" i="37" a="1"/>
  <c r="AC623" i="37" s="1"/>
  <c r="AC501" i="37" a="1"/>
  <c r="AC501" i="37" s="1"/>
  <c r="AC505" i="37" a="1"/>
  <c r="AC505" i="37" s="1"/>
  <c r="AC508" i="37" a="1"/>
  <c r="AC508" i="37" s="1"/>
  <c r="AC509" i="37" a="1"/>
  <c r="AC509" i="37" s="1"/>
  <c r="AC513" i="37" a="1"/>
  <c r="AC513" i="37" s="1"/>
  <c r="AC632" i="37" a="1"/>
  <c r="AC632" i="37" s="1"/>
  <c r="AC514" i="37" a="1"/>
  <c r="AC514" i="37" s="1"/>
  <c r="AC515" i="37" a="1"/>
  <c r="AC515" i="37" s="1"/>
  <c r="AC519" i="37" a="1"/>
  <c r="AC519" i="37" s="1"/>
  <c r="AC518" i="37" a="1"/>
  <c r="AC518" i="37" s="1"/>
  <c r="AC520" i="37" a="1"/>
  <c r="AC520" i="37" s="1"/>
  <c r="AC114" i="37" a="1"/>
  <c r="AC114" i="37" s="1"/>
  <c r="AC205" i="37" a="1"/>
  <c r="AC205" i="37" s="1"/>
  <c r="AC349" i="37" a="1"/>
  <c r="AC349" i="37" s="1"/>
  <c r="AC350" i="37" a="1"/>
  <c r="AC350" i="37" s="1"/>
  <c r="AC608" i="37" a="1"/>
  <c r="AC608" i="37" s="1"/>
  <c r="AC609" i="37" a="1"/>
  <c r="AC609" i="37" s="1"/>
  <c r="AC352" i="37" a="1"/>
  <c r="AC352" i="37" s="1"/>
  <c r="AC355" i="37" a="1"/>
  <c r="AC355" i="37" s="1"/>
  <c r="AC353" i="37" a="1"/>
  <c r="AC353" i="37" s="1"/>
  <c r="AC468" i="37" a="1"/>
  <c r="AC468" i="37" s="1"/>
  <c r="AC354" i="37" a="1"/>
  <c r="AC354" i="37" s="1"/>
  <c r="AC295" i="37" a="1"/>
  <c r="AC295" i="37" s="1"/>
  <c r="AC447" i="37" a="1"/>
  <c r="AC447" i="37" s="1"/>
  <c r="AC450" i="37" a="1"/>
  <c r="AC450" i="37" s="1"/>
  <c r="AC454" i="37" a="1"/>
  <c r="AC454" i="37" s="1"/>
  <c r="AC359" i="37" a="1"/>
  <c r="AC359" i="37" s="1"/>
  <c r="AC456" i="37" a="1"/>
  <c r="AC456" i="37" s="1"/>
  <c r="AC457" i="37" a="1"/>
  <c r="AC457" i="37" s="1"/>
  <c r="AC360" i="37" a="1"/>
  <c r="AC360" i="37" s="1"/>
  <c r="AC462" i="37" a="1"/>
  <c r="AC462" i="37" s="1"/>
  <c r="AC461" i="37" a="1"/>
  <c r="AC461" i="37" s="1"/>
  <c r="AC633" i="37" a="1"/>
  <c r="AC633" i="37" s="1"/>
  <c r="AC464" i="37" a="1"/>
  <c r="AC464" i="37" s="1"/>
  <c r="AC624" i="37" a="1"/>
  <c r="AC624" i="37" s="1"/>
  <c r="AC465" i="37" a="1"/>
  <c r="AC465" i="37" s="1"/>
  <c r="AC516" i="37" a="1"/>
  <c r="AC516" i="37" s="1"/>
  <c r="AC634" i="37" a="1"/>
  <c r="AC634" i="37" s="1"/>
  <c r="AC635" i="37" a="1"/>
  <c r="AC635" i="37" s="1"/>
  <c r="AC638" i="37" a="1"/>
  <c r="AC638" i="37" s="1"/>
  <c r="AC637" i="37" a="1"/>
  <c r="AC637" i="37" s="1"/>
  <c r="AC636" i="37" a="1"/>
  <c r="AC636" i="37" s="1"/>
  <c r="AC529" i="37" a="1"/>
  <c r="AC529" i="37" s="1"/>
  <c r="AC530" i="37" a="1"/>
  <c r="AC530" i="37" s="1"/>
  <c r="AC531" i="37" a="1"/>
  <c r="AC531" i="37" s="1"/>
  <c r="AC532" i="37" a="1"/>
  <c r="AC532" i="37" s="1"/>
  <c r="AB2" i="37" a="1"/>
  <c r="AB2" i="37" s="1"/>
  <c r="AB3" i="37" a="1"/>
  <c r="AB3" i="37" s="1"/>
  <c r="AB10" i="37" a="1"/>
  <c r="AB10" i="37" s="1"/>
  <c r="AB534" i="37" a="1"/>
  <c r="AB534" i="37" s="1"/>
  <c r="AB533" i="37" a="1"/>
  <c r="AB533" i="37" s="1"/>
  <c r="AB6" i="37" a="1"/>
  <c r="AB6" i="37" s="1"/>
  <c r="AB5" i="37" a="1"/>
  <c r="AB5" i="37" s="1"/>
  <c r="AB11" i="37" a="1"/>
  <c r="AB11" i="37" s="1"/>
  <c r="AB4" i="37" a="1"/>
  <c r="AB4" i="37" s="1"/>
  <c r="AB23" i="37" a="1"/>
  <c r="AB23" i="37" s="1"/>
  <c r="AB7" i="37" a="1"/>
  <c r="AB7" i="37" s="1"/>
  <c r="AB13" i="37" a="1"/>
  <c r="AB13" i="37" s="1"/>
  <c r="AB24" i="37" a="1"/>
  <c r="AB24" i="37" s="1"/>
  <c r="AB36" i="37" a="1"/>
  <c r="AB36" i="37" s="1"/>
  <c r="AB25" i="37" a="1"/>
  <c r="AB25" i="37" s="1"/>
  <c r="AB37" i="37" a="1"/>
  <c r="AB37" i="37" s="1"/>
  <c r="AB20" i="37" a="1"/>
  <c r="AB20" i="37" s="1"/>
  <c r="AB14" i="37" a="1"/>
  <c r="AB14" i="37" s="1"/>
  <c r="AB15" i="37" a="1"/>
  <c r="AB15" i="37" s="1"/>
  <c r="AB19" i="37" a="1"/>
  <c r="AB19" i="37" s="1"/>
  <c r="AB22" i="37" a="1"/>
  <c r="AB22" i="37" s="1"/>
  <c r="AB26" i="37" a="1"/>
  <c r="AB26" i="37" s="1"/>
  <c r="AB537" i="37" a="1"/>
  <c r="AB537" i="37" s="1"/>
  <c r="AB27" i="37" a="1"/>
  <c r="AB27" i="37" s="1"/>
  <c r="AB21" i="37" a="1"/>
  <c r="AB21" i="37" s="1"/>
  <c r="AB38" i="37" a="1"/>
  <c r="AB38" i="37" s="1"/>
  <c r="AB538" i="37" a="1"/>
  <c r="AB538" i="37" s="1"/>
  <c r="AB28" i="37" a="1"/>
  <c r="AB28" i="37" s="1"/>
  <c r="AB16" i="37" a="1"/>
  <c r="AB16" i="37" s="1"/>
  <c r="AB39" i="37" a="1"/>
  <c r="AB39" i="37" s="1"/>
  <c r="AB40" i="37" a="1"/>
  <c r="AB40" i="37" s="1"/>
  <c r="AB29" i="37" a="1"/>
  <c r="AB29" i="37" s="1"/>
  <c r="AB41" i="37" a="1"/>
  <c r="AB41" i="37" s="1"/>
  <c r="AB33" i="37" a="1"/>
  <c r="AB33" i="37" s="1"/>
  <c r="AB42" i="37" a="1"/>
  <c r="AB42" i="37" s="1"/>
  <c r="AB539" i="37" a="1"/>
  <c r="AB539" i="37" s="1"/>
  <c r="AB85" i="37" a="1"/>
  <c r="AB85" i="37" s="1"/>
  <c r="AB43" i="37" a="1"/>
  <c r="AB43" i="37" s="1"/>
  <c r="AB44" i="37" a="1"/>
  <c r="AB44" i="37" s="1"/>
  <c r="AB535" i="37" a="1"/>
  <c r="AB535" i="37" s="1"/>
  <c r="AB45" i="37" a="1"/>
  <c r="AB45" i="37" s="1"/>
  <c r="AB17" i="37" a="1"/>
  <c r="AB17" i="37" s="1"/>
  <c r="AB70" i="37" a="1"/>
  <c r="AB70" i="37" s="1"/>
  <c r="AB30" i="37" a="1"/>
  <c r="AB30" i="37" s="1"/>
  <c r="AB18" i="37" a="1"/>
  <c r="AB18" i="37" s="1"/>
  <c r="AB62" i="37" a="1"/>
  <c r="AB62" i="37" s="1"/>
  <c r="AB57" i="37" a="1"/>
  <c r="AB57" i="37" s="1"/>
  <c r="AB46" i="37" a="1"/>
  <c r="AB46" i="37" s="1"/>
  <c r="AB61" i="37" a="1"/>
  <c r="AB61" i="37" s="1"/>
  <c r="AB71" i="37" a="1"/>
  <c r="AB71" i="37" s="1"/>
  <c r="AB31" i="37" a="1"/>
  <c r="AB31" i="37" s="1"/>
  <c r="AB541" i="37" a="1"/>
  <c r="AB541" i="37" s="1"/>
  <c r="AB56" i="37" a="1"/>
  <c r="AB56" i="37" s="1"/>
  <c r="AB536" i="37" a="1"/>
  <c r="AB536" i="37" s="1"/>
  <c r="AB47" i="37" a="1"/>
  <c r="AB47" i="37" s="1"/>
  <c r="AB86" i="37" a="1"/>
  <c r="AB86" i="37" s="1"/>
  <c r="AB72" i="37" a="1"/>
  <c r="AB72" i="37" s="1"/>
  <c r="AB48" i="37" a="1"/>
  <c r="AB48" i="37" s="1"/>
  <c r="AB547" i="37" a="1"/>
  <c r="AB547" i="37" s="1"/>
  <c r="AB115" i="37" a="1"/>
  <c r="AB115" i="37" s="1"/>
  <c r="AB562" i="37" a="1"/>
  <c r="AB562" i="37" s="1"/>
  <c r="AB58" i="37" a="1"/>
  <c r="AB58" i="37" s="1"/>
  <c r="AB63" i="37" a="1"/>
  <c r="AB63" i="37" s="1"/>
  <c r="AB34" i="37" a="1"/>
  <c r="AB34" i="37" s="1"/>
  <c r="AB540" i="37" a="1"/>
  <c r="AB540" i="37" s="1"/>
  <c r="AB116" i="37" a="1"/>
  <c r="AB116" i="37" s="1"/>
  <c r="AB12" i="37" a="1"/>
  <c r="AB12" i="37" s="1"/>
  <c r="AB32" i="37" a="1"/>
  <c r="AB32" i="37" s="1"/>
  <c r="AB73" i="37" a="1"/>
  <c r="AB73" i="37" s="1"/>
  <c r="AB74" i="37" a="1"/>
  <c r="AB74" i="37" s="1"/>
  <c r="AB542" i="37" a="1"/>
  <c r="AB542" i="37" s="1"/>
  <c r="AB75" i="37" a="1"/>
  <c r="AB75" i="37" s="1"/>
  <c r="AB543" i="37" a="1"/>
  <c r="AB543" i="37" s="1"/>
  <c r="AB117" i="37" a="1"/>
  <c r="AB117" i="37" s="1"/>
  <c r="AB546" i="37" a="1"/>
  <c r="AB546" i="37" s="1"/>
  <c r="AB99" i="37" a="1"/>
  <c r="AB99" i="37" s="1"/>
  <c r="AB67" i="37" a="1"/>
  <c r="AB67" i="37" s="1"/>
  <c r="AB100" i="37" a="1"/>
  <c r="AB100" i="37" s="1"/>
  <c r="AB68" i="37" a="1"/>
  <c r="AB68" i="37" s="1"/>
  <c r="AB64" i="37" a="1"/>
  <c r="AB64" i="37" s="1"/>
  <c r="AB101" i="37" a="1"/>
  <c r="AB101" i="37" s="1"/>
  <c r="AB65" i="37" a="1"/>
  <c r="AB65" i="37" s="1"/>
  <c r="AB92" i="37" a="1"/>
  <c r="AB92" i="37" s="1"/>
  <c r="AB49" i="37" a="1"/>
  <c r="AB49" i="37" s="1"/>
  <c r="AB185" i="37" a="1"/>
  <c r="AB185" i="37" s="1"/>
  <c r="AB163" i="37" a="1"/>
  <c r="AB163" i="37" s="1"/>
  <c r="AB76" i="37" a="1"/>
  <c r="AB76" i="37" s="1"/>
  <c r="AB87" i="37" a="1"/>
  <c r="AB87" i="37" s="1"/>
  <c r="AB82" i="37" a="1"/>
  <c r="AB82" i="37" s="1"/>
  <c r="AB88" i="37" a="1"/>
  <c r="AB88" i="37" s="1"/>
  <c r="AB554" i="37" a="1"/>
  <c r="AB554" i="37" s="1"/>
  <c r="AB93" i="37" a="1"/>
  <c r="AB93" i="37" s="1"/>
  <c r="AB118" i="37" a="1"/>
  <c r="AB118" i="37" s="1"/>
  <c r="AB83" i="37" a="1"/>
  <c r="AB83" i="37" s="1"/>
  <c r="AB164" i="37" a="1"/>
  <c r="AB164" i="37" s="1"/>
  <c r="AB119" i="37" a="1"/>
  <c r="AB119" i="37" s="1"/>
  <c r="AB549" i="37" a="1"/>
  <c r="AB549" i="37" s="1"/>
  <c r="AB50" i="37" a="1"/>
  <c r="AB50" i="37" s="1"/>
  <c r="AB120" i="37" a="1"/>
  <c r="AB120" i="37" s="1"/>
  <c r="AB121" i="37" a="1"/>
  <c r="AB121" i="37" s="1"/>
  <c r="AB84" i="37" a="1"/>
  <c r="AB84" i="37" s="1"/>
  <c r="AB165" i="37" a="1"/>
  <c r="AB165" i="37" s="1"/>
  <c r="AB206" i="37" a="1"/>
  <c r="AB206" i="37" s="1"/>
  <c r="AB89" i="37" a="1"/>
  <c r="AB89" i="37" s="1"/>
  <c r="AB574" i="37" a="1"/>
  <c r="AB574" i="37" s="1"/>
  <c r="AB166" i="37" a="1"/>
  <c r="AB166" i="37" s="1"/>
  <c r="AB167" i="37" a="1"/>
  <c r="AB167" i="37" s="1"/>
  <c r="AB77" i="37" a="1"/>
  <c r="AB77" i="37" s="1"/>
  <c r="AB123" i="37" a="1"/>
  <c r="AB123" i="37" s="1"/>
  <c r="AB122" i="37" a="1"/>
  <c r="AB122" i="37" s="1"/>
  <c r="AB575" i="37" a="1"/>
  <c r="AB575" i="37" s="1"/>
  <c r="AB96" i="37" a="1"/>
  <c r="AB96" i="37" s="1"/>
  <c r="AB186" i="37" a="1"/>
  <c r="AB186" i="37" s="1"/>
  <c r="AB176" i="37" a="1"/>
  <c r="AB176" i="37" s="1"/>
  <c r="AB151" i="37" a="1"/>
  <c r="AB151" i="37" s="1"/>
  <c r="AB97" i="37" a="1"/>
  <c r="AB97" i="37" s="1"/>
  <c r="AB274" i="37" a="1"/>
  <c r="AB274" i="37" s="1"/>
  <c r="AB545" i="37" a="1"/>
  <c r="AB545" i="37" s="1"/>
  <c r="AB187" i="37" a="1"/>
  <c r="AB187" i="37" s="1"/>
  <c r="AB207" i="37" a="1"/>
  <c r="AB207" i="37" s="1"/>
  <c r="AB9" i="37" a="1"/>
  <c r="AB9" i="37" s="1"/>
  <c r="AB570" i="37" a="1"/>
  <c r="AB570" i="37" s="1"/>
  <c r="AB296" i="37" a="1"/>
  <c r="AB296" i="37" s="1"/>
  <c r="AB102" i="37" a="1"/>
  <c r="AB102" i="37" s="1"/>
  <c r="AB66" i="37" a="1"/>
  <c r="AB66" i="37" s="1"/>
  <c r="AB177" i="37" a="1"/>
  <c r="AB177" i="37" s="1"/>
  <c r="AB297" i="37" a="1"/>
  <c r="AB297" i="37" s="1"/>
  <c r="AB576" i="37" a="1"/>
  <c r="AB576" i="37" s="1"/>
  <c r="AB156" i="37" a="1"/>
  <c r="AB156" i="37" s="1"/>
  <c r="AB188" i="37" a="1"/>
  <c r="AB188" i="37" s="1"/>
  <c r="AB189" i="37" a="1"/>
  <c r="AB189" i="37" s="1"/>
  <c r="AB103" i="37" a="1"/>
  <c r="AB103" i="37" s="1"/>
  <c r="AB190" i="37" a="1"/>
  <c r="AB190" i="37" s="1"/>
  <c r="AB152" i="37" a="1"/>
  <c r="AB152" i="37" s="1"/>
  <c r="AB208" i="37" a="1"/>
  <c r="AB208" i="37" s="1"/>
  <c r="AB209" i="37" a="1"/>
  <c r="AB209" i="37" s="1"/>
  <c r="AB210" i="37" a="1"/>
  <c r="AB210" i="37" s="1"/>
  <c r="AB596" i="37" a="1"/>
  <c r="AB596" i="37" s="1"/>
  <c r="AB168" i="37" a="1"/>
  <c r="AB168" i="37" s="1"/>
  <c r="AB568" i="37" a="1"/>
  <c r="AB568" i="37" s="1"/>
  <c r="AB124" i="37" a="1"/>
  <c r="AB124" i="37" s="1"/>
  <c r="AB571" i="37" a="1"/>
  <c r="AB571" i="37" s="1"/>
  <c r="AB175" i="37" a="1"/>
  <c r="AB175" i="37" s="1"/>
  <c r="AB211" i="37" a="1"/>
  <c r="AB211" i="37" s="1"/>
  <c r="AB104" i="37" a="1"/>
  <c r="AB104" i="37" s="1"/>
  <c r="AB125" i="37" a="1"/>
  <c r="AB125" i="37" s="1"/>
  <c r="AB105" i="37" a="1"/>
  <c r="AB105" i="37" s="1"/>
  <c r="AB126" i="37" a="1"/>
  <c r="AB126" i="37" s="1"/>
  <c r="AB548" i="37" a="1"/>
  <c r="AB548" i="37" s="1"/>
  <c r="AB191" i="37" a="1"/>
  <c r="AB191" i="37" s="1"/>
  <c r="AB563" i="37" a="1"/>
  <c r="AB563" i="37" s="1"/>
  <c r="AB213" i="37" a="1"/>
  <c r="AB213" i="37" s="1"/>
  <c r="AB298" i="37" a="1"/>
  <c r="AB298" i="37" s="1"/>
  <c r="AB106" i="37" a="1"/>
  <c r="AB106" i="37" s="1"/>
  <c r="AB212" i="37" a="1"/>
  <c r="AB212" i="37" s="1"/>
  <c r="AB564" i="37" a="1"/>
  <c r="AB564" i="37" s="1"/>
  <c r="AB577" i="37" a="1"/>
  <c r="AB577" i="37" s="1"/>
  <c r="AB107" i="37" a="1"/>
  <c r="AB107" i="37" s="1"/>
  <c r="AB157" i="37" a="1"/>
  <c r="AB157" i="37" s="1"/>
  <c r="AB214" i="37" a="1"/>
  <c r="AB214" i="37" s="1"/>
  <c r="AB158" i="37" a="1"/>
  <c r="AB158" i="37" s="1"/>
  <c r="AB578" i="37" a="1"/>
  <c r="AB578" i="37" s="1"/>
  <c r="AB215" i="37" a="1"/>
  <c r="AB215" i="37" s="1"/>
  <c r="AB155" i="37" a="1"/>
  <c r="AB155" i="37" s="1"/>
  <c r="AB216" i="37" a="1"/>
  <c r="AB216" i="37" s="1"/>
  <c r="AB217" i="37" a="1"/>
  <c r="AB217" i="37" s="1"/>
  <c r="AB127" i="37" a="1"/>
  <c r="AB127" i="37" s="1"/>
  <c r="AB90" i="37" a="1"/>
  <c r="AB90" i="37" s="1"/>
  <c r="AB153" i="37" a="1"/>
  <c r="AB153" i="37" s="1"/>
  <c r="AB128" i="37" a="1"/>
  <c r="AB128" i="37" s="1"/>
  <c r="AB299" i="37" a="1"/>
  <c r="AB299" i="37" s="1"/>
  <c r="AB192" i="37" a="1"/>
  <c r="AB192" i="37" s="1"/>
  <c r="AB129" i="37" a="1"/>
  <c r="AB129" i="37" s="1"/>
  <c r="AB565" i="37" a="1"/>
  <c r="AB565" i="37" s="1"/>
  <c r="AB130" i="37" a="1"/>
  <c r="AB130" i="37" s="1"/>
  <c r="AB218" i="37" a="1"/>
  <c r="AB218" i="37" s="1"/>
  <c r="AB131" i="37" a="1"/>
  <c r="AB131" i="37" s="1"/>
  <c r="AB154" i="37" a="1"/>
  <c r="AB154" i="37" s="1"/>
  <c r="AB555" i="37" a="1"/>
  <c r="AB555" i="37" s="1"/>
  <c r="AB579" i="37" a="1"/>
  <c r="AB579" i="37" s="1"/>
  <c r="AB132" i="37" a="1"/>
  <c r="AB132" i="37" s="1"/>
  <c r="AB580" i="37" a="1"/>
  <c r="AB580" i="37" s="1"/>
  <c r="AB219" i="37" a="1"/>
  <c r="AB219" i="37" s="1"/>
  <c r="AB133" i="37" a="1"/>
  <c r="AB133" i="37" s="1"/>
  <c r="AB134" i="37" a="1"/>
  <c r="AB134" i="37" s="1"/>
  <c r="AB599" i="37" a="1"/>
  <c r="AB599" i="37" s="1"/>
  <c r="AB220" i="37" a="1"/>
  <c r="AB220" i="37" s="1"/>
  <c r="AB221" i="37" a="1"/>
  <c r="AB221" i="37" s="1"/>
  <c r="AB59" i="37" a="1"/>
  <c r="AB59" i="37" s="1"/>
  <c r="AB222" i="37" a="1"/>
  <c r="AB222" i="37" s="1"/>
  <c r="AB223" i="37" a="1"/>
  <c r="AB223" i="37" s="1"/>
  <c r="AB275" i="37" a="1"/>
  <c r="AB275" i="37" s="1"/>
  <c r="AB51" i="37" a="1"/>
  <c r="AB51" i="37" s="1"/>
  <c r="AB224" i="37" a="1"/>
  <c r="AB224" i="37" s="1"/>
  <c r="AB78" i="37" a="1"/>
  <c r="AB78" i="37" s="1"/>
  <c r="AB225" i="37" a="1"/>
  <c r="AB225" i="37" s="1"/>
  <c r="AB35" i="37" a="1"/>
  <c r="AB35" i="37" s="1"/>
  <c r="AB226" i="37" a="1"/>
  <c r="AB226" i="37" s="1"/>
  <c r="AB169" i="37" a="1"/>
  <c r="AB169" i="37" s="1"/>
  <c r="AB170" i="37" a="1"/>
  <c r="AB170" i="37" s="1"/>
  <c r="AB557" i="37" a="1"/>
  <c r="AB557" i="37" s="1"/>
  <c r="AB361" i="37" a="1"/>
  <c r="AB361" i="37" s="1"/>
  <c r="AB558" i="37" a="1"/>
  <c r="AB558" i="37" s="1"/>
  <c r="AB227" i="37" a="1"/>
  <c r="AB227" i="37" s="1"/>
  <c r="AB556" i="37" a="1"/>
  <c r="AB556" i="37" s="1"/>
  <c r="AB228" i="37" a="1"/>
  <c r="AB228" i="37" s="1"/>
  <c r="AB171" i="37" a="1"/>
  <c r="AB171" i="37" s="1"/>
  <c r="AB178" i="37" a="1"/>
  <c r="AB178" i="37" s="1"/>
  <c r="AB595" i="37" a="1"/>
  <c r="AB595" i="37" s="1"/>
  <c r="AB193" i="37" a="1"/>
  <c r="AB193" i="37" s="1"/>
  <c r="AB69" i="37" a="1"/>
  <c r="AB69" i="37" s="1"/>
  <c r="AB179" i="37" a="1"/>
  <c r="AB179" i="37" s="1"/>
  <c r="AB135" i="37" a="1"/>
  <c r="AB135" i="37" s="1"/>
  <c r="AB108" i="37" a="1"/>
  <c r="AB108" i="37" s="1"/>
  <c r="AB300" i="37" a="1"/>
  <c r="AB300" i="37" s="1"/>
  <c r="AB98" i="37" a="1"/>
  <c r="AB98" i="37" s="1"/>
  <c r="AB159" i="37" a="1"/>
  <c r="AB159" i="37" s="1"/>
  <c r="AB597" i="37" a="1"/>
  <c r="AB597" i="37" s="1"/>
  <c r="AB560" i="37" a="1"/>
  <c r="AB560" i="37" s="1"/>
  <c r="AB79" i="37" a="1"/>
  <c r="AB79" i="37" s="1"/>
  <c r="AB279" i="37" a="1"/>
  <c r="AB279" i="37" s="1"/>
  <c r="AB569" i="37" a="1"/>
  <c r="AB569" i="37" s="1"/>
  <c r="AB229" i="37" a="1"/>
  <c r="AB229" i="37" s="1"/>
  <c r="AB230" i="37" a="1"/>
  <c r="AB230" i="37" s="1"/>
  <c r="AB301" i="37" a="1"/>
  <c r="AB301" i="37" s="1"/>
  <c r="AB437" i="37" a="1"/>
  <c r="AB437" i="37" s="1"/>
  <c r="AB160" i="37" a="1"/>
  <c r="AB160" i="37" s="1"/>
  <c r="AB280" i="37" a="1"/>
  <c r="AB280" i="37" s="1"/>
  <c r="AB302" i="37" a="1"/>
  <c r="AB302" i="37" s="1"/>
  <c r="AB231" i="37" a="1"/>
  <c r="AB231" i="37" s="1"/>
  <c r="AB303" i="37" a="1"/>
  <c r="AB303" i="37" s="1"/>
  <c r="AB304" i="37" a="1"/>
  <c r="AB304" i="37" s="1"/>
  <c r="AB305" i="37" a="1"/>
  <c r="AB305" i="37" s="1"/>
  <c r="AB194" i="37" a="1"/>
  <c r="AB194" i="37" s="1"/>
  <c r="AB265" i="37" a="1"/>
  <c r="AB265" i="37" s="1"/>
  <c r="AB306" i="37" a="1"/>
  <c r="AB306" i="37" s="1"/>
  <c r="AB232" i="37" a="1"/>
  <c r="AB232" i="37" s="1"/>
  <c r="AB195" i="37" a="1"/>
  <c r="AB195" i="37" s="1"/>
  <c r="AB598" i="37" a="1"/>
  <c r="AB598" i="37" s="1"/>
  <c r="AB281" i="37" a="1"/>
  <c r="AB281" i="37" s="1"/>
  <c r="AB600" i="37" a="1"/>
  <c r="AB600" i="37" s="1"/>
  <c r="AB80" i="37" a="1"/>
  <c r="AB80" i="37" s="1"/>
  <c r="AB270" i="37" a="1"/>
  <c r="AB270" i="37" s="1"/>
  <c r="AB180" i="37" a="1"/>
  <c r="AB180" i="37" s="1"/>
  <c r="AB307" i="37" a="1"/>
  <c r="AB307" i="37" s="1"/>
  <c r="AB267" i="37" a="1"/>
  <c r="AB267" i="37" s="1"/>
  <c r="AB196" i="37" a="1"/>
  <c r="AB196" i="37" s="1"/>
  <c r="AB269" i="37" a="1"/>
  <c r="AB269" i="37" s="1"/>
  <c r="AB198" i="37" a="1"/>
  <c r="AB198" i="37" s="1"/>
  <c r="AB282" i="37" a="1"/>
  <c r="AB282" i="37" s="1"/>
  <c r="AB308" i="37" a="1"/>
  <c r="AB308" i="37" s="1"/>
  <c r="AB471" i="37" a="1"/>
  <c r="AB471" i="37" s="1"/>
  <c r="AB283" i="37" a="1"/>
  <c r="AB283" i="37" s="1"/>
  <c r="AB161" i="37" a="1"/>
  <c r="AB161" i="37" s="1"/>
  <c r="AB581" i="37" a="1"/>
  <c r="AB581" i="37" s="1"/>
  <c r="AB234" i="37" a="1"/>
  <c r="AB234" i="37" s="1"/>
  <c r="AB233" i="37" a="1"/>
  <c r="AB233" i="37" s="1"/>
  <c r="AB235" i="37" a="1"/>
  <c r="AB235" i="37" s="1"/>
  <c r="AB268" i="37" a="1"/>
  <c r="AB268" i="37" s="1"/>
  <c r="AB199" i="37" a="1"/>
  <c r="AB199" i="37" s="1"/>
  <c r="AB236" i="37" a="1"/>
  <c r="AB236" i="37" s="1"/>
  <c r="AB582" i="37" a="1"/>
  <c r="AB582" i="37" s="1"/>
  <c r="AB237" i="37" a="1"/>
  <c r="AB237" i="37" s="1"/>
  <c r="AB238" i="37" a="1"/>
  <c r="AB238" i="37" s="1"/>
  <c r="AB583" i="37" a="1"/>
  <c r="AB583" i="37" s="1"/>
  <c r="AB172" i="37" a="1"/>
  <c r="AB172" i="37" s="1"/>
  <c r="AB239" i="37" a="1"/>
  <c r="AB239" i="37" s="1"/>
  <c r="AB363" i="37" a="1"/>
  <c r="AB363" i="37" s="1"/>
  <c r="AB364" i="37" a="1"/>
  <c r="AB364" i="37" s="1"/>
  <c r="AB362" i="37" a="1"/>
  <c r="AB362" i="37" s="1"/>
  <c r="AB594" i="37" a="1"/>
  <c r="AB594" i="37" s="1"/>
  <c r="AB612" i="37" a="1"/>
  <c r="AB612" i="37" s="1"/>
  <c r="AB266" i="37" a="1"/>
  <c r="AB266" i="37" s="1"/>
  <c r="AB309" i="37" a="1"/>
  <c r="AB309" i="37" s="1"/>
  <c r="AB365" i="37" a="1"/>
  <c r="AB365" i="37" s="1"/>
  <c r="AB240" i="37" a="1"/>
  <c r="AB240" i="37" s="1"/>
  <c r="AB91" i="37" a="1"/>
  <c r="AB91" i="37" s="1"/>
  <c r="AB613" i="37" a="1"/>
  <c r="AB613" i="37" s="1"/>
  <c r="AB551" i="37" a="1"/>
  <c r="AB551" i="37" s="1"/>
  <c r="AB271" i="37" a="1"/>
  <c r="AB271" i="37" s="1"/>
  <c r="AB584" i="37" a="1"/>
  <c r="AB584" i="37" s="1"/>
  <c r="AB52" i="37" a="1"/>
  <c r="AB52" i="37" s="1"/>
  <c r="AB366" i="37" a="1"/>
  <c r="AB366" i="37" s="1"/>
  <c r="AB241" i="37" a="1"/>
  <c r="AB241" i="37" s="1"/>
  <c r="AB614" i="37" a="1"/>
  <c r="AB614" i="37" s="1"/>
  <c r="AB367" i="37" a="1"/>
  <c r="AB367" i="37" s="1"/>
  <c r="AB544" i="37" a="1"/>
  <c r="AB544" i="37" s="1"/>
  <c r="AB136" i="37" a="1"/>
  <c r="AB136" i="37" s="1"/>
  <c r="AB585" i="37" a="1"/>
  <c r="AB585" i="37" s="1"/>
  <c r="AB371" i="37" a="1"/>
  <c r="AB371" i="37" s="1"/>
  <c r="AB369" i="37" a="1"/>
  <c r="AB369" i="37" s="1"/>
  <c r="AB615" i="37" a="1"/>
  <c r="AB615" i="37" s="1"/>
  <c r="AB368" i="37" a="1"/>
  <c r="AB368" i="37" s="1"/>
  <c r="AB370" i="37" a="1"/>
  <c r="AB370" i="37" s="1"/>
  <c r="AB242" i="37" a="1"/>
  <c r="AB242" i="37" s="1"/>
  <c r="AB244" i="37" a="1"/>
  <c r="AB244" i="37" s="1"/>
  <c r="AB372" i="37" a="1"/>
  <c r="AB372" i="37" s="1"/>
  <c r="AB566" i="37" a="1"/>
  <c r="AB566" i="37" s="1"/>
  <c r="AB243" i="37" a="1"/>
  <c r="AB243" i="37" s="1"/>
  <c r="AB407" i="37" a="1"/>
  <c r="AB407" i="37" s="1"/>
  <c r="AB8" i="37" a="1"/>
  <c r="AB8" i="37" s="1"/>
  <c r="AB310" i="37" a="1"/>
  <c r="AB310" i="37" s="1"/>
  <c r="AB385" i="37" a="1"/>
  <c r="AB385" i="37" s="1"/>
  <c r="AB94" i="37" a="1"/>
  <c r="AB94" i="37" s="1"/>
  <c r="AB55" i="37" a="1"/>
  <c r="AB55" i="37" s="1"/>
  <c r="AB258" i="37" a="1"/>
  <c r="AB258" i="37" s="1"/>
  <c r="AB137" i="37" a="1"/>
  <c r="AB137" i="37" s="1"/>
  <c r="AB54" i="37" a="1"/>
  <c r="AB54" i="37" s="1"/>
  <c r="AB418" i="37" a="1"/>
  <c r="AB418" i="37" s="1"/>
  <c r="AB174" i="37" a="1"/>
  <c r="AB174" i="37" s="1"/>
  <c r="AB311" i="37" a="1"/>
  <c r="AB311" i="37" s="1"/>
  <c r="AB416" i="37" a="1"/>
  <c r="AB416" i="37" s="1"/>
  <c r="AB312" i="37" a="1"/>
  <c r="AB312" i="37" s="1"/>
  <c r="AB145" i="37" a="1"/>
  <c r="AB145" i="37" s="1"/>
  <c r="AB278" i="37" a="1"/>
  <c r="AB278" i="37" s="1"/>
  <c r="AB181" i="37" a="1"/>
  <c r="AB181" i="37" s="1"/>
  <c r="AB375" i="37" a="1"/>
  <c r="AB375" i="37" s="1"/>
  <c r="AB146" i="37" a="1"/>
  <c r="AB146" i="37" s="1"/>
  <c r="AB388" i="37" a="1"/>
  <c r="AB388" i="37" s="1"/>
  <c r="AB419" i="37" a="1"/>
  <c r="AB419" i="37" s="1"/>
  <c r="AB60" i="37" a="1"/>
  <c r="AB60" i="37" s="1"/>
  <c r="AB81" i="37" a="1"/>
  <c r="AB81" i="37" s="1"/>
  <c r="AB149" i="37" a="1"/>
  <c r="AB149" i="37" s="1"/>
  <c r="AB246" i="37" a="1"/>
  <c r="AB246" i="37" s="1"/>
  <c r="AB590" i="37" a="1"/>
  <c r="AB590" i="37" s="1"/>
  <c r="AB254" i="37" a="1"/>
  <c r="AB254" i="37" s="1"/>
  <c r="AB373" i="37" a="1"/>
  <c r="AB373" i="37" s="1"/>
  <c r="AB376" i="37" a="1"/>
  <c r="AB376" i="37" s="1"/>
  <c r="AB378" i="37" a="1"/>
  <c r="AB378" i="37" s="1"/>
  <c r="AB410" i="37" a="1"/>
  <c r="AB410" i="37" s="1"/>
  <c r="AB409" i="37" a="1"/>
  <c r="AB409" i="37" s="1"/>
  <c r="AB420" i="37" a="1"/>
  <c r="AB420" i="37" s="1"/>
  <c r="AB248" i="37" a="1"/>
  <c r="AB248" i="37" s="1"/>
  <c r="AB247" i="37" a="1"/>
  <c r="AB247" i="37" s="1"/>
  <c r="AB259" i="37" a="1"/>
  <c r="AB259" i="37" s="1"/>
  <c r="AB402" i="37" a="1"/>
  <c r="AB402" i="37" s="1"/>
  <c r="AB415" i="37" a="1"/>
  <c r="AB415" i="37" s="1"/>
  <c r="AB417" i="37" a="1"/>
  <c r="AB417" i="37" s="1"/>
  <c r="AB53" i="37" a="1"/>
  <c r="AB53" i="37" s="1"/>
  <c r="AB140" i="37" a="1"/>
  <c r="AB140" i="37" s="1"/>
  <c r="AB142" i="37" a="1"/>
  <c r="AB142" i="37" s="1"/>
  <c r="AB109" i="37" a="1"/>
  <c r="AB109" i="37" s="1"/>
  <c r="AB313" i="37" a="1"/>
  <c r="AB313" i="37" s="1"/>
  <c r="AB314" i="37" a="1"/>
  <c r="AB314" i="37" s="1"/>
  <c r="AB601" i="37" a="1"/>
  <c r="AB601" i="37" s="1"/>
  <c r="AB315" i="37" a="1"/>
  <c r="AB315" i="37" s="1"/>
  <c r="AB618" i="37" a="1"/>
  <c r="AB618" i="37" s="1"/>
  <c r="AB143" i="37" a="1"/>
  <c r="AB143" i="37" s="1"/>
  <c r="AB622" i="37" a="1"/>
  <c r="AB622" i="37" s="1"/>
  <c r="AB316" i="37" a="1"/>
  <c r="AB316" i="37" s="1"/>
  <c r="AB552" i="37" a="1"/>
  <c r="AB552" i="37" s="1"/>
  <c r="AB317" i="37" a="1"/>
  <c r="AB317" i="37" s="1"/>
  <c r="AB182" i="37" a="1"/>
  <c r="AB182" i="37" s="1"/>
  <c r="AB200" i="37" a="1"/>
  <c r="AB200" i="37" s="1"/>
  <c r="AB284" i="37" a="1"/>
  <c r="AB284" i="37" s="1"/>
  <c r="AB427" i="37" a="1"/>
  <c r="AB427" i="37" s="1"/>
  <c r="AB147" i="37" a="1"/>
  <c r="AB147" i="37" s="1"/>
  <c r="AB173" i="37" a="1"/>
  <c r="AB173" i="37" s="1"/>
  <c r="AB318" i="37" a="1"/>
  <c r="AB318" i="37" s="1"/>
  <c r="AB435" i="37" a="1"/>
  <c r="AB435" i="37" s="1"/>
  <c r="AB285" i="37" a="1"/>
  <c r="AB285" i="37" s="1"/>
  <c r="AB602" i="37" a="1"/>
  <c r="AB602" i="37" s="1"/>
  <c r="AB319" i="37" a="1"/>
  <c r="AB319" i="37" s="1"/>
  <c r="AB148" i="37" a="1"/>
  <c r="AB148" i="37" s="1"/>
  <c r="AB320" i="37" a="1"/>
  <c r="AB320" i="37" s="1"/>
  <c r="AB321" i="37" a="1"/>
  <c r="AB321" i="37" s="1"/>
  <c r="AB150" i="37" a="1"/>
  <c r="AB150" i="37" s="1"/>
  <c r="AB322" i="37" a="1"/>
  <c r="AB322" i="37" s="1"/>
  <c r="AB323" i="37" a="1"/>
  <c r="AB323" i="37" s="1"/>
  <c r="AB621" i="37" a="1"/>
  <c r="AB621" i="37" s="1"/>
  <c r="AB424" i="37" a="1"/>
  <c r="AB424" i="37" s="1"/>
  <c r="AB201" i="37" a="1"/>
  <c r="AB201" i="37" s="1"/>
  <c r="AB440" i="37" a="1"/>
  <c r="AB440" i="37" s="1"/>
  <c r="AB110" i="37" a="1"/>
  <c r="AB110" i="37" s="1"/>
  <c r="AB286" i="37" a="1"/>
  <c r="AB286" i="37" s="1"/>
  <c r="AB325" i="37" a="1"/>
  <c r="AB325" i="37" s="1"/>
  <c r="AB423" i="37" a="1"/>
  <c r="AB423" i="37" s="1"/>
  <c r="AB431" i="37" a="1"/>
  <c r="AB431" i="37" s="1"/>
  <c r="AB421" i="37" a="1"/>
  <c r="AB421" i="37" s="1"/>
  <c r="AB245" i="37" a="1"/>
  <c r="AB245" i="37" s="1"/>
  <c r="AB434" i="37" a="1"/>
  <c r="AB434" i="37" s="1"/>
  <c r="AB324" i="37" a="1"/>
  <c r="AB324" i="37" s="1"/>
  <c r="AB572" i="37" a="1"/>
  <c r="AB572" i="37" s="1"/>
  <c r="AB202" i="37" a="1"/>
  <c r="AB202" i="37" s="1"/>
  <c r="AB588" i="37" a="1"/>
  <c r="AB588" i="37" s="1"/>
  <c r="AB603" i="37" a="1"/>
  <c r="AB603" i="37" s="1"/>
  <c r="AB619" i="37" a="1"/>
  <c r="AB619" i="37" s="1"/>
  <c r="AB250" i="37" a="1"/>
  <c r="AB250" i="37" s="1"/>
  <c r="AB441" i="37" a="1"/>
  <c r="AB441" i="37" s="1"/>
  <c r="AB438" i="37" a="1"/>
  <c r="AB438" i="37" s="1"/>
  <c r="AB327" i="37" a="1"/>
  <c r="AB327" i="37" s="1"/>
  <c r="AB426" i="37" a="1"/>
  <c r="AB426" i="37" s="1"/>
  <c r="AB287" i="37" a="1"/>
  <c r="AB287" i="37" s="1"/>
  <c r="AB95" i="37" a="1"/>
  <c r="AB95" i="37" s="1"/>
  <c r="AB326" i="37" a="1"/>
  <c r="AB326" i="37" s="1"/>
  <c r="AB249" i="37" a="1"/>
  <c r="AB249" i="37" s="1"/>
  <c r="AB425" i="37" a="1"/>
  <c r="AB425" i="37" s="1"/>
  <c r="AB604" i="37" a="1"/>
  <c r="AB604" i="37" s="1"/>
  <c r="AB162" i="37" a="1"/>
  <c r="AB162" i="37" s="1"/>
  <c r="AB276" i="37" a="1"/>
  <c r="AB276" i="37" s="1"/>
  <c r="AB328" i="37" a="1"/>
  <c r="AB328" i="37" s="1"/>
  <c r="AB472" i="37" a="1"/>
  <c r="AB472" i="37" s="1"/>
  <c r="AB272" i="37" a="1"/>
  <c r="AB272" i="37" s="1"/>
  <c r="AB255" i="37" a="1"/>
  <c r="AB255" i="37" s="1"/>
  <c r="AB277" i="37" a="1"/>
  <c r="AB277" i="37" s="1"/>
  <c r="AB442" i="37" a="1"/>
  <c r="AB442" i="37" s="1"/>
  <c r="AB591" i="37" a="1"/>
  <c r="AB591" i="37" s="1"/>
  <c r="AB592" i="37" a="1"/>
  <c r="AB592" i="37" s="1"/>
  <c r="AB329" i="37" a="1"/>
  <c r="AB329" i="37" s="1"/>
  <c r="AB473" i="37" a="1"/>
  <c r="AB473" i="37" s="1"/>
  <c r="AB474" i="37" a="1"/>
  <c r="AB474" i="37" s="1"/>
  <c r="AB428" i="37" a="1"/>
  <c r="AB428" i="37" s="1"/>
  <c r="AB330" i="37" a="1"/>
  <c r="AB330" i="37" s="1"/>
  <c r="AB257" i="37" a="1"/>
  <c r="AB257" i="37" s="1"/>
  <c r="AB429" i="37" a="1"/>
  <c r="AB429" i="37" s="1"/>
  <c r="AB263" i="37" a="1"/>
  <c r="AB263" i="37" s="1"/>
  <c r="AB444" i="37" a="1"/>
  <c r="AB444" i="37" s="1"/>
  <c r="AB430" i="37" a="1"/>
  <c r="AB430" i="37" s="1"/>
  <c r="AB432" i="37" a="1"/>
  <c r="AB432" i="37" s="1"/>
  <c r="AB260" i="37" a="1"/>
  <c r="AB260" i="37" s="1"/>
  <c r="AB261" i="37" a="1"/>
  <c r="AB261" i="37" s="1"/>
  <c r="AB262" i="37" a="1"/>
  <c r="AB262" i="37" s="1"/>
  <c r="AB331" i="37" a="1"/>
  <c r="AB331" i="37" s="1"/>
  <c r="AB374" i="37" a="1"/>
  <c r="AB374" i="37" s="1"/>
  <c r="AB332" i="37" a="1"/>
  <c r="AB332" i="37" s="1"/>
  <c r="AB377" i="37" a="1"/>
  <c r="AB377" i="37" s="1"/>
  <c r="AB203" i="37" a="1"/>
  <c r="AB203" i="37" s="1"/>
  <c r="AB111" i="37" a="1"/>
  <c r="AB111" i="37" s="1"/>
  <c r="AB379" i="37" a="1"/>
  <c r="AB379" i="37" s="1"/>
  <c r="AB333" i="37" a="1"/>
  <c r="AB333" i="37" s="1"/>
  <c r="AB334" i="37" a="1"/>
  <c r="AB334" i="37" s="1"/>
  <c r="AB443" i="37" a="1"/>
  <c r="AB443" i="37" s="1"/>
  <c r="AB459" i="37" a="1"/>
  <c r="AB459" i="37" s="1"/>
  <c r="AB289" i="37" a="1"/>
  <c r="AB289" i="37" s="1"/>
  <c r="AB475" i="37" a="1"/>
  <c r="AB475" i="37" s="1"/>
  <c r="AB335" i="37" a="1"/>
  <c r="AB335" i="37" s="1"/>
  <c r="AB112" i="37" a="1"/>
  <c r="AB112" i="37" s="1"/>
  <c r="AB422" i="37" a="1"/>
  <c r="AB422" i="37" s="1"/>
  <c r="AB381" i="37" a="1"/>
  <c r="AB381" i="37" s="1"/>
  <c r="AB605" i="37" a="1"/>
  <c r="AB605" i="37" s="1"/>
  <c r="AB616" i="37" a="1"/>
  <c r="AB616" i="37" s="1"/>
  <c r="AB383" i="37" a="1"/>
  <c r="AB383" i="37" s="1"/>
  <c r="AB183" i="37" a="1"/>
  <c r="AB183" i="37" s="1"/>
  <c r="AB433" i="37" a="1"/>
  <c r="AB433" i="37" s="1"/>
  <c r="AB336" i="37" a="1"/>
  <c r="AB336" i="37" s="1"/>
  <c r="AB337" i="37" a="1"/>
  <c r="AB337" i="37" s="1"/>
  <c r="AB386" i="37" a="1"/>
  <c r="AB386" i="37" s="1"/>
  <c r="AB338" i="37" a="1"/>
  <c r="AB338" i="37" s="1"/>
  <c r="AB617" i="37" a="1"/>
  <c r="AB617" i="37" s="1"/>
  <c r="AB389" i="37" a="1"/>
  <c r="AB389" i="37" s="1"/>
  <c r="AB606" i="37" a="1"/>
  <c r="AB606" i="37" s="1"/>
  <c r="AB204" i="37" a="1"/>
  <c r="AB204" i="37" s="1"/>
  <c r="AB291" i="37" a="1"/>
  <c r="AB291" i="37" s="1"/>
  <c r="AB390" i="37" a="1"/>
  <c r="AB390" i="37" s="1"/>
  <c r="AB394" i="37" a="1"/>
  <c r="AB394" i="37" s="1"/>
  <c r="AB398" i="37" a="1"/>
  <c r="AB398" i="37" s="1"/>
  <c r="AB400" i="37" a="1"/>
  <c r="AB400" i="37" s="1"/>
  <c r="AB476" i="37" a="1"/>
  <c r="AB476" i="37" s="1"/>
  <c r="AB399" i="37" a="1"/>
  <c r="AB399" i="37" s="1"/>
  <c r="AB403" i="37" a="1"/>
  <c r="AB403" i="37" s="1"/>
  <c r="AB477" i="37" a="1"/>
  <c r="AB477" i="37" s="1"/>
  <c r="AB408" i="37" a="1"/>
  <c r="AB408" i="37" s="1"/>
  <c r="AB439" i="37" a="1"/>
  <c r="AB439" i="37" s="1"/>
  <c r="AB573" i="37" a="1"/>
  <c r="AB573" i="37" s="1"/>
  <c r="AB413" i="37" a="1"/>
  <c r="AB413" i="37" s="1"/>
  <c r="AB607" i="37" a="1"/>
  <c r="AB607" i="37" s="1"/>
  <c r="AB412" i="37" a="1"/>
  <c r="AB412" i="37" s="1"/>
  <c r="AB113" i="37" a="1"/>
  <c r="AB113" i="37" s="1"/>
  <c r="AB414" i="37" a="1"/>
  <c r="AB414" i="37" s="1"/>
  <c r="AB411" i="37" a="1"/>
  <c r="AB411" i="37" s="1"/>
  <c r="AB138" i="37" a="1"/>
  <c r="AB138" i="37" s="1"/>
  <c r="AB139" i="37" a="1"/>
  <c r="AB139" i="37" s="1"/>
  <c r="AB339" i="37" a="1"/>
  <c r="AB339" i="37" s="1"/>
  <c r="AB478" i="37" a="1"/>
  <c r="AB478" i="37" s="1"/>
  <c r="AB141" i="37" a="1"/>
  <c r="AB141" i="37" s="1"/>
  <c r="AB479" i="37" a="1"/>
  <c r="AB479" i="37" s="1"/>
  <c r="AB340" i="37" a="1"/>
  <c r="AB340" i="37" s="1"/>
  <c r="AB144" i="37" a="1"/>
  <c r="AB144" i="37" s="1"/>
  <c r="AB567" i="37" a="1"/>
  <c r="AB567" i="37" s="1"/>
  <c r="AB586" i="37" a="1"/>
  <c r="AB586" i="37" s="1"/>
  <c r="AB587" i="37" a="1"/>
  <c r="AB587" i="37" s="1"/>
  <c r="AB589" i="37" a="1"/>
  <c r="AB589" i="37" s="1"/>
  <c r="AB625" i="37" a="1"/>
  <c r="AB625" i="37" s="1"/>
  <c r="AB480" i="37" a="1"/>
  <c r="AB480" i="37" s="1"/>
  <c r="AB342" i="37" a="1"/>
  <c r="AB342" i="37" s="1"/>
  <c r="AB253" i="37" a="1"/>
  <c r="AB253" i="37" s="1"/>
  <c r="AB341" i="37" a="1"/>
  <c r="AB341" i="37" s="1"/>
  <c r="AB252" i="37" a="1"/>
  <c r="AB252" i="37" s="1"/>
  <c r="AB482" i="37" a="1"/>
  <c r="AB482" i="37" s="1"/>
  <c r="AB481" i="37" a="1"/>
  <c r="AB481" i="37" s="1"/>
  <c r="AB343" i="37" a="1"/>
  <c r="AB343" i="37" s="1"/>
  <c r="AB251" i="37" a="1"/>
  <c r="AB251" i="37" s="1"/>
  <c r="AB256" i="37" a="1"/>
  <c r="AB256" i="37" s="1"/>
  <c r="AB264" i="37" a="1"/>
  <c r="AB264" i="37" s="1"/>
  <c r="AB593" i="37" a="1"/>
  <c r="AB593" i="37" s="1"/>
  <c r="AB345" i="37" a="1"/>
  <c r="AB345" i="37" s="1"/>
  <c r="AB484" i="37" a="1"/>
  <c r="AB484" i="37" s="1"/>
  <c r="AB483" i="37" a="1"/>
  <c r="AB483" i="37" s="1"/>
  <c r="AB344" i="37" a="1"/>
  <c r="AB344" i="37" s="1"/>
  <c r="AB458" i="37" a="1"/>
  <c r="AB458" i="37" s="1"/>
  <c r="AB486" i="37" a="1"/>
  <c r="AB486" i="37" s="1"/>
  <c r="AB485" i="37" a="1"/>
  <c r="AB485" i="37" s="1"/>
  <c r="AB626" i="37" a="1"/>
  <c r="AB626" i="37" s="1"/>
  <c r="AB346" i="37" a="1"/>
  <c r="AB346" i="37" s="1"/>
  <c r="AB628" i="37" a="1"/>
  <c r="AB628" i="37" s="1"/>
  <c r="AB380" i="37" a="1"/>
  <c r="AB380" i="37" s="1"/>
  <c r="AB382" i="37" a="1"/>
  <c r="AB382" i="37" s="1"/>
  <c r="AB627" i="37" a="1"/>
  <c r="AB627" i="37" s="1"/>
  <c r="AB384" i="37" a="1"/>
  <c r="AB384" i="37" s="1"/>
  <c r="AB387" i="37" a="1"/>
  <c r="AB387" i="37" s="1"/>
  <c r="AB391" i="37" a="1"/>
  <c r="AB391" i="37" s="1"/>
  <c r="AB392" i="37" a="1"/>
  <c r="AB392" i="37" s="1"/>
  <c r="AB393" i="37" a="1"/>
  <c r="AB393" i="37" s="1"/>
  <c r="AB397" i="37" a="1"/>
  <c r="AB397" i="37" s="1"/>
  <c r="AB396" i="37" a="1"/>
  <c r="AB396" i="37" s="1"/>
  <c r="AB401" i="37" a="1"/>
  <c r="AB401" i="37" s="1"/>
  <c r="AB405" i="37" a="1"/>
  <c r="AB405" i="37" s="1"/>
  <c r="AB404" i="37" a="1"/>
  <c r="AB404" i="37" s="1"/>
  <c r="AB406" i="37" a="1"/>
  <c r="AB406" i="37" s="1"/>
  <c r="AB487" i="37" a="1"/>
  <c r="AB487" i="37" s="1"/>
  <c r="AB506" i="37" a="1"/>
  <c r="AB506" i="37" s="1"/>
  <c r="AB620" i="37" a="1"/>
  <c r="AB620" i="37" s="1"/>
  <c r="AB466" i="37" a="1"/>
  <c r="AB466" i="37" s="1"/>
  <c r="AB550" i="37" a="1"/>
  <c r="AB550" i="37" s="1"/>
  <c r="AB498" i="37" a="1"/>
  <c r="AB498" i="37" s="1"/>
  <c r="AB521" i="37" a="1"/>
  <c r="AB521" i="37" s="1"/>
  <c r="AB445" i="37" a="1"/>
  <c r="AB445" i="37" s="1"/>
  <c r="AB184" i="37" a="1"/>
  <c r="AB184" i="37" s="1"/>
  <c r="AB348" i="37" a="1"/>
  <c r="AB348" i="37" s="1"/>
  <c r="AB357" i="37" a="1"/>
  <c r="AB357" i="37" s="1"/>
  <c r="AB640" i="37" a="1"/>
  <c r="AB640" i="37" s="1"/>
  <c r="AB469" i="37" a="1"/>
  <c r="AB469" i="37" s="1"/>
  <c r="AB510" i="37" a="1"/>
  <c r="AB510" i="37" s="1"/>
  <c r="AB511" i="37" a="1"/>
  <c r="AB511" i="37" s="1"/>
  <c r="AB528" i="37" a="1"/>
  <c r="AB528" i="37" s="1"/>
  <c r="AB347" i="37" a="1"/>
  <c r="AB347" i="37" s="1"/>
  <c r="AB436" i="37" a="1"/>
  <c r="AB436" i="37" s="1"/>
  <c r="AB517" i="37" a="1"/>
  <c r="AB517" i="37" s="1"/>
  <c r="AB493" i="37" a="1"/>
  <c r="AB493" i="37" s="1"/>
  <c r="AB467" i="37" a="1"/>
  <c r="AB467" i="37" s="1"/>
  <c r="AB293" i="37" a="1"/>
  <c r="AB293" i="37" s="1"/>
  <c r="AB452" i="37" a="1"/>
  <c r="AB452" i="37" s="1"/>
  <c r="AB358" i="37" a="1"/>
  <c r="AB358" i="37" s="1"/>
  <c r="AB455" i="37" a="1"/>
  <c r="AB455" i="37" s="1"/>
  <c r="AB522" i="37" a="1"/>
  <c r="AB522" i="37" s="1"/>
  <c r="AB351" i="37" a="1"/>
  <c r="AB351" i="37" s="1"/>
  <c r="AB610" i="37" a="1"/>
  <c r="AB610" i="37" s="1"/>
  <c r="AB463" i="37" a="1"/>
  <c r="AB463" i="37" s="1"/>
  <c r="AB490" i="37" a="1"/>
  <c r="AB490" i="37" s="1"/>
  <c r="AB500" i="37" a="1"/>
  <c r="AB500" i="37" s="1"/>
  <c r="AB499" i="37" a="1"/>
  <c r="AB499" i="37" s="1"/>
  <c r="AB523" i="37" a="1"/>
  <c r="AB523" i="37" s="1"/>
  <c r="AB470" i="37" a="1"/>
  <c r="AB470" i="37" s="1"/>
  <c r="AB273" i="37" a="1"/>
  <c r="AB273" i="37" s="1"/>
  <c r="AB489" i="37" a="1"/>
  <c r="AB489" i="37" s="1"/>
  <c r="AB488" i="37" a="1"/>
  <c r="AB488" i="37" s="1"/>
  <c r="AB288" i="37" a="1"/>
  <c r="AB288" i="37" s="1"/>
  <c r="AB292" i="37" a="1"/>
  <c r="AB292" i="37" s="1"/>
  <c r="AB491" i="37" a="1"/>
  <c r="AB491" i="37" s="1"/>
  <c r="AB448" i="37" a="1"/>
  <c r="AB448" i="37" s="1"/>
  <c r="AB494" i="37" a="1"/>
  <c r="AB494" i="37" s="1"/>
  <c r="AB451" i="37" a="1"/>
  <c r="AB451" i="37" s="1"/>
  <c r="AB512" i="37" a="1"/>
  <c r="AB512" i="37" s="1"/>
  <c r="AB525" i="37" a="1"/>
  <c r="AB525" i="37" s="1"/>
  <c r="AB527" i="37" a="1"/>
  <c r="AB527" i="37" s="1"/>
  <c r="AB524" i="37" a="1"/>
  <c r="AB524" i="37" s="1"/>
  <c r="AB639" i="37" a="1"/>
  <c r="AB639" i="37" s="1"/>
  <c r="AB356" i="37" a="1"/>
  <c r="AB356" i="37" s="1"/>
  <c r="AB453" i="37" a="1"/>
  <c r="AB453" i="37" s="1"/>
  <c r="AB460" i="37" a="1"/>
  <c r="AB460" i="37" s="1"/>
  <c r="AB290" i="37" a="1"/>
  <c r="AB290" i="37" s="1"/>
  <c r="AB611" i="37" a="1"/>
  <c r="AB611" i="37" s="1"/>
  <c r="AB492" i="37" a="1"/>
  <c r="AB492" i="37" s="1"/>
  <c r="AB495" i="37" a="1"/>
  <c r="AB495" i="37" s="1"/>
  <c r="AB294" i="37" a="1"/>
  <c r="AB294" i="37" s="1"/>
  <c r="AB496" i="37" a="1"/>
  <c r="AB496" i="37" s="1"/>
  <c r="AB497" i="37" a="1"/>
  <c r="AB497" i="37" s="1"/>
  <c r="AB502" i="37" a="1"/>
  <c r="AB502" i="37" s="1"/>
  <c r="AB446" i="37" a="1"/>
  <c r="AB446" i="37" s="1"/>
  <c r="AB503" i="37" a="1"/>
  <c r="AB503" i="37" s="1"/>
  <c r="AB449" i="37" a="1"/>
  <c r="AB449" i="37" s="1"/>
  <c r="AB631" i="37" a="1"/>
  <c r="AB631" i="37" s="1"/>
  <c r="AB504" i="37" a="1"/>
  <c r="AB504" i="37" s="1"/>
  <c r="AB630" i="37" a="1"/>
  <c r="AB630" i="37" s="1"/>
  <c r="AB629" i="37" a="1"/>
  <c r="AB629" i="37" s="1"/>
  <c r="AB623" i="37" a="1"/>
  <c r="AB623" i="37" s="1"/>
  <c r="AB501" i="37" a="1"/>
  <c r="AB501" i="37" s="1"/>
  <c r="AB505" i="37" a="1"/>
  <c r="AB505" i="37" s="1"/>
  <c r="AB508" i="37" a="1"/>
  <c r="AB508" i="37" s="1"/>
  <c r="AB509" i="37" a="1"/>
  <c r="AB509" i="37" s="1"/>
  <c r="AB513" i="37" a="1"/>
  <c r="AB513" i="37" s="1"/>
  <c r="AB632" i="37" a="1"/>
  <c r="AB632" i="37" s="1"/>
  <c r="AB514" i="37" a="1"/>
  <c r="AB514" i="37" s="1"/>
  <c r="AB515" i="37" a="1"/>
  <c r="AB515" i="37" s="1"/>
  <c r="AB519" i="37" a="1"/>
  <c r="AB519" i="37" s="1"/>
  <c r="AB518" i="37" a="1"/>
  <c r="AB518" i="37" s="1"/>
  <c r="AB520" i="37" a="1"/>
  <c r="AB520" i="37" s="1"/>
  <c r="AB114" i="37" a="1"/>
  <c r="AB114" i="37" s="1"/>
  <c r="AB205" i="37" a="1"/>
  <c r="AB205" i="37" s="1"/>
  <c r="AB349" i="37" a="1"/>
  <c r="AB349" i="37" s="1"/>
  <c r="AB350" i="37" a="1"/>
  <c r="AB350" i="37" s="1"/>
  <c r="AB608" i="37" a="1"/>
  <c r="AB608" i="37" s="1"/>
  <c r="AB609" i="37" a="1"/>
  <c r="AB609" i="37" s="1"/>
  <c r="AB352" i="37" a="1"/>
  <c r="AB352" i="37" s="1"/>
  <c r="AB355" i="37" a="1"/>
  <c r="AB355" i="37" s="1"/>
  <c r="AB353" i="37" a="1"/>
  <c r="AB353" i="37" s="1"/>
  <c r="AB468" i="37" a="1"/>
  <c r="AB468" i="37" s="1"/>
  <c r="AB354" i="37" a="1"/>
  <c r="AB354" i="37" s="1"/>
  <c r="AB295" i="37" a="1"/>
  <c r="AB295" i="37" s="1"/>
  <c r="AB447" i="37" a="1"/>
  <c r="AB447" i="37" s="1"/>
  <c r="AB450" i="37" a="1"/>
  <c r="AB450" i="37" s="1"/>
  <c r="AB454" i="37" a="1"/>
  <c r="AB454" i="37" s="1"/>
  <c r="AB359" i="37" a="1"/>
  <c r="AB359" i="37" s="1"/>
  <c r="AB456" i="37" a="1"/>
  <c r="AB456" i="37" s="1"/>
  <c r="AB457" i="37" a="1"/>
  <c r="AB457" i="37" s="1"/>
  <c r="AB360" i="37" a="1"/>
  <c r="AB360" i="37" s="1"/>
  <c r="AB462" i="37" a="1"/>
  <c r="AB462" i="37" s="1"/>
  <c r="AB461" i="37" a="1"/>
  <c r="AB461" i="37" s="1"/>
  <c r="AB633" i="37" a="1"/>
  <c r="AB633" i="37" s="1"/>
  <c r="AB464" i="37" a="1"/>
  <c r="AB464" i="37" s="1"/>
  <c r="AB624" i="37" a="1"/>
  <c r="AB624" i="37" s="1"/>
  <c r="AB465" i="37" a="1"/>
  <c r="AB465" i="37" s="1"/>
  <c r="AB516" i="37" a="1"/>
  <c r="AB516" i="37" s="1"/>
  <c r="AB634" i="37" a="1"/>
  <c r="AB634" i="37" s="1"/>
  <c r="AB635" i="37" a="1"/>
  <c r="AB635" i="37" s="1"/>
  <c r="AB638" i="37" a="1"/>
  <c r="AB638" i="37" s="1"/>
  <c r="AB637" i="37" a="1"/>
  <c r="AB637" i="37" s="1"/>
  <c r="AB636" i="37" a="1"/>
  <c r="AB636" i="37" s="1"/>
  <c r="AB529" i="37" a="1"/>
  <c r="AB529" i="37" s="1"/>
  <c r="AB530" i="37" a="1"/>
  <c r="AB530" i="37" s="1"/>
  <c r="AB531" i="37" a="1"/>
  <c r="AB531" i="37" s="1"/>
  <c r="AB532" i="37" a="1"/>
  <c r="AB532" i="37" s="1"/>
  <c r="AA2" i="37" a="1"/>
  <c r="AA2" i="37" s="1"/>
  <c r="AA3" i="37" a="1"/>
  <c r="AA3" i="37" s="1"/>
  <c r="AA10" i="37" a="1"/>
  <c r="AA10" i="37" s="1"/>
  <c r="AA534" i="37" a="1"/>
  <c r="AA534" i="37" s="1"/>
  <c r="AA533" i="37" a="1"/>
  <c r="AA533" i="37" s="1"/>
  <c r="AA6" i="37" a="1"/>
  <c r="AA6" i="37" s="1"/>
  <c r="AA5" i="37" a="1"/>
  <c r="AA5" i="37" s="1"/>
  <c r="AA11" i="37" a="1"/>
  <c r="AA11" i="37" s="1"/>
  <c r="AA4" i="37" a="1"/>
  <c r="AA4" i="37" s="1"/>
  <c r="AA23" i="37" a="1"/>
  <c r="AA23" i="37" s="1"/>
  <c r="AA7" i="37" a="1"/>
  <c r="AA7" i="37" s="1"/>
  <c r="AA13" i="37" a="1"/>
  <c r="AA13" i="37" s="1"/>
  <c r="AA24" i="37" a="1"/>
  <c r="AA24" i="37" s="1"/>
  <c r="AA36" i="37" a="1"/>
  <c r="AA36" i="37" s="1"/>
  <c r="AA25" i="37" a="1"/>
  <c r="AA25" i="37" s="1"/>
  <c r="AA37" i="37" a="1"/>
  <c r="AA37" i="37" s="1"/>
  <c r="AA20" i="37" a="1"/>
  <c r="AA20" i="37" s="1"/>
  <c r="AA14" i="37" a="1"/>
  <c r="AA14" i="37" s="1"/>
  <c r="AA15" i="37" a="1"/>
  <c r="AA15" i="37" s="1"/>
  <c r="AA19" i="37" a="1"/>
  <c r="AA19" i="37" s="1"/>
  <c r="AA22" i="37" a="1"/>
  <c r="AA22" i="37" s="1"/>
  <c r="AA26" i="37" a="1"/>
  <c r="AA26" i="37" s="1"/>
  <c r="AA537" i="37" a="1"/>
  <c r="AA537" i="37" s="1"/>
  <c r="AA27" i="37" a="1"/>
  <c r="AA27" i="37" s="1"/>
  <c r="AA21" i="37" a="1"/>
  <c r="AA21" i="37" s="1"/>
  <c r="AA38" i="37" a="1"/>
  <c r="AA38" i="37" s="1"/>
  <c r="AA538" i="37" a="1"/>
  <c r="AA538" i="37" s="1"/>
  <c r="AA28" i="37" a="1"/>
  <c r="AA28" i="37" s="1"/>
  <c r="AA16" i="37" a="1"/>
  <c r="AA16" i="37" s="1"/>
  <c r="AA39" i="37" a="1"/>
  <c r="AA39" i="37" s="1"/>
  <c r="AA40" i="37" a="1"/>
  <c r="AA40" i="37" s="1"/>
  <c r="AA29" i="37" a="1"/>
  <c r="AA29" i="37" s="1"/>
  <c r="AA41" i="37" a="1"/>
  <c r="AA41" i="37" s="1"/>
  <c r="AA33" i="37" a="1"/>
  <c r="AA33" i="37" s="1"/>
  <c r="AA42" i="37" a="1"/>
  <c r="AA42" i="37" s="1"/>
  <c r="AA539" i="37" a="1"/>
  <c r="AA539" i="37" s="1"/>
  <c r="AA85" i="37" a="1"/>
  <c r="AA85" i="37" s="1"/>
  <c r="AA43" i="37" a="1"/>
  <c r="AA43" i="37" s="1"/>
  <c r="AA44" i="37" a="1"/>
  <c r="AA44" i="37" s="1"/>
  <c r="AA535" i="37" a="1"/>
  <c r="AA535" i="37" s="1"/>
  <c r="AA45" i="37" a="1"/>
  <c r="AA45" i="37" s="1"/>
  <c r="AA17" i="37" a="1"/>
  <c r="AA17" i="37" s="1"/>
  <c r="AA70" i="37" a="1"/>
  <c r="AA70" i="37" s="1"/>
  <c r="AA30" i="37" a="1"/>
  <c r="AA30" i="37" s="1"/>
  <c r="AA18" i="37" a="1"/>
  <c r="AA18" i="37" s="1"/>
  <c r="AA62" i="37" a="1"/>
  <c r="AA62" i="37" s="1"/>
  <c r="AA57" i="37" a="1"/>
  <c r="AA57" i="37" s="1"/>
  <c r="AA46" i="37" a="1"/>
  <c r="AA46" i="37" s="1"/>
  <c r="AA61" i="37" a="1"/>
  <c r="AA61" i="37" s="1"/>
  <c r="AA71" i="37" a="1"/>
  <c r="AA71" i="37" s="1"/>
  <c r="AA31" i="37" a="1"/>
  <c r="AA31" i="37" s="1"/>
  <c r="AA541" i="37" a="1"/>
  <c r="AA541" i="37" s="1"/>
  <c r="AA56" i="37" a="1"/>
  <c r="AA56" i="37" s="1"/>
  <c r="AA536" i="37" a="1"/>
  <c r="AA536" i="37" s="1"/>
  <c r="AA47" i="37" a="1"/>
  <c r="AA47" i="37" s="1"/>
  <c r="AA86" i="37" a="1"/>
  <c r="AA86" i="37" s="1"/>
  <c r="AA72" i="37" a="1"/>
  <c r="AA72" i="37" s="1"/>
  <c r="AA48" i="37" a="1"/>
  <c r="AA48" i="37" s="1"/>
  <c r="AA547" i="37" a="1"/>
  <c r="AA547" i="37" s="1"/>
  <c r="AA115" i="37" a="1"/>
  <c r="AA115" i="37" s="1"/>
  <c r="AA562" i="37" a="1"/>
  <c r="AA562" i="37" s="1"/>
  <c r="AA58" i="37" a="1"/>
  <c r="AA58" i="37" s="1"/>
  <c r="AA63" i="37" a="1"/>
  <c r="AA63" i="37" s="1"/>
  <c r="AA34" i="37" a="1"/>
  <c r="AA34" i="37" s="1"/>
  <c r="AA540" i="37" a="1"/>
  <c r="AA540" i="37" s="1"/>
  <c r="AA116" i="37" a="1"/>
  <c r="AA116" i="37" s="1"/>
  <c r="AA12" i="37" a="1"/>
  <c r="AA12" i="37" s="1"/>
  <c r="AA32" i="37" a="1"/>
  <c r="AA32" i="37" s="1"/>
  <c r="AA73" i="37" a="1"/>
  <c r="AA73" i="37" s="1"/>
  <c r="AA74" i="37" a="1"/>
  <c r="AA74" i="37" s="1"/>
  <c r="AA542" i="37" a="1"/>
  <c r="AA542" i="37" s="1"/>
  <c r="AA75" i="37" a="1"/>
  <c r="AA75" i="37" s="1"/>
  <c r="AA543" i="37" a="1"/>
  <c r="AA543" i="37" s="1"/>
  <c r="AA117" i="37" a="1"/>
  <c r="AA117" i="37" s="1"/>
  <c r="AA546" i="37" a="1"/>
  <c r="AA546" i="37" s="1"/>
  <c r="AA99" i="37" a="1"/>
  <c r="AA99" i="37" s="1"/>
  <c r="AA67" i="37" a="1"/>
  <c r="AA67" i="37" s="1"/>
  <c r="AA100" i="37" a="1"/>
  <c r="AA100" i="37" s="1"/>
  <c r="AA68" i="37" a="1"/>
  <c r="AA68" i="37" s="1"/>
  <c r="AA64" i="37" a="1"/>
  <c r="AA64" i="37" s="1"/>
  <c r="AA101" i="37" a="1"/>
  <c r="AA101" i="37" s="1"/>
  <c r="AA65" i="37" a="1"/>
  <c r="AA65" i="37" s="1"/>
  <c r="AA92" i="37" a="1"/>
  <c r="AA92" i="37" s="1"/>
  <c r="AA49" i="37" a="1"/>
  <c r="AA49" i="37" s="1"/>
  <c r="AA185" i="37" a="1"/>
  <c r="AA185" i="37" s="1"/>
  <c r="AA163" i="37" a="1"/>
  <c r="AA163" i="37" s="1"/>
  <c r="AA76" i="37" a="1"/>
  <c r="AA76" i="37" s="1"/>
  <c r="AA87" i="37" a="1"/>
  <c r="AA87" i="37" s="1"/>
  <c r="AA82" i="37" a="1"/>
  <c r="AA82" i="37" s="1"/>
  <c r="AA88" i="37" a="1"/>
  <c r="AA88" i="37" s="1"/>
  <c r="AA554" i="37" a="1"/>
  <c r="AA554" i="37" s="1"/>
  <c r="AA93" i="37" a="1"/>
  <c r="AA93" i="37" s="1"/>
  <c r="AA118" i="37" a="1"/>
  <c r="AA118" i="37" s="1"/>
  <c r="AA83" i="37" a="1"/>
  <c r="AA83" i="37" s="1"/>
  <c r="AA164" i="37" a="1"/>
  <c r="AA164" i="37" s="1"/>
  <c r="AA119" i="37" a="1"/>
  <c r="AA119" i="37" s="1"/>
  <c r="AA549" i="37" a="1"/>
  <c r="AA549" i="37" s="1"/>
  <c r="AA50" i="37" a="1"/>
  <c r="AA50" i="37" s="1"/>
  <c r="AA120" i="37" a="1"/>
  <c r="AA120" i="37" s="1"/>
  <c r="AA121" i="37" a="1"/>
  <c r="AA121" i="37" s="1"/>
  <c r="AA84" i="37" a="1"/>
  <c r="AA84" i="37" s="1"/>
  <c r="AA165" i="37" a="1"/>
  <c r="AA165" i="37" s="1"/>
  <c r="AA206" i="37" a="1"/>
  <c r="AA206" i="37" s="1"/>
  <c r="AA89" i="37" a="1"/>
  <c r="AA89" i="37" s="1"/>
  <c r="AA574" i="37" a="1"/>
  <c r="AA574" i="37" s="1"/>
  <c r="AA166" i="37" a="1"/>
  <c r="AA166" i="37" s="1"/>
  <c r="AA167" i="37" a="1"/>
  <c r="AA167" i="37" s="1"/>
  <c r="AA77" i="37" a="1"/>
  <c r="AA77" i="37" s="1"/>
  <c r="AA123" i="37" a="1"/>
  <c r="AA123" i="37" s="1"/>
  <c r="AA122" i="37" a="1"/>
  <c r="AA122" i="37" s="1"/>
  <c r="AA575" i="37" a="1"/>
  <c r="AA575" i="37" s="1"/>
  <c r="AA96" i="37" a="1"/>
  <c r="AA96" i="37" s="1"/>
  <c r="AA186" i="37" a="1"/>
  <c r="AA186" i="37" s="1"/>
  <c r="AA176" i="37" a="1"/>
  <c r="AA176" i="37" s="1"/>
  <c r="AA151" i="37" a="1"/>
  <c r="AA151" i="37" s="1"/>
  <c r="AA97" i="37" a="1"/>
  <c r="AA97" i="37" s="1"/>
  <c r="AA274" i="37" a="1"/>
  <c r="AA274" i="37" s="1"/>
  <c r="AA545" i="37" a="1"/>
  <c r="AA545" i="37" s="1"/>
  <c r="AA187" i="37" a="1"/>
  <c r="AA187" i="37" s="1"/>
  <c r="AA207" i="37" a="1"/>
  <c r="AA207" i="37" s="1"/>
  <c r="AA9" i="37" a="1"/>
  <c r="AA9" i="37" s="1"/>
  <c r="AA570" i="37" a="1"/>
  <c r="AA570" i="37" s="1"/>
  <c r="AA296" i="37" a="1"/>
  <c r="AA296" i="37" s="1"/>
  <c r="AA102" i="37" a="1"/>
  <c r="AA102" i="37" s="1"/>
  <c r="AA66" i="37" a="1"/>
  <c r="AA66" i="37" s="1"/>
  <c r="AA177" i="37" a="1"/>
  <c r="AA177" i="37" s="1"/>
  <c r="AA297" i="37" a="1"/>
  <c r="AA297" i="37" s="1"/>
  <c r="AA576" i="37" a="1"/>
  <c r="AA576" i="37" s="1"/>
  <c r="AA156" i="37" a="1"/>
  <c r="AA156" i="37" s="1"/>
  <c r="AA188" i="37" a="1"/>
  <c r="AA188" i="37" s="1"/>
  <c r="AA189" i="37" a="1"/>
  <c r="AA189" i="37" s="1"/>
  <c r="AA103" i="37" a="1"/>
  <c r="AA103" i="37" s="1"/>
  <c r="AA190" i="37" a="1"/>
  <c r="AA190" i="37" s="1"/>
  <c r="AA152" i="37" a="1"/>
  <c r="AA152" i="37" s="1"/>
  <c r="AA208" i="37" a="1"/>
  <c r="AA208" i="37" s="1"/>
  <c r="AA209" i="37" a="1"/>
  <c r="AA209" i="37" s="1"/>
  <c r="AA210" i="37" a="1"/>
  <c r="AA210" i="37" s="1"/>
  <c r="AA596" i="37" a="1"/>
  <c r="AA596" i="37" s="1"/>
  <c r="AA168" i="37" a="1"/>
  <c r="AA168" i="37" s="1"/>
  <c r="AA568" i="37" a="1"/>
  <c r="AA568" i="37" s="1"/>
  <c r="AA124" i="37" a="1"/>
  <c r="AA124" i="37" s="1"/>
  <c r="AA571" i="37" a="1"/>
  <c r="AA571" i="37" s="1"/>
  <c r="AA175" i="37" a="1"/>
  <c r="AA175" i="37" s="1"/>
  <c r="AA211" i="37" a="1"/>
  <c r="AA211" i="37" s="1"/>
  <c r="AA104" i="37" a="1"/>
  <c r="AA104" i="37" s="1"/>
  <c r="AA125" i="37" a="1"/>
  <c r="AA125" i="37" s="1"/>
  <c r="AA105" i="37" a="1"/>
  <c r="AA105" i="37" s="1"/>
  <c r="AA126" i="37" a="1"/>
  <c r="AA126" i="37" s="1"/>
  <c r="AA548" i="37" a="1"/>
  <c r="AA548" i="37" s="1"/>
  <c r="AA191" i="37" a="1"/>
  <c r="AA191" i="37" s="1"/>
  <c r="AA563" i="37" a="1"/>
  <c r="AA563" i="37" s="1"/>
  <c r="AA213" i="37" a="1"/>
  <c r="AA213" i="37" s="1"/>
  <c r="AA298" i="37" a="1"/>
  <c r="AA298" i="37" s="1"/>
  <c r="AA106" i="37" a="1"/>
  <c r="AA106" i="37" s="1"/>
  <c r="AA212" i="37" a="1"/>
  <c r="AA212" i="37" s="1"/>
  <c r="AA564" i="37" a="1"/>
  <c r="AA564" i="37" s="1"/>
  <c r="AA577" i="37" a="1"/>
  <c r="AA577" i="37" s="1"/>
  <c r="AA107" i="37" a="1"/>
  <c r="AA107" i="37" s="1"/>
  <c r="AA157" i="37" a="1"/>
  <c r="AA157" i="37" s="1"/>
  <c r="AA214" i="37" a="1"/>
  <c r="AA214" i="37" s="1"/>
  <c r="AA158" i="37" a="1"/>
  <c r="AA158" i="37" s="1"/>
  <c r="AA578" i="37" a="1"/>
  <c r="AA578" i="37" s="1"/>
  <c r="AA215" i="37" a="1"/>
  <c r="AA215" i="37" s="1"/>
  <c r="AA155" i="37" a="1"/>
  <c r="AA155" i="37" s="1"/>
  <c r="AA216" i="37" a="1"/>
  <c r="AA216" i="37" s="1"/>
  <c r="AA217" i="37" a="1"/>
  <c r="AA217" i="37" s="1"/>
  <c r="AA127" i="37" a="1"/>
  <c r="AA127" i="37" s="1"/>
  <c r="AA90" i="37" a="1"/>
  <c r="AA90" i="37" s="1"/>
  <c r="AA153" i="37" a="1"/>
  <c r="AA153" i="37" s="1"/>
  <c r="AA128" i="37" a="1"/>
  <c r="AA128" i="37" s="1"/>
  <c r="AA299" i="37" a="1"/>
  <c r="AA299" i="37" s="1"/>
  <c r="AA192" i="37" a="1"/>
  <c r="AA192" i="37" s="1"/>
  <c r="AA129" i="37" a="1"/>
  <c r="AA129" i="37" s="1"/>
  <c r="AA565" i="37" a="1"/>
  <c r="AA565" i="37" s="1"/>
  <c r="AA130" i="37" a="1"/>
  <c r="AA130" i="37" s="1"/>
  <c r="AA218" i="37" a="1"/>
  <c r="AA218" i="37" s="1"/>
  <c r="AA131" i="37" a="1"/>
  <c r="AA131" i="37" s="1"/>
  <c r="AA154" i="37" a="1"/>
  <c r="AA154" i="37" s="1"/>
  <c r="AA555" i="37" a="1"/>
  <c r="AA555" i="37" s="1"/>
  <c r="AA579" i="37" a="1"/>
  <c r="AA579" i="37" s="1"/>
  <c r="AA132" i="37" a="1"/>
  <c r="AA132" i="37" s="1"/>
  <c r="AA580" i="37" a="1"/>
  <c r="AA580" i="37" s="1"/>
  <c r="AA219" i="37" a="1"/>
  <c r="AA219" i="37" s="1"/>
  <c r="AA133" i="37" a="1"/>
  <c r="AA133" i="37" s="1"/>
  <c r="AA134" i="37" a="1"/>
  <c r="AA134" i="37" s="1"/>
  <c r="AA599" i="37" a="1"/>
  <c r="AA599" i="37" s="1"/>
  <c r="AA220" i="37" a="1"/>
  <c r="AA220" i="37" s="1"/>
  <c r="AA221" i="37" a="1"/>
  <c r="AA221" i="37" s="1"/>
  <c r="AA59" i="37" a="1"/>
  <c r="AA59" i="37" s="1"/>
  <c r="AA222" i="37" a="1"/>
  <c r="AA222" i="37" s="1"/>
  <c r="AA223" i="37" a="1"/>
  <c r="AA223" i="37" s="1"/>
  <c r="AA275" i="37" a="1"/>
  <c r="AA275" i="37" s="1"/>
  <c r="AA51" i="37" a="1"/>
  <c r="AA51" i="37" s="1"/>
  <c r="AA224" i="37" a="1"/>
  <c r="AA224" i="37" s="1"/>
  <c r="AA78" i="37" a="1"/>
  <c r="AA78" i="37" s="1"/>
  <c r="AA225" i="37" a="1"/>
  <c r="AA225" i="37" s="1"/>
  <c r="AA35" i="37" a="1"/>
  <c r="AA35" i="37" s="1"/>
  <c r="AA226" i="37" a="1"/>
  <c r="AA226" i="37" s="1"/>
  <c r="AA169" i="37" a="1"/>
  <c r="AA169" i="37" s="1"/>
  <c r="AA170" i="37" a="1"/>
  <c r="AA170" i="37" s="1"/>
  <c r="AA557" i="37" a="1"/>
  <c r="AA557" i="37" s="1"/>
  <c r="AA361" i="37" a="1"/>
  <c r="AA361" i="37" s="1"/>
  <c r="AA558" i="37" a="1"/>
  <c r="AA558" i="37" s="1"/>
  <c r="AA227" i="37" a="1"/>
  <c r="AA227" i="37" s="1"/>
  <c r="AA556" i="37" a="1"/>
  <c r="AA556" i="37" s="1"/>
  <c r="AA228" i="37" a="1"/>
  <c r="AA228" i="37" s="1"/>
  <c r="AA171" i="37" a="1"/>
  <c r="AA171" i="37" s="1"/>
  <c r="AA178" i="37" a="1"/>
  <c r="AA178" i="37" s="1"/>
  <c r="AA595" i="37" a="1"/>
  <c r="AA595" i="37" s="1"/>
  <c r="AA193" i="37" a="1"/>
  <c r="AA193" i="37" s="1"/>
  <c r="AA69" i="37" a="1"/>
  <c r="AA69" i="37" s="1"/>
  <c r="AA179" i="37" a="1"/>
  <c r="AA179" i="37" s="1"/>
  <c r="AA135" i="37" a="1"/>
  <c r="AA135" i="37" s="1"/>
  <c r="AA108" i="37" a="1"/>
  <c r="AA108" i="37" s="1"/>
  <c r="AA300" i="37" a="1"/>
  <c r="AA300" i="37" s="1"/>
  <c r="AA98" i="37" a="1"/>
  <c r="AA98" i="37" s="1"/>
  <c r="AA159" i="37" a="1"/>
  <c r="AA159" i="37" s="1"/>
  <c r="AA597" i="37" a="1"/>
  <c r="AA597" i="37" s="1"/>
  <c r="AA560" i="37" a="1"/>
  <c r="AA560" i="37" s="1"/>
  <c r="AA79" i="37" a="1"/>
  <c r="AA79" i="37" s="1"/>
  <c r="AA279" i="37" a="1"/>
  <c r="AA279" i="37" s="1"/>
  <c r="AA569" i="37" a="1"/>
  <c r="AA569" i="37" s="1"/>
  <c r="AA229" i="37" a="1"/>
  <c r="AA229" i="37" s="1"/>
  <c r="AA230" i="37" a="1"/>
  <c r="AA230" i="37" s="1"/>
  <c r="AA301" i="37" a="1"/>
  <c r="AA301" i="37" s="1"/>
  <c r="AA437" i="37" a="1"/>
  <c r="AA437" i="37" s="1"/>
  <c r="AA160" i="37" a="1"/>
  <c r="AA160" i="37" s="1"/>
  <c r="AA280" i="37" a="1"/>
  <c r="AA280" i="37" s="1"/>
  <c r="AA302" i="37" a="1"/>
  <c r="AA302" i="37" s="1"/>
  <c r="AA231" i="37" a="1"/>
  <c r="AA231" i="37" s="1"/>
  <c r="AA303" i="37" a="1"/>
  <c r="AA303" i="37" s="1"/>
  <c r="AA304" i="37" a="1"/>
  <c r="AA304" i="37" s="1"/>
  <c r="AA305" i="37" a="1"/>
  <c r="AA305" i="37" s="1"/>
  <c r="AA194" i="37" a="1"/>
  <c r="AA194" i="37" s="1"/>
  <c r="AA265" i="37" a="1"/>
  <c r="AA265" i="37" s="1"/>
  <c r="AA306" i="37" a="1"/>
  <c r="AA306" i="37" s="1"/>
  <c r="AA232" i="37" a="1"/>
  <c r="AA232" i="37" s="1"/>
  <c r="AA195" i="37" a="1"/>
  <c r="AA195" i="37" s="1"/>
  <c r="AA598" i="37" a="1"/>
  <c r="AA598" i="37" s="1"/>
  <c r="AA281" i="37" a="1"/>
  <c r="AA281" i="37" s="1"/>
  <c r="AA600" i="37" a="1"/>
  <c r="AA600" i="37" s="1"/>
  <c r="AA80" i="37" a="1"/>
  <c r="AA80" i="37" s="1"/>
  <c r="AA270" i="37" a="1"/>
  <c r="AA270" i="37" s="1"/>
  <c r="AA180" i="37" a="1"/>
  <c r="AA180" i="37" s="1"/>
  <c r="AA307" i="37" a="1"/>
  <c r="AA307" i="37" s="1"/>
  <c r="AA267" i="37" a="1"/>
  <c r="AA267" i="37" s="1"/>
  <c r="AA196" i="37" a="1"/>
  <c r="AA196" i="37" s="1"/>
  <c r="AA269" i="37" a="1"/>
  <c r="AA269" i="37" s="1"/>
  <c r="AA198" i="37" a="1"/>
  <c r="AA198" i="37" s="1"/>
  <c r="AA282" i="37" a="1"/>
  <c r="AA282" i="37" s="1"/>
  <c r="AA308" i="37" a="1"/>
  <c r="AA308" i="37" s="1"/>
  <c r="AA471" i="37" a="1"/>
  <c r="AA471" i="37" s="1"/>
  <c r="AA283" i="37" a="1"/>
  <c r="AA283" i="37" s="1"/>
  <c r="AA161" i="37" a="1"/>
  <c r="AA161" i="37" s="1"/>
  <c r="AA581" i="37" a="1"/>
  <c r="AA581" i="37" s="1"/>
  <c r="AA234" i="37" a="1"/>
  <c r="AA234" i="37" s="1"/>
  <c r="AA233" i="37" a="1"/>
  <c r="AA233" i="37" s="1"/>
  <c r="AA235" i="37" a="1"/>
  <c r="AA235" i="37" s="1"/>
  <c r="AA268" i="37" a="1"/>
  <c r="AA268" i="37" s="1"/>
  <c r="AA199" i="37" a="1"/>
  <c r="AA199" i="37" s="1"/>
  <c r="AA236" i="37" a="1"/>
  <c r="AA236" i="37" s="1"/>
  <c r="AA582" i="37" a="1"/>
  <c r="AA582" i="37" s="1"/>
  <c r="AA237" i="37" a="1"/>
  <c r="AA237" i="37" s="1"/>
  <c r="AA238" i="37" a="1"/>
  <c r="AA238" i="37" s="1"/>
  <c r="AA583" i="37" a="1"/>
  <c r="AA583" i="37" s="1"/>
  <c r="AA172" i="37" a="1"/>
  <c r="AA172" i="37" s="1"/>
  <c r="AA239" i="37" a="1"/>
  <c r="AA239" i="37" s="1"/>
  <c r="AA363" i="37" a="1"/>
  <c r="AA363" i="37" s="1"/>
  <c r="AA364" i="37" a="1"/>
  <c r="AA364" i="37" s="1"/>
  <c r="AA362" i="37" a="1"/>
  <c r="AA362" i="37" s="1"/>
  <c r="AA594" i="37" a="1"/>
  <c r="AA594" i="37" s="1"/>
  <c r="AA612" i="37" a="1"/>
  <c r="AA612" i="37" s="1"/>
  <c r="AA266" i="37" a="1"/>
  <c r="AA266" i="37" s="1"/>
  <c r="AA309" i="37" a="1"/>
  <c r="AA309" i="37" s="1"/>
  <c r="AA365" i="37" a="1"/>
  <c r="AA365" i="37" s="1"/>
  <c r="AA240" i="37" a="1"/>
  <c r="AA240" i="37" s="1"/>
  <c r="AA91" i="37" a="1"/>
  <c r="AA91" i="37" s="1"/>
  <c r="AA613" i="37" a="1"/>
  <c r="AA613" i="37" s="1"/>
  <c r="AA551" i="37" a="1"/>
  <c r="AA551" i="37" s="1"/>
  <c r="AA271" i="37" a="1"/>
  <c r="AA271" i="37" s="1"/>
  <c r="AA584" i="37" a="1"/>
  <c r="AA584" i="37" s="1"/>
  <c r="AA52" i="37" a="1"/>
  <c r="AA52" i="37" s="1"/>
  <c r="AA366" i="37" a="1"/>
  <c r="AA366" i="37" s="1"/>
  <c r="AA241" i="37" a="1"/>
  <c r="AA241" i="37" s="1"/>
  <c r="AA614" i="37" a="1"/>
  <c r="AA614" i="37" s="1"/>
  <c r="AA367" i="37" a="1"/>
  <c r="AA367" i="37" s="1"/>
  <c r="AA544" i="37" a="1"/>
  <c r="AA544" i="37" s="1"/>
  <c r="AA136" i="37" a="1"/>
  <c r="AA136" i="37" s="1"/>
  <c r="AA585" i="37" a="1"/>
  <c r="AA585" i="37" s="1"/>
  <c r="AA371" i="37" a="1"/>
  <c r="AA371" i="37" s="1"/>
  <c r="AA369" i="37" a="1"/>
  <c r="AA369" i="37" s="1"/>
  <c r="AA615" i="37" a="1"/>
  <c r="AA615" i="37" s="1"/>
  <c r="AA368" i="37" a="1"/>
  <c r="AA368" i="37" s="1"/>
  <c r="AA370" i="37" a="1"/>
  <c r="AA370" i="37" s="1"/>
  <c r="AA242" i="37" a="1"/>
  <c r="AA242" i="37" s="1"/>
  <c r="AA244" i="37" a="1"/>
  <c r="AA244" i="37" s="1"/>
  <c r="AA372" i="37" a="1"/>
  <c r="AA372" i="37" s="1"/>
  <c r="AA566" i="37" a="1"/>
  <c r="AA566" i="37" s="1"/>
  <c r="AA243" i="37" a="1"/>
  <c r="AA243" i="37" s="1"/>
  <c r="AA407" i="37" a="1"/>
  <c r="AA407" i="37" s="1"/>
  <c r="AA8" i="37" a="1"/>
  <c r="AA8" i="37" s="1"/>
  <c r="AA310" i="37" a="1"/>
  <c r="AA310" i="37" s="1"/>
  <c r="AA385" i="37" a="1"/>
  <c r="AA385" i="37" s="1"/>
  <c r="AA94" i="37" a="1"/>
  <c r="AA94" i="37" s="1"/>
  <c r="AA55" i="37" a="1"/>
  <c r="AA55" i="37" s="1"/>
  <c r="AA258" i="37" a="1"/>
  <c r="AA258" i="37" s="1"/>
  <c r="AA137" i="37" a="1"/>
  <c r="AA137" i="37" s="1"/>
  <c r="AA54" i="37" a="1"/>
  <c r="AA54" i="37" s="1"/>
  <c r="AA418" i="37" a="1"/>
  <c r="AA418" i="37" s="1"/>
  <c r="AA174" i="37" a="1"/>
  <c r="AA174" i="37" s="1"/>
  <c r="AA311" i="37" a="1"/>
  <c r="AA311" i="37" s="1"/>
  <c r="AA416" i="37" a="1"/>
  <c r="AA416" i="37" s="1"/>
  <c r="AA312" i="37" a="1"/>
  <c r="AA312" i="37" s="1"/>
  <c r="AA145" i="37" a="1"/>
  <c r="AA145" i="37" s="1"/>
  <c r="AA278" i="37" a="1"/>
  <c r="AA278" i="37" s="1"/>
  <c r="AA181" i="37" a="1"/>
  <c r="AA181" i="37" s="1"/>
  <c r="AA375" i="37" a="1"/>
  <c r="AA375" i="37" s="1"/>
  <c r="AA146" i="37" a="1"/>
  <c r="AA146" i="37" s="1"/>
  <c r="AA388" i="37" a="1"/>
  <c r="AA388" i="37" s="1"/>
  <c r="AA419" i="37" a="1"/>
  <c r="AA419" i="37" s="1"/>
  <c r="AA60" i="37" a="1"/>
  <c r="AA60" i="37" s="1"/>
  <c r="AA81" i="37" a="1"/>
  <c r="AA81" i="37" s="1"/>
  <c r="AA149" i="37" a="1"/>
  <c r="AA149" i="37" s="1"/>
  <c r="AA246" i="37" a="1"/>
  <c r="AA246" i="37" s="1"/>
  <c r="AA590" i="37" a="1"/>
  <c r="AA590" i="37" s="1"/>
  <c r="AA254" i="37" a="1"/>
  <c r="AA254" i="37" s="1"/>
  <c r="AA373" i="37" a="1"/>
  <c r="AA373" i="37" s="1"/>
  <c r="AA376" i="37" a="1"/>
  <c r="AA376" i="37" s="1"/>
  <c r="AA378" i="37" a="1"/>
  <c r="AA378" i="37" s="1"/>
  <c r="AA410" i="37" a="1"/>
  <c r="AA410" i="37" s="1"/>
  <c r="AA409" i="37" a="1"/>
  <c r="AA409" i="37" s="1"/>
  <c r="AA420" i="37" a="1"/>
  <c r="AA420" i="37" s="1"/>
  <c r="AA248" i="37" a="1"/>
  <c r="AA248" i="37" s="1"/>
  <c r="AA247" i="37" a="1"/>
  <c r="AA247" i="37" s="1"/>
  <c r="AA259" i="37" a="1"/>
  <c r="AA259" i="37" s="1"/>
  <c r="AA402" i="37" a="1"/>
  <c r="AA402" i="37" s="1"/>
  <c r="AA415" i="37" a="1"/>
  <c r="AA415" i="37" s="1"/>
  <c r="AA417" i="37" a="1"/>
  <c r="AA417" i="37" s="1"/>
  <c r="AA53" i="37" a="1"/>
  <c r="AA53" i="37" s="1"/>
  <c r="AA140" i="37" a="1"/>
  <c r="AA140" i="37" s="1"/>
  <c r="AA142" i="37" a="1"/>
  <c r="AA142" i="37" s="1"/>
  <c r="AA109" i="37" a="1"/>
  <c r="AA109" i="37" s="1"/>
  <c r="AA313" i="37" a="1"/>
  <c r="AA313" i="37" s="1"/>
  <c r="AA314" i="37" a="1"/>
  <c r="AA314" i="37" s="1"/>
  <c r="AA601" i="37" a="1"/>
  <c r="AA601" i="37" s="1"/>
  <c r="AA315" i="37" a="1"/>
  <c r="AA315" i="37" s="1"/>
  <c r="AA618" i="37" a="1"/>
  <c r="AA618" i="37" s="1"/>
  <c r="AA143" i="37" a="1"/>
  <c r="AA143" i="37" s="1"/>
  <c r="AA622" i="37" a="1"/>
  <c r="AA622" i="37" s="1"/>
  <c r="AA316" i="37" a="1"/>
  <c r="AA316" i="37" s="1"/>
  <c r="AA552" i="37" a="1"/>
  <c r="AA552" i="37" s="1"/>
  <c r="AA317" i="37" a="1"/>
  <c r="AA317" i="37" s="1"/>
  <c r="AA182" i="37" a="1"/>
  <c r="AA182" i="37" s="1"/>
  <c r="AA200" i="37" a="1"/>
  <c r="AA200" i="37" s="1"/>
  <c r="AA284" i="37" a="1"/>
  <c r="AA284" i="37" s="1"/>
  <c r="AA427" i="37" a="1"/>
  <c r="AA427" i="37" s="1"/>
  <c r="AA147" i="37" a="1"/>
  <c r="AA147" i="37" s="1"/>
  <c r="AA173" i="37" a="1"/>
  <c r="AA173" i="37" s="1"/>
  <c r="AA318" i="37" a="1"/>
  <c r="AA318" i="37" s="1"/>
  <c r="AA435" i="37" a="1"/>
  <c r="AA435" i="37" s="1"/>
  <c r="AA285" i="37" a="1"/>
  <c r="AA285" i="37" s="1"/>
  <c r="AA602" i="37" a="1"/>
  <c r="AA602" i="37" s="1"/>
  <c r="AA319" i="37" a="1"/>
  <c r="AA319" i="37" s="1"/>
  <c r="AA148" i="37" a="1"/>
  <c r="AA148" i="37" s="1"/>
  <c r="AA320" i="37" a="1"/>
  <c r="AA320" i="37" s="1"/>
  <c r="AA321" i="37" a="1"/>
  <c r="AA321" i="37" s="1"/>
  <c r="AA150" i="37" a="1"/>
  <c r="AA150" i="37" s="1"/>
  <c r="AA322" i="37" a="1"/>
  <c r="AA322" i="37" s="1"/>
  <c r="AA323" i="37" a="1"/>
  <c r="AA323" i="37" s="1"/>
  <c r="AA621" i="37" a="1"/>
  <c r="AA621" i="37" s="1"/>
  <c r="AA424" i="37" a="1"/>
  <c r="AA424" i="37" s="1"/>
  <c r="AA201" i="37" a="1"/>
  <c r="AA201" i="37" s="1"/>
  <c r="AA440" i="37" a="1"/>
  <c r="AA440" i="37" s="1"/>
  <c r="AA110" i="37" a="1"/>
  <c r="AA110" i="37" s="1"/>
  <c r="AA286" i="37" a="1"/>
  <c r="AA286" i="37" s="1"/>
  <c r="AA325" i="37" a="1"/>
  <c r="AA325" i="37" s="1"/>
  <c r="AA423" i="37" a="1"/>
  <c r="AA423" i="37" s="1"/>
  <c r="AA431" i="37" a="1"/>
  <c r="AA431" i="37" s="1"/>
  <c r="AA421" i="37" a="1"/>
  <c r="AA421" i="37" s="1"/>
  <c r="AA245" i="37" a="1"/>
  <c r="AA245" i="37" s="1"/>
  <c r="AA434" i="37" a="1"/>
  <c r="AA434" i="37" s="1"/>
  <c r="AA324" i="37" a="1"/>
  <c r="AA324" i="37" s="1"/>
  <c r="AA572" i="37" a="1"/>
  <c r="AA572" i="37" s="1"/>
  <c r="AA202" i="37" a="1"/>
  <c r="AA202" i="37" s="1"/>
  <c r="AA588" i="37" a="1"/>
  <c r="AA588" i="37" s="1"/>
  <c r="AA603" i="37" a="1"/>
  <c r="AA603" i="37" s="1"/>
  <c r="AA619" i="37" a="1"/>
  <c r="AA619" i="37" s="1"/>
  <c r="AA250" i="37" a="1"/>
  <c r="AA250" i="37" s="1"/>
  <c r="AA441" i="37" a="1"/>
  <c r="AA441" i="37" s="1"/>
  <c r="AA438" i="37" a="1"/>
  <c r="AA438" i="37" s="1"/>
  <c r="AA327" i="37" a="1"/>
  <c r="AA327" i="37" s="1"/>
  <c r="AA426" i="37" a="1"/>
  <c r="AA426" i="37" s="1"/>
  <c r="AA287" i="37" a="1"/>
  <c r="AA287" i="37" s="1"/>
  <c r="AA95" i="37" a="1"/>
  <c r="AA95" i="37" s="1"/>
  <c r="AA326" i="37" a="1"/>
  <c r="AA326" i="37" s="1"/>
  <c r="AA249" i="37" a="1"/>
  <c r="AA249" i="37" s="1"/>
  <c r="AA425" i="37" a="1"/>
  <c r="AA425" i="37" s="1"/>
  <c r="AA604" i="37" a="1"/>
  <c r="AA604" i="37" s="1"/>
  <c r="AA162" i="37" a="1"/>
  <c r="AA162" i="37" s="1"/>
  <c r="AA276" i="37" a="1"/>
  <c r="AA276" i="37" s="1"/>
  <c r="AA328" i="37" a="1"/>
  <c r="AA328" i="37" s="1"/>
  <c r="AA472" i="37" a="1"/>
  <c r="AA472" i="37" s="1"/>
  <c r="AA272" i="37" a="1"/>
  <c r="AA272" i="37" s="1"/>
  <c r="AA255" i="37" a="1"/>
  <c r="AA255" i="37" s="1"/>
  <c r="AA277" i="37" a="1"/>
  <c r="AA277" i="37" s="1"/>
  <c r="AA442" i="37" a="1"/>
  <c r="AA442" i="37" s="1"/>
  <c r="AA591" i="37" a="1"/>
  <c r="AA591" i="37" s="1"/>
  <c r="AA592" i="37" a="1"/>
  <c r="AA592" i="37" s="1"/>
  <c r="AA329" i="37" a="1"/>
  <c r="AA329" i="37" s="1"/>
  <c r="AA473" i="37" a="1"/>
  <c r="AA473" i="37" s="1"/>
  <c r="AA474" i="37" a="1"/>
  <c r="AA474" i="37" s="1"/>
  <c r="AA428" i="37" a="1"/>
  <c r="AA428" i="37" s="1"/>
  <c r="AA330" i="37" a="1"/>
  <c r="AA330" i="37" s="1"/>
  <c r="AA257" i="37" a="1"/>
  <c r="AA257" i="37" s="1"/>
  <c r="AA429" i="37" a="1"/>
  <c r="AA429" i="37" s="1"/>
  <c r="AA263" i="37" a="1"/>
  <c r="AA263" i="37" s="1"/>
  <c r="AA444" i="37" a="1"/>
  <c r="AA444" i="37" s="1"/>
  <c r="AA430" i="37" a="1"/>
  <c r="AA430" i="37" s="1"/>
  <c r="AA432" i="37" a="1"/>
  <c r="AA432" i="37" s="1"/>
  <c r="AA260" i="37" a="1"/>
  <c r="AA260" i="37" s="1"/>
  <c r="AA261" i="37" a="1"/>
  <c r="AA261" i="37" s="1"/>
  <c r="AA262" i="37" a="1"/>
  <c r="AA262" i="37" s="1"/>
  <c r="AA331" i="37" a="1"/>
  <c r="AA331" i="37" s="1"/>
  <c r="AA374" i="37" a="1"/>
  <c r="AA374" i="37" s="1"/>
  <c r="AA332" i="37" a="1"/>
  <c r="AA332" i="37" s="1"/>
  <c r="AA377" i="37" a="1"/>
  <c r="AA377" i="37" s="1"/>
  <c r="AA203" i="37" a="1"/>
  <c r="AA203" i="37" s="1"/>
  <c r="AA111" i="37" a="1"/>
  <c r="AA111" i="37" s="1"/>
  <c r="AA379" i="37" a="1"/>
  <c r="AA379" i="37" s="1"/>
  <c r="AA333" i="37" a="1"/>
  <c r="AA333" i="37" s="1"/>
  <c r="AA334" i="37" a="1"/>
  <c r="AA334" i="37" s="1"/>
  <c r="AA443" i="37" a="1"/>
  <c r="AA443" i="37" s="1"/>
  <c r="AA459" i="37" a="1"/>
  <c r="AA459" i="37" s="1"/>
  <c r="AA289" i="37" a="1"/>
  <c r="AA289" i="37" s="1"/>
  <c r="AA475" i="37" a="1"/>
  <c r="AA475" i="37" s="1"/>
  <c r="AA335" i="37" a="1"/>
  <c r="AA335" i="37" s="1"/>
  <c r="AA112" i="37" a="1"/>
  <c r="AA112" i="37" s="1"/>
  <c r="AA422" i="37" a="1"/>
  <c r="AA422" i="37" s="1"/>
  <c r="AA381" i="37" a="1"/>
  <c r="AA381" i="37" s="1"/>
  <c r="AA605" i="37" a="1"/>
  <c r="AA605" i="37" s="1"/>
  <c r="AA616" i="37" a="1"/>
  <c r="AA616" i="37" s="1"/>
  <c r="AA383" i="37" a="1"/>
  <c r="AA383" i="37" s="1"/>
  <c r="AA183" i="37" a="1"/>
  <c r="AA183" i="37" s="1"/>
  <c r="AA433" i="37" a="1"/>
  <c r="AA433" i="37" s="1"/>
  <c r="AA336" i="37" a="1"/>
  <c r="AA336" i="37" s="1"/>
  <c r="AA337" i="37" a="1"/>
  <c r="AA337" i="37" s="1"/>
  <c r="AA386" i="37" a="1"/>
  <c r="AA386" i="37" s="1"/>
  <c r="AA338" i="37" a="1"/>
  <c r="AA338" i="37" s="1"/>
  <c r="AA617" i="37" a="1"/>
  <c r="AA617" i="37" s="1"/>
  <c r="AA389" i="37" a="1"/>
  <c r="AA389" i="37" s="1"/>
  <c r="AA606" i="37" a="1"/>
  <c r="AA606" i="37" s="1"/>
  <c r="AA204" i="37" a="1"/>
  <c r="AA204" i="37" s="1"/>
  <c r="AA291" i="37" a="1"/>
  <c r="AA291" i="37" s="1"/>
  <c r="AA390" i="37" a="1"/>
  <c r="AA390" i="37" s="1"/>
  <c r="AA394" i="37" a="1"/>
  <c r="AA394" i="37" s="1"/>
  <c r="AA398" i="37" a="1"/>
  <c r="AA398" i="37" s="1"/>
  <c r="AA400" i="37" a="1"/>
  <c r="AA400" i="37" s="1"/>
  <c r="AA476" i="37" a="1"/>
  <c r="AA476" i="37" s="1"/>
  <c r="AA399" i="37" a="1"/>
  <c r="AA399" i="37" s="1"/>
  <c r="AA403" i="37" a="1"/>
  <c r="AA403" i="37" s="1"/>
  <c r="AA477" i="37" a="1"/>
  <c r="AA477" i="37" s="1"/>
  <c r="AA408" i="37" a="1"/>
  <c r="AA408" i="37" s="1"/>
  <c r="AA439" i="37" a="1"/>
  <c r="AA439" i="37" s="1"/>
  <c r="AA573" i="37" a="1"/>
  <c r="AA573" i="37" s="1"/>
  <c r="AA413" i="37" a="1"/>
  <c r="AA413" i="37" s="1"/>
  <c r="AA607" i="37" a="1"/>
  <c r="AA607" i="37" s="1"/>
  <c r="AA412" i="37" a="1"/>
  <c r="AA412" i="37" s="1"/>
  <c r="AA113" i="37" a="1"/>
  <c r="AA113" i="37" s="1"/>
  <c r="AA414" i="37" a="1"/>
  <c r="AA414" i="37" s="1"/>
  <c r="AA411" i="37" a="1"/>
  <c r="AA411" i="37" s="1"/>
  <c r="AA138" i="37" a="1"/>
  <c r="AA138" i="37" s="1"/>
  <c r="AA139" i="37" a="1"/>
  <c r="AA139" i="37" s="1"/>
  <c r="AA339" i="37" a="1"/>
  <c r="AA339" i="37" s="1"/>
  <c r="AA478" i="37" a="1"/>
  <c r="AA478" i="37" s="1"/>
  <c r="AA141" i="37" a="1"/>
  <c r="AA141" i="37" s="1"/>
  <c r="AA479" i="37" a="1"/>
  <c r="AA479" i="37" s="1"/>
  <c r="AA340" i="37" a="1"/>
  <c r="AA340" i="37" s="1"/>
  <c r="AA144" i="37" a="1"/>
  <c r="AA144" i="37" s="1"/>
  <c r="AA567" i="37" a="1"/>
  <c r="AA567" i="37" s="1"/>
  <c r="AA586" i="37" a="1"/>
  <c r="AA586" i="37" s="1"/>
  <c r="AA587" i="37" a="1"/>
  <c r="AA587" i="37" s="1"/>
  <c r="AA589" i="37" a="1"/>
  <c r="AA589" i="37" s="1"/>
  <c r="AA625" i="37" a="1"/>
  <c r="AA625" i="37" s="1"/>
  <c r="AA480" i="37" a="1"/>
  <c r="AA480" i="37" s="1"/>
  <c r="AA342" i="37" a="1"/>
  <c r="AA342" i="37" s="1"/>
  <c r="AA253" i="37" a="1"/>
  <c r="AA253" i="37" s="1"/>
  <c r="AA341" i="37" a="1"/>
  <c r="AA341" i="37" s="1"/>
  <c r="AA252" i="37" a="1"/>
  <c r="AA252" i="37" s="1"/>
  <c r="AA482" i="37" a="1"/>
  <c r="AA482" i="37" s="1"/>
  <c r="AA481" i="37" a="1"/>
  <c r="AA481" i="37" s="1"/>
  <c r="AA343" i="37" a="1"/>
  <c r="AA343" i="37" s="1"/>
  <c r="AA251" i="37" a="1"/>
  <c r="AA251" i="37" s="1"/>
  <c r="AA256" i="37" a="1"/>
  <c r="AA256" i="37" s="1"/>
  <c r="AA264" i="37" a="1"/>
  <c r="AA264" i="37" s="1"/>
  <c r="AA593" i="37" a="1"/>
  <c r="AA593" i="37" s="1"/>
  <c r="AA345" i="37" a="1"/>
  <c r="AA345" i="37" s="1"/>
  <c r="AA484" i="37" a="1"/>
  <c r="AA484" i="37" s="1"/>
  <c r="AA483" i="37" a="1"/>
  <c r="AA483" i="37" s="1"/>
  <c r="AA344" i="37" a="1"/>
  <c r="AA344" i="37" s="1"/>
  <c r="AA458" i="37" a="1"/>
  <c r="AA458" i="37" s="1"/>
  <c r="AA486" i="37" a="1"/>
  <c r="AA486" i="37" s="1"/>
  <c r="AA485" i="37" a="1"/>
  <c r="AA485" i="37" s="1"/>
  <c r="AA626" i="37" a="1"/>
  <c r="AA626" i="37" s="1"/>
  <c r="AA346" i="37" a="1"/>
  <c r="AA346" i="37" s="1"/>
  <c r="AA628" i="37" a="1"/>
  <c r="AA628" i="37" s="1"/>
  <c r="AA380" i="37" a="1"/>
  <c r="AA380" i="37" s="1"/>
  <c r="AA382" i="37" a="1"/>
  <c r="AA382" i="37" s="1"/>
  <c r="AA627" i="37" a="1"/>
  <c r="AA627" i="37" s="1"/>
  <c r="AA384" i="37" a="1"/>
  <c r="AA384" i="37" s="1"/>
  <c r="AA387" i="37" a="1"/>
  <c r="AA387" i="37" s="1"/>
  <c r="AA391" i="37" a="1"/>
  <c r="AA391" i="37" s="1"/>
  <c r="AA392" i="37" a="1"/>
  <c r="AA392" i="37" s="1"/>
  <c r="AA393" i="37" a="1"/>
  <c r="AA393" i="37" s="1"/>
  <c r="AA397" i="37" a="1"/>
  <c r="AA397" i="37" s="1"/>
  <c r="AA396" i="37" a="1"/>
  <c r="AA396" i="37" s="1"/>
  <c r="AA401" i="37" a="1"/>
  <c r="AA401" i="37" s="1"/>
  <c r="AA405" i="37" a="1"/>
  <c r="AA405" i="37" s="1"/>
  <c r="AA404" i="37" a="1"/>
  <c r="AA404" i="37" s="1"/>
  <c r="AA406" i="37" a="1"/>
  <c r="AA406" i="37" s="1"/>
  <c r="AA487" i="37" a="1"/>
  <c r="AA487" i="37" s="1"/>
  <c r="AA506" i="37" a="1"/>
  <c r="AA506" i="37" s="1"/>
  <c r="AA620" i="37" a="1"/>
  <c r="AA620" i="37" s="1"/>
  <c r="AA466" i="37" a="1"/>
  <c r="AA466" i="37" s="1"/>
  <c r="AA550" i="37" a="1"/>
  <c r="AA550" i="37" s="1"/>
  <c r="AA498" i="37" a="1"/>
  <c r="AA498" i="37" s="1"/>
  <c r="AA521" i="37" a="1"/>
  <c r="AA521" i="37" s="1"/>
  <c r="AA445" i="37" a="1"/>
  <c r="AA445" i="37" s="1"/>
  <c r="AA184" i="37" a="1"/>
  <c r="AA184" i="37" s="1"/>
  <c r="AA348" i="37" a="1"/>
  <c r="AA348" i="37" s="1"/>
  <c r="AA357" i="37" a="1"/>
  <c r="AA357" i="37" s="1"/>
  <c r="AA640" i="37" a="1"/>
  <c r="AA640" i="37" s="1"/>
  <c r="AA469" i="37" a="1"/>
  <c r="AA469" i="37" s="1"/>
  <c r="AA510" i="37" a="1"/>
  <c r="AA510" i="37" s="1"/>
  <c r="AA511" i="37" a="1"/>
  <c r="AA511" i="37" s="1"/>
  <c r="AA528" i="37" a="1"/>
  <c r="AA528" i="37" s="1"/>
  <c r="AA347" i="37" a="1"/>
  <c r="AA347" i="37" s="1"/>
  <c r="AA436" i="37" a="1"/>
  <c r="AA436" i="37" s="1"/>
  <c r="AA517" i="37" a="1"/>
  <c r="AA517" i="37" s="1"/>
  <c r="AA493" i="37" a="1"/>
  <c r="AA493" i="37" s="1"/>
  <c r="AA467" i="37" a="1"/>
  <c r="AA467" i="37" s="1"/>
  <c r="AA293" i="37" a="1"/>
  <c r="AA293" i="37" s="1"/>
  <c r="AA452" i="37" a="1"/>
  <c r="AA452" i="37" s="1"/>
  <c r="AA358" i="37" a="1"/>
  <c r="AA358" i="37" s="1"/>
  <c r="AA455" i="37" a="1"/>
  <c r="AA455" i="37" s="1"/>
  <c r="AA522" i="37" a="1"/>
  <c r="AA522" i="37" s="1"/>
  <c r="AA351" i="37" a="1"/>
  <c r="AA351" i="37" s="1"/>
  <c r="AA610" i="37" a="1"/>
  <c r="AA610" i="37" s="1"/>
  <c r="AA463" i="37" a="1"/>
  <c r="AA463" i="37" s="1"/>
  <c r="AA490" i="37" a="1"/>
  <c r="AA490" i="37" s="1"/>
  <c r="AA500" i="37" a="1"/>
  <c r="AA500" i="37" s="1"/>
  <c r="AA499" i="37" a="1"/>
  <c r="AA499" i="37" s="1"/>
  <c r="AA523" i="37" a="1"/>
  <c r="AA523" i="37" s="1"/>
  <c r="AA470" i="37" a="1"/>
  <c r="AA470" i="37" s="1"/>
  <c r="AA273" i="37" a="1"/>
  <c r="AA273" i="37" s="1"/>
  <c r="AA489" i="37" a="1"/>
  <c r="AA489" i="37" s="1"/>
  <c r="AA488" i="37" a="1"/>
  <c r="AA488" i="37" s="1"/>
  <c r="AA288" i="37" a="1"/>
  <c r="AA288" i="37" s="1"/>
  <c r="AA292" i="37" a="1"/>
  <c r="AA292" i="37" s="1"/>
  <c r="AA491" i="37" a="1"/>
  <c r="AA491" i="37" s="1"/>
  <c r="AA448" i="37" a="1"/>
  <c r="AA448" i="37" s="1"/>
  <c r="AA494" i="37" a="1"/>
  <c r="AA494" i="37" s="1"/>
  <c r="AA451" i="37" a="1"/>
  <c r="AA451" i="37" s="1"/>
  <c r="AA512" i="37" a="1"/>
  <c r="AA512" i="37" s="1"/>
  <c r="AA525" i="37" a="1"/>
  <c r="AA525" i="37" s="1"/>
  <c r="AA527" i="37" a="1"/>
  <c r="AA527" i="37" s="1"/>
  <c r="AA524" i="37" a="1"/>
  <c r="AA524" i="37" s="1"/>
  <c r="AA639" i="37" a="1"/>
  <c r="AA639" i="37" s="1"/>
  <c r="AA356" i="37" a="1"/>
  <c r="AA356" i="37" s="1"/>
  <c r="AA453" i="37" a="1"/>
  <c r="AA453" i="37" s="1"/>
  <c r="AA460" i="37" a="1"/>
  <c r="AA460" i="37" s="1"/>
  <c r="AA290" i="37" a="1"/>
  <c r="AA290" i="37" s="1"/>
  <c r="AA611" i="37" a="1"/>
  <c r="AA611" i="37" s="1"/>
  <c r="AA492" i="37" a="1"/>
  <c r="AA492" i="37" s="1"/>
  <c r="AA495" i="37" a="1"/>
  <c r="AA495" i="37" s="1"/>
  <c r="AA294" i="37" a="1"/>
  <c r="AA294" i="37" s="1"/>
  <c r="AA496" i="37" a="1"/>
  <c r="AA496" i="37" s="1"/>
  <c r="AA497" i="37" a="1"/>
  <c r="AA497" i="37" s="1"/>
  <c r="AA502" i="37" a="1"/>
  <c r="AA502" i="37" s="1"/>
  <c r="AA446" i="37" a="1"/>
  <c r="AA446" i="37" s="1"/>
  <c r="AA503" i="37" a="1"/>
  <c r="AA503" i="37" s="1"/>
  <c r="AA449" i="37" a="1"/>
  <c r="AA449" i="37" s="1"/>
  <c r="AA631" i="37" a="1"/>
  <c r="AA631" i="37" s="1"/>
  <c r="AA504" i="37" a="1"/>
  <c r="AA504" i="37" s="1"/>
  <c r="AA630" i="37" a="1"/>
  <c r="AA630" i="37" s="1"/>
  <c r="AA629" i="37" a="1"/>
  <c r="AA629" i="37" s="1"/>
  <c r="AA623" i="37" a="1"/>
  <c r="AA623" i="37" s="1"/>
  <c r="AA501" i="37" a="1"/>
  <c r="AA501" i="37" s="1"/>
  <c r="AA505" i="37" a="1"/>
  <c r="AA505" i="37" s="1"/>
  <c r="AA508" i="37" a="1"/>
  <c r="AA508" i="37" s="1"/>
  <c r="AA509" i="37" a="1"/>
  <c r="AA509" i="37" s="1"/>
  <c r="AA513" i="37" a="1"/>
  <c r="AA513" i="37" s="1"/>
  <c r="AA632" i="37" a="1"/>
  <c r="AA632" i="37" s="1"/>
  <c r="AA514" i="37" a="1"/>
  <c r="AA514" i="37" s="1"/>
  <c r="AA515" i="37" a="1"/>
  <c r="AA515" i="37" s="1"/>
  <c r="AA519" i="37" a="1"/>
  <c r="AA519" i="37" s="1"/>
  <c r="AA518" i="37" a="1"/>
  <c r="AA518" i="37" s="1"/>
  <c r="AA520" i="37" a="1"/>
  <c r="AA520" i="37" s="1"/>
  <c r="AA114" i="37" a="1"/>
  <c r="AA114" i="37" s="1"/>
  <c r="AA205" i="37" a="1"/>
  <c r="AA205" i="37" s="1"/>
  <c r="AA349" i="37" a="1"/>
  <c r="AA349" i="37" s="1"/>
  <c r="AA350" i="37" a="1"/>
  <c r="AA350" i="37" s="1"/>
  <c r="AA608" i="37" a="1"/>
  <c r="AA608" i="37" s="1"/>
  <c r="AA609" i="37" a="1"/>
  <c r="AA609" i="37" s="1"/>
  <c r="AA352" i="37" a="1"/>
  <c r="AA352" i="37" s="1"/>
  <c r="AA355" i="37" a="1"/>
  <c r="AA355" i="37" s="1"/>
  <c r="AA353" i="37" a="1"/>
  <c r="AA353" i="37" s="1"/>
  <c r="AA468" i="37" a="1"/>
  <c r="AA468" i="37" s="1"/>
  <c r="AA354" i="37" a="1"/>
  <c r="AA354" i="37" s="1"/>
  <c r="AA295" i="37" a="1"/>
  <c r="AA295" i="37" s="1"/>
  <c r="AA447" i="37" a="1"/>
  <c r="AA447" i="37" s="1"/>
  <c r="AA450" i="37" a="1"/>
  <c r="AA450" i="37" s="1"/>
  <c r="AA454" i="37" a="1"/>
  <c r="AA454" i="37" s="1"/>
  <c r="AA359" i="37" a="1"/>
  <c r="AA359" i="37" s="1"/>
  <c r="AA456" i="37" a="1"/>
  <c r="AA456" i="37" s="1"/>
  <c r="AA457" i="37" a="1"/>
  <c r="AA457" i="37" s="1"/>
  <c r="AA360" i="37" a="1"/>
  <c r="AA360" i="37" s="1"/>
  <c r="AA462" i="37" a="1"/>
  <c r="AA462" i="37" s="1"/>
  <c r="AA461" i="37" a="1"/>
  <c r="AA461" i="37" s="1"/>
  <c r="AA633" i="37" a="1"/>
  <c r="AA633" i="37" s="1"/>
  <c r="AA464" i="37" a="1"/>
  <c r="AA464" i="37" s="1"/>
  <c r="AA624" i="37" a="1"/>
  <c r="AA624" i="37" s="1"/>
  <c r="AA465" i="37" a="1"/>
  <c r="AA465" i="37" s="1"/>
  <c r="AA516" i="37" a="1"/>
  <c r="AA516" i="37" s="1"/>
  <c r="AA634" i="37" a="1"/>
  <c r="AA634" i="37" s="1"/>
  <c r="AA635" i="37" a="1"/>
  <c r="AA635" i="37" s="1"/>
  <c r="AA638" i="37" a="1"/>
  <c r="AA638" i="37" s="1"/>
  <c r="AA637" i="37" a="1"/>
  <c r="AA637" i="37" s="1"/>
  <c r="AA636" i="37" a="1"/>
  <c r="AA636" i="37" s="1"/>
  <c r="AA529" i="37" a="1"/>
  <c r="AA529" i="37" s="1"/>
  <c r="AA530" i="37" a="1"/>
  <c r="AA530" i="37" s="1"/>
  <c r="AA531" i="37" a="1"/>
  <c r="AA531" i="37" s="1"/>
  <c r="AA532" i="37" a="1"/>
  <c r="AA532" i="37" s="1"/>
  <c r="Z2" i="37" a="1"/>
  <c r="Z2" i="37" s="1"/>
  <c r="Z3" i="37" a="1"/>
  <c r="Z3" i="37" s="1"/>
  <c r="Z10" i="37" a="1"/>
  <c r="Z10" i="37" s="1"/>
  <c r="Z534" i="37" a="1"/>
  <c r="Z534" i="37" s="1"/>
  <c r="Z533" i="37" a="1"/>
  <c r="Z533" i="37" s="1"/>
  <c r="Z6" i="37" a="1"/>
  <c r="Z6" i="37" s="1"/>
  <c r="Z5" i="37" a="1"/>
  <c r="Z5" i="37" s="1"/>
  <c r="Z11" i="37" a="1"/>
  <c r="Z11" i="37" s="1"/>
  <c r="Z4" i="37" a="1"/>
  <c r="Z4" i="37" s="1"/>
  <c r="Z23" i="37" a="1"/>
  <c r="Z23" i="37" s="1"/>
  <c r="Z7" i="37" a="1"/>
  <c r="Z7" i="37" s="1"/>
  <c r="Z13" i="37" a="1"/>
  <c r="Z13" i="37" s="1"/>
  <c r="Z24" i="37" a="1"/>
  <c r="Z24" i="37" s="1"/>
  <c r="Z36" i="37" a="1"/>
  <c r="Z36" i="37" s="1"/>
  <c r="Z25" i="37" a="1"/>
  <c r="Z25" i="37" s="1"/>
  <c r="Z37" i="37" a="1"/>
  <c r="Z37" i="37" s="1"/>
  <c r="Z20" i="37" a="1"/>
  <c r="Z20" i="37" s="1"/>
  <c r="Z14" i="37" a="1"/>
  <c r="Z14" i="37" s="1"/>
  <c r="Z15" i="37" a="1"/>
  <c r="Z15" i="37" s="1"/>
  <c r="Z19" i="37" a="1"/>
  <c r="Z19" i="37" s="1"/>
  <c r="Z22" i="37" a="1"/>
  <c r="Z22" i="37" s="1"/>
  <c r="Z26" i="37" a="1"/>
  <c r="Z26" i="37" s="1"/>
  <c r="Z537" i="37" a="1"/>
  <c r="Z537" i="37" s="1"/>
  <c r="Z27" i="37" a="1"/>
  <c r="Z27" i="37" s="1"/>
  <c r="Z21" i="37" a="1"/>
  <c r="Z21" i="37" s="1"/>
  <c r="Z38" i="37" a="1"/>
  <c r="Z38" i="37" s="1"/>
  <c r="Z538" i="37" a="1"/>
  <c r="Z538" i="37" s="1"/>
  <c r="Z28" i="37" a="1"/>
  <c r="Z28" i="37" s="1"/>
  <c r="Z16" i="37" a="1"/>
  <c r="Z16" i="37" s="1"/>
  <c r="Z39" i="37" a="1"/>
  <c r="Z39" i="37" s="1"/>
  <c r="Z40" i="37" a="1"/>
  <c r="Z40" i="37" s="1"/>
  <c r="Z29" i="37" a="1"/>
  <c r="Z29" i="37" s="1"/>
  <c r="Z41" i="37" a="1"/>
  <c r="Z41" i="37" s="1"/>
  <c r="Z33" i="37" a="1"/>
  <c r="Z33" i="37" s="1"/>
  <c r="Z42" i="37" a="1"/>
  <c r="Z42" i="37" s="1"/>
  <c r="Z539" i="37" a="1"/>
  <c r="Z539" i="37" s="1"/>
  <c r="Z85" i="37" a="1"/>
  <c r="Z85" i="37" s="1"/>
  <c r="Z43" i="37" a="1"/>
  <c r="Z43" i="37" s="1"/>
  <c r="Z44" i="37" a="1"/>
  <c r="Z44" i="37" s="1"/>
  <c r="Z535" i="37" a="1"/>
  <c r="Z535" i="37" s="1"/>
  <c r="Z45" i="37" a="1"/>
  <c r="Z45" i="37" s="1"/>
  <c r="Z17" i="37" a="1"/>
  <c r="Z17" i="37" s="1"/>
  <c r="Z70" i="37" a="1"/>
  <c r="Z70" i="37" s="1"/>
  <c r="Z30" i="37" a="1"/>
  <c r="Z30" i="37" s="1"/>
  <c r="Z18" i="37" a="1"/>
  <c r="Z18" i="37" s="1"/>
  <c r="Z62" i="37" a="1"/>
  <c r="Z62" i="37" s="1"/>
  <c r="Z57" i="37" a="1"/>
  <c r="Z57" i="37" s="1"/>
  <c r="Z46" i="37" a="1"/>
  <c r="Z46" i="37" s="1"/>
  <c r="Z61" i="37" a="1"/>
  <c r="Z61" i="37" s="1"/>
  <c r="Z71" i="37" a="1"/>
  <c r="Z71" i="37" s="1"/>
  <c r="Z31" i="37" a="1"/>
  <c r="Z31" i="37" s="1"/>
  <c r="Z541" i="37" a="1"/>
  <c r="Z541" i="37" s="1"/>
  <c r="Z56" i="37" a="1"/>
  <c r="Z56" i="37" s="1"/>
  <c r="Z536" i="37" a="1"/>
  <c r="Z536" i="37" s="1"/>
  <c r="Z47" i="37" a="1"/>
  <c r="Z47" i="37" s="1"/>
  <c r="Z86" i="37" a="1"/>
  <c r="Z86" i="37" s="1"/>
  <c r="Z72" i="37" a="1"/>
  <c r="Z72" i="37" s="1"/>
  <c r="Z48" i="37" a="1"/>
  <c r="Z48" i="37" s="1"/>
  <c r="Z547" i="37" a="1"/>
  <c r="Z547" i="37" s="1"/>
  <c r="Z115" i="37" a="1"/>
  <c r="Z115" i="37" s="1"/>
  <c r="Z562" i="37" a="1"/>
  <c r="Z562" i="37" s="1"/>
  <c r="Z58" i="37" a="1"/>
  <c r="Z58" i="37" s="1"/>
  <c r="Z63" i="37" a="1"/>
  <c r="Z63" i="37" s="1"/>
  <c r="Z34" i="37" a="1"/>
  <c r="Z34" i="37" s="1"/>
  <c r="Z540" i="37" a="1"/>
  <c r="Z540" i="37" s="1"/>
  <c r="Z116" i="37" a="1"/>
  <c r="Z116" i="37" s="1"/>
  <c r="Z12" i="37" a="1"/>
  <c r="Z12" i="37" s="1"/>
  <c r="Z32" i="37" a="1"/>
  <c r="Z32" i="37" s="1"/>
  <c r="Z73" i="37" a="1"/>
  <c r="Z73" i="37" s="1"/>
  <c r="Z74" i="37" a="1"/>
  <c r="Z74" i="37" s="1"/>
  <c r="Z542" i="37" a="1"/>
  <c r="Z542" i="37" s="1"/>
  <c r="Z75" i="37" a="1"/>
  <c r="Z75" i="37" s="1"/>
  <c r="Z543" i="37" a="1"/>
  <c r="Z543" i="37" s="1"/>
  <c r="Z117" i="37" a="1"/>
  <c r="Z117" i="37" s="1"/>
  <c r="Z546" i="37" a="1"/>
  <c r="Z546" i="37" s="1"/>
  <c r="Z99" i="37" a="1"/>
  <c r="Z99" i="37" s="1"/>
  <c r="Z67" i="37" a="1"/>
  <c r="Z67" i="37" s="1"/>
  <c r="Z100" i="37" a="1"/>
  <c r="Z100" i="37" s="1"/>
  <c r="Z68" i="37" a="1"/>
  <c r="Z68" i="37" s="1"/>
  <c r="Z64" i="37" a="1"/>
  <c r="Z64" i="37" s="1"/>
  <c r="Z101" i="37" a="1"/>
  <c r="Z101" i="37" s="1"/>
  <c r="Z65" i="37" a="1"/>
  <c r="Z65" i="37" s="1"/>
  <c r="Z92" i="37" a="1"/>
  <c r="Z92" i="37" s="1"/>
  <c r="Z49" i="37" a="1"/>
  <c r="Z49" i="37" s="1"/>
  <c r="Z185" i="37" a="1"/>
  <c r="Z185" i="37" s="1"/>
  <c r="Z163" i="37" a="1"/>
  <c r="Z163" i="37" s="1"/>
  <c r="Z76" i="37" a="1"/>
  <c r="Z76" i="37" s="1"/>
  <c r="Z87" i="37" a="1"/>
  <c r="Z87" i="37" s="1"/>
  <c r="Z82" i="37" a="1"/>
  <c r="Z82" i="37" s="1"/>
  <c r="Z88" i="37" a="1"/>
  <c r="Z88" i="37" s="1"/>
  <c r="Z554" i="37" a="1"/>
  <c r="Z554" i="37" s="1"/>
  <c r="Z93" i="37" a="1"/>
  <c r="Z93" i="37" s="1"/>
  <c r="Z118" i="37" a="1"/>
  <c r="Z118" i="37" s="1"/>
  <c r="Z83" i="37" a="1"/>
  <c r="Z83" i="37" s="1"/>
  <c r="Z164" i="37" a="1"/>
  <c r="Z164" i="37" s="1"/>
  <c r="Z119" i="37" a="1"/>
  <c r="Z119" i="37" s="1"/>
  <c r="Z549" i="37" a="1"/>
  <c r="Z549" i="37" s="1"/>
  <c r="Z50" i="37" a="1"/>
  <c r="Z50" i="37" s="1"/>
  <c r="Z120" i="37" a="1"/>
  <c r="Z120" i="37" s="1"/>
  <c r="Z121" i="37" a="1"/>
  <c r="Z121" i="37" s="1"/>
  <c r="Z84" i="37" a="1"/>
  <c r="Z84" i="37" s="1"/>
  <c r="Z165" i="37" a="1"/>
  <c r="Z165" i="37" s="1"/>
  <c r="Z206" i="37" a="1"/>
  <c r="Z206" i="37" s="1"/>
  <c r="Z89" i="37" a="1"/>
  <c r="Z89" i="37" s="1"/>
  <c r="Z574" i="37" a="1"/>
  <c r="Z574" i="37" s="1"/>
  <c r="Z166" i="37" a="1"/>
  <c r="Z166" i="37" s="1"/>
  <c r="Z167" i="37" a="1"/>
  <c r="Z167" i="37" s="1"/>
  <c r="Z77" i="37" a="1"/>
  <c r="Z77" i="37" s="1"/>
  <c r="Z123" i="37" a="1"/>
  <c r="Z123" i="37" s="1"/>
  <c r="Z122" i="37" a="1"/>
  <c r="Z122" i="37" s="1"/>
  <c r="Z575" i="37" a="1"/>
  <c r="Z575" i="37" s="1"/>
  <c r="Z96" i="37" a="1"/>
  <c r="Z96" i="37" s="1"/>
  <c r="Z186" i="37" a="1"/>
  <c r="Z186" i="37" s="1"/>
  <c r="Z176" i="37" a="1"/>
  <c r="Z176" i="37" s="1"/>
  <c r="Z151" i="37" a="1"/>
  <c r="Z151" i="37" s="1"/>
  <c r="Z97" i="37" a="1"/>
  <c r="Z97" i="37" s="1"/>
  <c r="Z274" i="37" a="1"/>
  <c r="Z274" i="37" s="1"/>
  <c r="Z545" i="37" a="1"/>
  <c r="Z545" i="37" s="1"/>
  <c r="Z187" i="37" a="1"/>
  <c r="Z187" i="37" s="1"/>
  <c r="Z207" i="37" a="1"/>
  <c r="Z207" i="37" s="1"/>
  <c r="Z9" i="37" a="1"/>
  <c r="Z9" i="37" s="1"/>
  <c r="Z570" i="37" a="1"/>
  <c r="Z570" i="37" s="1"/>
  <c r="Z296" i="37" a="1"/>
  <c r="Z296" i="37" s="1"/>
  <c r="Z102" i="37" a="1"/>
  <c r="Z102" i="37" s="1"/>
  <c r="Z66" i="37" a="1"/>
  <c r="Z66" i="37" s="1"/>
  <c r="Z177" i="37" a="1"/>
  <c r="Z177" i="37" s="1"/>
  <c r="Z297" i="37" a="1"/>
  <c r="Z297" i="37" s="1"/>
  <c r="Z576" i="37" a="1"/>
  <c r="Z576" i="37" s="1"/>
  <c r="Z156" i="37" a="1"/>
  <c r="Z156" i="37" s="1"/>
  <c r="Z188" i="37" a="1"/>
  <c r="Z188" i="37" s="1"/>
  <c r="Z189" i="37" a="1"/>
  <c r="Z189" i="37" s="1"/>
  <c r="Z103" i="37" a="1"/>
  <c r="Z103" i="37" s="1"/>
  <c r="Z190" i="37" a="1"/>
  <c r="Z190" i="37" s="1"/>
  <c r="Z152" i="37" a="1"/>
  <c r="Z152" i="37" s="1"/>
  <c r="Z208" i="37" a="1"/>
  <c r="Z208" i="37" s="1"/>
  <c r="Z209" i="37" a="1"/>
  <c r="Z209" i="37" s="1"/>
  <c r="Z210" i="37" a="1"/>
  <c r="Z210" i="37" s="1"/>
  <c r="Z596" i="37" a="1"/>
  <c r="Z596" i="37" s="1"/>
  <c r="Z168" i="37" a="1"/>
  <c r="Z168" i="37" s="1"/>
  <c r="Z568" i="37" a="1"/>
  <c r="Z568" i="37" s="1"/>
  <c r="Z124" i="37" a="1"/>
  <c r="Z124" i="37" s="1"/>
  <c r="Z571" i="37" a="1"/>
  <c r="Z571" i="37" s="1"/>
  <c r="Z175" i="37" a="1"/>
  <c r="Z175" i="37" s="1"/>
  <c r="Z211" i="37" a="1"/>
  <c r="Z211" i="37" s="1"/>
  <c r="Z104" i="37" a="1"/>
  <c r="Z104" i="37" s="1"/>
  <c r="Z125" i="37" a="1"/>
  <c r="Z125" i="37" s="1"/>
  <c r="Z105" i="37" a="1"/>
  <c r="Z105" i="37" s="1"/>
  <c r="Z126" i="37" a="1"/>
  <c r="Z126" i="37" s="1"/>
  <c r="Z548" i="37" a="1"/>
  <c r="Z548" i="37" s="1"/>
  <c r="Z191" i="37" a="1"/>
  <c r="Z191" i="37" s="1"/>
  <c r="Z563" i="37" a="1"/>
  <c r="Z563" i="37" s="1"/>
  <c r="Z213" i="37" a="1"/>
  <c r="Z213" i="37" s="1"/>
  <c r="Z298" i="37" a="1"/>
  <c r="Z298" i="37" s="1"/>
  <c r="Z106" i="37" a="1"/>
  <c r="Z106" i="37" s="1"/>
  <c r="Z212" i="37" a="1"/>
  <c r="Z212" i="37" s="1"/>
  <c r="Z564" i="37" a="1"/>
  <c r="Z564" i="37" s="1"/>
  <c r="Z577" i="37" a="1"/>
  <c r="Z577" i="37" s="1"/>
  <c r="Z107" i="37" a="1"/>
  <c r="Z107" i="37" s="1"/>
  <c r="Z157" i="37" a="1"/>
  <c r="Z157" i="37" s="1"/>
  <c r="Z214" i="37" a="1"/>
  <c r="Z214" i="37" s="1"/>
  <c r="Z158" i="37" a="1"/>
  <c r="Z158" i="37" s="1"/>
  <c r="Z578" i="37" a="1"/>
  <c r="Z578" i="37" s="1"/>
  <c r="Z215" i="37" a="1"/>
  <c r="Z215" i="37" s="1"/>
  <c r="Z155" i="37" a="1"/>
  <c r="Z155" i="37" s="1"/>
  <c r="Z216" i="37" a="1"/>
  <c r="Z216" i="37" s="1"/>
  <c r="Z217" i="37" a="1"/>
  <c r="Z217" i="37" s="1"/>
  <c r="Z127" i="37" a="1"/>
  <c r="Z127" i="37" s="1"/>
  <c r="Z90" i="37" a="1"/>
  <c r="Z90" i="37" s="1"/>
  <c r="Z153" i="37" a="1"/>
  <c r="Z153" i="37" s="1"/>
  <c r="Z128" i="37" a="1"/>
  <c r="Z128" i="37" s="1"/>
  <c r="Z299" i="37" a="1"/>
  <c r="Z299" i="37" s="1"/>
  <c r="Z192" i="37" a="1"/>
  <c r="Z192" i="37" s="1"/>
  <c r="Z129" i="37" a="1"/>
  <c r="Z129" i="37" s="1"/>
  <c r="Z565" i="37" a="1"/>
  <c r="Z565" i="37" s="1"/>
  <c r="Z130" i="37" a="1"/>
  <c r="Z130" i="37" s="1"/>
  <c r="Z218" i="37" a="1"/>
  <c r="Z218" i="37" s="1"/>
  <c r="Z131" i="37" a="1"/>
  <c r="Z131" i="37" s="1"/>
  <c r="Z154" i="37" a="1"/>
  <c r="Z154" i="37" s="1"/>
  <c r="Z555" i="37" a="1"/>
  <c r="Z555" i="37" s="1"/>
  <c r="Z579" i="37" a="1"/>
  <c r="Z579" i="37" s="1"/>
  <c r="Z132" i="37" a="1"/>
  <c r="Z132" i="37" s="1"/>
  <c r="Z580" i="37" a="1"/>
  <c r="Z580" i="37" s="1"/>
  <c r="Z219" i="37" a="1"/>
  <c r="Z219" i="37" s="1"/>
  <c r="Z133" i="37" a="1"/>
  <c r="Z133" i="37" s="1"/>
  <c r="Z134" i="37" a="1"/>
  <c r="Z134" i="37" s="1"/>
  <c r="Z599" i="37" a="1"/>
  <c r="Z599" i="37" s="1"/>
  <c r="Z220" i="37" a="1"/>
  <c r="Z220" i="37" s="1"/>
  <c r="Z221" i="37" a="1"/>
  <c r="Z221" i="37" s="1"/>
  <c r="Z59" i="37" a="1"/>
  <c r="Z59" i="37" s="1"/>
  <c r="Z222" i="37" a="1"/>
  <c r="Z222" i="37" s="1"/>
  <c r="Z223" i="37" a="1"/>
  <c r="Z223" i="37" s="1"/>
  <c r="Z275" i="37" a="1"/>
  <c r="Z275" i="37" s="1"/>
  <c r="Z51" i="37" a="1"/>
  <c r="Z51" i="37" s="1"/>
  <c r="Z224" i="37" a="1"/>
  <c r="Z224" i="37" s="1"/>
  <c r="Z78" i="37" a="1"/>
  <c r="Z78" i="37" s="1"/>
  <c r="Z225" i="37" a="1"/>
  <c r="Z225" i="37" s="1"/>
  <c r="Z35" i="37" a="1"/>
  <c r="Z35" i="37" s="1"/>
  <c r="Z226" i="37" a="1"/>
  <c r="Z226" i="37" s="1"/>
  <c r="Z169" i="37" a="1"/>
  <c r="Z169" i="37" s="1"/>
  <c r="Z170" i="37" a="1"/>
  <c r="Z170" i="37" s="1"/>
  <c r="Z557" i="37" a="1"/>
  <c r="Z557" i="37" s="1"/>
  <c r="Z361" i="37" a="1"/>
  <c r="Z361" i="37" s="1"/>
  <c r="Z558" i="37" a="1"/>
  <c r="Z558" i="37" s="1"/>
  <c r="Z227" i="37" a="1"/>
  <c r="Z227" i="37" s="1"/>
  <c r="Z556" i="37" a="1"/>
  <c r="Z556" i="37" s="1"/>
  <c r="Z228" i="37" a="1"/>
  <c r="Z228" i="37" s="1"/>
  <c r="Z171" i="37" a="1"/>
  <c r="Z171" i="37" s="1"/>
  <c r="Z178" i="37" a="1"/>
  <c r="Z178" i="37" s="1"/>
  <c r="Z595" i="37" a="1"/>
  <c r="Z595" i="37" s="1"/>
  <c r="Z193" i="37" a="1"/>
  <c r="Z193" i="37" s="1"/>
  <c r="Z69" i="37" a="1"/>
  <c r="Z69" i="37" s="1"/>
  <c r="Z179" i="37" a="1"/>
  <c r="Z179" i="37" s="1"/>
  <c r="Z135" i="37" a="1"/>
  <c r="Z135" i="37" s="1"/>
  <c r="Z108" i="37" a="1"/>
  <c r="Z108" i="37" s="1"/>
  <c r="Z300" i="37" a="1"/>
  <c r="Z300" i="37" s="1"/>
  <c r="Z98" i="37" a="1"/>
  <c r="Z98" i="37" s="1"/>
  <c r="Z159" i="37" a="1"/>
  <c r="Z159" i="37" s="1"/>
  <c r="Z597" i="37" a="1"/>
  <c r="Z597" i="37" s="1"/>
  <c r="Z560" i="37" a="1"/>
  <c r="Z560" i="37" s="1"/>
  <c r="Z79" i="37" a="1"/>
  <c r="Z79" i="37" s="1"/>
  <c r="Z279" i="37" a="1"/>
  <c r="Z279" i="37" s="1"/>
  <c r="Z569" i="37" a="1"/>
  <c r="Z569" i="37" s="1"/>
  <c r="Z229" i="37" a="1"/>
  <c r="Z229" i="37" s="1"/>
  <c r="Z230" i="37" a="1"/>
  <c r="Z230" i="37" s="1"/>
  <c r="Z301" i="37" a="1"/>
  <c r="Z301" i="37" s="1"/>
  <c r="Z437" i="37" a="1"/>
  <c r="Z437" i="37" s="1"/>
  <c r="Z160" i="37" a="1"/>
  <c r="Z160" i="37" s="1"/>
  <c r="Z280" i="37" a="1"/>
  <c r="Z280" i="37" s="1"/>
  <c r="Z302" i="37" a="1"/>
  <c r="Z302" i="37" s="1"/>
  <c r="Z231" i="37" a="1"/>
  <c r="Z231" i="37" s="1"/>
  <c r="Z303" i="37" a="1"/>
  <c r="Z303" i="37" s="1"/>
  <c r="Z304" i="37" a="1"/>
  <c r="Z304" i="37" s="1"/>
  <c r="Z305" i="37" a="1"/>
  <c r="Z305" i="37" s="1"/>
  <c r="Z194" i="37" a="1"/>
  <c r="Z194" i="37" s="1"/>
  <c r="Z265" i="37" a="1"/>
  <c r="Z265" i="37" s="1"/>
  <c r="Z306" i="37" a="1"/>
  <c r="Z306" i="37" s="1"/>
  <c r="Z232" i="37" a="1"/>
  <c r="Z232" i="37" s="1"/>
  <c r="Z195" i="37" a="1"/>
  <c r="Z195" i="37" s="1"/>
  <c r="Z598" i="37" a="1"/>
  <c r="Z598" i="37" s="1"/>
  <c r="Z281" i="37" a="1"/>
  <c r="Z281" i="37" s="1"/>
  <c r="Z600" i="37" a="1"/>
  <c r="Z600" i="37" s="1"/>
  <c r="Z80" i="37" a="1"/>
  <c r="Z80" i="37" s="1"/>
  <c r="Z270" i="37" a="1"/>
  <c r="Z270" i="37" s="1"/>
  <c r="Z180" i="37" a="1"/>
  <c r="Z180" i="37" s="1"/>
  <c r="Z307" i="37" a="1"/>
  <c r="Z307" i="37" s="1"/>
  <c r="Z267" i="37" a="1"/>
  <c r="Z267" i="37" s="1"/>
  <c r="Z196" i="37" a="1"/>
  <c r="Z196" i="37" s="1"/>
  <c r="Z269" i="37" a="1"/>
  <c r="Z269" i="37" s="1"/>
  <c r="Z198" i="37" a="1"/>
  <c r="Z198" i="37" s="1"/>
  <c r="Z282" i="37" a="1"/>
  <c r="Z282" i="37" s="1"/>
  <c r="Z308" i="37" a="1"/>
  <c r="Z308" i="37" s="1"/>
  <c r="Z471" i="37" a="1"/>
  <c r="Z471" i="37" s="1"/>
  <c r="Z283" i="37" a="1"/>
  <c r="Z283" i="37" s="1"/>
  <c r="Z161" i="37" a="1"/>
  <c r="Z161" i="37" s="1"/>
  <c r="Z581" i="37" a="1"/>
  <c r="Z581" i="37" s="1"/>
  <c r="Z234" i="37" a="1"/>
  <c r="Z234" i="37" s="1"/>
  <c r="Z233" i="37" a="1"/>
  <c r="Z233" i="37" s="1"/>
  <c r="Z235" i="37" a="1"/>
  <c r="Z235" i="37" s="1"/>
  <c r="Z268" i="37" a="1"/>
  <c r="Z268" i="37" s="1"/>
  <c r="Z199" i="37" a="1"/>
  <c r="Z199" i="37" s="1"/>
  <c r="Z236" i="37" a="1"/>
  <c r="Z236" i="37" s="1"/>
  <c r="Z582" i="37" a="1"/>
  <c r="Z582" i="37" s="1"/>
  <c r="Z237" i="37" a="1"/>
  <c r="Z237" i="37" s="1"/>
  <c r="Z238" i="37" a="1"/>
  <c r="Z238" i="37" s="1"/>
  <c r="Z583" i="37" a="1"/>
  <c r="Z583" i="37" s="1"/>
  <c r="Z172" i="37" a="1"/>
  <c r="Z172" i="37" s="1"/>
  <c r="Z239" i="37" a="1"/>
  <c r="Z239" i="37" s="1"/>
  <c r="Z363" i="37" a="1"/>
  <c r="Z363" i="37" s="1"/>
  <c r="Z364" i="37" a="1"/>
  <c r="Z364" i="37" s="1"/>
  <c r="Z362" i="37" a="1"/>
  <c r="Z362" i="37" s="1"/>
  <c r="Z594" i="37" a="1"/>
  <c r="Z594" i="37" s="1"/>
  <c r="Z612" i="37" a="1"/>
  <c r="Z612" i="37" s="1"/>
  <c r="Z266" i="37" a="1"/>
  <c r="Z266" i="37" s="1"/>
  <c r="Z309" i="37" a="1"/>
  <c r="Z309" i="37" s="1"/>
  <c r="Z365" i="37" a="1"/>
  <c r="Z365" i="37" s="1"/>
  <c r="Z240" i="37" a="1"/>
  <c r="Z240" i="37" s="1"/>
  <c r="Z91" i="37" a="1"/>
  <c r="Z91" i="37" s="1"/>
  <c r="Z613" i="37" a="1"/>
  <c r="Z613" i="37" s="1"/>
  <c r="Z551" i="37" a="1"/>
  <c r="Z551" i="37" s="1"/>
  <c r="Z271" i="37" a="1"/>
  <c r="Z271" i="37" s="1"/>
  <c r="Z584" i="37" a="1"/>
  <c r="Z584" i="37" s="1"/>
  <c r="Z52" i="37" a="1"/>
  <c r="Z52" i="37" s="1"/>
  <c r="Z366" i="37" a="1"/>
  <c r="Z366" i="37" s="1"/>
  <c r="Z241" i="37" a="1"/>
  <c r="Z241" i="37" s="1"/>
  <c r="Z614" i="37" a="1"/>
  <c r="Z614" i="37" s="1"/>
  <c r="Z367" i="37" a="1"/>
  <c r="Z367" i="37" s="1"/>
  <c r="Z544" i="37" a="1"/>
  <c r="Z544" i="37" s="1"/>
  <c r="Z136" i="37" a="1"/>
  <c r="Z136" i="37" s="1"/>
  <c r="Z585" i="37" a="1"/>
  <c r="Z585" i="37" s="1"/>
  <c r="Z371" i="37" a="1"/>
  <c r="Z371" i="37" s="1"/>
  <c r="Z369" i="37" a="1"/>
  <c r="Z369" i="37" s="1"/>
  <c r="Z615" i="37" a="1"/>
  <c r="Z615" i="37" s="1"/>
  <c r="Z368" i="37" a="1"/>
  <c r="Z368" i="37" s="1"/>
  <c r="Z370" i="37" a="1"/>
  <c r="Z370" i="37" s="1"/>
  <c r="Z242" i="37" a="1"/>
  <c r="Z242" i="37" s="1"/>
  <c r="Z244" i="37" a="1"/>
  <c r="Z244" i="37" s="1"/>
  <c r="Z372" i="37" a="1"/>
  <c r="Z372" i="37" s="1"/>
  <c r="Z566" i="37" a="1"/>
  <c r="Z566" i="37" s="1"/>
  <c r="Z243" i="37" a="1"/>
  <c r="Z243" i="37" s="1"/>
  <c r="Z407" i="37" a="1"/>
  <c r="Z407" i="37" s="1"/>
  <c r="Z8" i="37" a="1"/>
  <c r="Z8" i="37" s="1"/>
  <c r="Z310" i="37" a="1"/>
  <c r="Z310" i="37" s="1"/>
  <c r="Z385" i="37" a="1"/>
  <c r="Z385" i="37" s="1"/>
  <c r="Z94" i="37" a="1"/>
  <c r="Z94" i="37" s="1"/>
  <c r="Z55" i="37" a="1"/>
  <c r="Z55" i="37" s="1"/>
  <c r="Z258" i="37" a="1"/>
  <c r="Z258" i="37" s="1"/>
  <c r="Z137" i="37" a="1"/>
  <c r="Z137" i="37" s="1"/>
  <c r="Z54" i="37" a="1"/>
  <c r="Z54" i="37" s="1"/>
  <c r="Z418" i="37" a="1"/>
  <c r="Z418" i="37" s="1"/>
  <c r="Z174" i="37" a="1"/>
  <c r="Z174" i="37" s="1"/>
  <c r="Z311" i="37" a="1"/>
  <c r="Z311" i="37" s="1"/>
  <c r="Z416" i="37" a="1"/>
  <c r="Z416" i="37" s="1"/>
  <c r="Z312" i="37" a="1"/>
  <c r="Z312" i="37" s="1"/>
  <c r="Z145" i="37" a="1"/>
  <c r="Z145" i="37" s="1"/>
  <c r="Z278" i="37" a="1"/>
  <c r="Z278" i="37" s="1"/>
  <c r="Z181" i="37" a="1"/>
  <c r="Z181" i="37" s="1"/>
  <c r="Z375" i="37" a="1"/>
  <c r="Z375" i="37" s="1"/>
  <c r="Z146" i="37" a="1"/>
  <c r="Z146" i="37" s="1"/>
  <c r="Z388" i="37" a="1"/>
  <c r="Z388" i="37" s="1"/>
  <c r="Z419" i="37" a="1"/>
  <c r="Z419" i="37" s="1"/>
  <c r="Z60" i="37" a="1"/>
  <c r="Z60" i="37" s="1"/>
  <c r="Z81" i="37" a="1"/>
  <c r="Z81" i="37" s="1"/>
  <c r="Z149" i="37" a="1"/>
  <c r="Z149" i="37" s="1"/>
  <c r="Z246" i="37" a="1"/>
  <c r="Z246" i="37" s="1"/>
  <c r="Z590" i="37" a="1"/>
  <c r="Z590" i="37" s="1"/>
  <c r="Z254" i="37" a="1"/>
  <c r="Z254" i="37" s="1"/>
  <c r="Z373" i="37" a="1"/>
  <c r="Z373" i="37" s="1"/>
  <c r="Z376" i="37" a="1"/>
  <c r="Z376" i="37" s="1"/>
  <c r="Z378" i="37" a="1"/>
  <c r="Z378" i="37" s="1"/>
  <c r="Z410" i="37" a="1"/>
  <c r="Z410" i="37" s="1"/>
  <c r="Z409" i="37" a="1"/>
  <c r="Z409" i="37" s="1"/>
  <c r="Z420" i="37" a="1"/>
  <c r="Z420" i="37" s="1"/>
  <c r="Z248" i="37" a="1"/>
  <c r="Z248" i="37" s="1"/>
  <c r="Z247" i="37" a="1"/>
  <c r="Z247" i="37" s="1"/>
  <c r="Z259" i="37" a="1"/>
  <c r="Z259" i="37" s="1"/>
  <c r="Z402" i="37" a="1"/>
  <c r="Z402" i="37" s="1"/>
  <c r="Z415" i="37" a="1"/>
  <c r="Z415" i="37" s="1"/>
  <c r="Z417" i="37" a="1"/>
  <c r="Z417" i="37" s="1"/>
  <c r="Z53" i="37" a="1"/>
  <c r="Z53" i="37" s="1"/>
  <c r="Z140" i="37" a="1"/>
  <c r="Z140" i="37" s="1"/>
  <c r="Z142" i="37" a="1"/>
  <c r="Z142" i="37" s="1"/>
  <c r="Z109" i="37" a="1"/>
  <c r="Z109" i="37" s="1"/>
  <c r="Z313" i="37" a="1"/>
  <c r="Z313" i="37" s="1"/>
  <c r="Z314" i="37" a="1"/>
  <c r="Z314" i="37" s="1"/>
  <c r="Z601" i="37" a="1"/>
  <c r="Z601" i="37" s="1"/>
  <c r="Z315" i="37" a="1"/>
  <c r="Z315" i="37" s="1"/>
  <c r="Z618" i="37" a="1"/>
  <c r="Z618" i="37" s="1"/>
  <c r="Z143" i="37" a="1"/>
  <c r="Z143" i="37" s="1"/>
  <c r="Z622" i="37" a="1"/>
  <c r="Z622" i="37" s="1"/>
  <c r="Z316" i="37" a="1"/>
  <c r="Z316" i="37" s="1"/>
  <c r="Z552" i="37" a="1"/>
  <c r="Z552" i="37" s="1"/>
  <c r="Z317" i="37" a="1"/>
  <c r="Z317" i="37" s="1"/>
  <c r="Z182" i="37" a="1"/>
  <c r="Z182" i="37" s="1"/>
  <c r="Z200" i="37" a="1"/>
  <c r="Z200" i="37" s="1"/>
  <c r="Z284" i="37" a="1"/>
  <c r="Z284" i="37" s="1"/>
  <c r="Z427" i="37" a="1"/>
  <c r="Z427" i="37" s="1"/>
  <c r="Z147" i="37" a="1"/>
  <c r="Z147" i="37" s="1"/>
  <c r="Z173" i="37" a="1"/>
  <c r="Z173" i="37" s="1"/>
  <c r="Z318" i="37" a="1"/>
  <c r="Z318" i="37" s="1"/>
  <c r="Z435" i="37" a="1"/>
  <c r="Z435" i="37" s="1"/>
  <c r="Z285" i="37" a="1"/>
  <c r="Z285" i="37" s="1"/>
  <c r="Z602" i="37" a="1"/>
  <c r="Z602" i="37" s="1"/>
  <c r="Z319" i="37" a="1"/>
  <c r="Z319" i="37" s="1"/>
  <c r="Z148" i="37" a="1"/>
  <c r="Z148" i="37" s="1"/>
  <c r="Z320" i="37" a="1"/>
  <c r="Z320" i="37" s="1"/>
  <c r="Z321" i="37" a="1"/>
  <c r="Z321" i="37" s="1"/>
  <c r="Z150" i="37" a="1"/>
  <c r="Z150" i="37" s="1"/>
  <c r="Z322" i="37" a="1"/>
  <c r="Z322" i="37" s="1"/>
  <c r="Z323" i="37" a="1"/>
  <c r="Z323" i="37" s="1"/>
  <c r="Z621" i="37" a="1"/>
  <c r="Z621" i="37" s="1"/>
  <c r="Z424" i="37" a="1"/>
  <c r="Z424" i="37" s="1"/>
  <c r="Z201" i="37" a="1"/>
  <c r="Z201" i="37" s="1"/>
  <c r="Z440" i="37" a="1"/>
  <c r="Z440" i="37" s="1"/>
  <c r="Z110" i="37" a="1"/>
  <c r="Z110" i="37" s="1"/>
  <c r="Z286" i="37" a="1"/>
  <c r="Z286" i="37" s="1"/>
  <c r="Z325" i="37" a="1"/>
  <c r="Z325" i="37" s="1"/>
  <c r="Z423" i="37" a="1"/>
  <c r="Z423" i="37" s="1"/>
  <c r="Z431" i="37" a="1"/>
  <c r="Z431" i="37" s="1"/>
  <c r="Z421" i="37" a="1"/>
  <c r="Z421" i="37" s="1"/>
  <c r="Z245" i="37" a="1"/>
  <c r="Z245" i="37" s="1"/>
  <c r="Z434" i="37" a="1"/>
  <c r="Z434" i="37" s="1"/>
  <c r="Z324" i="37" a="1"/>
  <c r="Z324" i="37" s="1"/>
  <c r="Z572" i="37" a="1"/>
  <c r="Z572" i="37" s="1"/>
  <c r="Z202" i="37" a="1"/>
  <c r="Z202" i="37" s="1"/>
  <c r="Z588" i="37" a="1"/>
  <c r="Z588" i="37" s="1"/>
  <c r="Z603" i="37" a="1"/>
  <c r="Z603" i="37" s="1"/>
  <c r="Z619" i="37" a="1"/>
  <c r="Z619" i="37" s="1"/>
  <c r="Z250" i="37" a="1"/>
  <c r="Z250" i="37" s="1"/>
  <c r="Z441" i="37" a="1"/>
  <c r="Z441" i="37" s="1"/>
  <c r="Z438" i="37" a="1"/>
  <c r="Z438" i="37" s="1"/>
  <c r="Z327" i="37" a="1"/>
  <c r="Z327" i="37" s="1"/>
  <c r="Z426" i="37" a="1"/>
  <c r="Z426" i="37" s="1"/>
  <c r="Z287" i="37" a="1"/>
  <c r="Z287" i="37" s="1"/>
  <c r="Z95" i="37" a="1"/>
  <c r="Z95" i="37" s="1"/>
  <c r="Z326" i="37" a="1"/>
  <c r="Z326" i="37" s="1"/>
  <c r="Z249" i="37" a="1"/>
  <c r="Z249" i="37" s="1"/>
  <c r="Z425" i="37" a="1"/>
  <c r="Z425" i="37" s="1"/>
  <c r="Z604" i="37" a="1"/>
  <c r="Z604" i="37" s="1"/>
  <c r="Z162" i="37" a="1"/>
  <c r="Z162" i="37" s="1"/>
  <c r="Z276" i="37" a="1"/>
  <c r="Z276" i="37" s="1"/>
  <c r="Z328" i="37" a="1"/>
  <c r="Z328" i="37" s="1"/>
  <c r="Z472" i="37" a="1"/>
  <c r="Z472" i="37" s="1"/>
  <c r="Z272" i="37" a="1"/>
  <c r="Z272" i="37" s="1"/>
  <c r="Z255" i="37" a="1"/>
  <c r="Z255" i="37" s="1"/>
  <c r="Z277" i="37" a="1"/>
  <c r="Z277" i="37" s="1"/>
  <c r="Z442" i="37" a="1"/>
  <c r="Z442" i="37" s="1"/>
  <c r="Z591" i="37" a="1"/>
  <c r="Z591" i="37" s="1"/>
  <c r="Z592" i="37" a="1"/>
  <c r="Z592" i="37" s="1"/>
  <c r="Z329" i="37" a="1"/>
  <c r="Z329" i="37" s="1"/>
  <c r="Z473" i="37" a="1"/>
  <c r="Z473" i="37" s="1"/>
  <c r="Z474" i="37" a="1"/>
  <c r="Z474" i="37" s="1"/>
  <c r="Z428" i="37" a="1"/>
  <c r="Z428" i="37" s="1"/>
  <c r="Z330" i="37" a="1"/>
  <c r="Z330" i="37" s="1"/>
  <c r="Z257" i="37" a="1"/>
  <c r="Z257" i="37" s="1"/>
  <c r="Z429" i="37" a="1"/>
  <c r="Z429" i="37" s="1"/>
  <c r="Z263" i="37" a="1"/>
  <c r="Z263" i="37" s="1"/>
  <c r="Z444" i="37" a="1"/>
  <c r="Z444" i="37" s="1"/>
  <c r="Z430" i="37" a="1"/>
  <c r="Z430" i="37" s="1"/>
  <c r="Z432" i="37" a="1"/>
  <c r="Z432" i="37" s="1"/>
  <c r="Z260" i="37" a="1"/>
  <c r="Z260" i="37" s="1"/>
  <c r="Z261" i="37" a="1"/>
  <c r="Z261" i="37" s="1"/>
  <c r="Z262" i="37" a="1"/>
  <c r="Z262" i="37" s="1"/>
  <c r="Z331" i="37" a="1"/>
  <c r="Z331" i="37" s="1"/>
  <c r="Z374" i="37" a="1"/>
  <c r="Z374" i="37" s="1"/>
  <c r="Z332" i="37" a="1"/>
  <c r="Z332" i="37" s="1"/>
  <c r="Z377" i="37" a="1"/>
  <c r="Z377" i="37" s="1"/>
  <c r="Z203" i="37" a="1"/>
  <c r="Z203" i="37" s="1"/>
  <c r="Z111" i="37" a="1"/>
  <c r="Z111" i="37" s="1"/>
  <c r="Z379" i="37" a="1"/>
  <c r="Z379" i="37" s="1"/>
  <c r="Z333" i="37" a="1"/>
  <c r="Z333" i="37" s="1"/>
  <c r="Z334" i="37" a="1"/>
  <c r="Z334" i="37" s="1"/>
  <c r="Z443" i="37" a="1"/>
  <c r="Z443" i="37" s="1"/>
  <c r="Z459" i="37" a="1"/>
  <c r="Z459" i="37" s="1"/>
  <c r="Z289" i="37" a="1"/>
  <c r="Z289" i="37" s="1"/>
  <c r="Z475" i="37" a="1"/>
  <c r="Z475" i="37" s="1"/>
  <c r="Z335" i="37" a="1"/>
  <c r="Z335" i="37" s="1"/>
  <c r="Z112" i="37" a="1"/>
  <c r="Z112" i="37" s="1"/>
  <c r="Z422" i="37" a="1"/>
  <c r="Z422" i="37" s="1"/>
  <c r="Z381" i="37" a="1"/>
  <c r="Z381" i="37" s="1"/>
  <c r="Z605" i="37" a="1"/>
  <c r="Z605" i="37" s="1"/>
  <c r="Z616" i="37" a="1"/>
  <c r="Z616" i="37" s="1"/>
  <c r="Z383" i="37" a="1"/>
  <c r="Z383" i="37" s="1"/>
  <c r="Z183" i="37" a="1"/>
  <c r="Z183" i="37" s="1"/>
  <c r="Z433" i="37" a="1"/>
  <c r="Z433" i="37" s="1"/>
  <c r="Z336" i="37" a="1"/>
  <c r="Z336" i="37" s="1"/>
  <c r="Z337" i="37" a="1"/>
  <c r="Z337" i="37" s="1"/>
  <c r="Z386" i="37" a="1"/>
  <c r="Z386" i="37" s="1"/>
  <c r="Z338" i="37" a="1"/>
  <c r="Z338" i="37" s="1"/>
  <c r="Z617" i="37" a="1"/>
  <c r="Z617" i="37" s="1"/>
  <c r="Z389" i="37" a="1"/>
  <c r="Z389" i="37" s="1"/>
  <c r="Z606" i="37" a="1"/>
  <c r="Z606" i="37" s="1"/>
  <c r="Z204" i="37" a="1"/>
  <c r="Z204" i="37" s="1"/>
  <c r="Z291" i="37" a="1"/>
  <c r="Z291" i="37" s="1"/>
  <c r="Z390" i="37" a="1"/>
  <c r="Z390" i="37" s="1"/>
  <c r="Z394" i="37" a="1"/>
  <c r="Z394" i="37" s="1"/>
  <c r="Z398" i="37" a="1"/>
  <c r="Z398" i="37" s="1"/>
  <c r="Z400" i="37" a="1"/>
  <c r="Z400" i="37" s="1"/>
  <c r="Z476" i="37" a="1"/>
  <c r="Z476" i="37" s="1"/>
  <c r="Z399" i="37" a="1"/>
  <c r="Z399" i="37" s="1"/>
  <c r="Z403" i="37" a="1"/>
  <c r="Z403" i="37" s="1"/>
  <c r="Z477" i="37" a="1"/>
  <c r="Z477" i="37" s="1"/>
  <c r="Z408" i="37" a="1"/>
  <c r="Z408" i="37" s="1"/>
  <c r="Z439" i="37" a="1"/>
  <c r="Z439" i="37" s="1"/>
  <c r="Z573" i="37" a="1"/>
  <c r="Z573" i="37" s="1"/>
  <c r="Z413" i="37" a="1"/>
  <c r="Z413" i="37" s="1"/>
  <c r="Z607" i="37" a="1"/>
  <c r="Z607" i="37" s="1"/>
  <c r="Z412" i="37" a="1"/>
  <c r="Z412" i="37" s="1"/>
  <c r="Z113" i="37" a="1"/>
  <c r="Z113" i="37" s="1"/>
  <c r="Z414" i="37" a="1"/>
  <c r="Z414" i="37" s="1"/>
  <c r="Z411" i="37" a="1"/>
  <c r="Z411" i="37" s="1"/>
  <c r="Z138" i="37" a="1"/>
  <c r="Z138" i="37" s="1"/>
  <c r="Z139" i="37" a="1"/>
  <c r="Z139" i="37" s="1"/>
  <c r="Z339" i="37" a="1"/>
  <c r="Z339" i="37" s="1"/>
  <c r="Z478" i="37" a="1"/>
  <c r="Z478" i="37" s="1"/>
  <c r="Z141" i="37" a="1"/>
  <c r="Z141" i="37" s="1"/>
  <c r="Z479" i="37" a="1"/>
  <c r="Z479" i="37" s="1"/>
  <c r="Z340" i="37" a="1"/>
  <c r="Z340" i="37" s="1"/>
  <c r="Z144" i="37" a="1"/>
  <c r="Z144" i="37" s="1"/>
  <c r="Z567" i="37" a="1"/>
  <c r="Z567" i="37" s="1"/>
  <c r="Z586" i="37" a="1"/>
  <c r="Z586" i="37" s="1"/>
  <c r="Z587" i="37" a="1"/>
  <c r="Z587" i="37" s="1"/>
  <c r="Z589" i="37" a="1"/>
  <c r="Z589" i="37" s="1"/>
  <c r="Z625" i="37" a="1"/>
  <c r="Z625" i="37" s="1"/>
  <c r="Z480" i="37" a="1"/>
  <c r="Z480" i="37" s="1"/>
  <c r="Z342" i="37" a="1"/>
  <c r="Z342" i="37" s="1"/>
  <c r="Z253" i="37" a="1"/>
  <c r="Z253" i="37" s="1"/>
  <c r="Z341" i="37" a="1"/>
  <c r="Z341" i="37" s="1"/>
  <c r="Z252" i="37" a="1"/>
  <c r="Z252" i="37" s="1"/>
  <c r="Z482" i="37" a="1"/>
  <c r="Z482" i="37" s="1"/>
  <c r="Z481" i="37" a="1"/>
  <c r="Z481" i="37" s="1"/>
  <c r="Z343" i="37" a="1"/>
  <c r="Z343" i="37" s="1"/>
  <c r="Z251" i="37" a="1"/>
  <c r="Z251" i="37" s="1"/>
  <c r="Z256" i="37" a="1"/>
  <c r="Z256" i="37" s="1"/>
  <c r="Z264" i="37" a="1"/>
  <c r="Z264" i="37" s="1"/>
  <c r="Z593" i="37" a="1"/>
  <c r="Z593" i="37" s="1"/>
  <c r="Z345" i="37" a="1"/>
  <c r="Z345" i="37" s="1"/>
  <c r="Z484" i="37" a="1"/>
  <c r="Z484" i="37" s="1"/>
  <c r="Z483" i="37" a="1"/>
  <c r="Z483" i="37" s="1"/>
  <c r="Z344" i="37" a="1"/>
  <c r="Z344" i="37" s="1"/>
  <c r="Z458" i="37" a="1"/>
  <c r="Z458" i="37" s="1"/>
  <c r="Z486" i="37" a="1"/>
  <c r="Z486" i="37" s="1"/>
  <c r="Z485" i="37" a="1"/>
  <c r="Z485" i="37" s="1"/>
  <c r="Z626" i="37" a="1"/>
  <c r="Z626" i="37" s="1"/>
  <c r="Z346" i="37" a="1"/>
  <c r="Z346" i="37" s="1"/>
  <c r="Z628" i="37" a="1"/>
  <c r="Z628" i="37" s="1"/>
  <c r="Z380" i="37" a="1"/>
  <c r="Z380" i="37" s="1"/>
  <c r="Z382" i="37" a="1"/>
  <c r="Z382" i="37" s="1"/>
  <c r="Z627" i="37" a="1"/>
  <c r="Z627" i="37" s="1"/>
  <c r="Z384" i="37" a="1"/>
  <c r="Z384" i="37" s="1"/>
  <c r="Z387" i="37" a="1"/>
  <c r="Z387" i="37" s="1"/>
  <c r="Z391" i="37" a="1"/>
  <c r="Z391" i="37" s="1"/>
  <c r="Z392" i="37" a="1"/>
  <c r="Z392" i="37" s="1"/>
  <c r="Z393" i="37" a="1"/>
  <c r="Z393" i="37" s="1"/>
  <c r="Z397" i="37" a="1"/>
  <c r="Z397" i="37" s="1"/>
  <c r="Z396" i="37" a="1"/>
  <c r="Z396" i="37" s="1"/>
  <c r="Z401" i="37" a="1"/>
  <c r="Z401" i="37" s="1"/>
  <c r="Z405" i="37" a="1"/>
  <c r="Z405" i="37" s="1"/>
  <c r="Z404" i="37" a="1"/>
  <c r="Z404" i="37" s="1"/>
  <c r="Z406" i="37" a="1"/>
  <c r="Z406" i="37" s="1"/>
  <c r="Z487" i="37" a="1"/>
  <c r="Z487" i="37" s="1"/>
  <c r="Z506" i="37" a="1"/>
  <c r="Z506" i="37" s="1"/>
  <c r="Z620" i="37" a="1"/>
  <c r="Z620" i="37" s="1"/>
  <c r="Z466" i="37" a="1"/>
  <c r="Z466" i="37" s="1"/>
  <c r="Z550" i="37" a="1"/>
  <c r="Z550" i="37" s="1"/>
  <c r="Z498" i="37" a="1"/>
  <c r="Z498" i="37" s="1"/>
  <c r="Z521" i="37" a="1"/>
  <c r="Z521" i="37" s="1"/>
  <c r="Z445" i="37" a="1"/>
  <c r="Z445" i="37" s="1"/>
  <c r="Z184" i="37" a="1"/>
  <c r="Z184" i="37" s="1"/>
  <c r="Z348" i="37" a="1"/>
  <c r="Z348" i="37" s="1"/>
  <c r="Z357" i="37" a="1"/>
  <c r="Z357" i="37" s="1"/>
  <c r="Z640" i="37" a="1"/>
  <c r="Z640" i="37" s="1"/>
  <c r="Z469" i="37" a="1"/>
  <c r="Z469" i="37" s="1"/>
  <c r="Z510" i="37" a="1"/>
  <c r="Z510" i="37" s="1"/>
  <c r="Z511" i="37" a="1"/>
  <c r="Z511" i="37" s="1"/>
  <c r="Z528" i="37" a="1"/>
  <c r="Z528" i="37" s="1"/>
  <c r="Z347" i="37" a="1"/>
  <c r="Z347" i="37" s="1"/>
  <c r="Z436" i="37" a="1"/>
  <c r="Z436" i="37" s="1"/>
  <c r="Z517" i="37" a="1"/>
  <c r="Z517" i="37" s="1"/>
  <c r="Z493" i="37" a="1"/>
  <c r="Z493" i="37" s="1"/>
  <c r="Z467" i="37" a="1"/>
  <c r="Z467" i="37" s="1"/>
  <c r="Z293" i="37" a="1"/>
  <c r="Z293" i="37" s="1"/>
  <c r="Z452" i="37" a="1"/>
  <c r="Z452" i="37" s="1"/>
  <c r="Z358" i="37" a="1"/>
  <c r="Z358" i="37" s="1"/>
  <c r="Z455" i="37" a="1"/>
  <c r="Z455" i="37" s="1"/>
  <c r="Z522" i="37" a="1"/>
  <c r="Z522" i="37" s="1"/>
  <c r="Z351" i="37" a="1"/>
  <c r="Z351" i="37" s="1"/>
  <c r="Z610" i="37" a="1"/>
  <c r="Z610" i="37" s="1"/>
  <c r="Z463" i="37" a="1"/>
  <c r="Z463" i="37" s="1"/>
  <c r="Z490" i="37" a="1"/>
  <c r="Z490" i="37" s="1"/>
  <c r="Z500" i="37" a="1"/>
  <c r="Z500" i="37" s="1"/>
  <c r="Z499" i="37" a="1"/>
  <c r="Z499" i="37" s="1"/>
  <c r="Z523" i="37" a="1"/>
  <c r="Z523" i="37" s="1"/>
  <c r="Z470" i="37" a="1"/>
  <c r="Z470" i="37" s="1"/>
  <c r="Z273" i="37" a="1"/>
  <c r="Z273" i="37" s="1"/>
  <c r="Z489" i="37" a="1"/>
  <c r="Z489" i="37" s="1"/>
  <c r="Z488" i="37" a="1"/>
  <c r="Z488" i="37" s="1"/>
  <c r="Z288" i="37" a="1"/>
  <c r="Z288" i="37" s="1"/>
  <c r="Z292" i="37" a="1"/>
  <c r="Z292" i="37" s="1"/>
  <c r="Z491" i="37" a="1"/>
  <c r="Z491" i="37" s="1"/>
  <c r="Z448" i="37" a="1"/>
  <c r="Z448" i="37" s="1"/>
  <c r="Z494" i="37" a="1"/>
  <c r="Z494" i="37" s="1"/>
  <c r="Z451" i="37" a="1"/>
  <c r="Z451" i="37" s="1"/>
  <c r="Z512" i="37" a="1"/>
  <c r="Z512" i="37" s="1"/>
  <c r="Z525" i="37" a="1"/>
  <c r="Z525" i="37" s="1"/>
  <c r="Z527" i="37" a="1"/>
  <c r="Z527" i="37" s="1"/>
  <c r="Z524" i="37" a="1"/>
  <c r="Z524" i="37" s="1"/>
  <c r="Z639" i="37" a="1"/>
  <c r="Z639" i="37" s="1"/>
  <c r="Z356" i="37" a="1"/>
  <c r="Z356" i="37" s="1"/>
  <c r="Z453" i="37" a="1"/>
  <c r="Z453" i="37" s="1"/>
  <c r="Z460" i="37" a="1"/>
  <c r="Z460" i="37" s="1"/>
  <c r="Z290" i="37" a="1"/>
  <c r="Z290" i="37" s="1"/>
  <c r="Z611" i="37" a="1"/>
  <c r="Z611" i="37" s="1"/>
  <c r="Z492" i="37" a="1"/>
  <c r="Z492" i="37" s="1"/>
  <c r="Z495" i="37" a="1"/>
  <c r="Z495" i="37" s="1"/>
  <c r="Z294" i="37" a="1"/>
  <c r="Z294" i="37" s="1"/>
  <c r="Z496" i="37" a="1"/>
  <c r="Z496" i="37" s="1"/>
  <c r="Z497" i="37" a="1"/>
  <c r="Z497" i="37" s="1"/>
  <c r="Z502" i="37" a="1"/>
  <c r="Z502" i="37" s="1"/>
  <c r="Z446" i="37" a="1"/>
  <c r="Z446" i="37" s="1"/>
  <c r="Z503" i="37" a="1"/>
  <c r="Z503" i="37" s="1"/>
  <c r="Z449" i="37" a="1"/>
  <c r="Z449" i="37" s="1"/>
  <c r="Z631" i="37" a="1"/>
  <c r="Z631" i="37" s="1"/>
  <c r="Z504" i="37" a="1"/>
  <c r="Z504" i="37" s="1"/>
  <c r="Z630" i="37" a="1"/>
  <c r="Z630" i="37" s="1"/>
  <c r="Z629" i="37" a="1"/>
  <c r="Z629" i="37" s="1"/>
  <c r="Z623" i="37" a="1"/>
  <c r="Z623" i="37" s="1"/>
  <c r="Z501" i="37" a="1"/>
  <c r="Z501" i="37" s="1"/>
  <c r="Z505" i="37" a="1"/>
  <c r="Z505" i="37" s="1"/>
  <c r="Z508" i="37" a="1"/>
  <c r="Z508" i="37" s="1"/>
  <c r="Z509" i="37" a="1"/>
  <c r="Z509" i="37" s="1"/>
  <c r="Z513" i="37" a="1"/>
  <c r="Z513" i="37" s="1"/>
  <c r="Z632" i="37" a="1"/>
  <c r="Z632" i="37" s="1"/>
  <c r="Z514" i="37" a="1"/>
  <c r="Z514" i="37" s="1"/>
  <c r="Z515" i="37" a="1"/>
  <c r="Z515" i="37" s="1"/>
  <c r="Z519" i="37" a="1"/>
  <c r="Z519" i="37" s="1"/>
  <c r="Z518" i="37" a="1"/>
  <c r="Z518" i="37" s="1"/>
  <c r="Z520" i="37" a="1"/>
  <c r="Z520" i="37" s="1"/>
  <c r="Z114" i="37" a="1"/>
  <c r="Z114" i="37" s="1"/>
  <c r="Z205" i="37" a="1"/>
  <c r="Z205" i="37" s="1"/>
  <c r="Z349" i="37" a="1"/>
  <c r="Z349" i="37" s="1"/>
  <c r="Z350" i="37" a="1"/>
  <c r="Z350" i="37" s="1"/>
  <c r="Z608" i="37" a="1"/>
  <c r="Z608" i="37" s="1"/>
  <c r="Z609" i="37" a="1"/>
  <c r="Z609" i="37" s="1"/>
  <c r="Z352" i="37" a="1"/>
  <c r="Z352" i="37" s="1"/>
  <c r="Z355" i="37" a="1"/>
  <c r="Z355" i="37" s="1"/>
  <c r="Z353" i="37" a="1"/>
  <c r="Z353" i="37" s="1"/>
  <c r="Z468" i="37" a="1"/>
  <c r="Z468" i="37" s="1"/>
  <c r="Z354" i="37" a="1"/>
  <c r="Z354" i="37" s="1"/>
  <c r="Z295" i="37" a="1"/>
  <c r="Z295" i="37" s="1"/>
  <c r="Z447" i="37" a="1"/>
  <c r="Z447" i="37" s="1"/>
  <c r="Z450" i="37" a="1"/>
  <c r="Z450" i="37" s="1"/>
  <c r="Z454" i="37" a="1"/>
  <c r="Z454" i="37" s="1"/>
  <c r="Z359" i="37" a="1"/>
  <c r="Z359" i="37" s="1"/>
  <c r="Z456" i="37" a="1"/>
  <c r="Z456" i="37" s="1"/>
  <c r="Z457" i="37" a="1"/>
  <c r="Z457" i="37" s="1"/>
  <c r="Z360" i="37" a="1"/>
  <c r="Z360" i="37" s="1"/>
  <c r="Z462" i="37" a="1"/>
  <c r="Z462" i="37" s="1"/>
  <c r="Z461" i="37" a="1"/>
  <c r="Z461" i="37" s="1"/>
  <c r="Z633" i="37" a="1"/>
  <c r="Z633" i="37" s="1"/>
  <c r="Z464" i="37" a="1"/>
  <c r="Z464" i="37" s="1"/>
  <c r="Z624" i="37" a="1"/>
  <c r="Z624" i="37" s="1"/>
  <c r="Z465" i="37" a="1"/>
  <c r="Z465" i="37" s="1"/>
  <c r="Z516" i="37" a="1"/>
  <c r="Z516" i="37" s="1"/>
  <c r="Z634" i="37" a="1"/>
  <c r="Z634" i="37" s="1"/>
  <c r="Z635" i="37" a="1"/>
  <c r="Z635" i="37" s="1"/>
  <c r="Z638" i="37" a="1"/>
  <c r="Z638" i="37" s="1"/>
  <c r="Z637" i="37" a="1"/>
  <c r="Z637" i="37" s="1"/>
  <c r="Z636" i="37" a="1"/>
  <c r="Z636" i="37" s="1"/>
  <c r="Z529" i="37" a="1"/>
  <c r="Z529" i="37" s="1"/>
  <c r="Z530" i="37" a="1"/>
  <c r="Z530" i="37" s="1"/>
  <c r="Z531" i="37" a="1"/>
  <c r="Z531" i="37" s="1"/>
  <c r="Z532" i="37" a="1"/>
  <c r="Z532" i="37" s="1"/>
  <c r="Y2" i="37" a="1"/>
  <c r="Y2" i="37" s="1"/>
  <c r="Y3" i="37" a="1"/>
  <c r="Y3" i="37" s="1"/>
  <c r="Y10" i="37" a="1"/>
  <c r="Y10" i="37" s="1"/>
  <c r="Y534" i="37" a="1"/>
  <c r="Y534" i="37" s="1"/>
  <c r="Y533" i="37" a="1"/>
  <c r="Y533" i="37" s="1"/>
  <c r="Y6" i="37" a="1"/>
  <c r="Y6" i="37" s="1"/>
  <c r="Y5" i="37" a="1"/>
  <c r="Y5" i="37" s="1"/>
  <c r="Y11" i="37" a="1"/>
  <c r="Y11" i="37" s="1"/>
  <c r="Y4" i="37" a="1"/>
  <c r="Y4" i="37" s="1"/>
  <c r="Y23" i="37" a="1"/>
  <c r="Y23" i="37" s="1"/>
  <c r="Y7" i="37" a="1"/>
  <c r="Y7" i="37" s="1"/>
  <c r="Y13" i="37" a="1"/>
  <c r="Y13" i="37" s="1"/>
  <c r="Y24" i="37" a="1"/>
  <c r="Y24" i="37" s="1"/>
  <c r="Y36" i="37" a="1"/>
  <c r="Y36" i="37" s="1"/>
  <c r="Y25" i="37" a="1"/>
  <c r="Y25" i="37" s="1"/>
  <c r="Y37" i="37" a="1"/>
  <c r="Y37" i="37" s="1"/>
  <c r="Y20" i="37" a="1"/>
  <c r="Y20" i="37" s="1"/>
  <c r="Y14" i="37" a="1"/>
  <c r="Y14" i="37" s="1"/>
  <c r="Y15" i="37" a="1"/>
  <c r="Y15" i="37" s="1"/>
  <c r="Y19" i="37" a="1"/>
  <c r="Y19" i="37" s="1"/>
  <c r="Y22" i="37" a="1"/>
  <c r="Y22" i="37" s="1"/>
  <c r="Y26" i="37" a="1"/>
  <c r="Y26" i="37" s="1"/>
  <c r="Y537" i="37" a="1"/>
  <c r="Y537" i="37" s="1"/>
  <c r="Y27" i="37" a="1"/>
  <c r="Y27" i="37" s="1"/>
  <c r="Y21" i="37" a="1"/>
  <c r="Y21" i="37" s="1"/>
  <c r="Y38" i="37" a="1"/>
  <c r="Y38" i="37" s="1"/>
  <c r="Y538" i="37" a="1"/>
  <c r="Y538" i="37" s="1"/>
  <c r="Y28" i="37" a="1"/>
  <c r="Y28" i="37" s="1"/>
  <c r="Y16" i="37" a="1"/>
  <c r="Y16" i="37" s="1"/>
  <c r="Y39" i="37" a="1"/>
  <c r="Y39" i="37" s="1"/>
  <c r="Y40" i="37" a="1"/>
  <c r="Y40" i="37" s="1"/>
  <c r="Y29" i="37" a="1"/>
  <c r="Y29" i="37" s="1"/>
  <c r="Y41" i="37" a="1"/>
  <c r="Y41" i="37" s="1"/>
  <c r="Y33" i="37" a="1"/>
  <c r="Y33" i="37" s="1"/>
  <c r="Y42" i="37" a="1"/>
  <c r="Y42" i="37" s="1"/>
  <c r="Y539" i="37" a="1"/>
  <c r="Y539" i="37" s="1"/>
  <c r="Y85" i="37" a="1"/>
  <c r="Y85" i="37" s="1"/>
  <c r="Y43" i="37" a="1"/>
  <c r="Y43" i="37" s="1"/>
  <c r="Y44" i="37" a="1"/>
  <c r="Y44" i="37" s="1"/>
  <c r="Y535" i="37" a="1"/>
  <c r="Y535" i="37" s="1"/>
  <c r="Y45" i="37" a="1"/>
  <c r="Y45" i="37" s="1"/>
  <c r="Y17" i="37" a="1"/>
  <c r="Y17" i="37" s="1"/>
  <c r="Y70" i="37" a="1"/>
  <c r="Y70" i="37" s="1"/>
  <c r="Y30" i="37" a="1"/>
  <c r="Y30" i="37" s="1"/>
  <c r="Y18" i="37" a="1"/>
  <c r="Y18" i="37" s="1"/>
  <c r="Y62" i="37" a="1"/>
  <c r="Y62" i="37" s="1"/>
  <c r="Y57" i="37" a="1"/>
  <c r="Y57" i="37" s="1"/>
  <c r="Y46" i="37" a="1"/>
  <c r="Y46" i="37" s="1"/>
  <c r="Y61" i="37" a="1"/>
  <c r="Y61" i="37" s="1"/>
  <c r="Y71" i="37" a="1"/>
  <c r="Y71" i="37" s="1"/>
  <c r="Y31" i="37" a="1"/>
  <c r="Y31" i="37" s="1"/>
  <c r="Y541" i="37" a="1"/>
  <c r="Y541" i="37" s="1"/>
  <c r="Y56" i="37" a="1"/>
  <c r="Y56" i="37" s="1"/>
  <c r="Y536" i="37" a="1"/>
  <c r="Y536" i="37" s="1"/>
  <c r="Y47" i="37" a="1"/>
  <c r="Y47" i="37" s="1"/>
  <c r="Y86" i="37" a="1"/>
  <c r="Y86" i="37" s="1"/>
  <c r="Y72" i="37" a="1"/>
  <c r="Y72" i="37" s="1"/>
  <c r="Y48" i="37" a="1"/>
  <c r="Y48" i="37" s="1"/>
  <c r="Y547" i="37" a="1"/>
  <c r="Y547" i="37" s="1"/>
  <c r="Y115" i="37" a="1"/>
  <c r="Y115" i="37" s="1"/>
  <c r="Y562" i="37" a="1"/>
  <c r="Y562" i="37" s="1"/>
  <c r="Y58" i="37" a="1"/>
  <c r="Y58" i="37" s="1"/>
  <c r="Y63" i="37" a="1"/>
  <c r="Y63" i="37" s="1"/>
  <c r="Y34" i="37" a="1"/>
  <c r="Y34" i="37" s="1"/>
  <c r="Y540" i="37" a="1"/>
  <c r="Y540" i="37" s="1"/>
  <c r="Y116" i="37" a="1"/>
  <c r="Y116" i="37" s="1"/>
  <c r="Y12" i="37" a="1"/>
  <c r="Y12" i="37" s="1"/>
  <c r="Y32" i="37" a="1"/>
  <c r="Y32" i="37" s="1"/>
  <c r="Y73" i="37" a="1"/>
  <c r="Y73" i="37" s="1"/>
  <c r="Y74" i="37" a="1"/>
  <c r="Y74" i="37" s="1"/>
  <c r="Y542" i="37" a="1"/>
  <c r="Y542" i="37" s="1"/>
  <c r="Y75" i="37" a="1"/>
  <c r="Y75" i="37" s="1"/>
  <c r="Y543" i="37" a="1"/>
  <c r="Y543" i="37" s="1"/>
  <c r="Y117" i="37" a="1"/>
  <c r="Y117" i="37" s="1"/>
  <c r="Y546" i="37" a="1"/>
  <c r="Y546" i="37" s="1"/>
  <c r="Y99" i="37" a="1"/>
  <c r="Y99" i="37" s="1"/>
  <c r="Y67" i="37" a="1"/>
  <c r="Y67" i="37" s="1"/>
  <c r="Y100" i="37" a="1"/>
  <c r="Y100" i="37" s="1"/>
  <c r="Y68" i="37" a="1"/>
  <c r="Y68" i="37" s="1"/>
  <c r="Y64" i="37" a="1"/>
  <c r="Y64" i="37" s="1"/>
  <c r="Y101" i="37" a="1"/>
  <c r="Y101" i="37" s="1"/>
  <c r="Y65" i="37" a="1"/>
  <c r="Y65" i="37" s="1"/>
  <c r="Y92" i="37" a="1"/>
  <c r="Y92" i="37" s="1"/>
  <c r="Y49" i="37" a="1"/>
  <c r="Y49" i="37" s="1"/>
  <c r="Y185" i="37" a="1"/>
  <c r="Y185" i="37" s="1"/>
  <c r="Y163" i="37" a="1"/>
  <c r="Y163" i="37" s="1"/>
  <c r="Y76" i="37" a="1"/>
  <c r="Y76" i="37" s="1"/>
  <c r="Y87" i="37" a="1"/>
  <c r="Y87" i="37" s="1"/>
  <c r="Y82" i="37" a="1"/>
  <c r="Y82" i="37" s="1"/>
  <c r="Y88" i="37" a="1"/>
  <c r="Y88" i="37" s="1"/>
  <c r="Y554" i="37" a="1"/>
  <c r="Y554" i="37" s="1"/>
  <c r="Y93" i="37" a="1"/>
  <c r="Y93" i="37" s="1"/>
  <c r="Y118" i="37" a="1"/>
  <c r="Y118" i="37" s="1"/>
  <c r="Y83" i="37" a="1"/>
  <c r="Y83" i="37" s="1"/>
  <c r="Y164" i="37" a="1"/>
  <c r="Y164" i="37" s="1"/>
  <c r="Y119" i="37" a="1"/>
  <c r="Y119" i="37" s="1"/>
  <c r="Y549" i="37" a="1"/>
  <c r="Y549" i="37" s="1"/>
  <c r="Y50" i="37" a="1"/>
  <c r="Y50" i="37" s="1"/>
  <c r="Y120" i="37" a="1"/>
  <c r="Y120" i="37" s="1"/>
  <c r="Y121" i="37" a="1"/>
  <c r="Y121" i="37" s="1"/>
  <c r="Y84" i="37" a="1"/>
  <c r="Y84" i="37" s="1"/>
  <c r="Y165" i="37" a="1"/>
  <c r="Y165" i="37" s="1"/>
  <c r="Y206" i="37" a="1"/>
  <c r="Y206" i="37" s="1"/>
  <c r="Y89" i="37" a="1"/>
  <c r="Y89" i="37" s="1"/>
  <c r="Y574" i="37" a="1"/>
  <c r="Y574" i="37" s="1"/>
  <c r="Y166" i="37" a="1"/>
  <c r="Y166" i="37" s="1"/>
  <c r="Y167" i="37" a="1"/>
  <c r="Y167" i="37" s="1"/>
  <c r="Y77" i="37" a="1"/>
  <c r="Y77" i="37" s="1"/>
  <c r="Y123" i="37" a="1"/>
  <c r="Y123" i="37" s="1"/>
  <c r="Y122" i="37" a="1"/>
  <c r="Y122" i="37" s="1"/>
  <c r="Y575" i="37" a="1"/>
  <c r="Y575" i="37" s="1"/>
  <c r="Y96" i="37" a="1"/>
  <c r="Y96" i="37" s="1"/>
  <c r="Y186" i="37" a="1"/>
  <c r="Y186" i="37" s="1"/>
  <c r="Y176" i="37" a="1"/>
  <c r="Y176" i="37" s="1"/>
  <c r="Y151" i="37" a="1"/>
  <c r="Y151" i="37" s="1"/>
  <c r="Y97" i="37" a="1"/>
  <c r="Y97" i="37" s="1"/>
  <c r="Y274" i="37" a="1"/>
  <c r="Y274" i="37" s="1"/>
  <c r="Y545" i="37" a="1"/>
  <c r="Y545" i="37" s="1"/>
  <c r="Y187" i="37" a="1"/>
  <c r="Y187" i="37" s="1"/>
  <c r="Y207" i="37" a="1"/>
  <c r="Y207" i="37" s="1"/>
  <c r="Y9" i="37" a="1"/>
  <c r="Y9" i="37" s="1"/>
  <c r="Y570" i="37" a="1"/>
  <c r="Y570" i="37" s="1"/>
  <c r="Y296" i="37" a="1"/>
  <c r="Y296" i="37" s="1"/>
  <c r="Y102" i="37" a="1"/>
  <c r="Y102" i="37" s="1"/>
  <c r="Y66" i="37" a="1"/>
  <c r="Y66" i="37" s="1"/>
  <c r="Y177" i="37" a="1"/>
  <c r="Y177" i="37" s="1"/>
  <c r="Y297" i="37" a="1"/>
  <c r="Y297" i="37" s="1"/>
  <c r="Y576" i="37" a="1"/>
  <c r="Y576" i="37" s="1"/>
  <c r="Y156" i="37" a="1"/>
  <c r="Y156" i="37" s="1"/>
  <c r="Y188" i="37" a="1"/>
  <c r="Y188" i="37" s="1"/>
  <c r="Y189" i="37" a="1"/>
  <c r="Y189" i="37" s="1"/>
  <c r="Y103" i="37" a="1"/>
  <c r="Y103" i="37" s="1"/>
  <c r="Y190" i="37" a="1"/>
  <c r="Y190" i="37" s="1"/>
  <c r="Y152" i="37" a="1"/>
  <c r="Y152" i="37" s="1"/>
  <c r="Y208" i="37" a="1"/>
  <c r="Y208" i="37" s="1"/>
  <c r="Y209" i="37" a="1"/>
  <c r="Y209" i="37" s="1"/>
  <c r="Y210" i="37" a="1"/>
  <c r="Y210" i="37" s="1"/>
  <c r="Y596" i="37" a="1"/>
  <c r="Y596" i="37" s="1"/>
  <c r="Y168" i="37" a="1"/>
  <c r="Y168" i="37" s="1"/>
  <c r="Y568" i="37" a="1"/>
  <c r="Y568" i="37" s="1"/>
  <c r="Y124" i="37" a="1"/>
  <c r="Y124" i="37" s="1"/>
  <c r="Y571" i="37" a="1"/>
  <c r="Y571" i="37" s="1"/>
  <c r="Y175" i="37" a="1"/>
  <c r="Y175" i="37" s="1"/>
  <c r="Y211" i="37" a="1"/>
  <c r="Y211" i="37" s="1"/>
  <c r="Y104" i="37" a="1"/>
  <c r="Y104" i="37" s="1"/>
  <c r="Y125" i="37" a="1"/>
  <c r="Y125" i="37" s="1"/>
  <c r="Y105" i="37" a="1"/>
  <c r="Y105" i="37" s="1"/>
  <c r="Y126" i="37" a="1"/>
  <c r="Y126" i="37" s="1"/>
  <c r="Y548" i="37" a="1"/>
  <c r="Y548" i="37" s="1"/>
  <c r="Y191" i="37" a="1"/>
  <c r="Y191" i="37" s="1"/>
  <c r="Y563" i="37" a="1"/>
  <c r="Y563" i="37" s="1"/>
  <c r="Y213" i="37" a="1"/>
  <c r="Y213" i="37" s="1"/>
  <c r="Y298" i="37" a="1"/>
  <c r="Y298" i="37" s="1"/>
  <c r="Y106" i="37" a="1"/>
  <c r="Y106" i="37" s="1"/>
  <c r="Y212" i="37" a="1"/>
  <c r="Y212" i="37" s="1"/>
  <c r="Y564" i="37" a="1"/>
  <c r="Y564" i="37" s="1"/>
  <c r="Y577" i="37" a="1"/>
  <c r="Y577" i="37" s="1"/>
  <c r="Y107" i="37" a="1"/>
  <c r="Y107" i="37" s="1"/>
  <c r="Y157" i="37" a="1"/>
  <c r="Y157" i="37" s="1"/>
  <c r="Y214" i="37" a="1"/>
  <c r="Y214" i="37" s="1"/>
  <c r="Y158" i="37" a="1"/>
  <c r="Y158" i="37" s="1"/>
  <c r="Y578" i="37" a="1"/>
  <c r="Y578" i="37" s="1"/>
  <c r="Y215" i="37" a="1"/>
  <c r="Y215" i="37" s="1"/>
  <c r="Y155" i="37" a="1"/>
  <c r="Y155" i="37" s="1"/>
  <c r="Y216" i="37" a="1"/>
  <c r="Y216" i="37" s="1"/>
  <c r="Y217" i="37" a="1"/>
  <c r="Y217" i="37" s="1"/>
  <c r="Y127" i="37" a="1"/>
  <c r="Y127" i="37" s="1"/>
  <c r="Y90" i="37" a="1"/>
  <c r="Y90" i="37" s="1"/>
  <c r="Y153" i="37" a="1"/>
  <c r="Y153" i="37" s="1"/>
  <c r="Y128" i="37" a="1"/>
  <c r="Y128" i="37" s="1"/>
  <c r="Y299" i="37" a="1"/>
  <c r="Y299" i="37" s="1"/>
  <c r="Y192" i="37" a="1"/>
  <c r="Y192" i="37" s="1"/>
  <c r="Y129" i="37" a="1"/>
  <c r="Y129" i="37" s="1"/>
  <c r="Y565" i="37" a="1"/>
  <c r="Y565" i="37" s="1"/>
  <c r="Y130" i="37" a="1"/>
  <c r="Y130" i="37" s="1"/>
  <c r="Y218" i="37" a="1"/>
  <c r="Y218" i="37" s="1"/>
  <c r="Y131" i="37" a="1"/>
  <c r="Y131" i="37" s="1"/>
  <c r="Y154" i="37" a="1"/>
  <c r="Y154" i="37" s="1"/>
  <c r="Y555" i="37" a="1"/>
  <c r="Y555" i="37" s="1"/>
  <c r="Y579" i="37" a="1"/>
  <c r="Y579" i="37" s="1"/>
  <c r="Y132" i="37" a="1"/>
  <c r="Y132" i="37" s="1"/>
  <c r="Y580" i="37" a="1"/>
  <c r="Y580" i="37" s="1"/>
  <c r="Y219" i="37" a="1"/>
  <c r="Y219" i="37" s="1"/>
  <c r="Y133" i="37" a="1"/>
  <c r="Y133" i="37" s="1"/>
  <c r="Y134" i="37" a="1"/>
  <c r="Y134" i="37" s="1"/>
  <c r="Y599" i="37" a="1"/>
  <c r="Y599" i="37" s="1"/>
  <c r="Y220" i="37" a="1"/>
  <c r="Y220" i="37" s="1"/>
  <c r="Y221" i="37" a="1"/>
  <c r="Y221" i="37" s="1"/>
  <c r="Y59" i="37" a="1"/>
  <c r="Y59" i="37" s="1"/>
  <c r="Y222" i="37" a="1"/>
  <c r="Y222" i="37" s="1"/>
  <c r="Y223" i="37" a="1"/>
  <c r="Y223" i="37" s="1"/>
  <c r="Y275" i="37" a="1"/>
  <c r="Y275" i="37" s="1"/>
  <c r="Y51" i="37" a="1"/>
  <c r="Y51" i="37" s="1"/>
  <c r="Y224" i="37" a="1"/>
  <c r="Y224" i="37" s="1"/>
  <c r="Y78" i="37" a="1"/>
  <c r="Y78" i="37" s="1"/>
  <c r="Y225" i="37" a="1"/>
  <c r="Y225" i="37" s="1"/>
  <c r="Y35" i="37" a="1"/>
  <c r="Y35" i="37" s="1"/>
  <c r="Y226" i="37" a="1"/>
  <c r="Y226" i="37" s="1"/>
  <c r="Y169" i="37" a="1"/>
  <c r="Y169" i="37" s="1"/>
  <c r="Y170" i="37" a="1"/>
  <c r="Y170" i="37" s="1"/>
  <c r="Y557" i="37" a="1"/>
  <c r="Y557" i="37" s="1"/>
  <c r="Y361" i="37" a="1"/>
  <c r="Y361" i="37" s="1"/>
  <c r="Y558" i="37" a="1"/>
  <c r="Y558" i="37" s="1"/>
  <c r="Y227" i="37" a="1"/>
  <c r="Y227" i="37" s="1"/>
  <c r="Y556" i="37" a="1"/>
  <c r="Y556" i="37" s="1"/>
  <c r="Y228" i="37" a="1"/>
  <c r="Y228" i="37" s="1"/>
  <c r="Y171" i="37" a="1"/>
  <c r="Y171" i="37" s="1"/>
  <c r="Y178" i="37" a="1"/>
  <c r="Y178" i="37" s="1"/>
  <c r="Y595" i="37" a="1"/>
  <c r="Y595" i="37" s="1"/>
  <c r="Y193" i="37" a="1"/>
  <c r="Y193" i="37" s="1"/>
  <c r="Y69" i="37" a="1"/>
  <c r="Y69" i="37" s="1"/>
  <c r="Y179" i="37" a="1"/>
  <c r="Y179" i="37" s="1"/>
  <c r="Y135" i="37" a="1"/>
  <c r="Y135" i="37" s="1"/>
  <c r="Y108" i="37" a="1"/>
  <c r="Y108" i="37" s="1"/>
  <c r="Y300" i="37" a="1"/>
  <c r="Y300" i="37" s="1"/>
  <c r="Y98" i="37" a="1"/>
  <c r="Y98" i="37" s="1"/>
  <c r="Y159" i="37" a="1"/>
  <c r="Y159" i="37" s="1"/>
  <c r="Y597" i="37" a="1"/>
  <c r="Y597" i="37" s="1"/>
  <c r="Y560" i="37" a="1"/>
  <c r="Y560" i="37" s="1"/>
  <c r="Y79" i="37" a="1"/>
  <c r="Y79" i="37" s="1"/>
  <c r="Y279" i="37" a="1"/>
  <c r="Y279" i="37" s="1"/>
  <c r="Y569" i="37" a="1"/>
  <c r="Y569" i="37" s="1"/>
  <c r="Y229" i="37" a="1"/>
  <c r="Y229" i="37" s="1"/>
  <c r="Y230" i="37" a="1"/>
  <c r="Y230" i="37" s="1"/>
  <c r="Y301" i="37" a="1"/>
  <c r="Y301" i="37" s="1"/>
  <c r="Y437" i="37" a="1"/>
  <c r="Y437" i="37" s="1"/>
  <c r="Y160" i="37" a="1"/>
  <c r="Y160" i="37" s="1"/>
  <c r="Y280" i="37" a="1"/>
  <c r="Y280" i="37" s="1"/>
  <c r="Y302" i="37" a="1"/>
  <c r="Y302" i="37" s="1"/>
  <c r="Y231" i="37" a="1"/>
  <c r="Y231" i="37" s="1"/>
  <c r="Y303" i="37" a="1"/>
  <c r="Y303" i="37" s="1"/>
  <c r="Y304" i="37" a="1"/>
  <c r="Y304" i="37" s="1"/>
  <c r="Y305" i="37" a="1"/>
  <c r="Y305" i="37" s="1"/>
  <c r="Y194" i="37" a="1"/>
  <c r="Y194" i="37" s="1"/>
  <c r="Y265" i="37" a="1"/>
  <c r="Y265" i="37" s="1"/>
  <c r="Y306" i="37" a="1"/>
  <c r="Y306" i="37" s="1"/>
  <c r="Y232" i="37" a="1"/>
  <c r="Y232" i="37" s="1"/>
  <c r="Y195" i="37" a="1"/>
  <c r="Y195" i="37" s="1"/>
  <c r="Y598" i="37" a="1"/>
  <c r="Y598" i="37" s="1"/>
  <c r="Y281" i="37" a="1"/>
  <c r="Y281" i="37" s="1"/>
  <c r="Y600" i="37" a="1"/>
  <c r="Y600" i="37" s="1"/>
  <c r="Y80" i="37" a="1"/>
  <c r="Y80" i="37" s="1"/>
  <c r="Y270" i="37" a="1"/>
  <c r="Y270" i="37" s="1"/>
  <c r="Y180" i="37" a="1"/>
  <c r="Y180" i="37" s="1"/>
  <c r="Y307" i="37" a="1"/>
  <c r="Y307" i="37" s="1"/>
  <c r="Y267" i="37" a="1"/>
  <c r="Y267" i="37" s="1"/>
  <c r="Y196" i="37" a="1"/>
  <c r="Y196" i="37" s="1"/>
  <c r="Y269" i="37" a="1"/>
  <c r="Y269" i="37" s="1"/>
  <c r="Y198" i="37" a="1"/>
  <c r="Y198" i="37" s="1"/>
  <c r="Y282" i="37" a="1"/>
  <c r="Y282" i="37" s="1"/>
  <c r="Y308" i="37" a="1"/>
  <c r="Y308" i="37" s="1"/>
  <c r="Y471" i="37" a="1"/>
  <c r="Y471" i="37" s="1"/>
  <c r="Y283" i="37" a="1"/>
  <c r="Y283" i="37" s="1"/>
  <c r="Y161" i="37" a="1"/>
  <c r="Y161" i="37" s="1"/>
  <c r="Y581" i="37" a="1"/>
  <c r="Y581" i="37" s="1"/>
  <c r="Y234" i="37" a="1"/>
  <c r="Y234" i="37" s="1"/>
  <c r="Y233" i="37" a="1"/>
  <c r="Y233" i="37" s="1"/>
  <c r="Y235" i="37" a="1"/>
  <c r="Y235" i="37" s="1"/>
  <c r="Y268" i="37" a="1"/>
  <c r="Y268" i="37" s="1"/>
  <c r="Y199" i="37" a="1"/>
  <c r="Y199" i="37" s="1"/>
  <c r="Y236" i="37" a="1"/>
  <c r="Y236" i="37" s="1"/>
  <c r="Y582" i="37" a="1"/>
  <c r="Y582" i="37" s="1"/>
  <c r="Y237" i="37" a="1"/>
  <c r="Y237" i="37" s="1"/>
  <c r="Y238" i="37" a="1"/>
  <c r="Y238" i="37" s="1"/>
  <c r="Y583" i="37" a="1"/>
  <c r="Y583" i="37" s="1"/>
  <c r="Y172" i="37" a="1"/>
  <c r="Y172" i="37" s="1"/>
  <c r="Y239" i="37" a="1"/>
  <c r="Y239" i="37" s="1"/>
  <c r="Y363" i="37" a="1"/>
  <c r="Y363" i="37" s="1"/>
  <c r="Y364" i="37" a="1"/>
  <c r="Y364" i="37" s="1"/>
  <c r="Y362" i="37" a="1"/>
  <c r="Y362" i="37" s="1"/>
  <c r="Y594" i="37" a="1"/>
  <c r="Y594" i="37" s="1"/>
  <c r="Y612" i="37" a="1"/>
  <c r="Y612" i="37" s="1"/>
  <c r="Y266" i="37" a="1"/>
  <c r="Y266" i="37" s="1"/>
  <c r="Y309" i="37" a="1"/>
  <c r="Y309" i="37" s="1"/>
  <c r="Y365" i="37" a="1"/>
  <c r="Y365" i="37" s="1"/>
  <c r="Y240" i="37" a="1"/>
  <c r="Y240" i="37" s="1"/>
  <c r="Y91" i="37" a="1"/>
  <c r="Y91" i="37" s="1"/>
  <c r="Y613" i="37" a="1"/>
  <c r="Y613" i="37" s="1"/>
  <c r="Y551" i="37" a="1"/>
  <c r="Y551" i="37" s="1"/>
  <c r="Y271" i="37" a="1"/>
  <c r="Y271" i="37" s="1"/>
  <c r="Y584" i="37" a="1"/>
  <c r="Y584" i="37" s="1"/>
  <c r="Y52" i="37" a="1"/>
  <c r="Y52" i="37" s="1"/>
  <c r="Y366" i="37" a="1"/>
  <c r="Y366" i="37" s="1"/>
  <c r="Y241" i="37" a="1"/>
  <c r="Y241" i="37" s="1"/>
  <c r="Y614" i="37" a="1"/>
  <c r="Y614" i="37" s="1"/>
  <c r="Y367" i="37" a="1"/>
  <c r="Y367" i="37" s="1"/>
  <c r="Y544" i="37" a="1"/>
  <c r="Y544" i="37" s="1"/>
  <c r="Y136" i="37" a="1"/>
  <c r="Y136" i="37" s="1"/>
  <c r="Y585" i="37" a="1"/>
  <c r="Y585" i="37" s="1"/>
  <c r="Y371" i="37" a="1"/>
  <c r="Y371" i="37" s="1"/>
  <c r="Y369" i="37" a="1"/>
  <c r="Y369" i="37" s="1"/>
  <c r="Y615" i="37" a="1"/>
  <c r="Y615" i="37" s="1"/>
  <c r="Y368" i="37" a="1"/>
  <c r="Y368" i="37" s="1"/>
  <c r="Y370" i="37" a="1"/>
  <c r="Y370" i="37" s="1"/>
  <c r="Y242" i="37" a="1"/>
  <c r="Y242" i="37" s="1"/>
  <c r="Y244" i="37" a="1"/>
  <c r="Y244" i="37" s="1"/>
  <c r="Y372" i="37" a="1"/>
  <c r="Y372" i="37" s="1"/>
  <c r="Y566" i="37" a="1"/>
  <c r="Y566" i="37" s="1"/>
  <c r="Y243" i="37" a="1"/>
  <c r="Y243" i="37" s="1"/>
  <c r="Y407" i="37" a="1"/>
  <c r="Y407" i="37" s="1"/>
  <c r="Y8" i="37" a="1"/>
  <c r="Y8" i="37" s="1"/>
  <c r="Y310" i="37" a="1"/>
  <c r="Y310" i="37" s="1"/>
  <c r="Y385" i="37" a="1"/>
  <c r="Y385" i="37" s="1"/>
  <c r="Y94" i="37" a="1"/>
  <c r="Y94" i="37" s="1"/>
  <c r="Y55" i="37" a="1"/>
  <c r="Y55" i="37" s="1"/>
  <c r="Y258" i="37" a="1"/>
  <c r="Y258" i="37" s="1"/>
  <c r="Y137" i="37" a="1"/>
  <c r="Y137" i="37" s="1"/>
  <c r="Y54" i="37" a="1"/>
  <c r="Y54" i="37" s="1"/>
  <c r="Y418" i="37" a="1"/>
  <c r="Y418" i="37" s="1"/>
  <c r="Y174" i="37" a="1"/>
  <c r="Y174" i="37" s="1"/>
  <c r="Y311" i="37" a="1"/>
  <c r="Y311" i="37" s="1"/>
  <c r="Y416" i="37" a="1"/>
  <c r="Y416" i="37" s="1"/>
  <c r="Y312" i="37" a="1"/>
  <c r="Y312" i="37" s="1"/>
  <c r="Y145" i="37" a="1"/>
  <c r="Y145" i="37" s="1"/>
  <c r="Y278" i="37" a="1"/>
  <c r="Y278" i="37" s="1"/>
  <c r="Y181" i="37" a="1"/>
  <c r="Y181" i="37" s="1"/>
  <c r="Y375" i="37" a="1"/>
  <c r="Y375" i="37" s="1"/>
  <c r="Y146" i="37" a="1"/>
  <c r="Y146" i="37" s="1"/>
  <c r="Y388" i="37" a="1"/>
  <c r="Y388" i="37" s="1"/>
  <c r="Y419" i="37" a="1"/>
  <c r="Y419" i="37" s="1"/>
  <c r="Y60" i="37" a="1"/>
  <c r="Y60" i="37" s="1"/>
  <c r="Y81" i="37" a="1"/>
  <c r="Y81" i="37" s="1"/>
  <c r="Y149" i="37" a="1"/>
  <c r="Y149" i="37" s="1"/>
  <c r="Y246" i="37" a="1"/>
  <c r="Y246" i="37" s="1"/>
  <c r="Y590" i="37" a="1"/>
  <c r="Y590" i="37" s="1"/>
  <c r="Y254" i="37" a="1"/>
  <c r="Y254" i="37" s="1"/>
  <c r="Y373" i="37" a="1"/>
  <c r="Y373" i="37" s="1"/>
  <c r="Y376" i="37" a="1"/>
  <c r="Y376" i="37" s="1"/>
  <c r="Y378" i="37" a="1"/>
  <c r="Y378" i="37" s="1"/>
  <c r="Y410" i="37" a="1"/>
  <c r="Y410" i="37" s="1"/>
  <c r="Y409" i="37" a="1"/>
  <c r="Y409" i="37" s="1"/>
  <c r="Y420" i="37" a="1"/>
  <c r="Y420" i="37" s="1"/>
  <c r="Y248" i="37" a="1"/>
  <c r="Y248" i="37" s="1"/>
  <c r="Y247" i="37" a="1"/>
  <c r="Y247" i="37" s="1"/>
  <c r="Y259" i="37" a="1"/>
  <c r="Y259" i="37" s="1"/>
  <c r="Y402" i="37" a="1"/>
  <c r="Y402" i="37" s="1"/>
  <c r="Y415" i="37" a="1"/>
  <c r="Y415" i="37" s="1"/>
  <c r="Y417" i="37" a="1"/>
  <c r="Y417" i="37" s="1"/>
  <c r="Y53" i="37" a="1"/>
  <c r="Y53" i="37" s="1"/>
  <c r="Y140" i="37" a="1"/>
  <c r="Y140" i="37" s="1"/>
  <c r="Y142" i="37" a="1"/>
  <c r="Y142" i="37" s="1"/>
  <c r="Y109" i="37" a="1"/>
  <c r="Y109" i="37" s="1"/>
  <c r="Y313" i="37" a="1"/>
  <c r="Y313" i="37" s="1"/>
  <c r="Y314" i="37" a="1"/>
  <c r="Y314" i="37" s="1"/>
  <c r="Y601" i="37" a="1"/>
  <c r="Y601" i="37" s="1"/>
  <c r="Y315" i="37" a="1"/>
  <c r="Y315" i="37" s="1"/>
  <c r="Y618" i="37" a="1"/>
  <c r="Y618" i="37" s="1"/>
  <c r="Y143" i="37" a="1"/>
  <c r="Y143" i="37" s="1"/>
  <c r="Y622" i="37" a="1"/>
  <c r="Y622" i="37" s="1"/>
  <c r="Y316" i="37" a="1"/>
  <c r="Y316" i="37" s="1"/>
  <c r="Y552" i="37" a="1"/>
  <c r="Y552" i="37" s="1"/>
  <c r="Y317" i="37" a="1"/>
  <c r="Y317" i="37" s="1"/>
  <c r="Y182" i="37" a="1"/>
  <c r="Y182" i="37" s="1"/>
  <c r="Y200" i="37" a="1"/>
  <c r="Y200" i="37" s="1"/>
  <c r="Y284" i="37" a="1"/>
  <c r="Y284" i="37" s="1"/>
  <c r="Y427" i="37" a="1"/>
  <c r="Y427" i="37" s="1"/>
  <c r="Y147" i="37" a="1"/>
  <c r="Y147" i="37" s="1"/>
  <c r="Y173" i="37" a="1"/>
  <c r="Y173" i="37" s="1"/>
  <c r="Y318" i="37" a="1"/>
  <c r="Y318" i="37" s="1"/>
  <c r="Y435" i="37" a="1"/>
  <c r="Y435" i="37" s="1"/>
  <c r="Y285" i="37" a="1"/>
  <c r="Y285" i="37" s="1"/>
  <c r="Y602" i="37" a="1"/>
  <c r="Y602" i="37" s="1"/>
  <c r="Y319" i="37" a="1"/>
  <c r="Y319" i="37" s="1"/>
  <c r="Y148" i="37" a="1"/>
  <c r="Y148" i="37" s="1"/>
  <c r="Y320" i="37" a="1"/>
  <c r="Y320" i="37" s="1"/>
  <c r="Y321" i="37" a="1"/>
  <c r="Y321" i="37" s="1"/>
  <c r="Y150" i="37" a="1"/>
  <c r="Y150" i="37" s="1"/>
  <c r="Y322" i="37" a="1"/>
  <c r="Y322" i="37" s="1"/>
  <c r="Y323" i="37" a="1"/>
  <c r="Y323" i="37" s="1"/>
  <c r="Y621" i="37" a="1"/>
  <c r="Y621" i="37" s="1"/>
  <c r="Y424" i="37" a="1"/>
  <c r="Y424" i="37" s="1"/>
  <c r="Y201" i="37" a="1"/>
  <c r="Y201" i="37" s="1"/>
  <c r="Y440" i="37" a="1"/>
  <c r="Y440" i="37" s="1"/>
  <c r="Y110" i="37" a="1"/>
  <c r="Y110" i="37" s="1"/>
  <c r="Y286" i="37" a="1"/>
  <c r="Y286" i="37" s="1"/>
  <c r="Y325" i="37" a="1"/>
  <c r="Y325" i="37" s="1"/>
  <c r="Y423" i="37" a="1"/>
  <c r="Y423" i="37" s="1"/>
  <c r="Y431" i="37" a="1"/>
  <c r="Y431" i="37" s="1"/>
  <c r="Y421" i="37" a="1"/>
  <c r="Y421" i="37" s="1"/>
  <c r="Y245" i="37" a="1"/>
  <c r="Y245" i="37" s="1"/>
  <c r="Y434" i="37" a="1"/>
  <c r="Y434" i="37" s="1"/>
  <c r="Y324" i="37" a="1"/>
  <c r="Y324" i="37" s="1"/>
  <c r="Y572" i="37" a="1"/>
  <c r="Y572" i="37" s="1"/>
  <c r="Y202" i="37" a="1"/>
  <c r="Y202" i="37" s="1"/>
  <c r="Y588" i="37" a="1"/>
  <c r="Y588" i="37" s="1"/>
  <c r="Y603" i="37" a="1"/>
  <c r="Y603" i="37" s="1"/>
  <c r="Y619" i="37" a="1"/>
  <c r="Y619" i="37" s="1"/>
  <c r="Y250" i="37" a="1"/>
  <c r="Y250" i="37" s="1"/>
  <c r="Y441" i="37" a="1"/>
  <c r="Y441" i="37" s="1"/>
  <c r="Y438" i="37" a="1"/>
  <c r="Y438" i="37" s="1"/>
  <c r="Y327" i="37" a="1"/>
  <c r="Y327" i="37" s="1"/>
  <c r="Y426" i="37" a="1"/>
  <c r="Y426" i="37" s="1"/>
  <c r="Y287" i="37" a="1"/>
  <c r="Y287" i="37" s="1"/>
  <c r="Y95" i="37" a="1"/>
  <c r="Y95" i="37" s="1"/>
  <c r="Y326" i="37" a="1"/>
  <c r="Y326" i="37" s="1"/>
  <c r="Y249" i="37" a="1"/>
  <c r="Y249" i="37" s="1"/>
  <c r="Y425" i="37" a="1"/>
  <c r="Y425" i="37" s="1"/>
  <c r="Y604" i="37" a="1"/>
  <c r="Y604" i="37" s="1"/>
  <c r="Y162" i="37" a="1"/>
  <c r="Y162" i="37" s="1"/>
  <c r="Y276" i="37" a="1"/>
  <c r="Y276" i="37" s="1"/>
  <c r="Y328" i="37" a="1"/>
  <c r="Y328" i="37" s="1"/>
  <c r="Y472" i="37" a="1"/>
  <c r="Y472" i="37" s="1"/>
  <c r="Y272" i="37" a="1"/>
  <c r="Y272" i="37" s="1"/>
  <c r="Y255" i="37" a="1"/>
  <c r="Y255" i="37" s="1"/>
  <c r="Y277" i="37" a="1"/>
  <c r="Y277" i="37" s="1"/>
  <c r="Y442" i="37" a="1"/>
  <c r="Y442" i="37" s="1"/>
  <c r="Y591" i="37" a="1"/>
  <c r="Y591" i="37" s="1"/>
  <c r="Y592" i="37" a="1"/>
  <c r="Y592" i="37" s="1"/>
  <c r="Y329" i="37" a="1"/>
  <c r="Y329" i="37" s="1"/>
  <c r="Y473" i="37" a="1"/>
  <c r="Y473" i="37" s="1"/>
  <c r="Y474" i="37" a="1"/>
  <c r="Y474" i="37" s="1"/>
  <c r="Y428" i="37" a="1"/>
  <c r="Y428" i="37" s="1"/>
  <c r="Y330" i="37" a="1"/>
  <c r="Y330" i="37" s="1"/>
  <c r="Y257" i="37" a="1"/>
  <c r="Y257" i="37" s="1"/>
  <c r="Y429" i="37" a="1"/>
  <c r="Y429" i="37" s="1"/>
  <c r="Y263" i="37" a="1"/>
  <c r="Y263" i="37" s="1"/>
  <c r="Y444" i="37" a="1"/>
  <c r="Y444" i="37" s="1"/>
  <c r="Y430" i="37" a="1"/>
  <c r="Y430" i="37" s="1"/>
  <c r="Y432" i="37" a="1"/>
  <c r="Y432" i="37" s="1"/>
  <c r="Y260" i="37" a="1"/>
  <c r="Y260" i="37" s="1"/>
  <c r="Y261" i="37" a="1"/>
  <c r="Y261" i="37" s="1"/>
  <c r="Y262" i="37" a="1"/>
  <c r="Y262" i="37" s="1"/>
  <c r="Y331" i="37" a="1"/>
  <c r="Y331" i="37" s="1"/>
  <c r="Y374" i="37" a="1"/>
  <c r="Y374" i="37" s="1"/>
  <c r="Y332" i="37" a="1"/>
  <c r="Y332" i="37" s="1"/>
  <c r="Y377" i="37" a="1"/>
  <c r="Y377" i="37" s="1"/>
  <c r="Y203" i="37" a="1"/>
  <c r="Y203" i="37" s="1"/>
  <c r="Y111" i="37" a="1"/>
  <c r="Y111" i="37" s="1"/>
  <c r="Y379" i="37" a="1"/>
  <c r="Y379" i="37" s="1"/>
  <c r="Y333" i="37" a="1"/>
  <c r="Y333" i="37" s="1"/>
  <c r="Y334" i="37" a="1"/>
  <c r="Y334" i="37" s="1"/>
  <c r="Y443" i="37" a="1"/>
  <c r="Y443" i="37" s="1"/>
  <c r="Y459" i="37" a="1"/>
  <c r="Y459" i="37" s="1"/>
  <c r="Y289" i="37" a="1"/>
  <c r="Y289" i="37" s="1"/>
  <c r="Y475" i="37" a="1"/>
  <c r="Y475" i="37" s="1"/>
  <c r="Y335" i="37" a="1"/>
  <c r="Y335" i="37" s="1"/>
  <c r="Y112" i="37" a="1"/>
  <c r="Y112" i="37" s="1"/>
  <c r="Y422" i="37" a="1"/>
  <c r="Y422" i="37" s="1"/>
  <c r="Y381" i="37" a="1"/>
  <c r="Y381" i="37" s="1"/>
  <c r="Y605" i="37" a="1"/>
  <c r="Y605" i="37" s="1"/>
  <c r="Y616" i="37" a="1"/>
  <c r="Y616" i="37" s="1"/>
  <c r="Y383" i="37" a="1"/>
  <c r="Y383" i="37" s="1"/>
  <c r="Y183" i="37" a="1"/>
  <c r="Y183" i="37" s="1"/>
  <c r="Y433" i="37" a="1"/>
  <c r="Y433" i="37" s="1"/>
  <c r="Y336" i="37" a="1"/>
  <c r="Y336" i="37" s="1"/>
  <c r="Y337" i="37" a="1"/>
  <c r="Y337" i="37" s="1"/>
  <c r="Y386" i="37" a="1"/>
  <c r="Y386" i="37" s="1"/>
  <c r="Y338" i="37" a="1"/>
  <c r="Y338" i="37" s="1"/>
  <c r="Y617" i="37" a="1"/>
  <c r="Y617" i="37" s="1"/>
  <c r="Y389" i="37" a="1"/>
  <c r="Y389" i="37" s="1"/>
  <c r="Y606" i="37" a="1"/>
  <c r="Y606" i="37" s="1"/>
  <c r="Y204" i="37" a="1"/>
  <c r="Y204" i="37" s="1"/>
  <c r="Y291" i="37" a="1"/>
  <c r="Y291" i="37" s="1"/>
  <c r="Y390" i="37" a="1"/>
  <c r="Y390" i="37" s="1"/>
  <c r="Y394" i="37" a="1"/>
  <c r="Y394" i="37" s="1"/>
  <c r="Y398" i="37" a="1"/>
  <c r="Y398" i="37" s="1"/>
  <c r="Y400" i="37" a="1"/>
  <c r="Y400" i="37" s="1"/>
  <c r="Y476" i="37" a="1"/>
  <c r="Y476" i="37" s="1"/>
  <c r="Y399" i="37" a="1"/>
  <c r="Y399" i="37" s="1"/>
  <c r="Y403" i="37" a="1"/>
  <c r="Y403" i="37" s="1"/>
  <c r="Y477" i="37" a="1"/>
  <c r="Y477" i="37" s="1"/>
  <c r="Y408" i="37" a="1"/>
  <c r="Y408" i="37" s="1"/>
  <c r="Y439" i="37" a="1"/>
  <c r="Y439" i="37" s="1"/>
  <c r="Y573" i="37" a="1"/>
  <c r="Y573" i="37" s="1"/>
  <c r="Y413" i="37" a="1"/>
  <c r="Y413" i="37" s="1"/>
  <c r="Y607" i="37" a="1"/>
  <c r="Y607" i="37" s="1"/>
  <c r="Y412" i="37" a="1"/>
  <c r="Y412" i="37" s="1"/>
  <c r="Y113" i="37" a="1"/>
  <c r="Y113" i="37" s="1"/>
  <c r="Y414" i="37" a="1"/>
  <c r="Y414" i="37" s="1"/>
  <c r="Y411" i="37" a="1"/>
  <c r="Y411" i="37" s="1"/>
  <c r="Y138" i="37" a="1"/>
  <c r="Y138" i="37" s="1"/>
  <c r="Y139" i="37" a="1"/>
  <c r="Y139" i="37" s="1"/>
  <c r="Y339" i="37" a="1"/>
  <c r="Y339" i="37" s="1"/>
  <c r="Y478" i="37" a="1"/>
  <c r="Y478" i="37" s="1"/>
  <c r="Y141" i="37" a="1"/>
  <c r="Y141" i="37" s="1"/>
  <c r="Y479" i="37" a="1"/>
  <c r="Y479" i="37" s="1"/>
  <c r="Y340" i="37" a="1"/>
  <c r="Y340" i="37" s="1"/>
  <c r="Y144" i="37" a="1"/>
  <c r="Y144" i="37" s="1"/>
  <c r="Y567" i="37" a="1"/>
  <c r="Y567" i="37" s="1"/>
  <c r="Y586" i="37" a="1"/>
  <c r="Y586" i="37" s="1"/>
  <c r="Y587" i="37" a="1"/>
  <c r="Y587" i="37" s="1"/>
  <c r="Y589" i="37" a="1"/>
  <c r="Y589" i="37" s="1"/>
  <c r="Y625" i="37" a="1"/>
  <c r="Y625" i="37" s="1"/>
  <c r="Y480" i="37" a="1"/>
  <c r="Y480" i="37" s="1"/>
  <c r="Y342" i="37" a="1"/>
  <c r="Y342" i="37" s="1"/>
  <c r="Y253" i="37" a="1"/>
  <c r="Y253" i="37" s="1"/>
  <c r="Y341" i="37" a="1"/>
  <c r="Y341" i="37" s="1"/>
  <c r="Y252" i="37" a="1"/>
  <c r="Y252" i="37" s="1"/>
  <c r="Y482" i="37" a="1"/>
  <c r="Y482" i="37" s="1"/>
  <c r="Y481" i="37" a="1"/>
  <c r="Y481" i="37" s="1"/>
  <c r="Y343" i="37" a="1"/>
  <c r="Y343" i="37" s="1"/>
  <c r="Y251" i="37" a="1"/>
  <c r="Y251" i="37" s="1"/>
  <c r="Y256" i="37" a="1"/>
  <c r="Y256" i="37" s="1"/>
  <c r="Y264" i="37" a="1"/>
  <c r="Y264" i="37" s="1"/>
  <c r="Y593" i="37" a="1"/>
  <c r="Y593" i="37" s="1"/>
  <c r="Y345" i="37" a="1"/>
  <c r="Y345" i="37" s="1"/>
  <c r="Y484" i="37" a="1"/>
  <c r="Y484" i="37" s="1"/>
  <c r="Y483" i="37" a="1"/>
  <c r="Y483" i="37" s="1"/>
  <c r="Y344" i="37" a="1"/>
  <c r="Y344" i="37" s="1"/>
  <c r="Y458" i="37" a="1"/>
  <c r="Y458" i="37" s="1"/>
  <c r="Y486" i="37" a="1"/>
  <c r="Y486" i="37" s="1"/>
  <c r="Y485" i="37" a="1"/>
  <c r="Y485" i="37" s="1"/>
  <c r="Y626" i="37" a="1"/>
  <c r="Y626" i="37" s="1"/>
  <c r="Y346" i="37" a="1"/>
  <c r="Y346" i="37" s="1"/>
  <c r="Y628" i="37" a="1"/>
  <c r="Y628" i="37" s="1"/>
  <c r="Y380" i="37" a="1"/>
  <c r="Y380" i="37" s="1"/>
  <c r="Y382" i="37" a="1"/>
  <c r="Y382" i="37" s="1"/>
  <c r="Y627" i="37" a="1"/>
  <c r="Y627" i="37" s="1"/>
  <c r="Y384" i="37" a="1"/>
  <c r="Y384" i="37" s="1"/>
  <c r="Y387" i="37" a="1"/>
  <c r="Y387" i="37" s="1"/>
  <c r="Y391" i="37" a="1"/>
  <c r="Y391" i="37" s="1"/>
  <c r="Y392" i="37" a="1"/>
  <c r="Y392" i="37" s="1"/>
  <c r="Y393" i="37" a="1"/>
  <c r="Y393" i="37" s="1"/>
  <c r="Y397" i="37" a="1"/>
  <c r="Y397" i="37" s="1"/>
  <c r="Y396" i="37" a="1"/>
  <c r="Y396" i="37" s="1"/>
  <c r="Y401" i="37" a="1"/>
  <c r="Y401" i="37" s="1"/>
  <c r="Y405" i="37" a="1"/>
  <c r="Y405" i="37" s="1"/>
  <c r="Y404" i="37" a="1"/>
  <c r="Y404" i="37" s="1"/>
  <c r="Y406" i="37" a="1"/>
  <c r="Y406" i="37" s="1"/>
  <c r="Y487" i="37" a="1"/>
  <c r="Y487" i="37" s="1"/>
  <c r="Y506" i="37" a="1"/>
  <c r="Y506" i="37" s="1"/>
  <c r="Y620" i="37" a="1"/>
  <c r="Y620" i="37" s="1"/>
  <c r="Y466" i="37" a="1"/>
  <c r="Y466" i="37" s="1"/>
  <c r="Y550" i="37" a="1"/>
  <c r="Y550" i="37" s="1"/>
  <c r="Y498" i="37" a="1"/>
  <c r="Y498" i="37" s="1"/>
  <c r="Y521" i="37" a="1"/>
  <c r="Y521" i="37" s="1"/>
  <c r="Y445" i="37" a="1"/>
  <c r="Y445" i="37" s="1"/>
  <c r="Y184" i="37" a="1"/>
  <c r="Y184" i="37" s="1"/>
  <c r="Y348" i="37" a="1"/>
  <c r="Y348" i="37" s="1"/>
  <c r="Y357" i="37" a="1"/>
  <c r="Y357" i="37" s="1"/>
  <c r="Y640" i="37" a="1"/>
  <c r="Y640" i="37" s="1"/>
  <c r="Y469" i="37" a="1"/>
  <c r="Y469" i="37" s="1"/>
  <c r="Y510" i="37" a="1"/>
  <c r="Y510" i="37" s="1"/>
  <c r="Y511" i="37" a="1"/>
  <c r="Y511" i="37" s="1"/>
  <c r="Y528" i="37" a="1"/>
  <c r="Y528" i="37" s="1"/>
  <c r="Y347" i="37" a="1"/>
  <c r="Y347" i="37" s="1"/>
  <c r="Y436" i="37" a="1"/>
  <c r="Y436" i="37" s="1"/>
  <c r="Y517" i="37" a="1"/>
  <c r="Y517" i="37" s="1"/>
  <c r="Y493" i="37" a="1"/>
  <c r="Y493" i="37" s="1"/>
  <c r="Y467" i="37" a="1"/>
  <c r="Y467" i="37" s="1"/>
  <c r="Y293" i="37" a="1"/>
  <c r="Y293" i="37" s="1"/>
  <c r="Y452" i="37" a="1"/>
  <c r="Y452" i="37" s="1"/>
  <c r="Y358" i="37" a="1"/>
  <c r="Y358" i="37" s="1"/>
  <c r="Y455" i="37" a="1"/>
  <c r="Y455" i="37" s="1"/>
  <c r="Y522" i="37" a="1"/>
  <c r="Y522" i="37" s="1"/>
  <c r="Y351" i="37" a="1"/>
  <c r="Y351" i="37" s="1"/>
  <c r="Y610" i="37" a="1"/>
  <c r="Y610" i="37" s="1"/>
  <c r="Y463" i="37" a="1"/>
  <c r="Y463" i="37" s="1"/>
  <c r="Y490" i="37" a="1"/>
  <c r="Y490" i="37" s="1"/>
  <c r="Y500" i="37" a="1"/>
  <c r="Y500" i="37" s="1"/>
  <c r="Y499" i="37" a="1"/>
  <c r="Y499" i="37" s="1"/>
  <c r="Y523" i="37" a="1"/>
  <c r="Y523" i="37" s="1"/>
  <c r="Y470" i="37" a="1"/>
  <c r="Y470" i="37" s="1"/>
  <c r="Y273" i="37" a="1"/>
  <c r="Y273" i="37" s="1"/>
  <c r="Y489" i="37" a="1"/>
  <c r="Y489" i="37" s="1"/>
  <c r="Y488" i="37" a="1"/>
  <c r="Y488" i="37" s="1"/>
  <c r="Y288" i="37" a="1"/>
  <c r="Y288" i="37" s="1"/>
  <c r="Y292" i="37" a="1"/>
  <c r="Y292" i="37" s="1"/>
  <c r="Y491" i="37" a="1"/>
  <c r="Y491" i="37" s="1"/>
  <c r="Y448" i="37" a="1"/>
  <c r="Y448" i="37" s="1"/>
  <c r="Y494" i="37" a="1"/>
  <c r="Y494" i="37" s="1"/>
  <c r="Y451" i="37" a="1"/>
  <c r="Y451" i="37" s="1"/>
  <c r="Y512" i="37" a="1"/>
  <c r="Y512" i="37" s="1"/>
  <c r="Y525" i="37" a="1"/>
  <c r="Y525" i="37" s="1"/>
  <c r="Y527" i="37" a="1"/>
  <c r="Y527" i="37" s="1"/>
  <c r="Y524" i="37" a="1"/>
  <c r="Y524" i="37" s="1"/>
  <c r="Y639" i="37" a="1"/>
  <c r="Y639" i="37" s="1"/>
  <c r="Y356" i="37" a="1"/>
  <c r="Y356" i="37" s="1"/>
  <c r="Y453" i="37" a="1"/>
  <c r="Y453" i="37" s="1"/>
  <c r="Y460" i="37" a="1"/>
  <c r="Y460" i="37" s="1"/>
  <c r="Y290" i="37" a="1"/>
  <c r="Y290" i="37" s="1"/>
  <c r="Y611" i="37" a="1"/>
  <c r="Y611" i="37" s="1"/>
  <c r="Y492" i="37" a="1"/>
  <c r="Y492" i="37" s="1"/>
  <c r="Y495" i="37" a="1"/>
  <c r="Y495" i="37" s="1"/>
  <c r="Y294" i="37" a="1"/>
  <c r="Y294" i="37" s="1"/>
  <c r="Y496" i="37" a="1"/>
  <c r="Y496" i="37" s="1"/>
  <c r="Y497" i="37" a="1"/>
  <c r="Y497" i="37" s="1"/>
  <c r="Y502" i="37" a="1"/>
  <c r="Y502" i="37" s="1"/>
  <c r="Y446" i="37" a="1"/>
  <c r="Y446" i="37" s="1"/>
  <c r="Y503" i="37" a="1"/>
  <c r="Y503" i="37" s="1"/>
  <c r="Y449" i="37" a="1"/>
  <c r="Y449" i="37" s="1"/>
  <c r="Y631" i="37" a="1"/>
  <c r="Y631" i="37" s="1"/>
  <c r="Y504" i="37" a="1"/>
  <c r="Y504" i="37" s="1"/>
  <c r="Y630" i="37" a="1"/>
  <c r="Y630" i="37" s="1"/>
  <c r="Y629" i="37" a="1"/>
  <c r="Y629" i="37" s="1"/>
  <c r="Y623" i="37" a="1"/>
  <c r="Y623" i="37" s="1"/>
  <c r="Y501" i="37" a="1"/>
  <c r="Y501" i="37" s="1"/>
  <c r="Y505" i="37" a="1"/>
  <c r="Y505" i="37" s="1"/>
  <c r="Y508" i="37" a="1"/>
  <c r="Y508" i="37" s="1"/>
  <c r="Y509" i="37" a="1"/>
  <c r="Y509" i="37" s="1"/>
  <c r="Y513" i="37" a="1"/>
  <c r="Y513" i="37" s="1"/>
  <c r="Y632" i="37" a="1"/>
  <c r="Y632" i="37" s="1"/>
  <c r="Y514" i="37" a="1"/>
  <c r="Y514" i="37" s="1"/>
  <c r="Y515" i="37" a="1"/>
  <c r="Y515" i="37" s="1"/>
  <c r="Y519" i="37" a="1"/>
  <c r="Y519" i="37" s="1"/>
  <c r="Y518" i="37" a="1"/>
  <c r="Y518" i="37" s="1"/>
  <c r="Y520" i="37" a="1"/>
  <c r="Y520" i="37" s="1"/>
  <c r="Y114" i="37" a="1"/>
  <c r="Y114" i="37" s="1"/>
  <c r="Y205" i="37" a="1"/>
  <c r="Y205" i="37" s="1"/>
  <c r="Y349" i="37" a="1"/>
  <c r="Y349" i="37" s="1"/>
  <c r="Y350" i="37" a="1"/>
  <c r="Y350" i="37" s="1"/>
  <c r="Y608" i="37" a="1"/>
  <c r="Y608" i="37" s="1"/>
  <c r="Y609" i="37" a="1"/>
  <c r="Y609" i="37" s="1"/>
  <c r="Y352" i="37" a="1"/>
  <c r="Y352" i="37" s="1"/>
  <c r="Y355" i="37" a="1"/>
  <c r="Y355" i="37" s="1"/>
  <c r="Y353" i="37" a="1"/>
  <c r="Y353" i="37" s="1"/>
  <c r="Y468" i="37" a="1"/>
  <c r="Y468" i="37" s="1"/>
  <c r="Y354" i="37" a="1"/>
  <c r="Y354" i="37" s="1"/>
  <c r="Y295" i="37" a="1"/>
  <c r="Y295" i="37" s="1"/>
  <c r="Y447" i="37" a="1"/>
  <c r="Y447" i="37" s="1"/>
  <c r="Y450" i="37" a="1"/>
  <c r="Y450" i="37" s="1"/>
  <c r="Y454" i="37" a="1"/>
  <c r="Y454" i="37" s="1"/>
  <c r="Y359" i="37" a="1"/>
  <c r="Y359" i="37" s="1"/>
  <c r="Y456" i="37" a="1"/>
  <c r="Y456" i="37" s="1"/>
  <c r="Y457" i="37" a="1"/>
  <c r="Y457" i="37" s="1"/>
  <c r="Y360" i="37" a="1"/>
  <c r="Y360" i="37" s="1"/>
  <c r="Y462" i="37" a="1"/>
  <c r="Y462" i="37" s="1"/>
  <c r="Y461" i="37" a="1"/>
  <c r="Y461" i="37" s="1"/>
  <c r="Y633" i="37" a="1"/>
  <c r="Y633" i="37" s="1"/>
  <c r="Y464" i="37" a="1"/>
  <c r="Y464" i="37" s="1"/>
  <c r="Y624" i="37" a="1"/>
  <c r="Y624" i="37" s="1"/>
  <c r="Y465" i="37" a="1"/>
  <c r="Y465" i="37" s="1"/>
  <c r="Y516" i="37" a="1"/>
  <c r="Y516" i="37" s="1"/>
  <c r="Y634" i="37" a="1"/>
  <c r="Y634" i="37" s="1"/>
  <c r="Y635" i="37" a="1"/>
  <c r="Y635" i="37" s="1"/>
  <c r="Y638" i="37" a="1"/>
  <c r="Y638" i="37" s="1"/>
  <c r="Y637" i="37" a="1"/>
  <c r="Y637" i="37" s="1"/>
  <c r="Y636" i="37" a="1"/>
  <c r="Y636" i="37" s="1"/>
  <c r="Y529" i="37" a="1"/>
  <c r="Y529" i="37" s="1"/>
  <c r="Y530" i="37" a="1"/>
  <c r="Y530" i="37" s="1"/>
  <c r="Y531" i="37" a="1"/>
  <c r="Y531" i="37" s="1"/>
  <c r="Y532" i="37" a="1"/>
  <c r="Y532" i="37" s="1"/>
  <c r="X2" i="37" a="1"/>
  <c r="X2" i="37" s="1"/>
  <c r="X3" i="37" a="1"/>
  <c r="X3" i="37" s="1"/>
  <c r="X10" i="37" a="1"/>
  <c r="X10" i="37" s="1"/>
  <c r="X534" i="37" a="1"/>
  <c r="X534" i="37" s="1"/>
  <c r="X533" i="37" a="1"/>
  <c r="X533" i="37" s="1"/>
  <c r="X6" i="37" a="1"/>
  <c r="X6" i="37" s="1"/>
  <c r="X5" i="37" a="1"/>
  <c r="X5" i="37" s="1"/>
  <c r="X11" i="37" a="1"/>
  <c r="X11" i="37" s="1"/>
  <c r="X4" i="37" a="1"/>
  <c r="X4" i="37" s="1"/>
  <c r="X23" i="37" a="1"/>
  <c r="X23" i="37" s="1"/>
  <c r="X7" i="37" a="1"/>
  <c r="X7" i="37" s="1"/>
  <c r="X13" i="37" a="1"/>
  <c r="X13" i="37" s="1"/>
  <c r="X24" i="37" a="1"/>
  <c r="X24" i="37" s="1"/>
  <c r="X36" i="37" a="1"/>
  <c r="X36" i="37" s="1"/>
  <c r="X25" i="37" a="1"/>
  <c r="X25" i="37" s="1"/>
  <c r="X37" i="37" a="1"/>
  <c r="X37" i="37" s="1"/>
  <c r="X20" i="37" a="1"/>
  <c r="X20" i="37" s="1"/>
  <c r="X14" i="37" a="1"/>
  <c r="X14" i="37" s="1"/>
  <c r="X15" i="37" a="1"/>
  <c r="X15" i="37" s="1"/>
  <c r="X19" i="37" a="1"/>
  <c r="X19" i="37" s="1"/>
  <c r="X22" i="37" a="1"/>
  <c r="X22" i="37" s="1"/>
  <c r="X26" i="37" a="1"/>
  <c r="X26" i="37" s="1"/>
  <c r="X537" i="37" a="1"/>
  <c r="X537" i="37" s="1"/>
  <c r="X27" i="37" a="1"/>
  <c r="X27" i="37" s="1"/>
  <c r="X21" i="37" a="1"/>
  <c r="X21" i="37" s="1"/>
  <c r="X38" i="37" a="1"/>
  <c r="X38" i="37" s="1"/>
  <c r="X538" i="37" a="1"/>
  <c r="X538" i="37" s="1"/>
  <c r="X28" i="37" a="1"/>
  <c r="X28" i="37" s="1"/>
  <c r="X16" i="37" a="1"/>
  <c r="X16" i="37" s="1"/>
  <c r="X39" i="37" a="1"/>
  <c r="X39" i="37" s="1"/>
  <c r="X40" i="37" a="1"/>
  <c r="X40" i="37" s="1"/>
  <c r="X29" i="37" a="1"/>
  <c r="X29" i="37" s="1"/>
  <c r="X41" i="37" a="1"/>
  <c r="X41" i="37" s="1"/>
  <c r="X33" i="37" a="1"/>
  <c r="X33" i="37" s="1"/>
  <c r="X42" i="37" a="1"/>
  <c r="X42" i="37" s="1"/>
  <c r="X539" i="37" a="1"/>
  <c r="X539" i="37" s="1"/>
  <c r="X85" i="37" a="1"/>
  <c r="X85" i="37" s="1"/>
  <c r="X43" i="37" a="1"/>
  <c r="X43" i="37" s="1"/>
  <c r="X44" i="37" a="1"/>
  <c r="X44" i="37" s="1"/>
  <c r="X535" i="37" a="1"/>
  <c r="X535" i="37" s="1"/>
  <c r="X45" i="37" a="1"/>
  <c r="X45" i="37" s="1"/>
  <c r="X17" i="37" a="1"/>
  <c r="X17" i="37" s="1"/>
  <c r="X70" i="37" a="1"/>
  <c r="X70" i="37" s="1"/>
  <c r="X30" i="37" a="1"/>
  <c r="X30" i="37" s="1"/>
  <c r="X18" i="37" a="1"/>
  <c r="X18" i="37" s="1"/>
  <c r="X62" i="37" a="1"/>
  <c r="X62" i="37" s="1"/>
  <c r="X57" i="37" a="1"/>
  <c r="X57" i="37" s="1"/>
  <c r="X46" i="37" a="1"/>
  <c r="X46" i="37" s="1"/>
  <c r="X61" i="37" a="1"/>
  <c r="X61" i="37" s="1"/>
  <c r="X71" i="37" a="1"/>
  <c r="X71" i="37" s="1"/>
  <c r="X31" i="37" a="1"/>
  <c r="X31" i="37" s="1"/>
  <c r="X541" i="37" a="1"/>
  <c r="X541" i="37" s="1"/>
  <c r="X56" i="37" a="1"/>
  <c r="X56" i="37" s="1"/>
  <c r="X536" i="37" a="1"/>
  <c r="X536" i="37" s="1"/>
  <c r="X47" i="37" a="1"/>
  <c r="X47" i="37" s="1"/>
  <c r="X86" i="37" a="1"/>
  <c r="X86" i="37" s="1"/>
  <c r="X72" i="37" a="1"/>
  <c r="X72" i="37" s="1"/>
  <c r="X48" i="37" a="1"/>
  <c r="X48" i="37" s="1"/>
  <c r="X547" i="37" a="1"/>
  <c r="X547" i="37" s="1"/>
  <c r="X115" i="37" a="1"/>
  <c r="X115" i="37" s="1"/>
  <c r="X562" i="37" a="1"/>
  <c r="X562" i="37" s="1"/>
  <c r="X58" i="37" a="1"/>
  <c r="X58" i="37" s="1"/>
  <c r="X63" i="37" a="1"/>
  <c r="X63" i="37" s="1"/>
  <c r="X34" i="37" a="1"/>
  <c r="X34" i="37" s="1"/>
  <c r="X540" i="37" a="1"/>
  <c r="X540" i="37" s="1"/>
  <c r="X116" i="37" a="1"/>
  <c r="X116" i="37" s="1"/>
  <c r="X12" i="37" a="1"/>
  <c r="X12" i="37" s="1"/>
  <c r="X32" i="37" a="1"/>
  <c r="X32" i="37" s="1"/>
  <c r="X73" i="37" a="1"/>
  <c r="X73" i="37" s="1"/>
  <c r="X74" i="37" a="1"/>
  <c r="X74" i="37" s="1"/>
  <c r="X542" i="37" a="1"/>
  <c r="X542" i="37" s="1"/>
  <c r="X75" i="37" a="1"/>
  <c r="X75" i="37" s="1"/>
  <c r="X543" i="37" a="1"/>
  <c r="X543" i="37" s="1"/>
  <c r="X117" i="37" a="1"/>
  <c r="X117" i="37" s="1"/>
  <c r="X546" i="37" a="1"/>
  <c r="X546" i="37" s="1"/>
  <c r="X99" i="37" a="1"/>
  <c r="X99" i="37" s="1"/>
  <c r="X67" i="37" a="1"/>
  <c r="X67" i="37" s="1"/>
  <c r="X100" i="37" a="1"/>
  <c r="X100" i="37" s="1"/>
  <c r="X68" i="37" a="1"/>
  <c r="X68" i="37" s="1"/>
  <c r="X64" i="37" a="1"/>
  <c r="X64" i="37" s="1"/>
  <c r="X101" i="37" a="1"/>
  <c r="X101" i="37" s="1"/>
  <c r="X65" i="37" a="1"/>
  <c r="X65" i="37" s="1"/>
  <c r="X92" i="37" a="1"/>
  <c r="X92" i="37" s="1"/>
  <c r="X49" i="37" a="1"/>
  <c r="X49" i="37" s="1"/>
  <c r="X185" i="37" a="1"/>
  <c r="X185" i="37" s="1"/>
  <c r="X163" i="37" a="1"/>
  <c r="X163" i="37" s="1"/>
  <c r="X76" i="37" a="1"/>
  <c r="X76" i="37" s="1"/>
  <c r="X87" i="37" a="1"/>
  <c r="X87" i="37" s="1"/>
  <c r="X82" i="37" a="1"/>
  <c r="X82" i="37" s="1"/>
  <c r="X88" i="37" a="1"/>
  <c r="X88" i="37" s="1"/>
  <c r="X554" i="37" a="1"/>
  <c r="X554" i="37" s="1"/>
  <c r="X93" i="37" a="1"/>
  <c r="X93" i="37" s="1"/>
  <c r="X118" i="37" a="1"/>
  <c r="X118" i="37" s="1"/>
  <c r="X83" i="37" a="1"/>
  <c r="X83" i="37" s="1"/>
  <c r="X164" i="37" a="1"/>
  <c r="X164" i="37" s="1"/>
  <c r="X119" i="37" a="1"/>
  <c r="X119" i="37" s="1"/>
  <c r="X549" i="37" a="1"/>
  <c r="X549" i="37" s="1"/>
  <c r="X50" i="37" a="1"/>
  <c r="X50" i="37" s="1"/>
  <c r="X120" i="37" a="1"/>
  <c r="X120" i="37" s="1"/>
  <c r="X121" i="37" a="1"/>
  <c r="X121" i="37" s="1"/>
  <c r="X84" i="37" a="1"/>
  <c r="X84" i="37" s="1"/>
  <c r="X165" i="37" a="1"/>
  <c r="X165" i="37" s="1"/>
  <c r="X206" i="37" a="1"/>
  <c r="X206" i="37" s="1"/>
  <c r="X89" i="37" a="1"/>
  <c r="X89" i="37" s="1"/>
  <c r="X574" i="37" a="1"/>
  <c r="X574" i="37" s="1"/>
  <c r="X166" i="37" a="1"/>
  <c r="X166" i="37" s="1"/>
  <c r="X167" i="37" a="1"/>
  <c r="X167" i="37" s="1"/>
  <c r="X77" i="37" a="1"/>
  <c r="X77" i="37" s="1"/>
  <c r="X123" i="37" a="1"/>
  <c r="X123" i="37" s="1"/>
  <c r="X122" i="37" a="1"/>
  <c r="X122" i="37" s="1"/>
  <c r="X575" i="37" a="1"/>
  <c r="X575" i="37" s="1"/>
  <c r="X96" i="37" a="1"/>
  <c r="X96" i="37" s="1"/>
  <c r="X186" i="37" a="1"/>
  <c r="X186" i="37" s="1"/>
  <c r="X176" i="37" a="1"/>
  <c r="X176" i="37" s="1"/>
  <c r="X151" i="37" a="1"/>
  <c r="X151" i="37" s="1"/>
  <c r="X97" i="37" a="1"/>
  <c r="X97" i="37" s="1"/>
  <c r="X274" i="37" a="1"/>
  <c r="X274" i="37" s="1"/>
  <c r="X545" i="37" a="1"/>
  <c r="X545" i="37" s="1"/>
  <c r="X187" i="37" a="1"/>
  <c r="X187" i="37" s="1"/>
  <c r="X207" i="37" a="1"/>
  <c r="X207" i="37" s="1"/>
  <c r="X9" i="37" a="1"/>
  <c r="X9" i="37" s="1"/>
  <c r="X570" i="37" a="1"/>
  <c r="X570" i="37" s="1"/>
  <c r="X296" i="37" a="1"/>
  <c r="X296" i="37" s="1"/>
  <c r="X102" i="37" a="1"/>
  <c r="X102" i="37" s="1"/>
  <c r="X66" i="37" a="1"/>
  <c r="X66" i="37" s="1"/>
  <c r="X177" i="37" a="1"/>
  <c r="X177" i="37" s="1"/>
  <c r="X297" i="37" a="1"/>
  <c r="X297" i="37" s="1"/>
  <c r="X576" i="37" a="1"/>
  <c r="X576" i="37" s="1"/>
  <c r="X156" i="37" a="1"/>
  <c r="X156" i="37" s="1"/>
  <c r="X188" i="37" a="1"/>
  <c r="X188" i="37" s="1"/>
  <c r="X189" i="37" a="1"/>
  <c r="X189" i="37" s="1"/>
  <c r="X103" i="37" a="1"/>
  <c r="X103" i="37" s="1"/>
  <c r="X190" i="37" a="1"/>
  <c r="X190" i="37" s="1"/>
  <c r="X152" i="37" a="1"/>
  <c r="X152" i="37" s="1"/>
  <c r="X208" i="37" a="1"/>
  <c r="X208" i="37" s="1"/>
  <c r="X209" i="37" a="1"/>
  <c r="X209" i="37" s="1"/>
  <c r="X210" i="37" a="1"/>
  <c r="X210" i="37" s="1"/>
  <c r="X596" i="37" a="1"/>
  <c r="X596" i="37" s="1"/>
  <c r="X168" i="37" a="1"/>
  <c r="X168" i="37" s="1"/>
  <c r="X568" i="37" a="1"/>
  <c r="X568" i="37" s="1"/>
  <c r="X124" i="37" a="1"/>
  <c r="X124" i="37" s="1"/>
  <c r="X571" i="37" a="1"/>
  <c r="X571" i="37" s="1"/>
  <c r="X175" i="37" a="1"/>
  <c r="X175" i="37" s="1"/>
  <c r="X211" i="37" a="1"/>
  <c r="X211" i="37" s="1"/>
  <c r="X104" i="37" a="1"/>
  <c r="X104" i="37" s="1"/>
  <c r="X125" i="37" a="1"/>
  <c r="X125" i="37" s="1"/>
  <c r="X105" i="37" a="1"/>
  <c r="X105" i="37" s="1"/>
  <c r="X126" i="37" a="1"/>
  <c r="X126" i="37" s="1"/>
  <c r="X548" i="37" a="1"/>
  <c r="X548" i="37" s="1"/>
  <c r="X191" i="37" a="1"/>
  <c r="X191" i="37" s="1"/>
  <c r="X563" i="37" a="1"/>
  <c r="X563" i="37" s="1"/>
  <c r="X213" i="37" a="1"/>
  <c r="X213" i="37" s="1"/>
  <c r="X298" i="37" a="1"/>
  <c r="X298" i="37" s="1"/>
  <c r="X106" i="37" a="1"/>
  <c r="X106" i="37" s="1"/>
  <c r="X212" i="37" a="1"/>
  <c r="X212" i="37" s="1"/>
  <c r="X564" i="37" a="1"/>
  <c r="X564" i="37" s="1"/>
  <c r="X577" i="37" a="1"/>
  <c r="X577" i="37" s="1"/>
  <c r="X107" i="37" a="1"/>
  <c r="X107" i="37" s="1"/>
  <c r="X157" i="37" a="1"/>
  <c r="X157" i="37" s="1"/>
  <c r="X214" i="37" a="1"/>
  <c r="X214" i="37" s="1"/>
  <c r="X158" i="37" a="1"/>
  <c r="X158" i="37" s="1"/>
  <c r="X578" i="37" a="1"/>
  <c r="X578" i="37" s="1"/>
  <c r="X215" i="37" a="1"/>
  <c r="X215" i="37" s="1"/>
  <c r="X155" i="37" a="1"/>
  <c r="X155" i="37" s="1"/>
  <c r="X216" i="37" a="1"/>
  <c r="X216" i="37" s="1"/>
  <c r="X217" i="37" a="1"/>
  <c r="X217" i="37" s="1"/>
  <c r="X127" i="37" a="1"/>
  <c r="X127" i="37" s="1"/>
  <c r="X90" i="37" a="1"/>
  <c r="X90" i="37" s="1"/>
  <c r="X153" i="37" a="1"/>
  <c r="X153" i="37" s="1"/>
  <c r="X128" i="37" a="1"/>
  <c r="X128" i="37" s="1"/>
  <c r="X299" i="37" a="1"/>
  <c r="X299" i="37" s="1"/>
  <c r="X192" i="37" a="1"/>
  <c r="X192" i="37" s="1"/>
  <c r="X129" i="37" a="1"/>
  <c r="X129" i="37" s="1"/>
  <c r="X565" i="37" a="1"/>
  <c r="X565" i="37" s="1"/>
  <c r="X130" i="37" a="1"/>
  <c r="X130" i="37" s="1"/>
  <c r="X218" i="37" a="1"/>
  <c r="X218" i="37" s="1"/>
  <c r="X131" i="37" a="1"/>
  <c r="X131" i="37" s="1"/>
  <c r="X154" i="37" a="1"/>
  <c r="X154" i="37" s="1"/>
  <c r="X555" i="37" a="1"/>
  <c r="X555" i="37" s="1"/>
  <c r="X579" i="37" a="1"/>
  <c r="X579" i="37" s="1"/>
  <c r="X132" i="37" a="1"/>
  <c r="X132" i="37" s="1"/>
  <c r="X580" i="37" a="1"/>
  <c r="X580" i="37" s="1"/>
  <c r="X219" i="37" a="1"/>
  <c r="X219" i="37" s="1"/>
  <c r="X133" i="37" a="1"/>
  <c r="X133" i="37" s="1"/>
  <c r="X134" i="37" a="1"/>
  <c r="X134" i="37" s="1"/>
  <c r="X599" i="37" a="1"/>
  <c r="X599" i="37" s="1"/>
  <c r="X220" i="37" a="1"/>
  <c r="X220" i="37" s="1"/>
  <c r="X221" i="37" a="1"/>
  <c r="X221" i="37" s="1"/>
  <c r="X59" i="37" a="1"/>
  <c r="X59" i="37" s="1"/>
  <c r="X222" i="37" a="1"/>
  <c r="X222" i="37" s="1"/>
  <c r="X223" i="37" a="1"/>
  <c r="X223" i="37" s="1"/>
  <c r="X275" i="37" a="1"/>
  <c r="X275" i="37" s="1"/>
  <c r="X51" i="37" a="1"/>
  <c r="X51" i="37" s="1"/>
  <c r="X224" i="37" a="1"/>
  <c r="X224" i="37" s="1"/>
  <c r="X78" i="37" a="1"/>
  <c r="X78" i="37" s="1"/>
  <c r="X225" i="37" a="1"/>
  <c r="X225" i="37" s="1"/>
  <c r="X35" i="37" a="1"/>
  <c r="X35" i="37" s="1"/>
  <c r="X226" i="37" a="1"/>
  <c r="X226" i="37" s="1"/>
  <c r="X169" i="37" a="1"/>
  <c r="X169" i="37" s="1"/>
  <c r="X170" i="37" a="1"/>
  <c r="X170" i="37" s="1"/>
  <c r="X557" i="37" a="1"/>
  <c r="X557" i="37" s="1"/>
  <c r="X361" i="37" a="1"/>
  <c r="X361" i="37" s="1"/>
  <c r="X558" i="37" a="1"/>
  <c r="X558" i="37" s="1"/>
  <c r="X227" i="37" a="1"/>
  <c r="X227" i="37" s="1"/>
  <c r="X556" i="37" a="1"/>
  <c r="X556" i="37" s="1"/>
  <c r="X228" i="37" a="1"/>
  <c r="X228" i="37" s="1"/>
  <c r="X171" i="37" a="1"/>
  <c r="X171" i="37" s="1"/>
  <c r="X178" i="37" a="1"/>
  <c r="X178" i="37" s="1"/>
  <c r="X595" i="37" a="1"/>
  <c r="X595" i="37" s="1"/>
  <c r="X193" i="37" a="1"/>
  <c r="X193" i="37" s="1"/>
  <c r="X69" i="37" a="1"/>
  <c r="X69" i="37" s="1"/>
  <c r="X179" i="37" a="1"/>
  <c r="X179" i="37" s="1"/>
  <c r="X135" i="37" a="1"/>
  <c r="X135" i="37" s="1"/>
  <c r="X108" i="37" a="1"/>
  <c r="X108" i="37" s="1"/>
  <c r="X300" i="37" a="1"/>
  <c r="X300" i="37" s="1"/>
  <c r="X98" i="37" a="1"/>
  <c r="X98" i="37" s="1"/>
  <c r="X159" i="37" a="1"/>
  <c r="X159" i="37" s="1"/>
  <c r="X597" i="37" a="1"/>
  <c r="X597" i="37" s="1"/>
  <c r="X560" i="37" a="1"/>
  <c r="X560" i="37" s="1"/>
  <c r="X79" i="37" a="1"/>
  <c r="X79" i="37" s="1"/>
  <c r="X279" i="37" a="1"/>
  <c r="X279" i="37" s="1"/>
  <c r="X569" i="37" a="1"/>
  <c r="X569" i="37" s="1"/>
  <c r="X229" i="37" a="1"/>
  <c r="X229" i="37" s="1"/>
  <c r="X230" i="37" a="1"/>
  <c r="X230" i="37" s="1"/>
  <c r="X301" i="37" a="1"/>
  <c r="X301" i="37" s="1"/>
  <c r="X437" i="37" a="1"/>
  <c r="X437" i="37" s="1"/>
  <c r="X160" i="37" a="1"/>
  <c r="X160" i="37" s="1"/>
  <c r="X280" i="37" a="1"/>
  <c r="X280" i="37" s="1"/>
  <c r="X302" i="37" a="1"/>
  <c r="X302" i="37" s="1"/>
  <c r="X231" i="37" a="1"/>
  <c r="X231" i="37" s="1"/>
  <c r="X303" i="37" a="1"/>
  <c r="X303" i="37" s="1"/>
  <c r="X304" i="37" a="1"/>
  <c r="X304" i="37" s="1"/>
  <c r="X305" i="37" a="1"/>
  <c r="X305" i="37" s="1"/>
  <c r="X194" i="37" a="1"/>
  <c r="X194" i="37" s="1"/>
  <c r="X265" i="37" a="1"/>
  <c r="X265" i="37" s="1"/>
  <c r="X306" i="37" a="1"/>
  <c r="X306" i="37" s="1"/>
  <c r="X232" i="37" a="1"/>
  <c r="X232" i="37" s="1"/>
  <c r="X195" i="37" a="1"/>
  <c r="X195" i="37" s="1"/>
  <c r="X598" i="37" a="1"/>
  <c r="X598" i="37" s="1"/>
  <c r="X281" i="37" a="1"/>
  <c r="X281" i="37" s="1"/>
  <c r="X600" i="37" a="1"/>
  <c r="X600" i="37" s="1"/>
  <c r="X80" i="37" a="1"/>
  <c r="X80" i="37" s="1"/>
  <c r="X270" i="37" a="1"/>
  <c r="X270" i="37" s="1"/>
  <c r="X180" i="37" a="1"/>
  <c r="X180" i="37" s="1"/>
  <c r="X307" i="37" a="1"/>
  <c r="X307" i="37" s="1"/>
  <c r="X267" i="37" a="1"/>
  <c r="X267" i="37" s="1"/>
  <c r="X196" i="37" a="1"/>
  <c r="X196" i="37" s="1"/>
  <c r="X269" i="37" a="1"/>
  <c r="X269" i="37" s="1"/>
  <c r="X198" i="37" a="1"/>
  <c r="X198" i="37" s="1"/>
  <c r="X282" i="37" a="1"/>
  <c r="X282" i="37" s="1"/>
  <c r="X308" i="37" a="1"/>
  <c r="X308" i="37" s="1"/>
  <c r="X471" i="37" a="1"/>
  <c r="X471" i="37" s="1"/>
  <c r="X283" i="37" a="1"/>
  <c r="X283" i="37" s="1"/>
  <c r="X161" i="37" a="1"/>
  <c r="X161" i="37" s="1"/>
  <c r="X581" i="37" a="1"/>
  <c r="X581" i="37" s="1"/>
  <c r="X234" i="37" a="1"/>
  <c r="X234" i="37" s="1"/>
  <c r="X233" i="37" a="1"/>
  <c r="X233" i="37" s="1"/>
  <c r="X235" i="37" a="1"/>
  <c r="X235" i="37" s="1"/>
  <c r="X268" i="37" a="1"/>
  <c r="X268" i="37" s="1"/>
  <c r="X199" i="37" a="1"/>
  <c r="X199" i="37" s="1"/>
  <c r="X236" i="37" a="1"/>
  <c r="X236" i="37" s="1"/>
  <c r="X582" i="37" a="1"/>
  <c r="X582" i="37" s="1"/>
  <c r="X237" i="37" a="1"/>
  <c r="X237" i="37" s="1"/>
  <c r="X238" i="37" a="1"/>
  <c r="X238" i="37" s="1"/>
  <c r="X583" i="37" a="1"/>
  <c r="X583" i="37" s="1"/>
  <c r="X172" i="37" a="1"/>
  <c r="X172" i="37" s="1"/>
  <c r="X239" i="37" a="1"/>
  <c r="X239" i="37" s="1"/>
  <c r="X363" i="37" a="1"/>
  <c r="X363" i="37" s="1"/>
  <c r="X364" i="37" a="1"/>
  <c r="X364" i="37" s="1"/>
  <c r="X362" i="37" a="1"/>
  <c r="X362" i="37" s="1"/>
  <c r="X594" i="37" a="1"/>
  <c r="X594" i="37" s="1"/>
  <c r="X612" i="37" a="1"/>
  <c r="X612" i="37" s="1"/>
  <c r="X266" i="37" a="1"/>
  <c r="X266" i="37" s="1"/>
  <c r="X309" i="37" a="1"/>
  <c r="X309" i="37" s="1"/>
  <c r="X365" i="37" a="1"/>
  <c r="X365" i="37" s="1"/>
  <c r="X240" i="37" a="1"/>
  <c r="X240" i="37" s="1"/>
  <c r="X91" i="37" a="1"/>
  <c r="X91" i="37" s="1"/>
  <c r="X613" i="37" a="1"/>
  <c r="X613" i="37" s="1"/>
  <c r="X551" i="37" a="1"/>
  <c r="X551" i="37" s="1"/>
  <c r="X271" i="37" a="1"/>
  <c r="X271" i="37" s="1"/>
  <c r="X584" i="37" a="1"/>
  <c r="X584" i="37" s="1"/>
  <c r="X52" i="37" a="1"/>
  <c r="X52" i="37" s="1"/>
  <c r="X366" i="37" a="1"/>
  <c r="X366" i="37" s="1"/>
  <c r="X241" i="37" a="1"/>
  <c r="X241" i="37" s="1"/>
  <c r="X614" i="37" a="1"/>
  <c r="X614" i="37" s="1"/>
  <c r="X367" i="37" a="1"/>
  <c r="X367" i="37" s="1"/>
  <c r="X544" i="37" a="1"/>
  <c r="X544" i="37" s="1"/>
  <c r="X136" i="37" a="1"/>
  <c r="X136" i="37" s="1"/>
  <c r="X585" i="37" a="1"/>
  <c r="X585" i="37" s="1"/>
  <c r="X371" i="37" a="1"/>
  <c r="X371" i="37" s="1"/>
  <c r="X369" i="37" a="1"/>
  <c r="X369" i="37" s="1"/>
  <c r="X615" i="37" a="1"/>
  <c r="X615" i="37" s="1"/>
  <c r="X368" i="37" a="1"/>
  <c r="X368" i="37" s="1"/>
  <c r="X370" i="37" a="1"/>
  <c r="X370" i="37" s="1"/>
  <c r="X242" i="37" a="1"/>
  <c r="X242" i="37" s="1"/>
  <c r="X244" i="37" a="1"/>
  <c r="X244" i="37" s="1"/>
  <c r="X372" i="37" a="1"/>
  <c r="X372" i="37" s="1"/>
  <c r="X566" i="37" a="1"/>
  <c r="X566" i="37" s="1"/>
  <c r="X243" i="37" a="1"/>
  <c r="X243" i="37" s="1"/>
  <c r="X407" i="37" a="1"/>
  <c r="X407" i="37" s="1"/>
  <c r="X8" i="37" a="1"/>
  <c r="X8" i="37" s="1"/>
  <c r="X310" i="37" a="1"/>
  <c r="X310" i="37" s="1"/>
  <c r="X385" i="37" a="1"/>
  <c r="X385" i="37" s="1"/>
  <c r="X94" i="37" a="1"/>
  <c r="X94" i="37" s="1"/>
  <c r="X55" i="37" a="1"/>
  <c r="X55" i="37" s="1"/>
  <c r="X258" i="37" a="1"/>
  <c r="X258" i="37" s="1"/>
  <c r="X137" i="37" a="1"/>
  <c r="X137" i="37" s="1"/>
  <c r="X54" i="37" a="1"/>
  <c r="X54" i="37" s="1"/>
  <c r="X418" i="37" a="1"/>
  <c r="X418" i="37" s="1"/>
  <c r="X174" i="37" a="1"/>
  <c r="X174" i="37" s="1"/>
  <c r="X311" i="37" a="1"/>
  <c r="X311" i="37" s="1"/>
  <c r="X416" i="37" a="1"/>
  <c r="X416" i="37" s="1"/>
  <c r="X312" i="37" a="1"/>
  <c r="X312" i="37" s="1"/>
  <c r="X145" i="37" a="1"/>
  <c r="X145" i="37" s="1"/>
  <c r="X278" i="37" a="1"/>
  <c r="X278" i="37" s="1"/>
  <c r="X181" i="37" a="1"/>
  <c r="X181" i="37" s="1"/>
  <c r="X375" i="37" a="1"/>
  <c r="X375" i="37" s="1"/>
  <c r="X146" i="37" a="1"/>
  <c r="X146" i="37" s="1"/>
  <c r="X388" i="37" a="1"/>
  <c r="X388" i="37" s="1"/>
  <c r="X419" i="37" a="1"/>
  <c r="X419" i="37" s="1"/>
  <c r="X60" i="37" a="1"/>
  <c r="X60" i="37" s="1"/>
  <c r="X81" i="37" a="1"/>
  <c r="X81" i="37" s="1"/>
  <c r="X149" i="37" a="1"/>
  <c r="X149" i="37" s="1"/>
  <c r="X246" i="37" a="1"/>
  <c r="X246" i="37" s="1"/>
  <c r="X590" i="37" a="1"/>
  <c r="X590" i="37" s="1"/>
  <c r="X254" i="37" a="1"/>
  <c r="X254" i="37" s="1"/>
  <c r="X373" i="37" a="1"/>
  <c r="X373" i="37" s="1"/>
  <c r="X376" i="37" a="1"/>
  <c r="X376" i="37" s="1"/>
  <c r="X378" i="37" a="1"/>
  <c r="X378" i="37" s="1"/>
  <c r="X410" i="37" a="1"/>
  <c r="X410" i="37" s="1"/>
  <c r="X409" i="37" a="1"/>
  <c r="X409" i="37" s="1"/>
  <c r="X420" i="37" a="1"/>
  <c r="X420" i="37" s="1"/>
  <c r="X248" i="37" a="1"/>
  <c r="X248" i="37" s="1"/>
  <c r="X247" i="37" a="1"/>
  <c r="X247" i="37" s="1"/>
  <c r="X259" i="37" a="1"/>
  <c r="X259" i="37" s="1"/>
  <c r="X402" i="37" a="1"/>
  <c r="X402" i="37" s="1"/>
  <c r="X415" i="37" a="1"/>
  <c r="X415" i="37" s="1"/>
  <c r="X417" i="37" a="1"/>
  <c r="X417" i="37" s="1"/>
  <c r="X53" i="37" a="1"/>
  <c r="X53" i="37" s="1"/>
  <c r="X140" i="37" a="1"/>
  <c r="X140" i="37" s="1"/>
  <c r="X142" i="37" a="1"/>
  <c r="X142" i="37" s="1"/>
  <c r="X109" i="37" a="1"/>
  <c r="X109" i="37" s="1"/>
  <c r="X313" i="37" a="1"/>
  <c r="X313" i="37" s="1"/>
  <c r="X314" i="37" a="1"/>
  <c r="X314" i="37" s="1"/>
  <c r="X601" i="37" a="1"/>
  <c r="X601" i="37" s="1"/>
  <c r="X315" i="37" a="1"/>
  <c r="X315" i="37" s="1"/>
  <c r="X618" i="37" a="1"/>
  <c r="X618" i="37" s="1"/>
  <c r="X143" i="37" a="1"/>
  <c r="X143" i="37" s="1"/>
  <c r="X622" i="37" a="1"/>
  <c r="X622" i="37" s="1"/>
  <c r="X316" i="37" a="1"/>
  <c r="X316" i="37" s="1"/>
  <c r="X552" i="37" a="1"/>
  <c r="X552" i="37" s="1"/>
  <c r="X317" i="37" a="1"/>
  <c r="X317" i="37" s="1"/>
  <c r="X182" i="37" a="1"/>
  <c r="X182" i="37" s="1"/>
  <c r="X200" i="37" a="1"/>
  <c r="X200" i="37" s="1"/>
  <c r="X284" i="37" a="1"/>
  <c r="X284" i="37" s="1"/>
  <c r="X427" i="37" a="1"/>
  <c r="X427" i="37" s="1"/>
  <c r="X147" i="37" a="1"/>
  <c r="X147" i="37" s="1"/>
  <c r="X173" i="37" a="1"/>
  <c r="X173" i="37" s="1"/>
  <c r="X318" i="37" a="1"/>
  <c r="X318" i="37" s="1"/>
  <c r="X435" i="37" a="1"/>
  <c r="X435" i="37" s="1"/>
  <c r="X285" i="37" a="1"/>
  <c r="X285" i="37" s="1"/>
  <c r="X602" i="37" a="1"/>
  <c r="X602" i="37" s="1"/>
  <c r="X319" i="37" a="1"/>
  <c r="X319" i="37" s="1"/>
  <c r="X148" i="37" a="1"/>
  <c r="X148" i="37" s="1"/>
  <c r="X320" i="37" a="1"/>
  <c r="X320" i="37" s="1"/>
  <c r="X321" i="37" a="1"/>
  <c r="X321" i="37" s="1"/>
  <c r="X150" i="37" a="1"/>
  <c r="X150" i="37" s="1"/>
  <c r="X322" i="37" a="1"/>
  <c r="X322" i="37" s="1"/>
  <c r="X323" i="37" a="1"/>
  <c r="X323" i="37" s="1"/>
  <c r="X621" i="37" a="1"/>
  <c r="X621" i="37" s="1"/>
  <c r="X424" i="37" a="1"/>
  <c r="X424" i="37" s="1"/>
  <c r="X201" i="37" a="1"/>
  <c r="X201" i="37" s="1"/>
  <c r="X440" i="37" a="1"/>
  <c r="X440" i="37" s="1"/>
  <c r="X110" i="37" a="1"/>
  <c r="X110" i="37" s="1"/>
  <c r="X286" i="37" a="1"/>
  <c r="X286" i="37" s="1"/>
  <c r="X325" i="37" a="1"/>
  <c r="X325" i="37" s="1"/>
  <c r="X423" i="37" a="1"/>
  <c r="X423" i="37" s="1"/>
  <c r="X431" i="37" a="1"/>
  <c r="X431" i="37" s="1"/>
  <c r="X421" i="37" a="1"/>
  <c r="X421" i="37" s="1"/>
  <c r="X245" i="37" a="1"/>
  <c r="X245" i="37" s="1"/>
  <c r="X434" i="37" a="1"/>
  <c r="X434" i="37" s="1"/>
  <c r="X324" i="37" a="1"/>
  <c r="X324" i="37" s="1"/>
  <c r="X572" i="37" a="1"/>
  <c r="X572" i="37" s="1"/>
  <c r="X202" i="37" a="1"/>
  <c r="X202" i="37" s="1"/>
  <c r="X588" i="37" a="1"/>
  <c r="X588" i="37" s="1"/>
  <c r="X603" i="37" a="1"/>
  <c r="X603" i="37" s="1"/>
  <c r="X619" i="37" a="1"/>
  <c r="X619" i="37" s="1"/>
  <c r="X250" i="37" a="1"/>
  <c r="X250" i="37" s="1"/>
  <c r="X441" i="37" a="1"/>
  <c r="X441" i="37" s="1"/>
  <c r="X438" i="37" a="1"/>
  <c r="X438" i="37" s="1"/>
  <c r="X327" i="37" a="1"/>
  <c r="X327" i="37" s="1"/>
  <c r="X426" i="37" a="1"/>
  <c r="X426" i="37" s="1"/>
  <c r="X287" i="37" a="1"/>
  <c r="X287" i="37" s="1"/>
  <c r="X95" i="37" a="1"/>
  <c r="X95" i="37" s="1"/>
  <c r="X326" i="37" a="1"/>
  <c r="X326" i="37" s="1"/>
  <c r="X249" i="37" a="1"/>
  <c r="X249" i="37" s="1"/>
  <c r="X425" i="37" a="1"/>
  <c r="X425" i="37" s="1"/>
  <c r="X604" i="37" a="1"/>
  <c r="X604" i="37" s="1"/>
  <c r="X162" i="37" a="1"/>
  <c r="X162" i="37" s="1"/>
  <c r="X276" i="37" a="1"/>
  <c r="X276" i="37" s="1"/>
  <c r="X328" i="37" a="1"/>
  <c r="X328" i="37" s="1"/>
  <c r="X472" i="37" a="1"/>
  <c r="X472" i="37" s="1"/>
  <c r="X272" i="37" a="1"/>
  <c r="X272" i="37" s="1"/>
  <c r="X255" i="37" a="1"/>
  <c r="X255" i="37" s="1"/>
  <c r="X277" i="37" a="1"/>
  <c r="X277" i="37" s="1"/>
  <c r="X442" i="37" a="1"/>
  <c r="X442" i="37" s="1"/>
  <c r="X591" i="37" a="1"/>
  <c r="X591" i="37" s="1"/>
  <c r="X592" i="37" a="1"/>
  <c r="X592" i="37" s="1"/>
  <c r="X329" i="37" a="1"/>
  <c r="X329" i="37" s="1"/>
  <c r="X473" i="37" a="1"/>
  <c r="X473" i="37" s="1"/>
  <c r="X474" i="37" a="1"/>
  <c r="X474" i="37" s="1"/>
  <c r="X428" i="37" a="1"/>
  <c r="X428" i="37" s="1"/>
  <c r="X330" i="37" a="1"/>
  <c r="X330" i="37" s="1"/>
  <c r="X257" i="37" a="1"/>
  <c r="X257" i="37" s="1"/>
  <c r="X429" i="37" a="1"/>
  <c r="X429" i="37" s="1"/>
  <c r="X263" i="37" a="1"/>
  <c r="X263" i="37" s="1"/>
  <c r="X444" i="37" a="1"/>
  <c r="X444" i="37" s="1"/>
  <c r="X430" i="37" a="1"/>
  <c r="X430" i="37" s="1"/>
  <c r="X432" i="37" a="1"/>
  <c r="X432" i="37" s="1"/>
  <c r="X260" i="37" a="1"/>
  <c r="X260" i="37" s="1"/>
  <c r="X261" i="37" a="1"/>
  <c r="X261" i="37" s="1"/>
  <c r="X262" i="37" a="1"/>
  <c r="X262" i="37" s="1"/>
  <c r="X331" i="37" a="1"/>
  <c r="X331" i="37" s="1"/>
  <c r="X374" i="37" a="1"/>
  <c r="X374" i="37" s="1"/>
  <c r="X332" i="37" a="1"/>
  <c r="X332" i="37" s="1"/>
  <c r="X377" i="37" a="1"/>
  <c r="X377" i="37" s="1"/>
  <c r="X203" i="37" a="1"/>
  <c r="X203" i="37" s="1"/>
  <c r="X111" i="37" a="1"/>
  <c r="X111" i="37" s="1"/>
  <c r="X379" i="37" a="1"/>
  <c r="X379" i="37" s="1"/>
  <c r="X333" i="37" a="1"/>
  <c r="X333" i="37" s="1"/>
  <c r="X334" i="37" a="1"/>
  <c r="X334" i="37" s="1"/>
  <c r="X443" i="37" a="1"/>
  <c r="X443" i="37" s="1"/>
  <c r="X459" i="37" a="1"/>
  <c r="X459" i="37" s="1"/>
  <c r="X289" i="37" a="1"/>
  <c r="X289" i="37" s="1"/>
  <c r="X475" i="37" a="1"/>
  <c r="X475" i="37" s="1"/>
  <c r="X335" i="37" a="1"/>
  <c r="X335" i="37" s="1"/>
  <c r="X112" i="37" a="1"/>
  <c r="X112" i="37" s="1"/>
  <c r="X422" i="37" a="1"/>
  <c r="X422" i="37" s="1"/>
  <c r="X381" i="37" a="1"/>
  <c r="X381" i="37" s="1"/>
  <c r="X605" i="37" a="1"/>
  <c r="X605" i="37" s="1"/>
  <c r="X616" i="37" a="1"/>
  <c r="X616" i="37" s="1"/>
  <c r="X383" i="37" a="1"/>
  <c r="X383" i="37" s="1"/>
  <c r="X183" i="37" a="1"/>
  <c r="X183" i="37" s="1"/>
  <c r="X433" i="37" a="1"/>
  <c r="X433" i="37" s="1"/>
  <c r="X336" i="37" a="1"/>
  <c r="X336" i="37" s="1"/>
  <c r="X337" i="37" a="1"/>
  <c r="X337" i="37" s="1"/>
  <c r="X386" i="37" a="1"/>
  <c r="X386" i="37" s="1"/>
  <c r="X338" i="37" a="1"/>
  <c r="X338" i="37" s="1"/>
  <c r="X617" i="37" a="1"/>
  <c r="X617" i="37" s="1"/>
  <c r="X389" i="37" a="1"/>
  <c r="X389" i="37" s="1"/>
  <c r="X606" i="37" a="1"/>
  <c r="X606" i="37" s="1"/>
  <c r="X204" i="37" a="1"/>
  <c r="X204" i="37" s="1"/>
  <c r="X291" i="37" a="1"/>
  <c r="X291" i="37" s="1"/>
  <c r="X390" i="37" a="1"/>
  <c r="X390" i="37" s="1"/>
  <c r="X394" i="37" a="1"/>
  <c r="X394" i="37" s="1"/>
  <c r="X398" i="37" a="1"/>
  <c r="X398" i="37" s="1"/>
  <c r="X400" i="37" a="1"/>
  <c r="X400" i="37" s="1"/>
  <c r="X476" i="37" a="1"/>
  <c r="X476" i="37" s="1"/>
  <c r="X399" i="37" a="1"/>
  <c r="X399" i="37" s="1"/>
  <c r="X403" i="37" a="1"/>
  <c r="X403" i="37" s="1"/>
  <c r="X477" i="37" a="1"/>
  <c r="X477" i="37" s="1"/>
  <c r="X408" i="37" a="1"/>
  <c r="X408" i="37" s="1"/>
  <c r="X439" i="37" a="1"/>
  <c r="X439" i="37" s="1"/>
  <c r="X573" i="37" a="1"/>
  <c r="X573" i="37" s="1"/>
  <c r="X413" i="37" a="1"/>
  <c r="X413" i="37" s="1"/>
  <c r="X607" i="37" a="1"/>
  <c r="X607" i="37" s="1"/>
  <c r="X412" i="37" a="1"/>
  <c r="X412" i="37" s="1"/>
  <c r="X113" i="37" a="1"/>
  <c r="X113" i="37" s="1"/>
  <c r="X414" i="37" a="1"/>
  <c r="X414" i="37" s="1"/>
  <c r="X411" i="37" a="1"/>
  <c r="X411" i="37" s="1"/>
  <c r="X138" i="37" a="1"/>
  <c r="X138" i="37" s="1"/>
  <c r="X139" i="37" a="1"/>
  <c r="X139" i="37" s="1"/>
  <c r="X339" i="37" a="1"/>
  <c r="X339" i="37" s="1"/>
  <c r="X478" i="37" a="1"/>
  <c r="X478" i="37" s="1"/>
  <c r="X141" i="37" a="1"/>
  <c r="X141" i="37" s="1"/>
  <c r="X479" i="37" a="1"/>
  <c r="X479" i="37" s="1"/>
  <c r="X340" i="37" a="1"/>
  <c r="X340" i="37" s="1"/>
  <c r="X144" i="37" a="1"/>
  <c r="X144" i="37" s="1"/>
  <c r="X567" i="37" a="1"/>
  <c r="X567" i="37" s="1"/>
  <c r="X586" i="37" a="1"/>
  <c r="X586" i="37" s="1"/>
  <c r="X587" i="37" a="1"/>
  <c r="X587" i="37" s="1"/>
  <c r="X589" i="37" a="1"/>
  <c r="X589" i="37" s="1"/>
  <c r="X625" i="37" a="1"/>
  <c r="X625" i="37" s="1"/>
  <c r="X480" i="37" a="1"/>
  <c r="X480" i="37" s="1"/>
  <c r="X342" i="37" a="1"/>
  <c r="X342" i="37" s="1"/>
  <c r="X253" i="37" a="1"/>
  <c r="X253" i="37" s="1"/>
  <c r="X341" i="37" a="1"/>
  <c r="X341" i="37" s="1"/>
  <c r="X252" i="37" a="1"/>
  <c r="X252" i="37" s="1"/>
  <c r="X482" i="37" a="1"/>
  <c r="X482" i="37" s="1"/>
  <c r="X481" i="37" a="1"/>
  <c r="X481" i="37" s="1"/>
  <c r="X343" i="37" a="1"/>
  <c r="X343" i="37" s="1"/>
  <c r="X251" i="37" a="1"/>
  <c r="X251" i="37" s="1"/>
  <c r="X256" i="37" a="1"/>
  <c r="X256" i="37" s="1"/>
  <c r="X264" i="37" a="1"/>
  <c r="X264" i="37" s="1"/>
  <c r="X593" i="37" a="1"/>
  <c r="X593" i="37" s="1"/>
  <c r="X345" i="37" a="1"/>
  <c r="X345" i="37" s="1"/>
  <c r="X484" i="37" a="1"/>
  <c r="X484" i="37" s="1"/>
  <c r="X483" i="37" a="1"/>
  <c r="X483" i="37" s="1"/>
  <c r="X344" i="37" a="1"/>
  <c r="X344" i="37" s="1"/>
  <c r="X458" i="37" a="1"/>
  <c r="X458" i="37" s="1"/>
  <c r="X486" i="37" a="1"/>
  <c r="X486" i="37" s="1"/>
  <c r="X485" i="37" a="1"/>
  <c r="X485" i="37" s="1"/>
  <c r="X626" i="37" a="1"/>
  <c r="X626" i="37" s="1"/>
  <c r="X346" i="37" a="1"/>
  <c r="X346" i="37" s="1"/>
  <c r="X628" i="37" a="1"/>
  <c r="X628" i="37" s="1"/>
  <c r="X380" i="37" a="1"/>
  <c r="X380" i="37" s="1"/>
  <c r="X382" i="37" a="1"/>
  <c r="X382" i="37" s="1"/>
  <c r="X627" i="37" a="1"/>
  <c r="X627" i="37" s="1"/>
  <c r="X384" i="37" a="1"/>
  <c r="X384" i="37" s="1"/>
  <c r="X387" i="37" a="1"/>
  <c r="X387" i="37" s="1"/>
  <c r="X391" i="37" a="1"/>
  <c r="X391" i="37" s="1"/>
  <c r="X392" i="37" a="1"/>
  <c r="X392" i="37" s="1"/>
  <c r="X393" i="37" a="1"/>
  <c r="X393" i="37" s="1"/>
  <c r="X397" i="37" a="1"/>
  <c r="X397" i="37" s="1"/>
  <c r="X396" i="37" a="1"/>
  <c r="X396" i="37" s="1"/>
  <c r="X401" i="37" a="1"/>
  <c r="X401" i="37" s="1"/>
  <c r="X405" i="37" a="1"/>
  <c r="X405" i="37" s="1"/>
  <c r="X404" i="37" a="1"/>
  <c r="X404" i="37" s="1"/>
  <c r="X406" i="37" a="1"/>
  <c r="X406" i="37" s="1"/>
  <c r="X487" i="37" a="1"/>
  <c r="X487" i="37" s="1"/>
  <c r="X506" i="37" a="1"/>
  <c r="X506" i="37" s="1"/>
  <c r="X620" i="37" a="1"/>
  <c r="X620" i="37" s="1"/>
  <c r="X466" i="37" a="1"/>
  <c r="X466" i="37" s="1"/>
  <c r="X550" i="37" a="1"/>
  <c r="X550" i="37" s="1"/>
  <c r="X498" i="37" a="1"/>
  <c r="X498" i="37" s="1"/>
  <c r="X521" i="37" a="1"/>
  <c r="X521" i="37" s="1"/>
  <c r="X445" i="37" a="1"/>
  <c r="X445" i="37" s="1"/>
  <c r="X184" i="37" a="1"/>
  <c r="X184" i="37" s="1"/>
  <c r="X348" i="37" a="1"/>
  <c r="X348" i="37" s="1"/>
  <c r="X357" i="37" a="1"/>
  <c r="X357" i="37" s="1"/>
  <c r="X640" i="37" a="1"/>
  <c r="X640" i="37" s="1"/>
  <c r="X469" i="37" a="1"/>
  <c r="X469" i="37" s="1"/>
  <c r="X510" i="37" a="1"/>
  <c r="X510" i="37" s="1"/>
  <c r="X511" i="37" a="1"/>
  <c r="X511" i="37" s="1"/>
  <c r="X528" i="37" a="1"/>
  <c r="X528" i="37" s="1"/>
  <c r="X347" i="37" a="1"/>
  <c r="X347" i="37" s="1"/>
  <c r="X436" i="37" a="1"/>
  <c r="X436" i="37" s="1"/>
  <c r="X517" i="37" a="1"/>
  <c r="X517" i="37" s="1"/>
  <c r="X493" i="37" a="1"/>
  <c r="X493" i="37" s="1"/>
  <c r="X467" i="37" a="1"/>
  <c r="X467" i="37" s="1"/>
  <c r="X293" i="37" a="1"/>
  <c r="X293" i="37" s="1"/>
  <c r="X452" i="37" a="1"/>
  <c r="X452" i="37" s="1"/>
  <c r="X358" i="37" a="1"/>
  <c r="X358" i="37" s="1"/>
  <c r="X455" i="37" a="1"/>
  <c r="X455" i="37" s="1"/>
  <c r="X522" i="37" a="1"/>
  <c r="X522" i="37" s="1"/>
  <c r="X351" i="37" a="1"/>
  <c r="X351" i="37" s="1"/>
  <c r="X610" i="37" a="1"/>
  <c r="X610" i="37" s="1"/>
  <c r="X463" i="37" a="1"/>
  <c r="X463" i="37" s="1"/>
  <c r="X490" i="37" a="1"/>
  <c r="X490" i="37" s="1"/>
  <c r="X500" i="37" a="1"/>
  <c r="X500" i="37" s="1"/>
  <c r="X499" i="37" a="1"/>
  <c r="X499" i="37" s="1"/>
  <c r="X523" i="37" a="1"/>
  <c r="X523" i="37" s="1"/>
  <c r="X470" i="37" a="1"/>
  <c r="X470" i="37" s="1"/>
  <c r="X273" i="37" a="1"/>
  <c r="X273" i="37" s="1"/>
  <c r="X489" i="37" a="1"/>
  <c r="X489" i="37" s="1"/>
  <c r="X488" i="37" a="1"/>
  <c r="X488" i="37" s="1"/>
  <c r="X288" i="37" a="1"/>
  <c r="X288" i="37" s="1"/>
  <c r="X292" i="37" a="1"/>
  <c r="X292" i="37" s="1"/>
  <c r="X491" i="37" a="1"/>
  <c r="X491" i="37" s="1"/>
  <c r="X448" i="37" a="1"/>
  <c r="X448" i="37" s="1"/>
  <c r="X494" i="37" a="1"/>
  <c r="X494" i="37" s="1"/>
  <c r="X451" i="37" a="1"/>
  <c r="X451" i="37" s="1"/>
  <c r="X512" i="37" a="1"/>
  <c r="X512" i="37" s="1"/>
  <c r="X525" i="37" a="1"/>
  <c r="X525" i="37" s="1"/>
  <c r="X527" i="37" a="1"/>
  <c r="X527" i="37" s="1"/>
  <c r="X524" i="37" a="1"/>
  <c r="X524" i="37" s="1"/>
  <c r="X639" i="37" a="1"/>
  <c r="X639" i="37" s="1"/>
  <c r="X356" i="37" a="1"/>
  <c r="X356" i="37" s="1"/>
  <c r="X453" i="37" a="1"/>
  <c r="X453" i="37" s="1"/>
  <c r="X460" i="37" a="1"/>
  <c r="X460" i="37" s="1"/>
  <c r="X290" i="37" a="1"/>
  <c r="X290" i="37" s="1"/>
  <c r="X611" i="37" a="1"/>
  <c r="X611" i="37" s="1"/>
  <c r="X492" i="37" a="1"/>
  <c r="X492" i="37" s="1"/>
  <c r="X495" i="37" a="1"/>
  <c r="X495" i="37" s="1"/>
  <c r="X294" i="37" a="1"/>
  <c r="X294" i="37" s="1"/>
  <c r="X496" i="37" a="1"/>
  <c r="X496" i="37" s="1"/>
  <c r="X497" i="37" a="1"/>
  <c r="X497" i="37" s="1"/>
  <c r="X502" i="37" a="1"/>
  <c r="X502" i="37" s="1"/>
  <c r="X446" i="37" a="1"/>
  <c r="X446" i="37" s="1"/>
  <c r="X503" i="37" a="1"/>
  <c r="X503" i="37" s="1"/>
  <c r="X449" i="37" a="1"/>
  <c r="X449" i="37" s="1"/>
  <c r="X631" i="37" a="1"/>
  <c r="X631" i="37" s="1"/>
  <c r="X504" i="37" a="1"/>
  <c r="X504" i="37" s="1"/>
  <c r="X630" i="37" a="1"/>
  <c r="X630" i="37" s="1"/>
  <c r="X629" i="37" a="1"/>
  <c r="X629" i="37" s="1"/>
  <c r="X623" i="37" a="1"/>
  <c r="X623" i="37" s="1"/>
  <c r="X501" i="37" a="1"/>
  <c r="X501" i="37" s="1"/>
  <c r="X505" i="37" a="1"/>
  <c r="X505" i="37" s="1"/>
  <c r="X508" i="37" a="1"/>
  <c r="X508" i="37" s="1"/>
  <c r="X509" i="37" a="1"/>
  <c r="X509" i="37" s="1"/>
  <c r="X513" i="37" a="1"/>
  <c r="X513" i="37" s="1"/>
  <c r="X632" i="37" a="1"/>
  <c r="X632" i="37" s="1"/>
  <c r="X514" i="37" a="1"/>
  <c r="X514" i="37" s="1"/>
  <c r="X515" i="37" a="1"/>
  <c r="X515" i="37" s="1"/>
  <c r="X519" i="37" a="1"/>
  <c r="X519" i="37" s="1"/>
  <c r="X518" i="37" a="1"/>
  <c r="X518" i="37" s="1"/>
  <c r="X520" i="37" a="1"/>
  <c r="X520" i="37" s="1"/>
  <c r="X114" i="37" a="1"/>
  <c r="X114" i="37" s="1"/>
  <c r="X205" i="37" a="1"/>
  <c r="X205" i="37" s="1"/>
  <c r="X349" i="37" a="1"/>
  <c r="X349" i="37" s="1"/>
  <c r="X350" i="37" a="1"/>
  <c r="X350" i="37" s="1"/>
  <c r="X608" i="37" a="1"/>
  <c r="X608" i="37" s="1"/>
  <c r="X609" i="37" a="1"/>
  <c r="X609" i="37" s="1"/>
  <c r="X352" i="37" a="1"/>
  <c r="X352" i="37" s="1"/>
  <c r="X355" i="37" a="1"/>
  <c r="X355" i="37" s="1"/>
  <c r="X353" i="37" a="1"/>
  <c r="X353" i="37" s="1"/>
  <c r="X468" i="37" a="1"/>
  <c r="X468" i="37" s="1"/>
  <c r="X354" i="37" a="1"/>
  <c r="X354" i="37" s="1"/>
  <c r="X295" i="37" a="1"/>
  <c r="X295" i="37" s="1"/>
  <c r="X447" i="37" a="1"/>
  <c r="X447" i="37" s="1"/>
  <c r="X450" i="37" a="1"/>
  <c r="X450" i="37" s="1"/>
  <c r="X454" i="37" a="1"/>
  <c r="X454" i="37" s="1"/>
  <c r="X359" i="37" a="1"/>
  <c r="X359" i="37" s="1"/>
  <c r="X456" i="37" a="1"/>
  <c r="X456" i="37" s="1"/>
  <c r="X457" i="37" a="1"/>
  <c r="X457" i="37" s="1"/>
  <c r="X360" i="37" a="1"/>
  <c r="X360" i="37" s="1"/>
  <c r="X462" i="37" a="1"/>
  <c r="X462" i="37" s="1"/>
  <c r="X461" i="37" a="1"/>
  <c r="X461" i="37" s="1"/>
  <c r="X633" i="37" a="1"/>
  <c r="X633" i="37" s="1"/>
  <c r="X464" i="37" a="1"/>
  <c r="X464" i="37" s="1"/>
  <c r="X624" i="37" a="1"/>
  <c r="X624" i="37" s="1"/>
  <c r="X465" i="37" a="1"/>
  <c r="X465" i="37" s="1"/>
  <c r="X516" i="37" a="1"/>
  <c r="X516" i="37" s="1"/>
  <c r="X634" i="37" a="1"/>
  <c r="X634" i="37" s="1"/>
  <c r="X635" i="37" a="1"/>
  <c r="X635" i="37" s="1"/>
  <c r="X638" i="37" a="1"/>
  <c r="X638" i="37" s="1"/>
  <c r="X637" i="37" a="1"/>
  <c r="X637" i="37" s="1"/>
  <c r="X636" i="37" a="1"/>
  <c r="X636" i="37" s="1"/>
  <c r="X529" i="37" a="1"/>
  <c r="X529" i="37" s="1"/>
  <c r="X530" i="37" a="1"/>
  <c r="X530" i="37" s="1"/>
  <c r="X531" i="37" a="1"/>
  <c r="X531" i="37" s="1"/>
  <c r="X532" i="37" a="1"/>
  <c r="X532" i="37" s="1"/>
  <c r="W2" i="37" a="1"/>
  <c r="W2" i="37" s="1"/>
  <c r="W3" i="37" a="1"/>
  <c r="W3" i="37" s="1"/>
  <c r="W10" i="37" a="1"/>
  <c r="W10" i="37" s="1"/>
  <c r="W534" i="37" a="1"/>
  <c r="W534" i="37" s="1"/>
  <c r="W533" i="37" a="1"/>
  <c r="W533" i="37" s="1"/>
  <c r="W6" i="37" a="1"/>
  <c r="W6" i="37" s="1"/>
  <c r="W5" i="37" a="1"/>
  <c r="W5" i="37" s="1"/>
  <c r="W11" i="37" a="1"/>
  <c r="W11" i="37" s="1"/>
  <c r="W4" i="37" a="1"/>
  <c r="W4" i="37" s="1"/>
  <c r="W23" i="37" a="1"/>
  <c r="W23" i="37" s="1"/>
  <c r="W7" i="37" a="1"/>
  <c r="W7" i="37" s="1"/>
  <c r="W13" i="37" a="1"/>
  <c r="W13" i="37" s="1"/>
  <c r="W24" i="37" a="1"/>
  <c r="W24" i="37" s="1"/>
  <c r="W36" i="37" a="1"/>
  <c r="W36" i="37" s="1"/>
  <c r="W25" i="37" a="1"/>
  <c r="W25" i="37" s="1"/>
  <c r="W37" i="37" a="1"/>
  <c r="W37" i="37" s="1"/>
  <c r="W20" i="37" a="1"/>
  <c r="W20" i="37" s="1"/>
  <c r="W14" i="37" a="1"/>
  <c r="W14" i="37" s="1"/>
  <c r="W15" i="37" a="1"/>
  <c r="W15" i="37" s="1"/>
  <c r="W19" i="37" a="1"/>
  <c r="W19" i="37" s="1"/>
  <c r="W22" i="37" a="1"/>
  <c r="W22" i="37" s="1"/>
  <c r="W26" i="37" a="1"/>
  <c r="W26" i="37" s="1"/>
  <c r="W537" i="37" a="1"/>
  <c r="W537" i="37" s="1"/>
  <c r="W27" i="37" a="1"/>
  <c r="W27" i="37" s="1"/>
  <c r="W21" i="37" a="1"/>
  <c r="W21" i="37" s="1"/>
  <c r="W38" i="37" a="1"/>
  <c r="W38" i="37" s="1"/>
  <c r="W538" i="37" a="1"/>
  <c r="W538" i="37" s="1"/>
  <c r="W28" i="37" a="1"/>
  <c r="W28" i="37" s="1"/>
  <c r="W16" i="37" a="1"/>
  <c r="W16" i="37" s="1"/>
  <c r="W39" i="37" a="1"/>
  <c r="W39" i="37" s="1"/>
  <c r="W40" i="37" a="1"/>
  <c r="W40" i="37" s="1"/>
  <c r="W29" i="37" a="1"/>
  <c r="W29" i="37" s="1"/>
  <c r="W41" i="37" a="1"/>
  <c r="W41" i="37" s="1"/>
  <c r="W33" i="37" a="1"/>
  <c r="W33" i="37" s="1"/>
  <c r="W42" i="37" a="1"/>
  <c r="W42" i="37" s="1"/>
  <c r="W539" i="37" a="1"/>
  <c r="W539" i="37" s="1"/>
  <c r="W85" i="37" a="1"/>
  <c r="W85" i="37" s="1"/>
  <c r="W43" i="37" a="1"/>
  <c r="W43" i="37" s="1"/>
  <c r="W44" i="37" a="1"/>
  <c r="W44" i="37" s="1"/>
  <c r="W535" i="37" a="1"/>
  <c r="W535" i="37" s="1"/>
  <c r="W45" i="37" a="1"/>
  <c r="W45" i="37" s="1"/>
  <c r="W17" i="37" a="1"/>
  <c r="W17" i="37" s="1"/>
  <c r="W70" i="37" a="1"/>
  <c r="W70" i="37" s="1"/>
  <c r="W30" i="37" a="1"/>
  <c r="W30" i="37" s="1"/>
  <c r="W18" i="37" a="1"/>
  <c r="W18" i="37" s="1"/>
  <c r="W62" i="37" a="1"/>
  <c r="W62" i="37" s="1"/>
  <c r="W57" i="37" a="1"/>
  <c r="W57" i="37" s="1"/>
  <c r="W46" i="37" a="1"/>
  <c r="W46" i="37" s="1"/>
  <c r="W61" i="37" a="1"/>
  <c r="W61" i="37" s="1"/>
  <c r="W71" i="37" a="1"/>
  <c r="W71" i="37" s="1"/>
  <c r="W31" i="37" a="1"/>
  <c r="W31" i="37" s="1"/>
  <c r="W541" i="37" a="1"/>
  <c r="W541" i="37" s="1"/>
  <c r="W56" i="37" a="1"/>
  <c r="W56" i="37" s="1"/>
  <c r="W536" i="37" a="1"/>
  <c r="W536" i="37" s="1"/>
  <c r="W47" i="37" a="1"/>
  <c r="W47" i="37" s="1"/>
  <c r="W86" i="37" a="1"/>
  <c r="W86" i="37" s="1"/>
  <c r="W72" i="37" a="1"/>
  <c r="W72" i="37" s="1"/>
  <c r="W48" i="37" a="1"/>
  <c r="W48" i="37" s="1"/>
  <c r="W547" i="37" a="1"/>
  <c r="W547" i="37" s="1"/>
  <c r="W115" i="37" a="1"/>
  <c r="W115" i="37" s="1"/>
  <c r="W562" i="37" a="1"/>
  <c r="W562" i="37" s="1"/>
  <c r="W58" i="37" a="1"/>
  <c r="W58" i="37" s="1"/>
  <c r="W63" i="37" a="1"/>
  <c r="W63" i="37" s="1"/>
  <c r="W34" i="37" a="1"/>
  <c r="W34" i="37" s="1"/>
  <c r="W540" i="37" a="1"/>
  <c r="W540" i="37" s="1"/>
  <c r="W116" i="37" a="1"/>
  <c r="W116" i="37" s="1"/>
  <c r="W12" i="37" a="1"/>
  <c r="W12" i="37" s="1"/>
  <c r="W32" i="37" a="1"/>
  <c r="W32" i="37" s="1"/>
  <c r="W73" i="37" a="1"/>
  <c r="W73" i="37" s="1"/>
  <c r="W74" i="37" a="1"/>
  <c r="W74" i="37" s="1"/>
  <c r="W542" i="37" a="1"/>
  <c r="W542" i="37" s="1"/>
  <c r="W75" i="37" a="1"/>
  <c r="W75" i="37" s="1"/>
  <c r="W543" i="37" a="1"/>
  <c r="W543" i="37" s="1"/>
  <c r="W117" i="37" a="1"/>
  <c r="W117" i="37" s="1"/>
  <c r="W546" i="37" a="1"/>
  <c r="W546" i="37" s="1"/>
  <c r="W99" i="37" a="1"/>
  <c r="W99" i="37" s="1"/>
  <c r="W67" i="37" a="1"/>
  <c r="W67" i="37" s="1"/>
  <c r="W100" i="37" a="1"/>
  <c r="W100" i="37" s="1"/>
  <c r="W68" i="37" a="1"/>
  <c r="W68" i="37" s="1"/>
  <c r="W64" i="37" a="1"/>
  <c r="W64" i="37" s="1"/>
  <c r="W101" i="37" a="1"/>
  <c r="W101" i="37" s="1"/>
  <c r="W65" i="37" a="1"/>
  <c r="W65" i="37" s="1"/>
  <c r="W92" i="37" a="1"/>
  <c r="W92" i="37" s="1"/>
  <c r="W49" i="37" a="1"/>
  <c r="W49" i="37" s="1"/>
  <c r="W185" i="37" a="1"/>
  <c r="W185" i="37" s="1"/>
  <c r="W163" i="37" a="1"/>
  <c r="W163" i="37" s="1"/>
  <c r="W76" i="37" a="1"/>
  <c r="W76" i="37" s="1"/>
  <c r="W87" i="37" a="1"/>
  <c r="W87" i="37" s="1"/>
  <c r="W82" i="37" a="1"/>
  <c r="W82" i="37" s="1"/>
  <c r="W88" i="37" a="1"/>
  <c r="W88" i="37" s="1"/>
  <c r="W554" i="37" a="1"/>
  <c r="W554" i="37" s="1"/>
  <c r="W93" i="37" a="1"/>
  <c r="W93" i="37" s="1"/>
  <c r="W118" i="37" a="1"/>
  <c r="W118" i="37" s="1"/>
  <c r="W83" i="37" a="1"/>
  <c r="W83" i="37" s="1"/>
  <c r="W164" i="37" a="1"/>
  <c r="W164" i="37" s="1"/>
  <c r="W119" i="37" a="1"/>
  <c r="W119" i="37" s="1"/>
  <c r="W549" i="37" a="1"/>
  <c r="W549" i="37" s="1"/>
  <c r="W50" i="37" a="1"/>
  <c r="W50" i="37" s="1"/>
  <c r="W120" i="37" a="1"/>
  <c r="W120" i="37" s="1"/>
  <c r="W121" i="37" a="1"/>
  <c r="W121" i="37" s="1"/>
  <c r="W84" i="37" a="1"/>
  <c r="W84" i="37" s="1"/>
  <c r="W165" i="37" a="1"/>
  <c r="W165" i="37" s="1"/>
  <c r="W206" i="37" a="1"/>
  <c r="W206" i="37" s="1"/>
  <c r="W89" i="37" a="1"/>
  <c r="W89" i="37" s="1"/>
  <c r="W574" i="37" a="1"/>
  <c r="W574" i="37" s="1"/>
  <c r="W166" i="37" a="1"/>
  <c r="W166" i="37" s="1"/>
  <c r="W167" i="37" a="1"/>
  <c r="W167" i="37" s="1"/>
  <c r="W77" i="37" a="1"/>
  <c r="W77" i="37" s="1"/>
  <c r="W123" i="37" a="1"/>
  <c r="W123" i="37" s="1"/>
  <c r="W122" i="37" a="1"/>
  <c r="W122" i="37" s="1"/>
  <c r="W575" i="37" a="1"/>
  <c r="W575" i="37" s="1"/>
  <c r="W96" i="37" a="1"/>
  <c r="W96" i="37" s="1"/>
  <c r="W186" i="37" a="1"/>
  <c r="W186" i="37" s="1"/>
  <c r="W176" i="37" a="1"/>
  <c r="W176" i="37" s="1"/>
  <c r="W151" i="37" a="1"/>
  <c r="W151" i="37" s="1"/>
  <c r="W97" i="37" a="1"/>
  <c r="W97" i="37" s="1"/>
  <c r="W274" i="37" a="1"/>
  <c r="W274" i="37" s="1"/>
  <c r="W545" i="37" a="1"/>
  <c r="W545" i="37" s="1"/>
  <c r="W187" i="37" a="1"/>
  <c r="W187" i="37" s="1"/>
  <c r="W207" i="37" a="1"/>
  <c r="W207" i="37" s="1"/>
  <c r="W9" i="37" a="1"/>
  <c r="W9" i="37" s="1"/>
  <c r="W570" i="37" a="1"/>
  <c r="W570" i="37" s="1"/>
  <c r="W296" i="37" a="1"/>
  <c r="W296" i="37" s="1"/>
  <c r="W102" i="37" a="1"/>
  <c r="W102" i="37" s="1"/>
  <c r="W66" i="37" a="1"/>
  <c r="W66" i="37" s="1"/>
  <c r="W177" i="37" a="1"/>
  <c r="W177" i="37" s="1"/>
  <c r="W297" i="37" a="1"/>
  <c r="W297" i="37" s="1"/>
  <c r="W576" i="37" a="1"/>
  <c r="W576" i="37" s="1"/>
  <c r="W156" i="37" a="1"/>
  <c r="W156" i="37" s="1"/>
  <c r="W188" i="37" a="1"/>
  <c r="W188" i="37" s="1"/>
  <c r="W189" i="37" a="1"/>
  <c r="W189" i="37" s="1"/>
  <c r="W103" i="37" a="1"/>
  <c r="W103" i="37" s="1"/>
  <c r="W190" i="37" a="1"/>
  <c r="W190" i="37" s="1"/>
  <c r="W152" i="37" a="1"/>
  <c r="W152" i="37" s="1"/>
  <c r="W208" i="37" a="1"/>
  <c r="W208" i="37" s="1"/>
  <c r="W209" i="37" a="1"/>
  <c r="W209" i="37" s="1"/>
  <c r="W210" i="37" a="1"/>
  <c r="W210" i="37" s="1"/>
  <c r="W596" i="37" a="1"/>
  <c r="W596" i="37" s="1"/>
  <c r="W168" i="37" a="1"/>
  <c r="W168" i="37" s="1"/>
  <c r="W568" i="37" a="1"/>
  <c r="W568" i="37" s="1"/>
  <c r="W124" i="37" a="1"/>
  <c r="W124" i="37" s="1"/>
  <c r="W571" i="37" a="1"/>
  <c r="W571" i="37" s="1"/>
  <c r="W175" i="37" a="1"/>
  <c r="W175" i="37" s="1"/>
  <c r="W211" i="37" a="1"/>
  <c r="W211" i="37" s="1"/>
  <c r="W104" i="37" a="1"/>
  <c r="W104" i="37" s="1"/>
  <c r="W125" i="37" a="1"/>
  <c r="W125" i="37" s="1"/>
  <c r="W105" i="37" a="1"/>
  <c r="W105" i="37" s="1"/>
  <c r="W126" i="37" a="1"/>
  <c r="W126" i="37" s="1"/>
  <c r="W548" i="37" a="1"/>
  <c r="W548" i="37" s="1"/>
  <c r="W191" i="37" a="1"/>
  <c r="W191" i="37" s="1"/>
  <c r="W563" i="37" a="1"/>
  <c r="W563" i="37" s="1"/>
  <c r="W213" i="37" a="1"/>
  <c r="W213" i="37" s="1"/>
  <c r="W298" i="37" a="1"/>
  <c r="W298" i="37" s="1"/>
  <c r="W106" i="37" a="1"/>
  <c r="W106" i="37" s="1"/>
  <c r="W212" i="37" a="1"/>
  <c r="W212" i="37" s="1"/>
  <c r="W564" i="37" a="1"/>
  <c r="W564" i="37" s="1"/>
  <c r="W577" i="37" a="1"/>
  <c r="W577" i="37" s="1"/>
  <c r="W107" i="37" a="1"/>
  <c r="W107" i="37" s="1"/>
  <c r="W157" i="37" a="1"/>
  <c r="W157" i="37" s="1"/>
  <c r="W214" i="37" a="1"/>
  <c r="W214" i="37" s="1"/>
  <c r="W158" i="37" a="1"/>
  <c r="W158" i="37" s="1"/>
  <c r="W578" i="37" a="1"/>
  <c r="W578" i="37" s="1"/>
  <c r="W215" i="37" a="1"/>
  <c r="W215" i="37" s="1"/>
  <c r="W155" i="37" a="1"/>
  <c r="W155" i="37" s="1"/>
  <c r="W216" i="37" a="1"/>
  <c r="W216" i="37" s="1"/>
  <c r="W217" i="37" a="1"/>
  <c r="W217" i="37" s="1"/>
  <c r="W127" i="37" a="1"/>
  <c r="W127" i="37" s="1"/>
  <c r="W90" i="37" a="1"/>
  <c r="W90" i="37" s="1"/>
  <c r="W153" i="37" a="1"/>
  <c r="W153" i="37" s="1"/>
  <c r="W128" i="37" a="1"/>
  <c r="W128" i="37" s="1"/>
  <c r="W299" i="37" a="1"/>
  <c r="W299" i="37" s="1"/>
  <c r="W192" i="37" a="1"/>
  <c r="W192" i="37" s="1"/>
  <c r="W129" i="37" a="1"/>
  <c r="W129" i="37" s="1"/>
  <c r="W565" i="37" a="1"/>
  <c r="W565" i="37" s="1"/>
  <c r="W130" i="37" a="1"/>
  <c r="W130" i="37" s="1"/>
  <c r="W218" i="37" a="1"/>
  <c r="W218" i="37" s="1"/>
  <c r="W131" i="37" a="1"/>
  <c r="W131" i="37" s="1"/>
  <c r="W154" i="37" a="1"/>
  <c r="W154" i="37" s="1"/>
  <c r="W555" i="37" a="1"/>
  <c r="W555" i="37" s="1"/>
  <c r="W579" i="37" a="1"/>
  <c r="W579" i="37" s="1"/>
  <c r="W132" i="37" a="1"/>
  <c r="W132" i="37" s="1"/>
  <c r="W580" i="37" a="1"/>
  <c r="W580" i="37" s="1"/>
  <c r="W219" i="37" a="1"/>
  <c r="W219" i="37" s="1"/>
  <c r="W133" i="37" a="1"/>
  <c r="W133" i="37" s="1"/>
  <c r="W134" i="37" a="1"/>
  <c r="W134" i="37" s="1"/>
  <c r="W599" i="37" a="1"/>
  <c r="W599" i="37" s="1"/>
  <c r="W220" i="37" a="1"/>
  <c r="W220" i="37" s="1"/>
  <c r="W221" i="37" a="1"/>
  <c r="W221" i="37" s="1"/>
  <c r="W59" i="37" a="1"/>
  <c r="W59" i="37" s="1"/>
  <c r="W222" i="37" a="1"/>
  <c r="W222" i="37" s="1"/>
  <c r="W223" i="37" a="1"/>
  <c r="W223" i="37" s="1"/>
  <c r="W275" i="37" a="1"/>
  <c r="W275" i="37" s="1"/>
  <c r="W51" i="37" a="1"/>
  <c r="W51" i="37" s="1"/>
  <c r="W224" i="37" a="1"/>
  <c r="W224" i="37" s="1"/>
  <c r="W78" i="37" a="1"/>
  <c r="W78" i="37" s="1"/>
  <c r="W225" i="37" a="1"/>
  <c r="W225" i="37" s="1"/>
  <c r="W35" i="37" a="1"/>
  <c r="W35" i="37" s="1"/>
  <c r="W226" i="37" a="1"/>
  <c r="W226" i="37" s="1"/>
  <c r="W169" i="37" a="1"/>
  <c r="W169" i="37" s="1"/>
  <c r="W170" i="37" a="1"/>
  <c r="W170" i="37" s="1"/>
  <c r="W557" i="37" a="1"/>
  <c r="W557" i="37" s="1"/>
  <c r="W361" i="37" a="1"/>
  <c r="W361" i="37" s="1"/>
  <c r="W558" i="37" a="1"/>
  <c r="W558" i="37" s="1"/>
  <c r="W227" i="37" a="1"/>
  <c r="W227" i="37" s="1"/>
  <c r="W556" i="37" a="1"/>
  <c r="W556" i="37" s="1"/>
  <c r="W228" i="37" a="1"/>
  <c r="W228" i="37" s="1"/>
  <c r="W171" i="37" a="1"/>
  <c r="W171" i="37" s="1"/>
  <c r="W178" i="37" a="1"/>
  <c r="W178" i="37" s="1"/>
  <c r="W595" i="37" a="1"/>
  <c r="W595" i="37" s="1"/>
  <c r="W193" i="37" a="1"/>
  <c r="W193" i="37" s="1"/>
  <c r="W69" i="37" a="1"/>
  <c r="W69" i="37" s="1"/>
  <c r="W179" i="37" a="1"/>
  <c r="W179" i="37" s="1"/>
  <c r="W135" i="37" a="1"/>
  <c r="W135" i="37" s="1"/>
  <c r="W108" i="37" a="1"/>
  <c r="W108" i="37" s="1"/>
  <c r="W300" i="37" a="1"/>
  <c r="W300" i="37" s="1"/>
  <c r="W98" i="37" a="1"/>
  <c r="W98" i="37" s="1"/>
  <c r="W159" i="37" a="1"/>
  <c r="W159" i="37" s="1"/>
  <c r="W597" i="37" a="1"/>
  <c r="W597" i="37" s="1"/>
  <c r="W560" i="37" a="1"/>
  <c r="W560" i="37" s="1"/>
  <c r="W79" i="37" a="1"/>
  <c r="W79" i="37" s="1"/>
  <c r="W279" i="37" a="1"/>
  <c r="W279" i="37" s="1"/>
  <c r="W569" i="37" a="1"/>
  <c r="W569" i="37" s="1"/>
  <c r="W229" i="37" a="1"/>
  <c r="W229" i="37" s="1"/>
  <c r="W230" i="37" a="1"/>
  <c r="W230" i="37" s="1"/>
  <c r="W301" i="37" a="1"/>
  <c r="W301" i="37" s="1"/>
  <c r="W437" i="37" a="1"/>
  <c r="W437" i="37" s="1"/>
  <c r="W160" i="37" a="1"/>
  <c r="W160" i="37" s="1"/>
  <c r="W280" i="37" a="1"/>
  <c r="W280" i="37" s="1"/>
  <c r="W302" i="37" a="1"/>
  <c r="W302" i="37" s="1"/>
  <c r="W231" i="37" a="1"/>
  <c r="W231" i="37" s="1"/>
  <c r="W303" i="37" a="1"/>
  <c r="W303" i="37" s="1"/>
  <c r="W304" i="37" a="1"/>
  <c r="W304" i="37" s="1"/>
  <c r="W305" i="37" a="1"/>
  <c r="W305" i="37" s="1"/>
  <c r="W194" i="37" a="1"/>
  <c r="W194" i="37" s="1"/>
  <c r="W265" i="37" a="1"/>
  <c r="W265" i="37" s="1"/>
  <c r="W306" i="37" a="1"/>
  <c r="W306" i="37" s="1"/>
  <c r="W232" i="37" a="1"/>
  <c r="W232" i="37" s="1"/>
  <c r="W195" i="37" a="1"/>
  <c r="W195" i="37" s="1"/>
  <c r="W598" i="37" a="1"/>
  <c r="W598" i="37" s="1"/>
  <c r="W281" i="37" a="1"/>
  <c r="W281" i="37" s="1"/>
  <c r="W600" i="37" a="1"/>
  <c r="W600" i="37" s="1"/>
  <c r="W80" i="37" a="1"/>
  <c r="W80" i="37" s="1"/>
  <c r="W270" i="37" a="1"/>
  <c r="W270" i="37" s="1"/>
  <c r="W180" i="37" a="1"/>
  <c r="W180" i="37" s="1"/>
  <c r="W307" i="37" a="1"/>
  <c r="W307" i="37" s="1"/>
  <c r="W267" i="37" a="1"/>
  <c r="W267" i="37" s="1"/>
  <c r="W196" i="37" a="1"/>
  <c r="W196" i="37" s="1"/>
  <c r="W269" i="37" a="1"/>
  <c r="W269" i="37" s="1"/>
  <c r="W198" i="37" a="1"/>
  <c r="W198" i="37" s="1"/>
  <c r="W282" i="37" a="1"/>
  <c r="W282" i="37" s="1"/>
  <c r="W308" i="37" a="1"/>
  <c r="W308" i="37" s="1"/>
  <c r="W471" i="37" a="1"/>
  <c r="W471" i="37" s="1"/>
  <c r="W283" i="37" a="1"/>
  <c r="W283" i="37" s="1"/>
  <c r="W161" i="37" a="1"/>
  <c r="W161" i="37" s="1"/>
  <c r="W581" i="37" a="1"/>
  <c r="W581" i="37" s="1"/>
  <c r="W234" i="37" a="1"/>
  <c r="W234" i="37" s="1"/>
  <c r="W233" i="37" a="1"/>
  <c r="W233" i="37" s="1"/>
  <c r="W235" i="37" a="1"/>
  <c r="W235" i="37" s="1"/>
  <c r="W268" i="37" a="1"/>
  <c r="W268" i="37" s="1"/>
  <c r="W199" i="37" a="1"/>
  <c r="W199" i="37" s="1"/>
  <c r="W236" i="37" a="1"/>
  <c r="W236" i="37" s="1"/>
  <c r="W582" i="37" a="1"/>
  <c r="W582" i="37" s="1"/>
  <c r="W237" i="37" a="1"/>
  <c r="W237" i="37" s="1"/>
  <c r="W238" i="37" a="1"/>
  <c r="W238" i="37" s="1"/>
  <c r="W583" i="37" a="1"/>
  <c r="W583" i="37" s="1"/>
  <c r="W172" i="37" a="1"/>
  <c r="W172" i="37" s="1"/>
  <c r="W239" i="37" a="1"/>
  <c r="W239" i="37" s="1"/>
  <c r="W363" i="37" a="1"/>
  <c r="W363" i="37" s="1"/>
  <c r="W364" i="37" a="1"/>
  <c r="W364" i="37" s="1"/>
  <c r="W362" i="37" a="1"/>
  <c r="W362" i="37" s="1"/>
  <c r="W594" i="37" a="1"/>
  <c r="W594" i="37" s="1"/>
  <c r="W612" i="37" a="1"/>
  <c r="W612" i="37" s="1"/>
  <c r="W266" i="37" a="1"/>
  <c r="W266" i="37" s="1"/>
  <c r="W309" i="37" a="1"/>
  <c r="W309" i="37" s="1"/>
  <c r="W365" i="37" a="1"/>
  <c r="W365" i="37" s="1"/>
  <c r="W240" i="37" a="1"/>
  <c r="W240" i="37" s="1"/>
  <c r="W91" i="37" a="1"/>
  <c r="W91" i="37" s="1"/>
  <c r="W613" i="37" a="1"/>
  <c r="W613" i="37" s="1"/>
  <c r="W551" i="37" a="1"/>
  <c r="W551" i="37" s="1"/>
  <c r="W271" i="37" a="1"/>
  <c r="W271" i="37" s="1"/>
  <c r="W584" i="37" a="1"/>
  <c r="W584" i="37" s="1"/>
  <c r="W52" i="37" a="1"/>
  <c r="W52" i="37" s="1"/>
  <c r="W366" i="37" a="1"/>
  <c r="W366" i="37" s="1"/>
  <c r="W241" i="37" a="1"/>
  <c r="W241" i="37" s="1"/>
  <c r="W614" i="37" a="1"/>
  <c r="W614" i="37" s="1"/>
  <c r="W367" i="37" a="1"/>
  <c r="W367" i="37" s="1"/>
  <c r="W544" i="37" a="1"/>
  <c r="W544" i="37" s="1"/>
  <c r="W136" i="37" a="1"/>
  <c r="W136" i="37" s="1"/>
  <c r="W585" i="37" a="1"/>
  <c r="W585" i="37" s="1"/>
  <c r="W371" i="37" a="1"/>
  <c r="W371" i="37" s="1"/>
  <c r="W369" i="37" a="1"/>
  <c r="W369" i="37" s="1"/>
  <c r="W615" i="37" a="1"/>
  <c r="W615" i="37" s="1"/>
  <c r="W368" i="37" a="1"/>
  <c r="W368" i="37" s="1"/>
  <c r="W370" i="37" a="1"/>
  <c r="W370" i="37" s="1"/>
  <c r="W242" i="37" a="1"/>
  <c r="W242" i="37" s="1"/>
  <c r="W244" i="37" a="1"/>
  <c r="W244" i="37" s="1"/>
  <c r="W372" i="37" a="1"/>
  <c r="W372" i="37" s="1"/>
  <c r="W566" i="37" a="1"/>
  <c r="W566" i="37" s="1"/>
  <c r="W243" i="37" a="1"/>
  <c r="W243" i="37" s="1"/>
  <c r="W407" i="37" a="1"/>
  <c r="W407" i="37" s="1"/>
  <c r="W8" i="37" a="1"/>
  <c r="W8" i="37" s="1"/>
  <c r="W310" i="37" a="1"/>
  <c r="W310" i="37" s="1"/>
  <c r="W385" i="37" a="1"/>
  <c r="W385" i="37" s="1"/>
  <c r="W94" i="37" a="1"/>
  <c r="W94" i="37" s="1"/>
  <c r="W55" i="37" a="1"/>
  <c r="W55" i="37" s="1"/>
  <c r="W258" i="37" a="1"/>
  <c r="W258" i="37" s="1"/>
  <c r="W137" i="37" a="1"/>
  <c r="W137" i="37" s="1"/>
  <c r="W54" i="37" a="1"/>
  <c r="W54" i="37" s="1"/>
  <c r="W418" i="37" a="1"/>
  <c r="W418" i="37" s="1"/>
  <c r="W174" i="37" a="1"/>
  <c r="W174" i="37" s="1"/>
  <c r="W311" i="37" a="1"/>
  <c r="W311" i="37" s="1"/>
  <c r="W416" i="37" a="1"/>
  <c r="W416" i="37" s="1"/>
  <c r="W312" i="37" a="1"/>
  <c r="W312" i="37" s="1"/>
  <c r="W145" i="37" a="1"/>
  <c r="W145" i="37" s="1"/>
  <c r="W278" i="37" a="1"/>
  <c r="W278" i="37" s="1"/>
  <c r="W181" i="37" a="1"/>
  <c r="W181" i="37" s="1"/>
  <c r="W375" i="37" a="1"/>
  <c r="W375" i="37" s="1"/>
  <c r="W146" i="37" a="1"/>
  <c r="W146" i="37" s="1"/>
  <c r="W388" i="37" a="1"/>
  <c r="W388" i="37" s="1"/>
  <c r="W419" i="37" a="1"/>
  <c r="W419" i="37" s="1"/>
  <c r="W60" i="37" a="1"/>
  <c r="W60" i="37" s="1"/>
  <c r="W81" i="37" a="1"/>
  <c r="W81" i="37" s="1"/>
  <c r="W149" i="37" a="1"/>
  <c r="W149" i="37" s="1"/>
  <c r="W246" i="37" a="1"/>
  <c r="W246" i="37" s="1"/>
  <c r="W590" i="37" a="1"/>
  <c r="W590" i="37" s="1"/>
  <c r="W254" i="37" a="1"/>
  <c r="W254" i="37" s="1"/>
  <c r="W373" i="37" a="1"/>
  <c r="W373" i="37" s="1"/>
  <c r="W376" i="37" a="1"/>
  <c r="W376" i="37" s="1"/>
  <c r="W378" i="37" a="1"/>
  <c r="W378" i="37" s="1"/>
  <c r="W410" i="37" a="1"/>
  <c r="W410" i="37" s="1"/>
  <c r="W409" i="37" a="1"/>
  <c r="W409" i="37" s="1"/>
  <c r="W420" i="37" a="1"/>
  <c r="W420" i="37" s="1"/>
  <c r="W248" i="37" a="1"/>
  <c r="W248" i="37" s="1"/>
  <c r="W247" i="37" a="1"/>
  <c r="W247" i="37" s="1"/>
  <c r="W259" i="37" a="1"/>
  <c r="W259" i="37" s="1"/>
  <c r="W402" i="37" a="1"/>
  <c r="W402" i="37" s="1"/>
  <c r="W415" i="37" a="1"/>
  <c r="W415" i="37" s="1"/>
  <c r="W417" i="37" a="1"/>
  <c r="W417" i="37" s="1"/>
  <c r="W53" i="37" a="1"/>
  <c r="W53" i="37" s="1"/>
  <c r="W140" i="37" a="1"/>
  <c r="W140" i="37" s="1"/>
  <c r="W142" i="37" a="1"/>
  <c r="W142" i="37" s="1"/>
  <c r="W109" i="37" a="1"/>
  <c r="W109" i="37" s="1"/>
  <c r="W313" i="37" a="1"/>
  <c r="W313" i="37" s="1"/>
  <c r="W314" i="37" a="1"/>
  <c r="W314" i="37" s="1"/>
  <c r="W601" i="37" a="1"/>
  <c r="W601" i="37" s="1"/>
  <c r="W315" i="37" a="1"/>
  <c r="W315" i="37" s="1"/>
  <c r="W618" i="37" a="1"/>
  <c r="W618" i="37" s="1"/>
  <c r="W143" i="37" a="1"/>
  <c r="W143" i="37" s="1"/>
  <c r="W622" i="37" a="1"/>
  <c r="W622" i="37" s="1"/>
  <c r="W316" i="37" a="1"/>
  <c r="W316" i="37" s="1"/>
  <c r="W552" i="37" a="1"/>
  <c r="W552" i="37" s="1"/>
  <c r="W317" i="37" a="1"/>
  <c r="W317" i="37" s="1"/>
  <c r="W182" i="37" a="1"/>
  <c r="W182" i="37" s="1"/>
  <c r="W200" i="37" a="1"/>
  <c r="W200" i="37" s="1"/>
  <c r="W284" i="37" a="1"/>
  <c r="W284" i="37" s="1"/>
  <c r="W427" i="37" a="1"/>
  <c r="W427" i="37" s="1"/>
  <c r="W147" i="37" a="1"/>
  <c r="W147" i="37" s="1"/>
  <c r="W173" i="37" a="1"/>
  <c r="W173" i="37" s="1"/>
  <c r="W318" i="37" a="1"/>
  <c r="W318" i="37" s="1"/>
  <c r="W435" i="37" a="1"/>
  <c r="W435" i="37" s="1"/>
  <c r="W285" i="37" a="1"/>
  <c r="W285" i="37" s="1"/>
  <c r="W602" i="37" a="1"/>
  <c r="W602" i="37" s="1"/>
  <c r="W319" i="37" a="1"/>
  <c r="W319" i="37" s="1"/>
  <c r="W148" i="37" a="1"/>
  <c r="W148" i="37" s="1"/>
  <c r="W320" i="37" a="1"/>
  <c r="W320" i="37" s="1"/>
  <c r="W321" i="37" a="1"/>
  <c r="W321" i="37" s="1"/>
  <c r="W150" i="37" a="1"/>
  <c r="W150" i="37" s="1"/>
  <c r="W322" i="37" a="1"/>
  <c r="W322" i="37" s="1"/>
  <c r="W323" i="37" a="1"/>
  <c r="W323" i="37" s="1"/>
  <c r="W621" i="37" a="1"/>
  <c r="W621" i="37" s="1"/>
  <c r="W424" i="37" a="1"/>
  <c r="W424" i="37" s="1"/>
  <c r="W201" i="37" a="1"/>
  <c r="W201" i="37" s="1"/>
  <c r="W440" i="37" a="1"/>
  <c r="W440" i="37" s="1"/>
  <c r="W110" i="37" a="1"/>
  <c r="W110" i="37" s="1"/>
  <c r="W286" i="37" a="1"/>
  <c r="W286" i="37" s="1"/>
  <c r="W325" i="37" a="1"/>
  <c r="W325" i="37" s="1"/>
  <c r="W423" i="37" a="1"/>
  <c r="W423" i="37" s="1"/>
  <c r="W431" i="37" a="1"/>
  <c r="W431" i="37" s="1"/>
  <c r="W421" i="37" a="1"/>
  <c r="W421" i="37" s="1"/>
  <c r="W245" i="37" a="1"/>
  <c r="W245" i="37" s="1"/>
  <c r="W434" i="37" a="1"/>
  <c r="W434" i="37" s="1"/>
  <c r="W324" i="37" a="1"/>
  <c r="W324" i="37" s="1"/>
  <c r="W572" i="37" a="1"/>
  <c r="W572" i="37" s="1"/>
  <c r="W202" i="37" a="1"/>
  <c r="W202" i="37" s="1"/>
  <c r="W588" i="37" a="1"/>
  <c r="W588" i="37" s="1"/>
  <c r="W603" i="37" a="1"/>
  <c r="W603" i="37" s="1"/>
  <c r="W619" i="37" a="1"/>
  <c r="W619" i="37" s="1"/>
  <c r="W250" i="37" a="1"/>
  <c r="W250" i="37" s="1"/>
  <c r="W441" i="37" a="1"/>
  <c r="W441" i="37" s="1"/>
  <c r="W438" i="37" a="1"/>
  <c r="W438" i="37" s="1"/>
  <c r="W327" i="37" a="1"/>
  <c r="W327" i="37" s="1"/>
  <c r="W426" i="37" a="1"/>
  <c r="W426" i="37" s="1"/>
  <c r="W287" i="37" a="1"/>
  <c r="W287" i="37" s="1"/>
  <c r="W95" i="37" a="1"/>
  <c r="W95" i="37" s="1"/>
  <c r="W326" i="37" a="1"/>
  <c r="W326" i="37" s="1"/>
  <c r="W249" i="37" a="1"/>
  <c r="W249" i="37" s="1"/>
  <c r="W425" i="37" a="1"/>
  <c r="W425" i="37" s="1"/>
  <c r="W604" i="37" a="1"/>
  <c r="W604" i="37" s="1"/>
  <c r="W162" i="37" a="1"/>
  <c r="W162" i="37" s="1"/>
  <c r="W276" i="37" a="1"/>
  <c r="W276" i="37" s="1"/>
  <c r="W328" i="37" a="1"/>
  <c r="W328" i="37" s="1"/>
  <c r="W472" i="37" a="1"/>
  <c r="W472" i="37" s="1"/>
  <c r="W272" i="37" a="1"/>
  <c r="W272" i="37" s="1"/>
  <c r="W255" i="37" a="1"/>
  <c r="W255" i="37" s="1"/>
  <c r="W277" i="37" a="1"/>
  <c r="W277" i="37" s="1"/>
  <c r="W442" i="37" a="1"/>
  <c r="W442" i="37" s="1"/>
  <c r="W591" i="37" a="1"/>
  <c r="W591" i="37" s="1"/>
  <c r="W592" i="37" a="1"/>
  <c r="W592" i="37" s="1"/>
  <c r="W329" i="37" a="1"/>
  <c r="W329" i="37" s="1"/>
  <c r="W473" i="37" a="1"/>
  <c r="W473" i="37" s="1"/>
  <c r="W474" i="37" a="1"/>
  <c r="W474" i="37" s="1"/>
  <c r="W428" i="37" a="1"/>
  <c r="W428" i="37" s="1"/>
  <c r="W330" i="37" a="1"/>
  <c r="W330" i="37" s="1"/>
  <c r="W257" i="37" a="1"/>
  <c r="W257" i="37" s="1"/>
  <c r="W429" i="37" a="1"/>
  <c r="W429" i="37" s="1"/>
  <c r="W263" i="37" a="1"/>
  <c r="W263" i="37" s="1"/>
  <c r="W444" i="37" a="1"/>
  <c r="W444" i="37" s="1"/>
  <c r="W430" i="37" a="1"/>
  <c r="W430" i="37" s="1"/>
  <c r="W432" i="37" a="1"/>
  <c r="W432" i="37" s="1"/>
  <c r="W260" i="37" a="1"/>
  <c r="W260" i="37" s="1"/>
  <c r="W261" i="37" a="1"/>
  <c r="W261" i="37" s="1"/>
  <c r="W262" i="37" a="1"/>
  <c r="W262" i="37" s="1"/>
  <c r="W331" i="37" a="1"/>
  <c r="W331" i="37" s="1"/>
  <c r="W374" i="37" a="1"/>
  <c r="W374" i="37" s="1"/>
  <c r="W332" i="37" a="1"/>
  <c r="W332" i="37" s="1"/>
  <c r="W377" i="37" a="1"/>
  <c r="W377" i="37" s="1"/>
  <c r="W203" i="37" a="1"/>
  <c r="W203" i="37" s="1"/>
  <c r="W111" i="37" a="1"/>
  <c r="W111" i="37" s="1"/>
  <c r="W379" i="37" a="1"/>
  <c r="W379" i="37" s="1"/>
  <c r="W333" i="37" a="1"/>
  <c r="W333" i="37" s="1"/>
  <c r="W334" i="37" a="1"/>
  <c r="W334" i="37" s="1"/>
  <c r="W443" i="37" a="1"/>
  <c r="W443" i="37" s="1"/>
  <c r="W459" i="37" a="1"/>
  <c r="W459" i="37" s="1"/>
  <c r="W289" i="37" a="1"/>
  <c r="W289" i="37" s="1"/>
  <c r="W475" i="37" a="1"/>
  <c r="W475" i="37" s="1"/>
  <c r="W335" i="37" a="1"/>
  <c r="W335" i="37" s="1"/>
  <c r="W112" i="37" a="1"/>
  <c r="W112" i="37" s="1"/>
  <c r="W422" i="37" a="1"/>
  <c r="W422" i="37" s="1"/>
  <c r="W381" i="37" a="1"/>
  <c r="W381" i="37" s="1"/>
  <c r="W605" i="37" a="1"/>
  <c r="W605" i="37" s="1"/>
  <c r="W616" i="37" a="1"/>
  <c r="W616" i="37" s="1"/>
  <c r="W383" i="37" a="1"/>
  <c r="W383" i="37" s="1"/>
  <c r="W183" i="37" a="1"/>
  <c r="W183" i="37" s="1"/>
  <c r="W433" i="37" a="1"/>
  <c r="W433" i="37" s="1"/>
  <c r="W336" i="37" a="1"/>
  <c r="W336" i="37" s="1"/>
  <c r="W337" i="37" a="1"/>
  <c r="W337" i="37" s="1"/>
  <c r="W386" i="37" a="1"/>
  <c r="W386" i="37" s="1"/>
  <c r="W338" i="37" a="1"/>
  <c r="W338" i="37" s="1"/>
  <c r="W617" i="37" a="1"/>
  <c r="W617" i="37" s="1"/>
  <c r="W389" i="37" a="1"/>
  <c r="W389" i="37" s="1"/>
  <c r="W606" i="37" a="1"/>
  <c r="W606" i="37" s="1"/>
  <c r="W204" i="37" a="1"/>
  <c r="W204" i="37" s="1"/>
  <c r="W291" i="37" a="1"/>
  <c r="W291" i="37" s="1"/>
  <c r="W390" i="37" a="1"/>
  <c r="W390" i="37" s="1"/>
  <c r="W394" i="37" a="1"/>
  <c r="W394" i="37" s="1"/>
  <c r="W398" i="37" a="1"/>
  <c r="W398" i="37" s="1"/>
  <c r="W400" i="37" a="1"/>
  <c r="W400" i="37" s="1"/>
  <c r="W476" i="37" a="1"/>
  <c r="W476" i="37" s="1"/>
  <c r="W399" i="37" a="1"/>
  <c r="W399" i="37" s="1"/>
  <c r="W403" i="37" a="1"/>
  <c r="W403" i="37" s="1"/>
  <c r="W477" i="37" a="1"/>
  <c r="W477" i="37" s="1"/>
  <c r="W408" i="37" a="1"/>
  <c r="W408" i="37" s="1"/>
  <c r="W439" i="37" a="1"/>
  <c r="W439" i="37" s="1"/>
  <c r="W573" i="37" a="1"/>
  <c r="W573" i="37" s="1"/>
  <c r="W413" i="37" a="1"/>
  <c r="W413" i="37" s="1"/>
  <c r="W607" i="37" a="1"/>
  <c r="W607" i="37" s="1"/>
  <c r="W412" i="37" a="1"/>
  <c r="W412" i="37" s="1"/>
  <c r="W113" i="37" a="1"/>
  <c r="W113" i="37" s="1"/>
  <c r="W414" i="37" a="1"/>
  <c r="W414" i="37" s="1"/>
  <c r="W411" i="37" a="1"/>
  <c r="W411" i="37" s="1"/>
  <c r="W138" i="37" a="1"/>
  <c r="W138" i="37" s="1"/>
  <c r="W139" i="37" a="1"/>
  <c r="W139" i="37" s="1"/>
  <c r="W339" i="37" a="1"/>
  <c r="W339" i="37" s="1"/>
  <c r="W478" i="37" a="1"/>
  <c r="W478" i="37" s="1"/>
  <c r="W141" i="37" a="1"/>
  <c r="W141" i="37" s="1"/>
  <c r="W479" i="37" a="1"/>
  <c r="W479" i="37" s="1"/>
  <c r="W340" i="37" a="1"/>
  <c r="W340" i="37" s="1"/>
  <c r="W144" i="37" a="1"/>
  <c r="W144" i="37" s="1"/>
  <c r="W567" i="37" a="1"/>
  <c r="W567" i="37" s="1"/>
  <c r="W586" i="37" a="1"/>
  <c r="W586" i="37" s="1"/>
  <c r="W587" i="37" a="1"/>
  <c r="W587" i="37" s="1"/>
  <c r="W589" i="37" a="1"/>
  <c r="W589" i="37" s="1"/>
  <c r="W625" i="37" a="1"/>
  <c r="W625" i="37" s="1"/>
  <c r="W480" i="37" a="1"/>
  <c r="W480" i="37" s="1"/>
  <c r="W342" i="37" a="1"/>
  <c r="W342" i="37" s="1"/>
  <c r="W253" i="37" a="1"/>
  <c r="W253" i="37" s="1"/>
  <c r="W341" i="37" a="1"/>
  <c r="W341" i="37" s="1"/>
  <c r="W252" i="37" a="1"/>
  <c r="W252" i="37" s="1"/>
  <c r="W482" i="37" a="1"/>
  <c r="W482" i="37" s="1"/>
  <c r="W481" i="37" a="1"/>
  <c r="W481" i="37" s="1"/>
  <c r="W343" i="37" a="1"/>
  <c r="W343" i="37" s="1"/>
  <c r="W251" i="37" a="1"/>
  <c r="W251" i="37" s="1"/>
  <c r="W256" i="37" a="1"/>
  <c r="W256" i="37" s="1"/>
  <c r="W264" i="37" a="1"/>
  <c r="W264" i="37" s="1"/>
  <c r="W593" i="37" a="1"/>
  <c r="W593" i="37" s="1"/>
  <c r="W345" i="37" a="1"/>
  <c r="W345" i="37" s="1"/>
  <c r="W484" i="37" a="1"/>
  <c r="W484" i="37" s="1"/>
  <c r="W483" i="37" a="1"/>
  <c r="W483" i="37" s="1"/>
  <c r="W344" i="37" a="1"/>
  <c r="W344" i="37" s="1"/>
  <c r="W458" i="37" a="1"/>
  <c r="W458" i="37" s="1"/>
  <c r="W486" i="37" a="1"/>
  <c r="W486" i="37" s="1"/>
  <c r="W485" i="37" a="1"/>
  <c r="W485" i="37" s="1"/>
  <c r="W626" i="37" a="1"/>
  <c r="W626" i="37" s="1"/>
  <c r="W346" i="37" a="1"/>
  <c r="W346" i="37" s="1"/>
  <c r="W628" i="37" a="1"/>
  <c r="W628" i="37" s="1"/>
  <c r="W380" i="37" a="1"/>
  <c r="W380" i="37" s="1"/>
  <c r="W382" i="37" a="1"/>
  <c r="W382" i="37" s="1"/>
  <c r="W627" i="37" a="1"/>
  <c r="W627" i="37" s="1"/>
  <c r="W384" i="37" a="1"/>
  <c r="W384" i="37" s="1"/>
  <c r="W387" i="37" a="1"/>
  <c r="W387" i="37" s="1"/>
  <c r="W391" i="37" a="1"/>
  <c r="W391" i="37" s="1"/>
  <c r="W392" i="37" a="1"/>
  <c r="W392" i="37" s="1"/>
  <c r="W393" i="37" a="1"/>
  <c r="W393" i="37" s="1"/>
  <c r="W397" i="37" a="1"/>
  <c r="W397" i="37" s="1"/>
  <c r="W396" i="37" a="1"/>
  <c r="W396" i="37" s="1"/>
  <c r="W401" i="37" a="1"/>
  <c r="W401" i="37" s="1"/>
  <c r="W405" i="37" a="1"/>
  <c r="W405" i="37" s="1"/>
  <c r="W404" i="37" a="1"/>
  <c r="W404" i="37" s="1"/>
  <c r="W406" i="37" a="1"/>
  <c r="W406" i="37" s="1"/>
  <c r="W487" i="37" a="1"/>
  <c r="W487" i="37" s="1"/>
  <c r="W506" i="37" a="1"/>
  <c r="W506" i="37" s="1"/>
  <c r="W620" i="37" a="1"/>
  <c r="W620" i="37" s="1"/>
  <c r="W466" i="37" a="1"/>
  <c r="W466" i="37" s="1"/>
  <c r="W550" i="37" a="1"/>
  <c r="W550" i="37" s="1"/>
  <c r="W498" i="37" a="1"/>
  <c r="W498" i="37" s="1"/>
  <c r="W521" i="37" a="1"/>
  <c r="W521" i="37" s="1"/>
  <c r="W445" i="37" a="1"/>
  <c r="W445" i="37" s="1"/>
  <c r="W184" i="37" a="1"/>
  <c r="W184" i="37" s="1"/>
  <c r="W348" i="37" a="1"/>
  <c r="W348" i="37" s="1"/>
  <c r="W357" i="37" a="1"/>
  <c r="W357" i="37" s="1"/>
  <c r="W640" i="37" a="1"/>
  <c r="W640" i="37" s="1"/>
  <c r="W469" i="37" a="1"/>
  <c r="W469" i="37" s="1"/>
  <c r="W510" i="37" a="1"/>
  <c r="W510" i="37" s="1"/>
  <c r="W511" i="37" a="1"/>
  <c r="W511" i="37" s="1"/>
  <c r="W528" i="37" a="1"/>
  <c r="W528" i="37" s="1"/>
  <c r="W347" i="37" a="1"/>
  <c r="W347" i="37" s="1"/>
  <c r="W436" i="37" a="1"/>
  <c r="W436" i="37" s="1"/>
  <c r="W517" i="37" a="1"/>
  <c r="W517" i="37" s="1"/>
  <c r="W493" i="37" a="1"/>
  <c r="W493" i="37" s="1"/>
  <c r="W467" i="37" a="1"/>
  <c r="W467" i="37" s="1"/>
  <c r="W293" i="37" a="1"/>
  <c r="W293" i="37" s="1"/>
  <c r="W452" i="37" a="1"/>
  <c r="W452" i="37" s="1"/>
  <c r="W358" i="37" a="1"/>
  <c r="W358" i="37" s="1"/>
  <c r="W455" i="37" a="1"/>
  <c r="W455" i="37" s="1"/>
  <c r="W522" i="37" a="1"/>
  <c r="W522" i="37" s="1"/>
  <c r="W351" i="37" a="1"/>
  <c r="W351" i="37" s="1"/>
  <c r="W610" i="37" a="1"/>
  <c r="W610" i="37" s="1"/>
  <c r="W463" i="37" a="1"/>
  <c r="W463" i="37" s="1"/>
  <c r="W490" i="37" a="1"/>
  <c r="W490" i="37" s="1"/>
  <c r="W500" i="37" a="1"/>
  <c r="W500" i="37" s="1"/>
  <c r="W499" i="37" a="1"/>
  <c r="W499" i="37" s="1"/>
  <c r="W523" i="37" a="1"/>
  <c r="W523" i="37" s="1"/>
  <c r="W470" i="37" a="1"/>
  <c r="W470" i="37" s="1"/>
  <c r="W273" i="37" a="1"/>
  <c r="W273" i="37" s="1"/>
  <c r="W489" i="37" a="1"/>
  <c r="W489" i="37" s="1"/>
  <c r="W488" i="37" a="1"/>
  <c r="W488" i="37" s="1"/>
  <c r="W288" i="37" a="1"/>
  <c r="W288" i="37" s="1"/>
  <c r="W292" i="37" a="1"/>
  <c r="W292" i="37" s="1"/>
  <c r="W491" i="37" a="1"/>
  <c r="W491" i="37" s="1"/>
  <c r="W448" i="37" a="1"/>
  <c r="W448" i="37" s="1"/>
  <c r="W494" i="37" a="1"/>
  <c r="W494" i="37" s="1"/>
  <c r="W451" i="37" a="1"/>
  <c r="W451" i="37" s="1"/>
  <c r="W512" i="37" a="1"/>
  <c r="W512" i="37" s="1"/>
  <c r="W525" i="37" a="1"/>
  <c r="W525" i="37" s="1"/>
  <c r="W527" i="37" a="1"/>
  <c r="W527" i="37" s="1"/>
  <c r="W524" i="37" a="1"/>
  <c r="W524" i="37" s="1"/>
  <c r="W639" i="37" a="1"/>
  <c r="W639" i="37" s="1"/>
  <c r="W356" i="37" a="1"/>
  <c r="W356" i="37" s="1"/>
  <c r="W453" i="37" a="1"/>
  <c r="W453" i="37" s="1"/>
  <c r="W460" i="37" a="1"/>
  <c r="W460" i="37" s="1"/>
  <c r="W290" i="37" a="1"/>
  <c r="W290" i="37" s="1"/>
  <c r="W611" i="37" a="1"/>
  <c r="W611" i="37" s="1"/>
  <c r="W492" i="37" a="1"/>
  <c r="W492" i="37" s="1"/>
  <c r="W495" i="37" a="1"/>
  <c r="W495" i="37" s="1"/>
  <c r="W294" i="37" a="1"/>
  <c r="W294" i="37" s="1"/>
  <c r="W496" i="37" a="1"/>
  <c r="W496" i="37" s="1"/>
  <c r="W497" i="37" a="1"/>
  <c r="W497" i="37" s="1"/>
  <c r="W502" i="37" a="1"/>
  <c r="W502" i="37" s="1"/>
  <c r="W446" i="37" a="1"/>
  <c r="W446" i="37" s="1"/>
  <c r="W503" i="37" a="1"/>
  <c r="W503" i="37" s="1"/>
  <c r="W449" i="37" a="1"/>
  <c r="W449" i="37" s="1"/>
  <c r="W631" i="37" a="1"/>
  <c r="W631" i="37" s="1"/>
  <c r="W504" i="37" a="1"/>
  <c r="W504" i="37" s="1"/>
  <c r="W630" i="37" a="1"/>
  <c r="W630" i="37" s="1"/>
  <c r="W629" i="37" a="1"/>
  <c r="W629" i="37" s="1"/>
  <c r="W623" i="37" a="1"/>
  <c r="W623" i="37" s="1"/>
  <c r="W501" i="37" a="1"/>
  <c r="W501" i="37" s="1"/>
  <c r="W505" i="37" a="1"/>
  <c r="W505" i="37" s="1"/>
  <c r="W508" i="37" a="1"/>
  <c r="W508" i="37" s="1"/>
  <c r="W509" i="37" a="1"/>
  <c r="W509" i="37" s="1"/>
  <c r="W513" i="37" a="1"/>
  <c r="W513" i="37" s="1"/>
  <c r="W632" i="37" a="1"/>
  <c r="W632" i="37" s="1"/>
  <c r="W514" i="37" a="1"/>
  <c r="W514" i="37" s="1"/>
  <c r="W515" i="37" a="1"/>
  <c r="W515" i="37" s="1"/>
  <c r="W519" i="37" a="1"/>
  <c r="W519" i="37" s="1"/>
  <c r="W518" i="37" a="1"/>
  <c r="W518" i="37" s="1"/>
  <c r="W520" i="37" a="1"/>
  <c r="W520" i="37" s="1"/>
  <c r="W114" i="37" a="1"/>
  <c r="W114" i="37" s="1"/>
  <c r="W205" i="37" a="1"/>
  <c r="W205" i="37" s="1"/>
  <c r="W349" i="37" a="1"/>
  <c r="W349" i="37" s="1"/>
  <c r="W350" i="37" a="1"/>
  <c r="W350" i="37" s="1"/>
  <c r="W608" i="37" a="1"/>
  <c r="W608" i="37" s="1"/>
  <c r="W609" i="37" a="1"/>
  <c r="W609" i="37" s="1"/>
  <c r="W352" i="37" a="1"/>
  <c r="W352" i="37" s="1"/>
  <c r="W355" i="37" a="1"/>
  <c r="W355" i="37" s="1"/>
  <c r="W353" i="37" a="1"/>
  <c r="W353" i="37" s="1"/>
  <c r="W468" i="37" a="1"/>
  <c r="W468" i="37" s="1"/>
  <c r="W354" i="37" a="1"/>
  <c r="W354" i="37" s="1"/>
  <c r="W295" i="37" a="1"/>
  <c r="W295" i="37" s="1"/>
  <c r="W447" i="37" a="1"/>
  <c r="W447" i="37" s="1"/>
  <c r="W450" i="37" a="1"/>
  <c r="W450" i="37" s="1"/>
  <c r="W454" i="37" a="1"/>
  <c r="W454" i="37" s="1"/>
  <c r="W359" i="37" a="1"/>
  <c r="W359" i="37" s="1"/>
  <c r="W456" i="37" a="1"/>
  <c r="W456" i="37" s="1"/>
  <c r="W457" i="37" a="1"/>
  <c r="W457" i="37" s="1"/>
  <c r="W360" i="37" a="1"/>
  <c r="W360" i="37" s="1"/>
  <c r="W462" i="37" a="1"/>
  <c r="W462" i="37" s="1"/>
  <c r="W461" i="37" a="1"/>
  <c r="W461" i="37" s="1"/>
  <c r="W633" i="37" a="1"/>
  <c r="W633" i="37" s="1"/>
  <c r="W464" i="37" a="1"/>
  <c r="W464" i="37" s="1"/>
  <c r="W624" i="37" a="1"/>
  <c r="W624" i="37" s="1"/>
  <c r="W465" i="37" a="1"/>
  <c r="W465" i="37" s="1"/>
  <c r="W516" i="37" a="1"/>
  <c r="W516" i="37" s="1"/>
  <c r="W634" i="37" a="1"/>
  <c r="W634" i="37" s="1"/>
  <c r="W635" i="37" a="1"/>
  <c r="W635" i="37" s="1"/>
  <c r="W638" i="37" a="1"/>
  <c r="W638" i="37" s="1"/>
  <c r="W637" i="37" a="1"/>
  <c r="W637" i="37" s="1"/>
  <c r="W636" i="37" a="1"/>
  <c r="W636" i="37" s="1"/>
  <c r="W529" i="37" a="1"/>
  <c r="W529" i="37" s="1"/>
  <c r="W530" i="37" a="1"/>
  <c r="W530" i="37" s="1"/>
  <c r="W531" i="37" a="1"/>
  <c r="W531" i="37" s="1"/>
  <c r="W532" i="37" a="1"/>
  <c r="W532" i="37" s="1"/>
  <c r="V2" i="37" a="1"/>
  <c r="V2" i="37" s="1"/>
  <c r="V3" i="37" a="1"/>
  <c r="V3" i="37" s="1"/>
  <c r="V10" i="37" a="1"/>
  <c r="V10" i="37" s="1"/>
  <c r="V534" i="37" a="1"/>
  <c r="V534" i="37" s="1"/>
  <c r="V533" i="37" a="1"/>
  <c r="V533" i="37" s="1"/>
  <c r="V6" i="37" a="1"/>
  <c r="V6" i="37" s="1"/>
  <c r="V5" i="37" a="1"/>
  <c r="V5" i="37" s="1"/>
  <c r="V11" i="37" a="1"/>
  <c r="V11" i="37" s="1"/>
  <c r="V4" i="37" a="1"/>
  <c r="V4" i="37" s="1"/>
  <c r="V23" i="37" a="1"/>
  <c r="V23" i="37" s="1"/>
  <c r="V7" i="37" a="1"/>
  <c r="V7" i="37" s="1"/>
  <c r="V13" i="37" a="1"/>
  <c r="V13" i="37" s="1"/>
  <c r="V24" i="37" a="1"/>
  <c r="V24" i="37" s="1"/>
  <c r="V36" i="37" a="1"/>
  <c r="V36" i="37" s="1"/>
  <c r="V25" i="37" a="1"/>
  <c r="V25" i="37" s="1"/>
  <c r="V37" i="37" a="1"/>
  <c r="V37" i="37" s="1"/>
  <c r="V20" i="37" a="1"/>
  <c r="V20" i="37" s="1"/>
  <c r="V14" i="37" a="1"/>
  <c r="V14" i="37" s="1"/>
  <c r="V15" i="37" a="1"/>
  <c r="V15" i="37" s="1"/>
  <c r="V19" i="37" a="1"/>
  <c r="V19" i="37" s="1"/>
  <c r="V22" i="37" a="1"/>
  <c r="V22" i="37" s="1"/>
  <c r="V26" i="37" a="1"/>
  <c r="V26" i="37" s="1"/>
  <c r="V537" i="37" a="1"/>
  <c r="V537" i="37" s="1"/>
  <c r="V27" i="37" a="1"/>
  <c r="V27" i="37" s="1"/>
  <c r="V21" i="37" a="1"/>
  <c r="V21" i="37" s="1"/>
  <c r="V38" i="37" a="1"/>
  <c r="V38" i="37" s="1"/>
  <c r="V538" i="37" a="1"/>
  <c r="V538" i="37" s="1"/>
  <c r="V28" i="37" a="1"/>
  <c r="V28" i="37" s="1"/>
  <c r="V16" i="37" a="1"/>
  <c r="V16" i="37" s="1"/>
  <c r="V39" i="37" a="1"/>
  <c r="V39" i="37" s="1"/>
  <c r="V40" i="37" a="1"/>
  <c r="V40" i="37" s="1"/>
  <c r="V29" i="37" a="1"/>
  <c r="V29" i="37" s="1"/>
  <c r="V41" i="37" a="1"/>
  <c r="V41" i="37" s="1"/>
  <c r="V33" i="37" a="1"/>
  <c r="V33" i="37" s="1"/>
  <c r="V42" i="37" a="1"/>
  <c r="V42" i="37" s="1"/>
  <c r="V539" i="37" a="1"/>
  <c r="V539" i="37" s="1"/>
  <c r="V85" i="37" a="1"/>
  <c r="V85" i="37" s="1"/>
  <c r="V43" i="37" a="1"/>
  <c r="V43" i="37" s="1"/>
  <c r="V44" i="37" a="1"/>
  <c r="V44" i="37" s="1"/>
  <c r="V535" i="37" a="1"/>
  <c r="V535" i="37" s="1"/>
  <c r="V45" i="37" a="1"/>
  <c r="V45" i="37" s="1"/>
  <c r="V17" i="37" a="1"/>
  <c r="V17" i="37" s="1"/>
  <c r="V70" i="37" a="1"/>
  <c r="V70" i="37" s="1"/>
  <c r="V30" i="37" a="1"/>
  <c r="V30" i="37" s="1"/>
  <c r="V18" i="37" a="1"/>
  <c r="V18" i="37" s="1"/>
  <c r="V62" i="37" a="1"/>
  <c r="V62" i="37" s="1"/>
  <c r="V57" i="37" a="1"/>
  <c r="V57" i="37" s="1"/>
  <c r="V46" i="37" a="1"/>
  <c r="V46" i="37" s="1"/>
  <c r="V61" i="37" a="1"/>
  <c r="V61" i="37" s="1"/>
  <c r="V71" i="37" a="1"/>
  <c r="V71" i="37" s="1"/>
  <c r="V31" i="37" a="1"/>
  <c r="V31" i="37" s="1"/>
  <c r="V541" i="37" a="1"/>
  <c r="V541" i="37" s="1"/>
  <c r="V56" i="37" a="1"/>
  <c r="V56" i="37" s="1"/>
  <c r="V536" i="37" a="1"/>
  <c r="V536" i="37" s="1"/>
  <c r="V47" i="37" a="1"/>
  <c r="V47" i="37" s="1"/>
  <c r="V86" i="37" a="1"/>
  <c r="V86" i="37" s="1"/>
  <c r="V72" i="37" a="1"/>
  <c r="V72" i="37" s="1"/>
  <c r="V48" i="37" a="1"/>
  <c r="V48" i="37" s="1"/>
  <c r="V547" i="37" a="1"/>
  <c r="V547" i="37" s="1"/>
  <c r="V115" i="37" a="1"/>
  <c r="V115" i="37" s="1"/>
  <c r="V562" i="37" a="1"/>
  <c r="V562" i="37" s="1"/>
  <c r="V58" i="37" a="1"/>
  <c r="V58" i="37" s="1"/>
  <c r="V63" i="37" a="1"/>
  <c r="V63" i="37" s="1"/>
  <c r="V34" i="37" a="1"/>
  <c r="V34" i="37" s="1"/>
  <c r="V540" i="37" a="1"/>
  <c r="V540" i="37" s="1"/>
  <c r="V116" i="37" a="1"/>
  <c r="V116" i="37" s="1"/>
  <c r="V12" i="37" a="1"/>
  <c r="V12" i="37" s="1"/>
  <c r="V32" i="37" a="1"/>
  <c r="V32" i="37" s="1"/>
  <c r="V73" i="37" a="1"/>
  <c r="V73" i="37" s="1"/>
  <c r="V74" i="37" a="1"/>
  <c r="V74" i="37" s="1"/>
  <c r="V542" i="37" a="1"/>
  <c r="V542" i="37" s="1"/>
  <c r="V75" i="37" a="1"/>
  <c r="V75" i="37" s="1"/>
  <c r="V543" i="37" a="1"/>
  <c r="V543" i="37" s="1"/>
  <c r="V117" i="37" a="1"/>
  <c r="V117" i="37" s="1"/>
  <c r="V546" i="37" a="1"/>
  <c r="V546" i="37" s="1"/>
  <c r="V99" i="37" a="1"/>
  <c r="V99" i="37" s="1"/>
  <c r="V67" i="37" a="1"/>
  <c r="V67" i="37" s="1"/>
  <c r="V100" i="37" a="1"/>
  <c r="V100" i="37" s="1"/>
  <c r="V68" i="37" a="1"/>
  <c r="V68" i="37" s="1"/>
  <c r="V64" i="37" a="1"/>
  <c r="V64" i="37" s="1"/>
  <c r="V101" i="37" a="1"/>
  <c r="V101" i="37" s="1"/>
  <c r="V65" i="37" a="1"/>
  <c r="V65" i="37" s="1"/>
  <c r="V92" i="37" a="1"/>
  <c r="V92" i="37" s="1"/>
  <c r="V49" i="37" a="1"/>
  <c r="V49" i="37" s="1"/>
  <c r="V185" i="37" a="1"/>
  <c r="V185" i="37" s="1"/>
  <c r="V163" i="37" a="1"/>
  <c r="V163" i="37" s="1"/>
  <c r="V76" i="37" a="1"/>
  <c r="V76" i="37" s="1"/>
  <c r="V87" i="37" a="1"/>
  <c r="V87" i="37" s="1"/>
  <c r="V82" i="37" a="1"/>
  <c r="V82" i="37" s="1"/>
  <c r="V88" i="37" a="1"/>
  <c r="V88" i="37" s="1"/>
  <c r="V554" i="37" a="1"/>
  <c r="V554" i="37" s="1"/>
  <c r="V93" i="37" a="1"/>
  <c r="V93" i="37" s="1"/>
  <c r="V118" i="37" a="1"/>
  <c r="V118" i="37" s="1"/>
  <c r="V83" i="37" a="1"/>
  <c r="V83" i="37" s="1"/>
  <c r="V164" i="37" a="1"/>
  <c r="V164" i="37" s="1"/>
  <c r="V119" i="37" a="1"/>
  <c r="V119" i="37" s="1"/>
  <c r="V549" i="37" a="1"/>
  <c r="V549" i="37" s="1"/>
  <c r="V50" i="37" a="1"/>
  <c r="V50" i="37" s="1"/>
  <c r="V120" i="37" a="1"/>
  <c r="V120" i="37" s="1"/>
  <c r="V121" i="37" a="1"/>
  <c r="V121" i="37" s="1"/>
  <c r="V84" i="37" a="1"/>
  <c r="V84" i="37" s="1"/>
  <c r="V165" i="37" a="1"/>
  <c r="V165" i="37" s="1"/>
  <c r="V206" i="37" a="1"/>
  <c r="V206" i="37" s="1"/>
  <c r="V89" i="37" a="1"/>
  <c r="V89" i="37" s="1"/>
  <c r="V574" i="37" a="1"/>
  <c r="V574" i="37" s="1"/>
  <c r="V166" i="37" a="1"/>
  <c r="V166" i="37" s="1"/>
  <c r="V167" i="37" a="1"/>
  <c r="V167" i="37" s="1"/>
  <c r="V77" i="37" a="1"/>
  <c r="V77" i="37" s="1"/>
  <c r="V123" i="37" a="1"/>
  <c r="V123" i="37" s="1"/>
  <c r="V122" i="37" a="1"/>
  <c r="V122" i="37" s="1"/>
  <c r="V575" i="37" a="1"/>
  <c r="V575" i="37" s="1"/>
  <c r="V96" i="37" a="1"/>
  <c r="V96" i="37" s="1"/>
  <c r="V186" i="37" a="1"/>
  <c r="V186" i="37" s="1"/>
  <c r="V176" i="37" a="1"/>
  <c r="V176" i="37" s="1"/>
  <c r="V151" i="37" a="1"/>
  <c r="V151" i="37" s="1"/>
  <c r="V97" i="37" a="1"/>
  <c r="V97" i="37" s="1"/>
  <c r="V274" i="37" a="1"/>
  <c r="V274" i="37" s="1"/>
  <c r="V545" i="37" a="1"/>
  <c r="V545" i="37" s="1"/>
  <c r="V187" i="37" a="1"/>
  <c r="V187" i="37" s="1"/>
  <c r="V207" i="37" a="1"/>
  <c r="V207" i="37" s="1"/>
  <c r="V9" i="37" a="1"/>
  <c r="V9" i="37" s="1"/>
  <c r="V570" i="37" a="1"/>
  <c r="V570" i="37" s="1"/>
  <c r="V296" i="37" a="1"/>
  <c r="V296" i="37" s="1"/>
  <c r="V102" i="37" a="1"/>
  <c r="V102" i="37" s="1"/>
  <c r="V66" i="37" a="1"/>
  <c r="V66" i="37" s="1"/>
  <c r="V177" i="37" a="1"/>
  <c r="V177" i="37" s="1"/>
  <c r="V297" i="37" a="1"/>
  <c r="V297" i="37" s="1"/>
  <c r="V576" i="37" a="1"/>
  <c r="V576" i="37" s="1"/>
  <c r="V156" i="37" a="1"/>
  <c r="V156" i="37" s="1"/>
  <c r="V188" i="37" a="1"/>
  <c r="V188" i="37" s="1"/>
  <c r="V189" i="37" a="1"/>
  <c r="V189" i="37" s="1"/>
  <c r="V103" i="37" a="1"/>
  <c r="V103" i="37" s="1"/>
  <c r="V190" i="37" a="1"/>
  <c r="V190" i="37" s="1"/>
  <c r="V152" i="37" a="1"/>
  <c r="V152" i="37" s="1"/>
  <c r="V208" i="37" a="1"/>
  <c r="V208" i="37" s="1"/>
  <c r="V209" i="37" a="1"/>
  <c r="V209" i="37" s="1"/>
  <c r="V210" i="37" a="1"/>
  <c r="V210" i="37" s="1"/>
  <c r="V596" i="37" a="1"/>
  <c r="V596" i="37" s="1"/>
  <c r="V168" i="37" a="1"/>
  <c r="V168" i="37" s="1"/>
  <c r="V568" i="37" a="1"/>
  <c r="V568" i="37" s="1"/>
  <c r="V124" i="37" a="1"/>
  <c r="V124" i="37" s="1"/>
  <c r="V571" i="37" a="1"/>
  <c r="V571" i="37" s="1"/>
  <c r="V175" i="37" a="1"/>
  <c r="V175" i="37" s="1"/>
  <c r="V211" i="37" a="1"/>
  <c r="V211" i="37" s="1"/>
  <c r="V104" i="37" a="1"/>
  <c r="V104" i="37" s="1"/>
  <c r="V125" i="37" a="1"/>
  <c r="V125" i="37" s="1"/>
  <c r="V105" i="37" a="1"/>
  <c r="V105" i="37" s="1"/>
  <c r="V126" i="37" a="1"/>
  <c r="V126" i="37" s="1"/>
  <c r="V548" i="37" a="1"/>
  <c r="V548" i="37" s="1"/>
  <c r="V191" i="37" a="1"/>
  <c r="V191" i="37" s="1"/>
  <c r="V563" i="37" a="1"/>
  <c r="V563" i="37" s="1"/>
  <c r="V213" i="37" a="1"/>
  <c r="V213" i="37" s="1"/>
  <c r="V298" i="37" a="1"/>
  <c r="V298" i="37" s="1"/>
  <c r="V106" i="37" a="1"/>
  <c r="V106" i="37" s="1"/>
  <c r="V212" i="37" a="1"/>
  <c r="V212" i="37" s="1"/>
  <c r="V564" i="37" a="1"/>
  <c r="V564" i="37" s="1"/>
  <c r="V577" i="37" a="1"/>
  <c r="V577" i="37" s="1"/>
  <c r="V107" i="37" a="1"/>
  <c r="V107" i="37" s="1"/>
  <c r="V157" i="37" a="1"/>
  <c r="V157" i="37" s="1"/>
  <c r="V214" i="37" a="1"/>
  <c r="V214" i="37" s="1"/>
  <c r="V158" i="37" a="1"/>
  <c r="V158" i="37" s="1"/>
  <c r="V578" i="37" a="1"/>
  <c r="V578" i="37" s="1"/>
  <c r="V215" i="37" a="1"/>
  <c r="V215" i="37" s="1"/>
  <c r="V155" i="37" a="1"/>
  <c r="V155" i="37" s="1"/>
  <c r="V216" i="37" a="1"/>
  <c r="V216" i="37" s="1"/>
  <c r="V217" i="37" a="1"/>
  <c r="V217" i="37" s="1"/>
  <c r="V127" i="37" a="1"/>
  <c r="V127" i="37" s="1"/>
  <c r="V90" i="37" a="1"/>
  <c r="V90" i="37" s="1"/>
  <c r="V153" i="37" a="1"/>
  <c r="V153" i="37" s="1"/>
  <c r="V128" i="37" a="1"/>
  <c r="V128" i="37" s="1"/>
  <c r="V299" i="37" a="1"/>
  <c r="V299" i="37" s="1"/>
  <c r="V192" i="37" a="1"/>
  <c r="V192" i="37" s="1"/>
  <c r="V129" i="37" a="1"/>
  <c r="V129" i="37" s="1"/>
  <c r="V565" i="37" a="1"/>
  <c r="V565" i="37" s="1"/>
  <c r="V130" i="37" a="1"/>
  <c r="V130" i="37" s="1"/>
  <c r="V218" i="37" a="1"/>
  <c r="V218" i="37" s="1"/>
  <c r="V131" i="37" a="1"/>
  <c r="V131" i="37" s="1"/>
  <c r="V154" i="37" a="1"/>
  <c r="V154" i="37" s="1"/>
  <c r="V555" i="37" a="1"/>
  <c r="V555" i="37" s="1"/>
  <c r="V579" i="37" a="1"/>
  <c r="V579" i="37" s="1"/>
  <c r="V132" i="37" a="1"/>
  <c r="V132" i="37" s="1"/>
  <c r="V580" i="37" a="1"/>
  <c r="V580" i="37" s="1"/>
  <c r="V219" i="37" a="1"/>
  <c r="V219" i="37" s="1"/>
  <c r="V133" i="37" a="1"/>
  <c r="V133" i="37" s="1"/>
  <c r="V134" i="37" a="1"/>
  <c r="V134" i="37" s="1"/>
  <c r="V599" i="37" a="1"/>
  <c r="V599" i="37" s="1"/>
  <c r="V220" i="37" a="1"/>
  <c r="V220" i="37" s="1"/>
  <c r="V221" i="37" a="1"/>
  <c r="V221" i="37" s="1"/>
  <c r="V59" i="37" a="1"/>
  <c r="V59" i="37" s="1"/>
  <c r="V222" i="37" a="1"/>
  <c r="V222" i="37" s="1"/>
  <c r="V223" i="37" a="1"/>
  <c r="V223" i="37" s="1"/>
  <c r="V275" i="37" a="1"/>
  <c r="V275" i="37" s="1"/>
  <c r="V51" i="37" a="1"/>
  <c r="V51" i="37" s="1"/>
  <c r="V224" i="37" a="1"/>
  <c r="V224" i="37" s="1"/>
  <c r="V78" i="37" a="1"/>
  <c r="V78" i="37" s="1"/>
  <c r="V225" i="37" a="1"/>
  <c r="V225" i="37" s="1"/>
  <c r="V35" i="37" a="1"/>
  <c r="V35" i="37" s="1"/>
  <c r="V226" i="37" a="1"/>
  <c r="V226" i="37" s="1"/>
  <c r="V169" i="37" a="1"/>
  <c r="V169" i="37" s="1"/>
  <c r="V170" i="37" a="1"/>
  <c r="V170" i="37" s="1"/>
  <c r="V557" i="37" a="1"/>
  <c r="V557" i="37" s="1"/>
  <c r="V361" i="37" a="1"/>
  <c r="V361" i="37" s="1"/>
  <c r="V558" i="37" a="1"/>
  <c r="V558" i="37" s="1"/>
  <c r="V227" i="37" a="1"/>
  <c r="V227" i="37" s="1"/>
  <c r="V556" i="37" a="1"/>
  <c r="V556" i="37" s="1"/>
  <c r="V228" i="37" a="1"/>
  <c r="V228" i="37" s="1"/>
  <c r="V171" i="37" a="1"/>
  <c r="V171" i="37" s="1"/>
  <c r="V178" i="37" a="1"/>
  <c r="V178" i="37" s="1"/>
  <c r="V595" i="37" a="1"/>
  <c r="V595" i="37" s="1"/>
  <c r="V193" i="37" a="1"/>
  <c r="V193" i="37" s="1"/>
  <c r="V69" i="37" a="1"/>
  <c r="V69" i="37" s="1"/>
  <c r="V179" i="37" a="1"/>
  <c r="V179" i="37" s="1"/>
  <c r="V135" i="37" a="1"/>
  <c r="V135" i="37" s="1"/>
  <c r="V108" i="37" a="1"/>
  <c r="V108" i="37" s="1"/>
  <c r="V300" i="37" a="1"/>
  <c r="V300" i="37" s="1"/>
  <c r="V98" i="37" a="1"/>
  <c r="V98" i="37" s="1"/>
  <c r="V159" i="37" a="1"/>
  <c r="V159" i="37" s="1"/>
  <c r="V597" i="37" a="1"/>
  <c r="V597" i="37" s="1"/>
  <c r="V560" i="37" a="1"/>
  <c r="V560" i="37" s="1"/>
  <c r="V79" i="37" a="1"/>
  <c r="V79" i="37" s="1"/>
  <c r="V279" i="37" a="1"/>
  <c r="V279" i="37" s="1"/>
  <c r="V569" i="37" a="1"/>
  <c r="V569" i="37" s="1"/>
  <c r="V229" i="37" a="1"/>
  <c r="V229" i="37" s="1"/>
  <c r="V230" i="37" a="1"/>
  <c r="V230" i="37" s="1"/>
  <c r="V301" i="37" a="1"/>
  <c r="V301" i="37" s="1"/>
  <c r="V437" i="37" a="1"/>
  <c r="V437" i="37" s="1"/>
  <c r="V160" i="37" a="1"/>
  <c r="V160" i="37" s="1"/>
  <c r="V280" i="37" a="1"/>
  <c r="V280" i="37" s="1"/>
  <c r="V302" i="37" a="1"/>
  <c r="V302" i="37" s="1"/>
  <c r="V231" i="37" a="1"/>
  <c r="V231" i="37" s="1"/>
  <c r="V303" i="37" a="1"/>
  <c r="V303" i="37" s="1"/>
  <c r="V304" i="37" a="1"/>
  <c r="V304" i="37" s="1"/>
  <c r="V305" i="37" a="1"/>
  <c r="V305" i="37" s="1"/>
  <c r="V194" i="37" a="1"/>
  <c r="V194" i="37" s="1"/>
  <c r="V265" i="37" a="1"/>
  <c r="V265" i="37" s="1"/>
  <c r="V306" i="37" a="1"/>
  <c r="V306" i="37" s="1"/>
  <c r="V232" i="37" a="1"/>
  <c r="V232" i="37" s="1"/>
  <c r="V195" i="37" a="1"/>
  <c r="V195" i="37" s="1"/>
  <c r="V598" i="37" a="1"/>
  <c r="V598" i="37" s="1"/>
  <c r="V281" i="37" a="1"/>
  <c r="V281" i="37" s="1"/>
  <c r="V600" i="37" a="1"/>
  <c r="V600" i="37" s="1"/>
  <c r="V80" i="37" a="1"/>
  <c r="V80" i="37" s="1"/>
  <c r="V270" i="37" a="1"/>
  <c r="V270" i="37" s="1"/>
  <c r="V180" i="37" a="1"/>
  <c r="V180" i="37" s="1"/>
  <c r="V307" i="37" a="1"/>
  <c r="V307" i="37" s="1"/>
  <c r="V267" i="37" a="1"/>
  <c r="V267" i="37" s="1"/>
  <c r="V196" i="37" a="1"/>
  <c r="V196" i="37" s="1"/>
  <c r="V269" i="37" a="1"/>
  <c r="V269" i="37" s="1"/>
  <c r="V198" i="37" a="1"/>
  <c r="V198" i="37" s="1"/>
  <c r="V282" i="37" a="1"/>
  <c r="V282" i="37" s="1"/>
  <c r="V308" i="37" a="1"/>
  <c r="V308" i="37" s="1"/>
  <c r="V471" i="37" a="1"/>
  <c r="V471" i="37" s="1"/>
  <c r="V283" i="37" a="1"/>
  <c r="V283" i="37" s="1"/>
  <c r="V161" i="37" a="1"/>
  <c r="V161" i="37" s="1"/>
  <c r="V581" i="37" a="1"/>
  <c r="V581" i="37" s="1"/>
  <c r="V234" i="37" a="1"/>
  <c r="V234" i="37" s="1"/>
  <c r="V233" i="37" a="1"/>
  <c r="V233" i="37" s="1"/>
  <c r="V235" i="37" a="1"/>
  <c r="V235" i="37" s="1"/>
  <c r="V268" i="37" a="1"/>
  <c r="V268" i="37" s="1"/>
  <c r="V199" i="37" a="1"/>
  <c r="V199" i="37" s="1"/>
  <c r="V236" i="37" a="1"/>
  <c r="V236" i="37" s="1"/>
  <c r="V582" i="37" a="1"/>
  <c r="V582" i="37" s="1"/>
  <c r="V237" i="37" a="1"/>
  <c r="V237" i="37" s="1"/>
  <c r="V238" i="37" a="1"/>
  <c r="V238" i="37" s="1"/>
  <c r="V583" i="37" a="1"/>
  <c r="V583" i="37" s="1"/>
  <c r="V172" i="37" a="1"/>
  <c r="V172" i="37" s="1"/>
  <c r="V239" i="37" a="1"/>
  <c r="V239" i="37" s="1"/>
  <c r="V363" i="37" a="1"/>
  <c r="V363" i="37" s="1"/>
  <c r="V364" i="37" a="1"/>
  <c r="V364" i="37" s="1"/>
  <c r="V362" i="37" a="1"/>
  <c r="V362" i="37" s="1"/>
  <c r="V594" i="37" a="1"/>
  <c r="V594" i="37" s="1"/>
  <c r="V612" i="37" a="1"/>
  <c r="V612" i="37" s="1"/>
  <c r="V266" i="37" a="1"/>
  <c r="V266" i="37" s="1"/>
  <c r="V309" i="37" a="1"/>
  <c r="V309" i="37" s="1"/>
  <c r="V365" i="37" a="1"/>
  <c r="V365" i="37" s="1"/>
  <c r="V240" i="37" a="1"/>
  <c r="V240" i="37" s="1"/>
  <c r="V91" i="37" a="1"/>
  <c r="V91" i="37" s="1"/>
  <c r="V613" i="37" a="1"/>
  <c r="V613" i="37" s="1"/>
  <c r="V551" i="37" a="1"/>
  <c r="V551" i="37" s="1"/>
  <c r="V271" i="37" a="1"/>
  <c r="V271" i="37" s="1"/>
  <c r="V584" i="37" a="1"/>
  <c r="V584" i="37" s="1"/>
  <c r="V52" i="37" a="1"/>
  <c r="V52" i="37" s="1"/>
  <c r="V366" i="37" a="1"/>
  <c r="V366" i="37" s="1"/>
  <c r="V241" i="37" a="1"/>
  <c r="V241" i="37" s="1"/>
  <c r="V614" i="37" a="1"/>
  <c r="V614" i="37" s="1"/>
  <c r="V367" i="37" a="1"/>
  <c r="V367" i="37" s="1"/>
  <c r="V544" i="37" a="1"/>
  <c r="V544" i="37" s="1"/>
  <c r="V136" i="37" a="1"/>
  <c r="V136" i="37" s="1"/>
  <c r="V585" i="37" a="1"/>
  <c r="V585" i="37" s="1"/>
  <c r="V371" i="37" a="1"/>
  <c r="V371" i="37" s="1"/>
  <c r="V369" i="37" a="1"/>
  <c r="V369" i="37" s="1"/>
  <c r="V615" i="37" a="1"/>
  <c r="V615" i="37" s="1"/>
  <c r="V368" i="37" a="1"/>
  <c r="V368" i="37" s="1"/>
  <c r="V370" i="37" a="1"/>
  <c r="V370" i="37" s="1"/>
  <c r="V242" i="37" a="1"/>
  <c r="V242" i="37" s="1"/>
  <c r="V244" i="37" a="1"/>
  <c r="V244" i="37" s="1"/>
  <c r="V372" i="37" a="1"/>
  <c r="V372" i="37" s="1"/>
  <c r="V566" i="37" a="1"/>
  <c r="V566" i="37" s="1"/>
  <c r="V243" i="37" a="1"/>
  <c r="V243" i="37" s="1"/>
  <c r="V407" i="37" a="1"/>
  <c r="V407" i="37" s="1"/>
  <c r="V8" i="37" a="1"/>
  <c r="V8" i="37" s="1"/>
  <c r="V310" i="37" a="1"/>
  <c r="V310" i="37" s="1"/>
  <c r="V385" i="37" a="1"/>
  <c r="V385" i="37" s="1"/>
  <c r="V94" i="37" a="1"/>
  <c r="V94" i="37" s="1"/>
  <c r="V55" i="37" a="1"/>
  <c r="V55" i="37" s="1"/>
  <c r="V258" i="37" a="1"/>
  <c r="V258" i="37" s="1"/>
  <c r="V137" i="37" a="1"/>
  <c r="V137" i="37" s="1"/>
  <c r="V54" i="37" a="1"/>
  <c r="V54" i="37" s="1"/>
  <c r="V418" i="37" a="1"/>
  <c r="V418" i="37" s="1"/>
  <c r="V174" i="37" a="1"/>
  <c r="V174" i="37" s="1"/>
  <c r="V311" i="37" a="1"/>
  <c r="V311" i="37" s="1"/>
  <c r="V416" i="37" a="1"/>
  <c r="V416" i="37" s="1"/>
  <c r="V312" i="37" a="1"/>
  <c r="V312" i="37" s="1"/>
  <c r="V145" i="37" a="1"/>
  <c r="V145" i="37" s="1"/>
  <c r="V278" i="37" a="1"/>
  <c r="V278" i="37" s="1"/>
  <c r="V181" i="37" a="1"/>
  <c r="V181" i="37" s="1"/>
  <c r="V375" i="37" a="1"/>
  <c r="V375" i="37" s="1"/>
  <c r="V146" i="37" a="1"/>
  <c r="V146" i="37" s="1"/>
  <c r="V388" i="37" a="1"/>
  <c r="V388" i="37" s="1"/>
  <c r="V419" i="37" a="1"/>
  <c r="V419" i="37" s="1"/>
  <c r="V60" i="37" a="1"/>
  <c r="V60" i="37" s="1"/>
  <c r="V81" i="37" a="1"/>
  <c r="V81" i="37" s="1"/>
  <c r="V149" i="37" a="1"/>
  <c r="V149" i="37" s="1"/>
  <c r="V246" i="37" a="1"/>
  <c r="V246" i="37" s="1"/>
  <c r="V590" i="37" a="1"/>
  <c r="V590" i="37" s="1"/>
  <c r="V254" i="37" a="1"/>
  <c r="V254" i="37" s="1"/>
  <c r="V373" i="37" a="1"/>
  <c r="V373" i="37" s="1"/>
  <c r="V376" i="37" a="1"/>
  <c r="V376" i="37" s="1"/>
  <c r="V378" i="37" a="1"/>
  <c r="V378" i="37" s="1"/>
  <c r="V410" i="37" a="1"/>
  <c r="V410" i="37" s="1"/>
  <c r="V409" i="37" a="1"/>
  <c r="V409" i="37" s="1"/>
  <c r="V420" i="37" a="1"/>
  <c r="V420" i="37" s="1"/>
  <c r="V248" i="37" a="1"/>
  <c r="V248" i="37" s="1"/>
  <c r="V247" i="37" a="1"/>
  <c r="V247" i="37" s="1"/>
  <c r="V259" i="37" a="1"/>
  <c r="V259" i="37" s="1"/>
  <c r="V402" i="37" a="1"/>
  <c r="V402" i="37" s="1"/>
  <c r="V415" i="37" a="1"/>
  <c r="V415" i="37" s="1"/>
  <c r="V417" i="37" a="1"/>
  <c r="V417" i="37" s="1"/>
  <c r="V53" i="37" a="1"/>
  <c r="V53" i="37" s="1"/>
  <c r="V140" i="37" a="1"/>
  <c r="V140" i="37" s="1"/>
  <c r="V142" i="37" a="1"/>
  <c r="V142" i="37" s="1"/>
  <c r="V109" i="37" a="1"/>
  <c r="V109" i="37" s="1"/>
  <c r="V313" i="37" a="1"/>
  <c r="V313" i="37" s="1"/>
  <c r="V314" i="37" a="1"/>
  <c r="V314" i="37" s="1"/>
  <c r="V601" i="37" a="1"/>
  <c r="V601" i="37" s="1"/>
  <c r="V315" i="37" a="1"/>
  <c r="V315" i="37" s="1"/>
  <c r="V618" i="37" a="1"/>
  <c r="V618" i="37" s="1"/>
  <c r="V143" i="37" a="1"/>
  <c r="V143" i="37" s="1"/>
  <c r="V622" i="37" a="1"/>
  <c r="V622" i="37" s="1"/>
  <c r="V316" i="37" a="1"/>
  <c r="V316" i="37" s="1"/>
  <c r="V552" i="37" a="1"/>
  <c r="V552" i="37" s="1"/>
  <c r="V317" i="37" a="1"/>
  <c r="V317" i="37" s="1"/>
  <c r="V182" i="37" a="1"/>
  <c r="V182" i="37" s="1"/>
  <c r="V200" i="37" a="1"/>
  <c r="V200" i="37" s="1"/>
  <c r="V284" i="37" a="1"/>
  <c r="V284" i="37" s="1"/>
  <c r="V427" i="37" a="1"/>
  <c r="V427" i="37" s="1"/>
  <c r="V147" i="37" a="1"/>
  <c r="V147" i="37" s="1"/>
  <c r="V173" i="37" a="1"/>
  <c r="V173" i="37" s="1"/>
  <c r="V318" i="37" a="1"/>
  <c r="V318" i="37" s="1"/>
  <c r="V435" i="37" a="1"/>
  <c r="V435" i="37" s="1"/>
  <c r="V285" i="37" a="1"/>
  <c r="V285" i="37" s="1"/>
  <c r="V602" i="37" a="1"/>
  <c r="V602" i="37" s="1"/>
  <c r="V319" i="37" a="1"/>
  <c r="V319" i="37" s="1"/>
  <c r="V148" i="37" a="1"/>
  <c r="V148" i="37" s="1"/>
  <c r="V320" i="37" a="1"/>
  <c r="V320" i="37" s="1"/>
  <c r="V321" i="37" a="1"/>
  <c r="V321" i="37" s="1"/>
  <c r="V150" i="37" a="1"/>
  <c r="V150" i="37" s="1"/>
  <c r="V322" i="37" a="1"/>
  <c r="V322" i="37" s="1"/>
  <c r="V323" i="37" a="1"/>
  <c r="V323" i="37" s="1"/>
  <c r="V621" i="37" a="1"/>
  <c r="V621" i="37" s="1"/>
  <c r="V424" i="37" a="1"/>
  <c r="V424" i="37" s="1"/>
  <c r="V201" i="37" a="1"/>
  <c r="V201" i="37" s="1"/>
  <c r="V440" i="37" a="1"/>
  <c r="V440" i="37" s="1"/>
  <c r="V110" i="37" a="1"/>
  <c r="V110" i="37" s="1"/>
  <c r="V286" i="37" a="1"/>
  <c r="V286" i="37" s="1"/>
  <c r="V325" i="37" a="1"/>
  <c r="V325" i="37" s="1"/>
  <c r="V423" i="37" a="1"/>
  <c r="V423" i="37" s="1"/>
  <c r="V431" i="37" a="1"/>
  <c r="V431" i="37" s="1"/>
  <c r="V421" i="37" a="1"/>
  <c r="V421" i="37" s="1"/>
  <c r="V245" i="37" a="1"/>
  <c r="V245" i="37" s="1"/>
  <c r="V434" i="37" a="1"/>
  <c r="V434" i="37" s="1"/>
  <c r="V324" i="37" a="1"/>
  <c r="V324" i="37" s="1"/>
  <c r="V572" i="37" a="1"/>
  <c r="V572" i="37" s="1"/>
  <c r="V202" i="37" a="1"/>
  <c r="V202" i="37" s="1"/>
  <c r="V588" i="37" a="1"/>
  <c r="V588" i="37" s="1"/>
  <c r="V603" i="37" a="1"/>
  <c r="V603" i="37" s="1"/>
  <c r="V619" i="37" a="1"/>
  <c r="V619" i="37" s="1"/>
  <c r="V250" i="37" a="1"/>
  <c r="V250" i="37" s="1"/>
  <c r="V441" i="37" a="1"/>
  <c r="V441" i="37" s="1"/>
  <c r="V438" i="37" a="1"/>
  <c r="V438" i="37" s="1"/>
  <c r="V327" i="37" a="1"/>
  <c r="V327" i="37" s="1"/>
  <c r="V426" i="37" a="1"/>
  <c r="V426" i="37" s="1"/>
  <c r="V287" i="37" a="1"/>
  <c r="V287" i="37" s="1"/>
  <c r="V95" i="37" a="1"/>
  <c r="V95" i="37" s="1"/>
  <c r="V326" i="37" a="1"/>
  <c r="V326" i="37" s="1"/>
  <c r="V249" i="37" a="1"/>
  <c r="V249" i="37" s="1"/>
  <c r="V425" i="37" a="1"/>
  <c r="V425" i="37" s="1"/>
  <c r="V604" i="37" a="1"/>
  <c r="V604" i="37" s="1"/>
  <c r="V162" i="37" a="1"/>
  <c r="V162" i="37" s="1"/>
  <c r="V276" i="37" a="1"/>
  <c r="V276" i="37" s="1"/>
  <c r="V328" i="37" a="1"/>
  <c r="V328" i="37" s="1"/>
  <c r="V472" i="37" a="1"/>
  <c r="V472" i="37" s="1"/>
  <c r="V272" i="37" a="1"/>
  <c r="V272" i="37" s="1"/>
  <c r="V255" i="37" a="1"/>
  <c r="V255" i="37" s="1"/>
  <c r="V277" i="37" a="1"/>
  <c r="V277" i="37" s="1"/>
  <c r="V442" i="37" a="1"/>
  <c r="V442" i="37" s="1"/>
  <c r="V591" i="37" a="1"/>
  <c r="V591" i="37" s="1"/>
  <c r="V592" i="37" a="1"/>
  <c r="V592" i="37" s="1"/>
  <c r="V329" i="37" a="1"/>
  <c r="V329" i="37" s="1"/>
  <c r="V473" i="37" a="1"/>
  <c r="V473" i="37" s="1"/>
  <c r="V474" i="37" a="1"/>
  <c r="V474" i="37" s="1"/>
  <c r="V428" i="37" a="1"/>
  <c r="V428" i="37" s="1"/>
  <c r="V330" i="37" a="1"/>
  <c r="V330" i="37" s="1"/>
  <c r="V257" i="37" a="1"/>
  <c r="V257" i="37" s="1"/>
  <c r="V429" i="37" a="1"/>
  <c r="V429" i="37" s="1"/>
  <c r="V263" i="37" a="1"/>
  <c r="V263" i="37" s="1"/>
  <c r="V444" i="37" a="1"/>
  <c r="V444" i="37" s="1"/>
  <c r="V430" i="37" a="1"/>
  <c r="V430" i="37" s="1"/>
  <c r="V432" i="37" a="1"/>
  <c r="V432" i="37" s="1"/>
  <c r="V260" i="37" a="1"/>
  <c r="V260" i="37" s="1"/>
  <c r="V261" i="37" a="1"/>
  <c r="V261" i="37" s="1"/>
  <c r="V262" i="37" a="1"/>
  <c r="V262" i="37" s="1"/>
  <c r="V331" i="37" a="1"/>
  <c r="V331" i="37" s="1"/>
  <c r="V374" i="37" a="1"/>
  <c r="V374" i="37" s="1"/>
  <c r="V332" i="37" a="1"/>
  <c r="V332" i="37" s="1"/>
  <c r="V377" i="37" a="1"/>
  <c r="V377" i="37" s="1"/>
  <c r="V203" i="37" a="1"/>
  <c r="V203" i="37" s="1"/>
  <c r="V111" i="37" a="1"/>
  <c r="V111" i="37" s="1"/>
  <c r="V379" i="37" a="1"/>
  <c r="V379" i="37" s="1"/>
  <c r="V333" i="37" a="1"/>
  <c r="V333" i="37" s="1"/>
  <c r="V334" i="37" a="1"/>
  <c r="V334" i="37" s="1"/>
  <c r="V443" i="37" a="1"/>
  <c r="V443" i="37" s="1"/>
  <c r="V459" i="37" a="1"/>
  <c r="V459" i="37" s="1"/>
  <c r="V289" i="37" a="1"/>
  <c r="V289" i="37" s="1"/>
  <c r="V475" i="37" a="1"/>
  <c r="V475" i="37" s="1"/>
  <c r="V335" i="37" a="1"/>
  <c r="V335" i="37" s="1"/>
  <c r="V112" i="37" a="1"/>
  <c r="V112" i="37" s="1"/>
  <c r="V422" i="37" a="1"/>
  <c r="V422" i="37" s="1"/>
  <c r="V381" i="37" a="1"/>
  <c r="V381" i="37" s="1"/>
  <c r="V605" i="37" a="1"/>
  <c r="V605" i="37" s="1"/>
  <c r="V616" i="37" a="1"/>
  <c r="V616" i="37" s="1"/>
  <c r="V383" i="37" a="1"/>
  <c r="V383" i="37" s="1"/>
  <c r="V183" i="37" a="1"/>
  <c r="V183" i="37" s="1"/>
  <c r="V433" i="37" a="1"/>
  <c r="V433" i="37" s="1"/>
  <c r="V336" i="37" a="1"/>
  <c r="V336" i="37" s="1"/>
  <c r="V337" i="37" a="1"/>
  <c r="V337" i="37" s="1"/>
  <c r="V386" i="37" a="1"/>
  <c r="V386" i="37" s="1"/>
  <c r="V338" i="37" a="1"/>
  <c r="V338" i="37" s="1"/>
  <c r="V617" i="37" a="1"/>
  <c r="V617" i="37" s="1"/>
  <c r="V389" i="37" a="1"/>
  <c r="V389" i="37" s="1"/>
  <c r="V606" i="37" a="1"/>
  <c r="V606" i="37" s="1"/>
  <c r="V204" i="37" a="1"/>
  <c r="V204" i="37" s="1"/>
  <c r="V291" i="37" a="1"/>
  <c r="V291" i="37" s="1"/>
  <c r="V390" i="37" a="1"/>
  <c r="V390" i="37" s="1"/>
  <c r="V394" i="37" a="1"/>
  <c r="V394" i="37" s="1"/>
  <c r="V398" i="37" a="1"/>
  <c r="V398" i="37" s="1"/>
  <c r="V400" i="37" a="1"/>
  <c r="V400" i="37" s="1"/>
  <c r="V476" i="37" a="1"/>
  <c r="V476" i="37" s="1"/>
  <c r="V399" i="37" a="1"/>
  <c r="V399" i="37" s="1"/>
  <c r="V403" i="37" a="1"/>
  <c r="V403" i="37" s="1"/>
  <c r="V477" i="37" a="1"/>
  <c r="V477" i="37" s="1"/>
  <c r="V408" i="37" a="1"/>
  <c r="V408" i="37" s="1"/>
  <c r="V439" i="37" a="1"/>
  <c r="V439" i="37" s="1"/>
  <c r="V573" i="37" a="1"/>
  <c r="V573" i="37" s="1"/>
  <c r="V413" i="37" a="1"/>
  <c r="V413" i="37" s="1"/>
  <c r="V607" i="37" a="1"/>
  <c r="V607" i="37" s="1"/>
  <c r="V412" i="37" a="1"/>
  <c r="V412" i="37" s="1"/>
  <c r="V113" i="37" a="1"/>
  <c r="V113" i="37" s="1"/>
  <c r="V414" i="37" a="1"/>
  <c r="V414" i="37" s="1"/>
  <c r="V411" i="37" a="1"/>
  <c r="V411" i="37" s="1"/>
  <c r="V138" i="37" a="1"/>
  <c r="V138" i="37" s="1"/>
  <c r="V139" i="37" a="1"/>
  <c r="V139" i="37" s="1"/>
  <c r="V339" i="37" a="1"/>
  <c r="V339" i="37" s="1"/>
  <c r="V478" i="37" a="1"/>
  <c r="V478" i="37" s="1"/>
  <c r="V141" i="37" a="1"/>
  <c r="V141" i="37" s="1"/>
  <c r="V479" i="37" a="1"/>
  <c r="V479" i="37" s="1"/>
  <c r="V340" i="37" a="1"/>
  <c r="V340" i="37" s="1"/>
  <c r="V144" i="37" a="1"/>
  <c r="V144" i="37" s="1"/>
  <c r="V567" i="37" a="1"/>
  <c r="V567" i="37" s="1"/>
  <c r="V586" i="37" a="1"/>
  <c r="V586" i="37" s="1"/>
  <c r="V587" i="37" a="1"/>
  <c r="V587" i="37" s="1"/>
  <c r="V589" i="37" a="1"/>
  <c r="V589" i="37" s="1"/>
  <c r="V625" i="37" a="1"/>
  <c r="V625" i="37" s="1"/>
  <c r="V480" i="37" a="1"/>
  <c r="V480" i="37" s="1"/>
  <c r="V342" i="37" a="1"/>
  <c r="V342" i="37" s="1"/>
  <c r="V253" i="37" a="1"/>
  <c r="V253" i="37" s="1"/>
  <c r="V341" i="37" a="1"/>
  <c r="V341" i="37" s="1"/>
  <c r="V252" i="37" a="1"/>
  <c r="V252" i="37" s="1"/>
  <c r="V482" i="37" a="1"/>
  <c r="V482" i="37" s="1"/>
  <c r="V481" i="37" a="1"/>
  <c r="V481" i="37" s="1"/>
  <c r="V343" i="37" a="1"/>
  <c r="V343" i="37" s="1"/>
  <c r="V251" i="37" a="1"/>
  <c r="V251" i="37" s="1"/>
  <c r="V256" i="37" a="1"/>
  <c r="V256" i="37" s="1"/>
  <c r="V264" i="37" a="1"/>
  <c r="V264" i="37" s="1"/>
  <c r="V593" i="37" a="1"/>
  <c r="V593" i="37" s="1"/>
  <c r="V345" i="37" a="1"/>
  <c r="V345" i="37" s="1"/>
  <c r="V484" i="37" a="1"/>
  <c r="V484" i="37" s="1"/>
  <c r="V483" i="37" a="1"/>
  <c r="V483" i="37" s="1"/>
  <c r="V344" i="37" a="1"/>
  <c r="V344" i="37" s="1"/>
  <c r="V458" i="37" a="1"/>
  <c r="V458" i="37" s="1"/>
  <c r="V486" i="37" a="1"/>
  <c r="V486" i="37" s="1"/>
  <c r="V485" i="37" a="1"/>
  <c r="V485" i="37" s="1"/>
  <c r="V626" i="37" a="1"/>
  <c r="V626" i="37" s="1"/>
  <c r="V346" i="37" a="1"/>
  <c r="V346" i="37" s="1"/>
  <c r="V628" i="37" a="1"/>
  <c r="V628" i="37" s="1"/>
  <c r="V380" i="37" a="1"/>
  <c r="V380" i="37" s="1"/>
  <c r="V382" i="37" a="1"/>
  <c r="V382" i="37" s="1"/>
  <c r="V627" i="37" a="1"/>
  <c r="V627" i="37" s="1"/>
  <c r="V384" i="37" a="1"/>
  <c r="V384" i="37" s="1"/>
  <c r="V387" i="37" a="1"/>
  <c r="V387" i="37" s="1"/>
  <c r="V391" i="37" a="1"/>
  <c r="V391" i="37" s="1"/>
  <c r="V392" i="37" a="1"/>
  <c r="V392" i="37" s="1"/>
  <c r="V393" i="37" a="1"/>
  <c r="V393" i="37" s="1"/>
  <c r="V397" i="37" a="1"/>
  <c r="V397" i="37" s="1"/>
  <c r="V396" i="37" a="1"/>
  <c r="V396" i="37" s="1"/>
  <c r="V401" i="37" a="1"/>
  <c r="V401" i="37" s="1"/>
  <c r="V405" i="37" a="1"/>
  <c r="V405" i="37" s="1"/>
  <c r="V404" i="37" a="1"/>
  <c r="V404" i="37" s="1"/>
  <c r="V406" i="37" a="1"/>
  <c r="V406" i="37" s="1"/>
  <c r="V487" i="37" a="1"/>
  <c r="V487" i="37" s="1"/>
  <c r="V506" i="37" a="1"/>
  <c r="V506" i="37" s="1"/>
  <c r="V620" i="37" a="1"/>
  <c r="V620" i="37" s="1"/>
  <c r="V466" i="37" a="1"/>
  <c r="V466" i="37" s="1"/>
  <c r="V550" i="37" a="1"/>
  <c r="V550" i="37" s="1"/>
  <c r="V498" i="37" a="1"/>
  <c r="V498" i="37" s="1"/>
  <c r="V521" i="37" a="1"/>
  <c r="V521" i="37" s="1"/>
  <c r="V445" i="37" a="1"/>
  <c r="V445" i="37" s="1"/>
  <c r="V184" i="37" a="1"/>
  <c r="V184" i="37" s="1"/>
  <c r="V348" i="37" a="1"/>
  <c r="V348" i="37" s="1"/>
  <c r="V357" i="37" a="1"/>
  <c r="V357" i="37" s="1"/>
  <c r="V640" i="37" a="1"/>
  <c r="V640" i="37" s="1"/>
  <c r="V469" i="37" a="1"/>
  <c r="V469" i="37" s="1"/>
  <c r="V510" i="37" a="1"/>
  <c r="V510" i="37" s="1"/>
  <c r="V511" i="37" a="1"/>
  <c r="V511" i="37" s="1"/>
  <c r="V528" i="37" a="1"/>
  <c r="V528" i="37" s="1"/>
  <c r="V347" i="37" a="1"/>
  <c r="V347" i="37" s="1"/>
  <c r="V436" i="37" a="1"/>
  <c r="V436" i="37" s="1"/>
  <c r="V517" i="37" a="1"/>
  <c r="V517" i="37" s="1"/>
  <c r="V493" i="37" a="1"/>
  <c r="V493" i="37" s="1"/>
  <c r="V467" i="37" a="1"/>
  <c r="V467" i="37" s="1"/>
  <c r="V293" i="37" a="1"/>
  <c r="V293" i="37" s="1"/>
  <c r="V452" i="37" a="1"/>
  <c r="V452" i="37" s="1"/>
  <c r="V358" i="37" a="1"/>
  <c r="V358" i="37" s="1"/>
  <c r="V455" i="37" a="1"/>
  <c r="V455" i="37" s="1"/>
  <c r="V522" i="37" a="1"/>
  <c r="V522" i="37" s="1"/>
  <c r="V351" i="37" a="1"/>
  <c r="V351" i="37" s="1"/>
  <c r="V610" i="37" a="1"/>
  <c r="V610" i="37" s="1"/>
  <c r="V463" i="37" a="1"/>
  <c r="V463" i="37" s="1"/>
  <c r="V490" i="37" a="1"/>
  <c r="V490" i="37" s="1"/>
  <c r="V500" i="37" a="1"/>
  <c r="V500" i="37" s="1"/>
  <c r="V499" i="37" a="1"/>
  <c r="V499" i="37" s="1"/>
  <c r="V523" i="37" a="1"/>
  <c r="V523" i="37" s="1"/>
  <c r="V470" i="37" a="1"/>
  <c r="V470" i="37" s="1"/>
  <c r="V273" i="37" a="1"/>
  <c r="V273" i="37" s="1"/>
  <c r="V489" i="37" a="1"/>
  <c r="V489" i="37" s="1"/>
  <c r="V488" i="37" a="1"/>
  <c r="V488" i="37" s="1"/>
  <c r="V288" i="37" a="1"/>
  <c r="V288" i="37" s="1"/>
  <c r="V292" i="37" a="1"/>
  <c r="V292" i="37" s="1"/>
  <c r="V491" i="37" a="1"/>
  <c r="V491" i="37" s="1"/>
  <c r="V448" i="37" a="1"/>
  <c r="V448" i="37" s="1"/>
  <c r="V494" i="37" a="1"/>
  <c r="V494" i="37" s="1"/>
  <c r="V451" i="37" a="1"/>
  <c r="V451" i="37" s="1"/>
  <c r="V512" i="37" a="1"/>
  <c r="V512" i="37" s="1"/>
  <c r="V525" i="37" a="1"/>
  <c r="V525" i="37" s="1"/>
  <c r="V527" i="37" a="1"/>
  <c r="V527" i="37" s="1"/>
  <c r="V524" i="37" a="1"/>
  <c r="V524" i="37" s="1"/>
  <c r="V639" i="37" a="1"/>
  <c r="V639" i="37" s="1"/>
  <c r="V356" i="37" a="1"/>
  <c r="V356" i="37" s="1"/>
  <c r="V453" i="37" a="1"/>
  <c r="V453" i="37" s="1"/>
  <c r="V460" i="37" a="1"/>
  <c r="V460" i="37" s="1"/>
  <c r="V290" i="37" a="1"/>
  <c r="V290" i="37" s="1"/>
  <c r="V611" i="37" a="1"/>
  <c r="V611" i="37" s="1"/>
  <c r="V492" i="37" a="1"/>
  <c r="V492" i="37" s="1"/>
  <c r="V495" i="37" a="1"/>
  <c r="V495" i="37" s="1"/>
  <c r="V294" i="37" a="1"/>
  <c r="V294" i="37" s="1"/>
  <c r="V496" i="37" a="1"/>
  <c r="V496" i="37" s="1"/>
  <c r="V497" i="37" a="1"/>
  <c r="V497" i="37" s="1"/>
  <c r="V502" i="37" a="1"/>
  <c r="V502" i="37" s="1"/>
  <c r="V446" i="37" a="1"/>
  <c r="V446" i="37" s="1"/>
  <c r="V503" i="37" a="1"/>
  <c r="V503" i="37" s="1"/>
  <c r="V449" i="37" a="1"/>
  <c r="V449" i="37" s="1"/>
  <c r="V631" i="37" a="1"/>
  <c r="V631" i="37" s="1"/>
  <c r="V504" i="37" a="1"/>
  <c r="V504" i="37" s="1"/>
  <c r="V630" i="37" a="1"/>
  <c r="V630" i="37" s="1"/>
  <c r="V629" i="37" a="1"/>
  <c r="V629" i="37" s="1"/>
  <c r="V623" i="37" a="1"/>
  <c r="V623" i="37" s="1"/>
  <c r="V501" i="37" a="1"/>
  <c r="V501" i="37" s="1"/>
  <c r="V505" i="37" a="1"/>
  <c r="V505" i="37" s="1"/>
  <c r="V508" i="37" a="1"/>
  <c r="V508" i="37" s="1"/>
  <c r="V509" i="37" a="1"/>
  <c r="V509" i="37" s="1"/>
  <c r="V513" i="37" a="1"/>
  <c r="V513" i="37" s="1"/>
  <c r="V632" i="37" a="1"/>
  <c r="V632" i="37" s="1"/>
  <c r="V514" i="37" a="1"/>
  <c r="V514" i="37" s="1"/>
  <c r="V515" i="37" a="1"/>
  <c r="V515" i="37" s="1"/>
  <c r="V519" i="37" a="1"/>
  <c r="V519" i="37" s="1"/>
  <c r="V518" i="37" a="1"/>
  <c r="V518" i="37" s="1"/>
  <c r="V520" i="37" a="1"/>
  <c r="V520" i="37" s="1"/>
  <c r="V114" i="37" a="1"/>
  <c r="V114" i="37" s="1"/>
  <c r="V205" i="37" a="1"/>
  <c r="V205" i="37" s="1"/>
  <c r="V349" i="37" a="1"/>
  <c r="V349" i="37" s="1"/>
  <c r="V350" i="37" a="1"/>
  <c r="V350" i="37" s="1"/>
  <c r="V608" i="37" a="1"/>
  <c r="V608" i="37" s="1"/>
  <c r="V609" i="37" a="1"/>
  <c r="V609" i="37" s="1"/>
  <c r="V352" i="37" a="1"/>
  <c r="V352" i="37" s="1"/>
  <c r="V355" i="37" a="1"/>
  <c r="V355" i="37" s="1"/>
  <c r="V353" i="37" a="1"/>
  <c r="V353" i="37" s="1"/>
  <c r="V468" i="37" a="1"/>
  <c r="V468" i="37" s="1"/>
  <c r="V354" i="37" a="1"/>
  <c r="V354" i="37" s="1"/>
  <c r="V295" i="37" a="1"/>
  <c r="V295" i="37" s="1"/>
  <c r="V447" i="37" a="1"/>
  <c r="V447" i="37" s="1"/>
  <c r="V450" i="37" a="1"/>
  <c r="V450" i="37" s="1"/>
  <c r="V454" i="37" a="1"/>
  <c r="V454" i="37" s="1"/>
  <c r="V359" i="37" a="1"/>
  <c r="V359" i="37" s="1"/>
  <c r="V456" i="37" a="1"/>
  <c r="V456" i="37" s="1"/>
  <c r="V457" i="37" a="1"/>
  <c r="V457" i="37" s="1"/>
  <c r="V360" i="37" a="1"/>
  <c r="V360" i="37" s="1"/>
  <c r="V462" i="37" a="1"/>
  <c r="V462" i="37" s="1"/>
  <c r="V461" i="37" a="1"/>
  <c r="V461" i="37" s="1"/>
  <c r="V633" i="37" a="1"/>
  <c r="V633" i="37" s="1"/>
  <c r="V464" i="37" a="1"/>
  <c r="V464" i="37" s="1"/>
  <c r="V624" i="37" a="1"/>
  <c r="V624" i="37" s="1"/>
  <c r="V465" i="37" a="1"/>
  <c r="V465" i="37" s="1"/>
  <c r="V516" i="37" a="1"/>
  <c r="V516" i="37" s="1"/>
  <c r="V634" i="37" a="1"/>
  <c r="V634" i="37" s="1"/>
  <c r="V635" i="37" a="1"/>
  <c r="V635" i="37" s="1"/>
  <c r="V638" i="37" a="1"/>
  <c r="V638" i="37" s="1"/>
  <c r="V637" i="37" a="1"/>
  <c r="V637" i="37" s="1"/>
  <c r="V636" i="37" a="1"/>
  <c r="V636" i="37" s="1"/>
  <c r="V529" i="37" a="1"/>
  <c r="V529" i="37" s="1"/>
  <c r="V530" i="37" a="1"/>
  <c r="V530" i="37" s="1"/>
  <c r="V531" i="37" a="1"/>
  <c r="V531" i="37" s="1"/>
  <c r="V532" i="37" a="1"/>
  <c r="V532" i="37" s="1"/>
  <c r="U2" i="37" a="1"/>
  <c r="U2" i="37" s="1"/>
  <c r="U3" i="37" a="1"/>
  <c r="U3" i="37" s="1"/>
  <c r="U10" i="37" a="1"/>
  <c r="U10" i="37" s="1"/>
  <c r="U534" i="37" a="1"/>
  <c r="U534" i="37" s="1"/>
  <c r="U533" i="37" a="1"/>
  <c r="U533" i="37" s="1"/>
  <c r="U6" i="37" a="1"/>
  <c r="U6" i="37" s="1"/>
  <c r="U5" i="37" a="1"/>
  <c r="U5" i="37" s="1"/>
  <c r="U11" i="37" a="1"/>
  <c r="U11" i="37" s="1"/>
  <c r="U4" i="37" a="1"/>
  <c r="U4" i="37" s="1"/>
  <c r="U23" i="37" a="1"/>
  <c r="U23" i="37" s="1"/>
  <c r="U7" i="37" a="1"/>
  <c r="U7" i="37" s="1"/>
  <c r="U13" i="37" a="1"/>
  <c r="U13" i="37" s="1"/>
  <c r="U24" i="37" a="1"/>
  <c r="U24" i="37" s="1"/>
  <c r="U36" i="37" a="1"/>
  <c r="U36" i="37" s="1"/>
  <c r="U25" i="37" a="1"/>
  <c r="U25" i="37" s="1"/>
  <c r="U37" i="37" a="1"/>
  <c r="U37" i="37" s="1"/>
  <c r="U20" i="37" a="1"/>
  <c r="U20" i="37" s="1"/>
  <c r="U14" i="37" a="1"/>
  <c r="U14" i="37" s="1"/>
  <c r="U15" i="37" a="1"/>
  <c r="U15" i="37" s="1"/>
  <c r="U19" i="37" a="1"/>
  <c r="U19" i="37" s="1"/>
  <c r="U22" i="37" a="1"/>
  <c r="U22" i="37" s="1"/>
  <c r="U26" i="37" a="1"/>
  <c r="U26" i="37" s="1"/>
  <c r="U537" i="37" a="1"/>
  <c r="U537" i="37" s="1"/>
  <c r="U27" i="37" a="1"/>
  <c r="U27" i="37" s="1"/>
  <c r="U21" i="37" a="1"/>
  <c r="U21" i="37" s="1"/>
  <c r="U38" i="37" a="1"/>
  <c r="U38" i="37" s="1"/>
  <c r="U538" i="37" a="1"/>
  <c r="U538" i="37" s="1"/>
  <c r="U28" i="37" a="1"/>
  <c r="U28" i="37" s="1"/>
  <c r="U16" i="37" a="1"/>
  <c r="U16" i="37" s="1"/>
  <c r="U39" i="37" a="1"/>
  <c r="U39" i="37" s="1"/>
  <c r="U40" i="37" a="1"/>
  <c r="U40" i="37" s="1"/>
  <c r="U29" i="37" a="1"/>
  <c r="U29" i="37" s="1"/>
  <c r="U41" i="37" a="1"/>
  <c r="U41" i="37" s="1"/>
  <c r="U33" i="37" a="1"/>
  <c r="U33" i="37" s="1"/>
  <c r="U42" i="37" a="1"/>
  <c r="U42" i="37" s="1"/>
  <c r="U539" i="37" a="1"/>
  <c r="U539" i="37" s="1"/>
  <c r="U85" i="37" a="1"/>
  <c r="U85" i="37" s="1"/>
  <c r="U43" i="37" a="1"/>
  <c r="U43" i="37" s="1"/>
  <c r="U44" i="37" a="1"/>
  <c r="U44" i="37" s="1"/>
  <c r="U535" i="37" a="1"/>
  <c r="U535" i="37" s="1"/>
  <c r="U45" i="37" a="1"/>
  <c r="U45" i="37" s="1"/>
  <c r="U17" i="37" a="1"/>
  <c r="U17" i="37" s="1"/>
  <c r="U70" i="37" a="1"/>
  <c r="U70" i="37" s="1"/>
  <c r="U30" i="37" a="1"/>
  <c r="U30" i="37" s="1"/>
  <c r="U18" i="37" a="1"/>
  <c r="U18" i="37" s="1"/>
  <c r="U62" i="37" a="1"/>
  <c r="U62" i="37" s="1"/>
  <c r="U57" i="37" a="1"/>
  <c r="U57" i="37" s="1"/>
  <c r="U46" i="37" a="1"/>
  <c r="U46" i="37" s="1"/>
  <c r="U61" i="37" a="1"/>
  <c r="U61" i="37" s="1"/>
  <c r="U71" i="37" a="1"/>
  <c r="U71" i="37" s="1"/>
  <c r="U31" i="37" a="1"/>
  <c r="U31" i="37" s="1"/>
  <c r="U541" i="37" a="1"/>
  <c r="U541" i="37" s="1"/>
  <c r="U56" i="37" a="1"/>
  <c r="U56" i="37" s="1"/>
  <c r="U536" i="37" a="1"/>
  <c r="U536" i="37" s="1"/>
  <c r="U47" i="37" a="1"/>
  <c r="U47" i="37" s="1"/>
  <c r="U86" i="37" a="1"/>
  <c r="U86" i="37" s="1"/>
  <c r="U72" i="37" a="1"/>
  <c r="U72" i="37" s="1"/>
  <c r="U48" i="37" a="1"/>
  <c r="U48" i="37" s="1"/>
  <c r="U547" i="37" a="1"/>
  <c r="U547" i="37" s="1"/>
  <c r="U115" i="37" a="1"/>
  <c r="U115" i="37" s="1"/>
  <c r="U562" i="37" a="1"/>
  <c r="U562" i="37" s="1"/>
  <c r="U58" i="37" a="1"/>
  <c r="U58" i="37" s="1"/>
  <c r="U63" i="37" a="1"/>
  <c r="U63" i="37" s="1"/>
  <c r="U34" i="37" a="1"/>
  <c r="U34" i="37" s="1"/>
  <c r="U540" i="37" a="1"/>
  <c r="U540" i="37" s="1"/>
  <c r="U116" i="37" a="1"/>
  <c r="U116" i="37" s="1"/>
  <c r="U12" i="37" a="1"/>
  <c r="U12" i="37" s="1"/>
  <c r="U32" i="37" a="1"/>
  <c r="U32" i="37" s="1"/>
  <c r="U73" i="37" a="1"/>
  <c r="U73" i="37" s="1"/>
  <c r="U74" i="37" a="1"/>
  <c r="U74" i="37" s="1"/>
  <c r="U542" i="37" a="1"/>
  <c r="U542" i="37" s="1"/>
  <c r="U75" i="37" a="1"/>
  <c r="U75" i="37" s="1"/>
  <c r="U543" i="37" a="1"/>
  <c r="U543" i="37" s="1"/>
  <c r="U117" i="37" a="1"/>
  <c r="U117" i="37" s="1"/>
  <c r="U546" i="37" a="1"/>
  <c r="U546" i="37" s="1"/>
  <c r="U99" i="37" a="1"/>
  <c r="U99" i="37" s="1"/>
  <c r="U67" i="37" a="1"/>
  <c r="U67" i="37" s="1"/>
  <c r="U100" i="37" a="1"/>
  <c r="U100" i="37" s="1"/>
  <c r="U68" i="37" a="1"/>
  <c r="U68" i="37" s="1"/>
  <c r="U64" i="37" a="1"/>
  <c r="U64" i="37" s="1"/>
  <c r="U101" i="37" a="1"/>
  <c r="U101" i="37" s="1"/>
  <c r="U65" i="37" a="1"/>
  <c r="U65" i="37" s="1"/>
  <c r="U92" i="37" a="1"/>
  <c r="U92" i="37" s="1"/>
  <c r="U49" i="37" a="1"/>
  <c r="U49" i="37" s="1"/>
  <c r="U185" i="37" a="1"/>
  <c r="U185" i="37" s="1"/>
  <c r="U163" i="37" a="1"/>
  <c r="U163" i="37" s="1"/>
  <c r="U76" i="37" a="1"/>
  <c r="U76" i="37" s="1"/>
  <c r="U87" i="37" a="1"/>
  <c r="U87" i="37" s="1"/>
  <c r="U82" i="37" a="1"/>
  <c r="U82" i="37" s="1"/>
  <c r="U88" i="37" a="1"/>
  <c r="U88" i="37" s="1"/>
  <c r="U554" i="37" a="1"/>
  <c r="U554" i="37" s="1"/>
  <c r="U93" i="37" a="1"/>
  <c r="U93" i="37" s="1"/>
  <c r="U118" i="37" a="1"/>
  <c r="U118" i="37" s="1"/>
  <c r="U83" i="37" a="1"/>
  <c r="U83" i="37" s="1"/>
  <c r="U164" i="37" a="1"/>
  <c r="U164" i="37" s="1"/>
  <c r="U119" i="37" a="1"/>
  <c r="U119" i="37" s="1"/>
  <c r="U549" i="37" a="1"/>
  <c r="U549" i="37" s="1"/>
  <c r="U50" i="37" a="1"/>
  <c r="U50" i="37" s="1"/>
  <c r="U120" i="37" a="1"/>
  <c r="U120" i="37" s="1"/>
  <c r="U121" i="37" a="1"/>
  <c r="U121" i="37" s="1"/>
  <c r="U84" i="37" a="1"/>
  <c r="U84" i="37" s="1"/>
  <c r="U165" i="37" a="1"/>
  <c r="U165" i="37" s="1"/>
  <c r="U206" i="37" a="1"/>
  <c r="U206" i="37" s="1"/>
  <c r="U89" i="37" a="1"/>
  <c r="U89" i="37" s="1"/>
  <c r="U574" i="37" a="1"/>
  <c r="U574" i="37" s="1"/>
  <c r="U166" i="37" a="1"/>
  <c r="U166" i="37" s="1"/>
  <c r="U167" i="37" a="1"/>
  <c r="U167" i="37" s="1"/>
  <c r="U77" i="37" a="1"/>
  <c r="U77" i="37" s="1"/>
  <c r="U123" i="37" a="1"/>
  <c r="U123" i="37" s="1"/>
  <c r="U122" i="37" a="1"/>
  <c r="U122" i="37" s="1"/>
  <c r="U575" i="37" a="1"/>
  <c r="U575" i="37" s="1"/>
  <c r="U96" i="37" a="1"/>
  <c r="U96" i="37" s="1"/>
  <c r="U186" i="37" a="1"/>
  <c r="U186" i="37" s="1"/>
  <c r="U176" i="37" a="1"/>
  <c r="U176" i="37" s="1"/>
  <c r="U151" i="37" a="1"/>
  <c r="U151" i="37" s="1"/>
  <c r="U97" i="37" a="1"/>
  <c r="U97" i="37" s="1"/>
  <c r="U274" i="37" a="1"/>
  <c r="U274" i="37" s="1"/>
  <c r="U545" i="37" a="1"/>
  <c r="U545" i="37" s="1"/>
  <c r="U187" i="37" a="1"/>
  <c r="U187" i="37" s="1"/>
  <c r="U207" i="37" a="1"/>
  <c r="U207" i="37" s="1"/>
  <c r="U9" i="37" a="1"/>
  <c r="U9" i="37" s="1"/>
  <c r="U570" i="37" a="1"/>
  <c r="U570" i="37" s="1"/>
  <c r="U296" i="37" a="1"/>
  <c r="U296" i="37" s="1"/>
  <c r="U102" i="37" a="1"/>
  <c r="U102" i="37" s="1"/>
  <c r="U66" i="37" a="1"/>
  <c r="U66" i="37" s="1"/>
  <c r="U177" i="37" a="1"/>
  <c r="U177" i="37" s="1"/>
  <c r="U297" i="37" a="1"/>
  <c r="U297" i="37" s="1"/>
  <c r="U576" i="37" a="1"/>
  <c r="U576" i="37" s="1"/>
  <c r="U156" i="37" a="1"/>
  <c r="U156" i="37" s="1"/>
  <c r="U188" i="37" a="1"/>
  <c r="U188" i="37" s="1"/>
  <c r="U189" i="37" a="1"/>
  <c r="U189" i="37" s="1"/>
  <c r="U103" i="37" a="1"/>
  <c r="U103" i="37" s="1"/>
  <c r="U190" i="37" a="1"/>
  <c r="U190" i="37" s="1"/>
  <c r="U152" i="37" a="1"/>
  <c r="U152" i="37" s="1"/>
  <c r="U208" i="37" a="1"/>
  <c r="U208" i="37" s="1"/>
  <c r="U209" i="37" a="1"/>
  <c r="U209" i="37" s="1"/>
  <c r="U210" i="37" a="1"/>
  <c r="U210" i="37" s="1"/>
  <c r="U596" i="37" a="1"/>
  <c r="U596" i="37" s="1"/>
  <c r="U168" i="37" a="1"/>
  <c r="U168" i="37" s="1"/>
  <c r="U568" i="37" a="1"/>
  <c r="U568" i="37" s="1"/>
  <c r="U124" i="37" a="1"/>
  <c r="U124" i="37" s="1"/>
  <c r="U571" i="37" a="1"/>
  <c r="U571" i="37" s="1"/>
  <c r="U175" i="37" a="1"/>
  <c r="U175" i="37" s="1"/>
  <c r="U211" i="37" a="1"/>
  <c r="U211" i="37" s="1"/>
  <c r="U104" i="37" a="1"/>
  <c r="U104" i="37" s="1"/>
  <c r="U125" i="37" a="1"/>
  <c r="U125" i="37" s="1"/>
  <c r="U105" i="37" a="1"/>
  <c r="U105" i="37" s="1"/>
  <c r="U126" i="37" a="1"/>
  <c r="U126" i="37" s="1"/>
  <c r="U548" i="37" a="1"/>
  <c r="U548" i="37" s="1"/>
  <c r="U191" i="37" a="1"/>
  <c r="U191" i="37" s="1"/>
  <c r="U563" i="37" a="1"/>
  <c r="U563" i="37" s="1"/>
  <c r="U213" i="37" a="1"/>
  <c r="U213" i="37" s="1"/>
  <c r="U298" i="37" a="1"/>
  <c r="U298" i="37" s="1"/>
  <c r="U106" i="37" a="1"/>
  <c r="U106" i="37" s="1"/>
  <c r="U212" i="37" a="1"/>
  <c r="U212" i="37" s="1"/>
  <c r="U564" i="37" a="1"/>
  <c r="U564" i="37" s="1"/>
  <c r="U577" i="37" a="1"/>
  <c r="U577" i="37" s="1"/>
  <c r="U107" i="37" a="1"/>
  <c r="U107" i="37" s="1"/>
  <c r="U157" i="37" a="1"/>
  <c r="U157" i="37" s="1"/>
  <c r="U214" i="37" a="1"/>
  <c r="U214" i="37" s="1"/>
  <c r="U158" i="37" a="1"/>
  <c r="U158" i="37" s="1"/>
  <c r="U578" i="37" a="1"/>
  <c r="U578" i="37" s="1"/>
  <c r="U215" i="37" a="1"/>
  <c r="U215" i="37" s="1"/>
  <c r="U155" i="37" a="1"/>
  <c r="U155" i="37" s="1"/>
  <c r="U216" i="37" a="1"/>
  <c r="U216" i="37" s="1"/>
  <c r="U217" i="37" a="1"/>
  <c r="U217" i="37" s="1"/>
  <c r="U127" i="37" a="1"/>
  <c r="U127" i="37" s="1"/>
  <c r="U90" i="37" a="1"/>
  <c r="U90" i="37" s="1"/>
  <c r="U153" i="37" a="1"/>
  <c r="U153" i="37" s="1"/>
  <c r="U128" i="37" a="1"/>
  <c r="U128" i="37" s="1"/>
  <c r="U299" i="37" a="1"/>
  <c r="U299" i="37" s="1"/>
  <c r="U192" i="37" a="1"/>
  <c r="U192" i="37" s="1"/>
  <c r="U129" i="37" a="1"/>
  <c r="U129" i="37" s="1"/>
  <c r="U565" i="37" a="1"/>
  <c r="U565" i="37" s="1"/>
  <c r="U130" i="37" a="1"/>
  <c r="U130" i="37" s="1"/>
  <c r="U218" i="37" a="1"/>
  <c r="U218" i="37" s="1"/>
  <c r="U131" i="37" a="1"/>
  <c r="U131" i="37" s="1"/>
  <c r="U154" i="37" a="1"/>
  <c r="U154" i="37" s="1"/>
  <c r="U555" i="37" a="1"/>
  <c r="U555" i="37" s="1"/>
  <c r="U579" i="37" a="1"/>
  <c r="U579" i="37" s="1"/>
  <c r="U132" i="37" a="1"/>
  <c r="U132" i="37" s="1"/>
  <c r="U580" i="37" a="1"/>
  <c r="U580" i="37" s="1"/>
  <c r="U219" i="37" a="1"/>
  <c r="U219" i="37" s="1"/>
  <c r="U133" i="37" a="1"/>
  <c r="U133" i="37" s="1"/>
  <c r="U134" i="37" a="1"/>
  <c r="U134" i="37" s="1"/>
  <c r="U599" i="37" a="1"/>
  <c r="U599" i="37" s="1"/>
  <c r="U220" i="37" a="1"/>
  <c r="U220" i="37" s="1"/>
  <c r="U221" i="37" a="1"/>
  <c r="U221" i="37" s="1"/>
  <c r="U59" i="37" a="1"/>
  <c r="U59" i="37" s="1"/>
  <c r="U222" i="37" a="1"/>
  <c r="U222" i="37" s="1"/>
  <c r="U223" i="37" a="1"/>
  <c r="U223" i="37" s="1"/>
  <c r="U275" i="37" a="1"/>
  <c r="U275" i="37" s="1"/>
  <c r="U51" i="37" a="1"/>
  <c r="U51" i="37" s="1"/>
  <c r="U224" i="37" a="1"/>
  <c r="U224" i="37" s="1"/>
  <c r="U78" i="37" a="1"/>
  <c r="U78" i="37" s="1"/>
  <c r="U225" i="37" a="1"/>
  <c r="U225" i="37" s="1"/>
  <c r="U35" i="37" a="1"/>
  <c r="U35" i="37" s="1"/>
  <c r="U226" i="37" a="1"/>
  <c r="U226" i="37" s="1"/>
  <c r="U169" i="37" a="1"/>
  <c r="U169" i="37" s="1"/>
  <c r="U170" i="37" a="1"/>
  <c r="U170" i="37" s="1"/>
  <c r="U557" i="37" a="1"/>
  <c r="U557" i="37" s="1"/>
  <c r="U361" i="37" a="1"/>
  <c r="U361" i="37" s="1"/>
  <c r="U558" i="37" a="1"/>
  <c r="U558" i="37" s="1"/>
  <c r="U227" i="37" a="1"/>
  <c r="U227" i="37" s="1"/>
  <c r="U556" i="37" a="1"/>
  <c r="U556" i="37" s="1"/>
  <c r="U228" i="37" a="1"/>
  <c r="U228" i="37" s="1"/>
  <c r="U171" i="37" a="1"/>
  <c r="U171" i="37" s="1"/>
  <c r="U178" i="37" a="1"/>
  <c r="U178" i="37" s="1"/>
  <c r="U595" i="37" a="1"/>
  <c r="U595" i="37" s="1"/>
  <c r="U193" i="37" a="1"/>
  <c r="U193" i="37" s="1"/>
  <c r="U69" i="37" a="1"/>
  <c r="U69" i="37" s="1"/>
  <c r="U179" i="37" a="1"/>
  <c r="U179" i="37" s="1"/>
  <c r="U135" i="37" a="1"/>
  <c r="U135" i="37" s="1"/>
  <c r="U108" i="37" a="1"/>
  <c r="U108" i="37" s="1"/>
  <c r="U300" i="37" a="1"/>
  <c r="U300" i="37" s="1"/>
  <c r="U98" i="37" a="1"/>
  <c r="U98" i="37" s="1"/>
  <c r="U159" i="37" a="1"/>
  <c r="U159" i="37" s="1"/>
  <c r="U597" i="37" a="1"/>
  <c r="U597" i="37" s="1"/>
  <c r="U560" i="37" a="1"/>
  <c r="U560" i="37" s="1"/>
  <c r="U79" i="37" a="1"/>
  <c r="U79" i="37" s="1"/>
  <c r="U279" i="37" a="1"/>
  <c r="U279" i="37" s="1"/>
  <c r="U569" i="37" a="1"/>
  <c r="U569" i="37" s="1"/>
  <c r="U229" i="37" a="1"/>
  <c r="U229" i="37" s="1"/>
  <c r="U230" i="37" a="1"/>
  <c r="U230" i="37" s="1"/>
  <c r="U301" i="37" a="1"/>
  <c r="U301" i="37" s="1"/>
  <c r="U437" i="37" a="1"/>
  <c r="U437" i="37" s="1"/>
  <c r="U160" i="37" a="1"/>
  <c r="U160" i="37" s="1"/>
  <c r="U280" i="37" a="1"/>
  <c r="U280" i="37" s="1"/>
  <c r="U302" i="37" a="1"/>
  <c r="U302" i="37" s="1"/>
  <c r="U231" i="37" a="1"/>
  <c r="U231" i="37" s="1"/>
  <c r="U303" i="37" a="1"/>
  <c r="U303" i="37" s="1"/>
  <c r="U304" i="37" a="1"/>
  <c r="U304" i="37" s="1"/>
  <c r="U305" i="37" a="1"/>
  <c r="U305" i="37" s="1"/>
  <c r="U194" i="37" a="1"/>
  <c r="U194" i="37" s="1"/>
  <c r="U265" i="37" a="1"/>
  <c r="U265" i="37" s="1"/>
  <c r="U306" i="37" a="1"/>
  <c r="U306" i="37" s="1"/>
  <c r="U232" i="37" a="1"/>
  <c r="U232" i="37" s="1"/>
  <c r="U195" i="37" a="1"/>
  <c r="U195" i="37" s="1"/>
  <c r="U598" i="37" a="1"/>
  <c r="U598" i="37" s="1"/>
  <c r="U281" i="37" a="1"/>
  <c r="U281" i="37" s="1"/>
  <c r="U600" i="37" a="1"/>
  <c r="U600" i="37" s="1"/>
  <c r="U80" i="37" a="1"/>
  <c r="U80" i="37" s="1"/>
  <c r="U270" i="37" a="1"/>
  <c r="U270" i="37" s="1"/>
  <c r="U180" i="37" a="1"/>
  <c r="U180" i="37" s="1"/>
  <c r="U307" i="37" a="1"/>
  <c r="U307" i="37" s="1"/>
  <c r="U267" i="37" a="1"/>
  <c r="U267" i="37" s="1"/>
  <c r="U196" i="37" a="1"/>
  <c r="U196" i="37" s="1"/>
  <c r="U269" i="37" a="1"/>
  <c r="U269" i="37" s="1"/>
  <c r="U198" i="37" a="1"/>
  <c r="U198" i="37" s="1"/>
  <c r="U282" i="37" a="1"/>
  <c r="U282" i="37" s="1"/>
  <c r="U308" i="37" a="1"/>
  <c r="U308" i="37" s="1"/>
  <c r="U471" i="37" a="1"/>
  <c r="U471" i="37" s="1"/>
  <c r="U283" i="37" a="1"/>
  <c r="U283" i="37" s="1"/>
  <c r="U161" i="37" a="1"/>
  <c r="U161" i="37" s="1"/>
  <c r="U581" i="37" a="1"/>
  <c r="U581" i="37" s="1"/>
  <c r="U234" i="37" a="1"/>
  <c r="U234" i="37" s="1"/>
  <c r="U233" i="37" a="1"/>
  <c r="U233" i="37" s="1"/>
  <c r="U235" i="37" a="1"/>
  <c r="U235" i="37" s="1"/>
  <c r="U268" i="37" a="1"/>
  <c r="U268" i="37" s="1"/>
  <c r="U199" i="37" a="1"/>
  <c r="U199" i="37" s="1"/>
  <c r="U236" i="37" a="1"/>
  <c r="U236" i="37" s="1"/>
  <c r="U582" i="37" a="1"/>
  <c r="U582" i="37" s="1"/>
  <c r="U237" i="37" a="1"/>
  <c r="U237" i="37" s="1"/>
  <c r="U238" i="37" a="1"/>
  <c r="U238" i="37" s="1"/>
  <c r="U583" i="37" a="1"/>
  <c r="U583" i="37" s="1"/>
  <c r="U172" i="37" a="1"/>
  <c r="U172" i="37" s="1"/>
  <c r="U239" i="37" a="1"/>
  <c r="U239" i="37" s="1"/>
  <c r="U363" i="37" a="1"/>
  <c r="U363" i="37" s="1"/>
  <c r="U364" i="37" a="1"/>
  <c r="U364" i="37" s="1"/>
  <c r="U362" i="37" a="1"/>
  <c r="U362" i="37" s="1"/>
  <c r="U594" i="37" a="1"/>
  <c r="U594" i="37" s="1"/>
  <c r="U612" i="37" a="1"/>
  <c r="U612" i="37" s="1"/>
  <c r="U266" i="37" a="1"/>
  <c r="U266" i="37" s="1"/>
  <c r="U309" i="37" a="1"/>
  <c r="U309" i="37" s="1"/>
  <c r="U365" i="37" a="1"/>
  <c r="U365" i="37" s="1"/>
  <c r="U240" i="37" a="1"/>
  <c r="U240" i="37" s="1"/>
  <c r="U91" i="37" a="1"/>
  <c r="U91" i="37" s="1"/>
  <c r="U613" i="37" a="1"/>
  <c r="U613" i="37" s="1"/>
  <c r="U551" i="37" a="1"/>
  <c r="U551" i="37" s="1"/>
  <c r="U271" i="37" a="1"/>
  <c r="U271" i="37" s="1"/>
  <c r="U584" i="37" a="1"/>
  <c r="U584" i="37" s="1"/>
  <c r="U52" i="37" a="1"/>
  <c r="U52" i="37" s="1"/>
  <c r="U366" i="37" a="1"/>
  <c r="U366" i="37" s="1"/>
  <c r="U241" i="37" a="1"/>
  <c r="U241" i="37" s="1"/>
  <c r="U614" i="37" a="1"/>
  <c r="U614" i="37" s="1"/>
  <c r="U367" i="37" a="1"/>
  <c r="U367" i="37" s="1"/>
  <c r="U544" i="37" a="1"/>
  <c r="U544" i="37" s="1"/>
  <c r="U136" i="37" a="1"/>
  <c r="U136" i="37" s="1"/>
  <c r="U585" i="37" a="1"/>
  <c r="U585" i="37" s="1"/>
  <c r="U371" i="37" a="1"/>
  <c r="U371" i="37" s="1"/>
  <c r="U369" i="37" a="1"/>
  <c r="U369" i="37" s="1"/>
  <c r="U615" i="37" a="1"/>
  <c r="U615" i="37" s="1"/>
  <c r="U368" i="37" a="1"/>
  <c r="U368" i="37" s="1"/>
  <c r="U370" i="37" a="1"/>
  <c r="U370" i="37" s="1"/>
  <c r="U242" i="37" a="1"/>
  <c r="U242" i="37" s="1"/>
  <c r="U244" i="37" a="1"/>
  <c r="U244" i="37" s="1"/>
  <c r="U372" i="37" a="1"/>
  <c r="U372" i="37" s="1"/>
  <c r="U566" i="37" a="1"/>
  <c r="U566" i="37" s="1"/>
  <c r="U243" i="37" a="1"/>
  <c r="U243" i="37" s="1"/>
  <c r="U407" i="37" a="1"/>
  <c r="U407" i="37" s="1"/>
  <c r="U8" i="37" a="1"/>
  <c r="U8" i="37" s="1"/>
  <c r="U310" i="37" a="1"/>
  <c r="U310" i="37" s="1"/>
  <c r="U385" i="37" a="1"/>
  <c r="U385" i="37" s="1"/>
  <c r="U94" i="37" a="1"/>
  <c r="U94" i="37" s="1"/>
  <c r="U55" i="37" a="1"/>
  <c r="U55" i="37" s="1"/>
  <c r="U258" i="37" a="1"/>
  <c r="U258" i="37" s="1"/>
  <c r="U137" i="37" a="1"/>
  <c r="U137" i="37" s="1"/>
  <c r="U54" i="37" a="1"/>
  <c r="U54" i="37" s="1"/>
  <c r="U418" i="37" a="1"/>
  <c r="U418" i="37" s="1"/>
  <c r="U174" i="37" a="1"/>
  <c r="U174" i="37" s="1"/>
  <c r="U311" i="37" a="1"/>
  <c r="U311" i="37" s="1"/>
  <c r="U416" i="37" a="1"/>
  <c r="U416" i="37" s="1"/>
  <c r="U312" i="37" a="1"/>
  <c r="U312" i="37" s="1"/>
  <c r="U145" i="37" a="1"/>
  <c r="U145" i="37" s="1"/>
  <c r="U278" i="37" a="1"/>
  <c r="U278" i="37" s="1"/>
  <c r="U181" i="37" a="1"/>
  <c r="U181" i="37" s="1"/>
  <c r="U375" i="37" a="1"/>
  <c r="U375" i="37" s="1"/>
  <c r="U146" i="37" a="1"/>
  <c r="U146" i="37" s="1"/>
  <c r="U388" i="37" a="1"/>
  <c r="U388" i="37" s="1"/>
  <c r="U419" i="37" a="1"/>
  <c r="U419" i="37" s="1"/>
  <c r="U60" i="37" a="1"/>
  <c r="U60" i="37" s="1"/>
  <c r="U81" i="37" a="1"/>
  <c r="U81" i="37" s="1"/>
  <c r="U149" i="37" a="1"/>
  <c r="U149" i="37" s="1"/>
  <c r="U246" i="37" a="1"/>
  <c r="U246" i="37" s="1"/>
  <c r="U590" i="37" a="1"/>
  <c r="U590" i="37" s="1"/>
  <c r="U254" i="37" a="1"/>
  <c r="U254" i="37" s="1"/>
  <c r="U373" i="37" a="1"/>
  <c r="U373" i="37" s="1"/>
  <c r="U376" i="37" a="1"/>
  <c r="U376" i="37" s="1"/>
  <c r="U378" i="37" a="1"/>
  <c r="U378" i="37" s="1"/>
  <c r="U410" i="37" a="1"/>
  <c r="U410" i="37" s="1"/>
  <c r="U409" i="37" a="1"/>
  <c r="U409" i="37" s="1"/>
  <c r="U420" i="37" a="1"/>
  <c r="U420" i="37" s="1"/>
  <c r="U248" i="37" a="1"/>
  <c r="U248" i="37" s="1"/>
  <c r="U247" i="37" a="1"/>
  <c r="U247" i="37" s="1"/>
  <c r="U259" i="37" a="1"/>
  <c r="U259" i="37" s="1"/>
  <c r="U402" i="37" a="1"/>
  <c r="U402" i="37" s="1"/>
  <c r="U415" i="37" a="1"/>
  <c r="U415" i="37" s="1"/>
  <c r="U417" i="37" a="1"/>
  <c r="U417" i="37" s="1"/>
  <c r="U53" i="37" a="1"/>
  <c r="U53" i="37" s="1"/>
  <c r="U140" i="37" a="1"/>
  <c r="U140" i="37" s="1"/>
  <c r="U142" i="37" a="1"/>
  <c r="U142" i="37" s="1"/>
  <c r="U109" i="37" a="1"/>
  <c r="U109" i="37" s="1"/>
  <c r="U313" i="37" a="1"/>
  <c r="U313" i="37" s="1"/>
  <c r="U314" i="37" a="1"/>
  <c r="U314" i="37" s="1"/>
  <c r="U601" i="37" a="1"/>
  <c r="U601" i="37" s="1"/>
  <c r="U315" i="37" a="1"/>
  <c r="U315" i="37" s="1"/>
  <c r="U618" i="37" a="1"/>
  <c r="U618" i="37" s="1"/>
  <c r="U143" i="37" a="1"/>
  <c r="U143" i="37" s="1"/>
  <c r="U622" i="37" a="1"/>
  <c r="U622" i="37" s="1"/>
  <c r="U316" i="37" a="1"/>
  <c r="U316" i="37" s="1"/>
  <c r="U552" i="37" a="1"/>
  <c r="U552" i="37" s="1"/>
  <c r="U317" i="37" a="1"/>
  <c r="U317" i="37" s="1"/>
  <c r="U182" i="37" a="1"/>
  <c r="U182" i="37" s="1"/>
  <c r="U200" i="37" a="1"/>
  <c r="U200" i="37" s="1"/>
  <c r="U284" i="37" a="1"/>
  <c r="U284" i="37" s="1"/>
  <c r="U427" i="37" a="1"/>
  <c r="U427" i="37" s="1"/>
  <c r="U147" i="37" a="1"/>
  <c r="U147" i="37" s="1"/>
  <c r="U173" i="37" a="1"/>
  <c r="U173" i="37" s="1"/>
  <c r="U318" i="37" a="1"/>
  <c r="U318" i="37" s="1"/>
  <c r="U435" i="37" a="1"/>
  <c r="U435" i="37" s="1"/>
  <c r="U285" i="37" a="1"/>
  <c r="U285" i="37" s="1"/>
  <c r="U602" i="37" a="1"/>
  <c r="U602" i="37" s="1"/>
  <c r="U319" i="37" a="1"/>
  <c r="U319" i="37" s="1"/>
  <c r="U148" i="37" a="1"/>
  <c r="U148" i="37" s="1"/>
  <c r="U320" i="37" a="1"/>
  <c r="U320" i="37" s="1"/>
  <c r="U321" i="37" a="1"/>
  <c r="U321" i="37" s="1"/>
  <c r="U150" i="37" a="1"/>
  <c r="U150" i="37" s="1"/>
  <c r="U322" i="37" a="1"/>
  <c r="U322" i="37" s="1"/>
  <c r="U323" i="37" a="1"/>
  <c r="U323" i="37" s="1"/>
  <c r="U621" i="37" a="1"/>
  <c r="U621" i="37" s="1"/>
  <c r="U424" i="37" a="1"/>
  <c r="U424" i="37" s="1"/>
  <c r="U201" i="37" a="1"/>
  <c r="U201" i="37" s="1"/>
  <c r="U440" i="37" a="1"/>
  <c r="U440" i="37" s="1"/>
  <c r="U110" i="37" a="1"/>
  <c r="U110" i="37" s="1"/>
  <c r="U286" i="37" a="1"/>
  <c r="U286" i="37" s="1"/>
  <c r="U325" i="37" a="1"/>
  <c r="U325" i="37" s="1"/>
  <c r="U423" i="37" a="1"/>
  <c r="U423" i="37" s="1"/>
  <c r="U431" i="37" a="1"/>
  <c r="U431" i="37" s="1"/>
  <c r="U421" i="37" a="1"/>
  <c r="U421" i="37" s="1"/>
  <c r="U245" i="37" a="1"/>
  <c r="U245" i="37" s="1"/>
  <c r="U434" i="37" a="1"/>
  <c r="U434" i="37" s="1"/>
  <c r="U324" i="37" a="1"/>
  <c r="U324" i="37" s="1"/>
  <c r="U572" i="37" a="1"/>
  <c r="U572" i="37" s="1"/>
  <c r="U202" i="37" a="1"/>
  <c r="U202" i="37" s="1"/>
  <c r="U588" i="37" a="1"/>
  <c r="U588" i="37" s="1"/>
  <c r="U603" i="37" a="1"/>
  <c r="U603" i="37" s="1"/>
  <c r="U619" i="37" a="1"/>
  <c r="U619" i="37" s="1"/>
  <c r="U250" i="37" a="1"/>
  <c r="U250" i="37" s="1"/>
  <c r="U441" i="37" a="1"/>
  <c r="U441" i="37" s="1"/>
  <c r="U438" i="37" a="1"/>
  <c r="U438" i="37" s="1"/>
  <c r="U327" i="37" a="1"/>
  <c r="U327" i="37" s="1"/>
  <c r="U426" i="37" a="1"/>
  <c r="U426" i="37" s="1"/>
  <c r="U287" i="37" a="1"/>
  <c r="U287" i="37" s="1"/>
  <c r="U95" i="37" a="1"/>
  <c r="U95" i="37" s="1"/>
  <c r="U326" i="37" a="1"/>
  <c r="U326" i="37" s="1"/>
  <c r="U249" i="37" a="1"/>
  <c r="U249" i="37" s="1"/>
  <c r="U425" i="37" a="1"/>
  <c r="U425" i="37" s="1"/>
  <c r="U604" i="37" a="1"/>
  <c r="U604" i="37" s="1"/>
  <c r="U162" i="37" a="1"/>
  <c r="U162" i="37" s="1"/>
  <c r="U276" i="37" a="1"/>
  <c r="U276" i="37" s="1"/>
  <c r="U328" i="37" a="1"/>
  <c r="U328" i="37" s="1"/>
  <c r="U472" i="37" a="1"/>
  <c r="U472" i="37" s="1"/>
  <c r="U272" i="37" a="1"/>
  <c r="U272" i="37" s="1"/>
  <c r="U255" i="37" a="1"/>
  <c r="U255" i="37" s="1"/>
  <c r="U277" i="37" a="1"/>
  <c r="U277" i="37" s="1"/>
  <c r="U442" i="37" a="1"/>
  <c r="U442" i="37" s="1"/>
  <c r="U591" i="37" a="1"/>
  <c r="U591" i="37" s="1"/>
  <c r="U592" i="37" a="1"/>
  <c r="U592" i="37" s="1"/>
  <c r="U329" i="37" a="1"/>
  <c r="U329" i="37" s="1"/>
  <c r="U473" i="37" a="1"/>
  <c r="U473" i="37" s="1"/>
  <c r="U474" i="37" a="1"/>
  <c r="U474" i="37" s="1"/>
  <c r="U428" i="37" a="1"/>
  <c r="U428" i="37" s="1"/>
  <c r="U330" i="37" a="1"/>
  <c r="U330" i="37" s="1"/>
  <c r="U257" i="37" a="1"/>
  <c r="U257" i="37" s="1"/>
  <c r="U429" i="37" a="1"/>
  <c r="U429" i="37" s="1"/>
  <c r="U263" i="37" a="1"/>
  <c r="U263" i="37" s="1"/>
  <c r="U444" i="37" a="1"/>
  <c r="U444" i="37" s="1"/>
  <c r="U430" i="37" a="1"/>
  <c r="U430" i="37" s="1"/>
  <c r="U432" i="37" a="1"/>
  <c r="U432" i="37" s="1"/>
  <c r="U260" i="37" a="1"/>
  <c r="U260" i="37" s="1"/>
  <c r="U261" i="37" a="1"/>
  <c r="U261" i="37" s="1"/>
  <c r="U262" i="37" a="1"/>
  <c r="U262" i="37" s="1"/>
  <c r="U331" i="37" a="1"/>
  <c r="U331" i="37" s="1"/>
  <c r="U374" i="37" a="1"/>
  <c r="U374" i="37" s="1"/>
  <c r="U332" i="37" a="1"/>
  <c r="U332" i="37" s="1"/>
  <c r="U377" i="37" a="1"/>
  <c r="U377" i="37" s="1"/>
  <c r="U203" i="37" a="1"/>
  <c r="U203" i="37" s="1"/>
  <c r="U111" i="37" a="1"/>
  <c r="U111" i="37" s="1"/>
  <c r="U379" i="37" a="1"/>
  <c r="U379" i="37" s="1"/>
  <c r="U333" i="37" a="1"/>
  <c r="U333" i="37" s="1"/>
  <c r="U334" i="37" a="1"/>
  <c r="U334" i="37" s="1"/>
  <c r="U443" i="37" a="1"/>
  <c r="U443" i="37" s="1"/>
  <c r="U459" i="37" a="1"/>
  <c r="U459" i="37" s="1"/>
  <c r="U289" i="37" a="1"/>
  <c r="U289" i="37" s="1"/>
  <c r="U475" i="37" a="1"/>
  <c r="U475" i="37" s="1"/>
  <c r="U335" i="37" a="1"/>
  <c r="U335" i="37" s="1"/>
  <c r="U112" i="37" a="1"/>
  <c r="U112" i="37" s="1"/>
  <c r="U422" i="37" a="1"/>
  <c r="U422" i="37" s="1"/>
  <c r="U381" i="37" a="1"/>
  <c r="U381" i="37" s="1"/>
  <c r="U605" i="37" a="1"/>
  <c r="U605" i="37" s="1"/>
  <c r="U616" i="37" a="1"/>
  <c r="U616" i="37" s="1"/>
  <c r="U383" i="37" a="1"/>
  <c r="U383" i="37" s="1"/>
  <c r="U183" i="37" a="1"/>
  <c r="U183" i="37" s="1"/>
  <c r="U433" i="37" a="1"/>
  <c r="U433" i="37" s="1"/>
  <c r="U336" i="37" a="1"/>
  <c r="U336" i="37" s="1"/>
  <c r="U337" i="37" a="1"/>
  <c r="U337" i="37" s="1"/>
  <c r="U386" i="37" a="1"/>
  <c r="U386" i="37" s="1"/>
  <c r="U338" i="37" a="1"/>
  <c r="U338" i="37" s="1"/>
  <c r="U617" i="37" a="1"/>
  <c r="U617" i="37" s="1"/>
  <c r="U389" i="37" a="1"/>
  <c r="U389" i="37" s="1"/>
  <c r="U606" i="37" a="1"/>
  <c r="U606" i="37" s="1"/>
  <c r="U204" i="37" a="1"/>
  <c r="U204" i="37" s="1"/>
  <c r="U291" i="37" a="1"/>
  <c r="U291" i="37" s="1"/>
  <c r="U390" i="37" a="1"/>
  <c r="U390" i="37" s="1"/>
  <c r="U394" i="37" a="1"/>
  <c r="U394" i="37" s="1"/>
  <c r="U398" i="37" a="1"/>
  <c r="U398" i="37" s="1"/>
  <c r="U400" i="37" a="1"/>
  <c r="U400" i="37" s="1"/>
  <c r="U476" i="37" a="1"/>
  <c r="U476" i="37" s="1"/>
  <c r="U399" i="37" a="1"/>
  <c r="U399" i="37" s="1"/>
  <c r="U403" i="37" a="1"/>
  <c r="U403" i="37" s="1"/>
  <c r="U477" i="37" a="1"/>
  <c r="U477" i="37" s="1"/>
  <c r="U408" i="37" a="1"/>
  <c r="U408" i="37" s="1"/>
  <c r="U439" i="37" a="1"/>
  <c r="U439" i="37" s="1"/>
  <c r="U573" i="37" a="1"/>
  <c r="U573" i="37" s="1"/>
  <c r="U413" i="37" a="1"/>
  <c r="U413" i="37" s="1"/>
  <c r="U607" i="37" a="1"/>
  <c r="U607" i="37" s="1"/>
  <c r="U412" i="37" a="1"/>
  <c r="U412" i="37" s="1"/>
  <c r="U113" i="37" a="1"/>
  <c r="U113" i="37" s="1"/>
  <c r="U414" i="37" a="1"/>
  <c r="U414" i="37" s="1"/>
  <c r="U411" i="37" a="1"/>
  <c r="U411" i="37" s="1"/>
  <c r="U138" i="37" a="1"/>
  <c r="U138" i="37" s="1"/>
  <c r="U139" i="37" a="1"/>
  <c r="U139" i="37" s="1"/>
  <c r="U339" i="37" a="1"/>
  <c r="U339" i="37" s="1"/>
  <c r="U478" i="37" a="1"/>
  <c r="U478" i="37" s="1"/>
  <c r="U141" i="37" a="1"/>
  <c r="U141" i="37" s="1"/>
  <c r="U479" i="37" a="1"/>
  <c r="U479" i="37" s="1"/>
  <c r="U340" i="37" a="1"/>
  <c r="U340" i="37" s="1"/>
  <c r="U144" i="37" a="1"/>
  <c r="U144" i="37" s="1"/>
  <c r="U567" i="37" a="1"/>
  <c r="U567" i="37" s="1"/>
  <c r="U586" i="37" a="1"/>
  <c r="U586" i="37" s="1"/>
  <c r="U587" i="37" a="1"/>
  <c r="U587" i="37" s="1"/>
  <c r="U589" i="37" a="1"/>
  <c r="U589" i="37" s="1"/>
  <c r="U625" i="37" a="1"/>
  <c r="U625" i="37" s="1"/>
  <c r="U480" i="37" a="1"/>
  <c r="U480" i="37" s="1"/>
  <c r="U342" i="37" a="1"/>
  <c r="U342" i="37" s="1"/>
  <c r="U253" i="37" a="1"/>
  <c r="U253" i="37" s="1"/>
  <c r="U341" i="37" a="1"/>
  <c r="U341" i="37" s="1"/>
  <c r="U252" i="37" a="1"/>
  <c r="U252" i="37" s="1"/>
  <c r="U482" i="37" a="1"/>
  <c r="U482" i="37" s="1"/>
  <c r="U481" i="37" a="1"/>
  <c r="U481" i="37" s="1"/>
  <c r="U343" i="37" a="1"/>
  <c r="U343" i="37" s="1"/>
  <c r="U251" i="37" a="1"/>
  <c r="U251" i="37" s="1"/>
  <c r="U256" i="37" a="1"/>
  <c r="U256" i="37" s="1"/>
  <c r="U264" i="37" a="1"/>
  <c r="U264" i="37" s="1"/>
  <c r="U593" i="37" a="1"/>
  <c r="U593" i="37" s="1"/>
  <c r="U345" i="37" a="1"/>
  <c r="U345" i="37" s="1"/>
  <c r="U484" i="37" a="1"/>
  <c r="U484" i="37" s="1"/>
  <c r="U483" i="37" a="1"/>
  <c r="U483" i="37" s="1"/>
  <c r="U344" i="37" a="1"/>
  <c r="U344" i="37" s="1"/>
  <c r="U458" i="37" a="1"/>
  <c r="U458" i="37" s="1"/>
  <c r="U486" i="37" a="1"/>
  <c r="U486" i="37" s="1"/>
  <c r="U485" i="37" a="1"/>
  <c r="U485" i="37" s="1"/>
  <c r="U626" i="37" a="1"/>
  <c r="U626" i="37" s="1"/>
  <c r="U346" i="37" a="1"/>
  <c r="U346" i="37" s="1"/>
  <c r="U628" i="37" a="1"/>
  <c r="U628" i="37" s="1"/>
  <c r="U380" i="37" a="1"/>
  <c r="U380" i="37" s="1"/>
  <c r="U382" i="37" a="1"/>
  <c r="U382" i="37" s="1"/>
  <c r="U627" i="37" a="1"/>
  <c r="U627" i="37" s="1"/>
  <c r="U384" i="37" a="1"/>
  <c r="U384" i="37" s="1"/>
  <c r="U387" i="37" a="1"/>
  <c r="U387" i="37" s="1"/>
  <c r="U391" i="37" a="1"/>
  <c r="U391" i="37" s="1"/>
  <c r="U392" i="37" a="1"/>
  <c r="U392" i="37" s="1"/>
  <c r="U393" i="37" a="1"/>
  <c r="U393" i="37" s="1"/>
  <c r="U397" i="37" a="1"/>
  <c r="U397" i="37" s="1"/>
  <c r="U396" i="37" a="1"/>
  <c r="U396" i="37" s="1"/>
  <c r="U401" i="37" a="1"/>
  <c r="U401" i="37" s="1"/>
  <c r="U405" i="37" a="1"/>
  <c r="U405" i="37" s="1"/>
  <c r="U404" i="37" a="1"/>
  <c r="U404" i="37" s="1"/>
  <c r="U406" i="37" a="1"/>
  <c r="U406" i="37" s="1"/>
  <c r="U487" i="37" a="1"/>
  <c r="U487" i="37" s="1"/>
  <c r="U506" i="37" a="1"/>
  <c r="U506" i="37" s="1"/>
  <c r="U620" i="37" a="1"/>
  <c r="U620" i="37" s="1"/>
  <c r="U466" i="37" a="1"/>
  <c r="U466" i="37" s="1"/>
  <c r="U550" i="37" a="1"/>
  <c r="U550" i="37" s="1"/>
  <c r="U498" i="37" a="1"/>
  <c r="U498" i="37" s="1"/>
  <c r="U521" i="37" a="1"/>
  <c r="U521" i="37" s="1"/>
  <c r="U445" i="37" a="1"/>
  <c r="U445" i="37" s="1"/>
  <c r="U184" i="37" a="1"/>
  <c r="U184" i="37" s="1"/>
  <c r="U348" i="37" a="1"/>
  <c r="U348" i="37" s="1"/>
  <c r="U357" i="37" a="1"/>
  <c r="U357" i="37" s="1"/>
  <c r="U640" i="37" a="1"/>
  <c r="U640" i="37" s="1"/>
  <c r="U469" i="37" a="1"/>
  <c r="U469" i="37" s="1"/>
  <c r="U510" i="37" a="1"/>
  <c r="U510" i="37" s="1"/>
  <c r="U511" i="37" a="1"/>
  <c r="U511" i="37" s="1"/>
  <c r="U528" i="37" a="1"/>
  <c r="U528" i="37" s="1"/>
  <c r="U347" i="37" a="1"/>
  <c r="U347" i="37" s="1"/>
  <c r="U436" i="37" a="1"/>
  <c r="U436" i="37" s="1"/>
  <c r="U517" i="37" a="1"/>
  <c r="U517" i="37" s="1"/>
  <c r="U493" i="37" a="1"/>
  <c r="U493" i="37" s="1"/>
  <c r="U467" i="37" a="1"/>
  <c r="U467" i="37" s="1"/>
  <c r="U293" i="37" a="1"/>
  <c r="U293" i="37" s="1"/>
  <c r="U452" i="37" a="1"/>
  <c r="U452" i="37" s="1"/>
  <c r="U358" i="37" a="1"/>
  <c r="U358" i="37" s="1"/>
  <c r="U455" i="37" a="1"/>
  <c r="U455" i="37" s="1"/>
  <c r="U522" i="37" a="1"/>
  <c r="U522" i="37" s="1"/>
  <c r="U351" i="37" a="1"/>
  <c r="U351" i="37" s="1"/>
  <c r="U610" i="37" a="1"/>
  <c r="U610" i="37" s="1"/>
  <c r="U463" i="37" a="1"/>
  <c r="U463" i="37" s="1"/>
  <c r="U490" i="37" a="1"/>
  <c r="U490" i="37" s="1"/>
  <c r="U500" i="37" a="1"/>
  <c r="U500" i="37" s="1"/>
  <c r="U499" i="37" a="1"/>
  <c r="U499" i="37" s="1"/>
  <c r="U523" i="37" a="1"/>
  <c r="U523" i="37" s="1"/>
  <c r="U470" i="37" a="1"/>
  <c r="U470" i="37" s="1"/>
  <c r="U273" i="37" a="1"/>
  <c r="U273" i="37" s="1"/>
  <c r="U489" i="37" a="1"/>
  <c r="U489" i="37" s="1"/>
  <c r="U488" i="37" a="1"/>
  <c r="U488" i="37" s="1"/>
  <c r="U288" i="37" a="1"/>
  <c r="U288" i="37" s="1"/>
  <c r="U292" i="37" a="1"/>
  <c r="U292" i="37" s="1"/>
  <c r="U491" i="37" a="1"/>
  <c r="U491" i="37" s="1"/>
  <c r="U448" i="37" a="1"/>
  <c r="U448" i="37" s="1"/>
  <c r="U494" i="37" a="1"/>
  <c r="U494" i="37" s="1"/>
  <c r="U451" i="37" a="1"/>
  <c r="U451" i="37" s="1"/>
  <c r="U512" i="37" a="1"/>
  <c r="U512" i="37" s="1"/>
  <c r="U525" i="37" a="1"/>
  <c r="U525" i="37" s="1"/>
  <c r="U527" i="37" a="1"/>
  <c r="U527" i="37" s="1"/>
  <c r="U524" i="37" a="1"/>
  <c r="U524" i="37" s="1"/>
  <c r="U639" i="37" a="1"/>
  <c r="U639" i="37" s="1"/>
  <c r="U356" i="37" a="1"/>
  <c r="U356" i="37" s="1"/>
  <c r="U453" i="37" a="1"/>
  <c r="U453" i="37" s="1"/>
  <c r="U460" i="37" a="1"/>
  <c r="U460" i="37" s="1"/>
  <c r="U290" i="37" a="1"/>
  <c r="U290" i="37" s="1"/>
  <c r="U611" i="37" a="1"/>
  <c r="U611" i="37" s="1"/>
  <c r="U492" i="37" a="1"/>
  <c r="U492" i="37" s="1"/>
  <c r="U495" i="37" a="1"/>
  <c r="U495" i="37" s="1"/>
  <c r="U294" i="37" a="1"/>
  <c r="U294" i="37" s="1"/>
  <c r="U496" i="37" a="1"/>
  <c r="U496" i="37" s="1"/>
  <c r="U497" i="37" a="1"/>
  <c r="U497" i="37" s="1"/>
  <c r="U502" i="37" a="1"/>
  <c r="U502" i="37" s="1"/>
  <c r="U446" i="37" a="1"/>
  <c r="U446" i="37" s="1"/>
  <c r="U503" i="37" a="1"/>
  <c r="U503" i="37" s="1"/>
  <c r="U449" i="37" a="1"/>
  <c r="U449" i="37" s="1"/>
  <c r="U631" i="37" a="1"/>
  <c r="U631" i="37" s="1"/>
  <c r="U504" i="37" a="1"/>
  <c r="U504" i="37" s="1"/>
  <c r="U630" i="37" a="1"/>
  <c r="U630" i="37" s="1"/>
  <c r="U629" i="37" a="1"/>
  <c r="U629" i="37" s="1"/>
  <c r="U623" i="37" a="1"/>
  <c r="U623" i="37" s="1"/>
  <c r="U501" i="37" a="1"/>
  <c r="U501" i="37" s="1"/>
  <c r="U505" i="37" a="1"/>
  <c r="U505" i="37" s="1"/>
  <c r="U508" i="37" a="1"/>
  <c r="U508" i="37" s="1"/>
  <c r="U509" i="37" a="1"/>
  <c r="U509" i="37" s="1"/>
  <c r="U513" i="37" a="1"/>
  <c r="U513" i="37" s="1"/>
  <c r="U632" i="37" a="1"/>
  <c r="U632" i="37" s="1"/>
  <c r="U514" i="37" a="1"/>
  <c r="U514" i="37" s="1"/>
  <c r="U515" i="37" a="1"/>
  <c r="U515" i="37" s="1"/>
  <c r="U519" i="37" a="1"/>
  <c r="U519" i="37" s="1"/>
  <c r="U518" i="37" a="1"/>
  <c r="U518" i="37" s="1"/>
  <c r="U520" i="37" a="1"/>
  <c r="U520" i="37" s="1"/>
  <c r="U114" i="37" a="1"/>
  <c r="U114" i="37" s="1"/>
  <c r="U205" i="37" a="1"/>
  <c r="U205" i="37" s="1"/>
  <c r="U349" i="37" a="1"/>
  <c r="U349" i="37" s="1"/>
  <c r="U350" i="37" a="1"/>
  <c r="U350" i="37" s="1"/>
  <c r="U608" i="37" a="1"/>
  <c r="U608" i="37" s="1"/>
  <c r="U609" i="37" a="1"/>
  <c r="U609" i="37" s="1"/>
  <c r="U352" i="37" a="1"/>
  <c r="U352" i="37" s="1"/>
  <c r="U355" i="37" a="1"/>
  <c r="U355" i="37" s="1"/>
  <c r="U353" i="37" a="1"/>
  <c r="U353" i="37" s="1"/>
  <c r="U468" i="37" a="1"/>
  <c r="U468" i="37" s="1"/>
  <c r="U354" i="37" a="1"/>
  <c r="U354" i="37" s="1"/>
  <c r="U295" i="37" a="1"/>
  <c r="U295" i="37" s="1"/>
  <c r="U447" i="37" a="1"/>
  <c r="U447" i="37" s="1"/>
  <c r="U450" i="37" a="1"/>
  <c r="U450" i="37" s="1"/>
  <c r="U454" i="37" a="1"/>
  <c r="U454" i="37" s="1"/>
  <c r="U359" i="37" a="1"/>
  <c r="U359" i="37" s="1"/>
  <c r="U456" i="37" a="1"/>
  <c r="U456" i="37" s="1"/>
  <c r="U457" i="37" a="1"/>
  <c r="U457" i="37" s="1"/>
  <c r="U360" i="37" a="1"/>
  <c r="U360" i="37" s="1"/>
  <c r="U462" i="37" a="1"/>
  <c r="U462" i="37" s="1"/>
  <c r="U461" i="37" a="1"/>
  <c r="U461" i="37" s="1"/>
  <c r="U633" i="37" a="1"/>
  <c r="U633" i="37" s="1"/>
  <c r="U464" i="37" a="1"/>
  <c r="U464" i="37" s="1"/>
  <c r="U624" i="37" a="1"/>
  <c r="U624" i="37" s="1"/>
  <c r="U465" i="37" a="1"/>
  <c r="U465" i="37" s="1"/>
  <c r="U516" i="37" a="1"/>
  <c r="U516" i="37" s="1"/>
  <c r="U634" i="37" a="1"/>
  <c r="U634" i="37" s="1"/>
  <c r="U635" i="37" a="1"/>
  <c r="U635" i="37" s="1"/>
  <c r="U638" i="37" a="1"/>
  <c r="U638" i="37" s="1"/>
  <c r="U637" i="37" a="1"/>
  <c r="U637" i="37" s="1"/>
  <c r="U636" i="37" a="1"/>
  <c r="U636" i="37" s="1"/>
  <c r="U529" i="37" a="1"/>
  <c r="U529" i="37" s="1"/>
  <c r="U530" i="37" a="1"/>
  <c r="U530" i="37" s="1"/>
  <c r="U531" i="37" a="1"/>
  <c r="U531" i="37" s="1"/>
  <c r="U532" i="37" a="1"/>
  <c r="U532" i="37" s="1"/>
  <c r="T2" i="37" a="1"/>
  <c r="T2" i="37" s="1"/>
  <c r="T3" i="37" a="1"/>
  <c r="T3" i="37" s="1"/>
  <c r="T10" i="37" a="1"/>
  <c r="T10" i="37" s="1"/>
  <c r="T534" i="37" a="1"/>
  <c r="T534" i="37" s="1"/>
  <c r="T533" i="37" a="1"/>
  <c r="T533" i="37" s="1"/>
  <c r="T6" i="37" a="1"/>
  <c r="T6" i="37" s="1"/>
  <c r="T5" i="37" a="1"/>
  <c r="T5" i="37" s="1"/>
  <c r="T11" i="37" a="1"/>
  <c r="T11" i="37" s="1"/>
  <c r="T4" i="37" a="1"/>
  <c r="T4" i="37" s="1"/>
  <c r="T23" i="37" a="1"/>
  <c r="T23" i="37" s="1"/>
  <c r="T7" i="37" a="1"/>
  <c r="T7" i="37" s="1"/>
  <c r="T13" i="37" a="1"/>
  <c r="T13" i="37" s="1"/>
  <c r="T24" i="37" a="1"/>
  <c r="T24" i="37" s="1"/>
  <c r="T36" i="37" a="1"/>
  <c r="T36" i="37" s="1"/>
  <c r="T25" i="37" a="1"/>
  <c r="T25" i="37" s="1"/>
  <c r="T37" i="37" a="1"/>
  <c r="T37" i="37" s="1"/>
  <c r="T20" i="37" a="1"/>
  <c r="T20" i="37" s="1"/>
  <c r="T14" i="37" a="1"/>
  <c r="T14" i="37" s="1"/>
  <c r="T15" i="37" a="1"/>
  <c r="T15" i="37" s="1"/>
  <c r="T19" i="37" a="1"/>
  <c r="T19" i="37" s="1"/>
  <c r="T22" i="37" a="1"/>
  <c r="T22" i="37" s="1"/>
  <c r="T26" i="37" a="1"/>
  <c r="T26" i="37" s="1"/>
  <c r="T537" i="37" a="1"/>
  <c r="T537" i="37" s="1"/>
  <c r="T27" i="37" a="1"/>
  <c r="T27" i="37" s="1"/>
  <c r="T21" i="37" a="1"/>
  <c r="T21" i="37" s="1"/>
  <c r="T38" i="37" a="1"/>
  <c r="T38" i="37" s="1"/>
  <c r="T538" i="37" a="1"/>
  <c r="T538" i="37" s="1"/>
  <c r="T28" i="37" a="1"/>
  <c r="T28" i="37" s="1"/>
  <c r="T16" i="37" a="1"/>
  <c r="T16" i="37" s="1"/>
  <c r="T39" i="37" a="1"/>
  <c r="T39" i="37" s="1"/>
  <c r="T40" i="37" a="1"/>
  <c r="T40" i="37" s="1"/>
  <c r="T29" i="37" a="1"/>
  <c r="T29" i="37" s="1"/>
  <c r="T41" i="37" a="1"/>
  <c r="T41" i="37" s="1"/>
  <c r="T33" i="37" a="1"/>
  <c r="T33" i="37" s="1"/>
  <c r="T42" i="37" a="1"/>
  <c r="T42" i="37" s="1"/>
  <c r="T539" i="37" a="1"/>
  <c r="T539" i="37" s="1"/>
  <c r="T85" i="37" a="1"/>
  <c r="T85" i="37" s="1"/>
  <c r="T43" i="37" a="1"/>
  <c r="T43" i="37" s="1"/>
  <c r="T44" i="37" a="1"/>
  <c r="T44" i="37" s="1"/>
  <c r="T535" i="37" a="1"/>
  <c r="T535" i="37" s="1"/>
  <c r="T45" i="37" a="1"/>
  <c r="T45" i="37" s="1"/>
  <c r="T17" i="37" a="1"/>
  <c r="T17" i="37" s="1"/>
  <c r="T70" i="37" a="1"/>
  <c r="T70" i="37" s="1"/>
  <c r="T30" i="37" a="1"/>
  <c r="T30" i="37" s="1"/>
  <c r="T18" i="37" a="1"/>
  <c r="T18" i="37" s="1"/>
  <c r="T62" i="37" a="1"/>
  <c r="T62" i="37" s="1"/>
  <c r="T57" i="37" a="1"/>
  <c r="T57" i="37" s="1"/>
  <c r="T46" i="37" a="1"/>
  <c r="T46" i="37" s="1"/>
  <c r="T61" i="37" a="1"/>
  <c r="T61" i="37" s="1"/>
  <c r="T71" i="37" a="1"/>
  <c r="T71" i="37" s="1"/>
  <c r="T31" i="37" a="1"/>
  <c r="T31" i="37" s="1"/>
  <c r="T541" i="37" a="1"/>
  <c r="T541" i="37" s="1"/>
  <c r="T56" i="37" a="1"/>
  <c r="T56" i="37" s="1"/>
  <c r="T536" i="37" a="1"/>
  <c r="T536" i="37" s="1"/>
  <c r="T47" i="37" a="1"/>
  <c r="T47" i="37" s="1"/>
  <c r="T86" i="37" a="1"/>
  <c r="T86" i="37" s="1"/>
  <c r="T72" i="37" a="1"/>
  <c r="T72" i="37" s="1"/>
  <c r="T48" i="37" a="1"/>
  <c r="T48" i="37" s="1"/>
  <c r="T547" i="37" a="1"/>
  <c r="T547" i="37" s="1"/>
  <c r="T115" i="37" a="1"/>
  <c r="T115" i="37" s="1"/>
  <c r="T562" i="37" a="1"/>
  <c r="T562" i="37" s="1"/>
  <c r="T58" i="37" a="1"/>
  <c r="T58" i="37" s="1"/>
  <c r="T63" i="37" a="1"/>
  <c r="T63" i="37" s="1"/>
  <c r="T34" i="37" a="1"/>
  <c r="T34" i="37" s="1"/>
  <c r="T540" i="37" a="1"/>
  <c r="T540" i="37" s="1"/>
  <c r="T116" i="37" a="1"/>
  <c r="T116" i="37" s="1"/>
  <c r="T12" i="37" a="1"/>
  <c r="T12" i="37" s="1"/>
  <c r="T32" i="37" a="1"/>
  <c r="T32" i="37" s="1"/>
  <c r="T73" i="37" a="1"/>
  <c r="T73" i="37" s="1"/>
  <c r="T74" i="37" a="1"/>
  <c r="T74" i="37" s="1"/>
  <c r="T542" i="37" a="1"/>
  <c r="T542" i="37" s="1"/>
  <c r="T75" i="37" a="1"/>
  <c r="T75" i="37" s="1"/>
  <c r="T543" i="37" a="1"/>
  <c r="T543" i="37" s="1"/>
  <c r="T117" i="37" a="1"/>
  <c r="T117" i="37" s="1"/>
  <c r="T546" i="37" a="1"/>
  <c r="T546" i="37" s="1"/>
  <c r="T99" i="37" a="1"/>
  <c r="T99" i="37" s="1"/>
  <c r="T67" i="37" a="1"/>
  <c r="T67" i="37" s="1"/>
  <c r="T100" i="37" a="1"/>
  <c r="T100" i="37" s="1"/>
  <c r="T68" i="37" a="1"/>
  <c r="T68" i="37" s="1"/>
  <c r="T64" i="37" a="1"/>
  <c r="T64" i="37" s="1"/>
  <c r="T101" i="37" a="1"/>
  <c r="T101" i="37" s="1"/>
  <c r="T65" i="37" a="1"/>
  <c r="T65" i="37" s="1"/>
  <c r="T92" i="37" a="1"/>
  <c r="T92" i="37" s="1"/>
  <c r="T49" i="37" a="1"/>
  <c r="T49" i="37" s="1"/>
  <c r="T185" i="37" a="1"/>
  <c r="T185" i="37" s="1"/>
  <c r="T163" i="37" a="1"/>
  <c r="T163" i="37" s="1"/>
  <c r="T76" i="37" a="1"/>
  <c r="T76" i="37" s="1"/>
  <c r="T87" i="37" a="1"/>
  <c r="T87" i="37" s="1"/>
  <c r="T82" i="37" a="1"/>
  <c r="T82" i="37" s="1"/>
  <c r="T88" i="37" a="1"/>
  <c r="T88" i="37" s="1"/>
  <c r="T554" i="37" a="1"/>
  <c r="T554" i="37" s="1"/>
  <c r="T93" i="37" a="1"/>
  <c r="T93" i="37" s="1"/>
  <c r="T118" i="37" a="1"/>
  <c r="T118" i="37" s="1"/>
  <c r="T83" i="37" a="1"/>
  <c r="T83" i="37" s="1"/>
  <c r="T164" i="37" a="1"/>
  <c r="T164" i="37" s="1"/>
  <c r="T119" i="37" a="1"/>
  <c r="T119" i="37" s="1"/>
  <c r="T549" i="37" a="1"/>
  <c r="T549" i="37" s="1"/>
  <c r="T50" i="37" a="1"/>
  <c r="T50" i="37" s="1"/>
  <c r="T120" i="37" a="1"/>
  <c r="T120" i="37" s="1"/>
  <c r="T121" i="37" a="1"/>
  <c r="T121" i="37" s="1"/>
  <c r="T84" i="37" a="1"/>
  <c r="T84" i="37" s="1"/>
  <c r="T165" i="37" a="1"/>
  <c r="T165" i="37" s="1"/>
  <c r="T206" i="37" a="1"/>
  <c r="T206" i="37" s="1"/>
  <c r="T89" i="37" a="1"/>
  <c r="T89" i="37" s="1"/>
  <c r="T574" i="37" a="1"/>
  <c r="T574" i="37" s="1"/>
  <c r="T166" i="37" a="1"/>
  <c r="T166" i="37" s="1"/>
  <c r="T167" i="37" a="1"/>
  <c r="T167" i="37" s="1"/>
  <c r="T77" i="37" a="1"/>
  <c r="T77" i="37" s="1"/>
  <c r="T123" i="37" a="1"/>
  <c r="T123" i="37" s="1"/>
  <c r="T122" i="37" a="1"/>
  <c r="T122" i="37" s="1"/>
  <c r="T575" i="37" a="1"/>
  <c r="T575" i="37" s="1"/>
  <c r="T96" i="37" a="1"/>
  <c r="T96" i="37" s="1"/>
  <c r="T186" i="37" a="1"/>
  <c r="T186" i="37" s="1"/>
  <c r="T176" i="37" a="1"/>
  <c r="T176" i="37" s="1"/>
  <c r="T151" i="37" a="1"/>
  <c r="T151" i="37" s="1"/>
  <c r="T97" i="37" a="1"/>
  <c r="T97" i="37" s="1"/>
  <c r="T274" i="37" a="1"/>
  <c r="T274" i="37" s="1"/>
  <c r="T545" i="37" a="1"/>
  <c r="T545" i="37" s="1"/>
  <c r="T187" i="37" a="1"/>
  <c r="T187" i="37" s="1"/>
  <c r="T207" i="37" a="1"/>
  <c r="T207" i="37" s="1"/>
  <c r="T9" i="37" a="1"/>
  <c r="T9" i="37" s="1"/>
  <c r="T570" i="37" a="1"/>
  <c r="T570" i="37" s="1"/>
  <c r="T296" i="37" a="1"/>
  <c r="T296" i="37" s="1"/>
  <c r="T102" i="37" a="1"/>
  <c r="T102" i="37" s="1"/>
  <c r="T66" i="37" a="1"/>
  <c r="T66" i="37" s="1"/>
  <c r="T177" i="37" a="1"/>
  <c r="T177" i="37" s="1"/>
  <c r="T297" i="37" a="1"/>
  <c r="T297" i="37" s="1"/>
  <c r="T576" i="37" a="1"/>
  <c r="T576" i="37" s="1"/>
  <c r="T156" i="37" a="1"/>
  <c r="T156" i="37" s="1"/>
  <c r="T188" i="37" a="1"/>
  <c r="T188" i="37" s="1"/>
  <c r="T189" i="37" a="1"/>
  <c r="T189" i="37" s="1"/>
  <c r="T103" i="37" a="1"/>
  <c r="T103" i="37" s="1"/>
  <c r="T190" i="37" a="1"/>
  <c r="T190" i="37" s="1"/>
  <c r="T152" i="37" a="1"/>
  <c r="T152" i="37" s="1"/>
  <c r="T208" i="37" a="1"/>
  <c r="T208" i="37" s="1"/>
  <c r="T209" i="37" a="1"/>
  <c r="T209" i="37" s="1"/>
  <c r="T210" i="37" a="1"/>
  <c r="T210" i="37" s="1"/>
  <c r="T596" i="37" a="1"/>
  <c r="T596" i="37" s="1"/>
  <c r="T168" i="37" a="1"/>
  <c r="T168" i="37" s="1"/>
  <c r="T568" i="37" a="1"/>
  <c r="T568" i="37" s="1"/>
  <c r="T124" i="37" a="1"/>
  <c r="T124" i="37" s="1"/>
  <c r="T571" i="37" a="1"/>
  <c r="T571" i="37" s="1"/>
  <c r="T175" i="37" a="1"/>
  <c r="T175" i="37" s="1"/>
  <c r="T211" i="37" a="1"/>
  <c r="T211" i="37" s="1"/>
  <c r="T104" i="37" a="1"/>
  <c r="T104" i="37" s="1"/>
  <c r="T125" i="37" a="1"/>
  <c r="T125" i="37" s="1"/>
  <c r="T105" i="37" a="1"/>
  <c r="T105" i="37" s="1"/>
  <c r="T126" i="37" a="1"/>
  <c r="T126" i="37" s="1"/>
  <c r="T548" i="37" a="1"/>
  <c r="T548" i="37" s="1"/>
  <c r="T191" i="37" a="1"/>
  <c r="T191" i="37" s="1"/>
  <c r="T563" i="37" a="1"/>
  <c r="T563" i="37" s="1"/>
  <c r="T213" i="37" a="1"/>
  <c r="T213" i="37" s="1"/>
  <c r="T298" i="37" a="1"/>
  <c r="T298" i="37" s="1"/>
  <c r="T106" i="37" a="1"/>
  <c r="T106" i="37" s="1"/>
  <c r="T212" i="37" a="1"/>
  <c r="T212" i="37" s="1"/>
  <c r="T564" i="37" a="1"/>
  <c r="T564" i="37" s="1"/>
  <c r="T577" i="37" a="1"/>
  <c r="T577" i="37" s="1"/>
  <c r="T107" i="37" a="1"/>
  <c r="T107" i="37" s="1"/>
  <c r="T157" i="37" a="1"/>
  <c r="T157" i="37" s="1"/>
  <c r="T214" i="37" a="1"/>
  <c r="T214" i="37" s="1"/>
  <c r="T158" i="37" a="1"/>
  <c r="T158" i="37" s="1"/>
  <c r="T578" i="37" a="1"/>
  <c r="T578" i="37" s="1"/>
  <c r="T215" i="37" a="1"/>
  <c r="T215" i="37" s="1"/>
  <c r="T155" i="37" a="1"/>
  <c r="T155" i="37" s="1"/>
  <c r="T216" i="37" a="1"/>
  <c r="T216" i="37" s="1"/>
  <c r="T217" i="37" a="1"/>
  <c r="T217" i="37" s="1"/>
  <c r="T127" i="37" a="1"/>
  <c r="T127" i="37" s="1"/>
  <c r="T90" i="37" a="1"/>
  <c r="T90" i="37" s="1"/>
  <c r="T153" i="37" a="1"/>
  <c r="T153" i="37" s="1"/>
  <c r="T128" i="37" a="1"/>
  <c r="T128" i="37" s="1"/>
  <c r="T299" i="37" a="1"/>
  <c r="T299" i="37" s="1"/>
  <c r="T192" i="37" a="1"/>
  <c r="T192" i="37" s="1"/>
  <c r="T129" i="37" a="1"/>
  <c r="T129" i="37" s="1"/>
  <c r="T565" i="37" a="1"/>
  <c r="T565" i="37" s="1"/>
  <c r="T130" i="37" a="1"/>
  <c r="T130" i="37" s="1"/>
  <c r="T218" i="37" a="1"/>
  <c r="T218" i="37" s="1"/>
  <c r="T131" i="37" a="1"/>
  <c r="T131" i="37" s="1"/>
  <c r="T154" i="37" a="1"/>
  <c r="T154" i="37" s="1"/>
  <c r="T555" i="37" a="1"/>
  <c r="T555" i="37" s="1"/>
  <c r="T579" i="37" a="1"/>
  <c r="T579" i="37" s="1"/>
  <c r="T132" i="37" a="1"/>
  <c r="T132" i="37" s="1"/>
  <c r="T580" i="37" a="1"/>
  <c r="T580" i="37" s="1"/>
  <c r="T219" i="37" a="1"/>
  <c r="T219" i="37" s="1"/>
  <c r="T133" i="37" a="1"/>
  <c r="T133" i="37" s="1"/>
  <c r="T134" i="37" a="1"/>
  <c r="T134" i="37" s="1"/>
  <c r="T599" i="37" a="1"/>
  <c r="T599" i="37" s="1"/>
  <c r="T220" i="37" a="1"/>
  <c r="T220" i="37" s="1"/>
  <c r="T221" i="37" a="1"/>
  <c r="T221" i="37" s="1"/>
  <c r="T59" i="37" a="1"/>
  <c r="T59" i="37" s="1"/>
  <c r="T222" i="37" a="1"/>
  <c r="T222" i="37" s="1"/>
  <c r="T223" i="37" a="1"/>
  <c r="T223" i="37" s="1"/>
  <c r="T275" i="37" a="1"/>
  <c r="T275" i="37" s="1"/>
  <c r="T51" i="37" a="1"/>
  <c r="T51" i="37" s="1"/>
  <c r="T224" i="37" a="1"/>
  <c r="T224" i="37" s="1"/>
  <c r="T78" i="37" a="1"/>
  <c r="T78" i="37" s="1"/>
  <c r="T225" i="37" a="1"/>
  <c r="T225" i="37" s="1"/>
  <c r="T35" i="37" a="1"/>
  <c r="T35" i="37" s="1"/>
  <c r="T226" i="37" a="1"/>
  <c r="T226" i="37" s="1"/>
  <c r="T169" i="37" a="1"/>
  <c r="T169" i="37" s="1"/>
  <c r="T170" i="37" a="1"/>
  <c r="T170" i="37" s="1"/>
  <c r="T557" i="37" a="1"/>
  <c r="T557" i="37" s="1"/>
  <c r="T361" i="37" a="1"/>
  <c r="T361" i="37" s="1"/>
  <c r="T558" i="37" a="1"/>
  <c r="T558" i="37" s="1"/>
  <c r="T227" i="37" a="1"/>
  <c r="T227" i="37" s="1"/>
  <c r="T556" i="37" a="1"/>
  <c r="T556" i="37" s="1"/>
  <c r="T228" i="37" a="1"/>
  <c r="T228" i="37" s="1"/>
  <c r="T171" i="37" a="1"/>
  <c r="T171" i="37" s="1"/>
  <c r="T178" i="37" a="1"/>
  <c r="T178" i="37" s="1"/>
  <c r="T595" i="37" a="1"/>
  <c r="T595" i="37" s="1"/>
  <c r="T193" i="37" a="1"/>
  <c r="T193" i="37" s="1"/>
  <c r="T69" i="37" a="1"/>
  <c r="T69" i="37" s="1"/>
  <c r="T179" i="37" a="1"/>
  <c r="T179" i="37" s="1"/>
  <c r="T135" i="37" a="1"/>
  <c r="T135" i="37" s="1"/>
  <c r="T108" i="37" a="1"/>
  <c r="T108" i="37" s="1"/>
  <c r="T300" i="37" a="1"/>
  <c r="T300" i="37" s="1"/>
  <c r="T98" i="37" a="1"/>
  <c r="T98" i="37" s="1"/>
  <c r="T159" i="37" a="1"/>
  <c r="T159" i="37" s="1"/>
  <c r="T597" i="37" a="1"/>
  <c r="T597" i="37" s="1"/>
  <c r="T560" i="37" a="1"/>
  <c r="T560" i="37" s="1"/>
  <c r="T79" i="37" a="1"/>
  <c r="T79" i="37" s="1"/>
  <c r="T279" i="37" a="1"/>
  <c r="T279" i="37" s="1"/>
  <c r="T569" i="37" a="1"/>
  <c r="T569" i="37" s="1"/>
  <c r="T229" i="37" a="1"/>
  <c r="T229" i="37" s="1"/>
  <c r="T230" i="37" a="1"/>
  <c r="T230" i="37" s="1"/>
  <c r="T301" i="37" a="1"/>
  <c r="T301" i="37" s="1"/>
  <c r="T437" i="37" a="1"/>
  <c r="T437" i="37" s="1"/>
  <c r="T160" i="37" a="1"/>
  <c r="T160" i="37" s="1"/>
  <c r="T280" i="37" a="1"/>
  <c r="T280" i="37" s="1"/>
  <c r="T302" i="37" a="1"/>
  <c r="T302" i="37" s="1"/>
  <c r="T231" i="37" a="1"/>
  <c r="T231" i="37" s="1"/>
  <c r="T303" i="37" a="1"/>
  <c r="T303" i="37" s="1"/>
  <c r="T304" i="37" a="1"/>
  <c r="T304" i="37" s="1"/>
  <c r="T305" i="37" a="1"/>
  <c r="T305" i="37" s="1"/>
  <c r="T194" i="37" a="1"/>
  <c r="T194" i="37" s="1"/>
  <c r="T265" i="37" a="1"/>
  <c r="T265" i="37" s="1"/>
  <c r="T306" i="37" a="1"/>
  <c r="T306" i="37" s="1"/>
  <c r="T232" i="37" a="1"/>
  <c r="T232" i="37" s="1"/>
  <c r="T195" i="37" a="1"/>
  <c r="T195" i="37" s="1"/>
  <c r="T598" i="37" a="1"/>
  <c r="T598" i="37" s="1"/>
  <c r="T281" i="37" a="1"/>
  <c r="T281" i="37" s="1"/>
  <c r="T600" i="37" a="1"/>
  <c r="T600" i="37" s="1"/>
  <c r="T80" i="37" a="1"/>
  <c r="T80" i="37" s="1"/>
  <c r="T270" i="37" a="1"/>
  <c r="T270" i="37" s="1"/>
  <c r="T180" i="37" a="1"/>
  <c r="T180" i="37" s="1"/>
  <c r="T307" i="37" a="1"/>
  <c r="T307" i="37" s="1"/>
  <c r="T267" i="37" a="1"/>
  <c r="T267" i="37" s="1"/>
  <c r="T196" i="37" a="1"/>
  <c r="T196" i="37" s="1"/>
  <c r="T269" i="37" a="1"/>
  <c r="T269" i="37" s="1"/>
  <c r="T198" i="37" a="1"/>
  <c r="T198" i="37" s="1"/>
  <c r="T282" i="37" a="1"/>
  <c r="T282" i="37" s="1"/>
  <c r="T308" i="37" a="1"/>
  <c r="T308" i="37" s="1"/>
  <c r="T471" i="37" a="1"/>
  <c r="T471" i="37" s="1"/>
  <c r="T283" i="37" a="1"/>
  <c r="T283" i="37" s="1"/>
  <c r="T161" i="37" a="1"/>
  <c r="T161" i="37" s="1"/>
  <c r="T581" i="37" a="1"/>
  <c r="T581" i="37" s="1"/>
  <c r="T234" i="37" a="1"/>
  <c r="T234" i="37" s="1"/>
  <c r="T233" i="37" a="1"/>
  <c r="T233" i="37" s="1"/>
  <c r="T235" i="37" a="1"/>
  <c r="T235" i="37" s="1"/>
  <c r="T268" i="37" a="1"/>
  <c r="T268" i="37" s="1"/>
  <c r="T199" i="37" a="1"/>
  <c r="T199" i="37" s="1"/>
  <c r="T236" i="37" a="1"/>
  <c r="T236" i="37" s="1"/>
  <c r="T582" i="37" a="1"/>
  <c r="T582" i="37" s="1"/>
  <c r="T237" i="37" a="1"/>
  <c r="T237" i="37" s="1"/>
  <c r="T238" i="37" a="1"/>
  <c r="T238" i="37" s="1"/>
  <c r="T583" i="37" a="1"/>
  <c r="T583" i="37" s="1"/>
  <c r="T172" i="37" a="1"/>
  <c r="T172" i="37" s="1"/>
  <c r="T239" i="37" a="1"/>
  <c r="T239" i="37" s="1"/>
  <c r="T363" i="37" a="1"/>
  <c r="T363" i="37" s="1"/>
  <c r="T364" i="37" a="1"/>
  <c r="T364" i="37" s="1"/>
  <c r="T362" i="37" a="1"/>
  <c r="T362" i="37" s="1"/>
  <c r="T594" i="37" a="1"/>
  <c r="T594" i="37" s="1"/>
  <c r="T612" i="37" a="1"/>
  <c r="T612" i="37" s="1"/>
  <c r="T266" i="37" a="1"/>
  <c r="T266" i="37" s="1"/>
  <c r="T309" i="37" a="1"/>
  <c r="T309" i="37" s="1"/>
  <c r="T365" i="37" a="1"/>
  <c r="T365" i="37" s="1"/>
  <c r="T240" i="37" a="1"/>
  <c r="T240" i="37" s="1"/>
  <c r="T91" i="37" a="1"/>
  <c r="T91" i="37" s="1"/>
  <c r="T613" i="37" a="1"/>
  <c r="T613" i="37" s="1"/>
  <c r="T551" i="37" a="1"/>
  <c r="T551" i="37" s="1"/>
  <c r="T271" i="37" a="1"/>
  <c r="T271" i="37" s="1"/>
  <c r="T584" i="37" a="1"/>
  <c r="T584" i="37" s="1"/>
  <c r="T52" i="37" a="1"/>
  <c r="T52" i="37" s="1"/>
  <c r="T366" i="37" a="1"/>
  <c r="T366" i="37" s="1"/>
  <c r="T241" i="37" a="1"/>
  <c r="T241" i="37" s="1"/>
  <c r="T614" i="37" a="1"/>
  <c r="T614" i="37" s="1"/>
  <c r="T367" i="37" a="1"/>
  <c r="T367" i="37" s="1"/>
  <c r="T544" i="37" a="1"/>
  <c r="T544" i="37" s="1"/>
  <c r="T136" i="37" a="1"/>
  <c r="T136" i="37" s="1"/>
  <c r="T585" i="37" a="1"/>
  <c r="T585" i="37" s="1"/>
  <c r="T371" i="37" a="1"/>
  <c r="T371" i="37" s="1"/>
  <c r="T369" i="37" a="1"/>
  <c r="T369" i="37" s="1"/>
  <c r="T615" i="37" a="1"/>
  <c r="T615" i="37" s="1"/>
  <c r="T368" i="37" a="1"/>
  <c r="T368" i="37" s="1"/>
  <c r="T370" i="37" a="1"/>
  <c r="T370" i="37" s="1"/>
  <c r="T242" i="37" a="1"/>
  <c r="T242" i="37" s="1"/>
  <c r="T244" i="37" a="1"/>
  <c r="T244" i="37" s="1"/>
  <c r="T372" i="37" a="1"/>
  <c r="T372" i="37" s="1"/>
  <c r="T566" i="37" a="1"/>
  <c r="T566" i="37" s="1"/>
  <c r="T243" i="37" a="1"/>
  <c r="T243" i="37" s="1"/>
  <c r="T407" i="37" a="1"/>
  <c r="T407" i="37" s="1"/>
  <c r="T8" i="37" a="1"/>
  <c r="T8" i="37" s="1"/>
  <c r="T310" i="37" a="1"/>
  <c r="T310" i="37" s="1"/>
  <c r="T385" i="37" a="1"/>
  <c r="T385" i="37" s="1"/>
  <c r="T94" i="37" a="1"/>
  <c r="T94" i="37" s="1"/>
  <c r="T55" i="37" a="1"/>
  <c r="T55" i="37" s="1"/>
  <c r="T258" i="37" a="1"/>
  <c r="T258" i="37" s="1"/>
  <c r="T137" i="37" a="1"/>
  <c r="T137" i="37" s="1"/>
  <c r="T54" i="37" a="1"/>
  <c r="T54" i="37" s="1"/>
  <c r="T418" i="37" a="1"/>
  <c r="T418" i="37" s="1"/>
  <c r="T174" i="37" a="1"/>
  <c r="T174" i="37" s="1"/>
  <c r="T311" i="37" a="1"/>
  <c r="T311" i="37" s="1"/>
  <c r="T416" i="37" a="1"/>
  <c r="T416" i="37" s="1"/>
  <c r="T312" i="37" a="1"/>
  <c r="T312" i="37" s="1"/>
  <c r="T145" i="37" a="1"/>
  <c r="T145" i="37" s="1"/>
  <c r="T278" i="37" a="1"/>
  <c r="T278" i="37" s="1"/>
  <c r="T181" i="37" a="1"/>
  <c r="T181" i="37" s="1"/>
  <c r="T375" i="37" a="1"/>
  <c r="T375" i="37" s="1"/>
  <c r="T146" i="37" a="1"/>
  <c r="T146" i="37" s="1"/>
  <c r="T388" i="37" a="1"/>
  <c r="T388" i="37" s="1"/>
  <c r="T419" i="37" a="1"/>
  <c r="T419" i="37" s="1"/>
  <c r="T60" i="37" a="1"/>
  <c r="T60" i="37" s="1"/>
  <c r="T81" i="37" a="1"/>
  <c r="T81" i="37" s="1"/>
  <c r="T149" i="37" a="1"/>
  <c r="T149" i="37" s="1"/>
  <c r="T246" i="37" a="1"/>
  <c r="T246" i="37" s="1"/>
  <c r="T590" i="37" a="1"/>
  <c r="T590" i="37" s="1"/>
  <c r="T254" i="37" a="1"/>
  <c r="T254" i="37" s="1"/>
  <c r="T373" i="37" a="1"/>
  <c r="T373" i="37" s="1"/>
  <c r="T376" i="37" a="1"/>
  <c r="T376" i="37" s="1"/>
  <c r="T378" i="37" a="1"/>
  <c r="T378" i="37" s="1"/>
  <c r="T410" i="37" a="1"/>
  <c r="T410" i="37" s="1"/>
  <c r="T409" i="37" a="1"/>
  <c r="T409" i="37" s="1"/>
  <c r="T420" i="37" a="1"/>
  <c r="T420" i="37" s="1"/>
  <c r="T248" i="37" a="1"/>
  <c r="T248" i="37" s="1"/>
  <c r="T247" i="37" a="1"/>
  <c r="T247" i="37" s="1"/>
  <c r="T259" i="37" a="1"/>
  <c r="T259" i="37" s="1"/>
  <c r="T402" i="37" a="1"/>
  <c r="T402" i="37" s="1"/>
  <c r="T415" i="37" a="1"/>
  <c r="T415" i="37" s="1"/>
  <c r="T417" i="37" a="1"/>
  <c r="T417" i="37" s="1"/>
  <c r="T53" i="37" a="1"/>
  <c r="T53" i="37" s="1"/>
  <c r="T140" i="37" a="1"/>
  <c r="T140" i="37" s="1"/>
  <c r="T142" i="37" a="1"/>
  <c r="T142" i="37" s="1"/>
  <c r="T109" i="37" a="1"/>
  <c r="T109" i="37" s="1"/>
  <c r="T313" i="37" a="1"/>
  <c r="T313" i="37" s="1"/>
  <c r="T314" i="37" a="1"/>
  <c r="T314" i="37" s="1"/>
  <c r="T601" i="37" a="1"/>
  <c r="T601" i="37" s="1"/>
  <c r="T315" i="37" a="1"/>
  <c r="T315" i="37" s="1"/>
  <c r="T618" i="37" a="1"/>
  <c r="T618" i="37" s="1"/>
  <c r="T143" i="37" a="1"/>
  <c r="T143" i="37" s="1"/>
  <c r="T622" i="37" a="1"/>
  <c r="T622" i="37" s="1"/>
  <c r="T316" i="37" a="1"/>
  <c r="T316" i="37" s="1"/>
  <c r="T552" i="37" a="1"/>
  <c r="T552" i="37" s="1"/>
  <c r="T317" i="37" a="1"/>
  <c r="T317" i="37" s="1"/>
  <c r="T182" i="37" a="1"/>
  <c r="T182" i="37" s="1"/>
  <c r="T200" i="37" a="1"/>
  <c r="T200" i="37" s="1"/>
  <c r="T284" i="37" a="1"/>
  <c r="T284" i="37" s="1"/>
  <c r="T427" i="37" a="1"/>
  <c r="T427" i="37" s="1"/>
  <c r="T147" i="37" a="1"/>
  <c r="T147" i="37" s="1"/>
  <c r="T173" i="37" a="1"/>
  <c r="T173" i="37" s="1"/>
  <c r="T318" i="37" a="1"/>
  <c r="T318" i="37" s="1"/>
  <c r="T435" i="37" a="1"/>
  <c r="T435" i="37" s="1"/>
  <c r="T285" i="37" a="1"/>
  <c r="T285" i="37" s="1"/>
  <c r="T602" i="37" a="1"/>
  <c r="T602" i="37" s="1"/>
  <c r="T319" i="37" a="1"/>
  <c r="T319" i="37" s="1"/>
  <c r="T148" i="37" a="1"/>
  <c r="T148" i="37" s="1"/>
  <c r="T320" i="37" a="1"/>
  <c r="T320" i="37" s="1"/>
  <c r="T321" i="37" a="1"/>
  <c r="T321" i="37" s="1"/>
  <c r="T150" i="37" a="1"/>
  <c r="T150" i="37" s="1"/>
  <c r="T322" i="37" a="1"/>
  <c r="T322" i="37" s="1"/>
  <c r="T323" i="37" a="1"/>
  <c r="T323" i="37" s="1"/>
  <c r="T621" i="37" a="1"/>
  <c r="T621" i="37" s="1"/>
  <c r="T424" i="37" a="1"/>
  <c r="T424" i="37" s="1"/>
  <c r="T201" i="37" a="1"/>
  <c r="T201" i="37" s="1"/>
  <c r="T440" i="37" a="1"/>
  <c r="T440" i="37" s="1"/>
  <c r="T110" i="37" a="1"/>
  <c r="T110" i="37" s="1"/>
  <c r="T286" i="37" a="1"/>
  <c r="T286" i="37" s="1"/>
  <c r="T325" i="37" a="1"/>
  <c r="T325" i="37" s="1"/>
  <c r="T423" i="37" a="1"/>
  <c r="T423" i="37" s="1"/>
  <c r="T431" i="37" a="1"/>
  <c r="T431" i="37" s="1"/>
  <c r="T421" i="37" a="1"/>
  <c r="T421" i="37" s="1"/>
  <c r="T245" i="37" a="1"/>
  <c r="T245" i="37" s="1"/>
  <c r="T434" i="37" a="1"/>
  <c r="T434" i="37" s="1"/>
  <c r="T324" i="37" a="1"/>
  <c r="T324" i="37" s="1"/>
  <c r="T572" i="37" a="1"/>
  <c r="T572" i="37" s="1"/>
  <c r="T202" i="37" a="1"/>
  <c r="T202" i="37" s="1"/>
  <c r="T588" i="37" a="1"/>
  <c r="T588" i="37" s="1"/>
  <c r="T603" i="37" a="1"/>
  <c r="T603" i="37" s="1"/>
  <c r="T619" i="37" a="1"/>
  <c r="T619" i="37" s="1"/>
  <c r="T250" i="37" a="1"/>
  <c r="T250" i="37" s="1"/>
  <c r="T441" i="37" a="1"/>
  <c r="T441" i="37" s="1"/>
  <c r="T438" i="37" a="1"/>
  <c r="T438" i="37" s="1"/>
  <c r="T327" i="37" a="1"/>
  <c r="T327" i="37" s="1"/>
  <c r="T426" i="37" a="1"/>
  <c r="T426" i="37" s="1"/>
  <c r="T287" i="37" a="1"/>
  <c r="T287" i="37" s="1"/>
  <c r="T95" i="37" a="1"/>
  <c r="T95" i="37" s="1"/>
  <c r="T326" i="37" a="1"/>
  <c r="T326" i="37" s="1"/>
  <c r="T249" i="37" a="1"/>
  <c r="T249" i="37" s="1"/>
  <c r="T425" i="37" a="1"/>
  <c r="T425" i="37" s="1"/>
  <c r="T604" i="37" a="1"/>
  <c r="T604" i="37" s="1"/>
  <c r="T162" i="37" a="1"/>
  <c r="T162" i="37" s="1"/>
  <c r="T276" i="37" a="1"/>
  <c r="T276" i="37" s="1"/>
  <c r="T328" i="37" a="1"/>
  <c r="T328" i="37" s="1"/>
  <c r="T472" i="37" a="1"/>
  <c r="T472" i="37" s="1"/>
  <c r="T272" i="37" a="1"/>
  <c r="T272" i="37" s="1"/>
  <c r="T255" i="37" a="1"/>
  <c r="T255" i="37" s="1"/>
  <c r="T277" i="37" a="1"/>
  <c r="T277" i="37" s="1"/>
  <c r="T442" i="37" a="1"/>
  <c r="T442" i="37" s="1"/>
  <c r="T591" i="37" a="1"/>
  <c r="T591" i="37" s="1"/>
  <c r="T592" i="37" a="1"/>
  <c r="T592" i="37" s="1"/>
  <c r="T329" i="37" a="1"/>
  <c r="T329" i="37" s="1"/>
  <c r="T473" i="37" a="1"/>
  <c r="T473" i="37" s="1"/>
  <c r="T474" i="37" a="1"/>
  <c r="T474" i="37" s="1"/>
  <c r="T428" i="37" a="1"/>
  <c r="T428" i="37" s="1"/>
  <c r="T330" i="37" a="1"/>
  <c r="T330" i="37" s="1"/>
  <c r="T257" i="37" a="1"/>
  <c r="T257" i="37" s="1"/>
  <c r="T429" i="37" a="1"/>
  <c r="T429" i="37" s="1"/>
  <c r="T263" i="37" a="1"/>
  <c r="T263" i="37" s="1"/>
  <c r="T444" i="37" a="1"/>
  <c r="T444" i="37" s="1"/>
  <c r="T430" i="37" a="1"/>
  <c r="T430" i="37" s="1"/>
  <c r="T432" i="37" a="1"/>
  <c r="T432" i="37" s="1"/>
  <c r="T260" i="37" a="1"/>
  <c r="T260" i="37" s="1"/>
  <c r="T261" i="37" a="1"/>
  <c r="T261" i="37" s="1"/>
  <c r="T262" i="37" a="1"/>
  <c r="T262" i="37" s="1"/>
  <c r="T331" i="37" a="1"/>
  <c r="T331" i="37" s="1"/>
  <c r="T374" i="37" a="1"/>
  <c r="T374" i="37" s="1"/>
  <c r="T332" i="37" a="1"/>
  <c r="T332" i="37" s="1"/>
  <c r="T377" i="37" a="1"/>
  <c r="T377" i="37" s="1"/>
  <c r="T203" i="37" a="1"/>
  <c r="T203" i="37" s="1"/>
  <c r="T111" i="37" a="1"/>
  <c r="T111" i="37" s="1"/>
  <c r="T379" i="37" a="1"/>
  <c r="T379" i="37" s="1"/>
  <c r="T333" i="37" a="1"/>
  <c r="T333" i="37" s="1"/>
  <c r="T334" i="37" a="1"/>
  <c r="T334" i="37" s="1"/>
  <c r="T443" i="37" a="1"/>
  <c r="T443" i="37" s="1"/>
  <c r="T459" i="37" a="1"/>
  <c r="T459" i="37" s="1"/>
  <c r="T289" i="37" a="1"/>
  <c r="T289" i="37" s="1"/>
  <c r="T475" i="37" a="1"/>
  <c r="T475" i="37" s="1"/>
  <c r="T335" i="37" a="1"/>
  <c r="T335" i="37" s="1"/>
  <c r="T112" i="37" a="1"/>
  <c r="T112" i="37" s="1"/>
  <c r="T422" i="37" a="1"/>
  <c r="T422" i="37" s="1"/>
  <c r="T381" i="37" a="1"/>
  <c r="T381" i="37" s="1"/>
  <c r="T605" i="37" a="1"/>
  <c r="T605" i="37" s="1"/>
  <c r="T616" i="37" a="1"/>
  <c r="T616" i="37" s="1"/>
  <c r="T383" i="37" a="1"/>
  <c r="T383" i="37" s="1"/>
  <c r="T183" i="37" a="1"/>
  <c r="T183" i="37" s="1"/>
  <c r="T433" i="37" a="1"/>
  <c r="T433" i="37" s="1"/>
  <c r="T336" i="37" a="1"/>
  <c r="T336" i="37" s="1"/>
  <c r="T337" i="37" a="1"/>
  <c r="T337" i="37" s="1"/>
  <c r="T386" i="37" a="1"/>
  <c r="T386" i="37" s="1"/>
  <c r="T338" i="37" a="1"/>
  <c r="T338" i="37" s="1"/>
  <c r="T617" i="37" a="1"/>
  <c r="T617" i="37" s="1"/>
  <c r="T389" i="37" a="1"/>
  <c r="T389" i="37" s="1"/>
  <c r="T606" i="37" a="1"/>
  <c r="T606" i="37" s="1"/>
  <c r="T204" i="37" a="1"/>
  <c r="T204" i="37" s="1"/>
  <c r="T291" i="37" a="1"/>
  <c r="T291" i="37" s="1"/>
  <c r="T390" i="37" a="1"/>
  <c r="T390" i="37" s="1"/>
  <c r="T394" i="37" a="1"/>
  <c r="T394" i="37" s="1"/>
  <c r="T398" i="37" a="1"/>
  <c r="T398" i="37" s="1"/>
  <c r="T400" i="37" a="1"/>
  <c r="T400" i="37" s="1"/>
  <c r="T476" i="37" a="1"/>
  <c r="T476" i="37" s="1"/>
  <c r="T399" i="37" a="1"/>
  <c r="T399" i="37" s="1"/>
  <c r="T403" i="37" a="1"/>
  <c r="T403" i="37" s="1"/>
  <c r="T477" i="37" a="1"/>
  <c r="T477" i="37" s="1"/>
  <c r="T408" i="37" a="1"/>
  <c r="T408" i="37" s="1"/>
  <c r="T439" i="37" a="1"/>
  <c r="T439" i="37" s="1"/>
  <c r="T573" i="37" a="1"/>
  <c r="T573" i="37" s="1"/>
  <c r="T413" i="37" a="1"/>
  <c r="T413" i="37" s="1"/>
  <c r="T607" i="37" a="1"/>
  <c r="T607" i="37" s="1"/>
  <c r="T412" i="37" a="1"/>
  <c r="T412" i="37" s="1"/>
  <c r="T113" i="37" a="1"/>
  <c r="T113" i="37" s="1"/>
  <c r="T414" i="37" a="1"/>
  <c r="T414" i="37" s="1"/>
  <c r="T411" i="37" a="1"/>
  <c r="T411" i="37" s="1"/>
  <c r="T138" i="37" a="1"/>
  <c r="T138" i="37" s="1"/>
  <c r="T139" i="37" a="1"/>
  <c r="T139" i="37" s="1"/>
  <c r="T339" i="37" a="1"/>
  <c r="T339" i="37" s="1"/>
  <c r="T478" i="37" a="1"/>
  <c r="T478" i="37" s="1"/>
  <c r="T141" i="37" a="1"/>
  <c r="T141" i="37" s="1"/>
  <c r="T479" i="37" a="1"/>
  <c r="T479" i="37" s="1"/>
  <c r="T340" i="37" a="1"/>
  <c r="T340" i="37" s="1"/>
  <c r="T144" i="37" a="1"/>
  <c r="T144" i="37" s="1"/>
  <c r="T567" i="37" a="1"/>
  <c r="T567" i="37" s="1"/>
  <c r="T586" i="37" a="1"/>
  <c r="T586" i="37" s="1"/>
  <c r="T587" i="37" a="1"/>
  <c r="T587" i="37" s="1"/>
  <c r="T589" i="37" a="1"/>
  <c r="T589" i="37" s="1"/>
  <c r="T625" i="37" a="1"/>
  <c r="T625" i="37" s="1"/>
  <c r="T480" i="37" a="1"/>
  <c r="T480" i="37" s="1"/>
  <c r="T342" i="37" a="1"/>
  <c r="T342" i="37" s="1"/>
  <c r="T253" i="37" a="1"/>
  <c r="T253" i="37" s="1"/>
  <c r="T341" i="37" a="1"/>
  <c r="T341" i="37" s="1"/>
  <c r="T252" i="37" a="1"/>
  <c r="T252" i="37" s="1"/>
  <c r="T482" i="37" a="1"/>
  <c r="T482" i="37" s="1"/>
  <c r="T481" i="37" a="1"/>
  <c r="T481" i="37" s="1"/>
  <c r="T343" i="37" a="1"/>
  <c r="T343" i="37" s="1"/>
  <c r="T251" i="37" a="1"/>
  <c r="T251" i="37" s="1"/>
  <c r="T256" i="37" a="1"/>
  <c r="T256" i="37" s="1"/>
  <c r="T264" i="37" a="1"/>
  <c r="T264" i="37" s="1"/>
  <c r="T593" i="37" a="1"/>
  <c r="T593" i="37" s="1"/>
  <c r="T345" i="37" a="1"/>
  <c r="T345" i="37" s="1"/>
  <c r="T484" i="37" a="1"/>
  <c r="T484" i="37" s="1"/>
  <c r="T483" i="37" a="1"/>
  <c r="T483" i="37" s="1"/>
  <c r="T344" i="37" a="1"/>
  <c r="T344" i="37" s="1"/>
  <c r="T458" i="37" a="1"/>
  <c r="T458" i="37" s="1"/>
  <c r="T486" i="37" a="1"/>
  <c r="T486" i="37" s="1"/>
  <c r="T485" i="37" a="1"/>
  <c r="T485" i="37" s="1"/>
  <c r="T626" i="37" a="1"/>
  <c r="T626" i="37" s="1"/>
  <c r="T346" i="37" a="1"/>
  <c r="T346" i="37" s="1"/>
  <c r="T628" i="37" a="1"/>
  <c r="T628" i="37" s="1"/>
  <c r="T380" i="37" a="1"/>
  <c r="T380" i="37" s="1"/>
  <c r="T382" i="37" a="1"/>
  <c r="T382" i="37" s="1"/>
  <c r="T627" i="37" a="1"/>
  <c r="T627" i="37" s="1"/>
  <c r="T384" i="37" a="1"/>
  <c r="T384" i="37" s="1"/>
  <c r="T387" i="37" a="1"/>
  <c r="T387" i="37" s="1"/>
  <c r="T391" i="37" a="1"/>
  <c r="T391" i="37" s="1"/>
  <c r="T392" i="37" a="1"/>
  <c r="T392" i="37" s="1"/>
  <c r="T393" i="37" a="1"/>
  <c r="T393" i="37" s="1"/>
  <c r="T397" i="37" a="1"/>
  <c r="T397" i="37" s="1"/>
  <c r="T396" i="37" a="1"/>
  <c r="T396" i="37" s="1"/>
  <c r="T401" i="37" a="1"/>
  <c r="T401" i="37" s="1"/>
  <c r="T405" i="37" a="1"/>
  <c r="T405" i="37" s="1"/>
  <c r="T404" i="37" a="1"/>
  <c r="T404" i="37" s="1"/>
  <c r="T406" i="37" a="1"/>
  <c r="T406" i="37" s="1"/>
  <c r="T487" i="37" a="1"/>
  <c r="T487" i="37" s="1"/>
  <c r="T506" i="37" a="1"/>
  <c r="T506" i="37" s="1"/>
  <c r="T620" i="37" a="1"/>
  <c r="T620" i="37" s="1"/>
  <c r="T466" i="37" a="1"/>
  <c r="T466" i="37" s="1"/>
  <c r="T550" i="37" a="1"/>
  <c r="T550" i="37" s="1"/>
  <c r="T498" i="37" a="1"/>
  <c r="T498" i="37" s="1"/>
  <c r="T521" i="37" a="1"/>
  <c r="T521" i="37" s="1"/>
  <c r="T445" i="37" a="1"/>
  <c r="T445" i="37" s="1"/>
  <c r="T184" i="37" a="1"/>
  <c r="T184" i="37" s="1"/>
  <c r="T348" i="37" a="1"/>
  <c r="T348" i="37" s="1"/>
  <c r="T357" i="37" a="1"/>
  <c r="T357" i="37" s="1"/>
  <c r="T640" i="37" a="1"/>
  <c r="T640" i="37" s="1"/>
  <c r="T469" i="37" a="1"/>
  <c r="T469" i="37" s="1"/>
  <c r="T510" i="37" a="1"/>
  <c r="T510" i="37" s="1"/>
  <c r="T511" i="37" a="1"/>
  <c r="T511" i="37" s="1"/>
  <c r="T528" i="37" a="1"/>
  <c r="T528" i="37" s="1"/>
  <c r="T347" i="37" a="1"/>
  <c r="T347" i="37" s="1"/>
  <c r="T436" i="37" a="1"/>
  <c r="T436" i="37" s="1"/>
  <c r="T517" i="37" a="1"/>
  <c r="T517" i="37" s="1"/>
  <c r="T493" i="37" a="1"/>
  <c r="T493" i="37" s="1"/>
  <c r="T467" i="37" a="1"/>
  <c r="T467" i="37" s="1"/>
  <c r="T293" i="37" a="1"/>
  <c r="T293" i="37" s="1"/>
  <c r="T452" i="37" a="1"/>
  <c r="T452" i="37" s="1"/>
  <c r="T358" i="37" a="1"/>
  <c r="T358" i="37" s="1"/>
  <c r="T455" i="37" a="1"/>
  <c r="T455" i="37" s="1"/>
  <c r="T522" i="37" a="1"/>
  <c r="T522" i="37" s="1"/>
  <c r="T351" i="37" a="1"/>
  <c r="T351" i="37" s="1"/>
  <c r="T610" i="37" a="1"/>
  <c r="T610" i="37" s="1"/>
  <c r="T463" i="37" a="1"/>
  <c r="T463" i="37" s="1"/>
  <c r="T490" i="37" a="1"/>
  <c r="T490" i="37" s="1"/>
  <c r="T500" i="37" a="1"/>
  <c r="T500" i="37" s="1"/>
  <c r="T499" i="37" a="1"/>
  <c r="T499" i="37" s="1"/>
  <c r="T523" i="37" a="1"/>
  <c r="T523" i="37" s="1"/>
  <c r="T470" i="37" a="1"/>
  <c r="T470" i="37" s="1"/>
  <c r="T273" i="37" a="1"/>
  <c r="T273" i="37" s="1"/>
  <c r="T489" i="37" a="1"/>
  <c r="T489" i="37" s="1"/>
  <c r="T488" i="37" a="1"/>
  <c r="T488" i="37" s="1"/>
  <c r="T288" i="37" a="1"/>
  <c r="T288" i="37" s="1"/>
  <c r="T292" i="37" a="1"/>
  <c r="T292" i="37" s="1"/>
  <c r="T491" i="37" a="1"/>
  <c r="T491" i="37" s="1"/>
  <c r="T448" i="37" a="1"/>
  <c r="T448" i="37" s="1"/>
  <c r="T494" i="37" a="1"/>
  <c r="T494" i="37" s="1"/>
  <c r="T451" i="37" a="1"/>
  <c r="T451" i="37" s="1"/>
  <c r="T512" i="37" a="1"/>
  <c r="T512" i="37" s="1"/>
  <c r="T525" i="37" a="1"/>
  <c r="T525" i="37" s="1"/>
  <c r="T527" i="37" a="1"/>
  <c r="T527" i="37" s="1"/>
  <c r="T524" i="37" a="1"/>
  <c r="T524" i="37" s="1"/>
  <c r="T639" i="37" a="1"/>
  <c r="T639" i="37" s="1"/>
  <c r="T356" i="37" a="1"/>
  <c r="T356" i="37" s="1"/>
  <c r="T453" i="37" a="1"/>
  <c r="T453" i="37" s="1"/>
  <c r="T460" i="37" a="1"/>
  <c r="T460" i="37" s="1"/>
  <c r="T290" i="37" a="1"/>
  <c r="T290" i="37" s="1"/>
  <c r="T611" i="37" a="1"/>
  <c r="T611" i="37" s="1"/>
  <c r="T492" i="37" a="1"/>
  <c r="T492" i="37" s="1"/>
  <c r="T495" i="37" a="1"/>
  <c r="T495" i="37" s="1"/>
  <c r="T294" i="37" a="1"/>
  <c r="T294" i="37" s="1"/>
  <c r="T496" i="37" a="1"/>
  <c r="T496" i="37" s="1"/>
  <c r="T497" i="37" a="1"/>
  <c r="T497" i="37" s="1"/>
  <c r="T502" i="37" a="1"/>
  <c r="T502" i="37" s="1"/>
  <c r="T446" i="37" a="1"/>
  <c r="T446" i="37" s="1"/>
  <c r="T503" i="37" a="1"/>
  <c r="T503" i="37" s="1"/>
  <c r="T449" i="37" a="1"/>
  <c r="T449" i="37" s="1"/>
  <c r="T631" i="37" a="1"/>
  <c r="T631" i="37" s="1"/>
  <c r="T504" i="37" a="1"/>
  <c r="T504" i="37" s="1"/>
  <c r="T630" i="37" a="1"/>
  <c r="T630" i="37" s="1"/>
  <c r="T629" i="37" a="1"/>
  <c r="T629" i="37" s="1"/>
  <c r="T623" i="37" a="1"/>
  <c r="T623" i="37" s="1"/>
  <c r="T501" i="37" a="1"/>
  <c r="T501" i="37" s="1"/>
  <c r="T505" i="37" a="1"/>
  <c r="T505" i="37" s="1"/>
  <c r="T508" i="37" a="1"/>
  <c r="T508" i="37" s="1"/>
  <c r="T509" i="37" a="1"/>
  <c r="T509" i="37" s="1"/>
  <c r="T513" i="37" a="1"/>
  <c r="T513" i="37" s="1"/>
  <c r="T632" i="37" a="1"/>
  <c r="T632" i="37" s="1"/>
  <c r="T514" i="37" a="1"/>
  <c r="T514" i="37" s="1"/>
  <c r="T515" i="37" a="1"/>
  <c r="T515" i="37" s="1"/>
  <c r="T519" i="37" a="1"/>
  <c r="T519" i="37" s="1"/>
  <c r="T518" i="37" a="1"/>
  <c r="T518" i="37" s="1"/>
  <c r="T520" i="37" a="1"/>
  <c r="T520" i="37" s="1"/>
  <c r="T114" i="37" a="1"/>
  <c r="T114" i="37" s="1"/>
  <c r="T205" i="37" a="1"/>
  <c r="T205" i="37" s="1"/>
  <c r="T349" i="37" a="1"/>
  <c r="T349" i="37" s="1"/>
  <c r="T350" i="37" a="1"/>
  <c r="T350" i="37" s="1"/>
  <c r="T608" i="37" a="1"/>
  <c r="T608" i="37" s="1"/>
  <c r="T609" i="37" a="1"/>
  <c r="T609" i="37" s="1"/>
  <c r="T352" i="37" a="1"/>
  <c r="T352" i="37" s="1"/>
  <c r="T355" i="37" a="1"/>
  <c r="T355" i="37" s="1"/>
  <c r="T353" i="37" a="1"/>
  <c r="T353" i="37" s="1"/>
  <c r="T468" i="37" a="1"/>
  <c r="T468" i="37" s="1"/>
  <c r="T354" i="37" a="1"/>
  <c r="T354" i="37" s="1"/>
  <c r="T295" i="37" a="1"/>
  <c r="T295" i="37" s="1"/>
  <c r="T447" i="37" a="1"/>
  <c r="T447" i="37" s="1"/>
  <c r="T450" i="37" a="1"/>
  <c r="T450" i="37" s="1"/>
  <c r="T454" i="37" a="1"/>
  <c r="T454" i="37" s="1"/>
  <c r="T359" i="37" a="1"/>
  <c r="T359" i="37" s="1"/>
  <c r="T456" i="37" a="1"/>
  <c r="T456" i="37" s="1"/>
  <c r="T457" i="37" a="1"/>
  <c r="T457" i="37" s="1"/>
  <c r="T360" i="37" a="1"/>
  <c r="T360" i="37" s="1"/>
  <c r="T462" i="37" a="1"/>
  <c r="T462" i="37" s="1"/>
  <c r="T461" i="37" a="1"/>
  <c r="T461" i="37" s="1"/>
  <c r="T633" i="37" a="1"/>
  <c r="T633" i="37" s="1"/>
  <c r="T464" i="37" a="1"/>
  <c r="T464" i="37" s="1"/>
  <c r="T624" i="37" a="1"/>
  <c r="T624" i="37" s="1"/>
  <c r="T465" i="37" a="1"/>
  <c r="T465" i="37" s="1"/>
  <c r="T516" i="37" a="1"/>
  <c r="T516" i="37" s="1"/>
  <c r="T634" i="37" a="1"/>
  <c r="T634" i="37" s="1"/>
  <c r="T635" i="37" a="1"/>
  <c r="T635" i="37" s="1"/>
  <c r="T638" i="37" a="1"/>
  <c r="T638" i="37" s="1"/>
  <c r="T637" i="37" a="1"/>
  <c r="T637" i="37" s="1"/>
  <c r="T636" i="37" a="1"/>
  <c r="T636" i="37" s="1"/>
  <c r="T529" i="37" a="1"/>
  <c r="T529" i="37" s="1"/>
  <c r="T530" i="37" a="1"/>
  <c r="T530" i="37" s="1"/>
  <c r="T531" i="37" a="1"/>
  <c r="T531" i="37" s="1"/>
  <c r="T532" i="37" a="1"/>
  <c r="T532" i="37" s="1"/>
  <c r="S2" i="37" a="1"/>
  <c r="S2" i="37" s="1"/>
  <c r="S3" i="37" a="1"/>
  <c r="S3" i="37" s="1"/>
  <c r="S10" i="37" a="1"/>
  <c r="S10" i="37" s="1"/>
  <c r="S534" i="37" a="1"/>
  <c r="S534" i="37" s="1"/>
  <c r="S533" i="37" a="1"/>
  <c r="S533" i="37" s="1"/>
  <c r="S6" i="37" a="1"/>
  <c r="S6" i="37" s="1"/>
  <c r="S5" i="37" a="1"/>
  <c r="S5" i="37" s="1"/>
  <c r="S11" i="37" a="1"/>
  <c r="S11" i="37" s="1"/>
  <c r="S4" i="37" a="1"/>
  <c r="S4" i="37" s="1"/>
  <c r="S23" i="37" a="1"/>
  <c r="S23" i="37" s="1"/>
  <c r="S7" i="37" a="1"/>
  <c r="S7" i="37" s="1"/>
  <c r="S13" i="37" a="1"/>
  <c r="S13" i="37" s="1"/>
  <c r="S24" i="37" a="1"/>
  <c r="S24" i="37" s="1"/>
  <c r="S36" i="37" a="1"/>
  <c r="S36" i="37" s="1"/>
  <c r="S25" i="37" a="1"/>
  <c r="S25" i="37" s="1"/>
  <c r="S37" i="37" a="1"/>
  <c r="S37" i="37" s="1"/>
  <c r="S20" i="37" a="1"/>
  <c r="S20" i="37" s="1"/>
  <c r="S14" i="37" a="1"/>
  <c r="S14" i="37" s="1"/>
  <c r="S15" i="37" a="1"/>
  <c r="S15" i="37" s="1"/>
  <c r="S19" i="37" a="1"/>
  <c r="S19" i="37" s="1"/>
  <c r="S22" i="37" a="1"/>
  <c r="S22" i="37" s="1"/>
  <c r="S26" i="37" a="1"/>
  <c r="S26" i="37" s="1"/>
  <c r="S537" i="37" a="1"/>
  <c r="S537" i="37" s="1"/>
  <c r="S27" i="37" a="1"/>
  <c r="S27" i="37" s="1"/>
  <c r="S21" i="37" a="1"/>
  <c r="S21" i="37" s="1"/>
  <c r="S38" i="37" a="1"/>
  <c r="S38" i="37" s="1"/>
  <c r="S538" i="37" a="1"/>
  <c r="S538" i="37" s="1"/>
  <c r="S28" i="37" a="1"/>
  <c r="S28" i="37" s="1"/>
  <c r="S16" i="37" a="1"/>
  <c r="S16" i="37" s="1"/>
  <c r="S39" i="37" a="1"/>
  <c r="S39" i="37" s="1"/>
  <c r="S40" i="37" a="1"/>
  <c r="S40" i="37" s="1"/>
  <c r="S29" i="37" a="1"/>
  <c r="S29" i="37" s="1"/>
  <c r="S41" i="37" a="1"/>
  <c r="S41" i="37" s="1"/>
  <c r="S33" i="37" a="1"/>
  <c r="S33" i="37" s="1"/>
  <c r="S42" i="37" a="1"/>
  <c r="S42" i="37" s="1"/>
  <c r="S539" i="37" a="1"/>
  <c r="S539" i="37" s="1"/>
  <c r="S85" i="37" a="1"/>
  <c r="S85" i="37" s="1"/>
  <c r="S43" i="37" a="1"/>
  <c r="S43" i="37" s="1"/>
  <c r="S44" i="37" a="1"/>
  <c r="S44" i="37" s="1"/>
  <c r="S535" i="37" a="1"/>
  <c r="S535" i="37" s="1"/>
  <c r="S45" i="37" a="1"/>
  <c r="S45" i="37" s="1"/>
  <c r="S17" i="37" a="1"/>
  <c r="S17" i="37" s="1"/>
  <c r="S70" i="37" a="1"/>
  <c r="S70" i="37" s="1"/>
  <c r="S30" i="37" a="1"/>
  <c r="S30" i="37" s="1"/>
  <c r="S18" i="37" a="1"/>
  <c r="S18" i="37" s="1"/>
  <c r="S62" i="37" a="1"/>
  <c r="S62" i="37" s="1"/>
  <c r="S57" i="37" a="1"/>
  <c r="S57" i="37" s="1"/>
  <c r="S46" i="37" a="1"/>
  <c r="S46" i="37" s="1"/>
  <c r="S61" i="37" a="1"/>
  <c r="S61" i="37" s="1"/>
  <c r="S71" i="37" a="1"/>
  <c r="S71" i="37" s="1"/>
  <c r="S31" i="37" a="1"/>
  <c r="S31" i="37" s="1"/>
  <c r="S541" i="37" a="1"/>
  <c r="S541" i="37" s="1"/>
  <c r="S56" i="37" a="1"/>
  <c r="S56" i="37" s="1"/>
  <c r="S536" i="37" a="1"/>
  <c r="S536" i="37" s="1"/>
  <c r="S47" i="37" a="1"/>
  <c r="S47" i="37" s="1"/>
  <c r="S86" i="37" a="1"/>
  <c r="S86" i="37" s="1"/>
  <c r="S72" i="37" a="1"/>
  <c r="S72" i="37" s="1"/>
  <c r="S48" i="37" a="1"/>
  <c r="S48" i="37" s="1"/>
  <c r="S547" i="37" a="1"/>
  <c r="S547" i="37" s="1"/>
  <c r="S115" i="37" a="1"/>
  <c r="S115" i="37" s="1"/>
  <c r="S562" i="37" a="1"/>
  <c r="S562" i="37" s="1"/>
  <c r="S58" i="37" a="1"/>
  <c r="S58" i="37" s="1"/>
  <c r="S63" i="37" a="1"/>
  <c r="S63" i="37" s="1"/>
  <c r="S34" i="37" a="1"/>
  <c r="S34" i="37" s="1"/>
  <c r="S540" i="37" a="1"/>
  <c r="S540" i="37" s="1"/>
  <c r="S116" i="37" a="1"/>
  <c r="S116" i="37" s="1"/>
  <c r="S12" i="37" a="1"/>
  <c r="S12" i="37" s="1"/>
  <c r="S32" i="37" a="1"/>
  <c r="S32" i="37" s="1"/>
  <c r="S73" i="37" a="1"/>
  <c r="S73" i="37" s="1"/>
  <c r="S74" i="37" a="1"/>
  <c r="S74" i="37" s="1"/>
  <c r="S542" i="37" a="1"/>
  <c r="S542" i="37" s="1"/>
  <c r="S75" i="37" a="1"/>
  <c r="S75" i="37" s="1"/>
  <c r="S543" i="37" a="1"/>
  <c r="S543" i="37" s="1"/>
  <c r="S117" i="37" a="1"/>
  <c r="S117" i="37" s="1"/>
  <c r="S546" i="37" a="1"/>
  <c r="S546" i="37" s="1"/>
  <c r="S99" i="37" a="1"/>
  <c r="S99" i="37" s="1"/>
  <c r="S67" i="37" a="1"/>
  <c r="S67" i="37" s="1"/>
  <c r="S100" i="37" a="1"/>
  <c r="S100" i="37" s="1"/>
  <c r="S68" i="37" a="1"/>
  <c r="S68" i="37" s="1"/>
  <c r="S64" i="37" a="1"/>
  <c r="S64" i="37" s="1"/>
  <c r="S101" i="37" a="1"/>
  <c r="S101" i="37" s="1"/>
  <c r="S65" i="37" a="1"/>
  <c r="S65" i="37" s="1"/>
  <c r="S92" i="37" a="1"/>
  <c r="S92" i="37" s="1"/>
  <c r="S49" i="37" a="1"/>
  <c r="S49" i="37" s="1"/>
  <c r="S185" i="37" a="1"/>
  <c r="S185" i="37" s="1"/>
  <c r="S163" i="37" a="1"/>
  <c r="S163" i="37" s="1"/>
  <c r="S76" i="37" a="1"/>
  <c r="S76" i="37" s="1"/>
  <c r="S87" i="37" a="1"/>
  <c r="S87" i="37" s="1"/>
  <c r="S82" i="37" a="1"/>
  <c r="S82" i="37" s="1"/>
  <c r="S88" i="37" a="1"/>
  <c r="S88" i="37" s="1"/>
  <c r="S554" i="37" a="1"/>
  <c r="S554" i="37" s="1"/>
  <c r="S93" i="37" a="1"/>
  <c r="S93" i="37" s="1"/>
  <c r="S118" i="37" a="1"/>
  <c r="S118" i="37" s="1"/>
  <c r="S83" i="37" a="1"/>
  <c r="S83" i="37" s="1"/>
  <c r="S164" i="37" a="1"/>
  <c r="S164" i="37" s="1"/>
  <c r="S119" i="37" a="1"/>
  <c r="S119" i="37" s="1"/>
  <c r="S549" i="37" a="1"/>
  <c r="S549" i="37" s="1"/>
  <c r="S50" i="37" a="1"/>
  <c r="S50" i="37" s="1"/>
  <c r="S120" i="37" a="1"/>
  <c r="S120" i="37" s="1"/>
  <c r="S121" i="37" a="1"/>
  <c r="S121" i="37" s="1"/>
  <c r="S84" i="37" a="1"/>
  <c r="S84" i="37" s="1"/>
  <c r="S165" i="37" a="1"/>
  <c r="S165" i="37" s="1"/>
  <c r="S206" i="37" a="1"/>
  <c r="S206" i="37" s="1"/>
  <c r="S89" i="37" a="1"/>
  <c r="S89" i="37" s="1"/>
  <c r="S574" i="37" a="1"/>
  <c r="S574" i="37" s="1"/>
  <c r="S166" i="37" a="1"/>
  <c r="S166" i="37" s="1"/>
  <c r="S167" i="37" a="1"/>
  <c r="S167" i="37" s="1"/>
  <c r="S77" i="37" a="1"/>
  <c r="S77" i="37" s="1"/>
  <c r="S123" i="37" a="1"/>
  <c r="S123" i="37" s="1"/>
  <c r="S122" i="37" a="1"/>
  <c r="S122" i="37" s="1"/>
  <c r="S575" i="37" a="1"/>
  <c r="S575" i="37" s="1"/>
  <c r="S96" i="37" a="1"/>
  <c r="S96" i="37" s="1"/>
  <c r="S186" i="37" a="1"/>
  <c r="S186" i="37" s="1"/>
  <c r="S176" i="37" a="1"/>
  <c r="S176" i="37" s="1"/>
  <c r="S151" i="37" a="1"/>
  <c r="S151" i="37" s="1"/>
  <c r="S97" i="37" a="1"/>
  <c r="S97" i="37" s="1"/>
  <c r="S274" i="37" a="1"/>
  <c r="S274" i="37" s="1"/>
  <c r="S545" i="37" a="1"/>
  <c r="S545" i="37" s="1"/>
  <c r="S187" i="37" a="1"/>
  <c r="S187" i="37" s="1"/>
  <c r="S207" i="37" a="1"/>
  <c r="S207" i="37" s="1"/>
  <c r="S9" i="37" a="1"/>
  <c r="S9" i="37" s="1"/>
  <c r="S570" i="37" a="1"/>
  <c r="S570" i="37" s="1"/>
  <c r="S296" i="37" a="1"/>
  <c r="S296" i="37" s="1"/>
  <c r="S102" i="37" a="1"/>
  <c r="S102" i="37" s="1"/>
  <c r="S66" i="37" a="1"/>
  <c r="S66" i="37" s="1"/>
  <c r="S177" i="37" a="1"/>
  <c r="S177" i="37" s="1"/>
  <c r="S297" i="37" a="1"/>
  <c r="S297" i="37" s="1"/>
  <c r="S576" i="37" a="1"/>
  <c r="S576" i="37" s="1"/>
  <c r="S156" i="37" a="1"/>
  <c r="S156" i="37" s="1"/>
  <c r="S188" i="37" a="1"/>
  <c r="S188" i="37" s="1"/>
  <c r="S189" i="37" a="1"/>
  <c r="S189" i="37" s="1"/>
  <c r="S103" i="37" a="1"/>
  <c r="S103" i="37" s="1"/>
  <c r="S190" i="37" a="1"/>
  <c r="S190" i="37" s="1"/>
  <c r="S152" i="37" a="1"/>
  <c r="S152" i="37" s="1"/>
  <c r="S208" i="37" a="1"/>
  <c r="S208" i="37" s="1"/>
  <c r="S209" i="37" a="1"/>
  <c r="S209" i="37" s="1"/>
  <c r="S210" i="37" a="1"/>
  <c r="S210" i="37" s="1"/>
  <c r="S596" i="37" a="1"/>
  <c r="S596" i="37" s="1"/>
  <c r="S168" i="37" a="1"/>
  <c r="S168" i="37" s="1"/>
  <c r="S568" i="37" a="1"/>
  <c r="S568" i="37" s="1"/>
  <c r="S124" i="37" a="1"/>
  <c r="S124" i="37" s="1"/>
  <c r="S571" i="37" a="1"/>
  <c r="S571" i="37" s="1"/>
  <c r="S175" i="37" a="1"/>
  <c r="S175" i="37" s="1"/>
  <c r="S211" i="37" a="1"/>
  <c r="S211" i="37" s="1"/>
  <c r="S104" i="37" a="1"/>
  <c r="S104" i="37" s="1"/>
  <c r="S125" i="37" a="1"/>
  <c r="S125" i="37" s="1"/>
  <c r="S105" i="37" a="1"/>
  <c r="S105" i="37" s="1"/>
  <c r="S126" i="37" a="1"/>
  <c r="S126" i="37" s="1"/>
  <c r="S548" i="37" a="1"/>
  <c r="S548" i="37" s="1"/>
  <c r="S191" i="37" a="1"/>
  <c r="S191" i="37" s="1"/>
  <c r="S563" i="37" a="1"/>
  <c r="S563" i="37" s="1"/>
  <c r="S213" i="37" a="1"/>
  <c r="S213" i="37" s="1"/>
  <c r="S298" i="37" a="1"/>
  <c r="S298" i="37" s="1"/>
  <c r="S106" i="37" a="1"/>
  <c r="S106" i="37" s="1"/>
  <c r="S212" i="37" a="1"/>
  <c r="S212" i="37" s="1"/>
  <c r="S564" i="37" a="1"/>
  <c r="S564" i="37" s="1"/>
  <c r="S577" i="37" a="1"/>
  <c r="S577" i="37" s="1"/>
  <c r="S107" i="37" a="1"/>
  <c r="S107" i="37" s="1"/>
  <c r="S157" i="37" a="1"/>
  <c r="S157" i="37" s="1"/>
  <c r="S214" i="37" a="1"/>
  <c r="S214" i="37" s="1"/>
  <c r="S158" i="37" a="1"/>
  <c r="S158" i="37" s="1"/>
  <c r="S578" i="37" a="1"/>
  <c r="S578" i="37" s="1"/>
  <c r="S215" i="37" a="1"/>
  <c r="S215" i="37" s="1"/>
  <c r="S155" i="37" a="1"/>
  <c r="S155" i="37" s="1"/>
  <c r="S216" i="37" a="1"/>
  <c r="S216" i="37" s="1"/>
  <c r="S217" i="37" a="1"/>
  <c r="S217" i="37" s="1"/>
  <c r="S127" i="37" a="1"/>
  <c r="S127" i="37" s="1"/>
  <c r="S90" i="37" a="1"/>
  <c r="S90" i="37" s="1"/>
  <c r="S153" i="37" a="1"/>
  <c r="S153" i="37" s="1"/>
  <c r="S128" i="37" a="1"/>
  <c r="S128" i="37" s="1"/>
  <c r="S299" i="37" a="1"/>
  <c r="S299" i="37" s="1"/>
  <c r="S192" i="37" a="1"/>
  <c r="S192" i="37" s="1"/>
  <c r="S129" i="37" a="1"/>
  <c r="S129" i="37" s="1"/>
  <c r="S565" i="37" a="1"/>
  <c r="S565" i="37" s="1"/>
  <c r="S130" i="37" a="1"/>
  <c r="S130" i="37" s="1"/>
  <c r="S218" i="37" a="1"/>
  <c r="S218" i="37" s="1"/>
  <c r="S131" i="37" a="1"/>
  <c r="S131" i="37" s="1"/>
  <c r="S154" i="37" a="1"/>
  <c r="S154" i="37" s="1"/>
  <c r="S555" i="37" a="1"/>
  <c r="S555" i="37" s="1"/>
  <c r="S579" i="37" a="1"/>
  <c r="S579" i="37" s="1"/>
  <c r="S132" i="37" a="1"/>
  <c r="S132" i="37" s="1"/>
  <c r="S580" i="37" a="1"/>
  <c r="S580" i="37" s="1"/>
  <c r="S219" i="37" a="1"/>
  <c r="S219" i="37" s="1"/>
  <c r="S133" i="37" a="1"/>
  <c r="S133" i="37" s="1"/>
  <c r="S134" i="37" a="1"/>
  <c r="S134" i="37" s="1"/>
  <c r="S599" i="37" a="1"/>
  <c r="S599" i="37" s="1"/>
  <c r="S220" i="37" a="1"/>
  <c r="S220" i="37" s="1"/>
  <c r="S221" i="37" a="1"/>
  <c r="S221" i="37" s="1"/>
  <c r="S59" i="37" a="1"/>
  <c r="S59" i="37" s="1"/>
  <c r="S222" i="37" a="1"/>
  <c r="S222" i="37" s="1"/>
  <c r="S223" i="37" a="1"/>
  <c r="S223" i="37" s="1"/>
  <c r="S275" i="37" a="1"/>
  <c r="S275" i="37" s="1"/>
  <c r="S51" i="37" a="1"/>
  <c r="S51" i="37" s="1"/>
  <c r="S224" i="37" a="1"/>
  <c r="S224" i="37" s="1"/>
  <c r="S78" i="37" a="1"/>
  <c r="S78" i="37" s="1"/>
  <c r="S225" i="37" a="1"/>
  <c r="S225" i="37" s="1"/>
  <c r="S35" i="37" a="1"/>
  <c r="S35" i="37" s="1"/>
  <c r="S226" i="37" a="1"/>
  <c r="S226" i="37" s="1"/>
  <c r="S169" i="37" a="1"/>
  <c r="S169" i="37" s="1"/>
  <c r="S170" i="37" a="1"/>
  <c r="S170" i="37" s="1"/>
  <c r="S557" i="37" a="1"/>
  <c r="S557" i="37" s="1"/>
  <c r="S361" i="37" a="1"/>
  <c r="S361" i="37" s="1"/>
  <c r="S558" i="37" a="1"/>
  <c r="S558" i="37" s="1"/>
  <c r="S227" i="37" a="1"/>
  <c r="S227" i="37" s="1"/>
  <c r="S556" i="37" a="1"/>
  <c r="S556" i="37" s="1"/>
  <c r="S228" i="37" a="1"/>
  <c r="S228" i="37" s="1"/>
  <c r="S171" i="37" a="1"/>
  <c r="S171" i="37" s="1"/>
  <c r="S178" i="37" a="1"/>
  <c r="S178" i="37" s="1"/>
  <c r="S595" i="37" a="1"/>
  <c r="S595" i="37" s="1"/>
  <c r="S193" i="37" a="1"/>
  <c r="S193" i="37" s="1"/>
  <c r="S69" i="37" a="1"/>
  <c r="S69" i="37" s="1"/>
  <c r="S179" i="37" a="1"/>
  <c r="S179" i="37" s="1"/>
  <c r="S135" i="37" a="1"/>
  <c r="S135" i="37" s="1"/>
  <c r="S108" i="37" a="1"/>
  <c r="S108" i="37" s="1"/>
  <c r="S300" i="37" a="1"/>
  <c r="S300" i="37" s="1"/>
  <c r="S98" i="37" a="1"/>
  <c r="S98" i="37" s="1"/>
  <c r="S159" i="37" a="1"/>
  <c r="S159" i="37" s="1"/>
  <c r="S597" i="37" a="1"/>
  <c r="S597" i="37" s="1"/>
  <c r="S560" i="37" a="1"/>
  <c r="S560" i="37" s="1"/>
  <c r="S79" i="37" a="1"/>
  <c r="S79" i="37" s="1"/>
  <c r="S279" i="37" a="1"/>
  <c r="S279" i="37" s="1"/>
  <c r="S569" i="37" a="1"/>
  <c r="S569" i="37" s="1"/>
  <c r="S229" i="37" a="1"/>
  <c r="S229" i="37" s="1"/>
  <c r="S230" i="37" a="1"/>
  <c r="S230" i="37" s="1"/>
  <c r="S301" i="37" a="1"/>
  <c r="S301" i="37" s="1"/>
  <c r="S437" i="37" a="1"/>
  <c r="S437" i="37" s="1"/>
  <c r="S160" i="37" a="1"/>
  <c r="S160" i="37" s="1"/>
  <c r="S280" i="37" a="1"/>
  <c r="S280" i="37" s="1"/>
  <c r="S302" i="37" a="1"/>
  <c r="S302" i="37" s="1"/>
  <c r="S231" i="37" a="1"/>
  <c r="S231" i="37" s="1"/>
  <c r="S303" i="37" a="1"/>
  <c r="S303" i="37" s="1"/>
  <c r="S304" i="37" a="1"/>
  <c r="S304" i="37" s="1"/>
  <c r="S305" i="37" a="1"/>
  <c r="S305" i="37" s="1"/>
  <c r="S194" i="37" a="1"/>
  <c r="S194" i="37" s="1"/>
  <c r="S265" i="37" a="1"/>
  <c r="S265" i="37" s="1"/>
  <c r="S306" i="37" a="1"/>
  <c r="S306" i="37" s="1"/>
  <c r="S232" i="37" a="1"/>
  <c r="S232" i="37" s="1"/>
  <c r="S195" i="37" a="1"/>
  <c r="S195" i="37" s="1"/>
  <c r="S598" i="37" a="1"/>
  <c r="S598" i="37" s="1"/>
  <c r="S281" i="37" a="1"/>
  <c r="S281" i="37" s="1"/>
  <c r="S600" i="37" a="1"/>
  <c r="S600" i="37" s="1"/>
  <c r="S80" i="37" a="1"/>
  <c r="S80" i="37" s="1"/>
  <c r="S270" i="37" a="1"/>
  <c r="S270" i="37" s="1"/>
  <c r="S180" i="37" a="1"/>
  <c r="S180" i="37" s="1"/>
  <c r="S307" i="37" a="1"/>
  <c r="S307" i="37" s="1"/>
  <c r="S267" i="37" a="1"/>
  <c r="S267" i="37" s="1"/>
  <c r="S196" i="37" a="1"/>
  <c r="S196" i="37" s="1"/>
  <c r="S269" i="37" a="1"/>
  <c r="S269" i="37" s="1"/>
  <c r="S198" i="37" a="1"/>
  <c r="S198" i="37" s="1"/>
  <c r="S282" i="37" a="1"/>
  <c r="S282" i="37" s="1"/>
  <c r="S308" i="37" a="1"/>
  <c r="S308" i="37" s="1"/>
  <c r="S471" i="37" a="1"/>
  <c r="S471" i="37" s="1"/>
  <c r="S283" i="37" a="1"/>
  <c r="S283" i="37" s="1"/>
  <c r="S161" i="37" a="1"/>
  <c r="S161" i="37" s="1"/>
  <c r="S581" i="37" a="1"/>
  <c r="S581" i="37" s="1"/>
  <c r="S234" i="37" a="1"/>
  <c r="S234" i="37" s="1"/>
  <c r="S233" i="37" a="1"/>
  <c r="S233" i="37" s="1"/>
  <c r="S235" i="37" a="1"/>
  <c r="S235" i="37" s="1"/>
  <c r="S268" i="37" a="1"/>
  <c r="S268" i="37" s="1"/>
  <c r="S199" i="37" a="1"/>
  <c r="S199" i="37" s="1"/>
  <c r="S236" i="37" a="1"/>
  <c r="S236" i="37" s="1"/>
  <c r="S582" i="37" a="1"/>
  <c r="S582" i="37" s="1"/>
  <c r="S237" i="37" a="1"/>
  <c r="S237" i="37" s="1"/>
  <c r="S238" i="37" a="1"/>
  <c r="S238" i="37" s="1"/>
  <c r="S583" i="37" a="1"/>
  <c r="S583" i="37" s="1"/>
  <c r="S172" i="37" a="1"/>
  <c r="S172" i="37" s="1"/>
  <c r="S239" i="37" a="1"/>
  <c r="S239" i="37" s="1"/>
  <c r="S363" i="37" a="1"/>
  <c r="S363" i="37" s="1"/>
  <c r="S364" i="37" a="1"/>
  <c r="S364" i="37" s="1"/>
  <c r="S362" i="37" a="1"/>
  <c r="S362" i="37" s="1"/>
  <c r="S594" i="37" a="1"/>
  <c r="S594" i="37" s="1"/>
  <c r="S612" i="37" a="1"/>
  <c r="S612" i="37" s="1"/>
  <c r="S266" i="37" a="1"/>
  <c r="S266" i="37" s="1"/>
  <c r="S309" i="37" a="1"/>
  <c r="S309" i="37" s="1"/>
  <c r="S365" i="37" a="1"/>
  <c r="S365" i="37" s="1"/>
  <c r="S240" i="37" a="1"/>
  <c r="S240" i="37" s="1"/>
  <c r="S91" i="37" a="1"/>
  <c r="S91" i="37" s="1"/>
  <c r="S613" i="37" a="1"/>
  <c r="S613" i="37" s="1"/>
  <c r="S551" i="37" a="1"/>
  <c r="S551" i="37" s="1"/>
  <c r="S271" i="37" a="1"/>
  <c r="S271" i="37" s="1"/>
  <c r="S584" i="37" a="1"/>
  <c r="S584" i="37" s="1"/>
  <c r="S52" i="37" a="1"/>
  <c r="S52" i="37" s="1"/>
  <c r="S366" i="37" a="1"/>
  <c r="S366" i="37" s="1"/>
  <c r="S241" i="37" a="1"/>
  <c r="S241" i="37" s="1"/>
  <c r="S614" i="37" a="1"/>
  <c r="S614" i="37" s="1"/>
  <c r="S367" i="37" a="1"/>
  <c r="S367" i="37" s="1"/>
  <c r="S544" i="37" a="1"/>
  <c r="S544" i="37" s="1"/>
  <c r="S136" i="37" a="1"/>
  <c r="S136" i="37" s="1"/>
  <c r="S585" i="37" a="1"/>
  <c r="S585" i="37" s="1"/>
  <c r="S371" i="37" a="1"/>
  <c r="S371" i="37" s="1"/>
  <c r="S369" i="37" a="1"/>
  <c r="S369" i="37" s="1"/>
  <c r="S615" i="37" a="1"/>
  <c r="S615" i="37" s="1"/>
  <c r="S368" i="37" a="1"/>
  <c r="S368" i="37" s="1"/>
  <c r="S370" i="37" a="1"/>
  <c r="S370" i="37" s="1"/>
  <c r="S242" i="37" a="1"/>
  <c r="S242" i="37" s="1"/>
  <c r="S244" i="37" a="1"/>
  <c r="S244" i="37" s="1"/>
  <c r="S372" i="37" a="1"/>
  <c r="S372" i="37" s="1"/>
  <c r="S566" i="37" a="1"/>
  <c r="S566" i="37" s="1"/>
  <c r="S243" i="37" a="1"/>
  <c r="S243" i="37" s="1"/>
  <c r="S407" i="37" a="1"/>
  <c r="S407" i="37" s="1"/>
  <c r="S8" i="37" a="1"/>
  <c r="S8" i="37" s="1"/>
  <c r="S310" i="37" a="1"/>
  <c r="S310" i="37" s="1"/>
  <c r="S385" i="37" a="1"/>
  <c r="S385" i="37" s="1"/>
  <c r="S94" i="37" a="1"/>
  <c r="S94" i="37" s="1"/>
  <c r="S55" i="37" a="1"/>
  <c r="S55" i="37" s="1"/>
  <c r="S258" i="37" a="1"/>
  <c r="S258" i="37" s="1"/>
  <c r="S137" i="37" a="1"/>
  <c r="S137" i="37" s="1"/>
  <c r="S54" i="37" a="1"/>
  <c r="S54" i="37" s="1"/>
  <c r="S418" i="37" a="1"/>
  <c r="S418" i="37" s="1"/>
  <c r="S174" i="37" a="1"/>
  <c r="S174" i="37" s="1"/>
  <c r="S311" i="37" a="1"/>
  <c r="S311" i="37" s="1"/>
  <c r="S416" i="37" a="1"/>
  <c r="S416" i="37" s="1"/>
  <c r="S312" i="37" a="1"/>
  <c r="S312" i="37" s="1"/>
  <c r="S145" i="37" a="1"/>
  <c r="S145" i="37" s="1"/>
  <c r="S278" i="37" a="1"/>
  <c r="S278" i="37" s="1"/>
  <c r="S181" i="37" a="1"/>
  <c r="S181" i="37" s="1"/>
  <c r="S375" i="37" a="1"/>
  <c r="S375" i="37" s="1"/>
  <c r="S146" i="37" a="1"/>
  <c r="S146" i="37" s="1"/>
  <c r="S388" i="37" a="1"/>
  <c r="S388" i="37" s="1"/>
  <c r="S419" i="37" a="1"/>
  <c r="S419" i="37" s="1"/>
  <c r="S60" i="37" a="1"/>
  <c r="S60" i="37" s="1"/>
  <c r="S81" i="37" a="1"/>
  <c r="S81" i="37" s="1"/>
  <c r="S149" i="37" a="1"/>
  <c r="S149" i="37" s="1"/>
  <c r="S246" i="37" a="1"/>
  <c r="S246" i="37" s="1"/>
  <c r="S590" i="37" a="1"/>
  <c r="S590" i="37" s="1"/>
  <c r="S254" i="37" a="1"/>
  <c r="S254" i="37" s="1"/>
  <c r="S373" i="37" a="1"/>
  <c r="S373" i="37" s="1"/>
  <c r="S376" i="37" a="1"/>
  <c r="S376" i="37" s="1"/>
  <c r="S378" i="37" a="1"/>
  <c r="S378" i="37" s="1"/>
  <c r="S410" i="37" a="1"/>
  <c r="S410" i="37" s="1"/>
  <c r="S409" i="37" a="1"/>
  <c r="S409" i="37" s="1"/>
  <c r="S420" i="37" a="1"/>
  <c r="S420" i="37" s="1"/>
  <c r="S248" i="37" a="1"/>
  <c r="S248" i="37" s="1"/>
  <c r="S247" i="37" a="1"/>
  <c r="S247" i="37" s="1"/>
  <c r="S259" i="37" a="1"/>
  <c r="S259" i="37" s="1"/>
  <c r="S402" i="37" a="1"/>
  <c r="S402" i="37" s="1"/>
  <c r="S415" i="37" a="1"/>
  <c r="S415" i="37" s="1"/>
  <c r="S417" i="37" a="1"/>
  <c r="S417" i="37" s="1"/>
  <c r="S53" i="37" a="1"/>
  <c r="S53" i="37" s="1"/>
  <c r="S140" i="37" a="1"/>
  <c r="S140" i="37" s="1"/>
  <c r="S142" i="37" a="1"/>
  <c r="S142" i="37" s="1"/>
  <c r="S109" i="37" a="1"/>
  <c r="S109" i="37" s="1"/>
  <c r="S313" i="37" a="1"/>
  <c r="S313" i="37" s="1"/>
  <c r="S314" i="37" a="1"/>
  <c r="S314" i="37" s="1"/>
  <c r="S601" i="37" a="1"/>
  <c r="S601" i="37" s="1"/>
  <c r="S315" i="37" a="1"/>
  <c r="S315" i="37" s="1"/>
  <c r="S618" i="37" a="1"/>
  <c r="S618" i="37" s="1"/>
  <c r="S143" i="37" a="1"/>
  <c r="S143" i="37" s="1"/>
  <c r="S622" i="37" a="1"/>
  <c r="S622" i="37" s="1"/>
  <c r="S316" i="37" a="1"/>
  <c r="S316" i="37" s="1"/>
  <c r="S552" i="37" a="1"/>
  <c r="S552" i="37" s="1"/>
  <c r="S317" i="37" a="1"/>
  <c r="S317" i="37" s="1"/>
  <c r="S182" i="37" a="1"/>
  <c r="S182" i="37" s="1"/>
  <c r="S200" i="37" a="1"/>
  <c r="S200" i="37" s="1"/>
  <c r="S284" i="37" a="1"/>
  <c r="S284" i="37" s="1"/>
  <c r="S427" i="37" a="1"/>
  <c r="S427" i="37" s="1"/>
  <c r="S147" i="37" a="1"/>
  <c r="S147" i="37" s="1"/>
  <c r="S173" i="37" a="1"/>
  <c r="S173" i="37" s="1"/>
  <c r="S318" i="37" a="1"/>
  <c r="S318" i="37" s="1"/>
  <c r="S435" i="37" a="1"/>
  <c r="S435" i="37" s="1"/>
  <c r="S285" i="37" a="1"/>
  <c r="S285" i="37" s="1"/>
  <c r="S602" i="37" a="1"/>
  <c r="S602" i="37" s="1"/>
  <c r="S319" i="37" a="1"/>
  <c r="S319" i="37" s="1"/>
  <c r="S148" i="37" a="1"/>
  <c r="S148" i="37" s="1"/>
  <c r="S320" i="37" a="1"/>
  <c r="S320" i="37" s="1"/>
  <c r="S321" i="37" a="1"/>
  <c r="S321" i="37" s="1"/>
  <c r="S150" i="37" a="1"/>
  <c r="S150" i="37" s="1"/>
  <c r="S322" i="37" a="1"/>
  <c r="S322" i="37" s="1"/>
  <c r="S323" i="37" a="1"/>
  <c r="S323" i="37" s="1"/>
  <c r="S621" i="37" a="1"/>
  <c r="S621" i="37" s="1"/>
  <c r="S424" i="37" a="1"/>
  <c r="S424" i="37" s="1"/>
  <c r="S201" i="37" a="1"/>
  <c r="S201" i="37" s="1"/>
  <c r="S440" i="37" a="1"/>
  <c r="S440" i="37" s="1"/>
  <c r="S110" i="37" a="1"/>
  <c r="S110" i="37" s="1"/>
  <c r="S286" i="37" a="1"/>
  <c r="S286" i="37" s="1"/>
  <c r="S325" i="37" a="1"/>
  <c r="S325" i="37" s="1"/>
  <c r="S423" i="37" a="1"/>
  <c r="S423" i="37" s="1"/>
  <c r="S431" i="37" a="1"/>
  <c r="S431" i="37" s="1"/>
  <c r="S421" i="37" a="1"/>
  <c r="S421" i="37" s="1"/>
  <c r="S245" i="37" a="1"/>
  <c r="S245" i="37" s="1"/>
  <c r="S434" i="37" a="1"/>
  <c r="S434" i="37" s="1"/>
  <c r="S324" i="37" a="1"/>
  <c r="S324" i="37" s="1"/>
  <c r="S572" i="37" a="1"/>
  <c r="S572" i="37" s="1"/>
  <c r="S202" i="37" a="1"/>
  <c r="S202" i="37" s="1"/>
  <c r="S588" i="37" a="1"/>
  <c r="S588" i="37" s="1"/>
  <c r="S603" i="37" a="1"/>
  <c r="S603" i="37" s="1"/>
  <c r="S619" i="37" a="1"/>
  <c r="S619" i="37" s="1"/>
  <c r="S250" i="37" a="1"/>
  <c r="S250" i="37" s="1"/>
  <c r="S441" i="37" a="1"/>
  <c r="S441" i="37" s="1"/>
  <c r="S438" i="37" a="1"/>
  <c r="S438" i="37" s="1"/>
  <c r="S327" i="37" a="1"/>
  <c r="S327" i="37" s="1"/>
  <c r="S426" i="37" a="1"/>
  <c r="S426" i="37" s="1"/>
  <c r="S287" i="37" a="1"/>
  <c r="S287" i="37" s="1"/>
  <c r="S95" i="37" a="1"/>
  <c r="S95" i="37" s="1"/>
  <c r="S326" i="37" a="1"/>
  <c r="S326" i="37" s="1"/>
  <c r="S249" i="37" a="1"/>
  <c r="S249" i="37" s="1"/>
  <c r="S425" i="37" a="1"/>
  <c r="S425" i="37" s="1"/>
  <c r="S604" i="37" a="1"/>
  <c r="S604" i="37" s="1"/>
  <c r="S162" i="37" a="1"/>
  <c r="S162" i="37" s="1"/>
  <c r="S276" i="37" a="1"/>
  <c r="S276" i="37" s="1"/>
  <c r="S328" i="37" a="1"/>
  <c r="S328" i="37" s="1"/>
  <c r="S472" i="37" a="1"/>
  <c r="S472" i="37" s="1"/>
  <c r="S272" i="37" a="1"/>
  <c r="S272" i="37" s="1"/>
  <c r="S255" i="37" a="1"/>
  <c r="S255" i="37" s="1"/>
  <c r="S277" i="37" a="1"/>
  <c r="S277" i="37" s="1"/>
  <c r="S442" i="37" a="1"/>
  <c r="S442" i="37" s="1"/>
  <c r="S591" i="37" a="1"/>
  <c r="S591" i="37" s="1"/>
  <c r="S592" i="37" a="1"/>
  <c r="S592" i="37" s="1"/>
  <c r="S329" i="37" a="1"/>
  <c r="S329" i="37" s="1"/>
  <c r="S473" i="37" a="1"/>
  <c r="S473" i="37" s="1"/>
  <c r="S474" i="37" a="1"/>
  <c r="S474" i="37" s="1"/>
  <c r="S428" i="37" a="1"/>
  <c r="S428" i="37" s="1"/>
  <c r="S330" i="37" a="1"/>
  <c r="S330" i="37" s="1"/>
  <c r="S257" i="37" a="1"/>
  <c r="S257" i="37" s="1"/>
  <c r="S429" i="37" a="1"/>
  <c r="S429" i="37" s="1"/>
  <c r="S263" i="37" a="1"/>
  <c r="S263" i="37" s="1"/>
  <c r="S444" i="37" a="1"/>
  <c r="S444" i="37" s="1"/>
  <c r="S430" i="37" a="1"/>
  <c r="S430" i="37" s="1"/>
  <c r="S432" i="37" a="1"/>
  <c r="S432" i="37" s="1"/>
  <c r="S260" i="37" a="1"/>
  <c r="S260" i="37" s="1"/>
  <c r="S261" i="37" a="1"/>
  <c r="S261" i="37" s="1"/>
  <c r="S262" i="37" a="1"/>
  <c r="S262" i="37" s="1"/>
  <c r="S331" i="37" a="1"/>
  <c r="S331" i="37" s="1"/>
  <c r="S374" i="37" a="1"/>
  <c r="S374" i="37" s="1"/>
  <c r="S332" i="37" a="1"/>
  <c r="S332" i="37" s="1"/>
  <c r="S377" i="37" a="1"/>
  <c r="S377" i="37" s="1"/>
  <c r="S203" i="37" a="1"/>
  <c r="S203" i="37" s="1"/>
  <c r="S111" i="37" a="1"/>
  <c r="S111" i="37" s="1"/>
  <c r="S379" i="37" a="1"/>
  <c r="S379" i="37" s="1"/>
  <c r="S333" i="37" a="1"/>
  <c r="S333" i="37" s="1"/>
  <c r="S334" i="37" a="1"/>
  <c r="S334" i="37" s="1"/>
  <c r="S443" i="37" a="1"/>
  <c r="S443" i="37" s="1"/>
  <c r="S459" i="37" a="1"/>
  <c r="S459" i="37" s="1"/>
  <c r="S289" i="37" a="1"/>
  <c r="S289" i="37" s="1"/>
  <c r="S475" i="37" a="1"/>
  <c r="S475" i="37" s="1"/>
  <c r="S335" i="37" a="1"/>
  <c r="S335" i="37" s="1"/>
  <c r="S112" i="37" a="1"/>
  <c r="S112" i="37" s="1"/>
  <c r="S422" i="37" a="1"/>
  <c r="S422" i="37" s="1"/>
  <c r="S381" i="37" a="1"/>
  <c r="S381" i="37" s="1"/>
  <c r="S605" i="37" a="1"/>
  <c r="S605" i="37" s="1"/>
  <c r="S616" i="37" a="1"/>
  <c r="S616" i="37" s="1"/>
  <c r="S383" i="37" a="1"/>
  <c r="S383" i="37" s="1"/>
  <c r="S183" i="37" a="1"/>
  <c r="S183" i="37" s="1"/>
  <c r="S433" i="37" a="1"/>
  <c r="S433" i="37" s="1"/>
  <c r="S336" i="37" a="1"/>
  <c r="S336" i="37" s="1"/>
  <c r="S337" i="37" a="1"/>
  <c r="S337" i="37" s="1"/>
  <c r="S386" i="37" a="1"/>
  <c r="S386" i="37" s="1"/>
  <c r="S338" i="37" a="1"/>
  <c r="S338" i="37" s="1"/>
  <c r="S617" i="37" a="1"/>
  <c r="S617" i="37" s="1"/>
  <c r="S389" i="37" a="1"/>
  <c r="S389" i="37" s="1"/>
  <c r="S606" i="37" a="1"/>
  <c r="S606" i="37" s="1"/>
  <c r="S204" i="37" a="1"/>
  <c r="S204" i="37" s="1"/>
  <c r="S291" i="37" a="1"/>
  <c r="S291" i="37" s="1"/>
  <c r="S390" i="37" a="1"/>
  <c r="S390" i="37" s="1"/>
  <c r="S394" i="37" a="1"/>
  <c r="S394" i="37" s="1"/>
  <c r="S398" i="37" a="1"/>
  <c r="S398" i="37" s="1"/>
  <c r="S400" i="37" a="1"/>
  <c r="S400" i="37" s="1"/>
  <c r="S476" i="37" a="1"/>
  <c r="S476" i="37" s="1"/>
  <c r="S399" i="37" a="1"/>
  <c r="S399" i="37" s="1"/>
  <c r="S403" i="37" a="1"/>
  <c r="S403" i="37" s="1"/>
  <c r="S477" i="37" a="1"/>
  <c r="S477" i="37" s="1"/>
  <c r="S408" i="37" a="1"/>
  <c r="S408" i="37" s="1"/>
  <c r="S439" i="37" a="1"/>
  <c r="S439" i="37" s="1"/>
  <c r="S573" i="37" a="1"/>
  <c r="S573" i="37" s="1"/>
  <c r="S413" i="37" a="1"/>
  <c r="S413" i="37" s="1"/>
  <c r="S607" i="37" a="1"/>
  <c r="S607" i="37" s="1"/>
  <c r="S412" i="37" a="1"/>
  <c r="S412" i="37" s="1"/>
  <c r="S113" i="37" a="1"/>
  <c r="S113" i="37" s="1"/>
  <c r="S414" i="37" a="1"/>
  <c r="S414" i="37" s="1"/>
  <c r="S411" i="37" a="1"/>
  <c r="S411" i="37" s="1"/>
  <c r="S138" i="37" a="1"/>
  <c r="S138" i="37" s="1"/>
  <c r="S139" i="37" a="1"/>
  <c r="S139" i="37" s="1"/>
  <c r="S339" i="37" a="1"/>
  <c r="S339" i="37" s="1"/>
  <c r="S478" i="37" a="1"/>
  <c r="S478" i="37" s="1"/>
  <c r="S141" i="37" a="1"/>
  <c r="S141" i="37" s="1"/>
  <c r="S479" i="37" a="1"/>
  <c r="S479" i="37" s="1"/>
  <c r="S340" i="37" a="1"/>
  <c r="S340" i="37" s="1"/>
  <c r="S144" i="37" a="1"/>
  <c r="S144" i="37" s="1"/>
  <c r="S567" i="37" a="1"/>
  <c r="S567" i="37" s="1"/>
  <c r="S586" i="37" a="1"/>
  <c r="S586" i="37" s="1"/>
  <c r="S587" i="37" a="1"/>
  <c r="S587" i="37" s="1"/>
  <c r="S589" i="37" a="1"/>
  <c r="S589" i="37" s="1"/>
  <c r="S625" i="37" a="1"/>
  <c r="S625" i="37" s="1"/>
  <c r="S480" i="37" a="1"/>
  <c r="S480" i="37" s="1"/>
  <c r="S342" i="37" a="1"/>
  <c r="S342" i="37" s="1"/>
  <c r="S253" i="37" a="1"/>
  <c r="S253" i="37" s="1"/>
  <c r="S341" i="37" a="1"/>
  <c r="S341" i="37" s="1"/>
  <c r="S252" i="37" a="1"/>
  <c r="S252" i="37" s="1"/>
  <c r="S482" i="37" a="1"/>
  <c r="S482" i="37" s="1"/>
  <c r="S481" i="37" a="1"/>
  <c r="S481" i="37" s="1"/>
  <c r="S343" i="37" a="1"/>
  <c r="S343" i="37" s="1"/>
  <c r="S251" i="37" a="1"/>
  <c r="S251" i="37" s="1"/>
  <c r="S256" i="37" a="1"/>
  <c r="S256" i="37" s="1"/>
  <c r="S264" i="37" a="1"/>
  <c r="S264" i="37" s="1"/>
  <c r="S593" i="37" a="1"/>
  <c r="S593" i="37" s="1"/>
  <c r="S345" i="37" a="1"/>
  <c r="S345" i="37" s="1"/>
  <c r="S484" i="37" a="1"/>
  <c r="S484" i="37" s="1"/>
  <c r="S483" i="37" a="1"/>
  <c r="S483" i="37" s="1"/>
  <c r="S344" i="37" a="1"/>
  <c r="S344" i="37" s="1"/>
  <c r="S458" i="37" a="1"/>
  <c r="S458" i="37" s="1"/>
  <c r="S486" i="37" a="1"/>
  <c r="S486" i="37" s="1"/>
  <c r="S485" i="37" a="1"/>
  <c r="S485" i="37" s="1"/>
  <c r="S626" i="37" a="1"/>
  <c r="S626" i="37" s="1"/>
  <c r="S346" i="37" a="1"/>
  <c r="S346" i="37" s="1"/>
  <c r="S628" i="37" a="1"/>
  <c r="S628" i="37" s="1"/>
  <c r="S380" i="37" a="1"/>
  <c r="S380" i="37" s="1"/>
  <c r="S382" i="37" a="1"/>
  <c r="S382" i="37" s="1"/>
  <c r="S627" i="37" a="1"/>
  <c r="S627" i="37" s="1"/>
  <c r="S384" i="37" a="1"/>
  <c r="S384" i="37" s="1"/>
  <c r="S387" i="37" a="1"/>
  <c r="S387" i="37" s="1"/>
  <c r="S391" i="37" a="1"/>
  <c r="S391" i="37" s="1"/>
  <c r="S392" i="37" a="1"/>
  <c r="S392" i="37" s="1"/>
  <c r="S393" i="37" a="1"/>
  <c r="S393" i="37" s="1"/>
  <c r="S397" i="37" a="1"/>
  <c r="S397" i="37" s="1"/>
  <c r="S396" i="37" a="1"/>
  <c r="S396" i="37" s="1"/>
  <c r="S401" i="37" a="1"/>
  <c r="S401" i="37" s="1"/>
  <c r="S405" i="37" a="1"/>
  <c r="S405" i="37" s="1"/>
  <c r="S404" i="37" a="1"/>
  <c r="S404" i="37" s="1"/>
  <c r="S406" i="37" a="1"/>
  <c r="S406" i="37" s="1"/>
  <c r="S487" i="37" a="1"/>
  <c r="S487" i="37" s="1"/>
  <c r="S506" i="37" a="1"/>
  <c r="S506" i="37" s="1"/>
  <c r="S620" i="37" a="1"/>
  <c r="S620" i="37" s="1"/>
  <c r="S466" i="37" a="1"/>
  <c r="S466" i="37" s="1"/>
  <c r="S550" i="37" a="1"/>
  <c r="S550" i="37" s="1"/>
  <c r="S498" i="37" a="1"/>
  <c r="S498" i="37" s="1"/>
  <c r="S521" i="37" a="1"/>
  <c r="S521" i="37" s="1"/>
  <c r="S445" i="37" a="1"/>
  <c r="S445" i="37" s="1"/>
  <c r="S184" i="37" a="1"/>
  <c r="S184" i="37" s="1"/>
  <c r="S348" i="37" a="1"/>
  <c r="S348" i="37" s="1"/>
  <c r="S357" i="37" a="1"/>
  <c r="S357" i="37" s="1"/>
  <c r="S640" i="37" a="1"/>
  <c r="S640" i="37" s="1"/>
  <c r="S469" i="37" a="1"/>
  <c r="S469" i="37" s="1"/>
  <c r="S510" i="37" a="1"/>
  <c r="S510" i="37" s="1"/>
  <c r="S511" i="37" a="1"/>
  <c r="S511" i="37" s="1"/>
  <c r="S528" i="37" a="1"/>
  <c r="S528" i="37" s="1"/>
  <c r="S347" i="37" a="1"/>
  <c r="S347" i="37" s="1"/>
  <c r="S436" i="37" a="1"/>
  <c r="S436" i="37" s="1"/>
  <c r="S517" i="37" a="1"/>
  <c r="S517" i="37" s="1"/>
  <c r="S493" i="37" a="1"/>
  <c r="S493" i="37" s="1"/>
  <c r="S467" i="37" a="1"/>
  <c r="S467" i="37" s="1"/>
  <c r="S293" i="37" a="1"/>
  <c r="S293" i="37" s="1"/>
  <c r="S452" i="37" a="1"/>
  <c r="S452" i="37" s="1"/>
  <c r="S358" i="37" a="1"/>
  <c r="S358" i="37" s="1"/>
  <c r="S455" i="37" a="1"/>
  <c r="S455" i="37" s="1"/>
  <c r="S522" i="37" a="1"/>
  <c r="S522" i="37" s="1"/>
  <c r="S351" i="37" a="1"/>
  <c r="S351" i="37" s="1"/>
  <c r="S610" i="37" a="1"/>
  <c r="S610" i="37" s="1"/>
  <c r="S463" i="37" a="1"/>
  <c r="S463" i="37" s="1"/>
  <c r="S490" i="37" a="1"/>
  <c r="S490" i="37" s="1"/>
  <c r="S500" i="37" a="1"/>
  <c r="S500" i="37" s="1"/>
  <c r="S499" i="37" a="1"/>
  <c r="S499" i="37" s="1"/>
  <c r="S523" i="37" a="1"/>
  <c r="S523" i="37" s="1"/>
  <c r="S470" i="37" a="1"/>
  <c r="S470" i="37" s="1"/>
  <c r="S273" i="37" a="1"/>
  <c r="S273" i="37" s="1"/>
  <c r="S489" i="37" a="1"/>
  <c r="S489" i="37" s="1"/>
  <c r="S488" i="37" a="1"/>
  <c r="S488" i="37" s="1"/>
  <c r="S288" i="37" a="1"/>
  <c r="S288" i="37" s="1"/>
  <c r="S292" i="37" a="1"/>
  <c r="S292" i="37" s="1"/>
  <c r="S491" i="37" a="1"/>
  <c r="S491" i="37" s="1"/>
  <c r="S448" i="37" a="1"/>
  <c r="S448" i="37" s="1"/>
  <c r="S494" i="37" a="1"/>
  <c r="S494" i="37" s="1"/>
  <c r="S451" i="37" a="1"/>
  <c r="S451" i="37" s="1"/>
  <c r="S512" i="37" a="1"/>
  <c r="S512" i="37" s="1"/>
  <c r="S525" i="37" a="1"/>
  <c r="S525" i="37" s="1"/>
  <c r="S527" i="37" a="1"/>
  <c r="S527" i="37" s="1"/>
  <c r="S524" i="37" a="1"/>
  <c r="S524" i="37" s="1"/>
  <c r="S639" i="37" a="1"/>
  <c r="S639" i="37" s="1"/>
  <c r="S356" i="37" a="1"/>
  <c r="S356" i="37" s="1"/>
  <c r="S453" i="37" a="1"/>
  <c r="S453" i="37" s="1"/>
  <c r="S460" i="37" a="1"/>
  <c r="S460" i="37" s="1"/>
  <c r="S290" i="37" a="1"/>
  <c r="S290" i="37" s="1"/>
  <c r="S611" i="37" a="1"/>
  <c r="S611" i="37" s="1"/>
  <c r="S492" i="37" a="1"/>
  <c r="S492" i="37" s="1"/>
  <c r="S495" i="37" a="1"/>
  <c r="S495" i="37" s="1"/>
  <c r="S294" i="37" a="1"/>
  <c r="S294" i="37" s="1"/>
  <c r="S496" i="37" a="1"/>
  <c r="S496" i="37" s="1"/>
  <c r="S497" i="37" a="1"/>
  <c r="S497" i="37" s="1"/>
  <c r="S502" i="37" a="1"/>
  <c r="S502" i="37" s="1"/>
  <c r="S446" i="37" a="1"/>
  <c r="S446" i="37" s="1"/>
  <c r="S503" i="37" a="1"/>
  <c r="S503" i="37" s="1"/>
  <c r="S449" i="37" a="1"/>
  <c r="S449" i="37" s="1"/>
  <c r="S631" i="37" a="1"/>
  <c r="S631" i="37" s="1"/>
  <c r="S504" i="37" a="1"/>
  <c r="S504" i="37" s="1"/>
  <c r="S630" i="37" a="1"/>
  <c r="S630" i="37" s="1"/>
  <c r="S629" i="37" a="1"/>
  <c r="S629" i="37" s="1"/>
  <c r="S623" i="37" a="1"/>
  <c r="S623" i="37" s="1"/>
  <c r="S501" i="37" a="1"/>
  <c r="S501" i="37" s="1"/>
  <c r="S505" i="37" a="1"/>
  <c r="S505" i="37" s="1"/>
  <c r="S508" i="37" a="1"/>
  <c r="S508" i="37" s="1"/>
  <c r="S509" i="37" a="1"/>
  <c r="S509" i="37" s="1"/>
  <c r="S513" i="37" a="1"/>
  <c r="S513" i="37" s="1"/>
  <c r="S632" i="37" a="1"/>
  <c r="S632" i="37" s="1"/>
  <c r="S514" i="37" a="1"/>
  <c r="S514" i="37" s="1"/>
  <c r="S515" i="37" a="1"/>
  <c r="S515" i="37" s="1"/>
  <c r="S519" i="37" a="1"/>
  <c r="S519" i="37" s="1"/>
  <c r="S518" i="37" a="1"/>
  <c r="S518" i="37" s="1"/>
  <c r="S520" i="37" a="1"/>
  <c r="S520" i="37" s="1"/>
  <c r="S114" i="37" a="1"/>
  <c r="S114" i="37" s="1"/>
  <c r="S205" i="37" a="1"/>
  <c r="S205" i="37" s="1"/>
  <c r="S349" i="37" a="1"/>
  <c r="S349" i="37" s="1"/>
  <c r="S350" i="37" a="1"/>
  <c r="S350" i="37" s="1"/>
  <c r="S608" i="37" a="1"/>
  <c r="S608" i="37" s="1"/>
  <c r="S609" i="37" a="1"/>
  <c r="S609" i="37" s="1"/>
  <c r="S352" i="37" a="1"/>
  <c r="S352" i="37" s="1"/>
  <c r="S355" i="37" a="1"/>
  <c r="S355" i="37" s="1"/>
  <c r="S353" i="37" a="1"/>
  <c r="S353" i="37" s="1"/>
  <c r="S468" i="37" a="1"/>
  <c r="S468" i="37" s="1"/>
  <c r="S354" i="37" a="1"/>
  <c r="S354" i="37" s="1"/>
  <c r="S295" i="37" a="1"/>
  <c r="S295" i="37" s="1"/>
  <c r="S447" i="37" a="1"/>
  <c r="S447" i="37" s="1"/>
  <c r="S450" i="37" a="1"/>
  <c r="S450" i="37" s="1"/>
  <c r="S454" i="37" a="1"/>
  <c r="S454" i="37" s="1"/>
  <c r="S359" i="37" a="1"/>
  <c r="S359" i="37" s="1"/>
  <c r="S456" i="37" a="1"/>
  <c r="S456" i="37" s="1"/>
  <c r="S457" i="37" a="1"/>
  <c r="S457" i="37" s="1"/>
  <c r="S360" i="37" a="1"/>
  <c r="S360" i="37" s="1"/>
  <c r="S462" i="37" a="1"/>
  <c r="S462" i="37" s="1"/>
  <c r="S461" i="37" a="1"/>
  <c r="S461" i="37" s="1"/>
  <c r="S633" i="37" a="1"/>
  <c r="S633" i="37" s="1"/>
  <c r="S464" i="37" a="1"/>
  <c r="S464" i="37" s="1"/>
  <c r="S624" i="37" a="1"/>
  <c r="S624" i="37" s="1"/>
  <c r="S465" i="37" a="1"/>
  <c r="S465" i="37" s="1"/>
  <c r="S516" i="37" a="1"/>
  <c r="S516" i="37" s="1"/>
  <c r="S634" i="37" a="1"/>
  <c r="S634" i="37" s="1"/>
  <c r="S635" i="37" a="1"/>
  <c r="S635" i="37" s="1"/>
  <c r="S638" i="37" a="1"/>
  <c r="S638" i="37" s="1"/>
  <c r="S637" i="37" a="1"/>
  <c r="S637" i="37" s="1"/>
  <c r="S636" i="37" a="1"/>
  <c r="S636" i="37" s="1"/>
  <c r="S529" i="37" a="1"/>
  <c r="S529" i="37" s="1"/>
  <c r="S530" i="37" a="1"/>
  <c r="S530" i="37" s="1"/>
  <c r="S531" i="37" a="1"/>
  <c r="S531" i="37" s="1"/>
  <c r="S532" i="37" a="1"/>
  <c r="S532" i="37" s="1"/>
  <c r="R2" i="37" a="1"/>
  <c r="R2" i="37" s="1"/>
  <c r="R3" i="37" a="1"/>
  <c r="R3" i="37" s="1"/>
  <c r="R10" i="37" a="1"/>
  <c r="R10" i="37" s="1"/>
  <c r="R534" i="37" a="1"/>
  <c r="R534" i="37" s="1"/>
  <c r="R533" i="37" a="1"/>
  <c r="R533" i="37" s="1"/>
  <c r="R6" i="37" a="1"/>
  <c r="R6" i="37" s="1"/>
  <c r="R5" i="37" a="1"/>
  <c r="R5" i="37" s="1"/>
  <c r="R11" i="37" a="1"/>
  <c r="R11" i="37" s="1"/>
  <c r="R4" i="37" a="1"/>
  <c r="R4" i="37" s="1"/>
  <c r="R23" i="37" a="1"/>
  <c r="R23" i="37" s="1"/>
  <c r="R7" i="37" a="1"/>
  <c r="R7" i="37" s="1"/>
  <c r="R13" i="37" a="1"/>
  <c r="R13" i="37" s="1"/>
  <c r="R24" i="37" a="1"/>
  <c r="R24" i="37" s="1"/>
  <c r="R36" i="37" a="1"/>
  <c r="R36" i="37" s="1"/>
  <c r="R25" i="37" a="1"/>
  <c r="R25" i="37" s="1"/>
  <c r="R37" i="37" a="1"/>
  <c r="R37" i="37" s="1"/>
  <c r="R20" i="37" a="1"/>
  <c r="R20" i="37" s="1"/>
  <c r="R14" i="37" a="1"/>
  <c r="R14" i="37" s="1"/>
  <c r="R15" i="37" a="1"/>
  <c r="R15" i="37" s="1"/>
  <c r="R19" i="37" a="1"/>
  <c r="R19" i="37" s="1"/>
  <c r="R22" i="37" a="1"/>
  <c r="R22" i="37" s="1"/>
  <c r="R26" i="37" a="1"/>
  <c r="R26" i="37" s="1"/>
  <c r="R537" i="37" a="1"/>
  <c r="R537" i="37" s="1"/>
  <c r="R27" i="37" a="1"/>
  <c r="R27" i="37" s="1"/>
  <c r="R21" i="37" a="1"/>
  <c r="R21" i="37" s="1"/>
  <c r="R38" i="37" a="1"/>
  <c r="R38" i="37" s="1"/>
  <c r="R538" i="37" a="1"/>
  <c r="R538" i="37" s="1"/>
  <c r="R28" i="37" a="1"/>
  <c r="R28" i="37" s="1"/>
  <c r="R16" i="37" a="1"/>
  <c r="R16" i="37" s="1"/>
  <c r="R39" i="37" a="1"/>
  <c r="R39" i="37" s="1"/>
  <c r="R40" i="37" a="1"/>
  <c r="R40" i="37" s="1"/>
  <c r="R29" i="37" a="1"/>
  <c r="R29" i="37" s="1"/>
  <c r="R41" i="37" a="1"/>
  <c r="R41" i="37" s="1"/>
  <c r="R33" i="37" a="1"/>
  <c r="R33" i="37" s="1"/>
  <c r="R42" i="37" a="1"/>
  <c r="R42" i="37" s="1"/>
  <c r="R539" i="37" a="1"/>
  <c r="R539" i="37" s="1"/>
  <c r="R85" i="37" a="1"/>
  <c r="R85" i="37" s="1"/>
  <c r="R43" i="37" a="1"/>
  <c r="R43" i="37" s="1"/>
  <c r="R44" i="37" a="1"/>
  <c r="R44" i="37" s="1"/>
  <c r="R535" i="37" a="1"/>
  <c r="R535" i="37" s="1"/>
  <c r="R45" i="37" a="1"/>
  <c r="R45" i="37" s="1"/>
  <c r="R17" i="37" a="1"/>
  <c r="R17" i="37" s="1"/>
  <c r="R70" i="37" a="1"/>
  <c r="R70" i="37" s="1"/>
  <c r="R30" i="37" a="1"/>
  <c r="R30" i="37" s="1"/>
  <c r="R18" i="37" a="1"/>
  <c r="R18" i="37" s="1"/>
  <c r="R62" i="37" a="1"/>
  <c r="R62" i="37" s="1"/>
  <c r="R57" i="37" a="1"/>
  <c r="R57" i="37" s="1"/>
  <c r="R46" i="37" a="1"/>
  <c r="R46" i="37" s="1"/>
  <c r="R61" i="37" a="1"/>
  <c r="R61" i="37" s="1"/>
  <c r="R71" i="37" a="1"/>
  <c r="R71" i="37" s="1"/>
  <c r="R31" i="37" a="1"/>
  <c r="R31" i="37" s="1"/>
  <c r="R541" i="37" a="1"/>
  <c r="R541" i="37" s="1"/>
  <c r="R56" i="37" a="1"/>
  <c r="R56" i="37" s="1"/>
  <c r="R536" i="37" a="1"/>
  <c r="R536" i="37" s="1"/>
  <c r="R47" i="37" a="1"/>
  <c r="R47" i="37" s="1"/>
  <c r="R86" i="37" a="1"/>
  <c r="R86" i="37" s="1"/>
  <c r="R72" i="37" a="1"/>
  <c r="R72" i="37" s="1"/>
  <c r="R48" i="37" a="1"/>
  <c r="R48" i="37" s="1"/>
  <c r="R547" i="37" a="1"/>
  <c r="R547" i="37" s="1"/>
  <c r="R115" i="37" a="1"/>
  <c r="R115" i="37" s="1"/>
  <c r="R562" i="37" a="1"/>
  <c r="R562" i="37" s="1"/>
  <c r="R58" i="37" a="1"/>
  <c r="R58" i="37" s="1"/>
  <c r="R63" i="37" a="1"/>
  <c r="R63" i="37" s="1"/>
  <c r="R34" i="37" a="1"/>
  <c r="R34" i="37" s="1"/>
  <c r="R540" i="37" a="1"/>
  <c r="R540" i="37" s="1"/>
  <c r="R116" i="37" a="1"/>
  <c r="R116" i="37" s="1"/>
  <c r="R12" i="37" a="1"/>
  <c r="R12" i="37" s="1"/>
  <c r="R32" i="37" a="1"/>
  <c r="R32" i="37" s="1"/>
  <c r="R73" i="37" a="1"/>
  <c r="R73" i="37" s="1"/>
  <c r="R74" i="37" a="1"/>
  <c r="R74" i="37" s="1"/>
  <c r="R542" i="37" a="1"/>
  <c r="R542" i="37" s="1"/>
  <c r="R75" i="37" a="1"/>
  <c r="R75" i="37" s="1"/>
  <c r="R543" i="37" a="1"/>
  <c r="R543" i="37" s="1"/>
  <c r="R117" i="37" a="1"/>
  <c r="R117" i="37" s="1"/>
  <c r="R546" i="37" a="1"/>
  <c r="R546" i="37" s="1"/>
  <c r="R99" i="37" a="1"/>
  <c r="R99" i="37" s="1"/>
  <c r="R67" i="37" a="1"/>
  <c r="R67" i="37" s="1"/>
  <c r="R100" i="37" a="1"/>
  <c r="R100" i="37" s="1"/>
  <c r="R68" i="37" a="1"/>
  <c r="R68" i="37" s="1"/>
  <c r="R64" i="37" a="1"/>
  <c r="R64" i="37" s="1"/>
  <c r="R101" i="37" a="1"/>
  <c r="R101" i="37" s="1"/>
  <c r="R65" i="37" a="1"/>
  <c r="R65" i="37" s="1"/>
  <c r="R92" i="37" a="1"/>
  <c r="R92" i="37" s="1"/>
  <c r="R49" i="37" a="1"/>
  <c r="R49" i="37" s="1"/>
  <c r="R185" i="37" a="1"/>
  <c r="R185" i="37" s="1"/>
  <c r="R163" i="37" a="1"/>
  <c r="R163" i="37" s="1"/>
  <c r="R76" i="37" a="1"/>
  <c r="R76" i="37" s="1"/>
  <c r="R87" i="37" a="1"/>
  <c r="R87" i="37" s="1"/>
  <c r="R82" i="37" a="1"/>
  <c r="R82" i="37" s="1"/>
  <c r="R88" i="37" a="1"/>
  <c r="R88" i="37" s="1"/>
  <c r="R554" i="37" a="1"/>
  <c r="R554" i="37" s="1"/>
  <c r="R93" i="37" a="1"/>
  <c r="R93" i="37" s="1"/>
  <c r="R118" i="37" a="1"/>
  <c r="R118" i="37" s="1"/>
  <c r="R83" i="37" a="1"/>
  <c r="R83" i="37" s="1"/>
  <c r="R164" i="37" a="1"/>
  <c r="R164" i="37" s="1"/>
  <c r="R119" i="37" a="1"/>
  <c r="R119" i="37" s="1"/>
  <c r="R549" i="37" a="1"/>
  <c r="R549" i="37" s="1"/>
  <c r="R50" i="37" a="1"/>
  <c r="R50" i="37" s="1"/>
  <c r="R120" i="37" a="1"/>
  <c r="R120" i="37" s="1"/>
  <c r="R121" i="37" a="1"/>
  <c r="R121" i="37" s="1"/>
  <c r="R84" i="37" a="1"/>
  <c r="R84" i="37" s="1"/>
  <c r="R165" i="37" a="1"/>
  <c r="R165" i="37" s="1"/>
  <c r="R206" i="37" a="1"/>
  <c r="R206" i="37" s="1"/>
  <c r="R89" i="37" a="1"/>
  <c r="R89" i="37" s="1"/>
  <c r="R574" i="37" a="1"/>
  <c r="R574" i="37" s="1"/>
  <c r="R166" i="37" a="1"/>
  <c r="R166" i="37" s="1"/>
  <c r="R167" i="37" a="1"/>
  <c r="R167" i="37" s="1"/>
  <c r="R77" i="37" a="1"/>
  <c r="R77" i="37" s="1"/>
  <c r="R123" i="37" a="1"/>
  <c r="R123" i="37" s="1"/>
  <c r="R122" i="37" a="1"/>
  <c r="R122" i="37" s="1"/>
  <c r="R575" i="37" a="1"/>
  <c r="R575" i="37" s="1"/>
  <c r="R96" i="37" a="1"/>
  <c r="R96" i="37" s="1"/>
  <c r="R186" i="37" a="1"/>
  <c r="R186" i="37" s="1"/>
  <c r="R176" i="37" a="1"/>
  <c r="R176" i="37" s="1"/>
  <c r="R151" i="37" a="1"/>
  <c r="R151" i="37" s="1"/>
  <c r="R97" i="37" a="1"/>
  <c r="R97" i="37" s="1"/>
  <c r="R274" i="37" a="1"/>
  <c r="R274" i="37" s="1"/>
  <c r="R545" i="37" a="1"/>
  <c r="R545" i="37" s="1"/>
  <c r="R187" i="37" a="1"/>
  <c r="R187" i="37" s="1"/>
  <c r="R207" i="37" a="1"/>
  <c r="R207" i="37" s="1"/>
  <c r="R9" i="37" a="1"/>
  <c r="R9" i="37" s="1"/>
  <c r="R570" i="37" a="1"/>
  <c r="R570" i="37" s="1"/>
  <c r="R296" i="37" a="1"/>
  <c r="R296" i="37" s="1"/>
  <c r="R102" i="37" a="1"/>
  <c r="R102" i="37" s="1"/>
  <c r="R66" i="37" a="1"/>
  <c r="R66" i="37" s="1"/>
  <c r="R177" i="37" a="1"/>
  <c r="R177" i="37" s="1"/>
  <c r="R297" i="37" a="1"/>
  <c r="R297" i="37" s="1"/>
  <c r="R576" i="37" a="1"/>
  <c r="R576" i="37" s="1"/>
  <c r="R156" i="37" a="1"/>
  <c r="R156" i="37" s="1"/>
  <c r="R188" i="37" a="1"/>
  <c r="R188" i="37" s="1"/>
  <c r="R189" i="37" a="1"/>
  <c r="R189" i="37" s="1"/>
  <c r="R103" i="37" a="1"/>
  <c r="R103" i="37" s="1"/>
  <c r="R190" i="37" a="1"/>
  <c r="R190" i="37" s="1"/>
  <c r="R152" i="37" a="1"/>
  <c r="R152" i="37" s="1"/>
  <c r="R208" i="37" a="1"/>
  <c r="R208" i="37" s="1"/>
  <c r="R209" i="37" a="1"/>
  <c r="R209" i="37" s="1"/>
  <c r="R210" i="37" a="1"/>
  <c r="R210" i="37" s="1"/>
  <c r="R596" i="37" a="1"/>
  <c r="R596" i="37" s="1"/>
  <c r="R168" i="37" a="1"/>
  <c r="R168" i="37" s="1"/>
  <c r="R568" i="37" a="1"/>
  <c r="R568" i="37" s="1"/>
  <c r="R124" i="37" a="1"/>
  <c r="R124" i="37" s="1"/>
  <c r="R571" i="37" a="1"/>
  <c r="R571" i="37" s="1"/>
  <c r="R175" i="37" a="1"/>
  <c r="R175" i="37" s="1"/>
  <c r="R211" i="37" a="1"/>
  <c r="R211" i="37" s="1"/>
  <c r="R104" i="37" a="1"/>
  <c r="R104" i="37" s="1"/>
  <c r="R125" i="37" a="1"/>
  <c r="R125" i="37" s="1"/>
  <c r="R105" i="37" a="1"/>
  <c r="R105" i="37" s="1"/>
  <c r="R126" i="37" a="1"/>
  <c r="R126" i="37" s="1"/>
  <c r="R548" i="37" a="1"/>
  <c r="R548" i="37" s="1"/>
  <c r="R191" i="37" a="1"/>
  <c r="R191" i="37" s="1"/>
  <c r="R563" i="37" a="1"/>
  <c r="R563" i="37" s="1"/>
  <c r="R213" i="37" a="1"/>
  <c r="R213" i="37" s="1"/>
  <c r="R298" i="37" a="1"/>
  <c r="R298" i="37" s="1"/>
  <c r="R106" i="37" a="1"/>
  <c r="R106" i="37" s="1"/>
  <c r="R212" i="37" a="1"/>
  <c r="R212" i="37" s="1"/>
  <c r="R564" i="37" a="1"/>
  <c r="R564" i="37" s="1"/>
  <c r="R577" i="37" a="1"/>
  <c r="R577" i="37" s="1"/>
  <c r="R107" i="37" a="1"/>
  <c r="R107" i="37" s="1"/>
  <c r="R157" i="37" a="1"/>
  <c r="R157" i="37" s="1"/>
  <c r="R214" i="37" a="1"/>
  <c r="R214" i="37" s="1"/>
  <c r="R158" i="37" a="1"/>
  <c r="R158" i="37" s="1"/>
  <c r="R578" i="37" a="1"/>
  <c r="R578" i="37" s="1"/>
  <c r="R215" i="37" a="1"/>
  <c r="R215" i="37" s="1"/>
  <c r="R155" i="37" a="1"/>
  <c r="R155" i="37" s="1"/>
  <c r="R216" i="37" a="1"/>
  <c r="R216" i="37" s="1"/>
  <c r="R217" i="37" a="1"/>
  <c r="R217" i="37" s="1"/>
  <c r="R127" i="37" a="1"/>
  <c r="R127" i="37" s="1"/>
  <c r="R90" i="37" a="1"/>
  <c r="R90" i="37" s="1"/>
  <c r="R153" i="37" a="1"/>
  <c r="R153" i="37" s="1"/>
  <c r="R128" i="37" a="1"/>
  <c r="R128" i="37" s="1"/>
  <c r="R299" i="37" a="1"/>
  <c r="R299" i="37" s="1"/>
  <c r="R192" i="37" a="1"/>
  <c r="R192" i="37" s="1"/>
  <c r="R129" i="37" a="1"/>
  <c r="R129" i="37" s="1"/>
  <c r="R565" i="37" a="1"/>
  <c r="R565" i="37" s="1"/>
  <c r="R130" i="37" a="1"/>
  <c r="R130" i="37" s="1"/>
  <c r="R218" i="37" a="1"/>
  <c r="R218" i="37" s="1"/>
  <c r="R131" i="37" a="1"/>
  <c r="R131" i="37" s="1"/>
  <c r="R154" i="37" a="1"/>
  <c r="R154" i="37" s="1"/>
  <c r="R555" i="37" a="1"/>
  <c r="R555" i="37" s="1"/>
  <c r="R579" i="37" a="1"/>
  <c r="R579" i="37" s="1"/>
  <c r="R132" i="37" a="1"/>
  <c r="R132" i="37" s="1"/>
  <c r="R580" i="37" a="1"/>
  <c r="R580" i="37" s="1"/>
  <c r="R219" i="37" a="1"/>
  <c r="R219" i="37" s="1"/>
  <c r="R133" i="37" a="1"/>
  <c r="R133" i="37" s="1"/>
  <c r="R134" i="37" a="1"/>
  <c r="R134" i="37" s="1"/>
  <c r="R599" i="37" a="1"/>
  <c r="R599" i="37" s="1"/>
  <c r="R220" i="37" a="1"/>
  <c r="R220" i="37" s="1"/>
  <c r="R221" i="37" a="1"/>
  <c r="R221" i="37" s="1"/>
  <c r="R59" i="37" a="1"/>
  <c r="R59" i="37" s="1"/>
  <c r="R222" i="37" a="1"/>
  <c r="R222" i="37" s="1"/>
  <c r="R223" i="37" a="1"/>
  <c r="R223" i="37" s="1"/>
  <c r="R275" i="37" a="1"/>
  <c r="R275" i="37" s="1"/>
  <c r="R51" i="37" a="1"/>
  <c r="R51" i="37" s="1"/>
  <c r="R224" i="37" a="1"/>
  <c r="R224" i="37" s="1"/>
  <c r="R78" i="37" a="1"/>
  <c r="R78" i="37" s="1"/>
  <c r="R225" i="37" a="1"/>
  <c r="R225" i="37" s="1"/>
  <c r="R35" i="37" a="1"/>
  <c r="R35" i="37" s="1"/>
  <c r="R226" i="37" a="1"/>
  <c r="R226" i="37" s="1"/>
  <c r="R169" i="37" a="1"/>
  <c r="R169" i="37" s="1"/>
  <c r="R170" i="37" a="1"/>
  <c r="R170" i="37" s="1"/>
  <c r="R557" i="37" a="1"/>
  <c r="R557" i="37" s="1"/>
  <c r="R361" i="37" a="1"/>
  <c r="R361" i="37" s="1"/>
  <c r="R558" i="37" a="1"/>
  <c r="R558" i="37" s="1"/>
  <c r="R227" i="37" a="1"/>
  <c r="R227" i="37" s="1"/>
  <c r="R556" i="37" a="1"/>
  <c r="R556" i="37" s="1"/>
  <c r="R228" i="37" a="1"/>
  <c r="R228" i="37" s="1"/>
  <c r="R171" i="37" a="1"/>
  <c r="R171" i="37" s="1"/>
  <c r="R178" i="37" a="1"/>
  <c r="R178" i="37" s="1"/>
  <c r="R595" i="37" a="1"/>
  <c r="R595" i="37" s="1"/>
  <c r="R193" i="37" a="1"/>
  <c r="R193" i="37" s="1"/>
  <c r="R69" i="37" a="1"/>
  <c r="R69" i="37" s="1"/>
  <c r="R179" i="37" a="1"/>
  <c r="R179" i="37" s="1"/>
  <c r="R135" i="37" a="1"/>
  <c r="R135" i="37" s="1"/>
  <c r="R108" i="37" a="1"/>
  <c r="R108" i="37" s="1"/>
  <c r="R300" i="37" a="1"/>
  <c r="R300" i="37" s="1"/>
  <c r="R98" i="37" a="1"/>
  <c r="R98" i="37" s="1"/>
  <c r="R159" i="37" a="1"/>
  <c r="R159" i="37" s="1"/>
  <c r="R597" i="37" a="1"/>
  <c r="R597" i="37" s="1"/>
  <c r="R560" i="37" a="1"/>
  <c r="R560" i="37" s="1"/>
  <c r="R79" i="37" a="1"/>
  <c r="R79" i="37" s="1"/>
  <c r="R279" i="37" a="1"/>
  <c r="R279" i="37" s="1"/>
  <c r="R569" i="37" a="1"/>
  <c r="R569" i="37" s="1"/>
  <c r="R229" i="37" a="1"/>
  <c r="R229" i="37" s="1"/>
  <c r="R230" i="37" a="1"/>
  <c r="R230" i="37" s="1"/>
  <c r="R301" i="37" a="1"/>
  <c r="R301" i="37" s="1"/>
  <c r="R437" i="37" a="1"/>
  <c r="R437" i="37" s="1"/>
  <c r="R160" i="37" a="1"/>
  <c r="R160" i="37" s="1"/>
  <c r="R280" i="37" a="1"/>
  <c r="R280" i="37" s="1"/>
  <c r="R302" i="37" a="1"/>
  <c r="R302" i="37" s="1"/>
  <c r="R231" i="37" a="1"/>
  <c r="R231" i="37" s="1"/>
  <c r="R303" i="37" a="1"/>
  <c r="R303" i="37" s="1"/>
  <c r="R304" i="37" a="1"/>
  <c r="R304" i="37" s="1"/>
  <c r="R305" i="37" a="1"/>
  <c r="R305" i="37" s="1"/>
  <c r="R194" i="37" a="1"/>
  <c r="R194" i="37" s="1"/>
  <c r="R265" i="37" a="1"/>
  <c r="R265" i="37" s="1"/>
  <c r="R306" i="37" a="1"/>
  <c r="R306" i="37" s="1"/>
  <c r="R232" i="37" a="1"/>
  <c r="R232" i="37" s="1"/>
  <c r="R195" i="37" a="1"/>
  <c r="R195" i="37" s="1"/>
  <c r="R598" i="37" a="1"/>
  <c r="R598" i="37" s="1"/>
  <c r="R281" i="37" a="1"/>
  <c r="R281" i="37" s="1"/>
  <c r="R600" i="37" a="1"/>
  <c r="R600" i="37" s="1"/>
  <c r="R80" i="37" a="1"/>
  <c r="R80" i="37" s="1"/>
  <c r="R270" i="37" a="1"/>
  <c r="R270" i="37" s="1"/>
  <c r="R180" i="37" a="1"/>
  <c r="R180" i="37" s="1"/>
  <c r="R307" i="37" a="1"/>
  <c r="R307" i="37" s="1"/>
  <c r="R267" i="37" a="1"/>
  <c r="R267" i="37" s="1"/>
  <c r="R196" i="37" a="1"/>
  <c r="R196" i="37" s="1"/>
  <c r="R269" i="37" a="1"/>
  <c r="R269" i="37" s="1"/>
  <c r="R198" i="37" a="1"/>
  <c r="R198" i="37" s="1"/>
  <c r="R282" i="37" a="1"/>
  <c r="R282" i="37" s="1"/>
  <c r="R308" i="37" a="1"/>
  <c r="R308" i="37" s="1"/>
  <c r="R471" i="37" a="1"/>
  <c r="R471" i="37" s="1"/>
  <c r="R283" i="37" a="1"/>
  <c r="R283" i="37" s="1"/>
  <c r="R161" i="37" a="1"/>
  <c r="R161" i="37" s="1"/>
  <c r="R581" i="37" a="1"/>
  <c r="R581" i="37" s="1"/>
  <c r="R234" i="37" a="1"/>
  <c r="R234" i="37" s="1"/>
  <c r="R233" i="37" a="1"/>
  <c r="R233" i="37" s="1"/>
  <c r="R235" i="37" a="1"/>
  <c r="R235" i="37" s="1"/>
  <c r="R268" i="37" a="1"/>
  <c r="R268" i="37" s="1"/>
  <c r="R199" i="37" a="1"/>
  <c r="R199" i="37" s="1"/>
  <c r="R236" i="37" a="1"/>
  <c r="R236" i="37" s="1"/>
  <c r="R582" i="37" a="1"/>
  <c r="R582" i="37" s="1"/>
  <c r="R237" i="37" a="1"/>
  <c r="R237" i="37" s="1"/>
  <c r="R238" i="37" a="1"/>
  <c r="R238" i="37" s="1"/>
  <c r="R583" i="37" a="1"/>
  <c r="R583" i="37" s="1"/>
  <c r="R172" i="37" a="1"/>
  <c r="R172" i="37" s="1"/>
  <c r="R239" i="37" a="1"/>
  <c r="R239" i="37" s="1"/>
  <c r="R363" i="37" a="1"/>
  <c r="R363" i="37" s="1"/>
  <c r="R364" i="37" a="1"/>
  <c r="R364" i="37" s="1"/>
  <c r="R362" i="37" a="1"/>
  <c r="R362" i="37" s="1"/>
  <c r="R594" i="37" a="1"/>
  <c r="R594" i="37" s="1"/>
  <c r="R612" i="37" a="1"/>
  <c r="R612" i="37" s="1"/>
  <c r="R266" i="37" a="1"/>
  <c r="R266" i="37" s="1"/>
  <c r="R309" i="37" a="1"/>
  <c r="R309" i="37" s="1"/>
  <c r="R365" i="37" a="1"/>
  <c r="R365" i="37" s="1"/>
  <c r="R240" i="37" a="1"/>
  <c r="R240" i="37" s="1"/>
  <c r="R91" i="37" a="1"/>
  <c r="R91" i="37" s="1"/>
  <c r="R613" i="37" a="1"/>
  <c r="R613" i="37" s="1"/>
  <c r="R551" i="37" a="1"/>
  <c r="R551" i="37" s="1"/>
  <c r="R271" i="37" a="1"/>
  <c r="R271" i="37" s="1"/>
  <c r="R584" i="37" a="1"/>
  <c r="R584" i="37" s="1"/>
  <c r="R52" i="37" a="1"/>
  <c r="R52" i="37" s="1"/>
  <c r="R366" i="37" a="1"/>
  <c r="R366" i="37" s="1"/>
  <c r="R241" i="37" a="1"/>
  <c r="R241" i="37" s="1"/>
  <c r="R614" i="37" a="1"/>
  <c r="R614" i="37" s="1"/>
  <c r="R367" i="37" a="1"/>
  <c r="R367" i="37" s="1"/>
  <c r="R544" i="37" a="1"/>
  <c r="R544" i="37" s="1"/>
  <c r="R136" i="37" a="1"/>
  <c r="R136" i="37" s="1"/>
  <c r="R585" i="37" a="1"/>
  <c r="R585" i="37" s="1"/>
  <c r="R371" i="37" a="1"/>
  <c r="R371" i="37" s="1"/>
  <c r="R369" i="37" a="1"/>
  <c r="R369" i="37" s="1"/>
  <c r="R615" i="37" a="1"/>
  <c r="R615" i="37" s="1"/>
  <c r="R368" i="37" a="1"/>
  <c r="R368" i="37" s="1"/>
  <c r="R370" i="37" a="1"/>
  <c r="R370" i="37" s="1"/>
  <c r="R242" i="37" a="1"/>
  <c r="R242" i="37" s="1"/>
  <c r="R244" i="37" a="1"/>
  <c r="R244" i="37" s="1"/>
  <c r="R372" i="37" a="1"/>
  <c r="R372" i="37" s="1"/>
  <c r="R566" i="37" a="1"/>
  <c r="R566" i="37" s="1"/>
  <c r="R243" i="37" a="1"/>
  <c r="R243" i="37" s="1"/>
  <c r="R407" i="37" a="1"/>
  <c r="R407" i="37" s="1"/>
  <c r="R8" i="37" a="1"/>
  <c r="R8" i="37" s="1"/>
  <c r="R310" i="37" a="1"/>
  <c r="R310" i="37" s="1"/>
  <c r="R385" i="37" a="1"/>
  <c r="R385" i="37" s="1"/>
  <c r="R94" i="37" a="1"/>
  <c r="R94" i="37" s="1"/>
  <c r="R55" i="37" a="1"/>
  <c r="R55" i="37" s="1"/>
  <c r="R258" i="37" a="1"/>
  <c r="R258" i="37" s="1"/>
  <c r="R137" i="37" a="1"/>
  <c r="R137" i="37" s="1"/>
  <c r="R54" i="37" a="1"/>
  <c r="R54" i="37" s="1"/>
  <c r="R418" i="37" a="1"/>
  <c r="R418" i="37" s="1"/>
  <c r="R174" i="37" a="1"/>
  <c r="R174" i="37" s="1"/>
  <c r="R311" i="37" a="1"/>
  <c r="R311" i="37" s="1"/>
  <c r="R416" i="37" a="1"/>
  <c r="R416" i="37" s="1"/>
  <c r="R312" i="37" a="1"/>
  <c r="R312" i="37" s="1"/>
  <c r="R145" i="37" a="1"/>
  <c r="R145" i="37" s="1"/>
  <c r="R278" i="37" a="1"/>
  <c r="R278" i="37" s="1"/>
  <c r="R181" i="37" a="1"/>
  <c r="R181" i="37" s="1"/>
  <c r="R375" i="37" a="1"/>
  <c r="R375" i="37" s="1"/>
  <c r="R146" i="37" a="1"/>
  <c r="R146" i="37" s="1"/>
  <c r="R388" i="37" a="1"/>
  <c r="R388" i="37" s="1"/>
  <c r="R419" i="37" a="1"/>
  <c r="R419" i="37" s="1"/>
  <c r="R60" i="37" a="1"/>
  <c r="R60" i="37" s="1"/>
  <c r="R81" i="37" a="1"/>
  <c r="R81" i="37" s="1"/>
  <c r="R149" i="37" a="1"/>
  <c r="R149" i="37" s="1"/>
  <c r="R246" i="37" a="1"/>
  <c r="R246" i="37" s="1"/>
  <c r="R590" i="37" a="1"/>
  <c r="R590" i="37" s="1"/>
  <c r="R254" i="37" a="1"/>
  <c r="R254" i="37" s="1"/>
  <c r="R373" i="37" a="1"/>
  <c r="R373" i="37" s="1"/>
  <c r="R376" i="37" a="1"/>
  <c r="R376" i="37" s="1"/>
  <c r="R378" i="37" a="1"/>
  <c r="R378" i="37" s="1"/>
  <c r="R410" i="37" a="1"/>
  <c r="R410" i="37" s="1"/>
  <c r="R409" i="37" a="1"/>
  <c r="R409" i="37" s="1"/>
  <c r="R420" i="37" a="1"/>
  <c r="R420" i="37" s="1"/>
  <c r="R248" i="37" a="1"/>
  <c r="R248" i="37" s="1"/>
  <c r="R247" i="37" a="1"/>
  <c r="R247" i="37" s="1"/>
  <c r="R259" i="37" a="1"/>
  <c r="R259" i="37" s="1"/>
  <c r="R402" i="37" a="1"/>
  <c r="R402" i="37" s="1"/>
  <c r="R415" i="37" a="1"/>
  <c r="R415" i="37" s="1"/>
  <c r="R417" i="37" a="1"/>
  <c r="R417" i="37" s="1"/>
  <c r="R53" i="37" a="1"/>
  <c r="R53" i="37" s="1"/>
  <c r="R140" i="37" a="1"/>
  <c r="R140" i="37" s="1"/>
  <c r="R142" i="37" a="1"/>
  <c r="R142" i="37" s="1"/>
  <c r="R109" i="37" a="1"/>
  <c r="R109" i="37" s="1"/>
  <c r="R313" i="37" a="1"/>
  <c r="R313" i="37" s="1"/>
  <c r="R314" i="37" a="1"/>
  <c r="R314" i="37" s="1"/>
  <c r="R601" i="37" a="1"/>
  <c r="R601" i="37" s="1"/>
  <c r="R315" i="37" a="1"/>
  <c r="R315" i="37" s="1"/>
  <c r="R618" i="37" a="1"/>
  <c r="R618" i="37" s="1"/>
  <c r="R143" i="37" a="1"/>
  <c r="R143" i="37" s="1"/>
  <c r="R622" i="37" a="1"/>
  <c r="R622" i="37" s="1"/>
  <c r="R316" i="37" a="1"/>
  <c r="R316" i="37" s="1"/>
  <c r="R552" i="37" a="1"/>
  <c r="R552" i="37" s="1"/>
  <c r="R317" i="37" a="1"/>
  <c r="R317" i="37" s="1"/>
  <c r="R182" i="37" a="1"/>
  <c r="R182" i="37" s="1"/>
  <c r="R200" i="37" a="1"/>
  <c r="R200" i="37" s="1"/>
  <c r="R284" i="37" a="1"/>
  <c r="R284" i="37" s="1"/>
  <c r="R427" i="37" a="1"/>
  <c r="R427" i="37" s="1"/>
  <c r="R147" i="37" a="1"/>
  <c r="R147" i="37" s="1"/>
  <c r="R173" i="37" a="1"/>
  <c r="R173" i="37" s="1"/>
  <c r="R318" i="37" a="1"/>
  <c r="R318" i="37" s="1"/>
  <c r="R435" i="37" a="1"/>
  <c r="R435" i="37" s="1"/>
  <c r="R285" i="37" a="1"/>
  <c r="R285" i="37" s="1"/>
  <c r="R602" i="37" a="1"/>
  <c r="R602" i="37" s="1"/>
  <c r="R319" i="37" a="1"/>
  <c r="R319" i="37" s="1"/>
  <c r="R148" i="37" a="1"/>
  <c r="R148" i="37" s="1"/>
  <c r="R320" i="37" a="1"/>
  <c r="R320" i="37" s="1"/>
  <c r="R321" i="37" a="1"/>
  <c r="R321" i="37" s="1"/>
  <c r="R150" i="37" a="1"/>
  <c r="R150" i="37" s="1"/>
  <c r="R322" i="37" a="1"/>
  <c r="R322" i="37" s="1"/>
  <c r="R323" i="37" a="1"/>
  <c r="R323" i="37" s="1"/>
  <c r="R621" i="37" a="1"/>
  <c r="R621" i="37" s="1"/>
  <c r="R424" i="37" a="1"/>
  <c r="R424" i="37" s="1"/>
  <c r="R201" i="37" a="1"/>
  <c r="R201" i="37" s="1"/>
  <c r="R440" i="37" a="1"/>
  <c r="R440" i="37" s="1"/>
  <c r="R110" i="37" a="1"/>
  <c r="R110" i="37" s="1"/>
  <c r="R286" i="37" a="1"/>
  <c r="R286" i="37" s="1"/>
  <c r="R325" i="37" a="1"/>
  <c r="R325" i="37" s="1"/>
  <c r="R423" i="37" a="1"/>
  <c r="R423" i="37" s="1"/>
  <c r="R431" i="37" a="1"/>
  <c r="R431" i="37" s="1"/>
  <c r="R421" i="37" a="1"/>
  <c r="R421" i="37" s="1"/>
  <c r="R245" i="37" a="1"/>
  <c r="R245" i="37" s="1"/>
  <c r="R434" i="37" a="1"/>
  <c r="R434" i="37" s="1"/>
  <c r="R324" i="37" a="1"/>
  <c r="R324" i="37" s="1"/>
  <c r="R572" i="37" a="1"/>
  <c r="R572" i="37" s="1"/>
  <c r="R202" i="37" a="1"/>
  <c r="R202" i="37" s="1"/>
  <c r="R588" i="37" a="1"/>
  <c r="R588" i="37" s="1"/>
  <c r="R603" i="37" a="1"/>
  <c r="R603" i="37" s="1"/>
  <c r="R619" i="37" a="1"/>
  <c r="R619" i="37" s="1"/>
  <c r="R250" i="37" a="1"/>
  <c r="R250" i="37" s="1"/>
  <c r="R441" i="37" a="1"/>
  <c r="R441" i="37" s="1"/>
  <c r="R438" i="37" a="1"/>
  <c r="R438" i="37" s="1"/>
  <c r="R327" i="37" a="1"/>
  <c r="R327" i="37" s="1"/>
  <c r="R426" i="37" a="1"/>
  <c r="R426" i="37" s="1"/>
  <c r="R287" i="37" a="1"/>
  <c r="R287" i="37" s="1"/>
  <c r="R95" i="37" a="1"/>
  <c r="R95" i="37" s="1"/>
  <c r="R326" i="37" a="1"/>
  <c r="R326" i="37" s="1"/>
  <c r="R249" i="37" a="1"/>
  <c r="R249" i="37" s="1"/>
  <c r="R425" i="37" a="1"/>
  <c r="R425" i="37" s="1"/>
  <c r="R604" i="37" a="1"/>
  <c r="R604" i="37" s="1"/>
  <c r="R162" i="37" a="1"/>
  <c r="R162" i="37" s="1"/>
  <c r="R276" i="37" a="1"/>
  <c r="R276" i="37" s="1"/>
  <c r="R328" i="37" a="1"/>
  <c r="R328" i="37" s="1"/>
  <c r="R472" i="37" a="1"/>
  <c r="R472" i="37" s="1"/>
  <c r="R272" i="37" a="1"/>
  <c r="R272" i="37" s="1"/>
  <c r="R255" i="37" a="1"/>
  <c r="R255" i="37" s="1"/>
  <c r="R277" i="37" a="1"/>
  <c r="R277" i="37" s="1"/>
  <c r="R442" i="37" a="1"/>
  <c r="R442" i="37" s="1"/>
  <c r="R591" i="37" a="1"/>
  <c r="R591" i="37" s="1"/>
  <c r="R592" i="37" a="1"/>
  <c r="R592" i="37" s="1"/>
  <c r="R329" i="37" a="1"/>
  <c r="R329" i="37" s="1"/>
  <c r="R473" i="37" a="1"/>
  <c r="R473" i="37" s="1"/>
  <c r="R474" i="37" a="1"/>
  <c r="R474" i="37" s="1"/>
  <c r="R428" i="37" a="1"/>
  <c r="R428" i="37" s="1"/>
  <c r="R330" i="37" a="1"/>
  <c r="R330" i="37" s="1"/>
  <c r="R257" i="37" a="1"/>
  <c r="R257" i="37" s="1"/>
  <c r="R429" i="37" a="1"/>
  <c r="R429" i="37" s="1"/>
  <c r="R263" i="37" a="1"/>
  <c r="R263" i="37" s="1"/>
  <c r="R444" i="37" a="1"/>
  <c r="R444" i="37" s="1"/>
  <c r="R430" i="37" a="1"/>
  <c r="R430" i="37" s="1"/>
  <c r="R432" i="37" a="1"/>
  <c r="R432" i="37" s="1"/>
  <c r="R260" i="37" a="1"/>
  <c r="R260" i="37" s="1"/>
  <c r="R261" i="37" a="1"/>
  <c r="R261" i="37" s="1"/>
  <c r="R262" i="37" a="1"/>
  <c r="R262" i="37" s="1"/>
  <c r="R331" i="37" a="1"/>
  <c r="R331" i="37" s="1"/>
  <c r="R374" i="37" a="1"/>
  <c r="R374" i="37" s="1"/>
  <c r="R332" i="37" a="1"/>
  <c r="R332" i="37" s="1"/>
  <c r="R377" i="37" a="1"/>
  <c r="R377" i="37" s="1"/>
  <c r="R203" i="37" a="1"/>
  <c r="R203" i="37" s="1"/>
  <c r="R111" i="37" a="1"/>
  <c r="R111" i="37" s="1"/>
  <c r="R379" i="37" a="1"/>
  <c r="R379" i="37" s="1"/>
  <c r="R333" i="37" a="1"/>
  <c r="R333" i="37" s="1"/>
  <c r="R334" i="37" a="1"/>
  <c r="R334" i="37" s="1"/>
  <c r="R443" i="37" a="1"/>
  <c r="R443" i="37" s="1"/>
  <c r="R459" i="37" a="1"/>
  <c r="R459" i="37" s="1"/>
  <c r="R289" i="37" a="1"/>
  <c r="R289" i="37" s="1"/>
  <c r="R475" i="37" a="1"/>
  <c r="R475" i="37" s="1"/>
  <c r="R335" i="37" a="1"/>
  <c r="R335" i="37" s="1"/>
  <c r="R112" i="37" a="1"/>
  <c r="R112" i="37" s="1"/>
  <c r="R422" i="37" a="1"/>
  <c r="R422" i="37" s="1"/>
  <c r="R381" i="37" a="1"/>
  <c r="R381" i="37" s="1"/>
  <c r="R605" i="37" a="1"/>
  <c r="R605" i="37" s="1"/>
  <c r="R616" i="37" a="1"/>
  <c r="R616" i="37" s="1"/>
  <c r="R383" i="37" a="1"/>
  <c r="R383" i="37" s="1"/>
  <c r="R183" i="37" a="1"/>
  <c r="R183" i="37" s="1"/>
  <c r="R433" i="37" a="1"/>
  <c r="R433" i="37" s="1"/>
  <c r="R336" i="37" a="1"/>
  <c r="R336" i="37" s="1"/>
  <c r="R337" i="37" a="1"/>
  <c r="R337" i="37" s="1"/>
  <c r="R386" i="37" a="1"/>
  <c r="R386" i="37" s="1"/>
  <c r="R338" i="37" a="1"/>
  <c r="R338" i="37" s="1"/>
  <c r="R617" i="37" a="1"/>
  <c r="R617" i="37" s="1"/>
  <c r="R389" i="37" a="1"/>
  <c r="R389" i="37" s="1"/>
  <c r="R606" i="37" a="1"/>
  <c r="R606" i="37" s="1"/>
  <c r="R204" i="37" a="1"/>
  <c r="R204" i="37" s="1"/>
  <c r="R291" i="37" a="1"/>
  <c r="R291" i="37" s="1"/>
  <c r="R390" i="37" a="1"/>
  <c r="R390" i="37" s="1"/>
  <c r="R394" i="37" a="1"/>
  <c r="R394" i="37" s="1"/>
  <c r="R398" i="37" a="1"/>
  <c r="R398" i="37" s="1"/>
  <c r="R400" i="37" a="1"/>
  <c r="R400" i="37" s="1"/>
  <c r="R476" i="37" a="1"/>
  <c r="R476" i="37" s="1"/>
  <c r="R399" i="37" a="1"/>
  <c r="R399" i="37" s="1"/>
  <c r="R403" i="37" a="1"/>
  <c r="R403" i="37" s="1"/>
  <c r="R477" i="37" a="1"/>
  <c r="R477" i="37" s="1"/>
  <c r="R408" i="37" a="1"/>
  <c r="R408" i="37" s="1"/>
  <c r="R439" i="37" a="1"/>
  <c r="R439" i="37" s="1"/>
  <c r="R573" i="37" a="1"/>
  <c r="R573" i="37" s="1"/>
  <c r="R413" i="37" a="1"/>
  <c r="R413" i="37" s="1"/>
  <c r="R607" i="37" a="1"/>
  <c r="R607" i="37" s="1"/>
  <c r="R412" i="37" a="1"/>
  <c r="R412" i="37" s="1"/>
  <c r="R113" i="37" a="1"/>
  <c r="R113" i="37" s="1"/>
  <c r="R414" i="37" a="1"/>
  <c r="R414" i="37" s="1"/>
  <c r="R411" i="37" a="1"/>
  <c r="R411" i="37" s="1"/>
  <c r="R138" i="37" a="1"/>
  <c r="R138" i="37" s="1"/>
  <c r="R139" i="37" a="1"/>
  <c r="R139" i="37" s="1"/>
  <c r="R339" i="37" a="1"/>
  <c r="R339" i="37" s="1"/>
  <c r="R478" i="37" a="1"/>
  <c r="R478" i="37" s="1"/>
  <c r="R141" i="37" a="1"/>
  <c r="R141" i="37" s="1"/>
  <c r="R479" i="37" a="1"/>
  <c r="R479" i="37" s="1"/>
  <c r="R340" i="37" a="1"/>
  <c r="R340" i="37" s="1"/>
  <c r="R144" i="37" a="1"/>
  <c r="R144" i="37" s="1"/>
  <c r="R567" i="37" a="1"/>
  <c r="R567" i="37" s="1"/>
  <c r="R586" i="37" a="1"/>
  <c r="R586" i="37" s="1"/>
  <c r="R587" i="37" a="1"/>
  <c r="R587" i="37" s="1"/>
  <c r="R589" i="37" a="1"/>
  <c r="R589" i="37" s="1"/>
  <c r="R625" i="37" a="1"/>
  <c r="R625" i="37" s="1"/>
  <c r="R480" i="37" a="1"/>
  <c r="R480" i="37" s="1"/>
  <c r="R342" i="37" a="1"/>
  <c r="R342" i="37" s="1"/>
  <c r="R253" i="37" a="1"/>
  <c r="R253" i="37" s="1"/>
  <c r="R341" i="37" a="1"/>
  <c r="R341" i="37" s="1"/>
  <c r="R252" i="37" a="1"/>
  <c r="R252" i="37" s="1"/>
  <c r="R482" i="37" a="1"/>
  <c r="R482" i="37" s="1"/>
  <c r="R481" i="37" a="1"/>
  <c r="R481" i="37" s="1"/>
  <c r="R343" i="37" a="1"/>
  <c r="R343" i="37" s="1"/>
  <c r="R251" i="37" a="1"/>
  <c r="R251" i="37" s="1"/>
  <c r="R256" i="37" a="1"/>
  <c r="R256" i="37" s="1"/>
  <c r="R264" i="37" a="1"/>
  <c r="R264" i="37" s="1"/>
  <c r="R593" i="37" a="1"/>
  <c r="R593" i="37" s="1"/>
  <c r="R345" i="37" a="1"/>
  <c r="R345" i="37" s="1"/>
  <c r="R484" i="37" a="1"/>
  <c r="R484" i="37" s="1"/>
  <c r="R483" i="37" a="1"/>
  <c r="R483" i="37" s="1"/>
  <c r="R344" i="37" a="1"/>
  <c r="R344" i="37" s="1"/>
  <c r="R458" i="37" a="1"/>
  <c r="R458" i="37" s="1"/>
  <c r="R486" i="37" a="1"/>
  <c r="R486" i="37" s="1"/>
  <c r="R485" i="37" a="1"/>
  <c r="R485" i="37" s="1"/>
  <c r="R626" i="37" a="1"/>
  <c r="R626" i="37" s="1"/>
  <c r="R346" i="37" a="1"/>
  <c r="R346" i="37" s="1"/>
  <c r="R628" i="37" a="1"/>
  <c r="R628" i="37" s="1"/>
  <c r="R380" i="37" a="1"/>
  <c r="R380" i="37" s="1"/>
  <c r="R382" i="37" a="1"/>
  <c r="R382" i="37" s="1"/>
  <c r="R627" i="37" a="1"/>
  <c r="R627" i="37" s="1"/>
  <c r="R384" i="37" a="1"/>
  <c r="R384" i="37" s="1"/>
  <c r="R387" i="37" a="1"/>
  <c r="R387" i="37" s="1"/>
  <c r="R391" i="37" a="1"/>
  <c r="R391" i="37" s="1"/>
  <c r="R392" i="37" a="1"/>
  <c r="R392" i="37" s="1"/>
  <c r="R393" i="37" a="1"/>
  <c r="R393" i="37" s="1"/>
  <c r="R397" i="37" a="1"/>
  <c r="R397" i="37" s="1"/>
  <c r="R396" i="37" a="1"/>
  <c r="R396" i="37" s="1"/>
  <c r="R401" i="37" a="1"/>
  <c r="R401" i="37" s="1"/>
  <c r="R405" i="37" a="1"/>
  <c r="R405" i="37" s="1"/>
  <c r="R404" i="37" a="1"/>
  <c r="R404" i="37" s="1"/>
  <c r="R406" i="37" a="1"/>
  <c r="R406" i="37" s="1"/>
  <c r="R487" i="37" a="1"/>
  <c r="R487" i="37" s="1"/>
  <c r="R506" i="37" a="1"/>
  <c r="R506" i="37" s="1"/>
  <c r="R620" i="37" a="1"/>
  <c r="R620" i="37" s="1"/>
  <c r="R466" i="37" a="1"/>
  <c r="R466" i="37" s="1"/>
  <c r="R550" i="37" a="1"/>
  <c r="R550" i="37" s="1"/>
  <c r="R498" i="37" a="1"/>
  <c r="R498" i="37" s="1"/>
  <c r="R521" i="37" a="1"/>
  <c r="R521" i="37" s="1"/>
  <c r="R445" i="37" a="1"/>
  <c r="R445" i="37" s="1"/>
  <c r="R184" i="37" a="1"/>
  <c r="R184" i="37" s="1"/>
  <c r="R348" i="37" a="1"/>
  <c r="R348" i="37" s="1"/>
  <c r="R357" i="37" a="1"/>
  <c r="R357" i="37" s="1"/>
  <c r="R640" i="37" a="1"/>
  <c r="R640" i="37" s="1"/>
  <c r="R469" i="37" a="1"/>
  <c r="R469" i="37" s="1"/>
  <c r="R510" i="37" a="1"/>
  <c r="R510" i="37" s="1"/>
  <c r="R511" i="37" a="1"/>
  <c r="R511" i="37" s="1"/>
  <c r="R528" i="37" a="1"/>
  <c r="R528" i="37" s="1"/>
  <c r="R347" i="37" a="1"/>
  <c r="R347" i="37" s="1"/>
  <c r="R436" i="37" a="1"/>
  <c r="R436" i="37" s="1"/>
  <c r="R517" i="37" a="1"/>
  <c r="R517" i="37" s="1"/>
  <c r="R493" i="37" a="1"/>
  <c r="R493" i="37" s="1"/>
  <c r="R467" i="37" a="1"/>
  <c r="R467" i="37" s="1"/>
  <c r="R293" i="37" a="1"/>
  <c r="R293" i="37" s="1"/>
  <c r="R452" i="37" a="1"/>
  <c r="R452" i="37" s="1"/>
  <c r="R358" i="37" a="1"/>
  <c r="R358" i="37" s="1"/>
  <c r="R455" i="37" a="1"/>
  <c r="R455" i="37" s="1"/>
  <c r="R522" i="37" a="1"/>
  <c r="R522" i="37" s="1"/>
  <c r="R351" i="37" a="1"/>
  <c r="R351" i="37" s="1"/>
  <c r="R610" i="37" a="1"/>
  <c r="R610" i="37" s="1"/>
  <c r="R463" i="37" a="1"/>
  <c r="R463" i="37" s="1"/>
  <c r="R490" i="37" a="1"/>
  <c r="R490" i="37" s="1"/>
  <c r="R500" i="37" a="1"/>
  <c r="R500" i="37" s="1"/>
  <c r="R499" i="37" a="1"/>
  <c r="R499" i="37" s="1"/>
  <c r="R523" i="37" a="1"/>
  <c r="R523" i="37" s="1"/>
  <c r="R470" i="37" a="1"/>
  <c r="R470" i="37" s="1"/>
  <c r="R273" i="37" a="1"/>
  <c r="R273" i="37" s="1"/>
  <c r="R489" i="37" a="1"/>
  <c r="R489" i="37" s="1"/>
  <c r="R488" i="37" a="1"/>
  <c r="R488" i="37" s="1"/>
  <c r="R288" i="37" a="1"/>
  <c r="R288" i="37" s="1"/>
  <c r="R292" i="37" a="1"/>
  <c r="R292" i="37" s="1"/>
  <c r="R491" i="37" a="1"/>
  <c r="R491" i="37" s="1"/>
  <c r="R448" i="37" a="1"/>
  <c r="R448" i="37" s="1"/>
  <c r="R494" i="37" a="1"/>
  <c r="R494" i="37" s="1"/>
  <c r="R451" i="37" a="1"/>
  <c r="R451" i="37" s="1"/>
  <c r="R512" i="37" a="1"/>
  <c r="R512" i="37" s="1"/>
  <c r="R525" i="37" a="1"/>
  <c r="R525" i="37" s="1"/>
  <c r="R527" i="37" a="1"/>
  <c r="R527" i="37" s="1"/>
  <c r="R524" i="37" a="1"/>
  <c r="R524" i="37" s="1"/>
  <c r="R639" i="37" a="1"/>
  <c r="R639" i="37" s="1"/>
  <c r="R356" i="37" a="1"/>
  <c r="R356" i="37" s="1"/>
  <c r="R453" i="37" a="1"/>
  <c r="R453" i="37" s="1"/>
  <c r="R460" i="37" a="1"/>
  <c r="R460" i="37" s="1"/>
  <c r="R290" i="37" a="1"/>
  <c r="R290" i="37" s="1"/>
  <c r="R611" i="37" a="1"/>
  <c r="R611" i="37" s="1"/>
  <c r="R492" i="37" a="1"/>
  <c r="R492" i="37" s="1"/>
  <c r="R495" i="37" a="1"/>
  <c r="R495" i="37" s="1"/>
  <c r="R294" i="37" a="1"/>
  <c r="R294" i="37" s="1"/>
  <c r="R496" i="37" a="1"/>
  <c r="R496" i="37" s="1"/>
  <c r="R497" i="37" a="1"/>
  <c r="R497" i="37" s="1"/>
  <c r="R502" i="37" a="1"/>
  <c r="R502" i="37" s="1"/>
  <c r="R446" i="37" a="1"/>
  <c r="R446" i="37" s="1"/>
  <c r="R503" i="37" a="1"/>
  <c r="R503" i="37" s="1"/>
  <c r="R449" i="37" a="1"/>
  <c r="R449" i="37" s="1"/>
  <c r="R631" i="37" a="1"/>
  <c r="R631" i="37" s="1"/>
  <c r="R504" i="37" a="1"/>
  <c r="R504" i="37" s="1"/>
  <c r="R630" i="37" a="1"/>
  <c r="R630" i="37" s="1"/>
  <c r="R629" i="37" a="1"/>
  <c r="R629" i="37" s="1"/>
  <c r="R623" i="37" a="1"/>
  <c r="R623" i="37" s="1"/>
  <c r="R501" i="37" a="1"/>
  <c r="R501" i="37" s="1"/>
  <c r="R505" i="37" a="1"/>
  <c r="R505" i="37" s="1"/>
  <c r="R508" i="37" a="1"/>
  <c r="R508" i="37" s="1"/>
  <c r="R509" i="37" a="1"/>
  <c r="R509" i="37" s="1"/>
  <c r="R513" i="37" a="1"/>
  <c r="R513" i="37" s="1"/>
  <c r="R632" i="37" a="1"/>
  <c r="R632" i="37" s="1"/>
  <c r="R514" i="37" a="1"/>
  <c r="R514" i="37" s="1"/>
  <c r="R515" i="37" a="1"/>
  <c r="R515" i="37" s="1"/>
  <c r="R519" i="37" a="1"/>
  <c r="R519" i="37" s="1"/>
  <c r="R518" i="37" a="1"/>
  <c r="R518" i="37" s="1"/>
  <c r="R520" i="37" a="1"/>
  <c r="R520" i="37" s="1"/>
  <c r="R114" i="37" a="1"/>
  <c r="R114" i="37" s="1"/>
  <c r="R205" i="37" a="1"/>
  <c r="R205" i="37" s="1"/>
  <c r="R349" i="37" a="1"/>
  <c r="R349" i="37" s="1"/>
  <c r="R350" i="37" a="1"/>
  <c r="R350" i="37" s="1"/>
  <c r="R608" i="37" a="1"/>
  <c r="R608" i="37" s="1"/>
  <c r="R609" i="37" a="1"/>
  <c r="R609" i="37" s="1"/>
  <c r="R352" i="37" a="1"/>
  <c r="R352" i="37" s="1"/>
  <c r="R355" i="37" a="1"/>
  <c r="R355" i="37" s="1"/>
  <c r="R353" i="37" a="1"/>
  <c r="R353" i="37" s="1"/>
  <c r="R468" i="37" a="1"/>
  <c r="R468" i="37" s="1"/>
  <c r="R354" i="37" a="1"/>
  <c r="R354" i="37" s="1"/>
  <c r="R295" i="37" a="1"/>
  <c r="R295" i="37" s="1"/>
  <c r="R447" i="37" a="1"/>
  <c r="R447" i="37" s="1"/>
  <c r="R450" i="37" a="1"/>
  <c r="R450" i="37" s="1"/>
  <c r="R454" i="37" a="1"/>
  <c r="R454" i="37" s="1"/>
  <c r="R359" i="37" a="1"/>
  <c r="R359" i="37" s="1"/>
  <c r="R456" i="37" a="1"/>
  <c r="R456" i="37" s="1"/>
  <c r="R457" i="37" a="1"/>
  <c r="R457" i="37" s="1"/>
  <c r="R360" i="37" a="1"/>
  <c r="R360" i="37" s="1"/>
  <c r="R462" i="37" a="1"/>
  <c r="R462" i="37" s="1"/>
  <c r="R461" i="37" a="1"/>
  <c r="R461" i="37" s="1"/>
  <c r="R633" i="37" a="1"/>
  <c r="R633" i="37" s="1"/>
  <c r="R464" i="37" a="1"/>
  <c r="R464" i="37" s="1"/>
  <c r="R624" i="37" a="1"/>
  <c r="R624" i="37" s="1"/>
  <c r="R465" i="37" a="1"/>
  <c r="R465" i="37" s="1"/>
  <c r="R516" i="37" a="1"/>
  <c r="R516" i="37" s="1"/>
  <c r="R634" i="37" a="1"/>
  <c r="R634" i="37" s="1"/>
  <c r="R635" i="37" a="1"/>
  <c r="R635" i="37" s="1"/>
  <c r="R638" i="37" a="1"/>
  <c r="R638" i="37" s="1"/>
  <c r="R637" i="37" a="1"/>
  <c r="R637" i="37" s="1"/>
  <c r="R636" i="37" a="1"/>
  <c r="R636" i="37" s="1"/>
  <c r="R529" i="37" a="1"/>
  <c r="R529" i="37" s="1"/>
  <c r="R530" i="37" a="1"/>
  <c r="R530" i="37" s="1"/>
  <c r="R531" i="37" a="1"/>
  <c r="R531" i="37" s="1"/>
  <c r="R532" i="37" a="1"/>
  <c r="R532" i="37" s="1"/>
  <c r="Q2" i="37" a="1"/>
  <c r="Q2" i="37" s="1"/>
  <c r="Q3" i="37" a="1"/>
  <c r="Q3" i="37" s="1"/>
  <c r="Q10" i="37" a="1"/>
  <c r="Q10" i="37" s="1"/>
  <c r="Q534" i="37" a="1"/>
  <c r="Q534" i="37" s="1"/>
  <c r="Q533" i="37" a="1"/>
  <c r="Q533" i="37" s="1"/>
  <c r="Q6" i="37" a="1"/>
  <c r="Q6" i="37" s="1"/>
  <c r="Q5" i="37" a="1"/>
  <c r="Q5" i="37" s="1"/>
  <c r="Q11" i="37" a="1"/>
  <c r="Q11" i="37" s="1"/>
  <c r="Q4" i="37" a="1"/>
  <c r="Q4" i="37" s="1"/>
  <c r="Q23" i="37" a="1"/>
  <c r="Q23" i="37" s="1"/>
  <c r="Q7" i="37" a="1"/>
  <c r="Q7" i="37" s="1"/>
  <c r="Q13" i="37" a="1"/>
  <c r="Q13" i="37" s="1"/>
  <c r="Q24" i="37" a="1"/>
  <c r="Q24" i="37" s="1"/>
  <c r="Q36" i="37" a="1"/>
  <c r="Q36" i="37" s="1"/>
  <c r="Q25" i="37" a="1"/>
  <c r="Q25" i="37" s="1"/>
  <c r="Q37" i="37" a="1"/>
  <c r="Q37" i="37" s="1"/>
  <c r="Q20" i="37" a="1"/>
  <c r="Q20" i="37" s="1"/>
  <c r="Q14" i="37" a="1"/>
  <c r="Q14" i="37" s="1"/>
  <c r="Q15" i="37" a="1"/>
  <c r="Q15" i="37" s="1"/>
  <c r="Q19" i="37" a="1"/>
  <c r="Q19" i="37" s="1"/>
  <c r="Q22" i="37" a="1"/>
  <c r="Q22" i="37" s="1"/>
  <c r="Q26" i="37" a="1"/>
  <c r="Q26" i="37" s="1"/>
  <c r="Q537" i="37" a="1"/>
  <c r="Q537" i="37" s="1"/>
  <c r="Q27" i="37" a="1"/>
  <c r="Q27" i="37" s="1"/>
  <c r="Q21" i="37" a="1"/>
  <c r="Q21" i="37" s="1"/>
  <c r="Q38" i="37" a="1"/>
  <c r="Q38" i="37" s="1"/>
  <c r="Q538" i="37" a="1"/>
  <c r="Q538" i="37" s="1"/>
  <c r="Q28" i="37" a="1"/>
  <c r="Q28" i="37" s="1"/>
  <c r="Q16" i="37" a="1"/>
  <c r="Q16" i="37" s="1"/>
  <c r="Q39" i="37" a="1"/>
  <c r="Q39" i="37" s="1"/>
  <c r="Q40" i="37" a="1"/>
  <c r="Q40" i="37" s="1"/>
  <c r="Q29" i="37" a="1"/>
  <c r="Q29" i="37" s="1"/>
  <c r="Q41" i="37" a="1"/>
  <c r="Q41" i="37" s="1"/>
  <c r="Q33" i="37" a="1"/>
  <c r="Q33" i="37" s="1"/>
  <c r="Q42" i="37" a="1"/>
  <c r="Q42" i="37" s="1"/>
  <c r="Q539" i="37" a="1"/>
  <c r="Q539" i="37" s="1"/>
  <c r="Q85" i="37" a="1"/>
  <c r="Q85" i="37" s="1"/>
  <c r="Q43" i="37" a="1"/>
  <c r="Q43" i="37" s="1"/>
  <c r="Q44" i="37" a="1"/>
  <c r="Q44" i="37" s="1"/>
  <c r="Q535" i="37" a="1"/>
  <c r="Q535" i="37" s="1"/>
  <c r="Q45" i="37" a="1"/>
  <c r="Q45" i="37" s="1"/>
  <c r="Q17" i="37" a="1"/>
  <c r="Q17" i="37" s="1"/>
  <c r="Q70" i="37" a="1"/>
  <c r="Q70" i="37" s="1"/>
  <c r="Q30" i="37" a="1"/>
  <c r="Q30" i="37" s="1"/>
  <c r="Q18" i="37" a="1"/>
  <c r="Q18" i="37" s="1"/>
  <c r="Q62" i="37" a="1"/>
  <c r="Q62" i="37" s="1"/>
  <c r="Q57" i="37" a="1"/>
  <c r="Q57" i="37" s="1"/>
  <c r="Q46" i="37" a="1"/>
  <c r="Q46" i="37" s="1"/>
  <c r="Q61" i="37" a="1"/>
  <c r="Q61" i="37" s="1"/>
  <c r="Q71" i="37" a="1"/>
  <c r="Q71" i="37" s="1"/>
  <c r="Q31" i="37" a="1"/>
  <c r="Q31" i="37" s="1"/>
  <c r="Q541" i="37" a="1"/>
  <c r="Q541" i="37" s="1"/>
  <c r="Q56" i="37" a="1"/>
  <c r="Q56" i="37" s="1"/>
  <c r="Q536" i="37" a="1"/>
  <c r="Q536" i="37" s="1"/>
  <c r="Q47" i="37" a="1"/>
  <c r="Q47" i="37" s="1"/>
  <c r="Q86" i="37" a="1"/>
  <c r="Q86" i="37" s="1"/>
  <c r="Q72" i="37" a="1"/>
  <c r="Q72" i="37" s="1"/>
  <c r="Q48" i="37" a="1"/>
  <c r="Q48" i="37" s="1"/>
  <c r="Q547" i="37" a="1"/>
  <c r="Q547" i="37" s="1"/>
  <c r="Q115" i="37" a="1"/>
  <c r="Q115" i="37" s="1"/>
  <c r="Q562" i="37" a="1"/>
  <c r="Q562" i="37" s="1"/>
  <c r="Q58" i="37" a="1"/>
  <c r="Q58" i="37" s="1"/>
  <c r="Q63" i="37" a="1"/>
  <c r="Q63" i="37" s="1"/>
  <c r="Q34" i="37" a="1"/>
  <c r="Q34" i="37" s="1"/>
  <c r="Q540" i="37" a="1"/>
  <c r="Q540" i="37" s="1"/>
  <c r="Q116" i="37" a="1"/>
  <c r="Q116" i="37" s="1"/>
  <c r="Q12" i="37" a="1"/>
  <c r="Q12" i="37" s="1"/>
  <c r="Q32" i="37" a="1"/>
  <c r="Q32" i="37" s="1"/>
  <c r="Q73" i="37" a="1"/>
  <c r="Q73" i="37" s="1"/>
  <c r="Q74" i="37" a="1"/>
  <c r="Q74" i="37" s="1"/>
  <c r="Q542" i="37" a="1"/>
  <c r="Q542" i="37" s="1"/>
  <c r="Q75" i="37" a="1"/>
  <c r="Q75" i="37" s="1"/>
  <c r="Q543" i="37" a="1"/>
  <c r="Q543" i="37" s="1"/>
  <c r="Q117" i="37" a="1"/>
  <c r="Q117" i="37" s="1"/>
  <c r="Q546" i="37" a="1"/>
  <c r="Q546" i="37" s="1"/>
  <c r="Q99" i="37" a="1"/>
  <c r="Q99" i="37" s="1"/>
  <c r="Q67" i="37" a="1"/>
  <c r="Q67" i="37" s="1"/>
  <c r="Q100" i="37" a="1"/>
  <c r="Q100" i="37" s="1"/>
  <c r="Q68" i="37" a="1"/>
  <c r="Q68" i="37" s="1"/>
  <c r="Q64" i="37" a="1"/>
  <c r="Q64" i="37" s="1"/>
  <c r="Q101" i="37" a="1"/>
  <c r="Q101" i="37" s="1"/>
  <c r="Q65" i="37" a="1"/>
  <c r="Q65" i="37" s="1"/>
  <c r="Q92" i="37" a="1"/>
  <c r="Q92" i="37" s="1"/>
  <c r="Q49" i="37" a="1"/>
  <c r="Q49" i="37" s="1"/>
  <c r="Q185" i="37" a="1"/>
  <c r="Q185" i="37" s="1"/>
  <c r="Q163" i="37" a="1"/>
  <c r="Q163" i="37" s="1"/>
  <c r="Q76" i="37" a="1"/>
  <c r="Q76" i="37" s="1"/>
  <c r="Q87" i="37" a="1"/>
  <c r="Q87" i="37" s="1"/>
  <c r="Q82" i="37" a="1"/>
  <c r="Q82" i="37" s="1"/>
  <c r="Q88" i="37" a="1"/>
  <c r="Q88" i="37" s="1"/>
  <c r="Q554" i="37" a="1"/>
  <c r="Q554" i="37" s="1"/>
  <c r="Q93" i="37" a="1"/>
  <c r="Q93" i="37" s="1"/>
  <c r="Q118" i="37" a="1"/>
  <c r="Q118" i="37" s="1"/>
  <c r="Q83" i="37" a="1"/>
  <c r="Q83" i="37" s="1"/>
  <c r="Q164" i="37" a="1"/>
  <c r="Q164" i="37" s="1"/>
  <c r="Q119" i="37" a="1"/>
  <c r="Q119" i="37" s="1"/>
  <c r="Q549" i="37" a="1"/>
  <c r="Q549" i="37" s="1"/>
  <c r="Q50" i="37" a="1"/>
  <c r="Q50" i="37" s="1"/>
  <c r="Q120" i="37" a="1"/>
  <c r="Q120" i="37" s="1"/>
  <c r="Q121" i="37" a="1"/>
  <c r="Q121" i="37" s="1"/>
  <c r="Q84" i="37" a="1"/>
  <c r="Q84" i="37" s="1"/>
  <c r="Q165" i="37" a="1"/>
  <c r="Q165" i="37" s="1"/>
  <c r="Q206" i="37" a="1"/>
  <c r="Q206" i="37" s="1"/>
  <c r="Q89" i="37" a="1"/>
  <c r="Q89" i="37" s="1"/>
  <c r="Q574" i="37" a="1"/>
  <c r="Q574" i="37" s="1"/>
  <c r="Q166" i="37" a="1"/>
  <c r="Q166" i="37" s="1"/>
  <c r="Q167" i="37" a="1"/>
  <c r="Q167" i="37" s="1"/>
  <c r="Q77" i="37" a="1"/>
  <c r="Q77" i="37" s="1"/>
  <c r="Q123" i="37" a="1"/>
  <c r="Q123" i="37" s="1"/>
  <c r="Q122" i="37" a="1"/>
  <c r="Q122" i="37" s="1"/>
  <c r="Q575" i="37" a="1"/>
  <c r="Q575" i="37" s="1"/>
  <c r="Q96" i="37" a="1"/>
  <c r="Q96" i="37" s="1"/>
  <c r="Q186" i="37" a="1"/>
  <c r="Q186" i="37" s="1"/>
  <c r="Q176" i="37" a="1"/>
  <c r="Q176" i="37" s="1"/>
  <c r="Q151" i="37" a="1"/>
  <c r="Q151" i="37" s="1"/>
  <c r="Q97" i="37" a="1"/>
  <c r="Q97" i="37" s="1"/>
  <c r="Q274" i="37" a="1"/>
  <c r="Q274" i="37" s="1"/>
  <c r="Q545" i="37" a="1"/>
  <c r="Q545" i="37" s="1"/>
  <c r="Q187" i="37" a="1"/>
  <c r="Q187" i="37" s="1"/>
  <c r="Q207" i="37" a="1"/>
  <c r="Q207" i="37" s="1"/>
  <c r="Q9" i="37" a="1"/>
  <c r="Q9" i="37" s="1"/>
  <c r="Q570" i="37" a="1"/>
  <c r="Q570" i="37" s="1"/>
  <c r="Q296" i="37" a="1"/>
  <c r="Q296" i="37" s="1"/>
  <c r="Q102" i="37" a="1"/>
  <c r="Q102" i="37" s="1"/>
  <c r="Q66" i="37" a="1"/>
  <c r="Q66" i="37" s="1"/>
  <c r="Q177" i="37" a="1"/>
  <c r="Q177" i="37" s="1"/>
  <c r="Q297" i="37" a="1"/>
  <c r="Q297" i="37" s="1"/>
  <c r="Q576" i="37" a="1"/>
  <c r="Q576" i="37" s="1"/>
  <c r="Q156" i="37" a="1"/>
  <c r="Q156" i="37" s="1"/>
  <c r="Q188" i="37" a="1"/>
  <c r="Q188" i="37" s="1"/>
  <c r="Q189" i="37" a="1"/>
  <c r="Q189" i="37" s="1"/>
  <c r="Q103" i="37" a="1"/>
  <c r="Q103" i="37" s="1"/>
  <c r="Q190" i="37" a="1"/>
  <c r="Q190" i="37" s="1"/>
  <c r="Q152" i="37" a="1"/>
  <c r="Q152" i="37" s="1"/>
  <c r="Q208" i="37" a="1"/>
  <c r="Q208" i="37" s="1"/>
  <c r="Q209" i="37" a="1"/>
  <c r="Q209" i="37" s="1"/>
  <c r="Q210" i="37" a="1"/>
  <c r="Q210" i="37" s="1"/>
  <c r="Q596" i="37" a="1"/>
  <c r="Q596" i="37" s="1"/>
  <c r="Q168" i="37" a="1"/>
  <c r="Q168" i="37" s="1"/>
  <c r="Q568" i="37" a="1"/>
  <c r="Q568" i="37" s="1"/>
  <c r="Q124" i="37" a="1"/>
  <c r="Q124" i="37" s="1"/>
  <c r="Q571" i="37" a="1"/>
  <c r="Q571" i="37" s="1"/>
  <c r="Q175" i="37" a="1"/>
  <c r="Q175" i="37" s="1"/>
  <c r="Q211" i="37" a="1"/>
  <c r="Q211" i="37" s="1"/>
  <c r="Q104" i="37" a="1"/>
  <c r="Q104" i="37" s="1"/>
  <c r="Q125" i="37" a="1"/>
  <c r="Q125" i="37" s="1"/>
  <c r="Q105" i="37" a="1"/>
  <c r="Q105" i="37" s="1"/>
  <c r="Q126" i="37" a="1"/>
  <c r="Q126" i="37" s="1"/>
  <c r="Q548" i="37" a="1"/>
  <c r="Q548" i="37" s="1"/>
  <c r="Q191" i="37" a="1"/>
  <c r="Q191" i="37" s="1"/>
  <c r="Q563" i="37" a="1"/>
  <c r="Q563" i="37" s="1"/>
  <c r="Q213" i="37" a="1"/>
  <c r="Q213" i="37" s="1"/>
  <c r="Q298" i="37" a="1"/>
  <c r="Q298" i="37" s="1"/>
  <c r="Q106" i="37" a="1"/>
  <c r="Q106" i="37" s="1"/>
  <c r="Q212" i="37" a="1"/>
  <c r="Q212" i="37" s="1"/>
  <c r="Q564" i="37" a="1"/>
  <c r="Q564" i="37" s="1"/>
  <c r="Q577" i="37" a="1"/>
  <c r="Q577" i="37" s="1"/>
  <c r="Q107" i="37" a="1"/>
  <c r="Q107" i="37" s="1"/>
  <c r="Q157" i="37" a="1"/>
  <c r="Q157" i="37" s="1"/>
  <c r="Q214" i="37" a="1"/>
  <c r="Q214" i="37" s="1"/>
  <c r="Q158" i="37" a="1"/>
  <c r="Q158" i="37" s="1"/>
  <c r="Q578" i="37" a="1"/>
  <c r="Q578" i="37" s="1"/>
  <c r="Q215" i="37" a="1"/>
  <c r="Q215" i="37" s="1"/>
  <c r="Q155" i="37" a="1"/>
  <c r="Q155" i="37" s="1"/>
  <c r="Q216" i="37" a="1"/>
  <c r="Q216" i="37" s="1"/>
  <c r="Q217" i="37" a="1"/>
  <c r="Q217" i="37" s="1"/>
  <c r="Q127" i="37" a="1"/>
  <c r="Q127" i="37" s="1"/>
  <c r="Q90" i="37" a="1"/>
  <c r="Q90" i="37" s="1"/>
  <c r="Q153" i="37" a="1"/>
  <c r="Q153" i="37" s="1"/>
  <c r="Q128" i="37" a="1"/>
  <c r="Q128" i="37" s="1"/>
  <c r="Q299" i="37" a="1"/>
  <c r="Q299" i="37" s="1"/>
  <c r="Q192" i="37" a="1"/>
  <c r="Q192" i="37" s="1"/>
  <c r="Q129" i="37" a="1"/>
  <c r="Q129" i="37" s="1"/>
  <c r="Q565" i="37" a="1"/>
  <c r="Q565" i="37" s="1"/>
  <c r="Q130" i="37" a="1"/>
  <c r="Q130" i="37" s="1"/>
  <c r="Q218" i="37" a="1"/>
  <c r="Q218" i="37" s="1"/>
  <c r="Q131" i="37" a="1"/>
  <c r="Q131" i="37" s="1"/>
  <c r="Q154" i="37" a="1"/>
  <c r="Q154" i="37" s="1"/>
  <c r="Q555" i="37" a="1"/>
  <c r="Q555" i="37" s="1"/>
  <c r="Q579" i="37" a="1"/>
  <c r="Q579" i="37" s="1"/>
  <c r="Q132" i="37" a="1"/>
  <c r="Q132" i="37" s="1"/>
  <c r="Q580" i="37" a="1"/>
  <c r="Q580" i="37" s="1"/>
  <c r="Q219" i="37" a="1"/>
  <c r="Q219" i="37" s="1"/>
  <c r="Q133" i="37" a="1"/>
  <c r="Q133" i="37" s="1"/>
  <c r="Q134" i="37" a="1"/>
  <c r="Q134" i="37" s="1"/>
  <c r="Q599" i="37" a="1"/>
  <c r="Q599" i="37" s="1"/>
  <c r="Q220" i="37" a="1"/>
  <c r="Q220" i="37" s="1"/>
  <c r="Q221" i="37" a="1"/>
  <c r="Q221" i="37" s="1"/>
  <c r="Q59" i="37" a="1"/>
  <c r="Q59" i="37" s="1"/>
  <c r="Q222" i="37" a="1"/>
  <c r="Q222" i="37" s="1"/>
  <c r="Q223" i="37" a="1"/>
  <c r="Q223" i="37" s="1"/>
  <c r="Q275" i="37" a="1"/>
  <c r="Q275" i="37" s="1"/>
  <c r="Q51" i="37" a="1"/>
  <c r="Q51" i="37" s="1"/>
  <c r="Q224" i="37" a="1"/>
  <c r="Q224" i="37" s="1"/>
  <c r="Q78" i="37" a="1"/>
  <c r="Q78" i="37" s="1"/>
  <c r="Q225" i="37" a="1"/>
  <c r="Q225" i="37" s="1"/>
  <c r="Q35" i="37" a="1"/>
  <c r="Q35" i="37" s="1"/>
  <c r="Q226" i="37" a="1"/>
  <c r="Q226" i="37" s="1"/>
  <c r="Q169" i="37" a="1"/>
  <c r="Q169" i="37" s="1"/>
  <c r="Q170" i="37" a="1"/>
  <c r="Q170" i="37" s="1"/>
  <c r="Q557" i="37" a="1"/>
  <c r="Q557" i="37" s="1"/>
  <c r="Q361" i="37" a="1"/>
  <c r="Q361" i="37" s="1"/>
  <c r="Q558" i="37" a="1"/>
  <c r="Q558" i="37" s="1"/>
  <c r="Q227" i="37" a="1"/>
  <c r="Q227" i="37" s="1"/>
  <c r="Q556" i="37" a="1"/>
  <c r="Q556" i="37" s="1"/>
  <c r="Q228" i="37" a="1"/>
  <c r="Q228" i="37" s="1"/>
  <c r="Q171" i="37" a="1"/>
  <c r="Q171" i="37" s="1"/>
  <c r="Q178" i="37" a="1"/>
  <c r="Q178" i="37" s="1"/>
  <c r="Q595" i="37" a="1"/>
  <c r="Q595" i="37" s="1"/>
  <c r="Q193" i="37" a="1"/>
  <c r="Q193" i="37" s="1"/>
  <c r="Q69" i="37" a="1"/>
  <c r="Q69" i="37" s="1"/>
  <c r="Q179" i="37" a="1"/>
  <c r="Q179" i="37" s="1"/>
  <c r="Q135" i="37" a="1"/>
  <c r="Q135" i="37" s="1"/>
  <c r="Q108" i="37" a="1"/>
  <c r="Q108" i="37" s="1"/>
  <c r="Q300" i="37" a="1"/>
  <c r="Q300" i="37" s="1"/>
  <c r="Q98" i="37" a="1"/>
  <c r="Q98" i="37" s="1"/>
  <c r="Q159" i="37" a="1"/>
  <c r="Q159" i="37" s="1"/>
  <c r="Q597" i="37" a="1"/>
  <c r="Q597" i="37" s="1"/>
  <c r="Q560" i="37" a="1"/>
  <c r="Q560" i="37" s="1"/>
  <c r="Q79" i="37" a="1"/>
  <c r="Q79" i="37" s="1"/>
  <c r="Q279" i="37" a="1"/>
  <c r="Q279" i="37" s="1"/>
  <c r="Q569" i="37" a="1"/>
  <c r="Q569" i="37" s="1"/>
  <c r="Q229" i="37" a="1"/>
  <c r="Q229" i="37" s="1"/>
  <c r="Q230" i="37" a="1"/>
  <c r="Q230" i="37" s="1"/>
  <c r="Q301" i="37" a="1"/>
  <c r="Q301" i="37" s="1"/>
  <c r="Q437" i="37" a="1"/>
  <c r="Q437" i="37" s="1"/>
  <c r="Q160" i="37" a="1"/>
  <c r="Q160" i="37" s="1"/>
  <c r="Q280" i="37" a="1"/>
  <c r="Q280" i="37" s="1"/>
  <c r="Q302" i="37" a="1"/>
  <c r="Q302" i="37" s="1"/>
  <c r="Q231" i="37" a="1"/>
  <c r="Q231" i="37" s="1"/>
  <c r="Q303" i="37" a="1"/>
  <c r="Q303" i="37" s="1"/>
  <c r="Q304" i="37" a="1"/>
  <c r="Q304" i="37" s="1"/>
  <c r="Q305" i="37" a="1"/>
  <c r="Q305" i="37" s="1"/>
  <c r="Q194" i="37" a="1"/>
  <c r="Q194" i="37" s="1"/>
  <c r="Q265" i="37" a="1"/>
  <c r="Q265" i="37" s="1"/>
  <c r="Q306" i="37" a="1"/>
  <c r="Q306" i="37" s="1"/>
  <c r="Q232" i="37" a="1"/>
  <c r="Q232" i="37" s="1"/>
  <c r="Q195" i="37" a="1"/>
  <c r="Q195" i="37" s="1"/>
  <c r="Q598" i="37" a="1"/>
  <c r="Q598" i="37" s="1"/>
  <c r="Q281" i="37" a="1"/>
  <c r="Q281" i="37" s="1"/>
  <c r="Q600" i="37" a="1"/>
  <c r="Q600" i="37" s="1"/>
  <c r="Q80" i="37" a="1"/>
  <c r="Q80" i="37" s="1"/>
  <c r="Q270" i="37" a="1"/>
  <c r="Q270" i="37" s="1"/>
  <c r="Q180" i="37" a="1"/>
  <c r="Q180" i="37" s="1"/>
  <c r="Q307" i="37" a="1"/>
  <c r="Q307" i="37" s="1"/>
  <c r="Q267" i="37" a="1"/>
  <c r="Q267" i="37" s="1"/>
  <c r="Q196" i="37" a="1"/>
  <c r="Q196" i="37" s="1"/>
  <c r="Q269" i="37" a="1"/>
  <c r="Q269" i="37" s="1"/>
  <c r="Q198" i="37" a="1"/>
  <c r="Q198" i="37" s="1"/>
  <c r="Q282" i="37" a="1"/>
  <c r="Q282" i="37" s="1"/>
  <c r="Q308" i="37" a="1"/>
  <c r="Q308" i="37" s="1"/>
  <c r="Q471" i="37" a="1"/>
  <c r="Q471" i="37" s="1"/>
  <c r="Q283" i="37" a="1"/>
  <c r="Q283" i="37" s="1"/>
  <c r="Q161" i="37" a="1"/>
  <c r="Q161" i="37" s="1"/>
  <c r="Q581" i="37" a="1"/>
  <c r="Q581" i="37" s="1"/>
  <c r="Q234" i="37" a="1"/>
  <c r="Q234" i="37" s="1"/>
  <c r="Q233" i="37" a="1"/>
  <c r="Q233" i="37" s="1"/>
  <c r="Q235" i="37" a="1"/>
  <c r="Q235" i="37" s="1"/>
  <c r="Q268" i="37" a="1"/>
  <c r="Q268" i="37" s="1"/>
  <c r="Q199" i="37" a="1"/>
  <c r="Q199" i="37" s="1"/>
  <c r="Q236" i="37" a="1"/>
  <c r="Q236" i="37" s="1"/>
  <c r="Q582" i="37" a="1"/>
  <c r="Q582" i="37" s="1"/>
  <c r="Q237" i="37" a="1"/>
  <c r="Q237" i="37" s="1"/>
  <c r="Q238" i="37" a="1"/>
  <c r="Q238" i="37" s="1"/>
  <c r="Q583" i="37" a="1"/>
  <c r="Q583" i="37" s="1"/>
  <c r="Q172" i="37" a="1"/>
  <c r="Q172" i="37" s="1"/>
  <c r="Q239" i="37" a="1"/>
  <c r="Q239" i="37" s="1"/>
  <c r="Q363" i="37" a="1"/>
  <c r="Q363" i="37" s="1"/>
  <c r="Q364" i="37" a="1"/>
  <c r="Q364" i="37" s="1"/>
  <c r="Q362" i="37" a="1"/>
  <c r="Q362" i="37" s="1"/>
  <c r="Q594" i="37" a="1"/>
  <c r="Q594" i="37" s="1"/>
  <c r="Q612" i="37" a="1"/>
  <c r="Q612" i="37" s="1"/>
  <c r="Q266" i="37" a="1"/>
  <c r="Q266" i="37" s="1"/>
  <c r="Q309" i="37" a="1"/>
  <c r="Q309" i="37" s="1"/>
  <c r="Q365" i="37" a="1"/>
  <c r="Q365" i="37" s="1"/>
  <c r="Q240" i="37" a="1"/>
  <c r="Q240" i="37" s="1"/>
  <c r="Q91" i="37" a="1"/>
  <c r="Q91" i="37" s="1"/>
  <c r="Q613" i="37" a="1"/>
  <c r="Q613" i="37" s="1"/>
  <c r="Q551" i="37" a="1"/>
  <c r="Q551" i="37" s="1"/>
  <c r="Q271" i="37" a="1"/>
  <c r="Q271" i="37" s="1"/>
  <c r="Q584" i="37" a="1"/>
  <c r="Q584" i="37" s="1"/>
  <c r="Q52" i="37" a="1"/>
  <c r="Q52" i="37" s="1"/>
  <c r="Q366" i="37" a="1"/>
  <c r="Q366" i="37" s="1"/>
  <c r="Q241" i="37" a="1"/>
  <c r="Q241" i="37" s="1"/>
  <c r="Q614" i="37" a="1"/>
  <c r="Q614" i="37" s="1"/>
  <c r="Q367" i="37" a="1"/>
  <c r="Q367" i="37" s="1"/>
  <c r="Q544" i="37" a="1"/>
  <c r="Q544" i="37" s="1"/>
  <c r="Q136" i="37" a="1"/>
  <c r="Q136" i="37" s="1"/>
  <c r="Q585" i="37" a="1"/>
  <c r="Q585" i="37" s="1"/>
  <c r="Q371" i="37" a="1"/>
  <c r="Q371" i="37" s="1"/>
  <c r="Q369" i="37" a="1"/>
  <c r="Q369" i="37" s="1"/>
  <c r="Q615" i="37" a="1"/>
  <c r="Q615" i="37" s="1"/>
  <c r="Q368" i="37" a="1"/>
  <c r="Q368" i="37" s="1"/>
  <c r="Q370" i="37" a="1"/>
  <c r="Q370" i="37" s="1"/>
  <c r="Q242" i="37" a="1"/>
  <c r="Q242" i="37" s="1"/>
  <c r="Q244" i="37" a="1"/>
  <c r="Q244" i="37" s="1"/>
  <c r="Q372" i="37" a="1"/>
  <c r="Q372" i="37" s="1"/>
  <c r="Q566" i="37" a="1"/>
  <c r="Q566" i="37" s="1"/>
  <c r="Q243" i="37" a="1"/>
  <c r="Q243" i="37" s="1"/>
  <c r="Q407" i="37" a="1"/>
  <c r="Q407" i="37" s="1"/>
  <c r="Q8" i="37" a="1"/>
  <c r="Q8" i="37" s="1"/>
  <c r="Q310" i="37" a="1"/>
  <c r="Q310" i="37" s="1"/>
  <c r="Q385" i="37" a="1"/>
  <c r="Q385" i="37" s="1"/>
  <c r="Q94" i="37" a="1"/>
  <c r="Q94" i="37" s="1"/>
  <c r="Q55" i="37" a="1"/>
  <c r="Q55" i="37" s="1"/>
  <c r="Q258" i="37" a="1"/>
  <c r="Q258" i="37" s="1"/>
  <c r="Q137" i="37" a="1"/>
  <c r="Q137" i="37" s="1"/>
  <c r="Q54" i="37" a="1"/>
  <c r="Q54" i="37" s="1"/>
  <c r="Q418" i="37" a="1"/>
  <c r="Q418" i="37" s="1"/>
  <c r="Q174" i="37" a="1"/>
  <c r="Q174" i="37" s="1"/>
  <c r="Q311" i="37" a="1"/>
  <c r="Q311" i="37" s="1"/>
  <c r="Q416" i="37" a="1"/>
  <c r="Q416" i="37" s="1"/>
  <c r="Q312" i="37" a="1"/>
  <c r="Q312" i="37" s="1"/>
  <c r="Q145" i="37" a="1"/>
  <c r="Q145" i="37" s="1"/>
  <c r="Q278" i="37" a="1"/>
  <c r="Q278" i="37" s="1"/>
  <c r="Q181" i="37" a="1"/>
  <c r="Q181" i="37" s="1"/>
  <c r="Q375" i="37" a="1"/>
  <c r="Q375" i="37" s="1"/>
  <c r="Q146" i="37" a="1"/>
  <c r="Q146" i="37" s="1"/>
  <c r="Q388" i="37" a="1"/>
  <c r="Q388" i="37" s="1"/>
  <c r="Q419" i="37" a="1"/>
  <c r="Q419" i="37" s="1"/>
  <c r="Q60" i="37" a="1"/>
  <c r="Q60" i="37" s="1"/>
  <c r="Q81" i="37" a="1"/>
  <c r="Q81" i="37" s="1"/>
  <c r="Q149" i="37" a="1"/>
  <c r="Q149" i="37" s="1"/>
  <c r="Q246" i="37" a="1"/>
  <c r="Q246" i="37" s="1"/>
  <c r="Q590" i="37" a="1"/>
  <c r="Q590" i="37" s="1"/>
  <c r="Q254" i="37" a="1"/>
  <c r="Q254" i="37" s="1"/>
  <c r="Q373" i="37" a="1"/>
  <c r="Q373" i="37" s="1"/>
  <c r="Q376" i="37" a="1"/>
  <c r="Q376" i="37" s="1"/>
  <c r="Q378" i="37" a="1"/>
  <c r="Q378" i="37" s="1"/>
  <c r="Q410" i="37" a="1"/>
  <c r="Q410" i="37" s="1"/>
  <c r="Q409" i="37" a="1"/>
  <c r="Q409" i="37" s="1"/>
  <c r="Q420" i="37" a="1"/>
  <c r="Q420" i="37" s="1"/>
  <c r="Q248" i="37" a="1"/>
  <c r="Q248" i="37" s="1"/>
  <c r="Q247" i="37" a="1"/>
  <c r="Q247" i="37" s="1"/>
  <c r="Q259" i="37" a="1"/>
  <c r="Q259" i="37" s="1"/>
  <c r="Q402" i="37" a="1"/>
  <c r="Q402" i="37" s="1"/>
  <c r="Q415" i="37" a="1"/>
  <c r="Q415" i="37" s="1"/>
  <c r="Q417" i="37" a="1"/>
  <c r="Q417" i="37" s="1"/>
  <c r="Q53" i="37" a="1"/>
  <c r="Q53" i="37" s="1"/>
  <c r="Q140" i="37" a="1"/>
  <c r="Q140" i="37" s="1"/>
  <c r="Q142" i="37" a="1"/>
  <c r="Q142" i="37" s="1"/>
  <c r="Q109" i="37" a="1"/>
  <c r="Q109" i="37" s="1"/>
  <c r="Q313" i="37" a="1"/>
  <c r="Q313" i="37" s="1"/>
  <c r="Q314" i="37" a="1"/>
  <c r="Q314" i="37" s="1"/>
  <c r="Q601" i="37" a="1"/>
  <c r="Q601" i="37" s="1"/>
  <c r="Q315" i="37" a="1"/>
  <c r="Q315" i="37" s="1"/>
  <c r="Q618" i="37" a="1"/>
  <c r="Q618" i="37" s="1"/>
  <c r="Q143" i="37" a="1"/>
  <c r="Q143" i="37" s="1"/>
  <c r="Q622" i="37" a="1"/>
  <c r="Q622" i="37" s="1"/>
  <c r="Q316" i="37" a="1"/>
  <c r="Q316" i="37" s="1"/>
  <c r="Q552" i="37" a="1"/>
  <c r="Q552" i="37" s="1"/>
  <c r="Q317" i="37" a="1"/>
  <c r="Q317" i="37" s="1"/>
  <c r="Q182" i="37" a="1"/>
  <c r="Q182" i="37" s="1"/>
  <c r="Q200" i="37" a="1"/>
  <c r="Q200" i="37" s="1"/>
  <c r="Q284" i="37" a="1"/>
  <c r="Q284" i="37" s="1"/>
  <c r="Q427" i="37" a="1"/>
  <c r="Q427" i="37" s="1"/>
  <c r="Q147" i="37" a="1"/>
  <c r="Q147" i="37" s="1"/>
  <c r="Q173" i="37" a="1"/>
  <c r="Q173" i="37" s="1"/>
  <c r="Q318" i="37" a="1"/>
  <c r="Q318" i="37" s="1"/>
  <c r="Q435" i="37" a="1"/>
  <c r="Q435" i="37" s="1"/>
  <c r="Q285" i="37" a="1"/>
  <c r="Q285" i="37" s="1"/>
  <c r="Q602" i="37" a="1"/>
  <c r="Q602" i="37" s="1"/>
  <c r="Q319" i="37" a="1"/>
  <c r="Q319" i="37" s="1"/>
  <c r="Q148" i="37" a="1"/>
  <c r="Q148" i="37" s="1"/>
  <c r="Q320" i="37" a="1"/>
  <c r="Q320" i="37" s="1"/>
  <c r="Q321" i="37" a="1"/>
  <c r="Q321" i="37" s="1"/>
  <c r="Q150" i="37" a="1"/>
  <c r="Q150" i="37" s="1"/>
  <c r="Q322" i="37" a="1"/>
  <c r="Q322" i="37" s="1"/>
  <c r="Q323" i="37" a="1"/>
  <c r="Q323" i="37" s="1"/>
  <c r="Q621" i="37" a="1"/>
  <c r="Q621" i="37" s="1"/>
  <c r="Q424" i="37" a="1"/>
  <c r="Q424" i="37" s="1"/>
  <c r="Q201" i="37" a="1"/>
  <c r="Q201" i="37" s="1"/>
  <c r="Q440" i="37" a="1"/>
  <c r="Q440" i="37" s="1"/>
  <c r="Q110" i="37" a="1"/>
  <c r="Q110" i="37" s="1"/>
  <c r="Q286" i="37" a="1"/>
  <c r="Q286" i="37" s="1"/>
  <c r="Q325" i="37" a="1"/>
  <c r="Q325" i="37" s="1"/>
  <c r="Q423" i="37" a="1"/>
  <c r="Q423" i="37" s="1"/>
  <c r="Q431" i="37" a="1"/>
  <c r="Q431" i="37" s="1"/>
  <c r="Q421" i="37" a="1"/>
  <c r="Q421" i="37" s="1"/>
  <c r="Q245" i="37" a="1"/>
  <c r="Q245" i="37" s="1"/>
  <c r="Q434" i="37" a="1"/>
  <c r="Q434" i="37" s="1"/>
  <c r="Q324" i="37" a="1"/>
  <c r="Q324" i="37" s="1"/>
  <c r="Q572" i="37" a="1"/>
  <c r="Q572" i="37" s="1"/>
  <c r="Q202" i="37" a="1"/>
  <c r="Q202" i="37" s="1"/>
  <c r="Q588" i="37" a="1"/>
  <c r="Q588" i="37" s="1"/>
  <c r="Q603" i="37" a="1"/>
  <c r="Q603" i="37" s="1"/>
  <c r="Q619" i="37" a="1"/>
  <c r="Q619" i="37" s="1"/>
  <c r="Q250" i="37" a="1"/>
  <c r="Q250" i="37" s="1"/>
  <c r="Q441" i="37" a="1"/>
  <c r="Q441" i="37" s="1"/>
  <c r="Q438" i="37" a="1"/>
  <c r="Q438" i="37" s="1"/>
  <c r="Q327" i="37" a="1"/>
  <c r="Q327" i="37" s="1"/>
  <c r="Q426" i="37" a="1"/>
  <c r="Q426" i="37" s="1"/>
  <c r="Q287" i="37" a="1"/>
  <c r="Q287" i="37" s="1"/>
  <c r="Q95" i="37" a="1"/>
  <c r="Q95" i="37" s="1"/>
  <c r="Q326" i="37" a="1"/>
  <c r="Q326" i="37" s="1"/>
  <c r="Q249" i="37" a="1"/>
  <c r="Q249" i="37" s="1"/>
  <c r="Q425" i="37" a="1"/>
  <c r="Q425" i="37" s="1"/>
  <c r="Q604" i="37" a="1"/>
  <c r="Q604" i="37" s="1"/>
  <c r="Q162" i="37" a="1"/>
  <c r="Q162" i="37" s="1"/>
  <c r="Q276" i="37" a="1"/>
  <c r="Q276" i="37" s="1"/>
  <c r="Q328" i="37" a="1"/>
  <c r="Q328" i="37" s="1"/>
  <c r="Q472" i="37" a="1"/>
  <c r="Q472" i="37" s="1"/>
  <c r="Q272" i="37" a="1"/>
  <c r="Q272" i="37" s="1"/>
  <c r="Q255" i="37" a="1"/>
  <c r="Q255" i="37" s="1"/>
  <c r="Q277" i="37" a="1"/>
  <c r="Q277" i="37" s="1"/>
  <c r="Q442" i="37" a="1"/>
  <c r="Q442" i="37" s="1"/>
  <c r="Q591" i="37" a="1"/>
  <c r="Q591" i="37" s="1"/>
  <c r="Q592" i="37" a="1"/>
  <c r="Q592" i="37" s="1"/>
  <c r="Q329" i="37" a="1"/>
  <c r="Q329" i="37" s="1"/>
  <c r="Q473" i="37" a="1"/>
  <c r="Q473" i="37" s="1"/>
  <c r="Q474" i="37" a="1"/>
  <c r="Q474" i="37" s="1"/>
  <c r="Q428" i="37" a="1"/>
  <c r="Q428" i="37" s="1"/>
  <c r="Q330" i="37" a="1"/>
  <c r="Q330" i="37" s="1"/>
  <c r="Q257" i="37" a="1"/>
  <c r="Q257" i="37" s="1"/>
  <c r="Q429" i="37" a="1"/>
  <c r="Q429" i="37" s="1"/>
  <c r="Q263" i="37" a="1"/>
  <c r="Q263" i="37" s="1"/>
  <c r="Q444" i="37" a="1"/>
  <c r="Q444" i="37" s="1"/>
  <c r="Q430" i="37" a="1"/>
  <c r="Q430" i="37" s="1"/>
  <c r="Q432" i="37" a="1"/>
  <c r="Q432" i="37" s="1"/>
  <c r="Q260" i="37" a="1"/>
  <c r="Q260" i="37" s="1"/>
  <c r="Q261" i="37" a="1"/>
  <c r="Q261" i="37" s="1"/>
  <c r="Q262" i="37" a="1"/>
  <c r="Q262" i="37" s="1"/>
  <c r="Q331" i="37" a="1"/>
  <c r="Q331" i="37" s="1"/>
  <c r="Q374" i="37" a="1"/>
  <c r="Q374" i="37" s="1"/>
  <c r="Q332" i="37" a="1"/>
  <c r="Q332" i="37" s="1"/>
  <c r="Q377" i="37" a="1"/>
  <c r="Q377" i="37" s="1"/>
  <c r="Q203" i="37" a="1"/>
  <c r="Q203" i="37" s="1"/>
  <c r="Q111" i="37" a="1"/>
  <c r="Q111" i="37" s="1"/>
  <c r="Q379" i="37" a="1"/>
  <c r="Q379" i="37" s="1"/>
  <c r="Q333" i="37" a="1"/>
  <c r="Q333" i="37" s="1"/>
  <c r="Q334" i="37" a="1"/>
  <c r="Q334" i="37" s="1"/>
  <c r="Q443" i="37" a="1"/>
  <c r="Q443" i="37" s="1"/>
  <c r="Q459" i="37" a="1"/>
  <c r="Q459" i="37" s="1"/>
  <c r="Q289" i="37" a="1"/>
  <c r="Q289" i="37" s="1"/>
  <c r="Q475" i="37" a="1"/>
  <c r="Q475" i="37" s="1"/>
  <c r="Q335" i="37" a="1"/>
  <c r="Q335" i="37" s="1"/>
  <c r="Q112" i="37" a="1"/>
  <c r="Q112" i="37" s="1"/>
  <c r="Q422" i="37" a="1"/>
  <c r="Q422" i="37" s="1"/>
  <c r="Q381" i="37" a="1"/>
  <c r="Q381" i="37" s="1"/>
  <c r="Q605" i="37" a="1"/>
  <c r="Q605" i="37" s="1"/>
  <c r="Q616" i="37" a="1"/>
  <c r="Q616" i="37" s="1"/>
  <c r="Q383" i="37" a="1"/>
  <c r="Q383" i="37" s="1"/>
  <c r="Q183" i="37" a="1"/>
  <c r="Q183" i="37" s="1"/>
  <c r="Q433" i="37" a="1"/>
  <c r="Q433" i="37" s="1"/>
  <c r="Q336" i="37" a="1"/>
  <c r="Q336" i="37" s="1"/>
  <c r="Q337" i="37" a="1"/>
  <c r="Q337" i="37" s="1"/>
  <c r="Q386" i="37" a="1"/>
  <c r="Q386" i="37" s="1"/>
  <c r="Q338" i="37" a="1"/>
  <c r="Q338" i="37" s="1"/>
  <c r="Q617" i="37" a="1"/>
  <c r="Q617" i="37" s="1"/>
  <c r="Q389" i="37" a="1"/>
  <c r="Q389" i="37" s="1"/>
  <c r="Q606" i="37" a="1"/>
  <c r="Q606" i="37" s="1"/>
  <c r="Q204" i="37" a="1"/>
  <c r="Q204" i="37" s="1"/>
  <c r="Q291" i="37" a="1"/>
  <c r="Q291" i="37" s="1"/>
  <c r="Q390" i="37" a="1"/>
  <c r="Q390" i="37" s="1"/>
  <c r="Q394" i="37" a="1"/>
  <c r="Q394" i="37" s="1"/>
  <c r="Q398" i="37" a="1"/>
  <c r="Q398" i="37" s="1"/>
  <c r="Q400" i="37" a="1"/>
  <c r="Q400" i="37" s="1"/>
  <c r="Q476" i="37" a="1"/>
  <c r="Q476" i="37" s="1"/>
  <c r="Q399" i="37" a="1"/>
  <c r="Q399" i="37" s="1"/>
  <c r="Q403" i="37" a="1"/>
  <c r="Q403" i="37" s="1"/>
  <c r="Q477" i="37" a="1"/>
  <c r="Q477" i="37" s="1"/>
  <c r="Q408" i="37" a="1"/>
  <c r="Q408" i="37" s="1"/>
  <c r="Q439" i="37" a="1"/>
  <c r="Q439" i="37" s="1"/>
  <c r="Q573" i="37" a="1"/>
  <c r="Q573" i="37" s="1"/>
  <c r="Q413" i="37" a="1"/>
  <c r="Q413" i="37" s="1"/>
  <c r="Q607" i="37" a="1"/>
  <c r="Q607" i="37" s="1"/>
  <c r="Q412" i="37" a="1"/>
  <c r="Q412" i="37" s="1"/>
  <c r="Q113" i="37" a="1"/>
  <c r="Q113" i="37" s="1"/>
  <c r="Q414" i="37" a="1"/>
  <c r="Q414" i="37" s="1"/>
  <c r="Q411" i="37" a="1"/>
  <c r="Q411" i="37" s="1"/>
  <c r="Q138" i="37" a="1"/>
  <c r="Q138" i="37" s="1"/>
  <c r="Q139" i="37" a="1"/>
  <c r="Q139" i="37" s="1"/>
  <c r="Q339" i="37" a="1"/>
  <c r="Q339" i="37" s="1"/>
  <c r="Q478" i="37" a="1"/>
  <c r="Q478" i="37" s="1"/>
  <c r="Q141" i="37" a="1"/>
  <c r="Q141" i="37" s="1"/>
  <c r="Q479" i="37" a="1"/>
  <c r="Q479" i="37" s="1"/>
  <c r="Q340" i="37" a="1"/>
  <c r="Q340" i="37" s="1"/>
  <c r="Q144" i="37" a="1"/>
  <c r="Q144" i="37" s="1"/>
  <c r="Q567" i="37" a="1"/>
  <c r="Q567" i="37" s="1"/>
  <c r="Q586" i="37" a="1"/>
  <c r="Q586" i="37" s="1"/>
  <c r="Q587" i="37" a="1"/>
  <c r="Q587" i="37" s="1"/>
  <c r="Q589" i="37" a="1"/>
  <c r="Q589" i="37" s="1"/>
  <c r="Q625" i="37" a="1"/>
  <c r="Q625" i="37" s="1"/>
  <c r="Q480" i="37" a="1"/>
  <c r="Q480" i="37" s="1"/>
  <c r="Q342" i="37" a="1"/>
  <c r="Q342" i="37" s="1"/>
  <c r="Q253" i="37" a="1"/>
  <c r="Q253" i="37" s="1"/>
  <c r="Q341" i="37" a="1"/>
  <c r="Q341" i="37" s="1"/>
  <c r="Q252" i="37" a="1"/>
  <c r="Q252" i="37" s="1"/>
  <c r="Q482" i="37" a="1"/>
  <c r="Q482" i="37" s="1"/>
  <c r="Q481" i="37" a="1"/>
  <c r="Q481" i="37" s="1"/>
  <c r="Q343" i="37" a="1"/>
  <c r="Q343" i="37" s="1"/>
  <c r="Q251" i="37" a="1"/>
  <c r="Q251" i="37" s="1"/>
  <c r="Q256" i="37" a="1"/>
  <c r="Q256" i="37" s="1"/>
  <c r="Q264" i="37" a="1"/>
  <c r="Q264" i="37" s="1"/>
  <c r="Q593" i="37" a="1"/>
  <c r="Q593" i="37" s="1"/>
  <c r="Q345" i="37" a="1"/>
  <c r="Q345" i="37" s="1"/>
  <c r="Q484" i="37" a="1"/>
  <c r="Q484" i="37" s="1"/>
  <c r="Q483" i="37" a="1"/>
  <c r="Q483" i="37" s="1"/>
  <c r="Q344" i="37" a="1"/>
  <c r="Q344" i="37" s="1"/>
  <c r="Q458" i="37" a="1"/>
  <c r="Q458" i="37" s="1"/>
  <c r="Q486" i="37" a="1"/>
  <c r="Q486" i="37" s="1"/>
  <c r="Q485" i="37" a="1"/>
  <c r="Q485" i="37" s="1"/>
  <c r="Q626" i="37" a="1"/>
  <c r="Q626" i="37" s="1"/>
  <c r="Q346" i="37" a="1"/>
  <c r="Q346" i="37" s="1"/>
  <c r="Q628" i="37" a="1"/>
  <c r="Q628" i="37" s="1"/>
  <c r="Q380" i="37" a="1"/>
  <c r="Q380" i="37" s="1"/>
  <c r="Q382" i="37" a="1"/>
  <c r="Q382" i="37" s="1"/>
  <c r="Q627" i="37" a="1"/>
  <c r="Q627" i="37" s="1"/>
  <c r="Q384" i="37" a="1"/>
  <c r="Q384" i="37" s="1"/>
  <c r="Q387" i="37" a="1"/>
  <c r="Q387" i="37" s="1"/>
  <c r="Q391" i="37" a="1"/>
  <c r="Q391" i="37" s="1"/>
  <c r="Q392" i="37" a="1"/>
  <c r="Q392" i="37" s="1"/>
  <c r="Q393" i="37" a="1"/>
  <c r="Q393" i="37" s="1"/>
  <c r="Q397" i="37" a="1"/>
  <c r="Q397" i="37" s="1"/>
  <c r="Q396" i="37" a="1"/>
  <c r="Q396" i="37" s="1"/>
  <c r="Q401" i="37" a="1"/>
  <c r="Q401" i="37" s="1"/>
  <c r="Q405" i="37" a="1"/>
  <c r="Q405" i="37" s="1"/>
  <c r="Q404" i="37" a="1"/>
  <c r="Q404" i="37" s="1"/>
  <c r="Q406" i="37" a="1"/>
  <c r="Q406" i="37" s="1"/>
  <c r="Q487" i="37" a="1"/>
  <c r="Q487" i="37" s="1"/>
  <c r="Q506" i="37" a="1"/>
  <c r="Q506" i="37" s="1"/>
  <c r="Q620" i="37" a="1"/>
  <c r="Q620" i="37" s="1"/>
  <c r="Q466" i="37" a="1"/>
  <c r="Q466" i="37" s="1"/>
  <c r="Q550" i="37" a="1"/>
  <c r="Q550" i="37" s="1"/>
  <c r="Q498" i="37" a="1"/>
  <c r="Q498" i="37" s="1"/>
  <c r="Q521" i="37" a="1"/>
  <c r="Q521" i="37" s="1"/>
  <c r="Q445" i="37" a="1"/>
  <c r="Q445" i="37" s="1"/>
  <c r="Q184" i="37" a="1"/>
  <c r="Q184" i="37" s="1"/>
  <c r="Q348" i="37" a="1"/>
  <c r="Q348" i="37" s="1"/>
  <c r="Q357" i="37" a="1"/>
  <c r="Q357" i="37" s="1"/>
  <c r="Q640" i="37" a="1"/>
  <c r="Q640" i="37" s="1"/>
  <c r="Q469" i="37" a="1"/>
  <c r="Q469" i="37" s="1"/>
  <c r="Q510" i="37" a="1"/>
  <c r="Q510" i="37" s="1"/>
  <c r="Q511" i="37" a="1"/>
  <c r="Q511" i="37" s="1"/>
  <c r="Q528" i="37" a="1"/>
  <c r="Q528" i="37" s="1"/>
  <c r="Q347" i="37" a="1"/>
  <c r="Q347" i="37" s="1"/>
  <c r="Q436" i="37" a="1"/>
  <c r="Q436" i="37" s="1"/>
  <c r="Q517" i="37" a="1"/>
  <c r="Q517" i="37" s="1"/>
  <c r="Q493" i="37" a="1"/>
  <c r="Q493" i="37" s="1"/>
  <c r="Q467" i="37" a="1"/>
  <c r="Q467" i="37" s="1"/>
  <c r="Q293" i="37" a="1"/>
  <c r="Q293" i="37" s="1"/>
  <c r="Q452" i="37" a="1"/>
  <c r="Q452" i="37" s="1"/>
  <c r="Q358" i="37" a="1"/>
  <c r="Q358" i="37" s="1"/>
  <c r="Q455" i="37" a="1"/>
  <c r="Q455" i="37" s="1"/>
  <c r="Q522" i="37" a="1"/>
  <c r="Q522" i="37" s="1"/>
  <c r="Q351" i="37" a="1"/>
  <c r="Q351" i="37" s="1"/>
  <c r="Q610" i="37" a="1"/>
  <c r="Q610" i="37" s="1"/>
  <c r="Q463" i="37" a="1"/>
  <c r="Q463" i="37" s="1"/>
  <c r="Q490" i="37" a="1"/>
  <c r="Q490" i="37" s="1"/>
  <c r="Q500" i="37" a="1"/>
  <c r="Q500" i="37" s="1"/>
  <c r="Q499" i="37" a="1"/>
  <c r="Q499" i="37" s="1"/>
  <c r="Q523" i="37" a="1"/>
  <c r="Q523" i="37" s="1"/>
  <c r="Q470" i="37" a="1"/>
  <c r="Q470" i="37" s="1"/>
  <c r="Q273" i="37" a="1"/>
  <c r="Q273" i="37" s="1"/>
  <c r="Q489" i="37" a="1"/>
  <c r="Q489" i="37" s="1"/>
  <c r="Q488" i="37" a="1"/>
  <c r="Q488" i="37" s="1"/>
  <c r="Q288" i="37" a="1"/>
  <c r="Q288" i="37" s="1"/>
  <c r="Q292" i="37" a="1"/>
  <c r="Q292" i="37" s="1"/>
  <c r="Q491" i="37" a="1"/>
  <c r="Q491" i="37" s="1"/>
  <c r="Q448" i="37" a="1"/>
  <c r="Q448" i="37" s="1"/>
  <c r="Q494" i="37" a="1"/>
  <c r="Q494" i="37" s="1"/>
  <c r="Q451" i="37" a="1"/>
  <c r="Q451" i="37" s="1"/>
  <c r="Q512" i="37" a="1"/>
  <c r="Q512" i="37" s="1"/>
  <c r="Q525" i="37" a="1"/>
  <c r="Q525" i="37" s="1"/>
  <c r="Q527" i="37" a="1"/>
  <c r="Q527" i="37" s="1"/>
  <c r="Q524" i="37" a="1"/>
  <c r="Q524" i="37" s="1"/>
  <c r="Q639" i="37" a="1"/>
  <c r="Q639" i="37" s="1"/>
  <c r="Q356" i="37" a="1"/>
  <c r="Q356" i="37" s="1"/>
  <c r="Q453" i="37" a="1"/>
  <c r="Q453" i="37" s="1"/>
  <c r="Q460" i="37" a="1"/>
  <c r="Q460" i="37" s="1"/>
  <c r="Q290" i="37" a="1"/>
  <c r="Q290" i="37" s="1"/>
  <c r="Q611" i="37" a="1"/>
  <c r="Q611" i="37" s="1"/>
  <c r="Q492" i="37" a="1"/>
  <c r="Q492" i="37" s="1"/>
  <c r="Q495" i="37" a="1"/>
  <c r="Q495" i="37" s="1"/>
  <c r="Q294" i="37" a="1"/>
  <c r="Q294" i="37" s="1"/>
  <c r="Q496" i="37" a="1"/>
  <c r="Q496" i="37" s="1"/>
  <c r="Q497" i="37" a="1"/>
  <c r="Q497" i="37" s="1"/>
  <c r="Q502" i="37" a="1"/>
  <c r="Q502" i="37" s="1"/>
  <c r="Q446" i="37" a="1"/>
  <c r="Q446" i="37" s="1"/>
  <c r="Q503" i="37" a="1"/>
  <c r="Q503" i="37" s="1"/>
  <c r="Q449" i="37" a="1"/>
  <c r="Q449" i="37" s="1"/>
  <c r="Q631" i="37" a="1"/>
  <c r="Q631" i="37" s="1"/>
  <c r="Q504" i="37" a="1"/>
  <c r="Q504" i="37" s="1"/>
  <c r="Q630" i="37" a="1"/>
  <c r="Q630" i="37" s="1"/>
  <c r="Q629" i="37" a="1"/>
  <c r="Q629" i="37" s="1"/>
  <c r="Q623" i="37" a="1"/>
  <c r="Q623" i="37" s="1"/>
  <c r="Q501" i="37" a="1"/>
  <c r="Q501" i="37" s="1"/>
  <c r="Q505" i="37" a="1"/>
  <c r="Q505" i="37" s="1"/>
  <c r="Q508" i="37" a="1"/>
  <c r="Q508" i="37" s="1"/>
  <c r="Q509" i="37" a="1"/>
  <c r="Q509" i="37" s="1"/>
  <c r="Q513" i="37" a="1"/>
  <c r="Q513" i="37" s="1"/>
  <c r="Q632" i="37" a="1"/>
  <c r="Q632" i="37" s="1"/>
  <c r="Q514" i="37" a="1"/>
  <c r="Q514" i="37" s="1"/>
  <c r="Q515" i="37" a="1"/>
  <c r="Q515" i="37" s="1"/>
  <c r="Q519" i="37" a="1"/>
  <c r="Q519" i="37" s="1"/>
  <c r="Q518" i="37" a="1"/>
  <c r="Q518" i="37" s="1"/>
  <c r="Q520" i="37" a="1"/>
  <c r="Q520" i="37" s="1"/>
  <c r="Q114" i="37" a="1"/>
  <c r="Q114" i="37" s="1"/>
  <c r="Q205" i="37" a="1"/>
  <c r="Q205" i="37" s="1"/>
  <c r="Q349" i="37" a="1"/>
  <c r="Q349" i="37" s="1"/>
  <c r="Q350" i="37" a="1"/>
  <c r="Q350" i="37" s="1"/>
  <c r="Q608" i="37" a="1"/>
  <c r="Q608" i="37" s="1"/>
  <c r="Q609" i="37" a="1"/>
  <c r="Q609" i="37" s="1"/>
  <c r="Q352" i="37" a="1"/>
  <c r="Q352" i="37" s="1"/>
  <c r="Q355" i="37" a="1"/>
  <c r="Q355" i="37" s="1"/>
  <c r="Q353" i="37" a="1"/>
  <c r="Q353" i="37" s="1"/>
  <c r="Q468" i="37" a="1"/>
  <c r="Q468" i="37" s="1"/>
  <c r="Q354" i="37" a="1"/>
  <c r="Q354" i="37" s="1"/>
  <c r="Q295" i="37" a="1"/>
  <c r="Q295" i="37" s="1"/>
  <c r="Q447" i="37" a="1"/>
  <c r="Q447" i="37" s="1"/>
  <c r="Q450" i="37" a="1"/>
  <c r="Q450" i="37" s="1"/>
  <c r="Q454" i="37" a="1"/>
  <c r="Q454" i="37" s="1"/>
  <c r="Q359" i="37" a="1"/>
  <c r="Q359" i="37" s="1"/>
  <c r="Q456" i="37" a="1"/>
  <c r="Q456" i="37" s="1"/>
  <c r="Q457" i="37" a="1"/>
  <c r="Q457" i="37" s="1"/>
  <c r="Q360" i="37" a="1"/>
  <c r="Q360" i="37" s="1"/>
  <c r="Q462" i="37" a="1"/>
  <c r="Q462" i="37" s="1"/>
  <c r="Q461" i="37" a="1"/>
  <c r="Q461" i="37" s="1"/>
  <c r="Q633" i="37" a="1"/>
  <c r="Q633" i="37" s="1"/>
  <c r="Q464" i="37" a="1"/>
  <c r="Q464" i="37" s="1"/>
  <c r="Q624" i="37" a="1"/>
  <c r="Q624" i="37" s="1"/>
  <c r="Q465" i="37" a="1"/>
  <c r="Q465" i="37" s="1"/>
  <c r="Q516" i="37" a="1"/>
  <c r="Q516" i="37" s="1"/>
  <c r="Q634" i="37" a="1"/>
  <c r="Q634" i="37" s="1"/>
  <c r="Q635" i="37" a="1"/>
  <c r="Q635" i="37" s="1"/>
  <c r="Q638" i="37" a="1"/>
  <c r="Q638" i="37" s="1"/>
  <c r="Q637" i="37" a="1"/>
  <c r="Q637" i="37" s="1"/>
  <c r="Q636" i="37" a="1"/>
  <c r="Q636" i="37" s="1"/>
  <c r="Q529" i="37" a="1"/>
  <c r="Q529" i="37" s="1"/>
  <c r="Q530" i="37" a="1"/>
  <c r="Q530" i="37" s="1"/>
  <c r="Q531" i="37" a="1"/>
  <c r="Q531" i="37" s="1"/>
  <c r="Q532" i="37" a="1"/>
  <c r="Q532" i="37" s="1"/>
  <c r="P2" i="37" a="1"/>
  <c r="P2" i="37" s="1"/>
  <c r="P3" i="37" a="1"/>
  <c r="P3" i="37" s="1"/>
  <c r="P10" i="37" a="1"/>
  <c r="P10" i="37" s="1"/>
  <c r="P534" i="37" a="1"/>
  <c r="P534" i="37" s="1"/>
  <c r="P533" i="37" a="1"/>
  <c r="P533" i="37" s="1"/>
  <c r="P6" i="37" a="1"/>
  <c r="P6" i="37" s="1"/>
  <c r="P5" i="37" a="1"/>
  <c r="P5" i="37" s="1"/>
  <c r="P11" i="37" a="1"/>
  <c r="P11" i="37" s="1"/>
  <c r="P4" i="37" a="1"/>
  <c r="P4" i="37" s="1"/>
  <c r="P23" i="37" a="1"/>
  <c r="P23" i="37" s="1"/>
  <c r="P7" i="37" a="1"/>
  <c r="P7" i="37" s="1"/>
  <c r="P13" i="37" a="1"/>
  <c r="P13" i="37" s="1"/>
  <c r="P24" i="37" a="1"/>
  <c r="P24" i="37" s="1"/>
  <c r="P36" i="37" a="1"/>
  <c r="P36" i="37" s="1"/>
  <c r="P25" i="37" a="1"/>
  <c r="P25" i="37" s="1"/>
  <c r="P37" i="37" a="1"/>
  <c r="P37" i="37" s="1"/>
  <c r="P20" i="37" a="1"/>
  <c r="P20" i="37" s="1"/>
  <c r="P14" i="37" a="1"/>
  <c r="P14" i="37" s="1"/>
  <c r="P15" i="37" a="1"/>
  <c r="P15" i="37" s="1"/>
  <c r="P19" i="37" a="1"/>
  <c r="P19" i="37" s="1"/>
  <c r="P22" i="37" a="1"/>
  <c r="P22" i="37" s="1"/>
  <c r="P26" i="37" a="1"/>
  <c r="P26" i="37" s="1"/>
  <c r="P537" i="37" a="1"/>
  <c r="P537" i="37" s="1"/>
  <c r="P27" i="37" a="1"/>
  <c r="P27" i="37" s="1"/>
  <c r="P21" i="37" a="1"/>
  <c r="P21" i="37" s="1"/>
  <c r="P38" i="37" a="1"/>
  <c r="P38" i="37" s="1"/>
  <c r="P538" i="37" a="1"/>
  <c r="P538" i="37" s="1"/>
  <c r="P28" i="37" a="1"/>
  <c r="P28" i="37" s="1"/>
  <c r="P16" i="37" a="1"/>
  <c r="P16" i="37" s="1"/>
  <c r="P39" i="37" a="1"/>
  <c r="P39" i="37" s="1"/>
  <c r="P40" i="37" a="1"/>
  <c r="P40" i="37" s="1"/>
  <c r="P29" i="37" a="1"/>
  <c r="P29" i="37" s="1"/>
  <c r="P41" i="37" a="1"/>
  <c r="P41" i="37" s="1"/>
  <c r="P33" i="37" a="1"/>
  <c r="P33" i="37" s="1"/>
  <c r="P42" i="37" a="1"/>
  <c r="P42" i="37" s="1"/>
  <c r="P539" i="37" a="1"/>
  <c r="P539" i="37" s="1"/>
  <c r="P85" i="37" a="1"/>
  <c r="P85" i="37" s="1"/>
  <c r="P43" i="37" a="1"/>
  <c r="P43" i="37" s="1"/>
  <c r="P44" i="37" a="1"/>
  <c r="P44" i="37" s="1"/>
  <c r="P535" i="37" a="1"/>
  <c r="P535" i="37" s="1"/>
  <c r="P45" i="37" a="1"/>
  <c r="P45" i="37" s="1"/>
  <c r="P17" i="37" a="1"/>
  <c r="P17" i="37" s="1"/>
  <c r="P70" i="37" a="1"/>
  <c r="P70" i="37" s="1"/>
  <c r="P30" i="37" a="1"/>
  <c r="P30" i="37" s="1"/>
  <c r="P18" i="37" a="1"/>
  <c r="P18" i="37" s="1"/>
  <c r="P62" i="37" a="1"/>
  <c r="P62" i="37" s="1"/>
  <c r="P57" i="37" a="1"/>
  <c r="P57" i="37" s="1"/>
  <c r="P46" i="37" a="1"/>
  <c r="P46" i="37" s="1"/>
  <c r="P61" i="37" a="1"/>
  <c r="P61" i="37" s="1"/>
  <c r="P71" i="37" a="1"/>
  <c r="P71" i="37" s="1"/>
  <c r="P31" i="37" a="1"/>
  <c r="P31" i="37" s="1"/>
  <c r="P541" i="37" a="1"/>
  <c r="P541" i="37" s="1"/>
  <c r="P56" i="37" a="1"/>
  <c r="P56" i="37" s="1"/>
  <c r="P536" i="37" a="1"/>
  <c r="P536" i="37" s="1"/>
  <c r="P47" i="37" a="1"/>
  <c r="P47" i="37" s="1"/>
  <c r="P86" i="37" a="1"/>
  <c r="P86" i="37" s="1"/>
  <c r="P72" i="37" a="1"/>
  <c r="P72" i="37" s="1"/>
  <c r="P48" i="37" a="1"/>
  <c r="P48" i="37" s="1"/>
  <c r="P547" i="37" a="1"/>
  <c r="P547" i="37" s="1"/>
  <c r="P115" i="37" a="1"/>
  <c r="P115" i="37" s="1"/>
  <c r="P562" i="37" a="1"/>
  <c r="P562" i="37" s="1"/>
  <c r="P58" i="37" a="1"/>
  <c r="P58" i="37" s="1"/>
  <c r="P63" i="37" a="1"/>
  <c r="P63" i="37" s="1"/>
  <c r="P34" i="37" a="1"/>
  <c r="P34" i="37" s="1"/>
  <c r="P540" i="37" a="1"/>
  <c r="P540" i="37" s="1"/>
  <c r="P116" i="37" a="1"/>
  <c r="P116" i="37" s="1"/>
  <c r="P12" i="37" a="1"/>
  <c r="P12" i="37" s="1"/>
  <c r="P32" i="37" a="1"/>
  <c r="P32" i="37" s="1"/>
  <c r="P73" i="37" a="1"/>
  <c r="P73" i="37" s="1"/>
  <c r="P74" i="37" a="1"/>
  <c r="P74" i="37" s="1"/>
  <c r="P542" i="37" a="1"/>
  <c r="P542" i="37" s="1"/>
  <c r="P75" i="37" a="1"/>
  <c r="P75" i="37" s="1"/>
  <c r="P543" i="37" a="1"/>
  <c r="P543" i="37" s="1"/>
  <c r="P117" i="37" a="1"/>
  <c r="P117" i="37" s="1"/>
  <c r="P546" i="37" a="1"/>
  <c r="P546" i="37" s="1"/>
  <c r="P99" i="37" a="1"/>
  <c r="P99" i="37" s="1"/>
  <c r="P67" i="37" a="1"/>
  <c r="P67" i="37" s="1"/>
  <c r="P100" i="37" a="1"/>
  <c r="P100" i="37" s="1"/>
  <c r="P68" i="37" a="1"/>
  <c r="P68" i="37" s="1"/>
  <c r="P64" i="37" a="1"/>
  <c r="P64" i="37" s="1"/>
  <c r="P101" i="37" a="1"/>
  <c r="P101" i="37" s="1"/>
  <c r="P65" i="37" a="1"/>
  <c r="P65" i="37" s="1"/>
  <c r="P92" i="37" a="1"/>
  <c r="P92" i="37" s="1"/>
  <c r="P49" i="37" a="1"/>
  <c r="P49" i="37" s="1"/>
  <c r="P185" i="37" a="1"/>
  <c r="P185" i="37" s="1"/>
  <c r="P163" i="37" a="1"/>
  <c r="P163" i="37" s="1"/>
  <c r="P76" i="37" a="1"/>
  <c r="P76" i="37" s="1"/>
  <c r="P87" i="37" a="1"/>
  <c r="P87" i="37" s="1"/>
  <c r="P82" i="37" a="1"/>
  <c r="P82" i="37" s="1"/>
  <c r="P88" i="37" a="1"/>
  <c r="P88" i="37" s="1"/>
  <c r="P554" i="37" a="1"/>
  <c r="P554" i="37" s="1"/>
  <c r="P93" i="37" a="1"/>
  <c r="P93" i="37" s="1"/>
  <c r="P118" i="37" a="1"/>
  <c r="P118" i="37" s="1"/>
  <c r="P83" i="37" a="1"/>
  <c r="P83" i="37" s="1"/>
  <c r="P164" i="37" a="1"/>
  <c r="P164" i="37" s="1"/>
  <c r="P119" i="37" a="1"/>
  <c r="P119" i="37" s="1"/>
  <c r="P549" i="37" a="1"/>
  <c r="P549" i="37" s="1"/>
  <c r="P50" i="37" a="1"/>
  <c r="P50" i="37" s="1"/>
  <c r="P120" i="37" a="1"/>
  <c r="P120" i="37" s="1"/>
  <c r="P121" i="37" a="1"/>
  <c r="P121" i="37" s="1"/>
  <c r="P84" i="37" a="1"/>
  <c r="P84" i="37" s="1"/>
  <c r="P165" i="37" a="1"/>
  <c r="P165" i="37" s="1"/>
  <c r="P206" i="37" a="1"/>
  <c r="P206" i="37" s="1"/>
  <c r="P89" i="37" a="1"/>
  <c r="P89" i="37" s="1"/>
  <c r="P574" i="37" a="1"/>
  <c r="P574" i="37" s="1"/>
  <c r="P166" i="37" a="1"/>
  <c r="P166" i="37" s="1"/>
  <c r="P167" i="37" a="1"/>
  <c r="P167" i="37" s="1"/>
  <c r="P77" i="37" a="1"/>
  <c r="P77" i="37" s="1"/>
  <c r="P123" i="37" a="1"/>
  <c r="P123" i="37" s="1"/>
  <c r="P122" i="37" a="1"/>
  <c r="P122" i="37" s="1"/>
  <c r="P575" i="37" a="1"/>
  <c r="P575" i="37" s="1"/>
  <c r="P96" i="37" a="1"/>
  <c r="P96" i="37" s="1"/>
  <c r="P186" i="37" a="1"/>
  <c r="P186" i="37" s="1"/>
  <c r="P176" i="37" a="1"/>
  <c r="P176" i="37" s="1"/>
  <c r="P151" i="37" a="1"/>
  <c r="P151" i="37" s="1"/>
  <c r="P97" i="37" a="1"/>
  <c r="P97" i="37" s="1"/>
  <c r="P274" i="37" a="1"/>
  <c r="P274" i="37" s="1"/>
  <c r="P545" i="37" a="1"/>
  <c r="P545" i="37" s="1"/>
  <c r="P187" i="37" a="1"/>
  <c r="P187" i="37" s="1"/>
  <c r="P207" i="37" a="1"/>
  <c r="P207" i="37" s="1"/>
  <c r="P9" i="37" a="1"/>
  <c r="P9" i="37" s="1"/>
  <c r="P570" i="37" a="1"/>
  <c r="P570" i="37" s="1"/>
  <c r="P296" i="37" a="1"/>
  <c r="P296" i="37" s="1"/>
  <c r="P102" i="37" a="1"/>
  <c r="P102" i="37" s="1"/>
  <c r="P66" i="37" a="1"/>
  <c r="P66" i="37" s="1"/>
  <c r="P177" i="37" a="1"/>
  <c r="P177" i="37" s="1"/>
  <c r="P297" i="37" a="1"/>
  <c r="P297" i="37" s="1"/>
  <c r="P576" i="37" a="1"/>
  <c r="P576" i="37" s="1"/>
  <c r="P156" i="37" a="1"/>
  <c r="P156" i="37" s="1"/>
  <c r="P188" i="37" a="1"/>
  <c r="P188" i="37" s="1"/>
  <c r="P189" i="37" a="1"/>
  <c r="P189" i="37" s="1"/>
  <c r="P103" i="37" a="1"/>
  <c r="P103" i="37" s="1"/>
  <c r="P190" i="37" a="1"/>
  <c r="P190" i="37" s="1"/>
  <c r="P152" i="37" a="1"/>
  <c r="P152" i="37" s="1"/>
  <c r="P208" i="37" a="1"/>
  <c r="P208" i="37" s="1"/>
  <c r="P209" i="37" a="1"/>
  <c r="P209" i="37" s="1"/>
  <c r="P210" i="37" a="1"/>
  <c r="P210" i="37" s="1"/>
  <c r="P596" i="37" a="1"/>
  <c r="P596" i="37" s="1"/>
  <c r="P168" i="37" a="1"/>
  <c r="P168" i="37" s="1"/>
  <c r="P568" i="37" a="1"/>
  <c r="P568" i="37" s="1"/>
  <c r="P124" i="37" a="1"/>
  <c r="P124" i="37" s="1"/>
  <c r="P571" i="37" a="1"/>
  <c r="P571" i="37" s="1"/>
  <c r="P175" i="37" a="1"/>
  <c r="P175" i="37" s="1"/>
  <c r="P211" i="37" a="1"/>
  <c r="P211" i="37" s="1"/>
  <c r="P104" i="37" a="1"/>
  <c r="P104" i="37" s="1"/>
  <c r="P125" i="37" a="1"/>
  <c r="P125" i="37" s="1"/>
  <c r="P105" i="37" a="1"/>
  <c r="P105" i="37" s="1"/>
  <c r="P126" i="37" a="1"/>
  <c r="P126" i="37" s="1"/>
  <c r="P548" i="37" a="1"/>
  <c r="P548" i="37" s="1"/>
  <c r="P191" i="37" a="1"/>
  <c r="P191" i="37" s="1"/>
  <c r="P563" i="37" a="1"/>
  <c r="P563" i="37" s="1"/>
  <c r="P213" i="37" a="1"/>
  <c r="P213" i="37" s="1"/>
  <c r="P298" i="37" a="1"/>
  <c r="P298" i="37" s="1"/>
  <c r="P106" i="37" a="1"/>
  <c r="P106" i="37" s="1"/>
  <c r="P212" i="37" a="1"/>
  <c r="P212" i="37" s="1"/>
  <c r="P564" i="37" a="1"/>
  <c r="P564" i="37" s="1"/>
  <c r="P577" i="37" a="1"/>
  <c r="P577" i="37" s="1"/>
  <c r="P107" i="37" a="1"/>
  <c r="P107" i="37" s="1"/>
  <c r="P157" i="37" a="1"/>
  <c r="P157" i="37" s="1"/>
  <c r="P214" i="37" a="1"/>
  <c r="P214" i="37" s="1"/>
  <c r="P158" i="37" a="1"/>
  <c r="P158" i="37" s="1"/>
  <c r="P578" i="37" a="1"/>
  <c r="P578" i="37" s="1"/>
  <c r="P215" i="37" a="1"/>
  <c r="P215" i="37" s="1"/>
  <c r="P155" i="37" a="1"/>
  <c r="P155" i="37" s="1"/>
  <c r="P216" i="37" a="1"/>
  <c r="P216" i="37" s="1"/>
  <c r="P217" i="37" a="1"/>
  <c r="P217" i="37" s="1"/>
  <c r="P127" i="37" a="1"/>
  <c r="P127" i="37" s="1"/>
  <c r="P90" i="37" a="1"/>
  <c r="P90" i="37" s="1"/>
  <c r="P153" i="37" a="1"/>
  <c r="P153" i="37" s="1"/>
  <c r="P128" i="37" a="1"/>
  <c r="P128" i="37" s="1"/>
  <c r="P299" i="37" a="1"/>
  <c r="P299" i="37" s="1"/>
  <c r="P192" i="37" a="1"/>
  <c r="P192" i="37" s="1"/>
  <c r="P129" i="37" a="1"/>
  <c r="P129" i="37" s="1"/>
  <c r="P565" i="37" a="1"/>
  <c r="P565" i="37" s="1"/>
  <c r="P130" i="37" a="1"/>
  <c r="P130" i="37" s="1"/>
  <c r="P218" i="37" a="1"/>
  <c r="P218" i="37" s="1"/>
  <c r="P131" i="37" a="1"/>
  <c r="P131" i="37" s="1"/>
  <c r="P154" i="37" a="1"/>
  <c r="P154" i="37" s="1"/>
  <c r="P555" i="37" a="1"/>
  <c r="P555" i="37" s="1"/>
  <c r="P579" i="37" a="1"/>
  <c r="P579" i="37" s="1"/>
  <c r="P132" i="37" a="1"/>
  <c r="P132" i="37" s="1"/>
  <c r="P580" i="37" a="1"/>
  <c r="P580" i="37" s="1"/>
  <c r="P219" i="37" a="1"/>
  <c r="P219" i="37" s="1"/>
  <c r="P133" i="37" a="1"/>
  <c r="P133" i="37" s="1"/>
  <c r="P134" i="37" a="1"/>
  <c r="P134" i="37" s="1"/>
  <c r="P599" i="37" a="1"/>
  <c r="P599" i="37" s="1"/>
  <c r="P220" i="37" a="1"/>
  <c r="P220" i="37" s="1"/>
  <c r="P221" i="37" a="1"/>
  <c r="P221" i="37" s="1"/>
  <c r="P59" i="37" a="1"/>
  <c r="P59" i="37" s="1"/>
  <c r="P222" i="37" a="1"/>
  <c r="P222" i="37" s="1"/>
  <c r="P223" i="37" a="1"/>
  <c r="P223" i="37" s="1"/>
  <c r="P275" i="37" a="1"/>
  <c r="P275" i="37" s="1"/>
  <c r="P51" i="37" a="1"/>
  <c r="P51" i="37" s="1"/>
  <c r="P224" i="37" a="1"/>
  <c r="P224" i="37" s="1"/>
  <c r="P78" i="37" a="1"/>
  <c r="P78" i="37" s="1"/>
  <c r="P225" i="37" a="1"/>
  <c r="P225" i="37" s="1"/>
  <c r="P35" i="37" a="1"/>
  <c r="P35" i="37" s="1"/>
  <c r="P226" i="37" a="1"/>
  <c r="P226" i="37" s="1"/>
  <c r="P169" i="37" a="1"/>
  <c r="P169" i="37" s="1"/>
  <c r="P170" i="37" a="1"/>
  <c r="P170" i="37" s="1"/>
  <c r="P557" i="37" a="1"/>
  <c r="P557" i="37" s="1"/>
  <c r="P361" i="37" a="1"/>
  <c r="P361" i="37" s="1"/>
  <c r="P558" i="37" a="1"/>
  <c r="P558" i="37" s="1"/>
  <c r="P227" i="37" a="1"/>
  <c r="P227" i="37" s="1"/>
  <c r="P556" i="37" a="1"/>
  <c r="P556" i="37" s="1"/>
  <c r="P228" i="37" a="1"/>
  <c r="P228" i="37" s="1"/>
  <c r="P171" i="37" a="1"/>
  <c r="P171" i="37" s="1"/>
  <c r="P178" i="37" a="1"/>
  <c r="P178" i="37" s="1"/>
  <c r="P595" i="37" a="1"/>
  <c r="P595" i="37" s="1"/>
  <c r="P193" i="37" a="1"/>
  <c r="P193" i="37" s="1"/>
  <c r="P69" i="37" a="1"/>
  <c r="P69" i="37" s="1"/>
  <c r="P179" i="37" a="1"/>
  <c r="P179" i="37" s="1"/>
  <c r="P135" i="37" a="1"/>
  <c r="P135" i="37" s="1"/>
  <c r="P108" i="37" a="1"/>
  <c r="P108" i="37" s="1"/>
  <c r="P300" i="37" a="1"/>
  <c r="P300" i="37" s="1"/>
  <c r="P98" i="37" a="1"/>
  <c r="P98" i="37" s="1"/>
  <c r="P159" i="37" a="1"/>
  <c r="P159" i="37" s="1"/>
  <c r="P597" i="37" a="1"/>
  <c r="P597" i="37" s="1"/>
  <c r="P560" i="37" a="1"/>
  <c r="P560" i="37" s="1"/>
  <c r="P79" i="37" a="1"/>
  <c r="P79" i="37" s="1"/>
  <c r="P279" i="37" a="1"/>
  <c r="P279" i="37" s="1"/>
  <c r="P569" i="37" a="1"/>
  <c r="P569" i="37" s="1"/>
  <c r="P229" i="37" a="1"/>
  <c r="P229" i="37" s="1"/>
  <c r="P230" i="37" a="1"/>
  <c r="P230" i="37" s="1"/>
  <c r="P301" i="37" a="1"/>
  <c r="P301" i="37" s="1"/>
  <c r="P437" i="37" a="1"/>
  <c r="P437" i="37" s="1"/>
  <c r="P160" i="37" a="1"/>
  <c r="P160" i="37" s="1"/>
  <c r="P280" i="37" a="1"/>
  <c r="P280" i="37" s="1"/>
  <c r="P302" i="37" a="1"/>
  <c r="P302" i="37" s="1"/>
  <c r="P231" i="37" a="1"/>
  <c r="P231" i="37" s="1"/>
  <c r="P303" i="37" a="1"/>
  <c r="P303" i="37" s="1"/>
  <c r="P304" i="37" a="1"/>
  <c r="P304" i="37" s="1"/>
  <c r="P305" i="37" a="1"/>
  <c r="P305" i="37" s="1"/>
  <c r="P194" i="37" a="1"/>
  <c r="P194" i="37" s="1"/>
  <c r="P265" i="37" a="1"/>
  <c r="P265" i="37" s="1"/>
  <c r="P306" i="37" a="1"/>
  <c r="P306" i="37" s="1"/>
  <c r="P232" i="37" a="1"/>
  <c r="P232" i="37" s="1"/>
  <c r="P195" i="37" a="1"/>
  <c r="P195" i="37" s="1"/>
  <c r="P598" i="37" a="1"/>
  <c r="P598" i="37" s="1"/>
  <c r="P281" i="37" a="1"/>
  <c r="P281" i="37" s="1"/>
  <c r="P600" i="37" a="1"/>
  <c r="P600" i="37" s="1"/>
  <c r="P80" i="37" a="1"/>
  <c r="P80" i="37" s="1"/>
  <c r="P270" i="37" a="1"/>
  <c r="P270" i="37" s="1"/>
  <c r="P180" i="37" a="1"/>
  <c r="P180" i="37" s="1"/>
  <c r="P307" i="37" a="1"/>
  <c r="P307" i="37" s="1"/>
  <c r="P267" i="37" a="1"/>
  <c r="P267" i="37" s="1"/>
  <c r="P196" i="37" a="1"/>
  <c r="P196" i="37" s="1"/>
  <c r="P269" i="37" a="1"/>
  <c r="P269" i="37" s="1"/>
  <c r="P198" i="37" a="1"/>
  <c r="P198" i="37" s="1"/>
  <c r="P282" i="37" a="1"/>
  <c r="P282" i="37" s="1"/>
  <c r="P308" i="37" a="1"/>
  <c r="P308" i="37" s="1"/>
  <c r="P471" i="37" a="1"/>
  <c r="P471" i="37" s="1"/>
  <c r="P283" i="37" a="1"/>
  <c r="P283" i="37" s="1"/>
  <c r="P161" i="37" a="1"/>
  <c r="P161" i="37" s="1"/>
  <c r="P581" i="37" a="1"/>
  <c r="P581" i="37" s="1"/>
  <c r="P234" i="37" a="1"/>
  <c r="P234" i="37" s="1"/>
  <c r="P233" i="37" a="1"/>
  <c r="P233" i="37" s="1"/>
  <c r="P235" i="37" a="1"/>
  <c r="P235" i="37" s="1"/>
  <c r="P268" i="37" a="1"/>
  <c r="P268" i="37" s="1"/>
  <c r="P199" i="37" a="1"/>
  <c r="P199" i="37" s="1"/>
  <c r="P236" i="37" a="1"/>
  <c r="P236" i="37" s="1"/>
  <c r="P582" i="37" a="1"/>
  <c r="P582" i="37" s="1"/>
  <c r="P237" i="37" a="1"/>
  <c r="P237" i="37" s="1"/>
  <c r="P238" i="37" a="1"/>
  <c r="P238" i="37" s="1"/>
  <c r="P583" i="37" a="1"/>
  <c r="P583" i="37" s="1"/>
  <c r="P172" i="37" a="1"/>
  <c r="P172" i="37" s="1"/>
  <c r="P239" i="37" a="1"/>
  <c r="P239" i="37" s="1"/>
  <c r="P363" i="37" a="1"/>
  <c r="P363" i="37" s="1"/>
  <c r="P364" i="37" a="1"/>
  <c r="P364" i="37" s="1"/>
  <c r="P362" i="37" a="1"/>
  <c r="P362" i="37" s="1"/>
  <c r="P594" i="37" a="1"/>
  <c r="P594" i="37" s="1"/>
  <c r="P612" i="37" a="1"/>
  <c r="P612" i="37" s="1"/>
  <c r="P266" i="37" a="1"/>
  <c r="P266" i="37" s="1"/>
  <c r="P309" i="37" a="1"/>
  <c r="P309" i="37" s="1"/>
  <c r="P365" i="37" a="1"/>
  <c r="P365" i="37" s="1"/>
  <c r="P240" i="37" a="1"/>
  <c r="P240" i="37" s="1"/>
  <c r="P91" i="37" a="1"/>
  <c r="P91" i="37" s="1"/>
  <c r="P613" i="37" a="1"/>
  <c r="P613" i="37" s="1"/>
  <c r="P551" i="37" a="1"/>
  <c r="P551" i="37" s="1"/>
  <c r="P271" i="37" a="1"/>
  <c r="P271" i="37" s="1"/>
  <c r="P584" i="37" a="1"/>
  <c r="P584" i="37" s="1"/>
  <c r="P52" i="37" a="1"/>
  <c r="P52" i="37" s="1"/>
  <c r="P366" i="37" a="1"/>
  <c r="P366" i="37" s="1"/>
  <c r="P241" i="37" a="1"/>
  <c r="P241" i="37" s="1"/>
  <c r="P614" i="37" a="1"/>
  <c r="P614" i="37" s="1"/>
  <c r="P367" i="37" a="1"/>
  <c r="P367" i="37" s="1"/>
  <c r="P544" i="37" a="1"/>
  <c r="P544" i="37" s="1"/>
  <c r="P136" i="37" a="1"/>
  <c r="P136" i="37" s="1"/>
  <c r="P585" i="37" a="1"/>
  <c r="P585" i="37" s="1"/>
  <c r="P371" i="37" a="1"/>
  <c r="P371" i="37" s="1"/>
  <c r="P369" i="37" a="1"/>
  <c r="P369" i="37" s="1"/>
  <c r="P615" i="37" a="1"/>
  <c r="P615" i="37" s="1"/>
  <c r="P368" i="37" a="1"/>
  <c r="P368" i="37" s="1"/>
  <c r="P370" i="37" a="1"/>
  <c r="P370" i="37" s="1"/>
  <c r="P242" i="37" a="1"/>
  <c r="P242" i="37" s="1"/>
  <c r="P244" i="37" a="1"/>
  <c r="P244" i="37" s="1"/>
  <c r="P372" i="37" a="1"/>
  <c r="P372" i="37" s="1"/>
  <c r="P566" i="37" a="1"/>
  <c r="P566" i="37" s="1"/>
  <c r="P243" i="37" a="1"/>
  <c r="P243" i="37" s="1"/>
  <c r="P407" i="37" a="1"/>
  <c r="P407" i="37" s="1"/>
  <c r="P8" i="37" a="1"/>
  <c r="P8" i="37" s="1"/>
  <c r="P310" i="37" a="1"/>
  <c r="P310" i="37" s="1"/>
  <c r="P385" i="37" a="1"/>
  <c r="P385" i="37" s="1"/>
  <c r="P94" i="37" a="1"/>
  <c r="P94" i="37" s="1"/>
  <c r="P55" i="37" a="1"/>
  <c r="P55" i="37" s="1"/>
  <c r="P258" i="37" a="1"/>
  <c r="P258" i="37" s="1"/>
  <c r="P137" i="37" a="1"/>
  <c r="P137" i="37" s="1"/>
  <c r="P54" i="37" a="1"/>
  <c r="P54" i="37" s="1"/>
  <c r="P418" i="37" a="1"/>
  <c r="P418" i="37" s="1"/>
  <c r="P174" i="37" a="1"/>
  <c r="P174" i="37" s="1"/>
  <c r="P311" i="37" a="1"/>
  <c r="P311" i="37" s="1"/>
  <c r="P416" i="37" a="1"/>
  <c r="P416" i="37" s="1"/>
  <c r="P312" i="37" a="1"/>
  <c r="P312" i="37" s="1"/>
  <c r="P145" i="37" a="1"/>
  <c r="P145" i="37" s="1"/>
  <c r="P278" i="37" a="1"/>
  <c r="P278" i="37" s="1"/>
  <c r="P181" i="37" a="1"/>
  <c r="P181" i="37" s="1"/>
  <c r="P375" i="37" a="1"/>
  <c r="P375" i="37" s="1"/>
  <c r="P146" i="37" a="1"/>
  <c r="P146" i="37" s="1"/>
  <c r="P388" i="37" a="1"/>
  <c r="P388" i="37" s="1"/>
  <c r="P419" i="37" a="1"/>
  <c r="P419" i="37" s="1"/>
  <c r="P60" i="37" a="1"/>
  <c r="P60" i="37" s="1"/>
  <c r="P81" i="37" a="1"/>
  <c r="P81" i="37" s="1"/>
  <c r="P149" i="37" a="1"/>
  <c r="P149" i="37" s="1"/>
  <c r="P246" i="37" a="1"/>
  <c r="P246" i="37" s="1"/>
  <c r="P590" i="37" a="1"/>
  <c r="P590" i="37" s="1"/>
  <c r="P254" i="37" a="1"/>
  <c r="P254" i="37" s="1"/>
  <c r="P373" i="37" a="1"/>
  <c r="P373" i="37" s="1"/>
  <c r="P376" i="37" a="1"/>
  <c r="P376" i="37" s="1"/>
  <c r="P378" i="37" a="1"/>
  <c r="P378" i="37" s="1"/>
  <c r="P410" i="37" a="1"/>
  <c r="P410" i="37" s="1"/>
  <c r="P409" i="37" a="1"/>
  <c r="P409" i="37" s="1"/>
  <c r="P420" i="37" a="1"/>
  <c r="P420" i="37" s="1"/>
  <c r="P248" i="37" a="1"/>
  <c r="P248" i="37" s="1"/>
  <c r="P247" i="37" a="1"/>
  <c r="P247" i="37" s="1"/>
  <c r="P259" i="37" a="1"/>
  <c r="P259" i="37" s="1"/>
  <c r="P402" i="37" a="1"/>
  <c r="P402" i="37" s="1"/>
  <c r="P415" i="37" a="1"/>
  <c r="P415" i="37" s="1"/>
  <c r="P417" i="37" a="1"/>
  <c r="P417" i="37" s="1"/>
  <c r="P53" i="37" a="1"/>
  <c r="P53" i="37" s="1"/>
  <c r="P140" i="37" a="1"/>
  <c r="P140" i="37" s="1"/>
  <c r="P142" i="37" a="1"/>
  <c r="P142" i="37" s="1"/>
  <c r="P109" i="37" a="1"/>
  <c r="P109" i="37" s="1"/>
  <c r="P313" i="37" a="1"/>
  <c r="P313" i="37" s="1"/>
  <c r="P314" i="37" a="1"/>
  <c r="P314" i="37" s="1"/>
  <c r="P601" i="37" a="1"/>
  <c r="P601" i="37" s="1"/>
  <c r="P315" i="37" a="1"/>
  <c r="P315" i="37" s="1"/>
  <c r="P618" i="37" a="1"/>
  <c r="P618" i="37" s="1"/>
  <c r="P143" i="37" a="1"/>
  <c r="P143" i="37" s="1"/>
  <c r="P622" i="37" a="1"/>
  <c r="P622" i="37" s="1"/>
  <c r="P316" i="37" a="1"/>
  <c r="P316" i="37" s="1"/>
  <c r="P552" i="37" a="1"/>
  <c r="P552" i="37" s="1"/>
  <c r="P317" i="37" a="1"/>
  <c r="P317" i="37" s="1"/>
  <c r="P182" i="37" a="1"/>
  <c r="P182" i="37" s="1"/>
  <c r="P200" i="37" a="1"/>
  <c r="P200" i="37" s="1"/>
  <c r="P284" i="37" a="1"/>
  <c r="P284" i="37" s="1"/>
  <c r="P427" i="37" a="1"/>
  <c r="P427" i="37" s="1"/>
  <c r="P147" i="37" a="1"/>
  <c r="P147" i="37" s="1"/>
  <c r="P173" i="37" a="1"/>
  <c r="P173" i="37" s="1"/>
  <c r="P318" i="37" a="1"/>
  <c r="P318" i="37" s="1"/>
  <c r="P435" i="37" a="1"/>
  <c r="P435" i="37" s="1"/>
  <c r="P285" i="37" a="1"/>
  <c r="P285" i="37" s="1"/>
  <c r="P602" i="37" a="1"/>
  <c r="P602" i="37" s="1"/>
  <c r="P319" i="37" a="1"/>
  <c r="P319" i="37" s="1"/>
  <c r="P148" i="37" a="1"/>
  <c r="P148" i="37" s="1"/>
  <c r="P320" i="37" a="1"/>
  <c r="P320" i="37" s="1"/>
  <c r="P321" i="37" a="1"/>
  <c r="P321" i="37" s="1"/>
  <c r="P150" i="37" a="1"/>
  <c r="P150" i="37" s="1"/>
  <c r="P322" i="37" a="1"/>
  <c r="P322" i="37" s="1"/>
  <c r="P323" i="37" a="1"/>
  <c r="P323" i="37" s="1"/>
  <c r="P621" i="37" a="1"/>
  <c r="P621" i="37" s="1"/>
  <c r="P424" i="37" a="1"/>
  <c r="P424" i="37" s="1"/>
  <c r="P201" i="37" a="1"/>
  <c r="P201" i="37" s="1"/>
  <c r="P440" i="37" a="1"/>
  <c r="P440" i="37" s="1"/>
  <c r="P110" i="37" a="1"/>
  <c r="P110" i="37" s="1"/>
  <c r="P286" i="37" a="1"/>
  <c r="P286" i="37" s="1"/>
  <c r="P325" i="37" a="1"/>
  <c r="P325" i="37" s="1"/>
  <c r="P423" i="37" a="1"/>
  <c r="P423" i="37" s="1"/>
  <c r="P431" i="37" a="1"/>
  <c r="P431" i="37" s="1"/>
  <c r="P421" i="37" a="1"/>
  <c r="P421" i="37" s="1"/>
  <c r="P245" i="37" a="1"/>
  <c r="P245" i="37" s="1"/>
  <c r="P434" i="37" a="1"/>
  <c r="P434" i="37" s="1"/>
  <c r="P324" i="37" a="1"/>
  <c r="P324" i="37" s="1"/>
  <c r="P572" i="37" a="1"/>
  <c r="P572" i="37" s="1"/>
  <c r="P202" i="37" a="1"/>
  <c r="P202" i="37" s="1"/>
  <c r="P588" i="37" a="1"/>
  <c r="P588" i="37" s="1"/>
  <c r="P603" i="37" a="1"/>
  <c r="P603" i="37" s="1"/>
  <c r="P619" i="37" a="1"/>
  <c r="P619" i="37" s="1"/>
  <c r="P250" i="37" a="1"/>
  <c r="P250" i="37" s="1"/>
  <c r="P441" i="37" a="1"/>
  <c r="P441" i="37" s="1"/>
  <c r="P438" i="37" a="1"/>
  <c r="P438" i="37" s="1"/>
  <c r="P327" i="37" a="1"/>
  <c r="P327" i="37" s="1"/>
  <c r="P426" i="37" a="1"/>
  <c r="P426" i="37" s="1"/>
  <c r="P287" i="37" a="1"/>
  <c r="P287" i="37" s="1"/>
  <c r="P95" i="37" a="1"/>
  <c r="P95" i="37" s="1"/>
  <c r="P326" i="37" a="1"/>
  <c r="P326" i="37" s="1"/>
  <c r="P249" i="37" a="1"/>
  <c r="P249" i="37" s="1"/>
  <c r="P425" i="37" a="1"/>
  <c r="P425" i="37" s="1"/>
  <c r="P604" i="37" a="1"/>
  <c r="P604" i="37" s="1"/>
  <c r="P162" i="37" a="1"/>
  <c r="P162" i="37" s="1"/>
  <c r="P276" i="37" a="1"/>
  <c r="P276" i="37" s="1"/>
  <c r="P328" i="37" a="1"/>
  <c r="P328" i="37" s="1"/>
  <c r="P472" i="37" a="1"/>
  <c r="P472" i="37" s="1"/>
  <c r="P272" i="37" a="1"/>
  <c r="P272" i="37" s="1"/>
  <c r="P255" i="37" a="1"/>
  <c r="P255" i="37" s="1"/>
  <c r="P277" i="37" a="1"/>
  <c r="P277" i="37" s="1"/>
  <c r="P442" i="37" a="1"/>
  <c r="P442" i="37" s="1"/>
  <c r="P591" i="37" a="1"/>
  <c r="P591" i="37" s="1"/>
  <c r="P592" i="37" a="1"/>
  <c r="P592" i="37" s="1"/>
  <c r="P329" i="37" a="1"/>
  <c r="P329" i="37" s="1"/>
  <c r="P473" i="37" a="1"/>
  <c r="P473" i="37" s="1"/>
  <c r="P474" i="37" a="1"/>
  <c r="P474" i="37" s="1"/>
  <c r="P428" i="37" a="1"/>
  <c r="P428" i="37" s="1"/>
  <c r="P330" i="37" a="1"/>
  <c r="P330" i="37" s="1"/>
  <c r="P257" i="37" a="1"/>
  <c r="P257" i="37" s="1"/>
  <c r="P429" i="37" a="1"/>
  <c r="P429" i="37" s="1"/>
  <c r="P263" i="37" a="1"/>
  <c r="P263" i="37" s="1"/>
  <c r="P444" i="37" a="1"/>
  <c r="P444" i="37" s="1"/>
  <c r="P430" i="37" a="1"/>
  <c r="P430" i="37" s="1"/>
  <c r="P432" i="37" a="1"/>
  <c r="P432" i="37" s="1"/>
  <c r="P260" i="37" a="1"/>
  <c r="P260" i="37" s="1"/>
  <c r="P261" i="37" a="1"/>
  <c r="P261" i="37" s="1"/>
  <c r="P262" i="37" a="1"/>
  <c r="P262" i="37" s="1"/>
  <c r="P331" i="37" a="1"/>
  <c r="P331" i="37" s="1"/>
  <c r="P374" i="37" a="1"/>
  <c r="P374" i="37" s="1"/>
  <c r="P332" i="37" a="1"/>
  <c r="P332" i="37" s="1"/>
  <c r="P377" i="37" a="1"/>
  <c r="P377" i="37" s="1"/>
  <c r="P203" i="37" a="1"/>
  <c r="P203" i="37" s="1"/>
  <c r="P111" i="37" a="1"/>
  <c r="P111" i="37" s="1"/>
  <c r="P379" i="37" a="1"/>
  <c r="P379" i="37" s="1"/>
  <c r="P333" i="37" a="1"/>
  <c r="P333" i="37" s="1"/>
  <c r="P334" i="37" a="1"/>
  <c r="P334" i="37" s="1"/>
  <c r="P443" i="37" a="1"/>
  <c r="P443" i="37" s="1"/>
  <c r="P459" i="37" a="1"/>
  <c r="P459" i="37" s="1"/>
  <c r="P289" i="37" a="1"/>
  <c r="P289" i="37" s="1"/>
  <c r="P475" i="37" a="1"/>
  <c r="P475" i="37" s="1"/>
  <c r="P335" i="37" a="1"/>
  <c r="P335" i="37" s="1"/>
  <c r="P112" i="37" a="1"/>
  <c r="P112" i="37" s="1"/>
  <c r="P422" i="37" a="1"/>
  <c r="P422" i="37" s="1"/>
  <c r="P381" i="37" a="1"/>
  <c r="P381" i="37" s="1"/>
  <c r="P605" i="37" a="1"/>
  <c r="P605" i="37" s="1"/>
  <c r="P616" i="37" a="1"/>
  <c r="P616" i="37" s="1"/>
  <c r="P383" i="37" a="1"/>
  <c r="P383" i="37" s="1"/>
  <c r="P183" i="37" a="1"/>
  <c r="P183" i="37" s="1"/>
  <c r="P433" i="37" a="1"/>
  <c r="P433" i="37" s="1"/>
  <c r="P336" i="37" a="1"/>
  <c r="P336" i="37" s="1"/>
  <c r="P337" i="37" a="1"/>
  <c r="P337" i="37" s="1"/>
  <c r="P386" i="37" a="1"/>
  <c r="P386" i="37" s="1"/>
  <c r="P338" i="37" a="1"/>
  <c r="P338" i="37" s="1"/>
  <c r="P617" i="37" a="1"/>
  <c r="P617" i="37" s="1"/>
  <c r="P389" i="37" a="1"/>
  <c r="P389" i="37" s="1"/>
  <c r="P606" i="37" a="1"/>
  <c r="P606" i="37" s="1"/>
  <c r="P204" i="37" a="1"/>
  <c r="P204" i="37" s="1"/>
  <c r="P291" i="37" a="1"/>
  <c r="P291" i="37" s="1"/>
  <c r="P390" i="37" a="1"/>
  <c r="P390" i="37" s="1"/>
  <c r="P394" i="37" a="1"/>
  <c r="P394" i="37" s="1"/>
  <c r="P398" i="37" a="1"/>
  <c r="P398" i="37" s="1"/>
  <c r="P400" i="37" a="1"/>
  <c r="P400" i="37" s="1"/>
  <c r="P476" i="37" a="1"/>
  <c r="P476" i="37" s="1"/>
  <c r="P399" i="37" a="1"/>
  <c r="P399" i="37" s="1"/>
  <c r="P403" i="37" a="1"/>
  <c r="P403" i="37" s="1"/>
  <c r="P477" i="37" a="1"/>
  <c r="P477" i="37" s="1"/>
  <c r="P408" i="37" a="1"/>
  <c r="P408" i="37" s="1"/>
  <c r="P439" i="37" a="1"/>
  <c r="P439" i="37" s="1"/>
  <c r="P573" i="37" a="1"/>
  <c r="P573" i="37" s="1"/>
  <c r="P413" i="37" a="1"/>
  <c r="P413" i="37" s="1"/>
  <c r="P607" i="37" a="1"/>
  <c r="P607" i="37" s="1"/>
  <c r="P412" i="37" a="1"/>
  <c r="P412" i="37" s="1"/>
  <c r="P113" i="37" a="1"/>
  <c r="P113" i="37" s="1"/>
  <c r="P414" i="37" a="1"/>
  <c r="P414" i="37" s="1"/>
  <c r="P411" i="37" a="1"/>
  <c r="P411" i="37" s="1"/>
  <c r="P138" i="37" a="1"/>
  <c r="P138" i="37" s="1"/>
  <c r="P139" i="37" a="1"/>
  <c r="P139" i="37" s="1"/>
  <c r="P339" i="37" a="1"/>
  <c r="P339" i="37" s="1"/>
  <c r="P478" i="37" a="1"/>
  <c r="P478" i="37" s="1"/>
  <c r="P141" i="37" a="1"/>
  <c r="P141" i="37" s="1"/>
  <c r="P479" i="37" a="1"/>
  <c r="P479" i="37" s="1"/>
  <c r="P340" i="37" a="1"/>
  <c r="P340" i="37" s="1"/>
  <c r="P144" i="37" a="1"/>
  <c r="P144" i="37" s="1"/>
  <c r="P567" i="37" a="1"/>
  <c r="P567" i="37" s="1"/>
  <c r="P586" i="37" a="1"/>
  <c r="P586" i="37" s="1"/>
  <c r="P587" i="37" a="1"/>
  <c r="P587" i="37" s="1"/>
  <c r="P589" i="37" a="1"/>
  <c r="P589" i="37" s="1"/>
  <c r="P625" i="37" a="1"/>
  <c r="P625" i="37" s="1"/>
  <c r="P480" i="37" a="1"/>
  <c r="P480" i="37" s="1"/>
  <c r="P342" i="37" a="1"/>
  <c r="P342" i="37" s="1"/>
  <c r="P253" i="37" a="1"/>
  <c r="P253" i="37" s="1"/>
  <c r="P341" i="37" a="1"/>
  <c r="P341" i="37" s="1"/>
  <c r="P252" i="37" a="1"/>
  <c r="P252" i="37" s="1"/>
  <c r="P482" i="37" a="1"/>
  <c r="P482" i="37" s="1"/>
  <c r="P481" i="37" a="1"/>
  <c r="P481" i="37" s="1"/>
  <c r="P343" i="37" a="1"/>
  <c r="P343" i="37" s="1"/>
  <c r="P251" i="37" a="1"/>
  <c r="P251" i="37" s="1"/>
  <c r="P256" i="37" a="1"/>
  <c r="P256" i="37" s="1"/>
  <c r="P264" i="37" a="1"/>
  <c r="P264" i="37" s="1"/>
  <c r="P593" i="37" a="1"/>
  <c r="P593" i="37" s="1"/>
  <c r="P345" i="37" a="1"/>
  <c r="P345" i="37" s="1"/>
  <c r="P484" i="37" a="1"/>
  <c r="P484" i="37" s="1"/>
  <c r="P483" i="37" a="1"/>
  <c r="P483" i="37" s="1"/>
  <c r="P344" i="37" a="1"/>
  <c r="P344" i="37" s="1"/>
  <c r="P458" i="37" a="1"/>
  <c r="P458" i="37" s="1"/>
  <c r="P486" i="37" a="1"/>
  <c r="P486" i="37" s="1"/>
  <c r="P485" i="37" a="1"/>
  <c r="P485" i="37" s="1"/>
  <c r="P626" i="37" a="1"/>
  <c r="P626" i="37" s="1"/>
  <c r="P346" i="37" a="1"/>
  <c r="P346" i="37" s="1"/>
  <c r="P628" i="37" a="1"/>
  <c r="P628" i="37" s="1"/>
  <c r="P380" i="37" a="1"/>
  <c r="P380" i="37" s="1"/>
  <c r="P382" i="37" a="1"/>
  <c r="P382" i="37" s="1"/>
  <c r="P627" i="37" a="1"/>
  <c r="P627" i="37" s="1"/>
  <c r="P384" i="37" a="1"/>
  <c r="P384" i="37" s="1"/>
  <c r="P387" i="37" a="1"/>
  <c r="P387" i="37" s="1"/>
  <c r="P391" i="37" a="1"/>
  <c r="P391" i="37" s="1"/>
  <c r="P392" i="37" a="1"/>
  <c r="P392" i="37" s="1"/>
  <c r="P393" i="37" a="1"/>
  <c r="P393" i="37" s="1"/>
  <c r="P397" i="37" a="1"/>
  <c r="P397" i="37" s="1"/>
  <c r="P396" i="37" a="1"/>
  <c r="P396" i="37" s="1"/>
  <c r="P401" i="37" a="1"/>
  <c r="P401" i="37" s="1"/>
  <c r="P405" i="37" a="1"/>
  <c r="P405" i="37" s="1"/>
  <c r="P404" i="37" a="1"/>
  <c r="P404" i="37" s="1"/>
  <c r="P406" i="37" a="1"/>
  <c r="P406" i="37" s="1"/>
  <c r="P487" i="37" a="1"/>
  <c r="P487" i="37" s="1"/>
  <c r="P506" i="37" a="1"/>
  <c r="P506" i="37" s="1"/>
  <c r="P620" i="37" a="1"/>
  <c r="P620" i="37" s="1"/>
  <c r="P466" i="37" a="1"/>
  <c r="P466" i="37" s="1"/>
  <c r="P550" i="37" a="1"/>
  <c r="P550" i="37" s="1"/>
  <c r="P498" i="37" a="1"/>
  <c r="P498" i="37" s="1"/>
  <c r="P521" i="37" a="1"/>
  <c r="P521" i="37" s="1"/>
  <c r="P445" i="37" a="1"/>
  <c r="P445" i="37" s="1"/>
  <c r="P184" i="37" a="1"/>
  <c r="P184" i="37" s="1"/>
  <c r="P348" i="37" a="1"/>
  <c r="P348" i="37" s="1"/>
  <c r="P357" i="37" a="1"/>
  <c r="P357" i="37" s="1"/>
  <c r="P640" i="37" a="1"/>
  <c r="P640" i="37" s="1"/>
  <c r="P469" i="37" a="1"/>
  <c r="P469" i="37" s="1"/>
  <c r="P510" i="37" a="1"/>
  <c r="P510" i="37" s="1"/>
  <c r="P511" i="37" a="1"/>
  <c r="P511" i="37" s="1"/>
  <c r="P528" i="37" a="1"/>
  <c r="P528" i="37" s="1"/>
  <c r="P347" i="37" a="1"/>
  <c r="P347" i="37" s="1"/>
  <c r="P436" i="37" a="1"/>
  <c r="P436" i="37" s="1"/>
  <c r="P517" i="37" a="1"/>
  <c r="P517" i="37" s="1"/>
  <c r="P493" i="37" a="1"/>
  <c r="P493" i="37" s="1"/>
  <c r="P467" i="37" a="1"/>
  <c r="P467" i="37" s="1"/>
  <c r="P293" i="37" a="1"/>
  <c r="P293" i="37" s="1"/>
  <c r="P452" i="37" a="1"/>
  <c r="P452" i="37" s="1"/>
  <c r="P358" i="37" a="1"/>
  <c r="P358" i="37" s="1"/>
  <c r="P455" i="37" a="1"/>
  <c r="P455" i="37" s="1"/>
  <c r="P522" i="37" a="1"/>
  <c r="P522" i="37" s="1"/>
  <c r="P351" i="37" a="1"/>
  <c r="P351" i="37" s="1"/>
  <c r="P610" i="37" a="1"/>
  <c r="P610" i="37" s="1"/>
  <c r="P463" i="37" a="1"/>
  <c r="P463" i="37" s="1"/>
  <c r="P490" i="37" a="1"/>
  <c r="P490" i="37" s="1"/>
  <c r="P500" i="37" a="1"/>
  <c r="P500" i="37" s="1"/>
  <c r="P499" i="37" a="1"/>
  <c r="P499" i="37" s="1"/>
  <c r="P523" i="37" a="1"/>
  <c r="P523" i="37" s="1"/>
  <c r="P470" i="37" a="1"/>
  <c r="P470" i="37" s="1"/>
  <c r="P273" i="37" a="1"/>
  <c r="P273" i="37" s="1"/>
  <c r="P489" i="37" a="1"/>
  <c r="P489" i="37" s="1"/>
  <c r="P488" i="37" a="1"/>
  <c r="P488" i="37" s="1"/>
  <c r="P288" i="37" a="1"/>
  <c r="P288" i="37" s="1"/>
  <c r="P292" i="37" a="1"/>
  <c r="P292" i="37" s="1"/>
  <c r="P491" i="37" a="1"/>
  <c r="P491" i="37" s="1"/>
  <c r="P448" i="37" a="1"/>
  <c r="P448" i="37" s="1"/>
  <c r="P494" i="37" a="1"/>
  <c r="P494" i="37" s="1"/>
  <c r="P451" i="37" a="1"/>
  <c r="P451" i="37" s="1"/>
  <c r="P512" i="37" a="1"/>
  <c r="P512" i="37" s="1"/>
  <c r="P525" i="37" a="1"/>
  <c r="P525" i="37" s="1"/>
  <c r="P527" i="37" a="1"/>
  <c r="P527" i="37" s="1"/>
  <c r="P524" i="37" a="1"/>
  <c r="P524" i="37" s="1"/>
  <c r="P639" i="37" a="1"/>
  <c r="P639" i="37" s="1"/>
  <c r="P356" i="37" a="1"/>
  <c r="P356" i="37" s="1"/>
  <c r="P453" i="37" a="1"/>
  <c r="P453" i="37" s="1"/>
  <c r="P460" i="37" a="1"/>
  <c r="P460" i="37" s="1"/>
  <c r="P290" i="37" a="1"/>
  <c r="P290" i="37" s="1"/>
  <c r="P611" i="37" a="1"/>
  <c r="P611" i="37" s="1"/>
  <c r="P492" i="37" a="1"/>
  <c r="P492" i="37" s="1"/>
  <c r="P495" i="37" a="1"/>
  <c r="P495" i="37" s="1"/>
  <c r="P294" i="37" a="1"/>
  <c r="P294" i="37" s="1"/>
  <c r="P496" i="37" a="1"/>
  <c r="P496" i="37" s="1"/>
  <c r="P497" i="37" a="1"/>
  <c r="P497" i="37" s="1"/>
  <c r="P502" i="37" a="1"/>
  <c r="P502" i="37" s="1"/>
  <c r="P446" i="37" a="1"/>
  <c r="P446" i="37" s="1"/>
  <c r="P503" i="37" a="1"/>
  <c r="P503" i="37" s="1"/>
  <c r="P449" i="37" a="1"/>
  <c r="P449" i="37" s="1"/>
  <c r="P631" i="37" a="1"/>
  <c r="P631" i="37" s="1"/>
  <c r="P504" i="37" a="1"/>
  <c r="P504" i="37" s="1"/>
  <c r="P630" i="37" a="1"/>
  <c r="P630" i="37" s="1"/>
  <c r="P629" i="37" a="1"/>
  <c r="P629" i="37" s="1"/>
  <c r="P623" i="37" a="1"/>
  <c r="P623" i="37" s="1"/>
  <c r="P501" i="37" a="1"/>
  <c r="P501" i="37" s="1"/>
  <c r="P505" i="37" a="1"/>
  <c r="P505" i="37" s="1"/>
  <c r="P508" i="37" a="1"/>
  <c r="P508" i="37" s="1"/>
  <c r="P509" i="37" a="1"/>
  <c r="P509" i="37" s="1"/>
  <c r="P513" i="37" a="1"/>
  <c r="P513" i="37" s="1"/>
  <c r="P632" i="37" a="1"/>
  <c r="P632" i="37" s="1"/>
  <c r="P514" i="37" a="1"/>
  <c r="P514" i="37" s="1"/>
  <c r="P515" i="37" a="1"/>
  <c r="P515" i="37" s="1"/>
  <c r="P519" i="37" a="1"/>
  <c r="P519" i="37" s="1"/>
  <c r="P518" i="37" a="1"/>
  <c r="P518" i="37" s="1"/>
  <c r="P520" i="37" a="1"/>
  <c r="P520" i="37" s="1"/>
  <c r="P114" i="37" a="1"/>
  <c r="P114" i="37" s="1"/>
  <c r="P205" i="37" a="1"/>
  <c r="P205" i="37" s="1"/>
  <c r="P349" i="37" a="1"/>
  <c r="P349" i="37" s="1"/>
  <c r="P350" i="37" a="1"/>
  <c r="P350" i="37" s="1"/>
  <c r="P608" i="37" a="1"/>
  <c r="P608" i="37" s="1"/>
  <c r="P609" i="37" a="1"/>
  <c r="P609" i="37" s="1"/>
  <c r="P352" i="37" a="1"/>
  <c r="P352" i="37" s="1"/>
  <c r="P355" i="37" a="1"/>
  <c r="P355" i="37" s="1"/>
  <c r="P353" i="37" a="1"/>
  <c r="P353" i="37" s="1"/>
  <c r="P468" i="37" a="1"/>
  <c r="P468" i="37" s="1"/>
  <c r="P354" i="37" a="1"/>
  <c r="P354" i="37" s="1"/>
  <c r="P295" i="37" a="1"/>
  <c r="P295" i="37" s="1"/>
  <c r="P447" i="37" a="1"/>
  <c r="P447" i="37" s="1"/>
  <c r="P450" i="37" a="1"/>
  <c r="P450" i="37" s="1"/>
  <c r="P454" i="37" a="1"/>
  <c r="P454" i="37" s="1"/>
  <c r="P359" i="37" a="1"/>
  <c r="P359" i="37" s="1"/>
  <c r="P456" i="37" a="1"/>
  <c r="P456" i="37" s="1"/>
  <c r="P457" i="37" a="1"/>
  <c r="P457" i="37" s="1"/>
  <c r="P360" i="37" a="1"/>
  <c r="P360" i="37" s="1"/>
  <c r="P462" i="37" a="1"/>
  <c r="P462" i="37" s="1"/>
  <c r="P461" i="37" a="1"/>
  <c r="P461" i="37" s="1"/>
  <c r="P633" i="37" a="1"/>
  <c r="P633" i="37" s="1"/>
  <c r="P464" i="37" a="1"/>
  <c r="P464" i="37" s="1"/>
  <c r="P624" i="37" a="1"/>
  <c r="P624" i="37" s="1"/>
  <c r="P465" i="37" a="1"/>
  <c r="P465" i="37" s="1"/>
  <c r="P516" i="37" a="1"/>
  <c r="P516" i="37" s="1"/>
  <c r="P634" i="37" a="1"/>
  <c r="P634" i="37" s="1"/>
  <c r="P635" i="37" a="1"/>
  <c r="P635" i="37" s="1"/>
  <c r="P638" i="37" a="1"/>
  <c r="P638" i="37" s="1"/>
  <c r="P637" i="37" a="1"/>
  <c r="P637" i="37" s="1"/>
  <c r="P636" i="37" a="1"/>
  <c r="P636" i="37" s="1"/>
  <c r="P529" i="37" a="1"/>
  <c r="P529" i="37" s="1"/>
  <c r="P530" i="37" a="1"/>
  <c r="P530" i="37" s="1"/>
  <c r="P531" i="37" a="1"/>
  <c r="P531" i="37" s="1"/>
  <c r="P532" i="37" a="1"/>
  <c r="P532" i="37" s="1"/>
  <c r="O2" i="37" a="1"/>
  <c r="O2" i="37" s="1"/>
  <c r="O3" i="37" a="1"/>
  <c r="O3" i="37" s="1"/>
  <c r="O10" i="37" a="1"/>
  <c r="O10" i="37" s="1"/>
  <c r="O534" i="37" a="1"/>
  <c r="O534" i="37" s="1"/>
  <c r="O533" i="37" a="1"/>
  <c r="O533" i="37" s="1"/>
  <c r="O6" i="37" a="1"/>
  <c r="O6" i="37" s="1"/>
  <c r="O5" i="37" a="1"/>
  <c r="O5" i="37" s="1"/>
  <c r="O11" i="37" a="1"/>
  <c r="O11" i="37" s="1"/>
  <c r="O4" i="37" a="1"/>
  <c r="O4" i="37" s="1"/>
  <c r="O23" i="37" a="1"/>
  <c r="O23" i="37" s="1"/>
  <c r="O7" i="37" a="1"/>
  <c r="O7" i="37" s="1"/>
  <c r="O13" i="37" a="1"/>
  <c r="O13" i="37" s="1"/>
  <c r="O24" i="37" a="1"/>
  <c r="O24" i="37" s="1"/>
  <c r="O36" i="37" a="1"/>
  <c r="O36" i="37" s="1"/>
  <c r="O25" i="37" a="1"/>
  <c r="O25" i="37" s="1"/>
  <c r="O37" i="37" a="1"/>
  <c r="O37" i="37" s="1"/>
  <c r="O20" i="37" a="1"/>
  <c r="O20" i="37" s="1"/>
  <c r="O14" i="37" a="1"/>
  <c r="O14" i="37" s="1"/>
  <c r="O15" i="37" a="1"/>
  <c r="O15" i="37" s="1"/>
  <c r="O19" i="37" a="1"/>
  <c r="O19" i="37" s="1"/>
  <c r="O22" i="37" a="1"/>
  <c r="O22" i="37" s="1"/>
  <c r="O26" i="37" a="1"/>
  <c r="O26" i="37" s="1"/>
  <c r="O537" i="37" a="1"/>
  <c r="O537" i="37" s="1"/>
  <c r="O27" i="37" a="1"/>
  <c r="O27" i="37" s="1"/>
  <c r="O21" i="37" a="1"/>
  <c r="O21" i="37" s="1"/>
  <c r="O38" i="37" a="1"/>
  <c r="O38" i="37" s="1"/>
  <c r="O538" i="37" a="1"/>
  <c r="O538" i="37" s="1"/>
  <c r="O28" i="37" a="1"/>
  <c r="O28" i="37" s="1"/>
  <c r="O16" i="37" a="1"/>
  <c r="O16" i="37" s="1"/>
  <c r="O39" i="37" a="1"/>
  <c r="O39" i="37" s="1"/>
  <c r="O40" i="37" a="1"/>
  <c r="O40" i="37" s="1"/>
  <c r="O29" i="37" a="1"/>
  <c r="O29" i="37" s="1"/>
  <c r="O41" i="37" a="1"/>
  <c r="O41" i="37" s="1"/>
  <c r="O33" i="37" a="1"/>
  <c r="O33" i="37" s="1"/>
  <c r="O42" i="37" a="1"/>
  <c r="O42" i="37" s="1"/>
  <c r="O539" i="37" a="1"/>
  <c r="O539" i="37" s="1"/>
  <c r="O85" i="37" a="1"/>
  <c r="O85" i="37" s="1"/>
  <c r="O43" i="37" a="1"/>
  <c r="O43" i="37" s="1"/>
  <c r="O44" i="37" a="1"/>
  <c r="O44" i="37" s="1"/>
  <c r="O535" i="37" a="1"/>
  <c r="O535" i="37" s="1"/>
  <c r="O45" i="37" a="1"/>
  <c r="O45" i="37" s="1"/>
  <c r="O17" i="37" a="1"/>
  <c r="O17" i="37" s="1"/>
  <c r="O70" i="37" a="1"/>
  <c r="O70" i="37" s="1"/>
  <c r="O30" i="37" a="1"/>
  <c r="O30" i="37" s="1"/>
  <c r="O18" i="37" a="1"/>
  <c r="O18" i="37" s="1"/>
  <c r="O62" i="37" a="1"/>
  <c r="O62" i="37" s="1"/>
  <c r="O57" i="37" a="1"/>
  <c r="O57" i="37" s="1"/>
  <c r="O46" i="37" a="1"/>
  <c r="O46" i="37" s="1"/>
  <c r="O61" i="37" a="1"/>
  <c r="O61" i="37" s="1"/>
  <c r="O71" i="37" a="1"/>
  <c r="O71" i="37" s="1"/>
  <c r="O31" i="37" a="1"/>
  <c r="O31" i="37" s="1"/>
  <c r="O541" i="37" a="1"/>
  <c r="O541" i="37" s="1"/>
  <c r="O56" i="37" a="1"/>
  <c r="O56" i="37" s="1"/>
  <c r="O536" i="37" a="1"/>
  <c r="O536" i="37" s="1"/>
  <c r="O47" i="37" a="1"/>
  <c r="O47" i="37" s="1"/>
  <c r="O86" i="37" a="1"/>
  <c r="O86" i="37" s="1"/>
  <c r="O72" i="37" a="1"/>
  <c r="O72" i="37" s="1"/>
  <c r="O48" i="37" a="1"/>
  <c r="O48" i="37" s="1"/>
  <c r="O547" i="37" a="1"/>
  <c r="O547" i="37" s="1"/>
  <c r="O115" i="37" a="1"/>
  <c r="O115" i="37" s="1"/>
  <c r="O562" i="37" a="1"/>
  <c r="O562" i="37" s="1"/>
  <c r="O58" i="37" a="1"/>
  <c r="O58" i="37" s="1"/>
  <c r="O63" i="37" a="1"/>
  <c r="O63" i="37" s="1"/>
  <c r="O34" i="37" a="1"/>
  <c r="O34" i="37" s="1"/>
  <c r="O540" i="37" a="1"/>
  <c r="O540" i="37" s="1"/>
  <c r="O116" i="37" a="1"/>
  <c r="O116" i="37" s="1"/>
  <c r="O12" i="37" a="1"/>
  <c r="O12" i="37" s="1"/>
  <c r="O32" i="37" a="1"/>
  <c r="O32" i="37" s="1"/>
  <c r="O73" i="37" a="1"/>
  <c r="O73" i="37" s="1"/>
  <c r="O74" i="37" a="1"/>
  <c r="O74" i="37" s="1"/>
  <c r="O542" i="37" a="1"/>
  <c r="O542" i="37" s="1"/>
  <c r="O75" i="37" a="1"/>
  <c r="O75" i="37" s="1"/>
  <c r="O543" i="37" a="1"/>
  <c r="O543" i="37" s="1"/>
  <c r="O117" i="37" a="1"/>
  <c r="O117" i="37" s="1"/>
  <c r="O546" i="37" a="1"/>
  <c r="O546" i="37" s="1"/>
  <c r="O99" i="37" a="1"/>
  <c r="O99" i="37" s="1"/>
  <c r="O67" i="37" a="1"/>
  <c r="O67" i="37" s="1"/>
  <c r="O100" i="37" a="1"/>
  <c r="O100" i="37" s="1"/>
  <c r="O68" i="37" a="1"/>
  <c r="O68" i="37" s="1"/>
  <c r="O64" i="37" a="1"/>
  <c r="O64" i="37" s="1"/>
  <c r="O101" i="37" a="1"/>
  <c r="O101" i="37" s="1"/>
  <c r="O65" i="37" a="1"/>
  <c r="O65" i="37" s="1"/>
  <c r="O92" i="37" a="1"/>
  <c r="O92" i="37" s="1"/>
  <c r="O49" i="37" a="1"/>
  <c r="O49" i="37" s="1"/>
  <c r="O185" i="37" a="1"/>
  <c r="O185" i="37" s="1"/>
  <c r="O163" i="37" a="1"/>
  <c r="O163" i="37" s="1"/>
  <c r="O76" i="37" a="1"/>
  <c r="O76" i="37" s="1"/>
  <c r="O87" i="37" a="1"/>
  <c r="O87" i="37" s="1"/>
  <c r="O82" i="37" a="1"/>
  <c r="O82" i="37" s="1"/>
  <c r="O88" i="37" a="1"/>
  <c r="O88" i="37" s="1"/>
  <c r="O554" i="37" a="1"/>
  <c r="O554" i="37" s="1"/>
  <c r="O93" i="37" a="1"/>
  <c r="O93" i="37" s="1"/>
  <c r="O118" i="37" a="1"/>
  <c r="O118" i="37" s="1"/>
  <c r="O83" i="37" a="1"/>
  <c r="O83" i="37" s="1"/>
  <c r="O164" i="37" a="1"/>
  <c r="O164" i="37" s="1"/>
  <c r="O119" i="37" a="1"/>
  <c r="O119" i="37" s="1"/>
  <c r="O549" i="37" a="1"/>
  <c r="O549" i="37" s="1"/>
  <c r="O50" i="37" a="1"/>
  <c r="O50" i="37" s="1"/>
  <c r="O120" i="37" a="1"/>
  <c r="O120" i="37" s="1"/>
  <c r="O121" i="37" a="1"/>
  <c r="O121" i="37" s="1"/>
  <c r="O84" i="37" a="1"/>
  <c r="O84" i="37" s="1"/>
  <c r="O165" i="37" a="1"/>
  <c r="O165" i="37" s="1"/>
  <c r="O206" i="37" a="1"/>
  <c r="O206" i="37" s="1"/>
  <c r="O89" i="37" a="1"/>
  <c r="O89" i="37" s="1"/>
  <c r="O574" i="37" a="1"/>
  <c r="O574" i="37" s="1"/>
  <c r="O166" i="37" a="1"/>
  <c r="O166" i="37" s="1"/>
  <c r="O167" i="37" a="1"/>
  <c r="O167" i="37" s="1"/>
  <c r="O77" i="37" a="1"/>
  <c r="O77" i="37" s="1"/>
  <c r="O123" i="37" a="1"/>
  <c r="O123" i="37" s="1"/>
  <c r="O122" i="37" a="1"/>
  <c r="O122" i="37" s="1"/>
  <c r="O575" i="37" a="1"/>
  <c r="O575" i="37" s="1"/>
  <c r="O96" i="37" a="1"/>
  <c r="O96" i="37" s="1"/>
  <c r="O186" i="37" a="1"/>
  <c r="O186" i="37" s="1"/>
  <c r="O176" i="37" a="1"/>
  <c r="O176" i="37" s="1"/>
  <c r="O151" i="37" a="1"/>
  <c r="O151" i="37" s="1"/>
  <c r="O97" i="37" a="1"/>
  <c r="O97" i="37" s="1"/>
  <c r="O274" i="37" a="1"/>
  <c r="O274" i="37" s="1"/>
  <c r="O545" i="37" a="1"/>
  <c r="O545" i="37" s="1"/>
  <c r="O187" i="37" a="1"/>
  <c r="O187" i="37" s="1"/>
  <c r="O207" i="37" a="1"/>
  <c r="O207" i="37" s="1"/>
  <c r="O9" i="37" a="1"/>
  <c r="O9" i="37" s="1"/>
  <c r="O570" i="37" a="1"/>
  <c r="O570" i="37" s="1"/>
  <c r="O296" i="37" a="1"/>
  <c r="O296" i="37" s="1"/>
  <c r="O102" i="37" a="1"/>
  <c r="O102" i="37" s="1"/>
  <c r="O66" i="37" a="1"/>
  <c r="O66" i="37" s="1"/>
  <c r="O177" i="37" a="1"/>
  <c r="O177" i="37" s="1"/>
  <c r="O297" i="37" a="1"/>
  <c r="O297" i="37" s="1"/>
  <c r="O576" i="37" a="1"/>
  <c r="O576" i="37" s="1"/>
  <c r="O156" i="37" a="1"/>
  <c r="O156" i="37" s="1"/>
  <c r="O188" i="37" a="1"/>
  <c r="O188" i="37" s="1"/>
  <c r="O189" i="37" a="1"/>
  <c r="O189" i="37" s="1"/>
  <c r="O103" i="37" a="1"/>
  <c r="O103" i="37" s="1"/>
  <c r="O190" i="37" a="1"/>
  <c r="O190" i="37" s="1"/>
  <c r="O152" i="37" a="1"/>
  <c r="O152" i="37" s="1"/>
  <c r="O208" i="37" a="1"/>
  <c r="O208" i="37" s="1"/>
  <c r="O209" i="37" a="1"/>
  <c r="O209" i="37" s="1"/>
  <c r="O210" i="37" a="1"/>
  <c r="O210" i="37" s="1"/>
  <c r="O596" i="37" a="1"/>
  <c r="O596" i="37" s="1"/>
  <c r="O168" i="37" a="1"/>
  <c r="O168" i="37" s="1"/>
  <c r="O568" i="37" a="1"/>
  <c r="O568" i="37" s="1"/>
  <c r="O124" i="37" a="1"/>
  <c r="O124" i="37" s="1"/>
  <c r="O571" i="37" a="1"/>
  <c r="O571" i="37" s="1"/>
  <c r="O175" i="37" a="1"/>
  <c r="O175" i="37" s="1"/>
  <c r="O211" i="37" a="1"/>
  <c r="O211" i="37" s="1"/>
  <c r="O104" i="37" a="1"/>
  <c r="O104" i="37" s="1"/>
  <c r="O125" i="37" a="1"/>
  <c r="O125" i="37" s="1"/>
  <c r="O105" i="37" a="1"/>
  <c r="O105" i="37" s="1"/>
  <c r="O126" i="37" a="1"/>
  <c r="O126" i="37" s="1"/>
  <c r="O548" i="37" a="1"/>
  <c r="O548" i="37" s="1"/>
  <c r="O191" i="37" a="1"/>
  <c r="O191" i="37" s="1"/>
  <c r="O563" i="37" a="1"/>
  <c r="O563" i="37" s="1"/>
  <c r="O213" i="37" a="1"/>
  <c r="O213" i="37" s="1"/>
  <c r="O298" i="37" a="1"/>
  <c r="O298" i="37" s="1"/>
  <c r="O106" i="37" a="1"/>
  <c r="O106" i="37" s="1"/>
  <c r="O212" i="37" a="1"/>
  <c r="O212" i="37" s="1"/>
  <c r="O564" i="37" a="1"/>
  <c r="O564" i="37" s="1"/>
  <c r="O577" i="37" a="1"/>
  <c r="O577" i="37" s="1"/>
  <c r="O107" i="37" a="1"/>
  <c r="O107" i="37" s="1"/>
  <c r="O157" i="37" a="1"/>
  <c r="O157" i="37" s="1"/>
  <c r="O214" i="37" a="1"/>
  <c r="O214" i="37" s="1"/>
  <c r="O158" i="37" a="1"/>
  <c r="O158" i="37" s="1"/>
  <c r="O578" i="37" a="1"/>
  <c r="O578" i="37" s="1"/>
  <c r="O215" i="37" a="1"/>
  <c r="O215" i="37" s="1"/>
  <c r="O155" i="37" a="1"/>
  <c r="O155" i="37" s="1"/>
  <c r="O216" i="37" a="1"/>
  <c r="O216" i="37" s="1"/>
  <c r="O217" i="37" a="1"/>
  <c r="O217" i="37" s="1"/>
  <c r="O127" i="37" a="1"/>
  <c r="O127" i="37" s="1"/>
  <c r="O90" i="37" a="1"/>
  <c r="O90" i="37" s="1"/>
  <c r="O153" i="37" a="1"/>
  <c r="O153" i="37" s="1"/>
  <c r="O128" i="37" a="1"/>
  <c r="O128" i="37" s="1"/>
  <c r="O299" i="37" a="1"/>
  <c r="O299" i="37" s="1"/>
  <c r="O192" i="37" a="1"/>
  <c r="O192" i="37" s="1"/>
  <c r="O129" i="37" a="1"/>
  <c r="O129" i="37" s="1"/>
  <c r="O565" i="37" a="1"/>
  <c r="O565" i="37" s="1"/>
  <c r="O130" i="37" a="1"/>
  <c r="O130" i="37" s="1"/>
  <c r="O218" i="37" a="1"/>
  <c r="O218" i="37" s="1"/>
  <c r="O131" i="37" a="1"/>
  <c r="O131" i="37" s="1"/>
  <c r="O154" i="37" a="1"/>
  <c r="O154" i="37" s="1"/>
  <c r="O555" i="37" a="1"/>
  <c r="O555" i="37" s="1"/>
  <c r="O579" i="37" a="1"/>
  <c r="O579" i="37" s="1"/>
  <c r="O132" i="37" a="1"/>
  <c r="O132" i="37" s="1"/>
  <c r="O580" i="37" a="1"/>
  <c r="O580" i="37" s="1"/>
  <c r="O219" i="37" a="1"/>
  <c r="O219" i="37" s="1"/>
  <c r="O133" i="37" a="1"/>
  <c r="O133" i="37" s="1"/>
  <c r="O134" i="37" a="1"/>
  <c r="O134" i="37" s="1"/>
  <c r="O599" i="37" a="1"/>
  <c r="O599" i="37" s="1"/>
  <c r="O220" i="37" a="1"/>
  <c r="O220" i="37" s="1"/>
  <c r="O221" i="37" a="1"/>
  <c r="O221" i="37" s="1"/>
  <c r="O59" i="37" a="1"/>
  <c r="O59" i="37" s="1"/>
  <c r="O222" i="37" a="1"/>
  <c r="O222" i="37" s="1"/>
  <c r="O223" i="37" a="1"/>
  <c r="O223" i="37" s="1"/>
  <c r="O275" i="37" a="1"/>
  <c r="O275" i="37" s="1"/>
  <c r="O51" i="37" a="1"/>
  <c r="O51" i="37" s="1"/>
  <c r="O224" i="37" a="1"/>
  <c r="O224" i="37" s="1"/>
  <c r="O78" i="37" a="1"/>
  <c r="O78" i="37" s="1"/>
  <c r="O225" i="37" a="1"/>
  <c r="O225" i="37" s="1"/>
  <c r="O35" i="37" a="1"/>
  <c r="O35" i="37" s="1"/>
  <c r="O226" i="37" a="1"/>
  <c r="O226" i="37" s="1"/>
  <c r="O169" i="37" a="1"/>
  <c r="O169" i="37" s="1"/>
  <c r="O170" i="37" a="1"/>
  <c r="O170" i="37" s="1"/>
  <c r="O557" i="37" a="1"/>
  <c r="O557" i="37" s="1"/>
  <c r="O361" i="37" a="1"/>
  <c r="O361" i="37" s="1"/>
  <c r="O558" i="37" a="1"/>
  <c r="O558" i="37" s="1"/>
  <c r="O227" i="37" a="1"/>
  <c r="O227" i="37" s="1"/>
  <c r="O556" i="37" a="1"/>
  <c r="O556" i="37" s="1"/>
  <c r="O228" i="37" a="1"/>
  <c r="O228" i="37" s="1"/>
  <c r="O171" i="37" a="1"/>
  <c r="O171" i="37" s="1"/>
  <c r="O178" i="37" a="1"/>
  <c r="O178" i="37" s="1"/>
  <c r="O595" i="37" a="1"/>
  <c r="O595" i="37" s="1"/>
  <c r="O193" i="37" a="1"/>
  <c r="O193" i="37" s="1"/>
  <c r="O69" i="37" a="1"/>
  <c r="O69" i="37" s="1"/>
  <c r="O179" i="37" a="1"/>
  <c r="O179" i="37" s="1"/>
  <c r="O135" i="37" a="1"/>
  <c r="O135" i="37" s="1"/>
  <c r="O108" i="37" a="1"/>
  <c r="O108" i="37" s="1"/>
  <c r="O300" i="37" a="1"/>
  <c r="O300" i="37" s="1"/>
  <c r="O98" i="37" a="1"/>
  <c r="O98" i="37" s="1"/>
  <c r="O159" i="37" a="1"/>
  <c r="O159" i="37" s="1"/>
  <c r="O597" i="37" a="1"/>
  <c r="O597" i="37" s="1"/>
  <c r="O560" i="37" a="1"/>
  <c r="O560" i="37" s="1"/>
  <c r="O79" i="37" a="1"/>
  <c r="O79" i="37" s="1"/>
  <c r="O279" i="37" a="1"/>
  <c r="O279" i="37" s="1"/>
  <c r="O569" i="37" a="1"/>
  <c r="O569" i="37" s="1"/>
  <c r="O229" i="37" a="1"/>
  <c r="O229" i="37" s="1"/>
  <c r="O230" i="37" a="1"/>
  <c r="O230" i="37" s="1"/>
  <c r="O301" i="37" a="1"/>
  <c r="O301" i="37" s="1"/>
  <c r="O437" i="37" a="1"/>
  <c r="O437" i="37" s="1"/>
  <c r="O160" i="37" a="1"/>
  <c r="O160" i="37" s="1"/>
  <c r="O280" i="37" a="1"/>
  <c r="O280" i="37" s="1"/>
  <c r="O302" i="37" a="1"/>
  <c r="O302" i="37" s="1"/>
  <c r="O231" i="37" a="1"/>
  <c r="O231" i="37" s="1"/>
  <c r="O303" i="37" a="1"/>
  <c r="O303" i="37" s="1"/>
  <c r="O304" i="37" a="1"/>
  <c r="O304" i="37" s="1"/>
  <c r="O305" i="37" a="1"/>
  <c r="O305" i="37" s="1"/>
  <c r="O194" i="37" a="1"/>
  <c r="O194" i="37" s="1"/>
  <c r="O265" i="37" a="1"/>
  <c r="O265" i="37" s="1"/>
  <c r="O306" i="37" a="1"/>
  <c r="O306" i="37" s="1"/>
  <c r="O232" i="37" a="1"/>
  <c r="O232" i="37" s="1"/>
  <c r="O195" i="37" a="1"/>
  <c r="O195" i="37" s="1"/>
  <c r="O598" i="37" a="1"/>
  <c r="O598" i="37" s="1"/>
  <c r="O281" i="37" a="1"/>
  <c r="O281" i="37" s="1"/>
  <c r="O600" i="37" a="1"/>
  <c r="O600" i="37" s="1"/>
  <c r="O80" i="37" a="1"/>
  <c r="O80" i="37" s="1"/>
  <c r="O270" i="37" a="1"/>
  <c r="O270" i="37" s="1"/>
  <c r="O180" i="37" a="1"/>
  <c r="O180" i="37" s="1"/>
  <c r="O307" i="37" a="1"/>
  <c r="O307" i="37" s="1"/>
  <c r="O267" i="37" a="1"/>
  <c r="O267" i="37" s="1"/>
  <c r="O196" i="37" a="1"/>
  <c r="O196" i="37" s="1"/>
  <c r="O269" i="37" a="1"/>
  <c r="O269" i="37" s="1"/>
  <c r="O198" i="37" a="1"/>
  <c r="O198" i="37" s="1"/>
  <c r="O282" i="37" a="1"/>
  <c r="O282" i="37" s="1"/>
  <c r="O308" i="37" a="1"/>
  <c r="O308" i="37" s="1"/>
  <c r="O471" i="37" a="1"/>
  <c r="O471" i="37" s="1"/>
  <c r="O283" i="37" a="1"/>
  <c r="O283" i="37" s="1"/>
  <c r="O161" i="37" a="1"/>
  <c r="O161" i="37" s="1"/>
  <c r="O581" i="37" a="1"/>
  <c r="O581" i="37" s="1"/>
  <c r="O234" i="37" a="1"/>
  <c r="O234" i="37" s="1"/>
  <c r="O233" i="37" a="1"/>
  <c r="O233" i="37" s="1"/>
  <c r="O235" i="37" a="1"/>
  <c r="O235" i="37" s="1"/>
  <c r="O268" i="37" a="1"/>
  <c r="O268" i="37" s="1"/>
  <c r="O199" i="37" a="1"/>
  <c r="O199" i="37" s="1"/>
  <c r="O236" i="37" a="1"/>
  <c r="O236" i="37" s="1"/>
  <c r="O582" i="37" a="1"/>
  <c r="O582" i="37" s="1"/>
  <c r="O237" i="37" a="1"/>
  <c r="O237" i="37" s="1"/>
  <c r="O238" i="37" a="1"/>
  <c r="O238" i="37" s="1"/>
  <c r="O583" i="37" a="1"/>
  <c r="O583" i="37" s="1"/>
  <c r="O172" i="37" a="1"/>
  <c r="O172" i="37" s="1"/>
  <c r="O239" i="37" a="1"/>
  <c r="O239" i="37" s="1"/>
  <c r="O363" i="37" a="1"/>
  <c r="O363" i="37" s="1"/>
  <c r="O364" i="37" a="1"/>
  <c r="O364" i="37" s="1"/>
  <c r="O362" i="37" a="1"/>
  <c r="O362" i="37" s="1"/>
  <c r="O594" i="37" a="1"/>
  <c r="O594" i="37" s="1"/>
  <c r="O612" i="37" a="1"/>
  <c r="O612" i="37" s="1"/>
  <c r="O266" i="37" a="1"/>
  <c r="O266" i="37" s="1"/>
  <c r="O309" i="37" a="1"/>
  <c r="O309" i="37" s="1"/>
  <c r="O365" i="37" a="1"/>
  <c r="O365" i="37" s="1"/>
  <c r="O240" i="37" a="1"/>
  <c r="O240" i="37" s="1"/>
  <c r="O91" i="37" a="1"/>
  <c r="O91" i="37" s="1"/>
  <c r="O613" i="37" a="1"/>
  <c r="O613" i="37" s="1"/>
  <c r="O551" i="37" a="1"/>
  <c r="O551" i="37" s="1"/>
  <c r="O271" i="37" a="1"/>
  <c r="O271" i="37" s="1"/>
  <c r="O584" i="37" a="1"/>
  <c r="O584" i="37" s="1"/>
  <c r="O52" i="37" a="1"/>
  <c r="O52" i="37" s="1"/>
  <c r="O366" i="37" a="1"/>
  <c r="O366" i="37" s="1"/>
  <c r="O241" i="37" a="1"/>
  <c r="O241" i="37" s="1"/>
  <c r="O614" i="37" a="1"/>
  <c r="O614" i="37" s="1"/>
  <c r="O367" i="37" a="1"/>
  <c r="O367" i="37" s="1"/>
  <c r="O544" i="37" a="1"/>
  <c r="O544" i="37" s="1"/>
  <c r="O136" i="37" a="1"/>
  <c r="O136" i="37" s="1"/>
  <c r="O585" i="37" a="1"/>
  <c r="O585" i="37" s="1"/>
  <c r="O371" i="37" a="1"/>
  <c r="O371" i="37" s="1"/>
  <c r="O369" i="37" a="1"/>
  <c r="O369" i="37" s="1"/>
  <c r="O615" i="37" a="1"/>
  <c r="O615" i="37" s="1"/>
  <c r="O368" i="37" a="1"/>
  <c r="O368" i="37" s="1"/>
  <c r="O370" i="37" a="1"/>
  <c r="O370" i="37" s="1"/>
  <c r="O242" i="37" a="1"/>
  <c r="O242" i="37" s="1"/>
  <c r="O244" i="37" a="1"/>
  <c r="O244" i="37" s="1"/>
  <c r="O372" i="37" a="1"/>
  <c r="O372" i="37" s="1"/>
  <c r="O566" i="37" a="1"/>
  <c r="O566" i="37" s="1"/>
  <c r="O243" i="37" a="1"/>
  <c r="O243" i="37" s="1"/>
  <c r="O407" i="37" a="1"/>
  <c r="O407" i="37" s="1"/>
  <c r="O8" i="37" a="1"/>
  <c r="O8" i="37" s="1"/>
  <c r="O310" i="37" a="1"/>
  <c r="O310" i="37" s="1"/>
  <c r="O385" i="37" a="1"/>
  <c r="O385" i="37" s="1"/>
  <c r="O94" i="37" a="1"/>
  <c r="O94" i="37" s="1"/>
  <c r="O55" i="37" a="1"/>
  <c r="O55" i="37" s="1"/>
  <c r="O258" i="37" a="1"/>
  <c r="O258" i="37" s="1"/>
  <c r="O137" i="37" a="1"/>
  <c r="O137" i="37" s="1"/>
  <c r="O54" i="37" a="1"/>
  <c r="O54" i="37" s="1"/>
  <c r="O418" i="37" a="1"/>
  <c r="O418" i="37" s="1"/>
  <c r="O174" i="37" a="1"/>
  <c r="O174" i="37" s="1"/>
  <c r="O311" i="37" a="1"/>
  <c r="O311" i="37" s="1"/>
  <c r="O416" i="37" a="1"/>
  <c r="O416" i="37" s="1"/>
  <c r="O312" i="37" a="1"/>
  <c r="O312" i="37" s="1"/>
  <c r="O145" i="37" a="1"/>
  <c r="O145" i="37" s="1"/>
  <c r="O278" i="37" a="1"/>
  <c r="O278" i="37" s="1"/>
  <c r="O181" i="37" a="1"/>
  <c r="O181" i="37" s="1"/>
  <c r="O375" i="37" a="1"/>
  <c r="O375" i="37" s="1"/>
  <c r="O146" i="37" a="1"/>
  <c r="O146" i="37" s="1"/>
  <c r="O388" i="37" a="1"/>
  <c r="O388" i="37" s="1"/>
  <c r="O419" i="37" a="1"/>
  <c r="O419" i="37" s="1"/>
  <c r="O60" i="37" a="1"/>
  <c r="O60" i="37" s="1"/>
  <c r="O81" i="37" a="1"/>
  <c r="O81" i="37" s="1"/>
  <c r="O149" i="37" a="1"/>
  <c r="O149" i="37" s="1"/>
  <c r="O246" i="37" a="1"/>
  <c r="O246" i="37" s="1"/>
  <c r="O590" i="37" a="1"/>
  <c r="O590" i="37" s="1"/>
  <c r="O254" i="37" a="1"/>
  <c r="O254" i="37" s="1"/>
  <c r="O373" i="37" a="1"/>
  <c r="O373" i="37" s="1"/>
  <c r="O376" i="37" a="1"/>
  <c r="O376" i="37" s="1"/>
  <c r="O378" i="37" a="1"/>
  <c r="O378" i="37" s="1"/>
  <c r="O410" i="37" a="1"/>
  <c r="O410" i="37" s="1"/>
  <c r="O409" i="37" a="1"/>
  <c r="O409" i="37" s="1"/>
  <c r="O420" i="37" a="1"/>
  <c r="O420" i="37" s="1"/>
  <c r="O248" i="37" a="1"/>
  <c r="O248" i="37" s="1"/>
  <c r="O247" i="37" a="1"/>
  <c r="O247" i="37" s="1"/>
  <c r="O259" i="37" a="1"/>
  <c r="O259" i="37" s="1"/>
  <c r="O402" i="37" a="1"/>
  <c r="O402" i="37" s="1"/>
  <c r="O415" i="37" a="1"/>
  <c r="O415" i="37" s="1"/>
  <c r="O417" i="37" a="1"/>
  <c r="O417" i="37" s="1"/>
  <c r="O53" i="37" a="1"/>
  <c r="O53" i="37" s="1"/>
  <c r="O140" i="37" a="1"/>
  <c r="O140" i="37" s="1"/>
  <c r="O142" i="37" a="1"/>
  <c r="O142" i="37" s="1"/>
  <c r="O109" i="37" a="1"/>
  <c r="O109" i="37" s="1"/>
  <c r="O313" i="37" a="1"/>
  <c r="O313" i="37" s="1"/>
  <c r="O314" i="37" a="1"/>
  <c r="O314" i="37" s="1"/>
  <c r="O601" i="37" a="1"/>
  <c r="O601" i="37" s="1"/>
  <c r="O315" i="37" a="1"/>
  <c r="O315" i="37" s="1"/>
  <c r="O618" i="37" a="1"/>
  <c r="O618" i="37" s="1"/>
  <c r="O143" i="37" a="1"/>
  <c r="O143" i="37" s="1"/>
  <c r="O622" i="37" a="1"/>
  <c r="O622" i="37" s="1"/>
  <c r="O316" i="37" a="1"/>
  <c r="O316" i="37" s="1"/>
  <c r="O552" i="37" a="1"/>
  <c r="O552" i="37" s="1"/>
  <c r="O317" i="37" a="1"/>
  <c r="O317" i="37" s="1"/>
  <c r="O182" i="37" a="1"/>
  <c r="O182" i="37" s="1"/>
  <c r="O200" i="37" a="1"/>
  <c r="O200" i="37" s="1"/>
  <c r="O284" i="37" a="1"/>
  <c r="O284" i="37" s="1"/>
  <c r="O427" i="37" a="1"/>
  <c r="O427" i="37" s="1"/>
  <c r="O147" i="37" a="1"/>
  <c r="O147" i="37" s="1"/>
  <c r="O173" i="37" a="1"/>
  <c r="O173" i="37" s="1"/>
  <c r="O318" i="37" a="1"/>
  <c r="O318" i="37" s="1"/>
  <c r="O435" i="37" a="1"/>
  <c r="O435" i="37" s="1"/>
  <c r="O285" i="37" a="1"/>
  <c r="O285" i="37" s="1"/>
  <c r="O602" i="37" a="1"/>
  <c r="O602" i="37" s="1"/>
  <c r="O319" i="37" a="1"/>
  <c r="O319" i="37" s="1"/>
  <c r="O148" i="37" a="1"/>
  <c r="O148" i="37" s="1"/>
  <c r="O320" i="37" a="1"/>
  <c r="O320" i="37" s="1"/>
  <c r="O321" i="37" a="1"/>
  <c r="O321" i="37" s="1"/>
  <c r="O150" i="37" a="1"/>
  <c r="O150" i="37" s="1"/>
  <c r="O322" i="37" a="1"/>
  <c r="O322" i="37" s="1"/>
  <c r="O323" i="37" a="1"/>
  <c r="O323" i="37" s="1"/>
  <c r="O621" i="37" a="1"/>
  <c r="O621" i="37" s="1"/>
  <c r="O424" i="37" a="1"/>
  <c r="O424" i="37" s="1"/>
  <c r="O201" i="37" a="1"/>
  <c r="O201" i="37" s="1"/>
  <c r="O440" i="37" a="1"/>
  <c r="O440" i="37" s="1"/>
  <c r="O110" i="37" a="1"/>
  <c r="O110" i="37" s="1"/>
  <c r="O286" i="37" a="1"/>
  <c r="O286" i="37" s="1"/>
  <c r="O325" i="37" a="1"/>
  <c r="O325" i="37" s="1"/>
  <c r="O423" i="37" a="1"/>
  <c r="O423" i="37" s="1"/>
  <c r="O431" i="37" a="1"/>
  <c r="O431" i="37" s="1"/>
  <c r="O421" i="37" a="1"/>
  <c r="O421" i="37" s="1"/>
  <c r="O245" i="37" a="1"/>
  <c r="O245" i="37" s="1"/>
  <c r="O434" i="37" a="1"/>
  <c r="O434" i="37" s="1"/>
  <c r="O324" i="37" a="1"/>
  <c r="O324" i="37" s="1"/>
  <c r="O572" i="37" a="1"/>
  <c r="O572" i="37" s="1"/>
  <c r="O202" i="37" a="1"/>
  <c r="O202" i="37" s="1"/>
  <c r="O588" i="37" a="1"/>
  <c r="O588" i="37" s="1"/>
  <c r="O603" i="37" a="1"/>
  <c r="O603" i="37" s="1"/>
  <c r="O619" i="37" a="1"/>
  <c r="O619" i="37" s="1"/>
  <c r="O250" i="37" a="1"/>
  <c r="O250" i="37" s="1"/>
  <c r="O441" i="37" a="1"/>
  <c r="O441" i="37" s="1"/>
  <c r="O438" i="37" a="1"/>
  <c r="O438" i="37" s="1"/>
  <c r="O327" i="37" a="1"/>
  <c r="O327" i="37" s="1"/>
  <c r="O426" i="37" a="1"/>
  <c r="O426" i="37" s="1"/>
  <c r="O287" i="37" a="1"/>
  <c r="O287" i="37" s="1"/>
  <c r="O95" i="37" a="1"/>
  <c r="O95" i="37" s="1"/>
  <c r="O326" i="37" a="1"/>
  <c r="O326" i="37" s="1"/>
  <c r="O249" i="37" a="1"/>
  <c r="O249" i="37" s="1"/>
  <c r="O425" i="37" a="1"/>
  <c r="O425" i="37" s="1"/>
  <c r="O604" i="37" a="1"/>
  <c r="O604" i="37" s="1"/>
  <c r="O162" i="37" a="1"/>
  <c r="O162" i="37" s="1"/>
  <c r="O276" i="37" a="1"/>
  <c r="O276" i="37" s="1"/>
  <c r="O328" i="37" a="1"/>
  <c r="O328" i="37" s="1"/>
  <c r="O472" i="37" a="1"/>
  <c r="O472" i="37" s="1"/>
  <c r="O272" i="37" a="1"/>
  <c r="O272" i="37" s="1"/>
  <c r="O255" i="37" a="1"/>
  <c r="O255" i="37" s="1"/>
  <c r="O277" i="37" a="1"/>
  <c r="O277" i="37" s="1"/>
  <c r="O442" i="37" a="1"/>
  <c r="O442" i="37" s="1"/>
  <c r="O591" i="37" a="1"/>
  <c r="O591" i="37" s="1"/>
  <c r="O592" i="37" a="1"/>
  <c r="O592" i="37" s="1"/>
  <c r="O329" i="37" a="1"/>
  <c r="O329" i="37" s="1"/>
  <c r="O473" i="37" a="1"/>
  <c r="O473" i="37" s="1"/>
  <c r="O474" i="37" a="1"/>
  <c r="O474" i="37" s="1"/>
  <c r="O428" i="37" a="1"/>
  <c r="O428" i="37" s="1"/>
  <c r="O330" i="37" a="1"/>
  <c r="O330" i="37" s="1"/>
  <c r="O257" i="37" a="1"/>
  <c r="O257" i="37" s="1"/>
  <c r="O429" i="37" a="1"/>
  <c r="O429" i="37" s="1"/>
  <c r="O263" i="37" a="1"/>
  <c r="O263" i="37" s="1"/>
  <c r="O444" i="37" a="1"/>
  <c r="O444" i="37" s="1"/>
  <c r="O430" i="37" a="1"/>
  <c r="O430" i="37" s="1"/>
  <c r="O432" i="37" a="1"/>
  <c r="O432" i="37" s="1"/>
  <c r="O260" i="37" a="1"/>
  <c r="O260" i="37" s="1"/>
  <c r="O261" i="37" a="1"/>
  <c r="O261" i="37" s="1"/>
  <c r="O262" i="37" a="1"/>
  <c r="O262" i="37" s="1"/>
  <c r="O331" i="37" a="1"/>
  <c r="O331" i="37" s="1"/>
  <c r="O374" i="37" a="1"/>
  <c r="O374" i="37" s="1"/>
  <c r="O332" i="37" a="1"/>
  <c r="O332" i="37" s="1"/>
  <c r="O377" i="37" a="1"/>
  <c r="O377" i="37" s="1"/>
  <c r="O203" i="37" a="1"/>
  <c r="O203" i="37" s="1"/>
  <c r="O111" i="37" a="1"/>
  <c r="O111" i="37" s="1"/>
  <c r="O379" i="37" a="1"/>
  <c r="O379" i="37" s="1"/>
  <c r="O333" i="37" a="1"/>
  <c r="O333" i="37" s="1"/>
  <c r="O334" i="37" a="1"/>
  <c r="O334" i="37" s="1"/>
  <c r="O443" i="37" a="1"/>
  <c r="O443" i="37" s="1"/>
  <c r="O459" i="37" a="1"/>
  <c r="O459" i="37" s="1"/>
  <c r="O289" i="37" a="1"/>
  <c r="O289" i="37" s="1"/>
  <c r="O475" i="37" a="1"/>
  <c r="O475" i="37" s="1"/>
  <c r="O335" i="37" a="1"/>
  <c r="O335" i="37" s="1"/>
  <c r="O112" i="37" a="1"/>
  <c r="O112" i="37" s="1"/>
  <c r="O422" i="37" a="1"/>
  <c r="O422" i="37" s="1"/>
  <c r="O381" i="37" a="1"/>
  <c r="O381" i="37" s="1"/>
  <c r="O605" i="37" a="1"/>
  <c r="O605" i="37" s="1"/>
  <c r="O616" i="37" a="1"/>
  <c r="O616" i="37" s="1"/>
  <c r="O383" i="37" a="1"/>
  <c r="O383" i="37" s="1"/>
  <c r="O183" i="37" a="1"/>
  <c r="O183" i="37" s="1"/>
  <c r="O433" i="37" a="1"/>
  <c r="O433" i="37" s="1"/>
  <c r="O336" i="37" a="1"/>
  <c r="O336" i="37" s="1"/>
  <c r="O337" i="37" a="1"/>
  <c r="O337" i="37" s="1"/>
  <c r="O386" i="37" a="1"/>
  <c r="O386" i="37" s="1"/>
  <c r="O338" i="37" a="1"/>
  <c r="O338" i="37" s="1"/>
  <c r="O617" i="37" a="1"/>
  <c r="O617" i="37" s="1"/>
  <c r="O389" i="37" a="1"/>
  <c r="O389" i="37" s="1"/>
  <c r="O606" i="37" a="1"/>
  <c r="O606" i="37" s="1"/>
  <c r="O204" i="37" a="1"/>
  <c r="O204" i="37" s="1"/>
  <c r="O291" i="37" a="1"/>
  <c r="O291" i="37" s="1"/>
  <c r="O390" i="37" a="1"/>
  <c r="O390" i="37" s="1"/>
  <c r="O394" i="37" a="1"/>
  <c r="O394" i="37" s="1"/>
  <c r="O398" i="37" a="1"/>
  <c r="O398" i="37" s="1"/>
  <c r="O400" i="37" a="1"/>
  <c r="O400" i="37" s="1"/>
  <c r="O476" i="37" a="1"/>
  <c r="O476" i="37" s="1"/>
  <c r="O399" i="37" a="1"/>
  <c r="O399" i="37" s="1"/>
  <c r="O403" i="37" a="1"/>
  <c r="O403" i="37" s="1"/>
  <c r="O477" i="37" a="1"/>
  <c r="O477" i="37" s="1"/>
  <c r="O408" i="37" a="1"/>
  <c r="O408" i="37" s="1"/>
  <c r="O439" i="37" a="1"/>
  <c r="O439" i="37" s="1"/>
  <c r="O573" i="37" a="1"/>
  <c r="O573" i="37" s="1"/>
  <c r="O413" i="37" a="1"/>
  <c r="O413" i="37" s="1"/>
  <c r="O607" i="37" a="1"/>
  <c r="O607" i="37" s="1"/>
  <c r="O412" i="37" a="1"/>
  <c r="O412" i="37" s="1"/>
  <c r="O113" i="37" a="1"/>
  <c r="O113" i="37" s="1"/>
  <c r="O414" i="37" a="1"/>
  <c r="O414" i="37" s="1"/>
  <c r="O411" i="37" a="1"/>
  <c r="O411" i="37" s="1"/>
  <c r="O138" i="37" a="1"/>
  <c r="O138" i="37" s="1"/>
  <c r="O139" i="37" a="1"/>
  <c r="O139" i="37" s="1"/>
  <c r="O339" i="37" a="1"/>
  <c r="O339" i="37" s="1"/>
  <c r="O478" i="37" a="1"/>
  <c r="O478" i="37" s="1"/>
  <c r="O141" i="37" a="1"/>
  <c r="O141" i="37" s="1"/>
  <c r="O479" i="37" a="1"/>
  <c r="O479" i="37" s="1"/>
  <c r="O340" i="37" a="1"/>
  <c r="O340" i="37" s="1"/>
  <c r="O144" i="37" a="1"/>
  <c r="O144" i="37" s="1"/>
  <c r="O567" i="37" a="1"/>
  <c r="O567" i="37" s="1"/>
  <c r="O586" i="37" a="1"/>
  <c r="O586" i="37" s="1"/>
  <c r="O587" i="37" a="1"/>
  <c r="O587" i="37" s="1"/>
  <c r="O589" i="37" a="1"/>
  <c r="O589" i="37" s="1"/>
  <c r="O625" i="37" a="1"/>
  <c r="O625" i="37" s="1"/>
  <c r="O480" i="37" a="1"/>
  <c r="O480" i="37" s="1"/>
  <c r="O342" i="37" a="1"/>
  <c r="O342" i="37" s="1"/>
  <c r="O253" i="37" a="1"/>
  <c r="O253" i="37" s="1"/>
  <c r="O341" i="37" a="1"/>
  <c r="O341" i="37" s="1"/>
  <c r="O252" i="37" a="1"/>
  <c r="O252" i="37" s="1"/>
  <c r="O482" i="37" a="1"/>
  <c r="O482" i="37" s="1"/>
  <c r="O481" i="37" a="1"/>
  <c r="O481" i="37" s="1"/>
  <c r="O343" i="37" a="1"/>
  <c r="O343" i="37" s="1"/>
  <c r="O251" i="37" a="1"/>
  <c r="O251" i="37" s="1"/>
  <c r="O256" i="37" a="1"/>
  <c r="O256" i="37" s="1"/>
  <c r="O264" i="37" a="1"/>
  <c r="O264" i="37" s="1"/>
  <c r="O593" i="37" a="1"/>
  <c r="O593" i="37" s="1"/>
  <c r="O345" i="37" a="1"/>
  <c r="O345" i="37" s="1"/>
  <c r="O484" i="37" a="1"/>
  <c r="O484" i="37" s="1"/>
  <c r="O483" i="37" a="1"/>
  <c r="O483" i="37" s="1"/>
  <c r="O344" i="37" a="1"/>
  <c r="O344" i="37" s="1"/>
  <c r="O458" i="37" a="1"/>
  <c r="O458" i="37" s="1"/>
  <c r="O486" i="37" a="1"/>
  <c r="O486" i="37" s="1"/>
  <c r="O485" i="37" a="1"/>
  <c r="O485" i="37" s="1"/>
  <c r="O626" i="37" a="1"/>
  <c r="O626" i="37" s="1"/>
  <c r="O346" i="37" a="1"/>
  <c r="O346" i="37" s="1"/>
  <c r="O628" i="37" a="1"/>
  <c r="O628" i="37" s="1"/>
  <c r="O380" i="37" a="1"/>
  <c r="O380" i="37" s="1"/>
  <c r="O382" i="37" a="1"/>
  <c r="O382" i="37" s="1"/>
  <c r="O627" i="37" a="1"/>
  <c r="O627" i="37" s="1"/>
  <c r="O384" i="37" a="1"/>
  <c r="O384" i="37" s="1"/>
  <c r="O387" i="37" a="1"/>
  <c r="O387" i="37" s="1"/>
  <c r="O391" i="37" a="1"/>
  <c r="O391" i="37" s="1"/>
  <c r="O392" i="37" a="1"/>
  <c r="O392" i="37" s="1"/>
  <c r="O393" i="37" a="1"/>
  <c r="O393" i="37" s="1"/>
  <c r="O397" i="37" a="1"/>
  <c r="O397" i="37" s="1"/>
  <c r="O396" i="37" a="1"/>
  <c r="O396" i="37" s="1"/>
  <c r="O401" i="37" a="1"/>
  <c r="O401" i="37" s="1"/>
  <c r="O405" i="37" a="1"/>
  <c r="O405" i="37" s="1"/>
  <c r="O404" i="37" a="1"/>
  <c r="O404" i="37" s="1"/>
  <c r="O406" i="37" a="1"/>
  <c r="O406" i="37" s="1"/>
  <c r="O487" i="37" a="1"/>
  <c r="O487" i="37" s="1"/>
  <c r="O506" i="37" a="1"/>
  <c r="O506" i="37" s="1"/>
  <c r="O620" i="37" a="1"/>
  <c r="O620" i="37" s="1"/>
  <c r="O466" i="37" a="1"/>
  <c r="O466" i="37" s="1"/>
  <c r="O550" i="37" a="1"/>
  <c r="O550" i="37" s="1"/>
  <c r="O498" i="37" a="1"/>
  <c r="O498" i="37" s="1"/>
  <c r="O521" i="37" a="1"/>
  <c r="O521" i="37" s="1"/>
  <c r="O445" i="37" a="1"/>
  <c r="O445" i="37" s="1"/>
  <c r="O184" i="37" a="1"/>
  <c r="O184" i="37" s="1"/>
  <c r="O348" i="37" a="1"/>
  <c r="O348" i="37" s="1"/>
  <c r="O357" i="37" a="1"/>
  <c r="O357" i="37" s="1"/>
  <c r="O640" i="37" a="1"/>
  <c r="O640" i="37" s="1"/>
  <c r="O469" i="37" a="1"/>
  <c r="O469" i="37" s="1"/>
  <c r="O510" i="37" a="1"/>
  <c r="O510" i="37" s="1"/>
  <c r="O511" i="37" a="1"/>
  <c r="O511" i="37" s="1"/>
  <c r="O528" i="37" a="1"/>
  <c r="O528" i="37" s="1"/>
  <c r="O347" i="37" a="1"/>
  <c r="O347" i="37" s="1"/>
  <c r="O436" i="37" a="1"/>
  <c r="O436" i="37" s="1"/>
  <c r="O517" i="37" a="1"/>
  <c r="O517" i="37" s="1"/>
  <c r="O493" i="37" a="1"/>
  <c r="O493" i="37" s="1"/>
  <c r="O467" i="37" a="1"/>
  <c r="O467" i="37" s="1"/>
  <c r="O293" i="37" a="1"/>
  <c r="O293" i="37" s="1"/>
  <c r="O452" i="37" a="1"/>
  <c r="O452" i="37" s="1"/>
  <c r="O358" i="37" a="1"/>
  <c r="O358" i="37" s="1"/>
  <c r="O455" i="37" a="1"/>
  <c r="O455" i="37" s="1"/>
  <c r="O522" i="37" a="1"/>
  <c r="O522" i="37" s="1"/>
  <c r="O351" i="37" a="1"/>
  <c r="O351" i="37" s="1"/>
  <c r="O610" i="37" a="1"/>
  <c r="O610" i="37" s="1"/>
  <c r="O463" i="37" a="1"/>
  <c r="O463" i="37" s="1"/>
  <c r="O490" i="37" a="1"/>
  <c r="O490" i="37" s="1"/>
  <c r="O500" i="37" a="1"/>
  <c r="O500" i="37" s="1"/>
  <c r="O499" i="37" a="1"/>
  <c r="O499" i="37" s="1"/>
  <c r="O523" i="37" a="1"/>
  <c r="O523" i="37" s="1"/>
  <c r="O470" i="37" a="1"/>
  <c r="O470" i="37" s="1"/>
  <c r="O273" i="37" a="1"/>
  <c r="O273" i="37" s="1"/>
  <c r="O489" i="37" a="1"/>
  <c r="O489" i="37" s="1"/>
  <c r="O488" i="37" a="1"/>
  <c r="O488" i="37" s="1"/>
  <c r="O288" i="37" a="1"/>
  <c r="O288" i="37" s="1"/>
  <c r="O292" i="37" a="1"/>
  <c r="O292" i="37" s="1"/>
  <c r="O491" i="37" a="1"/>
  <c r="O491" i="37" s="1"/>
  <c r="O448" i="37" a="1"/>
  <c r="O448" i="37" s="1"/>
  <c r="O494" i="37" a="1"/>
  <c r="O494" i="37" s="1"/>
  <c r="O451" i="37" a="1"/>
  <c r="O451" i="37" s="1"/>
  <c r="O512" i="37" a="1"/>
  <c r="O512" i="37" s="1"/>
  <c r="O525" i="37" a="1"/>
  <c r="O525" i="37" s="1"/>
  <c r="O527" i="37" a="1"/>
  <c r="O527" i="37" s="1"/>
  <c r="O524" i="37" a="1"/>
  <c r="O524" i="37" s="1"/>
  <c r="O639" i="37" a="1"/>
  <c r="O639" i="37" s="1"/>
  <c r="O356" i="37" a="1"/>
  <c r="O356" i="37" s="1"/>
  <c r="O453" i="37" a="1"/>
  <c r="O453" i="37" s="1"/>
  <c r="O460" i="37" a="1"/>
  <c r="O460" i="37" s="1"/>
  <c r="O290" i="37" a="1"/>
  <c r="O290" i="37" s="1"/>
  <c r="O611" i="37" a="1"/>
  <c r="O611" i="37" s="1"/>
  <c r="O492" i="37" a="1"/>
  <c r="O492" i="37" s="1"/>
  <c r="O495" i="37" a="1"/>
  <c r="O495" i="37" s="1"/>
  <c r="O294" i="37" a="1"/>
  <c r="O294" i="37" s="1"/>
  <c r="O496" i="37" a="1"/>
  <c r="O496" i="37" s="1"/>
  <c r="O497" i="37" a="1"/>
  <c r="O497" i="37" s="1"/>
  <c r="O502" i="37" a="1"/>
  <c r="O502" i="37" s="1"/>
  <c r="O446" i="37" a="1"/>
  <c r="O446" i="37" s="1"/>
  <c r="O503" i="37" a="1"/>
  <c r="O503" i="37" s="1"/>
  <c r="O449" i="37" a="1"/>
  <c r="O449" i="37" s="1"/>
  <c r="O631" i="37" a="1"/>
  <c r="O631" i="37" s="1"/>
  <c r="O504" i="37" a="1"/>
  <c r="O504" i="37" s="1"/>
  <c r="O630" i="37" a="1"/>
  <c r="O630" i="37" s="1"/>
  <c r="O629" i="37" a="1"/>
  <c r="O629" i="37" s="1"/>
  <c r="O623" i="37" a="1"/>
  <c r="O623" i="37" s="1"/>
  <c r="O501" i="37" a="1"/>
  <c r="O501" i="37" s="1"/>
  <c r="O505" i="37" a="1"/>
  <c r="O505" i="37" s="1"/>
  <c r="O508" i="37" a="1"/>
  <c r="O508" i="37" s="1"/>
  <c r="O509" i="37" a="1"/>
  <c r="O509" i="37" s="1"/>
  <c r="O513" i="37" a="1"/>
  <c r="O513" i="37" s="1"/>
  <c r="O632" i="37" a="1"/>
  <c r="O632" i="37" s="1"/>
  <c r="O514" i="37" a="1"/>
  <c r="O514" i="37" s="1"/>
  <c r="O515" i="37" a="1"/>
  <c r="O515" i="37" s="1"/>
  <c r="O519" i="37" a="1"/>
  <c r="O519" i="37" s="1"/>
  <c r="O518" i="37" a="1"/>
  <c r="O518" i="37" s="1"/>
  <c r="O520" i="37" a="1"/>
  <c r="O520" i="37" s="1"/>
  <c r="O114" i="37" a="1"/>
  <c r="O114" i="37" s="1"/>
  <c r="O205" i="37" a="1"/>
  <c r="O205" i="37" s="1"/>
  <c r="O349" i="37" a="1"/>
  <c r="O349" i="37" s="1"/>
  <c r="O350" i="37" a="1"/>
  <c r="O350" i="37" s="1"/>
  <c r="O608" i="37" a="1"/>
  <c r="O608" i="37" s="1"/>
  <c r="O609" i="37" a="1"/>
  <c r="O609" i="37" s="1"/>
  <c r="O352" i="37" a="1"/>
  <c r="O352" i="37" s="1"/>
  <c r="O355" i="37" a="1"/>
  <c r="O355" i="37" s="1"/>
  <c r="O353" i="37" a="1"/>
  <c r="O353" i="37" s="1"/>
  <c r="O468" i="37" a="1"/>
  <c r="O468" i="37" s="1"/>
  <c r="O354" i="37" a="1"/>
  <c r="O354" i="37" s="1"/>
  <c r="O295" i="37" a="1"/>
  <c r="O295" i="37" s="1"/>
  <c r="O447" i="37" a="1"/>
  <c r="O447" i="37" s="1"/>
  <c r="O450" i="37" a="1"/>
  <c r="O450" i="37" s="1"/>
  <c r="O454" i="37" a="1"/>
  <c r="O454" i="37" s="1"/>
  <c r="O359" i="37" a="1"/>
  <c r="O359" i="37" s="1"/>
  <c r="O456" i="37" a="1"/>
  <c r="O456" i="37" s="1"/>
  <c r="O457" i="37" a="1"/>
  <c r="O457" i="37" s="1"/>
  <c r="O360" i="37" a="1"/>
  <c r="O360" i="37" s="1"/>
  <c r="O462" i="37" a="1"/>
  <c r="O462" i="37" s="1"/>
  <c r="O461" i="37" a="1"/>
  <c r="O461" i="37" s="1"/>
  <c r="O633" i="37" a="1"/>
  <c r="O633" i="37" s="1"/>
  <c r="O464" i="37" a="1"/>
  <c r="O464" i="37" s="1"/>
  <c r="O624" i="37" a="1"/>
  <c r="O624" i="37" s="1"/>
  <c r="O465" i="37" a="1"/>
  <c r="O465" i="37" s="1"/>
  <c r="O516" i="37" a="1"/>
  <c r="O516" i="37" s="1"/>
  <c r="O634" i="37" a="1"/>
  <c r="O634" i="37" s="1"/>
  <c r="O635" i="37" a="1"/>
  <c r="O635" i="37" s="1"/>
  <c r="O638" i="37" a="1"/>
  <c r="O638" i="37" s="1"/>
  <c r="O637" i="37" a="1"/>
  <c r="O637" i="37" s="1"/>
  <c r="O636" i="37" a="1"/>
  <c r="O636" i="37" s="1"/>
  <c r="O529" i="37" a="1"/>
  <c r="O529" i="37" s="1"/>
  <c r="O530" i="37" a="1"/>
  <c r="O530" i="37" s="1"/>
  <c r="O531" i="37" a="1"/>
  <c r="O531" i="37" s="1"/>
  <c r="O532" i="37" a="1"/>
  <c r="O532" i="37" s="1"/>
  <c r="N2" i="37" a="1"/>
  <c r="N2" i="37" s="1"/>
  <c r="N3" i="37" a="1"/>
  <c r="N3" i="37" s="1"/>
  <c r="N10" i="37" a="1"/>
  <c r="N10" i="37" s="1"/>
  <c r="N534" i="37" a="1"/>
  <c r="N534" i="37" s="1"/>
  <c r="N533" i="37" a="1"/>
  <c r="N533" i="37" s="1"/>
  <c r="N6" i="37" a="1"/>
  <c r="N6" i="37" s="1"/>
  <c r="N5" i="37" a="1"/>
  <c r="N5" i="37" s="1"/>
  <c r="N11" i="37" a="1"/>
  <c r="N11" i="37" s="1"/>
  <c r="N4" i="37" a="1"/>
  <c r="N4" i="37" s="1"/>
  <c r="N23" i="37" a="1"/>
  <c r="N23" i="37" s="1"/>
  <c r="N7" i="37" a="1"/>
  <c r="N7" i="37" s="1"/>
  <c r="N13" i="37" a="1"/>
  <c r="N13" i="37" s="1"/>
  <c r="N24" i="37" a="1"/>
  <c r="N24" i="37" s="1"/>
  <c r="N36" i="37" a="1"/>
  <c r="N36" i="37" s="1"/>
  <c r="N25" i="37" a="1"/>
  <c r="N25" i="37" s="1"/>
  <c r="N37" i="37" a="1"/>
  <c r="N37" i="37" s="1"/>
  <c r="N20" i="37" a="1"/>
  <c r="N20" i="37" s="1"/>
  <c r="N14" i="37" a="1"/>
  <c r="N14" i="37" s="1"/>
  <c r="N15" i="37" a="1"/>
  <c r="N15" i="37" s="1"/>
  <c r="N19" i="37" a="1"/>
  <c r="N19" i="37" s="1"/>
  <c r="N22" i="37" a="1"/>
  <c r="N22" i="37" s="1"/>
  <c r="N26" i="37" a="1"/>
  <c r="N26" i="37" s="1"/>
  <c r="N537" i="37" a="1"/>
  <c r="N537" i="37" s="1"/>
  <c r="N27" i="37" a="1"/>
  <c r="N27" i="37" s="1"/>
  <c r="N21" i="37" a="1"/>
  <c r="N21" i="37" s="1"/>
  <c r="N38" i="37" a="1"/>
  <c r="N38" i="37" s="1"/>
  <c r="N538" i="37" a="1"/>
  <c r="N538" i="37" s="1"/>
  <c r="N28" i="37" a="1"/>
  <c r="N28" i="37" s="1"/>
  <c r="N16" i="37" a="1"/>
  <c r="N16" i="37" s="1"/>
  <c r="N39" i="37" a="1"/>
  <c r="N39" i="37" s="1"/>
  <c r="N40" i="37" a="1"/>
  <c r="N40" i="37" s="1"/>
  <c r="N29" i="37" a="1"/>
  <c r="N29" i="37" s="1"/>
  <c r="N41" i="37" a="1"/>
  <c r="N41" i="37" s="1"/>
  <c r="N33" i="37" a="1"/>
  <c r="N33" i="37" s="1"/>
  <c r="N42" i="37" a="1"/>
  <c r="N42" i="37" s="1"/>
  <c r="N539" i="37" a="1"/>
  <c r="N539" i="37" s="1"/>
  <c r="N85" i="37" a="1"/>
  <c r="N85" i="37" s="1"/>
  <c r="N43" i="37" a="1"/>
  <c r="N43" i="37" s="1"/>
  <c r="N44" i="37" a="1"/>
  <c r="N44" i="37" s="1"/>
  <c r="N535" i="37" a="1"/>
  <c r="N535" i="37" s="1"/>
  <c r="N45" i="37" a="1"/>
  <c r="N45" i="37" s="1"/>
  <c r="N17" i="37" a="1"/>
  <c r="N17" i="37" s="1"/>
  <c r="N70" i="37" a="1"/>
  <c r="N70" i="37" s="1"/>
  <c r="N30" i="37" a="1"/>
  <c r="N30" i="37" s="1"/>
  <c r="N18" i="37" a="1"/>
  <c r="N18" i="37" s="1"/>
  <c r="N62" i="37" a="1"/>
  <c r="N62" i="37" s="1"/>
  <c r="N57" i="37" a="1"/>
  <c r="N57" i="37" s="1"/>
  <c r="N46" i="37" a="1"/>
  <c r="N46" i="37" s="1"/>
  <c r="N61" i="37" a="1"/>
  <c r="N61" i="37" s="1"/>
  <c r="N71" i="37" a="1"/>
  <c r="N71" i="37" s="1"/>
  <c r="N31" i="37" a="1"/>
  <c r="N31" i="37" s="1"/>
  <c r="N541" i="37" a="1"/>
  <c r="N541" i="37" s="1"/>
  <c r="N56" i="37" a="1"/>
  <c r="N56" i="37" s="1"/>
  <c r="N536" i="37" a="1"/>
  <c r="N536" i="37" s="1"/>
  <c r="N47" i="37" a="1"/>
  <c r="N47" i="37" s="1"/>
  <c r="N86" i="37" a="1"/>
  <c r="N86" i="37" s="1"/>
  <c r="N72" i="37" a="1"/>
  <c r="N72" i="37" s="1"/>
  <c r="N48" i="37" a="1"/>
  <c r="N48" i="37" s="1"/>
  <c r="N547" i="37" a="1"/>
  <c r="N547" i="37" s="1"/>
  <c r="N115" i="37" a="1"/>
  <c r="N115" i="37" s="1"/>
  <c r="N562" i="37" a="1"/>
  <c r="N562" i="37" s="1"/>
  <c r="N58" i="37" a="1"/>
  <c r="N58" i="37" s="1"/>
  <c r="N63" i="37" a="1"/>
  <c r="N63" i="37" s="1"/>
  <c r="N34" i="37" a="1"/>
  <c r="N34" i="37" s="1"/>
  <c r="N540" i="37" a="1"/>
  <c r="N540" i="37" s="1"/>
  <c r="N116" i="37" a="1"/>
  <c r="N116" i="37" s="1"/>
  <c r="N12" i="37" a="1"/>
  <c r="N12" i="37" s="1"/>
  <c r="N32" i="37" a="1"/>
  <c r="N32" i="37" s="1"/>
  <c r="N73" i="37" a="1"/>
  <c r="N73" i="37" s="1"/>
  <c r="N74" i="37" a="1"/>
  <c r="N74" i="37" s="1"/>
  <c r="N542" i="37" a="1"/>
  <c r="N542" i="37" s="1"/>
  <c r="N75" i="37" a="1"/>
  <c r="N75" i="37" s="1"/>
  <c r="N543" i="37" a="1"/>
  <c r="N543" i="37" s="1"/>
  <c r="N117" i="37" a="1"/>
  <c r="N117" i="37" s="1"/>
  <c r="N546" i="37" a="1"/>
  <c r="N546" i="37" s="1"/>
  <c r="N99" i="37" a="1"/>
  <c r="N99" i="37" s="1"/>
  <c r="N67" i="37" a="1"/>
  <c r="N67" i="37" s="1"/>
  <c r="N100" i="37" a="1"/>
  <c r="N100" i="37" s="1"/>
  <c r="N68" i="37" a="1"/>
  <c r="N68" i="37" s="1"/>
  <c r="N64" i="37" a="1"/>
  <c r="N64" i="37" s="1"/>
  <c r="N101" i="37" a="1"/>
  <c r="N101" i="37" s="1"/>
  <c r="N65" i="37" a="1"/>
  <c r="N65" i="37" s="1"/>
  <c r="N92" i="37" a="1"/>
  <c r="N92" i="37" s="1"/>
  <c r="N49" i="37" a="1"/>
  <c r="N49" i="37" s="1"/>
  <c r="N185" i="37" a="1"/>
  <c r="N185" i="37" s="1"/>
  <c r="N163" i="37" a="1"/>
  <c r="N163" i="37" s="1"/>
  <c r="N76" i="37" a="1"/>
  <c r="N76" i="37" s="1"/>
  <c r="N87" i="37" a="1"/>
  <c r="N87" i="37" s="1"/>
  <c r="N82" i="37" a="1"/>
  <c r="N82" i="37" s="1"/>
  <c r="N88" i="37" a="1"/>
  <c r="N88" i="37" s="1"/>
  <c r="N554" i="37" a="1"/>
  <c r="N554" i="37" s="1"/>
  <c r="N93" i="37" a="1"/>
  <c r="N93" i="37" s="1"/>
  <c r="N118" i="37" a="1"/>
  <c r="N118" i="37" s="1"/>
  <c r="N83" i="37" a="1"/>
  <c r="N83" i="37" s="1"/>
  <c r="N164" i="37" a="1"/>
  <c r="N164" i="37" s="1"/>
  <c r="N119" i="37" a="1"/>
  <c r="N119" i="37" s="1"/>
  <c r="N549" i="37" a="1"/>
  <c r="N549" i="37" s="1"/>
  <c r="N50" i="37" a="1"/>
  <c r="N50" i="37" s="1"/>
  <c r="N120" i="37" a="1"/>
  <c r="N120" i="37" s="1"/>
  <c r="N121" i="37" a="1"/>
  <c r="N121" i="37" s="1"/>
  <c r="N84" i="37" a="1"/>
  <c r="N84" i="37" s="1"/>
  <c r="N165" i="37" a="1"/>
  <c r="N165" i="37" s="1"/>
  <c r="N206" i="37" a="1"/>
  <c r="N206" i="37" s="1"/>
  <c r="N89" i="37" a="1"/>
  <c r="N89" i="37" s="1"/>
  <c r="N574" i="37" a="1"/>
  <c r="N574" i="37" s="1"/>
  <c r="N166" i="37" a="1"/>
  <c r="N166" i="37" s="1"/>
  <c r="N167" i="37" a="1"/>
  <c r="N167" i="37" s="1"/>
  <c r="N77" i="37" a="1"/>
  <c r="N77" i="37" s="1"/>
  <c r="N123" i="37" a="1"/>
  <c r="N123" i="37" s="1"/>
  <c r="N122" i="37" a="1"/>
  <c r="N122" i="37" s="1"/>
  <c r="N575" i="37" a="1"/>
  <c r="N575" i="37" s="1"/>
  <c r="N96" i="37" a="1"/>
  <c r="N96" i="37" s="1"/>
  <c r="N186" i="37" a="1"/>
  <c r="N186" i="37" s="1"/>
  <c r="N176" i="37" a="1"/>
  <c r="N176" i="37" s="1"/>
  <c r="N151" i="37" a="1"/>
  <c r="N151" i="37" s="1"/>
  <c r="N97" i="37" a="1"/>
  <c r="N97" i="37" s="1"/>
  <c r="N274" i="37" a="1"/>
  <c r="N274" i="37" s="1"/>
  <c r="N545" i="37" a="1"/>
  <c r="N545" i="37" s="1"/>
  <c r="N187" i="37" a="1"/>
  <c r="N187" i="37" s="1"/>
  <c r="N207" i="37" a="1"/>
  <c r="N207" i="37" s="1"/>
  <c r="N9" i="37" a="1"/>
  <c r="N9" i="37" s="1"/>
  <c r="N570" i="37" a="1"/>
  <c r="N570" i="37" s="1"/>
  <c r="N296" i="37" a="1"/>
  <c r="N296" i="37" s="1"/>
  <c r="N102" i="37" a="1"/>
  <c r="N102" i="37" s="1"/>
  <c r="N66" i="37" a="1"/>
  <c r="N66" i="37" s="1"/>
  <c r="N177" i="37" a="1"/>
  <c r="N177" i="37" s="1"/>
  <c r="N297" i="37" a="1"/>
  <c r="N297" i="37" s="1"/>
  <c r="N576" i="37" a="1"/>
  <c r="N576" i="37" s="1"/>
  <c r="N156" i="37" a="1"/>
  <c r="N156" i="37" s="1"/>
  <c r="N188" i="37" a="1"/>
  <c r="N188" i="37" s="1"/>
  <c r="N189" i="37" a="1"/>
  <c r="N189" i="37" s="1"/>
  <c r="N103" i="37" a="1"/>
  <c r="N103" i="37" s="1"/>
  <c r="N190" i="37" a="1"/>
  <c r="N190" i="37" s="1"/>
  <c r="N152" i="37" a="1"/>
  <c r="N152" i="37" s="1"/>
  <c r="N208" i="37" a="1"/>
  <c r="N208" i="37" s="1"/>
  <c r="N209" i="37" a="1"/>
  <c r="N209" i="37" s="1"/>
  <c r="N210" i="37" a="1"/>
  <c r="N210" i="37" s="1"/>
  <c r="N596" i="37" a="1"/>
  <c r="N596" i="37" s="1"/>
  <c r="N168" i="37" a="1"/>
  <c r="N168" i="37" s="1"/>
  <c r="N568" i="37" a="1"/>
  <c r="N568" i="37" s="1"/>
  <c r="N124" i="37" a="1"/>
  <c r="N124" i="37" s="1"/>
  <c r="N571" i="37" a="1"/>
  <c r="N571" i="37" s="1"/>
  <c r="N175" i="37" a="1"/>
  <c r="N175" i="37" s="1"/>
  <c r="N211" i="37" a="1"/>
  <c r="N211" i="37" s="1"/>
  <c r="N104" i="37" a="1"/>
  <c r="N104" i="37" s="1"/>
  <c r="N125" i="37" a="1"/>
  <c r="N125" i="37" s="1"/>
  <c r="N105" i="37" a="1"/>
  <c r="N105" i="37" s="1"/>
  <c r="N126" i="37" a="1"/>
  <c r="N126" i="37" s="1"/>
  <c r="N548" i="37" a="1"/>
  <c r="N548" i="37" s="1"/>
  <c r="N191" i="37" a="1"/>
  <c r="N191" i="37" s="1"/>
  <c r="N563" i="37" a="1"/>
  <c r="N563" i="37" s="1"/>
  <c r="N213" i="37" a="1"/>
  <c r="N213" i="37" s="1"/>
  <c r="N298" i="37" a="1"/>
  <c r="N298" i="37" s="1"/>
  <c r="N106" i="37" a="1"/>
  <c r="N106" i="37" s="1"/>
  <c r="N212" i="37" a="1"/>
  <c r="N212" i="37" s="1"/>
  <c r="N564" i="37" a="1"/>
  <c r="N564" i="37" s="1"/>
  <c r="N577" i="37" a="1"/>
  <c r="N577" i="37" s="1"/>
  <c r="N107" i="37" a="1"/>
  <c r="N107" i="37" s="1"/>
  <c r="N157" i="37" a="1"/>
  <c r="N157" i="37" s="1"/>
  <c r="N214" i="37" a="1"/>
  <c r="N214" i="37" s="1"/>
  <c r="N158" i="37" a="1"/>
  <c r="N158" i="37" s="1"/>
  <c r="N578" i="37" a="1"/>
  <c r="N578" i="37" s="1"/>
  <c r="N215" i="37" a="1"/>
  <c r="N215" i="37" s="1"/>
  <c r="N155" i="37" a="1"/>
  <c r="N155" i="37" s="1"/>
  <c r="N216" i="37" a="1"/>
  <c r="N216" i="37" s="1"/>
  <c r="N217" i="37" a="1"/>
  <c r="N217" i="37" s="1"/>
  <c r="N127" i="37" a="1"/>
  <c r="N127" i="37" s="1"/>
  <c r="N90" i="37" a="1"/>
  <c r="N90" i="37" s="1"/>
  <c r="N153" i="37" a="1"/>
  <c r="N153" i="37" s="1"/>
  <c r="N128" i="37" a="1"/>
  <c r="N128" i="37" s="1"/>
  <c r="N299" i="37" a="1"/>
  <c r="N299" i="37" s="1"/>
  <c r="N192" i="37" a="1"/>
  <c r="N192" i="37" s="1"/>
  <c r="N129" i="37" a="1"/>
  <c r="N129" i="37" s="1"/>
  <c r="N565" i="37" a="1"/>
  <c r="N565" i="37" s="1"/>
  <c r="N130" i="37" a="1"/>
  <c r="N130" i="37" s="1"/>
  <c r="N218" i="37" a="1"/>
  <c r="N218" i="37" s="1"/>
  <c r="N131" i="37" a="1"/>
  <c r="N131" i="37" s="1"/>
  <c r="N154" i="37" a="1"/>
  <c r="N154" i="37" s="1"/>
  <c r="N555" i="37" a="1"/>
  <c r="N555" i="37" s="1"/>
  <c r="N579" i="37" a="1"/>
  <c r="N579" i="37" s="1"/>
  <c r="N132" i="37" a="1"/>
  <c r="N132" i="37" s="1"/>
  <c r="N580" i="37" a="1"/>
  <c r="N580" i="37" s="1"/>
  <c r="N219" i="37" a="1"/>
  <c r="N219" i="37" s="1"/>
  <c r="N133" i="37" a="1"/>
  <c r="N133" i="37" s="1"/>
  <c r="N134" i="37" a="1"/>
  <c r="N134" i="37" s="1"/>
  <c r="N599" i="37" a="1"/>
  <c r="N599" i="37" s="1"/>
  <c r="N220" i="37" a="1"/>
  <c r="N220" i="37" s="1"/>
  <c r="N221" i="37" a="1"/>
  <c r="N221" i="37" s="1"/>
  <c r="N59" i="37" a="1"/>
  <c r="N59" i="37" s="1"/>
  <c r="N222" i="37" a="1"/>
  <c r="N222" i="37" s="1"/>
  <c r="N223" i="37" a="1"/>
  <c r="N223" i="37" s="1"/>
  <c r="N275" i="37" a="1"/>
  <c r="N275" i="37" s="1"/>
  <c r="N51" i="37" a="1"/>
  <c r="N51" i="37" s="1"/>
  <c r="N224" i="37" a="1"/>
  <c r="N224" i="37" s="1"/>
  <c r="N78" i="37" a="1"/>
  <c r="N78" i="37" s="1"/>
  <c r="N225" i="37" a="1"/>
  <c r="N225" i="37" s="1"/>
  <c r="N35" i="37" a="1"/>
  <c r="N35" i="37" s="1"/>
  <c r="N226" i="37" a="1"/>
  <c r="N226" i="37" s="1"/>
  <c r="N169" i="37" a="1"/>
  <c r="N169" i="37" s="1"/>
  <c r="N170" i="37" a="1"/>
  <c r="N170" i="37" s="1"/>
  <c r="N557" i="37" a="1"/>
  <c r="N557" i="37" s="1"/>
  <c r="N361" i="37" a="1"/>
  <c r="N361" i="37" s="1"/>
  <c r="N558" i="37" a="1"/>
  <c r="N558" i="37" s="1"/>
  <c r="N227" i="37" a="1"/>
  <c r="N227" i="37" s="1"/>
  <c r="N556" i="37" a="1"/>
  <c r="N556" i="37" s="1"/>
  <c r="N228" i="37" a="1"/>
  <c r="N228" i="37" s="1"/>
  <c r="N171" i="37" a="1"/>
  <c r="N171" i="37" s="1"/>
  <c r="N178" i="37" a="1"/>
  <c r="N178" i="37" s="1"/>
  <c r="N595" i="37" a="1"/>
  <c r="N595" i="37" s="1"/>
  <c r="N193" i="37" a="1"/>
  <c r="N193" i="37" s="1"/>
  <c r="N69" i="37" a="1"/>
  <c r="N69" i="37" s="1"/>
  <c r="N179" i="37" a="1"/>
  <c r="N179" i="37" s="1"/>
  <c r="N135" i="37" a="1"/>
  <c r="N135" i="37" s="1"/>
  <c r="N108" i="37" a="1"/>
  <c r="N108" i="37" s="1"/>
  <c r="N300" i="37" a="1"/>
  <c r="N300" i="37" s="1"/>
  <c r="N98" i="37" a="1"/>
  <c r="N98" i="37" s="1"/>
  <c r="N159" i="37" a="1"/>
  <c r="N159" i="37" s="1"/>
  <c r="N597" i="37" a="1"/>
  <c r="N597" i="37" s="1"/>
  <c r="N560" i="37" a="1"/>
  <c r="N560" i="37" s="1"/>
  <c r="N79" i="37" a="1"/>
  <c r="N79" i="37" s="1"/>
  <c r="N279" i="37" a="1"/>
  <c r="N279" i="37" s="1"/>
  <c r="N569" i="37" a="1"/>
  <c r="N569" i="37" s="1"/>
  <c r="N229" i="37" a="1"/>
  <c r="N229" i="37" s="1"/>
  <c r="N230" i="37" a="1"/>
  <c r="N230" i="37" s="1"/>
  <c r="N301" i="37" a="1"/>
  <c r="N301" i="37" s="1"/>
  <c r="N437" i="37" a="1"/>
  <c r="N437" i="37" s="1"/>
  <c r="N160" i="37" a="1"/>
  <c r="N160" i="37" s="1"/>
  <c r="N280" i="37" a="1"/>
  <c r="N280" i="37" s="1"/>
  <c r="N302" i="37" a="1"/>
  <c r="N302" i="37" s="1"/>
  <c r="N231" i="37" a="1"/>
  <c r="N231" i="37" s="1"/>
  <c r="N303" i="37" a="1"/>
  <c r="N303" i="37" s="1"/>
  <c r="N304" i="37" a="1"/>
  <c r="N304" i="37" s="1"/>
  <c r="N305" i="37" a="1"/>
  <c r="N305" i="37" s="1"/>
  <c r="N194" i="37" a="1"/>
  <c r="N194" i="37" s="1"/>
  <c r="N265" i="37" a="1"/>
  <c r="N265" i="37" s="1"/>
  <c r="N306" i="37" a="1"/>
  <c r="N306" i="37" s="1"/>
  <c r="N232" i="37" a="1"/>
  <c r="N232" i="37" s="1"/>
  <c r="N195" i="37" a="1"/>
  <c r="N195" i="37" s="1"/>
  <c r="N598" i="37" a="1"/>
  <c r="N598" i="37" s="1"/>
  <c r="N281" i="37" a="1"/>
  <c r="N281" i="37" s="1"/>
  <c r="N600" i="37" a="1"/>
  <c r="N600" i="37" s="1"/>
  <c r="N80" i="37" a="1"/>
  <c r="N80" i="37" s="1"/>
  <c r="N270" i="37" a="1"/>
  <c r="N270" i="37" s="1"/>
  <c r="N180" i="37" a="1"/>
  <c r="N180" i="37" s="1"/>
  <c r="N307" i="37" a="1"/>
  <c r="N307" i="37" s="1"/>
  <c r="N267" i="37" a="1"/>
  <c r="N267" i="37" s="1"/>
  <c r="N196" i="37" a="1"/>
  <c r="N196" i="37" s="1"/>
  <c r="N269" i="37" a="1"/>
  <c r="N269" i="37" s="1"/>
  <c r="N198" i="37" a="1"/>
  <c r="N198" i="37" s="1"/>
  <c r="N282" i="37" a="1"/>
  <c r="N282" i="37" s="1"/>
  <c r="N308" i="37" a="1"/>
  <c r="N308" i="37" s="1"/>
  <c r="N471" i="37" a="1"/>
  <c r="N471" i="37" s="1"/>
  <c r="N283" i="37" a="1"/>
  <c r="N283" i="37" s="1"/>
  <c r="N161" i="37" a="1"/>
  <c r="N161" i="37" s="1"/>
  <c r="N581" i="37" a="1"/>
  <c r="N581" i="37" s="1"/>
  <c r="N234" i="37" a="1"/>
  <c r="N234" i="37" s="1"/>
  <c r="N233" i="37" a="1"/>
  <c r="N233" i="37" s="1"/>
  <c r="N235" i="37" a="1"/>
  <c r="N235" i="37" s="1"/>
  <c r="N268" i="37" a="1"/>
  <c r="N268" i="37" s="1"/>
  <c r="N199" i="37" a="1"/>
  <c r="N199" i="37" s="1"/>
  <c r="N236" i="37" a="1"/>
  <c r="N236" i="37" s="1"/>
  <c r="N582" i="37" a="1"/>
  <c r="N582" i="37" s="1"/>
  <c r="N237" i="37" a="1"/>
  <c r="N237" i="37" s="1"/>
  <c r="N238" i="37" a="1"/>
  <c r="N238" i="37" s="1"/>
  <c r="N583" i="37" a="1"/>
  <c r="N583" i="37" s="1"/>
  <c r="N172" i="37" a="1"/>
  <c r="N172" i="37" s="1"/>
  <c r="N239" i="37" a="1"/>
  <c r="N239" i="37" s="1"/>
  <c r="N363" i="37" a="1"/>
  <c r="N363" i="37" s="1"/>
  <c r="N364" i="37" a="1"/>
  <c r="N364" i="37" s="1"/>
  <c r="N362" i="37" a="1"/>
  <c r="N362" i="37" s="1"/>
  <c r="N594" i="37" a="1"/>
  <c r="N594" i="37" s="1"/>
  <c r="N612" i="37" a="1"/>
  <c r="N612" i="37" s="1"/>
  <c r="N266" i="37" a="1"/>
  <c r="N266" i="37" s="1"/>
  <c r="N309" i="37" a="1"/>
  <c r="N309" i="37" s="1"/>
  <c r="N365" i="37" a="1"/>
  <c r="N365" i="37" s="1"/>
  <c r="N240" i="37" a="1"/>
  <c r="N240" i="37" s="1"/>
  <c r="N91" i="37" a="1"/>
  <c r="N91" i="37" s="1"/>
  <c r="N613" i="37" a="1"/>
  <c r="N613" i="37" s="1"/>
  <c r="N551" i="37" a="1"/>
  <c r="N551" i="37" s="1"/>
  <c r="N271" i="37" a="1"/>
  <c r="N271" i="37" s="1"/>
  <c r="N584" i="37" a="1"/>
  <c r="N584" i="37" s="1"/>
  <c r="N52" i="37" a="1"/>
  <c r="N52" i="37" s="1"/>
  <c r="N366" i="37" a="1"/>
  <c r="N366" i="37" s="1"/>
  <c r="N241" i="37" a="1"/>
  <c r="N241" i="37" s="1"/>
  <c r="N614" i="37" a="1"/>
  <c r="N614" i="37" s="1"/>
  <c r="N367" i="37" a="1"/>
  <c r="N367" i="37" s="1"/>
  <c r="N544" i="37" a="1"/>
  <c r="N544" i="37" s="1"/>
  <c r="N136" i="37" a="1"/>
  <c r="N136" i="37" s="1"/>
  <c r="N585" i="37" a="1"/>
  <c r="N585" i="37" s="1"/>
  <c r="N371" i="37" a="1"/>
  <c r="N371" i="37" s="1"/>
  <c r="N369" i="37" a="1"/>
  <c r="N369" i="37" s="1"/>
  <c r="N615" i="37" a="1"/>
  <c r="N615" i="37" s="1"/>
  <c r="N368" i="37" a="1"/>
  <c r="N368" i="37" s="1"/>
  <c r="N370" i="37" a="1"/>
  <c r="N370" i="37" s="1"/>
  <c r="N242" i="37" a="1"/>
  <c r="N242" i="37" s="1"/>
  <c r="N244" i="37" a="1"/>
  <c r="N244" i="37" s="1"/>
  <c r="N372" i="37" a="1"/>
  <c r="N372" i="37" s="1"/>
  <c r="N566" i="37" a="1"/>
  <c r="N566" i="37" s="1"/>
  <c r="N243" i="37" a="1"/>
  <c r="N243" i="37" s="1"/>
  <c r="N407" i="37" a="1"/>
  <c r="N407" i="37" s="1"/>
  <c r="N8" i="37" a="1"/>
  <c r="N8" i="37" s="1"/>
  <c r="N310" i="37" a="1"/>
  <c r="N310" i="37" s="1"/>
  <c r="N385" i="37" a="1"/>
  <c r="N385" i="37" s="1"/>
  <c r="N94" i="37" a="1"/>
  <c r="N94" i="37" s="1"/>
  <c r="N55" i="37" a="1"/>
  <c r="N55" i="37" s="1"/>
  <c r="N258" i="37" a="1"/>
  <c r="N258" i="37" s="1"/>
  <c r="N137" i="37" a="1"/>
  <c r="N137" i="37" s="1"/>
  <c r="N54" i="37" a="1"/>
  <c r="N54" i="37" s="1"/>
  <c r="N418" i="37" a="1"/>
  <c r="N418" i="37" s="1"/>
  <c r="N174" i="37" a="1"/>
  <c r="N174" i="37" s="1"/>
  <c r="N311" i="37" a="1"/>
  <c r="N311" i="37" s="1"/>
  <c r="N416" i="37" a="1"/>
  <c r="N416" i="37" s="1"/>
  <c r="N312" i="37" a="1"/>
  <c r="N312" i="37" s="1"/>
  <c r="N145" i="37" a="1"/>
  <c r="N145" i="37" s="1"/>
  <c r="N278" i="37" a="1"/>
  <c r="N278" i="37" s="1"/>
  <c r="N181" i="37" a="1"/>
  <c r="N181" i="37" s="1"/>
  <c r="N375" i="37" a="1"/>
  <c r="N375" i="37" s="1"/>
  <c r="N146" i="37" a="1"/>
  <c r="N146" i="37" s="1"/>
  <c r="N388" i="37" a="1"/>
  <c r="N388" i="37" s="1"/>
  <c r="N419" i="37" a="1"/>
  <c r="N419" i="37" s="1"/>
  <c r="N60" i="37" a="1"/>
  <c r="N60" i="37" s="1"/>
  <c r="N81" i="37" a="1"/>
  <c r="N81" i="37" s="1"/>
  <c r="N149" i="37" a="1"/>
  <c r="N149" i="37" s="1"/>
  <c r="N246" i="37" a="1"/>
  <c r="N246" i="37" s="1"/>
  <c r="N590" i="37" a="1"/>
  <c r="N590" i="37" s="1"/>
  <c r="N254" i="37" a="1"/>
  <c r="N254" i="37" s="1"/>
  <c r="N373" i="37" a="1"/>
  <c r="N373" i="37" s="1"/>
  <c r="N376" i="37" a="1"/>
  <c r="N376" i="37" s="1"/>
  <c r="N378" i="37" a="1"/>
  <c r="N378" i="37" s="1"/>
  <c r="N410" i="37" a="1"/>
  <c r="N410" i="37" s="1"/>
  <c r="N409" i="37" a="1"/>
  <c r="N409" i="37" s="1"/>
  <c r="N420" i="37" a="1"/>
  <c r="N420" i="37" s="1"/>
  <c r="N248" i="37" a="1"/>
  <c r="N248" i="37" s="1"/>
  <c r="N247" i="37" a="1"/>
  <c r="N247" i="37" s="1"/>
  <c r="N259" i="37" a="1"/>
  <c r="N259" i="37" s="1"/>
  <c r="N402" i="37" a="1"/>
  <c r="N402" i="37" s="1"/>
  <c r="N415" i="37" a="1"/>
  <c r="N415" i="37" s="1"/>
  <c r="N417" i="37" a="1"/>
  <c r="N417" i="37" s="1"/>
  <c r="N53" i="37" a="1"/>
  <c r="N53" i="37" s="1"/>
  <c r="N140" i="37" a="1"/>
  <c r="N140" i="37" s="1"/>
  <c r="N142" i="37" a="1"/>
  <c r="N142" i="37" s="1"/>
  <c r="N109" i="37" a="1"/>
  <c r="N109" i="37" s="1"/>
  <c r="N313" i="37" a="1"/>
  <c r="N313" i="37" s="1"/>
  <c r="N314" i="37" a="1"/>
  <c r="N314" i="37" s="1"/>
  <c r="N601" i="37" a="1"/>
  <c r="N601" i="37" s="1"/>
  <c r="N315" i="37" a="1"/>
  <c r="N315" i="37" s="1"/>
  <c r="N618" i="37" a="1"/>
  <c r="N618" i="37" s="1"/>
  <c r="N143" i="37" a="1"/>
  <c r="N143" i="37" s="1"/>
  <c r="N622" i="37" a="1"/>
  <c r="N622" i="37" s="1"/>
  <c r="N316" i="37" a="1"/>
  <c r="N316" i="37" s="1"/>
  <c r="N552" i="37" a="1"/>
  <c r="N552" i="37" s="1"/>
  <c r="N317" i="37" a="1"/>
  <c r="N317" i="37" s="1"/>
  <c r="N182" i="37" a="1"/>
  <c r="N182" i="37" s="1"/>
  <c r="N200" i="37" a="1"/>
  <c r="N200" i="37" s="1"/>
  <c r="N284" i="37" a="1"/>
  <c r="N284" i="37" s="1"/>
  <c r="N427" i="37" a="1"/>
  <c r="N427" i="37" s="1"/>
  <c r="N147" i="37" a="1"/>
  <c r="N147" i="37" s="1"/>
  <c r="N173" i="37" a="1"/>
  <c r="N173" i="37" s="1"/>
  <c r="N318" i="37" a="1"/>
  <c r="N318" i="37" s="1"/>
  <c r="N435" i="37" a="1"/>
  <c r="N435" i="37" s="1"/>
  <c r="N285" i="37" a="1"/>
  <c r="N285" i="37" s="1"/>
  <c r="N602" i="37" a="1"/>
  <c r="N602" i="37" s="1"/>
  <c r="N319" i="37" a="1"/>
  <c r="N319" i="37" s="1"/>
  <c r="N148" i="37" a="1"/>
  <c r="N148" i="37" s="1"/>
  <c r="N320" i="37" a="1"/>
  <c r="N320" i="37" s="1"/>
  <c r="N321" i="37" a="1"/>
  <c r="N321" i="37" s="1"/>
  <c r="N150" i="37" a="1"/>
  <c r="N150" i="37" s="1"/>
  <c r="N322" i="37" a="1"/>
  <c r="N322" i="37" s="1"/>
  <c r="N323" i="37" a="1"/>
  <c r="N323" i="37" s="1"/>
  <c r="N621" i="37" a="1"/>
  <c r="N621" i="37" s="1"/>
  <c r="N424" i="37" a="1"/>
  <c r="N424" i="37" s="1"/>
  <c r="N201" i="37" a="1"/>
  <c r="N201" i="37" s="1"/>
  <c r="N440" i="37" a="1"/>
  <c r="N440" i="37" s="1"/>
  <c r="N110" i="37" a="1"/>
  <c r="N110" i="37" s="1"/>
  <c r="N286" i="37" a="1"/>
  <c r="N286" i="37" s="1"/>
  <c r="N325" i="37" a="1"/>
  <c r="N325" i="37" s="1"/>
  <c r="N423" i="37" a="1"/>
  <c r="N423" i="37" s="1"/>
  <c r="N431" i="37" a="1"/>
  <c r="N431" i="37" s="1"/>
  <c r="N421" i="37" a="1"/>
  <c r="N421" i="37" s="1"/>
  <c r="N245" i="37" a="1"/>
  <c r="N245" i="37" s="1"/>
  <c r="N434" i="37" a="1"/>
  <c r="N434" i="37" s="1"/>
  <c r="N324" i="37" a="1"/>
  <c r="N324" i="37" s="1"/>
  <c r="N572" i="37" a="1"/>
  <c r="N572" i="37" s="1"/>
  <c r="N202" i="37" a="1"/>
  <c r="N202" i="37" s="1"/>
  <c r="N588" i="37" a="1"/>
  <c r="N588" i="37" s="1"/>
  <c r="N603" i="37" a="1"/>
  <c r="N603" i="37" s="1"/>
  <c r="N619" i="37" a="1"/>
  <c r="N619" i="37" s="1"/>
  <c r="N250" i="37" a="1"/>
  <c r="N250" i="37" s="1"/>
  <c r="N441" i="37" a="1"/>
  <c r="N441" i="37" s="1"/>
  <c r="N438" i="37" a="1"/>
  <c r="N438" i="37" s="1"/>
  <c r="N327" i="37" a="1"/>
  <c r="N327" i="37" s="1"/>
  <c r="N426" i="37" a="1"/>
  <c r="N426" i="37" s="1"/>
  <c r="N287" i="37" a="1"/>
  <c r="N287" i="37" s="1"/>
  <c r="N95" i="37" a="1"/>
  <c r="N95" i="37" s="1"/>
  <c r="N326" i="37" a="1"/>
  <c r="N326" i="37" s="1"/>
  <c r="N249" i="37" a="1"/>
  <c r="N249" i="37" s="1"/>
  <c r="N425" i="37" a="1"/>
  <c r="N425" i="37" s="1"/>
  <c r="N604" i="37" a="1"/>
  <c r="N604" i="37" s="1"/>
  <c r="N162" i="37" a="1"/>
  <c r="N162" i="37" s="1"/>
  <c r="N276" i="37" a="1"/>
  <c r="N276" i="37" s="1"/>
  <c r="N328" i="37" a="1"/>
  <c r="N328" i="37" s="1"/>
  <c r="N472" i="37" a="1"/>
  <c r="N472" i="37" s="1"/>
  <c r="N272" i="37" a="1"/>
  <c r="N272" i="37" s="1"/>
  <c r="N255" i="37" a="1"/>
  <c r="N255" i="37" s="1"/>
  <c r="N277" i="37" a="1"/>
  <c r="N277" i="37" s="1"/>
  <c r="N442" i="37" a="1"/>
  <c r="N442" i="37" s="1"/>
  <c r="N591" i="37" a="1"/>
  <c r="N591" i="37" s="1"/>
  <c r="N592" i="37" a="1"/>
  <c r="N592" i="37" s="1"/>
  <c r="N329" i="37" a="1"/>
  <c r="N329" i="37" s="1"/>
  <c r="N473" i="37" a="1"/>
  <c r="N473" i="37" s="1"/>
  <c r="N474" i="37" a="1"/>
  <c r="N474" i="37" s="1"/>
  <c r="N428" i="37" a="1"/>
  <c r="N428" i="37" s="1"/>
  <c r="N330" i="37" a="1"/>
  <c r="N330" i="37" s="1"/>
  <c r="N257" i="37" a="1"/>
  <c r="N257" i="37" s="1"/>
  <c r="N429" i="37" a="1"/>
  <c r="N429" i="37" s="1"/>
  <c r="N263" i="37" a="1"/>
  <c r="N263" i="37" s="1"/>
  <c r="N444" i="37" a="1"/>
  <c r="N444" i="37" s="1"/>
  <c r="N430" i="37" a="1"/>
  <c r="N430" i="37" s="1"/>
  <c r="N432" i="37" a="1"/>
  <c r="N432" i="37" s="1"/>
  <c r="N260" i="37" a="1"/>
  <c r="N260" i="37" s="1"/>
  <c r="N261" i="37" a="1"/>
  <c r="N261" i="37" s="1"/>
  <c r="N262" i="37" a="1"/>
  <c r="N262" i="37" s="1"/>
  <c r="N331" i="37" a="1"/>
  <c r="N331" i="37" s="1"/>
  <c r="N374" i="37" a="1"/>
  <c r="N374" i="37" s="1"/>
  <c r="N332" i="37" a="1"/>
  <c r="N332" i="37" s="1"/>
  <c r="N377" i="37" a="1"/>
  <c r="N377" i="37" s="1"/>
  <c r="N203" i="37" a="1"/>
  <c r="N203" i="37" s="1"/>
  <c r="N111" i="37" a="1"/>
  <c r="N111" i="37" s="1"/>
  <c r="N379" i="37" a="1"/>
  <c r="N379" i="37" s="1"/>
  <c r="N333" i="37" a="1"/>
  <c r="N333" i="37" s="1"/>
  <c r="N334" i="37" a="1"/>
  <c r="N334" i="37" s="1"/>
  <c r="N443" i="37" a="1"/>
  <c r="N443" i="37" s="1"/>
  <c r="N459" i="37" a="1"/>
  <c r="N459" i="37" s="1"/>
  <c r="N289" i="37" a="1"/>
  <c r="N289" i="37" s="1"/>
  <c r="N475" i="37" a="1"/>
  <c r="N475" i="37" s="1"/>
  <c r="N335" i="37" a="1"/>
  <c r="N335" i="37" s="1"/>
  <c r="N112" i="37" a="1"/>
  <c r="N112" i="37" s="1"/>
  <c r="N422" i="37" a="1"/>
  <c r="N422" i="37" s="1"/>
  <c r="N381" i="37" a="1"/>
  <c r="N381" i="37" s="1"/>
  <c r="N605" i="37" a="1"/>
  <c r="N605" i="37" s="1"/>
  <c r="N616" i="37" a="1"/>
  <c r="N616" i="37" s="1"/>
  <c r="N383" i="37" a="1"/>
  <c r="N383" i="37" s="1"/>
  <c r="N183" i="37" a="1"/>
  <c r="N183" i="37" s="1"/>
  <c r="N433" i="37" a="1"/>
  <c r="N433" i="37" s="1"/>
  <c r="N336" i="37" a="1"/>
  <c r="N336" i="37" s="1"/>
  <c r="N337" i="37" a="1"/>
  <c r="N337" i="37" s="1"/>
  <c r="N386" i="37" a="1"/>
  <c r="N386" i="37" s="1"/>
  <c r="N338" i="37" a="1"/>
  <c r="N338" i="37" s="1"/>
  <c r="N617" i="37" a="1"/>
  <c r="N617" i="37" s="1"/>
  <c r="N389" i="37" a="1"/>
  <c r="N389" i="37" s="1"/>
  <c r="N606" i="37" a="1"/>
  <c r="N606" i="37" s="1"/>
  <c r="N204" i="37" a="1"/>
  <c r="N204" i="37" s="1"/>
  <c r="N291" i="37" a="1"/>
  <c r="N291" i="37" s="1"/>
  <c r="N390" i="37" a="1"/>
  <c r="N390" i="37" s="1"/>
  <c r="N394" i="37" a="1"/>
  <c r="N394" i="37" s="1"/>
  <c r="N398" i="37" a="1"/>
  <c r="N398" i="37" s="1"/>
  <c r="N400" i="37" a="1"/>
  <c r="N400" i="37" s="1"/>
  <c r="N476" i="37" a="1"/>
  <c r="N476" i="37" s="1"/>
  <c r="N399" i="37" a="1"/>
  <c r="N399" i="37" s="1"/>
  <c r="N403" i="37" a="1"/>
  <c r="N403" i="37" s="1"/>
  <c r="N477" i="37" a="1"/>
  <c r="N477" i="37" s="1"/>
  <c r="N408" i="37" a="1"/>
  <c r="N408" i="37" s="1"/>
  <c r="N439" i="37" a="1"/>
  <c r="N439" i="37" s="1"/>
  <c r="N573" i="37" a="1"/>
  <c r="N573" i="37" s="1"/>
  <c r="N413" i="37" a="1"/>
  <c r="N413" i="37" s="1"/>
  <c r="N607" i="37" a="1"/>
  <c r="N607" i="37" s="1"/>
  <c r="N412" i="37" a="1"/>
  <c r="N412" i="37" s="1"/>
  <c r="N113" i="37" a="1"/>
  <c r="N113" i="37" s="1"/>
  <c r="N414" i="37" a="1"/>
  <c r="N414" i="37" s="1"/>
  <c r="N411" i="37" a="1"/>
  <c r="N411" i="37" s="1"/>
  <c r="N138" i="37" a="1"/>
  <c r="N138" i="37" s="1"/>
  <c r="N139" i="37" a="1"/>
  <c r="N139" i="37" s="1"/>
  <c r="N339" i="37" a="1"/>
  <c r="N339" i="37" s="1"/>
  <c r="N478" i="37" a="1"/>
  <c r="N478" i="37" s="1"/>
  <c r="N141" i="37" a="1"/>
  <c r="N141" i="37" s="1"/>
  <c r="N479" i="37" a="1"/>
  <c r="N479" i="37" s="1"/>
  <c r="N340" i="37" a="1"/>
  <c r="N340" i="37" s="1"/>
  <c r="N144" i="37" a="1"/>
  <c r="N144" i="37" s="1"/>
  <c r="N567" i="37" a="1"/>
  <c r="N567" i="37" s="1"/>
  <c r="N586" i="37" a="1"/>
  <c r="N586" i="37" s="1"/>
  <c r="N587" i="37" a="1"/>
  <c r="N587" i="37" s="1"/>
  <c r="N589" i="37" a="1"/>
  <c r="N589" i="37" s="1"/>
  <c r="N625" i="37" a="1"/>
  <c r="N625" i="37" s="1"/>
  <c r="N480" i="37" a="1"/>
  <c r="N480" i="37" s="1"/>
  <c r="N342" i="37" a="1"/>
  <c r="N342" i="37" s="1"/>
  <c r="N253" i="37" a="1"/>
  <c r="N253" i="37" s="1"/>
  <c r="N341" i="37" a="1"/>
  <c r="N341" i="37" s="1"/>
  <c r="N252" i="37" a="1"/>
  <c r="N252" i="37" s="1"/>
  <c r="N482" i="37" a="1"/>
  <c r="N482" i="37" s="1"/>
  <c r="N481" i="37" a="1"/>
  <c r="N481" i="37" s="1"/>
  <c r="N343" i="37" a="1"/>
  <c r="N343" i="37" s="1"/>
  <c r="N251" i="37" a="1"/>
  <c r="N251" i="37" s="1"/>
  <c r="N256" i="37" a="1"/>
  <c r="N256" i="37" s="1"/>
  <c r="N264" i="37" a="1"/>
  <c r="N264" i="37" s="1"/>
  <c r="N593" i="37" a="1"/>
  <c r="N593" i="37" s="1"/>
  <c r="N345" i="37" a="1"/>
  <c r="N345" i="37" s="1"/>
  <c r="N484" i="37" a="1"/>
  <c r="N484" i="37" s="1"/>
  <c r="N483" i="37" a="1"/>
  <c r="N483" i="37" s="1"/>
  <c r="N344" i="37" a="1"/>
  <c r="N344" i="37" s="1"/>
  <c r="N458" i="37" a="1"/>
  <c r="N458" i="37" s="1"/>
  <c r="N486" i="37" a="1"/>
  <c r="N486" i="37" s="1"/>
  <c r="N485" i="37" a="1"/>
  <c r="N485" i="37" s="1"/>
  <c r="N626" i="37" a="1"/>
  <c r="N626" i="37" s="1"/>
  <c r="N346" i="37" a="1"/>
  <c r="N346" i="37" s="1"/>
  <c r="N628" i="37" a="1"/>
  <c r="N628" i="37" s="1"/>
  <c r="N380" i="37" a="1"/>
  <c r="N380" i="37" s="1"/>
  <c r="N382" i="37" a="1"/>
  <c r="N382" i="37" s="1"/>
  <c r="N627" i="37" a="1"/>
  <c r="N627" i="37" s="1"/>
  <c r="N384" i="37" a="1"/>
  <c r="N384" i="37" s="1"/>
  <c r="N387" i="37" a="1"/>
  <c r="N387" i="37" s="1"/>
  <c r="N391" i="37" a="1"/>
  <c r="N391" i="37" s="1"/>
  <c r="N392" i="37" a="1"/>
  <c r="N392" i="37" s="1"/>
  <c r="N393" i="37" a="1"/>
  <c r="N393" i="37" s="1"/>
  <c r="N397" i="37" a="1"/>
  <c r="N397" i="37" s="1"/>
  <c r="N396" i="37" a="1"/>
  <c r="N396" i="37" s="1"/>
  <c r="N401" i="37" a="1"/>
  <c r="N401" i="37" s="1"/>
  <c r="N405" i="37" a="1"/>
  <c r="N405" i="37" s="1"/>
  <c r="N404" i="37" a="1"/>
  <c r="N404" i="37" s="1"/>
  <c r="N406" i="37" a="1"/>
  <c r="N406" i="37" s="1"/>
  <c r="N487" i="37" a="1"/>
  <c r="N487" i="37" s="1"/>
  <c r="N506" i="37" a="1"/>
  <c r="N506" i="37" s="1"/>
  <c r="N620" i="37" a="1"/>
  <c r="N620" i="37" s="1"/>
  <c r="N466" i="37" a="1"/>
  <c r="N466" i="37" s="1"/>
  <c r="N550" i="37" a="1"/>
  <c r="N550" i="37" s="1"/>
  <c r="N498" i="37" a="1"/>
  <c r="N498" i="37" s="1"/>
  <c r="N521" i="37" a="1"/>
  <c r="N521" i="37" s="1"/>
  <c r="N445" i="37" a="1"/>
  <c r="N445" i="37" s="1"/>
  <c r="N184" i="37" a="1"/>
  <c r="N184" i="37" s="1"/>
  <c r="N348" i="37" a="1"/>
  <c r="N348" i="37" s="1"/>
  <c r="N357" i="37" a="1"/>
  <c r="N357" i="37" s="1"/>
  <c r="N640" i="37" a="1"/>
  <c r="N640" i="37" s="1"/>
  <c r="N469" i="37" a="1"/>
  <c r="N469" i="37" s="1"/>
  <c r="N510" i="37" a="1"/>
  <c r="N510" i="37" s="1"/>
  <c r="N511" i="37" a="1"/>
  <c r="N511" i="37" s="1"/>
  <c r="N528" i="37" a="1"/>
  <c r="N528" i="37" s="1"/>
  <c r="N347" i="37" a="1"/>
  <c r="N347" i="37" s="1"/>
  <c r="N436" i="37" a="1"/>
  <c r="N436" i="37" s="1"/>
  <c r="N517" i="37" a="1"/>
  <c r="N517" i="37" s="1"/>
  <c r="N493" i="37" a="1"/>
  <c r="N493" i="37" s="1"/>
  <c r="N467" i="37" a="1"/>
  <c r="N467" i="37" s="1"/>
  <c r="N293" i="37" a="1"/>
  <c r="N293" i="37" s="1"/>
  <c r="N452" i="37" a="1"/>
  <c r="N452" i="37" s="1"/>
  <c r="N358" i="37" a="1"/>
  <c r="N358" i="37" s="1"/>
  <c r="N455" i="37" a="1"/>
  <c r="N455" i="37" s="1"/>
  <c r="N522" i="37" a="1"/>
  <c r="N522" i="37" s="1"/>
  <c r="N351" i="37" a="1"/>
  <c r="N351" i="37" s="1"/>
  <c r="N610" i="37" a="1"/>
  <c r="N610" i="37" s="1"/>
  <c r="N463" i="37" a="1"/>
  <c r="N463" i="37" s="1"/>
  <c r="N490" i="37" a="1"/>
  <c r="N490" i="37" s="1"/>
  <c r="N500" i="37" a="1"/>
  <c r="N500" i="37" s="1"/>
  <c r="N499" i="37" a="1"/>
  <c r="N499" i="37" s="1"/>
  <c r="N523" i="37" a="1"/>
  <c r="N523" i="37" s="1"/>
  <c r="N470" i="37" a="1"/>
  <c r="N470" i="37" s="1"/>
  <c r="N273" i="37" a="1"/>
  <c r="N273" i="37" s="1"/>
  <c r="N489" i="37" a="1"/>
  <c r="N489" i="37" s="1"/>
  <c r="N488" i="37" a="1"/>
  <c r="N488" i="37" s="1"/>
  <c r="N288" i="37" a="1"/>
  <c r="N288" i="37" s="1"/>
  <c r="N292" i="37" a="1"/>
  <c r="N292" i="37" s="1"/>
  <c r="N491" i="37" a="1"/>
  <c r="N491" i="37" s="1"/>
  <c r="N448" i="37" a="1"/>
  <c r="N448" i="37" s="1"/>
  <c r="N494" i="37" a="1"/>
  <c r="N494" i="37" s="1"/>
  <c r="N451" i="37" a="1"/>
  <c r="N451" i="37" s="1"/>
  <c r="N512" i="37" a="1"/>
  <c r="N512" i="37" s="1"/>
  <c r="N525" i="37" a="1"/>
  <c r="N525" i="37" s="1"/>
  <c r="N527" i="37" a="1"/>
  <c r="N527" i="37" s="1"/>
  <c r="N524" i="37" a="1"/>
  <c r="N524" i="37" s="1"/>
  <c r="N639" i="37" a="1"/>
  <c r="N639" i="37" s="1"/>
  <c r="N356" i="37" a="1"/>
  <c r="N356" i="37" s="1"/>
  <c r="N453" i="37" a="1"/>
  <c r="N453" i="37" s="1"/>
  <c r="N460" i="37" a="1"/>
  <c r="N460" i="37" s="1"/>
  <c r="N290" i="37" a="1"/>
  <c r="N290" i="37" s="1"/>
  <c r="N611" i="37" a="1"/>
  <c r="N611" i="37" s="1"/>
  <c r="N492" i="37" a="1"/>
  <c r="N492" i="37" s="1"/>
  <c r="N495" i="37" a="1"/>
  <c r="N495" i="37" s="1"/>
  <c r="N294" i="37" a="1"/>
  <c r="N294" i="37" s="1"/>
  <c r="N496" i="37" a="1"/>
  <c r="N496" i="37" s="1"/>
  <c r="N497" i="37" a="1"/>
  <c r="N497" i="37" s="1"/>
  <c r="N502" i="37" a="1"/>
  <c r="N502" i="37" s="1"/>
  <c r="N446" i="37" a="1"/>
  <c r="N446" i="37" s="1"/>
  <c r="N503" i="37" a="1"/>
  <c r="N503" i="37" s="1"/>
  <c r="N449" i="37" a="1"/>
  <c r="N449" i="37" s="1"/>
  <c r="N631" i="37" a="1"/>
  <c r="N631" i="37" s="1"/>
  <c r="N504" i="37" a="1"/>
  <c r="N504" i="37" s="1"/>
  <c r="N630" i="37" a="1"/>
  <c r="N630" i="37" s="1"/>
  <c r="N629" i="37" a="1"/>
  <c r="N629" i="37" s="1"/>
  <c r="N623" i="37" a="1"/>
  <c r="N623" i="37" s="1"/>
  <c r="N501" i="37" a="1"/>
  <c r="N501" i="37" s="1"/>
  <c r="N505" i="37" a="1"/>
  <c r="N505" i="37" s="1"/>
  <c r="N508" i="37" a="1"/>
  <c r="N508" i="37" s="1"/>
  <c r="N509" i="37" a="1"/>
  <c r="N509" i="37" s="1"/>
  <c r="N513" i="37" a="1"/>
  <c r="N513" i="37" s="1"/>
  <c r="N632" i="37" a="1"/>
  <c r="N632" i="37" s="1"/>
  <c r="N514" i="37" a="1"/>
  <c r="N514" i="37" s="1"/>
  <c r="N515" i="37" a="1"/>
  <c r="N515" i="37" s="1"/>
  <c r="N519" i="37" a="1"/>
  <c r="N519" i="37" s="1"/>
  <c r="N518" i="37" a="1"/>
  <c r="N518" i="37" s="1"/>
  <c r="N520" i="37" a="1"/>
  <c r="N520" i="37" s="1"/>
  <c r="N114" i="37" a="1"/>
  <c r="N114" i="37" s="1"/>
  <c r="N205" i="37" a="1"/>
  <c r="N205" i="37" s="1"/>
  <c r="N349" i="37" a="1"/>
  <c r="N349" i="37" s="1"/>
  <c r="N350" i="37" a="1"/>
  <c r="N350" i="37" s="1"/>
  <c r="N608" i="37" a="1"/>
  <c r="N608" i="37" s="1"/>
  <c r="N609" i="37" a="1"/>
  <c r="N609" i="37" s="1"/>
  <c r="N352" i="37" a="1"/>
  <c r="N352" i="37" s="1"/>
  <c r="N355" i="37" a="1"/>
  <c r="N355" i="37" s="1"/>
  <c r="N353" i="37" a="1"/>
  <c r="N353" i="37" s="1"/>
  <c r="N468" i="37" a="1"/>
  <c r="N468" i="37" s="1"/>
  <c r="N354" i="37" a="1"/>
  <c r="N354" i="37" s="1"/>
  <c r="N295" i="37" a="1"/>
  <c r="N295" i="37" s="1"/>
  <c r="N447" i="37" a="1"/>
  <c r="N447" i="37" s="1"/>
  <c r="N450" i="37" a="1"/>
  <c r="N450" i="37" s="1"/>
  <c r="N454" i="37" a="1"/>
  <c r="N454" i="37" s="1"/>
  <c r="N359" i="37" a="1"/>
  <c r="N359" i="37" s="1"/>
  <c r="N456" i="37" a="1"/>
  <c r="N456" i="37" s="1"/>
  <c r="N457" i="37" a="1"/>
  <c r="N457" i="37" s="1"/>
  <c r="N360" i="37" a="1"/>
  <c r="N360" i="37" s="1"/>
  <c r="N462" i="37" a="1"/>
  <c r="N462" i="37" s="1"/>
  <c r="N461" i="37" a="1"/>
  <c r="N461" i="37" s="1"/>
  <c r="N633" i="37" a="1"/>
  <c r="N633" i="37" s="1"/>
  <c r="N464" i="37" a="1"/>
  <c r="N464" i="37" s="1"/>
  <c r="N624" i="37" a="1"/>
  <c r="N624" i="37" s="1"/>
  <c r="N465" i="37" a="1"/>
  <c r="N465" i="37" s="1"/>
  <c r="N516" i="37" a="1"/>
  <c r="N516" i="37" s="1"/>
  <c r="N634" i="37" a="1"/>
  <c r="N634" i="37" s="1"/>
  <c r="N635" i="37" a="1"/>
  <c r="N635" i="37" s="1"/>
  <c r="N638" i="37" a="1"/>
  <c r="N638" i="37" s="1"/>
  <c r="N637" i="37" a="1"/>
  <c r="N637" i="37" s="1"/>
  <c r="N636" i="37" a="1"/>
  <c r="N636" i="37" s="1"/>
  <c r="N529" i="37" a="1"/>
  <c r="N529" i="37" s="1"/>
  <c r="N530" i="37" a="1"/>
  <c r="N530" i="37" s="1"/>
  <c r="N531" i="37" a="1"/>
  <c r="N531" i="37" s="1"/>
  <c r="N532" i="37" a="1"/>
  <c r="N532" i="37" s="1"/>
  <c r="M10" i="37" a="1"/>
  <c r="M10" i="37" s="1"/>
  <c r="M23" i="37" a="1"/>
  <c r="M23" i="37" s="1"/>
  <c r="M7" i="37" a="1"/>
  <c r="M7" i="37" s="1"/>
  <c r="M14" i="37" a="1"/>
  <c r="M14" i="37" s="1"/>
  <c r="M15" i="37" a="1"/>
  <c r="M15" i="37" s="1"/>
  <c r="M38" i="37" a="1"/>
  <c r="M38" i="37" s="1"/>
  <c r="M538" i="37" a="1"/>
  <c r="M538" i="37" s="1"/>
  <c r="M33" i="37" a="1"/>
  <c r="M33" i="37" s="1"/>
  <c r="M42" i="37" a="1"/>
  <c r="M42" i="37" s="1"/>
  <c r="M17" i="37" a="1"/>
  <c r="M17" i="37" s="1"/>
  <c r="M70" i="37" a="1"/>
  <c r="M70" i="37" s="1"/>
  <c r="M115" i="37" a="1"/>
  <c r="M115" i="37" s="1"/>
  <c r="M32" i="37" a="1"/>
  <c r="M32" i="37" s="1"/>
  <c r="M99" i="37" a="1"/>
  <c r="M99" i="37" s="1"/>
  <c r="M92" i="37" a="1"/>
  <c r="M92" i="37" s="1"/>
  <c r="M554" i="37" a="1"/>
  <c r="M554" i="37" s="1"/>
  <c r="M93" i="37" a="1"/>
  <c r="M93" i="37" s="1"/>
  <c r="M120" i="37" a="1"/>
  <c r="M120" i="37" s="1"/>
  <c r="M121" i="37" a="1"/>
  <c r="M121" i="37" s="1"/>
  <c r="M167" i="37" a="1"/>
  <c r="M167" i="37" s="1"/>
  <c r="M77" i="37" a="1"/>
  <c r="M77" i="37" s="1"/>
  <c r="M296" i="37" a="1"/>
  <c r="M296" i="37" s="1"/>
  <c r="M102" i="37" a="1"/>
  <c r="M102" i="37" s="1"/>
  <c r="M189" i="37" a="1"/>
  <c r="M189" i="37" s="1"/>
  <c r="M568" i="37" a="1"/>
  <c r="M568" i="37" s="1"/>
  <c r="M212" i="37" a="1"/>
  <c r="M212" i="37" s="1"/>
  <c r="M155" i="37" a="1"/>
  <c r="M155" i="37" s="1"/>
  <c r="M299" i="37" a="1"/>
  <c r="M299" i="37" s="1"/>
  <c r="M192" i="37" a="1"/>
  <c r="M192" i="37" s="1"/>
  <c r="M579" i="37" a="1"/>
  <c r="M579" i="37" s="1"/>
  <c r="M220" i="37" a="1"/>
  <c r="M220" i="37" s="1"/>
  <c r="M221" i="37" a="1"/>
  <c r="M221" i="37" s="1"/>
  <c r="M78" i="37" a="1"/>
  <c r="M78" i="37" s="1"/>
  <c r="M225" i="37" a="1"/>
  <c r="M225" i="37" s="1"/>
  <c r="M558" i="37" a="1"/>
  <c r="M558" i="37" s="1"/>
  <c r="M227" i="37" a="1"/>
  <c r="M227" i="37" s="1"/>
  <c r="M69" i="37" a="1"/>
  <c r="M69" i="37" s="1"/>
  <c r="M560" i="37" a="1"/>
  <c r="M560" i="37" s="1"/>
  <c r="M265" i="37" a="1"/>
  <c r="M265" i="37" s="1"/>
  <c r="M306" i="37" a="1"/>
  <c r="M306" i="37" s="1"/>
  <c r="M270" i="37" a="1"/>
  <c r="M270" i="37" s="1"/>
  <c r="M180" i="37" a="1"/>
  <c r="M180" i="37" s="1"/>
  <c r="M308" i="37" a="1"/>
  <c r="M308" i="37" s="1"/>
  <c r="M471" i="37" a="1"/>
  <c r="M471" i="37" s="1"/>
  <c r="M268" i="37" a="1"/>
  <c r="M268" i="37" s="1"/>
  <c r="M199" i="37" a="1"/>
  <c r="M199" i="37" s="1"/>
  <c r="M239" i="37" a="1"/>
  <c r="M239" i="37" s="1"/>
  <c r="M365" i="37" a="1"/>
  <c r="M365" i="37" s="1"/>
  <c r="M366" i="37" a="1"/>
  <c r="M366" i="37" s="1"/>
  <c r="M241" i="37" a="1"/>
  <c r="M241" i="37" s="1"/>
  <c r="M243" i="37" a="1"/>
  <c r="M243" i="37" s="1"/>
  <c r="M407" i="37" a="1"/>
  <c r="M407" i="37" s="1"/>
  <c r="M54" i="37" a="1"/>
  <c r="M54" i="37" s="1"/>
  <c r="M278" i="37" a="1"/>
  <c r="M278" i="37" s="1"/>
  <c r="M246" i="37" a="1"/>
  <c r="M246" i="37" s="1"/>
  <c r="M420" i="37" a="1"/>
  <c r="M420" i="37" s="1"/>
  <c r="M140" i="37" a="1"/>
  <c r="M140" i="37" s="1"/>
  <c r="M618" i="37" a="1"/>
  <c r="M618" i="37" s="1"/>
  <c r="M143" i="37" a="1"/>
  <c r="M143" i="37" s="1"/>
  <c r="M427" i="37" a="1"/>
  <c r="M427" i="37" s="1"/>
  <c r="M424" i="37" a="1"/>
  <c r="M424" i="37" s="1"/>
  <c r="M201" i="37" a="1"/>
  <c r="M201" i="37" s="1"/>
  <c r="M619" i="37" a="1"/>
  <c r="M619" i="37" s="1"/>
  <c r="M250" i="37" a="1"/>
  <c r="M250" i="37" s="1"/>
  <c r="M326" i="37" a="1"/>
  <c r="M326" i="37" s="1"/>
  <c r="M249" i="37" a="1"/>
  <c r="M249" i="37" s="1"/>
  <c r="M272" i="37" a="1"/>
  <c r="M272" i="37" s="1"/>
  <c r="M255" i="37" a="1"/>
  <c r="M255" i="37" s="1"/>
  <c r="M428" i="37" a="1"/>
  <c r="M428" i="37" s="1"/>
  <c r="M111" i="37" a="1"/>
  <c r="M111" i="37" s="1"/>
  <c r="M475" i="37" a="1"/>
  <c r="M475" i="37" s="1"/>
  <c r="M335" i="37" a="1"/>
  <c r="M335" i="37" s="1"/>
  <c r="M183" i="37" a="1"/>
  <c r="M183" i="37" s="1"/>
  <c r="M606" i="37" a="1"/>
  <c r="M606" i="37" s="1"/>
  <c r="M204" i="37" a="1"/>
  <c r="M204" i="37" s="1"/>
  <c r="M399" i="37" a="1"/>
  <c r="M399" i="37" s="1"/>
  <c r="M403" i="37" a="1"/>
  <c r="M403" i="37" s="1"/>
  <c r="M113" i="37" a="1"/>
  <c r="M113" i="37" s="1"/>
  <c r="M141" i="37" a="1"/>
  <c r="M141" i="37" s="1"/>
  <c r="M479" i="37" a="1"/>
  <c r="M479" i="37" s="1"/>
  <c r="M343" i="37" a="1"/>
  <c r="M343" i="37" s="1"/>
  <c r="M251" i="37" a="1"/>
  <c r="M251" i="37" s="1"/>
  <c r="M344" i="37" a="1"/>
  <c r="M344" i="37" s="1"/>
  <c r="M382" i="37" a="1"/>
  <c r="M382" i="37" s="1"/>
  <c r="M627" i="37" a="1"/>
  <c r="M627" i="37" s="1"/>
  <c r="M401" i="37" a="1"/>
  <c r="M401" i="37" s="1"/>
  <c r="M466" i="37" a="1"/>
  <c r="M466" i="37" s="1"/>
  <c r="M550" i="37" a="1"/>
  <c r="M550" i="37" s="1"/>
  <c r="M640" i="37" a="1"/>
  <c r="M640" i="37" s="1"/>
  <c r="M469" i="37" a="1"/>
  <c r="M469" i="37" s="1"/>
  <c r="M493" i="37" a="1"/>
  <c r="M493" i="37" s="1"/>
  <c r="M610" i="37" a="1"/>
  <c r="M610" i="37" s="1"/>
  <c r="M463" i="37" a="1"/>
  <c r="M463" i="37" s="1"/>
  <c r="M512" i="37" a="1"/>
  <c r="M512" i="37" s="1"/>
  <c r="M290" i="37" a="1"/>
  <c r="M290" i="37" s="1"/>
  <c r="M446" i="37" a="1"/>
  <c r="M446" i="37" s="1"/>
  <c r="M503" i="37" a="1"/>
  <c r="M503" i="37" s="1"/>
  <c r="M501" i="37" a="1"/>
  <c r="M501" i="37" s="1"/>
  <c r="M505" i="37" a="1"/>
  <c r="M505" i="37" s="1"/>
  <c r="M519" i="37" a="1"/>
  <c r="M519" i="37" s="1"/>
  <c r="M518" i="37" a="1"/>
  <c r="M518" i="37" s="1"/>
  <c r="M609" i="37" a="1"/>
  <c r="M609" i="37" s="1"/>
  <c r="M352" i="37" a="1"/>
  <c r="M352" i="37" s="1"/>
  <c r="M450" i="37" a="1"/>
  <c r="M450" i="37" s="1"/>
  <c r="M454" i="37" a="1"/>
  <c r="M454" i="37" s="1"/>
  <c r="M633" i="37" a="1"/>
  <c r="M633" i="37" s="1"/>
  <c r="M464" i="37" a="1"/>
  <c r="M464" i="37" s="1"/>
  <c r="M529" i="37" a="1"/>
  <c r="M529" i="37" s="1"/>
  <c r="M530" i="37" a="1"/>
  <c r="M530" i="37" s="1"/>
  <c r="M531" i="37" a="1"/>
  <c r="M531" i="37" s="1"/>
  <c r="M532" i="37" a="1"/>
  <c r="M532" i="37" s="1"/>
  <c r="B2" i="1" a="1"/>
  <c r="B2" i="1" s="1"/>
  <c r="D2" i="46"/>
  <c r="D3" i="46"/>
  <c r="D4" i="46"/>
  <c r="D5" i="46"/>
  <c r="D6" i="46"/>
  <c r="D7" i="46"/>
  <c r="D8" i="46"/>
  <c r="D9" i="46"/>
  <c r="D10" i="46"/>
  <c r="D11" i="46"/>
  <c r="D12" i="46"/>
  <c r="D13" i="46"/>
  <c r="D14" i="46"/>
  <c r="D15" i="46"/>
  <c r="D16" i="46"/>
  <c r="D17" i="46"/>
  <c r="D18" i="46"/>
  <c r="D19" i="46"/>
  <c r="D20" i="46"/>
  <c r="D21" i="46"/>
  <c r="C2" i="46"/>
  <c r="C3" i="46"/>
  <c r="C4" i="46"/>
  <c r="C5" i="46"/>
  <c r="C6" i="46"/>
  <c r="C7" i="46"/>
  <c r="C8" i="46"/>
  <c r="C9" i="46"/>
  <c r="C10" i="46"/>
  <c r="C11" i="46"/>
  <c r="C12" i="46"/>
  <c r="C13" i="46"/>
  <c r="C14" i="46"/>
  <c r="C15" i="46"/>
  <c r="C16" i="46"/>
  <c r="C17" i="46"/>
  <c r="C18" i="46"/>
  <c r="C19" i="46"/>
  <c r="C20" i="46"/>
  <c r="C21" i="46"/>
  <c r="B2" i="46"/>
  <c r="B3" i="46"/>
  <c r="B4" i="46"/>
  <c r="B5" i="46"/>
  <c r="B6" i="46"/>
  <c r="B7" i="46"/>
  <c r="B8" i="46"/>
  <c r="B9" i="46"/>
  <c r="B10" i="46"/>
  <c r="B11" i="46"/>
  <c r="B12" i="46"/>
  <c r="B13" i="46"/>
  <c r="B14" i="46"/>
  <c r="B15" i="46"/>
  <c r="B16" i="46"/>
  <c r="B17" i="46"/>
  <c r="B18" i="46"/>
  <c r="B19" i="46"/>
  <c r="B20" i="46"/>
  <c r="B21" i="46"/>
  <c r="K12" i="44"/>
  <c r="K9" i="44"/>
  <c r="K25" i="44"/>
  <c r="K17" i="44"/>
  <c r="K18" i="44"/>
  <c r="K26" i="44"/>
  <c r="K19" i="44"/>
  <c r="K22" i="44"/>
  <c r="K16" i="44"/>
  <c r="K21" i="44"/>
  <c r="K20" i="44"/>
  <c r="K11" i="44"/>
  <c r="K14" i="44"/>
  <c r="K24" i="44"/>
  <c r="K23" i="44"/>
  <c r="K13" i="44"/>
  <c r="K15" i="44"/>
  <c r="K10" i="44"/>
  <c r="K28" i="44"/>
  <c r="K27" i="44"/>
  <c r="H12" i="44"/>
  <c r="H9" i="44"/>
  <c r="H25" i="44"/>
  <c r="H17" i="44"/>
  <c r="H18" i="44"/>
  <c r="H26" i="44"/>
  <c r="H19" i="44"/>
  <c r="H22" i="44"/>
  <c r="H16" i="44"/>
  <c r="H21" i="44"/>
  <c r="H20" i="44"/>
  <c r="H11" i="44"/>
  <c r="H14" i="44"/>
  <c r="H24" i="44"/>
  <c r="H23" i="44"/>
  <c r="H13" i="44"/>
  <c r="H15" i="44"/>
  <c r="H10" i="44"/>
  <c r="H28" i="44"/>
  <c r="H27" i="44"/>
  <c r="G12" i="44"/>
  <c r="G9" i="44"/>
  <c r="G25" i="44"/>
  <c r="G17" i="44"/>
  <c r="G18" i="44"/>
  <c r="G26" i="44"/>
  <c r="G19" i="44"/>
  <c r="G22" i="44"/>
  <c r="G16" i="44"/>
  <c r="G21" i="44"/>
  <c r="G20" i="44"/>
  <c r="G11" i="44"/>
  <c r="G14" i="44"/>
  <c r="G24" i="44"/>
  <c r="G23" i="44"/>
  <c r="G13" i="44"/>
  <c r="G15" i="44"/>
  <c r="G10" i="44"/>
  <c r="G28" i="44"/>
  <c r="G27" i="44"/>
  <c r="F12" i="44" a="1"/>
  <c r="F12" i="44" s="1"/>
  <c r="F9" i="44" a="1"/>
  <c r="F9" i="44" s="1"/>
  <c r="F25" i="44" a="1"/>
  <c r="F25" i="44" s="1"/>
  <c r="F17" i="44" a="1"/>
  <c r="F17" i="44" s="1"/>
  <c r="F18" i="44" a="1"/>
  <c r="F18" i="44" s="1"/>
  <c r="F26" i="44" a="1"/>
  <c r="F26" i="44" s="1"/>
  <c r="F19" i="44" a="1"/>
  <c r="F19" i="44" s="1"/>
  <c r="F22" i="44" a="1"/>
  <c r="F22" i="44" s="1"/>
  <c r="F16" i="44" a="1"/>
  <c r="F16" i="44" s="1"/>
  <c r="F21" i="44" a="1"/>
  <c r="F21" i="44" s="1"/>
  <c r="F20" i="44" a="1"/>
  <c r="F20" i="44" s="1"/>
  <c r="F11" i="44" a="1"/>
  <c r="F11" i="44" s="1"/>
  <c r="F14" i="44" a="1"/>
  <c r="F14" i="44" s="1"/>
  <c r="F24" i="44" a="1"/>
  <c r="F24" i="44" s="1"/>
  <c r="F23" i="44" a="1"/>
  <c r="F23" i="44" s="1"/>
  <c r="F13" i="44" a="1"/>
  <c r="F13" i="44" s="1"/>
  <c r="F15" i="44" a="1"/>
  <c r="F15" i="44" s="1"/>
  <c r="F10" i="44" a="1"/>
  <c r="F10" i="44" s="1"/>
  <c r="F28" i="44" a="1"/>
  <c r="F28" i="44" s="1"/>
  <c r="F27" i="44" a="1"/>
  <c r="F27" i="44" s="1"/>
  <c r="E12" i="44" a="1"/>
  <c r="E12" i="44" s="1"/>
  <c r="E9" i="44" a="1"/>
  <c r="E9" i="44" s="1"/>
  <c r="E25" i="44" a="1"/>
  <c r="E25" i="44" s="1"/>
  <c r="E17" i="44" a="1"/>
  <c r="E17" i="44" s="1"/>
  <c r="E18" i="44" a="1"/>
  <c r="E18" i="44" s="1"/>
  <c r="E26" i="44" a="1"/>
  <c r="E26" i="44" s="1"/>
  <c r="E19" i="44" a="1"/>
  <c r="E19" i="44" s="1"/>
  <c r="E22" i="44" a="1"/>
  <c r="E22" i="44" s="1"/>
  <c r="E16" i="44" a="1"/>
  <c r="E16" i="44" s="1"/>
  <c r="E21" i="44" a="1"/>
  <c r="E21" i="44" s="1"/>
  <c r="E20" i="44" a="1"/>
  <c r="E20" i="44" s="1"/>
  <c r="E11" i="44" a="1"/>
  <c r="E11" i="44" s="1"/>
  <c r="E14" i="44" a="1"/>
  <c r="E14" i="44" s="1"/>
  <c r="E24" i="44" a="1"/>
  <c r="E24" i="44" s="1"/>
  <c r="E23" i="44" a="1"/>
  <c r="E23" i="44" s="1"/>
  <c r="E13" i="44" a="1"/>
  <c r="E13" i="44" s="1"/>
  <c r="E15" i="44" a="1"/>
  <c r="E15" i="44" s="1"/>
  <c r="E10" i="44" a="1"/>
  <c r="E10" i="44" s="1"/>
  <c r="E28" i="44" a="1"/>
  <c r="E28" i="44" s="1"/>
  <c r="E27" i="44" a="1"/>
  <c r="E27" i="44" s="1"/>
  <c r="D12" i="44" a="1"/>
  <c r="D12" i="44" s="1"/>
  <c r="D9" i="44" a="1"/>
  <c r="D9" i="44" s="1"/>
  <c r="D25" i="44" a="1"/>
  <c r="D25" i="44" s="1"/>
  <c r="D17" i="44" a="1"/>
  <c r="D17" i="44" s="1"/>
  <c r="D18" i="44" a="1"/>
  <c r="D18" i="44" s="1"/>
  <c r="D26" i="44" a="1"/>
  <c r="D26" i="44" s="1"/>
  <c r="D19" i="44" a="1"/>
  <c r="D19" i="44" s="1"/>
  <c r="D22" i="44" a="1"/>
  <c r="D22" i="44" s="1"/>
  <c r="D16" i="44" a="1"/>
  <c r="D16" i="44" s="1"/>
  <c r="D21" i="44" a="1"/>
  <c r="D21" i="44" s="1"/>
  <c r="D20" i="44" a="1"/>
  <c r="D20" i="44" s="1"/>
  <c r="D11" i="44" a="1"/>
  <c r="D11" i="44" s="1"/>
  <c r="D14" i="44" a="1"/>
  <c r="D14" i="44" s="1"/>
  <c r="D24" i="44" a="1"/>
  <c r="D24" i="44" s="1"/>
  <c r="D23" i="44" a="1"/>
  <c r="D23" i="44" s="1"/>
  <c r="D13" i="44" a="1"/>
  <c r="D13" i="44" s="1"/>
  <c r="D15" i="44" a="1"/>
  <c r="D15" i="44" s="1"/>
  <c r="D10" i="44" a="1"/>
  <c r="D10" i="44" s="1"/>
  <c r="D28" i="44" a="1"/>
  <c r="D28" i="44" s="1"/>
  <c r="D27" i="44" a="1"/>
  <c r="D27" i="44" s="1"/>
  <c r="AM2" i="42" a="1"/>
  <c r="AM2" i="42" s="1"/>
  <c r="AM3" i="42" a="1"/>
  <c r="AM3" i="42" s="1"/>
  <c r="AM4" i="42" a="1"/>
  <c r="AM4" i="42" s="1"/>
  <c r="AM5" i="42" a="1"/>
  <c r="AM5" i="42"/>
  <c r="AM6" i="42" a="1"/>
  <c r="AM6" i="42" s="1"/>
  <c r="AM7" i="42" a="1"/>
  <c r="AM7" i="42" s="1"/>
  <c r="AM8" i="42" a="1"/>
  <c r="AM8" i="42" s="1"/>
  <c r="AM9" i="42" a="1"/>
  <c r="AM9" i="42"/>
  <c r="AM10" i="42" a="1"/>
  <c r="AM10" i="42" s="1"/>
  <c r="AM11" i="42" a="1"/>
  <c r="AM11" i="42" s="1"/>
  <c r="AM12" i="42" a="1"/>
  <c r="AM12" i="42" s="1"/>
  <c r="AM13" i="42" a="1"/>
  <c r="AM13" i="42" s="1"/>
  <c r="AM14" i="42" a="1"/>
  <c r="AM14" i="42" s="1"/>
  <c r="AM15" i="42" a="1"/>
  <c r="AM15" i="42" s="1"/>
  <c r="AM16" i="42" a="1"/>
  <c r="AM16" i="42" s="1"/>
  <c r="AM17" i="42" a="1"/>
  <c r="AM17" i="42" s="1"/>
  <c r="AM18" i="42" a="1"/>
  <c r="AM18" i="42" s="1"/>
  <c r="AM19" i="42" a="1"/>
  <c r="AM19" i="42" s="1"/>
  <c r="AM20" i="42" a="1"/>
  <c r="AM20" i="42" s="1"/>
  <c r="AM21" i="42" a="1"/>
  <c r="AM21" i="42" s="1"/>
  <c r="AL2" i="42" a="1"/>
  <c r="AL2" i="42" s="1"/>
  <c r="AL3" i="42" a="1"/>
  <c r="AL3" i="42" s="1"/>
  <c r="AL4" i="42" a="1"/>
  <c r="AL4" i="42" s="1"/>
  <c r="AL5" i="42" a="1"/>
  <c r="AL5" i="42"/>
  <c r="AL6" i="42" a="1"/>
  <c r="AL6" i="42" s="1"/>
  <c r="AL7" i="42" a="1"/>
  <c r="AL7" i="42" s="1"/>
  <c r="AL8" i="42" a="1"/>
  <c r="AL8" i="42" s="1"/>
  <c r="AL9" i="42" a="1"/>
  <c r="AL9" i="42"/>
  <c r="AL10" i="42" a="1"/>
  <c r="AL10" i="42" s="1"/>
  <c r="AL11" i="42" a="1"/>
  <c r="AL11" i="42" s="1"/>
  <c r="AL12" i="42" a="1"/>
  <c r="AL12" i="42" s="1"/>
  <c r="AL13" i="42" a="1"/>
  <c r="AL13" i="42" s="1"/>
  <c r="AL14" i="42" a="1"/>
  <c r="AL14" i="42" s="1"/>
  <c r="AL15" i="42" a="1"/>
  <c r="AL15" i="42" s="1"/>
  <c r="AL16" i="42" a="1"/>
  <c r="AL16" i="42" s="1"/>
  <c r="AL17" i="42" a="1"/>
  <c r="AL17" i="42" s="1"/>
  <c r="AL18" i="42" a="1"/>
  <c r="AL18" i="42" s="1"/>
  <c r="AL19" i="42" a="1"/>
  <c r="AL19" i="42" s="1"/>
  <c r="AL20" i="42" a="1"/>
  <c r="AL20" i="42" s="1"/>
  <c r="AL21" i="42" a="1"/>
  <c r="AL21" i="42" s="1"/>
  <c r="AK2" i="42" a="1"/>
  <c r="AK2" i="42" s="1"/>
  <c r="AK3" i="42" a="1"/>
  <c r="AK3" i="42" s="1"/>
  <c r="AK4" i="42" a="1"/>
  <c r="AK4" i="42" s="1"/>
  <c r="AK5" i="42" a="1"/>
  <c r="AK5" i="42"/>
  <c r="AK6" i="42" a="1"/>
  <c r="AK6" i="42" s="1"/>
  <c r="AK7" i="42" a="1"/>
  <c r="AK7" i="42" s="1"/>
  <c r="AK8" i="42" a="1"/>
  <c r="AK8" i="42" s="1"/>
  <c r="AK9" i="42" a="1"/>
  <c r="AK9" i="42"/>
  <c r="AK10" i="42" a="1"/>
  <c r="AK10" i="42" s="1"/>
  <c r="AK11" i="42" a="1"/>
  <c r="AK11" i="42" s="1"/>
  <c r="AK12" i="42" a="1"/>
  <c r="AK12" i="42" s="1"/>
  <c r="AK13" i="42" a="1"/>
  <c r="AK13" i="42"/>
  <c r="AK14" i="42" a="1"/>
  <c r="AK14" i="42" s="1"/>
  <c r="AK15" i="42" a="1"/>
  <c r="AK15" i="42" s="1"/>
  <c r="AK16" i="42" a="1"/>
  <c r="AK16" i="42" s="1"/>
  <c r="AK17" i="42" a="1"/>
  <c r="AK17" i="42"/>
  <c r="AK18" i="42" a="1"/>
  <c r="AK18" i="42" s="1"/>
  <c r="AK19" i="42" a="1"/>
  <c r="AK19" i="42" s="1"/>
  <c r="AK20" i="42" a="1"/>
  <c r="AK20" i="42" s="1"/>
  <c r="AK21" i="42" a="1"/>
  <c r="AK21" i="42" s="1"/>
  <c r="AJ2" i="42" a="1"/>
  <c r="AJ2" i="42" s="1"/>
  <c r="AJ3" i="42" a="1"/>
  <c r="AJ3" i="42" s="1"/>
  <c r="AJ4" i="42" a="1"/>
  <c r="AJ4" i="42" s="1"/>
  <c r="AJ5" i="42" a="1"/>
  <c r="AJ5" i="42" s="1"/>
  <c r="AJ6" i="42" a="1"/>
  <c r="AJ6" i="42" s="1"/>
  <c r="AJ7" i="42" a="1"/>
  <c r="AJ7" i="42" s="1"/>
  <c r="AJ8" i="42" a="1"/>
  <c r="AJ8" i="42" s="1"/>
  <c r="AJ9" i="42" a="1"/>
  <c r="AJ9" i="42" s="1"/>
  <c r="AJ10" i="42" a="1"/>
  <c r="AJ10" i="42" s="1"/>
  <c r="AJ11" i="42" a="1"/>
  <c r="AJ11" i="42" s="1"/>
  <c r="AJ12" i="42" a="1"/>
  <c r="AJ12" i="42" s="1"/>
  <c r="AJ13" i="42" a="1"/>
  <c r="AJ13" i="42" s="1"/>
  <c r="AJ14" i="42" a="1"/>
  <c r="AJ14" i="42" s="1"/>
  <c r="AJ15" i="42" a="1"/>
  <c r="AJ15" i="42" s="1"/>
  <c r="AJ16" i="42" a="1"/>
  <c r="AJ16" i="42" s="1"/>
  <c r="AJ17" i="42" a="1"/>
  <c r="AJ17" i="42" s="1"/>
  <c r="AJ18" i="42" a="1"/>
  <c r="AJ18" i="42" s="1"/>
  <c r="AJ19" i="42" a="1"/>
  <c r="AJ19" i="42" s="1"/>
  <c r="AJ20" i="42" a="1"/>
  <c r="AJ20" i="42" s="1"/>
  <c r="AJ21" i="42" a="1"/>
  <c r="AJ21" i="42" s="1"/>
  <c r="AI2" i="42" a="1"/>
  <c r="AI2" i="42" s="1"/>
  <c r="AI3" i="42" a="1"/>
  <c r="AI3" i="42" s="1"/>
  <c r="AI4" i="42" a="1"/>
  <c r="AI4" i="42" s="1"/>
  <c r="AI5" i="42" a="1"/>
  <c r="AI5" i="42"/>
  <c r="AI6" i="42" a="1"/>
  <c r="AI6" i="42" s="1"/>
  <c r="AI7" i="42" a="1"/>
  <c r="AI7" i="42" s="1"/>
  <c r="AI8" i="42" a="1"/>
  <c r="AI8" i="42" s="1"/>
  <c r="AI9" i="42" a="1"/>
  <c r="AI9" i="42"/>
  <c r="AI10" i="42" a="1"/>
  <c r="AI10" i="42" s="1"/>
  <c r="AI11" i="42" a="1"/>
  <c r="AI11" i="42" s="1"/>
  <c r="AI12" i="42" a="1"/>
  <c r="AI12" i="42" s="1"/>
  <c r="AI13" i="42" a="1"/>
  <c r="AI13" i="42" s="1"/>
  <c r="AI14" i="42" a="1"/>
  <c r="AI14" i="42" s="1"/>
  <c r="AI15" i="42" a="1"/>
  <c r="AI15" i="42" s="1"/>
  <c r="AI16" i="42" a="1"/>
  <c r="AI16" i="42" s="1"/>
  <c r="AI17" i="42" a="1"/>
  <c r="AI17" i="42" s="1"/>
  <c r="AI18" i="42" a="1"/>
  <c r="AI18" i="42" s="1"/>
  <c r="AI19" i="42" a="1"/>
  <c r="AI19" i="42" s="1"/>
  <c r="AI20" i="42" a="1"/>
  <c r="AI20" i="42" s="1"/>
  <c r="AI21" i="42" a="1"/>
  <c r="AI21" i="42" s="1"/>
  <c r="AH2" i="42" a="1"/>
  <c r="AH2" i="42" s="1"/>
  <c r="AH3" i="42" a="1"/>
  <c r="AH3" i="42" s="1"/>
  <c r="AH4" i="42" a="1"/>
  <c r="AH4" i="42" s="1"/>
  <c r="AH5" i="42" a="1"/>
  <c r="AH5" i="42"/>
  <c r="AH6" i="42" a="1"/>
  <c r="AH6" i="42" s="1"/>
  <c r="AH7" i="42" a="1"/>
  <c r="AH7" i="42" s="1"/>
  <c r="AH8" i="42" a="1"/>
  <c r="AH8" i="42" s="1"/>
  <c r="AH9" i="42" a="1"/>
  <c r="AH9" i="42"/>
  <c r="AH10" i="42" a="1"/>
  <c r="AH10" i="42" s="1"/>
  <c r="AH11" i="42" a="1"/>
  <c r="AH11" i="42" s="1"/>
  <c r="AH12" i="42" a="1"/>
  <c r="AH12" i="42" s="1"/>
  <c r="AH13" i="42" a="1"/>
  <c r="AH13" i="42" s="1"/>
  <c r="AH14" i="42" a="1"/>
  <c r="AH14" i="42" s="1"/>
  <c r="AH15" i="42" a="1"/>
  <c r="AH15" i="42" s="1"/>
  <c r="AH16" i="42" a="1"/>
  <c r="AH16" i="42" s="1"/>
  <c r="AH17" i="42" a="1"/>
  <c r="AH17" i="42" s="1"/>
  <c r="AH18" i="42" a="1"/>
  <c r="AH18" i="42" s="1"/>
  <c r="AH19" i="42" a="1"/>
  <c r="AH19" i="42" s="1"/>
  <c r="AH20" i="42" a="1"/>
  <c r="AH20" i="42" s="1"/>
  <c r="AH21" i="42" a="1"/>
  <c r="AH21" i="42" s="1"/>
  <c r="AG2" i="42" a="1"/>
  <c r="AG2" i="42" s="1"/>
  <c r="AG3" i="42" a="1"/>
  <c r="AG3" i="42" s="1"/>
  <c r="AG4" i="42" a="1"/>
  <c r="AG4" i="42" s="1"/>
  <c r="AG5" i="42" a="1"/>
  <c r="AG5" i="42"/>
  <c r="AG6" i="42" a="1"/>
  <c r="AG6" i="42" s="1"/>
  <c r="AG7" i="42" a="1"/>
  <c r="AG7" i="42" s="1"/>
  <c r="AG8" i="42" a="1"/>
  <c r="AG8" i="42" s="1"/>
  <c r="AG9" i="42" a="1"/>
  <c r="AG9" i="42"/>
  <c r="AG10" i="42" a="1"/>
  <c r="AG10" i="42" s="1"/>
  <c r="AG11" i="42" a="1"/>
  <c r="AG11" i="42" s="1"/>
  <c r="AG12" i="42" a="1"/>
  <c r="AG12" i="42" s="1"/>
  <c r="AG13" i="42" a="1"/>
  <c r="AG13" i="42"/>
  <c r="AG14" i="42" a="1"/>
  <c r="AG14" i="42" s="1"/>
  <c r="AG15" i="42" a="1"/>
  <c r="AG15" i="42" s="1"/>
  <c r="AG16" i="42" a="1"/>
  <c r="AG16" i="42" s="1"/>
  <c r="AG17" i="42" a="1"/>
  <c r="AG17" i="42" s="1"/>
  <c r="AG18" i="42" a="1"/>
  <c r="AG18" i="42" s="1"/>
  <c r="AG19" i="42" a="1"/>
  <c r="AG19" i="42" s="1"/>
  <c r="AG20" i="42" a="1"/>
  <c r="AG20" i="42" s="1"/>
  <c r="AG21" i="42" a="1"/>
  <c r="AG21" i="42" s="1"/>
  <c r="AF2" i="42" a="1"/>
  <c r="AF2" i="42" s="1"/>
  <c r="AF3" i="42" a="1"/>
  <c r="AF3" i="42" s="1"/>
  <c r="AF4" i="42" a="1"/>
  <c r="AF4" i="42" s="1"/>
  <c r="AF5" i="42" a="1"/>
  <c r="AF5" i="42" s="1"/>
  <c r="AF6" i="42" a="1"/>
  <c r="AF6" i="42" s="1"/>
  <c r="AF7" i="42" a="1"/>
  <c r="AF7" i="42" s="1"/>
  <c r="AF8" i="42" a="1"/>
  <c r="AF8" i="42" s="1"/>
  <c r="AF9" i="42" a="1"/>
  <c r="AF9" i="42" s="1"/>
  <c r="AF10" i="42" a="1"/>
  <c r="AF10" i="42" s="1"/>
  <c r="AF11" i="42" a="1"/>
  <c r="AF11" i="42" s="1"/>
  <c r="AF12" i="42" a="1"/>
  <c r="AF12" i="42" s="1"/>
  <c r="AF13" i="42" a="1"/>
  <c r="AF13" i="42" s="1"/>
  <c r="AF14" i="42" a="1"/>
  <c r="AF14" i="42" s="1"/>
  <c r="AF15" i="42" a="1"/>
  <c r="AF15" i="42" s="1"/>
  <c r="AF16" i="42" a="1"/>
  <c r="AF16" i="42" s="1"/>
  <c r="AF17" i="42" a="1"/>
  <c r="AF17" i="42" s="1"/>
  <c r="AF18" i="42" a="1"/>
  <c r="AF18" i="42" s="1"/>
  <c r="AF19" i="42" a="1"/>
  <c r="AF19" i="42" s="1"/>
  <c r="AF20" i="42" a="1"/>
  <c r="AF20" i="42" s="1"/>
  <c r="AF21" i="42" a="1"/>
  <c r="AF21" i="42" s="1"/>
  <c r="AE3" i="42" a="1"/>
  <c r="AE3" i="42" s="1"/>
  <c r="AE2" i="42" a="1"/>
  <c r="AE2" i="42" s="1"/>
  <c r="AE4" i="42" a="1"/>
  <c r="AE4" i="42" s="1"/>
  <c r="AE5" i="42" a="1"/>
  <c r="AE5" i="42"/>
  <c r="AE6" i="42" a="1"/>
  <c r="AE6" i="42" s="1"/>
  <c r="AE7" i="42" a="1"/>
  <c r="AE7" i="42" s="1"/>
  <c r="AE8" i="42" a="1"/>
  <c r="AE8" i="42" s="1"/>
  <c r="AE9" i="42" a="1"/>
  <c r="AE9" i="42"/>
  <c r="AE10" i="42" a="1"/>
  <c r="AE10" i="42" s="1"/>
  <c r="AE11" i="42" a="1"/>
  <c r="AE11" i="42" s="1"/>
  <c r="AE12" i="42" a="1"/>
  <c r="AE12" i="42" s="1"/>
  <c r="AE13" i="42" a="1"/>
  <c r="AE13" i="42"/>
  <c r="AE14" i="42" a="1"/>
  <c r="AE14" i="42" s="1"/>
  <c r="AE15" i="42" a="1"/>
  <c r="AE15" i="42" s="1"/>
  <c r="AE16" i="42" a="1"/>
  <c r="AE16" i="42" s="1"/>
  <c r="AE17" i="42" a="1"/>
  <c r="AE17" i="42" s="1"/>
  <c r="AE18" i="42" a="1"/>
  <c r="AE18" i="42" s="1"/>
  <c r="AE19" i="42" a="1"/>
  <c r="AE19" i="42" s="1"/>
  <c r="AE20" i="42" a="1"/>
  <c r="AE20" i="42" s="1"/>
  <c r="AE21" i="42" a="1"/>
  <c r="AE21" i="42" s="1"/>
  <c r="AD2" i="42" a="1"/>
  <c r="AD2" i="42" s="1"/>
  <c r="AD3" i="42" a="1"/>
  <c r="AD3" i="42" s="1"/>
  <c r="AD4" i="42" a="1"/>
  <c r="AD4" i="42" s="1"/>
  <c r="AD5" i="42" a="1"/>
  <c r="AD5" i="42"/>
  <c r="AD6" i="42" a="1"/>
  <c r="AD6" i="42" s="1"/>
  <c r="AD7" i="42" a="1"/>
  <c r="AD7" i="42" s="1"/>
  <c r="AD8" i="42" a="1"/>
  <c r="AD8" i="42" s="1"/>
  <c r="AD9" i="42" a="1"/>
  <c r="AD9" i="42"/>
  <c r="AD10" i="42" a="1"/>
  <c r="AD10" i="42" s="1"/>
  <c r="AD11" i="42" a="1"/>
  <c r="AD11" i="42" s="1"/>
  <c r="AD12" i="42" a="1"/>
  <c r="AD12" i="42" s="1"/>
  <c r="AD13" i="42" a="1"/>
  <c r="AD13" i="42"/>
  <c r="AD14" i="42" a="1"/>
  <c r="AD14" i="42" s="1"/>
  <c r="AD15" i="42" a="1"/>
  <c r="AD15" i="42" s="1"/>
  <c r="AD16" i="42" a="1"/>
  <c r="AD16" i="42" s="1"/>
  <c r="AD17" i="42" a="1"/>
  <c r="AD17" i="42" s="1"/>
  <c r="AD18" i="42" a="1"/>
  <c r="AD18" i="42" s="1"/>
  <c r="AD19" i="42" a="1"/>
  <c r="AD19" i="42" s="1"/>
  <c r="AD20" i="42" a="1"/>
  <c r="AD20" i="42" s="1"/>
  <c r="AD21" i="42" a="1"/>
  <c r="AD21" i="42" s="1"/>
  <c r="AC2" i="42" a="1"/>
  <c r="AC2" i="42" s="1"/>
  <c r="AC3" i="42" a="1"/>
  <c r="AC3" i="42" s="1"/>
  <c r="AC4" i="42" a="1"/>
  <c r="AC4" i="42" s="1"/>
  <c r="AC5" i="42" a="1"/>
  <c r="AC5" i="42"/>
  <c r="AC6" i="42" a="1"/>
  <c r="AC6" i="42" s="1"/>
  <c r="AC7" i="42" a="1"/>
  <c r="AC7" i="42" s="1"/>
  <c r="AC8" i="42" a="1"/>
  <c r="AC8" i="42" s="1"/>
  <c r="AC9" i="42" a="1"/>
  <c r="AC9" i="42"/>
  <c r="AC10" i="42" a="1"/>
  <c r="AC10" i="42" s="1"/>
  <c r="AC11" i="42" a="1"/>
  <c r="AC11" i="42" s="1"/>
  <c r="AC12" i="42" a="1"/>
  <c r="AC12" i="42" s="1"/>
  <c r="AC13" i="42" a="1"/>
  <c r="AC13" i="42" s="1"/>
  <c r="AC14" i="42" a="1"/>
  <c r="AC14" i="42" s="1"/>
  <c r="AC15" i="42" a="1"/>
  <c r="AC15" i="42" s="1"/>
  <c r="AC16" i="42" a="1"/>
  <c r="AC16" i="42" s="1"/>
  <c r="AC17" i="42" a="1"/>
  <c r="AC17" i="42" s="1"/>
  <c r="AC18" i="42" a="1"/>
  <c r="AC18" i="42" s="1"/>
  <c r="AC19" i="42" a="1"/>
  <c r="AC19" i="42" s="1"/>
  <c r="AC20" i="42" a="1"/>
  <c r="AC20" i="42" s="1"/>
  <c r="AC21" i="42" a="1"/>
  <c r="AC21" i="42" s="1"/>
  <c r="AB2" i="42" a="1"/>
  <c r="AB2" i="42" s="1"/>
  <c r="AB3" i="42" a="1"/>
  <c r="AB3" i="42" s="1"/>
  <c r="AB4" i="42" a="1"/>
  <c r="AB4" i="42" s="1"/>
  <c r="AB5" i="42" a="1"/>
  <c r="AB5" i="42"/>
  <c r="AB6" i="42" a="1"/>
  <c r="AB6" i="42" s="1"/>
  <c r="AB7" i="42" a="1"/>
  <c r="AB7" i="42" s="1"/>
  <c r="AB8" i="42" a="1"/>
  <c r="AB8" i="42" s="1"/>
  <c r="AB9" i="42" a="1"/>
  <c r="AB9" i="42"/>
  <c r="AB10" i="42" a="1"/>
  <c r="AB10" i="42" s="1"/>
  <c r="AB11" i="42" a="1"/>
  <c r="AB11" i="42" s="1"/>
  <c r="AB12" i="42" a="1"/>
  <c r="AB12" i="42" s="1"/>
  <c r="AB13" i="42" a="1"/>
  <c r="AB13" i="42" s="1"/>
  <c r="AB14" i="42" a="1"/>
  <c r="AB14" i="42" s="1"/>
  <c r="AB15" i="42" a="1"/>
  <c r="AB15" i="42" s="1"/>
  <c r="AB16" i="42" a="1"/>
  <c r="AB16" i="42" s="1"/>
  <c r="AB17" i="42" a="1"/>
  <c r="AB17" i="42" s="1"/>
  <c r="AB18" i="42" a="1"/>
  <c r="AB18" i="42" s="1"/>
  <c r="AB19" i="42" a="1"/>
  <c r="AB19" i="42" s="1"/>
  <c r="AB20" i="42" a="1"/>
  <c r="AB20" i="42" s="1"/>
  <c r="AB21" i="42" a="1"/>
  <c r="AB21" i="42" s="1"/>
  <c r="AA2" i="42" a="1"/>
  <c r="AA2" i="42" s="1"/>
  <c r="AA3" i="42" a="1"/>
  <c r="AA3" i="42" s="1"/>
  <c r="AA4" i="42" a="1"/>
  <c r="AA4" i="42" s="1"/>
  <c r="AA5" i="42" a="1"/>
  <c r="AA5" i="42" s="1"/>
  <c r="AA6" i="42" a="1"/>
  <c r="AA6" i="42" s="1"/>
  <c r="AA7" i="42" a="1"/>
  <c r="AA7" i="42" s="1"/>
  <c r="AA8" i="42" a="1"/>
  <c r="AA8" i="42" s="1"/>
  <c r="AA9" i="42" a="1"/>
  <c r="AA9" i="42" s="1"/>
  <c r="AA10" i="42" a="1"/>
  <c r="AA10" i="42" s="1"/>
  <c r="AA11" i="42" a="1"/>
  <c r="AA11" i="42" s="1"/>
  <c r="AA12" i="42" a="1"/>
  <c r="AA12" i="42" s="1"/>
  <c r="AA13" i="42" a="1"/>
  <c r="AA13" i="42" s="1"/>
  <c r="AA14" i="42" a="1"/>
  <c r="AA14" i="42" s="1"/>
  <c r="AA15" i="42" a="1"/>
  <c r="AA15" i="42" s="1"/>
  <c r="AA16" i="42" a="1"/>
  <c r="AA16" i="42" s="1"/>
  <c r="AA17" i="42" a="1"/>
  <c r="AA17" i="42" s="1"/>
  <c r="AA18" i="42" a="1"/>
  <c r="AA18" i="42" s="1"/>
  <c r="AA19" i="42" a="1"/>
  <c r="AA19" i="42" s="1"/>
  <c r="AA20" i="42" a="1"/>
  <c r="AA20" i="42" s="1"/>
  <c r="AA21" i="42" a="1"/>
  <c r="AA21" i="42" s="1"/>
  <c r="Z2" i="42" a="1"/>
  <c r="Z2" i="42" s="1"/>
  <c r="Z3" i="42" a="1"/>
  <c r="Z3" i="42" s="1"/>
  <c r="Z4" i="42" a="1"/>
  <c r="Z4" i="42" s="1"/>
  <c r="Z5" i="42" a="1"/>
  <c r="Z5" i="42"/>
  <c r="Z6" i="42" a="1"/>
  <c r="Z6" i="42" s="1"/>
  <c r="Z7" i="42" a="1"/>
  <c r="Z7" i="42" s="1"/>
  <c r="Z8" i="42" a="1"/>
  <c r="Z8" i="42" s="1"/>
  <c r="Z9" i="42" a="1"/>
  <c r="Z9" i="42"/>
  <c r="Z10" i="42" a="1"/>
  <c r="Z10" i="42" s="1"/>
  <c r="Z11" i="42" a="1"/>
  <c r="Z11" i="42" s="1"/>
  <c r="Z12" i="42" a="1"/>
  <c r="Z12" i="42" s="1"/>
  <c r="Z13" i="42" a="1"/>
  <c r="Z13" i="42"/>
  <c r="Z14" i="42" a="1"/>
  <c r="Z14" i="42" s="1"/>
  <c r="Z15" i="42" a="1"/>
  <c r="Z15" i="42" s="1"/>
  <c r="Z16" i="42" a="1"/>
  <c r="Z16" i="42" s="1"/>
  <c r="Z17" i="42" a="1"/>
  <c r="Z17" i="42"/>
  <c r="Z18" i="42" a="1"/>
  <c r="Z18" i="42" s="1"/>
  <c r="Z19" i="42" a="1"/>
  <c r="Z19" i="42" s="1"/>
  <c r="Z20" i="42" a="1"/>
  <c r="Z20" i="42" s="1"/>
  <c r="Z21" i="42" a="1"/>
  <c r="Z21" i="42" s="1"/>
  <c r="Y2" i="42" a="1"/>
  <c r="Y2" i="42" s="1"/>
  <c r="Y3" i="42" a="1"/>
  <c r="Y3" i="42" s="1"/>
  <c r="Y4" i="42" a="1"/>
  <c r="Y4" i="42" s="1"/>
  <c r="Y5" i="42" a="1"/>
  <c r="Y5" i="42"/>
  <c r="Y6" i="42" a="1"/>
  <c r="Y6" i="42" s="1"/>
  <c r="Y7" i="42" a="1"/>
  <c r="Y7" i="42" s="1"/>
  <c r="Y8" i="42" a="1"/>
  <c r="Y8" i="42" s="1"/>
  <c r="Y9" i="42" a="1"/>
  <c r="Y9" i="42"/>
  <c r="Y10" i="42" a="1"/>
  <c r="Y10" i="42" s="1"/>
  <c r="Y11" i="42" a="1"/>
  <c r="Y11" i="42" s="1"/>
  <c r="Y12" i="42" a="1"/>
  <c r="Y12" i="42" s="1"/>
  <c r="Y13" i="42" a="1"/>
  <c r="Y13" i="42"/>
  <c r="Y14" i="42" a="1"/>
  <c r="Y14" i="42" s="1"/>
  <c r="Y15" i="42" a="1"/>
  <c r="Y15" i="42" s="1"/>
  <c r="Y16" i="42" a="1"/>
  <c r="Y16" i="42" s="1"/>
  <c r="Y17" i="42" a="1"/>
  <c r="Y17" i="42" s="1"/>
  <c r="Y18" i="42" a="1"/>
  <c r="Y18" i="42" s="1"/>
  <c r="Y19" i="42" a="1"/>
  <c r="Y19" i="42" s="1"/>
  <c r="Y20" i="42" a="1"/>
  <c r="Y20" i="42" s="1"/>
  <c r="Y21" i="42" a="1"/>
  <c r="Y21" i="42" s="1"/>
  <c r="X2" i="42" a="1"/>
  <c r="X2" i="42" s="1"/>
  <c r="X3" i="42" a="1"/>
  <c r="X3" i="42" s="1"/>
  <c r="X4" i="42" a="1"/>
  <c r="X4" i="42" s="1"/>
  <c r="X5" i="42" a="1"/>
  <c r="X5" i="42" s="1"/>
  <c r="X6" i="42" a="1"/>
  <c r="X6" i="42" s="1"/>
  <c r="X7" i="42" a="1"/>
  <c r="X7" i="42" s="1"/>
  <c r="X8" i="42" a="1"/>
  <c r="X8" i="42" s="1"/>
  <c r="X9" i="42" a="1"/>
  <c r="X9" i="42" s="1"/>
  <c r="X10" i="42" a="1"/>
  <c r="X10" i="42" s="1"/>
  <c r="X11" i="42" a="1"/>
  <c r="X11" i="42" s="1"/>
  <c r="X12" i="42" a="1"/>
  <c r="X12" i="42" s="1"/>
  <c r="X13" i="42" a="1"/>
  <c r="X13" i="42" s="1"/>
  <c r="X14" i="42" a="1"/>
  <c r="X14" i="42" s="1"/>
  <c r="X15" i="42" a="1"/>
  <c r="X15" i="42" s="1"/>
  <c r="X16" i="42" a="1"/>
  <c r="X16" i="42" s="1"/>
  <c r="X17" i="42" a="1"/>
  <c r="X17" i="42" s="1"/>
  <c r="X18" i="42" a="1"/>
  <c r="X18" i="42" s="1"/>
  <c r="X19" i="42" a="1"/>
  <c r="X19" i="42" s="1"/>
  <c r="X20" i="42" a="1"/>
  <c r="X20" i="42" s="1"/>
  <c r="X21" i="42" a="1"/>
  <c r="X21" i="42" s="1"/>
  <c r="W2" i="42" a="1"/>
  <c r="W2" i="42" s="1"/>
  <c r="W3" i="42" a="1"/>
  <c r="W3" i="42" s="1"/>
  <c r="W4" i="42" a="1"/>
  <c r="W4" i="42" s="1"/>
  <c r="W5" i="42" a="1"/>
  <c r="W5" i="42" s="1"/>
  <c r="W6" i="42" a="1"/>
  <c r="W6" i="42" s="1"/>
  <c r="W7" i="42" a="1"/>
  <c r="W7" i="42" s="1"/>
  <c r="W8" i="42" a="1"/>
  <c r="W8" i="42" s="1"/>
  <c r="W9" i="42" a="1"/>
  <c r="W9" i="42" s="1"/>
  <c r="W10" i="42" a="1"/>
  <c r="W10" i="42" s="1"/>
  <c r="W11" i="42" a="1"/>
  <c r="W11" i="42" s="1"/>
  <c r="W12" i="42" a="1"/>
  <c r="W12" i="42" s="1"/>
  <c r="W13" i="42" a="1"/>
  <c r="W13" i="42" s="1"/>
  <c r="W14" i="42" a="1"/>
  <c r="W14" i="42" s="1"/>
  <c r="W15" i="42" a="1"/>
  <c r="W15" i="42" s="1"/>
  <c r="W16" i="42" a="1"/>
  <c r="W16" i="42" s="1"/>
  <c r="W17" i="42" a="1"/>
  <c r="W17" i="42" s="1"/>
  <c r="W18" i="42" a="1"/>
  <c r="W18" i="42" s="1"/>
  <c r="W19" i="42" a="1"/>
  <c r="W19" i="42" s="1"/>
  <c r="W20" i="42" a="1"/>
  <c r="W20" i="42" s="1"/>
  <c r="W21" i="42" a="1"/>
  <c r="W21" i="42" s="1"/>
  <c r="V2" i="42" a="1"/>
  <c r="V2" i="42"/>
  <c r="V3" i="42" a="1"/>
  <c r="V3" i="42" s="1"/>
  <c r="V4" i="42" a="1"/>
  <c r="V4" i="42" s="1"/>
  <c r="V5" i="42" a="1"/>
  <c r="V5" i="42" s="1"/>
  <c r="V6" i="42" a="1"/>
  <c r="V6" i="42"/>
  <c r="V7" i="42" a="1"/>
  <c r="V7" i="42" s="1"/>
  <c r="V8" i="42" a="1"/>
  <c r="V8" i="42" s="1"/>
  <c r="V9" i="42" a="1"/>
  <c r="V9" i="42" s="1"/>
  <c r="V10" i="42" a="1"/>
  <c r="V10" i="42" s="1"/>
  <c r="V11" i="42" a="1"/>
  <c r="V11" i="42" s="1"/>
  <c r="V12" i="42" a="1"/>
  <c r="V12" i="42" s="1"/>
  <c r="V13" i="42" a="1"/>
  <c r="V13" i="42" s="1"/>
  <c r="V14" i="42" a="1"/>
  <c r="V14" i="42" s="1"/>
  <c r="V15" i="42" a="1"/>
  <c r="V15" i="42" s="1"/>
  <c r="V16" i="42" a="1"/>
  <c r="V16" i="42" s="1"/>
  <c r="V17" i="42" a="1"/>
  <c r="V17" i="42" s="1"/>
  <c r="V18" i="42" a="1"/>
  <c r="V18" i="42" s="1"/>
  <c r="V19" i="42" a="1"/>
  <c r="V19" i="42" s="1"/>
  <c r="V20" i="42" a="1"/>
  <c r="V20" i="42" s="1"/>
  <c r="V21" i="42" a="1"/>
  <c r="V21" i="42" s="1"/>
  <c r="U2" i="42" a="1"/>
  <c r="U2" i="42" s="1"/>
  <c r="U3" i="42" a="1"/>
  <c r="U3" i="42" s="1"/>
  <c r="U4" i="42" a="1"/>
  <c r="U4" i="42" s="1"/>
  <c r="U5" i="42" a="1"/>
  <c r="U5" i="42"/>
  <c r="U6" i="42" a="1"/>
  <c r="U6" i="42" s="1"/>
  <c r="U7" i="42" a="1"/>
  <c r="U7" i="42" s="1"/>
  <c r="U8" i="42" a="1"/>
  <c r="U8" i="42" s="1"/>
  <c r="U9" i="42" a="1"/>
  <c r="U9" i="42"/>
  <c r="U10" i="42" a="1"/>
  <c r="U10" i="42" s="1"/>
  <c r="U11" i="42" a="1"/>
  <c r="U11" i="42" s="1"/>
  <c r="U12" i="42" a="1"/>
  <c r="U12" i="42" s="1"/>
  <c r="U13" i="42" a="1"/>
  <c r="U13" i="42" s="1"/>
  <c r="U14" i="42" a="1"/>
  <c r="U14" i="42" s="1"/>
  <c r="U15" i="42" a="1"/>
  <c r="U15" i="42" s="1"/>
  <c r="U16" i="42" a="1"/>
  <c r="U16" i="42" s="1"/>
  <c r="U17" i="42" a="1"/>
  <c r="U17" i="42" s="1"/>
  <c r="U18" i="42" a="1"/>
  <c r="U18" i="42" s="1"/>
  <c r="U19" i="42" a="1"/>
  <c r="U19" i="42" s="1"/>
  <c r="U20" i="42" a="1"/>
  <c r="U20" i="42" s="1"/>
  <c r="U21" i="42" a="1"/>
  <c r="U21" i="42" s="1"/>
  <c r="T2" i="42" a="1"/>
  <c r="T2" i="42" s="1"/>
  <c r="T3" i="42" a="1"/>
  <c r="T3" i="42" s="1"/>
  <c r="T4" i="42" a="1"/>
  <c r="T4" i="42" s="1"/>
  <c r="T5" i="42" a="1"/>
  <c r="T5" i="42" s="1"/>
  <c r="T6" i="42" a="1"/>
  <c r="T6" i="42" s="1"/>
  <c r="T7" i="42" a="1"/>
  <c r="T7" i="42" s="1"/>
  <c r="T8" i="42" a="1"/>
  <c r="T8" i="42" s="1"/>
  <c r="T9" i="42" a="1"/>
  <c r="T9" i="42" s="1"/>
  <c r="T10" i="42" a="1"/>
  <c r="T10" i="42" s="1"/>
  <c r="T11" i="42" a="1"/>
  <c r="T11" i="42" s="1"/>
  <c r="T12" i="42" a="1"/>
  <c r="T12" i="42" s="1"/>
  <c r="T13" i="42" a="1"/>
  <c r="T13" i="42" s="1"/>
  <c r="T14" i="42" a="1"/>
  <c r="T14" i="42" s="1"/>
  <c r="T15" i="42" a="1"/>
  <c r="T15" i="42" s="1"/>
  <c r="T16" i="42" a="1"/>
  <c r="T16" i="42" s="1"/>
  <c r="T17" i="42" a="1"/>
  <c r="T17" i="42" s="1"/>
  <c r="T18" i="42" a="1"/>
  <c r="T18" i="42" s="1"/>
  <c r="T19" i="42" a="1"/>
  <c r="T19" i="42" s="1"/>
  <c r="T20" i="42" a="1"/>
  <c r="T20" i="42" s="1"/>
  <c r="T21" i="42" a="1"/>
  <c r="T21" i="42" s="1"/>
  <c r="S2" i="42" a="1"/>
  <c r="S2" i="42" s="1"/>
  <c r="S3" i="42" a="1"/>
  <c r="S3" i="42"/>
  <c r="S4" i="42" a="1"/>
  <c r="S4" i="42" s="1"/>
  <c r="S5" i="42" a="1"/>
  <c r="S5" i="42" s="1"/>
  <c r="S6" i="42" a="1"/>
  <c r="S6" i="42" s="1"/>
  <c r="S7" i="42" a="1"/>
  <c r="S7" i="42"/>
  <c r="S8" i="42" a="1"/>
  <c r="S8" i="42" s="1"/>
  <c r="S9" i="42" a="1"/>
  <c r="S9" i="42" s="1"/>
  <c r="S10" i="42" a="1"/>
  <c r="S10" i="42" s="1"/>
  <c r="S11" i="42" a="1"/>
  <c r="S11" i="42"/>
  <c r="S12" i="42" a="1"/>
  <c r="S12" i="42" s="1"/>
  <c r="S13" i="42" a="1"/>
  <c r="S13" i="42" s="1"/>
  <c r="S14" i="42" a="1"/>
  <c r="S14" i="42" s="1"/>
  <c r="S15" i="42" a="1"/>
  <c r="S15" i="42" s="1"/>
  <c r="S16" i="42" a="1"/>
  <c r="S16" i="42" s="1"/>
  <c r="S17" i="42" a="1"/>
  <c r="S17" i="42" s="1"/>
  <c r="S18" i="42" a="1"/>
  <c r="S18" i="42" s="1"/>
  <c r="S19" i="42" a="1"/>
  <c r="S19" i="42" s="1"/>
  <c r="S20" i="42" a="1"/>
  <c r="S20" i="42" s="1"/>
  <c r="S21" i="42" a="1"/>
  <c r="S21" i="42" s="1"/>
  <c r="R2" i="42" a="1"/>
  <c r="R2" i="42" s="1"/>
  <c r="R3" i="42" a="1"/>
  <c r="R3" i="42" s="1"/>
  <c r="R4" i="42" a="1"/>
  <c r="R4" i="42" s="1"/>
  <c r="R5" i="42" a="1"/>
  <c r="R5" i="42" s="1"/>
  <c r="R6" i="42" a="1"/>
  <c r="R6" i="42" s="1"/>
  <c r="R7" i="42" a="1"/>
  <c r="R7" i="42" s="1"/>
  <c r="R8" i="42" a="1"/>
  <c r="R8" i="42" s="1"/>
  <c r="R9" i="42" a="1"/>
  <c r="R9" i="42" s="1"/>
  <c r="R10" i="42" a="1"/>
  <c r="R10" i="42" s="1"/>
  <c r="R11" i="42" a="1"/>
  <c r="R11" i="42" s="1"/>
  <c r="R12" i="42" a="1"/>
  <c r="R12" i="42" s="1"/>
  <c r="R13" i="42" a="1"/>
  <c r="R13" i="42" s="1"/>
  <c r="R14" i="42" a="1"/>
  <c r="R14" i="42" s="1"/>
  <c r="R15" i="42" a="1"/>
  <c r="R15" i="42" s="1"/>
  <c r="R16" i="42" a="1"/>
  <c r="R16" i="42" s="1"/>
  <c r="R17" i="42" a="1"/>
  <c r="R17" i="42" s="1"/>
  <c r="R18" i="42" a="1"/>
  <c r="R18" i="42" s="1"/>
  <c r="R19" i="42" a="1"/>
  <c r="R19" i="42" s="1"/>
  <c r="R20" i="42" a="1"/>
  <c r="R20" i="42" s="1"/>
  <c r="R21" i="42" a="1"/>
  <c r="R21" i="42" s="1"/>
  <c r="Q2" i="42" a="1"/>
  <c r="Q2" i="42" s="1"/>
  <c r="Q3" i="42" a="1"/>
  <c r="Q3" i="42" s="1"/>
  <c r="Q4" i="42" a="1"/>
  <c r="Q4" i="42" s="1"/>
  <c r="Q5" i="42" a="1"/>
  <c r="Q5" i="42"/>
  <c r="Q6" i="42" a="1"/>
  <c r="Q6" i="42" s="1"/>
  <c r="Q7" i="42" a="1"/>
  <c r="Q7" i="42" s="1"/>
  <c r="Q8" i="42" a="1"/>
  <c r="Q8" i="42" s="1"/>
  <c r="Q9" i="42" a="1"/>
  <c r="Q9" i="42"/>
  <c r="Q10" i="42" a="1"/>
  <c r="Q10" i="42" s="1"/>
  <c r="Q11" i="42" a="1"/>
  <c r="Q11" i="42" s="1"/>
  <c r="Q12" i="42" a="1"/>
  <c r="Q12" i="42" s="1"/>
  <c r="Q13" i="42" a="1"/>
  <c r="Q13" i="42"/>
  <c r="Q14" i="42" a="1"/>
  <c r="Q14" i="42" s="1"/>
  <c r="Q15" i="42" a="1"/>
  <c r="Q15" i="42" s="1"/>
  <c r="Q16" i="42" a="1"/>
  <c r="Q16" i="42" s="1"/>
  <c r="Q17" i="42" a="1"/>
  <c r="Q17" i="42" s="1"/>
  <c r="Q18" i="42" a="1"/>
  <c r="Q18" i="42" s="1"/>
  <c r="Q19" i="42" a="1"/>
  <c r="Q19" i="42" s="1"/>
  <c r="Q20" i="42" a="1"/>
  <c r="Q20" i="42" s="1"/>
  <c r="Q21" i="42" a="1"/>
  <c r="Q21" i="42" s="1"/>
  <c r="P2" i="42" a="1"/>
  <c r="P2" i="42" s="1"/>
  <c r="P3" i="42" a="1"/>
  <c r="P3" i="42" s="1"/>
  <c r="P4" i="42" a="1"/>
  <c r="P4" i="42" s="1"/>
  <c r="P5" i="42" a="1"/>
  <c r="P5" i="42" s="1"/>
  <c r="P6" i="42" a="1"/>
  <c r="P6" i="42" s="1"/>
  <c r="P7" i="42" a="1"/>
  <c r="P7" i="42" s="1"/>
  <c r="P8" i="42" a="1"/>
  <c r="P8" i="42" s="1"/>
  <c r="P9" i="42" a="1"/>
  <c r="P9" i="42" s="1"/>
  <c r="P10" i="42" a="1"/>
  <c r="P10" i="42" s="1"/>
  <c r="P11" i="42" a="1"/>
  <c r="P11" i="42" s="1"/>
  <c r="P12" i="42" a="1"/>
  <c r="P12" i="42" s="1"/>
  <c r="P13" i="42" a="1"/>
  <c r="P13" i="42" s="1"/>
  <c r="P14" i="42" a="1"/>
  <c r="P14" i="42" s="1"/>
  <c r="P15" i="42" a="1"/>
  <c r="P15" i="42" s="1"/>
  <c r="P16" i="42" a="1"/>
  <c r="P16" i="42" s="1"/>
  <c r="P17" i="42" a="1"/>
  <c r="P17" i="42" s="1"/>
  <c r="P18" i="42" a="1"/>
  <c r="P18" i="42" s="1"/>
  <c r="P19" i="42" a="1"/>
  <c r="P19" i="42" s="1"/>
  <c r="P20" i="42" a="1"/>
  <c r="P20" i="42" s="1"/>
  <c r="P21" i="42" a="1"/>
  <c r="P21" i="42" s="1"/>
  <c r="O2" i="42" a="1"/>
  <c r="O2" i="42" s="1"/>
  <c r="O3" i="42" a="1"/>
  <c r="O3" i="42" s="1"/>
  <c r="O4" i="42" a="1"/>
  <c r="O4" i="42" s="1"/>
  <c r="O5" i="42" a="1"/>
  <c r="O5" i="42" s="1"/>
  <c r="O6" i="42" a="1"/>
  <c r="O6" i="42" s="1"/>
  <c r="O7" i="42" a="1"/>
  <c r="O7" i="42" s="1"/>
  <c r="O8" i="42" a="1"/>
  <c r="O8" i="42" s="1"/>
  <c r="O9" i="42" a="1"/>
  <c r="O9" i="42" s="1"/>
  <c r="O10" i="42" a="1"/>
  <c r="O10" i="42" s="1"/>
  <c r="O11" i="42" a="1"/>
  <c r="O11" i="42" s="1"/>
  <c r="O12" i="42" a="1"/>
  <c r="O12" i="42" s="1"/>
  <c r="O13" i="42" a="1"/>
  <c r="O13" i="42" s="1"/>
  <c r="O14" i="42" a="1"/>
  <c r="O14" i="42" s="1"/>
  <c r="O15" i="42" a="1"/>
  <c r="O15" i="42" s="1"/>
  <c r="O16" i="42" a="1"/>
  <c r="O16" i="42" s="1"/>
  <c r="O17" i="42" a="1"/>
  <c r="O17" i="42" s="1"/>
  <c r="O18" i="42" a="1"/>
  <c r="O18" i="42" s="1"/>
  <c r="O19" i="42" a="1"/>
  <c r="O19" i="42" s="1"/>
  <c r="O20" i="42" a="1"/>
  <c r="O20" i="42" s="1"/>
  <c r="O21" i="42" a="1"/>
  <c r="O21" i="42" s="1"/>
  <c r="N2" i="42" a="1"/>
  <c r="N2" i="42" s="1"/>
  <c r="N3" i="42" a="1"/>
  <c r="N3" i="42" s="1"/>
  <c r="N4" i="42" a="1"/>
  <c r="N4" i="42" s="1"/>
  <c r="N5" i="42" a="1"/>
  <c r="N5" i="42" s="1"/>
  <c r="N6" i="42" a="1"/>
  <c r="N6" i="42" s="1"/>
  <c r="N7" i="42" a="1"/>
  <c r="N7" i="42" s="1"/>
  <c r="N8" i="42" a="1"/>
  <c r="N8" i="42" s="1"/>
  <c r="N9" i="42" a="1"/>
  <c r="N9" i="42" s="1"/>
  <c r="N10" i="42" a="1"/>
  <c r="N10" i="42" s="1"/>
  <c r="N11" i="42" a="1"/>
  <c r="N11" i="42" s="1"/>
  <c r="N12" i="42" a="1"/>
  <c r="N12" i="42" s="1"/>
  <c r="N13" i="42" a="1"/>
  <c r="N13" i="42" s="1"/>
  <c r="N14" i="42" a="1"/>
  <c r="N14" i="42" s="1"/>
  <c r="N15" i="42" a="1"/>
  <c r="N15" i="42" s="1"/>
  <c r="N16" i="42" a="1"/>
  <c r="N16" i="42" s="1"/>
  <c r="N17" i="42" a="1"/>
  <c r="N17" i="42" s="1"/>
  <c r="N18" i="42" a="1"/>
  <c r="N18" i="42" s="1"/>
  <c r="N19" i="42" a="1"/>
  <c r="N19" i="42" s="1"/>
  <c r="N20" i="42" a="1"/>
  <c r="N20" i="42" s="1"/>
  <c r="N21" i="42" a="1"/>
  <c r="N21" i="42" s="1"/>
  <c r="M2" i="42" a="1"/>
  <c r="M2" i="42" s="1"/>
  <c r="M3" i="42" a="1"/>
  <c r="M3" i="42" s="1"/>
  <c r="M4" i="42" a="1"/>
  <c r="M4" i="42" s="1"/>
  <c r="M5" i="42" a="1"/>
  <c r="M5" i="42"/>
  <c r="M6" i="42" a="1"/>
  <c r="M6" i="42" s="1"/>
  <c r="M7" i="42" a="1"/>
  <c r="M7" i="42" s="1"/>
  <c r="M8" i="42" a="1"/>
  <c r="M8" i="42" s="1"/>
  <c r="M9" i="42" a="1"/>
  <c r="M9" i="42" s="1"/>
  <c r="M10" i="42" a="1"/>
  <c r="M10" i="42" s="1"/>
  <c r="M11" i="42" a="1"/>
  <c r="M11" i="42" s="1"/>
  <c r="M12" i="42" a="1"/>
  <c r="M12" i="42" s="1"/>
  <c r="M13" i="42" a="1"/>
  <c r="M13" i="42" s="1"/>
  <c r="M14" i="42" a="1"/>
  <c r="M14" i="42" s="1"/>
  <c r="M15" i="42" a="1"/>
  <c r="M15" i="42" s="1"/>
  <c r="M16" i="42" a="1"/>
  <c r="M16" i="42" s="1"/>
  <c r="M17" i="42" a="1"/>
  <c r="M17" i="42" s="1"/>
  <c r="M18" i="42" a="1"/>
  <c r="M18" i="42" s="1"/>
  <c r="M19" i="42" a="1"/>
  <c r="M19" i="42" s="1"/>
  <c r="M20" i="42" a="1"/>
  <c r="M20" i="42" s="1"/>
  <c r="M21" i="42" a="1"/>
  <c r="M21" i="42" s="1"/>
  <c r="L2" i="42" a="1"/>
  <c r="L2" i="42" s="1"/>
  <c r="L3" i="42" a="1"/>
  <c r="L3" i="42" s="1"/>
  <c r="L4" i="42" a="1"/>
  <c r="L4" i="42" s="1"/>
  <c r="L5" i="42" a="1"/>
  <c r="L5" i="42"/>
  <c r="L6" i="42" a="1"/>
  <c r="L6" i="42" s="1"/>
  <c r="L7" i="42" a="1"/>
  <c r="L7" i="42" s="1"/>
  <c r="L8" i="42" a="1"/>
  <c r="L8" i="42" s="1"/>
  <c r="L9" i="42" a="1"/>
  <c r="L9" i="42"/>
  <c r="L10" i="42" a="1"/>
  <c r="L10" i="42" s="1"/>
  <c r="L11" i="42" a="1"/>
  <c r="L11" i="42" s="1"/>
  <c r="L12" i="42" a="1"/>
  <c r="L12" i="42" s="1"/>
  <c r="L13" i="42" a="1"/>
  <c r="L13" i="42" s="1"/>
  <c r="L14" i="42" a="1"/>
  <c r="L14" i="42" s="1"/>
  <c r="L15" i="42" a="1"/>
  <c r="L15" i="42" s="1"/>
  <c r="L16" i="42" a="1"/>
  <c r="L16" i="42" s="1"/>
  <c r="L17" i="42" a="1"/>
  <c r="L17" i="42" s="1"/>
  <c r="L18" i="42" a="1"/>
  <c r="L18" i="42" s="1"/>
  <c r="L19" i="42" a="1"/>
  <c r="L19" i="42" s="1"/>
  <c r="L20" i="42" a="1"/>
  <c r="L20" i="42" s="1"/>
  <c r="L21" i="42" a="1"/>
  <c r="L21" i="42" s="1"/>
  <c r="K2" i="42" a="1"/>
  <c r="K2" i="42" s="1"/>
  <c r="K3" i="42" a="1"/>
  <c r="K3" i="42"/>
  <c r="K4" i="42" a="1"/>
  <c r="K4" i="42" s="1"/>
  <c r="K5" i="42" a="1"/>
  <c r="K5" i="42" s="1"/>
  <c r="K6" i="42" a="1"/>
  <c r="K6" i="42" s="1"/>
  <c r="K7" i="42" a="1"/>
  <c r="K7" i="42"/>
  <c r="K8" i="42" a="1"/>
  <c r="K8" i="42" s="1"/>
  <c r="K9" i="42" a="1"/>
  <c r="K9" i="42" s="1"/>
  <c r="K10" i="42" a="1"/>
  <c r="K10" i="42" s="1"/>
  <c r="K11" i="42" a="1"/>
  <c r="K11" i="42"/>
  <c r="K12" i="42" a="1"/>
  <c r="K12" i="42" s="1"/>
  <c r="K13" i="42" a="1"/>
  <c r="K13" i="42" s="1"/>
  <c r="K14" i="42" a="1"/>
  <c r="K14" i="42" s="1"/>
  <c r="K15" i="42" a="1"/>
  <c r="K15" i="42" s="1"/>
  <c r="K16" i="42" a="1"/>
  <c r="K16" i="42" s="1"/>
  <c r="K17" i="42" a="1"/>
  <c r="K17" i="42" s="1"/>
  <c r="K18" i="42" a="1"/>
  <c r="K18" i="42" s="1"/>
  <c r="K19" i="42" a="1"/>
  <c r="K19" i="42" s="1"/>
  <c r="K20" i="42" a="1"/>
  <c r="K20" i="42" s="1"/>
  <c r="K21" i="42" a="1"/>
  <c r="K21" i="42" s="1"/>
  <c r="J2" i="42" a="1"/>
  <c r="J2" i="42" s="1"/>
  <c r="J3" i="42" a="1"/>
  <c r="J3" i="42" s="1"/>
  <c r="J4" i="42" a="1"/>
  <c r="J4" i="42" s="1"/>
  <c r="J5" i="42" a="1"/>
  <c r="J5" i="42" s="1"/>
  <c r="J6" i="42" a="1"/>
  <c r="J6" i="42" s="1"/>
  <c r="J7" i="42" a="1"/>
  <c r="J7" i="42" s="1"/>
  <c r="J8" i="42" a="1"/>
  <c r="J8" i="42" s="1"/>
  <c r="J9" i="42" a="1"/>
  <c r="J9" i="42" s="1"/>
  <c r="J10" i="42" a="1"/>
  <c r="J10" i="42" s="1"/>
  <c r="J11" i="42" a="1"/>
  <c r="J11" i="42" s="1"/>
  <c r="J12" i="42" a="1"/>
  <c r="J12" i="42" s="1"/>
  <c r="J13" i="42" a="1"/>
  <c r="J13" i="42" s="1"/>
  <c r="J14" i="42" a="1"/>
  <c r="J14" i="42" s="1"/>
  <c r="J15" i="42" a="1"/>
  <c r="J15" i="42" s="1"/>
  <c r="J16" i="42" a="1"/>
  <c r="J16" i="42" s="1"/>
  <c r="J17" i="42" a="1"/>
  <c r="J17" i="42" s="1"/>
  <c r="J18" i="42" a="1"/>
  <c r="J18" i="42" s="1"/>
  <c r="J19" i="42" a="1"/>
  <c r="J19" i="42" s="1"/>
  <c r="J20" i="42" a="1"/>
  <c r="J20" i="42" s="1"/>
  <c r="J21" i="42" a="1"/>
  <c r="J21" i="42" s="1"/>
  <c r="I2" i="42" a="1"/>
  <c r="I2" i="42" s="1"/>
  <c r="I3" i="42" a="1"/>
  <c r="I3" i="42" s="1"/>
  <c r="I4" i="42" a="1"/>
  <c r="I4" i="42" s="1"/>
  <c r="I5" i="42" a="1"/>
  <c r="I5" i="42" s="1"/>
  <c r="I6" i="42" a="1"/>
  <c r="I6" i="42" s="1"/>
  <c r="I7" i="42" a="1"/>
  <c r="I7" i="42" s="1"/>
  <c r="I8" i="42" a="1"/>
  <c r="I8" i="42" s="1"/>
  <c r="I9" i="42" a="1"/>
  <c r="I9" i="42" s="1"/>
  <c r="I10" i="42" a="1"/>
  <c r="I10" i="42" s="1"/>
  <c r="I11" i="42" a="1"/>
  <c r="I11" i="42" s="1"/>
  <c r="I12" i="42" a="1"/>
  <c r="I12" i="42" s="1"/>
  <c r="I13" i="42" a="1"/>
  <c r="I13" i="42" s="1"/>
  <c r="I14" i="42" a="1"/>
  <c r="I14" i="42" s="1"/>
  <c r="I15" i="42" a="1"/>
  <c r="I15" i="42" s="1"/>
  <c r="I16" i="42" a="1"/>
  <c r="I16" i="42" s="1"/>
  <c r="I17" i="42" a="1"/>
  <c r="I17" i="42" s="1"/>
  <c r="I18" i="42" a="1"/>
  <c r="I18" i="42" s="1"/>
  <c r="I19" i="42" a="1"/>
  <c r="I19" i="42" s="1"/>
  <c r="I20" i="42" a="1"/>
  <c r="I20" i="42" s="1"/>
  <c r="I21" i="42" a="1"/>
  <c r="I21" i="42" s="1"/>
  <c r="H2" i="42" a="1"/>
  <c r="H2" i="42" s="1"/>
  <c r="H3" i="42" a="1"/>
  <c r="H3" i="42" s="1"/>
  <c r="H4" i="42" a="1"/>
  <c r="H4" i="42" s="1"/>
  <c r="H5" i="42" a="1"/>
  <c r="H5" i="42"/>
  <c r="H6" i="42" a="1"/>
  <c r="H6" i="42" s="1"/>
  <c r="H7" i="42" a="1"/>
  <c r="H7" i="42" s="1"/>
  <c r="H8" i="42" a="1"/>
  <c r="H8" i="42" s="1"/>
  <c r="H9" i="42" a="1"/>
  <c r="H9" i="42"/>
  <c r="H10" i="42" a="1"/>
  <c r="H10" i="42" s="1"/>
  <c r="H11" i="42" a="1"/>
  <c r="H11" i="42" s="1"/>
  <c r="H12" i="42" a="1"/>
  <c r="H12" i="42" s="1"/>
  <c r="H13" i="42" a="1"/>
  <c r="H13" i="42"/>
  <c r="H14" i="42" a="1"/>
  <c r="H14" i="42" s="1"/>
  <c r="H15" i="42" a="1"/>
  <c r="H15" i="42" s="1"/>
  <c r="H16" i="42" a="1"/>
  <c r="H16" i="42" s="1"/>
  <c r="H17" i="42" a="1"/>
  <c r="H17" i="42" s="1"/>
  <c r="H18" i="42" a="1"/>
  <c r="H18" i="42" s="1"/>
  <c r="H19" i="42" a="1"/>
  <c r="H19" i="42" s="1"/>
  <c r="H20" i="42" a="1"/>
  <c r="H20" i="42" s="1"/>
  <c r="H21" i="42" a="1"/>
  <c r="H21" i="42" s="1"/>
  <c r="G2" i="42" a="1"/>
  <c r="G2" i="42" s="1"/>
  <c r="G3" i="42" a="1"/>
  <c r="G3" i="42" s="1"/>
  <c r="G4" i="42" a="1"/>
  <c r="G4" i="42" s="1"/>
  <c r="G5" i="42" a="1"/>
  <c r="G5" i="42"/>
  <c r="G6" i="42" a="1"/>
  <c r="G6" i="42" s="1"/>
  <c r="G7" i="42" a="1"/>
  <c r="G7" i="42" s="1"/>
  <c r="G8" i="42" a="1"/>
  <c r="G8" i="42" s="1"/>
  <c r="G9" i="42" a="1"/>
  <c r="G9" i="42"/>
  <c r="G10" i="42" a="1"/>
  <c r="G10" i="42" s="1"/>
  <c r="G11" i="42" a="1"/>
  <c r="G11" i="42" s="1"/>
  <c r="G12" i="42" a="1"/>
  <c r="G12" i="42" s="1"/>
  <c r="G13" i="42" a="1"/>
  <c r="G13" i="42"/>
  <c r="G14" i="42" a="1"/>
  <c r="G14" i="42" s="1"/>
  <c r="G15" i="42" a="1"/>
  <c r="G15" i="42" s="1"/>
  <c r="G16" i="42" a="1"/>
  <c r="G16" i="42" s="1"/>
  <c r="G17" i="42" a="1"/>
  <c r="G17" i="42" s="1"/>
  <c r="G18" i="42" a="1"/>
  <c r="G18" i="42" s="1"/>
  <c r="G19" i="42" a="1"/>
  <c r="G19" i="42" s="1"/>
  <c r="G20" i="42" a="1"/>
  <c r="G20" i="42" s="1"/>
  <c r="G21" i="42" a="1"/>
  <c r="G21" i="42" s="1"/>
  <c r="F2" i="42" a="1"/>
  <c r="F2" i="42" s="1"/>
  <c r="F3" i="42" a="1"/>
  <c r="F3" i="42" s="1"/>
  <c r="F4" i="42" a="1"/>
  <c r="F4" i="42" s="1"/>
  <c r="F5" i="42" a="1"/>
  <c r="F5" i="42"/>
  <c r="F6" i="42" a="1"/>
  <c r="F6" i="42" s="1"/>
  <c r="F7" i="42" a="1"/>
  <c r="F7" i="42" s="1"/>
  <c r="F8" i="42" a="1"/>
  <c r="F8" i="42" s="1"/>
  <c r="F9" i="42" a="1"/>
  <c r="F9" i="42"/>
  <c r="F10" i="42" a="1"/>
  <c r="F10" i="42" s="1"/>
  <c r="F11" i="42" a="1"/>
  <c r="F11" i="42" s="1"/>
  <c r="F12" i="42" a="1"/>
  <c r="F12" i="42" s="1"/>
  <c r="F13" i="42" a="1"/>
  <c r="F13" i="42" s="1"/>
  <c r="F14" i="42" a="1"/>
  <c r="F14" i="42" s="1"/>
  <c r="F15" i="42" a="1"/>
  <c r="F15" i="42" s="1"/>
  <c r="F16" i="42" a="1"/>
  <c r="F16" i="42" s="1"/>
  <c r="F17" i="42" a="1"/>
  <c r="F17" i="42" s="1"/>
  <c r="F18" i="42" a="1"/>
  <c r="F18" i="42" s="1"/>
  <c r="F19" i="42" a="1"/>
  <c r="F19" i="42" s="1"/>
  <c r="F20" i="42" a="1"/>
  <c r="F20" i="42" s="1"/>
  <c r="F21" i="42" a="1"/>
  <c r="F21" i="42" s="1"/>
  <c r="E2" i="42" a="1"/>
  <c r="E2" i="42" s="1"/>
  <c r="E3" i="42" a="1"/>
  <c r="E3" i="42" s="1"/>
  <c r="E4" i="42" a="1"/>
  <c r="E4" i="42" s="1"/>
  <c r="E5" i="42" a="1"/>
  <c r="E5" i="42"/>
  <c r="E6" i="42" a="1"/>
  <c r="E6" i="42" s="1"/>
  <c r="E7" i="42" a="1"/>
  <c r="E7" i="42" s="1"/>
  <c r="E8" i="42" a="1"/>
  <c r="E8" i="42" s="1"/>
  <c r="E9" i="42" a="1"/>
  <c r="E9" i="42"/>
  <c r="E10" i="42" a="1"/>
  <c r="E10" i="42" s="1"/>
  <c r="E11" i="42" a="1"/>
  <c r="E11" i="42" s="1"/>
  <c r="E12" i="42" a="1"/>
  <c r="E12" i="42" s="1"/>
  <c r="E13" i="42" a="1"/>
  <c r="E13" i="42" s="1"/>
  <c r="E14" i="42" a="1"/>
  <c r="E14" i="42" s="1"/>
  <c r="E15" i="42" a="1"/>
  <c r="E15" i="42" s="1"/>
  <c r="E16" i="42" a="1"/>
  <c r="E16" i="42" s="1"/>
  <c r="E17" i="42" a="1"/>
  <c r="E17" i="42" s="1"/>
  <c r="E18" i="42" a="1"/>
  <c r="E18" i="42" s="1"/>
  <c r="E19" i="42" a="1"/>
  <c r="E19" i="42" s="1"/>
  <c r="E20" i="42" a="1"/>
  <c r="E20" i="42" s="1"/>
  <c r="E21" i="42" a="1"/>
  <c r="E21" i="42" s="1"/>
  <c r="D2" i="42" a="1"/>
  <c r="D2" i="42" s="1"/>
  <c r="D3" i="42" a="1"/>
  <c r="D3" i="42" s="1"/>
  <c r="D4" i="42" a="1"/>
  <c r="D4" i="42" s="1"/>
  <c r="D5" i="42" a="1"/>
  <c r="D5" i="42"/>
  <c r="D6" i="42" a="1"/>
  <c r="D6" i="42" s="1"/>
  <c r="D7" i="42" a="1"/>
  <c r="D7" i="42" s="1"/>
  <c r="D8" i="42" a="1"/>
  <c r="D8" i="42" s="1"/>
  <c r="D9" i="42" a="1"/>
  <c r="D9" i="42"/>
  <c r="D10" i="42" a="1"/>
  <c r="D10" i="42" s="1"/>
  <c r="D11" i="42" a="1"/>
  <c r="D11" i="42" s="1"/>
  <c r="D12" i="42" a="1"/>
  <c r="D12" i="42" s="1"/>
  <c r="D13" i="42" a="1"/>
  <c r="D13" i="42"/>
  <c r="D14" i="42" a="1"/>
  <c r="D14" i="42" s="1"/>
  <c r="D15" i="42" a="1"/>
  <c r="D15" i="42" s="1"/>
  <c r="D16" i="42" a="1"/>
  <c r="D16" i="42" s="1"/>
  <c r="D17" i="42" a="1"/>
  <c r="D17" i="42"/>
  <c r="D18" i="42" a="1"/>
  <c r="D18" i="42" s="1"/>
  <c r="D19" i="42" a="1"/>
  <c r="D19" i="42" s="1"/>
  <c r="D20" i="42" a="1"/>
  <c r="D20" i="42" s="1"/>
  <c r="D21" i="42" a="1"/>
  <c r="D21" i="42" s="1"/>
  <c r="C2" i="42" a="1"/>
  <c r="C2" i="42" s="1"/>
  <c r="C3" i="42" a="1"/>
  <c r="C3" i="42" s="1"/>
  <c r="C4" i="42" a="1"/>
  <c r="C4" i="42" s="1"/>
  <c r="C5" i="42" a="1"/>
  <c r="C5" i="42"/>
  <c r="C6" i="42" a="1"/>
  <c r="C6" i="42" s="1"/>
  <c r="C7" i="42" a="1"/>
  <c r="C7" i="42" s="1"/>
  <c r="C8" i="42" a="1"/>
  <c r="C8" i="42" s="1"/>
  <c r="C9" i="42" a="1"/>
  <c r="C9" i="42"/>
  <c r="C10" i="42" a="1"/>
  <c r="C10" i="42" s="1"/>
  <c r="C11" i="42" a="1"/>
  <c r="C11" i="42" s="1"/>
  <c r="C12" i="42" a="1"/>
  <c r="C12" i="42" s="1"/>
  <c r="C13" i="42" a="1"/>
  <c r="C13" i="42"/>
  <c r="C14" i="42" a="1"/>
  <c r="C14" i="42" s="1"/>
  <c r="C15" i="42" a="1"/>
  <c r="C15" i="42" s="1"/>
  <c r="C16" i="42" a="1"/>
  <c r="C16" i="42" s="1"/>
  <c r="C17" i="42" a="1"/>
  <c r="C17" i="42" s="1"/>
  <c r="C18" i="42" a="1"/>
  <c r="C18" i="42" s="1"/>
  <c r="C19" i="42" a="1"/>
  <c r="C19" i="42" s="1"/>
  <c r="C20" i="42" a="1"/>
  <c r="C20" i="42" s="1"/>
  <c r="C21" i="42" a="1"/>
  <c r="C21" i="42" s="1"/>
  <c r="B2" i="42" a="1"/>
  <c r="B2" i="42" s="1"/>
  <c r="B3" i="42" a="1"/>
  <c r="B3" i="42" s="1"/>
  <c r="M319" i="37" s="1" a="1"/>
  <c r="M319" i="37" s="1"/>
  <c r="B4" i="42" a="1"/>
  <c r="B4" i="42" s="1"/>
  <c r="M216" i="37" s="1" a="1"/>
  <c r="M216" i="37" s="1"/>
  <c r="B5" i="42" a="1"/>
  <c r="B5" i="42" s="1"/>
  <c r="M28" i="37" s="1" a="1"/>
  <c r="M28" i="37" s="1"/>
  <c r="B6" i="42" a="1"/>
  <c r="B6" i="42" s="1"/>
  <c r="M274" i="37" s="1" a="1"/>
  <c r="M274" i="37" s="1"/>
  <c r="B7" i="42" a="1"/>
  <c r="B7" i="42" s="1"/>
  <c r="M248" i="37" s="1" a="1"/>
  <c r="M248" i="37" s="1"/>
  <c r="B8" i="42" a="1"/>
  <c r="B8" i="42" s="1"/>
  <c r="M548" i="37" s="1" a="1"/>
  <c r="M548" i="37" s="1"/>
  <c r="B9" i="42" a="1"/>
  <c r="B9" i="42" s="1"/>
  <c r="M19" i="37" s="1" a="1"/>
  <c r="M19" i="37" s="1"/>
  <c r="B10" i="42" a="1"/>
  <c r="B10" i="42" s="1"/>
  <c r="M615" i="37" s="1" a="1"/>
  <c r="M615" i="37" s="1"/>
  <c r="B11" i="42" a="1"/>
  <c r="B11" i="42" s="1"/>
  <c r="M179" i="37" s="1" a="1"/>
  <c r="M179" i="37" s="1"/>
  <c r="B12" i="42" a="1"/>
  <c r="B12" i="42" s="1"/>
  <c r="M279" i="37" s="1" a="1"/>
  <c r="M279" i="37" s="1"/>
  <c r="B13" i="42" a="1"/>
  <c r="B13" i="42" s="1"/>
  <c r="M67" i="37" s="1" a="1"/>
  <c r="M67" i="37" s="1"/>
  <c r="B14" i="42" a="1"/>
  <c r="B14" i="42" s="1"/>
  <c r="M203" i="37" s="1" a="1"/>
  <c r="M203" i="37" s="1"/>
  <c r="B15" i="42" a="1"/>
  <c r="B15" i="42" s="1"/>
  <c r="M91" i="37" s="1" a="1"/>
  <c r="M91" i="37" s="1"/>
  <c r="B16" i="42" a="1"/>
  <c r="B16" i="42" s="1"/>
  <c r="M534" i="37" s="1" a="1"/>
  <c r="M534" i="37" s="1"/>
  <c r="B17" i="42" a="1"/>
  <c r="B17" i="42" s="1"/>
  <c r="M73" i="37" s="1" a="1"/>
  <c r="M73" i="37" s="1"/>
  <c r="B18" i="42" a="1"/>
  <c r="B18" i="42" s="1"/>
  <c r="M412" i="37" s="1" a="1"/>
  <c r="M412" i="37" s="1"/>
  <c r="B19" i="42" a="1"/>
  <c r="B19" i="42" s="1"/>
  <c r="B20" i="42" a="1"/>
  <c r="B20" i="42" s="1"/>
  <c r="M13" i="37" s="1" a="1"/>
  <c r="M13" i="37" s="1"/>
  <c r="B21" i="42" a="1"/>
  <c r="B21" i="42" s="1"/>
  <c r="M118" i="37" s="1" a="1"/>
  <c r="M118" i="37" s="1"/>
  <c r="U2" i="1" a="1"/>
  <c r="U2" i="1" s="1"/>
  <c r="U3" i="1" a="1"/>
  <c r="U3" i="1" s="1"/>
  <c r="U4" i="1" a="1"/>
  <c r="U4" i="1" s="1"/>
  <c r="U5" i="1" a="1"/>
  <c r="U5" i="1"/>
  <c r="U6" i="1" a="1"/>
  <c r="U6" i="1" s="1"/>
  <c r="U7" i="1" a="1"/>
  <c r="U7" i="1" s="1"/>
  <c r="U8" i="1" a="1"/>
  <c r="U8" i="1" s="1"/>
  <c r="U9" i="1" a="1"/>
  <c r="U9" i="1"/>
  <c r="U10" i="1" a="1"/>
  <c r="U10" i="1" s="1"/>
  <c r="U11" i="1" a="1"/>
  <c r="U11" i="1" s="1"/>
  <c r="U12" i="1" a="1"/>
  <c r="U12" i="1" s="1"/>
  <c r="U13" i="1" a="1"/>
  <c r="U13" i="1" s="1"/>
  <c r="U14" i="1" a="1"/>
  <c r="U14" i="1" s="1"/>
  <c r="U15" i="1" a="1"/>
  <c r="U15" i="1" s="1"/>
  <c r="U16" i="1" a="1"/>
  <c r="U16" i="1" s="1"/>
  <c r="U17" i="1" a="1"/>
  <c r="U17" i="1" s="1"/>
  <c r="U18" i="1" a="1"/>
  <c r="U18" i="1" s="1"/>
  <c r="U19" i="1" a="1"/>
  <c r="U19" i="1" s="1"/>
  <c r="U20" i="1" a="1"/>
  <c r="U20" i="1" s="1"/>
  <c r="U21" i="1" a="1"/>
  <c r="U21" i="1" s="1"/>
  <c r="T2" i="1" a="1"/>
  <c r="T2" i="1" s="1"/>
  <c r="T3" i="1" a="1"/>
  <c r="T3" i="1" s="1"/>
  <c r="T4" i="1" a="1"/>
  <c r="T4" i="1" s="1"/>
  <c r="T5" i="1" a="1"/>
  <c r="T5" i="1"/>
  <c r="T6" i="1" a="1"/>
  <c r="T6" i="1" s="1"/>
  <c r="T7" i="1" a="1"/>
  <c r="T7" i="1" s="1"/>
  <c r="T8" i="1" a="1"/>
  <c r="T8" i="1" s="1"/>
  <c r="T9" i="1" a="1"/>
  <c r="T9" i="1"/>
  <c r="T10" i="1" a="1"/>
  <c r="T10" i="1" s="1"/>
  <c r="T11" i="1" a="1"/>
  <c r="T11" i="1" s="1"/>
  <c r="T12" i="1" a="1"/>
  <c r="T12" i="1" s="1"/>
  <c r="T13" i="1" a="1"/>
  <c r="T13" i="1"/>
  <c r="T14" i="1" a="1"/>
  <c r="T14" i="1" s="1"/>
  <c r="T15" i="1" a="1"/>
  <c r="T15" i="1" s="1"/>
  <c r="T16" i="1" a="1"/>
  <c r="T16" i="1" s="1"/>
  <c r="T17" i="1" a="1"/>
  <c r="T17" i="1" s="1"/>
  <c r="T18" i="1" a="1"/>
  <c r="T18" i="1" s="1"/>
  <c r="T19" i="1" a="1"/>
  <c r="T19" i="1" s="1"/>
  <c r="T20" i="1" a="1"/>
  <c r="T20" i="1" s="1"/>
  <c r="T21" i="1" a="1"/>
  <c r="T21" i="1" s="1"/>
  <c r="S2" i="1" a="1"/>
  <c r="S2" i="1" s="1"/>
  <c r="S3" i="1" a="1"/>
  <c r="S3" i="1" s="1"/>
  <c r="S4" i="1" a="1"/>
  <c r="S4" i="1" s="1"/>
  <c r="S5" i="1" a="1"/>
  <c r="S5" i="1" s="1"/>
  <c r="S6" i="1" a="1"/>
  <c r="S6" i="1" s="1"/>
  <c r="S7" i="1" a="1"/>
  <c r="S7" i="1" s="1"/>
  <c r="S8" i="1" a="1"/>
  <c r="S8" i="1" s="1"/>
  <c r="S9" i="1" a="1"/>
  <c r="S9" i="1" s="1"/>
  <c r="S10" i="1" a="1"/>
  <c r="S10" i="1" s="1"/>
  <c r="S11" i="1" a="1"/>
  <c r="S11" i="1" s="1"/>
  <c r="S12" i="1" a="1"/>
  <c r="S12" i="1" s="1"/>
  <c r="S13" i="1" a="1"/>
  <c r="S13" i="1" s="1"/>
  <c r="S14" i="1" a="1"/>
  <c r="S14" i="1" s="1"/>
  <c r="S15" i="1" a="1"/>
  <c r="S15" i="1" s="1"/>
  <c r="S16" i="1" a="1"/>
  <c r="S16" i="1" s="1"/>
  <c r="S17" i="1" a="1"/>
  <c r="S17" i="1" s="1"/>
  <c r="S18" i="1" a="1"/>
  <c r="S18" i="1" s="1"/>
  <c r="S19" i="1" a="1"/>
  <c r="S19" i="1" s="1"/>
  <c r="S20" i="1" a="1"/>
  <c r="S20" i="1" s="1"/>
  <c r="S21" i="1" a="1"/>
  <c r="S21" i="1" s="1"/>
  <c r="R2" i="1" a="1"/>
  <c r="R2" i="1" s="1"/>
  <c r="R3" i="1" a="1"/>
  <c r="R3" i="1" s="1"/>
  <c r="R4" i="1" a="1"/>
  <c r="R4" i="1" s="1"/>
  <c r="R5" i="1" a="1"/>
  <c r="R5" i="1"/>
  <c r="R6" i="1" a="1"/>
  <c r="R6" i="1" s="1"/>
  <c r="R7" i="1" a="1"/>
  <c r="R7" i="1" s="1"/>
  <c r="R8" i="1" a="1"/>
  <c r="R8" i="1" s="1"/>
  <c r="R9" i="1" a="1"/>
  <c r="R9" i="1"/>
  <c r="R10" i="1" a="1"/>
  <c r="R10" i="1" s="1"/>
  <c r="R11" i="1" a="1"/>
  <c r="R11" i="1" s="1"/>
  <c r="R12" i="1" a="1"/>
  <c r="R12" i="1" s="1"/>
  <c r="R13" i="1" a="1"/>
  <c r="R13" i="1" s="1"/>
  <c r="R14" i="1" a="1"/>
  <c r="R14" i="1" s="1"/>
  <c r="R15" i="1" a="1"/>
  <c r="R15" i="1" s="1"/>
  <c r="R16" i="1" a="1"/>
  <c r="R16" i="1" s="1"/>
  <c r="R17" i="1" a="1"/>
  <c r="R17" i="1" s="1"/>
  <c r="R18" i="1" a="1"/>
  <c r="R18" i="1" s="1"/>
  <c r="R19" i="1" a="1"/>
  <c r="R19" i="1" s="1"/>
  <c r="R20" i="1" a="1"/>
  <c r="R20" i="1" s="1"/>
  <c r="R21" i="1" a="1"/>
  <c r="R21" i="1" s="1"/>
  <c r="Q2" i="1" a="1"/>
  <c r="Q2" i="1" s="1"/>
  <c r="Q3" i="1" a="1"/>
  <c r="Q3" i="1" s="1"/>
  <c r="Q4" i="1" a="1"/>
  <c r="Q4" i="1" s="1"/>
  <c r="Q5" i="1" a="1"/>
  <c r="Q5" i="1"/>
  <c r="Q6" i="1" a="1"/>
  <c r="Q6" i="1" s="1"/>
  <c r="Q7" i="1" a="1"/>
  <c r="Q7" i="1" s="1"/>
  <c r="Q8" i="1" a="1"/>
  <c r="Q8" i="1" s="1"/>
  <c r="Q9" i="1" a="1"/>
  <c r="Q9" i="1"/>
  <c r="Q10" i="1" a="1"/>
  <c r="Q10" i="1" s="1"/>
  <c r="Q11" i="1" a="1"/>
  <c r="Q11" i="1" s="1"/>
  <c r="Q12" i="1" a="1"/>
  <c r="Q12" i="1" s="1"/>
  <c r="Q13" i="1" a="1"/>
  <c r="Q13" i="1"/>
  <c r="Q14" i="1" a="1"/>
  <c r="Q14" i="1" s="1"/>
  <c r="Q15" i="1" a="1"/>
  <c r="Q15" i="1" s="1"/>
  <c r="Q16" i="1" a="1"/>
  <c r="Q16" i="1" s="1"/>
  <c r="Q17" i="1" a="1"/>
  <c r="Q17" i="1"/>
  <c r="Q18" i="1" a="1"/>
  <c r="Q18" i="1" s="1"/>
  <c r="Q19" i="1" a="1"/>
  <c r="Q19" i="1" s="1"/>
  <c r="Q20" i="1" a="1"/>
  <c r="Q20" i="1" s="1"/>
  <c r="Q21" i="1" a="1"/>
  <c r="Q21" i="1" s="1"/>
  <c r="P2" i="1" a="1"/>
  <c r="P2" i="1" s="1"/>
  <c r="P3" i="1" a="1"/>
  <c r="P3" i="1" s="1"/>
  <c r="P4" i="1" a="1"/>
  <c r="P4" i="1" s="1"/>
  <c r="P5" i="1" a="1"/>
  <c r="P5" i="1"/>
  <c r="P6" i="1" a="1"/>
  <c r="P6" i="1" s="1"/>
  <c r="P7" i="1" a="1"/>
  <c r="P7" i="1" s="1"/>
  <c r="P8" i="1" a="1"/>
  <c r="P8" i="1" s="1"/>
  <c r="P9" i="1" a="1"/>
  <c r="P9" i="1"/>
  <c r="P10" i="1" a="1"/>
  <c r="P10" i="1" s="1"/>
  <c r="P11" i="1" a="1"/>
  <c r="P11" i="1" s="1"/>
  <c r="P12" i="1" a="1"/>
  <c r="P12" i="1" s="1"/>
  <c r="P13" i="1" a="1"/>
  <c r="P13" i="1"/>
  <c r="P14" i="1" a="1"/>
  <c r="P14" i="1" s="1"/>
  <c r="P15" i="1" a="1"/>
  <c r="P15" i="1" s="1"/>
  <c r="P16" i="1" a="1"/>
  <c r="P16" i="1" s="1"/>
  <c r="P17" i="1" a="1"/>
  <c r="P17" i="1" s="1"/>
  <c r="P18" i="1" a="1"/>
  <c r="P18" i="1" s="1"/>
  <c r="P19" i="1" a="1"/>
  <c r="P19" i="1" s="1"/>
  <c r="P20" i="1" a="1"/>
  <c r="P20" i="1" s="1"/>
  <c r="P21" i="1" a="1"/>
  <c r="P21" i="1" s="1"/>
  <c r="O2" i="1" a="1"/>
  <c r="O2" i="1" s="1"/>
  <c r="O3" i="1" a="1"/>
  <c r="O3" i="1" s="1"/>
  <c r="O4" i="1" a="1"/>
  <c r="O4" i="1" s="1"/>
  <c r="O5" i="1" a="1"/>
  <c r="O5" i="1"/>
  <c r="O6" i="1" a="1"/>
  <c r="O6" i="1" s="1"/>
  <c r="O7" i="1" a="1"/>
  <c r="O7" i="1" s="1"/>
  <c r="O8" i="1" a="1"/>
  <c r="O8" i="1" s="1"/>
  <c r="O9" i="1" a="1"/>
  <c r="O9" i="1"/>
  <c r="O10" i="1" a="1"/>
  <c r="O10" i="1" s="1"/>
  <c r="O11" i="1" a="1"/>
  <c r="O11" i="1" s="1"/>
  <c r="O12" i="1" a="1"/>
  <c r="O12" i="1" s="1"/>
  <c r="O13" i="1" a="1"/>
  <c r="O13" i="1"/>
  <c r="O14" i="1" a="1"/>
  <c r="O14" i="1" s="1"/>
  <c r="O15" i="1" a="1"/>
  <c r="O15" i="1" s="1"/>
  <c r="O16" i="1" a="1"/>
  <c r="O16" i="1" s="1"/>
  <c r="O17" i="1" a="1"/>
  <c r="O17" i="1"/>
  <c r="O18" i="1" a="1"/>
  <c r="O18" i="1" s="1"/>
  <c r="O19" i="1" a="1"/>
  <c r="O19" i="1" s="1"/>
  <c r="O20" i="1" a="1"/>
  <c r="O20" i="1" s="1"/>
  <c r="O21" i="1" a="1"/>
  <c r="O21" i="1" s="1"/>
  <c r="N2" i="1" a="1"/>
  <c r="N2" i="1" s="1"/>
  <c r="N3" i="1" a="1"/>
  <c r="N3" i="1" s="1"/>
  <c r="N4" i="1" a="1"/>
  <c r="N4" i="1" s="1"/>
  <c r="N5" i="1" a="1"/>
  <c r="N5" i="1" s="1"/>
  <c r="N6" i="1" a="1"/>
  <c r="N6" i="1" s="1"/>
  <c r="N7" i="1" a="1"/>
  <c r="N7" i="1" s="1"/>
  <c r="N8" i="1" a="1"/>
  <c r="N8" i="1" s="1"/>
  <c r="N9" i="1" a="1"/>
  <c r="N9" i="1" s="1"/>
  <c r="N10" i="1" a="1"/>
  <c r="N10" i="1" s="1"/>
  <c r="N11" i="1" a="1"/>
  <c r="N11" i="1" s="1"/>
  <c r="N12" i="1" a="1"/>
  <c r="N12" i="1" s="1"/>
  <c r="N13" i="1" a="1"/>
  <c r="N13" i="1" s="1"/>
  <c r="N14" i="1" a="1"/>
  <c r="N14" i="1" s="1"/>
  <c r="N15" i="1" a="1"/>
  <c r="N15" i="1" s="1"/>
  <c r="N16" i="1" a="1"/>
  <c r="N16" i="1" s="1"/>
  <c r="N17" i="1" a="1"/>
  <c r="N17" i="1" s="1"/>
  <c r="N18" i="1" a="1"/>
  <c r="N18" i="1" s="1"/>
  <c r="N19" i="1" a="1"/>
  <c r="N19" i="1" s="1"/>
  <c r="N20" i="1" a="1"/>
  <c r="N20" i="1" s="1"/>
  <c r="N21" i="1" a="1"/>
  <c r="N21" i="1" s="1"/>
  <c r="M2" i="1" a="1"/>
  <c r="M2" i="1" s="1"/>
  <c r="M3" i="1" a="1"/>
  <c r="M3" i="1" s="1"/>
  <c r="M4" i="1" a="1"/>
  <c r="M4" i="1" s="1"/>
  <c r="M5" i="1" a="1"/>
  <c r="M5" i="1"/>
  <c r="M6" i="1" a="1"/>
  <c r="M6" i="1" s="1"/>
  <c r="M7" i="1" a="1"/>
  <c r="M7" i="1" s="1"/>
  <c r="M8" i="1" a="1"/>
  <c r="M8" i="1" s="1"/>
  <c r="M9" i="1" a="1"/>
  <c r="M9" i="1"/>
  <c r="M10" i="1" a="1"/>
  <c r="M10" i="1" s="1"/>
  <c r="M11" i="1" a="1"/>
  <c r="M11" i="1" s="1"/>
  <c r="M12" i="1" a="1"/>
  <c r="M12" i="1" s="1"/>
  <c r="M13" i="1" a="1"/>
  <c r="M13" i="1"/>
  <c r="M14" i="1" a="1"/>
  <c r="M14" i="1" s="1"/>
  <c r="M15" i="1" a="1"/>
  <c r="M15" i="1" s="1"/>
  <c r="M16" i="1" a="1"/>
  <c r="M16" i="1" s="1"/>
  <c r="M17" i="1" a="1"/>
  <c r="M17" i="1"/>
  <c r="M18" i="1" a="1"/>
  <c r="M18" i="1" s="1"/>
  <c r="M19" i="1" a="1"/>
  <c r="M19" i="1" s="1"/>
  <c r="M20" i="1" a="1"/>
  <c r="M20" i="1" s="1"/>
  <c r="M21" i="1" a="1"/>
  <c r="M21" i="1" s="1"/>
  <c r="L2" i="1" a="1"/>
  <c r="L2" i="1" s="1"/>
  <c r="L3" i="1" a="1"/>
  <c r="L3" i="1" s="1"/>
  <c r="L4" i="1" a="1"/>
  <c r="L4" i="1" s="1"/>
  <c r="L5" i="1" a="1"/>
  <c r="L5" i="1" s="1"/>
  <c r="L6" i="1" a="1"/>
  <c r="L6" i="1" s="1"/>
  <c r="L7" i="1" a="1"/>
  <c r="L7" i="1" s="1"/>
  <c r="L8" i="1" a="1"/>
  <c r="L8" i="1"/>
  <c r="L9" i="1" a="1"/>
  <c r="L9" i="1" s="1"/>
  <c r="L10" i="1" a="1"/>
  <c r="L10" i="1" s="1"/>
  <c r="L11" i="1" a="1"/>
  <c r="L11" i="1" s="1"/>
  <c r="L12" i="1" a="1"/>
  <c r="L12" i="1"/>
  <c r="L13" i="1" a="1"/>
  <c r="L13" i="1" s="1"/>
  <c r="L14" i="1" a="1"/>
  <c r="L14" i="1" s="1"/>
  <c r="L15" i="1" a="1"/>
  <c r="L15" i="1" s="1"/>
  <c r="L16" i="1" a="1"/>
  <c r="L16" i="1"/>
  <c r="L17" i="1" a="1"/>
  <c r="L17" i="1" s="1"/>
  <c r="L18" i="1" a="1"/>
  <c r="L18" i="1" s="1"/>
  <c r="L19" i="1" a="1"/>
  <c r="L19" i="1" s="1"/>
  <c r="L20" i="1" a="1"/>
  <c r="L20" i="1" s="1"/>
  <c r="L21" i="1" a="1"/>
  <c r="L21" i="1" s="1"/>
  <c r="K2" i="1" a="1"/>
  <c r="K2" i="1" s="1"/>
  <c r="K3" i="1" a="1"/>
  <c r="K3" i="1" s="1"/>
  <c r="K4" i="1" a="1"/>
  <c r="K4" i="1" s="1"/>
  <c r="K5" i="1" a="1"/>
  <c r="K5" i="1"/>
  <c r="K6" i="1" a="1"/>
  <c r="K6" i="1" s="1"/>
  <c r="K7" i="1" a="1"/>
  <c r="K7" i="1" s="1"/>
  <c r="K8" i="1" a="1"/>
  <c r="K8" i="1" s="1"/>
  <c r="K9" i="1" a="1"/>
  <c r="K9" i="1"/>
  <c r="K10" i="1" a="1"/>
  <c r="K10" i="1" s="1"/>
  <c r="K11" i="1" a="1"/>
  <c r="K11" i="1" s="1"/>
  <c r="K12" i="1" a="1"/>
  <c r="K12" i="1" s="1"/>
  <c r="K13" i="1" a="1"/>
  <c r="K13" i="1" s="1"/>
  <c r="K14" i="1" a="1"/>
  <c r="K14" i="1" s="1"/>
  <c r="K15" i="1" a="1"/>
  <c r="K15" i="1" s="1"/>
  <c r="K16" i="1" a="1"/>
  <c r="K16" i="1" s="1"/>
  <c r="K17" i="1" a="1"/>
  <c r="K17" i="1"/>
  <c r="K18" i="1" a="1"/>
  <c r="K18" i="1" s="1"/>
  <c r="K19" i="1" a="1"/>
  <c r="K19" i="1" s="1"/>
  <c r="K20" i="1" a="1"/>
  <c r="K20" i="1" s="1"/>
  <c r="K21" i="1" a="1"/>
  <c r="K21" i="1" s="1"/>
  <c r="J2" i="1" a="1"/>
  <c r="J2" i="1" s="1"/>
  <c r="J3" i="1" a="1"/>
  <c r="J3" i="1" s="1"/>
  <c r="J4" i="1" a="1"/>
  <c r="J4" i="1" s="1"/>
  <c r="J5" i="1" a="1"/>
  <c r="J5" i="1" s="1"/>
  <c r="J6" i="1" a="1"/>
  <c r="J6" i="1" s="1"/>
  <c r="J7" i="1" a="1"/>
  <c r="J7" i="1" s="1"/>
  <c r="J8" i="1" a="1"/>
  <c r="J8" i="1" s="1"/>
  <c r="J9" i="1" a="1"/>
  <c r="J9" i="1" s="1"/>
  <c r="J10" i="1" a="1"/>
  <c r="J10" i="1" s="1"/>
  <c r="J11" i="1" a="1"/>
  <c r="J11" i="1" s="1"/>
  <c r="J12" i="1" a="1"/>
  <c r="J12" i="1" s="1"/>
  <c r="J13" i="1" a="1"/>
  <c r="J13" i="1" s="1"/>
  <c r="J14" i="1" a="1"/>
  <c r="J14" i="1" s="1"/>
  <c r="J15" i="1" a="1"/>
  <c r="J15" i="1" s="1"/>
  <c r="J16" i="1" a="1"/>
  <c r="J16" i="1" s="1"/>
  <c r="J17" i="1" a="1"/>
  <c r="J17" i="1" s="1"/>
  <c r="J18" i="1" a="1"/>
  <c r="J18" i="1" s="1"/>
  <c r="J19" i="1" a="1"/>
  <c r="J19" i="1" s="1"/>
  <c r="J20" i="1" a="1"/>
  <c r="J20" i="1" s="1"/>
  <c r="J21" i="1" a="1"/>
  <c r="J21" i="1" s="1"/>
  <c r="I2" i="1" a="1"/>
  <c r="I2" i="1" s="1"/>
  <c r="I3" i="1" a="1"/>
  <c r="I3" i="1" s="1"/>
  <c r="I4" i="1" a="1"/>
  <c r="I4" i="1" s="1"/>
  <c r="I5" i="1" a="1"/>
  <c r="I5" i="1"/>
  <c r="I6" i="1" a="1"/>
  <c r="I6" i="1" s="1"/>
  <c r="I7" i="1" a="1"/>
  <c r="I7" i="1" s="1"/>
  <c r="I8" i="1" a="1"/>
  <c r="I8" i="1" s="1"/>
  <c r="I9" i="1" a="1"/>
  <c r="I9" i="1"/>
  <c r="I10" i="1" a="1"/>
  <c r="I10" i="1" s="1"/>
  <c r="I11" i="1" a="1"/>
  <c r="I11" i="1" s="1"/>
  <c r="I12" i="1" a="1"/>
  <c r="I12" i="1" s="1"/>
  <c r="I13" i="1" a="1"/>
  <c r="I13" i="1"/>
  <c r="I14" i="1" a="1"/>
  <c r="I14" i="1" s="1"/>
  <c r="I15" i="1" a="1"/>
  <c r="I15" i="1" s="1"/>
  <c r="I16" i="1" a="1"/>
  <c r="I16" i="1" s="1"/>
  <c r="I17" i="1" a="1"/>
  <c r="I17" i="1" s="1"/>
  <c r="I18" i="1" a="1"/>
  <c r="I18" i="1" s="1"/>
  <c r="I19" i="1" a="1"/>
  <c r="I19" i="1" s="1"/>
  <c r="I20" i="1" a="1"/>
  <c r="I20" i="1" s="1"/>
  <c r="I21" i="1" a="1"/>
  <c r="I21" i="1" s="1"/>
  <c r="H2" i="1" a="1"/>
  <c r="H2" i="1" s="1"/>
  <c r="H3" i="1" a="1"/>
  <c r="H3" i="1" s="1"/>
  <c r="H4" i="1" a="1"/>
  <c r="H4" i="1" s="1"/>
  <c r="H5" i="1" a="1"/>
  <c r="H5" i="1" s="1"/>
  <c r="H6" i="1" a="1"/>
  <c r="H6" i="1" s="1"/>
  <c r="H7" i="1" a="1"/>
  <c r="H7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G2" i="1" a="1"/>
  <c r="G2" i="1" s="1"/>
  <c r="G3" i="1" a="1"/>
  <c r="G3" i="1" s="1"/>
  <c r="G4" i="1" a="1"/>
  <c r="G4" i="1" s="1"/>
  <c r="G5" i="1" a="1"/>
  <c r="G5" i="1"/>
  <c r="G6" i="1" a="1"/>
  <c r="G6" i="1" s="1"/>
  <c r="G7" i="1" a="1"/>
  <c r="G7" i="1" s="1"/>
  <c r="G8" i="1" a="1"/>
  <c r="G8" i="1" s="1"/>
  <c r="G9" i="1" a="1"/>
  <c r="G9" i="1"/>
  <c r="G10" i="1" a="1"/>
  <c r="G10" i="1" s="1"/>
  <c r="G11" i="1" a="1"/>
  <c r="G11" i="1" s="1"/>
  <c r="G12" i="1" a="1"/>
  <c r="G12" i="1" s="1"/>
  <c r="G13" i="1" a="1"/>
  <c r="G13" i="1"/>
  <c r="G14" i="1" a="1"/>
  <c r="G14" i="1" s="1"/>
  <c r="G15" i="1" a="1"/>
  <c r="G15" i="1" s="1"/>
  <c r="G16" i="1" a="1"/>
  <c r="G16" i="1" s="1"/>
  <c r="G17" i="1" a="1"/>
  <c r="G17" i="1"/>
  <c r="G18" i="1" a="1"/>
  <c r="G18" i="1" s="1"/>
  <c r="G19" i="1" a="1"/>
  <c r="G19" i="1" s="1"/>
  <c r="G20" i="1" a="1"/>
  <c r="G20" i="1" s="1"/>
  <c r="G21" i="1" a="1"/>
  <c r="G21" i="1" s="1"/>
  <c r="F2" i="1" a="1"/>
  <c r="F2" i="1" s="1"/>
  <c r="F3" i="1" a="1"/>
  <c r="F3" i="1" s="1"/>
  <c r="F4" i="1" a="1"/>
  <c r="F4" i="1" s="1"/>
  <c r="F5" i="1" a="1"/>
  <c r="F5" i="1"/>
  <c r="F6" i="1" a="1"/>
  <c r="F6" i="1" s="1"/>
  <c r="F7" i="1" a="1"/>
  <c r="F7" i="1" s="1"/>
  <c r="F8" i="1" a="1"/>
  <c r="F8" i="1" s="1"/>
  <c r="F9" i="1" a="1"/>
  <c r="F9" i="1"/>
  <c r="F10" i="1" a="1"/>
  <c r="F10" i="1" s="1"/>
  <c r="F11" i="1" a="1"/>
  <c r="F11" i="1" s="1"/>
  <c r="F12" i="1" a="1"/>
  <c r="F12" i="1" s="1"/>
  <c r="F13" i="1" a="1"/>
  <c r="F13" i="1"/>
  <c r="F14" i="1" a="1"/>
  <c r="F14" i="1" s="1"/>
  <c r="F15" i="1" a="1"/>
  <c r="F15" i="1" s="1"/>
  <c r="F16" i="1" a="1"/>
  <c r="F16" i="1" s="1"/>
  <c r="F17" i="1" a="1"/>
  <c r="F17" i="1"/>
  <c r="F18" i="1" a="1"/>
  <c r="F18" i="1" s="1"/>
  <c r="F19" i="1" a="1"/>
  <c r="F19" i="1" s="1"/>
  <c r="F20" i="1" a="1"/>
  <c r="F20" i="1" s="1"/>
  <c r="F21" i="1" a="1"/>
  <c r="F21" i="1" s="1"/>
  <c r="E2" i="1" a="1"/>
  <c r="E2" i="1" s="1"/>
  <c r="E3" i="1" a="1"/>
  <c r="E3" i="1" s="1"/>
  <c r="E4" i="1" a="1"/>
  <c r="E4" i="1" s="1"/>
  <c r="E5" i="1" a="1"/>
  <c r="E5" i="1"/>
  <c r="E6" i="1" a="1"/>
  <c r="E6" i="1" s="1"/>
  <c r="E7" i="1" a="1"/>
  <c r="E7" i="1" s="1"/>
  <c r="E8" i="1" a="1"/>
  <c r="E8" i="1" s="1"/>
  <c r="E9" i="1" a="1"/>
  <c r="E9" i="1"/>
  <c r="E10" i="1" a="1"/>
  <c r="E10" i="1" s="1"/>
  <c r="E11" i="1" a="1"/>
  <c r="E11" i="1" s="1"/>
  <c r="E12" i="1" a="1"/>
  <c r="E12" i="1" s="1"/>
  <c r="E13" i="1" a="1"/>
  <c r="E13" i="1"/>
  <c r="E14" i="1" a="1"/>
  <c r="E14" i="1" s="1"/>
  <c r="E15" i="1" a="1"/>
  <c r="E15" i="1" s="1"/>
  <c r="E16" i="1" a="1"/>
  <c r="E16" i="1" s="1"/>
  <c r="E17" i="1" a="1"/>
  <c r="E17" i="1"/>
  <c r="E18" i="1" a="1"/>
  <c r="E18" i="1" s="1"/>
  <c r="E19" i="1" a="1"/>
  <c r="E19" i="1" s="1"/>
  <c r="E20" i="1" a="1"/>
  <c r="E20" i="1" s="1"/>
  <c r="E21" i="1" a="1"/>
  <c r="E21" i="1" s="1"/>
  <c r="D2" i="1" a="1"/>
  <c r="D2" i="1" s="1"/>
  <c r="D3" i="1" a="1"/>
  <c r="D3" i="1" s="1"/>
  <c r="D4" i="1" a="1"/>
  <c r="D4" i="1" s="1"/>
  <c r="D5" i="1" a="1"/>
  <c r="D5" i="1"/>
  <c r="D6" i="1" a="1"/>
  <c r="D6" i="1" s="1"/>
  <c r="D7" i="1" a="1"/>
  <c r="D7" i="1" s="1"/>
  <c r="D8" i="1" a="1"/>
  <c r="D8" i="1" s="1"/>
  <c r="D9" i="1" a="1"/>
  <c r="D9" i="1"/>
  <c r="D10" i="1" a="1"/>
  <c r="D10" i="1" s="1"/>
  <c r="D11" i="1" a="1"/>
  <c r="D11" i="1" s="1"/>
  <c r="D12" i="1" a="1"/>
  <c r="D12" i="1" s="1"/>
  <c r="D13" i="1" a="1"/>
  <c r="D13" i="1" s="1"/>
  <c r="D14" i="1" a="1"/>
  <c r="D14" i="1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C2" i="1" a="1"/>
  <c r="C2" i="1" s="1"/>
  <c r="C3" i="1" a="1"/>
  <c r="C3" i="1" s="1"/>
  <c r="C4" i="1" a="1"/>
  <c r="C4" i="1" s="1"/>
  <c r="C5" i="1" a="1"/>
  <c r="C5" i="1" s="1"/>
  <c r="C6" i="1" a="1"/>
  <c r="C6" i="1" s="1"/>
  <c r="C7" i="1" a="1"/>
  <c r="C7" i="1" s="1"/>
  <c r="C8" i="1" a="1"/>
  <c r="C8" i="1" s="1"/>
  <c r="C9" i="1" a="1"/>
  <c r="C9" i="1" s="1"/>
  <c r="C10" i="1" a="1"/>
  <c r="C10" i="1" s="1"/>
  <c r="C11" i="1" a="1"/>
  <c r="C11" i="1" s="1"/>
  <c r="C12" i="1" a="1"/>
  <c r="C12" i="1" s="1"/>
  <c r="C13" i="1" a="1"/>
  <c r="C13" i="1" s="1"/>
  <c r="C14" i="1" a="1"/>
  <c r="C14" i="1" s="1"/>
  <c r="C15" i="1" a="1"/>
  <c r="C15" i="1" s="1"/>
  <c r="C16" i="1" a="1"/>
  <c r="C16" i="1" s="1"/>
  <c r="C17" i="1" a="1"/>
  <c r="C17" i="1" s="1"/>
  <c r="C18" i="1" a="1"/>
  <c r="C18" i="1" s="1"/>
  <c r="C19" i="1" a="1"/>
  <c r="C19" i="1" s="1"/>
  <c r="C20" i="1" a="1"/>
  <c r="C20" i="1" s="1"/>
  <c r="C21" i="1" a="1"/>
  <c r="C21" i="1" s="1"/>
  <c r="B3" i="1" a="1"/>
  <c r="B3" i="1" s="1"/>
  <c r="B4" i="1" a="1"/>
  <c r="B4" i="1" s="1"/>
  <c r="B5" i="1" a="1"/>
  <c r="B5" i="1" s="1"/>
  <c r="B6" i="1" a="1"/>
  <c r="B6" i="1" s="1"/>
  <c r="B7" i="1" a="1"/>
  <c r="B7" i="1" s="1"/>
  <c r="B8" i="1" a="1"/>
  <c r="B8" i="1" s="1"/>
  <c r="B9" i="1" a="1"/>
  <c r="B9" i="1" s="1"/>
  <c r="B10" i="1" a="1"/>
  <c r="B10" i="1" s="1"/>
  <c r="B11" i="1" a="1"/>
  <c r="B11" i="1" s="1"/>
  <c r="B12" i="1" a="1"/>
  <c r="B12" i="1" s="1"/>
  <c r="B13" i="1" a="1"/>
  <c r="B13" i="1" s="1"/>
  <c r="B14" i="1" a="1"/>
  <c r="B14" i="1" s="1"/>
  <c r="B15" i="1" a="1"/>
  <c r="B15" i="1" s="1"/>
  <c r="B16" i="1" a="1"/>
  <c r="B16" i="1" s="1"/>
  <c r="B17" i="1" a="1"/>
  <c r="B17" i="1" s="1"/>
  <c r="B18" i="1" a="1"/>
  <c r="B18" i="1" s="1"/>
  <c r="B19" i="1" a="1"/>
  <c r="B19" i="1" s="1"/>
  <c r="B20" i="1" a="1"/>
  <c r="B20" i="1" s="1"/>
  <c r="B21" i="1" a="1"/>
  <c r="B21" i="1" s="1"/>
  <c r="D21" i="31"/>
  <c r="D20" i="31"/>
  <c r="D19" i="31"/>
  <c r="D18" i="31"/>
  <c r="D17" i="31"/>
  <c r="D16" i="31"/>
  <c r="D15" i="31"/>
  <c r="D14" i="31"/>
  <c r="D13" i="31"/>
  <c r="D12" i="31"/>
  <c r="D11" i="31"/>
  <c r="D10" i="31"/>
  <c r="D9" i="31"/>
  <c r="D8" i="31"/>
  <c r="D7" i="31"/>
  <c r="D6" i="31"/>
  <c r="D5" i="31"/>
  <c r="D4" i="31"/>
  <c r="D3" i="31"/>
  <c r="D2" i="31"/>
  <c r="B374" i="45"/>
  <c r="B375" i="45" s="1"/>
  <c r="B376" i="45" s="1"/>
  <c r="B377" i="45" s="1"/>
  <c r="B378" i="45" s="1"/>
  <c r="B379" i="45" s="1"/>
  <c r="B380" i="45" s="1"/>
  <c r="B381" i="45" s="1"/>
  <c r="B373" i="45"/>
  <c r="B363" i="45"/>
  <c r="B364" i="45" s="1"/>
  <c r="B365" i="45" s="1"/>
  <c r="B366" i="45" s="1"/>
  <c r="B367" i="45" s="1"/>
  <c r="B368" i="45" s="1"/>
  <c r="B369" i="45" s="1"/>
  <c r="B370" i="45" s="1"/>
  <c r="B371" i="45" s="1"/>
  <c r="B353" i="45"/>
  <c r="B354" i="45" s="1"/>
  <c r="B355" i="45" s="1"/>
  <c r="B356" i="45" s="1"/>
  <c r="B357" i="45" s="1"/>
  <c r="B358" i="45" s="1"/>
  <c r="B359" i="45" s="1"/>
  <c r="B360" i="45" s="1"/>
  <c r="B361" i="45" s="1"/>
  <c r="B343" i="45"/>
  <c r="B344" i="45" s="1"/>
  <c r="B345" i="45" s="1"/>
  <c r="B346" i="45" s="1"/>
  <c r="B347" i="45" s="1"/>
  <c r="B348" i="45" s="1"/>
  <c r="B349" i="45" s="1"/>
  <c r="B350" i="45" s="1"/>
  <c r="B351" i="45" s="1"/>
  <c r="B333" i="45"/>
  <c r="B334" i="45" s="1"/>
  <c r="B335" i="45" s="1"/>
  <c r="B336" i="45" s="1"/>
  <c r="B337" i="45" s="1"/>
  <c r="B338" i="45" s="1"/>
  <c r="B339" i="45" s="1"/>
  <c r="B340" i="45" s="1"/>
  <c r="B341" i="45" s="1"/>
  <c r="B323" i="45"/>
  <c r="B324" i="45" s="1"/>
  <c r="B325" i="45" s="1"/>
  <c r="B326" i="45" s="1"/>
  <c r="B327" i="45" s="1"/>
  <c r="B328" i="45" s="1"/>
  <c r="B329" i="45" s="1"/>
  <c r="B330" i="45" s="1"/>
  <c r="B331" i="45" s="1"/>
  <c r="B313" i="45"/>
  <c r="B314" i="45" s="1"/>
  <c r="B315" i="45" s="1"/>
  <c r="B316" i="45" s="1"/>
  <c r="B317" i="45" s="1"/>
  <c r="B318" i="45" s="1"/>
  <c r="B319" i="45" s="1"/>
  <c r="B320" i="45" s="1"/>
  <c r="B321" i="45" s="1"/>
  <c r="B303" i="45"/>
  <c r="B304" i="45" s="1"/>
  <c r="B305" i="45" s="1"/>
  <c r="B306" i="45" s="1"/>
  <c r="B307" i="45" s="1"/>
  <c r="B308" i="45" s="1"/>
  <c r="B309" i="45" s="1"/>
  <c r="B310" i="45" s="1"/>
  <c r="B311" i="45" s="1"/>
  <c r="B294" i="45"/>
  <c r="B295" i="45" s="1"/>
  <c r="B296" i="45" s="1"/>
  <c r="B297" i="45" s="1"/>
  <c r="B298" i="45" s="1"/>
  <c r="B299" i="45" s="1"/>
  <c r="B300" i="45" s="1"/>
  <c r="B301" i="45" s="1"/>
  <c r="B293" i="45"/>
  <c r="B283" i="45"/>
  <c r="B284" i="45" s="1"/>
  <c r="B285" i="45" s="1"/>
  <c r="B286" i="45" s="1"/>
  <c r="B287" i="45" s="1"/>
  <c r="B288" i="45" s="1"/>
  <c r="B289" i="45" s="1"/>
  <c r="B290" i="45" s="1"/>
  <c r="B291" i="45" s="1"/>
  <c r="B273" i="45"/>
  <c r="B274" i="45" s="1"/>
  <c r="B275" i="45" s="1"/>
  <c r="B276" i="45" s="1"/>
  <c r="B277" i="45" s="1"/>
  <c r="B278" i="45" s="1"/>
  <c r="B279" i="45" s="1"/>
  <c r="B280" i="45" s="1"/>
  <c r="B281" i="45" s="1"/>
  <c r="B263" i="45"/>
  <c r="B264" i="45" s="1"/>
  <c r="B265" i="45" s="1"/>
  <c r="B266" i="45" s="1"/>
  <c r="B267" i="45" s="1"/>
  <c r="B268" i="45" s="1"/>
  <c r="B269" i="45" s="1"/>
  <c r="B270" i="45" s="1"/>
  <c r="B271" i="45" s="1"/>
  <c r="B253" i="45"/>
  <c r="B254" i="45" s="1"/>
  <c r="B255" i="45" s="1"/>
  <c r="B256" i="45" s="1"/>
  <c r="B257" i="45" s="1"/>
  <c r="B258" i="45" s="1"/>
  <c r="B259" i="45" s="1"/>
  <c r="B260" i="45" s="1"/>
  <c r="B261" i="45" s="1"/>
  <c r="B243" i="45"/>
  <c r="B244" i="45" s="1"/>
  <c r="B245" i="45" s="1"/>
  <c r="B246" i="45" s="1"/>
  <c r="B247" i="45" s="1"/>
  <c r="B248" i="45" s="1"/>
  <c r="B249" i="45" s="1"/>
  <c r="B250" i="45" s="1"/>
  <c r="B251" i="45" s="1"/>
  <c r="B233" i="45"/>
  <c r="B234" i="45" s="1"/>
  <c r="B235" i="45" s="1"/>
  <c r="B236" i="45" s="1"/>
  <c r="B237" i="45" s="1"/>
  <c r="B238" i="45" s="1"/>
  <c r="B239" i="45" s="1"/>
  <c r="B240" i="45" s="1"/>
  <c r="B241" i="45" s="1"/>
  <c r="B223" i="45"/>
  <c r="B224" i="45" s="1"/>
  <c r="B225" i="45" s="1"/>
  <c r="B226" i="45" s="1"/>
  <c r="B227" i="45" s="1"/>
  <c r="B228" i="45" s="1"/>
  <c r="B229" i="45" s="1"/>
  <c r="B230" i="45" s="1"/>
  <c r="B231" i="45" s="1"/>
  <c r="B214" i="45"/>
  <c r="B215" i="45" s="1"/>
  <c r="B216" i="45" s="1"/>
  <c r="B217" i="45" s="1"/>
  <c r="B218" i="45" s="1"/>
  <c r="B219" i="45" s="1"/>
  <c r="B220" i="45" s="1"/>
  <c r="B221" i="45" s="1"/>
  <c r="B213" i="45"/>
  <c r="B203" i="45"/>
  <c r="B204" i="45" s="1"/>
  <c r="B205" i="45" s="1"/>
  <c r="B206" i="45" s="1"/>
  <c r="B207" i="45" s="1"/>
  <c r="B208" i="45" s="1"/>
  <c r="B209" i="45" s="1"/>
  <c r="B210" i="45" s="1"/>
  <c r="B211" i="45" s="1"/>
  <c r="B193" i="45"/>
  <c r="B194" i="45" s="1"/>
  <c r="B195" i="45" s="1"/>
  <c r="B196" i="45" s="1"/>
  <c r="B197" i="45" s="1"/>
  <c r="B198" i="45" s="1"/>
  <c r="B199" i="45" s="1"/>
  <c r="B200" i="45" s="1"/>
  <c r="B201" i="45" s="1"/>
  <c r="B183" i="45"/>
  <c r="B184" i="45" s="1"/>
  <c r="B185" i="45" s="1"/>
  <c r="B186" i="45" s="1"/>
  <c r="B187" i="45" s="1"/>
  <c r="B188" i="45" s="1"/>
  <c r="B189" i="45" s="1"/>
  <c r="B190" i="45" s="1"/>
  <c r="B191" i="45" s="1"/>
  <c r="B173" i="45"/>
  <c r="B174" i="45" s="1"/>
  <c r="B175" i="45" s="1"/>
  <c r="B176" i="45" s="1"/>
  <c r="B177" i="45" s="1"/>
  <c r="B178" i="45" s="1"/>
  <c r="B179" i="45" s="1"/>
  <c r="B180" i="45" s="1"/>
  <c r="B181" i="45" s="1"/>
  <c r="B163" i="45"/>
  <c r="B164" i="45" s="1"/>
  <c r="B165" i="45" s="1"/>
  <c r="B166" i="45" s="1"/>
  <c r="B167" i="45" s="1"/>
  <c r="B168" i="45" s="1"/>
  <c r="B169" i="45" s="1"/>
  <c r="B170" i="45" s="1"/>
  <c r="B171" i="45" s="1"/>
  <c r="B153" i="45"/>
  <c r="B154" i="45" s="1"/>
  <c r="B155" i="45" s="1"/>
  <c r="B156" i="45" s="1"/>
  <c r="B157" i="45" s="1"/>
  <c r="B158" i="45" s="1"/>
  <c r="B159" i="45" s="1"/>
  <c r="B160" i="45" s="1"/>
  <c r="B161" i="45" s="1"/>
  <c r="B143" i="45"/>
  <c r="B144" i="45" s="1"/>
  <c r="B145" i="45" s="1"/>
  <c r="B146" i="45" s="1"/>
  <c r="B147" i="45" s="1"/>
  <c r="B148" i="45" s="1"/>
  <c r="B149" i="45" s="1"/>
  <c r="B150" i="45" s="1"/>
  <c r="B151" i="45" s="1"/>
  <c r="B134" i="45"/>
  <c r="B135" i="45" s="1"/>
  <c r="B136" i="45" s="1"/>
  <c r="B137" i="45" s="1"/>
  <c r="B138" i="45" s="1"/>
  <c r="B139" i="45" s="1"/>
  <c r="B140" i="45" s="1"/>
  <c r="B141" i="45" s="1"/>
  <c r="B133" i="45"/>
  <c r="B123" i="45"/>
  <c r="B124" i="45" s="1"/>
  <c r="B125" i="45" s="1"/>
  <c r="B126" i="45" s="1"/>
  <c r="B127" i="45" s="1"/>
  <c r="B128" i="45" s="1"/>
  <c r="B129" i="45" s="1"/>
  <c r="B130" i="45" s="1"/>
  <c r="B131" i="45" s="1"/>
  <c r="B116" i="45"/>
  <c r="B117" i="45" s="1"/>
  <c r="B118" i="45" s="1"/>
  <c r="B119" i="45" s="1"/>
  <c r="B120" i="45" s="1"/>
  <c r="B121" i="45" s="1"/>
  <c r="B113" i="45"/>
  <c r="B114" i="45" s="1"/>
  <c r="B115" i="45" s="1"/>
  <c r="B103" i="45"/>
  <c r="B104" i="45" s="1"/>
  <c r="B105" i="45" s="1"/>
  <c r="B106" i="45" s="1"/>
  <c r="B107" i="45" s="1"/>
  <c r="B108" i="45" s="1"/>
  <c r="B109" i="45" s="1"/>
  <c r="B110" i="45" s="1"/>
  <c r="B111" i="45" s="1"/>
  <c r="B93" i="45"/>
  <c r="B94" i="45" s="1"/>
  <c r="B95" i="45" s="1"/>
  <c r="B96" i="45" s="1"/>
  <c r="B97" i="45" s="1"/>
  <c r="B98" i="45" s="1"/>
  <c r="B99" i="45" s="1"/>
  <c r="B100" i="45" s="1"/>
  <c r="B101" i="45" s="1"/>
  <c r="B83" i="45"/>
  <c r="B84" i="45" s="1"/>
  <c r="B85" i="45" s="1"/>
  <c r="B86" i="45" s="1"/>
  <c r="B87" i="45" s="1"/>
  <c r="B88" i="45" s="1"/>
  <c r="B89" i="45" s="1"/>
  <c r="B90" i="45" s="1"/>
  <c r="B91" i="45" s="1"/>
  <c r="B80" i="45"/>
  <c r="B81" i="45" s="1"/>
  <c r="B73" i="45"/>
  <c r="B74" i="45" s="1"/>
  <c r="B75" i="45" s="1"/>
  <c r="B76" i="45" s="1"/>
  <c r="B77" i="45" s="1"/>
  <c r="B78" i="45" s="1"/>
  <c r="B79" i="45" s="1"/>
  <c r="B63" i="45"/>
  <c r="B64" i="45" s="1"/>
  <c r="B65" i="45" s="1"/>
  <c r="B66" i="45" s="1"/>
  <c r="B67" i="45" s="1"/>
  <c r="B68" i="45" s="1"/>
  <c r="B69" i="45" s="1"/>
  <c r="B70" i="45" s="1"/>
  <c r="B71" i="45" s="1"/>
  <c r="B60" i="45"/>
  <c r="B53" i="45"/>
  <c r="B54" i="45" s="1"/>
  <c r="B55" i="45" s="1"/>
  <c r="B56" i="45" s="1"/>
  <c r="B57" i="45" s="1"/>
  <c r="B58" i="45" s="1"/>
  <c r="B51" i="45"/>
  <c r="B43" i="45"/>
  <c r="B44" i="45" s="1"/>
  <c r="B45" i="45" s="1"/>
  <c r="B46" i="45" s="1"/>
  <c r="B47" i="45" s="1"/>
  <c r="B48" i="45" s="1"/>
  <c r="B49" i="45" s="1"/>
  <c r="B7" i="45"/>
  <c r="B4" i="45"/>
  <c r="B5" i="45" s="1"/>
  <c r="B6" i="45" s="1"/>
  <c r="I14" i="44" l="1"/>
  <c r="I18" i="44"/>
  <c r="M30" i="37" a="1"/>
  <c r="M30" i="37" s="1"/>
  <c r="M562" i="37" a="1"/>
  <c r="M562" i="37" s="1"/>
  <c r="M66" i="37" a="1"/>
  <c r="M66" i="37" s="1"/>
  <c r="M16" i="37" a="1"/>
  <c r="M16" i="37" s="1"/>
  <c r="M110" i="37" a="1"/>
  <c r="M110" i="37" s="1"/>
  <c r="M114" i="37" a="1"/>
  <c r="M114" i="37" s="1"/>
  <c r="M6" i="37" a="1"/>
  <c r="M6" i="37" s="1"/>
  <c r="M536" i="37" a="1"/>
  <c r="M536" i="37" s="1"/>
  <c r="M373" i="37" a="1"/>
  <c r="M373" i="37" s="1"/>
  <c r="M552" i="37" a="1"/>
  <c r="M552" i="37" s="1"/>
  <c r="M162" i="37" a="1"/>
  <c r="M162" i="37" s="1"/>
  <c r="M138" i="37" a="1"/>
  <c r="M138" i="37" s="1"/>
  <c r="M230" i="37" a="1"/>
  <c r="M230" i="37" s="1"/>
  <c r="M202" i="37" a="1"/>
  <c r="M202" i="37" s="1"/>
  <c r="M374" i="37" a="1"/>
  <c r="M374" i="37" s="1"/>
  <c r="M168" i="37" a="1"/>
  <c r="M168" i="37" s="1"/>
  <c r="M27" i="37" a="1"/>
  <c r="M27" i="37" s="1"/>
  <c r="M535" i="37" a="1"/>
  <c r="M535" i="37" s="1"/>
  <c r="M543" i="37" a="1"/>
  <c r="M543" i="37" s="1"/>
  <c r="M45" i="37" a="1"/>
  <c r="M45" i="37" s="1"/>
  <c r="M65" i="37" a="1"/>
  <c r="M65" i="37" s="1"/>
  <c r="M88" i="37" a="1"/>
  <c r="M88" i="37" s="1"/>
  <c r="M95" i="37" a="1"/>
  <c r="M95" i="37" s="1"/>
  <c r="M637" i="37" a="1"/>
  <c r="M637" i="37" s="1"/>
  <c r="M53" i="37" a="1"/>
  <c r="M53" i="37" s="1"/>
  <c r="M137" i="37" a="1"/>
  <c r="M137" i="37" s="1"/>
  <c r="M555" i="37" a="1"/>
  <c r="M555" i="37" s="1"/>
  <c r="M539" i="37" a="1"/>
  <c r="M539" i="37" s="1"/>
  <c r="M541" i="37" a="1"/>
  <c r="M541" i="37" s="1"/>
  <c r="M59" i="37" a="1"/>
  <c r="M59" i="37" s="1"/>
  <c r="M35" i="37" a="1"/>
  <c r="M35" i="37" s="1"/>
  <c r="M440" i="37" a="1"/>
  <c r="M440" i="37" s="1"/>
  <c r="M330" i="37" a="1"/>
  <c r="M330" i="37" s="1"/>
  <c r="M22" i="37" a="1"/>
  <c r="M22" i="37" s="1"/>
  <c r="M107" i="37" a="1"/>
  <c r="M107" i="37" s="1"/>
  <c r="M565" i="37" a="1"/>
  <c r="M565" i="37" s="1"/>
  <c r="M316" i="37" a="1"/>
  <c r="M316" i="37" s="1"/>
  <c r="M208" i="37" a="1"/>
  <c r="M208" i="37" s="1"/>
  <c r="M130" i="37" a="1"/>
  <c r="M130" i="37" s="1"/>
  <c r="M219" i="37" a="1"/>
  <c r="M219" i="37" s="1"/>
  <c r="M334" i="37" a="1"/>
  <c r="M334" i="37" s="1"/>
  <c r="M439" i="37" a="1"/>
  <c r="M439" i="37" s="1"/>
  <c r="M567" i="37" a="1"/>
  <c r="M567" i="37" s="1"/>
  <c r="M528" i="37" a="1"/>
  <c r="M528" i="37" s="1"/>
  <c r="M639" i="37" a="1"/>
  <c r="M639" i="37" s="1"/>
  <c r="M34" i="37" a="1"/>
  <c r="M34" i="37" s="1"/>
  <c r="M170" i="37" a="1"/>
  <c r="M170" i="37" s="1"/>
  <c r="M443" i="37" a="1"/>
  <c r="M443" i="37" s="1"/>
  <c r="M605" i="37" a="1"/>
  <c r="M605" i="37" s="1"/>
  <c r="M29" i="37" a="1"/>
  <c r="M29" i="37" s="1"/>
  <c r="M134" i="37" a="1"/>
  <c r="M134" i="37" s="1"/>
  <c r="M415" i="37" a="1"/>
  <c r="M415" i="37" s="1"/>
  <c r="M200" i="37" a="1"/>
  <c r="M200" i="37" s="1"/>
  <c r="M621" i="37" a="1"/>
  <c r="M621" i="37" s="1"/>
  <c r="M474" i="37" a="1"/>
  <c r="M474" i="37" s="1"/>
  <c r="M261" i="37" a="1"/>
  <c r="M261" i="37" s="1"/>
  <c r="M414" i="37" a="1"/>
  <c r="M414" i="37" s="1"/>
  <c r="M293" i="37" a="1"/>
  <c r="M293" i="37" s="1"/>
  <c r="M527" i="37" a="1"/>
  <c r="M527" i="37" s="1"/>
  <c r="M173" i="37" a="1"/>
  <c r="M173" i="37" s="1"/>
  <c r="M262" i="37" a="1"/>
  <c r="M262" i="37" s="1"/>
  <c r="M411" i="37" a="1"/>
  <c r="M411" i="37" s="1"/>
  <c r="M264" i="37" a="1"/>
  <c r="M264" i="37" s="1"/>
  <c r="M521" i="37" a="1"/>
  <c r="M521" i="37" s="1"/>
  <c r="M524" i="37" a="1"/>
  <c r="M524" i="37" s="1"/>
  <c r="M157" i="37" a="1"/>
  <c r="M157" i="37" s="1"/>
  <c r="M259" i="37" a="1"/>
  <c r="M259" i="37" s="1"/>
  <c r="M593" i="37" a="1"/>
  <c r="M593" i="37" s="1"/>
  <c r="M294" i="37" a="1"/>
  <c r="M294" i="37" s="1"/>
  <c r="M468" i="37" a="1"/>
  <c r="M468" i="37" s="1"/>
  <c r="M263" i="37" a="1"/>
  <c r="M263" i="37" s="1"/>
  <c r="M523" i="37" a="1"/>
  <c r="M523" i="37" s="1"/>
  <c r="M356" i="37" a="1"/>
  <c r="M356" i="37" s="1"/>
  <c r="M634" i="37" a="1"/>
  <c r="M634" i="37" s="1"/>
  <c r="M158" i="37" a="1"/>
  <c r="M158" i="37" s="1"/>
  <c r="M413" i="37" a="1"/>
  <c r="M413" i="37" s="1"/>
  <c r="M522" i="37" a="1"/>
  <c r="M522" i="37" s="1"/>
  <c r="M635" i="37" a="1"/>
  <c r="M635" i="37" s="1"/>
  <c r="M258" i="37" a="1"/>
  <c r="M258" i="37" s="1"/>
  <c r="M410" i="37" a="1"/>
  <c r="M410" i="37" s="1"/>
  <c r="M431" i="37" a="1"/>
  <c r="M431" i="37" s="1"/>
  <c r="M638" i="37" a="1"/>
  <c r="M638" i="37" s="1"/>
  <c r="M363" i="37" a="1"/>
  <c r="M363" i="37" s="1"/>
  <c r="M489" i="37" a="1"/>
  <c r="M489" i="37" s="1"/>
  <c r="M409" i="37" a="1"/>
  <c r="M409" i="37" s="1"/>
  <c r="M124" i="37" a="1"/>
  <c r="M124" i="37" s="1"/>
  <c r="M577" i="37" a="1"/>
  <c r="M577" i="37" s="1"/>
  <c r="M375" i="37" a="1"/>
  <c r="M375" i="37" s="1"/>
  <c r="M288" i="37" a="1"/>
  <c r="M288" i="37" s="1"/>
  <c r="M71" i="37" a="1"/>
  <c r="M71" i="37" s="1"/>
  <c r="M24" i="37" a="1"/>
  <c r="M24" i="37" s="1"/>
  <c r="M122" i="37" a="1"/>
  <c r="M122" i="37" s="1"/>
  <c r="M569" i="37" a="1"/>
  <c r="M569" i="37" s="1"/>
  <c r="M310" i="37" a="1"/>
  <c r="M310" i="37" s="1"/>
  <c r="M169" i="37" a="1"/>
  <c r="M169" i="37" s="1"/>
  <c r="M300" i="37" a="1"/>
  <c r="M300" i="37" s="1"/>
  <c r="M303" i="37" a="1"/>
  <c r="M303" i="37" s="1"/>
  <c r="M5" i="37" a="1"/>
  <c r="M5" i="37" s="1"/>
  <c r="M211" i="37" a="1"/>
  <c r="M211" i="37" s="1"/>
  <c r="M376" i="37" a="1"/>
  <c r="M376" i="37" s="1"/>
  <c r="M139" i="37" a="1"/>
  <c r="M139" i="37" s="1"/>
  <c r="M298" i="37" a="1"/>
  <c r="M298" i="37" s="1"/>
  <c r="M312" i="37" a="1"/>
  <c r="M312" i="37" s="1"/>
  <c r="M423" i="37" a="1"/>
  <c r="M423" i="37" s="1"/>
  <c r="M599" i="37" a="1"/>
  <c r="M599" i="37" s="1"/>
  <c r="M172" i="37" a="1"/>
  <c r="M172" i="37" s="1"/>
  <c r="M377" i="37" a="1"/>
  <c r="M377" i="37" s="1"/>
  <c r="M636" i="37" a="1"/>
  <c r="M636" i="37" s="1"/>
  <c r="M525" i="37" a="1"/>
  <c r="M525" i="37" s="1"/>
  <c r="M240" i="37" a="1"/>
  <c r="M240" i="37" s="1"/>
  <c r="M126" i="37" a="1"/>
  <c r="M126" i="37" s="1"/>
  <c r="M480" i="37" a="1"/>
  <c r="M480" i="37" s="1"/>
  <c r="M260" i="37" a="1"/>
  <c r="M260" i="37" s="1"/>
  <c r="M280" i="37" a="1"/>
  <c r="M280" i="37" s="1"/>
  <c r="M123" i="37" a="1"/>
  <c r="M123" i="37" s="1"/>
  <c r="M364" i="37" a="1"/>
  <c r="M364" i="37" s="1"/>
  <c r="M320" i="37" a="1"/>
  <c r="M320" i="37" s="1"/>
  <c r="M340" i="37" a="1"/>
  <c r="M340" i="37" s="1"/>
  <c r="M56" i="37" a="1"/>
  <c r="M56" i="37" s="1"/>
  <c r="M163" i="37" a="1"/>
  <c r="M163" i="37" s="1"/>
  <c r="M152" i="37" a="1"/>
  <c r="M152" i="37" s="1"/>
  <c r="M571" i="37" a="1"/>
  <c r="M571" i="37" s="1"/>
  <c r="M228" i="37" a="1"/>
  <c r="M228" i="37" s="1"/>
  <c r="M509" i="37" a="1"/>
  <c r="M509" i="37" s="1"/>
  <c r="M86" i="37" a="1"/>
  <c r="M86" i="37" s="1"/>
  <c r="M214" i="37" a="1"/>
  <c r="M214" i="37" s="1"/>
  <c r="M304" i="37" a="1"/>
  <c r="M304" i="37" s="1"/>
  <c r="M317" i="37" a="1"/>
  <c r="M317" i="37" s="1"/>
  <c r="M37" i="37" a="1"/>
  <c r="M37" i="37" s="1"/>
  <c r="M332" i="37" a="1"/>
  <c r="M332" i="37" s="1"/>
  <c r="M166" i="37" a="1"/>
  <c r="M166" i="37" s="1"/>
  <c r="M315" i="37" a="1"/>
  <c r="M315" i="37" s="1"/>
  <c r="M458" i="37" a="1"/>
  <c r="M458" i="37" s="1"/>
  <c r="M103" i="37" a="1"/>
  <c r="M103" i="37" s="1"/>
  <c r="M135" i="37" a="1"/>
  <c r="M135" i="37" s="1"/>
  <c r="M112" i="37" a="1"/>
  <c r="M112" i="37" s="1"/>
  <c r="M545" i="37" a="1"/>
  <c r="M545" i="37" s="1"/>
  <c r="M108" i="37" a="1"/>
  <c r="M108" i="37" s="1"/>
  <c r="M231" i="37" a="1"/>
  <c r="M231" i="37" s="1"/>
  <c r="M161" i="37" a="1"/>
  <c r="M161" i="37" s="1"/>
  <c r="M12" i="37" a="1"/>
  <c r="M12" i="37" s="1"/>
  <c r="M196" i="37" a="1"/>
  <c r="M196" i="37" s="1"/>
  <c r="M544" i="37" a="1"/>
  <c r="M544" i="37" s="1"/>
  <c r="M136" i="37" a="1"/>
  <c r="M136" i="37" s="1"/>
  <c r="M94" i="37" a="1"/>
  <c r="M94" i="37" s="1"/>
  <c r="M592" i="37" a="1"/>
  <c r="M592" i="37" s="1"/>
  <c r="M3" i="37" a="1"/>
  <c r="M3" i="37" s="1"/>
  <c r="M547" i="37" a="1"/>
  <c r="M547" i="37" s="1"/>
  <c r="M540" i="37" a="1"/>
  <c r="M540" i="37" s="1"/>
  <c r="M9" i="37" a="1"/>
  <c r="M9" i="37" s="1"/>
  <c r="M159" i="37" a="1"/>
  <c r="M159" i="37" s="1"/>
  <c r="M55" i="37" a="1"/>
  <c r="M55" i="37" s="1"/>
  <c r="M182" i="37" a="1"/>
  <c r="M182" i="37" s="1"/>
  <c r="M546" i="37" a="1"/>
  <c r="M546" i="37" s="1"/>
  <c r="M48" i="37" a="1"/>
  <c r="M48" i="37" s="1"/>
  <c r="M50" i="37" a="1"/>
  <c r="M50" i="37" s="1"/>
  <c r="M566" i="37" a="1"/>
  <c r="M566" i="37" s="1"/>
  <c r="M623" i="37" a="1"/>
  <c r="M623" i="37" s="1"/>
  <c r="M625" i="37" a="1"/>
  <c r="M625" i="37" s="1"/>
  <c r="M149" i="37" a="1"/>
  <c r="M149" i="37" s="1"/>
  <c r="M160" i="37" a="1"/>
  <c r="M160" i="37" s="1"/>
  <c r="M215" i="37" a="1"/>
  <c r="M215" i="37" s="1"/>
  <c r="M49" i="37" a="1"/>
  <c r="M49" i="37" s="1"/>
  <c r="M421" i="37" a="1"/>
  <c r="M421" i="37" s="1"/>
  <c r="M508" i="37" a="1"/>
  <c r="M508" i="37" s="1"/>
  <c r="M83" i="37" a="1"/>
  <c r="M83" i="37" s="1"/>
  <c r="M222" i="37" a="1"/>
  <c r="M222" i="37" s="1"/>
  <c r="M237" i="37" a="1"/>
  <c r="M237" i="37" s="1"/>
  <c r="M318" i="37" a="1"/>
  <c r="M318" i="37" s="1"/>
  <c r="M429" i="37" a="1"/>
  <c r="M429" i="37" s="1"/>
  <c r="M394" i="37" a="1"/>
  <c r="M394" i="37" s="1"/>
  <c r="M341" i="37" a="1"/>
  <c r="M341" i="37" s="1"/>
  <c r="M457" i="37" a="1"/>
  <c r="M457" i="37" s="1"/>
  <c r="M507" i="37" a="1"/>
  <c r="M507" i="37" s="1"/>
  <c r="M395" i="37" a="1"/>
  <c r="M395" i="37" s="1"/>
  <c r="M87" i="37" a="1"/>
  <c r="M87" i="37" s="1"/>
  <c r="M119" i="37" a="1"/>
  <c r="M119" i="37" s="1"/>
  <c r="M96" i="37" a="1"/>
  <c r="M96" i="37" s="1"/>
  <c r="M133" i="37" a="1"/>
  <c r="M133" i="37" s="1"/>
  <c r="M234" i="37" a="1"/>
  <c r="M234" i="37" s="1"/>
  <c r="M151" i="37" a="1"/>
  <c r="M151" i="37" s="1"/>
  <c r="M47" i="37" a="1"/>
  <c r="M47" i="37" s="1"/>
  <c r="M51" i="37" a="1"/>
  <c r="M51" i="37" s="1"/>
  <c r="M198" i="37" a="1"/>
  <c r="M198" i="37" s="1"/>
  <c r="M266" i="37" a="1"/>
  <c r="M266" i="37" s="1"/>
  <c r="M444" i="37" a="1"/>
  <c r="M444" i="37" s="1"/>
  <c r="M506" i="37" a="1"/>
  <c r="M506" i="37" s="1"/>
  <c r="M105" i="37" a="1"/>
  <c r="M105" i="37" s="1"/>
  <c r="M570" i="37" a="1"/>
  <c r="M570" i="37" s="1"/>
  <c r="M607" i="37" a="1"/>
  <c r="M607" i="37" s="1"/>
  <c r="M397" i="37" a="1"/>
  <c r="M397" i="37" s="1"/>
  <c r="M488" i="37" a="1"/>
  <c r="M488" i="37" s="1"/>
  <c r="M148" i="37" a="1"/>
  <c r="M148" i="37" s="1"/>
  <c r="M31" i="37" a="1"/>
  <c r="M31" i="37" s="1"/>
  <c r="M396" i="37" a="1"/>
  <c r="M396" i="37" s="1"/>
  <c r="M432" i="37" a="1"/>
  <c r="M432" i="37" s="1"/>
  <c r="M284" i="37" a="1"/>
  <c r="M284" i="37" s="1"/>
  <c r="M369" i="37" a="1"/>
  <c r="M369" i="37" s="1"/>
  <c r="M611" i="37" a="1"/>
  <c r="M611" i="37" s="1"/>
  <c r="M467" i="37" a="1"/>
  <c r="M467" i="37" s="1"/>
  <c r="M433" i="37" a="1"/>
  <c r="M433" i="37" s="1"/>
  <c r="M245" i="37" a="1"/>
  <c r="M245" i="37" s="1"/>
  <c r="M181" i="37" a="1"/>
  <c r="M181" i="37" s="1"/>
  <c r="M79" i="37" a="1"/>
  <c r="M79" i="37" s="1"/>
  <c r="M564" i="37" a="1"/>
  <c r="M564" i="37" s="1"/>
  <c r="M97" i="37" a="1"/>
  <c r="M97" i="37" s="1"/>
  <c r="M461" i="37" a="1"/>
  <c r="M461" i="37" s="1"/>
  <c r="M447" i="37" a="1"/>
  <c r="M447" i="37" s="1"/>
  <c r="M608" i="37" a="1"/>
  <c r="M608" i="37" s="1"/>
  <c r="M515" i="37" a="1"/>
  <c r="M515" i="37" s="1"/>
  <c r="M502" i="37" a="1"/>
  <c r="M502" i="37" s="1"/>
  <c r="M460" i="37" a="1"/>
  <c r="M460" i="37" s="1"/>
  <c r="M451" i="37" a="1"/>
  <c r="M451" i="37" s="1"/>
  <c r="M273" i="37" a="1"/>
  <c r="M273" i="37" s="1"/>
  <c r="M351" i="37" a="1"/>
  <c r="M351" i="37" s="1"/>
  <c r="M517" i="37" a="1"/>
  <c r="M517" i="37" s="1"/>
  <c r="M357" i="37" a="1"/>
  <c r="M357" i="37" s="1"/>
  <c r="M620" i="37" a="1"/>
  <c r="M620" i="37" s="1"/>
  <c r="M380" i="37" a="1"/>
  <c r="M380" i="37" s="1"/>
  <c r="M483" i="37" a="1"/>
  <c r="M483" i="37" s="1"/>
  <c r="M481" i="37" a="1"/>
  <c r="M481" i="37" s="1"/>
  <c r="M589" i="37" a="1"/>
  <c r="M589" i="37" s="1"/>
  <c r="M478" i="37" a="1"/>
  <c r="M478" i="37" s="1"/>
  <c r="M476" i="37" a="1"/>
  <c r="M476" i="37" s="1"/>
  <c r="M389" i="37" a="1"/>
  <c r="M389" i="37" s="1"/>
  <c r="M383" i="37" a="1"/>
  <c r="M383" i="37" s="1"/>
  <c r="M289" i="37" a="1"/>
  <c r="M289" i="37" s="1"/>
  <c r="M430" i="37" a="1"/>
  <c r="M430" i="37" s="1"/>
  <c r="M473" i="37" a="1"/>
  <c r="M473" i="37" s="1"/>
  <c r="M472" i="37" a="1"/>
  <c r="M472" i="37" s="1"/>
  <c r="M603" i="37" a="1"/>
  <c r="M603" i="37" s="1"/>
  <c r="M602" i="37" a="1"/>
  <c r="M602" i="37" s="1"/>
  <c r="M417" i="37" a="1"/>
  <c r="M417" i="37" s="1"/>
  <c r="M81" i="37" a="1"/>
  <c r="M81" i="37" s="1"/>
  <c r="M145" i="37" a="1"/>
  <c r="M145" i="37" s="1"/>
  <c r="M371" i="37" a="1"/>
  <c r="M371" i="37" s="1"/>
  <c r="M52" i="37" a="1"/>
  <c r="M52" i="37" s="1"/>
  <c r="M309" i="37" a="1"/>
  <c r="M309" i="37" s="1"/>
  <c r="M235" i="37" a="1"/>
  <c r="M235" i="37" s="1"/>
  <c r="M282" i="37" a="1"/>
  <c r="M282" i="37" s="1"/>
  <c r="M80" i="37" a="1"/>
  <c r="M80" i="37" s="1"/>
  <c r="M194" i="37" a="1"/>
  <c r="M194" i="37" s="1"/>
  <c r="M437" i="37" a="1"/>
  <c r="M437" i="37" s="1"/>
  <c r="M597" i="37" a="1"/>
  <c r="M597" i="37" s="1"/>
  <c r="M193" i="37" a="1"/>
  <c r="M193" i="37" s="1"/>
  <c r="M361" i="37" a="1"/>
  <c r="M361" i="37" s="1"/>
  <c r="M224" i="37" a="1"/>
  <c r="M224" i="37" s="1"/>
  <c r="M154" i="37" a="1"/>
  <c r="M154" i="37" s="1"/>
  <c r="M128" i="37" a="1"/>
  <c r="M128" i="37" s="1"/>
  <c r="M578" i="37" a="1"/>
  <c r="M578" i="37" s="1"/>
  <c r="M106" i="37" a="1"/>
  <c r="M106" i="37" s="1"/>
  <c r="M125" i="37" a="1"/>
  <c r="M125" i="37" s="1"/>
  <c r="M596" i="37" a="1"/>
  <c r="M596" i="37" s="1"/>
  <c r="M188" i="37" a="1"/>
  <c r="M188" i="37" s="1"/>
  <c r="M176" i="37" a="1"/>
  <c r="M176" i="37" s="1"/>
  <c r="M117" i="37" a="1"/>
  <c r="M117" i="37" s="1"/>
  <c r="M116" i="37" a="1"/>
  <c r="M116" i="37" s="1"/>
  <c r="M61" i="37" a="1"/>
  <c r="M61" i="37" s="1"/>
  <c r="M41" i="37" a="1"/>
  <c r="M41" i="37" s="1"/>
  <c r="M21" i="37" a="1"/>
  <c r="M21" i="37" s="1"/>
  <c r="M20" i="37" a="1"/>
  <c r="M20" i="37" s="1"/>
  <c r="M4" i="37" a="1"/>
  <c r="M4" i="37" s="1"/>
  <c r="M2" i="37" a="1"/>
  <c r="M2" i="37" s="1"/>
  <c r="M462" i="37" a="1"/>
  <c r="M462" i="37" s="1"/>
  <c r="M295" i="37" a="1"/>
  <c r="M295" i="37" s="1"/>
  <c r="M350" i="37" a="1"/>
  <c r="M350" i="37" s="1"/>
  <c r="M514" i="37" a="1"/>
  <c r="M514" i="37" s="1"/>
  <c r="M629" i="37" a="1"/>
  <c r="M629" i="37" s="1"/>
  <c r="M497" i="37" a="1"/>
  <c r="M497" i="37" s="1"/>
  <c r="M453" i="37" a="1"/>
  <c r="M453" i="37" s="1"/>
  <c r="M494" i="37" a="1"/>
  <c r="M494" i="37" s="1"/>
  <c r="M470" i="37" a="1"/>
  <c r="M470" i="37" s="1"/>
  <c r="M436" i="37" a="1"/>
  <c r="M436" i="37" s="1"/>
  <c r="M348" i="37" a="1"/>
  <c r="M348" i="37" s="1"/>
  <c r="M393" i="37" a="1"/>
  <c r="M393" i="37" s="1"/>
  <c r="M628" i="37" a="1"/>
  <c r="M628" i="37" s="1"/>
  <c r="M484" i="37" a="1"/>
  <c r="M484" i="37" s="1"/>
  <c r="M482" i="37" a="1"/>
  <c r="M482" i="37" s="1"/>
  <c r="M587" i="37" a="1"/>
  <c r="M587" i="37" s="1"/>
  <c r="M339" i="37" a="1"/>
  <c r="M339" i="37" s="1"/>
  <c r="M400" i="37" a="1"/>
  <c r="M400" i="37" s="1"/>
  <c r="M617" i="37" a="1"/>
  <c r="M617" i="37" s="1"/>
  <c r="M616" i="37" a="1"/>
  <c r="M616" i="37" s="1"/>
  <c r="M459" i="37" a="1"/>
  <c r="M459" i="37" s="1"/>
  <c r="M329" i="37" a="1"/>
  <c r="M329" i="37" s="1"/>
  <c r="M328" i="37" a="1"/>
  <c r="M328" i="37" s="1"/>
  <c r="M287" i="37" a="1"/>
  <c r="M287" i="37" s="1"/>
  <c r="M588" i="37" a="1"/>
  <c r="M588" i="37" s="1"/>
  <c r="M323" i="37" a="1"/>
  <c r="M323" i="37" s="1"/>
  <c r="M285" i="37" a="1"/>
  <c r="M285" i="37" s="1"/>
  <c r="M601" i="37" a="1"/>
  <c r="M601" i="37" s="1"/>
  <c r="M378" i="37" a="1"/>
  <c r="M378" i="37" s="1"/>
  <c r="M60" i="37" a="1"/>
  <c r="M60" i="37" s="1"/>
  <c r="M372" i="37" a="1"/>
  <c r="M372" i="37" s="1"/>
  <c r="M585" i="37" a="1"/>
  <c r="M585" i="37" s="1"/>
  <c r="M584" i="37" a="1"/>
  <c r="M584" i="37" s="1"/>
  <c r="M583" i="37" a="1"/>
  <c r="M583" i="37" s="1"/>
  <c r="M233" i="37" a="1"/>
  <c r="M233" i="37" s="1"/>
  <c r="M600" i="37" a="1"/>
  <c r="M600" i="37" s="1"/>
  <c r="M305" i="37" a="1"/>
  <c r="M305" i="37" s="1"/>
  <c r="M301" i="37" a="1"/>
  <c r="M301" i="37" s="1"/>
  <c r="M595" i="37" a="1"/>
  <c r="M595" i="37" s="1"/>
  <c r="M557" i="37" a="1"/>
  <c r="M557" i="37" s="1"/>
  <c r="M131" i="37" a="1"/>
  <c r="M131" i="37" s="1"/>
  <c r="M153" i="37" a="1"/>
  <c r="M153" i="37" s="1"/>
  <c r="M104" i="37" a="1"/>
  <c r="M104" i="37" s="1"/>
  <c r="M210" i="37" a="1"/>
  <c r="M210" i="37" s="1"/>
  <c r="M156" i="37" a="1"/>
  <c r="M156" i="37" s="1"/>
  <c r="M186" i="37" a="1"/>
  <c r="M186" i="37" s="1"/>
  <c r="M574" i="37" a="1"/>
  <c r="M574" i="37" s="1"/>
  <c r="M549" i="37" a="1"/>
  <c r="M549" i="37" s="1"/>
  <c r="M82" i="37" a="1"/>
  <c r="M82" i="37" s="1"/>
  <c r="M101" i="37" a="1"/>
  <c r="M101" i="37" s="1"/>
  <c r="M72" i="37" a="1"/>
  <c r="M72" i="37" s="1"/>
  <c r="M46" i="37" a="1"/>
  <c r="M46" i="37" s="1"/>
  <c r="M11" i="37" a="1"/>
  <c r="M11" i="37" s="1"/>
  <c r="M360" i="37" a="1"/>
  <c r="M360" i="37" s="1"/>
  <c r="M354" i="37" a="1"/>
  <c r="M354" i="37" s="1"/>
  <c r="M349" i="37" a="1"/>
  <c r="M349" i="37" s="1"/>
  <c r="M632" i="37" a="1"/>
  <c r="M632" i="37" s="1"/>
  <c r="M630" i="37" a="1"/>
  <c r="M630" i="37" s="1"/>
  <c r="M496" i="37" a="1"/>
  <c r="M496" i="37" s="1"/>
  <c r="M448" i="37" a="1"/>
  <c r="M448" i="37" s="1"/>
  <c r="M455" i="37" a="1"/>
  <c r="M455" i="37" s="1"/>
  <c r="M347" i="37" a="1"/>
  <c r="M347" i="37" s="1"/>
  <c r="M184" i="37" a="1"/>
  <c r="M184" i="37" s="1"/>
  <c r="M487" i="37" a="1"/>
  <c r="M487" i="37" s="1"/>
  <c r="M392" i="37" a="1"/>
  <c r="M392" i="37" s="1"/>
  <c r="M346" i="37" a="1"/>
  <c r="M346" i="37" s="1"/>
  <c r="M345" i="37" a="1"/>
  <c r="M345" i="37" s="1"/>
  <c r="M252" i="37" a="1"/>
  <c r="M252" i="37" s="1"/>
  <c r="M586" i="37" a="1"/>
  <c r="M586" i="37" s="1"/>
  <c r="M573" i="37" a="1"/>
  <c r="M573" i="37" s="1"/>
  <c r="M398" i="37" a="1"/>
  <c r="M398" i="37" s="1"/>
  <c r="M338" i="37" a="1"/>
  <c r="M338" i="37" s="1"/>
  <c r="M276" i="37" a="1"/>
  <c r="M276" i="37" s="1"/>
  <c r="M426" i="37" a="1"/>
  <c r="M426" i="37" s="1"/>
  <c r="M325" i="37" a="1"/>
  <c r="M325" i="37" s="1"/>
  <c r="M322" i="37" a="1"/>
  <c r="M322" i="37" s="1"/>
  <c r="M435" i="37" a="1"/>
  <c r="M435" i="37" s="1"/>
  <c r="M314" i="37" a="1"/>
  <c r="M314" i="37" s="1"/>
  <c r="M402" i="37" a="1"/>
  <c r="M402" i="37" s="1"/>
  <c r="M419" i="37" a="1"/>
  <c r="M419" i="37" s="1"/>
  <c r="M416" i="37" a="1"/>
  <c r="M416" i="37" s="1"/>
  <c r="M244" i="37" a="1"/>
  <c r="M244" i="37" s="1"/>
  <c r="M271" i="37" a="1"/>
  <c r="M271" i="37" s="1"/>
  <c r="M612" i="37" a="1"/>
  <c r="M612" i="37" s="1"/>
  <c r="M238" i="37" a="1"/>
  <c r="M238" i="37" s="1"/>
  <c r="M269" i="37" a="1"/>
  <c r="M269" i="37" s="1"/>
  <c r="M281" i="37" a="1"/>
  <c r="M281" i="37" s="1"/>
  <c r="M98" i="37" a="1"/>
  <c r="M98" i="37" s="1"/>
  <c r="M178" i="37" a="1"/>
  <c r="M178" i="37" s="1"/>
  <c r="M275" i="37" a="1"/>
  <c r="M275" i="37" s="1"/>
  <c r="M218" i="37" a="1"/>
  <c r="M218" i="37" s="1"/>
  <c r="M90" i="37" a="1"/>
  <c r="M90" i="37" s="1"/>
  <c r="M213" i="37" a="1"/>
  <c r="M213" i="37" s="1"/>
  <c r="M209" i="37" a="1"/>
  <c r="M209" i="37" s="1"/>
  <c r="M576" i="37" a="1"/>
  <c r="M576" i="37" s="1"/>
  <c r="M207" i="37" a="1"/>
  <c r="M207" i="37" s="1"/>
  <c r="M89" i="37" a="1"/>
  <c r="M89" i="37" s="1"/>
  <c r="M64" i="37" a="1"/>
  <c r="M64" i="37" s="1"/>
  <c r="M75" i="37" a="1"/>
  <c r="M75" i="37" s="1"/>
  <c r="M57" i="37" a="1"/>
  <c r="M57" i="37" s="1"/>
  <c r="M44" i="37" a="1"/>
  <c r="M44" i="37" s="1"/>
  <c r="M40" i="37" a="1"/>
  <c r="M40" i="37" s="1"/>
  <c r="M537" i="37" a="1"/>
  <c r="M537" i="37" s="1"/>
  <c r="M25" i="37" a="1"/>
  <c r="M25" i="37" s="1"/>
  <c r="M197" i="37" a="1"/>
  <c r="M197" i="37" s="1"/>
  <c r="M516" i="37" a="1"/>
  <c r="M516" i="37" s="1"/>
  <c r="M205" i="37" a="1"/>
  <c r="M205" i="37" s="1"/>
  <c r="M513" i="37" a="1"/>
  <c r="M513" i="37" s="1"/>
  <c r="M504" i="37" a="1"/>
  <c r="M504" i="37" s="1"/>
  <c r="M491" i="37" a="1"/>
  <c r="M491" i="37" s="1"/>
  <c r="M499" i="37" a="1"/>
  <c r="M499" i="37" s="1"/>
  <c r="M358" i="37" a="1"/>
  <c r="M358" i="37" s="1"/>
  <c r="M445" i="37" a="1"/>
  <c r="M445" i="37" s="1"/>
  <c r="M406" i="37" a="1"/>
  <c r="M406" i="37" s="1"/>
  <c r="M391" i="37" a="1"/>
  <c r="M391" i="37" s="1"/>
  <c r="M626" i="37" a="1"/>
  <c r="M626" i="37" s="1"/>
  <c r="M386" i="37" a="1"/>
  <c r="M386" i="37" s="1"/>
  <c r="M381" i="37" a="1"/>
  <c r="M381" i="37" s="1"/>
  <c r="M331" i="37" a="1"/>
  <c r="M331" i="37" s="1"/>
  <c r="M591" i="37" a="1"/>
  <c r="M591" i="37" s="1"/>
  <c r="M327" i="37" a="1"/>
  <c r="M327" i="37" s="1"/>
  <c r="M572" i="37" a="1"/>
  <c r="M572" i="37" s="1"/>
  <c r="M286" i="37" a="1"/>
  <c r="M286" i="37" s="1"/>
  <c r="M150" i="37" a="1"/>
  <c r="M150" i="37" s="1"/>
  <c r="M313" i="37" a="1"/>
  <c r="M313" i="37" s="1"/>
  <c r="M388" i="37" a="1"/>
  <c r="M388" i="37" s="1"/>
  <c r="M311" i="37" a="1"/>
  <c r="M311" i="37" s="1"/>
  <c r="M385" i="37" a="1"/>
  <c r="M385" i="37" s="1"/>
  <c r="M242" i="37" a="1"/>
  <c r="M242" i="37" s="1"/>
  <c r="M551" i="37" a="1"/>
  <c r="M551" i="37" s="1"/>
  <c r="M594" i="37" a="1"/>
  <c r="M594" i="37" s="1"/>
  <c r="M581" i="37" a="1"/>
  <c r="M581" i="37" s="1"/>
  <c r="M598" i="37" a="1"/>
  <c r="M598" i="37" s="1"/>
  <c r="M229" i="37" a="1"/>
  <c r="M229" i="37" s="1"/>
  <c r="M171" i="37" a="1"/>
  <c r="M171" i="37" s="1"/>
  <c r="M223" i="37" a="1"/>
  <c r="M223" i="37" s="1"/>
  <c r="M127" i="37" a="1"/>
  <c r="M127" i="37" s="1"/>
  <c r="M563" i="37" a="1"/>
  <c r="M563" i="37" s="1"/>
  <c r="M175" i="37" a="1"/>
  <c r="M175" i="37" s="1"/>
  <c r="M297" i="37" a="1"/>
  <c r="M297" i="37" s="1"/>
  <c r="M187" i="37" a="1"/>
  <c r="M187" i="37" s="1"/>
  <c r="M575" i="37" a="1"/>
  <c r="M575" i="37" s="1"/>
  <c r="M206" i="37" a="1"/>
  <c r="M206" i="37" s="1"/>
  <c r="M164" i="37" a="1"/>
  <c r="M164" i="37" s="1"/>
  <c r="M76" i="37" a="1"/>
  <c r="M76" i="37" s="1"/>
  <c r="M68" i="37" a="1"/>
  <c r="M68" i="37" s="1"/>
  <c r="M542" i="37" a="1"/>
  <c r="M542" i="37" s="1"/>
  <c r="M63" i="37" a="1"/>
  <c r="M63" i="37" s="1"/>
  <c r="M62" i="37" a="1"/>
  <c r="M62" i="37" s="1"/>
  <c r="M43" i="37" a="1"/>
  <c r="M43" i="37" s="1"/>
  <c r="M39" i="37" a="1"/>
  <c r="M39" i="37" s="1"/>
  <c r="M26" i="37" a="1"/>
  <c r="M26" i="37" s="1"/>
  <c r="M36" i="37" a="1"/>
  <c r="M36" i="37" s="1"/>
  <c r="M465" i="37" a="1"/>
  <c r="M465" i="37" s="1"/>
  <c r="M456" i="37" a="1"/>
  <c r="M456" i="37" s="1"/>
  <c r="M353" i="37" a="1"/>
  <c r="M353" i="37" s="1"/>
  <c r="M631" i="37" a="1"/>
  <c r="M631" i="37" s="1"/>
  <c r="M495" i="37" a="1"/>
  <c r="M495" i="37" s="1"/>
  <c r="M292" i="37" a="1"/>
  <c r="M292" i="37" s="1"/>
  <c r="M500" i="37" a="1"/>
  <c r="M500" i="37" s="1"/>
  <c r="M452" i="37" a="1"/>
  <c r="M452" i="37" s="1"/>
  <c r="M511" i="37" a="1"/>
  <c r="M511" i="37" s="1"/>
  <c r="M404" i="37" a="1"/>
  <c r="M404" i="37" s="1"/>
  <c r="M387" i="37" a="1"/>
  <c r="M387" i="37" s="1"/>
  <c r="M485" i="37" a="1"/>
  <c r="M485" i="37" s="1"/>
  <c r="M253" i="37" a="1"/>
  <c r="M253" i="37" s="1"/>
  <c r="M144" i="37" a="1"/>
  <c r="M144" i="37" s="1"/>
  <c r="M408" i="37" a="1"/>
  <c r="M408" i="37" s="1"/>
  <c r="M390" i="37" a="1"/>
  <c r="M390" i="37" s="1"/>
  <c r="M337" i="37" a="1"/>
  <c r="M337" i="37" s="1"/>
  <c r="M422" i="37" a="1"/>
  <c r="M422" i="37" s="1"/>
  <c r="M333" i="37" a="1"/>
  <c r="M333" i="37" s="1"/>
  <c r="M257" i="37" a="1"/>
  <c r="M257" i="37" s="1"/>
  <c r="M442" i="37" a="1"/>
  <c r="M442" i="37" s="1"/>
  <c r="M604" i="37" a="1"/>
  <c r="M604" i="37" s="1"/>
  <c r="M438" i="37" a="1"/>
  <c r="M438" i="37" s="1"/>
  <c r="M324" i="37" a="1"/>
  <c r="M324" i="37" s="1"/>
  <c r="M321" i="37" a="1"/>
  <c r="M321" i="37" s="1"/>
  <c r="M109" i="37" a="1"/>
  <c r="M109" i="37" s="1"/>
  <c r="M247" i="37" a="1"/>
  <c r="M247" i="37" s="1"/>
  <c r="M254" i="37" a="1"/>
  <c r="M254" i="37" s="1"/>
  <c r="M146" i="37" a="1"/>
  <c r="M146" i="37" s="1"/>
  <c r="M174" i="37" a="1"/>
  <c r="M174" i="37" s="1"/>
  <c r="M370" i="37" a="1"/>
  <c r="M370" i="37" s="1"/>
  <c r="M367" i="37" a="1"/>
  <c r="M367" i="37" s="1"/>
  <c r="M613" i="37" a="1"/>
  <c r="M613" i="37" s="1"/>
  <c r="M362" i="37" a="1"/>
  <c r="M362" i="37" s="1"/>
  <c r="M582" i="37" a="1"/>
  <c r="M582" i="37" s="1"/>
  <c r="M267" i="37" a="1"/>
  <c r="M267" i="37" s="1"/>
  <c r="M195" i="37" a="1"/>
  <c r="M195" i="37" s="1"/>
  <c r="M226" i="37" a="1"/>
  <c r="M226" i="37" s="1"/>
  <c r="M580" i="37" a="1"/>
  <c r="M580" i="37" s="1"/>
  <c r="M217" i="37" a="1"/>
  <c r="M217" i="37" s="1"/>
  <c r="M191" i="37" a="1"/>
  <c r="M191" i="37" s="1"/>
  <c r="M177" i="37" a="1"/>
  <c r="M177" i="37" s="1"/>
  <c r="M165" i="37" a="1"/>
  <c r="M165" i="37" s="1"/>
  <c r="M100" i="37" a="1"/>
  <c r="M100" i="37" s="1"/>
  <c r="M74" i="37" a="1"/>
  <c r="M74" i="37" s="1"/>
  <c r="M58" i="37" a="1"/>
  <c r="M58" i="37" s="1"/>
  <c r="M18" i="37" a="1"/>
  <c r="M18" i="37" s="1"/>
  <c r="M85" i="37" a="1"/>
  <c r="M85" i="37" s="1"/>
  <c r="M533" i="37" a="1"/>
  <c r="M533" i="37" s="1"/>
  <c r="M624" i="37" a="1"/>
  <c r="M624" i="37" s="1"/>
  <c r="M359" i="37" a="1"/>
  <c r="M359" i="37" s="1"/>
  <c r="M355" i="37" a="1"/>
  <c r="M355" i="37" s="1"/>
  <c r="M520" i="37" a="1"/>
  <c r="M520" i="37" s="1"/>
  <c r="M449" i="37" a="1"/>
  <c r="M449" i="37" s="1"/>
  <c r="M492" i="37" a="1"/>
  <c r="M492" i="37" s="1"/>
  <c r="M490" i="37" a="1"/>
  <c r="M490" i="37" s="1"/>
  <c r="M510" i="37" a="1"/>
  <c r="M510" i="37" s="1"/>
  <c r="M498" i="37" a="1"/>
  <c r="M498" i="37" s="1"/>
  <c r="M405" i="37" a="1"/>
  <c r="M405" i="37" s="1"/>
  <c r="M384" i="37" a="1"/>
  <c r="M384" i="37" s="1"/>
  <c r="M486" i="37" a="1"/>
  <c r="M486" i="37" s="1"/>
  <c r="M256" i="37" a="1"/>
  <c r="M256" i="37" s="1"/>
  <c r="M342" i="37" a="1"/>
  <c r="M342" i="37" s="1"/>
  <c r="M477" i="37" a="1"/>
  <c r="M477" i="37" s="1"/>
  <c r="M291" i="37" a="1"/>
  <c r="M291" i="37" s="1"/>
  <c r="M336" i="37" a="1"/>
  <c r="M336" i="37" s="1"/>
  <c r="M379" i="37" a="1"/>
  <c r="M379" i="37" s="1"/>
  <c r="M277" i="37" a="1"/>
  <c r="M277" i="37" s="1"/>
  <c r="M425" i="37" a="1"/>
  <c r="M425" i="37" s="1"/>
  <c r="M441" i="37" a="1"/>
  <c r="M441" i="37" s="1"/>
  <c r="M434" i="37" a="1"/>
  <c r="M434" i="37" s="1"/>
  <c r="M147" i="37" a="1"/>
  <c r="M147" i="37" s="1"/>
  <c r="M622" i="37" a="1"/>
  <c r="M622" i="37" s="1"/>
  <c r="M142" i="37" a="1"/>
  <c r="M142" i="37" s="1"/>
  <c r="M590" i="37" a="1"/>
  <c r="M590" i="37" s="1"/>
  <c r="M418" i="37" a="1"/>
  <c r="M418" i="37" s="1"/>
  <c r="M8" i="37" a="1"/>
  <c r="M8" i="37" s="1"/>
  <c r="M368" i="37" a="1"/>
  <c r="M368" i="37" s="1"/>
  <c r="M614" i="37" a="1"/>
  <c r="M614" i="37" s="1"/>
  <c r="M236" i="37" a="1"/>
  <c r="M236" i="37" s="1"/>
  <c r="M283" i="37" a="1"/>
  <c r="M283" i="37" s="1"/>
  <c r="M307" i="37" a="1"/>
  <c r="M307" i="37" s="1"/>
  <c r="M232" i="37" a="1"/>
  <c r="M232" i="37" s="1"/>
  <c r="M302" i="37" a="1"/>
  <c r="M302" i="37" s="1"/>
  <c r="M556" i="37" a="1"/>
  <c r="M556" i="37" s="1"/>
  <c r="M132" i="37" a="1"/>
  <c r="M132" i="37" s="1"/>
  <c r="M129" i="37" a="1"/>
  <c r="M129" i="37" s="1"/>
  <c r="M190" i="37" a="1"/>
  <c r="M190" i="37" s="1"/>
  <c r="M84" i="37" a="1"/>
  <c r="M84" i="37" s="1"/>
  <c r="M185" i="37" a="1"/>
  <c r="M185" i="37" s="1"/>
  <c r="I11" i="44"/>
  <c r="I17" i="44"/>
  <c r="I27" i="44"/>
  <c r="I24" i="44"/>
  <c r="I26" i="44"/>
  <c r="I28" i="44"/>
  <c r="I20" i="44"/>
  <c r="I25" i="44"/>
  <c r="I10" i="44"/>
  <c r="I21" i="44"/>
  <c r="I9" i="44"/>
  <c r="J14" i="44"/>
  <c r="J18" i="44"/>
  <c r="J27" i="44"/>
  <c r="J11" i="44"/>
  <c r="J17" i="44"/>
  <c r="J28" i="44"/>
  <c r="J20" i="44"/>
  <c r="J25" i="44"/>
  <c r="J10" i="44"/>
  <c r="J21" i="44"/>
  <c r="J9" i="44"/>
  <c r="J15" i="44"/>
  <c r="J16" i="44"/>
  <c r="I15" i="44"/>
  <c r="I16" i="44"/>
  <c r="I12" i="44"/>
  <c r="J22" i="44"/>
  <c r="I13" i="44"/>
  <c r="I22" i="44"/>
  <c r="I23" i="44"/>
  <c r="I19" i="44"/>
  <c r="J13" i="44"/>
  <c r="C23" i="44"/>
  <c r="C19" i="44"/>
  <c r="J24" i="44"/>
  <c r="J26" i="44"/>
  <c r="J23" i="44"/>
  <c r="J19" i="44"/>
  <c r="C24" i="44"/>
  <c r="C26" i="44"/>
  <c r="C14" i="44"/>
  <c r="C18" i="44"/>
  <c r="C27" i="44"/>
  <c r="C11" i="44"/>
  <c r="C17" i="44"/>
  <c r="C28" i="44"/>
  <c r="C20" i="44"/>
  <c r="C25" i="44"/>
  <c r="C10" i="44"/>
  <c r="C21" i="44"/>
  <c r="C9" i="44"/>
  <c r="C15" i="44"/>
  <c r="C16" i="44"/>
  <c r="C13" i="44"/>
  <c r="C22" i="44"/>
  <c r="J12" i="44"/>
  <c r="C12" i="44"/>
  <c r="A620" i="37" l="1"/>
  <c r="A416" i="37"/>
  <c r="A371" i="37"/>
  <c r="A432" i="37"/>
  <c r="A433" i="37"/>
  <c r="A431" i="37"/>
  <c r="A413" i="37"/>
  <c r="A410" i="37"/>
  <c r="A412" i="37"/>
  <c r="A414" i="37"/>
  <c r="A409" i="37"/>
  <c r="A411" i="37"/>
  <c r="A618" i="37"/>
  <c r="A421" i="37"/>
  <c r="A415" i="37"/>
  <c r="A370" i="37"/>
  <c r="A430" i="37"/>
  <c r="A402" i="37"/>
  <c r="A366" i="37"/>
  <c r="A405" i="37"/>
  <c r="A403" i="37"/>
  <c r="A404" i="37"/>
  <c r="A406" i="37"/>
  <c r="A614" i="37"/>
  <c r="A21" i="37"/>
  <c r="A422" i="37"/>
  <c r="A400" i="37"/>
  <c r="A401" i="37"/>
  <c r="A399" i="37"/>
  <c r="A235" i="37"/>
  <c r="A398" i="37"/>
  <c r="A146" i="37"/>
  <c r="A156" i="37"/>
  <c r="A147" i="37"/>
  <c r="A363" i="37"/>
  <c r="A369" i="37"/>
  <c r="A386" i="37"/>
  <c r="A387" i="37"/>
  <c r="A617" i="37"/>
  <c r="A613" i="37"/>
  <c r="A424" i="37"/>
  <c r="A425" i="37"/>
  <c r="A367" i="37"/>
  <c r="A423" i="37"/>
  <c r="A429" i="37"/>
  <c r="A397" i="37"/>
  <c r="A396" i="37"/>
  <c r="A391" i="37"/>
  <c r="A392" i="37"/>
  <c r="A612" i="37"/>
  <c r="A390" i="37"/>
  <c r="A361" i="37"/>
  <c r="A389" i="37"/>
  <c r="A616" i="37"/>
  <c r="A267" i="37"/>
  <c r="A374" i="37"/>
  <c r="A373" i="37"/>
  <c r="A418" i="37"/>
  <c r="A419" i="37"/>
  <c r="A435" i="37"/>
  <c r="A258" i="37"/>
  <c r="A259" i="37"/>
  <c r="A263" i="37"/>
  <c r="A260" i="37"/>
  <c r="A264" i="37"/>
  <c r="A375" i="37"/>
  <c r="A377" i="37"/>
  <c r="A376" i="37"/>
  <c r="A427" i="37"/>
  <c r="A385" i="37"/>
  <c r="A219" i="37"/>
  <c r="A592" i="37"/>
  <c r="A206" i="37"/>
  <c r="A261" i="37"/>
  <c r="A593" i="37"/>
  <c r="A278" i="37"/>
  <c r="A262" i="37"/>
  <c r="A236" i="37"/>
  <c r="A578" i="37"/>
  <c r="A257" i="37"/>
  <c r="A218" i="37"/>
  <c r="A256" i="37"/>
  <c r="A269" i="37"/>
  <c r="A279" i="37"/>
  <c r="A254" i="37"/>
  <c r="A590" i="37"/>
  <c r="A276" i="37"/>
  <c r="A255" i="37"/>
  <c r="A277" i="37"/>
  <c r="A591" i="37"/>
  <c r="A266" i="37"/>
  <c r="A234" i="37"/>
  <c r="A237" i="37"/>
  <c r="A221" i="37"/>
  <c r="A580" i="37"/>
  <c r="A233" i="37"/>
  <c r="A600" i="37"/>
  <c r="A238" i="37"/>
  <c r="A586" i="37"/>
  <c r="A217" i="37"/>
  <c r="A229" i="37"/>
  <c r="A220" i="37"/>
  <c r="A585" i="37"/>
  <c r="A226" i="37"/>
  <c r="A581" i="37"/>
  <c r="A232" i="37"/>
  <c r="A212" i="37"/>
  <c r="A589" i="37"/>
  <c r="A253" i="37"/>
  <c r="A252" i="37"/>
  <c r="A588" i="37"/>
  <c r="A247" i="37"/>
  <c r="A245" i="37"/>
  <c r="A599" i="37"/>
  <c r="A174" i="37"/>
  <c r="A129" i="37"/>
  <c r="A150" i="37"/>
  <c r="A118" i="37"/>
  <c r="A125" i="37"/>
  <c r="A566" i="37"/>
  <c r="A94" i="37"/>
  <c r="A556" i="37"/>
  <c r="A127" i="37"/>
  <c r="A170" i="37"/>
  <c r="A134" i="37"/>
  <c r="A157" i="37"/>
  <c r="A158" i="37"/>
  <c r="A173" i="37"/>
  <c r="A148" i="37"/>
  <c r="A554" i="37"/>
  <c r="A145" i="37"/>
  <c r="A167" i="37"/>
  <c r="A564" i="37"/>
  <c r="A163" i="37"/>
  <c r="A151" i="37"/>
  <c r="A133" i="37"/>
  <c r="A154" i="37"/>
  <c r="A141" i="37"/>
  <c r="A128" i="37"/>
  <c r="A164" i="37"/>
  <c r="A132" i="37"/>
  <c r="A140" i="37"/>
  <c r="A557" i="37"/>
  <c r="A155" i="37"/>
  <c r="A144" i="37"/>
  <c r="A92" i="37"/>
  <c r="A90" i="37"/>
  <c r="A93" i="37"/>
  <c r="A81" i="37"/>
  <c r="A549" i="37"/>
  <c r="A79" i="37"/>
  <c r="A83" i="37"/>
  <c r="A548" i="37"/>
  <c r="A74" i="37"/>
  <c r="A76" i="37"/>
  <c r="A82" i="37"/>
  <c r="A57" i="37"/>
  <c r="A59" i="37"/>
  <c r="A63" i="37"/>
  <c r="A49" i="37"/>
  <c r="A50" i="37"/>
  <c r="A55" i="37"/>
  <c r="A52" i="37"/>
  <c r="A47" i="37"/>
  <c r="A38" i="37"/>
  <c r="A61" i="37"/>
  <c r="A60" i="37"/>
  <c r="A54" i="37"/>
  <c r="A540" i="37"/>
  <c r="A23" i="37"/>
  <c r="A6" i="37"/>
  <c r="A24" i="37"/>
  <c r="A137" i="37"/>
  <c r="A168" i="37"/>
  <c r="A88" i="37"/>
  <c r="A17" i="37"/>
  <c r="A538" i="37"/>
  <c r="A13" i="37"/>
  <c r="A365" i="37"/>
  <c r="A434" i="37"/>
  <c r="A153" i="37"/>
  <c r="A408" i="37"/>
  <c r="A407" i="37"/>
  <c r="A248" i="37"/>
  <c r="A44" i="37"/>
  <c r="A135" i="37"/>
  <c r="A136" i="37"/>
  <c r="A587" i="37"/>
  <c r="A152" i="37"/>
  <c r="A615" i="37"/>
  <c r="A394" i="37"/>
  <c r="A428" i="37"/>
  <c r="A388" i="37"/>
  <c r="A251" i="37"/>
  <c r="A249" i="37"/>
  <c r="A384" i="37"/>
  <c r="A383" i="37"/>
  <c r="A381" i="37"/>
  <c r="A382" i="37"/>
  <c r="A379" i="37"/>
  <c r="A169" i="37"/>
  <c r="A417" i="37"/>
  <c r="A223" i="37"/>
  <c r="A372" i="37"/>
  <c r="A139" i="37"/>
  <c r="A207" i="37"/>
  <c r="A426" i="37"/>
  <c r="A368" i="37"/>
  <c r="A380" i="37"/>
  <c r="A393" i="37"/>
  <c r="A208" i="37"/>
  <c r="A214" i="37"/>
  <c r="A243" i="37"/>
  <c r="A362" i="37"/>
  <c r="A115" i="37"/>
  <c r="A215" i="37"/>
  <c r="A73" i="37"/>
  <c r="A619" i="37"/>
  <c r="A268" i="37"/>
  <c r="A250" i="37"/>
  <c r="A583" i="37"/>
  <c r="A126" i="37"/>
  <c r="A25" i="37"/>
  <c r="A33" i="37"/>
  <c r="A271" i="37"/>
  <c r="A216" i="37"/>
  <c r="A240" i="37"/>
  <c r="A231" i="37"/>
  <c r="A378" i="37"/>
  <c r="A533" i="37"/>
  <c r="A121" i="37"/>
  <c r="A558" i="37"/>
  <c r="A225" i="37"/>
  <c r="A26" i="37"/>
  <c r="A222" i="37"/>
  <c r="A274" i="37"/>
  <c r="A565" i="37"/>
  <c r="A275" i="37"/>
  <c r="A85" i="37"/>
  <c r="A420" i="37"/>
  <c r="A242" i="37"/>
  <c r="A58" i="37"/>
  <c r="A19" i="37"/>
  <c r="A209" i="37"/>
  <c r="A230" i="37"/>
  <c r="A41" i="37"/>
  <c r="A241" i="37"/>
  <c r="A577" i="37"/>
  <c r="A72" i="37"/>
  <c r="A574" i="37"/>
  <c r="A165" i="37"/>
  <c r="A210" i="37"/>
  <c r="A14" i="37"/>
  <c r="A547" i="37"/>
  <c r="A228" i="37"/>
  <c r="A143" i="37"/>
  <c r="A171" i="37"/>
  <c r="A575" i="37"/>
  <c r="A119" i="37"/>
  <c r="A246" i="37"/>
  <c r="A582" i="37"/>
  <c r="A211" i="37"/>
  <c r="A36" i="37"/>
  <c r="A117" i="37"/>
  <c r="A227" i="37"/>
  <c r="A70" i="37"/>
  <c r="A213" i="37"/>
  <c r="A364" i="37"/>
  <c r="A270" i="37"/>
  <c r="A116" i="37"/>
  <c r="A20" i="37"/>
  <c r="A244" i="37"/>
  <c r="A86" i="37"/>
  <c r="A31" i="37"/>
  <c r="A56" i="37"/>
  <c r="A28" i="37"/>
  <c r="A32" i="37"/>
  <c r="A138" i="37"/>
  <c r="A563" i="37"/>
  <c r="A78" i="37"/>
  <c r="A568" i="37"/>
  <c r="A18" i="37"/>
  <c r="A123" i="37"/>
  <c r="A130" i="37"/>
  <c r="A562" i="37"/>
  <c r="A265" i="37"/>
  <c r="A576" i="37"/>
  <c r="A131" i="37"/>
  <c r="A122" i="37"/>
  <c r="A120" i="37"/>
  <c r="A555" i="37"/>
  <c r="A544" i="37"/>
  <c r="A45" i="37"/>
  <c r="A579" i="37"/>
  <c r="A166" i="37"/>
  <c r="A87" i="37"/>
  <c r="A37" i="37"/>
  <c r="A239" i="37"/>
  <c r="A224" i="37"/>
  <c r="A71" i="37"/>
  <c r="A62" i="37"/>
  <c r="A77" i="37"/>
  <c r="A42" i="37"/>
  <c r="A537" i="37"/>
  <c r="A75" i="37"/>
  <c r="A172" i="37"/>
  <c r="A29" i="37"/>
  <c r="A124" i="37"/>
  <c r="A46" i="37"/>
  <c r="A15" i="37"/>
  <c r="A584" i="37"/>
  <c r="A175" i="37"/>
  <c r="A48" i="37"/>
  <c r="A22" i="37"/>
  <c r="A39" i="37"/>
  <c r="A551" i="37"/>
  <c r="A10" i="37"/>
  <c r="A16" i="37"/>
  <c r="A40" i="37"/>
  <c r="A542" i="37"/>
  <c r="A91" i="37"/>
  <c r="A80" i="37"/>
  <c r="A541" i="37"/>
  <c r="A89" i="37"/>
  <c r="A27" i="37"/>
  <c r="A534" i="37"/>
  <c r="A51" i="37"/>
  <c r="A539" i="37"/>
  <c r="A12" i="37"/>
  <c r="A543" i="37"/>
  <c r="A84" i="37"/>
  <c r="A5" i="37"/>
  <c r="A7" i="37"/>
  <c r="A30" i="37"/>
  <c r="A4" i="37"/>
  <c r="A535" i="37"/>
  <c r="A536" i="37"/>
  <c r="A8" i="37"/>
  <c r="A9" i="37"/>
  <c r="A2" i="37"/>
  <c r="G18" i="30" l="1"/>
  <c r="L14" i="44"/>
  <c r="L22" i="44"/>
  <c r="L15" i="44"/>
  <c r="L18" i="44"/>
  <c r="L16" i="44"/>
  <c r="L24" i="44"/>
  <c r="L21" i="44"/>
  <c r="L11" i="44"/>
  <c r="L17" i="44"/>
  <c r="L23" i="44"/>
  <c r="L20" i="44"/>
  <c r="L25" i="44"/>
  <c r="L28" i="44"/>
  <c r="L13" i="44"/>
  <c r="L10" i="44"/>
  <c r="L19" i="44"/>
  <c r="L27" i="44"/>
  <c r="L26" i="44"/>
  <c r="L9" i="44"/>
  <c r="L12" i="4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<sst xmlns="http://schemas.openxmlformats.org/spreadsheetml/2006/main" count="10592" uniqueCount="2105">
  <si>
    <t>LIV</t>
  </si>
  <si>
    <t>MCI</t>
  </si>
  <si>
    <t>MUN</t>
  </si>
  <si>
    <t>CHE</t>
  </si>
  <si>
    <t>TOT</t>
  </si>
  <si>
    <t>WOL</t>
  </si>
  <si>
    <t>ARS</t>
  </si>
  <si>
    <t>BRE</t>
  </si>
  <si>
    <t>BUR</t>
  </si>
  <si>
    <t>FUL</t>
  </si>
  <si>
    <t>EVE</t>
  </si>
  <si>
    <t>NEW</t>
  </si>
  <si>
    <t>CRY</t>
  </si>
  <si>
    <t>BHA</t>
  </si>
  <si>
    <t>WHU</t>
  </si>
  <si>
    <t>NHF</t>
  </si>
  <si>
    <t>AVL</t>
  </si>
  <si>
    <t>Liverpool</t>
  </si>
  <si>
    <t>Chelsea</t>
  </si>
  <si>
    <t>Tottenham</t>
  </si>
  <si>
    <t>Arsenal</t>
  </si>
  <si>
    <t>Brentford</t>
  </si>
  <si>
    <t>Burnley</t>
  </si>
  <si>
    <t>Fulham</t>
  </si>
  <si>
    <t>Everton</t>
  </si>
  <si>
    <t>Newcastle</t>
  </si>
  <si>
    <t>Crystal Palace</t>
  </si>
  <si>
    <t>West Ham</t>
  </si>
  <si>
    <t>Aston Villa</t>
  </si>
  <si>
    <t>Man City</t>
  </si>
  <si>
    <t>Man United</t>
  </si>
  <si>
    <t>GD</t>
  </si>
  <si>
    <t>BOU</t>
  </si>
  <si>
    <t>Brighton</t>
  </si>
  <si>
    <t>W</t>
  </si>
  <si>
    <t>L</t>
  </si>
  <si>
    <t>GW32</t>
  </si>
  <si>
    <t>GW33</t>
  </si>
  <si>
    <t>GW34</t>
  </si>
  <si>
    <t>GW35</t>
  </si>
  <si>
    <t>GW36</t>
  </si>
  <si>
    <t>GW37</t>
  </si>
  <si>
    <t>GW38</t>
  </si>
  <si>
    <t>Bournemouth</t>
  </si>
  <si>
    <t>GW 32</t>
  </si>
  <si>
    <t>GW 33</t>
  </si>
  <si>
    <t>GW 34</t>
  </si>
  <si>
    <t>GW 35</t>
  </si>
  <si>
    <t>GW 36</t>
  </si>
  <si>
    <t>GW 37</t>
  </si>
  <si>
    <t>GW 38</t>
  </si>
  <si>
    <t>Wolves</t>
  </si>
  <si>
    <t>Nottingham</t>
  </si>
  <si>
    <t>Time</t>
  </si>
  <si>
    <t>Schedule</t>
  </si>
  <si>
    <t>Stadiums</t>
  </si>
  <si>
    <t>Managers</t>
  </si>
  <si>
    <t>Haaland</t>
  </si>
  <si>
    <t>Salah</t>
  </si>
  <si>
    <t>Saka</t>
  </si>
  <si>
    <t>Martinelli</t>
  </si>
  <si>
    <t>Trippier</t>
  </si>
  <si>
    <t>Watkins</t>
  </si>
  <si>
    <t>Raya</t>
  </si>
  <si>
    <t>Alisson</t>
  </si>
  <si>
    <t>Eze</t>
  </si>
  <si>
    <t>Pope</t>
  </si>
  <si>
    <t>Wilson</t>
  </si>
  <si>
    <t>Trossard</t>
  </si>
  <si>
    <t>Xhaka</t>
  </si>
  <si>
    <t>Mbeumo</t>
  </si>
  <si>
    <t>March</t>
  </si>
  <si>
    <t>Gabriel</t>
  </si>
  <si>
    <t>Gibbs-White</t>
  </si>
  <si>
    <t>Bowen</t>
  </si>
  <si>
    <t>Ramsdale</t>
  </si>
  <si>
    <t>Martinez</t>
  </si>
  <si>
    <t>Arrizabalaga</t>
  </si>
  <si>
    <t>Vicario</t>
  </si>
  <si>
    <t>Leno</t>
  </si>
  <si>
    <t>Pickford</t>
  </si>
  <si>
    <t>Neto</t>
  </si>
  <si>
    <t>Sanchez</t>
  </si>
  <si>
    <t>Henderson</t>
  </si>
  <si>
    <t>Man Utd</t>
  </si>
  <si>
    <t>Steele</t>
  </si>
  <si>
    <t>Johnstone</t>
  </si>
  <si>
    <t>Verbruggen</t>
  </si>
  <si>
    <t>Nott'm Forest</t>
  </si>
  <si>
    <t>Foderingham</t>
  </si>
  <si>
    <t>Travers</t>
  </si>
  <si>
    <t>Dubravka</t>
  </si>
  <si>
    <t>Areola</t>
  </si>
  <si>
    <t>Bentley</t>
  </si>
  <si>
    <t>Kelleher</t>
  </si>
  <si>
    <t>Balcombe</t>
  </si>
  <si>
    <t>Cox</t>
  </si>
  <si>
    <t>McGill</t>
  </si>
  <si>
    <t>Bettinelli</t>
  </si>
  <si>
    <t>Slonina</t>
  </si>
  <si>
    <t>Matthews</t>
  </si>
  <si>
    <t>Heaton</t>
  </si>
  <si>
    <t>Darlow</t>
  </si>
  <si>
    <t>Gillespie</t>
  </si>
  <si>
    <t>Amissah</t>
  </si>
  <si>
    <t>Davies</t>
  </si>
  <si>
    <t>Austin</t>
  </si>
  <si>
    <t>King</t>
  </si>
  <si>
    <t>Robertson</t>
  </si>
  <si>
    <t>Shaw</t>
  </si>
  <si>
    <t>Stones</t>
  </si>
  <si>
    <t>James</t>
  </si>
  <si>
    <t>Saliba</t>
  </si>
  <si>
    <t>Dunk</t>
  </si>
  <si>
    <t>Dalot</t>
  </si>
  <si>
    <t>Zinchenko</t>
  </si>
  <si>
    <t>Akanji</t>
  </si>
  <si>
    <t>Cucurella</t>
  </si>
  <si>
    <t>Mings</t>
  </si>
  <si>
    <t>Botman</t>
  </si>
  <si>
    <t>Burn</t>
  </si>
  <si>
    <t>Henry</t>
  </si>
  <si>
    <t>Pinnock</t>
  </si>
  <si>
    <t>Konsa</t>
  </si>
  <si>
    <t>Kilman</t>
  </si>
  <si>
    <t>Tarkowski</t>
  </si>
  <si>
    <t>Veltman</t>
  </si>
  <si>
    <t>Mitchell</t>
  </si>
  <si>
    <t>Robinson</t>
  </si>
  <si>
    <t>Tete</t>
  </si>
  <si>
    <t>Diop</t>
  </si>
  <si>
    <t>Webster</t>
  </si>
  <si>
    <t>Mykolenko</t>
  </si>
  <si>
    <t>Smith</t>
  </si>
  <si>
    <t>Senesi</t>
  </si>
  <si>
    <t>Gomez</t>
  </si>
  <si>
    <t>Wan-Bissaka</t>
  </si>
  <si>
    <t>Romero</t>
  </si>
  <si>
    <t>Hickey</t>
  </si>
  <si>
    <t>Coleman</t>
  </si>
  <si>
    <t>Malacia</t>
  </si>
  <si>
    <t>Worrall</t>
  </si>
  <si>
    <t>Cash</t>
  </si>
  <si>
    <t>Digne</t>
  </si>
  <si>
    <t>Collins</t>
  </si>
  <si>
    <t>Chalobah</t>
  </si>
  <si>
    <t>Tosin</t>
  </si>
  <si>
    <t>Tsimikas</t>
  </si>
  <si>
    <t>Colwill</t>
  </si>
  <si>
    <t>Clyne</t>
  </si>
  <si>
    <t>Mepham</t>
  </si>
  <si>
    <t>Toti</t>
  </si>
  <si>
    <t>Keane</t>
  </si>
  <si>
    <t>Maguire</t>
  </si>
  <si>
    <t>Emerson</t>
  </si>
  <si>
    <t>Boly</t>
  </si>
  <si>
    <t>Targett</t>
  </si>
  <si>
    <t>Sessegnon</t>
  </si>
  <si>
    <t>Patterson</t>
  </si>
  <si>
    <t>Ajer</t>
  </si>
  <si>
    <t>Johnson</t>
  </si>
  <si>
    <t>Kiwior</t>
  </si>
  <si>
    <t>Cook</t>
  </si>
  <si>
    <t>Hall</t>
  </si>
  <si>
    <t>Krafth</t>
  </si>
  <si>
    <t>Roberts</t>
  </si>
  <si>
    <t>Bogle</t>
  </si>
  <si>
    <t>Udogie</t>
  </si>
  <si>
    <t>Lamptey</t>
  </si>
  <si>
    <t>Van Hecke</t>
  </si>
  <si>
    <t>Spence</t>
  </si>
  <si>
    <t>Phillips</t>
  </si>
  <si>
    <t>Lascelles</t>
  </si>
  <si>
    <t>Hill</t>
  </si>
  <si>
    <t>Beyer</t>
  </si>
  <si>
    <t>Ekdal</t>
  </si>
  <si>
    <t>Ampadu</t>
  </si>
  <si>
    <t>Gusto</t>
  </si>
  <si>
    <t>O'Brien</t>
  </si>
  <si>
    <t>Branthwaite</t>
  </si>
  <si>
    <t>Van den Berg</t>
  </si>
  <si>
    <t>Potts</t>
  </si>
  <si>
    <t>Fernandez</t>
  </si>
  <si>
    <t>Ashby</t>
  </si>
  <si>
    <t>Rodon</t>
  </si>
  <si>
    <t>Hoever</t>
  </si>
  <si>
    <t>Foden</t>
  </si>
  <si>
    <t>Maddison</t>
  </si>
  <si>
    <t>Grealish</t>
  </si>
  <si>
    <t>Sancho</t>
  </si>
  <si>
    <t>Kulusevski</t>
  </si>
  <si>
    <t>Mount</t>
  </si>
  <si>
    <t>Antony</t>
  </si>
  <si>
    <t>Richarlison</t>
  </si>
  <si>
    <t>Szoboszlai</t>
  </si>
  <si>
    <t>Mitoma</t>
  </si>
  <si>
    <t>Bernardo</t>
  </si>
  <si>
    <t>Mudryk</t>
  </si>
  <si>
    <t>Mac Allister</t>
  </si>
  <si>
    <t>Buendia</t>
  </si>
  <si>
    <t>Joelinton</t>
  </si>
  <si>
    <t>Tielemans</t>
  </si>
  <si>
    <t>Jensen</t>
  </si>
  <si>
    <t>Billing</t>
  </si>
  <si>
    <t>Iwobi</t>
  </si>
  <si>
    <t>McNeil</t>
  </si>
  <si>
    <t>Andreas</t>
  </si>
  <si>
    <t>Willock</t>
  </si>
  <si>
    <t>Rice</t>
  </si>
  <si>
    <t>Rodrigo</t>
  </si>
  <si>
    <t>Bailey</t>
  </si>
  <si>
    <t>Tavernier</t>
  </si>
  <si>
    <t>Gray</t>
  </si>
  <si>
    <t>McGinn</t>
  </si>
  <si>
    <t>Casemiro</t>
  </si>
  <si>
    <t>Janelt</t>
  </si>
  <si>
    <t>Bentancur</t>
  </si>
  <si>
    <t>Gordon</t>
  </si>
  <si>
    <t>Hee Chan</t>
  </si>
  <si>
    <t>Enciso</t>
  </si>
  <si>
    <t>Schade</t>
  </si>
  <si>
    <t>Madueke</t>
  </si>
  <si>
    <t>Smith Rowe</t>
  </si>
  <si>
    <t>Cornet</t>
  </si>
  <si>
    <t>Benson</t>
  </si>
  <si>
    <t>Tonali</t>
  </si>
  <si>
    <t>Reed</t>
  </si>
  <si>
    <t>Lerma</t>
  </si>
  <si>
    <t>Longstaff</t>
  </si>
  <si>
    <t>Caicedo</t>
  </si>
  <si>
    <t>Murphy</t>
  </si>
  <si>
    <t>Onana</t>
  </si>
  <si>
    <t>Christie</t>
  </si>
  <si>
    <t>Elliott</t>
  </si>
  <si>
    <t>Anthony</t>
  </si>
  <si>
    <t>Cairney</t>
  </si>
  <si>
    <t>Yates</t>
  </si>
  <si>
    <t>Kamara</t>
  </si>
  <si>
    <t>Milner</t>
  </si>
  <si>
    <t>Enzo</t>
  </si>
  <si>
    <t>Hughes</t>
  </si>
  <si>
    <t>Garnacho</t>
  </si>
  <si>
    <t>Onyeka</t>
  </si>
  <si>
    <t>Damsgaard</t>
  </si>
  <si>
    <t>Bissouma</t>
  </si>
  <si>
    <t>Buonanotte</t>
  </si>
  <si>
    <t>Garner</t>
  </si>
  <si>
    <t>Sambi</t>
  </si>
  <si>
    <t>Elanga</t>
  </si>
  <si>
    <t>Bajcetic</t>
  </si>
  <si>
    <t>Palmer</t>
  </si>
  <si>
    <t>Fraser</t>
  </si>
  <si>
    <t>Bryan</t>
  </si>
  <si>
    <t>Brooks</t>
  </si>
  <si>
    <t>Kluivert</t>
  </si>
  <si>
    <t>Adingra</t>
  </si>
  <si>
    <t>Cullen</t>
  </si>
  <si>
    <t>Gudmundsson</t>
  </si>
  <si>
    <t>Hudson-Odoi</t>
  </si>
  <si>
    <t>Berge</t>
  </si>
  <si>
    <t>Nelson</t>
  </si>
  <si>
    <t>Sarmiento</t>
  </si>
  <si>
    <t>Ahamada</t>
  </si>
  <si>
    <t>Ayari</t>
  </si>
  <si>
    <t>Mainoo</t>
  </si>
  <si>
    <t>Iroegbunam</t>
  </si>
  <si>
    <t>Churlinov</t>
  </si>
  <si>
    <t>Pereira</t>
  </si>
  <si>
    <t>Watson</t>
  </si>
  <si>
    <t>Bobb</t>
  </si>
  <si>
    <t>McAtee</t>
  </si>
  <si>
    <t>Amad</t>
  </si>
  <si>
    <t>Hannibal</t>
  </si>
  <si>
    <t>Kuol</t>
  </si>
  <si>
    <t>Isak</t>
  </si>
  <si>
    <t>Gakpo</t>
  </si>
  <si>
    <t>Nkunku</t>
  </si>
  <si>
    <t>Solanke</t>
  </si>
  <si>
    <t>Awoniyi</t>
  </si>
  <si>
    <t>Martial</t>
  </si>
  <si>
    <t>Wissa</t>
  </si>
  <si>
    <t>Welbeck</t>
  </si>
  <si>
    <t>Edouard</t>
  </si>
  <si>
    <t>Nketiah</t>
  </si>
  <si>
    <t>Ndiaye</t>
  </si>
  <si>
    <t>Moore</t>
  </si>
  <si>
    <t>Wood</t>
  </si>
  <si>
    <t>Mateta</t>
  </si>
  <si>
    <t>Dennis</t>
  </si>
  <si>
    <t>Broja</t>
  </si>
  <si>
    <t>Wesley</t>
  </si>
  <si>
    <t>Foster</t>
  </si>
  <si>
    <t>Obafemi</t>
  </si>
  <si>
    <t>Semenyo</t>
  </si>
  <si>
    <t>Muniz</t>
  </si>
  <si>
    <t>Osula</t>
  </si>
  <si>
    <t>Badiashile</t>
  </si>
  <si>
    <t>Ederson</t>
  </si>
  <si>
    <t>Mikel Arteta</t>
  </si>
  <si>
    <t>Birmingham</t>
  </si>
  <si>
    <t>Unai Emery</t>
  </si>
  <si>
    <t>Andoni Iraola</t>
  </si>
  <si>
    <t>Thomas Frank</t>
  </si>
  <si>
    <t xml:space="preserve">Stamford Bridge </t>
  </si>
  <si>
    <t>Turf Moore</t>
  </si>
  <si>
    <t xml:space="preserve">Gtech Community </t>
  </si>
  <si>
    <t xml:space="preserve">Vitality </t>
  </si>
  <si>
    <t xml:space="preserve">Villa Park </t>
  </si>
  <si>
    <t xml:space="preserve">Emirates </t>
  </si>
  <si>
    <t>Marco Silva</t>
  </si>
  <si>
    <t>Pep Guardiola</t>
  </si>
  <si>
    <t>Eddie Howe</t>
  </si>
  <si>
    <t>David Moyes</t>
  </si>
  <si>
    <t>Selhurst Park</t>
  </si>
  <si>
    <t>London</t>
  </si>
  <si>
    <t xml:space="preserve">Brentford </t>
  </si>
  <si>
    <t>Goodison Park</t>
  </si>
  <si>
    <t>Craven Cottage</t>
  </si>
  <si>
    <t>Anfield</t>
  </si>
  <si>
    <t>Etihad</t>
  </si>
  <si>
    <t>Manchester</t>
  </si>
  <si>
    <t>Old Trafford</t>
  </si>
  <si>
    <t>St. James' Park</t>
  </si>
  <si>
    <t>The City Ground</t>
  </si>
  <si>
    <t>Nottingham, Nottinghamshire</t>
  </si>
  <si>
    <t>Tottenham Hotspur</t>
  </si>
  <si>
    <t>Molineux</t>
  </si>
  <si>
    <t>Wolverhampton, West Midlands</t>
  </si>
  <si>
    <t>POSITION</t>
  </si>
  <si>
    <t>Clubs</t>
  </si>
  <si>
    <t>Amdouni</t>
  </si>
  <si>
    <t>Cunha</t>
  </si>
  <si>
    <t>Solomon</t>
  </si>
  <si>
    <t>Kovacic</t>
  </si>
  <si>
    <t>Young</t>
  </si>
  <si>
    <t>Kerkez</t>
  </si>
  <si>
    <t>Adrian</t>
  </si>
  <si>
    <t>Schar</t>
  </si>
  <si>
    <t>Ake</t>
  </si>
  <si>
    <t>Konate</t>
  </si>
  <si>
    <t>Guehi</t>
  </si>
  <si>
    <t>Ait-Nouri</t>
  </si>
  <si>
    <t>Odegaard</t>
  </si>
  <si>
    <t>Norgaard</t>
  </si>
  <si>
    <t>Soucek</t>
  </si>
  <si>
    <t>Lewis Potter</t>
  </si>
  <si>
    <t>Lukic</t>
  </si>
  <si>
    <t>Kalajdzic</t>
  </si>
  <si>
    <t>Pau</t>
  </si>
  <si>
    <t>Matt Doherty</t>
  </si>
  <si>
    <t>Erling</t>
  </si>
  <si>
    <t>Harry</t>
  </si>
  <si>
    <t>Mohammed</t>
  </si>
  <si>
    <t>Martin</t>
  </si>
  <si>
    <t>Marcus</t>
  </si>
  <si>
    <t>Bukayo</t>
  </si>
  <si>
    <t>Kieran</t>
  </si>
  <si>
    <t>Kevin</t>
  </si>
  <si>
    <t>Bruno</t>
  </si>
  <si>
    <t>Ollie</t>
  </si>
  <si>
    <t>David</t>
  </si>
  <si>
    <t>Fernandes</t>
  </si>
  <si>
    <t>Pascal</t>
  </si>
  <si>
    <t>Eberechi</t>
  </si>
  <si>
    <t>Callum</t>
  </si>
  <si>
    <t>Nick</t>
  </si>
  <si>
    <t>Benjamin</t>
  </si>
  <si>
    <t>White</t>
  </si>
  <si>
    <t>Leandro</t>
  </si>
  <si>
    <t>Granit</t>
  </si>
  <si>
    <t>Solly</t>
  </si>
  <si>
    <t>Magalhaes</t>
  </si>
  <si>
    <t>Jarrod</t>
  </si>
  <si>
    <t>Morgan</t>
  </si>
  <si>
    <t>Aaron</t>
  </si>
  <si>
    <t>Ben</t>
  </si>
  <si>
    <t>Mee</t>
  </si>
  <si>
    <t>Phil</t>
  </si>
  <si>
    <t>Bernd</t>
  </si>
  <si>
    <t>Alexis</t>
  </si>
  <si>
    <t>Fabien</t>
  </si>
  <si>
    <t>Kaoru</t>
  </si>
  <si>
    <t>Harvey</t>
  </si>
  <si>
    <t>Barnes</t>
  </si>
  <si>
    <t>Jacob</t>
  </si>
  <si>
    <t>Emiliano</t>
  </si>
  <si>
    <t>Michael</t>
  </si>
  <si>
    <t>Mathias</t>
  </si>
  <si>
    <t>Dominic</t>
  </si>
  <si>
    <t>Tyrone</t>
  </si>
  <si>
    <t>Sven</t>
  </si>
  <si>
    <t>Dan</t>
  </si>
  <si>
    <t>Virgil</t>
  </si>
  <si>
    <t>Van Dijk</t>
  </si>
  <si>
    <t>Philip</t>
  </si>
  <si>
    <t>Alex</t>
  </si>
  <si>
    <t>Dwight</t>
  </si>
  <si>
    <t>Luke</t>
  </si>
  <si>
    <t>Jordan</t>
  </si>
  <si>
    <t>Joe</t>
  </si>
  <si>
    <t>Brennan</t>
  </si>
  <si>
    <t>Jack</t>
  </si>
  <si>
    <t>Andrew</t>
  </si>
  <si>
    <t>Moraes</t>
  </si>
  <si>
    <t>Kepa</t>
  </si>
  <si>
    <t>William</t>
  </si>
  <si>
    <t>Declan</t>
  </si>
  <si>
    <t>Lewis</t>
  </si>
  <si>
    <t>Rico</t>
  </si>
  <si>
    <t>Ethan</t>
  </si>
  <si>
    <t>Yoane</t>
  </si>
  <si>
    <t>Ezri</t>
  </si>
  <si>
    <t>Max</t>
  </si>
  <si>
    <t>Hernandez</t>
  </si>
  <si>
    <t>Moura</t>
  </si>
  <si>
    <t>Harrison</t>
  </si>
  <si>
    <t>Silva</t>
  </si>
  <si>
    <t>Jadon</t>
  </si>
  <si>
    <t>Julian</t>
  </si>
  <si>
    <t>Alvarez</t>
  </si>
  <si>
    <t>Christian</t>
  </si>
  <si>
    <t>Kai</t>
  </si>
  <si>
    <t>Havertz</t>
  </si>
  <si>
    <t>Diogo</t>
  </si>
  <si>
    <t>Jefferson</t>
  </si>
  <si>
    <t>Alexander</t>
  </si>
  <si>
    <t>Taiwo</t>
  </si>
  <si>
    <t>Leon</t>
  </si>
  <si>
    <t>Tomas</t>
  </si>
  <si>
    <t>Oleksandr</t>
  </si>
  <si>
    <t>Lucas</t>
  </si>
  <si>
    <t>Tim</t>
  </si>
  <si>
    <t>Danny</t>
  </si>
  <si>
    <t>Dejan</t>
  </si>
  <si>
    <t>Eric</t>
  </si>
  <si>
    <t>Joel</t>
  </si>
  <si>
    <t>Marc</t>
  </si>
  <si>
    <t>John</t>
  </si>
  <si>
    <t>Sean</t>
  </si>
  <si>
    <t>Tyrick</t>
  </si>
  <si>
    <t>Antonee</t>
  </si>
  <si>
    <t>Daniel</t>
  </si>
  <si>
    <t>Nathan</t>
  </si>
  <si>
    <t>Kenny</t>
  </si>
  <si>
    <t>Cody</t>
  </si>
  <si>
    <t>Hugo</t>
  </si>
  <si>
    <t>Carlos</t>
  </si>
  <si>
    <t>Ashley</t>
  </si>
  <si>
    <t>Youri</t>
  </si>
  <si>
    <t>Vitaly</t>
  </si>
  <si>
    <t>Joao</t>
  </si>
  <si>
    <t>Mason</t>
  </si>
  <si>
    <t>Odsonne</t>
  </si>
  <si>
    <t>Manuel</t>
  </si>
  <si>
    <t>Robert</t>
  </si>
  <si>
    <t>Dean</t>
  </si>
  <si>
    <t>Josh</t>
  </si>
  <si>
    <t>Lisandro</t>
  </si>
  <si>
    <t>Jota</t>
  </si>
  <si>
    <t>Ruben</t>
  </si>
  <si>
    <t>Dias</t>
  </si>
  <si>
    <t>Thiago</t>
  </si>
  <si>
    <t>Matheus</t>
  </si>
  <si>
    <t>Nunes</t>
  </si>
  <si>
    <t>Joachim</t>
  </si>
  <si>
    <t>Andersen</t>
  </si>
  <si>
    <t>Moises</t>
  </si>
  <si>
    <t>Issa</t>
  </si>
  <si>
    <t>Amadou</t>
  </si>
  <si>
    <t>Doucoure</t>
  </si>
  <si>
    <t>Adam</t>
  </si>
  <si>
    <t>Vitalii</t>
  </si>
  <si>
    <t>Cheick</t>
  </si>
  <si>
    <t>Kyle</t>
  </si>
  <si>
    <t>Walker</t>
  </si>
  <si>
    <t>Marcos</t>
  </si>
  <si>
    <t>Conor</t>
  </si>
  <si>
    <t>Jason</t>
  </si>
  <si>
    <t>Ryan</t>
  </si>
  <si>
    <t>Eddie</t>
  </si>
  <si>
    <t>Seamus</t>
  </si>
  <si>
    <t>Luis</t>
  </si>
  <si>
    <t>Santos</t>
  </si>
  <si>
    <t>Tyrell</t>
  </si>
  <si>
    <t>Jaidon</t>
  </si>
  <si>
    <t>Hwang</t>
  </si>
  <si>
    <t>Pedro</t>
  </si>
  <si>
    <t>Nayef</t>
  </si>
  <si>
    <t>Porro</t>
  </si>
  <si>
    <t>Julio</t>
  </si>
  <si>
    <t>Matty</t>
  </si>
  <si>
    <t>Neco</t>
  </si>
  <si>
    <t>Tom</t>
  </si>
  <si>
    <t>Mateo</t>
  </si>
  <si>
    <t>Chris</t>
  </si>
  <si>
    <t>Curtis</t>
  </si>
  <si>
    <t>Ouattara</t>
  </si>
  <si>
    <t>Ibrahima</t>
  </si>
  <si>
    <t>Trevoh</t>
  </si>
  <si>
    <t>Adarabioyo</t>
  </si>
  <si>
    <t>Mads</t>
  </si>
  <si>
    <t>Konstantinos</t>
  </si>
  <si>
    <t>Levi</t>
  </si>
  <si>
    <t>Jorgensen</t>
  </si>
  <si>
    <t>Reece</t>
  </si>
  <si>
    <t>Manor</t>
  </si>
  <si>
    <t>Boubacar</t>
  </si>
  <si>
    <t>Nathaniel</t>
  </si>
  <si>
    <t>Oliver</t>
  </si>
  <si>
    <t>Gomes</t>
  </si>
  <si>
    <t>Oliveira</t>
  </si>
  <si>
    <t>Andrade</t>
  </si>
  <si>
    <t>Lira</t>
  </si>
  <si>
    <t>Reiss</t>
  </si>
  <si>
    <t>Will</t>
  </si>
  <si>
    <t>Jean-Philippe</t>
  </si>
  <si>
    <t>Rayan</t>
  </si>
  <si>
    <t>Fabio</t>
  </si>
  <si>
    <t>Benoit</t>
  </si>
  <si>
    <t>Scott</t>
  </si>
  <si>
    <t>Alejandro</t>
  </si>
  <si>
    <t>Emmanuel</t>
  </si>
  <si>
    <t>Frank</t>
  </si>
  <si>
    <t>Fofana</t>
  </si>
  <si>
    <t>Willy</t>
  </si>
  <si>
    <t>Sam</t>
  </si>
  <si>
    <t>Matt</t>
  </si>
  <si>
    <t>Mikkel</t>
  </si>
  <si>
    <t>Elliot</t>
  </si>
  <si>
    <t>Anderson</t>
  </si>
  <si>
    <t>Raul</t>
  </si>
  <si>
    <t>Jimenez</t>
  </si>
  <si>
    <t>Kristoffer</t>
  </si>
  <si>
    <t>Mark</t>
  </si>
  <si>
    <t>Yves</t>
  </si>
  <si>
    <t>Noni</t>
  </si>
  <si>
    <t>Facundo</t>
  </si>
  <si>
    <t>Jakub</t>
  </si>
  <si>
    <t>Mykhailo</t>
  </si>
  <si>
    <t>Lokonga</t>
  </si>
  <si>
    <t>Tariq</t>
  </si>
  <si>
    <t>Stefan</t>
  </si>
  <si>
    <t>Armando</t>
  </si>
  <si>
    <t>Traore</t>
  </si>
  <si>
    <t>Cole</t>
  </si>
  <si>
    <t>Emile</t>
  </si>
  <si>
    <t>Antoine</t>
  </si>
  <si>
    <t>Jeremy</t>
  </si>
  <si>
    <t>Sasa</t>
  </si>
  <si>
    <t>Maxwel</t>
  </si>
  <si>
    <t>Hamed</t>
  </si>
  <si>
    <t>Kalvin</t>
  </si>
  <si>
    <t>Pape</t>
  </si>
  <si>
    <t>Sarr</t>
  </si>
  <si>
    <t>Richards</t>
  </si>
  <si>
    <t>Jhon</t>
  </si>
  <si>
    <t>Soares</t>
  </si>
  <si>
    <t>Robin</t>
  </si>
  <si>
    <t>Naouirou</t>
  </si>
  <si>
    <t>Alphonse</t>
  </si>
  <si>
    <t>Jan Paul</t>
  </si>
  <si>
    <t>Diego</t>
  </si>
  <si>
    <t>Djed</t>
  </si>
  <si>
    <t>Yasin</t>
  </si>
  <si>
    <t>Jamaal</t>
  </si>
  <si>
    <t>Caoimhin</t>
  </si>
  <si>
    <t>Kobbie</t>
  </si>
  <si>
    <t>Emil</t>
  </si>
  <si>
    <t>Nicolas</t>
  </si>
  <si>
    <t>Justin</t>
  </si>
  <si>
    <t>Torres</t>
  </si>
  <si>
    <t>Milos</t>
  </si>
  <si>
    <t>Aina</t>
  </si>
  <si>
    <t>Trafford</t>
  </si>
  <si>
    <t>Ellery</t>
  </si>
  <si>
    <t>Mathew</t>
  </si>
  <si>
    <t>Charlie</t>
  </si>
  <si>
    <t>Jurrien</t>
  </si>
  <si>
    <t>Timber</t>
  </si>
  <si>
    <t>Andre</t>
  </si>
  <si>
    <t>Zeki</t>
  </si>
  <si>
    <t>Simon</t>
  </si>
  <si>
    <t>Bart</t>
  </si>
  <si>
    <t>Connor</t>
  </si>
  <si>
    <t>Hjalmar</t>
  </si>
  <si>
    <t>Jay</t>
  </si>
  <si>
    <t>Samuel</t>
  </si>
  <si>
    <t>Lyle</t>
  </si>
  <si>
    <t>Darko</t>
  </si>
  <si>
    <t>Malo</t>
  </si>
  <si>
    <t>Christopher</t>
  </si>
  <si>
    <t>Remi</t>
  </si>
  <si>
    <t>Jake</t>
  </si>
  <si>
    <t>Andy</t>
  </si>
  <si>
    <t>Jarrad</t>
  </si>
  <si>
    <t>Dominik</t>
  </si>
  <si>
    <t>Sepp</t>
  </si>
  <si>
    <t>Alfie</t>
  </si>
  <si>
    <t>Oscar</t>
  </si>
  <si>
    <t>Diallo</t>
  </si>
  <si>
    <t>Mejbri</t>
  </si>
  <si>
    <t>Brandon</t>
  </si>
  <si>
    <t>Karl</t>
  </si>
  <si>
    <t>Sandro</t>
  </si>
  <si>
    <t>Isaac</t>
  </si>
  <si>
    <t>Garang</t>
  </si>
  <si>
    <t>Omar</t>
  </si>
  <si>
    <t>Jayden</t>
  </si>
  <si>
    <t>Wes</t>
  </si>
  <si>
    <t>George</t>
  </si>
  <si>
    <t>Rhys</t>
  </si>
  <si>
    <t>Sander</t>
  </si>
  <si>
    <t>Ismaila</t>
  </si>
  <si>
    <t>Iliman</t>
  </si>
  <si>
    <t>Guglielmo</t>
  </si>
  <si>
    <t>Destiny</t>
  </si>
  <si>
    <t>Nikola</t>
  </si>
  <si>
    <t>Ki-Jana</t>
  </si>
  <si>
    <t>Francisco</t>
  </si>
  <si>
    <t>STATUS</t>
  </si>
  <si>
    <t>FIRST</t>
  </si>
  <si>
    <t>LAST</t>
  </si>
  <si>
    <t>TEAM</t>
  </si>
  <si>
    <t>PRICE</t>
  </si>
  <si>
    <t>REMAINING</t>
  </si>
  <si>
    <t>AVAILABLE</t>
  </si>
  <si>
    <t>STADIUMS</t>
  </si>
  <si>
    <t>YEAR</t>
  </si>
  <si>
    <t>CAPACITY</t>
  </si>
  <si>
    <t>CITY</t>
  </si>
  <si>
    <t>MANAGERS</t>
  </si>
  <si>
    <t>POSITIONS</t>
  </si>
  <si>
    <t xml:space="preserve"> TOTAL POINTS </t>
  </si>
  <si>
    <t>Leeds</t>
  </si>
  <si>
    <t>Sunderland</t>
  </si>
  <si>
    <t>Surface</t>
  </si>
  <si>
    <t>Grass</t>
  </si>
  <si>
    <t>Keith Andrews</t>
  </si>
  <si>
    <t>American Express</t>
  </si>
  <si>
    <t>Falmer, East Sussex</t>
  </si>
  <si>
    <t>Fabian Hurzeler</t>
  </si>
  <si>
    <t>Scott Parker</t>
  </si>
  <si>
    <t>Enzo Maresca</t>
  </si>
  <si>
    <t>Oliver Glasner</t>
  </si>
  <si>
    <t>Elland Road</t>
  </si>
  <si>
    <t>Leeds, West Yorkshire</t>
  </si>
  <si>
    <t>Daniel Farke</t>
  </si>
  <si>
    <t>Arne Slot</t>
  </si>
  <si>
    <t>Ruben Amorim</t>
  </si>
  <si>
    <t>Nuno Espirito Santo</t>
  </si>
  <si>
    <t>Stadium of Light</t>
  </si>
  <si>
    <t>Regis Le Bris</t>
  </si>
  <si>
    <t>Graham Potter</t>
  </si>
  <si>
    <t>Vitor Pereira</t>
  </si>
  <si>
    <t>Nottm Forest</t>
  </si>
  <si>
    <t>FWD</t>
  </si>
  <si>
    <t>MID</t>
  </si>
  <si>
    <t>DEF</t>
  </si>
  <si>
    <t>GKP</t>
  </si>
  <si>
    <t xml:space="preserve">GKP </t>
  </si>
  <si>
    <t>Marmoush</t>
  </si>
  <si>
    <t>Florian</t>
  </si>
  <si>
    <t>Writz</t>
  </si>
  <si>
    <t>Ekitike</t>
  </si>
  <si>
    <t>Mikel</t>
  </si>
  <si>
    <t>Merino</t>
  </si>
  <si>
    <t>Riccardo</t>
  </si>
  <si>
    <t>Calafiori</t>
  </si>
  <si>
    <t>Myles</t>
  </si>
  <si>
    <t>Lewis Skelly</t>
  </si>
  <si>
    <t>Nwaneri</t>
  </si>
  <si>
    <t>Zubimendi</t>
  </si>
  <si>
    <t>Rogers</t>
  </si>
  <si>
    <t>Iling Jr</t>
  </si>
  <si>
    <t>Donyell</t>
  </si>
  <si>
    <t>Malen</t>
  </si>
  <si>
    <t>Weiss</t>
  </si>
  <si>
    <t>Etienne</t>
  </si>
  <si>
    <t>Green</t>
  </si>
  <si>
    <t>Vaclav</t>
  </si>
  <si>
    <t>Hladky</t>
  </si>
  <si>
    <t>Marco</t>
  </si>
  <si>
    <t>Dorde</t>
  </si>
  <si>
    <t>Petrovic</t>
  </si>
  <si>
    <t>Valdimarsson</t>
  </si>
  <si>
    <t>Hakon</t>
  </si>
  <si>
    <t>Flip</t>
  </si>
  <si>
    <t>Walter</t>
  </si>
  <si>
    <t>Benitez</t>
  </si>
  <si>
    <t>Antonin</t>
  </si>
  <si>
    <t>Kinsky</t>
  </si>
  <si>
    <t>Illan</t>
  </si>
  <si>
    <t>Meslier</t>
  </si>
  <si>
    <t>Ian</t>
  </si>
  <si>
    <t>Maatsen</t>
  </si>
  <si>
    <t>Andres</t>
  </si>
  <si>
    <t>Lamare</t>
  </si>
  <si>
    <t>Bogarde</t>
  </si>
  <si>
    <t>Lino</t>
  </si>
  <si>
    <t>Sousa</t>
  </si>
  <si>
    <t>Ozcan</t>
  </si>
  <si>
    <t>Soler</t>
  </si>
  <si>
    <t>Adrien</t>
  </si>
  <si>
    <t>Truffert</t>
  </si>
  <si>
    <t>Kayode</t>
  </si>
  <si>
    <t>Olivier</t>
  </si>
  <si>
    <t>Boscagli</t>
  </si>
  <si>
    <t>Coppola</t>
  </si>
  <si>
    <t>Maxim</t>
  </si>
  <si>
    <t>De Cuyper</t>
  </si>
  <si>
    <t>Ferdi</t>
  </si>
  <si>
    <t>Igor</t>
  </si>
  <si>
    <t>Axel</t>
  </si>
  <si>
    <t>Tuanzebe</t>
  </si>
  <si>
    <t>Hannes</t>
  </si>
  <si>
    <t>Delcroix</t>
  </si>
  <si>
    <t>Maxime</t>
  </si>
  <si>
    <t>Esteve</t>
  </si>
  <si>
    <t>Zak</t>
  </si>
  <si>
    <t>Viktor</t>
  </si>
  <si>
    <t>Gyokeres</t>
  </si>
  <si>
    <t>Evanilson</t>
  </si>
  <si>
    <t>Evann</t>
  </si>
  <si>
    <t>Guessand</t>
  </si>
  <si>
    <t>Estevao</t>
  </si>
  <si>
    <t>Goncalves</t>
  </si>
  <si>
    <t>Jaime</t>
  </si>
  <si>
    <t>Gittens</t>
  </si>
  <si>
    <t>Liam</t>
  </si>
  <si>
    <t>Delap</t>
  </si>
  <si>
    <t>Federico</t>
  </si>
  <si>
    <t>Chiesa</t>
  </si>
  <si>
    <t>Cherki</t>
  </si>
  <si>
    <t>Doku</t>
  </si>
  <si>
    <t>Ilkay</t>
  </si>
  <si>
    <t>Gundogan</t>
  </si>
  <si>
    <t>Rasmus</t>
  </si>
  <si>
    <t>Hojlund</t>
  </si>
  <si>
    <t>Kudus</t>
  </si>
  <si>
    <t>Mathys</t>
  </si>
  <si>
    <t>Tel</t>
  </si>
  <si>
    <t>Jorgen</t>
  </si>
  <si>
    <t>Strand Larsen</t>
  </si>
  <si>
    <t>Igor Thiago</t>
  </si>
  <si>
    <t>Georginio</t>
  </si>
  <si>
    <t>Rutter</t>
  </si>
  <si>
    <t>Yankuba</t>
  </si>
  <si>
    <t>Minteh</t>
  </si>
  <si>
    <t>Thierno</t>
  </si>
  <si>
    <t>Barry</t>
  </si>
  <si>
    <t>Jeremie</t>
  </si>
  <si>
    <t>Frimpong</t>
  </si>
  <si>
    <t>Josko</t>
  </si>
  <si>
    <t>Gvardiol</t>
  </si>
  <si>
    <t>Nico</t>
  </si>
  <si>
    <t>Gonzalez</t>
  </si>
  <si>
    <t>Joshua</t>
  </si>
  <si>
    <t>Zirkzee</t>
  </si>
  <si>
    <t>Ndoye</t>
  </si>
  <si>
    <t>Ward-Prowse</t>
  </si>
  <si>
    <t>Niclas</t>
  </si>
  <si>
    <t>Fulkrug</t>
  </si>
  <si>
    <t>Cristhian</t>
  </si>
  <si>
    <t>Mosquera</t>
  </si>
  <si>
    <t>Bruun Larsen</t>
  </si>
  <si>
    <t>Zian</t>
  </si>
  <si>
    <t>Flemming</t>
  </si>
  <si>
    <t>Enes</t>
  </si>
  <si>
    <t>Antoni</t>
  </si>
  <si>
    <t>Milambo</t>
  </si>
  <si>
    <t>Brajan</t>
  </si>
  <si>
    <t>Gruda</t>
  </si>
  <si>
    <t>Hinshelwood</t>
  </si>
  <si>
    <t>O'Riley</t>
  </si>
  <si>
    <t>Abdallah</t>
  </si>
  <si>
    <t>Sima</t>
  </si>
  <si>
    <t>Stefanos</t>
  </si>
  <si>
    <t>Tzimas</t>
  </si>
  <si>
    <t>Munoz</t>
  </si>
  <si>
    <t>Alcaraz</t>
  </si>
  <si>
    <t>Norberto Gomes</t>
  </si>
  <si>
    <t>Beto</t>
  </si>
  <si>
    <t>Adama</t>
  </si>
  <si>
    <t>Brenden</t>
  </si>
  <si>
    <t>Aaronson</t>
  </si>
  <si>
    <t>Wilfried</t>
  </si>
  <si>
    <t>Gnonto</t>
  </si>
  <si>
    <t>Piroe</t>
  </si>
  <si>
    <t>Gravenberch</t>
  </si>
  <si>
    <t>Abdukodir</t>
  </si>
  <si>
    <t>Khusanov</t>
  </si>
  <si>
    <t>Claudio</t>
  </si>
  <si>
    <t>Echeverri</t>
  </si>
  <si>
    <t>Tijjani</t>
  </si>
  <si>
    <t>Reijnders</t>
  </si>
  <si>
    <t>Milenkovic</t>
  </si>
  <si>
    <t>Murillo</t>
  </si>
  <si>
    <t>Habib</t>
  </si>
  <si>
    <t>Diarra</t>
  </si>
  <si>
    <t>Patrick</t>
  </si>
  <si>
    <t>Isidor</t>
  </si>
  <si>
    <t>Eliezer</t>
  </si>
  <si>
    <t>Mayenda</t>
  </si>
  <si>
    <t>Bergvall</t>
  </si>
  <si>
    <t>Odobert</t>
  </si>
  <si>
    <t>Crysencio</t>
  </si>
  <si>
    <t>Summerville</t>
  </si>
  <si>
    <t>Bellegarde</t>
  </si>
  <si>
    <t>Jean-Ricner</t>
  </si>
  <si>
    <t>Lopez</t>
  </si>
  <si>
    <t>Marshall</t>
  </si>
  <si>
    <t>Munetsi</t>
  </si>
  <si>
    <t>Ross</t>
  </si>
  <si>
    <t>Barkley</t>
  </si>
  <si>
    <t>Dobbin</t>
  </si>
  <si>
    <t>Edwards</t>
  </si>
  <si>
    <t>Luca</t>
  </si>
  <si>
    <t>Koleosho</t>
  </si>
  <si>
    <t>Laurent</t>
  </si>
  <si>
    <t>Loum</t>
  </si>
  <si>
    <t>Tchaouna</t>
  </si>
  <si>
    <t>Lesley</t>
  </si>
  <si>
    <t>Ugochukwu</t>
  </si>
  <si>
    <t>Tyler</t>
  </si>
  <si>
    <t>Adams</t>
  </si>
  <si>
    <t>Sinisterra</t>
  </si>
  <si>
    <t>Carvalho</t>
  </si>
  <si>
    <t>Yehor</t>
  </si>
  <si>
    <t>Yarmoliuk</t>
  </si>
  <si>
    <t>Baleba</t>
  </si>
  <si>
    <t>Diego Amarilla</t>
  </si>
  <si>
    <t>Mats</t>
  </si>
  <si>
    <t>Wieffer</t>
  </si>
  <si>
    <t>Malick</t>
  </si>
  <si>
    <t>Yalcouye</t>
  </si>
  <si>
    <t>Charalampos</t>
  </si>
  <si>
    <t>Kostoulas</t>
  </si>
  <si>
    <t>Suspended</t>
  </si>
  <si>
    <t>Jorrel</t>
  </si>
  <si>
    <t>Hato</t>
  </si>
  <si>
    <t>Tyrique</t>
  </si>
  <si>
    <t>Romeo</t>
  </si>
  <si>
    <t>Lavia</t>
  </si>
  <si>
    <t>Maxence</t>
  </si>
  <si>
    <t>Lacroix</t>
  </si>
  <si>
    <t>Borna</t>
  </si>
  <si>
    <t>Sosa</t>
  </si>
  <si>
    <t>Romain</t>
  </si>
  <si>
    <t>Esse</t>
  </si>
  <si>
    <t>Daichi</t>
  </si>
  <si>
    <t>Kamada</t>
  </si>
  <si>
    <t>Wharton</t>
  </si>
  <si>
    <t>Kiernan</t>
  </si>
  <si>
    <t>Dewsbury-Hall</t>
  </si>
  <si>
    <t>Greenwood</t>
  </si>
  <si>
    <t>Ilia</t>
  </si>
  <si>
    <t>Gruev</t>
  </si>
  <si>
    <t>Largie</t>
  </si>
  <si>
    <t>Ramazani</t>
  </si>
  <si>
    <t>Tanaka</t>
  </si>
  <si>
    <t>Ao</t>
  </si>
  <si>
    <t>Anton</t>
  </si>
  <si>
    <t>Stach</t>
  </si>
  <si>
    <t>Bamford</t>
  </si>
  <si>
    <t>Lukas</t>
  </si>
  <si>
    <t>Nmecha</t>
  </si>
  <si>
    <t>Bradley</t>
  </si>
  <si>
    <t>Doak</t>
  </si>
  <si>
    <t>Endo</t>
  </si>
  <si>
    <t>Wataru</t>
  </si>
  <si>
    <t>O'Reilly</t>
  </si>
  <si>
    <t>Altay</t>
  </si>
  <si>
    <t>Bayindir</t>
  </si>
  <si>
    <t>Matthijs</t>
  </si>
  <si>
    <t>De Ligt</t>
  </si>
  <si>
    <t>Noussair</t>
  </si>
  <si>
    <t>Mazraoui</t>
  </si>
  <si>
    <t>Ugarte</t>
  </si>
  <si>
    <t>Tino</t>
  </si>
  <si>
    <t>Livramento</t>
  </si>
  <si>
    <t>Campillo</t>
  </si>
  <si>
    <t>Matz</t>
  </si>
  <si>
    <t>Sels</t>
  </si>
  <si>
    <t>Dominguez</t>
  </si>
  <si>
    <t>Ibrahim</t>
  </si>
  <si>
    <t>Sangare</t>
  </si>
  <si>
    <t>Milan</t>
  </si>
  <si>
    <t>Aleksic</t>
  </si>
  <si>
    <t>Romaine</t>
  </si>
  <si>
    <t>Mundle</t>
  </si>
  <si>
    <t>Neil</t>
  </si>
  <si>
    <t>Knee Injury</t>
  </si>
  <si>
    <t>Sverre</t>
  </si>
  <si>
    <t>Nypan</t>
  </si>
  <si>
    <t>Hamstring Injury</t>
  </si>
  <si>
    <t>Gil</t>
  </si>
  <si>
    <t>Archie</t>
  </si>
  <si>
    <t>Danso</t>
  </si>
  <si>
    <t>Radu</t>
  </si>
  <si>
    <t>Dragusin</t>
  </si>
  <si>
    <t>Micky</t>
  </si>
  <si>
    <t>Van de Ven</t>
  </si>
  <si>
    <t>Redmond</t>
  </si>
  <si>
    <t>Broggio</t>
  </si>
  <si>
    <t>Jamaldeen</t>
  </si>
  <si>
    <t>Jimoh-Aloba</t>
  </si>
  <si>
    <t>Kadan</t>
  </si>
  <si>
    <t>Zepiqueno</t>
  </si>
  <si>
    <t>Poveda</t>
  </si>
  <si>
    <t>Rigg</t>
  </si>
  <si>
    <t>Noah</t>
  </si>
  <si>
    <t>Sadiki</t>
  </si>
  <si>
    <t>Chemsdine</t>
  </si>
  <si>
    <t>Talbi</t>
  </si>
  <si>
    <t>Edson</t>
  </si>
  <si>
    <t>Guido</t>
  </si>
  <si>
    <t>Doherty</t>
  </si>
  <si>
    <t>Agbadou</t>
  </si>
  <si>
    <t>Yerson</t>
  </si>
  <si>
    <t>J. Arias</t>
  </si>
  <si>
    <t>Fabio Silva</t>
  </si>
  <si>
    <t>R. Gomes</t>
  </si>
  <si>
    <t>Martins</t>
  </si>
  <si>
    <t>H. Bueno</t>
  </si>
  <si>
    <t>Ignacio</t>
  </si>
  <si>
    <t>S. Bueno</t>
  </si>
  <si>
    <t>Fer Lopez</t>
  </si>
  <si>
    <t>Jose Sa</t>
  </si>
  <si>
    <t>Malheiro</t>
  </si>
  <si>
    <t>Edozie</t>
  </si>
  <si>
    <t>Enso Medina</t>
  </si>
  <si>
    <t>Cardoso</t>
  </si>
  <si>
    <t>Pedro Lima</t>
  </si>
  <si>
    <t>Pond</t>
  </si>
  <si>
    <t>Fernando</t>
  </si>
  <si>
    <t>G. Jesus</t>
  </si>
  <si>
    <t>Fabio Vieira</t>
  </si>
  <si>
    <t>Ferreira</t>
  </si>
  <si>
    <t>Possible Transfer</t>
  </si>
  <si>
    <t>H. Traore</t>
  </si>
  <si>
    <t>Ismeal</t>
  </si>
  <si>
    <t>Kabia</t>
  </si>
  <si>
    <t>Knock</t>
  </si>
  <si>
    <t>Heel Injury</t>
  </si>
  <si>
    <t>Gustavo Gomes</t>
  </si>
  <si>
    <t>Knight</t>
  </si>
  <si>
    <t>Mazilu</t>
  </si>
  <si>
    <t>Moran</t>
  </si>
  <si>
    <t>Slater</t>
  </si>
  <si>
    <t>Tasker</t>
  </si>
  <si>
    <t>D. Essugo</t>
  </si>
  <si>
    <t>Zzch</t>
  </si>
  <si>
    <t>Marsh</t>
  </si>
  <si>
    <t>Asher</t>
  </si>
  <si>
    <t>Agbinone</t>
  </si>
  <si>
    <t>Devenny</t>
  </si>
  <si>
    <t>Jesurun</t>
  </si>
  <si>
    <t>J. Rak-Sakyi</t>
  </si>
  <si>
    <t>M. Franca</t>
  </si>
  <si>
    <t>Kaden</t>
  </si>
  <si>
    <t>Rodney</t>
  </si>
  <si>
    <t>Franco</t>
  </si>
  <si>
    <t>Umeh</t>
  </si>
  <si>
    <t>Chadi Riad</t>
  </si>
  <si>
    <t>Dnanou</t>
  </si>
  <si>
    <t>Kporha</t>
  </si>
  <si>
    <t>Caleb</t>
  </si>
  <si>
    <t>Idrissa Gueye</t>
  </si>
  <si>
    <t>Gana</t>
  </si>
  <si>
    <t>Ramalho</t>
  </si>
  <si>
    <t>Y. Chermiti</t>
  </si>
  <si>
    <t>Sherif</t>
  </si>
  <si>
    <t>Armstrong</t>
  </si>
  <si>
    <t>Bates</t>
  </si>
  <si>
    <t>Coby</t>
  </si>
  <si>
    <t>Ebere</t>
  </si>
  <si>
    <t>Heath</t>
  </si>
  <si>
    <t>Aznou</t>
  </si>
  <si>
    <t>Tyrer</t>
  </si>
  <si>
    <t>Roman</t>
  </si>
  <si>
    <t>Dixon</t>
  </si>
  <si>
    <t>Welch</t>
  </si>
  <si>
    <t>Groin Injury</t>
  </si>
  <si>
    <t>A. Garcia</t>
  </si>
  <si>
    <t>Lopera</t>
  </si>
  <si>
    <t>Alex Moreno</t>
  </si>
  <si>
    <t>M. Bizot</t>
  </si>
  <si>
    <t>J. Ramsey</t>
  </si>
  <si>
    <t>Ankle Injury</t>
  </si>
  <si>
    <t>STATUS %</t>
  </si>
  <si>
    <t>Unknown</t>
  </si>
  <si>
    <t>Until Aug 23</t>
  </si>
  <si>
    <t>Calf Injury</t>
  </si>
  <si>
    <t>O. Dango</t>
  </si>
  <si>
    <t>Lack of Fitness</t>
  </si>
  <si>
    <t>Faivre</t>
  </si>
  <si>
    <t>Sadi</t>
  </si>
  <si>
    <t>Zain</t>
  </si>
  <si>
    <t>Silcott-Duberry</t>
  </si>
  <si>
    <t>Winterburn</t>
  </si>
  <si>
    <t>Adu-Adjei</t>
  </si>
  <si>
    <t>Eli</t>
  </si>
  <si>
    <t>Kroupi Jr.</t>
  </si>
  <si>
    <t>J. Araujo</t>
  </si>
  <si>
    <t>Zuniga</t>
  </si>
  <si>
    <t>Callan</t>
  </si>
  <si>
    <t>McJKenna</t>
  </si>
  <si>
    <t>Paulsen</t>
  </si>
  <si>
    <t>Matai</t>
  </si>
  <si>
    <t>Akinmboni</t>
  </si>
  <si>
    <t>Owen</t>
  </si>
  <si>
    <t>Bevan</t>
  </si>
  <si>
    <t>Romelle</t>
  </si>
  <si>
    <t>Donovan</t>
  </si>
  <si>
    <t>Eyestone</t>
  </si>
  <si>
    <t>Yunus Emre</t>
  </si>
  <si>
    <t>Konak</t>
  </si>
  <si>
    <t>Paris</t>
  </si>
  <si>
    <t>Maghoma</t>
  </si>
  <si>
    <t>Peart-Harris</t>
  </si>
  <si>
    <t>Iwan</t>
  </si>
  <si>
    <t>Arthur</t>
  </si>
  <si>
    <t>Fredrick</t>
  </si>
  <si>
    <t>Kim</t>
  </si>
  <si>
    <t>Ji-soo</t>
  </si>
  <si>
    <t>Meghoma</t>
  </si>
  <si>
    <t>Back Oct 18</t>
  </si>
  <si>
    <t>Julio dos Santos</t>
  </si>
  <si>
    <t>F. Kadioglu</t>
  </si>
  <si>
    <t>Enock-Agyei</t>
  </si>
  <si>
    <t>Boateng</t>
  </si>
  <si>
    <t>A. Ramsey</t>
  </si>
  <si>
    <t>Oluwaseun</t>
  </si>
  <si>
    <t>Adewumi</t>
  </si>
  <si>
    <t>Jaydon</t>
  </si>
  <si>
    <t>Banel</t>
  </si>
  <si>
    <t>Tresor</t>
  </si>
  <si>
    <t>Ndayishimiye</t>
  </si>
  <si>
    <t>Quilindschy</t>
  </si>
  <si>
    <t>Hartman</t>
  </si>
  <si>
    <t>Bashir</t>
  </si>
  <si>
    <t>Humphreys</t>
  </si>
  <si>
    <t>Thigh Injury</t>
  </si>
  <si>
    <t>Lucas Pires</t>
  </si>
  <si>
    <t>Shurandy</t>
  </si>
  <si>
    <t>Sambo</t>
  </si>
  <si>
    <t>Sonne</t>
  </si>
  <si>
    <t>Until Aug 22</t>
  </si>
  <si>
    <t>N. Jackson</t>
  </si>
  <si>
    <t>Anterior ligament</t>
  </si>
  <si>
    <t>Muscle Injury</t>
  </si>
  <si>
    <t>Andrey Santos</t>
  </si>
  <si>
    <t>Nascimento</t>
  </si>
  <si>
    <t>Acheampong</t>
  </si>
  <si>
    <t>Anselmino</t>
  </si>
  <si>
    <t>Back Injury</t>
  </si>
  <si>
    <t>Hernia</t>
  </si>
  <si>
    <t>Calvin</t>
  </si>
  <si>
    <t>Bassey</t>
  </si>
  <si>
    <t>Timothy</t>
  </si>
  <si>
    <t>Castagne</t>
  </si>
  <si>
    <t>Barreno</t>
  </si>
  <si>
    <t>J. Cuenca</t>
  </si>
  <si>
    <t>Godo</t>
  </si>
  <si>
    <t>Lecomte</t>
  </si>
  <si>
    <t>Hip Injury</t>
  </si>
  <si>
    <t>Gyabi</t>
  </si>
  <si>
    <t>Lucas Estella</t>
  </si>
  <si>
    <t>Perri</t>
  </si>
  <si>
    <t>Cairns</t>
  </si>
  <si>
    <t>Struijk</t>
  </si>
  <si>
    <t>Jaka</t>
  </si>
  <si>
    <t>Bijol</t>
  </si>
  <si>
    <t>Sebastian</t>
  </si>
  <si>
    <t>Bornauw</t>
  </si>
  <si>
    <t>Byram</t>
  </si>
  <si>
    <t>Issac</t>
  </si>
  <si>
    <t>Schmidt</t>
  </si>
  <si>
    <t>A. Becker</t>
  </si>
  <si>
    <t>C. Jones</t>
  </si>
  <si>
    <t>Until Aug 25</t>
  </si>
  <si>
    <t>Giorgi</t>
  </si>
  <si>
    <t>Mamardahvili</t>
  </si>
  <si>
    <t>McConnell</t>
  </si>
  <si>
    <t>Trey</t>
  </si>
  <si>
    <t>Nyoni</t>
  </si>
  <si>
    <t>Danns</t>
  </si>
  <si>
    <t>Armin</t>
  </si>
  <si>
    <t>Pecsi</t>
  </si>
  <si>
    <t>Freddie</t>
  </si>
  <si>
    <t>Woodman</t>
  </si>
  <si>
    <t>Amara</t>
  </si>
  <si>
    <t>Nallo</t>
  </si>
  <si>
    <t>R. Williams</t>
  </si>
  <si>
    <t>Ramsay</t>
  </si>
  <si>
    <t>Savinho</t>
  </si>
  <si>
    <t>Achilles Injury</t>
  </si>
  <si>
    <t>Back Sep 13</t>
  </si>
  <si>
    <t>N. Gonzalez</t>
  </si>
  <si>
    <t>Nico Iglesias</t>
  </si>
  <si>
    <t>Ortega M.</t>
  </si>
  <si>
    <t>Sesko</t>
  </si>
  <si>
    <t>Blanco</t>
  </si>
  <si>
    <t>D. Leon</t>
  </si>
  <si>
    <t>Dorgu</t>
  </si>
  <si>
    <t>Lenny</t>
  </si>
  <si>
    <t>Yoro</t>
  </si>
  <si>
    <t>Toby</t>
  </si>
  <si>
    <t>Collyer</t>
  </si>
  <si>
    <t>Jayce</t>
  </si>
  <si>
    <t>Fitzgerald</t>
  </si>
  <si>
    <t>J. Fletcher</t>
  </si>
  <si>
    <t>Sekou</t>
  </si>
  <si>
    <t>Kone</t>
  </si>
  <si>
    <t>Moorhouse</t>
  </si>
  <si>
    <t>Chido</t>
  </si>
  <si>
    <t>Obi</t>
  </si>
  <si>
    <t>Wheatley</t>
  </si>
  <si>
    <t>Dermot</t>
  </si>
  <si>
    <t>Amass</t>
  </si>
  <si>
    <t>Fredricson</t>
  </si>
  <si>
    <t>Ayden</t>
  </si>
  <si>
    <t>Heaven</t>
  </si>
  <si>
    <t>Bruno G.</t>
  </si>
  <si>
    <t>j. Murphy</t>
  </si>
  <si>
    <t>Antonito C.</t>
  </si>
  <si>
    <t>Odysseas</t>
  </si>
  <si>
    <t>Vlachodimos</t>
  </si>
  <si>
    <t>L. Miley</t>
  </si>
  <si>
    <t>Neave</t>
  </si>
  <si>
    <t>Miodrag</t>
  </si>
  <si>
    <t>Pivas</t>
  </si>
  <si>
    <t>Ferreira da Silva</t>
  </si>
  <si>
    <t>N. Williams</t>
  </si>
  <si>
    <t>Back Oct 4</t>
  </si>
  <si>
    <t>O. Richards</t>
  </si>
  <si>
    <t>D. Carmo</t>
  </si>
  <si>
    <t>Mota</t>
  </si>
  <si>
    <t>J. Cunha</t>
  </si>
  <si>
    <t>Filho</t>
  </si>
  <si>
    <t>Rodrigues da Silva</t>
  </si>
  <si>
    <t>Morato</t>
  </si>
  <si>
    <t>Da Silva Moreira</t>
  </si>
  <si>
    <t>Gunn</t>
  </si>
  <si>
    <t>Angus</t>
  </si>
  <si>
    <t>Abbott</t>
  </si>
  <si>
    <t>Zach</t>
  </si>
  <si>
    <t>Cruciate Ligament</t>
  </si>
  <si>
    <t>J. Palhinha</t>
  </si>
  <si>
    <t>P. M. Sarr</t>
  </si>
  <si>
    <t>Olusesi</t>
  </si>
  <si>
    <t>Dane</t>
  </si>
  <si>
    <t>Scarlett</t>
  </si>
  <si>
    <t>Takai</t>
  </si>
  <si>
    <t>Vuskovic</t>
  </si>
  <si>
    <t>Kota</t>
  </si>
  <si>
    <t>Foot Injury</t>
  </si>
  <si>
    <t>Luka</t>
  </si>
  <si>
    <t>E. Le Fee</t>
  </si>
  <si>
    <t>Paz</t>
  </si>
  <si>
    <t>Marc Guiu</t>
  </si>
  <si>
    <t>Ballard</t>
  </si>
  <si>
    <t>Hume</t>
  </si>
  <si>
    <t>Ba</t>
  </si>
  <si>
    <t>Browne</t>
  </si>
  <si>
    <t>Ekwah</t>
  </si>
  <si>
    <t>H. Jones</t>
  </si>
  <si>
    <t>Matete</t>
  </si>
  <si>
    <t>Triantis</t>
  </si>
  <si>
    <t>Abdullahi</t>
  </si>
  <si>
    <t>Luis Hemir</t>
  </si>
  <si>
    <t>Rusyn</t>
  </si>
  <si>
    <t>Roefs</t>
  </si>
  <si>
    <t>Nna Noukeu</t>
  </si>
  <si>
    <t>Alese</t>
  </si>
  <si>
    <t>Cirkin</t>
  </si>
  <si>
    <t>Hjelde</t>
  </si>
  <si>
    <t>Huggins</t>
  </si>
  <si>
    <t>O'Nien</t>
  </si>
  <si>
    <t>Pembele</t>
  </si>
  <si>
    <t>Reinildo</t>
  </si>
  <si>
    <t>Seelt</t>
  </si>
  <si>
    <t>Masuaku</t>
  </si>
  <si>
    <t>Trai</t>
  </si>
  <si>
    <t>Abdoullah</t>
  </si>
  <si>
    <t>Alan</t>
  </si>
  <si>
    <t>Pierre Elimby</t>
  </si>
  <si>
    <t>Nectarios</t>
  </si>
  <si>
    <t>Ahmed</t>
  </si>
  <si>
    <t>Silva Semedo</t>
  </si>
  <si>
    <t>Nazarii</t>
  </si>
  <si>
    <t>Blondy</t>
  </si>
  <si>
    <t>Aji</t>
  </si>
  <si>
    <t>Shoulder Injury</t>
  </si>
  <si>
    <t>Wrist Injury</t>
  </si>
  <si>
    <t>Leo Fuhr</t>
  </si>
  <si>
    <t>Niall</t>
  </si>
  <si>
    <t>Timothee</t>
  </si>
  <si>
    <t>Mandava</t>
  </si>
  <si>
    <t>Jenson</t>
  </si>
  <si>
    <t>L. Paqueta</t>
  </si>
  <si>
    <t>G. Rodriguez</t>
  </si>
  <si>
    <t>N. Aguerd</t>
  </si>
  <si>
    <t>Diouf</t>
  </si>
  <si>
    <t>Mavropanos</t>
  </si>
  <si>
    <t>El Hadji Malick</t>
  </si>
  <si>
    <t>Scarles</t>
  </si>
  <si>
    <t>Todibo</t>
  </si>
  <si>
    <t>Jean-Clair</t>
  </si>
  <si>
    <t>Earthy</t>
  </si>
  <si>
    <t>Irving</t>
  </si>
  <si>
    <t>Orford</t>
  </si>
  <si>
    <t>Hermansen</t>
  </si>
  <si>
    <t>Krisztian</t>
  </si>
  <si>
    <t>Hegyi</t>
  </si>
  <si>
    <t>Walker-Peters</t>
  </si>
  <si>
    <t>Chiwome</t>
  </si>
  <si>
    <t>Tawanda</t>
  </si>
  <si>
    <t>Chirewa</t>
  </si>
  <si>
    <t>ICT</t>
  </si>
  <si>
    <t>SUN</t>
  </si>
  <si>
    <t>LEE</t>
  </si>
  <si>
    <t>Friday August 15, 2025</t>
  </si>
  <si>
    <t>Saturday August 16, 2025</t>
  </si>
  <si>
    <t>Sunday August 17, 2025</t>
  </si>
  <si>
    <t>Monday August 18, 2025</t>
  </si>
  <si>
    <t>Friday August 22, 2025</t>
  </si>
  <si>
    <t>Saturday August 23, 2025</t>
  </si>
  <si>
    <t>Sunday August 24, 2025</t>
  </si>
  <si>
    <t>Monday August 25, 2025</t>
  </si>
  <si>
    <t>Saturday August 30, 2025</t>
  </si>
  <si>
    <t>Sunday August 31, 2025</t>
  </si>
  <si>
    <t>Saturday September 13, 2025</t>
  </si>
  <si>
    <t>Sunday September 14, 2025</t>
  </si>
  <si>
    <t>Saturday September 20, 2025</t>
  </si>
  <si>
    <t>Sunday September 21, 2025</t>
  </si>
  <si>
    <t>Saturday September 27, 2025</t>
  </si>
  <si>
    <t>Sunday September 28, 2025</t>
  </si>
  <si>
    <t>Monday September 29, 2025</t>
  </si>
  <si>
    <t>Saturday October 4, 2025</t>
  </si>
  <si>
    <t>Saturday October 25, 2025</t>
  </si>
  <si>
    <t>Saturday October 18, 2025</t>
  </si>
  <si>
    <t>Saturday November 1, 2025</t>
  </si>
  <si>
    <t>Saturday November 8, 2025</t>
  </si>
  <si>
    <t>Saturday November 22, 2025</t>
  </si>
  <si>
    <t>Saturday November 29, 2025</t>
  </si>
  <si>
    <t>Wednesday December 3, 2025</t>
  </si>
  <si>
    <t>Saturday December 6, 2025</t>
  </si>
  <si>
    <t>Saturday December 13, 2025</t>
  </si>
  <si>
    <t>Saturday December 20, 2025</t>
  </si>
  <si>
    <t>Saturday December 27, 2025</t>
  </si>
  <si>
    <t>Tuesday December 30, 2025</t>
  </si>
  <si>
    <t>Saturday January 3, 2026</t>
  </si>
  <si>
    <t>WEDNESDAY January 7, 2026</t>
  </si>
  <si>
    <t>Saturday January 17, 2026</t>
  </si>
  <si>
    <t>Saturday January 24, 2026</t>
  </si>
  <si>
    <t>Saturday January 31, 2026</t>
  </si>
  <si>
    <t>Saturday February 7, 2026</t>
  </si>
  <si>
    <t>Wednesday February 11, 2026</t>
  </si>
  <si>
    <t>Saturday February 21, 2026</t>
  </si>
  <si>
    <t>Saturday February 28, 2026</t>
  </si>
  <si>
    <t>Wednesday March 4, 2026</t>
  </si>
  <si>
    <t>Saturday March 14, 2026</t>
  </si>
  <si>
    <t>Saturday March 21, 2026</t>
  </si>
  <si>
    <t>Saturday April 11, 2026</t>
  </si>
  <si>
    <t>Saturday April 18, 2025</t>
  </si>
  <si>
    <t>Saturday April 25, 2026</t>
  </si>
  <si>
    <t>Saturday May 2, 2026</t>
  </si>
  <si>
    <t>Saturday May 9, 2026</t>
  </si>
  <si>
    <t>Sunday May 17, 2026</t>
  </si>
  <si>
    <t>Sunday May 24, 2026</t>
  </si>
  <si>
    <t>SELECTED</t>
  </si>
  <si>
    <t>Mohammed Salah</t>
  </si>
  <si>
    <t>Erling Haaland</t>
  </si>
  <si>
    <t>Cole Palmer</t>
  </si>
  <si>
    <t>Alexander Isak</t>
  </si>
  <si>
    <t>Bukayo Saka</t>
  </si>
  <si>
    <t>Viktor Gyokeres</t>
  </si>
  <si>
    <t>Ollie Watkins</t>
  </si>
  <si>
    <t>Bruno Fernandes</t>
  </si>
  <si>
    <t>Florian Writz</t>
  </si>
  <si>
    <t>Omar Marmoush</t>
  </si>
  <si>
    <t>Hugo Ekitike</t>
  </si>
  <si>
    <t>Jarrod Bowen</t>
  </si>
  <si>
    <t>Bryan Mbeumo</t>
  </si>
  <si>
    <t>Matheus Cunha</t>
  </si>
  <si>
    <t>Martin Odegaard</t>
  </si>
  <si>
    <t>Phil Foden</t>
  </si>
  <si>
    <t>Joao Pedro</t>
  </si>
  <si>
    <t>Chris Wood</t>
  </si>
  <si>
    <t>Eberechi Eze</t>
  </si>
  <si>
    <t>Jean-Philippe Mateta</t>
  </si>
  <si>
    <t>Dominic Solanke</t>
  </si>
  <si>
    <t>Cody Gakpo</t>
  </si>
  <si>
    <t>Yoane Wissa</t>
  </si>
  <si>
    <t>Morgan Gibbs-White</t>
  </si>
  <si>
    <t>Benjamin Sesko</t>
  </si>
  <si>
    <t>Anthony Gordon</t>
  </si>
  <si>
    <t>Kai Havertz</t>
  </si>
  <si>
    <t>Morgan Rogers</t>
  </si>
  <si>
    <t>Anthony Elanga</t>
  </si>
  <si>
    <t>Antoine Semenyo</t>
  </si>
  <si>
    <t>Pedro Neto</t>
  </si>
  <si>
    <t>Brennan Johnson</t>
  </si>
  <si>
    <t>Justin Kluivert</t>
  </si>
  <si>
    <t>Francisco Evanilson</t>
  </si>
  <si>
    <t>Oliveira Savinho</t>
  </si>
  <si>
    <t>Gabriel Martinelli</t>
  </si>
  <si>
    <t>Noni Madueke</t>
  </si>
  <si>
    <t>James Maddison</t>
  </si>
  <si>
    <t>Leandro Trossard</t>
  </si>
  <si>
    <t>Kevin Schade</t>
  </si>
  <si>
    <t>Mohammed Kudus</t>
  </si>
  <si>
    <t>Iliman Ndiaye</t>
  </si>
  <si>
    <t>Rayan Cherki</t>
  </si>
  <si>
    <t>Declan Rice</t>
  </si>
  <si>
    <t>Kaoru Mitoma</t>
  </si>
  <si>
    <t>Danny Welbeck</t>
  </si>
  <si>
    <t>Jorgen Strand Larsen</t>
  </si>
  <si>
    <t>Ismaila Sarr</t>
  </si>
  <si>
    <t>Liam Delap</t>
  </si>
  <si>
    <t>Fernandez Enzo</t>
  </si>
  <si>
    <t>Diallo Amad</t>
  </si>
  <si>
    <t>Jacob j. Murphy</t>
  </si>
  <si>
    <t>Jimenez Raul</t>
  </si>
  <si>
    <t>Dominik Szoboszlai</t>
  </si>
  <si>
    <t>Goncalves Estevao</t>
  </si>
  <si>
    <t>Alex Iwobi</t>
  </si>
  <si>
    <t>Moura Bruno G.</t>
  </si>
  <si>
    <t>Alexis Mac Allister</t>
  </si>
  <si>
    <t>Jack Grealish</t>
  </si>
  <si>
    <t>Jeremy Doku</t>
  </si>
  <si>
    <t>Andrade Richarlison</t>
  </si>
  <si>
    <t>Hernandez Rodrigo</t>
  </si>
  <si>
    <t>Rasmus Hojlund</t>
  </si>
  <si>
    <t>Silva Bernardo</t>
  </si>
  <si>
    <t>Harvey Barnes</t>
  </si>
  <si>
    <t>Jaime Gittens</t>
  </si>
  <si>
    <t>Ilkay Gundogan</t>
  </si>
  <si>
    <t>Alejandro Garnacho</t>
  </si>
  <si>
    <t>Mathys Tel</t>
  </si>
  <si>
    <t>Evann Guessand</t>
  </si>
  <si>
    <t>Nicolas N. Jackson</t>
  </si>
  <si>
    <t>Federico Chiesa</t>
  </si>
  <si>
    <t>Fernando G. Jesus</t>
  </si>
  <si>
    <t>Dejan Kulusevski</t>
  </si>
  <si>
    <t>Jeremie Frimpong</t>
  </si>
  <si>
    <t>Virgil Van Dijk</t>
  </si>
  <si>
    <t>Rayan Ait-Nouri</t>
  </si>
  <si>
    <t>Magalhaes Gabriel</t>
  </si>
  <si>
    <t>Marc Cucurella</t>
  </si>
  <si>
    <t>Josko Gvardiol</t>
  </si>
  <si>
    <t>William Saliba</t>
  </si>
  <si>
    <t>Milos Kerkez</t>
  </si>
  <si>
    <t>Niclas Fulkrug</t>
  </si>
  <si>
    <t>Youri Tielemans</t>
  </si>
  <si>
    <t>Andrew Robertson</t>
  </si>
  <si>
    <t>Callum Hudson-Odoi</t>
  </si>
  <si>
    <t>Yankuba Minteh</t>
  </si>
  <si>
    <t>Mikkel Damsgaard</t>
  </si>
  <si>
    <t>Emile Smith Rowe</t>
  </si>
  <si>
    <t>Lucas L. Paqueta</t>
  </si>
  <si>
    <t>Maciel da Cruz Igor Jesus</t>
  </si>
  <si>
    <t>Tomas Soucek</t>
  </si>
  <si>
    <t>Thierno Barry</t>
  </si>
  <si>
    <t>Mikel Merino</t>
  </si>
  <si>
    <t>Rutter Georginio</t>
  </si>
  <si>
    <t>Joshua Zirkzee</t>
  </si>
  <si>
    <t>Dwight McNeil</t>
  </si>
  <si>
    <t>Lira Joelinton</t>
  </si>
  <si>
    <t>James Ward-Prowse</t>
  </si>
  <si>
    <t>Callum Wilson</t>
  </si>
  <si>
    <t>Dan Ndoye</t>
  </si>
  <si>
    <t>Ouattara O. Dango</t>
  </si>
  <si>
    <t>Christopher Nkunku</t>
  </si>
  <si>
    <t>Mason Mount</t>
  </si>
  <si>
    <t>Hwang Hee Chan</t>
  </si>
  <si>
    <t>Solly March</t>
  </si>
  <si>
    <t>Nico Iglesias N. Gonzalez</t>
  </si>
  <si>
    <t>Jadon Sancho</t>
  </si>
  <si>
    <t>Santos Antony</t>
  </si>
  <si>
    <t>Mateo Kovacic</t>
  </si>
  <si>
    <t>David Raya</t>
  </si>
  <si>
    <t>Pedro Porro</t>
  </si>
  <si>
    <t>Jordan Pickford</t>
  </si>
  <si>
    <t>Norberto Gomes Beto</t>
  </si>
  <si>
    <t>Alisson A. Becker</t>
  </si>
  <si>
    <t>Tijjani Reijnders</t>
  </si>
  <si>
    <t>Nikola Milenkovic</t>
  </si>
  <si>
    <t>Daniel Munoz</t>
  </si>
  <si>
    <t>Moises Caicedo</t>
  </si>
  <si>
    <t>Elliot Anderson</t>
  </si>
  <si>
    <t>James Tarkowski</t>
  </si>
  <si>
    <t>Santos Murillo</t>
  </si>
  <si>
    <t>Myles Lewis Skelly</t>
  </si>
  <si>
    <t>Reece James</t>
  </si>
  <si>
    <t>Moraes Ederson</t>
  </si>
  <si>
    <t>Ibrahima Konate</t>
  </si>
  <si>
    <t>Donyell Malen</t>
  </si>
  <si>
    <t>Joel Piroe</t>
  </si>
  <si>
    <t>Dias Ruben</t>
  </si>
  <si>
    <t>Lewis Hall</t>
  </si>
  <si>
    <t>Fabien Schar</t>
  </si>
  <si>
    <t>Jurrien Timber</t>
  </si>
  <si>
    <t>Rodrigo Muniz</t>
  </si>
  <si>
    <t>Sandro Tonali</t>
  </si>
  <si>
    <t>Simon Adingra</t>
  </si>
  <si>
    <t>Martin Zubimendi</t>
  </si>
  <si>
    <t>Jarrad Branthwaite</t>
  </si>
  <si>
    <t>Harry Wilson</t>
  </si>
  <si>
    <t>Eddie Nketiah</t>
  </si>
  <si>
    <t>Jhon J. Arias</t>
  </si>
  <si>
    <t>Benjamin White</t>
  </si>
  <si>
    <t>Taiwo Awoniyi</t>
  </si>
  <si>
    <t>Christian Norgaard</t>
  </si>
  <si>
    <t>Riccardo Calafiori</t>
  </si>
  <si>
    <t>Daniel James</t>
  </si>
  <si>
    <t>Manuel Akanji</t>
  </si>
  <si>
    <t>John McGinn</t>
  </si>
  <si>
    <t>Jacob J. Ramsey</t>
  </si>
  <si>
    <t>Nathan Ake</t>
  </si>
  <si>
    <t>Leon Bailey</t>
  </si>
  <si>
    <t>Wilfried Gnonto</t>
  </si>
  <si>
    <t>Nunes Matheus</t>
  </si>
  <si>
    <t>John Stones</t>
  </si>
  <si>
    <t>Ethan Nwaneri</t>
  </si>
  <si>
    <t>Marcus Tavernier</t>
  </si>
  <si>
    <t>Pereira Andreas</t>
  </si>
  <si>
    <t>Abdukodir Khusanov</t>
  </si>
  <si>
    <t>Eliezer Mayenda</t>
  </si>
  <si>
    <t>Traore Adama</t>
  </si>
  <si>
    <t>Wilson Isidor</t>
  </si>
  <si>
    <t>Goncalves J. Palhinha</t>
  </si>
  <si>
    <t>Emiliano Buendia</t>
  </si>
  <si>
    <t>Zian Flemming</t>
  </si>
  <si>
    <t>Carlos Alcaraz</t>
  </si>
  <si>
    <t>Jack Harrison</t>
  </si>
  <si>
    <t>Harvey Elliott</t>
  </si>
  <si>
    <t>Carlos Casemiro</t>
  </si>
  <si>
    <t>William Osula</t>
  </si>
  <si>
    <t>Lucas Bergvall</t>
  </si>
  <si>
    <t>Jakub Kiwior</t>
  </si>
  <si>
    <t>Cristhian Mosquera</t>
  </si>
  <si>
    <t>Antoni Milambo</t>
  </si>
  <si>
    <t>Jack Hinshelwood</t>
  </si>
  <si>
    <t>Julio Enciso</t>
  </si>
  <si>
    <t>Matt O'Riley</t>
  </si>
  <si>
    <t>Brajan Gruda</t>
  </si>
  <si>
    <t>Stefanos Tzimas</t>
  </si>
  <si>
    <t>Jacob Bruun Larsen</t>
  </si>
  <si>
    <t>Jaidon Anthony</t>
  </si>
  <si>
    <t>Idrissa Gueye Gana</t>
  </si>
  <si>
    <t>Ryan Sessegnon</t>
  </si>
  <si>
    <t>Brenden Aaronson</t>
  </si>
  <si>
    <t>Ryan Gravenberch</t>
  </si>
  <si>
    <t>Curtis C. Jones</t>
  </si>
  <si>
    <t>James McAtee</t>
  </si>
  <si>
    <t>Oscar Bobb</t>
  </si>
  <si>
    <t>Ferreira da Silva Jota</t>
  </si>
  <si>
    <t>Patrick Roberts</t>
  </si>
  <si>
    <t>Habib Diarra</t>
  </si>
  <si>
    <t>Yves Bissouma</t>
  </si>
  <si>
    <t>Rodrigo Bentancur</t>
  </si>
  <si>
    <t>Wilson Odobert</t>
  </si>
  <si>
    <t>Jean-Ricner Bellegarde</t>
  </si>
  <si>
    <t>Joao Gomes</t>
  </si>
  <si>
    <t>Neto Andre</t>
  </si>
  <si>
    <t>Marshall Munetsi</t>
  </si>
  <si>
    <t>Gonzalez Fer Lopez</t>
  </si>
  <si>
    <t>Ferreira Fabio Vieira</t>
  </si>
  <si>
    <t>Samuel Iling Jr</t>
  </si>
  <si>
    <t>Enes E. Unal</t>
  </si>
  <si>
    <t>Abdallah Sima</t>
  </si>
  <si>
    <t>Armando Broja</t>
  </si>
  <si>
    <t>Manuel Benson</t>
  </si>
  <si>
    <t>Claudio Echeverri</t>
  </si>
  <si>
    <t>Manor Solomon</t>
  </si>
  <si>
    <t>Crysencio Summerville</t>
  </si>
  <si>
    <t>Matz Sels</t>
  </si>
  <si>
    <t>Robert Sanchez</t>
  </si>
  <si>
    <t>Neco N. Williams</t>
  </si>
  <si>
    <t>Dean Henderson</t>
  </si>
  <si>
    <t>Carlos Baleba</t>
  </si>
  <si>
    <t>Tino Livramento</t>
  </si>
  <si>
    <t>Antonee Robinson</t>
  </si>
  <si>
    <t>Nick Pope</t>
  </si>
  <si>
    <t>Guglielmo Vicario</t>
  </si>
  <si>
    <t>Dan Burn</t>
  </si>
  <si>
    <t>Vitalii Mykolenko</t>
  </si>
  <si>
    <t>Kiernan Dewsbury-Hall</t>
  </si>
  <si>
    <t>Patrick Bamford</t>
  </si>
  <si>
    <t>James Trafford</t>
  </si>
  <si>
    <t>Granit Xhaka</t>
  </si>
  <si>
    <t>Pape P. M. Sarr</t>
  </si>
  <si>
    <t>Malo Gusto</t>
  </si>
  <si>
    <t>Nathan Collins</t>
  </si>
  <si>
    <t>Bernd Leno</t>
  </si>
  <si>
    <t>Kieran Trippier</t>
  </si>
  <si>
    <t>Amadou Onana</t>
  </si>
  <si>
    <t>Levi Colwill</t>
  </si>
  <si>
    <t>Matthijs De Ligt</t>
  </si>
  <si>
    <t>Tyrick Mitchell</t>
  </si>
  <si>
    <t>Maxence Lacroix</t>
  </si>
  <si>
    <t>Odsonne Edouard</t>
  </si>
  <si>
    <t>Trevoh Chalobah</t>
  </si>
  <si>
    <t>Kobbie Mainoo</t>
  </si>
  <si>
    <t>Noussair Mazraoui</t>
  </si>
  <si>
    <t>Rico Lewis</t>
  </si>
  <si>
    <t>Aaron Ramsdale</t>
  </si>
  <si>
    <t>Enzo E. Le Fee</t>
  </si>
  <si>
    <t>Adam Wharton</t>
  </si>
  <si>
    <t>Soares Fabio Silva</t>
  </si>
  <si>
    <t>Emiliano Martinez</t>
  </si>
  <si>
    <t>Keane Lewis Potter</t>
  </si>
  <si>
    <t>Charalampos Kostoulas</t>
  </si>
  <si>
    <t>Jake O'Brien</t>
  </si>
  <si>
    <t>Lukas Nmecha</t>
  </si>
  <si>
    <t>Lisandro Martinez</t>
  </si>
  <si>
    <t>Altay Bayindir</t>
  </si>
  <si>
    <t>Sven Botman</t>
  </si>
  <si>
    <t>Conor Bradley</t>
  </si>
  <si>
    <t>Stefan Ortega M.</t>
  </si>
  <si>
    <t>Oleksandr Zinchenko</t>
  </si>
  <si>
    <t>Ryan Christie</t>
  </si>
  <si>
    <t>Fabio Carvalho</t>
  </si>
  <si>
    <t>Jordan Henderson</t>
  </si>
  <si>
    <t>Facundo Buonanotte</t>
  </si>
  <si>
    <t>Lyle Foster</t>
  </si>
  <si>
    <t>Jorrel Hato</t>
  </si>
  <si>
    <t>Sean Longstaff</t>
  </si>
  <si>
    <t>Ao Tanaka</t>
  </si>
  <si>
    <t>Anton Stach</t>
  </si>
  <si>
    <t>Reiss Nelson</t>
  </si>
  <si>
    <t>Boubacar Kamara</t>
  </si>
  <si>
    <t>Ross Barkley</t>
  </si>
  <si>
    <t>Tyler Adams</t>
  </si>
  <si>
    <t>Yasin Ayari</t>
  </si>
  <si>
    <t>Mejbri Hannibal</t>
  </si>
  <si>
    <t>Marcus Edwards</t>
  </si>
  <si>
    <t>Zeki Amdouni</t>
  </si>
  <si>
    <t>Romain Esse</t>
  </si>
  <si>
    <t>Ramalho Y. Chermiti</t>
  </si>
  <si>
    <t>Nico O'Reilly</t>
  </si>
  <si>
    <t>Manuel Ugarte</t>
  </si>
  <si>
    <t>Ryan Yates</t>
  </si>
  <si>
    <t>Chemsdine Talbi</t>
  </si>
  <si>
    <t>Archie Gray</t>
  </si>
  <si>
    <t>Edson Alvarez</t>
  </si>
  <si>
    <t>Sasa Kalajdzic</t>
  </si>
  <si>
    <t>Lewis Dobbin</t>
  </si>
  <si>
    <t>David Brooks</t>
  </si>
  <si>
    <t>Alex Scott</t>
  </si>
  <si>
    <t>Luis Sinisterra</t>
  </si>
  <si>
    <t>Billing Philip</t>
  </si>
  <si>
    <t>Vitaly Janelt</t>
  </si>
  <si>
    <t>Yehor Yarmoliuk</t>
  </si>
  <si>
    <t>Mathias Jensen</t>
  </si>
  <si>
    <t>Frank Onyeka</t>
  </si>
  <si>
    <t>Mats Wieffer</t>
  </si>
  <si>
    <t>Diego Amarilla Gomez</t>
  </si>
  <si>
    <t>James Milner</t>
  </si>
  <si>
    <t>Jeremy Sarmiento</t>
  </si>
  <si>
    <t>Luca Koleosho</t>
  </si>
  <si>
    <t>Josh Cullen</t>
  </si>
  <si>
    <t>Enock-Agyei Boateng</t>
  </si>
  <si>
    <t>Romeo Lavia</t>
  </si>
  <si>
    <t>Tyrique George</t>
  </si>
  <si>
    <t>Will Hughes</t>
  </si>
  <si>
    <t>Jefferson Lerma</t>
  </si>
  <si>
    <t>Daichi Kamada</t>
  </si>
  <si>
    <t>Borna Sosa</t>
  </si>
  <si>
    <t>James Garner</t>
  </si>
  <si>
    <t>Sasa Lukic</t>
  </si>
  <si>
    <t>Sander Berge</t>
  </si>
  <si>
    <t>Tom Cairney</t>
  </si>
  <si>
    <t>Largie Ramazani</t>
  </si>
  <si>
    <t>Ilia Gruev</t>
  </si>
  <si>
    <t>Sam Greenwood</t>
  </si>
  <si>
    <t>Ethan Ampadu</t>
  </si>
  <si>
    <t>Konstantinos Tsimikas</t>
  </si>
  <si>
    <t>Wataru Endo</t>
  </si>
  <si>
    <t>Joel Gomez</t>
  </si>
  <si>
    <t>Kalvin Phillips</t>
  </si>
  <si>
    <t>Sverre Nypan</t>
  </si>
  <si>
    <t>Andre Onana</t>
  </si>
  <si>
    <t>Joe Willock</t>
  </si>
  <si>
    <t>Campillo Antonito C.</t>
  </si>
  <si>
    <t>Ibrahim Sangare</t>
  </si>
  <si>
    <t>Noah Sadiki</t>
  </si>
  <si>
    <t>Chris Rigg</t>
  </si>
  <si>
    <t>Dan Neil</t>
  </si>
  <si>
    <t>Milan Aleksic</t>
  </si>
  <si>
    <t>Gil Bryan</t>
  </si>
  <si>
    <t>Guido G. Rodriguez</t>
  </si>
  <si>
    <t>Luis L. Guilherme</t>
  </si>
  <si>
    <t>Maxwel Cornet</t>
  </si>
  <si>
    <t>Lewis Cook</t>
  </si>
  <si>
    <t>Gustavo Gomes Nunes</t>
  </si>
  <si>
    <t>Malick Yalcouye</t>
  </si>
  <si>
    <t>Tom Watson</t>
  </si>
  <si>
    <t>Lesley Ugochukwu</t>
  </si>
  <si>
    <t>Loum Tchaouna</t>
  </si>
  <si>
    <t>Josh Laurent</t>
  </si>
  <si>
    <t>Darko Churlinov</t>
  </si>
  <si>
    <t>Mykhailo Mudryk</t>
  </si>
  <si>
    <t>Cheick Doucoure</t>
  </si>
  <si>
    <t>Tim Iroegbunam</t>
  </si>
  <si>
    <t>Ben Doak</t>
  </si>
  <si>
    <t>Nicolas Dominguez</t>
  </si>
  <si>
    <t>Ian Poveda</t>
  </si>
  <si>
    <t>Romaine Mundle</t>
  </si>
  <si>
    <t>Aaron Wan-Bissaka</t>
  </si>
  <si>
    <t>Ezri Konsa</t>
  </si>
  <si>
    <t>Micky Van de Ven</t>
  </si>
  <si>
    <t>Caoimhin Kelleher</t>
  </si>
  <si>
    <t>Marc Guehi</t>
  </si>
  <si>
    <t>Paz Marc Guiu</t>
  </si>
  <si>
    <t>Aaron A. Ramsey</t>
  </si>
  <si>
    <t>Bart Verbruggen</t>
  </si>
  <si>
    <t>Maxim De Cuyper</t>
  </si>
  <si>
    <t>Patrick Dorgu</t>
  </si>
  <si>
    <t>El Hadji Malick Diouf</t>
  </si>
  <si>
    <t>Alphonse Areola</t>
  </si>
  <si>
    <t>Destiny Udogie</t>
  </si>
  <si>
    <t>Dorde Petrovic</t>
  </si>
  <si>
    <t>Ashley Barnes</t>
  </si>
  <si>
    <t>Chido Obi</t>
  </si>
  <si>
    <t>Lewis L. Miley</t>
  </si>
  <si>
    <t>Diogo Dalot</t>
  </si>
  <si>
    <t>Nathan Fraser</t>
  </si>
  <si>
    <t>Malheiro Jose Sa</t>
  </si>
  <si>
    <t>Kyle Walker</t>
  </si>
  <si>
    <t>Lucas Digne</t>
  </si>
  <si>
    <t>Justin Devenny</t>
  </si>
  <si>
    <t>Matty Cash</t>
  </si>
  <si>
    <t>Joachim Andersen</t>
  </si>
  <si>
    <t>Enso Medina Gonzalez</t>
  </si>
  <si>
    <t>Chris Richards</t>
  </si>
  <si>
    <t>Lenny Yoro</t>
  </si>
  <si>
    <t>Jan Paul Van Hecke</t>
  </si>
  <si>
    <t>Eli Kroupi Jr.</t>
  </si>
  <si>
    <t>Lewis Dunk</t>
  </si>
  <si>
    <t>Kepa Arrizabalaga</t>
  </si>
  <si>
    <t>Adrien Truffert</t>
  </si>
  <si>
    <t>Illan Meslier</t>
  </si>
  <si>
    <t>Ian Maatsen</t>
  </si>
  <si>
    <t>Zepiqueno Redmond</t>
  </si>
  <si>
    <t>Ahmed Abdullahi</t>
  </si>
  <si>
    <t>Dane Scarlett</t>
  </si>
  <si>
    <t>Freddie Potts</t>
  </si>
  <si>
    <t>Callum Marshall</t>
  </si>
  <si>
    <t>Adarabioyo Tosin</t>
  </si>
  <si>
    <t>Harry Maguire</t>
  </si>
  <si>
    <t>Tyrone Mings</t>
  </si>
  <si>
    <t>Kadan Young</t>
  </si>
  <si>
    <t>Marcos Senesi</t>
  </si>
  <si>
    <t>Michael Obafemi</t>
  </si>
  <si>
    <t>Josh King</t>
  </si>
  <si>
    <t>Giorgi Mamardahvili</t>
  </si>
  <si>
    <t>Djed Spence</t>
  </si>
  <si>
    <t>Torres Pau</t>
  </si>
  <si>
    <t>Iwan Morgan</t>
  </si>
  <si>
    <t>Jason Steele</t>
  </si>
  <si>
    <t>Calvin Bassey</t>
  </si>
  <si>
    <t>Kyle Walker-Peters</t>
  </si>
  <si>
    <t>Daniel Adu-Adjei</t>
  </si>
  <si>
    <t>Sepp Van den Berg</t>
  </si>
  <si>
    <t>Tariq Lamptey</t>
  </si>
  <si>
    <t>Nascimento Andrey Santos</t>
  </si>
  <si>
    <t>Pascal Struijk</t>
  </si>
  <si>
    <t>Jayden Bogle</t>
  </si>
  <si>
    <t>Anthony Patterson</t>
  </si>
  <si>
    <t>Max Kilman</t>
  </si>
  <si>
    <t>Tom Edozie</t>
  </si>
  <si>
    <t>Ismeal Kabia</t>
  </si>
  <si>
    <t>Marco M. Bizot</t>
  </si>
  <si>
    <t>Ben Broggio</t>
  </si>
  <si>
    <t>Hamed H. Traore</t>
  </si>
  <si>
    <t>Ethan Pinnock</t>
  </si>
  <si>
    <t>Joel Veltman</t>
  </si>
  <si>
    <t>Wesley Fofana</t>
  </si>
  <si>
    <t>Zzch Marsh</t>
  </si>
  <si>
    <t>Michael Keane</t>
  </si>
  <si>
    <t>Harrison Armstrong</t>
  </si>
  <si>
    <t>Martin Sherif</t>
  </si>
  <si>
    <t>Harrison Reed</t>
  </si>
  <si>
    <t>Lucas Estella Perri</t>
  </si>
  <si>
    <t>Sean Neave</t>
  </si>
  <si>
    <t>Nazarii Rusyn</t>
  </si>
  <si>
    <t>Jay Matete</t>
  </si>
  <si>
    <t>Abdoullah Ba</t>
  </si>
  <si>
    <t>Andy Irving</t>
  </si>
  <si>
    <t>Emmanuel Agbadou</t>
  </si>
  <si>
    <t>Tawanda Chirewa</t>
  </si>
  <si>
    <t>Adam Smith</t>
  </si>
  <si>
    <t>Zain Silcott-Duberry</t>
  </si>
  <si>
    <t>Kristoffer Ajer</t>
  </si>
  <si>
    <t>Michael Kayode</t>
  </si>
  <si>
    <t>Yunus Emre Konak</t>
  </si>
  <si>
    <t>Rico Henry</t>
  </si>
  <si>
    <t>Ferdi F. Kadioglu</t>
  </si>
  <si>
    <t>Max Weiss</t>
  </si>
  <si>
    <t>Flip Jorgensen</t>
  </si>
  <si>
    <t>Mark Travers</t>
  </si>
  <si>
    <t>Seamus Coleman</t>
  </si>
  <si>
    <t>Kenny Tete</t>
  </si>
  <si>
    <t>Timothy Castagne</t>
  </si>
  <si>
    <t>Jayden Danns</t>
  </si>
  <si>
    <t>Toby Collyer</t>
  </si>
  <si>
    <t>Luke Shaw</t>
  </si>
  <si>
    <t>Ethan Wheatley</t>
  </si>
  <si>
    <t>Eric Da Silva Moreira</t>
  </si>
  <si>
    <t>Robin Roefs</t>
  </si>
  <si>
    <t>Silva Semedo Luis Hemir</t>
  </si>
  <si>
    <t>Trai Hume</t>
  </si>
  <si>
    <t>Daniel Ballard</t>
  </si>
  <si>
    <t>Callum Olusesi</t>
  </si>
  <si>
    <t>Santos Emerson</t>
  </si>
  <si>
    <t>Lewis Orford</t>
  </si>
  <si>
    <t>George Earthy</t>
  </si>
  <si>
    <t>Gomes Toti</t>
  </si>
  <si>
    <t>Sam Johnstone</t>
  </si>
  <si>
    <t>Lokonga Sambi</t>
  </si>
  <si>
    <t>Jamaldeen Jimoh-Aloba</t>
  </si>
  <si>
    <t>Ben Winterburn</t>
  </si>
  <si>
    <t>Dominic Sadi</t>
  </si>
  <si>
    <t>Paris Maghoma</t>
  </si>
  <si>
    <t>Romelle Donovan</t>
  </si>
  <si>
    <t>Julio dos Santos Igor</t>
  </si>
  <si>
    <t>Andrew Moran</t>
  </si>
  <si>
    <t>Joe Knight</t>
  </si>
  <si>
    <t>Diego Coppola</t>
  </si>
  <si>
    <t>Olivier Boscagli</t>
  </si>
  <si>
    <t>Ndayishimiye Tresor</t>
  </si>
  <si>
    <t>Connor Roberts</t>
  </si>
  <si>
    <t>Oluwaseun Adewumi</t>
  </si>
  <si>
    <t>Benoit Badiashile</t>
  </si>
  <si>
    <t>Luis D. Essugo</t>
  </si>
  <si>
    <t>Oliveira M. Franca</t>
  </si>
  <si>
    <t>Asher Agbinone</t>
  </si>
  <si>
    <t>Jesurun J. Rak-Sakyi</t>
  </si>
  <si>
    <t>Nathan Patterson</t>
  </si>
  <si>
    <t>Adam Aznou</t>
  </si>
  <si>
    <t>Callum Bates</t>
  </si>
  <si>
    <t>Issa Diop</t>
  </si>
  <si>
    <t>Barreno J. Cuenca</t>
  </si>
  <si>
    <t>Martial Godo</t>
  </si>
  <si>
    <t>Darko Gyabi</t>
  </si>
  <si>
    <t>Trey Nyoni</t>
  </si>
  <si>
    <t>Stefan Bajcetic</t>
  </si>
  <si>
    <t>Sekou Kone</t>
  </si>
  <si>
    <t>Blanco D. Leon</t>
  </si>
  <si>
    <t>Jamaal Lascelles</t>
  </si>
  <si>
    <t>Emil Krafth</t>
  </si>
  <si>
    <t>Garang Kuol</t>
  </si>
  <si>
    <t>Rodrigues da Silva Morato</t>
  </si>
  <si>
    <t>Omar O. Richards</t>
  </si>
  <si>
    <t>Filho J. Cunha</t>
  </si>
  <si>
    <t>Mota D. Carmo</t>
  </si>
  <si>
    <t>Nectarios Triantis</t>
  </si>
  <si>
    <t>Harrison H. Jones</t>
  </si>
  <si>
    <t>Pierre Elimby Ekwah</t>
  </si>
  <si>
    <t>Alan Browne</t>
  </si>
  <si>
    <t>Ben Davies</t>
  </si>
  <si>
    <t>Kevin Danso</t>
  </si>
  <si>
    <t>Jean-Clair Todibo</t>
  </si>
  <si>
    <t>Konstantinos Mavropanos</t>
  </si>
  <si>
    <t>Mads Hermansen</t>
  </si>
  <si>
    <t>Nayef N. Aguerd</t>
  </si>
  <si>
    <t>Ignacio S. Bueno</t>
  </si>
  <si>
    <t>Martins R. Gomes</t>
  </si>
  <si>
    <t>Yerson Mosquera</t>
  </si>
  <si>
    <t>Lopez H. Bueno</t>
  </si>
  <si>
    <t>Romain Faivre</t>
  </si>
  <si>
    <t>Myles Peart-Harris</t>
  </si>
  <si>
    <t>Adam Webster</t>
  </si>
  <si>
    <t>Adrian Mazilu</t>
  </si>
  <si>
    <t>Jaydon Banel</t>
  </si>
  <si>
    <t>Franco Umeh</t>
  </si>
  <si>
    <t>Kaden Rodney</t>
  </si>
  <si>
    <t>Naouirou Ahamada</t>
  </si>
  <si>
    <t>Isaac Heath</t>
  </si>
  <si>
    <t>Coby Ebere</t>
  </si>
  <si>
    <t>James McConnell</t>
  </si>
  <si>
    <t>Jack Moorhouse</t>
  </si>
  <si>
    <t>Jack J. Fletcher</t>
  </si>
  <si>
    <t>Jayce Fitzgerald</t>
  </si>
  <si>
    <t>Radu Dragusin</t>
  </si>
  <si>
    <t>Ollie Scarles</t>
  </si>
  <si>
    <t>Leon Chiwome</t>
  </si>
  <si>
    <t>Martin Dubravka</t>
  </si>
  <si>
    <t>Maxime Esteve</t>
  </si>
  <si>
    <t>Lopera Alex Moreno</t>
  </si>
  <si>
    <t>Mandava Reinildo</t>
  </si>
  <si>
    <t>Karl Darlow</t>
  </si>
  <si>
    <t>Antonin Kinsky</t>
  </si>
  <si>
    <t>Axel Tuanzebe</t>
  </si>
  <si>
    <t>Ki-Jana Hoever</t>
  </si>
  <si>
    <t>Gabriel Gudmundsson</t>
  </si>
  <si>
    <t>Tom King</t>
  </si>
  <si>
    <t>Alfie Pond</t>
  </si>
  <si>
    <t>Ayden Heaven</t>
  </si>
  <si>
    <t>Joe Rodon</t>
  </si>
  <si>
    <t>Luka Vuskovic</t>
  </si>
  <si>
    <t>Hakon Valdimarsson</t>
  </si>
  <si>
    <t>Zuniga J. Araujo</t>
  </si>
  <si>
    <t>Cardoso Pedro Lima</t>
  </si>
  <si>
    <t>Benjamin Lecomte</t>
  </si>
  <si>
    <t>Daniel Bentley</t>
  </si>
  <si>
    <t>Angus Gunn</t>
  </si>
  <si>
    <t>James Hill</t>
  </si>
  <si>
    <t>Will Dennis</t>
  </si>
  <si>
    <t>Alex Murphy</t>
  </si>
  <si>
    <t>Andres A. Garcia</t>
  </si>
  <si>
    <t>Nathaniel Clyne</t>
  </si>
  <si>
    <t>Wes Foderingham</t>
  </si>
  <si>
    <t>Aaron Hickey</t>
  </si>
  <si>
    <t>Matt Targett</t>
  </si>
  <si>
    <t>Willy Boly</t>
  </si>
  <si>
    <t>Joe Anderson</t>
  </si>
  <si>
    <t>Simon Moore</t>
  </si>
  <si>
    <t>Matai Akinmboni</t>
  </si>
  <si>
    <t>Quilindschy Hartman</t>
  </si>
  <si>
    <t>Hannes Delcroix</t>
  </si>
  <si>
    <t>Etienne Green</t>
  </si>
  <si>
    <t>Walter Benitez</t>
  </si>
  <si>
    <t>Tyrell Malacia</t>
  </si>
  <si>
    <t>Tom Heaton</t>
  </si>
  <si>
    <t>Jenson Seelt</t>
  </si>
  <si>
    <t>Krisztian Hegyi</t>
  </si>
  <si>
    <t>Lamare Bogarde</t>
  </si>
  <si>
    <t>Ozcan Yasin</t>
  </si>
  <si>
    <t>Lino Sousa</t>
  </si>
  <si>
    <t>Julio Soler</t>
  </si>
  <si>
    <t>Chris Mepham</t>
  </si>
  <si>
    <t>Benjamin Arthur</t>
  </si>
  <si>
    <t>Ellery Balcombe</t>
  </si>
  <si>
    <t>Tom McGill</t>
  </si>
  <si>
    <t>Vaclav Hladky</t>
  </si>
  <si>
    <t>Josh Acheampong</t>
  </si>
  <si>
    <t>Roman Dixon</t>
  </si>
  <si>
    <t>Sam Byram</t>
  </si>
  <si>
    <t>Alex Cairns</t>
  </si>
  <si>
    <t>Timothee Pembele</t>
  </si>
  <si>
    <t>Zak Johnson</t>
  </si>
  <si>
    <t>Niall Huggins</t>
  </si>
  <si>
    <t>Brandon Austin</t>
  </si>
  <si>
    <t>Kota Takai</t>
  </si>
  <si>
    <t>Callan McJKenna</t>
  </si>
  <si>
    <t>Owen Bevan</t>
  </si>
  <si>
    <t>Kim Ji-soo</t>
  </si>
  <si>
    <t>Jayden Meghoma</t>
  </si>
  <si>
    <t>Benjamin Fredrick</t>
  </si>
  <si>
    <t>Mathew Cox</t>
  </si>
  <si>
    <t>Charlie Tasker</t>
  </si>
  <si>
    <t>Jacob Slater</t>
  </si>
  <si>
    <t>Joel Worrall</t>
  </si>
  <si>
    <t>Oliver Sonne</t>
  </si>
  <si>
    <t>Shurandy Sambo</t>
  </si>
  <si>
    <t>Silva Lucas Pires</t>
  </si>
  <si>
    <t>Beyer Jordan</t>
  </si>
  <si>
    <t>Bashir Humphreys</t>
  </si>
  <si>
    <t>Hjalmar Ekdal</t>
  </si>
  <si>
    <t>Aaron Anselmino</t>
  </si>
  <si>
    <t>Reece Welch</t>
  </si>
  <si>
    <t>Samuel Amissah</t>
  </si>
  <si>
    <t>Issac Schmidt</t>
  </si>
  <si>
    <t>Sebastian Bornauw</t>
  </si>
  <si>
    <t>Calvin Ramsay</t>
  </si>
  <si>
    <t>Rhys R. Williams</t>
  </si>
  <si>
    <t>Marcus Bettinelli</t>
  </si>
  <si>
    <t>Harry Amass</t>
  </si>
  <si>
    <t>Tyler Fredricson</t>
  </si>
  <si>
    <t>Miodrag Pivas</t>
  </si>
  <si>
    <t>Harrison Ashby</t>
  </si>
  <si>
    <t>Zach Abbott</t>
  </si>
  <si>
    <t>Blondy Nna Noukeu</t>
  </si>
  <si>
    <t>Alex Paulsen</t>
  </si>
  <si>
    <t>Julian Eyestone</t>
  </si>
  <si>
    <t>Gabriel Slonina</t>
  </si>
  <si>
    <t>Caleb Kporha</t>
  </si>
  <si>
    <t>Remi Matthews</t>
  </si>
  <si>
    <t>Harry Tyrer</t>
  </si>
  <si>
    <t>Jaka Bijol</t>
  </si>
  <si>
    <t>Freddie Woodman</t>
  </si>
  <si>
    <t>Armin Pecsi</t>
  </si>
  <si>
    <t>Amara Nallo</t>
  </si>
  <si>
    <t>Dermot Mee</t>
  </si>
  <si>
    <t>Vlachodimos Odysseas</t>
  </si>
  <si>
    <t>Mark Gillespie</t>
  </si>
  <si>
    <t>Arthur Masuaku</t>
  </si>
  <si>
    <t>Dennis Cirkin</t>
  </si>
  <si>
    <t>Dnanou Chadi Riad</t>
  </si>
  <si>
    <t>Luke O'Nien</t>
  </si>
  <si>
    <t>Leo Fuhr Hjelde</t>
  </si>
  <si>
    <t>Aji Alese</t>
  </si>
  <si>
    <t>PLAYERS</t>
  </si>
  <si>
    <t>PLAYER</t>
  </si>
  <si>
    <t>FULL</t>
  </si>
  <si>
    <t>KARIM</t>
  </si>
  <si>
    <t>MADLIN</t>
  </si>
  <si>
    <t>ELIA</t>
  </si>
  <si>
    <t>Ola Aina</t>
  </si>
  <si>
    <t>Ola</t>
  </si>
  <si>
    <t>FACE-OFF</t>
  </si>
  <si>
    <t>RANKING</t>
  </si>
  <si>
    <t xml:space="preserve">Crystal Palace  </t>
  </si>
  <si>
    <t>AwayRating</t>
  </si>
  <si>
    <t>HomeRating</t>
  </si>
  <si>
    <t>Away</t>
  </si>
  <si>
    <t>Home</t>
  </si>
  <si>
    <t>ABREVIATION</t>
  </si>
  <si>
    <t>H_Difficulty</t>
  </si>
  <si>
    <t>A_Difficulty</t>
  </si>
  <si>
    <t>ADV</t>
  </si>
  <si>
    <t>FDR</t>
  </si>
  <si>
    <t>GAME WEEK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</si>
  <si>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</si>
  <si>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</si>
  <si>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</si>
  <si>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</si>
  <si>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</si>
  <si>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</si>
  <si>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</si>
  <si>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</si>
  <si>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</si>
  <si>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</si>
  <si>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</si>
  <si>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</si>
  <si>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</si>
  <si>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</si>
  <si>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</si>
  <si>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</si>
  <si>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</si>
  <si>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</si>
  <si>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</si>
  <si>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</si>
  <si>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</si>
  <si>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</si>
  <si>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</si>
  <si>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</si>
  <si>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</si>
  <si>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</si>
  <si>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</si>
  <si>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</si>
  <si>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</si>
  <si>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</si>
  <si>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</si>
  <si>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</si>
  <si>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</si>
  <si>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</si>
  <si>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</si>
  <si>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</si>
  <si>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</si>
  <si>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</si>
  <si>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HomeGoals</t>
  </si>
  <si>
    <t>AwayGoals</t>
  </si>
  <si>
    <t>YELLOW A</t>
  </si>
  <si>
    <t>YELLOW B</t>
  </si>
  <si>
    <t>INDIRECT RED A</t>
  </si>
  <si>
    <t>INDIRECT RED B</t>
  </si>
  <si>
    <t>DIRECT RED A</t>
  </si>
  <si>
    <t>DIRECT RED B</t>
  </si>
  <si>
    <t>TABLE</t>
  </si>
  <si>
    <t>TEAMS</t>
  </si>
  <si>
    <t>PL</t>
  </si>
  <si>
    <t>D</t>
  </si>
  <si>
    <t xml:space="preserve"> +</t>
  </si>
  <si>
    <t xml:space="preserve"> -</t>
  </si>
  <si>
    <t>PTS</t>
  </si>
  <si>
    <t>FP</t>
  </si>
  <si>
    <t xml:space="preserve">Helper </t>
  </si>
  <si>
    <t>HomeTeam</t>
  </si>
  <si>
    <t>AwayTeam</t>
  </si>
  <si>
    <t>YELLOW CARD</t>
  </si>
  <si>
    <t>INDIRECT RED CARD</t>
  </si>
  <si>
    <t>DIRECT RED CARD</t>
  </si>
  <si>
    <t>Rating</t>
  </si>
  <si>
    <t>Jesus</t>
  </si>
  <si>
    <t>Rodri</t>
  </si>
  <si>
    <t xml:space="preserve">Unknown return </t>
  </si>
  <si>
    <t>Unknown return</t>
  </si>
  <si>
    <t>Back Sep 14</t>
  </si>
  <si>
    <t>Not considered</t>
  </si>
  <si>
    <t>As Roma</t>
  </si>
  <si>
    <t>Loaned out</t>
  </si>
  <si>
    <t>Unal</t>
  </si>
  <si>
    <t>Dominic Calvert-Lewin</t>
  </si>
  <si>
    <t>Calvert-Lewin</t>
  </si>
  <si>
    <t>Bayer Leverkusen</t>
  </si>
  <si>
    <t>Swansea City</t>
  </si>
  <si>
    <t>Espanyol</t>
  </si>
  <si>
    <t>Middlesbrough</t>
  </si>
  <si>
    <t>Guilherme</t>
  </si>
  <si>
    <t>Los Angeles FC</t>
  </si>
  <si>
    <t>Cercle Brugge</t>
  </si>
  <si>
    <t>Back Aug 24</t>
  </si>
  <si>
    <t>West Bromwich</t>
  </si>
  <si>
    <t>Back Aug 30</t>
  </si>
  <si>
    <t>Rangers</t>
  </si>
  <si>
    <t>Sparta Rotterdam</t>
  </si>
  <si>
    <t>Sevilla</t>
  </si>
  <si>
    <t>Status Helper</t>
  </si>
  <si>
    <t xml:space="preserve">TOTAL POINTS </t>
  </si>
  <si>
    <t>Transferred Out</t>
  </si>
  <si>
    <t>Midtjylland</t>
  </si>
  <si>
    <t>Noah Okafor</t>
  </si>
  <si>
    <t>Okafor</t>
  </si>
  <si>
    <t>Tyler Onyango</t>
  </si>
  <si>
    <t>Onyango</t>
  </si>
  <si>
    <t>Elijah Campbell</t>
  </si>
  <si>
    <t>Elijah</t>
  </si>
  <si>
    <t>Campbell</t>
  </si>
  <si>
    <t>Cristian Romero</t>
  </si>
  <si>
    <t>Cristian</t>
  </si>
  <si>
    <t>Team</t>
  </si>
  <si>
    <t>ASSISTS</t>
  </si>
  <si>
    <t xml:space="preserve">Player </t>
  </si>
  <si>
    <t>TOP STATS</t>
  </si>
  <si>
    <t>GOALS/ASSISTS</t>
  </si>
  <si>
    <t>GOALS 3</t>
  </si>
  <si>
    <t>ASSISTS 2</t>
  </si>
  <si>
    <t>GOALS 2</t>
  </si>
  <si>
    <t>ASSISTS 3</t>
  </si>
  <si>
    <t>GOALS 4</t>
  </si>
  <si>
    <t>ASSISTS 4</t>
  </si>
  <si>
    <t>GOALS 5</t>
  </si>
  <si>
    <t>ASSISTS 5</t>
  </si>
  <si>
    <t>GOALS 6</t>
  </si>
  <si>
    <t>ASSISTS 6</t>
  </si>
  <si>
    <t>GOALS 7</t>
  </si>
  <si>
    <t>ASSISTS 7</t>
  </si>
  <si>
    <t>GOALS 8</t>
  </si>
  <si>
    <t>ASSISTS 8</t>
  </si>
  <si>
    <t>GOALS 9</t>
  </si>
  <si>
    <t>ASSISTS 9</t>
  </si>
  <si>
    <t>GOALS 10</t>
  </si>
  <si>
    <t>ASSISTS 10</t>
  </si>
  <si>
    <t>GOALS 11</t>
  </si>
  <si>
    <t>ASSISTS 11</t>
  </si>
  <si>
    <t>GOALS 12</t>
  </si>
  <si>
    <t>ASSISTS 12</t>
  </si>
  <si>
    <t>GOALS 13</t>
  </si>
  <si>
    <t>ASSISTS 13</t>
  </si>
  <si>
    <t>GOALS 14</t>
  </si>
  <si>
    <t>ASSISTS 14</t>
  </si>
  <si>
    <t>GOALS 34</t>
  </si>
  <si>
    <t>ASSISTS 35</t>
  </si>
  <si>
    <t>ASSISTS 38</t>
  </si>
  <si>
    <t>GOALS 38</t>
  </si>
  <si>
    <t>ASSISTS 37</t>
  </si>
  <si>
    <t>GOALS 37</t>
  </si>
  <si>
    <t>ASSISTS 36</t>
  </si>
  <si>
    <t>GOALS 36</t>
  </si>
  <si>
    <t>GOALS 35</t>
  </si>
  <si>
    <t>ASSISTS 34</t>
  </si>
  <si>
    <t>ASSISTS 33</t>
  </si>
  <si>
    <t>GOALS 33</t>
  </si>
  <si>
    <t>ASSISTS 32</t>
  </si>
  <si>
    <t>GOALS 32</t>
  </si>
  <si>
    <t>ASSISTS 31</t>
  </si>
  <si>
    <t>GOALS 31</t>
  </si>
  <si>
    <t>ASSISTS 30</t>
  </si>
  <si>
    <t>GOALS 30</t>
  </si>
  <si>
    <t>ASSISTS 29</t>
  </si>
  <si>
    <t>GOALS 29</t>
  </si>
  <si>
    <t>ASSISTS 28</t>
  </si>
  <si>
    <t>GOALS 28</t>
  </si>
  <si>
    <t>ASSISTS 27</t>
  </si>
  <si>
    <t>GOALS 27</t>
  </si>
  <si>
    <t>ASSISTS 26</t>
  </si>
  <si>
    <t>GOALS 26</t>
  </si>
  <si>
    <t>ASSISTS 25</t>
  </si>
  <si>
    <t>GOALS 25</t>
  </si>
  <si>
    <t>ASSISTS 24</t>
  </si>
  <si>
    <t>GOALS 24</t>
  </si>
  <si>
    <t>ASSISTS 23</t>
  </si>
  <si>
    <t>GOALS 23</t>
  </si>
  <si>
    <t>ASSISTS 22</t>
  </si>
  <si>
    <t>GOALS 22</t>
  </si>
  <si>
    <t>ASSISTS 21</t>
  </si>
  <si>
    <t>GOALS 21</t>
  </si>
  <si>
    <t>ASSISTS 20</t>
  </si>
  <si>
    <t>GOALS 20</t>
  </si>
  <si>
    <t>ASSISTS 19</t>
  </si>
  <si>
    <t>GOALS 19</t>
  </si>
  <si>
    <t>ASSISTS 18</t>
  </si>
  <si>
    <t>GOALS 18</t>
  </si>
  <si>
    <t>ASSISTS 17</t>
  </si>
  <si>
    <t>GOALS 17</t>
  </si>
  <si>
    <t>ASSISTS 16</t>
  </si>
  <si>
    <t>GOALS 16</t>
  </si>
  <si>
    <t>ASSISTS 15</t>
  </si>
  <si>
    <t>GOALS 15</t>
  </si>
  <si>
    <t>ASSISTS 1</t>
  </si>
  <si>
    <t>GOALS 1</t>
  </si>
  <si>
    <t>Omar Alderete</t>
  </si>
  <si>
    <t>Alderete</t>
  </si>
  <si>
    <t>Dowman</t>
  </si>
  <si>
    <t>Max Dowman</t>
  </si>
  <si>
    <t>Rio</t>
  </si>
  <si>
    <t>Ngumoha</t>
  </si>
  <si>
    <t>Rio Ngumoha</t>
  </si>
  <si>
    <t>Top Scorer</t>
  </si>
  <si>
    <t>GOA;S + ASSISTS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</si>
</sst>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800]dddd\,\ mmmm\ dd\,\ yyyy"/>
    <numFmt numFmtId="165" formatCode="[$-409]h:mm\ AM/PM;@"/>
    <numFmt numFmtId="166" formatCode="_(* #,##0_);_(* \(#,##0\);_(* &quot;-&quot;??_);_(@_)"/>
    <numFmt numFmtId="167" formatCode="_(&quot;$&quot;* #,##0.0_);_(&quot;$&quot;* \(#,##0.0\);_(&quot;$&quot;* &quot;-&quot;??_);_(@_)"/>
    <numFmt numFmtId="168" formatCode="[$-409]dd\-mmm\-yy;@"/>
    <numFmt numFmtId="169" formatCode="&quot;$&quot;#,##0.00"/>
    <numFmt numFmtId="170" formatCode="0.0"/>
    <numFmt numFmtId="171" formatCode="##,##0.0#\M"/>
    <numFmt numFmtId="172" formatCode="0.0%"/>
    <numFmt numFmtId="173" formatCode="0.000"/>
  </numFmts>
  <fonts count="41">
    <font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37003C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Academy Engraved LET Plain:1.0"/>
    </font>
    <font>
      <sz val="12"/>
      <color theme="1"/>
      <name val="Academy Engraved LET Plain:1.0"/>
    </font>
    <font>
      <sz val="12"/>
      <color theme="1" tint="0.249977111117893"/>
      <name val="Academy Engraved LET Plain:1.0"/>
    </font>
    <font>
      <sz val="12"/>
      <color theme="1" tint="0.14999847407452621"/>
      <name val="Academy Engraved LET Plain:1.0"/>
    </font>
    <font>
      <b/>
      <sz val="12"/>
      <color theme="1"/>
      <name val="Academy Engraved LET Plain:1.0"/>
    </font>
    <font>
      <sz val="12"/>
      <color rgb="FFFF0000"/>
      <name val="Academy Engraved LET Plain:1.0"/>
    </font>
    <font>
      <sz val="12"/>
      <color rgb="FF00B0F0"/>
      <name val="Academy Engraved LET Plain:1.0"/>
    </font>
    <font>
      <sz val="12"/>
      <color theme="7" tint="-0.249977111117893"/>
      <name val="Academy Engraved LET Plain:1.0"/>
    </font>
    <font>
      <sz val="12"/>
      <color theme="1" tint="4.9989318521683403E-2"/>
      <name val="Academy Engraved LET Plain:1.0"/>
    </font>
    <font>
      <b/>
      <sz val="12"/>
      <color theme="1" tint="4.9989318521683403E-2"/>
      <name val="Academy Engraved LET Plain:1.0"/>
    </font>
    <font>
      <sz val="14"/>
      <color theme="1"/>
      <name val="Academy Engraved LET Plain:1.0"/>
    </font>
    <font>
      <b/>
      <sz val="12"/>
      <color rgb="FF00B050"/>
      <name val="Academy Engraved LET Plain:1.0"/>
    </font>
    <font>
      <b/>
      <sz val="12"/>
      <color theme="1" tint="0.249977111117893"/>
      <name val="Academy Engraved LET Plain:1.0"/>
    </font>
    <font>
      <b/>
      <sz val="12"/>
      <color theme="7" tint="-0.249977111117893"/>
      <name val="Academy Engraved LET Plain:1.0"/>
    </font>
    <font>
      <b/>
      <sz val="12"/>
      <color theme="1" tint="0.14999847407452621"/>
      <name val="Academy Engraved LET Plain:1.0"/>
    </font>
    <font>
      <b/>
      <sz val="12"/>
      <color theme="0"/>
      <name val="Academy Engraved LET Plain:1.0"/>
    </font>
    <font>
      <b/>
      <sz val="12"/>
      <color rgb="FF262626"/>
      <name val="Academy Engraved LET Plain:1.0"/>
    </font>
    <font>
      <sz val="12"/>
      <color rgb="FF37003C"/>
      <name val="Academy Engraved LET Plain:1.0"/>
    </font>
    <font>
      <b/>
      <sz val="12"/>
      <name val="Academy Engraved LET Plain:1.0"/>
    </font>
    <font>
      <b/>
      <sz val="12"/>
      <color theme="0"/>
      <name val="Calibri"/>
      <family val="2"/>
      <scheme val="minor"/>
    </font>
    <font>
      <sz val="12"/>
      <color rgb="FFFFFFFF"/>
      <name val="Academy Engraved LET Plain:1.0"/>
    </font>
    <font>
      <sz val="12"/>
      <name val="Academy Engraved LET Plain:1.0"/>
    </font>
    <font>
      <sz val="12"/>
      <name val="Calibri"/>
      <family val="2"/>
      <scheme val="minor"/>
    </font>
    <font>
      <b/>
      <sz val="12"/>
      <color theme="0"/>
      <name val="Courier New"/>
      <family val="1"/>
    </font>
    <font>
      <b/>
      <sz val="12"/>
      <color theme="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7"/>
      <name val="Calibri"/>
      <family val="2"/>
      <scheme val="minor"/>
    </font>
    <font>
      <b/>
      <sz val="12"/>
      <color theme="2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theme="6"/>
      <name val="Calibri"/>
      <family val="2"/>
      <scheme val="minor"/>
    </font>
    <font>
      <sz val="36"/>
      <name val="Academy Engraved LET Plain:1.0"/>
    </font>
    <font>
      <b/>
      <sz val="12"/>
      <name val="Calibri"/>
      <family val="2"/>
      <scheme val="minor"/>
    </font>
    <font>
      <sz val="12"/>
      <color theme="9"/>
      <name val="Calibri"/>
      <family val="2"/>
      <scheme val="minor"/>
    </font>
    <font>
      <b/>
      <sz val="12"/>
      <color theme="9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1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1F00"/>
        <bgColor theme="6" tint="0.79998168889431442"/>
      </patternFill>
    </fill>
    <fill>
      <patternFill patternType="solid">
        <fgColor rgb="FF00B0F0"/>
        <bgColor theme="6" tint="0.79998168889431442"/>
      </patternFill>
    </fill>
    <fill>
      <patternFill patternType="solid">
        <fgColor theme="2"/>
        <bgColor theme="6" tint="0.79998168889431442"/>
      </patternFill>
    </fill>
    <fill>
      <patternFill patternType="solid">
        <fgColor theme="4"/>
      </patternFill>
    </fill>
    <fill>
      <patternFill patternType="solid">
        <fgColor rgb="FFFF1F00"/>
        <bgColor rgb="FF000000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A2ED5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/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DashDot">
        <color theme="9" tint="-0.249977111117893"/>
      </left>
      <right style="mediumDashDot">
        <color theme="9" tint="-0.249977111117893"/>
      </right>
      <top/>
      <bottom style="mediumDashDot">
        <color theme="9" tint="-0.249977111117893"/>
      </bottom>
      <diagonal/>
    </border>
    <border>
      <left style="mediumDashDot">
        <color theme="9" tint="-0.249977111117893"/>
      </left>
      <right style="mediumDashed">
        <color theme="1"/>
      </right>
      <top style="mediumDashDot">
        <color theme="9" tint="-0.249977111117893"/>
      </top>
      <bottom style="mediumDashDot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double">
        <color indexed="64"/>
      </left>
      <right style="mediumDashed">
        <color indexed="64"/>
      </right>
      <top style="mediumDashed">
        <color indexed="64"/>
      </top>
      <bottom/>
      <diagonal/>
    </border>
    <border>
      <left style="mediumDashDot">
        <color theme="9" tint="-0.249977111117893"/>
      </left>
      <right style="mediumDashed">
        <color theme="1"/>
      </right>
      <top/>
      <bottom style="mediumDashDot">
        <color theme="9" tint="-0.249977111117893"/>
      </bottom>
      <diagonal/>
    </border>
    <border>
      <left style="double">
        <color indexed="64"/>
      </left>
      <right/>
      <top/>
      <bottom/>
      <diagonal/>
    </border>
    <border>
      <left style="double">
        <color theme="2" tint="-0.24994659260841701"/>
      </left>
      <right style="double">
        <color theme="2" tint="-0.24994659260841701"/>
      </right>
      <top style="double">
        <color theme="2" tint="-0.24994659260841701"/>
      </top>
      <bottom style="double">
        <color theme="2" tint="-0.24994659260841701"/>
      </bottom>
      <diagonal/>
    </border>
    <border>
      <left style="double">
        <color theme="2" tint="-0.24994659260841701"/>
      </left>
      <right style="double">
        <color theme="2" tint="-0.24994659260841701"/>
      </right>
      <top style="double">
        <color theme="2" tint="-0.24994659260841701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mediumDashed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mediumDashed">
        <color indexed="64"/>
      </top>
      <bottom/>
      <diagonal/>
    </border>
    <border>
      <left style="double">
        <color indexed="64"/>
      </left>
      <right/>
      <top style="mediumDashed">
        <color indexed="64"/>
      </top>
      <bottom style="thin">
        <color rgb="FF8EA9DB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DashDot">
        <color indexed="64"/>
      </top>
      <bottom style="mediumDashDot">
        <color indexed="64"/>
      </bottom>
      <diagonal/>
    </border>
    <border>
      <left style="double">
        <color indexed="64"/>
      </left>
      <right style="double">
        <color indexed="64"/>
      </right>
      <top style="mediumDashDot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DashDot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 style="medium">
        <color indexed="64"/>
      </right>
      <top/>
      <bottom style="mediumDashed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ashDotDot">
        <color indexed="64"/>
      </left>
      <right style="dashDotDot">
        <color indexed="64"/>
      </right>
      <top/>
      <bottom style="dashDotDot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hair">
        <color theme="0"/>
      </right>
      <top/>
      <bottom/>
      <diagonal/>
    </border>
    <border>
      <left style="hair">
        <color theme="0"/>
      </left>
      <right style="hair">
        <color theme="0"/>
      </right>
      <top/>
      <bottom/>
      <diagonal/>
    </border>
    <border>
      <left style="hair">
        <color theme="0"/>
      </left>
      <right style="hair">
        <color theme="0"/>
      </right>
      <top style="thin">
        <color theme="4" tint="0.39997558519241921"/>
      </top>
      <bottom/>
      <diagonal/>
    </border>
    <border>
      <left style="hair">
        <color theme="0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theme="0"/>
      </left>
      <right style="hair">
        <color theme="0"/>
      </right>
      <top style="thin">
        <color theme="4" tint="0.39997558519241921"/>
      </top>
      <bottom style="thin">
        <color theme="4" tint="0.39997558519241921"/>
      </bottom>
      <diagonal/>
    </border>
    <border>
      <left style="hair">
        <color theme="0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4" tint="0.39997558519241921"/>
      </top>
      <bottom style="thin">
        <color theme="4" tint="0.39997558519241921"/>
      </bottom>
      <diagonal/>
    </border>
    <border>
      <left style="double">
        <color theme="2" tint="-0.24994659260841701"/>
      </left>
      <right style="double">
        <color theme="2" tint="-0.24994659260841701"/>
      </right>
      <top/>
      <bottom style="double">
        <color theme="2" tint="-0.24994659260841701"/>
      </bottom>
      <diagonal/>
    </border>
    <border>
      <left style="medium">
        <color indexed="64"/>
      </left>
      <right style="thin">
        <color rgb="FFFFC000"/>
      </right>
      <top style="medium">
        <color indexed="64"/>
      </top>
      <bottom style="thin">
        <color rgb="FFFFC000"/>
      </bottom>
      <diagonal/>
    </border>
    <border>
      <left style="thin">
        <color rgb="FFFFC000"/>
      </left>
      <right/>
      <top style="medium">
        <color indexed="64"/>
      </top>
      <bottom style="thin">
        <color rgb="FFFFC00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thin">
        <color rgb="FFFFC000"/>
      </right>
      <top style="medium">
        <color indexed="64"/>
      </top>
      <bottom style="thin">
        <color rgb="FFFFC000"/>
      </bottom>
      <diagonal/>
    </border>
    <border>
      <left style="thin">
        <color rgb="FFFFC000"/>
      </left>
      <right style="medium">
        <color indexed="64"/>
      </right>
      <top style="medium">
        <color indexed="64"/>
      </top>
      <bottom style="thin">
        <color rgb="FFFFC000"/>
      </bottom>
      <diagonal/>
    </border>
    <border>
      <left style="medium">
        <color indexed="64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indexed="64"/>
      </right>
      <top style="thin">
        <color rgb="FFFFC000"/>
      </top>
      <bottom style="thin">
        <color rgb="FFFFC000"/>
      </bottom>
      <diagonal/>
    </border>
    <border>
      <left style="medium">
        <color indexed="64"/>
      </left>
      <right style="thin">
        <color rgb="FFFFC000"/>
      </right>
      <top style="thin">
        <color rgb="FFFFC000"/>
      </top>
      <bottom style="medium">
        <color indexed="64"/>
      </bottom>
      <diagonal/>
    </border>
    <border>
      <left style="thin">
        <color rgb="FFFFC000"/>
      </left>
      <right/>
      <top style="thin">
        <color rgb="FFFFC00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thin">
        <color rgb="FFFFC000"/>
      </right>
      <top style="thin">
        <color rgb="FFFFC000"/>
      </top>
      <bottom style="medium">
        <color indexed="64"/>
      </bottom>
      <diagonal/>
    </border>
    <border>
      <left style="thin">
        <color rgb="FFFFC000"/>
      </left>
      <right style="medium">
        <color indexed="64"/>
      </right>
      <top style="thin">
        <color rgb="FFFFC000"/>
      </top>
      <bottom style="medium">
        <color indexed="64"/>
      </bottom>
      <diagonal/>
    </border>
    <border>
      <left/>
      <right/>
      <top/>
      <bottom style="thin">
        <color rgb="FFFFC000"/>
      </bottom>
      <diagonal/>
    </border>
    <border>
      <left/>
      <right/>
      <top style="thin">
        <color rgb="FFFFC000"/>
      </top>
      <bottom style="thin">
        <color rgb="FFFFC000"/>
      </bottom>
      <diagonal/>
    </border>
    <border>
      <left/>
      <right/>
      <top style="thin">
        <color rgb="FFFFC000"/>
      </top>
      <bottom/>
      <diagonal/>
    </border>
    <border>
      <left style="thin">
        <color rgb="FFFFC000"/>
      </left>
      <right style="thin">
        <color rgb="FFFFC000"/>
      </right>
      <top style="medium">
        <color indexed="64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0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0"/>
      </left>
      <right/>
      <top style="thin">
        <color theme="4" tint="0.39997558519241921"/>
      </top>
      <bottom/>
      <diagonal/>
    </border>
    <border>
      <left/>
      <right style="thin">
        <color theme="0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n">
        <color theme="4" tint="0.39997558519241921"/>
      </bottom>
      <diagonal/>
    </border>
  </borders>
  <cellStyleXfs count="13">
    <xf numFmtId="0" fontId="0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22" borderId="0" applyNumberFormat="0" applyBorder="0" applyAlignment="0" applyProtection="0"/>
    <xf numFmtId="9" fontId="6" fillId="0" borderId="0" applyFont="0" applyFill="0" applyBorder="0" applyAlignment="0" applyProtection="0"/>
    <xf numFmtId="0" fontId="4" fillId="29" borderId="0" applyNumberFormat="0" applyBorder="0" applyAlignment="0" applyProtection="0"/>
    <xf numFmtId="0" fontId="35" fillId="35" borderId="0" applyNumberFormat="0" applyBorder="0" applyAlignment="0" applyProtection="0"/>
    <xf numFmtId="0" fontId="6" fillId="36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0" borderId="0" applyNumberFormat="0" applyBorder="0" applyAlignment="0" applyProtection="0"/>
    <xf numFmtId="0" fontId="4" fillId="41" borderId="0" applyNumberFormat="0" applyBorder="0" applyAlignment="0" applyProtection="0"/>
  </cellStyleXfs>
  <cellXfs count="315">
    <xf numFmtId="0" fontId="0" fillId="0" borderId="0" xfId="0"/>
    <xf numFmtId="0" fontId="2" fillId="2" borderId="10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0" fillId="8" borderId="0" xfId="0" applyFill="1"/>
    <xf numFmtId="165" fontId="0" fillId="0" borderId="0" xfId="0" applyNumberFormat="1"/>
    <xf numFmtId="0" fontId="10" fillId="20" borderId="1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9" fillId="18" borderId="1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11" fillId="17" borderId="15" xfId="0" applyFont="1" applyFill="1" applyBorder="1" applyAlignment="1">
      <alignment horizontal="center" vertical="center"/>
    </xf>
    <xf numFmtId="0" fontId="8" fillId="0" borderId="0" xfId="0" applyFont="1"/>
    <xf numFmtId="0" fontId="1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23" borderId="16" xfId="0" applyFont="1" applyFill="1" applyBorder="1" applyAlignment="1">
      <alignment horizontal="center" vertical="center"/>
    </xf>
    <xf numFmtId="0" fontId="11" fillId="17" borderId="25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5" fillId="21" borderId="16" xfId="0" applyFont="1" applyFill="1" applyBorder="1" applyAlignment="1">
      <alignment horizontal="center" vertical="center" wrapText="1"/>
    </xf>
    <xf numFmtId="0" fontId="15" fillId="24" borderId="16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4" fillId="6" borderId="2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9" fillId="25" borderId="16" xfId="0" applyFont="1" applyFill="1" applyBorder="1" applyAlignment="1">
      <alignment horizontal="center" vertical="center" wrapText="1"/>
    </xf>
    <xf numFmtId="0" fontId="14" fillId="28" borderId="16" xfId="0" applyFont="1" applyFill="1" applyBorder="1" applyAlignment="1">
      <alignment horizontal="center" vertical="center" wrapText="1"/>
    </xf>
    <xf numFmtId="0" fontId="7" fillId="26" borderId="16" xfId="0" applyFont="1" applyFill="1" applyBorder="1" applyAlignment="1">
      <alignment horizontal="center" vertical="center" wrapText="1"/>
    </xf>
    <xf numFmtId="0" fontId="10" fillId="27" borderId="16" xfId="0" applyFont="1" applyFill="1" applyBorder="1" applyAlignment="1">
      <alignment horizontal="center" vertical="center" wrapText="1"/>
    </xf>
    <xf numFmtId="0" fontId="25" fillId="17" borderId="29" xfId="0" applyFont="1" applyFill="1" applyBorder="1" applyAlignment="1">
      <alignment horizontal="center" vertical="center"/>
    </xf>
    <xf numFmtId="0" fontId="7" fillId="19" borderId="28" xfId="0" applyFont="1" applyFill="1" applyBorder="1" applyAlignment="1">
      <alignment horizontal="center" vertical="center"/>
    </xf>
    <xf numFmtId="0" fontId="25" fillId="17" borderId="30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0" fillId="27" borderId="31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34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5" fillId="0" borderId="33" xfId="0" applyFont="1" applyBorder="1" applyAlignment="1">
      <alignment horizontal="center" vertical="center" wrapText="1"/>
    </xf>
    <xf numFmtId="167" fontId="25" fillId="17" borderId="30" xfId="2" applyNumberFormat="1" applyFont="1" applyFill="1" applyBorder="1" applyAlignment="1">
      <alignment horizontal="center" vertical="center"/>
    </xf>
    <xf numFmtId="0" fontId="10" fillId="20" borderId="37" xfId="0" applyFont="1" applyFill="1" applyBorder="1" applyAlignment="1">
      <alignment horizontal="center" vertical="center"/>
    </xf>
    <xf numFmtId="0" fontId="7" fillId="19" borderId="37" xfId="0" applyFont="1" applyFill="1" applyBorder="1" applyAlignment="1">
      <alignment horizontal="center" vertical="center"/>
    </xf>
    <xf numFmtId="0" fontId="14" fillId="6" borderId="37" xfId="0" applyFont="1" applyFill="1" applyBorder="1" applyAlignment="1">
      <alignment horizontal="center" vertical="center"/>
    </xf>
    <xf numFmtId="0" fontId="19" fillId="18" borderId="37" xfId="0" applyFont="1" applyFill="1" applyBorder="1" applyAlignment="1">
      <alignment horizontal="center" vertical="center"/>
    </xf>
    <xf numFmtId="0" fontId="7" fillId="19" borderId="40" xfId="0" applyFont="1" applyFill="1" applyBorder="1" applyAlignment="1">
      <alignment horizontal="center" vertical="center"/>
    </xf>
    <xf numFmtId="0" fontId="14" fillId="6" borderId="40" xfId="0" applyFont="1" applyFill="1" applyBorder="1" applyAlignment="1">
      <alignment horizontal="center" vertical="center"/>
    </xf>
    <xf numFmtId="0" fontId="19" fillId="18" borderId="40" xfId="0" applyFont="1" applyFill="1" applyBorder="1" applyAlignment="1">
      <alignment horizontal="center" vertical="center"/>
    </xf>
    <xf numFmtId="0" fontId="25" fillId="17" borderId="30" xfId="0" applyFont="1" applyFill="1" applyBorder="1" applyAlignment="1">
      <alignment horizontal="center" vertical="center" wrapText="1"/>
    </xf>
    <xf numFmtId="168" fontId="15" fillId="0" borderId="36" xfId="0" applyNumberFormat="1" applyFont="1" applyBorder="1" applyAlignment="1">
      <alignment horizontal="center" vertical="center" wrapText="1"/>
    </xf>
    <xf numFmtId="9" fontId="28" fillId="0" borderId="16" xfId="4" applyFont="1" applyFill="1" applyBorder="1" applyAlignment="1">
      <alignment horizontal="center" vertical="center" wrapText="1"/>
    </xf>
    <xf numFmtId="0" fontId="12" fillId="0" borderId="16" xfId="0" applyFont="1" applyBorder="1" applyAlignment="1">
      <alignment horizontal="center" vertical="center" wrapText="1"/>
    </xf>
    <xf numFmtId="172" fontId="0" fillId="0" borderId="16" xfId="4" applyNumberFormat="1" applyFont="1" applyFill="1" applyBorder="1" applyAlignment="1">
      <alignment horizontal="center" vertical="center"/>
    </xf>
    <xf numFmtId="170" fontId="5" fillId="0" borderId="16" xfId="0" applyNumberFormat="1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171" fontId="0" fillId="0" borderId="16" xfId="2" applyNumberFormat="1" applyFont="1" applyFill="1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170" fontId="0" fillId="0" borderId="16" xfId="0" applyNumberForma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0" fillId="0" borderId="16" xfId="0" applyBorder="1"/>
    <xf numFmtId="169" fontId="17" fillId="0" borderId="20" xfId="2" applyNumberFormat="1" applyFont="1" applyBorder="1" applyAlignment="1">
      <alignment horizontal="center" vertical="center"/>
    </xf>
    <xf numFmtId="0" fontId="8" fillId="0" borderId="0" xfId="3" applyFont="1" applyFill="1" applyBorder="1" applyAlignment="1">
      <alignment horizontal="center" vertical="center"/>
    </xf>
    <xf numFmtId="0" fontId="19" fillId="25" borderId="16" xfId="0" applyFont="1" applyFill="1" applyBorder="1" applyAlignment="1">
      <alignment horizontal="center" vertical="center" wrapText="1"/>
    </xf>
    <xf numFmtId="0" fontId="20" fillId="28" borderId="16" xfId="0" applyFont="1" applyFill="1" applyBorder="1" applyAlignment="1">
      <alignment horizontal="center" vertical="center" wrapText="1"/>
    </xf>
    <xf numFmtId="0" fontId="22" fillId="26" borderId="16" xfId="0" applyFont="1" applyFill="1" applyBorder="1" applyAlignment="1">
      <alignment horizontal="center" vertical="center" wrapText="1"/>
    </xf>
    <xf numFmtId="0" fontId="21" fillId="27" borderId="16" xfId="0" applyFont="1" applyFill="1" applyBorder="1" applyAlignment="1">
      <alignment horizontal="center" vertical="center" wrapText="1"/>
    </xf>
    <xf numFmtId="0" fontId="22" fillId="7" borderId="21" xfId="0" applyFont="1" applyFill="1" applyBorder="1" applyAlignment="1">
      <alignment horizontal="center" vertical="center" wrapText="1"/>
    </xf>
    <xf numFmtId="0" fontId="22" fillId="7" borderId="22" xfId="0" applyFont="1" applyFill="1" applyBorder="1" applyAlignment="1">
      <alignment horizontal="center" vertical="center"/>
    </xf>
    <xf numFmtId="9" fontId="14" fillId="0" borderId="16" xfId="4" applyFont="1" applyFill="1" applyBorder="1" applyAlignment="1">
      <alignment horizontal="center" vertical="center"/>
    </xf>
    <xf numFmtId="171" fontId="5" fillId="0" borderId="16" xfId="2" applyNumberFormat="1" applyFont="1" applyFill="1" applyBorder="1" applyAlignment="1">
      <alignment horizontal="center" vertical="center"/>
    </xf>
    <xf numFmtId="44" fontId="17" fillId="17" borderId="19" xfId="2" applyFont="1" applyFill="1" applyBorder="1" applyAlignment="1">
      <alignment horizontal="center" vertical="center"/>
    </xf>
    <xf numFmtId="44" fontId="17" fillId="17" borderId="27" xfId="2" applyFont="1" applyFill="1" applyBorder="1" applyAlignment="1">
      <alignment horizontal="center" vertical="center" wrapText="1"/>
    </xf>
    <xf numFmtId="0" fontId="30" fillId="29" borderId="0" xfId="5" applyFont="1"/>
    <xf numFmtId="0" fontId="4" fillId="29" borderId="42" xfId="5" applyBorder="1" applyAlignment="1">
      <alignment horizontal="center" vertical="center"/>
    </xf>
    <xf numFmtId="0" fontId="4" fillId="29" borderId="44" xfId="5" applyBorder="1" applyAlignment="1">
      <alignment horizontal="center" vertical="center"/>
    </xf>
    <xf numFmtId="0" fontId="4" fillId="29" borderId="45" xfId="5" applyBorder="1" applyAlignment="1">
      <alignment horizontal="center" vertical="center"/>
    </xf>
    <xf numFmtId="0" fontId="4" fillId="29" borderId="41" xfId="5" applyBorder="1" applyAlignment="1">
      <alignment horizontal="center" vertical="center"/>
    </xf>
    <xf numFmtId="0" fontId="26" fillId="29" borderId="0" xfId="5" applyFont="1" applyBorder="1" applyAlignment="1">
      <alignment horizontal="center" vertical="center"/>
    </xf>
    <xf numFmtId="0" fontId="29" fillId="0" borderId="43" xfId="5" applyFont="1" applyFill="1" applyBorder="1" applyAlignment="1">
      <alignment horizontal="center" vertical="center"/>
    </xf>
    <xf numFmtId="0" fontId="29" fillId="0" borderId="32" xfId="5" applyFont="1" applyFill="1" applyBorder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33" borderId="0" xfId="0" applyFont="1" applyFill="1" applyAlignment="1">
      <alignment horizontal="center" vertical="center"/>
    </xf>
    <xf numFmtId="0" fontId="16" fillId="0" borderId="46" xfId="0" applyFont="1" applyBorder="1" applyAlignment="1">
      <alignment horizontal="center" vertical="center"/>
    </xf>
    <xf numFmtId="0" fontId="8" fillId="0" borderId="46" xfId="0" applyFont="1" applyBorder="1" applyAlignment="1">
      <alignment horizontal="center" vertical="center"/>
    </xf>
    <xf numFmtId="0" fontId="8" fillId="0" borderId="54" xfId="0" applyFont="1" applyBorder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166" fontId="8" fillId="0" borderId="55" xfId="1" applyNumberFormat="1" applyFont="1" applyFill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166" fontId="8" fillId="0" borderId="14" xfId="1" applyNumberFormat="1" applyFont="1" applyFill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/>
    </xf>
    <xf numFmtId="0" fontId="8" fillId="0" borderId="48" xfId="0" applyFont="1" applyBorder="1" applyAlignment="1">
      <alignment horizontal="center" vertical="center"/>
    </xf>
    <xf numFmtId="166" fontId="8" fillId="0" borderId="48" xfId="1" applyNumberFormat="1" applyFont="1" applyFill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166" fontId="0" fillId="0" borderId="0" xfId="1" applyNumberFormat="1" applyFont="1" applyBorder="1" applyAlignment="1">
      <alignment horizontal="center" vertical="center"/>
    </xf>
    <xf numFmtId="166" fontId="0" fillId="0" borderId="0" xfId="1" applyNumberFormat="1" applyFont="1" applyAlignment="1">
      <alignment horizontal="center" vertical="center"/>
    </xf>
    <xf numFmtId="0" fontId="16" fillId="0" borderId="46" xfId="0" applyFont="1" applyBorder="1" applyAlignment="1">
      <alignment horizontal="left" vertical="center"/>
    </xf>
    <xf numFmtId="0" fontId="11" fillId="0" borderId="53" xfId="0" applyFont="1" applyBorder="1" applyAlignment="1">
      <alignment horizontal="left" vertical="center"/>
    </xf>
    <xf numFmtId="0" fontId="11" fillId="0" borderId="51" xfId="0" applyFont="1" applyBorder="1" applyAlignment="1">
      <alignment horizontal="left" vertical="center"/>
    </xf>
    <xf numFmtId="0" fontId="11" fillId="0" borderId="52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11" fillId="17" borderId="15" xfId="0" applyFont="1" applyFill="1" applyBorder="1" applyAlignment="1">
      <alignment horizontal="left" vertical="center"/>
    </xf>
    <xf numFmtId="0" fontId="1" fillId="16" borderId="24" xfId="0" applyFont="1" applyFill="1" applyBorder="1" applyAlignment="1">
      <alignment horizontal="left" vertical="center"/>
    </xf>
    <xf numFmtId="0" fontId="1" fillId="16" borderId="23" xfId="0" applyFont="1" applyFill="1" applyBorder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5" borderId="0" xfId="0" applyFont="1" applyFill="1" applyAlignment="1">
      <alignment horizontal="center" vertical="center"/>
    </xf>
    <xf numFmtId="0" fontId="33" fillId="31" borderId="0" xfId="0" applyFont="1" applyFill="1" applyAlignment="1">
      <alignment horizontal="center" vertical="center"/>
    </xf>
    <xf numFmtId="0" fontId="34" fillId="34" borderId="0" xfId="0" applyFont="1" applyFill="1" applyAlignment="1">
      <alignment horizontal="center" vertical="center"/>
    </xf>
    <xf numFmtId="0" fontId="0" fillId="17" borderId="0" xfId="0" applyFill="1"/>
    <xf numFmtId="0" fontId="29" fillId="0" borderId="0" xfId="0" applyFont="1" applyAlignment="1">
      <alignment horizontal="center" vertical="center"/>
    </xf>
    <xf numFmtId="0" fontId="36" fillId="4" borderId="0" xfId="0" applyFont="1" applyFill="1" applyAlignment="1">
      <alignment horizontal="center" vertical="center"/>
    </xf>
    <xf numFmtId="2" fontId="4" fillId="29" borderId="0" xfId="5" applyNumberFormat="1" applyAlignment="1">
      <alignment horizontal="center" vertical="center"/>
    </xf>
    <xf numFmtId="1" fontId="0" fillId="9" borderId="11" xfId="0" applyNumberFormat="1" applyFill="1" applyBorder="1" applyAlignment="1">
      <alignment horizontal="center"/>
    </xf>
    <xf numFmtId="1" fontId="0" fillId="10" borderId="11" xfId="0" applyNumberFormat="1" applyFill="1" applyBorder="1" applyAlignment="1">
      <alignment horizontal="center"/>
    </xf>
    <xf numFmtId="0" fontId="37" fillId="0" borderId="0" xfId="6" applyFont="1" applyFill="1" applyBorder="1" applyAlignment="1">
      <alignment vertical="center"/>
    </xf>
    <xf numFmtId="0" fontId="38" fillId="37" borderId="8" xfId="8" applyFont="1" applyBorder="1" applyAlignment="1">
      <alignment horizontal="center" vertical="center"/>
    </xf>
    <xf numFmtId="0" fontId="38" fillId="37" borderId="7" xfId="8" applyFont="1" applyBorder="1" applyAlignment="1">
      <alignment horizontal="center" vertical="center"/>
    </xf>
    <xf numFmtId="0" fontId="6" fillId="0" borderId="64" xfId="7" applyFill="1" applyBorder="1" applyAlignment="1">
      <alignment horizontal="center" vertical="center"/>
    </xf>
    <xf numFmtId="0" fontId="6" fillId="0" borderId="2" xfId="7" applyFill="1" applyBorder="1" applyAlignment="1">
      <alignment horizontal="center" vertical="center"/>
    </xf>
    <xf numFmtId="0" fontId="6" fillId="0" borderId="0" xfId="7" applyFill="1" applyBorder="1" applyAlignment="1">
      <alignment horizontal="center" vertical="center"/>
    </xf>
    <xf numFmtId="1" fontId="6" fillId="0" borderId="0" xfId="7" applyNumberFormat="1" applyFill="1" applyBorder="1" applyAlignment="1">
      <alignment horizontal="center" vertical="center"/>
    </xf>
    <xf numFmtId="0" fontId="6" fillId="0" borderId="4" xfId="7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6" fillId="0" borderId="65" xfId="7" applyFill="1" applyBorder="1" applyAlignment="1">
      <alignment horizontal="center" vertical="center"/>
    </xf>
    <xf numFmtId="0" fontId="0" fillId="0" borderId="68" xfId="0" applyBorder="1" applyAlignment="1">
      <alignment horizontal="center"/>
    </xf>
    <xf numFmtId="0" fontId="38" fillId="37" borderId="7" xfId="8" applyFont="1" applyBorder="1" applyAlignment="1">
      <alignment horizontal="left" vertical="center"/>
    </xf>
    <xf numFmtId="0" fontId="38" fillId="37" borderId="66" xfId="8" applyFont="1" applyBorder="1" applyAlignment="1">
      <alignment horizontal="center" vertical="center"/>
    </xf>
    <xf numFmtId="0" fontId="38" fillId="37" borderId="6" xfId="8" applyFont="1" applyBorder="1" applyAlignment="1">
      <alignment horizontal="center" vertical="center"/>
    </xf>
    <xf numFmtId="0" fontId="38" fillId="37" borderId="69" xfId="8" applyFont="1" applyBorder="1" applyAlignment="1">
      <alignment horizontal="center" vertical="center"/>
    </xf>
    <xf numFmtId="0" fontId="38" fillId="37" borderId="65" xfId="8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0" fillId="9" borderId="13" xfId="0" applyNumberFormat="1" applyFill="1" applyBorder="1" applyAlignment="1">
      <alignment horizontal="center"/>
    </xf>
    <xf numFmtId="0" fontId="26" fillId="29" borderId="71" xfId="5" applyFont="1" applyBorder="1" applyAlignment="1">
      <alignment horizontal="center" vertical="center"/>
    </xf>
    <xf numFmtId="164" fontId="4" fillId="29" borderId="72" xfId="5" applyNumberFormat="1" applyBorder="1" applyAlignment="1">
      <alignment horizontal="left" vertical="center"/>
    </xf>
    <xf numFmtId="0" fontId="4" fillId="29" borderId="73" xfId="5" applyBorder="1"/>
    <xf numFmtId="0" fontId="4" fillId="29" borderId="73" xfId="5" applyBorder="1" applyAlignment="1">
      <alignment horizontal="center" vertical="center"/>
    </xf>
    <xf numFmtId="0" fontId="4" fillId="29" borderId="72" xfId="5" applyBorder="1" applyAlignment="1">
      <alignment horizontal="center"/>
    </xf>
    <xf numFmtId="165" fontId="4" fillId="29" borderId="72" xfId="5" applyNumberFormat="1" applyBorder="1" applyAlignment="1">
      <alignment horizontal="center"/>
    </xf>
    <xf numFmtId="0" fontId="4" fillId="29" borderId="73" xfId="5" applyBorder="1" applyAlignment="1">
      <alignment vertical="center"/>
    </xf>
    <xf numFmtId="0" fontId="4" fillId="29" borderId="74" xfId="5" applyBorder="1"/>
    <xf numFmtId="165" fontId="26" fillId="15" borderId="75" xfId="0" applyNumberFormat="1" applyFont="1" applyFill="1" applyBorder="1" applyAlignment="1">
      <alignment horizontal="center"/>
    </xf>
    <xf numFmtId="165" fontId="26" fillId="15" borderId="41" xfId="0" applyNumberFormat="1" applyFont="1" applyFill="1" applyBorder="1" applyAlignment="1">
      <alignment horizontal="center"/>
    </xf>
    <xf numFmtId="1" fontId="0" fillId="10" borderId="12" xfId="0" applyNumberFormat="1" applyFill="1" applyBorder="1" applyAlignment="1">
      <alignment horizontal="center"/>
    </xf>
    <xf numFmtId="1" fontId="0" fillId="10" borderId="13" xfId="0" applyNumberFormat="1" applyFill="1" applyBorder="1" applyAlignment="1">
      <alignment horizontal="center"/>
    </xf>
    <xf numFmtId="1" fontId="0" fillId="9" borderId="12" xfId="0" applyNumberFormat="1" applyFill="1" applyBorder="1" applyAlignment="1">
      <alignment horizontal="center"/>
    </xf>
    <xf numFmtId="1" fontId="0" fillId="11" borderId="12" xfId="0" applyNumberFormat="1" applyFill="1" applyBorder="1" applyAlignment="1">
      <alignment horizontal="center"/>
    </xf>
    <xf numFmtId="1" fontId="0" fillId="11" borderId="11" xfId="0" applyNumberFormat="1" applyFill="1" applyBorder="1" applyAlignment="1">
      <alignment horizontal="center"/>
    </xf>
    <xf numFmtId="1" fontId="0" fillId="11" borderId="13" xfId="0" applyNumberFormat="1" applyFill="1" applyBorder="1" applyAlignment="1">
      <alignment horizontal="center"/>
    </xf>
    <xf numFmtId="1" fontId="0" fillId="12" borderId="12" xfId="0" applyNumberFormat="1" applyFill="1" applyBorder="1" applyAlignment="1">
      <alignment horizontal="center"/>
    </xf>
    <xf numFmtId="1" fontId="0" fillId="12" borderId="11" xfId="0" applyNumberFormat="1" applyFill="1" applyBorder="1" applyAlignment="1">
      <alignment horizontal="center"/>
    </xf>
    <xf numFmtId="1" fontId="0" fillId="12" borderId="13" xfId="0" applyNumberFormat="1" applyFill="1" applyBorder="1" applyAlignment="1">
      <alignment horizontal="center"/>
    </xf>
    <xf numFmtId="1" fontId="0" fillId="3" borderId="12" xfId="0" applyNumberFormat="1" applyFill="1" applyBorder="1" applyAlignment="1">
      <alignment horizontal="center"/>
    </xf>
    <xf numFmtId="1" fontId="0" fillId="3" borderId="11" xfId="0" applyNumberFormat="1" applyFill="1" applyBorder="1" applyAlignment="1">
      <alignment horizontal="center"/>
    </xf>
    <xf numFmtId="1" fontId="0" fillId="3" borderId="13" xfId="0" applyNumberFormat="1" applyFill="1" applyBorder="1" applyAlignment="1">
      <alignment horizontal="center"/>
    </xf>
    <xf numFmtId="1" fontId="0" fillId="2" borderId="12" xfId="0" applyNumberFormat="1" applyFill="1" applyBorder="1" applyAlignment="1">
      <alignment horizontal="center"/>
    </xf>
    <xf numFmtId="1" fontId="0" fillId="2" borderId="11" xfId="0" applyNumberFormat="1" applyFill="1" applyBorder="1" applyAlignment="1">
      <alignment horizontal="center"/>
    </xf>
    <xf numFmtId="1" fontId="0" fillId="2" borderId="13" xfId="0" applyNumberFormat="1" applyFill="1" applyBorder="1" applyAlignment="1">
      <alignment horizontal="center"/>
    </xf>
    <xf numFmtId="1" fontId="0" fillId="13" borderId="12" xfId="0" applyNumberFormat="1" applyFill="1" applyBorder="1" applyAlignment="1">
      <alignment horizontal="center"/>
    </xf>
    <xf numFmtId="1" fontId="0" fillId="13" borderId="11" xfId="0" applyNumberFormat="1" applyFill="1" applyBorder="1" applyAlignment="1">
      <alignment horizontal="center"/>
    </xf>
    <xf numFmtId="1" fontId="0" fillId="13" borderId="13" xfId="0" applyNumberFormat="1" applyFill="1" applyBorder="1" applyAlignment="1">
      <alignment horizontal="center"/>
    </xf>
    <xf numFmtId="1" fontId="0" fillId="14" borderId="12" xfId="0" applyNumberFormat="1" applyFill="1" applyBorder="1" applyAlignment="1">
      <alignment horizontal="center"/>
    </xf>
    <xf numFmtId="1" fontId="0" fillId="14" borderId="11" xfId="0" applyNumberFormat="1" applyFill="1" applyBorder="1" applyAlignment="1">
      <alignment horizontal="center"/>
    </xf>
    <xf numFmtId="1" fontId="0" fillId="14" borderId="13" xfId="0" applyNumberFormat="1" applyFill="1" applyBorder="1" applyAlignment="1">
      <alignment horizontal="center"/>
    </xf>
    <xf numFmtId="0" fontId="29" fillId="2" borderId="45" xfId="0" applyFont="1" applyFill="1" applyBorder="1" applyAlignment="1">
      <alignment horizontal="center" vertical="center"/>
    </xf>
    <xf numFmtId="0" fontId="29" fillId="0" borderId="45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0" fillId="0" borderId="31" xfId="0" applyBorder="1" applyAlignment="1">
      <alignment vertical="center"/>
    </xf>
    <xf numFmtId="0" fontId="0" fillId="0" borderId="16" xfId="0" applyBorder="1" applyAlignment="1">
      <alignment vertical="center"/>
    </xf>
    <xf numFmtId="0" fontId="8" fillId="0" borderId="0" xfId="0" applyFont="1" applyAlignment="1">
      <alignment horizontal="center"/>
    </xf>
    <xf numFmtId="0" fontId="22" fillId="7" borderId="78" xfId="0" applyFont="1" applyFill="1" applyBorder="1"/>
    <xf numFmtId="0" fontId="26" fillId="29" borderId="76" xfId="5" applyFont="1" applyBorder="1"/>
    <xf numFmtId="0" fontId="26" fillId="29" borderId="77" xfId="5" applyFont="1" applyBorder="1"/>
    <xf numFmtId="0" fontId="16" fillId="7" borderId="46" xfId="0" applyFont="1" applyFill="1" applyBorder="1" applyAlignment="1">
      <alignment horizontal="left" vertical="center"/>
    </xf>
    <xf numFmtId="0" fontId="4" fillId="29" borderId="42" xfId="5" applyBorder="1" applyAlignment="1">
      <alignment horizontal="left" vertical="center"/>
    </xf>
    <xf numFmtId="0" fontId="4" fillId="29" borderId="44" xfId="5" applyBorder="1" applyAlignment="1">
      <alignment horizontal="left" vertical="center"/>
    </xf>
    <xf numFmtId="0" fontId="4" fillId="29" borderId="45" xfId="5" applyBorder="1" applyAlignment="1">
      <alignment horizontal="left" vertical="center"/>
    </xf>
    <xf numFmtId="165" fontId="26" fillId="15" borderId="79" xfId="0" applyNumberFormat="1" applyFont="1" applyFill="1" applyBorder="1" applyAlignment="1">
      <alignment horizontal="center" vertical="center"/>
    </xf>
    <xf numFmtId="2" fontId="25" fillId="17" borderId="80" xfId="5" applyNumberFormat="1" applyFont="1" applyFill="1" applyBorder="1" applyAlignment="1">
      <alignment horizontal="center" vertical="center"/>
    </xf>
    <xf numFmtId="0" fontId="26" fillId="29" borderId="76" xfId="5" applyFont="1" applyBorder="1" applyAlignment="1">
      <alignment horizontal="center" vertical="center"/>
    </xf>
    <xf numFmtId="1" fontId="0" fillId="9" borderId="81" xfId="0" applyNumberFormat="1" applyFill="1" applyBorder="1" applyAlignment="1">
      <alignment horizontal="center"/>
    </xf>
    <xf numFmtId="1" fontId="0" fillId="9" borderId="82" xfId="0" applyNumberFormat="1" applyFill="1" applyBorder="1" applyAlignment="1">
      <alignment horizontal="center"/>
    </xf>
    <xf numFmtId="0" fontId="29" fillId="2" borderId="83" xfId="0" applyFont="1" applyFill="1" applyBorder="1" applyAlignment="1">
      <alignment horizontal="center" vertical="center"/>
    </xf>
    <xf numFmtId="1" fontId="0" fillId="9" borderId="84" xfId="0" applyNumberFormat="1" applyFill="1" applyBorder="1" applyAlignment="1">
      <alignment horizontal="center"/>
    </xf>
    <xf numFmtId="1" fontId="0" fillId="9" borderId="85" xfId="0" applyNumberFormat="1" applyFill="1" applyBorder="1" applyAlignment="1">
      <alignment horizontal="center"/>
    </xf>
    <xf numFmtId="1" fontId="0" fillId="10" borderId="86" xfId="0" applyNumberFormat="1" applyFill="1" applyBorder="1" applyAlignment="1">
      <alignment horizontal="center"/>
    </xf>
    <xf numFmtId="1" fontId="0" fillId="10" borderId="87" xfId="0" applyNumberFormat="1" applyFill="1" applyBorder="1" applyAlignment="1">
      <alignment horizontal="center"/>
    </xf>
    <xf numFmtId="1" fontId="0" fillId="9" borderId="86" xfId="0" applyNumberFormat="1" applyFill="1" applyBorder="1" applyAlignment="1">
      <alignment horizontal="center"/>
    </xf>
    <xf numFmtId="1" fontId="0" fillId="9" borderId="87" xfId="0" applyNumberFormat="1" applyFill="1" applyBorder="1" applyAlignment="1">
      <alignment horizontal="center"/>
    </xf>
    <xf numFmtId="1" fontId="0" fillId="11" borderId="86" xfId="0" applyNumberFormat="1" applyFill="1" applyBorder="1" applyAlignment="1">
      <alignment horizontal="center"/>
    </xf>
    <xf numFmtId="1" fontId="0" fillId="11" borderId="87" xfId="0" applyNumberFormat="1" applyFill="1" applyBorder="1" applyAlignment="1">
      <alignment horizontal="center"/>
    </xf>
    <xf numFmtId="1" fontId="0" fillId="12" borderId="86" xfId="0" applyNumberFormat="1" applyFill="1" applyBorder="1" applyAlignment="1">
      <alignment horizontal="center"/>
    </xf>
    <xf numFmtId="1" fontId="0" fillId="12" borderId="87" xfId="0" applyNumberFormat="1" applyFill="1" applyBorder="1" applyAlignment="1">
      <alignment horizontal="center"/>
    </xf>
    <xf numFmtId="1" fontId="0" fillId="3" borderId="86" xfId="0" applyNumberFormat="1" applyFill="1" applyBorder="1" applyAlignment="1">
      <alignment horizontal="center"/>
    </xf>
    <xf numFmtId="1" fontId="0" fillId="3" borderId="87" xfId="0" applyNumberFormat="1" applyFill="1" applyBorder="1" applyAlignment="1">
      <alignment horizontal="center"/>
    </xf>
    <xf numFmtId="1" fontId="0" fillId="2" borderId="86" xfId="0" applyNumberFormat="1" applyFill="1" applyBorder="1" applyAlignment="1">
      <alignment horizontal="center"/>
    </xf>
    <xf numFmtId="1" fontId="0" fillId="2" borderId="87" xfId="0" applyNumberFormat="1" applyFill="1" applyBorder="1" applyAlignment="1">
      <alignment horizontal="center"/>
    </xf>
    <xf numFmtId="1" fontId="0" fillId="13" borderId="86" xfId="0" applyNumberFormat="1" applyFill="1" applyBorder="1" applyAlignment="1">
      <alignment horizontal="center"/>
    </xf>
    <xf numFmtId="1" fontId="0" fillId="13" borderId="87" xfId="0" applyNumberFormat="1" applyFill="1" applyBorder="1" applyAlignment="1">
      <alignment horizontal="center"/>
    </xf>
    <xf numFmtId="1" fontId="0" fillId="14" borderId="86" xfId="0" applyNumberFormat="1" applyFill="1" applyBorder="1" applyAlignment="1">
      <alignment horizontal="center"/>
    </xf>
    <xf numFmtId="1" fontId="0" fillId="14" borderId="87" xfId="0" applyNumberFormat="1" applyFill="1" applyBorder="1" applyAlignment="1">
      <alignment horizontal="center"/>
    </xf>
    <xf numFmtId="1" fontId="0" fillId="12" borderId="88" xfId="0" applyNumberFormat="1" applyFill="1" applyBorder="1" applyAlignment="1">
      <alignment horizontal="center"/>
    </xf>
    <xf numFmtId="1" fontId="0" fillId="12" borderId="89" xfId="0" applyNumberFormat="1" applyFill="1" applyBorder="1" applyAlignment="1">
      <alignment horizontal="center"/>
    </xf>
    <xf numFmtId="0" fontId="29" fillId="0" borderId="90" xfId="0" applyFont="1" applyBorder="1" applyAlignment="1">
      <alignment horizontal="center" vertical="center"/>
    </xf>
    <xf numFmtId="1" fontId="0" fillId="12" borderId="91" xfId="0" applyNumberFormat="1" applyFill="1" applyBorder="1" applyAlignment="1">
      <alignment horizontal="center"/>
    </xf>
    <xf numFmtId="1" fontId="0" fillId="12" borderId="92" xfId="0" applyNumberFormat="1" applyFill="1" applyBorder="1" applyAlignment="1">
      <alignment horizontal="center"/>
    </xf>
    <xf numFmtId="165" fontId="0" fillId="9" borderId="93" xfId="0" applyNumberFormat="1" applyFill="1" applyBorder="1" applyAlignment="1">
      <alignment horizontal="center"/>
    </xf>
    <xf numFmtId="165" fontId="0" fillId="10" borderId="94" xfId="0" applyNumberFormat="1" applyFill="1" applyBorder="1" applyAlignment="1">
      <alignment horizontal="center"/>
    </xf>
    <xf numFmtId="165" fontId="0" fillId="9" borderId="94" xfId="0" applyNumberFormat="1" applyFill="1" applyBorder="1" applyAlignment="1">
      <alignment horizontal="center"/>
    </xf>
    <xf numFmtId="165" fontId="0" fillId="11" borderId="94" xfId="0" applyNumberFormat="1" applyFill="1" applyBorder="1" applyAlignment="1">
      <alignment horizontal="center"/>
    </xf>
    <xf numFmtId="165" fontId="0" fillId="12" borderId="94" xfId="0" applyNumberFormat="1" applyFill="1" applyBorder="1" applyAlignment="1">
      <alignment horizontal="center"/>
    </xf>
    <xf numFmtId="165" fontId="0" fillId="3" borderId="94" xfId="0" applyNumberFormat="1" applyFill="1" applyBorder="1" applyAlignment="1">
      <alignment horizontal="center"/>
    </xf>
    <xf numFmtId="165" fontId="0" fillId="2" borderId="94" xfId="0" applyNumberFormat="1" applyFill="1" applyBorder="1" applyAlignment="1">
      <alignment horizontal="center"/>
    </xf>
    <xf numFmtId="165" fontId="0" fillId="13" borderId="94" xfId="0" applyNumberFormat="1" applyFill="1" applyBorder="1" applyAlignment="1">
      <alignment horizontal="center"/>
    </xf>
    <xf numFmtId="165" fontId="0" fillId="14" borderId="94" xfId="0" applyNumberFormat="1" applyFill="1" applyBorder="1" applyAlignment="1">
      <alignment horizontal="center"/>
    </xf>
    <xf numFmtId="165" fontId="0" fillId="0" borderId="94" xfId="0" applyNumberFormat="1" applyBorder="1" applyAlignment="1">
      <alignment horizontal="center"/>
    </xf>
    <xf numFmtId="165" fontId="0" fillId="12" borderId="95" xfId="0" applyNumberFormat="1" applyFill="1" applyBorder="1" applyAlignment="1">
      <alignment horizontal="center"/>
    </xf>
    <xf numFmtId="1" fontId="0" fillId="9" borderId="96" xfId="0" applyNumberFormat="1" applyFill="1" applyBorder="1" applyAlignment="1">
      <alignment horizontal="center"/>
    </xf>
    <xf numFmtId="1" fontId="0" fillId="12" borderId="97" xfId="0" applyNumberFormat="1" applyFill="1" applyBorder="1" applyAlignment="1">
      <alignment horizontal="center"/>
    </xf>
    <xf numFmtId="164" fontId="0" fillId="9" borderId="85" xfId="0" applyNumberFormat="1" applyFill="1" applyBorder="1" applyAlignment="1">
      <alignment horizontal="left" vertical="center"/>
    </xf>
    <xf numFmtId="164" fontId="0" fillId="10" borderId="87" xfId="0" applyNumberFormat="1" applyFill="1" applyBorder="1" applyAlignment="1">
      <alignment horizontal="left" vertical="center"/>
    </xf>
    <xf numFmtId="164" fontId="0" fillId="11" borderId="87" xfId="0" applyNumberFormat="1" applyFill="1" applyBorder="1" applyAlignment="1">
      <alignment horizontal="left" vertical="center"/>
    </xf>
    <xf numFmtId="164" fontId="0" fillId="3" borderId="87" xfId="0" applyNumberFormat="1" applyFill="1" applyBorder="1" applyAlignment="1">
      <alignment horizontal="left" vertical="center"/>
    </xf>
    <xf numFmtId="164" fontId="0" fillId="13" borderId="87" xfId="0" applyNumberFormat="1" applyFill="1" applyBorder="1" applyAlignment="1">
      <alignment horizontal="left" vertical="center"/>
    </xf>
    <xf numFmtId="164" fontId="0" fillId="9" borderId="87" xfId="0" applyNumberFormat="1" applyFill="1" applyBorder="1" applyAlignment="1">
      <alignment horizontal="left" vertical="center"/>
    </xf>
    <xf numFmtId="164" fontId="0" fillId="11" borderId="92" xfId="0" applyNumberFormat="1" applyFill="1" applyBorder="1" applyAlignment="1">
      <alignment horizontal="left" vertical="center"/>
    </xf>
    <xf numFmtId="0" fontId="37" fillId="0" borderId="58" xfId="6" applyFont="1" applyFill="1" applyBorder="1" applyAlignment="1">
      <alignment horizontal="center" vertical="center"/>
    </xf>
    <xf numFmtId="0" fontId="37" fillId="0" borderId="59" xfId="6" applyFont="1" applyFill="1" applyBorder="1" applyAlignment="1">
      <alignment horizontal="center" vertical="center"/>
    </xf>
    <xf numFmtId="0" fontId="37" fillId="0" borderId="60" xfId="6" applyFont="1" applyFill="1" applyBorder="1" applyAlignment="1">
      <alignment horizontal="center" vertical="center"/>
    </xf>
    <xf numFmtId="0" fontId="37" fillId="0" borderId="28" xfId="6" applyFont="1" applyFill="1" applyBorder="1" applyAlignment="1">
      <alignment horizontal="center" vertical="center"/>
    </xf>
    <xf numFmtId="0" fontId="37" fillId="0" borderId="0" xfId="6" applyFont="1" applyFill="1" applyBorder="1" applyAlignment="1">
      <alignment horizontal="center" vertical="center"/>
    </xf>
    <xf numFmtId="0" fontId="37" fillId="0" borderId="61" xfId="6" applyFont="1" applyFill="1" applyBorder="1" applyAlignment="1">
      <alignment horizontal="center" vertical="center"/>
    </xf>
    <xf numFmtId="0" fontId="37" fillId="0" borderId="62" xfId="6" applyFont="1" applyFill="1" applyBorder="1" applyAlignment="1">
      <alignment horizontal="center" vertical="center"/>
    </xf>
    <xf numFmtId="0" fontId="37" fillId="0" borderId="57" xfId="6" applyFont="1" applyFill="1" applyBorder="1" applyAlignment="1">
      <alignment horizontal="center" vertical="center"/>
    </xf>
    <xf numFmtId="0" fontId="37" fillId="0" borderId="63" xfId="6" applyFont="1" applyFill="1" applyBorder="1" applyAlignment="1">
      <alignment horizontal="center" vertical="center"/>
    </xf>
    <xf numFmtId="0" fontId="27" fillId="30" borderId="37" xfId="0" applyFont="1" applyFill="1" applyBorder="1" applyAlignment="1">
      <alignment horizontal="center" vertical="center"/>
    </xf>
    <xf numFmtId="168" fontId="15" fillId="0" borderId="36" xfId="0" applyNumberFormat="1" applyFont="1" applyFill="1" applyBorder="1" applyAlignment="1">
      <alignment horizontal="center" vertical="center" wrapText="1"/>
    </xf>
    <xf numFmtId="168" fontId="15" fillId="0" borderId="0" xfId="0" applyNumberFormat="1" applyFont="1" applyFill="1" applyBorder="1" applyAlignment="1">
      <alignment horizontal="center" vertical="center" wrapText="1"/>
    </xf>
    <xf numFmtId="0" fontId="0" fillId="0" borderId="98" xfId="0" applyBorder="1"/>
    <xf numFmtId="0" fontId="14" fillId="0" borderId="98" xfId="4" applyNumberFormat="1" applyFont="1" applyFill="1" applyBorder="1" applyAlignment="1">
      <alignment horizontal="center" vertical="center"/>
    </xf>
    <xf numFmtId="0" fontId="10" fillId="20" borderId="38" xfId="0" applyFont="1" applyFill="1" applyBorder="1" applyAlignment="1">
      <alignment horizontal="center" vertical="center"/>
    </xf>
    <xf numFmtId="0" fontId="14" fillId="6" borderId="39" xfId="0" applyFont="1" applyFill="1" applyBorder="1" applyAlignment="1">
      <alignment horizontal="center" vertical="center"/>
    </xf>
    <xf numFmtId="9" fontId="15" fillId="0" borderId="18" xfId="4" applyFont="1" applyFill="1" applyBorder="1" applyAlignment="1">
      <alignment horizontal="center" vertical="center" wrapText="1"/>
    </xf>
    <xf numFmtId="9" fontId="15" fillId="0" borderId="33" xfId="4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15" fillId="0" borderId="31" xfId="0" applyFont="1" applyBorder="1" applyAlignment="1">
      <alignment horizontal="center" vertical="center" wrapText="1"/>
    </xf>
    <xf numFmtId="0" fontId="8" fillId="0" borderId="78" xfId="0" applyFont="1" applyFill="1" applyBorder="1" applyAlignment="1">
      <alignment vertical="center"/>
    </xf>
    <xf numFmtId="0" fontId="8" fillId="0" borderId="70" xfId="0" applyFont="1" applyFill="1" applyBorder="1" applyAlignment="1">
      <alignment vertical="center"/>
    </xf>
    <xf numFmtId="0" fontId="0" fillId="0" borderId="78" xfId="0" applyBorder="1"/>
    <xf numFmtId="0" fontId="8" fillId="0" borderId="0" xfId="0" applyFont="1" applyFill="1" applyBorder="1" applyAlignment="1">
      <alignment vertical="center"/>
    </xf>
    <xf numFmtId="1" fontId="4" fillId="29" borderId="0" xfId="5" applyNumberFormat="1" applyAlignment="1">
      <alignment horizontal="center" vertical="center"/>
    </xf>
    <xf numFmtId="0" fontId="38" fillId="0" borderId="0" xfId="0" applyFont="1" applyFill="1" applyBorder="1" applyAlignment="1">
      <alignment horizontal="left" vertical="center"/>
    </xf>
    <xf numFmtId="0" fontId="6" fillId="38" borderId="99" xfId="9" applyBorder="1" applyAlignment="1">
      <alignment horizontal="centerContinuous" vertical="center"/>
    </xf>
    <xf numFmtId="0" fontId="6" fillId="38" borderId="103" xfId="9" applyBorder="1" applyAlignment="1">
      <alignment horizontal="centerContinuous" vertical="center"/>
    </xf>
    <xf numFmtId="0" fontId="6" fillId="38" borderId="104" xfId="9" applyBorder="1" applyAlignment="1">
      <alignment horizontal="centerContinuous" vertical="center"/>
    </xf>
    <xf numFmtId="0" fontId="6" fillId="38" borderId="106" xfId="9" applyBorder="1" applyAlignment="1">
      <alignment horizontal="centerContinuous" vertical="center"/>
    </xf>
    <xf numFmtId="0" fontId="6" fillId="38" borderId="105" xfId="9" applyBorder="1" applyAlignment="1">
      <alignment horizontal="centerContinuous" vertical="center"/>
    </xf>
    <xf numFmtId="0" fontId="26" fillId="0" borderId="0" xfId="0" applyFont="1" applyFill="1" applyBorder="1" applyAlignment="1">
      <alignment horizontal="left" vertical="center"/>
    </xf>
    <xf numFmtId="0" fontId="26" fillId="0" borderId="0" xfId="0" applyFont="1" applyFill="1" applyBorder="1"/>
    <xf numFmtId="0" fontId="26" fillId="0" borderId="0" xfId="0" applyFont="1" applyFill="1" applyBorder="1" applyAlignment="1">
      <alignment horizontal="center" vertical="center"/>
    </xf>
    <xf numFmtId="0" fontId="29" fillId="0" borderId="43" xfId="0" applyFont="1" applyFill="1" applyBorder="1" applyAlignment="1">
      <alignment horizontal="center" vertical="center"/>
    </xf>
    <xf numFmtId="0" fontId="29" fillId="0" borderId="100" xfId="0" applyFont="1" applyFill="1" applyBorder="1" applyAlignment="1">
      <alignment horizontal="center" vertical="center"/>
    </xf>
    <xf numFmtId="0" fontId="29" fillId="0" borderId="101" xfId="0" applyFont="1" applyFill="1" applyBorder="1" applyAlignment="1">
      <alignment horizontal="center" vertical="center"/>
    </xf>
    <xf numFmtId="0" fontId="29" fillId="0" borderId="32" xfId="0" applyFont="1" applyFill="1" applyBorder="1" applyAlignment="1">
      <alignment horizontal="center" vertical="center"/>
    </xf>
    <xf numFmtId="0" fontId="39" fillId="0" borderId="43" xfId="0" applyFont="1" applyFill="1" applyBorder="1" applyAlignment="1">
      <alignment horizontal="center" vertical="center"/>
    </xf>
    <xf numFmtId="0" fontId="39" fillId="0" borderId="32" xfId="0" applyFont="1" applyFill="1" applyBorder="1" applyAlignment="1">
      <alignment horizontal="center" vertical="center"/>
    </xf>
    <xf numFmtId="0" fontId="40" fillId="0" borderId="32" xfId="0" applyFont="1" applyFill="1" applyBorder="1" applyAlignment="1">
      <alignment horizontal="center" vertical="center"/>
    </xf>
    <xf numFmtId="0" fontId="31" fillId="38" borderId="100" xfId="9" applyFont="1" applyBorder="1" applyAlignment="1">
      <alignment horizontal="left" vertical="center"/>
    </xf>
    <xf numFmtId="0" fontId="31" fillId="0" borderId="0" xfId="0" applyFont="1" applyAlignment="1">
      <alignment vertical="center"/>
    </xf>
    <xf numFmtId="0" fontId="31" fillId="0" borderId="0" xfId="0" applyFont="1"/>
    <xf numFmtId="0" fontId="31" fillId="38" borderId="102" xfId="9" applyFont="1" applyBorder="1" applyAlignment="1">
      <alignment horizontal="left" vertical="center"/>
    </xf>
    <xf numFmtId="0" fontId="26" fillId="0" borderId="0" xfId="0" applyFont="1" applyFill="1" applyAlignment="1">
      <alignment horizontal="center" vertical="center"/>
    </xf>
    <xf numFmtId="0" fontId="4" fillId="41" borderId="0" xfId="12" applyBorder="1"/>
    <xf numFmtId="0" fontId="4" fillId="40" borderId="0" xfId="11" applyBorder="1"/>
    <xf numFmtId="0" fontId="4" fillId="39" borderId="0" xfId="10"/>
    <xf numFmtId="0" fontId="29" fillId="0" borderId="0" xfId="0" applyFont="1" applyFill="1" applyBorder="1" applyAlignment="1">
      <alignment horizontal="center" vertical="center"/>
    </xf>
    <xf numFmtId="0" fontId="29" fillId="0" borderId="0" xfId="0" applyFont="1" applyFill="1" applyAlignment="1">
      <alignment horizontal="center" vertical="center"/>
    </xf>
    <xf numFmtId="0" fontId="31" fillId="0" borderId="44" xfId="0" applyFont="1" applyBorder="1" applyAlignment="1">
      <alignment vertical="center"/>
    </xf>
    <xf numFmtId="0" fontId="38" fillId="0" borderId="0" xfId="0" applyFont="1" applyFill="1" applyBorder="1" applyAlignment="1">
      <alignment vertical="center"/>
    </xf>
    <xf numFmtId="0" fontId="31" fillId="0" borderId="32" xfId="0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0" fontId="39" fillId="0" borderId="4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5" xfId="7" applyFill="1" applyBorder="1" applyAlignment="1">
      <alignment horizontal="center" vertical="center"/>
    </xf>
    <xf numFmtId="1" fontId="0" fillId="0" borderId="2" xfId="0" applyNumberFormat="1" applyBorder="1" applyAlignment="1">
      <alignment horizontal="center"/>
    </xf>
    <xf numFmtId="0" fontId="6" fillId="0" borderId="1" xfId="7" applyFill="1" applyBorder="1" applyAlignment="1">
      <alignment horizontal="center" vertical="center"/>
    </xf>
    <xf numFmtId="1" fontId="6" fillId="0" borderId="4" xfId="7" applyNumberFormat="1" applyFill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 vertical="center"/>
    </xf>
    <xf numFmtId="173" fontId="0" fillId="0" borderId="2" xfId="0" applyNumberFormat="1" applyBorder="1" applyAlignment="1">
      <alignment horizontal="center"/>
    </xf>
    <xf numFmtId="173" fontId="0" fillId="0" borderId="0" xfId="0" applyNumberFormat="1" applyBorder="1" applyAlignment="1">
      <alignment horizontal="center" vertical="center"/>
    </xf>
  </cellXfs>
  <cellStyles count="13">
    <cellStyle name="20% - Accent3" xfId="7" builtinId="38"/>
    <cellStyle name="60% - Accent1" xfId="9" builtinId="32"/>
    <cellStyle name="60% - Accent3" xfId="3" builtinId="40"/>
    <cellStyle name="60% - Accent4" xfId="8" builtinId="44"/>
    <cellStyle name="Accent1" xfId="5" builtinId="29"/>
    <cellStyle name="Accent3" xfId="10" builtinId="37"/>
    <cellStyle name="Accent4" xfId="11" builtinId="41"/>
    <cellStyle name="Accent6" xfId="12" builtinId="49"/>
    <cellStyle name="Bad" xfId="6" builtinId="27"/>
    <cellStyle name="Comma" xfId="1" builtinId="3"/>
    <cellStyle name="Currency" xfId="2" builtinId="4"/>
    <cellStyle name="Normal" xfId="0" builtinId="0"/>
    <cellStyle name="Percent" xfId="4" builtinId="5"/>
  </cellStyles>
  <dxfs count="1599">
    <dxf>
      <fill>
        <patternFill patternType="solid">
          <fgColor rgb="FFA5A5A5"/>
          <bgColor rgb="FFFFFFFF"/>
        </patternFill>
      </fill>
    </dxf>
    <dxf>
      <fill>
        <patternFill patternType="solid">
          <fgColor rgb="FFA5A5A5"/>
          <bgColor rgb="FFFFFFFF"/>
        </patternFill>
      </fill>
    </dxf>
    <dxf>
      <fill>
        <patternFill patternType="solid">
          <fgColor rgb="FFA5A5A5"/>
          <bgColor rgb="FFFFFFFF"/>
        </patternFill>
      </fill>
    </dxf>
    <dxf>
      <fill>
        <patternFill patternType="solid">
          <fgColor rgb="FFA5A5A5"/>
          <bgColor rgb="FFFFFFFF"/>
        </patternFill>
      </fill>
    </dxf>
    <dxf>
      <font>
        <b/>
        <i val="0"/>
        <color theme="0"/>
      </font>
      <fill>
        <patternFill patternType="mediumGray">
          <bgColor theme="0" tint="-0.24994659260841701"/>
        </patternFill>
      </fill>
      <border>
        <left style="dashDot">
          <color theme="0"/>
        </left>
        <right style="dashDot">
          <color theme="0"/>
        </right>
        <top style="dashDot">
          <color theme="0"/>
        </top>
        <bottom style="dashDot">
          <color theme="0"/>
        </bottom>
        <vertical/>
        <horizontal/>
      </border>
    </dxf>
    <dxf>
      <font>
        <b/>
        <i val="0"/>
        <color theme="0"/>
      </font>
      <fill>
        <patternFill patternType="mediumGray">
          <bgColor theme="7"/>
        </patternFill>
      </fill>
      <border>
        <left style="dashDot">
          <color theme="0"/>
        </left>
        <right style="dashDot">
          <color theme="0"/>
        </right>
        <top style="dashDot">
          <color theme="0"/>
        </top>
        <bottom style="dashDot">
          <color theme="0"/>
        </bottom>
        <vertical/>
        <horizontal/>
      </border>
    </dxf>
    <dxf>
      <font>
        <b/>
        <i val="0"/>
        <color theme="0"/>
      </font>
      <fill>
        <patternFill patternType="mediumGray">
          <bgColor theme="9" tint="0.39994506668294322"/>
        </patternFill>
      </fill>
      <border>
        <left style="dashDot">
          <color theme="0"/>
        </left>
        <right style="dashDot">
          <color theme="0"/>
        </right>
        <top style="dashDot">
          <color theme="0"/>
        </top>
        <bottom style="dashDot">
          <color theme="0"/>
        </bottom>
        <vertical/>
        <horizontal/>
      </border>
    </dxf>
    <dxf>
      <font>
        <b/>
        <i val="0"/>
        <color theme="0"/>
      </font>
      <fill>
        <patternFill patternType="mediumGray">
          <bgColor theme="7"/>
        </patternFill>
      </fill>
      <border>
        <left style="dashDot">
          <color theme="0"/>
        </left>
        <right style="dashDot">
          <color theme="0"/>
        </right>
        <top style="dashDot">
          <color theme="0"/>
        </top>
        <bottom style="dashDot">
          <color theme="0"/>
        </bottom>
        <vertical/>
        <horizontal/>
      </border>
    </dxf>
    <dxf>
      <font>
        <b/>
        <i val="0"/>
        <color theme="0"/>
      </font>
      <fill>
        <patternFill patternType="mediumGray">
          <bgColor theme="9" tint="0.39994506668294322"/>
        </patternFill>
      </fill>
      <border>
        <left style="dashDot">
          <color theme="0"/>
        </left>
        <right style="dashDot">
          <color theme="0"/>
        </right>
        <top style="dashDot">
          <color theme="0"/>
        </top>
        <bottom style="dashDot">
          <color theme="0"/>
        </bottom>
        <vertical/>
        <horizontal/>
      </border>
    </dxf>
    <dxf>
      <fill>
        <patternFill patternType="solid">
          <fgColor rgb="FFA5A5A5"/>
          <bgColor rgb="FFFFFFFF"/>
        </patternFill>
      </fill>
    </dxf>
    <dxf>
      <fill>
        <patternFill patternType="solid">
          <fgColor rgb="FFA5A5A5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/>
      </font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color theme="4"/>
      </font>
      <fill>
        <patternFill>
          <bgColor theme="2" tint="-9.9948118533890809E-2"/>
        </patternFill>
      </fill>
    </dxf>
    <dxf>
      <font>
        <color theme="6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4346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5999633777886288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font>
        <color rgb="FFC00000"/>
      </font>
      <fill>
        <patternFill>
          <bgColor rgb="FFE7988F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fill>
        <patternFill>
          <bgColor theme="0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fill>
        <patternFill>
          <bgColor theme="6" tint="0.39994506668294322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font>
        <color theme="7"/>
      </font>
      <fill>
        <patternFill>
          <bgColor theme="9" tint="-0.499984740745262"/>
        </patternFill>
      </fill>
    </dxf>
    <dxf>
      <fill>
        <patternFill>
          <bgColor rgb="FF92D050"/>
        </patternFill>
      </fill>
    </dxf>
    <dxf>
      <font>
        <color theme="4"/>
      </font>
      <fill>
        <patternFill>
          <bgColor theme="2" tint="-0.24994659260841701"/>
        </patternFill>
      </fill>
    </dxf>
    <dxf>
      <font>
        <color theme="6" tint="0.39994506668294322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/>
        </patternFill>
      </fill>
    </dxf>
    <dxf>
      <font>
        <color theme="7"/>
      </font>
      <fill>
        <patternFill>
          <bgColor theme="9" tint="-0.2499465926084170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4"/>
      </font>
      <fill>
        <patternFill>
          <bgColor theme="2" tint="-9.9948118533890809E-2"/>
        </patternFill>
      </fill>
    </dxf>
    <dxf>
      <font>
        <color theme="6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Academy Engraved LET Plain:1.0"/>
        <scheme val="none"/>
      </font>
      <numFmt numFmtId="0" formatCode="General"/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/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Academy Engraved LET Plain:1.0"/>
        <scheme val="none"/>
      </font>
      <numFmt numFmtId="0" formatCode="General"/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/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Academy Engraved LET Plain:1.0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/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Academy Engraved LET Plain:1.0"/>
        <scheme val="none"/>
      </font>
      <numFmt numFmtId="13" formatCode="0%"/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/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Academy Engraved LET Plain:1.0"/>
        <scheme val="none"/>
      </font>
      <numFmt numFmtId="0" formatCode="General"/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/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Academy Engraved LET Plain:1.0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1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7003C"/>
        <name val="Arial"/>
        <family val="2"/>
        <scheme val="none"/>
      </font>
      <numFmt numFmtId="170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7" tint="-0.249977111117893"/>
        <name val="Academy Engraved LET Plain:1.0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7" tint="-0.249977111117893"/>
        <name val="Academy Engraved LET Plain:1.0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Academy Engraved LET Plain:1.0"/>
        <scheme val="none"/>
      </font>
      <numFmt numFmtId="170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7003C"/>
        <name val="Arial"/>
        <family val="2"/>
        <scheme val="none"/>
      </font>
      <numFmt numFmtId="172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7003C"/>
        <name val="Arial"/>
        <family val="2"/>
        <scheme val="none"/>
      </font>
      <numFmt numFmtId="170" formatCode="0.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7" tint="-0.249977111117893"/>
        <name val="Academy Engraved LET Plain:1.0"/>
        <scheme val="none"/>
      </font>
      <numFmt numFmtId="171" formatCode="##,##0.0#\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/>
        <horizontal/>
      </border>
    </dxf>
    <dxf>
      <numFmt numFmtId="0" formatCode="General"/>
      <border diagonalUp="0" diagonalDown="0">
        <left/>
        <right style="double">
          <color indexed="64"/>
        </right>
        <top style="double">
          <color indexed="64"/>
        </top>
        <bottom style="double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Academy Engraved LET Plain:1.0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Academy Engraved LET Plain:1.0"/>
        <scheme val="none"/>
      </font>
      <numFmt numFmtId="168" formatCode="[$-409]dd\-mmm\-yy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Academy Engraved LET Plain:1.0"/>
        <scheme val="none"/>
      </font>
      <fill>
        <patternFill patternType="none">
          <fgColor theme="6" tint="0.79998168889431442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/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Academy Engraved LET Plain:1.0"/>
        <scheme val="none"/>
      </font>
      <fill>
        <patternFill patternType="solid">
          <fgColor theme="6" tint="0.79998168889431442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border outline="0">
        <top style="medium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Academy Engraved LET Plain:1.0"/>
        <scheme val="none"/>
      </font>
      <fill>
        <patternFill patternType="solid">
          <fgColor theme="6" tint="0.79998168889431442"/>
          <bgColor theme="6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cademy Engraved LET Plain:1.0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cademy Engraved LET Plain:1.0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Academy Engraved LET Plain:1.0"/>
        <scheme val="none"/>
      </font>
      <numFmt numFmtId="168" formatCode="[$-409]dd\-mmm\-yy;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mediumDashed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7" tint="-0.249977111117893"/>
        <name val="Academy Engraved LET Plain:1.0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mediumDashed">
          <color indexed="64"/>
        </right>
        <top style="mediumDashed">
          <color indexed="64"/>
        </top>
        <bottom/>
        <vertical/>
        <horizontal/>
      </border>
    </dxf>
    <dxf>
      <border outline="0">
        <top style="thick">
          <color rgb="FF000000"/>
        </top>
      </border>
    </dxf>
    <dxf>
      <border>
        <bottom style="double">
          <color theme="2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cademy Engraved LET Plain:1.0"/>
        <scheme val="none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theme="2" tint="-0.24994659260841701"/>
        </left>
        <right style="double">
          <color theme="2" tint="-0.24994659260841701"/>
        </right>
        <top/>
        <bottom/>
        <vertical style="double">
          <color theme="2" tint="-0.24994659260841701"/>
        </vertical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65" formatCode="[$-409]h:mm\ AM/PM;@"/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73" formatCode="0.000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numFmt numFmtId="1" formatCode="0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FFC000"/>
        </left>
        <right style="medium">
          <color indexed="64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rgb="FFFFC000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rgb="FFFFC000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numFmt numFmtId="165" formatCode="[$-409]h:mm\ AM/PM;@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numFmt numFmtId="1" formatCode="0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rgb="FFFFC000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[$-F800]dddd\,\ mmmm\ dd\,\ yyyy"/>
      <fill>
        <patternFill patternType="solid">
          <fgColor theme="9" tint="0.59999389629810485"/>
          <bgColor theme="9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FFC000"/>
        </left>
        <right style="medium">
          <color indexed="64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rgb="FFFFC000"/>
        </right>
        <top style="thin">
          <color rgb="FFFFC000"/>
        </top>
        <bottom style="thin">
          <color rgb="FFFFC000"/>
        </bottom>
        <vertical style="thin">
          <color rgb="FFFFC000"/>
        </vertical>
        <horizontal style="thin">
          <color rgb="FFFFC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65" formatCode="[$-409]h:mm\ AM/PM;@"/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cademy Engraved LET Plain:1.0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Dashed">
          <color indexed="64"/>
        </left>
        <right style="medium">
          <color indexed="64"/>
        </right>
        <top style="mediumDashed">
          <color indexed="64"/>
        </top>
        <bottom style="medium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cademy Engraved LET Plain:1.0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Dashed">
          <color indexed="64"/>
        </left>
        <right style="mediumDashed">
          <color indexed="64"/>
        </right>
        <top style="mediumDashed">
          <color indexed="64"/>
        </top>
        <bottom style="medium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cademy Engraved LET Plain:1.0"/>
        <scheme val="none"/>
      </font>
      <numFmt numFmtId="166" formatCode="_(* #,##0_);_(* \(#,##0\);_(* &quot;-&quot;??_);_(@_)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Dashed">
          <color indexed="64"/>
        </left>
        <right style="mediumDashed">
          <color indexed="64"/>
        </right>
        <top style="mediumDashed">
          <color indexed="64"/>
        </top>
        <bottom style="medium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cademy Engraved LET Plain:1.0"/>
        <scheme val="none"/>
      </font>
      <numFmt numFmtId="166" formatCode="_(* #,##0_);_(* \(#,##0\);_(* &quot;-&quot;??_);_(@_)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Dashed">
          <color indexed="64"/>
        </left>
        <right style="mediumDashed">
          <color indexed="64"/>
        </right>
        <top style="mediumDashed">
          <color indexed="64"/>
        </top>
        <bottom style="medium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cademy Engraved LET Plain:1.0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Dashed">
          <color indexed="64"/>
        </left>
        <right style="mediumDashed">
          <color indexed="64"/>
        </right>
        <top style="mediumDashed">
          <color indexed="64"/>
        </top>
        <bottom style="medium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cademy Engraved LET Plain:1.0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Dashed">
          <color indexed="64"/>
        </left>
        <right style="mediumDashed">
          <color indexed="64"/>
        </right>
        <top style="mediumDashed">
          <color indexed="64"/>
        </top>
        <bottom style="medium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cademy Engraved LET Plain:1.0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Dashed">
          <color indexed="64"/>
        </left>
        <right style="mediumDashed">
          <color indexed="64"/>
        </right>
        <top style="mediumDashed">
          <color indexed="64"/>
        </top>
        <bottom style="mediumDashed">
          <color indexed="64"/>
        </bottom>
      </border>
    </dxf>
    <dxf>
      <fill>
        <patternFill patternType="none">
          <bgColor auto="1"/>
        </patternFill>
      </fill>
      <alignment horizontal="left" textRotation="0" wrapText="0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mediumDashDot">
          <color indexed="64"/>
        </top>
        <bottom style="mediumDashDot">
          <color indexed="64"/>
        </bottom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cademy Engraved LET Plain:1.0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none"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colors>
    <mruColors>
      <color rgb="FFEE5E0B"/>
      <color rgb="FFFF1F00"/>
      <color rgb="FF5D58EC"/>
      <color rgb="FF00EA00"/>
      <color rgb="FFA2ED5B"/>
      <color rgb="FF46FF66"/>
      <color rgb="FF00B000"/>
      <color rgb="FF06FD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16D591-2C5C-5240-BD7D-C376B2D87437}" name="Teams" displayName="Teams" ref="A1:H21" headerRowDxfId="1598" dataDxfId="1596" totalsRowDxfId="1595" headerRowBorderDxfId="1597">
  <autoFilter ref="A1:H21" xr:uid="{F816D591-2C5C-5240-BD7D-C376B2D87437}"/>
  <tableColumns count="8">
    <tableColumn id="1" xr3:uid="{B8050652-9BBF-8042-A2C1-BEF51063E5D5}" name="TEAM" totalsRowLabel="Total" dataDxfId="1594"/>
    <tableColumn id="2" xr3:uid="{47010E8D-C1B6-9C4A-80DF-BF89B389F9B9}" name="STADIUMS" dataDxfId="1593"/>
    <tableColumn id="5" xr3:uid="{AE47FFCE-BD06-A94B-B9BD-98E7DA8B80F2}" name="CITY" dataDxfId="1592"/>
    <tableColumn id="7" xr3:uid="{C371D300-D7C0-544C-B9A9-433F666DF058}" name="Surface" dataDxfId="1591"/>
    <tableColumn id="4" xr3:uid="{8F196AF7-AD69-BB4E-A8C8-26402106660A}" name="CAPACITY" dataDxfId="1590" dataCellStyle="Comma"/>
    <tableColumn id="3" xr3:uid="{F1017FBC-16A5-DD4F-9307-9EE68F5140EB}" name="YEAR" dataDxfId="1589" dataCellStyle="Comma"/>
    <tableColumn id="6" xr3:uid="{68672BEB-BF9B-2A45-96E8-29C9C9CDB2E9}" name="MANAGERS" totalsRowFunction="count" dataDxfId="1588"/>
    <tableColumn id="8" xr3:uid="{000E2A27-F56E-8443-919A-F4D8F8697047}" name="RANKING" dataDxfId="1587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990E353-58A9-2042-9C10-596FB210D08D}" name="Fixture" displayName="Fixture" ref="A1:S381" totalsRowShown="0" headerRowDxfId="1586" dataDxfId="1584" headerRowBorderDxfId="1585">
  <autoFilter ref="A1:S381" xr:uid="{B990E353-58A9-2042-9C10-596FB210D08D}"/>
  <tableColumns count="19">
    <tableColumn id="1" xr3:uid="{4F796F26-840C-DD4B-B566-8DC8809D5168}" name="GAME WEEK" dataDxfId="1583"/>
    <tableColumn id="2" xr3:uid="{12584887-4FAF-304B-811C-F02B1F53878B}" name="Schedule" dataDxfId="1582">
      <calculatedColumnFormula>B1</calculatedColumnFormula>
    </tableColumn>
    <tableColumn id="3" xr3:uid="{2BD83BC8-E512-F345-9812-1AF3C7162705}" name="HomeTeam" dataDxfId="1581"/>
    <tableColumn id="4" xr3:uid="{0E5A8A25-7736-7B4E-8CAF-329EB76DA0EC}" name="HomeRating" dataDxfId="1580"/>
    <tableColumn id="5" xr3:uid="{5B749D67-5CD7-DB44-AAB1-2D6A1DCC097B}" name="H_Difficulty" dataDxfId="1579"/>
    <tableColumn id="6" xr3:uid="{6C3F721E-09D9-FB47-BDA6-9275D00156EF}" name="Home" dataDxfId="1578"/>
    <tableColumn id="7" xr3:uid="{AA644168-D568-0844-A5AA-66E41C10935B}" name="HomeGoals" dataDxfId="1577"/>
    <tableColumn id="8" xr3:uid="{E8F6589F-78A8-AD4A-A9B5-F10720321D2B}" name="Time" dataDxfId="1576"/>
    <tableColumn id="9" xr3:uid="{36181663-2858-7940-9E05-8044A9BC833E}" name="AwayGoals" dataDxfId="1575"/>
    <tableColumn id="10" xr3:uid="{0C523EAB-DA46-9D49-9E9A-539BFD3EE7E3}" name="Away" dataDxfId="1574"/>
    <tableColumn id="11" xr3:uid="{22E22CB5-09C0-614A-919D-52FB105C2F56}" name="A_Difficulty" dataDxfId="1573"/>
    <tableColumn id="12" xr3:uid="{4C281D42-D1CB-5A47-B0ED-4C31DD1CEF5B}" name="AwayRating" dataDxfId="1572"/>
    <tableColumn id="13" xr3:uid="{BE156C4A-CCAA-594F-83FF-5F948897C1BD}" name="AwayTeam" dataDxfId="1571"/>
    <tableColumn id="14" xr3:uid="{4A50B758-D7CA-FC4C-A1B5-C84F44D9D906}" name="YELLOW A" dataDxfId="1570"/>
    <tableColumn id="15" xr3:uid="{2D7B69F2-7D49-0C40-A71B-7CEA81668A5A}" name="YELLOW B" dataDxfId="1569"/>
    <tableColumn id="16" xr3:uid="{5A209E43-C8F2-8F4A-9914-3AB8CBD0F5BD}" name="INDIRECT RED A" dataDxfId="1568"/>
    <tableColumn id="17" xr3:uid="{751807DD-5C48-2C40-B56F-C31EEA04EDDA}" name="INDIRECT RED B" dataDxfId="1567"/>
    <tableColumn id="18" xr3:uid="{ACF38750-FDC7-A74A-A8C3-BB195E856F92}" name="DIRECT RED A" dataDxfId="1566"/>
    <tableColumn id="19" xr3:uid="{45235BD4-E6E9-A543-B5D8-A5E9A3678AE4}" name="DIRECT RED B" dataDxfId="156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DE35E5B-1878-BE4B-9839-DB77A5A2D757}" name="FaceOff" displayName="FaceOff" ref="A1:U21" totalsRowShown="0" headerRowDxfId="1564" dataDxfId="1563" headerRowCellStyle="Accent1" dataCellStyle="Accent1">
  <autoFilter ref="A1:U21" xr:uid="{ADE35E5B-1878-BE4B-9839-DB77A5A2D757}"/>
  <tableColumns count="21">
    <tableColumn id="1" xr3:uid="{A4CD9BAD-753B-0E41-A050-7929ECA25483}" name="FACE-OFF" dataDxfId="1562" dataCellStyle="Accent1"/>
    <tableColumn id="2" xr3:uid="{F2503BF8-64E9-9148-A16D-EEEC6FDDEA71}" name="ARS" dataDxfId="1561" dataCellStyle="Accent1">
      <calculatedColumnFormula array="1">_xlfn.XLOOKUP('Face-Off'!$A2&amp;'Face-Off'!$B$1,Fixture[HomeTeam]&amp;Fixture[Away],Fixture[GAME WEEK],"",0,1)</calculatedColumnFormula>
    </tableColumn>
    <tableColumn id="3" xr3:uid="{AA88E8A6-B87B-D242-A93F-9FF17B763738}" name="AVL" dataDxfId="1560" dataCellStyle="Accent1">
      <calculatedColumnFormula array="1">_xlfn.XLOOKUP('Face-Off'!$A2&amp;'Face-Off'!$C$1,Fixture[HomeTeam]&amp;Fixture[Away],Fixture[GAME WEEK],"",0,1)</calculatedColumnFormula>
    </tableColumn>
    <tableColumn id="4" xr3:uid="{D1B497A7-E4C1-FF45-8776-2E90E3D4D318}" name="BOU" dataDxfId="1559" dataCellStyle="Accent1">
      <calculatedColumnFormula array="1">_xlfn.XLOOKUP('Face-Off'!$A2&amp;'Face-Off'!$D$1,Fixture[HomeTeam]&amp;Fixture[Away],Fixture[GAME WEEK],"",0,1)</calculatedColumnFormula>
    </tableColumn>
    <tableColumn id="5" xr3:uid="{B056F334-6EED-0B4F-AF1D-B63B61838731}" name="BRE" dataDxfId="1558" dataCellStyle="Accent1">
      <calculatedColumnFormula array="1">_xlfn.XLOOKUP('Face-Off'!$A2&amp;'Face-Off'!$E$1,Fixture[HomeTeam]&amp;Fixture[Away],Fixture[GAME WEEK],"",0,1)</calculatedColumnFormula>
    </tableColumn>
    <tableColumn id="6" xr3:uid="{30E67B9D-8F94-9841-B097-59924BB9AA1D}" name="BHA" dataDxfId="1557" dataCellStyle="Accent1">
      <calculatedColumnFormula array="1">_xlfn.XLOOKUP('Face-Off'!$A2&amp;'Face-Off'!$F$1,Fixture[HomeTeam]&amp;Fixture[Away],Fixture[GAME WEEK],"",0,1)</calculatedColumnFormula>
    </tableColumn>
    <tableColumn id="7" xr3:uid="{3A4DFEEC-8F95-F64C-BD5A-2E25A775AF5B}" name="BUR" dataDxfId="1556" dataCellStyle="Accent1">
      <calculatedColumnFormula array="1">_xlfn.XLOOKUP('Face-Off'!$A2&amp;'Face-Off'!$G$1,Fixture[HomeTeam]&amp;Fixture[Away],Fixture[GAME WEEK],"",0,1)</calculatedColumnFormula>
    </tableColumn>
    <tableColumn id="8" xr3:uid="{8C534BFD-903C-E943-8A75-3AA848F4702B}" name="CHE" dataDxfId="1555" dataCellStyle="Accent1">
      <calculatedColumnFormula array="1">_xlfn.XLOOKUP('Face-Off'!$A2&amp;'Face-Off'!$H$1,Fixture[HomeTeam]&amp;Fixture[Away],Fixture[GAME WEEK],"",0,1)</calculatedColumnFormula>
    </tableColumn>
    <tableColumn id="9" xr3:uid="{72C36BBE-2BD7-034F-990F-577BCD861527}" name="CRY" dataDxfId="1554" dataCellStyle="Accent1">
      <calculatedColumnFormula array="1">_xlfn.XLOOKUP('Face-Off'!$A2&amp;'Face-Off'!$I$1,Fixture[HomeTeam]&amp;Fixture[Away],Fixture[GAME WEEK],"",0,1)</calculatedColumnFormula>
    </tableColumn>
    <tableColumn id="10" xr3:uid="{4D1A1DBA-088A-B946-ADDC-FC9A8CDD35E1}" name="EVE" dataDxfId="1553" dataCellStyle="Accent1">
      <calculatedColumnFormula array="1">_xlfn.XLOOKUP('Face-Off'!$A2&amp;'Face-Off'!$J$1,Fixture[HomeTeam]&amp;Fixture[Away],Fixture[GAME WEEK],"",0,1)</calculatedColumnFormula>
    </tableColumn>
    <tableColumn id="11" xr3:uid="{C271CBDB-6F94-CB4F-A3AC-80014E3E7583}" name="FUL" dataDxfId="1552" dataCellStyle="Accent1">
      <calculatedColumnFormula array="1">_xlfn.XLOOKUP('Face-Off'!$A2&amp;'Face-Off'!$K$1,Fixture[HomeTeam]&amp;Fixture[Away],Fixture[GAME WEEK],"",0,1)</calculatedColumnFormula>
    </tableColumn>
    <tableColumn id="12" xr3:uid="{3A38DD30-4303-5B47-8110-9409961C172E}" name="LEE" dataDxfId="1551" dataCellStyle="Accent1">
      <calculatedColumnFormula array="1">_xlfn.XLOOKUP('Face-Off'!$A2&amp;'Face-Off'!$L$1,Fixture[HomeTeam]&amp;Fixture[Away],Fixture[GAME WEEK],"",0,1)</calculatedColumnFormula>
    </tableColumn>
    <tableColumn id="13" xr3:uid="{26CCBBDD-8D32-554D-8ECA-34B8C79582D4}" name="LIV" dataDxfId="1550" dataCellStyle="Accent1">
      <calculatedColumnFormula array="1">_xlfn.XLOOKUP('Face-Off'!$A2&amp;'Face-Off'!$M$1,Fixture[HomeTeam]&amp;Fixture[Away],Fixture[GAME WEEK],"",0,1)</calculatedColumnFormula>
    </tableColumn>
    <tableColumn id="14" xr3:uid="{BA1EF1C7-25A3-3E4E-A98D-E9EC66986D6C}" name="MCI" dataDxfId="1549" dataCellStyle="Accent1">
      <calculatedColumnFormula array="1">_xlfn.XLOOKUP('Face-Off'!$A2&amp;'Face-Off'!$N$1,Fixture[HomeTeam]&amp;Fixture[Away],Fixture[GAME WEEK],"",0,1)</calculatedColumnFormula>
    </tableColumn>
    <tableColumn id="15" xr3:uid="{288556E7-5B89-6E48-8187-8E3641C9CD86}" name="MUN" dataDxfId="1548" dataCellStyle="Accent1">
      <calculatedColumnFormula array="1">_xlfn.XLOOKUP('Face-Off'!$A2&amp;'Face-Off'!$O$1,Fixture[HomeTeam]&amp;Fixture[Away],Fixture[GAME WEEK],"",0,1)</calculatedColumnFormula>
    </tableColumn>
    <tableColumn id="16" xr3:uid="{7396B890-A0D4-804E-A5AD-3130A5648865}" name="NEW" dataDxfId="1547" dataCellStyle="Accent1">
      <calculatedColumnFormula array="1">_xlfn.XLOOKUP('Face-Off'!$A2&amp;'Face-Off'!$P$1,Fixture[HomeTeam]&amp;Fixture[Away],Fixture[GAME WEEK],"",0,1)</calculatedColumnFormula>
    </tableColumn>
    <tableColumn id="17" xr3:uid="{178B61B4-B395-3547-A38E-8B3642D529EF}" name="NHF" dataDxfId="1546" dataCellStyle="Accent1">
      <calculatedColumnFormula array="1">_xlfn.XLOOKUP('Face-Off'!$A2&amp;'Face-Off'!$Q$1,Fixture[HomeTeam]&amp;Fixture[Away],Fixture[GAME WEEK],"",0,1)</calculatedColumnFormula>
    </tableColumn>
    <tableColumn id="18" xr3:uid="{D0C0E8F0-EF34-FE4C-B57D-7797CE2717E1}" name="SUN" dataDxfId="1545" dataCellStyle="Accent1">
      <calculatedColumnFormula array="1">_xlfn.XLOOKUP('Face-Off'!$A2&amp;'Face-Off'!$R$1,Fixture[HomeTeam]&amp;Fixture[Away],Fixture[GAME WEEK],"",0,1)</calculatedColumnFormula>
    </tableColumn>
    <tableColumn id="19" xr3:uid="{2CD25C6C-9897-0947-86A1-14ECBB80056F}" name="TOT" dataDxfId="1544" dataCellStyle="Accent1">
      <calculatedColumnFormula array="1">_xlfn.XLOOKUP('Face-Off'!$A2&amp;'Face-Off'!$S$1,Fixture[HomeTeam]&amp;Fixture[Away],Fixture[GAME WEEK],"",0,1)</calculatedColumnFormula>
    </tableColumn>
    <tableColumn id="20" xr3:uid="{F287BA1F-1C05-0045-9FE4-27F942C343AB}" name="WHU" dataDxfId="1543" dataCellStyle="Accent1">
      <calculatedColumnFormula array="1">_xlfn.XLOOKUP('Face-Off'!$A2&amp;'Face-Off'!$T$1,Fixture[HomeTeam]&amp;Fixture[Away],Fixture[GAME WEEK],"",0,1)</calculatedColumnFormula>
    </tableColumn>
    <tableColumn id="21" xr3:uid="{66498515-0585-9945-B64A-9AB77573E8A5}" name="WOL" dataDxfId="1542" dataCellStyle="Accent1">
      <calculatedColumnFormula array="1">_xlfn.XLOOKUP('Face-Off'!$A2&amp;'Face-Off'!$U$1,Fixture[HomeTeam]&amp;Fixture[Away],Fixture[GAME WEEK],"",0,1)</calculatedColumnFormula>
    </tableColumn>
  </tableColumns>
  <tableStyleInfo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EFFAE60-0860-E649-B9F5-9E45472A9FF0}" name="Table13" displayName="Table13" ref="A2:CC638" totalsRowShown="0" headerRowDxfId="1409" dataDxfId="1410" tableBorderDxfId="1411">
  <autoFilter ref="A2:CC638" xr:uid="{8EFFAE60-0860-E649-B9F5-9E45472A9FF0}"/>
  <sortState xmlns:xlrd2="http://schemas.microsoft.com/office/spreadsheetml/2017/richdata2" ref="A3:CC638">
    <sortCondition sortBy="cellColor" ref="CC3:CC638" dxfId="1"/>
    <sortCondition descending="1" ref="CA3:CA638"/>
    <sortCondition descending="1" ref="CC3:CC638"/>
    <sortCondition descending="1" ref="CB3:CB638"/>
  </sortState>
  <tableColumns count="81">
    <tableColumn id="1" xr3:uid="{666C2B20-4E5A-3748-8424-33DFA0BA3732}" name="TOP STATS" dataDxfId="1333"/>
    <tableColumn id="2" xr3:uid="{76BE076F-D258-7D4B-AF32-932E977AA918}" name="GOALS/ASSISTS" dataDxfId="1331"/>
    <tableColumn id="3" xr3:uid="{04D306CA-EDFB-074F-A3B0-A744A6ECD522}" name="GOALS 1" dataDxfId="1332"/>
    <tableColumn id="4" xr3:uid="{66642BFF-FF80-F541-BF0A-A8E7B291F83E}" name="ASSISTS 1" dataDxfId="1408"/>
    <tableColumn id="5" xr3:uid="{1BC763FB-4826-AE4D-90D1-AA8D4B5C772B}" name="GOALS 2" dataDxfId="1407"/>
    <tableColumn id="6" xr3:uid="{FA32394F-FEF2-2246-8A32-34B615FE9294}" name="ASSISTS 2" dataDxfId="1406"/>
    <tableColumn id="7" xr3:uid="{0DF4E2C3-1995-0240-83EA-AC099C58F780}" name="GOALS 3" dataDxfId="1405"/>
    <tableColumn id="8" xr3:uid="{452499AF-0195-184D-B484-60ED2684AA50}" name="ASSISTS 3" dataDxfId="1404"/>
    <tableColumn id="9" xr3:uid="{A88B1D03-94E6-E04F-86B2-062998B43A33}" name="GOALS 4" dataDxfId="1403"/>
    <tableColumn id="10" xr3:uid="{9322FABB-0356-AE4B-8866-584A277F880D}" name="ASSISTS 4" dataDxfId="1402"/>
    <tableColumn id="11" xr3:uid="{A232CF41-EC29-D342-9354-22394ECFCB04}" name="GOALS 5" dataDxfId="1401"/>
    <tableColumn id="12" xr3:uid="{C90926B8-0F0E-2F45-82DF-B8E7D12D441B}" name="ASSISTS 5" dataDxfId="1400"/>
    <tableColumn id="13" xr3:uid="{59F3AF03-4CA5-A44A-83A0-262BC3BF299D}" name="GOALS 6" dataDxfId="1399"/>
    <tableColumn id="14" xr3:uid="{29BAA22B-CC96-6245-B2DC-73B506103C8F}" name="ASSISTS 6" dataDxfId="1398"/>
    <tableColumn id="15" xr3:uid="{A2D4A941-95E4-354F-9116-75CFEDE6D93E}" name="GOALS 7" dataDxfId="1397"/>
    <tableColumn id="16" xr3:uid="{CF791F49-8196-0E4B-93C3-18CB0971EF89}" name="ASSISTS 7" dataDxfId="1396"/>
    <tableColumn id="17" xr3:uid="{169D9CDF-25D4-7449-8F31-739A256F9431}" name="GOALS 8" dataDxfId="1395"/>
    <tableColumn id="18" xr3:uid="{840074D2-42E0-BA45-8E45-BB3746F26107}" name="ASSISTS 8" dataDxfId="1394"/>
    <tableColumn id="19" xr3:uid="{D703DE58-C65F-D643-8480-50E349244241}" name="GOALS 9" dataDxfId="1393"/>
    <tableColumn id="20" xr3:uid="{47305FBD-BC72-3746-AFF9-E0750B588115}" name="ASSISTS 9" dataDxfId="1392"/>
    <tableColumn id="21" xr3:uid="{3E61B847-B36F-F241-9D05-9406FD588652}" name="GOALS 10" dataDxfId="1391"/>
    <tableColumn id="22" xr3:uid="{7A86027C-DC5A-034F-884D-C4CD5087FD5B}" name="ASSISTS 10" dataDxfId="1390"/>
    <tableColumn id="23" xr3:uid="{DE833589-9226-0F4F-A61A-A97E5BE49530}" name="GOALS 11" dataDxfId="1389"/>
    <tableColumn id="24" xr3:uid="{855971E1-B5BA-0B48-866F-21E732E53A9B}" name="ASSISTS 11" dataDxfId="1388"/>
    <tableColumn id="25" xr3:uid="{7257DE28-877B-B94F-B929-B4857031F538}" name="GOALS 12" dataDxfId="1387"/>
    <tableColumn id="26" xr3:uid="{F0055560-2449-1949-A913-DCAAD9F9B342}" name="ASSISTS 12" dataDxfId="1386"/>
    <tableColumn id="27" xr3:uid="{735067F3-F89F-E04B-B02B-B4E34B59952B}" name="GOALS 13" dataDxfId="1385"/>
    <tableColumn id="28" xr3:uid="{18AC6774-9B11-DF41-99DC-0E28AC616790}" name="ASSISTS 13" dataDxfId="1384"/>
    <tableColumn id="29" xr3:uid="{B2854A1B-EF52-8D40-9A6F-404FB2AC37AB}" name="GOALS 14" dataDxfId="1383"/>
    <tableColumn id="30" xr3:uid="{8FFAAE2E-92E0-9B4C-935D-E7C3A94FD471}" name="ASSISTS 14" dataDxfId="1382"/>
    <tableColumn id="31" xr3:uid="{0036827A-4331-0845-BD69-4A3DD7E341A0}" name="GOALS 15" dataDxfId="1381"/>
    <tableColumn id="32" xr3:uid="{6F2C1546-5204-0444-AA7F-5346ED0C8A02}" name="ASSISTS 15" dataDxfId="1380"/>
    <tableColumn id="33" xr3:uid="{41C36495-3845-D44A-9673-9E1D9A15FD8A}" name="GOALS 16" dataDxfId="1379"/>
    <tableColumn id="34" xr3:uid="{8D0AD084-B135-A04B-89B2-F45411EAABA9}" name="ASSISTS 16" dataDxfId="1378"/>
    <tableColumn id="35" xr3:uid="{7CF9448D-7FBF-AC40-8FC2-26F2798DA637}" name="GOALS 17" dataDxfId="1377"/>
    <tableColumn id="36" xr3:uid="{B1CC4087-1B37-6449-8296-CA7956208921}" name="ASSISTS 17" dataDxfId="1376"/>
    <tableColumn id="37" xr3:uid="{911847A1-516A-A249-A6DB-54AC97534D37}" name="GOALS 18" dataDxfId="1375"/>
    <tableColumn id="38" xr3:uid="{D8D1D14E-1435-8445-AA5A-EF2B345258A0}" name="ASSISTS 18" dataDxfId="1374"/>
    <tableColumn id="39" xr3:uid="{38E276C0-451C-1247-8693-380D2DDEA4A1}" name="GOALS 19" dataDxfId="1373"/>
    <tableColumn id="40" xr3:uid="{302FAB0C-8E09-8342-B659-1CE33F4A055A}" name="ASSISTS 19" dataDxfId="1372"/>
    <tableColumn id="41" xr3:uid="{BF3E1899-05E7-844D-ADD5-1BF862966D32}" name="GOALS 20" dataDxfId="1371"/>
    <tableColumn id="42" xr3:uid="{14DA0471-F36D-DD4E-9417-DC42D3DCCB51}" name="ASSISTS 20" dataDxfId="1370"/>
    <tableColumn id="43" xr3:uid="{AD911093-35F6-6F47-8263-0BF93E1D2135}" name="GOALS 21" dataDxfId="1369"/>
    <tableColumn id="44" xr3:uid="{B8325577-7C73-934B-B7D5-8078138C4688}" name="ASSISTS 21" dataDxfId="1368"/>
    <tableColumn id="45" xr3:uid="{52F65DD7-12B7-D04E-B1B7-AD7F34F15214}" name="GOALS 22" dataDxfId="1367"/>
    <tableColumn id="46" xr3:uid="{1529545F-49D5-9940-A67B-3CE4F9200CAD}" name="ASSISTS 22" dataDxfId="1366"/>
    <tableColumn id="47" xr3:uid="{263578AA-0D50-D740-9A5A-A34DDAA8A889}" name="GOALS 23" dataDxfId="1365"/>
    <tableColumn id="48" xr3:uid="{2D875266-425B-2046-B904-BE95CB1A022E}" name="ASSISTS 23" dataDxfId="1364"/>
    <tableColumn id="49" xr3:uid="{323EB4F8-F65F-9C4A-84FA-93C3DA582CA0}" name="GOALS 24" dataDxfId="1363"/>
    <tableColumn id="50" xr3:uid="{2D082492-BE4D-2F4D-8F97-339FE13ED3E4}" name="ASSISTS 24" dataDxfId="1362"/>
    <tableColumn id="51" xr3:uid="{C920B606-F368-8C45-AF9C-9C9A97E41563}" name="GOALS 25" dataDxfId="1361"/>
    <tableColumn id="52" xr3:uid="{CB6C6DE6-30D6-BD46-993C-3CFF1AF4FCB1}" name="ASSISTS 25" dataDxfId="1360"/>
    <tableColumn id="53" xr3:uid="{57272F3A-B211-E64D-8D99-A500A4403F7A}" name="GOALS 26" dataDxfId="1359"/>
    <tableColumn id="54" xr3:uid="{2EAD5BE6-8CB1-B446-83C5-8A7D3BE3D31E}" name="ASSISTS 26" dataDxfId="1358"/>
    <tableColumn id="55" xr3:uid="{192014A9-78CB-F946-A129-C44A5754DB56}" name="GOALS 27" dataDxfId="1357"/>
    <tableColumn id="56" xr3:uid="{AFF8D9E2-19A8-334C-AD4D-CCAC92E42724}" name="ASSISTS 27" dataDxfId="1356"/>
    <tableColumn id="57" xr3:uid="{235179DD-3E04-1B4C-8CF8-96374193BA5C}" name="GOALS 28" dataDxfId="1355"/>
    <tableColumn id="58" xr3:uid="{3F49031D-BF0B-9947-BC13-B559F79F285A}" name="ASSISTS 28" dataDxfId="1354"/>
    <tableColumn id="59" xr3:uid="{8F35A29C-0BA6-F241-9DE1-36CAFE8F060F}" name="GOALS 29" dataDxfId="1353"/>
    <tableColumn id="60" xr3:uid="{F036F945-99D9-4B4E-AF6E-C25998026123}" name="ASSISTS 29" dataDxfId="1352"/>
    <tableColumn id="61" xr3:uid="{96FB3EA0-481E-3D43-B390-2E1D683DF5DD}" name="GOALS 30" dataDxfId="1351"/>
    <tableColumn id="62" xr3:uid="{54AC0F9C-8FD3-5C49-AB58-8ECF07EAE294}" name="ASSISTS 30" dataDxfId="1350"/>
    <tableColumn id="63" xr3:uid="{A2E25BBF-3DDA-FF40-AA31-E2F974B0FEBC}" name="GOALS 31" dataDxfId="1349"/>
    <tableColumn id="64" xr3:uid="{D6A5C49F-0063-0E48-B03C-9C0EF516CF93}" name="ASSISTS 31" dataDxfId="1348"/>
    <tableColumn id="65" xr3:uid="{4709A7D8-FFD2-2146-830C-02D2BF135919}" name="GOALS 32" dataDxfId="1347"/>
    <tableColumn id="66" xr3:uid="{8D5ED002-5C73-E740-A145-AA90DA81D5A6}" name="ASSISTS 32" dataDxfId="1346"/>
    <tableColumn id="67" xr3:uid="{F98037F5-3E4C-B34E-893E-12D324155536}" name="GOALS 33" dataDxfId="1345"/>
    <tableColumn id="68" xr3:uid="{DBB2582E-9369-2240-9F57-9AB68A8FC228}" name="ASSISTS 33" dataDxfId="1344"/>
    <tableColumn id="69" xr3:uid="{C417F7B6-6926-F741-9052-079D1BCDBBEC}" name="GOALS 34" dataDxfId="1343"/>
    <tableColumn id="70" xr3:uid="{A13EF8E9-34AA-7644-B8A4-3B5479DCF794}" name="ASSISTS 34" dataDxfId="1342"/>
    <tableColumn id="71" xr3:uid="{952943A4-9860-8844-BFA5-B4E57F88B824}" name="GOALS 35" dataDxfId="1341"/>
    <tableColumn id="72" xr3:uid="{2C73F254-97DC-BC47-9CCB-C58EDB15D42C}" name="ASSISTS 35" dataDxfId="1340"/>
    <tableColumn id="73" xr3:uid="{87CB6B5B-46FD-E048-A330-36351C27CBFA}" name="GOALS 36" dataDxfId="1339"/>
    <tableColumn id="74" xr3:uid="{C1106F41-D178-3246-8B3C-E195A3224ACE}" name="ASSISTS 36" dataDxfId="1338"/>
    <tableColumn id="75" xr3:uid="{532CB7D8-1412-C54D-BB66-776952811C99}" name="GOALS 37" dataDxfId="1337"/>
    <tableColumn id="76" xr3:uid="{76640B78-2996-7F49-A2B4-2FDC6F0B20E8}" name="ASSISTS 37" dataDxfId="1336"/>
    <tableColumn id="77" xr3:uid="{BB6A924E-1D62-7047-AD76-985D13F521FF}" name="GOALS 38" dataDxfId="1335"/>
    <tableColumn id="78" xr3:uid="{887D38E5-95F9-AF46-B0EE-9326D3A05FE3}" name="ASSISTS 38" dataDxfId="1334"/>
    <tableColumn id="79" xr3:uid="{461684D6-397E-D743-9922-5B4A97382585}" name="Top Scorer" dataDxfId="13">
      <calculatedColumnFormula>SUM(C3,E3,G3,I3,K3,M3,O3,Q3,S3,U3,W3,Y3,AA3,AC3,AE3,AG3,AI3,AK3,AM3,AO3,AQ3,AS3,AU3,AW3,AY3,BA3,BC3,BE3,BG3,BI3,BK3,BM3,BO3,BQ3,BS3,BU3,BW3,BY3)</calculatedColumnFormula>
    </tableColumn>
    <tableColumn id="80" xr3:uid="{FA9FDACF-70B1-2A45-90A2-188285F1C200}" name="ASSISTS" dataDxfId="12">
      <calculatedColumnFormula>SUM(D3,F3,H3,J3,L3,N3,P3,R3,T3,V3,X3,Z3,AB3,AD3,AF3,AH3,AJ3,AL3,AN3,AP3,AR3,AT3,AV3,AX3,AZ3,BB3,BD3,BF3,BH3,BJ3,BL3,BN3,BP3,BR3,BT3,BV3,BX3,BZ3)</calculatedColumnFormula>
    </tableColumn>
    <tableColumn id="81" xr3:uid="{A51286CD-1821-2A47-A24D-A020F8A921CD}" name="GOA;S + ASSISTS" dataDxfId="11">
      <calculatedColumnFormula>SUM(Table13[[#This Row],[GOALS 1]:[ASSISTS 38]])</calculatedColumnFormula>
    </tableColumn>
  </tableColumns>
  <tableStyleInfo name="TableStyleMedium2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7ED07F-4EFE-0D43-AAFD-620F0426E823}" name="FDR" displayName="FDR" ref="A1:AM21" totalsRowShown="0" headerRowDxfId="1541" headerRowCellStyle="Accent1">
  <autoFilter ref="A1:AM21" xr:uid="{9C7ED07F-4EFE-0D43-AAFD-620F0426E823}"/>
  <tableColumns count="39">
    <tableColumn id="1" xr3:uid="{1FF6A6E4-ADDB-764C-B5E0-AF0F87218C12}" name="FDR" dataDxfId="1540" dataCellStyle="Accent1"/>
    <tableColumn id="2" xr3:uid="{45BC25D0-1B85-E249-A079-0C0331997A38}" name="1" dataDxfId="1539">
      <calculatedColumnFormula array="1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3" xr3:uid="{D4AF40CC-DD5E-3E4D-9BF0-6594A8D66965}" name="2" dataDxfId="1538">
      <calculatedColumnFormula array="1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4" xr3:uid="{8CBC06A5-DCFF-2B4C-9654-7AC2D1255434}" name="3" dataDxfId="1537">
      <calculatedColumnFormula array="1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5" xr3:uid="{ACC7722B-F9ED-8844-B777-777F26C20364}" name="4" dataDxfId="1536">
      <calculatedColumnFormula array="1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6" xr3:uid="{CE1CFB1A-F87F-BE4D-BC6E-1344FEE987F0}" name="5" dataDxfId="1535">
      <calculatedColumnFormula array="1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7" xr3:uid="{8417BBA8-54B8-8845-8FEC-1F081766D564}" name="6" dataDxfId="1534">
      <calculatedColumnFormula array="1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8" xr3:uid="{4DDBA3DC-887D-E944-BD2B-D8C295EF5F1D}" name="7" dataDxfId="1533">
      <calculatedColumnFormula array="1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9" xr3:uid="{5E4C0146-7C77-8149-823A-DE1F18156F49}" name="8" dataDxfId="1532">
      <calculatedColumnFormula array="1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10" xr3:uid="{13B70588-1AA1-8D42-9FE8-F6301B7C9056}" name="9" dataDxfId="1531">
      <calculatedColumnFormula array="1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11" xr3:uid="{D639CBA4-7850-AE46-9EBB-22D4D3883682}" name="10" dataDxfId="1530">
      <calculatedColumnFormula array="1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12" xr3:uid="{5DCE8ED2-34AC-EE4E-9093-E09BC2AF575D}" name="11" dataDxfId="1529">
      <calculatedColumnFormula array="1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13" xr3:uid="{1DE9B8F0-02FC-784F-9BD9-7D55E02769B8}" name="12" dataDxfId="1528">
      <calculatedColumnFormula array="1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14" xr3:uid="{B6B1E4AA-D6D1-1B41-ABEB-1726E207497B}" name="13" dataDxfId="1527">
      <calculatedColumnFormula array="1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15" xr3:uid="{9134965B-22BA-1743-9F3E-748524CF5FB9}" name="14" dataDxfId="1526">
      <calculatedColumnFormula array="1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16" xr3:uid="{2F097EBC-72A8-7C43-AB15-ADFD92062DE1}" name="15" dataDxfId="1525">
      <calculatedColumnFormula array="1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17" xr3:uid="{13208940-9A88-9242-9465-1D70972222E7}" name="16" dataDxfId="1524">
      <calculatedColumnFormula array="1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18" xr3:uid="{8BE3B810-B98A-AF48-951B-5F802318848C}" name="17" dataDxfId="1523">
      <calculatedColumnFormula array="1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19" xr3:uid="{9684D85A-961F-1C4E-94F3-598D8D29D492}" name="18" dataDxfId="1522">
      <calculatedColumnFormula array="1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20" xr3:uid="{334974DC-0628-D648-8697-6BC1509F4CD9}" name="19" dataDxfId="1521">
      <calculatedColumnFormula array="1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21" xr3:uid="{E3FD1F8A-500D-7C45-AABD-016105501967}" name="20" dataDxfId="1520">
      <calculatedColumnFormula array="1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22" xr3:uid="{E4AE9990-FBC1-8847-B3F6-42CF61079AD6}" name="21" dataDxfId="1519">
      <calculatedColumnFormula array="1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23" xr3:uid="{FE53B688-24E3-9647-8100-CBDF694A09FB}" name="22" dataDxfId="1518">
      <calculatedColumnFormula array="1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24" xr3:uid="{542C80F9-4065-E344-AB29-DFF31AADDB35}" name="23" dataDxfId="1517">
      <calculatedColumnFormula array="1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25" xr3:uid="{524119D3-CD67-F14C-8D8E-240C0F8265B0}" name="24" dataDxfId="1516">
      <calculatedColumnFormula array="1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26" xr3:uid="{B5B2B677-E162-8648-ABD0-1402DB81DC5F}" name="25" dataDxfId="1515">
      <calculatedColumnFormula array="1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27" xr3:uid="{B688300C-3445-0246-B016-47B8FB945B0B}" name="26" dataDxfId="1514">
      <calculatedColumnFormula array="1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28" xr3:uid="{A707106A-15AC-E848-9768-CE925D439217}" name="27" dataDxfId="1513">
      <calculatedColumnFormula array="1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29" xr3:uid="{596BF759-D156-B449-B763-B84E5B34C040}" name="28" dataDxfId="1512">
      <calculatedColumnFormula array="1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30" xr3:uid="{88BC010F-D80F-0B4D-9515-7649FA781FE4}" name="29" dataDxfId="1511">
      <calculatedColumnFormula array="1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31" xr3:uid="{4F9D034F-FFFC-9849-8069-F63B3A7B0AE3}" name="30" dataDxfId="1510">
      <calculatedColumnFormula array="1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32" xr3:uid="{DAD3A07F-7986-9F42-8B55-915EDDE2E5E0}" name="31" dataDxfId="1509">
      <calculatedColumnFormula array="1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33" xr3:uid="{3D327A65-1586-F14A-94FA-F348BDD47417}" name="32" dataDxfId="1508">
      <calculatedColumnFormula array="1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34" xr3:uid="{605377B5-E581-0B49-89E6-CBAC7AD6683F}" name="33" dataDxfId="1507">
      <calculatedColumnFormula array="1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35" xr3:uid="{E12E121D-C75F-D540-BF06-2BE22F1A7B79}" name="34" dataDxfId="1506">
      <calculatedColumnFormula array="1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36" xr3:uid="{FABAB6FC-2134-EE4D-8903-781905712AFD}" name="35" dataDxfId="1505">
      <calculatedColumnFormula array="1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37" xr3:uid="{3BAF89AA-180C-5842-8D5B-E69C64982DE4}" name="36" dataDxfId="1504">
      <calculatedColumnFormula array="1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38" xr3:uid="{70706DA5-E636-6E43-8E0A-516D37B59466}" name="37" dataDxfId="1503">
      <calculatedColumnFormula array="1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  <tableColumn id="39" xr3:uid="{B8B92BDA-9BE5-274D-9CD2-BAB33666058D}" name="38" dataDxfId="1502">
      <calculatedColumnFormula array="1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9C97B1-A00B-104B-9965-0C56C865983F}" name="TableRank" displayName="TableRank" ref="B8:L28" totalsRowShown="0" headerRowDxfId="1501" dataDxfId="1499" headerRowBorderDxfId="1500" tableBorderDxfId="1498" headerRowCellStyle="60% - Accent4">
  <autoFilter ref="B8:L28" xr:uid="{CF9C97B1-A00B-104B-9965-0C56C865983F}"/>
  <sortState xmlns:xlrd2="http://schemas.microsoft.com/office/spreadsheetml/2017/richdata2" ref="B9:L28">
    <sortCondition descending="1" ref="J9:J28"/>
    <sortCondition descending="1" ref="I9:I28"/>
    <sortCondition descending="1" ref="G9:G28"/>
    <sortCondition ref="K9:K28"/>
  </sortState>
  <tableColumns count="11">
    <tableColumn id="1" xr3:uid="{AD64BCAF-102D-9F4C-B7D9-B681465C1D5D}" name="TEAMS" dataDxfId="1497"/>
    <tableColumn id="2" xr3:uid="{EC0DDF7F-4D95-064A-A165-3EDD9B460224}" name="PL" dataDxfId="1496">
      <calculatedColumnFormula>SUM(D9:F9)</calculatedColumnFormula>
    </tableColumn>
    <tableColumn id="3" xr3:uid="{4FB7BC82-0184-D744-AA2D-6DAD3AB3457D}" name="W" dataDxfId="1495">
      <calculatedColumnFormula array="1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calculatedColumnFormula>
    </tableColumn>
    <tableColumn id="4" xr3:uid="{8FC6B38D-ED72-7A41-AA92-37885457F58C}" name="D" dataDxfId="1494">
      <calculatedColumnFormula array="1">SUMPRODUCT(
  ((Fixture[HomeTeam]=TableRank[[#This Row],[TEAMS]]) + (Fixture[AwayTeam]=TableRank[[#This Row],[TEAMS]])) * (Fixture[HomeGoals]=Fixture[AwayGoals]) *(ISNUMBER(Fixture[HomeGoals])*ISNUMBER(Fixture[AwayGoals]))
)</calculatedColumnFormula>
    </tableColumn>
    <tableColumn id="5" xr3:uid="{86E52485-DD42-2F40-AB7B-86525C22710D}" name="L" dataDxfId="1493">
      <calculatedColumnFormula array="1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calculatedColumnFormula>
    </tableColumn>
    <tableColumn id="6" xr3:uid="{34C043B2-A4B8-9043-8598-B7F60D81F3B2}" name=" +" dataDxfId="1492">
      <calculatedColumnFormula>SUMIFS(Fixture[HomeGoals], Fixture[HomeTeam], TableRank[[#This Row],[TEAMS]], Fixture[HomeGoals], "&lt;&gt;") +
  SUMIFS(Fixture[AwayGoals], Fixture[AwayTeam], TableRank[[#This Row],[TEAMS]], Fixture[AwayGoals], "&lt;&gt;")</calculatedColumnFormula>
    </tableColumn>
    <tableColumn id="7" xr3:uid="{D07827C9-9B1F-FC47-A42B-54EE5F575D3B}" name=" -" dataDxfId="1491">
      <calculatedColumnFormula>SUMIFS(Fixture[AwayGoals], Fixture[HomeTeam], TableRank[[#This Row],[TEAMS]], Fixture[AwayGoals], "&lt;&gt;") +
  SUMIFS(Fixture[HomeGoals], Fixture[AwayTeam], TableRank[[#This Row],[TEAMS]], Fixture[HomeGoals], "&lt;&gt;")</calculatedColumnFormula>
    </tableColumn>
    <tableColumn id="8" xr3:uid="{56434C40-03F9-D840-A37A-428D0F623569}" name="GD" dataDxfId="1490">
      <calculatedColumnFormula>G9-H9</calculatedColumnFormula>
    </tableColumn>
    <tableColumn id="9" xr3:uid="{8F501757-6C0F-3C46-8DDB-1C025011738B}" name="PTS" dataDxfId="1489">
      <calculatedColumnFormula>D9*3+E9*1+F9*0</calculatedColumnFormula>
    </tableColumn>
    <tableColumn id="10" xr3:uid="{74BF6CB0-EECC-9247-8CB6-5AE2612131EB}" name="FP" dataDxfId="1488">
      <calculatedColumnFormula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calculatedColumnFormula>
    </tableColumn>
    <tableColumn id="11" xr3:uid="{26BD5319-A8C5-2348-AE2D-47B05E0BC50A}" name="Helper " dataDxfId="1487">
      <calculatedColumnFormula>RANK(TableRank[[#This Row],[PTS]],TableRank[[Helper ]])+RANK(TableRank[[#This Row],[GD]],TableRank[FP])/10+RANK(TableRank[[#This Row],[ +]],TableRank[GD])/100-RANK(TableRank[[#This Row],[FP]],$M$9:$M$40,1)/1000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E77C2AA-E3BD-1F4E-B82B-166B9CA9D103}" name="Table6" displayName="Table6" ref="A1:D21" totalsRowShown="0" headerRowDxfId="1486">
  <autoFilter ref="A1:D21" xr:uid="{AE77C2AA-E3BD-1F4E-B82B-166B9CA9D103}"/>
  <tableColumns count="4">
    <tableColumn id="1" xr3:uid="{63273302-DFFE-1E44-9DD1-64E9A3343593}" name="TEAM" dataDxfId="1485" dataCellStyle="Accent1"/>
    <tableColumn id="2" xr3:uid="{18724C37-899A-8A4C-94FC-EAACCCE252B3}" name="YELLOW CARD" dataDxfId="1484">
      <calculatedColumnFormula>_xlfn.LET(
  _xlpm.T, Table6[[#This Row],[TEAM]],
  SUMIFS(Fixture[YELLOW A], Fixture[HomeTeam], _xlpm.T, Fixture[HomeGoals], "&lt;&gt;") +
  SUMIFS(Fixture[YELLOW B], Fixture[AwayTeam], _xlpm.T, Fixture[AwayGoals], "&lt;&gt;")
)</calculatedColumnFormula>
    </tableColumn>
    <tableColumn id="4" xr3:uid="{A48C7284-4A46-6F48-9870-5DCEF29EF5E3}" name="INDIRECT RED CARD" dataDxfId="1483">
      <calculatedColumnFormula>_xlfn.LET(_xlpm.T, Table6[[#This Row],[TEAM]],
  SUMIFS(Fixture[INDIRECT RED A], Fixture[HomeTeam], _xlpm.T, Fixture[HomeGoals], "&lt;&gt;") +
  SUMIFS(Fixture[INDIRECT RED B], Fixture[AwayTeam], _xlpm.T, Fixture[HomeGoals], "&lt;&gt;")
)</calculatedColumnFormula>
    </tableColumn>
    <tableColumn id="6" xr3:uid="{9858C01A-F13E-FD43-9275-0260D46DACF9}" name="DIRECT RED CARD" dataDxfId="1482">
      <calculatedColumnFormula>_xlfn.LET(_xlpm.T, Table6[[#This Row],[TEAM]],
  SUMIFS(Fixture[DIRECT RED A], Fixture[HomeTeam], _xlpm.T, Fixture[HomeGoals], "&lt;&gt;") +
  SUMIFS(Fixture[DIRECT RED B], Fixture[AwayTeam], _xlpm.T, Fixture[HomeGoals], "&lt;&gt;")
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B18199-9641-1747-BDF6-F15F146ABBB6}" name="Matrix" displayName="Matrix" ref="A1:AX640" totalsRowShown="0" headerRowDxfId="1481" headerRowBorderDxfId="1480" tableBorderDxfId="1479">
  <autoFilter ref="A1:AX640" xr:uid="{99B18199-9641-1747-BDF6-F15F146ABBB6}"/>
  <sortState xmlns:xlrd2="http://schemas.microsoft.com/office/spreadsheetml/2017/richdata2" ref="A2:AX640">
    <sortCondition ref="H2:H640"/>
    <sortCondition ref="A2:A640" customList="GKP,DEF,MID,FWD"/>
    <sortCondition ref="O2:O640"/>
  </sortState>
  <tableColumns count="50">
    <tableColumn id="8" xr3:uid="{10AC766E-651C-1241-A1DF-E3C803DC1F44}" name="POSITION" dataDxfId="1478"/>
    <tableColumn id="14" xr3:uid="{B369E10B-0E08-D041-A1D8-7FA24B9B782D}" name="FULL" dataDxfId="1421" dataCellStyle="Percent"/>
    <tableColumn id="5" xr3:uid="{6EF5A0D5-AB97-AA46-AD3E-5A098513EA6D}" name="TEAM" dataDxfId="1417"/>
    <tableColumn id="7" xr3:uid="{6399AC85-9181-574D-BFAC-5B38DFDE826C}" name="TOTAL POINTS " dataDxfId="1423"/>
    <tableColumn id="11" xr3:uid="{D995247F-2CF7-E24B-A310-122AB5A19221}" name="SELECTED" dataDxfId="1422" dataCellStyle="Percent"/>
    <tableColumn id="2" xr3:uid="{E7CB4D66-3B23-F644-9165-82DF95B72929}" name="ICT" dataDxfId="1418" dataCellStyle="Percent"/>
    <tableColumn id="6" xr3:uid="{7AF040BD-A71E-BB40-A2A0-9FED030545D7}" name="PRICE" dataDxfId="1424" dataCellStyle="Currency"/>
    <tableColumn id="50" xr3:uid="{AC0CEFC2-4FD0-5B46-B414-1313155A3B3D}" name="Status Helper" dataDxfId="1425">
      <calculatedColumnFormula>IF(ISBLANK(I2),0,1)</calculatedColumnFormula>
    </tableColumn>
    <tableColumn id="1" xr3:uid="{BE738281-D5E8-6241-85E4-F84DAE594410}" name="STATUS" dataDxfId="1477"/>
    <tableColumn id="10" xr3:uid="{567D0212-46F0-204C-8263-1E817A01FEEA}" name="STATUS %" dataDxfId="1476" dataCellStyle="Percent"/>
    <tableColumn id="3" xr3:uid="{C1F6BA79-25AC-2945-AA1F-D114BCA2E82F}" name="FIRST" dataDxfId="1419" dataCellStyle="Percent"/>
    <tableColumn id="4" xr3:uid="{35770BD0-808B-0347-BDFA-3831AE9B8858}" name="LAST" dataDxfId="1420" dataCellStyle="Percent"/>
    <tableColumn id="9" xr3:uid="{524BB6A4-803C-A54F-A2CC-1CAB06299436}" name="1" dataDxfId="1475">
      <calculatedColumnFormula array="1">_xlfn.XLOOKUP(Matrix[[#This Row],[TEAM]]&amp;Matrix[[#Headers],[1]],FDR[FDR]&amp;FDR[[#Headers],[1]],FDR[1],"",0,1)</calculatedColumnFormula>
    </tableColumn>
    <tableColumn id="12" xr3:uid="{4538FA61-76AF-2A4A-9105-AA9EC1E22BFF}" name="2" dataDxfId="1474">
      <calculatedColumnFormula array="1">_xlfn.XLOOKUP(Matrix[[#This Row],[TEAM]]&amp;Matrix[[#Headers],[2]],FDR[FDR]&amp;FDR[[#Headers],[2]],FDR[2],"",0,1)</calculatedColumnFormula>
    </tableColumn>
    <tableColumn id="13" xr3:uid="{98DEF280-3C19-604E-9C43-8063E29EF253}" name="3" dataDxfId="1473">
      <calculatedColumnFormula array="1">_xlfn.XLOOKUP(Matrix[[#This Row],[TEAM]]&amp;Matrix[[#Headers],[3]],FDR[FDR]&amp;FDR[[#Headers],[3]],FDR[3],"",0,1)</calculatedColumnFormula>
    </tableColumn>
    <tableColumn id="15" xr3:uid="{1F03B1D7-E693-2D4A-A191-5E0C03342CDF}" name="4" dataDxfId="1472">
      <calculatedColumnFormula array="1">_xlfn.XLOOKUP(Matrix[[#This Row],[TEAM]]&amp;Matrix[[#Headers],[4]],FDR[FDR]&amp;FDR[[#Headers],[4]],FDR[4],"",0,1)</calculatedColumnFormula>
    </tableColumn>
    <tableColumn id="16" xr3:uid="{FF5B9CA5-EBCE-1C43-80E7-0A3CDAD7F8FE}" name="5" dataDxfId="1471">
      <calculatedColumnFormula array="1">_xlfn.XLOOKUP(Matrix[[#This Row],[TEAM]]&amp;Matrix[[#Headers],[5]],FDR[FDR]&amp;FDR[[#Headers],[5]],FDR[5],"",0,1)</calculatedColumnFormula>
    </tableColumn>
    <tableColumn id="17" xr3:uid="{3E101DB3-2A5C-0345-AD45-E7CDBDD47F08}" name="6" dataDxfId="1470">
      <calculatedColumnFormula array="1">_xlfn.XLOOKUP(Matrix[[#This Row],[TEAM]]&amp;Matrix[[#Headers],[6]],FDR[FDR]&amp;FDR[[#Headers],[6]],FDR[6],"",0,1)</calculatedColumnFormula>
    </tableColumn>
    <tableColumn id="18" xr3:uid="{5BE57173-4C15-244B-88C7-9D89B273A3BA}" name="7" dataDxfId="1469">
      <calculatedColumnFormula array="1">_xlfn.XLOOKUP(Matrix[[#This Row],[TEAM]]&amp;Matrix[[#Headers],[7]],FDR[FDR]&amp;FDR[[#Headers],[7]],FDR[7],"",0,1)</calculatedColumnFormula>
    </tableColumn>
    <tableColumn id="19" xr3:uid="{E10AF5F8-738B-5E48-85A1-64970E264479}" name="8" dataDxfId="1468">
      <calculatedColumnFormula array="1">_xlfn.XLOOKUP(Matrix[[#This Row],[TEAM]]&amp;Matrix[[#Headers],[8]],FDR[FDR]&amp;FDR[[#Headers],[8]],FDR[8],"",0,1)</calculatedColumnFormula>
    </tableColumn>
    <tableColumn id="20" xr3:uid="{C15AB865-ADE5-1F40-A97C-C04720B3EF0B}" name="9" dataDxfId="1467">
      <calculatedColumnFormula array="1">_xlfn.XLOOKUP(Matrix[[#This Row],[TEAM]]&amp;Matrix[[#Headers],[9]],FDR[FDR]&amp;FDR[[#Headers],[9]],FDR[9],"",0,1)</calculatedColumnFormula>
    </tableColumn>
    <tableColumn id="21" xr3:uid="{CC0F64AF-B242-E141-BB82-FFAD47166168}" name="10" dataDxfId="1466">
      <calculatedColumnFormula array="1">_xlfn.XLOOKUP(Matrix[[#This Row],[TEAM]]&amp;Matrix[[#Headers],[10]],FDR[FDR]&amp;FDR[[#Headers],[10]],FDR[10],"",0,1)</calculatedColumnFormula>
    </tableColumn>
    <tableColumn id="22" xr3:uid="{703FFEB5-C455-A34E-8CCD-FDB2BECA5523}" name="11" dataDxfId="1465">
      <calculatedColumnFormula array="1">_xlfn.XLOOKUP(Matrix[[#This Row],[TEAM]]&amp;Matrix[[#Headers],[11]],FDR[FDR]&amp;FDR[[#Headers],[11]],FDR[11],"",0,1)</calculatedColumnFormula>
    </tableColumn>
    <tableColumn id="23" xr3:uid="{5260958D-34E0-5F48-B4FB-0434B0959E50}" name="12" dataDxfId="1464">
      <calculatedColumnFormula array="1">_xlfn.XLOOKUP(Matrix[[#This Row],[TEAM]]&amp;Matrix[[#Headers],[12]],FDR[FDR]&amp;FDR[[#Headers],[12]],FDR[12],"",0,1)</calculatedColumnFormula>
    </tableColumn>
    <tableColumn id="24" xr3:uid="{92C7BD65-4762-714E-9B1E-23C915D8FFF6}" name="13" dataDxfId="1463">
      <calculatedColumnFormula array="1">_xlfn.XLOOKUP(Matrix[[#This Row],[TEAM]]&amp;Matrix[[#Headers],[13]],FDR[FDR]&amp;FDR[[#Headers],[13]],FDR[13],"",0,1)</calculatedColumnFormula>
    </tableColumn>
    <tableColumn id="25" xr3:uid="{DCDD0632-6EF0-F34B-98FF-8DA65BC15F81}" name="14" dataDxfId="1462">
      <calculatedColumnFormula array="1">_xlfn.XLOOKUP(Matrix[[#This Row],[TEAM]]&amp;Matrix[[#Headers],[14]],FDR[FDR]&amp;FDR[[#Headers],[14]],FDR[14],"",0,1)</calculatedColumnFormula>
    </tableColumn>
    <tableColumn id="26" xr3:uid="{ADF2E7B0-0555-3942-85F6-BD8DBCB82353}" name="15" dataDxfId="1461">
      <calculatedColumnFormula array="1">_xlfn.XLOOKUP(Matrix[[#This Row],[TEAM]]&amp;Matrix[[#Headers],[15]],FDR[FDR]&amp;FDR[[#Headers],[15]],FDR[15],"",0,1)</calculatedColumnFormula>
    </tableColumn>
    <tableColumn id="27" xr3:uid="{F12CCF26-A748-F54E-A19C-9DCD772C9840}" name="16" dataDxfId="1460">
      <calculatedColumnFormula array="1">_xlfn.XLOOKUP(Matrix[[#This Row],[TEAM]]&amp;Matrix[[#Headers],[16]],FDR[FDR]&amp;FDR[[#Headers],[16]],FDR[16],"",0,1)</calculatedColumnFormula>
    </tableColumn>
    <tableColumn id="28" xr3:uid="{9628700B-B627-2B40-985E-81677D2B7D14}" name="17" dataDxfId="1459">
      <calculatedColumnFormula array="1">_xlfn.XLOOKUP(Matrix[[#This Row],[TEAM]]&amp;Matrix[[#Headers],[17]],FDR[FDR]&amp;FDR[[#Headers],[17]],FDR[17],"",0,1)</calculatedColumnFormula>
    </tableColumn>
    <tableColumn id="29" xr3:uid="{EB4033DB-FC5F-6A45-8E32-AE666034DDE0}" name="18" dataDxfId="1458">
      <calculatedColumnFormula array="1">_xlfn.XLOOKUP(Matrix[[#This Row],[TEAM]]&amp;Matrix[[#Headers],[18]],FDR[FDR]&amp;FDR[[#Headers],[18]],FDR[18],"",0,1)</calculatedColumnFormula>
    </tableColumn>
    <tableColumn id="30" xr3:uid="{A46EF9DD-3A99-B845-8229-61D6432217EA}" name="19" dataDxfId="1457">
      <calculatedColumnFormula array="1">_xlfn.XLOOKUP(Matrix[[#This Row],[TEAM]]&amp;Matrix[[#Headers],[19]],FDR[FDR]&amp;FDR[[#Headers],[19]],FDR[19],"",0,1)</calculatedColumnFormula>
    </tableColumn>
    <tableColumn id="31" xr3:uid="{CD2FE114-1C40-FE4B-BD53-0CD1BF568DBC}" name="20" dataDxfId="1456">
      <calculatedColumnFormula array="1">_xlfn.XLOOKUP(Matrix[[#This Row],[TEAM]]&amp;Matrix[[#Headers],[20]],FDR[FDR]&amp;FDR[[#Headers],[20]],FDR[20],"",0,1)</calculatedColumnFormula>
    </tableColumn>
    <tableColumn id="32" xr3:uid="{2D8A07D3-203B-9D44-9F43-FF52EF5597FC}" name="21" dataDxfId="1455">
      <calculatedColumnFormula array="1">_xlfn.XLOOKUP(Matrix[[#This Row],[TEAM]]&amp;Matrix[[#Headers],[21]],FDR[FDR]&amp;FDR[[#Headers],[21]],FDR[21],"",0,1)</calculatedColumnFormula>
    </tableColumn>
    <tableColumn id="33" xr3:uid="{88DCBC8F-2784-C547-9B0B-CA815D248660}" name="22" dataDxfId="1454">
      <calculatedColumnFormula array="1">_xlfn.XLOOKUP(Matrix[[#This Row],[TEAM]]&amp;Matrix[[#Headers],[22]],FDR[FDR]&amp;FDR[[#Headers],[22]],FDR[22],"",0,1)</calculatedColumnFormula>
    </tableColumn>
    <tableColumn id="34" xr3:uid="{FCEFE93D-CCB5-0E46-B435-79B2D19B15CA}" name="23" dataDxfId="1453">
      <calculatedColumnFormula array="1">_xlfn.XLOOKUP(Matrix[[#This Row],[TEAM]]&amp;Matrix[[#Headers],[23]],FDR[FDR]&amp;FDR[[#Headers],[23]],FDR[23],"",0,1)</calculatedColumnFormula>
    </tableColumn>
    <tableColumn id="35" xr3:uid="{0098CD47-1C74-B645-8C42-19B7D6488545}" name="24" dataDxfId="1452">
      <calculatedColumnFormula array="1">_xlfn.XLOOKUP(Matrix[[#This Row],[TEAM]]&amp;Matrix[[#Headers],[24]],FDR[FDR]&amp;FDR[[#Headers],[24]],FDR[24],"",0,1)</calculatedColumnFormula>
    </tableColumn>
    <tableColumn id="36" xr3:uid="{26E850A3-43FC-AD43-AC0E-CC59F2FBC234}" name="25" dataDxfId="1451">
      <calculatedColumnFormula array="1">_xlfn.XLOOKUP(Matrix[[#This Row],[TEAM]]&amp;Matrix[[#Headers],[25]],FDR[FDR]&amp;FDR[[#Headers],[25]],FDR[25],"",0,1)</calculatedColumnFormula>
    </tableColumn>
    <tableColumn id="37" xr3:uid="{1CF8BDF8-946D-8545-BC40-1F828E8A9594}" name="26" dataDxfId="1450">
      <calculatedColumnFormula array="1">_xlfn.XLOOKUP(Matrix[[#This Row],[TEAM]]&amp;Matrix[[#Headers],[26]],FDR[FDR]&amp;FDR[[#Headers],[26]],FDR[26],"",0,1)</calculatedColumnFormula>
    </tableColumn>
    <tableColumn id="38" xr3:uid="{C0B1BB1D-AD1E-F648-9CF7-C7752EA93FAA}" name="27" dataDxfId="1449">
      <calculatedColumnFormula array="1">_xlfn.XLOOKUP(Matrix[[#This Row],[TEAM]]&amp;Matrix[[#Headers],[27]],FDR[FDR]&amp;FDR[[#Headers],[27]],FDR[27],"",0,1)</calculatedColumnFormula>
    </tableColumn>
    <tableColumn id="39" xr3:uid="{22076527-6E6B-5B4A-86F4-5CB58B4CD722}" name="28" dataDxfId="1448">
      <calculatedColumnFormula array="1">_xlfn.XLOOKUP(Matrix[[#This Row],[TEAM]]&amp;Matrix[[#Headers],[28]],FDR[FDR]&amp;FDR[[#Headers],[28]],FDR[28],"",0,1)</calculatedColumnFormula>
    </tableColumn>
    <tableColumn id="40" xr3:uid="{E20FABCA-E858-DC4C-88D1-21C37D15D9B5}" name="29" dataDxfId="1447">
      <calculatedColumnFormula array="1">_xlfn.XLOOKUP(Matrix[[#This Row],[TEAM]]&amp;Matrix[[#Headers],[29]],FDR[FDR]&amp;FDR[[#Headers],[29]],FDR[29],"",0,1)</calculatedColumnFormula>
    </tableColumn>
    <tableColumn id="41" xr3:uid="{566918A1-426B-2242-B016-CFC984FBA633}" name="30" dataDxfId="1446">
      <calculatedColumnFormula array="1">_xlfn.XLOOKUP(Matrix[[#This Row],[TEAM]]&amp;Matrix[[#Headers],[30]],FDR[FDR]&amp;FDR[[#Headers],[30]],FDR[30],"",0,1)</calculatedColumnFormula>
    </tableColumn>
    <tableColumn id="42" xr3:uid="{814A6C03-7C91-FB47-AE25-FE853E0F296B}" name="31" dataDxfId="1445">
      <calculatedColumnFormula array="1">_xlfn.XLOOKUP(Matrix[[#This Row],[TEAM]]&amp;Matrix[[#Headers],[31]],FDR[FDR]&amp;FDR[[#Headers],[31]],FDR[31],"",0,1)</calculatedColumnFormula>
    </tableColumn>
    <tableColumn id="43" xr3:uid="{2C5D8EC9-3526-874B-B528-D0492FBF3987}" name="32" dataDxfId="1444">
      <calculatedColumnFormula array="1">_xlfn.XLOOKUP(Matrix[[#This Row],[TEAM]]&amp;Matrix[[#Headers],[32]],FDR[FDR]&amp;FDR[[#Headers],[32]],FDR[32],"",0,1)</calculatedColumnFormula>
    </tableColumn>
    <tableColumn id="44" xr3:uid="{6962361E-FFFF-6A4C-AF1A-91F9E39291B9}" name="33" dataDxfId="1443">
      <calculatedColumnFormula array="1">_xlfn.XLOOKUP(Matrix[[#This Row],[TEAM]]&amp;Matrix[[#Headers],[33]],FDR[FDR]&amp;FDR[[#Headers],[33]],FDR[33],"",0,1)</calculatedColumnFormula>
    </tableColumn>
    <tableColumn id="45" xr3:uid="{9EA4AAF0-D6F8-DA43-B248-D73BA34DBF7D}" name="34" dataDxfId="1442">
      <calculatedColumnFormula array="1">_xlfn.XLOOKUP(Matrix[[#This Row],[TEAM]]&amp;Matrix[[#Headers],[34]],FDR[FDR]&amp;FDR[[#Headers],[34]],FDR[34],"",0,1)</calculatedColumnFormula>
    </tableColumn>
    <tableColumn id="46" xr3:uid="{D3E58184-63A4-5F48-9E72-967392E21291}" name="35" dataDxfId="1441">
      <calculatedColumnFormula array="1">_xlfn.XLOOKUP(Matrix[[#This Row],[TEAM]]&amp;Matrix[[#Headers],[35]],FDR[FDR]&amp;FDR[[#Headers],[35]],FDR[35],"",0,1)</calculatedColumnFormula>
    </tableColumn>
    <tableColumn id="47" xr3:uid="{C43F3996-6D3A-FB4F-944E-00C1E2B2E1DB}" name="36" dataDxfId="1440">
      <calculatedColumnFormula array="1">_xlfn.XLOOKUP(Matrix[[#This Row],[TEAM]]&amp;Matrix[[#Headers],[36]],FDR[FDR]&amp;FDR[[#Headers],[36]],FDR[36],"",0,1)</calculatedColumnFormula>
    </tableColumn>
    <tableColumn id="48" xr3:uid="{D0DF4749-F609-E247-9B82-B92FB6D05FD8}" name="37" dataDxfId="1439">
      <calculatedColumnFormula array="1">_xlfn.XLOOKUP(Matrix[[#This Row],[TEAM]]&amp;Matrix[[#Headers],[37]],FDR[FDR]&amp;FDR[[#Headers],[37]],FDR[37],"",0,1)</calculatedColumnFormula>
    </tableColumn>
    <tableColumn id="49" xr3:uid="{4D769197-A4C5-9549-B40A-07B35797B98E}" name="38" dataDxfId="1438">
      <calculatedColumnFormula array="1">_xlfn.XLOOKUP(Matrix[[#This Row],[TEAM]]&amp;Matrix[[#Headers],[38]],FDR[FDR]&amp;FDR[[#Headers],[38]],FDR[38],"",0,1)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239483-94B3-044C-B563-7507C64D26B4}" name="Transfer" displayName="Transfer" ref="A1:G16" totalsRowShown="0" headerRowDxfId="1437" dataDxfId="1436" tableBorderDxfId="1435">
  <autoFilter ref="A1:G16" xr:uid="{4E239483-94B3-044C-B563-7507C64D26B4}"/>
  <tableColumns count="7">
    <tableColumn id="8" xr3:uid="{90C24B54-FF82-5044-BF38-5B38BCF7C5ED}" name="POSITION" dataDxfId="1434"/>
    <tableColumn id="2" xr3:uid="{A8008F34-D857-4049-BB7E-A2C18B654CB1}" name="PLAYER" dataDxfId="1433"/>
    <tableColumn id="3" xr3:uid="{23BEDD2C-9C2F-4140-B79B-237A85BA984C}" name="TEAM" dataDxfId="1416">
      <calculatedColumnFormula>IFERROR(VLOOKUP(B2,Matrix[[FULL]:[PRICE]],2,FALSE),"")</calculatedColumnFormula>
    </tableColumn>
    <tableColumn id="4" xr3:uid="{0214D568-29D9-AC4F-8DF2-53DC215479A3}" name="SELECTED" dataDxfId="1415" dataCellStyle="Percent">
      <calculatedColumnFormula>IFERROR(VLOOKUP(B2, Matrix[[FULL]:[PRICE]], 4, FALSE), "")</calculatedColumnFormula>
    </tableColumn>
    <tableColumn id="7" xr3:uid="{0643E357-03CF-7242-A073-1F31637DA0AA}" name="ICT" dataDxfId="1414">
      <calculatedColumnFormula>IFERROR(VLOOKUP(B2,Matrix[[FULL]:[PRICE]],5,FALSE),"")</calculatedColumnFormula>
    </tableColumn>
    <tableColumn id="5" xr3:uid="{BB18EAC4-544C-B643-8019-3E1BBEBC23C5}" name=" TOTAL POINTS " dataDxfId="1413">
      <calculatedColumnFormula>IFERROR(VLOOKUP(B2,Matrix[[FULL]:[PRICE]],3,FALSE),"")</calculatedColumnFormula>
    </tableColumn>
    <tableColumn id="6" xr3:uid="{BF2545EF-074C-374A-92CB-DEC4EDA4AC8B}" name="PRICE" dataDxfId="1412">
      <calculatedColumnFormula>IFERROR(VLOOKUP(B2,Matrix[[FULL]:[PRICE]],6,FALSE),"")</calculatedColumnFormula>
    </tableColumn>
  </tableColumns>
  <tableStyleInfo name="TableStyleMedium16" showFirstColumn="1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16B2996-0FB2-E944-B1B2-ABEB1AFE81F1}" name="TeamRate" displayName="TeamRate" ref="A1:D21" totalsRowShown="0">
  <autoFilter ref="A1:D21" xr:uid="{416B2996-0FB2-E944-B1B2-ABEB1AFE81F1}"/>
  <tableColumns count="4">
    <tableColumn id="1" xr3:uid="{DC496838-004B-1F43-BE14-EBE932A1B1E7}" name="TEAM" dataDxfId="1432"/>
    <tableColumn id="2" xr3:uid="{5A561B07-A010-C149-9CFC-047EFF51FFB8}" name="ABREVIATION" dataDxfId="1431"/>
    <tableColumn id="3" xr3:uid="{6CDF52D7-A14C-BC4A-B041-B3533E1FA4FD}" name="HomeRating" dataDxfId="1430"/>
    <tableColumn id="4" xr3:uid="{F01A5A19-2601-8147-BF7B-B25116A4FAC8}" name="AwayRating" dataDxfId="1429">
      <calculatedColumnFormula>C2/$E$2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638D70-C740-8F4C-8486-6A505822E597}" name="Table7" displayName="Table7" ref="AE1:AE26" totalsRowShown="0" headerRowDxfId="1427" dataDxfId="1426">
  <autoFilter ref="AE1:AE26" xr:uid="{D8638D70-C740-8F4C-8486-6A505822E597}"/>
  <tableColumns count="1">
    <tableColumn id="1" xr3:uid="{25B27AB4-4103-1245-99A0-288FBCDD182D}" name="STATUS" dataDxfId="14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8DA7-0943-9E43-B51C-050D9BE2BBC4}">
  <sheetPr codeName="Sheet8">
    <tabColor theme="4" tint="0.59999389629810485"/>
  </sheetPr>
  <dimension ref="A1:J36"/>
  <sheetViews>
    <sheetView tabSelected="1" zoomScale="140" zoomScaleNormal="150" zoomScaleSheetLayoutView="100" workbookViewId="0"/>
  </sheetViews>
  <sheetFormatPr baseColWidth="10" defaultColWidth="8.83203125" defaultRowHeight="16"/>
  <cols>
    <col min="1" max="1" width="14.5" style="115" bestFit="1" customWidth="1"/>
    <col min="2" max="2" width="18.5" style="6" bestFit="1" customWidth="1"/>
    <col min="3" max="3" width="30" style="6" bestFit="1" customWidth="1"/>
    <col min="4" max="4" width="17" style="110" bestFit="1" customWidth="1"/>
    <col min="5" max="5" width="17" style="6" bestFit="1" customWidth="1"/>
    <col min="6" max="6" width="12" style="6" bestFit="1" customWidth="1"/>
    <col min="7" max="7" width="19" style="6" bestFit="1" customWidth="1"/>
    <col min="8" max="8" width="16.6640625" style="6" bestFit="1" customWidth="1"/>
  </cols>
  <sheetData>
    <row r="1" spans="1:10" ht="20" thickBot="1">
      <c r="A1" s="111" t="s">
        <v>622</v>
      </c>
      <c r="B1" s="94" t="s">
        <v>626</v>
      </c>
      <c r="C1" s="95" t="s">
        <v>629</v>
      </c>
      <c r="D1" s="94" t="s">
        <v>635</v>
      </c>
      <c r="E1" s="95" t="s">
        <v>628</v>
      </c>
      <c r="F1" s="94" t="s">
        <v>627</v>
      </c>
      <c r="G1" s="95" t="s">
        <v>630</v>
      </c>
      <c r="H1" s="94" t="s">
        <v>1905</v>
      </c>
      <c r="J1" s="12"/>
    </row>
    <row r="2" spans="1:10" ht="20" thickBot="1">
      <c r="A2" s="112" t="s">
        <v>20</v>
      </c>
      <c r="B2" s="96" t="s">
        <v>308</v>
      </c>
      <c r="C2" s="97" t="s">
        <v>314</v>
      </c>
      <c r="D2" s="97" t="s">
        <v>636</v>
      </c>
      <c r="E2" s="98">
        <v>60383</v>
      </c>
      <c r="F2" s="97">
        <v>2006</v>
      </c>
      <c r="G2" s="97" t="s">
        <v>298</v>
      </c>
      <c r="H2" s="99">
        <v>99960</v>
      </c>
      <c r="J2" s="12"/>
    </row>
    <row r="3" spans="1:10" ht="20" thickBot="1">
      <c r="A3" s="113" t="s">
        <v>28</v>
      </c>
      <c r="B3" s="100" t="s">
        <v>307</v>
      </c>
      <c r="C3" s="101" t="s">
        <v>299</v>
      </c>
      <c r="D3" s="101" t="s">
        <v>636</v>
      </c>
      <c r="E3" s="102">
        <v>42824</v>
      </c>
      <c r="F3" s="101">
        <v>1897</v>
      </c>
      <c r="G3" s="101" t="s">
        <v>300</v>
      </c>
      <c r="H3" s="103">
        <v>93600</v>
      </c>
      <c r="J3" s="12"/>
    </row>
    <row r="4" spans="1:10" ht="20" thickBot="1">
      <c r="A4" s="113" t="s">
        <v>43</v>
      </c>
      <c r="B4" s="100" t="s">
        <v>306</v>
      </c>
      <c r="C4" s="101" t="s">
        <v>43</v>
      </c>
      <c r="D4" s="101" t="s">
        <v>636</v>
      </c>
      <c r="E4" s="102">
        <v>12000</v>
      </c>
      <c r="F4" s="101">
        <v>2001</v>
      </c>
      <c r="G4" s="101" t="s">
        <v>301</v>
      </c>
      <c r="H4" s="103">
        <v>75200</v>
      </c>
      <c r="J4" s="12"/>
    </row>
    <row r="5" spans="1:10" ht="20" thickBot="1">
      <c r="A5" s="113" t="s">
        <v>21</v>
      </c>
      <c r="B5" s="100" t="s">
        <v>305</v>
      </c>
      <c r="C5" s="101" t="s">
        <v>315</v>
      </c>
      <c r="D5" s="101" t="s">
        <v>636</v>
      </c>
      <c r="E5" s="102">
        <v>17250</v>
      </c>
      <c r="F5" s="101">
        <v>2020</v>
      </c>
      <c r="G5" s="101" t="s">
        <v>637</v>
      </c>
      <c r="H5" s="103">
        <v>50200</v>
      </c>
      <c r="J5" s="12"/>
    </row>
    <row r="6" spans="1:10" ht="21" thickBot="1">
      <c r="A6" s="113" t="s">
        <v>33</v>
      </c>
      <c r="B6" s="104" t="s">
        <v>638</v>
      </c>
      <c r="C6" s="101" t="s">
        <v>639</v>
      </c>
      <c r="D6" s="101" t="s">
        <v>636</v>
      </c>
      <c r="E6" s="102">
        <v>31872</v>
      </c>
      <c r="F6" s="101">
        <v>2011</v>
      </c>
      <c r="G6" s="101" t="s">
        <v>640</v>
      </c>
      <c r="H6" s="103">
        <v>75200</v>
      </c>
      <c r="J6" s="12"/>
    </row>
    <row r="7" spans="1:10" ht="20" thickBot="1">
      <c r="A7" s="113" t="s">
        <v>22</v>
      </c>
      <c r="B7" s="100" t="s">
        <v>304</v>
      </c>
      <c r="C7" s="101" t="s">
        <v>22</v>
      </c>
      <c r="D7" s="101" t="s">
        <v>636</v>
      </c>
      <c r="E7" s="102">
        <v>22546</v>
      </c>
      <c r="F7" s="101">
        <v>1883</v>
      </c>
      <c r="G7" s="101" t="s">
        <v>641</v>
      </c>
      <c r="H7" s="103">
        <v>200</v>
      </c>
      <c r="J7" s="12"/>
    </row>
    <row r="8" spans="1:10" ht="20" thickBot="1">
      <c r="A8" s="113" t="s">
        <v>18</v>
      </c>
      <c r="B8" s="100" t="s">
        <v>303</v>
      </c>
      <c r="C8" s="101" t="s">
        <v>314</v>
      </c>
      <c r="D8" s="101" t="s">
        <v>636</v>
      </c>
      <c r="E8" s="102">
        <v>41841</v>
      </c>
      <c r="F8" s="101">
        <v>1877</v>
      </c>
      <c r="G8" s="101" t="s">
        <v>642</v>
      </c>
      <c r="H8" s="103">
        <v>99400</v>
      </c>
      <c r="J8" s="12"/>
    </row>
    <row r="9" spans="1:10" ht="20" thickBot="1">
      <c r="A9" s="113" t="s">
        <v>1906</v>
      </c>
      <c r="B9" s="100" t="s">
        <v>313</v>
      </c>
      <c r="C9" s="101" t="s">
        <v>314</v>
      </c>
      <c r="D9" s="101" t="s">
        <v>636</v>
      </c>
      <c r="E9" s="102">
        <v>26309</v>
      </c>
      <c r="F9" s="101">
        <v>1924</v>
      </c>
      <c r="G9" s="101" t="s">
        <v>643</v>
      </c>
      <c r="H9" s="103">
        <v>50200</v>
      </c>
      <c r="J9" s="12"/>
    </row>
    <row r="10" spans="1:10" ht="20" thickBot="1">
      <c r="A10" s="113" t="s">
        <v>24</v>
      </c>
      <c r="B10" s="100" t="s">
        <v>316</v>
      </c>
      <c r="C10" s="101" t="s">
        <v>17</v>
      </c>
      <c r="D10" s="101" t="s">
        <v>636</v>
      </c>
      <c r="E10" s="102">
        <v>40569</v>
      </c>
      <c r="F10" s="101">
        <v>1892</v>
      </c>
      <c r="G10" s="101" t="s">
        <v>312</v>
      </c>
      <c r="H10" s="103">
        <v>50200</v>
      </c>
      <c r="J10" s="12"/>
    </row>
    <row r="11" spans="1:10" ht="20" thickBot="1">
      <c r="A11" s="113" t="s">
        <v>23</v>
      </c>
      <c r="B11" s="100" t="s">
        <v>317</v>
      </c>
      <c r="C11" s="101" t="s">
        <v>314</v>
      </c>
      <c r="D11" s="101" t="s">
        <v>636</v>
      </c>
      <c r="E11" s="102">
        <v>25700</v>
      </c>
      <c r="F11" s="101">
        <v>1896</v>
      </c>
      <c r="G11" s="101" t="s">
        <v>309</v>
      </c>
      <c r="H11" s="103">
        <v>50200</v>
      </c>
      <c r="J11" s="12"/>
    </row>
    <row r="12" spans="1:10" ht="20" thickBot="1">
      <c r="A12" s="113" t="s">
        <v>633</v>
      </c>
      <c r="B12" s="100" t="s">
        <v>644</v>
      </c>
      <c r="C12" s="101" t="s">
        <v>645</v>
      </c>
      <c r="D12" s="101" t="s">
        <v>636</v>
      </c>
      <c r="E12" s="102">
        <v>40204</v>
      </c>
      <c r="F12" s="101">
        <v>1897</v>
      </c>
      <c r="G12" s="101" t="s">
        <v>646</v>
      </c>
      <c r="H12" s="103">
        <v>25200</v>
      </c>
      <c r="J12" s="12"/>
    </row>
    <row r="13" spans="1:10" ht="20" thickBot="1">
      <c r="A13" s="113" t="s">
        <v>17</v>
      </c>
      <c r="B13" s="100" t="s">
        <v>318</v>
      </c>
      <c r="C13" s="101" t="s">
        <v>17</v>
      </c>
      <c r="D13" s="101" t="s">
        <v>636</v>
      </c>
      <c r="E13" s="102">
        <v>61276</v>
      </c>
      <c r="F13" s="101">
        <v>1884</v>
      </c>
      <c r="G13" s="101" t="s">
        <v>647</v>
      </c>
      <c r="H13" s="103">
        <v>100000</v>
      </c>
      <c r="I13" s="26"/>
      <c r="J13" s="12"/>
    </row>
    <row r="14" spans="1:10" ht="20" thickBot="1">
      <c r="A14" s="113" t="s">
        <v>29</v>
      </c>
      <c r="B14" s="100" t="s">
        <v>319</v>
      </c>
      <c r="C14" s="101" t="s">
        <v>320</v>
      </c>
      <c r="D14" s="101" t="s">
        <v>636</v>
      </c>
      <c r="E14" s="102">
        <v>55097</v>
      </c>
      <c r="F14" s="101">
        <v>2002</v>
      </c>
      <c r="G14" s="101" t="s">
        <v>310</v>
      </c>
      <c r="H14" s="103">
        <v>99900</v>
      </c>
      <c r="J14" s="12"/>
    </row>
    <row r="15" spans="1:10" ht="20" thickBot="1">
      <c r="A15" s="113" t="s">
        <v>30</v>
      </c>
      <c r="B15" s="100" t="s">
        <v>321</v>
      </c>
      <c r="C15" s="101" t="s">
        <v>320</v>
      </c>
      <c r="D15" s="101" t="s">
        <v>636</v>
      </c>
      <c r="E15" s="102">
        <v>76212</v>
      </c>
      <c r="F15" s="101">
        <v>1910</v>
      </c>
      <c r="G15" s="101" t="s">
        <v>648</v>
      </c>
      <c r="H15" s="103">
        <v>96900</v>
      </c>
      <c r="J15" s="12"/>
    </row>
    <row r="16" spans="1:10" ht="20" thickBot="1">
      <c r="A16" s="113" t="s">
        <v>25</v>
      </c>
      <c r="B16" s="100" t="s">
        <v>322</v>
      </c>
      <c r="C16" s="101" t="s">
        <v>25</v>
      </c>
      <c r="D16" s="101" t="s">
        <v>636</v>
      </c>
      <c r="E16" s="102">
        <v>52758</v>
      </c>
      <c r="F16" s="101">
        <v>1892</v>
      </c>
      <c r="G16" s="101" t="s">
        <v>311</v>
      </c>
      <c r="H16" s="103">
        <v>97400</v>
      </c>
      <c r="J16" s="12"/>
    </row>
    <row r="17" spans="1:10" ht="20" thickBot="1">
      <c r="A17" s="113" t="s">
        <v>654</v>
      </c>
      <c r="B17" s="100" t="s">
        <v>323</v>
      </c>
      <c r="C17" s="101" t="s">
        <v>324</v>
      </c>
      <c r="D17" s="101" t="s">
        <v>636</v>
      </c>
      <c r="E17" s="102">
        <v>30576</v>
      </c>
      <c r="F17" s="101">
        <v>1898</v>
      </c>
      <c r="G17" s="101" t="s">
        <v>649</v>
      </c>
      <c r="H17" s="103">
        <v>80200</v>
      </c>
      <c r="J17" s="12"/>
    </row>
    <row r="18" spans="1:10" ht="20" thickBot="1">
      <c r="A18" s="113" t="s">
        <v>634</v>
      </c>
      <c r="B18" s="100" t="s">
        <v>650</v>
      </c>
      <c r="C18" s="101" t="s">
        <v>634</v>
      </c>
      <c r="D18" s="101" t="s">
        <v>636</v>
      </c>
      <c r="E18" s="102">
        <v>49000</v>
      </c>
      <c r="F18" s="101">
        <v>1997</v>
      </c>
      <c r="G18" s="101" t="s">
        <v>651</v>
      </c>
      <c r="H18" s="103">
        <v>200</v>
      </c>
      <c r="J18" s="12"/>
    </row>
    <row r="19" spans="1:10" ht="20" thickBot="1">
      <c r="A19" s="113" t="s">
        <v>19</v>
      </c>
      <c r="B19" s="100" t="s">
        <v>325</v>
      </c>
      <c r="C19" s="101" t="s">
        <v>314</v>
      </c>
      <c r="D19" s="101" t="s">
        <v>636</v>
      </c>
      <c r="E19" s="102">
        <v>62850</v>
      </c>
      <c r="F19" s="101">
        <v>2019</v>
      </c>
      <c r="G19" s="101" t="s">
        <v>302</v>
      </c>
      <c r="H19" s="103">
        <v>95200</v>
      </c>
      <c r="J19" s="12"/>
    </row>
    <row r="20" spans="1:10" ht="20" thickBot="1">
      <c r="A20" s="113" t="s">
        <v>27</v>
      </c>
      <c r="B20" s="100" t="s">
        <v>314</v>
      </c>
      <c r="C20" s="101" t="s">
        <v>314</v>
      </c>
      <c r="D20" s="101" t="s">
        <v>636</v>
      </c>
      <c r="E20" s="102">
        <v>60000</v>
      </c>
      <c r="F20" s="101">
        <v>2012</v>
      </c>
      <c r="G20" s="101" t="s">
        <v>652</v>
      </c>
      <c r="H20" s="103">
        <v>50200</v>
      </c>
      <c r="J20" s="12"/>
    </row>
    <row r="21" spans="1:10" ht="20" thickBot="1">
      <c r="A21" s="114" t="s">
        <v>51</v>
      </c>
      <c r="B21" s="105" t="s">
        <v>326</v>
      </c>
      <c r="C21" s="106" t="s">
        <v>327</v>
      </c>
      <c r="D21" s="106" t="s">
        <v>636</v>
      </c>
      <c r="E21" s="107">
        <v>34624</v>
      </c>
      <c r="F21" s="106">
        <v>1889</v>
      </c>
      <c r="G21" s="106" t="s">
        <v>653</v>
      </c>
      <c r="H21" s="108">
        <v>50200</v>
      </c>
      <c r="J21" s="12"/>
    </row>
    <row r="22" spans="1:10" ht="18" thickTop="1" thickBot="1">
      <c r="D22" s="109"/>
    </row>
    <row r="23" spans="1:10" ht="21" thickTop="1" thickBot="1">
      <c r="A23" s="116" t="s">
        <v>329</v>
      </c>
    </row>
    <row r="24" spans="1:10" ht="18" thickTop="1" thickBot="1">
      <c r="A24" s="117" t="s">
        <v>55</v>
      </c>
    </row>
    <row r="25" spans="1:10" ht="17" thickBot="1">
      <c r="A25" s="118" t="s">
        <v>56</v>
      </c>
    </row>
    <row r="32" spans="1:10">
      <c r="D32" s="109"/>
    </row>
    <row r="36" spans="4:4">
      <c r="D36" s="109"/>
    </row>
  </sheetData>
  <sortState xmlns:xlrd2="http://schemas.microsoft.com/office/spreadsheetml/2017/richdata2" ref="A1:C21">
    <sortCondition ref="A1:A21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E095F-4755-4C40-86B5-313B86B51BA9}">
  <sheetPr>
    <tabColor rgb="FFFFFF00"/>
  </sheetPr>
  <dimension ref="A1:V381"/>
  <sheetViews>
    <sheetView topLeftCell="A11" workbookViewId="0">
      <selection activeCell="G22" sqref="G22"/>
    </sheetView>
  </sheetViews>
  <sheetFormatPr baseColWidth="10" defaultRowHeight="16"/>
  <cols>
    <col min="1" max="1" width="16.83203125" bestFit="1" customWidth="1"/>
    <col min="2" max="2" width="26.33203125" bestFit="1" customWidth="1"/>
    <col min="3" max="3" width="13.33203125" bestFit="1" customWidth="1"/>
    <col min="4" max="4" width="16.5" bestFit="1" customWidth="1"/>
    <col min="5" max="5" width="16.1640625" bestFit="1" customWidth="1"/>
    <col min="6" max="6" width="8.6640625" bestFit="1" customWidth="1"/>
    <col min="7" max="7" width="15.83203125" style="4" bestFit="1" customWidth="1"/>
    <col min="8" max="8" width="10.33203125" bestFit="1" customWidth="1"/>
    <col min="9" max="9" width="15.5" bestFit="1" customWidth="1"/>
    <col min="10" max="10" width="8.33203125" bestFit="1" customWidth="1"/>
    <col min="11" max="11" width="13.5" bestFit="1" customWidth="1"/>
    <col min="12" max="12" width="16.1640625" bestFit="1" customWidth="1"/>
    <col min="13" max="13" width="13" bestFit="1" customWidth="1"/>
    <col min="14" max="15" width="14.6640625" bestFit="1" customWidth="1"/>
    <col min="16" max="17" width="19.6640625" bestFit="1" customWidth="1"/>
    <col min="18" max="19" width="17.83203125" bestFit="1" customWidth="1"/>
  </cols>
  <sheetData>
    <row r="1" spans="1:22" ht="17" thickBot="1">
      <c r="A1" s="155" t="s">
        <v>1916</v>
      </c>
      <c r="B1" s="156" t="s">
        <v>54</v>
      </c>
      <c r="C1" s="157" t="s">
        <v>1972</v>
      </c>
      <c r="D1" s="158" t="s">
        <v>1908</v>
      </c>
      <c r="E1" s="158" t="s">
        <v>1912</v>
      </c>
      <c r="F1" s="157" t="s">
        <v>1910</v>
      </c>
      <c r="G1" s="159" t="s">
        <v>1955</v>
      </c>
      <c r="H1" s="160" t="s">
        <v>53</v>
      </c>
      <c r="I1" s="160" t="s">
        <v>1956</v>
      </c>
      <c r="J1" s="157" t="s">
        <v>1909</v>
      </c>
      <c r="K1" s="161" t="s">
        <v>1913</v>
      </c>
      <c r="L1" s="158" t="s">
        <v>1907</v>
      </c>
      <c r="M1" s="162" t="s">
        <v>1973</v>
      </c>
      <c r="N1" s="163" t="s">
        <v>1957</v>
      </c>
      <c r="O1" s="163" t="s">
        <v>1958</v>
      </c>
      <c r="P1" s="163" t="s">
        <v>1959</v>
      </c>
      <c r="Q1" s="163" t="s">
        <v>1960</v>
      </c>
      <c r="R1" s="163" t="s">
        <v>1961</v>
      </c>
      <c r="S1" s="164" t="s">
        <v>1962</v>
      </c>
      <c r="U1" s="152">
        <v>0</v>
      </c>
      <c r="V1" s="153">
        <v>1</v>
      </c>
    </row>
    <row r="2" spans="1:22">
      <c r="A2" s="203">
        <v>1</v>
      </c>
      <c r="B2" s="242" t="s">
        <v>1222</v>
      </c>
      <c r="C2" s="203" t="s">
        <v>17</v>
      </c>
      <c r="D2" s="204">
        <v>100000</v>
      </c>
      <c r="E2" s="205">
        <v>1</v>
      </c>
      <c r="F2" s="206" t="s">
        <v>0</v>
      </c>
      <c r="G2" s="207">
        <v>4</v>
      </c>
      <c r="H2" s="229">
        <v>0.625</v>
      </c>
      <c r="I2" s="203">
        <v>2</v>
      </c>
      <c r="J2" s="204" t="s">
        <v>32</v>
      </c>
      <c r="K2" s="205">
        <v>5</v>
      </c>
      <c r="L2" s="206">
        <v>81142.857142857145</v>
      </c>
      <c r="M2" s="207" t="s">
        <v>43</v>
      </c>
      <c r="N2" s="203">
        <v>1</v>
      </c>
      <c r="O2" s="240">
        <v>2</v>
      </c>
      <c r="P2" s="240">
        <v>0</v>
      </c>
      <c r="Q2" s="240">
        <v>0</v>
      </c>
      <c r="R2" s="240">
        <v>0</v>
      </c>
      <c r="S2" s="207">
        <v>0</v>
      </c>
      <c r="U2" s="91">
        <v>0.85</v>
      </c>
      <c r="V2" s="91">
        <v>2</v>
      </c>
    </row>
    <row r="3" spans="1:22">
      <c r="A3" s="208">
        <v>1</v>
      </c>
      <c r="B3" s="243" t="s">
        <v>1223</v>
      </c>
      <c r="C3" s="208" t="s">
        <v>28</v>
      </c>
      <c r="D3" s="166">
        <v>93600</v>
      </c>
      <c r="E3" s="187">
        <v>3</v>
      </c>
      <c r="F3" s="165" t="s">
        <v>16</v>
      </c>
      <c r="G3" s="209">
        <v>0</v>
      </c>
      <c r="H3" s="230">
        <v>0</v>
      </c>
      <c r="I3" s="208">
        <v>0</v>
      </c>
      <c r="J3" s="166" t="s">
        <v>11</v>
      </c>
      <c r="K3" s="187">
        <v>3</v>
      </c>
      <c r="L3" s="165">
        <v>90666.666666666657</v>
      </c>
      <c r="M3" s="209" t="s">
        <v>25</v>
      </c>
      <c r="N3" s="208">
        <v>1</v>
      </c>
      <c r="O3" s="130">
        <v>1</v>
      </c>
      <c r="P3" s="130">
        <v>0</v>
      </c>
      <c r="Q3" s="130">
        <v>0</v>
      </c>
      <c r="R3" s="130">
        <v>1</v>
      </c>
      <c r="S3" s="209">
        <v>0</v>
      </c>
      <c r="U3" s="92">
        <v>0.95</v>
      </c>
      <c r="V3" s="122">
        <v>3</v>
      </c>
    </row>
    <row r="4" spans="1:22">
      <c r="A4" s="210">
        <v>1</v>
      </c>
      <c r="B4" s="243" t="str">
        <f>B3</f>
        <v>Saturday August 16, 2025</v>
      </c>
      <c r="C4" s="210" t="s">
        <v>33</v>
      </c>
      <c r="D4" s="154">
        <v>85200</v>
      </c>
      <c r="E4" s="186">
        <v>3</v>
      </c>
      <c r="F4" s="167" t="s">
        <v>13</v>
      </c>
      <c r="G4" s="211">
        <v>1</v>
      </c>
      <c r="H4" s="231">
        <v>0.41666666666666669</v>
      </c>
      <c r="I4" s="210">
        <v>1</v>
      </c>
      <c r="J4" s="154" t="s">
        <v>9</v>
      </c>
      <c r="K4" s="186">
        <v>4</v>
      </c>
      <c r="L4" s="167">
        <v>81142.857142857145</v>
      </c>
      <c r="M4" s="211" t="s">
        <v>23</v>
      </c>
      <c r="N4" s="210">
        <v>3</v>
      </c>
      <c r="O4" s="129">
        <v>3</v>
      </c>
      <c r="P4" s="129">
        <v>0</v>
      </c>
      <c r="Q4" s="129">
        <v>0</v>
      </c>
      <c r="R4" s="129">
        <v>0</v>
      </c>
      <c r="S4" s="211">
        <v>0</v>
      </c>
      <c r="U4" s="127">
        <v>1.05</v>
      </c>
      <c r="V4" s="127">
        <v>4</v>
      </c>
    </row>
    <row r="5" spans="1:22">
      <c r="A5" s="208">
        <v>1</v>
      </c>
      <c r="B5" s="243" t="str">
        <f>B4</f>
        <v>Saturday August 16, 2025</v>
      </c>
      <c r="C5" s="208" t="s">
        <v>19</v>
      </c>
      <c r="D5" s="166">
        <v>97400</v>
      </c>
      <c r="E5" s="187">
        <v>1</v>
      </c>
      <c r="F5" s="165" t="s">
        <v>4</v>
      </c>
      <c r="G5" s="209">
        <v>3</v>
      </c>
      <c r="H5" s="230">
        <v>0.41666666666666669</v>
      </c>
      <c r="I5" s="208">
        <v>0</v>
      </c>
      <c r="J5" s="166" t="s">
        <v>8</v>
      </c>
      <c r="K5" s="187">
        <v>5</v>
      </c>
      <c r="L5" s="165">
        <v>66857.142857142855</v>
      </c>
      <c r="M5" s="209" t="s">
        <v>22</v>
      </c>
      <c r="N5" s="208">
        <v>0</v>
      </c>
      <c r="O5" s="130">
        <v>0</v>
      </c>
      <c r="P5" s="130">
        <v>0</v>
      </c>
      <c r="Q5" s="130">
        <v>0</v>
      </c>
      <c r="R5" s="130">
        <v>0</v>
      </c>
      <c r="S5" s="209">
        <v>0</v>
      </c>
      <c r="U5" s="93">
        <v>1.1499999999999999</v>
      </c>
      <c r="V5" s="93">
        <v>5</v>
      </c>
    </row>
    <row r="6" spans="1:22">
      <c r="A6" s="210">
        <v>1</v>
      </c>
      <c r="B6" s="243" t="str">
        <f>B5</f>
        <v>Saturday August 16, 2025</v>
      </c>
      <c r="C6" s="210" t="s">
        <v>634</v>
      </c>
      <c r="D6" s="154">
        <v>70200</v>
      </c>
      <c r="E6" s="186">
        <v>4</v>
      </c>
      <c r="F6" s="167" t="s">
        <v>1220</v>
      </c>
      <c r="G6" s="211">
        <v>3</v>
      </c>
      <c r="H6" s="231">
        <v>0.41666666666666669</v>
      </c>
      <c r="I6" s="210">
        <v>0</v>
      </c>
      <c r="J6" s="154" t="s">
        <v>14</v>
      </c>
      <c r="K6" s="186">
        <v>2</v>
      </c>
      <c r="L6" s="167">
        <v>79238.095238095237</v>
      </c>
      <c r="M6" s="211" t="s">
        <v>27</v>
      </c>
      <c r="N6" s="210">
        <v>0</v>
      </c>
      <c r="O6" s="129">
        <v>1</v>
      </c>
      <c r="P6" s="129">
        <v>0</v>
      </c>
      <c r="Q6" s="129">
        <v>0</v>
      </c>
      <c r="R6" s="129">
        <v>0</v>
      </c>
      <c r="S6" s="211">
        <v>0</v>
      </c>
    </row>
    <row r="7" spans="1:22">
      <c r="A7" s="208">
        <v>1</v>
      </c>
      <c r="B7" s="243" t="str">
        <f>B6</f>
        <v>Saturday August 16, 2025</v>
      </c>
      <c r="C7" s="208" t="s">
        <v>51</v>
      </c>
      <c r="D7" s="166">
        <v>75200</v>
      </c>
      <c r="E7" s="187">
        <v>5</v>
      </c>
      <c r="F7" s="165" t="s">
        <v>5</v>
      </c>
      <c r="G7" s="209">
        <v>0</v>
      </c>
      <c r="H7" s="230">
        <v>0.52083333333333337</v>
      </c>
      <c r="I7" s="208">
        <v>4</v>
      </c>
      <c r="J7" s="166" t="s">
        <v>1</v>
      </c>
      <c r="K7" s="187">
        <v>1</v>
      </c>
      <c r="L7" s="165">
        <v>95142.857142857145</v>
      </c>
      <c r="M7" s="209" t="s">
        <v>29</v>
      </c>
      <c r="N7" s="208">
        <v>1</v>
      </c>
      <c r="O7" s="130">
        <v>2</v>
      </c>
      <c r="P7" s="130">
        <v>0</v>
      </c>
      <c r="Q7" s="130">
        <v>0</v>
      </c>
      <c r="R7" s="130">
        <v>0</v>
      </c>
      <c r="S7" s="209">
        <v>0</v>
      </c>
    </row>
    <row r="8" spans="1:22">
      <c r="A8" s="210">
        <v>1</v>
      </c>
      <c r="B8" s="243" t="s">
        <v>1224</v>
      </c>
      <c r="C8" s="210" t="s">
        <v>18</v>
      </c>
      <c r="D8" s="154">
        <v>99400</v>
      </c>
      <c r="E8" s="186">
        <v>1</v>
      </c>
      <c r="F8" s="167" t="s">
        <v>3</v>
      </c>
      <c r="G8" s="211">
        <v>0</v>
      </c>
      <c r="H8" s="231">
        <v>0.375</v>
      </c>
      <c r="I8" s="210">
        <v>0</v>
      </c>
      <c r="J8" s="154" t="s">
        <v>12</v>
      </c>
      <c r="K8" s="186">
        <v>5</v>
      </c>
      <c r="L8" s="167">
        <v>79238.095238095237</v>
      </c>
      <c r="M8" s="211" t="s">
        <v>26</v>
      </c>
      <c r="N8" s="210">
        <v>2</v>
      </c>
      <c r="O8" s="129">
        <v>3</v>
      </c>
      <c r="P8" s="129">
        <v>0</v>
      </c>
      <c r="Q8" s="129">
        <v>0</v>
      </c>
      <c r="R8" s="129">
        <v>0</v>
      </c>
      <c r="S8" s="211">
        <v>0</v>
      </c>
    </row>
    <row r="9" spans="1:22">
      <c r="A9" s="208">
        <v>1</v>
      </c>
      <c r="B9" s="243" t="s">
        <v>1224</v>
      </c>
      <c r="C9" s="208" t="s">
        <v>52</v>
      </c>
      <c r="D9" s="166">
        <v>85200</v>
      </c>
      <c r="E9" s="187">
        <v>2</v>
      </c>
      <c r="F9" s="165" t="s">
        <v>15</v>
      </c>
      <c r="G9" s="209">
        <v>3</v>
      </c>
      <c r="H9" s="230">
        <v>0.375</v>
      </c>
      <c r="I9" s="208">
        <v>1</v>
      </c>
      <c r="J9" s="166" t="s">
        <v>7</v>
      </c>
      <c r="K9" s="187">
        <v>4</v>
      </c>
      <c r="L9" s="165">
        <v>79238.095238095237</v>
      </c>
      <c r="M9" s="209" t="s">
        <v>21</v>
      </c>
      <c r="N9" s="208">
        <v>1</v>
      </c>
      <c r="O9" s="130">
        <v>2</v>
      </c>
      <c r="P9" s="130">
        <v>0</v>
      </c>
      <c r="Q9" s="130">
        <v>0</v>
      </c>
      <c r="R9" s="130">
        <v>0</v>
      </c>
      <c r="S9" s="209">
        <v>0</v>
      </c>
    </row>
    <row r="10" spans="1:22">
      <c r="A10" s="210">
        <v>1</v>
      </c>
      <c r="B10" s="243" t="s">
        <v>1224</v>
      </c>
      <c r="C10" s="210" t="s">
        <v>30</v>
      </c>
      <c r="D10" s="154">
        <v>97400</v>
      </c>
      <c r="E10" s="186">
        <v>3</v>
      </c>
      <c r="F10" s="167" t="s">
        <v>2</v>
      </c>
      <c r="G10" s="211">
        <v>0</v>
      </c>
      <c r="H10" s="231">
        <v>0.47916666666666669</v>
      </c>
      <c r="I10" s="210">
        <v>1</v>
      </c>
      <c r="J10" s="154" t="s">
        <v>6</v>
      </c>
      <c r="K10" s="186">
        <v>3</v>
      </c>
      <c r="L10" s="167">
        <v>95200</v>
      </c>
      <c r="M10" s="211" t="s">
        <v>20</v>
      </c>
      <c r="N10" s="210">
        <v>1</v>
      </c>
      <c r="O10" s="129">
        <v>4</v>
      </c>
      <c r="P10" s="129">
        <v>0</v>
      </c>
      <c r="Q10" s="129">
        <v>0</v>
      </c>
      <c r="R10" s="129">
        <v>0</v>
      </c>
      <c r="S10" s="211">
        <v>0</v>
      </c>
    </row>
    <row r="11" spans="1:22">
      <c r="A11" s="208">
        <v>1</v>
      </c>
      <c r="B11" s="243" t="s">
        <v>1225</v>
      </c>
      <c r="C11" s="208" t="s">
        <v>633</v>
      </c>
      <c r="D11" s="166">
        <v>70200</v>
      </c>
      <c r="E11" s="187">
        <v>4</v>
      </c>
      <c r="F11" s="165" t="s">
        <v>1221</v>
      </c>
      <c r="G11" s="209">
        <v>1</v>
      </c>
      <c r="H11" s="230">
        <v>0.625</v>
      </c>
      <c r="I11" s="208">
        <v>0</v>
      </c>
      <c r="J11" s="166" t="s">
        <v>10</v>
      </c>
      <c r="K11" s="187">
        <v>2</v>
      </c>
      <c r="L11" s="165">
        <v>79238.095238095237</v>
      </c>
      <c r="M11" s="209" t="s">
        <v>24</v>
      </c>
      <c r="N11" s="208">
        <v>0</v>
      </c>
      <c r="O11" s="130">
        <v>2</v>
      </c>
      <c r="P11" s="130">
        <v>0</v>
      </c>
      <c r="Q11" s="130">
        <v>0</v>
      </c>
      <c r="R11" s="130">
        <v>0</v>
      </c>
      <c r="S11" s="209">
        <v>0</v>
      </c>
    </row>
    <row r="12" spans="1:22">
      <c r="A12" s="212">
        <v>2</v>
      </c>
      <c r="B12" s="244" t="s">
        <v>1226</v>
      </c>
      <c r="C12" s="212" t="s">
        <v>27</v>
      </c>
      <c r="D12" s="170">
        <v>83200</v>
      </c>
      <c r="E12" s="186">
        <v>4</v>
      </c>
      <c r="F12" s="168" t="s">
        <v>14</v>
      </c>
      <c r="G12" s="213">
        <v>1</v>
      </c>
      <c r="H12" s="232">
        <v>0.625</v>
      </c>
      <c r="I12" s="212">
        <v>5</v>
      </c>
      <c r="J12" s="170" t="s">
        <v>3</v>
      </c>
      <c r="K12" s="186">
        <v>2</v>
      </c>
      <c r="L12" s="168">
        <v>94666.666666666657</v>
      </c>
      <c r="M12" s="213" t="s">
        <v>18</v>
      </c>
      <c r="N12" s="212"/>
      <c r="O12" s="169"/>
      <c r="P12" s="169"/>
      <c r="Q12" s="169"/>
      <c r="R12" s="169"/>
      <c r="S12" s="213"/>
    </row>
    <row r="13" spans="1:22">
      <c r="A13" s="214">
        <v>2</v>
      </c>
      <c r="B13" s="244" t="s">
        <v>1227</v>
      </c>
      <c r="C13" s="214" t="s">
        <v>29</v>
      </c>
      <c r="D13" s="173">
        <v>99900</v>
      </c>
      <c r="E13" s="187">
        <v>2</v>
      </c>
      <c r="F13" s="171" t="s">
        <v>1</v>
      </c>
      <c r="G13" s="215">
        <v>0</v>
      </c>
      <c r="H13" s="233">
        <v>0.3125</v>
      </c>
      <c r="I13" s="214">
        <v>2</v>
      </c>
      <c r="J13" s="173" t="s">
        <v>4</v>
      </c>
      <c r="K13" s="187">
        <v>4</v>
      </c>
      <c r="L13" s="171">
        <v>92761.904761904763</v>
      </c>
      <c r="M13" s="215" t="s">
        <v>19</v>
      </c>
      <c r="N13" s="214"/>
      <c r="O13" s="172"/>
      <c r="P13" s="172"/>
      <c r="Q13" s="172"/>
      <c r="R13" s="172"/>
      <c r="S13" s="215"/>
    </row>
    <row r="14" spans="1:22">
      <c r="A14" s="212">
        <v>2</v>
      </c>
      <c r="B14" s="244" t="s">
        <v>1227</v>
      </c>
      <c r="C14" s="212" t="s">
        <v>43</v>
      </c>
      <c r="D14" s="170">
        <v>85200</v>
      </c>
      <c r="E14" s="186">
        <v>1</v>
      </c>
      <c r="F14" s="168" t="s">
        <v>32</v>
      </c>
      <c r="G14" s="213">
        <v>1</v>
      </c>
      <c r="H14" s="232">
        <v>0.41666666666666669</v>
      </c>
      <c r="I14" s="212">
        <v>0</v>
      </c>
      <c r="J14" s="170" t="s">
        <v>5</v>
      </c>
      <c r="K14" s="186">
        <v>5</v>
      </c>
      <c r="L14" s="168">
        <v>71619.047619047618</v>
      </c>
      <c r="M14" s="213" t="s">
        <v>51</v>
      </c>
      <c r="N14" s="212"/>
      <c r="O14" s="169"/>
      <c r="P14" s="169"/>
      <c r="Q14" s="169"/>
      <c r="R14" s="169"/>
      <c r="S14" s="213"/>
    </row>
    <row r="15" spans="1:22">
      <c r="A15" s="214">
        <v>2</v>
      </c>
      <c r="B15" s="244" t="s">
        <v>1227</v>
      </c>
      <c r="C15" s="214" t="s">
        <v>21</v>
      </c>
      <c r="D15" s="173">
        <v>83200</v>
      </c>
      <c r="E15" s="187">
        <v>4</v>
      </c>
      <c r="F15" s="171" t="s">
        <v>7</v>
      </c>
      <c r="G15" s="215">
        <v>1</v>
      </c>
      <c r="H15" s="233">
        <v>0.41666666666666669</v>
      </c>
      <c r="I15" s="214">
        <v>0</v>
      </c>
      <c r="J15" s="173" t="s">
        <v>16</v>
      </c>
      <c r="K15" s="187">
        <v>2</v>
      </c>
      <c r="L15" s="171">
        <v>89142.857142857145</v>
      </c>
      <c r="M15" s="215" t="s">
        <v>28</v>
      </c>
      <c r="N15" s="214"/>
      <c r="O15" s="172"/>
      <c r="P15" s="172"/>
      <c r="Q15" s="172"/>
      <c r="R15" s="172"/>
      <c r="S15" s="215"/>
    </row>
    <row r="16" spans="1:22">
      <c r="A16" s="212">
        <v>2</v>
      </c>
      <c r="B16" s="244" t="s">
        <v>1227</v>
      </c>
      <c r="C16" s="212" t="s">
        <v>22</v>
      </c>
      <c r="D16" s="170">
        <v>70200</v>
      </c>
      <c r="E16" s="186">
        <v>3</v>
      </c>
      <c r="F16" s="168" t="s">
        <v>8</v>
      </c>
      <c r="G16" s="213">
        <v>2</v>
      </c>
      <c r="H16" s="232">
        <v>0.41666666666666669</v>
      </c>
      <c r="I16" s="212">
        <v>0</v>
      </c>
      <c r="J16" s="170" t="s">
        <v>1220</v>
      </c>
      <c r="K16" s="186">
        <v>4</v>
      </c>
      <c r="L16" s="168">
        <v>66857.142857142855</v>
      </c>
      <c r="M16" s="213" t="s">
        <v>634</v>
      </c>
      <c r="N16" s="212"/>
      <c r="O16" s="169"/>
      <c r="P16" s="169"/>
      <c r="Q16" s="169"/>
      <c r="R16" s="169"/>
      <c r="S16" s="213"/>
    </row>
    <row r="17" spans="1:19">
      <c r="A17" s="214">
        <v>2</v>
      </c>
      <c r="B17" s="244" t="s">
        <v>1227</v>
      </c>
      <c r="C17" s="214" t="s">
        <v>20</v>
      </c>
      <c r="D17" s="173">
        <v>99960</v>
      </c>
      <c r="E17" s="187">
        <v>1</v>
      </c>
      <c r="F17" s="171" t="s">
        <v>6</v>
      </c>
      <c r="G17" s="215">
        <v>5</v>
      </c>
      <c r="H17" s="233">
        <v>0.52083333333333337</v>
      </c>
      <c r="I17" s="214">
        <v>0</v>
      </c>
      <c r="J17" s="173" t="s">
        <v>1221</v>
      </c>
      <c r="K17" s="187">
        <v>5</v>
      </c>
      <c r="L17" s="171">
        <v>66857.142857142855</v>
      </c>
      <c r="M17" s="215" t="s">
        <v>633</v>
      </c>
      <c r="N17" s="214"/>
      <c r="O17" s="172"/>
      <c r="P17" s="172"/>
      <c r="Q17" s="172"/>
      <c r="R17" s="172"/>
      <c r="S17" s="215"/>
    </row>
    <row r="18" spans="1:19">
      <c r="A18" s="212">
        <v>2</v>
      </c>
      <c r="B18" s="244" t="s">
        <v>1228</v>
      </c>
      <c r="C18" s="212" t="s">
        <v>26</v>
      </c>
      <c r="D18" s="170">
        <v>83200</v>
      </c>
      <c r="E18" s="186">
        <v>3</v>
      </c>
      <c r="F18" s="168" t="s">
        <v>12</v>
      </c>
      <c r="G18" s="213">
        <v>1</v>
      </c>
      <c r="H18" s="232">
        <v>0.375</v>
      </c>
      <c r="I18" s="212">
        <v>1</v>
      </c>
      <c r="J18" s="170" t="s">
        <v>15</v>
      </c>
      <c r="K18" s="186">
        <v>3</v>
      </c>
      <c r="L18" s="168">
        <v>81142.857142857145</v>
      </c>
      <c r="M18" s="213" t="s">
        <v>52</v>
      </c>
      <c r="N18" s="212"/>
      <c r="O18" s="169"/>
      <c r="P18" s="169"/>
      <c r="Q18" s="169"/>
      <c r="R18" s="169"/>
      <c r="S18" s="213"/>
    </row>
    <row r="19" spans="1:19">
      <c r="A19" s="214">
        <v>2</v>
      </c>
      <c r="B19" s="244" t="s">
        <v>1228</v>
      </c>
      <c r="C19" s="214" t="s">
        <v>24</v>
      </c>
      <c r="D19" s="173">
        <v>83200</v>
      </c>
      <c r="E19" s="187">
        <v>3</v>
      </c>
      <c r="F19" s="171" t="s">
        <v>10</v>
      </c>
      <c r="G19" s="215">
        <v>2</v>
      </c>
      <c r="H19" s="233">
        <v>0.375</v>
      </c>
      <c r="I19" s="214">
        <v>0</v>
      </c>
      <c r="J19" s="173" t="s">
        <v>13</v>
      </c>
      <c r="K19" s="187">
        <v>3</v>
      </c>
      <c r="L19" s="171">
        <v>81142.857142857145</v>
      </c>
      <c r="M19" s="215" t="s">
        <v>33</v>
      </c>
      <c r="N19" s="214"/>
      <c r="O19" s="172"/>
      <c r="P19" s="172"/>
      <c r="Q19" s="172"/>
      <c r="R19" s="172"/>
      <c r="S19" s="215"/>
    </row>
    <row r="20" spans="1:19">
      <c r="A20" s="212">
        <v>2</v>
      </c>
      <c r="B20" s="244" t="s">
        <v>1228</v>
      </c>
      <c r="C20" s="212" t="s">
        <v>23</v>
      </c>
      <c r="D20" s="170">
        <v>85200</v>
      </c>
      <c r="E20" s="186">
        <v>4</v>
      </c>
      <c r="F20" s="168" t="s">
        <v>9</v>
      </c>
      <c r="G20" s="213">
        <v>1</v>
      </c>
      <c r="H20" s="232">
        <v>0.47916666666666669</v>
      </c>
      <c r="I20" s="212">
        <v>1</v>
      </c>
      <c r="J20" s="170" t="s">
        <v>2</v>
      </c>
      <c r="K20" s="186">
        <v>2</v>
      </c>
      <c r="L20" s="168">
        <v>92761.904761904763</v>
      </c>
      <c r="M20" s="213" t="s">
        <v>30</v>
      </c>
      <c r="N20" s="212"/>
      <c r="O20" s="169"/>
      <c r="P20" s="169"/>
      <c r="Q20" s="169"/>
      <c r="R20" s="169"/>
      <c r="S20" s="213"/>
    </row>
    <row r="21" spans="1:19">
      <c r="A21" s="214">
        <v>2</v>
      </c>
      <c r="B21" s="244" t="s">
        <v>1229</v>
      </c>
      <c r="C21" s="214" t="s">
        <v>25</v>
      </c>
      <c r="D21" s="173">
        <v>95200</v>
      </c>
      <c r="E21" s="187">
        <v>3</v>
      </c>
      <c r="F21" s="171" t="s">
        <v>11</v>
      </c>
      <c r="G21" s="215">
        <v>2</v>
      </c>
      <c r="H21" s="233">
        <v>0.625</v>
      </c>
      <c r="I21" s="214">
        <v>3</v>
      </c>
      <c r="J21" s="173" t="s">
        <v>0</v>
      </c>
      <c r="K21" s="187">
        <v>3</v>
      </c>
      <c r="L21" s="171">
        <v>95238.095238095237</v>
      </c>
      <c r="M21" s="215" t="s">
        <v>17</v>
      </c>
      <c r="N21" s="214"/>
      <c r="O21" s="172"/>
      <c r="P21" s="172"/>
      <c r="Q21" s="172"/>
      <c r="R21" s="172"/>
      <c r="S21" s="215"/>
    </row>
    <row r="22" spans="1:19">
      <c r="A22" s="216">
        <v>3</v>
      </c>
      <c r="B22" s="245" t="s">
        <v>1230</v>
      </c>
      <c r="C22" s="216" t="s">
        <v>18</v>
      </c>
      <c r="D22" s="176">
        <v>99400</v>
      </c>
      <c r="E22" s="186">
        <v>1</v>
      </c>
      <c r="F22" s="174" t="s">
        <v>3</v>
      </c>
      <c r="G22" s="217"/>
      <c r="H22" s="234">
        <v>0.3125</v>
      </c>
      <c r="I22" s="216"/>
      <c r="J22" s="176" t="s">
        <v>9</v>
      </c>
      <c r="K22" s="186">
        <v>5</v>
      </c>
      <c r="L22" s="174">
        <v>81142.857142857145</v>
      </c>
      <c r="M22" s="217" t="s">
        <v>23</v>
      </c>
      <c r="N22" s="216"/>
      <c r="O22" s="175"/>
      <c r="P22" s="175"/>
      <c r="Q22" s="175"/>
      <c r="R22" s="175"/>
      <c r="S22" s="217"/>
    </row>
    <row r="23" spans="1:19">
      <c r="A23" s="218">
        <v>3</v>
      </c>
      <c r="B23" s="245" t="s">
        <v>1230</v>
      </c>
      <c r="C23" s="218" t="s">
        <v>30</v>
      </c>
      <c r="D23" s="179">
        <v>97400</v>
      </c>
      <c r="E23" s="187">
        <v>1</v>
      </c>
      <c r="F23" s="177" t="s">
        <v>2</v>
      </c>
      <c r="G23" s="219"/>
      <c r="H23" s="235">
        <v>0.41666666666666669</v>
      </c>
      <c r="I23" s="218"/>
      <c r="J23" s="179" t="s">
        <v>8</v>
      </c>
      <c r="K23" s="187">
        <v>5</v>
      </c>
      <c r="L23" s="177">
        <v>66857.142857142855</v>
      </c>
      <c r="M23" s="219" t="s">
        <v>22</v>
      </c>
      <c r="N23" s="218"/>
      <c r="O23" s="178"/>
      <c r="P23" s="178"/>
      <c r="Q23" s="178"/>
      <c r="R23" s="178"/>
      <c r="S23" s="219"/>
    </row>
    <row r="24" spans="1:19">
      <c r="A24" s="216">
        <v>3</v>
      </c>
      <c r="B24" s="245" t="s">
        <v>1230</v>
      </c>
      <c r="C24" s="216" t="s">
        <v>634</v>
      </c>
      <c r="D24" s="176">
        <v>70200</v>
      </c>
      <c r="E24" s="186">
        <v>4</v>
      </c>
      <c r="F24" s="174" t="s">
        <v>1220</v>
      </c>
      <c r="G24" s="217"/>
      <c r="H24" s="234">
        <v>0.41666666666666669</v>
      </c>
      <c r="I24" s="216"/>
      <c r="J24" s="176" t="s">
        <v>7</v>
      </c>
      <c r="K24" s="186">
        <v>2</v>
      </c>
      <c r="L24" s="174">
        <v>79238.095238095237</v>
      </c>
      <c r="M24" s="217" t="s">
        <v>21</v>
      </c>
      <c r="N24" s="216"/>
      <c r="O24" s="175"/>
      <c r="P24" s="175"/>
      <c r="Q24" s="175"/>
      <c r="R24" s="175"/>
      <c r="S24" s="217"/>
    </row>
    <row r="25" spans="1:19">
      <c r="A25" s="218">
        <v>3</v>
      </c>
      <c r="B25" s="245" t="s">
        <v>1230</v>
      </c>
      <c r="C25" s="218" t="s">
        <v>19</v>
      </c>
      <c r="D25" s="179">
        <v>97400</v>
      </c>
      <c r="E25" s="187">
        <v>1</v>
      </c>
      <c r="F25" s="177" t="s">
        <v>4</v>
      </c>
      <c r="G25" s="219"/>
      <c r="H25" s="235">
        <v>0.41666666666666669</v>
      </c>
      <c r="I25" s="218"/>
      <c r="J25" s="179" t="s">
        <v>32</v>
      </c>
      <c r="K25" s="187">
        <v>5</v>
      </c>
      <c r="L25" s="177">
        <v>81142.857142857145</v>
      </c>
      <c r="M25" s="219" t="s">
        <v>43</v>
      </c>
      <c r="N25" s="218"/>
      <c r="O25" s="178"/>
      <c r="P25" s="178"/>
      <c r="Q25" s="178"/>
      <c r="R25" s="178"/>
      <c r="S25" s="219"/>
    </row>
    <row r="26" spans="1:19">
      <c r="A26" s="216">
        <v>3</v>
      </c>
      <c r="B26" s="245" t="s">
        <v>1230</v>
      </c>
      <c r="C26" s="216" t="s">
        <v>51</v>
      </c>
      <c r="D26" s="176">
        <v>75200</v>
      </c>
      <c r="E26" s="186">
        <v>4</v>
      </c>
      <c r="F26" s="174" t="s">
        <v>5</v>
      </c>
      <c r="G26" s="217"/>
      <c r="H26" s="234">
        <v>0.41666666666666669</v>
      </c>
      <c r="I26" s="216"/>
      <c r="J26" s="176" t="s">
        <v>10</v>
      </c>
      <c r="K26" s="186">
        <v>2</v>
      </c>
      <c r="L26" s="174">
        <v>79238.095238095237</v>
      </c>
      <c r="M26" s="217" t="s">
        <v>24</v>
      </c>
      <c r="N26" s="216"/>
      <c r="O26" s="175"/>
      <c r="P26" s="175"/>
      <c r="Q26" s="175"/>
      <c r="R26" s="175"/>
      <c r="S26" s="217"/>
    </row>
    <row r="27" spans="1:19">
      <c r="A27" s="218">
        <v>3</v>
      </c>
      <c r="B27" s="245" t="s">
        <v>1230</v>
      </c>
      <c r="C27" s="218" t="s">
        <v>633</v>
      </c>
      <c r="D27" s="179">
        <v>70200</v>
      </c>
      <c r="E27" s="187">
        <v>5</v>
      </c>
      <c r="F27" s="177" t="s">
        <v>1221</v>
      </c>
      <c r="G27" s="219"/>
      <c r="H27" s="235">
        <v>0.52083333333333337</v>
      </c>
      <c r="I27" s="218"/>
      <c r="J27" s="179" t="s">
        <v>11</v>
      </c>
      <c r="K27" s="187">
        <v>1</v>
      </c>
      <c r="L27" s="177">
        <v>90666.666666666657</v>
      </c>
      <c r="M27" s="219" t="s">
        <v>25</v>
      </c>
      <c r="N27" s="218"/>
      <c r="O27" s="178"/>
      <c r="P27" s="178"/>
      <c r="Q27" s="178"/>
      <c r="R27" s="178"/>
      <c r="S27" s="219"/>
    </row>
    <row r="28" spans="1:19">
      <c r="A28" s="216">
        <v>3</v>
      </c>
      <c r="B28" s="245" t="s">
        <v>1231</v>
      </c>
      <c r="C28" s="216" t="s">
        <v>33</v>
      </c>
      <c r="D28" s="176">
        <v>85200</v>
      </c>
      <c r="E28" s="186">
        <v>4</v>
      </c>
      <c r="F28" s="174" t="s">
        <v>13</v>
      </c>
      <c r="G28" s="217"/>
      <c r="H28" s="234">
        <v>0.375</v>
      </c>
      <c r="I28" s="216"/>
      <c r="J28" s="176" t="s">
        <v>1</v>
      </c>
      <c r="K28" s="186">
        <v>2</v>
      </c>
      <c r="L28" s="174">
        <v>95142.857142857145</v>
      </c>
      <c r="M28" s="217" t="s">
        <v>29</v>
      </c>
      <c r="N28" s="216"/>
      <c r="O28" s="175"/>
      <c r="P28" s="175"/>
      <c r="Q28" s="175"/>
      <c r="R28" s="175"/>
      <c r="S28" s="217"/>
    </row>
    <row r="29" spans="1:19">
      <c r="A29" s="218">
        <v>3</v>
      </c>
      <c r="B29" s="245" t="s">
        <v>1231</v>
      </c>
      <c r="C29" s="218" t="s">
        <v>52</v>
      </c>
      <c r="D29" s="179">
        <v>85200</v>
      </c>
      <c r="E29" s="187">
        <v>2</v>
      </c>
      <c r="F29" s="177" t="s">
        <v>15</v>
      </c>
      <c r="G29" s="219"/>
      <c r="H29" s="235">
        <v>0.375</v>
      </c>
      <c r="I29" s="218"/>
      <c r="J29" s="179" t="s">
        <v>14</v>
      </c>
      <c r="K29" s="187">
        <v>4</v>
      </c>
      <c r="L29" s="177">
        <v>79238.095238095237</v>
      </c>
      <c r="M29" s="219" t="s">
        <v>27</v>
      </c>
      <c r="N29" s="218"/>
      <c r="O29" s="178"/>
      <c r="P29" s="178"/>
      <c r="Q29" s="178"/>
      <c r="R29" s="178"/>
      <c r="S29" s="219"/>
    </row>
    <row r="30" spans="1:19">
      <c r="A30" s="216">
        <v>3</v>
      </c>
      <c r="B30" s="245" t="s">
        <v>1231</v>
      </c>
      <c r="C30" s="216" t="s">
        <v>17</v>
      </c>
      <c r="D30" s="176">
        <v>100000</v>
      </c>
      <c r="E30" s="186">
        <v>3</v>
      </c>
      <c r="F30" s="174" t="s">
        <v>0</v>
      </c>
      <c r="G30" s="217"/>
      <c r="H30" s="234">
        <v>0.47916666666666669</v>
      </c>
      <c r="I30" s="216"/>
      <c r="J30" s="176" t="s">
        <v>6</v>
      </c>
      <c r="K30" s="186">
        <v>4</v>
      </c>
      <c r="L30" s="174">
        <v>95200</v>
      </c>
      <c r="M30" s="217" t="s">
        <v>20</v>
      </c>
      <c r="N30" s="216"/>
      <c r="O30" s="175"/>
      <c r="P30" s="175"/>
      <c r="Q30" s="175"/>
      <c r="R30" s="175"/>
      <c r="S30" s="217"/>
    </row>
    <row r="31" spans="1:19">
      <c r="A31" s="218">
        <v>3</v>
      </c>
      <c r="B31" s="245" t="s">
        <v>1231</v>
      </c>
      <c r="C31" s="218" t="s">
        <v>28</v>
      </c>
      <c r="D31" s="179">
        <v>93600</v>
      </c>
      <c r="E31" s="187">
        <v>1</v>
      </c>
      <c r="F31" s="177" t="s">
        <v>16</v>
      </c>
      <c r="G31" s="219"/>
      <c r="H31" s="235">
        <v>0.58333333333333337</v>
      </c>
      <c r="I31" s="218"/>
      <c r="J31" s="179" t="s">
        <v>12</v>
      </c>
      <c r="K31" s="187">
        <v>5</v>
      </c>
      <c r="L31" s="177">
        <v>79238.095238095237</v>
      </c>
      <c r="M31" s="219" t="s">
        <v>26</v>
      </c>
      <c r="N31" s="218"/>
      <c r="O31" s="178"/>
      <c r="P31" s="178"/>
      <c r="Q31" s="178"/>
      <c r="R31" s="178"/>
      <c r="S31" s="219"/>
    </row>
    <row r="32" spans="1:19">
      <c r="A32" s="220">
        <v>4</v>
      </c>
      <c r="B32" s="246" t="s">
        <v>1232</v>
      </c>
      <c r="C32" s="220" t="s">
        <v>20</v>
      </c>
      <c r="D32" s="182">
        <v>99960</v>
      </c>
      <c r="E32" s="186">
        <v>1</v>
      </c>
      <c r="F32" s="180" t="s">
        <v>6</v>
      </c>
      <c r="G32" s="221"/>
      <c r="H32" s="236">
        <v>0.3125</v>
      </c>
      <c r="I32" s="220"/>
      <c r="J32" s="182" t="s">
        <v>15</v>
      </c>
      <c r="K32" s="186">
        <v>5</v>
      </c>
      <c r="L32" s="180">
        <v>81142.857142857145</v>
      </c>
      <c r="M32" s="221" t="s">
        <v>52</v>
      </c>
      <c r="N32" s="220"/>
      <c r="O32" s="181"/>
      <c r="P32" s="181"/>
      <c r="Q32" s="181"/>
      <c r="R32" s="181"/>
      <c r="S32" s="221"/>
    </row>
    <row r="33" spans="1:19">
      <c r="A33" s="222">
        <v>4</v>
      </c>
      <c r="B33" s="246" t="s">
        <v>1232</v>
      </c>
      <c r="C33" s="222" t="s">
        <v>43</v>
      </c>
      <c r="D33" s="185">
        <v>85200</v>
      </c>
      <c r="E33" s="187">
        <v>3</v>
      </c>
      <c r="F33" s="183" t="s">
        <v>32</v>
      </c>
      <c r="G33" s="223"/>
      <c r="H33" s="237">
        <v>0.41666666666666669</v>
      </c>
      <c r="I33" s="222"/>
      <c r="J33" s="185" t="s">
        <v>13</v>
      </c>
      <c r="K33" s="187">
        <v>4</v>
      </c>
      <c r="L33" s="183">
        <v>81142.857142857145</v>
      </c>
      <c r="M33" s="223" t="s">
        <v>33</v>
      </c>
      <c r="N33" s="222"/>
      <c r="O33" s="184"/>
      <c r="P33" s="184"/>
      <c r="Q33" s="184"/>
      <c r="R33" s="184"/>
      <c r="S33" s="223"/>
    </row>
    <row r="34" spans="1:19">
      <c r="A34" s="220">
        <v>4</v>
      </c>
      <c r="B34" s="246" t="s">
        <v>1232</v>
      </c>
      <c r="C34" s="220" t="s">
        <v>26</v>
      </c>
      <c r="D34" s="182">
        <v>83200</v>
      </c>
      <c r="E34" s="186">
        <v>1</v>
      </c>
      <c r="F34" s="180" t="s">
        <v>12</v>
      </c>
      <c r="G34" s="221"/>
      <c r="H34" s="236">
        <v>0.41666666666666669</v>
      </c>
      <c r="I34" s="220"/>
      <c r="J34" s="182" t="s">
        <v>1220</v>
      </c>
      <c r="K34" s="186">
        <v>5</v>
      </c>
      <c r="L34" s="180">
        <v>66857.142857142855</v>
      </c>
      <c r="M34" s="221" t="s">
        <v>634</v>
      </c>
      <c r="N34" s="220"/>
      <c r="O34" s="181"/>
      <c r="P34" s="181"/>
      <c r="Q34" s="181"/>
      <c r="R34" s="181"/>
      <c r="S34" s="221"/>
    </row>
    <row r="35" spans="1:19">
      <c r="A35" s="222">
        <v>4</v>
      </c>
      <c r="B35" s="246" t="s">
        <v>1232</v>
      </c>
      <c r="C35" s="222" t="s">
        <v>24</v>
      </c>
      <c r="D35" s="185">
        <v>83200</v>
      </c>
      <c r="E35" s="187">
        <v>4</v>
      </c>
      <c r="F35" s="183" t="s">
        <v>10</v>
      </c>
      <c r="G35" s="223"/>
      <c r="H35" s="237">
        <v>0.41666666666666669</v>
      </c>
      <c r="I35" s="222"/>
      <c r="J35" s="185" t="s">
        <v>16</v>
      </c>
      <c r="K35" s="187">
        <v>2</v>
      </c>
      <c r="L35" s="183">
        <v>89142.857142857145</v>
      </c>
      <c r="M35" s="223" t="s">
        <v>28</v>
      </c>
      <c r="N35" s="222"/>
      <c r="O35" s="184"/>
      <c r="P35" s="184"/>
      <c r="Q35" s="184"/>
      <c r="R35" s="184"/>
      <c r="S35" s="223"/>
    </row>
    <row r="36" spans="1:19">
      <c r="A36" s="220">
        <v>4</v>
      </c>
      <c r="B36" s="246" t="s">
        <v>1232</v>
      </c>
      <c r="C36" s="220" t="s">
        <v>23</v>
      </c>
      <c r="D36" s="182">
        <v>85200</v>
      </c>
      <c r="E36" s="186">
        <v>1</v>
      </c>
      <c r="F36" s="180" t="s">
        <v>9</v>
      </c>
      <c r="G36" s="221"/>
      <c r="H36" s="236">
        <v>0.41666666666666669</v>
      </c>
      <c r="I36" s="220"/>
      <c r="J36" s="182" t="s">
        <v>1221</v>
      </c>
      <c r="K36" s="186">
        <v>5</v>
      </c>
      <c r="L36" s="180">
        <v>66857.142857142855</v>
      </c>
      <c r="M36" s="221" t="s">
        <v>633</v>
      </c>
      <c r="N36" s="220"/>
      <c r="O36" s="181"/>
      <c r="P36" s="181"/>
      <c r="Q36" s="181"/>
      <c r="R36" s="181"/>
      <c r="S36" s="221"/>
    </row>
    <row r="37" spans="1:19">
      <c r="A37" s="222">
        <v>4</v>
      </c>
      <c r="B37" s="246" t="s">
        <v>1232</v>
      </c>
      <c r="C37" s="222" t="s">
        <v>25</v>
      </c>
      <c r="D37" s="185">
        <v>95200</v>
      </c>
      <c r="E37" s="187">
        <v>1</v>
      </c>
      <c r="F37" s="183" t="s">
        <v>11</v>
      </c>
      <c r="G37" s="223"/>
      <c r="H37" s="237">
        <v>0.41666666666666669</v>
      </c>
      <c r="I37" s="222"/>
      <c r="J37" s="185" t="s">
        <v>5</v>
      </c>
      <c r="K37" s="187">
        <v>5</v>
      </c>
      <c r="L37" s="183">
        <v>71619.047619047618</v>
      </c>
      <c r="M37" s="223" t="s">
        <v>51</v>
      </c>
      <c r="N37" s="222"/>
      <c r="O37" s="184"/>
      <c r="P37" s="184"/>
      <c r="Q37" s="184"/>
      <c r="R37" s="184"/>
      <c r="S37" s="223"/>
    </row>
    <row r="38" spans="1:19">
      <c r="A38" s="220">
        <v>4</v>
      </c>
      <c r="B38" s="246" t="s">
        <v>1232</v>
      </c>
      <c r="C38" s="220" t="s">
        <v>27</v>
      </c>
      <c r="D38" s="182">
        <v>83200</v>
      </c>
      <c r="E38" s="186">
        <v>4</v>
      </c>
      <c r="F38" s="180" t="s">
        <v>14</v>
      </c>
      <c r="G38" s="221"/>
      <c r="H38" s="236">
        <v>0.52083333333333337</v>
      </c>
      <c r="I38" s="220"/>
      <c r="J38" s="182" t="s">
        <v>4</v>
      </c>
      <c r="K38" s="186">
        <v>2</v>
      </c>
      <c r="L38" s="180">
        <v>92761.904761904763</v>
      </c>
      <c r="M38" s="221" t="s">
        <v>19</v>
      </c>
      <c r="N38" s="220"/>
      <c r="O38" s="181"/>
      <c r="P38" s="181"/>
      <c r="Q38" s="181"/>
      <c r="R38" s="181"/>
      <c r="S38" s="221"/>
    </row>
    <row r="39" spans="1:19">
      <c r="A39" s="222">
        <v>4</v>
      </c>
      <c r="B39" s="246" t="s">
        <v>1232</v>
      </c>
      <c r="C39" s="222" t="s">
        <v>21</v>
      </c>
      <c r="D39" s="185">
        <v>83200</v>
      </c>
      <c r="E39" s="187">
        <v>4</v>
      </c>
      <c r="F39" s="183" t="s">
        <v>7</v>
      </c>
      <c r="G39" s="223"/>
      <c r="H39" s="237">
        <v>0.625</v>
      </c>
      <c r="I39" s="222"/>
      <c r="J39" s="185" t="s">
        <v>3</v>
      </c>
      <c r="K39" s="187">
        <v>2</v>
      </c>
      <c r="L39" s="183">
        <v>94666.666666666657</v>
      </c>
      <c r="M39" s="223" t="s">
        <v>18</v>
      </c>
      <c r="N39" s="222"/>
      <c r="O39" s="184"/>
      <c r="P39" s="184"/>
      <c r="Q39" s="184"/>
      <c r="R39" s="184"/>
      <c r="S39" s="223"/>
    </row>
    <row r="40" spans="1:19">
      <c r="A40" s="220">
        <v>4</v>
      </c>
      <c r="B40" s="246" t="s">
        <v>1233</v>
      </c>
      <c r="C40" s="220" t="s">
        <v>22</v>
      </c>
      <c r="D40" s="182">
        <v>70200</v>
      </c>
      <c r="E40" s="186">
        <v>5</v>
      </c>
      <c r="F40" s="180" t="s">
        <v>8</v>
      </c>
      <c r="G40" s="221"/>
      <c r="H40" s="236">
        <v>0.375</v>
      </c>
      <c r="I40" s="220"/>
      <c r="J40" s="182" t="s">
        <v>0</v>
      </c>
      <c r="K40" s="186">
        <v>1</v>
      </c>
      <c r="L40" s="180">
        <v>95238.095238095237</v>
      </c>
      <c r="M40" s="221" t="s">
        <v>17</v>
      </c>
      <c r="N40" s="220"/>
      <c r="O40" s="181"/>
      <c r="P40" s="181"/>
      <c r="Q40" s="181"/>
      <c r="R40" s="181"/>
      <c r="S40" s="221"/>
    </row>
    <row r="41" spans="1:19">
      <c r="A41" s="222">
        <v>4</v>
      </c>
      <c r="B41" s="246" t="s">
        <v>1233</v>
      </c>
      <c r="C41" s="222" t="s">
        <v>29</v>
      </c>
      <c r="D41" s="185">
        <v>99900</v>
      </c>
      <c r="E41" s="187">
        <v>2</v>
      </c>
      <c r="F41" s="183" t="s">
        <v>1</v>
      </c>
      <c r="G41" s="223"/>
      <c r="H41" s="237">
        <v>0.47916666666666669</v>
      </c>
      <c r="I41" s="222"/>
      <c r="J41" s="185" t="s">
        <v>2</v>
      </c>
      <c r="K41" s="187">
        <v>4</v>
      </c>
      <c r="L41" s="183">
        <v>92761.904761904763</v>
      </c>
      <c r="M41" s="223" t="s">
        <v>30</v>
      </c>
      <c r="N41" s="222"/>
      <c r="O41" s="184"/>
      <c r="P41" s="184"/>
      <c r="Q41" s="184"/>
      <c r="R41" s="184"/>
      <c r="S41" s="223"/>
    </row>
    <row r="42" spans="1:19">
      <c r="A42" s="210">
        <v>5</v>
      </c>
      <c r="B42" s="247" t="s">
        <v>1234</v>
      </c>
      <c r="C42" s="210" t="s">
        <v>17</v>
      </c>
      <c r="D42" s="154">
        <v>100000</v>
      </c>
      <c r="E42" s="186">
        <v>1</v>
      </c>
      <c r="F42" s="167" t="s">
        <v>0</v>
      </c>
      <c r="G42" s="211"/>
      <c r="H42" s="231">
        <v>0.3125</v>
      </c>
      <c r="I42" s="210"/>
      <c r="J42" s="154" t="s">
        <v>10</v>
      </c>
      <c r="K42" s="186">
        <v>5</v>
      </c>
      <c r="L42" s="167">
        <v>79238.095238095237</v>
      </c>
      <c r="M42" s="211" t="s">
        <v>24</v>
      </c>
      <c r="N42" s="210"/>
      <c r="O42" s="129"/>
      <c r="P42" s="129"/>
      <c r="Q42" s="129"/>
      <c r="R42" s="129"/>
      <c r="S42" s="211"/>
    </row>
    <row r="43" spans="1:19">
      <c r="A43" s="208">
        <v>5</v>
      </c>
      <c r="B43" s="247" t="str">
        <f>B42</f>
        <v>Saturday September 20, 2025</v>
      </c>
      <c r="C43" s="208" t="s">
        <v>43</v>
      </c>
      <c r="D43" s="166">
        <v>85200</v>
      </c>
      <c r="E43" s="187">
        <v>4</v>
      </c>
      <c r="F43" s="165" t="s">
        <v>32</v>
      </c>
      <c r="G43" s="209"/>
      <c r="H43" s="230">
        <v>0.41666666666666669</v>
      </c>
      <c r="I43" s="208"/>
      <c r="J43" s="166" t="s">
        <v>11</v>
      </c>
      <c r="K43" s="187">
        <v>2</v>
      </c>
      <c r="L43" s="165">
        <v>90666.666666666657</v>
      </c>
      <c r="M43" s="209" t="s">
        <v>25</v>
      </c>
      <c r="N43" s="208"/>
      <c r="O43" s="130"/>
      <c r="P43" s="130"/>
      <c r="Q43" s="130"/>
      <c r="R43" s="130"/>
      <c r="S43" s="209"/>
    </row>
    <row r="44" spans="1:19">
      <c r="A44" s="210">
        <v>5</v>
      </c>
      <c r="B44" s="247" t="str">
        <f>B43</f>
        <v>Saturday September 20, 2025</v>
      </c>
      <c r="C44" s="210" t="s">
        <v>33</v>
      </c>
      <c r="D44" s="154">
        <v>85200</v>
      </c>
      <c r="E44" s="186">
        <v>4</v>
      </c>
      <c r="F44" s="167" t="s">
        <v>13</v>
      </c>
      <c r="G44" s="211"/>
      <c r="H44" s="231">
        <v>0.41666666666666669</v>
      </c>
      <c r="I44" s="210"/>
      <c r="J44" s="154" t="s">
        <v>4</v>
      </c>
      <c r="K44" s="186">
        <v>2</v>
      </c>
      <c r="L44" s="167">
        <v>92761.904761904763</v>
      </c>
      <c r="M44" s="211" t="s">
        <v>19</v>
      </c>
      <c r="N44" s="210"/>
      <c r="O44" s="129"/>
      <c r="P44" s="129"/>
      <c r="Q44" s="129"/>
      <c r="R44" s="129"/>
      <c r="S44" s="211"/>
    </row>
    <row r="45" spans="1:19">
      <c r="A45" s="208">
        <v>5</v>
      </c>
      <c r="B45" s="247" t="str">
        <f t="shared" ref="B45:B49" si="0">B44</f>
        <v>Saturday September 20, 2025</v>
      </c>
      <c r="C45" s="208" t="s">
        <v>22</v>
      </c>
      <c r="D45" s="166">
        <v>70200</v>
      </c>
      <c r="E45" s="187">
        <v>5</v>
      </c>
      <c r="F45" s="165" t="s">
        <v>8</v>
      </c>
      <c r="G45" s="209"/>
      <c r="H45" s="230">
        <v>0.41666666666666669</v>
      </c>
      <c r="I45" s="208"/>
      <c r="J45" s="166" t="s">
        <v>15</v>
      </c>
      <c r="K45" s="187">
        <v>2</v>
      </c>
      <c r="L45" s="165">
        <v>81142.857142857145</v>
      </c>
      <c r="M45" s="209" t="s">
        <v>52</v>
      </c>
      <c r="N45" s="208"/>
      <c r="O45" s="130"/>
      <c r="P45" s="130"/>
      <c r="Q45" s="130"/>
      <c r="R45" s="130"/>
      <c r="S45" s="209"/>
    </row>
    <row r="46" spans="1:19">
      <c r="A46" s="210">
        <v>5</v>
      </c>
      <c r="B46" s="247" t="str">
        <f t="shared" si="0"/>
        <v>Saturday September 20, 2025</v>
      </c>
      <c r="C46" s="210" t="s">
        <v>27</v>
      </c>
      <c r="D46" s="154">
        <v>83200</v>
      </c>
      <c r="E46" s="186">
        <v>3</v>
      </c>
      <c r="F46" s="167" t="s">
        <v>14</v>
      </c>
      <c r="G46" s="211"/>
      <c r="H46" s="231">
        <v>0.41666666666666669</v>
      </c>
      <c r="I46" s="210"/>
      <c r="J46" s="154" t="s">
        <v>12</v>
      </c>
      <c r="K46" s="186">
        <v>4</v>
      </c>
      <c r="L46" s="167">
        <v>79238.095238095237</v>
      </c>
      <c r="M46" s="211" t="s">
        <v>26</v>
      </c>
      <c r="N46" s="210"/>
      <c r="O46" s="129"/>
      <c r="P46" s="129"/>
      <c r="Q46" s="129"/>
      <c r="R46" s="129"/>
      <c r="S46" s="211"/>
    </row>
    <row r="47" spans="1:19">
      <c r="A47" s="208">
        <v>5</v>
      </c>
      <c r="B47" s="247" t="str">
        <f t="shared" si="0"/>
        <v>Saturday September 20, 2025</v>
      </c>
      <c r="C47" s="208" t="s">
        <v>51</v>
      </c>
      <c r="D47" s="166">
        <v>75200</v>
      </c>
      <c r="E47" s="187">
        <v>2</v>
      </c>
      <c r="F47" s="165" t="s">
        <v>5</v>
      </c>
      <c r="G47" s="209"/>
      <c r="H47" s="230">
        <v>0.41666666666666669</v>
      </c>
      <c r="I47" s="208"/>
      <c r="J47" s="166" t="s">
        <v>1221</v>
      </c>
      <c r="K47" s="187">
        <v>4</v>
      </c>
      <c r="L47" s="165">
        <v>66857.142857142855</v>
      </c>
      <c r="M47" s="209" t="s">
        <v>633</v>
      </c>
      <c r="N47" s="208"/>
      <c r="O47" s="130"/>
      <c r="P47" s="130"/>
      <c r="Q47" s="130"/>
      <c r="R47" s="130"/>
      <c r="S47" s="209"/>
    </row>
    <row r="48" spans="1:19">
      <c r="A48" s="210">
        <v>5</v>
      </c>
      <c r="B48" s="247" t="str">
        <f t="shared" si="0"/>
        <v>Saturday September 20, 2025</v>
      </c>
      <c r="C48" s="210" t="s">
        <v>30</v>
      </c>
      <c r="D48" s="154">
        <v>97400</v>
      </c>
      <c r="E48" s="186">
        <v>3</v>
      </c>
      <c r="F48" s="167" t="s">
        <v>2</v>
      </c>
      <c r="G48" s="211"/>
      <c r="H48" s="231">
        <v>0.52083333333333337</v>
      </c>
      <c r="I48" s="210"/>
      <c r="J48" s="154" t="s">
        <v>3</v>
      </c>
      <c r="K48" s="186">
        <v>3</v>
      </c>
      <c r="L48" s="167">
        <v>94666.666666666657</v>
      </c>
      <c r="M48" s="211" t="s">
        <v>18</v>
      </c>
      <c r="N48" s="210"/>
      <c r="O48" s="129"/>
      <c r="P48" s="129"/>
      <c r="Q48" s="129"/>
      <c r="R48" s="129"/>
      <c r="S48" s="211"/>
    </row>
    <row r="49" spans="1:19">
      <c r="A49" s="208">
        <v>5</v>
      </c>
      <c r="B49" s="247" t="str">
        <f t="shared" si="0"/>
        <v>Saturday September 20, 2025</v>
      </c>
      <c r="C49" s="208" t="s">
        <v>23</v>
      </c>
      <c r="D49" s="166">
        <v>85200</v>
      </c>
      <c r="E49" s="187">
        <v>2</v>
      </c>
      <c r="F49" s="165" t="s">
        <v>9</v>
      </c>
      <c r="G49" s="209"/>
      <c r="H49" s="230">
        <v>0.625</v>
      </c>
      <c r="I49" s="208"/>
      <c r="J49" s="166" t="s">
        <v>7</v>
      </c>
      <c r="K49" s="187">
        <v>4</v>
      </c>
      <c r="L49" s="165">
        <v>79238.095238095237</v>
      </c>
      <c r="M49" s="209" t="s">
        <v>21</v>
      </c>
      <c r="N49" s="208"/>
      <c r="O49" s="130"/>
      <c r="P49" s="130"/>
      <c r="Q49" s="130"/>
      <c r="R49" s="130"/>
      <c r="S49" s="209"/>
    </row>
    <row r="50" spans="1:19">
      <c r="A50" s="210">
        <v>5</v>
      </c>
      <c r="B50" s="247" t="s">
        <v>1235</v>
      </c>
      <c r="C50" s="210" t="s">
        <v>634</v>
      </c>
      <c r="D50" s="154">
        <v>70200</v>
      </c>
      <c r="E50" s="186">
        <v>5</v>
      </c>
      <c r="F50" s="167" t="s">
        <v>1220</v>
      </c>
      <c r="G50" s="211"/>
      <c r="H50" s="231">
        <v>0.375</v>
      </c>
      <c r="I50" s="210"/>
      <c r="J50" s="154" t="s">
        <v>16</v>
      </c>
      <c r="K50" s="186">
        <v>1</v>
      </c>
      <c r="L50" s="167">
        <v>89142.857142857145</v>
      </c>
      <c r="M50" s="211" t="s">
        <v>28</v>
      </c>
      <c r="N50" s="210"/>
      <c r="O50" s="129"/>
      <c r="P50" s="129"/>
      <c r="Q50" s="129"/>
      <c r="R50" s="129"/>
      <c r="S50" s="211"/>
    </row>
    <row r="51" spans="1:19">
      <c r="A51" s="208">
        <v>5</v>
      </c>
      <c r="B51" s="247" t="str">
        <f t="shared" ref="B51" si="1">B50</f>
        <v>Sunday September 21, 2025</v>
      </c>
      <c r="C51" s="208" t="s">
        <v>20</v>
      </c>
      <c r="D51" s="166">
        <v>99960</v>
      </c>
      <c r="E51" s="187">
        <v>3</v>
      </c>
      <c r="F51" s="165" t="s">
        <v>6</v>
      </c>
      <c r="G51" s="209"/>
      <c r="H51" s="230">
        <v>0.47916666666666669</v>
      </c>
      <c r="I51" s="208"/>
      <c r="J51" s="166" t="s">
        <v>1</v>
      </c>
      <c r="K51" s="187">
        <v>4</v>
      </c>
      <c r="L51" s="165">
        <v>95142.857142857145</v>
      </c>
      <c r="M51" s="209" t="s">
        <v>29</v>
      </c>
      <c r="N51" s="208"/>
      <c r="O51" s="130"/>
      <c r="P51" s="130"/>
      <c r="Q51" s="130"/>
      <c r="R51" s="130"/>
      <c r="S51" s="209"/>
    </row>
    <row r="52" spans="1:19">
      <c r="A52" s="212">
        <v>6</v>
      </c>
      <c r="B52" s="244" t="s">
        <v>1236</v>
      </c>
      <c r="C52" s="212" t="s">
        <v>21</v>
      </c>
      <c r="D52" s="170">
        <v>83200</v>
      </c>
      <c r="E52" s="186">
        <v>4</v>
      </c>
      <c r="F52" s="168" t="s">
        <v>7</v>
      </c>
      <c r="G52" s="213"/>
      <c r="H52" s="232">
        <v>0.3125</v>
      </c>
      <c r="I52" s="212"/>
      <c r="J52" s="170" t="s">
        <v>2</v>
      </c>
      <c r="K52" s="186">
        <v>2</v>
      </c>
      <c r="L52" s="168">
        <v>92761.904761904763</v>
      </c>
      <c r="M52" s="213" t="s">
        <v>30</v>
      </c>
      <c r="N52" s="212"/>
      <c r="O52" s="169"/>
      <c r="P52" s="169"/>
      <c r="Q52" s="169"/>
      <c r="R52" s="169"/>
      <c r="S52" s="213"/>
    </row>
    <row r="53" spans="1:19">
      <c r="A53" s="214">
        <v>6</v>
      </c>
      <c r="B53" s="244" t="str">
        <f t="shared" ref="B53:B60" si="2">B52</f>
        <v>Saturday September 27, 2025</v>
      </c>
      <c r="C53" s="214" t="s">
        <v>28</v>
      </c>
      <c r="D53" s="173">
        <v>93600</v>
      </c>
      <c r="E53" s="187">
        <v>2</v>
      </c>
      <c r="F53" s="171" t="s">
        <v>16</v>
      </c>
      <c r="G53" s="215"/>
      <c r="H53" s="233">
        <v>0.41666666666666669</v>
      </c>
      <c r="I53" s="214"/>
      <c r="J53" s="173" t="s">
        <v>9</v>
      </c>
      <c r="K53" s="187">
        <v>5</v>
      </c>
      <c r="L53" s="171">
        <v>81142.857142857145</v>
      </c>
      <c r="M53" s="215" t="s">
        <v>23</v>
      </c>
      <c r="N53" s="214"/>
      <c r="O53" s="172"/>
      <c r="P53" s="172"/>
      <c r="Q53" s="172"/>
      <c r="R53" s="172"/>
      <c r="S53" s="215"/>
    </row>
    <row r="54" spans="1:19">
      <c r="A54" s="212">
        <v>6</v>
      </c>
      <c r="B54" s="244" t="str">
        <f t="shared" si="2"/>
        <v>Saturday September 27, 2025</v>
      </c>
      <c r="C54" s="212" t="s">
        <v>18</v>
      </c>
      <c r="D54" s="170">
        <v>99400</v>
      </c>
      <c r="E54" s="186">
        <v>1</v>
      </c>
      <c r="F54" s="168" t="s">
        <v>3</v>
      </c>
      <c r="G54" s="213"/>
      <c r="H54" s="232">
        <v>0.41666666666666669</v>
      </c>
      <c r="I54" s="212"/>
      <c r="J54" s="170" t="s">
        <v>13</v>
      </c>
      <c r="K54" s="186">
        <v>5</v>
      </c>
      <c r="L54" s="168">
        <v>81142.857142857145</v>
      </c>
      <c r="M54" s="213" t="s">
        <v>33</v>
      </c>
      <c r="N54" s="212"/>
      <c r="O54" s="169"/>
      <c r="P54" s="169"/>
      <c r="Q54" s="169"/>
      <c r="R54" s="169"/>
      <c r="S54" s="213"/>
    </row>
    <row r="55" spans="1:19">
      <c r="A55" s="214">
        <v>6</v>
      </c>
      <c r="B55" s="244" t="str">
        <f t="shared" si="2"/>
        <v>Saturday September 27, 2025</v>
      </c>
      <c r="C55" s="214" t="s">
        <v>26</v>
      </c>
      <c r="D55" s="173">
        <v>83200</v>
      </c>
      <c r="E55" s="187">
        <v>4</v>
      </c>
      <c r="F55" s="171" t="s">
        <v>12</v>
      </c>
      <c r="G55" s="215"/>
      <c r="H55" s="233">
        <v>0.41666666666666669</v>
      </c>
      <c r="I55" s="214"/>
      <c r="J55" s="173" t="s">
        <v>0</v>
      </c>
      <c r="K55" s="187">
        <v>2</v>
      </c>
      <c r="L55" s="171">
        <v>95238.095238095237</v>
      </c>
      <c r="M55" s="215" t="s">
        <v>17</v>
      </c>
      <c r="N55" s="214"/>
      <c r="O55" s="172"/>
      <c r="P55" s="172"/>
      <c r="Q55" s="172"/>
      <c r="R55" s="172"/>
      <c r="S55" s="215"/>
    </row>
    <row r="56" spans="1:19">
      <c r="A56" s="212">
        <v>6</v>
      </c>
      <c r="B56" s="244" t="str">
        <f t="shared" si="2"/>
        <v>Saturday September 27, 2025</v>
      </c>
      <c r="C56" s="212" t="s">
        <v>633</v>
      </c>
      <c r="D56" s="170">
        <v>70200</v>
      </c>
      <c r="E56" s="186">
        <v>5</v>
      </c>
      <c r="F56" s="168" t="s">
        <v>1221</v>
      </c>
      <c r="G56" s="213"/>
      <c r="H56" s="232">
        <v>0.41666666666666669</v>
      </c>
      <c r="I56" s="212"/>
      <c r="J56" s="170" t="s">
        <v>32</v>
      </c>
      <c r="K56" s="186">
        <v>2</v>
      </c>
      <c r="L56" s="168">
        <v>81142.857142857145</v>
      </c>
      <c r="M56" s="213" t="s">
        <v>43</v>
      </c>
      <c r="N56" s="212"/>
      <c r="O56" s="169"/>
      <c r="P56" s="169"/>
      <c r="Q56" s="169"/>
      <c r="R56" s="169"/>
      <c r="S56" s="213"/>
    </row>
    <row r="57" spans="1:19">
      <c r="A57" s="214">
        <v>6</v>
      </c>
      <c r="B57" s="244" t="str">
        <f t="shared" si="2"/>
        <v>Saturday September 27, 2025</v>
      </c>
      <c r="C57" s="214" t="s">
        <v>29</v>
      </c>
      <c r="D57" s="173">
        <v>99900</v>
      </c>
      <c r="E57" s="187">
        <v>1</v>
      </c>
      <c r="F57" s="171" t="s">
        <v>1</v>
      </c>
      <c r="G57" s="215"/>
      <c r="H57" s="233">
        <v>0.41666666666666669</v>
      </c>
      <c r="I57" s="214"/>
      <c r="J57" s="173" t="s">
        <v>8</v>
      </c>
      <c r="K57" s="187">
        <v>5</v>
      </c>
      <c r="L57" s="171">
        <v>66857.142857142855</v>
      </c>
      <c r="M57" s="215" t="s">
        <v>22</v>
      </c>
      <c r="N57" s="214"/>
      <c r="O57" s="172"/>
      <c r="P57" s="172"/>
      <c r="Q57" s="172"/>
      <c r="R57" s="172"/>
      <c r="S57" s="215"/>
    </row>
    <row r="58" spans="1:19">
      <c r="A58" s="212">
        <v>6</v>
      </c>
      <c r="B58" s="244" t="str">
        <f t="shared" si="2"/>
        <v>Saturday September 27, 2025</v>
      </c>
      <c r="C58" s="212" t="s">
        <v>52</v>
      </c>
      <c r="D58" s="170">
        <v>85200</v>
      </c>
      <c r="E58" s="186">
        <v>1</v>
      </c>
      <c r="F58" s="168" t="s">
        <v>15</v>
      </c>
      <c r="G58" s="213"/>
      <c r="H58" s="232">
        <v>0.52083333333333337</v>
      </c>
      <c r="I58" s="212"/>
      <c r="J58" s="170" t="s">
        <v>1220</v>
      </c>
      <c r="K58" s="186">
        <v>5</v>
      </c>
      <c r="L58" s="168">
        <v>66857.142857142855</v>
      </c>
      <c r="M58" s="213" t="s">
        <v>634</v>
      </c>
      <c r="N58" s="212"/>
      <c r="O58" s="169"/>
      <c r="P58" s="169"/>
      <c r="Q58" s="169"/>
      <c r="R58" s="169"/>
      <c r="S58" s="213"/>
    </row>
    <row r="59" spans="1:19">
      <c r="A59" s="214">
        <v>6</v>
      </c>
      <c r="B59" s="244" t="s">
        <v>1237</v>
      </c>
      <c r="C59" s="214" t="s">
        <v>19</v>
      </c>
      <c r="D59" s="173">
        <v>97400</v>
      </c>
      <c r="E59" s="187">
        <v>1</v>
      </c>
      <c r="F59" s="171" t="s">
        <v>4</v>
      </c>
      <c r="G59" s="215"/>
      <c r="H59" s="233">
        <v>0.375</v>
      </c>
      <c r="I59" s="214"/>
      <c r="J59" s="173" t="s">
        <v>5</v>
      </c>
      <c r="K59" s="187">
        <v>5</v>
      </c>
      <c r="L59" s="171">
        <v>71619.047619047618</v>
      </c>
      <c r="M59" s="215" t="s">
        <v>51</v>
      </c>
      <c r="N59" s="214"/>
      <c r="O59" s="172"/>
      <c r="P59" s="172"/>
      <c r="Q59" s="172"/>
      <c r="R59" s="172"/>
      <c r="S59" s="215"/>
    </row>
    <row r="60" spans="1:19">
      <c r="A60" s="212">
        <v>6</v>
      </c>
      <c r="B60" s="244" t="str">
        <f t="shared" si="2"/>
        <v>Sunday September 28, 2025</v>
      </c>
      <c r="C60" s="212" t="s">
        <v>25</v>
      </c>
      <c r="D60" s="170">
        <v>95200</v>
      </c>
      <c r="E60" s="186">
        <v>3</v>
      </c>
      <c r="F60" s="168" t="s">
        <v>11</v>
      </c>
      <c r="G60" s="213"/>
      <c r="H60" s="232">
        <v>0.47916666666666669</v>
      </c>
      <c r="I60" s="212"/>
      <c r="J60" s="170" t="s">
        <v>6</v>
      </c>
      <c r="K60" s="186">
        <v>3</v>
      </c>
      <c r="L60" s="168">
        <v>95200</v>
      </c>
      <c r="M60" s="213" t="s">
        <v>20</v>
      </c>
      <c r="N60" s="212"/>
      <c r="O60" s="169"/>
      <c r="P60" s="169"/>
      <c r="Q60" s="169"/>
      <c r="R60" s="169"/>
      <c r="S60" s="213"/>
    </row>
    <row r="61" spans="1:19">
      <c r="A61" s="214">
        <v>6</v>
      </c>
      <c r="B61" s="244" t="s">
        <v>1238</v>
      </c>
      <c r="C61" s="214" t="s">
        <v>24</v>
      </c>
      <c r="D61" s="173">
        <v>83200</v>
      </c>
      <c r="E61" s="187">
        <v>3</v>
      </c>
      <c r="F61" s="171" t="s">
        <v>10</v>
      </c>
      <c r="G61" s="215"/>
      <c r="H61" s="233">
        <v>0.625</v>
      </c>
      <c r="I61" s="214"/>
      <c r="J61" s="173" t="s">
        <v>14</v>
      </c>
      <c r="K61" s="187">
        <v>4</v>
      </c>
      <c r="L61" s="171">
        <v>79238.095238095237</v>
      </c>
      <c r="M61" s="215" t="s">
        <v>27</v>
      </c>
      <c r="N61" s="214"/>
      <c r="O61" s="172"/>
      <c r="P61" s="172"/>
      <c r="Q61" s="172"/>
      <c r="R61" s="172"/>
      <c r="S61" s="215"/>
    </row>
    <row r="62" spans="1:19">
      <c r="A62" s="216">
        <v>7</v>
      </c>
      <c r="B62" s="245" t="s">
        <v>1239</v>
      </c>
      <c r="C62" s="216" t="s">
        <v>43</v>
      </c>
      <c r="D62" s="176">
        <v>85200</v>
      </c>
      <c r="E62" s="186">
        <v>3</v>
      </c>
      <c r="F62" s="174" t="s">
        <v>32</v>
      </c>
      <c r="G62" s="217"/>
      <c r="H62" s="234">
        <v>0.41666666666666669</v>
      </c>
      <c r="I62" s="216"/>
      <c r="J62" s="176" t="s">
        <v>9</v>
      </c>
      <c r="K62" s="186">
        <v>4</v>
      </c>
      <c r="L62" s="174">
        <v>81142.857142857145</v>
      </c>
      <c r="M62" s="217" t="s">
        <v>23</v>
      </c>
      <c r="N62" s="216"/>
      <c r="O62" s="175"/>
      <c r="P62" s="175"/>
      <c r="Q62" s="175"/>
      <c r="R62" s="175"/>
      <c r="S62" s="217"/>
    </row>
    <row r="63" spans="1:19">
      <c r="A63" s="218">
        <v>7</v>
      </c>
      <c r="B63" s="245" t="str">
        <f t="shared" ref="B63:B71" si="3">B62</f>
        <v>Saturday October 4, 2025</v>
      </c>
      <c r="C63" s="218" t="s">
        <v>20</v>
      </c>
      <c r="D63" s="179">
        <v>99960</v>
      </c>
      <c r="E63" s="187">
        <v>1</v>
      </c>
      <c r="F63" s="177" t="s">
        <v>6</v>
      </c>
      <c r="G63" s="219"/>
      <c r="H63" s="235">
        <v>0.41666666666666669</v>
      </c>
      <c r="I63" s="218"/>
      <c r="J63" s="179" t="s">
        <v>14</v>
      </c>
      <c r="K63" s="187">
        <v>5</v>
      </c>
      <c r="L63" s="177">
        <v>79238.095238095237</v>
      </c>
      <c r="M63" s="219" t="s">
        <v>27</v>
      </c>
      <c r="N63" s="218"/>
      <c r="O63" s="178"/>
      <c r="P63" s="178"/>
      <c r="Q63" s="178"/>
      <c r="R63" s="178"/>
      <c r="S63" s="219"/>
    </row>
    <row r="64" spans="1:19">
      <c r="A64" s="216">
        <v>7</v>
      </c>
      <c r="B64" s="245" t="str">
        <f t="shared" si="3"/>
        <v>Saturday October 4, 2025</v>
      </c>
      <c r="C64" s="216" t="s">
        <v>28</v>
      </c>
      <c r="D64" s="176">
        <v>93600</v>
      </c>
      <c r="E64" s="186">
        <v>1</v>
      </c>
      <c r="F64" s="174" t="s">
        <v>16</v>
      </c>
      <c r="G64" s="217"/>
      <c r="H64" s="234">
        <v>0.41666666666666669</v>
      </c>
      <c r="I64" s="216"/>
      <c r="J64" s="176" t="s">
        <v>8</v>
      </c>
      <c r="K64" s="186">
        <v>5</v>
      </c>
      <c r="L64" s="174">
        <v>66857.142857142855</v>
      </c>
      <c r="M64" s="217" t="s">
        <v>22</v>
      </c>
      <c r="N64" s="216"/>
      <c r="O64" s="175"/>
      <c r="P64" s="175"/>
      <c r="Q64" s="175"/>
      <c r="R64" s="175"/>
      <c r="S64" s="217"/>
    </row>
    <row r="65" spans="1:19">
      <c r="A65" s="218">
        <v>7</v>
      </c>
      <c r="B65" s="245" t="str">
        <f t="shared" si="3"/>
        <v>Saturday October 4, 2025</v>
      </c>
      <c r="C65" s="218" t="s">
        <v>21</v>
      </c>
      <c r="D65" s="179">
        <v>83200</v>
      </c>
      <c r="E65" s="187">
        <v>4</v>
      </c>
      <c r="F65" s="177" t="s">
        <v>7</v>
      </c>
      <c r="G65" s="219"/>
      <c r="H65" s="235">
        <v>0.41666666666666669</v>
      </c>
      <c r="I65" s="218"/>
      <c r="J65" s="179" t="s">
        <v>1</v>
      </c>
      <c r="K65" s="187">
        <v>2</v>
      </c>
      <c r="L65" s="177">
        <v>95142.857142857145</v>
      </c>
      <c r="M65" s="219" t="s">
        <v>29</v>
      </c>
      <c r="N65" s="218"/>
      <c r="O65" s="178"/>
      <c r="P65" s="178"/>
      <c r="Q65" s="178"/>
      <c r="R65" s="178"/>
      <c r="S65" s="219"/>
    </row>
    <row r="66" spans="1:19">
      <c r="A66" s="216">
        <v>7</v>
      </c>
      <c r="B66" s="245" t="str">
        <f t="shared" si="3"/>
        <v>Saturday October 4, 2025</v>
      </c>
      <c r="C66" s="216" t="s">
        <v>18</v>
      </c>
      <c r="D66" s="176">
        <v>99400</v>
      </c>
      <c r="E66" s="186">
        <v>3</v>
      </c>
      <c r="F66" s="174" t="s">
        <v>3</v>
      </c>
      <c r="G66" s="217"/>
      <c r="H66" s="234">
        <v>0.41666666666666669</v>
      </c>
      <c r="I66" s="216"/>
      <c r="J66" s="176" t="s">
        <v>0</v>
      </c>
      <c r="K66" s="186">
        <v>3</v>
      </c>
      <c r="L66" s="174">
        <v>95238.095238095237</v>
      </c>
      <c r="M66" s="217" t="s">
        <v>17</v>
      </c>
      <c r="N66" s="216"/>
      <c r="O66" s="175"/>
      <c r="P66" s="175"/>
      <c r="Q66" s="175"/>
      <c r="R66" s="175"/>
      <c r="S66" s="217"/>
    </row>
    <row r="67" spans="1:19">
      <c r="A67" s="218">
        <v>7</v>
      </c>
      <c r="B67" s="245" t="str">
        <f t="shared" si="3"/>
        <v>Saturday October 4, 2025</v>
      </c>
      <c r="C67" s="218" t="s">
        <v>24</v>
      </c>
      <c r="D67" s="179">
        <v>83200</v>
      </c>
      <c r="E67" s="187">
        <v>3</v>
      </c>
      <c r="F67" s="177" t="s">
        <v>10</v>
      </c>
      <c r="G67" s="219"/>
      <c r="H67" s="235">
        <v>0.41666666666666669</v>
      </c>
      <c r="I67" s="218"/>
      <c r="J67" s="179" t="s">
        <v>12</v>
      </c>
      <c r="K67" s="187">
        <v>4</v>
      </c>
      <c r="L67" s="177">
        <v>79238.095238095237</v>
      </c>
      <c r="M67" s="219" t="s">
        <v>26</v>
      </c>
      <c r="N67" s="218"/>
      <c r="O67" s="178"/>
      <c r="P67" s="178"/>
      <c r="Q67" s="178"/>
      <c r="R67" s="178"/>
      <c r="S67" s="219"/>
    </row>
    <row r="68" spans="1:19">
      <c r="A68" s="216">
        <v>7</v>
      </c>
      <c r="B68" s="245" t="str">
        <f t="shared" si="3"/>
        <v>Saturday October 4, 2025</v>
      </c>
      <c r="C68" s="216" t="s">
        <v>633</v>
      </c>
      <c r="D68" s="176">
        <v>70200</v>
      </c>
      <c r="E68" s="186">
        <v>5</v>
      </c>
      <c r="F68" s="174" t="s">
        <v>1221</v>
      </c>
      <c r="G68" s="217"/>
      <c r="H68" s="234">
        <v>0.41666666666666669</v>
      </c>
      <c r="I68" s="216"/>
      <c r="J68" s="176" t="s">
        <v>4</v>
      </c>
      <c r="K68" s="186">
        <v>1</v>
      </c>
      <c r="L68" s="174">
        <v>92761.904761904763</v>
      </c>
      <c r="M68" s="217" t="s">
        <v>19</v>
      </c>
      <c r="N68" s="216"/>
      <c r="O68" s="175"/>
      <c r="P68" s="175"/>
      <c r="Q68" s="175"/>
      <c r="R68" s="175"/>
      <c r="S68" s="217"/>
    </row>
    <row r="69" spans="1:19">
      <c r="A69" s="218">
        <v>7</v>
      </c>
      <c r="B69" s="245" t="str">
        <f t="shared" si="3"/>
        <v>Saturday October 4, 2025</v>
      </c>
      <c r="C69" s="218" t="s">
        <v>30</v>
      </c>
      <c r="D69" s="179">
        <v>97400</v>
      </c>
      <c r="E69" s="187">
        <v>1</v>
      </c>
      <c r="F69" s="177" t="s">
        <v>2</v>
      </c>
      <c r="G69" s="219"/>
      <c r="H69" s="235">
        <v>0.41666666666666669</v>
      </c>
      <c r="I69" s="218"/>
      <c r="J69" s="179" t="s">
        <v>1220</v>
      </c>
      <c r="K69" s="187">
        <v>5</v>
      </c>
      <c r="L69" s="177">
        <v>66857.142857142855</v>
      </c>
      <c r="M69" s="219" t="s">
        <v>634</v>
      </c>
      <c r="N69" s="218"/>
      <c r="O69" s="178"/>
      <c r="P69" s="178"/>
      <c r="Q69" s="178"/>
      <c r="R69" s="178"/>
      <c r="S69" s="219"/>
    </row>
    <row r="70" spans="1:19">
      <c r="A70" s="216">
        <v>7</v>
      </c>
      <c r="B70" s="245" t="str">
        <f t="shared" si="3"/>
        <v>Saturday October 4, 2025</v>
      </c>
      <c r="C70" s="216" t="s">
        <v>25</v>
      </c>
      <c r="D70" s="176">
        <v>95200</v>
      </c>
      <c r="E70" s="186">
        <v>2</v>
      </c>
      <c r="F70" s="174" t="s">
        <v>11</v>
      </c>
      <c r="G70" s="217"/>
      <c r="H70" s="234">
        <v>0.41666666666666669</v>
      </c>
      <c r="I70" s="216"/>
      <c r="J70" s="176" t="s">
        <v>15</v>
      </c>
      <c r="K70" s="186">
        <v>5</v>
      </c>
      <c r="L70" s="174">
        <v>81142.857142857145</v>
      </c>
      <c r="M70" s="217" t="s">
        <v>52</v>
      </c>
      <c r="N70" s="216"/>
      <c r="O70" s="175"/>
      <c r="P70" s="175"/>
      <c r="Q70" s="175"/>
      <c r="R70" s="175"/>
      <c r="S70" s="217"/>
    </row>
    <row r="71" spans="1:19">
      <c r="A71" s="218">
        <v>7</v>
      </c>
      <c r="B71" s="245" t="str">
        <f t="shared" si="3"/>
        <v>Saturday October 4, 2025</v>
      </c>
      <c r="C71" s="218" t="s">
        <v>51</v>
      </c>
      <c r="D71" s="179">
        <v>75200</v>
      </c>
      <c r="E71" s="187">
        <v>4</v>
      </c>
      <c r="F71" s="177" t="s">
        <v>5</v>
      </c>
      <c r="G71" s="219"/>
      <c r="H71" s="235">
        <v>0.41666666666666669</v>
      </c>
      <c r="I71" s="218"/>
      <c r="J71" s="179" t="s">
        <v>13</v>
      </c>
      <c r="K71" s="187">
        <v>2</v>
      </c>
      <c r="L71" s="177">
        <v>81142.857142857145</v>
      </c>
      <c r="M71" s="219" t="s">
        <v>33</v>
      </c>
      <c r="N71" s="218"/>
      <c r="O71" s="178"/>
      <c r="P71" s="178"/>
      <c r="Q71" s="178"/>
      <c r="R71" s="178"/>
      <c r="S71" s="219"/>
    </row>
    <row r="72" spans="1:19">
      <c r="A72" s="220">
        <v>8</v>
      </c>
      <c r="B72" s="246" t="s">
        <v>1241</v>
      </c>
      <c r="C72" s="220" t="s">
        <v>33</v>
      </c>
      <c r="D72" s="182">
        <v>85200</v>
      </c>
      <c r="E72" s="186">
        <v>4</v>
      </c>
      <c r="F72" s="180" t="s">
        <v>13</v>
      </c>
      <c r="G72" s="221"/>
      <c r="H72" s="236">
        <v>0.41666666666666669</v>
      </c>
      <c r="I72" s="220"/>
      <c r="J72" s="182" t="s">
        <v>11</v>
      </c>
      <c r="K72" s="186">
        <v>2</v>
      </c>
      <c r="L72" s="180">
        <v>90666.666666666657</v>
      </c>
      <c r="M72" s="221" t="s">
        <v>25</v>
      </c>
      <c r="N72" s="220"/>
      <c r="O72" s="181"/>
      <c r="P72" s="181"/>
      <c r="Q72" s="181"/>
      <c r="R72" s="181"/>
      <c r="S72" s="221"/>
    </row>
    <row r="73" spans="1:19">
      <c r="A73" s="222">
        <v>8</v>
      </c>
      <c r="B73" s="246" t="str">
        <f t="shared" ref="B73:B81" si="4">B72</f>
        <v>Saturday October 18, 2025</v>
      </c>
      <c r="C73" s="222" t="s">
        <v>22</v>
      </c>
      <c r="D73" s="185">
        <v>70200</v>
      </c>
      <c r="E73" s="187">
        <v>3</v>
      </c>
      <c r="F73" s="183" t="s">
        <v>8</v>
      </c>
      <c r="G73" s="223"/>
      <c r="H73" s="237">
        <v>0.41666666666666669</v>
      </c>
      <c r="I73" s="222"/>
      <c r="J73" s="185" t="s">
        <v>1221</v>
      </c>
      <c r="K73" s="187">
        <v>4</v>
      </c>
      <c r="L73" s="183">
        <v>66857.142857142855</v>
      </c>
      <c r="M73" s="223" t="s">
        <v>633</v>
      </c>
      <c r="N73" s="222"/>
      <c r="O73" s="184"/>
      <c r="P73" s="184"/>
      <c r="Q73" s="184"/>
      <c r="R73" s="184"/>
      <c r="S73" s="223"/>
    </row>
    <row r="74" spans="1:19">
      <c r="A74" s="220">
        <v>8</v>
      </c>
      <c r="B74" s="246" t="str">
        <f t="shared" si="4"/>
        <v>Saturday October 18, 2025</v>
      </c>
      <c r="C74" s="220" t="s">
        <v>26</v>
      </c>
      <c r="D74" s="182">
        <v>83200</v>
      </c>
      <c r="E74" s="186">
        <v>3</v>
      </c>
      <c r="F74" s="180" t="s">
        <v>12</v>
      </c>
      <c r="G74" s="221"/>
      <c r="H74" s="236">
        <v>0.41666666666666669</v>
      </c>
      <c r="I74" s="220"/>
      <c r="J74" s="182" t="s">
        <v>32</v>
      </c>
      <c r="K74" s="186">
        <v>3</v>
      </c>
      <c r="L74" s="180">
        <v>81142.857142857145</v>
      </c>
      <c r="M74" s="221" t="s">
        <v>43</v>
      </c>
      <c r="N74" s="220"/>
      <c r="O74" s="181"/>
      <c r="P74" s="181"/>
      <c r="Q74" s="181"/>
      <c r="R74" s="181"/>
      <c r="S74" s="221"/>
    </row>
    <row r="75" spans="1:19">
      <c r="A75" s="222">
        <v>8</v>
      </c>
      <c r="B75" s="246" t="str">
        <f t="shared" si="4"/>
        <v>Saturday October 18, 2025</v>
      </c>
      <c r="C75" s="222" t="s">
        <v>23</v>
      </c>
      <c r="D75" s="185">
        <v>85200</v>
      </c>
      <c r="E75" s="187">
        <v>4</v>
      </c>
      <c r="F75" s="183" t="s">
        <v>9</v>
      </c>
      <c r="G75" s="223"/>
      <c r="H75" s="237">
        <v>0.41666666666666669</v>
      </c>
      <c r="I75" s="222"/>
      <c r="J75" s="185" t="s">
        <v>6</v>
      </c>
      <c r="K75" s="187">
        <v>2</v>
      </c>
      <c r="L75" s="183">
        <v>95200</v>
      </c>
      <c r="M75" s="223" t="s">
        <v>20</v>
      </c>
      <c r="N75" s="222"/>
      <c r="O75" s="184"/>
      <c r="P75" s="184"/>
      <c r="Q75" s="184"/>
      <c r="R75" s="184"/>
      <c r="S75" s="223"/>
    </row>
    <row r="76" spans="1:19">
      <c r="A76" s="220">
        <v>8</v>
      </c>
      <c r="B76" s="246" t="str">
        <f t="shared" si="4"/>
        <v>Saturday October 18, 2025</v>
      </c>
      <c r="C76" s="220" t="s">
        <v>17</v>
      </c>
      <c r="D76" s="182">
        <v>100000</v>
      </c>
      <c r="E76" s="186">
        <v>2</v>
      </c>
      <c r="F76" s="180" t="s">
        <v>0</v>
      </c>
      <c r="G76" s="221"/>
      <c r="H76" s="236">
        <v>0.41666666666666669</v>
      </c>
      <c r="I76" s="220"/>
      <c r="J76" s="182" t="s">
        <v>2</v>
      </c>
      <c r="K76" s="186">
        <v>4</v>
      </c>
      <c r="L76" s="180">
        <v>92761.904761904763</v>
      </c>
      <c r="M76" s="221" t="s">
        <v>30</v>
      </c>
      <c r="N76" s="220"/>
      <c r="O76" s="181"/>
      <c r="P76" s="181"/>
      <c r="Q76" s="181"/>
      <c r="R76" s="181"/>
      <c r="S76" s="221"/>
    </row>
    <row r="77" spans="1:19">
      <c r="A77" s="222">
        <v>8</v>
      </c>
      <c r="B77" s="246" t="str">
        <f t="shared" si="4"/>
        <v>Saturday October 18, 2025</v>
      </c>
      <c r="C77" s="222" t="s">
        <v>29</v>
      </c>
      <c r="D77" s="185">
        <v>99900</v>
      </c>
      <c r="E77" s="187">
        <v>1</v>
      </c>
      <c r="F77" s="183" t="s">
        <v>1</v>
      </c>
      <c r="G77" s="223"/>
      <c r="H77" s="237">
        <v>0.41666666666666669</v>
      </c>
      <c r="I77" s="222"/>
      <c r="J77" s="185" t="s">
        <v>10</v>
      </c>
      <c r="K77" s="187">
        <v>5</v>
      </c>
      <c r="L77" s="183">
        <v>79238.095238095237</v>
      </c>
      <c r="M77" s="223" t="s">
        <v>24</v>
      </c>
      <c r="N77" s="222"/>
      <c r="O77" s="184"/>
      <c r="P77" s="184"/>
      <c r="Q77" s="184"/>
      <c r="R77" s="184"/>
      <c r="S77" s="223"/>
    </row>
    <row r="78" spans="1:19">
      <c r="A78" s="220">
        <v>8</v>
      </c>
      <c r="B78" s="246" t="str">
        <f t="shared" si="4"/>
        <v>Saturday October 18, 2025</v>
      </c>
      <c r="C78" s="220" t="s">
        <v>52</v>
      </c>
      <c r="D78" s="182">
        <v>85200</v>
      </c>
      <c r="E78" s="186">
        <v>4</v>
      </c>
      <c r="F78" s="180" t="s">
        <v>15</v>
      </c>
      <c r="G78" s="221"/>
      <c r="H78" s="236">
        <v>0.41666666666666669</v>
      </c>
      <c r="I78" s="220"/>
      <c r="J78" s="182" t="s">
        <v>3</v>
      </c>
      <c r="K78" s="186">
        <v>2</v>
      </c>
      <c r="L78" s="180">
        <v>94666.666666666657</v>
      </c>
      <c r="M78" s="221" t="s">
        <v>18</v>
      </c>
      <c r="N78" s="220"/>
      <c r="O78" s="181"/>
      <c r="P78" s="181"/>
      <c r="Q78" s="181"/>
      <c r="R78" s="181"/>
      <c r="S78" s="221"/>
    </row>
    <row r="79" spans="1:19">
      <c r="A79" s="222">
        <v>8</v>
      </c>
      <c r="B79" s="246" t="str">
        <f t="shared" si="4"/>
        <v>Saturday October 18, 2025</v>
      </c>
      <c r="C79" s="222" t="s">
        <v>634</v>
      </c>
      <c r="D79" s="185">
        <v>70200</v>
      </c>
      <c r="E79" s="187">
        <v>3</v>
      </c>
      <c r="F79" s="183" t="s">
        <v>1220</v>
      </c>
      <c r="G79" s="223"/>
      <c r="H79" s="237">
        <v>0.41666666666666669</v>
      </c>
      <c r="I79" s="222"/>
      <c r="J79" s="185" t="s">
        <v>5</v>
      </c>
      <c r="K79" s="187">
        <v>3</v>
      </c>
      <c r="L79" s="183">
        <v>71619.047619047618</v>
      </c>
      <c r="M79" s="223" t="s">
        <v>51</v>
      </c>
      <c r="N79" s="222"/>
      <c r="O79" s="184"/>
      <c r="P79" s="184"/>
      <c r="Q79" s="184"/>
      <c r="R79" s="184"/>
      <c r="S79" s="223"/>
    </row>
    <row r="80" spans="1:19">
      <c r="A80" s="220">
        <v>8</v>
      </c>
      <c r="B80" s="246" t="str">
        <f t="shared" si="4"/>
        <v>Saturday October 18, 2025</v>
      </c>
      <c r="C80" s="220" t="s">
        <v>19</v>
      </c>
      <c r="D80" s="182">
        <v>97400</v>
      </c>
      <c r="E80" s="186">
        <v>2</v>
      </c>
      <c r="F80" s="180" t="s">
        <v>4</v>
      </c>
      <c r="G80" s="221"/>
      <c r="H80" s="236">
        <v>0.41666666666666669</v>
      </c>
      <c r="I80" s="220"/>
      <c r="J80" s="182" t="s">
        <v>16</v>
      </c>
      <c r="K80" s="186">
        <v>4</v>
      </c>
      <c r="L80" s="180">
        <v>89142.857142857145</v>
      </c>
      <c r="M80" s="221" t="s">
        <v>28</v>
      </c>
      <c r="N80" s="220"/>
      <c r="O80" s="181"/>
      <c r="P80" s="181"/>
      <c r="Q80" s="181"/>
      <c r="R80" s="181"/>
      <c r="S80" s="221"/>
    </row>
    <row r="81" spans="1:19">
      <c r="A81" s="222">
        <v>8</v>
      </c>
      <c r="B81" s="246" t="str">
        <f t="shared" si="4"/>
        <v>Saturday October 18, 2025</v>
      </c>
      <c r="C81" s="222" t="s">
        <v>27</v>
      </c>
      <c r="D81" s="185">
        <v>83200</v>
      </c>
      <c r="E81" s="187">
        <v>3</v>
      </c>
      <c r="F81" s="183" t="s">
        <v>14</v>
      </c>
      <c r="G81" s="223"/>
      <c r="H81" s="237">
        <v>0.41666666666666669</v>
      </c>
      <c r="I81" s="222"/>
      <c r="J81" s="185" t="s">
        <v>7</v>
      </c>
      <c r="K81" s="187">
        <v>4</v>
      </c>
      <c r="L81" s="183">
        <v>79238.095238095237</v>
      </c>
      <c r="M81" s="223" t="s">
        <v>21</v>
      </c>
      <c r="N81" s="222"/>
      <c r="O81" s="184"/>
      <c r="P81" s="184"/>
      <c r="Q81" s="184"/>
      <c r="R81" s="184"/>
      <c r="S81" s="223"/>
    </row>
    <row r="82" spans="1:19">
      <c r="A82" s="210">
        <v>9</v>
      </c>
      <c r="B82" s="247" t="s">
        <v>1240</v>
      </c>
      <c r="C82" s="210" t="s">
        <v>43</v>
      </c>
      <c r="D82" s="154">
        <v>85200</v>
      </c>
      <c r="E82" s="186">
        <v>3</v>
      </c>
      <c r="F82" s="167" t="s">
        <v>32</v>
      </c>
      <c r="G82" s="211"/>
      <c r="H82" s="231">
        <v>0.41666666666666669</v>
      </c>
      <c r="I82" s="210"/>
      <c r="J82" s="154" t="s">
        <v>15</v>
      </c>
      <c r="K82" s="186">
        <v>4</v>
      </c>
      <c r="L82" s="167">
        <v>81142.857142857145</v>
      </c>
      <c r="M82" s="211" t="s">
        <v>52</v>
      </c>
      <c r="N82" s="210"/>
      <c r="O82" s="129"/>
      <c r="P82" s="129"/>
      <c r="Q82" s="129"/>
      <c r="R82" s="129"/>
      <c r="S82" s="211"/>
    </row>
    <row r="83" spans="1:19">
      <c r="A83" s="208">
        <v>9</v>
      </c>
      <c r="B83" s="247" t="str">
        <f t="shared" ref="B83:B91" si="5">B82</f>
        <v>Saturday October 25, 2025</v>
      </c>
      <c r="C83" s="208" t="s">
        <v>20</v>
      </c>
      <c r="D83" s="166">
        <v>99960</v>
      </c>
      <c r="E83" s="187">
        <v>1</v>
      </c>
      <c r="F83" s="165" t="s">
        <v>6</v>
      </c>
      <c r="G83" s="209"/>
      <c r="H83" s="230">
        <v>0.41666666666666669</v>
      </c>
      <c r="I83" s="208"/>
      <c r="J83" s="166" t="s">
        <v>12</v>
      </c>
      <c r="K83" s="187">
        <v>5</v>
      </c>
      <c r="L83" s="165">
        <v>79238.095238095237</v>
      </c>
      <c r="M83" s="209" t="s">
        <v>26</v>
      </c>
      <c r="N83" s="208"/>
      <c r="O83" s="130"/>
      <c r="P83" s="130"/>
      <c r="Q83" s="130"/>
      <c r="R83" s="130"/>
      <c r="S83" s="209"/>
    </row>
    <row r="84" spans="1:19">
      <c r="A84" s="210">
        <v>9</v>
      </c>
      <c r="B84" s="247" t="str">
        <f t="shared" si="5"/>
        <v>Saturday October 25, 2025</v>
      </c>
      <c r="C84" s="210" t="s">
        <v>28</v>
      </c>
      <c r="D84" s="154">
        <v>93600</v>
      </c>
      <c r="E84" s="186">
        <v>3</v>
      </c>
      <c r="F84" s="167" t="s">
        <v>16</v>
      </c>
      <c r="G84" s="211"/>
      <c r="H84" s="231">
        <v>0.41666666666666669</v>
      </c>
      <c r="I84" s="210"/>
      <c r="J84" s="154" t="s">
        <v>1</v>
      </c>
      <c r="K84" s="186">
        <v>3</v>
      </c>
      <c r="L84" s="167">
        <v>95142.857142857145</v>
      </c>
      <c r="M84" s="211" t="s">
        <v>29</v>
      </c>
      <c r="N84" s="210"/>
      <c r="O84" s="129"/>
      <c r="P84" s="129"/>
      <c r="Q84" s="129"/>
      <c r="R84" s="129"/>
      <c r="S84" s="211"/>
    </row>
    <row r="85" spans="1:19">
      <c r="A85" s="208">
        <v>9</v>
      </c>
      <c r="B85" s="247" t="str">
        <f t="shared" si="5"/>
        <v>Saturday October 25, 2025</v>
      </c>
      <c r="C85" s="208" t="s">
        <v>21</v>
      </c>
      <c r="D85" s="166">
        <v>83200</v>
      </c>
      <c r="E85" s="187">
        <v>4</v>
      </c>
      <c r="F85" s="165" t="s">
        <v>7</v>
      </c>
      <c r="G85" s="209"/>
      <c r="H85" s="230">
        <v>0.41666666666666669</v>
      </c>
      <c r="I85" s="208"/>
      <c r="J85" s="166" t="s">
        <v>0</v>
      </c>
      <c r="K85" s="187">
        <v>2</v>
      </c>
      <c r="L85" s="165">
        <v>95238.095238095237</v>
      </c>
      <c r="M85" s="209" t="s">
        <v>17</v>
      </c>
      <c r="N85" s="208"/>
      <c r="O85" s="130"/>
      <c r="P85" s="130"/>
      <c r="Q85" s="130"/>
      <c r="R85" s="130"/>
      <c r="S85" s="209"/>
    </row>
    <row r="86" spans="1:19">
      <c r="A86" s="210">
        <v>9</v>
      </c>
      <c r="B86" s="247" t="str">
        <f t="shared" si="5"/>
        <v>Saturday October 25, 2025</v>
      </c>
      <c r="C86" s="210" t="s">
        <v>18</v>
      </c>
      <c r="D86" s="154">
        <v>99400</v>
      </c>
      <c r="E86" s="186">
        <v>1</v>
      </c>
      <c r="F86" s="167" t="s">
        <v>3</v>
      </c>
      <c r="G86" s="211"/>
      <c r="H86" s="231">
        <v>0.41666666666666669</v>
      </c>
      <c r="I86" s="210"/>
      <c r="J86" s="154" t="s">
        <v>1220</v>
      </c>
      <c r="K86" s="186">
        <v>5</v>
      </c>
      <c r="L86" s="167">
        <v>66857.142857142855</v>
      </c>
      <c r="M86" s="211" t="s">
        <v>634</v>
      </c>
      <c r="N86" s="210"/>
      <c r="O86" s="129"/>
      <c r="P86" s="129"/>
      <c r="Q86" s="129"/>
      <c r="R86" s="129"/>
      <c r="S86" s="211"/>
    </row>
    <row r="87" spans="1:19">
      <c r="A87" s="208">
        <v>9</v>
      </c>
      <c r="B87" s="247" t="str">
        <f t="shared" si="5"/>
        <v>Saturday October 25, 2025</v>
      </c>
      <c r="C87" s="208" t="s">
        <v>24</v>
      </c>
      <c r="D87" s="166">
        <v>83200</v>
      </c>
      <c r="E87" s="187">
        <v>4</v>
      </c>
      <c r="F87" s="165" t="s">
        <v>10</v>
      </c>
      <c r="G87" s="209"/>
      <c r="H87" s="230">
        <v>0.41666666666666669</v>
      </c>
      <c r="I87" s="208"/>
      <c r="J87" s="166" t="s">
        <v>4</v>
      </c>
      <c r="K87" s="187">
        <v>2</v>
      </c>
      <c r="L87" s="165">
        <v>92761.904761904763</v>
      </c>
      <c r="M87" s="209" t="s">
        <v>19</v>
      </c>
      <c r="N87" s="208"/>
      <c r="O87" s="130"/>
      <c r="P87" s="130"/>
      <c r="Q87" s="130"/>
      <c r="R87" s="130"/>
      <c r="S87" s="209"/>
    </row>
    <row r="88" spans="1:19">
      <c r="A88" s="210">
        <v>9</v>
      </c>
      <c r="B88" s="247" t="str">
        <f t="shared" si="5"/>
        <v>Saturday October 25, 2025</v>
      </c>
      <c r="C88" s="210" t="s">
        <v>633</v>
      </c>
      <c r="D88" s="154">
        <v>70200</v>
      </c>
      <c r="E88" s="186">
        <v>4</v>
      </c>
      <c r="F88" s="167" t="s">
        <v>1221</v>
      </c>
      <c r="G88" s="211"/>
      <c r="H88" s="231">
        <v>0.41666666666666669</v>
      </c>
      <c r="I88" s="210"/>
      <c r="J88" s="154" t="s">
        <v>14</v>
      </c>
      <c r="K88" s="186">
        <v>2</v>
      </c>
      <c r="L88" s="167">
        <v>79238.095238095237</v>
      </c>
      <c r="M88" s="211" t="s">
        <v>27</v>
      </c>
      <c r="N88" s="210"/>
      <c r="O88" s="129"/>
      <c r="P88" s="129"/>
      <c r="Q88" s="129"/>
      <c r="R88" s="129"/>
      <c r="S88" s="211"/>
    </row>
    <row r="89" spans="1:19">
      <c r="A89" s="208">
        <v>9</v>
      </c>
      <c r="B89" s="247" t="str">
        <f t="shared" si="5"/>
        <v>Saturday October 25, 2025</v>
      </c>
      <c r="C89" s="208" t="s">
        <v>30</v>
      </c>
      <c r="D89" s="166">
        <v>97400</v>
      </c>
      <c r="E89" s="187">
        <v>1</v>
      </c>
      <c r="F89" s="165" t="s">
        <v>2</v>
      </c>
      <c r="G89" s="209"/>
      <c r="H89" s="230">
        <v>0.41666666666666669</v>
      </c>
      <c r="I89" s="208"/>
      <c r="J89" s="166" t="s">
        <v>13</v>
      </c>
      <c r="K89" s="187">
        <v>5</v>
      </c>
      <c r="L89" s="165">
        <v>81142.857142857145</v>
      </c>
      <c r="M89" s="209" t="s">
        <v>33</v>
      </c>
      <c r="N89" s="208"/>
      <c r="O89" s="130"/>
      <c r="P89" s="130"/>
      <c r="Q89" s="130"/>
      <c r="R89" s="130"/>
      <c r="S89" s="209"/>
    </row>
    <row r="90" spans="1:19">
      <c r="A90" s="210">
        <v>9</v>
      </c>
      <c r="B90" s="247" t="str">
        <f t="shared" si="5"/>
        <v>Saturday October 25, 2025</v>
      </c>
      <c r="C90" s="210" t="s">
        <v>25</v>
      </c>
      <c r="D90" s="154">
        <v>95200</v>
      </c>
      <c r="E90" s="186">
        <v>2</v>
      </c>
      <c r="F90" s="167" t="s">
        <v>11</v>
      </c>
      <c r="G90" s="211"/>
      <c r="H90" s="231">
        <v>0.41666666666666669</v>
      </c>
      <c r="I90" s="210"/>
      <c r="J90" s="154" t="s">
        <v>9</v>
      </c>
      <c r="K90" s="186">
        <v>5</v>
      </c>
      <c r="L90" s="167">
        <v>81142.857142857145</v>
      </c>
      <c r="M90" s="211" t="s">
        <v>23</v>
      </c>
      <c r="N90" s="210"/>
      <c r="O90" s="129"/>
      <c r="P90" s="129"/>
      <c r="Q90" s="129"/>
      <c r="R90" s="129"/>
      <c r="S90" s="211"/>
    </row>
    <row r="91" spans="1:19">
      <c r="A91" s="208">
        <v>9</v>
      </c>
      <c r="B91" s="247" t="str">
        <f t="shared" si="5"/>
        <v>Saturday October 25, 2025</v>
      </c>
      <c r="C91" s="208" t="s">
        <v>51</v>
      </c>
      <c r="D91" s="166">
        <v>75200</v>
      </c>
      <c r="E91" s="187">
        <v>2</v>
      </c>
      <c r="F91" s="165" t="s">
        <v>5</v>
      </c>
      <c r="G91" s="209"/>
      <c r="H91" s="230">
        <v>0.41666666666666669</v>
      </c>
      <c r="I91" s="208"/>
      <c r="J91" s="166" t="s">
        <v>8</v>
      </c>
      <c r="K91" s="187">
        <v>4</v>
      </c>
      <c r="L91" s="165">
        <v>66857.142857142855</v>
      </c>
      <c r="M91" s="209" t="s">
        <v>22</v>
      </c>
      <c r="N91" s="208"/>
      <c r="O91" s="130"/>
      <c r="P91" s="130"/>
      <c r="Q91" s="130"/>
      <c r="R91" s="130"/>
      <c r="S91" s="209"/>
    </row>
    <row r="92" spans="1:19">
      <c r="A92" s="212">
        <v>10</v>
      </c>
      <c r="B92" s="244" t="s">
        <v>1242</v>
      </c>
      <c r="C92" s="212" t="s">
        <v>33</v>
      </c>
      <c r="D92" s="170">
        <v>85200</v>
      </c>
      <c r="E92" s="186">
        <v>1</v>
      </c>
      <c r="F92" s="168" t="s">
        <v>13</v>
      </c>
      <c r="G92" s="213"/>
      <c r="H92" s="232">
        <v>0.41666666666666669</v>
      </c>
      <c r="I92" s="212"/>
      <c r="J92" s="170" t="s">
        <v>1221</v>
      </c>
      <c r="K92" s="186">
        <v>5</v>
      </c>
      <c r="L92" s="168">
        <v>66857.142857142855</v>
      </c>
      <c r="M92" s="213" t="s">
        <v>633</v>
      </c>
      <c r="N92" s="212"/>
      <c r="O92" s="169"/>
      <c r="P92" s="169"/>
      <c r="Q92" s="169"/>
      <c r="R92" s="169"/>
      <c r="S92" s="213"/>
    </row>
    <row r="93" spans="1:19">
      <c r="A93" s="214">
        <v>10</v>
      </c>
      <c r="B93" s="244" t="str">
        <f t="shared" ref="B93:B101" si="6">B92</f>
        <v>Saturday November 1, 2025</v>
      </c>
      <c r="C93" s="214" t="s">
        <v>22</v>
      </c>
      <c r="D93" s="173">
        <v>70200</v>
      </c>
      <c r="E93" s="187">
        <v>5</v>
      </c>
      <c r="F93" s="171" t="s">
        <v>8</v>
      </c>
      <c r="G93" s="215"/>
      <c r="H93" s="233">
        <v>0.41666666666666669</v>
      </c>
      <c r="I93" s="214"/>
      <c r="J93" s="173" t="s">
        <v>6</v>
      </c>
      <c r="K93" s="187">
        <v>1</v>
      </c>
      <c r="L93" s="171">
        <v>95200</v>
      </c>
      <c r="M93" s="215" t="s">
        <v>20</v>
      </c>
      <c r="N93" s="214"/>
      <c r="O93" s="172"/>
      <c r="P93" s="172"/>
      <c r="Q93" s="172"/>
      <c r="R93" s="172"/>
      <c r="S93" s="215"/>
    </row>
    <row r="94" spans="1:19">
      <c r="A94" s="212">
        <v>10</v>
      </c>
      <c r="B94" s="244" t="str">
        <f t="shared" si="6"/>
        <v>Saturday November 1, 2025</v>
      </c>
      <c r="C94" s="212" t="s">
        <v>26</v>
      </c>
      <c r="D94" s="170">
        <v>83200</v>
      </c>
      <c r="E94" s="186">
        <v>3</v>
      </c>
      <c r="F94" s="168" t="s">
        <v>12</v>
      </c>
      <c r="G94" s="213"/>
      <c r="H94" s="232">
        <v>0.41666666666666669</v>
      </c>
      <c r="I94" s="212"/>
      <c r="J94" s="170" t="s">
        <v>7</v>
      </c>
      <c r="K94" s="186">
        <v>4</v>
      </c>
      <c r="L94" s="168">
        <v>79238.095238095237</v>
      </c>
      <c r="M94" s="213" t="s">
        <v>21</v>
      </c>
      <c r="N94" s="212"/>
      <c r="O94" s="169"/>
      <c r="P94" s="169"/>
      <c r="Q94" s="169"/>
      <c r="R94" s="169"/>
      <c r="S94" s="213"/>
    </row>
    <row r="95" spans="1:19">
      <c r="A95" s="214">
        <v>10</v>
      </c>
      <c r="B95" s="244" t="str">
        <f t="shared" si="6"/>
        <v>Saturday November 1, 2025</v>
      </c>
      <c r="C95" s="214" t="s">
        <v>23</v>
      </c>
      <c r="D95" s="173">
        <v>85200</v>
      </c>
      <c r="E95" s="187">
        <v>1</v>
      </c>
      <c r="F95" s="171" t="s">
        <v>9</v>
      </c>
      <c r="G95" s="215"/>
      <c r="H95" s="233">
        <v>0.41666666666666669</v>
      </c>
      <c r="I95" s="214"/>
      <c r="J95" s="173" t="s">
        <v>5</v>
      </c>
      <c r="K95" s="187">
        <v>5</v>
      </c>
      <c r="L95" s="171">
        <v>71619.047619047618</v>
      </c>
      <c r="M95" s="215" t="s">
        <v>51</v>
      </c>
      <c r="N95" s="214"/>
      <c r="O95" s="172"/>
      <c r="P95" s="172"/>
      <c r="Q95" s="172"/>
      <c r="R95" s="172"/>
      <c r="S95" s="215"/>
    </row>
    <row r="96" spans="1:19">
      <c r="A96" s="212">
        <v>10</v>
      </c>
      <c r="B96" s="244" t="str">
        <f t="shared" si="6"/>
        <v>Saturday November 1, 2025</v>
      </c>
      <c r="C96" s="212" t="s">
        <v>17</v>
      </c>
      <c r="D96" s="170">
        <v>100000</v>
      </c>
      <c r="E96" s="186">
        <v>2</v>
      </c>
      <c r="F96" s="168" t="s">
        <v>0</v>
      </c>
      <c r="G96" s="213"/>
      <c r="H96" s="232">
        <v>0.41666666666666669</v>
      </c>
      <c r="I96" s="212"/>
      <c r="J96" s="170" t="s">
        <v>16</v>
      </c>
      <c r="K96" s="186">
        <v>4</v>
      </c>
      <c r="L96" s="168">
        <v>89142.857142857145</v>
      </c>
      <c r="M96" s="213" t="s">
        <v>28</v>
      </c>
      <c r="N96" s="212"/>
      <c r="O96" s="169"/>
      <c r="P96" s="169"/>
      <c r="Q96" s="169"/>
      <c r="R96" s="169"/>
      <c r="S96" s="213"/>
    </row>
    <row r="97" spans="1:19">
      <c r="A97" s="214">
        <v>10</v>
      </c>
      <c r="B97" s="244" t="str">
        <f t="shared" si="6"/>
        <v>Saturday November 1, 2025</v>
      </c>
      <c r="C97" s="214" t="s">
        <v>29</v>
      </c>
      <c r="D97" s="173">
        <v>99900</v>
      </c>
      <c r="E97" s="187">
        <v>1</v>
      </c>
      <c r="F97" s="171" t="s">
        <v>1</v>
      </c>
      <c r="G97" s="215"/>
      <c r="H97" s="233">
        <v>0.41666666666666669</v>
      </c>
      <c r="I97" s="214"/>
      <c r="J97" s="173" t="s">
        <v>32</v>
      </c>
      <c r="K97" s="187">
        <v>5</v>
      </c>
      <c r="L97" s="171">
        <v>81142.857142857145</v>
      </c>
      <c r="M97" s="215" t="s">
        <v>43</v>
      </c>
      <c r="N97" s="214"/>
      <c r="O97" s="172"/>
      <c r="P97" s="172"/>
      <c r="Q97" s="172"/>
      <c r="R97" s="172"/>
      <c r="S97" s="215"/>
    </row>
    <row r="98" spans="1:19">
      <c r="A98" s="212">
        <v>10</v>
      </c>
      <c r="B98" s="244" t="str">
        <f t="shared" si="6"/>
        <v>Saturday November 1, 2025</v>
      </c>
      <c r="C98" s="212" t="s">
        <v>52</v>
      </c>
      <c r="D98" s="170">
        <v>85200</v>
      </c>
      <c r="E98" s="186">
        <v>4</v>
      </c>
      <c r="F98" s="168" t="s">
        <v>15</v>
      </c>
      <c r="G98" s="213"/>
      <c r="H98" s="232">
        <v>0.41666666666666669</v>
      </c>
      <c r="I98" s="212"/>
      <c r="J98" s="170" t="s">
        <v>2</v>
      </c>
      <c r="K98" s="186">
        <v>2</v>
      </c>
      <c r="L98" s="168">
        <v>92761.904761904763</v>
      </c>
      <c r="M98" s="213" t="s">
        <v>30</v>
      </c>
      <c r="N98" s="212"/>
      <c r="O98" s="169"/>
      <c r="P98" s="169"/>
      <c r="Q98" s="169"/>
      <c r="R98" s="169"/>
      <c r="S98" s="213"/>
    </row>
    <row r="99" spans="1:19">
      <c r="A99" s="214">
        <v>10</v>
      </c>
      <c r="B99" s="244" t="str">
        <f t="shared" si="6"/>
        <v>Saturday November 1, 2025</v>
      </c>
      <c r="C99" s="214" t="s">
        <v>634</v>
      </c>
      <c r="D99" s="173">
        <v>70200</v>
      </c>
      <c r="E99" s="187">
        <v>4</v>
      </c>
      <c r="F99" s="171" t="s">
        <v>1220</v>
      </c>
      <c r="G99" s="215"/>
      <c r="H99" s="233">
        <v>0.41666666666666669</v>
      </c>
      <c r="I99" s="214"/>
      <c r="J99" s="173" t="s">
        <v>10</v>
      </c>
      <c r="K99" s="187">
        <v>2</v>
      </c>
      <c r="L99" s="171">
        <v>79238.095238095237</v>
      </c>
      <c r="M99" s="215" t="s">
        <v>24</v>
      </c>
      <c r="N99" s="214"/>
      <c r="O99" s="172"/>
      <c r="P99" s="172"/>
      <c r="Q99" s="172"/>
      <c r="R99" s="172"/>
      <c r="S99" s="215"/>
    </row>
    <row r="100" spans="1:19">
      <c r="A100" s="212">
        <v>10</v>
      </c>
      <c r="B100" s="244" t="str">
        <f t="shared" si="6"/>
        <v>Saturday November 1, 2025</v>
      </c>
      <c r="C100" s="212" t="s">
        <v>19</v>
      </c>
      <c r="D100" s="170">
        <v>97400</v>
      </c>
      <c r="E100" s="186">
        <v>3</v>
      </c>
      <c r="F100" s="168" t="s">
        <v>4</v>
      </c>
      <c r="G100" s="213"/>
      <c r="H100" s="232">
        <v>0.41666666666666669</v>
      </c>
      <c r="I100" s="212"/>
      <c r="J100" s="170" t="s">
        <v>3</v>
      </c>
      <c r="K100" s="186">
        <v>3</v>
      </c>
      <c r="L100" s="168">
        <v>94666.666666666657</v>
      </c>
      <c r="M100" s="213" t="s">
        <v>18</v>
      </c>
      <c r="N100" s="212"/>
      <c r="O100" s="169"/>
      <c r="P100" s="169"/>
      <c r="Q100" s="169"/>
      <c r="R100" s="169"/>
      <c r="S100" s="213"/>
    </row>
    <row r="101" spans="1:19">
      <c r="A101" s="214">
        <v>10</v>
      </c>
      <c r="B101" s="244" t="str">
        <f t="shared" si="6"/>
        <v>Saturday November 1, 2025</v>
      </c>
      <c r="C101" s="214" t="s">
        <v>27</v>
      </c>
      <c r="D101" s="173">
        <v>83200</v>
      </c>
      <c r="E101" s="187">
        <v>4</v>
      </c>
      <c r="F101" s="171" t="s">
        <v>14</v>
      </c>
      <c r="G101" s="215"/>
      <c r="H101" s="233">
        <v>0.41666666666666669</v>
      </c>
      <c r="I101" s="214"/>
      <c r="J101" s="173" t="s">
        <v>11</v>
      </c>
      <c r="K101" s="187">
        <v>2</v>
      </c>
      <c r="L101" s="171">
        <v>90666.666666666657</v>
      </c>
      <c r="M101" s="215" t="s">
        <v>25</v>
      </c>
      <c r="N101" s="214"/>
      <c r="O101" s="172"/>
      <c r="P101" s="172"/>
      <c r="Q101" s="172"/>
      <c r="R101" s="172"/>
      <c r="S101" s="215"/>
    </row>
    <row r="102" spans="1:19">
      <c r="A102" s="216">
        <v>11</v>
      </c>
      <c r="B102" s="245" t="s">
        <v>1243</v>
      </c>
      <c r="C102" s="216" t="s">
        <v>28</v>
      </c>
      <c r="D102" s="176">
        <v>93600</v>
      </c>
      <c r="E102" s="186">
        <v>2</v>
      </c>
      <c r="F102" s="174" t="s">
        <v>16</v>
      </c>
      <c r="G102" s="217"/>
      <c r="H102" s="234">
        <v>0.41666666666666669</v>
      </c>
      <c r="I102" s="216"/>
      <c r="J102" s="176" t="s">
        <v>32</v>
      </c>
      <c r="K102" s="186">
        <v>5</v>
      </c>
      <c r="L102" s="174">
        <v>81142.857142857145</v>
      </c>
      <c r="M102" s="217" t="s">
        <v>43</v>
      </c>
      <c r="N102" s="216"/>
      <c r="O102" s="175"/>
      <c r="P102" s="175"/>
      <c r="Q102" s="175"/>
      <c r="R102" s="175"/>
      <c r="S102" s="217"/>
    </row>
    <row r="103" spans="1:19">
      <c r="A103" s="218">
        <v>11</v>
      </c>
      <c r="B103" s="245" t="str">
        <f t="shared" ref="B103:B111" si="7">B102</f>
        <v>Saturday November 8, 2025</v>
      </c>
      <c r="C103" s="218" t="s">
        <v>21</v>
      </c>
      <c r="D103" s="179">
        <v>83200</v>
      </c>
      <c r="E103" s="187">
        <v>4</v>
      </c>
      <c r="F103" s="177" t="s">
        <v>7</v>
      </c>
      <c r="G103" s="219"/>
      <c r="H103" s="235">
        <v>0.41666666666666669</v>
      </c>
      <c r="I103" s="218"/>
      <c r="J103" s="179" t="s">
        <v>11</v>
      </c>
      <c r="K103" s="187">
        <v>2</v>
      </c>
      <c r="L103" s="177">
        <v>90666.666666666657</v>
      </c>
      <c r="M103" s="219" t="s">
        <v>25</v>
      </c>
      <c r="N103" s="218"/>
      <c r="O103" s="178"/>
      <c r="P103" s="178"/>
      <c r="Q103" s="178"/>
      <c r="R103" s="178"/>
      <c r="S103" s="219"/>
    </row>
    <row r="104" spans="1:19">
      <c r="A104" s="216">
        <v>11</v>
      </c>
      <c r="B104" s="245" t="str">
        <f t="shared" si="7"/>
        <v>Saturday November 8, 2025</v>
      </c>
      <c r="C104" s="216" t="s">
        <v>18</v>
      </c>
      <c r="D104" s="176">
        <v>99400</v>
      </c>
      <c r="E104" s="186">
        <v>1</v>
      </c>
      <c r="F104" s="174" t="s">
        <v>3</v>
      </c>
      <c r="G104" s="217"/>
      <c r="H104" s="234">
        <v>0.41666666666666669</v>
      </c>
      <c r="I104" s="216"/>
      <c r="J104" s="176" t="s">
        <v>5</v>
      </c>
      <c r="K104" s="186">
        <v>5</v>
      </c>
      <c r="L104" s="174">
        <v>71619.047619047618</v>
      </c>
      <c r="M104" s="217" t="s">
        <v>51</v>
      </c>
      <c r="N104" s="216"/>
      <c r="O104" s="175"/>
      <c r="P104" s="175"/>
      <c r="Q104" s="175"/>
      <c r="R104" s="175"/>
      <c r="S104" s="217"/>
    </row>
    <row r="105" spans="1:19">
      <c r="A105" s="218">
        <v>11</v>
      </c>
      <c r="B105" s="245" t="str">
        <f t="shared" si="7"/>
        <v>Saturday November 8, 2025</v>
      </c>
      <c r="C105" s="218" t="s">
        <v>26</v>
      </c>
      <c r="D105" s="179">
        <v>83200</v>
      </c>
      <c r="E105" s="187">
        <v>3</v>
      </c>
      <c r="F105" s="177" t="s">
        <v>12</v>
      </c>
      <c r="G105" s="219"/>
      <c r="H105" s="235">
        <v>0.41666666666666669</v>
      </c>
      <c r="I105" s="218"/>
      <c r="J105" s="179" t="s">
        <v>13</v>
      </c>
      <c r="K105" s="187">
        <v>3</v>
      </c>
      <c r="L105" s="177">
        <v>81142.857142857145</v>
      </c>
      <c r="M105" s="219" t="s">
        <v>33</v>
      </c>
      <c r="N105" s="218"/>
      <c r="O105" s="178"/>
      <c r="P105" s="178"/>
      <c r="Q105" s="178"/>
      <c r="R105" s="178"/>
      <c r="S105" s="219"/>
    </row>
    <row r="106" spans="1:19">
      <c r="A106" s="216">
        <v>11</v>
      </c>
      <c r="B106" s="245" t="str">
        <f t="shared" si="7"/>
        <v>Saturday November 8, 2025</v>
      </c>
      <c r="C106" s="216" t="s">
        <v>24</v>
      </c>
      <c r="D106" s="176">
        <v>83200</v>
      </c>
      <c r="E106" s="186">
        <v>3</v>
      </c>
      <c r="F106" s="174" t="s">
        <v>10</v>
      </c>
      <c r="G106" s="217"/>
      <c r="H106" s="234">
        <v>0.41666666666666669</v>
      </c>
      <c r="I106" s="216"/>
      <c r="J106" s="176" t="s">
        <v>9</v>
      </c>
      <c r="K106" s="186">
        <v>3</v>
      </c>
      <c r="L106" s="174">
        <v>81142.857142857145</v>
      </c>
      <c r="M106" s="217" t="s">
        <v>23</v>
      </c>
      <c r="N106" s="216"/>
      <c r="O106" s="175"/>
      <c r="P106" s="175"/>
      <c r="Q106" s="175"/>
      <c r="R106" s="175"/>
      <c r="S106" s="217"/>
    </row>
    <row r="107" spans="1:19">
      <c r="A107" s="218">
        <v>11</v>
      </c>
      <c r="B107" s="245" t="str">
        <f t="shared" si="7"/>
        <v>Saturday November 8, 2025</v>
      </c>
      <c r="C107" s="218" t="s">
        <v>29</v>
      </c>
      <c r="D107" s="179">
        <v>99900</v>
      </c>
      <c r="E107" s="187">
        <v>3</v>
      </c>
      <c r="F107" s="177" t="s">
        <v>1</v>
      </c>
      <c r="G107" s="219"/>
      <c r="H107" s="235">
        <v>0.41666666666666669</v>
      </c>
      <c r="I107" s="218"/>
      <c r="J107" s="179" t="s">
        <v>0</v>
      </c>
      <c r="K107" s="187">
        <v>3</v>
      </c>
      <c r="L107" s="177">
        <v>95238.095238095237</v>
      </c>
      <c r="M107" s="219" t="s">
        <v>17</v>
      </c>
      <c r="N107" s="218"/>
      <c r="O107" s="178"/>
      <c r="P107" s="178"/>
      <c r="Q107" s="178"/>
      <c r="R107" s="178"/>
      <c r="S107" s="219"/>
    </row>
    <row r="108" spans="1:19">
      <c r="A108" s="216">
        <v>11</v>
      </c>
      <c r="B108" s="245" t="str">
        <f t="shared" si="7"/>
        <v>Saturday November 8, 2025</v>
      </c>
      <c r="C108" s="216" t="s">
        <v>52</v>
      </c>
      <c r="D108" s="176">
        <v>85200</v>
      </c>
      <c r="E108" s="186">
        <v>1</v>
      </c>
      <c r="F108" s="174" t="s">
        <v>15</v>
      </c>
      <c r="G108" s="217"/>
      <c r="H108" s="234">
        <v>0.41666666666666669</v>
      </c>
      <c r="I108" s="216"/>
      <c r="J108" s="176" t="s">
        <v>1221</v>
      </c>
      <c r="K108" s="186">
        <v>5</v>
      </c>
      <c r="L108" s="174">
        <v>66857.142857142855</v>
      </c>
      <c r="M108" s="217" t="s">
        <v>633</v>
      </c>
      <c r="N108" s="216"/>
      <c r="O108" s="175"/>
      <c r="P108" s="175"/>
      <c r="Q108" s="175"/>
      <c r="R108" s="175"/>
      <c r="S108" s="217"/>
    </row>
    <row r="109" spans="1:19">
      <c r="A109" s="218">
        <v>11</v>
      </c>
      <c r="B109" s="245" t="str">
        <f t="shared" si="7"/>
        <v>Saturday November 8, 2025</v>
      </c>
      <c r="C109" s="218" t="s">
        <v>634</v>
      </c>
      <c r="D109" s="179">
        <v>70200</v>
      </c>
      <c r="E109" s="187">
        <v>5</v>
      </c>
      <c r="F109" s="177" t="s">
        <v>1220</v>
      </c>
      <c r="G109" s="219"/>
      <c r="H109" s="235">
        <v>0.41666666666666669</v>
      </c>
      <c r="I109" s="218"/>
      <c r="J109" s="179" t="s">
        <v>6</v>
      </c>
      <c r="K109" s="187">
        <v>1</v>
      </c>
      <c r="L109" s="177">
        <v>95200</v>
      </c>
      <c r="M109" s="219" t="s">
        <v>20</v>
      </c>
      <c r="N109" s="218"/>
      <c r="O109" s="178"/>
      <c r="P109" s="178"/>
      <c r="Q109" s="178"/>
      <c r="R109" s="178"/>
      <c r="S109" s="219"/>
    </row>
    <row r="110" spans="1:19">
      <c r="A110" s="216">
        <v>11</v>
      </c>
      <c r="B110" s="245" t="str">
        <f t="shared" si="7"/>
        <v>Saturday November 8, 2025</v>
      </c>
      <c r="C110" s="216" t="s">
        <v>19</v>
      </c>
      <c r="D110" s="176">
        <v>97400</v>
      </c>
      <c r="E110" s="186">
        <v>3</v>
      </c>
      <c r="F110" s="174" t="s">
        <v>4</v>
      </c>
      <c r="G110" s="217"/>
      <c r="H110" s="234">
        <v>0.41666666666666669</v>
      </c>
      <c r="I110" s="216"/>
      <c r="J110" s="176" t="s">
        <v>2</v>
      </c>
      <c r="K110" s="186">
        <v>4</v>
      </c>
      <c r="L110" s="174">
        <v>92761.904761904763</v>
      </c>
      <c r="M110" s="217" t="s">
        <v>30</v>
      </c>
      <c r="N110" s="216"/>
      <c r="O110" s="175"/>
      <c r="P110" s="175"/>
      <c r="Q110" s="175"/>
      <c r="R110" s="175"/>
      <c r="S110" s="217"/>
    </row>
    <row r="111" spans="1:19">
      <c r="A111" s="218">
        <v>11</v>
      </c>
      <c r="B111" s="245" t="str">
        <f t="shared" si="7"/>
        <v>Saturday November 8, 2025</v>
      </c>
      <c r="C111" s="218" t="s">
        <v>27</v>
      </c>
      <c r="D111" s="179">
        <v>83200</v>
      </c>
      <c r="E111" s="187">
        <v>1</v>
      </c>
      <c r="F111" s="177" t="s">
        <v>14</v>
      </c>
      <c r="G111" s="219"/>
      <c r="H111" s="235">
        <v>0.41666666666666669</v>
      </c>
      <c r="I111" s="218"/>
      <c r="J111" s="179" t="s">
        <v>8</v>
      </c>
      <c r="K111" s="187">
        <v>5</v>
      </c>
      <c r="L111" s="177">
        <v>66857.142857142855</v>
      </c>
      <c r="M111" s="219" t="s">
        <v>22</v>
      </c>
      <c r="N111" s="218"/>
      <c r="O111" s="178"/>
      <c r="P111" s="178"/>
      <c r="Q111" s="178"/>
      <c r="R111" s="178"/>
      <c r="S111" s="219"/>
    </row>
    <row r="112" spans="1:19">
      <c r="A112" s="220">
        <v>12</v>
      </c>
      <c r="B112" s="246" t="s">
        <v>1244</v>
      </c>
      <c r="C112" s="220" t="s">
        <v>43</v>
      </c>
      <c r="D112" s="182">
        <v>85200</v>
      </c>
      <c r="E112" s="186">
        <v>2</v>
      </c>
      <c r="F112" s="180" t="s">
        <v>32</v>
      </c>
      <c r="G112" s="221"/>
      <c r="H112" s="236">
        <v>0.41666666666666669</v>
      </c>
      <c r="I112" s="220"/>
      <c r="J112" s="182" t="s">
        <v>14</v>
      </c>
      <c r="K112" s="186">
        <v>4</v>
      </c>
      <c r="L112" s="180">
        <v>79238.095238095237</v>
      </c>
      <c r="M112" s="221" t="s">
        <v>27</v>
      </c>
      <c r="N112" s="220"/>
      <c r="O112" s="181"/>
      <c r="P112" s="181"/>
      <c r="Q112" s="181"/>
      <c r="R112" s="181"/>
      <c r="S112" s="221"/>
    </row>
    <row r="113" spans="1:19">
      <c r="A113" s="222">
        <v>12</v>
      </c>
      <c r="B113" s="246" t="str">
        <f t="shared" ref="B113:B121" si="8">B112</f>
        <v>Saturday November 22, 2025</v>
      </c>
      <c r="C113" s="222" t="s">
        <v>20</v>
      </c>
      <c r="D113" s="185">
        <v>99960</v>
      </c>
      <c r="E113" s="187">
        <v>2</v>
      </c>
      <c r="F113" s="183" t="s">
        <v>6</v>
      </c>
      <c r="G113" s="223"/>
      <c r="H113" s="237">
        <v>0.41666666666666669</v>
      </c>
      <c r="I113" s="222"/>
      <c r="J113" s="185" t="s">
        <v>4</v>
      </c>
      <c r="K113" s="187">
        <v>4</v>
      </c>
      <c r="L113" s="183">
        <v>92761.904761904763</v>
      </c>
      <c r="M113" s="223" t="s">
        <v>19</v>
      </c>
      <c r="N113" s="222"/>
      <c r="O113" s="184"/>
      <c r="P113" s="184"/>
      <c r="Q113" s="184"/>
      <c r="R113" s="184"/>
      <c r="S113" s="223"/>
    </row>
    <row r="114" spans="1:19">
      <c r="A114" s="220">
        <v>12</v>
      </c>
      <c r="B114" s="246" t="str">
        <f t="shared" si="8"/>
        <v>Saturday November 22, 2025</v>
      </c>
      <c r="C114" s="220" t="s">
        <v>33</v>
      </c>
      <c r="D114" s="182">
        <v>85200</v>
      </c>
      <c r="E114" s="186">
        <v>2</v>
      </c>
      <c r="F114" s="180" t="s">
        <v>13</v>
      </c>
      <c r="G114" s="221"/>
      <c r="H114" s="236">
        <v>0.41666666666666669</v>
      </c>
      <c r="I114" s="220"/>
      <c r="J114" s="182" t="s">
        <v>7</v>
      </c>
      <c r="K114" s="186">
        <v>4</v>
      </c>
      <c r="L114" s="180">
        <v>79238.095238095237</v>
      </c>
      <c r="M114" s="221" t="s">
        <v>21</v>
      </c>
      <c r="N114" s="220"/>
      <c r="O114" s="181"/>
      <c r="P114" s="181"/>
      <c r="Q114" s="181"/>
      <c r="R114" s="181"/>
      <c r="S114" s="221"/>
    </row>
    <row r="115" spans="1:19">
      <c r="A115" s="222">
        <v>12</v>
      </c>
      <c r="B115" s="246" t="str">
        <f t="shared" si="8"/>
        <v>Saturday November 22, 2025</v>
      </c>
      <c r="C115" s="222" t="s">
        <v>22</v>
      </c>
      <c r="D115" s="185">
        <v>70200</v>
      </c>
      <c r="E115" s="187">
        <v>5</v>
      </c>
      <c r="F115" s="183" t="s">
        <v>8</v>
      </c>
      <c r="G115" s="223"/>
      <c r="H115" s="237">
        <v>0.41666666666666669</v>
      </c>
      <c r="I115" s="222"/>
      <c r="J115" s="185" t="s">
        <v>3</v>
      </c>
      <c r="K115" s="187">
        <v>1</v>
      </c>
      <c r="L115" s="183">
        <v>94666.666666666657</v>
      </c>
      <c r="M115" s="223" t="s">
        <v>18</v>
      </c>
      <c r="N115" s="222"/>
      <c r="O115" s="184"/>
      <c r="P115" s="184"/>
      <c r="Q115" s="184"/>
      <c r="R115" s="184"/>
      <c r="S115" s="223"/>
    </row>
    <row r="116" spans="1:19">
      <c r="A116" s="220">
        <v>12</v>
      </c>
      <c r="B116" s="246" t="str">
        <f t="shared" si="8"/>
        <v>Saturday November 22, 2025</v>
      </c>
      <c r="C116" s="220" t="s">
        <v>23</v>
      </c>
      <c r="D116" s="182">
        <v>85200</v>
      </c>
      <c r="E116" s="186">
        <v>1</v>
      </c>
      <c r="F116" s="180" t="s">
        <v>9</v>
      </c>
      <c r="G116" s="221"/>
      <c r="H116" s="236">
        <v>0.41666666666666669</v>
      </c>
      <c r="I116" s="220"/>
      <c r="J116" s="182" t="s">
        <v>1220</v>
      </c>
      <c r="K116" s="186">
        <v>5</v>
      </c>
      <c r="L116" s="180">
        <v>66857.142857142855</v>
      </c>
      <c r="M116" s="221" t="s">
        <v>634</v>
      </c>
      <c r="N116" s="220"/>
      <c r="O116" s="181"/>
      <c r="P116" s="181"/>
      <c r="Q116" s="181"/>
      <c r="R116" s="181"/>
      <c r="S116" s="221"/>
    </row>
    <row r="117" spans="1:19">
      <c r="A117" s="222">
        <v>12</v>
      </c>
      <c r="B117" s="246" t="str">
        <f t="shared" si="8"/>
        <v>Saturday November 22, 2025</v>
      </c>
      <c r="C117" s="222" t="s">
        <v>633</v>
      </c>
      <c r="D117" s="185">
        <v>70200</v>
      </c>
      <c r="E117" s="187">
        <v>5</v>
      </c>
      <c r="F117" s="183" t="s">
        <v>1221</v>
      </c>
      <c r="G117" s="223"/>
      <c r="H117" s="237">
        <v>0.41666666666666669</v>
      </c>
      <c r="I117" s="222"/>
      <c r="J117" s="185" t="s">
        <v>16</v>
      </c>
      <c r="K117" s="187">
        <v>1</v>
      </c>
      <c r="L117" s="183">
        <v>89142.857142857145</v>
      </c>
      <c r="M117" s="223" t="s">
        <v>28</v>
      </c>
      <c r="N117" s="222"/>
      <c r="O117" s="184"/>
      <c r="P117" s="184"/>
      <c r="Q117" s="184"/>
      <c r="R117" s="184"/>
      <c r="S117" s="223"/>
    </row>
    <row r="118" spans="1:19">
      <c r="A118" s="220">
        <v>12</v>
      </c>
      <c r="B118" s="246" t="str">
        <f t="shared" si="8"/>
        <v>Saturday November 22, 2025</v>
      </c>
      <c r="C118" s="220" t="s">
        <v>17</v>
      </c>
      <c r="D118" s="182">
        <v>100000</v>
      </c>
      <c r="E118" s="186">
        <v>1</v>
      </c>
      <c r="F118" s="180" t="s">
        <v>0</v>
      </c>
      <c r="G118" s="221"/>
      <c r="H118" s="236">
        <v>0.41666666666666669</v>
      </c>
      <c r="I118" s="220"/>
      <c r="J118" s="182" t="s">
        <v>15</v>
      </c>
      <c r="K118" s="186">
        <v>5</v>
      </c>
      <c r="L118" s="180">
        <v>81142.857142857145</v>
      </c>
      <c r="M118" s="221" t="s">
        <v>52</v>
      </c>
      <c r="N118" s="220"/>
      <c r="O118" s="181"/>
      <c r="P118" s="181"/>
      <c r="Q118" s="181"/>
      <c r="R118" s="181"/>
      <c r="S118" s="221"/>
    </row>
    <row r="119" spans="1:19">
      <c r="A119" s="222">
        <v>12</v>
      </c>
      <c r="B119" s="246" t="str">
        <f t="shared" si="8"/>
        <v>Saturday November 22, 2025</v>
      </c>
      <c r="C119" s="222" t="s">
        <v>30</v>
      </c>
      <c r="D119" s="185">
        <v>97400</v>
      </c>
      <c r="E119" s="187">
        <v>1</v>
      </c>
      <c r="F119" s="183" t="s">
        <v>2</v>
      </c>
      <c r="G119" s="223"/>
      <c r="H119" s="237">
        <v>0.41666666666666669</v>
      </c>
      <c r="I119" s="222"/>
      <c r="J119" s="185" t="s">
        <v>10</v>
      </c>
      <c r="K119" s="187">
        <v>5</v>
      </c>
      <c r="L119" s="183">
        <v>79238.095238095237</v>
      </c>
      <c r="M119" s="223" t="s">
        <v>24</v>
      </c>
      <c r="N119" s="222"/>
      <c r="O119" s="184"/>
      <c r="P119" s="184"/>
      <c r="Q119" s="184"/>
      <c r="R119" s="184"/>
      <c r="S119" s="223"/>
    </row>
    <row r="120" spans="1:19">
      <c r="A120" s="220">
        <v>12</v>
      </c>
      <c r="B120" s="246" t="str">
        <f t="shared" si="8"/>
        <v>Saturday November 22, 2025</v>
      </c>
      <c r="C120" s="220" t="s">
        <v>25</v>
      </c>
      <c r="D120" s="182">
        <v>95200</v>
      </c>
      <c r="E120" s="186">
        <v>3</v>
      </c>
      <c r="F120" s="180" t="s">
        <v>11</v>
      </c>
      <c r="G120" s="221"/>
      <c r="H120" s="236">
        <v>0.41666666666666669</v>
      </c>
      <c r="I120" s="220"/>
      <c r="J120" s="182" t="s">
        <v>1</v>
      </c>
      <c r="K120" s="186">
        <v>3</v>
      </c>
      <c r="L120" s="180">
        <v>95142.857142857145</v>
      </c>
      <c r="M120" s="221" t="s">
        <v>29</v>
      </c>
      <c r="N120" s="220"/>
      <c r="O120" s="181"/>
      <c r="P120" s="181"/>
      <c r="Q120" s="181"/>
      <c r="R120" s="181"/>
      <c r="S120" s="221"/>
    </row>
    <row r="121" spans="1:19">
      <c r="A121" s="222">
        <v>12</v>
      </c>
      <c r="B121" s="246" t="str">
        <f t="shared" si="8"/>
        <v>Saturday November 22, 2025</v>
      </c>
      <c r="C121" s="222" t="s">
        <v>51</v>
      </c>
      <c r="D121" s="185">
        <v>75200</v>
      </c>
      <c r="E121" s="187">
        <v>4</v>
      </c>
      <c r="F121" s="183" t="s">
        <v>5</v>
      </c>
      <c r="G121" s="223"/>
      <c r="H121" s="237">
        <v>0.41666666666666669</v>
      </c>
      <c r="I121" s="222"/>
      <c r="J121" s="185" t="s">
        <v>12</v>
      </c>
      <c r="K121" s="187">
        <v>2</v>
      </c>
      <c r="L121" s="183">
        <v>79238.095238095237</v>
      </c>
      <c r="M121" s="223" t="s">
        <v>26</v>
      </c>
      <c r="N121" s="222"/>
      <c r="O121" s="184"/>
      <c r="P121" s="184"/>
      <c r="Q121" s="184"/>
      <c r="R121" s="184"/>
      <c r="S121" s="223"/>
    </row>
    <row r="122" spans="1:19">
      <c r="A122" s="210">
        <v>13</v>
      </c>
      <c r="B122" s="247" t="s">
        <v>1245</v>
      </c>
      <c r="C122" s="210" t="s">
        <v>28</v>
      </c>
      <c r="D122" s="154">
        <v>93600</v>
      </c>
      <c r="E122" s="186">
        <v>1</v>
      </c>
      <c r="F122" s="167" t="s">
        <v>16</v>
      </c>
      <c r="G122" s="211"/>
      <c r="H122" s="231">
        <v>0.41666666666666669</v>
      </c>
      <c r="I122" s="210"/>
      <c r="J122" s="154" t="s">
        <v>5</v>
      </c>
      <c r="K122" s="186">
        <v>5</v>
      </c>
      <c r="L122" s="167">
        <v>71619.047619047618</v>
      </c>
      <c r="M122" s="211" t="s">
        <v>51</v>
      </c>
      <c r="N122" s="210"/>
      <c r="O122" s="129"/>
      <c r="P122" s="129"/>
      <c r="Q122" s="129"/>
      <c r="R122" s="129"/>
      <c r="S122" s="211"/>
    </row>
    <row r="123" spans="1:19">
      <c r="A123" s="208">
        <v>13</v>
      </c>
      <c r="B123" s="247" t="str">
        <f t="shared" ref="B123:B131" si="9">B122</f>
        <v>Saturday November 29, 2025</v>
      </c>
      <c r="C123" s="208" t="s">
        <v>21</v>
      </c>
      <c r="D123" s="166">
        <v>83200</v>
      </c>
      <c r="E123" s="187">
        <v>1</v>
      </c>
      <c r="F123" s="165" t="s">
        <v>7</v>
      </c>
      <c r="G123" s="209"/>
      <c r="H123" s="230">
        <v>0.41666666666666669</v>
      </c>
      <c r="I123" s="208"/>
      <c r="J123" s="166" t="s">
        <v>8</v>
      </c>
      <c r="K123" s="187">
        <v>5</v>
      </c>
      <c r="L123" s="165">
        <v>66857.142857142855</v>
      </c>
      <c r="M123" s="209" t="s">
        <v>22</v>
      </c>
      <c r="N123" s="208"/>
      <c r="O123" s="130"/>
      <c r="P123" s="130"/>
      <c r="Q123" s="130"/>
      <c r="R123" s="130"/>
      <c r="S123" s="209"/>
    </row>
    <row r="124" spans="1:19">
      <c r="A124" s="210">
        <v>13</v>
      </c>
      <c r="B124" s="247" t="str">
        <f t="shared" si="9"/>
        <v>Saturday November 29, 2025</v>
      </c>
      <c r="C124" s="210" t="s">
        <v>18</v>
      </c>
      <c r="D124" s="154">
        <v>99400</v>
      </c>
      <c r="E124" s="186">
        <v>3</v>
      </c>
      <c r="F124" s="167" t="s">
        <v>3</v>
      </c>
      <c r="G124" s="211"/>
      <c r="H124" s="231">
        <v>0.41666666666666669</v>
      </c>
      <c r="I124" s="210"/>
      <c r="J124" s="154" t="s">
        <v>6</v>
      </c>
      <c r="K124" s="186">
        <v>3</v>
      </c>
      <c r="L124" s="167">
        <v>95200</v>
      </c>
      <c r="M124" s="211" t="s">
        <v>20</v>
      </c>
      <c r="N124" s="210"/>
      <c r="O124" s="129"/>
      <c r="P124" s="129"/>
      <c r="Q124" s="129"/>
      <c r="R124" s="129"/>
      <c r="S124" s="211"/>
    </row>
    <row r="125" spans="1:19">
      <c r="A125" s="208">
        <v>13</v>
      </c>
      <c r="B125" s="247" t="str">
        <f t="shared" si="9"/>
        <v>Saturday November 29, 2025</v>
      </c>
      <c r="C125" s="208" t="s">
        <v>26</v>
      </c>
      <c r="D125" s="166">
        <v>83200</v>
      </c>
      <c r="E125" s="187">
        <v>4</v>
      </c>
      <c r="F125" s="165" t="s">
        <v>12</v>
      </c>
      <c r="G125" s="209"/>
      <c r="H125" s="230">
        <v>0.41666666666666669</v>
      </c>
      <c r="I125" s="208"/>
      <c r="J125" s="166" t="s">
        <v>2</v>
      </c>
      <c r="K125" s="187">
        <v>2</v>
      </c>
      <c r="L125" s="165">
        <v>92761.904761904763</v>
      </c>
      <c r="M125" s="209" t="s">
        <v>30</v>
      </c>
      <c r="N125" s="208"/>
      <c r="O125" s="130"/>
      <c r="P125" s="130"/>
      <c r="Q125" s="130"/>
      <c r="R125" s="130"/>
      <c r="S125" s="209"/>
    </row>
    <row r="126" spans="1:19">
      <c r="A126" s="210">
        <v>13</v>
      </c>
      <c r="B126" s="247" t="str">
        <f t="shared" si="9"/>
        <v>Saturday November 29, 2025</v>
      </c>
      <c r="C126" s="210" t="s">
        <v>24</v>
      </c>
      <c r="D126" s="154">
        <v>83200</v>
      </c>
      <c r="E126" s="186">
        <v>4</v>
      </c>
      <c r="F126" s="167" t="s">
        <v>10</v>
      </c>
      <c r="G126" s="211"/>
      <c r="H126" s="231">
        <v>0.41666666666666669</v>
      </c>
      <c r="I126" s="210"/>
      <c r="J126" s="154" t="s">
        <v>11</v>
      </c>
      <c r="K126" s="186">
        <v>2</v>
      </c>
      <c r="L126" s="167">
        <v>90666.666666666657</v>
      </c>
      <c r="M126" s="211" t="s">
        <v>25</v>
      </c>
      <c r="N126" s="210"/>
      <c r="O126" s="129"/>
      <c r="P126" s="129"/>
      <c r="Q126" s="129"/>
      <c r="R126" s="129"/>
      <c r="S126" s="211"/>
    </row>
    <row r="127" spans="1:19">
      <c r="A127" s="208">
        <v>13</v>
      </c>
      <c r="B127" s="247" t="str">
        <f t="shared" si="9"/>
        <v>Saturday November 29, 2025</v>
      </c>
      <c r="C127" s="208" t="s">
        <v>29</v>
      </c>
      <c r="D127" s="166">
        <v>99900</v>
      </c>
      <c r="E127" s="187">
        <v>1</v>
      </c>
      <c r="F127" s="165" t="s">
        <v>1</v>
      </c>
      <c r="G127" s="209"/>
      <c r="H127" s="230">
        <v>0.41666666666666669</v>
      </c>
      <c r="I127" s="208"/>
      <c r="J127" s="166" t="s">
        <v>1221</v>
      </c>
      <c r="K127" s="187">
        <v>5</v>
      </c>
      <c r="L127" s="165">
        <v>66857.142857142855</v>
      </c>
      <c r="M127" s="209" t="s">
        <v>633</v>
      </c>
      <c r="N127" s="208"/>
      <c r="O127" s="130"/>
      <c r="P127" s="130"/>
      <c r="Q127" s="130"/>
      <c r="R127" s="130"/>
      <c r="S127" s="209"/>
    </row>
    <row r="128" spans="1:19">
      <c r="A128" s="210">
        <v>13</v>
      </c>
      <c r="B128" s="247" t="str">
        <f t="shared" si="9"/>
        <v>Saturday November 29, 2025</v>
      </c>
      <c r="C128" s="210" t="s">
        <v>52</v>
      </c>
      <c r="D128" s="154">
        <v>85200</v>
      </c>
      <c r="E128" s="186">
        <v>3</v>
      </c>
      <c r="F128" s="167" t="s">
        <v>15</v>
      </c>
      <c r="G128" s="211"/>
      <c r="H128" s="231">
        <v>0.41666666666666669</v>
      </c>
      <c r="I128" s="210"/>
      <c r="J128" s="154" t="s">
        <v>13</v>
      </c>
      <c r="K128" s="186">
        <v>4</v>
      </c>
      <c r="L128" s="167">
        <v>81142.857142857145</v>
      </c>
      <c r="M128" s="211" t="s">
        <v>33</v>
      </c>
      <c r="N128" s="210"/>
      <c r="O128" s="129"/>
      <c r="P128" s="129"/>
      <c r="Q128" s="129"/>
      <c r="R128" s="129"/>
      <c r="S128" s="211"/>
    </row>
    <row r="129" spans="1:19">
      <c r="A129" s="208">
        <v>13</v>
      </c>
      <c r="B129" s="247" t="str">
        <f t="shared" si="9"/>
        <v>Saturday November 29, 2025</v>
      </c>
      <c r="C129" s="208" t="s">
        <v>634</v>
      </c>
      <c r="D129" s="166">
        <v>70200</v>
      </c>
      <c r="E129" s="187">
        <v>5</v>
      </c>
      <c r="F129" s="165" t="s">
        <v>1220</v>
      </c>
      <c r="G129" s="209"/>
      <c r="H129" s="230">
        <v>0.41666666666666669</v>
      </c>
      <c r="I129" s="208"/>
      <c r="J129" s="166" t="s">
        <v>32</v>
      </c>
      <c r="K129" s="187">
        <v>2</v>
      </c>
      <c r="L129" s="165">
        <v>81142.857142857145</v>
      </c>
      <c r="M129" s="209" t="s">
        <v>43</v>
      </c>
      <c r="N129" s="208"/>
      <c r="O129" s="130"/>
      <c r="P129" s="130"/>
      <c r="Q129" s="130"/>
      <c r="R129" s="130"/>
      <c r="S129" s="209"/>
    </row>
    <row r="130" spans="1:19">
      <c r="A130" s="210">
        <v>13</v>
      </c>
      <c r="B130" s="247" t="str">
        <f t="shared" si="9"/>
        <v>Saturday November 29, 2025</v>
      </c>
      <c r="C130" s="210" t="s">
        <v>19</v>
      </c>
      <c r="D130" s="154">
        <v>97400</v>
      </c>
      <c r="E130" s="186">
        <v>1</v>
      </c>
      <c r="F130" s="167" t="s">
        <v>4</v>
      </c>
      <c r="G130" s="211"/>
      <c r="H130" s="231">
        <v>0.41666666666666669</v>
      </c>
      <c r="I130" s="210"/>
      <c r="J130" s="154" t="s">
        <v>9</v>
      </c>
      <c r="K130" s="186">
        <v>5</v>
      </c>
      <c r="L130" s="167">
        <v>81142.857142857145</v>
      </c>
      <c r="M130" s="211" t="s">
        <v>23</v>
      </c>
      <c r="N130" s="210"/>
      <c r="O130" s="129"/>
      <c r="P130" s="129"/>
      <c r="Q130" s="129"/>
      <c r="R130" s="129"/>
      <c r="S130" s="211"/>
    </row>
    <row r="131" spans="1:19">
      <c r="A131" s="208">
        <v>13</v>
      </c>
      <c r="B131" s="247" t="str">
        <f t="shared" si="9"/>
        <v>Saturday November 29, 2025</v>
      </c>
      <c r="C131" s="208" t="s">
        <v>27</v>
      </c>
      <c r="D131" s="166">
        <v>83200</v>
      </c>
      <c r="E131" s="187">
        <v>4</v>
      </c>
      <c r="F131" s="165" t="s">
        <v>14</v>
      </c>
      <c r="G131" s="209"/>
      <c r="H131" s="230">
        <v>0.41666666666666669</v>
      </c>
      <c r="I131" s="208"/>
      <c r="J131" s="166" t="s">
        <v>0</v>
      </c>
      <c r="K131" s="187">
        <v>2</v>
      </c>
      <c r="L131" s="165">
        <v>95238.095238095237</v>
      </c>
      <c r="M131" s="209" t="s">
        <v>17</v>
      </c>
      <c r="N131" s="208"/>
      <c r="O131" s="130"/>
      <c r="P131" s="130"/>
      <c r="Q131" s="130"/>
      <c r="R131" s="130"/>
      <c r="S131" s="209"/>
    </row>
    <row r="132" spans="1:19">
      <c r="A132" s="212">
        <v>14</v>
      </c>
      <c r="B132" s="244" t="s">
        <v>1246</v>
      </c>
      <c r="C132" s="212" t="s">
        <v>43</v>
      </c>
      <c r="D132" s="170">
        <v>85200</v>
      </c>
      <c r="E132" s="186">
        <v>2</v>
      </c>
      <c r="F132" s="168" t="s">
        <v>32</v>
      </c>
      <c r="G132" s="213"/>
      <c r="H132" s="238">
        <v>0.625</v>
      </c>
      <c r="I132" s="212"/>
      <c r="J132" s="170" t="s">
        <v>10</v>
      </c>
      <c r="K132" s="186">
        <v>4</v>
      </c>
      <c r="L132" s="168">
        <v>79238.095238095237</v>
      </c>
      <c r="M132" s="213" t="s">
        <v>24</v>
      </c>
      <c r="N132" s="212"/>
      <c r="O132" s="169"/>
      <c r="P132" s="169"/>
      <c r="Q132" s="169"/>
      <c r="R132" s="169"/>
      <c r="S132" s="213"/>
    </row>
    <row r="133" spans="1:19">
      <c r="A133" s="214">
        <v>14</v>
      </c>
      <c r="B133" s="244" t="str">
        <f t="shared" ref="B133:B141" si="10">B132</f>
        <v>Wednesday December 3, 2025</v>
      </c>
      <c r="C133" s="214" t="s">
        <v>20</v>
      </c>
      <c r="D133" s="173">
        <v>99960</v>
      </c>
      <c r="E133" s="187">
        <v>1</v>
      </c>
      <c r="F133" s="171" t="s">
        <v>6</v>
      </c>
      <c r="G133" s="215"/>
      <c r="H133" s="238">
        <v>0.625</v>
      </c>
      <c r="I133" s="214"/>
      <c r="J133" s="173" t="s">
        <v>7</v>
      </c>
      <c r="K133" s="187">
        <v>5</v>
      </c>
      <c r="L133" s="171">
        <v>79238.095238095237</v>
      </c>
      <c r="M133" s="215" t="s">
        <v>21</v>
      </c>
      <c r="N133" s="214"/>
      <c r="O133" s="172"/>
      <c r="P133" s="172"/>
      <c r="Q133" s="172"/>
      <c r="R133" s="172"/>
      <c r="S133" s="215"/>
    </row>
    <row r="134" spans="1:19">
      <c r="A134" s="212">
        <v>14</v>
      </c>
      <c r="B134" s="244" t="str">
        <f t="shared" si="10"/>
        <v>Wednesday December 3, 2025</v>
      </c>
      <c r="C134" s="212" t="s">
        <v>33</v>
      </c>
      <c r="D134" s="170">
        <v>85200</v>
      </c>
      <c r="E134" s="186">
        <v>3</v>
      </c>
      <c r="F134" s="168" t="s">
        <v>13</v>
      </c>
      <c r="G134" s="213"/>
      <c r="H134" s="238">
        <v>0.625</v>
      </c>
      <c r="I134" s="212"/>
      <c r="J134" s="170" t="s">
        <v>16</v>
      </c>
      <c r="K134" s="186">
        <v>3</v>
      </c>
      <c r="L134" s="168">
        <v>89142.857142857145</v>
      </c>
      <c r="M134" s="213" t="s">
        <v>28</v>
      </c>
      <c r="N134" s="212"/>
      <c r="O134" s="169"/>
      <c r="P134" s="169"/>
      <c r="Q134" s="169"/>
      <c r="R134" s="169"/>
      <c r="S134" s="213"/>
    </row>
    <row r="135" spans="1:19">
      <c r="A135" s="214">
        <v>14</v>
      </c>
      <c r="B135" s="244" t="str">
        <f t="shared" si="10"/>
        <v>Wednesday December 3, 2025</v>
      </c>
      <c r="C135" s="214" t="s">
        <v>22</v>
      </c>
      <c r="D135" s="173">
        <v>70200</v>
      </c>
      <c r="E135" s="187">
        <v>4</v>
      </c>
      <c r="F135" s="171" t="s">
        <v>8</v>
      </c>
      <c r="G135" s="215"/>
      <c r="H135" s="238">
        <v>0.625</v>
      </c>
      <c r="I135" s="214"/>
      <c r="J135" s="173" t="s">
        <v>12</v>
      </c>
      <c r="K135" s="187">
        <v>2</v>
      </c>
      <c r="L135" s="171">
        <v>79238.095238095237</v>
      </c>
      <c r="M135" s="215" t="s">
        <v>26</v>
      </c>
      <c r="N135" s="214"/>
      <c r="O135" s="172"/>
      <c r="P135" s="172"/>
      <c r="Q135" s="172"/>
      <c r="R135" s="172"/>
      <c r="S135" s="215"/>
    </row>
    <row r="136" spans="1:19">
      <c r="A136" s="212">
        <v>14</v>
      </c>
      <c r="B136" s="244" t="str">
        <f t="shared" si="10"/>
        <v>Wednesday December 3, 2025</v>
      </c>
      <c r="C136" s="212" t="s">
        <v>23</v>
      </c>
      <c r="D136" s="170">
        <v>85200</v>
      </c>
      <c r="E136" s="186">
        <v>4</v>
      </c>
      <c r="F136" s="168" t="s">
        <v>9</v>
      </c>
      <c r="G136" s="213"/>
      <c r="H136" s="238">
        <v>0.625</v>
      </c>
      <c r="I136" s="212"/>
      <c r="J136" s="170" t="s">
        <v>1</v>
      </c>
      <c r="K136" s="186">
        <v>2</v>
      </c>
      <c r="L136" s="168">
        <v>95142.857142857145</v>
      </c>
      <c r="M136" s="213" t="s">
        <v>29</v>
      </c>
      <c r="N136" s="212"/>
      <c r="O136" s="169"/>
      <c r="P136" s="169"/>
      <c r="Q136" s="169"/>
      <c r="R136" s="169"/>
      <c r="S136" s="213"/>
    </row>
    <row r="137" spans="1:19">
      <c r="A137" s="214">
        <v>14</v>
      </c>
      <c r="B137" s="244" t="str">
        <f t="shared" si="10"/>
        <v>Wednesday December 3, 2025</v>
      </c>
      <c r="C137" s="214" t="s">
        <v>633</v>
      </c>
      <c r="D137" s="173">
        <v>70200</v>
      </c>
      <c r="E137" s="187">
        <v>5</v>
      </c>
      <c r="F137" s="171" t="s">
        <v>1221</v>
      </c>
      <c r="G137" s="215"/>
      <c r="H137" s="238">
        <v>0.625</v>
      </c>
      <c r="I137" s="214"/>
      <c r="J137" s="173" t="s">
        <v>3</v>
      </c>
      <c r="K137" s="187">
        <v>1</v>
      </c>
      <c r="L137" s="171">
        <v>94666.666666666657</v>
      </c>
      <c r="M137" s="215" t="s">
        <v>18</v>
      </c>
      <c r="N137" s="214"/>
      <c r="O137" s="172"/>
      <c r="P137" s="172"/>
      <c r="Q137" s="172"/>
      <c r="R137" s="172"/>
      <c r="S137" s="215"/>
    </row>
    <row r="138" spans="1:19">
      <c r="A138" s="212">
        <v>14</v>
      </c>
      <c r="B138" s="244" t="str">
        <f t="shared" si="10"/>
        <v>Wednesday December 3, 2025</v>
      </c>
      <c r="C138" s="212" t="s">
        <v>17</v>
      </c>
      <c r="D138" s="170">
        <v>100000</v>
      </c>
      <c r="E138" s="186">
        <v>1</v>
      </c>
      <c r="F138" s="168" t="s">
        <v>0</v>
      </c>
      <c r="G138" s="213"/>
      <c r="H138" s="238">
        <v>0.625</v>
      </c>
      <c r="I138" s="212"/>
      <c r="J138" s="170" t="s">
        <v>1220</v>
      </c>
      <c r="K138" s="186">
        <v>5</v>
      </c>
      <c r="L138" s="168">
        <v>66857.142857142855</v>
      </c>
      <c r="M138" s="213" t="s">
        <v>634</v>
      </c>
      <c r="N138" s="212"/>
      <c r="O138" s="169"/>
      <c r="P138" s="169"/>
      <c r="Q138" s="169"/>
      <c r="R138" s="169"/>
      <c r="S138" s="213"/>
    </row>
    <row r="139" spans="1:19">
      <c r="A139" s="214">
        <v>14</v>
      </c>
      <c r="B139" s="244" t="str">
        <f t="shared" si="10"/>
        <v>Wednesday December 3, 2025</v>
      </c>
      <c r="C139" s="214" t="s">
        <v>30</v>
      </c>
      <c r="D139" s="173">
        <v>97400</v>
      </c>
      <c r="E139" s="187">
        <v>1</v>
      </c>
      <c r="F139" s="171" t="s">
        <v>2</v>
      </c>
      <c r="G139" s="215"/>
      <c r="H139" s="238">
        <v>0.625</v>
      </c>
      <c r="I139" s="214"/>
      <c r="J139" s="173" t="s">
        <v>14</v>
      </c>
      <c r="K139" s="187">
        <v>5</v>
      </c>
      <c r="L139" s="171">
        <v>79238.095238095237</v>
      </c>
      <c r="M139" s="215" t="s">
        <v>27</v>
      </c>
      <c r="N139" s="214"/>
      <c r="O139" s="172"/>
      <c r="P139" s="172"/>
      <c r="Q139" s="172"/>
      <c r="R139" s="172"/>
      <c r="S139" s="215"/>
    </row>
    <row r="140" spans="1:19">
      <c r="A140" s="212">
        <v>14</v>
      </c>
      <c r="B140" s="244" t="str">
        <f t="shared" si="10"/>
        <v>Wednesday December 3, 2025</v>
      </c>
      <c r="C140" s="212" t="s">
        <v>25</v>
      </c>
      <c r="D140" s="170">
        <v>95200</v>
      </c>
      <c r="E140" s="186">
        <v>3</v>
      </c>
      <c r="F140" s="168" t="s">
        <v>11</v>
      </c>
      <c r="G140" s="213"/>
      <c r="H140" s="238">
        <v>0.625</v>
      </c>
      <c r="I140" s="212"/>
      <c r="J140" s="170" t="s">
        <v>4</v>
      </c>
      <c r="K140" s="186">
        <v>3</v>
      </c>
      <c r="L140" s="168">
        <v>92761.904761904763</v>
      </c>
      <c r="M140" s="213" t="s">
        <v>19</v>
      </c>
      <c r="N140" s="212"/>
      <c r="O140" s="169"/>
      <c r="P140" s="169"/>
      <c r="Q140" s="169"/>
      <c r="R140" s="169"/>
      <c r="S140" s="213"/>
    </row>
    <row r="141" spans="1:19">
      <c r="A141" s="214">
        <v>14</v>
      </c>
      <c r="B141" s="244" t="str">
        <f t="shared" si="10"/>
        <v>Wednesday December 3, 2025</v>
      </c>
      <c r="C141" s="214" t="s">
        <v>51</v>
      </c>
      <c r="D141" s="173">
        <v>75200</v>
      </c>
      <c r="E141" s="187">
        <v>4</v>
      </c>
      <c r="F141" s="171" t="s">
        <v>5</v>
      </c>
      <c r="G141" s="215"/>
      <c r="H141" s="238">
        <v>0.625</v>
      </c>
      <c r="I141" s="214"/>
      <c r="J141" s="173" t="s">
        <v>15</v>
      </c>
      <c r="K141" s="187">
        <v>2</v>
      </c>
      <c r="L141" s="171">
        <v>81142.857142857145</v>
      </c>
      <c r="M141" s="215" t="s">
        <v>52</v>
      </c>
      <c r="N141" s="214"/>
      <c r="O141" s="172"/>
      <c r="P141" s="172"/>
      <c r="Q141" s="172"/>
      <c r="R141" s="172"/>
      <c r="S141" s="215"/>
    </row>
    <row r="142" spans="1:19">
      <c r="A142" s="216">
        <v>15</v>
      </c>
      <c r="B142" s="245" t="s">
        <v>1247</v>
      </c>
      <c r="C142" s="216" t="s">
        <v>43</v>
      </c>
      <c r="D142" s="176">
        <v>85200</v>
      </c>
      <c r="E142" s="186">
        <v>4</v>
      </c>
      <c r="F142" s="174" t="s">
        <v>32</v>
      </c>
      <c r="G142" s="217"/>
      <c r="H142" s="234">
        <v>0.41666666666666669</v>
      </c>
      <c r="I142" s="216"/>
      <c r="J142" s="176" t="s">
        <v>3</v>
      </c>
      <c r="K142" s="186">
        <v>2</v>
      </c>
      <c r="L142" s="174">
        <v>94666.666666666657</v>
      </c>
      <c r="M142" s="217" t="s">
        <v>18</v>
      </c>
      <c r="N142" s="216"/>
      <c r="O142" s="175"/>
      <c r="P142" s="175"/>
      <c r="Q142" s="175"/>
      <c r="R142" s="175"/>
      <c r="S142" s="217"/>
    </row>
    <row r="143" spans="1:19">
      <c r="A143" s="218">
        <v>15</v>
      </c>
      <c r="B143" s="245" t="str">
        <f t="shared" ref="B143:B150" si="11">B142</f>
        <v>Saturday December 6, 2025</v>
      </c>
      <c r="C143" s="218" t="s">
        <v>28</v>
      </c>
      <c r="D143" s="179">
        <v>93600</v>
      </c>
      <c r="E143" s="187">
        <v>3</v>
      </c>
      <c r="F143" s="177" t="s">
        <v>16</v>
      </c>
      <c r="G143" s="219"/>
      <c r="H143" s="235">
        <v>0.41666666666666669</v>
      </c>
      <c r="I143" s="218"/>
      <c r="J143" s="179" t="s">
        <v>6</v>
      </c>
      <c r="K143" s="187">
        <v>3</v>
      </c>
      <c r="L143" s="177">
        <v>95200</v>
      </c>
      <c r="M143" s="219" t="s">
        <v>20</v>
      </c>
      <c r="N143" s="218"/>
      <c r="O143" s="178"/>
      <c r="P143" s="178"/>
      <c r="Q143" s="178"/>
      <c r="R143" s="178"/>
      <c r="S143" s="219"/>
    </row>
    <row r="144" spans="1:19">
      <c r="A144" s="216">
        <v>15</v>
      </c>
      <c r="B144" s="245" t="str">
        <f t="shared" si="11"/>
        <v>Saturday December 6, 2025</v>
      </c>
      <c r="C144" s="216" t="s">
        <v>33</v>
      </c>
      <c r="D144" s="176">
        <v>85200</v>
      </c>
      <c r="E144" s="186">
        <v>2</v>
      </c>
      <c r="F144" s="174" t="s">
        <v>13</v>
      </c>
      <c r="G144" s="217"/>
      <c r="H144" s="234">
        <v>0.41666666666666669</v>
      </c>
      <c r="I144" s="216"/>
      <c r="J144" s="176" t="s">
        <v>14</v>
      </c>
      <c r="K144" s="186">
        <v>4</v>
      </c>
      <c r="L144" s="174">
        <v>79238.095238095237</v>
      </c>
      <c r="M144" s="217" t="s">
        <v>27</v>
      </c>
      <c r="N144" s="216"/>
      <c r="O144" s="175"/>
      <c r="P144" s="175"/>
      <c r="Q144" s="175"/>
      <c r="R144" s="175"/>
      <c r="S144" s="217"/>
    </row>
    <row r="145" spans="1:19">
      <c r="A145" s="218">
        <v>15</v>
      </c>
      <c r="B145" s="245" t="str">
        <f t="shared" si="11"/>
        <v>Saturday December 6, 2025</v>
      </c>
      <c r="C145" s="218" t="s">
        <v>24</v>
      </c>
      <c r="D145" s="179">
        <v>83200</v>
      </c>
      <c r="E145" s="187">
        <v>3</v>
      </c>
      <c r="F145" s="177" t="s">
        <v>10</v>
      </c>
      <c r="G145" s="219"/>
      <c r="H145" s="235">
        <v>0.41666666666666669</v>
      </c>
      <c r="I145" s="218"/>
      <c r="J145" s="179" t="s">
        <v>15</v>
      </c>
      <c r="K145" s="187">
        <v>3</v>
      </c>
      <c r="L145" s="177">
        <v>81142.857142857145</v>
      </c>
      <c r="M145" s="219" t="s">
        <v>52</v>
      </c>
      <c r="N145" s="218"/>
      <c r="O145" s="178"/>
      <c r="P145" s="178"/>
      <c r="Q145" s="178"/>
      <c r="R145" s="178"/>
      <c r="S145" s="219"/>
    </row>
    <row r="146" spans="1:19">
      <c r="A146" s="216">
        <v>15</v>
      </c>
      <c r="B146" s="245" t="str">
        <f t="shared" si="11"/>
        <v>Saturday December 6, 2025</v>
      </c>
      <c r="C146" s="216" t="s">
        <v>23</v>
      </c>
      <c r="D146" s="176">
        <v>85200</v>
      </c>
      <c r="E146" s="186">
        <v>2</v>
      </c>
      <c r="F146" s="174" t="s">
        <v>9</v>
      </c>
      <c r="G146" s="217"/>
      <c r="H146" s="234">
        <v>0.41666666666666669</v>
      </c>
      <c r="I146" s="216"/>
      <c r="J146" s="176" t="s">
        <v>12</v>
      </c>
      <c r="K146" s="186">
        <v>4</v>
      </c>
      <c r="L146" s="174">
        <v>79238.095238095237</v>
      </c>
      <c r="M146" s="217" t="s">
        <v>26</v>
      </c>
      <c r="N146" s="216"/>
      <c r="O146" s="175"/>
      <c r="P146" s="175"/>
      <c r="Q146" s="175"/>
      <c r="R146" s="175"/>
      <c r="S146" s="217"/>
    </row>
    <row r="147" spans="1:19">
      <c r="A147" s="218">
        <v>15</v>
      </c>
      <c r="B147" s="245" t="str">
        <f t="shared" si="11"/>
        <v>Saturday December 6, 2025</v>
      </c>
      <c r="C147" s="218" t="s">
        <v>633</v>
      </c>
      <c r="D147" s="179">
        <v>70200</v>
      </c>
      <c r="E147" s="187">
        <v>5</v>
      </c>
      <c r="F147" s="177" t="s">
        <v>1221</v>
      </c>
      <c r="G147" s="219"/>
      <c r="H147" s="235">
        <v>0.41666666666666669</v>
      </c>
      <c r="I147" s="218"/>
      <c r="J147" s="179" t="s">
        <v>0</v>
      </c>
      <c r="K147" s="187">
        <v>1</v>
      </c>
      <c r="L147" s="177">
        <v>95238.095238095237</v>
      </c>
      <c r="M147" s="219" t="s">
        <v>17</v>
      </c>
      <c r="N147" s="218"/>
      <c r="O147" s="178"/>
      <c r="P147" s="178"/>
      <c r="Q147" s="178"/>
      <c r="R147" s="178"/>
      <c r="S147" s="219"/>
    </row>
    <row r="148" spans="1:19">
      <c r="A148" s="216">
        <v>15</v>
      </c>
      <c r="B148" s="245" t="str">
        <f t="shared" si="11"/>
        <v>Saturday December 6, 2025</v>
      </c>
      <c r="C148" s="216" t="s">
        <v>29</v>
      </c>
      <c r="D148" s="176">
        <v>99900</v>
      </c>
      <c r="E148" s="186">
        <v>1</v>
      </c>
      <c r="F148" s="174" t="s">
        <v>1</v>
      </c>
      <c r="G148" s="217"/>
      <c r="H148" s="234">
        <v>0.41666666666666669</v>
      </c>
      <c r="I148" s="216"/>
      <c r="J148" s="176" t="s">
        <v>1220</v>
      </c>
      <c r="K148" s="186">
        <v>5</v>
      </c>
      <c r="L148" s="174">
        <v>66857.142857142855</v>
      </c>
      <c r="M148" s="217" t="s">
        <v>634</v>
      </c>
      <c r="N148" s="216"/>
      <c r="O148" s="175"/>
      <c r="P148" s="175"/>
      <c r="Q148" s="175"/>
      <c r="R148" s="175"/>
      <c r="S148" s="217"/>
    </row>
    <row r="149" spans="1:19">
      <c r="A149" s="218">
        <v>15</v>
      </c>
      <c r="B149" s="245" t="str">
        <f t="shared" si="11"/>
        <v>Saturday December 6, 2025</v>
      </c>
      <c r="C149" s="218" t="s">
        <v>25</v>
      </c>
      <c r="D149" s="179">
        <v>95200</v>
      </c>
      <c r="E149" s="187">
        <v>1</v>
      </c>
      <c r="F149" s="177" t="s">
        <v>11</v>
      </c>
      <c r="G149" s="219"/>
      <c r="H149" s="235">
        <v>0.41666666666666669</v>
      </c>
      <c r="I149" s="218"/>
      <c r="J149" s="179" t="s">
        <v>8</v>
      </c>
      <c r="K149" s="187">
        <v>5</v>
      </c>
      <c r="L149" s="177">
        <v>66857.142857142855</v>
      </c>
      <c r="M149" s="219" t="s">
        <v>22</v>
      </c>
      <c r="N149" s="218"/>
      <c r="O149" s="178"/>
      <c r="P149" s="178"/>
      <c r="Q149" s="178"/>
      <c r="R149" s="178"/>
      <c r="S149" s="219"/>
    </row>
    <row r="150" spans="1:19">
      <c r="A150" s="216">
        <v>15</v>
      </c>
      <c r="B150" s="245" t="str">
        <f t="shared" si="11"/>
        <v>Saturday December 6, 2025</v>
      </c>
      <c r="C150" s="216" t="s">
        <v>19</v>
      </c>
      <c r="D150" s="176">
        <v>97400</v>
      </c>
      <c r="E150" s="186">
        <v>1</v>
      </c>
      <c r="F150" s="174" t="s">
        <v>4</v>
      </c>
      <c r="G150" s="217"/>
      <c r="H150" s="234">
        <v>0.41666666666666669</v>
      </c>
      <c r="I150" s="216"/>
      <c r="J150" s="176" t="s">
        <v>7</v>
      </c>
      <c r="K150" s="186">
        <v>5</v>
      </c>
      <c r="L150" s="174">
        <v>79238.095238095237</v>
      </c>
      <c r="M150" s="217" t="s">
        <v>21</v>
      </c>
      <c r="N150" s="216"/>
      <c r="O150" s="175"/>
      <c r="P150" s="175"/>
      <c r="Q150" s="175"/>
      <c r="R150" s="175"/>
      <c r="S150" s="217"/>
    </row>
    <row r="151" spans="1:19">
      <c r="A151" s="218">
        <v>15</v>
      </c>
      <c r="B151" s="245" t="str">
        <f>B150</f>
        <v>Saturday December 6, 2025</v>
      </c>
      <c r="C151" s="218" t="s">
        <v>51</v>
      </c>
      <c r="D151" s="179">
        <v>75200</v>
      </c>
      <c r="E151" s="187">
        <v>5</v>
      </c>
      <c r="F151" s="177" t="s">
        <v>5</v>
      </c>
      <c r="G151" s="219"/>
      <c r="H151" s="235">
        <v>0.41666666666666669</v>
      </c>
      <c r="I151" s="218"/>
      <c r="J151" s="179" t="s">
        <v>2</v>
      </c>
      <c r="K151" s="187">
        <v>1</v>
      </c>
      <c r="L151" s="177">
        <v>92761.904761904763</v>
      </c>
      <c r="M151" s="219" t="s">
        <v>30</v>
      </c>
      <c r="N151" s="218"/>
      <c r="O151" s="178"/>
      <c r="P151" s="178"/>
      <c r="Q151" s="178"/>
      <c r="R151" s="178"/>
      <c r="S151" s="219"/>
    </row>
    <row r="152" spans="1:19">
      <c r="A152" s="220">
        <v>16</v>
      </c>
      <c r="B152" s="246" t="s">
        <v>1248</v>
      </c>
      <c r="C152" s="220" t="s">
        <v>20</v>
      </c>
      <c r="D152" s="182">
        <v>99960</v>
      </c>
      <c r="E152" s="186">
        <v>1</v>
      </c>
      <c r="F152" s="180" t="s">
        <v>6</v>
      </c>
      <c r="G152" s="221"/>
      <c r="H152" s="236">
        <v>0.41666666666666669</v>
      </c>
      <c r="I152" s="220"/>
      <c r="J152" s="182" t="s">
        <v>5</v>
      </c>
      <c r="K152" s="186">
        <v>5</v>
      </c>
      <c r="L152" s="180">
        <v>71619.047619047618</v>
      </c>
      <c r="M152" s="221" t="s">
        <v>51</v>
      </c>
      <c r="N152" s="220"/>
      <c r="O152" s="181"/>
      <c r="P152" s="181"/>
      <c r="Q152" s="181"/>
      <c r="R152" s="181"/>
      <c r="S152" s="221"/>
    </row>
    <row r="153" spans="1:19">
      <c r="A153" s="222">
        <v>16</v>
      </c>
      <c r="B153" s="246" t="str">
        <f t="shared" ref="B153:B161" si="12">B152</f>
        <v>Saturday December 13, 2025</v>
      </c>
      <c r="C153" s="222" t="s">
        <v>21</v>
      </c>
      <c r="D153" s="185">
        <v>83200</v>
      </c>
      <c r="E153" s="187">
        <v>1</v>
      </c>
      <c r="F153" s="183" t="s">
        <v>7</v>
      </c>
      <c r="G153" s="223"/>
      <c r="H153" s="237">
        <v>0.41666666666666669</v>
      </c>
      <c r="I153" s="222"/>
      <c r="J153" s="185" t="s">
        <v>1221</v>
      </c>
      <c r="K153" s="187">
        <v>5</v>
      </c>
      <c r="L153" s="183">
        <v>66857.142857142855</v>
      </c>
      <c r="M153" s="223" t="s">
        <v>633</v>
      </c>
      <c r="N153" s="222"/>
      <c r="O153" s="184"/>
      <c r="P153" s="184"/>
      <c r="Q153" s="184"/>
      <c r="R153" s="184"/>
      <c r="S153" s="223"/>
    </row>
    <row r="154" spans="1:19">
      <c r="A154" s="220">
        <v>16</v>
      </c>
      <c r="B154" s="246" t="str">
        <f t="shared" si="12"/>
        <v>Saturday December 13, 2025</v>
      </c>
      <c r="C154" s="220" t="s">
        <v>22</v>
      </c>
      <c r="D154" s="182">
        <v>70200</v>
      </c>
      <c r="E154" s="186">
        <v>5</v>
      </c>
      <c r="F154" s="180" t="s">
        <v>8</v>
      </c>
      <c r="G154" s="221"/>
      <c r="H154" s="236">
        <v>0.41666666666666669</v>
      </c>
      <c r="I154" s="220"/>
      <c r="J154" s="182" t="s">
        <v>9</v>
      </c>
      <c r="K154" s="186">
        <v>2</v>
      </c>
      <c r="L154" s="180">
        <v>81142.857142857145</v>
      </c>
      <c r="M154" s="221" t="s">
        <v>23</v>
      </c>
      <c r="N154" s="220"/>
      <c r="O154" s="181"/>
      <c r="P154" s="181"/>
      <c r="Q154" s="181"/>
      <c r="R154" s="181"/>
      <c r="S154" s="221"/>
    </row>
    <row r="155" spans="1:19">
      <c r="A155" s="222">
        <v>16</v>
      </c>
      <c r="B155" s="246" t="str">
        <f t="shared" si="12"/>
        <v>Saturday December 13, 2025</v>
      </c>
      <c r="C155" s="222" t="s">
        <v>18</v>
      </c>
      <c r="D155" s="185">
        <v>99400</v>
      </c>
      <c r="E155" s="187">
        <v>1</v>
      </c>
      <c r="F155" s="183" t="s">
        <v>3</v>
      </c>
      <c r="G155" s="223"/>
      <c r="H155" s="237">
        <v>0.41666666666666669</v>
      </c>
      <c r="I155" s="222"/>
      <c r="J155" s="185" t="s">
        <v>10</v>
      </c>
      <c r="K155" s="187">
        <v>5</v>
      </c>
      <c r="L155" s="183">
        <v>79238.095238095237</v>
      </c>
      <c r="M155" s="223" t="s">
        <v>24</v>
      </c>
      <c r="N155" s="222"/>
      <c r="O155" s="184"/>
      <c r="P155" s="184"/>
      <c r="Q155" s="184"/>
      <c r="R155" s="184"/>
      <c r="S155" s="223"/>
    </row>
    <row r="156" spans="1:19">
      <c r="A156" s="220">
        <v>16</v>
      </c>
      <c r="B156" s="246" t="str">
        <f t="shared" si="12"/>
        <v>Saturday December 13, 2025</v>
      </c>
      <c r="C156" s="220" t="s">
        <v>26</v>
      </c>
      <c r="D156" s="182">
        <v>83200</v>
      </c>
      <c r="E156" s="186">
        <v>4</v>
      </c>
      <c r="F156" s="180" t="s">
        <v>12</v>
      </c>
      <c r="G156" s="221"/>
      <c r="H156" s="236">
        <v>0.41666666666666669</v>
      </c>
      <c r="I156" s="220"/>
      <c r="J156" s="182" t="s">
        <v>1</v>
      </c>
      <c r="K156" s="186">
        <v>2</v>
      </c>
      <c r="L156" s="180">
        <v>95142.857142857145</v>
      </c>
      <c r="M156" s="221" t="s">
        <v>29</v>
      </c>
      <c r="N156" s="220"/>
      <c r="O156" s="181"/>
      <c r="P156" s="181"/>
      <c r="Q156" s="181"/>
      <c r="R156" s="181"/>
      <c r="S156" s="221"/>
    </row>
    <row r="157" spans="1:19">
      <c r="A157" s="222">
        <v>16</v>
      </c>
      <c r="B157" s="246" t="str">
        <f t="shared" si="12"/>
        <v>Saturday December 13, 2025</v>
      </c>
      <c r="C157" s="222" t="s">
        <v>17</v>
      </c>
      <c r="D157" s="185">
        <v>100000</v>
      </c>
      <c r="E157" s="187">
        <v>1</v>
      </c>
      <c r="F157" s="183" t="s">
        <v>0</v>
      </c>
      <c r="G157" s="223"/>
      <c r="H157" s="237">
        <v>0.41666666666666669</v>
      </c>
      <c r="I157" s="222"/>
      <c r="J157" s="185" t="s">
        <v>13</v>
      </c>
      <c r="K157" s="187">
        <v>5</v>
      </c>
      <c r="L157" s="183">
        <v>81142.857142857145</v>
      </c>
      <c r="M157" s="223" t="s">
        <v>33</v>
      </c>
      <c r="N157" s="222"/>
      <c r="O157" s="184"/>
      <c r="P157" s="184"/>
      <c r="Q157" s="184"/>
      <c r="R157" s="184"/>
      <c r="S157" s="223"/>
    </row>
    <row r="158" spans="1:19">
      <c r="A158" s="220">
        <v>16</v>
      </c>
      <c r="B158" s="246" t="str">
        <f t="shared" si="12"/>
        <v>Saturday December 13, 2025</v>
      </c>
      <c r="C158" s="220" t="s">
        <v>30</v>
      </c>
      <c r="D158" s="182">
        <v>97400</v>
      </c>
      <c r="E158" s="186">
        <v>1</v>
      </c>
      <c r="F158" s="180" t="s">
        <v>2</v>
      </c>
      <c r="G158" s="221"/>
      <c r="H158" s="236">
        <v>0.41666666666666669</v>
      </c>
      <c r="I158" s="220"/>
      <c r="J158" s="182" t="s">
        <v>32</v>
      </c>
      <c r="K158" s="186">
        <v>5</v>
      </c>
      <c r="L158" s="180">
        <v>81142.857142857145</v>
      </c>
      <c r="M158" s="221" t="s">
        <v>43</v>
      </c>
      <c r="N158" s="220"/>
      <c r="O158" s="181"/>
      <c r="P158" s="181"/>
      <c r="Q158" s="181"/>
      <c r="R158" s="181"/>
      <c r="S158" s="221"/>
    </row>
    <row r="159" spans="1:19">
      <c r="A159" s="222">
        <v>16</v>
      </c>
      <c r="B159" s="246" t="str">
        <f t="shared" si="12"/>
        <v>Saturday December 13, 2025</v>
      </c>
      <c r="C159" s="222" t="s">
        <v>52</v>
      </c>
      <c r="D159" s="185">
        <v>85200</v>
      </c>
      <c r="E159" s="187">
        <v>4</v>
      </c>
      <c r="F159" s="183" t="s">
        <v>15</v>
      </c>
      <c r="G159" s="223"/>
      <c r="H159" s="237">
        <v>0.41666666666666669</v>
      </c>
      <c r="I159" s="222"/>
      <c r="J159" s="185" t="s">
        <v>4</v>
      </c>
      <c r="K159" s="187">
        <v>2</v>
      </c>
      <c r="L159" s="183">
        <v>92761.904761904763</v>
      </c>
      <c r="M159" s="223" t="s">
        <v>19</v>
      </c>
      <c r="N159" s="222"/>
      <c r="O159" s="184"/>
      <c r="P159" s="184"/>
      <c r="Q159" s="184"/>
      <c r="R159" s="184"/>
      <c r="S159" s="223"/>
    </row>
    <row r="160" spans="1:19">
      <c r="A160" s="220">
        <v>16</v>
      </c>
      <c r="B160" s="246" t="str">
        <f t="shared" si="12"/>
        <v>Saturday December 13, 2025</v>
      </c>
      <c r="C160" s="220" t="s">
        <v>634</v>
      </c>
      <c r="D160" s="182">
        <v>70200</v>
      </c>
      <c r="E160" s="186">
        <v>5</v>
      </c>
      <c r="F160" s="180" t="s">
        <v>1220</v>
      </c>
      <c r="G160" s="221"/>
      <c r="H160" s="236">
        <v>0.41666666666666669</v>
      </c>
      <c r="I160" s="220"/>
      <c r="J160" s="182" t="s">
        <v>11</v>
      </c>
      <c r="K160" s="186">
        <v>1</v>
      </c>
      <c r="L160" s="180">
        <v>90666.666666666657</v>
      </c>
      <c r="M160" s="221" t="s">
        <v>25</v>
      </c>
      <c r="N160" s="220"/>
      <c r="O160" s="181"/>
      <c r="P160" s="181"/>
      <c r="Q160" s="181"/>
      <c r="R160" s="181"/>
      <c r="S160" s="221"/>
    </row>
    <row r="161" spans="1:19">
      <c r="A161" s="222">
        <v>16</v>
      </c>
      <c r="B161" s="246" t="str">
        <f t="shared" si="12"/>
        <v>Saturday December 13, 2025</v>
      </c>
      <c r="C161" s="222" t="s">
        <v>27</v>
      </c>
      <c r="D161" s="185">
        <v>83200</v>
      </c>
      <c r="E161" s="187">
        <v>4</v>
      </c>
      <c r="F161" s="183" t="s">
        <v>14</v>
      </c>
      <c r="G161" s="223"/>
      <c r="H161" s="237">
        <v>0.41666666666666669</v>
      </c>
      <c r="I161" s="222"/>
      <c r="J161" s="185" t="s">
        <v>16</v>
      </c>
      <c r="K161" s="187">
        <v>2</v>
      </c>
      <c r="L161" s="183">
        <v>89142.857142857145</v>
      </c>
      <c r="M161" s="223" t="s">
        <v>28</v>
      </c>
      <c r="N161" s="222"/>
      <c r="O161" s="184"/>
      <c r="P161" s="184"/>
      <c r="Q161" s="184"/>
      <c r="R161" s="184"/>
      <c r="S161" s="223"/>
    </row>
    <row r="162" spans="1:19">
      <c r="A162" s="210">
        <v>17</v>
      </c>
      <c r="B162" s="247" t="s">
        <v>1249</v>
      </c>
      <c r="C162" s="210" t="s">
        <v>43</v>
      </c>
      <c r="D162" s="154">
        <v>85200</v>
      </c>
      <c r="E162" s="186">
        <v>1</v>
      </c>
      <c r="F162" s="167" t="s">
        <v>32</v>
      </c>
      <c r="G162" s="211"/>
      <c r="H162" s="231">
        <v>0.41666666666666669</v>
      </c>
      <c r="I162" s="210"/>
      <c r="J162" s="154" t="s">
        <v>8</v>
      </c>
      <c r="K162" s="186">
        <v>5</v>
      </c>
      <c r="L162" s="167">
        <v>66857.142857142855</v>
      </c>
      <c r="M162" s="211" t="s">
        <v>22</v>
      </c>
      <c r="N162" s="210"/>
      <c r="O162" s="129"/>
      <c r="P162" s="129"/>
      <c r="Q162" s="129"/>
      <c r="R162" s="129"/>
      <c r="S162" s="211"/>
    </row>
    <row r="163" spans="1:19">
      <c r="A163" s="208">
        <v>17</v>
      </c>
      <c r="B163" s="247" t="str">
        <f t="shared" ref="B163:B171" si="13">B162</f>
        <v>Saturday December 20, 2025</v>
      </c>
      <c r="C163" s="208" t="s">
        <v>28</v>
      </c>
      <c r="D163" s="166">
        <v>93600</v>
      </c>
      <c r="E163" s="187">
        <v>3</v>
      </c>
      <c r="F163" s="165" t="s">
        <v>16</v>
      </c>
      <c r="G163" s="209"/>
      <c r="H163" s="230">
        <v>0.41666666666666669</v>
      </c>
      <c r="I163" s="208"/>
      <c r="J163" s="166" t="s">
        <v>2</v>
      </c>
      <c r="K163" s="187">
        <v>3</v>
      </c>
      <c r="L163" s="165">
        <v>92761.904761904763</v>
      </c>
      <c r="M163" s="209" t="s">
        <v>30</v>
      </c>
      <c r="N163" s="208"/>
      <c r="O163" s="130"/>
      <c r="P163" s="130"/>
      <c r="Q163" s="130"/>
      <c r="R163" s="130"/>
      <c r="S163" s="209"/>
    </row>
    <row r="164" spans="1:19">
      <c r="A164" s="210">
        <v>17</v>
      </c>
      <c r="B164" s="247" t="str">
        <f t="shared" si="13"/>
        <v>Saturday December 20, 2025</v>
      </c>
      <c r="C164" s="210" t="s">
        <v>33</v>
      </c>
      <c r="D164" s="154">
        <v>85200</v>
      </c>
      <c r="E164" s="186">
        <v>1</v>
      </c>
      <c r="F164" s="167" t="s">
        <v>13</v>
      </c>
      <c r="G164" s="211"/>
      <c r="H164" s="231">
        <v>0.41666666666666669</v>
      </c>
      <c r="I164" s="210"/>
      <c r="J164" s="154" t="s">
        <v>1220</v>
      </c>
      <c r="K164" s="186">
        <v>5</v>
      </c>
      <c r="L164" s="167">
        <v>66857.142857142855</v>
      </c>
      <c r="M164" s="211" t="s">
        <v>634</v>
      </c>
      <c r="N164" s="210"/>
      <c r="O164" s="129"/>
      <c r="P164" s="129"/>
      <c r="Q164" s="129"/>
      <c r="R164" s="129"/>
      <c r="S164" s="211"/>
    </row>
    <row r="165" spans="1:19">
      <c r="A165" s="208">
        <v>17</v>
      </c>
      <c r="B165" s="247" t="str">
        <f t="shared" si="13"/>
        <v>Saturday December 20, 2025</v>
      </c>
      <c r="C165" s="208" t="s">
        <v>24</v>
      </c>
      <c r="D165" s="166">
        <v>83200</v>
      </c>
      <c r="E165" s="187">
        <v>4</v>
      </c>
      <c r="F165" s="165" t="s">
        <v>10</v>
      </c>
      <c r="G165" s="209"/>
      <c r="H165" s="230">
        <v>0.41666666666666669</v>
      </c>
      <c r="I165" s="208"/>
      <c r="J165" s="166" t="s">
        <v>6</v>
      </c>
      <c r="K165" s="187">
        <v>2</v>
      </c>
      <c r="L165" s="165">
        <v>95200</v>
      </c>
      <c r="M165" s="209" t="s">
        <v>20</v>
      </c>
      <c r="N165" s="208"/>
      <c r="O165" s="130"/>
      <c r="P165" s="130"/>
      <c r="Q165" s="130"/>
      <c r="R165" s="130"/>
      <c r="S165" s="209"/>
    </row>
    <row r="166" spans="1:19">
      <c r="A166" s="210">
        <v>17</v>
      </c>
      <c r="B166" s="247" t="str">
        <f t="shared" si="13"/>
        <v>Saturday December 20, 2025</v>
      </c>
      <c r="C166" s="210" t="s">
        <v>23</v>
      </c>
      <c r="D166" s="154">
        <v>85200</v>
      </c>
      <c r="E166" s="186">
        <v>3</v>
      </c>
      <c r="F166" s="167" t="s">
        <v>9</v>
      </c>
      <c r="G166" s="211"/>
      <c r="H166" s="231">
        <v>0.41666666666666669</v>
      </c>
      <c r="I166" s="210"/>
      <c r="J166" s="154" t="s">
        <v>15</v>
      </c>
      <c r="K166" s="186">
        <v>4</v>
      </c>
      <c r="L166" s="167">
        <v>81142.857142857145</v>
      </c>
      <c r="M166" s="211" t="s">
        <v>52</v>
      </c>
      <c r="N166" s="210"/>
      <c r="O166" s="129"/>
      <c r="P166" s="129"/>
      <c r="Q166" s="129"/>
      <c r="R166" s="129"/>
      <c r="S166" s="211"/>
    </row>
    <row r="167" spans="1:19">
      <c r="A167" s="208">
        <v>17</v>
      </c>
      <c r="B167" s="247" t="str">
        <f t="shared" si="13"/>
        <v>Saturday December 20, 2025</v>
      </c>
      <c r="C167" s="208" t="s">
        <v>633</v>
      </c>
      <c r="D167" s="166">
        <v>70200</v>
      </c>
      <c r="E167" s="187">
        <v>4</v>
      </c>
      <c r="F167" s="165" t="s">
        <v>1221</v>
      </c>
      <c r="G167" s="209"/>
      <c r="H167" s="230">
        <v>0.41666666666666669</v>
      </c>
      <c r="I167" s="208"/>
      <c r="J167" s="166" t="s">
        <v>12</v>
      </c>
      <c r="K167" s="187">
        <v>2</v>
      </c>
      <c r="L167" s="165">
        <v>79238.095238095237</v>
      </c>
      <c r="M167" s="209" t="s">
        <v>26</v>
      </c>
      <c r="N167" s="208"/>
      <c r="O167" s="130"/>
      <c r="P167" s="130"/>
      <c r="Q167" s="130"/>
      <c r="R167" s="130"/>
      <c r="S167" s="209"/>
    </row>
    <row r="168" spans="1:19">
      <c r="A168" s="210">
        <v>17</v>
      </c>
      <c r="B168" s="247" t="str">
        <f t="shared" si="13"/>
        <v>Saturday December 20, 2025</v>
      </c>
      <c r="C168" s="210" t="s">
        <v>29</v>
      </c>
      <c r="D168" s="154">
        <v>99900</v>
      </c>
      <c r="E168" s="186">
        <v>1</v>
      </c>
      <c r="F168" s="167" t="s">
        <v>1</v>
      </c>
      <c r="G168" s="211"/>
      <c r="H168" s="231">
        <v>0.41666666666666669</v>
      </c>
      <c r="I168" s="210"/>
      <c r="J168" s="154" t="s">
        <v>14</v>
      </c>
      <c r="K168" s="186">
        <v>5</v>
      </c>
      <c r="L168" s="167">
        <v>79238.095238095237</v>
      </c>
      <c r="M168" s="211" t="s">
        <v>27</v>
      </c>
      <c r="N168" s="210"/>
      <c r="O168" s="129"/>
      <c r="P168" s="129"/>
      <c r="Q168" s="129"/>
      <c r="R168" s="129"/>
      <c r="S168" s="211"/>
    </row>
    <row r="169" spans="1:19">
      <c r="A169" s="208">
        <v>17</v>
      </c>
      <c r="B169" s="247" t="str">
        <f t="shared" si="13"/>
        <v>Saturday December 20, 2025</v>
      </c>
      <c r="C169" s="208" t="s">
        <v>25</v>
      </c>
      <c r="D169" s="166">
        <v>95200</v>
      </c>
      <c r="E169" s="187">
        <v>3</v>
      </c>
      <c r="F169" s="165" t="s">
        <v>11</v>
      </c>
      <c r="G169" s="209"/>
      <c r="H169" s="230">
        <v>0.41666666666666669</v>
      </c>
      <c r="I169" s="208"/>
      <c r="J169" s="166" t="s">
        <v>3</v>
      </c>
      <c r="K169" s="187">
        <v>3</v>
      </c>
      <c r="L169" s="165">
        <v>94666.666666666657</v>
      </c>
      <c r="M169" s="209" t="s">
        <v>18</v>
      </c>
      <c r="N169" s="208"/>
      <c r="O169" s="130"/>
      <c r="P169" s="130"/>
      <c r="Q169" s="130"/>
      <c r="R169" s="130"/>
      <c r="S169" s="209"/>
    </row>
    <row r="170" spans="1:19">
      <c r="A170" s="210">
        <v>17</v>
      </c>
      <c r="B170" s="247" t="str">
        <f t="shared" si="13"/>
        <v>Saturday December 20, 2025</v>
      </c>
      <c r="C170" s="210" t="s">
        <v>19</v>
      </c>
      <c r="D170" s="154">
        <v>97400</v>
      </c>
      <c r="E170" s="186">
        <v>3</v>
      </c>
      <c r="F170" s="167" t="s">
        <v>4</v>
      </c>
      <c r="G170" s="211"/>
      <c r="H170" s="231">
        <v>0.41666666666666669</v>
      </c>
      <c r="I170" s="210"/>
      <c r="J170" s="154" t="s">
        <v>0</v>
      </c>
      <c r="K170" s="186">
        <v>3</v>
      </c>
      <c r="L170" s="167">
        <v>95238.095238095237</v>
      </c>
      <c r="M170" s="211" t="s">
        <v>17</v>
      </c>
      <c r="N170" s="210"/>
      <c r="O170" s="129"/>
      <c r="P170" s="129"/>
      <c r="Q170" s="129"/>
      <c r="R170" s="129"/>
      <c r="S170" s="211"/>
    </row>
    <row r="171" spans="1:19">
      <c r="A171" s="208">
        <v>17</v>
      </c>
      <c r="B171" s="247" t="str">
        <f t="shared" si="13"/>
        <v>Saturday December 20, 2025</v>
      </c>
      <c r="C171" s="208" t="s">
        <v>51</v>
      </c>
      <c r="D171" s="166">
        <v>75200</v>
      </c>
      <c r="E171" s="187">
        <v>4</v>
      </c>
      <c r="F171" s="165" t="s">
        <v>5</v>
      </c>
      <c r="G171" s="209"/>
      <c r="H171" s="230">
        <v>0.41666666666666669</v>
      </c>
      <c r="I171" s="208"/>
      <c r="J171" s="166" t="s">
        <v>7</v>
      </c>
      <c r="K171" s="187">
        <v>2</v>
      </c>
      <c r="L171" s="165">
        <v>79238.095238095237</v>
      </c>
      <c r="M171" s="209" t="s">
        <v>21</v>
      </c>
      <c r="N171" s="208"/>
      <c r="O171" s="130"/>
      <c r="P171" s="130"/>
      <c r="Q171" s="130"/>
      <c r="R171" s="130"/>
      <c r="S171" s="209"/>
    </row>
    <row r="172" spans="1:19">
      <c r="A172" s="212">
        <v>18</v>
      </c>
      <c r="B172" s="244" t="s">
        <v>1250</v>
      </c>
      <c r="C172" s="212" t="s">
        <v>20</v>
      </c>
      <c r="D172" s="170">
        <v>99960</v>
      </c>
      <c r="E172" s="186">
        <v>1</v>
      </c>
      <c r="F172" s="168" t="s">
        <v>6</v>
      </c>
      <c r="G172" s="213"/>
      <c r="H172" s="232">
        <v>0.41666666666666669</v>
      </c>
      <c r="I172" s="212"/>
      <c r="J172" s="170" t="s">
        <v>13</v>
      </c>
      <c r="K172" s="186">
        <v>5</v>
      </c>
      <c r="L172" s="168">
        <v>81142.857142857145</v>
      </c>
      <c r="M172" s="213" t="s">
        <v>33</v>
      </c>
      <c r="N172" s="212"/>
      <c r="O172" s="169"/>
      <c r="P172" s="169"/>
      <c r="Q172" s="169"/>
      <c r="R172" s="169"/>
      <c r="S172" s="213"/>
    </row>
    <row r="173" spans="1:19">
      <c r="A173" s="214">
        <v>18</v>
      </c>
      <c r="B173" s="244" t="str">
        <f t="shared" ref="B173:B181" si="14">B172</f>
        <v>Saturday December 27, 2025</v>
      </c>
      <c r="C173" s="214" t="s">
        <v>21</v>
      </c>
      <c r="D173" s="173">
        <v>83200</v>
      </c>
      <c r="E173" s="187">
        <v>3</v>
      </c>
      <c r="F173" s="171" t="s">
        <v>7</v>
      </c>
      <c r="G173" s="215"/>
      <c r="H173" s="233">
        <v>0.41666666666666669</v>
      </c>
      <c r="I173" s="214"/>
      <c r="J173" s="173" t="s">
        <v>32</v>
      </c>
      <c r="K173" s="187">
        <v>3</v>
      </c>
      <c r="L173" s="171">
        <v>81142.857142857145</v>
      </c>
      <c r="M173" s="215" t="s">
        <v>43</v>
      </c>
      <c r="N173" s="214"/>
      <c r="O173" s="172"/>
      <c r="P173" s="172"/>
      <c r="Q173" s="172"/>
      <c r="R173" s="172"/>
      <c r="S173" s="215"/>
    </row>
    <row r="174" spans="1:19">
      <c r="A174" s="212">
        <v>18</v>
      </c>
      <c r="B174" s="244" t="str">
        <f t="shared" si="14"/>
        <v>Saturday December 27, 2025</v>
      </c>
      <c r="C174" s="212" t="s">
        <v>22</v>
      </c>
      <c r="D174" s="170">
        <v>70200</v>
      </c>
      <c r="E174" s="186">
        <v>4</v>
      </c>
      <c r="F174" s="168" t="s">
        <v>8</v>
      </c>
      <c r="G174" s="213"/>
      <c r="H174" s="232">
        <v>0.41666666666666669</v>
      </c>
      <c r="I174" s="212"/>
      <c r="J174" s="170" t="s">
        <v>10</v>
      </c>
      <c r="K174" s="186">
        <v>2</v>
      </c>
      <c r="L174" s="168">
        <v>79238.095238095237</v>
      </c>
      <c r="M174" s="213" t="s">
        <v>24</v>
      </c>
      <c r="N174" s="212"/>
      <c r="O174" s="169"/>
      <c r="P174" s="169"/>
      <c r="Q174" s="169"/>
      <c r="R174" s="169"/>
      <c r="S174" s="213"/>
    </row>
    <row r="175" spans="1:19">
      <c r="A175" s="214">
        <v>18</v>
      </c>
      <c r="B175" s="244" t="str">
        <f t="shared" si="14"/>
        <v>Saturday December 27, 2025</v>
      </c>
      <c r="C175" s="214" t="s">
        <v>18</v>
      </c>
      <c r="D175" s="173">
        <v>99400</v>
      </c>
      <c r="E175" s="187">
        <v>2</v>
      </c>
      <c r="F175" s="171" t="s">
        <v>3</v>
      </c>
      <c r="G175" s="215"/>
      <c r="H175" s="233">
        <v>0.41666666666666669</v>
      </c>
      <c r="I175" s="214"/>
      <c r="J175" s="173" t="s">
        <v>16</v>
      </c>
      <c r="K175" s="187">
        <v>4</v>
      </c>
      <c r="L175" s="171">
        <v>89142.857142857145</v>
      </c>
      <c r="M175" s="215" t="s">
        <v>28</v>
      </c>
      <c r="N175" s="214"/>
      <c r="O175" s="172"/>
      <c r="P175" s="172"/>
      <c r="Q175" s="172"/>
      <c r="R175" s="172"/>
      <c r="S175" s="215"/>
    </row>
    <row r="176" spans="1:19">
      <c r="A176" s="212">
        <v>18</v>
      </c>
      <c r="B176" s="244" t="str">
        <f t="shared" si="14"/>
        <v>Saturday December 27, 2025</v>
      </c>
      <c r="C176" s="212" t="s">
        <v>26</v>
      </c>
      <c r="D176" s="170">
        <v>83200</v>
      </c>
      <c r="E176" s="186">
        <v>4</v>
      </c>
      <c r="F176" s="168" t="s">
        <v>12</v>
      </c>
      <c r="G176" s="213"/>
      <c r="H176" s="232">
        <v>0.41666666666666669</v>
      </c>
      <c r="I176" s="212"/>
      <c r="J176" s="170" t="s">
        <v>4</v>
      </c>
      <c r="K176" s="186">
        <v>2</v>
      </c>
      <c r="L176" s="168">
        <v>92761.904761904763</v>
      </c>
      <c r="M176" s="213" t="s">
        <v>19</v>
      </c>
      <c r="N176" s="212"/>
      <c r="O176" s="169"/>
      <c r="P176" s="169"/>
      <c r="Q176" s="169"/>
      <c r="R176" s="169"/>
      <c r="S176" s="213"/>
    </row>
    <row r="177" spans="1:19">
      <c r="A177" s="214">
        <v>18</v>
      </c>
      <c r="B177" s="244" t="str">
        <f t="shared" si="14"/>
        <v>Saturday December 27, 2025</v>
      </c>
      <c r="C177" s="214" t="s">
        <v>17</v>
      </c>
      <c r="D177" s="173">
        <v>100000</v>
      </c>
      <c r="E177" s="187">
        <v>1</v>
      </c>
      <c r="F177" s="171" t="s">
        <v>0</v>
      </c>
      <c r="G177" s="215"/>
      <c r="H177" s="233">
        <v>0.41666666666666669</v>
      </c>
      <c r="I177" s="214"/>
      <c r="J177" s="173" t="s">
        <v>5</v>
      </c>
      <c r="K177" s="187">
        <v>5</v>
      </c>
      <c r="L177" s="171">
        <v>71619.047619047618</v>
      </c>
      <c r="M177" s="215" t="s">
        <v>51</v>
      </c>
      <c r="N177" s="214"/>
      <c r="O177" s="172"/>
      <c r="P177" s="172"/>
      <c r="Q177" s="172"/>
      <c r="R177" s="172"/>
      <c r="S177" s="215"/>
    </row>
    <row r="178" spans="1:19">
      <c r="A178" s="212">
        <v>18</v>
      </c>
      <c r="B178" s="244" t="str">
        <f t="shared" si="14"/>
        <v>Saturday December 27, 2025</v>
      </c>
      <c r="C178" s="212" t="s">
        <v>30</v>
      </c>
      <c r="D178" s="170">
        <v>97400</v>
      </c>
      <c r="E178" s="186">
        <v>2</v>
      </c>
      <c r="F178" s="168" t="s">
        <v>2</v>
      </c>
      <c r="G178" s="213"/>
      <c r="H178" s="232">
        <v>0.41666666666666669</v>
      </c>
      <c r="I178" s="212"/>
      <c r="J178" s="170" t="s">
        <v>11</v>
      </c>
      <c r="K178" s="186">
        <v>4</v>
      </c>
      <c r="L178" s="168">
        <v>90666.666666666657</v>
      </c>
      <c r="M178" s="213" t="s">
        <v>25</v>
      </c>
      <c r="N178" s="212"/>
      <c r="O178" s="169"/>
      <c r="P178" s="169"/>
      <c r="Q178" s="169"/>
      <c r="R178" s="169"/>
      <c r="S178" s="213"/>
    </row>
    <row r="179" spans="1:19">
      <c r="A179" s="214">
        <v>18</v>
      </c>
      <c r="B179" s="244" t="str">
        <f t="shared" si="14"/>
        <v>Saturday December 27, 2025</v>
      </c>
      <c r="C179" s="214" t="s">
        <v>52</v>
      </c>
      <c r="D179" s="173">
        <v>85200</v>
      </c>
      <c r="E179" s="187">
        <v>4</v>
      </c>
      <c r="F179" s="171" t="s">
        <v>15</v>
      </c>
      <c r="G179" s="215"/>
      <c r="H179" s="233">
        <v>0.41666666666666669</v>
      </c>
      <c r="I179" s="214"/>
      <c r="J179" s="173" t="s">
        <v>1</v>
      </c>
      <c r="K179" s="187">
        <v>2</v>
      </c>
      <c r="L179" s="171">
        <v>95142.857142857145</v>
      </c>
      <c r="M179" s="215" t="s">
        <v>29</v>
      </c>
      <c r="N179" s="214"/>
      <c r="O179" s="172"/>
      <c r="P179" s="172"/>
      <c r="Q179" s="172"/>
      <c r="R179" s="172"/>
      <c r="S179" s="215"/>
    </row>
    <row r="180" spans="1:19">
      <c r="A180" s="212">
        <v>18</v>
      </c>
      <c r="B180" s="244" t="str">
        <f t="shared" si="14"/>
        <v>Saturday December 27, 2025</v>
      </c>
      <c r="C180" s="212" t="s">
        <v>634</v>
      </c>
      <c r="D180" s="170">
        <v>70200</v>
      </c>
      <c r="E180" s="186">
        <v>3</v>
      </c>
      <c r="F180" s="168" t="s">
        <v>1220</v>
      </c>
      <c r="G180" s="213"/>
      <c r="H180" s="232">
        <v>0.41666666666666669</v>
      </c>
      <c r="I180" s="212"/>
      <c r="J180" s="170" t="s">
        <v>1221</v>
      </c>
      <c r="K180" s="186">
        <v>4</v>
      </c>
      <c r="L180" s="168">
        <v>66857.142857142855</v>
      </c>
      <c r="M180" s="213" t="s">
        <v>633</v>
      </c>
      <c r="N180" s="212"/>
      <c r="O180" s="169"/>
      <c r="P180" s="169"/>
      <c r="Q180" s="169"/>
      <c r="R180" s="169"/>
      <c r="S180" s="213"/>
    </row>
    <row r="181" spans="1:19">
      <c r="A181" s="214">
        <v>18</v>
      </c>
      <c r="B181" s="244" t="str">
        <f t="shared" si="14"/>
        <v>Saturday December 27, 2025</v>
      </c>
      <c r="C181" s="214" t="s">
        <v>27</v>
      </c>
      <c r="D181" s="173">
        <v>83200</v>
      </c>
      <c r="E181" s="187">
        <v>3</v>
      </c>
      <c r="F181" s="171" t="s">
        <v>14</v>
      </c>
      <c r="G181" s="215"/>
      <c r="H181" s="233">
        <v>0.41666666666666669</v>
      </c>
      <c r="I181" s="214"/>
      <c r="J181" s="173" t="s">
        <v>9</v>
      </c>
      <c r="K181" s="187">
        <v>3</v>
      </c>
      <c r="L181" s="171">
        <v>81142.857142857145</v>
      </c>
      <c r="M181" s="215" t="s">
        <v>23</v>
      </c>
      <c r="N181" s="214"/>
      <c r="O181" s="172"/>
      <c r="P181" s="172"/>
      <c r="Q181" s="172"/>
      <c r="R181" s="172"/>
      <c r="S181" s="215"/>
    </row>
    <row r="182" spans="1:19">
      <c r="A182" s="216">
        <v>19</v>
      </c>
      <c r="B182" s="245" t="s">
        <v>1251</v>
      </c>
      <c r="C182" s="216" t="s">
        <v>20</v>
      </c>
      <c r="D182" s="176">
        <v>99960</v>
      </c>
      <c r="E182" s="186">
        <v>2</v>
      </c>
      <c r="F182" s="174" t="s">
        <v>6</v>
      </c>
      <c r="G182" s="217"/>
      <c r="H182" s="234">
        <v>0.625</v>
      </c>
      <c r="I182" s="216"/>
      <c r="J182" s="176" t="s">
        <v>16</v>
      </c>
      <c r="K182" s="186">
        <v>4</v>
      </c>
      <c r="L182" s="174">
        <v>89142.857142857145</v>
      </c>
      <c r="M182" s="217" t="s">
        <v>28</v>
      </c>
      <c r="N182" s="216"/>
      <c r="O182" s="175"/>
      <c r="P182" s="175"/>
      <c r="Q182" s="175"/>
      <c r="R182" s="175"/>
      <c r="S182" s="217"/>
    </row>
    <row r="183" spans="1:19">
      <c r="A183" s="218">
        <v>19</v>
      </c>
      <c r="B183" s="245" t="str">
        <f t="shared" ref="B183:B191" si="15">B182</f>
        <v>Tuesday December 30, 2025</v>
      </c>
      <c r="C183" s="218" t="s">
        <v>21</v>
      </c>
      <c r="D183" s="179">
        <v>83200</v>
      </c>
      <c r="E183" s="187">
        <v>4</v>
      </c>
      <c r="F183" s="177" t="s">
        <v>7</v>
      </c>
      <c r="G183" s="219"/>
      <c r="H183" s="235">
        <v>0.625</v>
      </c>
      <c r="I183" s="218"/>
      <c r="J183" s="179" t="s">
        <v>4</v>
      </c>
      <c r="K183" s="187">
        <v>2</v>
      </c>
      <c r="L183" s="177">
        <v>92761.904761904763</v>
      </c>
      <c r="M183" s="219" t="s">
        <v>19</v>
      </c>
      <c r="N183" s="218"/>
      <c r="O183" s="178"/>
      <c r="P183" s="178"/>
      <c r="Q183" s="178"/>
      <c r="R183" s="178"/>
      <c r="S183" s="219"/>
    </row>
    <row r="184" spans="1:19">
      <c r="A184" s="216">
        <v>19</v>
      </c>
      <c r="B184" s="245" t="str">
        <f t="shared" si="15"/>
        <v>Tuesday December 30, 2025</v>
      </c>
      <c r="C184" s="216" t="s">
        <v>22</v>
      </c>
      <c r="D184" s="176">
        <v>70200</v>
      </c>
      <c r="E184" s="186">
        <v>5</v>
      </c>
      <c r="F184" s="174" t="s">
        <v>8</v>
      </c>
      <c r="G184" s="217"/>
      <c r="H184" s="234">
        <v>0.625</v>
      </c>
      <c r="I184" s="216"/>
      <c r="J184" s="176" t="s">
        <v>11</v>
      </c>
      <c r="K184" s="186">
        <v>1</v>
      </c>
      <c r="L184" s="174">
        <v>90666.666666666657</v>
      </c>
      <c r="M184" s="217" t="s">
        <v>25</v>
      </c>
      <c r="N184" s="216"/>
      <c r="O184" s="175"/>
      <c r="P184" s="175"/>
      <c r="Q184" s="175"/>
      <c r="R184" s="175"/>
      <c r="S184" s="217"/>
    </row>
    <row r="185" spans="1:19">
      <c r="A185" s="218">
        <v>19</v>
      </c>
      <c r="B185" s="245" t="str">
        <f t="shared" si="15"/>
        <v>Tuesday December 30, 2025</v>
      </c>
      <c r="C185" s="218" t="s">
        <v>18</v>
      </c>
      <c r="D185" s="179">
        <v>99400</v>
      </c>
      <c r="E185" s="187">
        <v>1</v>
      </c>
      <c r="F185" s="177" t="s">
        <v>3</v>
      </c>
      <c r="G185" s="219"/>
      <c r="H185" s="235">
        <v>0.625</v>
      </c>
      <c r="I185" s="218"/>
      <c r="J185" s="179" t="s">
        <v>32</v>
      </c>
      <c r="K185" s="187">
        <v>5</v>
      </c>
      <c r="L185" s="177">
        <v>81142.857142857145</v>
      </c>
      <c r="M185" s="219" t="s">
        <v>43</v>
      </c>
      <c r="N185" s="218"/>
      <c r="O185" s="178"/>
      <c r="P185" s="178"/>
      <c r="Q185" s="178"/>
      <c r="R185" s="178"/>
      <c r="S185" s="219"/>
    </row>
    <row r="186" spans="1:19">
      <c r="A186" s="216">
        <v>19</v>
      </c>
      <c r="B186" s="245" t="str">
        <f t="shared" si="15"/>
        <v>Tuesday December 30, 2025</v>
      </c>
      <c r="C186" s="216" t="s">
        <v>26</v>
      </c>
      <c r="D186" s="176">
        <v>83200</v>
      </c>
      <c r="E186" s="186">
        <v>3</v>
      </c>
      <c r="F186" s="174" t="s">
        <v>12</v>
      </c>
      <c r="G186" s="217"/>
      <c r="H186" s="234">
        <v>0.625</v>
      </c>
      <c r="I186" s="216"/>
      <c r="J186" s="176" t="s">
        <v>9</v>
      </c>
      <c r="K186" s="186">
        <v>3</v>
      </c>
      <c r="L186" s="174">
        <v>81142.857142857145</v>
      </c>
      <c r="M186" s="217" t="s">
        <v>23</v>
      </c>
      <c r="N186" s="216"/>
      <c r="O186" s="175"/>
      <c r="P186" s="175"/>
      <c r="Q186" s="175"/>
      <c r="R186" s="175"/>
      <c r="S186" s="217"/>
    </row>
    <row r="187" spans="1:19">
      <c r="A187" s="218">
        <v>19</v>
      </c>
      <c r="B187" s="245" t="str">
        <f t="shared" si="15"/>
        <v>Tuesday December 30, 2025</v>
      </c>
      <c r="C187" s="218" t="s">
        <v>17</v>
      </c>
      <c r="D187" s="179">
        <v>100000</v>
      </c>
      <c r="E187" s="187">
        <v>1</v>
      </c>
      <c r="F187" s="177" t="s">
        <v>0</v>
      </c>
      <c r="G187" s="219"/>
      <c r="H187" s="235">
        <v>0.625</v>
      </c>
      <c r="I187" s="218"/>
      <c r="J187" s="179" t="s">
        <v>1221</v>
      </c>
      <c r="K187" s="187">
        <v>5</v>
      </c>
      <c r="L187" s="177">
        <v>66857.142857142855</v>
      </c>
      <c r="M187" s="219" t="s">
        <v>633</v>
      </c>
      <c r="N187" s="218"/>
      <c r="O187" s="178"/>
      <c r="P187" s="178"/>
      <c r="Q187" s="178"/>
      <c r="R187" s="178"/>
      <c r="S187" s="219"/>
    </row>
    <row r="188" spans="1:19">
      <c r="A188" s="216">
        <v>19</v>
      </c>
      <c r="B188" s="245" t="str">
        <f t="shared" si="15"/>
        <v>Tuesday December 30, 2025</v>
      </c>
      <c r="C188" s="216" t="s">
        <v>30</v>
      </c>
      <c r="D188" s="176">
        <v>97400</v>
      </c>
      <c r="E188" s="186">
        <v>1</v>
      </c>
      <c r="F188" s="174" t="s">
        <v>2</v>
      </c>
      <c r="G188" s="217"/>
      <c r="H188" s="234">
        <v>0.625</v>
      </c>
      <c r="I188" s="216"/>
      <c r="J188" s="176" t="s">
        <v>5</v>
      </c>
      <c r="K188" s="186">
        <v>5</v>
      </c>
      <c r="L188" s="174">
        <v>71619.047619047618</v>
      </c>
      <c r="M188" s="217" t="s">
        <v>51</v>
      </c>
      <c r="N188" s="216"/>
      <c r="O188" s="175"/>
      <c r="P188" s="175"/>
      <c r="Q188" s="175"/>
      <c r="R188" s="175"/>
      <c r="S188" s="217"/>
    </row>
    <row r="189" spans="1:19">
      <c r="A189" s="218">
        <v>19</v>
      </c>
      <c r="B189" s="245" t="str">
        <f t="shared" si="15"/>
        <v>Tuesday December 30, 2025</v>
      </c>
      <c r="C189" s="218" t="s">
        <v>52</v>
      </c>
      <c r="D189" s="179">
        <v>85200</v>
      </c>
      <c r="E189" s="187">
        <v>2</v>
      </c>
      <c r="F189" s="177" t="s">
        <v>15</v>
      </c>
      <c r="G189" s="219"/>
      <c r="H189" s="235">
        <v>0.625</v>
      </c>
      <c r="I189" s="218"/>
      <c r="J189" s="179" t="s">
        <v>10</v>
      </c>
      <c r="K189" s="187">
        <v>4</v>
      </c>
      <c r="L189" s="177">
        <v>79238.095238095237</v>
      </c>
      <c r="M189" s="219" t="s">
        <v>24</v>
      </c>
      <c r="N189" s="218"/>
      <c r="O189" s="178"/>
      <c r="P189" s="178"/>
      <c r="Q189" s="178"/>
      <c r="R189" s="178"/>
      <c r="S189" s="219"/>
    </row>
    <row r="190" spans="1:19">
      <c r="A190" s="216">
        <v>19</v>
      </c>
      <c r="B190" s="245" t="str">
        <f t="shared" si="15"/>
        <v>Tuesday December 30, 2025</v>
      </c>
      <c r="C190" s="216" t="s">
        <v>634</v>
      </c>
      <c r="D190" s="176">
        <v>70200</v>
      </c>
      <c r="E190" s="186">
        <v>5</v>
      </c>
      <c r="F190" s="174" t="s">
        <v>1220</v>
      </c>
      <c r="G190" s="217"/>
      <c r="H190" s="234">
        <v>0.625</v>
      </c>
      <c r="I190" s="216"/>
      <c r="J190" s="176" t="s">
        <v>1</v>
      </c>
      <c r="K190" s="186">
        <v>1</v>
      </c>
      <c r="L190" s="174">
        <v>95142.857142857145</v>
      </c>
      <c r="M190" s="217" t="s">
        <v>29</v>
      </c>
      <c r="N190" s="216"/>
      <c r="O190" s="175"/>
      <c r="P190" s="175"/>
      <c r="Q190" s="175"/>
      <c r="R190" s="175"/>
      <c r="S190" s="217"/>
    </row>
    <row r="191" spans="1:19">
      <c r="A191" s="218">
        <v>19</v>
      </c>
      <c r="B191" s="245" t="str">
        <f t="shared" si="15"/>
        <v>Tuesday December 30, 2025</v>
      </c>
      <c r="C191" s="218" t="s">
        <v>27</v>
      </c>
      <c r="D191" s="179">
        <v>83200</v>
      </c>
      <c r="E191" s="187">
        <v>3</v>
      </c>
      <c r="F191" s="177" t="s">
        <v>14</v>
      </c>
      <c r="G191" s="219"/>
      <c r="H191" s="235">
        <v>0.625</v>
      </c>
      <c r="I191" s="218"/>
      <c r="J191" s="179" t="s">
        <v>13</v>
      </c>
      <c r="K191" s="187">
        <v>3</v>
      </c>
      <c r="L191" s="177">
        <v>81142.857142857145</v>
      </c>
      <c r="M191" s="219" t="s">
        <v>33</v>
      </c>
      <c r="N191" s="218"/>
      <c r="O191" s="178"/>
      <c r="P191" s="178"/>
      <c r="Q191" s="178"/>
      <c r="R191" s="178"/>
      <c r="S191" s="219"/>
    </row>
    <row r="192" spans="1:19">
      <c r="A192" s="220">
        <v>20</v>
      </c>
      <c r="B192" s="246" t="s">
        <v>1252</v>
      </c>
      <c r="C192" s="220" t="s">
        <v>43</v>
      </c>
      <c r="D192" s="182">
        <v>85200</v>
      </c>
      <c r="E192" s="186">
        <v>4</v>
      </c>
      <c r="F192" s="180" t="s">
        <v>32</v>
      </c>
      <c r="G192" s="221"/>
      <c r="H192" s="236">
        <v>0.41666666666666669</v>
      </c>
      <c r="I192" s="220"/>
      <c r="J192" s="182" t="s">
        <v>6</v>
      </c>
      <c r="K192" s="186">
        <v>2</v>
      </c>
      <c r="L192" s="180">
        <v>95200</v>
      </c>
      <c r="M192" s="221" t="s">
        <v>20</v>
      </c>
      <c r="N192" s="220"/>
      <c r="O192" s="181"/>
      <c r="P192" s="181"/>
      <c r="Q192" s="181"/>
      <c r="R192" s="181"/>
      <c r="S192" s="221"/>
    </row>
    <row r="193" spans="1:19">
      <c r="A193" s="222">
        <v>20</v>
      </c>
      <c r="B193" s="246" t="str">
        <f t="shared" ref="B193:B201" si="16">B192</f>
        <v>Saturday January 3, 2026</v>
      </c>
      <c r="C193" s="222" t="s">
        <v>28</v>
      </c>
      <c r="D193" s="185">
        <v>93600</v>
      </c>
      <c r="E193" s="187">
        <v>2</v>
      </c>
      <c r="F193" s="183" t="s">
        <v>16</v>
      </c>
      <c r="G193" s="223"/>
      <c r="H193" s="237">
        <v>0.41666666666666669</v>
      </c>
      <c r="I193" s="222"/>
      <c r="J193" s="185" t="s">
        <v>15</v>
      </c>
      <c r="K193" s="187">
        <v>5</v>
      </c>
      <c r="L193" s="183">
        <v>81142.857142857145</v>
      </c>
      <c r="M193" s="223" t="s">
        <v>52</v>
      </c>
      <c r="N193" s="222"/>
      <c r="O193" s="184"/>
      <c r="P193" s="184"/>
      <c r="Q193" s="184"/>
      <c r="R193" s="184"/>
      <c r="S193" s="223"/>
    </row>
    <row r="194" spans="1:19">
      <c r="A194" s="220">
        <v>20</v>
      </c>
      <c r="B194" s="246" t="str">
        <f t="shared" si="16"/>
        <v>Saturday January 3, 2026</v>
      </c>
      <c r="C194" s="220" t="s">
        <v>33</v>
      </c>
      <c r="D194" s="182">
        <v>85200</v>
      </c>
      <c r="E194" s="186">
        <v>1</v>
      </c>
      <c r="F194" s="180" t="s">
        <v>13</v>
      </c>
      <c r="G194" s="221"/>
      <c r="H194" s="236">
        <v>0.41666666666666669</v>
      </c>
      <c r="I194" s="220"/>
      <c r="J194" s="182" t="s">
        <v>8</v>
      </c>
      <c r="K194" s="186">
        <v>5</v>
      </c>
      <c r="L194" s="180">
        <v>66857.142857142855</v>
      </c>
      <c r="M194" s="221" t="s">
        <v>22</v>
      </c>
      <c r="N194" s="220"/>
      <c r="O194" s="181"/>
      <c r="P194" s="181"/>
      <c r="Q194" s="181"/>
      <c r="R194" s="181"/>
      <c r="S194" s="221"/>
    </row>
    <row r="195" spans="1:19">
      <c r="A195" s="222">
        <v>20</v>
      </c>
      <c r="B195" s="246" t="str">
        <f t="shared" si="16"/>
        <v>Saturday January 3, 2026</v>
      </c>
      <c r="C195" s="222" t="s">
        <v>24</v>
      </c>
      <c r="D195" s="185">
        <v>83200</v>
      </c>
      <c r="E195" s="187">
        <v>3</v>
      </c>
      <c r="F195" s="183" t="s">
        <v>10</v>
      </c>
      <c r="G195" s="223"/>
      <c r="H195" s="237">
        <v>0.41666666666666669</v>
      </c>
      <c r="I195" s="222"/>
      <c r="J195" s="185" t="s">
        <v>7</v>
      </c>
      <c r="K195" s="187">
        <v>4</v>
      </c>
      <c r="L195" s="183">
        <v>79238.095238095237</v>
      </c>
      <c r="M195" s="223" t="s">
        <v>21</v>
      </c>
      <c r="N195" s="222"/>
      <c r="O195" s="184"/>
      <c r="P195" s="184"/>
      <c r="Q195" s="184"/>
      <c r="R195" s="184"/>
      <c r="S195" s="223"/>
    </row>
    <row r="196" spans="1:19">
      <c r="A196" s="220">
        <v>20</v>
      </c>
      <c r="B196" s="246" t="str">
        <f t="shared" si="16"/>
        <v>Saturday January 3, 2026</v>
      </c>
      <c r="C196" s="220" t="s">
        <v>23</v>
      </c>
      <c r="D196" s="182">
        <v>85200</v>
      </c>
      <c r="E196" s="186">
        <v>4</v>
      </c>
      <c r="F196" s="180" t="s">
        <v>9</v>
      </c>
      <c r="G196" s="221"/>
      <c r="H196" s="236">
        <v>0.41666666666666669</v>
      </c>
      <c r="I196" s="220"/>
      <c r="J196" s="182" t="s">
        <v>0</v>
      </c>
      <c r="K196" s="186">
        <v>2</v>
      </c>
      <c r="L196" s="180">
        <v>95238.095238095237</v>
      </c>
      <c r="M196" s="221" t="s">
        <v>17</v>
      </c>
      <c r="N196" s="220"/>
      <c r="O196" s="181"/>
      <c r="P196" s="181"/>
      <c r="Q196" s="181"/>
      <c r="R196" s="181"/>
      <c r="S196" s="221"/>
    </row>
    <row r="197" spans="1:19">
      <c r="A197" s="222">
        <v>20</v>
      </c>
      <c r="B197" s="246" t="str">
        <f t="shared" si="16"/>
        <v>Saturday January 3, 2026</v>
      </c>
      <c r="C197" s="222" t="s">
        <v>633</v>
      </c>
      <c r="D197" s="185">
        <v>70200</v>
      </c>
      <c r="E197" s="187">
        <v>5</v>
      </c>
      <c r="F197" s="183" t="s">
        <v>1221</v>
      </c>
      <c r="G197" s="223"/>
      <c r="H197" s="237">
        <v>0.41666666666666669</v>
      </c>
      <c r="I197" s="222"/>
      <c r="J197" s="185" t="s">
        <v>2</v>
      </c>
      <c r="K197" s="187">
        <v>1</v>
      </c>
      <c r="L197" s="183">
        <v>92761.904761904763</v>
      </c>
      <c r="M197" s="223" t="s">
        <v>30</v>
      </c>
      <c r="N197" s="222"/>
      <c r="O197" s="184"/>
      <c r="P197" s="184"/>
      <c r="Q197" s="184"/>
      <c r="R197" s="184"/>
      <c r="S197" s="223"/>
    </row>
    <row r="198" spans="1:19">
      <c r="A198" s="220">
        <v>20</v>
      </c>
      <c r="B198" s="246" t="str">
        <f t="shared" si="16"/>
        <v>Saturday January 3, 2026</v>
      </c>
      <c r="C198" s="220" t="s">
        <v>29</v>
      </c>
      <c r="D198" s="182">
        <v>99900</v>
      </c>
      <c r="E198" s="186">
        <v>2</v>
      </c>
      <c r="F198" s="180" t="s">
        <v>1</v>
      </c>
      <c r="G198" s="221"/>
      <c r="H198" s="236">
        <v>0.41666666666666669</v>
      </c>
      <c r="I198" s="220"/>
      <c r="J198" s="182" t="s">
        <v>3</v>
      </c>
      <c r="K198" s="186">
        <v>4</v>
      </c>
      <c r="L198" s="180">
        <v>94666.666666666657</v>
      </c>
      <c r="M198" s="221" t="s">
        <v>18</v>
      </c>
      <c r="N198" s="220"/>
      <c r="O198" s="181"/>
      <c r="P198" s="181"/>
      <c r="Q198" s="181"/>
      <c r="R198" s="181"/>
      <c r="S198" s="221"/>
    </row>
    <row r="199" spans="1:19">
      <c r="A199" s="222">
        <v>20</v>
      </c>
      <c r="B199" s="246" t="str">
        <f t="shared" si="16"/>
        <v>Saturday January 3, 2026</v>
      </c>
      <c r="C199" s="222" t="s">
        <v>25</v>
      </c>
      <c r="D199" s="185">
        <v>95200</v>
      </c>
      <c r="E199" s="187">
        <v>1</v>
      </c>
      <c r="F199" s="183" t="s">
        <v>11</v>
      </c>
      <c r="G199" s="223"/>
      <c r="H199" s="237">
        <v>0.41666666666666669</v>
      </c>
      <c r="I199" s="222"/>
      <c r="J199" s="185" t="s">
        <v>12</v>
      </c>
      <c r="K199" s="187">
        <v>5</v>
      </c>
      <c r="L199" s="183">
        <v>79238.095238095237</v>
      </c>
      <c r="M199" s="223" t="s">
        <v>26</v>
      </c>
      <c r="N199" s="222"/>
      <c r="O199" s="184"/>
      <c r="P199" s="184"/>
      <c r="Q199" s="184"/>
      <c r="R199" s="184"/>
      <c r="S199" s="223"/>
    </row>
    <row r="200" spans="1:19">
      <c r="A200" s="220">
        <v>20</v>
      </c>
      <c r="B200" s="246" t="str">
        <f t="shared" si="16"/>
        <v>Saturday January 3, 2026</v>
      </c>
      <c r="C200" s="220" t="s">
        <v>19</v>
      </c>
      <c r="D200" s="182">
        <v>97400</v>
      </c>
      <c r="E200" s="186">
        <v>1</v>
      </c>
      <c r="F200" s="180" t="s">
        <v>4</v>
      </c>
      <c r="G200" s="221"/>
      <c r="H200" s="236">
        <v>0.41666666666666669</v>
      </c>
      <c r="I200" s="220"/>
      <c r="J200" s="182" t="s">
        <v>1220</v>
      </c>
      <c r="K200" s="186">
        <v>5</v>
      </c>
      <c r="L200" s="180">
        <v>66857.142857142855</v>
      </c>
      <c r="M200" s="221" t="s">
        <v>634</v>
      </c>
      <c r="N200" s="220"/>
      <c r="O200" s="181"/>
      <c r="P200" s="181"/>
      <c r="Q200" s="181"/>
      <c r="R200" s="181"/>
      <c r="S200" s="221"/>
    </row>
    <row r="201" spans="1:19">
      <c r="A201" s="222">
        <v>20</v>
      </c>
      <c r="B201" s="246" t="str">
        <f t="shared" si="16"/>
        <v>Saturday January 3, 2026</v>
      </c>
      <c r="C201" s="222" t="s">
        <v>51</v>
      </c>
      <c r="D201" s="185">
        <v>75200</v>
      </c>
      <c r="E201" s="187">
        <v>4</v>
      </c>
      <c r="F201" s="183" t="s">
        <v>5</v>
      </c>
      <c r="G201" s="223"/>
      <c r="H201" s="237">
        <v>0.41666666666666669</v>
      </c>
      <c r="I201" s="222"/>
      <c r="J201" s="185" t="s">
        <v>14</v>
      </c>
      <c r="K201" s="187">
        <v>2</v>
      </c>
      <c r="L201" s="183">
        <v>79238.095238095237</v>
      </c>
      <c r="M201" s="223" t="s">
        <v>27</v>
      </c>
      <c r="N201" s="222"/>
      <c r="O201" s="184"/>
      <c r="P201" s="184"/>
      <c r="Q201" s="184"/>
      <c r="R201" s="184"/>
      <c r="S201" s="223"/>
    </row>
    <row r="202" spans="1:19">
      <c r="A202" s="210">
        <v>21</v>
      </c>
      <c r="B202" s="247" t="s">
        <v>1253</v>
      </c>
      <c r="C202" s="210" t="s">
        <v>43</v>
      </c>
      <c r="D202" s="154">
        <v>85200</v>
      </c>
      <c r="E202" s="186">
        <v>4</v>
      </c>
      <c r="F202" s="167" t="s">
        <v>32</v>
      </c>
      <c r="G202" s="211"/>
      <c r="H202" s="231">
        <v>0.41666666666666669</v>
      </c>
      <c r="I202" s="210"/>
      <c r="J202" s="154" t="s">
        <v>4</v>
      </c>
      <c r="K202" s="186">
        <v>2</v>
      </c>
      <c r="L202" s="167">
        <v>92761.904761904763</v>
      </c>
      <c r="M202" s="211" t="s">
        <v>19</v>
      </c>
      <c r="N202" s="210"/>
      <c r="O202" s="129"/>
      <c r="P202" s="129"/>
      <c r="Q202" s="129"/>
      <c r="R202" s="129"/>
      <c r="S202" s="211"/>
    </row>
    <row r="203" spans="1:19">
      <c r="A203" s="208">
        <v>21</v>
      </c>
      <c r="B203" s="247" t="str">
        <f t="shared" ref="B203:B211" si="17">B202</f>
        <v>WEDNESDAY January 7, 2026</v>
      </c>
      <c r="C203" s="208" t="s">
        <v>20</v>
      </c>
      <c r="D203" s="166">
        <v>99960</v>
      </c>
      <c r="E203" s="187">
        <v>3</v>
      </c>
      <c r="F203" s="165" t="s">
        <v>6</v>
      </c>
      <c r="G203" s="209"/>
      <c r="H203" s="230">
        <v>0.41666666666666669</v>
      </c>
      <c r="I203" s="208"/>
      <c r="J203" s="166" t="s">
        <v>0</v>
      </c>
      <c r="K203" s="187">
        <v>3</v>
      </c>
      <c r="L203" s="165">
        <v>95238.095238095237</v>
      </c>
      <c r="M203" s="209" t="s">
        <v>17</v>
      </c>
      <c r="N203" s="208"/>
      <c r="O203" s="130"/>
      <c r="P203" s="130"/>
      <c r="Q203" s="130"/>
      <c r="R203" s="130"/>
      <c r="S203" s="209"/>
    </row>
    <row r="204" spans="1:19">
      <c r="A204" s="210">
        <v>21</v>
      </c>
      <c r="B204" s="247" t="str">
        <f t="shared" si="17"/>
        <v>WEDNESDAY January 7, 2026</v>
      </c>
      <c r="C204" s="210" t="s">
        <v>21</v>
      </c>
      <c r="D204" s="154">
        <v>83200</v>
      </c>
      <c r="E204" s="186">
        <v>1</v>
      </c>
      <c r="F204" s="167" t="s">
        <v>7</v>
      </c>
      <c r="G204" s="211"/>
      <c r="H204" s="231">
        <v>0.41666666666666669</v>
      </c>
      <c r="I204" s="210"/>
      <c r="J204" s="154" t="s">
        <v>1220</v>
      </c>
      <c r="K204" s="186">
        <v>5</v>
      </c>
      <c r="L204" s="167">
        <v>66857.142857142855</v>
      </c>
      <c r="M204" s="211" t="s">
        <v>634</v>
      </c>
      <c r="N204" s="210"/>
      <c r="O204" s="129"/>
      <c r="P204" s="129"/>
      <c r="Q204" s="129"/>
      <c r="R204" s="129"/>
      <c r="S204" s="211"/>
    </row>
    <row r="205" spans="1:19">
      <c r="A205" s="208">
        <v>21</v>
      </c>
      <c r="B205" s="247" t="str">
        <f t="shared" si="17"/>
        <v>WEDNESDAY January 7, 2026</v>
      </c>
      <c r="C205" s="208" t="s">
        <v>22</v>
      </c>
      <c r="D205" s="166">
        <v>70200</v>
      </c>
      <c r="E205" s="187">
        <v>5</v>
      </c>
      <c r="F205" s="165" t="s">
        <v>8</v>
      </c>
      <c r="G205" s="209"/>
      <c r="H205" s="230">
        <v>0.41666666666666669</v>
      </c>
      <c r="I205" s="208"/>
      <c r="J205" s="166" t="s">
        <v>2</v>
      </c>
      <c r="K205" s="187">
        <v>1</v>
      </c>
      <c r="L205" s="165">
        <v>92761.904761904763</v>
      </c>
      <c r="M205" s="209" t="s">
        <v>30</v>
      </c>
      <c r="N205" s="208"/>
      <c r="O205" s="130"/>
      <c r="P205" s="130"/>
      <c r="Q205" s="130"/>
      <c r="R205" s="130"/>
      <c r="S205" s="209"/>
    </row>
    <row r="206" spans="1:19">
      <c r="A206" s="210">
        <v>21</v>
      </c>
      <c r="B206" s="247" t="str">
        <f t="shared" si="17"/>
        <v>WEDNESDAY January 7, 2026</v>
      </c>
      <c r="C206" s="210" t="s">
        <v>26</v>
      </c>
      <c r="D206" s="154">
        <v>83200</v>
      </c>
      <c r="E206" s="186">
        <v>4</v>
      </c>
      <c r="F206" s="167" t="s">
        <v>12</v>
      </c>
      <c r="G206" s="211"/>
      <c r="H206" s="231">
        <v>0.41666666666666669</v>
      </c>
      <c r="I206" s="210"/>
      <c r="J206" s="154" t="s">
        <v>16</v>
      </c>
      <c r="K206" s="186">
        <v>2</v>
      </c>
      <c r="L206" s="167">
        <v>89142.857142857145</v>
      </c>
      <c r="M206" s="211" t="s">
        <v>28</v>
      </c>
      <c r="N206" s="210"/>
      <c r="O206" s="129"/>
      <c r="P206" s="129"/>
      <c r="Q206" s="129"/>
      <c r="R206" s="129"/>
      <c r="S206" s="211"/>
    </row>
    <row r="207" spans="1:19">
      <c r="A207" s="208">
        <v>21</v>
      </c>
      <c r="B207" s="247" t="str">
        <f t="shared" si="17"/>
        <v>WEDNESDAY January 7, 2026</v>
      </c>
      <c r="C207" s="208" t="s">
        <v>24</v>
      </c>
      <c r="D207" s="166">
        <v>83200</v>
      </c>
      <c r="E207" s="187">
        <v>2</v>
      </c>
      <c r="F207" s="165" t="s">
        <v>10</v>
      </c>
      <c r="G207" s="209"/>
      <c r="H207" s="230">
        <v>0.41666666666666669</v>
      </c>
      <c r="I207" s="208"/>
      <c r="J207" s="166" t="s">
        <v>5</v>
      </c>
      <c r="K207" s="187">
        <v>5</v>
      </c>
      <c r="L207" s="165">
        <v>71619.047619047618</v>
      </c>
      <c r="M207" s="209" t="s">
        <v>51</v>
      </c>
      <c r="N207" s="208"/>
      <c r="O207" s="130"/>
      <c r="P207" s="130"/>
      <c r="Q207" s="130"/>
      <c r="R207" s="130"/>
      <c r="S207" s="209"/>
    </row>
    <row r="208" spans="1:19">
      <c r="A208" s="210">
        <v>21</v>
      </c>
      <c r="B208" s="247" t="str">
        <f t="shared" si="17"/>
        <v>WEDNESDAY January 7, 2026</v>
      </c>
      <c r="C208" s="210" t="s">
        <v>23</v>
      </c>
      <c r="D208" s="154">
        <v>85200</v>
      </c>
      <c r="E208" s="186">
        <v>4</v>
      </c>
      <c r="F208" s="167" t="s">
        <v>9</v>
      </c>
      <c r="G208" s="211"/>
      <c r="H208" s="231">
        <v>0.41666666666666669</v>
      </c>
      <c r="I208" s="210"/>
      <c r="J208" s="154" t="s">
        <v>3</v>
      </c>
      <c r="K208" s="186">
        <v>2</v>
      </c>
      <c r="L208" s="167">
        <v>94666.666666666657</v>
      </c>
      <c r="M208" s="211" t="s">
        <v>18</v>
      </c>
      <c r="N208" s="210"/>
      <c r="O208" s="129"/>
      <c r="P208" s="129"/>
      <c r="Q208" s="129"/>
      <c r="R208" s="129"/>
      <c r="S208" s="211"/>
    </row>
    <row r="209" spans="1:19">
      <c r="A209" s="208">
        <v>21</v>
      </c>
      <c r="B209" s="247" t="str">
        <f t="shared" si="17"/>
        <v>WEDNESDAY January 7, 2026</v>
      </c>
      <c r="C209" s="208" t="s">
        <v>29</v>
      </c>
      <c r="D209" s="166">
        <v>99900</v>
      </c>
      <c r="E209" s="187">
        <v>1</v>
      </c>
      <c r="F209" s="165" t="s">
        <v>1</v>
      </c>
      <c r="G209" s="209"/>
      <c r="H209" s="230">
        <v>0.41666666666666669</v>
      </c>
      <c r="I209" s="208"/>
      <c r="J209" s="166" t="s">
        <v>13</v>
      </c>
      <c r="K209" s="187">
        <v>5</v>
      </c>
      <c r="L209" s="165">
        <v>81142.857142857145</v>
      </c>
      <c r="M209" s="209" t="s">
        <v>33</v>
      </c>
      <c r="N209" s="208"/>
      <c r="O209" s="130"/>
      <c r="P209" s="130"/>
      <c r="Q209" s="130"/>
      <c r="R209" s="130"/>
      <c r="S209" s="209"/>
    </row>
    <row r="210" spans="1:19">
      <c r="A210" s="210">
        <v>21</v>
      </c>
      <c r="B210" s="247" t="str">
        <f t="shared" si="17"/>
        <v>WEDNESDAY January 7, 2026</v>
      </c>
      <c r="C210" s="210" t="s">
        <v>25</v>
      </c>
      <c r="D210" s="154">
        <v>95200</v>
      </c>
      <c r="E210" s="186">
        <v>1</v>
      </c>
      <c r="F210" s="167" t="s">
        <v>11</v>
      </c>
      <c r="G210" s="211"/>
      <c r="H210" s="231">
        <v>0.41666666666666669</v>
      </c>
      <c r="I210" s="210"/>
      <c r="J210" s="154" t="s">
        <v>1221</v>
      </c>
      <c r="K210" s="186">
        <v>5</v>
      </c>
      <c r="L210" s="167">
        <v>66857.142857142855</v>
      </c>
      <c r="M210" s="211" t="s">
        <v>633</v>
      </c>
      <c r="N210" s="210"/>
      <c r="O210" s="129"/>
      <c r="P210" s="129"/>
      <c r="Q210" s="129"/>
      <c r="R210" s="129"/>
      <c r="S210" s="211"/>
    </row>
    <row r="211" spans="1:19">
      <c r="A211" s="208">
        <v>21</v>
      </c>
      <c r="B211" s="247" t="str">
        <f t="shared" si="17"/>
        <v>WEDNESDAY January 7, 2026</v>
      </c>
      <c r="C211" s="208" t="s">
        <v>27</v>
      </c>
      <c r="D211" s="166">
        <v>83200</v>
      </c>
      <c r="E211" s="187">
        <v>3</v>
      </c>
      <c r="F211" s="165" t="s">
        <v>14</v>
      </c>
      <c r="G211" s="209"/>
      <c r="H211" s="230">
        <v>0.41666666666666669</v>
      </c>
      <c r="I211" s="208"/>
      <c r="J211" s="166" t="s">
        <v>15</v>
      </c>
      <c r="K211" s="187">
        <v>3</v>
      </c>
      <c r="L211" s="165">
        <v>81142.857142857145</v>
      </c>
      <c r="M211" s="209" t="s">
        <v>52</v>
      </c>
      <c r="N211" s="208"/>
      <c r="O211" s="130"/>
      <c r="P211" s="130"/>
      <c r="Q211" s="130"/>
      <c r="R211" s="130"/>
      <c r="S211" s="209"/>
    </row>
    <row r="212" spans="1:19">
      <c r="A212" s="212">
        <v>22</v>
      </c>
      <c r="B212" s="244" t="s">
        <v>1254</v>
      </c>
      <c r="C212" s="212" t="s">
        <v>28</v>
      </c>
      <c r="D212" s="170">
        <v>93600</v>
      </c>
      <c r="E212" s="186">
        <v>1</v>
      </c>
      <c r="F212" s="168" t="s">
        <v>16</v>
      </c>
      <c r="G212" s="213"/>
      <c r="H212" s="232">
        <v>0.41666666666666669</v>
      </c>
      <c r="I212" s="212"/>
      <c r="J212" s="170" t="s">
        <v>10</v>
      </c>
      <c r="K212" s="186">
        <v>5</v>
      </c>
      <c r="L212" s="168">
        <v>79238.095238095237</v>
      </c>
      <c r="M212" s="213" t="s">
        <v>24</v>
      </c>
      <c r="N212" s="212"/>
      <c r="O212" s="169"/>
      <c r="P212" s="169"/>
      <c r="Q212" s="169"/>
      <c r="R212" s="169"/>
      <c r="S212" s="213"/>
    </row>
    <row r="213" spans="1:19">
      <c r="A213" s="214">
        <v>22</v>
      </c>
      <c r="B213" s="244" t="str">
        <f t="shared" ref="B213:B219" si="18">B212</f>
        <v>Saturday January 17, 2026</v>
      </c>
      <c r="C213" s="214" t="s">
        <v>33</v>
      </c>
      <c r="D213" s="173">
        <v>85200</v>
      </c>
      <c r="E213" s="187">
        <v>3</v>
      </c>
      <c r="F213" s="171" t="s">
        <v>13</v>
      </c>
      <c r="G213" s="215"/>
      <c r="H213" s="233">
        <v>0.41666666666666669</v>
      </c>
      <c r="I213" s="214"/>
      <c r="J213" s="173" t="s">
        <v>32</v>
      </c>
      <c r="K213" s="187">
        <v>4</v>
      </c>
      <c r="L213" s="171">
        <v>81142.857142857145</v>
      </c>
      <c r="M213" s="215" t="s">
        <v>43</v>
      </c>
      <c r="N213" s="214"/>
      <c r="O213" s="172"/>
      <c r="P213" s="172"/>
      <c r="Q213" s="172"/>
      <c r="R213" s="172"/>
      <c r="S213" s="215"/>
    </row>
    <row r="214" spans="1:19">
      <c r="A214" s="212">
        <v>22</v>
      </c>
      <c r="B214" s="244" t="str">
        <f t="shared" si="18"/>
        <v>Saturday January 17, 2026</v>
      </c>
      <c r="C214" s="212" t="s">
        <v>18</v>
      </c>
      <c r="D214" s="170">
        <v>99400</v>
      </c>
      <c r="E214" s="186">
        <v>1</v>
      </c>
      <c r="F214" s="168" t="s">
        <v>3</v>
      </c>
      <c r="G214" s="213"/>
      <c r="H214" s="232">
        <v>0.41666666666666669</v>
      </c>
      <c r="I214" s="212"/>
      <c r="J214" s="170" t="s">
        <v>7</v>
      </c>
      <c r="K214" s="186">
        <v>5</v>
      </c>
      <c r="L214" s="168">
        <v>79238.095238095237</v>
      </c>
      <c r="M214" s="213" t="s">
        <v>21</v>
      </c>
      <c r="N214" s="212"/>
      <c r="O214" s="169"/>
      <c r="P214" s="169"/>
      <c r="Q214" s="169"/>
      <c r="R214" s="169"/>
      <c r="S214" s="213"/>
    </row>
    <row r="215" spans="1:19">
      <c r="A215" s="214">
        <v>22</v>
      </c>
      <c r="B215" s="244" t="str">
        <f t="shared" si="18"/>
        <v>Saturday January 17, 2026</v>
      </c>
      <c r="C215" s="214" t="s">
        <v>633</v>
      </c>
      <c r="D215" s="173">
        <v>70200</v>
      </c>
      <c r="E215" s="187">
        <v>5</v>
      </c>
      <c r="F215" s="171" t="s">
        <v>1221</v>
      </c>
      <c r="G215" s="215"/>
      <c r="H215" s="233">
        <v>0.41666666666666669</v>
      </c>
      <c r="I215" s="214"/>
      <c r="J215" s="173" t="s">
        <v>9</v>
      </c>
      <c r="K215" s="187">
        <v>2</v>
      </c>
      <c r="L215" s="171">
        <v>81142.857142857145</v>
      </c>
      <c r="M215" s="215" t="s">
        <v>23</v>
      </c>
      <c r="N215" s="214"/>
      <c r="O215" s="172"/>
      <c r="P215" s="172"/>
      <c r="Q215" s="172"/>
      <c r="R215" s="172"/>
      <c r="S215" s="215"/>
    </row>
    <row r="216" spans="1:19">
      <c r="A216" s="212">
        <v>22</v>
      </c>
      <c r="B216" s="244" t="str">
        <f t="shared" si="18"/>
        <v>Saturday January 17, 2026</v>
      </c>
      <c r="C216" s="212" t="s">
        <v>17</v>
      </c>
      <c r="D216" s="170">
        <v>100000</v>
      </c>
      <c r="E216" s="186">
        <v>1</v>
      </c>
      <c r="F216" s="168" t="s">
        <v>0</v>
      </c>
      <c r="G216" s="213"/>
      <c r="H216" s="232">
        <v>0.41666666666666669</v>
      </c>
      <c r="I216" s="212"/>
      <c r="J216" s="170" t="s">
        <v>8</v>
      </c>
      <c r="K216" s="186">
        <v>5</v>
      </c>
      <c r="L216" s="168">
        <v>66857.142857142855</v>
      </c>
      <c r="M216" s="213" t="s">
        <v>22</v>
      </c>
      <c r="N216" s="212"/>
      <c r="O216" s="169"/>
      <c r="P216" s="169"/>
      <c r="Q216" s="169"/>
      <c r="R216" s="169"/>
      <c r="S216" s="213"/>
    </row>
    <row r="217" spans="1:19">
      <c r="A217" s="214">
        <v>22</v>
      </c>
      <c r="B217" s="244" t="str">
        <f t="shared" si="18"/>
        <v>Saturday January 17, 2026</v>
      </c>
      <c r="C217" s="214" t="s">
        <v>30</v>
      </c>
      <c r="D217" s="173">
        <v>97400</v>
      </c>
      <c r="E217" s="187">
        <v>3</v>
      </c>
      <c r="F217" s="171" t="s">
        <v>2</v>
      </c>
      <c r="G217" s="215"/>
      <c r="H217" s="233">
        <v>0.41666666666666669</v>
      </c>
      <c r="I217" s="214"/>
      <c r="J217" s="173" t="s">
        <v>1</v>
      </c>
      <c r="K217" s="187">
        <v>3</v>
      </c>
      <c r="L217" s="171">
        <v>95142.857142857145</v>
      </c>
      <c r="M217" s="215" t="s">
        <v>29</v>
      </c>
      <c r="N217" s="214"/>
      <c r="O217" s="172"/>
      <c r="P217" s="172"/>
      <c r="Q217" s="172"/>
      <c r="R217" s="172"/>
      <c r="S217" s="215"/>
    </row>
    <row r="218" spans="1:19">
      <c r="A218" s="212">
        <v>22</v>
      </c>
      <c r="B218" s="244" t="str">
        <f t="shared" si="18"/>
        <v>Saturday January 17, 2026</v>
      </c>
      <c r="C218" s="212" t="s">
        <v>52</v>
      </c>
      <c r="D218" s="170">
        <v>85200</v>
      </c>
      <c r="E218" s="186">
        <v>4</v>
      </c>
      <c r="F218" s="168" t="s">
        <v>15</v>
      </c>
      <c r="G218" s="213"/>
      <c r="H218" s="232">
        <v>0.41666666666666669</v>
      </c>
      <c r="I218" s="212"/>
      <c r="J218" s="170" t="s">
        <v>6</v>
      </c>
      <c r="K218" s="186">
        <v>2</v>
      </c>
      <c r="L218" s="168">
        <v>95200</v>
      </c>
      <c r="M218" s="213" t="s">
        <v>20</v>
      </c>
      <c r="N218" s="212"/>
      <c r="O218" s="169"/>
      <c r="P218" s="169"/>
      <c r="Q218" s="169"/>
      <c r="R218" s="169"/>
      <c r="S218" s="213"/>
    </row>
    <row r="219" spans="1:19">
      <c r="A219" s="214">
        <v>22</v>
      </c>
      <c r="B219" s="244" t="str">
        <f t="shared" si="18"/>
        <v>Saturday January 17, 2026</v>
      </c>
      <c r="C219" s="214" t="s">
        <v>634</v>
      </c>
      <c r="D219" s="173">
        <v>70200</v>
      </c>
      <c r="E219" s="187">
        <v>4</v>
      </c>
      <c r="F219" s="171" t="s">
        <v>1220</v>
      </c>
      <c r="G219" s="215"/>
      <c r="H219" s="233">
        <v>0.41666666666666669</v>
      </c>
      <c r="I219" s="214"/>
      <c r="J219" s="173" t="s">
        <v>12</v>
      </c>
      <c r="K219" s="187">
        <v>2</v>
      </c>
      <c r="L219" s="171">
        <v>79238.095238095237</v>
      </c>
      <c r="M219" s="215" t="s">
        <v>26</v>
      </c>
      <c r="N219" s="214"/>
      <c r="O219" s="172"/>
      <c r="P219" s="172"/>
      <c r="Q219" s="172"/>
      <c r="R219" s="172"/>
      <c r="S219" s="215"/>
    </row>
    <row r="220" spans="1:19">
      <c r="A220" s="212">
        <v>22</v>
      </c>
      <c r="B220" s="244" t="str">
        <f>B219</f>
        <v>Saturday January 17, 2026</v>
      </c>
      <c r="C220" s="212" t="s">
        <v>19</v>
      </c>
      <c r="D220" s="170">
        <v>97400</v>
      </c>
      <c r="E220" s="186">
        <v>1</v>
      </c>
      <c r="F220" s="168" t="s">
        <v>4</v>
      </c>
      <c r="G220" s="213"/>
      <c r="H220" s="232">
        <v>0.41666666666666669</v>
      </c>
      <c r="I220" s="212"/>
      <c r="J220" s="170" t="s">
        <v>14</v>
      </c>
      <c r="K220" s="186">
        <v>5</v>
      </c>
      <c r="L220" s="168">
        <v>79238.095238095237</v>
      </c>
      <c r="M220" s="213" t="s">
        <v>27</v>
      </c>
      <c r="N220" s="212"/>
      <c r="O220" s="169"/>
      <c r="P220" s="169"/>
      <c r="Q220" s="169"/>
      <c r="R220" s="169"/>
      <c r="S220" s="213"/>
    </row>
    <row r="221" spans="1:19">
      <c r="A221" s="214">
        <v>22</v>
      </c>
      <c r="B221" s="244" t="str">
        <f>B220</f>
        <v>Saturday January 17, 2026</v>
      </c>
      <c r="C221" s="214" t="s">
        <v>51</v>
      </c>
      <c r="D221" s="173">
        <v>75200</v>
      </c>
      <c r="E221" s="187">
        <v>5</v>
      </c>
      <c r="F221" s="171" t="s">
        <v>5</v>
      </c>
      <c r="G221" s="215"/>
      <c r="H221" s="233">
        <v>0.41666666666666669</v>
      </c>
      <c r="I221" s="214"/>
      <c r="J221" s="173" t="s">
        <v>11</v>
      </c>
      <c r="K221" s="187">
        <v>1</v>
      </c>
      <c r="L221" s="171">
        <v>90666.666666666657</v>
      </c>
      <c r="M221" s="215" t="s">
        <v>25</v>
      </c>
      <c r="N221" s="214"/>
      <c r="O221" s="172"/>
      <c r="P221" s="172"/>
      <c r="Q221" s="172"/>
      <c r="R221" s="172"/>
      <c r="S221" s="215"/>
    </row>
    <row r="222" spans="1:19">
      <c r="A222" s="216">
        <v>23</v>
      </c>
      <c r="B222" s="245" t="s">
        <v>1255</v>
      </c>
      <c r="C222" s="216" t="s">
        <v>43</v>
      </c>
      <c r="D222" s="176">
        <v>85200</v>
      </c>
      <c r="E222" s="186">
        <v>4</v>
      </c>
      <c r="F222" s="174" t="s">
        <v>32</v>
      </c>
      <c r="G222" s="217"/>
      <c r="H222" s="234">
        <v>0.41666666666666669</v>
      </c>
      <c r="I222" s="216"/>
      <c r="J222" s="176" t="s">
        <v>0</v>
      </c>
      <c r="K222" s="186">
        <v>2</v>
      </c>
      <c r="L222" s="174">
        <v>95238.095238095237</v>
      </c>
      <c r="M222" s="217" t="s">
        <v>17</v>
      </c>
      <c r="N222" s="216"/>
      <c r="O222" s="175"/>
      <c r="P222" s="175"/>
      <c r="Q222" s="175"/>
      <c r="R222" s="175"/>
      <c r="S222" s="217"/>
    </row>
    <row r="223" spans="1:19">
      <c r="A223" s="218">
        <v>23</v>
      </c>
      <c r="B223" s="245" t="str">
        <f t="shared" ref="B223:B231" si="19">B222</f>
        <v>Saturday January 24, 2026</v>
      </c>
      <c r="C223" s="218" t="s">
        <v>20</v>
      </c>
      <c r="D223" s="179">
        <v>99960</v>
      </c>
      <c r="E223" s="187">
        <v>2</v>
      </c>
      <c r="F223" s="177" t="s">
        <v>6</v>
      </c>
      <c r="G223" s="219"/>
      <c r="H223" s="235">
        <v>0.41666666666666669</v>
      </c>
      <c r="I223" s="218"/>
      <c r="J223" s="179" t="s">
        <v>2</v>
      </c>
      <c r="K223" s="187">
        <v>4</v>
      </c>
      <c r="L223" s="177">
        <v>92761.904761904763</v>
      </c>
      <c r="M223" s="219" t="s">
        <v>30</v>
      </c>
      <c r="N223" s="218"/>
      <c r="O223" s="178"/>
      <c r="P223" s="178"/>
      <c r="Q223" s="178"/>
      <c r="R223" s="178"/>
      <c r="S223" s="219"/>
    </row>
    <row r="224" spans="1:19">
      <c r="A224" s="216">
        <v>23</v>
      </c>
      <c r="B224" s="245" t="str">
        <f t="shared" si="19"/>
        <v>Saturday January 24, 2026</v>
      </c>
      <c r="C224" s="216" t="s">
        <v>21</v>
      </c>
      <c r="D224" s="176">
        <v>83200</v>
      </c>
      <c r="E224" s="186">
        <v>3</v>
      </c>
      <c r="F224" s="174" t="s">
        <v>7</v>
      </c>
      <c r="G224" s="217"/>
      <c r="H224" s="234">
        <v>0.41666666666666669</v>
      </c>
      <c r="I224" s="216"/>
      <c r="J224" s="176" t="s">
        <v>15</v>
      </c>
      <c r="K224" s="186">
        <v>3</v>
      </c>
      <c r="L224" s="174">
        <v>81142.857142857145</v>
      </c>
      <c r="M224" s="217" t="s">
        <v>52</v>
      </c>
      <c r="N224" s="216"/>
      <c r="O224" s="175"/>
      <c r="P224" s="175"/>
      <c r="Q224" s="175"/>
      <c r="R224" s="175"/>
      <c r="S224" s="217"/>
    </row>
    <row r="225" spans="1:19">
      <c r="A225" s="218">
        <v>23</v>
      </c>
      <c r="B225" s="245" t="str">
        <f t="shared" si="19"/>
        <v>Saturday January 24, 2026</v>
      </c>
      <c r="C225" s="218" t="s">
        <v>22</v>
      </c>
      <c r="D225" s="179">
        <v>70200</v>
      </c>
      <c r="E225" s="187">
        <v>5</v>
      </c>
      <c r="F225" s="177" t="s">
        <v>8</v>
      </c>
      <c r="G225" s="219"/>
      <c r="H225" s="235">
        <v>0.41666666666666669</v>
      </c>
      <c r="I225" s="218"/>
      <c r="J225" s="179" t="s">
        <v>4</v>
      </c>
      <c r="K225" s="187">
        <v>1</v>
      </c>
      <c r="L225" s="177">
        <v>92761.904761904763</v>
      </c>
      <c r="M225" s="219" t="s">
        <v>19</v>
      </c>
      <c r="N225" s="218"/>
      <c r="O225" s="178"/>
      <c r="P225" s="178"/>
      <c r="Q225" s="178"/>
      <c r="R225" s="178"/>
      <c r="S225" s="219"/>
    </row>
    <row r="226" spans="1:19">
      <c r="A226" s="216">
        <v>23</v>
      </c>
      <c r="B226" s="245" t="str">
        <f t="shared" si="19"/>
        <v>Saturday January 24, 2026</v>
      </c>
      <c r="C226" s="216" t="s">
        <v>26</v>
      </c>
      <c r="D226" s="176">
        <v>83200</v>
      </c>
      <c r="E226" s="186">
        <v>4</v>
      </c>
      <c r="F226" s="174" t="s">
        <v>12</v>
      </c>
      <c r="G226" s="217"/>
      <c r="H226" s="234">
        <v>0.41666666666666669</v>
      </c>
      <c r="I226" s="216"/>
      <c r="J226" s="176" t="s">
        <v>3</v>
      </c>
      <c r="K226" s="186">
        <v>2</v>
      </c>
      <c r="L226" s="174">
        <v>94666.666666666657</v>
      </c>
      <c r="M226" s="217" t="s">
        <v>18</v>
      </c>
      <c r="N226" s="216"/>
      <c r="O226" s="175"/>
      <c r="P226" s="175"/>
      <c r="Q226" s="175"/>
      <c r="R226" s="175"/>
      <c r="S226" s="217"/>
    </row>
    <row r="227" spans="1:19">
      <c r="A227" s="218">
        <v>23</v>
      </c>
      <c r="B227" s="245" t="str">
        <f t="shared" si="19"/>
        <v>Saturday January 24, 2026</v>
      </c>
      <c r="C227" s="218" t="s">
        <v>24</v>
      </c>
      <c r="D227" s="179">
        <v>83200</v>
      </c>
      <c r="E227" s="187">
        <v>1</v>
      </c>
      <c r="F227" s="177" t="s">
        <v>10</v>
      </c>
      <c r="G227" s="219"/>
      <c r="H227" s="235">
        <v>0.41666666666666669</v>
      </c>
      <c r="I227" s="218"/>
      <c r="J227" s="179" t="s">
        <v>1221</v>
      </c>
      <c r="K227" s="187">
        <v>5</v>
      </c>
      <c r="L227" s="177">
        <v>66857.142857142855</v>
      </c>
      <c r="M227" s="219" t="s">
        <v>633</v>
      </c>
      <c r="N227" s="218"/>
      <c r="O227" s="178"/>
      <c r="P227" s="178"/>
      <c r="Q227" s="178"/>
      <c r="R227" s="178"/>
      <c r="S227" s="219"/>
    </row>
    <row r="228" spans="1:19">
      <c r="A228" s="216">
        <v>23</v>
      </c>
      <c r="B228" s="245" t="str">
        <f t="shared" si="19"/>
        <v>Saturday January 24, 2026</v>
      </c>
      <c r="C228" s="216" t="s">
        <v>23</v>
      </c>
      <c r="D228" s="176">
        <v>85200</v>
      </c>
      <c r="E228" s="186">
        <v>3</v>
      </c>
      <c r="F228" s="174" t="s">
        <v>9</v>
      </c>
      <c r="G228" s="217"/>
      <c r="H228" s="234">
        <v>0.41666666666666669</v>
      </c>
      <c r="I228" s="216"/>
      <c r="J228" s="176" t="s">
        <v>13</v>
      </c>
      <c r="K228" s="186">
        <v>4</v>
      </c>
      <c r="L228" s="174">
        <v>81142.857142857145</v>
      </c>
      <c r="M228" s="217" t="s">
        <v>33</v>
      </c>
      <c r="N228" s="216"/>
      <c r="O228" s="175"/>
      <c r="P228" s="175"/>
      <c r="Q228" s="175"/>
      <c r="R228" s="175"/>
      <c r="S228" s="217"/>
    </row>
    <row r="229" spans="1:19">
      <c r="A229" s="218">
        <v>23</v>
      </c>
      <c r="B229" s="245" t="str">
        <f t="shared" si="19"/>
        <v>Saturday January 24, 2026</v>
      </c>
      <c r="C229" s="218" t="s">
        <v>29</v>
      </c>
      <c r="D229" s="179">
        <v>99900</v>
      </c>
      <c r="E229" s="187">
        <v>1</v>
      </c>
      <c r="F229" s="177" t="s">
        <v>1</v>
      </c>
      <c r="G229" s="219"/>
      <c r="H229" s="235">
        <v>0.41666666666666669</v>
      </c>
      <c r="I229" s="218"/>
      <c r="J229" s="179" t="s">
        <v>5</v>
      </c>
      <c r="K229" s="187">
        <v>5</v>
      </c>
      <c r="L229" s="177">
        <v>71619.047619047618</v>
      </c>
      <c r="M229" s="219" t="s">
        <v>51</v>
      </c>
      <c r="N229" s="218"/>
      <c r="O229" s="178"/>
      <c r="P229" s="178"/>
      <c r="Q229" s="178"/>
      <c r="R229" s="178"/>
      <c r="S229" s="219"/>
    </row>
    <row r="230" spans="1:19">
      <c r="A230" s="216">
        <v>23</v>
      </c>
      <c r="B230" s="245" t="str">
        <f t="shared" si="19"/>
        <v>Saturday January 24, 2026</v>
      </c>
      <c r="C230" s="216" t="s">
        <v>25</v>
      </c>
      <c r="D230" s="176">
        <v>95200</v>
      </c>
      <c r="E230" s="186">
        <v>2</v>
      </c>
      <c r="F230" s="174" t="s">
        <v>11</v>
      </c>
      <c r="G230" s="217"/>
      <c r="H230" s="234">
        <v>0.41666666666666669</v>
      </c>
      <c r="I230" s="216"/>
      <c r="J230" s="176" t="s">
        <v>16</v>
      </c>
      <c r="K230" s="186">
        <v>4</v>
      </c>
      <c r="L230" s="174">
        <v>89142.857142857145</v>
      </c>
      <c r="M230" s="217" t="s">
        <v>28</v>
      </c>
      <c r="N230" s="216"/>
      <c r="O230" s="175"/>
      <c r="P230" s="175"/>
      <c r="Q230" s="175"/>
      <c r="R230" s="175"/>
      <c r="S230" s="217"/>
    </row>
    <row r="231" spans="1:19">
      <c r="A231" s="218">
        <v>23</v>
      </c>
      <c r="B231" s="245" t="str">
        <f t="shared" si="19"/>
        <v>Saturday January 24, 2026</v>
      </c>
      <c r="C231" s="218" t="s">
        <v>27</v>
      </c>
      <c r="D231" s="179">
        <v>83200</v>
      </c>
      <c r="E231" s="187">
        <v>1</v>
      </c>
      <c r="F231" s="177" t="s">
        <v>14</v>
      </c>
      <c r="G231" s="219"/>
      <c r="H231" s="235">
        <v>0.41666666666666669</v>
      </c>
      <c r="I231" s="218"/>
      <c r="J231" s="179" t="s">
        <v>1220</v>
      </c>
      <c r="K231" s="187">
        <v>5</v>
      </c>
      <c r="L231" s="177">
        <v>66857.142857142855</v>
      </c>
      <c r="M231" s="219" t="s">
        <v>634</v>
      </c>
      <c r="N231" s="218"/>
      <c r="O231" s="178"/>
      <c r="P231" s="178"/>
      <c r="Q231" s="178"/>
      <c r="R231" s="178"/>
      <c r="S231" s="219"/>
    </row>
    <row r="232" spans="1:19">
      <c r="A232" s="220">
        <v>24</v>
      </c>
      <c r="B232" s="246" t="s">
        <v>1256</v>
      </c>
      <c r="C232" s="220" t="s">
        <v>28</v>
      </c>
      <c r="D232" s="182">
        <v>93600</v>
      </c>
      <c r="E232" s="186">
        <v>1</v>
      </c>
      <c r="F232" s="180" t="s">
        <v>16</v>
      </c>
      <c r="G232" s="221"/>
      <c r="H232" s="236">
        <v>0.41666666666666669</v>
      </c>
      <c r="I232" s="220"/>
      <c r="J232" s="182" t="s">
        <v>7</v>
      </c>
      <c r="K232" s="186">
        <v>5</v>
      </c>
      <c r="L232" s="180">
        <v>79238.095238095237</v>
      </c>
      <c r="M232" s="221" t="s">
        <v>21</v>
      </c>
      <c r="N232" s="220"/>
      <c r="O232" s="181"/>
      <c r="P232" s="181"/>
      <c r="Q232" s="181"/>
      <c r="R232" s="181"/>
      <c r="S232" s="221"/>
    </row>
    <row r="233" spans="1:19">
      <c r="A233" s="222">
        <v>24</v>
      </c>
      <c r="B233" s="246" t="str">
        <f t="shared" ref="B233:B241" si="20">B232</f>
        <v>Saturday January 31, 2026</v>
      </c>
      <c r="C233" s="222" t="s">
        <v>33</v>
      </c>
      <c r="D233" s="185">
        <v>85200</v>
      </c>
      <c r="E233" s="187">
        <v>2</v>
      </c>
      <c r="F233" s="183" t="s">
        <v>13</v>
      </c>
      <c r="G233" s="223"/>
      <c r="H233" s="237">
        <v>0.41666666666666669</v>
      </c>
      <c r="I233" s="222"/>
      <c r="J233" s="185" t="s">
        <v>10</v>
      </c>
      <c r="K233" s="187">
        <v>4</v>
      </c>
      <c r="L233" s="183">
        <v>79238.095238095237</v>
      </c>
      <c r="M233" s="223" t="s">
        <v>24</v>
      </c>
      <c r="N233" s="222"/>
      <c r="O233" s="184"/>
      <c r="P233" s="184"/>
      <c r="Q233" s="184"/>
      <c r="R233" s="184"/>
      <c r="S233" s="223"/>
    </row>
    <row r="234" spans="1:19">
      <c r="A234" s="220">
        <v>24</v>
      </c>
      <c r="B234" s="246" t="str">
        <f t="shared" si="20"/>
        <v>Saturday January 31, 2026</v>
      </c>
      <c r="C234" s="220" t="s">
        <v>18</v>
      </c>
      <c r="D234" s="182">
        <v>99400</v>
      </c>
      <c r="E234" s="186">
        <v>1</v>
      </c>
      <c r="F234" s="180" t="s">
        <v>3</v>
      </c>
      <c r="G234" s="221"/>
      <c r="H234" s="236">
        <v>0.41666666666666669</v>
      </c>
      <c r="I234" s="220"/>
      <c r="J234" s="182" t="s">
        <v>14</v>
      </c>
      <c r="K234" s="186">
        <v>5</v>
      </c>
      <c r="L234" s="180">
        <v>79238.095238095237</v>
      </c>
      <c r="M234" s="221" t="s">
        <v>27</v>
      </c>
      <c r="N234" s="220"/>
      <c r="O234" s="181"/>
      <c r="P234" s="181"/>
      <c r="Q234" s="181"/>
      <c r="R234" s="181"/>
      <c r="S234" s="221"/>
    </row>
    <row r="235" spans="1:19">
      <c r="A235" s="222">
        <v>24</v>
      </c>
      <c r="B235" s="246" t="str">
        <f t="shared" si="20"/>
        <v>Saturday January 31, 2026</v>
      </c>
      <c r="C235" s="222" t="s">
        <v>633</v>
      </c>
      <c r="D235" s="185">
        <v>70200</v>
      </c>
      <c r="E235" s="187">
        <v>5</v>
      </c>
      <c r="F235" s="183" t="s">
        <v>1221</v>
      </c>
      <c r="G235" s="223"/>
      <c r="H235" s="237">
        <v>0.41666666666666669</v>
      </c>
      <c r="I235" s="222"/>
      <c r="J235" s="185" t="s">
        <v>6</v>
      </c>
      <c r="K235" s="187">
        <v>1</v>
      </c>
      <c r="L235" s="183">
        <v>95200</v>
      </c>
      <c r="M235" s="223" t="s">
        <v>20</v>
      </c>
      <c r="N235" s="222"/>
      <c r="O235" s="184"/>
      <c r="P235" s="184"/>
      <c r="Q235" s="184"/>
      <c r="R235" s="184"/>
      <c r="S235" s="223"/>
    </row>
    <row r="236" spans="1:19">
      <c r="A236" s="220">
        <v>24</v>
      </c>
      <c r="B236" s="246" t="str">
        <f t="shared" si="20"/>
        <v>Saturday January 31, 2026</v>
      </c>
      <c r="C236" s="220" t="s">
        <v>17</v>
      </c>
      <c r="D236" s="182">
        <v>100000</v>
      </c>
      <c r="E236" s="186">
        <v>2</v>
      </c>
      <c r="F236" s="180" t="s">
        <v>0</v>
      </c>
      <c r="G236" s="221"/>
      <c r="H236" s="236">
        <v>0.41666666666666669</v>
      </c>
      <c r="I236" s="220"/>
      <c r="J236" s="182" t="s">
        <v>11</v>
      </c>
      <c r="K236" s="186">
        <v>4</v>
      </c>
      <c r="L236" s="180">
        <v>90666.666666666657</v>
      </c>
      <c r="M236" s="221" t="s">
        <v>25</v>
      </c>
      <c r="N236" s="220"/>
      <c r="O236" s="181"/>
      <c r="P236" s="181"/>
      <c r="Q236" s="181"/>
      <c r="R236" s="181"/>
      <c r="S236" s="221"/>
    </row>
    <row r="237" spans="1:19">
      <c r="A237" s="222">
        <v>24</v>
      </c>
      <c r="B237" s="246" t="str">
        <f t="shared" si="20"/>
        <v>Saturday January 31, 2026</v>
      </c>
      <c r="C237" s="222" t="s">
        <v>30</v>
      </c>
      <c r="D237" s="185">
        <v>97400</v>
      </c>
      <c r="E237" s="187">
        <v>1</v>
      </c>
      <c r="F237" s="183" t="s">
        <v>2</v>
      </c>
      <c r="G237" s="223"/>
      <c r="H237" s="237">
        <v>0.41666666666666669</v>
      </c>
      <c r="I237" s="222"/>
      <c r="J237" s="185" t="s">
        <v>9</v>
      </c>
      <c r="K237" s="187">
        <v>5</v>
      </c>
      <c r="L237" s="183">
        <v>81142.857142857145</v>
      </c>
      <c r="M237" s="223" t="s">
        <v>23</v>
      </c>
      <c r="N237" s="222"/>
      <c r="O237" s="184"/>
      <c r="P237" s="184"/>
      <c r="Q237" s="184"/>
      <c r="R237" s="184"/>
      <c r="S237" s="223"/>
    </row>
    <row r="238" spans="1:19">
      <c r="A238" s="220">
        <v>24</v>
      </c>
      <c r="B238" s="246" t="str">
        <f t="shared" si="20"/>
        <v>Saturday January 31, 2026</v>
      </c>
      <c r="C238" s="220" t="s">
        <v>52</v>
      </c>
      <c r="D238" s="182">
        <v>85200</v>
      </c>
      <c r="E238" s="186">
        <v>2</v>
      </c>
      <c r="F238" s="180" t="s">
        <v>15</v>
      </c>
      <c r="G238" s="221"/>
      <c r="H238" s="236">
        <v>0.41666666666666669</v>
      </c>
      <c r="I238" s="220"/>
      <c r="J238" s="182" t="s">
        <v>12</v>
      </c>
      <c r="K238" s="186">
        <v>4</v>
      </c>
      <c r="L238" s="180">
        <v>79238.095238095237</v>
      </c>
      <c r="M238" s="221" t="s">
        <v>26</v>
      </c>
      <c r="N238" s="220"/>
      <c r="O238" s="181"/>
      <c r="P238" s="181"/>
      <c r="Q238" s="181"/>
      <c r="R238" s="181"/>
      <c r="S238" s="221"/>
    </row>
    <row r="239" spans="1:19">
      <c r="A239" s="222">
        <v>24</v>
      </c>
      <c r="B239" s="246" t="str">
        <f t="shared" si="20"/>
        <v>Saturday January 31, 2026</v>
      </c>
      <c r="C239" s="222" t="s">
        <v>634</v>
      </c>
      <c r="D239" s="185">
        <v>70200</v>
      </c>
      <c r="E239" s="187">
        <v>3</v>
      </c>
      <c r="F239" s="183" t="s">
        <v>1220</v>
      </c>
      <c r="G239" s="223"/>
      <c r="H239" s="237">
        <v>0.41666666666666669</v>
      </c>
      <c r="I239" s="222"/>
      <c r="J239" s="185" t="s">
        <v>8</v>
      </c>
      <c r="K239" s="187">
        <v>4</v>
      </c>
      <c r="L239" s="183">
        <v>66857.142857142855</v>
      </c>
      <c r="M239" s="223" t="s">
        <v>22</v>
      </c>
      <c r="N239" s="222"/>
      <c r="O239" s="184"/>
      <c r="P239" s="184"/>
      <c r="Q239" s="184"/>
      <c r="R239" s="184"/>
      <c r="S239" s="223"/>
    </row>
    <row r="240" spans="1:19">
      <c r="A240" s="220">
        <v>24</v>
      </c>
      <c r="B240" s="246" t="str">
        <f t="shared" si="20"/>
        <v>Saturday January 31, 2026</v>
      </c>
      <c r="C240" s="220" t="s">
        <v>19</v>
      </c>
      <c r="D240" s="182">
        <v>97400</v>
      </c>
      <c r="E240" s="186">
        <v>3</v>
      </c>
      <c r="F240" s="180" t="s">
        <v>4</v>
      </c>
      <c r="G240" s="221"/>
      <c r="H240" s="236">
        <v>0.41666666666666669</v>
      </c>
      <c r="I240" s="220"/>
      <c r="J240" s="182" t="s">
        <v>1</v>
      </c>
      <c r="K240" s="186">
        <v>3</v>
      </c>
      <c r="L240" s="180">
        <v>95142.857142857145</v>
      </c>
      <c r="M240" s="221" t="s">
        <v>29</v>
      </c>
      <c r="N240" s="220"/>
      <c r="O240" s="181"/>
      <c r="P240" s="181"/>
      <c r="Q240" s="181"/>
      <c r="R240" s="181"/>
      <c r="S240" s="221"/>
    </row>
    <row r="241" spans="1:19">
      <c r="A241" s="222">
        <v>24</v>
      </c>
      <c r="B241" s="246" t="str">
        <f t="shared" si="20"/>
        <v>Saturday January 31, 2026</v>
      </c>
      <c r="C241" s="222" t="s">
        <v>51</v>
      </c>
      <c r="D241" s="185">
        <v>75200</v>
      </c>
      <c r="E241" s="187">
        <v>4</v>
      </c>
      <c r="F241" s="183" t="s">
        <v>5</v>
      </c>
      <c r="G241" s="223"/>
      <c r="H241" s="237">
        <v>0.41666666666666669</v>
      </c>
      <c r="I241" s="222"/>
      <c r="J241" s="185" t="s">
        <v>32</v>
      </c>
      <c r="K241" s="187">
        <v>2</v>
      </c>
      <c r="L241" s="183">
        <v>81142.857142857145</v>
      </c>
      <c r="M241" s="223" t="s">
        <v>43</v>
      </c>
      <c r="N241" s="222"/>
      <c r="O241" s="184"/>
      <c r="P241" s="184"/>
      <c r="Q241" s="184"/>
      <c r="R241" s="184"/>
      <c r="S241" s="223"/>
    </row>
    <row r="242" spans="1:19">
      <c r="A242" s="210">
        <v>25</v>
      </c>
      <c r="B242" s="247" t="s">
        <v>1257</v>
      </c>
      <c r="C242" s="210" t="s">
        <v>43</v>
      </c>
      <c r="D242" s="154">
        <v>85200</v>
      </c>
      <c r="E242" s="186">
        <v>3</v>
      </c>
      <c r="F242" s="167" t="s">
        <v>32</v>
      </c>
      <c r="G242" s="211"/>
      <c r="H242" s="231">
        <v>0.41666666666666669</v>
      </c>
      <c r="I242" s="210"/>
      <c r="J242" s="154" t="s">
        <v>16</v>
      </c>
      <c r="K242" s="186">
        <v>3</v>
      </c>
      <c r="L242" s="167">
        <v>89142.857142857145</v>
      </c>
      <c r="M242" s="211" t="s">
        <v>28</v>
      </c>
      <c r="N242" s="210"/>
      <c r="O242" s="129"/>
      <c r="P242" s="129"/>
      <c r="Q242" s="129"/>
      <c r="R242" s="129"/>
      <c r="S242" s="211"/>
    </row>
    <row r="243" spans="1:19">
      <c r="A243" s="208">
        <v>25</v>
      </c>
      <c r="B243" s="247" t="str">
        <f t="shared" ref="B243:B251" si="21">B242</f>
        <v>Saturday February 7, 2026</v>
      </c>
      <c r="C243" s="208" t="s">
        <v>20</v>
      </c>
      <c r="D243" s="166">
        <v>99960</v>
      </c>
      <c r="E243" s="187">
        <v>1</v>
      </c>
      <c r="F243" s="165" t="s">
        <v>6</v>
      </c>
      <c r="G243" s="209"/>
      <c r="H243" s="230">
        <v>0.41666666666666669</v>
      </c>
      <c r="I243" s="208"/>
      <c r="J243" s="166" t="s">
        <v>1220</v>
      </c>
      <c r="K243" s="187">
        <v>5</v>
      </c>
      <c r="L243" s="165">
        <v>66857.142857142855</v>
      </c>
      <c r="M243" s="209" t="s">
        <v>634</v>
      </c>
      <c r="N243" s="208"/>
      <c r="O243" s="130"/>
      <c r="P243" s="130"/>
      <c r="Q243" s="130"/>
      <c r="R243" s="130"/>
      <c r="S243" s="209"/>
    </row>
    <row r="244" spans="1:19">
      <c r="A244" s="210">
        <v>25</v>
      </c>
      <c r="B244" s="247" t="str">
        <f t="shared" si="21"/>
        <v>Saturday February 7, 2026</v>
      </c>
      <c r="C244" s="210" t="s">
        <v>33</v>
      </c>
      <c r="D244" s="154">
        <v>85200</v>
      </c>
      <c r="E244" s="186">
        <v>2</v>
      </c>
      <c r="F244" s="167" t="s">
        <v>13</v>
      </c>
      <c r="G244" s="211"/>
      <c r="H244" s="231">
        <v>0.41666666666666669</v>
      </c>
      <c r="I244" s="210"/>
      <c r="J244" s="154" t="s">
        <v>12</v>
      </c>
      <c r="K244" s="186">
        <v>4</v>
      </c>
      <c r="L244" s="167">
        <v>79238.095238095237</v>
      </c>
      <c r="M244" s="211" t="s">
        <v>26</v>
      </c>
      <c r="N244" s="210"/>
      <c r="O244" s="129"/>
      <c r="P244" s="129"/>
      <c r="Q244" s="129"/>
      <c r="R244" s="129"/>
      <c r="S244" s="211"/>
    </row>
    <row r="245" spans="1:19">
      <c r="A245" s="208">
        <v>25</v>
      </c>
      <c r="B245" s="247" t="str">
        <f t="shared" si="21"/>
        <v>Saturday February 7, 2026</v>
      </c>
      <c r="C245" s="208" t="s">
        <v>22</v>
      </c>
      <c r="D245" s="166">
        <v>70200</v>
      </c>
      <c r="E245" s="187">
        <v>4</v>
      </c>
      <c r="F245" s="165" t="s">
        <v>8</v>
      </c>
      <c r="G245" s="209"/>
      <c r="H245" s="230">
        <v>0.41666666666666669</v>
      </c>
      <c r="I245" s="208"/>
      <c r="J245" s="166" t="s">
        <v>14</v>
      </c>
      <c r="K245" s="187">
        <v>2</v>
      </c>
      <c r="L245" s="165">
        <v>79238.095238095237</v>
      </c>
      <c r="M245" s="209" t="s">
        <v>27</v>
      </c>
      <c r="N245" s="208"/>
      <c r="O245" s="130"/>
      <c r="P245" s="130"/>
      <c r="Q245" s="130"/>
      <c r="R245" s="130"/>
      <c r="S245" s="209"/>
    </row>
    <row r="246" spans="1:19">
      <c r="A246" s="210">
        <v>25</v>
      </c>
      <c r="B246" s="247" t="str">
        <f t="shared" si="21"/>
        <v>Saturday February 7, 2026</v>
      </c>
      <c r="C246" s="210" t="s">
        <v>23</v>
      </c>
      <c r="D246" s="154">
        <v>85200</v>
      </c>
      <c r="E246" s="186">
        <v>2</v>
      </c>
      <c r="F246" s="167" t="s">
        <v>9</v>
      </c>
      <c r="G246" s="211"/>
      <c r="H246" s="231">
        <v>0.41666666666666669</v>
      </c>
      <c r="I246" s="210"/>
      <c r="J246" s="154" t="s">
        <v>10</v>
      </c>
      <c r="K246" s="186">
        <v>4</v>
      </c>
      <c r="L246" s="167">
        <v>79238.095238095237</v>
      </c>
      <c r="M246" s="211" t="s">
        <v>24</v>
      </c>
      <c r="N246" s="210"/>
      <c r="O246" s="129"/>
      <c r="P246" s="129"/>
      <c r="Q246" s="129"/>
      <c r="R246" s="129"/>
      <c r="S246" s="211"/>
    </row>
    <row r="247" spans="1:19">
      <c r="A247" s="208">
        <v>25</v>
      </c>
      <c r="B247" s="247" t="str">
        <f t="shared" si="21"/>
        <v>Saturday February 7, 2026</v>
      </c>
      <c r="C247" s="208" t="s">
        <v>633</v>
      </c>
      <c r="D247" s="166">
        <v>70200</v>
      </c>
      <c r="E247" s="187">
        <v>5</v>
      </c>
      <c r="F247" s="165" t="s">
        <v>1221</v>
      </c>
      <c r="G247" s="209"/>
      <c r="H247" s="230">
        <v>0.41666666666666669</v>
      </c>
      <c r="I247" s="208"/>
      <c r="J247" s="166" t="s">
        <v>15</v>
      </c>
      <c r="K247" s="187">
        <v>2</v>
      </c>
      <c r="L247" s="165">
        <v>81142.857142857145</v>
      </c>
      <c r="M247" s="209" t="s">
        <v>52</v>
      </c>
      <c r="N247" s="208"/>
      <c r="O247" s="130"/>
      <c r="P247" s="130"/>
      <c r="Q247" s="130"/>
      <c r="R247" s="130"/>
      <c r="S247" s="209"/>
    </row>
    <row r="248" spans="1:19">
      <c r="A248" s="210">
        <v>25</v>
      </c>
      <c r="B248" s="247" t="str">
        <f t="shared" si="21"/>
        <v>Saturday February 7, 2026</v>
      </c>
      <c r="C248" s="210" t="s">
        <v>17</v>
      </c>
      <c r="D248" s="154">
        <v>100000</v>
      </c>
      <c r="E248" s="186">
        <v>3</v>
      </c>
      <c r="F248" s="167" t="s">
        <v>0</v>
      </c>
      <c r="G248" s="211"/>
      <c r="H248" s="231">
        <v>0.41666666666666669</v>
      </c>
      <c r="I248" s="210"/>
      <c r="J248" s="154" t="s">
        <v>1</v>
      </c>
      <c r="K248" s="186">
        <v>4</v>
      </c>
      <c r="L248" s="167">
        <v>95142.857142857145</v>
      </c>
      <c r="M248" s="211" t="s">
        <v>29</v>
      </c>
      <c r="N248" s="210"/>
      <c r="O248" s="129"/>
      <c r="P248" s="129"/>
      <c r="Q248" s="129"/>
      <c r="R248" s="129"/>
      <c r="S248" s="211"/>
    </row>
    <row r="249" spans="1:19">
      <c r="A249" s="208">
        <v>25</v>
      </c>
      <c r="B249" s="247" t="str">
        <f t="shared" si="21"/>
        <v>Saturday February 7, 2026</v>
      </c>
      <c r="C249" s="208" t="s">
        <v>30</v>
      </c>
      <c r="D249" s="166">
        <v>97400</v>
      </c>
      <c r="E249" s="187">
        <v>3</v>
      </c>
      <c r="F249" s="165" t="s">
        <v>2</v>
      </c>
      <c r="G249" s="209"/>
      <c r="H249" s="230">
        <v>0.41666666666666669</v>
      </c>
      <c r="I249" s="208"/>
      <c r="J249" s="166" t="s">
        <v>4</v>
      </c>
      <c r="K249" s="187">
        <v>4</v>
      </c>
      <c r="L249" s="165">
        <v>92761.904761904763</v>
      </c>
      <c r="M249" s="209" t="s">
        <v>19</v>
      </c>
      <c r="N249" s="208"/>
      <c r="O249" s="130"/>
      <c r="P249" s="130"/>
      <c r="Q249" s="130"/>
      <c r="R249" s="130"/>
      <c r="S249" s="209"/>
    </row>
    <row r="250" spans="1:19">
      <c r="A250" s="210">
        <v>25</v>
      </c>
      <c r="B250" s="247" t="str">
        <f t="shared" si="21"/>
        <v>Saturday February 7, 2026</v>
      </c>
      <c r="C250" s="210" t="s">
        <v>25</v>
      </c>
      <c r="D250" s="154">
        <v>95200</v>
      </c>
      <c r="E250" s="186">
        <v>1</v>
      </c>
      <c r="F250" s="167" t="s">
        <v>11</v>
      </c>
      <c r="G250" s="211"/>
      <c r="H250" s="231">
        <v>0.41666666666666669</v>
      </c>
      <c r="I250" s="210"/>
      <c r="J250" s="154" t="s">
        <v>7</v>
      </c>
      <c r="K250" s="186">
        <v>5</v>
      </c>
      <c r="L250" s="167">
        <v>79238.095238095237</v>
      </c>
      <c r="M250" s="211" t="s">
        <v>21</v>
      </c>
      <c r="N250" s="210"/>
      <c r="O250" s="129"/>
      <c r="P250" s="129"/>
      <c r="Q250" s="129"/>
      <c r="R250" s="129"/>
      <c r="S250" s="211"/>
    </row>
    <row r="251" spans="1:19">
      <c r="A251" s="208">
        <v>25</v>
      </c>
      <c r="B251" s="247" t="str">
        <f t="shared" si="21"/>
        <v>Saturday February 7, 2026</v>
      </c>
      <c r="C251" s="208" t="s">
        <v>51</v>
      </c>
      <c r="D251" s="166">
        <v>75200</v>
      </c>
      <c r="E251" s="187">
        <v>5</v>
      </c>
      <c r="F251" s="165" t="s">
        <v>5</v>
      </c>
      <c r="G251" s="209"/>
      <c r="H251" s="230">
        <v>0.41666666666666669</v>
      </c>
      <c r="I251" s="208"/>
      <c r="J251" s="166" t="s">
        <v>3</v>
      </c>
      <c r="K251" s="187">
        <v>1</v>
      </c>
      <c r="L251" s="165">
        <v>94666.666666666657</v>
      </c>
      <c r="M251" s="209" t="s">
        <v>18</v>
      </c>
      <c r="N251" s="208"/>
      <c r="O251" s="130"/>
      <c r="P251" s="130"/>
      <c r="Q251" s="130"/>
      <c r="R251" s="130"/>
      <c r="S251" s="209"/>
    </row>
    <row r="252" spans="1:19">
      <c r="A252" s="212">
        <v>26</v>
      </c>
      <c r="B252" s="244" t="s">
        <v>1258</v>
      </c>
      <c r="C252" s="212" t="s">
        <v>28</v>
      </c>
      <c r="D252" s="170">
        <v>93600</v>
      </c>
      <c r="E252" s="186">
        <v>2</v>
      </c>
      <c r="F252" s="168" t="s">
        <v>16</v>
      </c>
      <c r="G252" s="213"/>
      <c r="H252" s="232">
        <v>0.625</v>
      </c>
      <c r="I252" s="212"/>
      <c r="J252" s="170" t="s">
        <v>13</v>
      </c>
      <c r="K252" s="186">
        <v>5</v>
      </c>
      <c r="L252" s="168">
        <v>81142.857142857145</v>
      </c>
      <c r="M252" s="213" t="s">
        <v>33</v>
      </c>
      <c r="N252" s="212"/>
      <c r="O252" s="169"/>
      <c r="P252" s="169"/>
      <c r="Q252" s="169"/>
      <c r="R252" s="169"/>
      <c r="S252" s="213"/>
    </row>
    <row r="253" spans="1:19">
      <c r="A253" s="214">
        <v>26</v>
      </c>
      <c r="B253" s="244" t="str">
        <f t="shared" ref="B253:B261" si="22">B252</f>
        <v>Wednesday February 11, 2026</v>
      </c>
      <c r="C253" s="214" t="s">
        <v>21</v>
      </c>
      <c r="D253" s="173">
        <v>83200</v>
      </c>
      <c r="E253" s="187">
        <v>4</v>
      </c>
      <c r="F253" s="171" t="s">
        <v>7</v>
      </c>
      <c r="G253" s="215"/>
      <c r="H253" s="233">
        <v>0.625</v>
      </c>
      <c r="I253" s="214"/>
      <c r="J253" s="173" t="s">
        <v>6</v>
      </c>
      <c r="K253" s="187">
        <v>2</v>
      </c>
      <c r="L253" s="171">
        <v>95200</v>
      </c>
      <c r="M253" s="215" t="s">
        <v>20</v>
      </c>
      <c r="N253" s="214"/>
      <c r="O253" s="172"/>
      <c r="P253" s="172"/>
      <c r="Q253" s="172"/>
      <c r="R253" s="172"/>
      <c r="S253" s="215"/>
    </row>
    <row r="254" spans="1:19">
      <c r="A254" s="212">
        <v>26</v>
      </c>
      <c r="B254" s="244" t="str">
        <f t="shared" si="22"/>
        <v>Wednesday February 11, 2026</v>
      </c>
      <c r="C254" s="212" t="s">
        <v>18</v>
      </c>
      <c r="D254" s="170">
        <v>99400</v>
      </c>
      <c r="E254" s="186">
        <v>1</v>
      </c>
      <c r="F254" s="168" t="s">
        <v>3</v>
      </c>
      <c r="G254" s="213"/>
      <c r="H254" s="232">
        <v>0.625</v>
      </c>
      <c r="I254" s="212"/>
      <c r="J254" s="170" t="s">
        <v>1221</v>
      </c>
      <c r="K254" s="186">
        <v>5</v>
      </c>
      <c r="L254" s="168">
        <v>66857.142857142855</v>
      </c>
      <c r="M254" s="213" t="s">
        <v>633</v>
      </c>
      <c r="N254" s="212"/>
      <c r="O254" s="169"/>
      <c r="P254" s="169"/>
      <c r="Q254" s="169"/>
      <c r="R254" s="169"/>
      <c r="S254" s="213"/>
    </row>
    <row r="255" spans="1:19">
      <c r="A255" s="214">
        <v>26</v>
      </c>
      <c r="B255" s="244" t="str">
        <f t="shared" si="22"/>
        <v>Wednesday February 11, 2026</v>
      </c>
      <c r="C255" s="214" t="s">
        <v>26</v>
      </c>
      <c r="D255" s="173">
        <v>83200</v>
      </c>
      <c r="E255" s="187">
        <v>1</v>
      </c>
      <c r="F255" s="171" t="s">
        <v>12</v>
      </c>
      <c r="G255" s="215"/>
      <c r="H255" s="233">
        <v>0.625</v>
      </c>
      <c r="I255" s="214"/>
      <c r="J255" s="173" t="s">
        <v>8</v>
      </c>
      <c r="K255" s="187">
        <v>5</v>
      </c>
      <c r="L255" s="171">
        <v>66857.142857142855</v>
      </c>
      <c r="M255" s="215" t="s">
        <v>22</v>
      </c>
      <c r="N255" s="214"/>
      <c r="O255" s="172"/>
      <c r="P255" s="172"/>
      <c r="Q255" s="172"/>
      <c r="R255" s="172"/>
      <c r="S255" s="215"/>
    </row>
    <row r="256" spans="1:19">
      <c r="A256" s="212">
        <v>26</v>
      </c>
      <c r="B256" s="244" t="str">
        <f t="shared" si="22"/>
        <v>Wednesday February 11, 2026</v>
      </c>
      <c r="C256" s="212" t="s">
        <v>24</v>
      </c>
      <c r="D256" s="170">
        <v>83200</v>
      </c>
      <c r="E256" s="186">
        <v>3</v>
      </c>
      <c r="F256" s="168" t="s">
        <v>10</v>
      </c>
      <c r="G256" s="213"/>
      <c r="H256" s="232">
        <v>0.625</v>
      </c>
      <c r="I256" s="212"/>
      <c r="J256" s="170" t="s">
        <v>32</v>
      </c>
      <c r="K256" s="186">
        <v>3</v>
      </c>
      <c r="L256" s="168">
        <v>81142.857142857145</v>
      </c>
      <c r="M256" s="213" t="s">
        <v>43</v>
      </c>
      <c r="N256" s="212"/>
      <c r="O256" s="169"/>
      <c r="P256" s="169"/>
      <c r="Q256" s="169"/>
      <c r="R256" s="169"/>
      <c r="S256" s="213"/>
    </row>
    <row r="257" spans="1:19">
      <c r="A257" s="214">
        <v>26</v>
      </c>
      <c r="B257" s="244" t="str">
        <f t="shared" si="22"/>
        <v>Wednesday February 11, 2026</v>
      </c>
      <c r="C257" s="214" t="s">
        <v>29</v>
      </c>
      <c r="D257" s="173">
        <v>99900</v>
      </c>
      <c r="E257" s="187">
        <v>1</v>
      </c>
      <c r="F257" s="171" t="s">
        <v>1</v>
      </c>
      <c r="G257" s="215"/>
      <c r="H257" s="233">
        <v>0.625</v>
      </c>
      <c r="I257" s="214"/>
      <c r="J257" s="173" t="s">
        <v>9</v>
      </c>
      <c r="K257" s="187">
        <v>5</v>
      </c>
      <c r="L257" s="171">
        <v>81142.857142857145</v>
      </c>
      <c r="M257" s="215" t="s">
        <v>23</v>
      </c>
      <c r="N257" s="214"/>
      <c r="O257" s="172"/>
      <c r="P257" s="172"/>
      <c r="Q257" s="172"/>
      <c r="R257" s="172"/>
      <c r="S257" s="215"/>
    </row>
    <row r="258" spans="1:19">
      <c r="A258" s="212">
        <v>26</v>
      </c>
      <c r="B258" s="244" t="str">
        <f t="shared" si="22"/>
        <v>Wednesday February 11, 2026</v>
      </c>
      <c r="C258" s="212" t="s">
        <v>52</v>
      </c>
      <c r="D258" s="170">
        <v>85200</v>
      </c>
      <c r="E258" s="186">
        <v>1</v>
      </c>
      <c r="F258" s="168" t="s">
        <v>15</v>
      </c>
      <c r="G258" s="213"/>
      <c r="H258" s="232">
        <v>0.625</v>
      </c>
      <c r="I258" s="212"/>
      <c r="J258" s="170" t="s">
        <v>5</v>
      </c>
      <c r="K258" s="186">
        <v>5</v>
      </c>
      <c r="L258" s="168">
        <v>71619.047619047618</v>
      </c>
      <c r="M258" s="213" t="s">
        <v>51</v>
      </c>
      <c r="N258" s="212"/>
      <c r="O258" s="169"/>
      <c r="P258" s="169"/>
      <c r="Q258" s="169"/>
      <c r="R258" s="169"/>
      <c r="S258" s="213"/>
    </row>
    <row r="259" spans="1:19">
      <c r="A259" s="214">
        <v>26</v>
      </c>
      <c r="B259" s="244" t="str">
        <f t="shared" si="22"/>
        <v>Wednesday February 11, 2026</v>
      </c>
      <c r="C259" s="214" t="s">
        <v>634</v>
      </c>
      <c r="D259" s="173">
        <v>70200</v>
      </c>
      <c r="E259" s="187">
        <v>5</v>
      </c>
      <c r="F259" s="171" t="s">
        <v>1220</v>
      </c>
      <c r="G259" s="215"/>
      <c r="H259" s="233">
        <v>0.625</v>
      </c>
      <c r="I259" s="214"/>
      <c r="J259" s="173" t="s">
        <v>0</v>
      </c>
      <c r="K259" s="187">
        <v>1</v>
      </c>
      <c r="L259" s="171">
        <v>95238.095238095237</v>
      </c>
      <c r="M259" s="215" t="s">
        <v>17</v>
      </c>
      <c r="N259" s="214"/>
      <c r="O259" s="172"/>
      <c r="P259" s="172"/>
      <c r="Q259" s="172"/>
      <c r="R259" s="172"/>
      <c r="S259" s="215"/>
    </row>
    <row r="260" spans="1:19">
      <c r="A260" s="212">
        <v>26</v>
      </c>
      <c r="B260" s="244" t="str">
        <f t="shared" si="22"/>
        <v>Wednesday February 11, 2026</v>
      </c>
      <c r="C260" s="212" t="s">
        <v>19</v>
      </c>
      <c r="D260" s="170">
        <v>97400</v>
      </c>
      <c r="E260" s="186">
        <v>2</v>
      </c>
      <c r="F260" s="168" t="s">
        <v>4</v>
      </c>
      <c r="G260" s="213"/>
      <c r="H260" s="232">
        <v>0.625</v>
      </c>
      <c r="I260" s="212"/>
      <c r="J260" s="170" t="s">
        <v>11</v>
      </c>
      <c r="K260" s="186">
        <v>4</v>
      </c>
      <c r="L260" s="168">
        <v>90666.666666666657</v>
      </c>
      <c r="M260" s="213" t="s">
        <v>25</v>
      </c>
      <c r="N260" s="212"/>
      <c r="O260" s="169"/>
      <c r="P260" s="169"/>
      <c r="Q260" s="169"/>
      <c r="R260" s="169"/>
      <c r="S260" s="213"/>
    </row>
    <row r="261" spans="1:19">
      <c r="A261" s="214">
        <v>26</v>
      </c>
      <c r="B261" s="244" t="str">
        <f t="shared" si="22"/>
        <v>Wednesday February 11, 2026</v>
      </c>
      <c r="C261" s="214" t="s">
        <v>27</v>
      </c>
      <c r="D261" s="173">
        <v>83200</v>
      </c>
      <c r="E261" s="187">
        <v>4</v>
      </c>
      <c r="F261" s="171" t="s">
        <v>14</v>
      </c>
      <c r="G261" s="215"/>
      <c r="H261" s="233">
        <v>0.625</v>
      </c>
      <c r="I261" s="214"/>
      <c r="J261" s="173" t="s">
        <v>2</v>
      </c>
      <c r="K261" s="187">
        <v>2</v>
      </c>
      <c r="L261" s="171">
        <v>92761.904761904763</v>
      </c>
      <c r="M261" s="215" t="s">
        <v>30</v>
      </c>
      <c r="N261" s="214"/>
      <c r="O261" s="172"/>
      <c r="P261" s="172"/>
      <c r="Q261" s="172"/>
      <c r="R261" s="172"/>
      <c r="S261" s="215"/>
    </row>
    <row r="262" spans="1:19">
      <c r="A262" s="216">
        <v>27</v>
      </c>
      <c r="B262" s="245" t="s">
        <v>1259</v>
      </c>
      <c r="C262" s="216" t="s">
        <v>28</v>
      </c>
      <c r="D262" s="176">
        <v>93600</v>
      </c>
      <c r="E262" s="186">
        <v>1</v>
      </c>
      <c r="F262" s="174" t="s">
        <v>16</v>
      </c>
      <c r="G262" s="217"/>
      <c r="H262" s="234">
        <v>0.41666666666666669</v>
      </c>
      <c r="I262" s="216"/>
      <c r="J262" s="176" t="s">
        <v>1221</v>
      </c>
      <c r="K262" s="186">
        <v>5</v>
      </c>
      <c r="L262" s="174">
        <v>66857.142857142855</v>
      </c>
      <c r="M262" s="217" t="s">
        <v>633</v>
      </c>
      <c r="N262" s="216"/>
      <c r="O262" s="175"/>
      <c r="P262" s="175"/>
      <c r="Q262" s="175"/>
      <c r="R262" s="175"/>
      <c r="S262" s="217"/>
    </row>
    <row r="263" spans="1:19">
      <c r="A263" s="218">
        <v>27</v>
      </c>
      <c r="B263" s="245" t="str">
        <f t="shared" ref="B263:B271" si="23">B262</f>
        <v>Saturday February 21, 2026</v>
      </c>
      <c r="C263" s="218" t="s">
        <v>21</v>
      </c>
      <c r="D263" s="179">
        <v>83200</v>
      </c>
      <c r="E263" s="187">
        <v>3</v>
      </c>
      <c r="F263" s="177" t="s">
        <v>7</v>
      </c>
      <c r="G263" s="219"/>
      <c r="H263" s="235">
        <v>0.41666666666666669</v>
      </c>
      <c r="I263" s="218"/>
      <c r="J263" s="179" t="s">
        <v>13</v>
      </c>
      <c r="K263" s="187">
        <v>3</v>
      </c>
      <c r="L263" s="177">
        <v>81142.857142857145</v>
      </c>
      <c r="M263" s="219" t="s">
        <v>33</v>
      </c>
      <c r="N263" s="218"/>
      <c r="O263" s="178"/>
      <c r="P263" s="178"/>
      <c r="Q263" s="178"/>
      <c r="R263" s="178"/>
      <c r="S263" s="219"/>
    </row>
    <row r="264" spans="1:19">
      <c r="A264" s="216">
        <v>27</v>
      </c>
      <c r="B264" s="245" t="str">
        <f t="shared" si="23"/>
        <v>Saturday February 21, 2026</v>
      </c>
      <c r="C264" s="216" t="s">
        <v>18</v>
      </c>
      <c r="D264" s="176">
        <v>99400</v>
      </c>
      <c r="E264" s="186">
        <v>1</v>
      </c>
      <c r="F264" s="174" t="s">
        <v>3</v>
      </c>
      <c r="G264" s="217"/>
      <c r="H264" s="234">
        <v>0.41666666666666669</v>
      </c>
      <c r="I264" s="216"/>
      <c r="J264" s="176" t="s">
        <v>8</v>
      </c>
      <c r="K264" s="186">
        <v>5</v>
      </c>
      <c r="L264" s="174">
        <v>66857.142857142855</v>
      </c>
      <c r="M264" s="217" t="s">
        <v>22</v>
      </c>
      <c r="N264" s="216"/>
      <c r="O264" s="175"/>
      <c r="P264" s="175"/>
      <c r="Q264" s="175"/>
      <c r="R264" s="175"/>
      <c r="S264" s="217"/>
    </row>
    <row r="265" spans="1:19">
      <c r="A265" s="218">
        <v>27</v>
      </c>
      <c r="B265" s="245" t="str">
        <f t="shared" si="23"/>
        <v>Saturday February 21, 2026</v>
      </c>
      <c r="C265" s="218" t="s">
        <v>26</v>
      </c>
      <c r="D265" s="179">
        <v>83200</v>
      </c>
      <c r="E265" s="187">
        <v>2</v>
      </c>
      <c r="F265" s="177" t="s">
        <v>12</v>
      </c>
      <c r="G265" s="219"/>
      <c r="H265" s="235">
        <v>0.41666666666666669</v>
      </c>
      <c r="I265" s="218"/>
      <c r="J265" s="179" t="s">
        <v>5</v>
      </c>
      <c r="K265" s="187">
        <v>5</v>
      </c>
      <c r="L265" s="177">
        <v>71619.047619047618</v>
      </c>
      <c r="M265" s="219" t="s">
        <v>51</v>
      </c>
      <c r="N265" s="218"/>
      <c r="O265" s="178"/>
      <c r="P265" s="178"/>
      <c r="Q265" s="178"/>
      <c r="R265" s="178"/>
      <c r="S265" s="219"/>
    </row>
    <row r="266" spans="1:19">
      <c r="A266" s="216">
        <v>27</v>
      </c>
      <c r="B266" s="245" t="str">
        <f t="shared" si="23"/>
        <v>Saturday February 21, 2026</v>
      </c>
      <c r="C266" s="216" t="s">
        <v>24</v>
      </c>
      <c r="D266" s="176">
        <v>83200</v>
      </c>
      <c r="E266" s="186">
        <v>4</v>
      </c>
      <c r="F266" s="174" t="s">
        <v>10</v>
      </c>
      <c r="G266" s="217"/>
      <c r="H266" s="234">
        <v>0.41666666666666669</v>
      </c>
      <c r="I266" s="216"/>
      <c r="J266" s="176" t="s">
        <v>2</v>
      </c>
      <c r="K266" s="186">
        <v>2</v>
      </c>
      <c r="L266" s="174">
        <v>92761.904761904763</v>
      </c>
      <c r="M266" s="217" t="s">
        <v>30</v>
      </c>
      <c r="N266" s="216"/>
      <c r="O266" s="175"/>
      <c r="P266" s="175"/>
      <c r="Q266" s="175"/>
      <c r="R266" s="175"/>
      <c r="S266" s="217"/>
    </row>
    <row r="267" spans="1:19">
      <c r="A267" s="218">
        <v>27</v>
      </c>
      <c r="B267" s="245" t="str">
        <f t="shared" si="23"/>
        <v>Saturday February 21, 2026</v>
      </c>
      <c r="C267" s="218" t="s">
        <v>29</v>
      </c>
      <c r="D267" s="179">
        <v>99900</v>
      </c>
      <c r="E267" s="187">
        <v>2</v>
      </c>
      <c r="F267" s="177" t="s">
        <v>1</v>
      </c>
      <c r="G267" s="219"/>
      <c r="H267" s="235">
        <v>0.41666666666666669</v>
      </c>
      <c r="I267" s="218"/>
      <c r="J267" s="179" t="s">
        <v>11</v>
      </c>
      <c r="K267" s="187">
        <v>4</v>
      </c>
      <c r="L267" s="177">
        <v>90666.666666666657</v>
      </c>
      <c r="M267" s="219" t="s">
        <v>25</v>
      </c>
      <c r="N267" s="218"/>
      <c r="O267" s="178"/>
      <c r="P267" s="178"/>
      <c r="Q267" s="178"/>
      <c r="R267" s="178"/>
      <c r="S267" s="219"/>
    </row>
    <row r="268" spans="1:19">
      <c r="A268" s="216">
        <v>27</v>
      </c>
      <c r="B268" s="245" t="str">
        <f t="shared" si="23"/>
        <v>Saturday February 21, 2026</v>
      </c>
      <c r="C268" s="216" t="s">
        <v>52</v>
      </c>
      <c r="D268" s="176">
        <v>85200</v>
      </c>
      <c r="E268" s="186">
        <v>4</v>
      </c>
      <c r="F268" s="174" t="s">
        <v>15</v>
      </c>
      <c r="G268" s="217"/>
      <c r="H268" s="234">
        <v>0.41666666666666669</v>
      </c>
      <c r="I268" s="216"/>
      <c r="J268" s="176" t="s">
        <v>0</v>
      </c>
      <c r="K268" s="186">
        <v>2</v>
      </c>
      <c r="L268" s="174">
        <v>95238.095238095237</v>
      </c>
      <c r="M268" s="217" t="s">
        <v>17</v>
      </c>
      <c r="N268" s="216"/>
      <c r="O268" s="175"/>
      <c r="P268" s="175"/>
      <c r="Q268" s="175"/>
      <c r="R268" s="175"/>
      <c r="S268" s="217"/>
    </row>
    <row r="269" spans="1:19">
      <c r="A269" s="218">
        <v>27</v>
      </c>
      <c r="B269" s="245" t="str">
        <f t="shared" si="23"/>
        <v>Saturday February 21, 2026</v>
      </c>
      <c r="C269" s="218" t="s">
        <v>634</v>
      </c>
      <c r="D269" s="179">
        <v>70200</v>
      </c>
      <c r="E269" s="187">
        <v>5</v>
      </c>
      <c r="F269" s="177" t="s">
        <v>1220</v>
      </c>
      <c r="G269" s="219"/>
      <c r="H269" s="235">
        <v>0.41666666666666669</v>
      </c>
      <c r="I269" s="218"/>
      <c r="J269" s="179" t="s">
        <v>9</v>
      </c>
      <c r="K269" s="187">
        <v>2</v>
      </c>
      <c r="L269" s="177">
        <v>81142.857142857145</v>
      </c>
      <c r="M269" s="219" t="s">
        <v>23</v>
      </c>
      <c r="N269" s="218"/>
      <c r="O269" s="178"/>
      <c r="P269" s="178"/>
      <c r="Q269" s="178"/>
      <c r="R269" s="178"/>
      <c r="S269" s="219"/>
    </row>
    <row r="270" spans="1:19">
      <c r="A270" s="216">
        <v>27</v>
      </c>
      <c r="B270" s="245" t="str">
        <f t="shared" si="23"/>
        <v>Saturday February 21, 2026</v>
      </c>
      <c r="C270" s="216" t="s">
        <v>19</v>
      </c>
      <c r="D270" s="176">
        <v>97400</v>
      </c>
      <c r="E270" s="186">
        <v>3</v>
      </c>
      <c r="F270" s="174" t="s">
        <v>4</v>
      </c>
      <c r="G270" s="217"/>
      <c r="H270" s="234">
        <v>0.41666666666666669</v>
      </c>
      <c r="I270" s="216"/>
      <c r="J270" s="176" t="s">
        <v>6</v>
      </c>
      <c r="K270" s="186">
        <v>3</v>
      </c>
      <c r="L270" s="174">
        <v>95200</v>
      </c>
      <c r="M270" s="217" t="s">
        <v>20</v>
      </c>
      <c r="N270" s="216"/>
      <c r="O270" s="175"/>
      <c r="P270" s="175"/>
      <c r="Q270" s="175"/>
      <c r="R270" s="175"/>
      <c r="S270" s="217"/>
    </row>
    <row r="271" spans="1:19">
      <c r="A271" s="218">
        <v>27</v>
      </c>
      <c r="B271" s="245" t="str">
        <f t="shared" si="23"/>
        <v>Saturday February 21, 2026</v>
      </c>
      <c r="C271" s="218" t="s">
        <v>27</v>
      </c>
      <c r="D271" s="179">
        <v>83200</v>
      </c>
      <c r="E271" s="187">
        <v>3</v>
      </c>
      <c r="F271" s="177" t="s">
        <v>14</v>
      </c>
      <c r="G271" s="219"/>
      <c r="H271" s="235">
        <v>0.41666666666666669</v>
      </c>
      <c r="I271" s="218"/>
      <c r="J271" s="179" t="s">
        <v>32</v>
      </c>
      <c r="K271" s="187">
        <v>3</v>
      </c>
      <c r="L271" s="177">
        <v>81142.857142857145</v>
      </c>
      <c r="M271" s="219" t="s">
        <v>43</v>
      </c>
      <c r="N271" s="218"/>
      <c r="O271" s="178"/>
      <c r="P271" s="178"/>
      <c r="Q271" s="178"/>
      <c r="R271" s="178"/>
      <c r="S271" s="219"/>
    </row>
    <row r="272" spans="1:19">
      <c r="A272" s="220">
        <v>28</v>
      </c>
      <c r="B272" s="246" t="s">
        <v>1260</v>
      </c>
      <c r="C272" s="220" t="s">
        <v>43</v>
      </c>
      <c r="D272" s="182">
        <v>85200</v>
      </c>
      <c r="E272" s="186">
        <v>1</v>
      </c>
      <c r="F272" s="180" t="s">
        <v>32</v>
      </c>
      <c r="G272" s="221"/>
      <c r="H272" s="236">
        <v>0.41666666666666669</v>
      </c>
      <c r="I272" s="220"/>
      <c r="J272" s="182" t="s">
        <v>1220</v>
      </c>
      <c r="K272" s="186">
        <v>5</v>
      </c>
      <c r="L272" s="180">
        <v>66857.142857142855</v>
      </c>
      <c r="M272" s="221" t="s">
        <v>634</v>
      </c>
      <c r="N272" s="220"/>
      <c r="O272" s="181"/>
      <c r="P272" s="181"/>
      <c r="Q272" s="181"/>
      <c r="R272" s="181"/>
      <c r="S272" s="221"/>
    </row>
    <row r="273" spans="1:19">
      <c r="A273" s="222">
        <v>28</v>
      </c>
      <c r="B273" s="246" t="str">
        <f t="shared" ref="B273:B281" si="24">B272</f>
        <v>Saturday February 28, 2026</v>
      </c>
      <c r="C273" s="222" t="s">
        <v>20</v>
      </c>
      <c r="D273" s="185">
        <v>99960</v>
      </c>
      <c r="E273" s="187">
        <v>2</v>
      </c>
      <c r="F273" s="183" t="s">
        <v>6</v>
      </c>
      <c r="G273" s="223"/>
      <c r="H273" s="237">
        <v>0.41666666666666669</v>
      </c>
      <c r="I273" s="222"/>
      <c r="J273" s="185" t="s">
        <v>3</v>
      </c>
      <c r="K273" s="187">
        <v>4</v>
      </c>
      <c r="L273" s="183">
        <v>94666.666666666657</v>
      </c>
      <c r="M273" s="223" t="s">
        <v>18</v>
      </c>
      <c r="N273" s="222"/>
      <c r="O273" s="184"/>
      <c r="P273" s="184"/>
      <c r="Q273" s="184"/>
      <c r="R273" s="184"/>
      <c r="S273" s="223"/>
    </row>
    <row r="274" spans="1:19">
      <c r="A274" s="220">
        <v>28</v>
      </c>
      <c r="B274" s="246" t="str">
        <f t="shared" si="24"/>
        <v>Saturday February 28, 2026</v>
      </c>
      <c r="C274" s="220" t="s">
        <v>33</v>
      </c>
      <c r="D274" s="182">
        <v>85200</v>
      </c>
      <c r="E274" s="186">
        <v>3</v>
      </c>
      <c r="F274" s="180" t="s">
        <v>13</v>
      </c>
      <c r="G274" s="221"/>
      <c r="H274" s="236">
        <v>0.41666666666666669</v>
      </c>
      <c r="I274" s="220"/>
      <c r="J274" s="182" t="s">
        <v>15</v>
      </c>
      <c r="K274" s="186">
        <v>4</v>
      </c>
      <c r="L274" s="180">
        <v>81142.857142857145</v>
      </c>
      <c r="M274" s="221" t="s">
        <v>52</v>
      </c>
      <c r="N274" s="220"/>
      <c r="O274" s="181"/>
      <c r="P274" s="181"/>
      <c r="Q274" s="181"/>
      <c r="R274" s="181"/>
      <c r="S274" s="221"/>
    </row>
    <row r="275" spans="1:19">
      <c r="A275" s="222">
        <v>28</v>
      </c>
      <c r="B275" s="246" t="str">
        <f t="shared" si="24"/>
        <v>Saturday February 28, 2026</v>
      </c>
      <c r="C275" s="222" t="s">
        <v>22</v>
      </c>
      <c r="D275" s="185">
        <v>70200</v>
      </c>
      <c r="E275" s="187">
        <v>4</v>
      </c>
      <c r="F275" s="183" t="s">
        <v>8</v>
      </c>
      <c r="G275" s="223"/>
      <c r="H275" s="237">
        <v>0.41666666666666669</v>
      </c>
      <c r="I275" s="222"/>
      <c r="J275" s="185" t="s">
        <v>7</v>
      </c>
      <c r="K275" s="187">
        <v>2</v>
      </c>
      <c r="L275" s="183">
        <v>79238.095238095237</v>
      </c>
      <c r="M275" s="223" t="s">
        <v>21</v>
      </c>
      <c r="N275" s="222"/>
      <c r="O275" s="184"/>
      <c r="P275" s="184"/>
      <c r="Q275" s="184"/>
      <c r="R275" s="184"/>
      <c r="S275" s="223"/>
    </row>
    <row r="276" spans="1:19">
      <c r="A276" s="220">
        <v>28</v>
      </c>
      <c r="B276" s="246" t="str">
        <f t="shared" si="24"/>
        <v>Saturday February 28, 2026</v>
      </c>
      <c r="C276" s="220" t="s">
        <v>23</v>
      </c>
      <c r="D276" s="182">
        <v>85200</v>
      </c>
      <c r="E276" s="186">
        <v>4</v>
      </c>
      <c r="F276" s="180" t="s">
        <v>9</v>
      </c>
      <c r="G276" s="221"/>
      <c r="H276" s="236">
        <v>0.41666666666666669</v>
      </c>
      <c r="I276" s="220"/>
      <c r="J276" s="182" t="s">
        <v>4</v>
      </c>
      <c r="K276" s="186">
        <v>2</v>
      </c>
      <c r="L276" s="180">
        <v>92761.904761904763</v>
      </c>
      <c r="M276" s="221" t="s">
        <v>19</v>
      </c>
      <c r="N276" s="220"/>
      <c r="O276" s="181"/>
      <c r="P276" s="181"/>
      <c r="Q276" s="181"/>
      <c r="R276" s="181"/>
      <c r="S276" s="221"/>
    </row>
    <row r="277" spans="1:19">
      <c r="A277" s="222">
        <v>28</v>
      </c>
      <c r="B277" s="246" t="str">
        <f t="shared" si="24"/>
        <v>Saturday February 28, 2026</v>
      </c>
      <c r="C277" s="222" t="s">
        <v>633</v>
      </c>
      <c r="D277" s="185">
        <v>70200</v>
      </c>
      <c r="E277" s="187">
        <v>5</v>
      </c>
      <c r="F277" s="183" t="s">
        <v>1221</v>
      </c>
      <c r="G277" s="223"/>
      <c r="H277" s="237">
        <v>0.41666666666666669</v>
      </c>
      <c r="I277" s="222"/>
      <c r="J277" s="185" t="s">
        <v>1</v>
      </c>
      <c r="K277" s="187">
        <v>1</v>
      </c>
      <c r="L277" s="183">
        <v>95142.857142857145</v>
      </c>
      <c r="M277" s="223" t="s">
        <v>29</v>
      </c>
      <c r="N277" s="222"/>
      <c r="O277" s="184"/>
      <c r="P277" s="184"/>
      <c r="Q277" s="184"/>
      <c r="R277" s="184"/>
      <c r="S277" s="223"/>
    </row>
    <row r="278" spans="1:19">
      <c r="A278" s="220">
        <v>28</v>
      </c>
      <c r="B278" s="246" t="str">
        <f t="shared" si="24"/>
        <v>Saturday February 28, 2026</v>
      </c>
      <c r="C278" s="220" t="s">
        <v>17</v>
      </c>
      <c r="D278" s="182">
        <v>100000</v>
      </c>
      <c r="E278" s="186">
        <v>1</v>
      </c>
      <c r="F278" s="180" t="s">
        <v>0</v>
      </c>
      <c r="G278" s="221"/>
      <c r="H278" s="236">
        <v>0.41666666666666669</v>
      </c>
      <c r="I278" s="220"/>
      <c r="J278" s="182" t="s">
        <v>14</v>
      </c>
      <c r="K278" s="186">
        <v>5</v>
      </c>
      <c r="L278" s="180">
        <v>79238.095238095237</v>
      </c>
      <c r="M278" s="221" t="s">
        <v>27</v>
      </c>
      <c r="N278" s="220"/>
      <c r="O278" s="181"/>
      <c r="P278" s="181"/>
      <c r="Q278" s="181"/>
      <c r="R278" s="181"/>
      <c r="S278" s="221"/>
    </row>
    <row r="279" spans="1:19">
      <c r="A279" s="222">
        <v>28</v>
      </c>
      <c r="B279" s="246" t="str">
        <f t="shared" si="24"/>
        <v>Saturday February 28, 2026</v>
      </c>
      <c r="C279" s="222" t="s">
        <v>30</v>
      </c>
      <c r="D279" s="185">
        <v>97400</v>
      </c>
      <c r="E279" s="187">
        <v>1</v>
      </c>
      <c r="F279" s="183" t="s">
        <v>2</v>
      </c>
      <c r="G279" s="223"/>
      <c r="H279" s="237">
        <v>0.41666666666666669</v>
      </c>
      <c r="I279" s="222"/>
      <c r="J279" s="185" t="s">
        <v>12</v>
      </c>
      <c r="K279" s="187">
        <v>5</v>
      </c>
      <c r="L279" s="183">
        <v>79238.095238095237</v>
      </c>
      <c r="M279" s="223" t="s">
        <v>26</v>
      </c>
      <c r="N279" s="222"/>
      <c r="O279" s="184"/>
      <c r="P279" s="184"/>
      <c r="Q279" s="184"/>
      <c r="R279" s="184"/>
      <c r="S279" s="223"/>
    </row>
    <row r="280" spans="1:19">
      <c r="A280" s="220">
        <v>28</v>
      </c>
      <c r="B280" s="246" t="str">
        <f t="shared" si="24"/>
        <v>Saturday February 28, 2026</v>
      </c>
      <c r="C280" s="220" t="s">
        <v>25</v>
      </c>
      <c r="D280" s="182">
        <v>95200</v>
      </c>
      <c r="E280" s="186">
        <v>1</v>
      </c>
      <c r="F280" s="180" t="s">
        <v>11</v>
      </c>
      <c r="G280" s="221"/>
      <c r="H280" s="236">
        <v>0.41666666666666669</v>
      </c>
      <c r="I280" s="220"/>
      <c r="J280" s="182" t="s">
        <v>10</v>
      </c>
      <c r="K280" s="186">
        <v>5</v>
      </c>
      <c r="L280" s="180">
        <v>79238.095238095237</v>
      </c>
      <c r="M280" s="221" t="s">
        <v>24</v>
      </c>
      <c r="N280" s="220"/>
      <c r="O280" s="181"/>
      <c r="P280" s="181"/>
      <c r="Q280" s="181"/>
      <c r="R280" s="181"/>
      <c r="S280" s="221"/>
    </row>
    <row r="281" spans="1:19">
      <c r="A281" s="222">
        <v>28</v>
      </c>
      <c r="B281" s="246" t="str">
        <f t="shared" si="24"/>
        <v>Saturday February 28, 2026</v>
      </c>
      <c r="C281" s="222" t="s">
        <v>51</v>
      </c>
      <c r="D281" s="185">
        <v>75200</v>
      </c>
      <c r="E281" s="187">
        <v>5</v>
      </c>
      <c r="F281" s="183" t="s">
        <v>5</v>
      </c>
      <c r="G281" s="223"/>
      <c r="H281" s="237">
        <v>0.41666666666666669</v>
      </c>
      <c r="I281" s="222"/>
      <c r="J281" s="185" t="s">
        <v>16</v>
      </c>
      <c r="K281" s="187">
        <v>1</v>
      </c>
      <c r="L281" s="183">
        <v>89142.857142857145</v>
      </c>
      <c r="M281" s="223" t="s">
        <v>28</v>
      </c>
      <c r="N281" s="222"/>
      <c r="O281" s="184"/>
      <c r="P281" s="184"/>
      <c r="Q281" s="184"/>
      <c r="R281" s="184"/>
      <c r="S281" s="223"/>
    </row>
    <row r="282" spans="1:19">
      <c r="A282" s="210">
        <v>29</v>
      </c>
      <c r="B282" s="247" t="s">
        <v>1261</v>
      </c>
      <c r="C282" s="210" t="s">
        <v>43</v>
      </c>
      <c r="D282" s="154">
        <v>85200</v>
      </c>
      <c r="E282" s="186">
        <v>2</v>
      </c>
      <c r="F282" s="167" t="s">
        <v>32</v>
      </c>
      <c r="G282" s="211"/>
      <c r="H282" s="231">
        <v>0.625</v>
      </c>
      <c r="I282" s="210"/>
      <c r="J282" s="154" t="s">
        <v>7</v>
      </c>
      <c r="K282" s="186">
        <v>4</v>
      </c>
      <c r="L282" s="167">
        <v>79238.095238095237</v>
      </c>
      <c r="M282" s="211" t="s">
        <v>21</v>
      </c>
      <c r="N282" s="210"/>
      <c r="O282" s="129"/>
      <c r="P282" s="129"/>
      <c r="Q282" s="129"/>
      <c r="R282" s="129"/>
      <c r="S282" s="211"/>
    </row>
    <row r="283" spans="1:19">
      <c r="A283" s="208">
        <v>29</v>
      </c>
      <c r="B283" s="247" t="str">
        <f t="shared" ref="B283:B291" si="25">B282</f>
        <v>Wednesday March 4, 2026</v>
      </c>
      <c r="C283" s="208" t="s">
        <v>28</v>
      </c>
      <c r="D283" s="166">
        <v>93600</v>
      </c>
      <c r="E283" s="187">
        <v>3</v>
      </c>
      <c r="F283" s="165" t="s">
        <v>16</v>
      </c>
      <c r="G283" s="209"/>
      <c r="H283" s="230">
        <v>0.625</v>
      </c>
      <c r="I283" s="208"/>
      <c r="J283" s="166" t="s">
        <v>3</v>
      </c>
      <c r="K283" s="187">
        <v>3</v>
      </c>
      <c r="L283" s="165">
        <v>94666.666666666657</v>
      </c>
      <c r="M283" s="209" t="s">
        <v>18</v>
      </c>
      <c r="N283" s="208"/>
      <c r="O283" s="130"/>
      <c r="P283" s="130"/>
      <c r="Q283" s="130"/>
      <c r="R283" s="130"/>
      <c r="S283" s="209"/>
    </row>
    <row r="284" spans="1:19">
      <c r="A284" s="210">
        <v>29</v>
      </c>
      <c r="B284" s="247" t="str">
        <f t="shared" si="25"/>
        <v>Wednesday March 4, 2026</v>
      </c>
      <c r="C284" s="210" t="s">
        <v>33</v>
      </c>
      <c r="D284" s="154">
        <v>85200</v>
      </c>
      <c r="E284" s="186">
        <v>4</v>
      </c>
      <c r="F284" s="167" t="s">
        <v>13</v>
      </c>
      <c r="G284" s="211"/>
      <c r="H284" s="231">
        <v>0.625</v>
      </c>
      <c r="I284" s="210"/>
      <c r="J284" s="154" t="s">
        <v>6</v>
      </c>
      <c r="K284" s="186">
        <v>2</v>
      </c>
      <c r="L284" s="167">
        <v>95200</v>
      </c>
      <c r="M284" s="211" t="s">
        <v>20</v>
      </c>
      <c r="N284" s="210"/>
      <c r="O284" s="129"/>
      <c r="P284" s="129"/>
      <c r="Q284" s="129"/>
      <c r="R284" s="129"/>
      <c r="S284" s="211"/>
    </row>
    <row r="285" spans="1:19">
      <c r="A285" s="208">
        <v>29</v>
      </c>
      <c r="B285" s="247" t="str">
        <f t="shared" si="25"/>
        <v>Wednesday March 4, 2026</v>
      </c>
      <c r="C285" s="208" t="s">
        <v>24</v>
      </c>
      <c r="D285" s="166">
        <v>83200</v>
      </c>
      <c r="E285" s="187">
        <v>1</v>
      </c>
      <c r="F285" s="165" t="s">
        <v>10</v>
      </c>
      <c r="G285" s="209"/>
      <c r="H285" s="230">
        <v>0.625</v>
      </c>
      <c r="I285" s="208"/>
      <c r="J285" s="166" t="s">
        <v>8</v>
      </c>
      <c r="K285" s="187">
        <v>5</v>
      </c>
      <c r="L285" s="165">
        <v>66857.142857142855</v>
      </c>
      <c r="M285" s="209" t="s">
        <v>22</v>
      </c>
      <c r="N285" s="208"/>
      <c r="O285" s="130"/>
      <c r="P285" s="130"/>
      <c r="Q285" s="130"/>
      <c r="R285" s="130"/>
      <c r="S285" s="209"/>
    </row>
    <row r="286" spans="1:19">
      <c r="A286" s="210">
        <v>29</v>
      </c>
      <c r="B286" s="247" t="str">
        <f t="shared" si="25"/>
        <v>Wednesday March 4, 2026</v>
      </c>
      <c r="C286" s="210" t="s">
        <v>23</v>
      </c>
      <c r="D286" s="154">
        <v>85200</v>
      </c>
      <c r="E286" s="186">
        <v>2</v>
      </c>
      <c r="F286" s="167" t="s">
        <v>9</v>
      </c>
      <c r="G286" s="211"/>
      <c r="H286" s="231">
        <v>0.625</v>
      </c>
      <c r="I286" s="210"/>
      <c r="J286" s="154" t="s">
        <v>14</v>
      </c>
      <c r="K286" s="186">
        <v>4</v>
      </c>
      <c r="L286" s="167">
        <v>79238.095238095237</v>
      </c>
      <c r="M286" s="211" t="s">
        <v>27</v>
      </c>
      <c r="N286" s="210"/>
      <c r="O286" s="129"/>
      <c r="P286" s="129"/>
      <c r="Q286" s="129"/>
      <c r="R286" s="129"/>
      <c r="S286" s="211"/>
    </row>
    <row r="287" spans="1:19">
      <c r="A287" s="208">
        <v>29</v>
      </c>
      <c r="B287" s="247" t="str">
        <f t="shared" si="25"/>
        <v>Wednesday March 4, 2026</v>
      </c>
      <c r="C287" s="208" t="s">
        <v>633</v>
      </c>
      <c r="D287" s="166">
        <v>70200</v>
      </c>
      <c r="E287" s="187">
        <v>3</v>
      </c>
      <c r="F287" s="165" t="s">
        <v>1221</v>
      </c>
      <c r="G287" s="209"/>
      <c r="H287" s="230">
        <v>0.625</v>
      </c>
      <c r="I287" s="208"/>
      <c r="J287" s="166" t="s">
        <v>1220</v>
      </c>
      <c r="K287" s="187">
        <v>4</v>
      </c>
      <c r="L287" s="165">
        <v>66857.142857142855</v>
      </c>
      <c r="M287" s="209" t="s">
        <v>634</v>
      </c>
      <c r="N287" s="208"/>
      <c r="O287" s="130"/>
      <c r="P287" s="130"/>
      <c r="Q287" s="130"/>
      <c r="R287" s="130"/>
      <c r="S287" s="209"/>
    </row>
    <row r="288" spans="1:19">
      <c r="A288" s="210">
        <v>29</v>
      </c>
      <c r="B288" s="247" t="str">
        <f t="shared" si="25"/>
        <v>Wednesday March 4, 2026</v>
      </c>
      <c r="C288" s="210" t="s">
        <v>29</v>
      </c>
      <c r="D288" s="154">
        <v>99900</v>
      </c>
      <c r="E288" s="186">
        <v>1</v>
      </c>
      <c r="F288" s="167" t="s">
        <v>1</v>
      </c>
      <c r="G288" s="211"/>
      <c r="H288" s="231">
        <v>0.625</v>
      </c>
      <c r="I288" s="210"/>
      <c r="J288" s="154" t="s">
        <v>15</v>
      </c>
      <c r="K288" s="186">
        <v>5</v>
      </c>
      <c r="L288" s="167">
        <v>81142.857142857145</v>
      </c>
      <c r="M288" s="211" t="s">
        <v>52</v>
      </c>
      <c r="N288" s="210"/>
      <c r="O288" s="129"/>
      <c r="P288" s="129"/>
      <c r="Q288" s="129"/>
      <c r="R288" s="129"/>
      <c r="S288" s="211"/>
    </row>
    <row r="289" spans="1:19">
      <c r="A289" s="208">
        <v>29</v>
      </c>
      <c r="B289" s="247" t="str">
        <f t="shared" si="25"/>
        <v>Wednesday March 4, 2026</v>
      </c>
      <c r="C289" s="208" t="s">
        <v>25</v>
      </c>
      <c r="D289" s="166">
        <v>95200</v>
      </c>
      <c r="E289" s="187">
        <v>3</v>
      </c>
      <c r="F289" s="165" t="s">
        <v>11</v>
      </c>
      <c r="G289" s="209"/>
      <c r="H289" s="230">
        <v>0.625</v>
      </c>
      <c r="I289" s="208"/>
      <c r="J289" s="166" t="s">
        <v>2</v>
      </c>
      <c r="K289" s="187">
        <v>3</v>
      </c>
      <c r="L289" s="165">
        <v>92761.904761904763</v>
      </c>
      <c r="M289" s="209" t="s">
        <v>30</v>
      </c>
      <c r="N289" s="208"/>
      <c r="O289" s="130"/>
      <c r="P289" s="130"/>
      <c r="Q289" s="130"/>
      <c r="R289" s="130"/>
      <c r="S289" s="209"/>
    </row>
    <row r="290" spans="1:19">
      <c r="A290" s="210">
        <v>29</v>
      </c>
      <c r="B290" s="247" t="str">
        <f t="shared" si="25"/>
        <v>Wednesday March 4, 2026</v>
      </c>
      <c r="C290" s="210" t="s">
        <v>19</v>
      </c>
      <c r="D290" s="154">
        <v>97400</v>
      </c>
      <c r="E290" s="186">
        <v>1</v>
      </c>
      <c r="F290" s="167" t="s">
        <v>4</v>
      </c>
      <c r="G290" s="211"/>
      <c r="H290" s="231">
        <v>0.625</v>
      </c>
      <c r="I290" s="210"/>
      <c r="J290" s="154" t="s">
        <v>12</v>
      </c>
      <c r="K290" s="186">
        <v>5</v>
      </c>
      <c r="L290" s="167">
        <v>79238.095238095237</v>
      </c>
      <c r="M290" s="211" t="s">
        <v>26</v>
      </c>
      <c r="N290" s="210"/>
      <c r="O290" s="129"/>
      <c r="P290" s="129"/>
      <c r="Q290" s="129"/>
      <c r="R290" s="129"/>
      <c r="S290" s="211"/>
    </row>
    <row r="291" spans="1:19">
      <c r="A291" s="208">
        <v>29</v>
      </c>
      <c r="B291" s="247" t="str">
        <f t="shared" si="25"/>
        <v>Wednesday March 4, 2026</v>
      </c>
      <c r="C291" s="208" t="s">
        <v>51</v>
      </c>
      <c r="D291" s="166">
        <v>75200</v>
      </c>
      <c r="E291" s="187">
        <v>5</v>
      </c>
      <c r="F291" s="165" t="s">
        <v>5</v>
      </c>
      <c r="G291" s="209"/>
      <c r="H291" s="230">
        <v>0.625</v>
      </c>
      <c r="I291" s="208"/>
      <c r="J291" s="166" t="s">
        <v>0</v>
      </c>
      <c r="K291" s="187">
        <v>1</v>
      </c>
      <c r="L291" s="165">
        <v>95238.095238095237</v>
      </c>
      <c r="M291" s="209" t="s">
        <v>17</v>
      </c>
      <c r="N291" s="208"/>
      <c r="O291" s="130"/>
      <c r="P291" s="130"/>
      <c r="Q291" s="130"/>
      <c r="R291" s="130"/>
      <c r="S291" s="209"/>
    </row>
    <row r="292" spans="1:19">
      <c r="A292" s="212">
        <v>30</v>
      </c>
      <c r="B292" s="244" t="s">
        <v>1262</v>
      </c>
      <c r="C292" s="212" t="s">
        <v>20</v>
      </c>
      <c r="D292" s="170">
        <v>99960</v>
      </c>
      <c r="E292" s="186">
        <v>1</v>
      </c>
      <c r="F292" s="168" t="s">
        <v>6</v>
      </c>
      <c r="G292" s="213"/>
      <c r="H292" s="232">
        <v>0.45833333333333331</v>
      </c>
      <c r="I292" s="212"/>
      <c r="J292" s="170" t="s">
        <v>10</v>
      </c>
      <c r="K292" s="186">
        <v>5</v>
      </c>
      <c r="L292" s="168">
        <v>79238.095238095237</v>
      </c>
      <c r="M292" s="213" t="s">
        <v>24</v>
      </c>
      <c r="N292" s="212"/>
      <c r="O292" s="169"/>
      <c r="P292" s="169"/>
      <c r="Q292" s="169"/>
      <c r="R292" s="169"/>
      <c r="S292" s="213"/>
    </row>
    <row r="293" spans="1:19">
      <c r="A293" s="214">
        <v>30</v>
      </c>
      <c r="B293" s="244" t="str">
        <f t="shared" ref="B293:B301" si="26">B292</f>
        <v>Saturday March 14, 2026</v>
      </c>
      <c r="C293" s="214" t="s">
        <v>21</v>
      </c>
      <c r="D293" s="173">
        <v>83200</v>
      </c>
      <c r="E293" s="187">
        <v>2</v>
      </c>
      <c r="F293" s="171" t="s">
        <v>7</v>
      </c>
      <c r="G293" s="215"/>
      <c r="H293" s="233">
        <v>0.45833333333333331</v>
      </c>
      <c r="I293" s="214"/>
      <c r="J293" s="173" t="s">
        <v>5</v>
      </c>
      <c r="K293" s="187">
        <v>5</v>
      </c>
      <c r="L293" s="171">
        <v>71619.047619047618</v>
      </c>
      <c r="M293" s="215" t="s">
        <v>51</v>
      </c>
      <c r="N293" s="214"/>
      <c r="O293" s="172"/>
      <c r="P293" s="172"/>
      <c r="Q293" s="172"/>
      <c r="R293" s="172"/>
      <c r="S293" s="215"/>
    </row>
    <row r="294" spans="1:19">
      <c r="A294" s="212">
        <v>30</v>
      </c>
      <c r="B294" s="244" t="str">
        <f t="shared" si="26"/>
        <v>Saturday March 14, 2026</v>
      </c>
      <c r="C294" s="212" t="s">
        <v>22</v>
      </c>
      <c r="D294" s="170">
        <v>70200</v>
      </c>
      <c r="E294" s="186">
        <v>5</v>
      </c>
      <c r="F294" s="168" t="s">
        <v>8</v>
      </c>
      <c r="G294" s="213"/>
      <c r="H294" s="232">
        <v>0.45833333333333331</v>
      </c>
      <c r="I294" s="212"/>
      <c r="J294" s="170" t="s">
        <v>32</v>
      </c>
      <c r="K294" s="186">
        <v>2</v>
      </c>
      <c r="L294" s="168">
        <v>81142.857142857145</v>
      </c>
      <c r="M294" s="213" t="s">
        <v>43</v>
      </c>
      <c r="N294" s="212"/>
      <c r="O294" s="169"/>
      <c r="P294" s="169"/>
      <c r="Q294" s="169"/>
      <c r="R294" s="169"/>
      <c r="S294" s="213"/>
    </row>
    <row r="295" spans="1:19">
      <c r="A295" s="214">
        <v>30</v>
      </c>
      <c r="B295" s="244" t="str">
        <f t="shared" si="26"/>
        <v>Saturday March 14, 2026</v>
      </c>
      <c r="C295" s="214" t="s">
        <v>18</v>
      </c>
      <c r="D295" s="173">
        <v>99400</v>
      </c>
      <c r="E295" s="187">
        <v>2</v>
      </c>
      <c r="F295" s="171" t="s">
        <v>3</v>
      </c>
      <c r="G295" s="215"/>
      <c r="H295" s="233">
        <v>0.45833333333333331</v>
      </c>
      <c r="I295" s="214"/>
      <c r="J295" s="173" t="s">
        <v>11</v>
      </c>
      <c r="K295" s="187">
        <v>4</v>
      </c>
      <c r="L295" s="171">
        <v>90666.666666666657</v>
      </c>
      <c r="M295" s="215" t="s">
        <v>25</v>
      </c>
      <c r="N295" s="214"/>
      <c r="O295" s="172"/>
      <c r="P295" s="172"/>
      <c r="Q295" s="172"/>
      <c r="R295" s="172"/>
      <c r="S295" s="215"/>
    </row>
    <row r="296" spans="1:19">
      <c r="A296" s="212">
        <v>30</v>
      </c>
      <c r="B296" s="244" t="str">
        <f t="shared" si="26"/>
        <v>Saturday March 14, 2026</v>
      </c>
      <c r="C296" s="212" t="s">
        <v>26</v>
      </c>
      <c r="D296" s="170">
        <v>83200</v>
      </c>
      <c r="E296" s="186">
        <v>1</v>
      </c>
      <c r="F296" s="168" t="s">
        <v>12</v>
      </c>
      <c r="G296" s="213"/>
      <c r="H296" s="232">
        <v>0.45833333333333331</v>
      </c>
      <c r="I296" s="212"/>
      <c r="J296" s="170" t="s">
        <v>1221</v>
      </c>
      <c r="K296" s="186">
        <v>5</v>
      </c>
      <c r="L296" s="168">
        <v>66857.142857142855</v>
      </c>
      <c r="M296" s="213" t="s">
        <v>633</v>
      </c>
      <c r="N296" s="212"/>
      <c r="O296" s="169"/>
      <c r="P296" s="169"/>
      <c r="Q296" s="169"/>
      <c r="R296" s="169"/>
      <c r="S296" s="213"/>
    </row>
    <row r="297" spans="1:19">
      <c r="A297" s="214">
        <v>30</v>
      </c>
      <c r="B297" s="244" t="str">
        <f t="shared" si="26"/>
        <v>Saturday March 14, 2026</v>
      </c>
      <c r="C297" s="214" t="s">
        <v>17</v>
      </c>
      <c r="D297" s="173">
        <v>100000</v>
      </c>
      <c r="E297" s="187">
        <v>2</v>
      </c>
      <c r="F297" s="171" t="s">
        <v>0</v>
      </c>
      <c r="G297" s="215"/>
      <c r="H297" s="233">
        <v>0.45833333333333331</v>
      </c>
      <c r="I297" s="214"/>
      <c r="J297" s="173" t="s">
        <v>4</v>
      </c>
      <c r="K297" s="187">
        <v>4</v>
      </c>
      <c r="L297" s="171">
        <v>92761.904761904763</v>
      </c>
      <c r="M297" s="215" t="s">
        <v>19</v>
      </c>
      <c r="N297" s="214"/>
      <c r="O297" s="172"/>
      <c r="P297" s="172"/>
      <c r="Q297" s="172"/>
      <c r="R297" s="172"/>
      <c r="S297" s="215"/>
    </row>
    <row r="298" spans="1:19">
      <c r="A298" s="212">
        <v>30</v>
      </c>
      <c r="B298" s="244" t="str">
        <f t="shared" si="26"/>
        <v>Saturday March 14, 2026</v>
      </c>
      <c r="C298" s="212" t="s">
        <v>30</v>
      </c>
      <c r="D298" s="170">
        <v>97400</v>
      </c>
      <c r="E298" s="186">
        <v>2</v>
      </c>
      <c r="F298" s="168" t="s">
        <v>2</v>
      </c>
      <c r="G298" s="213"/>
      <c r="H298" s="232">
        <v>0.45833333333333331</v>
      </c>
      <c r="I298" s="212"/>
      <c r="J298" s="170" t="s">
        <v>16</v>
      </c>
      <c r="K298" s="186">
        <v>4</v>
      </c>
      <c r="L298" s="168">
        <v>89142.857142857145</v>
      </c>
      <c r="M298" s="213" t="s">
        <v>28</v>
      </c>
      <c r="N298" s="212"/>
      <c r="O298" s="169"/>
      <c r="P298" s="169"/>
      <c r="Q298" s="169"/>
      <c r="R298" s="169"/>
      <c r="S298" s="213"/>
    </row>
    <row r="299" spans="1:19">
      <c r="A299" s="214">
        <v>30</v>
      </c>
      <c r="B299" s="244" t="str">
        <f t="shared" si="26"/>
        <v>Saturday March 14, 2026</v>
      </c>
      <c r="C299" s="214" t="s">
        <v>52</v>
      </c>
      <c r="D299" s="173">
        <v>85200</v>
      </c>
      <c r="E299" s="187">
        <v>3</v>
      </c>
      <c r="F299" s="171" t="s">
        <v>15</v>
      </c>
      <c r="G299" s="215"/>
      <c r="H299" s="233">
        <v>0.45833333333333331</v>
      </c>
      <c r="I299" s="214"/>
      <c r="J299" s="173" t="s">
        <v>9</v>
      </c>
      <c r="K299" s="187">
        <v>4</v>
      </c>
      <c r="L299" s="171">
        <v>81142.857142857145</v>
      </c>
      <c r="M299" s="215" t="s">
        <v>23</v>
      </c>
      <c r="N299" s="214"/>
      <c r="O299" s="172"/>
      <c r="P299" s="172"/>
      <c r="Q299" s="172"/>
      <c r="R299" s="172"/>
      <c r="S299" s="215"/>
    </row>
    <row r="300" spans="1:19">
      <c r="A300" s="212">
        <v>30</v>
      </c>
      <c r="B300" s="244" t="str">
        <f t="shared" si="26"/>
        <v>Saturday March 14, 2026</v>
      </c>
      <c r="C300" s="212" t="s">
        <v>634</v>
      </c>
      <c r="D300" s="170">
        <v>70200</v>
      </c>
      <c r="E300" s="186">
        <v>5</v>
      </c>
      <c r="F300" s="168" t="s">
        <v>1220</v>
      </c>
      <c r="G300" s="213"/>
      <c r="H300" s="232">
        <v>0.45833333333333331</v>
      </c>
      <c r="I300" s="212"/>
      <c r="J300" s="170" t="s">
        <v>13</v>
      </c>
      <c r="K300" s="186">
        <v>2</v>
      </c>
      <c r="L300" s="168">
        <v>81142.857142857145</v>
      </c>
      <c r="M300" s="213" t="s">
        <v>33</v>
      </c>
      <c r="N300" s="212"/>
      <c r="O300" s="169"/>
      <c r="P300" s="169"/>
      <c r="Q300" s="169"/>
      <c r="R300" s="169"/>
      <c r="S300" s="213"/>
    </row>
    <row r="301" spans="1:19">
      <c r="A301" s="214">
        <v>30</v>
      </c>
      <c r="B301" s="244" t="str">
        <f t="shared" si="26"/>
        <v>Saturday March 14, 2026</v>
      </c>
      <c r="C301" s="214" t="s">
        <v>27</v>
      </c>
      <c r="D301" s="173">
        <v>83200</v>
      </c>
      <c r="E301" s="187">
        <v>4</v>
      </c>
      <c r="F301" s="171" t="s">
        <v>14</v>
      </c>
      <c r="G301" s="215"/>
      <c r="H301" s="233">
        <v>0.45833333333333331</v>
      </c>
      <c r="I301" s="214"/>
      <c r="J301" s="173" t="s">
        <v>1</v>
      </c>
      <c r="K301" s="187">
        <v>2</v>
      </c>
      <c r="L301" s="171">
        <v>95142.857142857145</v>
      </c>
      <c r="M301" s="215" t="s">
        <v>29</v>
      </c>
      <c r="N301" s="214"/>
      <c r="O301" s="172"/>
      <c r="P301" s="172"/>
      <c r="Q301" s="172"/>
      <c r="R301" s="172"/>
      <c r="S301" s="215"/>
    </row>
    <row r="302" spans="1:19">
      <c r="A302" s="216">
        <v>31</v>
      </c>
      <c r="B302" s="245" t="s">
        <v>1263</v>
      </c>
      <c r="C302" s="216" t="s">
        <v>43</v>
      </c>
      <c r="D302" s="176">
        <v>85200</v>
      </c>
      <c r="E302" s="186">
        <v>4</v>
      </c>
      <c r="F302" s="174" t="s">
        <v>32</v>
      </c>
      <c r="G302" s="217"/>
      <c r="H302" s="234">
        <v>0.45833333333333331</v>
      </c>
      <c r="I302" s="216"/>
      <c r="J302" s="176" t="s">
        <v>2</v>
      </c>
      <c r="K302" s="186">
        <v>2</v>
      </c>
      <c r="L302" s="174">
        <v>92761.904761904763</v>
      </c>
      <c r="M302" s="217" t="s">
        <v>30</v>
      </c>
      <c r="N302" s="216"/>
      <c r="O302" s="175"/>
      <c r="P302" s="175"/>
      <c r="Q302" s="175"/>
      <c r="R302" s="175"/>
      <c r="S302" s="217"/>
    </row>
    <row r="303" spans="1:19">
      <c r="A303" s="218">
        <v>31</v>
      </c>
      <c r="B303" s="245" t="str">
        <f>B302</f>
        <v>Saturday March 21, 2026</v>
      </c>
      <c r="C303" s="218" t="s">
        <v>28</v>
      </c>
      <c r="D303" s="179">
        <v>93600</v>
      </c>
      <c r="E303" s="187">
        <v>1</v>
      </c>
      <c r="F303" s="177" t="s">
        <v>16</v>
      </c>
      <c r="G303" s="219"/>
      <c r="H303" s="235">
        <v>0.45833333333333331</v>
      </c>
      <c r="I303" s="218"/>
      <c r="J303" s="179" t="s">
        <v>14</v>
      </c>
      <c r="K303" s="187">
        <v>5</v>
      </c>
      <c r="L303" s="177">
        <v>79238.095238095237</v>
      </c>
      <c r="M303" s="219" t="s">
        <v>27</v>
      </c>
      <c r="N303" s="218"/>
      <c r="O303" s="178"/>
      <c r="P303" s="178"/>
      <c r="Q303" s="178"/>
      <c r="R303" s="178"/>
      <c r="S303" s="219"/>
    </row>
    <row r="304" spans="1:19">
      <c r="A304" s="216">
        <v>31</v>
      </c>
      <c r="B304" s="245" t="str">
        <f>B303</f>
        <v>Saturday March 21, 2026</v>
      </c>
      <c r="C304" s="216" t="s">
        <v>33</v>
      </c>
      <c r="D304" s="176">
        <v>85200</v>
      </c>
      <c r="E304" s="186">
        <v>4</v>
      </c>
      <c r="F304" s="174" t="s">
        <v>13</v>
      </c>
      <c r="G304" s="217"/>
      <c r="H304" s="234">
        <v>0.45833333333333331</v>
      </c>
      <c r="I304" s="216"/>
      <c r="J304" s="176" t="s">
        <v>0</v>
      </c>
      <c r="K304" s="186">
        <v>2</v>
      </c>
      <c r="L304" s="174">
        <v>95238.095238095237</v>
      </c>
      <c r="M304" s="217" t="s">
        <v>17</v>
      </c>
      <c r="N304" s="216"/>
      <c r="O304" s="175"/>
      <c r="P304" s="175"/>
      <c r="Q304" s="175"/>
      <c r="R304" s="175"/>
      <c r="S304" s="217"/>
    </row>
    <row r="305" spans="1:19">
      <c r="A305" s="218">
        <v>31</v>
      </c>
      <c r="B305" s="245" t="str">
        <f>B304</f>
        <v>Saturday March 21, 2026</v>
      </c>
      <c r="C305" s="218" t="s">
        <v>24</v>
      </c>
      <c r="D305" s="179">
        <v>83200</v>
      </c>
      <c r="E305" s="187">
        <v>4</v>
      </c>
      <c r="F305" s="177" t="s">
        <v>10</v>
      </c>
      <c r="G305" s="219"/>
      <c r="H305" s="235">
        <v>0.45833333333333331</v>
      </c>
      <c r="I305" s="218"/>
      <c r="J305" s="179" t="s">
        <v>3</v>
      </c>
      <c r="K305" s="187">
        <v>2</v>
      </c>
      <c r="L305" s="177">
        <v>94666.666666666657</v>
      </c>
      <c r="M305" s="219" t="s">
        <v>18</v>
      </c>
      <c r="N305" s="218"/>
      <c r="O305" s="178"/>
      <c r="P305" s="178"/>
      <c r="Q305" s="178"/>
      <c r="R305" s="178"/>
      <c r="S305" s="219"/>
    </row>
    <row r="306" spans="1:19">
      <c r="A306" s="216">
        <v>31</v>
      </c>
      <c r="B306" s="245" t="str">
        <f>B305</f>
        <v>Saturday March 21, 2026</v>
      </c>
      <c r="C306" s="216" t="s">
        <v>23</v>
      </c>
      <c r="D306" s="176">
        <v>85200</v>
      </c>
      <c r="E306" s="186">
        <v>1</v>
      </c>
      <c r="F306" s="174" t="s">
        <v>9</v>
      </c>
      <c r="G306" s="217"/>
      <c r="H306" s="234">
        <v>0.45833333333333331</v>
      </c>
      <c r="I306" s="216"/>
      <c r="J306" s="176" t="s">
        <v>8</v>
      </c>
      <c r="K306" s="186">
        <v>5</v>
      </c>
      <c r="L306" s="174">
        <v>66857.142857142855</v>
      </c>
      <c r="M306" s="217" t="s">
        <v>22</v>
      </c>
      <c r="N306" s="216"/>
      <c r="O306" s="175"/>
      <c r="P306" s="175"/>
      <c r="Q306" s="175"/>
      <c r="R306" s="175"/>
      <c r="S306" s="217"/>
    </row>
    <row r="307" spans="1:19">
      <c r="A307" s="218">
        <v>31</v>
      </c>
      <c r="B307" s="245" t="str">
        <f>B306</f>
        <v>Saturday March 21, 2026</v>
      </c>
      <c r="C307" s="218" t="s">
        <v>633</v>
      </c>
      <c r="D307" s="179">
        <v>70200</v>
      </c>
      <c r="E307" s="187">
        <v>4</v>
      </c>
      <c r="F307" s="177" t="s">
        <v>1221</v>
      </c>
      <c r="G307" s="219"/>
      <c r="H307" s="235">
        <v>0.45833333333333331</v>
      </c>
      <c r="I307" s="218"/>
      <c r="J307" s="179" t="s">
        <v>7</v>
      </c>
      <c r="K307" s="187">
        <v>2</v>
      </c>
      <c r="L307" s="177">
        <v>79238.095238095237</v>
      </c>
      <c r="M307" s="219" t="s">
        <v>21</v>
      </c>
      <c r="N307" s="218"/>
      <c r="O307" s="178"/>
      <c r="P307" s="178"/>
      <c r="Q307" s="178"/>
      <c r="R307" s="178"/>
      <c r="S307" s="219"/>
    </row>
    <row r="308" spans="1:19">
      <c r="A308" s="216">
        <v>31</v>
      </c>
      <c r="B308" s="245" t="str">
        <f t="shared" ref="B308:B311" si="27">B307</f>
        <v>Saturday March 21, 2026</v>
      </c>
      <c r="C308" s="216" t="s">
        <v>29</v>
      </c>
      <c r="D308" s="176">
        <v>99900</v>
      </c>
      <c r="E308" s="186">
        <v>1</v>
      </c>
      <c r="F308" s="174" t="s">
        <v>1</v>
      </c>
      <c r="G308" s="217"/>
      <c r="H308" s="234">
        <v>0.45833333333333331</v>
      </c>
      <c r="I308" s="216"/>
      <c r="J308" s="176" t="s">
        <v>12</v>
      </c>
      <c r="K308" s="186">
        <v>5</v>
      </c>
      <c r="L308" s="174">
        <v>79238.095238095237</v>
      </c>
      <c r="M308" s="217" t="s">
        <v>26</v>
      </c>
      <c r="N308" s="216"/>
      <c r="O308" s="175"/>
      <c r="P308" s="175"/>
      <c r="Q308" s="175"/>
      <c r="R308" s="175"/>
      <c r="S308" s="217"/>
    </row>
    <row r="309" spans="1:19">
      <c r="A309" s="218">
        <v>31</v>
      </c>
      <c r="B309" s="245" t="str">
        <f t="shared" si="27"/>
        <v>Saturday March 21, 2026</v>
      </c>
      <c r="C309" s="218" t="s">
        <v>25</v>
      </c>
      <c r="D309" s="179">
        <v>95200</v>
      </c>
      <c r="E309" s="187">
        <v>1</v>
      </c>
      <c r="F309" s="177" t="s">
        <v>11</v>
      </c>
      <c r="G309" s="219"/>
      <c r="H309" s="235">
        <v>0.45833333333333331</v>
      </c>
      <c r="I309" s="218"/>
      <c r="J309" s="179" t="s">
        <v>1220</v>
      </c>
      <c r="K309" s="187">
        <v>5</v>
      </c>
      <c r="L309" s="177">
        <v>66857.142857142855</v>
      </c>
      <c r="M309" s="219" t="s">
        <v>634</v>
      </c>
      <c r="N309" s="218"/>
      <c r="O309" s="178"/>
      <c r="P309" s="178"/>
      <c r="Q309" s="178"/>
      <c r="R309" s="178"/>
      <c r="S309" s="219"/>
    </row>
    <row r="310" spans="1:19">
      <c r="A310" s="216">
        <v>31</v>
      </c>
      <c r="B310" s="245" t="str">
        <f t="shared" si="27"/>
        <v>Saturday March 21, 2026</v>
      </c>
      <c r="C310" s="216" t="s">
        <v>19</v>
      </c>
      <c r="D310" s="176">
        <v>97400</v>
      </c>
      <c r="E310" s="186">
        <v>1</v>
      </c>
      <c r="F310" s="174" t="s">
        <v>4</v>
      </c>
      <c r="G310" s="217"/>
      <c r="H310" s="234">
        <v>0.45833333333333331</v>
      </c>
      <c r="I310" s="216"/>
      <c r="J310" s="176" t="s">
        <v>15</v>
      </c>
      <c r="K310" s="186">
        <v>5</v>
      </c>
      <c r="L310" s="174">
        <v>81142.857142857145</v>
      </c>
      <c r="M310" s="217" t="s">
        <v>52</v>
      </c>
      <c r="N310" s="216"/>
      <c r="O310" s="175"/>
      <c r="P310" s="175"/>
      <c r="Q310" s="175"/>
      <c r="R310" s="175"/>
      <c r="S310" s="217"/>
    </row>
    <row r="311" spans="1:19">
      <c r="A311" s="218">
        <v>31</v>
      </c>
      <c r="B311" s="245" t="str">
        <f t="shared" si="27"/>
        <v>Saturday March 21, 2026</v>
      </c>
      <c r="C311" s="218" t="s">
        <v>51</v>
      </c>
      <c r="D311" s="179">
        <v>75200</v>
      </c>
      <c r="E311" s="187">
        <v>5</v>
      </c>
      <c r="F311" s="177" t="s">
        <v>5</v>
      </c>
      <c r="G311" s="219"/>
      <c r="H311" s="235">
        <v>0.45833333333333331</v>
      </c>
      <c r="I311" s="218"/>
      <c r="J311" s="179" t="s">
        <v>6</v>
      </c>
      <c r="K311" s="187">
        <v>1</v>
      </c>
      <c r="L311" s="177">
        <v>95200</v>
      </c>
      <c r="M311" s="219" t="s">
        <v>20</v>
      </c>
      <c r="N311" s="218"/>
      <c r="O311" s="178"/>
      <c r="P311" s="178"/>
      <c r="Q311" s="178"/>
      <c r="R311" s="178"/>
      <c r="S311" s="219"/>
    </row>
    <row r="312" spans="1:19">
      <c r="A312" s="220">
        <v>32</v>
      </c>
      <c r="B312" s="246" t="s">
        <v>1264</v>
      </c>
      <c r="C312" s="220" t="s">
        <v>20</v>
      </c>
      <c r="D312" s="182">
        <v>99960</v>
      </c>
      <c r="E312" s="186">
        <v>1</v>
      </c>
      <c r="F312" s="180" t="s">
        <v>6</v>
      </c>
      <c r="G312" s="221"/>
      <c r="H312" s="236">
        <v>0.41666666666666669</v>
      </c>
      <c r="I312" s="220"/>
      <c r="J312" s="182" t="s">
        <v>32</v>
      </c>
      <c r="K312" s="186">
        <v>5</v>
      </c>
      <c r="L312" s="180">
        <v>81142.857142857145</v>
      </c>
      <c r="M312" s="221" t="s">
        <v>43</v>
      </c>
      <c r="N312" s="220"/>
      <c r="O312" s="181"/>
      <c r="P312" s="181"/>
      <c r="Q312" s="181"/>
      <c r="R312" s="181"/>
      <c r="S312" s="221"/>
    </row>
    <row r="313" spans="1:19">
      <c r="A313" s="222">
        <v>32</v>
      </c>
      <c r="B313" s="246" t="str">
        <f t="shared" ref="B313:B321" si="28">B312</f>
        <v>Saturday April 11, 2026</v>
      </c>
      <c r="C313" s="222" t="s">
        <v>21</v>
      </c>
      <c r="D313" s="185">
        <v>83200</v>
      </c>
      <c r="E313" s="187">
        <v>3</v>
      </c>
      <c r="F313" s="183" t="s">
        <v>7</v>
      </c>
      <c r="G313" s="223"/>
      <c r="H313" s="237">
        <v>0.41666666666666669</v>
      </c>
      <c r="I313" s="222"/>
      <c r="J313" s="185" t="s">
        <v>10</v>
      </c>
      <c r="K313" s="187">
        <v>4</v>
      </c>
      <c r="L313" s="183">
        <v>79238.095238095237</v>
      </c>
      <c r="M313" s="223" t="s">
        <v>24</v>
      </c>
      <c r="N313" s="222"/>
      <c r="O313" s="184"/>
      <c r="P313" s="184"/>
      <c r="Q313" s="184"/>
      <c r="R313" s="184"/>
      <c r="S313" s="223"/>
    </row>
    <row r="314" spans="1:19">
      <c r="A314" s="220">
        <v>32</v>
      </c>
      <c r="B314" s="246" t="str">
        <f t="shared" si="28"/>
        <v>Saturday April 11, 2026</v>
      </c>
      <c r="C314" s="220" t="s">
        <v>22</v>
      </c>
      <c r="D314" s="182">
        <v>70200</v>
      </c>
      <c r="E314" s="186">
        <v>5</v>
      </c>
      <c r="F314" s="180" t="s">
        <v>8</v>
      </c>
      <c r="G314" s="221"/>
      <c r="H314" s="236">
        <v>0.41666666666666669</v>
      </c>
      <c r="I314" s="220"/>
      <c r="J314" s="182" t="s">
        <v>13</v>
      </c>
      <c r="K314" s="186">
        <v>2</v>
      </c>
      <c r="L314" s="180">
        <v>81142.857142857145</v>
      </c>
      <c r="M314" s="221" t="s">
        <v>33</v>
      </c>
      <c r="N314" s="220"/>
      <c r="O314" s="181"/>
      <c r="P314" s="181"/>
      <c r="Q314" s="181"/>
      <c r="R314" s="181"/>
      <c r="S314" s="221"/>
    </row>
    <row r="315" spans="1:19">
      <c r="A315" s="222">
        <v>32</v>
      </c>
      <c r="B315" s="246" t="str">
        <f t="shared" si="28"/>
        <v>Saturday April 11, 2026</v>
      </c>
      <c r="C315" s="222" t="s">
        <v>18</v>
      </c>
      <c r="D315" s="185">
        <v>99400</v>
      </c>
      <c r="E315" s="187">
        <v>3</v>
      </c>
      <c r="F315" s="183" t="s">
        <v>3</v>
      </c>
      <c r="G315" s="223"/>
      <c r="H315" s="237">
        <v>0.41666666666666669</v>
      </c>
      <c r="I315" s="222"/>
      <c r="J315" s="185" t="s">
        <v>1</v>
      </c>
      <c r="K315" s="187">
        <v>3</v>
      </c>
      <c r="L315" s="183">
        <v>95142.857142857145</v>
      </c>
      <c r="M315" s="223" t="s">
        <v>29</v>
      </c>
      <c r="N315" s="222"/>
      <c r="O315" s="184"/>
      <c r="P315" s="184"/>
      <c r="Q315" s="184"/>
      <c r="R315" s="184"/>
      <c r="S315" s="223"/>
    </row>
    <row r="316" spans="1:19">
      <c r="A316" s="220">
        <v>32</v>
      </c>
      <c r="B316" s="246" t="str">
        <f t="shared" si="28"/>
        <v>Saturday April 11, 2026</v>
      </c>
      <c r="C316" s="220" t="s">
        <v>26</v>
      </c>
      <c r="D316" s="182">
        <v>83200</v>
      </c>
      <c r="E316" s="186">
        <v>4</v>
      </c>
      <c r="F316" s="180" t="s">
        <v>12</v>
      </c>
      <c r="G316" s="221"/>
      <c r="H316" s="236">
        <v>0.41666666666666669</v>
      </c>
      <c r="I316" s="220"/>
      <c r="J316" s="182" t="s">
        <v>11</v>
      </c>
      <c r="K316" s="186">
        <v>2</v>
      </c>
      <c r="L316" s="180">
        <v>90666.666666666657</v>
      </c>
      <c r="M316" s="221" t="s">
        <v>25</v>
      </c>
      <c r="N316" s="220"/>
      <c r="O316" s="181"/>
      <c r="P316" s="181"/>
      <c r="Q316" s="181"/>
      <c r="R316" s="181"/>
      <c r="S316" s="221"/>
    </row>
    <row r="317" spans="1:19">
      <c r="A317" s="222">
        <v>32</v>
      </c>
      <c r="B317" s="246" t="str">
        <f t="shared" si="28"/>
        <v>Saturday April 11, 2026</v>
      </c>
      <c r="C317" s="222" t="s">
        <v>17</v>
      </c>
      <c r="D317" s="185">
        <v>100000</v>
      </c>
      <c r="E317" s="187">
        <v>1</v>
      </c>
      <c r="F317" s="183" t="s">
        <v>0</v>
      </c>
      <c r="G317" s="223"/>
      <c r="H317" s="237">
        <v>0.41666666666666669</v>
      </c>
      <c r="I317" s="222"/>
      <c r="J317" s="185" t="s">
        <v>9</v>
      </c>
      <c r="K317" s="187">
        <v>5</v>
      </c>
      <c r="L317" s="183">
        <v>81142.857142857145</v>
      </c>
      <c r="M317" s="223" t="s">
        <v>23</v>
      </c>
      <c r="N317" s="222"/>
      <c r="O317" s="184"/>
      <c r="P317" s="184"/>
      <c r="Q317" s="184"/>
      <c r="R317" s="184"/>
      <c r="S317" s="223"/>
    </row>
    <row r="318" spans="1:19">
      <c r="A318" s="220">
        <v>32</v>
      </c>
      <c r="B318" s="246" t="str">
        <f t="shared" si="28"/>
        <v>Saturday April 11, 2026</v>
      </c>
      <c r="C318" s="220" t="s">
        <v>30</v>
      </c>
      <c r="D318" s="182">
        <v>97400</v>
      </c>
      <c r="E318" s="186">
        <v>1</v>
      </c>
      <c r="F318" s="180" t="s">
        <v>2</v>
      </c>
      <c r="G318" s="221"/>
      <c r="H318" s="236">
        <v>0.41666666666666669</v>
      </c>
      <c r="I318" s="220"/>
      <c r="J318" s="182" t="s">
        <v>1221</v>
      </c>
      <c r="K318" s="186">
        <v>5</v>
      </c>
      <c r="L318" s="180">
        <v>66857.142857142855</v>
      </c>
      <c r="M318" s="221" t="s">
        <v>633</v>
      </c>
      <c r="N318" s="220"/>
      <c r="O318" s="181"/>
      <c r="P318" s="181"/>
      <c r="Q318" s="181"/>
      <c r="R318" s="181"/>
      <c r="S318" s="221"/>
    </row>
    <row r="319" spans="1:19">
      <c r="A319" s="222">
        <v>32</v>
      </c>
      <c r="B319" s="246" t="str">
        <f t="shared" si="28"/>
        <v>Saturday April 11, 2026</v>
      </c>
      <c r="C319" s="222" t="s">
        <v>52</v>
      </c>
      <c r="D319" s="185">
        <v>85200</v>
      </c>
      <c r="E319" s="187">
        <v>3</v>
      </c>
      <c r="F319" s="183" t="s">
        <v>15</v>
      </c>
      <c r="G319" s="223"/>
      <c r="H319" s="237">
        <v>0.41666666666666669</v>
      </c>
      <c r="I319" s="222"/>
      <c r="J319" s="185" t="s">
        <v>16</v>
      </c>
      <c r="K319" s="187">
        <v>3</v>
      </c>
      <c r="L319" s="183">
        <v>89142.857142857145</v>
      </c>
      <c r="M319" s="223" t="s">
        <v>28</v>
      </c>
      <c r="N319" s="222"/>
      <c r="O319" s="184"/>
      <c r="P319" s="184"/>
      <c r="Q319" s="184"/>
      <c r="R319" s="184"/>
      <c r="S319" s="223"/>
    </row>
    <row r="320" spans="1:19">
      <c r="A320" s="220">
        <v>32</v>
      </c>
      <c r="B320" s="246" t="str">
        <f t="shared" si="28"/>
        <v>Saturday April 11, 2026</v>
      </c>
      <c r="C320" s="220" t="s">
        <v>634</v>
      </c>
      <c r="D320" s="182">
        <v>70200</v>
      </c>
      <c r="E320" s="186">
        <v>5</v>
      </c>
      <c r="F320" s="180" t="s">
        <v>1220</v>
      </c>
      <c r="G320" s="221"/>
      <c r="H320" s="236">
        <v>0.41666666666666669</v>
      </c>
      <c r="I320" s="220"/>
      <c r="J320" s="182" t="s">
        <v>4</v>
      </c>
      <c r="K320" s="186">
        <v>1</v>
      </c>
      <c r="L320" s="180">
        <v>92761.904761904763</v>
      </c>
      <c r="M320" s="221" t="s">
        <v>19</v>
      </c>
      <c r="N320" s="220"/>
      <c r="O320" s="181"/>
      <c r="P320" s="181"/>
      <c r="Q320" s="181"/>
      <c r="R320" s="181"/>
      <c r="S320" s="221"/>
    </row>
    <row r="321" spans="1:19">
      <c r="A321" s="222">
        <v>32</v>
      </c>
      <c r="B321" s="246" t="str">
        <f t="shared" si="28"/>
        <v>Saturday April 11, 2026</v>
      </c>
      <c r="C321" s="222" t="s">
        <v>27</v>
      </c>
      <c r="D321" s="185">
        <v>83200</v>
      </c>
      <c r="E321" s="187">
        <v>2</v>
      </c>
      <c r="F321" s="183" t="s">
        <v>14</v>
      </c>
      <c r="G321" s="223"/>
      <c r="H321" s="237">
        <v>0.41666666666666669</v>
      </c>
      <c r="I321" s="222"/>
      <c r="J321" s="185" t="s">
        <v>5</v>
      </c>
      <c r="K321" s="187">
        <v>5</v>
      </c>
      <c r="L321" s="183">
        <v>71619.047619047618</v>
      </c>
      <c r="M321" s="223" t="s">
        <v>51</v>
      </c>
      <c r="N321" s="222"/>
      <c r="O321" s="184"/>
      <c r="P321" s="184"/>
      <c r="Q321" s="184"/>
      <c r="R321" s="184"/>
      <c r="S321" s="223"/>
    </row>
    <row r="322" spans="1:19">
      <c r="A322" s="210">
        <v>33</v>
      </c>
      <c r="B322" s="247" t="s">
        <v>1265</v>
      </c>
      <c r="C322" s="210" t="s">
        <v>28</v>
      </c>
      <c r="D322" s="154">
        <v>93600</v>
      </c>
      <c r="E322" s="186">
        <v>1</v>
      </c>
      <c r="F322" s="167" t="s">
        <v>16</v>
      </c>
      <c r="G322" s="211"/>
      <c r="H322" s="231">
        <v>0.41666666666666669</v>
      </c>
      <c r="I322" s="210"/>
      <c r="J322" s="154" t="s">
        <v>1220</v>
      </c>
      <c r="K322" s="186">
        <v>5</v>
      </c>
      <c r="L322" s="167">
        <v>66857.142857142855</v>
      </c>
      <c r="M322" s="211" t="s">
        <v>634</v>
      </c>
      <c r="N322" s="210"/>
      <c r="O322" s="129"/>
      <c r="P322" s="129"/>
      <c r="Q322" s="129"/>
      <c r="R322" s="129"/>
      <c r="S322" s="211"/>
    </row>
    <row r="323" spans="1:19">
      <c r="A323" s="208">
        <v>33</v>
      </c>
      <c r="B323" s="247" t="str">
        <f t="shared" ref="B323:B331" si="29">B322</f>
        <v>Saturday April 18, 2025</v>
      </c>
      <c r="C323" s="208" t="s">
        <v>21</v>
      </c>
      <c r="D323" s="166">
        <v>83200</v>
      </c>
      <c r="E323" s="187">
        <v>3</v>
      </c>
      <c r="F323" s="165" t="s">
        <v>7</v>
      </c>
      <c r="G323" s="209"/>
      <c r="H323" s="230">
        <v>0.41666666666666669</v>
      </c>
      <c r="I323" s="208"/>
      <c r="J323" s="166" t="s">
        <v>9</v>
      </c>
      <c r="K323" s="187">
        <v>3</v>
      </c>
      <c r="L323" s="165">
        <v>81142.857142857145</v>
      </c>
      <c r="M323" s="209" t="s">
        <v>23</v>
      </c>
      <c r="N323" s="208"/>
      <c r="O323" s="130"/>
      <c r="P323" s="130"/>
      <c r="Q323" s="130"/>
      <c r="R323" s="130"/>
      <c r="S323" s="209"/>
    </row>
    <row r="324" spans="1:19">
      <c r="A324" s="210">
        <v>33</v>
      </c>
      <c r="B324" s="247" t="str">
        <f t="shared" si="29"/>
        <v>Saturday April 18, 2025</v>
      </c>
      <c r="C324" s="210" t="s">
        <v>18</v>
      </c>
      <c r="D324" s="154">
        <v>99400</v>
      </c>
      <c r="E324" s="186">
        <v>2</v>
      </c>
      <c r="F324" s="167" t="s">
        <v>3</v>
      </c>
      <c r="G324" s="211"/>
      <c r="H324" s="231">
        <v>0.41666666666666669</v>
      </c>
      <c r="I324" s="210"/>
      <c r="J324" s="154" t="s">
        <v>2</v>
      </c>
      <c r="K324" s="186">
        <v>4</v>
      </c>
      <c r="L324" s="167">
        <v>92761.904761904763</v>
      </c>
      <c r="M324" s="211" t="s">
        <v>30</v>
      </c>
      <c r="N324" s="210"/>
      <c r="O324" s="129"/>
      <c r="P324" s="129"/>
      <c r="Q324" s="129"/>
      <c r="R324" s="129"/>
      <c r="S324" s="211"/>
    </row>
    <row r="325" spans="1:19">
      <c r="A325" s="208">
        <v>33</v>
      </c>
      <c r="B325" s="247" t="str">
        <f t="shared" si="29"/>
        <v>Saturday April 18, 2025</v>
      </c>
      <c r="C325" s="208" t="s">
        <v>26</v>
      </c>
      <c r="D325" s="166">
        <v>83200</v>
      </c>
      <c r="E325" s="187">
        <v>3</v>
      </c>
      <c r="F325" s="165" t="s">
        <v>12</v>
      </c>
      <c r="G325" s="209"/>
      <c r="H325" s="230">
        <v>0.41666666666666669</v>
      </c>
      <c r="I325" s="208"/>
      <c r="J325" s="166" t="s">
        <v>14</v>
      </c>
      <c r="K325" s="187">
        <v>4</v>
      </c>
      <c r="L325" s="165">
        <v>79238.095238095237</v>
      </c>
      <c r="M325" s="209" t="s">
        <v>27</v>
      </c>
      <c r="N325" s="208"/>
      <c r="O325" s="130"/>
      <c r="P325" s="130"/>
      <c r="Q325" s="130"/>
      <c r="R325" s="130"/>
      <c r="S325" s="209"/>
    </row>
    <row r="326" spans="1:19">
      <c r="A326" s="210">
        <v>33</v>
      </c>
      <c r="B326" s="247" t="str">
        <f t="shared" si="29"/>
        <v>Saturday April 18, 2025</v>
      </c>
      <c r="C326" s="210" t="s">
        <v>24</v>
      </c>
      <c r="D326" s="154">
        <v>83200</v>
      </c>
      <c r="E326" s="186">
        <v>4</v>
      </c>
      <c r="F326" s="167" t="s">
        <v>10</v>
      </c>
      <c r="G326" s="211"/>
      <c r="H326" s="231">
        <v>0.41666666666666669</v>
      </c>
      <c r="I326" s="210"/>
      <c r="J326" s="154" t="s">
        <v>0</v>
      </c>
      <c r="K326" s="186">
        <v>2</v>
      </c>
      <c r="L326" s="167">
        <v>95238.095238095237</v>
      </c>
      <c r="M326" s="211" t="s">
        <v>17</v>
      </c>
      <c r="N326" s="210"/>
      <c r="O326" s="129"/>
      <c r="P326" s="129"/>
      <c r="Q326" s="129"/>
      <c r="R326" s="129"/>
      <c r="S326" s="211"/>
    </row>
    <row r="327" spans="1:19">
      <c r="A327" s="208">
        <v>33</v>
      </c>
      <c r="B327" s="247" t="str">
        <f t="shared" si="29"/>
        <v>Saturday April 18, 2025</v>
      </c>
      <c r="C327" s="208" t="s">
        <v>633</v>
      </c>
      <c r="D327" s="166">
        <v>70200</v>
      </c>
      <c r="E327" s="187">
        <v>3</v>
      </c>
      <c r="F327" s="165" t="s">
        <v>1221</v>
      </c>
      <c r="G327" s="209"/>
      <c r="H327" s="230">
        <v>0.41666666666666669</v>
      </c>
      <c r="I327" s="208"/>
      <c r="J327" s="166" t="s">
        <v>5</v>
      </c>
      <c r="K327" s="187">
        <v>3</v>
      </c>
      <c r="L327" s="165">
        <v>71619.047619047618</v>
      </c>
      <c r="M327" s="209" t="s">
        <v>51</v>
      </c>
      <c r="N327" s="208"/>
      <c r="O327" s="130"/>
      <c r="P327" s="130"/>
      <c r="Q327" s="130"/>
      <c r="R327" s="130"/>
      <c r="S327" s="209"/>
    </row>
    <row r="328" spans="1:19">
      <c r="A328" s="210">
        <v>33</v>
      </c>
      <c r="B328" s="247" t="str">
        <f t="shared" si="29"/>
        <v>Saturday April 18, 2025</v>
      </c>
      <c r="C328" s="210" t="s">
        <v>29</v>
      </c>
      <c r="D328" s="154">
        <v>99900</v>
      </c>
      <c r="E328" s="186">
        <v>3</v>
      </c>
      <c r="F328" s="167" t="s">
        <v>1</v>
      </c>
      <c r="G328" s="211"/>
      <c r="H328" s="231">
        <v>0.41666666666666669</v>
      </c>
      <c r="I328" s="210"/>
      <c r="J328" s="154" t="s">
        <v>6</v>
      </c>
      <c r="K328" s="186">
        <v>3</v>
      </c>
      <c r="L328" s="167">
        <v>95200</v>
      </c>
      <c r="M328" s="211" t="s">
        <v>20</v>
      </c>
      <c r="N328" s="210"/>
      <c r="O328" s="129"/>
      <c r="P328" s="129"/>
      <c r="Q328" s="129"/>
      <c r="R328" s="129"/>
      <c r="S328" s="211"/>
    </row>
    <row r="329" spans="1:19">
      <c r="A329" s="208">
        <v>33</v>
      </c>
      <c r="B329" s="247" t="str">
        <f t="shared" si="29"/>
        <v>Saturday April 18, 2025</v>
      </c>
      <c r="C329" s="208" t="s">
        <v>25</v>
      </c>
      <c r="D329" s="166">
        <v>95200</v>
      </c>
      <c r="E329" s="187">
        <v>2</v>
      </c>
      <c r="F329" s="165" t="s">
        <v>11</v>
      </c>
      <c r="G329" s="209"/>
      <c r="H329" s="230">
        <v>0.41666666666666669</v>
      </c>
      <c r="I329" s="208"/>
      <c r="J329" s="166" t="s">
        <v>32</v>
      </c>
      <c r="K329" s="187">
        <v>5</v>
      </c>
      <c r="L329" s="165">
        <v>81142.857142857145</v>
      </c>
      <c r="M329" s="209" t="s">
        <v>43</v>
      </c>
      <c r="N329" s="208"/>
      <c r="O329" s="130"/>
      <c r="P329" s="130"/>
      <c r="Q329" s="130"/>
      <c r="R329" s="130"/>
      <c r="S329" s="209"/>
    </row>
    <row r="330" spans="1:19">
      <c r="A330" s="210">
        <v>33</v>
      </c>
      <c r="B330" s="247" t="str">
        <f t="shared" si="29"/>
        <v>Saturday April 18, 2025</v>
      </c>
      <c r="C330" s="210" t="s">
        <v>52</v>
      </c>
      <c r="D330" s="154">
        <v>85200</v>
      </c>
      <c r="E330" s="186">
        <v>1</v>
      </c>
      <c r="F330" s="167" t="s">
        <v>15</v>
      </c>
      <c r="G330" s="211"/>
      <c r="H330" s="231">
        <v>0.41666666666666669</v>
      </c>
      <c r="I330" s="210"/>
      <c r="J330" s="154" t="s">
        <v>8</v>
      </c>
      <c r="K330" s="186">
        <v>5</v>
      </c>
      <c r="L330" s="167">
        <v>66857.142857142855</v>
      </c>
      <c r="M330" s="211" t="s">
        <v>22</v>
      </c>
      <c r="N330" s="210"/>
      <c r="O330" s="129"/>
      <c r="P330" s="129"/>
      <c r="Q330" s="129"/>
      <c r="R330" s="129"/>
      <c r="S330" s="211"/>
    </row>
    <row r="331" spans="1:19">
      <c r="A331" s="208">
        <v>33</v>
      </c>
      <c r="B331" s="247" t="str">
        <f t="shared" si="29"/>
        <v>Saturday April 18, 2025</v>
      </c>
      <c r="C331" s="208" t="s">
        <v>19</v>
      </c>
      <c r="D331" s="166">
        <v>97400</v>
      </c>
      <c r="E331" s="187">
        <v>1</v>
      </c>
      <c r="F331" s="165" t="s">
        <v>4</v>
      </c>
      <c r="G331" s="209"/>
      <c r="H331" s="230">
        <v>0.41666666666666669</v>
      </c>
      <c r="I331" s="208"/>
      <c r="J331" s="166" t="s">
        <v>13</v>
      </c>
      <c r="K331" s="187">
        <v>5</v>
      </c>
      <c r="L331" s="165">
        <v>81142.857142857145</v>
      </c>
      <c r="M331" s="209" t="s">
        <v>33</v>
      </c>
      <c r="N331" s="208"/>
      <c r="O331" s="130"/>
      <c r="P331" s="130"/>
      <c r="Q331" s="130"/>
      <c r="R331" s="130"/>
      <c r="S331" s="209"/>
    </row>
    <row r="332" spans="1:19">
      <c r="A332" s="212">
        <v>34</v>
      </c>
      <c r="B332" s="244" t="s">
        <v>1266</v>
      </c>
      <c r="C332" s="212" t="s">
        <v>43</v>
      </c>
      <c r="D332" s="170">
        <v>85200</v>
      </c>
      <c r="E332" s="186">
        <v>1</v>
      </c>
      <c r="F332" s="168" t="s">
        <v>32</v>
      </c>
      <c r="G332" s="213"/>
      <c r="H332" s="232">
        <v>0.41666666666666669</v>
      </c>
      <c r="I332" s="212"/>
      <c r="J332" s="170" t="s">
        <v>1221</v>
      </c>
      <c r="K332" s="186">
        <v>5</v>
      </c>
      <c r="L332" s="168">
        <v>66857.142857142855</v>
      </c>
      <c r="M332" s="213" t="s">
        <v>633</v>
      </c>
      <c r="N332" s="212"/>
      <c r="O332" s="169"/>
      <c r="P332" s="169"/>
      <c r="Q332" s="169"/>
      <c r="R332" s="169"/>
      <c r="S332" s="213"/>
    </row>
    <row r="333" spans="1:19">
      <c r="A333" s="214">
        <v>34</v>
      </c>
      <c r="B333" s="244" t="str">
        <f t="shared" ref="B333:B341" si="30">B332</f>
        <v>Saturday April 25, 2026</v>
      </c>
      <c r="C333" s="214" t="s">
        <v>20</v>
      </c>
      <c r="D333" s="173">
        <v>99960</v>
      </c>
      <c r="E333" s="187">
        <v>2</v>
      </c>
      <c r="F333" s="171" t="s">
        <v>6</v>
      </c>
      <c r="G333" s="215"/>
      <c r="H333" s="233">
        <v>0.41666666666666669</v>
      </c>
      <c r="I333" s="214"/>
      <c r="J333" s="173" t="s">
        <v>11</v>
      </c>
      <c r="K333" s="187">
        <v>4</v>
      </c>
      <c r="L333" s="171">
        <v>90666.666666666657</v>
      </c>
      <c r="M333" s="215" t="s">
        <v>25</v>
      </c>
      <c r="N333" s="214"/>
      <c r="O333" s="172"/>
      <c r="P333" s="172"/>
      <c r="Q333" s="172"/>
      <c r="R333" s="172"/>
      <c r="S333" s="215"/>
    </row>
    <row r="334" spans="1:19">
      <c r="A334" s="212">
        <v>34</v>
      </c>
      <c r="B334" s="244" t="str">
        <f t="shared" si="30"/>
        <v>Saturday April 25, 2026</v>
      </c>
      <c r="C334" s="212" t="s">
        <v>33</v>
      </c>
      <c r="D334" s="170">
        <v>85200</v>
      </c>
      <c r="E334" s="186">
        <v>4</v>
      </c>
      <c r="F334" s="168" t="s">
        <v>13</v>
      </c>
      <c r="G334" s="213"/>
      <c r="H334" s="232">
        <v>0.41666666666666669</v>
      </c>
      <c r="I334" s="212"/>
      <c r="J334" s="170" t="s">
        <v>3</v>
      </c>
      <c r="K334" s="186">
        <v>2</v>
      </c>
      <c r="L334" s="168">
        <v>94666.666666666657</v>
      </c>
      <c r="M334" s="213" t="s">
        <v>18</v>
      </c>
      <c r="N334" s="212"/>
      <c r="O334" s="169"/>
      <c r="P334" s="169"/>
      <c r="Q334" s="169"/>
      <c r="R334" s="169"/>
      <c r="S334" s="213"/>
    </row>
    <row r="335" spans="1:19">
      <c r="A335" s="214">
        <v>34</v>
      </c>
      <c r="B335" s="244" t="str">
        <f t="shared" si="30"/>
        <v>Saturday April 25, 2026</v>
      </c>
      <c r="C335" s="214" t="s">
        <v>22</v>
      </c>
      <c r="D335" s="173">
        <v>70200</v>
      </c>
      <c r="E335" s="187">
        <v>5</v>
      </c>
      <c r="F335" s="171" t="s">
        <v>8</v>
      </c>
      <c r="G335" s="215"/>
      <c r="H335" s="233">
        <v>0.41666666666666669</v>
      </c>
      <c r="I335" s="214"/>
      <c r="J335" s="173" t="s">
        <v>1</v>
      </c>
      <c r="K335" s="187">
        <v>1</v>
      </c>
      <c r="L335" s="171">
        <v>95142.857142857145</v>
      </c>
      <c r="M335" s="215" t="s">
        <v>29</v>
      </c>
      <c r="N335" s="214"/>
      <c r="O335" s="172"/>
      <c r="P335" s="172"/>
      <c r="Q335" s="172"/>
      <c r="R335" s="172"/>
      <c r="S335" s="215"/>
    </row>
    <row r="336" spans="1:19">
      <c r="A336" s="212">
        <v>34</v>
      </c>
      <c r="B336" s="244" t="str">
        <f t="shared" si="30"/>
        <v>Saturday April 25, 2026</v>
      </c>
      <c r="C336" s="212" t="s">
        <v>23</v>
      </c>
      <c r="D336" s="170">
        <v>85200</v>
      </c>
      <c r="E336" s="186">
        <v>3</v>
      </c>
      <c r="F336" s="168" t="s">
        <v>9</v>
      </c>
      <c r="G336" s="213"/>
      <c r="H336" s="232">
        <v>0.41666666666666669</v>
      </c>
      <c r="I336" s="212"/>
      <c r="J336" s="170" t="s">
        <v>16</v>
      </c>
      <c r="K336" s="186">
        <v>3</v>
      </c>
      <c r="L336" s="168">
        <v>89142.857142857145</v>
      </c>
      <c r="M336" s="213" t="s">
        <v>28</v>
      </c>
      <c r="N336" s="212"/>
      <c r="O336" s="169"/>
      <c r="P336" s="169"/>
      <c r="Q336" s="169"/>
      <c r="R336" s="169"/>
      <c r="S336" s="213"/>
    </row>
    <row r="337" spans="1:19">
      <c r="A337" s="214">
        <v>34</v>
      </c>
      <c r="B337" s="244" t="str">
        <f t="shared" si="30"/>
        <v>Saturday April 25, 2026</v>
      </c>
      <c r="C337" s="214" t="s">
        <v>17</v>
      </c>
      <c r="D337" s="173">
        <v>100000</v>
      </c>
      <c r="E337" s="187">
        <v>1</v>
      </c>
      <c r="F337" s="171" t="s">
        <v>0</v>
      </c>
      <c r="G337" s="215"/>
      <c r="H337" s="233">
        <v>0.41666666666666669</v>
      </c>
      <c r="I337" s="214"/>
      <c r="J337" s="173" t="s">
        <v>12</v>
      </c>
      <c r="K337" s="187">
        <v>5</v>
      </c>
      <c r="L337" s="171">
        <v>79238.095238095237</v>
      </c>
      <c r="M337" s="215" t="s">
        <v>26</v>
      </c>
      <c r="N337" s="214"/>
      <c r="O337" s="172"/>
      <c r="P337" s="172"/>
      <c r="Q337" s="172"/>
      <c r="R337" s="172"/>
      <c r="S337" s="215"/>
    </row>
    <row r="338" spans="1:19">
      <c r="A338" s="212">
        <v>34</v>
      </c>
      <c r="B338" s="244" t="str">
        <f t="shared" si="30"/>
        <v>Saturday April 25, 2026</v>
      </c>
      <c r="C338" s="212" t="s">
        <v>30</v>
      </c>
      <c r="D338" s="170">
        <v>97400</v>
      </c>
      <c r="E338" s="186">
        <v>1</v>
      </c>
      <c r="F338" s="168" t="s">
        <v>2</v>
      </c>
      <c r="G338" s="213"/>
      <c r="H338" s="232">
        <v>0.41666666666666669</v>
      </c>
      <c r="I338" s="212"/>
      <c r="J338" s="170" t="s">
        <v>7</v>
      </c>
      <c r="K338" s="186">
        <v>5</v>
      </c>
      <c r="L338" s="168">
        <v>79238.095238095237</v>
      </c>
      <c r="M338" s="213" t="s">
        <v>21</v>
      </c>
      <c r="N338" s="212"/>
      <c r="O338" s="169"/>
      <c r="P338" s="169"/>
      <c r="Q338" s="169"/>
      <c r="R338" s="169"/>
      <c r="S338" s="213"/>
    </row>
    <row r="339" spans="1:19">
      <c r="A339" s="214">
        <v>34</v>
      </c>
      <c r="B339" s="244" t="str">
        <f t="shared" si="30"/>
        <v>Saturday April 25, 2026</v>
      </c>
      <c r="C339" s="214" t="s">
        <v>634</v>
      </c>
      <c r="D339" s="173">
        <v>70200</v>
      </c>
      <c r="E339" s="187">
        <v>5</v>
      </c>
      <c r="F339" s="171" t="s">
        <v>1220</v>
      </c>
      <c r="G339" s="215"/>
      <c r="H339" s="233">
        <v>0.41666666666666669</v>
      </c>
      <c r="I339" s="214"/>
      <c r="J339" s="173" t="s">
        <v>15</v>
      </c>
      <c r="K339" s="187">
        <v>2</v>
      </c>
      <c r="L339" s="171">
        <v>81142.857142857145</v>
      </c>
      <c r="M339" s="215" t="s">
        <v>52</v>
      </c>
      <c r="N339" s="214"/>
      <c r="O339" s="172"/>
      <c r="P339" s="172"/>
      <c r="Q339" s="172"/>
      <c r="R339" s="172"/>
      <c r="S339" s="215"/>
    </row>
    <row r="340" spans="1:19">
      <c r="A340" s="212">
        <v>34</v>
      </c>
      <c r="B340" s="244" t="str">
        <f t="shared" si="30"/>
        <v>Saturday April 25, 2026</v>
      </c>
      <c r="C340" s="212" t="s">
        <v>27</v>
      </c>
      <c r="D340" s="170">
        <v>83200</v>
      </c>
      <c r="E340" s="186">
        <v>3</v>
      </c>
      <c r="F340" s="168" t="s">
        <v>14</v>
      </c>
      <c r="G340" s="213"/>
      <c r="H340" s="232">
        <v>0.41666666666666669</v>
      </c>
      <c r="I340" s="212"/>
      <c r="J340" s="170" t="s">
        <v>10</v>
      </c>
      <c r="K340" s="186">
        <v>4</v>
      </c>
      <c r="L340" s="168">
        <v>79238.095238095237</v>
      </c>
      <c r="M340" s="213" t="s">
        <v>24</v>
      </c>
      <c r="N340" s="212"/>
      <c r="O340" s="169"/>
      <c r="P340" s="169"/>
      <c r="Q340" s="169"/>
      <c r="R340" s="169"/>
      <c r="S340" s="213"/>
    </row>
    <row r="341" spans="1:19">
      <c r="A341" s="214">
        <v>34</v>
      </c>
      <c r="B341" s="244" t="str">
        <f t="shared" si="30"/>
        <v>Saturday April 25, 2026</v>
      </c>
      <c r="C341" s="214" t="s">
        <v>51</v>
      </c>
      <c r="D341" s="173">
        <v>75200</v>
      </c>
      <c r="E341" s="187">
        <v>5</v>
      </c>
      <c r="F341" s="171" t="s">
        <v>5</v>
      </c>
      <c r="G341" s="215"/>
      <c r="H341" s="233">
        <v>0.41666666666666669</v>
      </c>
      <c r="I341" s="214"/>
      <c r="J341" s="173" t="s">
        <v>4</v>
      </c>
      <c r="K341" s="187">
        <v>1</v>
      </c>
      <c r="L341" s="171">
        <v>92761.904761904763</v>
      </c>
      <c r="M341" s="215" t="s">
        <v>19</v>
      </c>
      <c r="N341" s="214"/>
      <c r="O341" s="172"/>
      <c r="P341" s="172"/>
      <c r="Q341" s="172"/>
      <c r="R341" s="172"/>
      <c r="S341" s="215"/>
    </row>
    <row r="342" spans="1:19">
      <c r="A342" s="216">
        <v>35</v>
      </c>
      <c r="B342" s="245" t="s">
        <v>1267</v>
      </c>
      <c r="C342" s="216" t="s">
        <v>43</v>
      </c>
      <c r="D342" s="176">
        <v>85200</v>
      </c>
      <c r="E342" s="186">
        <v>2</v>
      </c>
      <c r="F342" s="174" t="s">
        <v>32</v>
      </c>
      <c r="G342" s="217"/>
      <c r="H342" s="234">
        <v>0.41666666666666669</v>
      </c>
      <c r="I342" s="216"/>
      <c r="J342" s="176" t="s">
        <v>12</v>
      </c>
      <c r="K342" s="186">
        <v>4</v>
      </c>
      <c r="L342" s="174">
        <v>79238.095238095237</v>
      </c>
      <c r="M342" s="217" t="s">
        <v>26</v>
      </c>
      <c r="N342" s="216"/>
      <c r="O342" s="175"/>
      <c r="P342" s="175"/>
      <c r="Q342" s="175"/>
      <c r="R342" s="175"/>
      <c r="S342" s="217"/>
    </row>
    <row r="343" spans="1:19">
      <c r="A343" s="218">
        <v>35</v>
      </c>
      <c r="B343" s="245" t="str">
        <f t="shared" ref="B343:B351" si="31">B342</f>
        <v>Saturday May 2, 2026</v>
      </c>
      <c r="C343" s="218" t="s">
        <v>20</v>
      </c>
      <c r="D343" s="179">
        <v>99960</v>
      </c>
      <c r="E343" s="187">
        <v>1</v>
      </c>
      <c r="F343" s="177" t="s">
        <v>6</v>
      </c>
      <c r="G343" s="219"/>
      <c r="H343" s="235">
        <v>0.41666666666666669</v>
      </c>
      <c r="I343" s="218"/>
      <c r="J343" s="179" t="s">
        <v>9</v>
      </c>
      <c r="K343" s="187">
        <v>5</v>
      </c>
      <c r="L343" s="177">
        <v>81142.857142857145</v>
      </c>
      <c r="M343" s="219" t="s">
        <v>23</v>
      </c>
      <c r="N343" s="218"/>
      <c r="O343" s="178"/>
      <c r="P343" s="178"/>
      <c r="Q343" s="178"/>
      <c r="R343" s="178"/>
      <c r="S343" s="219"/>
    </row>
    <row r="344" spans="1:19">
      <c r="A344" s="216">
        <v>35</v>
      </c>
      <c r="B344" s="245" t="str">
        <f t="shared" si="31"/>
        <v>Saturday May 2, 2026</v>
      </c>
      <c r="C344" s="216" t="s">
        <v>28</v>
      </c>
      <c r="D344" s="176">
        <v>93600</v>
      </c>
      <c r="E344" s="186">
        <v>3</v>
      </c>
      <c r="F344" s="174" t="s">
        <v>16</v>
      </c>
      <c r="G344" s="217"/>
      <c r="H344" s="234">
        <v>0.41666666666666669</v>
      </c>
      <c r="I344" s="216"/>
      <c r="J344" s="176" t="s">
        <v>4</v>
      </c>
      <c r="K344" s="186">
        <v>3</v>
      </c>
      <c r="L344" s="174">
        <v>92761.904761904763</v>
      </c>
      <c r="M344" s="217" t="s">
        <v>19</v>
      </c>
      <c r="N344" s="216"/>
      <c r="O344" s="175"/>
      <c r="P344" s="175"/>
      <c r="Q344" s="175"/>
      <c r="R344" s="175"/>
      <c r="S344" s="217"/>
    </row>
    <row r="345" spans="1:19">
      <c r="A345" s="218">
        <v>35</v>
      </c>
      <c r="B345" s="245" t="str">
        <f t="shared" si="31"/>
        <v>Saturday May 2, 2026</v>
      </c>
      <c r="C345" s="218" t="s">
        <v>21</v>
      </c>
      <c r="D345" s="179">
        <v>83200</v>
      </c>
      <c r="E345" s="187">
        <v>3</v>
      </c>
      <c r="F345" s="177" t="s">
        <v>7</v>
      </c>
      <c r="G345" s="219"/>
      <c r="H345" s="235">
        <v>0.41666666666666669</v>
      </c>
      <c r="I345" s="218"/>
      <c r="J345" s="179" t="s">
        <v>14</v>
      </c>
      <c r="K345" s="187">
        <v>4</v>
      </c>
      <c r="L345" s="177">
        <v>79238.095238095237</v>
      </c>
      <c r="M345" s="219" t="s">
        <v>27</v>
      </c>
      <c r="N345" s="218"/>
      <c r="O345" s="178"/>
      <c r="P345" s="178"/>
      <c r="Q345" s="178"/>
      <c r="R345" s="178"/>
      <c r="S345" s="219"/>
    </row>
    <row r="346" spans="1:19">
      <c r="A346" s="216">
        <v>35</v>
      </c>
      <c r="B346" s="245" t="str">
        <f t="shared" si="31"/>
        <v>Saturday May 2, 2026</v>
      </c>
      <c r="C346" s="216" t="s">
        <v>18</v>
      </c>
      <c r="D346" s="176">
        <v>99400</v>
      </c>
      <c r="E346" s="186">
        <v>1</v>
      </c>
      <c r="F346" s="174" t="s">
        <v>3</v>
      </c>
      <c r="G346" s="217"/>
      <c r="H346" s="234">
        <v>0.41666666666666669</v>
      </c>
      <c r="I346" s="216"/>
      <c r="J346" s="176" t="s">
        <v>15</v>
      </c>
      <c r="K346" s="186">
        <v>5</v>
      </c>
      <c r="L346" s="174">
        <v>81142.857142857145</v>
      </c>
      <c r="M346" s="217" t="s">
        <v>52</v>
      </c>
      <c r="N346" s="216"/>
      <c r="O346" s="175"/>
      <c r="P346" s="175"/>
      <c r="Q346" s="175"/>
      <c r="R346" s="175"/>
      <c r="S346" s="217"/>
    </row>
    <row r="347" spans="1:19">
      <c r="A347" s="218">
        <v>35</v>
      </c>
      <c r="B347" s="245" t="str">
        <f t="shared" si="31"/>
        <v>Saturday May 2, 2026</v>
      </c>
      <c r="C347" s="218" t="s">
        <v>24</v>
      </c>
      <c r="D347" s="179">
        <v>83200</v>
      </c>
      <c r="E347" s="187">
        <v>4</v>
      </c>
      <c r="F347" s="177" t="s">
        <v>10</v>
      </c>
      <c r="G347" s="219"/>
      <c r="H347" s="235">
        <v>0.41666666666666669</v>
      </c>
      <c r="I347" s="218"/>
      <c r="J347" s="179" t="s">
        <v>1</v>
      </c>
      <c r="K347" s="187">
        <v>2</v>
      </c>
      <c r="L347" s="177">
        <v>95142.857142857145</v>
      </c>
      <c r="M347" s="219" t="s">
        <v>29</v>
      </c>
      <c r="N347" s="218"/>
      <c r="O347" s="178"/>
      <c r="P347" s="178"/>
      <c r="Q347" s="178"/>
      <c r="R347" s="178"/>
      <c r="S347" s="219"/>
    </row>
    <row r="348" spans="1:19">
      <c r="A348" s="216">
        <v>35</v>
      </c>
      <c r="B348" s="245" t="str">
        <f t="shared" si="31"/>
        <v>Saturday May 2, 2026</v>
      </c>
      <c r="C348" s="216" t="s">
        <v>633</v>
      </c>
      <c r="D348" s="176">
        <v>70200</v>
      </c>
      <c r="E348" s="186">
        <v>3</v>
      </c>
      <c r="F348" s="174" t="s">
        <v>1221</v>
      </c>
      <c r="G348" s="217"/>
      <c r="H348" s="234">
        <v>0.41666666666666669</v>
      </c>
      <c r="I348" s="216"/>
      <c r="J348" s="176" t="s">
        <v>8</v>
      </c>
      <c r="K348" s="186">
        <v>4</v>
      </c>
      <c r="L348" s="174">
        <v>66857.142857142855</v>
      </c>
      <c r="M348" s="217" t="s">
        <v>22</v>
      </c>
      <c r="N348" s="216"/>
      <c r="O348" s="175"/>
      <c r="P348" s="175"/>
      <c r="Q348" s="175"/>
      <c r="R348" s="175"/>
      <c r="S348" s="217"/>
    </row>
    <row r="349" spans="1:19">
      <c r="A349" s="218">
        <v>35</v>
      </c>
      <c r="B349" s="245" t="str">
        <f t="shared" si="31"/>
        <v>Saturday May 2, 2026</v>
      </c>
      <c r="C349" s="218" t="s">
        <v>30</v>
      </c>
      <c r="D349" s="179">
        <v>97400</v>
      </c>
      <c r="E349" s="187">
        <v>3</v>
      </c>
      <c r="F349" s="177" t="s">
        <v>2</v>
      </c>
      <c r="G349" s="219"/>
      <c r="H349" s="235">
        <v>0.41666666666666669</v>
      </c>
      <c r="I349" s="218"/>
      <c r="J349" s="179" t="s">
        <v>0</v>
      </c>
      <c r="K349" s="187">
        <v>3</v>
      </c>
      <c r="L349" s="177">
        <v>95238.095238095237</v>
      </c>
      <c r="M349" s="219" t="s">
        <v>17</v>
      </c>
      <c r="N349" s="218"/>
      <c r="O349" s="178"/>
      <c r="P349" s="178"/>
      <c r="Q349" s="178"/>
      <c r="R349" s="178"/>
      <c r="S349" s="219"/>
    </row>
    <row r="350" spans="1:19">
      <c r="A350" s="216">
        <v>35</v>
      </c>
      <c r="B350" s="245" t="str">
        <f t="shared" si="31"/>
        <v>Saturday May 2, 2026</v>
      </c>
      <c r="C350" s="216" t="s">
        <v>25</v>
      </c>
      <c r="D350" s="176">
        <v>95200</v>
      </c>
      <c r="E350" s="186">
        <v>2</v>
      </c>
      <c r="F350" s="174" t="s">
        <v>11</v>
      </c>
      <c r="G350" s="217"/>
      <c r="H350" s="234">
        <v>0.41666666666666669</v>
      </c>
      <c r="I350" s="216"/>
      <c r="J350" s="176" t="s">
        <v>13</v>
      </c>
      <c r="K350" s="186">
        <v>5</v>
      </c>
      <c r="L350" s="174">
        <v>81142.857142857145</v>
      </c>
      <c r="M350" s="217" t="s">
        <v>33</v>
      </c>
      <c r="N350" s="216"/>
      <c r="O350" s="175"/>
      <c r="P350" s="175"/>
      <c r="Q350" s="175"/>
      <c r="R350" s="175"/>
      <c r="S350" s="217"/>
    </row>
    <row r="351" spans="1:19">
      <c r="A351" s="218">
        <v>35</v>
      </c>
      <c r="B351" s="245" t="str">
        <f t="shared" si="31"/>
        <v>Saturday May 2, 2026</v>
      </c>
      <c r="C351" s="218" t="s">
        <v>51</v>
      </c>
      <c r="D351" s="179">
        <v>75200</v>
      </c>
      <c r="E351" s="187">
        <v>2</v>
      </c>
      <c r="F351" s="177" t="s">
        <v>5</v>
      </c>
      <c r="G351" s="219"/>
      <c r="H351" s="235">
        <v>0.41666666666666669</v>
      </c>
      <c r="I351" s="218"/>
      <c r="J351" s="179" t="s">
        <v>1220</v>
      </c>
      <c r="K351" s="187">
        <v>4</v>
      </c>
      <c r="L351" s="177">
        <v>66857.142857142855</v>
      </c>
      <c r="M351" s="219" t="s">
        <v>634</v>
      </c>
      <c r="N351" s="218"/>
      <c r="O351" s="178"/>
      <c r="P351" s="178"/>
      <c r="Q351" s="178"/>
      <c r="R351" s="178"/>
      <c r="S351" s="219"/>
    </row>
    <row r="352" spans="1:19">
      <c r="A352" s="220">
        <v>36</v>
      </c>
      <c r="B352" s="246" t="s">
        <v>1268</v>
      </c>
      <c r="C352" s="220" t="s">
        <v>33</v>
      </c>
      <c r="D352" s="182">
        <v>85200</v>
      </c>
      <c r="E352" s="186">
        <v>1</v>
      </c>
      <c r="F352" s="180" t="s">
        <v>13</v>
      </c>
      <c r="G352" s="221"/>
      <c r="H352" s="236">
        <v>0.41666666666666669</v>
      </c>
      <c r="I352" s="220"/>
      <c r="J352" s="182" t="s">
        <v>5</v>
      </c>
      <c r="K352" s="186">
        <v>5</v>
      </c>
      <c r="L352" s="180">
        <v>71619.047619047618</v>
      </c>
      <c r="M352" s="221" t="s">
        <v>51</v>
      </c>
      <c r="N352" s="220"/>
      <c r="O352" s="181"/>
      <c r="P352" s="181"/>
      <c r="Q352" s="181"/>
      <c r="R352" s="181"/>
      <c r="S352" s="221"/>
    </row>
    <row r="353" spans="1:19">
      <c r="A353" s="222">
        <v>36</v>
      </c>
      <c r="B353" s="246" t="str">
        <f t="shared" ref="B353:B361" si="32">B352</f>
        <v>Saturday May 9, 2026</v>
      </c>
      <c r="C353" s="222" t="s">
        <v>22</v>
      </c>
      <c r="D353" s="185">
        <v>70200</v>
      </c>
      <c r="E353" s="187">
        <v>5</v>
      </c>
      <c r="F353" s="183" t="s">
        <v>8</v>
      </c>
      <c r="G353" s="223"/>
      <c r="H353" s="237">
        <v>0.41666666666666669</v>
      </c>
      <c r="I353" s="222"/>
      <c r="J353" s="185" t="s">
        <v>16</v>
      </c>
      <c r="K353" s="187">
        <v>1</v>
      </c>
      <c r="L353" s="183">
        <v>89142.857142857145</v>
      </c>
      <c r="M353" s="223" t="s">
        <v>28</v>
      </c>
      <c r="N353" s="222"/>
      <c r="O353" s="184"/>
      <c r="P353" s="184"/>
      <c r="Q353" s="184"/>
      <c r="R353" s="184"/>
      <c r="S353" s="223"/>
    </row>
    <row r="354" spans="1:19">
      <c r="A354" s="220">
        <v>36</v>
      </c>
      <c r="B354" s="246" t="str">
        <f t="shared" si="32"/>
        <v>Saturday May 9, 2026</v>
      </c>
      <c r="C354" s="220" t="s">
        <v>26</v>
      </c>
      <c r="D354" s="182">
        <v>83200</v>
      </c>
      <c r="E354" s="186">
        <v>3</v>
      </c>
      <c r="F354" s="180" t="s">
        <v>12</v>
      </c>
      <c r="G354" s="221"/>
      <c r="H354" s="236">
        <v>0.41666666666666669</v>
      </c>
      <c r="I354" s="220"/>
      <c r="J354" s="182" t="s">
        <v>10</v>
      </c>
      <c r="K354" s="186">
        <v>4</v>
      </c>
      <c r="L354" s="180">
        <v>79238.095238095237</v>
      </c>
      <c r="M354" s="221" t="s">
        <v>24</v>
      </c>
      <c r="N354" s="220"/>
      <c r="O354" s="181"/>
      <c r="P354" s="181"/>
      <c r="Q354" s="181"/>
      <c r="R354" s="181"/>
      <c r="S354" s="221"/>
    </row>
    <row r="355" spans="1:19">
      <c r="A355" s="222">
        <v>36</v>
      </c>
      <c r="B355" s="246" t="str">
        <f t="shared" si="32"/>
        <v>Saturday May 9, 2026</v>
      </c>
      <c r="C355" s="222" t="s">
        <v>23</v>
      </c>
      <c r="D355" s="185">
        <v>85200</v>
      </c>
      <c r="E355" s="187">
        <v>3</v>
      </c>
      <c r="F355" s="183" t="s">
        <v>9</v>
      </c>
      <c r="G355" s="223"/>
      <c r="H355" s="237">
        <v>0.41666666666666669</v>
      </c>
      <c r="I355" s="222"/>
      <c r="J355" s="185" t="s">
        <v>32</v>
      </c>
      <c r="K355" s="187">
        <v>4</v>
      </c>
      <c r="L355" s="183">
        <v>81142.857142857145</v>
      </c>
      <c r="M355" s="223" t="s">
        <v>43</v>
      </c>
      <c r="N355" s="222"/>
      <c r="O355" s="184"/>
      <c r="P355" s="184"/>
      <c r="Q355" s="184"/>
      <c r="R355" s="184"/>
      <c r="S355" s="223"/>
    </row>
    <row r="356" spans="1:19">
      <c r="A356" s="220">
        <v>36</v>
      </c>
      <c r="B356" s="246" t="str">
        <f t="shared" si="32"/>
        <v>Saturday May 9, 2026</v>
      </c>
      <c r="C356" s="220" t="s">
        <v>17</v>
      </c>
      <c r="D356" s="182">
        <v>100000</v>
      </c>
      <c r="E356" s="186">
        <v>2</v>
      </c>
      <c r="F356" s="180" t="s">
        <v>0</v>
      </c>
      <c r="G356" s="221"/>
      <c r="H356" s="236">
        <v>0.41666666666666669</v>
      </c>
      <c r="I356" s="220"/>
      <c r="J356" s="182" t="s">
        <v>3</v>
      </c>
      <c r="K356" s="186">
        <v>4</v>
      </c>
      <c r="L356" s="180">
        <v>94666.666666666657</v>
      </c>
      <c r="M356" s="221" t="s">
        <v>18</v>
      </c>
      <c r="N356" s="220"/>
      <c r="O356" s="181"/>
      <c r="P356" s="181"/>
      <c r="Q356" s="181"/>
      <c r="R356" s="181"/>
      <c r="S356" s="221"/>
    </row>
    <row r="357" spans="1:19">
      <c r="A357" s="222">
        <v>36</v>
      </c>
      <c r="B357" s="246" t="str">
        <f t="shared" si="32"/>
        <v>Saturday May 9, 2026</v>
      </c>
      <c r="C357" s="222" t="s">
        <v>29</v>
      </c>
      <c r="D357" s="185">
        <v>99900</v>
      </c>
      <c r="E357" s="187">
        <v>1</v>
      </c>
      <c r="F357" s="183" t="s">
        <v>1</v>
      </c>
      <c r="G357" s="223"/>
      <c r="H357" s="237">
        <v>0.41666666666666669</v>
      </c>
      <c r="I357" s="222"/>
      <c r="J357" s="185" t="s">
        <v>7</v>
      </c>
      <c r="K357" s="187">
        <v>5</v>
      </c>
      <c r="L357" s="183">
        <v>79238.095238095237</v>
      </c>
      <c r="M357" s="223" t="s">
        <v>21</v>
      </c>
      <c r="N357" s="222"/>
      <c r="O357" s="184"/>
      <c r="P357" s="184"/>
      <c r="Q357" s="184"/>
      <c r="R357" s="184"/>
      <c r="S357" s="223"/>
    </row>
    <row r="358" spans="1:19">
      <c r="A358" s="220">
        <v>36</v>
      </c>
      <c r="B358" s="246" t="str">
        <f t="shared" si="32"/>
        <v>Saturday May 9, 2026</v>
      </c>
      <c r="C358" s="220" t="s">
        <v>52</v>
      </c>
      <c r="D358" s="182">
        <v>85200</v>
      </c>
      <c r="E358" s="186">
        <v>4</v>
      </c>
      <c r="F358" s="180" t="s">
        <v>15</v>
      </c>
      <c r="G358" s="221"/>
      <c r="H358" s="236">
        <v>0.41666666666666669</v>
      </c>
      <c r="I358" s="220"/>
      <c r="J358" s="182" t="s">
        <v>11</v>
      </c>
      <c r="K358" s="186">
        <v>2</v>
      </c>
      <c r="L358" s="180">
        <v>90666.666666666657</v>
      </c>
      <c r="M358" s="221" t="s">
        <v>25</v>
      </c>
      <c r="N358" s="220"/>
      <c r="O358" s="181"/>
      <c r="P358" s="181"/>
      <c r="Q358" s="181"/>
      <c r="R358" s="181"/>
      <c r="S358" s="221"/>
    </row>
    <row r="359" spans="1:19">
      <c r="A359" s="222">
        <v>36</v>
      </c>
      <c r="B359" s="246" t="str">
        <f t="shared" si="32"/>
        <v>Saturday May 9, 2026</v>
      </c>
      <c r="C359" s="222" t="s">
        <v>634</v>
      </c>
      <c r="D359" s="185">
        <v>70200</v>
      </c>
      <c r="E359" s="187">
        <v>5</v>
      </c>
      <c r="F359" s="183" t="s">
        <v>1220</v>
      </c>
      <c r="G359" s="223"/>
      <c r="H359" s="237">
        <v>0.41666666666666669</v>
      </c>
      <c r="I359" s="222"/>
      <c r="J359" s="185" t="s">
        <v>2</v>
      </c>
      <c r="K359" s="187">
        <v>1</v>
      </c>
      <c r="L359" s="183">
        <v>92761.904761904763</v>
      </c>
      <c r="M359" s="223" t="s">
        <v>30</v>
      </c>
      <c r="N359" s="222"/>
      <c r="O359" s="184"/>
      <c r="P359" s="184"/>
      <c r="Q359" s="184"/>
      <c r="R359" s="184"/>
      <c r="S359" s="223"/>
    </row>
    <row r="360" spans="1:19">
      <c r="A360" s="220">
        <v>36</v>
      </c>
      <c r="B360" s="246" t="str">
        <f t="shared" si="32"/>
        <v>Saturday May 9, 2026</v>
      </c>
      <c r="C360" s="220" t="s">
        <v>19</v>
      </c>
      <c r="D360" s="182">
        <v>97400</v>
      </c>
      <c r="E360" s="186">
        <v>1</v>
      </c>
      <c r="F360" s="180" t="s">
        <v>4</v>
      </c>
      <c r="G360" s="221"/>
      <c r="H360" s="236">
        <v>0.41666666666666669</v>
      </c>
      <c r="I360" s="220"/>
      <c r="J360" s="182" t="s">
        <v>1221</v>
      </c>
      <c r="K360" s="186">
        <v>5</v>
      </c>
      <c r="L360" s="180">
        <v>66857.142857142855</v>
      </c>
      <c r="M360" s="221" t="s">
        <v>633</v>
      </c>
      <c r="N360" s="220"/>
      <c r="O360" s="181"/>
      <c r="P360" s="181"/>
      <c r="Q360" s="181"/>
      <c r="R360" s="181"/>
      <c r="S360" s="221"/>
    </row>
    <row r="361" spans="1:19">
      <c r="A361" s="222">
        <v>36</v>
      </c>
      <c r="B361" s="246" t="str">
        <f t="shared" si="32"/>
        <v>Saturday May 9, 2026</v>
      </c>
      <c r="C361" s="222" t="s">
        <v>27</v>
      </c>
      <c r="D361" s="185">
        <v>83200</v>
      </c>
      <c r="E361" s="187">
        <v>4</v>
      </c>
      <c r="F361" s="183" t="s">
        <v>14</v>
      </c>
      <c r="G361" s="223"/>
      <c r="H361" s="237">
        <v>0.41666666666666669</v>
      </c>
      <c r="I361" s="222"/>
      <c r="J361" s="185" t="s">
        <v>6</v>
      </c>
      <c r="K361" s="187">
        <v>2</v>
      </c>
      <c r="L361" s="183">
        <v>95200</v>
      </c>
      <c r="M361" s="223" t="s">
        <v>20</v>
      </c>
      <c r="N361" s="222"/>
      <c r="O361" s="184"/>
      <c r="P361" s="184"/>
      <c r="Q361" s="184"/>
      <c r="R361" s="184"/>
      <c r="S361" s="223"/>
    </row>
    <row r="362" spans="1:19">
      <c r="A362" s="210">
        <v>37</v>
      </c>
      <c r="B362" s="247" t="s">
        <v>1269</v>
      </c>
      <c r="C362" s="210" t="s">
        <v>43</v>
      </c>
      <c r="D362" s="154">
        <v>85200</v>
      </c>
      <c r="E362" s="186">
        <v>4</v>
      </c>
      <c r="F362" s="167" t="s">
        <v>32</v>
      </c>
      <c r="G362" s="211"/>
      <c r="H362" s="231">
        <v>0.41666666666666669</v>
      </c>
      <c r="I362" s="210"/>
      <c r="J362" s="154" t="s">
        <v>1</v>
      </c>
      <c r="K362" s="186">
        <v>2</v>
      </c>
      <c r="L362" s="167">
        <v>95142.857142857145</v>
      </c>
      <c r="M362" s="211" t="s">
        <v>29</v>
      </c>
      <c r="N362" s="210"/>
      <c r="O362" s="129"/>
      <c r="P362" s="129"/>
      <c r="Q362" s="129"/>
      <c r="R362" s="129"/>
      <c r="S362" s="211"/>
    </row>
    <row r="363" spans="1:19">
      <c r="A363" s="208">
        <v>37</v>
      </c>
      <c r="B363" s="247" t="str">
        <f t="shared" ref="B363:B371" si="33">B362</f>
        <v>Sunday May 17, 2026</v>
      </c>
      <c r="C363" s="208" t="s">
        <v>20</v>
      </c>
      <c r="D363" s="166">
        <v>99960</v>
      </c>
      <c r="E363" s="187">
        <v>1</v>
      </c>
      <c r="F363" s="165" t="s">
        <v>6</v>
      </c>
      <c r="G363" s="209"/>
      <c r="H363" s="230">
        <v>0.41666666666666669</v>
      </c>
      <c r="I363" s="208"/>
      <c r="J363" s="166" t="s">
        <v>8</v>
      </c>
      <c r="K363" s="187">
        <v>5</v>
      </c>
      <c r="L363" s="165">
        <v>66857.142857142855</v>
      </c>
      <c r="M363" s="209" t="s">
        <v>22</v>
      </c>
      <c r="N363" s="208"/>
      <c r="O363" s="130"/>
      <c r="P363" s="130"/>
      <c r="Q363" s="130"/>
      <c r="R363" s="130"/>
      <c r="S363" s="209"/>
    </row>
    <row r="364" spans="1:19">
      <c r="A364" s="210">
        <v>37</v>
      </c>
      <c r="B364" s="247" t="str">
        <f t="shared" si="33"/>
        <v>Sunday May 17, 2026</v>
      </c>
      <c r="C364" s="210" t="s">
        <v>28</v>
      </c>
      <c r="D364" s="154">
        <v>93600</v>
      </c>
      <c r="E364" s="186">
        <v>3</v>
      </c>
      <c r="F364" s="167" t="s">
        <v>16</v>
      </c>
      <c r="G364" s="211"/>
      <c r="H364" s="231">
        <v>0.41666666666666669</v>
      </c>
      <c r="I364" s="210"/>
      <c r="J364" s="154" t="s">
        <v>0</v>
      </c>
      <c r="K364" s="186">
        <v>3</v>
      </c>
      <c r="L364" s="167">
        <v>95238.095238095237</v>
      </c>
      <c r="M364" s="211" t="s">
        <v>17</v>
      </c>
      <c r="N364" s="210"/>
      <c r="O364" s="129"/>
      <c r="P364" s="129"/>
      <c r="Q364" s="129"/>
      <c r="R364" s="129"/>
      <c r="S364" s="211"/>
    </row>
    <row r="365" spans="1:19">
      <c r="A365" s="208">
        <v>37</v>
      </c>
      <c r="B365" s="247" t="str">
        <f t="shared" si="33"/>
        <v>Sunday May 17, 2026</v>
      </c>
      <c r="C365" s="208" t="s">
        <v>21</v>
      </c>
      <c r="D365" s="166">
        <v>83200</v>
      </c>
      <c r="E365" s="187">
        <v>3</v>
      </c>
      <c r="F365" s="165" t="s">
        <v>7</v>
      </c>
      <c r="G365" s="209"/>
      <c r="H365" s="230">
        <v>0.41666666666666669</v>
      </c>
      <c r="I365" s="208"/>
      <c r="J365" s="166" t="s">
        <v>12</v>
      </c>
      <c r="K365" s="187">
        <v>4</v>
      </c>
      <c r="L365" s="165">
        <v>79238.095238095237</v>
      </c>
      <c r="M365" s="209" t="s">
        <v>26</v>
      </c>
      <c r="N365" s="208"/>
      <c r="O365" s="130"/>
      <c r="P365" s="130"/>
      <c r="Q365" s="130"/>
      <c r="R365" s="130"/>
      <c r="S365" s="209"/>
    </row>
    <row r="366" spans="1:19">
      <c r="A366" s="210">
        <v>37</v>
      </c>
      <c r="B366" s="247" t="str">
        <f t="shared" si="33"/>
        <v>Sunday May 17, 2026</v>
      </c>
      <c r="C366" s="210" t="s">
        <v>18</v>
      </c>
      <c r="D366" s="154">
        <v>99400</v>
      </c>
      <c r="E366" s="186">
        <v>2</v>
      </c>
      <c r="F366" s="167" t="s">
        <v>3</v>
      </c>
      <c r="G366" s="211"/>
      <c r="H366" s="231">
        <v>0.41666666666666669</v>
      </c>
      <c r="I366" s="210"/>
      <c r="J366" s="154" t="s">
        <v>4</v>
      </c>
      <c r="K366" s="186">
        <v>4</v>
      </c>
      <c r="L366" s="167">
        <v>92761.904761904763</v>
      </c>
      <c r="M366" s="211" t="s">
        <v>19</v>
      </c>
      <c r="N366" s="210"/>
      <c r="O366" s="129"/>
      <c r="P366" s="129"/>
      <c r="Q366" s="129"/>
      <c r="R366" s="129"/>
      <c r="S366" s="211"/>
    </row>
    <row r="367" spans="1:19">
      <c r="A367" s="208">
        <v>37</v>
      </c>
      <c r="B367" s="247" t="str">
        <f t="shared" si="33"/>
        <v>Sunday May 17, 2026</v>
      </c>
      <c r="C367" s="208" t="s">
        <v>24</v>
      </c>
      <c r="D367" s="166">
        <v>83200</v>
      </c>
      <c r="E367" s="187">
        <v>1</v>
      </c>
      <c r="F367" s="165" t="s">
        <v>10</v>
      </c>
      <c r="G367" s="209"/>
      <c r="H367" s="230">
        <v>0.41666666666666669</v>
      </c>
      <c r="I367" s="208"/>
      <c r="J367" s="166" t="s">
        <v>1220</v>
      </c>
      <c r="K367" s="187">
        <v>5</v>
      </c>
      <c r="L367" s="165">
        <v>66857.142857142855</v>
      </c>
      <c r="M367" s="209" t="s">
        <v>634</v>
      </c>
      <c r="N367" s="208"/>
      <c r="O367" s="130"/>
      <c r="P367" s="130"/>
      <c r="Q367" s="130"/>
      <c r="R367" s="130"/>
      <c r="S367" s="209"/>
    </row>
    <row r="368" spans="1:19">
      <c r="A368" s="210">
        <v>37</v>
      </c>
      <c r="B368" s="247" t="str">
        <f t="shared" si="33"/>
        <v>Sunday May 17, 2026</v>
      </c>
      <c r="C368" s="210" t="s">
        <v>633</v>
      </c>
      <c r="D368" s="154">
        <v>70200</v>
      </c>
      <c r="E368" s="186">
        <v>5</v>
      </c>
      <c r="F368" s="167" t="s">
        <v>1221</v>
      </c>
      <c r="G368" s="211"/>
      <c r="H368" s="231">
        <v>0.41666666666666669</v>
      </c>
      <c r="I368" s="210"/>
      <c r="J368" s="154" t="s">
        <v>13</v>
      </c>
      <c r="K368" s="186">
        <v>2</v>
      </c>
      <c r="L368" s="167">
        <v>81142.857142857145</v>
      </c>
      <c r="M368" s="211" t="s">
        <v>33</v>
      </c>
      <c r="N368" s="210"/>
      <c r="O368" s="129"/>
      <c r="P368" s="129"/>
      <c r="Q368" s="129"/>
      <c r="R368" s="129"/>
      <c r="S368" s="211"/>
    </row>
    <row r="369" spans="1:19">
      <c r="A369" s="208">
        <v>37</v>
      </c>
      <c r="B369" s="247" t="str">
        <f t="shared" si="33"/>
        <v>Sunday May 17, 2026</v>
      </c>
      <c r="C369" s="208" t="s">
        <v>30</v>
      </c>
      <c r="D369" s="166">
        <v>97400</v>
      </c>
      <c r="E369" s="187">
        <v>1</v>
      </c>
      <c r="F369" s="165" t="s">
        <v>2</v>
      </c>
      <c r="G369" s="209"/>
      <c r="H369" s="230">
        <v>0.41666666666666669</v>
      </c>
      <c r="I369" s="208"/>
      <c r="J369" s="166" t="s">
        <v>15</v>
      </c>
      <c r="K369" s="187">
        <v>5</v>
      </c>
      <c r="L369" s="165">
        <v>81142.857142857145</v>
      </c>
      <c r="M369" s="209" t="s">
        <v>52</v>
      </c>
      <c r="N369" s="208"/>
      <c r="O369" s="130"/>
      <c r="P369" s="130"/>
      <c r="Q369" s="130"/>
      <c r="R369" s="130"/>
      <c r="S369" s="209"/>
    </row>
    <row r="370" spans="1:19">
      <c r="A370" s="210">
        <v>37</v>
      </c>
      <c r="B370" s="247" t="str">
        <f t="shared" si="33"/>
        <v>Sunday May 17, 2026</v>
      </c>
      <c r="C370" s="210" t="s">
        <v>25</v>
      </c>
      <c r="D370" s="154">
        <v>95200</v>
      </c>
      <c r="E370" s="186">
        <v>1</v>
      </c>
      <c r="F370" s="167" t="s">
        <v>11</v>
      </c>
      <c r="G370" s="211"/>
      <c r="H370" s="231">
        <v>0.41666666666666669</v>
      </c>
      <c r="I370" s="210"/>
      <c r="J370" s="154" t="s">
        <v>14</v>
      </c>
      <c r="K370" s="186">
        <v>5</v>
      </c>
      <c r="L370" s="167">
        <v>79238.095238095237</v>
      </c>
      <c r="M370" s="211" t="s">
        <v>27</v>
      </c>
      <c r="N370" s="210"/>
      <c r="O370" s="129"/>
      <c r="P370" s="129"/>
      <c r="Q370" s="129"/>
      <c r="R370" s="129"/>
      <c r="S370" s="211"/>
    </row>
    <row r="371" spans="1:19">
      <c r="A371" s="208">
        <v>37</v>
      </c>
      <c r="B371" s="247" t="str">
        <f t="shared" si="33"/>
        <v>Sunday May 17, 2026</v>
      </c>
      <c r="C371" s="208" t="s">
        <v>51</v>
      </c>
      <c r="D371" s="166">
        <v>75200</v>
      </c>
      <c r="E371" s="187">
        <v>4</v>
      </c>
      <c r="F371" s="165" t="s">
        <v>5</v>
      </c>
      <c r="G371" s="209"/>
      <c r="H371" s="230">
        <v>0.41666666666666669</v>
      </c>
      <c r="I371" s="208"/>
      <c r="J371" s="166" t="s">
        <v>9</v>
      </c>
      <c r="K371" s="187">
        <v>2</v>
      </c>
      <c r="L371" s="165">
        <v>81142.857142857145</v>
      </c>
      <c r="M371" s="209" t="s">
        <v>23</v>
      </c>
      <c r="N371" s="208"/>
      <c r="O371" s="130"/>
      <c r="P371" s="130"/>
      <c r="Q371" s="130"/>
      <c r="R371" s="130"/>
      <c r="S371" s="209"/>
    </row>
    <row r="372" spans="1:19">
      <c r="A372" s="212">
        <v>38</v>
      </c>
      <c r="B372" s="244" t="s">
        <v>1270</v>
      </c>
      <c r="C372" s="212" t="s">
        <v>33</v>
      </c>
      <c r="D372" s="170">
        <v>85200</v>
      </c>
      <c r="E372" s="186">
        <v>4</v>
      </c>
      <c r="F372" s="168" t="s">
        <v>13</v>
      </c>
      <c r="G372" s="213"/>
      <c r="H372" s="232">
        <v>0.45833333333333331</v>
      </c>
      <c r="I372" s="212"/>
      <c r="J372" s="170" t="s">
        <v>2</v>
      </c>
      <c r="K372" s="186">
        <v>2</v>
      </c>
      <c r="L372" s="168">
        <v>92761.904761904763</v>
      </c>
      <c r="M372" s="213" t="s">
        <v>30</v>
      </c>
      <c r="N372" s="212"/>
      <c r="O372" s="169"/>
      <c r="P372" s="169"/>
      <c r="Q372" s="169"/>
      <c r="R372" s="169"/>
      <c r="S372" s="213"/>
    </row>
    <row r="373" spans="1:19">
      <c r="A373" s="214">
        <v>38</v>
      </c>
      <c r="B373" s="244" t="str">
        <f t="shared" ref="B373:B381" si="34">B372</f>
        <v>Sunday May 24, 2026</v>
      </c>
      <c r="C373" s="214" t="s">
        <v>22</v>
      </c>
      <c r="D373" s="173">
        <v>70200</v>
      </c>
      <c r="E373" s="187">
        <v>3</v>
      </c>
      <c r="F373" s="171" t="s">
        <v>8</v>
      </c>
      <c r="G373" s="215"/>
      <c r="H373" s="233">
        <v>0.45833333333333331</v>
      </c>
      <c r="I373" s="214"/>
      <c r="J373" s="173" t="s">
        <v>5</v>
      </c>
      <c r="K373" s="187">
        <v>3</v>
      </c>
      <c r="L373" s="171">
        <v>71619.047619047618</v>
      </c>
      <c r="M373" s="215" t="s">
        <v>51</v>
      </c>
      <c r="N373" s="214"/>
      <c r="O373" s="172"/>
      <c r="P373" s="172"/>
      <c r="Q373" s="172"/>
      <c r="R373" s="172"/>
      <c r="S373" s="215"/>
    </row>
    <row r="374" spans="1:19">
      <c r="A374" s="212">
        <v>38</v>
      </c>
      <c r="B374" s="244" t="str">
        <f t="shared" si="34"/>
        <v>Sunday May 24, 2026</v>
      </c>
      <c r="C374" s="212" t="s">
        <v>26</v>
      </c>
      <c r="D374" s="170">
        <v>83200</v>
      </c>
      <c r="E374" s="186">
        <v>4</v>
      </c>
      <c r="F374" s="168" t="s">
        <v>12</v>
      </c>
      <c r="G374" s="213"/>
      <c r="H374" s="232">
        <v>0.45833333333333331</v>
      </c>
      <c r="I374" s="212"/>
      <c r="J374" s="170" t="s">
        <v>6</v>
      </c>
      <c r="K374" s="186">
        <v>2</v>
      </c>
      <c r="L374" s="168">
        <v>95200</v>
      </c>
      <c r="M374" s="213" t="s">
        <v>20</v>
      </c>
      <c r="N374" s="212"/>
      <c r="O374" s="169"/>
      <c r="P374" s="169"/>
      <c r="Q374" s="169"/>
      <c r="R374" s="169"/>
      <c r="S374" s="213"/>
    </row>
    <row r="375" spans="1:19">
      <c r="A375" s="214">
        <v>38</v>
      </c>
      <c r="B375" s="244" t="str">
        <f t="shared" si="34"/>
        <v>Sunday May 24, 2026</v>
      </c>
      <c r="C375" s="214" t="s">
        <v>23</v>
      </c>
      <c r="D375" s="173">
        <v>85200</v>
      </c>
      <c r="E375" s="187">
        <v>4</v>
      </c>
      <c r="F375" s="171" t="s">
        <v>9</v>
      </c>
      <c r="G375" s="215"/>
      <c r="H375" s="233">
        <v>0.45833333333333331</v>
      </c>
      <c r="I375" s="214"/>
      <c r="J375" s="173" t="s">
        <v>11</v>
      </c>
      <c r="K375" s="187">
        <v>2</v>
      </c>
      <c r="L375" s="171">
        <v>90666.666666666657</v>
      </c>
      <c r="M375" s="215" t="s">
        <v>25</v>
      </c>
      <c r="N375" s="214"/>
      <c r="O375" s="172"/>
      <c r="P375" s="172"/>
      <c r="Q375" s="172"/>
      <c r="R375" s="172"/>
      <c r="S375" s="215"/>
    </row>
    <row r="376" spans="1:19">
      <c r="A376" s="212">
        <v>38</v>
      </c>
      <c r="B376" s="244" t="str">
        <f t="shared" si="34"/>
        <v>Sunday May 24, 2026</v>
      </c>
      <c r="C376" s="212" t="s">
        <v>17</v>
      </c>
      <c r="D376" s="170">
        <v>100000</v>
      </c>
      <c r="E376" s="186">
        <v>1</v>
      </c>
      <c r="F376" s="168" t="s">
        <v>0</v>
      </c>
      <c r="G376" s="213"/>
      <c r="H376" s="232">
        <v>0.45833333333333331</v>
      </c>
      <c r="I376" s="212"/>
      <c r="J376" s="170" t="s">
        <v>7</v>
      </c>
      <c r="K376" s="186">
        <v>5</v>
      </c>
      <c r="L376" s="168">
        <v>79238.095238095237</v>
      </c>
      <c r="M376" s="213" t="s">
        <v>21</v>
      </c>
      <c r="N376" s="212"/>
      <c r="O376" s="169"/>
      <c r="P376" s="169"/>
      <c r="Q376" s="169"/>
      <c r="R376" s="169"/>
      <c r="S376" s="213"/>
    </row>
    <row r="377" spans="1:19">
      <c r="A377" s="214">
        <v>38</v>
      </c>
      <c r="B377" s="244" t="str">
        <f t="shared" si="34"/>
        <v>Sunday May 24, 2026</v>
      </c>
      <c r="C377" s="214" t="s">
        <v>29</v>
      </c>
      <c r="D377" s="173">
        <v>99900</v>
      </c>
      <c r="E377" s="187">
        <v>2</v>
      </c>
      <c r="F377" s="171" t="s">
        <v>1</v>
      </c>
      <c r="G377" s="215"/>
      <c r="H377" s="233">
        <v>0.45833333333333331</v>
      </c>
      <c r="I377" s="214"/>
      <c r="J377" s="173" t="s">
        <v>16</v>
      </c>
      <c r="K377" s="187">
        <v>4</v>
      </c>
      <c r="L377" s="171">
        <v>89142.857142857145</v>
      </c>
      <c r="M377" s="215" t="s">
        <v>28</v>
      </c>
      <c r="N377" s="214"/>
      <c r="O377" s="172"/>
      <c r="P377" s="172"/>
      <c r="Q377" s="172"/>
      <c r="R377" s="172"/>
      <c r="S377" s="215"/>
    </row>
    <row r="378" spans="1:19">
      <c r="A378" s="212">
        <v>38</v>
      </c>
      <c r="B378" s="244" t="str">
        <f t="shared" si="34"/>
        <v>Sunday May 24, 2026</v>
      </c>
      <c r="C378" s="212" t="s">
        <v>52</v>
      </c>
      <c r="D378" s="170">
        <v>85200</v>
      </c>
      <c r="E378" s="186">
        <v>3</v>
      </c>
      <c r="F378" s="168" t="s">
        <v>15</v>
      </c>
      <c r="G378" s="213"/>
      <c r="H378" s="232">
        <v>0.45833333333333331</v>
      </c>
      <c r="I378" s="212"/>
      <c r="J378" s="170" t="s">
        <v>32</v>
      </c>
      <c r="K378" s="186">
        <v>4</v>
      </c>
      <c r="L378" s="168">
        <v>81142.857142857145</v>
      </c>
      <c r="M378" s="213" t="s">
        <v>43</v>
      </c>
      <c r="N378" s="212"/>
      <c r="O378" s="169"/>
      <c r="P378" s="169"/>
      <c r="Q378" s="169"/>
      <c r="R378" s="169"/>
      <c r="S378" s="213"/>
    </row>
    <row r="379" spans="1:19">
      <c r="A379" s="214">
        <v>38</v>
      </c>
      <c r="B379" s="244" t="str">
        <f t="shared" si="34"/>
        <v>Sunday May 24, 2026</v>
      </c>
      <c r="C379" s="214" t="s">
        <v>634</v>
      </c>
      <c r="D379" s="173">
        <v>70200</v>
      </c>
      <c r="E379" s="187">
        <v>5</v>
      </c>
      <c r="F379" s="171" t="s">
        <v>1220</v>
      </c>
      <c r="G379" s="215"/>
      <c r="H379" s="233">
        <v>0.45833333333333331</v>
      </c>
      <c r="I379" s="214"/>
      <c r="J379" s="173" t="s">
        <v>3</v>
      </c>
      <c r="K379" s="187">
        <v>1</v>
      </c>
      <c r="L379" s="171">
        <v>94666.666666666657</v>
      </c>
      <c r="M379" s="215" t="s">
        <v>18</v>
      </c>
      <c r="N379" s="214"/>
      <c r="O379" s="172"/>
      <c r="P379" s="172"/>
      <c r="Q379" s="172"/>
      <c r="R379" s="172"/>
      <c r="S379" s="215"/>
    </row>
    <row r="380" spans="1:19">
      <c r="A380" s="212">
        <v>38</v>
      </c>
      <c r="B380" s="244" t="str">
        <f t="shared" si="34"/>
        <v>Sunday May 24, 2026</v>
      </c>
      <c r="C380" s="212" t="s">
        <v>19</v>
      </c>
      <c r="D380" s="170">
        <v>97400</v>
      </c>
      <c r="E380" s="186">
        <v>1</v>
      </c>
      <c r="F380" s="168" t="s">
        <v>4</v>
      </c>
      <c r="G380" s="213"/>
      <c r="H380" s="232">
        <v>0.45833333333333331</v>
      </c>
      <c r="I380" s="212"/>
      <c r="J380" s="170" t="s">
        <v>10</v>
      </c>
      <c r="K380" s="186">
        <v>5</v>
      </c>
      <c r="L380" s="168">
        <v>79238.095238095237</v>
      </c>
      <c r="M380" s="213" t="s">
        <v>24</v>
      </c>
      <c r="N380" s="212"/>
      <c r="O380" s="169"/>
      <c r="P380" s="169"/>
      <c r="Q380" s="169"/>
      <c r="R380" s="169"/>
      <c r="S380" s="213"/>
    </row>
    <row r="381" spans="1:19" ht="17" thickBot="1">
      <c r="A381" s="224">
        <v>38</v>
      </c>
      <c r="B381" s="248" t="str">
        <f t="shared" si="34"/>
        <v>Sunday May 24, 2026</v>
      </c>
      <c r="C381" s="224" t="s">
        <v>27</v>
      </c>
      <c r="D381" s="225">
        <v>83200</v>
      </c>
      <c r="E381" s="226">
        <v>1</v>
      </c>
      <c r="F381" s="227" t="s">
        <v>14</v>
      </c>
      <c r="G381" s="228"/>
      <c r="H381" s="239">
        <v>0.45833333333333331</v>
      </c>
      <c r="I381" s="224"/>
      <c r="J381" s="225" t="s">
        <v>1221</v>
      </c>
      <c r="K381" s="226">
        <v>5</v>
      </c>
      <c r="L381" s="227">
        <v>66857.142857142855</v>
      </c>
      <c r="M381" s="228" t="s">
        <v>633</v>
      </c>
      <c r="N381" s="224"/>
      <c r="O381" s="241"/>
      <c r="P381" s="241"/>
      <c r="Q381" s="241"/>
      <c r="R381" s="241"/>
      <c r="S381" s="228"/>
    </row>
  </sheetData>
  <conditionalFormatting sqref="K2:K381 E2:E381">
    <cfRule type="cellIs" dxfId="1330" priority="15712" operator="equal">
      <formula>$V$5</formula>
    </cfRule>
    <cfRule type="cellIs" dxfId="1329" priority="15713" operator="equal">
      <formula>$V$4</formula>
    </cfRule>
    <cfRule type="cellIs" dxfId="1328" priority="15714" operator="equal">
      <formula>$V$3</formula>
    </cfRule>
    <cfRule type="cellIs" dxfId="1327" priority="15715" operator="equal">
      <formula>$V$2</formula>
    </cfRule>
    <cfRule type="cellIs" dxfId="1326" priority="15716" operator="equal">
      <formula>$V$1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AD413-410D-BB43-B3A8-9216B4E99525}">
  <sheetPr codeName="Sheet1">
    <tabColor theme="9"/>
  </sheetPr>
  <dimension ref="A1:U49"/>
  <sheetViews>
    <sheetView zoomScaleNormal="100" workbookViewId="0">
      <selection activeCell="B1" sqref="B1:U1"/>
    </sheetView>
  </sheetViews>
  <sheetFormatPr baseColWidth="10" defaultColWidth="10.83203125" defaultRowHeight="16"/>
  <cols>
    <col min="1" max="1" width="20.1640625" bestFit="1" customWidth="1"/>
    <col min="3" max="3" width="10.33203125" bestFit="1" customWidth="1"/>
  </cols>
  <sheetData>
    <row r="1" spans="1:21" ht="17" thickBot="1">
      <c r="A1" s="88" t="s">
        <v>1904</v>
      </c>
      <c r="B1" s="87" t="s">
        <v>6</v>
      </c>
      <c r="C1" s="87" t="s">
        <v>16</v>
      </c>
      <c r="D1" s="87" t="s">
        <v>32</v>
      </c>
      <c r="E1" s="87" t="s">
        <v>7</v>
      </c>
      <c r="F1" s="87" t="s">
        <v>13</v>
      </c>
      <c r="G1" s="87" t="s">
        <v>8</v>
      </c>
      <c r="H1" s="87" t="s">
        <v>3</v>
      </c>
      <c r="I1" s="87" t="s">
        <v>12</v>
      </c>
      <c r="J1" s="87" t="s">
        <v>10</v>
      </c>
      <c r="K1" s="87" t="s">
        <v>9</v>
      </c>
      <c r="L1" s="87" t="s">
        <v>1221</v>
      </c>
      <c r="M1" s="87" t="s">
        <v>0</v>
      </c>
      <c r="N1" s="87" t="s">
        <v>1</v>
      </c>
      <c r="O1" s="87" t="s">
        <v>2</v>
      </c>
      <c r="P1" s="87" t="s">
        <v>11</v>
      </c>
      <c r="Q1" s="87" t="s">
        <v>15</v>
      </c>
      <c r="R1" s="87" t="s">
        <v>1220</v>
      </c>
      <c r="S1" s="87" t="s">
        <v>4</v>
      </c>
      <c r="T1" s="87" t="s">
        <v>14</v>
      </c>
      <c r="U1" s="87" t="s">
        <v>5</v>
      </c>
    </row>
    <row r="2" spans="1:21" ht="17" thickTop="1">
      <c r="A2" s="84" t="s">
        <v>20</v>
      </c>
      <c r="B2" s="89" t="str" cm="1">
        <f t="array" ref="B2">_xlfn.XLOOKUP('Face-Off'!$A2&amp;'Face-Off'!$B$1,Fixture[HomeTeam]&amp;Fixture[Away],Fixture[GAME WEEK],"",0,1)</f>
        <v/>
      </c>
      <c r="C2" s="89" cm="1">
        <f t="array" ref="C2">_xlfn.XLOOKUP('Face-Off'!$A2&amp;'Face-Off'!$C$1,Fixture[HomeTeam]&amp;Fixture[Away],Fixture[GAME WEEK],"",0,1)</f>
        <v>19</v>
      </c>
      <c r="D2" s="89" cm="1">
        <f t="array" ref="D2">_xlfn.XLOOKUP('Face-Off'!$A2&amp;'Face-Off'!$D$1,Fixture[HomeTeam]&amp;Fixture[Away],Fixture[GAME WEEK],"",0,1)</f>
        <v>32</v>
      </c>
      <c r="E2" s="89" cm="1">
        <f t="array" ref="E2">_xlfn.XLOOKUP('Face-Off'!$A2&amp;'Face-Off'!$E$1,Fixture[HomeTeam]&amp;Fixture[Away],Fixture[GAME WEEK],"",0,1)</f>
        <v>14</v>
      </c>
      <c r="F2" s="89" cm="1">
        <f t="array" ref="F2">_xlfn.XLOOKUP('Face-Off'!$A2&amp;'Face-Off'!$F$1,Fixture[HomeTeam]&amp;Fixture[Away],Fixture[GAME WEEK],"",0,1)</f>
        <v>18</v>
      </c>
      <c r="G2" s="89" cm="1">
        <f t="array" ref="G2">_xlfn.XLOOKUP('Face-Off'!$A2&amp;'Face-Off'!$G$1,Fixture[HomeTeam]&amp;Fixture[Away],Fixture[GAME WEEK],"",0,1)</f>
        <v>37</v>
      </c>
      <c r="H2" s="89" cm="1">
        <f t="array" ref="H2">_xlfn.XLOOKUP('Face-Off'!$A2&amp;'Face-Off'!$H$1,Fixture[HomeTeam]&amp;Fixture[Away],Fixture[GAME WEEK],"",0,1)</f>
        <v>28</v>
      </c>
      <c r="I2" s="89" cm="1">
        <f t="array" ref="I2">_xlfn.XLOOKUP('Face-Off'!$A2&amp;'Face-Off'!$I$1,Fixture[HomeTeam]&amp;Fixture[Away],Fixture[GAME WEEK],"",0,1)</f>
        <v>9</v>
      </c>
      <c r="J2" s="89" cm="1">
        <f t="array" ref="J2">_xlfn.XLOOKUP('Face-Off'!$A2&amp;'Face-Off'!$J$1,Fixture[HomeTeam]&amp;Fixture[Away],Fixture[GAME WEEK],"",0,1)</f>
        <v>30</v>
      </c>
      <c r="K2" s="89" cm="1">
        <f t="array" ref="K2">_xlfn.XLOOKUP('Face-Off'!$A2&amp;'Face-Off'!$K$1,Fixture[HomeTeam]&amp;Fixture[Away],Fixture[GAME WEEK],"",0,1)</f>
        <v>35</v>
      </c>
      <c r="L2" s="89" cm="1">
        <f t="array" ref="L2">_xlfn.XLOOKUP('Face-Off'!$A2&amp;'Face-Off'!$L$1,Fixture[HomeTeam]&amp;Fixture[Away],Fixture[GAME WEEK],"",0,1)</f>
        <v>2</v>
      </c>
      <c r="M2" s="89" cm="1">
        <f t="array" ref="M2">_xlfn.XLOOKUP('Face-Off'!$A2&amp;'Face-Off'!$M$1,Fixture[HomeTeam]&amp;Fixture[Away],Fixture[GAME WEEK],"",0,1)</f>
        <v>21</v>
      </c>
      <c r="N2" s="89" cm="1">
        <f t="array" ref="N2">_xlfn.XLOOKUP('Face-Off'!$A2&amp;'Face-Off'!$N$1,Fixture[HomeTeam]&amp;Fixture[Away],Fixture[GAME WEEK],"",0,1)</f>
        <v>5</v>
      </c>
      <c r="O2" s="89" cm="1">
        <f t="array" ref="O2">_xlfn.XLOOKUP('Face-Off'!$A2&amp;'Face-Off'!$O$1,Fixture[HomeTeam]&amp;Fixture[Away],Fixture[GAME WEEK],"",0,1)</f>
        <v>23</v>
      </c>
      <c r="P2" s="89" cm="1">
        <f t="array" ref="P2">_xlfn.XLOOKUP('Face-Off'!$A2&amp;'Face-Off'!$P$1,Fixture[HomeTeam]&amp;Fixture[Away],Fixture[GAME WEEK],"",0,1)</f>
        <v>34</v>
      </c>
      <c r="Q2" s="89" cm="1">
        <f t="array" ref="Q2">_xlfn.XLOOKUP('Face-Off'!$A2&amp;'Face-Off'!$Q$1,Fixture[HomeTeam]&amp;Fixture[Away],Fixture[GAME WEEK],"",0,1)</f>
        <v>4</v>
      </c>
      <c r="R2" s="89" cm="1">
        <f t="array" ref="R2">_xlfn.XLOOKUP('Face-Off'!$A2&amp;'Face-Off'!$R$1,Fixture[HomeTeam]&amp;Fixture[Away],Fixture[GAME WEEK],"",0,1)</f>
        <v>25</v>
      </c>
      <c r="S2" s="89" cm="1">
        <f t="array" ref="S2">_xlfn.XLOOKUP('Face-Off'!$A2&amp;'Face-Off'!$S$1,Fixture[HomeTeam]&amp;Fixture[Away],Fixture[GAME WEEK],"",0,1)</f>
        <v>12</v>
      </c>
      <c r="T2" s="89" cm="1">
        <f t="array" ref="T2">_xlfn.XLOOKUP('Face-Off'!$A2&amp;'Face-Off'!$T$1,Fixture[HomeTeam]&amp;Fixture[Away],Fixture[GAME WEEK],"",0,1)</f>
        <v>7</v>
      </c>
      <c r="U2" s="89" cm="1">
        <f t="array" ref="U2">_xlfn.XLOOKUP('Face-Off'!$A2&amp;'Face-Off'!$U$1,Fixture[HomeTeam]&amp;Fixture[Away],Fixture[GAME WEEK],"",0,1)</f>
        <v>16</v>
      </c>
    </row>
    <row r="3" spans="1:21">
      <c r="A3" s="85" t="s">
        <v>28</v>
      </c>
      <c r="B3" s="90" cm="1">
        <f t="array" ref="B3">_xlfn.XLOOKUP('Face-Off'!$A3&amp;'Face-Off'!$B$1,Fixture[HomeTeam]&amp;Fixture[Away],Fixture[GAME WEEK],"",0,1)</f>
        <v>15</v>
      </c>
      <c r="C3" s="90" t="str" cm="1">
        <f t="array" ref="C3">_xlfn.XLOOKUP('Face-Off'!$A3&amp;'Face-Off'!$C$1,Fixture[HomeTeam]&amp;Fixture[Away],Fixture[GAME WEEK],"",0,1)</f>
        <v/>
      </c>
      <c r="D3" s="90" cm="1">
        <f t="array" ref="D3">_xlfn.XLOOKUP('Face-Off'!$A3&amp;'Face-Off'!$D$1,Fixture[HomeTeam]&amp;Fixture[Away],Fixture[GAME WEEK],"",0,1)</f>
        <v>11</v>
      </c>
      <c r="E3" s="90" cm="1">
        <f t="array" ref="E3">_xlfn.XLOOKUP('Face-Off'!$A3&amp;'Face-Off'!$E$1,Fixture[HomeTeam]&amp;Fixture[Away],Fixture[GAME WEEK],"",0,1)</f>
        <v>24</v>
      </c>
      <c r="F3" s="90" cm="1">
        <f t="array" ref="F3">_xlfn.XLOOKUP('Face-Off'!$A3&amp;'Face-Off'!$F$1,Fixture[HomeTeam]&amp;Fixture[Away],Fixture[GAME WEEK],"",0,1)</f>
        <v>26</v>
      </c>
      <c r="G3" s="90" cm="1">
        <f t="array" ref="G3">_xlfn.XLOOKUP('Face-Off'!$A3&amp;'Face-Off'!$G$1,Fixture[HomeTeam]&amp;Fixture[Away],Fixture[GAME WEEK],"",0,1)</f>
        <v>7</v>
      </c>
      <c r="H3" s="90" cm="1">
        <f t="array" ref="H3">_xlfn.XLOOKUP('Face-Off'!$A3&amp;'Face-Off'!$H$1,Fixture[HomeTeam]&amp;Fixture[Away],Fixture[GAME WEEK],"",0,1)</f>
        <v>29</v>
      </c>
      <c r="I3" s="90" cm="1">
        <f t="array" ref="I3">_xlfn.XLOOKUP('Face-Off'!$A3&amp;'Face-Off'!$I$1,Fixture[HomeTeam]&amp;Fixture[Away],Fixture[GAME WEEK],"",0,1)</f>
        <v>3</v>
      </c>
      <c r="J3" s="90" cm="1">
        <f t="array" ref="J3">_xlfn.XLOOKUP('Face-Off'!$A3&amp;'Face-Off'!$J$1,Fixture[HomeTeam]&amp;Fixture[Away],Fixture[GAME WEEK],"",0,1)</f>
        <v>22</v>
      </c>
      <c r="K3" s="90" cm="1">
        <f t="array" ref="K3">_xlfn.XLOOKUP('Face-Off'!$A3&amp;'Face-Off'!$K$1,Fixture[HomeTeam]&amp;Fixture[Away],Fixture[GAME WEEK],"",0,1)</f>
        <v>6</v>
      </c>
      <c r="L3" s="90" cm="1">
        <f t="array" ref="L3">_xlfn.XLOOKUP('Face-Off'!$A3&amp;'Face-Off'!$L$1,Fixture[HomeTeam]&amp;Fixture[Away],Fixture[GAME WEEK],"",0,1)</f>
        <v>27</v>
      </c>
      <c r="M3" s="90" cm="1">
        <f t="array" ref="M3">_xlfn.XLOOKUP('Face-Off'!$A3&amp;'Face-Off'!$M$1,Fixture[HomeTeam]&amp;Fixture[Away],Fixture[GAME WEEK],"",0,1)</f>
        <v>37</v>
      </c>
      <c r="N3" s="90" cm="1">
        <f t="array" ref="N3">_xlfn.XLOOKUP('Face-Off'!$A3&amp;'Face-Off'!$N$1,Fixture[HomeTeam]&amp;Fixture[Away],Fixture[GAME WEEK],"",0,1)</f>
        <v>9</v>
      </c>
      <c r="O3" s="90" cm="1">
        <f t="array" ref="O3">_xlfn.XLOOKUP('Face-Off'!$A3&amp;'Face-Off'!$O$1,Fixture[HomeTeam]&amp;Fixture[Away],Fixture[GAME WEEK],"",0,1)</f>
        <v>17</v>
      </c>
      <c r="P3" s="90" cm="1">
        <f t="array" ref="P3">_xlfn.XLOOKUP('Face-Off'!$A3&amp;'Face-Off'!$P$1,Fixture[HomeTeam]&amp;Fixture[Away],Fixture[GAME WEEK],"",0,1)</f>
        <v>1</v>
      </c>
      <c r="Q3" s="90" cm="1">
        <f t="array" ref="Q3">_xlfn.XLOOKUP('Face-Off'!$A3&amp;'Face-Off'!$Q$1,Fixture[HomeTeam]&amp;Fixture[Away],Fixture[GAME WEEK],"",0,1)</f>
        <v>20</v>
      </c>
      <c r="R3" s="90" cm="1">
        <f t="array" ref="R3">_xlfn.XLOOKUP('Face-Off'!$A3&amp;'Face-Off'!$R$1,Fixture[HomeTeam]&amp;Fixture[Away],Fixture[GAME WEEK],"",0,1)</f>
        <v>33</v>
      </c>
      <c r="S3" s="90" cm="1">
        <f t="array" ref="S3">_xlfn.XLOOKUP('Face-Off'!$A3&amp;'Face-Off'!$S$1,Fixture[HomeTeam]&amp;Fixture[Away],Fixture[GAME WEEK],"",0,1)</f>
        <v>35</v>
      </c>
      <c r="T3" s="90" cm="1">
        <f t="array" ref="T3">_xlfn.XLOOKUP('Face-Off'!$A3&amp;'Face-Off'!$T$1,Fixture[HomeTeam]&amp;Fixture[Away],Fixture[GAME WEEK],"",0,1)</f>
        <v>31</v>
      </c>
      <c r="U3" s="90" cm="1">
        <f t="array" ref="U3">_xlfn.XLOOKUP('Face-Off'!$A3&amp;'Face-Off'!$U$1,Fixture[HomeTeam]&amp;Fixture[Away],Fixture[GAME WEEK],"",0,1)</f>
        <v>13</v>
      </c>
    </row>
    <row r="4" spans="1:21">
      <c r="A4" s="85" t="s">
        <v>43</v>
      </c>
      <c r="B4" s="90" cm="1">
        <f t="array" ref="B4">_xlfn.XLOOKUP('Face-Off'!$A4&amp;'Face-Off'!$B$1,Fixture[HomeTeam]&amp;Fixture[Away],Fixture[GAME WEEK],"",0,1)</f>
        <v>20</v>
      </c>
      <c r="C4" s="90" cm="1">
        <f t="array" ref="C4">_xlfn.XLOOKUP('Face-Off'!$A4&amp;'Face-Off'!$C$1,Fixture[HomeTeam]&amp;Fixture[Away],Fixture[GAME WEEK],"",0,1)</f>
        <v>25</v>
      </c>
      <c r="D4" s="90" t="str" cm="1">
        <f t="array" ref="D4">_xlfn.XLOOKUP('Face-Off'!$A4&amp;'Face-Off'!$D$1,Fixture[HomeTeam]&amp;Fixture[Away],Fixture[GAME WEEK],"",0,1)</f>
        <v/>
      </c>
      <c r="E4" s="90" cm="1">
        <f t="array" ref="E4">_xlfn.XLOOKUP('Face-Off'!$A4&amp;'Face-Off'!$E$1,Fixture[HomeTeam]&amp;Fixture[Away],Fixture[GAME WEEK],"",0,1)</f>
        <v>29</v>
      </c>
      <c r="F4" s="90" cm="1">
        <f t="array" ref="F4">_xlfn.XLOOKUP('Face-Off'!$A4&amp;'Face-Off'!$F$1,Fixture[HomeTeam]&amp;Fixture[Away],Fixture[GAME WEEK],"",0,1)</f>
        <v>4</v>
      </c>
      <c r="G4" s="90" cm="1">
        <f t="array" ref="G4">_xlfn.XLOOKUP('Face-Off'!$A4&amp;'Face-Off'!$G$1,Fixture[HomeTeam]&amp;Fixture[Away],Fixture[GAME WEEK],"",0,1)</f>
        <v>17</v>
      </c>
      <c r="H4" s="90" cm="1">
        <f t="array" ref="H4">_xlfn.XLOOKUP('Face-Off'!$A4&amp;'Face-Off'!$H$1,Fixture[HomeTeam]&amp;Fixture[Away],Fixture[GAME WEEK],"",0,1)</f>
        <v>15</v>
      </c>
      <c r="I4" s="90" cm="1">
        <f t="array" ref="I4">_xlfn.XLOOKUP('Face-Off'!$A4&amp;'Face-Off'!$I$1,Fixture[HomeTeam]&amp;Fixture[Away],Fixture[GAME WEEK],"",0,1)</f>
        <v>35</v>
      </c>
      <c r="J4" s="90" cm="1">
        <f t="array" ref="J4">_xlfn.XLOOKUP('Face-Off'!$A4&amp;'Face-Off'!$J$1,Fixture[HomeTeam]&amp;Fixture[Away],Fixture[GAME WEEK],"",0,1)</f>
        <v>14</v>
      </c>
      <c r="K4" s="90" cm="1">
        <f t="array" ref="K4">_xlfn.XLOOKUP('Face-Off'!$A4&amp;'Face-Off'!$K$1,Fixture[HomeTeam]&amp;Fixture[Away],Fixture[GAME WEEK],"",0,1)</f>
        <v>7</v>
      </c>
      <c r="L4" s="90" cm="1">
        <f t="array" ref="L4">_xlfn.XLOOKUP('Face-Off'!$A4&amp;'Face-Off'!$L$1,Fixture[HomeTeam]&amp;Fixture[Away],Fixture[GAME WEEK],"",0,1)</f>
        <v>34</v>
      </c>
      <c r="M4" s="90" cm="1">
        <f t="array" ref="M4">_xlfn.XLOOKUP('Face-Off'!$A4&amp;'Face-Off'!$M$1,Fixture[HomeTeam]&amp;Fixture[Away],Fixture[GAME WEEK],"",0,1)</f>
        <v>23</v>
      </c>
      <c r="N4" s="90" cm="1">
        <f t="array" ref="N4">_xlfn.XLOOKUP('Face-Off'!$A4&amp;'Face-Off'!$N$1,Fixture[HomeTeam]&amp;Fixture[Away],Fixture[GAME WEEK],"",0,1)</f>
        <v>37</v>
      </c>
      <c r="O4" s="90" cm="1">
        <f t="array" ref="O4">_xlfn.XLOOKUP('Face-Off'!$A4&amp;'Face-Off'!$O$1,Fixture[HomeTeam]&amp;Fixture[Away],Fixture[GAME WEEK],"",0,1)</f>
        <v>31</v>
      </c>
      <c r="P4" s="90" cm="1">
        <f t="array" ref="P4">_xlfn.XLOOKUP('Face-Off'!$A4&amp;'Face-Off'!$P$1,Fixture[HomeTeam]&amp;Fixture[Away],Fixture[GAME WEEK],"",0,1)</f>
        <v>5</v>
      </c>
      <c r="Q4" s="90" cm="1">
        <f t="array" ref="Q4">_xlfn.XLOOKUP('Face-Off'!$A4&amp;'Face-Off'!$Q$1,Fixture[HomeTeam]&amp;Fixture[Away],Fixture[GAME WEEK],"",0,1)</f>
        <v>9</v>
      </c>
      <c r="R4" s="90" cm="1">
        <f t="array" ref="R4">_xlfn.XLOOKUP('Face-Off'!$A4&amp;'Face-Off'!$R$1,Fixture[HomeTeam]&amp;Fixture[Away],Fixture[GAME WEEK],"",0,1)</f>
        <v>28</v>
      </c>
      <c r="S4" s="90" cm="1">
        <f t="array" ref="S4">_xlfn.XLOOKUP('Face-Off'!$A4&amp;'Face-Off'!$S$1,Fixture[HomeTeam]&amp;Fixture[Away],Fixture[GAME WEEK],"",0,1)</f>
        <v>21</v>
      </c>
      <c r="T4" s="90" cm="1">
        <f t="array" ref="T4">_xlfn.XLOOKUP('Face-Off'!$A4&amp;'Face-Off'!$T$1,Fixture[HomeTeam]&amp;Fixture[Away],Fixture[GAME WEEK],"",0,1)</f>
        <v>12</v>
      </c>
      <c r="U4" s="90" cm="1">
        <f t="array" ref="U4">_xlfn.XLOOKUP('Face-Off'!$A4&amp;'Face-Off'!$U$1,Fixture[HomeTeam]&amp;Fixture[Away],Fixture[GAME WEEK],"",0,1)</f>
        <v>2</v>
      </c>
    </row>
    <row r="5" spans="1:21">
      <c r="A5" s="85" t="s">
        <v>21</v>
      </c>
      <c r="B5" s="90" cm="1">
        <f t="array" ref="B5">_xlfn.XLOOKUP('Face-Off'!$A5&amp;'Face-Off'!$B$1,Fixture[HomeTeam]&amp;Fixture[Away],Fixture[GAME WEEK],"",0,1)</f>
        <v>26</v>
      </c>
      <c r="C5" s="90" cm="1">
        <f t="array" ref="C5">_xlfn.XLOOKUP('Face-Off'!$A5&amp;'Face-Off'!$C$1,Fixture[HomeTeam]&amp;Fixture[Away],Fixture[GAME WEEK],"",0,1)</f>
        <v>2</v>
      </c>
      <c r="D5" s="90" cm="1">
        <f t="array" ref="D5">_xlfn.XLOOKUP('Face-Off'!$A5&amp;'Face-Off'!$D$1,Fixture[HomeTeam]&amp;Fixture[Away],Fixture[GAME WEEK],"",0,1)</f>
        <v>18</v>
      </c>
      <c r="E5" s="90" t="str" cm="1">
        <f t="array" ref="E5">_xlfn.XLOOKUP('Face-Off'!$A5&amp;'Face-Off'!$E$1,Fixture[HomeTeam]&amp;Fixture[Away],Fixture[GAME WEEK],"",0,1)</f>
        <v/>
      </c>
      <c r="F5" s="90" cm="1">
        <f t="array" ref="F5">_xlfn.XLOOKUP('Face-Off'!$A5&amp;'Face-Off'!$F$1,Fixture[HomeTeam]&amp;Fixture[Away],Fixture[GAME WEEK],"",0,1)</f>
        <v>27</v>
      </c>
      <c r="G5" s="90" cm="1">
        <f t="array" ref="G5">_xlfn.XLOOKUP('Face-Off'!$A5&amp;'Face-Off'!$G$1,Fixture[HomeTeam]&amp;Fixture[Away],Fixture[GAME WEEK],"",0,1)</f>
        <v>13</v>
      </c>
      <c r="H5" s="90" cm="1">
        <f t="array" ref="H5">_xlfn.XLOOKUP('Face-Off'!$A5&amp;'Face-Off'!$H$1,Fixture[HomeTeam]&amp;Fixture[Away],Fixture[GAME WEEK],"",0,1)</f>
        <v>4</v>
      </c>
      <c r="I5" s="90" cm="1">
        <f t="array" ref="I5">_xlfn.XLOOKUP('Face-Off'!$A5&amp;'Face-Off'!$I$1,Fixture[HomeTeam]&amp;Fixture[Away],Fixture[GAME WEEK],"",0,1)</f>
        <v>37</v>
      </c>
      <c r="J5" s="90" cm="1">
        <f t="array" ref="J5">_xlfn.XLOOKUP('Face-Off'!$A5&amp;'Face-Off'!$J$1,Fixture[HomeTeam]&amp;Fixture[Away],Fixture[GAME WEEK],"",0,1)</f>
        <v>32</v>
      </c>
      <c r="K5" s="90" cm="1">
        <f t="array" ref="K5">_xlfn.XLOOKUP('Face-Off'!$A5&amp;'Face-Off'!$K$1,Fixture[HomeTeam]&amp;Fixture[Away],Fixture[GAME WEEK],"",0,1)</f>
        <v>33</v>
      </c>
      <c r="L5" s="90" cm="1">
        <f t="array" ref="L5">_xlfn.XLOOKUP('Face-Off'!$A5&amp;'Face-Off'!$L$1,Fixture[HomeTeam]&amp;Fixture[Away],Fixture[GAME WEEK],"",0,1)</f>
        <v>16</v>
      </c>
      <c r="M5" s="90" cm="1">
        <f t="array" ref="M5">_xlfn.XLOOKUP('Face-Off'!$A5&amp;'Face-Off'!$M$1,Fixture[HomeTeam]&amp;Fixture[Away],Fixture[GAME WEEK],"",0,1)</f>
        <v>9</v>
      </c>
      <c r="N5" s="90" cm="1">
        <f t="array" ref="N5">_xlfn.XLOOKUP('Face-Off'!$A5&amp;'Face-Off'!$N$1,Fixture[HomeTeam]&amp;Fixture[Away],Fixture[GAME WEEK],"",0,1)</f>
        <v>7</v>
      </c>
      <c r="O5" s="90" cm="1">
        <f t="array" ref="O5">_xlfn.XLOOKUP('Face-Off'!$A5&amp;'Face-Off'!$O$1,Fixture[HomeTeam]&amp;Fixture[Away],Fixture[GAME WEEK],"",0,1)</f>
        <v>6</v>
      </c>
      <c r="P5" s="90" cm="1">
        <f t="array" ref="P5">_xlfn.XLOOKUP('Face-Off'!$A5&amp;'Face-Off'!$P$1,Fixture[HomeTeam]&amp;Fixture[Away],Fixture[GAME WEEK],"",0,1)</f>
        <v>11</v>
      </c>
      <c r="Q5" s="90" cm="1">
        <f t="array" ref="Q5">_xlfn.XLOOKUP('Face-Off'!$A5&amp;'Face-Off'!$Q$1,Fixture[HomeTeam]&amp;Fixture[Away],Fixture[GAME WEEK],"",0,1)</f>
        <v>23</v>
      </c>
      <c r="R5" s="90" cm="1">
        <f t="array" ref="R5">_xlfn.XLOOKUP('Face-Off'!$A5&amp;'Face-Off'!$R$1,Fixture[HomeTeam]&amp;Fixture[Away],Fixture[GAME WEEK],"",0,1)</f>
        <v>21</v>
      </c>
      <c r="S5" s="90" cm="1">
        <f t="array" ref="S5">_xlfn.XLOOKUP('Face-Off'!$A5&amp;'Face-Off'!$S$1,Fixture[HomeTeam]&amp;Fixture[Away],Fixture[GAME WEEK],"",0,1)</f>
        <v>19</v>
      </c>
      <c r="T5" s="90" cm="1">
        <f t="array" ref="T5">_xlfn.XLOOKUP('Face-Off'!$A5&amp;'Face-Off'!$T$1,Fixture[HomeTeam]&amp;Fixture[Away],Fixture[GAME WEEK],"",0,1)</f>
        <v>35</v>
      </c>
      <c r="U5" s="90" cm="1">
        <f t="array" ref="U5">_xlfn.XLOOKUP('Face-Off'!$A5&amp;'Face-Off'!$U$1,Fixture[HomeTeam]&amp;Fixture[Away],Fixture[GAME WEEK],"",0,1)</f>
        <v>30</v>
      </c>
    </row>
    <row r="6" spans="1:21">
      <c r="A6" s="85" t="s">
        <v>33</v>
      </c>
      <c r="B6" s="90" cm="1">
        <f t="array" ref="B6">_xlfn.XLOOKUP('Face-Off'!$A6&amp;'Face-Off'!$B$1,Fixture[HomeTeam]&amp;Fixture[Away],Fixture[GAME WEEK],"",0,1)</f>
        <v>29</v>
      </c>
      <c r="C6" s="90" cm="1">
        <f t="array" ref="C6">_xlfn.XLOOKUP('Face-Off'!$A6&amp;'Face-Off'!$C$1,Fixture[HomeTeam]&amp;Fixture[Away],Fixture[GAME WEEK],"",0,1)</f>
        <v>14</v>
      </c>
      <c r="D6" s="90" cm="1">
        <f t="array" ref="D6">_xlfn.XLOOKUP('Face-Off'!$A6&amp;'Face-Off'!$D$1,Fixture[HomeTeam]&amp;Fixture[Away],Fixture[GAME WEEK],"",0,1)</f>
        <v>22</v>
      </c>
      <c r="E6" s="90" cm="1">
        <f t="array" ref="E6">_xlfn.XLOOKUP('Face-Off'!$A6&amp;'Face-Off'!$E$1,Fixture[HomeTeam]&amp;Fixture[Away],Fixture[GAME WEEK],"",0,1)</f>
        <v>12</v>
      </c>
      <c r="F6" s="90" t="str" cm="1">
        <f t="array" ref="F6">_xlfn.XLOOKUP('Face-Off'!$A6&amp;'Face-Off'!$F$1,Fixture[HomeTeam]&amp;Fixture[Away],Fixture[GAME WEEK],"",0,1)</f>
        <v/>
      </c>
      <c r="G6" s="90" cm="1">
        <f t="array" ref="G6">_xlfn.XLOOKUP('Face-Off'!$A6&amp;'Face-Off'!$G$1,Fixture[HomeTeam]&amp;Fixture[Away],Fixture[GAME WEEK],"",0,1)</f>
        <v>20</v>
      </c>
      <c r="H6" s="90" cm="1">
        <f t="array" ref="H6">_xlfn.XLOOKUP('Face-Off'!$A6&amp;'Face-Off'!$H$1,Fixture[HomeTeam]&amp;Fixture[Away],Fixture[GAME WEEK],"",0,1)</f>
        <v>34</v>
      </c>
      <c r="I6" s="90" cm="1">
        <f t="array" ref="I6">_xlfn.XLOOKUP('Face-Off'!$A6&amp;'Face-Off'!$I$1,Fixture[HomeTeam]&amp;Fixture[Away],Fixture[GAME WEEK],"",0,1)</f>
        <v>25</v>
      </c>
      <c r="J6" s="90" cm="1">
        <f t="array" ref="J6">_xlfn.XLOOKUP('Face-Off'!$A6&amp;'Face-Off'!$J$1,Fixture[HomeTeam]&amp;Fixture[Away],Fixture[GAME WEEK],"",0,1)</f>
        <v>24</v>
      </c>
      <c r="K6" s="90" cm="1">
        <f t="array" ref="K6">_xlfn.XLOOKUP('Face-Off'!$A6&amp;'Face-Off'!$K$1,Fixture[HomeTeam]&amp;Fixture[Away],Fixture[GAME WEEK],"",0,1)</f>
        <v>1</v>
      </c>
      <c r="L6" s="90" cm="1">
        <f t="array" ref="L6">_xlfn.XLOOKUP('Face-Off'!$A6&amp;'Face-Off'!$L$1,Fixture[HomeTeam]&amp;Fixture[Away],Fixture[GAME WEEK],"",0,1)</f>
        <v>10</v>
      </c>
      <c r="M6" s="90" cm="1">
        <f t="array" ref="M6">_xlfn.XLOOKUP('Face-Off'!$A6&amp;'Face-Off'!$M$1,Fixture[HomeTeam]&amp;Fixture[Away],Fixture[GAME WEEK],"",0,1)</f>
        <v>31</v>
      </c>
      <c r="N6" s="90" cm="1">
        <f t="array" ref="N6">_xlfn.XLOOKUP('Face-Off'!$A6&amp;'Face-Off'!$N$1,Fixture[HomeTeam]&amp;Fixture[Away],Fixture[GAME WEEK],"",0,1)</f>
        <v>3</v>
      </c>
      <c r="O6" s="90" cm="1">
        <f t="array" ref="O6">_xlfn.XLOOKUP('Face-Off'!$A6&amp;'Face-Off'!$O$1,Fixture[HomeTeam]&amp;Fixture[Away],Fixture[GAME WEEK],"",0,1)</f>
        <v>38</v>
      </c>
      <c r="P6" s="90" cm="1">
        <f t="array" ref="P6">_xlfn.XLOOKUP('Face-Off'!$A6&amp;'Face-Off'!$P$1,Fixture[HomeTeam]&amp;Fixture[Away],Fixture[GAME WEEK],"",0,1)</f>
        <v>8</v>
      </c>
      <c r="Q6" s="90" cm="1">
        <f t="array" ref="Q6">_xlfn.XLOOKUP('Face-Off'!$A6&amp;'Face-Off'!$Q$1,Fixture[HomeTeam]&amp;Fixture[Away],Fixture[GAME WEEK],"",0,1)</f>
        <v>28</v>
      </c>
      <c r="R6" s="90" cm="1">
        <f t="array" ref="R6">_xlfn.XLOOKUP('Face-Off'!$A6&amp;'Face-Off'!$R$1,Fixture[HomeTeam]&amp;Fixture[Away],Fixture[GAME WEEK],"",0,1)</f>
        <v>17</v>
      </c>
      <c r="S6" s="90" cm="1">
        <f t="array" ref="S6">_xlfn.XLOOKUP('Face-Off'!$A6&amp;'Face-Off'!$S$1,Fixture[HomeTeam]&amp;Fixture[Away],Fixture[GAME WEEK],"",0,1)</f>
        <v>5</v>
      </c>
      <c r="T6" s="90" cm="1">
        <f t="array" ref="T6">_xlfn.XLOOKUP('Face-Off'!$A6&amp;'Face-Off'!$T$1,Fixture[HomeTeam]&amp;Fixture[Away],Fixture[GAME WEEK],"",0,1)</f>
        <v>15</v>
      </c>
      <c r="U6" s="90" cm="1">
        <f t="array" ref="U6">_xlfn.XLOOKUP('Face-Off'!$A6&amp;'Face-Off'!$U$1,Fixture[HomeTeam]&amp;Fixture[Away],Fixture[GAME WEEK],"",0,1)</f>
        <v>36</v>
      </c>
    </row>
    <row r="7" spans="1:21">
      <c r="A7" s="85" t="s">
        <v>22</v>
      </c>
      <c r="B7" s="90" cm="1">
        <f t="array" ref="B7">_xlfn.XLOOKUP('Face-Off'!$A7&amp;'Face-Off'!$B$1,Fixture[HomeTeam]&amp;Fixture[Away],Fixture[GAME WEEK],"",0,1)</f>
        <v>10</v>
      </c>
      <c r="C7" s="90" cm="1">
        <f t="array" ref="C7">_xlfn.XLOOKUP('Face-Off'!$A7&amp;'Face-Off'!$C$1,Fixture[HomeTeam]&amp;Fixture[Away],Fixture[GAME WEEK],"",0,1)</f>
        <v>36</v>
      </c>
      <c r="D7" s="90" cm="1">
        <f t="array" ref="D7">_xlfn.XLOOKUP('Face-Off'!$A7&amp;'Face-Off'!$D$1,Fixture[HomeTeam]&amp;Fixture[Away],Fixture[GAME WEEK],"",0,1)</f>
        <v>30</v>
      </c>
      <c r="E7" s="90" cm="1">
        <f t="array" ref="E7">_xlfn.XLOOKUP('Face-Off'!$A7&amp;'Face-Off'!$E$1,Fixture[HomeTeam]&amp;Fixture[Away],Fixture[GAME WEEK],"",0,1)</f>
        <v>28</v>
      </c>
      <c r="F7" s="90" cm="1">
        <f t="array" ref="F7">_xlfn.XLOOKUP('Face-Off'!$A7&amp;'Face-Off'!$F$1,Fixture[HomeTeam]&amp;Fixture[Away],Fixture[GAME WEEK],"",0,1)</f>
        <v>32</v>
      </c>
      <c r="G7" s="90" t="str" cm="1">
        <f t="array" ref="G7">_xlfn.XLOOKUP('Face-Off'!$A7&amp;'Face-Off'!$G$1,Fixture[HomeTeam]&amp;Fixture[Away],Fixture[GAME WEEK],"",0,1)</f>
        <v/>
      </c>
      <c r="H7" s="90" cm="1">
        <f t="array" ref="H7">_xlfn.XLOOKUP('Face-Off'!$A7&amp;'Face-Off'!$H$1,Fixture[HomeTeam]&amp;Fixture[Away],Fixture[GAME WEEK],"",0,1)</f>
        <v>12</v>
      </c>
      <c r="I7" s="90" cm="1">
        <f t="array" ref="I7">_xlfn.XLOOKUP('Face-Off'!$A7&amp;'Face-Off'!$I$1,Fixture[HomeTeam]&amp;Fixture[Away],Fixture[GAME WEEK],"",0,1)</f>
        <v>14</v>
      </c>
      <c r="J7" s="90" cm="1">
        <f t="array" ref="J7">_xlfn.XLOOKUP('Face-Off'!$A7&amp;'Face-Off'!$J$1,Fixture[HomeTeam]&amp;Fixture[Away],Fixture[GAME WEEK],"",0,1)</f>
        <v>18</v>
      </c>
      <c r="K7" s="90" cm="1">
        <f t="array" ref="K7">_xlfn.XLOOKUP('Face-Off'!$A7&amp;'Face-Off'!$K$1,Fixture[HomeTeam]&amp;Fixture[Away],Fixture[GAME WEEK],"",0,1)</f>
        <v>16</v>
      </c>
      <c r="L7" s="90" cm="1">
        <f t="array" ref="L7">_xlfn.XLOOKUP('Face-Off'!$A7&amp;'Face-Off'!$L$1,Fixture[HomeTeam]&amp;Fixture[Away],Fixture[GAME WEEK],"",0,1)</f>
        <v>8</v>
      </c>
      <c r="M7" s="90" cm="1">
        <f t="array" ref="M7">_xlfn.XLOOKUP('Face-Off'!$A7&amp;'Face-Off'!$M$1,Fixture[HomeTeam]&amp;Fixture[Away],Fixture[GAME WEEK],"",0,1)</f>
        <v>4</v>
      </c>
      <c r="N7" s="90" cm="1">
        <f t="array" ref="N7">_xlfn.XLOOKUP('Face-Off'!$A7&amp;'Face-Off'!$N$1,Fixture[HomeTeam]&amp;Fixture[Away],Fixture[GAME WEEK],"",0,1)</f>
        <v>34</v>
      </c>
      <c r="O7" s="90" cm="1">
        <f t="array" ref="O7">_xlfn.XLOOKUP('Face-Off'!$A7&amp;'Face-Off'!$O$1,Fixture[HomeTeam]&amp;Fixture[Away],Fixture[GAME WEEK],"",0,1)</f>
        <v>21</v>
      </c>
      <c r="P7" s="90" cm="1">
        <f t="array" ref="P7">_xlfn.XLOOKUP('Face-Off'!$A7&amp;'Face-Off'!$P$1,Fixture[HomeTeam]&amp;Fixture[Away],Fixture[GAME WEEK],"",0,1)</f>
        <v>19</v>
      </c>
      <c r="Q7" s="90" cm="1">
        <f t="array" ref="Q7">_xlfn.XLOOKUP('Face-Off'!$A7&amp;'Face-Off'!$Q$1,Fixture[HomeTeam]&amp;Fixture[Away],Fixture[GAME WEEK],"",0,1)</f>
        <v>5</v>
      </c>
      <c r="R7" s="90" cm="1">
        <f t="array" ref="R7">_xlfn.XLOOKUP('Face-Off'!$A7&amp;'Face-Off'!$R$1,Fixture[HomeTeam]&amp;Fixture[Away],Fixture[GAME WEEK],"",0,1)</f>
        <v>2</v>
      </c>
      <c r="S7" s="90" cm="1">
        <f t="array" ref="S7">_xlfn.XLOOKUP('Face-Off'!$A7&amp;'Face-Off'!$S$1,Fixture[HomeTeam]&amp;Fixture[Away],Fixture[GAME WEEK],"",0,1)</f>
        <v>23</v>
      </c>
      <c r="T7" s="90" cm="1">
        <f t="array" ref="T7">_xlfn.XLOOKUP('Face-Off'!$A7&amp;'Face-Off'!$T$1,Fixture[HomeTeam]&amp;Fixture[Away],Fixture[GAME WEEK],"",0,1)</f>
        <v>25</v>
      </c>
      <c r="U7" s="90" cm="1">
        <f t="array" ref="U7">_xlfn.XLOOKUP('Face-Off'!$A7&amp;'Face-Off'!$U$1,Fixture[HomeTeam]&amp;Fixture[Away],Fixture[GAME WEEK],"",0,1)</f>
        <v>38</v>
      </c>
    </row>
    <row r="8" spans="1:21">
      <c r="A8" s="85" t="s">
        <v>18</v>
      </c>
      <c r="B8" s="90" cm="1">
        <f t="array" ref="B8">_xlfn.XLOOKUP('Face-Off'!$A8&amp;'Face-Off'!$B$1,Fixture[HomeTeam]&amp;Fixture[Away],Fixture[GAME WEEK],"",0,1)</f>
        <v>13</v>
      </c>
      <c r="C8" s="90" cm="1">
        <f t="array" ref="C8">_xlfn.XLOOKUP('Face-Off'!$A8&amp;'Face-Off'!$C$1,Fixture[HomeTeam]&amp;Fixture[Away],Fixture[GAME WEEK],"",0,1)</f>
        <v>18</v>
      </c>
      <c r="D8" s="90" cm="1">
        <f t="array" ref="D8">_xlfn.XLOOKUP('Face-Off'!$A8&amp;'Face-Off'!$D$1,Fixture[HomeTeam]&amp;Fixture[Away],Fixture[GAME WEEK],"",0,1)</f>
        <v>19</v>
      </c>
      <c r="E8" s="90" cm="1">
        <f t="array" ref="E8">_xlfn.XLOOKUP('Face-Off'!$A8&amp;'Face-Off'!$E$1,Fixture[HomeTeam]&amp;Fixture[Away],Fixture[GAME WEEK],"",0,1)</f>
        <v>22</v>
      </c>
      <c r="F8" s="90" cm="1">
        <f t="array" ref="F8">_xlfn.XLOOKUP('Face-Off'!$A8&amp;'Face-Off'!$F$1,Fixture[HomeTeam]&amp;Fixture[Away],Fixture[GAME WEEK],"",0,1)</f>
        <v>6</v>
      </c>
      <c r="G8" s="90" cm="1">
        <f t="array" ref="G8">_xlfn.XLOOKUP('Face-Off'!$A8&amp;'Face-Off'!$G$1,Fixture[HomeTeam]&amp;Fixture[Away],Fixture[GAME WEEK],"",0,1)</f>
        <v>27</v>
      </c>
      <c r="H8" s="90" t="str" cm="1">
        <f t="array" ref="H8">_xlfn.XLOOKUP('Face-Off'!$A8&amp;'Face-Off'!$H$1,Fixture[HomeTeam]&amp;Fixture[Away],Fixture[GAME WEEK],"",0,1)</f>
        <v/>
      </c>
      <c r="I8" s="90" cm="1">
        <f t="array" ref="I8">_xlfn.XLOOKUP('Face-Off'!$A8&amp;'Face-Off'!$I$1,Fixture[HomeTeam]&amp;Fixture[Away],Fixture[GAME WEEK],"",0,1)</f>
        <v>1</v>
      </c>
      <c r="J8" s="90" cm="1">
        <f t="array" ref="J8">_xlfn.XLOOKUP('Face-Off'!$A8&amp;'Face-Off'!$J$1,Fixture[HomeTeam]&amp;Fixture[Away],Fixture[GAME WEEK],"",0,1)</f>
        <v>16</v>
      </c>
      <c r="K8" s="90" cm="1">
        <f t="array" ref="K8">_xlfn.XLOOKUP('Face-Off'!$A8&amp;'Face-Off'!$K$1,Fixture[HomeTeam]&amp;Fixture[Away],Fixture[GAME WEEK],"",0,1)</f>
        <v>3</v>
      </c>
      <c r="L8" s="90" cm="1">
        <f t="array" ref="L8">_xlfn.XLOOKUP('Face-Off'!$A8&amp;'Face-Off'!$L$1,Fixture[HomeTeam]&amp;Fixture[Away],Fixture[GAME WEEK],"",0,1)</f>
        <v>26</v>
      </c>
      <c r="M8" s="90" cm="1">
        <f t="array" ref="M8">_xlfn.XLOOKUP('Face-Off'!$A8&amp;'Face-Off'!$M$1,Fixture[HomeTeam]&amp;Fixture[Away],Fixture[GAME WEEK],"",0,1)</f>
        <v>7</v>
      </c>
      <c r="N8" s="90" cm="1">
        <f t="array" ref="N8">_xlfn.XLOOKUP('Face-Off'!$A8&amp;'Face-Off'!$N$1,Fixture[HomeTeam]&amp;Fixture[Away],Fixture[GAME WEEK],"",0,1)</f>
        <v>32</v>
      </c>
      <c r="O8" s="90" cm="1">
        <f t="array" ref="O8">_xlfn.XLOOKUP('Face-Off'!$A8&amp;'Face-Off'!$O$1,Fixture[HomeTeam]&amp;Fixture[Away],Fixture[GAME WEEK],"",0,1)</f>
        <v>33</v>
      </c>
      <c r="P8" s="90" cm="1">
        <f t="array" ref="P8">_xlfn.XLOOKUP('Face-Off'!$A8&amp;'Face-Off'!$P$1,Fixture[HomeTeam]&amp;Fixture[Away],Fixture[GAME WEEK],"",0,1)</f>
        <v>30</v>
      </c>
      <c r="Q8" s="90" cm="1">
        <f t="array" ref="Q8">_xlfn.XLOOKUP('Face-Off'!$A8&amp;'Face-Off'!$Q$1,Fixture[HomeTeam]&amp;Fixture[Away],Fixture[GAME WEEK],"",0,1)</f>
        <v>35</v>
      </c>
      <c r="R8" s="90" cm="1">
        <f t="array" ref="R8">_xlfn.XLOOKUP('Face-Off'!$A8&amp;'Face-Off'!$R$1,Fixture[HomeTeam]&amp;Fixture[Away],Fixture[GAME WEEK],"",0,1)</f>
        <v>9</v>
      </c>
      <c r="S8" s="90" cm="1">
        <f t="array" ref="S8">_xlfn.XLOOKUP('Face-Off'!$A8&amp;'Face-Off'!$S$1,Fixture[HomeTeam]&amp;Fixture[Away],Fixture[GAME WEEK],"",0,1)</f>
        <v>37</v>
      </c>
      <c r="T8" s="90" cm="1">
        <f t="array" ref="T8">_xlfn.XLOOKUP('Face-Off'!$A8&amp;'Face-Off'!$T$1,Fixture[HomeTeam]&amp;Fixture[Away],Fixture[GAME WEEK],"",0,1)</f>
        <v>24</v>
      </c>
      <c r="U8" s="90" cm="1">
        <f t="array" ref="U8">_xlfn.XLOOKUP('Face-Off'!$A8&amp;'Face-Off'!$U$1,Fixture[HomeTeam]&amp;Fixture[Away],Fixture[GAME WEEK],"",0,1)</f>
        <v>11</v>
      </c>
    </row>
    <row r="9" spans="1:21">
      <c r="A9" s="85" t="s">
        <v>26</v>
      </c>
      <c r="B9" s="90" cm="1">
        <f t="array" ref="B9">_xlfn.XLOOKUP('Face-Off'!$A9&amp;'Face-Off'!$B$1,Fixture[HomeTeam]&amp;Fixture[Away],Fixture[GAME WEEK],"",0,1)</f>
        <v>38</v>
      </c>
      <c r="C9" s="90" cm="1">
        <f t="array" ref="C9">_xlfn.XLOOKUP('Face-Off'!$A9&amp;'Face-Off'!$C$1,Fixture[HomeTeam]&amp;Fixture[Away],Fixture[GAME WEEK],"",0,1)</f>
        <v>21</v>
      </c>
      <c r="D9" s="90" cm="1">
        <f t="array" ref="D9">_xlfn.XLOOKUP('Face-Off'!$A9&amp;'Face-Off'!$D$1,Fixture[HomeTeam]&amp;Fixture[Away],Fixture[GAME WEEK],"",0,1)</f>
        <v>8</v>
      </c>
      <c r="E9" s="90" cm="1">
        <f t="array" ref="E9">_xlfn.XLOOKUP('Face-Off'!$A9&amp;'Face-Off'!$E$1,Fixture[HomeTeam]&amp;Fixture[Away],Fixture[GAME WEEK],"",0,1)</f>
        <v>10</v>
      </c>
      <c r="F9" s="90" cm="1">
        <f t="array" ref="F9">_xlfn.XLOOKUP('Face-Off'!$A9&amp;'Face-Off'!$F$1,Fixture[HomeTeam]&amp;Fixture[Away],Fixture[GAME WEEK],"",0,1)</f>
        <v>11</v>
      </c>
      <c r="G9" s="90" cm="1">
        <f t="array" ref="G9">_xlfn.XLOOKUP('Face-Off'!$A9&amp;'Face-Off'!$G$1,Fixture[HomeTeam]&amp;Fixture[Away],Fixture[GAME WEEK],"",0,1)</f>
        <v>26</v>
      </c>
      <c r="H9" s="90" cm="1">
        <f t="array" ref="H9">_xlfn.XLOOKUP('Face-Off'!$A9&amp;'Face-Off'!$H$1,Fixture[HomeTeam]&amp;Fixture[Away],Fixture[GAME WEEK],"",0,1)</f>
        <v>23</v>
      </c>
      <c r="I9" s="90" t="str" cm="1">
        <f t="array" ref="I9">_xlfn.XLOOKUP('Face-Off'!$A9&amp;'Face-Off'!$I$1,Fixture[HomeTeam]&amp;Fixture[Away],Fixture[GAME WEEK],"",0,1)</f>
        <v/>
      </c>
      <c r="J9" s="90" cm="1">
        <f t="array" ref="J9">_xlfn.XLOOKUP('Face-Off'!$A9&amp;'Face-Off'!$J$1,Fixture[HomeTeam]&amp;Fixture[Away],Fixture[GAME WEEK],"",0,1)</f>
        <v>36</v>
      </c>
      <c r="K9" s="90" cm="1">
        <f t="array" ref="K9">_xlfn.XLOOKUP('Face-Off'!$A9&amp;'Face-Off'!$K$1,Fixture[HomeTeam]&amp;Fixture[Away],Fixture[GAME WEEK],"",0,1)</f>
        <v>19</v>
      </c>
      <c r="L9" s="90" cm="1">
        <f t="array" ref="L9">_xlfn.XLOOKUP('Face-Off'!$A9&amp;'Face-Off'!$L$1,Fixture[HomeTeam]&amp;Fixture[Away],Fixture[GAME WEEK],"",0,1)</f>
        <v>30</v>
      </c>
      <c r="M9" s="90" cm="1">
        <f t="array" ref="M9">_xlfn.XLOOKUP('Face-Off'!$A9&amp;'Face-Off'!$M$1,Fixture[HomeTeam]&amp;Fixture[Away],Fixture[GAME WEEK],"",0,1)</f>
        <v>6</v>
      </c>
      <c r="N9" s="90" cm="1">
        <f t="array" ref="N9">_xlfn.XLOOKUP('Face-Off'!$A9&amp;'Face-Off'!$N$1,Fixture[HomeTeam]&amp;Fixture[Away],Fixture[GAME WEEK],"",0,1)</f>
        <v>16</v>
      </c>
      <c r="O9" s="90" cm="1">
        <f t="array" ref="O9">_xlfn.XLOOKUP('Face-Off'!$A9&amp;'Face-Off'!$O$1,Fixture[HomeTeam]&amp;Fixture[Away],Fixture[GAME WEEK],"",0,1)</f>
        <v>13</v>
      </c>
      <c r="P9" s="90" cm="1">
        <f t="array" ref="P9">_xlfn.XLOOKUP('Face-Off'!$A9&amp;'Face-Off'!$P$1,Fixture[HomeTeam]&amp;Fixture[Away],Fixture[GAME WEEK],"",0,1)</f>
        <v>32</v>
      </c>
      <c r="Q9" s="90" cm="1">
        <f t="array" ref="Q9">_xlfn.XLOOKUP('Face-Off'!$A9&amp;'Face-Off'!$Q$1,Fixture[HomeTeam]&amp;Fixture[Away],Fixture[GAME WEEK],"",0,1)</f>
        <v>2</v>
      </c>
      <c r="R9" s="90" cm="1">
        <f t="array" ref="R9">_xlfn.XLOOKUP('Face-Off'!$A9&amp;'Face-Off'!$R$1,Fixture[HomeTeam]&amp;Fixture[Away],Fixture[GAME WEEK],"",0,1)</f>
        <v>4</v>
      </c>
      <c r="S9" s="90" cm="1">
        <f t="array" ref="S9">_xlfn.XLOOKUP('Face-Off'!$A9&amp;'Face-Off'!$S$1,Fixture[HomeTeam]&amp;Fixture[Away],Fixture[GAME WEEK],"",0,1)</f>
        <v>18</v>
      </c>
      <c r="T9" s="90" cm="1">
        <f t="array" ref="T9">_xlfn.XLOOKUP('Face-Off'!$A9&amp;'Face-Off'!$T$1,Fixture[HomeTeam]&amp;Fixture[Away],Fixture[GAME WEEK],"",0,1)</f>
        <v>33</v>
      </c>
      <c r="U9" s="90" cm="1">
        <f t="array" ref="U9">_xlfn.XLOOKUP('Face-Off'!$A9&amp;'Face-Off'!$U$1,Fixture[HomeTeam]&amp;Fixture[Away],Fixture[GAME WEEK],"",0,1)</f>
        <v>27</v>
      </c>
    </row>
    <row r="10" spans="1:21">
      <c r="A10" s="85" t="s">
        <v>24</v>
      </c>
      <c r="B10" s="90" cm="1">
        <f t="array" ref="B10">_xlfn.XLOOKUP('Face-Off'!$A10&amp;'Face-Off'!$B$1,Fixture[HomeTeam]&amp;Fixture[Away],Fixture[GAME WEEK],"",0,1)</f>
        <v>17</v>
      </c>
      <c r="C10" s="90" cm="1">
        <f t="array" ref="C10">_xlfn.XLOOKUP('Face-Off'!$A10&amp;'Face-Off'!$C$1,Fixture[HomeTeam]&amp;Fixture[Away],Fixture[GAME WEEK],"",0,1)</f>
        <v>4</v>
      </c>
      <c r="D10" s="90" cm="1">
        <f t="array" ref="D10">_xlfn.XLOOKUP('Face-Off'!$A10&amp;'Face-Off'!$D$1,Fixture[HomeTeam]&amp;Fixture[Away],Fixture[GAME WEEK],"",0,1)</f>
        <v>26</v>
      </c>
      <c r="E10" s="90" cm="1">
        <f t="array" ref="E10">_xlfn.XLOOKUP('Face-Off'!$A10&amp;'Face-Off'!$E$1,Fixture[HomeTeam]&amp;Fixture[Away],Fixture[GAME WEEK],"",0,1)</f>
        <v>20</v>
      </c>
      <c r="F10" s="90" cm="1">
        <f t="array" ref="F10">_xlfn.XLOOKUP('Face-Off'!$A10&amp;'Face-Off'!$F$1,Fixture[HomeTeam]&amp;Fixture[Away],Fixture[GAME WEEK],"",0,1)</f>
        <v>2</v>
      </c>
      <c r="G10" s="90" cm="1">
        <f t="array" ref="G10">_xlfn.XLOOKUP('Face-Off'!$A10&amp;'Face-Off'!$G$1,Fixture[HomeTeam]&amp;Fixture[Away],Fixture[GAME WEEK],"",0,1)</f>
        <v>29</v>
      </c>
      <c r="H10" s="90" cm="1">
        <f t="array" ref="H10">_xlfn.XLOOKUP('Face-Off'!$A10&amp;'Face-Off'!$H$1,Fixture[HomeTeam]&amp;Fixture[Away],Fixture[GAME WEEK],"",0,1)</f>
        <v>31</v>
      </c>
      <c r="I10" s="90" cm="1">
        <f t="array" ref="I10">_xlfn.XLOOKUP('Face-Off'!$A10&amp;'Face-Off'!$I$1,Fixture[HomeTeam]&amp;Fixture[Away],Fixture[GAME WEEK],"",0,1)</f>
        <v>7</v>
      </c>
      <c r="J10" s="90" t="str" cm="1">
        <f t="array" ref="J10">_xlfn.XLOOKUP('Face-Off'!$A10&amp;'Face-Off'!$J$1,Fixture[HomeTeam]&amp;Fixture[Away],Fixture[GAME WEEK],"",0,1)</f>
        <v/>
      </c>
      <c r="K10" s="90" cm="1">
        <f t="array" ref="K10">_xlfn.XLOOKUP('Face-Off'!$A10&amp;'Face-Off'!$K$1,Fixture[HomeTeam]&amp;Fixture[Away],Fixture[GAME WEEK],"",0,1)</f>
        <v>11</v>
      </c>
      <c r="L10" s="90" cm="1">
        <f t="array" ref="L10">_xlfn.XLOOKUP('Face-Off'!$A10&amp;'Face-Off'!$L$1,Fixture[HomeTeam]&amp;Fixture[Away],Fixture[GAME WEEK],"",0,1)</f>
        <v>23</v>
      </c>
      <c r="M10" s="90" cm="1">
        <f t="array" ref="M10">_xlfn.XLOOKUP('Face-Off'!$A10&amp;'Face-Off'!$M$1,Fixture[HomeTeam]&amp;Fixture[Away],Fixture[GAME WEEK],"",0,1)</f>
        <v>33</v>
      </c>
      <c r="N10" s="90" cm="1">
        <f t="array" ref="N10">_xlfn.XLOOKUP('Face-Off'!$A10&amp;'Face-Off'!$N$1,Fixture[HomeTeam]&amp;Fixture[Away],Fixture[GAME WEEK],"",0,1)</f>
        <v>35</v>
      </c>
      <c r="O10" s="90" cm="1">
        <f t="array" ref="O10">_xlfn.XLOOKUP('Face-Off'!$A10&amp;'Face-Off'!$O$1,Fixture[HomeTeam]&amp;Fixture[Away],Fixture[GAME WEEK],"",0,1)</f>
        <v>27</v>
      </c>
      <c r="P10" s="90" cm="1">
        <f t="array" ref="P10">_xlfn.XLOOKUP('Face-Off'!$A10&amp;'Face-Off'!$P$1,Fixture[HomeTeam]&amp;Fixture[Away],Fixture[GAME WEEK],"",0,1)</f>
        <v>13</v>
      </c>
      <c r="Q10" s="90" cm="1">
        <f t="array" ref="Q10">_xlfn.XLOOKUP('Face-Off'!$A10&amp;'Face-Off'!$Q$1,Fixture[HomeTeam]&amp;Fixture[Away],Fixture[GAME WEEK],"",0,1)</f>
        <v>15</v>
      </c>
      <c r="R10" s="90" cm="1">
        <f t="array" ref="R10">_xlfn.XLOOKUP('Face-Off'!$A10&amp;'Face-Off'!$R$1,Fixture[HomeTeam]&amp;Fixture[Away],Fixture[GAME WEEK],"",0,1)</f>
        <v>37</v>
      </c>
      <c r="S10" s="90" cm="1">
        <f t="array" ref="S10">_xlfn.XLOOKUP('Face-Off'!$A10&amp;'Face-Off'!$S$1,Fixture[HomeTeam]&amp;Fixture[Away],Fixture[GAME WEEK],"",0,1)</f>
        <v>9</v>
      </c>
      <c r="T10" s="90" cm="1">
        <f t="array" ref="T10">_xlfn.XLOOKUP('Face-Off'!$A10&amp;'Face-Off'!$T$1,Fixture[HomeTeam]&amp;Fixture[Away],Fixture[GAME WEEK],"",0,1)</f>
        <v>6</v>
      </c>
      <c r="U10" s="90" cm="1">
        <f t="array" ref="U10">_xlfn.XLOOKUP('Face-Off'!$A10&amp;'Face-Off'!$U$1,Fixture[HomeTeam]&amp;Fixture[Away],Fixture[GAME WEEK],"",0,1)</f>
        <v>21</v>
      </c>
    </row>
    <row r="11" spans="1:21">
      <c r="A11" s="85" t="s">
        <v>23</v>
      </c>
      <c r="B11" s="90" cm="1">
        <f t="array" ref="B11">_xlfn.XLOOKUP('Face-Off'!$A11&amp;'Face-Off'!$B$1,Fixture[HomeTeam]&amp;Fixture[Away],Fixture[GAME WEEK],"",0,1)</f>
        <v>8</v>
      </c>
      <c r="C11" s="90" cm="1">
        <f t="array" ref="C11">_xlfn.XLOOKUP('Face-Off'!$A11&amp;'Face-Off'!$C$1,Fixture[HomeTeam]&amp;Fixture[Away],Fixture[GAME WEEK],"",0,1)</f>
        <v>34</v>
      </c>
      <c r="D11" s="90" cm="1">
        <f t="array" ref="D11">_xlfn.XLOOKUP('Face-Off'!$A11&amp;'Face-Off'!$D$1,Fixture[HomeTeam]&amp;Fixture[Away],Fixture[GAME WEEK],"",0,1)</f>
        <v>36</v>
      </c>
      <c r="E11" s="90" cm="1">
        <f t="array" ref="E11">_xlfn.XLOOKUP('Face-Off'!$A11&amp;'Face-Off'!$E$1,Fixture[HomeTeam]&amp;Fixture[Away],Fixture[GAME WEEK],"",0,1)</f>
        <v>5</v>
      </c>
      <c r="F11" s="90" cm="1">
        <f t="array" ref="F11">_xlfn.XLOOKUP('Face-Off'!$A11&amp;'Face-Off'!$F$1,Fixture[HomeTeam]&amp;Fixture[Away],Fixture[GAME WEEK],"",0,1)</f>
        <v>23</v>
      </c>
      <c r="G11" s="90" cm="1">
        <f t="array" ref="G11">_xlfn.XLOOKUP('Face-Off'!$A11&amp;'Face-Off'!$G$1,Fixture[HomeTeam]&amp;Fixture[Away],Fixture[GAME WEEK],"",0,1)</f>
        <v>31</v>
      </c>
      <c r="H11" s="90" cm="1">
        <f t="array" ref="H11">_xlfn.XLOOKUP('Face-Off'!$A11&amp;'Face-Off'!$H$1,Fixture[HomeTeam]&amp;Fixture[Away],Fixture[GAME WEEK],"",0,1)</f>
        <v>21</v>
      </c>
      <c r="I11" s="90" cm="1">
        <f t="array" ref="I11">_xlfn.XLOOKUP('Face-Off'!$A11&amp;'Face-Off'!$I$1,Fixture[HomeTeam]&amp;Fixture[Away],Fixture[GAME WEEK],"",0,1)</f>
        <v>15</v>
      </c>
      <c r="J11" s="90" cm="1">
        <f t="array" ref="J11">_xlfn.XLOOKUP('Face-Off'!$A11&amp;'Face-Off'!$J$1,Fixture[HomeTeam]&amp;Fixture[Away],Fixture[GAME WEEK],"",0,1)</f>
        <v>25</v>
      </c>
      <c r="K11" s="90" t="str" cm="1">
        <f t="array" ref="K11">_xlfn.XLOOKUP('Face-Off'!$A11&amp;'Face-Off'!$K$1,Fixture[HomeTeam]&amp;Fixture[Away],Fixture[GAME WEEK],"",0,1)</f>
        <v/>
      </c>
      <c r="L11" s="90" cm="1">
        <f t="array" ref="L11">_xlfn.XLOOKUP('Face-Off'!$A11&amp;'Face-Off'!$L$1,Fixture[HomeTeam]&amp;Fixture[Away],Fixture[GAME WEEK],"",0,1)</f>
        <v>4</v>
      </c>
      <c r="M11" s="90" cm="1">
        <f t="array" ref="M11">_xlfn.XLOOKUP('Face-Off'!$A11&amp;'Face-Off'!$M$1,Fixture[HomeTeam]&amp;Fixture[Away],Fixture[GAME WEEK],"",0,1)</f>
        <v>20</v>
      </c>
      <c r="N11" s="90" cm="1">
        <f t="array" ref="N11">_xlfn.XLOOKUP('Face-Off'!$A11&amp;'Face-Off'!$N$1,Fixture[HomeTeam]&amp;Fixture[Away],Fixture[GAME WEEK],"",0,1)</f>
        <v>14</v>
      </c>
      <c r="O11" s="90" cm="1">
        <f t="array" ref="O11">_xlfn.XLOOKUP('Face-Off'!$A11&amp;'Face-Off'!$O$1,Fixture[HomeTeam]&amp;Fixture[Away],Fixture[GAME WEEK],"",0,1)</f>
        <v>2</v>
      </c>
      <c r="P11" s="90" cm="1">
        <f t="array" ref="P11">_xlfn.XLOOKUP('Face-Off'!$A11&amp;'Face-Off'!$P$1,Fixture[HomeTeam]&amp;Fixture[Away],Fixture[GAME WEEK],"",0,1)</f>
        <v>38</v>
      </c>
      <c r="Q11" s="90" cm="1">
        <f t="array" ref="Q11">_xlfn.XLOOKUP('Face-Off'!$A11&amp;'Face-Off'!$Q$1,Fixture[HomeTeam]&amp;Fixture[Away],Fixture[GAME WEEK],"",0,1)</f>
        <v>17</v>
      </c>
      <c r="R11" s="90" cm="1">
        <f t="array" ref="R11">_xlfn.XLOOKUP('Face-Off'!$A11&amp;'Face-Off'!$R$1,Fixture[HomeTeam]&amp;Fixture[Away],Fixture[GAME WEEK],"",0,1)</f>
        <v>12</v>
      </c>
      <c r="S11" s="90" cm="1">
        <f t="array" ref="S11">_xlfn.XLOOKUP('Face-Off'!$A11&amp;'Face-Off'!$S$1,Fixture[HomeTeam]&amp;Fixture[Away],Fixture[GAME WEEK],"",0,1)</f>
        <v>28</v>
      </c>
      <c r="T11" s="90" cm="1">
        <f t="array" ref="T11">_xlfn.XLOOKUP('Face-Off'!$A11&amp;'Face-Off'!$T$1,Fixture[HomeTeam]&amp;Fixture[Away],Fixture[GAME WEEK],"",0,1)</f>
        <v>29</v>
      </c>
      <c r="U11" s="90" cm="1">
        <f t="array" ref="U11">_xlfn.XLOOKUP('Face-Off'!$A11&amp;'Face-Off'!$U$1,Fixture[HomeTeam]&amp;Fixture[Away],Fixture[GAME WEEK],"",0,1)</f>
        <v>10</v>
      </c>
    </row>
    <row r="12" spans="1:21">
      <c r="A12" s="85" t="s">
        <v>633</v>
      </c>
      <c r="B12" s="90" cm="1">
        <f t="array" ref="B12">_xlfn.XLOOKUP('Face-Off'!$A12&amp;'Face-Off'!$B$1,Fixture[HomeTeam]&amp;Fixture[Away],Fixture[GAME WEEK],"",0,1)</f>
        <v>24</v>
      </c>
      <c r="C12" s="90" cm="1">
        <f t="array" ref="C12">_xlfn.XLOOKUP('Face-Off'!$A12&amp;'Face-Off'!$C$1,Fixture[HomeTeam]&amp;Fixture[Away],Fixture[GAME WEEK],"",0,1)</f>
        <v>12</v>
      </c>
      <c r="D12" s="90" cm="1">
        <f t="array" ref="D12">_xlfn.XLOOKUP('Face-Off'!$A12&amp;'Face-Off'!$D$1,Fixture[HomeTeam]&amp;Fixture[Away],Fixture[GAME WEEK],"",0,1)</f>
        <v>6</v>
      </c>
      <c r="E12" s="90" cm="1">
        <f t="array" ref="E12">_xlfn.XLOOKUP('Face-Off'!$A12&amp;'Face-Off'!$E$1,Fixture[HomeTeam]&amp;Fixture[Away],Fixture[GAME WEEK],"",0,1)</f>
        <v>31</v>
      </c>
      <c r="F12" s="90" cm="1">
        <f t="array" ref="F12">_xlfn.XLOOKUP('Face-Off'!$A12&amp;'Face-Off'!$F$1,Fixture[HomeTeam]&amp;Fixture[Away],Fixture[GAME WEEK],"",0,1)</f>
        <v>37</v>
      </c>
      <c r="G12" s="90" cm="1">
        <f t="array" ref="G12">_xlfn.XLOOKUP('Face-Off'!$A12&amp;'Face-Off'!$G$1,Fixture[HomeTeam]&amp;Fixture[Away],Fixture[GAME WEEK],"",0,1)</f>
        <v>35</v>
      </c>
      <c r="H12" s="90" cm="1">
        <f t="array" ref="H12">_xlfn.XLOOKUP('Face-Off'!$A12&amp;'Face-Off'!$H$1,Fixture[HomeTeam]&amp;Fixture[Away],Fixture[GAME WEEK],"",0,1)</f>
        <v>14</v>
      </c>
      <c r="I12" s="90" cm="1">
        <f t="array" ref="I12">_xlfn.XLOOKUP('Face-Off'!$A12&amp;'Face-Off'!$I$1,Fixture[HomeTeam]&amp;Fixture[Away],Fixture[GAME WEEK],"",0,1)</f>
        <v>17</v>
      </c>
      <c r="J12" s="90" cm="1">
        <f t="array" ref="J12">_xlfn.XLOOKUP('Face-Off'!$A12&amp;'Face-Off'!$J$1,Fixture[HomeTeam]&amp;Fixture[Away],Fixture[GAME WEEK],"",0,1)</f>
        <v>1</v>
      </c>
      <c r="K12" s="90" cm="1">
        <f t="array" ref="K12">_xlfn.XLOOKUP('Face-Off'!$A12&amp;'Face-Off'!$K$1,Fixture[HomeTeam]&amp;Fixture[Away],Fixture[GAME WEEK],"",0,1)</f>
        <v>22</v>
      </c>
      <c r="L12" s="90" t="str" cm="1">
        <f t="array" ref="L12">_xlfn.XLOOKUP('Face-Off'!$A12&amp;'Face-Off'!$L$1,Fixture[HomeTeam]&amp;Fixture[Away],Fixture[GAME WEEK],"",0,1)</f>
        <v/>
      </c>
      <c r="M12" s="90" cm="1">
        <f t="array" ref="M12">_xlfn.XLOOKUP('Face-Off'!$A12&amp;'Face-Off'!$M$1,Fixture[HomeTeam]&amp;Fixture[Away],Fixture[GAME WEEK],"",0,1)</f>
        <v>15</v>
      </c>
      <c r="N12" s="90" cm="1">
        <f t="array" ref="N12">_xlfn.XLOOKUP('Face-Off'!$A12&amp;'Face-Off'!$N$1,Fixture[HomeTeam]&amp;Fixture[Away],Fixture[GAME WEEK],"",0,1)</f>
        <v>28</v>
      </c>
      <c r="O12" s="90" cm="1">
        <f t="array" ref="O12">_xlfn.XLOOKUP('Face-Off'!$A12&amp;'Face-Off'!$O$1,Fixture[HomeTeam]&amp;Fixture[Away],Fixture[GAME WEEK],"",0,1)</f>
        <v>20</v>
      </c>
      <c r="P12" s="90" cm="1">
        <f t="array" ref="P12">_xlfn.XLOOKUP('Face-Off'!$A12&amp;'Face-Off'!$P$1,Fixture[HomeTeam]&amp;Fixture[Away],Fixture[GAME WEEK],"",0,1)</f>
        <v>3</v>
      </c>
      <c r="Q12" s="90" cm="1">
        <f t="array" ref="Q12">_xlfn.XLOOKUP('Face-Off'!$A12&amp;'Face-Off'!$Q$1,Fixture[HomeTeam]&amp;Fixture[Away],Fixture[GAME WEEK],"",0,1)</f>
        <v>25</v>
      </c>
      <c r="R12" s="90" cm="1">
        <f t="array" ref="R12">_xlfn.XLOOKUP('Face-Off'!$A12&amp;'Face-Off'!$R$1,Fixture[HomeTeam]&amp;Fixture[Away],Fixture[GAME WEEK],"",0,1)</f>
        <v>29</v>
      </c>
      <c r="S12" s="90" cm="1">
        <f t="array" ref="S12">_xlfn.XLOOKUP('Face-Off'!$A12&amp;'Face-Off'!$S$1,Fixture[HomeTeam]&amp;Fixture[Away],Fixture[GAME WEEK],"",0,1)</f>
        <v>7</v>
      </c>
      <c r="T12" s="90" cm="1">
        <f t="array" ref="T12">_xlfn.XLOOKUP('Face-Off'!$A12&amp;'Face-Off'!$T$1,Fixture[HomeTeam]&amp;Fixture[Away],Fixture[GAME WEEK],"",0,1)</f>
        <v>9</v>
      </c>
      <c r="U12" s="90" cm="1">
        <f t="array" ref="U12">_xlfn.XLOOKUP('Face-Off'!$A12&amp;'Face-Off'!$U$1,Fixture[HomeTeam]&amp;Fixture[Away],Fixture[GAME WEEK],"",0,1)</f>
        <v>33</v>
      </c>
    </row>
    <row r="13" spans="1:21">
      <c r="A13" s="85" t="s">
        <v>17</v>
      </c>
      <c r="B13" s="90" cm="1">
        <f t="array" ref="B13">_xlfn.XLOOKUP('Face-Off'!$A13&amp;'Face-Off'!$B$1,Fixture[HomeTeam]&amp;Fixture[Away],Fixture[GAME WEEK],"",0,1)</f>
        <v>3</v>
      </c>
      <c r="C13" s="90" cm="1">
        <f t="array" ref="C13">_xlfn.XLOOKUP('Face-Off'!$A13&amp;'Face-Off'!$C$1,Fixture[HomeTeam]&amp;Fixture[Away],Fixture[GAME WEEK],"",0,1)</f>
        <v>10</v>
      </c>
      <c r="D13" s="90" cm="1">
        <f t="array" ref="D13">_xlfn.XLOOKUP('Face-Off'!$A13&amp;'Face-Off'!$D$1,Fixture[HomeTeam]&amp;Fixture[Away],Fixture[GAME WEEK],"",0,1)</f>
        <v>1</v>
      </c>
      <c r="E13" s="90" cm="1">
        <f t="array" ref="E13">_xlfn.XLOOKUP('Face-Off'!$A13&amp;'Face-Off'!$E$1,Fixture[HomeTeam]&amp;Fixture[Away],Fixture[GAME WEEK],"",0,1)</f>
        <v>38</v>
      </c>
      <c r="F13" s="90" cm="1">
        <f t="array" ref="F13">_xlfn.XLOOKUP('Face-Off'!$A13&amp;'Face-Off'!$F$1,Fixture[HomeTeam]&amp;Fixture[Away],Fixture[GAME WEEK],"",0,1)</f>
        <v>16</v>
      </c>
      <c r="G13" s="90" cm="1">
        <f t="array" ref="G13">_xlfn.XLOOKUP('Face-Off'!$A13&amp;'Face-Off'!$G$1,Fixture[HomeTeam]&amp;Fixture[Away],Fixture[GAME WEEK],"",0,1)</f>
        <v>22</v>
      </c>
      <c r="H13" s="90" cm="1">
        <f t="array" ref="H13">_xlfn.XLOOKUP('Face-Off'!$A13&amp;'Face-Off'!$H$1,Fixture[HomeTeam]&amp;Fixture[Away],Fixture[GAME WEEK],"",0,1)</f>
        <v>36</v>
      </c>
      <c r="I13" s="90" cm="1">
        <f t="array" ref="I13">_xlfn.XLOOKUP('Face-Off'!$A13&amp;'Face-Off'!$I$1,Fixture[HomeTeam]&amp;Fixture[Away],Fixture[GAME WEEK],"",0,1)</f>
        <v>34</v>
      </c>
      <c r="J13" s="90" cm="1">
        <f t="array" ref="J13">_xlfn.XLOOKUP('Face-Off'!$A13&amp;'Face-Off'!$J$1,Fixture[HomeTeam]&amp;Fixture[Away],Fixture[GAME WEEK],"",0,1)</f>
        <v>5</v>
      </c>
      <c r="K13" s="90" cm="1">
        <f t="array" ref="K13">_xlfn.XLOOKUP('Face-Off'!$A13&amp;'Face-Off'!$K$1,Fixture[HomeTeam]&amp;Fixture[Away],Fixture[GAME WEEK],"",0,1)</f>
        <v>32</v>
      </c>
      <c r="L13" s="90" cm="1">
        <f t="array" ref="L13">_xlfn.XLOOKUP('Face-Off'!$A13&amp;'Face-Off'!$L$1,Fixture[HomeTeam]&amp;Fixture[Away],Fixture[GAME WEEK],"",0,1)</f>
        <v>19</v>
      </c>
      <c r="M13" s="90" t="str" cm="1">
        <f t="array" ref="M13">_xlfn.XLOOKUP('Face-Off'!$A13&amp;'Face-Off'!$M$1,Fixture[HomeTeam]&amp;Fixture[Away],Fixture[GAME WEEK],"",0,1)</f>
        <v/>
      </c>
      <c r="N13" s="90" cm="1">
        <f t="array" ref="N13">_xlfn.XLOOKUP('Face-Off'!$A13&amp;'Face-Off'!$N$1,Fixture[HomeTeam]&amp;Fixture[Away],Fixture[GAME WEEK],"",0,1)</f>
        <v>25</v>
      </c>
      <c r="O13" s="90" cm="1">
        <f t="array" ref="O13">_xlfn.XLOOKUP('Face-Off'!$A13&amp;'Face-Off'!$O$1,Fixture[HomeTeam]&amp;Fixture[Away],Fixture[GAME WEEK],"",0,1)</f>
        <v>8</v>
      </c>
      <c r="P13" s="90" cm="1">
        <f t="array" ref="P13">_xlfn.XLOOKUP('Face-Off'!$A13&amp;'Face-Off'!$P$1,Fixture[HomeTeam]&amp;Fixture[Away],Fixture[GAME WEEK],"",0,1)</f>
        <v>24</v>
      </c>
      <c r="Q13" s="90" cm="1">
        <f t="array" ref="Q13">_xlfn.XLOOKUP('Face-Off'!$A13&amp;'Face-Off'!$Q$1,Fixture[HomeTeam]&amp;Fixture[Away],Fixture[GAME WEEK],"",0,1)</f>
        <v>12</v>
      </c>
      <c r="R13" s="90" cm="1">
        <f t="array" ref="R13">_xlfn.XLOOKUP('Face-Off'!$A13&amp;'Face-Off'!$R$1,Fixture[HomeTeam]&amp;Fixture[Away],Fixture[GAME WEEK],"",0,1)</f>
        <v>14</v>
      </c>
      <c r="S13" s="90" cm="1">
        <f t="array" ref="S13">_xlfn.XLOOKUP('Face-Off'!$A13&amp;'Face-Off'!$S$1,Fixture[HomeTeam]&amp;Fixture[Away],Fixture[GAME WEEK],"",0,1)</f>
        <v>30</v>
      </c>
      <c r="T13" s="90" cm="1">
        <f t="array" ref="T13">_xlfn.XLOOKUP('Face-Off'!$A13&amp;'Face-Off'!$T$1,Fixture[HomeTeam]&amp;Fixture[Away],Fixture[GAME WEEK],"",0,1)</f>
        <v>28</v>
      </c>
      <c r="U13" s="90" cm="1">
        <f t="array" ref="U13">_xlfn.XLOOKUP('Face-Off'!$A13&amp;'Face-Off'!$U$1,Fixture[HomeTeam]&amp;Fixture[Away],Fixture[GAME WEEK],"",0,1)</f>
        <v>18</v>
      </c>
    </row>
    <row r="14" spans="1:21">
      <c r="A14" s="85" t="s">
        <v>29</v>
      </c>
      <c r="B14" s="90" cm="1">
        <f t="array" ref="B14">_xlfn.XLOOKUP('Face-Off'!$A14&amp;'Face-Off'!$B$1,Fixture[HomeTeam]&amp;Fixture[Away],Fixture[GAME WEEK],"",0,1)</f>
        <v>33</v>
      </c>
      <c r="C14" s="90" cm="1">
        <f t="array" ref="C14">_xlfn.XLOOKUP('Face-Off'!$A14&amp;'Face-Off'!$C$1,Fixture[HomeTeam]&amp;Fixture[Away],Fixture[GAME WEEK],"",0,1)</f>
        <v>38</v>
      </c>
      <c r="D14" s="90" cm="1">
        <f t="array" ref="D14">_xlfn.XLOOKUP('Face-Off'!$A14&amp;'Face-Off'!$D$1,Fixture[HomeTeam]&amp;Fixture[Away],Fixture[GAME WEEK],"",0,1)</f>
        <v>10</v>
      </c>
      <c r="E14" s="90" cm="1">
        <f t="array" ref="E14">_xlfn.XLOOKUP('Face-Off'!$A14&amp;'Face-Off'!$E$1,Fixture[HomeTeam]&amp;Fixture[Away],Fixture[GAME WEEK],"",0,1)</f>
        <v>36</v>
      </c>
      <c r="F14" s="90" cm="1">
        <f t="array" ref="F14">_xlfn.XLOOKUP('Face-Off'!$A14&amp;'Face-Off'!$F$1,Fixture[HomeTeam]&amp;Fixture[Away],Fixture[GAME WEEK],"",0,1)</f>
        <v>21</v>
      </c>
      <c r="G14" s="90" cm="1">
        <f t="array" ref="G14">_xlfn.XLOOKUP('Face-Off'!$A14&amp;'Face-Off'!$G$1,Fixture[HomeTeam]&amp;Fixture[Away],Fixture[GAME WEEK],"",0,1)</f>
        <v>6</v>
      </c>
      <c r="H14" s="90" cm="1">
        <f t="array" ref="H14">_xlfn.XLOOKUP('Face-Off'!$A14&amp;'Face-Off'!$H$1,Fixture[HomeTeam]&amp;Fixture[Away],Fixture[GAME WEEK],"",0,1)</f>
        <v>20</v>
      </c>
      <c r="I14" s="90" cm="1">
        <f t="array" ref="I14">_xlfn.XLOOKUP('Face-Off'!$A14&amp;'Face-Off'!$I$1,Fixture[HomeTeam]&amp;Fixture[Away],Fixture[GAME WEEK],"",0,1)</f>
        <v>31</v>
      </c>
      <c r="J14" s="90" cm="1">
        <f t="array" ref="J14">_xlfn.XLOOKUP('Face-Off'!$A14&amp;'Face-Off'!$J$1,Fixture[HomeTeam]&amp;Fixture[Away],Fixture[GAME WEEK],"",0,1)</f>
        <v>8</v>
      </c>
      <c r="K14" s="90" cm="1">
        <f t="array" ref="K14">_xlfn.XLOOKUP('Face-Off'!$A14&amp;'Face-Off'!$K$1,Fixture[HomeTeam]&amp;Fixture[Away],Fixture[GAME WEEK],"",0,1)</f>
        <v>26</v>
      </c>
      <c r="L14" s="90" cm="1">
        <f t="array" ref="L14">_xlfn.XLOOKUP('Face-Off'!$A14&amp;'Face-Off'!$L$1,Fixture[HomeTeam]&amp;Fixture[Away],Fixture[GAME WEEK],"",0,1)</f>
        <v>13</v>
      </c>
      <c r="M14" s="90" cm="1">
        <f t="array" ref="M14">_xlfn.XLOOKUP('Face-Off'!$A14&amp;'Face-Off'!$M$1,Fixture[HomeTeam]&amp;Fixture[Away],Fixture[GAME WEEK],"",0,1)</f>
        <v>11</v>
      </c>
      <c r="N14" s="90" t="str" cm="1">
        <f t="array" ref="N14">_xlfn.XLOOKUP('Face-Off'!$A14&amp;'Face-Off'!$N$1,Fixture[HomeTeam]&amp;Fixture[Away],Fixture[GAME WEEK],"",0,1)</f>
        <v/>
      </c>
      <c r="O14" s="90" cm="1">
        <f t="array" ref="O14">_xlfn.XLOOKUP('Face-Off'!$A14&amp;'Face-Off'!$O$1,Fixture[HomeTeam]&amp;Fixture[Away],Fixture[GAME WEEK],"",0,1)</f>
        <v>4</v>
      </c>
      <c r="P14" s="90" cm="1">
        <f t="array" ref="P14">_xlfn.XLOOKUP('Face-Off'!$A14&amp;'Face-Off'!$P$1,Fixture[HomeTeam]&amp;Fixture[Away],Fixture[GAME WEEK],"",0,1)</f>
        <v>27</v>
      </c>
      <c r="Q14" s="90" cm="1">
        <f t="array" ref="Q14">_xlfn.XLOOKUP('Face-Off'!$A14&amp;'Face-Off'!$Q$1,Fixture[HomeTeam]&amp;Fixture[Away],Fixture[GAME WEEK],"",0,1)</f>
        <v>29</v>
      </c>
      <c r="R14" s="90" cm="1">
        <f t="array" ref="R14">_xlfn.XLOOKUP('Face-Off'!$A14&amp;'Face-Off'!$R$1,Fixture[HomeTeam]&amp;Fixture[Away],Fixture[GAME WEEK],"",0,1)</f>
        <v>15</v>
      </c>
      <c r="S14" s="90" cm="1">
        <f t="array" ref="S14">_xlfn.XLOOKUP('Face-Off'!$A14&amp;'Face-Off'!$S$1,Fixture[HomeTeam]&amp;Fixture[Away],Fixture[GAME WEEK],"",0,1)</f>
        <v>2</v>
      </c>
      <c r="T14" s="90" cm="1">
        <f t="array" ref="T14">_xlfn.XLOOKUP('Face-Off'!$A14&amp;'Face-Off'!$T$1,Fixture[HomeTeam]&amp;Fixture[Away],Fixture[GAME WEEK],"",0,1)</f>
        <v>17</v>
      </c>
      <c r="U14" s="90" cm="1">
        <f t="array" ref="U14">_xlfn.XLOOKUP('Face-Off'!$A14&amp;'Face-Off'!$U$1,Fixture[HomeTeam]&amp;Fixture[Away],Fixture[GAME WEEK],"",0,1)</f>
        <v>23</v>
      </c>
    </row>
    <row r="15" spans="1:21">
      <c r="A15" s="85" t="s">
        <v>30</v>
      </c>
      <c r="B15" s="90" cm="1">
        <f t="array" ref="B15">_xlfn.XLOOKUP('Face-Off'!$A15&amp;'Face-Off'!$B$1,Fixture[HomeTeam]&amp;Fixture[Away],Fixture[GAME WEEK],"",0,1)</f>
        <v>1</v>
      </c>
      <c r="C15" s="90" cm="1">
        <f t="array" ref="C15">_xlfn.XLOOKUP('Face-Off'!$A15&amp;'Face-Off'!$C$1,Fixture[HomeTeam]&amp;Fixture[Away],Fixture[GAME WEEK],"",0,1)</f>
        <v>30</v>
      </c>
      <c r="D15" s="90" cm="1">
        <f t="array" ref="D15">_xlfn.XLOOKUP('Face-Off'!$A15&amp;'Face-Off'!$D$1,Fixture[HomeTeam]&amp;Fixture[Away],Fixture[GAME WEEK],"",0,1)</f>
        <v>16</v>
      </c>
      <c r="E15" s="90" cm="1">
        <f t="array" ref="E15">_xlfn.XLOOKUP('Face-Off'!$A15&amp;'Face-Off'!$E$1,Fixture[HomeTeam]&amp;Fixture[Away],Fixture[GAME WEEK],"",0,1)</f>
        <v>34</v>
      </c>
      <c r="F15" s="90" cm="1">
        <f t="array" ref="F15">_xlfn.XLOOKUP('Face-Off'!$A15&amp;'Face-Off'!$F$1,Fixture[HomeTeam]&amp;Fixture[Away],Fixture[GAME WEEK],"",0,1)</f>
        <v>9</v>
      </c>
      <c r="G15" s="90" cm="1">
        <f t="array" ref="G15">_xlfn.XLOOKUP('Face-Off'!$A15&amp;'Face-Off'!$G$1,Fixture[HomeTeam]&amp;Fixture[Away],Fixture[GAME WEEK],"",0,1)</f>
        <v>3</v>
      </c>
      <c r="H15" s="90" cm="1">
        <f t="array" ref="H15">_xlfn.XLOOKUP('Face-Off'!$A15&amp;'Face-Off'!$H$1,Fixture[HomeTeam]&amp;Fixture[Away],Fixture[GAME WEEK],"",0,1)</f>
        <v>5</v>
      </c>
      <c r="I15" s="90" cm="1">
        <f t="array" ref="I15">_xlfn.XLOOKUP('Face-Off'!$A15&amp;'Face-Off'!$I$1,Fixture[HomeTeam]&amp;Fixture[Away],Fixture[GAME WEEK],"",0,1)</f>
        <v>28</v>
      </c>
      <c r="J15" s="90" cm="1">
        <f t="array" ref="J15">_xlfn.XLOOKUP('Face-Off'!$A15&amp;'Face-Off'!$J$1,Fixture[HomeTeam]&amp;Fixture[Away],Fixture[GAME WEEK],"",0,1)</f>
        <v>12</v>
      </c>
      <c r="K15" s="90" cm="1">
        <f t="array" ref="K15">_xlfn.XLOOKUP('Face-Off'!$A15&amp;'Face-Off'!$K$1,Fixture[HomeTeam]&amp;Fixture[Away],Fixture[GAME WEEK],"",0,1)</f>
        <v>24</v>
      </c>
      <c r="L15" s="90" cm="1">
        <f t="array" ref="L15">_xlfn.XLOOKUP('Face-Off'!$A15&amp;'Face-Off'!$L$1,Fixture[HomeTeam]&amp;Fixture[Away],Fixture[GAME WEEK],"",0,1)</f>
        <v>32</v>
      </c>
      <c r="M15" s="90" cm="1">
        <f t="array" ref="M15">_xlfn.XLOOKUP('Face-Off'!$A15&amp;'Face-Off'!$M$1,Fixture[HomeTeam]&amp;Fixture[Away],Fixture[GAME WEEK],"",0,1)</f>
        <v>35</v>
      </c>
      <c r="N15" s="90" cm="1">
        <f t="array" ref="N15">_xlfn.XLOOKUP('Face-Off'!$A15&amp;'Face-Off'!$N$1,Fixture[HomeTeam]&amp;Fixture[Away],Fixture[GAME WEEK],"",0,1)</f>
        <v>22</v>
      </c>
      <c r="O15" s="90" t="str" cm="1">
        <f t="array" ref="O15">_xlfn.XLOOKUP('Face-Off'!$A15&amp;'Face-Off'!$O$1,Fixture[HomeTeam]&amp;Fixture[Away],Fixture[GAME WEEK],"",0,1)</f>
        <v/>
      </c>
      <c r="P15" s="90" cm="1">
        <f t="array" ref="P15">_xlfn.XLOOKUP('Face-Off'!$A15&amp;'Face-Off'!$P$1,Fixture[HomeTeam]&amp;Fixture[Away],Fixture[GAME WEEK],"",0,1)</f>
        <v>18</v>
      </c>
      <c r="Q15" s="90" cm="1">
        <f t="array" ref="Q15">_xlfn.XLOOKUP('Face-Off'!$A15&amp;'Face-Off'!$Q$1,Fixture[HomeTeam]&amp;Fixture[Away],Fixture[GAME WEEK],"",0,1)</f>
        <v>37</v>
      </c>
      <c r="R15" s="90" cm="1">
        <f t="array" ref="R15">_xlfn.XLOOKUP('Face-Off'!$A15&amp;'Face-Off'!$R$1,Fixture[HomeTeam]&amp;Fixture[Away],Fixture[GAME WEEK],"",0,1)</f>
        <v>7</v>
      </c>
      <c r="S15" s="90" cm="1">
        <f t="array" ref="S15">_xlfn.XLOOKUP('Face-Off'!$A15&amp;'Face-Off'!$S$1,Fixture[HomeTeam]&amp;Fixture[Away],Fixture[GAME WEEK],"",0,1)</f>
        <v>25</v>
      </c>
      <c r="T15" s="90" cm="1">
        <f t="array" ref="T15">_xlfn.XLOOKUP('Face-Off'!$A15&amp;'Face-Off'!$T$1,Fixture[HomeTeam]&amp;Fixture[Away],Fixture[GAME WEEK],"",0,1)</f>
        <v>14</v>
      </c>
      <c r="U15" s="90" cm="1">
        <f t="array" ref="U15">_xlfn.XLOOKUP('Face-Off'!$A15&amp;'Face-Off'!$U$1,Fixture[HomeTeam]&amp;Fixture[Away],Fixture[GAME WEEK],"",0,1)</f>
        <v>19</v>
      </c>
    </row>
    <row r="16" spans="1:21">
      <c r="A16" s="85" t="s">
        <v>25</v>
      </c>
      <c r="B16" s="90" cm="1">
        <f t="array" ref="B16">_xlfn.XLOOKUP('Face-Off'!$A16&amp;'Face-Off'!$B$1,Fixture[HomeTeam]&amp;Fixture[Away],Fixture[GAME WEEK],"",0,1)</f>
        <v>6</v>
      </c>
      <c r="C16" s="90" cm="1">
        <f t="array" ref="C16">_xlfn.XLOOKUP('Face-Off'!$A16&amp;'Face-Off'!$C$1,Fixture[HomeTeam]&amp;Fixture[Away],Fixture[GAME WEEK],"",0,1)</f>
        <v>23</v>
      </c>
      <c r="D16" s="90" cm="1">
        <f t="array" ref="D16">_xlfn.XLOOKUP('Face-Off'!$A16&amp;'Face-Off'!$D$1,Fixture[HomeTeam]&amp;Fixture[Away],Fixture[GAME WEEK],"",0,1)</f>
        <v>33</v>
      </c>
      <c r="E16" s="90" cm="1">
        <f t="array" ref="E16">_xlfn.XLOOKUP('Face-Off'!$A16&amp;'Face-Off'!$E$1,Fixture[HomeTeam]&amp;Fixture[Away],Fixture[GAME WEEK],"",0,1)</f>
        <v>25</v>
      </c>
      <c r="F16" s="90" cm="1">
        <f t="array" ref="F16">_xlfn.XLOOKUP('Face-Off'!$A16&amp;'Face-Off'!$F$1,Fixture[HomeTeam]&amp;Fixture[Away],Fixture[GAME WEEK],"",0,1)</f>
        <v>35</v>
      </c>
      <c r="G16" s="90" cm="1">
        <f t="array" ref="G16">_xlfn.XLOOKUP('Face-Off'!$A16&amp;'Face-Off'!$G$1,Fixture[HomeTeam]&amp;Fixture[Away],Fixture[GAME WEEK],"",0,1)</f>
        <v>15</v>
      </c>
      <c r="H16" s="90" cm="1">
        <f t="array" ref="H16">_xlfn.XLOOKUP('Face-Off'!$A16&amp;'Face-Off'!$H$1,Fixture[HomeTeam]&amp;Fixture[Away],Fixture[GAME WEEK],"",0,1)</f>
        <v>17</v>
      </c>
      <c r="I16" s="90" cm="1">
        <f t="array" ref="I16">_xlfn.XLOOKUP('Face-Off'!$A16&amp;'Face-Off'!$I$1,Fixture[HomeTeam]&amp;Fixture[Away],Fixture[GAME WEEK],"",0,1)</f>
        <v>20</v>
      </c>
      <c r="J16" s="90" cm="1">
        <f t="array" ref="J16">_xlfn.XLOOKUP('Face-Off'!$A16&amp;'Face-Off'!$J$1,Fixture[HomeTeam]&amp;Fixture[Away],Fixture[GAME WEEK],"",0,1)</f>
        <v>28</v>
      </c>
      <c r="K16" s="90" cm="1">
        <f t="array" ref="K16">_xlfn.XLOOKUP('Face-Off'!$A16&amp;'Face-Off'!$K$1,Fixture[HomeTeam]&amp;Fixture[Away],Fixture[GAME WEEK],"",0,1)</f>
        <v>9</v>
      </c>
      <c r="L16" s="90" cm="1">
        <f t="array" ref="L16">_xlfn.XLOOKUP('Face-Off'!$A16&amp;'Face-Off'!$L$1,Fixture[HomeTeam]&amp;Fixture[Away],Fixture[GAME WEEK],"",0,1)</f>
        <v>21</v>
      </c>
      <c r="M16" s="90" cm="1">
        <f t="array" ref="M16">_xlfn.XLOOKUP('Face-Off'!$A16&amp;'Face-Off'!$M$1,Fixture[HomeTeam]&amp;Fixture[Away],Fixture[GAME WEEK],"",0,1)</f>
        <v>2</v>
      </c>
      <c r="N16" s="90" cm="1">
        <f t="array" ref="N16">_xlfn.XLOOKUP('Face-Off'!$A16&amp;'Face-Off'!$N$1,Fixture[HomeTeam]&amp;Fixture[Away],Fixture[GAME WEEK],"",0,1)</f>
        <v>12</v>
      </c>
      <c r="O16" s="90" cm="1">
        <f t="array" ref="O16">_xlfn.XLOOKUP('Face-Off'!$A16&amp;'Face-Off'!$O$1,Fixture[HomeTeam]&amp;Fixture[Away],Fixture[GAME WEEK],"",0,1)</f>
        <v>29</v>
      </c>
      <c r="P16" s="90" t="str" cm="1">
        <f t="array" ref="P16">_xlfn.XLOOKUP('Face-Off'!$A16&amp;'Face-Off'!$P$1,Fixture[HomeTeam]&amp;Fixture[Away],Fixture[GAME WEEK],"",0,1)</f>
        <v/>
      </c>
      <c r="Q16" s="90" cm="1">
        <f t="array" ref="Q16">_xlfn.XLOOKUP('Face-Off'!$A16&amp;'Face-Off'!$Q$1,Fixture[HomeTeam]&amp;Fixture[Away],Fixture[GAME WEEK],"",0,1)</f>
        <v>7</v>
      </c>
      <c r="R16" s="90" cm="1">
        <f t="array" ref="R16">_xlfn.XLOOKUP('Face-Off'!$A16&amp;'Face-Off'!$R$1,Fixture[HomeTeam]&amp;Fixture[Away],Fixture[GAME WEEK],"",0,1)</f>
        <v>31</v>
      </c>
      <c r="S16" s="90" cm="1">
        <f t="array" ref="S16">_xlfn.XLOOKUP('Face-Off'!$A16&amp;'Face-Off'!$S$1,Fixture[HomeTeam]&amp;Fixture[Away],Fixture[GAME WEEK],"",0,1)</f>
        <v>14</v>
      </c>
      <c r="T16" s="90" cm="1">
        <f t="array" ref="T16">_xlfn.XLOOKUP('Face-Off'!$A16&amp;'Face-Off'!$T$1,Fixture[HomeTeam]&amp;Fixture[Away],Fixture[GAME WEEK],"",0,1)</f>
        <v>37</v>
      </c>
      <c r="U16" s="90" cm="1">
        <f t="array" ref="U16">_xlfn.XLOOKUP('Face-Off'!$A16&amp;'Face-Off'!$U$1,Fixture[HomeTeam]&amp;Fixture[Away],Fixture[GAME WEEK],"",0,1)</f>
        <v>4</v>
      </c>
    </row>
    <row r="17" spans="1:21">
      <c r="A17" s="85" t="s">
        <v>52</v>
      </c>
      <c r="B17" s="90" cm="1">
        <f t="array" ref="B17">_xlfn.XLOOKUP('Face-Off'!$A17&amp;'Face-Off'!$B$1,Fixture[HomeTeam]&amp;Fixture[Away],Fixture[GAME WEEK],"",0,1)</f>
        <v>22</v>
      </c>
      <c r="C17" s="90" cm="1">
        <f t="array" ref="C17">_xlfn.XLOOKUP('Face-Off'!$A17&amp;'Face-Off'!$C$1,Fixture[HomeTeam]&amp;Fixture[Away],Fixture[GAME WEEK],"",0,1)</f>
        <v>32</v>
      </c>
      <c r="D17" s="90" cm="1">
        <f t="array" ref="D17">_xlfn.XLOOKUP('Face-Off'!$A17&amp;'Face-Off'!$D$1,Fixture[HomeTeam]&amp;Fixture[Away],Fixture[GAME WEEK],"",0,1)</f>
        <v>38</v>
      </c>
      <c r="E17" s="90" cm="1">
        <f t="array" ref="E17">_xlfn.XLOOKUP('Face-Off'!$A17&amp;'Face-Off'!$E$1,Fixture[HomeTeam]&amp;Fixture[Away],Fixture[GAME WEEK],"",0,1)</f>
        <v>1</v>
      </c>
      <c r="F17" s="90" cm="1">
        <f t="array" ref="F17">_xlfn.XLOOKUP('Face-Off'!$A17&amp;'Face-Off'!$F$1,Fixture[HomeTeam]&amp;Fixture[Away],Fixture[GAME WEEK],"",0,1)</f>
        <v>13</v>
      </c>
      <c r="G17" s="90" cm="1">
        <f t="array" ref="G17">_xlfn.XLOOKUP('Face-Off'!$A17&amp;'Face-Off'!$G$1,Fixture[HomeTeam]&amp;Fixture[Away],Fixture[GAME WEEK],"",0,1)</f>
        <v>33</v>
      </c>
      <c r="H17" s="90" cm="1">
        <f t="array" ref="H17">_xlfn.XLOOKUP('Face-Off'!$A17&amp;'Face-Off'!$H$1,Fixture[HomeTeam]&amp;Fixture[Away],Fixture[GAME WEEK],"",0,1)</f>
        <v>8</v>
      </c>
      <c r="I17" s="90" cm="1">
        <f t="array" ref="I17">_xlfn.XLOOKUP('Face-Off'!$A17&amp;'Face-Off'!$I$1,Fixture[HomeTeam]&amp;Fixture[Away],Fixture[GAME WEEK],"",0,1)</f>
        <v>24</v>
      </c>
      <c r="J17" s="90" cm="1">
        <f t="array" ref="J17">_xlfn.XLOOKUP('Face-Off'!$A17&amp;'Face-Off'!$J$1,Fixture[HomeTeam]&amp;Fixture[Away],Fixture[GAME WEEK],"",0,1)</f>
        <v>19</v>
      </c>
      <c r="K17" s="90" cm="1">
        <f t="array" ref="K17">_xlfn.XLOOKUP('Face-Off'!$A17&amp;'Face-Off'!$K$1,Fixture[HomeTeam]&amp;Fixture[Away],Fixture[GAME WEEK],"",0,1)</f>
        <v>30</v>
      </c>
      <c r="L17" s="90" cm="1">
        <f t="array" ref="L17">_xlfn.XLOOKUP('Face-Off'!$A17&amp;'Face-Off'!$L$1,Fixture[HomeTeam]&amp;Fixture[Away],Fixture[GAME WEEK],"",0,1)</f>
        <v>11</v>
      </c>
      <c r="M17" s="90" cm="1">
        <f t="array" ref="M17">_xlfn.XLOOKUP('Face-Off'!$A17&amp;'Face-Off'!$M$1,Fixture[HomeTeam]&amp;Fixture[Away],Fixture[GAME WEEK],"",0,1)</f>
        <v>27</v>
      </c>
      <c r="N17" s="90" cm="1">
        <f t="array" ref="N17">_xlfn.XLOOKUP('Face-Off'!$A17&amp;'Face-Off'!$N$1,Fixture[HomeTeam]&amp;Fixture[Away],Fixture[GAME WEEK],"",0,1)</f>
        <v>18</v>
      </c>
      <c r="O17" s="90" cm="1">
        <f t="array" ref="O17">_xlfn.XLOOKUP('Face-Off'!$A17&amp;'Face-Off'!$O$1,Fixture[HomeTeam]&amp;Fixture[Away],Fixture[GAME WEEK],"",0,1)</f>
        <v>10</v>
      </c>
      <c r="P17" s="90" cm="1">
        <f t="array" ref="P17">_xlfn.XLOOKUP('Face-Off'!$A17&amp;'Face-Off'!$P$1,Fixture[HomeTeam]&amp;Fixture[Away],Fixture[GAME WEEK],"",0,1)</f>
        <v>36</v>
      </c>
      <c r="Q17" s="90" t="str" cm="1">
        <f t="array" ref="Q17">_xlfn.XLOOKUP('Face-Off'!$A17&amp;'Face-Off'!$Q$1,Fixture[HomeTeam]&amp;Fixture[Away],Fixture[GAME WEEK],"",0,1)</f>
        <v/>
      </c>
      <c r="R17" s="90" cm="1">
        <f t="array" ref="R17">_xlfn.XLOOKUP('Face-Off'!$A17&amp;'Face-Off'!$R$1,Fixture[HomeTeam]&amp;Fixture[Away],Fixture[GAME WEEK],"",0,1)</f>
        <v>6</v>
      </c>
      <c r="S17" s="90" cm="1">
        <f t="array" ref="S17">_xlfn.XLOOKUP('Face-Off'!$A17&amp;'Face-Off'!$S$1,Fixture[HomeTeam]&amp;Fixture[Away],Fixture[GAME WEEK],"",0,1)</f>
        <v>16</v>
      </c>
      <c r="T17" s="90" cm="1">
        <f t="array" ref="T17">_xlfn.XLOOKUP('Face-Off'!$A17&amp;'Face-Off'!$T$1,Fixture[HomeTeam]&amp;Fixture[Away],Fixture[GAME WEEK],"",0,1)</f>
        <v>3</v>
      </c>
      <c r="U17" s="90" cm="1">
        <f t="array" ref="U17">_xlfn.XLOOKUP('Face-Off'!$A17&amp;'Face-Off'!$U$1,Fixture[HomeTeam]&amp;Fixture[Away],Fixture[GAME WEEK],"",0,1)</f>
        <v>26</v>
      </c>
    </row>
    <row r="18" spans="1:21">
      <c r="A18" s="85" t="s">
        <v>634</v>
      </c>
      <c r="B18" s="90" cm="1">
        <f t="array" ref="B18">_xlfn.XLOOKUP('Face-Off'!$A18&amp;'Face-Off'!$B$1,Fixture[HomeTeam]&amp;Fixture[Away],Fixture[GAME WEEK],"",0,1)</f>
        <v>11</v>
      </c>
      <c r="C18" s="90" cm="1">
        <f t="array" ref="C18">_xlfn.XLOOKUP('Face-Off'!$A18&amp;'Face-Off'!$C$1,Fixture[HomeTeam]&amp;Fixture[Away],Fixture[GAME WEEK],"",0,1)</f>
        <v>5</v>
      </c>
      <c r="D18" s="90" cm="1">
        <f t="array" ref="D18">_xlfn.XLOOKUP('Face-Off'!$A18&amp;'Face-Off'!$D$1,Fixture[HomeTeam]&amp;Fixture[Away],Fixture[GAME WEEK],"",0,1)</f>
        <v>13</v>
      </c>
      <c r="E18" s="90" cm="1">
        <f t="array" ref="E18">_xlfn.XLOOKUP('Face-Off'!$A18&amp;'Face-Off'!$E$1,Fixture[HomeTeam]&amp;Fixture[Away],Fixture[GAME WEEK],"",0,1)</f>
        <v>3</v>
      </c>
      <c r="F18" s="90" cm="1">
        <f t="array" ref="F18">_xlfn.XLOOKUP('Face-Off'!$A18&amp;'Face-Off'!$F$1,Fixture[HomeTeam]&amp;Fixture[Away],Fixture[GAME WEEK],"",0,1)</f>
        <v>30</v>
      </c>
      <c r="G18" s="90" cm="1">
        <f t="array" ref="G18">_xlfn.XLOOKUP('Face-Off'!$A18&amp;'Face-Off'!$G$1,Fixture[HomeTeam]&amp;Fixture[Away],Fixture[GAME WEEK],"",0,1)</f>
        <v>24</v>
      </c>
      <c r="H18" s="90" cm="1">
        <f t="array" ref="H18">_xlfn.XLOOKUP('Face-Off'!$A18&amp;'Face-Off'!$H$1,Fixture[HomeTeam]&amp;Fixture[Away],Fixture[GAME WEEK],"",0,1)</f>
        <v>38</v>
      </c>
      <c r="I18" s="90" cm="1">
        <f t="array" ref="I18">_xlfn.XLOOKUP('Face-Off'!$A18&amp;'Face-Off'!$I$1,Fixture[HomeTeam]&amp;Fixture[Away],Fixture[GAME WEEK],"",0,1)</f>
        <v>22</v>
      </c>
      <c r="J18" s="90" cm="1">
        <f t="array" ref="J18">_xlfn.XLOOKUP('Face-Off'!$A18&amp;'Face-Off'!$J$1,Fixture[HomeTeam]&amp;Fixture[Away],Fixture[GAME WEEK],"",0,1)</f>
        <v>10</v>
      </c>
      <c r="K18" s="90" cm="1">
        <f t="array" ref="K18">_xlfn.XLOOKUP('Face-Off'!$A18&amp;'Face-Off'!$K$1,Fixture[HomeTeam]&amp;Fixture[Away],Fixture[GAME WEEK],"",0,1)</f>
        <v>27</v>
      </c>
      <c r="L18" s="90" cm="1">
        <f t="array" ref="L18">_xlfn.XLOOKUP('Face-Off'!$A18&amp;'Face-Off'!$L$1,Fixture[HomeTeam]&amp;Fixture[Away],Fixture[GAME WEEK],"",0,1)</f>
        <v>18</v>
      </c>
      <c r="M18" s="90" cm="1">
        <f t="array" ref="M18">_xlfn.XLOOKUP('Face-Off'!$A18&amp;'Face-Off'!$M$1,Fixture[HomeTeam]&amp;Fixture[Away],Fixture[GAME WEEK],"",0,1)</f>
        <v>26</v>
      </c>
      <c r="N18" s="90" cm="1">
        <f t="array" ref="N18">_xlfn.XLOOKUP('Face-Off'!$A18&amp;'Face-Off'!$N$1,Fixture[HomeTeam]&amp;Fixture[Away],Fixture[GAME WEEK],"",0,1)</f>
        <v>19</v>
      </c>
      <c r="O18" s="90" cm="1">
        <f t="array" ref="O18">_xlfn.XLOOKUP('Face-Off'!$A18&amp;'Face-Off'!$O$1,Fixture[HomeTeam]&amp;Fixture[Away],Fixture[GAME WEEK],"",0,1)</f>
        <v>36</v>
      </c>
      <c r="P18" s="90" cm="1">
        <f t="array" ref="P18">_xlfn.XLOOKUP('Face-Off'!$A18&amp;'Face-Off'!$P$1,Fixture[HomeTeam]&amp;Fixture[Away],Fixture[GAME WEEK],"",0,1)</f>
        <v>16</v>
      </c>
      <c r="Q18" s="90" cm="1">
        <f t="array" ref="Q18">_xlfn.XLOOKUP('Face-Off'!$A18&amp;'Face-Off'!$Q$1,Fixture[HomeTeam]&amp;Fixture[Away],Fixture[GAME WEEK],"",0,1)</f>
        <v>34</v>
      </c>
      <c r="R18" s="90" t="str" cm="1">
        <f t="array" ref="R18">_xlfn.XLOOKUP('Face-Off'!$A18&amp;'Face-Off'!$R$1,Fixture[HomeTeam]&amp;Fixture[Away],Fixture[GAME WEEK],"",0,1)</f>
        <v/>
      </c>
      <c r="S18" s="90" cm="1">
        <f t="array" ref="S18">_xlfn.XLOOKUP('Face-Off'!$A18&amp;'Face-Off'!$S$1,Fixture[HomeTeam]&amp;Fixture[Away],Fixture[GAME WEEK],"",0,1)</f>
        <v>32</v>
      </c>
      <c r="T18" s="90" cm="1">
        <f t="array" ref="T18">_xlfn.XLOOKUP('Face-Off'!$A18&amp;'Face-Off'!$T$1,Fixture[HomeTeam]&amp;Fixture[Away],Fixture[GAME WEEK],"",0,1)</f>
        <v>1</v>
      </c>
      <c r="U18" s="90" cm="1">
        <f t="array" ref="U18">_xlfn.XLOOKUP('Face-Off'!$A18&amp;'Face-Off'!$U$1,Fixture[HomeTeam]&amp;Fixture[Away],Fixture[GAME WEEK],"",0,1)</f>
        <v>8</v>
      </c>
    </row>
    <row r="19" spans="1:21">
      <c r="A19" s="85" t="s">
        <v>19</v>
      </c>
      <c r="B19" s="90" cm="1">
        <f t="array" ref="B19">_xlfn.XLOOKUP('Face-Off'!$A19&amp;'Face-Off'!$B$1,Fixture[HomeTeam]&amp;Fixture[Away],Fixture[GAME WEEK],"",0,1)</f>
        <v>27</v>
      </c>
      <c r="C19" s="90" cm="1">
        <f t="array" ref="C19">_xlfn.XLOOKUP('Face-Off'!$A19&amp;'Face-Off'!$C$1,Fixture[HomeTeam]&amp;Fixture[Away],Fixture[GAME WEEK],"",0,1)</f>
        <v>8</v>
      </c>
      <c r="D19" s="90" cm="1">
        <f t="array" ref="D19">_xlfn.XLOOKUP('Face-Off'!$A19&amp;'Face-Off'!$D$1,Fixture[HomeTeam]&amp;Fixture[Away],Fixture[GAME WEEK],"",0,1)</f>
        <v>3</v>
      </c>
      <c r="E19" s="90" cm="1">
        <f t="array" ref="E19">_xlfn.XLOOKUP('Face-Off'!$A19&amp;'Face-Off'!$E$1,Fixture[HomeTeam]&amp;Fixture[Away],Fixture[GAME WEEK],"",0,1)</f>
        <v>15</v>
      </c>
      <c r="F19" s="90" cm="1">
        <f t="array" ref="F19">_xlfn.XLOOKUP('Face-Off'!$A19&amp;'Face-Off'!$F$1,Fixture[HomeTeam]&amp;Fixture[Away],Fixture[GAME WEEK],"",0,1)</f>
        <v>33</v>
      </c>
      <c r="G19" s="90" cm="1">
        <f t="array" ref="G19">_xlfn.XLOOKUP('Face-Off'!$A19&amp;'Face-Off'!$G$1,Fixture[HomeTeam]&amp;Fixture[Away],Fixture[GAME WEEK],"",0,1)</f>
        <v>1</v>
      </c>
      <c r="H19" s="90" cm="1">
        <f t="array" ref="H19">_xlfn.XLOOKUP('Face-Off'!$A19&amp;'Face-Off'!$H$1,Fixture[HomeTeam]&amp;Fixture[Away],Fixture[GAME WEEK],"",0,1)</f>
        <v>10</v>
      </c>
      <c r="I19" s="90" cm="1">
        <f t="array" ref="I19">_xlfn.XLOOKUP('Face-Off'!$A19&amp;'Face-Off'!$I$1,Fixture[HomeTeam]&amp;Fixture[Away],Fixture[GAME WEEK],"",0,1)</f>
        <v>29</v>
      </c>
      <c r="J19" s="90" cm="1">
        <f t="array" ref="J19">_xlfn.XLOOKUP('Face-Off'!$A19&amp;'Face-Off'!$J$1,Fixture[HomeTeam]&amp;Fixture[Away],Fixture[GAME WEEK],"",0,1)</f>
        <v>38</v>
      </c>
      <c r="K19" s="90" cm="1">
        <f t="array" ref="K19">_xlfn.XLOOKUP('Face-Off'!$A19&amp;'Face-Off'!$K$1,Fixture[HomeTeam]&amp;Fixture[Away],Fixture[GAME WEEK],"",0,1)</f>
        <v>13</v>
      </c>
      <c r="L19" s="90" cm="1">
        <f t="array" ref="L19">_xlfn.XLOOKUP('Face-Off'!$A19&amp;'Face-Off'!$L$1,Fixture[HomeTeam]&amp;Fixture[Away],Fixture[GAME WEEK],"",0,1)</f>
        <v>36</v>
      </c>
      <c r="M19" s="90" cm="1">
        <f t="array" ref="M19">_xlfn.XLOOKUP('Face-Off'!$A19&amp;'Face-Off'!$M$1,Fixture[HomeTeam]&amp;Fixture[Away],Fixture[GAME WEEK],"",0,1)</f>
        <v>17</v>
      </c>
      <c r="N19" s="90" cm="1">
        <f t="array" ref="N19">_xlfn.XLOOKUP('Face-Off'!$A19&amp;'Face-Off'!$N$1,Fixture[HomeTeam]&amp;Fixture[Away],Fixture[GAME WEEK],"",0,1)</f>
        <v>24</v>
      </c>
      <c r="O19" s="90" cm="1">
        <f t="array" ref="O19">_xlfn.XLOOKUP('Face-Off'!$A19&amp;'Face-Off'!$O$1,Fixture[HomeTeam]&amp;Fixture[Away],Fixture[GAME WEEK],"",0,1)</f>
        <v>11</v>
      </c>
      <c r="P19" s="90" cm="1">
        <f t="array" ref="P19">_xlfn.XLOOKUP('Face-Off'!$A19&amp;'Face-Off'!$P$1,Fixture[HomeTeam]&amp;Fixture[Away],Fixture[GAME WEEK],"",0,1)</f>
        <v>26</v>
      </c>
      <c r="Q19" s="90" cm="1">
        <f t="array" ref="Q19">_xlfn.XLOOKUP('Face-Off'!$A19&amp;'Face-Off'!$Q$1,Fixture[HomeTeam]&amp;Fixture[Away],Fixture[GAME WEEK],"",0,1)</f>
        <v>31</v>
      </c>
      <c r="R19" s="90" cm="1">
        <f t="array" ref="R19">_xlfn.XLOOKUP('Face-Off'!$A19&amp;'Face-Off'!$R$1,Fixture[HomeTeam]&amp;Fixture[Away],Fixture[GAME WEEK],"",0,1)</f>
        <v>20</v>
      </c>
      <c r="S19" s="90" t="str" cm="1">
        <f t="array" ref="S19">_xlfn.XLOOKUP('Face-Off'!$A19&amp;'Face-Off'!$S$1,Fixture[HomeTeam]&amp;Fixture[Away],Fixture[GAME WEEK],"",0,1)</f>
        <v/>
      </c>
      <c r="T19" s="90" cm="1">
        <f t="array" ref="T19">_xlfn.XLOOKUP('Face-Off'!$A19&amp;'Face-Off'!$T$1,Fixture[HomeTeam]&amp;Fixture[Away],Fixture[GAME WEEK],"",0,1)</f>
        <v>22</v>
      </c>
      <c r="U19" s="90" cm="1">
        <f t="array" ref="U19">_xlfn.XLOOKUP('Face-Off'!$A19&amp;'Face-Off'!$U$1,Fixture[HomeTeam]&amp;Fixture[Away],Fixture[GAME WEEK],"",0,1)</f>
        <v>6</v>
      </c>
    </row>
    <row r="20" spans="1:21">
      <c r="A20" s="85" t="s">
        <v>27</v>
      </c>
      <c r="B20" s="90" cm="1">
        <f t="array" ref="B20">_xlfn.XLOOKUP('Face-Off'!$A20&amp;'Face-Off'!$B$1,Fixture[HomeTeam]&amp;Fixture[Away],Fixture[GAME WEEK],"",0,1)</f>
        <v>36</v>
      </c>
      <c r="C20" s="90" cm="1">
        <f t="array" ref="C20">_xlfn.XLOOKUP('Face-Off'!$A20&amp;'Face-Off'!$C$1,Fixture[HomeTeam]&amp;Fixture[Away],Fixture[GAME WEEK],"",0,1)</f>
        <v>16</v>
      </c>
      <c r="D20" s="90" cm="1">
        <f t="array" ref="D20">_xlfn.XLOOKUP('Face-Off'!$A20&amp;'Face-Off'!$D$1,Fixture[HomeTeam]&amp;Fixture[Away],Fixture[GAME WEEK],"",0,1)</f>
        <v>27</v>
      </c>
      <c r="E20" s="90" cm="1">
        <f t="array" ref="E20">_xlfn.XLOOKUP('Face-Off'!$A20&amp;'Face-Off'!$E$1,Fixture[HomeTeam]&amp;Fixture[Away],Fixture[GAME WEEK],"",0,1)</f>
        <v>8</v>
      </c>
      <c r="F20" s="90" cm="1">
        <f t="array" ref="F20">_xlfn.XLOOKUP('Face-Off'!$A20&amp;'Face-Off'!$F$1,Fixture[HomeTeam]&amp;Fixture[Away],Fixture[GAME WEEK],"",0,1)</f>
        <v>19</v>
      </c>
      <c r="G20" s="90" cm="1">
        <f t="array" ref="G20">_xlfn.XLOOKUP('Face-Off'!$A20&amp;'Face-Off'!$G$1,Fixture[HomeTeam]&amp;Fixture[Away],Fixture[GAME WEEK],"",0,1)</f>
        <v>11</v>
      </c>
      <c r="H20" s="90" cm="1">
        <f t="array" ref="H20">_xlfn.XLOOKUP('Face-Off'!$A20&amp;'Face-Off'!$H$1,Fixture[HomeTeam]&amp;Fixture[Away],Fixture[GAME WEEK],"",0,1)</f>
        <v>2</v>
      </c>
      <c r="I20" s="90" cm="1">
        <f t="array" ref="I20">_xlfn.XLOOKUP('Face-Off'!$A20&amp;'Face-Off'!$I$1,Fixture[HomeTeam]&amp;Fixture[Away],Fixture[GAME WEEK],"",0,1)</f>
        <v>5</v>
      </c>
      <c r="J20" s="90" cm="1">
        <f t="array" ref="J20">_xlfn.XLOOKUP('Face-Off'!$A20&amp;'Face-Off'!$J$1,Fixture[HomeTeam]&amp;Fixture[Away],Fixture[GAME WEEK],"",0,1)</f>
        <v>34</v>
      </c>
      <c r="K20" s="90" cm="1">
        <f t="array" ref="K20">_xlfn.XLOOKUP('Face-Off'!$A20&amp;'Face-Off'!$K$1,Fixture[HomeTeam]&amp;Fixture[Away],Fixture[GAME WEEK],"",0,1)</f>
        <v>18</v>
      </c>
      <c r="L20" s="90" cm="1">
        <f t="array" ref="L20">_xlfn.XLOOKUP('Face-Off'!$A20&amp;'Face-Off'!$L$1,Fixture[HomeTeam]&amp;Fixture[Away],Fixture[GAME WEEK],"",0,1)</f>
        <v>38</v>
      </c>
      <c r="M20" s="90" cm="1">
        <f t="array" ref="M20">_xlfn.XLOOKUP('Face-Off'!$A20&amp;'Face-Off'!$M$1,Fixture[HomeTeam]&amp;Fixture[Away],Fixture[GAME WEEK],"",0,1)</f>
        <v>13</v>
      </c>
      <c r="N20" s="90" cm="1">
        <f t="array" ref="N20">_xlfn.XLOOKUP('Face-Off'!$A20&amp;'Face-Off'!$N$1,Fixture[HomeTeam]&amp;Fixture[Away],Fixture[GAME WEEK],"",0,1)</f>
        <v>30</v>
      </c>
      <c r="O20" s="90" cm="1">
        <f t="array" ref="O20">_xlfn.XLOOKUP('Face-Off'!$A20&amp;'Face-Off'!$O$1,Fixture[HomeTeam]&amp;Fixture[Away],Fixture[GAME WEEK],"",0,1)</f>
        <v>26</v>
      </c>
      <c r="P20" s="90" cm="1">
        <f t="array" ref="P20">_xlfn.XLOOKUP('Face-Off'!$A20&amp;'Face-Off'!$P$1,Fixture[HomeTeam]&amp;Fixture[Away],Fixture[GAME WEEK],"",0,1)</f>
        <v>10</v>
      </c>
      <c r="Q20" s="90" cm="1">
        <f t="array" ref="Q20">_xlfn.XLOOKUP('Face-Off'!$A20&amp;'Face-Off'!$Q$1,Fixture[HomeTeam]&amp;Fixture[Away],Fixture[GAME WEEK],"",0,1)</f>
        <v>21</v>
      </c>
      <c r="R20" s="90" cm="1">
        <f t="array" ref="R20">_xlfn.XLOOKUP('Face-Off'!$A20&amp;'Face-Off'!$R$1,Fixture[HomeTeam]&amp;Fixture[Away],Fixture[GAME WEEK],"",0,1)</f>
        <v>23</v>
      </c>
      <c r="S20" s="90" cm="1">
        <f t="array" ref="S20">_xlfn.XLOOKUP('Face-Off'!$A20&amp;'Face-Off'!$S$1,Fixture[HomeTeam]&amp;Fixture[Away],Fixture[GAME WEEK],"",0,1)</f>
        <v>4</v>
      </c>
      <c r="T20" s="90" t="str" cm="1">
        <f t="array" ref="T20">_xlfn.XLOOKUP('Face-Off'!$A20&amp;'Face-Off'!$T$1,Fixture[HomeTeam]&amp;Fixture[Away],Fixture[GAME WEEK],"",0,1)</f>
        <v/>
      </c>
      <c r="U20" s="90" cm="1">
        <f t="array" ref="U20">_xlfn.XLOOKUP('Face-Off'!$A20&amp;'Face-Off'!$U$1,Fixture[HomeTeam]&amp;Fixture[Away],Fixture[GAME WEEK],"",0,1)</f>
        <v>32</v>
      </c>
    </row>
    <row r="21" spans="1:21">
      <c r="A21" s="86" t="s">
        <v>51</v>
      </c>
      <c r="B21" s="90" cm="1">
        <f t="array" ref="B21">_xlfn.XLOOKUP('Face-Off'!$A21&amp;'Face-Off'!$B$1,Fixture[HomeTeam]&amp;Fixture[Away],Fixture[GAME WEEK],"",0,1)</f>
        <v>31</v>
      </c>
      <c r="C21" s="90" cm="1">
        <f t="array" ref="C21">_xlfn.XLOOKUP('Face-Off'!$A21&amp;'Face-Off'!$C$1,Fixture[HomeTeam]&amp;Fixture[Away],Fixture[GAME WEEK],"",0,1)</f>
        <v>28</v>
      </c>
      <c r="D21" s="90" cm="1">
        <f t="array" ref="D21">_xlfn.XLOOKUP('Face-Off'!$A21&amp;'Face-Off'!$D$1,Fixture[HomeTeam]&amp;Fixture[Away],Fixture[GAME WEEK],"",0,1)</f>
        <v>24</v>
      </c>
      <c r="E21" s="90" cm="1">
        <f t="array" ref="E21">_xlfn.XLOOKUP('Face-Off'!$A21&amp;'Face-Off'!$E$1,Fixture[HomeTeam]&amp;Fixture[Away],Fixture[GAME WEEK],"",0,1)</f>
        <v>17</v>
      </c>
      <c r="F21" s="90" cm="1">
        <f t="array" ref="F21">_xlfn.XLOOKUP('Face-Off'!$A21&amp;'Face-Off'!$F$1,Fixture[HomeTeam]&amp;Fixture[Away],Fixture[GAME WEEK],"",0,1)</f>
        <v>7</v>
      </c>
      <c r="G21" s="90" cm="1">
        <f t="array" ref="G21">_xlfn.XLOOKUP('Face-Off'!$A21&amp;'Face-Off'!$G$1,Fixture[HomeTeam]&amp;Fixture[Away],Fixture[GAME WEEK],"",0,1)</f>
        <v>9</v>
      </c>
      <c r="H21" s="90" cm="1">
        <f t="array" ref="H21">_xlfn.XLOOKUP('Face-Off'!$A21&amp;'Face-Off'!$H$1,Fixture[HomeTeam]&amp;Fixture[Away],Fixture[GAME WEEK],"",0,1)</f>
        <v>25</v>
      </c>
      <c r="I21" s="90" cm="1">
        <f t="array" ref="I21">_xlfn.XLOOKUP('Face-Off'!$A21&amp;'Face-Off'!$I$1,Fixture[HomeTeam]&amp;Fixture[Away],Fixture[GAME WEEK],"",0,1)</f>
        <v>12</v>
      </c>
      <c r="J21" s="90" cm="1">
        <f t="array" ref="J21">_xlfn.XLOOKUP('Face-Off'!$A21&amp;'Face-Off'!$J$1,Fixture[HomeTeam]&amp;Fixture[Away],Fixture[GAME WEEK],"",0,1)</f>
        <v>3</v>
      </c>
      <c r="K21" s="90" cm="1">
        <f t="array" ref="K21">_xlfn.XLOOKUP('Face-Off'!$A21&amp;'Face-Off'!$K$1,Fixture[HomeTeam]&amp;Fixture[Away],Fixture[GAME WEEK],"",0,1)</f>
        <v>37</v>
      </c>
      <c r="L21" s="90" cm="1">
        <f t="array" ref="L21">_xlfn.XLOOKUP('Face-Off'!$A21&amp;'Face-Off'!$L$1,Fixture[HomeTeam]&amp;Fixture[Away],Fixture[GAME WEEK],"",0,1)</f>
        <v>5</v>
      </c>
      <c r="M21" s="90" cm="1">
        <f t="array" ref="M21">_xlfn.XLOOKUP('Face-Off'!$A21&amp;'Face-Off'!$M$1,Fixture[HomeTeam]&amp;Fixture[Away],Fixture[GAME WEEK],"",0,1)</f>
        <v>29</v>
      </c>
      <c r="N21" s="90" cm="1">
        <f t="array" ref="N21">_xlfn.XLOOKUP('Face-Off'!$A21&amp;'Face-Off'!$N$1,Fixture[HomeTeam]&amp;Fixture[Away],Fixture[GAME WEEK],"",0,1)</f>
        <v>1</v>
      </c>
      <c r="O21" s="90" cm="1">
        <f t="array" ref="O21">_xlfn.XLOOKUP('Face-Off'!$A21&amp;'Face-Off'!$O$1,Fixture[HomeTeam]&amp;Fixture[Away],Fixture[GAME WEEK],"",0,1)</f>
        <v>15</v>
      </c>
      <c r="P21" s="90" cm="1">
        <f t="array" ref="P21">_xlfn.XLOOKUP('Face-Off'!$A21&amp;'Face-Off'!$P$1,Fixture[HomeTeam]&amp;Fixture[Away],Fixture[GAME WEEK],"",0,1)</f>
        <v>22</v>
      </c>
      <c r="Q21" s="90" cm="1">
        <f t="array" ref="Q21">_xlfn.XLOOKUP('Face-Off'!$A21&amp;'Face-Off'!$Q$1,Fixture[HomeTeam]&amp;Fixture[Away],Fixture[GAME WEEK],"",0,1)</f>
        <v>14</v>
      </c>
      <c r="R21" s="90" cm="1">
        <f t="array" ref="R21">_xlfn.XLOOKUP('Face-Off'!$A21&amp;'Face-Off'!$R$1,Fixture[HomeTeam]&amp;Fixture[Away],Fixture[GAME WEEK],"",0,1)</f>
        <v>35</v>
      </c>
      <c r="S21" s="90" cm="1">
        <f t="array" ref="S21">_xlfn.XLOOKUP('Face-Off'!$A21&amp;'Face-Off'!$S$1,Fixture[HomeTeam]&amp;Fixture[Away],Fixture[GAME WEEK],"",0,1)</f>
        <v>34</v>
      </c>
      <c r="T21" s="90" cm="1">
        <f t="array" ref="T21">_xlfn.XLOOKUP('Face-Off'!$A21&amp;'Face-Off'!$T$1,Fixture[HomeTeam]&amp;Fixture[Away],Fixture[GAME WEEK],"",0,1)</f>
        <v>20</v>
      </c>
      <c r="U21" s="90" t="str" cm="1">
        <f t="array" ref="U21">_xlfn.XLOOKUP('Face-Off'!$A21&amp;'Face-Off'!$U$1,Fixture[HomeTeam]&amp;Fixture[Away],Fixture[GAME WEEK],"",0,1)</f>
        <v/>
      </c>
    </row>
    <row r="25" spans="1:21" s="3" customFormat="1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35" spans="1:4">
      <c r="A35" s="3"/>
    </row>
    <row r="43" spans="1:4">
      <c r="C43" s="1" t="s">
        <v>44</v>
      </c>
      <c r="D43" s="2" t="s">
        <v>36</v>
      </c>
    </row>
    <row r="44" spans="1:4">
      <c r="C44" s="1" t="s">
        <v>45</v>
      </c>
      <c r="D44" s="2" t="s">
        <v>37</v>
      </c>
    </row>
    <row r="45" spans="1:4">
      <c r="C45" s="1" t="s">
        <v>46</v>
      </c>
      <c r="D45" s="2" t="s">
        <v>38</v>
      </c>
    </row>
    <row r="46" spans="1:4">
      <c r="C46" s="1" t="s">
        <v>47</v>
      </c>
      <c r="D46" s="2" t="s">
        <v>39</v>
      </c>
    </row>
    <row r="47" spans="1:4">
      <c r="C47" s="1" t="s">
        <v>48</v>
      </c>
      <c r="D47" s="2" t="s">
        <v>40</v>
      </c>
    </row>
    <row r="48" spans="1:4">
      <c r="C48" s="1" t="s">
        <v>49</v>
      </c>
      <c r="D48" s="2" t="s">
        <v>41</v>
      </c>
    </row>
    <row r="49" spans="3:4">
      <c r="C49" s="1" t="s">
        <v>50</v>
      </c>
      <c r="D49" s="2" t="s">
        <v>42</v>
      </c>
    </row>
  </sheetData>
  <sortState xmlns:xlrd2="http://schemas.microsoft.com/office/spreadsheetml/2017/richdata2" columnSort="1" ref="B1:U1">
    <sortCondition ref="B1:U1"/>
  </sortState>
  <phoneticPr fontId="3" type="noConversion"/>
  <conditionalFormatting sqref="B2:U21">
    <cfRule type="cellIs" dxfId="1325" priority="1" operator="between">
      <formula>20</formula>
      <formula>38</formula>
    </cfRule>
    <cfRule type="cellIs" dxfId="1324" priority="2" operator="between">
      <formula>1</formula>
      <formula>19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30641-D3C0-0F4F-A2BD-B98394BD20C8}">
  <sheetPr>
    <tabColor theme="7" tint="0.79998168889431442"/>
  </sheetPr>
  <dimension ref="A2:CC638"/>
  <sheetViews>
    <sheetView workbookViewId="0">
      <pane xSplit="2" ySplit="3" topLeftCell="C8" activePane="bottomRight" state="frozen"/>
      <selection pane="topRight" activeCell="C1" sqref="C1"/>
      <selection pane="bottomLeft" activeCell="A4" sqref="A4"/>
      <selection pane="bottomRight" activeCell="A3" sqref="A3:CC638"/>
    </sheetView>
  </sheetViews>
  <sheetFormatPr baseColWidth="10" defaultRowHeight="16"/>
  <cols>
    <col min="1" max="1" width="23.6640625" style="121" bestFit="1" customWidth="1"/>
    <col min="2" max="2" width="16.83203125" bestFit="1" customWidth="1"/>
    <col min="3" max="3" width="13.33203125" bestFit="1" customWidth="1"/>
    <col min="4" max="4" width="14.33203125" bestFit="1" customWidth="1"/>
    <col min="5" max="5" width="13.33203125" bestFit="1" customWidth="1"/>
    <col min="6" max="6" width="14.33203125" bestFit="1" customWidth="1"/>
    <col min="7" max="7" width="13.33203125" bestFit="1" customWidth="1"/>
    <col min="8" max="8" width="14.33203125" bestFit="1" customWidth="1"/>
    <col min="9" max="9" width="13.33203125" bestFit="1" customWidth="1"/>
    <col min="10" max="10" width="14.33203125" bestFit="1" customWidth="1"/>
    <col min="11" max="11" width="13.33203125" bestFit="1" customWidth="1"/>
    <col min="12" max="12" width="14.33203125" bestFit="1" customWidth="1"/>
    <col min="13" max="13" width="13.33203125" bestFit="1" customWidth="1"/>
    <col min="14" max="14" width="14.33203125" bestFit="1" customWidth="1"/>
    <col min="15" max="15" width="13.33203125" bestFit="1" customWidth="1"/>
    <col min="16" max="16" width="14.33203125" bestFit="1" customWidth="1"/>
    <col min="17" max="17" width="13.33203125" bestFit="1" customWidth="1"/>
    <col min="18" max="18" width="14.33203125" bestFit="1" customWidth="1"/>
    <col min="19" max="19" width="13.33203125" bestFit="1" customWidth="1"/>
    <col min="20" max="21" width="14.33203125" bestFit="1" customWidth="1"/>
    <col min="22" max="22" width="15.33203125" bestFit="1" customWidth="1"/>
    <col min="23" max="23" width="14.33203125" bestFit="1" customWidth="1"/>
    <col min="24" max="24" width="15.33203125" bestFit="1" customWidth="1"/>
    <col min="25" max="25" width="14.33203125" bestFit="1" customWidth="1"/>
    <col min="26" max="26" width="15.33203125" bestFit="1" customWidth="1"/>
    <col min="27" max="27" width="14.33203125" bestFit="1" customWidth="1"/>
    <col min="28" max="28" width="15.33203125" bestFit="1" customWidth="1"/>
    <col min="29" max="29" width="14.33203125" bestFit="1" customWidth="1"/>
    <col min="30" max="30" width="15.33203125" bestFit="1" customWidth="1"/>
    <col min="31" max="31" width="14.33203125" bestFit="1" customWidth="1"/>
    <col min="32" max="32" width="15.33203125" bestFit="1" customWidth="1"/>
    <col min="33" max="33" width="14.33203125" bestFit="1" customWidth="1"/>
    <col min="34" max="34" width="15.33203125" bestFit="1" customWidth="1"/>
    <col min="35" max="35" width="14.33203125" bestFit="1" customWidth="1"/>
    <col min="36" max="36" width="15.33203125" bestFit="1" customWidth="1"/>
    <col min="37" max="37" width="14.33203125" bestFit="1" customWidth="1"/>
    <col min="38" max="38" width="15.33203125" bestFit="1" customWidth="1"/>
    <col min="39" max="39" width="14.33203125" bestFit="1" customWidth="1"/>
    <col min="40" max="40" width="15.33203125" bestFit="1" customWidth="1"/>
    <col min="41" max="41" width="14.33203125" bestFit="1" customWidth="1"/>
    <col min="42" max="42" width="15.33203125" bestFit="1" customWidth="1"/>
    <col min="43" max="43" width="14.33203125" bestFit="1" customWidth="1"/>
    <col min="44" max="44" width="15.33203125" bestFit="1" customWidth="1"/>
    <col min="45" max="45" width="14.33203125" bestFit="1" customWidth="1"/>
    <col min="46" max="46" width="15.33203125" bestFit="1" customWidth="1"/>
    <col min="47" max="47" width="14.33203125" bestFit="1" customWidth="1"/>
    <col min="48" max="48" width="15.33203125" bestFit="1" customWidth="1"/>
    <col min="49" max="49" width="14.33203125" bestFit="1" customWidth="1"/>
    <col min="50" max="50" width="15.33203125" bestFit="1" customWidth="1"/>
    <col min="51" max="51" width="14.33203125" bestFit="1" customWidth="1"/>
    <col min="52" max="52" width="15.33203125" bestFit="1" customWidth="1"/>
    <col min="53" max="53" width="14.33203125" bestFit="1" customWidth="1"/>
    <col min="54" max="54" width="15.33203125" bestFit="1" customWidth="1"/>
    <col min="55" max="55" width="14.33203125" bestFit="1" customWidth="1"/>
    <col min="56" max="56" width="15.33203125" bestFit="1" customWidth="1"/>
    <col min="57" max="57" width="14.33203125" bestFit="1" customWidth="1"/>
    <col min="58" max="58" width="15.33203125" bestFit="1" customWidth="1"/>
    <col min="59" max="59" width="14.33203125" bestFit="1" customWidth="1"/>
    <col min="60" max="60" width="15.33203125" bestFit="1" customWidth="1"/>
    <col min="61" max="61" width="14.33203125" bestFit="1" customWidth="1"/>
    <col min="62" max="62" width="15.33203125" bestFit="1" customWidth="1"/>
    <col min="63" max="63" width="14.33203125" bestFit="1" customWidth="1"/>
    <col min="64" max="64" width="15.33203125" bestFit="1" customWidth="1"/>
    <col min="65" max="65" width="14.33203125" bestFit="1" customWidth="1"/>
    <col min="66" max="66" width="15.33203125" bestFit="1" customWidth="1"/>
    <col min="67" max="67" width="14.33203125" bestFit="1" customWidth="1"/>
    <col min="68" max="70" width="15.33203125" bestFit="1" customWidth="1"/>
    <col min="71" max="71" width="14.33203125" bestFit="1" customWidth="1"/>
    <col min="72" max="72" width="15.33203125" bestFit="1" customWidth="1"/>
    <col min="73" max="73" width="14.33203125" bestFit="1" customWidth="1"/>
    <col min="74" max="74" width="15.33203125" bestFit="1" customWidth="1"/>
    <col min="75" max="75" width="14.33203125" bestFit="1" customWidth="1"/>
    <col min="76" max="76" width="15.33203125" bestFit="1" customWidth="1"/>
    <col min="77" max="77" width="14.33203125" bestFit="1" customWidth="1"/>
    <col min="78" max="78" width="15.33203125" bestFit="1" customWidth="1"/>
    <col min="79" max="79" width="16.33203125" bestFit="1" customWidth="1"/>
    <col min="80" max="80" width="12.83203125" bestFit="1" customWidth="1"/>
    <col min="81" max="81" width="20.1640625" bestFit="1" customWidth="1"/>
  </cols>
  <sheetData>
    <row r="2" spans="1:81">
      <c r="A2" s="280" t="s">
        <v>2018</v>
      </c>
      <c r="B2" s="281" t="s">
        <v>2019</v>
      </c>
      <c r="C2" s="282" t="s">
        <v>2095</v>
      </c>
      <c r="D2" s="282" t="s">
        <v>2094</v>
      </c>
      <c r="E2" s="282" t="s">
        <v>2022</v>
      </c>
      <c r="F2" s="282" t="s">
        <v>2021</v>
      </c>
      <c r="G2" s="282" t="s">
        <v>2020</v>
      </c>
      <c r="H2" s="282" t="s">
        <v>2023</v>
      </c>
      <c r="I2" s="282" t="s">
        <v>2024</v>
      </c>
      <c r="J2" s="282" t="s">
        <v>2025</v>
      </c>
      <c r="K2" s="282" t="s">
        <v>2026</v>
      </c>
      <c r="L2" s="282" t="s">
        <v>2027</v>
      </c>
      <c r="M2" s="282" t="s">
        <v>2028</v>
      </c>
      <c r="N2" s="282" t="s">
        <v>2029</v>
      </c>
      <c r="O2" s="282" t="s">
        <v>2030</v>
      </c>
      <c r="P2" s="282" t="s">
        <v>2031</v>
      </c>
      <c r="Q2" s="282" t="s">
        <v>2032</v>
      </c>
      <c r="R2" s="282" t="s">
        <v>2033</v>
      </c>
      <c r="S2" s="282" t="s">
        <v>2034</v>
      </c>
      <c r="T2" s="282" t="s">
        <v>2035</v>
      </c>
      <c r="U2" s="282" t="s">
        <v>2036</v>
      </c>
      <c r="V2" s="282" t="s">
        <v>2037</v>
      </c>
      <c r="W2" s="282" t="s">
        <v>2038</v>
      </c>
      <c r="X2" s="282" t="s">
        <v>2039</v>
      </c>
      <c r="Y2" s="282" t="s">
        <v>2040</v>
      </c>
      <c r="Z2" s="282" t="s">
        <v>2041</v>
      </c>
      <c r="AA2" s="282" t="s">
        <v>2042</v>
      </c>
      <c r="AB2" s="282" t="s">
        <v>2043</v>
      </c>
      <c r="AC2" s="282" t="s">
        <v>2044</v>
      </c>
      <c r="AD2" s="282" t="s">
        <v>2045</v>
      </c>
      <c r="AE2" s="282" t="s">
        <v>2093</v>
      </c>
      <c r="AF2" s="282" t="s">
        <v>2092</v>
      </c>
      <c r="AG2" s="282" t="s">
        <v>2091</v>
      </c>
      <c r="AH2" s="282" t="s">
        <v>2090</v>
      </c>
      <c r="AI2" s="282" t="s">
        <v>2089</v>
      </c>
      <c r="AJ2" s="282" t="s">
        <v>2088</v>
      </c>
      <c r="AK2" s="282" t="s">
        <v>2087</v>
      </c>
      <c r="AL2" s="282" t="s">
        <v>2086</v>
      </c>
      <c r="AM2" s="282" t="s">
        <v>2085</v>
      </c>
      <c r="AN2" s="282" t="s">
        <v>2084</v>
      </c>
      <c r="AO2" s="282" t="s">
        <v>2083</v>
      </c>
      <c r="AP2" s="282" t="s">
        <v>2082</v>
      </c>
      <c r="AQ2" s="282" t="s">
        <v>2081</v>
      </c>
      <c r="AR2" s="282" t="s">
        <v>2080</v>
      </c>
      <c r="AS2" s="282" t="s">
        <v>2079</v>
      </c>
      <c r="AT2" s="282" t="s">
        <v>2078</v>
      </c>
      <c r="AU2" s="282" t="s">
        <v>2077</v>
      </c>
      <c r="AV2" s="282" t="s">
        <v>2076</v>
      </c>
      <c r="AW2" s="282" t="s">
        <v>2075</v>
      </c>
      <c r="AX2" s="282" t="s">
        <v>2074</v>
      </c>
      <c r="AY2" s="282" t="s">
        <v>2073</v>
      </c>
      <c r="AZ2" s="282" t="s">
        <v>2072</v>
      </c>
      <c r="BA2" s="282" t="s">
        <v>2071</v>
      </c>
      <c r="BB2" s="282" t="s">
        <v>2070</v>
      </c>
      <c r="BC2" s="282" t="s">
        <v>2069</v>
      </c>
      <c r="BD2" s="282" t="s">
        <v>2068</v>
      </c>
      <c r="BE2" s="282" t="s">
        <v>2067</v>
      </c>
      <c r="BF2" s="282" t="s">
        <v>2066</v>
      </c>
      <c r="BG2" s="282" t="s">
        <v>2065</v>
      </c>
      <c r="BH2" s="282" t="s">
        <v>2064</v>
      </c>
      <c r="BI2" s="282" t="s">
        <v>2063</v>
      </c>
      <c r="BJ2" s="282" t="s">
        <v>2062</v>
      </c>
      <c r="BK2" s="282" t="s">
        <v>2061</v>
      </c>
      <c r="BL2" s="282" t="s">
        <v>2060</v>
      </c>
      <c r="BM2" s="282" t="s">
        <v>2059</v>
      </c>
      <c r="BN2" s="282" t="s">
        <v>2058</v>
      </c>
      <c r="BO2" s="282" t="s">
        <v>2057</v>
      </c>
      <c r="BP2" s="282" t="s">
        <v>2056</v>
      </c>
      <c r="BQ2" s="282" t="s">
        <v>2046</v>
      </c>
      <c r="BR2" s="282" t="s">
        <v>2055</v>
      </c>
      <c r="BS2" s="282" t="s">
        <v>2054</v>
      </c>
      <c r="BT2" s="282" t="s">
        <v>2047</v>
      </c>
      <c r="BU2" s="282" t="s">
        <v>2053</v>
      </c>
      <c r="BV2" s="282" t="s">
        <v>2052</v>
      </c>
      <c r="BW2" s="282" t="s">
        <v>2051</v>
      </c>
      <c r="BX2" s="282" t="s">
        <v>2050</v>
      </c>
      <c r="BY2" s="282" t="s">
        <v>2049</v>
      </c>
      <c r="BZ2" s="282" t="s">
        <v>2048</v>
      </c>
      <c r="CA2" s="294" t="s">
        <v>2103</v>
      </c>
      <c r="CB2" s="294" t="s">
        <v>2016</v>
      </c>
      <c r="CC2" s="294" t="s">
        <v>2104</v>
      </c>
    </row>
    <row r="3" spans="1:81" ht="17" thickBot="1">
      <c r="A3" s="290" t="s">
        <v>2017</v>
      </c>
      <c r="B3" s="293" t="s">
        <v>2015</v>
      </c>
      <c r="C3" s="275" t="s">
        <v>1917</v>
      </c>
      <c r="D3" s="276"/>
      <c r="E3" s="275" t="s">
        <v>1918</v>
      </c>
      <c r="F3" s="276"/>
      <c r="G3" s="277" t="s">
        <v>1919</v>
      </c>
      <c r="H3" s="278"/>
      <c r="I3" s="275" t="s">
        <v>1920</v>
      </c>
      <c r="J3" s="276"/>
      <c r="K3" s="275" t="s">
        <v>1921</v>
      </c>
      <c r="L3" s="276"/>
      <c r="M3" s="275" t="s">
        <v>1922</v>
      </c>
      <c r="N3" s="276"/>
      <c r="O3" s="275" t="s">
        <v>1923</v>
      </c>
      <c r="P3" s="276"/>
      <c r="Q3" s="275" t="s">
        <v>1924</v>
      </c>
      <c r="R3" s="276"/>
      <c r="S3" s="275" t="s">
        <v>1925</v>
      </c>
      <c r="T3" s="276"/>
      <c r="U3" s="275" t="s">
        <v>1926</v>
      </c>
      <c r="V3" s="276"/>
      <c r="W3" s="275" t="s">
        <v>1927</v>
      </c>
      <c r="X3" s="276"/>
      <c r="Y3" s="275" t="s">
        <v>1928</v>
      </c>
      <c r="Z3" s="276"/>
      <c r="AA3" s="275" t="s">
        <v>1929</v>
      </c>
      <c r="AB3" s="276"/>
      <c r="AC3" s="275" t="s">
        <v>1930</v>
      </c>
      <c r="AD3" s="276"/>
      <c r="AE3" s="275" t="s">
        <v>1931</v>
      </c>
      <c r="AF3" s="276"/>
      <c r="AG3" s="275" t="s">
        <v>1932</v>
      </c>
      <c r="AH3" s="276"/>
      <c r="AI3" s="275" t="s">
        <v>1933</v>
      </c>
      <c r="AJ3" s="276"/>
      <c r="AK3" s="275" t="s">
        <v>1934</v>
      </c>
      <c r="AL3" s="276"/>
      <c r="AM3" s="275" t="s">
        <v>1935</v>
      </c>
      <c r="AN3" s="276"/>
      <c r="AO3" s="275" t="s">
        <v>1936</v>
      </c>
      <c r="AP3" s="276"/>
      <c r="AQ3" s="275" t="s">
        <v>1937</v>
      </c>
      <c r="AR3" s="276"/>
      <c r="AS3" s="275" t="s">
        <v>1938</v>
      </c>
      <c r="AT3" s="276"/>
      <c r="AU3" s="275" t="s">
        <v>1939</v>
      </c>
      <c r="AV3" s="276"/>
      <c r="AW3" s="275" t="s">
        <v>1940</v>
      </c>
      <c r="AX3" s="276"/>
      <c r="AY3" s="275" t="s">
        <v>1941</v>
      </c>
      <c r="AZ3" s="276"/>
      <c r="BA3" s="275" t="s">
        <v>1942</v>
      </c>
      <c r="BB3" s="276"/>
      <c r="BC3" s="275" t="s">
        <v>1943</v>
      </c>
      <c r="BD3" s="276"/>
      <c r="BE3" s="275" t="s">
        <v>1944</v>
      </c>
      <c r="BF3" s="276"/>
      <c r="BG3" s="275" t="s">
        <v>1945</v>
      </c>
      <c r="BH3" s="276"/>
      <c r="BI3" s="275" t="s">
        <v>1946</v>
      </c>
      <c r="BJ3" s="276"/>
      <c r="BK3" s="275" t="s">
        <v>1947</v>
      </c>
      <c r="BL3" s="276"/>
      <c r="BM3" s="275" t="s">
        <v>1948</v>
      </c>
      <c r="BN3" s="276"/>
      <c r="BO3" s="275" t="s">
        <v>1949</v>
      </c>
      <c r="BP3" s="276"/>
      <c r="BQ3" s="275" t="s">
        <v>1950</v>
      </c>
      <c r="BR3" s="276"/>
      <c r="BS3" s="275" t="s">
        <v>1951</v>
      </c>
      <c r="BT3" s="276"/>
      <c r="BU3" s="275" t="s">
        <v>1952</v>
      </c>
      <c r="BV3" s="276"/>
      <c r="BW3" s="275" t="s">
        <v>1953</v>
      </c>
      <c r="BX3" s="276"/>
      <c r="BY3" s="277" t="s">
        <v>1954</v>
      </c>
      <c r="BZ3" s="279"/>
      <c r="CA3" s="295"/>
      <c r="CB3" s="296"/>
      <c r="CC3" s="297"/>
    </row>
    <row r="4" spans="1:81" ht="17" thickTop="1">
      <c r="A4" s="303" t="s">
        <v>1332</v>
      </c>
      <c r="B4" s="303" t="s">
        <v>19</v>
      </c>
      <c r="C4" s="287">
        <v>2</v>
      </c>
      <c r="D4" s="283"/>
      <c r="E4" s="287"/>
      <c r="F4" s="283">
        <v>1</v>
      </c>
      <c r="G4" s="287"/>
      <c r="H4" s="283"/>
      <c r="I4" s="287"/>
      <c r="J4" s="283"/>
      <c r="K4" s="287"/>
      <c r="L4" s="283"/>
      <c r="M4" s="287"/>
      <c r="N4" s="283"/>
      <c r="O4" s="287"/>
      <c r="P4" s="283"/>
      <c r="Q4" s="287"/>
      <c r="R4" s="283"/>
      <c r="S4" s="287"/>
      <c r="T4" s="283"/>
      <c r="U4" s="287"/>
      <c r="V4" s="283"/>
      <c r="W4" s="287"/>
      <c r="X4" s="283"/>
      <c r="Y4" s="287"/>
      <c r="Z4" s="283"/>
      <c r="AA4" s="287"/>
      <c r="AB4" s="283"/>
      <c r="AC4" s="287"/>
      <c r="AD4" s="283"/>
      <c r="AE4" s="287"/>
      <c r="AF4" s="283"/>
      <c r="AG4" s="287"/>
      <c r="AH4" s="283"/>
      <c r="AI4" s="287"/>
      <c r="AJ4" s="283"/>
      <c r="AK4" s="283"/>
      <c r="AL4" s="283"/>
      <c r="AM4" s="283"/>
      <c r="AN4" s="283"/>
      <c r="AO4" s="283"/>
      <c r="AP4" s="283"/>
      <c r="AQ4" s="283"/>
      <c r="AR4" s="283"/>
      <c r="AS4" s="283"/>
      <c r="AT4" s="283"/>
      <c r="AU4" s="283"/>
      <c r="AV4" s="284"/>
      <c r="AW4" s="284"/>
      <c r="AX4" s="284"/>
      <c r="AY4" s="284"/>
      <c r="AZ4" s="284"/>
      <c r="BA4" s="284"/>
      <c r="BB4" s="284"/>
      <c r="BC4" s="284"/>
      <c r="BD4" s="284"/>
      <c r="BE4" s="284"/>
      <c r="BF4" s="284"/>
      <c r="BG4" s="284"/>
      <c r="BH4" s="284"/>
      <c r="BI4" s="284"/>
      <c r="BJ4" s="284"/>
      <c r="BK4" s="284"/>
      <c r="BL4" s="284"/>
      <c r="BM4" s="284"/>
      <c r="BN4" s="284"/>
      <c r="BO4" s="284"/>
      <c r="BP4" s="284"/>
      <c r="BQ4" s="284"/>
      <c r="BR4" s="284"/>
      <c r="BS4" s="284"/>
      <c r="BT4" s="284"/>
      <c r="BU4" s="284"/>
      <c r="BV4" s="284"/>
      <c r="BW4" s="284"/>
      <c r="BX4" s="284"/>
      <c r="BY4" s="284"/>
      <c r="BZ4" s="285"/>
      <c r="CA4" s="298">
        <f>SUM(C4,E4,G4,I4,K4,M4,O4,Q4,S4,U4,W4,Y4,AA4,AC4,AE4,AG4,AI4,AK4,AM4,AO4,AQ4,AS4,AU4,AW4,AY4,BA4,BC4,BE4,BG4,BI4,BK4,BM4,BO4,BQ4,BS4,BU4,BW4,BY4)</f>
        <v>2</v>
      </c>
      <c r="CB4" s="298">
        <f>SUM(D4,F4,H4,J4,L4,N4,P4,R4,T4,V4,X4,Z4,AB4,AD4,AF4,AH4,AJ4,AL4,AN4,AP4,AR4,AT4,AV4,AX4,AZ4,BB4,BD4,BF4,BH4,BJ4,BL4,BN4,BP4,BR4,BT4,BV4,BX4,BZ4)</f>
        <v>1</v>
      </c>
      <c r="CC4" s="299">
        <f>SUM(Table13[[#This Row],[GOALS 1]:[ASSISTS 38]])</f>
        <v>3</v>
      </c>
    </row>
    <row r="5" spans="1:81">
      <c r="A5" s="291" t="s">
        <v>1301</v>
      </c>
      <c r="B5" s="291" t="s">
        <v>43</v>
      </c>
      <c r="C5" s="288">
        <v>2</v>
      </c>
      <c r="D5" s="286"/>
      <c r="E5" s="288"/>
      <c r="F5" s="286">
        <v>1</v>
      </c>
      <c r="G5" s="288"/>
      <c r="H5" s="286"/>
      <c r="I5" s="288"/>
      <c r="J5" s="286"/>
      <c r="K5" s="288"/>
      <c r="L5" s="286"/>
      <c r="M5" s="288"/>
      <c r="N5" s="286"/>
      <c r="O5" s="288"/>
      <c r="P5" s="286"/>
      <c r="Q5" s="288"/>
      <c r="R5" s="286"/>
      <c r="S5" s="288"/>
      <c r="T5" s="286"/>
      <c r="U5" s="288"/>
      <c r="V5" s="286"/>
      <c r="W5" s="288"/>
      <c r="X5" s="286"/>
      <c r="Y5" s="288"/>
      <c r="Z5" s="286"/>
      <c r="AA5" s="288"/>
      <c r="AB5" s="286"/>
      <c r="AC5" s="288"/>
      <c r="AD5" s="286"/>
      <c r="AE5" s="288"/>
      <c r="AF5" s="286"/>
      <c r="AG5" s="288"/>
      <c r="AH5" s="286"/>
      <c r="AI5" s="288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4"/>
      <c r="AW5" s="284"/>
      <c r="AX5" s="284"/>
      <c r="AY5" s="284"/>
      <c r="AZ5" s="284"/>
      <c r="BA5" s="284"/>
      <c r="BB5" s="284"/>
      <c r="BC5" s="284"/>
      <c r="BD5" s="284"/>
      <c r="BE5" s="284"/>
      <c r="BF5" s="284"/>
      <c r="BG5" s="284"/>
      <c r="BH5" s="284"/>
      <c r="BI5" s="284"/>
      <c r="BJ5" s="284"/>
      <c r="BK5" s="284"/>
      <c r="BL5" s="284"/>
      <c r="BM5" s="284"/>
      <c r="BN5" s="284"/>
      <c r="BO5" s="284"/>
      <c r="BP5" s="284"/>
      <c r="BQ5" s="284"/>
      <c r="BR5" s="284"/>
      <c r="BS5" s="284"/>
      <c r="BT5" s="284"/>
      <c r="BU5" s="284"/>
      <c r="BV5" s="284"/>
      <c r="BW5" s="284"/>
      <c r="BX5" s="284"/>
      <c r="BY5" s="284"/>
      <c r="BZ5" s="285"/>
      <c r="CA5" s="298">
        <f>SUM(C5,E5,G5,I5,K5,M5,O5,Q5,S5,U5,W5,Y5,AA5,AC5,AE5,AG5,AI5,AK5,AM5,AO5,AQ5,AS5,AU5,AW5,AY5,BA5,BC5,BE5,BG5,BI5,BK5,BM5,BO5,BQ5,BS5,BU5,BW5,BY5)</f>
        <v>2</v>
      </c>
      <c r="CB5" s="298">
        <f>SUM(D5,F5,H5,J5,L5,N5,P5,R5,T5,V5,X5,Z5,AB5,AD5,AF5,AH5,AJ5,AL5,AN5,AP5,AR5,AT5,AV5,AX5,AZ5,BB5,BD5,BF5,BH5,BJ5,BL5,BN5,BP5,BR5,BT5,BV5,BX5,BZ5)</f>
        <v>1</v>
      </c>
      <c r="CC5" s="299">
        <f>SUM(Table13[[#This Row],[GOALS 1]:[ASSISTS 38]])</f>
        <v>3</v>
      </c>
    </row>
    <row r="6" spans="1:81">
      <c r="A6" s="291" t="s">
        <v>1282</v>
      </c>
      <c r="B6" s="291" t="s">
        <v>17</v>
      </c>
      <c r="C6" s="289">
        <v>1</v>
      </c>
      <c r="D6" s="286">
        <v>1</v>
      </c>
      <c r="E6" s="288">
        <v>1</v>
      </c>
      <c r="F6" s="286"/>
      <c r="G6" s="288"/>
      <c r="H6" s="286"/>
      <c r="I6" s="288"/>
      <c r="J6" s="286"/>
      <c r="K6" s="288"/>
      <c r="L6" s="286"/>
      <c r="M6" s="288"/>
      <c r="N6" s="286"/>
      <c r="O6" s="288"/>
      <c r="P6" s="286"/>
      <c r="Q6" s="288"/>
      <c r="R6" s="286"/>
      <c r="S6" s="288"/>
      <c r="T6" s="286"/>
      <c r="U6" s="288"/>
      <c r="V6" s="286"/>
      <c r="W6" s="288"/>
      <c r="X6" s="286"/>
      <c r="Y6" s="288"/>
      <c r="Z6" s="286"/>
      <c r="AA6" s="288"/>
      <c r="AB6" s="286"/>
      <c r="AC6" s="288"/>
      <c r="AD6" s="286"/>
      <c r="AE6" s="288"/>
      <c r="AF6" s="286"/>
      <c r="AG6" s="288"/>
      <c r="AH6" s="286"/>
      <c r="AI6" s="288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4"/>
      <c r="AW6" s="284"/>
      <c r="AX6" s="284"/>
      <c r="AY6" s="284"/>
      <c r="AZ6" s="284"/>
      <c r="BA6" s="284"/>
      <c r="BB6" s="284"/>
      <c r="BC6" s="284"/>
      <c r="BD6" s="284"/>
      <c r="BE6" s="284"/>
      <c r="BF6" s="284"/>
      <c r="BG6" s="284"/>
      <c r="BH6" s="284"/>
      <c r="BI6" s="284"/>
      <c r="BJ6" s="284"/>
      <c r="BK6" s="284"/>
      <c r="BL6" s="284"/>
      <c r="BM6" s="284"/>
      <c r="BN6" s="284"/>
      <c r="BO6" s="284"/>
      <c r="BP6" s="284"/>
      <c r="BQ6" s="284"/>
      <c r="BR6" s="284"/>
      <c r="BS6" s="284"/>
      <c r="BT6" s="284"/>
      <c r="BU6" s="284"/>
      <c r="BV6" s="284"/>
      <c r="BW6" s="284"/>
      <c r="BX6" s="284"/>
      <c r="BY6" s="284"/>
      <c r="BZ6" s="285"/>
      <c r="CA6" s="298">
        <f>SUM(C6,E6,G6,I6,K6,M6,O6,Q6,S6,U6,W6,Y6,AA6,AC6,AE6,AG6,AI6,AK6,AM6,AO6,AQ6,AS6,AU6,AW6,AY6,BA6,BC6,BE6,BG6,BI6,BK6,BM6,BO6,BQ6,BS6,BU6,BW6,BY6)</f>
        <v>2</v>
      </c>
      <c r="CB6" s="298">
        <f>SUM(D6,F6,H6,J6,L6,N6,P6,R6,T6,V6,X6,Z6,AB6,AD6,AF6,AH6,AJ6,AL6,AN6,AP6,AR6,AT6,AV6,AX6,AZ6,BB6,BD6,BF6,BH6,BJ6,BL6,BN6,BP6,BR6,BT6,BV6,BX6,BZ6)</f>
        <v>1</v>
      </c>
      <c r="CC6" s="299">
        <f>SUM(Table13[[#This Row],[GOALS 1]:[ASSISTS 38]])</f>
        <v>3</v>
      </c>
    </row>
    <row r="7" spans="1:81">
      <c r="A7" s="291" t="s">
        <v>1403</v>
      </c>
      <c r="B7" s="291" t="s">
        <v>20</v>
      </c>
      <c r="C7" s="289"/>
      <c r="D7" s="286"/>
      <c r="E7" s="288">
        <v>2</v>
      </c>
      <c r="F7" s="286">
        <v>1</v>
      </c>
      <c r="G7" s="288"/>
      <c r="H7" s="286"/>
      <c r="I7" s="288"/>
      <c r="J7" s="286"/>
      <c r="K7" s="288"/>
      <c r="L7" s="286"/>
      <c r="M7" s="288"/>
      <c r="N7" s="286"/>
      <c r="O7" s="288"/>
      <c r="P7" s="286"/>
      <c r="Q7" s="288"/>
      <c r="R7" s="286"/>
      <c r="S7" s="288"/>
      <c r="T7" s="286"/>
      <c r="U7" s="288"/>
      <c r="V7" s="286"/>
      <c r="W7" s="288"/>
      <c r="X7" s="286"/>
      <c r="Y7" s="288"/>
      <c r="Z7" s="286"/>
      <c r="AA7" s="288"/>
      <c r="AB7" s="286"/>
      <c r="AC7" s="288"/>
      <c r="AD7" s="286"/>
      <c r="AE7" s="288"/>
      <c r="AF7" s="286"/>
      <c r="AG7" s="288"/>
      <c r="AH7" s="286"/>
      <c r="AI7" s="288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4"/>
      <c r="AW7" s="284"/>
      <c r="AX7" s="284"/>
      <c r="AY7" s="284"/>
      <c r="AZ7" s="284"/>
      <c r="BA7" s="284"/>
      <c r="BB7" s="284"/>
      <c r="BC7" s="284"/>
      <c r="BD7" s="284"/>
      <c r="BE7" s="284"/>
      <c r="BF7" s="284"/>
      <c r="BG7" s="284"/>
      <c r="BH7" s="284"/>
      <c r="BI7" s="284"/>
      <c r="BJ7" s="284"/>
      <c r="BK7" s="284"/>
      <c r="BL7" s="284"/>
      <c r="BM7" s="284"/>
      <c r="BN7" s="284"/>
      <c r="BO7" s="284"/>
      <c r="BP7" s="284"/>
      <c r="BQ7" s="284"/>
      <c r="BR7" s="284"/>
      <c r="BS7" s="284"/>
      <c r="BT7" s="284"/>
      <c r="BU7" s="284"/>
      <c r="BV7" s="284"/>
      <c r="BW7" s="284"/>
      <c r="BX7" s="284"/>
      <c r="BY7" s="284"/>
      <c r="BZ7" s="285"/>
      <c r="CA7" s="298">
        <f>SUM(C7,E7,G7,I7,K7,M7,O7,Q7,S7,U7,W7,Y7,AA7,AC7,AE7,AG7,AI7,AK7,AM7,AO7,AQ7,AS7,AU7,AW7,AY7,BA7,BC7,BE7,BG7,BI7,BK7,BM7,BO7,BQ7,BS7,BU7,BW7,BY7)</f>
        <v>2</v>
      </c>
      <c r="CB7" s="298">
        <f>SUM(D7,F7,H7,J7,L7,N7,P7,R7,T7,V7,X7,Z7,AB7,AD7,AF7,AH7,AJ7,AL7,AN7,AP7,AR7,AT7,AV7,AX7,AZ7,BB7,BD7,BF7,BH7,BJ7,BL7,BN7,BP7,BR7,BT7,BV7,BX7,BZ7)</f>
        <v>1</v>
      </c>
      <c r="CC7" s="299">
        <f>SUM(Table13[[#This Row],[GOALS 1]:[ASSISTS 38]])</f>
        <v>3</v>
      </c>
    </row>
    <row r="8" spans="1:81">
      <c r="A8" s="291" t="s">
        <v>1303</v>
      </c>
      <c r="B8" s="291" t="s">
        <v>19</v>
      </c>
      <c r="C8" s="289">
        <v>1</v>
      </c>
      <c r="D8" s="286"/>
      <c r="E8" s="288">
        <v>1</v>
      </c>
      <c r="F8" s="286"/>
      <c r="G8" s="288"/>
      <c r="H8" s="286"/>
      <c r="I8" s="288"/>
      <c r="J8" s="286"/>
      <c r="K8" s="288"/>
      <c r="L8" s="286"/>
      <c r="M8" s="288"/>
      <c r="N8" s="286"/>
      <c r="O8" s="288"/>
      <c r="P8" s="286"/>
      <c r="Q8" s="288"/>
      <c r="R8" s="286"/>
      <c r="S8" s="288"/>
      <c r="T8" s="286"/>
      <c r="U8" s="288"/>
      <c r="V8" s="286"/>
      <c r="W8" s="288"/>
      <c r="X8" s="286"/>
      <c r="Y8" s="288"/>
      <c r="Z8" s="286"/>
      <c r="AA8" s="288"/>
      <c r="AB8" s="286"/>
      <c r="AC8" s="288"/>
      <c r="AD8" s="286"/>
      <c r="AE8" s="288"/>
      <c r="AF8" s="286"/>
      <c r="AG8" s="288"/>
      <c r="AH8" s="286"/>
      <c r="AI8" s="288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4"/>
      <c r="AW8" s="284"/>
      <c r="AX8" s="284"/>
      <c r="AY8" s="284"/>
      <c r="AZ8" s="284"/>
      <c r="BA8" s="284"/>
      <c r="BB8" s="284"/>
      <c r="BC8" s="284"/>
      <c r="BD8" s="284"/>
      <c r="BE8" s="284"/>
      <c r="BF8" s="284"/>
      <c r="BG8" s="284"/>
      <c r="BH8" s="284"/>
      <c r="BI8" s="284"/>
      <c r="BJ8" s="284"/>
      <c r="BK8" s="284"/>
      <c r="BL8" s="284"/>
      <c r="BM8" s="284"/>
      <c r="BN8" s="284"/>
      <c r="BO8" s="284"/>
      <c r="BP8" s="284"/>
      <c r="BQ8" s="284"/>
      <c r="BR8" s="284"/>
      <c r="BS8" s="284"/>
      <c r="BT8" s="284"/>
      <c r="BU8" s="284"/>
      <c r="BV8" s="284"/>
      <c r="BW8" s="284"/>
      <c r="BX8" s="284"/>
      <c r="BY8" s="284"/>
      <c r="BZ8" s="285"/>
      <c r="CA8" s="298">
        <f>SUM(C8,E8,G8,I8,K8,M8,O8,Q8,S8,U8,W8,Y8,AA8,AC8,AE8,AG8,AI8,AK8,AM8,AO8,AQ8,AS8,AU8,AW8,AY8,BA8,BC8,BE8,BG8,BI8,BK8,BM8,BO8,BQ8,BS8,BU8,BW8,BY8)</f>
        <v>2</v>
      </c>
      <c r="CB8" s="298">
        <f>SUM(D8,F8,H8,J8,L8,N8,P8,R8,T8,V8,X8,Z8,AB8,AD8,AF8,AH8,AJ8,AL8,AN8,AP8,AR8,AT8,AV8,AX8,AZ8,BB8,BD8,BF8,BH8,BJ8,BL8,BN8,BP8,BR8,BT8,BV8,BX8,BZ8)</f>
        <v>0</v>
      </c>
      <c r="CC8" s="299">
        <f>SUM(Table13[[#This Row],[GOALS 1]:[ASSISTS 38]])</f>
        <v>2</v>
      </c>
    </row>
    <row r="9" spans="1:81">
      <c r="A9" s="291" t="s">
        <v>1289</v>
      </c>
      <c r="B9" s="291" t="s">
        <v>52</v>
      </c>
      <c r="C9" s="289">
        <v>2</v>
      </c>
      <c r="D9" s="286"/>
      <c r="E9" s="288"/>
      <c r="F9" s="286"/>
      <c r="G9" s="288"/>
      <c r="H9" s="286"/>
      <c r="I9" s="288"/>
      <c r="J9" s="286"/>
      <c r="K9" s="288"/>
      <c r="L9" s="286"/>
      <c r="M9" s="288"/>
      <c r="N9" s="286"/>
      <c r="O9" s="288"/>
      <c r="P9" s="286"/>
      <c r="Q9" s="288"/>
      <c r="R9" s="286"/>
      <c r="S9" s="288"/>
      <c r="T9" s="286"/>
      <c r="U9" s="288"/>
      <c r="V9" s="286"/>
      <c r="W9" s="288"/>
      <c r="X9" s="286"/>
      <c r="Y9" s="288"/>
      <c r="Z9" s="286"/>
      <c r="AA9" s="288"/>
      <c r="AB9" s="286"/>
      <c r="AC9" s="288"/>
      <c r="AD9" s="286"/>
      <c r="AE9" s="288"/>
      <c r="AF9" s="286"/>
      <c r="AG9" s="288"/>
      <c r="AH9" s="286"/>
      <c r="AI9" s="288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4"/>
      <c r="AW9" s="284"/>
      <c r="AX9" s="284"/>
      <c r="AY9" s="284"/>
      <c r="AZ9" s="284"/>
      <c r="BA9" s="284"/>
      <c r="BB9" s="284"/>
      <c r="BC9" s="284"/>
      <c r="BD9" s="284"/>
      <c r="BE9" s="284"/>
      <c r="BF9" s="284"/>
      <c r="BG9" s="284"/>
      <c r="BH9" s="284"/>
      <c r="BI9" s="284"/>
      <c r="BJ9" s="284"/>
      <c r="BK9" s="284"/>
      <c r="BL9" s="284"/>
      <c r="BM9" s="284"/>
      <c r="BN9" s="284"/>
      <c r="BO9" s="284"/>
      <c r="BP9" s="284"/>
      <c r="BQ9" s="284"/>
      <c r="BR9" s="284"/>
      <c r="BS9" s="284"/>
      <c r="BT9" s="284"/>
      <c r="BU9" s="284"/>
      <c r="BV9" s="284"/>
      <c r="BW9" s="284"/>
      <c r="BX9" s="284"/>
      <c r="BY9" s="284"/>
      <c r="BZ9" s="285"/>
      <c r="CA9" s="298">
        <f>SUM(C9,E9,G9,I9,K9,M9,O9,Q9,S9,U9,W9,Y9,AA9,AC9,AE9,AG9,AI9,AK9,AM9,AO9,AQ9,AS9,AU9,AW9,AY9,BA9,BC9,BE9,BG9,BI9,BK9,BM9,BO9,BQ9,BS9,BU9,BW9,BY9)</f>
        <v>2</v>
      </c>
      <c r="CB9" s="298">
        <f>SUM(D9,F9,H9,J9,L9,N9,P9,R9,T9,V9,X9,Z9,AB9,AD9,AF9,AH9,AJ9,AL9,AN9,AP9,AR9,AT9,AV9,AX9,AZ9,BB9,BD9,BF9,BH9,BJ9,BL9,BN9,BP9,BR9,BT9,BV9,BX9,BZ9)</f>
        <v>0</v>
      </c>
      <c r="CC9" s="299">
        <f>SUM(Table13[[#This Row],[GOALS 1]:[ASSISTS 38]])</f>
        <v>2</v>
      </c>
    </row>
    <row r="10" spans="1:81">
      <c r="A10" s="291" t="s">
        <v>1273</v>
      </c>
      <c r="B10" s="291" t="s">
        <v>29</v>
      </c>
      <c r="C10" s="289">
        <v>2</v>
      </c>
      <c r="D10" s="286"/>
      <c r="E10" s="288"/>
      <c r="F10" s="286"/>
      <c r="G10" s="288"/>
      <c r="H10" s="286"/>
      <c r="I10" s="288"/>
      <c r="J10" s="286"/>
      <c r="K10" s="288"/>
      <c r="L10" s="286"/>
      <c r="M10" s="288"/>
      <c r="N10" s="286"/>
      <c r="O10" s="288"/>
      <c r="P10" s="286"/>
      <c r="Q10" s="288"/>
      <c r="R10" s="286"/>
      <c r="S10" s="288"/>
      <c r="T10" s="286"/>
      <c r="U10" s="288"/>
      <c r="V10" s="286"/>
      <c r="W10" s="288"/>
      <c r="X10" s="286"/>
      <c r="Y10" s="288"/>
      <c r="Z10" s="286"/>
      <c r="AA10" s="288"/>
      <c r="AB10" s="286"/>
      <c r="AC10" s="288"/>
      <c r="AD10" s="286"/>
      <c r="AE10" s="288"/>
      <c r="AF10" s="286"/>
      <c r="AG10" s="288"/>
      <c r="AH10" s="286"/>
      <c r="AI10" s="288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4"/>
      <c r="AW10" s="284"/>
      <c r="AX10" s="284"/>
      <c r="AY10" s="284"/>
      <c r="AZ10" s="284"/>
      <c r="BA10" s="284"/>
      <c r="BB10" s="284"/>
      <c r="BC10" s="284"/>
      <c r="BD10" s="284"/>
      <c r="BE10" s="284"/>
      <c r="BF10" s="284"/>
      <c r="BG10" s="284"/>
      <c r="BH10" s="284"/>
      <c r="BI10" s="284"/>
      <c r="BJ10" s="284"/>
      <c r="BK10" s="284"/>
      <c r="BL10" s="284"/>
      <c r="BM10" s="284"/>
      <c r="BN10" s="284"/>
      <c r="BO10" s="284"/>
      <c r="BP10" s="284"/>
      <c r="BQ10" s="284"/>
      <c r="BR10" s="284"/>
      <c r="BS10" s="284"/>
      <c r="BT10" s="284"/>
      <c r="BU10" s="284"/>
      <c r="BV10" s="284"/>
      <c r="BW10" s="284"/>
      <c r="BX10" s="284"/>
      <c r="BY10" s="284"/>
      <c r="BZ10" s="285"/>
      <c r="CA10" s="298">
        <f>SUM(C10,E10,G10,I10,K10,M10,O10,Q10,S10,U10,W10,Y10,AA10,AC10,AE10,AG10,AI10,AK10,AM10,AO10,AQ10,AS10,AU10,AW10,AY10,BA10,BC10,BE10,BG10,BI10,BK10,BM10,BO10,BQ10,BS10,BU10,BW10,BY10)</f>
        <v>2</v>
      </c>
      <c r="CB10" s="298">
        <f>SUM(D10,F10,H10,J10,L10,N10,P10,R10,T10,V10,X10,Z10,AB10,AD10,AF10,AH10,AJ10,AL10,AN10,AP10,AR10,AT10,AV10,AX10,AZ10,BB10,BD10,BF10,BH10,BJ10,BL10,BN10,BP10,BR10,BT10,BV10,BX10,BZ10)</f>
        <v>0</v>
      </c>
      <c r="CC10" s="299">
        <f>SUM(Table13[[#This Row],[GOALS 1]:[ASSISTS 38]])</f>
        <v>2</v>
      </c>
    </row>
    <row r="11" spans="1:81">
      <c r="A11" s="291" t="s">
        <v>1277</v>
      </c>
      <c r="B11" s="291" t="s">
        <v>20</v>
      </c>
      <c r="C11" s="289"/>
      <c r="D11" s="286"/>
      <c r="E11" s="288">
        <v>2</v>
      </c>
      <c r="F11" s="286"/>
      <c r="G11" s="288"/>
      <c r="H11" s="286"/>
      <c r="I11" s="288"/>
      <c r="J11" s="286"/>
      <c r="K11" s="288"/>
      <c r="L11" s="286"/>
      <c r="M11" s="288"/>
      <c r="N11" s="286"/>
      <c r="O11" s="288"/>
      <c r="P11" s="286"/>
      <c r="Q11" s="288"/>
      <c r="R11" s="286"/>
      <c r="S11" s="288"/>
      <c r="T11" s="286"/>
      <c r="U11" s="288"/>
      <c r="V11" s="286"/>
      <c r="W11" s="288"/>
      <c r="X11" s="286"/>
      <c r="Y11" s="288"/>
      <c r="Z11" s="286"/>
      <c r="AA11" s="288"/>
      <c r="AB11" s="286"/>
      <c r="AC11" s="288"/>
      <c r="AD11" s="286"/>
      <c r="AE11" s="288"/>
      <c r="AF11" s="286"/>
      <c r="AG11" s="288"/>
      <c r="AH11" s="286"/>
      <c r="AI11" s="288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4"/>
      <c r="AW11" s="284"/>
      <c r="AX11" s="284"/>
      <c r="AY11" s="284"/>
      <c r="AZ11" s="284"/>
      <c r="BA11" s="284"/>
      <c r="BB11" s="284"/>
      <c r="BC11" s="284"/>
      <c r="BD11" s="284"/>
      <c r="BE11" s="284"/>
      <c r="BF11" s="284"/>
      <c r="BG11" s="284"/>
      <c r="BH11" s="284"/>
      <c r="BI11" s="284"/>
      <c r="BJ11" s="284"/>
      <c r="BK11" s="284"/>
      <c r="BL11" s="284"/>
      <c r="BM11" s="284"/>
      <c r="BN11" s="284"/>
      <c r="BO11" s="284"/>
      <c r="BP11" s="284"/>
      <c r="BQ11" s="284"/>
      <c r="BR11" s="284"/>
      <c r="BS11" s="284"/>
      <c r="BT11" s="284"/>
      <c r="BU11" s="284"/>
      <c r="BV11" s="284"/>
      <c r="BW11" s="284"/>
      <c r="BX11" s="284"/>
      <c r="BY11" s="284"/>
      <c r="BZ11" s="285"/>
      <c r="CA11" s="298">
        <f>SUM(C11,E11,G11,I11,K11,M11,O11,Q11,S11,U11,W11,Y11,AA11,AC11,AE11,AG11,AI11,AK11,AM11,AO11,AQ11,AS11,AU11,AW11,AY11,BA11,BC11,BE11,BG11,BI11,BK11,BM11,BO11,BQ11,BS11,BU11,BW11,BY11)</f>
        <v>2</v>
      </c>
      <c r="CB11" s="298">
        <f>SUM(D11,F11,H11,J11,L11,N11,P11,R11,T11,V11,X11,Z11,AB11,AD11,AF11,AH11,AJ11,AL11,AN11,AP11,AR11,AT11,AV11,AX11,AZ11,BB11,BD11,BF11,BH11,BJ11,BL11,BN11,BP11,BR11,BT11,BV11,BX11,BZ11)</f>
        <v>0</v>
      </c>
      <c r="CC11" s="299">
        <f>SUM(Table13[[#This Row],[GOALS 1]:[ASSISTS 38]])</f>
        <v>2</v>
      </c>
    </row>
    <row r="12" spans="1:81">
      <c r="A12" s="291" t="s">
        <v>1293</v>
      </c>
      <c r="B12" s="291" t="s">
        <v>17</v>
      </c>
      <c r="C12" s="289">
        <v>1</v>
      </c>
      <c r="D12" s="286"/>
      <c r="E12" s="288"/>
      <c r="F12" s="286">
        <v>2</v>
      </c>
      <c r="G12" s="288"/>
      <c r="H12" s="286"/>
      <c r="I12" s="288"/>
      <c r="J12" s="286"/>
      <c r="K12" s="288"/>
      <c r="L12" s="286"/>
      <c r="M12" s="288"/>
      <c r="N12" s="286"/>
      <c r="O12" s="288"/>
      <c r="P12" s="286"/>
      <c r="Q12" s="288"/>
      <c r="R12" s="286"/>
      <c r="S12" s="288"/>
      <c r="T12" s="286"/>
      <c r="U12" s="288"/>
      <c r="V12" s="286"/>
      <c r="W12" s="288"/>
      <c r="X12" s="286"/>
      <c r="Y12" s="288"/>
      <c r="Z12" s="286"/>
      <c r="AA12" s="288"/>
      <c r="AB12" s="286"/>
      <c r="AC12" s="288"/>
      <c r="AD12" s="286"/>
      <c r="AE12" s="288"/>
      <c r="AF12" s="286"/>
      <c r="AG12" s="288"/>
      <c r="AH12" s="286"/>
      <c r="AI12" s="288"/>
      <c r="AJ12" s="286"/>
      <c r="AK12" s="286"/>
      <c r="AL12" s="286"/>
      <c r="AM12" s="286"/>
      <c r="AN12" s="286"/>
      <c r="AO12" s="286"/>
      <c r="AP12" s="286"/>
      <c r="AQ12" s="286"/>
      <c r="AR12" s="286"/>
      <c r="AS12" s="286"/>
      <c r="AT12" s="286"/>
      <c r="AU12" s="286"/>
      <c r="AV12" s="284"/>
      <c r="AW12" s="284"/>
      <c r="AX12" s="284"/>
      <c r="AY12" s="284"/>
      <c r="AZ12" s="284"/>
      <c r="BA12" s="284"/>
      <c r="BB12" s="284"/>
      <c r="BC12" s="284"/>
      <c r="BD12" s="284"/>
      <c r="BE12" s="284"/>
      <c r="BF12" s="284"/>
      <c r="BG12" s="284"/>
      <c r="BH12" s="284"/>
      <c r="BI12" s="284"/>
      <c r="BJ12" s="284"/>
      <c r="BK12" s="284"/>
      <c r="BL12" s="284"/>
      <c r="BM12" s="284"/>
      <c r="BN12" s="284"/>
      <c r="BO12" s="284"/>
      <c r="BP12" s="284"/>
      <c r="BQ12" s="284"/>
      <c r="BR12" s="284"/>
      <c r="BS12" s="284"/>
      <c r="BT12" s="284"/>
      <c r="BU12" s="284"/>
      <c r="BV12" s="284"/>
      <c r="BW12" s="284"/>
      <c r="BX12" s="284"/>
      <c r="BY12" s="284"/>
      <c r="BZ12" s="285"/>
      <c r="CA12" s="298">
        <f>SUM(C12,E12,G12,I12,K12,M12,O12,Q12,S12,U12,W12,Y12,AA12,AC12,AE12,AG12,AI12,AK12,AM12,AO12,AQ12,AS12,AU12,AW12,AY12,BA12,BC12,BE12,BG12,BI12,BK12,BM12,BO12,BQ12,BS12,BU12,BW12,BY12)</f>
        <v>1</v>
      </c>
      <c r="CB12" s="298">
        <f>SUM(D12,F12,H12,J12,L12,N12,P12,R12,T12,V12,X12,Z12,AB12,AD12,AF12,AH12,AJ12,AL12,AN12,AP12,AR12,AT12,AV12,AX12,AZ12,BB12,BD12,BF12,BH12,BJ12,BL12,BN12,BP12,BR12,BT12,BV12,BX12,BZ12)</f>
        <v>2</v>
      </c>
      <c r="CC12" s="299">
        <f>SUM(Table13[[#This Row],[GOALS 1]:[ASSISTS 38]])</f>
        <v>3</v>
      </c>
    </row>
    <row r="13" spans="1:81">
      <c r="A13" s="291" t="s">
        <v>1288</v>
      </c>
      <c r="B13" s="291" t="s">
        <v>18</v>
      </c>
      <c r="C13" s="286"/>
      <c r="D13" s="286"/>
      <c r="E13" s="288">
        <v>1</v>
      </c>
      <c r="F13" s="286">
        <v>2</v>
      </c>
      <c r="G13" s="288"/>
      <c r="H13" s="286"/>
      <c r="I13" s="288"/>
      <c r="J13" s="286"/>
      <c r="K13" s="288"/>
      <c r="L13" s="286"/>
      <c r="M13" s="288"/>
      <c r="N13" s="286"/>
      <c r="O13" s="288"/>
      <c r="P13" s="286"/>
      <c r="Q13" s="288"/>
      <c r="R13" s="286"/>
      <c r="S13" s="288"/>
      <c r="T13" s="286"/>
      <c r="U13" s="288"/>
      <c r="V13" s="286"/>
      <c r="W13" s="288"/>
      <c r="X13" s="286"/>
      <c r="Y13" s="288"/>
      <c r="Z13" s="286"/>
      <c r="AA13" s="288"/>
      <c r="AB13" s="286"/>
      <c r="AC13" s="288"/>
      <c r="AD13" s="286"/>
      <c r="AE13" s="288"/>
      <c r="AF13" s="286"/>
      <c r="AG13" s="288"/>
      <c r="AH13" s="286"/>
      <c r="AI13" s="288"/>
      <c r="AJ13" s="286"/>
      <c r="AK13" s="286"/>
      <c r="AL13" s="286"/>
      <c r="AM13" s="286"/>
      <c r="AN13" s="286"/>
      <c r="AO13" s="286"/>
      <c r="AP13" s="286"/>
      <c r="AQ13" s="286"/>
      <c r="AR13" s="286"/>
      <c r="AS13" s="286"/>
      <c r="AT13" s="286"/>
      <c r="AU13" s="286"/>
      <c r="AV13" s="284"/>
      <c r="AW13" s="284"/>
      <c r="AX13" s="284"/>
      <c r="AY13" s="284"/>
      <c r="AZ13" s="284"/>
      <c r="BA13" s="284"/>
      <c r="BB13" s="284"/>
      <c r="BC13" s="284"/>
      <c r="BD13" s="284"/>
      <c r="BE13" s="284"/>
      <c r="BF13" s="284"/>
      <c r="BG13" s="284"/>
      <c r="BH13" s="284"/>
      <c r="BI13" s="284"/>
      <c r="BJ13" s="284"/>
      <c r="BK13" s="284"/>
      <c r="BL13" s="284"/>
      <c r="BM13" s="284"/>
      <c r="BN13" s="284"/>
      <c r="BO13" s="284"/>
      <c r="BP13" s="284"/>
      <c r="BQ13" s="284"/>
      <c r="BR13" s="284"/>
      <c r="BS13" s="284"/>
      <c r="BT13" s="284"/>
      <c r="BU13" s="284"/>
      <c r="BV13" s="284"/>
      <c r="BW13" s="284"/>
      <c r="BX13" s="284"/>
      <c r="BY13" s="284"/>
      <c r="BZ13" s="285"/>
      <c r="CA13" s="298">
        <f>SUM(C13,E13,G13,I13,K13,M13,O13,Q13,S13,U13,W13,Y13,AA13,AC13,AE13,AG13,AI13,AK13,AM13,AO13,AQ13,AS13,AU13,AW13,AY13,BA13,BC13,BE13,BG13,BI13,BK13,BM13,BO13,BQ13,BS13,BU13,BW13,BY13)</f>
        <v>1</v>
      </c>
      <c r="CB13" s="298">
        <f>SUM(D13,F13,H13,J13,L13,N13,P13,R13,T13,V13,X13,Z13,AB13,AD13,AF13,AH13,AJ13,AL13,AN13,AP13,AR13,AT13,AV13,AX13,AZ13,BB13,BD13,BF13,BH13,BJ13,BL13,BN13,BP13,BR13,BT13,BV13,BX13,BZ13)</f>
        <v>2</v>
      </c>
      <c r="CC13" s="299">
        <f>SUM(Table13[[#This Row],[GOALS 1]:[ASSISTS 38]])</f>
        <v>3</v>
      </c>
    </row>
    <row r="14" spans="1:81">
      <c r="A14" s="291" t="s">
        <v>1415</v>
      </c>
      <c r="B14" s="291" t="s">
        <v>20</v>
      </c>
      <c r="C14" s="289">
        <v>1</v>
      </c>
      <c r="D14" s="286"/>
      <c r="E14" s="288"/>
      <c r="F14" s="286">
        <v>2</v>
      </c>
      <c r="G14" s="288"/>
      <c r="H14" s="286"/>
      <c r="I14" s="288"/>
      <c r="J14" s="286"/>
      <c r="K14" s="288"/>
      <c r="L14" s="286"/>
      <c r="M14" s="288"/>
      <c r="N14" s="286"/>
      <c r="O14" s="288"/>
      <c r="P14" s="286"/>
      <c r="Q14" s="288"/>
      <c r="R14" s="286"/>
      <c r="S14" s="288"/>
      <c r="T14" s="286"/>
      <c r="U14" s="288"/>
      <c r="V14" s="286"/>
      <c r="W14" s="288"/>
      <c r="X14" s="286"/>
      <c r="Y14" s="288"/>
      <c r="Z14" s="286"/>
      <c r="AA14" s="288"/>
      <c r="AB14" s="286"/>
      <c r="AC14" s="288"/>
      <c r="AD14" s="286"/>
      <c r="AE14" s="288"/>
      <c r="AF14" s="286"/>
      <c r="AG14" s="288"/>
      <c r="AH14" s="286"/>
      <c r="AI14" s="288"/>
      <c r="AJ14" s="286"/>
      <c r="AK14" s="286"/>
      <c r="AL14" s="286"/>
      <c r="AM14" s="286"/>
      <c r="AN14" s="286"/>
      <c r="AO14" s="286"/>
      <c r="AP14" s="286"/>
      <c r="AQ14" s="286"/>
      <c r="AR14" s="286"/>
      <c r="AS14" s="286"/>
      <c r="AT14" s="286"/>
      <c r="AU14" s="286"/>
      <c r="AV14" s="284"/>
      <c r="AW14" s="284"/>
      <c r="AX14" s="284"/>
      <c r="AY14" s="284"/>
      <c r="AZ14" s="284"/>
      <c r="BA14" s="284"/>
      <c r="BB14" s="284"/>
      <c r="BC14" s="284"/>
      <c r="BD14" s="284"/>
      <c r="BE14" s="284"/>
      <c r="BF14" s="284"/>
      <c r="BG14" s="284"/>
      <c r="BH14" s="284"/>
      <c r="BI14" s="284"/>
      <c r="BJ14" s="284"/>
      <c r="BK14" s="284"/>
      <c r="BL14" s="284"/>
      <c r="BM14" s="284"/>
      <c r="BN14" s="284"/>
      <c r="BO14" s="284"/>
      <c r="BP14" s="284"/>
      <c r="BQ14" s="284"/>
      <c r="BR14" s="284"/>
      <c r="BS14" s="284"/>
      <c r="BT14" s="284"/>
      <c r="BU14" s="284"/>
      <c r="BV14" s="284"/>
      <c r="BW14" s="284"/>
      <c r="BX14" s="284"/>
      <c r="BY14" s="284"/>
      <c r="BZ14" s="285"/>
      <c r="CA14" s="298">
        <f>SUM(C14,E14,G14,I14,K14,M14,O14,Q14,S14,U14,W14,Y14,AA14,AC14,AE14,AG14,AI14,AK14,AM14,AO14,AQ14,AS14,AU14,AW14,AY14,BA14,BC14,BE14,BG14,BI14,BK14,BM14,BO14,BQ14,BS14,BU14,BW14,BY14)</f>
        <v>1</v>
      </c>
      <c r="CB14" s="298">
        <f>SUM(D14,F14,H14,J14,L14,N14,P14,R14,T14,V14,X14,Z14,AB14,AD14,AF14,AH14,AJ14,AL14,AN14,AP14,AR14,AT14,AV14,AX14,AZ14,BB14,BD14,BF14,BH14,BJ14,BL14,BN14,BP14,BR14,BT14,BV14,BX14,BZ14)</f>
        <v>2</v>
      </c>
      <c r="CC14" s="299">
        <f>SUM(Table13[[#This Row],[GOALS 1]:[ASSISTS 38]])</f>
        <v>3</v>
      </c>
    </row>
    <row r="15" spans="1:81">
      <c r="A15" s="291" t="s">
        <v>1372</v>
      </c>
      <c r="B15" s="291" t="s">
        <v>52</v>
      </c>
      <c r="C15" s="289">
        <v>1</v>
      </c>
      <c r="D15" s="286"/>
      <c r="E15" s="288"/>
      <c r="F15" s="286">
        <v>1</v>
      </c>
      <c r="G15" s="288"/>
      <c r="H15" s="286"/>
      <c r="I15" s="288"/>
      <c r="J15" s="286"/>
      <c r="K15" s="288"/>
      <c r="L15" s="286"/>
      <c r="M15" s="288"/>
      <c r="N15" s="286"/>
      <c r="O15" s="288"/>
      <c r="P15" s="286"/>
      <c r="Q15" s="288"/>
      <c r="R15" s="286"/>
      <c r="S15" s="288"/>
      <c r="T15" s="286"/>
      <c r="U15" s="288"/>
      <c r="V15" s="286"/>
      <c r="W15" s="288"/>
      <c r="X15" s="286"/>
      <c r="Y15" s="288"/>
      <c r="Z15" s="286"/>
      <c r="AA15" s="288"/>
      <c r="AB15" s="286"/>
      <c r="AC15" s="288"/>
      <c r="AD15" s="286"/>
      <c r="AE15" s="288"/>
      <c r="AF15" s="286"/>
      <c r="AG15" s="288"/>
      <c r="AH15" s="286"/>
      <c r="AI15" s="288"/>
      <c r="AJ15" s="286"/>
      <c r="AK15" s="286"/>
      <c r="AL15" s="286"/>
      <c r="AM15" s="286"/>
      <c r="AN15" s="286"/>
      <c r="AO15" s="286"/>
      <c r="AP15" s="286"/>
      <c r="AQ15" s="286"/>
      <c r="AR15" s="286"/>
      <c r="AS15" s="286"/>
      <c r="AT15" s="286"/>
      <c r="AU15" s="286"/>
      <c r="AV15" s="284"/>
      <c r="AW15" s="284"/>
      <c r="AX15" s="284"/>
      <c r="AY15" s="284"/>
      <c r="AZ15" s="284"/>
      <c r="BA15" s="284"/>
      <c r="BB15" s="284"/>
      <c r="BC15" s="284"/>
      <c r="BD15" s="284"/>
      <c r="BE15" s="284"/>
      <c r="BF15" s="284"/>
      <c r="BG15" s="284"/>
      <c r="BH15" s="284"/>
      <c r="BI15" s="284"/>
      <c r="BJ15" s="284"/>
      <c r="BK15" s="284"/>
      <c r="BL15" s="284"/>
      <c r="BM15" s="284"/>
      <c r="BN15" s="284"/>
      <c r="BO15" s="284"/>
      <c r="BP15" s="284"/>
      <c r="BQ15" s="284"/>
      <c r="BR15" s="284"/>
      <c r="BS15" s="284"/>
      <c r="BT15" s="284"/>
      <c r="BU15" s="284"/>
      <c r="BV15" s="284"/>
      <c r="BW15" s="284"/>
      <c r="BX15" s="284"/>
      <c r="BY15" s="284"/>
      <c r="BZ15" s="285"/>
      <c r="CA15" s="298">
        <f>SUM(C15,E15,G15,I15,K15,M15,O15,Q15,S15,U15,W15,Y15,AA15,AC15,AE15,AG15,AI15,AK15,AM15,AO15,AQ15,AS15,AU15,AW15,AY15,BA15,BC15,BE15,BG15,BI15,BK15,BM15,BO15,BQ15,BS15,BU15,BW15,BY15)</f>
        <v>1</v>
      </c>
      <c r="CB15" s="298">
        <f>SUM(D15,F15,H15,J15,L15,N15,P15,R15,T15,V15,X15,Z15,AB15,AD15,AF15,AH15,AJ15,AL15,AN15,AP15,AR15,AT15,AV15,AX15,AZ15,BB15,BD15,BF15,BH15,BJ15,BL15,BN15,BP15,BR15,BT15,BV15,BX15,BZ15)</f>
        <v>1</v>
      </c>
      <c r="CC15" s="299">
        <f>SUM(Table13[[#This Row],[GOALS 1]:[ASSISTS 38]])</f>
        <v>2</v>
      </c>
    </row>
    <row r="16" spans="1:81">
      <c r="A16" s="291" t="s">
        <v>1321</v>
      </c>
      <c r="B16" s="291" t="s">
        <v>18</v>
      </c>
      <c r="C16" s="286"/>
      <c r="D16" s="286"/>
      <c r="E16" s="288">
        <v>1</v>
      </c>
      <c r="F16" s="286">
        <v>1</v>
      </c>
      <c r="G16" s="288"/>
      <c r="H16" s="286"/>
      <c r="I16" s="288"/>
      <c r="J16" s="286"/>
      <c r="K16" s="288"/>
      <c r="L16" s="286"/>
      <c r="M16" s="288"/>
      <c r="N16" s="286"/>
      <c r="O16" s="288"/>
      <c r="P16" s="286"/>
      <c r="Q16" s="288"/>
      <c r="R16" s="286"/>
      <c r="S16" s="288"/>
      <c r="T16" s="286"/>
      <c r="U16" s="288"/>
      <c r="V16" s="286"/>
      <c r="W16" s="288"/>
      <c r="X16" s="286"/>
      <c r="Y16" s="288"/>
      <c r="Z16" s="286"/>
      <c r="AA16" s="288"/>
      <c r="AB16" s="286"/>
      <c r="AC16" s="288"/>
      <c r="AD16" s="286"/>
      <c r="AE16" s="288"/>
      <c r="AF16" s="286"/>
      <c r="AG16" s="288"/>
      <c r="AH16" s="286"/>
      <c r="AI16" s="288"/>
      <c r="AJ16" s="286"/>
      <c r="AK16" s="286"/>
      <c r="AL16" s="286"/>
      <c r="AM16" s="286"/>
      <c r="AN16" s="286"/>
      <c r="AO16" s="286"/>
      <c r="AP16" s="286"/>
      <c r="AQ16" s="286"/>
      <c r="AR16" s="286"/>
      <c r="AS16" s="286"/>
      <c r="AT16" s="286"/>
      <c r="AU16" s="286"/>
      <c r="AV16" s="284"/>
      <c r="AW16" s="284"/>
      <c r="AX16" s="284"/>
      <c r="AY16" s="284"/>
      <c r="AZ16" s="284"/>
      <c r="BA16" s="284"/>
      <c r="BB16" s="284"/>
      <c r="BC16" s="284"/>
      <c r="BD16" s="284"/>
      <c r="BE16" s="284"/>
      <c r="BF16" s="284"/>
      <c r="BG16" s="284"/>
      <c r="BH16" s="284"/>
      <c r="BI16" s="284"/>
      <c r="BJ16" s="284"/>
      <c r="BK16" s="284"/>
      <c r="BL16" s="284"/>
      <c r="BM16" s="284"/>
      <c r="BN16" s="284"/>
      <c r="BO16" s="284"/>
      <c r="BP16" s="284"/>
      <c r="BQ16" s="284"/>
      <c r="BR16" s="284"/>
      <c r="BS16" s="284"/>
      <c r="BT16" s="284"/>
      <c r="BU16" s="284"/>
      <c r="BV16" s="284"/>
      <c r="BW16" s="284"/>
      <c r="BX16" s="284"/>
      <c r="BY16" s="284"/>
      <c r="BZ16" s="285"/>
      <c r="CA16" s="298">
        <f>SUM(C16,E16,G16,I16,K16,M16,O16,Q16,S16,U16,W16,Y16,AA16,AC16,AE16,AG16,AI16,AK16,AM16,AO16,AQ16,AS16,AU16,AW16,AY16,BA16,BC16,BE16,BG16,BI16,BK16,BM16,BO16,BQ16,BS16,BU16,BW16,BY16)</f>
        <v>1</v>
      </c>
      <c r="CB16" s="298">
        <f>SUM(D16,F16,H16,J16,L16,N16,P16,R16,T16,V16,X16,Z16,AB16,AD16,AF16,AH16,AJ16,AL16,AN16,AP16,AR16,AT16,AV16,AX16,AZ16,BB16,BD16,BF16,BH16,BJ16,BL16,BN16,BP16,BR16,BT16,BV16,BX16,BZ16)</f>
        <v>1</v>
      </c>
      <c r="CC16" s="299">
        <f>SUM(Table13[[#This Row],[GOALS 1]:[ASSISTS 38]])</f>
        <v>2</v>
      </c>
    </row>
    <row r="17" spans="1:81">
      <c r="A17" s="291" t="s">
        <v>1450</v>
      </c>
      <c r="B17" s="291" t="s">
        <v>22</v>
      </c>
      <c r="C17" s="286"/>
      <c r="D17" s="286"/>
      <c r="E17" s="288">
        <v>1</v>
      </c>
      <c r="F17" s="286">
        <v>1</v>
      </c>
      <c r="G17" s="288"/>
      <c r="H17" s="286"/>
      <c r="I17" s="288"/>
      <c r="J17" s="286"/>
      <c r="K17" s="288"/>
      <c r="L17" s="286"/>
      <c r="M17" s="288"/>
      <c r="N17" s="286"/>
      <c r="O17" s="288"/>
      <c r="P17" s="286"/>
      <c r="Q17" s="288"/>
      <c r="R17" s="286"/>
      <c r="S17" s="288"/>
      <c r="T17" s="286"/>
      <c r="U17" s="288"/>
      <c r="V17" s="286"/>
      <c r="W17" s="288"/>
      <c r="X17" s="286"/>
      <c r="Y17" s="288"/>
      <c r="Z17" s="286"/>
      <c r="AA17" s="288"/>
      <c r="AB17" s="286"/>
      <c r="AC17" s="288"/>
      <c r="AD17" s="286"/>
      <c r="AE17" s="288"/>
      <c r="AF17" s="286"/>
      <c r="AG17" s="288"/>
      <c r="AH17" s="286"/>
      <c r="AI17" s="288"/>
      <c r="AJ17" s="286"/>
      <c r="AK17" s="286"/>
      <c r="AL17" s="286"/>
      <c r="AM17" s="286"/>
      <c r="AN17" s="286"/>
      <c r="AO17" s="286"/>
      <c r="AP17" s="286"/>
      <c r="AQ17" s="286"/>
      <c r="AR17" s="286"/>
      <c r="AS17" s="286"/>
      <c r="AT17" s="286"/>
      <c r="AU17" s="286"/>
      <c r="AV17" s="284"/>
      <c r="AW17" s="284"/>
      <c r="AX17" s="284"/>
      <c r="AY17" s="284"/>
      <c r="AZ17" s="284"/>
      <c r="BA17" s="284"/>
      <c r="BB17" s="284"/>
      <c r="BC17" s="284"/>
      <c r="BD17" s="284"/>
      <c r="BE17" s="284"/>
      <c r="BF17" s="284"/>
      <c r="BG17" s="284"/>
      <c r="BH17" s="284"/>
      <c r="BI17" s="284"/>
      <c r="BJ17" s="284"/>
      <c r="BK17" s="284"/>
      <c r="BL17" s="284"/>
      <c r="BM17" s="284"/>
      <c r="BN17" s="284"/>
      <c r="BO17" s="284"/>
      <c r="BP17" s="284"/>
      <c r="BQ17" s="284"/>
      <c r="BR17" s="284"/>
      <c r="BS17" s="284"/>
      <c r="BT17" s="284"/>
      <c r="BU17" s="284"/>
      <c r="BV17" s="284"/>
      <c r="BW17" s="284"/>
      <c r="BX17" s="284"/>
      <c r="BY17" s="284"/>
      <c r="BZ17" s="285"/>
      <c r="CA17" s="298">
        <f>SUM(C17,E17,G17,I17,K17,M17,O17,Q17,S17,U17,W17,Y17,AA17,AC17,AE17,AG17,AI17,AK17,AM17,AO17,AQ17,AS17,AU17,AW17,AY17,BA17,BC17,BE17,BG17,BI17,BK17,BM17,BO17,BQ17,BS17,BU17,BW17,BY17)</f>
        <v>1</v>
      </c>
      <c r="CB17" s="298">
        <f>SUM(D17,F17,H17,J17,L17,N17,P17,R17,T17,V17,X17,Z17,AB17,AD17,AF17,AH17,AJ17,AL17,AN17,AP17,AR17,AT17,AV17,AX17,AZ17,BB17,BD17,BF17,BH17,BJ17,BL17,BN17,BP17,BR17,BT17,BV17,BX17,BZ17)</f>
        <v>1</v>
      </c>
      <c r="CC17" s="299">
        <f>SUM(Table13[[#This Row],[GOALS 1]:[ASSISTS 38]])</f>
        <v>2</v>
      </c>
    </row>
    <row r="18" spans="1:81">
      <c r="A18" s="291" t="s">
        <v>1563</v>
      </c>
      <c r="B18" s="291" t="s">
        <v>22</v>
      </c>
      <c r="C18" s="286"/>
      <c r="D18" s="286"/>
      <c r="E18" s="288">
        <v>1</v>
      </c>
      <c r="F18" s="286">
        <v>1</v>
      </c>
      <c r="G18" s="288"/>
      <c r="H18" s="286"/>
      <c r="I18" s="288"/>
      <c r="J18" s="286"/>
      <c r="K18" s="288"/>
      <c r="L18" s="286"/>
      <c r="M18" s="288"/>
      <c r="N18" s="286"/>
      <c r="O18" s="288"/>
      <c r="P18" s="286"/>
      <c r="Q18" s="288"/>
      <c r="R18" s="286"/>
      <c r="S18" s="288"/>
      <c r="T18" s="286"/>
      <c r="U18" s="288"/>
      <c r="V18" s="286"/>
      <c r="W18" s="288"/>
      <c r="X18" s="286"/>
      <c r="Y18" s="288"/>
      <c r="Z18" s="286"/>
      <c r="AA18" s="288"/>
      <c r="AB18" s="286"/>
      <c r="AC18" s="288"/>
      <c r="AD18" s="286"/>
      <c r="AE18" s="288"/>
      <c r="AF18" s="286"/>
      <c r="AG18" s="288"/>
      <c r="AH18" s="286"/>
      <c r="AI18" s="288"/>
      <c r="AJ18" s="286"/>
      <c r="AK18" s="286"/>
      <c r="AL18" s="286"/>
      <c r="AM18" s="286"/>
      <c r="AN18" s="286"/>
      <c r="AO18" s="286"/>
      <c r="AP18" s="286"/>
      <c r="AQ18" s="286"/>
      <c r="AR18" s="286"/>
      <c r="AS18" s="286"/>
      <c r="AT18" s="286"/>
      <c r="AU18" s="286"/>
      <c r="AV18" s="284"/>
      <c r="AW18" s="284"/>
      <c r="AX18" s="284"/>
      <c r="AY18" s="284"/>
      <c r="AZ18" s="284"/>
      <c r="BA18" s="284"/>
      <c r="BB18" s="284"/>
      <c r="BC18" s="284"/>
      <c r="BD18" s="284"/>
      <c r="BE18" s="284"/>
      <c r="BF18" s="284"/>
      <c r="BG18" s="284"/>
      <c r="BH18" s="284"/>
      <c r="BI18" s="284"/>
      <c r="BJ18" s="284"/>
      <c r="BK18" s="284"/>
      <c r="BL18" s="284"/>
      <c r="BM18" s="284"/>
      <c r="BN18" s="284"/>
      <c r="BO18" s="284"/>
      <c r="BP18" s="284"/>
      <c r="BQ18" s="284"/>
      <c r="BR18" s="284"/>
      <c r="BS18" s="284"/>
      <c r="BT18" s="284"/>
      <c r="BU18" s="284"/>
      <c r="BV18" s="284"/>
      <c r="BW18" s="284"/>
      <c r="BX18" s="284"/>
      <c r="BY18" s="284"/>
      <c r="BZ18" s="285"/>
      <c r="CA18" s="298">
        <f>SUM(C18,E18,G18,I18,K18,M18,O18,Q18,S18,U18,W18,Y18,AA18,AC18,AE18,AG18,AI18,AK18,AM18,AO18,AQ18,AS18,AU18,AW18,AY18,BA18,BC18,BE18,BG18,BI18,BK18,BM18,BO18,BQ18,BS18,BU18,BW18,BY18)</f>
        <v>1</v>
      </c>
      <c r="CB18" s="298">
        <f>SUM(D18,F18,H18,J18,L18,N18,P18,R18,T18,V18,X18,Z18,AB18,AD18,AF18,AH18,AJ18,AL18,AN18,AP18,AR18,AT18,AV18,AX18,AZ18,BB18,BD18,BF18,BH18,BJ18,BL18,BN18,BP18,BR18,BT18,BV18,BX18,BZ18)</f>
        <v>1</v>
      </c>
      <c r="CC18" s="299">
        <f>SUM(Table13[[#This Row],[GOALS 1]:[ASSISTS 38]])</f>
        <v>2</v>
      </c>
    </row>
    <row r="19" spans="1:81">
      <c r="A19" s="291" t="s">
        <v>1272</v>
      </c>
      <c r="B19" s="291" t="s">
        <v>17</v>
      </c>
      <c r="C19" s="289">
        <v>1</v>
      </c>
      <c r="D19" s="286"/>
      <c r="E19" s="288"/>
      <c r="F19" s="286">
        <v>1</v>
      </c>
      <c r="G19" s="288"/>
      <c r="H19" s="286"/>
      <c r="I19" s="288"/>
      <c r="J19" s="286"/>
      <c r="K19" s="288"/>
      <c r="L19" s="286"/>
      <c r="M19" s="288"/>
      <c r="N19" s="286"/>
      <c r="O19" s="288"/>
      <c r="P19" s="286"/>
      <c r="Q19" s="288"/>
      <c r="R19" s="286"/>
      <c r="S19" s="288"/>
      <c r="T19" s="286"/>
      <c r="U19" s="288"/>
      <c r="V19" s="286"/>
      <c r="W19" s="288"/>
      <c r="X19" s="286"/>
      <c r="Y19" s="288"/>
      <c r="Z19" s="286"/>
      <c r="AA19" s="288"/>
      <c r="AB19" s="286"/>
      <c r="AC19" s="288"/>
      <c r="AD19" s="286"/>
      <c r="AE19" s="288"/>
      <c r="AF19" s="286"/>
      <c r="AG19" s="288"/>
      <c r="AH19" s="286"/>
      <c r="AI19" s="288"/>
      <c r="AJ19" s="286"/>
      <c r="AK19" s="286"/>
      <c r="AL19" s="286"/>
      <c r="AM19" s="286"/>
      <c r="AN19" s="286"/>
      <c r="AO19" s="286"/>
      <c r="AP19" s="286"/>
      <c r="AQ19" s="286"/>
      <c r="AR19" s="286"/>
      <c r="AS19" s="286"/>
      <c r="AT19" s="286"/>
      <c r="AU19" s="286"/>
      <c r="AV19" s="284"/>
      <c r="AW19" s="284"/>
      <c r="AX19" s="284"/>
      <c r="AY19" s="284"/>
      <c r="AZ19" s="284"/>
      <c r="BA19" s="284"/>
      <c r="BB19" s="284"/>
      <c r="BC19" s="284"/>
      <c r="BD19" s="284"/>
      <c r="BE19" s="284"/>
      <c r="BF19" s="284"/>
      <c r="BG19" s="284"/>
      <c r="BH19" s="284"/>
      <c r="BI19" s="284"/>
      <c r="BJ19" s="284"/>
      <c r="BK19" s="284"/>
      <c r="BL19" s="284"/>
      <c r="BM19" s="284"/>
      <c r="BN19" s="284"/>
      <c r="BO19" s="284"/>
      <c r="BP19" s="284"/>
      <c r="BQ19" s="284"/>
      <c r="BR19" s="284"/>
      <c r="BS19" s="284"/>
      <c r="BT19" s="284"/>
      <c r="BU19" s="284"/>
      <c r="BV19" s="284"/>
      <c r="BW19" s="284"/>
      <c r="BX19" s="284"/>
      <c r="BY19" s="284"/>
      <c r="BZ19" s="285"/>
      <c r="CA19" s="298">
        <f>SUM(C19,E19,G19,I19,K19,M19,O19,Q19,S19,U19,W19,Y19,AA19,AC19,AE19,AG19,AI19,AK19,AM19,AO19,AQ19,AS19,AU19,AW19,AY19,BA19,BC19,BE19,BG19,BI19,BK19,BM19,BO19,BQ19,BS19,BU19,BW19,BY19)</f>
        <v>1</v>
      </c>
      <c r="CB19" s="298">
        <f>SUM(D19,F19,H19,J19,L19,N19,P19,R19,T19,V19,X19,Z19,AB19,AD19,AF19,AH19,AJ19,AL19,AN19,AP19,AR19,AT19,AV19,AX19,AZ19,BB19,BD19,BF19,BH19,BJ19,BL19,BN19,BP19,BR19,BT19,BV19,BX19,BZ19)</f>
        <v>1</v>
      </c>
      <c r="CC19" s="299">
        <f>SUM(Table13[[#This Row],[GOALS 1]:[ASSISTS 38]])</f>
        <v>2</v>
      </c>
    </row>
    <row r="20" spans="1:81">
      <c r="A20" s="291" t="s">
        <v>1387</v>
      </c>
      <c r="B20" s="291" t="s">
        <v>29</v>
      </c>
      <c r="C20" s="289">
        <v>1</v>
      </c>
      <c r="D20" s="286">
        <v>1</v>
      </c>
      <c r="E20" s="288"/>
      <c r="F20" s="286"/>
      <c r="G20" s="288"/>
      <c r="H20" s="286"/>
      <c r="I20" s="288"/>
      <c r="J20" s="286"/>
      <c r="K20" s="288"/>
      <c r="L20" s="286"/>
      <c r="M20" s="288"/>
      <c r="N20" s="286"/>
      <c r="O20" s="288"/>
      <c r="P20" s="286"/>
      <c r="Q20" s="288"/>
      <c r="R20" s="286"/>
      <c r="S20" s="288"/>
      <c r="T20" s="286"/>
      <c r="U20" s="288"/>
      <c r="V20" s="286"/>
      <c r="W20" s="288"/>
      <c r="X20" s="286"/>
      <c r="Y20" s="288"/>
      <c r="Z20" s="286"/>
      <c r="AA20" s="288"/>
      <c r="AB20" s="286"/>
      <c r="AC20" s="288"/>
      <c r="AD20" s="286"/>
      <c r="AE20" s="288"/>
      <c r="AF20" s="286"/>
      <c r="AG20" s="288"/>
      <c r="AH20" s="286"/>
      <c r="AI20" s="288"/>
      <c r="AJ20" s="286"/>
      <c r="AK20" s="286"/>
      <c r="AL20" s="286"/>
      <c r="AM20" s="286"/>
      <c r="AN20" s="286"/>
      <c r="AO20" s="286"/>
      <c r="AP20" s="286"/>
      <c r="AQ20" s="286"/>
      <c r="AR20" s="286"/>
      <c r="AS20" s="286"/>
      <c r="AT20" s="286"/>
      <c r="AU20" s="286"/>
      <c r="AV20" s="284"/>
      <c r="AW20" s="284"/>
      <c r="AX20" s="284"/>
      <c r="AY20" s="284"/>
      <c r="AZ20" s="284"/>
      <c r="BA20" s="284"/>
      <c r="BB20" s="284"/>
      <c r="BC20" s="284"/>
      <c r="BD20" s="284"/>
      <c r="BE20" s="284"/>
      <c r="BF20" s="284"/>
      <c r="BG20" s="284"/>
      <c r="BH20" s="284"/>
      <c r="BI20" s="284"/>
      <c r="BJ20" s="284"/>
      <c r="BK20" s="284"/>
      <c r="BL20" s="284"/>
      <c r="BM20" s="284"/>
      <c r="BN20" s="284"/>
      <c r="BO20" s="284"/>
      <c r="BP20" s="284"/>
      <c r="BQ20" s="284"/>
      <c r="BR20" s="284"/>
      <c r="BS20" s="284"/>
      <c r="BT20" s="284"/>
      <c r="BU20" s="284"/>
      <c r="BV20" s="284"/>
      <c r="BW20" s="284"/>
      <c r="BX20" s="284"/>
      <c r="BY20" s="284"/>
      <c r="BZ20" s="285"/>
      <c r="CA20" s="298">
        <f>SUM(C20,E20,G20,I20,K20,M20,O20,Q20,S20,U20,W20,Y20,AA20,AC20,AE20,AG20,AI20,AK20,AM20,AO20,AQ20,AS20,AU20,AW20,AY20,BA20,BC20,BE20,BG20,BI20,BK20,BM20,BO20,BQ20,BS20,BU20,BW20,BY20)</f>
        <v>1</v>
      </c>
      <c r="CB20" s="298">
        <f>SUM(D20,F20,H20,J20,L20,N20,P20,R20,T20,V20,X20,Z20,AB20,AD20,AF20,AH20,AJ20,AL20,AN20,AP20,AR20,AT20,AV20,AX20,AZ20,BB20,BD20,BF20,BH20,BJ20,BL20,BN20,BP20,BR20,BT20,BV20,BX20,BZ20)</f>
        <v>1</v>
      </c>
      <c r="CC20" s="299">
        <f>SUM(Table13[[#This Row],[GOALS 1]:[ASSISTS 38]])</f>
        <v>2</v>
      </c>
    </row>
    <row r="21" spans="1:81">
      <c r="A21" s="291" t="s">
        <v>1276</v>
      </c>
      <c r="B21" s="291" t="s">
        <v>20</v>
      </c>
      <c r="C21" s="289"/>
      <c r="D21" s="286"/>
      <c r="E21" s="288">
        <v>1</v>
      </c>
      <c r="F21" s="286"/>
      <c r="G21" s="288"/>
      <c r="H21" s="286"/>
      <c r="I21" s="288"/>
      <c r="J21" s="286"/>
      <c r="K21" s="288"/>
      <c r="L21" s="286"/>
      <c r="M21" s="288"/>
      <c r="N21" s="286"/>
      <c r="O21" s="288"/>
      <c r="P21" s="286"/>
      <c r="Q21" s="288"/>
      <c r="R21" s="286"/>
      <c r="S21" s="288"/>
      <c r="T21" s="286"/>
      <c r="U21" s="288"/>
      <c r="V21" s="286"/>
      <c r="W21" s="288"/>
      <c r="X21" s="286"/>
      <c r="Y21" s="288"/>
      <c r="Z21" s="286"/>
      <c r="AA21" s="288"/>
      <c r="AB21" s="286"/>
      <c r="AC21" s="288"/>
      <c r="AD21" s="286"/>
      <c r="AE21" s="288"/>
      <c r="AF21" s="286"/>
      <c r="AG21" s="288"/>
      <c r="AH21" s="286"/>
      <c r="AI21" s="288"/>
      <c r="AJ21" s="286"/>
      <c r="AK21" s="286"/>
      <c r="AL21" s="286"/>
      <c r="AM21" s="286"/>
      <c r="AN21" s="286"/>
      <c r="AO21" s="286"/>
      <c r="AP21" s="286"/>
      <c r="AQ21" s="286"/>
      <c r="AR21" s="286"/>
      <c r="AS21" s="286"/>
      <c r="AT21" s="286"/>
      <c r="AU21" s="286"/>
      <c r="AV21" s="284"/>
      <c r="AW21" s="284"/>
      <c r="AX21" s="284"/>
      <c r="AY21" s="284"/>
      <c r="AZ21" s="284"/>
      <c r="BA21" s="284"/>
      <c r="BB21" s="284"/>
      <c r="BC21" s="284"/>
      <c r="BD21" s="284"/>
      <c r="BE21" s="284"/>
      <c r="BF21" s="284"/>
      <c r="BG21" s="284"/>
      <c r="BH21" s="284"/>
      <c r="BI21" s="284"/>
      <c r="BJ21" s="284"/>
      <c r="BK21" s="284"/>
      <c r="BL21" s="284"/>
      <c r="BM21" s="284"/>
      <c r="BN21" s="284"/>
      <c r="BO21" s="284"/>
      <c r="BP21" s="284"/>
      <c r="BQ21" s="284"/>
      <c r="BR21" s="284"/>
      <c r="BS21" s="284"/>
      <c r="BT21" s="284"/>
      <c r="BU21" s="284"/>
      <c r="BV21" s="284"/>
      <c r="BW21" s="284"/>
      <c r="BX21" s="284"/>
      <c r="BY21" s="284"/>
      <c r="BZ21" s="285"/>
      <c r="CA21" s="298">
        <f>SUM(C21,E21,G21,I21,K21,M21,O21,Q21,S21,U21,W21,Y21,AA21,AC21,AE21,AG21,AI21,AK21,AM21,AO21,AQ21,AS21,AU21,AW21,AY21,BA21,BC21,BE21,BG21,BI21,BK21,BM21,BO21,BQ21,BS21,BU21,BW21,BY21)</f>
        <v>1</v>
      </c>
      <c r="CB21" s="298">
        <f>SUM(D21,F21,H21,J21,L21,N21,P21,R21,T21,V21,X21,Z21,AB21,AD21,AF21,AH21,AJ21,AL21,AN21,AP21,AR21,AT21,AV21,AX21,AZ21,BB21,BD21,BF21,BH21,BJ21,BL21,BN21,BP21,BR21,BT21,BV21,BX21,BZ21)</f>
        <v>0</v>
      </c>
      <c r="CC21" s="299">
        <f>SUM(Table13[[#This Row],[GOALS 1]:[ASSISTS 38]])</f>
        <v>1</v>
      </c>
    </row>
    <row r="22" spans="1:81">
      <c r="A22" s="291" t="s">
        <v>1357</v>
      </c>
      <c r="B22" s="291" t="s">
        <v>52</v>
      </c>
      <c r="C22" s="289"/>
      <c r="D22" s="286"/>
      <c r="E22" s="288">
        <v>1</v>
      </c>
      <c r="F22" s="286"/>
      <c r="G22" s="288"/>
      <c r="H22" s="286"/>
      <c r="I22" s="288"/>
      <c r="J22" s="286"/>
      <c r="K22" s="288"/>
      <c r="L22" s="286"/>
      <c r="M22" s="288"/>
      <c r="N22" s="286"/>
      <c r="O22" s="288"/>
      <c r="P22" s="286"/>
      <c r="Q22" s="288"/>
      <c r="R22" s="286"/>
      <c r="S22" s="288"/>
      <c r="T22" s="286"/>
      <c r="U22" s="288"/>
      <c r="V22" s="286"/>
      <c r="W22" s="288"/>
      <c r="X22" s="286"/>
      <c r="Y22" s="288"/>
      <c r="Z22" s="286"/>
      <c r="AA22" s="288"/>
      <c r="AB22" s="286"/>
      <c r="AC22" s="288"/>
      <c r="AD22" s="286"/>
      <c r="AE22" s="288"/>
      <c r="AF22" s="286"/>
      <c r="AG22" s="288"/>
      <c r="AH22" s="286"/>
      <c r="AI22" s="288"/>
      <c r="AJ22" s="286"/>
      <c r="AK22" s="286"/>
      <c r="AL22" s="286"/>
      <c r="AM22" s="286"/>
      <c r="AN22" s="286"/>
      <c r="AO22" s="286"/>
      <c r="AP22" s="286"/>
      <c r="AQ22" s="286"/>
      <c r="AR22" s="286"/>
      <c r="AS22" s="286"/>
      <c r="AT22" s="286"/>
      <c r="AU22" s="286"/>
      <c r="AV22" s="284"/>
      <c r="AW22" s="284"/>
      <c r="AX22" s="284"/>
      <c r="AY22" s="284"/>
      <c r="AZ22" s="284"/>
      <c r="BA22" s="284"/>
      <c r="BB22" s="284"/>
      <c r="BC22" s="284"/>
      <c r="BD22" s="284"/>
      <c r="BE22" s="284"/>
      <c r="BF22" s="284"/>
      <c r="BG22" s="284"/>
      <c r="BH22" s="284"/>
      <c r="BI22" s="284"/>
      <c r="BJ22" s="284"/>
      <c r="BK22" s="284"/>
      <c r="BL22" s="284"/>
      <c r="BM22" s="284"/>
      <c r="BN22" s="284"/>
      <c r="BO22" s="284"/>
      <c r="BP22" s="284"/>
      <c r="BQ22" s="284"/>
      <c r="BR22" s="284"/>
      <c r="BS22" s="284"/>
      <c r="BT22" s="284"/>
      <c r="BU22" s="284"/>
      <c r="BV22" s="284"/>
      <c r="BW22" s="284"/>
      <c r="BX22" s="284"/>
      <c r="BY22" s="284"/>
      <c r="BZ22" s="285"/>
      <c r="CA22" s="298">
        <f>SUM(C22,E22,G22,I22,K22,M22,O22,Q22,S22,U22,W22,Y22,AA22,AC22,AE22,AG22,AI22,AK22,AM22,AO22,AQ22,AS22,AU22,AW22,AY22,BA22,BC22,BE22,BG22,BI22,BK22,BM22,BO22,BQ22,BS22,BU22,BW22,BY22)</f>
        <v>1</v>
      </c>
      <c r="CB22" s="298">
        <f>SUM(D22,F22,H22,J22,L22,N22,P22,R22,T22,V22,X22,Z22,AB22,AD22,AF22,AH22,AJ22,AL22,AN22,AP22,AR22,AT22,AV22,AX22,AZ22,BB22,BD22,BF22,BH22,BJ22,BL22,BN22,BP22,BR22,BT22,BV22,BX22,BZ22)</f>
        <v>0</v>
      </c>
      <c r="CC22" s="299">
        <f>SUM(Table13[[#This Row],[GOALS 1]:[ASSISTS 38]])</f>
        <v>1</v>
      </c>
    </row>
    <row r="23" spans="1:81">
      <c r="A23" s="291" t="s">
        <v>1715</v>
      </c>
      <c r="B23" s="291" t="s">
        <v>634</v>
      </c>
      <c r="C23" s="288">
        <v>1</v>
      </c>
      <c r="D23" s="286"/>
      <c r="E23" s="288"/>
      <c r="F23" s="286"/>
      <c r="G23" s="288"/>
      <c r="H23" s="286"/>
      <c r="I23" s="288"/>
      <c r="J23" s="286"/>
      <c r="K23" s="288"/>
      <c r="L23" s="286"/>
      <c r="M23" s="288"/>
      <c r="N23" s="286"/>
      <c r="O23" s="288"/>
      <c r="P23" s="286"/>
      <c r="Q23" s="288"/>
      <c r="R23" s="286"/>
      <c r="S23" s="288"/>
      <c r="T23" s="286"/>
      <c r="U23" s="288"/>
      <c r="V23" s="286"/>
      <c r="W23" s="288"/>
      <c r="X23" s="286"/>
      <c r="Y23" s="288"/>
      <c r="Z23" s="286"/>
      <c r="AA23" s="288"/>
      <c r="AB23" s="286"/>
      <c r="AC23" s="288"/>
      <c r="AD23" s="286"/>
      <c r="AE23" s="288"/>
      <c r="AF23" s="286"/>
      <c r="AG23" s="288"/>
      <c r="AH23" s="286"/>
      <c r="AI23" s="288"/>
      <c r="AJ23" s="286"/>
      <c r="AK23" s="286"/>
      <c r="AL23" s="286"/>
      <c r="AM23" s="286"/>
      <c r="AN23" s="286"/>
      <c r="AO23" s="286"/>
      <c r="AP23" s="286"/>
      <c r="AQ23" s="286"/>
      <c r="AR23" s="286"/>
      <c r="AS23" s="286"/>
      <c r="AT23" s="286"/>
      <c r="AU23" s="286"/>
      <c r="AV23" s="284"/>
      <c r="AW23" s="284"/>
      <c r="AX23" s="284"/>
      <c r="AY23" s="284"/>
      <c r="AZ23" s="284"/>
      <c r="BA23" s="284"/>
      <c r="BB23" s="284"/>
      <c r="BC23" s="284"/>
      <c r="BD23" s="284"/>
      <c r="BE23" s="284"/>
      <c r="BF23" s="284"/>
      <c r="BG23" s="284"/>
      <c r="BH23" s="284"/>
      <c r="BI23" s="284"/>
      <c r="BJ23" s="284"/>
      <c r="BK23" s="284"/>
      <c r="BL23" s="284"/>
      <c r="BM23" s="284"/>
      <c r="BN23" s="284"/>
      <c r="BO23" s="284"/>
      <c r="BP23" s="284"/>
      <c r="BQ23" s="284"/>
      <c r="BR23" s="284"/>
      <c r="BS23" s="284"/>
      <c r="BT23" s="284"/>
      <c r="BU23" s="284"/>
      <c r="BV23" s="284"/>
      <c r="BW23" s="284"/>
      <c r="BX23" s="284"/>
      <c r="BY23" s="284"/>
      <c r="BZ23" s="285"/>
      <c r="CA23" s="298">
        <f>SUM(C23,E23,G23,I23,K23,M23,O23,Q23,S23,U23,W23,Y23,AA23,AC23,AE23,AG23,AI23,AK23,AM23,AO23,AQ23,AS23,AU23,AW23,AY23,BA23,BC23,BE23,BG23,BI23,BK23,BM23,BO23,BQ23,BS23,BU23,BW23,BY23)</f>
        <v>1</v>
      </c>
      <c r="CB23" s="298">
        <f>SUM(D23,F23,H23,J23,L23,N23,P23,R23,T23,V23,X23,Z23,AB23,AD23,AF23,AH23,AJ23,AL23,AN23,AP23,AR23,AT23,AV23,AX23,AZ23,BB23,BD23,BF23,BH23,BJ23,BL23,BN23,BP23,BR23,BT23,BV23,BX23,BZ23)</f>
        <v>0</v>
      </c>
      <c r="CC23" s="299">
        <f>SUM(Table13[[#This Row],[GOALS 1]:[ASSISTS 38]])</f>
        <v>1</v>
      </c>
    </row>
    <row r="24" spans="1:81">
      <c r="A24" s="291" t="s">
        <v>1429</v>
      </c>
      <c r="B24" s="291" t="s">
        <v>634</v>
      </c>
      <c r="C24" s="288">
        <v>1</v>
      </c>
      <c r="D24" s="286"/>
      <c r="E24" s="288"/>
      <c r="F24" s="286"/>
      <c r="G24" s="288"/>
      <c r="H24" s="286"/>
      <c r="I24" s="288"/>
      <c r="J24" s="286"/>
      <c r="K24" s="288"/>
      <c r="L24" s="286"/>
      <c r="M24" s="288"/>
      <c r="N24" s="286"/>
      <c r="O24" s="288"/>
      <c r="P24" s="286"/>
      <c r="Q24" s="288"/>
      <c r="R24" s="286"/>
      <c r="S24" s="288"/>
      <c r="T24" s="286"/>
      <c r="U24" s="288"/>
      <c r="V24" s="286"/>
      <c r="W24" s="288"/>
      <c r="X24" s="286"/>
      <c r="Y24" s="288"/>
      <c r="Z24" s="286"/>
      <c r="AA24" s="288"/>
      <c r="AB24" s="286"/>
      <c r="AC24" s="288"/>
      <c r="AD24" s="286"/>
      <c r="AE24" s="288"/>
      <c r="AF24" s="286"/>
      <c r="AG24" s="288"/>
      <c r="AH24" s="286"/>
      <c r="AI24" s="288"/>
      <c r="AJ24" s="286"/>
      <c r="AK24" s="286"/>
      <c r="AL24" s="286"/>
      <c r="AM24" s="286"/>
      <c r="AN24" s="286"/>
      <c r="AO24" s="286"/>
      <c r="AP24" s="286"/>
      <c r="AQ24" s="286"/>
      <c r="AR24" s="286"/>
      <c r="AS24" s="286"/>
      <c r="AT24" s="286"/>
      <c r="AU24" s="286"/>
      <c r="AV24" s="284"/>
      <c r="AW24" s="284"/>
      <c r="AX24" s="284"/>
      <c r="AY24" s="284"/>
      <c r="AZ24" s="284"/>
      <c r="BA24" s="284"/>
      <c r="BB24" s="284"/>
      <c r="BC24" s="284"/>
      <c r="BD24" s="284"/>
      <c r="BE24" s="284"/>
      <c r="BF24" s="284"/>
      <c r="BG24" s="284"/>
      <c r="BH24" s="284"/>
      <c r="BI24" s="284"/>
      <c r="BJ24" s="284"/>
      <c r="BK24" s="284"/>
      <c r="BL24" s="284"/>
      <c r="BM24" s="284"/>
      <c r="BN24" s="284"/>
      <c r="BO24" s="284"/>
      <c r="BP24" s="284"/>
      <c r="BQ24" s="284"/>
      <c r="BR24" s="284"/>
      <c r="BS24" s="284"/>
      <c r="BT24" s="284"/>
      <c r="BU24" s="284"/>
      <c r="BV24" s="284"/>
      <c r="BW24" s="284"/>
      <c r="BX24" s="284"/>
      <c r="BY24" s="284"/>
      <c r="BZ24" s="285"/>
      <c r="CA24" s="298">
        <f>SUM(C24,E24,G24,I24,K24,M24,O24,Q24,S24,U24,W24,Y24,AA24,AC24,AE24,AG24,AI24,AK24,AM24,AO24,AQ24,AS24,AU24,AW24,AY24,BA24,BC24,BE24,BG24,BI24,BK24,BM24,BO24,BQ24,BS24,BU24,BW24,BY24)</f>
        <v>1</v>
      </c>
      <c r="CB24" s="298">
        <f>SUM(D24,F24,H24,J24,L24,N24,P24,R24,T24,V24,X24,Z24,AB24,AD24,AF24,AH24,AJ24,AL24,AN24,AP24,AR24,AT24,AV24,AX24,AZ24,BB24,BD24,BF24,BH24,BJ24,BL24,BN24,BP24,BR24,BT24,BV24,BX24,BZ24)</f>
        <v>0</v>
      </c>
      <c r="CC24" s="299">
        <f>SUM(Table13[[#This Row],[GOALS 1]:[ASSISTS 38]])</f>
        <v>1</v>
      </c>
    </row>
    <row r="25" spans="1:81">
      <c r="A25" s="291" t="s">
        <v>1360</v>
      </c>
      <c r="B25" s="291" t="s">
        <v>23</v>
      </c>
      <c r="C25" s="289"/>
      <c r="D25" s="286"/>
      <c r="E25" s="288">
        <v>1</v>
      </c>
      <c r="F25" s="286"/>
      <c r="G25" s="288"/>
      <c r="H25" s="286"/>
      <c r="I25" s="288"/>
      <c r="J25" s="286"/>
      <c r="K25" s="288"/>
      <c r="L25" s="286"/>
      <c r="M25" s="288"/>
      <c r="N25" s="286"/>
      <c r="O25" s="288"/>
      <c r="P25" s="286"/>
      <c r="Q25" s="288"/>
      <c r="R25" s="286"/>
      <c r="S25" s="288"/>
      <c r="T25" s="286"/>
      <c r="U25" s="288"/>
      <c r="V25" s="286"/>
      <c r="W25" s="288"/>
      <c r="X25" s="286"/>
      <c r="Y25" s="288"/>
      <c r="Z25" s="286"/>
      <c r="AA25" s="288"/>
      <c r="AB25" s="286"/>
      <c r="AC25" s="288"/>
      <c r="AD25" s="286"/>
      <c r="AE25" s="288"/>
      <c r="AF25" s="286"/>
      <c r="AG25" s="288"/>
      <c r="AH25" s="286"/>
      <c r="AI25" s="288"/>
      <c r="AJ25" s="286"/>
      <c r="AK25" s="286"/>
      <c r="AL25" s="286"/>
      <c r="AM25" s="286"/>
      <c r="AN25" s="286"/>
      <c r="AO25" s="286"/>
      <c r="AP25" s="286"/>
      <c r="AQ25" s="286"/>
      <c r="AR25" s="286"/>
      <c r="AS25" s="286"/>
      <c r="AT25" s="286"/>
      <c r="AU25" s="286"/>
      <c r="AV25" s="284"/>
      <c r="AW25" s="284"/>
      <c r="AX25" s="284"/>
      <c r="AY25" s="284"/>
      <c r="AZ25" s="284"/>
      <c r="BA25" s="284"/>
      <c r="BB25" s="284"/>
      <c r="BC25" s="284"/>
      <c r="BD25" s="284"/>
      <c r="BE25" s="284"/>
      <c r="BF25" s="284"/>
      <c r="BG25" s="284"/>
      <c r="BH25" s="284"/>
      <c r="BI25" s="284"/>
      <c r="BJ25" s="284"/>
      <c r="BK25" s="284"/>
      <c r="BL25" s="284"/>
      <c r="BM25" s="284"/>
      <c r="BN25" s="284"/>
      <c r="BO25" s="284"/>
      <c r="BP25" s="284"/>
      <c r="BQ25" s="284"/>
      <c r="BR25" s="284"/>
      <c r="BS25" s="284"/>
      <c r="BT25" s="284"/>
      <c r="BU25" s="284"/>
      <c r="BV25" s="284"/>
      <c r="BW25" s="284"/>
      <c r="BX25" s="284"/>
      <c r="BY25" s="284"/>
      <c r="BZ25" s="285"/>
      <c r="CA25" s="298">
        <f>SUM(C25,E25,G25,I25,K25,M25,O25,Q25,S25,U25,W25,Y25,AA25,AC25,AE25,AG25,AI25,AK25,AM25,AO25,AQ25,AS25,AU25,AW25,AY25,BA25,BC25,BE25,BG25,BI25,BK25,BM25,BO25,BQ25,BS25,BU25,BW25,BY25)</f>
        <v>1</v>
      </c>
      <c r="CB25" s="298">
        <f>SUM(D25,F25,H25,J25,L25,N25,P25,R25,T25,V25,X25,Z25,AB25,AD25,AF25,AH25,AJ25,AL25,AN25,AP25,AR25,AT25,AV25,AX25,AZ25,BB25,BD25,BF25,BH25,BJ25,BL25,BN25,BP25,BR25,BT25,BV25,BX25,BZ25)</f>
        <v>0</v>
      </c>
      <c r="CC25" s="299">
        <f>SUM(Table13[[#This Row],[GOALS 1]:[ASSISTS 38]])</f>
        <v>1</v>
      </c>
    </row>
    <row r="26" spans="1:81">
      <c r="A26" s="291" t="s">
        <v>1343</v>
      </c>
      <c r="B26" s="291" t="s">
        <v>17</v>
      </c>
      <c r="C26" s="289">
        <v>1</v>
      </c>
      <c r="D26" s="286"/>
      <c r="E26" s="288"/>
      <c r="F26" s="286"/>
      <c r="G26" s="288"/>
      <c r="H26" s="286"/>
      <c r="I26" s="288"/>
      <c r="J26" s="286"/>
      <c r="K26" s="288"/>
      <c r="L26" s="286"/>
      <c r="M26" s="288"/>
      <c r="N26" s="286"/>
      <c r="O26" s="288"/>
      <c r="P26" s="286"/>
      <c r="Q26" s="288"/>
      <c r="R26" s="286"/>
      <c r="S26" s="288"/>
      <c r="T26" s="286"/>
      <c r="U26" s="288"/>
      <c r="V26" s="286"/>
      <c r="W26" s="288"/>
      <c r="X26" s="286"/>
      <c r="Y26" s="288"/>
      <c r="Z26" s="286"/>
      <c r="AA26" s="288"/>
      <c r="AB26" s="286"/>
      <c r="AC26" s="288"/>
      <c r="AD26" s="286"/>
      <c r="AE26" s="288"/>
      <c r="AF26" s="286"/>
      <c r="AG26" s="288"/>
      <c r="AH26" s="286"/>
      <c r="AI26" s="288"/>
      <c r="AJ26" s="286"/>
      <c r="AK26" s="286"/>
      <c r="AL26" s="286"/>
      <c r="AM26" s="286"/>
      <c r="AN26" s="286"/>
      <c r="AO26" s="286"/>
      <c r="AP26" s="286"/>
      <c r="AQ26" s="286"/>
      <c r="AR26" s="286"/>
      <c r="AS26" s="286"/>
      <c r="AT26" s="286"/>
      <c r="AU26" s="286"/>
      <c r="AV26" s="284"/>
      <c r="AW26" s="284"/>
      <c r="AX26" s="284"/>
      <c r="AY26" s="284"/>
      <c r="AZ26" s="284"/>
      <c r="BA26" s="284"/>
      <c r="BB26" s="284"/>
      <c r="BC26" s="284"/>
      <c r="BD26" s="284"/>
      <c r="BE26" s="284"/>
      <c r="BF26" s="284"/>
      <c r="BG26" s="284"/>
      <c r="BH26" s="284"/>
      <c r="BI26" s="284"/>
      <c r="BJ26" s="284"/>
      <c r="BK26" s="284"/>
      <c r="BL26" s="284"/>
      <c r="BM26" s="284"/>
      <c r="BN26" s="284"/>
      <c r="BO26" s="284"/>
      <c r="BP26" s="284"/>
      <c r="BQ26" s="284"/>
      <c r="BR26" s="284"/>
      <c r="BS26" s="284"/>
      <c r="BT26" s="284"/>
      <c r="BU26" s="284"/>
      <c r="BV26" s="284"/>
      <c r="BW26" s="284"/>
      <c r="BX26" s="284"/>
      <c r="BY26" s="284"/>
      <c r="BZ26" s="285"/>
      <c r="CA26" s="298">
        <f>SUM(C26,E26,G26,I26,K26,M26,O26,Q26,S26,U26,W26,Y26,AA26,AC26,AE26,AG26,AI26,AK26,AM26,AO26,AQ26,AS26,AU26,AW26,AY26,BA26,BC26,BE26,BG26,BI26,BK26,BM26,BO26,BQ26,BS26,BU26,BW26,BY26)</f>
        <v>1</v>
      </c>
      <c r="CB26" s="298">
        <f>SUM(D26,F26,H26,J26,L26,N26,P26,R26,T26,V26,X26,Z26,AB26,AD26,AF26,AH26,AJ26,AL26,AN26,AP26,AR26,AT26,AV26,AX26,AZ26,BB26,BD26,BF26,BH26,BJ26,BL26,BN26,BP26,BR26,BT26,BV26,BX26,BZ26)</f>
        <v>0</v>
      </c>
      <c r="CC26" s="299">
        <f>SUM(Table13[[#This Row],[GOALS 1]:[ASSISTS 38]])</f>
        <v>1</v>
      </c>
    </row>
    <row r="27" spans="1:81">
      <c r="A27" s="291" t="s">
        <v>1432</v>
      </c>
      <c r="B27" s="291" t="s">
        <v>19</v>
      </c>
      <c r="C27" s="286"/>
      <c r="D27" s="286"/>
      <c r="E27" s="288">
        <v>1</v>
      </c>
      <c r="F27" s="286"/>
      <c r="G27" s="288"/>
      <c r="H27" s="286"/>
      <c r="I27" s="288"/>
      <c r="J27" s="286"/>
      <c r="K27" s="288"/>
      <c r="L27" s="286"/>
      <c r="M27" s="288"/>
      <c r="N27" s="286"/>
      <c r="O27" s="288"/>
      <c r="P27" s="286"/>
      <c r="Q27" s="288"/>
      <c r="R27" s="286"/>
      <c r="S27" s="288"/>
      <c r="T27" s="286"/>
      <c r="U27" s="288"/>
      <c r="V27" s="286"/>
      <c r="W27" s="288"/>
      <c r="X27" s="286"/>
      <c r="Y27" s="288"/>
      <c r="Z27" s="286"/>
      <c r="AA27" s="288"/>
      <c r="AB27" s="286"/>
      <c r="AC27" s="288"/>
      <c r="AD27" s="286"/>
      <c r="AE27" s="288"/>
      <c r="AF27" s="286"/>
      <c r="AG27" s="288"/>
      <c r="AH27" s="286"/>
      <c r="AI27" s="288"/>
      <c r="AJ27" s="286"/>
      <c r="AK27" s="286"/>
      <c r="AL27" s="286"/>
      <c r="AM27" s="286"/>
      <c r="AN27" s="286"/>
      <c r="AO27" s="286"/>
      <c r="AP27" s="286"/>
      <c r="AQ27" s="286"/>
      <c r="AR27" s="286"/>
      <c r="AS27" s="286"/>
      <c r="AT27" s="286"/>
      <c r="AU27" s="286"/>
      <c r="AV27" s="284"/>
      <c r="AW27" s="284"/>
      <c r="AX27" s="284"/>
      <c r="AY27" s="284"/>
      <c r="AZ27" s="284"/>
      <c r="BA27" s="284"/>
      <c r="BB27" s="284"/>
      <c r="BC27" s="284"/>
      <c r="BD27" s="284"/>
      <c r="BE27" s="284"/>
      <c r="BF27" s="284"/>
      <c r="BG27" s="284"/>
      <c r="BH27" s="284"/>
      <c r="BI27" s="284"/>
      <c r="BJ27" s="284"/>
      <c r="BK27" s="284"/>
      <c r="BL27" s="284"/>
      <c r="BM27" s="284"/>
      <c r="BN27" s="284"/>
      <c r="BO27" s="284"/>
      <c r="BP27" s="284"/>
      <c r="BQ27" s="284"/>
      <c r="BR27" s="284"/>
      <c r="BS27" s="284"/>
      <c r="BT27" s="284"/>
      <c r="BU27" s="284"/>
      <c r="BV27" s="284"/>
      <c r="BW27" s="284"/>
      <c r="BX27" s="284"/>
      <c r="BY27" s="284"/>
      <c r="BZ27" s="285"/>
      <c r="CA27" s="298">
        <f>SUM(C27,E27,G27,I27,K27,M27,O27,Q27,S27,U27,W27,Y27,AA27,AC27,AE27,AG27,AI27,AK27,AM27,AO27,AQ27,AS27,AU27,AW27,AY27,BA27,BC27,BE27,BG27,BI27,BK27,BM27,BO27,BQ27,BS27,BU27,BW27,BY27)</f>
        <v>1</v>
      </c>
      <c r="CB27" s="298">
        <f>SUM(D27,F27,H27,J27,L27,N27,P27,R27,T27,V27,X27,Z27,AB27,AD27,AF27,AH27,AJ27,AL27,AN27,AP27,AR27,AT27,AV27,AX27,AZ27,BB27,BD27,BF27,BH27,BJ27,BL27,BN27,BP27,BR27,BT27,BV27,BX27,BZ27)</f>
        <v>0</v>
      </c>
      <c r="CC27" s="299">
        <f>SUM(Table13[[#This Row],[GOALS 1]:[ASSISTS 38]])</f>
        <v>1</v>
      </c>
    </row>
    <row r="28" spans="1:81">
      <c r="A28" s="291" t="s">
        <v>743</v>
      </c>
      <c r="B28" s="291" t="s">
        <v>21</v>
      </c>
      <c r="C28" s="289">
        <v>1</v>
      </c>
      <c r="D28" s="286"/>
      <c r="E28" s="288"/>
      <c r="F28" s="286"/>
      <c r="G28" s="288"/>
      <c r="H28" s="286"/>
      <c r="I28" s="288"/>
      <c r="J28" s="286"/>
      <c r="K28" s="288"/>
      <c r="L28" s="286"/>
      <c r="M28" s="288"/>
      <c r="N28" s="286"/>
      <c r="O28" s="288"/>
      <c r="P28" s="286"/>
      <c r="Q28" s="288"/>
      <c r="R28" s="286"/>
      <c r="S28" s="288"/>
      <c r="T28" s="286"/>
      <c r="U28" s="288"/>
      <c r="V28" s="286"/>
      <c r="W28" s="288"/>
      <c r="X28" s="286"/>
      <c r="Y28" s="288"/>
      <c r="Z28" s="286"/>
      <c r="AA28" s="288"/>
      <c r="AB28" s="286"/>
      <c r="AC28" s="288"/>
      <c r="AD28" s="286"/>
      <c r="AE28" s="288"/>
      <c r="AF28" s="286"/>
      <c r="AG28" s="288"/>
      <c r="AH28" s="286"/>
      <c r="AI28" s="288"/>
      <c r="AJ28" s="286"/>
      <c r="AK28" s="286"/>
      <c r="AL28" s="286"/>
      <c r="AM28" s="286"/>
      <c r="AN28" s="286"/>
      <c r="AO28" s="286"/>
      <c r="AP28" s="286"/>
      <c r="AQ28" s="286"/>
      <c r="AR28" s="286"/>
      <c r="AS28" s="286"/>
      <c r="AT28" s="286"/>
      <c r="AU28" s="286"/>
      <c r="AV28" s="284"/>
      <c r="AW28" s="284"/>
      <c r="AX28" s="284"/>
      <c r="AY28" s="284"/>
      <c r="AZ28" s="284"/>
      <c r="BA28" s="284"/>
      <c r="BB28" s="284"/>
      <c r="BC28" s="284"/>
      <c r="BD28" s="284"/>
      <c r="BE28" s="284"/>
      <c r="BF28" s="284"/>
      <c r="BG28" s="284"/>
      <c r="BH28" s="284"/>
      <c r="BI28" s="284"/>
      <c r="BJ28" s="284"/>
      <c r="BK28" s="284"/>
      <c r="BL28" s="284"/>
      <c r="BM28" s="284"/>
      <c r="BN28" s="284"/>
      <c r="BO28" s="284"/>
      <c r="BP28" s="284"/>
      <c r="BQ28" s="284"/>
      <c r="BR28" s="284"/>
      <c r="BS28" s="284"/>
      <c r="BT28" s="284"/>
      <c r="BU28" s="284"/>
      <c r="BV28" s="284"/>
      <c r="BW28" s="284"/>
      <c r="BX28" s="284"/>
      <c r="BY28" s="284"/>
      <c r="BZ28" s="285"/>
      <c r="CA28" s="298">
        <f>SUM(C28,E28,G28,I28,K28,M28,O28,Q28,S28,U28,W28,Y28,AA28,AC28,AE28,AG28,AI28,AK28,AM28,AO28,AQ28,AS28,AU28,AW28,AY28,BA28,BC28,BE28,BG28,BI28,BK28,BM28,BO28,BQ28,BS28,BU28,BW28,BY28)</f>
        <v>1</v>
      </c>
      <c r="CB28" s="298">
        <f>SUM(D28,F28,H28,J28,L28,N28,P28,R28,T28,V28,X28,Z28,AB28,AD28,AF28,AH28,AJ28,AL28,AN28,AP28,AR28,AT28,AV28,AX28,AZ28,BB28,BD28,BF28,BH28,BJ28,BL28,BN28,BP28,BR28,BT28,BV28,BX28,BZ28)</f>
        <v>0</v>
      </c>
      <c r="CC28" s="299">
        <f>SUM(Table13[[#This Row],[GOALS 1]:[ASSISTS 38]])</f>
        <v>1</v>
      </c>
    </row>
    <row r="29" spans="1:81">
      <c r="A29" s="291" t="s">
        <v>1313</v>
      </c>
      <c r="B29" s="291" t="s">
        <v>24</v>
      </c>
      <c r="C29" s="286"/>
      <c r="D29" s="286"/>
      <c r="E29" s="288">
        <v>1</v>
      </c>
      <c r="F29" s="286"/>
      <c r="G29" s="288"/>
      <c r="H29" s="286"/>
      <c r="I29" s="288"/>
      <c r="J29" s="286"/>
      <c r="K29" s="288"/>
      <c r="L29" s="286"/>
      <c r="M29" s="288"/>
      <c r="N29" s="286"/>
      <c r="O29" s="288"/>
      <c r="P29" s="286"/>
      <c r="Q29" s="288"/>
      <c r="R29" s="286"/>
      <c r="S29" s="288"/>
      <c r="T29" s="286"/>
      <c r="U29" s="288"/>
      <c r="V29" s="286"/>
      <c r="W29" s="288"/>
      <c r="X29" s="286"/>
      <c r="Y29" s="288"/>
      <c r="Z29" s="286"/>
      <c r="AA29" s="288"/>
      <c r="AB29" s="286"/>
      <c r="AC29" s="288"/>
      <c r="AD29" s="286"/>
      <c r="AE29" s="288"/>
      <c r="AF29" s="286"/>
      <c r="AG29" s="288"/>
      <c r="AH29" s="286"/>
      <c r="AI29" s="288"/>
      <c r="AJ29" s="286"/>
      <c r="AK29" s="286"/>
      <c r="AL29" s="286"/>
      <c r="AM29" s="286"/>
      <c r="AN29" s="286"/>
      <c r="AO29" s="286"/>
      <c r="AP29" s="286"/>
      <c r="AQ29" s="286"/>
      <c r="AR29" s="286"/>
      <c r="AS29" s="286"/>
      <c r="AT29" s="286"/>
      <c r="AU29" s="286"/>
      <c r="AV29" s="284"/>
      <c r="AW29" s="284"/>
      <c r="AX29" s="284"/>
      <c r="AY29" s="284"/>
      <c r="AZ29" s="284"/>
      <c r="BA29" s="284"/>
      <c r="BB29" s="284"/>
      <c r="BC29" s="284"/>
      <c r="BD29" s="284"/>
      <c r="BE29" s="284"/>
      <c r="BF29" s="284"/>
      <c r="BG29" s="284"/>
      <c r="BH29" s="284"/>
      <c r="BI29" s="284"/>
      <c r="BJ29" s="284"/>
      <c r="BK29" s="284"/>
      <c r="BL29" s="284"/>
      <c r="BM29" s="284"/>
      <c r="BN29" s="284"/>
      <c r="BO29" s="284"/>
      <c r="BP29" s="284"/>
      <c r="BQ29" s="284"/>
      <c r="BR29" s="284"/>
      <c r="BS29" s="284"/>
      <c r="BT29" s="284"/>
      <c r="BU29" s="284"/>
      <c r="BV29" s="284"/>
      <c r="BW29" s="284"/>
      <c r="BX29" s="284"/>
      <c r="BY29" s="284"/>
      <c r="BZ29" s="285"/>
      <c r="CA29" s="298">
        <f>SUM(C29,E29,G29,I29,K29,M29,O29,Q29,S29,U29,W29,Y29,AA29,AC29,AE29,AG29,AI29,AK29,AM29,AO29,AQ29,AS29,AU29,AW29,AY29,BA29,BC29,BE29,BG29,BI29,BK29,BM29,BO29,BQ29,BS29,BU29,BW29,BY29)</f>
        <v>1</v>
      </c>
      <c r="CB29" s="298">
        <f>SUM(D29,F29,H29,J29,L29,N29,P29,R29,T29,V29,X29,Z29,AB29,AD29,AF29,AH29,AJ29,AL29,AN29,AP29,AR29,AT29,AV29,AX29,AZ29,BB29,BD29,BF29,BH29,BJ29,BL29,BN29,BP29,BR29,BT29,BV29,BX29,BZ29)</f>
        <v>0</v>
      </c>
      <c r="CC29" s="299">
        <f>SUM(Table13[[#This Row],[GOALS 1]:[ASSISTS 38]])</f>
        <v>1</v>
      </c>
    </row>
    <row r="30" spans="1:81">
      <c r="A30" s="291" t="s">
        <v>1319</v>
      </c>
      <c r="B30" s="291" t="s">
        <v>26</v>
      </c>
      <c r="C30" s="286"/>
      <c r="D30" s="286"/>
      <c r="E30" s="288">
        <v>1</v>
      </c>
      <c r="F30" s="286"/>
      <c r="G30" s="288"/>
      <c r="H30" s="286"/>
      <c r="I30" s="288"/>
      <c r="J30" s="286"/>
      <c r="K30" s="288"/>
      <c r="L30" s="286"/>
      <c r="M30" s="288"/>
      <c r="N30" s="286"/>
      <c r="O30" s="288"/>
      <c r="P30" s="286"/>
      <c r="Q30" s="288"/>
      <c r="R30" s="286"/>
      <c r="S30" s="288"/>
      <c r="T30" s="286"/>
      <c r="U30" s="288"/>
      <c r="V30" s="286"/>
      <c r="W30" s="288"/>
      <c r="X30" s="286"/>
      <c r="Y30" s="288"/>
      <c r="Z30" s="286"/>
      <c r="AA30" s="288"/>
      <c r="AB30" s="286"/>
      <c r="AC30" s="288"/>
      <c r="AD30" s="286"/>
      <c r="AE30" s="288"/>
      <c r="AF30" s="286"/>
      <c r="AG30" s="288"/>
      <c r="AH30" s="286"/>
      <c r="AI30" s="288"/>
      <c r="AJ30" s="286"/>
      <c r="AK30" s="286"/>
      <c r="AL30" s="286"/>
      <c r="AM30" s="286"/>
      <c r="AN30" s="286"/>
      <c r="AO30" s="286"/>
      <c r="AP30" s="286"/>
      <c r="AQ30" s="286"/>
      <c r="AR30" s="286"/>
      <c r="AS30" s="286"/>
      <c r="AT30" s="286"/>
      <c r="AU30" s="286"/>
      <c r="AV30" s="284"/>
      <c r="AW30" s="284"/>
      <c r="AX30" s="284"/>
      <c r="AY30" s="284"/>
      <c r="AZ30" s="284"/>
      <c r="BA30" s="284"/>
      <c r="BB30" s="284"/>
      <c r="BC30" s="284"/>
      <c r="BD30" s="284"/>
      <c r="BE30" s="284"/>
      <c r="BF30" s="284"/>
      <c r="BG30" s="284"/>
      <c r="BH30" s="284"/>
      <c r="BI30" s="284"/>
      <c r="BJ30" s="284"/>
      <c r="BK30" s="284"/>
      <c r="BL30" s="284"/>
      <c r="BM30" s="284"/>
      <c r="BN30" s="284"/>
      <c r="BO30" s="284"/>
      <c r="BP30" s="284"/>
      <c r="BQ30" s="284"/>
      <c r="BR30" s="284"/>
      <c r="BS30" s="284"/>
      <c r="BT30" s="284"/>
      <c r="BU30" s="284"/>
      <c r="BV30" s="284"/>
      <c r="BW30" s="284"/>
      <c r="BX30" s="284"/>
      <c r="BY30" s="284"/>
      <c r="BZ30" s="285"/>
      <c r="CA30" s="298">
        <f>SUM(C30,E30,G30,I30,K30,M30,O30,Q30,S30,U30,W30,Y30,AA30,AC30,AE30,AG30,AI30,AK30,AM30,AO30,AQ30,AS30,AU30,AW30,AY30,BA30,BC30,BE30,BG30,BI30,BK30,BM30,BO30,BQ30,BS30,BU30,BW30,BY30)</f>
        <v>1</v>
      </c>
      <c r="CB30" s="298">
        <f>SUM(D30,F30,H30,J30,L30,N30,P30,R30,T30,V30,X30,Z30,AB30,AD30,AF30,AH30,AJ30,AL30,AN30,AP30,AR30,AT30,AV30,AX30,AZ30,BB30,BD30,BF30,BH30,BJ30,BL30,BN30,BP30,BR30,BT30,BV30,BX30,BZ30)</f>
        <v>0</v>
      </c>
      <c r="CC30" s="299">
        <f>SUM(Table13[[#This Row],[GOALS 1]:[ASSISTS 38]])</f>
        <v>1</v>
      </c>
    </row>
    <row r="31" spans="1:81">
      <c r="A31" s="291" t="s">
        <v>1571</v>
      </c>
      <c r="B31" s="291" t="s">
        <v>24</v>
      </c>
      <c r="C31" s="286"/>
      <c r="D31" s="286"/>
      <c r="E31" s="288">
        <v>1</v>
      </c>
      <c r="F31" s="286"/>
      <c r="G31" s="288"/>
      <c r="H31" s="286"/>
      <c r="I31" s="288"/>
      <c r="J31" s="286"/>
      <c r="K31" s="288"/>
      <c r="L31" s="286"/>
      <c r="M31" s="288"/>
      <c r="N31" s="286"/>
      <c r="O31" s="288"/>
      <c r="P31" s="286"/>
      <c r="Q31" s="288"/>
      <c r="R31" s="286"/>
      <c r="S31" s="288"/>
      <c r="T31" s="286"/>
      <c r="U31" s="288"/>
      <c r="V31" s="286"/>
      <c r="W31" s="288"/>
      <c r="X31" s="286"/>
      <c r="Y31" s="288"/>
      <c r="Z31" s="286"/>
      <c r="AA31" s="288"/>
      <c r="AB31" s="286"/>
      <c r="AC31" s="288"/>
      <c r="AD31" s="286"/>
      <c r="AE31" s="288"/>
      <c r="AF31" s="286"/>
      <c r="AG31" s="288"/>
      <c r="AH31" s="286"/>
      <c r="AI31" s="288"/>
      <c r="AJ31" s="286"/>
      <c r="AK31" s="286"/>
      <c r="AL31" s="286"/>
      <c r="AM31" s="286"/>
      <c r="AN31" s="286"/>
      <c r="AO31" s="286"/>
      <c r="AP31" s="286"/>
      <c r="AQ31" s="286"/>
      <c r="AR31" s="286"/>
      <c r="AS31" s="286"/>
      <c r="AT31" s="286"/>
      <c r="AU31" s="286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5"/>
      <c r="CA31" s="298">
        <f>SUM(C31,E31,G31,I31,K31,M31,O31,Q31,S31,U31,W31,Y31,AA31,AC31,AE31,AG31,AI31,AK31,AM31,AO31,AQ31,AS31,AU31,AW31,AY31,BA31,BC31,BE31,BG31,BI31,BK31,BM31,BO31,BQ31,BS31,BU31,BW31,BY31)</f>
        <v>1</v>
      </c>
      <c r="CB31" s="298">
        <f>SUM(D31,F31,H31,J31,L31,N31,P31,R31,T31,V31,X31,Z31,AB31,AD31,AF31,AH31,AJ31,AL31,AN31,AP31,AR31,AT31,AV31,AX31,AZ31,BB31,BD31,BF31,BH31,BJ31,BL31,BN31,BP31,BR31,BT31,BV31,BX31,BZ31)</f>
        <v>0</v>
      </c>
      <c r="CC31" s="299">
        <f>SUM(Table13[[#This Row],[GOALS 1]:[ASSISTS 38]])</f>
        <v>1</v>
      </c>
    </row>
    <row r="32" spans="1:81">
      <c r="A32" s="291" t="s">
        <v>1361</v>
      </c>
      <c r="B32" s="291" t="s">
        <v>27</v>
      </c>
      <c r="C32" s="286"/>
      <c r="D32" s="286"/>
      <c r="E32" s="289">
        <v>1</v>
      </c>
      <c r="F32" s="286"/>
      <c r="G32" s="288"/>
      <c r="H32" s="286"/>
      <c r="I32" s="288"/>
      <c r="J32" s="286"/>
      <c r="K32" s="288"/>
      <c r="L32" s="286"/>
      <c r="M32" s="288"/>
      <c r="N32" s="286"/>
      <c r="O32" s="288"/>
      <c r="P32" s="286"/>
      <c r="Q32" s="288"/>
      <c r="R32" s="286"/>
      <c r="S32" s="288"/>
      <c r="T32" s="286"/>
      <c r="U32" s="288"/>
      <c r="V32" s="286"/>
      <c r="W32" s="288"/>
      <c r="X32" s="286"/>
      <c r="Y32" s="288"/>
      <c r="Z32" s="286"/>
      <c r="AA32" s="288"/>
      <c r="AB32" s="286"/>
      <c r="AC32" s="288"/>
      <c r="AD32" s="286"/>
      <c r="AE32" s="288"/>
      <c r="AF32" s="286"/>
      <c r="AG32" s="288"/>
      <c r="AH32" s="286"/>
      <c r="AI32" s="288"/>
      <c r="AJ32" s="286"/>
      <c r="AK32" s="286"/>
      <c r="AL32" s="286"/>
      <c r="AM32" s="286"/>
      <c r="AN32" s="286"/>
      <c r="AO32" s="286"/>
      <c r="AP32" s="286"/>
      <c r="AQ32" s="286"/>
      <c r="AR32" s="286"/>
      <c r="AS32" s="286"/>
      <c r="AT32" s="286"/>
      <c r="AU32" s="286"/>
      <c r="AV32" s="284"/>
      <c r="AW32" s="284"/>
      <c r="AX32" s="284"/>
      <c r="AY32" s="284"/>
      <c r="AZ32" s="284"/>
      <c r="BA32" s="284"/>
      <c r="BB32" s="284"/>
      <c r="BC32" s="284"/>
      <c r="BD32" s="284"/>
      <c r="BE32" s="284"/>
      <c r="BF32" s="284"/>
      <c r="BG32" s="284"/>
      <c r="BH32" s="284"/>
      <c r="BI32" s="284"/>
      <c r="BJ32" s="284"/>
      <c r="BK32" s="284"/>
      <c r="BL32" s="284"/>
      <c r="BM32" s="284"/>
      <c r="BN32" s="284"/>
      <c r="BO32" s="284"/>
      <c r="BP32" s="284"/>
      <c r="BQ32" s="284"/>
      <c r="BR32" s="284"/>
      <c r="BS32" s="284"/>
      <c r="BT32" s="284"/>
      <c r="BU32" s="284"/>
      <c r="BV32" s="284"/>
      <c r="BW32" s="284"/>
      <c r="BX32" s="284"/>
      <c r="BY32" s="284"/>
      <c r="BZ32" s="285"/>
      <c r="CA32" s="298">
        <f>SUM(C32,E32,G32,I32,K32,M32,O32,Q32,S32,U32,W32,Y32,AA32,AC32,AE32,AG32,AI32,AK32,AM32,AO32,AQ32,AS32,AU32,AW32,AY32,BA32,BC32,BE32,BG32,BI32,BK32,BM32,BO32,BQ32,BS32,BU32,BW32,BY32)</f>
        <v>1</v>
      </c>
      <c r="CB32" s="298">
        <f>SUM(D32,F32,H32,J32,L32,N32,P32,R32,T32,V32,X32,Z32,AB32,AD32,AF32,AH32,AJ32,AL32,AN32,AP32,AR32,AT32,AV32,AX32,AZ32,BB32,BD32,BF32,BH32,BJ32,BL32,BN32,BP32,BR32,BT32,BV32,BX32,BZ32)</f>
        <v>0</v>
      </c>
      <c r="CC32" s="299">
        <f>SUM(Table13[[#This Row],[GOALS 1]:[ASSISTS 38]])</f>
        <v>1</v>
      </c>
    </row>
    <row r="33" spans="1:81">
      <c r="A33" s="291" t="s">
        <v>1516</v>
      </c>
      <c r="B33" s="291" t="s">
        <v>633</v>
      </c>
      <c r="C33" s="289">
        <v>1</v>
      </c>
      <c r="D33" s="286"/>
      <c r="E33" s="288"/>
      <c r="F33" s="286"/>
      <c r="G33" s="288"/>
      <c r="H33" s="286"/>
      <c r="I33" s="288"/>
      <c r="J33" s="286"/>
      <c r="K33" s="288"/>
      <c r="L33" s="286"/>
      <c r="M33" s="288"/>
      <c r="N33" s="286"/>
      <c r="O33" s="288"/>
      <c r="P33" s="286"/>
      <c r="Q33" s="288"/>
      <c r="R33" s="286"/>
      <c r="S33" s="288"/>
      <c r="T33" s="286"/>
      <c r="U33" s="288"/>
      <c r="V33" s="286"/>
      <c r="W33" s="288"/>
      <c r="X33" s="286"/>
      <c r="Y33" s="288"/>
      <c r="Z33" s="286"/>
      <c r="AA33" s="288"/>
      <c r="AB33" s="286"/>
      <c r="AC33" s="288"/>
      <c r="AD33" s="286"/>
      <c r="AE33" s="288"/>
      <c r="AF33" s="286"/>
      <c r="AG33" s="288"/>
      <c r="AH33" s="286"/>
      <c r="AI33" s="288"/>
      <c r="AJ33" s="286"/>
      <c r="AK33" s="286"/>
      <c r="AL33" s="286"/>
      <c r="AM33" s="286"/>
      <c r="AN33" s="286"/>
      <c r="AO33" s="286"/>
      <c r="AP33" s="286"/>
      <c r="AQ33" s="286"/>
      <c r="AR33" s="286"/>
      <c r="AS33" s="286"/>
      <c r="AT33" s="286"/>
      <c r="AU33" s="286"/>
      <c r="AV33" s="284"/>
      <c r="AW33" s="284"/>
      <c r="AX33" s="284"/>
      <c r="AY33" s="284"/>
      <c r="AZ33" s="284"/>
      <c r="BA33" s="284"/>
      <c r="BB33" s="284"/>
      <c r="BC33" s="284"/>
      <c r="BD33" s="284"/>
      <c r="BE33" s="284"/>
      <c r="BF33" s="284"/>
      <c r="BG33" s="284"/>
      <c r="BH33" s="284"/>
      <c r="BI33" s="284"/>
      <c r="BJ33" s="284"/>
      <c r="BK33" s="284"/>
      <c r="BL33" s="284"/>
      <c r="BM33" s="284"/>
      <c r="BN33" s="284"/>
      <c r="BO33" s="284"/>
      <c r="BP33" s="284"/>
      <c r="BQ33" s="284"/>
      <c r="BR33" s="284"/>
      <c r="BS33" s="284"/>
      <c r="BT33" s="284"/>
      <c r="BU33" s="284"/>
      <c r="BV33" s="284"/>
      <c r="BW33" s="284"/>
      <c r="BX33" s="284"/>
      <c r="BY33" s="284"/>
      <c r="BZ33" s="285"/>
      <c r="CA33" s="298">
        <f>SUM(C33,E33,G33,I33,K33,M33,O33,Q33,S33,U33,W33,Y33,AA33,AC33,AE33,AG33,AI33,AK33,AM33,AO33,AQ33,AS33,AU33,AW33,AY33,BA33,BC33,BE33,BG33,BI33,BK33,BM33,BO33,BQ33,BS33,BU33,BW33,BY33)</f>
        <v>1</v>
      </c>
      <c r="CB33" s="298">
        <f>SUM(D33,F33,H33,J33,L33,N33,P33,R33,T33,V33,X33,Z33,AB33,AD33,AF33,AH33,AJ33,AL33,AN33,AP33,AR33,AT33,AV33,AX33,AZ33,BB33,BD33,BF33,BH33,BJ33,BL33,BN33,BP33,BR33,BT33,BV33,BX33,BZ33)</f>
        <v>0</v>
      </c>
      <c r="CC33" s="299">
        <f>SUM(Table13[[#This Row],[GOALS 1]:[ASSISTS 38]])</f>
        <v>1</v>
      </c>
    </row>
    <row r="34" spans="1:81">
      <c r="A34" s="291" t="s">
        <v>1426</v>
      </c>
      <c r="B34" s="291" t="s">
        <v>43</v>
      </c>
      <c r="C34" s="286"/>
      <c r="D34" s="286"/>
      <c r="E34" s="288">
        <v>1</v>
      </c>
      <c r="F34" s="286"/>
      <c r="G34" s="288"/>
      <c r="H34" s="286"/>
      <c r="I34" s="288"/>
      <c r="J34" s="286"/>
      <c r="K34" s="288"/>
      <c r="L34" s="286"/>
      <c r="M34" s="288"/>
      <c r="N34" s="286"/>
      <c r="O34" s="288"/>
      <c r="P34" s="286"/>
      <c r="Q34" s="288"/>
      <c r="R34" s="286"/>
      <c r="S34" s="288"/>
      <c r="T34" s="286"/>
      <c r="U34" s="288"/>
      <c r="V34" s="286"/>
      <c r="W34" s="288"/>
      <c r="X34" s="286"/>
      <c r="Y34" s="288"/>
      <c r="Z34" s="286"/>
      <c r="AA34" s="288"/>
      <c r="AB34" s="286"/>
      <c r="AC34" s="288"/>
      <c r="AD34" s="286"/>
      <c r="AE34" s="288"/>
      <c r="AF34" s="286"/>
      <c r="AG34" s="288"/>
      <c r="AH34" s="286"/>
      <c r="AI34" s="288"/>
      <c r="AJ34" s="286"/>
      <c r="AK34" s="286"/>
      <c r="AL34" s="286"/>
      <c r="AM34" s="286"/>
      <c r="AN34" s="286"/>
      <c r="AO34" s="286"/>
      <c r="AP34" s="286"/>
      <c r="AQ34" s="286"/>
      <c r="AR34" s="286"/>
      <c r="AS34" s="286"/>
      <c r="AT34" s="286"/>
      <c r="AU34" s="286"/>
      <c r="AV34" s="284"/>
      <c r="AW34" s="284"/>
      <c r="AX34" s="284"/>
      <c r="AY34" s="284"/>
      <c r="AZ34" s="284"/>
      <c r="BA34" s="284"/>
      <c r="BB34" s="284"/>
      <c r="BC34" s="284"/>
      <c r="BD34" s="284"/>
      <c r="BE34" s="284"/>
      <c r="BF34" s="284"/>
      <c r="BG34" s="284"/>
      <c r="BH34" s="284"/>
      <c r="BI34" s="284"/>
      <c r="BJ34" s="284"/>
      <c r="BK34" s="284"/>
      <c r="BL34" s="284"/>
      <c r="BM34" s="284"/>
      <c r="BN34" s="284"/>
      <c r="BO34" s="284"/>
      <c r="BP34" s="284"/>
      <c r="BQ34" s="284"/>
      <c r="BR34" s="284"/>
      <c r="BS34" s="284"/>
      <c r="BT34" s="284"/>
      <c r="BU34" s="284"/>
      <c r="BV34" s="284"/>
      <c r="BW34" s="284"/>
      <c r="BX34" s="284"/>
      <c r="BY34" s="284"/>
      <c r="BZ34" s="285"/>
      <c r="CA34" s="298">
        <f>SUM(C34,E34,G34,I34,K34,M34,O34,Q34,S34,U34,W34,Y34,AA34,AC34,AE34,AG34,AI34,AK34,AM34,AO34,AQ34,AS34,AU34,AW34,AY34,BA34,BC34,BE34,BG34,BI34,BK34,BM34,BO34,BQ34,BS34,BU34,BW34,BY34)</f>
        <v>1</v>
      </c>
      <c r="CB34" s="298">
        <f>SUM(D34,F34,H34,J34,L34,N34,P34,R34,T34,V34,X34,Z34,AB34,AD34,AF34,AH34,AJ34,AL34,AN34,AP34,AR34,AT34,AV34,AX34,AZ34,BB34,BD34,BF34,BH34,BJ34,BL34,BN34,BP34,BR34,BT34,BV34,BX34,BZ34)</f>
        <v>0</v>
      </c>
      <c r="CC34" s="299">
        <f>SUM(Table13[[#This Row],[GOALS 1]:[ASSISTS 38]])</f>
        <v>1</v>
      </c>
    </row>
    <row r="35" spans="1:81">
      <c r="A35" s="291" t="s">
        <v>1446</v>
      </c>
      <c r="B35" s="291" t="s">
        <v>33</v>
      </c>
      <c r="C35" s="289">
        <v>1</v>
      </c>
      <c r="D35" s="286"/>
      <c r="E35" s="288"/>
      <c r="F35" s="286"/>
      <c r="G35" s="288"/>
      <c r="H35" s="286"/>
      <c r="I35" s="288"/>
      <c r="J35" s="286"/>
      <c r="K35" s="288"/>
      <c r="L35" s="286"/>
      <c r="M35" s="288"/>
      <c r="N35" s="286"/>
      <c r="O35" s="288"/>
      <c r="P35" s="286"/>
      <c r="Q35" s="288"/>
      <c r="R35" s="286"/>
      <c r="S35" s="288"/>
      <c r="T35" s="286"/>
      <c r="U35" s="288"/>
      <c r="V35" s="286"/>
      <c r="W35" s="288"/>
      <c r="X35" s="286"/>
      <c r="Y35" s="288"/>
      <c r="Z35" s="286"/>
      <c r="AA35" s="288"/>
      <c r="AB35" s="286"/>
      <c r="AC35" s="288"/>
      <c r="AD35" s="286"/>
      <c r="AE35" s="288"/>
      <c r="AF35" s="286"/>
      <c r="AG35" s="288"/>
      <c r="AH35" s="286"/>
      <c r="AI35" s="288"/>
      <c r="AJ35" s="286"/>
      <c r="AK35" s="286"/>
      <c r="AL35" s="286"/>
      <c r="AM35" s="286"/>
      <c r="AN35" s="286"/>
      <c r="AO35" s="286"/>
      <c r="AP35" s="286"/>
      <c r="AQ35" s="286"/>
      <c r="AR35" s="286"/>
      <c r="AS35" s="286"/>
      <c r="AT35" s="286"/>
      <c r="AU35" s="286"/>
      <c r="AV35" s="284"/>
      <c r="AW35" s="284"/>
      <c r="AX35" s="284"/>
      <c r="AY35" s="284"/>
      <c r="AZ35" s="284"/>
      <c r="BA35" s="284"/>
      <c r="BB35" s="284"/>
      <c r="BC35" s="284"/>
      <c r="BD35" s="284"/>
      <c r="BE35" s="284"/>
      <c r="BF35" s="284"/>
      <c r="BG35" s="284"/>
      <c r="BH35" s="284"/>
      <c r="BI35" s="284"/>
      <c r="BJ35" s="284"/>
      <c r="BK35" s="284"/>
      <c r="BL35" s="284"/>
      <c r="BM35" s="284"/>
      <c r="BN35" s="284"/>
      <c r="BO35" s="284"/>
      <c r="BP35" s="284"/>
      <c r="BQ35" s="284"/>
      <c r="BR35" s="284"/>
      <c r="BS35" s="284"/>
      <c r="BT35" s="284"/>
      <c r="BU35" s="284"/>
      <c r="BV35" s="284"/>
      <c r="BW35" s="284"/>
      <c r="BX35" s="284"/>
      <c r="BY35" s="284"/>
      <c r="BZ35" s="285"/>
      <c r="CA35" s="298">
        <f>SUM(C35,E35,G35,I35,K35,M35,O35,Q35,S35,U35,W35,Y35,AA35,AC35,AE35,AG35,AI35,AK35,AM35,AO35,AQ35,AS35,AU35,AW35,AY35,BA35,BC35,BE35,BG35,BI35,BK35,BM35,BO35,BQ35,BS35,BU35,BW35,BY35)</f>
        <v>1</v>
      </c>
      <c r="CB35" s="298">
        <f>SUM(D35,F35,H35,J35,L35,N35,P35,R35,T35,V35,X35,Z35,AB35,AD35,AF35,AH35,AJ35,AL35,AN35,AP35,AR35,AT35,AV35,AX35,AZ35,BB35,BD35,BF35,BH35,BJ35,BL35,BN35,BP35,BR35,BT35,BV35,BX35,BZ35)</f>
        <v>0</v>
      </c>
      <c r="CC35" s="299">
        <f>SUM(Table13[[#This Row],[GOALS 1]:[ASSISTS 38]])</f>
        <v>1</v>
      </c>
    </row>
    <row r="36" spans="1:81">
      <c r="A36" s="291" t="s">
        <v>1390</v>
      </c>
      <c r="B36" s="291" t="s">
        <v>18</v>
      </c>
      <c r="C36" s="286"/>
      <c r="D36" s="286"/>
      <c r="E36" s="288">
        <v>1</v>
      </c>
      <c r="F36" s="286"/>
      <c r="G36" s="288"/>
      <c r="H36" s="286"/>
      <c r="I36" s="288"/>
      <c r="J36" s="286"/>
      <c r="K36" s="288"/>
      <c r="L36" s="286"/>
      <c r="M36" s="288"/>
      <c r="N36" s="286"/>
      <c r="O36" s="288"/>
      <c r="P36" s="286"/>
      <c r="Q36" s="288"/>
      <c r="R36" s="286"/>
      <c r="S36" s="288"/>
      <c r="T36" s="286"/>
      <c r="U36" s="288"/>
      <c r="V36" s="286"/>
      <c r="W36" s="288"/>
      <c r="X36" s="286"/>
      <c r="Y36" s="288"/>
      <c r="Z36" s="286"/>
      <c r="AA36" s="288"/>
      <c r="AB36" s="286"/>
      <c r="AC36" s="288"/>
      <c r="AD36" s="286"/>
      <c r="AE36" s="288"/>
      <c r="AF36" s="286"/>
      <c r="AG36" s="288"/>
      <c r="AH36" s="286"/>
      <c r="AI36" s="288"/>
      <c r="AJ36" s="286"/>
      <c r="AK36" s="286"/>
      <c r="AL36" s="286"/>
      <c r="AM36" s="286"/>
      <c r="AN36" s="286"/>
      <c r="AO36" s="286"/>
      <c r="AP36" s="286"/>
      <c r="AQ36" s="286"/>
      <c r="AR36" s="286"/>
      <c r="AS36" s="286"/>
      <c r="AT36" s="286"/>
      <c r="AU36" s="286"/>
      <c r="AV36" s="284"/>
      <c r="AW36" s="284"/>
      <c r="AX36" s="284"/>
      <c r="AY36" s="284"/>
      <c r="AZ36" s="284"/>
      <c r="BA36" s="284"/>
      <c r="BB36" s="284"/>
      <c r="BC36" s="284"/>
      <c r="BD36" s="284"/>
      <c r="BE36" s="284"/>
      <c r="BF36" s="284"/>
      <c r="BG36" s="284"/>
      <c r="BH36" s="284"/>
      <c r="BI36" s="284"/>
      <c r="BJ36" s="284"/>
      <c r="BK36" s="284"/>
      <c r="BL36" s="284"/>
      <c r="BM36" s="284"/>
      <c r="BN36" s="284"/>
      <c r="BO36" s="284"/>
      <c r="BP36" s="284"/>
      <c r="BQ36" s="284"/>
      <c r="BR36" s="284"/>
      <c r="BS36" s="284"/>
      <c r="BT36" s="284"/>
      <c r="BU36" s="284"/>
      <c r="BV36" s="284"/>
      <c r="BW36" s="284"/>
      <c r="BX36" s="284"/>
      <c r="BY36" s="284"/>
      <c r="BZ36" s="285"/>
      <c r="CA36" s="298">
        <f>SUM(C36,E36,G36,I36,K36,M36,O36,Q36,S36,U36,W36,Y36,AA36,AC36,AE36,AG36,AI36,AK36,AM36,AO36,AQ36,AS36,AU36,AW36,AY36,BA36,BC36,BE36,BG36,BI36,BK36,BM36,BO36,BQ36,BS36,BU36,BW36,BY36)</f>
        <v>1</v>
      </c>
      <c r="CB36" s="298">
        <f>SUM(D36,F36,H36,J36,L36,N36,P36,R36,T36,V36,X36,Z36,AB36,AD36,AF36,AH36,AJ36,AL36,AN36,AP36,AR36,AT36,AV36,AX36,AZ36,BB36,BD36,BF36,BH36,BJ36,BL36,BN36,BP36,BR36,BT36,BV36,BX36,BZ36)</f>
        <v>0</v>
      </c>
      <c r="CC36" s="299">
        <f>SUM(Table13[[#This Row],[GOALS 1]:[ASSISTS 38]])</f>
        <v>1</v>
      </c>
    </row>
    <row r="37" spans="1:81">
      <c r="A37" s="291" t="s">
        <v>1328</v>
      </c>
      <c r="B37" s="291" t="s">
        <v>25</v>
      </c>
      <c r="C37" s="286"/>
      <c r="D37" s="286"/>
      <c r="E37" s="288">
        <v>1</v>
      </c>
      <c r="F37" s="286"/>
      <c r="G37" s="288"/>
      <c r="H37" s="286"/>
      <c r="I37" s="288"/>
      <c r="J37" s="286"/>
      <c r="K37" s="288"/>
      <c r="L37" s="286"/>
      <c r="M37" s="288"/>
      <c r="N37" s="286"/>
      <c r="O37" s="288"/>
      <c r="P37" s="286"/>
      <c r="Q37" s="288"/>
      <c r="R37" s="286"/>
      <c r="S37" s="288"/>
      <c r="T37" s="286"/>
      <c r="U37" s="288"/>
      <c r="V37" s="286"/>
      <c r="W37" s="288"/>
      <c r="X37" s="286"/>
      <c r="Y37" s="288"/>
      <c r="Z37" s="286"/>
      <c r="AA37" s="288"/>
      <c r="AB37" s="286"/>
      <c r="AC37" s="288"/>
      <c r="AD37" s="286"/>
      <c r="AE37" s="288"/>
      <c r="AF37" s="286"/>
      <c r="AG37" s="288"/>
      <c r="AH37" s="286"/>
      <c r="AI37" s="288"/>
      <c r="AJ37" s="286"/>
      <c r="AK37" s="286"/>
      <c r="AL37" s="286"/>
      <c r="AM37" s="286"/>
      <c r="AN37" s="286"/>
      <c r="AO37" s="286"/>
      <c r="AP37" s="286"/>
      <c r="AQ37" s="286"/>
      <c r="AR37" s="286"/>
      <c r="AS37" s="286"/>
      <c r="AT37" s="286"/>
      <c r="AU37" s="286"/>
      <c r="AV37" s="284"/>
      <c r="AW37" s="284"/>
      <c r="AX37" s="284"/>
      <c r="AY37" s="284"/>
      <c r="AZ37" s="284"/>
      <c r="BA37" s="284"/>
      <c r="BB37" s="284"/>
      <c r="BC37" s="284"/>
      <c r="BD37" s="284"/>
      <c r="BE37" s="284"/>
      <c r="BF37" s="284"/>
      <c r="BG37" s="284"/>
      <c r="BH37" s="284"/>
      <c r="BI37" s="284"/>
      <c r="BJ37" s="284"/>
      <c r="BK37" s="284"/>
      <c r="BL37" s="284"/>
      <c r="BM37" s="284"/>
      <c r="BN37" s="284"/>
      <c r="BO37" s="284"/>
      <c r="BP37" s="284"/>
      <c r="BQ37" s="284"/>
      <c r="BR37" s="284"/>
      <c r="BS37" s="284"/>
      <c r="BT37" s="284"/>
      <c r="BU37" s="284"/>
      <c r="BV37" s="284"/>
      <c r="BW37" s="284"/>
      <c r="BX37" s="284"/>
      <c r="BY37" s="284"/>
      <c r="BZ37" s="285"/>
      <c r="CA37" s="298">
        <f>SUM(C37,E37,G37,I37,K37,M37,O37,Q37,S37,U37,W37,Y37,AA37,AC37,AE37,AG37,AI37,AK37,AM37,AO37,AQ37,AS37,AU37,AW37,AY37,BA37,BC37,BE37,BG37,BI37,BK37,BM37,BO37,BQ37,BS37,BU37,BW37,BY37)</f>
        <v>1</v>
      </c>
      <c r="CB37" s="298">
        <f>SUM(D37,F37,H37,J37,L37,N37,P37,R37,T37,V37,X37,Z37,AB37,AD37,AF37,AH37,AJ37,AL37,AN37,AP37,AR37,AT37,AV37,AX37,AZ37,BB37,BD37,BF37,BH37,BJ37,BL37,BN37,BP37,BR37,BT37,BV37,BX37,BZ37)</f>
        <v>0</v>
      </c>
      <c r="CC37" s="299">
        <f>SUM(Table13[[#This Row],[GOALS 1]:[ASSISTS 38]])</f>
        <v>1</v>
      </c>
    </row>
    <row r="38" spans="1:81">
      <c r="A38" s="291" t="s">
        <v>1373</v>
      </c>
      <c r="B38" s="291" t="s">
        <v>21</v>
      </c>
      <c r="C38" s="286"/>
      <c r="D38" s="286"/>
      <c r="E38" s="288">
        <v>1</v>
      </c>
      <c r="F38" s="286"/>
      <c r="G38" s="288"/>
      <c r="H38" s="286"/>
      <c r="I38" s="288"/>
      <c r="J38" s="286"/>
      <c r="K38" s="288"/>
      <c r="L38" s="286"/>
      <c r="M38" s="288"/>
      <c r="N38" s="286"/>
      <c r="O38" s="288"/>
      <c r="P38" s="286"/>
      <c r="Q38" s="288"/>
      <c r="R38" s="286"/>
      <c r="S38" s="288"/>
      <c r="T38" s="286"/>
      <c r="U38" s="288"/>
      <c r="V38" s="286"/>
      <c r="W38" s="288"/>
      <c r="X38" s="286"/>
      <c r="Y38" s="288"/>
      <c r="Z38" s="286"/>
      <c r="AA38" s="288"/>
      <c r="AB38" s="286"/>
      <c r="AC38" s="288"/>
      <c r="AD38" s="286"/>
      <c r="AE38" s="288"/>
      <c r="AF38" s="286"/>
      <c r="AG38" s="288"/>
      <c r="AH38" s="286"/>
      <c r="AI38" s="288"/>
      <c r="AJ38" s="286"/>
      <c r="AK38" s="286"/>
      <c r="AL38" s="286"/>
      <c r="AM38" s="286"/>
      <c r="AN38" s="286"/>
      <c r="AO38" s="286"/>
      <c r="AP38" s="286"/>
      <c r="AQ38" s="286"/>
      <c r="AR38" s="286"/>
      <c r="AS38" s="286"/>
      <c r="AT38" s="286"/>
      <c r="AU38" s="286"/>
      <c r="AV38" s="284"/>
      <c r="AW38" s="284"/>
      <c r="AX38" s="284"/>
      <c r="AY38" s="284"/>
      <c r="AZ38" s="284"/>
      <c r="BA38" s="284"/>
      <c r="BB38" s="284"/>
      <c r="BC38" s="284"/>
      <c r="BD38" s="284"/>
      <c r="BE38" s="284"/>
      <c r="BF38" s="284"/>
      <c r="BG38" s="284"/>
      <c r="BH38" s="284"/>
      <c r="BI38" s="284"/>
      <c r="BJ38" s="284"/>
      <c r="BK38" s="284"/>
      <c r="BL38" s="284"/>
      <c r="BM38" s="284"/>
      <c r="BN38" s="284"/>
      <c r="BO38" s="284"/>
      <c r="BP38" s="284"/>
      <c r="BQ38" s="284"/>
      <c r="BR38" s="284"/>
      <c r="BS38" s="284"/>
      <c r="BT38" s="284"/>
      <c r="BU38" s="284"/>
      <c r="BV38" s="284"/>
      <c r="BW38" s="284"/>
      <c r="BX38" s="284"/>
      <c r="BY38" s="284"/>
      <c r="BZ38" s="285"/>
      <c r="CA38" s="298">
        <f>SUM(C38,E38,G38,I38,K38,M38,O38,Q38,S38,U38,W38,Y38,AA38,AC38,AE38,AG38,AI38,AK38,AM38,AO38,AQ38,AS38,AU38,AW38,AY38,BA38,BC38,BE38,BG38,BI38,BK38,BM38,BO38,BQ38,BS38,BU38,BW38,BY38)</f>
        <v>1</v>
      </c>
      <c r="CB38" s="298">
        <f>SUM(D38,F38,H38,J38,L38,N38,P38,R38,T38,V38,X38,Z38,AB38,AD38,AF38,AH38,AJ38,AL38,AN38,AP38,AR38,AT38,AV38,AX38,AZ38,BB38,BD38,BF38,BH38,BJ38,BL38,BN38,BP38,BR38,BT38,BV38,BX38,BZ38)</f>
        <v>0</v>
      </c>
      <c r="CC38" s="299">
        <f>SUM(Table13[[#This Row],[GOALS 1]:[ASSISTS 38]])</f>
        <v>1</v>
      </c>
    </row>
    <row r="39" spans="1:81">
      <c r="A39" s="291" t="s">
        <v>1302</v>
      </c>
      <c r="B39" s="291" t="s">
        <v>18</v>
      </c>
      <c r="C39" s="286"/>
      <c r="D39" s="286"/>
      <c r="E39" s="288">
        <v>1</v>
      </c>
      <c r="F39" s="286"/>
      <c r="G39" s="288"/>
      <c r="H39" s="286"/>
      <c r="I39" s="288"/>
      <c r="J39" s="286"/>
      <c r="K39" s="288"/>
      <c r="L39" s="286"/>
      <c r="M39" s="288"/>
      <c r="N39" s="286"/>
      <c r="O39" s="288"/>
      <c r="P39" s="286"/>
      <c r="Q39" s="288"/>
      <c r="R39" s="286"/>
      <c r="S39" s="288"/>
      <c r="T39" s="286"/>
      <c r="U39" s="288"/>
      <c r="V39" s="286"/>
      <c r="W39" s="288"/>
      <c r="X39" s="286"/>
      <c r="Y39" s="288"/>
      <c r="Z39" s="286"/>
      <c r="AA39" s="288"/>
      <c r="AB39" s="286"/>
      <c r="AC39" s="288"/>
      <c r="AD39" s="286"/>
      <c r="AE39" s="288"/>
      <c r="AF39" s="286"/>
      <c r="AG39" s="288"/>
      <c r="AH39" s="286"/>
      <c r="AI39" s="288"/>
      <c r="AJ39" s="286"/>
      <c r="AK39" s="286"/>
      <c r="AL39" s="286"/>
      <c r="AM39" s="286"/>
      <c r="AN39" s="286"/>
      <c r="AO39" s="286"/>
      <c r="AP39" s="286"/>
      <c r="AQ39" s="286"/>
      <c r="AR39" s="286"/>
      <c r="AS39" s="286"/>
      <c r="AT39" s="286"/>
      <c r="AU39" s="286"/>
      <c r="AV39" s="284"/>
      <c r="AW39" s="284"/>
      <c r="AX39" s="284"/>
      <c r="AY39" s="284"/>
      <c r="AZ39" s="284"/>
      <c r="BA39" s="284"/>
      <c r="BB39" s="284"/>
      <c r="BC39" s="284"/>
      <c r="BD39" s="284"/>
      <c r="BE39" s="284"/>
      <c r="BF39" s="284"/>
      <c r="BG39" s="284"/>
      <c r="BH39" s="284"/>
      <c r="BI39" s="284"/>
      <c r="BJ39" s="284"/>
      <c r="BK39" s="284"/>
      <c r="BL39" s="284"/>
      <c r="BM39" s="284"/>
      <c r="BN39" s="284"/>
      <c r="BO39" s="284"/>
      <c r="BP39" s="284"/>
      <c r="BQ39" s="284"/>
      <c r="BR39" s="284"/>
      <c r="BS39" s="284"/>
      <c r="BT39" s="284"/>
      <c r="BU39" s="284"/>
      <c r="BV39" s="284"/>
      <c r="BW39" s="284"/>
      <c r="BX39" s="284"/>
      <c r="BY39" s="284"/>
      <c r="BZ39" s="285"/>
      <c r="CA39" s="298">
        <f>SUM(C39,E39,G39,I39,K39,M39,O39,Q39,S39,U39,W39,Y39,AA39,AC39,AE39,AG39,AI39,AK39,AM39,AO39,AQ39,AS39,AU39,AW39,AY39,BA39,BC39,BE39,BG39,BI39,BK39,BM39,BO39,BQ39,BS39,BU39,BW39,BY39)</f>
        <v>1</v>
      </c>
      <c r="CB39" s="298">
        <f>SUM(D39,F39,H39,J39,L39,N39,P39,R39,T39,V39,X39,Z39,AB39,AD39,AF39,AH39,AJ39,AL39,AN39,AP39,AR39,AT39,AV39,AX39,AZ39,BB39,BD39,BF39,BH39,BJ39,BL39,BN39,BP39,BR39,BT39,BV39,BX39,BZ39)</f>
        <v>0</v>
      </c>
      <c r="CC39" s="299">
        <f>SUM(Table13[[#This Row],[GOALS 1]:[ASSISTS 38]])</f>
        <v>1</v>
      </c>
    </row>
    <row r="40" spans="1:81">
      <c r="A40" s="291" t="s">
        <v>1314</v>
      </c>
      <c r="B40" s="291" t="s">
        <v>29</v>
      </c>
      <c r="C40" s="289">
        <v>1</v>
      </c>
      <c r="D40" s="286"/>
      <c r="E40" s="288"/>
      <c r="F40" s="286"/>
      <c r="G40" s="288"/>
      <c r="H40" s="286"/>
      <c r="I40" s="288"/>
      <c r="J40" s="286"/>
      <c r="K40" s="288"/>
      <c r="L40" s="286"/>
      <c r="M40" s="288"/>
      <c r="N40" s="286"/>
      <c r="O40" s="288"/>
      <c r="P40" s="286"/>
      <c r="Q40" s="288"/>
      <c r="R40" s="286"/>
      <c r="S40" s="288"/>
      <c r="T40" s="286"/>
      <c r="U40" s="288"/>
      <c r="V40" s="286"/>
      <c r="W40" s="288"/>
      <c r="X40" s="286"/>
      <c r="Y40" s="288"/>
      <c r="Z40" s="286"/>
      <c r="AA40" s="288"/>
      <c r="AB40" s="286"/>
      <c r="AC40" s="288"/>
      <c r="AD40" s="286"/>
      <c r="AE40" s="288"/>
      <c r="AF40" s="286"/>
      <c r="AG40" s="288"/>
      <c r="AH40" s="286"/>
      <c r="AI40" s="288"/>
      <c r="AJ40" s="286"/>
      <c r="AK40" s="286"/>
      <c r="AL40" s="286"/>
      <c r="AM40" s="286"/>
      <c r="AN40" s="286"/>
      <c r="AO40" s="286"/>
      <c r="AP40" s="286"/>
      <c r="AQ40" s="286"/>
      <c r="AR40" s="286"/>
      <c r="AS40" s="286"/>
      <c r="AT40" s="286"/>
      <c r="AU40" s="286"/>
      <c r="AV40" s="284"/>
      <c r="AW40" s="284"/>
      <c r="AX40" s="284"/>
      <c r="AY40" s="284"/>
      <c r="AZ40" s="284"/>
      <c r="BA40" s="284"/>
      <c r="BB40" s="284"/>
      <c r="BC40" s="284"/>
      <c r="BD40" s="284"/>
      <c r="BE40" s="284"/>
      <c r="BF40" s="284"/>
      <c r="BG40" s="284"/>
      <c r="BH40" s="284"/>
      <c r="BI40" s="284"/>
      <c r="BJ40" s="284"/>
      <c r="BK40" s="284"/>
      <c r="BL40" s="284"/>
      <c r="BM40" s="284"/>
      <c r="BN40" s="284"/>
      <c r="BO40" s="284"/>
      <c r="BP40" s="284"/>
      <c r="BQ40" s="284"/>
      <c r="BR40" s="284"/>
      <c r="BS40" s="284"/>
      <c r="BT40" s="284"/>
      <c r="BU40" s="284"/>
      <c r="BV40" s="284"/>
      <c r="BW40" s="284"/>
      <c r="BX40" s="284"/>
      <c r="BY40" s="284"/>
      <c r="BZ40" s="285"/>
      <c r="CA40" s="298">
        <f>SUM(C40,E40,G40,I40,K40,M40,O40,Q40,S40,U40,W40,Y40,AA40,AC40,AE40,AG40,AI40,AK40,AM40,AO40,AQ40,AS40,AU40,AW40,AY40,BA40,BC40,BE40,BG40,BI40,BK40,BM40,BO40,BQ40,BS40,BU40,BW40,BY40)</f>
        <v>1</v>
      </c>
      <c r="CB40" s="298">
        <f>SUM(D40,F40,H40,J40,L40,N40,P40,R40,T40,V40,X40,Z40,AB40,AD40,AF40,AH40,AJ40,AL40,AN40,AP40,AR40,AT40,AV40,AX40,AZ40,BB40,BD40,BF40,BH40,BJ40,BL40,BN40,BP40,BR40,BT40,BV40,BX40,BZ40)</f>
        <v>0</v>
      </c>
      <c r="CC40" s="299">
        <f>SUM(Table13[[#This Row],[GOALS 1]:[ASSISTS 38]])</f>
        <v>1</v>
      </c>
    </row>
    <row r="41" spans="1:81">
      <c r="A41" s="274" t="s">
        <v>2102</v>
      </c>
      <c r="B41" s="301" t="s">
        <v>17</v>
      </c>
      <c r="C41" s="286"/>
      <c r="D41" s="286"/>
      <c r="E41" s="286">
        <v>1</v>
      </c>
      <c r="F41" s="286"/>
      <c r="G41" s="286"/>
      <c r="H41" s="286"/>
      <c r="I41" s="286"/>
      <c r="J41" s="286"/>
      <c r="K41" s="286"/>
      <c r="L41" s="286"/>
      <c r="M41" s="286"/>
      <c r="N41" s="286"/>
      <c r="O41" s="286"/>
      <c r="P41" s="286"/>
      <c r="Q41" s="286"/>
      <c r="R41" s="286"/>
      <c r="S41" s="286"/>
      <c r="T41" s="286"/>
      <c r="U41" s="286"/>
      <c r="V41" s="286"/>
      <c r="W41" s="286"/>
      <c r="X41" s="286"/>
      <c r="Y41" s="286"/>
      <c r="Z41" s="286"/>
      <c r="AA41" s="286"/>
      <c r="AB41" s="286"/>
      <c r="AC41" s="286"/>
      <c r="AD41" s="286"/>
      <c r="AE41" s="286"/>
      <c r="AF41" s="286"/>
      <c r="AG41" s="286"/>
      <c r="AH41" s="286"/>
      <c r="AI41" s="286"/>
      <c r="AJ41" s="286"/>
      <c r="AK41" s="286"/>
      <c r="AL41" s="286"/>
      <c r="AM41" s="286"/>
      <c r="AN41" s="286"/>
      <c r="AO41" s="286"/>
      <c r="AP41" s="286"/>
      <c r="AQ41" s="286"/>
      <c r="AR41" s="286"/>
      <c r="AS41" s="286"/>
      <c r="AT41" s="286"/>
      <c r="AU41" s="286"/>
      <c r="AV41" s="284"/>
      <c r="AW41" s="284"/>
      <c r="AX41" s="284"/>
      <c r="AY41" s="284"/>
      <c r="AZ41" s="284"/>
      <c r="BA41" s="284"/>
      <c r="BB41" s="284"/>
      <c r="BC41" s="284"/>
      <c r="BD41" s="284"/>
      <c r="BE41" s="284"/>
      <c r="BF41" s="284"/>
      <c r="BG41" s="284"/>
      <c r="BH41" s="284"/>
      <c r="BI41" s="284"/>
      <c r="BJ41" s="284"/>
      <c r="BK41" s="284"/>
      <c r="BL41" s="284"/>
      <c r="BM41" s="284"/>
      <c r="BN41" s="284"/>
      <c r="BO41" s="284"/>
      <c r="BP41" s="284"/>
      <c r="BQ41" s="284"/>
      <c r="BR41" s="284"/>
      <c r="BS41" s="284"/>
      <c r="BT41" s="284"/>
      <c r="BU41" s="284"/>
      <c r="BV41" s="284"/>
      <c r="BW41" s="284"/>
      <c r="BX41" s="284"/>
      <c r="BY41" s="284"/>
      <c r="BZ41" s="285"/>
      <c r="CA41" s="298">
        <f>SUM(C41,E41,G41,I41,K41,M41,O41,Q41,S41,U41,W41,Y41,AA41,AC41,AE41,AG41,AI41,AK41,AM41,AO41,AQ41,AS41,AU41,AW41,AY41,BA41,BC41,BE41,BG41,BI41,BK41,BM41,BO41,BQ41,BS41,BU41,BW41,BY41)</f>
        <v>1</v>
      </c>
      <c r="CB41" s="298">
        <f>SUM(D41,F41,H41,J41,L41,N41,P41,R41,T41,V41,X41,Z41,AB41,AD41,AF41,AH41,AJ41,AL41,AN41,AP41,AR41,AT41,AV41,AX41,AZ41,BB41,BD41,BF41,BH41,BJ41,BL41,BN41,BP41,BR41,BT41,BV41,BX41,BZ41)</f>
        <v>0</v>
      </c>
      <c r="CC41" s="299">
        <f>SUM(Table13[[#This Row],[GOALS 1]:[ASSISTS 38]])</f>
        <v>1</v>
      </c>
    </row>
    <row r="42" spans="1:81">
      <c r="A42" s="291" t="s">
        <v>1404</v>
      </c>
      <c r="B42" s="291" t="s">
        <v>23</v>
      </c>
      <c r="C42" s="289">
        <v>1</v>
      </c>
      <c r="D42" s="286"/>
      <c r="E42" s="288"/>
      <c r="F42" s="286"/>
      <c r="G42" s="288"/>
      <c r="H42" s="286"/>
      <c r="I42" s="288"/>
      <c r="J42" s="286"/>
      <c r="K42" s="288"/>
      <c r="L42" s="286"/>
      <c r="M42" s="288"/>
      <c r="N42" s="286"/>
      <c r="O42" s="288"/>
      <c r="P42" s="286"/>
      <c r="Q42" s="288"/>
      <c r="R42" s="286"/>
      <c r="S42" s="288"/>
      <c r="T42" s="286"/>
      <c r="U42" s="288"/>
      <c r="V42" s="286"/>
      <c r="W42" s="288"/>
      <c r="X42" s="286"/>
      <c r="Y42" s="288"/>
      <c r="Z42" s="286"/>
      <c r="AA42" s="288"/>
      <c r="AB42" s="286"/>
      <c r="AC42" s="288"/>
      <c r="AD42" s="286"/>
      <c r="AE42" s="288"/>
      <c r="AF42" s="286"/>
      <c r="AG42" s="288"/>
      <c r="AH42" s="286"/>
      <c r="AI42" s="288"/>
      <c r="AJ42" s="286"/>
      <c r="AK42" s="286"/>
      <c r="AL42" s="286"/>
      <c r="AM42" s="286"/>
      <c r="AN42" s="286"/>
      <c r="AO42" s="286"/>
      <c r="AP42" s="286"/>
      <c r="AQ42" s="286"/>
      <c r="AR42" s="286"/>
      <c r="AS42" s="286"/>
      <c r="AT42" s="286"/>
      <c r="AU42" s="286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5"/>
      <c r="CA42" s="298">
        <f>SUM(C42,E42,G42,I42,K42,M42,O42,Q42,S42,U42,W42,Y42,AA42,AC42,AE42,AG42,AI42,AK42,AM42,AO42,AQ42,AS42,AU42,AW42,AY42,BA42,BC42,BE42,BG42,BI42,BK42,BM42,BO42,BQ42,BS42,BU42,BW42,BY42)</f>
        <v>1</v>
      </c>
      <c r="CB42" s="298">
        <f>SUM(D42,F42,H42,J42,L42,N42,P42,R42,T42,V42,X42,Z42,AB42,AD42,AF42,AH42,AJ42,AL42,AN42,AP42,AR42,AT42,AV42,AX42,AZ42,BB42,BD42,BF42,BH42,BJ42,BL42,BN42,BP42,BR42,BT42,BV42,BX42,BZ42)</f>
        <v>0</v>
      </c>
      <c r="CC42" s="299">
        <f>SUM(Table13[[#This Row],[GOALS 1]:[ASSISTS 38]])</f>
        <v>1</v>
      </c>
    </row>
    <row r="43" spans="1:81">
      <c r="A43" s="291" t="s">
        <v>1454</v>
      </c>
      <c r="B43" s="291" t="s">
        <v>17</v>
      </c>
      <c r="C43" s="289"/>
      <c r="D43" s="286"/>
      <c r="E43" s="288">
        <v>1</v>
      </c>
      <c r="F43" s="286"/>
      <c r="G43" s="288"/>
      <c r="H43" s="286"/>
      <c r="I43" s="288"/>
      <c r="J43" s="286"/>
      <c r="K43" s="288"/>
      <c r="L43" s="286"/>
      <c r="M43" s="288"/>
      <c r="N43" s="286"/>
      <c r="O43" s="288"/>
      <c r="P43" s="286"/>
      <c r="Q43" s="288"/>
      <c r="R43" s="286"/>
      <c r="S43" s="288"/>
      <c r="T43" s="286"/>
      <c r="U43" s="288"/>
      <c r="V43" s="286"/>
      <c r="W43" s="288"/>
      <c r="X43" s="286"/>
      <c r="Y43" s="288"/>
      <c r="Z43" s="286"/>
      <c r="AA43" s="288"/>
      <c r="AB43" s="286"/>
      <c r="AC43" s="288"/>
      <c r="AD43" s="286"/>
      <c r="AE43" s="288"/>
      <c r="AF43" s="286"/>
      <c r="AG43" s="288"/>
      <c r="AH43" s="286"/>
      <c r="AI43" s="288"/>
      <c r="AJ43" s="286"/>
      <c r="AK43" s="286"/>
      <c r="AL43" s="286"/>
      <c r="AM43" s="286"/>
      <c r="AN43" s="286"/>
      <c r="AO43" s="286"/>
      <c r="AP43" s="286"/>
      <c r="AQ43" s="286"/>
      <c r="AR43" s="286"/>
      <c r="AS43" s="286"/>
      <c r="AT43" s="286"/>
      <c r="AU43" s="286"/>
      <c r="AV43" s="284"/>
      <c r="AW43" s="284"/>
      <c r="AX43" s="284"/>
      <c r="AY43" s="284"/>
      <c r="AZ43" s="284"/>
      <c r="BA43" s="284"/>
      <c r="BB43" s="284"/>
      <c r="BC43" s="284"/>
      <c r="BD43" s="284"/>
      <c r="BE43" s="284"/>
      <c r="BF43" s="284"/>
      <c r="BG43" s="284"/>
      <c r="BH43" s="284"/>
      <c r="BI43" s="284"/>
      <c r="BJ43" s="284"/>
      <c r="BK43" s="284"/>
      <c r="BL43" s="284"/>
      <c r="BM43" s="284"/>
      <c r="BN43" s="284"/>
      <c r="BO43" s="284"/>
      <c r="BP43" s="284"/>
      <c r="BQ43" s="284"/>
      <c r="BR43" s="284"/>
      <c r="BS43" s="284"/>
      <c r="BT43" s="284"/>
      <c r="BU43" s="284"/>
      <c r="BV43" s="284"/>
      <c r="BW43" s="284"/>
      <c r="BX43" s="284"/>
      <c r="BY43" s="284"/>
      <c r="BZ43" s="285"/>
      <c r="CA43" s="298">
        <f>SUM(C43,E43,G43,I43,K43,M43,O43,Q43,S43,U43,W43,Y43,AA43,AC43,AE43,AG43,AI43,AK43,AM43,AO43,AQ43,AS43,AU43,AW43,AY43,BA43,BC43,BE43,BG43,BI43,BK43,BM43,BO43,BQ43,BS43,BU43,BW43,BY43)</f>
        <v>1</v>
      </c>
      <c r="CB43" s="298">
        <f>SUM(D43,F43,H43,J43,L43,N43,P43,R43,T43,V43,X43,Z43,AB43,AD43,AF43,AH43,AJ43,AL43,AN43,AP43,AR43,AT43,AV43,AX43,AZ43,BB43,BD43,BF43,BH43,BJ43,BL43,BN43,BP43,BR43,BT43,BV43,BX43,BZ43)</f>
        <v>0</v>
      </c>
      <c r="CC43" s="299">
        <f>SUM(Table13[[#This Row],[GOALS 1]:[ASSISTS 38]])</f>
        <v>1</v>
      </c>
    </row>
    <row r="44" spans="1:81">
      <c r="A44" s="291" t="s">
        <v>1504</v>
      </c>
      <c r="B44" s="291" t="s">
        <v>18</v>
      </c>
      <c r="C44" s="286"/>
      <c r="D44" s="286"/>
      <c r="E44" s="288">
        <v>1</v>
      </c>
      <c r="F44" s="286"/>
      <c r="G44" s="288"/>
      <c r="H44" s="286"/>
      <c r="I44" s="288"/>
      <c r="J44" s="286"/>
      <c r="K44" s="288"/>
      <c r="L44" s="286"/>
      <c r="M44" s="288"/>
      <c r="N44" s="286"/>
      <c r="O44" s="288"/>
      <c r="P44" s="286"/>
      <c r="Q44" s="288"/>
      <c r="R44" s="286"/>
      <c r="S44" s="288"/>
      <c r="T44" s="286"/>
      <c r="U44" s="288"/>
      <c r="V44" s="286"/>
      <c r="W44" s="288"/>
      <c r="X44" s="286"/>
      <c r="Y44" s="288"/>
      <c r="Z44" s="286"/>
      <c r="AA44" s="288"/>
      <c r="AB44" s="286"/>
      <c r="AC44" s="288"/>
      <c r="AD44" s="286"/>
      <c r="AE44" s="288"/>
      <c r="AF44" s="286"/>
      <c r="AG44" s="288"/>
      <c r="AH44" s="286"/>
      <c r="AI44" s="288"/>
      <c r="AJ44" s="286"/>
      <c r="AK44" s="286"/>
      <c r="AL44" s="286"/>
      <c r="AM44" s="286"/>
      <c r="AN44" s="286"/>
      <c r="AO44" s="286"/>
      <c r="AP44" s="286"/>
      <c r="AQ44" s="286"/>
      <c r="AR44" s="286"/>
      <c r="AS44" s="286"/>
      <c r="AT44" s="286"/>
      <c r="AU44" s="286"/>
      <c r="AV44" s="284"/>
      <c r="AW44" s="284"/>
      <c r="AX44" s="284"/>
      <c r="AY44" s="284"/>
      <c r="AZ44" s="284"/>
      <c r="BA44" s="284"/>
      <c r="BB44" s="284"/>
      <c r="BC44" s="284"/>
      <c r="BD44" s="284"/>
      <c r="BE44" s="284"/>
      <c r="BF44" s="284"/>
      <c r="BG44" s="284"/>
      <c r="BH44" s="284"/>
      <c r="BI44" s="284"/>
      <c r="BJ44" s="284"/>
      <c r="BK44" s="284"/>
      <c r="BL44" s="284"/>
      <c r="BM44" s="284"/>
      <c r="BN44" s="284"/>
      <c r="BO44" s="284"/>
      <c r="BP44" s="284"/>
      <c r="BQ44" s="284"/>
      <c r="BR44" s="284"/>
      <c r="BS44" s="284"/>
      <c r="BT44" s="284"/>
      <c r="BU44" s="284"/>
      <c r="BV44" s="284"/>
      <c r="BW44" s="284"/>
      <c r="BX44" s="284"/>
      <c r="BY44" s="284"/>
      <c r="BZ44" s="285"/>
      <c r="CA44" s="298">
        <f>SUM(C44,E44,G44,I44,K44,M44,O44,Q44,S44,U44,W44,Y44,AA44,AC44,AE44,AG44,AI44,AK44,AM44,AO44,AQ44,AS44,AU44,AW44,AY44,BA44,BC44,BE44,BG44,BI44,BK44,BM44,BO44,BQ44,BS44,BU44,BW44,BY44)</f>
        <v>1</v>
      </c>
      <c r="CB44" s="298">
        <f>SUM(D44,F44,H44,J44,L44,N44,P44,R44,T44,V44,X44,Z44,AB44,AD44,AF44,AH44,AJ44,AL44,AN44,AP44,AR44,AT44,AV44,AX44,AZ44,BB44,BD44,BF44,BH44,BJ44,BL44,BN44,BP44,BR44,BT44,BV44,BX44,BZ44)</f>
        <v>0</v>
      </c>
      <c r="CC44" s="299">
        <f>SUM(Table13[[#This Row],[GOALS 1]:[ASSISTS 38]])</f>
        <v>1</v>
      </c>
    </row>
    <row r="45" spans="1:81">
      <c r="A45" s="291" t="s">
        <v>1439</v>
      </c>
      <c r="B45" s="291" t="s">
        <v>25</v>
      </c>
      <c r="C45" s="286"/>
      <c r="D45" s="286"/>
      <c r="E45" s="288">
        <v>1</v>
      </c>
      <c r="F45" s="286"/>
      <c r="G45" s="288"/>
      <c r="H45" s="286"/>
      <c r="I45" s="288"/>
      <c r="J45" s="286"/>
      <c r="K45" s="288"/>
      <c r="L45" s="286"/>
      <c r="M45" s="288"/>
      <c r="N45" s="286"/>
      <c r="O45" s="288"/>
      <c r="P45" s="286"/>
      <c r="Q45" s="288"/>
      <c r="R45" s="286"/>
      <c r="S45" s="288"/>
      <c r="T45" s="286"/>
      <c r="U45" s="288"/>
      <c r="V45" s="286"/>
      <c r="W45" s="288"/>
      <c r="X45" s="286"/>
      <c r="Y45" s="288"/>
      <c r="Z45" s="286"/>
      <c r="AA45" s="288"/>
      <c r="AB45" s="286"/>
      <c r="AC45" s="288"/>
      <c r="AD45" s="286"/>
      <c r="AE45" s="288"/>
      <c r="AF45" s="286"/>
      <c r="AG45" s="288"/>
      <c r="AH45" s="286"/>
      <c r="AI45" s="288"/>
      <c r="AJ45" s="286"/>
      <c r="AK45" s="286"/>
      <c r="AL45" s="286"/>
      <c r="AM45" s="286"/>
      <c r="AN45" s="286"/>
      <c r="AO45" s="286"/>
      <c r="AP45" s="286"/>
      <c r="AQ45" s="286"/>
      <c r="AR45" s="286"/>
      <c r="AS45" s="286"/>
      <c r="AT45" s="286"/>
      <c r="AU45" s="286"/>
      <c r="AV45" s="284"/>
      <c r="AW45" s="284"/>
      <c r="AX45" s="284"/>
      <c r="AY45" s="284"/>
      <c r="AZ45" s="284"/>
      <c r="BA45" s="284"/>
      <c r="BB45" s="284"/>
      <c r="BC45" s="284"/>
      <c r="BD45" s="284"/>
      <c r="BE45" s="284"/>
      <c r="BF45" s="284"/>
      <c r="BG45" s="284"/>
      <c r="BH45" s="284"/>
      <c r="BI45" s="284"/>
      <c r="BJ45" s="284"/>
      <c r="BK45" s="284"/>
      <c r="BL45" s="284"/>
      <c r="BM45" s="284"/>
      <c r="BN45" s="284"/>
      <c r="BO45" s="284"/>
      <c r="BP45" s="284"/>
      <c r="BQ45" s="284"/>
      <c r="BR45" s="284"/>
      <c r="BS45" s="284"/>
      <c r="BT45" s="284"/>
      <c r="BU45" s="284"/>
      <c r="BV45" s="284"/>
      <c r="BW45" s="284"/>
      <c r="BX45" s="284"/>
      <c r="BY45" s="284"/>
      <c r="BZ45" s="285"/>
      <c r="CA45" s="298">
        <f>SUM(C45,E45,G45,I45,K45,M45,O45,Q45,S45,U45,W45,Y45,AA45,AC45,AE45,AG45,AI45,AK45,AM45,AO45,AQ45,AS45,AU45,AW45,AY45,BA45,BC45,BE45,BG45,BI45,BK45,BM45,BO45,BQ45,BS45,BU45,BW45,BY45)</f>
        <v>1</v>
      </c>
      <c r="CB45" s="298">
        <f>SUM(D45,F45,H45,J45,L45,N45,P45,R45,T45,V45,X45,Z45,AB45,AD45,AF45,AH45,AJ45,AL45,AN45,AP45,AR45,AT45,AV45,AX45,AZ45,BB45,BD45,BF45,BH45,BJ45,BL45,BN45,BP45,BR45,BT45,BV45,BX45,BZ45)</f>
        <v>0</v>
      </c>
      <c r="CC45" s="299">
        <f>SUM(Table13[[#This Row],[GOALS 1]:[ASSISTS 38]])</f>
        <v>1</v>
      </c>
    </row>
    <row r="46" spans="1:81">
      <c r="A46" s="291" t="s">
        <v>1431</v>
      </c>
      <c r="B46" s="291" t="s">
        <v>634</v>
      </c>
      <c r="C46" s="288">
        <v>1</v>
      </c>
      <c r="D46" s="286"/>
      <c r="E46" s="288"/>
      <c r="F46" s="286"/>
      <c r="G46" s="288"/>
      <c r="H46" s="286"/>
      <c r="I46" s="288"/>
      <c r="J46" s="286"/>
      <c r="K46" s="288"/>
      <c r="L46" s="286"/>
      <c r="M46" s="288"/>
      <c r="N46" s="286"/>
      <c r="O46" s="288"/>
      <c r="P46" s="286"/>
      <c r="Q46" s="288"/>
      <c r="R46" s="286"/>
      <c r="S46" s="288"/>
      <c r="T46" s="286"/>
      <c r="U46" s="288"/>
      <c r="V46" s="286"/>
      <c r="W46" s="288"/>
      <c r="X46" s="286"/>
      <c r="Y46" s="288"/>
      <c r="Z46" s="286"/>
      <c r="AA46" s="288"/>
      <c r="AB46" s="286"/>
      <c r="AC46" s="288"/>
      <c r="AD46" s="286"/>
      <c r="AE46" s="288"/>
      <c r="AF46" s="286"/>
      <c r="AG46" s="288"/>
      <c r="AH46" s="286"/>
      <c r="AI46" s="288"/>
      <c r="AJ46" s="286"/>
      <c r="AK46" s="286"/>
      <c r="AL46" s="286"/>
      <c r="AM46" s="286"/>
      <c r="AN46" s="286"/>
      <c r="AO46" s="286"/>
      <c r="AP46" s="286"/>
      <c r="AQ46" s="286"/>
      <c r="AR46" s="286"/>
      <c r="AS46" s="286"/>
      <c r="AT46" s="286"/>
      <c r="AU46" s="286"/>
      <c r="AV46" s="284"/>
      <c r="AW46" s="284"/>
      <c r="AX46" s="284"/>
      <c r="AY46" s="284"/>
      <c r="AZ46" s="284"/>
      <c r="BA46" s="284"/>
      <c r="BB46" s="284"/>
      <c r="BC46" s="284"/>
      <c r="BD46" s="284"/>
      <c r="BE46" s="284"/>
      <c r="BF46" s="284"/>
      <c r="BG46" s="284"/>
      <c r="BH46" s="284"/>
      <c r="BI46" s="284"/>
      <c r="BJ46" s="284"/>
      <c r="BK46" s="284"/>
      <c r="BL46" s="284"/>
      <c r="BM46" s="284"/>
      <c r="BN46" s="284"/>
      <c r="BO46" s="284"/>
      <c r="BP46" s="284"/>
      <c r="BQ46" s="284"/>
      <c r="BR46" s="284"/>
      <c r="BS46" s="284"/>
      <c r="BT46" s="284"/>
      <c r="BU46" s="284"/>
      <c r="BV46" s="284"/>
      <c r="BW46" s="284"/>
      <c r="BX46" s="284"/>
      <c r="BY46" s="284"/>
      <c r="BZ46" s="285"/>
      <c r="CA46" s="298">
        <f>SUM(C46,E46,G46,I46,K46,M46,O46,Q46,S46,U46,W46,Y46,AA46,AC46,AE46,AG46,AI46,AK46,AM46,AO46,AQ46,AS46,AU46,AW46,AY46,BA46,BC46,BE46,BG46,BI46,BK46,BM46,BO46,BQ46,BS46,BU46,BW46,BY46)</f>
        <v>1</v>
      </c>
      <c r="CB46" s="298">
        <f>SUM(D46,F46,H46,J46,L46,N46,P46,R46,T46,V46,X46,Z46,AB46,AD46,AF46,AH46,AJ46,AL46,AN46,AP46,AR46,AT46,AV46,AX46,AZ46,BB46,BD46,BF46,BH46,BJ46,BL46,BN46,BP46,BR46,BT46,BV46,BX46,BZ46)</f>
        <v>0</v>
      </c>
      <c r="CC46" s="299">
        <f>SUM(Table13[[#This Row],[GOALS 1]:[ASSISTS 38]])</f>
        <v>1</v>
      </c>
    </row>
    <row r="47" spans="1:81">
      <c r="A47" s="291" t="s">
        <v>1315</v>
      </c>
      <c r="B47" s="291" t="s">
        <v>20</v>
      </c>
      <c r="C47" s="289"/>
      <c r="D47" s="286">
        <v>1</v>
      </c>
      <c r="E47" s="288"/>
      <c r="F47" s="286">
        <v>1</v>
      </c>
      <c r="G47" s="288"/>
      <c r="H47" s="286"/>
      <c r="I47" s="288"/>
      <c r="J47" s="286"/>
      <c r="K47" s="288"/>
      <c r="L47" s="286"/>
      <c r="M47" s="288"/>
      <c r="N47" s="286"/>
      <c r="O47" s="288"/>
      <c r="P47" s="286"/>
      <c r="Q47" s="288"/>
      <c r="R47" s="286"/>
      <c r="S47" s="288"/>
      <c r="T47" s="286"/>
      <c r="U47" s="288"/>
      <c r="V47" s="286"/>
      <c r="W47" s="288"/>
      <c r="X47" s="286"/>
      <c r="Y47" s="288"/>
      <c r="Z47" s="286"/>
      <c r="AA47" s="288"/>
      <c r="AB47" s="286"/>
      <c r="AC47" s="288"/>
      <c r="AD47" s="286"/>
      <c r="AE47" s="288"/>
      <c r="AF47" s="286"/>
      <c r="AG47" s="288"/>
      <c r="AH47" s="286"/>
      <c r="AI47" s="288"/>
      <c r="AJ47" s="286"/>
      <c r="AK47" s="286"/>
      <c r="AL47" s="286"/>
      <c r="AM47" s="286"/>
      <c r="AN47" s="286"/>
      <c r="AO47" s="286"/>
      <c r="AP47" s="286"/>
      <c r="AQ47" s="286"/>
      <c r="AR47" s="286"/>
      <c r="AS47" s="286"/>
      <c r="AT47" s="286"/>
      <c r="AU47" s="286"/>
      <c r="AV47" s="284"/>
      <c r="AW47" s="284"/>
      <c r="AX47" s="284"/>
      <c r="AY47" s="284"/>
      <c r="AZ47" s="284"/>
      <c r="BA47" s="284"/>
      <c r="BB47" s="284"/>
      <c r="BC47" s="284"/>
      <c r="BD47" s="284"/>
      <c r="BE47" s="284"/>
      <c r="BF47" s="284"/>
      <c r="BG47" s="284"/>
      <c r="BH47" s="284"/>
      <c r="BI47" s="284"/>
      <c r="BJ47" s="284"/>
      <c r="BK47" s="284"/>
      <c r="BL47" s="284"/>
      <c r="BM47" s="284"/>
      <c r="BN47" s="284"/>
      <c r="BO47" s="284"/>
      <c r="BP47" s="284"/>
      <c r="BQ47" s="284"/>
      <c r="BR47" s="284"/>
      <c r="BS47" s="284"/>
      <c r="BT47" s="284"/>
      <c r="BU47" s="284"/>
      <c r="BV47" s="284"/>
      <c r="BW47" s="284"/>
      <c r="BX47" s="284"/>
      <c r="BY47" s="284"/>
      <c r="BZ47" s="285"/>
      <c r="CA47" s="298">
        <f>SUM(C47,E47,G47,I47,K47,M47,O47,Q47,S47,U47,W47,Y47,AA47,AC47,AE47,AG47,AI47,AK47,AM47,AO47,AQ47,AS47,AU47,AW47,AY47,BA47,BC47,BE47,BG47,BI47,BK47,BM47,BO47,BQ47,BS47,BU47,BW47,BY47)</f>
        <v>0</v>
      </c>
      <c r="CB47" s="298">
        <f>SUM(D47,F47,H47,J47,L47,N47,P47,R47,T47,V47,X47,Z47,AB47,AD47,AF47,AH47,AJ47,AL47,AN47,AP47,AR47,AT47,AV47,AX47,AZ47,BB47,BD47,BF47,BH47,BJ47,BL47,BN47,BP47,BR47,BT47,BV47,BX47,BZ47)</f>
        <v>2</v>
      </c>
      <c r="CC47" s="299">
        <f>SUM(Table13[[#This Row],[GOALS 1]:[ASSISTS 38]])</f>
        <v>2</v>
      </c>
    </row>
    <row r="48" spans="1:81">
      <c r="A48" s="291" t="s">
        <v>1330</v>
      </c>
      <c r="B48" s="291" t="s">
        <v>24</v>
      </c>
      <c r="C48" s="286"/>
      <c r="D48" s="286"/>
      <c r="E48" s="288"/>
      <c r="F48" s="286">
        <v>2</v>
      </c>
      <c r="G48" s="288"/>
      <c r="H48" s="286"/>
      <c r="I48" s="288"/>
      <c r="J48" s="286"/>
      <c r="K48" s="288"/>
      <c r="L48" s="286"/>
      <c r="M48" s="288"/>
      <c r="N48" s="286"/>
      <c r="O48" s="288"/>
      <c r="P48" s="286"/>
      <c r="Q48" s="288"/>
      <c r="R48" s="286"/>
      <c r="S48" s="288"/>
      <c r="T48" s="286"/>
      <c r="U48" s="288"/>
      <c r="V48" s="286"/>
      <c r="W48" s="288"/>
      <c r="X48" s="286"/>
      <c r="Y48" s="288"/>
      <c r="Z48" s="286"/>
      <c r="AA48" s="288"/>
      <c r="AB48" s="286"/>
      <c r="AC48" s="288"/>
      <c r="AD48" s="286"/>
      <c r="AE48" s="288"/>
      <c r="AF48" s="286"/>
      <c r="AG48" s="288"/>
      <c r="AH48" s="286"/>
      <c r="AI48" s="288"/>
      <c r="AJ48" s="286"/>
      <c r="AK48" s="286"/>
      <c r="AL48" s="286"/>
      <c r="AM48" s="286"/>
      <c r="AN48" s="286"/>
      <c r="AO48" s="286"/>
      <c r="AP48" s="286"/>
      <c r="AQ48" s="286"/>
      <c r="AR48" s="286"/>
      <c r="AS48" s="286"/>
      <c r="AT48" s="286"/>
      <c r="AU48" s="286"/>
      <c r="AV48" s="284"/>
      <c r="AW48" s="284"/>
      <c r="AX48" s="284"/>
      <c r="AY48" s="284"/>
      <c r="AZ48" s="284"/>
      <c r="BA48" s="284"/>
      <c r="BB48" s="284"/>
      <c r="BC48" s="284"/>
      <c r="BD48" s="284"/>
      <c r="BE48" s="284"/>
      <c r="BF48" s="284"/>
      <c r="BG48" s="284"/>
      <c r="BH48" s="284"/>
      <c r="BI48" s="284"/>
      <c r="BJ48" s="284"/>
      <c r="BK48" s="284"/>
      <c r="BL48" s="284"/>
      <c r="BM48" s="284"/>
      <c r="BN48" s="284"/>
      <c r="BO48" s="284"/>
      <c r="BP48" s="284"/>
      <c r="BQ48" s="284"/>
      <c r="BR48" s="284"/>
      <c r="BS48" s="284"/>
      <c r="BT48" s="284"/>
      <c r="BU48" s="284"/>
      <c r="BV48" s="284"/>
      <c r="BW48" s="284"/>
      <c r="BX48" s="284"/>
      <c r="BY48" s="284"/>
      <c r="BZ48" s="285"/>
      <c r="CA48" s="298">
        <f>SUM(C48,E48,G48,I48,K48,M48,O48,Q48,S48,U48,W48,Y48,AA48,AC48,AE48,AG48,AI48,AK48,AM48,AO48,AQ48,AS48,AU48,AW48,AY48,BA48,BC48,BE48,BG48,BI48,BK48,BM48,BO48,BQ48,BS48,BU48,BW48,BY48)</f>
        <v>0</v>
      </c>
      <c r="CB48" s="298">
        <f>SUM(D48,F48,H48,J48,L48,N48,P48,R48,T48,V48,X48,Z48,AB48,AD48,AF48,AH48,AJ48,AL48,AN48,AP48,AR48,AT48,AV48,AX48,AZ48,BB48,BD48,BF48,BH48,BJ48,BL48,BN48,BP48,BR48,BT48,BV48,BX48,BZ48)</f>
        <v>2</v>
      </c>
      <c r="CC48" s="299">
        <f>SUM(Table13[[#This Row],[GOALS 1]:[ASSISTS 38]])</f>
        <v>2</v>
      </c>
    </row>
    <row r="49" spans="1:81">
      <c r="A49" s="291" t="s">
        <v>1312</v>
      </c>
      <c r="B49" s="291" t="s">
        <v>19</v>
      </c>
      <c r="C49" s="286"/>
      <c r="D49" s="286">
        <v>2</v>
      </c>
      <c r="E49" s="288"/>
      <c r="F49" s="286"/>
      <c r="G49" s="288"/>
      <c r="H49" s="286"/>
      <c r="I49" s="288"/>
      <c r="J49" s="286"/>
      <c r="K49" s="288"/>
      <c r="L49" s="286"/>
      <c r="M49" s="288"/>
      <c r="N49" s="286"/>
      <c r="O49" s="288"/>
      <c r="P49" s="286"/>
      <c r="Q49" s="288"/>
      <c r="R49" s="286"/>
      <c r="S49" s="288"/>
      <c r="T49" s="286"/>
      <c r="U49" s="288"/>
      <c r="V49" s="286"/>
      <c r="W49" s="288"/>
      <c r="X49" s="286"/>
      <c r="Y49" s="288"/>
      <c r="Z49" s="286"/>
      <c r="AA49" s="288"/>
      <c r="AB49" s="286"/>
      <c r="AC49" s="288"/>
      <c r="AD49" s="286"/>
      <c r="AE49" s="288"/>
      <c r="AF49" s="286"/>
      <c r="AG49" s="288"/>
      <c r="AH49" s="286"/>
      <c r="AI49" s="288"/>
      <c r="AJ49" s="286"/>
      <c r="AK49" s="286"/>
      <c r="AL49" s="286"/>
      <c r="AM49" s="286"/>
      <c r="AN49" s="286"/>
      <c r="AO49" s="286"/>
      <c r="AP49" s="286"/>
      <c r="AQ49" s="286"/>
      <c r="AR49" s="286"/>
      <c r="AS49" s="286"/>
      <c r="AT49" s="286"/>
      <c r="AU49" s="286"/>
      <c r="AV49" s="284"/>
      <c r="AW49" s="284"/>
      <c r="AX49" s="284"/>
      <c r="AY49" s="284"/>
      <c r="AZ49" s="284"/>
      <c r="BA49" s="284"/>
      <c r="BB49" s="284"/>
      <c r="BC49" s="284"/>
      <c r="BD49" s="284"/>
      <c r="BE49" s="284"/>
      <c r="BF49" s="284"/>
      <c r="BG49" s="284"/>
      <c r="BH49" s="284"/>
      <c r="BI49" s="284"/>
      <c r="BJ49" s="284"/>
      <c r="BK49" s="284"/>
      <c r="BL49" s="284"/>
      <c r="BM49" s="284"/>
      <c r="BN49" s="284"/>
      <c r="BO49" s="284"/>
      <c r="BP49" s="284"/>
      <c r="BQ49" s="284"/>
      <c r="BR49" s="284"/>
      <c r="BS49" s="284"/>
      <c r="BT49" s="284"/>
      <c r="BU49" s="284"/>
      <c r="BV49" s="284"/>
      <c r="BW49" s="284"/>
      <c r="BX49" s="284"/>
      <c r="BY49" s="284"/>
      <c r="BZ49" s="285"/>
      <c r="CA49" s="298">
        <f>SUM(C49,E49,G49,I49,K49,M49,O49,Q49,S49,U49,W49,Y49,AA49,AC49,AE49,AG49,AI49,AK49,AM49,AO49,AQ49,AS49,AU49,AW49,AY49,BA49,BC49,BE49,BG49,BI49,BK49,BM49,BO49,BQ49,BS49,BU49,BW49,BY49)</f>
        <v>0</v>
      </c>
      <c r="CB49" s="298">
        <f>SUM(D49,F49,H49,J49,L49,N49,P49,R49,T49,V49,X49,Z49,AB49,AD49,AF49,AH49,AJ49,AL49,AN49,AP49,AR49,AT49,AV49,AX49,AZ49,BB49,BD49,BF49,BH49,BJ49,BL49,BN49,BP49,BR49,BT49,BV49,BX49,BZ49)</f>
        <v>2</v>
      </c>
      <c r="CC49" s="299">
        <f>SUM(Table13[[#This Row],[GOALS 1]:[ASSISTS 38]])</f>
        <v>2</v>
      </c>
    </row>
    <row r="50" spans="1:81">
      <c r="A50" s="291" t="s">
        <v>1327</v>
      </c>
      <c r="B50" s="291" t="s">
        <v>23</v>
      </c>
      <c r="C50" s="289"/>
      <c r="D50" s="286"/>
      <c r="E50" s="288"/>
      <c r="F50" s="286">
        <v>1</v>
      </c>
      <c r="G50" s="288"/>
      <c r="H50" s="286"/>
      <c r="I50" s="288"/>
      <c r="J50" s="286"/>
      <c r="K50" s="288"/>
      <c r="L50" s="286"/>
      <c r="M50" s="288"/>
      <c r="N50" s="286"/>
      <c r="O50" s="288"/>
      <c r="P50" s="286"/>
      <c r="Q50" s="288"/>
      <c r="R50" s="286"/>
      <c r="S50" s="288"/>
      <c r="T50" s="286"/>
      <c r="U50" s="288"/>
      <c r="V50" s="286"/>
      <c r="W50" s="288"/>
      <c r="X50" s="286"/>
      <c r="Y50" s="288"/>
      <c r="Z50" s="286"/>
      <c r="AA50" s="288"/>
      <c r="AB50" s="286"/>
      <c r="AC50" s="288"/>
      <c r="AD50" s="286"/>
      <c r="AE50" s="288"/>
      <c r="AF50" s="286"/>
      <c r="AG50" s="288"/>
      <c r="AH50" s="286"/>
      <c r="AI50" s="288"/>
      <c r="AJ50" s="286"/>
      <c r="AK50" s="286"/>
      <c r="AL50" s="286"/>
      <c r="AM50" s="286"/>
      <c r="AN50" s="286"/>
      <c r="AO50" s="286"/>
      <c r="AP50" s="286"/>
      <c r="AQ50" s="286"/>
      <c r="AR50" s="286"/>
      <c r="AS50" s="286"/>
      <c r="AT50" s="286"/>
      <c r="AU50" s="286"/>
      <c r="AV50" s="284"/>
      <c r="AW50" s="284"/>
      <c r="AX50" s="284"/>
      <c r="AY50" s="284"/>
      <c r="AZ50" s="284"/>
      <c r="BA50" s="284"/>
      <c r="BB50" s="284"/>
      <c r="BC50" s="284"/>
      <c r="BD50" s="284"/>
      <c r="BE50" s="284"/>
      <c r="BF50" s="284"/>
      <c r="BG50" s="284"/>
      <c r="BH50" s="284"/>
      <c r="BI50" s="284"/>
      <c r="BJ50" s="284"/>
      <c r="BK50" s="284"/>
      <c r="BL50" s="284"/>
      <c r="BM50" s="284"/>
      <c r="BN50" s="284"/>
      <c r="BO50" s="284"/>
      <c r="BP50" s="284"/>
      <c r="BQ50" s="284"/>
      <c r="BR50" s="284"/>
      <c r="BS50" s="284"/>
      <c r="BT50" s="284"/>
      <c r="BU50" s="284"/>
      <c r="BV50" s="284"/>
      <c r="BW50" s="284"/>
      <c r="BX50" s="284"/>
      <c r="BY50" s="284"/>
      <c r="BZ50" s="285"/>
      <c r="CA50" s="298">
        <f>SUM(C50,E50,G50,I50,K50,M50,O50,Q50,S50,U50,W50,Y50,AA50,AC50,AE50,AG50,AI50,AK50,AM50,AO50,AQ50,AS50,AU50,AW50,AY50,BA50,BC50,BE50,BG50,BI50,BK50,BM50,BO50,BQ50,BS50,BU50,BW50,BY50)</f>
        <v>0</v>
      </c>
      <c r="CB50" s="298">
        <f>SUM(D50,F50,H50,J50,L50,N50,P50,R50,T50,V50,X50,Z50,AB50,AD50,AF50,AH50,AJ50,AL50,AN50,AP50,AR50,AT50,AV50,AX50,AZ50,BB50,BD50,BF50,BH50,BJ50,BL50,BN50,BP50,BR50,BT50,BV50,BX50,BZ50)</f>
        <v>1</v>
      </c>
      <c r="CC50" s="299">
        <f>SUM(Table13[[#This Row],[GOALS 1]:[ASSISTS 38]])</f>
        <v>1</v>
      </c>
    </row>
    <row r="51" spans="1:81">
      <c r="A51" s="291" t="s">
        <v>1329</v>
      </c>
      <c r="B51" s="291" t="s">
        <v>17</v>
      </c>
      <c r="C51" s="289"/>
      <c r="D51" s="286">
        <v>1</v>
      </c>
      <c r="E51" s="288"/>
      <c r="F51" s="286"/>
      <c r="G51" s="288"/>
      <c r="H51" s="286"/>
      <c r="I51" s="288"/>
      <c r="J51" s="286"/>
      <c r="K51" s="288"/>
      <c r="L51" s="286"/>
      <c r="M51" s="288"/>
      <c r="N51" s="286"/>
      <c r="O51" s="288"/>
      <c r="P51" s="286"/>
      <c r="Q51" s="288"/>
      <c r="R51" s="286"/>
      <c r="S51" s="288"/>
      <c r="T51" s="286"/>
      <c r="U51" s="288"/>
      <c r="V51" s="286"/>
      <c r="W51" s="288"/>
      <c r="X51" s="286"/>
      <c r="Y51" s="288"/>
      <c r="Z51" s="286"/>
      <c r="AA51" s="288"/>
      <c r="AB51" s="286"/>
      <c r="AC51" s="288"/>
      <c r="AD51" s="286"/>
      <c r="AE51" s="288"/>
      <c r="AF51" s="286"/>
      <c r="AG51" s="288"/>
      <c r="AH51" s="286"/>
      <c r="AI51" s="288"/>
      <c r="AJ51" s="286"/>
      <c r="AK51" s="286"/>
      <c r="AL51" s="286"/>
      <c r="AM51" s="286"/>
      <c r="AN51" s="286"/>
      <c r="AO51" s="286"/>
      <c r="AP51" s="286"/>
      <c r="AQ51" s="286"/>
      <c r="AR51" s="286"/>
      <c r="AS51" s="286"/>
      <c r="AT51" s="286"/>
      <c r="AU51" s="286"/>
      <c r="AV51" s="284"/>
      <c r="AW51" s="284"/>
      <c r="AX51" s="284"/>
      <c r="AY51" s="284"/>
      <c r="AZ51" s="284"/>
      <c r="BA51" s="284"/>
      <c r="BB51" s="284"/>
      <c r="BC51" s="284"/>
      <c r="BD51" s="284"/>
      <c r="BE51" s="284"/>
      <c r="BF51" s="284"/>
      <c r="BG51" s="284"/>
      <c r="BH51" s="284"/>
      <c r="BI51" s="284"/>
      <c r="BJ51" s="284"/>
      <c r="BK51" s="284"/>
      <c r="BL51" s="284"/>
      <c r="BM51" s="284"/>
      <c r="BN51" s="284"/>
      <c r="BO51" s="284"/>
      <c r="BP51" s="284"/>
      <c r="BQ51" s="284"/>
      <c r="BR51" s="284"/>
      <c r="BS51" s="284"/>
      <c r="BT51" s="284"/>
      <c r="BU51" s="284"/>
      <c r="BV51" s="284"/>
      <c r="BW51" s="284"/>
      <c r="BX51" s="284"/>
      <c r="BY51" s="284"/>
      <c r="BZ51" s="285"/>
      <c r="CA51" s="298">
        <f>SUM(C51,E51,G51,I51,K51,M51,O51,Q51,S51,U51,W51,Y51,AA51,AC51,AE51,AG51,AI51,AK51,AM51,AO51,AQ51,AS51,AU51,AW51,AY51,BA51,BC51,BE51,BG51,BI51,BK51,BM51,BO51,BQ51,BS51,BU51,BW51,BY51)</f>
        <v>0</v>
      </c>
      <c r="CB51" s="298">
        <f>SUM(D51,F51,H51,J51,L51,N51,P51,R51,T51,V51,X51,Z51,AB51,AD51,AF51,AH51,AJ51,AL51,AN51,AP51,AR51,AT51,AV51,AX51,AZ51,BB51,BD51,BF51,BH51,BJ51,BL51,BN51,BP51,BR51,BT51,BV51,BX51,BZ51)</f>
        <v>1</v>
      </c>
      <c r="CC51" s="299">
        <f>SUM(Table13[[#This Row],[GOALS 1]:[ASSISTS 38]])</f>
        <v>1</v>
      </c>
    </row>
    <row r="52" spans="1:81">
      <c r="A52" s="291" t="s">
        <v>1531</v>
      </c>
      <c r="B52" s="291" t="s">
        <v>633</v>
      </c>
      <c r="C52" s="289"/>
      <c r="D52" s="286">
        <v>1</v>
      </c>
      <c r="E52" s="288"/>
      <c r="F52" s="286"/>
      <c r="G52" s="288"/>
      <c r="H52" s="286"/>
      <c r="I52" s="288"/>
      <c r="J52" s="286"/>
      <c r="K52" s="288"/>
      <c r="L52" s="286"/>
      <c r="M52" s="288"/>
      <c r="N52" s="286"/>
      <c r="O52" s="288"/>
      <c r="P52" s="286"/>
      <c r="Q52" s="288"/>
      <c r="R52" s="286"/>
      <c r="S52" s="288"/>
      <c r="T52" s="286"/>
      <c r="U52" s="288"/>
      <c r="V52" s="286"/>
      <c r="W52" s="288"/>
      <c r="X52" s="286"/>
      <c r="Y52" s="288"/>
      <c r="Z52" s="286"/>
      <c r="AA52" s="288"/>
      <c r="AB52" s="286"/>
      <c r="AC52" s="288"/>
      <c r="AD52" s="286"/>
      <c r="AE52" s="288"/>
      <c r="AF52" s="286"/>
      <c r="AG52" s="288"/>
      <c r="AH52" s="286"/>
      <c r="AI52" s="288"/>
      <c r="AJ52" s="286"/>
      <c r="AK52" s="286"/>
      <c r="AL52" s="286"/>
      <c r="AM52" s="286"/>
      <c r="AN52" s="286"/>
      <c r="AO52" s="286"/>
      <c r="AP52" s="286"/>
      <c r="AQ52" s="286"/>
      <c r="AR52" s="286"/>
      <c r="AS52" s="286"/>
      <c r="AT52" s="286"/>
      <c r="AU52" s="286"/>
      <c r="AV52" s="284"/>
      <c r="AW52" s="284"/>
      <c r="AX52" s="284"/>
      <c r="AY52" s="284"/>
      <c r="AZ52" s="284"/>
      <c r="BA52" s="284"/>
      <c r="BB52" s="284"/>
      <c r="BC52" s="284"/>
      <c r="BD52" s="284"/>
      <c r="BE52" s="284"/>
      <c r="BF52" s="284"/>
      <c r="BG52" s="284"/>
      <c r="BH52" s="284"/>
      <c r="BI52" s="284"/>
      <c r="BJ52" s="284"/>
      <c r="BK52" s="284"/>
      <c r="BL52" s="284"/>
      <c r="BM52" s="284"/>
      <c r="BN52" s="284"/>
      <c r="BO52" s="284"/>
      <c r="BP52" s="284"/>
      <c r="BQ52" s="284"/>
      <c r="BR52" s="284"/>
      <c r="BS52" s="284"/>
      <c r="BT52" s="284"/>
      <c r="BU52" s="284"/>
      <c r="BV52" s="284"/>
      <c r="BW52" s="284"/>
      <c r="BX52" s="284"/>
      <c r="BY52" s="284"/>
      <c r="BZ52" s="285"/>
      <c r="CA52" s="298">
        <f>SUM(C52,E52,G52,I52,K52,M52,O52,Q52,S52,U52,W52,Y52,AA52,AC52,AE52,AG52,AI52,AK52,AM52,AO52,AQ52,AS52,AU52,AW52,AY52,BA52,BC52,BE52,BG52,BI52,BK52,BM52,BO52,BQ52,BS52,BU52,BW52,BY52)</f>
        <v>0</v>
      </c>
      <c r="CB52" s="298">
        <f>SUM(D52,F52,H52,J52,L52,N52,P52,R52,T52,V52,X52,Z52,AB52,AD52,AF52,AH52,AJ52,AL52,AN52,AP52,AR52,AT52,AV52,AX52,AZ52,BB52,BD52,BF52,BH52,BJ52,BL52,BN52,BP52,BR52,BT52,BV52,BX52,BZ52)</f>
        <v>1</v>
      </c>
      <c r="CC52" s="299">
        <f>SUM(Table13[[#This Row],[GOALS 1]:[ASSISTS 38]])</f>
        <v>1</v>
      </c>
    </row>
    <row r="53" spans="1:81">
      <c r="A53" s="291" t="s">
        <v>1545</v>
      </c>
      <c r="B53" s="291" t="s">
        <v>634</v>
      </c>
      <c r="C53" s="288"/>
      <c r="D53" s="286">
        <v>1</v>
      </c>
      <c r="E53" s="288"/>
      <c r="F53" s="286"/>
      <c r="G53" s="288"/>
      <c r="H53" s="286"/>
      <c r="I53" s="288"/>
      <c r="J53" s="286"/>
      <c r="K53" s="288"/>
      <c r="L53" s="286"/>
      <c r="M53" s="288"/>
      <c r="N53" s="286"/>
      <c r="O53" s="288"/>
      <c r="P53" s="286"/>
      <c r="Q53" s="288"/>
      <c r="R53" s="286"/>
      <c r="S53" s="288"/>
      <c r="T53" s="286"/>
      <c r="U53" s="288"/>
      <c r="V53" s="286"/>
      <c r="W53" s="288"/>
      <c r="X53" s="286"/>
      <c r="Y53" s="288"/>
      <c r="Z53" s="286"/>
      <c r="AA53" s="288"/>
      <c r="AB53" s="286"/>
      <c r="AC53" s="288"/>
      <c r="AD53" s="286"/>
      <c r="AE53" s="288"/>
      <c r="AF53" s="286"/>
      <c r="AG53" s="288"/>
      <c r="AH53" s="286"/>
      <c r="AI53" s="288"/>
      <c r="AJ53" s="286"/>
      <c r="AK53" s="286"/>
      <c r="AL53" s="286"/>
      <c r="AM53" s="286"/>
      <c r="AN53" s="286"/>
      <c r="AO53" s="286"/>
      <c r="AP53" s="286"/>
      <c r="AQ53" s="286"/>
      <c r="AR53" s="286"/>
      <c r="AS53" s="286"/>
      <c r="AT53" s="286"/>
      <c r="AU53" s="286"/>
      <c r="AV53" s="284"/>
      <c r="AW53" s="284"/>
      <c r="AX53" s="284"/>
      <c r="AY53" s="284"/>
      <c r="AZ53" s="284"/>
      <c r="BA53" s="284"/>
      <c r="BB53" s="284"/>
      <c r="BC53" s="284"/>
      <c r="BD53" s="284"/>
      <c r="BE53" s="284"/>
      <c r="BF53" s="284"/>
      <c r="BG53" s="284"/>
      <c r="BH53" s="284"/>
      <c r="BI53" s="284"/>
      <c r="BJ53" s="284"/>
      <c r="BK53" s="284"/>
      <c r="BL53" s="284"/>
      <c r="BM53" s="284"/>
      <c r="BN53" s="284"/>
      <c r="BO53" s="284"/>
      <c r="BP53" s="284"/>
      <c r="BQ53" s="284"/>
      <c r="BR53" s="284"/>
      <c r="BS53" s="284"/>
      <c r="BT53" s="284"/>
      <c r="BU53" s="284"/>
      <c r="BV53" s="284"/>
      <c r="BW53" s="284"/>
      <c r="BX53" s="284"/>
      <c r="BY53" s="284"/>
      <c r="BZ53" s="285"/>
      <c r="CA53" s="298">
        <f>SUM(C53,E53,G53,I53,K53,M53,O53,Q53,S53,U53,W53,Y53,AA53,AC53,AE53,AG53,AI53,AK53,AM53,AO53,AQ53,AS53,AU53,AW53,AY53,BA53,BC53,BE53,BG53,BI53,BK53,BM53,BO53,BQ53,BS53,BU53,BW53,BY53)</f>
        <v>0</v>
      </c>
      <c r="CB53" s="298">
        <f>SUM(D53,F53,H53,J53,L53,N53,P53,R53,T53,V53,X53,Z53,AB53,AD53,AF53,AH53,AJ53,AL53,AN53,AP53,AR53,AT53,AV53,AX53,AZ53,BB53,BD53,BF53,BH53,BJ53,BL53,BN53,BP53,BR53,BT53,BV53,BX53,BZ53)</f>
        <v>1</v>
      </c>
      <c r="CC53" s="299">
        <f>SUM(Table13[[#This Row],[GOALS 1]:[ASSISTS 38]])</f>
        <v>1</v>
      </c>
    </row>
    <row r="54" spans="1:81">
      <c r="A54" s="291" t="s">
        <v>1389</v>
      </c>
      <c r="B54" s="291" t="s">
        <v>26</v>
      </c>
      <c r="C54" s="286"/>
      <c r="D54" s="286"/>
      <c r="E54" s="288"/>
      <c r="F54" s="286">
        <v>1</v>
      </c>
      <c r="G54" s="288"/>
      <c r="H54" s="286"/>
      <c r="I54" s="288"/>
      <c r="J54" s="286"/>
      <c r="K54" s="288"/>
      <c r="L54" s="286"/>
      <c r="M54" s="288"/>
      <c r="N54" s="286"/>
      <c r="O54" s="288"/>
      <c r="P54" s="286"/>
      <c r="Q54" s="288"/>
      <c r="R54" s="286"/>
      <c r="S54" s="288"/>
      <c r="T54" s="286"/>
      <c r="U54" s="288"/>
      <c r="V54" s="286"/>
      <c r="W54" s="288"/>
      <c r="X54" s="286"/>
      <c r="Y54" s="288"/>
      <c r="Z54" s="286"/>
      <c r="AA54" s="288"/>
      <c r="AB54" s="286"/>
      <c r="AC54" s="288"/>
      <c r="AD54" s="286"/>
      <c r="AE54" s="288"/>
      <c r="AF54" s="286"/>
      <c r="AG54" s="288"/>
      <c r="AH54" s="286"/>
      <c r="AI54" s="288"/>
      <c r="AJ54" s="286"/>
      <c r="AK54" s="286"/>
      <c r="AL54" s="286"/>
      <c r="AM54" s="286"/>
      <c r="AN54" s="286"/>
      <c r="AO54" s="286"/>
      <c r="AP54" s="286"/>
      <c r="AQ54" s="286"/>
      <c r="AR54" s="286"/>
      <c r="AS54" s="286"/>
      <c r="AT54" s="286"/>
      <c r="AU54" s="286"/>
      <c r="AV54" s="284"/>
      <c r="AW54" s="284"/>
      <c r="AX54" s="284"/>
      <c r="AY54" s="284"/>
      <c r="AZ54" s="284"/>
      <c r="BA54" s="284"/>
      <c r="BB54" s="284"/>
      <c r="BC54" s="284"/>
      <c r="BD54" s="284"/>
      <c r="BE54" s="284"/>
      <c r="BF54" s="284"/>
      <c r="BG54" s="284"/>
      <c r="BH54" s="284"/>
      <c r="BI54" s="284"/>
      <c r="BJ54" s="284"/>
      <c r="BK54" s="284"/>
      <c r="BL54" s="284"/>
      <c r="BM54" s="284"/>
      <c r="BN54" s="284"/>
      <c r="BO54" s="284"/>
      <c r="BP54" s="284"/>
      <c r="BQ54" s="284"/>
      <c r="BR54" s="284"/>
      <c r="BS54" s="284"/>
      <c r="BT54" s="284"/>
      <c r="BU54" s="284"/>
      <c r="BV54" s="284"/>
      <c r="BW54" s="284"/>
      <c r="BX54" s="284"/>
      <c r="BY54" s="284"/>
      <c r="BZ54" s="285"/>
      <c r="CA54" s="298">
        <f>SUM(C54,E54,G54,I54,K54,M54,O54,Q54,S54,U54,W54,Y54,AA54,AC54,AE54,AG54,AI54,AK54,AM54,AO54,AQ54,AS54,AU54,AW54,AY54,BA54,BC54,BE54,BG54,BI54,BK54,BM54,BO54,BQ54,BS54,BU54,BW54,BY54)</f>
        <v>0</v>
      </c>
      <c r="CB54" s="298">
        <f>SUM(D54,F54,H54,J54,L54,N54,P54,R54,T54,V54,X54,Z54,AB54,AD54,AF54,AH54,AJ54,AL54,AN54,AP54,AR54,AT54,AV54,AX54,AZ54,BB54,BD54,BF54,BH54,BJ54,BL54,BN54,BP54,BR54,BT54,BV54,BX54,BZ54)</f>
        <v>1</v>
      </c>
      <c r="CC54" s="299">
        <f>SUM(Table13[[#This Row],[GOALS 1]:[ASSISTS 38]])</f>
        <v>1</v>
      </c>
    </row>
    <row r="55" spans="1:81">
      <c r="A55" s="291" t="s">
        <v>1550</v>
      </c>
      <c r="B55" s="291" t="s">
        <v>43</v>
      </c>
      <c r="C55" s="286"/>
      <c r="D55" s="286">
        <v>1</v>
      </c>
      <c r="E55" s="288"/>
      <c r="F55" s="286"/>
      <c r="G55" s="288"/>
      <c r="H55" s="286"/>
      <c r="I55" s="288"/>
      <c r="J55" s="286"/>
      <c r="K55" s="288"/>
      <c r="L55" s="286"/>
      <c r="M55" s="288"/>
      <c r="N55" s="286"/>
      <c r="O55" s="288"/>
      <c r="P55" s="286"/>
      <c r="Q55" s="288"/>
      <c r="R55" s="286"/>
      <c r="S55" s="288"/>
      <c r="T55" s="286"/>
      <c r="U55" s="288"/>
      <c r="V55" s="286"/>
      <c r="W55" s="288"/>
      <c r="X55" s="286"/>
      <c r="Y55" s="288"/>
      <c r="Z55" s="286"/>
      <c r="AA55" s="288"/>
      <c r="AB55" s="286"/>
      <c r="AC55" s="288"/>
      <c r="AD55" s="286"/>
      <c r="AE55" s="288"/>
      <c r="AF55" s="286"/>
      <c r="AG55" s="288"/>
      <c r="AH55" s="286"/>
      <c r="AI55" s="288"/>
      <c r="AJ55" s="286"/>
      <c r="AK55" s="286"/>
      <c r="AL55" s="286"/>
      <c r="AM55" s="286"/>
      <c r="AN55" s="286"/>
      <c r="AO55" s="286"/>
      <c r="AP55" s="286"/>
      <c r="AQ55" s="286"/>
      <c r="AR55" s="286"/>
      <c r="AS55" s="286"/>
      <c r="AT55" s="286"/>
      <c r="AU55" s="286"/>
      <c r="AV55" s="284"/>
      <c r="AW55" s="284"/>
      <c r="AX55" s="284"/>
      <c r="AY55" s="284"/>
      <c r="AZ55" s="284"/>
      <c r="BA55" s="284"/>
      <c r="BB55" s="284"/>
      <c r="BC55" s="284"/>
      <c r="BD55" s="284"/>
      <c r="BE55" s="284"/>
      <c r="BF55" s="284"/>
      <c r="BG55" s="284"/>
      <c r="BH55" s="284"/>
      <c r="BI55" s="284"/>
      <c r="BJ55" s="284"/>
      <c r="BK55" s="284"/>
      <c r="BL55" s="284"/>
      <c r="BM55" s="284"/>
      <c r="BN55" s="284"/>
      <c r="BO55" s="284"/>
      <c r="BP55" s="284"/>
      <c r="BQ55" s="284"/>
      <c r="BR55" s="284"/>
      <c r="BS55" s="284"/>
      <c r="BT55" s="284"/>
      <c r="BU55" s="284"/>
      <c r="BV55" s="284"/>
      <c r="BW55" s="284"/>
      <c r="BX55" s="284"/>
      <c r="BY55" s="284"/>
      <c r="BZ55" s="285"/>
      <c r="CA55" s="298">
        <f>SUM(C55,E55,G55,I55,K55,M55,O55,Q55,S55,U55,W55,Y55,AA55,AC55,AE55,AG55,AI55,AK55,AM55,AO55,AQ55,AS55,AU55,AW55,AY55,BA55,BC55,BE55,BG55,BI55,BK55,BM55,BO55,BQ55,BS55,BU55,BW55,BY55)</f>
        <v>0</v>
      </c>
      <c r="CB55" s="298">
        <f>SUM(D55,F55,H55,J55,L55,N55,P55,R55,T55,V55,X55,Z55,AB55,AD55,AF55,AH55,AJ55,AL55,AN55,AP55,AR55,AT55,AV55,AX55,AZ55,BB55,BD55,BF55,BH55,BJ55,BL55,BN55,BP55,BR55,BT55,BV55,BX55,BZ55)</f>
        <v>1</v>
      </c>
      <c r="CC55" s="299">
        <f>SUM(Table13[[#This Row],[GOALS 1]:[ASSISTS 38]])</f>
        <v>1</v>
      </c>
    </row>
    <row r="56" spans="1:81">
      <c r="A56" s="291" t="s">
        <v>1621</v>
      </c>
      <c r="B56" s="291" t="s">
        <v>27</v>
      </c>
      <c r="C56" s="286"/>
      <c r="D56" s="286"/>
      <c r="E56" s="289"/>
      <c r="F56" s="286">
        <v>1</v>
      </c>
      <c r="G56" s="288"/>
      <c r="H56" s="286"/>
      <c r="I56" s="288"/>
      <c r="J56" s="286"/>
      <c r="K56" s="288"/>
      <c r="L56" s="286"/>
      <c r="M56" s="288"/>
      <c r="N56" s="286"/>
      <c r="O56" s="288"/>
      <c r="P56" s="286"/>
      <c r="Q56" s="288"/>
      <c r="R56" s="286"/>
      <c r="S56" s="288"/>
      <c r="T56" s="286"/>
      <c r="U56" s="288"/>
      <c r="V56" s="286"/>
      <c r="W56" s="288"/>
      <c r="X56" s="286"/>
      <c r="Y56" s="288"/>
      <c r="Z56" s="286"/>
      <c r="AA56" s="288"/>
      <c r="AB56" s="286"/>
      <c r="AC56" s="288"/>
      <c r="AD56" s="286"/>
      <c r="AE56" s="288"/>
      <c r="AF56" s="286"/>
      <c r="AG56" s="288"/>
      <c r="AH56" s="286"/>
      <c r="AI56" s="288"/>
      <c r="AJ56" s="286"/>
      <c r="AK56" s="286"/>
      <c r="AL56" s="286"/>
      <c r="AM56" s="286"/>
      <c r="AN56" s="286"/>
      <c r="AO56" s="286"/>
      <c r="AP56" s="286"/>
      <c r="AQ56" s="286"/>
      <c r="AR56" s="286"/>
      <c r="AS56" s="286"/>
      <c r="AT56" s="286"/>
      <c r="AU56" s="286"/>
      <c r="AV56" s="284"/>
      <c r="AW56" s="284"/>
      <c r="AX56" s="284"/>
      <c r="AY56" s="284"/>
      <c r="AZ56" s="284"/>
      <c r="BA56" s="284"/>
      <c r="BB56" s="284"/>
      <c r="BC56" s="284"/>
      <c r="BD56" s="284"/>
      <c r="BE56" s="284"/>
      <c r="BF56" s="284"/>
      <c r="BG56" s="284"/>
      <c r="BH56" s="284"/>
      <c r="BI56" s="284"/>
      <c r="BJ56" s="284"/>
      <c r="BK56" s="284"/>
      <c r="BL56" s="284"/>
      <c r="BM56" s="284"/>
      <c r="BN56" s="284"/>
      <c r="BO56" s="284"/>
      <c r="BP56" s="284"/>
      <c r="BQ56" s="284"/>
      <c r="BR56" s="284"/>
      <c r="BS56" s="284"/>
      <c r="BT56" s="284"/>
      <c r="BU56" s="284"/>
      <c r="BV56" s="284"/>
      <c r="BW56" s="284"/>
      <c r="BX56" s="284"/>
      <c r="BY56" s="284"/>
      <c r="BZ56" s="285"/>
      <c r="CA56" s="298">
        <f>SUM(C56,E56,G56,I56,K56,M56,O56,Q56,S56,U56,W56,Y56,AA56,AC56,AE56,AG56,AI56,AK56,AM56,AO56,AQ56,AS56,AU56,AW56,AY56,BA56,BC56,BE56,BG56,BI56,BK56,BM56,BO56,BQ56,BS56,BU56,BW56,BY56)</f>
        <v>0</v>
      </c>
      <c r="CB56" s="298">
        <f>SUM(D56,F56,H56,J56,L56,N56,P56,R56,T56,V56,X56,Z56,AB56,AD56,AF56,AH56,AJ56,AL56,AN56,AP56,AR56,AT56,AV56,AX56,AZ56,BB56,BD56,BF56,BH56,BJ56,BL56,BN56,BP56,BR56,BT56,BV56,BX56,BZ56)</f>
        <v>1</v>
      </c>
      <c r="CC56" s="299">
        <f>SUM(Table13[[#This Row],[GOALS 1]:[ASSISTS 38]])</f>
        <v>1</v>
      </c>
    </row>
    <row r="57" spans="1:81">
      <c r="A57" s="291" t="s">
        <v>1391</v>
      </c>
      <c r="B57" s="291" t="s">
        <v>52</v>
      </c>
      <c r="C57" s="289"/>
      <c r="D57" s="286">
        <v>1</v>
      </c>
      <c r="E57" s="288"/>
      <c r="F57" s="286"/>
      <c r="G57" s="288"/>
      <c r="H57" s="286"/>
      <c r="I57" s="288"/>
      <c r="J57" s="286"/>
      <c r="K57" s="288"/>
      <c r="L57" s="286"/>
      <c r="M57" s="288"/>
      <c r="N57" s="286"/>
      <c r="O57" s="288"/>
      <c r="P57" s="286"/>
      <c r="Q57" s="288"/>
      <c r="R57" s="286"/>
      <c r="S57" s="288"/>
      <c r="T57" s="286"/>
      <c r="U57" s="288"/>
      <c r="V57" s="286"/>
      <c r="W57" s="288"/>
      <c r="X57" s="286"/>
      <c r="Y57" s="288"/>
      <c r="Z57" s="286"/>
      <c r="AA57" s="288"/>
      <c r="AB57" s="286"/>
      <c r="AC57" s="288"/>
      <c r="AD57" s="286"/>
      <c r="AE57" s="288"/>
      <c r="AF57" s="286"/>
      <c r="AG57" s="288"/>
      <c r="AH57" s="286"/>
      <c r="AI57" s="288"/>
      <c r="AJ57" s="286"/>
      <c r="AK57" s="286"/>
      <c r="AL57" s="286"/>
      <c r="AM57" s="286"/>
      <c r="AN57" s="286"/>
      <c r="AO57" s="286"/>
      <c r="AP57" s="286"/>
      <c r="AQ57" s="286"/>
      <c r="AR57" s="286"/>
      <c r="AS57" s="286"/>
      <c r="AT57" s="286"/>
      <c r="AU57" s="286"/>
      <c r="AV57" s="284"/>
      <c r="AW57" s="284"/>
      <c r="AX57" s="284"/>
      <c r="AY57" s="284"/>
      <c r="AZ57" s="284"/>
      <c r="BA57" s="284"/>
      <c r="BB57" s="284"/>
      <c r="BC57" s="284"/>
      <c r="BD57" s="284"/>
      <c r="BE57" s="284"/>
      <c r="BF57" s="284"/>
      <c r="BG57" s="284"/>
      <c r="BH57" s="284"/>
      <c r="BI57" s="284"/>
      <c r="BJ57" s="284"/>
      <c r="BK57" s="284"/>
      <c r="BL57" s="284"/>
      <c r="BM57" s="284"/>
      <c r="BN57" s="284"/>
      <c r="BO57" s="284"/>
      <c r="BP57" s="284"/>
      <c r="BQ57" s="284"/>
      <c r="BR57" s="284"/>
      <c r="BS57" s="284"/>
      <c r="BT57" s="284"/>
      <c r="BU57" s="284"/>
      <c r="BV57" s="284"/>
      <c r="BW57" s="284"/>
      <c r="BX57" s="284"/>
      <c r="BY57" s="284"/>
      <c r="BZ57" s="285"/>
      <c r="CA57" s="298">
        <f>SUM(C57,E57,G57,I57,K57,M57,O57,Q57,S57,U57,W57,Y57,AA57,AC57,AE57,AG57,AI57,AK57,AM57,AO57,AQ57,AS57,AU57,AW57,AY57,BA57,BC57,BE57,BG57,BI57,BK57,BM57,BO57,BQ57,BS57,BU57,BW57,BY57)</f>
        <v>0</v>
      </c>
      <c r="CB57" s="298">
        <f>SUM(D57,F57,H57,J57,L57,N57,P57,R57,T57,V57,X57,Z57,AB57,AD57,AF57,AH57,AJ57,AL57,AN57,AP57,AR57,AT57,AV57,AX57,AZ57,BB57,BD57,BF57,BH57,BJ57,BL57,BN57,BP57,BR57,BT57,BV57,BX57,BZ57)</f>
        <v>1</v>
      </c>
      <c r="CC57" s="299">
        <f>SUM(Table13[[#This Row],[GOALS 1]:[ASSISTS 38]])</f>
        <v>1</v>
      </c>
    </row>
    <row r="58" spans="1:81">
      <c r="A58" s="291" t="s">
        <v>1557</v>
      </c>
      <c r="B58" s="291" t="s">
        <v>21</v>
      </c>
      <c r="C58" s="289"/>
      <c r="D58" s="286">
        <v>1</v>
      </c>
      <c r="E58" s="288"/>
      <c r="F58" s="286"/>
      <c r="G58" s="288"/>
      <c r="H58" s="286"/>
      <c r="I58" s="288"/>
      <c r="J58" s="286"/>
      <c r="K58" s="288"/>
      <c r="L58" s="286"/>
      <c r="M58" s="288"/>
      <c r="N58" s="286"/>
      <c r="O58" s="288"/>
      <c r="P58" s="286"/>
      <c r="Q58" s="288"/>
      <c r="R58" s="286"/>
      <c r="S58" s="288"/>
      <c r="T58" s="286"/>
      <c r="U58" s="288"/>
      <c r="V58" s="286"/>
      <c r="W58" s="288"/>
      <c r="X58" s="286"/>
      <c r="Y58" s="288"/>
      <c r="Z58" s="286"/>
      <c r="AA58" s="288"/>
      <c r="AB58" s="286"/>
      <c r="AC58" s="288"/>
      <c r="AD58" s="286"/>
      <c r="AE58" s="288"/>
      <c r="AF58" s="286"/>
      <c r="AG58" s="288"/>
      <c r="AH58" s="286"/>
      <c r="AI58" s="288"/>
      <c r="AJ58" s="286"/>
      <c r="AK58" s="286"/>
      <c r="AL58" s="286"/>
      <c r="AM58" s="286"/>
      <c r="AN58" s="286"/>
      <c r="AO58" s="286"/>
      <c r="AP58" s="286"/>
      <c r="AQ58" s="286"/>
      <c r="AR58" s="286"/>
      <c r="AS58" s="286"/>
      <c r="AT58" s="286"/>
      <c r="AU58" s="286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5"/>
      <c r="CA58" s="298">
        <f>SUM(C58,E58,G58,I58,K58,M58,O58,Q58,S58,U58,W58,Y58,AA58,AC58,AE58,AG58,AI58,AK58,AM58,AO58,AQ58,AS58,AU58,AW58,AY58,BA58,BC58,BE58,BG58,BI58,BK58,BM58,BO58,BQ58,BS58,BU58,BW58,BY58)</f>
        <v>0</v>
      </c>
      <c r="CB58" s="298">
        <f>SUM(D58,F58,H58,J58,L58,N58,P58,R58,T58,V58,X58,Z58,AB58,AD58,AF58,AH58,AJ58,AL58,AN58,AP58,AR58,AT58,AV58,AX58,AZ58,BB58,BD58,BF58,BH58,BJ58,BL58,BN58,BP58,BR58,BT58,BV58,BX58,BZ58)</f>
        <v>1</v>
      </c>
      <c r="CC58" s="299">
        <f>SUM(Table13[[#This Row],[GOALS 1]:[ASSISTS 38]])</f>
        <v>1</v>
      </c>
    </row>
    <row r="59" spans="1:81">
      <c r="A59" s="291" t="s">
        <v>1326</v>
      </c>
      <c r="B59" s="291" t="s">
        <v>18</v>
      </c>
      <c r="C59" s="286"/>
      <c r="D59" s="286"/>
      <c r="E59" s="288"/>
      <c r="F59" s="286">
        <v>1</v>
      </c>
      <c r="G59" s="288"/>
      <c r="H59" s="286"/>
      <c r="I59" s="288"/>
      <c r="J59" s="286"/>
      <c r="K59" s="288"/>
      <c r="L59" s="286"/>
      <c r="M59" s="288"/>
      <c r="N59" s="286"/>
      <c r="O59" s="288"/>
      <c r="P59" s="286"/>
      <c r="Q59" s="288"/>
      <c r="R59" s="286"/>
      <c r="S59" s="288"/>
      <c r="T59" s="286"/>
      <c r="U59" s="288"/>
      <c r="V59" s="286"/>
      <c r="W59" s="288"/>
      <c r="X59" s="286"/>
      <c r="Y59" s="288"/>
      <c r="Z59" s="286"/>
      <c r="AA59" s="288"/>
      <c r="AB59" s="286"/>
      <c r="AC59" s="288"/>
      <c r="AD59" s="286"/>
      <c r="AE59" s="288"/>
      <c r="AF59" s="286"/>
      <c r="AG59" s="288"/>
      <c r="AH59" s="286"/>
      <c r="AI59" s="288"/>
      <c r="AJ59" s="286"/>
      <c r="AK59" s="286"/>
      <c r="AL59" s="286"/>
      <c r="AM59" s="286"/>
      <c r="AN59" s="286"/>
      <c r="AO59" s="286"/>
      <c r="AP59" s="286"/>
      <c r="AQ59" s="286"/>
      <c r="AR59" s="286"/>
      <c r="AS59" s="286"/>
      <c r="AT59" s="286"/>
      <c r="AU59" s="286"/>
      <c r="AV59" s="284"/>
      <c r="AW59" s="284"/>
      <c r="AX59" s="284"/>
      <c r="AY59" s="284"/>
      <c r="AZ59" s="284"/>
      <c r="BA59" s="284"/>
      <c r="BB59" s="284"/>
      <c r="BC59" s="284"/>
      <c r="BD59" s="284"/>
      <c r="BE59" s="284"/>
      <c r="BF59" s="284"/>
      <c r="BG59" s="284"/>
      <c r="BH59" s="284"/>
      <c r="BI59" s="284"/>
      <c r="BJ59" s="284"/>
      <c r="BK59" s="284"/>
      <c r="BL59" s="284"/>
      <c r="BM59" s="284"/>
      <c r="BN59" s="284"/>
      <c r="BO59" s="284"/>
      <c r="BP59" s="284"/>
      <c r="BQ59" s="284"/>
      <c r="BR59" s="284"/>
      <c r="BS59" s="284"/>
      <c r="BT59" s="284"/>
      <c r="BU59" s="284"/>
      <c r="BV59" s="284"/>
      <c r="BW59" s="284"/>
      <c r="BX59" s="284"/>
      <c r="BY59" s="284"/>
      <c r="BZ59" s="285"/>
      <c r="CA59" s="298">
        <f>SUM(C59,E59,G59,I59,K59,M59,O59,Q59,S59,U59,W59,Y59,AA59,AC59,AE59,AG59,AI59,AK59,AM59,AO59,AQ59,AS59,AU59,AW59,AY59,BA59,BC59,BE59,BG59,BI59,BK59,BM59,BO59,BQ59,BS59,BU59,BW59,BY59)</f>
        <v>0</v>
      </c>
      <c r="CB59" s="298">
        <f>SUM(D59,F59,H59,J59,L59,N59,P59,R59,T59,V59,X59,Z59,AB59,AD59,AF59,AH59,AJ59,AL59,AN59,AP59,AR59,AT59,AV59,AX59,AZ59,BB59,BD59,BF59,BH59,BJ59,BL59,BN59,BP59,BR59,BT59,BV59,BX59,BZ59)</f>
        <v>1</v>
      </c>
      <c r="CC59" s="299">
        <f>SUM(Table13[[#This Row],[GOALS 1]:[ASSISTS 38]])</f>
        <v>1</v>
      </c>
    </row>
    <row r="60" spans="1:81">
      <c r="A60" s="291" t="s">
        <v>1677</v>
      </c>
      <c r="B60" s="291" t="s">
        <v>43</v>
      </c>
      <c r="C60" s="286"/>
      <c r="D60" s="286">
        <v>1</v>
      </c>
      <c r="E60" s="288"/>
      <c r="F60" s="286"/>
      <c r="G60" s="288"/>
      <c r="H60" s="286"/>
      <c r="I60" s="288"/>
      <c r="J60" s="286"/>
      <c r="K60" s="288"/>
      <c r="L60" s="286"/>
      <c r="M60" s="288"/>
      <c r="N60" s="286"/>
      <c r="O60" s="288"/>
      <c r="P60" s="286"/>
      <c r="Q60" s="288"/>
      <c r="R60" s="286"/>
      <c r="S60" s="288"/>
      <c r="T60" s="286"/>
      <c r="U60" s="288"/>
      <c r="V60" s="286"/>
      <c r="W60" s="288"/>
      <c r="X60" s="286"/>
      <c r="Y60" s="288"/>
      <c r="Z60" s="286"/>
      <c r="AA60" s="288"/>
      <c r="AB60" s="286"/>
      <c r="AC60" s="288"/>
      <c r="AD60" s="286"/>
      <c r="AE60" s="288"/>
      <c r="AF60" s="286"/>
      <c r="AG60" s="288"/>
      <c r="AH60" s="286"/>
      <c r="AI60" s="288"/>
      <c r="AJ60" s="286"/>
      <c r="AK60" s="286"/>
      <c r="AL60" s="286"/>
      <c r="AM60" s="286"/>
      <c r="AN60" s="286"/>
      <c r="AO60" s="286"/>
      <c r="AP60" s="286"/>
      <c r="AQ60" s="286"/>
      <c r="AR60" s="286"/>
      <c r="AS60" s="286"/>
      <c r="AT60" s="286"/>
      <c r="AU60" s="286"/>
      <c r="AV60" s="284"/>
      <c r="AW60" s="284"/>
      <c r="AX60" s="284"/>
      <c r="AY60" s="284"/>
      <c r="AZ60" s="284"/>
      <c r="BA60" s="284"/>
      <c r="BB60" s="284"/>
      <c r="BC60" s="284"/>
      <c r="BD60" s="284"/>
      <c r="BE60" s="284"/>
      <c r="BF60" s="284"/>
      <c r="BG60" s="284"/>
      <c r="BH60" s="284"/>
      <c r="BI60" s="284"/>
      <c r="BJ60" s="284"/>
      <c r="BK60" s="284"/>
      <c r="BL60" s="284"/>
      <c r="BM60" s="284"/>
      <c r="BN60" s="284"/>
      <c r="BO60" s="284"/>
      <c r="BP60" s="284"/>
      <c r="BQ60" s="284"/>
      <c r="BR60" s="284"/>
      <c r="BS60" s="284"/>
      <c r="BT60" s="284"/>
      <c r="BU60" s="284"/>
      <c r="BV60" s="284"/>
      <c r="BW60" s="284"/>
      <c r="BX60" s="284"/>
      <c r="BY60" s="284"/>
      <c r="BZ60" s="285"/>
      <c r="CA60" s="298">
        <f>SUM(C60,E60,G60,I60,K60,M60,O60,Q60,S60,U60,W60,Y60,AA60,AC60,AE60,AG60,AI60,AK60,AM60,AO60,AQ60,AS60,AU60,AW60,AY60,BA60,BC60,BE60,BG60,BI60,BK60,BM60,BO60,BQ60,BS60,BU60,BW60,BY60)</f>
        <v>0</v>
      </c>
      <c r="CB60" s="298">
        <f>SUM(D60,F60,H60,J60,L60,N60,P60,R60,T60,V60,X60,Z60,AB60,AD60,AF60,AH60,AJ60,AL60,AN60,AP60,AR60,AT60,AV60,AX60,AZ60,BB60,BD60,BF60,BH60,BJ60,BL60,BN60,BP60,BR60,BT60,BV60,BX60,BZ60)</f>
        <v>1</v>
      </c>
      <c r="CC60" s="299">
        <f>SUM(Table13[[#This Row],[GOALS 1]:[ASSISTS 38]])</f>
        <v>1</v>
      </c>
    </row>
    <row r="61" spans="1:81">
      <c r="A61" s="291" t="s">
        <v>1409</v>
      </c>
      <c r="B61" s="291" t="s">
        <v>23</v>
      </c>
      <c r="C61" s="289"/>
      <c r="D61" s="286">
        <v>1</v>
      </c>
      <c r="E61" s="288"/>
      <c r="F61" s="286"/>
      <c r="G61" s="288"/>
      <c r="H61" s="286"/>
      <c r="I61" s="288"/>
      <c r="J61" s="286"/>
      <c r="K61" s="288"/>
      <c r="L61" s="286"/>
      <c r="M61" s="288"/>
      <c r="N61" s="286"/>
      <c r="O61" s="288"/>
      <c r="P61" s="286"/>
      <c r="Q61" s="288"/>
      <c r="R61" s="286"/>
      <c r="S61" s="288"/>
      <c r="T61" s="286"/>
      <c r="U61" s="288"/>
      <c r="V61" s="286"/>
      <c r="W61" s="288"/>
      <c r="X61" s="286"/>
      <c r="Y61" s="288"/>
      <c r="Z61" s="286"/>
      <c r="AA61" s="288"/>
      <c r="AB61" s="286"/>
      <c r="AC61" s="288"/>
      <c r="AD61" s="286"/>
      <c r="AE61" s="288"/>
      <c r="AF61" s="286"/>
      <c r="AG61" s="288"/>
      <c r="AH61" s="286"/>
      <c r="AI61" s="288"/>
      <c r="AJ61" s="286"/>
      <c r="AK61" s="286"/>
      <c r="AL61" s="286"/>
      <c r="AM61" s="286"/>
      <c r="AN61" s="286"/>
      <c r="AO61" s="286"/>
      <c r="AP61" s="286"/>
      <c r="AQ61" s="286"/>
      <c r="AR61" s="286"/>
      <c r="AS61" s="286"/>
      <c r="AT61" s="286"/>
      <c r="AU61" s="286"/>
      <c r="AV61" s="284"/>
      <c r="AW61" s="284"/>
      <c r="AX61" s="284"/>
      <c r="AY61" s="284"/>
      <c r="AZ61" s="284"/>
      <c r="BA61" s="284"/>
      <c r="BB61" s="284"/>
      <c r="BC61" s="284"/>
      <c r="BD61" s="284"/>
      <c r="BE61" s="284"/>
      <c r="BF61" s="284"/>
      <c r="BG61" s="284"/>
      <c r="BH61" s="284"/>
      <c r="BI61" s="284"/>
      <c r="BJ61" s="284"/>
      <c r="BK61" s="284"/>
      <c r="BL61" s="284"/>
      <c r="BM61" s="284"/>
      <c r="BN61" s="284"/>
      <c r="BO61" s="284"/>
      <c r="BP61" s="284"/>
      <c r="BQ61" s="284"/>
      <c r="BR61" s="284"/>
      <c r="BS61" s="284"/>
      <c r="BT61" s="284"/>
      <c r="BU61" s="284"/>
      <c r="BV61" s="284"/>
      <c r="BW61" s="284"/>
      <c r="BX61" s="284"/>
      <c r="BY61" s="284"/>
      <c r="BZ61" s="285"/>
      <c r="CA61" s="298">
        <f>SUM(C61,E61,G61,I61,K61,M61,O61,Q61,S61,U61,W61,Y61,AA61,AC61,AE61,AG61,AI61,AK61,AM61,AO61,AQ61,AS61,AU61,AW61,AY61,BA61,BC61,BE61,BG61,BI61,BK61,BM61,BO61,BQ61,BS61,BU61,BW61,BY61)</f>
        <v>0</v>
      </c>
      <c r="CB61" s="298">
        <f>SUM(D61,F61,H61,J61,L61,N61,P61,R61,T61,V61,X61,Z61,AB61,AD61,AF61,AH61,AJ61,AL61,AN61,AP61,AR61,AT61,AV61,AX61,AZ61,BB61,BD61,BF61,BH61,BJ61,BL61,BN61,BP61,BR61,BT61,BV61,BX61,BZ61)</f>
        <v>1</v>
      </c>
      <c r="CC61" s="299">
        <f>SUM(Table13[[#This Row],[GOALS 1]:[ASSISTS 38]])</f>
        <v>1</v>
      </c>
    </row>
    <row r="62" spans="1:81">
      <c r="A62" s="291" t="s">
        <v>1638</v>
      </c>
      <c r="B62" s="291" t="s">
        <v>30</v>
      </c>
      <c r="C62" s="286"/>
      <c r="D62" s="286"/>
      <c r="E62" s="288"/>
      <c r="F62" s="286">
        <v>1</v>
      </c>
      <c r="G62" s="288"/>
      <c r="H62" s="286"/>
      <c r="I62" s="288"/>
      <c r="J62" s="286"/>
      <c r="K62" s="288"/>
      <c r="L62" s="286"/>
      <c r="M62" s="288"/>
      <c r="N62" s="286"/>
      <c r="O62" s="288"/>
      <c r="P62" s="286"/>
      <c r="Q62" s="288"/>
      <c r="R62" s="286"/>
      <c r="S62" s="288"/>
      <c r="T62" s="286"/>
      <c r="U62" s="288"/>
      <c r="V62" s="286"/>
      <c r="W62" s="288"/>
      <c r="X62" s="286"/>
      <c r="Y62" s="288"/>
      <c r="Z62" s="286"/>
      <c r="AA62" s="288"/>
      <c r="AB62" s="286"/>
      <c r="AC62" s="288"/>
      <c r="AD62" s="286"/>
      <c r="AE62" s="288"/>
      <c r="AF62" s="286"/>
      <c r="AG62" s="288"/>
      <c r="AH62" s="286"/>
      <c r="AI62" s="288"/>
      <c r="AJ62" s="286"/>
      <c r="AK62" s="286"/>
      <c r="AL62" s="286"/>
      <c r="AM62" s="286"/>
      <c r="AN62" s="286"/>
      <c r="AO62" s="286"/>
      <c r="AP62" s="286"/>
      <c r="AQ62" s="286"/>
      <c r="AR62" s="286"/>
      <c r="AS62" s="286"/>
      <c r="AT62" s="286"/>
      <c r="AU62" s="286"/>
      <c r="AV62" s="284"/>
      <c r="AW62" s="284"/>
      <c r="AX62" s="284"/>
      <c r="AY62" s="284"/>
      <c r="AZ62" s="284"/>
      <c r="BA62" s="284"/>
      <c r="BB62" s="284"/>
      <c r="BC62" s="284"/>
      <c r="BD62" s="284"/>
      <c r="BE62" s="284"/>
      <c r="BF62" s="284"/>
      <c r="BG62" s="284"/>
      <c r="BH62" s="284"/>
      <c r="BI62" s="284"/>
      <c r="BJ62" s="284"/>
      <c r="BK62" s="284"/>
      <c r="BL62" s="284"/>
      <c r="BM62" s="284"/>
      <c r="BN62" s="284"/>
      <c r="BO62" s="284"/>
      <c r="BP62" s="284"/>
      <c r="BQ62" s="284"/>
      <c r="BR62" s="284"/>
      <c r="BS62" s="284"/>
      <c r="BT62" s="284"/>
      <c r="BU62" s="284"/>
      <c r="BV62" s="284"/>
      <c r="BW62" s="284"/>
      <c r="BX62" s="284"/>
      <c r="BY62" s="284"/>
      <c r="BZ62" s="285"/>
      <c r="CA62" s="298">
        <f>SUM(C62,E62,G62,I62,K62,M62,O62,Q62,S62,U62,W62,Y62,AA62,AC62,AE62,AG62,AI62,AK62,AM62,AO62,AQ62,AS62,AU62,AW62,AY62,BA62,BC62,BE62,BG62,BI62,BK62,BM62,BO62,BQ62,BS62,BU62,BW62,BY62)</f>
        <v>0</v>
      </c>
      <c r="CB62" s="298">
        <f>SUM(D62,F62,H62,J62,L62,N62,P62,R62,T62,V62,X62,Z62,AB62,AD62,AF62,AH62,AJ62,AL62,AN62,AP62,AR62,AT62,AV62,AX62,AZ62,BB62,BD62,BF62,BH62,BJ62,BL62,BN62,BP62,BR62,BT62,BV62,BX62,BZ62)</f>
        <v>1</v>
      </c>
      <c r="CC62" s="299">
        <f>SUM(Table13[[#This Row],[GOALS 1]:[ASSISTS 38]])</f>
        <v>1</v>
      </c>
    </row>
    <row r="63" spans="1:81">
      <c r="A63" s="291" t="s">
        <v>1350</v>
      </c>
      <c r="B63" s="291" t="s">
        <v>18</v>
      </c>
      <c r="C63" s="286"/>
      <c r="D63" s="286"/>
      <c r="E63" s="288"/>
      <c r="F63" s="286">
        <v>1</v>
      </c>
      <c r="G63" s="288"/>
      <c r="H63" s="286"/>
      <c r="I63" s="288"/>
      <c r="J63" s="286"/>
      <c r="K63" s="288"/>
      <c r="L63" s="286"/>
      <c r="M63" s="288"/>
      <c r="N63" s="286"/>
      <c r="O63" s="288"/>
      <c r="P63" s="286"/>
      <c r="Q63" s="288"/>
      <c r="R63" s="286"/>
      <c r="S63" s="288"/>
      <c r="T63" s="286"/>
      <c r="U63" s="288"/>
      <c r="V63" s="286"/>
      <c r="W63" s="288"/>
      <c r="X63" s="286"/>
      <c r="Y63" s="288"/>
      <c r="Z63" s="286"/>
      <c r="AA63" s="288"/>
      <c r="AB63" s="286"/>
      <c r="AC63" s="288"/>
      <c r="AD63" s="286"/>
      <c r="AE63" s="288"/>
      <c r="AF63" s="286"/>
      <c r="AG63" s="288"/>
      <c r="AH63" s="286"/>
      <c r="AI63" s="288"/>
      <c r="AJ63" s="286"/>
      <c r="AK63" s="286"/>
      <c r="AL63" s="286"/>
      <c r="AM63" s="286"/>
      <c r="AN63" s="286"/>
      <c r="AO63" s="286"/>
      <c r="AP63" s="286"/>
      <c r="AQ63" s="286"/>
      <c r="AR63" s="286"/>
      <c r="AS63" s="286"/>
      <c r="AT63" s="286"/>
      <c r="AU63" s="286"/>
      <c r="AV63" s="284"/>
      <c r="AW63" s="284"/>
      <c r="AX63" s="284"/>
      <c r="AY63" s="284"/>
      <c r="AZ63" s="284"/>
      <c r="BA63" s="284"/>
      <c r="BB63" s="284"/>
      <c r="BC63" s="284"/>
      <c r="BD63" s="284"/>
      <c r="BE63" s="284"/>
      <c r="BF63" s="284"/>
      <c r="BG63" s="284"/>
      <c r="BH63" s="284"/>
      <c r="BI63" s="284"/>
      <c r="BJ63" s="284"/>
      <c r="BK63" s="284"/>
      <c r="BL63" s="284"/>
      <c r="BM63" s="284"/>
      <c r="BN63" s="284"/>
      <c r="BO63" s="284"/>
      <c r="BP63" s="284"/>
      <c r="BQ63" s="284"/>
      <c r="BR63" s="284"/>
      <c r="BS63" s="284"/>
      <c r="BT63" s="284"/>
      <c r="BU63" s="284"/>
      <c r="BV63" s="284"/>
      <c r="BW63" s="284"/>
      <c r="BX63" s="284"/>
      <c r="BY63" s="284"/>
      <c r="BZ63" s="285"/>
      <c r="CA63" s="298">
        <f>SUM(C63,E63,G63,I63,K63,M63,O63,Q63,S63,U63,W63,Y63,AA63,AC63,AE63,AG63,AI63,AK63,AM63,AO63,AQ63,AS63,AU63,AW63,AY63,BA63,BC63,BE63,BG63,BI63,BK63,BM63,BO63,BQ63,BS63,BU63,BW63,BY63)</f>
        <v>0</v>
      </c>
      <c r="CB63" s="298">
        <f>SUM(D63,F63,H63,J63,L63,N63,P63,R63,T63,V63,X63,Z63,AB63,AD63,AF63,AH63,AJ63,AL63,AN63,AP63,AR63,AT63,AV63,AX63,AZ63,BB63,BD63,BF63,BH63,BJ63,BL63,BN63,BP63,BR63,BT63,BV63,BX63,BZ63)</f>
        <v>1</v>
      </c>
      <c r="CC63" s="299">
        <f>SUM(Table13[[#This Row],[GOALS 1]:[ASSISTS 38]])</f>
        <v>1</v>
      </c>
    </row>
    <row r="64" spans="1:81">
      <c r="A64" s="274" t="s">
        <v>2099</v>
      </c>
      <c r="B64" s="301" t="s">
        <v>20</v>
      </c>
      <c r="C64" s="286"/>
      <c r="D64" s="286"/>
      <c r="E64" s="286"/>
      <c r="F64" s="286">
        <v>1</v>
      </c>
      <c r="G64" s="286"/>
      <c r="H64" s="286"/>
      <c r="I64" s="286"/>
      <c r="J64" s="286"/>
      <c r="K64" s="286"/>
      <c r="L64" s="286"/>
      <c r="M64" s="286"/>
      <c r="N64" s="286"/>
      <c r="O64" s="286"/>
      <c r="P64" s="286"/>
      <c r="Q64" s="286"/>
      <c r="R64" s="286"/>
      <c r="S64" s="286"/>
      <c r="T64" s="286"/>
      <c r="U64" s="286"/>
      <c r="V64" s="286"/>
      <c r="W64" s="286"/>
      <c r="X64" s="286"/>
      <c r="Y64" s="286"/>
      <c r="Z64" s="286"/>
      <c r="AA64" s="286"/>
      <c r="AB64" s="286"/>
      <c r="AC64" s="286"/>
      <c r="AD64" s="286"/>
      <c r="AE64" s="286"/>
      <c r="AF64" s="286"/>
      <c r="AG64" s="286"/>
      <c r="AH64" s="286"/>
      <c r="AI64" s="286"/>
      <c r="AJ64" s="286"/>
      <c r="AK64" s="286"/>
      <c r="AL64" s="286"/>
      <c r="AM64" s="286"/>
      <c r="AN64" s="286"/>
      <c r="AO64" s="286"/>
      <c r="AP64" s="286"/>
      <c r="AQ64" s="286"/>
      <c r="AR64" s="286"/>
      <c r="AS64" s="286"/>
      <c r="AT64" s="286"/>
      <c r="AU64" s="286"/>
      <c r="AV64" s="284"/>
      <c r="AW64" s="284"/>
      <c r="AX64" s="284"/>
      <c r="AY64" s="284"/>
      <c r="AZ64" s="284"/>
      <c r="BA64" s="284"/>
      <c r="BB64" s="284"/>
      <c r="BC64" s="284"/>
      <c r="BD64" s="284"/>
      <c r="BE64" s="284"/>
      <c r="BF64" s="284"/>
      <c r="BG64" s="284"/>
      <c r="BH64" s="284"/>
      <c r="BI64" s="284"/>
      <c r="BJ64" s="284"/>
      <c r="BK64" s="284"/>
      <c r="BL64" s="284"/>
      <c r="BM64" s="284"/>
      <c r="BN64" s="284"/>
      <c r="BO64" s="284"/>
      <c r="BP64" s="284"/>
      <c r="BQ64" s="284"/>
      <c r="BR64" s="284"/>
      <c r="BS64" s="284"/>
      <c r="BT64" s="284"/>
      <c r="BU64" s="284"/>
      <c r="BV64" s="284"/>
      <c r="BW64" s="284"/>
      <c r="BX64" s="284"/>
      <c r="BY64" s="284"/>
      <c r="BZ64" s="285"/>
      <c r="CA64" s="298">
        <f>SUM(C64,E64,G64,I64,K64,M64,O64,Q64,S64,U64,W64,Y64,AA64,AC64,AE64,AG64,AI64,AK64,AM64,AO64,AQ64,AS64,AU64,AW64,AY64,BA64,BC64,BE64,BG64,BI64,BK64,BM64,BO64,BQ64,BS64,BU64,BW64,BY64)</f>
        <v>0</v>
      </c>
      <c r="CB64" s="298">
        <f>SUM(D64,F64,H64,J64,L64,N64,P64,R64,T64,V64,X64,Z64,AB64,AD64,AF64,AH64,AJ64,AL64,AN64,AP64,AR64,AT64,AV64,AX64,AZ64,BB64,BD64,BF64,BH64,BJ64,BL64,BN64,BP64,BR64,BT64,BV64,BX64,BZ64)</f>
        <v>1</v>
      </c>
      <c r="CC64" s="299">
        <f>SUM(Table13[[#This Row],[GOALS 1]:[ASSISTS 38]])</f>
        <v>1</v>
      </c>
    </row>
    <row r="65" spans="1:81">
      <c r="A65" s="291" t="s">
        <v>1295</v>
      </c>
      <c r="B65" s="291" t="s">
        <v>52</v>
      </c>
      <c r="C65" s="289"/>
      <c r="D65" s="286">
        <v>1</v>
      </c>
      <c r="E65" s="288"/>
      <c r="F65" s="286"/>
      <c r="G65" s="288"/>
      <c r="H65" s="286"/>
      <c r="I65" s="288"/>
      <c r="J65" s="286"/>
      <c r="K65" s="288"/>
      <c r="L65" s="286"/>
      <c r="M65" s="288"/>
      <c r="N65" s="286"/>
      <c r="O65" s="288"/>
      <c r="P65" s="286"/>
      <c r="Q65" s="288"/>
      <c r="R65" s="286"/>
      <c r="S65" s="288"/>
      <c r="T65" s="286"/>
      <c r="U65" s="288"/>
      <c r="V65" s="286"/>
      <c r="W65" s="288"/>
      <c r="X65" s="286"/>
      <c r="Y65" s="288"/>
      <c r="Z65" s="286"/>
      <c r="AA65" s="288"/>
      <c r="AB65" s="286"/>
      <c r="AC65" s="288"/>
      <c r="AD65" s="286"/>
      <c r="AE65" s="288"/>
      <c r="AF65" s="286"/>
      <c r="AG65" s="288"/>
      <c r="AH65" s="286"/>
      <c r="AI65" s="288"/>
      <c r="AJ65" s="286"/>
      <c r="AK65" s="286"/>
      <c r="AL65" s="286"/>
      <c r="AM65" s="286"/>
      <c r="AN65" s="286"/>
      <c r="AO65" s="286"/>
      <c r="AP65" s="286"/>
      <c r="AQ65" s="286"/>
      <c r="AR65" s="286"/>
      <c r="AS65" s="286"/>
      <c r="AT65" s="286"/>
      <c r="AU65" s="286"/>
      <c r="AV65" s="284"/>
      <c r="AW65" s="284"/>
      <c r="AX65" s="284"/>
      <c r="AY65" s="284"/>
      <c r="AZ65" s="284"/>
      <c r="BA65" s="284"/>
      <c r="BB65" s="284"/>
      <c r="BC65" s="284"/>
      <c r="BD65" s="284"/>
      <c r="BE65" s="284"/>
      <c r="BF65" s="284"/>
      <c r="BG65" s="284"/>
      <c r="BH65" s="284"/>
      <c r="BI65" s="284"/>
      <c r="BJ65" s="284"/>
      <c r="BK65" s="284"/>
      <c r="BL65" s="284"/>
      <c r="BM65" s="284"/>
      <c r="BN65" s="284"/>
      <c r="BO65" s="284"/>
      <c r="BP65" s="284"/>
      <c r="BQ65" s="284"/>
      <c r="BR65" s="284"/>
      <c r="BS65" s="284"/>
      <c r="BT65" s="284"/>
      <c r="BU65" s="284"/>
      <c r="BV65" s="284"/>
      <c r="BW65" s="284"/>
      <c r="BX65" s="284"/>
      <c r="BY65" s="284"/>
      <c r="BZ65" s="285"/>
      <c r="CA65" s="298">
        <f>SUM(C65,E65,G65,I65,K65,M65,O65,Q65,S65,U65,W65,Y65,AA65,AC65,AE65,AG65,AI65,AK65,AM65,AO65,AQ65,AS65,AU65,AW65,AY65,BA65,BC65,BE65,BG65,BI65,BK65,BM65,BO65,BQ65,BS65,BU65,BW65,BY65)</f>
        <v>0</v>
      </c>
      <c r="CB65" s="298">
        <f>SUM(D65,F65,H65,J65,L65,N65,P65,R65,T65,V65,X65,Z65,AB65,AD65,AF65,AH65,AJ65,AL65,AN65,AP65,AR65,AT65,AV65,AX65,AZ65,BB65,BD65,BF65,BH65,BJ65,BL65,BN65,BP65,BR65,BT65,BV65,BX65,BZ65)</f>
        <v>1</v>
      </c>
      <c r="CC65" s="299">
        <f>SUM(Table13[[#This Row],[GOALS 1]:[ASSISTS 38]])</f>
        <v>1</v>
      </c>
    </row>
    <row r="66" spans="1:81">
      <c r="A66" s="291" t="s">
        <v>1485</v>
      </c>
      <c r="B66" s="291" t="s">
        <v>25</v>
      </c>
      <c r="C66" s="286"/>
      <c r="D66" s="286"/>
      <c r="E66" s="288"/>
      <c r="F66" s="286">
        <v>1</v>
      </c>
      <c r="G66" s="288"/>
      <c r="H66" s="286"/>
      <c r="I66" s="288"/>
      <c r="J66" s="286"/>
      <c r="K66" s="288"/>
      <c r="L66" s="286"/>
      <c r="M66" s="288"/>
      <c r="N66" s="286"/>
      <c r="O66" s="288"/>
      <c r="P66" s="286"/>
      <c r="Q66" s="288"/>
      <c r="R66" s="286"/>
      <c r="S66" s="288"/>
      <c r="T66" s="286"/>
      <c r="U66" s="288"/>
      <c r="V66" s="286"/>
      <c r="W66" s="288"/>
      <c r="X66" s="286"/>
      <c r="Y66" s="288"/>
      <c r="Z66" s="286"/>
      <c r="AA66" s="288"/>
      <c r="AB66" s="286"/>
      <c r="AC66" s="288"/>
      <c r="AD66" s="286"/>
      <c r="AE66" s="288"/>
      <c r="AF66" s="286"/>
      <c r="AG66" s="288"/>
      <c r="AH66" s="286"/>
      <c r="AI66" s="288"/>
      <c r="AJ66" s="286"/>
      <c r="AK66" s="286"/>
      <c r="AL66" s="286"/>
      <c r="AM66" s="286"/>
      <c r="AN66" s="286"/>
      <c r="AO66" s="286"/>
      <c r="AP66" s="286"/>
      <c r="AQ66" s="286"/>
      <c r="AR66" s="286"/>
      <c r="AS66" s="286"/>
      <c r="AT66" s="286"/>
      <c r="AU66" s="286"/>
      <c r="AV66" s="284"/>
      <c r="AW66" s="284"/>
      <c r="AX66" s="284"/>
      <c r="AY66" s="284"/>
      <c r="AZ66" s="284"/>
      <c r="BA66" s="284"/>
      <c r="BB66" s="284"/>
      <c r="BC66" s="284"/>
      <c r="BD66" s="284"/>
      <c r="BE66" s="284"/>
      <c r="BF66" s="284"/>
      <c r="BG66" s="284"/>
      <c r="BH66" s="284"/>
      <c r="BI66" s="284"/>
      <c r="BJ66" s="284"/>
      <c r="BK66" s="284"/>
      <c r="BL66" s="284"/>
      <c r="BM66" s="284"/>
      <c r="BN66" s="284"/>
      <c r="BO66" s="284"/>
      <c r="BP66" s="284"/>
      <c r="BQ66" s="284"/>
      <c r="BR66" s="284"/>
      <c r="BS66" s="284"/>
      <c r="BT66" s="284"/>
      <c r="BU66" s="284"/>
      <c r="BV66" s="284"/>
      <c r="BW66" s="284"/>
      <c r="BX66" s="284"/>
      <c r="BY66" s="284"/>
      <c r="BZ66" s="285"/>
      <c r="CA66" s="298">
        <f>SUM(C66,E66,G66,I66,K66,M66,O66,Q66,S66,U66,W66,Y66,AA66,AC66,AE66,AG66,AI66,AK66,AM66,AO66,AQ66,AS66,AU66,AW66,AY66,BA66,BC66,BE66,BG66,BI66,BK66,BM66,BO66,BQ66,BS66,BU66,BW66,BY66)</f>
        <v>0</v>
      </c>
      <c r="CB66" s="298">
        <f>SUM(D66,F66,H66,J66,L66,N66,P66,R66,T66,V66,X66,Z66,AB66,AD66,AF66,AH66,AJ66,AL66,AN66,AP66,AR66,AT66,AV66,AX66,AZ66,BB66,BD66,BF66,BH66,BJ66,BL66,BN66,BP66,BR66,BT66,BV66,BX66,BZ66)</f>
        <v>1</v>
      </c>
      <c r="CC66" s="299">
        <f>SUM(Table13[[#This Row],[GOALS 1]:[ASSISTS 38]])</f>
        <v>1</v>
      </c>
    </row>
    <row r="67" spans="1:81">
      <c r="A67" s="291" t="s">
        <v>2096</v>
      </c>
      <c r="B67" s="291" t="s">
        <v>634</v>
      </c>
      <c r="C67" s="288"/>
      <c r="D67" s="286">
        <v>1</v>
      </c>
      <c r="E67" s="288"/>
      <c r="F67" s="286"/>
      <c r="G67" s="288"/>
      <c r="H67" s="286"/>
      <c r="I67" s="288"/>
      <c r="J67" s="286"/>
      <c r="K67" s="288"/>
      <c r="L67" s="286"/>
      <c r="M67" s="288"/>
      <c r="N67" s="286"/>
      <c r="O67" s="288"/>
      <c r="P67" s="286"/>
      <c r="Q67" s="288"/>
      <c r="R67" s="286"/>
      <c r="S67" s="288"/>
      <c r="T67" s="286"/>
      <c r="U67" s="288"/>
      <c r="V67" s="286"/>
      <c r="W67" s="288"/>
      <c r="X67" s="286"/>
      <c r="Y67" s="288"/>
      <c r="Z67" s="286"/>
      <c r="AA67" s="288"/>
      <c r="AB67" s="286"/>
      <c r="AC67" s="288"/>
      <c r="AD67" s="286"/>
      <c r="AE67" s="288"/>
      <c r="AF67" s="286"/>
      <c r="AG67" s="288"/>
      <c r="AH67" s="286"/>
      <c r="AI67" s="288"/>
      <c r="AJ67" s="286"/>
      <c r="AK67" s="286"/>
      <c r="AL67" s="286"/>
      <c r="AM67" s="286"/>
      <c r="AN67" s="286"/>
      <c r="AO67" s="286"/>
      <c r="AP67" s="286"/>
      <c r="AQ67" s="286"/>
      <c r="AR67" s="286"/>
      <c r="AS67" s="286"/>
      <c r="AT67" s="286"/>
      <c r="AU67" s="286"/>
      <c r="AV67" s="284"/>
      <c r="AW67" s="284"/>
      <c r="AX67" s="284"/>
      <c r="AY67" s="284"/>
      <c r="AZ67" s="284"/>
      <c r="BA67" s="284"/>
      <c r="BB67" s="284"/>
      <c r="BC67" s="284"/>
      <c r="BD67" s="284"/>
      <c r="BE67" s="284"/>
      <c r="BF67" s="284"/>
      <c r="BG67" s="284"/>
      <c r="BH67" s="284"/>
      <c r="BI67" s="284"/>
      <c r="BJ67" s="284"/>
      <c r="BK67" s="284"/>
      <c r="BL67" s="284"/>
      <c r="BM67" s="284"/>
      <c r="BN67" s="284"/>
      <c r="BO67" s="284"/>
      <c r="BP67" s="284"/>
      <c r="BQ67" s="284"/>
      <c r="BR67" s="284"/>
      <c r="BS67" s="284"/>
      <c r="BT67" s="284"/>
      <c r="BU67" s="284"/>
      <c r="BV67" s="284"/>
      <c r="BW67" s="284"/>
      <c r="BX67" s="284"/>
      <c r="BY67" s="284"/>
      <c r="BZ67" s="285"/>
      <c r="CA67" s="298">
        <f>SUM(C67,E67,G67,I67,K67,M67,O67,Q67,S67,U67,W67,Y67,AA67,AC67,AE67,AG67,AI67,AK67,AM67,AO67,AQ67,AS67,AU67,AW67,AY67,BA67,BC67,BE67,BG67,BI67,BK67,BM67,BO67,BQ67,BS67,BU67,BW67,BY67)</f>
        <v>0</v>
      </c>
      <c r="CB67" s="298">
        <f>SUM(D67,F67,H67,J67,L67,N67,P67,R67,T67,V67,X67,Z67,AB67,AD67,AF67,AH67,AJ67,AL67,AN67,AP67,AR67,AT67,AV67,AX67,AZ67,BB67,BD67,BF67,BH67,BJ67,BL67,BN67,BP67,BR67,BT67,BV67,BX67,BZ67)</f>
        <v>1</v>
      </c>
      <c r="CC67" s="299">
        <f>SUM(Table13[[#This Row],[GOALS 1]:[ASSISTS 38]])</f>
        <v>1</v>
      </c>
    </row>
    <row r="68" spans="1:81">
      <c r="A68" s="291" t="s">
        <v>1457</v>
      </c>
      <c r="B68" s="291" t="s">
        <v>29</v>
      </c>
      <c r="C68" s="289"/>
      <c r="D68" s="286">
        <v>1</v>
      </c>
      <c r="E68" s="288"/>
      <c r="F68" s="286"/>
      <c r="G68" s="288"/>
      <c r="H68" s="286"/>
      <c r="I68" s="288"/>
      <c r="J68" s="286"/>
      <c r="K68" s="288"/>
      <c r="L68" s="286"/>
      <c r="M68" s="288"/>
      <c r="N68" s="286"/>
      <c r="O68" s="288"/>
      <c r="P68" s="286"/>
      <c r="Q68" s="288"/>
      <c r="R68" s="286"/>
      <c r="S68" s="288"/>
      <c r="T68" s="286"/>
      <c r="U68" s="288"/>
      <c r="V68" s="286"/>
      <c r="W68" s="288"/>
      <c r="X68" s="286"/>
      <c r="Y68" s="288"/>
      <c r="Z68" s="286"/>
      <c r="AA68" s="288"/>
      <c r="AB68" s="286"/>
      <c r="AC68" s="288"/>
      <c r="AD68" s="286"/>
      <c r="AE68" s="288"/>
      <c r="AF68" s="286"/>
      <c r="AG68" s="288"/>
      <c r="AH68" s="286"/>
      <c r="AI68" s="288"/>
      <c r="AJ68" s="286"/>
      <c r="AK68" s="286"/>
      <c r="AL68" s="286"/>
      <c r="AM68" s="286"/>
      <c r="AN68" s="286"/>
      <c r="AO68" s="286"/>
      <c r="AP68" s="286"/>
      <c r="AQ68" s="286"/>
      <c r="AR68" s="286"/>
      <c r="AS68" s="286"/>
      <c r="AT68" s="286"/>
      <c r="AU68" s="286"/>
      <c r="AV68" s="284"/>
      <c r="AW68" s="284"/>
      <c r="AX68" s="284"/>
      <c r="AY68" s="284"/>
      <c r="AZ68" s="284"/>
      <c r="BA68" s="284"/>
      <c r="BB68" s="284"/>
      <c r="BC68" s="284"/>
      <c r="BD68" s="284"/>
      <c r="BE68" s="284"/>
      <c r="BF68" s="284"/>
      <c r="BG68" s="284"/>
      <c r="BH68" s="284"/>
      <c r="BI68" s="284"/>
      <c r="BJ68" s="284"/>
      <c r="BK68" s="284"/>
      <c r="BL68" s="284"/>
      <c r="BM68" s="284"/>
      <c r="BN68" s="284"/>
      <c r="BO68" s="284"/>
      <c r="BP68" s="284"/>
      <c r="BQ68" s="284"/>
      <c r="BR68" s="284"/>
      <c r="BS68" s="284"/>
      <c r="BT68" s="284"/>
      <c r="BU68" s="284"/>
      <c r="BV68" s="284"/>
      <c r="BW68" s="284"/>
      <c r="BX68" s="284"/>
      <c r="BY68" s="284"/>
      <c r="BZ68" s="285"/>
      <c r="CA68" s="298">
        <f>SUM(C68,E68,G68,I68,K68,M68,O68,Q68,S68,U68,W68,Y68,AA68,AC68,AE68,AG68,AI68,AK68,AM68,AO68,AQ68,AS68,AU68,AW68,AY68,BA68,BC68,BE68,BG68,BI68,BK68,BM68,BO68,BQ68,BS68,BU68,BW68,BY68)</f>
        <v>0</v>
      </c>
      <c r="CB68" s="298">
        <f>SUM(D68,F68,H68,J68,L68,N68,P68,R68,T68,V68,X68,Z68,AB68,AD68,AF68,AH68,AJ68,AL68,AN68,AP68,AR68,AT68,AV68,AX68,AZ68,BB68,BD68,BF68,BH68,BJ68,BL68,BN68,BP68,BR68,BT68,BV68,BX68,BZ68)</f>
        <v>1</v>
      </c>
      <c r="CC68" s="299">
        <f>SUM(Table13[[#This Row],[GOALS 1]:[ASSISTS 38]])</f>
        <v>1</v>
      </c>
    </row>
    <row r="69" spans="1:81">
      <c r="A69" s="291" t="s">
        <v>1493</v>
      </c>
      <c r="B69" s="291" t="s">
        <v>19</v>
      </c>
      <c r="C69" s="286"/>
      <c r="D69" s="286">
        <v>1</v>
      </c>
      <c r="E69" s="288"/>
      <c r="F69" s="286"/>
      <c r="G69" s="288"/>
      <c r="H69" s="286"/>
      <c r="I69" s="288"/>
      <c r="J69" s="286"/>
      <c r="K69" s="288"/>
      <c r="L69" s="286"/>
      <c r="M69" s="288"/>
      <c r="N69" s="286"/>
      <c r="O69" s="288"/>
      <c r="P69" s="286"/>
      <c r="Q69" s="288"/>
      <c r="R69" s="286"/>
      <c r="S69" s="288"/>
      <c r="T69" s="286"/>
      <c r="U69" s="288"/>
      <c r="V69" s="286"/>
      <c r="W69" s="288"/>
      <c r="X69" s="286"/>
      <c r="Y69" s="288"/>
      <c r="Z69" s="286"/>
      <c r="AA69" s="288"/>
      <c r="AB69" s="286"/>
      <c r="AC69" s="288"/>
      <c r="AD69" s="286"/>
      <c r="AE69" s="288"/>
      <c r="AF69" s="286"/>
      <c r="AG69" s="288"/>
      <c r="AH69" s="286"/>
      <c r="AI69" s="288"/>
      <c r="AJ69" s="286"/>
      <c r="AK69" s="286"/>
      <c r="AL69" s="286"/>
      <c r="AM69" s="286"/>
      <c r="AN69" s="286"/>
      <c r="AO69" s="286"/>
      <c r="AP69" s="286"/>
      <c r="AQ69" s="286"/>
      <c r="AR69" s="286"/>
      <c r="AS69" s="286"/>
      <c r="AT69" s="286"/>
      <c r="AU69" s="286"/>
      <c r="AV69" s="284"/>
      <c r="AW69" s="284"/>
      <c r="AX69" s="284"/>
      <c r="AY69" s="284"/>
      <c r="AZ69" s="284"/>
      <c r="BA69" s="284"/>
      <c r="BB69" s="284"/>
      <c r="BC69" s="284"/>
      <c r="BD69" s="284"/>
      <c r="BE69" s="284"/>
      <c r="BF69" s="284"/>
      <c r="BG69" s="284"/>
      <c r="BH69" s="284"/>
      <c r="BI69" s="284"/>
      <c r="BJ69" s="284"/>
      <c r="BK69" s="284"/>
      <c r="BL69" s="284"/>
      <c r="BM69" s="284"/>
      <c r="BN69" s="284"/>
      <c r="BO69" s="284"/>
      <c r="BP69" s="284"/>
      <c r="BQ69" s="284"/>
      <c r="BR69" s="284"/>
      <c r="BS69" s="284"/>
      <c r="BT69" s="284"/>
      <c r="BU69" s="284"/>
      <c r="BV69" s="284"/>
      <c r="BW69" s="284"/>
      <c r="BX69" s="284"/>
      <c r="BY69" s="284"/>
      <c r="BZ69" s="285"/>
      <c r="CA69" s="298">
        <f>SUM(C69,E69,G69,I69,K69,M69,O69,Q69,S69,U69,W69,Y69,AA69,AC69,AE69,AG69,AI69,AK69,AM69,AO69,AQ69,AS69,AU69,AW69,AY69,BA69,BC69,BE69,BG69,BI69,BK69,BM69,BO69,BQ69,BS69,BU69,BW69,BY69)</f>
        <v>0</v>
      </c>
      <c r="CB69" s="298">
        <f>SUM(D69,F69,H69,J69,L69,N69,P69,R69,T69,V69,X69,Z69,AB69,AD69,AF69,AH69,AJ69,AL69,AN69,AP69,AR69,AT69,AV69,AX69,AZ69,BB69,BD69,BF69,BH69,BJ69,BL69,BN69,BP69,BR69,BT69,BV69,BX69,BZ69)</f>
        <v>1</v>
      </c>
      <c r="CC69" s="299">
        <f>SUM(Table13[[#This Row],[GOALS 1]:[ASSISTS 38]])</f>
        <v>1</v>
      </c>
    </row>
    <row r="70" spans="1:81">
      <c r="A70" s="291" t="s">
        <v>1507</v>
      </c>
      <c r="B70" s="291" t="s">
        <v>29</v>
      </c>
      <c r="C70" s="289"/>
      <c r="D70" s="286">
        <v>1</v>
      </c>
      <c r="E70" s="288"/>
      <c r="F70" s="286"/>
      <c r="G70" s="288"/>
      <c r="H70" s="286"/>
      <c r="I70" s="288"/>
      <c r="J70" s="286"/>
      <c r="K70" s="288"/>
      <c r="L70" s="286"/>
      <c r="M70" s="288"/>
      <c r="N70" s="286"/>
      <c r="O70" s="288"/>
      <c r="P70" s="286"/>
      <c r="Q70" s="288"/>
      <c r="R70" s="286"/>
      <c r="S70" s="288"/>
      <c r="T70" s="286"/>
      <c r="U70" s="288"/>
      <c r="V70" s="286"/>
      <c r="W70" s="288"/>
      <c r="X70" s="286"/>
      <c r="Y70" s="288"/>
      <c r="Z70" s="286"/>
      <c r="AA70" s="288"/>
      <c r="AB70" s="286"/>
      <c r="AC70" s="288"/>
      <c r="AD70" s="286"/>
      <c r="AE70" s="288"/>
      <c r="AF70" s="286"/>
      <c r="AG70" s="288"/>
      <c r="AH70" s="286"/>
      <c r="AI70" s="288"/>
      <c r="AJ70" s="286"/>
      <c r="AK70" s="286"/>
      <c r="AL70" s="286"/>
      <c r="AM70" s="286"/>
      <c r="AN70" s="286"/>
      <c r="AO70" s="286"/>
      <c r="AP70" s="286"/>
      <c r="AQ70" s="286"/>
      <c r="AR70" s="286"/>
      <c r="AS70" s="286"/>
      <c r="AT70" s="286"/>
      <c r="AU70" s="286"/>
      <c r="AV70" s="284"/>
      <c r="AW70" s="284"/>
      <c r="AX70" s="284"/>
      <c r="AY70" s="284"/>
      <c r="AZ70" s="284"/>
      <c r="BA70" s="284"/>
      <c r="BB70" s="284"/>
      <c r="BC70" s="284"/>
      <c r="BD70" s="284"/>
      <c r="BE70" s="284"/>
      <c r="BF70" s="284"/>
      <c r="BG70" s="284"/>
      <c r="BH70" s="284"/>
      <c r="BI70" s="284"/>
      <c r="BJ70" s="284"/>
      <c r="BK70" s="284"/>
      <c r="BL70" s="284"/>
      <c r="BM70" s="284"/>
      <c r="BN70" s="284"/>
      <c r="BO70" s="284"/>
      <c r="BP70" s="284"/>
      <c r="BQ70" s="284"/>
      <c r="BR70" s="284"/>
      <c r="BS70" s="284"/>
      <c r="BT70" s="284"/>
      <c r="BU70" s="284"/>
      <c r="BV70" s="284"/>
      <c r="BW70" s="284"/>
      <c r="BX70" s="284"/>
      <c r="BY70" s="284"/>
      <c r="BZ70" s="285"/>
      <c r="CA70" s="298">
        <f>SUM(C70,E70,G70,I70,K70,M70,O70,Q70,S70,U70,W70,Y70,AA70,AC70,AE70,AG70,AI70,AK70,AM70,AO70,AQ70,AS70,AU70,AW70,AY70,BA70,BC70,BE70,BG70,BI70,BK70,BM70,BO70,BQ70,BS70,BU70,BW70,BY70)</f>
        <v>0</v>
      </c>
      <c r="CB70" s="298">
        <f>SUM(D70,F70,H70,J70,L70,N70,P70,R70,T70,V70,X70,Z70,AB70,AD70,AF70,AH70,AJ70,AL70,AN70,AP70,AR70,AT70,AV70,AX70,AZ70,BB70,BD70,BF70,BH70,BJ70,BL70,BN70,BP70,BR70,BT70,BV70,BX70,BZ70)</f>
        <v>1</v>
      </c>
      <c r="CC70" s="299">
        <f>SUM(Table13[[#This Row],[GOALS 1]:[ASSISTS 38]])</f>
        <v>1</v>
      </c>
    </row>
    <row r="71" spans="1:81">
      <c r="A71" s="291" t="s">
        <v>1366</v>
      </c>
      <c r="B71" s="291" t="s">
        <v>33</v>
      </c>
      <c r="C71" s="289"/>
      <c r="D71" s="286">
        <v>1</v>
      </c>
      <c r="E71" s="288"/>
      <c r="F71" s="286"/>
      <c r="G71" s="288"/>
      <c r="H71" s="286"/>
      <c r="I71" s="288"/>
      <c r="J71" s="286"/>
      <c r="K71" s="288"/>
      <c r="L71" s="286"/>
      <c r="M71" s="288"/>
      <c r="N71" s="286"/>
      <c r="O71" s="288"/>
      <c r="P71" s="286"/>
      <c r="Q71" s="288"/>
      <c r="R71" s="286"/>
      <c r="S71" s="288"/>
      <c r="T71" s="286"/>
      <c r="U71" s="288"/>
      <c r="V71" s="286"/>
      <c r="W71" s="288"/>
      <c r="X71" s="286"/>
      <c r="Y71" s="288"/>
      <c r="Z71" s="286"/>
      <c r="AA71" s="288"/>
      <c r="AB71" s="286"/>
      <c r="AC71" s="288"/>
      <c r="AD71" s="286"/>
      <c r="AE71" s="288"/>
      <c r="AF71" s="286"/>
      <c r="AG71" s="288"/>
      <c r="AH71" s="286"/>
      <c r="AI71" s="288"/>
      <c r="AJ71" s="286"/>
      <c r="AK71" s="286"/>
      <c r="AL71" s="286"/>
      <c r="AM71" s="286"/>
      <c r="AN71" s="286"/>
      <c r="AO71" s="286"/>
      <c r="AP71" s="286"/>
      <c r="AQ71" s="286"/>
      <c r="AR71" s="286"/>
      <c r="AS71" s="286"/>
      <c r="AT71" s="286"/>
      <c r="AU71" s="286"/>
      <c r="AV71" s="284"/>
      <c r="AW71" s="284"/>
      <c r="AX71" s="284"/>
      <c r="AY71" s="284"/>
      <c r="AZ71" s="284"/>
      <c r="BA71" s="284"/>
      <c r="BB71" s="284"/>
      <c r="BC71" s="284"/>
      <c r="BD71" s="284"/>
      <c r="BE71" s="284"/>
      <c r="BF71" s="284"/>
      <c r="BG71" s="284"/>
      <c r="BH71" s="284"/>
      <c r="BI71" s="284"/>
      <c r="BJ71" s="284"/>
      <c r="BK71" s="284"/>
      <c r="BL71" s="284"/>
      <c r="BM71" s="284"/>
      <c r="BN71" s="284"/>
      <c r="BO71" s="284"/>
      <c r="BP71" s="284"/>
      <c r="BQ71" s="284"/>
      <c r="BR71" s="284"/>
      <c r="BS71" s="284"/>
      <c r="BT71" s="284"/>
      <c r="BU71" s="284"/>
      <c r="BV71" s="284"/>
      <c r="BW71" s="284"/>
      <c r="BX71" s="284"/>
      <c r="BY71" s="284"/>
      <c r="BZ71" s="285"/>
      <c r="CA71" s="298">
        <f>SUM(C71,E71,G71,I71,K71,M71,O71,Q71,S71,U71,W71,Y71,AA71,AC71,AE71,AG71,AI71,AK71,AM71,AO71,AQ71,AS71,AU71,AW71,AY71,BA71,BC71,BE71,BG71,BI71,BK71,BM71,BO71,BQ71,BS71,BU71,BW71,BY71)</f>
        <v>0</v>
      </c>
      <c r="CB71" s="298">
        <f>SUM(D71,F71,H71,J71,L71,N71,P71,R71,T71,V71,X71,Z71,AB71,AD71,AF71,AH71,AJ71,AL71,AN71,AP71,AR71,AT71,AV71,AX71,AZ71,BB71,BD71,BF71,BH71,BJ71,BL71,BN71,BP71,BR71,BT71,BV71,BX71,BZ71)</f>
        <v>1</v>
      </c>
      <c r="CC71" s="299">
        <f>SUM(Table13[[#This Row],[GOALS 1]:[ASSISTS 38]])</f>
        <v>1</v>
      </c>
    </row>
    <row r="72" spans="1:81">
      <c r="A72" s="291" t="s">
        <v>1406</v>
      </c>
      <c r="B72" s="291" t="s">
        <v>634</v>
      </c>
      <c r="C72" s="288"/>
      <c r="D72" s="286">
        <v>1</v>
      </c>
      <c r="E72" s="288"/>
      <c r="F72" s="286"/>
      <c r="G72" s="288"/>
      <c r="H72" s="286"/>
      <c r="I72" s="288"/>
      <c r="J72" s="286"/>
      <c r="K72" s="288"/>
      <c r="L72" s="286"/>
      <c r="M72" s="288"/>
      <c r="N72" s="286"/>
      <c r="O72" s="288"/>
      <c r="P72" s="286"/>
      <c r="Q72" s="288"/>
      <c r="R72" s="286"/>
      <c r="S72" s="288"/>
      <c r="T72" s="286"/>
      <c r="U72" s="288"/>
      <c r="V72" s="286"/>
      <c r="W72" s="288"/>
      <c r="X72" s="286"/>
      <c r="Y72" s="288"/>
      <c r="Z72" s="286"/>
      <c r="AA72" s="288"/>
      <c r="AB72" s="286"/>
      <c r="AC72" s="288"/>
      <c r="AD72" s="286"/>
      <c r="AE72" s="288"/>
      <c r="AF72" s="286"/>
      <c r="AG72" s="288"/>
      <c r="AH72" s="286"/>
      <c r="AI72" s="288"/>
      <c r="AJ72" s="286"/>
      <c r="AK72" s="286"/>
      <c r="AL72" s="286"/>
      <c r="AM72" s="286"/>
      <c r="AN72" s="286"/>
      <c r="AO72" s="286"/>
      <c r="AP72" s="286"/>
      <c r="AQ72" s="286"/>
      <c r="AR72" s="286"/>
      <c r="AS72" s="286"/>
      <c r="AT72" s="286"/>
      <c r="AU72" s="286"/>
      <c r="AV72" s="284"/>
      <c r="AW72" s="284"/>
      <c r="AX72" s="284"/>
      <c r="AY72" s="284"/>
      <c r="AZ72" s="284"/>
      <c r="BA72" s="284"/>
      <c r="BB72" s="284"/>
      <c r="BC72" s="284"/>
      <c r="BD72" s="284"/>
      <c r="BE72" s="284"/>
      <c r="BF72" s="284"/>
      <c r="BG72" s="284"/>
      <c r="BH72" s="284"/>
      <c r="BI72" s="284"/>
      <c r="BJ72" s="284"/>
      <c r="BK72" s="284"/>
      <c r="BL72" s="284"/>
      <c r="BM72" s="284"/>
      <c r="BN72" s="284"/>
      <c r="BO72" s="284"/>
      <c r="BP72" s="284"/>
      <c r="BQ72" s="284"/>
      <c r="BR72" s="284"/>
      <c r="BS72" s="284"/>
      <c r="BT72" s="284"/>
      <c r="BU72" s="284"/>
      <c r="BV72" s="284"/>
      <c r="BW72" s="284"/>
      <c r="BX72" s="284"/>
      <c r="BY72" s="284"/>
      <c r="BZ72" s="285"/>
      <c r="CA72" s="298">
        <f>SUM(C72,E72,G72,I72,K72,M72,O72,Q72,S72,U72,W72,Y72,AA72,AC72,AE72,AG72,AI72,AK72,AM72,AO72,AQ72,AS72,AU72,AW72,AY72,BA72,BC72,BE72,BG72,BI72,BK72,BM72,BO72,BQ72,BS72,BU72,BW72,BY72)</f>
        <v>0</v>
      </c>
      <c r="CB72" s="298">
        <f>SUM(D72,F72,H72,J72,L72,N72,P72,R72,T72,V72,X72,Z72,AB72,AD72,AF72,AH72,AJ72,AL72,AN72,AP72,AR72,AT72,AV72,AX72,AZ72,BB72,BD72,BF72,BH72,BJ72,BL72,BN72,BP72,BR72,BT72,BV72,BX72,BZ72)</f>
        <v>1</v>
      </c>
      <c r="CC72" s="299">
        <f>SUM(Table13[[#This Row],[GOALS 1]:[ASSISTS 38]])</f>
        <v>1</v>
      </c>
    </row>
    <row r="73" spans="1:81">
      <c r="A73" s="291" t="s">
        <v>1483</v>
      </c>
      <c r="B73" s="291" t="s">
        <v>25</v>
      </c>
      <c r="C73" s="286"/>
      <c r="D73" s="286"/>
      <c r="E73" s="288"/>
      <c r="F73" s="286">
        <v>1</v>
      </c>
      <c r="G73" s="288"/>
      <c r="H73" s="286"/>
      <c r="I73" s="288"/>
      <c r="J73" s="286"/>
      <c r="K73" s="288"/>
      <c r="L73" s="286"/>
      <c r="M73" s="288"/>
      <c r="N73" s="286"/>
      <c r="O73" s="288"/>
      <c r="P73" s="286"/>
      <c r="Q73" s="288"/>
      <c r="R73" s="286"/>
      <c r="S73" s="288"/>
      <c r="T73" s="286"/>
      <c r="U73" s="288"/>
      <c r="V73" s="286"/>
      <c r="W73" s="288"/>
      <c r="X73" s="286"/>
      <c r="Y73" s="288"/>
      <c r="Z73" s="286"/>
      <c r="AA73" s="288"/>
      <c r="AB73" s="286"/>
      <c r="AC73" s="288"/>
      <c r="AD73" s="286"/>
      <c r="AE73" s="288"/>
      <c r="AF73" s="286"/>
      <c r="AG73" s="288"/>
      <c r="AH73" s="286"/>
      <c r="AI73" s="288"/>
      <c r="AJ73" s="286"/>
      <c r="AK73" s="286"/>
      <c r="AL73" s="286"/>
      <c r="AM73" s="286"/>
      <c r="AN73" s="286"/>
      <c r="AO73" s="286"/>
      <c r="AP73" s="286"/>
      <c r="AQ73" s="286"/>
      <c r="AR73" s="286"/>
      <c r="AS73" s="286"/>
      <c r="AT73" s="286"/>
      <c r="AU73" s="286"/>
      <c r="AV73" s="284"/>
      <c r="AW73" s="284"/>
      <c r="AX73" s="284"/>
      <c r="AY73" s="284"/>
      <c r="AZ73" s="284"/>
      <c r="BA73" s="284"/>
      <c r="BB73" s="284"/>
      <c r="BC73" s="284"/>
      <c r="BD73" s="284"/>
      <c r="BE73" s="284"/>
      <c r="BF73" s="284"/>
      <c r="BG73" s="284"/>
      <c r="BH73" s="284"/>
      <c r="BI73" s="284"/>
      <c r="BJ73" s="284"/>
      <c r="BK73" s="284"/>
      <c r="BL73" s="284"/>
      <c r="BM73" s="284"/>
      <c r="BN73" s="284"/>
      <c r="BO73" s="284"/>
      <c r="BP73" s="284"/>
      <c r="BQ73" s="284"/>
      <c r="BR73" s="284"/>
      <c r="BS73" s="284"/>
      <c r="BT73" s="284"/>
      <c r="BU73" s="284"/>
      <c r="BV73" s="284"/>
      <c r="BW73" s="284"/>
      <c r="BX73" s="284"/>
      <c r="BY73" s="284"/>
      <c r="BZ73" s="285"/>
      <c r="CA73" s="298">
        <f>SUM(C73,E73,G73,I73,K73,M73,O73,Q73,S73,U73,W73,Y73,AA73,AC73,AE73,AG73,AI73,AK73,AM73,AO73,AQ73,AS73,AU73,AW73,AY73,BA73,BC73,BE73,BG73,BI73,BK73,BM73,BO73,BQ73,BS73,BU73,BW73,BY73)</f>
        <v>0</v>
      </c>
      <c r="CB73" s="298">
        <f>SUM(D73,F73,H73,J73,L73,N73,P73,R73,T73,V73,X73,Z73,AB73,AD73,AF73,AH73,AJ73,AL73,AN73,AP73,AR73,AT73,AV73,AX73,AZ73,BB73,BD73,BF73,BH73,BJ73,BL73,BN73,BP73,BR73,BT73,BV73,BX73,BZ73)</f>
        <v>1</v>
      </c>
      <c r="CC73" s="299">
        <f>SUM(Table13[[#This Row],[GOALS 1]:[ASSISTS 38]])</f>
        <v>1</v>
      </c>
    </row>
    <row r="74" spans="1:81">
      <c r="A74" s="291" t="s">
        <v>1580</v>
      </c>
      <c r="B74" s="291" t="s">
        <v>17</v>
      </c>
      <c r="C74" s="289"/>
      <c r="D74" s="286">
        <v>1</v>
      </c>
      <c r="E74" s="288"/>
      <c r="F74" s="286"/>
      <c r="G74" s="288"/>
      <c r="H74" s="286"/>
      <c r="I74" s="288"/>
      <c r="J74" s="286"/>
      <c r="K74" s="288"/>
      <c r="L74" s="286"/>
      <c r="M74" s="288"/>
      <c r="N74" s="286"/>
      <c r="O74" s="288"/>
      <c r="P74" s="286"/>
      <c r="Q74" s="288"/>
      <c r="R74" s="286"/>
      <c r="S74" s="288"/>
      <c r="T74" s="286"/>
      <c r="U74" s="288"/>
      <c r="V74" s="286"/>
      <c r="W74" s="288"/>
      <c r="X74" s="286"/>
      <c r="Y74" s="288"/>
      <c r="Z74" s="286"/>
      <c r="AA74" s="288"/>
      <c r="AB74" s="286"/>
      <c r="AC74" s="288"/>
      <c r="AD74" s="286"/>
      <c r="AE74" s="288"/>
      <c r="AF74" s="286"/>
      <c r="AG74" s="288"/>
      <c r="AH74" s="286"/>
      <c r="AI74" s="288"/>
      <c r="AJ74" s="286"/>
      <c r="AK74" s="286"/>
      <c r="AL74" s="286"/>
      <c r="AM74" s="286"/>
      <c r="AN74" s="286"/>
      <c r="AO74" s="286"/>
      <c r="AP74" s="286"/>
      <c r="AQ74" s="286"/>
      <c r="AR74" s="286"/>
      <c r="AS74" s="286"/>
      <c r="AT74" s="286"/>
      <c r="AU74" s="286"/>
      <c r="AV74" s="284"/>
      <c r="AW74" s="284"/>
      <c r="AX74" s="284"/>
      <c r="AY74" s="284"/>
      <c r="AZ74" s="284"/>
      <c r="BA74" s="284"/>
      <c r="BB74" s="284"/>
      <c r="BC74" s="284"/>
      <c r="BD74" s="284"/>
      <c r="BE74" s="284"/>
      <c r="BF74" s="284"/>
      <c r="BG74" s="284"/>
      <c r="BH74" s="284"/>
      <c r="BI74" s="284"/>
      <c r="BJ74" s="284"/>
      <c r="BK74" s="284"/>
      <c r="BL74" s="284"/>
      <c r="BM74" s="284"/>
      <c r="BN74" s="284"/>
      <c r="BO74" s="284"/>
      <c r="BP74" s="284"/>
      <c r="BQ74" s="284"/>
      <c r="BR74" s="284"/>
      <c r="BS74" s="284"/>
      <c r="BT74" s="284"/>
      <c r="BU74" s="284"/>
      <c r="BV74" s="284"/>
      <c r="BW74" s="284"/>
      <c r="BX74" s="284"/>
      <c r="BY74" s="284"/>
      <c r="BZ74" s="285"/>
      <c r="CA74" s="298">
        <f>SUM(C74,E74,G74,I74,K74,M74,O74,Q74,S74,U74,W74,Y74,AA74,AC74,AE74,AG74,AI74,AK74,AM74,AO74,AQ74,AS74,AU74,AW74,AY74,BA74,BC74,BE74,BG74,BI74,BK74,BM74,BO74,BQ74,BS74,BU74,BW74,BY74)</f>
        <v>0</v>
      </c>
      <c r="CB74" s="298">
        <f>SUM(D74,F74,H74,J74,L74,N74,P74,R74,T74,V74,X74,Z74,AB74,AD74,AF74,AH74,AJ74,AL74,AN74,AP74,AR74,AT74,AV74,AX74,AZ74,BB74,BD74,BF74,BH74,BJ74,BL74,BN74,BP74,BR74,BT74,BV74,BX74,BZ74)</f>
        <v>1</v>
      </c>
      <c r="CC74" s="299">
        <f>SUM(Table13[[#This Row],[GOALS 1]:[ASSISTS 38]])</f>
        <v>1</v>
      </c>
    </row>
    <row r="75" spans="1:81">
      <c r="A75" s="291" t="s">
        <v>1617</v>
      </c>
      <c r="B75" s="291" t="s">
        <v>22</v>
      </c>
      <c r="C75" s="288"/>
      <c r="D75" s="286"/>
      <c r="E75" s="288"/>
      <c r="F75" s="286"/>
      <c r="G75" s="288"/>
      <c r="H75" s="286"/>
      <c r="I75" s="288"/>
      <c r="J75" s="286"/>
      <c r="K75" s="288"/>
      <c r="L75" s="286"/>
      <c r="M75" s="288"/>
      <c r="N75" s="286"/>
      <c r="O75" s="288"/>
      <c r="P75" s="286"/>
      <c r="Q75" s="288"/>
      <c r="R75" s="286"/>
      <c r="S75" s="288"/>
      <c r="T75" s="286"/>
      <c r="U75" s="288"/>
      <c r="V75" s="286"/>
      <c r="W75" s="288"/>
      <c r="X75" s="286"/>
      <c r="Y75" s="288"/>
      <c r="Z75" s="286"/>
      <c r="AA75" s="288"/>
      <c r="AB75" s="286"/>
      <c r="AC75" s="288"/>
      <c r="AD75" s="286"/>
      <c r="AE75" s="288"/>
      <c r="AF75" s="286"/>
      <c r="AG75" s="288"/>
      <c r="AH75" s="286"/>
      <c r="AI75" s="288"/>
      <c r="AJ75" s="286"/>
      <c r="AK75" s="286"/>
      <c r="AL75" s="286"/>
      <c r="AM75" s="286"/>
      <c r="AN75" s="286"/>
      <c r="AO75" s="286"/>
      <c r="AP75" s="286"/>
      <c r="AQ75" s="286"/>
      <c r="AR75" s="286"/>
      <c r="AS75" s="286"/>
      <c r="AT75" s="286"/>
      <c r="AU75" s="286"/>
      <c r="AV75" s="284"/>
      <c r="AW75" s="284"/>
      <c r="AX75" s="284"/>
      <c r="AY75" s="284"/>
      <c r="AZ75" s="284"/>
      <c r="BA75" s="284"/>
      <c r="BB75" s="284"/>
      <c r="BC75" s="284"/>
      <c r="BD75" s="284"/>
      <c r="BE75" s="284"/>
      <c r="BF75" s="284"/>
      <c r="BG75" s="284"/>
      <c r="BH75" s="284"/>
      <c r="BI75" s="284"/>
      <c r="BJ75" s="284"/>
      <c r="BK75" s="284"/>
      <c r="BL75" s="284"/>
      <c r="BM75" s="284"/>
      <c r="BN75" s="284"/>
      <c r="BO75" s="284"/>
      <c r="BP75" s="284"/>
      <c r="BQ75" s="284"/>
      <c r="BR75" s="284"/>
      <c r="BS75" s="284"/>
      <c r="BT75" s="284"/>
      <c r="BU75" s="284"/>
      <c r="BV75" s="284"/>
      <c r="BW75" s="284"/>
      <c r="BX75" s="284"/>
      <c r="BY75" s="284"/>
      <c r="BZ75" s="285"/>
      <c r="CA75" s="298">
        <f>SUM(C75,E75,G75,I75,K75,M75,O75,Q75,S75,U75,W75,Y75,AA75,AC75,AE75,AG75,AI75,AK75,AM75,AO75,AQ75,AS75,AU75,AW75,AY75,BA75,BC75,BE75,BG75,BI75,BK75,BM75,BO75,BQ75,BS75,BU75,BW75,BY75)</f>
        <v>0</v>
      </c>
      <c r="CB75" s="298">
        <f>SUM(D75,F75,H75,J75,L75,N75,P75,R75,T75,V75,X75,Z75,AB75,AD75,AF75,AH75,AJ75,AL75,AN75,AP75,AR75,AT75,AV75,AX75,AZ75,BB75,BD75,BF75,BH75,BJ75,BL75,BN75,BP75,BR75,BT75,BV75,BX75,BZ75)</f>
        <v>0</v>
      </c>
      <c r="CC75" s="299">
        <f>SUM(Table13[[#This Row],[GOALS 1]:[ASSISTS 38]])</f>
        <v>0</v>
      </c>
    </row>
    <row r="76" spans="1:81">
      <c r="A76" s="291" t="s">
        <v>1863</v>
      </c>
      <c r="B76" s="291" t="s">
        <v>18</v>
      </c>
      <c r="C76" s="288"/>
      <c r="D76" s="286"/>
      <c r="E76" s="288"/>
      <c r="F76" s="286"/>
      <c r="G76" s="288"/>
      <c r="H76" s="286"/>
      <c r="I76" s="288"/>
      <c r="J76" s="286"/>
      <c r="K76" s="288"/>
      <c r="L76" s="286"/>
      <c r="M76" s="288"/>
      <c r="N76" s="286"/>
      <c r="O76" s="288"/>
      <c r="P76" s="286"/>
      <c r="Q76" s="288"/>
      <c r="R76" s="286"/>
      <c r="S76" s="288"/>
      <c r="T76" s="286"/>
      <c r="U76" s="288"/>
      <c r="V76" s="286"/>
      <c r="W76" s="288"/>
      <c r="X76" s="286"/>
      <c r="Y76" s="288"/>
      <c r="Z76" s="286"/>
      <c r="AA76" s="288"/>
      <c r="AB76" s="286"/>
      <c r="AC76" s="288"/>
      <c r="AD76" s="286"/>
      <c r="AE76" s="288"/>
      <c r="AF76" s="286"/>
      <c r="AG76" s="288"/>
      <c r="AH76" s="286"/>
      <c r="AI76" s="288"/>
      <c r="AJ76" s="286"/>
      <c r="AK76" s="286"/>
      <c r="AL76" s="286"/>
      <c r="AM76" s="286"/>
      <c r="AN76" s="286"/>
      <c r="AO76" s="286"/>
      <c r="AP76" s="286"/>
      <c r="AQ76" s="286"/>
      <c r="AR76" s="286"/>
      <c r="AS76" s="286"/>
      <c r="AT76" s="286"/>
      <c r="AU76" s="286"/>
      <c r="AV76" s="284"/>
      <c r="AW76" s="284"/>
      <c r="AX76" s="284"/>
      <c r="AY76" s="284"/>
      <c r="AZ76" s="284"/>
      <c r="BA76" s="284"/>
      <c r="BB76" s="284"/>
      <c r="BC76" s="284"/>
      <c r="BD76" s="284"/>
      <c r="BE76" s="284"/>
      <c r="BF76" s="284"/>
      <c r="BG76" s="284"/>
      <c r="BH76" s="284"/>
      <c r="BI76" s="284"/>
      <c r="BJ76" s="284"/>
      <c r="BK76" s="284"/>
      <c r="BL76" s="284"/>
      <c r="BM76" s="284"/>
      <c r="BN76" s="284"/>
      <c r="BO76" s="284"/>
      <c r="BP76" s="284"/>
      <c r="BQ76" s="284"/>
      <c r="BR76" s="284"/>
      <c r="BS76" s="284"/>
      <c r="BT76" s="284"/>
      <c r="BU76" s="284"/>
      <c r="BV76" s="284"/>
      <c r="BW76" s="284"/>
      <c r="BX76" s="284"/>
      <c r="BY76" s="284"/>
      <c r="BZ76" s="285"/>
      <c r="CA76" s="298">
        <f>SUM(C76,E76,G76,I76,K76,M76,O76,Q76,S76,U76,W76,Y76,AA76,AC76,AE76,AG76,AI76,AK76,AM76,AO76,AQ76,AS76,AU76,AW76,AY76,BA76,BC76,BE76,BG76,BI76,BK76,BM76,BO76,BQ76,BS76,BU76,BW76,BY76)</f>
        <v>0</v>
      </c>
      <c r="CB76" s="298">
        <f>SUM(D76,F76,H76,J76,L76,N76,P76,R76,T76,V76,X76,Z76,AB76,AD76,AF76,AH76,AJ76,AL76,AN76,AP76,AR76,AT76,AV76,AX76,AZ76,BB76,BD76,BF76,BH76,BJ76,BL76,BN76,BP76,BR76,BT76,BV76,BX76,BZ76)</f>
        <v>0</v>
      </c>
      <c r="CC76" s="299">
        <f>SUM(Table13[[#This Row],[GOALS 1]:[ASSISTS 38]])</f>
        <v>0</v>
      </c>
    </row>
    <row r="77" spans="1:81">
      <c r="A77" s="291" t="s">
        <v>1816</v>
      </c>
      <c r="B77" s="291" t="s">
        <v>21</v>
      </c>
      <c r="C77" s="289"/>
      <c r="D77" s="286"/>
      <c r="E77" s="288"/>
      <c r="F77" s="286"/>
      <c r="G77" s="288"/>
      <c r="H77" s="286"/>
      <c r="I77" s="288"/>
      <c r="J77" s="286"/>
      <c r="K77" s="288"/>
      <c r="L77" s="286"/>
      <c r="M77" s="288"/>
      <c r="N77" s="286"/>
      <c r="O77" s="288"/>
      <c r="P77" s="286"/>
      <c r="Q77" s="288"/>
      <c r="R77" s="286"/>
      <c r="S77" s="288"/>
      <c r="T77" s="286"/>
      <c r="U77" s="288"/>
      <c r="V77" s="286"/>
      <c r="W77" s="288"/>
      <c r="X77" s="286"/>
      <c r="Y77" s="288"/>
      <c r="Z77" s="286"/>
      <c r="AA77" s="288"/>
      <c r="AB77" s="286"/>
      <c r="AC77" s="288"/>
      <c r="AD77" s="286"/>
      <c r="AE77" s="288"/>
      <c r="AF77" s="286"/>
      <c r="AG77" s="288"/>
      <c r="AH77" s="286"/>
      <c r="AI77" s="288"/>
      <c r="AJ77" s="286"/>
      <c r="AK77" s="286"/>
      <c r="AL77" s="286"/>
      <c r="AM77" s="286"/>
      <c r="AN77" s="286"/>
      <c r="AO77" s="286"/>
      <c r="AP77" s="286"/>
      <c r="AQ77" s="286"/>
      <c r="AR77" s="286"/>
      <c r="AS77" s="286"/>
      <c r="AT77" s="286"/>
      <c r="AU77" s="286"/>
      <c r="AV77" s="284"/>
      <c r="AW77" s="284"/>
      <c r="AX77" s="284"/>
      <c r="AY77" s="284"/>
      <c r="AZ77" s="284"/>
      <c r="BA77" s="284"/>
      <c r="BB77" s="284"/>
      <c r="BC77" s="284"/>
      <c r="BD77" s="284"/>
      <c r="BE77" s="284"/>
      <c r="BF77" s="284"/>
      <c r="BG77" s="284"/>
      <c r="BH77" s="284"/>
      <c r="BI77" s="284"/>
      <c r="BJ77" s="284"/>
      <c r="BK77" s="284"/>
      <c r="BL77" s="284"/>
      <c r="BM77" s="284"/>
      <c r="BN77" s="284"/>
      <c r="BO77" s="284"/>
      <c r="BP77" s="284"/>
      <c r="BQ77" s="284"/>
      <c r="BR77" s="284"/>
      <c r="BS77" s="284"/>
      <c r="BT77" s="284"/>
      <c r="BU77" s="284"/>
      <c r="BV77" s="284"/>
      <c r="BW77" s="284"/>
      <c r="BX77" s="284"/>
      <c r="BY77" s="284"/>
      <c r="BZ77" s="285"/>
      <c r="CA77" s="298">
        <f>SUM(C77,E77,G77,I77,K77,M77,O77,Q77,S77,U77,W77,Y77,AA77,AC77,AE77,AG77,AI77,AK77,AM77,AO77,AQ77,AS77,AU77,AW77,AY77,BA77,BC77,BE77,BG77,BI77,BK77,BM77,BO77,BQ77,BS77,BU77,BW77,BY77)</f>
        <v>0</v>
      </c>
      <c r="CB77" s="298">
        <f>SUM(D77,F77,H77,J77,L77,N77,P77,R77,T77,V77,X77,Z77,AB77,AD77,AF77,AH77,AJ77,AL77,AN77,AP77,AR77,AT77,AV77,AX77,AZ77,BB77,BD77,BF77,BH77,BJ77,BL77,BN77,BP77,BR77,BT77,BV77,BX77,BZ77)</f>
        <v>0</v>
      </c>
      <c r="CC77" s="299">
        <f>SUM(Table13[[#This Row],[GOALS 1]:[ASSISTS 38]])</f>
        <v>0</v>
      </c>
    </row>
    <row r="78" spans="1:81">
      <c r="A78" s="291" t="s">
        <v>1508</v>
      </c>
      <c r="B78" s="291" t="s">
        <v>25</v>
      </c>
      <c r="C78" s="288"/>
      <c r="D78" s="286"/>
      <c r="E78" s="288"/>
      <c r="F78" s="286"/>
      <c r="G78" s="288"/>
      <c r="H78" s="286"/>
      <c r="I78" s="288"/>
      <c r="J78" s="286"/>
      <c r="K78" s="288"/>
      <c r="L78" s="286"/>
      <c r="M78" s="288"/>
      <c r="N78" s="286"/>
      <c r="O78" s="288"/>
      <c r="P78" s="286"/>
      <c r="Q78" s="288"/>
      <c r="R78" s="286"/>
      <c r="S78" s="288"/>
      <c r="T78" s="286"/>
      <c r="U78" s="288"/>
      <c r="V78" s="286"/>
      <c r="W78" s="288"/>
      <c r="X78" s="286"/>
      <c r="Y78" s="288"/>
      <c r="Z78" s="286"/>
      <c r="AA78" s="288"/>
      <c r="AB78" s="286"/>
      <c r="AC78" s="288"/>
      <c r="AD78" s="286"/>
      <c r="AE78" s="288"/>
      <c r="AF78" s="286"/>
      <c r="AG78" s="288"/>
      <c r="AH78" s="286"/>
      <c r="AI78" s="288"/>
      <c r="AJ78" s="286"/>
      <c r="AK78" s="286"/>
      <c r="AL78" s="286"/>
      <c r="AM78" s="286"/>
      <c r="AN78" s="286"/>
      <c r="AO78" s="286"/>
      <c r="AP78" s="286"/>
      <c r="AQ78" s="286"/>
      <c r="AR78" s="286"/>
      <c r="AS78" s="286"/>
      <c r="AT78" s="286"/>
      <c r="AU78" s="286"/>
      <c r="AV78" s="284"/>
      <c r="AW78" s="284"/>
      <c r="AX78" s="284"/>
      <c r="AY78" s="284"/>
      <c r="AZ78" s="284"/>
      <c r="BA78" s="284"/>
      <c r="BB78" s="284"/>
      <c r="BC78" s="284"/>
      <c r="BD78" s="284"/>
      <c r="BE78" s="284"/>
      <c r="BF78" s="284"/>
      <c r="BG78" s="284"/>
      <c r="BH78" s="284"/>
      <c r="BI78" s="284"/>
      <c r="BJ78" s="284"/>
      <c r="BK78" s="284"/>
      <c r="BL78" s="284"/>
      <c r="BM78" s="284"/>
      <c r="BN78" s="284"/>
      <c r="BO78" s="284"/>
      <c r="BP78" s="284"/>
      <c r="BQ78" s="284"/>
      <c r="BR78" s="284"/>
      <c r="BS78" s="284"/>
      <c r="BT78" s="284"/>
      <c r="BU78" s="284"/>
      <c r="BV78" s="284"/>
      <c r="BW78" s="284"/>
      <c r="BX78" s="284"/>
      <c r="BY78" s="284"/>
      <c r="BZ78" s="285"/>
      <c r="CA78" s="298">
        <f>SUM(C78,E78,G78,I78,K78,M78,O78,Q78,S78,U78,W78,Y78,AA78,AC78,AE78,AG78,AI78,AK78,AM78,AO78,AQ78,AS78,AU78,AW78,AY78,BA78,BC78,BE78,BG78,BI78,BK78,BM78,BO78,BQ78,BS78,BU78,BW78,BY78)</f>
        <v>0</v>
      </c>
      <c r="CB78" s="298">
        <f>SUM(D78,F78,H78,J78,L78,N78,P78,R78,T78,V78,X78,Z78,AB78,AD78,AF78,AH78,AJ78,AL78,AN78,AP78,AR78,AT78,AV78,AX78,AZ78,BB78,BD78,BF78,BH78,BJ78,BL78,BN78,BP78,BR78,BT78,BV78,BX78,BZ78)</f>
        <v>0</v>
      </c>
      <c r="CC78" s="299">
        <f>SUM(Table13[[#This Row],[GOALS 1]:[ASSISTS 38]])</f>
        <v>0</v>
      </c>
    </row>
    <row r="79" spans="1:81">
      <c r="A79" s="291" t="s">
        <v>1611</v>
      </c>
      <c r="B79" s="291" t="s">
        <v>27</v>
      </c>
      <c r="C79" s="288"/>
      <c r="D79" s="286"/>
      <c r="E79" s="289"/>
      <c r="F79" s="286"/>
      <c r="G79" s="288"/>
      <c r="H79" s="286"/>
      <c r="I79" s="288"/>
      <c r="J79" s="286"/>
      <c r="K79" s="288"/>
      <c r="L79" s="286"/>
      <c r="M79" s="288"/>
      <c r="N79" s="286"/>
      <c r="O79" s="288"/>
      <c r="P79" s="286"/>
      <c r="Q79" s="288"/>
      <c r="R79" s="286"/>
      <c r="S79" s="288"/>
      <c r="T79" s="286"/>
      <c r="U79" s="288"/>
      <c r="V79" s="286"/>
      <c r="W79" s="288"/>
      <c r="X79" s="286"/>
      <c r="Y79" s="288"/>
      <c r="Z79" s="286"/>
      <c r="AA79" s="288"/>
      <c r="AB79" s="286"/>
      <c r="AC79" s="288"/>
      <c r="AD79" s="286"/>
      <c r="AE79" s="288"/>
      <c r="AF79" s="286"/>
      <c r="AG79" s="288"/>
      <c r="AH79" s="286"/>
      <c r="AI79" s="288"/>
      <c r="AJ79" s="286"/>
      <c r="AK79" s="286"/>
      <c r="AL79" s="286"/>
      <c r="AM79" s="286"/>
      <c r="AN79" s="286"/>
      <c r="AO79" s="286"/>
      <c r="AP79" s="286"/>
      <c r="AQ79" s="286"/>
      <c r="AR79" s="286"/>
      <c r="AS79" s="286"/>
      <c r="AT79" s="286"/>
      <c r="AU79" s="286"/>
      <c r="AV79" s="284"/>
      <c r="AW79" s="284"/>
      <c r="AX79" s="284"/>
      <c r="AY79" s="284"/>
      <c r="AZ79" s="284"/>
      <c r="BA79" s="284"/>
      <c r="BB79" s="284"/>
      <c r="BC79" s="284"/>
      <c r="BD79" s="284"/>
      <c r="BE79" s="284"/>
      <c r="BF79" s="284"/>
      <c r="BG79" s="284"/>
      <c r="BH79" s="284"/>
      <c r="BI79" s="284"/>
      <c r="BJ79" s="284"/>
      <c r="BK79" s="284"/>
      <c r="BL79" s="284"/>
      <c r="BM79" s="284"/>
      <c r="BN79" s="284"/>
      <c r="BO79" s="284"/>
      <c r="BP79" s="284"/>
      <c r="BQ79" s="284"/>
      <c r="BR79" s="284"/>
      <c r="BS79" s="284"/>
      <c r="BT79" s="284"/>
      <c r="BU79" s="284"/>
      <c r="BV79" s="284"/>
      <c r="BW79" s="284"/>
      <c r="BX79" s="284"/>
      <c r="BY79" s="284"/>
      <c r="BZ79" s="285"/>
      <c r="CA79" s="298">
        <f>SUM(C79,E79,G79,I79,K79,M79,O79,Q79,S79,U79,W79,Y79,AA79,AC79,AE79,AG79,AI79,AK79,AM79,AO79,AQ79,AS79,AU79,AW79,AY79,BA79,BC79,BE79,BG79,BI79,BK79,BM79,BO79,BQ79,BS79,BU79,BW79,BY79)</f>
        <v>0</v>
      </c>
      <c r="CB79" s="298">
        <f>SUM(D79,F79,H79,J79,L79,N79,P79,R79,T79,V79,X79,Z79,AB79,AD79,AF79,AH79,AJ79,AL79,AN79,AP79,AR79,AT79,AV79,AX79,AZ79,BB79,BD79,BF79,BH79,BJ79,BL79,BN79,BP79,BR79,BT79,BV79,BX79,BZ79)</f>
        <v>0</v>
      </c>
      <c r="CC79" s="299">
        <f>SUM(Table13[[#This Row],[GOALS 1]:[ASSISTS 38]])</f>
        <v>0</v>
      </c>
    </row>
    <row r="80" spans="1:81">
      <c r="A80" s="291" t="s">
        <v>1472</v>
      </c>
      <c r="B80" s="291" t="s">
        <v>33</v>
      </c>
      <c r="C80" s="289"/>
      <c r="D80" s="286"/>
      <c r="E80" s="288"/>
      <c r="F80" s="286"/>
      <c r="G80" s="288"/>
      <c r="H80" s="286"/>
      <c r="I80" s="288"/>
      <c r="J80" s="286"/>
      <c r="K80" s="288"/>
      <c r="L80" s="286"/>
      <c r="M80" s="288"/>
      <c r="N80" s="286"/>
      <c r="O80" s="288"/>
      <c r="P80" s="286"/>
      <c r="Q80" s="288"/>
      <c r="R80" s="286"/>
      <c r="S80" s="288"/>
      <c r="T80" s="286"/>
      <c r="U80" s="288"/>
      <c r="V80" s="286"/>
      <c r="W80" s="288"/>
      <c r="X80" s="286"/>
      <c r="Y80" s="288"/>
      <c r="Z80" s="286"/>
      <c r="AA80" s="288"/>
      <c r="AB80" s="286"/>
      <c r="AC80" s="288"/>
      <c r="AD80" s="286"/>
      <c r="AE80" s="288"/>
      <c r="AF80" s="286"/>
      <c r="AG80" s="288"/>
      <c r="AH80" s="286"/>
      <c r="AI80" s="288"/>
      <c r="AJ80" s="286"/>
      <c r="AK80" s="286"/>
      <c r="AL80" s="286"/>
      <c r="AM80" s="286"/>
      <c r="AN80" s="286"/>
      <c r="AO80" s="286"/>
      <c r="AP80" s="286"/>
      <c r="AQ80" s="286"/>
      <c r="AR80" s="286"/>
      <c r="AS80" s="286"/>
      <c r="AT80" s="286"/>
      <c r="AU80" s="286"/>
      <c r="AV80" s="284"/>
      <c r="AW80" s="284"/>
      <c r="AX80" s="284"/>
      <c r="AY80" s="284"/>
      <c r="AZ80" s="284"/>
      <c r="BA80" s="284"/>
      <c r="BB80" s="284"/>
      <c r="BC80" s="284"/>
      <c r="BD80" s="284"/>
      <c r="BE80" s="284"/>
      <c r="BF80" s="284"/>
      <c r="BG80" s="284"/>
      <c r="BH80" s="284"/>
      <c r="BI80" s="284"/>
      <c r="BJ80" s="284"/>
      <c r="BK80" s="284"/>
      <c r="BL80" s="284"/>
      <c r="BM80" s="284"/>
      <c r="BN80" s="284"/>
      <c r="BO80" s="284"/>
      <c r="BP80" s="284"/>
      <c r="BQ80" s="284"/>
      <c r="BR80" s="284"/>
      <c r="BS80" s="284"/>
      <c r="BT80" s="284"/>
      <c r="BU80" s="284"/>
      <c r="BV80" s="284"/>
      <c r="BW80" s="284"/>
      <c r="BX80" s="284"/>
      <c r="BY80" s="284"/>
      <c r="BZ80" s="285"/>
      <c r="CA80" s="298">
        <f>SUM(C80,E80,G80,I80,K80,M80,O80,Q80,S80,U80,W80,Y80,AA80,AC80,AE80,AG80,AI80,AK80,AM80,AO80,AQ80,AS80,AU80,AW80,AY80,BA80,BC80,BE80,BG80,BI80,BK80,BM80,BO80,BQ80,BS80,BU80,BW80,BY80)</f>
        <v>0</v>
      </c>
      <c r="CB80" s="298">
        <f>SUM(D80,F80,H80,J80,L80,N80,P80,R80,T80,V80,X80,Z80,AB80,AD80,AF80,AH80,AJ80,AL80,AN80,AP80,AR80,AT80,AV80,AX80,AZ80,BB80,BD80,BF80,BH80,BJ80,BL80,BN80,BP80,BR80,BT80,BV80,BX80,BZ80)</f>
        <v>0</v>
      </c>
      <c r="CC80" s="299">
        <f>SUM(Table13[[#This Row],[GOALS 1]:[ASSISTS 38]])</f>
        <v>0</v>
      </c>
    </row>
    <row r="81" spans="1:81">
      <c r="A81" s="291" t="s">
        <v>1690</v>
      </c>
      <c r="B81" s="291" t="s">
        <v>634</v>
      </c>
      <c r="C81" s="288"/>
      <c r="D81" s="286"/>
      <c r="E81" s="288"/>
      <c r="F81" s="286"/>
      <c r="G81" s="288"/>
      <c r="H81" s="286"/>
      <c r="I81" s="288"/>
      <c r="J81" s="286"/>
      <c r="K81" s="288"/>
      <c r="L81" s="286"/>
      <c r="M81" s="288"/>
      <c r="N81" s="286"/>
      <c r="O81" s="288"/>
      <c r="P81" s="286"/>
      <c r="Q81" s="288"/>
      <c r="R81" s="286"/>
      <c r="S81" s="288"/>
      <c r="T81" s="286"/>
      <c r="U81" s="288"/>
      <c r="V81" s="286"/>
      <c r="W81" s="288"/>
      <c r="X81" s="286"/>
      <c r="Y81" s="288"/>
      <c r="Z81" s="286"/>
      <c r="AA81" s="288"/>
      <c r="AB81" s="286"/>
      <c r="AC81" s="288"/>
      <c r="AD81" s="286"/>
      <c r="AE81" s="288"/>
      <c r="AF81" s="286"/>
      <c r="AG81" s="288"/>
      <c r="AH81" s="286"/>
      <c r="AI81" s="288"/>
      <c r="AJ81" s="286"/>
      <c r="AK81" s="286"/>
      <c r="AL81" s="286"/>
      <c r="AM81" s="286"/>
      <c r="AN81" s="286"/>
      <c r="AO81" s="286"/>
      <c r="AP81" s="286"/>
      <c r="AQ81" s="286"/>
      <c r="AR81" s="286"/>
      <c r="AS81" s="286"/>
      <c r="AT81" s="286"/>
      <c r="AU81" s="286"/>
      <c r="AV81" s="284"/>
      <c r="AW81" s="284"/>
      <c r="AX81" s="284"/>
      <c r="AY81" s="284"/>
      <c r="AZ81" s="284"/>
      <c r="BA81" s="284"/>
      <c r="BB81" s="284"/>
      <c r="BC81" s="284"/>
      <c r="BD81" s="284"/>
      <c r="BE81" s="284"/>
      <c r="BF81" s="284"/>
      <c r="BG81" s="284"/>
      <c r="BH81" s="284"/>
      <c r="BI81" s="284"/>
      <c r="BJ81" s="284"/>
      <c r="BK81" s="284"/>
      <c r="BL81" s="284"/>
      <c r="BM81" s="284"/>
      <c r="BN81" s="284"/>
      <c r="BO81" s="284"/>
      <c r="BP81" s="284"/>
      <c r="BQ81" s="284"/>
      <c r="BR81" s="284"/>
      <c r="BS81" s="284"/>
      <c r="BT81" s="284"/>
      <c r="BU81" s="284"/>
      <c r="BV81" s="284"/>
      <c r="BW81" s="284"/>
      <c r="BX81" s="284"/>
      <c r="BY81" s="284"/>
      <c r="BZ81" s="285"/>
      <c r="CA81" s="298">
        <f>SUM(C81,E81,G81,I81,K81,M81,O81,Q81,S81,U81,W81,Y81,AA81,AC81,AE81,AG81,AI81,AK81,AM81,AO81,AQ81,AS81,AU81,AW81,AY81,BA81,BC81,BE81,BG81,BI81,BK81,BM81,BO81,BQ81,BS81,BU81,BW81,BY81)</f>
        <v>0</v>
      </c>
      <c r="CB81" s="298">
        <f>SUM(D81,F81,H81,J81,L81,N81,P81,R81,T81,V81,X81,Z81,AB81,AD81,AF81,AH81,AJ81,AL81,AN81,AP81,AR81,AT81,AV81,AX81,AZ81,BB81,BD81,BF81,BH81,BJ81,BL81,BN81,BP81,BR81,BT81,BV81,BX81,BZ81)</f>
        <v>0</v>
      </c>
      <c r="CC81" s="299">
        <f>SUM(Table13[[#This Row],[GOALS 1]:[ASSISTS 38]])</f>
        <v>0</v>
      </c>
    </row>
    <row r="82" spans="1:81">
      <c r="A82" s="291" t="s">
        <v>1428</v>
      </c>
      <c r="B82" s="291" t="s">
        <v>29</v>
      </c>
      <c r="C82" s="289"/>
      <c r="D82" s="286"/>
      <c r="E82" s="288"/>
      <c r="F82" s="286"/>
      <c r="G82" s="288"/>
      <c r="H82" s="286"/>
      <c r="I82" s="288"/>
      <c r="J82" s="286"/>
      <c r="K82" s="288"/>
      <c r="L82" s="286"/>
      <c r="M82" s="288"/>
      <c r="N82" s="286"/>
      <c r="O82" s="288"/>
      <c r="P82" s="286"/>
      <c r="Q82" s="288"/>
      <c r="R82" s="286"/>
      <c r="S82" s="288"/>
      <c r="T82" s="286"/>
      <c r="U82" s="288"/>
      <c r="V82" s="286"/>
      <c r="W82" s="288"/>
      <c r="X82" s="286"/>
      <c r="Y82" s="288"/>
      <c r="Z82" s="286"/>
      <c r="AA82" s="288"/>
      <c r="AB82" s="286"/>
      <c r="AC82" s="288"/>
      <c r="AD82" s="286"/>
      <c r="AE82" s="288"/>
      <c r="AF82" s="286"/>
      <c r="AG82" s="288"/>
      <c r="AH82" s="286"/>
      <c r="AI82" s="288"/>
      <c r="AJ82" s="286"/>
      <c r="AK82" s="286"/>
      <c r="AL82" s="286"/>
      <c r="AM82" s="286"/>
      <c r="AN82" s="286"/>
      <c r="AO82" s="286"/>
      <c r="AP82" s="286"/>
      <c r="AQ82" s="286"/>
      <c r="AR82" s="286"/>
      <c r="AS82" s="286"/>
      <c r="AT82" s="286"/>
      <c r="AU82" s="286"/>
      <c r="AV82" s="284"/>
      <c r="AW82" s="284"/>
      <c r="AX82" s="284"/>
      <c r="AY82" s="284"/>
      <c r="AZ82" s="284"/>
      <c r="BA82" s="284"/>
      <c r="BB82" s="284"/>
      <c r="BC82" s="284"/>
      <c r="BD82" s="284"/>
      <c r="BE82" s="284"/>
      <c r="BF82" s="284"/>
      <c r="BG82" s="284"/>
      <c r="BH82" s="284"/>
      <c r="BI82" s="284"/>
      <c r="BJ82" s="284"/>
      <c r="BK82" s="284"/>
      <c r="BL82" s="284"/>
      <c r="BM82" s="284"/>
      <c r="BN82" s="284"/>
      <c r="BO82" s="284"/>
      <c r="BP82" s="284"/>
      <c r="BQ82" s="284"/>
      <c r="BR82" s="284"/>
      <c r="BS82" s="284"/>
      <c r="BT82" s="284"/>
      <c r="BU82" s="284"/>
      <c r="BV82" s="284"/>
      <c r="BW82" s="284"/>
      <c r="BX82" s="284"/>
      <c r="BY82" s="284"/>
      <c r="BZ82" s="285"/>
      <c r="CA82" s="298">
        <f>SUM(C82,E82,G82,I82,K82,M82,O82,Q82,S82,U82,W82,Y82,AA82,AC82,AE82,AG82,AI82,AK82,AM82,AO82,AQ82,AS82,AU82,AW82,AY82,BA82,BC82,BE82,BG82,BI82,BK82,BM82,BO82,BQ82,BS82,BU82,BW82,BY82)</f>
        <v>0</v>
      </c>
      <c r="CB82" s="298">
        <f>SUM(D82,F82,H82,J82,L82,N82,P82,R82,T82,V82,X82,Z82,AB82,AD82,AF82,AH82,AJ82,AL82,AN82,AP82,AR82,AT82,AV82,AX82,AZ82,BB82,BD82,BF82,BH82,BJ82,BL82,BN82,BP82,BR82,BT82,BV82,BX82,BZ82)</f>
        <v>0</v>
      </c>
      <c r="CC82" s="299">
        <f>SUM(Table13[[#This Row],[GOALS 1]:[ASSISTS 38]])</f>
        <v>0</v>
      </c>
    </row>
    <row r="83" spans="1:81">
      <c r="A83" s="291" t="s">
        <v>1742</v>
      </c>
      <c r="B83" s="291" t="s">
        <v>24</v>
      </c>
      <c r="C83" s="288"/>
      <c r="D83" s="286"/>
      <c r="E83" s="288"/>
      <c r="F83" s="286"/>
      <c r="G83" s="288"/>
      <c r="H83" s="286"/>
      <c r="I83" s="288"/>
      <c r="J83" s="286"/>
      <c r="K83" s="288"/>
      <c r="L83" s="286"/>
      <c r="M83" s="288"/>
      <c r="N83" s="286"/>
      <c r="O83" s="288"/>
      <c r="P83" s="286"/>
      <c r="Q83" s="288"/>
      <c r="R83" s="286"/>
      <c r="S83" s="288"/>
      <c r="T83" s="286"/>
      <c r="U83" s="288"/>
      <c r="V83" s="286"/>
      <c r="W83" s="288"/>
      <c r="X83" s="286"/>
      <c r="Y83" s="288"/>
      <c r="Z83" s="286"/>
      <c r="AA83" s="288"/>
      <c r="AB83" s="286"/>
      <c r="AC83" s="288"/>
      <c r="AD83" s="286"/>
      <c r="AE83" s="288"/>
      <c r="AF83" s="286"/>
      <c r="AG83" s="288"/>
      <c r="AH83" s="286"/>
      <c r="AI83" s="288"/>
      <c r="AJ83" s="286"/>
      <c r="AK83" s="286"/>
      <c r="AL83" s="286"/>
      <c r="AM83" s="286"/>
      <c r="AN83" s="286"/>
      <c r="AO83" s="286"/>
      <c r="AP83" s="286"/>
      <c r="AQ83" s="286"/>
      <c r="AR83" s="286"/>
      <c r="AS83" s="286"/>
      <c r="AT83" s="286"/>
      <c r="AU83" s="286"/>
      <c r="AV83" s="284"/>
      <c r="AW83" s="284"/>
      <c r="AX83" s="284"/>
      <c r="AY83" s="284"/>
      <c r="AZ83" s="284"/>
      <c r="BA83" s="284"/>
      <c r="BB83" s="284"/>
      <c r="BC83" s="284"/>
      <c r="BD83" s="284"/>
      <c r="BE83" s="284"/>
      <c r="BF83" s="284"/>
      <c r="BG83" s="284"/>
      <c r="BH83" s="284"/>
      <c r="BI83" s="284"/>
      <c r="BJ83" s="284"/>
      <c r="BK83" s="284"/>
      <c r="BL83" s="284"/>
      <c r="BM83" s="284"/>
      <c r="BN83" s="284"/>
      <c r="BO83" s="284"/>
      <c r="BP83" s="284"/>
      <c r="BQ83" s="284"/>
      <c r="BR83" s="284"/>
      <c r="BS83" s="284"/>
      <c r="BT83" s="284"/>
      <c r="BU83" s="284"/>
      <c r="BV83" s="284"/>
      <c r="BW83" s="284"/>
      <c r="BX83" s="284"/>
      <c r="BY83" s="284"/>
      <c r="BZ83" s="285"/>
      <c r="CA83" s="298">
        <f>SUM(C83,E83,G83,I83,K83,M83,O83,Q83,S83,U83,W83,Y83,AA83,AC83,AE83,AG83,AI83,AK83,AM83,AO83,AQ83,AS83,AU83,AW83,AY83,BA83,BC83,BE83,BG83,BI83,BK83,BM83,BO83,BQ83,BS83,BU83,BW83,BY83)</f>
        <v>0</v>
      </c>
      <c r="CB83" s="298">
        <f>SUM(D83,F83,H83,J83,L83,N83,P83,R83,T83,V83,X83,Z83,AB83,AD83,AF83,AH83,AJ83,AL83,AN83,AP83,AR83,AT83,AV83,AX83,AZ83,BB83,BD83,BF83,BH83,BJ83,BL83,BN83,BP83,BR83,BT83,BV83,BX83,BZ83)</f>
        <v>0</v>
      </c>
      <c r="CC83" s="299">
        <f>SUM(Table13[[#This Row],[GOALS 1]:[ASSISTS 38]])</f>
        <v>0</v>
      </c>
    </row>
    <row r="84" spans="1:81">
      <c r="A84" s="291" t="s">
        <v>1694</v>
      </c>
      <c r="B84" s="291" t="s">
        <v>43</v>
      </c>
      <c r="C84" s="288"/>
      <c r="D84" s="286"/>
      <c r="E84" s="288"/>
      <c r="F84" s="286"/>
      <c r="G84" s="288"/>
      <c r="H84" s="286"/>
      <c r="I84" s="288"/>
      <c r="J84" s="286"/>
      <c r="K84" s="288"/>
      <c r="L84" s="286"/>
      <c r="M84" s="288"/>
      <c r="N84" s="286"/>
      <c r="O84" s="288"/>
      <c r="P84" s="286"/>
      <c r="Q84" s="288"/>
      <c r="R84" s="286"/>
      <c r="S84" s="288"/>
      <c r="T84" s="286"/>
      <c r="U84" s="288"/>
      <c r="V84" s="286"/>
      <c r="W84" s="288"/>
      <c r="X84" s="286"/>
      <c r="Y84" s="288"/>
      <c r="Z84" s="286"/>
      <c r="AA84" s="288"/>
      <c r="AB84" s="286"/>
      <c r="AC84" s="288"/>
      <c r="AD84" s="286"/>
      <c r="AE84" s="288"/>
      <c r="AF84" s="286"/>
      <c r="AG84" s="288"/>
      <c r="AH84" s="286"/>
      <c r="AI84" s="288"/>
      <c r="AJ84" s="286"/>
      <c r="AK84" s="286"/>
      <c r="AL84" s="286"/>
      <c r="AM84" s="286"/>
      <c r="AN84" s="286"/>
      <c r="AO84" s="286"/>
      <c r="AP84" s="286"/>
      <c r="AQ84" s="286"/>
      <c r="AR84" s="286"/>
      <c r="AS84" s="286"/>
      <c r="AT84" s="286"/>
      <c r="AU84" s="286"/>
      <c r="AV84" s="284"/>
      <c r="AW84" s="284"/>
      <c r="AX84" s="284"/>
      <c r="AY84" s="284"/>
      <c r="AZ84" s="284"/>
      <c r="BA84" s="284"/>
      <c r="BB84" s="284"/>
      <c r="BC84" s="284"/>
      <c r="BD84" s="284"/>
      <c r="BE84" s="284"/>
      <c r="BF84" s="284"/>
      <c r="BG84" s="284"/>
      <c r="BH84" s="284"/>
      <c r="BI84" s="284"/>
      <c r="BJ84" s="284"/>
      <c r="BK84" s="284"/>
      <c r="BL84" s="284"/>
      <c r="BM84" s="284"/>
      <c r="BN84" s="284"/>
      <c r="BO84" s="284"/>
      <c r="BP84" s="284"/>
      <c r="BQ84" s="284"/>
      <c r="BR84" s="284"/>
      <c r="BS84" s="284"/>
      <c r="BT84" s="284"/>
      <c r="BU84" s="284"/>
      <c r="BV84" s="284"/>
      <c r="BW84" s="284"/>
      <c r="BX84" s="284"/>
      <c r="BY84" s="284"/>
      <c r="BZ84" s="285"/>
      <c r="CA84" s="298">
        <f>SUM(C84,E84,G84,I84,K84,M84,O84,Q84,S84,U84,W84,Y84,AA84,AC84,AE84,AG84,AI84,AK84,AM84,AO84,AQ84,AS84,AU84,AW84,AY84,BA84,BC84,BE84,BG84,BI84,BK84,BM84,BO84,BQ84,BS84,BU84,BW84,BY84)</f>
        <v>0</v>
      </c>
      <c r="CB84" s="298">
        <f>SUM(D84,F84,H84,J84,L84,N84,P84,R84,T84,V84,X84,Z84,AB84,AD84,AF84,AH84,AJ84,AL84,AN84,AP84,AR84,AT84,AV84,AX84,AZ84,BB84,BD84,BF84,BH84,BJ84,BL84,BN84,BP84,BR84,BT84,BV84,BX84,BZ84)</f>
        <v>0</v>
      </c>
      <c r="CC84" s="299">
        <f>SUM(Table13[[#This Row],[GOALS 1]:[ASSISTS 38]])</f>
        <v>0</v>
      </c>
    </row>
    <row r="85" spans="1:81">
      <c r="A85" s="291" t="s">
        <v>1775</v>
      </c>
      <c r="B85" s="291" t="s">
        <v>33</v>
      </c>
      <c r="C85" s="289"/>
      <c r="D85" s="286"/>
      <c r="E85" s="288"/>
      <c r="F85" s="286"/>
      <c r="G85" s="288"/>
      <c r="H85" s="286"/>
      <c r="I85" s="288"/>
      <c r="J85" s="286"/>
      <c r="K85" s="288"/>
      <c r="L85" s="286"/>
      <c r="M85" s="288"/>
      <c r="N85" s="286"/>
      <c r="O85" s="288"/>
      <c r="P85" s="286"/>
      <c r="Q85" s="288"/>
      <c r="R85" s="286"/>
      <c r="S85" s="288"/>
      <c r="T85" s="286"/>
      <c r="U85" s="288"/>
      <c r="V85" s="286"/>
      <c r="W85" s="288"/>
      <c r="X85" s="286"/>
      <c r="Y85" s="288"/>
      <c r="Z85" s="286"/>
      <c r="AA85" s="288"/>
      <c r="AB85" s="286"/>
      <c r="AC85" s="288"/>
      <c r="AD85" s="286"/>
      <c r="AE85" s="288"/>
      <c r="AF85" s="286"/>
      <c r="AG85" s="288"/>
      <c r="AH85" s="286"/>
      <c r="AI85" s="288"/>
      <c r="AJ85" s="286"/>
      <c r="AK85" s="286"/>
      <c r="AL85" s="286"/>
      <c r="AM85" s="286"/>
      <c r="AN85" s="286"/>
      <c r="AO85" s="286"/>
      <c r="AP85" s="286"/>
      <c r="AQ85" s="286"/>
      <c r="AR85" s="286"/>
      <c r="AS85" s="286"/>
      <c r="AT85" s="286"/>
      <c r="AU85" s="286"/>
      <c r="AV85" s="284"/>
      <c r="AW85" s="284"/>
      <c r="AX85" s="284"/>
      <c r="AY85" s="284"/>
      <c r="AZ85" s="284"/>
      <c r="BA85" s="284"/>
      <c r="BB85" s="284"/>
      <c r="BC85" s="284"/>
      <c r="BD85" s="284"/>
      <c r="BE85" s="284"/>
      <c r="BF85" s="284"/>
      <c r="BG85" s="284"/>
      <c r="BH85" s="284"/>
      <c r="BI85" s="284"/>
      <c r="BJ85" s="284"/>
      <c r="BK85" s="284"/>
      <c r="BL85" s="284"/>
      <c r="BM85" s="284"/>
      <c r="BN85" s="284"/>
      <c r="BO85" s="284"/>
      <c r="BP85" s="284"/>
      <c r="BQ85" s="284"/>
      <c r="BR85" s="284"/>
      <c r="BS85" s="284"/>
      <c r="BT85" s="284"/>
      <c r="BU85" s="284"/>
      <c r="BV85" s="284"/>
      <c r="BW85" s="284"/>
      <c r="BX85" s="284"/>
      <c r="BY85" s="284"/>
      <c r="BZ85" s="285"/>
      <c r="CA85" s="298">
        <f>SUM(C85,E85,G85,I85,K85,M85,O85,Q85,S85,U85,W85,Y85,AA85,AC85,AE85,AG85,AI85,AK85,AM85,AO85,AQ85,AS85,AU85,AW85,AY85,BA85,BC85,BE85,BG85,BI85,BK85,BM85,BO85,BQ85,BS85,BU85,BW85,BY85)</f>
        <v>0</v>
      </c>
      <c r="CB85" s="298">
        <f>SUM(D85,F85,H85,J85,L85,N85,P85,R85,T85,V85,X85,Z85,AB85,AD85,AF85,AH85,AJ85,AL85,AN85,AP85,AR85,AT85,AV85,AX85,AZ85,BB85,BD85,BF85,BH85,BJ85,BL85,BN85,BP85,BR85,BT85,BV85,BX85,BZ85)</f>
        <v>0</v>
      </c>
      <c r="CC85" s="299">
        <f>SUM(Table13[[#This Row],[GOALS 1]:[ASSISTS 38]])</f>
        <v>0</v>
      </c>
    </row>
    <row r="86" spans="1:81">
      <c r="A86" s="291" t="s">
        <v>1510</v>
      </c>
      <c r="B86" s="291" t="s">
        <v>26</v>
      </c>
      <c r="C86" s="288"/>
      <c r="D86" s="286"/>
      <c r="E86" s="288"/>
      <c r="F86" s="286"/>
      <c r="G86" s="288"/>
      <c r="H86" s="286"/>
      <c r="I86" s="288"/>
      <c r="J86" s="286"/>
      <c r="K86" s="288"/>
      <c r="L86" s="286"/>
      <c r="M86" s="288"/>
      <c r="N86" s="286"/>
      <c r="O86" s="288"/>
      <c r="P86" s="286"/>
      <c r="Q86" s="288"/>
      <c r="R86" s="286"/>
      <c r="S86" s="288"/>
      <c r="T86" s="286"/>
      <c r="U86" s="288"/>
      <c r="V86" s="286"/>
      <c r="W86" s="288"/>
      <c r="X86" s="286"/>
      <c r="Y86" s="288"/>
      <c r="Z86" s="286"/>
      <c r="AA86" s="288"/>
      <c r="AB86" s="286"/>
      <c r="AC86" s="288"/>
      <c r="AD86" s="286"/>
      <c r="AE86" s="288"/>
      <c r="AF86" s="286"/>
      <c r="AG86" s="288"/>
      <c r="AH86" s="286"/>
      <c r="AI86" s="288"/>
      <c r="AJ86" s="286"/>
      <c r="AK86" s="286"/>
      <c r="AL86" s="286"/>
      <c r="AM86" s="286"/>
      <c r="AN86" s="286"/>
      <c r="AO86" s="286"/>
      <c r="AP86" s="286"/>
      <c r="AQ86" s="286"/>
      <c r="AR86" s="286"/>
      <c r="AS86" s="286"/>
      <c r="AT86" s="286"/>
      <c r="AU86" s="286"/>
      <c r="AV86" s="284"/>
      <c r="AW86" s="284"/>
      <c r="AX86" s="284"/>
      <c r="AY86" s="284"/>
      <c r="AZ86" s="284"/>
      <c r="BA86" s="284"/>
      <c r="BB86" s="284"/>
      <c r="BC86" s="284"/>
      <c r="BD86" s="284"/>
      <c r="BE86" s="284"/>
      <c r="BF86" s="284"/>
      <c r="BG86" s="284"/>
      <c r="BH86" s="284"/>
      <c r="BI86" s="284"/>
      <c r="BJ86" s="284"/>
      <c r="BK86" s="284"/>
      <c r="BL86" s="284"/>
      <c r="BM86" s="284"/>
      <c r="BN86" s="284"/>
      <c r="BO86" s="284"/>
      <c r="BP86" s="284"/>
      <c r="BQ86" s="284"/>
      <c r="BR86" s="284"/>
      <c r="BS86" s="284"/>
      <c r="BT86" s="284"/>
      <c r="BU86" s="284"/>
      <c r="BV86" s="284"/>
      <c r="BW86" s="284"/>
      <c r="BX86" s="284"/>
      <c r="BY86" s="284"/>
      <c r="BZ86" s="285"/>
      <c r="CA86" s="298">
        <f>SUM(C86,E86,G86,I86,K86,M86,O86,Q86,S86,U86,W86,Y86,AA86,AC86,AE86,AG86,AI86,AK86,AM86,AO86,AQ86,AS86,AU86,AW86,AY86,BA86,BC86,BE86,BG86,BI86,BK86,BM86,BO86,BQ86,BS86,BU86,BW86,BY86)</f>
        <v>0</v>
      </c>
      <c r="CB86" s="298">
        <f>SUM(D86,F86,H86,J86,L86,N86,P86,R86,T86,V86,X86,Z86,AB86,AD86,AF86,AH86,AJ86,AL86,AN86,AP86,AR86,AT86,AV86,AX86,AZ86,BB86,BD86,BF86,BH86,BJ86,BL86,BN86,BP86,BR86,BT86,BV86,BX86,BZ86)</f>
        <v>0</v>
      </c>
      <c r="CC86" s="299">
        <f>SUM(Table13[[#This Row],[GOALS 1]:[ASSISTS 38]])</f>
        <v>0</v>
      </c>
    </row>
    <row r="87" spans="1:81">
      <c r="A87" s="291" t="s">
        <v>1651</v>
      </c>
      <c r="B87" s="291" t="s">
        <v>18</v>
      </c>
      <c r="C87" s="288"/>
      <c r="D87" s="286"/>
      <c r="E87" s="288"/>
      <c r="F87" s="286"/>
      <c r="G87" s="288"/>
      <c r="H87" s="286"/>
      <c r="I87" s="288"/>
      <c r="J87" s="286"/>
      <c r="K87" s="288"/>
      <c r="L87" s="286"/>
      <c r="M87" s="288"/>
      <c r="N87" s="286"/>
      <c r="O87" s="288"/>
      <c r="P87" s="286"/>
      <c r="Q87" s="288"/>
      <c r="R87" s="286"/>
      <c r="S87" s="288"/>
      <c r="T87" s="286"/>
      <c r="U87" s="288"/>
      <c r="V87" s="286"/>
      <c r="W87" s="288"/>
      <c r="X87" s="286"/>
      <c r="Y87" s="288"/>
      <c r="Z87" s="286"/>
      <c r="AA87" s="288"/>
      <c r="AB87" s="286"/>
      <c r="AC87" s="288"/>
      <c r="AD87" s="286"/>
      <c r="AE87" s="288"/>
      <c r="AF87" s="286"/>
      <c r="AG87" s="288"/>
      <c r="AH87" s="286"/>
      <c r="AI87" s="288"/>
      <c r="AJ87" s="286"/>
      <c r="AK87" s="286"/>
      <c r="AL87" s="286"/>
      <c r="AM87" s="286"/>
      <c r="AN87" s="286"/>
      <c r="AO87" s="286"/>
      <c r="AP87" s="286"/>
      <c r="AQ87" s="286"/>
      <c r="AR87" s="286"/>
      <c r="AS87" s="286"/>
      <c r="AT87" s="286"/>
      <c r="AU87" s="286"/>
      <c r="AV87" s="284"/>
      <c r="AW87" s="284"/>
      <c r="AX87" s="284"/>
      <c r="AY87" s="284"/>
      <c r="AZ87" s="284"/>
      <c r="BA87" s="284"/>
      <c r="BB87" s="284"/>
      <c r="BC87" s="284"/>
      <c r="BD87" s="284"/>
      <c r="BE87" s="284"/>
      <c r="BF87" s="284"/>
      <c r="BG87" s="284"/>
      <c r="BH87" s="284"/>
      <c r="BI87" s="284"/>
      <c r="BJ87" s="284"/>
      <c r="BK87" s="284"/>
      <c r="BL87" s="284"/>
      <c r="BM87" s="284"/>
      <c r="BN87" s="284"/>
      <c r="BO87" s="284"/>
      <c r="BP87" s="284"/>
      <c r="BQ87" s="284"/>
      <c r="BR87" s="284"/>
      <c r="BS87" s="284"/>
      <c r="BT87" s="284"/>
      <c r="BU87" s="284"/>
      <c r="BV87" s="284"/>
      <c r="BW87" s="284"/>
      <c r="BX87" s="284"/>
      <c r="BY87" s="284"/>
      <c r="BZ87" s="285"/>
      <c r="CA87" s="298">
        <f>SUM(C87,E87,G87,I87,K87,M87,O87,Q87,S87,U87,W87,Y87,AA87,AC87,AE87,AG87,AI87,AK87,AM87,AO87,AQ87,AS87,AU87,AW87,AY87,BA87,BC87,BE87,BG87,BI87,BK87,BM87,BO87,BQ87,BS87,BU87,BW87,BY87)</f>
        <v>0</v>
      </c>
      <c r="CB87" s="298">
        <f>SUM(D87,F87,H87,J87,L87,N87,P87,R87,T87,V87,X87,Z87,AB87,AD87,AF87,AH87,AJ87,AL87,AN87,AP87,AR87,AT87,AV87,AX87,AZ87,BB87,BD87,BF87,BH87,BJ87,BL87,BN87,BP87,BR87,BT87,BV87,BX87,BZ87)</f>
        <v>0</v>
      </c>
      <c r="CC87" s="299">
        <f>SUM(Table13[[#This Row],[GOALS 1]:[ASSISTS 38]])</f>
        <v>0</v>
      </c>
    </row>
    <row r="88" spans="1:81">
      <c r="A88" s="291" t="s">
        <v>1776</v>
      </c>
      <c r="B88" s="291" t="s">
        <v>33</v>
      </c>
      <c r="C88" s="289"/>
      <c r="D88" s="286"/>
      <c r="E88" s="288"/>
      <c r="F88" s="286"/>
      <c r="G88" s="288"/>
      <c r="H88" s="286"/>
      <c r="I88" s="288"/>
      <c r="J88" s="286"/>
      <c r="K88" s="288"/>
      <c r="L88" s="286"/>
      <c r="M88" s="288"/>
      <c r="N88" s="286"/>
      <c r="O88" s="288"/>
      <c r="P88" s="286"/>
      <c r="Q88" s="288"/>
      <c r="R88" s="286"/>
      <c r="S88" s="288"/>
      <c r="T88" s="286"/>
      <c r="U88" s="288"/>
      <c r="V88" s="286"/>
      <c r="W88" s="288"/>
      <c r="X88" s="286"/>
      <c r="Y88" s="288"/>
      <c r="Z88" s="286"/>
      <c r="AA88" s="288"/>
      <c r="AB88" s="286"/>
      <c r="AC88" s="288"/>
      <c r="AD88" s="286"/>
      <c r="AE88" s="288"/>
      <c r="AF88" s="286"/>
      <c r="AG88" s="288"/>
      <c r="AH88" s="286"/>
      <c r="AI88" s="288"/>
      <c r="AJ88" s="286"/>
      <c r="AK88" s="286"/>
      <c r="AL88" s="286"/>
      <c r="AM88" s="286"/>
      <c r="AN88" s="286"/>
      <c r="AO88" s="286"/>
      <c r="AP88" s="286"/>
      <c r="AQ88" s="286"/>
      <c r="AR88" s="286"/>
      <c r="AS88" s="286"/>
      <c r="AT88" s="286"/>
      <c r="AU88" s="286"/>
      <c r="AV88" s="284"/>
      <c r="AW88" s="284"/>
      <c r="AX88" s="284"/>
      <c r="AY88" s="284"/>
      <c r="AZ88" s="284"/>
      <c r="BA88" s="284"/>
      <c r="BB88" s="284"/>
      <c r="BC88" s="284"/>
      <c r="BD88" s="284"/>
      <c r="BE88" s="284"/>
      <c r="BF88" s="284"/>
      <c r="BG88" s="284"/>
      <c r="BH88" s="284"/>
      <c r="BI88" s="284"/>
      <c r="BJ88" s="284"/>
      <c r="BK88" s="284"/>
      <c r="BL88" s="284"/>
      <c r="BM88" s="284"/>
      <c r="BN88" s="284"/>
      <c r="BO88" s="284"/>
      <c r="BP88" s="284"/>
      <c r="BQ88" s="284"/>
      <c r="BR88" s="284"/>
      <c r="BS88" s="284"/>
      <c r="BT88" s="284"/>
      <c r="BU88" s="284"/>
      <c r="BV88" s="284"/>
      <c r="BW88" s="284"/>
      <c r="BX88" s="284"/>
      <c r="BY88" s="284"/>
      <c r="BZ88" s="285"/>
      <c r="CA88" s="298">
        <f>SUM(C88,E88,G88,I88,K88,M88,O88,Q88,S88,U88,W88,Y88,AA88,AC88,AE88,AG88,AI88,AK88,AM88,AO88,AQ88,AS88,AU88,AW88,AY88,BA88,BC88,BE88,BG88,BI88,BK88,BM88,BO88,BQ88,BS88,BU88,BW88,BY88)</f>
        <v>0</v>
      </c>
      <c r="CB88" s="298">
        <f>SUM(D88,F88,H88,J88,L88,N88,P88,R88,T88,V88,X88,Z88,AB88,AD88,AF88,AH88,AJ88,AL88,AN88,AP88,AR88,AT88,AV88,AX88,AZ88,BB88,BD88,BF88,BH88,BJ88,BL88,BN88,BP88,BR88,BT88,BV88,BX88,BZ88)</f>
        <v>0</v>
      </c>
      <c r="CC88" s="299">
        <f>SUM(Table13[[#This Row],[GOALS 1]:[ASSISTS 38]])</f>
        <v>0</v>
      </c>
    </row>
    <row r="89" spans="1:81">
      <c r="A89" s="291" t="s">
        <v>1643</v>
      </c>
      <c r="B89" s="291" t="s">
        <v>43</v>
      </c>
      <c r="C89" s="288"/>
      <c r="D89" s="286"/>
      <c r="E89" s="288"/>
      <c r="F89" s="286"/>
      <c r="G89" s="288"/>
      <c r="H89" s="286"/>
      <c r="I89" s="288"/>
      <c r="J89" s="286"/>
      <c r="K89" s="288"/>
      <c r="L89" s="286"/>
      <c r="M89" s="288"/>
      <c r="N89" s="286"/>
      <c r="O89" s="288"/>
      <c r="P89" s="286"/>
      <c r="Q89" s="288"/>
      <c r="R89" s="286"/>
      <c r="S89" s="288"/>
      <c r="T89" s="286"/>
      <c r="U89" s="288"/>
      <c r="V89" s="286"/>
      <c r="W89" s="288"/>
      <c r="X89" s="286"/>
      <c r="Y89" s="288"/>
      <c r="Z89" s="286"/>
      <c r="AA89" s="288"/>
      <c r="AB89" s="286"/>
      <c r="AC89" s="288"/>
      <c r="AD89" s="286"/>
      <c r="AE89" s="288"/>
      <c r="AF89" s="286"/>
      <c r="AG89" s="288"/>
      <c r="AH89" s="286"/>
      <c r="AI89" s="288"/>
      <c r="AJ89" s="286"/>
      <c r="AK89" s="286"/>
      <c r="AL89" s="286"/>
      <c r="AM89" s="286"/>
      <c r="AN89" s="286"/>
      <c r="AO89" s="286"/>
      <c r="AP89" s="286"/>
      <c r="AQ89" s="286"/>
      <c r="AR89" s="286"/>
      <c r="AS89" s="286"/>
      <c r="AT89" s="286"/>
      <c r="AU89" s="286"/>
      <c r="AV89" s="284"/>
      <c r="AW89" s="284"/>
      <c r="AX89" s="284"/>
      <c r="AY89" s="284"/>
      <c r="AZ89" s="284"/>
      <c r="BA89" s="284"/>
      <c r="BB89" s="284"/>
      <c r="BC89" s="284"/>
      <c r="BD89" s="284"/>
      <c r="BE89" s="284"/>
      <c r="BF89" s="284"/>
      <c r="BG89" s="284"/>
      <c r="BH89" s="284"/>
      <c r="BI89" s="284"/>
      <c r="BJ89" s="284"/>
      <c r="BK89" s="284"/>
      <c r="BL89" s="284"/>
      <c r="BM89" s="284"/>
      <c r="BN89" s="284"/>
      <c r="BO89" s="284"/>
      <c r="BP89" s="284"/>
      <c r="BQ89" s="284"/>
      <c r="BR89" s="284"/>
      <c r="BS89" s="284"/>
      <c r="BT89" s="284"/>
      <c r="BU89" s="284"/>
      <c r="BV89" s="284"/>
      <c r="BW89" s="284"/>
      <c r="BX89" s="284"/>
      <c r="BY89" s="284"/>
      <c r="BZ89" s="285"/>
      <c r="CA89" s="298">
        <f>SUM(C89,E89,G89,I89,K89,M89,O89,Q89,S89,U89,W89,Y89,AA89,AC89,AE89,AG89,AI89,AK89,AM89,AO89,AQ89,AS89,AU89,AW89,AY89,BA89,BC89,BE89,BG89,BI89,BK89,BM89,BO89,BQ89,BS89,BU89,BW89,BY89)</f>
        <v>0</v>
      </c>
      <c r="CB89" s="298">
        <f>SUM(D89,F89,H89,J89,L89,N89,P89,R89,T89,V89,X89,Z89,AB89,AD89,AF89,AH89,AJ89,AL89,AN89,AP89,AR89,AT89,AV89,AX89,AZ89,BB89,BD89,BF89,BH89,BJ89,BL89,BN89,BP89,BR89,BT89,BV89,BX89,BZ89)</f>
        <v>0</v>
      </c>
      <c r="CC89" s="299">
        <f>SUM(Table13[[#This Row],[GOALS 1]:[ASSISTS 38]])</f>
        <v>0</v>
      </c>
    </row>
    <row r="90" spans="1:81">
      <c r="A90" s="291" t="s">
        <v>1647</v>
      </c>
      <c r="B90" s="291" t="s">
        <v>634</v>
      </c>
      <c r="C90" s="288"/>
      <c r="D90" s="286"/>
      <c r="E90" s="288"/>
      <c r="F90" s="286"/>
      <c r="G90" s="288"/>
      <c r="H90" s="286"/>
      <c r="I90" s="288"/>
      <c r="J90" s="286"/>
      <c r="K90" s="288"/>
      <c r="L90" s="286"/>
      <c r="M90" s="288"/>
      <c r="N90" s="286"/>
      <c r="O90" s="288"/>
      <c r="P90" s="286"/>
      <c r="Q90" s="288"/>
      <c r="R90" s="286"/>
      <c r="S90" s="288"/>
      <c r="T90" s="286"/>
      <c r="U90" s="288"/>
      <c r="V90" s="286"/>
      <c r="W90" s="288"/>
      <c r="X90" s="286"/>
      <c r="Y90" s="288"/>
      <c r="Z90" s="286"/>
      <c r="AA90" s="288"/>
      <c r="AB90" s="286"/>
      <c r="AC90" s="288"/>
      <c r="AD90" s="286"/>
      <c r="AE90" s="288"/>
      <c r="AF90" s="286"/>
      <c r="AG90" s="288"/>
      <c r="AH90" s="286"/>
      <c r="AI90" s="288"/>
      <c r="AJ90" s="286"/>
      <c r="AK90" s="286"/>
      <c r="AL90" s="286"/>
      <c r="AM90" s="286"/>
      <c r="AN90" s="286"/>
      <c r="AO90" s="286"/>
      <c r="AP90" s="286"/>
      <c r="AQ90" s="286"/>
      <c r="AR90" s="286"/>
      <c r="AS90" s="286"/>
      <c r="AT90" s="286"/>
      <c r="AU90" s="286"/>
      <c r="AV90" s="284"/>
      <c r="AW90" s="284"/>
      <c r="AX90" s="284"/>
      <c r="AY90" s="284"/>
      <c r="AZ90" s="284"/>
      <c r="BA90" s="284"/>
      <c r="BB90" s="284"/>
      <c r="BC90" s="284"/>
      <c r="BD90" s="284"/>
      <c r="BE90" s="284"/>
      <c r="BF90" s="284"/>
      <c r="BG90" s="284"/>
      <c r="BH90" s="284"/>
      <c r="BI90" s="284"/>
      <c r="BJ90" s="284"/>
      <c r="BK90" s="284"/>
      <c r="BL90" s="284"/>
      <c r="BM90" s="284"/>
      <c r="BN90" s="284"/>
      <c r="BO90" s="284"/>
      <c r="BP90" s="284"/>
      <c r="BQ90" s="284"/>
      <c r="BR90" s="284"/>
      <c r="BS90" s="284"/>
      <c r="BT90" s="284"/>
      <c r="BU90" s="284"/>
      <c r="BV90" s="284"/>
      <c r="BW90" s="284"/>
      <c r="BX90" s="284"/>
      <c r="BY90" s="284"/>
      <c r="BZ90" s="285"/>
      <c r="CA90" s="298">
        <f>SUM(C90,E90,G90,I90,K90,M90,O90,Q90,S90,U90,W90,Y90,AA90,AC90,AE90,AG90,AI90,AK90,AM90,AO90,AQ90,AS90,AU90,AW90,AY90,BA90,BC90,BE90,BG90,BI90,BK90,BM90,BO90,BQ90,BS90,BU90,BW90,BY90)</f>
        <v>0</v>
      </c>
      <c r="CB90" s="298">
        <f>SUM(D90,F90,H90,J90,L90,N90,P90,R90,T90,V90,X90,Z90,AB90,AD90,AF90,AH90,AJ90,AL90,AN90,AP90,AR90,AT90,AV90,AX90,AZ90,BB90,BD90,BF90,BH90,BJ90,BL90,BN90,BP90,BR90,BT90,BV90,BX90,BZ90)</f>
        <v>0</v>
      </c>
      <c r="CC90" s="299">
        <f>SUM(Table13[[#This Row],[GOALS 1]:[ASSISTS 38]])</f>
        <v>0</v>
      </c>
    </row>
    <row r="91" spans="1:81">
      <c r="A91" s="291" t="s">
        <v>1895</v>
      </c>
      <c r="B91" s="291" t="s">
        <v>634</v>
      </c>
      <c r="C91" s="288"/>
      <c r="D91" s="286"/>
      <c r="E91" s="288"/>
      <c r="F91" s="286"/>
      <c r="G91" s="288"/>
      <c r="H91" s="286"/>
      <c r="I91" s="288"/>
      <c r="J91" s="286"/>
      <c r="K91" s="288"/>
      <c r="L91" s="286"/>
      <c r="M91" s="288"/>
      <c r="N91" s="286"/>
      <c r="O91" s="288"/>
      <c r="P91" s="286"/>
      <c r="Q91" s="288"/>
      <c r="R91" s="286"/>
      <c r="S91" s="288"/>
      <c r="T91" s="286"/>
      <c r="U91" s="288"/>
      <c r="V91" s="286"/>
      <c r="W91" s="288"/>
      <c r="X91" s="286"/>
      <c r="Y91" s="288"/>
      <c r="Z91" s="286"/>
      <c r="AA91" s="288"/>
      <c r="AB91" s="286"/>
      <c r="AC91" s="288"/>
      <c r="AD91" s="286"/>
      <c r="AE91" s="288"/>
      <c r="AF91" s="286"/>
      <c r="AG91" s="288"/>
      <c r="AH91" s="286"/>
      <c r="AI91" s="288"/>
      <c r="AJ91" s="286"/>
      <c r="AK91" s="286"/>
      <c r="AL91" s="286"/>
      <c r="AM91" s="286"/>
      <c r="AN91" s="286"/>
      <c r="AO91" s="286"/>
      <c r="AP91" s="286"/>
      <c r="AQ91" s="286"/>
      <c r="AR91" s="286"/>
      <c r="AS91" s="286"/>
      <c r="AT91" s="286"/>
      <c r="AU91" s="286"/>
      <c r="AV91" s="284"/>
      <c r="AW91" s="284"/>
      <c r="AX91" s="284"/>
      <c r="AY91" s="284"/>
      <c r="AZ91" s="284"/>
      <c r="BA91" s="284"/>
      <c r="BB91" s="284"/>
      <c r="BC91" s="284"/>
      <c r="BD91" s="284"/>
      <c r="BE91" s="284"/>
      <c r="BF91" s="284"/>
      <c r="BG91" s="284"/>
      <c r="BH91" s="284"/>
      <c r="BI91" s="284"/>
      <c r="BJ91" s="284"/>
      <c r="BK91" s="284"/>
      <c r="BL91" s="284"/>
      <c r="BM91" s="284"/>
      <c r="BN91" s="284"/>
      <c r="BO91" s="284"/>
      <c r="BP91" s="284"/>
      <c r="BQ91" s="284"/>
      <c r="BR91" s="284"/>
      <c r="BS91" s="284"/>
      <c r="BT91" s="284"/>
      <c r="BU91" s="284"/>
      <c r="BV91" s="284"/>
      <c r="BW91" s="284"/>
      <c r="BX91" s="284"/>
      <c r="BY91" s="284"/>
      <c r="BZ91" s="285"/>
      <c r="CA91" s="298">
        <f>SUM(C91,E91,G91,I91,K91,M91,O91,Q91,S91,U91,W91,Y91,AA91,AC91,AE91,AG91,AI91,AK91,AM91,AO91,AQ91,AS91,AU91,AW91,AY91,BA91,BC91,BE91,BG91,BI91,BK91,BM91,BO91,BQ91,BS91,BU91,BW91,BY91)</f>
        <v>0</v>
      </c>
      <c r="CB91" s="298">
        <f>SUM(D91,F91,H91,J91,L91,N91,P91,R91,T91,V91,X91,Z91,AB91,AD91,AF91,AH91,AJ91,AL91,AN91,AP91,AR91,AT91,AV91,AX91,AZ91,BB91,BD91,BF91,BH91,BJ91,BL91,BN91,BP91,BR91,BT91,BV91,BX91,BZ91)</f>
        <v>0</v>
      </c>
      <c r="CC91" s="299">
        <f>SUM(Table13[[#This Row],[GOALS 1]:[ASSISTS 38]])</f>
        <v>0</v>
      </c>
    </row>
    <row r="92" spans="1:81">
      <c r="A92" s="291" t="s">
        <v>1762</v>
      </c>
      <c r="B92" s="291" t="s">
        <v>634</v>
      </c>
      <c r="C92" s="288"/>
      <c r="D92" s="286"/>
      <c r="E92" s="288"/>
      <c r="F92" s="286"/>
      <c r="G92" s="288"/>
      <c r="H92" s="286"/>
      <c r="I92" s="288"/>
      <c r="J92" s="286"/>
      <c r="K92" s="288"/>
      <c r="L92" s="286"/>
      <c r="M92" s="288"/>
      <c r="N92" s="286"/>
      <c r="O92" s="288"/>
      <c r="P92" s="286"/>
      <c r="Q92" s="288"/>
      <c r="R92" s="286"/>
      <c r="S92" s="288"/>
      <c r="T92" s="286"/>
      <c r="U92" s="288"/>
      <c r="V92" s="286"/>
      <c r="W92" s="288"/>
      <c r="X92" s="286"/>
      <c r="Y92" s="288"/>
      <c r="Z92" s="286"/>
      <c r="AA92" s="288"/>
      <c r="AB92" s="286"/>
      <c r="AC92" s="288"/>
      <c r="AD92" s="286"/>
      <c r="AE92" s="288"/>
      <c r="AF92" s="286"/>
      <c r="AG92" s="288"/>
      <c r="AH92" s="286"/>
      <c r="AI92" s="288"/>
      <c r="AJ92" s="286"/>
      <c r="AK92" s="286"/>
      <c r="AL92" s="286"/>
      <c r="AM92" s="286"/>
      <c r="AN92" s="286"/>
      <c r="AO92" s="286"/>
      <c r="AP92" s="286"/>
      <c r="AQ92" s="286"/>
      <c r="AR92" s="286"/>
      <c r="AS92" s="286"/>
      <c r="AT92" s="286"/>
      <c r="AU92" s="286"/>
      <c r="AV92" s="284"/>
      <c r="AW92" s="284"/>
      <c r="AX92" s="284"/>
      <c r="AY92" s="284"/>
      <c r="AZ92" s="284"/>
      <c r="BA92" s="284"/>
      <c r="BB92" s="284"/>
      <c r="BC92" s="284"/>
      <c r="BD92" s="284"/>
      <c r="BE92" s="284"/>
      <c r="BF92" s="284"/>
      <c r="BG92" s="284"/>
      <c r="BH92" s="284"/>
      <c r="BI92" s="284"/>
      <c r="BJ92" s="284"/>
      <c r="BK92" s="284"/>
      <c r="BL92" s="284"/>
      <c r="BM92" s="284"/>
      <c r="BN92" s="284"/>
      <c r="BO92" s="284"/>
      <c r="BP92" s="284"/>
      <c r="BQ92" s="284"/>
      <c r="BR92" s="284"/>
      <c r="BS92" s="284"/>
      <c r="BT92" s="284"/>
      <c r="BU92" s="284"/>
      <c r="BV92" s="284"/>
      <c r="BW92" s="284"/>
      <c r="BX92" s="284"/>
      <c r="BY92" s="284"/>
      <c r="BZ92" s="285"/>
      <c r="CA92" s="298">
        <f>SUM(C92,E92,G92,I92,K92,M92,O92,Q92,S92,U92,W92,Y92,AA92,AC92,AE92,AG92,AI92,AK92,AM92,AO92,AQ92,AS92,AU92,AW92,AY92,BA92,BC92,BE92,BG92,BI92,BK92,BM92,BO92,BQ92,BS92,BU92,BW92,BY92)</f>
        <v>0</v>
      </c>
      <c r="CB92" s="298">
        <f>SUM(D92,F92,H92,J92,L92,N92,P92,R92,T92,V92,X92,Z92,AB92,AD92,AF92,AH92,AJ92,AL92,AN92,AP92,AR92,AT92,AV92,AX92,AZ92,BB92,BD92,BF92,BH92,BJ92,BL92,BN92,BP92,BR92,BT92,BV92,BX92,BZ92)</f>
        <v>0</v>
      </c>
      <c r="CC92" s="299">
        <f>SUM(Table13[[#This Row],[GOALS 1]:[ASSISTS 38]])</f>
        <v>0</v>
      </c>
    </row>
    <row r="93" spans="1:81">
      <c r="A93" s="291" t="s">
        <v>1339</v>
      </c>
      <c r="B93" s="291" t="s">
        <v>30</v>
      </c>
      <c r="C93" s="288"/>
      <c r="D93" s="286"/>
      <c r="E93" s="288"/>
      <c r="F93" s="286"/>
      <c r="G93" s="288"/>
      <c r="H93" s="286"/>
      <c r="I93" s="288"/>
      <c r="J93" s="286"/>
      <c r="K93" s="288"/>
      <c r="L93" s="286"/>
      <c r="M93" s="288"/>
      <c r="N93" s="286"/>
      <c r="O93" s="288"/>
      <c r="P93" s="286"/>
      <c r="Q93" s="288"/>
      <c r="R93" s="286"/>
      <c r="S93" s="288"/>
      <c r="T93" s="286"/>
      <c r="U93" s="288"/>
      <c r="V93" s="286"/>
      <c r="W93" s="288"/>
      <c r="X93" s="286"/>
      <c r="Y93" s="288"/>
      <c r="Z93" s="286"/>
      <c r="AA93" s="288"/>
      <c r="AB93" s="286"/>
      <c r="AC93" s="288"/>
      <c r="AD93" s="286"/>
      <c r="AE93" s="288"/>
      <c r="AF93" s="286"/>
      <c r="AG93" s="288"/>
      <c r="AH93" s="286"/>
      <c r="AI93" s="288"/>
      <c r="AJ93" s="286"/>
      <c r="AK93" s="286"/>
      <c r="AL93" s="286"/>
      <c r="AM93" s="286"/>
      <c r="AN93" s="286"/>
      <c r="AO93" s="286"/>
      <c r="AP93" s="286"/>
      <c r="AQ93" s="286"/>
      <c r="AR93" s="286"/>
      <c r="AS93" s="286"/>
      <c r="AT93" s="286"/>
      <c r="AU93" s="286"/>
      <c r="AV93" s="284"/>
      <c r="AW93" s="284"/>
      <c r="AX93" s="284"/>
      <c r="AY93" s="284"/>
      <c r="AZ93" s="284"/>
      <c r="BA93" s="284"/>
      <c r="BB93" s="284"/>
      <c r="BC93" s="284"/>
      <c r="BD93" s="284"/>
      <c r="BE93" s="284"/>
      <c r="BF93" s="284"/>
      <c r="BG93" s="284"/>
      <c r="BH93" s="284"/>
      <c r="BI93" s="284"/>
      <c r="BJ93" s="284"/>
      <c r="BK93" s="284"/>
      <c r="BL93" s="284"/>
      <c r="BM93" s="284"/>
      <c r="BN93" s="284"/>
      <c r="BO93" s="284"/>
      <c r="BP93" s="284"/>
      <c r="BQ93" s="284"/>
      <c r="BR93" s="284"/>
      <c r="BS93" s="284"/>
      <c r="BT93" s="284"/>
      <c r="BU93" s="284"/>
      <c r="BV93" s="284"/>
      <c r="BW93" s="284"/>
      <c r="BX93" s="284"/>
      <c r="BY93" s="284"/>
      <c r="BZ93" s="285"/>
      <c r="CA93" s="298">
        <f>SUM(C93,E93,G93,I93,K93,M93,O93,Q93,S93,U93,W93,Y93,AA93,AC93,AE93,AG93,AI93,AK93,AM93,AO93,AQ93,AS93,AU93,AW93,AY93,BA93,BC93,BE93,BG93,BI93,BK93,BM93,BO93,BQ93,BS93,BU93,BW93,BY93)</f>
        <v>0</v>
      </c>
      <c r="CB93" s="298">
        <f>SUM(D93,F93,H93,J93,L93,N93,P93,R93,T93,V93,X93,Z93,AB93,AD93,AF93,AH93,AJ93,AL93,AN93,AP93,AR93,AT93,AV93,AX93,AZ93,BB93,BD93,BF93,BH93,BJ93,BL93,BN93,BP93,BR93,BT93,BV93,BX93,BZ93)</f>
        <v>0</v>
      </c>
      <c r="CC93" s="299">
        <f>SUM(Table13[[#This Row],[GOALS 1]:[ASSISTS 38]])</f>
        <v>0</v>
      </c>
    </row>
    <row r="94" spans="1:81">
      <c r="A94" s="291" t="s">
        <v>1842</v>
      </c>
      <c r="B94" s="291" t="s">
        <v>633</v>
      </c>
      <c r="C94" s="289"/>
      <c r="D94" s="286"/>
      <c r="E94" s="288"/>
      <c r="F94" s="286"/>
      <c r="G94" s="288"/>
      <c r="H94" s="286"/>
      <c r="I94" s="288"/>
      <c r="J94" s="286"/>
      <c r="K94" s="288"/>
      <c r="L94" s="286"/>
      <c r="M94" s="288"/>
      <c r="N94" s="286"/>
      <c r="O94" s="288"/>
      <c r="P94" s="286"/>
      <c r="Q94" s="288"/>
      <c r="R94" s="286"/>
      <c r="S94" s="288"/>
      <c r="T94" s="286"/>
      <c r="U94" s="288"/>
      <c r="V94" s="286"/>
      <c r="W94" s="288"/>
      <c r="X94" s="286"/>
      <c r="Y94" s="288"/>
      <c r="Z94" s="286"/>
      <c r="AA94" s="288"/>
      <c r="AB94" s="286"/>
      <c r="AC94" s="288"/>
      <c r="AD94" s="286"/>
      <c r="AE94" s="288"/>
      <c r="AF94" s="286"/>
      <c r="AG94" s="288"/>
      <c r="AH94" s="286"/>
      <c r="AI94" s="288"/>
      <c r="AJ94" s="286"/>
      <c r="AK94" s="286"/>
      <c r="AL94" s="286"/>
      <c r="AM94" s="286"/>
      <c r="AN94" s="286"/>
      <c r="AO94" s="286"/>
      <c r="AP94" s="286"/>
      <c r="AQ94" s="286"/>
      <c r="AR94" s="286"/>
      <c r="AS94" s="286"/>
      <c r="AT94" s="286"/>
      <c r="AU94" s="286"/>
      <c r="AV94" s="284"/>
      <c r="AW94" s="284"/>
      <c r="AX94" s="284"/>
      <c r="AY94" s="284"/>
      <c r="AZ94" s="284"/>
      <c r="BA94" s="284"/>
      <c r="BB94" s="284"/>
      <c r="BC94" s="284"/>
      <c r="BD94" s="284"/>
      <c r="BE94" s="284"/>
      <c r="BF94" s="284"/>
      <c r="BG94" s="284"/>
      <c r="BH94" s="284"/>
      <c r="BI94" s="284"/>
      <c r="BJ94" s="284"/>
      <c r="BK94" s="284"/>
      <c r="BL94" s="284"/>
      <c r="BM94" s="284"/>
      <c r="BN94" s="284"/>
      <c r="BO94" s="284"/>
      <c r="BP94" s="284"/>
      <c r="BQ94" s="284"/>
      <c r="BR94" s="284"/>
      <c r="BS94" s="284"/>
      <c r="BT94" s="284"/>
      <c r="BU94" s="284"/>
      <c r="BV94" s="284"/>
      <c r="BW94" s="284"/>
      <c r="BX94" s="284"/>
      <c r="BY94" s="284"/>
      <c r="BZ94" s="285"/>
      <c r="CA94" s="298">
        <f>SUM(C94,E94,G94,I94,K94,M94,O94,Q94,S94,U94,W94,Y94,AA94,AC94,AE94,AG94,AI94,AK94,AM94,AO94,AQ94,AS94,AU94,AW94,AY94,BA94,BC94,BE94,BG94,BI94,BK94,BM94,BO94,BQ94,BS94,BU94,BW94,BY94)</f>
        <v>0</v>
      </c>
      <c r="CB94" s="298">
        <f>SUM(D94,F94,H94,J94,L94,N94,P94,R94,T94,V94,X94,Z94,AB94,AD94,AF94,AH94,AJ94,AL94,AN94,AP94,AR94,AT94,AV94,AX94,AZ94,BB94,BD94,BF94,BH94,BJ94,BL94,BN94,BP94,BR94,BT94,BV94,BX94,BZ94)</f>
        <v>0</v>
      </c>
      <c r="CC94" s="299">
        <f>SUM(Table13[[#This Row],[GOALS 1]:[ASSISTS 38]])</f>
        <v>0</v>
      </c>
    </row>
    <row r="95" spans="1:81">
      <c r="A95" s="291" t="s">
        <v>1812</v>
      </c>
      <c r="B95" s="291" t="s">
        <v>25</v>
      </c>
      <c r="C95" s="288"/>
      <c r="D95" s="286"/>
      <c r="E95" s="288"/>
      <c r="F95" s="286"/>
      <c r="G95" s="288"/>
      <c r="H95" s="286"/>
      <c r="I95" s="288"/>
      <c r="J95" s="286"/>
      <c r="K95" s="288"/>
      <c r="L95" s="286"/>
      <c r="M95" s="288"/>
      <c r="N95" s="286"/>
      <c r="O95" s="288"/>
      <c r="P95" s="286"/>
      <c r="Q95" s="288"/>
      <c r="R95" s="286"/>
      <c r="S95" s="288"/>
      <c r="T95" s="286"/>
      <c r="U95" s="288"/>
      <c r="V95" s="286"/>
      <c r="W95" s="288"/>
      <c r="X95" s="286"/>
      <c r="Y95" s="288"/>
      <c r="Z95" s="286"/>
      <c r="AA95" s="288"/>
      <c r="AB95" s="286"/>
      <c r="AC95" s="288"/>
      <c r="AD95" s="286"/>
      <c r="AE95" s="288"/>
      <c r="AF95" s="286"/>
      <c r="AG95" s="288"/>
      <c r="AH95" s="286"/>
      <c r="AI95" s="288"/>
      <c r="AJ95" s="286"/>
      <c r="AK95" s="286"/>
      <c r="AL95" s="286"/>
      <c r="AM95" s="286"/>
      <c r="AN95" s="286"/>
      <c r="AO95" s="286"/>
      <c r="AP95" s="286"/>
      <c r="AQ95" s="286"/>
      <c r="AR95" s="286"/>
      <c r="AS95" s="286"/>
      <c r="AT95" s="286"/>
      <c r="AU95" s="286"/>
      <c r="AV95" s="284"/>
      <c r="AW95" s="284"/>
      <c r="AX95" s="284"/>
      <c r="AY95" s="284"/>
      <c r="AZ95" s="284"/>
      <c r="BA95" s="284"/>
      <c r="BB95" s="284"/>
      <c r="BC95" s="284"/>
      <c r="BD95" s="284"/>
      <c r="BE95" s="284"/>
      <c r="BF95" s="284"/>
      <c r="BG95" s="284"/>
      <c r="BH95" s="284"/>
      <c r="BI95" s="284"/>
      <c r="BJ95" s="284"/>
      <c r="BK95" s="284"/>
      <c r="BL95" s="284"/>
      <c r="BM95" s="284"/>
      <c r="BN95" s="284"/>
      <c r="BO95" s="284"/>
      <c r="BP95" s="284"/>
      <c r="BQ95" s="284"/>
      <c r="BR95" s="284"/>
      <c r="BS95" s="284"/>
      <c r="BT95" s="284"/>
      <c r="BU95" s="284"/>
      <c r="BV95" s="284"/>
      <c r="BW95" s="284"/>
      <c r="BX95" s="284"/>
      <c r="BY95" s="284"/>
      <c r="BZ95" s="285"/>
      <c r="CA95" s="298">
        <f>SUM(C95,E95,G95,I95,K95,M95,O95,Q95,S95,U95,W95,Y95,AA95,AC95,AE95,AG95,AI95,AK95,AM95,AO95,AQ95,AS95,AU95,AW95,AY95,BA95,BC95,BE95,BG95,BI95,BK95,BM95,BO95,BQ95,BS95,BU95,BW95,BY95)</f>
        <v>0</v>
      </c>
      <c r="CB95" s="298">
        <f>SUM(D95,F95,H95,J95,L95,N95,P95,R95,T95,V95,X95,Z95,AB95,AD95,AF95,AH95,AJ95,AL95,AN95,AP95,AR95,AT95,AV95,AX95,AZ95,BB95,BD95,BF95,BH95,BJ95,BL95,BN95,BP95,BR95,BT95,BV95,BX95,BZ95)</f>
        <v>0</v>
      </c>
      <c r="CC95" s="299">
        <f>SUM(Table13[[#This Row],[GOALS 1]:[ASSISTS 38]])</f>
        <v>0</v>
      </c>
    </row>
    <row r="96" spans="1:81">
      <c r="A96" s="291" t="s">
        <v>1877</v>
      </c>
      <c r="B96" s="291" t="s">
        <v>43</v>
      </c>
      <c r="C96" s="288"/>
      <c r="D96" s="286"/>
      <c r="E96" s="288"/>
      <c r="F96" s="286"/>
      <c r="G96" s="288"/>
      <c r="H96" s="286"/>
      <c r="I96" s="288"/>
      <c r="J96" s="286"/>
      <c r="K96" s="288"/>
      <c r="L96" s="286"/>
      <c r="M96" s="288"/>
      <c r="N96" s="286"/>
      <c r="O96" s="288"/>
      <c r="P96" s="286"/>
      <c r="Q96" s="288"/>
      <c r="R96" s="286"/>
      <c r="S96" s="288"/>
      <c r="T96" s="286"/>
      <c r="U96" s="288"/>
      <c r="V96" s="286"/>
      <c r="W96" s="288"/>
      <c r="X96" s="286"/>
      <c r="Y96" s="288"/>
      <c r="Z96" s="286"/>
      <c r="AA96" s="288"/>
      <c r="AB96" s="286"/>
      <c r="AC96" s="288"/>
      <c r="AD96" s="286"/>
      <c r="AE96" s="288"/>
      <c r="AF96" s="286"/>
      <c r="AG96" s="288"/>
      <c r="AH96" s="286"/>
      <c r="AI96" s="288"/>
      <c r="AJ96" s="286"/>
      <c r="AK96" s="286"/>
      <c r="AL96" s="286"/>
      <c r="AM96" s="286"/>
      <c r="AN96" s="286"/>
      <c r="AO96" s="286"/>
      <c r="AP96" s="286"/>
      <c r="AQ96" s="286"/>
      <c r="AR96" s="286"/>
      <c r="AS96" s="286"/>
      <c r="AT96" s="286"/>
      <c r="AU96" s="286"/>
      <c r="AV96" s="284"/>
      <c r="AW96" s="284"/>
      <c r="AX96" s="284"/>
      <c r="AY96" s="284"/>
      <c r="AZ96" s="284"/>
      <c r="BA96" s="284"/>
      <c r="BB96" s="284"/>
      <c r="BC96" s="284"/>
      <c r="BD96" s="284"/>
      <c r="BE96" s="284"/>
      <c r="BF96" s="284"/>
      <c r="BG96" s="284"/>
      <c r="BH96" s="284"/>
      <c r="BI96" s="284"/>
      <c r="BJ96" s="284"/>
      <c r="BK96" s="284"/>
      <c r="BL96" s="284"/>
      <c r="BM96" s="284"/>
      <c r="BN96" s="284"/>
      <c r="BO96" s="284"/>
      <c r="BP96" s="284"/>
      <c r="BQ96" s="284"/>
      <c r="BR96" s="284"/>
      <c r="BS96" s="284"/>
      <c r="BT96" s="284"/>
      <c r="BU96" s="284"/>
      <c r="BV96" s="284"/>
      <c r="BW96" s="284"/>
      <c r="BX96" s="284"/>
      <c r="BY96" s="284"/>
      <c r="BZ96" s="285"/>
      <c r="CA96" s="298">
        <f>SUM(C96,E96,G96,I96,K96,M96,O96,Q96,S96,U96,W96,Y96,AA96,AC96,AE96,AG96,AI96,AK96,AM96,AO96,AQ96,AS96,AU96,AW96,AY96,BA96,BC96,BE96,BG96,BI96,BK96,BM96,BO96,BQ96,BS96,BU96,BW96,BY96)</f>
        <v>0</v>
      </c>
      <c r="CB96" s="298">
        <f>SUM(D96,F96,H96,J96,L96,N96,P96,R96,T96,V96,X96,Z96,AB96,AD96,AF96,AH96,AJ96,AL96,AN96,AP96,AR96,AT96,AV96,AX96,AZ96,BB96,BD96,BF96,BH96,BJ96,BL96,BN96,BP96,BR96,BT96,BV96,BX96,BZ96)</f>
        <v>0</v>
      </c>
      <c r="CC96" s="299">
        <f>SUM(Table13[[#This Row],[GOALS 1]:[ASSISTS 38]])</f>
        <v>0</v>
      </c>
    </row>
    <row r="97" spans="1:81">
      <c r="A97" s="291" t="s">
        <v>1551</v>
      </c>
      <c r="B97" s="291" t="s">
        <v>43</v>
      </c>
      <c r="C97" s="288"/>
      <c r="D97" s="286"/>
      <c r="E97" s="288"/>
      <c r="F97" s="286"/>
      <c r="G97" s="288"/>
      <c r="H97" s="286"/>
      <c r="I97" s="288"/>
      <c r="J97" s="286"/>
      <c r="K97" s="288"/>
      <c r="L97" s="286"/>
      <c r="M97" s="288"/>
      <c r="N97" s="286"/>
      <c r="O97" s="288"/>
      <c r="P97" s="286"/>
      <c r="Q97" s="288"/>
      <c r="R97" s="286"/>
      <c r="S97" s="288"/>
      <c r="T97" s="286"/>
      <c r="U97" s="288"/>
      <c r="V97" s="286"/>
      <c r="W97" s="288"/>
      <c r="X97" s="286"/>
      <c r="Y97" s="288"/>
      <c r="Z97" s="286"/>
      <c r="AA97" s="288"/>
      <c r="AB97" s="286"/>
      <c r="AC97" s="288"/>
      <c r="AD97" s="286"/>
      <c r="AE97" s="288"/>
      <c r="AF97" s="286"/>
      <c r="AG97" s="288"/>
      <c r="AH97" s="286"/>
      <c r="AI97" s="288"/>
      <c r="AJ97" s="286"/>
      <c r="AK97" s="286"/>
      <c r="AL97" s="286"/>
      <c r="AM97" s="286"/>
      <c r="AN97" s="286"/>
      <c r="AO97" s="286"/>
      <c r="AP97" s="286"/>
      <c r="AQ97" s="286"/>
      <c r="AR97" s="286"/>
      <c r="AS97" s="286"/>
      <c r="AT97" s="286"/>
      <c r="AU97" s="286"/>
      <c r="AV97" s="284"/>
      <c r="AW97" s="284"/>
      <c r="AX97" s="284"/>
      <c r="AY97" s="284"/>
      <c r="AZ97" s="284"/>
      <c r="BA97" s="284"/>
      <c r="BB97" s="284"/>
      <c r="BC97" s="284"/>
      <c r="BD97" s="284"/>
      <c r="BE97" s="284"/>
      <c r="BF97" s="284"/>
      <c r="BG97" s="284"/>
      <c r="BH97" s="284"/>
      <c r="BI97" s="284"/>
      <c r="BJ97" s="284"/>
      <c r="BK97" s="284"/>
      <c r="BL97" s="284"/>
      <c r="BM97" s="284"/>
      <c r="BN97" s="284"/>
      <c r="BO97" s="284"/>
      <c r="BP97" s="284"/>
      <c r="BQ97" s="284"/>
      <c r="BR97" s="284"/>
      <c r="BS97" s="284"/>
      <c r="BT97" s="284"/>
      <c r="BU97" s="284"/>
      <c r="BV97" s="284"/>
      <c r="BW97" s="284"/>
      <c r="BX97" s="284"/>
      <c r="BY97" s="284"/>
      <c r="BZ97" s="285"/>
      <c r="CA97" s="298">
        <f>SUM(C97,E97,G97,I97,K97,M97,O97,Q97,S97,U97,W97,Y97,AA97,AC97,AE97,AG97,AI97,AK97,AM97,AO97,AQ97,AS97,AU97,AW97,AY97,BA97,BC97,BE97,BG97,BI97,BK97,BM97,BO97,BQ97,BS97,BU97,BW97,BY97)</f>
        <v>0</v>
      </c>
      <c r="CB97" s="298">
        <f>SUM(D97,F97,H97,J97,L97,N97,P97,R97,T97,V97,X97,Z97,AB97,AD97,AF97,AH97,AJ97,AL97,AN97,AP97,AR97,AT97,AV97,AX97,AZ97,BB97,BD97,BF97,BH97,BJ97,BL97,BN97,BP97,BR97,BT97,BV97,BX97,BZ97)</f>
        <v>0</v>
      </c>
      <c r="CC97" s="299">
        <f>SUM(Table13[[#This Row],[GOALS 1]:[ASSISTS 38]])</f>
        <v>0</v>
      </c>
    </row>
    <row r="98" spans="1:81">
      <c r="A98" s="291" t="s">
        <v>1275</v>
      </c>
      <c r="B98" s="291" t="s">
        <v>25</v>
      </c>
      <c r="C98" s="288"/>
      <c r="D98" s="286"/>
      <c r="E98" s="288"/>
      <c r="F98" s="286"/>
      <c r="G98" s="288"/>
      <c r="H98" s="286"/>
      <c r="I98" s="288"/>
      <c r="J98" s="286"/>
      <c r="K98" s="288"/>
      <c r="L98" s="286"/>
      <c r="M98" s="288"/>
      <c r="N98" s="286"/>
      <c r="O98" s="288"/>
      <c r="P98" s="286"/>
      <c r="Q98" s="288"/>
      <c r="R98" s="286"/>
      <c r="S98" s="288"/>
      <c r="T98" s="286"/>
      <c r="U98" s="288"/>
      <c r="V98" s="286"/>
      <c r="W98" s="288"/>
      <c r="X98" s="286"/>
      <c r="Y98" s="288"/>
      <c r="Z98" s="286"/>
      <c r="AA98" s="288"/>
      <c r="AB98" s="286"/>
      <c r="AC98" s="288"/>
      <c r="AD98" s="286"/>
      <c r="AE98" s="288"/>
      <c r="AF98" s="286"/>
      <c r="AG98" s="288"/>
      <c r="AH98" s="286"/>
      <c r="AI98" s="288"/>
      <c r="AJ98" s="286"/>
      <c r="AK98" s="286"/>
      <c r="AL98" s="286"/>
      <c r="AM98" s="286"/>
      <c r="AN98" s="286"/>
      <c r="AO98" s="286"/>
      <c r="AP98" s="286"/>
      <c r="AQ98" s="286"/>
      <c r="AR98" s="286"/>
      <c r="AS98" s="286"/>
      <c r="AT98" s="286"/>
      <c r="AU98" s="286"/>
      <c r="AV98" s="284"/>
      <c r="AW98" s="284"/>
      <c r="AX98" s="284"/>
      <c r="AY98" s="284"/>
      <c r="AZ98" s="284"/>
      <c r="BA98" s="284"/>
      <c r="BB98" s="284"/>
      <c r="BC98" s="284"/>
      <c r="BD98" s="284"/>
      <c r="BE98" s="284"/>
      <c r="BF98" s="284"/>
      <c r="BG98" s="284"/>
      <c r="BH98" s="284"/>
      <c r="BI98" s="284"/>
      <c r="BJ98" s="284"/>
      <c r="BK98" s="284"/>
      <c r="BL98" s="284"/>
      <c r="BM98" s="284"/>
      <c r="BN98" s="284"/>
      <c r="BO98" s="284"/>
      <c r="BP98" s="284"/>
      <c r="BQ98" s="284"/>
      <c r="BR98" s="284"/>
      <c r="BS98" s="284"/>
      <c r="BT98" s="284"/>
      <c r="BU98" s="284"/>
      <c r="BV98" s="284"/>
      <c r="BW98" s="284"/>
      <c r="BX98" s="284"/>
      <c r="BY98" s="284"/>
      <c r="BZ98" s="285"/>
      <c r="CA98" s="298">
        <f>SUM(C98,E98,G98,I98,K98,M98,O98,Q98,S98,U98,W98,Y98,AA98,AC98,AE98,AG98,AI98,AK98,AM98,AO98,AQ98,AS98,AU98,AW98,AY98,BA98,BC98,BE98,BG98,BI98,BK98,BM98,BO98,BQ98,BS98,BU98,BW98,BY98)</f>
        <v>0</v>
      </c>
      <c r="CB98" s="298">
        <f>SUM(D98,F98,H98,J98,L98,N98,P98,R98,T98,V98,X98,Z98,AB98,AD98,AF98,AH98,AJ98,AL98,AN98,AP98,AR98,AT98,AV98,AX98,AZ98,BB98,BD98,BF98,BH98,BJ98,BL98,BN98,BP98,BR98,BT98,BV98,BX98,BZ98)</f>
        <v>0</v>
      </c>
      <c r="CC98" s="299">
        <f>SUM(Table13[[#This Row],[GOALS 1]:[ASSISTS 38]])</f>
        <v>0</v>
      </c>
    </row>
    <row r="99" spans="1:81">
      <c r="A99" s="291" t="s">
        <v>1800</v>
      </c>
      <c r="B99" s="291" t="s">
        <v>51</v>
      </c>
      <c r="C99" s="288"/>
      <c r="D99" s="286"/>
      <c r="E99" s="288"/>
      <c r="F99" s="286"/>
      <c r="G99" s="288"/>
      <c r="H99" s="286"/>
      <c r="I99" s="288"/>
      <c r="J99" s="286"/>
      <c r="K99" s="288"/>
      <c r="L99" s="286"/>
      <c r="M99" s="288"/>
      <c r="N99" s="286"/>
      <c r="O99" s="288"/>
      <c r="P99" s="286"/>
      <c r="Q99" s="288"/>
      <c r="R99" s="286"/>
      <c r="S99" s="288"/>
      <c r="T99" s="286"/>
      <c r="U99" s="288"/>
      <c r="V99" s="286"/>
      <c r="W99" s="288"/>
      <c r="X99" s="286"/>
      <c r="Y99" s="288"/>
      <c r="Z99" s="286"/>
      <c r="AA99" s="288"/>
      <c r="AB99" s="286"/>
      <c r="AC99" s="288"/>
      <c r="AD99" s="286"/>
      <c r="AE99" s="288"/>
      <c r="AF99" s="286"/>
      <c r="AG99" s="288"/>
      <c r="AH99" s="286"/>
      <c r="AI99" s="288"/>
      <c r="AJ99" s="286"/>
      <c r="AK99" s="286"/>
      <c r="AL99" s="286"/>
      <c r="AM99" s="286"/>
      <c r="AN99" s="286"/>
      <c r="AO99" s="286"/>
      <c r="AP99" s="286"/>
      <c r="AQ99" s="286"/>
      <c r="AR99" s="286"/>
      <c r="AS99" s="286"/>
      <c r="AT99" s="286"/>
      <c r="AU99" s="286"/>
      <c r="AV99" s="284"/>
      <c r="AW99" s="284"/>
      <c r="AX99" s="284"/>
      <c r="AY99" s="284"/>
      <c r="AZ99" s="284"/>
      <c r="BA99" s="284"/>
      <c r="BB99" s="284"/>
      <c r="BC99" s="284"/>
      <c r="BD99" s="284"/>
      <c r="BE99" s="284"/>
      <c r="BF99" s="284"/>
      <c r="BG99" s="284"/>
      <c r="BH99" s="284"/>
      <c r="BI99" s="284"/>
      <c r="BJ99" s="284"/>
      <c r="BK99" s="284"/>
      <c r="BL99" s="284"/>
      <c r="BM99" s="284"/>
      <c r="BN99" s="284"/>
      <c r="BO99" s="284"/>
      <c r="BP99" s="284"/>
      <c r="BQ99" s="284"/>
      <c r="BR99" s="284"/>
      <c r="BS99" s="284"/>
      <c r="BT99" s="284"/>
      <c r="BU99" s="284"/>
      <c r="BV99" s="284"/>
      <c r="BW99" s="284"/>
      <c r="BX99" s="284"/>
      <c r="BY99" s="284"/>
      <c r="BZ99" s="285"/>
      <c r="CA99" s="298">
        <f>SUM(C99,E99,G99,I99,K99,M99,O99,Q99,S99,U99,W99,Y99,AA99,AC99,AE99,AG99,AI99,AK99,AM99,AO99,AQ99,AS99,AU99,AW99,AY99,BA99,BC99,BE99,BG99,BI99,BK99,BM99,BO99,BQ99,BS99,BU99,BW99,BY99)</f>
        <v>0</v>
      </c>
      <c r="CB99" s="298">
        <f>SUM(D99,F99,H99,J99,L99,N99,P99,R99,T99,V99,X99,Z99,AB99,AD99,AF99,AH99,AJ99,AL99,AN99,AP99,AR99,AT99,AV99,AX99,AZ99,BB99,BD99,BF99,BH99,BJ99,BL99,BN99,BP99,BR99,BT99,BV99,BX99,BZ99)</f>
        <v>0</v>
      </c>
      <c r="CC99" s="299">
        <f>SUM(Table13[[#This Row],[GOALS 1]:[ASSISTS 38]])</f>
        <v>0</v>
      </c>
    </row>
    <row r="100" spans="1:81">
      <c r="A100" s="291" t="s">
        <v>1386</v>
      </c>
      <c r="B100" s="291" t="s">
        <v>17</v>
      </c>
      <c r="C100" s="289"/>
      <c r="D100" s="286"/>
      <c r="E100" s="288"/>
      <c r="F100" s="286"/>
      <c r="G100" s="288"/>
      <c r="H100" s="286"/>
      <c r="I100" s="288"/>
      <c r="J100" s="286"/>
      <c r="K100" s="288"/>
      <c r="L100" s="286"/>
      <c r="M100" s="288"/>
      <c r="N100" s="286"/>
      <c r="O100" s="288"/>
      <c r="P100" s="286"/>
      <c r="Q100" s="288"/>
      <c r="R100" s="286"/>
      <c r="S100" s="288"/>
      <c r="T100" s="286"/>
      <c r="U100" s="288"/>
      <c r="V100" s="286"/>
      <c r="W100" s="288"/>
      <c r="X100" s="286"/>
      <c r="Y100" s="288"/>
      <c r="Z100" s="286"/>
      <c r="AA100" s="288"/>
      <c r="AB100" s="286"/>
      <c r="AC100" s="288"/>
      <c r="AD100" s="286"/>
      <c r="AE100" s="288"/>
      <c r="AF100" s="286"/>
      <c r="AG100" s="288"/>
      <c r="AH100" s="286"/>
      <c r="AI100" s="288"/>
      <c r="AJ100" s="286"/>
      <c r="AK100" s="286"/>
      <c r="AL100" s="286"/>
      <c r="AM100" s="286"/>
      <c r="AN100" s="286"/>
      <c r="AO100" s="286"/>
      <c r="AP100" s="286"/>
      <c r="AQ100" s="286"/>
      <c r="AR100" s="286"/>
      <c r="AS100" s="286"/>
      <c r="AT100" s="286"/>
      <c r="AU100" s="286"/>
      <c r="AV100" s="284"/>
      <c r="AW100" s="284"/>
      <c r="AX100" s="284"/>
      <c r="AY100" s="284"/>
      <c r="AZ100" s="284"/>
      <c r="BA100" s="284"/>
      <c r="BB100" s="284"/>
      <c r="BC100" s="284"/>
      <c r="BD100" s="284"/>
      <c r="BE100" s="284"/>
      <c r="BF100" s="284"/>
      <c r="BG100" s="284"/>
      <c r="BH100" s="284"/>
      <c r="BI100" s="284"/>
      <c r="BJ100" s="284"/>
      <c r="BK100" s="284"/>
      <c r="BL100" s="284"/>
      <c r="BM100" s="284"/>
      <c r="BN100" s="284"/>
      <c r="BO100" s="284"/>
      <c r="BP100" s="284"/>
      <c r="BQ100" s="284"/>
      <c r="BR100" s="284"/>
      <c r="BS100" s="284"/>
      <c r="BT100" s="284"/>
      <c r="BU100" s="284"/>
      <c r="BV100" s="284"/>
      <c r="BW100" s="284"/>
      <c r="BX100" s="284"/>
      <c r="BY100" s="284"/>
      <c r="BZ100" s="285"/>
      <c r="CA100" s="298">
        <f>SUM(C100,E100,G100,I100,K100,M100,O100,Q100,S100,U100,W100,Y100,AA100,AC100,AE100,AG100,AI100,AK100,AM100,AO100,AQ100,AS100,AU100,AW100,AY100,BA100,BC100,BE100,BG100,BI100,BK100,BM100,BO100,BQ100,BS100,BU100,BW100,BY100)</f>
        <v>0</v>
      </c>
      <c r="CB100" s="298">
        <f>SUM(D100,F100,H100,J100,L100,N100,P100,R100,T100,V100,X100,Z100,AB100,AD100,AF100,AH100,AJ100,AL100,AN100,AP100,AR100,AT100,AV100,AX100,AZ100,BB100,BD100,BF100,BH100,BJ100,BL100,BN100,BP100,BR100,BT100,BV100,BX100,BZ100)</f>
        <v>0</v>
      </c>
      <c r="CC100" s="299">
        <f>SUM(Table13[[#This Row],[GOALS 1]:[ASSISTS 38]])</f>
        <v>0</v>
      </c>
    </row>
    <row r="101" spans="1:81">
      <c r="A101" s="291" t="s">
        <v>1622</v>
      </c>
      <c r="B101" s="291" t="s">
        <v>27</v>
      </c>
      <c r="C101" s="288"/>
      <c r="D101" s="286"/>
      <c r="E101" s="289"/>
      <c r="F101" s="286"/>
      <c r="G101" s="288"/>
      <c r="H101" s="286"/>
      <c r="I101" s="288"/>
      <c r="J101" s="286"/>
      <c r="K101" s="288"/>
      <c r="L101" s="286"/>
      <c r="M101" s="288"/>
      <c r="N101" s="286"/>
      <c r="O101" s="288"/>
      <c r="P101" s="286"/>
      <c r="Q101" s="288"/>
      <c r="R101" s="286"/>
      <c r="S101" s="288"/>
      <c r="T101" s="286"/>
      <c r="U101" s="288"/>
      <c r="V101" s="286"/>
      <c r="W101" s="288"/>
      <c r="X101" s="286"/>
      <c r="Y101" s="288"/>
      <c r="Z101" s="286"/>
      <c r="AA101" s="288"/>
      <c r="AB101" s="286"/>
      <c r="AC101" s="288"/>
      <c r="AD101" s="286"/>
      <c r="AE101" s="288"/>
      <c r="AF101" s="286"/>
      <c r="AG101" s="288"/>
      <c r="AH101" s="286"/>
      <c r="AI101" s="288"/>
      <c r="AJ101" s="286"/>
      <c r="AK101" s="286"/>
      <c r="AL101" s="286"/>
      <c r="AM101" s="286"/>
      <c r="AN101" s="286"/>
      <c r="AO101" s="286"/>
      <c r="AP101" s="286"/>
      <c r="AQ101" s="286"/>
      <c r="AR101" s="286"/>
      <c r="AS101" s="286"/>
      <c r="AT101" s="286"/>
      <c r="AU101" s="286"/>
      <c r="AV101" s="284"/>
      <c r="AW101" s="284"/>
      <c r="AX101" s="284"/>
      <c r="AY101" s="284"/>
      <c r="AZ101" s="284"/>
      <c r="BA101" s="284"/>
      <c r="BB101" s="284"/>
      <c r="BC101" s="284"/>
      <c r="BD101" s="284"/>
      <c r="BE101" s="284"/>
      <c r="BF101" s="284"/>
      <c r="BG101" s="284"/>
      <c r="BH101" s="284"/>
      <c r="BI101" s="284"/>
      <c r="BJ101" s="284"/>
      <c r="BK101" s="284"/>
      <c r="BL101" s="284"/>
      <c r="BM101" s="284"/>
      <c r="BN101" s="284"/>
      <c r="BO101" s="284"/>
      <c r="BP101" s="284"/>
      <c r="BQ101" s="284"/>
      <c r="BR101" s="284"/>
      <c r="BS101" s="284"/>
      <c r="BT101" s="284"/>
      <c r="BU101" s="284"/>
      <c r="BV101" s="284"/>
      <c r="BW101" s="284"/>
      <c r="BX101" s="284"/>
      <c r="BY101" s="284"/>
      <c r="BZ101" s="285"/>
      <c r="CA101" s="298">
        <f>SUM(C101,E101,G101,I101,K101,M101,O101,Q101,S101,U101,W101,Y101,AA101,AC101,AE101,AG101,AI101,AK101,AM101,AO101,AQ101,AS101,AU101,AW101,AY101,BA101,BC101,BE101,BG101,BI101,BK101,BM101,BO101,BQ101,BS101,BU101,BW101,BY101)</f>
        <v>0</v>
      </c>
      <c r="CB101" s="298">
        <f>SUM(D101,F101,H101,J101,L101,N101,P101,R101,T101,V101,X101,Z101,AB101,AD101,AF101,AH101,AJ101,AL101,AN101,AP101,AR101,AT101,AV101,AX101,AZ101,BB101,BD101,BF101,BH101,BJ101,BL101,BN101,BP101,BR101,BT101,BV101,BX101,BZ101)</f>
        <v>0</v>
      </c>
      <c r="CC101" s="299">
        <f>SUM(Table13[[#This Row],[GOALS 1]:[ASSISTS 38]])</f>
        <v>0</v>
      </c>
    </row>
    <row r="102" spans="1:81">
      <c r="A102" s="291" t="s">
        <v>1518</v>
      </c>
      <c r="B102" s="291" t="s">
        <v>30</v>
      </c>
      <c r="C102" s="288"/>
      <c r="D102" s="286"/>
      <c r="E102" s="288"/>
      <c r="F102" s="286"/>
      <c r="G102" s="288"/>
      <c r="H102" s="286"/>
      <c r="I102" s="288"/>
      <c r="J102" s="286"/>
      <c r="K102" s="288"/>
      <c r="L102" s="286"/>
      <c r="M102" s="288"/>
      <c r="N102" s="286"/>
      <c r="O102" s="288"/>
      <c r="P102" s="286"/>
      <c r="Q102" s="288"/>
      <c r="R102" s="286"/>
      <c r="S102" s="288"/>
      <c r="T102" s="286"/>
      <c r="U102" s="288"/>
      <c r="V102" s="286"/>
      <c r="W102" s="288"/>
      <c r="X102" s="286"/>
      <c r="Y102" s="288"/>
      <c r="Z102" s="286"/>
      <c r="AA102" s="288"/>
      <c r="AB102" s="286"/>
      <c r="AC102" s="288"/>
      <c r="AD102" s="286"/>
      <c r="AE102" s="288"/>
      <c r="AF102" s="286"/>
      <c r="AG102" s="288"/>
      <c r="AH102" s="286"/>
      <c r="AI102" s="288"/>
      <c r="AJ102" s="286"/>
      <c r="AK102" s="286"/>
      <c r="AL102" s="286"/>
      <c r="AM102" s="286"/>
      <c r="AN102" s="286"/>
      <c r="AO102" s="286"/>
      <c r="AP102" s="286"/>
      <c r="AQ102" s="286"/>
      <c r="AR102" s="286"/>
      <c r="AS102" s="286"/>
      <c r="AT102" s="286"/>
      <c r="AU102" s="286"/>
      <c r="AV102" s="284"/>
      <c r="AW102" s="284"/>
      <c r="AX102" s="284"/>
      <c r="AY102" s="284"/>
      <c r="AZ102" s="284"/>
      <c r="BA102" s="284"/>
      <c r="BB102" s="284"/>
      <c r="BC102" s="284"/>
      <c r="BD102" s="284"/>
      <c r="BE102" s="284"/>
      <c r="BF102" s="284"/>
      <c r="BG102" s="284"/>
      <c r="BH102" s="284"/>
      <c r="BI102" s="284"/>
      <c r="BJ102" s="284"/>
      <c r="BK102" s="284"/>
      <c r="BL102" s="284"/>
      <c r="BM102" s="284"/>
      <c r="BN102" s="284"/>
      <c r="BO102" s="284"/>
      <c r="BP102" s="284"/>
      <c r="BQ102" s="284"/>
      <c r="BR102" s="284"/>
      <c r="BS102" s="284"/>
      <c r="BT102" s="284"/>
      <c r="BU102" s="284"/>
      <c r="BV102" s="284"/>
      <c r="BW102" s="284"/>
      <c r="BX102" s="284"/>
      <c r="BY102" s="284"/>
      <c r="BZ102" s="285"/>
      <c r="CA102" s="298">
        <f>SUM(C102,E102,G102,I102,K102,M102,O102,Q102,S102,U102,W102,Y102,AA102,AC102,AE102,AG102,AI102,AK102,AM102,AO102,AQ102,AS102,AU102,AW102,AY102,BA102,BC102,BE102,BG102,BI102,BK102,BM102,BO102,BQ102,BS102,BU102,BW102,BY102)</f>
        <v>0</v>
      </c>
      <c r="CB102" s="298">
        <f>SUM(D102,F102,H102,J102,L102,N102,P102,R102,T102,V102,X102,Z102,AB102,AD102,AF102,AH102,AJ102,AL102,AN102,AP102,AR102,AT102,AV102,AX102,AZ102,BB102,BD102,BF102,BH102,BJ102,BL102,BN102,BP102,BR102,BT102,BV102,BX102,BZ102)</f>
        <v>0</v>
      </c>
      <c r="CC102" s="299">
        <f>SUM(Table13[[#This Row],[GOALS 1]:[ASSISTS 38]])</f>
        <v>0</v>
      </c>
    </row>
    <row r="103" spans="1:81">
      <c r="A103" s="291" t="s">
        <v>1498</v>
      </c>
      <c r="B103" s="291" t="s">
        <v>28</v>
      </c>
      <c r="C103" s="288"/>
      <c r="D103" s="286"/>
      <c r="E103" s="288"/>
      <c r="F103" s="286"/>
      <c r="G103" s="288"/>
      <c r="H103" s="286"/>
      <c r="I103" s="288"/>
      <c r="J103" s="286"/>
      <c r="K103" s="288"/>
      <c r="L103" s="286"/>
      <c r="M103" s="288"/>
      <c r="N103" s="286"/>
      <c r="O103" s="288"/>
      <c r="P103" s="286"/>
      <c r="Q103" s="288"/>
      <c r="R103" s="286"/>
      <c r="S103" s="288"/>
      <c r="T103" s="286"/>
      <c r="U103" s="288"/>
      <c r="V103" s="286"/>
      <c r="W103" s="288"/>
      <c r="X103" s="286"/>
      <c r="Y103" s="288"/>
      <c r="Z103" s="286"/>
      <c r="AA103" s="288"/>
      <c r="AB103" s="286"/>
      <c r="AC103" s="288"/>
      <c r="AD103" s="286"/>
      <c r="AE103" s="288"/>
      <c r="AF103" s="286"/>
      <c r="AG103" s="288"/>
      <c r="AH103" s="286"/>
      <c r="AI103" s="288"/>
      <c r="AJ103" s="286"/>
      <c r="AK103" s="286"/>
      <c r="AL103" s="286"/>
      <c r="AM103" s="286"/>
      <c r="AN103" s="286"/>
      <c r="AO103" s="286"/>
      <c r="AP103" s="286"/>
      <c r="AQ103" s="286"/>
      <c r="AR103" s="286"/>
      <c r="AS103" s="286"/>
      <c r="AT103" s="286"/>
      <c r="AU103" s="286"/>
      <c r="AV103" s="284"/>
      <c r="AW103" s="284"/>
      <c r="AX103" s="284"/>
      <c r="AY103" s="284"/>
      <c r="AZ103" s="284"/>
      <c r="BA103" s="284"/>
      <c r="BB103" s="284"/>
      <c r="BC103" s="284"/>
      <c r="BD103" s="284"/>
      <c r="BE103" s="284"/>
      <c r="BF103" s="284"/>
      <c r="BG103" s="284"/>
      <c r="BH103" s="284"/>
      <c r="BI103" s="284"/>
      <c r="BJ103" s="284"/>
      <c r="BK103" s="284"/>
      <c r="BL103" s="284"/>
      <c r="BM103" s="284"/>
      <c r="BN103" s="284"/>
      <c r="BO103" s="284"/>
      <c r="BP103" s="284"/>
      <c r="BQ103" s="284"/>
      <c r="BR103" s="284"/>
      <c r="BS103" s="284"/>
      <c r="BT103" s="284"/>
      <c r="BU103" s="284"/>
      <c r="BV103" s="284"/>
      <c r="BW103" s="284"/>
      <c r="BX103" s="284"/>
      <c r="BY103" s="284"/>
      <c r="BZ103" s="285"/>
      <c r="CA103" s="298">
        <f>SUM(C103,E103,G103,I103,K103,M103,O103,Q103,S103,U103,W103,Y103,AA103,AC103,AE103,AG103,AI103,AK103,AM103,AO103,AQ103,AS103,AU103,AW103,AY103,BA103,BC103,BE103,BG103,BI103,BK103,BM103,BO103,BQ103,BS103,BU103,BW103,BY103)</f>
        <v>0</v>
      </c>
      <c r="CB103" s="298">
        <f>SUM(D103,F103,H103,J103,L103,N103,P103,R103,T103,V103,X103,Z103,AB103,AD103,AF103,AH103,AJ103,AL103,AN103,AP103,AR103,AT103,AV103,AX103,AZ103,BB103,BD103,BF103,BH103,BJ103,BL103,BN103,BP103,BR103,BT103,BV103,BX103,BZ103)</f>
        <v>0</v>
      </c>
      <c r="CC103" s="299">
        <f>SUM(Table13[[#This Row],[GOALS 1]:[ASSISTS 38]])</f>
        <v>0</v>
      </c>
    </row>
    <row r="104" spans="1:81">
      <c r="A104" s="291" t="s">
        <v>1886</v>
      </c>
      <c r="B104" s="291" t="s">
        <v>17</v>
      </c>
      <c r="C104" s="289"/>
      <c r="D104" s="286"/>
      <c r="E104" s="288"/>
      <c r="F104" s="286"/>
      <c r="G104" s="288"/>
      <c r="H104" s="286"/>
      <c r="I104" s="288"/>
      <c r="J104" s="286"/>
      <c r="K104" s="288"/>
      <c r="L104" s="286"/>
      <c r="M104" s="288"/>
      <c r="N104" s="286"/>
      <c r="O104" s="288"/>
      <c r="P104" s="286"/>
      <c r="Q104" s="288"/>
      <c r="R104" s="286"/>
      <c r="S104" s="288"/>
      <c r="T104" s="286"/>
      <c r="U104" s="288"/>
      <c r="V104" s="286"/>
      <c r="W104" s="288"/>
      <c r="X104" s="286"/>
      <c r="Y104" s="288"/>
      <c r="Z104" s="286"/>
      <c r="AA104" s="288"/>
      <c r="AB104" s="286"/>
      <c r="AC104" s="288"/>
      <c r="AD104" s="286"/>
      <c r="AE104" s="288"/>
      <c r="AF104" s="286"/>
      <c r="AG104" s="288"/>
      <c r="AH104" s="286"/>
      <c r="AI104" s="288"/>
      <c r="AJ104" s="286"/>
      <c r="AK104" s="286"/>
      <c r="AL104" s="286"/>
      <c r="AM104" s="286"/>
      <c r="AN104" s="286"/>
      <c r="AO104" s="286"/>
      <c r="AP104" s="286"/>
      <c r="AQ104" s="286"/>
      <c r="AR104" s="286"/>
      <c r="AS104" s="286"/>
      <c r="AT104" s="286"/>
      <c r="AU104" s="286"/>
      <c r="AV104" s="284"/>
      <c r="AW104" s="284"/>
      <c r="AX104" s="284"/>
      <c r="AY104" s="284"/>
      <c r="AZ104" s="284"/>
      <c r="BA104" s="284"/>
      <c r="BB104" s="284"/>
      <c r="BC104" s="284"/>
      <c r="BD104" s="284"/>
      <c r="BE104" s="284"/>
      <c r="BF104" s="284"/>
      <c r="BG104" s="284"/>
      <c r="BH104" s="284"/>
      <c r="BI104" s="284"/>
      <c r="BJ104" s="284"/>
      <c r="BK104" s="284"/>
      <c r="BL104" s="284"/>
      <c r="BM104" s="284"/>
      <c r="BN104" s="284"/>
      <c r="BO104" s="284"/>
      <c r="BP104" s="284"/>
      <c r="BQ104" s="284"/>
      <c r="BR104" s="284"/>
      <c r="BS104" s="284"/>
      <c r="BT104" s="284"/>
      <c r="BU104" s="284"/>
      <c r="BV104" s="284"/>
      <c r="BW104" s="284"/>
      <c r="BX104" s="284"/>
      <c r="BY104" s="284"/>
      <c r="BZ104" s="285"/>
      <c r="CA104" s="298">
        <f>SUM(C104,E104,G104,I104,K104,M104,O104,Q104,S104,U104,W104,Y104,AA104,AC104,AE104,AG104,AI104,AK104,AM104,AO104,AQ104,AS104,AU104,AW104,AY104,BA104,BC104,BE104,BG104,BI104,BK104,BM104,BO104,BQ104,BS104,BU104,BW104,BY104)</f>
        <v>0</v>
      </c>
      <c r="CB104" s="298">
        <f>SUM(D104,F104,H104,J104,L104,N104,P104,R104,T104,V104,X104,Z104,AB104,AD104,AF104,AH104,AJ104,AL104,AN104,AP104,AR104,AT104,AV104,AX104,AZ104,BB104,BD104,BF104,BH104,BJ104,BL104,BN104,BP104,BR104,BT104,BV104,BX104,BZ104)</f>
        <v>0</v>
      </c>
      <c r="CC104" s="299">
        <f>SUM(Table13[[#This Row],[GOALS 1]:[ASSISTS 38]])</f>
        <v>0</v>
      </c>
    </row>
    <row r="105" spans="1:81">
      <c r="A105" s="291" t="s">
        <v>1584</v>
      </c>
      <c r="B105" s="291" t="s">
        <v>30</v>
      </c>
      <c r="C105" s="288"/>
      <c r="D105" s="286"/>
      <c r="E105" s="288"/>
      <c r="F105" s="286"/>
      <c r="G105" s="288"/>
      <c r="H105" s="286"/>
      <c r="I105" s="288"/>
      <c r="J105" s="286"/>
      <c r="K105" s="288"/>
      <c r="L105" s="286"/>
      <c r="M105" s="288"/>
      <c r="N105" s="286"/>
      <c r="O105" s="288"/>
      <c r="P105" s="286"/>
      <c r="Q105" s="288"/>
      <c r="R105" s="286"/>
      <c r="S105" s="288"/>
      <c r="T105" s="286"/>
      <c r="U105" s="288"/>
      <c r="V105" s="286"/>
      <c r="W105" s="288"/>
      <c r="X105" s="286"/>
      <c r="Y105" s="288"/>
      <c r="Z105" s="286"/>
      <c r="AA105" s="288"/>
      <c r="AB105" s="286"/>
      <c r="AC105" s="288"/>
      <c r="AD105" s="286"/>
      <c r="AE105" s="288"/>
      <c r="AF105" s="286"/>
      <c r="AG105" s="288"/>
      <c r="AH105" s="286"/>
      <c r="AI105" s="288"/>
      <c r="AJ105" s="286"/>
      <c r="AK105" s="286"/>
      <c r="AL105" s="286"/>
      <c r="AM105" s="286"/>
      <c r="AN105" s="286"/>
      <c r="AO105" s="286"/>
      <c r="AP105" s="286"/>
      <c r="AQ105" s="286"/>
      <c r="AR105" s="286"/>
      <c r="AS105" s="286"/>
      <c r="AT105" s="286"/>
      <c r="AU105" s="286"/>
      <c r="AV105" s="284"/>
      <c r="AW105" s="284"/>
      <c r="AX105" s="284"/>
      <c r="AY105" s="284"/>
      <c r="AZ105" s="284"/>
      <c r="BA105" s="284"/>
      <c r="BB105" s="284"/>
      <c r="BC105" s="284"/>
      <c r="BD105" s="284"/>
      <c r="BE105" s="284"/>
      <c r="BF105" s="284"/>
      <c r="BG105" s="284"/>
      <c r="BH105" s="284"/>
      <c r="BI105" s="284"/>
      <c r="BJ105" s="284"/>
      <c r="BK105" s="284"/>
      <c r="BL105" s="284"/>
      <c r="BM105" s="284"/>
      <c r="BN105" s="284"/>
      <c r="BO105" s="284"/>
      <c r="BP105" s="284"/>
      <c r="BQ105" s="284"/>
      <c r="BR105" s="284"/>
      <c r="BS105" s="284"/>
      <c r="BT105" s="284"/>
      <c r="BU105" s="284"/>
      <c r="BV105" s="284"/>
      <c r="BW105" s="284"/>
      <c r="BX105" s="284"/>
      <c r="BY105" s="284"/>
      <c r="BZ105" s="285"/>
      <c r="CA105" s="298">
        <f>SUM(C105,E105,G105,I105,K105,M105,O105,Q105,S105,U105,W105,Y105,AA105,AC105,AE105,AG105,AI105,AK105,AM105,AO105,AQ105,AS105,AU105,AW105,AY105,BA105,BC105,BE105,BG105,BI105,BK105,BM105,BO105,BQ105,BS105,BU105,BW105,BY105)</f>
        <v>0</v>
      </c>
      <c r="CB105" s="298">
        <f>SUM(D105,F105,H105,J105,L105,N105,P105,R105,T105,V105,X105,Z105,AB105,AD105,AF105,AH105,AJ105,AL105,AN105,AP105,AR105,AT105,AV105,AX105,AZ105,BB105,BD105,BF105,BH105,BJ105,BL105,BN105,BP105,BR105,BT105,BV105,BX105,BZ105)</f>
        <v>0</v>
      </c>
      <c r="CC105" s="299">
        <f>SUM(Table13[[#This Row],[GOALS 1]:[ASSISTS 38]])</f>
        <v>0</v>
      </c>
    </row>
    <row r="106" spans="1:81">
      <c r="A106" s="291" t="s">
        <v>1813</v>
      </c>
      <c r="B106" s="291" t="s">
        <v>28</v>
      </c>
      <c r="C106" s="288"/>
      <c r="D106" s="286"/>
      <c r="E106" s="288"/>
      <c r="F106" s="286"/>
      <c r="G106" s="288"/>
      <c r="H106" s="286"/>
      <c r="I106" s="288"/>
      <c r="J106" s="286"/>
      <c r="K106" s="288"/>
      <c r="L106" s="286"/>
      <c r="M106" s="288"/>
      <c r="N106" s="286"/>
      <c r="O106" s="288"/>
      <c r="P106" s="286"/>
      <c r="Q106" s="288"/>
      <c r="R106" s="286"/>
      <c r="S106" s="288"/>
      <c r="T106" s="286"/>
      <c r="U106" s="288"/>
      <c r="V106" s="286"/>
      <c r="W106" s="288"/>
      <c r="X106" s="286"/>
      <c r="Y106" s="288"/>
      <c r="Z106" s="286"/>
      <c r="AA106" s="288"/>
      <c r="AB106" s="286"/>
      <c r="AC106" s="288"/>
      <c r="AD106" s="286"/>
      <c r="AE106" s="288"/>
      <c r="AF106" s="286"/>
      <c r="AG106" s="288"/>
      <c r="AH106" s="286"/>
      <c r="AI106" s="288"/>
      <c r="AJ106" s="286"/>
      <c r="AK106" s="286"/>
      <c r="AL106" s="286"/>
      <c r="AM106" s="286"/>
      <c r="AN106" s="286"/>
      <c r="AO106" s="286"/>
      <c r="AP106" s="286"/>
      <c r="AQ106" s="286"/>
      <c r="AR106" s="286"/>
      <c r="AS106" s="286"/>
      <c r="AT106" s="286"/>
      <c r="AU106" s="286"/>
      <c r="AV106" s="284"/>
      <c r="AW106" s="284"/>
      <c r="AX106" s="284"/>
      <c r="AY106" s="284"/>
      <c r="AZ106" s="284"/>
      <c r="BA106" s="284"/>
      <c r="BB106" s="284"/>
      <c r="BC106" s="284"/>
      <c r="BD106" s="284"/>
      <c r="BE106" s="284"/>
      <c r="BF106" s="284"/>
      <c r="BG106" s="284"/>
      <c r="BH106" s="284"/>
      <c r="BI106" s="284"/>
      <c r="BJ106" s="284"/>
      <c r="BK106" s="284"/>
      <c r="BL106" s="284"/>
      <c r="BM106" s="284"/>
      <c r="BN106" s="284"/>
      <c r="BO106" s="284"/>
      <c r="BP106" s="284"/>
      <c r="BQ106" s="284"/>
      <c r="BR106" s="284"/>
      <c r="BS106" s="284"/>
      <c r="BT106" s="284"/>
      <c r="BU106" s="284"/>
      <c r="BV106" s="284"/>
      <c r="BW106" s="284"/>
      <c r="BX106" s="284"/>
      <c r="BY106" s="284"/>
      <c r="BZ106" s="285"/>
      <c r="CA106" s="298">
        <f>SUM(C106,E106,G106,I106,K106,M106,O106,Q106,S106,U106,W106,Y106,AA106,AC106,AE106,AG106,AI106,AK106,AM106,AO106,AQ106,AS106,AU106,AW106,AY106,BA106,BC106,BE106,BG106,BI106,BK106,BM106,BO106,BQ106,BS106,BU106,BW106,BY106)</f>
        <v>0</v>
      </c>
      <c r="CB106" s="298">
        <f>SUM(D106,F106,H106,J106,L106,N106,P106,R106,T106,V106,X106,Z106,AB106,AD106,AF106,AH106,AJ106,AL106,AN106,AP106,AR106,AT106,AV106,AX106,AZ106,BB106,BD106,BF106,BH106,BJ106,BL106,BN106,BP106,BR106,BT106,BV106,BX106,BZ106)</f>
        <v>0</v>
      </c>
      <c r="CC106" s="299">
        <f>SUM(Table13[[#This Row],[GOALS 1]:[ASSISTS 38]])</f>
        <v>0</v>
      </c>
    </row>
    <row r="107" spans="1:81">
      <c r="A107" s="291" t="s">
        <v>1729</v>
      </c>
      <c r="B107" s="291" t="s">
        <v>33</v>
      </c>
      <c r="C107" s="289"/>
      <c r="D107" s="286"/>
      <c r="E107" s="288"/>
      <c r="F107" s="286"/>
      <c r="G107" s="288"/>
      <c r="H107" s="286"/>
      <c r="I107" s="288"/>
      <c r="J107" s="286"/>
      <c r="K107" s="288"/>
      <c r="L107" s="286"/>
      <c r="M107" s="288"/>
      <c r="N107" s="286"/>
      <c r="O107" s="288"/>
      <c r="P107" s="286"/>
      <c r="Q107" s="288"/>
      <c r="R107" s="286"/>
      <c r="S107" s="288"/>
      <c r="T107" s="286"/>
      <c r="U107" s="288"/>
      <c r="V107" s="286"/>
      <c r="W107" s="288"/>
      <c r="X107" s="286"/>
      <c r="Y107" s="288"/>
      <c r="Z107" s="286"/>
      <c r="AA107" s="288"/>
      <c r="AB107" s="286"/>
      <c r="AC107" s="288"/>
      <c r="AD107" s="286"/>
      <c r="AE107" s="288"/>
      <c r="AF107" s="286"/>
      <c r="AG107" s="288"/>
      <c r="AH107" s="286"/>
      <c r="AI107" s="288"/>
      <c r="AJ107" s="286"/>
      <c r="AK107" s="286"/>
      <c r="AL107" s="286"/>
      <c r="AM107" s="286"/>
      <c r="AN107" s="286"/>
      <c r="AO107" s="286"/>
      <c r="AP107" s="286"/>
      <c r="AQ107" s="286"/>
      <c r="AR107" s="286"/>
      <c r="AS107" s="286"/>
      <c r="AT107" s="286"/>
      <c r="AU107" s="286"/>
      <c r="AV107" s="284"/>
      <c r="AW107" s="284"/>
      <c r="AX107" s="284"/>
      <c r="AY107" s="284"/>
      <c r="AZ107" s="284"/>
      <c r="BA107" s="284"/>
      <c r="BB107" s="284"/>
      <c r="BC107" s="284"/>
      <c r="BD107" s="284"/>
      <c r="BE107" s="284"/>
      <c r="BF107" s="284"/>
      <c r="BG107" s="284"/>
      <c r="BH107" s="284"/>
      <c r="BI107" s="284"/>
      <c r="BJ107" s="284"/>
      <c r="BK107" s="284"/>
      <c r="BL107" s="284"/>
      <c r="BM107" s="284"/>
      <c r="BN107" s="284"/>
      <c r="BO107" s="284"/>
      <c r="BP107" s="284"/>
      <c r="BQ107" s="284"/>
      <c r="BR107" s="284"/>
      <c r="BS107" s="284"/>
      <c r="BT107" s="284"/>
      <c r="BU107" s="284"/>
      <c r="BV107" s="284"/>
      <c r="BW107" s="284"/>
      <c r="BX107" s="284"/>
      <c r="BY107" s="284"/>
      <c r="BZ107" s="285"/>
      <c r="CA107" s="298">
        <f>SUM(C107,E107,G107,I107,K107,M107,O107,Q107,S107,U107,W107,Y107,AA107,AC107,AE107,AG107,AI107,AK107,AM107,AO107,AQ107,AS107,AU107,AW107,AY107,BA107,BC107,BE107,BG107,BI107,BK107,BM107,BO107,BQ107,BS107,BU107,BW107,BY107)</f>
        <v>0</v>
      </c>
      <c r="CB107" s="298">
        <f>SUM(D107,F107,H107,J107,L107,N107,P107,R107,T107,V107,X107,Z107,AB107,AD107,AF107,AH107,AJ107,AL107,AN107,AP107,AR107,AT107,AV107,AX107,AZ107,BB107,BD107,BF107,BH107,BJ107,BL107,BN107,BP107,BR107,BT107,BV107,BX107,BZ107)</f>
        <v>0</v>
      </c>
      <c r="CC107" s="299">
        <f>SUM(Table13[[#This Row],[GOALS 1]:[ASSISTS 38]])</f>
        <v>0</v>
      </c>
    </row>
    <row r="108" spans="1:81">
      <c r="A108" s="291" t="s">
        <v>1356</v>
      </c>
      <c r="B108" s="291" t="s">
        <v>17</v>
      </c>
      <c r="C108" s="289"/>
      <c r="D108" s="286"/>
      <c r="E108" s="288"/>
      <c r="F108" s="286"/>
      <c r="G108" s="288"/>
      <c r="H108" s="286"/>
      <c r="I108" s="288"/>
      <c r="J108" s="286"/>
      <c r="K108" s="288"/>
      <c r="L108" s="286"/>
      <c r="M108" s="288"/>
      <c r="N108" s="286"/>
      <c r="O108" s="288"/>
      <c r="P108" s="286"/>
      <c r="Q108" s="288"/>
      <c r="R108" s="286"/>
      <c r="S108" s="288"/>
      <c r="T108" s="286"/>
      <c r="U108" s="288"/>
      <c r="V108" s="286"/>
      <c r="W108" s="288"/>
      <c r="X108" s="286"/>
      <c r="Y108" s="288"/>
      <c r="Z108" s="286"/>
      <c r="AA108" s="288"/>
      <c r="AB108" s="286"/>
      <c r="AC108" s="288"/>
      <c r="AD108" s="286"/>
      <c r="AE108" s="288"/>
      <c r="AF108" s="286"/>
      <c r="AG108" s="288"/>
      <c r="AH108" s="286"/>
      <c r="AI108" s="288"/>
      <c r="AJ108" s="286"/>
      <c r="AK108" s="286"/>
      <c r="AL108" s="286"/>
      <c r="AM108" s="286"/>
      <c r="AN108" s="286"/>
      <c r="AO108" s="286"/>
      <c r="AP108" s="286"/>
      <c r="AQ108" s="286"/>
      <c r="AR108" s="286"/>
      <c r="AS108" s="286"/>
      <c r="AT108" s="286"/>
      <c r="AU108" s="286"/>
      <c r="AV108" s="284"/>
      <c r="AW108" s="284"/>
      <c r="AX108" s="284"/>
      <c r="AY108" s="284"/>
      <c r="AZ108" s="284"/>
      <c r="BA108" s="284"/>
      <c r="BB108" s="284"/>
      <c r="BC108" s="284"/>
      <c r="BD108" s="284"/>
      <c r="BE108" s="284"/>
      <c r="BF108" s="284"/>
      <c r="BG108" s="284"/>
      <c r="BH108" s="284"/>
      <c r="BI108" s="284"/>
      <c r="BJ108" s="284"/>
      <c r="BK108" s="284"/>
      <c r="BL108" s="284"/>
      <c r="BM108" s="284"/>
      <c r="BN108" s="284"/>
      <c r="BO108" s="284"/>
      <c r="BP108" s="284"/>
      <c r="BQ108" s="284"/>
      <c r="BR108" s="284"/>
      <c r="BS108" s="284"/>
      <c r="BT108" s="284"/>
      <c r="BU108" s="284"/>
      <c r="BV108" s="284"/>
      <c r="BW108" s="284"/>
      <c r="BX108" s="284"/>
      <c r="BY108" s="284"/>
      <c r="BZ108" s="285"/>
      <c r="CA108" s="298">
        <f>SUM(C108,E108,G108,I108,K108,M108,O108,Q108,S108,U108,W108,Y108,AA108,AC108,AE108,AG108,AI108,AK108,AM108,AO108,AQ108,AS108,AU108,AW108,AY108,BA108,BC108,BE108,BG108,BI108,BK108,BM108,BO108,BQ108,BS108,BU108,BW108,BY108)</f>
        <v>0</v>
      </c>
      <c r="CB108" s="298">
        <f>SUM(D108,F108,H108,J108,L108,N108,P108,R108,T108,V108,X108,Z108,AB108,AD108,AF108,AH108,AJ108,AL108,AN108,AP108,AR108,AT108,AV108,AX108,AZ108,BB108,BD108,BF108,BH108,BJ108,BL108,BN108,BP108,BR108,BT108,BV108,BX108,BZ108)</f>
        <v>0</v>
      </c>
      <c r="CC108" s="299">
        <f>SUM(Table13[[#This Row],[GOALS 1]:[ASSISTS 38]])</f>
        <v>0</v>
      </c>
    </row>
    <row r="109" spans="1:81">
      <c r="A109" s="291" t="s">
        <v>1691</v>
      </c>
      <c r="B109" s="291" t="s">
        <v>27</v>
      </c>
      <c r="C109" s="288"/>
      <c r="D109" s="286"/>
      <c r="E109" s="289"/>
      <c r="F109" s="286"/>
      <c r="G109" s="288"/>
      <c r="H109" s="286"/>
      <c r="I109" s="288"/>
      <c r="J109" s="286"/>
      <c r="K109" s="288"/>
      <c r="L109" s="286"/>
      <c r="M109" s="288"/>
      <c r="N109" s="286"/>
      <c r="O109" s="288"/>
      <c r="P109" s="286"/>
      <c r="Q109" s="288"/>
      <c r="R109" s="286"/>
      <c r="S109" s="288"/>
      <c r="T109" s="286"/>
      <c r="U109" s="288"/>
      <c r="V109" s="286"/>
      <c r="W109" s="288"/>
      <c r="X109" s="286"/>
      <c r="Y109" s="288"/>
      <c r="Z109" s="286"/>
      <c r="AA109" s="288"/>
      <c r="AB109" s="286"/>
      <c r="AC109" s="288"/>
      <c r="AD109" s="286"/>
      <c r="AE109" s="288"/>
      <c r="AF109" s="286"/>
      <c r="AG109" s="288"/>
      <c r="AH109" s="286"/>
      <c r="AI109" s="288"/>
      <c r="AJ109" s="286"/>
      <c r="AK109" s="286"/>
      <c r="AL109" s="286"/>
      <c r="AM109" s="286"/>
      <c r="AN109" s="286"/>
      <c r="AO109" s="286"/>
      <c r="AP109" s="286"/>
      <c r="AQ109" s="286"/>
      <c r="AR109" s="286"/>
      <c r="AS109" s="286"/>
      <c r="AT109" s="286"/>
      <c r="AU109" s="286"/>
      <c r="AV109" s="284"/>
      <c r="AW109" s="284"/>
      <c r="AX109" s="284"/>
      <c r="AY109" s="284"/>
      <c r="AZ109" s="284"/>
      <c r="BA109" s="284"/>
      <c r="BB109" s="284"/>
      <c r="BC109" s="284"/>
      <c r="BD109" s="284"/>
      <c r="BE109" s="284"/>
      <c r="BF109" s="284"/>
      <c r="BG109" s="284"/>
      <c r="BH109" s="284"/>
      <c r="BI109" s="284"/>
      <c r="BJ109" s="284"/>
      <c r="BK109" s="284"/>
      <c r="BL109" s="284"/>
      <c r="BM109" s="284"/>
      <c r="BN109" s="284"/>
      <c r="BO109" s="284"/>
      <c r="BP109" s="284"/>
      <c r="BQ109" s="284"/>
      <c r="BR109" s="284"/>
      <c r="BS109" s="284"/>
      <c r="BT109" s="284"/>
      <c r="BU109" s="284"/>
      <c r="BV109" s="284"/>
      <c r="BW109" s="284"/>
      <c r="BX109" s="284"/>
      <c r="BY109" s="284"/>
      <c r="BZ109" s="285"/>
      <c r="CA109" s="298">
        <f>SUM(C109,E109,G109,I109,K109,M109,O109,Q109,S109,U109,W109,Y109,AA109,AC109,AE109,AG109,AI109,AK109,AM109,AO109,AQ109,AS109,AU109,AW109,AY109,BA109,BC109,BE109,BG109,BI109,BK109,BM109,BO109,BQ109,BS109,BU109,BW109,BY109)</f>
        <v>0</v>
      </c>
      <c r="CB109" s="298">
        <f>SUM(D109,F109,H109,J109,L109,N109,P109,R109,T109,V109,X109,Z109,AB109,AD109,AF109,AH109,AJ109,AL109,AN109,AP109,AR109,AT109,AV109,AX109,AZ109,BB109,BD109,BF109,BH109,BJ109,BL109,BN109,BP109,BR109,BT109,BV109,BX109,BZ109)</f>
        <v>0</v>
      </c>
      <c r="CC109" s="299">
        <f>SUM(Table13[[#This Row],[GOALS 1]:[ASSISTS 38]])</f>
        <v>0</v>
      </c>
    </row>
    <row r="110" spans="1:81">
      <c r="A110" s="291" t="s">
        <v>1809</v>
      </c>
      <c r="B110" s="291" t="s">
        <v>52</v>
      </c>
      <c r="C110" s="289"/>
      <c r="D110" s="286"/>
      <c r="E110" s="288"/>
      <c r="F110" s="286"/>
      <c r="G110" s="288"/>
      <c r="H110" s="286"/>
      <c r="I110" s="288"/>
      <c r="J110" s="286"/>
      <c r="K110" s="288"/>
      <c r="L110" s="286"/>
      <c r="M110" s="288"/>
      <c r="N110" s="286"/>
      <c r="O110" s="288"/>
      <c r="P110" s="286"/>
      <c r="Q110" s="288"/>
      <c r="R110" s="286"/>
      <c r="S110" s="288"/>
      <c r="T110" s="286"/>
      <c r="U110" s="288"/>
      <c r="V110" s="286"/>
      <c r="W110" s="288"/>
      <c r="X110" s="286"/>
      <c r="Y110" s="288"/>
      <c r="Z110" s="286"/>
      <c r="AA110" s="288"/>
      <c r="AB110" s="286"/>
      <c r="AC110" s="288"/>
      <c r="AD110" s="286"/>
      <c r="AE110" s="288"/>
      <c r="AF110" s="286"/>
      <c r="AG110" s="288"/>
      <c r="AH110" s="286"/>
      <c r="AI110" s="288"/>
      <c r="AJ110" s="286"/>
      <c r="AK110" s="286"/>
      <c r="AL110" s="286"/>
      <c r="AM110" s="286"/>
      <c r="AN110" s="286"/>
      <c r="AO110" s="286"/>
      <c r="AP110" s="286"/>
      <c r="AQ110" s="286"/>
      <c r="AR110" s="286"/>
      <c r="AS110" s="286"/>
      <c r="AT110" s="286"/>
      <c r="AU110" s="286"/>
      <c r="AV110" s="284"/>
      <c r="AW110" s="284"/>
      <c r="AX110" s="284"/>
      <c r="AY110" s="284"/>
      <c r="AZ110" s="284"/>
      <c r="BA110" s="284"/>
      <c r="BB110" s="284"/>
      <c r="BC110" s="284"/>
      <c r="BD110" s="284"/>
      <c r="BE110" s="284"/>
      <c r="BF110" s="284"/>
      <c r="BG110" s="284"/>
      <c r="BH110" s="284"/>
      <c r="BI110" s="284"/>
      <c r="BJ110" s="284"/>
      <c r="BK110" s="284"/>
      <c r="BL110" s="284"/>
      <c r="BM110" s="284"/>
      <c r="BN110" s="284"/>
      <c r="BO110" s="284"/>
      <c r="BP110" s="284"/>
      <c r="BQ110" s="284"/>
      <c r="BR110" s="284"/>
      <c r="BS110" s="284"/>
      <c r="BT110" s="284"/>
      <c r="BU110" s="284"/>
      <c r="BV110" s="284"/>
      <c r="BW110" s="284"/>
      <c r="BX110" s="284"/>
      <c r="BY110" s="284"/>
      <c r="BZ110" s="285"/>
      <c r="CA110" s="298">
        <f>SUM(C110,E110,G110,I110,K110,M110,O110,Q110,S110,U110,W110,Y110,AA110,AC110,AE110,AG110,AI110,AK110,AM110,AO110,AQ110,AS110,AU110,AW110,AY110,BA110,BC110,BE110,BG110,BI110,BK110,BM110,BO110,BQ110,BS110,BU110,BW110,BY110)</f>
        <v>0</v>
      </c>
      <c r="CB110" s="298">
        <f>SUM(D110,F110,H110,J110,L110,N110,P110,R110,T110,V110,X110,Z110,AB110,AD110,AF110,AH110,AJ110,AL110,AN110,AP110,AR110,AT110,AV110,AX110,AZ110,BB110,BD110,BF110,BH110,BJ110,BL110,BN110,BP110,BR110,BT110,BV110,BX110,BZ110)</f>
        <v>0</v>
      </c>
      <c r="CC110" s="299">
        <f>SUM(Table13[[#This Row],[GOALS 1]:[ASSISTS 38]])</f>
        <v>0</v>
      </c>
    </row>
    <row r="111" spans="1:81">
      <c r="A111" s="291" t="s">
        <v>1300</v>
      </c>
      <c r="B111" s="291" t="s">
        <v>25</v>
      </c>
      <c r="C111" s="288"/>
      <c r="D111" s="286"/>
      <c r="E111" s="288"/>
      <c r="F111" s="286"/>
      <c r="G111" s="288"/>
      <c r="H111" s="286"/>
      <c r="I111" s="288"/>
      <c r="J111" s="286"/>
      <c r="K111" s="288"/>
      <c r="L111" s="286"/>
      <c r="M111" s="288"/>
      <c r="N111" s="286"/>
      <c r="O111" s="288"/>
      <c r="P111" s="286"/>
      <c r="Q111" s="288"/>
      <c r="R111" s="286"/>
      <c r="S111" s="288"/>
      <c r="T111" s="286"/>
      <c r="U111" s="288"/>
      <c r="V111" s="286"/>
      <c r="W111" s="288"/>
      <c r="X111" s="286"/>
      <c r="Y111" s="288"/>
      <c r="Z111" s="286"/>
      <c r="AA111" s="288"/>
      <c r="AB111" s="286"/>
      <c r="AC111" s="288"/>
      <c r="AD111" s="286"/>
      <c r="AE111" s="288"/>
      <c r="AF111" s="286"/>
      <c r="AG111" s="288"/>
      <c r="AH111" s="286"/>
      <c r="AI111" s="288"/>
      <c r="AJ111" s="286"/>
      <c r="AK111" s="286"/>
      <c r="AL111" s="286"/>
      <c r="AM111" s="286"/>
      <c r="AN111" s="286"/>
      <c r="AO111" s="286"/>
      <c r="AP111" s="286"/>
      <c r="AQ111" s="286"/>
      <c r="AR111" s="286"/>
      <c r="AS111" s="286"/>
      <c r="AT111" s="286"/>
      <c r="AU111" s="286"/>
      <c r="AV111" s="284"/>
      <c r="AW111" s="284"/>
      <c r="AX111" s="284"/>
      <c r="AY111" s="284"/>
      <c r="AZ111" s="284"/>
      <c r="BA111" s="284"/>
      <c r="BB111" s="284"/>
      <c r="BC111" s="284"/>
      <c r="BD111" s="284"/>
      <c r="BE111" s="284"/>
      <c r="BF111" s="284"/>
      <c r="BG111" s="284"/>
      <c r="BH111" s="284"/>
      <c r="BI111" s="284"/>
      <c r="BJ111" s="284"/>
      <c r="BK111" s="284"/>
      <c r="BL111" s="284"/>
      <c r="BM111" s="284"/>
      <c r="BN111" s="284"/>
      <c r="BO111" s="284"/>
      <c r="BP111" s="284"/>
      <c r="BQ111" s="284"/>
      <c r="BR111" s="284"/>
      <c r="BS111" s="284"/>
      <c r="BT111" s="284"/>
      <c r="BU111" s="284"/>
      <c r="BV111" s="284"/>
      <c r="BW111" s="284"/>
      <c r="BX111" s="284"/>
      <c r="BY111" s="284"/>
      <c r="BZ111" s="285"/>
      <c r="CA111" s="298">
        <f>SUM(C111,E111,G111,I111,K111,M111,O111,Q111,S111,U111,W111,Y111,AA111,AC111,AE111,AG111,AI111,AK111,AM111,AO111,AQ111,AS111,AU111,AW111,AY111,BA111,BC111,BE111,BG111,BI111,BK111,BM111,BO111,BQ111,BS111,BU111,BW111,BY111)</f>
        <v>0</v>
      </c>
      <c r="CB111" s="298">
        <f>SUM(D111,F111,H111,J111,L111,N111,P111,R111,T111,V111,X111,Z111,AB111,AD111,AF111,AH111,AJ111,AL111,AN111,AP111,AR111,AT111,AV111,AX111,AZ111,BB111,BD111,BF111,BH111,BJ111,BL111,BN111,BP111,BR111,BT111,BV111,BX111,BZ111)</f>
        <v>0</v>
      </c>
      <c r="CC111" s="299">
        <f>SUM(Table13[[#This Row],[GOALS 1]:[ASSISTS 38]])</f>
        <v>0</v>
      </c>
    </row>
    <row r="112" spans="1:81">
      <c r="A112" s="291" t="s">
        <v>1297</v>
      </c>
      <c r="B112" s="291" t="s">
        <v>25</v>
      </c>
      <c r="C112" s="288"/>
      <c r="D112" s="286"/>
      <c r="E112" s="288"/>
      <c r="F112" s="286"/>
      <c r="G112" s="288"/>
      <c r="H112" s="286"/>
      <c r="I112" s="288"/>
      <c r="J112" s="286"/>
      <c r="K112" s="288"/>
      <c r="L112" s="286"/>
      <c r="M112" s="288"/>
      <c r="N112" s="286"/>
      <c r="O112" s="288"/>
      <c r="P112" s="286"/>
      <c r="Q112" s="288"/>
      <c r="R112" s="286"/>
      <c r="S112" s="288"/>
      <c r="T112" s="286"/>
      <c r="U112" s="288"/>
      <c r="V112" s="286"/>
      <c r="W112" s="288"/>
      <c r="X112" s="286"/>
      <c r="Y112" s="288"/>
      <c r="Z112" s="286"/>
      <c r="AA112" s="288"/>
      <c r="AB112" s="286"/>
      <c r="AC112" s="288"/>
      <c r="AD112" s="286"/>
      <c r="AE112" s="288"/>
      <c r="AF112" s="286"/>
      <c r="AG112" s="288"/>
      <c r="AH112" s="286"/>
      <c r="AI112" s="288"/>
      <c r="AJ112" s="286"/>
      <c r="AK112" s="286"/>
      <c r="AL112" s="286"/>
      <c r="AM112" s="286"/>
      <c r="AN112" s="286"/>
      <c r="AO112" s="286"/>
      <c r="AP112" s="286"/>
      <c r="AQ112" s="286"/>
      <c r="AR112" s="286"/>
      <c r="AS112" s="286"/>
      <c r="AT112" s="286"/>
      <c r="AU112" s="286"/>
      <c r="AV112" s="284"/>
      <c r="AW112" s="284"/>
      <c r="AX112" s="284"/>
      <c r="AY112" s="284"/>
      <c r="AZ112" s="284"/>
      <c r="BA112" s="284"/>
      <c r="BB112" s="284"/>
      <c r="BC112" s="284"/>
      <c r="BD112" s="284"/>
      <c r="BE112" s="284"/>
      <c r="BF112" s="284"/>
      <c r="BG112" s="284"/>
      <c r="BH112" s="284"/>
      <c r="BI112" s="284"/>
      <c r="BJ112" s="284"/>
      <c r="BK112" s="284"/>
      <c r="BL112" s="284"/>
      <c r="BM112" s="284"/>
      <c r="BN112" s="284"/>
      <c r="BO112" s="284"/>
      <c r="BP112" s="284"/>
      <c r="BQ112" s="284"/>
      <c r="BR112" s="284"/>
      <c r="BS112" s="284"/>
      <c r="BT112" s="284"/>
      <c r="BU112" s="284"/>
      <c r="BV112" s="284"/>
      <c r="BW112" s="284"/>
      <c r="BX112" s="284"/>
      <c r="BY112" s="284"/>
      <c r="BZ112" s="285"/>
      <c r="CA112" s="298">
        <f>SUM(C112,E112,G112,I112,K112,M112,O112,Q112,S112,U112,W112,Y112,AA112,AC112,AE112,AG112,AI112,AK112,AM112,AO112,AQ112,AS112,AU112,AW112,AY112,BA112,BC112,BE112,BG112,BI112,BK112,BM112,BO112,BQ112,BS112,BU112,BW112,BY112)</f>
        <v>0</v>
      </c>
      <c r="CB112" s="298">
        <f>SUM(D112,F112,H112,J112,L112,N112,P112,R112,T112,V112,X112,Z112,AB112,AD112,AF112,AH112,AJ112,AL112,AN112,AP112,AR112,AT112,AV112,AX112,AZ112,BB112,BD112,BF112,BH112,BJ112,BL112,BN112,BP112,BR112,BT112,BV112,BX112,BZ112)</f>
        <v>0</v>
      </c>
      <c r="CC112" s="299">
        <f>SUM(Table13[[#This Row],[GOALS 1]:[ASSISTS 38]])</f>
        <v>0</v>
      </c>
    </row>
    <row r="113" spans="1:81">
      <c r="A113" s="291" t="s">
        <v>1671</v>
      </c>
      <c r="B113" s="291" t="s">
        <v>634</v>
      </c>
      <c r="C113" s="288"/>
      <c r="D113" s="286"/>
      <c r="E113" s="288"/>
      <c r="F113" s="286"/>
      <c r="G113" s="288"/>
      <c r="H113" s="286"/>
      <c r="I113" s="288"/>
      <c r="J113" s="286"/>
      <c r="K113" s="288"/>
      <c r="L113" s="286"/>
      <c r="M113" s="288"/>
      <c r="N113" s="286"/>
      <c r="O113" s="288"/>
      <c r="P113" s="286"/>
      <c r="Q113" s="288"/>
      <c r="R113" s="286"/>
      <c r="S113" s="288"/>
      <c r="T113" s="286"/>
      <c r="U113" s="288"/>
      <c r="V113" s="286"/>
      <c r="W113" s="288"/>
      <c r="X113" s="286"/>
      <c r="Y113" s="288"/>
      <c r="Z113" s="286"/>
      <c r="AA113" s="288"/>
      <c r="AB113" s="286"/>
      <c r="AC113" s="288"/>
      <c r="AD113" s="286"/>
      <c r="AE113" s="288"/>
      <c r="AF113" s="286"/>
      <c r="AG113" s="288"/>
      <c r="AH113" s="286"/>
      <c r="AI113" s="288"/>
      <c r="AJ113" s="286"/>
      <c r="AK113" s="286"/>
      <c r="AL113" s="286"/>
      <c r="AM113" s="286"/>
      <c r="AN113" s="286"/>
      <c r="AO113" s="286"/>
      <c r="AP113" s="286"/>
      <c r="AQ113" s="286"/>
      <c r="AR113" s="286"/>
      <c r="AS113" s="286"/>
      <c r="AT113" s="286"/>
      <c r="AU113" s="286"/>
      <c r="AV113" s="284"/>
      <c r="AW113" s="284"/>
      <c r="AX113" s="284"/>
      <c r="AY113" s="284"/>
      <c r="AZ113" s="284"/>
      <c r="BA113" s="284"/>
      <c r="BB113" s="284"/>
      <c r="BC113" s="284"/>
      <c r="BD113" s="284"/>
      <c r="BE113" s="284"/>
      <c r="BF113" s="284"/>
      <c r="BG113" s="284"/>
      <c r="BH113" s="284"/>
      <c r="BI113" s="284"/>
      <c r="BJ113" s="284"/>
      <c r="BK113" s="284"/>
      <c r="BL113" s="284"/>
      <c r="BM113" s="284"/>
      <c r="BN113" s="284"/>
      <c r="BO113" s="284"/>
      <c r="BP113" s="284"/>
      <c r="BQ113" s="284"/>
      <c r="BR113" s="284"/>
      <c r="BS113" s="284"/>
      <c r="BT113" s="284"/>
      <c r="BU113" s="284"/>
      <c r="BV113" s="284"/>
      <c r="BW113" s="284"/>
      <c r="BX113" s="284"/>
      <c r="BY113" s="284"/>
      <c r="BZ113" s="285"/>
      <c r="CA113" s="298">
        <f>SUM(C113,E113,G113,I113,K113,M113,O113,Q113,S113,U113,W113,Y113,AA113,AC113,AE113,AG113,AI113,AK113,AM113,AO113,AQ113,AS113,AU113,AW113,AY113,BA113,BC113,BE113,BG113,BI113,BK113,BM113,BO113,BQ113,BS113,BU113,BW113,BY113)</f>
        <v>0</v>
      </c>
      <c r="CB113" s="298">
        <f>SUM(D113,F113,H113,J113,L113,N113,P113,R113,T113,V113,X113,Z113,AB113,AD113,AF113,AH113,AJ113,AL113,AN113,AP113,AR113,AT113,AV113,AX113,AZ113,BB113,BD113,BF113,BH113,BJ113,BL113,BN113,BP113,BR113,BT113,BV113,BX113,BZ113)</f>
        <v>0</v>
      </c>
      <c r="CC113" s="299">
        <f>SUM(Table13[[#This Row],[GOALS 1]:[ASSISTS 38]])</f>
        <v>0</v>
      </c>
    </row>
    <row r="114" spans="1:81">
      <c r="A114" s="291" t="s">
        <v>1484</v>
      </c>
      <c r="B114" s="291" t="s">
        <v>23</v>
      </c>
      <c r="C114" s="289"/>
      <c r="D114" s="286"/>
      <c r="E114" s="288"/>
      <c r="F114" s="286"/>
      <c r="G114" s="288"/>
      <c r="H114" s="286"/>
      <c r="I114" s="288"/>
      <c r="J114" s="286"/>
      <c r="K114" s="288"/>
      <c r="L114" s="286"/>
      <c r="M114" s="288"/>
      <c r="N114" s="286"/>
      <c r="O114" s="288"/>
      <c r="P114" s="286"/>
      <c r="Q114" s="288"/>
      <c r="R114" s="286"/>
      <c r="S114" s="288"/>
      <c r="T114" s="286"/>
      <c r="U114" s="288"/>
      <c r="V114" s="286"/>
      <c r="W114" s="288"/>
      <c r="X114" s="286"/>
      <c r="Y114" s="288"/>
      <c r="Z114" s="286"/>
      <c r="AA114" s="288"/>
      <c r="AB114" s="286"/>
      <c r="AC114" s="288"/>
      <c r="AD114" s="286"/>
      <c r="AE114" s="288"/>
      <c r="AF114" s="286"/>
      <c r="AG114" s="288"/>
      <c r="AH114" s="286"/>
      <c r="AI114" s="288"/>
      <c r="AJ114" s="286"/>
      <c r="AK114" s="286"/>
      <c r="AL114" s="286"/>
      <c r="AM114" s="286"/>
      <c r="AN114" s="286"/>
      <c r="AO114" s="286"/>
      <c r="AP114" s="286"/>
      <c r="AQ114" s="286"/>
      <c r="AR114" s="286"/>
      <c r="AS114" s="286"/>
      <c r="AT114" s="286"/>
      <c r="AU114" s="286"/>
      <c r="AV114" s="284"/>
      <c r="AW114" s="284"/>
      <c r="AX114" s="284"/>
      <c r="AY114" s="284"/>
      <c r="AZ114" s="284"/>
      <c r="BA114" s="284"/>
      <c r="BB114" s="284"/>
      <c r="BC114" s="284"/>
      <c r="BD114" s="284"/>
      <c r="BE114" s="284"/>
      <c r="BF114" s="284"/>
      <c r="BG114" s="284"/>
      <c r="BH114" s="284"/>
      <c r="BI114" s="284"/>
      <c r="BJ114" s="284"/>
      <c r="BK114" s="284"/>
      <c r="BL114" s="284"/>
      <c r="BM114" s="284"/>
      <c r="BN114" s="284"/>
      <c r="BO114" s="284"/>
      <c r="BP114" s="284"/>
      <c r="BQ114" s="284"/>
      <c r="BR114" s="284"/>
      <c r="BS114" s="284"/>
      <c r="BT114" s="284"/>
      <c r="BU114" s="284"/>
      <c r="BV114" s="284"/>
      <c r="BW114" s="284"/>
      <c r="BX114" s="284"/>
      <c r="BY114" s="284"/>
      <c r="BZ114" s="285"/>
      <c r="CA114" s="298">
        <f>SUM(C114,E114,G114,I114,K114,M114,O114,Q114,S114,U114,W114,Y114,AA114,AC114,AE114,AG114,AI114,AK114,AM114,AO114,AQ114,AS114,AU114,AW114,AY114,BA114,BC114,BE114,BG114,BI114,BK114,BM114,BO114,BQ114,BS114,BU114,BW114,BY114)</f>
        <v>0</v>
      </c>
      <c r="CB114" s="298">
        <f>SUM(D114,F114,H114,J114,L114,N114,P114,R114,T114,V114,X114,Z114,AB114,AD114,AF114,AH114,AJ114,AL114,AN114,AP114,AR114,AT114,AV114,AX114,AZ114,BB114,BD114,BF114,BH114,BJ114,BL114,BN114,BP114,BR114,BT114,BV114,BX114,BZ114)</f>
        <v>0</v>
      </c>
      <c r="CC114" s="299">
        <f>SUM(Table13[[#This Row],[GOALS 1]:[ASSISTS 38]])</f>
        <v>0</v>
      </c>
    </row>
    <row r="115" spans="1:81">
      <c r="A115" s="291" t="s">
        <v>1443</v>
      </c>
      <c r="B115" s="291" t="s">
        <v>21</v>
      </c>
      <c r="C115" s="289"/>
      <c r="D115" s="286"/>
      <c r="E115" s="288"/>
      <c r="F115" s="286"/>
      <c r="G115" s="288"/>
      <c r="H115" s="286"/>
      <c r="I115" s="288"/>
      <c r="J115" s="286"/>
      <c r="K115" s="288"/>
      <c r="L115" s="286"/>
      <c r="M115" s="288"/>
      <c r="N115" s="286"/>
      <c r="O115" s="288"/>
      <c r="P115" s="286"/>
      <c r="Q115" s="288"/>
      <c r="R115" s="286"/>
      <c r="S115" s="288"/>
      <c r="T115" s="286"/>
      <c r="U115" s="288"/>
      <c r="V115" s="286"/>
      <c r="W115" s="288"/>
      <c r="X115" s="286"/>
      <c r="Y115" s="288"/>
      <c r="Z115" s="286"/>
      <c r="AA115" s="288"/>
      <c r="AB115" s="286"/>
      <c r="AC115" s="288"/>
      <c r="AD115" s="286"/>
      <c r="AE115" s="288"/>
      <c r="AF115" s="286"/>
      <c r="AG115" s="288"/>
      <c r="AH115" s="286"/>
      <c r="AI115" s="288"/>
      <c r="AJ115" s="286"/>
      <c r="AK115" s="286"/>
      <c r="AL115" s="286"/>
      <c r="AM115" s="286"/>
      <c r="AN115" s="286"/>
      <c r="AO115" s="286"/>
      <c r="AP115" s="286"/>
      <c r="AQ115" s="286"/>
      <c r="AR115" s="286"/>
      <c r="AS115" s="286"/>
      <c r="AT115" s="286"/>
      <c r="AU115" s="286"/>
      <c r="AV115" s="284"/>
      <c r="AW115" s="284"/>
      <c r="AX115" s="284"/>
      <c r="AY115" s="284"/>
      <c r="AZ115" s="284"/>
      <c r="BA115" s="284"/>
      <c r="BB115" s="284"/>
      <c r="BC115" s="284"/>
      <c r="BD115" s="284"/>
      <c r="BE115" s="284"/>
      <c r="BF115" s="284"/>
      <c r="BG115" s="284"/>
      <c r="BH115" s="284"/>
      <c r="BI115" s="284"/>
      <c r="BJ115" s="284"/>
      <c r="BK115" s="284"/>
      <c r="BL115" s="284"/>
      <c r="BM115" s="284"/>
      <c r="BN115" s="284"/>
      <c r="BO115" s="284"/>
      <c r="BP115" s="284"/>
      <c r="BQ115" s="284"/>
      <c r="BR115" s="284"/>
      <c r="BS115" s="284"/>
      <c r="BT115" s="284"/>
      <c r="BU115" s="284"/>
      <c r="BV115" s="284"/>
      <c r="BW115" s="284"/>
      <c r="BX115" s="284"/>
      <c r="BY115" s="284"/>
      <c r="BZ115" s="285"/>
      <c r="CA115" s="298">
        <f>SUM(C115,E115,G115,I115,K115,M115,O115,Q115,S115,U115,W115,Y115,AA115,AC115,AE115,AG115,AI115,AK115,AM115,AO115,AQ115,AS115,AU115,AW115,AY115,BA115,BC115,BE115,BG115,BI115,BK115,BM115,BO115,BQ115,BS115,BU115,BW115,BY115)</f>
        <v>0</v>
      </c>
      <c r="CB115" s="298">
        <f>SUM(D115,F115,H115,J115,L115,N115,P115,R115,T115,V115,X115,Z115,AB115,AD115,AF115,AH115,AJ115,AL115,AN115,AP115,AR115,AT115,AV115,AX115,AZ115,BB115,BD115,BF115,BH115,BJ115,BL115,BN115,BP115,BR115,BT115,BV115,BX115,BZ115)</f>
        <v>0</v>
      </c>
      <c r="CC115" s="299">
        <f>SUM(Table13[[#This Row],[GOALS 1]:[ASSISTS 38]])</f>
        <v>0</v>
      </c>
    </row>
    <row r="116" spans="1:81">
      <c r="A116" s="291" t="s">
        <v>1795</v>
      </c>
      <c r="B116" s="291" t="s">
        <v>19</v>
      </c>
      <c r="C116" s="286"/>
      <c r="D116" s="286"/>
      <c r="E116" s="288"/>
      <c r="F116" s="286"/>
      <c r="G116" s="288"/>
      <c r="H116" s="286"/>
      <c r="I116" s="288"/>
      <c r="J116" s="286"/>
      <c r="K116" s="288"/>
      <c r="L116" s="286"/>
      <c r="M116" s="288"/>
      <c r="N116" s="286"/>
      <c r="O116" s="288"/>
      <c r="P116" s="286"/>
      <c r="Q116" s="288"/>
      <c r="R116" s="286"/>
      <c r="S116" s="288"/>
      <c r="T116" s="286"/>
      <c r="U116" s="288"/>
      <c r="V116" s="286"/>
      <c r="W116" s="288"/>
      <c r="X116" s="286"/>
      <c r="Y116" s="288"/>
      <c r="Z116" s="286"/>
      <c r="AA116" s="288"/>
      <c r="AB116" s="286"/>
      <c r="AC116" s="288"/>
      <c r="AD116" s="286"/>
      <c r="AE116" s="288"/>
      <c r="AF116" s="286"/>
      <c r="AG116" s="288"/>
      <c r="AH116" s="286"/>
      <c r="AI116" s="288"/>
      <c r="AJ116" s="286"/>
      <c r="AK116" s="286"/>
      <c r="AL116" s="286"/>
      <c r="AM116" s="286"/>
      <c r="AN116" s="286"/>
      <c r="AO116" s="286"/>
      <c r="AP116" s="286"/>
      <c r="AQ116" s="286"/>
      <c r="AR116" s="286"/>
      <c r="AS116" s="286"/>
      <c r="AT116" s="286"/>
      <c r="AU116" s="286"/>
      <c r="AV116" s="284"/>
      <c r="AW116" s="284"/>
      <c r="AX116" s="284"/>
      <c r="AY116" s="284"/>
      <c r="AZ116" s="284"/>
      <c r="BA116" s="284"/>
      <c r="BB116" s="284"/>
      <c r="BC116" s="284"/>
      <c r="BD116" s="284"/>
      <c r="BE116" s="284"/>
      <c r="BF116" s="284"/>
      <c r="BG116" s="284"/>
      <c r="BH116" s="284"/>
      <c r="BI116" s="284"/>
      <c r="BJ116" s="284"/>
      <c r="BK116" s="284"/>
      <c r="BL116" s="284"/>
      <c r="BM116" s="284"/>
      <c r="BN116" s="284"/>
      <c r="BO116" s="284"/>
      <c r="BP116" s="284"/>
      <c r="BQ116" s="284"/>
      <c r="BR116" s="284"/>
      <c r="BS116" s="284"/>
      <c r="BT116" s="284"/>
      <c r="BU116" s="284"/>
      <c r="BV116" s="284"/>
      <c r="BW116" s="284"/>
      <c r="BX116" s="284"/>
      <c r="BY116" s="284"/>
      <c r="BZ116" s="285"/>
      <c r="CA116" s="298">
        <f>SUM(C116,E116,G116,I116,K116,M116,O116,Q116,S116,U116,W116,Y116,AA116,AC116,AE116,AG116,AI116,AK116,AM116,AO116,AQ116,AS116,AU116,AW116,AY116,BA116,BC116,BE116,BG116,BI116,BK116,BM116,BO116,BQ116,BS116,BU116,BW116,BY116)</f>
        <v>0</v>
      </c>
      <c r="CB116" s="298">
        <f>SUM(D116,F116,H116,J116,L116,N116,P116,R116,T116,V116,X116,Z116,AB116,AD116,AF116,AH116,AJ116,AL116,AN116,AP116,AR116,AT116,AV116,AX116,AZ116,BB116,BD116,BF116,BH116,BJ116,BL116,BN116,BP116,BR116,BT116,BV116,BX116,BZ116)</f>
        <v>0</v>
      </c>
      <c r="CC116" s="299">
        <f>SUM(Table13[[#This Row],[GOALS 1]:[ASSISTS 38]])</f>
        <v>0</v>
      </c>
    </row>
    <row r="117" spans="1:81">
      <c r="A117" s="291" t="s">
        <v>1530</v>
      </c>
      <c r="B117" s="291" t="s">
        <v>633</v>
      </c>
      <c r="C117" s="289"/>
      <c r="D117" s="286"/>
      <c r="E117" s="288"/>
      <c r="F117" s="286"/>
      <c r="G117" s="288"/>
      <c r="H117" s="286"/>
      <c r="I117" s="288"/>
      <c r="J117" s="286"/>
      <c r="K117" s="288"/>
      <c r="L117" s="286"/>
      <c r="M117" s="288"/>
      <c r="N117" s="286"/>
      <c r="O117" s="288"/>
      <c r="P117" s="286"/>
      <c r="Q117" s="288"/>
      <c r="R117" s="286"/>
      <c r="S117" s="288"/>
      <c r="T117" s="286"/>
      <c r="U117" s="288"/>
      <c r="V117" s="286"/>
      <c r="W117" s="288"/>
      <c r="X117" s="286"/>
      <c r="Y117" s="288"/>
      <c r="Z117" s="286"/>
      <c r="AA117" s="288"/>
      <c r="AB117" s="286"/>
      <c r="AC117" s="288"/>
      <c r="AD117" s="286"/>
      <c r="AE117" s="288"/>
      <c r="AF117" s="286"/>
      <c r="AG117" s="288"/>
      <c r="AH117" s="286"/>
      <c r="AI117" s="288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4"/>
      <c r="AW117" s="284"/>
      <c r="AX117" s="284"/>
      <c r="AY117" s="284"/>
      <c r="AZ117" s="284"/>
      <c r="BA117" s="284"/>
      <c r="BB117" s="284"/>
      <c r="BC117" s="284"/>
      <c r="BD117" s="284"/>
      <c r="BE117" s="284"/>
      <c r="BF117" s="284"/>
      <c r="BG117" s="284"/>
      <c r="BH117" s="284"/>
      <c r="BI117" s="284"/>
      <c r="BJ117" s="284"/>
      <c r="BK117" s="284"/>
      <c r="BL117" s="284"/>
      <c r="BM117" s="284"/>
      <c r="BN117" s="284"/>
      <c r="BO117" s="284"/>
      <c r="BP117" s="284"/>
      <c r="BQ117" s="284"/>
      <c r="BR117" s="284"/>
      <c r="BS117" s="284"/>
      <c r="BT117" s="284"/>
      <c r="BU117" s="284"/>
      <c r="BV117" s="284"/>
      <c r="BW117" s="284"/>
      <c r="BX117" s="284"/>
      <c r="BY117" s="284"/>
      <c r="BZ117" s="285"/>
      <c r="CA117" s="298">
        <f>SUM(C117,E117,G117,I117,K117,M117,O117,Q117,S117,U117,W117,Y117,AA117,AC117,AE117,AG117,AI117,AK117,AM117,AO117,AQ117,AS117,AU117,AW117,AY117,BA117,BC117,BE117,BG117,BI117,BK117,BM117,BO117,BQ117,BS117,BU117,BW117,BY117)</f>
        <v>0</v>
      </c>
      <c r="CB117" s="298">
        <f>SUM(D117,F117,H117,J117,L117,N117,P117,R117,T117,V117,X117,Z117,AB117,AD117,AF117,AH117,AJ117,AL117,AN117,AP117,AR117,AT117,AV117,AX117,AZ117,BB117,BD117,BF117,BH117,BJ117,BL117,BN117,BP117,BR117,BT117,BV117,BX117,BZ117)</f>
        <v>0</v>
      </c>
      <c r="CC117" s="299">
        <f>SUM(Table13[[#This Row],[GOALS 1]:[ASSISTS 38]])</f>
        <v>0</v>
      </c>
    </row>
    <row r="118" spans="1:81">
      <c r="A118" s="291" t="s">
        <v>1546</v>
      </c>
      <c r="B118" s="291" t="s">
        <v>19</v>
      </c>
      <c r="C118" s="286"/>
      <c r="D118" s="286"/>
      <c r="E118" s="288"/>
      <c r="F118" s="286"/>
      <c r="G118" s="288"/>
      <c r="H118" s="286"/>
      <c r="I118" s="288"/>
      <c r="J118" s="286"/>
      <c r="K118" s="288"/>
      <c r="L118" s="286"/>
      <c r="M118" s="288"/>
      <c r="N118" s="286"/>
      <c r="O118" s="288"/>
      <c r="P118" s="286"/>
      <c r="Q118" s="288"/>
      <c r="R118" s="286"/>
      <c r="S118" s="288"/>
      <c r="T118" s="286"/>
      <c r="U118" s="288"/>
      <c r="V118" s="286"/>
      <c r="W118" s="288"/>
      <c r="X118" s="286"/>
      <c r="Y118" s="288"/>
      <c r="Z118" s="286"/>
      <c r="AA118" s="288"/>
      <c r="AB118" s="286"/>
      <c r="AC118" s="288"/>
      <c r="AD118" s="286"/>
      <c r="AE118" s="288"/>
      <c r="AF118" s="286"/>
      <c r="AG118" s="288"/>
      <c r="AH118" s="286"/>
      <c r="AI118" s="288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4"/>
      <c r="AW118" s="284"/>
      <c r="AX118" s="284"/>
      <c r="AY118" s="284"/>
      <c r="AZ118" s="284"/>
      <c r="BA118" s="284"/>
      <c r="BB118" s="284"/>
      <c r="BC118" s="284"/>
      <c r="BD118" s="284"/>
      <c r="BE118" s="284"/>
      <c r="BF118" s="284"/>
      <c r="BG118" s="284"/>
      <c r="BH118" s="284"/>
      <c r="BI118" s="284"/>
      <c r="BJ118" s="284"/>
      <c r="BK118" s="284"/>
      <c r="BL118" s="284"/>
      <c r="BM118" s="284"/>
      <c r="BN118" s="284"/>
      <c r="BO118" s="284"/>
      <c r="BP118" s="284"/>
      <c r="BQ118" s="284"/>
      <c r="BR118" s="284"/>
      <c r="BS118" s="284"/>
      <c r="BT118" s="284"/>
      <c r="BU118" s="284"/>
      <c r="BV118" s="284"/>
      <c r="BW118" s="284"/>
      <c r="BX118" s="284"/>
      <c r="BY118" s="284"/>
      <c r="BZ118" s="285"/>
      <c r="CA118" s="298">
        <f>SUM(C118,E118,G118,I118,K118,M118,O118,Q118,S118,U118,W118,Y118,AA118,AC118,AE118,AG118,AI118,AK118,AM118,AO118,AQ118,AS118,AU118,AW118,AY118,BA118,BC118,BE118,BG118,BI118,BK118,BM118,BO118,BQ118,BS118,BU118,BW118,BY118)</f>
        <v>0</v>
      </c>
      <c r="CB118" s="298">
        <f>SUM(D118,F118,H118,J118,L118,N118,P118,R118,T118,V118,X118,Z118,AB118,AD118,AF118,AH118,AJ118,AL118,AN118,AP118,AR118,AT118,AV118,AX118,AZ118,BB118,BD118,BF118,BH118,BJ118,BL118,BN118,BP118,BR118,BT118,BV118,BX118,BZ118)</f>
        <v>0</v>
      </c>
      <c r="CC118" s="299">
        <f>SUM(Table13[[#This Row],[GOALS 1]:[ASSISTS 38]])</f>
        <v>0</v>
      </c>
    </row>
    <row r="119" spans="1:81">
      <c r="A119" s="291" t="s">
        <v>1473</v>
      </c>
      <c r="B119" s="291" t="s">
        <v>22</v>
      </c>
      <c r="C119" s="286"/>
      <c r="D119" s="286"/>
      <c r="E119" s="288"/>
      <c r="F119" s="286"/>
      <c r="G119" s="288"/>
      <c r="H119" s="286"/>
      <c r="I119" s="288"/>
      <c r="J119" s="286"/>
      <c r="K119" s="288"/>
      <c r="L119" s="286"/>
      <c r="M119" s="288"/>
      <c r="N119" s="286"/>
      <c r="O119" s="288"/>
      <c r="P119" s="286"/>
      <c r="Q119" s="288"/>
      <c r="R119" s="286"/>
      <c r="S119" s="288"/>
      <c r="T119" s="286"/>
      <c r="U119" s="288"/>
      <c r="V119" s="286"/>
      <c r="W119" s="288"/>
      <c r="X119" s="286"/>
      <c r="Y119" s="288"/>
      <c r="Z119" s="286"/>
      <c r="AA119" s="288"/>
      <c r="AB119" s="286"/>
      <c r="AC119" s="288"/>
      <c r="AD119" s="286"/>
      <c r="AE119" s="288"/>
      <c r="AF119" s="286"/>
      <c r="AG119" s="288"/>
      <c r="AH119" s="286"/>
      <c r="AI119" s="288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4"/>
      <c r="AW119" s="284"/>
      <c r="AX119" s="284"/>
      <c r="AY119" s="284"/>
      <c r="AZ119" s="284"/>
      <c r="BA119" s="284"/>
      <c r="BB119" s="284"/>
      <c r="BC119" s="284"/>
      <c r="BD119" s="284"/>
      <c r="BE119" s="284"/>
      <c r="BF119" s="284"/>
      <c r="BG119" s="284"/>
      <c r="BH119" s="284"/>
      <c r="BI119" s="284"/>
      <c r="BJ119" s="284"/>
      <c r="BK119" s="284"/>
      <c r="BL119" s="284"/>
      <c r="BM119" s="284"/>
      <c r="BN119" s="284"/>
      <c r="BO119" s="284"/>
      <c r="BP119" s="284"/>
      <c r="BQ119" s="284"/>
      <c r="BR119" s="284"/>
      <c r="BS119" s="284"/>
      <c r="BT119" s="284"/>
      <c r="BU119" s="284"/>
      <c r="BV119" s="284"/>
      <c r="BW119" s="284"/>
      <c r="BX119" s="284"/>
      <c r="BY119" s="284"/>
      <c r="BZ119" s="285"/>
      <c r="CA119" s="298">
        <f>SUM(C119,E119,G119,I119,K119,M119,O119,Q119,S119,U119,W119,Y119,AA119,AC119,AE119,AG119,AI119,AK119,AM119,AO119,AQ119,AS119,AU119,AW119,AY119,BA119,BC119,BE119,BG119,BI119,BK119,BM119,BO119,BQ119,BS119,BU119,BW119,BY119)</f>
        <v>0</v>
      </c>
      <c r="CB119" s="298">
        <f>SUM(D119,F119,H119,J119,L119,N119,P119,R119,T119,V119,X119,Z119,AB119,AD119,AF119,AH119,AJ119,AL119,AN119,AP119,AR119,AT119,AV119,AX119,AZ119,BB119,BD119,BF119,BH119,BJ119,BL119,BN119,BP119,BR119,BT119,BV119,BX119,BZ119)</f>
        <v>0</v>
      </c>
      <c r="CC119" s="299">
        <f>SUM(Table13[[#This Row],[GOALS 1]:[ASSISTS 38]])</f>
        <v>0</v>
      </c>
    </row>
    <row r="120" spans="1:81">
      <c r="A120" s="291" t="s">
        <v>1885</v>
      </c>
      <c r="B120" s="291" t="s">
        <v>17</v>
      </c>
      <c r="C120" s="289"/>
      <c r="D120" s="286"/>
      <c r="E120" s="288"/>
      <c r="F120" s="286"/>
      <c r="G120" s="288"/>
      <c r="H120" s="286"/>
      <c r="I120" s="288"/>
      <c r="J120" s="286"/>
      <c r="K120" s="288"/>
      <c r="L120" s="286"/>
      <c r="M120" s="288"/>
      <c r="N120" s="286"/>
      <c r="O120" s="288"/>
      <c r="P120" s="286"/>
      <c r="Q120" s="288"/>
      <c r="R120" s="286"/>
      <c r="S120" s="288"/>
      <c r="T120" s="286"/>
      <c r="U120" s="288"/>
      <c r="V120" s="286"/>
      <c r="W120" s="288"/>
      <c r="X120" s="286"/>
      <c r="Y120" s="288"/>
      <c r="Z120" s="286"/>
      <c r="AA120" s="288"/>
      <c r="AB120" s="286"/>
      <c r="AC120" s="288"/>
      <c r="AD120" s="286"/>
      <c r="AE120" s="288"/>
      <c r="AF120" s="286"/>
      <c r="AG120" s="288"/>
      <c r="AH120" s="286"/>
      <c r="AI120" s="288"/>
      <c r="AJ120" s="286"/>
      <c r="AK120" s="286"/>
      <c r="AL120" s="286"/>
      <c r="AM120" s="286"/>
      <c r="AN120" s="286"/>
      <c r="AO120" s="286"/>
      <c r="AP120" s="286"/>
      <c r="AQ120" s="286"/>
      <c r="AR120" s="286"/>
      <c r="AS120" s="286"/>
      <c r="AT120" s="286"/>
      <c r="AU120" s="286"/>
      <c r="AV120" s="284"/>
      <c r="AW120" s="284"/>
      <c r="AX120" s="284"/>
      <c r="AY120" s="284"/>
      <c r="AZ120" s="284"/>
      <c r="BA120" s="284"/>
      <c r="BB120" s="284"/>
      <c r="BC120" s="284"/>
      <c r="BD120" s="284"/>
      <c r="BE120" s="284"/>
      <c r="BF120" s="284"/>
      <c r="BG120" s="284"/>
      <c r="BH120" s="284"/>
      <c r="BI120" s="284"/>
      <c r="BJ120" s="284"/>
      <c r="BK120" s="284"/>
      <c r="BL120" s="284"/>
      <c r="BM120" s="284"/>
      <c r="BN120" s="284"/>
      <c r="BO120" s="284"/>
      <c r="BP120" s="284"/>
      <c r="BQ120" s="284"/>
      <c r="BR120" s="284"/>
      <c r="BS120" s="284"/>
      <c r="BT120" s="284"/>
      <c r="BU120" s="284"/>
      <c r="BV120" s="284"/>
      <c r="BW120" s="284"/>
      <c r="BX120" s="284"/>
      <c r="BY120" s="284"/>
      <c r="BZ120" s="285"/>
      <c r="CA120" s="298">
        <f>SUM(C120,E120,G120,I120,K120,M120,O120,Q120,S120,U120,W120,Y120,AA120,AC120,AE120,AG120,AI120,AK120,AM120,AO120,AQ120,AS120,AU120,AW120,AY120,BA120,BC120,BE120,BG120,BI120,BK120,BM120,BO120,BQ120,BS120,BU120,BW120,BY120)</f>
        <v>0</v>
      </c>
      <c r="CB120" s="298">
        <f>SUM(D120,F120,H120,J120,L120,N120,P120,R120,T120,V120,X120,Z120,AB120,AD120,AF120,AH120,AJ120,AL120,AN120,AP120,AR120,AT120,AV120,AX120,AZ120,BB120,BD120,BF120,BH120,BJ120,BL120,BN120,BP120,BR120,BT120,BV120,BX120,BZ120)</f>
        <v>0</v>
      </c>
      <c r="CC120" s="299">
        <f>SUM(Table13[[#This Row],[GOALS 1]:[ASSISTS 38]])</f>
        <v>0</v>
      </c>
    </row>
    <row r="121" spans="1:81">
      <c r="A121" s="291" t="s">
        <v>1890</v>
      </c>
      <c r="B121" s="291" t="s">
        <v>634</v>
      </c>
      <c r="C121" s="288"/>
      <c r="D121" s="286"/>
      <c r="E121" s="288"/>
      <c r="F121" s="286"/>
      <c r="G121" s="288"/>
      <c r="H121" s="286"/>
      <c r="I121" s="288"/>
      <c r="J121" s="286"/>
      <c r="K121" s="288"/>
      <c r="L121" s="286"/>
      <c r="M121" s="288"/>
      <c r="N121" s="286"/>
      <c r="O121" s="288"/>
      <c r="P121" s="286"/>
      <c r="Q121" s="288"/>
      <c r="R121" s="286"/>
      <c r="S121" s="288"/>
      <c r="T121" s="286"/>
      <c r="U121" s="288"/>
      <c r="V121" s="286"/>
      <c r="W121" s="288"/>
      <c r="X121" s="286"/>
      <c r="Y121" s="288"/>
      <c r="Z121" s="286"/>
      <c r="AA121" s="288"/>
      <c r="AB121" s="286"/>
      <c r="AC121" s="288"/>
      <c r="AD121" s="286"/>
      <c r="AE121" s="288"/>
      <c r="AF121" s="286"/>
      <c r="AG121" s="288"/>
      <c r="AH121" s="286"/>
      <c r="AI121" s="288"/>
      <c r="AJ121" s="286"/>
      <c r="AK121" s="286"/>
      <c r="AL121" s="286"/>
      <c r="AM121" s="286"/>
      <c r="AN121" s="286"/>
      <c r="AO121" s="286"/>
      <c r="AP121" s="286"/>
      <c r="AQ121" s="286"/>
      <c r="AR121" s="286"/>
      <c r="AS121" s="286"/>
      <c r="AT121" s="286"/>
      <c r="AU121" s="286"/>
      <c r="AV121" s="284"/>
      <c r="AW121" s="284"/>
      <c r="AX121" s="284"/>
      <c r="AY121" s="284"/>
      <c r="AZ121" s="284"/>
      <c r="BA121" s="284"/>
      <c r="BB121" s="284"/>
      <c r="BC121" s="284"/>
      <c r="BD121" s="284"/>
      <c r="BE121" s="284"/>
      <c r="BF121" s="284"/>
      <c r="BG121" s="284"/>
      <c r="BH121" s="284"/>
      <c r="BI121" s="284"/>
      <c r="BJ121" s="284"/>
      <c r="BK121" s="284"/>
      <c r="BL121" s="284"/>
      <c r="BM121" s="284"/>
      <c r="BN121" s="284"/>
      <c r="BO121" s="284"/>
      <c r="BP121" s="284"/>
      <c r="BQ121" s="284"/>
      <c r="BR121" s="284"/>
      <c r="BS121" s="284"/>
      <c r="BT121" s="284"/>
      <c r="BU121" s="284"/>
      <c r="BV121" s="284"/>
      <c r="BW121" s="284"/>
      <c r="BX121" s="284"/>
      <c r="BY121" s="284"/>
      <c r="BZ121" s="285"/>
      <c r="CA121" s="298">
        <f>SUM(C121,E121,G121,I121,K121,M121,O121,Q121,S121,U121,W121,Y121,AA121,AC121,AE121,AG121,AI121,AK121,AM121,AO121,AQ121,AS121,AU121,AW121,AY121,BA121,BC121,BE121,BG121,BI121,BK121,BM121,BO121,BQ121,BS121,BU121,BW121,BY121)</f>
        <v>0</v>
      </c>
      <c r="CB121" s="298">
        <f>SUM(D121,F121,H121,J121,L121,N121,P121,R121,T121,V121,X121,Z121,AB121,AD121,AF121,AH121,AJ121,AL121,AN121,AP121,AR121,AT121,AV121,AX121,AZ121,BB121,BD121,BF121,BH121,BJ121,BL121,BN121,BP121,BR121,BT121,BV121,BX121,BZ121)</f>
        <v>0</v>
      </c>
      <c r="CC121" s="299">
        <f>SUM(Table13[[#This Row],[GOALS 1]:[ASSISTS 38]])</f>
        <v>0</v>
      </c>
    </row>
    <row r="122" spans="1:81">
      <c r="A122" s="291" t="s">
        <v>1739</v>
      </c>
      <c r="B122" s="291" t="s">
        <v>26</v>
      </c>
      <c r="C122" s="286"/>
      <c r="D122" s="286"/>
      <c r="E122" s="288"/>
      <c r="F122" s="286"/>
      <c r="G122" s="288"/>
      <c r="H122" s="286"/>
      <c r="I122" s="288"/>
      <c r="J122" s="286"/>
      <c r="K122" s="288"/>
      <c r="L122" s="286"/>
      <c r="M122" s="288"/>
      <c r="N122" s="286"/>
      <c r="O122" s="288"/>
      <c r="P122" s="286"/>
      <c r="Q122" s="288"/>
      <c r="R122" s="286"/>
      <c r="S122" s="288"/>
      <c r="T122" s="286"/>
      <c r="U122" s="288"/>
      <c r="V122" s="286"/>
      <c r="W122" s="288"/>
      <c r="X122" s="286"/>
      <c r="Y122" s="288"/>
      <c r="Z122" s="286"/>
      <c r="AA122" s="288"/>
      <c r="AB122" s="286"/>
      <c r="AC122" s="288"/>
      <c r="AD122" s="286"/>
      <c r="AE122" s="288"/>
      <c r="AF122" s="286"/>
      <c r="AG122" s="288"/>
      <c r="AH122" s="286"/>
      <c r="AI122" s="288"/>
      <c r="AJ122" s="286"/>
      <c r="AK122" s="286"/>
      <c r="AL122" s="286"/>
      <c r="AM122" s="286"/>
      <c r="AN122" s="286"/>
      <c r="AO122" s="286"/>
      <c r="AP122" s="286"/>
      <c r="AQ122" s="286"/>
      <c r="AR122" s="286"/>
      <c r="AS122" s="286"/>
      <c r="AT122" s="286"/>
      <c r="AU122" s="286"/>
      <c r="AV122" s="284"/>
      <c r="AW122" s="284"/>
      <c r="AX122" s="284"/>
      <c r="AY122" s="284"/>
      <c r="AZ122" s="284"/>
      <c r="BA122" s="284"/>
      <c r="BB122" s="284"/>
      <c r="BC122" s="284"/>
      <c r="BD122" s="284"/>
      <c r="BE122" s="284"/>
      <c r="BF122" s="284"/>
      <c r="BG122" s="284"/>
      <c r="BH122" s="284"/>
      <c r="BI122" s="284"/>
      <c r="BJ122" s="284"/>
      <c r="BK122" s="284"/>
      <c r="BL122" s="284"/>
      <c r="BM122" s="284"/>
      <c r="BN122" s="284"/>
      <c r="BO122" s="284"/>
      <c r="BP122" s="284"/>
      <c r="BQ122" s="284"/>
      <c r="BR122" s="284"/>
      <c r="BS122" s="284"/>
      <c r="BT122" s="284"/>
      <c r="BU122" s="284"/>
      <c r="BV122" s="284"/>
      <c r="BW122" s="284"/>
      <c r="BX122" s="284"/>
      <c r="BY122" s="284"/>
      <c r="BZ122" s="285"/>
      <c r="CA122" s="298">
        <f>SUM(C122,E122,G122,I122,K122,M122,O122,Q122,S122,U122,W122,Y122,AA122,AC122,AE122,AG122,AI122,AK122,AM122,AO122,AQ122,AS122,AU122,AW122,AY122,BA122,BC122,BE122,BG122,BI122,BK122,BM122,BO122,BQ122,BS122,BU122,BW122,BY122)</f>
        <v>0</v>
      </c>
      <c r="CB122" s="298">
        <f>SUM(D122,F122,H122,J122,L122,N122,P122,R122,T122,V122,X122,Z122,AB122,AD122,AF122,AH122,AJ122,AL122,AN122,AP122,AR122,AT122,AV122,AX122,AZ122,BB122,BD122,BF122,BH122,BJ122,BL122,BN122,BP122,BR122,BT122,BV122,BX122,BZ122)</f>
        <v>0</v>
      </c>
      <c r="CC122" s="299">
        <f>SUM(Table13[[#This Row],[GOALS 1]:[ASSISTS 38]])</f>
        <v>0</v>
      </c>
    </row>
    <row r="123" spans="1:81">
      <c r="A123" s="291" t="s">
        <v>1625</v>
      </c>
      <c r="B123" s="291" t="s">
        <v>22</v>
      </c>
      <c r="C123" s="286"/>
      <c r="D123" s="286"/>
      <c r="E123" s="288"/>
      <c r="F123" s="286"/>
      <c r="G123" s="288"/>
      <c r="H123" s="286"/>
      <c r="I123" s="288"/>
      <c r="J123" s="286"/>
      <c r="K123" s="288"/>
      <c r="L123" s="286"/>
      <c r="M123" s="288"/>
      <c r="N123" s="286"/>
      <c r="O123" s="288"/>
      <c r="P123" s="286"/>
      <c r="Q123" s="288"/>
      <c r="R123" s="286"/>
      <c r="S123" s="288"/>
      <c r="T123" s="286"/>
      <c r="U123" s="288"/>
      <c r="V123" s="286"/>
      <c r="W123" s="288"/>
      <c r="X123" s="286"/>
      <c r="Y123" s="288"/>
      <c r="Z123" s="286"/>
      <c r="AA123" s="288"/>
      <c r="AB123" s="286"/>
      <c r="AC123" s="288"/>
      <c r="AD123" s="286"/>
      <c r="AE123" s="288"/>
      <c r="AF123" s="286"/>
      <c r="AG123" s="288"/>
      <c r="AH123" s="286"/>
      <c r="AI123" s="288"/>
      <c r="AJ123" s="286"/>
      <c r="AK123" s="286"/>
      <c r="AL123" s="286"/>
      <c r="AM123" s="286"/>
      <c r="AN123" s="286"/>
      <c r="AO123" s="286"/>
      <c r="AP123" s="286"/>
      <c r="AQ123" s="286"/>
      <c r="AR123" s="286"/>
      <c r="AS123" s="286"/>
      <c r="AT123" s="286"/>
      <c r="AU123" s="286"/>
      <c r="AV123" s="284"/>
      <c r="AW123" s="284"/>
      <c r="AX123" s="284"/>
      <c r="AY123" s="284"/>
      <c r="AZ123" s="284"/>
      <c r="BA123" s="284"/>
      <c r="BB123" s="284"/>
      <c r="BC123" s="284"/>
      <c r="BD123" s="284"/>
      <c r="BE123" s="284"/>
      <c r="BF123" s="284"/>
      <c r="BG123" s="284"/>
      <c r="BH123" s="284"/>
      <c r="BI123" s="284"/>
      <c r="BJ123" s="284"/>
      <c r="BK123" s="284"/>
      <c r="BL123" s="284"/>
      <c r="BM123" s="284"/>
      <c r="BN123" s="284"/>
      <c r="BO123" s="284"/>
      <c r="BP123" s="284"/>
      <c r="BQ123" s="284"/>
      <c r="BR123" s="284"/>
      <c r="BS123" s="284"/>
      <c r="BT123" s="284"/>
      <c r="BU123" s="284"/>
      <c r="BV123" s="284"/>
      <c r="BW123" s="284"/>
      <c r="BX123" s="284"/>
      <c r="BY123" s="284"/>
      <c r="BZ123" s="285"/>
      <c r="CA123" s="298">
        <f>SUM(C123,E123,G123,I123,K123,M123,O123,Q123,S123,U123,W123,Y123,AA123,AC123,AE123,AG123,AI123,AK123,AM123,AO123,AQ123,AS123,AU123,AW123,AY123,BA123,BC123,BE123,BG123,BI123,BK123,BM123,BO123,BQ123,BS123,BU123,BW123,BY123)</f>
        <v>0</v>
      </c>
      <c r="CB123" s="298">
        <f>SUM(D123,F123,H123,J123,L123,N123,P123,R123,T123,V123,X123,Z123,AB123,AD123,AF123,AH123,AJ123,AL123,AN123,AP123,AR123,AT123,AV123,AX123,AZ123,BB123,BD123,BF123,BH123,BJ123,BL123,BN123,BP123,BR123,BT123,BV123,BX123,BZ123)</f>
        <v>0</v>
      </c>
      <c r="CC123" s="299">
        <f>SUM(Table13[[#This Row],[GOALS 1]:[ASSISTS 38]])</f>
        <v>0</v>
      </c>
    </row>
    <row r="124" spans="1:81">
      <c r="A124" s="291" t="s">
        <v>1796</v>
      </c>
      <c r="B124" s="291" t="s">
        <v>22</v>
      </c>
      <c r="C124" s="286"/>
      <c r="D124" s="286"/>
      <c r="E124" s="288"/>
      <c r="F124" s="286"/>
      <c r="G124" s="288"/>
      <c r="H124" s="286"/>
      <c r="I124" s="288"/>
      <c r="J124" s="286"/>
      <c r="K124" s="288"/>
      <c r="L124" s="286"/>
      <c r="M124" s="288"/>
      <c r="N124" s="286"/>
      <c r="O124" s="288"/>
      <c r="P124" s="286"/>
      <c r="Q124" s="288"/>
      <c r="R124" s="286"/>
      <c r="S124" s="288"/>
      <c r="T124" s="286"/>
      <c r="U124" s="288"/>
      <c r="V124" s="286"/>
      <c r="W124" s="288"/>
      <c r="X124" s="286"/>
      <c r="Y124" s="288"/>
      <c r="Z124" s="286"/>
      <c r="AA124" s="288"/>
      <c r="AB124" s="286"/>
      <c r="AC124" s="288"/>
      <c r="AD124" s="286"/>
      <c r="AE124" s="288"/>
      <c r="AF124" s="286"/>
      <c r="AG124" s="288"/>
      <c r="AH124" s="286"/>
      <c r="AI124" s="288"/>
      <c r="AJ124" s="286"/>
      <c r="AK124" s="286"/>
      <c r="AL124" s="286"/>
      <c r="AM124" s="286"/>
      <c r="AN124" s="286"/>
      <c r="AO124" s="286"/>
      <c r="AP124" s="286"/>
      <c r="AQ124" s="286"/>
      <c r="AR124" s="286"/>
      <c r="AS124" s="286"/>
      <c r="AT124" s="286"/>
      <c r="AU124" s="286"/>
      <c r="AV124" s="284"/>
      <c r="AW124" s="284"/>
      <c r="AX124" s="284"/>
      <c r="AY124" s="284"/>
      <c r="AZ124" s="284"/>
      <c r="BA124" s="284"/>
      <c r="BB124" s="284"/>
      <c r="BC124" s="284"/>
      <c r="BD124" s="284"/>
      <c r="BE124" s="284"/>
      <c r="BF124" s="284"/>
      <c r="BG124" s="284"/>
      <c r="BH124" s="284"/>
      <c r="BI124" s="284"/>
      <c r="BJ124" s="284"/>
      <c r="BK124" s="284"/>
      <c r="BL124" s="284"/>
      <c r="BM124" s="284"/>
      <c r="BN124" s="284"/>
      <c r="BO124" s="284"/>
      <c r="BP124" s="284"/>
      <c r="BQ124" s="284"/>
      <c r="BR124" s="284"/>
      <c r="BS124" s="284"/>
      <c r="BT124" s="284"/>
      <c r="BU124" s="284"/>
      <c r="BV124" s="284"/>
      <c r="BW124" s="284"/>
      <c r="BX124" s="284"/>
      <c r="BY124" s="284"/>
      <c r="BZ124" s="285"/>
      <c r="CA124" s="298">
        <f>SUM(C124,E124,G124,I124,K124,M124,O124,Q124,S124,U124,W124,Y124,AA124,AC124,AE124,AG124,AI124,AK124,AM124,AO124,AQ124,AS124,AU124,AW124,AY124,BA124,BC124,BE124,BG124,BI124,BK124,BM124,BO124,BQ124,BS124,BU124,BW124,BY124)</f>
        <v>0</v>
      </c>
      <c r="CB124" s="298">
        <f>SUM(D124,F124,H124,J124,L124,N124,P124,R124,T124,V124,X124,Z124,AB124,AD124,AF124,AH124,AJ124,AL124,AN124,AP124,AR124,AT124,AV124,AX124,AZ124,BB124,BD124,BF124,BH124,BJ124,BL124,BN124,BP124,BR124,BT124,BV124,BX124,BZ124)</f>
        <v>0</v>
      </c>
      <c r="CC124" s="299">
        <f>SUM(Table13[[#This Row],[GOALS 1]:[ASSISTS 38]])</f>
        <v>0</v>
      </c>
    </row>
    <row r="125" spans="1:81">
      <c r="A125" s="291" t="s">
        <v>1801</v>
      </c>
      <c r="B125" s="291" t="s">
        <v>30</v>
      </c>
      <c r="C125" s="286"/>
      <c r="D125" s="286"/>
      <c r="E125" s="288"/>
      <c r="F125" s="286"/>
      <c r="G125" s="288"/>
      <c r="H125" s="286"/>
      <c r="I125" s="288"/>
      <c r="J125" s="286"/>
      <c r="K125" s="288"/>
      <c r="L125" s="286"/>
      <c r="M125" s="288"/>
      <c r="N125" s="286"/>
      <c r="O125" s="288"/>
      <c r="P125" s="286"/>
      <c r="Q125" s="288"/>
      <c r="R125" s="286"/>
      <c r="S125" s="288"/>
      <c r="T125" s="286"/>
      <c r="U125" s="288"/>
      <c r="V125" s="286"/>
      <c r="W125" s="288"/>
      <c r="X125" s="286"/>
      <c r="Y125" s="288"/>
      <c r="Z125" s="286"/>
      <c r="AA125" s="288"/>
      <c r="AB125" s="286"/>
      <c r="AC125" s="288"/>
      <c r="AD125" s="286"/>
      <c r="AE125" s="288"/>
      <c r="AF125" s="286"/>
      <c r="AG125" s="288"/>
      <c r="AH125" s="286"/>
      <c r="AI125" s="288"/>
      <c r="AJ125" s="286"/>
      <c r="AK125" s="286"/>
      <c r="AL125" s="286"/>
      <c r="AM125" s="286"/>
      <c r="AN125" s="286"/>
      <c r="AO125" s="286"/>
      <c r="AP125" s="286"/>
      <c r="AQ125" s="286"/>
      <c r="AR125" s="286"/>
      <c r="AS125" s="286"/>
      <c r="AT125" s="286"/>
      <c r="AU125" s="286"/>
      <c r="AV125" s="284"/>
      <c r="AW125" s="284"/>
      <c r="AX125" s="284"/>
      <c r="AY125" s="284"/>
      <c r="AZ125" s="284"/>
      <c r="BA125" s="284"/>
      <c r="BB125" s="284"/>
      <c r="BC125" s="284"/>
      <c r="BD125" s="284"/>
      <c r="BE125" s="284"/>
      <c r="BF125" s="284"/>
      <c r="BG125" s="284"/>
      <c r="BH125" s="284"/>
      <c r="BI125" s="284"/>
      <c r="BJ125" s="284"/>
      <c r="BK125" s="284"/>
      <c r="BL125" s="284"/>
      <c r="BM125" s="284"/>
      <c r="BN125" s="284"/>
      <c r="BO125" s="284"/>
      <c r="BP125" s="284"/>
      <c r="BQ125" s="284"/>
      <c r="BR125" s="284"/>
      <c r="BS125" s="284"/>
      <c r="BT125" s="284"/>
      <c r="BU125" s="284"/>
      <c r="BV125" s="284"/>
      <c r="BW125" s="284"/>
      <c r="BX125" s="284"/>
      <c r="BY125" s="284"/>
      <c r="BZ125" s="285"/>
      <c r="CA125" s="298">
        <f>SUM(C125,E125,G125,I125,K125,M125,O125,Q125,S125,U125,W125,Y125,AA125,AC125,AE125,AG125,AI125,AK125,AM125,AO125,AQ125,AS125,AU125,AW125,AY125,BA125,BC125,BE125,BG125,BI125,BK125,BM125,BO125,BQ125,BS125,BU125,BW125,BY125)</f>
        <v>0</v>
      </c>
      <c r="CB125" s="298">
        <f>SUM(D125,F125,H125,J125,L125,N125,P125,R125,T125,V125,X125,Z125,AB125,AD125,AF125,AH125,AJ125,AL125,AN125,AP125,AR125,AT125,AV125,AX125,AZ125,BB125,BD125,BF125,BH125,BJ125,BL125,BN125,BP125,BR125,BT125,BV125,BX125,BZ125)</f>
        <v>0</v>
      </c>
      <c r="CC125" s="299">
        <f>SUM(Table13[[#This Row],[GOALS 1]:[ASSISTS 38]])</f>
        <v>0</v>
      </c>
    </row>
    <row r="126" spans="1:81">
      <c r="A126" s="291" t="s">
        <v>1745</v>
      </c>
      <c r="B126" s="291" t="s">
        <v>23</v>
      </c>
      <c r="C126" s="289"/>
      <c r="D126" s="286"/>
      <c r="E126" s="288"/>
      <c r="F126" s="286"/>
      <c r="G126" s="288"/>
      <c r="H126" s="286"/>
      <c r="I126" s="288"/>
      <c r="J126" s="286"/>
      <c r="K126" s="288"/>
      <c r="L126" s="286"/>
      <c r="M126" s="288"/>
      <c r="N126" s="286"/>
      <c r="O126" s="288"/>
      <c r="P126" s="286"/>
      <c r="Q126" s="288"/>
      <c r="R126" s="286"/>
      <c r="S126" s="288"/>
      <c r="T126" s="286"/>
      <c r="U126" s="288"/>
      <c r="V126" s="286"/>
      <c r="W126" s="288"/>
      <c r="X126" s="286"/>
      <c r="Y126" s="288"/>
      <c r="Z126" s="286"/>
      <c r="AA126" s="288"/>
      <c r="AB126" s="286"/>
      <c r="AC126" s="288"/>
      <c r="AD126" s="286"/>
      <c r="AE126" s="288"/>
      <c r="AF126" s="286"/>
      <c r="AG126" s="288"/>
      <c r="AH126" s="286"/>
      <c r="AI126" s="288"/>
      <c r="AJ126" s="286"/>
      <c r="AK126" s="286"/>
      <c r="AL126" s="286"/>
      <c r="AM126" s="286"/>
      <c r="AN126" s="286"/>
      <c r="AO126" s="286"/>
      <c r="AP126" s="286"/>
      <c r="AQ126" s="286"/>
      <c r="AR126" s="286"/>
      <c r="AS126" s="286"/>
      <c r="AT126" s="286"/>
      <c r="AU126" s="286"/>
      <c r="AV126" s="284"/>
      <c r="AW126" s="284"/>
      <c r="AX126" s="284"/>
      <c r="AY126" s="284"/>
      <c r="AZ126" s="284"/>
      <c r="BA126" s="284"/>
      <c r="BB126" s="284"/>
      <c r="BC126" s="284"/>
      <c r="BD126" s="284"/>
      <c r="BE126" s="284"/>
      <c r="BF126" s="284"/>
      <c r="BG126" s="284"/>
      <c r="BH126" s="284"/>
      <c r="BI126" s="284"/>
      <c r="BJ126" s="284"/>
      <c r="BK126" s="284"/>
      <c r="BL126" s="284"/>
      <c r="BM126" s="284"/>
      <c r="BN126" s="284"/>
      <c r="BO126" s="284"/>
      <c r="BP126" s="284"/>
      <c r="BQ126" s="284"/>
      <c r="BR126" s="284"/>
      <c r="BS126" s="284"/>
      <c r="BT126" s="284"/>
      <c r="BU126" s="284"/>
      <c r="BV126" s="284"/>
      <c r="BW126" s="284"/>
      <c r="BX126" s="284"/>
      <c r="BY126" s="284"/>
      <c r="BZ126" s="285"/>
      <c r="CA126" s="298">
        <f>SUM(C126,E126,G126,I126,K126,M126,O126,Q126,S126,U126,W126,Y126,AA126,AC126,AE126,AG126,AI126,AK126,AM126,AO126,AQ126,AS126,AU126,AW126,AY126,BA126,BC126,BE126,BG126,BI126,BK126,BM126,BO126,BQ126,BS126,BU126,BW126,BY126)</f>
        <v>0</v>
      </c>
      <c r="CB126" s="298">
        <f>SUM(D126,F126,H126,J126,L126,N126,P126,R126,T126,V126,X126,Z126,AB126,AD126,AF126,AH126,AJ126,AL126,AN126,AP126,AR126,AT126,AV126,AX126,AZ126,BB126,BD126,BF126,BH126,BJ126,BL126,BN126,BP126,BR126,BT126,BV126,BX126,BZ126)</f>
        <v>0</v>
      </c>
      <c r="CC126" s="299">
        <f>SUM(Table13[[#This Row],[GOALS 1]:[ASSISTS 38]])</f>
        <v>0</v>
      </c>
    </row>
    <row r="127" spans="1:81">
      <c r="A127" s="291" t="s">
        <v>1618</v>
      </c>
      <c r="B127" s="291" t="s">
        <v>33</v>
      </c>
      <c r="C127" s="289"/>
      <c r="D127" s="286"/>
      <c r="E127" s="288"/>
      <c r="F127" s="286"/>
      <c r="G127" s="288"/>
      <c r="H127" s="286"/>
      <c r="I127" s="288"/>
      <c r="J127" s="286"/>
      <c r="K127" s="288"/>
      <c r="L127" s="286"/>
      <c r="M127" s="288"/>
      <c r="N127" s="286"/>
      <c r="O127" s="288"/>
      <c r="P127" s="286"/>
      <c r="Q127" s="288"/>
      <c r="R127" s="286"/>
      <c r="S127" s="288"/>
      <c r="T127" s="286"/>
      <c r="U127" s="288"/>
      <c r="V127" s="286"/>
      <c r="W127" s="288"/>
      <c r="X127" s="286"/>
      <c r="Y127" s="288"/>
      <c r="Z127" s="286"/>
      <c r="AA127" s="288"/>
      <c r="AB127" s="286"/>
      <c r="AC127" s="288"/>
      <c r="AD127" s="286"/>
      <c r="AE127" s="288"/>
      <c r="AF127" s="286"/>
      <c r="AG127" s="288"/>
      <c r="AH127" s="286"/>
      <c r="AI127" s="288"/>
      <c r="AJ127" s="286"/>
      <c r="AK127" s="286"/>
      <c r="AL127" s="286"/>
      <c r="AM127" s="286"/>
      <c r="AN127" s="286"/>
      <c r="AO127" s="286"/>
      <c r="AP127" s="286"/>
      <c r="AQ127" s="286"/>
      <c r="AR127" s="286"/>
      <c r="AS127" s="286"/>
      <c r="AT127" s="286"/>
      <c r="AU127" s="286"/>
      <c r="AV127" s="284"/>
      <c r="AW127" s="284"/>
      <c r="AX127" s="284"/>
      <c r="AY127" s="284"/>
      <c r="AZ127" s="284"/>
      <c r="BA127" s="284"/>
      <c r="BB127" s="284"/>
      <c r="BC127" s="284"/>
      <c r="BD127" s="284"/>
      <c r="BE127" s="284"/>
      <c r="BF127" s="284"/>
      <c r="BG127" s="284"/>
      <c r="BH127" s="284"/>
      <c r="BI127" s="284"/>
      <c r="BJ127" s="284"/>
      <c r="BK127" s="284"/>
      <c r="BL127" s="284"/>
      <c r="BM127" s="284"/>
      <c r="BN127" s="284"/>
      <c r="BO127" s="284"/>
      <c r="BP127" s="284"/>
      <c r="BQ127" s="284"/>
      <c r="BR127" s="284"/>
      <c r="BS127" s="284"/>
      <c r="BT127" s="284"/>
      <c r="BU127" s="284"/>
      <c r="BV127" s="284"/>
      <c r="BW127" s="284"/>
      <c r="BX127" s="284"/>
      <c r="BY127" s="284"/>
      <c r="BZ127" s="285"/>
      <c r="CA127" s="298">
        <f>SUM(C127,E127,G127,I127,K127,M127,O127,Q127,S127,U127,W127,Y127,AA127,AC127,AE127,AG127,AI127,AK127,AM127,AO127,AQ127,AS127,AU127,AW127,AY127,BA127,BC127,BE127,BG127,BI127,BK127,BM127,BO127,BQ127,BS127,BU127,BW127,BY127)</f>
        <v>0</v>
      </c>
      <c r="CB127" s="298">
        <f>SUM(D127,F127,H127,J127,L127,N127,P127,R127,T127,V127,X127,Z127,AB127,AD127,AF127,AH127,AJ127,AL127,AN127,AP127,AR127,AT127,AV127,AX127,AZ127,BB127,BD127,BF127,BH127,BJ127,BL127,BN127,BP127,BR127,BT127,BV127,BX127,BZ127)</f>
        <v>0</v>
      </c>
      <c r="CC127" s="299">
        <f>SUM(Table13[[#This Row],[GOALS 1]:[ASSISTS 38]])</f>
        <v>0</v>
      </c>
    </row>
    <row r="128" spans="1:81">
      <c r="A128" s="291" t="s">
        <v>1861</v>
      </c>
      <c r="B128" s="291" t="s">
        <v>22</v>
      </c>
      <c r="C128" s="286"/>
      <c r="D128" s="286"/>
      <c r="E128" s="288"/>
      <c r="F128" s="286"/>
      <c r="G128" s="288"/>
      <c r="H128" s="286"/>
      <c r="I128" s="288"/>
      <c r="J128" s="286"/>
      <c r="K128" s="288"/>
      <c r="L128" s="286"/>
      <c r="M128" s="288"/>
      <c r="N128" s="286"/>
      <c r="O128" s="288"/>
      <c r="P128" s="286"/>
      <c r="Q128" s="288"/>
      <c r="R128" s="286"/>
      <c r="S128" s="288"/>
      <c r="T128" s="286"/>
      <c r="U128" s="288"/>
      <c r="V128" s="286"/>
      <c r="W128" s="288"/>
      <c r="X128" s="286"/>
      <c r="Y128" s="288"/>
      <c r="Z128" s="286"/>
      <c r="AA128" s="288"/>
      <c r="AB128" s="286"/>
      <c r="AC128" s="288"/>
      <c r="AD128" s="286"/>
      <c r="AE128" s="288"/>
      <c r="AF128" s="286"/>
      <c r="AG128" s="288"/>
      <c r="AH128" s="286"/>
      <c r="AI128" s="288"/>
      <c r="AJ128" s="286"/>
      <c r="AK128" s="286"/>
      <c r="AL128" s="286"/>
      <c r="AM128" s="286"/>
      <c r="AN128" s="286"/>
      <c r="AO128" s="286"/>
      <c r="AP128" s="286"/>
      <c r="AQ128" s="286"/>
      <c r="AR128" s="286"/>
      <c r="AS128" s="286"/>
      <c r="AT128" s="286"/>
      <c r="AU128" s="286"/>
      <c r="AV128" s="284"/>
      <c r="AW128" s="284"/>
      <c r="AX128" s="284"/>
      <c r="AY128" s="284"/>
      <c r="AZ128" s="284"/>
      <c r="BA128" s="284"/>
      <c r="BB128" s="284"/>
      <c r="BC128" s="284"/>
      <c r="BD128" s="284"/>
      <c r="BE128" s="284"/>
      <c r="BF128" s="284"/>
      <c r="BG128" s="284"/>
      <c r="BH128" s="284"/>
      <c r="BI128" s="284"/>
      <c r="BJ128" s="284"/>
      <c r="BK128" s="284"/>
      <c r="BL128" s="284"/>
      <c r="BM128" s="284"/>
      <c r="BN128" s="284"/>
      <c r="BO128" s="284"/>
      <c r="BP128" s="284"/>
      <c r="BQ128" s="284"/>
      <c r="BR128" s="284"/>
      <c r="BS128" s="284"/>
      <c r="BT128" s="284"/>
      <c r="BU128" s="284"/>
      <c r="BV128" s="284"/>
      <c r="BW128" s="284"/>
      <c r="BX128" s="284"/>
      <c r="BY128" s="284"/>
      <c r="BZ128" s="285"/>
      <c r="CA128" s="298">
        <f>SUM(C128,E128,G128,I128,K128,M128,O128,Q128,S128,U128,W128,Y128,AA128,AC128,AE128,AG128,AI128,AK128,AM128,AO128,AQ128,AS128,AU128,AW128,AY128,BA128,BC128,BE128,BG128,BI128,BK128,BM128,BO128,BQ128,BS128,BU128,BW128,BY128)</f>
        <v>0</v>
      </c>
      <c r="CB128" s="298">
        <f>SUM(D128,F128,H128,J128,L128,N128,P128,R128,T128,V128,X128,Z128,AB128,AD128,AF128,AH128,AJ128,AL128,AN128,AP128,AR128,AT128,AV128,AX128,AZ128,BB128,BD128,BF128,BH128,BJ128,BL128,BN128,BP128,BR128,BT128,BV128,BX128,BZ128)</f>
        <v>0</v>
      </c>
      <c r="CC128" s="299">
        <f>SUM(Table13[[#This Row],[GOALS 1]:[ASSISTS 38]])</f>
        <v>0</v>
      </c>
    </row>
    <row r="129" spans="1:81">
      <c r="A129" s="291" t="s">
        <v>1676</v>
      </c>
      <c r="B129" s="291" t="s">
        <v>28</v>
      </c>
      <c r="C129" s="286"/>
      <c r="D129" s="286"/>
      <c r="E129" s="288"/>
      <c r="F129" s="286"/>
      <c r="G129" s="288"/>
      <c r="H129" s="286"/>
      <c r="I129" s="288"/>
      <c r="J129" s="286"/>
      <c r="K129" s="288"/>
      <c r="L129" s="286"/>
      <c r="M129" s="288"/>
      <c r="N129" s="286"/>
      <c r="O129" s="288"/>
      <c r="P129" s="286"/>
      <c r="Q129" s="288"/>
      <c r="R129" s="286"/>
      <c r="S129" s="288"/>
      <c r="T129" s="286"/>
      <c r="U129" s="288"/>
      <c r="V129" s="286"/>
      <c r="W129" s="288"/>
      <c r="X129" s="286"/>
      <c r="Y129" s="288"/>
      <c r="Z129" s="286"/>
      <c r="AA129" s="288"/>
      <c r="AB129" s="286"/>
      <c r="AC129" s="288"/>
      <c r="AD129" s="286"/>
      <c r="AE129" s="288"/>
      <c r="AF129" s="286"/>
      <c r="AG129" s="288"/>
      <c r="AH129" s="286"/>
      <c r="AI129" s="288"/>
      <c r="AJ129" s="286"/>
      <c r="AK129" s="286"/>
      <c r="AL129" s="286"/>
      <c r="AM129" s="286"/>
      <c r="AN129" s="286"/>
      <c r="AO129" s="286"/>
      <c r="AP129" s="286"/>
      <c r="AQ129" s="286"/>
      <c r="AR129" s="286"/>
      <c r="AS129" s="286"/>
      <c r="AT129" s="286"/>
      <c r="AU129" s="286"/>
      <c r="AV129" s="284"/>
      <c r="AW129" s="284"/>
      <c r="AX129" s="284"/>
      <c r="AY129" s="284"/>
      <c r="AZ129" s="284"/>
      <c r="BA129" s="284"/>
      <c r="BB129" s="284"/>
      <c r="BC129" s="284"/>
      <c r="BD129" s="284"/>
      <c r="BE129" s="284"/>
      <c r="BF129" s="284"/>
      <c r="BG129" s="284"/>
      <c r="BH129" s="284"/>
      <c r="BI129" s="284"/>
      <c r="BJ129" s="284"/>
      <c r="BK129" s="284"/>
      <c r="BL129" s="284"/>
      <c r="BM129" s="284"/>
      <c r="BN129" s="284"/>
      <c r="BO129" s="284"/>
      <c r="BP129" s="284"/>
      <c r="BQ129" s="284"/>
      <c r="BR129" s="284"/>
      <c r="BS129" s="284"/>
      <c r="BT129" s="284"/>
      <c r="BU129" s="284"/>
      <c r="BV129" s="284"/>
      <c r="BW129" s="284"/>
      <c r="BX129" s="284"/>
      <c r="BY129" s="284"/>
      <c r="BZ129" s="285"/>
      <c r="CA129" s="298">
        <f>SUM(C129,E129,G129,I129,K129,M129,O129,Q129,S129,U129,W129,Y129,AA129,AC129,AE129,AG129,AI129,AK129,AM129,AO129,AQ129,AS129,AU129,AW129,AY129,BA129,BC129,BE129,BG129,BI129,BK129,BM129,BO129,BQ129,BS129,BU129,BW129,BY129)</f>
        <v>0</v>
      </c>
      <c r="CB129" s="298">
        <f>SUM(D129,F129,H129,J129,L129,N129,P129,R129,T129,V129,X129,Z129,AB129,AD129,AF129,AH129,AJ129,AL129,AN129,AP129,AR129,AT129,AV129,AX129,AZ129,BB129,BD129,BF129,BH129,BJ129,BL129,BN129,BP129,BR129,BT129,BV129,BX129,BZ129)</f>
        <v>0</v>
      </c>
      <c r="CC129" s="299">
        <f>SUM(Table13[[#This Row],[GOALS 1]:[ASSISTS 38]])</f>
        <v>0</v>
      </c>
    </row>
    <row r="130" spans="1:81">
      <c r="A130" s="291" t="s">
        <v>1763</v>
      </c>
      <c r="B130" s="291" t="s">
        <v>19</v>
      </c>
      <c r="C130" s="286"/>
      <c r="D130" s="286"/>
      <c r="E130" s="288"/>
      <c r="F130" s="286"/>
      <c r="G130" s="288"/>
      <c r="H130" s="286"/>
      <c r="I130" s="288"/>
      <c r="J130" s="286"/>
      <c r="K130" s="288"/>
      <c r="L130" s="286"/>
      <c r="M130" s="288"/>
      <c r="N130" s="286"/>
      <c r="O130" s="288"/>
      <c r="P130" s="286"/>
      <c r="Q130" s="288"/>
      <c r="R130" s="286"/>
      <c r="S130" s="288"/>
      <c r="T130" s="286"/>
      <c r="U130" s="288"/>
      <c r="V130" s="286"/>
      <c r="W130" s="288"/>
      <c r="X130" s="286"/>
      <c r="Y130" s="288"/>
      <c r="Z130" s="286"/>
      <c r="AA130" s="288"/>
      <c r="AB130" s="286"/>
      <c r="AC130" s="288"/>
      <c r="AD130" s="286"/>
      <c r="AE130" s="288"/>
      <c r="AF130" s="286"/>
      <c r="AG130" s="288"/>
      <c r="AH130" s="286"/>
      <c r="AI130" s="288"/>
      <c r="AJ130" s="286"/>
      <c r="AK130" s="286"/>
      <c r="AL130" s="286"/>
      <c r="AM130" s="286"/>
      <c r="AN130" s="286"/>
      <c r="AO130" s="286"/>
      <c r="AP130" s="286"/>
      <c r="AQ130" s="286"/>
      <c r="AR130" s="286"/>
      <c r="AS130" s="286"/>
      <c r="AT130" s="286"/>
      <c r="AU130" s="286"/>
      <c r="AV130" s="284"/>
      <c r="AW130" s="284"/>
      <c r="AX130" s="284"/>
      <c r="AY130" s="284"/>
      <c r="AZ130" s="284"/>
      <c r="BA130" s="284"/>
      <c r="BB130" s="284"/>
      <c r="BC130" s="284"/>
      <c r="BD130" s="284"/>
      <c r="BE130" s="284"/>
      <c r="BF130" s="284"/>
      <c r="BG130" s="284"/>
      <c r="BH130" s="284"/>
      <c r="BI130" s="284"/>
      <c r="BJ130" s="284"/>
      <c r="BK130" s="284"/>
      <c r="BL130" s="284"/>
      <c r="BM130" s="284"/>
      <c r="BN130" s="284"/>
      <c r="BO130" s="284"/>
      <c r="BP130" s="284"/>
      <c r="BQ130" s="284"/>
      <c r="BR130" s="284"/>
      <c r="BS130" s="284"/>
      <c r="BT130" s="284"/>
      <c r="BU130" s="284"/>
      <c r="BV130" s="284"/>
      <c r="BW130" s="284"/>
      <c r="BX130" s="284"/>
      <c r="BY130" s="284"/>
      <c r="BZ130" s="285"/>
      <c r="CA130" s="298">
        <f>SUM(C130,E130,G130,I130,K130,M130,O130,Q130,S130,U130,W130,Y130,AA130,AC130,AE130,AG130,AI130,AK130,AM130,AO130,AQ130,AS130,AU130,AW130,AY130,BA130,BC130,BE130,BG130,BI130,BK130,BM130,BO130,BQ130,BS130,BU130,BW130,BY130)</f>
        <v>0</v>
      </c>
      <c r="CB130" s="298">
        <f>SUM(D130,F130,H130,J130,L130,N130,P130,R130,T130,V130,X130,Z130,AB130,AD130,AF130,AH130,AJ130,AL130,AN130,AP130,AR130,AT130,AV130,AX130,AZ130,BB130,BD130,BF130,BH130,BJ130,BL130,BN130,BP130,BR130,BT130,BV130,BX130,BZ130)</f>
        <v>0</v>
      </c>
      <c r="CC130" s="299">
        <f>SUM(Table13[[#This Row],[GOALS 1]:[ASSISTS 38]])</f>
        <v>0</v>
      </c>
    </row>
    <row r="131" spans="1:81">
      <c r="A131" s="291" t="s">
        <v>1607</v>
      </c>
      <c r="B131" s="291" t="s">
        <v>17</v>
      </c>
      <c r="C131" s="289"/>
      <c r="D131" s="286"/>
      <c r="E131" s="288"/>
      <c r="F131" s="286"/>
      <c r="G131" s="288"/>
      <c r="H131" s="286"/>
      <c r="I131" s="288"/>
      <c r="J131" s="286"/>
      <c r="K131" s="288"/>
      <c r="L131" s="286"/>
      <c r="M131" s="288"/>
      <c r="N131" s="286"/>
      <c r="O131" s="288"/>
      <c r="P131" s="286"/>
      <c r="Q131" s="288"/>
      <c r="R131" s="286"/>
      <c r="S131" s="288"/>
      <c r="T131" s="286"/>
      <c r="U131" s="288"/>
      <c r="V131" s="286"/>
      <c r="W131" s="288"/>
      <c r="X131" s="286"/>
      <c r="Y131" s="288"/>
      <c r="Z131" s="286"/>
      <c r="AA131" s="288"/>
      <c r="AB131" s="286"/>
      <c r="AC131" s="288"/>
      <c r="AD131" s="286"/>
      <c r="AE131" s="288"/>
      <c r="AF131" s="286"/>
      <c r="AG131" s="288"/>
      <c r="AH131" s="286"/>
      <c r="AI131" s="288"/>
      <c r="AJ131" s="286"/>
      <c r="AK131" s="286"/>
      <c r="AL131" s="286"/>
      <c r="AM131" s="286"/>
      <c r="AN131" s="286"/>
      <c r="AO131" s="286"/>
      <c r="AP131" s="286"/>
      <c r="AQ131" s="286"/>
      <c r="AR131" s="286"/>
      <c r="AS131" s="286"/>
      <c r="AT131" s="286"/>
      <c r="AU131" s="286"/>
      <c r="AV131" s="284"/>
      <c r="AW131" s="284"/>
      <c r="AX131" s="284"/>
      <c r="AY131" s="284"/>
      <c r="AZ131" s="284"/>
      <c r="BA131" s="284"/>
      <c r="BB131" s="284"/>
      <c r="BC131" s="284"/>
      <c r="BD131" s="284"/>
      <c r="BE131" s="284"/>
      <c r="BF131" s="284"/>
      <c r="BG131" s="284"/>
      <c r="BH131" s="284"/>
      <c r="BI131" s="284"/>
      <c r="BJ131" s="284"/>
      <c r="BK131" s="284"/>
      <c r="BL131" s="284"/>
      <c r="BM131" s="284"/>
      <c r="BN131" s="284"/>
      <c r="BO131" s="284"/>
      <c r="BP131" s="284"/>
      <c r="BQ131" s="284"/>
      <c r="BR131" s="284"/>
      <c r="BS131" s="284"/>
      <c r="BT131" s="284"/>
      <c r="BU131" s="284"/>
      <c r="BV131" s="284"/>
      <c r="BW131" s="284"/>
      <c r="BX131" s="284"/>
      <c r="BY131" s="284"/>
      <c r="BZ131" s="285"/>
      <c r="CA131" s="298">
        <f>SUM(C131,E131,G131,I131,K131,M131,O131,Q131,S131,U131,W131,Y131,AA131,AC131,AE131,AG131,AI131,AK131,AM131,AO131,AQ131,AS131,AU131,AW131,AY131,BA131,BC131,BE131,BG131,BI131,BK131,BM131,BO131,BQ131,BS131,BU131,BW131,BY131)</f>
        <v>0</v>
      </c>
      <c r="CB131" s="298">
        <f>SUM(D131,F131,H131,J131,L131,N131,P131,R131,T131,V131,X131,Z131,AB131,AD131,AF131,AH131,AJ131,AL131,AN131,AP131,AR131,AT131,AV131,AX131,AZ131,BB131,BD131,BF131,BH131,BJ131,BL131,BN131,BP131,BR131,BT131,BV131,BX131,BZ131)</f>
        <v>0</v>
      </c>
      <c r="CC131" s="299">
        <f>SUM(Table13[[#This Row],[GOALS 1]:[ASSISTS 38]])</f>
        <v>0</v>
      </c>
    </row>
    <row r="132" spans="1:81">
      <c r="A132" s="291" t="s">
        <v>1724</v>
      </c>
      <c r="B132" s="291" t="s">
        <v>43</v>
      </c>
      <c r="C132" s="286"/>
      <c r="D132" s="286"/>
      <c r="E132" s="288"/>
      <c r="F132" s="286"/>
      <c r="G132" s="288"/>
      <c r="H132" s="286"/>
      <c r="I132" s="288"/>
      <c r="J132" s="286"/>
      <c r="K132" s="288"/>
      <c r="L132" s="286"/>
      <c r="M132" s="288"/>
      <c r="N132" s="286"/>
      <c r="O132" s="288"/>
      <c r="P132" s="286"/>
      <c r="Q132" s="288"/>
      <c r="R132" s="286"/>
      <c r="S132" s="288"/>
      <c r="T132" s="286"/>
      <c r="U132" s="288"/>
      <c r="V132" s="286"/>
      <c r="W132" s="288"/>
      <c r="X132" s="286"/>
      <c r="Y132" s="288"/>
      <c r="Z132" s="286"/>
      <c r="AA132" s="288"/>
      <c r="AB132" s="286"/>
      <c r="AC132" s="288"/>
      <c r="AD132" s="286"/>
      <c r="AE132" s="288"/>
      <c r="AF132" s="286"/>
      <c r="AG132" s="288"/>
      <c r="AH132" s="286"/>
      <c r="AI132" s="288"/>
      <c r="AJ132" s="286"/>
      <c r="AK132" s="286"/>
      <c r="AL132" s="286"/>
      <c r="AM132" s="286"/>
      <c r="AN132" s="286"/>
      <c r="AO132" s="286"/>
      <c r="AP132" s="286"/>
      <c r="AQ132" s="286"/>
      <c r="AR132" s="286"/>
      <c r="AS132" s="286"/>
      <c r="AT132" s="286"/>
      <c r="AU132" s="286"/>
      <c r="AV132" s="284"/>
      <c r="AW132" s="284"/>
      <c r="AX132" s="284"/>
      <c r="AY132" s="284"/>
      <c r="AZ132" s="284"/>
      <c r="BA132" s="284"/>
      <c r="BB132" s="284"/>
      <c r="BC132" s="284"/>
      <c r="BD132" s="284"/>
      <c r="BE132" s="284"/>
      <c r="BF132" s="284"/>
      <c r="BG132" s="284"/>
      <c r="BH132" s="284"/>
      <c r="BI132" s="284"/>
      <c r="BJ132" s="284"/>
      <c r="BK132" s="284"/>
      <c r="BL132" s="284"/>
      <c r="BM132" s="284"/>
      <c r="BN132" s="284"/>
      <c r="BO132" s="284"/>
      <c r="BP132" s="284"/>
      <c r="BQ132" s="284"/>
      <c r="BR132" s="284"/>
      <c r="BS132" s="284"/>
      <c r="BT132" s="284"/>
      <c r="BU132" s="284"/>
      <c r="BV132" s="284"/>
      <c r="BW132" s="284"/>
      <c r="BX132" s="284"/>
      <c r="BY132" s="284"/>
      <c r="BZ132" s="285"/>
      <c r="CA132" s="298">
        <f>SUM(C132,E132,G132,I132,K132,M132,O132,Q132,S132,U132,W132,Y132,AA132,AC132,AE132,AG132,AI132,AK132,AM132,AO132,AQ132,AS132,AU132,AW132,AY132,BA132,BC132,BE132,BG132,BI132,BK132,BM132,BO132,BQ132,BS132,BU132,BW132,BY132)</f>
        <v>0</v>
      </c>
      <c r="CB132" s="298">
        <f>SUM(D132,F132,H132,J132,L132,N132,P132,R132,T132,V132,X132,Z132,AB132,AD132,AF132,AH132,AJ132,AL132,AN132,AP132,AR132,AT132,AV132,AX132,AZ132,BB132,BD132,BF132,BH132,BJ132,BL132,BN132,BP132,BR132,BT132,BV132,BX132,BZ132)</f>
        <v>0</v>
      </c>
      <c r="CC132" s="299">
        <f>SUM(Table13[[#This Row],[GOALS 1]:[ASSISTS 38]])</f>
        <v>0</v>
      </c>
    </row>
    <row r="133" spans="1:81">
      <c r="A133" s="291" t="s">
        <v>1835</v>
      </c>
      <c r="B133" s="291" t="s">
        <v>21</v>
      </c>
      <c r="C133" s="289"/>
      <c r="D133" s="286"/>
      <c r="E133" s="288"/>
      <c r="F133" s="286"/>
      <c r="G133" s="288"/>
      <c r="H133" s="286"/>
      <c r="I133" s="288"/>
      <c r="J133" s="286"/>
      <c r="K133" s="288"/>
      <c r="L133" s="286"/>
      <c r="M133" s="288"/>
      <c r="N133" s="286"/>
      <c r="O133" s="288"/>
      <c r="P133" s="286"/>
      <c r="Q133" s="288"/>
      <c r="R133" s="286"/>
      <c r="S133" s="288"/>
      <c r="T133" s="286"/>
      <c r="U133" s="288"/>
      <c r="V133" s="286"/>
      <c r="W133" s="288"/>
      <c r="X133" s="286"/>
      <c r="Y133" s="288"/>
      <c r="Z133" s="286"/>
      <c r="AA133" s="288"/>
      <c r="AB133" s="286"/>
      <c r="AC133" s="288"/>
      <c r="AD133" s="286"/>
      <c r="AE133" s="288"/>
      <c r="AF133" s="286"/>
      <c r="AG133" s="288"/>
      <c r="AH133" s="286"/>
      <c r="AI133" s="288"/>
      <c r="AJ133" s="286"/>
      <c r="AK133" s="286"/>
      <c r="AL133" s="286"/>
      <c r="AM133" s="286"/>
      <c r="AN133" s="286"/>
      <c r="AO133" s="286"/>
      <c r="AP133" s="286"/>
      <c r="AQ133" s="286"/>
      <c r="AR133" s="286"/>
      <c r="AS133" s="286"/>
      <c r="AT133" s="286"/>
      <c r="AU133" s="286"/>
      <c r="AV133" s="284"/>
      <c r="AW133" s="284"/>
      <c r="AX133" s="284"/>
      <c r="AY133" s="284"/>
      <c r="AZ133" s="284"/>
      <c r="BA133" s="284"/>
      <c r="BB133" s="284"/>
      <c r="BC133" s="284"/>
      <c r="BD133" s="284"/>
      <c r="BE133" s="284"/>
      <c r="BF133" s="284"/>
      <c r="BG133" s="284"/>
      <c r="BH133" s="284"/>
      <c r="BI133" s="284"/>
      <c r="BJ133" s="284"/>
      <c r="BK133" s="284"/>
      <c r="BL133" s="284"/>
      <c r="BM133" s="284"/>
      <c r="BN133" s="284"/>
      <c r="BO133" s="284"/>
      <c r="BP133" s="284"/>
      <c r="BQ133" s="284"/>
      <c r="BR133" s="284"/>
      <c r="BS133" s="284"/>
      <c r="BT133" s="284"/>
      <c r="BU133" s="284"/>
      <c r="BV133" s="284"/>
      <c r="BW133" s="284"/>
      <c r="BX133" s="284"/>
      <c r="BY133" s="284"/>
      <c r="BZ133" s="285"/>
      <c r="CA133" s="298">
        <f>SUM(C133,E133,G133,I133,K133,M133,O133,Q133,S133,U133,W133,Y133,AA133,AC133,AE133,AG133,AI133,AK133,AM133,AO133,AQ133,AS133,AU133,AW133,AY133,BA133,BC133,BE133,BG133,BI133,BK133,BM133,BO133,BQ133,BS133,BU133,BW133,BY133)</f>
        <v>0</v>
      </c>
      <c r="CB133" s="298">
        <f>SUM(D133,F133,H133,J133,L133,N133,P133,R133,T133,V133,X133,Z133,AB133,AD133,AF133,AH133,AJ133,AL133,AN133,AP133,AR133,AT133,AV133,AX133,AZ133,BB133,BD133,BF133,BH133,BJ133,BL133,BN133,BP133,BR133,BT133,BV133,BX133,BZ133)</f>
        <v>0</v>
      </c>
      <c r="CC133" s="299">
        <f>SUM(Table13[[#This Row],[GOALS 1]:[ASSISTS 38]])</f>
        <v>0</v>
      </c>
    </row>
    <row r="134" spans="1:81">
      <c r="A134" s="291" t="s">
        <v>1852</v>
      </c>
      <c r="B134" s="291" t="s">
        <v>21</v>
      </c>
      <c r="C134" s="289"/>
      <c r="D134" s="286"/>
      <c r="E134" s="288"/>
      <c r="F134" s="286"/>
      <c r="G134" s="288"/>
      <c r="H134" s="286"/>
      <c r="I134" s="288"/>
      <c r="J134" s="286"/>
      <c r="K134" s="288"/>
      <c r="L134" s="286"/>
      <c r="M134" s="288"/>
      <c r="N134" s="286"/>
      <c r="O134" s="288"/>
      <c r="P134" s="286"/>
      <c r="Q134" s="288"/>
      <c r="R134" s="286"/>
      <c r="S134" s="288"/>
      <c r="T134" s="286"/>
      <c r="U134" s="288"/>
      <c r="V134" s="286"/>
      <c r="W134" s="288"/>
      <c r="X134" s="286"/>
      <c r="Y134" s="288"/>
      <c r="Z134" s="286"/>
      <c r="AA134" s="288"/>
      <c r="AB134" s="286"/>
      <c r="AC134" s="288"/>
      <c r="AD134" s="286"/>
      <c r="AE134" s="288"/>
      <c r="AF134" s="286"/>
      <c r="AG134" s="288"/>
      <c r="AH134" s="286"/>
      <c r="AI134" s="288"/>
      <c r="AJ134" s="286"/>
      <c r="AK134" s="286"/>
      <c r="AL134" s="286"/>
      <c r="AM134" s="286"/>
      <c r="AN134" s="286"/>
      <c r="AO134" s="286"/>
      <c r="AP134" s="286"/>
      <c r="AQ134" s="286"/>
      <c r="AR134" s="286"/>
      <c r="AS134" s="286"/>
      <c r="AT134" s="286"/>
      <c r="AU134" s="286"/>
      <c r="AV134" s="284"/>
      <c r="AW134" s="284"/>
      <c r="AX134" s="284"/>
      <c r="AY134" s="284"/>
      <c r="AZ134" s="284"/>
      <c r="BA134" s="284"/>
      <c r="BB134" s="284"/>
      <c r="BC134" s="284"/>
      <c r="BD134" s="284"/>
      <c r="BE134" s="284"/>
      <c r="BF134" s="284"/>
      <c r="BG134" s="284"/>
      <c r="BH134" s="284"/>
      <c r="BI134" s="284"/>
      <c r="BJ134" s="284"/>
      <c r="BK134" s="284"/>
      <c r="BL134" s="284"/>
      <c r="BM134" s="284"/>
      <c r="BN134" s="284"/>
      <c r="BO134" s="284"/>
      <c r="BP134" s="284"/>
      <c r="BQ134" s="284"/>
      <c r="BR134" s="284"/>
      <c r="BS134" s="284"/>
      <c r="BT134" s="284"/>
      <c r="BU134" s="284"/>
      <c r="BV134" s="284"/>
      <c r="BW134" s="284"/>
      <c r="BX134" s="284"/>
      <c r="BY134" s="284"/>
      <c r="BZ134" s="285"/>
      <c r="CA134" s="298">
        <f>SUM(C134,E134,G134,I134,K134,M134,O134,Q134,S134,U134,W134,Y134,AA134,AC134,AE134,AG134,AI134,AK134,AM134,AO134,AQ134,AS134,AU134,AW134,AY134,BA134,BC134,BE134,BG134,BI134,BK134,BM134,BO134,BQ134,BS134,BU134,BW134,BY134)</f>
        <v>0</v>
      </c>
      <c r="CB134" s="298">
        <f>SUM(D134,F134,H134,J134,L134,N134,P134,R134,T134,V134,X134,Z134,AB134,AD134,AF134,AH134,AJ134,AL134,AN134,AP134,AR134,AT134,AV134,AX134,AZ134,BB134,BD134,BF134,BH134,BJ134,BL134,BN134,BP134,BR134,BT134,BV134,BX134,BZ134)</f>
        <v>0</v>
      </c>
      <c r="CC134" s="299">
        <f>SUM(Table13[[#This Row],[GOALS 1]:[ASSISTS 38]])</f>
        <v>0</v>
      </c>
    </row>
    <row r="135" spans="1:81">
      <c r="A135" s="291" t="s">
        <v>1807</v>
      </c>
      <c r="B135" s="291" t="s">
        <v>23</v>
      </c>
      <c r="C135" s="289"/>
      <c r="D135" s="286"/>
      <c r="E135" s="288"/>
      <c r="F135" s="286"/>
      <c r="G135" s="288"/>
      <c r="H135" s="286"/>
      <c r="I135" s="288"/>
      <c r="J135" s="286"/>
      <c r="K135" s="288"/>
      <c r="L135" s="286"/>
      <c r="M135" s="288"/>
      <c r="N135" s="286"/>
      <c r="O135" s="288"/>
      <c r="P135" s="286"/>
      <c r="Q135" s="288"/>
      <c r="R135" s="286"/>
      <c r="S135" s="288"/>
      <c r="T135" s="286"/>
      <c r="U135" s="288"/>
      <c r="V135" s="286"/>
      <c r="W135" s="288"/>
      <c r="X135" s="286"/>
      <c r="Y135" s="288"/>
      <c r="Z135" s="286"/>
      <c r="AA135" s="288"/>
      <c r="AB135" s="286"/>
      <c r="AC135" s="288"/>
      <c r="AD135" s="286"/>
      <c r="AE135" s="288"/>
      <c r="AF135" s="286"/>
      <c r="AG135" s="288"/>
      <c r="AH135" s="286"/>
      <c r="AI135" s="288"/>
      <c r="AJ135" s="286"/>
      <c r="AK135" s="286"/>
      <c r="AL135" s="286"/>
      <c r="AM135" s="286"/>
      <c r="AN135" s="286"/>
      <c r="AO135" s="286"/>
      <c r="AP135" s="286"/>
      <c r="AQ135" s="286"/>
      <c r="AR135" s="286"/>
      <c r="AS135" s="286"/>
      <c r="AT135" s="286"/>
      <c r="AU135" s="286"/>
      <c r="AV135" s="284"/>
      <c r="AW135" s="284"/>
      <c r="AX135" s="284"/>
      <c r="AY135" s="284"/>
      <c r="AZ135" s="284"/>
      <c r="BA135" s="284"/>
      <c r="BB135" s="284"/>
      <c r="BC135" s="284"/>
      <c r="BD135" s="284"/>
      <c r="BE135" s="284"/>
      <c r="BF135" s="284"/>
      <c r="BG135" s="284"/>
      <c r="BH135" s="284"/>
      <c r="BI135" s="284"/>
      <c r="BJ135" s="284"/>
      <c r="BK135" s="284"/>
      <c r="BL135" s="284"/>
      <c r="BM135" s="284"/>
      <c r="BN135" s="284"/>
      <c r="BO135" s="284"/>
      <c r="BP135" s="284"/>
      <c r="BQ135" s="284"/>
      <c r="BR135" s="284"/>
      <c r="BS135" s="284"/>
      <c r="BT135" s="284"/>
      <c r="BU135" s="284"/>
      <c r="BV135" s="284"/>
      <c r="BW135" s="284"/>
      <c r="BX135" s="284"/>
      <c r="BY135" s="284"/>
      <c r="BZ135" s="285"/>
      <c r="CA135" s="298">
        <f>SUM(C135,E135,G135,I135,K135,M135,O135,Q135,S135,U135,W135,Y135,AA135,AC135,AE135,AG135,AI135,AK135,AM135,AO135,AQ135,AS135,AU135,AW135,AY135,BA135,BC135,BE135,BG135,BI135,BK135,BM135,BO135,BQ135,BS135,BU135,BW135,BY135)</f>
        <v>0</v>
      </c>
      <c r="CB135" s="298">
        <f>SUM(D135,F135,H135,J135,L135,N135,P135,R135,T135,V135,X135,Z135,AB135,AD135,AF135,AH135,AJ135,AL135,AN135,AP135,AR135,AT135,AV135,AX135,AZ135,BB135,BD135,BF135,BH135,BJ135,BL135,BN135,BP135,BR135,BT135,BV135,BX135,BZ135)</f>
        <v>0</v>
      </c>
      <c r="CC135" s="299">
        <f>SUM(Table13[[#This Row],[GOALS 1]:[ASSISTS 38]])</f>
        <v>0</v>
      </c>
    </row>
    <row r="136" spans="1:81">
      <c r="A136" s="291" t="s">
        <v>1296</v>
      </c>
      <c r="B136" s="291" t="s">
        <v>30</v>
      </c>
      <c r="C136" s="286"/>
      <c r="D136" s="286"/>
      <c r="E136" s="288"/>
      <c r="F136" s="286"/>
      <c r="G136" s="288"/>
      <c r="H136" s="286"/>
      <c r="I136" s="288"/>
      <c r="J136" s="286"/>
      <c r="K136" s="288"/>
      <c r="L136" s="286"/>
      <c r="M136" s="288"/>
      <c r="N136" s="286"/>
      <c r="O136" s="288"/>
      <c r="P136" s="286"/>
      <c r="Q136" s="288"/>
      <c r="R136" s="286"/>
      <c r="S136" s="288"/>
      <c r="T136" s="286"/>
      <c r="U136" s="288"/>
      <c r="V136" s="286"/>
      <c r="W136" s="288"/>
      <c r="X136" s="286"/>
      <c r="Y136" s="288"/>
      <c r="Z136" s="286"/>
      <c r="AA136" s="288"/>
      <c r="AB136" s="286"/>
      <c r="AC136" s="288"/>
      <c r="AD136" s="286"/>
      <c r="AE136" s="288"/>
      <c r="AF136" s="286"/>
      <c r="AG136" s="288"/>
      <c r="AH136" s="286"/>
      <c r="AI136" s="288"/>
      <c r="AJ136" s="286"/>
      <c r="AK136" s="286"/>
      <c r="AL136" s="286"/>
      <c r="AM136" s="286"/>
      <c r="AN136" s="286"/>
      <c r="AO136" s="286"/>
      <c r="AP136" s="286"/>
      <c r="AQ136" s="286"/>
      <c r="AR136" s="286"/>
      <c r="AS136" s="286"/>
      <c r="AT136" s="286"/>
      <c r="AU136" s="286"/>
      <c r="AV136" s="284"/>
      <c r="AW136" s="284"/>
      <c r="AX136" s="284"/>
      <c r="AY136" s="284"/>
      <c r="AZ136" s="284"/>
      <c r="BA136" s="284"/>
      <c r="BB136" s="284"/>
      <c r="BC136" s="284"/>
      <c r="BD136" s="284"/>
      <c r="BE136" s="284"/>
      <c r="BF136" s="284"/>
      <c r="BG136" s="284"/>
      <c r="BH136" s="284"/>
      <c r="BI136" s="284"/>
      <c r="BJ136" s="284"/>
      <c r="BK136" s="284"/>
      <c r="BL136" s="284"/>
      <c r="BM136" s="284"/>
      <c r="BN136" s="284"/>
      <c r="BO136" s="284"/>
      <c r="BP136" s="284"/>
      <c r="BQ136" s="284"/>
      <c r="BR136" s="284"/>
      <c r="BS136" s="284"/>
      <c r="BT136" s="284"/>
      <c r="BU136" s="284"/>
      <c r="BV136" s="284"/>
      <c r="BW136" s="284"/>
      <c r="BX136" s="284"/>
      <c r="BY136" s="284"/>
      <c r="BZ136" s="285"/>
      <c r="CA136" s="298">
        <f>SUM(C136,E136,G136,I136,K136,M136,O136,Q136,S136,U136,W136,Y136,AA136,AC136,AE136,AG136,AI136,AK136,AM136,AO136,AQ136,AS136,AU136,AW136,AY136,BA136,BC136,BE136,BG136,BI136,BK136,BM136,BO136,BQ136,BS136,BU136,BW136,BY136)</f>
        <v>0</v>
      </c>
      <c r="CB136" s="298">
        <f>SUM(D136,F136,H136,J136,L136,N136,P136,R136,T136,V136,X136,Z136,AB136,AD136,AF136,AH136,AJ136,AL136,AN136,AP136,AR136,AT136,AV136,AX136,AZ136,BB136,BD136,BF136,BH136,BJ136,BL136,BN136,BP136,BR136,BT136,BV136,BX136,BZ136)</f>
        <v>0</v>
      </c>
      <c r="CC136" s="299">
        <f>SUM(Table13[[#This Row],[GOALS 1]:[ASSISTS 38]])</f>
        <v>0</v>
      </c>
    </row>
    <row r="137" spans="1:81">
      <c r="A137" s="291" t="s">
        <v>1412</v>
      </c>
      <c r="B137" s="291" t="s">
        <v>20</v>
      </c>
      <c r="C137" s="289"/>
      <c r="D137" s="286"/>
      <c r="E137" s="288"/>
      <c r="F137" s="286"/>
      <c r="G137" s="288"/>
      <c r="H137" s="286"/>
      <c r="I137" s="288"/>
      <c r="J137" s="286"/>
      <c r="K137" s="288"/>
      <c r="L137" s="286"/>
      <c r="M137" s="288"/>
      <c r="N137" s="286"/>
      <c r="O137" s="288"/>
      <c r="P137" s="286"/>
      <c r="Q137" s="288"/>
      <c r="R137" s="286"/>
      <c r="S137" s="288"/>
      <c r="T137" s="286"/>
      <c r="U137" s="288"/>
      <c r="V137" s="286"/>
      <c r="W137" s="288"/>
      <c r="X137" s="286"/>
      <c r="Y137" s="288"/>
      <c r="Z137" s="286"/>
      <c r="AA137" s="288"/>
      <c r="AB137" s="286"/>
      <c r="AC137" s="288"/>
      <c r="AD137" s="286"/>
      <c r="AE137" s="288"/>
      <c r="AF137" s="286"/>
      <c r="AG137" s="288"/>
      <c r="AH137" s="286"/>
      <c r="AI137" s="288"/>
      <c r="AJ137" s="286"/>
      <c r="AK137" s="286"/>
      <c r="AL137" s="286"/>
      <c r="AM137" s="286"/>
      <c r="AN137" s="286"/>
      <c r="AO137" s="286"/>
      <c r="AP137" s="286"/>
      <c r="AQ137" s="286"/>
      <c r="AR137" s="286"/>
      <c r="AS137" s="286"/>
      <c r="AT137" s="286"/>
      <c r="AU137" s="286"/>
      <c r="AV137" s="284"/>
      <c r="AW137" s="284"/>
      <c r="AX137" s="284"/>
      <c r="AY137" s="284"/>
      <c r="AZ137" s="284"/>
      <c r="BA137" s="284"/>
      <c r="BB137" s="284"/>
      <c r="BC137" s="284"/>
      <c r="BD137" s="284"/>
      <c r="BE137" s="284"/>
      <c r="BF137" s="284"/>
      <c r="BG137" s="284"/>
      <c r="BH137" s="284"/>
      <c r="BI137" s="284"/>
      <c r="BJ137" s="284"/>
      <c r="BK137" s="284"/>
      <c r="BL137" s="284"/>
      <c r="BM137" s="284"/>
      <c r="BN137" s="284"/>
      <c r="BO137" s="284"/>
      <c r="BP137" s="284"/>
      <c r="BQ137" s="284"/>
      <c r="BR137" s="284"/>
      <c r="BS137" s="284"/>
      <c r="BT137" s="284"/>
      <c r="BU137" s="284"/>
      <c r="BV137" s="284"/>
      <c r="BW137" s="284"/>
      <c r="BX137" s="284"/>
      <c r="BY137" s="284"/>
      <c r="BZ137" s="285"/>
      <c r="CA137" s="298">
        <f>SUM(C137,E137,G137,I137,K137,M137,O137,Q137,S137,U137,W137,Y137,AA137,AC137,AE137,AG137,AI137,AK137,AM137,AO137,AQ137,AS137,AU137,AW137,AY137,BA137,BC137,BE137,BG137,BI137,BK137,BM137,BO137,BQ137,BS137,BU137,BW137,BY137)</f>
        <v>0</v>
      </c>
      <c r="CB137" s="298">
        <f>SUM(D137,F137,H137,J137,L137,N137,P137,R137,T137,V137,X137,Z137,AB137,AD137,AF137,AH137,AJ137,AL137,AN137,AP137,AR137,AT137,AV137,AX137,AZ137,BB137,BD137,BF137,BH137,BJ137,BL137,BN137,BP137,BR137,BT137,BV137,BX137,BZ137)</f>
        <v>0</v>
      </c>
      <c r="CC137" s="299">
        <f>SUM(Table13[[#This Row],[GOALS 1]:[ASSISTS 38]])</f>
        <v>0</v>
      </c>
    </row>
    <row r="138" spans="1:81">
      <c r="A138" s="291" t="s">
        <v>1736</v>
      </c>
      <c r="B138" s="291" t="s">
        <v>18</v>
      </c>
      <c r="C138" s="286"/>
      <c r="D138" s="286"/>
      <c r="E138" s="288"/>
      <c r="F138" s="286"/>
      <c r="G138" s="288"/>
      <c r="H138" s="286"/>
      <c r="I138" s="288"/>
      <c r="J138" s="286"/>
      <c r="K138" s="288"/>
      <c r="L138" s="286"/>
      <c r="M138" s="288"/>
      <c r="N138" s="286"/>
      <c r="O138" s="288"/>
      <c r="P138" s="286"/>
      <c r="Q138" s="288"/>
      <c r="R138" s="286"/>
      <c r="S138" s="288"/>
      <c r="T138" s="286"/>
      <c r="U138" s="288"/>
      <c r="V138" s="286"/>
      <c r="W138" s="288"/>
      <c r="X138" s="286"/>
      <c r="Y138" s="288"/>
      <c r="Z138" s="286"/>
      <c r="AA138" s="288"/>
      <c r="AB138" s="286"/>
      <c r="AC138" s="288"/>
      <c r="AD138" s="286"/>
      <c r="AE138" s="288"/>
      <c r="AF138" s="286"/>
      <c r="AG138" s="288"/>
      <c r="AH138" s="286"/>
      <c r="AI138" s="288"/>
      <c r="AJ138" s="286"/>
      <c r="AK138" s="286"/>
      <c r="AL138" s="286"/>
      <c r="AM138" s="286"/>
      <c r="AN138" s="286"/>
      <c r="AO138" s="286"/>
      <c r="AP138" s="286"/>
      <c r="AQ138" s="286"/>
      <c r="AR138" s="286"/>
      <c r="AS138" s="286"/>
      <c r="AT138" s="286"/>
      <c r="AU138" s="286"/>
      <c r="AV138" s="284"/>
      <c r="AW138" s="284"/>
      <c r="AX138" s="284"/>
      <c r="AY138" s="284"/>
      <c r="AZ138" s="284"/>
      <c r="BA138" s="284"/>
      <c r="BB138" s="284"/>
      <c r="BC138" s="284"/>
      <c r="BD138" s="284"/>
      <c r="BE138" s="284"/>
      <c r="BF138" s="284"/>
      <c r="BG138" s="284"/>
      <c r="BH138" s="284"/>
      <c r="BI138" s="284"/>
      <c r="BJ138" s="284"/>
      <c r="BK138" s="284"/>
      <c r="BL138" s="284"/>
      <c r="BM138" s="284"/>
      <c r="BN138" s="284"/>
      <c r="BO138" s="284"/>
      <c r="BP138" s="284"/>
      <c r="BQ138" s="284"/>
      <c r="BR138" s="284"/>
      <c r="BS138" s="284"/>
      <c r="BT138" s="284"/>
      <c r="BU138" s="284"/>
      <c r="BV138" s="284"/>
      <c r="BW138" s="284"/>
      <c r="BX138" s="284"/>
      <c r="BY138" s="284"/>
      <c r="BZ138" s="285"/>
      <c r="CA138" s="298">
        <f>SUM(C138,E138,G138,I138,K138,M138,O138,Q138,S138,U138,W138,Y138,AA138,AC138,AE138,AG138,AI138,AK138,AM138,AO138,AQ138,AS138,AU138,AW138,AY138,BA138,BC138,BE138,BG138,BI138,BK138,BM138,BO138,BQ138,BS138,BU138,BW138,BY138)</f>
        <v>0</v>
      </c>
      <c r="CB138" s="298">
        <f>SUM(D138,F138,H138,J138,L138,N138,P138,R138,T138,V138,X138,Z138,AB138,AD138,AF138,AH138,AJ138,AL138,AN138,AP138,AR138,AT138,AV138,AX138,AZ138,BB138,BD138,BF138,BH138,BJ138,BL138,BN138,BP138,BR138,BT138,BV138,BX138,BZ138)</f>
        <v>0</v>
      </c>
      <c r="CC138" s="299">
        <f>SUM(Table13[[#This Row],[GOALS 1]:[ASSISTS 38]])</f>
        <v>0</v>
      </c>
    </row>
    <row r="139" spans="1:81">
      <c r="A139" s="291" t="s">
        <v>1496</v>
      </c>
      <c r="B139" s="291" t="s">
        <v>23</v>
      </c>
      <c r="C139" s="289"/>
      <c r="D139" s="286"/>
      <c r="E139" s="288"/>
      <c r="F139" s="286"/>
      <c r="G139" s="288"/>
      <c r="H139" s="286"/>
      <c r="I139" s="288"/>
      <c r="J139" s="286"/>
      <c r="K139" s="288"/>
      <c r="L139" s="286"/>
      <c r="M139" s="288"/>
      <c r="N139" s="286"/>
      <c r="O139" s="288"/>
      <c r="P139" s="286"/>
      <c r="Q139" s="288"/>
      <c r="R139" s="286"/>
      <c r="S139" s="288"/>
      <c r="T139" s="286"/>
      <c r="U139" s="288"/>
      <c r="V139" s="286"/>
      <c r="W139" s="288"/>
      <c r="X139" s="286"/>
      <c r="Y139" s="288"/>
      <c r="Z139" s="286"/>
      <c r="AA139" s="288"/>
      <c r="AB139" s="286"/>
      <c r="AC139" s="288"/>
      <c r="AD139" s="286"/>
      <c r="AE139" s="288"/>
      <c r="AF139" s="286"/>
      <c r="AG139" s="288"/>
      <c r="AH139" s="286"/>
      <c r="AI139" s="288"/>
      <c r="AJ139" s="286"/>
      <c r="AK139" s="286"/>
      <c r="AL139" s="286"/>
      <c r="AM139" s="286"/>
      <c r="AN139" s="286"/>
      <c r="AO139" s="286"/>
      <c r="AP139" s="286"/>
      <c r="AQ139" s="286"/>
      <c r="AR139" s="286"/>
      <c r="AS139" s="286"/>
      <c r="AT139" s="286"/>
      <c r="AU139" s="286"/>
      <c r="AV139" s="284"/>
      <c r="AW139" s="284"/>
      <c r="AX139" s="284"/>
      <c r="AY139" s="284"/>
      <c r="AZ139" s="284"/>
      <c r="BA139" s="284"/>
      <c r="BB139" s="284"/>
      <c r="BC139" s="284"/>
      <c r="BD139" s="284"/>
      <c r="BE139" s="284"/>
      <c r="BF139" s="284"/>
      <c r="BG139" s="284"/>
      <c r="BH139" s="284"/>
      <c r="BI139" s="284"/>
      <c r="BJ139" s="284"/>
      <c r="BK139" s="284"/>
      <c r="BL139" s="284"/>
      <c r="BM139" s="284"/>
      <c r="BN139" s="284"/>
      <c r="BO139" s="284"/>
      <c r="BP139" s="284"/>
      <c r="BQ139" s="284"/>
      <c r="BR139" s="284"/>
      <c r="BS139" s="284"/>
      <c r="BT139" s="284"/>
      <c r="BU139" s="284"/>
      <c r="BV139" s="284"/>
      <c r="BW139" s="284"/>
      <c r="BX139" s="284"/>
      <c r="BY139" s="284"/>
      <c r="BZ139" s="285"/>
      <c r="CA139" s="298">
        <f>SUM(C139,E139,G139,I139,K139,M139,O139,Q139,S139,U139,W139,Y139,AA139,AC139,AE139,AG139,AI139,AK139,AM139,AO139,AQ139,AS139,AU139,AW139,AY139,BA139,BC139,BE139,BG139,BI139,BK139,BM139,BO139,BQ139,BS139,BU139,BW139,BY139)</f>
        <v>0</v>
      </c>
      <c r="CB139" s="298">
        <f>SUM(D139,F139,H139,J139,L139,N139,P139,R139,T139,V139,X139,Z139,AB139,AD139,AF139,AH139,AJ139,AL139,AN139,AP139,AR139,AT139,AV139,AX139,AZ139,BB139,BD139,BF139,BH139,BJ139,BL139,BN139,BP139,BR139,BT139,BV139,BX139,BZ139)</f>
        <v>0</v>
      </c>
      <c r="CC139" s="299">
        <f>SUM(Table13[[#This Row],[GOALS 1]:[ASSISTS 38]])</f>
        <v>0</v>
      </c>
    </row>
    <row r="140" spans="1:81">
      <c r="A140" s="291" t="s">
        <v>1860</v>
      </c>
      <c r="B140" s="291" t="s">
        <v>22</v>
      </c>
      <c r="C140" s="286"/>
      <c r="D140" s="286"/>
      <c r="E140" s="288"/>
      <c r="F140" s="286"/>
      <c r="G140" s="288"/>
      <c r="H140" s="286"/>
      <c r="I140" s="288"/>
      <c r="J140" s="286"/>
      <c r="K140" s="288"/>
      <c r="L140" s="286"/>
      <c r="M140" s="288"/>
      <c r="N140" s="286"/>
      <c r="O140" s="288"/>
      <c r="P140" s="286"/>
      <c r="Q140" s="288"/>
      <c r="R140" s="286"/>
      <c r="S140" s="288"/>
      <c r="T140" s="286"/>
      <c r="U140" s="288"/>
      <c r="V140" s="286"/>
      <c r="W140" s="288"/>
      <c r="X140" s="286"/>
      <c r="Y140" s="288"/>
      <c r="Z140" s="286"/>
      <c r="AA140" s="288"/>
      <c r="AB140" s="286"/>
      <c r="AC140" s="288"/>
      <c r="AD140" s="286"/>
      <c r="AE140" s="288"/>
      <c r="AF140" s="286"/>
      <c r="AG140" s="288"/>
      <c r="AH140" s="286"/>
      <c r="AI140" s="288"/>
      <c r="AJ140" s="286"/>
      <c r="AK140" s="286"/>
      <c r="AL140" s="286"/>
      <c r="AM140" s="286"/>
      <c r="AN140" s="286"/>
      <c r="AO140" s="286"/>
      <c r="AP140" s="286"/>
      <c r="AQ140" s="286"/>
      <c r="AR140" s="286"/>
      <c r="AS140" s="286"/>
      <c r="AT140" s="286"/>
      <c r="AU140" s="286"/>
      <c r="AV140" s="284"/>
      <c r="AW140" s="284"/>
      <c r="AX140" s="284"/>
      <c r="AY140" s="284"/>
      <c r="AZ140" s="284"/>
      <c r="BA140" s="284"/>
      <c r="BB140" s="284"/>
      <c r="BC140" s="284"/>
      <c r="BD140" s="284"/>
      <c r="BE140" s="284"/>
      <c r="BF140" s="284"/>
      <c r="BG140" s="284"/>
      <c r="BH140" s="284"/>
      <c r="BI140" s="284"/>
      <c r="BJ140" s="284"/>
      <c r="BK140" s="284"/>
      <c r="BL140" s="284"/>
      <c r="BM140" s="284"/>
      <c r="BN140" s="284"/>
      <c r="BO140" s="284"/>
      <c r="BP140" s="284"/>
      <c r="BQ140" s="284"/>
      <c r="BR140" s="284"/>
      <c r="BS140" s="284"/>
      <c r="BT140" s="284"/>
      <c r="BU140" s="284"/>
      <c r="BV140" s="284"/>
      <c r="BW140" s="284"/>
      <c r="BX140" s="284"/>
      <c r="BY140" s="284"/>
      <c r="BZ140" s="285"/>
      <c r="CA140" s="298">
        <f>SUM(C140,E140,G140,I140,K140,M140,O140,Q140,S140,U140,W140,Y140,AA140,AC140,AE140,AG140,AI140,AK140,AM140,AO140,AQ140,AS140,AU140,AW140,AY140,BA140,BC140,BE140,BG140,BI140,BK140,BM140,BO140,BQ140,BS140,BU140,BW140,BY140)</f>
        <v>0</v>
      </c>
      <c r="CB140" s="298">
        <f>SUM(D140,F140,H140,J140,L140,N140,P140,R140,T140,V140,X140,Z140,AB140,AD140,AF140,AH140,AJ140,AL140,AN140,AP140,AR140,AT140,AV140,AX140,AZ140,BB140,BD140,BF140,BH140,BJ140,BL140,BN140,BP140,BR140,BT140,BV140,BX140,BZ140)</f>
        <v>0</v>
      </c>
      <c r="CC140" s="299">
        <f>SUM(Table13[[#This Row],[GOALS 1]:[ASSISTS 38]])</f>
        <v>0</v>
      </c>
    </row>
    <row r="141" spans="1:81">
      <c r="A141" s="291" t="s">
        <v>1553</v>
      </c>
      <c r="B141" s="291" t="s">
        <v>43</v>
      </c>
      <c r="C141" s="286"/>
      <c r="D141" s="286"/>
      <c r="E141" s="288"/>
      <c r="F141" s="286"/>
      <c r="G141" s="288"/>
      <c r="H141" s="286"/>
      <c r="I141" s="288"/>
      <c r="J141" s="286"/>
      <c r="K141" s="288"/>
      <c r="L141" s="286"/>
      <c r="M141" s="288"/>
      <c r="N141" s="286"/>
      <c r="O141" s="288"/>
      <c r="P141" s="286"/>
      <c r="Q141" s="288"/>
      <c r="R141" s="286"/>
      <c r="S141" s="288"/>
      <c r="T141" s="286"/>
      <c r="U141" s="288"/>
      <c r="V141" s="286"/>
      <c r="W141" s="288"/>
      <c r="X141" s="286"/>
      <c r="Y141" s="288"/>
      <c r="Z141" s="286"/>
      <c r="AA141" s="288"/>
      <c r="AB141" s="286"/>
      <c r="AC141" s="288"/>
      <c r="AD141" s="286"/>
      <c r="AE141" s="288"/>
      <c r="AF141" s="286"/>
      <c r="AG141" s="288"/>
      <c r="AH141" s="286"/>
      <c r="AI141" s="288"/>
      <c r="AJ141" s="286"/>
      <c r="AK141" s="286"/>
      <c r="AL141" s="286"/>
      <c r="AM141" s="286"/>
      <c r="AN141" s="286"/>
      <c r="AO141" s="286"/>
      <c r="AP141" s="286"/>
      <c r="AQ141" s="286"/>
      <c r="AR141" s="286"/>
      <c r="AS141" s="286"/>
      <c r="AT141" s="286"/>
      <c r="AU141" s="286"/>
      <c r="AV141" s="284"/>
      <c r="AW141" s="284"/>
      <c r="AX141" s="284"/>
      <c r="AY141" s="284"/>
      <c r="AZ141" s="284"/>
      <c r="BA141" s="284"/>
      <c r="BB141" s="284"/>
      <c r="BC141" s="284"/>
      <c r="BD141" s="284"/>
      <c r="BE141" s="284"/>
      <c r="BF141" s="284"/>
      <c r="BG141" s="284"/>
      <c r="BH141" s="284"/>
      <c r="BI141" s="284"/>
      <c r="BJ141" s="284"/>
      <c r="BK141" s="284"/>
      <c r="BL141" s="284"/>
      <c r="BM141" s="284"/>
      <c r="BN141" s="284"/>
      <c r="BO141" s="284"/>
      <c r="BP141" s="284"/>
      <c r="BQ141" s="284"/>
      <c r="BR141" s="284"/>
      <c r="BS141" s="284"/>
      <c r="BT141" s="284"/>
      <c r="BU141" s="284"/>
      <c r="BV141" s="284"/>
      <c r="BW141" s="284"/>
      <c r="BX141" s="284"/>
      <c r="BY141" s="284"/>
      <c r="BZ141" s="285"/>
      <c r="CA141" s="298">
        <f>SUM(C141,E141,G141,I141,K141,M141,O141,Q141,S141,U141,W141,Y141,AA141,AC141,AE141,AG141,AI141,AK141,AM141,AO141,AQ141,AS141,AU141,AW141,AY141,BA141,BC141,BE141,BG141,BI141,BK141,BM141,BO141,BQ141,BS141,BU141,BW141,BY141)</f>
        <v>0</v>
      </c>
      <c r="CB141" s="298">
        <f>SUM(D141,F141,H141,J141,L141,N141,P141,R141,T141,V141,X141,Z141,AB141,AD141,AF141,AH141,AJ141,AL141,AN141,AP141,AR141,AT141,AV141,AX141,AZ141,BB141,BD141,BF141,BH141,BJ141,BL141,BN141,BP141,BR141,BT141,BV141,BX141,BZ141)</f>
        <v>0</v>
      </c>
      <c r="CC141" s="299">
        <f>SUM(Table13[[#This Row],[GOALS 1]:[ASSISTS 38]])</f>
        <v>0</v>
      </c>
    </row>
    <row r="142" spans="1:81">
      <c r="A142" s="291" t="s">
        <v>1751</v>
      </c>
      <c r="B142" s="291" t="s">
        <v>30</v>
      </c>
      <c r="C142" s="286"/>
      <c r="D142" s="286"/>
      <c r="E142" s="288"/>
      <c r="F142" s="286"/>
      <c r="G142" s="288"/>
      <c r="H142" s="286"/>
      <c r="I142" s="288"/>
      <c r="J142" s="286"/>
      <c r="K142" s="288"/>
      <c r="L142" s="286"/>
      <c r="M142" s="288"/>
      <c r="N142" s="286"/>
      <c r="O142" s="288"/>
      <c r="P142" s="286"/>
      <c r="Q142" s="288"/>
      <c r="R142" s="286"/>
      <c r="S142" s="288"/>
      <c r="T142" s="286"/>
      <c r="U142" s="288"/>
      <c r="V142" s="286"/>
      <c r="W142" s="288"/>
      <c r="X142" s="286"/>
      <c r="Y142" s="288"/>
      <c r="Z142" s="286"/>
      <c r="AA142" s="288"/>
      <c r="AB142" s="286"/>
      <c r="AC142" s="288"/>
      <c r="AD142" s="286"/>
      <c r="AE142" s="288"/>
      <c r="AF142" s="286"/>
      <c r="AG142" s="288"/>
      <c r="AH142" s="286"/>
      <c r="AI142" s="288"/>
      <c r="AJ142" s="286"/>
      <c r="AK142" s="286"/>
      <c r="AL142" s="286"/>
      <c r="AM142" s="286"/>
      <c r="AN142" s="286"/>
      <c r="AO142" s="286"/>
      <c r="AP142" s="286"/>
      <c r="AQ142" s="286"/>
      <c r="AR142" s="286"/>
      <c r="AS142" s="286"/>
      <c r="AT142" s="286"/>
      <c r="AU142" s="286"/>
      <c r="AV142" s="284"/>
      <c r="AW142" s="284"/>
      <c r="AX142" s="284"/>
      <c r="AY142" s="284"/>
      <c r="AZ142" s="284"/>
      <c r="BA142" s="284"/>
      <c r="BB142" s="284"/>
      <c r="BC142" s="284"/>
      <c r="BD142" s="284"/>
      <c r="BE142" s="284"/>
      <c r="BF142" s="284"/>
      <c r="BG142" s="284"/>
      <c r="BH142" s="284"/>
      <c r="BI142" s="284"/>
      <c r="BJ142" s="284"/>
      <c r="BK142" s="284"/>
      <c r="BL142" s="284"/>
      <c r="BM142" s="284"/>
      <c r="BN142" s="284"/>
      <c r="BO142" s="284"/>
      <c r="BP142" s="284"/>
      <c r="BQ142" s="284"/>
      <c r="BR142" s="284"/>
      <c r="BS142" s="284"/>
      <c r="BT142" s="284"/>
      <c r="BU142" s="284"/>
      <c r="BV142" s="284"/>
      <c r="BW142" s="284"/>
      <c r="BX142" s="284"/>
      <c r="BY142" s="284"/>
      <c r="BZ142" s="285"/>
      <c r="CA142" s="298">
        <f>SUM(C142,E142,G142,I142,K142,M142,O142,Q142,S142,U142,W142,Y142,AA142,AC142,AE142,AG142,AI142,AK142,AM142,AO142,AQ142,AS142,AU142,AW142,AY142,BA142,BC142,BE142,BG142,BI142,BK142,BM142,BO142,BQ142,BS142,BU142,BW142,BY142)</f>
        <v>0</v>
      </c>
      <c r="CB142" s="298">
        <f>SUM(D142,F142,H142,J142,L142,N142,P142,R142,T142,V142,X142,Z142,AB142,AD142,AF142,AH142,AJ142,AL142,AN142,AP142,AR142,AT142,AV142,AX142,AZ142,BB142,BD142,BF142,BH142,BJ142,BL142,BN142,BP142,BR142,BT142,BV142,BX142,BZ142)</f>
        <v>0</v>
      </c>
      <c r="CC142" s="299">
        <f>SUM(Table13[[#This Row],[GOALS 1]:[ASSISTS 38]])</f>
        <v>0</v>
      </c>
    </row>
    <row r="143" spans="1:81">
      <c r="A143" s="291" t="s">
        <v>1876</v>
      </c>
      <c r="B143" s="291" t="s">
        <v>634</v>
      </c>
      <c r="C143" s="288"/>
      <c r="D143" s="286"/>
      <c r="E143" s="288"/>
      <c r="F143" s="286"/>
      <c r="G143" s="288"/>
      <c r="H143" s="286"/>
      <c r="I143" s="288"/>
      <c r="J143" s="286"/>
      <c r="K143" s="288"/>
      <c r="L143" s="286"/>
      <c r="M143" s="288"/>
      <c r="N143" s="286"/>
      <c r="O143" s="288"/>
      <c r="P143" s="286"/>
      <c r="Q143" s="288"/>
      <c r="R143" s="286"/>
      <c r="S143" s="288"/>
      <c r="T143" s="286"/>
      <c r="U143" s="288"/>
      <c r="V143" s="286"/>
      <c r="W143" s="288"/>
      <c r="X143" s="286"/>
      <c r="Y143" s="288"/>
      <c r="Z143" s="286"/>
      <c r="AA143" s="288"/>
      <c r="AB143" s="286"/>
      <c r="AC143" s="288"/>
      <c r="AD143" s="286"/>
      <c r="AE143" s="288"/>
      <c r="AF143" s="286"/>
      <c r="AG143" s="288"/>
      <c r="AH143" s="286"/>
      <c r="AI143" s="288"/>
      <c r="AJ143" s="286"/>
      <c r="AK143" s="286"/>
      <c r="AL143" s="286"/>
      <c r="AM143" s="286"/>
      <c r="AN143" s="286"/>
      <c r="AO143" s="286"/>
      <c r="AP143" s="286"/>
      <c r="AQ143" s="286"/>
      <c r="AR143" s="286"/>
      <c r="AS143" s="286"/>
      <c r="AT143" s="286"/>
      <c r="AU143" s="286"/>
      <c r="AV143" s="284"/>
      <c r="AW143" s="284"/>
      <c r="AX143" s="284"/>
      <c r="AY143" s="284"/>
      <c r="AZ143" s="284"/>
      <c r="BA143" s="284"/>
      <c r="BB143" s="284"/>
      <c r="BC143" s="284"/>
      <c r="BD143" s="284"/>
      <c r="BE143" s="284"/>
      <c r="BF143" s="284"/>
      <c r="BG143" s="284"/>
      <c r="BH143" s="284"/>
      <c r="BI143" s="284"/>
      <c r="BJ143" s="284"/>
      <c r="BK143" s="284"/>
      <c r="BL143" s="284"/>
      <c r="BM143" s="284"/>
      <c r="BN143" s="284"/>
      <c r="BO143" s="284"/>
      <c r="BP143" s="284"/>
      <c r="BQ143" s="284"/>
      <c r="BR143" s="284"/>
      <c r="BS143" s="284"/>
      <c r="BT143" s="284"/>
      <c r="BU143" s="284"/>
      <c r="BV143" s="284"/>
      <c r="BW143" s="284"/>
      <c r="BX143" s="284"/>
      <c r="BY143" s="284"/>
      <c r="BZ143" s="285"/>
      <c r="CA143" s="298">
        <f>SUM(C143,E143,G143,I143,K143,M143,O143,Q143,S143,U143,W143,Y143,AA143,AC143,AE143,AG143,AI143,AK143,AM143,AO143,AQ143,AS143,AU143,AW143,AY143,BA143,BC143,BE143,BG143,BI143,BK143,BM143,BO143,BQ143,BS143,BU143,BW143,BY143)</f>
        <v>0</v>
      </c>
      <c r="CB143" s="298">
        <f>SUM(D143,F143,H143,J143,L143,N143,P143,R143,T143,V143,X143,Z143,AB143,AD143,AF143,AH143,AJ143,AL143,AN143,AP143,AR143,AT143,AV143,AX143,AZ143,BB143,BD143,BF143,BH143,BJ143,BL143,BN143,BP143,BR143,BT143,BV143,BX143,BZ143)</f>
        <v>0</v>
      </c>
      <c r="CC143" s="299">
        <f>SUM(Table13[[#This Row],[GOALS 1]:[ASSISTS 38]])</f>
        <v>0</v>
      </c>
    </row>
    <row r="144" spans="1:81">
      <c r="A144" s="291" t="s">
        <v>1570</v>
      </c>
      <c r="B144" s="291" t="s">
        <v>26</v>
      </c>
      <c r="C144" s="286"/>
      <c r="D144" s="286"/>
      <c r="E144" s="288"/>
      <c r="F144" s="286"/>
      <c r="G144" s="288"/>
      <c r="H144" s="286"/>
      <c r="I144" s="288"/>
      <c r="J144" s="286"/>
      <c r="K144" s="288"/>
      <c r="L144" s="286"/>
      <c r="M144" s="288"/>
      <c r="N144" s="286"/>
      <c r="O144" s="288"/>
      <c r="P144" s="286"/>
      <c r="Q144" s="288"/>
      <c r="R144" s="286"/>
      <c r="S144" s="288"/>
      <c r="T144" s="286"/>
      <c r="U144" s="288"/>
      <c r="V144" s="286"/>
      <c r="W144" s="288"/>
      <c r="X144" s="286"/>
      <c r="Y144" s="288"/>
      <c r="Z144" s="286"/>
      <c r="AA144" s="288"/>
      <c r="AB144" s="286"/>
      <c r="AC144" s="288"/>
      <c r="AD144" s="286"/>
      <c r="AE144" s="288"/>
      <c r="AF144" s="286"/>
      <c r="AG144" s="288"/>
      <c r="AH144" s="286"/>
      <c r="AI144" s="288"/>
      <c r="AJ144" s="286"/>
      <c r="AK144" s="286"/>
      <c r="AL144" s="286"/>
      <c r="AM144" s="286"/>
      <c r="AN144" s="286"/>
      <c r="AO144" s="286"/>
      <c r="AP144" s="286"/>
      <c r="AQ144" s="286"/>
      <c r="AR144" s="286"/>
      <c r="AS144" s="286"/>
      <c r="AT144" s="286"/>
      <c r="AU144" s="286"/>
      <c r="AV144" s="284"/>
      <c r="AW144" s="284"/>
      <c r="AX144" s="284"/>
      <c r="AY144" s="284"/>
      <c r="AZ144" s="284"/>
      <c r="BA144" s="284"/>
      <c r="BB144" s="284"/>
      <c r="BC144" s="284"/>
      <c r="BD144" s="284"/>
      <c r="BE144" s="284"/>
      <c r="BF144" s="284"/>
      <c r="BG144" s="284"/>
      <c r="BH144" s="284"/>
      <c r="BI144" s="284"/>
      <c r="BJ144" s="284"/>
      <c r="BK144" s="284"/>
      <c r="BL144" s="284"/>
      <c r="BM144" s="284"/>
      <c r="BN144" s="284"/>
      <c r="BO144" s="284"/>
      <c r="BP144" s="284"/>
      <c r="BQ144" s="284"/>
      <c r="BR144" s="284"/>
      <c r="BS144" s="284"/>
      <c r="BT144" s="284"/>
      <c r="BU144" s="284"/>
      <c r="BV144" s="284"/>
      <c r="BW144" s="284"/>
      <c r="BX144" s="284"/>
      <c r="BY144" s="284"/>
      <c r="BZ144" s="285"/>
      <c r="CA144" s="298">
        <f>SUM(C144,E144,G144,I144,K144,M144,O144,Q144,S144,U144,W144,Y144,AA144,AC144,AE144,AG144,AI144,AK144,AM144,AO144,AQ144,AS144,AU144,AW144,AY144,BA144,BC144,BE144,BG144,BI144,BK144,BM144,BO144,BQ144,BS144,BU144,BW144,BY144)</f>
        <v>0</v>
      </c>
      <c r="CB144" s="298">
        <f>SUM(D144,F144,H144,J144,L144,N144,P144,R144,T144,V144,X144,Z144,AB144,AD144,AF144,AH144,AJ144,AL144,AN144,AP144,AR144,AT144,AV144,AX144,AZ144,BB144,BD144,BF144,BH144,BJ144,BL144,BN144,BP144,BR144,BT144,BV144,BX144,BZ144)</f>
        <v>0</v>
      </c>
      <c r="CC144" s="299">
        <f>SUM(Table13[[#This Row],[GOALS 1]:[ASSISTS 38]])</f>
        <v>0</v>
      </c>
    </row>
    <row r="145" spans="1:81">
      <c r="A145" s="291" t="s">
        <v>1533</v>
      </c>
      <c r="B145" s="291" t="s">
        <v>28</v>
      </c>
      <c r="C145" s="286"/>
      <c r="D145" s="286"/>
      <c r="E145" s="288"/>
      <c r="F145" s="286"/>
      <c r="G145" s="288"/>
      <c r="H145" s="286"/>
      <c r="I145" s="288"/>
      <c r="J145" s="286"/>
      <c r="K145" s="288"/>
      <c r="L145" s="286"/>
      <c r="M145" s="288"/>
      <c r="N145" s="286"/>
      <c r="O145" s="288"/>
      <c r="P145" s="286"/>
      <c r="Q145" s="288"/>
      <c r="R145" s="286"/>
      <c r="S145" s="288"/>
      <c r="T145" s="286"/>
      <c r="U145" s="288"/>
      <c r="V145" s="286"/>
      <c r="W145" s="288"/>
      <c r="X145" s="286"/>
      <c r="Y145" s="288"/>
      <c r="Z145" s="286"/>
      <c r="AA145" s="288"/>
      <c r="AB145" s="286"/>
      <c r="AC145" s="288"/>
      <c r="AD145" s="286"/>
      <c r="AE145" s="288"/>
      <c r="AF145" s="286"/>
      <c r="AG145" s="288"/>
      <c r="AH145" s="286"/>
      <c r="AI145" s="288"/>
      <c r="AJ145" s="286"/>
      <c r="AK145" s="286"/>
      <c r="AL145" s="286"/>
      <c r="AM145" s="286"/>
      <c r="AN145" s="286"/>
      <c r="AO145" s="286"/>
      <c r="AP145" s="286"/>
      <c r="AQ145" s="286"/>
      <c r="AR145" s="286"/>
      <c r="AS145" s="286"/>
      <c r="AT145" s="286"/>
      <c r="AU145" s="286"/>
      <c r="AV145" s="284"/>
      <c r="AW145" s="284"/>
      <c r="AX145" s="284"/>
      <c r="AY145" s="284"/>
      <c r="AZ145" s="284"/>
      <c r="BA145" s="284"/>
      <c r="BB145" s="284"/>
      <c r="BC145" s="284"/>
      <c r="BD145" s="284"/>
      <c r="BE145" s="284"/>
      <c r="BF145" s="284"/>
      <c r="BG145" s="284"/>
      <c r="BH145" s="284"/>
      <c r="BI145" s="284"/>
      <c r="BJ145" s="284"/>
      <c r="BK145" s="284"/>
      <c r="BL145" s="284"/>
      <c r="BM145" s="284"/>
      <c r="BN145" s="284"/>
      <c r="BO145" s="284"/>
      <c r="BP145" s="284"/>
      <c r="BQ145" s="284"/>
      <c r="BR145" s="284"/>
      <c r="BS145" s="284"/>
      <c r="BT145" s="284"/>
      <c r="BU145" s="284"/>
      <c r="BV145" s="284"/>
      <c r="BW145" s="284"/>
      <c r="BX145" s="284"/>
      <c r="BY145" s="284"/>
      <c r="BZ145" s="285"/>
      <c r="CA145" s="298">
        <f>SUM(C145,E145,G145,I145,K145,M145,O145,Q145,S145,U145,W145,Y145,AA145,AC145,AE145,AG145,AI145,AK145,AM145,AO145,AQ145,AS145,AU145,AW145,AY145,BA145,BC145,BE145,BG145,BI145,BK145,BM145,BO145,BQ145,BS145,BU145,BW145,BY145)</f>
        <v>0</v>
      </c>
      <c r="CB145" s="298">
        <f>SUM(D145,F145,H145,J145,L145,N145,P145,R145,T145,V145,X145,Z145,AB145,AD145,AF145,AH145,AJ145,AL145,AN145,AP145,AR145,AT145,AV145,AX145,AZ145,BB145,BD145,BF145,BH145,BJ145,BL145,BN145,BP145,BR145,BT145,BV145,BX145,BZ145)</f>
        <v>0</v>
      </c>
      <c r="CC145" s="299">
        <f>SUM(Table13[[#This Row],[GOALS 1]:[ASSISTS 38]])</f>
        <v>0</v>
      </c>
    </row>
    <row r="146" spans="1:81">
      <c r="A146" s="291" t="s">
        <v>1447</v>
      </c>
      <c r="B146" s="291" t="s">
        <v>33</v>
      </c>
      <c r="C146" s="289"/>
      <c r="D146" s="286"/>
      <c r="E146" s="288"/>
      <c r="F146" s="286"/>
      <c r="G146" s="288"/>
      <c r="H146" s="286"/>
      <c r="I146" s="288"/>
      <c r="J146" s="286"/>
      <c r="K146" s="288"/>
      <c r="L146" s="286"/>
      <c r="M146" s="288"/>
      <c r="N146" s="286"/>
      <c r="O146" s="288"/>
      <c r="P146" s="286"/>
      <c r="Q146" s="288"/>
      <c r="R146" s="286"/>
      <c r="S146" s="288"/>
      <c r="T146" s="286"/>
      <c r="U146" s="288"/>
      <c r="V146" s="286"/>
      <c r="W146" s="288"/>
      <c r="X146" s="286"/>
      <c r="Y146" s="288"/>
      <c r="Z146" s="286"/>
      <c r="AA146" s="288"/>
      <c r="AB146" s="286"/>
      <c r="AC146" s="288"/>
      <c r="AD146" s="286"/>
      <c r="AE146" s="288"/>
      <c r="AF146" s="286"/>
      <c r="AG146" s="288"/>
      <c r="AH146" s="286"/>
      <c r="AI146" s="288"/>
      <c r="AJ146" s="286"/>
      <c r="AK146" s="286"/>
      <c r="AL146" s="286"/>
      <c r="AM146" s="286"/>
      <c r="AN146" s="286"/>
      <c r="AO146" s="286"/>
      <c r="AP146" s="286"/>
      <c r="AQ146" s="286"/>
      <c r="AR146" s="286"/>
      <c r="AS146" s="286"/>
      <c r="AT146" s="286"/>
      <c r="AU146" s="286"/>
      <c r="AV146" s="284"/>
      <c r="AW146" s="284"/>
      <c r="AX146" s="284"/>
      <c r="AY146" s="284"/>
      <c r="AZ146" s="284"/>
      <c r="BA146" s="284"/>
      <c r="BB146" s="284"/>
      <c r="BC146" s="284"/>
      <c r="BD146" s="284"/>
      <c r="BE146" s="284"/>
      <c r="BF146" s="284"/>
      <c r="BG146" s="284"/>
      <c r="BH146" s="284"/>
      <c r="BI146" s="284"/>
      <c r="BJ146" s="284"/>
      <c r="BK146" s="284"/>
      <c r="BL146" s="284"/>
      <c r="BM146" s="284"/>
      <c r="BN146" s="284"/>
      <c r="BO146" s="284"/>
      <c r="BP146" s="284"/>
      <c r="BQ146" s="284"/>
      <c r="BR146" s="284"/>
      <c r="BS146" s="284"/>
      <c r="BT146" s="284"/>
      <c r="BU146" s="284"/>
      <c r="BV146" s="284"/>
      <c r="BW146" s="284"/>
      <c r="BX146" s="284"/>
      <c r="BY146" s="284"/>
      <c r="BZ146" s="285"/>
      <c r="CA146" s="298">
        <f>SUM(C146,E146,G146,I146,K146,M146,O146,Q146,S146,U146,W146,Y146,AA146,AC146,AE146,AG146,AI146,AK146,AM146,AO146,AQ146,AS146,AU146,AW146,AY146,BA146,BC146,BE146,BG146,BI146,BK146,BM146,BO146,BQ146,BS146,BU146,BW146,BY146)</f>
        <v>0</v>
      </c>
      <c r="CB146" s="298">
        <f>SUM(D146,F146,H146,J146,L146,N146,P146,R146,T146,V146,X146,Z146,AB146,AD146,AF146,AH146,AJ146,AL146,AN146,AP146,AR146,AT146,AV146,AX146,AZ146,BB146,BD146,BF146,BH146,BJ146,BL146,BN146,BP146,BR146,BT146,BV146,BX146,BZ146)</f>
        <v>0</v>
      </c>
      <c r="CC146" s="299">
        <f>SUM(Table13[[#This Row],[GOALS 1]:[ASSISTS 38]])</f>
        <v>0</v>
      </c>
    </row>
    <row r="147" spans="1:81">
      <c r="A147" s="291" t="s">
        <v>1846</v>
      </c>
      <c r="B147" s="291" t="s">
        <v>19</v>
      </c>
      <c r="C147" s="286"/>
      <c r="D147" s="286"/>
      <c r="E147" s="288"/>
      <c r="F147" s="286"/>
      <c r="G147" s="288"/>
      <c r="H147" s="286"/>
      <c r="I147" s="288"/>
      <c r="J147" s="286"/>
      <c r="K147" s="288"/>
      <c r="L147" s="286"/>
      <c r="M147" s="288"/>
      <c r="N147" s="286"/>
      <c r="O147" s="288"/>
      <c r="P147" s="286"/>
      <c r="Q147" s="288"/>
      <c r="R147" s="286"/>
      <c r="S147" s="288"/>
      <c r="T147" s="286"/>
      <c r="U147" s="288"/>
      <c r="V147" s="286"/>
      <c r="W147" s="288"/>
      <c r="X147" s="286"/>
      <c r="Y147" s="288"/>
      <c r="Z147" s="286"/>
      <c r="AA147" s="288"/>
      <c r="AB147" s="286"/>
      <c r="AC147" s="288"/>
      <c r="AD147" s="286"/>
      <c r="AE147" s="288"/>
      <c r="AF147" s="286"/>
      <c r="AG147" s="288"/>
      <c r="AH147" s="286"/>
      <c r="AI147" s="288"/>
      <c r="AJ147" s="286"/>
      <c r="AK147" s="286"/>
      <c r="AL147" s="286"/>
      <c r="AM147" s="286"/>
      <c r="AN147" s="286"/>
      <c r="AO147" s="286"/>
      <c r="AP147" s="286"/>
      <c r="AQ147" s="286"/>
      <c r="AR147" s="286"/>
      <c r="AS147" s="286"/>
      <c r="AT147" s="286"/>
      <c r="AU147" s="286"/>
      <c r="AV147" s="284"/>
      <c r="AW147" s="284"/>
      <c r="AX147" s="284"/>
      <c r="AY147" s="284"/>
      <c r="AZ147" s="284"/>
      <c r="BA147" s="284"/>
      <c r="BB147" s="284"/>
      <c r="BC147" s="284"/>
      <c r="BD147" s="284"/>
      <c r="BE147" s="284"/>
      <c r="BF147" s="284"/>
      <c r="BG147" s="284"/>
      <c r="BH147" s="284"/>
      <c r="BI147" s="284"/>
      <c r="BJ147" s="284"/>
      <c r="BK147" s="284"/>
      <c r="BL147" s="284"/>
      <c r="BM147" s="284"/>
      <c r="BN147" s="284"/>
      <c r="BO147" s="284"/>
      <c r="BP147" s="284"/>
      <c r="BQ147" s="284"/>
      <c r="BR147" s="284"/>
      <c r="BS147" s="284"/>
      <c r="BT147" s="284"/>
      <c r="BU147" s="284"/>
      <c r="BV147" s="284"/>
      <c r="BW147" s="284"/>
      <c r="BX147" s="284"/>
      <c r="BY147" s="284"/>
      <c r="BZ147" s="285"/>
      <c r="CA147" s="298">
        <f>SUM(C147,E147,G147,I147,K147,M147,O147,Q147,S147,U147,W147,Y147,AA147,AC147,AE147,AG147,AI147,AK147,AM147,AO147,AQ147,AS147,AU147,AW147,AY147,BA147,BC147,BE147,BG147,BI147,BK147,BM147,BO147,BQ147,BS147,BU147,BW147,BY147)</f>
        <v>0</v>
      </c>
      <c r="CB147" s="298">
        <f>SUM(D147,F147,H147,J147,L147,N147,P147,R147,T147,V147,X147,Z147,AB147,AD147,AF147,AH147,AJ147,AL147,AN147,AP147,AR147,AT147,AV147,AX147,AZ147,BB147,BD147,BF147,BH147,BJ147,BL147,BN147,BP147,BR147,BT147,BV147,BX147,BZ147)</f>
        <v>0</v>
      </c>
      <c r="CC147" s="299">
        <f>SUM(Table13[[#This Row],[GOALS 1]:[ASSISTS 38]])</f>
        <v>0</v>
      </c>
    </row>
    <row r="148" spans="1:81">
      <c r="A148" s="291" t="s">
        <v>1453</v>
      </c>
      <c r="B148" s="291" t="s">
        <v>633</v>
      </c>
      <c r="C148" s="289"/>
      <c r="D148" s="286"/>
      <c r="E148" s="288"/>
      <c r="F148" s="286"/>
      <c r="G148" s="288"/>
      <c r="H148" s="286"/>
      <c r="I148" s="288"/>
      <c r="J148" s="286"/>
      <c r="K148" s="288"/>
      <c r="L148" s="286"/>
      <c r="M148" s="288"/>
      <c r="N148" s="286"/>
      <c r="O148" s="288"/>
      <c r="P148" s="286"/>
      <c r="Q148" s="288"/>
      <c r="R148" s="286"/>
      <c r="S148" s="288"/>
      <c r="T148" s="286"/>
      <c r="U148" s="288"/>
      <c r="V148" s="286"/>
      <c r="W148" s="288"/>
      <c r="X148" s="286"/>
      <c r="Y148" s="288"/>
      <c r="Z148" s="286"/>
      <c r="AA148" s="288"/>
      <c r="AB148" s="286"/>
      <c r="AC148" s="288"/>
      <c r="AD148" s="286"/>
      <c r="AE148" s="288"/>
      <c r="AF148" s="286"/>
      <c r="AG148" s="288"/>
      <c r="AH148" s="286"/>
      <c r="AI148" s="288"/>
      <c r="AJ148" s="286"/>
      <c r="AK148" s="286"/>
      <c r="AL148" s="286"/>
      <c r="AM148" s="286"/>
      <c r="AN148" s="286"/>
      <c r="AO148" s="286"/>
      <c r="AP148" s="286"/>
      <c r="AQ148" s="286"/>
      <c r="AR148" s="286"/>
      <c r="AS148" s="286"/>
      <c r="AT148" s="286"/>
      <c r="AU148" s="286"/>
      <c r="AV148" s="284"/>
      <c r="AW148" s="284"/>
      <c r="AX148" s="284"/>
      <c r="AY148" s="284"/>
      <c r="AZ148" s="284"/>
      <c r="BA148" s="284"/>
      <c r="BB148" s="284"/>
      <c r="BC148" s="284"/>
      <c r="BD148" s="284"/>
      <c r="BE148" s="284"/>
      <c r="BF148" s="284"/>
      <c r="BG148" s="284"/>
      <c r="BH148" s="284"/>
      <c r="BI148" s="284"/>
      <c r="BJ148" s="284"/>
      <c r="BK148" s="284"/>
      <c r="BL148" s="284"/>
      <c r="BM148" s="284"/>
      <c r="BN148" s="284"/>
      <c r="BO148" s="284"/>
      <c r="BP148" s="284"/>
      <c r="BQ148" s="284"/>
      <c r="BR148" s="284"/>
      <c r="BS148" s="284"/>
      <c r="BT148" s="284"/>
      <c r="BU148" s="284"/>
      <c r="BV148" s="284"/>
      <c r="BW148" s="284"/>
      <c r="BX148" s="284"/>
      <c r="BY148" s="284"/>
      <c r="BZ148" s="285"/>
      <c r="CA148" s="298">
        <f>SUM(C148,E148,G148,I148,K148,M148,O148,Q148,S148,U148,W148,Y148,AA148,AC148,AE148,AG148,AI148,AK148,AM148,AO148,AQ148,AS148,AU148,AW148,AY148,BA148,BC148,BE148,BG148,BI148,BK148,BM148,BO148,BQ148,BS148,BU148,BW148,BY148)</f>
        <v>0</v>
      </c>
      <c r="CB148" s="298">
        <f>SUM(D148,F148,H148,J148,L148,N148,P148,R148,T148,V148,X148,Z148,AB148,AD148,AF148,AH148,AJ148,AL148,AN148,AP148,AR148,AT148,AV148,AX148,AZ148,BB148,BD148,BF148,BH148,BJ148,BL148,BN148,BP148,BR148,BT148,BV148,BX148,BZ148)</f>
        <v>0</v>
      </c>
      <c r="CC148" s="299">
        <f>SUM(Table13[[#This Row],[GOALS 1]:[ASSISTS 38]])</f>
        <v>0</v>
      </c>
    </row>
    <row r="149" spans="1:81">
      <c r="A149" s="291" t="s">
        <v>1279</v>
      </c>
      <c r="B149" s="291" t="s">
        <v>30</v>
      </c>
      <c r="C149" s="286"/>
      <c r="D149" s="286"/>
      <c r="E149" s="288"/>
      <c r="F149" s="286"/>
      <c r="G149" s="288"/>
      <c r="H149" s="286"/>
      <c r="I149" s="288"/>
      <c r="J149" s="286"/>
      <c r="K149" s="288"/>
      <c r="L149" s="286"/>
      <c r="M149" s="288"/>
      <c r="N149" s="286"/>
      <c r="O149" s="288"/>
      <c r="P149" s="286"/>
      <c r="Q149" s="288"/>
      <c r="R149" s="286"/>
      <c r="S149" s="288"/>
      <c r="T149" s="286"/>
      <c r="U149" s="288"/>
      <c r="V149" s="286"/>
      <c r="W149" s="288"/>
      <c r="X149" s="286"/>
      <c r="Y149" s="288"/>
      <c r="Z149" s="286"/>
      <c r="AA149" s="288"/>
      <c r="AB149" s="286"/>
      <c r="AC149" s="288"/>
      <c r="AD149" s="286"/>
      <c r="AE149" s="288"/>
      <c r="AF149" s="286"/>
      <c r="AG149" s="288"/>
      <c r="AH149" s="286"/>
      <c r="AI149" s="288"/>
      <c r="AJ149" s="286"/>
      <c r="AK149" s="286"/>
      <c r="AL149" s="286"/>
      <c r="AM149" s="286"/>
      <c r="AN149" s="286"/>
      <c r="AO149" s="286"/>
      <c r="AP149" s="286"/>
      <c r="AQ149" s="286"/>
      <c r="AR149" s="286"/>
      <c r="AS149" s="286"/>
      <c r="AT149" s="286"/>
      <c r="AU149" s="286"/>
      <c r="AV149" s="284"/>
      <c r="AW149" s="284"/>
      <c r="AX149" s="284"/>
      <c r="AY149" s="284"/>
      <c r="AZ149" s="284"/>
      <c r="BA149" s="284"/>
      <c r="BB149" s="284"/>
      <c r="BC149" s="284"/>
      <c r="BD149" s="284"/>
      <c r="BE149" s="284"/>
      <c r="BF149" s="284"/>
      <c r="BG149" s="284"/>
      <c r="BH149" s="284"/>
      <c r="BI149" s="284"/>
      <c r="BJ149" s="284"/>
      <c r="BK149" s="284"/>
      <c r="BL149" s="284"/>
      <c r="BM149" s="284"/>
      <c r="BN149" s="284"/>
      <c r="BO149" s="284"/>
      <c r="BP149" s="284"/>
      <c r="BQ149" s="284"/>
      <c r="BR149" s="284"/>
      <c r="BS149" s="284"/>
      <c r="BT149" s="284"/>
      <c r="BU149" s="284"/>
      <c r="BV149" s="284"/>
      <c r="BW149" s="284"/>
      <c r="BX149" s="284"/>
      <c r="BY149" s="284"/>
      <c r="BZ149" s="285"/>
      <c r="CA149" s="298">
        <f>SUM(C149,E149,G149,I149,K149,M149,O149,Q149,S149,U149,W149,Y149,AA149,AC149,AE149,AG149,AI149,AK149,AM149,AO149,AQ149,AS149,AU149,AW149,AY149,BA149,BC149,BE149,BG149,BI149,BK149,BM149,BO149,BQ149,BS149,BU149,BW149,BY149)</f>
        <v>0</v>
      </c>
      <c r="CB149" s="298">
        <f>SUM(D149,F149,H149,J149,L149,N149,P149,R149,T149,V149,X149,Z149,AB149,AD149,AF149,AH149,AJ149,AL149,AN149,AP149,AR149,AT149,AV149,AX149,AZ149,BB149,BD149,BF149,BH149,BJ149,BL149,BN149,BP149,BR149,BT149,BV149,BX149,BZ149)</f>
        <v>0</v>
      </c>
      <c r="CC149" s="299">
        <f>SUM(Table13[[#This Row],[GOALS 1]:[ASSISTS 38]])</f>
        <v>0</v>
      </c>
    </row>
    <row r="150" spans="1:81">
      <c r="A150" s="291" t="s">
        <v>1284</v>
      </c>
      <c r="B150" s="291" t="s">
        <v>30</v>
      </c>
      <c r="C150" s="286"/>
      <c r="D150" s="286"/>
      <c r="E150" s="288"/>
      <c r="F150" s="286"/>
      <c r="G150" s="288"/>
      <c r="H150" s="286"/>
      <c r="I150" s="288"/>
      <c r="J150" s="286"/>
      <c r="K150" s="288"/>
      <c r="L150" s="286"/>
      <c r="M150" s="288"/>
      <c r="N150" s="286"/>
      <c r="O150" s="288"/>
      <c r="P150" s="286"/>
      <c r="Q150" s="288"/>
      <c r="R150" s="286"/>
      <c r="S150" s="288"/>
      <c r="T150" s="286"/>
      <c r="U150" s="288"/>
      <c r="V150" s="286"/>
      <c r="W150" s="288"/>
      <c r="X150" s="286"/>
      <c r="Y150" s="288"/>
      <c r="Z150" s="286"/>
      <c r="AA150" s="288"/>
      <c r="AB150" s="286"/>
      <c r="AC150" s="288"/>
      <c r="AD150" s="286"/>
      <c r="AE150" s="288"/>
      <c r="AF150" s="286"/>
      <c r="AG150" s="288"/>
      <c r="AH150" s="286"/>
      <c r="AI150" s="288"/>
      <c r="AJ150" s="286"/>
      <c r="AK150" s="286"/>
      <c r="AL150" s="286"/>
      <c r="AM150" s="286"/>
      <c r="AN150" s="286"/>
      <c r="AO150" s="286"/>
      <c r="AP150" s="286"/>
      <c r="AQ150" s="286"/>
      <c r="AR150" s="286"/>
      <c r="AS150" s="286"/>
      <c r="AT150" s="286"/>
      <c r="AU150" s="286"/>
      <c r="AV150" s="284"/>
      <c r="AW150" s="284"/>
      <c r="AX150" s="284"/>
      <c r="AY150" s="284"/>
      <c r="AZ150" s="284"/>
      <c r="BA150" s="284"/>
      <c r="BB150" s="284"/>
      <c r="BC150" s="284"/>
      <c r="BD150" s="284"/>
      <c r="BE150" s="284"/>
      <c r="BF150" s="284"/>
      <c r="BG150" s="284"/>
      <c r="BH150" s="284"/>
      <c r="BI150" s="284"/>
      <c r="BJ150" s="284"/>
      <c r="BK150" s="284"/>
      <c r="BL150" s="284"/>
      <c r="BM150" s="284"/>
      <c r="BN150" s="284"/>
      <c r="BO150" s="284"/>
      <c r="BP150" s="284"/>
      <c r="BQ150" s="284"/>
      <c r="BR150" s="284"/>
      <c r="BS150" s="284"/>
      <c r="BT150" s="284"/>
      <c r="BU150" s="284"/>
      <c r="BV150" s="284"/>
      <c r="BW150" s="284"/>
      <c r="BX150" s="284"/>
      <c r="BY150" s="284"/>
      <c r="BZ150" s="285"/>
      <c r="CA150" s="298">
        <f>SUM(C150,E150,G150,I150,K150,M150,O150,Q150,S150,U150,W150,Y150,AA150,AC150,AE150,AG150,AI150,AK150,AM150,AO150,AQ150,AS150,AU150,AW150,AY150,BA150,BC150,BE150,BG150,BI150,BK150,BM150,BO150,BQ150,BS150,BU150,BW150,BY150)</f>
        <v>0</v>
      </c>
      <c r="CB150" s="298">
        <f>SUM(D150,F150,H150,J150,L150,N150,P150,R150,T150,V150,X150,Z150,AB150,AD150,AF150,AH150,AJ150,AL150,AN150,AP150,AR150,AT150,AV150,AX150,AZ150,BB150,BD150,BF150,BH150,BJ150,BL150,BN150,BP150,BR150,BT150,BV150,BX150,BZ150)</f>
        <v>0</v>
      </c>
      <c r="CC150" s="299">
        <f>SUM(Table13[[#This Row],[GOALS 1]:[ASSISTS 38]])</f>
        <v>0</v>
      </c>
    </row>
    <row r="151" spans="1:81">
      <c r="A151" s="291" t="s">
        <v>1880</v>
      </c>
      <c r="B151" s="291" t="s">
        <v>26</v>
      </c>
      <c r="C151" s="286"/>
      <c r="D151" s="286"/>
      <c r="E151" s="288"/>
      <c r="F151" s="286"/>
      <c r="G151" s="288"/>
      <c r="H151" s="286"/>
      <c r="I151" s="288"/>
      <c r="J151" s="286"/>
      <c r="K151" s="288"/>
      <c r="L151" s="286"/>
      <c r="M151" s="288"/>
      <c r="N151" s="286"/>
      <c r="O151" s="288"/>
      <c r="P151" s="286"/>
      <c r="Q151" s="288"/>
      <c r="R151" s="286"/>
      <c r="S151" s="288"/>
      <c r="T151" s="286"/>
      <c r="U151" s="288"/>
      <c r="V151" s="286"/>
      <c r="W151" s="288"/>
      <c r="X151" s="286"/>
      <c r="Y151" s="288"/>
      <c r="Z151" s="286"/>
      <c r="AA151" s="288"/>
      <c r="AB151" s="286"/>
      <c r="AC151" s="288"/>
      <c r="AD151" s="286"/>
      <c r="AE151" s="288"/>
      <c r="AF151" s="286"/>
      <c r="AG151" s="288"/>
      <c r="AH151" s="286"/>
      <c r="AI151" s="288"/>
      <c r="AJ151" s="286"/>
      <c r="AK151" s="286"/>
      <c r="AL151" s="286"/>
      <c r="AM151" s="286"/>
      <c r="AN151" s="286"/>
      <c r="AO151" s="286"/>
      <c r="AP151" s="286"/>
      <c r="AQ151" s="286"/>
      <c r="AR151" s="286"/>
      <c r="AS151" s="286"/>
      <c r="AT151" s="286"/>
      <c r="AU151" s="286"/>
      <c r="AV151" s="284"/>
      <c r="AW151" s="284"/>
      <c r="AX151" s="284"/>
      <c r="AY151" s="284"/>
      <c r="AZ151" s="284"/>
      <c r="BA151" s="284"/>
      <c r="BB151" s="284"/>
      <c r="BC151" s="284"/>
      <c r="BD151" s="284"/>
      <c r="BE151" s="284"/>
      <c r="BF151" s="284"/>
      <c r="BG151" s="284"/>
      <c r="BH151" s="284"/>
      <c r="BI151" s="284"/>
      <c r="BJ151" s="284"/>
      <c r="BK151" s="284"/>
      <c r="BL151" s="284"/>
      <c r="BM151" s="284"/>
      <c r="BN151" s="284"/>
      <c r="BO151" s="284"/>
      <c r="BP151" s="284"/>
      <c r="BQ151" s="284"/>
      <c r="BR151" s="284"/>
      <c r="BS151" s="284"/>
      <c r="BT151" s="284"/>
      <c r="BU151" s="284"/>
      <c r="BV151" s="284"/>
      <c r="BW151" s="284"/>
      <c r="BX151" s="284"/>
      <c r="BY151" s="284"/>
      <c r="BZ151" s="285"/>
      <c r="CA151" s="298">
        <f>SUM(C151,E151,G151,I151,K151,M151,O151,Q151,S151,U151,W151,Y151,AA151,AC151,AE151,AG151,AI151,AK151,AM151,AO151,AQ151,AS151,AU151,AW151,AY151,BA151,BC151,BE151,BG151,BI151,BK151,BM151,BO151,BQ151,BS151,BU151,BW151,BY151)</f>
        <v>0</v>
      </c>
      <c r="CB151" s="298">
        <f>SUM(D151,F151,H151,J151,L151,N151,P151,R151,T151,V151,X151,Z151,AB151,AD151,AF151,AH151,AJ151,AL151,AN151,AP151,AR151,AT151,AV151,AX151,AZ151,BB151,BD151,BF151,BH151,BJ151,BL151,BN151,BP151,BR151,BT151,BV151,BX151,BZ151)</f>
        <v>0</v>
      </c>
      <c r="CC151" s="299">
        <f>SUM(Table13[[#This Row],[GOALS 1]:[ASSISTS 38]])</f>
        <v>0</v>
      </c>
    </row>
    <row r="152" spans="1:81">
      <c r="A152" s="291" t="s">
        <v>1848</v>
      </c>
      <c r="B152" s="291" t="s">
        <v>43</v>
      </c>
      <c r="C152" s="286"/>
      <c r="D152" s="286"/>
      <c r="E152" s="288"/>
      <c r="F152" s="286"/>
      <c r="G152" s="288"/>
      <c r="H152" s="286"/>
      <c r="I152" s="288"/>
      <c r="J152" s="286"/>
      <c r="K152" s="288"/>
      <c r="L152" s="286"/>
      <c r="M152" s="288"/>
      <c r="N152" s="286"/>
      <c r="O152" s="288"/>
      <c r="P152" s="286"/>
      <c r="Q152" s="288"/>
      <c r="R152" s="286"/>
      <c r="S152" s="288"/>
      <c r="T152" s="286"/>
      <c r="U152" s="288"/>
      <c r="V152" s="286"/>
      <c r="W152" s="288"/>
      <c r="X152" s="286"/>
      <c r="Y152" s="288"/>
      <c r="Z152" s="286"/>
      <c r="AA152" s="288"/>
      <c r="AB152" s="286"/>
      <c r="AC152" s="288"/>
      <c r="AD152" s="286"/>
      <c r="AE152" s="288"/>
      <c r="AF152" s="286"/>
      <c r="AG152" s="288"/>
      <c r="AH152" s="286"/>
      <c r="AI152" s="288"/>
      <c r="AJ152" s="286"/>
      <c r="AK152" s="286"/>
      <c r="AL152" s="286"/>
      <c r="AM152" s="286"/>
      <c r="AN152" s="286"/>
      <c r="AO152" s="286"/>
      <c r="AP152" s="286"/>
      <c r="AQ152" s="286"/>
      <c r="AR152" s="286"/>
      <c r="AS152" s="286"/>
      <c r="AT152" s="286"/>
      <c r="AU152" s="286"/>
      <c r="AV152" s="284"/>
      <c r="AW152" s="284"/>
      <c r="AX152" s="284"/>
      <c r="AY152" s="284"/>
      <c r="AZ152" s="284"/>
      <c r="BA152" s="284"/>
      <c r="BB152" s="284"/>
      <c r="BC152" s="284"/>
      <c r="BD152" s="284"/>
      <c r="BE152" s="284"/>
      <c r="BF152" s="284"/>
      <c r="BG152" s="284"/>
      <c r="BH152" s="284"/>
      <c r="BI152" s="284"/>
      <c r="BJ152" s="284"/>
      <c r="BK152" s="284"/>
      <c r="BL152" s="284"/>
      <c r="BM152" s="284"/>
      <c r="BN152" s="284"/>
      <c r="BO152" s="284"/>
      <c r="BP152" s="284"/>
      <c r="BQ152" s="284"/>
      <c r="BR152" s="284"/>
      <c r="BS152" s="284"/>
      <c r="BT152" s="284"/>
      <c r="BU152" s="284"/>
      <c r="BV152" s="284"/>
      <c r="BW152" s="284"/>
      <c r="BX152" s="284"/>
      <c r="BY152" s="284"/>
      <c r="BZ152" s="285"/>
      <c r="CA152" s="298">
        <f>SUM(C152,E152,G152,I152,K152,M152,O152,Q152,S152,U152,W152,Y152,AA152,AC152,AE152,AG152,AI152,AK152,AM152,AO152,AQ152,AS152,AU152,AW152,AY152,BA152,BC152,BE152,BG152,BI152,BK152,BM152,BO152,BQ152,BS152,BU152,BW152,BY152)</f>
        <v>0</v>
      </c>
      <c r="CB152" s="298">
        <f>SUM(D152,F152,H152,J152,L152,N152,P152,R152,T152,V152,X152,Z152,AB152,AD152,AF152,AH152,AJ152,AL152,AN152,AP152,AR152,AT152,AV152,AX152,AZ152,BB152,BD152,BF152,BH152,BJ152,BL152,BN152,BP152,BR152,BT152,BV152,BX152,BZ152)</f>
        <v>0</v>
      </c>
      <c r="CC152" s="299">
        <f>SUM(Table13[[#This Row],[GOALS 1]:[ASSISTS 38]])</f>
        <v>0</v>
      </c>
    </row>
    <row r="153" spans="1:81">
      <c r="A153" s="291" t="s">
        <v>1743</v>
      </c>
      <c r="B153" s="291" t="s">
        <v>24</v>
      </c>
      <c r="C153" s="286"/>
      <c r="D153" s="286"/>
      <c r="E153" s="288"/>
      <c r="F153" s="286"/>
      <c r="G153" s="288"/>
      <c r="H153" s="286"/>
      <c r="I153" s="288"/>
      <c r="J153" s="286"/>
      <c r="K153" s="288"/>
      <c r="L153" s="286"/>
      <c r="M153" s="288"/>
      <c r="N153" s="286"/>
      <c r="O153" s="288"/>
      <c r="P153" s="286"/>
      <c r="Q153" s="288"/>
      <c r="R153" s="286"/>
      <c r="S153" s="288"/>
      <c r="T153" s="286"/>
      <c r="U153" s="288"/>
      <c r="V153" s="286"/>
      <c r="W153" s="288"/>
      <c r="X153" s="286"/>
      <c r="Y153" s="288"/>
      <c r="Z153" s="286"/>
      <c r="AA153" s="288"/>
      <c r="AB153" s="286"/>
      <c r="AC153" s="288"/>
      <c r="AD153" s="286"/>
      <c r="AE153" s="288"/>
      <c r="AF153" s="286"/>
      <c r="AG153" s="288"/>
      <c r="AH153" s="286"/>
      <c r="AI153" s="288"/>
      <c r="AJ153" s="286"/>
      <c r="AK153" s="286"/>
      <c r="AL153" s="286"/>
      <c r="AM153" s="286"/>
      <c r="AN153" s="286"/>
      <c r="AO153" s="286"/>
      <c r="AP153" s="286"/>
      <c r="AQ153" s="286"/>
      <c r="AR153" s="286"/>
      <c r="AS153" s="286"/>
      <c r="AT153" s="286"/>
      <c r="AU153" s="286"/>
      <c r="AV153" s="284"/>
      <c r="AW153" s="284"/>
      <c r="AX153" s="284"/>
      <c r="AY153" s="284"/>
      <c r="AZ153" s="284"/>
      <c r="BA153" s="284"/>
      <c r="BB153" s="284"/>
      <c r="BC153" s="284"/>
      <c r="BD153" s="284"/>
      <c r="BE153" s="284"/>
      <c r="BF153" s="284"/>
      <c r="BG153" s="284"/>
      <c r="BH153" s="284"/>
      <c r="BI153" s="284"/>
      <c r="BJ153" s="284"/>
      <c r="BK153" s="284"/>
      <c r="BL153" s="284"/>
      <c r="BM153" s="284"/>
      <c r="BN153" s="284"/>
      <c r="BO153" s="284"/>
      <c r="BP153" s="284"/>
      <c r="BQ153" s="284"/>
      <c r="BR153" s="284"/>
      <c r="BS153" s="284"/>
      <c r="BT153" s="284"/>
      <c r="BU153" s="284"/>
      <c r="BV153" s="284"/>
      <c r="BW153" s="284"/>
      <c r="BX153" s="284"/>
      <c r="BY153" s="284"/>
      <c r="BZ153" s="285"/>
      <c r="CA153" s="298">
        <f>SUM(C153,E153,G153,I153,K153,M153,O153,Q153,S153,U153,W153,Y153,AA153,AC153,AE153,AG153,AI153,AK153,AM153,AO153,AQ153,AS153,AU153,AW153,AY153,BA153,BC153,BE153,BG153,BI153,BK153,BM153,BO153,BQ153,BS153,BU153,BW153,BY153)</f>
        <v>0</v>
      </c>
      <c r="CB153" s="298">
        <f>SUM(D153,F153,H153,J153,L153,N153,P153,R153,T153,V153,X153,Z153,AB153,AD153,AF153,AH153,AJ153,AL153,AN153,AP153,AR153,AT153,AV153,AX153,AZ153,BB153,BD153,BF153,BH153,BJ153,BL153,BN153,BP153,BR153,BT153,BV153,BX153,BZ153)</f>
        <v>0</v>
      </c>
      <c r="CC153" s="299">
        <f>SUM(Table13[[#This Row],[GOALS 1]:[ASSISTS 38]])</f>
        <v>0</v>
      </c>
    </row>
    <row r="154" spans="1:81">
      <c r="A154" s="291" t="s">
        <v>1650</v>
      </c>
      <c r="B154" s="291" t="s">
        <v>27</v>
      </c>
      <c r="C154" s="286"/>
      <c r="D154" s="286"/>
      <c r="E154" s="289"/>
      <c r="F154" s="286"/>
      <c r="G154" s="288"/>
      <c r="H154" s="286"/>
      <c r="I154" s="288"/>
      <c r="J154" s="286"/>
      <c r="K154" s="288"/>
      <c r="L154" s="286"/>
      <c r="M154" s="288"/>
      <c r="N154" s="286"/>
      <c r="O154" s="288"/>
      <c r="P154" s="286"/>
      <c r="Q154" s="288"/>
      <c r="R154" s="286"/>
      <c r="S154" s="288"/>
      <c r="T154" s="286"/>
      <c r="U154" s="288"/>
      <c r="V154" s="286"/>
      <c r="W154" s="288"/>
      <c r="X154" s="286"/>
      <c r="Y154" s="288"/>
      <c r="Z154" s="286"/>
      <c r="AA154" s="288"/>
      <c r="AB154" s="286"/>
      <c r="AC154" s="288"/>
      <c r="AD154" s="286"/>
      <c r="AE154" s="288"/>
      <c r="AF154" s="286"/>
      <c r="AG154" s="288"/>
      <c r="AH154" s="286"/>
      <c r="AI154" s="288"/>
      <c r="AJ154" s="286"/>
      <c r="AK154" s="286"/>
      <c r="AL154" s="286"/>
      <c r="AM154" s="286"/>
      <c r="AN154" s="286"/>
      <c r="AO154" s="286"/>
      <c r="AP154" s="286"/>
      <c r="AQ154" s="286"/>
      <c r="AR154" s="286"/>
      <c r="AS154" s="286"/>
      <c r="AT154" s="286"/>
      <c r="AU154" s="286"/>
      <c r="AV154" s="284"/>
      <c r="AW154" s="284"/>
      <c r="AX154" s="284"/>
      <c r="AY154" s="284"/>
      <c r="AZ154" s="284"/>
      <c r="BA154" s="284"/>
      <c r="BB154" s="284"/>
      <c r="BC154" s="284"/>
      <c r="BD154" s="284"/>
      <c r="BE154" s="284"/>
      <c r="BF154" s="284"/>
      <c r="BG154" s="284"/>
      <c r="BH154" s="284"/>
      <c r="BI154" s="284"/>
      <c r="BJ154" s="284"/>
      <c r="BK154" s="284"/>
      <c r="BL154" s="284"/>
      <c r="BM154" s="284"/>
      <c r="BN154" s="284"/>
      <c r="BO154" s="284"/>
      <c r="BP154" s="284"/>
      <c r="BQ154" s="284"/>
      <c r="BR154" s="284"/>
      <c r="BS154" s="284"/>
      <c r="BT154" s="284"/>
      <c r="BU154" s="284"/>
      <c r="BV154" s="284"/>
      <c r="BW154" s="284"/>
      <c r="BX154" s="284"/>
      <c r="BY154" s="284"/>
      <c r="BZ154" s="285"/>
      <c r="CA154" s="298">
        <f>SUM(C154,E154,G154,I154,K154,M154,O154,Q154,S154,U154,W154,Y154,AA154,AC154,AE154,AG154,AI154,AK154,AM154,AO154,AQ154,AS154,AU154,AW154,AY154,BA154,BC154,BE154,BG154,BI154,BK154,BM154,BO154,BQ154,BS154,BU154,BW154,BY154)</f>
        <v>0</v>
      </c>
      <c r="CB154" s="298">
        <f>SUM(D154,F154,H154,J154,L154,N154,P154,R154,T154,V154,X154,Z154,AB154,AD154,AF154,AH154,AJ154,AL154,AN154,AP154,AR154,AT154,AV154,AX154,AZ154,BB154,BD154,BF154,BH154,BJ154,BL154,BN154,BP154,BR154,BT154,BV154,BX154,BZ154)</f>
        <v>0</v>
      </c>
      <c r="CC154" s="299">
        <f>SUM(Table13[[#This Row],[GOALS 1]:[ASSISTS 38]])</f>
        <v>0</v>
      </c>
    </row>
    <row r="155" spans="1:81">
      <c r="A155" s="291" t="s">
        <v>1716</v>
      </c>
      <c r="B155" s="291" t="s">
        <v>19</v>
      </c>
      <c r="C155" s="286"/>
      <c r="D155" s="286"/>
      <c r="E155" s="288"/>
      <c r="F155" s="286"/>
      <c r="G155" s="288"/>
      <c r="H155" s="286"/>
      <c r="I155" s="288"/>
      <c r="J155" s="286"/>
      <c r="K155" s="288"/>
      <c r="L155" s="286"/>
      <c r="M155" s="288"/>
      <c r="N155" s="286"/>
      <c r="O155" s="288"/>
      <c r="P155" s="286"/>
      <c r="Q155" s="288"/>
      <c r="R155" s="286"/>
      <c r="S155" s="288"/>
      <c r="T155" s="286"/>
      <c r="U155" s="288"/>
      <c r="V155" s="286"/>
      <c r="W155" s="288"/>
      <c r="X155" s="286"/>
      <c r="Y155" s="288"/>
      <c r="Z155" s="286"/>
      <c r="AA155" s="288"/>
      <c r="AB155" s="286"/>
      <c r="AC155" s="288"/>
      <c r="AD155" s="286"/>
      <c r="AE155" s="288"/>
      <c r="AF155" s="286"/>
      <c r="AG155" s="288"/>
      <c r="AH155" s="286"/>
      <c r="AI155" s="288"/>
      <c r="AJ155" s="286"/>
      <c r="AK155" s="286"/>
      <c r="AL155" s="286"/>
      <c r="AM155" s="286"/>
      <c r="AN155" s="286"/>
      <c r="AO155" s="286"/>
      <c r="AP155" s="286"/>
      <c r="AQ155" s="286"/>
      <c r="AR155" s="286"/>
      <c r="AS155" s="286"/>
      <c r="AT155" s="286"/>
      <c r="AU155" s="286"/>
      <c r="AV155" s="284"/>
      <c r="AW155" s="284"/>
      <c r="AX155" s="284"/>
      <c r="AY155" s="284"/>
      <c r="AZ155" s="284"/>
      <c r="BA155" s="284"/>
      <c r="BB155" s="284"/>
      <c r="BC155" s="284"/>
      <c r="BD155" s="284"/>
      <c r="BE155" s="284"/>
      <c r="BF155" s="284"/>
      <c r="BG155" s="284"/>
      <c r="BH155" s="284"/>
      <c r="BI155" s="284"/>
      <c r="BJ155" s="284"/>
      <c r="BK155" s="284"/>
      <c r="BL155" s="284"/>
      <c r="BM155" s="284"/>
      <c r="BN155" s="284"/>
      <c r="BO155" s="284"/>
      <c r="BP155" s="284"/>
      <c r="BQ155" s="284"/>
      <c r="BR155" s="284"/>
      <c r="BS155" s="284"/>
      <c r="BT155" s="284"/>
      <c r="BU155" s="284"/>
      <c r="BV155" s="284"/>
      <c r="BW155" s="284"/>
      <c r="BX155" s="284"/>
      <c r="BY155" s="284"/>
      <c r="BZ155" s="285"/>
      <c r="CA155" s="298">
        <f>SUM(C155,E155,G155,I155,K155,M155,O155,Q155,S155,U155,W155,Y155,AA155,AC155,AE155,AG155,AI155,AK155,AM155,AO155,AQ155,AS155,AU155,AW155,AY155,BA155,BC155,BE155,BG155,BI155,BK155,BM155,BO155,BQ155,BS155,BU155,BW155,BY155)</f>
        <v>0</v>
      </c>
      <c r="CB155" s="298">
        <f>SUM(D155,F155,H155,J155,L155,N155,P155,R155,T155,V155,X155,Z155,AB155,AD155,AF155,AH155,AJ155,AL155,AN155,AP155,AR155,AT155,AV155,AX155,AZ155,BB155,BD155,BF155,BH155,BJ155,BL155,BN155,BP155,BR155,BT155,BV155,BX155,BZ155)</f>
        <v>0</v>
      </c>
      <c r="CC155" s="299">
        <f>SUM(Table13[[#This Row],[GOALS 1]:[ASSISTS 38]])</f>
        <v>0</v>
      </c>
    </row>
    <row r="156" spans="1:81">
      <c r="A156" s="291" t="s">
        <v>1371</v>
      </c>
      <c r="B156" s="291" t="s">
        <v>27</v>
      </c>
      <c r="C156" s="286"/>
      <c r="D156" s="286"/>
      <c r="E156" s="289"/>
      <c r="F156" s="286"/>
      <c r="G156" s="288"/>
      <c r="H156" s="286"/>
      <c r="I156" s="288"/>
      <c r="J156" s="286"/>
      <c r="K156" s="288"/>
      <c r="L156" s="286"/>
      <c r="M156" s="288"/>
      <c r="N156" s="286"/>
      <c r="O156" s="288"/>
      <c r="P156" s="286"/>
      <c r="Q156" s="288"/>
      <c r="R156" s="286"/>
      <c r="S156" s="288"/>
      <c r="T156" s="286"/>
      <c r="U156" s="288"/>
      <c r="V156" s="286"/>
      <c r="W156" s="288"/>
      <c r="X156" s="286"/>
      <c r="Y156" s="288"/>
      <c r="Z156" s="286"/>
      <c r="AA156" s="288"/>
      <c r="AB156" s="286"/>
      <c r="AC156" s="288"/>
      <c r="AD156" s="286"/>
      <c r="AE156" s="288"/>
      <c r="AF156" s="286"/>
      <c r="AG156" s="288"/>
      <c r="AH156" s="286"/>
      <c r="AI156" s="288"/>
      <c r="AJ156" s="286"/>
      <c r="AK156" s="286"/>
      <c r="AL156" s="286"/>
      <c r="AM156" s="286"/>
      <c r="AN156" s="286"/>
      <c r="AO156" s="286"/>
      <c r="AP156" s="286"/>
      <c r="AQ156" s="286"/>
      <c r="AR156" s="286"/>
      <c r="AS156" s="286"/>
      <c r="AT156" s="286"/>
      <c r="AU156" s="286"/>
      <c r="AV156" s="284"/>
      <c r="AW156" s="284"/>
      <c r="AX156" s="284"/>
      <c r="AY156" s="284"/>
      <c r="AZ156" s="284"/>
      <c r="BA156" s="284"/>
      <c r="BB156" s="284"/>
      <c r="BC156" s="284"/>
      <c r="BD156" s="284"/>
      <c r="BE156" s="284"/>
      <c r="BF156" s="284"/>
      <c r="BG156" s="284"/>
      <c r="BH156" s="284"/>
      <c r="BI156" s="284"/>
      <c r="BJ156" s="284"/>
      <c r="BK156" s="284"/>
      <c r="BL156" s="284"/>
      <c r="BM156" s="284"/>
      <c r="BN156" s="284"/>
      <c r="BO156" s="284"/>
      <c r="BP156" s="284"/>
      <c r="BQ156" s="284"/>
      <c r="BR156" s="284"/>
      <c r="BS156" s="284"/>
      <c r="BT156" s="284"/>
      <c r="BU156" s="284"/>
      <c r="BV156" s="284"/>
      <c r="BW156" s="284"/>
      <c r="BX156" s="284"/>
      <c r="BY156" s="284"/>
      <c r="BZ156" s="285"/>
      <c r="CA156" s="298">
        <f>SUM(C156,E156,G156,I156,K156,M156,O156,Q156,S156,U156,W156,Y156,AA156,AC156,AE156,AG156,AI156,AK156,AM156,AO156,AQ156,AS156,AU156,AW156,AY156,BA156,BC156,BE156,BG156,BI156,BK156,BM156,BO156,BQ156,BS156,BU156,BW156,BY156)</f>
        <v>0</v>
      </c>
      <c r="CB156" s="298">
        <f>SUM(D156,F156,H156,J156,L156,N156,P156,R156,T156,V156,X156,Z156,AB156,AD156,AF156,AH156,AJ156,AL156,AN156,AP156,AR156,AT156,AV156,AX156,AZ156,BB156,BD156,BF156,BH156,BJ156,BL156,BN156,BP156,BR156,BT156,BV156,BX156,BZ156)</f>
        <v>0</v>
      </c>
      <c r="CC156" s="299">
        <f>SUM(Table13[[#This Row],[GOALS 1]:[ASSISTS 38]])</f>
        <v>0</v>
      </c>
    </row>
    <row r="157" spans="1:81">
      <c r="A157" s="291" t="s">
        <v>1663</v>
      </c>
      <c r="B157" s="291" t="s">
        <v>23</v>
      </c>
      <c r="C157" s="289"/>
      <c r="D157" s="286"/>
      <c r="E157" s="288"/>
      <c r="F157" s="286"/>
      <c r="G157" s="288"/>
      <c r="H157" s="286"/>
      <c r="I157" s="288"/>
      <c r="J157" s="286"/>
      <c r="K157" s="288"/>
      <c r="L157" s="286"/>
      <c r="M157" s="288"/>
      <c r="N157" s="286"/>
      <c r="O157" s="288"/>
      <c r="P157" s="286"/>
      <c r="Q157" s="288"/>
      <c r="R157" s="286"/>
      <c r="S157" s="288"/>
      <c r="T157" s="286"/>
      <c r="U157" s="288"/>
      <c r="V157" s="286"/>
      <c r="W157" s="288"/>
      <c r="X157" s="286"/>
      <c r="Y157" s="288"/>
      <c r="Z157" s="286"/>
      <c r="AA157" s="288"/>
      <c r="AB157" s="286"/>
      <c r="AC157" s="288"/>
      <c r="AD157" s="286"/>
      <c r="AE157" s="288"/>
      <c r="AF157" s="286"/>
      <c r="AG157" s="288"/>
      <c r="AH157" s="286"/>
      <c r="AI157" s="288"/>
      <c r="AJ157" s="286"/>
      <c r="AK157" s="286"/>
      <c r="AL157" s="286"/>
      <c r="AM157" s="286"/>
      <c r="AN157" s="286"/>
      <c r="AO157" s="286"/>
      <c r="AP157" s="286"/>
      <c r="AQ157" s="286"/>
      <c r="AR157" s="286"/>
      <c r="AS157" s="286"/>
      <c r="AT157" s="286"/>
      <c r="AU157" s="286"/>
      <c r="AV157" s="284"/>
      <c r="AW157" s="284"/>
      <c r="AX157" s="284"/>
      <c r="AY157" s="284"/>
      <c r="AZ157" s="284"/>
      <c r="BA157" s="284"/>
      <c r="BB157" s="284"/>
      <c r="BC157" s="284"/>
      <c r="BD157" s="284"/>
      <c r="BE157" s="284"/>
      <c r="BF157" s="284"/>
      <c r="BG157" s="284"/>
      <c r="BH157" s="284"/>
      <c r="BI157" s="284"/>
      <c r="BJ157" s="284"/>
      <c r="BK157" s="284"/>
      <c r="BL157" s="284"/>
      <c r="BM157" s="284"/>
      <c r="BN157" s="284"/>
      <c r="BO157" s="284"/>
      <c r="BP157" s="284"/>
      <c r="BQ157" s="284"/>
      <c r="BR157" s="284"/>
      <c r="BS157" s="284"/>
      <c r="BT157" s="284"/>
      <c r="BU157" s="284"/>
      <c r="BV157" s="284"/>
      <c r="BW157" s="284"/>
      <c r="BX157" s="284"/>
      <c r="BY157" s="284"/>
      <c r="BZ157" s="285"/>
      <c r="CA157" s="298">
        <f>SUM(C157,E157,G157,I157,K157,M157,O157,Q157,S157,U157,W157,Y157,AA157,AC157,AE157,AG157,AI157,AK157,AM157,AO157,AQ157,AS157,AU157,AW157,AY157,BA157,BC157,BE157,BG157,BI157,BK157,BM157,BO157,BQ157,BS157,BU157,BW157,BY157)</f>
        <v>0</v>
      </c>
      <c r="CB157" s="298">
        <f>SUM(D157,F157,H157,J157,L157,N157,P157,R157,T157,V157,X157,Z157,AB157,AD157,AF157,AH157,AJ157,AL157,AN157,AP157,AR157,AT157,AV157,AX157,AZ157,BB157,BD157,BF157,BH157,BJ157,BL157,BN157,BP157,BR157,BT157,BV157,BX157,BZ157)</f>
        <v>0</v>
      </c>
      <c r="CC157" s="299">
        <f>SUM(Table13[[#This Row],[GOALS 1]:[ASSISTS 38]])</f>
        <v>0</v>
      </c>
    </row>
    <row r="158" spans="1:81">
      <c r="A158" s="291" t="s">
        <v>1868</v>
      </c>
      <c r="B158" s="291" t="s">
        <v>17</v>
      </c>
      <c r="C158" s="289"/>
      <c r="D158" s="286"/>
      <c r="E158" s="288"/>
      <c r="F158" s="286"/>
      <c r="G158" s="288"/>
      <c r="H158" s="286"/>
      <c r="I158" s="288"/>
      <c r="J158" s="286"/>
      <c r="K158" s="288"/>
      <c r="L158" s="286"/>
      <c r="M158" s="288"/>
      <c r="N158" s="286"/>
      <c r="O158" s="288"/>
      <c r="P158" s="286"/>
      <c r="Q158" s="288"/>
      <c r="R158" s="286"/>
      <c r="S158" s="288"/>
      <c r="T158" s="286"/>
      <c r="U158" s="288"/>
      <c r="V158" s="286"/>
      <c r="W158" s="288"/>
      <c r="X158" s="286"/>
      <c r="Y158" s="288"/>
      <c r="Z158" s="286"/>
      <c r="AA158" s="288"/>
      <c r="AB158" s="286"/>
      <c r="AC158" s="288"/>
      <c r="AD158" s="286"/>
      <c r="AE158" s="288"/>
      <c r="AF158" s="286"/>
      <c r="AG158" s="288"/>
      <c r="AH158" s="286"/>
      <c r="AI158" s="288"/>
      <c r="AJ158" s="286"/>
      <c r="AK158" s="286"/>
      <c r="AL158" s="286"/>
      <c r="AM158" s="286"/>
      <c r="AN158" s="286"/>
      <c r="AO158" s="286"/>
      <c r="AP158" s="286"/>
      <c r="AQ158" s="286"/>
      <c r="AR158" s="286"/>
      <c r="AS158" s="286"/>
      <c r="AT158" s="286"/>
      <c r="AU158" s="286"/>
      <c r="AV158" s="284"/>
      <c r="AW158" s="284"/>
      <c r="AX158" s="284"/>
      <c r="AY158" s="284"/>
      <c r="AZ158" s="284"/>
      <c r="BA158" s="284"/>
      <c r="BB158" s="284"/>
      <c r="BC158" s="284"/>
      <c r="BD158" s="284"/>
      <c r="BE158" s="284"/>
      <c r="BF158" s="284"/>
      <c r="BG158" s="284"/>
      <c r="BH158" s="284"/>
      <c r="BI158" s="284"/>
      <c r="BJ158" s="284"/>
      <c r="BK158" s="284"/>
      <c r="BL158" s="284"/>
      <c r="BM158" s="284"/>
      <c r="BN158" s="284"/>
      <c r="BO158" s="284"/>
      <c r="BP158" s="284"/>
      <c r="BQ158" s="284"/>
      <c r="BR158" s="284"/>
      <c r="BS158" s="284"/>
      <c r="BT158" s="284"/>
      <c r="BU158" s="284"/>
      <c r="BV158" s="284"/>
      <c r="BW158" s="284"/>
      <c r="BX158" s="284"/>
      <c r="BY158" s="284"/>
      <c r="BZ158" s="285"/>
      <c r="CA158" s="298">
        <f>SUM(C158,E158,G158,I158,K158,M158,O158,Q158,S158,U158,W158,Y158,AA158,AC158,AE158,AG158,AI158,AK158,AM158,AO158,AQ158,AS158,AU158,AW158,AY158,BA158,BC158,BE158,BG158,BI158,BK158,BM158,BO158,BQ158,BS158,BU158,BW158,BY158)</f>
        <v>0</v>
      </c>
      <c r="CB158" s="298">
        <f>SUM(D158,F158,H158,J158,L158,N158,P158,R158,T158,V158,X158,Z158,AB158,AD158,AF158,AH158,AJ158,AL158,AN158,AP158,AR158,AT158,AV158,AX158,AZ158,BB158,BD158,BF158,BH158,BJ158,BL158,BN158,BP158,BR158,BT158,BV158,BX158,BZ158)</f>
        <v>0</v>
      </c>
      <c r="CC158" s="299">
        <f>SUM(Table13[[#This Row],[GOALS 1]:[ASSISTS 38]])</f>
        <v>0</v>
      </c>
    </row>
    <row r="159" spans="1:81">
      <c r="A159" s="291" t="s">
        <v>1586</v>
      </c>
      <c r="B159" s="291" t="s">
        <v>25</v>
      </c>
      <c r="C159" s="286"/>
      <c r="D159" s="286"/>
      <c r="E159" s="288"/>
      <c r="F159" s="286"/>
      <c r="G159" s="288"/>
      <c r="H159" s="286"/>
      <c r="I159" s="288"/>
      <c r="J159" s="286"/>
      <c r="K159" s="288"/>
      <c r="L159" s="286"/>
      <c r="M159" s="288"/>
      <c r="N159" s="286"/>
      <c r="O159" s="288"/>
      <c r="P159" s="286"/>
      <c r="Q159" s="288"/>
      <c r="R159" s="286"/>
      <c r="S159" s="288"/>
      <c r="T159" s="286"/>
      <c r="U159" s="288"/>
      <c r="V159" s="286"/>
      <c r="W159" s="288"/>
      <c r="X159" s="286"/>
      <c r="Y159" s="288"/>
      <c r="Z159" s="286"/>
      <c r="AA159" s="288"/>
      <c r="AB159" s="286"/>
      <c r="AC159" s="288"/>
      <c r="AD159" s="286"/>
      <c r="AE159" s="288"/>
      <c r="AF159" s="286"/>
      <c r="AG159" s="288"/>
      <c r="AH159" s="286"/>
      <c r="AI159" s="288"/>
      <c r="AJ159" s="286"/>
      <c r="AK159" s="286"/>
      <c r="AL159" s="286"/>
      <c r="AM159" s="286"/>
      <c r="AN159" s="286"/>
      <c r="AO159" s="286"/>
      <c r="AP159" s="286"/>
      <c r="AQ159" s="286"/>
      <c r="AR159" s="286"/>
      <c r="AS159" s="286"/>
      <c r="AT159" s="286"/>
      <c r="AU159" s="286"/>
      <c r="AV159" s="284"/>
      <c r="AW159" s="284"/>
      <c r="AX159" s="284"/>
      <c r="AY159" s="284"/>
      <c r="AZ159" s="284"/>
      <c r="BA159" s="284"/>
      <c r="BB159" s="284"/>
      <c r="BC159" s="284"/>
      <c r="BD159" s="284"/>
      <c r="BE159" s="284"/>
      <c r="BF159" s="284"/>
      <c r="BG159" s="284"/>
      <c r="BH159" s="284"/>
      <c r="BI159" s="284"/>
      <c r="BJ159" s="284"/>
      <c r="BK159" s="284"/>
      <c r="BL159" s="284"/>
      <c r="BM159" s="284"/>
      <c r="BN159" s="284"/>
      <c r="BO159" s="284"/>
      <c r="BP159" s="284"/>
      <c r="BQ159" s="284"/>
      <c r="BR159" s="284"/>
      <c r="BS159" s="284"/>
      <c r="BT159" s="284"/>
      <c r="BU159" s="284"/>
      <c r="BV159" s="284"/>
      <c r="BW159" s="284"/>
      <c r="BX159" s="284"/>
      <c r="BY159" s="284"/>
      <c r="BZ159" s="285"/>
      <c r="CA159" s="298">
        <f>SUM(C159,E159,G159,I159,K159,M159,O159,Q159,S159,U159,W159,Y159,AA159,AC159,AE159,AG159,AI159,AK159,AM159,AO159,AQ159,AS159,AU159,AW159,AY159,BA159,BC159,BE159,BG159,BI159,BK159,BM159,BO159,BQ159,BS159,BU159,BW159,BY159)</f>
        <v>0</v>
      </c>
      <c r="CB159" s="298">
        <f>SUM(D159,F159,H159,J159,L159,N159,P159,R159,T159,V159,X159,Z159,AB159,AD159,AF159,AH159,AJ159,AL159,AN159,AP159,AR159,AT159,AV159,AX159,AZ159,BB159,BD159,BF159,BH159,BJ159,BL159,BN159,BP159,BR159,BT159,BV159,BX159,BZ159)</f>
        <v>0</v>
      </c>
      <c r="CC159" s="299">
        <f>SUM(Table13[[#This Row],[GOALS 1]:[ASSISTS 38]])</f>
        <v>0</v>
      </c>
    </row>
    <row r="160" spans="1:81">
      <c r="A160" s="291" t="s">
        <v>1614</v>
      </c>
      <c r="B160" s="291" t="s">
        <v>21</v>
      </c>
      <c r="C160" s="289"/>
      <c r="D160" s="286"/>
      <c r="E160" s="288"/>
      <c r="F160" s="286"/>
      <c r="G160" s="288"/>
      <c r="H160" s="286"/>
      <c r="I160" s="288"/>
      <c r="J160" s="286"/>
      <c r="K160" s="288"/>
      <c r="L160" s="286"/>
      <c r="M160" s="288"/>
      <c r="N160" s="286"/>
      <c r="O160" s="288"/>
      <c r="P160" s="286"/>
      <c r="Q160" s="288"/>
      <c r="R160" s="286"/>
      <c r="S160" s="288"/>
      <c r="T160" s="286"/>
      <c r="U160" s="288"/>
      <c r="V160" s="286"/>
      <c r="W160" s="288"/>
      <c r="X160" s="286"/>
      <c r="Y160" s="288"/>
      <c r="Z160" s="286"/>
      <c r="AA160" s="288"/>
      <c r="AB160" s="286"/>
      <c r="AC160" s="288"/>
      <c r="AD160" s="286"/>
      <c r="AE160" s="288"/>
      <c r="AF160" s="286"/>
      <c r="AG160" s="288"/>
      <c r="AH160" s="286"/>
      <c r="AI160" s="288"/>
      <c r="AJ160" s="286"/>
      <c r="AK160" s="286"/>
      <c r="AL160" s="286"/>
      <c r="AM160" s="286"/>
      <c r="AN160" s="286"/>
      <c r="AO160" s="286"/>
      <c r="AP160" s="286"/>
      <c r="AQ160" s="286"/>
      <c r="AR160" s="286"/>
      <c r="AS160" s="286"/>
      <c r="AT160" s="286"/>
      <c r="AU160" s="286"/>
      <c r="AV160" s="284"/>
      <c r="AW160" s="284"/>
      <c r="AX160" s="284"/>
      <c r="AY160" s="284"/>
      <c r="AZ160" s="284"/>
      <c r="BA160" s="284"/>
      <c r="BB160" s="284"/>
      <c r="BC160" s="284"/>
      <c r="BD160" s="284"/>
      <c r="BE160" s="284"/>
      <c r="BF160" s="284"/>
      <c r="BG160" s="284"/>
      <c r="BH160" s="284"/>
      <c r="BI160" s="284"/>
      <c r="BJ160" s="284"/>
      <c r="BK160" s="284"/>
      <c r="BL160" s="284"/>
      <c r="BM160" s="284"/>
      <c r="BN160" s="284"/>
      <c r="BO160" s="284"/>
      <c r="BP160" s="284"/>
      <c r="BQ160" s="284"/>
      <c r="BR160" s="284"/>
      <c r="BS160" s="284"/>
      <c r="BT160" s="284"/>
      <c r="BU160" s="284"/>
      <c r="BV160" s="284"/>
      <c r="BW160" s="284"/>
      <c r="BX160" s="284"/>
      <c r="BY160" s="284"/>
      <c r="BZ160" s="285"/>
      <c r="CA160" s="298">
        <f>SUM(C160,E160,G160,I160,K160,M160,O160,Q160,S160,U160,W160,Y160,AA160,AC160,AE160,AG160,AI160,AK160,AM160,AO160,AQ160,AS160,AU160,AW160,AY160,BA160,BC160,BE160,BG160,BI160,BK160,BM160,BO160,BQ160,BS160,BU160,BW160,BY160)</f>
        <v>0</v>
      </c>
      <c r="CB160" s="298">
        <f>SUM(D160,F160,H160,J160,L160,N160,P160,R160,T160,V160,X160,Z160,AB160,AD160,AF160,AH160,AJ160,AL160,AN160,AP160,AR160,AT160,AV160,AX160,AZ160,BB160,BD160,BF160,BH160,BJ160,BL160,BN160,BP160,BR160,BT160,BV160,BX160,BZ160)</f>
        <v>0</v>
      </c>
      <c r="CC160" s="299">
        <f>SUM(Table13[[#This Row],[GOALS 1]:[ASSISTS 38]])</f>
        <v>0</v>
      </c>
    </row>
    <row r="161" spans="1:81">
      <c r="A161" s="291" t="s">
        <v>1806</v>
      </c>
      <c r="B161" s="291" t="s">
        <v>51</v>
      </c>
      <c r="C161" s="286"/>
      <c r="D161" s="286"/>
      <c r="E161" s="288"/>
      <c r="F161" s="286"/>
      <c r="G161" s="288"/>
      <c r="H161" s="286"/>
      <c r="I161" s="288"/>
      <c r="J161" s="286"/>
      <c r="K161" s="288"/>
      <c r="L161" s="286"/>
      <c r="M161" s="288"/>
      <c r="N161" s="286"/>
      <c r="O161" s="288"/>
      <c r="P161" s="286"/>
      <c r="Q161" s="288"/>
      <c r="R161" s="286"/>
      <c r="S161" s="288"/>
      <c r="T161" s="286"/>
      <c r="U161" s="288"/>
      <c r="V161" s="286"/>
      <c r="W161" s="288"/>
      <c r="X161" s="286"/>
      <c r="Y161" s="288"/>
      <c r="Z161" s="286"/>
      <c r="AA161" s="288"/>
      <c r="AB161" s="286"/>
      <c r="AC161" s="288"/>
      <c r="AD161" s="286"/>
      <c r="AE161" s="288"/>
      <c r="AF161" s="286"/>
      <c r="AG161" s="288"/>
      <c r="AH161" s="286"/>
      <c r="AI161" s="288"/>
      <c r="AJ161" s="286"/>
      <c r="AK161" s="286"/>
      <c r="AL161" s="286"/>
      <c r="AM161" s="286"/>
      <c r="AN161" s="286"/>
      <c r="AO161" s="286"/>
      <c r="AP161" s="286"/>
      <c r="AQ161" s="286"/>
      <c r="AR161" s="286"/>
      <c r="AS161" s="286"/>
      <c r="AT161" s="286"/>
      <c r="AU161" s="286"/>
      <c r="AV161" s="284"/>
      <c r="AW161" s="284"/>
      <c r="AX161" s="284"/>
      <c r="AY161" s="284"/>
      <c r="AZ161" s="284"/>
      <c r="BA161" s="284"/>
      <c r="BB161" s="284"/>
      <c r="BC161" s="284"/>
      <c r="BD161" s="284"/>
      <c r="BE161" s="284"/>
      <c r="BF161" s="284"/>
      <c r="BG161" s="284"/>
      <c r="BH161" s="284"/>
      <c r="BI161" s="284"/>
      <c r="BJ161" s="284"/>
      <c r="BK161" s="284"/>
      <c r="BL161" s="284"/>
      <c r="BM161" s="284"/>
      <c r="BN161" s="284"/>
      <c r="BO161" s="284"/>
      <c r="BP161" s="284"/>
      <c r="BQ161" s="284"/>
      <c r="BR161" s="284"/>
      <c r="BS161" s="284"/>
      <c r="BT161" s="284"/>
      <c r="BU161" s="284"/>
      <c r="BV161" s="284"/>
      <c r="BW161" s="284"/>
      <c r="BX161" s="284"/>
      <c r="BY161" s="284"/>
      <c r="BZ161" s="285"/>
      <c r="CA161" s="298">
        <f>SUM(C161,E161,G161,I161,K161,M161,O161,Q161,S161,U161,W161,Y161,AA161,AC161,AE161,AG161,AI161,AK161,AM161,AO161,AQ161,AS161,AU161,AW161,AY161,BA161,BC161,BE161,BG161,BI161,BK161,BM161,BO161,BQ161,BS161,BU161,BW161,BY161)</f>
        <v>0</v>
      </c>
      <c r="CB161" s="298">
        <f>SUM(D161,F161,H161,J161,L161,N161,P161,R161,T161,V161,X161,Z161,AB161,AD161,AF161,AH161,AJ161,AL161,AN161,AP161,AR161,AT161,AV161,AX161,AZ161,BB161,BD161,BF161,BH161,BJ161,BL161,BN161,BP161,BR161,BT161,BV161,BX161,BZ161)</f>
        <v>0</v>
      </c>
      <c r="CC161" s="299">
        <f>SUM(Table13[[#This Row],[GOALS 1]:[ASSISTS 38]])</f>
        <v>0</v>
      </c>
    </row>
    <row r="162" spans="1:81">
      <c r="A162" s="291" t="s">
        <v>1435</v>
      </c>
      <c r="B162" s="291" t="s">
        <v>24</v>
      </c>
      <c r="C162" s="286"/>
      <c r="D162" s="286"/>
      <c r="E162" s="288"/>
      <c r="F162" s="286"/>
      <c r="G162" s="288"/>
      <c r="H162" s="286"/>
      <c r="I162" s="288"/>
      <c r="J162" s="286"/>
      <c r="K162" s="288"/>
      <c r="L162" s="286"/>
      <c r="M162" s="288"/>
      <c r="N162" s="286"/>
      <c r="O162" s="288"/>
      <c r="P162" s="286"/>
      <c r="Q162" s="288"/>
      <c r="R162" s="286"/>
      <c r="S162" s="288"/>
      <c r="T162" s="286"/>
      <c r="U162" s="288"/>
      <c r="V162" s="286"/>
      <c r="W162" s="288"/>
      <c r="X162" s="286"/>
      <c r="Y162" s="288"/>
      <c r="Z162" s="286"/>
      <c r="AA162" s="288"/>
      <c r="AB162" s="286"/>
      <c r="AC162" s="288"/>
      <c r="AD162" s="286"/>
      <c r="AE162" s="288"/>
      <c r="AF162" s="286"/>
      <c r="AG162" s="288"/>
      <c r="AH162" s="286"/>
      <c r="AI162" s="288"/>
      <c r="AJ162" s="286"/>
      <c r="AK162" s="286"/>
      <c r="AL162" s="286"/>
      <c r="AM162" s="286"/>
      <c r="AN162" s="286"/>
      <c r="AO162" s="286"/>
      <c r="AP162" s="286"/>
      <c r="AQ162" s="286"/>
      <c r="AR162" s="286"/>
      <c r="AS162" s="286"/>
      <c r="AT162" s="286"/>
      <c r="AU162" s="286"/>
      <c r="AV162" s="284"/>
      <c r="AW162" s="284"/>
      <c r="AX162" s="284"/>
      <c r="AY162" s="284"/>
      <c r="AZ162" s="284"/>
      <c r="BA162" s="284"/>
      <c r="BB162" s="284"/>
      <c r="BC162" s="284"/>
      <c r="BD162" s="284"/>
      <c r="BE162" s="284"/>
      <c r="BF162" s="284"/>
      <c r="BG162" s="284"/>
      <c r="BH162" s="284"/>
      <c r="BI162" s="284"/>
      <c r="BJ162" s="284"/>
      <c r="BK162" s="284"/>
      <c r="BL162" s="284"/>
      <c r="BM162" s="284"/>
      <c r="BN162" s="284"/>
      <c r="BO162" s="284"/>
      <c r="BP162" s="284"/>
      <c r="BQ162" s="284"/>
      <c r="BR162" s="284"/>
      <c r="BS162" s="284"/>
      <c r="BT162" s="284"/>
      <c r="BU162" s="284"/>
      <c r="BV162" s="284"/>
      <c r="BW162" s="284"/>
      <c r="BX162" s="284"/>
      <c r="BY162" s="284"/>
      <c r="BZ162" s="285"/>
      <c r="CA162" s="298">
        <f>SUM(C162,E162,G162,I162,K162,M162,O162,Q162,S162,U162,W162,Y162,AA162,AC162,AE162,AG162,AI162,AK162,AM162,AO162,AQ162,AS162,AU162,AW162,AY162,BA162,BC162,BE162,BG162,BI162,BK162,BM162,BO162,BQ162,BS162,BU162,BW162,BY162)</f>
        <v>0</v>
      </c>
      <c r="CB162" s="298">
        <f>SUM(D162,F162,H162,J162,L162,N162,P162,R162,T162,V162,X162,Z162,AB162,AD162,AF162,AH162,AJ162,AL162,AN162,AP162,AR162,AT162,AV162,AX162,AZ162,BB162,BD162,BF162,BH162,BJ162,BL162,BN162,BP162,BR162,BT162,BV162,BX162,BZ162)</f>
        <v>0</v>
      </c>
      <c r="CC162" s="299">
        <f>SUM(Table13[[#This Row],[GOALS 1]:[ASSISTS 38]])</f>
        <v>0</v>
      </c>
    </row>
    <row r="163" spans="1:81">
      <c r="A163" s="291" t="s">
        <v>1482</v>
      </c>
      <c r="B163" s="291" t="s">
        <v>33</v>
      </c>
      <c r="C163" s="289"/>
      <c r="D163" s="286"/>
      <c r="E163" s="288"/>
      <c r="F163" s="286"/>
      <c r="G163" s="288"/>
      <c r="H163" s="286"/>
      <c r="I163" s="288"/>
      <c r="J163" s="286"/>
      <c r="K163" s="288"/>
      <c r="L163" s="286"/>
      <c r="M163" s="288"/>
      <c r="N163" s="286"/>
      <c r="O163" s="288"/>
      <c r="P163" s="286"/>
      <c r="Q163" s="288"/>
      <c r="R163" s="286"/>
      <c r="S163" s="288"/>
      <c r="T163" s="286"/>
      <c r="U163" s="288"/>
      <c r="V163" s="286"/>
      <c r="W163" s="288"/>
      <c r="X163" s="286"/>
      <c r="Y163" s="288"/>
      <c r="Z163" s="286"/>
      <c r="AA163" s="288"/>
      <c r="AB163" s="286"/>
      <c r="AC163" s="288"/>
      <c r="AD163" s="286"/>
      <c r="AE163" s="288"/>
      <c r="AF163" s="286"/>
      <c r="AG163" s="288"/>
      <c r="AH163" s="286"/>
      <c r="AI163" s="288"/>
      <c r="AJ163" s="286"/>
      <c r="AK163" s="286"/>
      <c r="AL163" s="286"/>
      <c r="AM163" s="286"/>
      <c r="AN163" s="286"/>
      <c r="AO163" s="286"/>
      <c r="AP163" s="286"/>
      <c r="AQ163" s="286"/>
      <c r="AR163" s="286"/>
      <c r="AS163" s="286"/>
      <c r="AT163" s="286"/>
      <c r="AU163" s="286"/>
      <c r="AV163" s="284"/>
      <c r="AW163" s="284"/>
      <c r="AX163" s="284"/>
      <c r="AY163" s="284"/>
      <c r="AZ163" s="284"/>
      <c r="BA163" s="284"/>
      <c r="BB163" s="284"/>
      <c r="BC163" s="284"/>
      <c r="BD163" s="284"/>
      <c r="BE163" s="284"/>
      <c r="BF163" s="284"/>
      <c r="BG163" s="284"/>
      <c r="BH163" s="284"/>
      <c r="BI163" s="284"/>
      <c r="BJ163" s="284"/>
      <c r="BK163" s="284"/>
      <c r="BL163" s="284"/>
      <c r="BM163" s="284"/>
      <c r="BN163" s="284"/>
      <c r="BO163" s="284"/>
      <c r="BP163" s="284"/>
      <c r="BQ163" s="284"/>
      <c r="BR163" s="284"/>
      <c r="BS163" s="284"/>
      <c r="BT163" s="284"/>
      <c r="BU163" s="284"/>
      <c r="BV163" s="284"/>
      <c r="BW163" s="284"/>
      <c r="BX163" s="284"/>
      <c r="BY163" s="284"/>
      <c r="BZ163" s="285"/>
      <c r="CA163" s="298">
        <f>SUM(C163,E163,G163,I163,K163,M163,O163,Q163,S163,U163,W163,Y163,AA163,AC163,AE163,AG163,AI163,AK163,AM163,AO163,AQ163,AS163,AU163,AW163,AY163,BA163,BC163,BE163,BG163,BI163,BK163,BM163,BO163,BQ163,BS163,BU163,BW163,BY163)</f>
        <v>0</v>
      </c>
      <c r="CB163" s="298">
        <f>SUM(D163,F163,H163,J163,L163,N163,P163,R163,T163,V163,X163,Z163,AB163,AD163,AF163,AH163,AJ163,AL163,AN163,AP163,AR163,AT163,AV163,AX163,AZ163,BB163,BD163,BF163,BH163,BJ163,BL163,BN163,BP163,BR163,BT163,BV163,BX163,BZ163)</f>
        <v>0</v>
      </c>
      <c r="CC163" s="299">
        <f>SUM(Table13[[#This Row],[GOALS 1]:[ASSISTS 38]])</f>
        <v>0</v>
      </c>
    </row>
    <row r="164" spans="1:81">
      <c r="A164" s="291" t="s">
        <v>1438</v>
      </c>
      <c r="B164" s="291" t="s">
        <v>30</v>
      </c>
      <c r="C164" s="286"/>
      <c r="D164" s="286"/>
      <c r="E164" s="288"/>
      <c r="F164" s="286"/>
      <c r="G164" s="288"/>
      <c r="H164" s="286"/>
      <c r="I164" s="288"/>
      <c r="J164" s="286"/>
      <c r="K164" s="288"/>
      <c r="L164" s="286"/>
      <c r="M164" s="288"/>
      <c r="N164" s="286"/>
      <c r="O164" s="288"/>
      <c r="P164" s="286"/>
      <c r="Q164" s="288"/>
      <c r="R164" s="286"/>
      <c r="S164" s="288"/>
      <c r="T164" s="286"/>
      <c r="U164" s="288"/>
      <c r="V164" s="286"/>
      <c r="W164" s="288"/>
      <c r="X164" s="286"/>
      <c r="Y164" s="288"/>
      <c r="Z164" s="286"/>
      <c r="AA164" s="288"/>
      <c r="AB164" s="286"/>
      <c r="AC164" s="288"/>
      <c r="AD164" s="286"/>
      <c r="AE164" s="288"/>
      <c r="AF164" s="286"/>
      <c r="AG164" s="288"/>
      <c r="AH164" s="286"/>
      <c r="AI164" s="288"/>
      <c r="AJ164" s="286"/>
      <c r="AK164" s="286"/>
      <c r="AL164" s="286"/>
      <c r="AM164" s="286"/>
      <c r="AN164" s="286"/>
      <c r="AO164" s="286"/>
      <c r="AP164" s="286"/>
      <c r="AQ164" s="286"/>
      <c r="AR164" s="286"/>
      <c r="AS164" s="286"/>
      <c r="AT164" s="286"/>
      <c r="AU164" s="286"/>
      <c r="AV164" s="284"/>
      <c r="AW164" s="284"/>
      <c r="AX164" s="284"/>
      <c r="AY164" s="284"/>
      <c r="AZ164" s="284"/>
      <c r="BA164" s="284"/>
      <c r="BB164" s="284"/>
      <c r="BC164" s="284"/>
      <c r="BD164" s="284"/>
      <c r="BE164" s="284"/>
      <c r="BF164" s="284"/>
      <c r="BG164" s="284"/>
      <c r="BH164" s="284"/>
      <c r="BI164" s="284"/>
      <c r="BJ164" s="284"/>
      <c r="BK164" s="284"/>
      <c r="BL164" s="284"/>
      <c r="BM164" s="284"/>
      <c r="BN164" s="284"/>
      <c r="BO164" s="284"/>
      <c r="BP164" s="284"/>
      <c r="BQ164" s="284"/>
      <c r="BR164" s="284"/>
      <c r="BS164" s="284"/>
      <c r="BT164" s="284"/>
      <c r="BU164" s="284"/>
      <c r="BV164" s="284"/>
      <c r="BW164" s="284"/>
      <c r="BX164" s="284"/>
      <c r="BY164" s="284"/>
      <c r="BZ164" s="285"/>
      <c r="CA164" s="298">
        <f>SUM(C164,E164,G164,I164,K164,M164,O164,Q164,S164,U164,W164,Y164,AA164,AC164,AE164,AG164,AI164,AK164,AM164,AO164,AQ164,AS164,AU164,AW164,AY164,BA164,BC164,BE164,BG164,BI164,BK164,BM164,BO164,BQ164,BS164,BU164,BW164,BY164)</f>
        <v>0</v>
      </c>
      <c r="CB164" s="298">
        <f>SUM(D164,F164,H164,J164,L164,N164,P164,R164,T164,V164,X164,Z164,AB164,AD164,AF164,AH164,AJ164,AL164,AN164,AP164,AR164,AT164,AV164,AX164,AZ164,BB164,BD164,BF164,BH164,BJ164,BL164,BN164,BP164,BR164,BT164,BV164,BX164,BZ164)</f>
        <v>0</v>
      </c>
      <c r="CC164" s="299">
        <f>SUM(Table13[[#This Row],[GOALS 1]:[ASSISTS 38]])</f>
        <v>0</v>
      </c>
    </row>
    <row r="165" spans="1:81">
      <c r="A165" s="291" t="s">
        <v>1514</v>
      </c>
      <c r="B165" s="291" t="s">
        <v>33</v>
      </c>
      <c r="C165" s="289"/>
      <c r="D165" s="286"/>
      <c r="E165" s="288"/>
      <c r="F165" s="286"/>
      <c r="G165" s="288"/>
      <c r="H165" s="286"/>
      <c r="I165" s="288"/>
      <c r="J165" s="286"/>
      <c r="K165" s="288"/>
      <c r="L165" s="286"/>
      <c r="M165" s="288"/>
      <c r="N165" s="286"/>
      <c r="O165" s="288"/>
      <c r="P165" s="286"/>
      <c r="Q165" s="288"/>
      <c r="R165" s="286"/>
      <c r="S165" s="288"/>
      <c r="T165" s="286"/>
      <c r="U165" s="288"/>
      <c r="V165" s="286"/>
      <c r="W165" s="288"/>
      <c r="X165" s="286"/>
      <c r="Y165" s="288"/>
      <c r="Z165" s="286"/>
      <c r="AA165" s="288"/>
      <c r="AB165" s="286"/>
      <c r="AC165" s="288"/>
      <c r="AD165" s="286"/>
      <c r="AE165" s="288"/>
      <c r="AF165" s="286"/>
      <c r="AG165" s="288"/>
      <c r="AH165" s="286"/>
      <c r="AI165" s="288"/>
      <c r="AJ165" s="286"/>
      <c r="AK165" s="286"/>
      <c r="AL165" s="286"/>
      <c r="AM165" s="286"/>
      <c r="AN165" s="286"/>
      <c r="AO165" s="286"/>
      <c r="AP165" s="286"/>
      <c r="AQ165" s="286"/>
      <c r="AR165" s="286"/>
      <c r="AS165" s="286"/>
      <c r="AT165" s="286"/>
      <c r="AU165" s="286"/>
      <c r="AV165" s="284"/>
      <c r="AW165" s="284"/>
      <c r="AX165" s="284"/>
      <c r="AY165" s="284"/>
      <c r="AZ165" s="284"/>
      <c r="BA165" s="284"/>
      <c r="BB165" s="284"/>
      <c r="BC165" s="284"/>
      <c r="BD165" s="284"/>
      <c r="BE165" s="284"/>
      <c r="BF165" s="284"/>
      <c r="BG165" s="284"/>
      <c r="BH165" s="284"/>
      <c r="BI165" s="284"/>
      <c r="BJ165" s="284"/>
      <c r="BK165" s="284"/>
      <c r="BL165" s="284"/>
      <c r="BM165" s="284"/>
      <c r="BN165" s="284"/>
      <c r="BO165" s="284"/>
      <c r="BP165" s="284"/>
      <c r="BQ165" s="284"/>
      <c r="BR165" s="284"/>
      <c r="BS165" s="284"/>
      <c r="BT165" s="284"/>
      <c r="BU165" s="284"/>
      <c r="BV165" s="284"/>
      <c r="BW165" s="284"/>
      <c r="BX165" s="284"/>
      <c r="BY165" s="284"/>
      <c r="BZ165" s="285"/>
      <c r="CA165" s="298">
        <f>SUM(C165,E165,G165,I165,K165,M165,O165,Q165,S165,U165,W165,Y165,AA165,AC165,AE165,AG165,AI165,AK165,AM165,AO165,AQ165,AS165,AU165,AW165,AY165,BA165,BC165,BE165,BG165,BI165,BK165,BM165,BO165,BQ165,BS165,BU165,BW165,BY165)</f>
        <v>0</v>
      </c>
      <c r="CB165" s="298">
        <f>SUM(D165,F165,H165,J165,L165,N165,P165,R165,T165,V165,X165,Z165,AB165,AD165,AF165,AH165,AJ165,AL165,AN165,AP165,AR165,AT165,AV165,AX165,AZ165,BB165,BD165,BF165,BH165,BJ165,BL165,BN165,BP165,BR165,BT165,BV165,BX165,BZ165)</f>
        <v>0</v>
      </c>
      <c r="CC165" s="299">
        <f>SUM(Table13[[#This Row],[GOALS 1]:[ASSISTS 38]])</f>
        <v>0</v>
      </c>
    </row>
    <row r="166" spans="1:81">
      <c r="A166" s="291" t="s">
        <v>1854</v>
      </c>
      <c r="B166" s="291" t="s">
        <v>33</v>
      </c>
      <c r="C166" s="289"/>
      <c r="D166" s="286"/>
      <c r="E166" s="288"/>
      <c r="F166" s="286"/>
      <c r="G166" s="288"/>
      <c r="H166" s="286"/>
      <c r="I166" s="288"/>
      <c r="J166" s="286"/>
      <c r="K166" s="288"/>
      <c r="L166" s="286"/>
      <c r="M166" s="288"/>
      <c r="N166" s="286"/>
      <c r="O166" s="288"/>
      <c r="P166" s="286"/>
      <c r="Q166" s="288"/>
      <c r="R166" s="286"/>
      <c r="S166" s="288"/>
      <c r="T166" s="286"/>
      <c r="U166" s="288"/>
      <c r="V166" s="286"/>
      <c r="W166" s="288"/>
      <c r="X166" s="286"/>
      <c r="Y166" s="288"/>
      <c r="Z166" s="286"/>
      <c r="AA166" s="288"/>
      <c r="AB166" s="286"/>
      <c r="AC166" s="288"/>
      <c r="AD166" s="286"/>
      <c r="AE166" s="288"/>
      <c r="AF166" s="286"/>
      <c r="AG166" s="288"/>
      <c r="AH166" s="286"/>
      <c r="AI166" s="288"/>
      <c r="AJ166" s="286"/>
      <c r="AK166" s="286"/>
      <c r="AL166" s="286"/>
      <c r="AM166" s="286"/>
      <c r="AN166" s="286"/>
      <c r="AO166" s="286"/>
      <c r="AP166" s="286"/>
      <c r="AQ166" s="286"/>
      <c r="AR166" s="286"/>
      <c r="AS166" s="286"/>
      <c r="AT166" s="286"/>
      <c r="AU166" s="286"/>
      <c r="AV166" s="284"/>
      <c r="AW166" s="284"/>
      <c r="AX166" s="284"/>
      <c r="AY166" s="284"/>
      <c r="AZ166" s="284"/>
      <c r="BA166" s="284"/>
      <c r="BB166" s="284"/>
      <c r="BC166" s="284"/>
      <c r="BD166" s="284"/>
      <c r="BE166" s="284"/>
      <c r="BF166" s="284"/>
      <c r="BG166" s="284"/>
      <c r="BH166" s="284"/>
      <c r="BI166" s="284"/>
      <c r="BJ166" s="284"/>
      <c r="BK166" s="284"/>
      <c r="BL166" s="284"/>
      <c r="BM166" s="284"/>
      <c r="BN166" s="284"/>
      <c r="BO166" s="284"/>
      <c r="BP166" s="284"/>
      <c r="BQ166" s="284"/>
      <c r="BR166" s="284"/>
      <c r="BS166" s="284"/>
      <c r="BT166" s="284"/>
      <c r="BU166" s="284"/>
      <c r="BV166" s="284"/>
      <c r="BW166" s="284"/>
      <c r="BX166" s="284"/>
      <c r="BY166" s="284"/>
      <c r="BZ166" s="285"/>
      <c r="CA166" s="298">
        <f>SUM(C166,E166,G166,I166,K166,M166,O166,Q166,S166,U166,W166,Y166,AA166,AC166,AE166,AG166,AI166,AK166,AM166,AO166,AQ166,AS166,AU166,AW166,AY166,BA166,BC166,BE166,BG166,BI166,BK166,BM166,BO166,BQ166,BS166,BU166,BW166,BY166)</f>
        <v>0</v>
      </c>
      <c r="CB166" s="298">
        <f>SUM(D166,F166,H166,J166,L166,N166,P166,R166,T166,V166,X166,Z166,AB166,AD166,AF166,AH166,AJ166,AL166,AN166,AP166,AR166,AT166,AV166,AX166,AZ166,BB166,BD166,BF166,BH166,BJ166,BL166,BN166,BP166,BR166,BT166,BV166,BX166,BZ166)</f>
        <v>0</v>
      </c>
      <c r="CC166" s="299">
        <f>SUM(Table13[[#This Row],[GOALS 1]:[ASSISTS 38]])</f>
        <v>0</v>
      </c>
    </row>
    <row r="167" spans="1:81">
      <c r="A167" s="291" t="s">
        <v>1605</v>
      </c>
      <c r="B167" s="291" t="s">
        <v>26</v>
      </c>
      <c r="C167" s="286"/>
      <c r="D167" s="286"/>
      <c r="E167" s="288"/>
      <c r="F167" s="286"/>
      <c r="G167" s="288"/>
      <c r="H167" s="286"/>
      <c r="I167" s="288"/>
      <c r="J167" s="286"/>
      <c r="K167" s="288"/>
      <c r="L167" s="286"/>
      <c r="M167" s="288"/>
      <c r="N167" s="286"/>
      <c r="O167" s="288"/>
      <c r="P167" s="286"/>
      <c r="Q167" s="288"/>
      <c r="R167" s="286"/>
      <c r="S167" s="288"/>
      <c r="T167" s="286"/>
      <c r="U167" s="288"/>
      <c r="V167" s="286"/>
      <c r="W167" s="288"/>
      <c r="X167" s="286"/>
      <c r="Y167" s="288"/>
      <c r="Z167" s="286"/>
      <c r="AA167" s="288"/>
      <c r="AB167" s="286"/>
      <c r="AC167" s="288"/>
      <c r="AD167" s="286"/>
      <c r="AE167" s="288"/>
      <c r="AF167" s="286"/>
      <c r="AG167" s="288"/>
      <c r="AH167" s="286"/>
      <c r="AI167" s="288"/>
      <c r="AJ167" s="286"/>
      <c r="AK167" s="286"/>
      <c r="AL167" s="286"/>
      <c r="AM167" s="286"/>
      <c r="AN167" s="286"/>
      <c r="AO167" s="286"/>
      <c r="AP167" s="286"/>
      <c r="AQ167" s="286"/>
      <c r="AR167" s="286"/>
      <c r="AS167" s="286"/>
      <c r="AT167" s="286"/>
      <c r="AU167" s="286"/>
      <c r="AV167" s="284"/>
      <c r="AW167" s="284"/>
      <c r="AX167" s="284"/>
      <c r="AY167" s="284"/>
      <c r="AZ167" s="284"/>
      <c r="BA167" s="284"/>
      <c r="BB167" s="284"/>
      <c r="BC167" s="284"/>
      <c r="BD167" s="284"/>
      <c r="BE167" s="284"/>
      <c r="BF167" s="284"/>
      <c r="BG167" s="284"/>
      <c r="BH167" s="284"/>
      <c r="BI167" s="284"/>
      <c r="BJ167" s="284"/>
      <c r="BK167" s="284"/>
      <c r="BL167" s="284"/>
      <c r="BM167" s="284"/>
      <c r="BN167" s="284"/>
      <c r="BO167" s="284"/>
      <c r="BP167" s="284"/>
      <c r="BQ167" s="284"/>
      <c r="BR167" s="284"/>
      <c r="BS167" s="284"/>
      <c r="BT167" s="284"/>
      <c r="BU167" s="284"/>
      <c r="BV167" s="284"/>
      <c r="BW167" s="284"/>
      <c r="BX167" s="284"/>
      <c r="BY167" s="284"/>
      <c r="BZ167" s="285"/>
      <c r="CA167" s="298">
        <f>SUM(C167,E167,G167,I167,K167,M167,O167,Q167,S167,U167,W167,Y167,AA167,AC167,AE167,AG167,AI167,AK167,AM167,AO167,AQ167,AS167,AU167,AW167,AY167,BA167,BC167,BE167,BG167,BI167,BK167,BM167,BO167,BQ167,BS167,BU167,BW167,BY167)</f>
        <v>0</v>
      </c>
      <c r="CB167" s="298">
        <f>SUM(D167,F167,H167,J167,L167,N167,P167,R167,T167,V167,X167,Z167,AB167,AD167,AF167,AH167,AJ167,AL167,AN167,AP167,AR167,AT167,AV167,AX167,AZ167,BB167,BD167,BF167,BH167,BJ167,BL167,BN167,BP167,BR167,BT167,BV167,BX167,BZ167)</f>
        <v>0</v>
      </c>
      <c r="CC167" s="299">
        <f>SUM(Table13[[#This Row],[GOALS 1]:[ASSISTS 38]])</f>
        <v>0</v>
      </c>
    </row>
    <row r="168" spans="1:81">
      <c r="A168" s="291" t="s">
        <v>1626</v>
      </c>
      <c r="B168" s="291" t="s">
        <v>30</v>
      </c>
      <c r="C168" s="286"/>
      <c r="D168" s="286"/>
      <c r="E168" s="288"/>
      <c r="F168" s="286"/>
      <c r="G168" s="288"/>
      <c r="H168" s="286"/>
      <c r="I168" s="288"/>
      <c r="J168" s="286"/>
      <c r="K168" s="288"/>
      <c r="L168" s="286"/>
      <c r="M168" s="288"/>
      <c r="N168" s="286"/>
      <c r="O168" s="288"/>
      <c r="P168" s="286"/>
      <c r="Q168" s="288"/>
      <c r="R168" s="286"/>
      <c r="S168" s="288"/>
      <c r="T168" s="286"/>
      <c r="U168" s="288"/>
      <c r="V168" s="286"/>
      <c r="W168" s="288"/>
      <c r="X168" s="286"/>
      <c r="Y168" s="288"/>
      <c r="Z168" s="286"/>
      <c r="AA168" s="288"/>
      <c r="AB168" s="286"/>
      <c r="AC168" s="288"/>
      <c r="AD168" s="286"/>
      <c r="AE168" s="288"/>
      <c r="AF168" s="286"/>
      <c r="AG168" s="288"/>
      <c r="AH168" s="286"/>
      <c r="AI168" s="288"/>
      <c r="AJ168" s="286"/>
      <c r="AK168" s="286"/>
      <c r="AL168" s="286"/>
      <c r="AM168" s="286"/>
      <c r="AN168" s="286"/>
      <c r="AO168" s="286"/>
      <c r="AP168" s="286"/>
      <c r="AQ168" s="286"/>
      <c r="AR168" s="286"/>
      <c r="AS168" s="286"/>
      <c r="AT168" s="286"/>
      <c r="AU168" s="286"/>
      <c r="AV168" s="284"/>
      <c r="AW168" s="284"/>
      <c r="AX168" s="284"/>
      <c r="AY168" s="284"/>
      <c r="AZ168" s="284"/>
      <c r="BA168" s="284"/>
      <c r="BB168" s="284"/>
      <c r="BC168" s="284"/>
      <c r="BD168" s="284"/>
      <c r="BE168" s="284"/>
      <c r="BF168" s="284"/>
      <c r="BG168" s="284"/>
      <c r="BH168" s="284"/>
      <c r="BI168" s="284"/>
      <c r="BJ168" s="284"/>
      <c r="BK168" s="284"/>
      <c r="BL168" s="284"/>
      <c r="BM168" s="284"/>
      <c r="BN168" s="284"/>
      <c r="BO168" s="284"/>
      <c r="BP168" s="284"/>
      <c r="BQ168" s="284"/>
      <c r="BR168" s="284"/>
      <c r="BS168" s="284"/>
      <c r="BT168" s="284"/>
      <c r="BU168" s="284"/>
      <c r="BV168" s="284"/>
      <c r="BW168" s="284"/>
      <c r="BX168" s="284"/>
      <c r="BY168" s="284"/>
      <c r="BZ168" s="285"/>
      <c r="CA168" s="298">
        <f>SUM(C168,E168,G168,I168,K168,M168,O168,Q168,S168,U168,W168,Y168,AA168,AC168,AE168,AG168,AI168,AK168,AM168,AO168,AQ168,AS168,AU168,AW168,AY168,BA168,BC168,BE168,BG168,BI168,BK168,BM168,BO168,BQ168,BS168,BU168,BW168,BY168)</f>
        <v>0</v>
      </c>
      <c r="CB168" s="298">
        <f>SUM(D168,F168,H168,J168,L168,N168,P168,R168,T168,V168,X168,Z168,AB168,AD168,AF168,AH168,AJ168,AL168,AN168,AP168,AR168,AT168,AV168,AX168,AZ168,BB168,BD168,BF168,BH168,BJ168,BL168,BN168,BP168,BR168,BT168,BV168,BX168,BZ168)</f>
        <v>0</v>
      </c>
      <c r="CC168" s="299">
        <f>SUM(Table13[[#This Row],[GOALS 1]:[ASSISTS 38]])</f>
        <v>0</v>
      </c>
    </row>
    <row r="169" spans="1:81">
      <c r="A169" s="291" t="s">
        <v>1834</v>
      </c>
      <c r="B169" s="291" t="s">
        <v>43</v>
      </c>
      <c r="C169" s="286"/>
      <c r="D169" s="286"/>
      <c r="E169" s="288"/>
      <c r="F169" s="286"/>
      <c r="G169" s="288"/>
      <c r="H169" s="286"/>
      <c r="I169" s="288"/>
      <c r="J169" s="286"/>
      <c r="K169" s="288"/>
      <c r="L169" s="286"/>
      <c r="M169" s="288"/>
      <c r="N169" s="286"/>
      <c r="O169" s="288"/>
      <c r="P169" s="286"/>
      <c r="Q169" s="288"/>
      <c r="R169" s="286"/>
      <c r="S169" s="288"/>
      <c r="T169" s="286"/>
      <c r="U169" s="288"/>
      <c r="V169" s="286"/>
      <c r="W169" s="288"/>
      <c r="X169" s="286"/>
      <c r="Y169" s="288"/>
      <c r="Z169" s="286"/>
      <c r="AA169" s="288"/>
      <c r="AB169" s="286"/>
      <c r="AC169" s="288"/>
      <c r="AD169" s="286"/>
      <c r="AE169" s="288"/>
      <c r="AF169" s="286"/>
      <c r="AG169" s="288"/>
      <c r="AH169" s="286"/>
      <c r="AI169" s="288"/>
      <c r="AJ169" s="286"/>
      <c r="AK169" s="286"/>
      <c r="AL169" s="286"/>
      <c r="AM169" s="286"/>
      <c r="AN169" s="286"/>
      <c r="AO169" s="286"/>
      <c r="AP169" s="286"/>
      <c r="AQ169" s="286"/>
      <c r="AR169" s="286"/>
      <c r="AS169" s="286"/>
      <c r="AT169" s="286"/>
      <c r="AU169" s="286"/>
      <c r="AV169" s="284"/>
      <c r="AW169" s="284"/>
      <c r="AX169" s="284"/>
      <c r="AY169" s="284"/>
      <c r="AZ169" s="284"/>
      <c r="BA169" s="284"/>
      <c r="BB169" s="284"/>
      <c r="BC169" s="284"/>
      <c r="BD169" s="284"/>
      <c r="BE169" s="284"/>
      <c r="BF169" s="284"/>
      <c r="BG169" s="284"/>
      <c r="BH169" s="284"/>
      <c r="BI169" s="284"/>
      <c r="BJ169" s="284"/>
      <c r="BK169" s="284"/>
      <c r="BL169" s="284"/>
      <c r="BM169" s="284"/>
      <c r="BN169" s="284"/>
      <c r="BO169" s="284"/>
      <c r="BP169" s="284"/>
      <c r="BQ169" s="284"/>
      <c r="BR169" s="284"/>
      <c r="BS169" s="284"/>
      <c r="BT169" s="284"/>
      <c r="BU169" s="284"/>
      <c r="BV169" s="284"/>
      <c r="BW169" s="284"/>
      <c r="BX169" s="284"/>
      <c r="BY169" s="284"/>
      <c r="BZ169" s="285"/>
      <c r="CA169" s="298">
        <f>SUM(C169,E169,G169,I169,K169,M169,O169,Q169,S169,U169,W169,Y169,AA169,AC169,AE169,AG169,AI169,AK169,AM169,AO169,AQ169,AS169,AU169,AW169,AY169,BA169,BC169,BE169,BG169,BI169,BK169,BM169,BO169,BQ169,BS169,BU169,BW169,BY169)</f>
        <v>0</v>
      </c>
      <c r="CB169" s="298">
        <f>SUM(D169,F169,H169,J169,L169,N169,P169,R169,T169,V169,X169,Z169,AB169,AD169,AF169,AH169,AJ169,AL169,AN169,AP169,AR169,AT169,AV169,AX169,AZ169,BB169,BD169,BF169,BH169,BJ169,BL169,BN169,BP169,BR169,BT169,BV169,BX169,BZ169)</f>
        <v>0</v>
      </c>
      <c r="CC169" s="299">
        <f>SUM(Table13[[#This Row],[GOALS 1]:[ASSISTS 38]])</f>
        <v>0</v>
      </c>
    </row>
    <row r="170" spans="1:81">
      <c r="A170" s="291" t="s">
        <v>1637</v>
      </c>
      <c r="B170" s="291" t="s">
        <v>26</v>
      </c>
      <c r="C170" s="286"/>
      <c r="D170" s="286"/>
      <c r="E170" s="288"/>
      <c r="F170" s="286"/>
      <c r="G170" s="288"/>
      <c r="H170" s="286"/>
      <c r="I170" s="288"/>
      <c r="J170" s="286"/>
      <c r="K170" s="288"/>
      <c r="L170" s="286"/>
      <c r="M170" s="288"/>
      <c r="N170" s="286"/>
      <c r="O170" s="288"/>
      <c r="P170" s="286"/>
      <c r="Q170" s="288"/>
      <c r="R170" s="286"/>
      <c r="S170" s="288"/>
      <c r="T170" s="286"/>
      <c r="U170" s="288"/>
      <c r="V170" s="286"/>
      <c r="W170" s="288"/>
      <c r="X170" s="286"/>
      <c r="Y170" s="288"/>
      <c r="Z170" s="286"/>
      <c r="AA170" s="288"/>
      <c r="AB170" s="286"/>
      <c r="AC170" s="288"/>
      <c r="AD170" s="286"/>
      <c r="AE170" s="288"/>
      <c r="AF170" s="286"/>
      <c r="AG170" s="288"/>
      <c r="AH170" s="286"/>
      <c r="AI170" s="288"/>
      <c r="AJ170" s="286"/>
      <c r="AK170" s="286"/>
      <c r="AL170" s="286"/>
      <c r="AM170" s="286"/>
      <c r="AN170" s="286"/>
      <c r="AO170" s="286"/>
      <c r="AP170" s="286"/>
      <c r="AQ170" s="286"/>
      <c r="AR170" s="286"/>
      <c r="AS170" s="286"/>
      <c r="AT170" s="286"/>
      <c r="AU170" s="286"/>
      <c r="AV170" s="284"/>
      <c r="AW170" s="284"/>
      <c r="AX170" s="284"/>
      <c r="AY170" s="284"/>
      <c r="AZ170" s="284"/>
      <c r="BA170" s="284"/>
      <c r="BB170" s="284"/>
      <c r="BC170" s="284"/>
      <c r="BD170" s="284"/>
      <c r="BE170" s="284"/>
      <c r="BF170" s="284"/>
      <c r="BG170" s="284"/>
      <c r="BH170" s="284"/>
      <c r="BI170" s="284"/>
      <c r="BJ170" s="284"/>
      <c r="BK170" s="284"/>
      <c r="BL170" s="284"/>
      <c r="BM170" s="284"/>
      <c r="BN170" s="284"/>
      <c r="BO170" s="284"/>
      <c r="BP170" s="284"/>
      <c r="BQ170" s="284"/>
      <c r="BR170" s="284"/>
      <c r="BS170" s="284"/>
      <c r="BT170" s="284"/>
      <c r="BU170" s="284"/>
      <c r="BV170" s="284"/>
      <c r="BW170" s="284"/>
      <c r="BX170" s="284"/>
      <c r="BY170" s="284"/>
      <c r="BZ170" s="285"/>
      <c r="CA170" s="298">
        <f>SUM(C170,E170,G170,I170,K170,M170,O170,Q170,S170,U170,W170,Y170,AA170,AC170,AE170,AG170,AI170,AK170,AM170,AO170,AQ170,AS170,AU170,AW170,AY170,BA170,BC170,BE170,BG170,BI170,BK170,BM170,BO170,BQ170,BS170,BU170,BW170,BY170)</f>
        <v>0</v>
      </c>
      <c r="CB170" s="298">
        <f>SUM(D170,F170,H170,J170,L170,N170,P170,R170,T170,V170,X170,Z170,AB170,AD170,AF170,AH170,AJ170,AL170,AN170,AP170,AR170,AT170,AV170,AX170,AZ170,BB170,BD170,BF170,BH170,BJ170,BL170,BN170,BP170,BR170,BT170,BV170,BX170,BZ170)</f>
        <v>0</v>
      </c>
      <c r="CC170" s="299">
        <f>SUM(Table13[[#This Row],[GOALS 1]:[ASSISTS 38]])</f>
        <v>0</v>
      </c>
    </row>
    <row r="171" spans="1:81">
      <c r="A171" s="291" t="s">
        <v>1589</v>
      </c>
      <c r="B171" s="291" t="s">
        <v>634</v>
      </c>
      <c r="C171" s="288"/>
      <c r="D171" s="286"/>
      <c r="E171" s="288"/>
      <c r="F171" s="286"/>
      <c r="G171" s="288"/>
      <c r="H171" s="286"/>
      <c r="I171" s="288"/>
      <c r="J171" s="286"/>
      <c r="K171" s="288"/>
      <c r="L171" s="286"/>
      <c r="M171" s="288"/>
      <c r="N171" s="286"/>
      <c r="O171" s="288"/>
      <c r="P171" s="286"/>
      <c r="Q171" s="288"/>
      <c r="R171" s="286"/>
      <c r="S171" s="288"/>
      <c r="T171" s="286"/>
      <c r="U171" s="288"/>
      <c r="V171" s="286"/>
      <c r="W171" s="288"/>
      <c r="X171" s="286"/>
      <c r="Y171" s="288"/>
      <c r="Z171" s="286"/>
      <c r="AA171" s="288"/>
      <c r="AB171" s="286"/>
      <c r="AC171" s="288"/>
      <c r="AD171" s="286"/>
      <c r="AE171" s="288"/>
      <c r="AF171" s="286"/>
      <c r="AG171" s="288"/>
      <c r="AH171" s="286"/>
      <c r="AI171" s="288"/>
      <c r="AJ171" s="286"/>
      <c r="AK171" s="286"/>
      <c r="AL171" s="286"/>
      <c r="AM171" s="286"/>
      <c r="AN171" s="286"/>
      <c r="AO171" s="286"/>
      <c r="AP171" s="286"/>
      <c r="AQ171" s="286"/>
      <c r="AR171" s="286"/>
      <c r="AS171" s="286"/>
      <c r="AT171" s="286"/>
      <c r="AU171" s="286"/>
      <c r="AV171" s="284"/>
      <c r="AW171" s="284"/>
      <c r="AX171" s="284"/>
      <c r="AY171" s="284"/>
      <c r="AZ171" s="284"/>
      <c r="BA171" s="284"/>
      <c r="BB171" s="284"/>
      <c r="BC171" s="284"/>
      <c r="BD171" s="284"/>
      <c r="BE171" s="284"/>
      <c r="BF171" s="284"/>
      <c r="BG171" s="284"/>
      <c r="BH171" s="284"/>
      <c r="BI171" s="284"/>
      <c r="BJ171" s="284"/>
      <c r="BK171" s="284"/>
      <c r="BL171" s="284"/>
      <c r="BM171" s="284"/>
      <c r="BN171" s="284"/>
      <c r="BO171" s="284"/>
      <c r="BP171" s="284"/>
      <c r="BQ171" s="284"/>
      <c r="BR171" s="284"/>
      <c r="BS171" s="284"/>
      <c r="BT171" s="284"/>
      <c r="BU171" s="284"/>
      <c r="BV171" s="284"/>
      <c r="BW171" s="284"/>
      <c r="BX171" s="284"/>
      <c r="BY171" s="284"/>
      <c r="BZ171" s="285"/>
      <c r="CA171" s="298">
        <f>SUM(C171,E171,G171,I171,K171,M171,O171,Q171,S171,U171,W171,Y171,AA171,AC171,AE171,AG171,AI171,AK171,AM171,AO171,AQ171,AS171,AU171,AW171,AY171,BA171,BC171,BE171,BG171,BI171,BK171,BM171,BO171,BQ171,BS171,BU171,BW171,BY171)</f>
        <v>0</v>
      </c>
      <c r="CB171" s="298">
        <f>SUM(D171,F171,H171,J171,L171,N171,P171,R171,T171,V171,X171,Z171,AB171,AD171,AF171,AH171,AJ171,AL171,AN171,AP171,AR171,AT171,AV171,AX171,AZ171,BB171,BD171,BF171,BH171,BJ171,BL171,BN171,BP171,BR171,BT171,BV171,BX171,BZ171)</f>
        <v>0</v>
      </c>
      <c r="CC171" s="299">
        <f>SUM(Table13[[#This Row],[GOALS 1]:[ASSISTS 38]])</f>
        <v>0</v>
      </c>
    </row>
    <row r="172" spans="1:81">
      <c r="A172" s="291" t="s">
        <v>1414</v>
      </c>
      <c r="B172" s="291" t="s">
        <v>20</v>
      </c>
      <c r="C172" s="289"/>
      <c r="D172" s="286"/>
      <c r="E172" s="288"/>
      <c r="F172" s="286"/>
      <c r="G172" s="288"/>
      <c r="H172" s="286"/>
      <c r="I172" s="288"/>
      <c r="J172" s="286"/>
      <c r="K172" s="288"/>
      <c r="L172" s="286"/>
      <c r="M172" s="288"/>
      <c r="N172" s="286"/>
      <c r="O172" s="288"/>
      <c r="P172" s="286"/>
      <c r="Q172" s="288"/>
      <c r="R172" s="286"/>
      <c r="S172" s="288"/>
      <c r="T172" s="286"/>
      <c r="U172" s="288"/>
      <c r="V172" s="286"/>
      <c r="W172" s="288"/>
      <c r="X172" s="286"/>
      <c r="Y172" s="288"/>
      <c r="Z172" s="286"/>
      <c r="AA172" s="288"/>
      <c r="AB172" s="286"/>
      <c r="AC172" s="288"/>
      <c r="AD172" s="286"/>
      <c r="AE172" s="288"/>
      <c r="AF172" s="286"/>
      <c r="AG172" s="288"/>
      <c r="AH172" s="286"/>
      <c r="AI172" s="288"/>
      <c r="AJ172" s="286"/>
      <c r="AK172" s="286"/>
      <c r="AL172" s="286"/>
      <c r="AM172" s="286"/>
      <c r="AN172" s="286"/>
      <c r="AO172" s="286"/>
      <c r="AP172" s="286"/>
      <c r="AQ172" s="286"/>
      <c r="AR172" s="286"/>
      <c r="AS172" s="286"/>
      <c r="AT172" s="286"/>
      <c r="AU172" s="286"/>
      <c r="AV172" s="284"/>
      <c r="AW172" s="284"/>
      <c r="AX172" s="284"/>
      <c r="AY172" s="284"/>
      <c r="AZ172" s="284"/>
      <c r="BA172" s="284"/>
      <c r="BB172" s="284"/>
      <c r="BC172" s="284"/>
      <c r="BD172" s="284"/>
      <c r="BE172" s="284"/>
      <c r="BF172" s="284"/>
      <c r="BG172" s="284"/>
      <c r="BH172" s="284"/>
      <c r="BI172" s="284"/>
      <c r="BJ172" s="284"/>
      <c r="BK172" s="284"/>
      <c r="BL172" s="284"/>
      <c r="BM172" s="284"/>
      <c r="BN172" s="284"/>
      <c r="BO172" s="284"/>
      <c r="BP172" s="284"/>
      <c r="BQ172" s="284"/>
      <c r="BR172" s="284"/>
      <c r="BS172" s="284"/>
      <c r="BT172" s="284"/>
      <c r="BU172" s="284"/>
      <c r="BV172" s="284"/>
      <c r="BW172" s="284"/>
      <c r="BX172" s="284"/>
      <c r="BY172" s="284"/>
      <c r="BZ172" s="285"/>
      <c r="CA172" s="298">
        <f>SUM(C172,E172,G172,I172,K172,M172,O172,Q172,S172,U172,W172,Y172,AA172,AC172,AE172,AG172,AI172,AK172,AM172,AO172,AQ172,AS172,AU172,AW172,AY172,BA172,BC172,BE172,BG172,BI172,BK172,BM172,BO172,BQ172,BS172,BU172,BW172,BY172)</f>
        <v>0</v>
      </c>
      <c r="CB172" s="298">
        <f>SUM(D172,F172,H172,J172,L172,N172,P172,R172,T172,V172,X172,Z172,AB172,AD172,AF172,AH172,AJ172,AL172,AN172,AP172,AR172,AT172,AV172,AX172,AZ172,BB172,BD172,BF172,BH172,BJ172,BL172,BN172,BP172,BR172,BT172,BV172,BX172,BZ172)</f>
        <v>0</v>
      </c>
      <c r="CC172" s="299">
        <f>SUM(Table13[[#This Row],[GOALS 1]:[ASSISTS 38]])</f>
        <v>0</v>
      </c>
    </row>
    <row r="173" spans="1:81">
      <c r="A173" s="291" t="s">
        <v>1374</v>
      </c>
      <c r="B173" s="291" t="s">
        <v>18</v>
      </c>
      <c r="C173" s="286"/>
      <c r="D173" s="286"/>
      <c r="E173" s="288"/>
      <c r="F173" s="286"/>
      <c r="G173" s="288"/>
      <c r="H173" s="286"/>
      <c r="I173" s="288"/>
      <c r="J173" s="286"/>
      <c r="K173" s="288"/>
      <c r="L173" s="286"/>
      <c r="M173" s="288"/>
      <c r="N173" s="286"/>
      <c r="O173" s="288"/>
      <c r="P173" s="286"/>
      <c r="Q173" s="288"/>
      <c r="R173" s="286"/>
      <c r="S173" s="288"/>
      <c r="T173" s="286"/>
      <c r="U173" s="288"/>
      <c r="V173" s="286"/>
      <c r="W173" s="288"/>
      <c r="X173" s="286"/>
      <c r="Y173" s="288"/>
      <c r="Z173" s="286"/>
      <c r="AA173" s="288"/>
      <c r="AB173" s="286"/>
      <c r="AC173" s="288"/>
      <c r="AD173" s="286"/>
      <c r="AE173" s="288"/>
      <c r="AF173" s="286"/>
      <c r="AG173" s="288"/>
      <c r="AH173" s="286"/>
      <c r="AI173" s="288"/>
      <c r="AJ173" s="286"/>
      <c r="AK173" s="286"/>
      <c r="AL173" s="286"/>
      <c r="AM173" s="286"/>
      <c r="AN173" s="286"/>
      <c r="AO173" s="286"/>
      <c r="AP173" s="286"/>
      <c r="AQ173" s="286"/>
      <c r="AR173" s="286"/>
      <c r="AS173" s="286"/>
      <c r="AT173" s="286"/>
      <c r="AU173" s="286"/>
      <c r="AV173" s="284"/>
      <c r="AW173" s="284"/>
      <c r="AX173" s="284"/>
      <c r="AY173" s="284"/>
      <c r="AZ173" s="284"/>
      <c r="BA173" s="284"/>
      <c r="BB173" s="284"/>
      <c r="BC173" s="284"/>
      <c r="BD173" s="284"/>
      <c r="BE173" s="284"/>
      <c r="BF173" s="284"/>
      <c r="BG173" s="284"/>
      <c r="BH173" s="284"/>
      <c r="BI173" s="284"/>
      <c r="BJ173" s="284"/>
      <c r="BK173" s="284"/>
      <c r="BL173" s="284"/>
      <c r="BM173" s="284"/>
      <c r="BN173" s="284"/>
      <c r="BO173" s="284"/>
      <c r="BP173" s="284"/>
      <c r="BQ173" s="284"/>
      <c r="BR173" s="284"/>
      <c r="BS173" s="284"/>
      <c r="BT173" s="284"/>
      <c r="BU173" s="284"/>
      <c r="BV173" s="284"/>
      <c r="BW173" s="284"/>
      <c r="BX173" s="284"/>
      <c r="BY173" s="284"/>
      <c r="BZ173" s="285"/>
      <c r="CA173" s="298">
        <f>SUM(C173,E173,G173,I173,K173,M173,O173,Q173,S173,U173,W173,Y173,AA173,AC173,AE173,AG173,AI173,AK173,AM173,AO173,AQ173,AS173,AU173,AW173,AY173,BA173,BC173,BE173,BG173,BI173,BK173,BM173,BO173,BQ173,BS173,BU173,BW173,BY173)</f>
        <v>0</v>
      </c>
      <c r="CB173" s="298">
        <f>SUM(D173,F173,H173,J173,L173,N173,P173,R173,T173,V173,X173,Z173,AB173,AD173,AF173,AH173,AJ173,AL173,AN173,AP173,AR173,AT173,AV173,AX173,AZ173,BB173,BD173,BF173,BH173,BJ173,BL173,BN173,BP173,BR173,BT173,BV173,BX173,BZ173)</f>
        <v>0</v>
      </c>
      <c r="CC173" s="299">
        <f>SUM(Table13[[#This Row],[GOALS 1]:[ASSISTS 38]])</f>
        <v>0</v>
      </c>
    </row>
    <row r="174" spans="1:81">
      <c r="A174" s="291" t="s">
        <v>1475</v>
      </c>
      <c r="B174" s="291" t="s">
        <v>29</v>
      </c>
      <c r="C174" s="289"/>
      <c r="D174" s="286"/>
      <c r="E174" s="288"/>
      <c r="F174" s="286"/>
      <c r="G174" s="288"/>
      <c r="H174" s="286"/>
      <c r="I174" s="288"/>
      <c r="J174" s="286"/>
      <c r="K174" s="288"/>
      <c r="L174" s="286"/>
      <c r="M174" s="288"/>
      <c r="N174" s="286"/>
      <c r="O174" s="288"/>
      <c r="P174" s="286"/>
      <c r="Q174" s="288"/>
      <c r="R174" s="286"/>
      <c r="S174" s="288"/>
      <c r="T174" s="286"/>
      <c r="U174" s="288"/>
      <c r="V174" s="286"/>
      <c r="W174" s="288"/>
      <c r="X174" s="286"/>
      <c r="Y174" s="288"/>
      <c r="Z174" s="286"/>
      <c r="AA174" s="288"/>
      <c r="AB174" s="286"/>
      <c r="AC174" s="288"/>
      <c r="AD174" s="286"/>
      <c r="AE174" s="288"/>
      <c r="AF174" s="286"/>
      <c r="AG174" s="288"/>
      <c r="AH174" s="286"/>
      <c r="AI174" s="288"/>
      <c r="AJ174" s="286"/>
      <c r="AK174" s="286"/>
      <c r="AL174" s="286"/>
      <c r="AM174" s="286"/>
      <c r="AN174" s="286"/>
      <c r="AO174" s="286"/>
      <c r="AP174" s="286"/>
      <c r="AQ174" s="286"/>
      <c r="AR174" s="286"/>
      <c r="AS174" s="286"/>
      <c r="AT174" s="286"/>
      <c r="AU174" s="286"/>
      <c r="AV174" s="284"/>
      <c r="AW174" s="284"/>
      <c r="AX174" s="284"/>
      <c r="AY174" s="284"/>
      <c r="AZ174" s="284"/>
      <c r="BA174" s="284"/>
      <c r="BB174" s="284"/>
      <c r="BC174" s="284"/>
      <c r="BD174" s="284"/>
      <c r="BE174" s="284"/>
      <c r="BF174" s="284"/>
      <c r="BG174" s="284"/>
      <c r="BH174" s="284"/>
      <c r="BI174" s="284"/>
      <c r="BJ174" s="284"/>
      <c r="BK174" s="284"/>
      <c r="BL174" s="284"/>
      <c r="BM174" s="284"/>
      <c r="BN174" s="284"/>
      <c r="BO174" s="284"/>
      <c r="BP174" s="284"/>
      <c r="BQ174" s="284"/>
      <c r="BR174" s="284"/>
      <c r="BS174" s="284"/>
      <c r="BT174" s="284"/>
      <c r="BU174" s="284"/>
      <c r="BV174" s="284"/>
      <c r="BW174" s="284"/>
      <c r="BX174" s="284"/>
      <c r="BY174" s="284"/>
      <c r="BZ174" s="285"/>
      <c r="CA174" s="298">
        <f>SUM(C174,E174,G174,I174,K174,M174,O174,Q174,S174,U174,W174,Y174,AA174,AC174,AE174,AG174,AI174,AK174,AM174,AO174,AQ174,AS174,AU174,AW174,AY174,BA174,BC174,BE174,BG174,BI174,BK174,BM174,BO174,BQ174,BS174,BU174,BW174,BY174)</f>
        <v>0</v>
      </c>
      <c r="CB174" s="298">
        <f>SUM(D174,F174,H174,J174,L174,N174,P174,R174,T174,V174,X174,Z174,AB174,AD174,AF174,AH174,AJ174,AL174,AN174,AP174,AR174,AT174,AV174,AX174,AZ174,BB174,BD174,BF174,BH174,BJ174,BL174,BN174,BP174,BR174,BT174,BV174,BX174,BZ174)</f>
        <v>0</v>
      </c>
      <c r="CC174" s="299">
        <f>SUM(Table13[[#This Row],[GOALS 1]:[ASSISTS 38]])</f>
        <v>0</v>
      </c>
    </row>
    <row r="175" spans="1:81">
      <c r="A175" s="291" t="s">
        <v>1782</v>
      </c>
      <c r="B175" s="291" t="s">
        <v>24</v>
      </c>
      <c r="C175" s="286"/>
      <c r="D175" s="286"/>
      <c r="E175" s="288"/>
      <c r="F175" s="286"/>
      <c r="G175" s="288"/>
      <c r="H175" s="286"/>
      <c r="I175" s="288"/>
      <c r="J175" s="286"/>
      <c r="K175" s="288"/>
      <c r="L175" s="286"/>
      <c r="M175" s="288"/>
      <c r="N175" s="286"/>
      <c r="O175" s="288"/>
      <c r="P175" s="286"/>
      <c r="Q175" s="288"/>
      <c r="R175" s="286"/>
      <c r="S175" s="288"/>
      <c r="T175" s="286"/>
      <c r="U175" s="288"/>
      <c r="V175" s="286"/>
      <c r="W175" s="288"/>
      <c r="X175" s="286"/>
      <c r="Y175" s="288"/>
      <c r="Z175" s="286"/>
      <c r="AA175" s="288"/>
      <c r="AB175" s="286"/>
      <c r="AC175" s="288"/>
      <c r="AD175" s="286"/>
      <c r="AE175" s="288"/>
      <c r="AF175" s="286"/>
      <c r="AG175" s="288"/>
      <c r="AH175" s="286"/>
      <c r="AI175" s="288"/>
      <c r="AJ175" s="286"/>
      <c r="AK175" s="286"/>
      <c r="AL175" s="286"/>
      <c r="AM175" s="286"/>
      <c r="AN175" s="286"/>
      <c r="AO175" s="286"/>
      <c r="AP175" s="286"/>
      <c r="AQ175" s="286"/>
      <c r="AR175" s="286"/>
      <c r="AS175" s="286"/>
      <c r="AT175" s="286"/>
      <c r="AU175" s="286"/>
      <c r="AV175" s="284"/>
      <c r="AW175" s="284"/>
      <c r="AX175" s="284"/>
      <c r="AY175" s="284"/>
      <c r="AZ175" s="284"/>
      <c r="BA175" s="284"/>
      <c r="BB175" s="284"/>
      <c r="BC175" s="284"/>
      <c r="BD175" s="284"/>
      <c r="BE175" s="284"/>
      <c r="BF175" s="284"/>
      <c r="BG175" s="284"/>
      <c r="BH175" s="284"/>
      <c r="BI175" s="284"/>
      <c r="BJ175" s="284"/>
      <c r="BK175" s="284"/>
      <c r="BL175" s="284"/>
      <c r="BM175" s="284"/>
      <c r="BN175" s="284"/>
      <c r="BO175" s="284"/>
      <c r="BP175" s="284"/>
      <c r="BQ175" s="284"/>
      <c r="BR175" s="284"/>
      <c r="BS175" s="284"/>
      <c r="BT175" s="284"/>
      <c r="BU175" s="284"/>
      <c r="BV175" s="284"/>
      <c r="BW175" s="284"/>
      <c r="BX175" s="284"/>
      <c r="BY175" s="284"/>
      <c r="BZ175" s="285"/>
      <c r="CA175" s="298">
        <f>SUM(C175,E175,G175,I175,K175,M175,O175,Q175,S175,U175,W175,Y175,AA175,AC175,AE175,AG175,AI175,AK175,AM175,AO175,AQ175,AS175,AU175,AW175,AY175,BA175,BC175,BE175,BG175,BI175,BK175,BM175,BO175,BQ175,BS175,BU175,BW175,BY175)</f>
        <v>0</v>
      </c>
      <c r="CB175" s="298">
        <f>SUM(D175,F175,H175,J175,L175,N175,P175,R175,T175,V175,X175,Z175,AB175,AD175,AF175,AH175,AJ175,AL175,AN175,AP175,AR175,AT175,AV175,AX175,AZ175,BB175,BD175,BF175,BH175,BJ175,BL175,BN175,BP175,BR175,BT175,BV175,BX175,BZ175)</f>
        <v>0</v>
      </c>
      <c r="CC175" s="299">
        <f>SUM(Table13[[#This Row],[GOALS 1]:[ASSISTS 38]])</f>
        <v>0</v>
      </c>
    </row>
    <row r="176" spans="1:81">
      <c r="A176" s="291" t="s">
        <v>1274</v>
      </c>
      <c r="B176" s="291" t="s">
        <v>18</v>
      </c>
      <c r="C176" s="286"/>
      <c r="D176" s="286"/>
      <c r="E176" s="288"/>
      <c r="F176" s="286"/>
      <c r="G176" s="288"/>
      <c r="H176" s="286"/>
      <c r="I176" s="288"/>
      <c r="J176" s="286"/>
      <c r="K176" s="288"/>
      <c r="L176" s="286"/>
      <c r="M176" s="288"/>
      <c r="N176" s="286"/>
      <c r="O176" s="288"/>
      <c r="P176" s="286"/>
      <c r="Q176" s="288"/>
      <c r="R176" s="286"/>
      <c r="S176" s="288"/>
      <c r="T176" s="286"/>
      <c r="U176" s="288"/>
      <c r="V176" s="286"/>
      <c r="W176" s="288"/>
      <c r="X176" s="286"/>
      <c r="Y176" s="288"/>
      <c r="Z176" s="286"/>
      <c r="AA176" s="288"/>
      <c r="AB176" s="286"/>
      <c r="AC176" s="288"/>
      <c r="AD176" s="286"/>
      <c r="AE176" s="288"/>
      <c r="AF176" s="286"/>
      <c r="AG176" s="288"/>
      <c r="AH176" s="286"/>
      <c r="AI176" s="288"/>
      <c r="AJ176" s="286"/>
      <c r="AK176" s="286"/>
      <c r="AL176" s="286"/>
      <c r="AM176" s="286"/>
      <c r="AN176" s="286"/>
      <c r="AO176" s="286"/>
      <c r="AP176" s="286"/>
      <c r="AQ176" s="286"/>
      <c r="AR176" s="286"/>
      <c r="AS176" s="286"/>
      <c r="AT176" s="286"/>
      <c r="AU176" s="286"/>
      <c r="AV176" s="284"/>
      <c r="AW176" s="284"/>
      <c r="AX176" s="284"/>
      <c r="AY176" s="284"/>
      <c r="AZ176" s="284"/>
      <c r="BA176" s="284"/>
      <c r="BB176" s="284"/>
      <c r="BC176" s="284"/>
      <c r="BD176" s="284"/>
      <c r="BE176" s="284"/>
      <c r="BF176" s="284"/>
      <c r="BG176" s="284"/>
      <c r="BH176" s="284"/>
      <c r="BI176" s="284"/>
      <c r="BJ176" s="284"/>
      <c r="BK176" s="284"/>
      <c r="BL176" s="284"/>
      <c r="BM176" s="284"/>
      <c r="BN176" s="284"/>
      <c r="BO176" s="284"/>
      <c r="BP176" s="284"/>
      <c r="BQ176" s="284"/>
      <c r="BR176" s="284"/>
      <c r="BS176" s="284"/>
      <c r="BT176" s="284"/>
      <c r="BU176" s="284"/>
      <c r="BV176" s="284"/>
      <c r="BW176" s="284"/>
      <c r="BX176" s="284"/>
      <c r="BY176" s="284"/>
      <c r="BZ176" s="285"/>
      <c r="CA176" s="298">
        <f>SUM(C176,E176,G176,I176,K176,M176,O176,Q176,S176,U176,W176,Y176,AA176,AC176,AE176,AG176,AI176,AK176,AM176,AO176,AQ176,AS176,AU176,AW176,AY176,BA176,BC176,BE176,BG176,BI176,BK176,BM176,BO176,BQ176,BS176,BU176,BW176,BY176)</f>
        <v>0</v>
      </c>
      <c r="CB176" s="298">
        <f>SUM(D176,F176,H176,J176,L176,N176,P176,R176,T176,V176,X176,Z176,AB176,AD176,AF176,AH176,AJ176,AL176,AN176,AP176,AR176,AT176,AV176,AX176,AZ176,BB176,BD176,BF176,BH176,BJ176,BL176,BN176,BP176,BR176,BT176,BV176,BX176,BZ176)</f>
        <v>0</v>
      </c>
      <c r="CC176" s="299">
        <f>SUM(Table13[[#This Row],[GOALS 1]:[ASSISTS 38]])</f>
        <v>0</v>
      </c>
    </row>
    <row r="177" spans="1:81">
      <c r="A177" s="291" t="s">
        <v>1734</v>
      </c>
      <c r="B177" s="291" t="s">
        <v>22</v>
      </c>
      <c r="C177" s="286"/>
      <c r="D177" s="286"/>
      <c r="E177" s="288"/>
      <c r="F177" s="286"/>
      <c r="G177" s="288"/>
      <c r="H177" s="286"/>
      <c r="I177" s="288"/>
      <c r="J177" s="286"/>
      <c r="K177" s="288"/>
      <c r="L177" s="286"/>
      <c r="M177" s="288"/>
      <c r="N177" s="286"/>
      <c r="O177" s="288"/>
      <c r="P177" s="286"/>
      <c r="Q177" s="288"/>
      <c r="R177" s="286"/>
      <c r="S177" s="288"/>
      <c r="T177" s="286"/>
      <c r="U177" s="288"/>
      <c r="V177" s="286"/>
      <c r="W177" s="288"/>
      <c r="X177" s="286"/>
      <c r="Y177" s="288"/>
      <c r="Z177" s="286"/>
      <c r="AA177" s="288"/>
      <c r="AB177" s="286"/>
      <c r="AC177" s="288"/>
      <c r="AD177" s="286"/>
      <c r="AE177" s="288"/>
      <c r="AF177" s="286"/>
      <c r="AG177" s="288"/>
      <c r="AH177" s="286"/>
      <c r="AI177" s="288"/>
      <c r="AJ177" s="286"/>
      <c r="AK177" s="286"/>
      <c r="AL177" s="286"/>
      <c r="AM177" s="286"/>
      <c r="AN177" s="286"/>
      <c r="AO177" s="286"/>
      <c r="AP177" s="286"/>
      <c r="AQ177" s="286"/>
      <c r="AR177" s="286"/>
      <c r="AS177" s="286"/>
      <c r="AT177" s="286"/>
      <c r="AU177" s="286"/>
      <c r="AV177" s="284"/>
      <c r="AW177" s="284"/>
      <c r="AX177" s="284"/>
      <c r="AY177" s="284"/>
      <c r="AZ177" s="284"/>
      <c r="BA177" s="284"/>
      <c r="BB177" s="284"/>
      <c r="BC177" s="284"/>
      <c r="BD177" s="284"/>
      <c r="BE177" s="284"/>
      <c r="BF177" s="284"/>
      <c r="BG177" s="284"/>
      <c r="BH177" s="284"/>
      <c r="BI177" s="284"/>
      <c r="BJ177" s="284"/>
      <c r="BK177" s="284"/>
      <c r="BL177" s="284"/>
      <c r="BM177" s="284"/>
      <c r="BN177" s="284"/>
      <c r="BO177" s="284"/>
      <c r="BP177" s="284"/>
      <c r="BQ177" s="284"/>
      <c r="BR177" s="284"/>
      <c r="BS177" s="284"/>
      <c r="BT177" s="284"/>
      <c r="BU177" s="284"/>
      <c r="BV177" s="284"/>
      <c r="BW177" s="284"/>
      <c r="BX177" s="284"/>
      <c r="BY177" s="284"/>
      <c r="BZ177" s="285"/>
      <c r="CA177" s="298">
        <f>SUM(C177,E177,G177,I177,K177,M177,O177,Q177,S177,U177,W177,Y177,AA177,AC177,AE177,AG177,AI177,AK177,AM177,AO177,AQ177,AS177,AU177,AW177,AY177,BA177,BC177,BE177,BG177,BI177,BK177,BM177,BO177,BQ177,BS177,BU177,BW177,BY177)</f>
        <v>0</v>
      </c>
      <c r="CB177" s="298">
        <f>SUM(D177,F177,H177,J177,L177,N177,P177,R177,T177,V177,X177,Z177,AB177,AD177,AF177,AH177,AJ177,AL177,AN177,AP177,AR177,AT177,AV177,AX177,AZ177,BB177,BD177,BF177,BH177,BJ177,BL177,BN177,BP177,BR177,BT177,BV177,BX177,BZ177)</f>
        <v>0</v>
      </c>
      <c r="CC177" s="299">
        <f>SUM(Table13[[#This Row],[GOALS 1]:[ASSISTS 38]])</f>
        <v>0</v>
      </c>
    </row>
    <row r="178" spans="1:81">
      <c r="A178" s="291" t="s">
        <v>1520</v>
      </c>
      <c r="B178" s="291" t="s">
        <v>17</v>
      </c>
      <c r="C178" s="289"/>
      <c r="D178" s="286"/>
      <c r="E178" s="288"/>
      <c r="F178" s="286"/>
      <c r="G178" s="288"/>
      <c r="H178" s="286"/>
      <c r="I178" s="288"/>
      <c r="J178" s="286"/>
      <c r="K178" s="288"/>
      <c r="L178" s="286"/>
      <c r="M178" s="288"/>
      <c r="N178" s="286"/>
      <c r="O178" s="288"/>
      <c r="P178" s="286"/>
      <c r="Q178" s="288"/>
      <c r="R178" s="286"/>
      <c r="S178" s="288"/>
      <c r="T178" s="286"/>
      <c r="U178" s="288"/>
      <c r="V178" s="286"/>
      <c r="W178" s="288"/>
      <c r="X178" s="286"/>
      <c r="Y178" s="288"/>
      <c r="Z178" s="286"/>
      <c r="AA178" s="288"/>
      <c r="AB178" s="286"/>
      <c r="AC178" s="288"/>
      <c r="AD178" s="286"/>
      <c r="AE178" s="288"/>
      <c r="AF178" s="286"/>
      <c r="AG178" s="288"/>
      <c r="AH178" s="286"/>
      <c r="AI178" s="288"/>
      <c r="AJ178" s="286"/>
      <c r="AK178" s="286"/>
      <c r="AL178" s="286"/>
      <c r="AM178" s="286"/>
      <c r="AN178" s="286"/>
      <c r="AO178" s="286"/>
      <c r="AP178" s="286"/>
      <c r="AQ178" s="286"/>
      <c r="AR178" s="286"/>
      <c r="AS178" s="286"/>
      <c r="AT178" s="286"/>
      <c r="AU178" s="286"/>
      <c r="AV178" s="284"/>
      <c r="AW178" s="284"/>
      <c r="AX178" s="284"/>
      <c r="AY178" s="284"/>
      <c r="AZ178" s="284"/>
      <c r="BA178" s="284"/>
      <c r="BB178" s="284"/>
      <c r="BC178" s="284"/>
      <c r="BD178" s="284"/>
      <c r="BE178" s="284"/>
      <c r="BF178" s="284"/>
      <c r="BG178" s="284"/>
      <c r="BH178" s="284"/>
      <c r="BI178" s="284"/>
      <c r="BJ178" s="284"/>
      <c r="BK178" s="284"/>
      <c r="BL178" s="284"/>
      <c r="BM178" s="284"/>
      <c r="BN178" s="284"/>
      <c r="BO178" s="284"/>
      <c r="BP178" s="284"/>
      <c r="BQ178" s="284"/>
      <c r="BR178" s="284"/>
      <c r="BS178" s="284"/>
      <c r="BT178" s="284"/>
      <c r="BU178" s="284"/>
      <c r="BV178" s="284"/>
      <c r="BW178" s="284"/>
      <c r="BX178" s="284"/>
      <c r="BY178" s="284"/>
      <c r="BZ178" s="285"/>
      <c r="CA178" s="298">
        <f>SUM(C178,E178,G178,I178,K178,M178,O178,Q178,S178,U178,W178,Y178,AA178,AC178,AE178,AG178,AI178,AK178,AM178,AO178,AQ178,AS178,AU178,AW178,AY178,BA178,BC178,BE178,BG178,BI178,BK178,BM178,BO178,BQ178,BS178,BU178,BW178,BY178)</f>
        <v>0</v>
      </c>
      <c r="CB178" s="298">
        <f>SUM(D178,F178,H178,J178,L178,N178,P178,R178,T178,V178,X178,Z178,AB178,AD178,AF178,AH178,AJ178,AL178,AN178,AP178,AR178,AT178,AV178,AX178,AZ178,BB178,BD178,BF178,BH178,BJ178,BL178,BN178,BP178,BR178,BT178,BV178,BX178,BZ178)</f>
        <v>0</v>
      </c>
      <c r="CC178" s="299">
        <f>SUM(Table13[[#This Row],[GOALS 1]:[ASSISTS 38]])</f>
        <v>0</v>
      </c>
    </row>
    <row r="179" spans="1:81">
      <c r="A179" s="291" t="s">
        <v>1442</v>
      </c>
      <c r="B179" s="291" t="s">
        <v>20</v>
      </c>
      <c r="C179" s="289"/>
      <c r="D179" s="286"/>
      <c r="E179" s="288"/>
      <c r="F179" s="286"/>
      <c r="G179" s="288"/>
      <c r="H179" s="286"/>
      <c r="I179" s="288"/>
      <c r="J179" s="286"/>
      <c r="K179" s="288"/>
      <c r="L179" s="286"/>
      <c r="M179" s="288"/>
      <c r="N179" s="286"/>
      <c r="O179" s="288"/>
      <c r="P179" s="286"/>
      <c r="Q179" s="288"/>
      <c r="R179" s="286"/>
      <c r="S179" s="288"/>
      <c r="T179" s="286"/>
      <c r="U179" s="288"/>
      <c r="V179" s="286"/>
      <c r="W179" s="288"/>
      <c r="X179" s="286"/>
      <c r="Y179" s="288"/>
      <c r="Z179" s="286"/>
      <c r="AA179" s="288"/>
      <c r="AB179" s="286"/>
      <c r="AC179" s="288"/>
      <c r="AD179" s="286"/>
      <c r="AE179" s="288"/>
      <c r="AF179" s="286"/>
      <c r="AG179" s="288"/>
      <c r="AH179" s="286"/>
      <c r="AI179" s="288"/>
      <c r="AJ179" s="286"/>
      <c r="AK179" s="286"/>
      <c r="AL179" s="286"/>
      <c r="AM179" s="286"/>
      <c r="AN179" s="286"/>
      <c r="AO179" s="286"/>
      <c r="AP179" s="286"/>
      <c r="AQ179" s="286"/>
      <c r="AR179" s="286"/>
      <c r="AS179" s="286"/>
      <c r="AT179" s="286"/>
      <c r="AU179" s="286"/>
      <c r="AV179" s="284"/>
      <c r="AW179" s="284"/>
      <c r="AX179" s="284"/>
      <c r="AY179" s="284"/>
      <c r="AZ179" s="284"/>
      <c r="BA179" s="284"/>
      <c r="BB179" s="284"/>
      <c r="BC179" s="284"/>
      <c r="BD179" s="284"/>
      <c r="BE179" s="284"/>
      <c r="BF179" s="284"/>
      <c r="BG179" s="284"/>
      <c r="BH179" s="284"/>
      <c r="BI179" s="284"/>
      <c r="BJ179" s="284"/>
      <c r="BK179" s="284"/>
      <c r="BL179" s="284"/>
      <c r="BM179" s="284"/>
      <c r="BN179" s="284"/>
      <c r="BO179" s="284"/>
      <c r="BP179" s="284"/>
      <c r="BQ179" s="284"/>
      <c r="BR179" s="284"/>
      <c r="BS179" s="284"/>
      <c r="BT179" s="284"/>
      <c r="BU179" s="284"/>
      <c r="BV179" s="284"/>
      <c r="BW179" s="284"/>
      <c r="BX179" s="284"/>
      <c r="BY179" s="284"/>
      <c r="BZ179" s="285"/>
      <c r="CA179" s="298">
        <f>SUM(C179,E179,G179,I179,K179,M179,O179,Q179,S179,U179,W179,Y179,AA179,AC179,AE179,AG179,AI179,AK179,AM179,AO179,AQ179,AS179,AU179,AW179,AY179,BA179,BC179,BE179,BG179,BI179,BK179,BM179,BO179,BQ179,BS179,BU179,BW179,BY179)</f>
        <v>0</v>
      </c>
      <c r="CB179" s="298">
        <f>SUM(D179,F179,H179,J179,L179,N179,P179,R179,T179,V179,X179,Z179,AB179,AD179,AF179,AH179,AJ179,AL179,AN179,AP179,AR179,AT179,AV179,AX179,AZ179,BB179,BD179,BF179,BH179,BJ179,BL179,BN179,BP179,BR179,BT179,BV179,BX179,BZ179)</f>
        <v>0</v>
      </c>
      <c r="CC179" s="299">
        <f>SUM(Table13[[#This Row],[GOALS 1]:[ASSISTS 38]])</f>
        <v>0</v>
      </c>
    </row>
    <row r="180" spans="1:81">
      <c r="A180" s="291" t="s">
        <v>2013</v>
      </c>
      <c r="B180" s="291" t="s">
        <v>19</v>
      </c>
      <c r="C180" s="286"/>
      <c r="D180" s="286"/>
      <c r="E180" s="288"/>
      <c r="F180" s="286"/>
      <c r="G180" s="288"/>
      <c r="H180" s="286"/>
      <c r="I180" s="288"/>
      <c r="J180" s="286"/>
      <c r="K180" s="288"/>
      <c r="L180" s="286"/>
      <c r="M180" s="288"/>
      <c r="N180" s="286"/>
      <c r="O180" s="288"/>
      <c r="P180" s="286"/>
      <c r="Q180" s="288"/>
      <c r="R180" s="286"/>
      <c r="S180" s="288"/>
      <c r="T180" s="286"/>
      <c r="U180" s="288"/>
      <c r="V180" s="286"/>
      <c r="W180" s="288"/>
      <c r="X180" s="286"/>
      <c r="Y180" s="288"/>
      <c r="Z180" s="286"/>
      <c r="AA180" s="288"/>
      <c r="AB180" s="286"/>
      <c r="AC180" s="288"/>
      <c r="AD180" s="286"/>
      <c r="AE180" s="288"/>
      <c r="AF180" s="286"/>
      <c r="AG180" s="288"/>
      <c r="AH180" s="286"/>
      <c r="AI180" s="288"/>
      <c r="AJ180" s="286"/>
      <c r="AK180" s="286"/>
      <c r="AL180" s="286"/>
      <c r="AM180" s="286"/>
      <c r="AN180" s="286"/>
      <c r="AO180" s="286"/>
      <c r="AP180" s="286"/>
      <c r="AQ180" s="286"/>
      <c r="AR180" s="286"/>
      <c r="AS180" s="286"/>
      <c r="AT180" s="286"/>
      <c r="AU180" s="286"/>
      <c r="AV180" s="284"/>
      <c r="AW180" s="284"/>
      <c r="AX180" s="284"/>
      <c r="AY180" s="284"/>
      <c r="AZ180" s="284"/>
      <c r="BA180" s="284"/>
      <c r="BB180" s="284"/>
      <c r="BC180" s="284"/>
      <c r="BD180" s="284"/>
      <c r="BE180" s="284"/>
      <c r="BF180" s="284"/>
      <c r="BG180" s="284"/>
      <c r="BH180" s="284"/>
      <c r="BI180" s="284"/>
      <c r="BJ180" s="284"/>
      <c r="BK180" s="284"/>
      <c r="BL180" s="284"/>
      <c r="BM180" s="284"/>
      <c r="BN180" s="284"/>
      <c r="BO180" s="284"/>
      <c r="BP180" s="284"/>
      <c r="BQ180" s="284"/>
      <c r="BR180" s="284"/>
      <c r="BS180" s="284"/>
      <c r="BT180" s="284"/>
      <c r="BU180" s="284"/>
      <c r="BV180" s="284"/>
      <c r="BW180" s="284"/>
      <c r="BX180" s="284"/>
      <c r="BY180" s="284"/>
      <c r="BZ180" s="285"/>
      <c r="CA180" s="298">
        <f>SUM(C180,E180,G180,I180,K180,M180,O180,Q180,S180,U180,W180,Y180,AA180,AC180,AE180,AG180,AI180,AK180,AM180,AO180,AQ180,AS180,AU180,AW180,AY180,BA180,BC180,BE180,BG180,BI180,BK180,BM180,BO180,BQ180,BS180,BU180,BW180,BY180)</f>
        <v>0</v>
      </c>
      <c r="CB180" s="298">
        <f>SUM(D180,F180,H180,J180,L180,N180,P180,R180,T180,V180,X180,Z180,AB180,AD180,AF180,AH180,AJ180,AL180,AN180,AP180,AR180,AT180,AV180,AX180,AZ180,BB180,BD180,BF180,BH180,BJ180,BL180,BN180,BP180,BR180,BT180,BV180,BX180,BZ180)</f>
        <v>0</v>
      </c>
      <c r="CC180" s="299">
        <f>SUM(Table13[[#This Row],[GOALS 1]:[ASSISTS 38]])</f>
        <v>0</v>
      </c>
    </row>
    <row r="181" spans="1:81">
      <c r="A181" s="291" t="s">
        <v>1477</v>
      </c>
      <c r="B181" s="291" t="s">
        <v>27</v>
      </c>
      <c r="C181" s="286"/>
      <c r="D181" s="286"/>
      <c r="E181" s="289"/>
      <c r="F181" s="286"/>
      <c r="G181" s="288"/>
      <c r="H181" s="286"/>
      <c r="I181" s="288"/>
      <c r="J181" s="286"/>
      <c r="K181" s="288"/>
      <c r="L181" s="286"/>
      <c r="M181" s="288"/>
      <c r="N181" s="286"/>
      <c r="O181" s="288"/>
      <c r="P181" s="286"/>
      <c r="Q181" s="288"/>
      <c r="R181" s="286"/>
      <c r="S181" s="288"/>
      <c r="T181" s="286"/>
      <c r="U181" s="288"/>
      <c r="V181" s="286"/>
      <c r="W181" s="288"/>
      <c r="X181" s="286"/>
      <c r="Y181" s="288"/>
      <c r="Z181" s="286"/>
      <c r="AA181" s="288"/>
      <c r="AB181" s="286"/>
      <c r="AC181" s="288"/>
      <c r="AD181" s="286"/>
      <c r="AE181" s="288"/>
      <c r="AF181" s="286"/>
      <c r="AG181" s="288"/>
      <c r="AH181" s="286"/>
      <c r="AI181" s="288"/>
      <c r="AJ181" s="286"/>
      <c r="AK181" s="286"/>
      <c r="AL181" s="286"/>
      <c r="AM181" s="286"/>
      <c r="AN181" s="286"/>
      <c r="AO181" s="286"/>
      <c r="AP181" s="286"/>
      <c r="AQ181" s="286"/>
      <c r="AR181" s="286"/>
      <c r="AS181" s="286"/>
      <c r="AT181" s="286"/>
      <c r="AU181" s="286"/>
      <c r="AV181" s="284"/>
      <c r="AW181" s="284"/>
      <c r="AX181" s="284"/>
      <c r="AY181" s="284"/>
      <c r="AZ181" s="284"/>
      <c r="BA181" s="284"/>
      <c r="BB181" s="284"/>
      <c r="BC181" s="284"/>
      <c r="BD181" s="284"/>
      <c r="BE181" s="284"/>
      <c r="BF181" s="284"/>
      <c r="BG181" s="284"/>
      <c r="BH181" s="284"/>
      <c r="BI181" s="284"/>
      <c r="BJ181" s="284"/>
      <c r="BK181" s="284"/>
      <c r="BL181" s="284"/>
      <c r="BM181" s="284"/>
      <c r="BN181" s="284"/>
      <c r="BO181" s="284"/>
      <c r="BP181" s="284"/>
      <c r="BQ181" s="284"/>
      <c r="BR181" s="284"/>
      <c r="BS181" s="284"/>
      <c r="BT181" s="284"/>
      <c r="BU181" s="284"/>
      <c r="BV181" s="284"/>
      <c r="BW181" s="284"/>
      <c r="BX181" s="284"/>
      <c r="BY181" s="284"/>
      <c r="BZ181" s="285"/>
      <c r="CA181" s="298">
        <f>SUM(C181,E181,G181,I181,K181,M181,O181,Q181,S181,U181,W181,Y181,AA181,AC181,AE181,AG181,AI181,AK181,AM181,AO181,AQ181,AS181,AU181,AW181,AY181,BA181,BC181,BE181,BG181,BI181,BK181,BM181,BO181,BQ181,BS181,BU181,BW181,BY181)</f>
        <v>0</v>
      </c>
      <c r="CB181" s="298">
        <f>SUM(D181,F181,H181,J181,L181,N181,P181,R181,T181,V181,X181,Z181,AB181,AD181,AF181,AH181,AJ181,AL181,AN181,AP181,AR181,AT181,AV181,AX181,AZ181,BB181,BD181,BF181,BH181,BJ181,BL181,BN181,BP181,BR181,BT181,BV181,BX181,BZ181)</f>
        <v>0</v>
      </c>
      <c r="CC181" s="299">
        <f>SUM(Table13[[#This Row],[GOALS 1]:[ASSISTS 38]])</f>
        <v>0</v>
      </c>
    </row>
    <row r="182" spans="1:81">
      <c r="A182" s="291" t="s">
        <v>1455</v>
      </c>
      <c r="B182" s="291" t="s">
        <v>17</v>
      </c>
      <c r="C182" s="289"/>
      <c r="D182" s="286"/>
      <c r="E182" s="288"/>
      <c r="F182" s="286"/>
      <c r="G182" s="288"/>
      <c r="H182" s="286"/>
      <c r="I182" s="288"/>
      <c r="J182" s="286"/>
      <c r="K182" s="288"/>
      <c r="L182" s="286"/>
      <c r="M182" s="288"/>
      <c r="N182" s="286"/>
      <c r="O182" s="288"/>
      <c r="P182" s="286"/>
      <c r="Q182" s="288"/>
      <c r="R182" s="286"/>
      <c r="S182" s="288"/>
      <c r="T182" s="286"/>
      <c r="U182" s="288"/>
      <c r="V182" s="286"/>
      <c r="W182" s="288"/>
      <c r="X182" s="286"/>
      <c r="Y182" s="288"/>
      <c r="Z182" s="286"/>
      <c r="AA182" s="288"/>
      <c r="AB182" s="286"/>
      <c r="AC182" s="288"/>
      <c r="AD182" s="286"/>
      <c r="AE182" s="288"/>
      <c r="AF182" s="286"/>
      <c r="AG182" s="288"/>
      <c r="AH182" s="286"/>
      <c r="AI182" s="288"/>
      <c r="AJ182" s="286"/>
      <c r="AK182" s="286"/>
      <c r="AL182" s="286"/>
      <c r="AM182" s="286"/>
      <c r="AN182" s="286"/>
      <c r="AO182" s="286"/>
      <c r="AP182" s="286"/>
      <c r="AQ182" s="286"/>
      <c r="AR182" s="286"/>
      <c r="AS182" s="286"/>
      <c r="AT182" s="286"/>
      <c r="AU182" s="286"/>
      <c r="AV182" s="284"/>
      <c r="AW182" s="284"/>
      <c r="AX182" s="284"/>
      <c r="AY182" s="284"/>
      <c r="AZ182" s="284"/>
      <c r="BA182" s="284"/>
      <c r="BB182" s="284"/>
      <c r="BC182" s="284"/>
      <c r="BD182" s="284"/>
      <c r="BE182" s="284"/>
      <c r="BF182" s="284"/>
      <c r="BG182" s="284"/>
      <c r="BH182" s="284"/>
      <c r="BI182" s="284"/>
      <c r="BJ182" s="284"/>
      <c r="BK182" s="284"/>
      <c r="BL182" s="284"/>
      <c r="BM182" s="284"/>
      <c r="BN182" s="284"/>
      <c r="BO182" s="284"/>
      <c r="BP182" s="284"/>
      <c r="BQ182" s="284"/>
      <c r="BR182" s="284"/>
      <c r="BS182" s="284"/>
      <c r="BT182" s="284"/>
      <c r="BU182" s="284"/>
      <c r="BV182" s="284"/>
      <c r="BW182" s="284"/>
      <c r="BX182" s="284"/>
      <c r="BY182" s="284"/>
      <c r="BZ182" s="285"/>
      <c r="CA182" s="298">
        <f>SUM(C182,E182,G182,I182,K182,M182,O182,Q182,S182,U182,W182,Y182,AA182,AC182,AE182,AG182,AI182,AK182,AM182,AO182,AQ182,AS182,AU182,AW182,AY182,BA182,BC182,BE182,BG182,BI182,BK182,BM182,BO182,BQ182,BS182,BU182,BW182,BY182)</f>
        <v>0</v>
      </c>
      <c r="CB182" s="298">
        <f>SUM(D182,F182,H182,J182,L182,N182,P182,R182,T182,V182,X182,Z182,AB182,AD182,AF182,AH182,AJ182,AL182,AN182,AP182,AR182,AT182,AV182,AX182,AZ182,BB182,BD182,BF182,BH182,BJ182,BL182,BN182,BP182,BR182,BT182,BV182,BX182,BZ182)</f>
        <v>0</v>
      </c>
      <c r="CC182" s="299">
        <f>SUM(Table13[[#This Row],[GOALS 1]:[ASSISTS 38]])</f>
        <v>0</v>
      </c>
    </row>
    <row r="183" spans="1:81">
      <c r="A183" s="291" t="s">
        <v>1569</v>
      </c>
      <c r="B183" s="291" t="s">
        <v>26</v>
      </c>
      <c r="C183" s="286"/>
      <c r="D183" s="286"/>
      <c r="E183" s="288"/>
      <c r="F183" s="286"/>
      <c r="G183" s="288"/>
      <c r="H183" s="286"/>
      <c r="I183" s="288"/>
      <c r="J183" s="286"/>
      <c r="K183" s="288"/>
      <c r="L183" s="286"/>
      <c r="M183" s="288"/>
      <c r="N183" s="286"/>
      <c r="O183" s="288"/>
      <c r="P183" s="286"/>
      <c r="Q183" s="288"/>
      <c r="R183" s="286"/>
      <c r="S183" s="288"/>
      <c r="T183" s="286"/>
      <c r="U183" s="288"/>
      <c r="V183" s="286"/>
      <c r="W183" s="288"/>
      <c r="X183" s="286"/>
      <c r="Y183" s="288"/>
      <c r="Z183" s="286"/>
      <c r="AA183" s="288"/>
      <c r="AB183" s="286"/>
      <c r="AC183" s="288"/>
      <c r="AD183" s="286"/>
      <c r="AE183" s="288"/>
      <c r="AF183" s="286"/>
      <c r="AG183" s="288"/>
      <c r="AH183" s="286"/>
      <c r="AI183" s="288"/>
      <c r="AJ183" s="286"/>
      <c r="AK183" s="286"/>
      <c r="AL183" s="286"/>
      <c r="AM183" s="286"/>
      <c r="AN183" s="286"/>
      <c r="AO183" s="286"/>
      <c r="AP183" s="286"/>
      <c r="AQ183" s="286"/>
      <c r="AR183" s="286"/>
      <c r="AS183" s="286"/>
      <c r="AT183" s="286"/>
      <c r="AU183" s="286"/>
      <c r="AV183" s="284"/>
      <c r="AW183" s="284"/>
      <c r="AX183" s="284"/>
      <c r="AY183" s="284"/>
      <c r="AZ183" s="284"/>
      <c r="BA183" s="284"/>
      <c r="BB183" s="284"/>
      <c r="BC183" s="284"/>
      <c r="BD183" s="284"/>
      <c r="BE183" s="284"/>
      <c r="BF183" s="284"/>
      <c r="BG183" s="284"/>
      <c r="BH183" s="284"/>
      <c r="BI183" s="284"/>
      <c r="BJ183" s="284"/>
      <c r="BK183" s="284"/>
      <c r="BL183" s="284"/>
      <c r="BM183" s="284"/>
      <c r="BN183" s="284"/>
      <c r="BO183" s="284"/>
      <c r="BP183" s="284"/>
      <c r="BQ183" s="284"/>
      <c r="BR183" s="284"/>
      <c r="BS183" s="284"/>
      <c r="BT183" s="284"/>
      <c r="BU183" s="284"/>
      <c r="BV183" s="284"/>
      <c r="BW183" s="284"/>
      <c r="BX183" s="284"/>
      <c r="BY183" s="284"/>
      <c r="BZ183" s="285"/>
      <c r="CA183" s="298">
        <f>SUM(C183,E183,G183,I183,K183,M183,O183,Q183,S183,U183,W183,Y183,AA183,AC183,AE183,AG183,AI183,AK183,AM183,AO183,AQ183,AS183,AU183,AW183,AY183,BA183,BC183,BE183,BG183,BI183,BK183,BM183,BO183,BQ183,BS183,BU183,BW183,BY183)</f>
        <v>0</v>
      </c>
      <c r="CB183" s="298">
        <f>SUM(D183,F183,H183,J183,L183,N183,P183,R183,T183,V183,X183,Z183,AB183,AD183,AF183,AH183,AJ183,AL183,AN183,AP183,AR183,AT183,AV183,AX183,AZ183,BB183,BD183,BF183,BH183,BJ183,BL183,BN183,BP183,BR183,BT183,BV183,BX183,BZ183)</f>
        <v>0</v>
      </c>
      <c r="CC183" s="299">
        <f>SUM(Table13[[#This Row],[GOALS 1]:[ASSISTS 38]])</f>
        <v>0</v>
      </c>
    </row>
    <row r="184" spans="1:81">
      <c r="A184" s="291" t="s">
        <v>1487</v>
      </c>
      <c r="B184" s="291" t="s">
        <v>25</v>
      </c>
      <c r="C184" s="286"/>
      <c r="D184" s="286"/>
      <c r="E184" s="288"/>
      <c r="F184" s="286"/>
      <c r="G184" s="288"/>
      <c r="H184" s="286"/>
      <c r="I184" s="288"/>
      <c r="J184" s="286"/>
      <c r="K184" s="288"/>
      <c r="L184" s="286"/>
      <c r="M184" s="288"/>
      <c r="N184" s="286"/>
      <c r="O184" s="288"/>
      <c r="P184" s="286"/>
      <c r="Q184" s="288"/>
      <c r="R184" s="286"/>
      <c r="S184" s="288"/>
      <c r="T184" s="286"/>
      <c r="U184" s="288"/>
      <c r="V184" s="286"/>
      <c r="W184" s="288"/>
      <c r="X184" s="286"/>
      <c r="Y184" s="288"/>
      <c r="Z184" s="286"/>
      <c r="AA184" s="288"/>
      <c r="AB184" s="286"/>
      <c r="AC184" s="288"/>
      <c r="AD184" s="286"/>
      <c r="AE184" s="288"/>
      <c r="AF184" s="286"/>
      <c r="AG184" s="288"/>
      <c r="AH184" s="286"/>
      <c r="AI184" s="288"/>
      <c r="AJ184" s="286"/>
      <c r="AK184" s="286"/>
      <c r="AL184" s="286"/>
      <c r="AM184" s="286"/>
      <c r="AN184" s="286"/>
      <c r="AO184" s="286"/>
      <c r="AP184" s="286"/>
      <c r="AQ184" s="286"/>
      <c r="AR184" s="286"/>
      <c r="AS184" s="286"/>
      <c r="AT184" s="286"/>
      <c r="AU184" s="286"/>
      <c r="AV184" s="284"/>
      <c r="AW184" s="284"/>
      <c r="AX184" s="284"/>
      <c r="AY184" s="284"/>
      <c r="AZ184" s="284"/>
      <c r="BA184" s="284"/>
      <c r="BB184" s="284"/>
      <c r="BC184" s="284"/>
      <c r="BD184" s="284"/>
      <c r="BE184" s="284"/>
      <c r="BF184" s="284"/>
      <c r="BG184" s="284"/>
      <c r="BH184" s="284"/>
      <c r="BI184" s="284"/>
      <c r="BJ184" s="284"/>
      <c r="BK184" s="284"/>
      <c r="BL184" s="284"/>
      <c r="BM184" s="284"/>
      <c r="BN184" s="284"/>
      <c r="BO184" s="284"/>
      <c r="BP184" s="284"/>
      <c r="BQ184" s="284"/>
      <c r="BR184" s="284"/>
      <c r="BS184" s="284"/>
      <c r="BT184" s="284"/>
      <c r="BU184" s="284"/>
      <c r="BV184" s="284"/>
      <c r="BW184" s="284"/>
      <c r="BX184" s="284"/>
      <c r="BY184" s="284"/>
      <c r="BZ184" s="285"/>
      <c r="CA184" s="298">
        <f>SUM(C184,E184,G184,I184,K184,M184,O184,Q184,S184,U184,W184,Y184,AA184,AC184,AE184,AG184,AI184,AK184,AM184,AO184,AQ184,AS184,AU184,AW184,AY184,BA184,BC184,BE184,BG184,BI184,BK184,BM184,BO184,BQ184,BS184,BU184,BW184,BY184)</f>
        <v>0</v>
      </c>
      <c r="CB184" s="298">
        <f>SUM(D184,F184,H184,J184,L184,N184,P184,R184,T184,V184,X184,Z184,AB184,AD184,AF184,AH184,AJ184,AL184,AN184,AP184,AR184,AT184,AV184,AX184,AZ184,BB184,BD184,BF184,BH184,BJ184,BL184,BN184,BP184,BR184,BT184,BV184,BX184,BZ184)</f>
        <v>0</v>
      </c>
      <c r="CC184" s="299">
        <f>SUM(Table13[[#This Row],[GOALS 1]:[ASSISTS 38]])</f>
        <v>0</v>
      </c>
    </row>
    <row r="185" spans="1:81">
      <c r="A185" s="291" t="s">
        <v>1590</v>
      </c>
      <c r="B185" s="291" t="s">
        <v>634</v>
      </c>
      <c r="C185" s="288"/>
      <c r="D185" s="286"/>
      <c r="E185" s="288"/>
      <c r="F185" s="286"/>
      <c r="G185" s="288"/>
      <c r="H185" s="286"/>
      <c r="I185" s="288"/>
      <c r="J185" s="286"/>
      <c r="K185" s="288"/>
      <c r="L185" s="286"/>
      <c r="M185" s="288"/>
      <c r="N185" s="286"/>
      <c r="O185" s="288"/>
      <c r="P185" s="286"/>
      <c r="Q185" s="288"/>
      <c r="R185" s="286"/>
      <c r="S185" s="288"/>
      <c r="T185" s="286"/>
      <c r="U185" s="288"/>
      <c r="V185" s="286"/>
      <c r="W185" s="288"/>
      <c r="X185" s="286"/>
      <c r="Y185" s="288"/>
      <c r="Z185" s="286"/>
      <c r="AA185" s="288"/>
      <c r="AB185" s="286"/>
      <c r="AC185" s="288"/>
      <c r="AD185" s="286"/>
      <c r="AE185" s="288"/>
      <c r="AF185" s="286"/>
      <c r="AG185" s="288"/>
      <c r="AH185" s="286"/>
      <c r="AI185" s="288"/>
      <c r="AJ185" s="286"/>
      <c r="AK185" s="286"/>
      <c r="AL185" s="286"/>
      <c r="AM185" s="286"/>
      <c r="AN185" s="286"/>
      <c r="AO185" s="286"/>
      <c r="AP185" s="286"/>
      <c r="AQ185" s="286"/>
      <c r="AR185" s="286"/>
      <c r="AS185" s="286"/>
      <c r="AT185" s="286"/>
      <c r="AU185" s="286"/>
      <c r="AV185" s="284"/>
      <c r="AW185" s="284"/>
      <c r="AX185" s="284"/>
      <c r="AY185" s="284"/>
      <c r="AZ185" s="284"/>
      <c r="BA185" s="284"/>
      <c r="BB185" s="284"/>
      <c r="BC185" s="284"/>
      <c r="BD185" s="284"/>
      <c r="BE185" s="284"/>
      <c r="BF185" s="284"/>
      <c r="BG185" s="284"/>
      <c r="BH185" s="284"/>
      <c r="BI185" s="284"/>
      <c r="BJ185" s="284"/>
      <c r="BK185" s="284"/>
      <c r="BL185" s="284"/>
      <c r="BM185" s="284"/>
      <c r="BN185" s="284"/>
      <c r="BO185" s="284"/>
      <c r="BP185" s="284"/>
      <c r="BQ185" s="284"/>
      <c r="BR185" s="284"/>
      <c r="BS185" s="284"/>
      <c r="BT185" s="284"/>
      <c r="BU185" s="284"/>
      <c r="BV185" s="284"/>
      <c r="BW185" s="284"/>
      <c r="BX185" s="284"/>
      <c r="BY185" s="284"/>
      <c r="BZ185" s="285"/>
      <c r="CA185" s="298">
        <f>SUM(C185,E185,G185,I185,K185,M185,O185,Q185,S185,U185,W185,Y185,AA185,AC185,AE185,AG185,AI185,AK185,AM185,AO185,AQ185,AS185,AU185,AW185,AY185,BA185,BC185,BE185,BG185,BI185,BK185,BM185,BO185,BQ185,BS185,BU185,BW185,BY185)</f>
        <v>0</v>
      </c>
      <c r="CB185" s="298">
        <f>SUM(D185,F185,H185,J185,L185,N185,P185,R185,T185,V185,X185,Z185,AB185,AD185,AF185,AH185,AJ185,AL185,AN185,AP185,AR185,AT185,AV185,AX185,AZ185,BB185,BD185,BF185,BH185,BJ185,BL185,BN185,BP185,BR185,BT185,BV185,BX185,BZ185)</f>
        <v>0</v>
      </c>
      <c r="CC185" s="299">
        <f>SUM(Table13[[#This Row],[GOALS 1]:[ASSISTS 38]])</f>
        <v>0</v>
      </c>
    </row>
    <row r="186" spans="1:81">
      <c r="A186" s="291" t="s">
        <v>1648</v>
      </c>
      <c r="B186" s="291" t="s">
        <v>19</v>
      </c>
      <c r="C186" s="286"/>
      <c r="D186" s="286"/>
      <c r="E186" s="288"/>
      <c r="F186" s="286"/>
      <c r="G186" s="288"/>
      <c r="H186" s="286"/>
      <c r="I186" s="288"/>
      <c r="J186" s="286"/>
      <c r="K186" s="288"/>
      <c r="L186" s="286"/>
      <c r="M186" s="288"/>
      <c r="N186" s="286"/>
      <c r="O186" s="288"/>
      <c r="P186" s="286"/>
      <c r="Q186" s="288"/>
      <c r="R186" s="286"/>
      <c r="S186" s="288"/>
      <c r="T186" s="286"/>
      <c r="U186" s="288"/>
      <c r="V186" s="286"/>
      <c r="W186" s="288"/>
      <c r="X186" s="286"/>
      <c r="Y186" s="288"/>
      <c r="Z186" s="286"/>
      <c r="AA186" s="288"/>
      <c r="AB186" s="286"/>
      <c r="AC186" s="288"/>
      <c r="AD186" s="286"/>
      <c r="AE186" s="288"/>
      <c r="AF186" s="286"/>
      <c r="AG186" s="288"/>
      <c r="AH186" s="286"/>
      <c r="AI186" s="288"/>
      <c r="AJ186" s="286"/>
      <c r="AK186" s="286"/>
      <c r="AL186" s="286"/>
      <c r="AM186" s="286"/>
      <c r="AN186" s="286"/>
      <c r="AO186" s="286"/>
      <c r="AP186" s="286"/>
      <c r="AQ186" s="286"/>
      <c r="AR186" s="286"/>
      <c r="AS186" s="286"/>
      <c r="AT186" s="286"/>
      <c r="AU186" s="286"/>
      <c r="AV186" s="284"/>
      <c r="AW186" s="284"/>
      <c r="AX186" s="284"/>
      <c r="AY186" s="284"/>
      <c r="AZ186" s="284"/>
      <c r="BA186" s="284"/>
      <c r="BB186" s="284"/>
      <c r="BC186" s="284"/>
      <c r="BD186" s="284"/>
      <c r="BE186" s="284"/>
      <c r="BF186" s="284"/>
      <c r="BG186" s="284"/>
      <c r="BH186" s="284"/>
      <c r="BI186" s="284"/>
      <c r="BJ186" s="284"/>
      <c r="BK186" s="284"/>
      <c r="BL186" s="284"/>
      <c r="BM186" s="284"/>
      <c r="BN186" s="284"/>
      <c r="BO186" s="284"/>
      <c r="BP186" s="284"/>
      <c r="BQ186" s="284"/>
      <c r="BR186" s="284"/>
      <c r="BS186" s="284"/>
      <c r="BT186" s="284"/>
      <c r="BU186" s="284"/>
      <c r="BV186" s="284"/>
      <c r="BW186" s="284"/>
      <c r="BX186" s="284"/>
      <c r="BY186" s="284"/>
      <c r="BZ186" s="285"/>
      <c r="CA186" s="298">
        <f>SUM(C186,E186,G186,I186,K186,M186,O186,Q186,S186,U186,W186,Y186,AA186,AC186,AE186,AG186,AI186,AK186,AM186,AO186,AQ186,AS186,AU186,AW186,AY186,BA186,BC186,BE186,BG186,BI186,BK186,BM186,BO186,BQ186,BS186,BU186,BW186,BY186)</f>
        <v>0</v>
      </c>
      <c r="CB186" s="298">
        <f>SUM(D186,F186,H186,J186,L186,N186,P186,R186,T186,V186,X186,Z186,AB186,AD186,AF186,AH186,AJ186,AL186,AN186,AP186,AR186,AT186,AV186,AX186,AZ186,BB186,BD186,BF186,BH186,BJ186,BL186,BN186,BP186,BR186,BT186,BV186,BX186,BZ186)</f>
        <v>0</v>
      </c>
      <c r="CC186" s="299">
        <f>SUM(Table13[[#This Row],[GOALS 1]:[ASSISTS 38]])</f>
        <v>0</v>
      </c>
    </row>
    <row r="187" spans="1:81">
      <c r="A187" s="291" t="s">
        <v>1665</v>
      </c>
      <c r="B187" s="291" t="s">
        <v>43</v>
      </c>
      <c r="C187" s="286"/>
      <c r="D187" s="286"/>
      <c r="E187" s="288"/>
      <c r="F187" s="286"/>
      <c r="G187" s="288"/>
      <c r="H187" s="286"/>
      <c r="I187" s="288"/>
      <c r="J187" s="286"/>
      <c r="K187" s="288"/>
      <c r="L187" s="286"/>
      <c r="M187" s="288"/>
      <c r="N187" s="286"/>
      <c r="O187" s="288"/>
      <c r="P187" s="286"/>
      <c r="Q187" s="288"/>
      <c r="R187" s="286"/>
      <c r="S187" s="288"/>
      <c r="T187" s="286"/>
      <c r="U187" s="288"/>
      <c r="V187" s="286"/>
      <c r="W187" s="288"/>
      <c r="X187" s="286"/>
      <c r="Y187" s="288"/>
      <c r="Z187" s="286"/>
      <c r="AA187" s="288"/>
      <c r="AB187" s="286"/>
      <c r="AC187" s="288"/>
      <c r="AD187" s="286"/>
      <c r="AE187" s="288"/>
      <c r="AF187" s="286"/>
      <c r="AG187" s="288"/>
      <c r="AH187" s="286"/>
      <c r="AI187" s="288"/>
      <c r="AJ187" s="286"/>
      <c r="AK187" s="286"/>
      <c r="AL187" s="286"/>
      <c r="AM187" s="286"/>
      <c r="AN187" s="286"/>
      <c r="AO187" s="286"/>
      <c r="AP187" s="286"/>
      <c r="AQ187" s="286"/>
      <c r="AR187" s="286"/>
      <c r="AS187" s="286"/>
      <c r="AT187" s="286"/>
      <c r="AU187" s="286"/>
      <c r="AV187" s="284"/>
      <c r="AW187" s="284"/>
      <c r="AX187" s="284"/>
      <c r="AY187" s="284"/>
      <c r="AZ187" s="284"/>
      <c r="BA187" s="284"/>
      <c r="BB187" s="284"/>
      <c r="BC187" s="284"/>
      <c r="BD187" s="284"/>
      <c r="BE187" s="284"/>
      <c r="BF187" s="284"/>
      <c r="BG187" s="284"/>
      <c r="BH187" s="284"/>
      <c r="BI187" s="284"/>
      <c r="BJ187" s="284"/>
      <c r="BK187" s="284"/>
      <c r="BL187" s="284"/>
      <c r="BM187" s="284"/>
      <c r="BN187" s="284"/>
      <c r="BO187" s="284"/>
      <c r="BP187" s="284"/>
      <c r="BQ187" s="284"/>
      <c r="BR187" s="284"/>
      <c r="BS187" s="284"/>
      <c r="BT187" s="284"/>
      <c r="BU187" s="284"/>
      <c r="BV187" s="284"/>
      <c r="BW187" s="284"/>
      <c r="BX187" s="284"/>
      <c r="BY187" s="284"/>
      <c r="BZ187" s="285"/>
      <c r="CA187" s="298">
        <f>SUM(C187,E187,G187,I187,K187,M187,O187,Q187,S187,U187,W187,Y187,AA187,AC187,AE187,AG187,AI187,AK187,AM187,AO187,AQ187,AS187,AU187,AW187,AY187,BA187,BC187,BE187,BG187,BI187,BK187,BM187,BO187,BQ187,BS187,BU187,BW187,BY187)</f>
        <v>0</v>
      </c>
      <c r="CB187" s="298">
        <f>SUM(D187,F187,H187,J187,L187,N187,P187,R187,T187,V187,X187,Z187,AB187,AD187,AF187,AH187,AJ187,AL187,AN187,AP187,AR187,AT187,AV187,AX187,AZ187,BB187,BD187,BF187,BH187,BJ187,BL187,BN187,BP187,BR187,BT187,BV187,BX187,BZ187)</f>
        <v>0</v>
      </c>
      <c r="CC187" s="299">
        <f>SUM(Table13[[#This Row],[GOALS 1]:[ASSISTS 38]])</f>
        <v>0</v>
      </c>
    </row>
    <row r="188" spans="1:81">
      <c r="A188" s="291" t="s">
        <v>1808</v>
      </c>
      <c r="B188" s="291" t="s">
        <v>51</v>
      </c>
      <c r="C188" s="286"/>
      <c r="D188" s="286"/>
      <c r="E188" s="288"/>
      <c r="F188" s="286"/>
      <c r="G188" s="288"/>
      <c r="H188" s="286"/>
      <c r="I188" s="288"/>
      <c r="J188" s="286"/>
      <c r="K188" s="288"/>
      <c r="L188" s="286"/>
      <c r="M188" s="288"/>
      <c r="N188" s="286"/>
      <c r="O188" s="288"/>
      <c r="P188" s="286"/>
      <c r="Q188" s="288"/>
      <c r="R188" s="286"/>
      <c r="S188" s="288"/>
      <c r="T188" s="286"/>
      <c r="U188" s="288"/>
      <c r="V188" s="286"/>
      <c r="W188" s="288"/>
      <c r="X188" s="286"/>
      <c r="Y188" s="288"/>
      <c r="Z188" s="286"/>
      <c r="AA188" s="288"/>
      <c r="AB188" s="286"/>
      <c r="AC188" s="288"/>
      <c r="AD188" s="286"/>
      <c r="AE188" s="288"/>
      <c r="AF188" s="286"/>
      <c r="AG188" s="288"/>
      <c r="AH188" s="286"/>
      <c r="AI188" s="288"/>
      <c r="AJ188" s="286"/>
      <c r="AK188" s="286"/>
      <c r="AL188" s="286"/>
      <c r="AM188" s="286"/>
      <c r="AN188" s="286"/>
      <c r="AO188" s="286"/>
      <c r="AP188" s="286"/>
      <c r="AQ188" s="286"/>
      <c r="AR188" s="286"/>
      <c r="AS188" s="286"/>
      <c r="AT188" s="286"/>
      <c r="AU188" s="286"/>
      <c r="AV188" s="284"/>
      <c r="AW188" s="284"/>
      <c r="AX188" s="284"/>
      <c r="AY188" s="284"/>
      <c r="AZ188" s="284"/>
      <c r="BA188" s="284"/>
      <c r="BB188" s="284"/>
      <c r="BC188" s="284"/>
      <c r="BD188" s="284"/>
      <c r="BE188" s="284"/>
      <c r="BF188" s="284"/>
      <c r="BG188" s="284"/>
      <c r="BH188" s="284"/>
      <c r="BI188" s="284"/>
      <c r="BJ188" s="284"/>
      <c r="BK188" s="284"/>
      <c r="BL188" s="284"/>
      <c r="BM188" s="284"/>
      <c r="BN188" s="284"/>
      <c r="BO188" s="284"/>
      <c r="BP188" s="284"/>
      <c r="BQ188" s="284"/>
      <c r="BR188" s="284"/>
      <c r="BS188" s="284"/>
      <c r="BT188" s="284"/>
      <c r="BU188" s="284"/>
      <c r="BV188" s="284"/>
      <c r="BW188" s="284"/>
      <c r="BX188" s="284"/>
      <c r="BY188" s="284"/>
      <c r="BZ188" s="285"/>
      <c r="CA188" s="298">
        <f>SUM(C188,E188,G188,I188,K188,M188,O188,Q188,S188,U188,W188,Y188,AA188,AC188,AE188,AG188,AI188,AK188,AM188,AO188,AQ188,AS188,AU188,AW188,AY188,BA188,BC188,BE188,BG188,BI188,BK188,BM188,BO188,BQ188,BS188,BU188,BW188,BY188)</f>
        <v>0</v>
      </c>
      <c r="CB188" s="298">
        <f>SUM(D188,F188,H188,J188,L188,N188,P188,R188,T188,V188,X188,Z188,AB188,AD188,AF188,AH188,AJ188,AL188,AN188,AP188,AR188,AT188,AV188,AX188,AZ188,BB188,BD188,BF188,BH188,BJ188,BL188,BN188,BP188,BR188,BT188,BV188,BX188,BZ188)</f>
        <v>0</v>
      </c>
      <c r="CC188" s="299">
        <f>SUM(Table13[[#This Row],[GOALS 1]:[ASSISTS 38]])</f>
        <v>0</v>
      </c>
    </row>
    <row r="189" spans="1:81">
      <c r="A189" s="291" t="s">
        <v>1416</v>
      </c>
      <c r="B189" s="291" t="s">
        <v>633</v>
      </c>
      <c r="C189" s="289"/>
      <c r="D189" s="286"/>
      <c r="E189" s="288"/>
      <c r="F189" s="286"/>
      <c r="G189" s="288"/>
      <c r="H189" s="286"/>
      <c r="I189" s="288"/>
      <c r="J189" s="286"/>
      <c r="K189" s="288"/>
      <c r="L189" s="286"/>
      <c r="M189" s="288"/>
      <c r="N189" s="286"/>
      <c r="O189" s="288"/>
      <c r="P189" s="286"/>
      <c r="Q189" s="288"/>
      <c r="R189" s="286"/>
      <c r="S189" s="288"/>
      <c r="T189" s="286"/>
      <c r="U189" s="288"/>
      <c r="V189" s="286"/>
      <c r="W189" s="288"/>
      <c r="X189" s="286"/>
      <c r="Y189" s="288"/>
      <c r="Z189" s="286"/>
      <c r="AA189" s="288"/>
      <c r="AB189" s="286"/>
      <c r="AC189" s="288"/>
      <c r="AD189" s="286"/>
      <c r="AE189" s="288"/>
      <c r="AF189" s="286"/>
      <c r="AG189" s="288"/>
      <c r="AH189" s="286"/>
      <c r="AI189" s="288"/>
      <c r="AJ189" s="286"/>
      <c r="AK189" s="286"/>
      <c r="AL189" s="286"/>
      <c r="AM189" s="286"/>
      <c r="AN189" s="286"/>
      <c r="AO189" s="286"/>
      <c r="AP189" s="286"/>
      <c r="AQ189" s="286"/>
      <c r="AR189" s="286"/>
      <c r="AS189" s="286"/>
      <c r="AT189" s="286"/>
      <c r="AU189" s="286"/>
      <c r="AV189" s="284"/>
      <c r="AW189" s="284"/>
      <c r="AX189" s="284"/>
      <c r="AY189" s="284"/>
      <c r="AZ189" s="284"/>
      <c r="BA189" s="284"/>
      <c r="BB189" s="284"/>
      <c r="BC189" s="284"/>
      <c r="BD189" s="284"/>
      <c r="BE189" s="284"/>
      <c r="BF189" s="284"/>
      <c r="BG189" s="284"/>
      <c r="BH189" s="284"/>
      <c r="BI189" s="284"/>
      <c r="BJ189" s="284"/>
      <c r="BK189" s="284"/>
      <c r="BL189" s="284"/>
      <c r="BM189" s="284"/>
      <c r="BN189" s="284"/>
      <c r="BO189" s="284"/>
      <c r="BP189" s="284"/>
      <c r="BQ189" s="284"/>
      <c r="BR189" s="284"/>
      <c r="BS189" s="284"/>
      <c r="BT189" s="284"/>
      <c r="BU189" s="284"/>
      <c r="BV189" s="284"/>
      <c r="BW189" s="284"/>
      <c r="BX189" s="284"/>
      <c r="BY189" s="284"/>
      <c r="BZ189" s="285"/>
      <c r="CA189" s="298">
        <f>SUM(C189,E189,G189,I189,K189,M189,O189,Q189,S189,U189,W189,Y189,AA189,AC189,AE189,AG189,AI189,AK189,AM189,AO189,AQ189,AS189,AU189,AW189,AY189,BA189,BC189,BE189,BG189,BI189,BK189,BM189,BO189,BQ189,BS189,BU189,BW189,BY189)</f>
        <v>0</v>
      </c>
      <c r="CB189" s="298">
        <f>SUM(D189,F189,H189,J189,L189,N189,P189,R189,T189,V189,X189,Z189,AB189,AD189,AF189,AH189,AJ189,AL189,AN189,AP189,AR189,AT189,AV189,AX189,AZ189,BB189,BD189,BF189,BH189,BJ189,BL189,BN189,BP189,BR189,BT189,BV189,BX189,BZ189)</f>
        <v>0</v>
      </c>
      <c r="CC189" s="299">
        <f>SUM(Table13[[#This Row],[GOALS 1]:[ASSISTS 38]])</f>
        <v>0</v>
      </c>
    </row>
    <row r="190" spans="1:81">
      <c r="A190" s="291" t="s">
        <v>1317</v>
      </c>
      <c r="B190" s="291" t="s">
        <v>33</v>
      </c>
      <c r="C190" s="289"/>
      <c r="D190" s="286"/>
      <c r="E190" s="288"/>
      <c r="F190" s="286"/>
      <c r="G190" s="288"/>
      <c r="H190" s="286"/>
      <c r="I190" s="288"/>
      <c r="J190" s="286"/>
      <c r="K190" s="288"/>
      <c r="L190" s="286"/>
      <c r="M190" s="288"/>
      <c r="N190" s="286"/>
      <c r="O190" s="288"/>
      <c r="P190" s="286"/>
      <c r="Q190" s="288"/>
      <c r="R190" s="286"/>
      <c r="S190" s="288"/>
      <c r="T190" s="286"/>
      <c r="U190" s="288"/>
      <c r="V190" s="286"/>
      <c r="W190" s="288"/>
      <c r="X190" s="286"/>
      <c r="Y190" s="288"/>
      <c r="Z190" s="286"/>
      <c r="AA190" s="288"/>
      <c r="AB190" s="286"/>
      <c r="AC190" s="288"/>
      <c r="AD190" s="286"/>
      <c r="AE190" s="288"/>
      <c r="AF190" s="286"/>
      <c r="AG190" s="288"/>
      <c r="AH190" s="286"/>
      <c r="AI190" s="288"/>
      <c r="AJ190" s="286"/>
      <c r="AK190" s="286"/>
      <c r="AL190" s="286"/>
      <c r="AM190" s="286"/>
      <c r="AN190" s="286"/>
      <c r="AO190" s="286"/>
      <c r="AP190" s="286"/>
      <c r="AQ190" s="286"/>
      <c r="AR190" s="286"/>
      <c r="AS190" s="286"/>
      <c r="AT190" s="286"/>
      <c r="AU190" s="286"/>
      <c r="AV190" s="284"/>
      <c r="AW190" s="284"/>
      <c r="AX190" s="284"/>
      <c r="AY190" s="284"/>
      <c r="AZ190" s="284"/>
      <c r="BA190" s="284"/>
      <c r="BB190" s="284"/>
      <c r="BC190" s="284"/>
      <c r="BD190" s="284"/>
      <c r="BE190" s="284"/>
      <c r="BF190" s="284"/>
      <c r="BG190" s="284"/>
      <c r="BH190" s="284"/>
      <c r="BI190" s="284"/>
      <c r="BJ190" s="284"/>
      <c r="BK190" s="284"/>
      <c r="BL190" s="284"/>
      <c r="BM190" s="284"/>
      <c r="BN190" s="284"/>
      <c r="BO190" s="284"/>
      <c r="BP190" s="284"/>
      <c r="BQ190" s="284"/>
      <c r="BR190" s="284"/>
      <c r="BS190" s="284"/>
      <c r="BT190" s="284"/>
      <c r="BU190" s="284"/>
      <c r="BV190" s="284"/>
      <c r="BW190" s="284"/>
      <c r="BX190" s="284"/>
      <c r="BY190" s="284"/>
      <c r="BZ190" s="285"/>
      <c r="CA190" s="298">
        <f>SUM(C190,E190,G190,I190,K190,M190,O190,Q190,S190,U190,W190,Y190,AA190,AC190,AE190,AG190,AI190,AK190,AM190,AO190,AQ190,AS190,AU190,AW190,AY190,BA190,BC190,BE190,BG190,BI190,BK190,BM190,BO190,BQ190,BS190,BU190,BW190,BY190)</f>
        <v>0</v>
      </c>
      <c r="CB190" s="298">
        <f>SUM(D190,F190,H190,J190,L190,N190,P190,R190,T190,V190,X190,Z190,AB190,AD190,AF190,AH190,AJ190,AL190,AN190,AP190,AR190,AT190,AV190,AX190,AZ190,BB190,BD190,BF190,BH190,BJ190,BL190,BN190,BP190,BR190,BT190,BV190,BX190,BZ190)</f>
        <v>0</v>
      </c>
      <c r="CC190" s="299">
        <f>SUM(Table13[[#This Row],[GOALS 1]:[ASSISTS 38]])</f>
        <v>0</v>
      </c>
    </row>
    <row r="191" spans="1:81">
      <c r="A191" s="291" t="s">
        <v>1603</v>
      </c>
      <c r="B191" s="291" t="s">
        <v>22</v>
      </c>
      <c r="C191" s="286"/>
      <c r="D191" s="286"/>
      <c r="E191" s="288"/>
      <c r="F191" s="286"/>
      <c r="G191" s="288"/>
      <c r="H191" s="286"/>
      <c r="I191" s="288"/>
      <c r="J191" s="286"/>
      <c r="K191" s="288"/>
      <c r="L191" s="286"/>
      <c r="M191" s="288"/>
      <c r="N191" s="286"/>
      <c r="O191" s="288"/>
      <c r="P191" s="286"/>
      <c r="Q191" s="288"/>
      <c r="R191" s="286"/>
      <c r="S191" s="288"/>
      <c r="T191" s="286"/>
      <c r="U191" s="288"/>
      <c r="V191" s="286"/>
      <c r="W191" s="288"/>
      <c r="X191" s="286"/>
      <c r="Y191" s="288"/>
      <c r="Z191" s="286"/>
      <c r="AA191" s="288"/>
      <c r="AB191" s="286"/>
      <c r="AC191" s="288"/>
      <c r="AD191" s="286"/>
      <c r="AE191" s="288"/>
      <c r="AF191" s="286"/>
      <c r="AG191" s="288"/>
      <c r="AH191" s="286"/>
      <c r="AI191" s="288"/>
      <c r="AJ191" s="286"/>
      <c r="AK191" s="286"/>
      <c r="AL191" s="286"/>
      <c r="AM191" s="286"/>
      <c r="AN191" s="286"/>
      <c r="AO191" s="286"/>
      <c r="AP191" s="286"/>
      <c r="AQ191" s="286"/>
      <c r="AR191" s="286"/>
      <c r="AS191" s="286"/>
      <c r="AT191" s="286"/>
      <c r="AU191" s="286"/>
      <c r="AV191" s="284"/>
      <c r="AW191" s="284"/>
      <c r="AX191" s="284"/>
      <c r="AY191" s="284"/>
      <c r="AZ191" s="284"/>
      <c r="BA191" s="284"/>
      <c r="BB191" s="284"/>
      <c r="BC191" s="284"/>
      <c r="BD191" s="284"/>
      <c r="BE191" s="284"/>
      <c r="BF191" s="284"/>
      <c r="BG191" s="284"/>
      <c r="BH191" s="284"/>
      <c r="BI191" s="284"/>
      <c r="BJ191" s="284"/>
      <c r="BK191" s="284"/>
      <c r="BL191" s="284"/>
      <c r="BM191" s="284"/>
      <c r="BN191" s="284"/>
      <c r="BO191" s="284"/>
      <c r="BP191" s="284"/>
      <c r="BQ191" s="284"/>
      <c r="BR191" s="284"/>
      <c r="BS191" s="284"/>
      <c r="BT191" s="284"/>
      <c r="BU191" s="284"/>
      <c r="BV191" s="284"/>
      <c r="BW191" s="284"/>
      <c r="BX191" s="284"/>
      <c r="BY191" s="284"/>
      <c r="BZ191" s="285"/>
      <c r="CA191" s="298">
        <f>SUM(C191,E191,G191,I191,K191,M191,O191,Q191,S191,U191,W191,Y191,AA191,AC191,AE191,AG191,AI191,AK191,AM191,AO191,AQ191,AS191,AU191,AW191,AY191,BA191,BC191,BE191,BG191,BI191,BK191,BM191,BO191,BQ191,BS191,BU191,BW191,BY191)</f>
        <v>0</v>
      </c>
      <c r="CB191" s="298">
        <f>SUM(D191,F191,H191,J191,L191,N191,P191,R191,T191,V191,X191,Z191,AB191,AD191,AF191,AH191,AJ191,AL191,AN191,AP191,AR191,AT191,AV191,AX191,AZ191,BB191,BD191,BF191,BH191,BJ191,BL191,BN191,BP191,BR191,BT191,BV191,BX191,BZ191)</f>
        <v>0</v>
      </c>
      <c r="CC191" s="299">
        <f>SUM(Table13[[#This Row],[GOALS 1]:[ASSISTS 38]])</f>
        <v>0</v>
      </c>
    </row>
    <row r="192" spans="1:81">
      <c r="A192" s="291" t="s">
        <v>1747</v>
      </c>
      <c r="B192" s="291" t="s">
        <v>633</v>
      </c>
      <c r="C192" s="289"/>
      <c r="D192" s="286"/>
      <c r="E192" s="288"/>
      <c r="F192" s="286"/>
      <c r="G192" s="288"/>
      <c r="H192" s="286"/>
      <c r="I192" s="288"/>
      <c r="J192" s="286"/>
      <c r="K192" s="288"/>
      <c r="L192" s="286"/>
      <c r="M192" s="288"/>
      <c r="N192" s="286"/>
      <c r="O192" s="288"/>
      <c r="P192" s="286"/>
      <c r="Q192" s="288"/>
      <c r="R192" s="286"/>
      <c r="S192" s="288"/>
      <c r="T192" s="286"/>
      <c r="U192" s="288"/>
      <c r="V192" s="286"/>
      <c r="W192" s="288"/>
      <c r="X192" s="286"/>
      <c r="Y192" s="288"/>
      <c r="Z192" s="286"/>
      <c r="AA192" s="288"/>
      <c r="AB192" s="286"/>
      <c r="AC192" s="288"/>
      <c r="AD192" s="286"/>
      <c r="AE192" s="288"/>
      <c r="AF192" s="286"/>
      <c r="AG192" s="288"/>
      <c r="AH192" s="286"/>
      <c r="AI192" s="288"/>
      <c r="AJ192" s="286"/>
      <c r="AK192" s="286"/>
      <c r="AL192" s="286"/>
      <c r="AM192" s="286"/>
      <c r="AN192" s="286"/>
      <c r="AO192" s="286"/>
      <c r="AP192" s="286"/>
      <c r="AQ192" s="286"/>
      <c r="AR192" s="286"/>
      <c r="AS192" s="286"/>
      <c r="AT192" s="286"/>
      <c r="AU192" s="286"/>
      <c r="AV192" s="284"/>
      <c r="AW192" s="284"/>
      <c r="AX192" s="284"/>
      <c r="AY192" s="284"/>
      <c r="AZ192" s="284"/>
      <c r="BA192" s="284"/>
      <c r="BB192" s="284"/>
      <c r="BC192" s="284"/>
      <c r="BD192" s="284"/>
      <c r="BE192" s="284"/>
      <c r="BF192" s="284"/>
      <c r="BG192" s="284"/>
      <c r="BH192" s="284"/>
      <c r="BI192" s="284"/>
      <c r="BJ192" s="284"/>
      <c r="BK192" s="284"/>
      <c r="BL192" s="284"/>
      <c r="BM192" s="284"/>
      <c r="BN192" s="284"/>
      <c r="BO192" s="284"/>
      <c r="BP192" s="284"/>
      <c r="BQ192" s="284"/>
      <c r="BR192" s="284"/>
      <c r="BS192" s="284"/>
      <c r="BT192" s="284"/>
      <c r="BU192" s="284"/>
      <c r="BV192" s="284"/>
      <c r="BW192" s="284"/>
      <c r="BX192" s="284"/>
      <c r="BY192" s="284"/>
      <c r="BZ192" s="285"/>
      <c r="CA192" s="298">
        <f>SUM(C192,E192,G192,I192,K192,M192,O192,Q192,S192,U192,W192,Y192,AA192,AC192,AE192,AG192,AI192,AK192,AM192,AO192,AQ192,AS192,AU192,AW192,AY192,BA192,BC192,BE192,BG192,BI192,BK192,BM192,BO192,BQ192,BS192,BU192,BW192,BY192)</f>
        <v>0</v>
      </c>
      <c r="CB192" s="298">
        <f>SUM(D192,F192,H192,J192,L192,N192,P192,R192,T192,V192,X192,Z192,AB192,AD192,AF192,AH192,AJ192,AL192,AN192,AP192,AR192,AT192,AV192,AX192,AZ192,BB192,BD192,BF192,BH192,BJ192,BL192,BN192,BP192,BR192,BT192,BV192,BX192,BZ192)</f>
        <v>0</v>
      </c>
      <c r="CC192" s="299">
        <f>SUM(Table13[[#This Row],[GOALS 1]:[ASSISTS 38]])</f>
        <v>0</v>
      </c>
    </row>
    <row r="193" spans="1:81">
      <c r="A193" s="291" t="s">
        <v>1382</v>
      </c>
      <c r="B193" s="291" t="s">
        <v>20</v>
      </c>
      <c r="C193" s="289"/>
      <c r="D193" s="286"/>
      <c r="E193" s="288"/>
      <c r="F193" s="286"/>
      <c r="G193" s="288"/>
      <c r="H193" s="286"/>
      <c r="I193" s="288"/>
      <c r="J193" s="286"/>
      <c r="K193" s="288"/>
      <c r="L193" s="286"/>
      <c r="M193" s="288"/>
      <c r="N193" s="286"/>
      <c r="O193" s="288"/>
      <c r="P193" s="286"/>
      <c r="Q193" s="288"/>
      <c r="R193" s="286"/>
      <c r="S193" s="288"/>
      <c r="T193" s="286"/>
      <c r="U193" s="288"/>
      <c r="V193" s="286"/>
      <c r="W193" s="288"/>
      <c r="X193" s="286"/>
      <c r="Y193" s="288"/>
      <c r="Z193" s="286"/>
      <c r="AA193" s="288"/>
      <c r="AB193" s="286"/>
      <c r="AC193" s="288"/>
      <c r="AD193" s="286"/>
      <c r="AE193" s="288"/>
      <c r="AF193" s="286"/>
      <c r="AG193" s="288"/>
      <c r="AH193" s="286"/>
      <c r="AI193" s="288"/>
      <c r="AJ193" s="286"/>
      <c r="AK193" s="286"/>
      <c r="AL193" s="286"/>
      <c r="AM193" s="286"/>
      <c r="AN193" s="286"/>
      <c r="AO193" s="286"/>
      <c r="AP193" s="286"/>
      <c r="AQ193" s="286"/>
      <c r="AR193" s="286"/>
      <c r="AS193" s="286"/>
      <c r="AT193" s="286"/>
      <c r="AU193" s="286"/>
      <c r="AV193" s="284"/>
      <c r="AW193" s="284"/>
      <c r="AX193" s="284"/>
      <c r="AY193" s="284"/>
      <c r="AZ193" s="284"/>
      <c r="BA193" s="284"/>
      <c r="BB193" s="284"/>
      <c r="BC193" s="284"/>
      <c r="BD193" s="284"/>
      <c r="BE193" s="284"/>
      <c r="BF193" s="284"/>
      <c r="BG193" s="284"/>
      <c r="BH193" s="284"/>
      <c r="BI193" s="284"/>
      <c r="BJ193" s="284"/>
      <c r="BK193" s="284"/>
      <c r="BL193" s="284"/>
      <c r="BM193" s="284"/>
      <c r="BN193" s="284"/>
      <c r="BO193" s="284"/>
      <c r="BP193" s="284"/>
      <c r="BQ193" s="284"/>
      <c r="BR193" s="284"/>
      <c r="BS193" s="284"/>
      <c r="BT193" s="284"/>
      <c r="BU193" s="284"/>
      <c r="BV193" s="284"/>
      <c r="BW193" s="284"/>
      <c r="BX193" s="284"/>
      <c r="BY193" s="284"/>
      <c r="BZ193" s="285"/>
      <c r="CA193" s="298">
        <f>SUM(C193,E193,G193,I193,K193,M193,O193,Q193,S193,U193,W193,Y193,AA193,AC193,AE193,AG193,AI193,AK193,AM193,AO193,AQ193,AS193,AU193,AW193,AY193,BA193,BC193,BE193,BG193,BI193,BK193,BM193,BO193,BQ193,BS193,BU193,BW193,BY193)</f>
        <v>0</v>
      </c>
      <c r="CB193" s="298">
        <f>SUM(D193,F193,H193,J193,L193,N193,P193,R193,T193,V193,X193,Z193,AB193,AD193,AF193,AH193,AJ193,AL193,AN193,AP193,AR193,AT193,AV193,AX193,AZ193,BB193,BD193,BF193,BH193,BJ193,BL193,BN193,BP193,BR193,BT193,BV193,BX193,BZ193)</f>
        <v>0</v>
      </c>
      <c r="CC193" s="299">
        <f>SUM(Table13[[#This Row],[GOALS 1]:[ASSISTS 38]])</f>
        <v>0</v>
      </c>
    </row>
    <row r="194" spans="1:81">
      <c r="A194" s="291" t="s">
        <v>1481</v>
      </c>
      <c r="B194" s="291" t="s">
        <v>26</v>
      </c>
      <c r="C194" s="286"/>
      <c r="D194" s="286"/>
      <c r="E194" s="288"/>
      <c r="F194" s="286"/>
      <c r="G194" s="288"/>
      <c r="H194" s="286"/>
      <c r="I194" s="288"/>
      <c r="J194" s="286"/>
      <c r="K194" s="288"/>
      <c r="L194" s="286"/>
      <c r="M194" s="288"/>
      <c r="N194" s="286"/>
      <c r="O194" s="288"/>
      <c r="P194" s="286"/>
      <c r="Q194" s="288"/>
      <c r="R194" s="286"/>
      <c r="S194" s="288"/>
      <c r="T194" s="286"/>
      <c r="U194" s="288"/>
      <c r="V194" s="286"/>
      <c r="W194" s="288"/>
      <c r="X194" s="286"/>
      <c r="Y194" s="288"/>
      <c r="Z194" s="286"/>
      <c r="AA194" s="288"/>
      <c r="AB194" s="286"/>
      <c r="AC194" s="288"/>
      <c r="AD194" s="286"/>
      <c r="AE194" s="288"/>
      <c r="AF194" s="286"/>
      <c r="AG194" s="288"/>
      <c r="AH194" s="286"/>
      <c r="AI194" s="288"/>
      <c r="AJ194" s="286"/>
      <c r="AK194" s="286"/>
      <c r="AL194" s="286"/>
      <c r="AM194" s="286"/>
      <c r="AN194" s="286"/>
      <c r="AO194" s="286"/>
      <c r="AP194" s="286"/>
      <c r="AQ194" s="286"/>
      <c r="AR194" s="286"/>
      <c r="AS194" s="286"/>
      <c r="AT194" s="286"/>
      <c r="AU194" s="286"/>
      <c r="AV194" s="284"/>
      <c r="AW194" s="284"/>
      <c r="AX194" s="284"/>
      <c r="AY194" s="284"/>
      <c r="AZ194" s="284"/>
      <c r="BA194" s="284"/>
      <c r="BB194" s="284"/>
      <c r="BC194" s="284"/>
      <c r="BD194" s="284"/>
      <c r="BE194" s="284"/>
      <c r="BF194" s="284"/>
      <c r="BG194" s="284"/>
      <c r="BH194" s="284"/>
      <c r="BI194" s="284"/>
      <c r="BJ194" s="284"/>
      <c r="BK194" s="284"/>
      <c r="BL194" s="284"/>
      <c r="BM194" s="284"/>
      <c r="BN194" s="284"/>
      <c r="BO194" s="284"/>
      <c r="BP194" s="284"/>
      <c r="BQ194" s="284"/>
      <c r="BR194" s="284"/>
      <c r="BS194" s="284"/>
      <c r="BT194" s="284"/>
      <c r="BU194" s="284"/>
      <c r="BV194" s="284"/>
      <c r="BW194" s="284"/>
      <c r="BX194" s="284"/>
      <c r="BY194" s="284"/>
      <c r="BZ194" s="285"/>
      <c r="CA194" s="298">
        <f>SUM(C194,E194,G194,I194,K194,M194,O194,Q194,S194,U194,W194,Y194,AA194,AC194,AE194,AG194,AI194,AK194,AM194,AO194,AQ194,AS194,AU194,AW194,AY194,BA194,BC194,BE194,BG194,BI194,BK194,BM194,BO194,BQ194,BS194,BU194,BW194,BY194)</f>
        <v>0</v>
      </c>
      <c r="CB194" s="298">
        <f>SUM(D194,F194,H194,J194,L194,N194,P194,R194,T194,V194,X194,Z194,AB194,AD194,AF194,AH194,AJ194,AL194,AN194,AP194,AR194,AT194,AV194,AX194,AZ194,BB194,BD194,BF194,BH194,BJ194,BL194,BN194,BP194,BR194,BT194,BV194,BX194,BZ194)</f>
        <v>0</v>
      </c>
      <c r="CC194" s="299">
        <f>SUM(Table13[[#This Row],[GOALS 1]:[ASSISTS 38]])</f>
        <v>0</v>
      </c>
    </row>
    <row r="195" spans="1:81">
      <c r="A195" s="291" t="s">
        <v>1345</v>
      </c>
      <c r="B195" s="291" t="s">
        <v>19</v>
      </c>
      <c r="C195" s="286"/>
      <c r="D195" s="286"/>
      <c r="E195" s="288"/>
      <c r="F195" s="286"/>
      <c r="G195" s="288"/>
      <c r="H195" s="286"/>
      <c r="I195" s="288"/>
      <c r="J195" s="286"/>
      <c r="K195" s="288"/>
      <c r="L195" s="286"/>
      <c r="M195" s="288"/>
      <c r="N195" s="286"/>
      <c r="O195" s="288"/>
      <c r="P195" s="286"/>
      <c r="Q195" s="288"/>
      <c r="R195" s="286"/>
      <c r="S195" s="288"/>
      <c r="T195" s="286"/>
      <c r="U195" s="288"/>
      <c r="V195" s="286"/>
      <c r="W195" s="288"/>
      <c r="X195" s="286"/>
      <c r="Y195" s="288"/>
      <c r="Z195" s="286"/>
      <c r="AA195" s="288"/>
      <c r="AB195" s="286"/>
      <c r="AC195" s="288"/>
      <c r="AD195" s="286"/>
      <c r="AE195" s="288"/>
      <c r="AF195" s="286"/>
      <c r="AG195" s="288"/>
      <c r="AH195" s="286"/>
      <c r="AI195" s="288"/>
      <c r="AJ195" s="286"/>
      <c r="AK195" s="286"/>
      <c r="AL195" s="286"/>
      <c r="AM195" s="286"/>
      <c r="AN195" s="286"/>
      <c r="AO195" s="286"/>
      <c r="AP195" s="286"/>
      <c r="AQ195" s="286"/>
      <c r="AR195" s="286"/>
      <c r="AS195" s="286"/>
      <c r="AT195" s="286"/>
      <c r="AU195" s="286"/>
      <c r="AV195" s="284"/>
      <c r="AW195" s="284"/>
      <c r="AX195" s="284"/>
      <c r="AY195" s="284"/>
      <c r="AZ195" s="284"/>
      <c r="BA195" s="284"/>
      <c r="BB195" s="284"/>
      <c r="BC195" s="284"/>
      <c r="BD195" s="284"/>
      <c r="BE195" s="284"/>
      <c r="BF195" s="284"/>
      <c r="BG195" s="284"/>
      <c r="BH195" s="284"/>
      <c r="BI195" s="284"/>
      <c r="BJ195" s="284"/>
      <c r="BK195" s="284"/>
      <c r="BL195" s="284"/>
      <c r="BM195" s="284"/>
      <c r="BN195" s="284"/>
      <c r="BO195" s="284"/>
      <c r="BP195" s="284"/>
      <c r="BQ195" s="284"/>
      <c r="BR195" s="284"/>
      <c r="BS195" s="284"/>
      <c r="BT195" s="284"/>
      <c r="BU195" s="284"/>
      <c r="BV195" s="284"/>
      <c r="BW195" s="284"/>
      <c r="BX195" s="284"/>
      <c r="BY195" s="284"/>
      <c r="BZ195" s="285"/>
      <c r="CA195" s="298">
        <f>SUM(C195,E195,G195,I195,K195,M195,O195,Q195,S195,U195,W195,Y195,AA195,AC195,AE195,AG195,AI195,AK195,AM195,AO195,AQ195,AS195,AU195,AW195,AY195,BA195,BC195,BE195,BG195,BI195,BK195,BM195,BO195,BQ195,BS195,BU195,BW195,BY195)</f>
        <v>0</v>
      </c>
      <c r="CB195" s="298">
        <f>SUM(D195,F195,H195,J195,L195,N195,P195,R195,T195,V195,X195,Z195,AB195,AD195,AF195,AH195,AJ195,AL195,AN195,AP195,AR195,AT195,AV195,AX195,AZ195,BB195,BD195,BF195,BH195,BJ195,BL195,BN195,BP195,BR195,BT195,BV195,BX195,BZ195)</f>
        <v>0</v>
      </c>
      <c r="CC195" s="299">
        <f>SUM(Table13[[#This Row],[GOALS 1]:[ASSISTS 38]])</f>
        <v>0</v>
      </c>
    </row>
    <row r="196" spans="1:81">
      <c r="A196" s="291" t="s">
        <v>1891</v>
      </c>
      <c r="B196" s="291" t="s">
        <v>634</v>
      </c>
      <c r="C196" s="288"/>
      <c r="D196" s="286"/>
      <c r="E196" s="288"/>
      <c r="F196" s="286"/>
      <c r="G196" s="288"/>
      <c r="H196" s="286"/>
      <c r="I196" s="288"/>
      <c r="J196" s="286"/>
      <c r="K196" s="288"/>
      <c r="L196" s="286"/>
      <c r="M196" s="288"/>
      <c r="N196" s="286"/>
      <c r="O196" s="288"/>
      <c r="P196" s="286"/>
      <c r="Q196" s="288"/>
      <c r="R196" s="286"/>
      <c r="S196" s="288"/>
      <c r="T196" s="286"/>
      <c r="U196" s="288"/>
      <c r="V196" s="286"/>
      <c r="W196" s="288"/>
      <c r="X196" s="286"/>
      <c r="Y196" s="288"/>
      <c r="Z196" s="286"/>
      <c r="AA196" s="288"/>
      <c r="AB196" s="286"/>
      <c r="AC196" s="288"/>
      <c r="AD196" s="286"/>
      <c r="AE196" s="288"/>
      <c r="AF196" s="286"/>
      <c r="AG196" s="288"/>
      <c r="AH196" s="286"/>
      <c r="AI196" s="288"/>
      <c r="AJ196" s="286"/>
      <c r="AK196" s="286"/>
      <c r="AL196" s="286"/>
      <c r="AM196" s="286"/>
      <c r="AN196" s="286"/>
      <c r="AO196" s="286"/>
      <c r="AP196" s="286"/>
      <c r="AQ196" s="286"/>
      <c r="AR196" s="286"/>
      <c r="AS196" s="286"/>
      <c r="AT196" s="286"/>
      <c r="AU196" s="286"/>
      <c r="AV196" s="284"/>
      <c r="AW196" s="284"/>
      <c r="AX196" s="284"/>
      <c r="AY196" s="284"/>
      <c r="AZ196" s="284"/>
      <c r="BA196" s="284"/>
      <c r="BB196" s="284"/>
      <c r="BC196" s="284"/>
      <c r="BD196" s="284"/>
      <c r="BE196" s="284"/>
      <c r="BF196" s="284"/>
      <c r="BG196" s="284"/>
      <c r="BH196" s="284"/>
      <c r="BI196" s="284"/>
      <c r="BJ196" s="284"/>
      <c r="BK196" s="284"/>
      <c r="BL196" s="284"/>
      <c r="BM196" s="284"/>
      <c r="BN196" s="284"/>
      <c r="BO196" s="284"/>
      <c r="BP196" s="284"/>
      <c r="BQ196" s="284"/>
      <c r="BR196" s="284"/>
      <c r="BS196" s="284"/>
      <c r="BT196" s="284"/>
      <c r="BU196" s="284"/>
      <c r="BV196" s="284"/>
      <c r="BW196" s="284"/>
      <c r="BX196" s="284"/>
      <c r="BY196" s="284"/>
      <c r="BZ196" s="285"/>
      <c r="CA196" s="298">
        <f>SUM(C196,E196,G196,I196,K196,M196,O196,Q196,S196,U196,W196,Y196,AA196,AC196,AE196,AG196,AI196,AK196,AM196,AO196,AQ196,AS196,AU196,AW196,AY196,BA196,BC196,BE196,BG196,BI196,BK196,BM196,BO196,BQ196,BS196,BU196,BW196,BY196)</f>
        <v>0</v>
      </c>
      <c r="CB196" s="298">
        <f>SUM(D196,F196,H196,J196,L196,N196,P196,R196,T196,V196,X196,Z196,AB196,AD196,AF196,AH196,AJ196,AL196,AN196,AP196,AR196,AT196,AV196,AX196,AZ196,BB196,BD196,BF196,BH196,BJ196,BL196,BN196,BP196,BR196,BT196,BV196,BX196,BZ196)</f>
        <v>0</v>
      </c>
      <c r="CC196" s="299">
        <f>SUM(Table13[[#This Row],[GOALS 1]:[ASSISTS 38]])</f>
        <v>0</v>
      </c>
    </row>
    <row r="197" spans="1:81">
      <c r="A197" s="291" t="s">
        <v>1887</v>
      </c>
      <c r="B197" s="291" t="s">
        <v>30</v>
      </c>
      <c r="C197" s="286"/>
      <c r="D197" s="286"/>
      <c r="E197" s="288"/>
      <c r="F197" s="286"/>
      <c r="G197" s="288"/>
      <c r="H197" s="286"/>
      <c r="I197" s="288"/>
      <c r="J197" s="286"/>
      <c r="K197" s="288"/>
      <c r="L197" s="286"/>
      <c r="M197" s="288"/>
      <c r="N197" s="286"/>
      <c r="O197" s="288"/>
      <c r="P197" s="286"/>
      <c r="Q197" s="288"/>
      <c r="R197" s="286"/>
      <c r="S197" s="288"/>
      <c r="T197" s="286"/>
      <c r="U197" s="288"/>
      <c r="V197" s="286"/>
      <c r="W197" s="288"/>
      <c r="X197" s="286"/>
      <c r="Y197" s="288"/>
      <c r="Z197" s="286"/>
      <c r="AA197" s="288"/>
      <c r="AB197" s="286"/>
      <c r="AC197" s="288"/>
      <c r="AD197" s="286"/>
      <c r="AE197" s="288"/>
      <c r="AF197" s="286"/>
      <c r="AG197" s="288"/>
      <c r="AH197" s="286"/>
      <c r="AI197" s="288"/>
      <c r="AJ197" s="286"/>
      <c r="AK197" s="286"/>
      <c r="AL197" s="286"/>
      <c r="AM197" s="286"/>
      <c r="AN197" s="286"/>
      <c r="AO197" s="286"/>
      <c r="AP197" s="286"/>
      <c r="AQ197" s="286"/>
      <c r="AR197" s="286"/>
      <c r="AS197" s="286"/>
      <c r="AT197" s="286"/>
      <c r="AU197" s="286"/>
      <c r="AV197" s="284"/>
      <c r="AW197" s="284"/>
      <c r="AX197" s="284"/>
      <c r="AY197" s="284"/>
      <c r="AZ197" s="284"/>
      <c r="BA197" s="284"/>
      <c r="BB197" s="284"/>
      <c r="BC197" s="284"/>
      <c r="BD197" s="284"/>
      <c r="BE197" s="284"/>
      <c r="BF197" s="284"/>
      <c r="BG197" s="284"/>
      <c r="BH197" s="284"/>
      <c r="BI197" s="284"/>
      <c r="BJ197" s="284"/>
      <c r="BK197" s="284"/>
      <c r="BL197" s="284"/>
      <c r="BM197" s="284"/>
      <c r="BN197" s="284"/>
      <c r="BO197" s="284"/>
      <c r="BP197" s="284"/>
      <c r="BQ197" s="284"/>
      <c r="BR197" s="284"/>
      <c r="BS197" s="284"/>
      <c r="BT197" s="284"/>
      <c r="BU197" s="284"/>
      <c r="BV197" s="284"/>
      <c r="BW197" s="284"/>
      <c r="BX197" s="284"/>
      <c r="BY197" s="284"/>
      <c r="BZ197" s="285"/>
      <c r="CA197" s="298">
        <f>SUM(C197,E197,G197,I197,K197,M197,O197,Q197,S197,U197,W197,Y197,AA197,AC197,AE197,AG197,AI197,AK197,AM197,AO197,AQ197,AS197,AU197,AW197,AY197,BA197,BC197,BE197,BG197,BI197,BK197,BM197,BO197,BQ197,BS197,BU197,BW197,BY197)</f>
        <v>0</v>
      </c>
      <c r="CB197" s="298">
        <f>SUM(D197,F197,H197,J197,L197,N197,P197,R197,T197,V197,X197,Z197,AB197,AD197,AF197,AH197,AJ197,AL197,AN197,AP197,AR197,AT197,AV197,AX197,AZ197,BB197,BD197,BF197,BH197,BJ197,BL197,BN197,BP197,BR197,BT197,BV197,BX197,BZ197)</f>
        <v>0</v>
      </c>
      <c r="CC197" s="299">
        <f>SUM(Table13[[#This Row],[GOALS 1]:[ASSISTS 38]])</f>
        <v>0</v>
      </c>
    </row>
    <row r="198" spans="1:81">
      <c r="A198" s="291" t="s">
        <v>1623</v>
      </c>
      <c r="B198" s="291" t="s">
        <v>19</v>
      </c>
      <c r="C198" s="286"/>
      <c r="D198" s="286"/>
      <c r="E198" s="288"/>
      <c r="F198" s="286"/>
      <c r="G198" s="288"/>
      <c r="H198" s="286"/>
      <c r="I198" s="288"/>
      <c r="J198" s="286"/>
      <c r="K198" s="288"/>
      <c r="L198" s="286"/>
      <c r="M198" s="288"/>
      <c r="N198" s="286"/>
      <c r="O198" s="288"/>
      <c r="P198" s="286"/>
      <c r="Q198" s="288"/>
      <c r="R198" s="286"/>
      <c r="S198" s="288"/>
      <c r="T198" s="286"/>
      <c r="U198" s="288"/>
      <c r="V198" s="286"/>
      <c r="W198" s="288"/>
      <c r="X198" s="286"/>
      <c r="Y198" s="288"/>
      <c r="Z198" s="286"/>
      <c r="AA198" s="288"/>
      <c r="AB198" s="286"/>
      <c r="AC198" s="288"/>
      <c r="AD198" s="286"/>
      <c r="AE198" s="288"/>
      <c r="AF198" s="286"/>
      <c r="AG198" s="288"/>
      <c r="AH198" s="286"/>
      <c r="AI198" s="288"/>
      <c r="AJ198" s="286"/>
      <c r="AK198" s="286"/>
      <c r="AL198" s="286"/>
      <c r="AM198" s="286"/>
      <c r="AN198" s="286"/>
      <c r="AO198" s="286"/>
      <c r="AP198" s="286"/>
      <c r="AQ198" s="286"/>
      <c r="AR198" s="286"/>
      <c r="AS198" s="286"/>
      <c r="AT198" s="286"/>
      <c r="AU198" s="286"/>
      <c r="AV198" s="284"/>
      <c r="AW198" s="284"/>
      <c r="AX198" s="284"/>
      <c r="AY198" s="284"/>
      <c r="AZ198" s="284"/>
      <c r="BA198" s="284"/>
      <c r="BB198" s="284"/>
      <c r="BC198" s="284"/>
      <c r="BD198" s="284"/>
      <c r="BE198" s="284"/>
      <c r="BF198" s="284"/>
      <c r="BG198" s="284"/>
      <c r="BH198" s="284"/>
      <c r="BI198" s="284"/>
      <c r="BJ198" s="284"/>
      <c r="BK198" s="284"/>
      <c r="BL198" s="284"/>
      <c r="BM198" s="284"/>
      <c r="BN198" s="284"/>
      <c r="BO198" s="284"/>
      <c r="BP198" s="284"/>
      <c r="BQ198" s="284"/>
      <c r="BR198" s="284"/>
      <c r="BS198" s="284"/>
      <c r="BT198" s="284"/>
      <c r="BU198" s="284"/>
      <c r="BV198" s="284"/>
      <c r="BW198" s="284"/>
      <c r="BX198" s="284"/>
      <c r="BY198" s="284"/>
      <c r="BZ198" s="285"/>
      <c r="CA198" s="298">
        <f>SUM(C198,E198,G198,I198,K198,M198,O198,Q198,S198,U198,W198,Y198,AA198,AC198,AE198,AG198,AI198,AK198,AM198,AO198,AQ198,AS198,AU198,AW198,AY198,BA198,BC198,BE198,BG198,BI198,BK198,BM198,BO198,BQ198,BS198,BU198,BW198,BY198)</f>
        <v>0</v>
      </c>
      <c r="CB198" s="298">
        <f>SUM(D198,F198,H198,J198,L198,N198,P198,R198,T198,V198,X198,Z198,AB198,AD198,AF198,AH198,AJ198,AL198,AN198,AP198,AR198,AT198,AV198,AX198,AZ198,BB198,BD198,BF198,BH198,BJ198,BL198,BN198,BP198,BR198,BT198,BV198,BX198,BZ198)</f>
        <v>0</v>
      </c>
      <c r="CC198" s="299">
        <f>SUM(Table13[[#This Row],[GOALS 1]:[ASSISTS 38]])</f>
        <v>0</v>
      </c>
    </row>
    <row r="199" spans="1:81">
      <c r="A199" s="291" t="s">
        <v>1322</v>
      </c>
      <c r="B199" s="291" t="s">
        <v>30</v>
      </c>
      <c r="C199" s="286"/>
      <c r="D199" s="286"/>
      <c r="E199" s="288"/>
      <c r="F199" s="286"/>
      <c r="G199" s="288"/>
      <c r="H199" s="286"/>
      <c r="I199" s="288"/>
      <c r="J199" s="286"/>
      <c r="K199" s="288"/>
      <c r="L199" s="286"/>
      <c r="M199" s="288"/>
      <c r="N199" s="286"/>
      <c r="O199" s="288"/>
      <c r="P199" s="286"/>
      <c r="Q199" s="288"/>
      <c r="R199" s="286"/>
      <c r="S199" s="288"/>
      <c r="T199" s="286"/>
      <c r="U199" s="288"/>
      <c r="V199" s="286"/>
      <c r="W199" s="288"/>
      <c r="X199" s="286"/>
      <c r="Y199" s="288"/>
      <c r="Z199" s="286"/>
      <c r="AA199" s="288"/>
      <c r="AB199" s="286"/>
      <c r="AC199" s="288"/>
      <c r="AD199" s="286"/>
      <c r="AE199" s="288"/>
      <c r="AF199" s="286"/>
      <c r="AG199" s="288"/>
      <c r="AH199" s="286"/>
      <c r="AI199" s="288"/>
      <c r="AJ199" s="286"/>
      <c r="AK199" s="286"/>
      <c r="AL199" s="286"/>
      <c r="AM199" s="286"/>
      <c r="AN199" s="286"/>
      <c r="AO199" s="286"/>
      <c r="AP199" s="286"/>
      <c r="AQ199" s="286"/>
      <c r="AR199" s="286"/>
      <c r="AS199" s="286"/>
      <c r="AT199" s="286"/>
      <c r="AU199" s="286"/>
      <c r="AV199" s="284"/>
      <c r="AW199" s="284"/>
      <c r="AX199" s="284"/>
      <c r="AY199" s="284"/>
      <c r="AZ199" s="284"/>
      <c r="BA199" s="284"/>
      <c r="BB199" s="284"/>
      <c r="BC199" s="284"/>
      <c r="BD199" s="284"/>
      <c r="BE199" s="284"/>
      <c r="BF199" s="284"/>
      <c r="BG199" s="284"/>
      <c r="BH199" s="284"/>
      <c r="BI199" s="284"/>
      <c r="BJ199" s="284"/>
      <c r="BK199" s="284"/>
      <c r="BL199" s="284"/>
      <c r="BM199" s="284"/>
      <c r="BN199" s="284"/>
      <c r="BO199" s="284"/>
      <c r="BP199" s="284"/>
      <c r="BQ199" s="284"/>
      <c r="BR199" s="284"/>
      <c r="BS199" s="284"/>
      <c r="BT199" s="284"/>
      <c r="BU199" s="284"/>
      <c r="BV199" s="284"/>
      <c r="BW199" s="284"/>
      <c r="BX199" s="284"/>
      <c r="BY199" s="284"/>
      <c r="BZ199" s="285"/>
      <c r="CA199" s="298">
        <f>SUM(C199,E199,G199,I199,K199,M199,O199,Q199,S199,U199,W199,Y199,AA199,AC199,AE199,AG199,AI199,AK199,AM199,AO199,AQ199,AS199,AU199,AW199,AY199,BA199,BC199,BE199,BG199,BI199,BK199,BM199,BO199,BQ199,BS199,BU199,BW199,BY199)</f>
        <v>0</v>
      </c>
      <c r="CB199" s="298">
        <f>SUM(D199,F199,H199,J199,L199,N199,P199,R199,T199,V199,X199,Z199,AB199,AD199,AF199,AH199,AJ199,AL199,AN199,AP199,AR199,AT199,AV199,AX199,AZ199,BB199,BD199,BF199,BH199,BJ199,BL199,BN199,BP199,BR199,BT199,BV199,BX199,BZ199)</f>
        <v>0</v>
      </c>
      <c r="CC199" s="299">
        <f>SUM(Table13[[#This Row],[GOALS 1]:[ASSISTS 38]])</f>
        <v>0</v>
      </c>
    </row>
    <row r="200" spans="1:81">
      <c r="A200" s="291" t="s">
        <v>1400</v>
      </c>
      <c r="B200" s="291" t="s">
        <v>29</v>
      </c>
      <c r="C200" s="289"/>
      <c r="D200" s="286"/>
      <c r="E200" s="288"/>
      <c r="F200" s="286"/>
      <c r="G200" s="288"/>
      <c r="H200" s="286"/>
      <c r="I200" s="288"/>
      <c r="J200" s="286"/>
      <c r="K200" s="288"/>
      <c r="L200" s="286"/>
      <c r="M200" s="288"/>
      <c r="N200" s="286"/>
      <c r="O200" s="288"/>
      <c r="P200" s="286"/>
      <c r="Q200" s="288"/>
      <c r="R200" s="286"/>
      <c r="S200" s="288"/>
      <c r="T200" s="286"/>
      <c r="U200" s="288"/>
      <c r="V200" s="286"/>
      <c r="W200" s="288"/>
      <c r="X200" s="286"/>
      <c r="Y200" s="288"/>
      <c r="Z200" s="286"/>
      <c r="AA200" s="288"/>
      <c r="AB200" s="286"/>
      <c r="AC200" s="288"/>
      <c r="AD200" s="286"/>
      <c r="AE200" s="288"/>
      <c r="AF200" s="286"/>
      <c r="AG200" s="288"/>
      <c r="AH200" s="286"/>
      <c r="AI200" s="288"/>
      <c r="AJ200" s="286"/>
      <c r="AK200" s="286"/>
      <c r="AL200" s="286"/>
      <c r="AM200" s="286"/>
      <c r="AN200" s="286"/>
      <c r="AO200" s="286"/>
      <c r="AP200" s="286"/>
      <c r="AQ200" s="286"/>
      <c r="AR200" s="286"/>
      <c r="AS200" s="286"/>
      <c r="AT200" s="286"/>
      <c r="AU200" s="286"/>
      <c r="AV200" s="284"/>
      <c r="AW200" s="284"/>
      <c r="AX200" s="284"/>
      <c r="AY200" s="284"/>
      <c r="AZ200" s="284"/>
      <c r="BA200" s="284"/>
      <c r="BB200" s="284"/>
      <c r="BC200" s="284"/>
      <c r="BD200" s="284"/>
      <c r="BE200" s="284"/>
      <c r="BF200" s="284"/>
      <c r="BG200" s="284"/>
      <c r="BH200" s="284"/>
      <c r="BI200" s="284"/>
      <c r="BJ200" s="284"/>
      <c r="BK200" s="284"/>
      <c r="BL200" s="284"/>
      <c r="BM200" s="284"/>
      <c r="BN200" s="284"/>
      <c r="BO200" s="284"/>
      <c r="BP200" s="284"/>
      <c r="BQ200" s="284"/>
      <c r="BR200" s="284"/>
      <c r="BS200" s="284"/>
      <c r="BT200" s="284"/>
      <c r="BU200" s="284"/>
      <c r="BV200" s="284"/>
      <c r="BW200" s="284"/>
      <c r="BX200" s="284"/>
      <c r="BY200" s="284"/>
      <c r="BZ200" s="285"/>
      <c r="CA200" s="298">
        <f>SUM(C200,E200,G200,I200,K200,M200,O200,Q200,S200,U200,W200,Y200,AA200,AC200,AE200,AG200,AI200,AK200,AM200,AO200,AQ200,AS200,AU200,AW200,AY200,BA200,BC200,BE200,BG200,BI200,BK200,BM200,BO200,BQ200,BS200,BU200,BW200,BY200)</f>
        <v>0</v>
      </c>
      <c r="CB200" s="298">
        <f>SUM(D200,F200,H200,J200,L200,N200,P200,R200,T200,V200,X200,Z200,AB200,AD200,AF200,AH200,AJ200,AL200,AN200,AP200,AR200,AT200,AV200,AX200,AZ200,BB200,BD200,BF200,BH200,BJ200,BL200,BN200,BP200,BR200,BT200,BV200,BX200,BZ200)</f>
        <v>0</v>
      </c>
      <c r="CC200" s="299">
        <f>SUM(Table13[[#This Row],[GOALS 1]:[ASSISTS 38]])</f>
        <v>0</v>
      </c>
    </row>
    <row r="201" spans="1:81">
      <c r="A201" s="291" t="s">
        <v>1559</v>
      </c>
      <c r="B201" s="291" t="s">
        <v>33</v>
      </c>
      <c r="C201" s="289"/>
      <c r="D201" s="286"/>
      <c r="E201" s="288"/>
      <c r="F201" s="286"/>
      <c r="G201" s="288"/>
      <c r="H201" s="286"/>
      <c r="I201" s="288"/>
      <c r="J201" s="286"/>
      <c r="K201" s="288"/>
      <c r="L201" s="286"/>
      <c r="M201" s="288"/>
      <c r="N201" s="286"/>
      <c r="O201" s="288"/>
      <c r="P201" s="286"/>
      <c r="Q201" s="288"/>
      <c r="R201" s="286"/>
      <c r="S201" s="288"/>
      <c r="T201" s="286"/>
      <c r="U201" s="288"/>
      <c r="V201" s="286"/>
      <c r="W201" s="288"/>
      <c r="X201" s="286"/>
      <c r="Y201" s="288"/>
      <c r="Z201" s="286"/>
      <c r="AA201" s="288"/>
      <c r="AB201" s="286"/>
      <c r="AC201" s="288"/>
      <c r="AD201" s="286"/>
      <c r="AE201" s="288"/>
      <c r="AF201" s="286"/>
      <c r="AG201" s="288"/>
      <c r="AH201" s="286"/>
      <c r="AI201" s="288"/>
      <c r="AJ201" s="286"/>
      <c r="AK201" s="286"/>
      <c r="AL201" s="286"/>
      <c r="AM201" s="286"/>
      <c r="AN201" s="286"/>
      <c r="AO201" s="286"/>
      <c r="AP201" s="286"/>
      <c r="AQ201" s="286"/>
      <c r="AR201" s="286"/>
      <c r="AS201" s="286"/>
      <c r="AT201" s="286"/>
      <c r="AU201" s="286"/>
      <c r="AV201" s="284"/>
      <c r="AW201" s="284"/>
      <c r="AX201" s="284"/>
      <c r="AY201" s="284"/>
      <c r="AZ201" s="284"/>
      <c r="BA201" s="284"/>
      <c r="BB201" s="284"/>
      <c r="BC201" s="284"/>
      <c r="BD201" s="284"/>
      <c r="BE201" s="284"/>
      <c r="BF201" s="284"/>
      <c r="BG201" s="284"/>
      <c r="BH201" s="284"/>
      <c r="BI201" s="284"/>
      <c r="BJ201" s="284"/>
      <c r="BK201" s="284"/>
      <c r="BL201" s="284"/>
      <c r="BM201" s="284"/>
      <c r="BN201" s="284"/>
      <c r="BO201" s="284"/>
      <c r="BP201" s="284"/>
      <c r="BQ201" s="284"/>
      <c r="BR201" s="284"/>
      <c r="BS201" s="284"/>
      <c r="BT201" s="284"/>
      <c r="BU201" s="284"/>
      <c r="BV201" s="284"/>
      <c r="BW201" s="284"/>
      <c r="BX201" s="284"/>
      <c r="BY201" s="284"/>
      <c r="BZ201" s="285"/>
      <c r="CA201" s="298">
        <f>SUM(C201,E201,G201,I201,K201,M201,O201,Q201,S201,U201,W201,Y201,AA201,AC201,AE201,AG201,AI201,AK201,AM201,AO201,AQ201,AS201,AU201,AW201,AY201,BA201,BC201,BE201,BG201,BI201,BK201,BM201,BO201,BQ201,BS201,BU201,BW201,BY201)</f>
        <v>0</v>
      </c>
      <c r="CB201" s="298">
        <f>SUM(D201,F201,H201,J201,L201,N201,P201,R201,T201,V201,X201,Z201,AB201,AD201,AF201,AH201,AJ201,AL201,AN201,AP201,AR201,AT201,AV201,AX201,AZ201,BB201,BD201,BF201,BH201,BJ201,BL201,BN201,BP201,BR201,BT201,BV201,BX201,BZ201)</f>
        <v>0</v>
      </c>
      <c r="CC201" s="299">
        <f>SUM(Table13[[#This Row],[GOALS 1]:[ASSISTS 38]])</f>
        <v>0</v>
      </c>
    </row>
    <row r="202" spans="1:81">
      <c r="A202" s="291" t="s">
        <v>1731</v>
      </c>
      <c r="B202" s="291" t="s">
        <v>33</v>
      </c>
      <c r="C202" s="289"/>
      <c r="D202" s="286"/>
      <c r="E202" s="288"/>
      <c r="F202" s="286"/>
      <c r="G202" s="288"/>
      <c r="H202" s="286"/>
      <c r="I202" s="288"/>
      <c r="J202" s="286"/>
      <c r="K202" s="288"/>
      <c r="L202" s="286"/>
      <c r="M202" s="288"/>
      <c r="N202" s="286"/>
      <c r="O202" s="288"/>
      <c r="P202" s="286"/>
      <c r="Q202" s="288"/>
      <c r="R202" s="286"/>
      <c r="S202" s="288"/>
      <c r="T202" s="286"/>
      <c r="U202" s="288"/>
      <c r="V202" s="286"/>
      <c r="W202" s="288"/>
      <c r="X202" s="286"/>
      <c r="Y202" s="288"/>
      <c r="Z202" s="286"/>
      <c r="AA202" s="288"/>
      <c r="AB202" s="286"/>
      <c r="AC202" s="288"/>
      <c r="AD202" s="286"/>
      <c r="AE202" s="288"/>
      <c r="AF202" s="286"/>
      <c r="AG202" s="288"/>
      <c r="AH202" s="286"/>
      <c r="AI202" s="288"/>
      <c r="AJ202" s="286"/>
      <c r="AK202" s="286"/>
      <c r="AL202" s="286"/>
      <c r="AM202" s="286"/>
      <c r="AN202" s="286"/>
      <c r="AO202" s="286"/>
      <c r="AP202" s="286"/>
      <c r="AQ202" s="286"/>
      <c r="AR202" s="286"/>
      <c r="AS202" s="286"/>
      <c r="AT202" s="286"/>
      <c r="AU202" s="286"/>
      <c r="AV202" s="284"/>
      <c r="AW202" s="284"/>
      <c r="AX202" s="284"/>
      <c r="AY202" s="284"/>
      <c r="AZ202" s="284"/>
      <c r="BA202" s="284"/>
      <c r="BB202" s="284"/>
      <c r="BC202" s="284"/>
      <c r="BD202" s="284"/>
      <c r="BE202" s="284"/>
      <c r="BF202" s="284"/>
      <c r="BG202" s="284"/>
      <c r="BH202" s="284"/>
      <c r="BI202" s="284"/>
      <c r="BJ202" s="284"/>
      <c r="BK202" s="284"/>
      <c r="BL202" s="284"/>
      <c r="BM202" s="284"/>
      <c r="BN202" s="284"/>
      <c r="BO202" s="284"/>
      <c r="BP202" s="284"/>
      <c r="BQ202" s="284"/>
      <c r="BR202" s="284"/>
      <c r="BS202" s="284"/>
      <c r="BT202" s="284"/>
      <c r="BU202" s="284"/>
      <c r="BV202" s="284"/>
      <c r="BW202" s="284"/>
      <c r="BX202" s="284"/>
      <c r="BY202" s="284"/>
      <c r="BZ202" s="285"/>
      <c r="CA202" s="298">
        <f>SUM(C202,E202,G202,I202,K202,M202,O202,Q202,S202,U202,W202,Y202,AA202,AC202,AE202,AG202,AI202,AK202,AM202,AO202,AQ202,AS202,AU202,AW202,AY202,BA202,BC202,BE202,BG202,BI202,BK202,BM202,BO202,BQ202,BS202,BU202,BW202,BY202)</f>
        <v>0</v>
      </c>
      <c r="CB202" s="298">
        <f>SUM(D202,F202,H202,J202,L202,N202,P202,R202,T202,V202,X202,Z202,AB202,AD202,AF202,AH202,AJ202,AL202,AN202,AP202,AR202,AT202,AV202,AX202,AZ202,BB202,BD202,BF202,BH202,BJ202,BL202,BN202,BP202,BR202,BT202,BV202,BX202,BZ202)</f>
        <v>0</v>
      </c>
      <c r="CC202" s="299">
        <f>SUM(Table13[[#This Row],[GOALS 1]:[ASSISTS 38]])</f>
        <v>0</v>
      </c>
    </row>
    <row r="203" spans="1:81">
      <c r="A203" s="291" t="s">
        <v>1628</v>
      </c>
      <c r="B203" s="291" t="s">
        <v>30</v>
      </c>
      <c r="C203" s="286"/>
      <c r="D203" s="286"/>
      <c r="E203" s="288"/>
      <c r="F203" s="286"/>
      <c r="G203" s="288"/>
      <c r="H203" s="286"/>
      <c r="I203" s="288"/>
      <c r="J203" s="286"/>
      <c r="K203" s="288"/>
      <c r="L203" s="286"/>
      <c r="M203" s="288"/>
      <c r="N203" s="286"/>
      <c r="O203" s="288"/>
      <c r="P203" s="286"/>
      <c r="Q203" s="288"/>
      <c r="R203" s="286"/>
      <c r="S203" s="288"/>
      <c r="T203" s="286"/>
      <c r="U203" s="288"/>
      <c r="V203" s="286"/>
      <c r="W203" s="288"/>
      <c r="X203" s="286"/>
      <c r="Y203" s="288"/>
      <c r="Z203" s="286"/>
      <c r="AA203" s="288"/>
      <c r="AB203" s="286"/>
      <c r="AC203" s="288"/>
      <c r="AD203" s="286"/>
      <c r="AE203" s="288"/>
      <c r="AF203" s="286"/>
      <c r="AG203" s="288"/>
      <c r="AH203" s="286"/>
      <c r="AI203" s="288"/>
      <c r="AJ203" s="286"/>
      <c r="AK203" s="286"/>
      <c r="AL203" s="286"/>
      <c r="AM203" s="286"/>
      <c r="AN203" s="286"/>
      <c r="AO203" s="286"/>
      <c r="AP203" s="286"/>
      <c r="AQ203" s="286"/>
      <c r="AR203" s="286"/>
      <c r="AS203" s="286"/>
      <c r="AT203" s="286"/>
      <c r="AU203" s="286"/>
      <c r="AV203" s="284"/>
      <c r="AW203" s="284"/>
      <c r="AX203" s="284"/>
      <c r="AY203" s="284"/>
      <c r="AZ203" s="284"/>
      <c r="BA203" s="284"/>
      <c r="BB203" s="284"/>
      <c r="BC203" s="284"/>
      <c r="BD203" s="284"/>
      <c r="BE203" s="284"/>
      <c r="BF203" s="284"/>
      <c r="BG203" s="284"/>
      <c r="BH203" s="284"/>
      <c r="BI203" s="284"/>
      <c r="BJ203" s="284"/>
      <c r="BK203" s="284"/>
      <c r="BL203" s="284"/>
      <c r="BM203" s="284"/>
      <c r="BN203" s="284"/>
      <c r="BO203" s="284"/>
      <c r="BP203" s="284"/>
      <c r="BQ203" s="284"/>
      <c r="BR203" s="284"/>
      <c r="BS203" s="284"/>
      <c r="BT203" s="284"/>
      <c r="BU203" s="284"/>
      <c r="BV203" s="284"/>
      <c r="BW203" s="284"/>
      <c r="BX203" s="284"/>
      <c r="BY203" s="284"/>
      <c r="BZ203" s="285"/>
      <c r="CA203" s="298">
        <f>SUM(C203,E203,G203,I203,K203,M203,O203,Q203,S203,U203,W203,Y203,AA203,AC203,AE203,AG203,AI203,AK203,AM203,AO203,AQ203,AS203,AU203,AW203,AY203,BA203,BC203,BE203,BG203,BI203,BK203,BM203,BO203,BQ203,BS203,BU203,BW203,BY203)</f>
        <v>0</v>
      </c>
      <c r="CB203" s="298">
        <f>SUM(D203,F203,H203,J203,L203,N203,P203,R203,T203,V203,X203,Z203,AB203,AD203,AF203,AH203,AJ203,AL203,AN203,AP203,AR203,AT203,AV203,AX203,AZ203,BB203,BD203,BF203,BH203,BJ203,BL203,BN203,BP203,BR203,BT203,BV203,BX203,BZ203)</f>
        <v>0</v>
      </c>
      <c r="CC203" s="299">
        <f>SUM(Table13[[#This Row],[GOALS 1]:[ASSISTS 38]])</f>
        <v>0</v>
      </c>
    </row>
    <row r="204" spans="1:81">
      <c r="A204" s="291" t="s">
        <v>1659</v>
      </c>
      <c r="B204" s="291" t="s">
        <v>19</v>
      </c>
      <c r="C204" s="286"/>
      <c r="D204" s="286"/>
      <c r="E204" s="288"/>
      <c r="F204" s="286"/>
      <c r="G204" s="288"/>
      <c r="H204" s="286"/>
      <c r="I204" s="288"/>
      <c r="J204" s="286"/>
      <c r="K204" s="288"/>
      <c r="L204" s="286"/>
      <c r="M204" s="288"/>
      <c r="N204" s="286"/>
      <c r="O204" s="288"/>
      <c r="P204" s="286"/>
      <c r="Q204" s="288"/>
      <c r="R204" s="286"/>
      <c r="S204" s="288"/>
      <c r="T204" s="286"/>
      <c r="U204" s="288"/>
      <c r="V204" s="286"/>
      <c r="W204" s="288"/>
      <c r="X204" s="286"/>
      <c r="Y204" s="288"/>
      <c r="Z204" s="286"/>
      <c r="AA204" s="288"/>
      <c r="AB204" s="286"/>
      <c r="AC204" s="288"/>
      <c r="AD204" s="286"/>
      <c r="AE204" s="288"/>
      <c r="AF204" s="286"/>
      <c r="AG204" s="288"/>
      <c r="AH204" s="286"/>
      <c r="AI204" s="288"/>
      <c r="AJ204" s="286"/>
      <c r="AK204" s="286"/>
      <c r="AL204" s="286"/>
      <c r="AM204" s="286"/>
      <c r="AN204" s="286"/>
      <c r="AO204" s="286"/>
      <c r="AP204" s="286"/>
      <c r="AQ204" s="286"/>
      <c r="AR204" s="286"/>
      <c r="AS204" s="286"/>
      <c r="AT204" s="286"/>
      <c r="AU204" s="286"/>
      <c r="AV204" s="284"/>
      <c r="AW204" s="284"/>
      <c r="AX204" s="284"/>
      <c r="AY204" s="284"/>
      <c r="AZ204" s="284"/>
      <c r="BA204" s="284"/>
      <c r="BB204" s="284"/>
      <c r="BC204" s="284"/>
      <c r="BD204" s="284"/>
      <c r="BE204" s="284"/>
      <c r="BF204" s="284"/>
      <c r="BG204" s="284"/>
      <c r="BH204" s="284"/>
      <c r="BI204" s="284"/>
      <c r="BJ204" s="284"/>
      <c r="BK204" s="284"/>
      <c r="BL204" s="284"/>
      <c r="BM204" s="284"/>
      <c r="BN204" s="284"/>
      <c r="BO204" s="284"/>
      <c r="BP204" s="284"/>
      <c r="BQ204" s="284"/>
      <c r="BR204" s="284"/>
      <c r="BS204" s="284"/>
      <c r="BT204" s="284"/>
      <c r="BU204" s="284"/>
      <c r="BV204" s="284"/>
      <c r="BW204" s="284"/>
      <c r="BX204" s="284"/>
      <c r="BY204" s="284"/>
      <c r="BZ204" s="285"/>
      <c r="CA204" s="298">
        <f>SUM(C204,E204,G204,I204,K204,M204,O204,Q204,S204,U204,W204,Y204,AA204,AC204,AE204,AG204,AI204,AK204,AM204,AO204,AQ204,AS204,AU204,AW204,AY204,BA204,BC204,BE204,BG204,BI204,BK204,BM204,BO204,BQ204,BS204,BU204,BW204,BY204)</f>
        <v>0</v>
      </c>
      <c r="CB204" s="298">
        <f>SUM(D204,F204,H204,J204,L204,N204,P204,R204,T204,V204,X204,Z204,AB204,AD204,AF204,AH204,AJ204,AL204,AN204,AP204,AR204,AT204,AV204,AX204,AZ204,BB204,BD204,BF204,BH204,BJ204,BL204,BN204,BP204,BR204,BT204,BV204,BX204,BZ204)</f>
        <v>0</v>
      </c>
      <c r="CC204" s="299">
        <f>SUM(Table13[[#This Row],[GOALS 1]:[ASSISTS 38]])</f>
        <v>0</v>
      </c>
    </row>
    <row r="205" spans="1:81">
      <c r="A205" s="291" t="s">
        <v>1892</v>
      </c>
      <c r="B205" s="291" t="s">
        <v>26</v>
      </c>
      <c r="C205" s="286"/>
      <c r="D205" s="286"/>
      <c r="E205" s="288"/>
      <c r="F205" s="286"/>
      <c r="G205" s="288"/>
      <c r="H205" s="286"/>
      <c r="I205" s="288"/>
      <c r="J205" s="286"/>
      <c r="K205" s="288"/>
      <c r="L205" s="286"/>
      <c r="M205" s="288"/>
      <c r="N205" s="286"/>
      <c r="O205" s="288"/>
      <c r="P205" s="286"/>
      <c r="Q205" s="288"/>
      <c r="R205" s="286"/>
      <c r="S205" s="288"/>
      <c r="T205" s="286"/>
      <c r="U205" s="288"/>
      <c r="V205" s="286"/>
      <c r="W205" s="288"/>
      <c r="X205" s="286"/>
      <c r="Y205" s="288"/>
      <c r="Z205" s="286"/>
      <c r="AA205" s="288"/>
      <c r="AB205" s="286"/>
      <c r="AC205" s="288"/>
      <c r="AD205" s="286"/>
      <c r="AE205" s="288"/>
      <c r="AF205" s="286"/>
      <c r="AG205" s="288"/>
      <c r="AH205" s="286"/>
      <c r="AI205" s="288"/>
      <c r="AJ205" s="286"/>
      <c r="AK205" s="286"/>
      <c r="AL205" s="286"/>
      <c r="AM205" s="286"/>
      <c r="AN205" s="286"/>
      <c r="AO205" s="286"/>
      <c r="AP205" s="286"/>
      <c r="AQ205" s="286"/>
      <c r="AR205" s="286"/>
      <c r="AS205" s="286"/>
      <c r="AT205" s="286"/>
      <c r="AU205" s="286"/>
      <c r="AV205" s="284"/>
      <c r="AW205" s="284"/>
      <c r="AX205" s="284"/>
      <c r="AY205" s="284"/>
      <c r="AZ205" s="284"/>
      <c r="BA205" s="284"/>
      <c r="BB205" s="284"/>
      <c r="BC205" s="284"/>
      <c r="BD205" s="284"/>
      <c r="BE205" s="284"/>
      <c r="BF205" s="284"/>
      <c r="BG205" s="284"/>
      <c r="BH205" s="284"/>
      <c r="BI205" s="284"/>
      <c r="BJ205" s="284"/>
      <c r="BK205" s="284"/>
      <c r="BL205" s="284"/>
      <c r="BM205" s="284"/>
      <c r="BN205" s="284"/>
      <c r="BO205" s="284"/>
      <c r="BP205" s="284"/>
      <c r="BQ205" s="284"/>
      <c r="BR205" s="284"/>
      <c r="BS205" s="284"/>
      <c r="BT205" s="284"/>
      <c r="BU205" s="284"/>
      <c r="BV205" s="284"/>
      <c r="BW205" s="284"/>
      <c r="BX205" s="284"/>
      <c r="BY205" s="284"/>
      <c r="BZ205" s="285"/>
      <c r="CA205" s="298">
        <f>SUM(C205,E205,G205,I205,K205,M205,O205,Q205,S205,U205,W205,Y205,AA205,AC205,AE205,AG205,AI205,AK205,AM205,AO205,AQ205,AS205,AU205,AW205,AY205,BA205,BC205,BE205,BG205,BI205,BK205,BM205,BO205,BQ205,BS205,BU205,BW205,BY205)</f>
        <v>0</v>
      </c>
      <c r="CB205" s="298">
        <f>SUM(D205,F205,H205,J205,L205,N205,P205,R205,T205,V205,X205,Z205,AB205,AD205,AF205,AH205,AJ205,AL205,AN205,AP205,AR205,AT205,AV205,AX205,AZ205,BB205,BD205,BF205,BH205,BJ205,BL205,BN205,BP205,BR205,BT205,BV205,BX205,BZ205)</f>
        <v>0</v>
      </c>
      <c r="CC205" s="299">
        <f>SUM(Table13[[#This Row],[GOALS 1]:[ASSISTS 38]])</f>
        <v>0</v>
      </c>
    </row>
    <row r="206" spans="1:81">
      <c r="A206" s="291" t="s">
        <v>1987</v>
      </c>
      <c r="B206" s="291" t="s">
        <v>633</v>
      </c>
      <c r="C206" s="289"/>
      <c r="D206" s="286"/>
      <c r="E206" s="288"/>
      <c r="F206" s="286"/>
      <c r="G206" s="288"/>
      <c r="H206" s="286"/>
      <c r="I206" s="288"/>
      <c r="J206" s="286"/>
      <c r="K206" s="288"/>
      <c r="L206" s="286"/>
      <c r="M206" s="288"/>
      <c r="N206" s="286"/>
      <c r="O206" s="288"/>
      <c r="P206" s="286"/>
      <c r="Q206" s="288"/>
      <c r="R206" s="286"/>
      <c r="S206" s="288"/>
      <c r="T206" s="286"/>
      <c r="U206" s="288"/>
      <c r="V206" s="286"/>
      <c r="W206" s="288"/>
      <c r="X206" s="286"/>
      <c r="Y206" s="288"/>
      <c r="Z206" s="286"/>
      <c r="AA206" s="288"/>
      <c r="AB206" s="286"/>
      <c r="AC206" s="288"/>
      <c r="AD206" s="286"/>
      <c r="AE206" s="288"/>
      <c r="AF206" s="286"/>
      <c r="AG206" s="288"/>
      <c r="AH206" s="286"/>
      <c r="AI206" s="288"/>
      <c r="AJ206" s="286"/>
      <c r="AK206" s="286"/>
      <c r="AL206" s="286"/>
      <c r="AM206" s="286"/>
      <c r="AN206" s="286"/>
      <c r="AO206" s="286"/>
      <c r="AP206" s="286"/>
      <c r="AQ206" s="286"/>
      <c r="AR206" s="286"/>
      <c r="AS206" s="286"/>
      <c r="AT206" s="286"/>
      <c r="AU206" s="286"/>
      <c r="AV206" s="284"/>
      <c r="AW206" s="284"/>
      <c r="AX206" s="284"/>
      <c r="AY206" s="284"/>
      <c r="AZ206" s="284"/>
      <c r="BA206" s="284"/>
      <c r="BB206" s="284"/>
      <c r="BC206" s="284"/>
      <c r="BD206" s="284"/>
      <c r="BE206" s="284"/>
      <c r="BF206" s="284"/>
      <c r="BG206" s="284"/>
      <c r="BH206" s="284"/>
      <c r="BI206" s="284"/>
      <c r="BJ206" s="284"/>
      <c r="BK206" s="284"/>
      <c r="BL206" s="284"/>
      <c r="BM206" s="284"/>
      <c r="BN206" s="284"/>
      <c r="BO206" s="284"/>
      <c r="BP206" s="284"/>
      <c r="BQ206" s="284"/>
      <c r="BR206" s="284"/>
      <c r="BS206" s="284"/>
      <c r="BT206" s="284"/>
      <c r="BU206" s="284"/>
      <c r="BV206" s="284"/>
      <c r="BW206" s="284"/>
      <c r="BX206" s="284"/>
      <c r="BY206" s="284"/>
      <c r="BZ206" s="285"/>
      <c r="CA206" s="298">
        <f>SUM(C206,E206,G206,I206,K206,M206,O206,Q206,S206,U206,W206,Y206,AA206,AC206,AE206,AG206,AI206,AK206,AM206,AO206,AQ206,AS206,AU206,AW206,AY206,BA206,BC206,BE206,BG206,BI206,BK206,BM206,BO206,BQ206,BS206,BU206,BW206,BY206)</f>
        <v>0</v>
      </c>
      <c r="CB206" s="298">
        <f>SUM(D206,F206,H206,J206,L206,N206,P206,R206,T206,V206,X206,Z206,AB206,AD206,AF206,AH206,AJ206,AL206,AN206,AP206,AR206,AT206,AV206,AX206,AZ206,BB206,BD206,BF206,BH206,BJ206,BL206,BN206,BP206,BR206,BT206,BV206,BX206,BZ206)</f>
        <v>0</v>
      </c>
      <c r="CC206" s="299">
        <f>SUM(Table13[[#This Row],[GOALS 1]:[ASSISTS 38]])</f>
        <v>0</v>
      </c>
    </row>
    <row r="207" spans="1:81">
      <c r="A207" s="291" t="s">
        <v>1725</v>
      </c>
      <c r="B207" s="291" t="s">
        <v>43</v>
      </c>
      <c r="C207" s="286"/>
      <c r="D207" s="286"/>
      <c r="E207" s="288"/>
      <c r="F207" s="286"/>
      <c r="G207" s="288"/>
      <c r="H207" s="286"/>
      <c r="I207" s="288"/>
      <c r="J207" s="286"/>
      <c r="K207" s="288"/>
      <c r="L207" s="286"/>
      <c r="M207" s="288"/>
      <c r="N207" s="286"/>
      <c r="O207" s="288"/>
      <c r="P207" s="286"/>
      <c r="Q207" s="288"/>
      <c r="R207" s="286"/>
      <c r="S207" s="288"/>
      <c r="T207" s="286"/>
      <c r="U207" s="288"/>
      <c r="V207" s="286"/>
      <c r="W207" s="288"/>
      <c r="X207" s="286"/>
      <c r="Y207" s="288"/>
      <c r="Z207" s="286"/>
      <c r="AA207" s="288"/>
      <c r="AB207" s="286"/>
      <c r="AC207" s="288"/>
      <c r="AD207" s="286"/>
      <c r="AE207" s="288"/>
      <c r="AF207" s="286"/>
      <c r="AG207" s="288"/>
      <c r="AH207" s="286"/>
      <c r="AI207" s="288"/>
      <c r="AJ207" s="286"/>
      <c r="AK207" s="286"/>
      <c r="AL207" s="286"/>
      <c r="AM207" s="286"/>
      <c r="AN207" s="286"/>
      <c r="AO207" s="286"/>
      <c r="AP207" s="286"/>
      <c r="AQ207" s="286"/>
      <c r="AR207" s="286"/>
      <c r="AS207" s="286"/>
      <c r="AT207" s="286"/>
      <c r="AU207" s="286"/>
      <c r="AV207" s="284"/>
      <c r="AW207" s="284"/>
      <c r="AX207" s="284"/>
      <c r="AY207" s="284"/>
      <c r="AZ207" s="284"/>
      <c r="BA207" s="284"/>
      <c r="BB207" s="284"/>
      <c r="BC207" s="284"/>
      <c r="BD207" s="284"/>
      <c r="BE207" s="284"/>
      <c r="BF207" s="284"/>
      <c r="BG207" s="284"/>
      <c r="BH207" s="284"/>
      <c r="BI207" s="284"/>
      <c r="BJ207" s="284"/>
      <c r="BK207" s="284"/>
      <c r="BL207" s="284"/>
      <c r="BM207" s="284"/>
      <c r="BN207" s="284"/>
      <c r="BO207" s="284"/>
      <c r="BP207" s="284"/>
      <c r="BQ207" s="284"/>
      <c r="BR207" s="284"/>
      <c r="BS207" s="284"/>
      <c r="BT207" s="284"/>
      <c r="BU207" s="284"/>
      <c r="BV207" s="284"/>
      <c r="BW207" s="284"/>
      <c r="BX207" s="284"/>
      <c r="BY207" s="284"/>
      <c r="BZ207" s="285"/>
      <c r="CA207" s="298">
        <f>SUM(C207,E207,G207,I207,K207,M207,O207,Q207,S207,U207,W207,Y207,AA207,AC207,AE207,AG207,AI207,AK207,AM207,AO207,AQ207,AS207,AU207,AW207,AY207,BA207,BC207,BE207,BG207,BI207,BK207,BM207,BO207,BQ207,BS207,BU207,BW207,BY207)</f>
        <v>0</v>
      </c>
      <c r="CB207" s="298">
        <f>SUM(D207,F207,H207,J207,L207,N207,P207,R207,T207,V207,X207,Z207,AB207,AD207,AF207,AH207,AJ207,AL207,AN207,AP207,AR207,AT207,AV207,AX207,AZ207,BB207,BD207,BF207,BH207,BJ207,BL207,BN207,BP207,BR207,BT207,BV207,BX207,BZ207)</f>
        <v>0</v>
      </c>
      <c r="CC207" s="299">
        <f>SUM(Table13[[#This Row],[GOALS 1]:[ASSISTS 38]])</f>
        <v>0</v>
      </c>
    </row>
    <row r="208" spans="1:81">
      <c r="A208" s="291" t="s">
        <v>1292</v>
      </c>
      <c r="B208" s="291" t="s">
        <v>19</v>
      </c>
      <c r="C208" s="286"/>
      <c r="D208" s="286"/>
      <c r="E208" s="288"/>
      <c r="F208" s="286"/>
      <c r="G208" s="288"/>
      <c r="H208" s="286"/>
      <c r="I208" s="288"/>
      <c r="J208" s="286"/>
      <c r="K208" s="288"/>
      <c r="L208" s="286"/>
      <c r="M208" s="288"/>
      <c r="N208" s="286"/>
      <c r="O208" s="288"/>
      <c r="P208" s="286"/>
      <c r="Q208" s="288"/>
      <c r="R208" s="286"/>
      <c r="S208" s="288"/>
      <c r="T208" s="286"/>
      <c r="U208" s="288"/>
      <c r="V208" s="286"/>
      <c r="W208" s="288"/>
      <c r="X208" s="286"/>
      <c r="Y208" s="288"/>
      <c r="Z208" s="286"/>
      <c r="AA208" s="288"/>
      <c r="AB208" s="286"/>
      <c r="AC208" s="288"/>
      <c r="AD208" s="286"/>
      <c r="AE208" s="288"/>
      <c r="AF208" s="286"/>
      <c r="AG208" s="288"/>
      <c r="AH208" s="286"/>
      <c r="AI208" s="288"/>
      <c r="AJ208" s="286"/>
      <c r="AK208" s="286"/>
      <c r="AL208" s="286"/>
      <c r="AM208" s="286"/>
      <c r="AN208" s="286"/>
      <c r="AO208" s="286"/>
      <c r="AP208" s="286"/>
      <c r="AQ208" s="286"/>
      <c r="AR208" s="286"/>
      <c r="AS208" s="286"/>
      <c r="AT208" s="286"/>
      <c r="AU208" s="286"/>
      <c r="AV208" s="284"/>
      <c r="AW208" s="284"/>
      <c r="AX208" s="284"/>
      <c r="AY208" s="284"/>
      <c r="AZ208" s="284"/>
      <c r="BA208" s="284"/>
      <c r="BB208" s="284"/>
      <c r="BC208" s="284"/>
      <c r="BD208" s="284"/>
      <c r="BE208" s="284"/>
      <c r="BF208" s="284"/>
      <c r="BG208" s="284"/>
      <c r="BH208" s="284"/>
      <c r="BI208" s="284"/>
      <c r="BJ208" s="284"/>
      <c r="BK208" s="284"/>
      <c r="BL208" s="284"/>
      <c r="BM208" s="284"/>
      <c r="BN208" s="284"/>
      <c r="BO208" s="284"/>
      <c r="BP208" s="284"/>
      <c r="BQ208" s="284"/>
      <c r="BR208" s="284"/>
      <c r="BS208" s="284"/>
      <c r="BT208" s="284"/>
      <c r="BU208" s="284"/>
      <c r="BV208" s="284"/>
      <c r="BW208" s="284"/>
      <c r="BX208" s="284"/>
      <c r="BY208" s="284"/>
      <c r="BZ208" s="285"/>
      <c r="CA208" s="298">
        <f>SUM(C208,E208,G208,I208,K208,M208,O208,Q208,S208,U208,W208,Y208,AA208,AC208,AE208,AG208,AI208,AK208,AM208,AO208,AQ208,AS208,AU208,AW208,AY208,BA208,BC208,BE208,BG208,BI208,BK208,BM208,BO208,BQ208,BS208,BU208,BW208,BY208)</f>
        <v>0</v>
      </c>
      <c r="CB208" s="298">
        <f>SUM(D208,F208,H208,J208,L208,N208,P208,R208,T208,V208,X208,Z208,AB208,AD208,AF208,AH208,AJ208,AL208,AN208,AP208,AR208,AT208,AV208,AX208,AZ208,BB208,BD208,BF208,BH208,BJ208,BL208,BN208,BP208,BR208,BT208,BV208,BX208,BZ208)</f>
        <v>0</v>
      </c>
      <c r="CC208" s="299">
        <f>SUM(Table13[[#This Row],[GOALS 1]:[ASSISTS 38]])</f>
        <v>0</v>
      </c>
    </row>
    <row r="209" spans="1:81">
      <c r="A209" s="291" t="s">
        <v>1325</v>
      </c>
      <c r="B209" s="291" t="s">
        <v>17</v>
      </c>
      <c r="C209" s="289"/>
      <c r="D209" s="286"/>
      <c r="E209" s="288"/>
      <c r="F209" s="286"/>
      <c r="G209" s="288"/>
      <c r="H209" s="286"/>
      <c r="I209" s="288"/>
      <c r="J209" s="286"/>
      <c r="K209" s="288"/>
      <c r="L209" s="286"/>
      <c r="M209" s="288"/>
      <c r="N209" s="286"/>
      <c r="O209" s="288"/>
      <c r="P209" s="286"/>
      <c r="Q209" s="288"/>
      <c r="R209" s="286"/>
      <c r="S209" s="288"/>
      <c r="T209" s="286"/>
      <c r="U209" s="288"/>
      <c r="V209" s="286"/>
      <c r="W209" s="288"/>
      <c r="X209" s="286"/>
      <c r="Y209" s="288"/>
      <c r="Z209" s="286"/>
      <c r="AA209" s="288"/>
      <c r="AB209" s="286"/>
      <c r="AC209" s="288"/>
      <c r="AD209" s="286"/>
      <c r="AE209" s="288"/>
      <c r="AF209" s="286"/>
      <c r="AG209" s="288"/>
      <c r="AH209" s="286"/>
      <c r="AI209" s="288"/>
      <c r="AJ209" s="286"/>
      <c r="AK209" s="286"/>
      <c r="AL209" s="286"/>
      <c r="AM209" s="286"/>
      <c r="AN209" s="286"/>
      <c r="AO209" s="286"/>
      <c r="AP209" s="286"/>
      <c r="AQ209" s="286"/>
      <c r="AR209" s="286"/>
      <c r="AS209" s="286"/>
      <c r="AT209" s="286"/>
      <c r="AU209" s="286"/>
      <c r="AV209" s="284"/>
      <c r="AW209" s="284"/>
      <c r="AX209" s="284"/>
      <c r="AY209" s="284"/>
      <c r="AZ209" s="284"/>
      <c r="BA209" s="284"/>
      <c r="BB209" s="284"/>
      <c r="BC209" s="284"/>
      <c r="BD209" s="284"/>
      <c r="BE209" s="284"/>
      <c r="BF209" s="284"/>
      <c r="BG209" s="284"/>
      <c r="BH209" s="284"/>
      <c r="BI209" s="284"/>
      <c r="BJ209" s="284"/>
      <c r="BK209" s="284"/>
      <c r="BL209" s="284"/>
      <c r="BM209" s="284"/>
      <c r="BN209" s="284"/>
      <c r="BO209" s="284"/>
      <c r="BP209" s="284"/>
      <c r="BQ209" s="284"/>
      <c r="BR209" s="284"/>
      <c r="BS209" s="284"/>
      <c r="BT209" s="284"/>
      <c r="BU209" s="284"/>
      <c r="BV209" s="284"/>
      <c r="BW209" s="284"/>
      <c r="BX209" s="284"/>
      <c r="BY209" s="284"/>
      <c r="BZ209" s="285"/>
      <c r="CA209" s="298">
        <f>SUM(C209,E209,G209,I209,K209,M209,O209,Q209,S209,U209,W209,Y209,AA209,AC209,AE209,AG209,AI209,AK209,AM209,AO209,AQ209,AS209,AU209,AW209,AY209,BA209,BC209,BE209,BG209,BI209,BK209,BM209,BO209,BQ209,BS209,BU209,BW209,BY209)</f>
        <v>0</v>
      </c>
      <c r="CB209" s="298">
        <f>SUM(D209,F209,H209,J209,L209,N209,P209,R209,T209,V209,X209,Z209,AB209,AD209,AF209,AH209,AJ209,AL209,AN209,AP209,AR209,AT209,AV209,AX209,AZ209,BB209,BD209,BF209,BH209,BJ209,BL209,BN209,BP209,BR209,BT209,BV209,BX209,BZ209)</f>
        <v>0</v>
      </c>
      <c r="CC209" s="299">
        <f>SUM(Table13[[#This Row],[GOALS 1]:[ASSISTS 38]])</f>
        <v>0</v>
      </c>
    </row>
    <row r="210" spans="1:81">
      <c r="A210" s="291" t="s">
        <v>1398</v>
      </c>
      <c r="B210" s="291" t="s">
        <v>28</v>
      </c>
      <c r="C210" s="286"/>
      <c r="D210" s="286"/>
      <c r="E210" s="288"/>
      <c r="F210" s="286"/>
      <c r="G210" s="288"/>
      <c r="H210" s="286"/>
      <c r="I210" s="288"/>
      <c r="J210" s="286"/>
      <c r="K210" s="288"/>
      <c r="L210" s="286"/>
      <c r="M210" s="288"/>
      <c r="N210" s="286"/>
      <c r="O210" s="288"/>
      <c r="P210" s="286"/>
      <c r="Q210" s="288"/>
      <c r="R210" s="286"/>
      <c r="S210" s="288"/>
      <c r="T210" s="286"/>
      <c r="U210" s="288"/>
      <c r="V210" s="286"/>
      <c r="W210" s="288"/>
      <c r="X210" s="286"/>
      <c r="Y210" s="288"/>
      <c r="Z210" s="286"/>
      <c r="AA210" s="288"/>
      <c r="AB210" s="286"/>
      <c r="AC210" s="288"/>
      <c r="AD210" s="286"/>
      <c r="AE210" s="288"/>
      <c r="AF210" s="286"/>
      <c r="AG210" s="288"/>
      <c r="AH210" s="286"/>
      <c r="AI210" s="288"/>
      <c r="AJ210" s="286"/>
      <c r="AK210" s="286"/>
      <c r="AL210" s="286"/>
      <c r="AM210" s="286"/>
      <c r="AN210" s="286"/>
      <c r="AO210" s="286"/>
      <c r="AP210" s="286"/>
      <c r="AQ210" s="286"/>
      <c r="AR210" s="286"/>
      <c r="AS210" s="286"/>
      <c r="AT210" s="286"/>
      <c r="AU210" s="286"/>
      <c r="AV210" s="284"/>
      <c r="AW210" s="284"/>
      <c r="AX210" s="284"/>
      <c r="AY210" s="284"/>
      <c r="AZ210" s="284"/>
      <c r="BA210" s="284"/>
      <c r="BB210" s="284"/>
      <c r="BC210" s="284"/>
      <c r="BD210" s="284"/>
      <c r="BE210" s="284"/>
      <c r="BF210" s="284"/>
      <c r="BG210" s="284"/>
      <c r="BH210" s="284"/>
      <c r="BI210" s="284"/>
      <c r="BJ210" s="284"/>
      <c r="BK210" s="284"/>
      <c r="BL210" s="284"/>
      <c r="BM210" s="284"/>
      <c r="BN210" s="284"/>
      <c r="BO210" s="284"/>
      <c r="BP210" s="284"/>
      <c r="BQ210" s="284"/>
      <c r="BR210" s="284"/>
      <c r="BS210" s="284"/>
      <c r="BT210" s="284"/>
      <c r="BU210" s="284"/>
      <c r="BV210" s="284"/>
      <c r="BW210" s="284"/>
      <c r="BX210" s="284"/>
      <c r="BY210" s="284"/>
      <c r="BZ210" s="285"/>
      <c r="CA210" s="298">
        <f>SUM(C210,E210,G210,I210,K210,M210,O210,Q210,S210,U210,W210,Y210,AA210,AC210,AE210,AG210,AI210,AK210,AM210,AO210,AQ210,AS210,AU210,AW210,AY210,BA210,BC210,BE210,BG210,BI210,BK210,BM210,BO210,BQ210,BS210,BU210,BW210,BY210)</f>
        <v>0</v>
      </c>
      <c r="CB210" s="298">
        <f>SUM(D210,F210,H210,J210,L210,N210,P210,R210,T210,V210,X210,Z210,AB210,AD210,AF210,AH210,AJ210,AL210,AN210,AP210,AR210,AT210,AV210,AX210,AZ210,BB210,BD210,BF210,BH210,BJ210,BL210,BN210,BP210,BR210,BT210,BV210,BX210,BZ210)</f>
        <v>0</v>
      </c>
      <c r="CC210" s="299">
        <f>SUM(Table13[[#This Row],[GOALS 1]:[ASSISTS 38]])</f>
        <v>0</v>
      </c>
    </row>
    <row r="211" spans="1:81">
      <c r="A211" s="291" t="s">
        <v>1624</v>
      </c>
      <c r="B211" s="291" t="s">
        <v>43</v>
      </c>
      <c r="C211" s="286"/>
      <c r="D211" s="286"/>
      <c r="E211" s="288"/>
      <c r="F211" s="286"/>
      <c r="G211" s="288"/>
      <c r="H211" s="286"/>
      <c r="I211" s="288"/>
      <c r="J211" s="286"/>
      <c r="K211" s="288"/>
      <c r="L211" s="286"/>
      <c r="M211" s="288"/>
      <c r="N211" s="286"/>
      <c r="O211" s="288"/>
      <c r="P211" s="286"/>
      <c r="Q211" s="288"/>
      <c r="R211" s="286"/>
      <c r="S211" s="288"/>
      <c r="T211" s="286"/>
      <c r="U211" s="288"/>
      <c r="V211" s="286"/>
      <c r="W211" s="288"/>
      <c r="X211" s="286"/>
      <c r="Y211" s="288"/>
      <c r="Z211" s="286"/>
      <c r="AA211" s="288"/>
      <c r="AB211" s="286"/>
      <c r="AC211" s="288"/>
      <c r="AD211" s="286"/>
      <c r="AE211" s="288"/>
      <c r="AF211" s="286"/>
      <c r="AG211" s="288"/>
      <c r="AH211" s="286"/>
      <c r="AI211" s="288"/>
      <c r="AJ211" s="286"/>
      <c r="AK211" s="286"/>
      <c r="AL211" s="286"/>
      <c r="AM211" s="286"/>
      <c r="AN211" s="286"/>
      <c r="AO211" s="286"/>
      <c r="AP211" s="286"/>
      <c r="AQ211" s="286"/>
      <c r="AR211" s="286"/>
      <c r="AS211" s="286"/>
      <c r="AT211" s="286"/>
      <c r="AU211" s="286"/>
      <c r="AV211" s="284"/>
      <c r="AW211" s="284"/>
      <c r="AX211" s="284"/>
      <c r="AY211" s="284"/>
      <c r="AZ211" s="284"/>
      <c r="BA211" s="284"/>
      <c r="BB211" s="284"/>
      <c r="BC211" s="284"/>
      <c r="BD211" s="284"/>
      <c r="BE211" s="284"/>
      <c r="BF211" s="284"/>
      <c r="BG211" s="284"/>
      <c r="BH211" s="284"/>
      <c r="BI211" s="284"/>
      <c r="BJ211" s="284"/>
      <c r="BK211" s="284"/>
      <c r="BL211" s="284"/>
      <c r="BM211" s="284"/>
      <c r="BN211" s="284"/>
      <c r="BO211" s="284"/>
      <c r="BP211" s="284"/>
      <c r="BQ211" s="284"/>
      <c r="BR211" s="284"/>
      <c r="BS211" s="284"/>
      <c r="BT211" s="284"/>
      <c r="BU211" s="284"/>
      <c r="BV211" s="284"/>
      <c r="BW211" s="284"/>
      <c r="BX211" s="284"/>
      <c r="BY211" s="284"/>
      <c r="BZ211" s="285"/>
      <c r="CA211" s="298">
        <f>SUM(C211,E211,G211,I211,K211,M211,O211,Q211,S211,U211,W211,Y211,AA211,AC211,AE211,AG211,AI211,AK211,AM211,AO211,AQ211,AS211,AU211,AW211,AY211,BA211,BC211,BE211,BG211,BI211,BK211,BM211,BO211,BQ211,BS211,BU211,BW211,BY211)</f>
        <v>0</v>
      </c>
      <c r="CB211" s="298">
        <f>SUM(D211,F211,H211,J211,L211,N211,P211,R211,T211,V211,X211,Z211,AB211,AD211,AF211,AH211,AJ211,AL211,AN211,AP211,AR211,AT211,AV211,AX211,AZ211,BB211,BD211,BF211,BH211,BJ211,BL211,BN211,BP211,BR211,BT211,BV211,BX211,BZ211)</f>
        <v>0</v>
      </c>
      <c r="CC211" s="299">
        <f>SUM(Table13[[#This Row],[GOALS 1]:[ASSISTS 38]])</f>
        <v>0</v>
      </c>
    </row>
    <row r="212" spans="1:81">
      <c r="A212" s="291" t="s">
        <v>1368</v>
      </c>
      <c r="B212" s="291" t="s">
        <v>24</v>
      </c>
      <c r="C212" s="286"/>
      <c r="D212" s="286"/>
      <c r="E212" s="288"/>
      <c r="F212" s="286"/>
      <c r="G212" s="288"/>
      <c r="H212" s="286"/>
      <c r="I212" s="288"/>
      <c r="J212" s="286"/>
      <c r="K212" s="288"/>
      <c r="L212" s="286"/>
      <c r="M212" s="288"/>
      <c r="N212" s="286"/>
      <c r="O212" s="288"/>
      <c r="P212" s="286"/>
      <c r="Q212" s="288"/>
      <c r="R212" s="286"/>
      <c r="S212" s="288"/>
      <c r="T212" s="286"/>
      <c r="U212" s="288"/>
      <c r="V212" s="286"/>
      <c r="W212" s="288"/>
      <c r="X212" s="286"/>
      <c r="Y212" s="288"/>
      <c r="Z212" s="286"/>
      <c r="AA212" s="288"/>
      <c r="AB212" s="286"/>
      <c r="AC212" s="288"/>
      <c r="AD212" s="286"/>
      <c r="AE212" s="288"/>
      <c r="AF212" s="286"/>
      <c r="AG212" s="288"/>
      <c r="AH212" s="286"/>
      <c r="AI212" s="288"/>
      <c r="AJ212" s="286"/>
      <c r="AK212" s="286"/>
      <c r="AL212" s="286"/>
      <c r="AM212" s="286"/>
      <c r="AN212" s="286"/>
      <c r="AO212" s="286"/>
      <c r="AP212" s="286"/>
      <c r="AQ212" s="286"/>
      <c r="AR212" s="286"/>
      <c r="AS212" s="286"/>
      <c r="AT212" s="286"/>
      <c r="AU212" s="286"/>
      <c r="AV212" s="284"/>
      <c r="AW212" s="284"/>
      <c r="AX212" s="284"/>
      <c r="AY212" s="284"/>
      <c r="AZ212" s="284"/>
      <c r="BA212" s="284"/>
      <c r="BB212" s="284"/>
      <c r="BC212" s="284"/>
      <c r="BD212" s="284"/>
      <c r="BE212" s="284"/>
      <c r="BF212" s="284"/>
      <c r="BG212" s="284"/>
      <c r="BH212" s="284"/>
      <c r="BI212" s="284"/>
      <c r="BJ212" s="284"/>
      <c r="BK212" s="284"/>
      <c r="BL212" s="284"/>
      <c r="BM212" s="284"/>
      <c r="BN212" s="284"/>
      <c r="BO212" s="284"/>
      <c r="BP212" s="284"/>
      <c r="BQ212" s="284"/>
      <c r="BR212" s="284"/>
      <c r="BS212" s="284"/>
      <c r="BT212" s="284"/>
      <c r="BU212" s="284"/>
      <c r="BV212" s="284"/>
      <c r="BW212" s="284"/>
      <c r="BX212" s="284"/>
      <c r="BY212" s="284"/>
      <c r="BZ212" s="285"/>
      <c r="CA212" s="298">
        <f>SUM(C212,E212,G212,I212,K212,M212,O212,Q212,S212,U212,W212,Y212,AA212,AC212,AE212,AG212,AI212,AK212,AM212,AO212,AQ212,AS212,AU212,AW212,AY212,BA212,BC212,BE212,BG212,BI212,BK212,BM212,BO212,BQ212,BS212,BU212,BW212,BY212)</f>
        <v>0</v>
      </c>
      <c r="CB212" s="298">
        <f>SUM(D212,F212,H212,J212,L212,N212,P212,R212,T212,V212,X212,Z212,AB212,AD212,AF212,AH212,AJ212,AL212,AN212,AP212,AR212,AT212,AV212,AX212,AZ212,BB212,BD212,BF212,BH212,BJ212,BL212,BN212,BP212,BR212,BT212,BV212,BX212,BZ212)</f>
        <v>0</v>
      </c>
      <c r="CC212" s="299">
        <f>SUM(Table13[[#This Row],[GOALS 1]:[ASSISTS 38]])</f>
        <v>0</v>
      </c>
    </row>
    <row r="213" spans="1:81">
      <c r="A213" s="291" t="s">
        <v>1290</v>
      </c>
      <c r="B213" s="291" t="s">
        <v>20</v>
      </c>
      <c r="C213" s="289"/>
      <c r="D213" s="286"/>
      <c r="E213" s="288"/>
      <c r="F213" s="286"/>
      <c r="G213" s="288"/>
      <c r="H213" s="286"/>
      <c r="I213" s="288"/>
      <c r="J213" s="286"/>
      <c r="K213" s="288"/>
      <c r="L213" s="286"/>
      <c r="M213" s="288"/>
      <c r="N213" s="286"/>
      <c r="O213" s="288"/>
      <c r="P213" s="286"/>
      <c r="Q213" s="288"/>
      <c r="R213" s="286"/>
      <c r="S213" s="288"/>
      <c r="T213" s="286"/>
      <c r="U213" s="288"/>
      <c r="V213" s="286"/>
      <c r="W213" s="288"/>
      <c r="X213" s="286"/>
      <c r="Y213" s="288"/>
      <c r="Z213" s="286"/>
      <c r="AA213" s="288"/>
      <c r="AB213" s="286"/>
      <c r="AC213" s="288"/>
      <c r="AD213" s="286"/>
      <c r="AE213" s="288"/>
      <c r="AF213" s="286"/>
      <c r="AG213" s="288"/>
      <c r="AH213" s="286"/>
      <c r="AI213" s="288"/>
      <c r="AJ213" s="286"/>
      <c r="AK213" s="286"/>
      <c r="AL213" s="286"/>
      <c r="AM213" s="286"/>
      <c r="AN213" s="286"/>
      <c r="AO213" s="286"/>
      <c r="AP213" s="286"/>
      <c r="AQ213" s="286"/>
      <c r="AR213" s="286"/>
      <c r="AS213" s="286"/>
      <c r="AT213" s="286"/>
      <c r="AU213" s="286"/>
      <c r="AV213" s="284"/>
      <c r="AW213" s="284"/>
      <c r="AX213" s="284"/>
      <c r="AY213" s="284"/>
      <c r="AZ213" s="284"/>
      <c r="BA213" s="284"/>
      <c r="BB213" s="284"/>
      <c r="BC213" s="284"/>
      <c r="BD213" s="284"/>
      <c r="BE213" s="284"/>
      <c r="BF213" s="284"/>
      <c r="BG213" s="284"/>
      <c r="BH213" s="284"/>
      <c r="BI213" s="284"/>
      <c r="BJ213" s="284"/>
      <c r="BK213" s="284"/>
      <c r="BL213" s="284"/>
      <c r="BM213" s="284"/>
      <c r="BN213" s="284"/>
      <c r="BO213" s="284"/>
      <c r="BP213" s="284"/>
      <c r="BQ213" s="284"/>
      <c r="BR213" s="284"/>
      <c r="BS213" s="284"/>
      <c r="BT213" s="284"/>
      <c r="BU213" s="284"/>
      <c r="BV213" s="284"/>
      <c r="BW213" s="284"/>
      <c r="BX213" s="284"/>
      <c r="BY213" s="284"/>
      <c r="BZ213" s="285"/>
      <c r="CA213" s="298">
        <f>SUM(C213,E213,G213,I213,K213,M213,O213,Q213,S213,U213,W213,Y213,AA213,AC213,AE213,AG213,AI213,AK213,AM213,AO213,AQ213,AS213,AU213,AW213,AY213,BA213,BC213,BE213,BG213,BI213,BK213,BM213,BO213,BQ213,BS213,BU213,BW213,BY213)</f>
        <v>0</v>
      </c>
      <c r="CB213" s="298">
        <f>SUM(D213,F213,H213,J213,L213,N213,P213,R213,T213,V213,X213,Z213,AB213,AD213,AF213,AH213,AJ213,AL213,AN213,AP213,AR213,AT213,AV213,AX213,AZ213,BB213,BD213,BF213,BH213,BJ213,BL213,BN213,BP213,BR213,BT213,BV213,BX213,BZ213)</f>
        <v>0</v>
      </c>
      <c r="CC213" s="299">
        <f>SUM(Table13[[#This Row],[GOALS 1]:[ASSISTS 38]])</f>
        <v>0</v>
      </c>
    </row>
    <row r="214" spans="1:81">
      <c r="A214" s="291" t="s">
        <v>1410</v>
      </c>
      <c r="B214" s="291" t="s">
        <v>26</v>
      </c>
      <c r="C214" s="286"/>
      <c r="D214" s="286"/>
      <c r="E214" s="288"/>
      <c r="F214" s="286"/>
      <c r="G214" s="288"/>
      <c r="H214" s="286"/>
      <c r="I214" s="288"/>
      <c r="J214" s="286"/>
      <c r="K214" s="288"/>
      <c r="L214" s="286"/>
      <c r="M214" s="288"/>
      <c r="N214" s="286"/>
      <c r="O214" s="288"/>
      <c r="P214" s="286"/>
      <c r="Q214" s="288"/>
      <c r="R214" s="286"/>
      <c r="S214" s="288"/>
      <c r="T214" s="286"/>
      <c r="U214" s="288"/>
      <c r="V214" s="286"/>
      <c r="W214" s="288"/>
      <c r="X214" s="286"/>
      <c r="Y214" s="288"/>
      <c r="Z214" s="286"/>
      <c r="AA214" s="288"/>
      <c r="AB214" s="286"/>
      <c r="AC214" s="288"/>
      <c r="AD214" s="286"/>
      <c r="AE214" s="288"/>
      <c r="AF214" s="286"/>
      <c r="AG214" s="288"/>
      <c r="AH214" s="286"/>
      <c r="AI214" s="288"/>
      <c r="AJ214" s="286"/>
      <c r="AK214" s="286"/>
      <c r="AL214" s="286"/>
      <c r="AM214" s="286"/>
      <c r="AN214" s="286"/>
      <c r="AO214" s="286"/>
      <c r="AP214" s="286"/>
      <c r="AQ214" s="286"/>
      <c r="AR214" s="286"/>
      <c r="AS214" s="286"/>
      <c r="AT214" s="286"/>
      <c r="AU214" s="286"/>
      <c r="AV214" s="284"/>
      <c r="AW214" s="284"/>
      <c r="AX214" s="284"/>
      <c r="AY214" s="284"/>
      <c r="AZ214" s="284"/>
      <c r="BA214" s="284"/>
      <c r="BB214" s="284"/>
      <c r="BC214" s="284"/>
      <c r="BD214" s="284"/>
      <c r="BE214" s="284"/>
      <c r="BF214" s="284"/>
      <c r="BG214" s="284"/>
      <c r="BH214" s="284"/>
      <c r="BI214" s="284"/>
      <c r="BJ214" s="284"/>
      <c r="BK214" s="284"/>
      <c r="BL214" s="284"/>
      <c r="BM214" s="284"/>
      <c r="BN214" s="284"/>
      <c r="BO214" s="284"/>
      <c r="BP214" s="284"/>
      <c r="BQ214" s="284"/>
      <c r="BR214" s="284"/>
      <c r="BS214" s="284"/>
      <c r="BT214" s="284"/>
      <c r="BU214" s="284"/>
      <c r="BV214" s="284"/>
      <c r="BW214" s="284"/>
      <c r="BX214" s="284"/>
      <c r="BY214" s="284"/>
      <c r="BZ214" s="285"/>
      <c r="CA214" s="298">
        <f>SUM(C214,E214,G214,I214,K214,M214,O214,Q214,S214,U214,W214,Y214,AA214,AC214,AE214,AG214,AI214,AK214,AM214,AO214,AQ214,AS214,AU214,AW214,AY214,BA214,BC214,BE214,BG214,BI214,BK214,BM214,BO214,BQ214,BS214,BU214,BW214,BY214)</f>
        <v>0</v>
      </c>
      <c r="CB214" s="298">
        <f>SUM(D214,F214,H214,J214,L214,N214,P214,R214,T214,V214,X214,Z214,AB214,AD214,AF214,AH214,AJ214,AL214,AN214,AP214,AR214,AT214,AV214,AX214,AZ214,BB214,BD214,BF214,BH214,BJ214,BL214,BN214,BP214,BR214,BT214,BV214,BX214,BZ214)</f>
        <v>0</v>
      </c>
      <c r="CC214" s="299">
        <f>SUM(Table13[[#This Row],[GOALS 1]:[ASSISTS 38]])</f>
        <v>0</v>
      </c>
    </row>
    <row r="215" spans="1:81">
      <c r="A215" s="291" t="s">
        <v>1547</v>
      </c>
      <c r="B215" s="291" t="s">
        <v>27</v>
      </c>
      <c r="C215" s="286"/>
      <c r="D215" s="286"/>
      <c r="E215" s="289"/>
      <c r="F215" s="286"/>
      <c r="G215" s="288"/>
      <c r="H215" s="286"/>
      <c r="I215" s="288"/>
      <c r="J215" s="286"/>
      <c r="K215" s="288"/>
      <c r="L215" s="286"/>
      <c r="M215" s="288"/>
      <c r="N215" s="286"/>
      <c r="O215" s="288"/>
      <c r="P215" s="286"/>
      <c r="Q215" s="288"/>
      <c r="R215" s="286"/>
      <c r="S215" s="288"/>
      <c r="T215" s="286"/>
      <c r="U215" s="288"/>
      <c r="V215" s="286"/>
      <c r="W215" s="288"/>
      <c r="X215" s="286"/>
      <c r="Y215" s="288"/>
      <c r="Z215" s="286"/>
      <c r="AA215" s="288"/>
      <c r="AB215" s="286"/>
      <c r="AC215" s="288"/>
      <c r="AD215" s="286"/>
      <c r="AE215" s="288"/>
      <c r="AF215" s="286"/>
      <c r="AG215" s="288"/>
      <c r="AH215" s="286"/>
      <c r="AI215" s="288"/>
      <c r="AJ215" s="286"/>
      <c r="AK215" s="286"/>
      <c r="AL215" s="286"/>
      <c r="AM215" s="286"/>
      <c r="AN215" s="286"/>
      <c r="AO215" s="286"/>
      <c r="AP215" s="286"/>
      <c r="AQ215" s="286"/>
      <c r="AR215" s="286"/>
      <c r="AS215" s="286"/>
      <c r="AT215" s="286"/>
      <c r="AU215" s="286"/>
      <c r="AV215" s="284"/>
      <c r="AW215" s="284"/>
      <c r="AX215" s="284"/>
      <c r="AY215" s="284"/>
      <c r="AZ215" s="284"/>
      <c r="BA215" s="284"/>
      <c r="BB215" s="284"/>
      <c r="BC215" s="284"/>
      <c r="BD215" s="284"/>
      <c r="BE215" s="284"/>
      <c r="BF215" s="284"/>
      <c r="BG215" s="284"/>
      <c r="BH215" s="284"/>
      <c r="BI215" s="284"/>
      <c r="BJ215" s="284"/>
      <c r="BK215" s="284"/>
      <c r="BL215" s="284"/>
      <c r="BM215" s="284"/>
      <c r="BN215" s="284"/>
      <c r="BO215" s="284"/>
      <c r="BP215" s="284"/>
      <c r="BQ215" s="284"/>
      <c r="BR215" s="284"/>
      <c r="BS215" s="284"/>
      <c r="BT215" s="284"/>
      <c r="BU215" s="284"/>
      <c r="BV215" s="284"/>
      <c r="BW215" s="284"/>
      <c r="BX215" s="284"/>
      <c r="BY215" s="284"/>
      <c r="BZ215" s="285"/>
      <c r="CA215" s="298">
        <f>SUM(C215,E215,G215,I215,K215,M215,O215,Q215,S215,U215,W215,Y215,AA215,AC215,AE215,AG215,AI215,AK215,AM215,AO215,AQ215,AS215,AU215,AW215,AY215,BA215,BC215,BE215,BG215,BI215,BK215,BM215,BO215,BQ215,BS215,BU215,BW215,BY215)</f>
        <v>0</v>
      </c>
      <c r="CB215" s="298">
        <f>SUM(D215,F215,H215,J215,L215,N215,P215,R215,T215,V215,X215,Z215,AB215,AD215,AF215,AH215,AJ215,AL215,AN215,AP215,AR215,AT215,AV215,AX215,AZ215,BB215,BD215,BF215,BH215,BJ215,BL215,BN215,BP215,BR215,BT215,BV215,BX215,BZ215)</f>
        <v>0</v>
      </c>
      <c r="CC215" s="299">
        <f>SUM(Table13[[#This Row],[GOALS 1]:[ASSISTS 38]])</f>
        <v>0</v>
      </c>
    </row>
    <row r="216" spans="1:81">
      <c r="A216" s="291" t="s">
        <v>1640</v>
      </c>
      <c r="B216" s="291" t="s">
        <v>43</v>
      </c>
      <c r="C216" s="286"/>
      <c r="D216" s="286"/>
      <c r="E216" s="288"/>
      <c r="F216" s="286"/>
      <c r="G216" s="288"/>
      <c r="H216" s="286"/>
      <c r="I216" s="288"/>
      <c r="J216" s="286"/>
      <c r="K216" s="288"/>
      <c r="L216" s="286"/>
      <c r="M216" s="288"/>
      <c r="N216" s="286"/>
      <c r="O216" s="288"/>
      <c r="P216" s="286"/>
      <c r="Q216" s="288"/>
      <c r="R216" s="286"/>
      <c r="S216" s="288"/>
      <c r="T216" s="286"/>
      <c r="U216" s="288"/>
      <c r="V216" s="286"/>
      <c r="W216" s="288"/>
      <c r="X216" s="286"/>
      <c r="Y216" s="288"/>
      <c r="Z216" s="286"/>
      <c r="AA216" s="288"/>
      <c r="AB216" s="286"/>
      <c r="AC216" s="288"/>
      <c r="AD216" s="286"/>
      <c r="AE216" s="288"/>
      <c r="AF216" s="286"/>
      <c r="AG216" s="288"/>
      <c r="AH216" s="286"/>
      <c r="AI216" s="288"/>
      <c r="AJ216" s="286"/>
      <c r="AK216" s="286"/>
      <c r="AL216" s="286"/>
      <c r="AM216" s="286"/>
      <c r="AN216" s="286"/>
      <c r="AO216" s="286"/>
      <c r="AP216" s="286"/>
      <c r="AQ216" s="286"/>
      <c r="AR216" s="286"/>
      <c r="AS216" s="286"/>
      <c r="AT216" s="286"/>
      <c r="AU216" s="286"/>
      <c r="AV216" s="284"/>
      <c r="AW216" s="284"/>
      <c r="AX216" s="284"/>
      <c r="AY216" s="284"/>
      <c r="AZ216" s="284"/>
      <c r="BA216" s="284"/>
      <c r="BB216" s="284"/>
      <c r="BC216" s="284"/>
      <c r="BD216" s="284"/>
      <c r="BE216" s="284"/>
      <c r="BF216" s="284"/>
      <c r="BG216" s="284"/>
      <c r="BH216" s="284"/>
      <c r="BI216" s="284"/>
      <c r="BJ216" s="284"/>
      <c r="BK216" s="284"/>
      <c r="BL216" s="284"/>
      <c r="BM216" s="284"/>
      <c r="BN216" s="284"/>
      <c r="BO216" s="284"/>
      <c r="BP216" s="284"/>
      <c r="BQ216" s="284"/>
      <c r="BR216" s="284"/>
      <c r="BS216" s="284"/>
      <c r="BT216" s="284"/>
      <c r="BU216" s="284"/>
      <c r="BV216" s="284"/>
      <c r="BW216" s="284"/>
      <c r="BX216" s="284"/>
      <c r="BY216" s="284"/>
      <c r="BZ216" s="285"/>
      <c r="CA216" s="298">
        <f>SUM(C216,E216,G216,I216,K216,M216,O216,Q216,S216,U216,W216,Y216,AA216,AC216,AE216,AG216,AI216,AK216,AM216,AO216,AQ216,AS216,AU216,AW216,AY216,BA216,BC216,BE216,BG216,BI216,BK216,BM216,BO216,BQ216,BS216,BU216,BW216,BY216)</f>
        <v>0</v>
      </c>
      <c r="CB216" s="298">
        <f>SUM(D216,F216,H216,J216,L216,N216,P216,R216,T216,V216,X216,Z216,AB216,AD216,AF216,AH216,AJ216,AL216,AN216,AP216,AR216,AT216,AV216,AX216,AZ216,BB216,BD216,BF216,BH216,BJ216,BL216,BN216,BP216,BR216,BT216,BV216,BX216,BZ216)</f>
        <v>0</v>
      </c>
      <c r="CC216" s="299">
        <f>SUM(Table13[[#This Row],[GOALS 1]:[ASSISTS 38]])</f>
        <v>0</v>
      </c>
    </row>
    <row r="217" spans="1:81">
      <c r="A217" s="291" t="s">
        <v>2010</v>
      </c>
      <c r="B217" s="291" t="s">
        <v>24</v>
      </c>
      <c r="C217" s="286"/>
      <c r="D217" s="286"/>
      <c r="E217" s="288"/>
      <c r="F217" s="286"/>
      <c r="G217" s="288"/>
      <c r="H217" s="286"/>
      <c r="I217" s="288"/>
      <c r="J217" s="286"/>
      <c r="K217" s="288"/>
      <c r="L217" s="286"/>
      <c r="M217" s="288"/>
      <c r="N217" s="286"/>
      <c r="O217" s="288"/>
      <c r="P217" s="286"/>
      <c r="Q217" s="288"/>
      <c r="R217" s="286"/>
      <c r="S217" s="288"/>
      <c r="T217" s="286"/>
      <c r="U217" s="288"/>
      <c r="V217" s="286"/>
      <c r="W217" s="288"/>
      <c r="X217" s="286"/>
      <c r="Y217" s="288"/>
      <c r="Z217" s="286"/>
      <c r="AA217" s="288"/>
      <c r="AB217" s="286"/>
      <c r="AC217" s="288"/>
      <c r="AD217" s="286"/>
      <c r="AE217" s="288"/>
      <c r="AF217" s="286"/>
      <c r="AG217" s="288"/>
      <c r="AH217" s="286"/>
      <c r="AI217" s="288"/>
      <c r="AJ217" s="286"/>
      <c r="AK217" s="286"/>
      <c r="AL217" s="286"/>
      <c r="AM217" s="286"/>
      <c r="AN217" s="286"/>
      <c r="AO217" s="286"/>
      <c r="AP217" s="286"/>
      <c r="AQ217" s="286"/>
      <c r="AR217" s="286"/>
      <c r="AS217" s="286"/>
      <c r="AT217" s="286"/>
      <c r="AU217" s="286"/>
      <c r="AV217" s="284"/>
      <c r="AW217" s="284"/>
      <c r="AX217" s="284"/>
      <c r="AY217" s="284"/>
      <c r="AZ217" s="284"/>
      <c r="BA217" s="284"/>
      <c r="BB217" s="284"/>
      <c r="BC217" s="284"/>
      <c r="BD217" s="284"/>
      <c r="BE217" s="284"/>
      <c r="BF217" s="284"/>
      <c r="BG217" s="284"/>
      <c r="BH217" s="284"/>
      <c r="BI217" s="284"/>
      <c r="BJ217" s="284"/>
      <c r="BK217" s="284"/>
      <c r="BL217" s="284"/>
      <c r="BM217" s="284"/>
      <c r="BN217" s="284"/>
      <c r="BO217" s="284"/>
      <c r="BP217" s="284"/>
      <c r="BQ217" s="284"/>
      <c r="BR217" s="284"/>
      <c r="BS217" s="284"/>
      <c r="BT217" s="284"/>
      <c r="BU217" s="284"/>
      <c r="BV217" s="284"/>
      <c r="BW217" s="284"/>
      <c r="BX217" s="284"/>
      <c r="BY217" s="284"/>
      <c r="BZ217" s="285"/>
      <c r="CA217" s="298">
        <f>SUM(C217,E217,G217,I217,K217,M217,O217,Q217,S217,U217,W217,Y217,AA217,AC217,AE217,AG217,AI217,AK217,AM217,AO217,AQ217,AS217,AU217,AW217,AY217,BA217,BC217,BE217,BG217,BI217,BK217,BM217,BO217,BQ217,BS217,BU217,BW217,BY217)</f>
        <v>0</v>
      </c>
      <c r="CB217" s="298">
        <f>SUM(D217,F217,H217,J217,L217,N217,P217,R217,T217,V217,X217,Z217,AB217,AD217,AF217,AH217,AJ217,AL217,AN217,AP217,AR217,AT217,AV217,AX217,AZ217,BB217,BD217,BF217,BH217,BJ217,BL217,BN217,BP217,BR217,BT217,BV217,BX217,BZ217)</f>
        <v>0</v>
      </c>
      <c r="CC217" s="299">
        <f>SUM(Table13[[#This Row],[GOALS 1]:[ASSISTS 38]])</f>
        <v>0</v>
      </c>
    </row>
    <row r="218" spans="1:81">
      <c r="A218" s="291" t="s">
        <v>1836</v>
      </c>
      <c r="B218" s="291" t="s">
        <v>21</v>
      </c>
      <c r="C218" s="289"/>
      <c r="D218" s="286"/>
      <c r="E218" s="288"/>
      <c r="F218" s="286"/>
      <c r="G218" s="288"/>
      <c r="H218" s="286"/>
      <c r="I218" s="288"/>
      <c r="J218" s="286"/>
      <c r="K218" s="288"/>
      <c r="L218" s="286"/>
      <c r="M218" s="288"/>
      <c r="N218" s="286"/>
      <c r="O218" s="288"/>
      <c r="P218" s="286"/>
      <c r="Q218" s="288"/>
      <c r="R218" s="286"/>
      <c r="S218" s="288"/>
      <c r="T218" s="286"/>
      <c r="U218" s="288"/>
      <c r="V218" s="286"/>
      <c r="W218" s="288"/>
      <c r="X218" s="286"/>
      <c r="Y218" s="288"/>
      <c r="Z218" s="286"/>
      <c r="AA218" s="288"/>
      <c r="AB218" s="286"/>
      <c r="AC218" s="288"/>
      <c r="AD218" s="286"/>
      <c r="AE218" s="288"/>
      <c r="AF218" s="286"/>
      <c r="AG218" s="288"/>
      <c r="AH218" s="286"/>
      <c r="AI218" s="288"/>
      <c r="AJ218" s="286"/>
      <c r="AK218" s="286"/>
      <c r="AL218" s="286"/>
      <c r="AM218" s="286"/>
      <c r="AN218" s="286"/>
      <c r="AO218" s="286"/>
      <c r="AP218" s="286"/>
      <c r="AQ218" s="286"/>
      <c r="AR218" s="286"/>
      <c r="AS218" s="286"/>
      <c r="AT218" s="286"/>
      <c r="AU218" s="286"/>
      <c r="AV218" s="284"/>
      <c r="AW218" s="284"/>
      <c r="AX218" s="284"/>
      <c r="AY218" s="284"/>
      <c r="AZ218" s="284"/>
      <c r="BA218" s="284"/>
      <c r="BB218" s="284"/>
      <c r="BC218" s="284"/>
      <c r="BD218" s="284"/>
      <c r="BE218" s="284"/>
      <c r="BF218" s="284"/>
      <c r="BG218" s="284"/>
      <c r="BH218" s="284"/>
      <c r="BI218" s="284"/>
      <c r="BJ218" s="284"/>
      <c r="BK218" s="284"/>
      <c r="BL218" s="284"/>
      <c r="BM218" s="284"/>
      <c r="BN218" s="284"/>
      <c r="BO218" s="284"/>
      <c r="BP218" s="284"/>
      <c r="BQ218" s="284"/>
      <c r="BR218" s="284"/>
      <c r="BS218" s="284"/>
      <c r="BT218" s="284"/>
      <c r="BU218" s="284"/>
      <c r="BV218" s="284"/>
      <c r="BW218" s="284"/>
      <c r="BX218" s="284"/>
      <c r="BY218" s="284"/>
      <c r="BZ218" s="285"/>
      <c r="CA218" s="298">
        <f>SUM(C218,E218,G218,I218,K218,M218,O218,Q218,S218,U218,W218,Y218,AA218,AC218,AE218,AG218,AI218,AK218,AM218,AO218,AQ218,AS218,AU218,AW218,AY218,BA218,BC218,BE218,BG218,BI218,BK218,BM218,BO218,BQ218,BS218,BU218,BW218,BY218)</f>
        <v>0</v>
      </c>
      <c r="CB218" s="298">
        <f>SUM(D218,F218,H218,J218,L218,N218,P218,R218,T218,V218,X218,Z218,AB218,AD218,AF218,AH218,AJ218,AL218,AN218,AP218,AR218,AT218,AV218,AX218,AZ218,BB218,BD218,BF218,BH218,BJ218,BL218,BN218,BP218,BR218,BT218,BV218,BX218,BZ218)</f>
        <v>0</v>
      </c>
      <c r="CC218" s="299">
        <f>SUM(Table13[[#This Row],[GOALS 1]:[ASSISTS 38]])</f>
        <v>0</v>
      </c>
    </row>
    <row r="219" spans="1:81">
      <c r="A219" s="291" t="s">
        <v>1753</v>
      </c>
      <c r="B219" s="291" t="s">
        <v>25</v>
      </c>
      <c r="C219" s="286"/>
      <c r="D219" s="286"/>
      <c r="E219" s="288"/>
      <c r="F219" s="286"/>
      <c r="G219" s="288"/>
      <c r="H219" s="286"/>
      <c r="I219" s="288"/>
      <c r="J219" s="286"/>
      <c r="K219" s="288"/>
      <c r="L219" s="286"/>
      <c r="M219" s="288"/>
      <c r="N219" s="286"/>
      <c r="O219" s="288"/>
      <c r="P219" s="286"/>
      <c r="Q219" s="288"/>
      <c r="R219" s="286"/>
      <c r="S219" s="288"/>
      <c r="T219" s="286"/>
      <c r="U219" s="288"/>
      <c r="V219" s="286"/>
      <c r="W219" s="288"/>
      <c r="X219" s="286"/>
      <c r="Y219" s="288"/>
      <c r="Z219" s="286"/>
      <c r="AA219" s="288"/>
      <c r="AB219" s="286"/>
      <c r="AC219" s="288"/>
      <c r="AD219" s="286"/>
      <c r="AE219" s="288"/>
      <c r="AF219" s="286"/>
      <c r="AG219" s="288"/>
      <c r="AH219" s="286"/>
      <c r="AI219" s="288"/>
      <c r="AJ219" s="286"/>
      <c r="AK219" s="286"/>
      <c r="AL219" s="286"/>
      <c r="AM219" s="286"/>
      <c r="AN219" s="286"/>
      <c r="AO219" s="286"/>
      <c r="AP219" s="286"/>
      <c r="AQ219" s="286"/>
      <c r="AR219" s="286"/>
      <c r="AS219" s="286"/>
      <c r="AT219" s="286"/>
      <c r="AU219" s="286"/>
      <c r="AV219" s="284"/>
      <c r="AW219" s="284"/>
      <c r="AX219" s="284"/>
      <c r="AY219" s="284"/>
      <c r="AZ219" s="284"/>
      <c r="BA219" s="284"/>
      <c r="BB219" s="284"/>
      <c r="BC219" s="284"/>
      <c r="BD219" s="284"/>
      <c r="BE219" s="284"/>
      <c r="BF219" s="284"/>
      <c r="BG219" s="284"/>
      <c r="BH219" s="284"/>
      <c r="BI219" s="284"/>
      <c r="BJ219" s="284"/>
      <c r="BK219" s="284"/>
      <c r="BL219" s="284"/>
      <c r="BM219" s="284"/>
      <c r="BN219" s="284"/>
      <c r="BO219" s="284"/>
      <c r="BP219" s="284"/>
      <c r="BQ219" s="284"/>
      <c r="BR219" s="284"/>
      <c r="BS219" s="284"/>
      <c r="BT219" s="284"/>
      <c r="BU219" s="284"/>
      <c r="BV219" s="284"/>
      <c r="BW219" s="284"/>
      <c r="BX219" s="284"/>
      <c r="BY219" s="284"/>
      <c r="BZ219" s="285"/>
      <c r="CA219" s="298">
        <f>SUM(C219,E219,G219,I219,K219,M219,O219,Q219,S219,U219,W219,Y219,AA219,AC219,AE219,AG219,AI219,AK219,AM219,AO219,AQ219,AS219,AU219,AW219,AY219,BA219,BC219,BE219,BG219,BI219,BK219,BM219,BO219,BQ219,BS219,BU219,BW219,BY219)</f>
        <v>0</v>
      </c>
      <c r="CB219" s="298">
        <f>SUM(D219,F219,H219,J219,L219,N219,P219,R219,T219,V219,X219,Z219,AB219,AD219,AF219,AH219,AJ219,AL219,AN219,AP219,AR219,AT219,AV219,AX219,AZ219,BB219,BD219,BF219,BH219,BJ219,BL219,BN219,BP219,BR219,BT219,BV219,BX219,BZ219)</f>
        <v>0</v>
      </c>
      <c r="CC219" s="299">
        <f>SUM(Table13[[#This Row],[GOALS 1]:[ASSISTS 38]])</f>
        <v>0</v>
      </c>
    </row>
    <row r="220" spans="1:81">
      <c r="A220" s="291" t="s">
        <v>1433</v>
      </c>
      <c r="B220" s="291" t="s">
        <v>28</v>
      </c>
      <c r="C220" s="286"/>
      <c r="D220" s="286"/>
      <c r="E220" s="288"/>
      <c r="F220" s="286"/>
      <c r="G220" s="288"/>
      <c r="H220" s="286"/>
      <c r="I220" s="288"/>
      <c r="J220" s="286"/>
      <c r="K220" s="288"/>
      <c r="L220" s="286"/>
      <c r="M220" s="288"/>
      <c r="N220" s="286"/>
      <c r="O220" s="288"/>
      <c r="P220" s="286"/>
      <c r="Q220" s="288"/>
      <c r="R220" s="286"/>
      <c r="S220" s="288"/>
      <c r="T220" s="286"/>
      <c r="U220" s="288"/>
      <c r="V220" s="286"/>
      <c r="W220" s="288"/>
      <c r="X220" s="286"/>
      <c r="Y220" s="288"/>
      <c r="Z220" s="286"/>
      <c r="AA220" s="288"/>
      <c r="AB220" s="286"/>
      <c r="AC220" s="288"/>
      <c r="AD220" s="286"/>
      <c r="AE220" s="288"/>
      <c r="AF220" s="286"/>
      <c r="AG220" s="288"/>
      <c r="AH220" s="286"/>
      <c r="AI220" s="288"/>
      <c r="AJ220" s="286"/>
      <c r="AK220" s="286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4"/>
      <c r="AW220" s="284"/>
      <c r="AX220" s="284"/>
      <c r="AY220" s="284"/>
      <c r="AZ220" s="284"/>
      <c r="BA220" s="284"/>
      <c r="BB220" s="284"/>
      <c r="BC220" s="284"/>
      <c r="BD220" s="284"/>
      <c r="BE220" s="284"/>
      <c r="BF220" s="284"/>
      <c r="BG220" s="284"/>
      <c r="BH220" s="284"/>
      <c r="BI220" s="284"/>
      <c r="BJ220" s="284"/>
      <c r="BK220" s="284"/>
      <c r="BL220" s="284"/>
      <c r="BM220" s="284"/>
      <c r="BN220" s="284"/>
      <c r="BO220" s="284"/>
      <c r="BP220" s="284"/>
      <c r="BQ220" s="284"/>
      <c r="BR220" s="284"/>
      <c r="BS220" s="284"/>
      <c r="BT220" s="284"/>
      <c r="BU220" s="284"/>
      <c r="BV220" s="284"/>
      <c r="BW220" s="284"/>
      <c r="BX220" s="284"/>
      <c r="BY220" s="284"/>
      <c r="BZ220" s="285"/>
      <c r="CA220" s="298">
        <f>SUM(C220,E220,G220,I220,K220,M220,O220,Q220,S220,U220,W220,Y220,AA220,AC220,AE220,AG220,AI220,AK220,AM220,AO220,AQ220,AS220,AU220,AW220,AY220,BA220,BC220,BE220,BG220,BI220,BK220,BM220,BO220,BQ220,BS220,BU220,BW220,BY220)</f>
        <v>0</v>
      </c>
      <c r="CB220" s="298">
        <f>SUM(D220,F220,H220,J220,L220,N220,P220,R220,T220,V220,X220,Z220,AB220,AD220,AF220,AH220,AJ220,AL220,AN220,AP220,AR220,AT220,AV220,AX220,AZ220,BB220,BD220,BF220,BH220,BJ220,BL220,BN220,BP220,BR220,BT220,BV220,BX220,BZ220)</f>
        <v>0</v>
      </c>
      <c r="CC220" s="299">
        <f>SUM(Table13[[#This Row],[GOALS 1]:[ASSISTS 38]])</f>
        <v>0</v>
      </c>
    </row>
    <row r="221" spans="1:81">
      <c r="A221" s="291" t="s">
        <v>1512</v>
      </c>
      <c r="B221" s="291" t="s">
        <v>28</v>
      </c>
      <c r="C221" s="286"/>
      <c r="D221" s="286"/>
      <c r="E221" s="288"/>
      <c r="F221" s="286"/>
      <c r="G221" s="288"/>
      <c r="H221" s="286"/>
      <c r="I221" s="288"/>
      <c r="J221" s="286"/>
      <c r="K221" s="288"/>
      <c r="L221" s="286"/>
      <c r="M221" s="288"/>
      <c r="N221" s="286"/>
      <c r="O221" s="288"/>
      <c r="P221" s="286"/>
      <c r="Q221" s="288"/>
      <c r="R221" s="286"/>
      <c r="S221" s="288"/>
      <c r="T221" s="286"/>
      <c r="U221" s="288"/>
      <c r="V221" s="286"/>
      <c r="W221" s="288"/>
      <c r="X221" s="286"/>
      <c r="Y221" s="288"/>
      <c r="Z221" s="286"/>
      <c r="AA221" s="288"/>
      <c r="AB221" s="286"/>
      <c r="AC221" s="288"/>
      <c r="AD221" s="286"/>
      <c r="AE221" s="288"/>
      <c r="AF221" s="286"/>
      <c r="AG221" s="288"/>
      <c r="AH221" s="286"/>
      <c r="AI221" s="288"/>
      <c r="AJ221" s="286"/>
      <c r="AK221" s="286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4"/>
      <c r="AW221" s="284"/>
      <c r="AX221" s="284"/>
      <c r="AY221" s="284"/>
      <c r="AZ221" s="284"/>
      <c r="BA221" s="284"/>
      <c r="BB221" s="284"/>
      <c r="BC221" s="284"/>
      <c r="BD221" s="284"/>
      <c r="BE221" s="284"/>
      <c r="BF221" s="284"/>
      <c r="BG221" s="284"/>
      <c r="BH221" s="284"/>
      <c r="BI221" s="284"/>
      <c r="BJ221" s="284"/>
      <c r="BK221" s="284"/>
      <c r="BL221" s="284"/>
      <c r="BM221" s="284"/>
      <c r="BN221" s="284"/>
      <c r="BO221" s="284"/>
      <c r="BP221" s="284"/>
      <c r="BQ221" s="284"/>
      <c r="BR221" s="284"/>
      <c r="BS221" s="284"/>
      <c r="BT221" s="284"/>
      <c r="BU221" s="284"/>
      <c r="BV221" s="284"/>
      <c r="BW221" s="284"/>
      <c r="BX221" s="284"/>
      <c r="BY221" s="284"/>
      <c r="BZ221" s="285"/>
      <c r="CA221" s="298">
        <f>SUM(C221,E221,G221,I221,K221,M221,O221,Q221,S221,U221,W221,Y221,AA221,AC221,AE221,AG221,AI221,AK221,AM221,AO221,AQ221,AS221,AU221,AW221,AY221,BA221,BC221,BE221,BG221,BI221,BK221,BM221,BO221,BQ221,BS221,BU221,BW221,BY221)</f>
        <v>0</v>
      </c>
      <c r="CB221" s="298">
        <f>SUM(D221,F221,H221,J221,L221,N221,P221,R221,T221,V221,X221,Z221,AB221,AD221,AF221,AH221,AJ221,AL221,AN221,AP221,AR221,AT221,AV221,AX221,AZ221,BB221,BD221,BF221,BH221,BJ221,BL221,BN221,BP221,BR221,BT221,BV221,BX221,BZ221)</f>
        <v>0</v>
      </c>
      <c r="CC221" s="299">
        <f>SUM(Table13[[#This Row],[GOALS 1]:[ASSISTS 38]])</f>
        <v>0</v>
      </c>
    </row>
    <row r="222" spans="1:81">
      <c r="A222" s="291" t="s">
        <v>1692</v>
      </c>
      <c r="B222" s="291" t="s">
        <v>51</v>
      </c>
      <c r="C222" s="286"/>
      <c r="D222" s="286"/>
      <c r="E222" s="288"/>
      <c r="F222" s="286"/>
      <c r="G222" s="288"/>
      <c r="H222" s="286"/>
      <c r="I222" s="288"/>
      <c r="J222" s="286"/>
      <c r="K222" s="288"/>
      <c r="L222" s="286"/>
      <c r="M222" s="288"/>
      <c r="N222" s="286"/>
      <c r="O222" s="288"/>
      <c r="P222" s="286"/>
      <c r="Q222" s="288"/>
      <c r="R222" s="286"/>
      <c r="S222" s="288"/>
      <c r="T222" s="286"/>
      <c r="U222" s="288"/>
      <c r="V222" s="286"/>
      <c r="W222" s="288"/>
      <c r="X222" s="286"/>
      <c r="Y222" s="288"/>
      <c r="Z222" s="286"/>
      <c r="AA222" s="288"/>
      <c r="AB222" s="286"/>
      <c r="AC222" s="288"/>
      <c r="AD222" s="286"/>
      <c r="AE222" s="288"/>
      <c r="AF222" s="286"/>
      <c r="AG222" s="288"/>
      <c r="AH222" s="286"/>
      <c r="AI222" s="288"/>
      <c r="AJ222" s="286"/>
      <c r="AK222" s="286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4"/>
      <c r="AW222" s="284"/>
      <c r="AX222" s="284"/>
      <c r="AY222" s="284"/>
      <c r="AZ222" s="284"/>
      <c r="BA222" s="284"/>
      <c r="BB222" s="284"/>
      <c r="BC222" s="284"/>
      <c r="BD222" s="284"/>
      <c r="BE222" s="284"/>
      <c r="BF222" s="284"/>
      <c r="BG222" s="284"/>
      <c r="BH222" s="284"/>
      <c r="BI222" s="284"/>
      <c r="BJ222" s="284"/>
      <c r="BK222" s="284"/>
      <c r="BL222" s="284"/>
      <c r="BM222" s="284"/>
      <c r="BN222" s="284"/>
      <c r="BO222" s="284"/>
      <c r="BP222" s="284"/>
      <c r="BQ222" s="284"/>
      <c r="BR222" s="284"/>
      <c r="BS222" s="284"/>
      <c r="BT222" s="284"/>
      <c r="BU222" s="284"/>
      <c r="BV222" s="284"/>
      <c r="BW222" s="284"/>
      <c r="BX222" s="284"/>
      <c r="BY222" s="284"/>
      <c r="BZ222" s="285"/>
      <c r="CA222" s="298">
        <f>SUM(C222,E222,G222,I222,K222,M222,O222,Q222,S222,U222,W222,Y222,AA222,AC222,AE222,AG222,AI222,AK222,AM222,AO222,AQ222,AS222,AU222,AW222,AY222,BA222,BC222,BE222,BG222,BI222,BK222,BM222,BO222,BQ222,BS222,BU222,BW222,BY222)</f>
        <v>0</v>
      </c>
      <c r="CB222" s="298">
        <f>SUM(D222,F222,H222,J222,L222,N222,P222,R222,T222,V222,X222,Z222,AB222,AD222,AF222,AH222,AJ222,AL222,AN222,AP222,AR222,AT222,AV222,AX222,AZ222,BB222,BD222,BF222,BH222,BJ222,BL222,BN222,BP222,BR222,BT222,BV222,BX222,BZ222)</f>
        <v>0</v>
      </c>
      <c r="CC222" s="299">
        <f>SUM(Table13[[#This Row],[GOALS 1]:[ASSISTS 38]])</f>
        <v>0</v>
      </c>
    </row>
    <row r="223" spans="1:81">
      <c r="A223" s="291" t="s">
        <v>1471</v>
      </c>
      <c r="B223" s="291" t="s">
        <v>43</v>
      </c>
      <c r="C223" s="286"/>
      <c r="D223" s="286"/>
      <c r="E223" s="288"/>
      <c r="F223" s="286"/>
      <c r="G223" s="288"/>
      <c r="H223" s="286"/>
      <c r="I223" s="288"/>
      <c r="J223" s="286"/>
      <c r="K223" s="288"/>
      <c r="L223" s="286"/>
      <c r="M223" s="288"/>
      <c r="N223" s="286"/>
      <c r="O223" s="288"/>
      <c r="P223" s="286"/>
      <c r="Q223" s="288"/>
      <c r="R223" s="286"/>
      <c r="S223" s="288"/>
      <c r="T223" s="286"/>
      <c r="U223" s="288"/>
      <c r="V223" s="286"/>
      <c r="W223" s="288"/>
      <c r="X223" s="286"/>
      <c r="Y223" s="288"/>
      <c r="Z223" s="286"/>
      <c r="AA223" s="288"/>
      <c r="AB223" s="286"/>
      <c r="AC223" s="288"/>
      <c r="AD223" s="286"/>
      <c r="AE223" s="288"/>
      <c r="AF223" s="286"/>
      <c r="AG223" s="288"/>
      <c r="AH223" s="286"/>
      <c r="AI223" s="288"/>
      <c r="AJ223" s="286"/>
      <c r="AK223" s="286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4"/>
      <c r="AW223" s="284"/>
      <c r="AX223" s="284"/>
      <c r="AY223" s="284"/>
      <c r="AZ223" s="284"/>
      <c r="BA223" s="284"/>
      <c r="BB223" s="284"/>
      <c r="BC223" s="284"/>
      <c r="BD223" s="284"/>
      <c r="BE223" s="284"/>
      <c r="BF223" s="284"/>
      <c r="BG223" s="284"/>
      <c r="BH223" s="284"/>
      <c r="BI223" s="284"/>
      <c r="BJ223" s="284"/>
      <c r="BK223" s="284"/>
      <c r="BL223" s="284"/>
      <c r="BM223" s="284"/>
      <c r="BN223" s="284"/>
      <c r="BO223" s="284"/>
      <c r="BP223" s="284"/>
      <c r="BQ223" s="284"/>
      <c r="BR223" s="284"/>
      <c r="BS223" s="284"/>
      <c r="BT223" s="284"/>
      <c r="BU223" s="284"/>
      <c r="BV223" s="284"/>
      <c r="BW223" s="284"/>
      <c r="BX223" s="284"/>
      <c r="BY223" s="284"/>
      <c r="BZ223" s="285"/>
      <c r="CA223" s="298">
        <f>SUM(C223,E223,G223,I223,K223,M223,O223,Q223,S223,U223,W223,Y223,AA223,AC223,AE223,AG223,AI223,AK223,AM223,AO223,AQ223,AS223,AU223,AW223,AY223,BA223,BC223,BE223,BG223,BI223,BK223,BM223,BO223,BQ223,BS223,BU223,BW223,BY223)</f>
        <v>0</v>
      </c>
      <c r="CB223" s="298">
        <f>SUM(D223,F223,H223,J223,L223,N223,P223,R223,T223,V223,X223,Z223,AB223,AD223,AF223,AH223,AJ223,AL223,AN223,AP223,AR223,AT223,AV223,AX223,AZ223,BB223,BD223,BF223,BH223,BJ223,BL223,BN223,BP223,BR223,BT223,BV223,BX223,BZ223)</f>
        <v>0</v>
      </c>
      <c r="CC223" s="299">
        <f>SUM(Table13[[#This Row],[GOALS 1]:[ASSISTS 38]])</f>
        <v>0</v>
      </c>
    </row>
    <row r="224" spans="1:81">
      <c r="A224" s="291" t="s">
        <v>1564</v>
      </c>
      <c r="B224" s="291" t="s">
        <v>22</v>
      </c>
      <c r="C224" s="286"/>
      <c r="D224" s="286"/>
      <c r="E224" s="288"/>
      <c r="F224" s="286"/>
      <c r="G224" s="288"/>
      <c r="H224" s="286"/>
      <c r="I224" s="288"/>
      <c r="J224" s="286"/>
      <c r="K224" s="288"/>
      <c r="L224" s="286"/>
      <c r="M224" s="288"/>
      <c r="N224" s="286"/>
      <c r="O224" s="288"/>
      <c r="P224" s="286"/>
      <c r="Q224" s="288"/>
      <c r="R224" s="286"/>
      <c r="S224" s="288"/>
      <c r="T224" s="286"/>
      <c r="U224" s="288"/>
      <c r="V224" s="286"/>
      <c r="W224" s="288"/>
      <c r="X224" s="286"/>
      <c r="Y224" s="288"/>
      <c r="Z224" s="286"/>
      <c r="AA224" s="288"/>
      <c r="AB224" s="286"/>
      <c r="AC224" s="288"/>
      <c r="AD224" s="286"/>
      <c r="AE224" s="288"/>
      <c r="AF224" s="286"/>
      <c r="AG224" s="288"/>
      <c r="AH224" s="286"/>
      <c r="AI224" s="288"/>
      <c r="AJ224" s="286"/>
      <c r="AK224" s="286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4"/>
      <c r="AW224" s="284"/>
      <c r="AX224" s="284"/>
      <c r="AY224" s="284"/>
      <c r="AZ224" s="284"/>
      <c r="BA224" s="284"/>
      <c r="BB224" s="284"/>
      <c r="BC224" s="284"/>
      <c r="BD224" s="284"/>
      <c r="BE224" s="284"/>
      <c r="BF224" s="284"/>
      <c r="BG224" s="284"/>
      <c r="BH224" s="284"/>
      <c r="BI224" s="284"/>
      <c r="BJ224" s="284"/>
      <c r="BK224" s="284"/>
      <c r="BL224" s="284"/>
      <c r="BM224" s="284"/>
      <c r="BN224" s="284"/>
      <c r="BO224" s="284"/>
      <c r="BP224" s="284"/>
      <c r="BQ224" s="284"/>
      <c r="BR224" s="284"/>
      <c r="BS224" s="284"/>
      <c r="BT224" s="284"/>
      <c r="BU224" s="284"/>
      <c r="BV224" s="284"/>
      <c r="BW224" s="284"/>
      <c r="BX224" s="284"/>
      <c r="BY224" s="284"/>
      <c r="BZ224" s="285"/>
      <c r="CA224" s="298">
        <f>SUM(C224,E224,G224,I224,K224,M224,O224,Q224,S224,U224,W224,Y224,AA224,AC224,AE224,AG224,AI224,AK224,AM224,AO224,AQ224,AS224,AU224,AW224,AY224,BA224,BC224,BE224,BG224,BI224,BK224,BM224,BO224,BQ224,BS224,BU224,BW224,BY224)</f>
        <v>0</v>
      </c>
      <c r="CB224" s="298">
        <f>SUM(D224,F224,H224,J224,L224,N224,P224,R224,T224,V224,X224,Z224,AB224,AD224,AF224,AH224,AJ224,AL224,AN224,AP224,AR224,AT224,AV224,AX224,AZ224,BB224,BD224,BF224,BH224,BJ224,BL224,BN224,BP224,BR224,BT224,BV224,BX224,BZ224)</f>
        <v>0</v>
      </c>
      <c r="CC224" s="299">
        <f>SUM(Table13[[#This Row],[GOALS 1]:[ASSISTS 38]])</f>
        <v>0</v>
      </c>
    </row>
    <row r="225" spans="1:81">
      <c r="A225" s="291" t="s">
        <v>1636</v>
      </c>
      <c r="B225" s="291" t="s">
        <v>51</v>
      </c>
      <c r="C225" s="286"/>
      <c r="D225" s="286"/>
      <c r="E225" s="288"/>
      <c r="F225" s="286"/>
      <c r="G225" s="288"/>
      <c r="H225" s="286"/>
      <c r="I225" s="288"/>
      <c r="J225" s="286"/>
      <c r="K225" s="288"/>
      <c r="L225" s="286"/>
      <c r="M225" s="288"/>
      <c r="N225" s="286"/>
      <c r="O225" s="288"/>
      <c r="P225" s="286"/>
      <c r="Q225" s="288"/>
      <c r="R225" s="286"/>
      <c r="S225" s="288"/>
      <c r="T225" s="286"/>
      <c r="U225" s="288"/>
      <c r="V225" s="286"/>
      <c r="W225" s="288"/>
      <c r="X225" s="286"/>
      <c r="Y225" s="288"/>
      <c r="Z225" s="286"/>
      <c r="AA225" s="288"/>
      <c r="AB225" s="286"/>
      <c r="AC225" s="288"/>
      <c r="AD225" s="286"/>
      <c r="AE225" s="288"/>
      <c r="AF225" s="286"/>
      <c r="AG225" s="288"/>
      <c r="AH225" s="286"/>
      <c r="AI225" s="288"/>
      <c r="AJ225" s="286"/>
      <c r="AK225" s="286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4"/>
      <c r="AW225" s="284"/>
      <c r="AX225" s="284"/>
      <c r="AY225" s="284"/>
      <c r="AZ225" s="284"/>
      <c r="BA225" s="284"/>
      <c r="BB225" s="284"/>
      <c r="BC225" s="284"/>
      <c r="BD225" s="284"/>
      <c r="BE225" s="284"/>
      <c r="BF225" s="284"/>
      <c r="BG225" s="284"/>
      <c r="BH225" s="284"/>
      <c r="BI225" s="284"/>
      <c r="BJ225" s="284"/>
      <c r="BK225" s="284"/>
      <c r="BL225" s="284"/>
      <c r="BM225" s="284"/>
      <c r="BN225" s="284"/>
      <c r="BO225" s="284"/>
      <c r="BP225" s="284"/>
      <c r="BQ225" s="284"/>
      <c r="BR225" s="284"/>
      <c r="BS225" s="284"/>
      <c r="BT225" s="284"/>
      <c r="BU225" s="284"/>
      <c r="BV225" s="284"/>
      <c r="BW225" s="284"/>
      <c r="BX225" s="284"/>
      <c r="BY225" s="284"/>
      <c r="BZ225" s="285"/>
      <c r="CA225" s="298">
        <f>SUM(C225,E225,G225,I225,K225,M225,O225,Q225,S225,U225,W225,Y225,AA225,AC225,AE225,AG225,AI225,AK225,AM225,AO225,AQ225,AS225,AU225,AW225,AY225,BA225,BC225,BE225,BG225,BI225,BK225,BM225,BO225,BQ225,BS225,BU225,BW225,BY225)</f>
        <v>0</v>
      </c>
      <c r="CB225" s="298">
        <f>SUM(D225,F225,H225,J225,L225,N225,P225,R225,T225,V225,X225,Z225,AB225,AD225,AF225,AH225,AJ225,AL225,AN225,AP225,AR225,AT225,AV225,AX225,AZ225,BB225,BD225,BF225,BH225,BJ225,BL225,BN225,BP225,BR225,BT225,BV225,BX225,BZ225)</f>
        <v>0</v>
      </c>
      <c r="CC225" s="299">
        <f>SUM(Table13[[#This Row],[GOALS 1]:[ASSISTS 38]])</f>
        <v>0</v>
      </c>
    </row>
    <row r="226" spans="1:81">
      <c r="A226" s="291" t="s">
        <v>1509</v>
      </c>
      <c r="B226" s="291" t="s">
        <v>634</v>
      </c>
      <c r="C226" s="288"/>
      <c r="D226" s="286"/>
      <c r="E226" s="288"/>
      <c r="F226" s="286"/>
      <c r="G226" s="288"/>
      <c r="H226" s="286"/>
      <c r="I226" s="288"/>
      <c r="J226" s="286"/>
      <c r="K226" s="288"/>
      <c r="L226" s="286"/>
      <c r="M226" s="288"/>
      <c r="N226" s="286"/>
      <c r="O226" s="288"/>
      <c r="P226" s="286"/>
      <c r="Q226" s="288"/>
      <c r="R226" s="286"/>
      <c r="S226" s="288"/>
      <c r="T226" s="286"/>
      <c r="U226" s="288"/>
      <c r="V226" s="286"/>
      <c r="W226" s="288"/>
      <c r="X226" s="286"/>
      <c r="Y226" s="288"/>
      <c r="Z226" s="286"/>
      <c r="AA226" s="288"/>
      <c r="AB226" s="286"/>
      <c r="AC226" s="288"/>
      <c r="AD226" s="286"/>
      <c r="AE226" s="288"/>
      <c r="AF226" s="286"/>
      <c r="AG226" s="288"/>
      <c r="AH226" s="286"/>
      <c r="AI226" s="288"/>
      <c r="AJ226" s="286"/>
      <c r="AK226" s="286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4"/>
      <c r="AW226" s="284"/>
      <c r="AX226" s="284"/>
      <c r="AY226" s="284"/>
      <c r="AZ226" s="284"/>
      <c r="BA226" s="284"/>
      <c r="BB226" s="284"/>
      <c r="BC226" s="284"/>
      <c r="BD226" s="284"/>
      <c r="BE226" s="284"/>
      <c r="BF226" s="284"/>
      <c r="BG226" s="284"/>
      <c r="BH226" s="284"/>
      <c r="BI226" s="284"/>
      <c r="BJ226" s="284"/>
      <c r="BK226" s="284"/>
      <c r="BL226" s="284"/>
      <c r="BM226" s="284"/>
      <c r="BN226" s="284"/>
      <c r="BO226" s="284"/>
      <c r="BP226" s="284"/>
      <c r="BQ226" s="284"/>
      <c r="BR226" s="284"/>
      <c r="BS226" s="284"/>
      <c r="BT226" s="284"/>
      <c r="BU226" s="284"/>
      <c r="BV226" s="284"/>
      <c r="BW226" s="284"/>
      <c r="BX226" s="284"/>
      <c r="BY226" s="284"/>
      <c r="BZ226" s="285"/>
      <c r="CA226" s="298">
        <f>SUM(C226,E226,G226,I226,K226,M226,O226,Q226,S226,U226,W226,Y226,AA226,AC226,AE226,AG226,AI226,AK226,AM226,AO226,AQ226,AS226,AU226,AW226,AY226,BA226,BC226,BE226,BG226,BI226,BK226,BM226,BO226,BQ226,BS226,BU226,BW226,BY226)</f>
        <v>0</v>
      </c>
      <c r="CB226" s="298">
        <f>SUM(D226,F226,H226,J226,L226,N226,P226,R226,T226,V226,X226,Z226,AB226,AD226,AF226,AH226,AJ226,AL226,AN226,AP226,AR226,AT226,AV226,AX226,AZ226,BB226,BD226,BF226,BH226,BJ226,BL226,BN226,BP226,BR226,BT226,BV226,BX226,BZ226)</f>
        <v>0</v>
      </c>
      <c r="CC226" s="299">
        <f>SUM(Table13[[#This Row],[GOALS 1]:[ASSISTS 38]])</f>
        <v>0</v>
      </c>
    </row>
    <row r="227" spans="1:81">
      <c r="A227" s="291" t="s">
        <v>1711</v>
      </c>
      <c r="B227" s="291" t="s">
        <v>52</v>
      </c>
      <c r="C227" s="289"/>
      <c r="D227" s="286"/>
      <c r="E227" s="288"/>
      <c r="F227" s="286"/>
      <c r="G227" s="288"/>
      <c r="H227" s="286"/>
      <c r="I227" s="288"/>
      <c r="J227" s="286"/>
      <c r="K227" s="288"/>
      <c r="L227" s="286"/>
      <c r="M227" s="288"/>
      <c r="N227" s="286"/>
      <c r="O227" s="288"/>
      <c r="P227" s="286"/>
      <c r="Q227" s="288"/>
      <c r="R227" s="286"/>
      <c r="S227" s="288"/>
      <c r="T227" s="286"/>
      <c r="U227" s="288"/>
      <c r="V227" s="286"/>
      <c r="W227" s="288"/>
      <c r="X227" s="286"/>
      <c r="Y227" s="288"/>
      <c r="Z227" s="286"/>
      <c r="AA227" s="288"/>
      <c r="AB227" s="286"/>
      <c r="AC227" s="288"/>
      <c r="AD227" s="286"/>
      <c r="AE227" s="288"/>
      <c r="AF227" s="286"/>
      <c r="AG227" s="288"/>
      <c r="AH227" s="286"/>
      <c r="AI227" s="288"/>
      <c r="AJ227" s="286"/>
      <c r="AK227" s="286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4"/>
      <c r="AW227" s="284"/>
      <c r="AX227" s="284"/>
      <c r="AY227" s="284"/>
      <c r="AZ227" s="284"/>
      <c r="BA227" s="284"/>
      <c r="BB227" s="284"/>
      <c r="BC227" s="284"/>
      <c r="BD227" s="284"/>
      <c r="BE227" s="284"/>
      <c r="BF227" s="284"/>
      <c r="BG227" s="284"/>
      <c r="BH227" s="284"/>
      <c r="BI227" s="284"/>
      <c r="BJ227" s="284"/>
      <c r="BK227" s="284"/>
      <c r="BL227" s="284"/>
      <c r="BM227" s="284"/>
      <c r="BN227" s="284"/>
      <c r="BO227" s="284"/>
      <c r="BP227" s="284"/>
      <c r="BQ227" s="284"/>
      <c r="BR227" s="284"/>
      <c r="BS227" s="284"/>
      <c r="BT227" s="284"/>
      <c r="BU227" s="284"/>
      <c r="BV227" s="284"/>
      <c r="BW227" s="284"/>
      <c r="BX227" s="284"/>
      <c r="BY227" s="284"/>
      <c r="BZ227" s="285"/>
      <c r="CA227" s="298">
        <f>SUM(C227,E227,G227,I227,K227,M227,O227,Q227,S227,U227,W227,Y227,AA227,AC227,AE227,AG227,AI227,AK227,AM227,AO227,AQ227,AS227,AU227,AW227,AY227,BA227,BC227,BE227,BG227,BI227,BK227,BM227,BO227,BQ227,BS227,BU227,BW227,BY227)</f>
        <v>0</v>
      </c>
      <c r="CB227" s="298">
        <f>SUM(D227,F227,H227,J227,L227,N227,P227,R227,T227,V227,X227,Z227,AB227,AD227,AF227,AH227,AJ227,AL227,AN227,AP227,AR227,AT227,AV227,AX227,AZ227,BB227,BD227,BF227,BH227,BJ227,BL227,BN227,BP227,BR227,BT227,BV227,BX227,BZ227)</f>
        <v>0</v>
      </c>
      <c r="CC227" s="299">
        <f>SUM(Table13[[#This Row],[GOALS 1]:[ASSISTS 38]])</f>
        <v>0</v>
      </c>
    </row>
    <row r="228" spans="1:81">
      <c r="A228" s="291" t="s">
        <v>1578</v>
      </c>
      <c r="B228" s="291" t="s">
        <v>633</v>
      </c>
      <c r="C228" s="289"/>
      <c r="D228" s="286"/>
      <c r="E228" s="288"/>
      <c r="F228" s="286"/>
      <c r="G228" s="288"/>
      <c r="H228" s="286"/>
      <c r="I228" s="288"/>
      <c r="J228" s="286"/>
      <c r="K228" s="288"/>
      <c r="L228" s="286"/>
      <c r="M228" s="288"/>
      <c r="N228" s="286"/>
      <c r="O228" s="288"/>
      <c r="P228" s="286"/>
      <c r="Q228" s="288"/>
      <c r="R228" s="286"/>
      <c r="S228" s="288"/>
      <c r="T228" s="286"/>
      <c r="U228" s="288"/>
      <c r="V228" s="286"/>
      <c r="W228" s="288"/>
      <c r="X228" s="286"/>
      <c r="Y228" s="288"/>
      <c r="Z228" s="286"/>
      <c r="AA228" s="288"/>
      <c r="AB228" s="286"/>
      <c r="AC228" s="288"/>
      <c r="AD228" s="286"/>
      <c r="AE228" s="288"/>
      <c r="AF228" s="286"/>
      <c r="AG228" s="288"/>
      <c r="AH228" s="286"/>
      <c r="AI228" s="288"/>
      <c r="AJ228" s="286"/>
      <c r="AK228" s="286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4"/>
      <c r="AW228" s="284"/>
      <c r="AX228" s="284"/>
      <c r="AY228" s="284"/>
      <c r="AZ228" s="284"/>
      <c r="BA228" s="284"/>
      <c r="BB228" s="284"/>
      <c r="BC228" s="284"/>
      <c r="BD228" s="284"/>
      <c r="BE228" s="284"/>
      <c r="BF228" s="284"/>
      <c r="BG228" s="284"/>
      <c r="BH228" s="284"/>
      <c r="BI228" s="284"/>
      <c r="BJ228" s="284"/>
      <c r="BK228" s="284"/>
      <c r="BL228" s="284"/>
      <c r="BM228" s="284"/>
      <c r="BN228" s="284"/>
      <c r="BO228" s="284"/>
      <c r="BP228" s="284"/>
      <c r="BQ228" s="284"/>
      <c r="BR228" s="284"/>
      <c r="BS228" s="284"/>
      <c r="BT228" s="284"/>
      <c r="BU228" s="284"/>
      <c r="BV228" s="284"/>
      <c r="BW228" s="284"/>
      <c r="BX228" s="284"/>
      <c r="BY228" s="284"/>
      <c r="BZ228" s="285"/>
      <c r="CA228" s="298">
        <f>SUM(C228,E228,G228,I228,K228,M228,O228,Q228,S228,U228,W228,Y228,AA228,AC228,AE228,AG228,AI228,AK228,AM228,AO228,AQ228,AS228,AU228,AW228,AY228,BA228,BC228,BE228,BG228,BI228,BK228,BM228,BO228,BQ228,BS228,BU228,BW228,BY228)</f>
        <v>0</v>
      </c>
      <c r="CB228" s="298">
        <f>SUM(D228,F228,H228,J228,L228,N228,P228,R228,T228,V228,X228,Z228,AB228,AD228,AF228,AH228,AJ228,AL228,AN228,AP228,AR228,AT228,AV228,AX228,AZ228,BB228,BD228,BF228,BH228,BJ228,BL228,BN228,BP228,BR228,BT228,BV228,BX228,BZ228)</f>
        <v>0</v>
      </c>
      <c r="CC228" s="299">
        <f>SUM(Table13[[#This Row],[GOALS 1]:[ASSISTS 38]])</f>
        <v>0</v>
      </c>
    </row>
    <row r="229" spans="1:81">
      <c r="A229" s="291" t="s">
        <v>1425</v>
      </c>
      <c r="B229" s="291" t="s">
        <v>20</v>
      </c>
      <c r="C229" s="289"/>
      <c r="D229" s="286"/>
      <c r="E229" s="288"/>
      <c r="F229" s="286"/>
      <c r="G229" s="288"/>
      <c r="H229" s="286"/>
      <c r="I229" s="288"/>
      <c r="J229" s="286"/>
      <c r="K229" s="288"/>
      <c r="L229" s="286"/>
      <c r="M229" s="288"/>
      <c r="N229" s="286"/>
      <c r="O229" s="288"/>
      <c r="P229" s="286"/>
      <c r="Q229" s="288"/>
      <c r="R229" s="286"/>
      <c r="S229" s="288"/>
      <c r="T229" s="286"/>
      <c r="U229" s="288"/>
      <c r="V229" s="286"/>
      <c r="W229" s="288"/>
      <c r="X229" s="286"/>
      <c r="Y229" s="288"/>
      <c r="Z229" s="286"/>
      <c r="AA229" s="288"/>
      <c r="AB229" s="286"/>
      <c r="AC229" s="288"/>
      <c r="AD229" s="286"/>
      <c r="AE229" s="288"/>
      <c r="AF229" s="286"/>
      <c r="AG229" s="288"/>
      <c r="AH229" s="286"/>
      <c r="AI229" s="288"/>
      <c r="AJ229" s="286"/>
      <c r="AK229" s="286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4"/>
      <c r="AW229" s="284"/>
      <c r="AX229" s="284"/>
      <c r="AY229" s="284"/>
      <c r="AZ229" s="284"/>
      <c r="BA229" s="284"/>
      <c r="BB229" s="284"/>
      <c r="BC229" s="284"/>
      <c r="BD229" s="284"/>
      <c r="BE229" s="284"/>
      <c r="BF229" s="284"/>
      <c r="BG229" s="284"/>
      <c r="BH229" s="284"/>
      <c r="BI229" s="284"/>
      <c r="BJ229" s="284"/>
      <c r="BK229" s="284"/>
      <c r="BL229" s="284"/>
      <c r="BM229" s="284"/>
      <c r="BN229" s="284"/>
      <c r="BO229" s="284"/>
      <c r="BP229" s="284"/>
      <c r="BQ229" s="284"/>
      <c r="BR229" s="284"/>
      <c r="BS229" s="284"/>
      <c r="BT229" s="284"/>
      <c r="BU229" s="284"/>
      <c r="BV229" s="284"/>
      <c r="BW229" s="284"/>
      <c r="BX229" s="284"/>
      <c r="BY229" s="284"/>
      <c r="BZ229" s="285"/>
      <c r="CA229" s="298">
        <f>SUM(C229,E229,G229,I229,K229,M229,O229,Q229,S229,U229,W229,Y229,AA229,AC229,AE229,AG229,AI229,AK229,AM229,AO229,AQ229,AS229,AU229,AW229,AY229,BA229,BC229,BE229,BG229,BI229,BK229,BM229,BO229,BQ229,BS229,BU229,BW229,BY229)</f>
        <v>0</v>
      </c>
      <c r="CB229" s="298">
        <f>SUM(D229,F229,H229,J229,L229,N229,P229,R229,T229,V229,X229,Z229,AB229,AD229,AF229,AH229,AJ229,AL229,AN229,AP229,AR229,AT229,AV229,AX229,AZ229,BB229,BD229,BF229,BH229,BJ229,BL229,BN229,BP229,BR229,BT229,BV229,BX229,BZ229)</f>
        <v>0</v>
      </c>
      <c r="CC229" s="299">
        <f>SUM(Table13[[#This Row],[GOALS 1]:[ASSISTS 38]])</f>
        <v>0</v>
      </c>
    </row>
    <row r="230" spans="1:81">
      <c r="A230" s="291" t="s">
        <v>1678</v>
      </c>
      <c r="B230" s="291" t="s">
        <v>21</v>
      </c>
      <c r="C230" s="289"/>
      <c r="D230" s="286"/>
      <c r="E230" s="288"/>
      <c r="F230" s="286"/>
      <c r="G230" s="288"/>
      <c r="H230" s="286"/>
      <c r="I230" s="288"/>
      <c r="J230" s="286"/>
      <c r="K230" s="288"/>
      <c r="L230" s="286"/>
      <c r="M230" s="288"/>
      <c r="N230" s="286"/>
      <c r="O230" s="288"/>
      <c r="P230" s="286"/>
      <c r="Q230" s="288"/>
      <c r="R230" s="286"/>
      <c r="S230" s="288"/>
      <c r="T230" s="286"/>
      <c r="U230" s="288"/>
      <c r="V230" s="286"/>
      <c r="W230" s="288"/>
      <c r="X230" s="286"/>
      <c r="Y230" s="288"/>
      <c r="Z230" s="286"/>
      <c r="AA230" s="288"/>
      <c r="AB230" s="286"/>
      <c r="AC230" s="288"/>
      <c r="AD230" s="286"/>
      <c r="AE230" s="288"/>
      <c r="AF230" s="286"/>
      <c r="AG230" s="288"/>
      <c r="AH230" s="286"/>
      <c r="AI230" s="288"/>
      <c r="AJ230" s="286"/>
      <c r="AK230" s="286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4"/>
      <c r="AW230" s="284"/>
      <c r="AX230" s="284"/>
      <c r="AY230" s="284"/>
      <c r="AZ230" s="284"/>
      <c r="BA230" s="284"/>
      <c r="BB230" s="284"/>
      <c r="BC230" s="284"/>
      <c r="BD230" s="284"/>
      <c r="BE230" s="284"/>
      <c r="BF230" s="284"/>
      <c r="BG230" s="284"/>
      <c r="BH230" s="284"/>
      <c r="BI230" s="284"/>
      <c r="BJ230" s="284"/>
      <c r="BK230" s="284"/>
      <c r="BL230" s="284"/>
      <c r="BM230" s="284"/>
      <c r="BN230" s="284"/>
      <c r="BO230" s="284"/>
      <c r="BP230" s="284"/>
      <c r="BQ230" s="284"/>
      <c r="BR230" s="284"/>
      <c r="BS230" s="284"/>
      <c r="BT230" s="284"/>
      <c r="BU230" s="284"/>
      <c r="BV230" s="284"/>
      <c r="BW230" s="284"/>
      <c r="BX230" s="284"/>
      <c r="BY230" s="284"/>
      <c r="BZ230" s="285"/>
      <c r="CA230" s="298">
        <f>SUM(C230,E230,G230,I230,K230,M230,O230,Q230,S230,U230,W230,Y230,AA230,AC230,AE230,AG230,AI230,AK230,AM230,AO230,AQ230,AS230,AU230,AW230,AY230,BA230,BC230,BE230,BG230,BI230,BK230,BM230,BO230,BQ230,BS230,BU230,BW230,BY230)</f>
        <v>0</v>
      </c>
      <c r="CB230" s="298">
        <f>SUM(D230,F230,H230,J230,L230,N230,P230,R230,T230,V230,X230,Z230,AB230,AD230,AF230,AH230,AJ230,AL230,AN230,AP230,AR230,AT230,AV230,AX230,AZ230,BB230,BD230,BF230,BH230,BJ230,BL230,BN230,BP230,BR230,BT230,BV230,BX230,BZ230)</f>
        <v>0</v>
      </c>
      <c r="CC230" s="299">
        <f>SUM(Table13[[#This Row],[GOALS 1]:[ASSISTS 38]])</f>
        <v>0</v>
      </c>
    </row>
    <row r="231" spans="1:81">
      <c r="A231" s="291" t="s">
        <v>1710</v>
      </c>
      <c r="B231" s="291" t="s">
        <v>30</v>
      </c>
      <c r="C231" s="286"/>
      <c r="D231" s="286"/>
      <c r="E231" s="288"/>
      <c r="F231" s="286"/>
      <c r="G231" s="288"/>
      <c r="H231" s="286"/>
      <c r="I231" s="288"/>
      <c r="J231" s="286"/>
      <c r="K231" s="288"/>
      <c r="L231" s="286"/>
      <c r="M231" s="288"/>
      <c r="N231" s="286"/>
      <c r="O231" s="288"/>
      <c r="P231" s="286"/>
      <c r="Q231" s="288"/>
      <c r="R231" s="286"/>
      <c r="S231" s="288"/>
      <c r="T231" s="286"/>
      <c r="U231" s="288"/>
      <c r="V231" s="286"/>
      <c r="W231" s="288"/>
      <c r="X231" s="286"/>
      <c r="Y231" s="288"/>
      <c r="Z231" s="286"/>
      <c r="AA231" s="288"/>
      <c r="AB231" s="286"/>
      <c r="AC231" s="288"/>
      <c r="AD231" s="286"/>
      <c r="AE231" s="288"/>
      <c r="AF231" s="286"/>
      <c r="AG231" s="288"/>
      <c r="AH231" s="286"/>
      <c r="AI231" s="288"/>
      <c r="AJ231" s="286"/>
      <c r="AK231" s="286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4"/>
      <c r="AW231" s="284"/>
      <c r="AX231" s="284"/>
      <c r="AY231" s="284"/>
      <c r="AZ231" s="284"/>
      <c r="BA231" s="284"/>
      <c r="BB231" s="284"/>
      <c r="BC231" s="284"/>
      <c r="BD231" s="284"/>
      <c r="BE231" s="284"/>
      <c r="BF231" s="284"/>
      <c r="BG231" s="284"/>
      <c r="BH231" s="284"/>
      <c r="BI231" s="284"/>
      <c r="BJ231" s="284"/>
      <c r="BK231" s="284"/>
      <c r="BL231" s="284"/>
      <c r="BM231" s="284"/>
      <c r="BN231" s="284"/>
      <c r="BO231" s="284"/>
      <c r="BP231" s="284"/>
      <c r="BQ231" s="284"/>
      <c r="BR231" s="284"/>
      <c r="BS231" s="284"/>
      <c r="BT231" s="284"/>
      <c r="BU231" s="284"/>
      <c r="BV231" s="284"/>
      <c r="BW231" s="284"/>
      <c r="BX231" s="284"/>
      <c r="BY231" s="284"/>
      <c r="BZ231" s="285"/>
      <c r="CA231" s="298">
        <f>SUM(C231,E231,G231,I231,K231,M231,O231,Q231,S231,U231,W231,Y231,AA231,AC231,AE231,AG231,AI231,AK231,AM231,AO231,AQ231,AS231,AU231,AW231,AY231,BA231,BC231,BE231,BG231,BI231,BK231,BM231,BO231,BQ231,BS231,BU231,BW231,BY231)</f>
        <v>0</v>
      </c>
      <c r="CB231" s="298">
        <f>SUM(D231,F231,H231,J231,L231,N231,P231,R231,T231,V231,X231,Z231,AB231,AD231,AF231,AH231,AJ231,AL231,AN231,AP231,AR231,AT231,AV231,AX231,AZ231,BB231,BD231,BF231,BH231,BJ231,BL231,BN231,BP231,BR231,BT231,BV231,BX231,BZ231)</f>
        <v>0</v>
      </c>
      <c r="CC231" s="299">
        <f>SUM(Table13[[#This Row],[GOALS 1]:[ASSISTS 38]])</f>
        <v>0</v>
      </c>
    </row>
    <row r="232" spans="1:81">
      <c r="A232" s="291" t="s">
        <v>1824</v>
      </c>
      <c r="B232" s="291" t="s">
        <v>22</v>
      </c>
      <c r="C232" s="286"/>
      <c r="D232" s="286"/>
      <c r="E232" s="288"/>
      <c r="F232" s="286"/>
      <c r="G232" s="288"/>
      <c r="H232" s="286"/>
      <c r="I232" s="288"/>
      <c r="J232" s="286"/>
      <c r="K232" s="288"/>
      <c r="L232" s="286"/>
      <c r="M232" s="288"/>
      <c r="N232" s="286"/>
      <c r="O232" s="288"/>
      <c r="P232" s="286"/>
      <c r="Q232" s="288"/>
      <c r="R232" s="286"/>
      <c r="S232" s="288"/>
      <c r="T232" s="286"/>
      <c r="U232" s="288"/>
      <c r="V232" s="286"/>
      <c r="W232" s="288"/>
      <c r="X232" s="286"/>
      <c r="Y232" s="288"/>
      <c r="Z232" s="286"/>
      <c r="AA232" s="288"/>
      <c r="AB232" s="286"/>
      <c r="AC232" s="288"/>
      <c r="AD232" s="286"/>
      <c r="AE232" s="288"/>
      <c r="AF232" s="286"/>
      <c r="AG232" s="288"/>
      <c r="AH232" s="286"/>
      <c r="AI232" s="288"/>
      <c r="AJ232" s="286"/>
      <c r="AK232" s="286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4"/>
      <c r="AW232" s="284"/>
      <c r="AX232" s="284"/>
      <c r="AY232" s="284"/>
      <c r="AZ232" s="284"/>
      <c r="BA232" s="284"/>
      <c r="BB232" s="284"/>
      <c r="BC232" s="284"/>
      <c r="BD232" s="284"/>
      <c r="BE232" s="284"/>
      <c r="BF232" s="284"/>
      <c r="BG232" s="284"/>
      <c r="BH232" s="284"/>
      <c r="BI232" s="284"/>
      <c r="BJ232" s="284"/>
      <c r="BK232" s="284"/>
      <c r="BL232" s="284"/>
      <c r="BM232" s="284"/>
      <c r="BN232" s="284"/>
      <c r="BO232" s="284"/>
      <c r="BP232" s="284"/>
      <c r="BQ232" s="284"/>
      <c r="BR232" s="284"/>
      <c r="BS232" s="284"/>
      <c r="BT232" s="284"/>
      <c r="BU232" s="284"/>
      <c r="BV232" s="284"/>
      <c r="BW232" s="284"/>
      <c r="BX232" s="284"/>
      <c r="BY232" s="284"/>
      <c r="BZ232" s="285"/>
      <c r="CA232" s="298">
        <f>SUM(C232,E232,G232,I232,K232,M232,O232,Q232,S232,U232,W232,Y232,AA232,AC232,AE232,AG232,AI232,AK232,AM232,AO232,AQ232,AS232,AU232,AW232,AY232,BA232,BC232,BE232,BG232,BI232,BK232,BM232,BO232,BQ232,BS232,BU232,BW232,BY232)</f>
        <v>0</v>
      </c>
      <c r="CB232" s="298">
        <f>SUM(D232,F232,H232,J232,L232,N232,P232,R232,T232,V232,X232,Z232,AB232,AD232,AF232,AH232,AJ232,AL232,AN232,AP232,AR232,AT232,AV232,AX232,AZ232,BB232,BD232,BF232,BH232,BJ232,BL232,BN232,BP232,BR232,BT232,BV232,BX232,BZ232)</f>
        <v>0</v>
      </c>
      <c r="CC232" s="299">
        <f>SUM(Table13[[#This Row],[GOALS 1]:[ASSISTS 38]])</f>
        <v>0</v>
      </c>
    </row>
    <row r="233" spans="1:81">
      <c r="A233" s="291" t="s">
        <v>1341</v>
      </c>
      <c r="B233" s="291" t="s">
        <v>28</v>
      </c>
      <c r="C233" s="286"/>
      <c r="D233" s="286"/>
      <c r="E233" s="288"/>
      <c r="F233" s="286"/>
      <c r="G233" s="288"/>
      <c r="H233" s="286"/>
      <c r="I233" s="288"/>
      <c r="J233" s="286"/>
      <c r="K233" s="288"/>
      <c r="L233" s="286"/>
      <c r="M233" s="288"/>
      <c r="N233" s="286"/>
      <c r="O233" s="288"/>
      <c r="P233" s="286"/>
      <c r="Q233" s="288"/>
      <c r="R233" s="286"/>
      <c r="S233" s="288"/>
      <c r="T233" s="286"/>
      <c r="U233" s="288"/>
      <c r="V233" s="286"/>
      <c r="W233" s="288"/>
      <c r="X233" s="286"/>
      <c r="Y233" s="288"/>
      <c r="Z233" s="286"/>
      <c r="AA233" s="288"/>
      <c r="AB233" s="286"/>
      <c r="AC233" s="288"/>
      <c r="AD233" s="286"/>
      <c r="AE233" s="288"/>
      <c r="AF233" s="286"/>
      <c r="AG233" s="288"/>
      <c r="AH233" s="286"/>
      <c r="AI233" s="288"/>
      <c r="AJ233" s="286"/>
      <c r="AK233" s="286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4"/>
      <c r="AW233" s="284"/>
      <c r="AX233" s="284"/>
      <c r="AY233" s="284"/>
      <c r="AZ233" s="284"/>
      <c r="BA233" s="284"/>
      <c r="BB233" s="284"/>
      <c r="BC233" s="284"/>
      <c r="BD233" s="284"/>
      <c r="BE233" s="284"/>
      <c r="BF233" s="284"/>
      <c r="BG233" s="284"/>
      <c r="BH233" s="284"/>
      <c r="BI233" s="284"/>
      <c r="BJ233" s="284"/>
      <c r="BK233" s="284"/>
      <c r="BL233" s="284"/>
      <c r="BM233" s="284"/>
      <c r="BN233" s="284"/>
      <c r="BO233" s="284"/>
      <c r="BP233" s="284"/>
      <c r="BQ233" s="284"/>
      <c r="BR233" s="284"/>
      <c r="BS233" s="284"/>
      <c r="BT233" s="284"/>
      <c r="BU233" s="284"/>
      <c r="BV233" s="284"/>
      <c r="BW233" s="284"/>
      <c r="BX233" s="284"/>
      <c r="BY233" s="284"/>
      <c r="BZ233" s="285"/>
      <c r="CA233" s="298">
        <f>SUM(C233,E233,G233,I233,K233,M233,O233,Q233,S233,U233,W233,Y233,AA233,AC233,AE233,AG233,AI233,AK233,AM233,AO233,AQ233,AS233,AU233,AW233,AY233,BA233,BC233,BE233,BG233,BI233,BK233,BM233,BO233,BQ233,BS233,BU233,BW233,BY233)</f>
        <v>0</v>
      </c>
      <c r="CB233" s="298">
        <f>SUM(D233,F233,H233,J233,L233,N233,P233,R233,T233,V233,X233,Z233,AB233,AD233,AF233,AH233,AJ233,AL233,AN233,AP233,AR233,AT233,AV233,AX233,AZ233,BB233,BD233,BF233,BH233,BJ233,BL233,BN233,BP233,BR233,BT233,BV233,BX233,BZ233)</f>
        <v>0</v>
      </c>
      <c r="CC233" s="299">
        <f>SUM(Table13[[#This Row],[GOALS 1]:[ASSISTS 38]])</f>
        <v>0</v>
      </c>
    </row>
    <row r="234" spans="1:81">
      <c r="A234" s="291" t="s">
        <v>1612</v>
      </c>
      <c r="B234" s="291" t="s">
        <v>28</v>
      </c>
      <c r="C234" s="286"/>
      <c r="D234" s="286"/>
      <c r="E234" s="288"/>
      <c r="F234" s="286"/>
      <c r="G234" s="288"/>
      <c r="H234" s="286"/>
      <c r="I234" s="288"/>
      <c r="J234" s="286"/>
      <c r="K234" s="288"/>
      <c r="L234" s="286"/>
      <c r="M234" s="288"/>
      <c r="N234" s="286"/>
      <c r="O234" s="288"/>
      <c r="P234" s="286"/>
      <c r="Q234" s="288"/>
      <c r="R234" s="286"/>
      <c r="S234" s="288"/>
      <c r="T234" s="286"/>
      <c r="U234" s="288"/>
      <c r="V234" s="286"/>
      <c r="W234" s="288"/>
      <c r="X234" s="286"/>
      <c r="Y234" s="288"/>
      <c r="Z234" s="286"/>
      <c r="AA234" s="288"/>
      <c r="AB234" s="286"/>
      <c r="AC234" s="288"/>
      <c r="AD234" s="286"/>
      <c r="AE234" s="288"/>
      <c r="AF234" s="286"/>
      <c r="AG234" s="288"/>
      <c r="AH234" s="286"/>
      <c r="AI234" s="288"/>
      <c r="AJ234" s="286"/>
      <c r="AK234" s="286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4"/>
      <c r="AW234" s="284"/>
      <c r="AX234" s="284"/>
      <c r="AY234" s="284"/>
      <c r="AZ234" s="284"/>
      <c r="BA234" s="284"/>
      <c r="BB234" s="284"/>
      <c r="BC234" s="284"/>
      <c r="BD234" s="284"/>
      <c r="BE234" s="284"/>
      <c r="BF234" s="284"/>
      <c r="BG234" s="284"/>
      <c r="BH234" s="284"/>
      <c r="BI234" s="284"/>
      <c r="BJ234" s="284"/>
      <c r="BK234" s="284"/>
      <c r="BL234" s="284"/>
      <c r="BM234" s="284"/>
      <c r="BN234" s="284"/>
      <c r="BO234" s="284"/>
      <c r="BP234" s="284"/>
      <c r="BQ234" s="284"/>
      <c r="BR234" s="284"/>
      <c r="BS234" s="284"/>
      <c r="BT234" s="284"/>
      <c r="BU234" s="284"/>
      <c r="BV234" s="284"/>
      <c r="BW234" s="284"/>
      <c r="BX234" s="284"/>
      <c r="BY234" s="284"/>
      <c r="BZ234" s="285"/>
      <c r="CA234" s="298">
        <f>SUM(C234,E234,G234,I234,K234,M234,O234,Q234,S234,U234,W234,Y234,AA234,AC234,AE234,AG234,AI234,AK234,AM234,AO234,AQ234,AS234,AU234,AW234,AY234,BA234,BC234,BE234,BG234,BI234,BK234,BM234,BO234,BQ234,BS234,BU234,BW234,BY234)</f>
        <v>0</v>
      </c>
      <c r="CB234" s="298">
        <f>SUM(D234,F234,H234,J234,L234,N234,P234,R234,T234,V234,X234,Z234,AB234,AD234,AF234,AH234,AJ234,AL234,AN234,AP234,AR234,AT234,AV234,AX234,AZ234,BB234,BD234,BF234,BH234,BJ234,BL234,BN234,BP234,BR234,BT234,BV234,BX234,BZ234)</f>
        <v>0</v>
      </c>
      <c r="CC234" s="299">
        <f>SUM(Table13[[#This Row],[GOALS 1]:[ASSISTS 38]])</f>
        <v>0</v>
      </c>
    </row>
    <row r="235" spans="1:81">
      <c r="A235" s="291" t="s">
        <v>1402</v>
      </c>
      <c r="B235" s="291" t="s">
        <v>25</v>
      </c>
      <c r="C235" s="286"/>
      <c r="D235" s="286"/>
      <c r="E235" s="288"/>
      <c r="F235" s="286"/>
      <c r="G235" s="288"/>
      <c r="H235" s="286"/>
      <c r="I235" s="288"/>
      <c r="J235" s="286"/>
      <c r="K235" s="288"/>
      <c r="L235" s="286"/>
      <c r="M235" s="288"/>
      <c r="N235" s="286"/>
      <c r="O235" s="288"/>
      <c r="P235" s="286"/>
      <c r="Q235" s="288"/>
      <c r="R235" s="286"/>
      <c r="S235" s="288"/>
      <c r="T235" s="286"/>
      <c r="U235" s="288"/>
      <c r="V235" s="286"/>
      <c r="W235" s="288"/>
      <c r="X235" s="286"/>
      <c r="Y235" s="288"/>
      <c r="Z235" s="286"/>
      <c r="AA235" s="288"/>
      <c r="AB235" s="286"/>
      <c r="AC235" s="288"/>
      <c r="AD235" s="286"/>
      <c r="AE235" s="288"/>
      <c r="AF235" s="286"/>
      <c r="AG235" s="288"/>
      <c r="AH235" s="286"/>
      <c r="AI235" s="288"/>
      <c r="AJ235" s="286"/>
      <c r="AK235" s="286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4"/>
      <c r="AW235" s="284"/>
      <c r="AX235" s="284"/>
      <c r="AY235" s="284"/>
      <c r="AZ235" s="284"/>
      <c r="BA235" s="284"/>
      <c r="BB235" s="284"/>
      <c r="BC235" s="284"/>
      <c r="BD235" s="284"/>
      <c r="BE235" s="284"/>
      <c r="BF235" s="284"/>
      <c r="BG235" s="284"/>
      <c r="BH235" s="284"/>
      <c r="BI235" s="284"/>
      <c r="BJ235" s="284"/>
      <c r="BK235" s="284"/>
      <c r="BL235" s="284"/>
      <c r="BM235" s="284"/>
      <c r="BN235" s="284"/>
      <c r="BO235" s="284"/>
      <c r="BP235" s="284"/>
      <c r="BQ235" s="284"/>
      <c r="BR235" s="284"/>
      <c r="BS235" s="284"/>
      <c r="BT235" s="284"/>
      <c r="BU235" s="284"/>
      <c r="BV235" s="284"/>
      <c r="BW235" s="284"/>
      <c r="BX235" s="284"/>
      <c r="BY235" s="284"/>
      <c r="BZ235" s="285"/>
      <c r="CA235" s="298">
        <f>SUM(C235,E235,G235,I235,K235,M235,O235,Q235,S235,U235,W235,Y235,AA235,AC235,AE235,AG235,AI235,AK235,AM235,AO235,AQ235,AS235,AU235,AW235,AY235,BA235,BC235,BE235,BG235,BI235,BK235,BM235,BO235,BQ235,BS235,BU235,BW235,BY235)</f>
        <v>0</v>
      </c>
      <c r="CB235" s="298">
        <f>SUM(D235,F235,H235,J235,L235,N235,P235,R235,T235,V235,X235,Z235,AB235,AD235,AF235,AH235,AJ235,AL235,AN235,AP235,AR235,AT235,AV235,AX235,AZ235,BB235,BD235,BF235,BH235,BJ235,BL235,BN235,BP235,BR235,BT235,BV235,BX235,BZ235)</f>
        <v>0</v>
      </c>
      <c r="CC235" s="299">
        <f>SUM(Table13[[#This Row],[GOALS 1]:[ASSISTS 38]])</f>
        <v>0</v>
      </c>
    </row>
    <row r="236" spans="1:81">
      <c r="A236" s="291" t="s">
        <v>1524</v>
      </c>
      <c r="B236" s="291" t="s">
        <v>21</v>
      </c>
      <c r="C236" s="289"/>
      <c r="D236" s="286"/>
      <c r="E236" s="288"/>
      <c r="F236" s="286"/>
      <c r="G236" s="288"/>
      <c r="H236" s="286"/>
      <c r="I236" s="288"/>
      <c r="J236" s="286"/>
      <c r="K236" s="288"/>
      <c r="L236" s="286"/>
      <c r="M236" s="288"/>
      <c r="N236" s="286"/>
      <c r="O236" s="288"/>
      <c r="P236" s="286"/>
      <c r="Q236" s="288"/>
      <c r="R236" s="286"/>
      <c r="S236" s="288"/>
      <c r="T236" s="286"/>
      <c r="U236" s="288"/>
      <c r="V236" s="286"/>
      <c r="W236" s="288"/>
      <c r="X236" s="286"/>
      <c r="Y236" s="288"/>
      <c r="Z236" s="286"/>
      <c r="AA236" s="288"/>
      <c r="AB236" s="286"/>
      <c r="AC236" s="288"/>
      <c r="AD236" s="286"/>
      <c r="AE236" s="288"/>
      <c r="AF236" s="286"/>
      <c r="AG236" s="288"/>
      <c r="AH236" s="286"/>
      <c r="AI236" s="288"/>
      <c r="AJ236" s="286"/>
      <c r="AK236" s="286"/>
      <c r="AL236" s="286"/>
      <c r="AM236" s="286"/>
      <c r="AN236" s="286"/>
      <c r="AO236" s="286"/>
      <c r="AP236" s="286"/>
      <c r="AQ236" s="286"/>
      <c r="AR236" s="286"/>
      <c r="AS236" s="286"/>
      <c r="AT236" s="286"/>
      <c r="AU236" s="286"/>
      <c r="AV236" s="284"/>
      <c r="AW236" s="284"/>
      <c r="AX236" s="284"/>
      <c r="AY236" s="284"/>
      <c r="AZ236" s="284"/>
      <c r="BA236" s="284"/>
      <c r="BB236" s="284"/>
      <c r="BC236" s="284"/>
      <c r="BD236" s="284"/>
      <c r="BE236" s="284"/>
      <c r="BF236" s="284"/>
      <c r="BG236" s="284"/>
      <c r="BH236" s="284"/>
      <c r="BI236" s="284"/>
      <c r="BJ236" s="284"/>
      <c r="BK236" s="284"/>
      <c r="BL236" s="284"/>
      <c r="BM236" s="284"/>
      <c r="BN236" s="284"/>
      <c r="BO236" s="284"/>
      <c r="BP236" s="284"/>
      <c r="BQ236" s="284"/>
      <c r="BR236" s="284"/>
      <c r="BS236" s="284"/>
      <c r="BT236" s="284"/>
      <c r="BU236" s="284"/>
      <c r="BV236" s="284"/>
      <c r="BW236" s="284"/>
      <c r="BX236" s="284"/>
      <c r="BY236" s="284"/>
      <c r="BZ236" s="285"/>
      <c r="CA236" s="298">
        <f>SUM(C236,E236,G236,I236,K236,M236,O236,Q236,S236,U236,W236,Y236,AA236,AC236,AE236,AG236,AI236,AK236,AM236,AO236,AQ236,AS236,AU236,AW236,AY236,BA236,BC236,BE236,BG236,BI236,BK236,BM236,BO236,BQ236,BS236,BU236,BW236,BY236)</f>
        <v>0</v>
      </c>
      <c r="CB236" s="298">
        <f>SUM(D236,F236,H236,J236,L236,N236,P236,R236,T236,V236,X236,Z236,AB236,AD236,AF236,AH236,AJ236,AL236,AN236,AP236,AR236,AT236,AV236,AX236,AZ236,BB236,BD236,BF236,BH236,BJ236,BL236,BN236,BP236,BR236,BT236,BV236,BX236,BZ236)</f>
        <v>0</v>
      </c>
      <c r="CC236" s="299">
        <f>SUM(Table13[[#This Row],[GOALS 1]:[ASSISTS 38]])</f>
        <v>0</v>
      </c>
    </row>
    <row r="237" spans="1:81">
      <c r="A237" s="291" t="s">
        <v>1526</v>
      </c>
      <c r="B237" s="291" t="s">
        <v>33</v>
      </c>
      <c r="C237" s="289"/>
      <c r="D237" s="286"/>
      <c r="E237" s="288"/>
      <c r="F237" s="286"/>
      <c r="G237" s="288"/>
      <c r="H237" s="286"/>
      <c r="I237" s="288"/>
      <c r="J237" s="286"/>
      <c r="K237" s="288"/>
      <c r="L237" s="286"/>
      <c r="M237" s="288"/>
      <c r="N237" s="286"/>
      <c r="O237" s="288"/>
      <c r="P237" s="286"/>
      <c r="Q237" s="288"/>
      <c r="R237" s="286"/>
      <c r="S237" s="288"/>
      <c r="T237" s="286"/>
      <c r="U237" s="288"/>
      <c r="V237" s="286"/>
      <c r="W237" s="288"/>
      <c r="X237" s="286"/>
      <c r="Y237" s="288"/>
      <c r="Z237" s="286"/>
      <c r="AA237" s="288"/>
      <c r="AB237" s="286"/>
      <c r="AC237" s="288"/>
      <c r="AD237" s="286"/>
      <c r="AE237" s="288"/>
      <c r="AF237" s="286"/>
      <c r="AG237" s="288"/>
      <c r="AH237" s="286"/>
      <c r="AI237" s="288"/>
      <c r="AJ237" s="286"/>
      <c r="AK237" s="286"/>
      <c r="AL237" s="286"/>
      <c r="AM237" s="286"/>
      <c r="AN237" s="286"/>
      <c r="AO237" s="286"/>
      <c r="AP237" s="286"/>
      <c r="AQ237" s="286"/>
      <c r="AR237" s="286"/>
      <c r="AS237" s="286"/>
      <c r="AT237" s="286"/>
      <c r="AU237" s="286"/>
      <c r="AV237" s="284"/>
      <c r="AW237" s="284"/>
      <c r="AX237" s="284"/>
      <c r="AY237" s="284"/>
      <c r="AZ237" s="284"/>
      <c r="BA237" s="284"/>
      <c r="BB237" s="284"/>
      <c r="BC237" s="284"/>
      <c r="BD237" s="284"/>
      <c r="BE237" s="284"/>
      <c r="BF237" s="284"/>
      <c r="BG237" s="284"/>
      <c r="BH237" s="284"/>
      <c r="BI237" s="284"/>
      <c r="BJ237" s="284"/>
      <c r="BK237" s="284"/>
      <c r="BL237" s="284"/>
      <c r="BM237" s="284"/>
      <c r="BN237" s="284"/>
      <c r="BO237" s="284"/>
      <c r="BP237" s="284"/>
      <c r="BQ237" s="284"/>
      <c r="BR237" s="284"/>
      <c r="BS237" s="284"/>
      <c r="BT237" s="284"/>
      <c r="BU237" s="284"/>
      <c r="BV237" s="284"/>
      <c r="BW237" s="284"/>
      <c r="BX237" s="284"/>
      <c r="BY237" s="284"/>
      <c r="BZ237" s="285"/>
      <c r="CA237" s="298">
        <f>SUM(C237,E237,G237,I237,K237,M237,O237,Q237,S237,U237,W237,Y237,AA237,AC237,AE237,AG237,AI237,AK237,AM237,AO237,AQ237,AS237,AU237,AW237,AY237,BA237,BC237,BE237,BG237,BI237,BK237,BM237,BO237,BQ237,BS237,BU237,BW237,BY237)</f>
        <v>0</v>
      </c>
      <c r="CB237" s="298">
        <f>SUM(D237,F237,H237,J237,L237,N237,P237,R237,T237,V237,X237,Z237,AB237,AD237,AF237,AH237,AJ237,AL237,AN237,AP237,AR237,AT237,AV237,AX237,AZ237,BB237,BD237,BF237,BH237,BJ237,BL237,BN237,BP237,BR237,BT237,BV237,BX237,BZ237)</f>
        <v>0</v>
      </c>
      <c r="CC237" s="299">
        <f>SUM(Table13[[#This Row],[GOALS 1]:[ASSISTS 38]])</f>
        <v>0</v>
      </c>
    </row>
    <row r="238" spans="1:81">
      <c r="A238" s="291" t="s">
        <v>1700</v>
      </c>
      <c r="B238" s="291" t="s">
        <v>33</v>
      </c>
      <c r="C238" s="289"/>
      <c r="D238" s="286"/>
      <c r="E238" s="288"/>
      <c r="F238" s="286"/>
      <c r="G238" s="288"/>
      <c r="H238" s="286"/>
      <c r="I238" s="288"/>
      <c r="J238" s="286"/>
      <c r="K238" s="288"/>
      <c r="L238" s="286"/>
      <c r="M238" s="288"/>
      <c r="N238" s="286"/>
      <c r="O238" s="288"/>
      <c r="P238" s="286"/>
      <c r="Q238" s="288"/>
      <c r="R238" s="286"/>
      <c r="S238" s="288"/>
      <c r="T238" s="286"/>
      <c r="U238" s="288"/>
      <c r="V238" s="286"/>
      <c r="W238" s="288"/>
      <c r="X238" s="286"/>
      <c r="Y238" s="288"/>
      <c r="Z238" s="286"/>
      <c r="AA238" s="288"/>
      <c r="AB238" s="286"/>
      <c r="AC238" s="288"/>
      <c r="AD238" s="286"/>
      <c r="AE238" s="288"/>
      <c r="AF238" s="286"/>
      <c r="AG238" s="288"/>
      <c r="AH238" s="286"/>
      <c r="AI238" s="288"/>
      <c r="AJ238" s="286"/>
      <c r="AK238" s="286"/>
      <c r="AL238" s="286"/>
      <c r="AM238" s="286"/>
      <c r="AN238" s="286"/>
      <c r="AO238" s="286"/>
      <c r="AP238" s="286"/>
      <c r="AQ238" s="286"/>
      <c r="AR238" s="286"/>
      <c r="AS238" s="286"/>
      <c r="AT238" s="286"/>
      <c r="AU238" s="286"/>
      <c r="AV238" s="284"/>
      <c r="AW238" s="284"/>
      <c r="AX238" s="284"/>
      <c r="AY238" s="284"/>
      <c r="AZ238" s="284"/>
      <c r="BA238" s="284"/>
      <c r="BB238" s="284"/>
      <c r="BC238" s="284"/>
      <c r="BD238" s="284"/>
      <c r="BE238" s="284"/>
      <c r="BF238" s="284"/>
      <c r="BG238" s="284"/>
      <c r="BH238" s="284"/>
      <c r="BI238" s="284"/>
      <c r="BJ238" s="284"/>
      <c r="BK238" s="284"/>
      <c r="BL238" s="284"/>
      <c r="BM238" s="284"/>
      <c r="BN238" s="284"/>
      <c r="BO238" s="284"/>
      <c r="BP238" s="284"/>
      <c r="BQ238" s="284"/>
      <c r="BR238" s="284"/>
      <c r="BS238" s="284"/>
      <c r="BT238" s="284"/>
      <c r="BU238" s="284"/>
      <c r="BV238" s="284"/>
      <c r="BW238" s="284"/>
      <c r="BX238" s="284"/>
      <c r="BY238" s="284"/>
      <c r="BZ238" s="285"/>
      <c r="CA238" s="298">
        <f>SUM(C238,E238,G238,I238,K238,M238,O238,Q238,S238,U238,W238,Y238,AA238,AC238,AE238,AG238,AI238,AK238,AM238,AO238,AQ238,AS238,AU238,AW238,AY238,BA238,BC238,BE238,BG238,BI238,BK238,BM238,BO238,BQ238,BS238,BU238,BW238,BY238)</f>
        <v>0</v>
      </c>
      <c r="CB238" s="298">
        <f>SUM(D238,F238,H238,J238,L238,N238,P238,R238,T238,V238,X238,Z238,AB238,AD238,AF238,AH238,AJ238,AL238,AN238,AP238,AR238,AT238,AV238,AX238,AZ238,BB238,BD238,BF238,BH238,BJ238,BL238,BN238,BP238,BR238,BT238,BV238,BX238,BZ238)</f>
        <v>0</v>
      </c>
      <c r="CC238" s="299">
        <f>SUM(Table13[[#This Row],[GOALS 1]:[ASSISTS 38]])</f>
        <v>0</v>
      </c>
    </row>
    <row r="239" spans="1:81">
      <c r="A239" s="291" t="s">
        <v>1344</v>
      </c>
      <c r="B239" s="291" t="s">
        <v>20</v>
      </c>
      <c r="C239" s="289"/>
      <c r="D239" s="286"/>
      <c r="E239" s="288"/>
      <c r="F239" s="286"/>
      <c r="G239" s="288"/>
      <c r="H239" s="286"/>
      <c r="I239" s="288"/>
      <c r="J239" s="286"/>
      <c r="K239" s="288"/>
      <c r="L239" s="286"/>
      <c r="M239" s="288"/>
      <c r="N239" s="286"/>
      <c r="O239" s="288"/>
      <c r="P239" s="286"/>
      <c r="Q239" s="288"/>
      <c r="R239" s="286"/>
      <c r="S239" s="288"/>
      <c r="T239" s="286"/>
      <c r="U239" s="288"/>
      <c r="V239" s="286"/>
      <c r="W239" s="288"/>
      <c r="X239" s="286"/>
      <c r="Y239" s="288"/>
      <c r="Z239" s="286"/>
      <c r="AA239" s="288"/>
      <c r="AB239" s="286"/>
      <c r="AC239" s="288"/>
      <c r="AD239" s="286"/>
      <c r="AE239" s="288"/>
      <c r="AF239" s="286"/>
      <c r="AG239" s="288"/>
      <c r="AH239" s="286"/>
      <c r="AI239" s="288"/>
      <c r="AJ239" s="286"/>
      <c r="AK239" s="286"/>
      <c r="AL239" s="286"/>
      <c r="AM239" s="286"/>
      <c r="AN239" s="286"/>
      <c r="AO239" s="286"/>
      <c r="AP239" s="286"/>
      <c r="AQ239" s="286"/>
      <c r="AR239" s="286"/>
      <c r="AS239" s="286"/>
      <c r="AT239" s="286"/>
      <c r="AU239" s="286"/>
      <c r="AV239" s="284"/>
      <c r="AW239" s="284"/>
      <c r="AX239" s="284"/>
      <c r="AY239" s="284"/>
      <c r="AZ239" s="284"/>
      <c r="BA239" s="284"/>
      <c r="BB239" s="284"/>
      <c r="BC239" s="284"/>
      <c r="BD239" s="284"/>
      <c r="BE239" s="284"/>
      <c r="BF239" s="284"/>
      <c r="BG239" s="284"/>
      <c r="BH239" s="284"/>
      <c r="BI239" s="284"/>
      <c r="BJ239" s="284"/>
      <c r="BK239" s="284"/>
      <c r="BL239" s="284"/>
      <c r="BM239" s="284"/>
      <c r="BN239" s="284"/>
      <c r="BO239" s="284"/>
      <c r="BP239" s="284"/>
      <c r="BQ239" s="284"/>
      <c r="BR239" s="284"/>
      <c r="BS239" s="284"/>
      <c r="BT239" s="284"/>
      <c r="BU239" s="284"/>
      <c r="BV239" s="284"/>
      <c r="BW239" s="284"/>
      <c r="BX239" s="284"/>
      <c r="BY239" s="284"/>
      <c r="BZ239" s="285"/>
      <c r="CA239" s="298">
        <f>SUM(C239,E239,G239,I239,K239,M239,O239,Q239,S239,U239,W239,Y239,AA239,AC239,AE239,AG239,AI239,AK239,AM239,AO239,AQ239,AS239,AU239,AW239,AY239,BA239,BC239,BE239,BG239,BI239,BK239,BM239,BO239,BQ239,BS239,BU239,BW239,BY239)</f>
        <v>0</v>
      </c>
      <c r="CB239" s="298">
        <f>SUM(D239,F239,H239,J239,L239,N239,P239,R239,T239,V239,X239,Z239,AB239,AD239,AF239,AH239,AJ239,AL239,AN239,AP239,AR239,AT239,AV239,AX239,AZ239,BB239,BD239,BF239,BH239,BJ239,BL239,BN239,BP239,BR239,BT239,BV239,BX239,BZ239)</f>
        <v>0</v>
      </c>
      <c r="CC239" s="299">
        <f>SUM(Table13[[#This Row],[GOALS 1]:[ASSISTS 38]])</f>
        <v>0</v>
      </c>
    </row>
    <row r="240" spans="1:81">
      <c r="A240" s="291" t="s">
        <v>1458</v>
      </c>
      <c r="B240" s="291" t="s">
        <v>52</v>
      </c>
      <c r="C240" s="289"/>
      <c r="D240" s="286"/>
      <c r="E240" s="288"/>
      <c r="F240" s="286"/>
      <c r="G240" s="288"/>
      <c r="H240" s="286"/>
      <c r="I240" s="288"/>
      <c r="J240" s="286"/>
      <c r="K240" s="288"/>
      <c r="L240" s="286"/>
      <c r="M240" s="288"/>
      <c r="N240" s="286"/>
      <c r="O240" s="288"/>
      <c r="P240" s="286"/>
      <c r="Q240" s="288"/>
      <c r="R240" s="286"/>
      <c r="S240" s="288"/>
      <c r="T240" s="286"/>
      <c r="U240" s="288"/>
      <c r="V240" s="286"/>
      <c r="W240" s="288"/>
      <c r="X240" s="286"/>
      <c r="Y240" s="288"/>
      <c r="Z240" s="286"/>
      <c r="AA240" s="288"/>
      <c r="AB240" s="286"/>
      <c r="AC240" s="288"/>
      <c r="AD240" s="286"/>
      <c r="AE240" s="288"/>
      <c r="AF240" s="286"/>
      <c r="AG240" s="288"/>
      <c r="AH240" s="286"/>
      <c r="AI240" s="288"/>
      <c r="AJ240" s="286"/>
      <c r="AK240" s="286"/>
      <c r="AL240" s="286"/>
      <c r="AM240" s="286"/>
      <c r="AN240" s="286"/>
      <c r="AO240" s="286"/>
      <c r="AP240" s="286"/>
      <c r="AQ240" s="286"/>
      <c r="AR240" s="286"/>
      <c r="AS240" s="286"/>
      <c r="AT240" s="286"/>
      <c r="AU240" s="286"/>
      <c r="AV240" s="284"/>
      <c r="AW240" s="284"/>
      <c r="AX240" s="284"/>
      <c r="AY240" s="284"/>
      <c r="AZ240" s="284"/>
      <c r="BA240" s="284"/>
      <c r="BB240" s="284"/>
      <c r="BC240" s="284"/>
      <c r="BD240" s="284"/>
      <c r="BE240" s="284"/>
      <c r="BF240" s="284"/>
      <c r="BG240" s="284"/>
      <c r="BH240" s="284"/>
      <c r="BI240" s="284"/>
      <c r="BJ240" s="284"/>
      <c r="BK240" s="284"/>
      <c r="BL240" s="284"/>
      <c r="BM240" s="284"/>
      <c r="BN240" s="284"/>
      <c r="BO240" s="284"/>
      <c r="BP240" s="284"/>
      <c r="BQ240" s="284"/>
      <c r="BR240" s="284"/>
      <c r="BS240" s="284"/>
      <c r="BT240" s="284"/>
      <c r="BU240" s="284"/>
      <c r="BV240" s="284"/>
      <c r="BW240" s="284"/>
      <c r="BX240" s="284"/>
      <c r="BY240" s="284"/>
      <c r="BZ240" s="285"/>
      <c r="CA240" s="298">
        <f>SUM(C240,E240,G240,I240,K240,M240,O240,Q240,S240,U240,W240,Y240,AA240,AC240,AE240,AG240,AI240,AK240,AM240,AO240,AQ240,AS240,AU240,AW240,AY240,BA240,BC240,BE240,BG240,BI240,BK240,BM240,BO240,BQ240,BS240,BU240,BW240,BY240)</f>
        <v>0</v>
      </c>
      <c r="CB240" s="298">
        <f>SUM(D240,F240,H240,J240,L240,N240,P240,R240,T240,V240,X240,Z240,AB240,AD240,AF240,AH240,AJ240,AL240,AN240,AP240,AR240,AT240,AV240,AX240,AZ240,BB240,BD240,BF240,BH240,BJ240,BL240,BN240,BP240,BR240,BT240,BV240,BX240,BZ240)</f>
        <v>0</v>
      </c>
      <c r="CC240" s="299">
        <f>SUM(Table13[[#This Row],[GOALS 1]:[ASSISTS 38]])</f>
        <v>0</v>
      </c>
    </row>
    <row r="241" spans="1:81">
      <c r="A241" s="291" t="s">
        <v>1469</v>
      </c>
      <c r="B241" s="291" t="s">
        <v>20</v>
      </c>
      <c r="C241" s="289"/>
      <c r="D241" s="286"/>
      <c r="E241" s="288"/>
      <c r="F241" s="286"/>
      <c r="G241" s="288"/>
      <c r="H241" s="286"/>
      <c r="I241" s="288"/>
      <c r="J241" s="286"/>
      <c r="K241" s="288"/>
      <c r="L241" s="286"/>
      <c r="M241" s="288"/>
      <c r="N241" s="286"/>
      <c r="O241" s="288"/>
      <c r="P241" s="286"/>
      <c r="Q241" s="288"/>
      <c r="R241" s="286"/>
      <c r="S241" s="288"/>
      <c r="T241" s="286"/>
      <c r="U241" s="288"/>
      <c r="V241" s="286"/>
      <c r="W241" s="288"/>
      <c r="X241" s="286"/>
      <c r="Y241" s="288"/>
      <c r="Z241" s="286"/>
      <c r="AA241" s="288"/>
      <c r="AB241" s="286"/>
      <c r="AC241" s="288"/>
      <c r="AD241" s="286"/>
      <c r="AE241" s="288"/>
      <c r="AF241" s="286"/>
      <c r="AG241" s="288"/>
      <c r="AH241" s="286"/>
      <c r="AI241" s="288"/>
      <c r="AJ241" s="286"/>
      <c r="AK241" s="286"/>
      <c r="AL241" s="286"/>
      <c r="AM241" s="286"/>
      <c r="AN241" s="286"/>
      <c r="AO241" s="286"/>
      <c r="AP241" s="286"/>
      <c r="AQ241" s="286"/>
      <c r="AR241" s="286"/>
      <c r="AS241" s="286"/>
      <c r="AT241" s="286"/>
      <c r="AU241" s="286"/>
      <c r="AV241" s="284"/>
      <c r="AW241" s="284"/>
      <c r="AX241" s="284"/>
      <c r="AY241" s="284"/>
      <c r="AZ241" s="284"/>
      <c r="BA241" s="284"/>
      <c r="BB241" s="284"/>
      <c r="BC241" s="284"/>
      <c r="BD241" s="284"/>
      <c r="BE241" s="284"/>
      <c r="BF241" s="284"/>
      <c r="BG241" s="284"/>
      <c r="BH241" s="284"/>
      <c r="BI241" s="284"/>
      <c r="BJ241" s="284"/>
      <c r="BK241" s="284"/>
      <c r="BL241" s="284"/>
      <c r="BM241" s="284"/>
      <c r="BN241" s="284"/>
      <c r="BO241" s="284"/>
      <c r="BP241" s="284"/>
      <c r="BQ241" s="284"/>
      <c r="BR241" s="284"/>
      <c r="BS241" s="284"/>
      <c r="BT241" s="284"/>
      <c r="BU241" s="284"/>
      <c r="BV241" s="284"/>
      <c r="BW241" s="284"/>
      <c r="BX241" s="284"/>
      <c r="BY241" s="284"/>
      <c r="BZ241" s="285"/>
      <c r="CA241" s="298">
        <f>SUM(C241,E241,G241,I241,K241,M241,O241,Q241,S241,U241,W241,Y241,AA241,AC241,AE241,AG241,AI241,AK241,AM241,AO241,AQ241,AS241,AU241,AW241,AY241,BA241,BC241,BE241,BG241,BI241,BK241,BM241,BO241,BQ241,BS241,BU241,BW241,BY241)</f>
        <v>0</v>
      </c>
      <c r="CB241" s="298">
        <f>SUM(D241,F241,H241,J241,L241,N241,P241,R241,T241,V241,X241,Z241,AB241,AD241,AF241,AH241,AJ241,AL241,AN241,AP241,AR241,AT241,AV241,AX241,AZ241,BB241,BD241,BF241,BH241,BJ241,BL241,BN241,BP241,BR241,BT241,BV241,BX241,BZ241)</f>
        <v>0</v>
      </c>
      <c r="CC241" s="299">
        <f>SUM(Table13[[#This Row],[GOALS 1]:[ASSISTS 38]])</f>
        <v>0</v>
      </c>
    </row>
    <row r="242" spans="1:81">
      <c r="A242" s="291" t="s">
        <v>1757</v>
      </c>
      <c r="B242" s="291" t="s">
        <v>52</v>
      </c>
      <c r="C242" s="289"/>
      <c r="D242" s="286"/>
      <c r="E242" s="288"/>
      <c r="F242" s="286"/>
      <c r="G242" s="288"/>
      <c r="H242" s="286"/>
      <c r="I242" s="288"/>
      <c r="J242" s="286"/>
      <c r="K242" s="288"/>
      <c r="L242" s="286"/>
      <c r="M242" s="288"/>
      <c r="N242" s="286"/>
      <c r="O242" s="288"/>
      <c r="P242" s="286"/>
      <c r="Q242" s="288"/>
      <c r="R242" s="286"/>
      <c r="S242" s="288"/>
      <c r="T242" s="286"/>
      <c r="U242" s="288"/>
      <c r="V242" s="286"/>
      <c r="W242" s="288"/>
      <c r="X242" s="286"/>
      <c r="Y242" s="288"/>
      <c r="Z242" s="286"/>
      <c r="AA242" s="288"/>
      <c r="AB242" s="286"/>
      <c r="AC242" s="288"/>
      <c r="AD242" s="286"/>
      <c r="AE242" s="288"/>
      <c r="AF242" s="286"/>
      <c r="AG242" s="288"/>
      <c r="AH242" s="286"/>
      <c r="AI242" s="288"/>
      <c r="AJ242" s="286"/>
      <c r="AK242" s="286"/>
      <c r="AL242" s="286"/>
      <c r="AM242" s="286"/>
      <c r="AN242" s="286"/>
      <c r="AO242" s="286"/>
      <c r="AP242" s="286"/>
      <c r="AQ242" s="286"/>
      <c r="AR242" s="286"/>
      <c r="AS242" s="286"/>
      <c r="AT242" s="286"/>
      <c r="AU242" s="286"/>
      <c r="AV242" s="284"/>
      <c r="AW242" s="284"/>
      <c r="AX242" s="284"/>
      <c r="AY242" s="284"/>
      <c r="AZ242" s="284"/>
      <c r="BA242" s="284"/>
      <c r="BB242" s="284"/>
      <c r="BC242" s="284"/>
      <c r="BD242" s="284"/>
      <c r="BE242" s="284"/>
      <c r="BF242" s="284"/>
      <c r="BG242" s="284"/>
      <c r="BH242" s="284"/>
      <c r="BI242" s="284"/>
      <c r="BJ242" s="284"/>
      <c r="BK242" s="284"/>
      <c r="BL242" s="284"/>
      <c r="BM242" s="284"/>
      <c r="BN242" s="284"/>
      <c r="BO242" s="284"/>
      <c r="BP242" s="284"/>
      <c r="BQ242" s="284"/>
      <c r="BR242" s="284"/>
      <c r="BS242" s="284"/>
      <c r="BT242" s="284"/>
      <c r="BU242" s="284"/>
      <c r="BV242" s="284"/>
      <c r="BW242" s="284"/>
      <c r="BX242" s="284"/>
      <c r="BY242" s="284"/>
      <c r="BZ242" s="285"/>
      <c r="CA242" s="298">
        <f>SUM(C242,E242,G242,I242,K242,M242,O242,Q242,S242,U242,W242,Y242,AA242,AC242,AE242,AG242,AI242,AK242,AM242,AO242,AQ242,AS242,AU242,AW242,AY242,BA242,BC242,BE242,BG242,BI242,BK242,BM242,BO242,BQ242,BS242,BU242,BW242,BY242)</f>
        <v>0</v>
      </c>
      <c r="CB242" s="298">
        <f>SUM(D242,F242,H242,J242,L242,N242,P242,R242,T242,V242,X242,Z242,AB242,AD242,AF242,AH242,AJ242,AL242,AN242,AP242,AR242,AT242,AV242,AX242,AZ242,BB242,BD242,BF242,BH242,BJ242,BL242,BN242,BP242,BR242,BT242,BV242,BX242,BZ242)</f>
        <v>0</v>
      </c>
      <c r="CC242" s="299">
        <f>SUM(Table13[[#This Row],[GOALS 1]:[ASSISTS 38]])</f>
        <v>0</v>
      </c>
    </row>
    <row r="243" spans="1:81">
      <c r="A243" s="291" t="s">
        <v>1702</v>
      </c>
      <c r="B243" s="291" t="s">
        <v>18</v>
      </c>
      <c r="C243" s="286"/>
      <c r="D243" s="286"/>
      <c r="E243" s="288"/>
      <c r="F243" s="286"/>
      <c r="G243" s="288"/>
      <c r="H243" s="286"/>
      <c r="I243" s="288"/>
      <c r="J243" s="286"/>
      <c r="K243" s="288"/>
      <c r="L243" s="286"/>
      <c r="M243" s="288"/>
      <c r="N243" s="286"/>
      <c r="O243" s="288"/>
      <c r="P243" s="286"/>
      <c r="Q243" s="288"/>
      <c r="R243" s="286"/>
      <c r="S243" s="288"/>
      <c r="T243" s="286"/>
      <c r="U243" s="288"/>
      <c r="V243" s="286"/>
      <c r="W243" s="288"/>
      <c r="X243" s="286"/>
      <c r="Y243" s="288"/>
      <c r="Z243" s="286"/>
      <c r="AA243" s="288"/>
      <c r="AB243" s="286"/>
      <c r="AC243" s="288"/>
      <c r="AD243" s="286"/>
      <c r="AE243" s="288"/>
      <c r="AF243" s="286"/>
      <c r="AG243" s="288"/>
      <c r="AH243" s="286"/>
      <c r="AI243" s="288"/>
      <c r="AJ243" s="286"/>
      <c r="AK243" s="286"/>
      <c r="AL243" s="286"/>
      <c r="AM243" s="286"/>
      <c r="AN243" s="286"/>
      <c r="AO243" s="286"/>
      <c r="AP243" s="286"/>
      <c r="AQ243" s="286"/>
      <c r="AR243" s="286"/>
      <c r="AS243" s="286"/>
      <c r="AT243" s="286"/>
      <c r="AU243" s="286"/>
      <c r="AV243" s="284"/>
      <c r="AW243" s="284"/>
      <c r="AX243" s="284"/>
      <c r="AY243" s="284"/>
      <c r="AZ243" s="284"/>
      <c r="BA243" s="284"/>
      <c r="BB243" s="284"/>
      <c r="BC243" s="284"/>
      <c r="BD243" s="284"/>
      <c r="BE243" s="284"/>
      <c r="BF243" s="284"/>
      <c r="BG243" s="284"/>
      <c r="BH243" s="284"/>
      <c r="BI243" s="284"/>
      <c r="BJ243" s="284"/>
      <c r="BK243" s="284"/>
      <c r="BL243" s="284"/>
      <c r="BM243" s="284"/>
      <c r="BN243" s="284"/>
      <c r="BO243" s="284"/>
      <c r="BP243" s="284"/>
      <c r="BQ243" s="284"/>
      <c r="BR243" s="284"/>
      <c r="BS243" s="284"/>
      <c r="BT243" s="284"/>
      <c r="BU243" s="284"/>
      <c r="BV243" s="284"/>
      <c r="BW243" s="284"/>
      <c r="BX243" s="284"/>
      <c r="BY243" s="284"/>
      <c r="BZ243" s="285"/>
      <c r="CA243" s="298">
        <f>SUM(C243,E243,G243,I243,K243,M243,O243,Q243,S243,U243,W243,Y243,AA243,AC243,AE243,AG243,AI243,AK243,AM243,AO243,AQ243,AS243,AU243,AW243,AY243,BA243,BC243,BE243,BG243,BI243,BK243,BM243,BO243,BQ243,BS243,BU243,BW243,BY243)</f>
        <v>0</v>
      </c>
      <c r="CB243" s="298">
        <f>SUM(D243,F243,H243,J243,L243,N243,P243,R243,T243,V243,X243,Z243,AB243,AD243,AF243,AH243,AJ243,AL243,AN243,AP243,AR243,AT243,AV243,AX243,AZ243,BB243,BD243,BF243,BH243,BJ243,BL243,BN243,BP243,BR243,BT243,BV243,BX243,BZ243)</f>
        <v>0</v>
      </c>
      <c r="CC243" s="299">
        <f>SUM(Table13[[#This Row],[GOALS 1]:[ASSISTS 38]])</f>
        <v>0</v>
      </c>
    </row>
    <row r="244" spans="1:81">
      <c r="A244" s="291" t="s">
        <v>1280</v>
      </c>
      <c r="B244" s="291" t="s">
        <v>17</v>
      </c>
      <c r="C244" s="289"/>
      <c r="D244" s="286"/>
      <c r="E244" s="288"/>
      <c r="F244" s="286"/>
      <c r="G244" s="288"/>
      <c r="H244" s="286"/>
      <c r="I244" s="288"/>
      <c r="J244" s="286"/>
      <c r="K244" s="288"/>
      <c r="L244" s="286"/>
      <c r="M244" s="288"/>
      <c r="N244" s="286"/>
      <c r="O244" s="288"/>
      <c r="P244" s="286"/>
      <c r="Q244" s="288"/>
      <c r="R244" s="286"/>
      <c r="S244" s="288"/>
      <c r="T244" s="286"/>
      <c r="U244" s="288"/>
      <c r="V244" s="286"/>
      <c r="W244" s="288"/>
      <c r="X244" s="286"/>
      <c r="Y244" s="288"/>
      <c r="Z244" s="286"/>
      <c r="AA244" s="288"/>
      <c r="AB244" s="286"/>
      <c r="AC244" s="288"/>
      <c r="AD244" s="286"/>
      <c r="AE244" s="288"/>
      <c r="AF244" s="286"/>
      <c r="AG244" s="288"/>
      <c r="AH244" s="286"/>
      <c r="AI244" s="288"/>
      <c r="AJ244" s="286"/>
      <c r="AK244" s="286"/>
      <c r="AL244" s="286"/>
      <c r="AM244" s="286"/>
      <c r="AN244" s="286"/>
      <c r="AO244" s="286"/>
      <c r="AP244" s="286"/>
      <c r="AQ244" s="286"/>
      <c r="AR244" s="286"/>
      <c r="AS244" s="286"/>
      <c r="AT244" s="286"/>
      <c r="AU244" s="286"/>
      <c r="AV244" s="284"/>
      <c r="AW244" s="284"/>
      <c r="AX244" s="284"/>
      <c r="AY244" s="284"/>
      <c r="AZ244" s="284"/>
      <c r="BA244" s="284"/>
      <c r="BB244" s="284"/>
      <c r="BC244" s="284"/>
      <c r="BD244" s="284"/>
      <c r="BE244" s="284"/>
      <c r="BF244" s="284"/>
      <c r="BG244" s="284"/>
      <c r="BH244" s="284"/>
      <c r="BI244" s="284"/>
      <c r="BJ244" s="284"/>
      <c r="BK244" s="284"/>
      <c r="BL244" s="284"/>
      <c r="BM244" s="284"/>
      <c r="BN244" s="284"/>
      <c r="BO244" s="284"/>
      <c r="BP244" s="284"/>
      <c r="BQ244" s="284"/>
      <c r="BR244" s="284"/>
      <c r="BS244" s="284"/>
      <c r="BT244" s="284"/>
      <c r="BU244" s="284"/>
      <c r="BV244" s="284"/>
      <c r="BW244" s="284"/>
      <c r="BX244" s="284"/>
      <c r="BY244" s="284"/>
      <c r="BZ244" s="285"/>
      <c r="CA244" s="298">
        <f>SUM(C244,E244,G244,I244,K244,M244,O244,Q244,S244,U244,W244,Y244,AA244,AC244,AE244,AG244,AI244,AK244,AM244,AO244,AQ244,AS244,AU244,AW244,AY244,BA244,BC244,BE244,BG244,BI244,BK244,BM244,BO244,BQ244,BS244,BU244,BW244,BY244)</f>
        <v>0</v>
      </c>
      <c r="CB244" s="298">
        <f>SUM(D244,F244,H244,J244,L244,N244,P244,R244,T244,V244,X244,Z244,AB244,AD244,AF244,AH244,AJ244,AL244,AN244,AP244,AR244,AT244,AV244,AX244,AZ244,BB244,BD244,BF244,BH244,BJ244,BL244,BN244,BP244,BR244,BT244,BV244,BX244,BZ244)</f>
        <v>0</v>
      </c>
      <c r="CC244" s="299">
        <f>SUM(Table13[[#This Row],[GOALS 1]:[ASSISTS 38]])</f>
        <v>0</v>
      </c>
    </row>
    <row r="245" spans="1:81">
      <c r="A245" s="291" t="s">
        <v>1305</v>
      </c>
      <c r="B245" s="291" t="s">
        <v>43</v>
      </c>
      <c r="C245" s="286"/>
      <c r="D245" s="286"/>
      <c r="E245" s="288"/>
      <c r="F245" s="286"/>
      <c r="G245" s="288"/>
      <c r="H245" s="286"/>
      <c r="I245" s="288"/>
      <c r="J245" s="286"/>
      <c r="K245" s="288"/>
      <c r="L245" s="286"/>
      <c r="M245" s="288"/>
      <c r="N245" s="286"/>
      <c r="O245" s="288"/>
      <c r="P245" s="286"/>
      <c r="Q245" s="288"/>
      <c r="R245" s="286"/>
      <c r="S245" s="288"/>
      <c r="T245" s="286"/>
      <c r="U245" s="288"/>
      <c r="V245" s="286"/>
      <c r="W245" s="288"/>
      <c r="X245" s="286"/>
      <c r="Y245" s="288"/>
      <c r="Z245" s="286"/>
      <c r="AA245" s="288"/>
      <c r="AB245" s="286"/>
      <c r="AC245" s="288"/>
      <c r="AD245" s="286"/>
      <c r="AE245" s="288"/>
      <c r="AF245" s="286"/>
      <c r="AG245" s="288"/>
      <c r="AH245" s="286"/>
      <c r="AI245" s="288"/>
      <c r="AJ245" s="286"/>
      <c r="AK245" s="286"/>
      <c r="AL245" s="286"/>
      <c r="AM245" s="286"/>
      <c r="AN245" s="286"/>
      <c r="AO245" s="286"/>
      <c r="AP245" s="286"/>
      <c r="AQ245" s="286"/>
      <c r="AR245" s="286"/>
      <c r="AS245" s="286"/>
      <c r="AT245" s="286"/>
      <c r="AU245" s="286"/>
      <c r="AV245" s="284"/>
      <c r="AW245" s="284"/>
      <c r="AX245" s="284"/>
      <c r="AY245" s="284"/>
      <c r="AZ245" s="284"/>
      <c r="BA245" s="284"/>
      <c r="BB245" s="284"/>
      <c r="BC245" s="284"/>
      <c r="BD245" s="284"/>
      <c r="BE245" s="284"/>
      <c r="BF245" s="284"/>
      <c r="BG245" s="284"/>
      <c r="BH245" s="284"/>
      <c r="BI245" s="284"/>
      <c r="BJ245" s="284"/>
      <c r="BK245" s="284"/>
      <c r="BL245" s="284"/>
      <c r="BM245" s="284"/>
      <c r="BN245" s="284"/>
      <c r="BO245" s="284"/>
      <c r="BP245" s="284"/>
      <c r="BQ245" s="284"/>
      <c r="BR245" s="284"/>
      <c r="BS245" s="284"/>
      <c r="BT245" s="284"/>
      <c r="BU245" s="284"/>
      <c r="BV245" s="284"/>
      <c r="BW245" s="284"/>
      <c r="BX245" s="284"/>
      <c r="BY245" s="284"/>
      <c r="BZ245" s="285"/>
      <c r="CA245" s="298">
        <f>SUM(C245,E245,G245,I245,K245,M245,O245,Q245,S245,U245,W245,Y245,AA245,AC245,AE245,AG245,AI245,AK245,AM245,AO245,AQ245,AS245,AU245,AW245,AY245,BA245,BC245,BE245,BG245,BI245,BK245,BM245,BO245,BQ245,BS245,BU245,BW245,BY245)</f>
        <v>0</v>
      </c>
      <c r="CB245" s="298">
        <f>SUM(D245,F245,H245,J245,L245,N245,P245,R245,T245,V245,X245,Z245,AB245,AD245,AF245,AH245,AJ245,AL245,AN245,AP245,AR245,AT245,AV245,AX245,AZ245,BB245,BD245,BF245,BH245,BJ245,BL245,BN245,BP245,BR245,BT245,BV245,BX245,BZ245)</f>
        <v>0</v>
      </c>
      <c r="CC245" s="299">
        <f>SUM(Table13[[#This Row],[GOALS 1]:[ASSISTS 38]])</f>
        <v>0</v>
      </c>
    </row>
    <row r="246" spans="1:81">
      <c r="A246" s="291" t="s">
        <v>1778</v>
      </c>
      <c r="B246" s="291" t="s">
        <v>26</v>
      </c>
      <c r="C246" s="286"/>
      <c r="D246" s="286"/>
      <c r="E246" s="288"/>
      <c r="F246" s="286"/>
      <c r="G246" s="288"/>
      <c r="H246" s="286"/>
      <c r="I246" s="288"/>
      <c r="J246" s="286"/>
      <c r="K246" s="288"/>
      <c r="L246" s="286"/>
      <c r="M246" s="288"/>
      <c r="N246" s="286"/>
      <c r="O246" s="288"/>
      <c r="P246" s="286"/>
      <c r="Q246" s="288"/>
      <c r="R246" s="286"/>
      <c r="S246" s="288"/>
      <c r="T246" s="286"/>
      <c r="U246" s="288"/>
      <c r="V246" s="286"/>
      <c r="W246" s="288"/>
      <c r="X246" s="286"/>
      <c r="Y246" s="288"/>
      <c r="Z246" s="286"/>
      <c r="AA246" s="288"/>
      <c r="AB246" s="286"/>
      <c r="AC246" s="288"/>
      <c r="AD246" s="286"/>
      <c r="AE246" s="288"/>
      <c r="AF246" s="286"/>
      <c r="AG246" s="288"/>
      <c r="AH246" s="286"/>
      <c r="AI246" s="288"/>
      <c r="AJ246" s="286"/>
      <c r="AK246" s="286"/>
      <c r="AL246" s="286"/>
      <c r="AM246" s="286"/>
      <c r="AN246" s="286"/>
      <c r="AO246" s="286"/>
      <c r="AP246" s="286"/>
      <c r="AQ246" s="286"/>
      <c r="AR246" s="286"/>
      <c r="AS246" s="286"/>
      <c r="AT246" s="286"/>
      <c r="AU246" s="286"/>
      <c r="AV246" s="284"/>
      <c r="AW246" s="284"/>
      <c r="AX246" s="284"/>
      <c r="AY246" s="284"/>
      <c r="AZ246" s="284"/>
      <c r="BA246" s="284"/>
      <c r="BB246" s="284"/>
      <c r="BC246" s="284"/>
      <c r="BD246" s="284"/>
      <c r="BE246" s="284"/>
      <c r="BF246" s="284"/>
      <c r="BG246" s="284"/>
      <c r="BH246" s="284"/>
      <c r="BI246" s="284"/>
      <c r="BJ246" s="284"/>
      <c r="BK246" s="284"/>
      <c r="BL246" s="284"/>
      <c r="BM246" s="284"/>
      <c r="BN246" s="284"/>
      <c r="BO246" s="284"/>
      <c r="BP246" s="284"/>
      <c r="BQ246" s="284"/>
      <c r="BR246" s="284"/>
      <c r="BS246" s="284"/>
      <c r="BT246" s="284"/>
      <c r="BU246" s="284"/>
      <c r="BV246" s="284"/>
      <c r="BW246" s="284"/>
      <c r="BX246" s="284"/>
      <c r="BY246" s="284"/>
      <c r="BZ246" s="285"/>
      <c r="CA246" s="298">
        <f>SUM(C246,E246,G246,I246,K246,M246,O246,Q246,S246,U246,W246,Y246,AA246,AC246,AE246,AG246,AI246,AK246,AM246,AO246,AQ246,AS246,AU246,AW246,AY246,BA246,BC246,BE246,BG246,BI246,BK246,BM246,BO246,BQ246,BS246,BU246,BW246,BY246)</f>
        <v>0</v>
      </c>
      <c r="CB246" s="298">
        <f>SUM(D246,F246,H246,J246,L246,N246,P246,R246,T246,V246,X246,Z246,AB246,AD246,AF246,AH246,AJ246,AL246,AN246,AP246,AR246,AT246,AV246,AX246,AZ246,BB246,BD246,BF246,BH246,BJ246,BL246,BN246,BP246,BR246,BT246,BV246,BX246,BZ246)</f>
        <v>0</v>
      </c>
      <c r="CC246" s="299">
        <f>SUM(Table13[[#This Row],[GOALS 1]:[ASSISTS 38]])</f>
        <v>0</v>
      </c>
    </row>
    <row r="247" spans="1:81">
      <c r="A247" s="291" t="s">
        <v>1649</v>
      </c>
      <c r="B247" s="291" t="s">
        <v>27</v>
      </c>
      <c r="C247" s="286"/>
      <c r="D247" s="286"/>
      <c r="E247" s="289"/>
      <c r="F247" s="286"/>
      <c r="G247" s="288"/>
      <c r="H247" s="286"/>
      <c r="I247" s="288"/>
      <c r="J247" s="286"/>
      <c r="K247" s="288"/>
      <c r="L247" s="286"/>
      <c r="M247" s="288"/>
      <c r="N247" s="286"/>
      <c r="O247" s="288"/>
      <c r="P247" s="286"/>
      <c r="Q247" s="288"/>
      <c r="R247" s="286"/>
      <c r="S247" s="288"/>
      <c r="T247" s="286"/>
      <c r="U247" s="288"/>
      <c r="V247" s="286"/>
      <c r="W247" s="288"/>
      <c r="X247" s="286"/>
      <c r="Y247" s="288"/>
      <c r="Z247" s="286"/>
      <c r="AA247" s="288"/>
      <c r="AB247" s="286"/>
      <c r="AC247" s="288"/>
      <c r="AD247" s="286"/>
      <c r="AE247" s="288"/>
      <c r="AF247" s="286"/>
      <c r="AG247" s="288"/>
      <c r="AH247" s="286"/>
      <c r="AI247" s="288"/>
      <c r="AJ247" s="286"/>
      <c r="AK247" s="286"/>
      <c r="AL247" s="286"/>
      <c r="AM247" s="286"/>
      <c r="AN247" s="286"/>
      <c r="AO247" s="286"/>
      <c r="AP247" s="286"/>
      <c r="AQ247" s="286"/>
      <c r="AR247" s="286"/>
      <c r="AS247" s="286"/>
      <c r="AT247" s="286"/>
      <c r="AU247" s="286"/>
      <c r="AV247" s="284"/>
      <c r="AW247" s="284"/>
      <c r="AX247" s="284"/>
      <c r="AY247" s="284"/>
      <c r="AZ247" s="284"/>
      <c r="BA247" s="284"/>
      <c r="BB247" s="284"/>
      <c r="BC247" s="284"/>
      <c r="BD247" s="284"/>
      <c r="BE247" s="284"/>
      <c r="BF247" s="284"/>
      <c r="BG247" s="284"/>
      <c r="BH247" s="284"/>
      <c r="BI247" s="284"/>
      <c r="BJ247" s="284"/>
      <c r="BK247" s="284"/>
      <c r="BL247" s="284"/>
      <c r="BM247" s="284"/>
      <c r="BN247" s="284"/>
      <c r="BO247" s="284"/>
      <c r="BP247" s="284"/>
      <c r="BQ247" s="284"/>
      <c r="BR247" s="284"/>
      <c r="BS247" s="284"/>
      <c r="BT247" s="284"/>
      <c r="BU247" s="284"/>
      <c r="BV247" s="284"/>
      <c r="BW247" s="284"/>
      <c r="BX247" s="284"/>
      <c r="BY247" s="284"/>
      <c r="BZ247" s="285"/>
      <c r="CA247" s="298">
        <f>SUM(C247,E247,G247,I247,K247,M247,O247,Q247,S247,U247,W247,Y247,AA247,AC247,AE247,AG247,AI247,AK247,AM247,AO247,AQ247,AS247,AU247,AW247,AY247,BA247,BC247,BE247,BG247,BI247,BK247,BM247,BO247,BQ247,BS247,BU247,BW247,BY247)</f>
        <v>0</v>
      </c>
      <c r="CB247" s="298">
        <f>SUM(D247,F247,H247,J247,L247,N247,P247,R247,T247,V247,X247,Z247,AB247,AD247,AF247,AH247,AJ247,AL247,AN247,AP247,AR247,AT247,AV247,AX247,AZ247,BB247,BD247,BF247,BH247,BJ247,BL247,BN247,BP247,BR247,BT247,BV247,BX247,BZ247)</f>
        <v>0</v>
      </c>
      <c r="CC247" s="299">
        <f>SUM(Table13[[#This Row],[GOALS 1]:[ASSISTS 38]])</f>
        <v>0</v>
      </c>
    </row>
    <row r="248" spans="1:81">
      <c r="A248" s="291" t="s">
        <v>1884</v>
      </c>
      <c r="B248" s="291" t="s">
        <v>17</v>
      </c>
      <c r="C248" s="289"/>
      <c r="D248" s="286"/>
      <c r="E248" s="288"/>
      <c r="F248" s="286"/>
      <c r="G248" s="288"/>
      <c r="H248" s="286"/>
      <c r="I248" s="288"/>
      <c r="J248" s="286"/>
      <c r="K248" s="288"/>
      <c r="L248" s="286"/>
      <c r="M248" s="288"/>
      <c r="N248" s="286"/>
      <c r="O248" s="288"/>
      <c r="P248" s="286"/>
      <c r="Q248" s="288"/>
      <c r="R248" s="286"/>
      <c r="S248" s="288"/>
      <c r="T248" s="286"/>
      <c r="U248" s="288"/>
      <c r="V248" s="286"/>
      <c r="W248" s="288"/>
      <c r="X248" s="286"/>
      <c r="Y248" s="288"/>
      <c r="Z248" s="286"/>
      <c r="AA248" s="288"/>
      <c r="AB248" s="286"/>
      <c r="AC248" s="288"/>
      <c r="AD248" s="286"/>
      <c r="AE248" s="288"/>
      <c r="AF248" s="286"/>
      <c r="AG248" s="288"/>
      <c r="AH248" s="286"/>
      <c r="AI248" s="288"/>
      <c r="AJ248" s="286"/>
      <c r="AK248" s="286"/>
      <c r="AL248" s="286"/>
      <c r="AM248" s="286"/>
      <c r="AN248" s="286"/>
      <c r="AO248" s="286"/>
      <c r="AP248" s="286"/>
      <c r="AQ248" s="286"/>
      <c r="AR248" s="286"/>
      <c r="AS248" s="286"/>
      <c r="AT248" s="286"/>
      <c r="AU248" s="286"/>
      <c r="AV248" s="284"/>
      <c r="AW248" s="284"/>
      <c r="AX248" s="284"/>
      <c r="AY248" s="284"/>
      <c r="AZ248" s="284"/>
      <c r="BA248" s="284"/>
      <c r="BB248" s="284"/>
      <c r="BC248" s="284"/>
      <c r="BD248" s="284"/>
      <c r="BE248" s="284"/>
      <c r="BF248" s="284"/>
      <c r="BG248" s="284"/>
      <c r="BH248" s="284"/>
      <c r="BI248" s="284"/>
      <c r="BJ248" s="284"/>
      <c r="BK248" s="284"/>
      <c r="BL248" s="284"/>
      <c r="BM248" s="284"/>
      <c r="BN248" s="284"/>
      <c r="BO248" s="284"/>
      <c r="BP248" s="284"/>
      <c r="BQ248" s="284"/>
      <c r="BR248" s="284"/>
      <c r="BS248" s="284"/>
      <c r="BT248" s="284"/>
      <c r="BU248" s="284"/>
      <c r="BV248" s="284"/>
      <c r="BW248" s="284"/>
      <c r="BX248" s="284"/>
      <c r="BY248" s="284"/>
      <c r="BZ248" s="285"/>
      <c r="CA248" s="298">
        <f>SUM(C248,E248,G248,I248,K248,M248,O248,Q248,S248,U248,W248,Y248,AA248,AC248,AE248,AG248,AI248,AK248,AM248,AO248,AQ248,AS248,AU248,AW248,AY248,BA248,BC248,BE248,BG248,BI248,BK248,BM248,BO248,BQ248,BS248,BU248,BW248,BY248)</f>
        <v>0</v>
      </c>
      <c r="CB248" s="298">
        <f>SUM(D248,F248,H248,J248,L248,N248,P248,R248,T248,V248,X248,Z248,AB248,AD248,AF248,AH248,AJ248,AL248,AN248,AP248,AR248,AT248,AV248,AX248,AZ248,BB248,BD248,BF248,BH248,BJ248,BL248,BN248,BP248,BR248,BT248,BV248,BX248,BZ248)</f>
        <v>0</v>
      </c>
      <c r="CC248" s="299">
        <f>SUM(Table13[[#This Row],[GOALS 1]:[ASSISTS 38]])</f>
        <v>0</v>
      </c>
    </row>
    <row r="249" spans="1:81">
      <c r="A249" s="291" t="s">
        <v>1798</v>
      </c>
      <c r="B249" s="291" t="s">
        <v>633</v>
      </c>
      <c r="C249" s="289"/>
      <c r="D249" s="286"/>
      <c r="E249" s="288"/>
      <c r="F249" s="286"/>
      <c r="G249" s="288"/>
      <c r="H249" s="286"/>
      <c r="I249" s="288"/>
      <c r="J249" s="286"/>
      <c r="K249" s="288"/>
      <c r="L249" s="286"/>
      <c r="M249" s="288"/>
      <c r="N249" s="286"/>
      <c r="O249" s="288"/>
      <c r="P249" s="286"/>
      <c r="Q249" s="288"/>
      <c r="R249" s="286"/>
      <c r="S249" s="288"/>
      <c r="T249" s="286"/>
      <c r="U249" s="288"/>
      <c r="V249" s="286"/>
      <c r="W249" s="288"/>
      <c r="X249" s="286"/>
      <c r="Y249" s="288"/>
      <c r="Z249" s="286"/>
      <c r="AA249" s="288"/>
      <c r="AB249" s="286"/>
      <c r="AC249" s="288"/>
      <c r="AD249" s="286"/>
      <c r="AE249" s="288"/>
      <c r="AF249" s="286"/>
      <c r="AG249" s="288"/>
      <c r="AH249" s="286"/>
      <c r="AI249" s="288"/>
      <c r="AJ249" s="286"/>
      <c r="AK249" s="286"/>
      <c r="AL249" s="286"/>
      <c r="AM249" s="286"/>
      <c r="AN249" s="286"/>
      <c r="AO249" s="286"/>
      <c r="AP249" s="286"/>
      <c r="AQ249" s="286"/>
      <c r="AR249" s="286"/>
      <c r="AS249" s="286"/>
      <c r="AT249" s="286"/>
      <c r="AU249" s="286"/>
      <c r="AV249" s="284"/>
      <c r="AW249" s="284"/>
      <c r="AX249" s="284"/>
      <c r="AY249" s="284"/>
      <c r="AZ249" s="284"/>
      <c r="BA249" s="284"/>
      <c r="BB249" s="284"/>
      <c r="BC249" s="284"/>
      <c r="BD249" s="284"/>
      <c r="BE249" s="284"/>
      <c r="BF249" s="284"/>
      <c r="BG249" s="284"/>
      <c r="BH249" s="284"/>
      <c r="BI249" s="284"/>
      <c r="BJ249" s="284"/>
      <c r="BK249" s="284"/>
      <c r="BL249" s="284"/>
      <c r="BM249" s="284"/>
      <c r="BN249" s="284"/>
      <c r="BO249" s="284"/>
      <c r="BP249" s="284"/>
      <c r="BQ249" s="284"/>
      <c r="BR249" s="284"/>
      <c r="BS249" s="284"/>
      <c r="BT249" s="284"/>
      <c r="BU249" s="284"/>
      <c r="BV249" s="284"/>
      <c r="BW249" s="284"/>
      <c r="BX249" s="284"/>
      <c r="BY249" s="284"/>
      <c r="BZ249" s="285"/>
      <c r="CA249" s="298">
        <f>SUM(C249,E249,G249,I249,K249,M249,O249,Q249,S249,U249,W249,Y249,AA249,AC249,AE249,AG249,AI249,AK249,AM249,AO249,AQ249,AS249,AU249,AW249,AY249,BA249,BC249,BE249,BG249,BI249,BK249,BM249,BO249,BQ249,BS249,BU249,BW249,BY249)</f>
        <v>0</v>
      </c>
      <c r="CB249" s="298">
        <f>SUM(D249,F249,H249,J249,L249,N249,P249,R249,T249,V249,X249,Z249,AB249,AD249,AF249,AH249,AJ249,AL249,AN249,AP249,AR249,AT249,AV249,AX249,AZ249,BB249,BD249,BF249,BH249,BJ249,BL249,BN249,BP249,BR249,BT249,BV249,BX249,BZ249)</f>
        <v>0</v>
      </c>
      <c r="CC249" s="299">
        <f>SUM(Table13[[#This Row],[GOALS 1]:[ASSISTS 38]])</f>
        <v>0</v>
      </c>
    </row>
    <row r="250" spans="1:81">
      <c r="A250" s="291" t="s">
        <v>1307</v>
      </c>
      <c r="B250" s="291" t="s">
        <v>20</v>
      </c>
      <c r="C250" s="289"/>
      <c r="D250" s="286"/>
      <c r="E250" s="288"/>
      <c r="F250" s="286"/>
      <c r="G250" s="288"/>
      <c r="H250" s="286"/>
      <c r="I250" s="288"/>
      <c r="J250" s="286"/>
      <c r="K250" s="288"/>
      <c r="L250" s="286"/>
      <c r="M250" s="288"/>
      <c r="N250" s="286"/>
      <c r="O250" s="288"/>
      <c r="P250" s="286"/>
      <c r="Q250" s="288"/>
      <c r="R250" s="286"/>
      <c r="S250" s="288"/>
      <c r="T250" s="286"/>
      <c r="U250" s="288"/>
      <c r="V250" s="286"/>
      <c r="W250" s="288"/>
      <c r="X250" s="286"/>
      <c r="Y250" s="288"/>
      <c r="Z250" s="286"/>
      <c r="AA250" s="288"/>
      <c r="AB250" s="286"/>
      <c r="AC250" s="288"/>
      <c r="AD250" s="286"/>
      <c r="AE250" s="288"/>
      <c r="AF250" s="286"/>
      <c r="AG250" s="288"/>
      <c r="AH250" s="286"/>
      <c r="AI250" s="288"/>
      <c r="AJ250" s="286"/>
      <c r="AK250" s="286"/>
      <c r="AL250" s="286"/>
      <c r="AM250" s="286"/>
      <c r="AN250" s="286"/>
      <c r="AO250" s="286"/>
      <c r="AP250" s="286"/>
      <c r="AQ250" s="286"/>
      <c r="AR250" s="286"/>
      <c r="AS250" s="286"/>
      <c r="AT250" s="286"/>
      <c r="AU250" s="286"/>
      <c r="AV250" s="284"/>
      <c r="AW250" s="284"/>
      <c r="AX250" s="284"/>
      <c r="AY250" s="284"/>
      <c r="AZ250" s="284"/>
      <c r="BA250" s="284"/>
      <c r="BB250" s="284"/>
      <c r="BC250" s="284"/>
      <c r="BD250" s="284"/>
      <c r="BE250" s="284"/>
      <c r="BF250" s="284"/>
      <c r="BG250" s="284"/>
      <c r="BH250" s="284"/>
      <c r="BI250" s="284"/>
      <c r="BJ250" s="284"/>
      <c r="BK250" s="284"/>
      <c r="BL250" s="284"/>
      <c r="BM250" s="284"/>
      <c r="BN250" s="284"/>
      <c r="BO250" s="284"/>
      <c r="BP250" s="284"/>
      <c r="BQ250" s="284"/>
      <c r="BR250" s="284"/>
      <c r="BS250" s="284"/>
      <c r="BT250" s="284"/>
      <c r="BU250" s="284"/>
      <c r="BV250" s="284"/>
      <c r="BW250" s="284"/>
      <c r="BX250" s="284"/>
      <c r="BY250" s="284"/>
      <c r="BZ250" s="285"/>
      <c r="CA250" s="298">
        <f>SUM(C250,E250,G250,I250,K250,M250,O250,Q250,S250,U250,W250,Y250,AA250,AC250,AE250,AG250,AI250,AK250,AM250,AO250,AQ250,AS250,AU250,AW250,AY250,BA250,BC250,BE250,BG250,BI250,BK250,BM250,BO250,BQ250,BS250,BU250,BW250,BY250)</f>
        <v>0</v>
      </c>
      <c r="CB250" s="298">
        <f>SUM(D250,F250,H250,J250,L250,N250,P250,R250,T250,V250,X250,Z250,AB250,AD250,AF250,AH250,AJ250,AL250,AN250,AP250,AR250,AT250,AV250,AX250,AZ250,BB250,BD250,BF250,BH250,BJ250,BL250,BN250,BP250,BR250,BT250,BV250,BX250,BZ250)</f>
        <v>0</v>
      </c>
      <c r="CC250" s="299">
        <f>SUM(Table13[[#This Row],[GOALS 1]:[ASSISTS 38]])</f>
        <v>0</v>
      </c>
    </row>
    <row r="251" spans="1:81">
      <c r="A251" s="291" t="s">
        <v>1879</v>
      </c>
      <c r="B251" s="291" t="s">
        <v>18</v>
      </c>
      <c r="C251" s="286"/>
      <c r="D251" s="286"/>
      <c r="E251" s="288"/>
      <c r="F251" s="286"/>
      <c r="G251" s="288"/>
      <c r="H251" s="286"/>
      <c r="I251" s="288"/>
      <c r="J251" s="286"/>
      <c r="K251" s="288"/>
      <c r="L251" s="286"/>
      <c r="M251" s="288"/>
      <c r="N251" s="286"/>
      <c r="O251" s="288"/>
      <c r="P251" s="286"/>
      <c r="Q251" s="288"/>
      <c r="R251" s="286"/>
      <c r="S251" s="288"/>
      <c r="T251" s="286"/>
      <c r="U251" s="288"/>
      <c r="V251" s="286"/>
      <c r="W251" s="288"/>
      <c r="X251" s="286"/>
      <c r="Y251" s="288"/>
      <c r="Z251" s="286"/>
      <c r="AA251" s="288"/>
      <c r="AB251" s="286"/>
      <c r="AC251" s="288"/>
      <c r="AD251" s="286"/>
      <c r="AE251" s="288"/>
      <c r="AF251" s="286"/>
      <c r="AG251" s="288"/>
      <c r="AH251" s="286"/>
      <c r="AI251" s="288"/>
      <c r="AJ251" s="286"/>
      <c r="AK251" s="286"/>
      <c r="AL251" s="286"/>
      <c r="AM251" s="286"/>
      <c r="AN251" s="286"/>
      <c r="AO251" s="286"/>
      <c r="AP251" s="286"/>
      <c r="AQ251" s="286"/>
      <c r="AR251" s="286"/>
      <c r="AS251" s="286"/>
      <c r="AT251" s="286"/>
      <c r="AU251" s="286"/>
      <c r="AV251" s="284"/>
      <c r="AW251" s="284"/>
      <c r="AX251" s="284"/>
      <c r="AY251" s="284"/>
      <c r="AZ251" s="284"/>
      <c r="BA251" s="284"/>
      <c r="BB251" s="284"/>
      <c r="BC251" s="284"/>
      <c r="BD251" s="284"/>
      <c r="BE251" s="284"/>
      <c r="BF251" s="284"/>
      <c r="BG251" s="284"/>
      <c r="BH251" s="284"/>
      <c r="BI251" s="284"/>
      <c r="BJ251" s="284"/>
      <c r="BK251" s="284"/>
      <c r="BL251" s="284"/>
      <c r="BM251" s="284"/>
      <c r="BN251" s="284"/>
      <c r="BO251" s="284"/>
      <c r="BP251" s="284"/>
      <c r="BQ251" s="284"/>
      <c r="BR251" s="284"/>
      <c r="BS251" s="284"/>
      <c r="BT251" s="284"/>
      <c r="BU251" s="284"/>
      <c r="BV251" s="284"/>
      <c r="BW251" s="284"/>
      <c r="BX251" s="284"/>
      <c r="BY251" s="284"/>
      <c r="BZ251" s="285"/>
      <c r="CA251" s="298">
        <f>SUM(C251,E251,G251,I251,K251,M251,O251,Q251,S251,U251,W251,Y251,AA251,AC251,AE251,AG251,AI251,AK251,AM251,AO251,AQ251,AS251,AU251,AW251,AY251,BA251,BC251,BE251,BG251,BI251,BK251,BM251,BO251,BQ251,BS251,BU251,BW251,BY251)</f>
        <v>0</v>
      </c>
      <c r="CB251" s="298">
        <f>SUM(D251,F251,H251,J251,L251,N251,P251,R251,T251,V251,X251,Z251,AB251,AD251,AF251,AH251,AJ251,AL251,AN251,AP251,AR251,AT251,AV251,AX251,AZ251,BB251,BD251,BF251,BH251,BJ251,BL251,BN251,BP251,BR251,BT251,BV251,BX251,BZ251)</f>
        <v>0</v>
      </c>
      <c r="CC251" s="299">
        <f>SUM(Table13[[#This Row],[GOALS 1]:[ASSISTS 38]])</f>
        <v>0</v>
      </c>
    </row>
    <row r="252" spans="1:81">
      <c r="A252" s="291" t="s">
        <v>1754</v>
      </c>
      <c r="B252" s="291" t="s">
        <v>25</v>
      </c>
      <c r="C252" s="286"/>
      <c r="D252" s="286"/>
      <c r="E252" s="288"/>
      <c r="F252" s="286"/>
      <c r="G252" s="288"/>
      <c r="H252" s="286"/>
      <c r="I252" s="288"/>
      <c r="J252" s="286"/>
      <c r="K252" s="288"/>
      <c r="L252" s="286"/>
      <c r="M252" s="288"/>
      <c r="N252" s="286"/>
      <c r="O252" s="288"/>
      <c r="P252" s="286"/>
      <c r="Q252" s="288"/>
      <c r="R252" s="286"/>
      <c r="S252" s="288"/>
      <c r="T252" s="286"/>
      <c r="U252" s="288"/>
      <c r="V252" s="286"/>
      <c r="W252" s="288"/>
      <c r="X252" s="286"/>
      <c r="Y252" s="288"/>
      <c r="Z252" s="286"/>
      <c r="AA252" s="288"/>
      <c r="AB252" s="286"/>
      <c r="AC252" s="288"/>
      <c r="AD252" s="286"/>
      <c r="AE252" s="288"/>
      <c r="AF252" s="286"/>
      <c r="AG252" s="288"/>
      <c r="AH252" s="286"/>
      <c r="AI252" s="288"/>
      <c r="AJ252" s="286"/>
      <c r="AK252" s="286"/>
      <c r="AL252" s="286"/>
      <c r="AM252" s="286"/>
      <c r="AN252" s="286"/>
      <c r="AO252" s="286"/>
      <c r="AP252" s="286"/>
      <c r="AQ252" s="286"/>
      <c r="AR252" s="286"/>
      <c r="AS252" s="286"/>
      <c r="AT252" s="286"/>
      <c r="AU252" s="286"/>
      <c r="AV252" s="284"/>
      <c r="AW252" s="284"/>
      <c r="AX252" s="284"/>
      <c r="AY252" s="284"/>
      <c r="AZ252" s="284"/>
      <c r="BA252" s="284"/>
      <c r="BB252" s="284"/>
      <c r="BC252" s="284"/>
      <c r="BD252" s="284"/>
      <c r="BE252" s="284"/>
      <c r="BF252" s="284"/>
      <c r="BG252" s="284"/>
      <c r="BH252" s="284"/>
      <c r="BI252" s="284"/>
      <c r="BJ252" s="284"/>
      <c r="BK252" s="284"/>
      <c r="BL252" s="284"/>
      <c r="BM252" s="284"/>
      <c r="BN252" s="284"/>
      <c r="BO252" s="284"/>
      <c r="BP252" s="284"/>
      <c r="BQ252" s="284"/>
      <c r="BR252" s="284"/>
      <c r="BS252" s="284"/>
      <c r="BT252" s="284"/>
      <c r="BU252" s="284"/>
      <c r="BV252" s="284"/>
      <c r="BW252" s="284"/>
      <c r="BX252" s="284"/>
      <c r="BY252" s="284"/>
      <c r="BZ252" s="285"/>
      <c r="CA252" s="298">
        <f>SUM(C252,E252,G252,I252,K252,M252,O252,Q252,S252,U252,W252,Y252,AA252,AC252,AE252,AG252,AI252,AK252,AM252,AO252,AQ252,AS252,AU252,AW252,AY252,BA252,BC252,BE252,BG252,BI252,BK252,BM252,BO252,BQ252,BS252,BU252,BW252,BY252)</f>
        <v>0</v>
      </c>
      <c r="CB252" s="298">
        <f>SUM(D252,F252,H252,J252,L252,N252,P252,R252,T252,V252,X252,Z252,AB252,AD252,AF252,AH252,AJ252,AL252,AN252,AP252,AR252,AT252,AV252,AX252,AZ252,BB252,BD252,BF252,BH252,BJ252,BL252,BN252,BP252,BR252,BT252,BV252,BX252,BZ252)</f>
        <v>0</v>
      </c>
      <c r="CC252" s="299">
        <f>SUM(Table13[[#This Row],[GOALS 1]:[ASSISTS 38]])</f>
        <v>0</v>
      </c>
    </row>
    <row r="253" spans="1:81">
      <c r="A253" s="291" t="s">
        <v>1719</v>
      </c>
      <c r="B253" s="291" t="s">
        <v>27</v>
      </c>
      <c r="C253" s="286"/>
      <c r="D253" s="286"/>
      <c r="E253" s="289"/>
      <c r="F253" s="286"/>
      <c r="G253" s="288"/>
      <c r="H253" s="286"/>
      <c r="I253" s="288"/>
      <c r="J253" s="286"/>
      <c r="K253" s="288"/>
      <c r="L253" s="286"/>
      <c r="M253" s="288"/>
      <c r="N253" s="286"/>
      <c r="O253" s="288"/>
      <c r="P253" s="286"/>
      <c r="Q253" s="288"/>
      <c r="R253" s="286"/>
      <c r="S253" s="288"/>
      <c r="T253" s="286"/>
      <c r="U253" s="288"/>
      <c r="V253" s="286"/>
      <c r="W253" s="288"/>
      <c r="X253" s="286"/>
      <c r="Y253" s="288"/>
      <c r="Z253" s="286"/>
      <c r="AA253" s="288"/>
      <c r="AB253" s="286"/>
      <c r="AC253" s="288"/>
      <c r="AD253" s="286"/>
      <c r="AE253" s="288"/>
      <c r="AF253" s="286"/>
      <c r="AG253" s="288"/>
      <c r="AH253" s="286"/>
      <c r="AI253" s="288"/>
      <c r="AJ253" s="286"/>
      <c r="AK253" s="286"/>
      <c r="AL253" s="286"/>
      <c r="AM253" s="286"/>
      <c r="AN253" s="286"/>
      <c r="AO253" s="286"/>
      <c r="AP253" s="286"/>
      <c r="AQ253" s="286"/>
      <c r="AR253" s="286"/>
      <c r="AS253" s="286"/>
      <c r="AT253" s="286"/>
      <c r="AU253" s="286"/>
      <c r="AV253" s="284"/>
      <c r="AW253" s="284"/>
      <c r="AX253" s="284"/>
      <c r="AY253" s="284"/>
      <c r="AZ253" s="284"/>
      <c r="BA253" s="284"/>
      <c r="BB253" s="284"/>
      <c r="BC253" s="284"/>
      <c r="BD253" s="284"/>
      <c r="BE253" s="284"/>
      <c r="BF253" s="284"/>
      <c r="BG253" s="284"/>
      <c r="BH253" s="284"/>
      <c r="BI253" s="284"/>
      <c r="BJ253" s="284"/>
      <c r="BK253" s="284"/>
      <c r="BL253" s="284"/>
      <c r="BM253" s="284"/>
      <c r="BN253" s="284"/>
      <c r="BO253" s="284"/>
      <c r="BP253" s="284"/>
      <c r="BQ253" s="284"/>
      <c r="BR253" s="284"/>
      <c r="BS253" s="284"/>
      <c r="BT253" s="284"/>
      <c r="BU253" s="284"/>
      <c r="BV253" s="284"/>
      <c r="BW253" s="284"/>
      <c r="BX253" s="284"/>
      <c r="BY253" s="284"/>
      <c r="BZ253" s="285"/>
      <c r="CA253" s="298">
        <f>SUM(C253,E253,G253,I253,K253,M253,O253,Q253,S253,U253,W253,Y253,AA253,AC253,AE253,AG253,AI253,AK253,AM253,AO253,AQ253,AS253,AU253,AW253,AY253,BA253,BC253,BE253,BG253,BI253,BK253,BM253,BO253,BQ253,BS253,BU253,BW253,BY253)</f>
        <v>0</v>
      </c>
      <c r="CB253" s="298">
        <f>SUM(D253,F253,H253,J253,L253,N253,P253,R253,T253,V253,X253,Z253,AB253,AD253,AF253,AH253,AJ253,AL253,AN253,AP253,AR253,AT253,AV253,AX253,AZ253,BB253,BD253,BF253,BH253,BJ253,BL253,BN253,BP253,BR253,BT253,BV253,BX253,BZ253)</f>
        <v>0</v>
      </c>
      <c r="CC253" s="299">
        <f>SUM(Table13[[#This Row],[GOALS 1]:[ASSISTS 38]])</f>
        <v>0</v>
      </c>
    </row>
    <row r="254" spans="1:81">
      <c r="A254" s="291" t="s">
        <v>1592</v>
      </c>
      <c r="B254" s="291" t="s">
        <v>19</v>
      </c>
      <c r="C254" s="286"/>
      <c r="D254" s="286"/>
      <c r="E254" s="288"/>
      <c r="F254" s="286"/>
      <c r="G254" s="288"/>
      <c r="H254" s="286"/>
      <c r="I254" s="288"/>
      <c r="J254" s="286"/>
      <c r="K254" s="288"/>
      <c r="L254" s="286"/>
      <c r="M254" s="288"/>
      <c r="N254" s="286"/>
      <c r="O254" s="288"/>
      <c r="P254" s="286"/>
      <c r="Q254" s="288"/>
      <c r="R254" s="286"/>
      <c r="S254" s="288"/>
      <c r="T254" s="286"/>
      <c r="U254" s="288"/>
      <c r="V254" s="286"/>
      <c r="W254" s="288"/>
      <c r="X254" s="286"/>
      <c r="Y254" s="288"/>
      <c r="Z254" s="286"/>
      <c r="AA254" s="288"/>
      <c r="AB254" s="286"/>
      <c r="AC254" s="288"/>
      <c r="AD254" s="286"/>
      <c r="AE254" s="288"/>
      <c r="AF254" s="286"/>
      <c r="AG254" s="288"/>
      <c r="AH254" s="286"/>
      <c r="AI254" s="288"/>
      <c r="AJ254" s="286"/>
      <c r="AK254" s="286"/>
      <c r="AL254" s="286"/>
      <c r="AM254" s="286"/>
      <c r="AN254" s="286"/>
      <c r="AO254" s="286"/>
      <c r="AP254" s="286"/>
      <c r="AQ254" s="286"/>
      <c r="AR254" s="286"/>
      <c r="AS254" s="286"/>
      <c r="AT254" s="286"/>
      <c r="AU254" s="286"/>
      <c r="AV254" s="284"/>
      <c r="AW254" s="284"/>
      <c r="AX254" s="284"/>
      <c r="AY254" s="284"/>
      <c r="AZ254" s="284"/>
      <c r="BA254" s="284"/>
      <c r="BB254" s="284"/>
      <c r="BC254" s="284"/>
      <c r="BD254" s="284"/>
      <c r="BE254" s="284"/>
      <c r="BF254" s="284"/>
      <c r="BG254" s="284"/>
      <c r="BH254" s="284"/>
      <c r="BI254" s="284"/>
      <c r="BJ254" s="284"/>
      <c r="BK254" s="284"/>
      <c r="BL254" s="284"/>
      <c r="BM254" s="284"/>
      <c r="BN254" s="284"/>
      <c r="BO254" s="284"/>
      <c r="BP254" s="284"/>
      <c r="BQ254" s="284"/>
      <c r="BR254" s="284"/>
      <c r="BS254" s="284"/>
      <c r="BT254" s="284"/>
      <c r="BU254" s="284"/>
      <c r="BV254" s="284"/>
      <c r="BW254" s="284"/>
      <c r="BX254" s="284"/>
      <c r="BY254" s="284"/>
      <c r="BZ254" s="285"/>
      <c r="CA254" s="298">
        <f>SUM(C254,E254,G254,I254,K254,M254,O254,Q254,S254,U254,W254,Y254,AA254,AC254,AE254,AG254,AI254,AK254,AM254,AO254,AQ254,AS254,AU254,AW254,AY254,BA254,BC254,BE254,BG254,BI254,BK254,BM254,BO254,BQ254,BS254,BU254,BW254,BY254)</f>
        <v>0</v>
      </c>
      <c r="CB254" s="298">
        <f>SUM(D254,F254,H254,J254,L254,N254,P254,R254,T254,V254,X254,Z254,AB254,AD254,AF254,AH254,AJ254,AL254,AN254,AP254,AR254,AT254,AV254,AX254,AZ254,BB254,BD254,BF254,BH254,BJ254,BL254,BN254,BP254,BR254,BT254,BV254,BX254,BZ254)</f>
        <v>0</v>
      </c>
      <c r="CC254" s="299">
        <f>SUM(Table13[[#This Row],[GOALS 1]:[ASSISTS 38]])</f>
        <v>0</v>
      </c>
    </row>
    <row r="255" spans="1:81">
      <c r="A255" s="291" t="s">
        <v>1658</v>
      </c>
      <c r="B255" s="291" t="s">
        <v>17</v>
      </c>
      <c r="C255" s="289"/>
      <c r="D255" s="286"/>
      <c r="E255" s="288"/>
      <c r="F255" s="286"/>
      <c r="G255" s="288"/>
      <c r="H255" s="286"/>
      <c r="I255" s="288"/>
      <c r="J255" s="286"/>
      <c r="K255" s="288"/>
      <c r="L255" s="286"/>
      <c r="M255" s="288"/>
      <c r="N255" s="286"/>
      <c r="O255" s="288"/>
      <c r="P255" s="286"/>
      <c r="Q255" s="288"/>
      <c r="R255" s="286"/>
      <c r="S255" s="288"/>
      <c r="T255" s="286"/>
      <c r="U255" s="288"/>
      <c r="V255" s="286"/>
      <c r="W255" s="288"/>
      <c r="X255" s="286"/>
      <c r="Y255" s="288"/>
      <c r="Z255" s="286"/>
      <c r="AA255" s="288"/>
      <c r="AB255" s="286"/>
      <c r="AC255" s="288"/>
      <c r="AD255" s="286"/>
      <c r="AE255" s="288"/>
      <c r="AF255" s="286"/>
      <c r="AG255" s="288"/>
      <c r="AH255" s="286"/>
      <c r="AI255" s="288"/>
      <c r="AJ255" s="286"/>
      <c r="AK255" s="286"/>
      <c r="AL255" s="286"/>
      <c r="AM255" s="286"/>
      <c r="AN255" s="286"/>
      <c r="AO255" s="286"/>
      <c r="AP255" s="286"/>
      <c r="AQ255" s="286"/>
      <c r="AR255" s="286"/>
      <c r="AS255" s="286"/>
      <c r="AT255" s="286"/>
      <c r="AU255" s="286"/>
      <c r="AV255" s="284"/>
      <c r="AW255" s="284"/>
      <c r="AX255" s="284"/>
      <c r="AY255" s="284"/>
      <c r="AZ255" s="284"/>
      <c r="BA255" s="284"/>
      <c r="BB255" s="284"/>
      <c r="BC255" s="284"/>
      <c r="BD255" s="284"/>
      <c r="BE255" s="284"/>
      <c r="BF255" s="284"/>
      <c r="BG255" s="284"/>
      <c r="BH255" s="284"/>
      <c r="BI255" s="284"/>
      <c r="BJ255" s="284"/>
      <c r="BK255" s="284"/>
      <c r="BL255" s="284"/>
      <c r="BM255" s="284"/>
      <c r="BN255" s="284"/>
      <c r="BO255" s="284"/>
      <c r="BP255" s="284"/>
      <c r="BQ255" s="284"/>
      <c r="BR255" s="284"/>
      <c r="BS255" s="284"/>
      <c r="BT255" s="284"/>
      <c r="BU255" s="284"/>
      <c r="BV255" s="284"/>
      <c r="BW255" s="284"/>
      <c r="BX255" s="284"/>
      <c r="BY255" s="284"/>
      <c r="BZ255" s="285"/>
      <c r="CA255" s="298">
        <f>SUM(C255,E255,G255,I255,K255,M255,O255,Q255,S255,U255,W255,Y255,AA255,AC255,AE255,AG255,AI255,AK255,AM255,AO255,AQ255,AS255,AU255,AW255,AY255,BA255,BC255,BE255,BG255,BI255,BK255,BM255,BO255,BQ255,BS255,BU255,BW255,BY255)</f>
        <v>0</v>
      </c>
      <c r="CB255" s="298">
        <f>SUM(D255,F255,H255,J255,L255,N255,P255,R255,T255,V255,X255,Z255,AB255,AD255,AF255,AH255,AJ255,AL255,AN255,AP255,AR255,AT255,AV255,AX255,AZ255,BB255,BD255,BF255,BH255,BJ255,BL255,BN255,BP255,BR255,BT255,BV255,BX255,BZ255)</f>
        <v>0</v>
      </c>
      <c r="CC255" s="299">
        <f>SUM(Table13[[#This Row],[GOALS 1]:[ASSISTS 38]])</f>
        <v>0</v>
      </c>
    </row>
    <row r="256" spans="1:81">
      <c r="A256" s="291" t="s">
        <v>1720</v>
      </c>
      <c r="B256" s="291" t="s">
        <v>51</v>
      </c>
      <c r="C256" s="286"/>
      <c r="D256" s="286"/>
      <c r="E256" s="288"/>
      <c r="F256" s="286"/>
      <c r="G256" s="288"/>
      <c r="H256" s="286"/>
      <c r="I256" s="288"/>
      <c r="J256" s="286"/>
      <c r="K256" s="288"/>
      <c r="L256" s="286"/>
      <c r="M256" s="288"/>
      <c r="N256" s="286"/>
      <c r="O256" s="288"/>
      <c r="P256" s="286"/>
      <c r="Q256" s="288"/>
      <c r="R256" s="286"/>
      <c r="S256" s="288"/>
      <c r="T256" s="286"/>
      <c r="U256" s="288"/>
      <c r="V256" s="286"/>
      <c r="W256" s="288"/>
      <c r="X256" s="286"/>
      <c r="Y256" s="288"/>
      <c r="Z256" s="286"/>
      <c r="AA256" s="288"/>
      <c r="AB256" s="286"/>
      <c r="AC256" s="288"/>
      <c r="AD256" s="286"/>
      <c r="AE256" s="288"/>
      <c r="AF256" s="286"/>
      <c r="AG256" s="288"/>
      <c r="AH256" s="286"/>
      <c r="AI256" s="288"/>
      <c r="AJ256" s="286"/>
      <c r="AK256" s="286"/>
      <c r="AL256" s="286"/>
      <c r="AM256" s="286"/>
      <c r="AN256" s="286"/>
      <c r="AO256" s="286"/>
      <c r="AP256" s="286"/>
      <c r="AQ256" s="286"/>
      <c r="AR256" s="286"/>
      <c r="AS256" s="286"/>
      <c r="AT256" s="286"/>
      <c r="AU256" s="286"/>
      <c r="AV256" s="284"/>
      <c r="AW256" s="284"/>
      <c r="AX256" s="284"/>
      <c r="AY256" s="284"/>
      <c r="AZ256" s="284"/>
      <c r="BA256" s="284"/>
      <c r="BB256" s="284"/>
      <c r="BC256" s="284"/>
      <c r="BD256" s="284"/>
      <c r="BE256" s="284"/>
      <c r="BF256" s="284"/>
      <c r="BG256" s="284"/>
      <c r="BH256" s="284"/>
      <c r="BI256" s="284"/>
      <c r="BJ256" s="284"/>
      <c r="BK256" s="284"/>
      <c r="BL256" s="284"/>
      <c r="BM256" s="284"/>
      <c r="BN256" s="284"/>
      <c r="BO256" s="284"/>
      <c r="BP256" s="284"/>
      <c r="BQ256" s="284"/>
      <c r="BR256" s="284"/>
      <c r="BS256" s="284"/>
      <c r="BT256" s="284"/>
      <c r="BU256" s="284"/>
      <c r="BV256" s="284"/>
      <c r="BW256" s="284"/>
      <c r="BX256" s="284"/>
      <c r="BY256" s="284"/>
      <c r="BZ256" s="285"/>
      <c r="CA256" s="298">
        <f>SUM(C256,E256,G256,I256,K256,M256,O256,Q256,S256,U256,W256,Y256,AA256,AC256,AE256,AG256,AI256,AK256,AM256,AO256,AQ256,AS256,AU256,AW256,AY256,BA256,BC256,BE256,BG256,BI256,BK256,BM256,BO256,BQ256,BS256,BU256,BW256,BY256)</f>
        <v>0</v>
      </c>
      <c r="CB256" s="298">
        <f>SUM(D256,F256,H256,J256,L256,N256,P256,R256,T256,V256,X256,Z256,AB256,AD256,AF256,AH256,AJ256,AL256,AN256,AP256,AR256,AT256,AV256,AX256,AZ256,BB256,BD256,BF256,BH256,BJ256,BL256,BN256,BP256,BR256,BT256,BV256,BX256,BZ256)</f>
        <v>0</v>
      </c>
      <c r="CC256" s="299">
        <f>SUM(Table13[[#This Row],[GOALS 1]:[ASSISTS 38]])</f>
        <v>0</v>
      </c>
    </row>
    <row r="257" spans="1:81">
      <c r="A257" s="291" t="s">
        <v>1468</v>
      </c>
      <c r="B257" s="291" t="s">
        <v>51</v>
      </c>
      <c r="C257" s="286"/>
      <c r="D257" s="286"/>
      <c r="E257" s="288"/>
      <c r="F257" s="286"/>
      <c r="G257" s="288"/>
      <c r="H257" s="286"/>
      <c r="I257" s="288"/>
      <c r="J257" s="286"/>
      <c r="K257" s="288"/>
      <c r="L257" s="286"/>
      <c r="M257" s="288"/>
      <c r="N257" s="286"/>
      <c r="O257" s="288"/>
      <c r="P257" s="286"/>
      <c r="Q257" s="288"/>
      <c r="R257" s="286"/>
      <c r="S257" s="288"/>
      <c r="T257" s="286"/>
      <c r="U257" s="288"/>
      <c r="V257" s="286"/>
      <c r="W257" s="288"/>
      <c r="X257" s="286"/>
      <c r="Y257" s="288"/>
      <c r="Z257" s="286"/>
      <c r="AA257" s="288"/>
      <c r="AB257" s="286"/>
      <c r="AC257" s="288"/>
      <c r="AD257" s="286"/>
      <c r="AE257" s="288"/>
      <c r="AF257" s="286"/>
      <c r="AG257" s="288"/>
      <c r="AH257" s="286"/>
      <c r="AI257" s="288"/>
      <c r="AJ257" s="286"/>
      <c r="AK257" s="286"/>
      <c r="AL257" s="286"/>
      <c r="AM257" s="286"/>
      <c r="AN257" s="286"/>
      <c r="AO257" s="286"/>
      <c r="AP257" s="286"/>
      <c r="AQ257" s="286"/>
      <c r="AR257" s="286"/>
      <c r="AS257" s="286"/>
      <c r="AT257" s="286"/>
      <c r="AU257" s="286"/>
      <c r="AV257" s="284"/>
      <c r="AW257" s="284"/>
      <c r="AX257" s="284"/>
      <c r="AY257" s="284"/>
      <c r="AZ257" s="284"/>
      <c r="BA257" s="284"/>
      <c r="BB257" s="284"/>
      <c r="BC257" s="284"/>
      <c r="BD257" s="284"/>
      <c r="BE257" s="284"/>
      <c r="BF257" s="284"/>
      <c r="BG257" s="284"/>
      <c r="BH257" s="284"/>
      <c r="BI257" s="284"/>
      <c r="BJ257" s="284"/>
      <c r="BK257" s="284"/>
      <c r="BL257" s="284"/>
      <c r="BM257" s="284"/>
      <c r="BN257" s="284"/>
      <c r="BO257" s="284"/>
      <c r="BP257" s="284"/>
      <c r="BQ257" s="284"/>
      <c r="BR257" s="284"/>
      <c r="BS257" s="284"/>
      <c r="BT257" s="284"/>
      <c r="BU257" s="284"/>
      <c r="BV257" s="284"/>
      <c r="BW257" s="284"/>
      <c r="BX257" s="284"/>
      <c r="BY257" s="284"/>
      <c r="BZ257" s="285"/>
      <c r="CA257" s="298">
        <f>SUM(C257,E257,G257,I257,K257,M257,O257,Q257,S257,U257,W257,Y257,AA257,AC257,AE257,AG257,AI257,AK257,AM257,AO257,AQ257,AS257,AU257,AW257,AY257,BA257,BC257,BE257,BG257,BI257,BK257,BM257,BO257,BQ257,BS257,BU257,BW257,BY257)</f>
        <v>0</v>
      </c>
      <c r="CB257" s="298">
        <f>SUM(D257,F257,H257,J257,L257,N257,P257,R257,T257,V257,X257,Z257,AB257,AD257,AF257,AH257,AJ257,AL257,AN257,AP257,AR257,AT257,AV257,AX257,AZ257,BB257,BD257,BF257,BH257,BJ257,BL257,BN257,BP257,BR257,BT257,BV257,BX257,BZ257)</f>
        <v>0</v>
      </c>
      <c r="CC257" s="299">
        <f>SUM(Table13[[#This Row],[GOALS 1]:[ASSISTS 38]])</f>
        <v>0</v>
      </c>
    </row>
    <row r="258" spans="1:81">
      <c r="A258" s="291" t="s">
        <v>1492</v>
      </c>
      <c r="B258" s="291" t="s">
        <v>634</v>
      </c>
      <c r="C258" s="288"/>
      <c r="D258" s="286"/>
      <c r="E258" s="288"/>
      <c r="F258" s="286"/>
      <c r="G258" s="288"/>
      <c r="H258" s="286"/>
      <c r="I258" s="288"/>
      <c r="J258" s="286"/>
      <c r="K258" s="288"/>
      <c r="L258" s="286"/>
      <c r="M258" s="288"/>
      <c r="N258" s="286"/>
      <c r="O258" s="288"/>
      <c r="P258" s="286"/>
      <c r="Q258" s="288"/>
      <c r="R258" s="286"/>
      <c r="S258" s="288"/>
      <c r="T258" s="286"/>
      <c r="U258" s="288"/>
      <c r="V258" s="286"/>
      <c r="W258" s="288"/>
      <c r="X258" s="286"/>
      <c r="Y258" s="288"/>
      <c r="Z258" s="286"/>
      <c r="AA258" s="288"/>
      <c r="AB258" s="286"/>
      <c r="AC258" s="288"/>
      <c r="AD258" s="286"/>
      <c r="AE258" s="288"/>
      <c r="AF258" s="286"/>
      <c r="AG258" s="288"/>
      <c r="AH258" s="286"/>
      <c r="AI258" s="288"/>
      <c r="AJ258" s="286"/>
      <c r="AK258" s="286"/>
      <c r="AL258" s="286"/>
      <c r="AM258" s="286"/>
      <c r="AN258" s="286"/>
      <c r="AO258" s="286"/>
      <c r="AP258" s="286"/>
      <c r="AQ258" s="286"/>
      <c r="AR258" s="286"/>
      <c r="AS258" s="286"/>
      <c r="AT258" s="286"/>
      <c r="AU258" s="286"/>
      <c r="AV258" s="284"/>
      <c r="AW258" s="284"/>
      <c r="AX258" s="284"/>
      <c r="AY258" s="284"/>
      <c r="AZ258" s="284"/>
      <c r="BA258" s="284"/>
      <c r="BB258" s="284"/>
      <c r="BC258" s="284"/>
      <c r="BD258" s="284"/>
      <c r="BE258" s="284"/>
      <c r="BF258" s="284"/>
      <c r="BG258" s="284"/>
      <c r="BH258" s="284"/>
      <c r="BI258" s="284"/>
      <c r="BJ258" s="284"/>
      <c r="BK258" s="284"/>
      <c r="BL258" s="284"/>
      <c r="BM258" s="284"/>
      <c r="BN258" s="284"/>
      <c r="BO258" s="284"/>
      <c r="BP258" s="284"/>
      <c r="BQ258" s="284"/>
      <c r="BR258" s="284"/>
      <c r="BS258" s="284"/>
      <c r="BT258" s="284"/>
      <c r="BU258" s="284"/>
      <c r="BV258" s="284"/>
      <c r="BW258" s="284"/>
      <c r="BX258" s="284"/>
      <c r="BY258" s="284"/>
      <c r="BZ258" s="285"/>
      <c r="CA258" s="298">
        <f>SUM(C258,E258,G258,I258,K258,M258,O258,Q258,S258,U258,W258,Y258,AA258,AC258,AE258,AG258,AI258,AK258,AM258,AO258,AQ258,AS258,AU258,AW258,AY258,BA258,BC258,BE258,BG258,BI258,BK258,BM258,BO258,BQ258,BS258,BU258,BW258,BY258)</f>
        <v>0</v>
      </c>
      <c r="CB258" s="298">
        <f>SUM(D258,F258,H258,J258,L258,N258,P258,R258,T258,V258,X258,Z258,AB258,AD258,AF258,AH258,AJ258,AL258,AN258,AP258,AR258,AT258,AV258,AX258,AZ258,BB258,BD258,BF258,BH258,BJ258,BL258,BN258,BP258,BR258,BT258,BV258,BX258,BZ258)</f>
        <v>0</v>
      </c>
      <c r="CC258" s="299">
        <f>SUM(Table13[[#This Row],[GOALS 1]:[ASSISTS 38]])</f>
        <v>0</v>
      </c>
    </row>
    <row r="259" spans="1:81">
      <c r="A259" s="291" t="s">
        <v>1486</v>
      </c>
      <c r="B259" s="291" t="s">
        <v>19</v>
      </c>
      <c r="C259" s="286"/>
      <c r="D259" s="286"/>
      <c r="E259" s="288"/>
      <c r="F259" s="286"/>
      <c r="G259" s="288"/>
      <c r="H259" s="286"/>
      <c r="I259" s="288"/>
      <c r="J259" s="286"/>
      <c r="K259" s="288"/>
      <c r="L259" s="286"/>
      <c r="M259" s="288"/>
      <c r="N259" s="286"/>
      <c r="O259" s="288"/>
      <c r="P259" s="286"/>
      <c r="Q259" s="288"/>
      <c r="R259" s="286"/>
      <c r="S259" s="288"/>
      <c r="T259" s="286"/>
      <c r="U259" s="288"/>
      <c r="V259" s="286"/>
      <c r="W259" s="288"/>
      <c r="X259" s="286"/>
      <c r="Y259" s="288"/>
      <c r="Z259" s="286"/>
      <c r="AA259" s="288"/>
      <c r="AB259" s="286"/>
      <c r="AC259" s="288"/>
      <c r="AD259" s="286"/>
      <c r="AE259" s="288"/>
      <c r="AF259" s="286"/>
      <c r="AG259" s="288"/>
      <c r="AH259" s="286"/>
      <c r="AI259" s="288"/>
      <c r="AJ259" s="286"/>
      <c r="AK259" s="286"/>
      <c r="AL259" s="286"/>
      <c r="AM259" s="286"/>
      <c r="AN259" s="286"/>
      <c r="AO259" s="286"/>
      <c r="AP259" s="286"/>
      <c r="AQ259" s="286"/>
      <c r="AR259" s="286"/>
      <c r="AS259" s="286"/>
      <c r="AT259" s="286"/>
      <c r="AU259" s="286"/>
      <c r="AV259" s="284"/>
      <c r="AW259" s="284"/>
      <c r="AX259" s="284"/>
      <c r="AY259" s="284"/>
      <c r="AZ259" s="284"/>
      <c r="BA259" s="284"/>
      <c r="BB259" s="284"/>
      <c r="BC259" s="284"/>
      <c r="BD259" s="284"/>
      <c r="BE259" s="284"/>
      <c r="BF259" s="284"/>
      <c r="BG259" s="284"/>
      <c r="BH259" s="284"/>
      <c r="BI259" s="284"/>
      <c r="BJ259" s="284"/>
      <c r="BK259" s="284"/>
      <c r="BL259" s="284"/>
      <c r="BM259" s="284"/>
      <c r="BN259" s="284"/>
      <c r="BO259" s="284"/>
      <c r="BP259" s="284"/>
      <c r="BQ259" s="284"/>
      <c r="BR259" s="284"/>
      <c r="BS259" s="284"/>
      <c r="BT259" s="284"/>
      <c r="BU259" s="284"/>
      <c r="BV259" s="284"/>
      <c r="BW259" s="284"/>
      <c r="BX259" s="284"/>
      <c r="BY259" s="284"/>
      <c r="BZ259" s="285"/>
      <c r="CA259" s="298">
        <f>SUM(C259,E259,G259,I259,K259,M259,O259,Q259,S259,U259,W259,Y259,AA259,AC259,AE259,AG259,AI259,AK259,AM259,AO259,AQ259,AS259,AU259,AW259,AY259,BA259,BC259,BE259,BG259,BI259,BK259,BM259,BO259,BQ259,BS259,BU259,BW259,BY259)</f>
        <v>0</v>
      </c>
      <c r="CB259" s="298">
        <f>SUM(D259,F259,H259,J259,L259,N259,P259,R259,T259,V259,X259,Z259,AB259,AD259,AF259,AH259,AJ259,AL259,AN259,AP259,AR259,AT259,AV259,AX259,AZ259,BB259,BD259,BF259,BH259,BJ259,BL259,BN259,BP259,BR259,BT259,BV259,BX259,BZ259)</f>
        <v>0</v>
      </c>
      <c r="CC259" s="299">
        <f>SUM(Table13[[#This Row],[GOALS 1]:[ASSISTS 38]])</f>
        <v>0</v>
      </c>
    </row>
    <row r="260" spans="1:81">
      <c r="A260" s="291" t="s">
        <v>1593</v>
      </c>
      <c r="B260" s="291" t="s">
        <v>27</v>
      </c>
      <c r="C260" s="286"/>
      <c r="D260" s="286"/>
      <c r="E260" s="289"/>
      <c r="F260" s="286"/>
      <c r="G260" s="288"/>
      <c r="H260" s="286"/>
      <c r="I260" s="288"/>
      <c r="J260" s="286"/>
      <c r="K260" s="288"/>
      <c r="L260" s="286"/>
      <c r="M260" s="288"/>
      <c r="N260" s="286"/>
      <c r="O260" s="288"/>
      <c r="P260" s="286"/>
      <c r="Q260" s="288"/>
      <c r="R260" s="286"/>
      <c r="S260" s="288"/>
      <c r="T260" s="286"/>
      <c r="U260" s="288"/>
      <c r="V260" s="286"/>
      <c r="W260" s="288"/>
      <c r="X260" s="286"/>
      <c r="Y260" s="288"/>
      <c r="Z260" s="286"/>
      <c r="AA260" s="288"/>
      <c r="AB260" s="286"/>
      <c r="AC260" s="288"/>
      <c r="AD260" s="286"/>
      <c r="AE260" s="288"/>
      <c r="AF260" s="286"/>
      <c r="AG260" s="288"/>
      <c r="AH260" s="286"/>
      <c r="AI260" s="288"/>
      <c r="AJ260" s="286"/>
      <c r="AK260" s="286"/>
      <c r="AL260" s="286"/>
      <c r="AM260" s="286"/>
      <c r="AN260" s="286"/>
      <c r="AO260" s="286"/>
      <c r="AP260" s="286"/>
      <c r="AQ260" s="286"/>
      <c r="AR260" s="286"/>
      <c r="AS260" s="286"/>
      <c r="AT260" s="286"/>
      <c r="AU260" s="286"/>
      <c r="AV260" s="284"/>
      <c r="AW260" s="284"/>
      <c r="AX260" s="284"/>
      <c r="AY260" s="284"/>
      <c r="AZ260" s="284"/>
      <c r="BA260" s="284"/>
      <c r="BB260" s="284"/>
      <c r="BC260" s="284"/>
      <c r="BD260" s="284"/>
      <c r="BE260" s="284"/>
      <c r="BF260" s="284"/>
      <c r="BG260" s="284"/>
      <c r="BH260" s="284"/>
      <c r="BI260" s="284"/>
      <c r="BJ260" s="284"/>
      <c r="BK260" s="284"/>
      <c r="BL260" s="284"/>
      <c r="BM260" s="284"/>
      <c r="BN260" s="284"/>
      <c r="BO260" s="284"/>
      <c r="BP260" s="284"/>
      <c r="BQ260" s="284"/>
      <c r="BR260" s="284"/>
      <c r="BS260" s="284"/>
      <c r="BT260" s="284"/>
      <c r="BU260" s="284"/>
      <c r="BV260" s="284"/>
      <c r="BW260" s="284"/>
      <c r="BX260" s="284"/>
      <c r="BY260" s="284"/>
      <c r="BZ260" s="285"/>
      <c r="CA260" s="298">
        <f>SUM(C260,E260,G260,I260,K260,M260,O260,Q260,S260,U260,W260,Y260,AA260,AC260,AE260,AG260,AI260,AK260,AM260,AO260,AQ260,AS260,AU260,AW260,AY260,BA260,BC260,BE260,BG260,BI260,BK260,BM260,BO260,BQ260,BS260,BU260,BW260,BY260)</f>
        <v>0</v>
      </c>
      <c r="CB260" s="298">
        <f>SUM(D260,F260,H260,J260,L260,N260,P260,R260,T260,V260,X260,Z260,AB260,AD260,AF260,AH260,AJ260,AL260,AN260,AP260,AR260,AT260,AV260,AX260,AZ260,BB260,BD260,BF260,BH260,BJ260,BL260,BN260,BP260,BR260,BT260,BV260,BX260,BZ260)</f>
        <v>0</v>
      </c>
      <c r="CC260" s="299">
        <f>SUM(Table13[[#This Row],[GOALS 1]:[ASSISTS 38]])</f>
        <v>0</v>
      </c>
    </row>
    <row r="261" spans="1:81">
      <c r="A261" s="291" t="s">
        <v>1597</v>
      </c>
      <c r="B261" s="291" t="s">
        <v>21</v>
      </c>
      <c r="C261" s="289"/>
      <c r="D261" s="286"/>
      <c r="E261" s="288"/>
      <c r="F261" s="286"/>
      <c r="G261" s="288"/>
      <c r="H261" s="286"/>
      <c r="I261" s="288"/>
      <c r="J261" s="286"/>
      <c r="K261" s="288"/>
      <c r="L261" s="286"/>
      <c r="M261" s="288"/>
      <c r="N261" s="286"/>
      <c r="O261" s="288"/>
      <c r="P261" s="286"/>
      <c r="Q261" s="288"/>
      <c r="R261" s="286"/>
      <c r="S261" s="288"/>
      <c r="T261" s="286"/>
      <c r="U261" s="288"/>
      <c r="V261" s="286"/>
      <c r="W261" s="288"/>
      <c r="X261" s="286"/>
      <c r="Y261" s="288"/>
      <c r="Z261" s="286"/>
      <c r="AA261" s="288"/>
      <c r="AB261" s="286"/>
      <c r="AC261" s="288"/>
      <c r="AD261" s="286"/>
      <c r="AE261" s="288"/>
      <c r="AF261" s="286"/>
      <c r="AG261" s="288"/>
      <c r="AH261" s="286"/>
      <c r="AI261" s="288"/>
      <c r="AJ261" s="286"/>
      <c r="AK261" s="286"/>
      <c r="AL261" s="286"/>
      <c r="AM261" s="286"/>
      <c r="AN261" s="286"/>
      <c r="AO261" s="286"/>
      <c r="AP261" s="286"/>
      <c r="AQ261" s="286"/>
      <c r="AR261" s="286"/>
      <c r="AS261" s="286"/>
      <c r="AT261" s="286"/>
      <c r="AU261" s="286"/>
      <c r="AV261" s="284"/>
      <c r="AW261" s="284"/>
      <c r="AX261" s="284"/>
      <c r="AY261" s="284"/>
      <c r="AZ261" s="284"/>
      <c r="BA261" s="284"/>
      <c r="BB261" s="284"/>
      <c r="BC261" s="284"/>
      <c r="BD261" s="284"/>
      <c r="BE261" s="284"/>
      <c r="BF261" s="284"/>
      <c r="BG261" s="284"/>
      <c r="BH261" s="284"/>
      <c r="BI261" s="284"/>
      <c r="BJ261" s="284"/>
      <c r="BK261" s="284"/>
      <c r="BL261" s="284"/>
      <c r="BM261" s="284"/>
      <c r="BN261" s="284"/>
      <c r="BO261" s="284"/>
      <c r="BP261" s="284"/>
      <c r="BQ261" s="284"/>
      <c r="BR261" s="284"/>
      <c r="BS261" s="284"/>
      <c r="BT261" s="284"/>
      <c r="BU261" s="284"/>
      <c r="BV261" s="284"/>
      <c r="BW261" s="284"/>
      <c r="BX261" s="284"/>
      <c r="BY261" s="284"/>
      <c r="BZ261" s="285"/>
      <c r="CA261" s="298">
        <f>SUM(C261,E261,G261,I261,K261,M261,O261,Q261,S261,U261,W261,Y261,AA261,AC261,AE261,AG261,AI261,AK261,AM261,AO261,AQ261,AS261,AU261,AW261,AY261,BA261,BC261,BE261,BG261,BI261,BK261,BM261,BO261,BQ261,BS261,BU261,BW261,BY261)</f>
        <v>0</v>
      </c>
      <c r="CB261" s="298">
        <f>SUM(D261,F261,H261,J261,L261,N261,P261,R261,T261,V261,X261,Z261,AB261,AD261,AF261,AH261,AJ261,AL261,AN261,AP261,AR261,AT261,AV261,AX261,AZ261,BB261,BD261,BF261,BH261,BJ261,BL261,BN261,BP261,BR261,BT261,BV261,BX261,BZ261)</f>
        <v>0</v>
      </c>
      <c r="CC261" s="299">
        <f>SUM(Table13[[#This Row],[GOALS 1]:[ASSISTS 38]])</f>
        <v>0</v>
      </c>
    </row>
    <row r="262" spans="1:81">
      <c r="A262" s="291" t="s">
        <v>1460</v>
      </c>
      <c r="B262" s="291" t="s">
        <v>634</v>
      </c>
      <c r="C262" s="288"/>
      <c r="D262" s="286"/>
      <c r="E262" s="288"/>
      <c r="F262" s="286"/>
      <c r="G262" s="288"/>
      <c r="H262" s="286"/>
      <c r="I262" s="288"/>
      <c r="J262" s="286"/>
      <c r="K262" s="288"/>
      <c r="L262" s="286"/>
      <c r="M262" s="288"/>
      <c r="N262" s="286"/>
      <c r="O262" s="288"/>
      <c r="P262" s="286"/>
      <c r="Q262" s="288"/>
      <c r="R262" s="286"/>
      <c r="S262" s="288"/>
      <c r="T262" s="286"/>
      <c r="U262" s="288"/>
      <c r="V262" s="286"/>
      <c r="W262" s="288"/>
      <c r="X262" s="286"/>
      <c r="Y262" s="288"/>
      <c r="Z262" s="286"/>
      <c r="AA262" s="288"/>
      <c r="AB262" s="286"/>
      <c r="AC262" s="288"/>
      <c r="AD262" s="286"/>
      <c r="AE262" s="288"/>
      <c r="AF262" s="286"/>
      <c r="AG262" s="288"/>
      <c r="AH262" s="286"/>
      <c r="AI262" s="288"/>
      <c r="AJ262" s="286"/>
      <c r="AK262" s="286"/>
      <c r="AL262" s="286"/>
      <c r="AM262" s="286"/>
      <c r="AN262" s="286"/>
      <c r="AO262" s="286"/>
      <c r="AP262" s="286"/>
      <c r="AQ262" s="286"/>
      <c r="AR262" s="286"/>
      <c r="AS262" s="286"/>
      <c r="AT262" s="286"/>
      <c r="AU262" s="286"/>
      <c r="AV262" s="284"/>
      <c r="AW262" s="284"/>
      <c r="AX262" s="284"/>
      <c r="AY262" s="284"/>
      <c r="AZ262" s="284"/>
      <c r="BA262" s="284"/>
      <c r="BB262" s="284"/>
      <c r="BC262" s="284"/>
      <c r="BD262" s="284"/>
      <c r="BE262" s="284"/>
      <c r="BF262" s="284"/>
      <c r="BG262" s="284"/>
      <c r="BH262" s="284"/>
      <c r="BI262" s="284"/>
      <c r="BJ262" s="284"/>
      <c r="BK262" s="284"/>
      <c r="BL262" s="284"/>
      <c r="BM262" s="284"/>
      <c r="BN262" s="284"/>
      <c r="BO262" s="284"/>
      <c r="BP262" s="284"/>
      <c r="BQ262" s="284"/>
      <c r="BR262" s="284"/>
      <c r="BS262" s="284"/>
      <c r="BT262" s="284"/>
      <c r="BU262" s="284"/>
      <c r="BV262" s="284"/>
      <c r="BW262" s="284"/>
      <c r="BX262" s="284"/>
      <c r="BY262" s="284"/>
      <c r="BZ262" s="285"/>
      <c r="CA262" s="298">
        <f>SUM(C262,E262,G262,I262,K262,M262,O262,Q262,S262,U262,W262,Y262,AA262,AC262,AE262,AG262,AI262,AK262,AM262,AO262,AQ262,AS262,AU262,AW262,AY262,BA262,BC262,BE262,BG262,BI262,BK262,BM262,BO262,BQ262,BS262,BU262,BW262,BY262)</f>
        <v>0</v>
      </c>
      <c r="CB262" s="298">
        <f>SUM(D262,F262,H262,J262,L262,N262,P262,R262,T262,V262,X262,Z262,AB262,AD262,AF262,AH262,AJ262,AL262,AN262,AP262,AR262,AT262,AV262,AX262,AZ262,BB262,BD262,BF262,BH262,BJ262,BL262,BN262,BP262,BR262,BT262,BV262,BX262,BZ262)</f>
        <v>0</v>
      </c>
      <c r="CC262" s="299">
        <f>SUM(Table13[[#This Row],[GOALS 1]:[ASSISTS 38]])</f>
        <v>0</v>
      </c>
    </row>
    <row r="263" spans="1:81">
      <c r="A263" s="291" t="s">
        <v>1804</v>
      </c>
      <c r="B263" s="291" t="s">
        <v>21</v>
      </c>
      <c r="C263" s="289"/>
      <c r="D263" s="286"/>
      <c r="E263" s="288"/>
      <c r="F263" s="286"/>
      <c r="G263" s="288"/>
      <c r="H263" s="286"/>
      <c r="I263" s="288"/>
      <c r="J263" s="286"/>
      <c r="K263" s="288"/>
      <c r="L263" s="286"/>
      <c r="M263" s="288"/>
      <c r="N263" s="286"/>
      <c r="O263" s="288"/>
      <c r="P263" s="286"/>
      <c r="Q263" s="288"/>
      <c r="R263" s="286"/>
      <c r="S263" s="288"/>
      <c r="T263" s="286"/>
      <c r="U263" s="288"/>
      <c r="V263" s="286"/>
      <c r="W263" s="288"/>
      <c r="X263" s="286"/>
      <c r="Y263" s="288"/>
      <c r="Z263" s="286"/>
      <c r="AA263" s="288"/>
      <c r="AB263" s="286"/>
      <c r="AC263" s="288"/>
      <c r="AD263" s="286"/>
      <c r="AE263" s="288"/>
      <c r="AF263" s="286"/>
      <c r="AG263" s="288"/>
      <c r="AH263" s="286"/>
      <c r="AI263" s="288"/>
      <c r="AJ263" s="286"/>
      <c r="AK263" s="286"/>
      <c r="AL263" s="286"/>
      <c r="AM263" s="286"/>
      <c r="AN263" s="286"/>
      <c r="AO263" s="286"/>
      <c r="AP263" s="286"/>
      <c r="AQ263" s="286"/>
      <c r="AR263" s="286"/>
      <c r="AS263" s="286"/>
      <c r="AT263" s="286"/>
      <c r="AU263" s="286"/>
      <c r="AV263" s="284"/>
      <c r="AW263" s="284"/>
      <c r="AX263" s="284"/>
      <c r="AY263" s="284"/>
      <c r="AZ263" s="284"/>
      <c r="BA263" s="284"/>
      <c r="BB263" s="284"/>
      <c r="BC263" s="284"/>
      <c r="BD263" s="284"/>
      <c r="BE263" s="284"/>
      <c r="BF263" s="284"/>
      <c r="BG263" s="284"/>
      <c r="BH263" s="284"/>
      <c r="BI263" s="284"/>
      <c r="BJ263" s="284"/>
      <c r="BK263" s="284"/>
      <c r="BL263" s="284"/>
      <c r="BM263" s="284"/>
      <c r="BN263" s="284"/>
      <c r="BO263" s="284"/>
      <c r="BP263" s="284"/>
      <c r="BQ263" s="284"/>
      <c r="BR263" s="284"/>
      <c r="BS263" s="284"/>
      <c r="BT263" s="284"/>
      <c r="BU263" s="284"/>
      <c r="BV263" s="284"/>
      <c r="BW263" s="284"/>
      <c r="BX263" s="284"/>
      <c r="BY263" s="284"/>
      <c r="BZ263" s="285"/>
      <c r="CA263" s="298">
        <f>SUM(C263,E263,G263,I263,K263,M263,O263,Q263,S263,U263,W263,Y263,AA263,AC263,AE263,AG263,AI263,AK263,AM263,AO263,AQ263,AS263,AU263,AW263,AY263,BA263,BC263,BE263,BG263,BI263,BK263,BM263,BO263,BQ263,BS263,BU263,BW263,BY263)</f>
        <v>0</v>
      </c>
      <c r="CB263" s="298">
        <f>SUM(D263,F263,H263,J263,L263,N263,P263,R263,T263,V263,X263,Z263,AB263,AD263,AF263,AH263,AJ263,AL263,AN263,AP263,AR263,AT263,AV263,AX263,AZ263,BB263,BD263,BF263,BH263,BJ263,BL263,BN263,BP263,BR263,BT263,BV263,BX263,BZ263)</f>
        <v>0</v>
      </c>
      <c r="CC263" s="299">
        <f>SUM(Table13[[#This Row],[GOALS 1]:[ASSISTS 38]])</f>
        <v>0</v>
      </c>
    </row>
    <row r="264" spans="1:81">
      <c r="A264" s="291" t="s">
        <v>1823</v>
      </c>
      <c r="B264" s="291" t="s">
        <v>22</v>
      </c>
      <c r="C264" s="286"/>
      <c r="D264" s="286"/>
      <c r="E264" s="288"/>
      <c r="F264" s="286"/>
      <c r="G264" s="288"/>
      <c r="H264" s="286"/>
      <c r="I264" s="288"/>
      <c r="J264" s="286"/>
      <c r="K264" s="288"/>
      <c r="L264" s="286"/>
      <c r="M264" s="288"/>
      <c r="N264" s="286"/>
      <c r="O264" s="288"/>
      <c r="P264" s="286"/>
      <c r="Q264" s="288"/>
      <c r="R264" s="286"/>
      <c r="S264" s="288"/>
      <c r="T264" s="286"/>
      <c r="U264" s="288"/>
      <c r="V264" s="286"/>
      <c r="W264" s="288"/>
      <c r="X264" s="286"/>
      <c r="Y264" s="288"/>
      <c r="Z264" s="286"/>
      <c r="AA264" s="288"/>
      <c r="AB264" s="286"/>
      <c r="AC264" s="288"/>
      <c r="AD264" s="286"/>
      <c r="AE264" s="288"/>
      <c r="AF264" s="286"/>
      <c r="AG264" s="288"/>
      <c r="AH264" s="286"/>
      <c r="AI264" s="288"/>
      <c r="AJ264" s="286"/>
      <c r="AK264" s="286"/>
      <c r="AL264" s="286"/>
      <c r="AM264" s="286"/>
      <c r="AN264" s="286"/>
      <c r="AO264" s="286"/>
      <c r="AP264" s="286"/>
      <c r="AQ264" s="286"/>
      <c r="AR264" s="286"/>
      <c r="AS264" s="286"/>
      <c r="AT264" s="286"/>
      <c r="AU264" s="286"/>
      <c r="AV264" s="284"/>
      <c r="AW264" s="284"/>
      <c r="AX264" s="284"/>
      <c r="AY264" s="284"/>
      <c r="AZ264" s="284"/>
      <c r="BA264" s="284"/>
      <c r="BB264" s="284"/>
      <c r="BC264" s="284"/>
      <c r="BD264" s="284"/>
      <c r="BE264" s="284"/>
      <c r="BF264" s="284"/>
      <c r="BG264" s="284"/>
      <c r="BH264" s="284"/>
      <c r="BI264" s="284"/>
      <c r="BJ264" s="284"/>
      <c r="BK264" s="284"/>
      <c r="BL264" s="284"/>
      <c r="BM264" s="284"/>
      <c r="BN264" s="284"/>
      <c r="BO264" s="284"/>
      <c r="BP264" s="284"/>
      <c r="BQ264" s="284"/>
      <c r="BR264" s="284"/>
      <c r="BS264" s="284"/>
      <c r="BT264" s="284"/>
      <c r="BU264" s="284"/>
      <c r="BV264" s="284"/>
      <c r="BW264" s="284"/>
      <c r="BX264" s="284"/>
      <c r="BY264" s="284"/>
      <c r="BZ264" s="285"/>
      <c r="CA264" s="298">
        <f>SUM(C264,E264,G264,I264,K264,M264,O264,Q264,S264,U264,W264,Y264,AA264,AC264,AE264,AG264,AI264,AK264,AM264,AO264,AQ264,AS264,AU264,AW264,AY264,BA264,BC264,BE264,BG264,BI264,BK264,BM264,BO264,BQ264,BS264,BU264,BW264,BY264)</f>
        <v>0</v>
      </c>
      <c r="CB264" s="298">
        <f>SUM(D264,F264,H264,J264,L264,N264,P264,R264,T264,V264,X264,Z264,AB264,AD264,AF264,AH264,AJ264,AL264,AN264,AP264,AR264,AT264,AV264,AX264,AZ264,BB264,BD264,BF264,BH264,BJ264,BL264,BN264,BP264,BR264,BT264,BV264,BX264,BZ264)</f>
        <v>0</v>
      </c>
      <c r="CC264" s="299">
        <f>SUM(Table13[[#This Row],[GOALS 1]:[ASSISTS 38]])</f>
        <v>0</v>
      </c>
    </row>
    <row r="265" spans="1:81">
      <c r="A265" s="291" t="s">
        <v>1683</v>
      </c>
      <c r="B265" s="291" t="s">
        <v>24</v>
      </c>
      <c r="C265" s="286"/>
      <c r="D265" s="286"/>
      <c r="E265" s="288"/>
      <c r="F265" s="286"/>
      <c r="G265" s="288"/>
      <c r="H265" s="286"/>
      <c r="I265" s="288"/>
      <c r="J265" s="286"/>
      <c r="K265" s="288"/>
      <c r="L265" s="286"/>
      <c r="M265" s="288"/>
      <c r="N265" s="286"/>
      <c r="O265" s="288"/>
      <c r="P265" s="286"/>
      <c r="Q265" s="288"/>
      <c r="R265" s="286"/>
      <c r="S265" s="288"/>
      <c r="T265" s="286"/>
      <c r="U265" s="288"/>
      <c r="V265" s="286"/>
      <c r="W265" s="288"/>
      <c r="X265" s="286"/>
      <c r="Y265" s="288"/>
      <c r="Z265" s="286"/>
      <c r="AA265" s="288"/>
      <c r="AB265" s="286"/>
      <c r="AC265" s="288"/>
      <c r="AD265" s="286"/>
      <c r="AE265" s="288"/>
      <c r="AF265" s="286"/>
      <c r="AG265" s="288"/>
      <c r="AH265" s="286"/>
      <c r="AI265" s="288"/>
      <c r="AJ265" s="286"/>
      <c r="AK265" s="286"/>
      <c r="AL265" s="286"/>
      <c r="AM265" s="286"/>
      <c r="AN265" s="286"/>
      <c r="AO265" s="286"/>
      <c r="AP265" s="286"/>
      <c r="AQ265" s="286"/>
      <c r="AR265" s="286"/>
      <c r="AS265" s="286"/>
      <c r="AT265" s="286"/>
      <c r="AU265" s="286"/>
      <c r="AV265" s="284"/>
      <c r="AW265" s="284"/>
      <c r="AX265" s="284"/>
      <c r="AY265" s="284"/>
      <c r="AZ265" s="284"/>
      <c r="BA265" s="284"/>
      <c r="BB265" s="284"/>
      <c r="BC265" s="284"/>
      <c r="BD265" s="284"/>
      <c r="BE265" s="284"/>
      <c r="BF265" s="284"/>
      <c r="BG265" s="284"/>
      <c r="BH265" s="284"/>
      <c r="BI265" s="284"/>
      <c r="BJ265" s="284"/>
      <c r="BK265" s="284"/>
      <c r="BL265" s="284"/>
      <c r="BM265" s="284"/>
      <c r="BN265" s="284"/>
      <c r="BO265" s="284"/>
      <c r="BP265" s="284"/>
      <c r="BQ265" s="284"/>
      <c r="BR265" s="284"/>
      <c r="BS265" s="284"/>
      <c r="BT265" s="284"/>
      <c r="BU265" s="284"/>
      <c r="BV265" s="284"/>
      <c r="BW265" s="284"/>
      <c r="BX265" s="284"/>
      <c r="BY265" s="284"/>
      <c r="BZ265" s="285"/>
      <c r="CA265" s="298">
        <f>SUM(C265,E265,G265,I265,K265,M265,O265,Q265,S265,U265,W265,Y265,AA265,AC265,AE265,AG265,AI265,AK265,AM265,AO265,AQ265,AS265,AU265,AW265,AY265,BA265,BC265,BE265,BG265,BI265,BK265,BM265,BO265,BQ265,BS265,BU265,BW265,BY265)</f>
        <v>0</v>
      </c>
      <c r="CB265" s="298">
        <f>SUM(D265,F265,H265,J265,L265,N265,P265,R265,T265,V265,X265,Z265,AB265,AD265,AF265,AH265,AJ265,AL265,AN265,AP265,AR265,AT265,AV265,AX265,AZ265,BB265,BD265,BF265,BH265,BJ265,BL265,BN265,BP265,BR265,BT265,BV265,BX265,BZ265)</f>
        <v>0</v>
      </c>
      <c r="CC265" s="299">
        <f>SUM(Table13[[#This Row],[GOALS 1]:[ASSISTS 38]])</f>
        <v>0</v>
      </c>
    </row>
    <row r="266" spans="1:81">
      <c r="A266" s="291" t="s">
        <v>1874</v>
      </c>
      <c r="B266" s="291" t="s">
        <v>25</v>
      </c>
      <c r="C266" s="286"/>
      <c r="D266" s="286"/>
      <c r="E266" s="288"/>
      <c r="F266" s="286"/>
      <c r="G266" s="288"/>
      <c r="H266" s="286"/>
      <c r="I266" s="288"/>
      <c r="J266" s="286"/>
      <c r="K266" s="288"/>
      <c r="L266" s="286"/>
      <c r="M266" s="288"/>
      <c r="N266" s="286"/>
      <c r="O266" s="288"/>
      <c r="P266" s="286"/>
      <c r="Q266" s="288"/>
      <c r="R266" s="286"/>
      <c r="S266" s="288"/>
      <c r="T266" s="286"/>
      <c r="U266" s="288"/>
      <c r="V266" s="286"/>
      <c r="W266" s="288"/>
      <c r="X266" s="286"/>
      <c r="Y266" s="288"/>
      <c r="Z266" s="286"/>
      <c r="AA266" s="288"/>
      <c r="AB266" s="286"/>
      <c r="AC266" s="288"/>
      <c r="AD266" s="286"/>
      <c r="AE266" s="288"/>
      <c r="AF266" s="286"/>
      <c r="AG266" s="288"/>
      <c r="AH266" s="286"/>
      <c r="AI266" s="288"/>
      <c r="AJ266" s="286"/>
      <c r="AK266" s="286"/>
      <c r="AL266" s="286"/>
      <c r="AM266" s="286"/>
      <c r="AN266" s="286"/>
      <c r="AO266" s="286"/>
      <c r="AP266" s="286"/>
      <c r="AQ266" s="286"/>
      <c r="AR266" s="286"/>
      <c r="AS266" s="286"/>
      <c r="AT266" s="286"/>
      <c r="AU266" s="286"/>
      <c r="AV266" s="284"/>
      <c r="AW266" s="284"/>
      <c r="AX266" s="284"/>
      <c r="AY266" s="284"/>
      <c r="AZ266" s="284"/>
      <c r="BA266" s="284"/>
      <c r="BB266" s="284"/>
      <c r="BC266" s="284"/>
      <c r="BD266" s="284"/>
      <c r="BE266" s="284"/>
      <c r="BF266" s="284"/>
      <c r="BG266" s="284"/>
      <c r="BH266" s="284"/>
      <c r="BI266" s="284"/>
      <c r="BJ266" s="284"/>
      <c r="BK266" s="284"/>
      <c r="BL266" s="284"/>
      <c r="BM266" s="284"/>
      <c r="BN266" s="284"/>
      <c r="BO266" s="284"/>
      <c r="BP266" s="284"/>
      <c r="BQ266" s="284"/>
      <c r="BR266" s="284"/>
      <c r="BS266" s="284"/>
      <c r="BT266" s="284"/>
      <c r="BU266" s="284"/>
      <c r="BV266" s="284"/>
      <c r="BW266" s="284"/>
      <c r="BX266" s="284"/>
      <c r="BY266" s="284"/>
      <c r="BZ266" s="285"/>
      <c r="CA266" s="298">
        <f>SUM(C266,E266,G266,I266,K266,M266,O266,Q266,S266,U266,W266,Y266,AA266,AC266,AE266,AG266,AI266,AK266,AM266,AO266,AQ266,AS266,AU266,AW266,AY266,BA266,BC266,BE266,BG266,BI266,BK266,BM266,BO266,BQ266,BS266,BU266,BW266,BY266)</f>
        <v>0</v>
      </c>
      <c r="CB266" s="298">
        <f>SUM(D266,F266,H266,J266,L266,N266,P266,R266,T266,V266,X266,Z266,AB266,AD266,AF266,AH266,AJ266,AL266,AN266,AP266,AR266,AT266,AV266,AX266,AZ266,BB266,BD266,BF266,BH266,BJ266,BL266,BN266,BP266,BR266,BT266,BV266,BX266,BZ266)</f>
        <v>0</v>
      </c>
      <c r="CC266" s="299">
        <f>SUM(Table13[[#This Row],[GOALS 1]:[ASSISTS 38]])</f>
        <v>0</v>
      </c>
    </row>
    <row r="267" spans="1:81">
      <c r="A267" s="291" t="s">
        <v>1760</v>
      </c>
      <c r="B267" s="291" t="s">
        <v>634</v>
      </c>
      <c r="C267" s="288"/>
      <c r="D267" s="286"/>
      <c r="E267" s="288"/>
      <c r="F267" s="286"/>
      <c r="G267" s="288"/>
      <c r="H267" s="286"/>
      <c r="I267" s="288"/>
      <c r="J267" s="286"/>
      <c r="K267" s="288"/>
      <c r="L267" s="286"/>
      <c r="M267" s="288"/>
      <c r="N267" s="286"/>
      <c r="O267" s="288"/>
      <c r="P267" s="286"/>
      <c r="Q267" s="288"/>
      <c r="R267" s="286"/>
      <c r="S267" s="288"/>
      <c r="T267" s="286"/>
      <c r="U267" s="288"/>
      <c r="V267" s="286"/>
      <c r="W267" s="288"/>
      <c r="X267" s="286"/>
      <c r="Y267" s="288"/>
      <c r="Z267" s="286"/>
      <c r="AA267" s="288"/>
      <c r="AB267" s="286"/>
      <c r="AC267" s="288"/>
      <c r="AD267" s="286"/>
      <c r="AE267" s="288"/>
      <c r="AF267" s="286"/>
      <c r="AG267" s="288"/>
      <c r="AH267" s="286"/>
      <c r="AI267" s="288"/>
      <c r="AJ267" s="286"/>
      <c r="AK267" s="286"/>
      <c r="AL267" s="286"/>
      <c r="AM267" s="286"/>
      <c r="AN267" s="286"/>
      <c r="AO267" s="286"/>
      <c r="AP267" s="286"/>
      <c r="AQ267" s="286"/>
      <c r="AR267" s="286"/>
      <c r="AS267" s="286"/>
      <c r="AT267" s="286"/>
      <c r="AU267" s="286"/>
      <c r="AV267" s="284"/>
      <c r="AW267" s="284"/>
      <c r="AX267" s="284"/>
      <c r="AY267" s="284"/>
      <c r="AZ267" s="284"/>
      <c r="BA267" s="284"/>
      <c r="BB267" s="284"/>
      <c r="BC267" s="284"/>
      <c r="BD267" s="284"/>
      <c r="BE267" s="284"/>
      <c r="BF267" s="284"/>
      <c r="BG267" s="284"/>
      <c r="BH267" s="284"/>
      <c r="BI267" s="284"/>
      <c r="BJ267" s="284"/>
      <c r="BK267" s="284"/>
      <c r="BL267" s="284"/>
      <c r="BM267" s="284"/>
      <c r="BN267" s="284"/>
      <c r="BO267" s="284"/>
      <c r="BP267" s="284"/>
      <c r="BQ267" s="284"/>
      <c r="BR267" s="284"/>
      <c r="BS267" s="284"/>
      <c r="BT267" s="284"/>
      <c r="BU267" s="284"/>
      <c r="BV267" s="284"/>
      <c r="BW267" s="284"/>
      <c r="BX267" s="284"/>
      <c r="BY267" s="284"/>
      <c r="BZ267" s="285"/>
      <c r="CA267" s="298">
        <f>SUM(C267,E267,G267,I267,K267,M267,O267,Q267,S267,U267,W267,Y267,AA267,AC267,AE267,AG267,AI267,AK267,AM267,AO267,AQ267,AS267,AU267,AW267,AY267,BA267,BC267,BE267,BG267,BI267,BK267,BM267,BO267,BQ267,BS267,BU267,BW267,BY267)</f>
        <v>0</v>
      </c>
      <c r="CB267" s="298">
        <f>SUM(D267,F267,H267,J267,L267,N267,P267,R267,T267,V267,X267,Z267,AB267,AD267,AF267,AH267,AJ267,AL267,AN267,AP267,AR267,AT267,AV267,AX267,AZ267,BB267,BD267,BF267,BH267,BJ267,BL267,BN267,BP267,BR267,BT267,BV267,BX267,BZ267)</f>
        <v>0</v>
      </c>
      <c r="CC267" s="299">
        <f>SUM(Table13[[#This Row],[GOALS 1]:[ASSISTS 38]])</f>
        <v>0</v>
      </c>
    </row>
    <row r="268" spans="1:81">
      <c r="A268" s="291" t="s">
        <v>1685</v>
      </c>
      <c r="B268" s="291" t="s">
        <v>23</v>
      </c>
      <c r="C268" s="289"/>
      <c r="D268" s="286"/>
      <c r="E268" s="288"/>
      <c r="F268" s="286"/>
      <c r="G268" s="288"/>
      <c r="H268" s="286"/>
      <c r="I268" s="288"/>
      <c r="J268" s="286"/>
      <c r="K268" s="288"/>
      <c r="L268" s="286"/>
      <c r="M268" s="288"/>
      <c r="N268" s="286"/>
      <c r="O268" s="288"/>
      <c r="P268" s="286"/>
      <c r="Q268" s="288"/>
      <c r="R268" s="286"/>
      <c r="S268" s="288"/>
      <c r="T268" s="286"/>
      <c r="U268" s="288"/>
      <c r="V268" s="286"/>
      <c r="W268" s="288"/>
      <c r="X268" s="286"/>
      <c r="Y268" s="288"/>
      <c r="Z268" s="286"/>
      <c r="AA268" s="288"/>
      <c r="AB268" s="286"/>
      <c r="AC268" s="288"/>
      <c r="AD268" s="286"/>
      <c r="AE268" s="288"/>
      <c r="AF268" s="286"/>
      <c r="AG268" s="288"/>
      <c r="AH268" s="286"/>
      <c r="AI268" s="288"/>
      <c r="AJ268" s="286"/>
      <c r="AK268" s="286"/>
      <c r="AL268" s="286"/>
      <c r="AM268" s="286"/>
      <c r="AN268" s="286"/>
      <c r="AO268" s="286"/>
      <c r="AP268" s="286"/>
      <c r="AQ268" s="286"/>
      <c r="AR268" s="286"/>
      <c r="AS268" s="286"/>
      <c r="AT268" s="286"/>
      <c r="AU268" s="286"/>
      <c r="AV268" s="284"/>
      <c r="AW268" s="284"/>
      <c r="AX268" s="284"/>
      <c r="AY268" s="284"/>
      <c r="AZ268" s="284"/>
      <c r="BA268" s="284"/>
      <c r="BB268" s="284"/>
      <c r="BC268" s="284"/>
      <c r="BD268" s="284"/>
      <c r="BE268" s="284"/>
      <c r="BF268" s="284"/>
      <c r="BG268" s="284"/>
      <c r="BH268" s="284"/>
      <c r="BI268" s="284"/>
      <c r="BJ268" s="284"/>
      <c r="BK268" s="284"/>
      <c r="BL268" s="284"/>
      <c r="BM268" s="284"/>
      <c r="BN268" s="284"/>
      <c r="BO268" s="284"/>
      <c r="BP268" s="284"/>
      <c r="BQ268" s="284"/>
      <c r="BR268" s="284"/>
      <c r="BS268" s="284"/>
      <c r="BT268" s="284"/>
      <c r="BU268" s="284"/>
      <c r="BV268" s="284"/>
      <c r="BW268" s="284"/>
      <c r="BX268" s="284"/>
      <c r="BY268" s="284"/>
      <c r="BZ268" s="285"/>
      <c r="CA268" s="298">
        <f>SUM(C268,E268,G268,I268,K268,M268,O268,Q268,S268,U268,W268,Y268,AA268,AC268,AE268,AG268,AI268,AK268,AM268,AO268,AQ268,AS268,AU268,AW268,AY268,BA268,BC268,BE268,BG268,BI268,BK268,BM268,BO268,BQ268,BS268,BU268,BW268,BY268)</f>
        <v>0</v>
      </c>
      <c r="CB268" s="298">
        <f>SUM(D268,F268,H268,J268,L268,N268,P268,R268,T268,V268,X268,Z268,AB268,AD268,AF268,AH268,AJ268,AL268,AN268,AP268,AR268,AT268,AV268,AX268,AZ268,BB268,BD268,BF268,BH268,BJ268,BL268,BN268,BP268,BR268,BT268,BV268,BX268,BZ268)</f>
        <v>0</v>
      </c>
      <c r="CC268" s="299">
        <f>SUM(Table13[[#This Row],[GOALS 1]:[ASSISTS 38]])</f>
        <v>0</v>
      </c>
    </row>
    <row r="269" spans="1:81">
      <c r="A269" s="291" t="s">
        <v>1871</v>
      </c>
      <c r="B269" s="291" t="s">
        <v>30</v>
      </c>
      <c r="C269" s="286"/>
      <c r="D269" s="286"/>
      <c r="E269" s="288"/>
      <c r="F269" s="286"/>
      <c r="G269" s="288"/>
      <c r="H269" s="286"/>
      <c r="I269" s="288"/>
      <c r="J269" s="286"/>
      <c r="K269" s="288"/>
      <c r="L269" s="286"/>
      <c r="M269" s="288"/>
      <c r="N269" s="286"/>
      <c r="O269" s="288"/>
      <c r="P269" s="286"/>
      <c r="Q269" s="288"/>
      <c r="R269" s="286"/>
      <c r="S269" s="288"/>
      <c r="T269" s="286"/>
      <c r="U269" s="288"/>
      <c r="V269" s="286"/>
      <c r="W269" s="288"/>
      <c r="X269" s="286"/>
      <c r="Y269" s="288"/>
      <c r="Z269" s="286"/>
      <c r="AA269" s="288"/>
      <c r="AB269" s="286"/>
      <c r="AC269" s="288"/>
      <c r="AD269" s="286"/>
      <c r="AE269" s="288"/>
      <c r="AF269" s="286"/>
      <c r="AG269" s="288"/>
      <c r="AH269" s="286"/>
      <c r="AI269" s="288"/>
      <c r="AJ269" s="286"/>
      <c r="AK269" s="286"/>
      <c r="AL269" s="286"/>
      <c r="AM269" s="286"/>
      <c r="AN269" s="286"/>
      <c r="AO269" s="286"/>
      <c r="AP269" s="286"/>
      <c r="AQ269" s="286"/>
      <c r="AR269" s="286"/>
      <c r="AS269" s="286"/>
      <c r="AT269" s="286"/>
      <c r="AU269" s="286"/>
      <c r="AV269" s="284"/>
      <c r="AW269" s="284"/>
      <c r="AX269" s="284"/>
      <c r="AY269" s="284"/>
      <c r="AZ269" s="284"/>
      <c r="BA269" s="284"/>
      <c r="BB269" s="284"/>
      <c r="BC269" s="284"/>
      <c r="BD269" s="284"/>
      <c r="BE269" s="284"/>
      <c r="BF269" s="284"/>
      <c r="BG269" s="284"/>
      <c r="BH269" s="284"/>
      <c r="BI269" s="284"/>
      <c r="BJ269" s="284"/>
      <c r="BK269" s="284"/>
      <c r="BL269" s="284"/>
      <c r="BM269" s="284"/>
      <c r="BN269" s="284"/>
      <c r="BO269" s="284"/>
      <c r="BP269" s="284"/>
      <c r="BQ269" s="284"/>
      <c r="BR269" s="284"/>
      <c r="BS269" s="284"/>
      <c r="BT269" s="284"/>
      <c r="BU269" s="284"/>
      <c r="BV269" s="284"/>
      <c r="BW269" s="284"/>
      <c r="BX269" s="284"/>
      <c r="BY269" s="284"/>
      <c r="BZ269" s="285"/>
      <c r="CA269" s="298">
        <f>SUM(C269,E269,G269,I269,K269,M269,O269,Q269,S269,U269,W269,Y269,AA269,AC269,AE269,AG269,AI269,AK269,AM269,AO269,AQ269,AS269,AU269,AW269,AY269,BA269,BC269,BE269,BG269,BI269,BK269,BM269,BO269,BQ269,BS269,BU269,BW269,BY269)</f>
        <v>0</v>
      </c>
      <c r="CB269" s="298">
        <f>SUM(D269,F269,H269,J269,L269,N269,P269,R269,T269,V269,X269,Z269,AB269,AD269,AF269,AH269,AJ269,AL269,AN269,AP269,AR269,AT269,AV269,AX269,AZ269,BB269,BD269,BF269,BH269,BJ269,BL269,BN269,BP269,BR269,BT269,BV269,BX269,BZ269)</f>
        <v>0</v>
      </c>
      <c r="CC269" s="299">
        <f>SUM(Table13[[#This Row],[GOALS 1]:[ASSISTS 38]])</f>
        <v>0</v>
      </c>
    </row>
    <row r="270" spans="1:81">
      <c r="A270" s="291" t="s">
        <v>1652</v>
      </c>
      <c r="B270" s="291" t="s">
        <v>30</v>
      </c>
      <c r="C270" s="286"/>
      <c r="D270" s="286"/>
      <c r="E270" s="288"/>
      <c r="F270" s="286"/>
      <c r="G270" s="288"/>
      <c r="H270" s="286"/>
      <c r="I270" s="288"/>
      <c r="J270" s="286"/>
      <c r="K270" s="288"/>
      <c r="L270" s="286"/>
      <c r="M270" s="288"/>
      <c r="N270" s="286"/>
      <c r="O270" s="288"/>
      <c r="P270" s="286"/>
      <c r="Q270" s="288"/>
      <c r="R270" s="286"/>
      <c r="S270" s="288"/>
      <c r="T270" s="286"/>
      <c r="U270" s="288"/>
      <c r="V270" s="286"/>
      <c r="W270" s="288"/>
      <c r="X270" s="286"/>
      <c r="Y270" s="288"/>
      <c r="Z270" s="286"/>
      <c r="AA270" s="288"/>
      <c r="AB270" s="286"/>
      <c r="AC270" s="288"/>
      <c r="AD270" s="286"/>
      <c r="AE270" s="288"/>
      <c r="AF270" s="286"/>
      <c r="AG270" s="288"/>
      <c r="AH270" s="286"/>
      <c r="AI270" s="288"/>
      <c r="AJ270" s="286"/>
      <c r="AK270" s="286"/>
      <c r="AL270" s="286"/>
      <c r="AM270" s="286"/>
      <c r="AN270" s="286"/>
      <c r="AO270" s="286"/>
      <c r="AP270" s="286"/>
      <c r="AQ270" s="286"/>
      <c r="AR270" s="286"/>
      <c r="AS270" s="286"/>
      <c r="AT270" s="286"/>
      <c r="AU270" s="286"/>
      <c r="AV270" s="284"/>
      <c r="AW270" s="284"/>
      <c r="AX270" s="284"/>
      <c r="AY270" s="284"/>
      <c r="AZ270" s="284"/>
      <c r="BA270" s="284"/>
      <c r="BB270" s="284"/>
      <c r="BC270" s="284"/>
      <c r="BD270" s="284"/>
      <c r="BE270" s="284"/>
      <c r="BF270" s="284"/>
      <c r="BG270" s="284"/>
      <c r="BH270" s="284"/>
      <c r="BI270" s="284"/>
      <c r="BJ270" s="284"/>
      <c r="BK270" s="284"/>
      <c r="BL270" s="284"/>
      <c r="BM270" s="284"/>
      <c r="BN270" s="284"/>
      <c r="BO270" s="284"/>
      <c r="BP270" s="284"/>
      <c r="BQ270" s="284"/>
      <c r="BR270" s="284"/>
      <c r="BS270" s="284"/>
      <c r="BT270" s="284"/>
      <c r="BU270" s="284"/>
      <c r="BV270" s="284"/>
      <c r="BW270" s="284"/>
      <c r="BX270" s="284"/>
      <c r="BY270" s="284"/>
      <c r="BZ270" s="285"/>
      <c r="CA270" s="298">
        <f>SUM(C270,E270,G270,I270,K270,M270,O270,Q270,S270,U270,W270,Y270,AA270,AC270,AE270,AG270,AI270,AK270,AM270,AO270,AQ270,AS270,AU270,AW270,AY270,BA270,BC270,BE270,BG270,BI270,BK270,BM270,BO270,BQ270,BS270,BU270,BW270,BY270)</f>
        <v>0</v>
      </c>
      <c r="CB270" s="298">
        <f>SUM(D270,F270,H270,J270,L270,N270,P270,R270,T270,V270,X270,Z270,AB270,AD270,AF270,AH270,AJ270,AL270,AN270,AP270,AR270,AT270,AV270,AX270,AZ270,BB270,BD270,BF270,BH270,BJ270,BL270,BN270,BP270,BR270,BT270,BV270,BX270,BZ270)</f>
        <v>0</v>
      </c>
      <c r="CC270" s="299">
        <f>SUM(Table13[[#This Row],[GOALS 1]:[ASSISTS 38]])</f>
        <v>0</v>
      </c>
    </row>
    <row r="271" spans="1:81">
      <c r="A271" s="291" t="s">
        <v>1882</v>
      </c>
      <c r="B271" s="291" t="s">
        <v>24</v>
      </c>
      <c r="C271" s="286"/>
      <c r="D271" s="286"/>
      <c r="E271" s="288"/>
      <c r="F271" s="286"/>
      <c r="G271" s="288"/>
      <c r="H271" s="286"/>
      <c r="I271" s="288"/>
      <c r="J271" s="286"/>
      <c r="K271" s="288"/>
      <c r="L271" s="286"/>
      <c r="M271" s="288"/>
      <c r="N271" s="286"/>
      <c r="O271" s="288"/>
      <c r="P271" s="286"/>
      <c r="Q271" s="288"/>
      <c r="R271" s="286"/>
      <c r="S271" s="288"/>
      <c r="T271" s="286"/>
      <c r="U271" s="288"/>
      <c r="V271" s="286"/>
      <c r="W271" s="288"/>
      <c r="X271" s="286"/>
      <c r="Y271" s="288"/>
      <c r="Z271" s="286"/>
      <c r="AA271" s="288"/>
      <c r="AB271" s="286"/>
      <c r="AC271" s="288"/>
      <c r="AD271" s="286"/>
      <c r="AE271" s="288"/>
      <c r="AF271" s="286"/>
      <c r="AG271" s="288"/>
      <c r="AH271" s="286"/>
      <c r="AI271" s="288"/>
      <c r="AJ271" s="286"/>
      <c r="AK271" s="286"/>
      <c r="AL271" s="286"/>
      <c r="AM271" s="286"/>
      <c r="AN271" s="286"/>
      <c r="AO271" s="286"/>
      <c r="AP271" s="286"/>
      <c r="AQ271" s="286"/>
      <c r="AR271" s="286"/>
      <c r="AS271" s="286"/>
      <c r="AT271" s="286"/>
      <c r="AU271" s="286"/>
      <c r="AV271" s="284"/>
      <c r="AW271" s="284"/>
      <c r="AX271" s="284"/>
      <c r="AY271" s="284"/>
      <c r="AZ271" s="284"/>
      <c r="BA271" s="284"/>
      <c r="BB271" s="284"/>
      <c r="BC271" s="284"/>
      <c r="BD271" s="284"/>
      <c r="BE271" s="284"/>
      <c r="BF271" s="284"/>
      <c r="BG271" s="284"/>
      <c r="BH271" s="284"/>
      <c r="BI271" s="284"/>
      <c r="BJ271" s="284"/>
      <c r="BK271" s="284"/>
      <c r="BL271" s="284"/>
      <c r="BM271" s="284"/>
      <c r="BN271" s="284"/>
      <c r="BO271" s="284"/>
      <c r="BP271" s="284"/>
      <c r="BQ271" s="284"/>
      <c r="BR271" s="284"/>
      <c r="BS271" s="284"/>
      <c r="BT271" s="284"/>
      <c r="BU271" s="284"/>
      <c r="BV271" s="284"/>
      <c r="BW271" s="284"/>
      <c r="BX271" s="284"/>
      <c r="BY271" s="284"/>
      <c r="BZ271" s="285"/>
      <c r="CA271" s="298">
        <f>SUM(C271,E271,G271,I271,K271,M271,O271,Q271,S271,U271,W271,Y271,AA271,AC271,AE271,AG271,AI271,AK271,AM271,AO271,AQ271,AS271,AU271,AW271,AY271,BA271,BC271,BE271,BG271,BI271,BK271,BM271,BO271,BQ271,BS271,BU271,BW271,BY271)</f>
        <v>0</v>
      </c>
      <c r="CB271" s="298">
        <f>SUM(D271,F271,H271,J271,L271,N271,P271,R271,T271,V271,X271,Z271,AB271,AD271,AF271,AH271,AJ271,AL271,AN271,AP271,AR271,AT271,AV271,AX271,AZ271,BB271,BD271,BF271,BH271,BJ271,BL271,BN271,BP271,BR271,BT271,BV271,BX271,BZ271)</f>
        <v>0</v>
      </c>
      <c r="CC271" s="299">
        <f>SUM(Table13[[#This Row],[GOALS 1]:[ASSISTS 38]])</f>
        <v>0</v>
      </c>
    </row>
    <row r="272" spans="1:81">
      <c r="A272" s="291" t="s">
        <v>1336</v>
      </c>
      <c r="B272" s="291" t="s">
        <v>25</v>
      </c>
      <c r="C272" s="286"/>
      <c r="D272" s="286"/>
      <c r="E272" s="288"/>
      <c r="F272" s="286"/>
      <c r="G272" s="288"/>
      <c r="H272" s="286"/>
      <c r="I272" s="288"/>
      <c r="J272" s="286"/>
      <c r="K272" s="288"/>
      <c r="L272" s="286"/>
      <c r="M272" s="288"/>
      <c r="N272" s="286"/>
      <c r="O272" s="288"/>
      <c r="P272" s="286"/>
      <c r="Q272" s="288"/>
      <c r="R272" s="286"/>
      <c r="S272" s="288"/>
      <c r="T272" s="286"/>
      <c r="U272" s="288"/>
      <c r="V272" s="286"/>
      <c r="W272" s="288"/>
      <c r="X272" s="286"/>
      <c r="Y272" s="288"/>
      <c r="Z272" s="286"/>
      <c r="AA272" s="288"/>
      <c r="AB272" s="286"/>
      <c r="AC272" s="288"/>
      <c r="AD272" s="286"/>
      <c r="AE272" s="288"/>
      <c r="AF272" s="286"/>
      <c r="AG272" s="288"/>
      <c r="AH272" s="286"/>
      <c r="AI272" s="288"/>
      <c r="AJ272" s="286"/>
      <c r="AK272" s="286"/>
      <c r="AL272" s="286"/>
      <c r="AM272" s="286"/>
      <c r="AN272" s="286"/>
      <c r="AO272" s="286"/>
      <c r="AP272" s="286"/>
      <c r="AQ272" s="286"/>
      <c r="AR272" s="286"/>
      <c r="AS272" s="286"/>
      <c r="AT272" s="286"/>
      <c r="AU272" s="286"/>
      <c r="AV272" s="284"/>
      <c r="AW272" s="284"/>
      <c r="AX272" s="284"/>
      <c r="AY272" s="284"/>
      <c r="AZ272" s="284"/>
      <c r="BA272" s="284"/>
      <c r="BB272" s="284"/>
      <c r="BC272" s="284"/>
      <c r="BD272" s="284"/>
      <c r="BE272" s="284"/>
      <c r="BF272" s="284"/>
      <c r="BG272" s="284"/>
      <c r="BH272" s="284"/>
      <c r="BI272" s="284"/>
      <c r="BJ272" s="284"/>
      <c r="BK272" s="284"/>
      <c r="BL272" s="284"/>
      <c r="BM272" s="284"/>
      <c r="BN272" s="284"/>
      <c r="BO272" s="284"/>
      <c r="BP272" s="284"/>
      <c r="BQ272" s="284"/>
      <c r="BR272" s="284"/>
      <c r="BS272" s="284"/>
      <c r="BT272" s="284"/>
      <c r="BU272" s="284"/>
      <c r="BV272" s="284"/>
      <c r="BW272" s="284"/>
      <c r="BX272" s="284"/>
      <c r="BY272" s="284"/>
      <c r="BZ272" s="285"/>
      <c r="CA272" s="298">
        <f>SUM(C272,E272,G272,I272,K272,M272,O272,Q272,S272,U272,W272,Y272,AA272,AC272,AE272,AG272,AI272,AK272,AM272,AO272,AQ272,AS272,AU272,AW272,AY272,BA272,BC272,BE272,BG272,BI272,BK272,BM272,BO272,BQ272,BS272,BU272,BW272,BY272)</f>
        <v>0</v>
      </c>
      <c r="CB272" s="298">
        <f>SUM(D272,F272,H272,J272,L272,N272,P272,R272,T272,V272,X272,Z272,AB272,AD272,AF272,AH272,AJ272,AL272,AN272,AP272,AR272,AT272,AV272,AX272,AZ272,BB272,BD272,BF272,BH272,BJ272,BL272,BN272,BP272,BR272,BT272,BV272,BX272,BZ272)</f>
        <v>0</v>
      </c>
      <c r="CC272" s="299">
        <f>SUM(Table13[[#This Row],[GOALS 1]:[ASSISTS 38]])</f>
        <v>0</v>
      </c>
    </row>
    <row r="273" spans="1:81">
      <c r="A273" s="291" t="s">
        <v>1437</v>
      </c>
      <c r="B273" s="291" t="s">
        <v>17</v>
      </c>
      <c r="C273" s="289"/>
      <c r="D273" s="286"/>
      <c r="E273" s="288"/>
      <c r="F273" s="286"/>
      <c r="G273" s="288"/>
      <c r="H273" s="286"/>
      <c r="I273" s="288"/>
      <c r="J273" s="286"/>
      <c r="K273" s="288"/>
      <c r="L273" s="286"/>
      <c r="M273" s="288"/>
      <c r="N273" s="286"/>
      <c r="O273" s="288"/>
      <c r="P273" s="286"/>
      <c r="Q273" s="288"/>
      <c r="R273" s="286"/>
      <c r="S273" s="288"/>
      <c r="T273" s="286"/>
      <c r="U273" s="288"/>
      <c r="V273" s="286"/>
      <c r="W273" s="288"/>
      <c r="X273" s="286"/>
      <c r="Y273" s="288"/>
      <c r="Z273" s="286"/>
      <c r="AA273" s="288"/>
      <c r="AB273" s="286"/>
      <c r="AC273" s="288"/>
      <c r="AD273" s="286"/>
      <c r="AE273" s="288"/>
      <c r="AF273" s="286"/>
      <c r="AG273" s="288"/>
      <c r="AH273" s="286"/>
      <c r="AI273" s="288"/>
      <c r="AJ273" s="286"/>
      <c r="AK273" s="286"/>
      <c r="AL273" s="286"/>
      <c r="AM273" s="286"/>
      <c r="AN273" s="286"/>
      <c r="AO273" s="286"/>
      <c r="AP273" s="286"/>
      <c r="AQ273" s="286"/>
      <c r="AR273" s="286"/>
      <c r="AS273" s="286"/>
      <c r="AT273" s="286"/>
      <c r="AU273" s="286"/>
      <c r="AV273" s="284"/>
      <c r="AW273" s="284"/>
      <c r="AX273" s="284"/>
      <c r="AY273" s="284"/>
      <c r="AZ273" s="284"/>
      <c r="BA273" s="284"/>
      <c r="BB273" s="284"/>
      <c r="BC273" s="284"/>
      <c r="BD273" s="284"/>
      <c r="BE273" s="284"/>
      <c r="BF273" s="284"/>
      <c r="BG273" s="284"/>
      <c r="BH273" s="284"/>
      <c r="BI273" s="284"/>
      <c r="BJ273" s="284"/>
      <c r="BK273" s="284"/>
      <c r="BL273" s="284"/>
      <c r="BM273" s="284"/>
      <c r="BN273" s="284"/>
      <c r="BO273" s="284"/>
      <c r="BP273" s="284"/>
      <c r="BQ273" s="284"/>
      <c r="BR273" s="284"/>
      <c r="BS273" s="284"/>
      <c r="BT273" s="284"/>
      <c r="BU273" s="284"/>
      <c r="BV273" s="284"/>
      <c r="BW273" s="284"/>
      <c r="BX273" s="284"/>
      <c r="BY273" s="284"/>
      <c r="BZ273" s="285"/>
      <c r="CA273" s="298">
        <f>SUM(C273,E273,G273,I273,K273,M273,O273,Q273,S273,U273,W273,Y273,AA273,AC273,AE273,AG273,AI273,AK273,AM273,AO273,AQ273,AS273,AU273,AW273,AY273,BA273,BC273,BE273,BG273,BI273,BK273,BM273,BO273,BQ273,BS273,BU273,BW273,BY273)</f>
        <v>0</v>
      </c>
      <c r="CB273" s="298">
        <f>SUM(D273,F273,H273,J273,L273,N273,P273,R273,T273,V273,X273,Z273,AB273,AD273,AF273,AH273,AJ273,AL273,AN273,AP273,AR273,AT273,AV273,AX273,AZ273,BB273,BD273,BF273,BH273,BJ273,BL273,BN273,BP273,BR273,BT273,BV273,BX273,BZ273)</f>
        <v>0</v>
      </c>
      <c r="CC273" s="299">
        <f>SUM(Table13[[#This Row],[GOALS 1]:[ASSISTS 38]])</f>
        <v>0</v>
      </c>
    </row>
    <row r="274" spans="1:81">
      <c r="A274" s="291" t="s">
        <v>1333</v>
      </c>
      <c r="B274" s="291" t="s">
        <v>29</v>
      </c>
      <c r="C274" s="289"/>
      <c r="D274" s="286"/>
      <c r="E274" s="288"/>
      <c r="F274" s="286"/>
      <c r="G274" s="288"/>
      <c r="H274" s="286"/>
      <c r="I274" s="288"/>
      <c r="J274" s="286"/>
      <c r="K274" s="288"/>
      <c r="L274" s="286"/>
      <c r="M274" s="288"/>
      <c r="N274" s="286"/>
      <c r="O274" s="288"/>
      <c r="P274" s="286"/>
      <c r="Q274" s="288"/>
      <c r="R274" s="286"/>
      <c r="S274" s="288"/>
      <c r="T274" s="286"/>
      <c r="U274" s="288"/>
      <c r="V274" s="286"/>
      <c r="W274" s="288"/>
      <c r="X274" s="286"/>
      <c r="Y274" s="288"/>
      <c r="Z274" s="286"/>
      <c r="AA274" s="288"/>
      <c r="AB274" s="286"/>
      <c r="AC274" s="288"/>
      <c r="AD274" s="286"/>
      <c r="AE274" s="288"/>
      <c r="AF274" s="286"/>
      <c r="AG274" s="288"/>
      <c r="AH274" s="286"/>
      <c r="AI274" s="288"/>
      <c r="AJ274" s="286"/>
      <c r="AK274" s="286"/>
      <c r="AL274" s="286"/>
      <c r="AM274" s="286"/>
      <c r="AN274" s="286"/>
      <c r="AO274" s="286"/>
      <c r="AP274" s="286"/>
      <c r="AQ274" s="286"/>
      <c r="AR274" s="286"/>
      <c r="AS274" s="286"/>
      <c r="AT274" s="286"/>
      <c r="AU274" s="286"/>
      <c r="AV274" s="284"/>
      <c r="AW274" s="284"/>
      <c r="AX274" s="284"/>
      <c r="AY274" s="284"/>
      <c r="AZ274" s="284"/>
      <c r="BA274" s="284"/>
      <c r="BB274" s="284"/>
      <c r="BC274" s="284"/>
      <c r="BD274" s="284"/>
      <c r="BE274" s="284"/>
      <c r="BF274" s="284"/>
      <c r="BG274" s="284"/>
      <c r="BH274" s="284"/>
      <c r="BI274" s="284"/>
      <c r="BJ274" s="284"/>
      <c r="BK274" s="284"/>
      <c r="BL274" s="284"/>
      <c r="BM274" s="284"/>
      <c r="BN274" s="284"/>
      <c r="BO274" s="284"/>
      <c r="BP274" s="284"/>
      <c r="BQ274" s="284"/>
      <c r="BR274" s="284"/>
      <c r="BS274" s="284"/>
      <c r="BT274" s="284"/>
      <c r="BU274" s="284"/>
      <c r="BV274" s="284"/>
      <c r="BW274" s="284"/>
      <c r="BX274" s="284"/>
      <c r="BY274" s="284"/>
      <c r="BZ274" s="285"/>
      <c r="CA274" s="298">
        <f>SUM(C274,E274,G274,I274,K274,M274,O274,Q274,S274,U274,W274,Y274,AA274,AC274,AE274,AG274,AI274,AK274,AM274,AO274,AQ274,AS274,AU274,AW274,AY274,BA274,BC274,BE274,BG274,BI274,BK274,BM274,BO274,BQ274,BS274,BU274,BW274,BY274)</f>
        <v>0</v>
      </c>
      <c r="CB274" s="298">
        <f>SUM(D274,F274,H274,J274,L274,N274,P274,R274,T274,V274,X274,Z274,AB274,AD274,AF274,AH274,AJ274,AL274,AN274,AP274,AR274,AT274,AV274,AX274,AZ274,BB274,BD274,BF274,BH274,BJ274,BL274,BN274,BP274,BR274,BT274,BV274,BX274,BZ274)</f>
        <v>0</v>
      </c>
      <c r="CC274" s="299">
        <f>SUM(Table13[[#This Row],[GOALS 1]:[ASSISTS 38]])</f>
        <v>0</v>
      </c>
    </row>
    <row r="275" spans="1:81">
      <c r="A275" s="291" t="s">
        <v>1862</v>
      </c>
      <c r="B275" s="291" t="s">
        <v>22</v>
      </c>
      <c r="C275" s="286"/>
      <c r="D275" s="286"/>
      <c r="E275" s="288"/>
      <c r="F275" s="286"/>
      <c r="G275" s="288"/>
      <c r="H275" s="286"/>
      <c r="I275" s="288"/>
      <c r="J275" s="286"/>
      <c r="K275" s="288"/>
      <c r="L275" s="286"/>
      <c r="M275" s="288"/>
      <c r="N275" s="286"/>
      <c r="O275" s="288"/>
      <c r="P275" s="286"/>
      <c r="Q275" s="288"/>
      <c r="R275" s="286"/>
      <c r="S275" s="288"/>
      <c r="T275" s="286"/>
      <c r="U275" s="288"/>
      <c r="V275" s="286"/>
      <c r="W275" s="288"/>
      <c r="X275" s="286"/>
      <c r="Y275" s="288"/>
      <c r="Z275" s="286"/>
      <c r="AA275" s="288"/>
      <c r="AB275" s="286"/>
      <c r="AC275" s="288"/>
      <c r="AD275" s="286"/>
      <c r="AE275" s="288"/>
      <c r="AF275" s="286"/>
      <c r="AG275" s="288"/>
      <c r="AH275" s="286"/>
      <c r="AI275" s="288"/>
      <c r="AJ275" s="286"/>
      <c r="AK275" s="286"/>
      <c r="AL275" s="286"/>
      <c r="AM275" s="286"/>
      <c r="AN275" s="286"/>
      <c r="AO275" s="286"/>
      <c r="AP275" s="286"/>
      <c r="AQ275" s="286"/>
      <c r="AR275" s="286"/>
      <c r="AS275" s="286"/>
      <c r="AT275" s="286"/>
      <c r="AU275" s="286"/>
      <c r="AV275" s="284"/>
      <c r="AW275" s="284"/>
      <c r="AX275" s="284"/>
      <c r="AY275" s="284"/>
      <c r="AZ275" s="284"/>
      <c r="BA275" s="284"/>
      <c r="BB275" s="284"/>
      <c r="BC275" s="284"/>
      <c r="BD275" s="284"/>
      <c r="BE275" s="284"/>
      <c r="BF275" s="284"/>
      <c r="BG275" s="284"/>
      <c r="BH275" s="284"/>
      <c r="BI275" s="284"/>
      <c r="BJ275" s="284"/>
      <c r="BK275" s="284"/>
      <c r="BL275" s="284"/>
      <c r="BM275" s="284"/>
      <c r="BN275" s="284"/>
      <c r="BO275" s="284"/>
      <c r="BP275" s="284"/>
      <c r="BQ275" s="284"/>
      <c r="BR275" s="284"/>
      <c r="BS275" s="284"/>
      <c r="BT275" s="284"/>
      <c r="BU275" s="284"/>
      <c r="BV275" s="284"/>
      <c r="BW275" s="284"/>
      <c r="BX275" s="284"/>
      <c r="BY275" s="284"/>
      <c r="BZ275" s="285"/>
      <c r="CA275" s="298">
        <f>SUM(C275,E275,G275,I275,K275,M275,O275,Q275,S275,U275,W275,Y275,AA275,AC275,AE275,AG275,AI275,AK275,AM275,AO275,AQ275,AS275,AU275,AW275,AY275,BA275,BC275,BE275,BG275,BI275,BK275,BM275,BO275,BQ275,BS275,BU275,BW275,BY275)</f>
        <v>0</v>
      </c>
      <c r="CB275" s="298">
        <f>SUM(D275,F275,H275,J275,L275,N275,P275,R275,T275,V275,X275,Z275,AB275,AD275,AF275,AH275,AJ275,AL275,AN275,AP275,AR275,AT275,AV275,AX275,AZ275,BB275,BD275,BF275,BH275,BJ275,BL275,BN275,BP275,BR275,BT275,BV275,BX275,BZ275)</f>
        <v>0</v>
      </c>
      <c r="CC275" s="299">
        <f>SUM(Table13[[#This Row],[GOALS 1]:[ASSISTS 38]])</f>
        <v>0</v>
      </c>
    </row>
    <row r="276" spans="1:81">
      <c r="A276" s="291" t="s">
        <v>1376</v>
      </c>
      <c r="B276" s="291" t="s">
        <v>51</v>
      </c>
      <c r="C276" s="286"/>
      <c r="D276" s="286"/>
      <c r="E276" s="288"/>
      <c r="F276" s="286"/>
      <c r="G276" s="288"/>
      <c r="H276" s="286"/>
      <c r="I276" s="288"/>
      <c r="J276" s="286"/>
      <c r="K276" s="288"/>
      <c r="L276" s="286"/>
      <c r="M276" s="288"/>
      <c r="N276" s="286"/>
      <c r="O276" s="288"/>
      <c r="P276" s="286"/>
      <c r="Q276" s="288"/>
      <c r="R276" s="286"/>
      <c r="S276" s="288"/>
      <c r="T276" s="286"/>
      <c r="U276" s="288"/>
      <c r="V276" s="286"/>
      <c r="W276" s="288"/>
      <c r="X276" s="286"/>
      <c r="Y276" s="288"/>
      <c r="Z276" s="286"/>
      <c r="AA276" s="288"/>
      <c r="AB276" s="286"/>
      <c r="AC276" s="288"/>
      <c r="AD276" s="286"/>
      <c r="AE276" s="288"/>
      <c r="AF276" s="286"/>
      <c r="AG276" s="288"/>
      <c r="AH276" s="286"/>
      <c r="AI276" s="288"/>
      <c r="AJ276" s="286"/>
      <c r="AK276" s="286"/>
      <c r="AL276" s="286"/>
      <c r="AM276" s="286"/>
      <c r="AN276" s="286"/>
      <c r="AO276" s="286"/>
      <c r="AP276" s="286"/>
      <c r="AQ276" s="286"/>
      <c r="AR276" s="286"/>
      <c r="AS276" s="286"/>
      <c r="AT276" s="286"/>
      <c r="AU276" s="286"/>
      <c r="AV276" s="284"/>
      <c r="AW276" s="284"/>
      <c r="AX276" s="284"/>
      <c r="AY276" s="284"/>
      <c r="AZ276" s="284"/>
      <c r="BA276" s="284"/>
      <c r="BB276" s="284"/>
      <c r="BC276" s="284"/>
      <c r="BD276" s="284"/>
      <c r="BE276" s="284"/>
      <c r="BF276" s="284"/>
      <c r="BG276" s="284"/>
      <c r="BH276" s="284"/>
      <c r="BI276" s="284"/>
      <c r="BJ276" s="284"/>
      <c r="BK276" s="284"/>
      <c r="BL276" s="284"/>
      <c r="BM276" s="284"/>
      <c r="BN276" s="284"/>
      <c r="BO276" s="284"/>
      <c r="BP276" s="284"/>
      <c r="BQ276" s="284"/>
      <c r="BR276" s="284"/>
      <c r="BS276" s="284"/>
      <c r="BT276" s="284"/>
      <c r="BU276" s="284"/>
      <c r="BV276" s="284"/>
      <c r="BW276" s="284"/>
      <c r="BX276" s="284"/>
      <c r="BY276" s="284"/>
      <c r="BZ276" s="285"/>
      <c r="CA276" s="298">
        <f>SUM(C276,E276,G276,I276,K276,M276,O276,Q276,S276,U276,W276,Y276,AA276,AC276,AE276,AG276,AI276,AK276,AM276,AO276,AQ276,AS276,AU276,AW276,AY276,BA276,BC276,BE276,BG276,BI276,BK276,BM276,BO276,BQ276,BS276,BU276,BW276,BY276)</f>
        <v>0</v>
      </c>
      <c r="CB276" s="298">
        <f>SUM(D276,F276,H276,J276,L276,N276,P276,R276,T276,V276,X276,Z276,AB276,AD276,AF276,AH276,AJ276,AL276,AN276,AP276,AR276,AT276,AV276,AX276,AZ276,BB276,BD276,BF276,BH276,BJ276,BL276,BN276,BP276,BR276,BT276,BV276,BX276,BZ276)</f>
        <v>0</v>
      </c>
      <c r="CC276" s="299">
        <f>SUM(Table13[[#This Row],[GOALS 1]:[ASSISTS 38]])</f>
        <v>0</v>
      </c>
    </row>
    <row r="277" spans="1:81">
      <c r="A277" s="291" t="s">
        <v>1645</v>
      </c>
      <c r="B277" s="291" t="s">
        <v>28</v>
      </c>
      <c r="C277" s="286"/>
      <c r="D277" s="286"/>
      <c r="E277" s="288"/>
      <c r="F277" s="286"/>
      <c r="G277" s="288"/>
      <c r="H277" s="286"/>
      <c r="I277" s="288"/>
      <c r="J277" s="286"/>
      <c r="K277" s="288"/>
      <c r="L277" s="286"/>
      <c r="M277" s="288"/>
      <c r="N277" s="286"/>
      <c r="O277" s="288"/>
      <c r="P277" s="286"/>
      <c r="Q277" s="288"/>
      <c r="R277" s="286"/>
      <c r="S277" s="288"/>
      <c r="T277" s="286"/>
      <c r="U277" s="288"/>
      <c r="V277" s="286"/>
      <c r="W277" s="288"/>
      <c r="X277" s="286"/>
      <c r="Y277" s="288"/>
      <c r="Z277" s="286"/>
      <c r="AA277" s="288"/>
      <c r="AB277" s="286"/>
      <c r="AC277" s="288"/>
      <c r="AD277" s="286"/>
      <c r="AE277" s="288"/>
      <c r="AF277" s="286"/>
      <c r="AG277" s="288"/>
      <c r="AH277" s="286"/>
      <c r="AI277" s="288"/>
      <c r="AJ277" s="286"/>
      <c r="AK277" s="286"/>
      <c r="AL277" s="286"/>
      <c r="AM277" s="286"/>
      <c r="AN277" s="286"/>
      <c r="AO277" s="286"/>
      <c r="AP277" s="286"/>
      <c r="AQ277" s="286"/>
      <c r="AR277" s="286"/>
      <c r="AS277" s="286"/>
      <c r="AT277" s="286"/>
      <c r="AU277" s="286"/>
      <c r="AV277" s="284"/>
      <c r="AW277" s="284"/>
      <c r="AX277" s="284"/>
      <c r="AY277" s="284"/>
      <c r="AZ277" s="284"/>
      <c r="BA277" s="284"/>
      <c r="BB277" s="284"/>
      <c r="BC277" s="284"/>
      <c r="BD277" s="284"/>
      <c r="BE277" s="284"/>
      <c r="BF277" s="284"/>
      <c r="BG277" s="284"/>
      <c r="BH277" s="284"/>
      <c r="BI277" s="284"/>
      <c r="BJ277" s="284"/>
      <c r="BK277" s="284"/>
      <c r="BL277" s="284"/>
      <c r="BM277" s="284"/>
      <c r="BN277" s="284"/>
      <c r="BO277" s="284"/>
      <c r="BP277" s="284"/>
      <c r="BQ277" s="284"/>
      <c r="BR277" s="284"/>
      <c r="BS277" s="284"/>
      <c r="BT277" s="284"/>
      <c r="BU277" s="284"/>
      <c r="BV277" s="284"/>
      <c r="BW277" s="284"/>
      <c r="BX277" s="284"/>
      <c r="BY277" s="284"/>
      <c r="BZ277" s="285"/>
      <c r="CA277" s="298">
        <f>SUM(C277,E277,G277,I277,K277,M277,O277,Q277,S277,U277,W277,Y277,AA277,AC277,AE277,AG277,AI277,AK277,AM277,AO277,AQ277,AS277,AU277,AW277,AY277,BA277,BC277,BE277,BG277,BI277,BK277,BM277,BO277,BQ277,BS277,BU277,BW277,BY277)</f>
        <v>0</v>
      </c>
      <c r="CB277" s="298">
        <f>SUM(D277,F277,H277,J277,L277,N277,P277,R277,T277,V277,X277,Z277,AB277,AD277,AF277,AH277,AJ277,AL277,AN277,AP277,AR277,AT277,AV277,AX277,AZ277,BB277,BD277,BF277,BH277,BJ277,BL277,BN277,BP277,BR277,BT277,BV277,BX277,BZ277)</f>
        <v>0</v>
      </c>
      <c r="CC277" s="299">
        <f>SUM(Table13[[#This Row],[GOALS 1]:[ASSISTS 38]])</f>
        <v>0</v>
      </c>
    </row>
    <row r="278" spans="1:81">
      <c r="A278" s="291" t="s">
        <v>1609</v>
      </c>
      <c r="B278" s="291" t="s">
        <v>634</v>
      </c>
      <c r="C278" s="288"/>
      <c r="D278" s="286"/>
      <c r="E278" s="288"/>
      <c r="F278" s="286"/>
      <c r="G278" s="288"/>
      <c r="H278" s="286"/>
      <c r="I278" s="288"/>
      <c r="J278" s="286"/>
      <c r="K278" s="288"/>
      <c r="L278" s="286"/>
      <c r="M278" s="288"/>
      <c r="N278" s="286"/>
      <c r="O278" s="288"/>
      <c r="P278" s="286"/>
      <c r="Q278" s="288"/>
      <c r="R278" s="286"/>
      <c r="S278" s="288"/>
      <c r="T278" s="286"/>
      <c r="U278" s="288"/>
      <c r="V278" s="286"/>
      <c r="W278" s="288"/>
      <c r="X278" s="286"/>
      <c r="Y278" s="288"/>
      <c r="Z278" s="286"/>
      <c r="AA278" s="288"/>
      <c r="AB278" s="286"/>
      <c r="AC278" s="288"/>
      <c r="AD278" s="286"/>
      <c r="AE278" s="288"/>
      <c r="AF278" s="286"/>
      <c r="AG278" s="288"/>
      <c r="AH278" s="286"/>
      <c r="AI278" s="288"/>
      <c r="AJ278" s="286"/>
      <c r="AK278" s="286"/>
      <c r="AL278" s="286"/>
      <c r="AM278" s="286"/>
      <c r="AN278" s="286"/>
      <c r="AO278" s="286"/>
      <c r="AP278" s="286"/>
      <c r="AQ278" s="286"/>
      <c r="AR278" s="286"/>
      <c r="AS278" s="286"/>
      <c r="AT278" s="286"/>
      <c r="AU278" s="286"/>
      <c r="AV278" s="284"/>
      <c r="AW278" s="284"/>
      <c r="AX278" s="284"/>
      <c r="AY278" s="284"/>
      <c r="AZ278" s="284"/>
      <c r="BA278" s="284"/>
      <c r="BB278" s="284"/>
      <c r="BC278" s="284"/>
      <c r="BD278" s="284"/>
      <c r="BE278" s="284"/>
      <c r="BF278" s="284"/>
      <c r="BG278" s="284"/>
      <c r="BH278" s="284"/>
      <c r="BI278" s="284"/>
      <c r="BJ278" s="284"/>
      <c r="BK278" s="284"/>
      <c r="BL278" s="284"/>
      <c r="BM278" s="284"/>
      <c r="BN278" s="284"/>
      <c r="BO278" s="284"/>
      <c r="BP278" s="284"/>
      <c r="BQ278" s="284"/>
      <c r="BR278" s="284"/>
      <c r="BS278" s="284"/>
      <c r="BT278" s="284"/>
      <c r="BU278" s="284"/>
      <c r="BV278" s="284"/>
      <c r="BW278" s="284"/>
      <c r="BX278" s="284"/>
      <c r="BY278" s="284"/>
      <c r="BZ278" s="285"/>
      <c r="CA278" s="298">
        <f>SUM(C278,E278,G278,I278,K278,M278,O278,Q278,S278,U278,W278,Y278,AA278,AC278,AE278,AG278,AI278,AK278,AM278,AO278,AQ278,AS278,AU278,AW278,AY278,BA278,BC278,BE278,BG278,BI278,BK278,BM278,BO278,BQ278,BS278,BU278,BW278,BY278)</f>
        <v>0</v>
      </c>
      <c r="CB278" s="298">
        <f>SUM(D278,F278,H278,J278,L278,N278,P278,R278,T278,V278,X278,Z278,AB278,AD278,AF278,AH278,AJ278,AL278,AN278,AP278,AR278,AT278,AV278,AX278,AZ278,BB278,BD278,BF278,BH278,BJ278,BL278,BN278,BP278,BR278,BT278,BV278,BX278,BZ278)</f>
        <v>0</v>
      </c>
      <c r="CC278" s="299">
        <f>SUM(Table13[[#This Row],[GOALS 1]:[ASSISTS 38]])</f>
        <v>0</v>
      </c>
    </row>
    <row r="279" spans="1:81">
      <c r="A279" s="291" t="s">
        <v>1587</v>
      </c>
      <c r="B279" s="291" t="s">
        <v>52</v>
      </c>
      <c r="C279" s="289"/>
      <c r="D279" s="286"/>
      <c r="E279" s="288"/>
      <c r="F279" s="286"/>
      <c r="G279" s="288"/>
      <c r="H279" s="286"/>
      <c r="I279" s="288"/>
      <c r="J279" s="286"/>
      <c r="K279" s="288"/>
      <c r="L279" s="286"/>
      <c r="M279" s="288"/>
      <c r="N279" s="286"/>
      <c r="O279" s="288"/>
      <c r="P279" s="286"/>
      <c r="Q279" s="288"/>
      <c r="R279" s="286"/>
      <c r="S279" s="288"/>
      <c r="T279" s="286"/>
      <c r="U279" s="288"/>
      <c r="V279" s="286"/>
      <c r="W279" s="288"/>
      <c r="X279" s="286"/>
      <c r="Y279" s="288"/>
      <c r="Z279" s="286"/>
      <c r="AA279" s="288"/>
      <c r="AB279" s="286"/>
      <c r="AC279" s="288"/>
      <c r="AD279" s="286"/>
      <c r="AE279" s="288"/>
      <c r="AF279" s="286"/>
      <c r="AG279" s="288"/>
      <c r="AH279" s="286"/>
      <c r="AI279" s="288"/>
      <c r="AJ279" s="286"/>
      <c r="AK279" s="286"/>
      <c r="AL279" s="286"/>
      <c r="AM279" s="286"/>
      <c r="AN279" s="286"/>
      <c r="AO279" s="286"/>
      <c r="AP279" s="286"/>
      <c r="AQ279" s="286"/>
      <c r="AR279" s="286"/>
      <c r="AS279" s="286"/>
      <c r="AT279" s="286"/>
      <c r="AU279" s="286"/>
      <c r="AV279" s="284"/>
      <c r="AW279" s="284"/>
      <c r="AX279" s="284"/>
      <c r="AY279" s="284"/>
      <c r="AZ279" s="284"/>
      <c r="BA279" s="284"/>
      <c r="BB279" s="284"/>
      <c r="BC279" s="284"/>
      <c r="BD279" s="284"/>
      <c r="BE279" s="284"/>
      <c r="BF279" s="284"/>
      <c r="BG279" s="284"/>
      <c r="BH279" s="284"/>
      <c r="BI279" s="284"/>
      <c r="BJ279" s="284"/>
      <c r="BK279" s="284"/>
      <c r="BL279" s="284"/>
      <c r="BM279" s="284"/>
      <c r="BN279" s="284"/>
      <c r="BO279" s="284"/>
      <c r="BP279" s="284"/>
      <c r="BQ279" s="284"/>
      <c r="BR279" s="284"/>
      <c r="BS279" s="284"/>
      <c r="BT279" s="284"/>
      <c r="BU279" s="284"/>
      <c r="BV279" s="284"/>
      <c r="BW279" s="284"/>
      <c r="BX279" s="284"/>
      <c r="BY279" s="284"/>
      <c r="BZ279" s="285"/>
      <c r="CA279" s="298">
        <f>SUM(C279,E279,G279,I279,K279,M279,O279,Q279,S279,U279,W279,Y279,AA279,AC279,AE279,AG279,AI279,AK279,AM279,AO279,AQ279,AS279,AU279,AW279,AY279,BA279,BC279,BE279,BG279,BI279,BK279,BM279,BO279,BQ279,BS279,BU279,BW279,BY279)</f>
        <v>0</v>
      </c>
      <c r="CB279" s="298">
        <f>SUM(D279,F279,H279,J279,L279,N279,P279,R279,T279,V279,X279,Z279,AB279,AD279,AF279,AH279,AJ279,AL279,AN279,AP279,AR279,AT279,AV279,AX279,AZ279,BB279,BD279,BF279,BH279,BJ279,BL279,BN279,BP279,BR279,BT279,BV279,BX279,BZ279)</f>
        <v>0</v>
      </c>
      <c r="CC279" s="299">
        <f>SUM(Table13[[#This Row],[GOALS 1]:[ASSISTS 38]])</f>
        <v>0</v>
      </c>
    </row>
    <row r="280" spans="1:81">
      <c r="A280" s="291" t="s">
        <v>1397</v>
      </c>
      <c r="B280" s="291" t="s">
        <v>17</v>
      </c>
      <c r="C280" s="289"/>
      <c r="D280" s="286"/>
      <c r="E280" s="288"/>
      <c r="F280" s="286"/>
      <c r="G280" s="288"/>
      <c r="H280" s="286"/>
      <c r="I280" s="288"/>
      <c r="J280" s="286"/>
      <c r="K280" s="288"/>
      <c r="L280" s="286"/>
      <c r="M280" s="288"/>
      <c r="N280" s="286"/>
      <c r="O280" s="288"/>
      <c r="P280" s="286"/>
      <c r="Q280" s="288"/>
      <c r="R280" s="286"/>
      <c r="S280" s="288"/>
      <c r="T280" s="286"/>
      <c r="U280" s="288"/>
      <c r="V280" s="286"/>
      <c r="W280" s="288"/>
      <c r="X280" s="286"/>
      <c r="Y280" s="288"/>
      <c r="Z280" s="286"/>
      <c r="AA280" s="288"/>
      <c r="AB280" s="286"/>
      <c r="AC280" s="288"/>
      <c r="AD280" s="286"/>
      <c r="AE280" s="288"/>
      <c r="AF280" s="286"/>
      <c r="AG280" s="288"/>
      <c r="AH280" s="286"/>
      <c r="AI280" s="288"/>
      <c r="AJ280" s="286"/>
      <c r="AK280" s="286"/>
      <c r="AL280" s="286"/>
      <c r="AM280" s="286"/>
      <c r="AN280" s="286"/>
      <c r="AO280" s="286"/>
      <c r="AP280" s="286"/>
      <c r="AQ280" s="286"/>
      <c r="AR280" s="286"/>
      <c r="AS280" s="286"/>
      <c r="AT280" s="286"/>
      <c r="AU280" s="286"/>
      <c r="AV280" s="284"/>
      <c r="AW280" s="284"/>
      <c r="AX280" s="284"/>
      <c r="AY280" s="284"/>
      <c r="AZ280" s="284"/>
      <c r="BA280" s="284"/>
      <c r="BB280" s="284"/>
      <c r="BC280" s="284"/>
      <c r="BD280" s="284"/>
      <c r="BE280" s="284"/>
      <c r="BF280" s="284"/>
      <c r="BG280" s="284"/>
      <c r="BH280" s="284"/>
      <c r="BI280" s="284"/>
      <c r="BJ280" s="284"/>
      <c r="BK280" s="284"/>
      <c r="BL280" s="284"/>
      <c r="BM280" s="284"/>
      <c r="BN280" s="284"/>
      <c r="BO280" s="284"/>
      <c r="BP280" s="284"/>
      <c r="BQ280" s="284"/>
      <c r="BR280" s="284"/>
      <c r="BS280" s="284"/>
      <c r="BT280" s="284"/>
      <c r="BU280" s="284"/>
      <c r="BV280" s="284"/>
      <c r="BW280" s="284"/>
      <c r="BX280" s="284"/>
      <c r="BY280" s="284"/>
      <c r="BZ280" s="285"/>
      <c r="CA280" s="298">
        <f>SUM(C280,E280,G280,I280,K280,M280,O280,Q280,S280,U280,W280,Y280,AA280,AC280,AE280,AG280,AI280,AK280,AM280,AO280,AQ280,AS280,AU280,AW280,AY280,BA280,BC280,BE280,BG280,BI280,BK280,BM280,BO280,BQ280,BS280,BU280,BW280,BY280)</f>
        <v>0</v>
      </c>
      <c r="CB280" s="298">
        <f>SUM(D280,F280,H280,J280,L280,N280,P280,R280,T280,V280,X280,Z280,AB280,AD280,AF280,AH280,AJ280,AL280,AN280,AP280,AR280,AT280,AV280,AX280,AZ280,BB280,BD280,BF280,BH280,BJ280,BL280,BN280,BP280,BR280,BT280,BV280,BX280,BZ280)</f>
        <v>0</v>
      </c>
      <c r="CC280" s="299">
        <f>SUM(Table13[[#This Row],[GOALS 1]:[ASSISTS 38]])</f>
        <v>0</v>
      </c>
    </row>
    <row r="281" spans="1:81">
      <c r="A281" s="291" t="s">
        <v>1451</v>
      </c>
      <c r="B281" s="291" t="s">
        <v>24</v>
      </c>
      <c r="C281" s="286"/>
      <c r="D281" s="286"/>
      <c r="E281" s="288"/>
      <c r="F281" s="286"/>
      <c r="G281" s="288"/>
      <c r="H281" s="286"/>
      <c r="I281" s="288"/>
      <c r="J281" s="286"/>
      <c r="K281" s="288"/>
      <c r="L281" s="286"/>
      <c r="M281" s="288"/>
      <c r="N281" s="286"/>
      <c r="O281" s="288"/>
      <c r="P281" s="286"/>
      <c r="Q281" s="288"/>
      <c r="R281" s="286"/>
      <c r="S281" s="288"/>
      <c r="T281" s="286"/>
      <c r="U281" s="288"/>
      <c r="V281" s="286"/>
      <c r="W281" s="288"/>
      <c r="X281" s="286"/>
      <c r="Y281" s="288"/>
      <c r="Z281" s="286"/>
      <c r="AA281" s="288"/>
      <c r="AB281" s="286"/>
      <c r="AC281" s="288"/>
      <c r="AD281" s="286"/>
      <c r="AE281" s="288"/>
      <c r="AF281" s="286"/>
      <c r="AG281" s="288"/>
      <c r="AH281" s="286"/>
      <c r="AI281" s="288"/>
      <c r="AJ281" s="286"/>
      <c r="AK281" s="286"/>
      <c r="AL281" s="286"/>
      <c r="AM281" s="286"/>
      <c r="AN281" s="286"/>
      <c r="AO281" s="286"/>
      <c r="AP281" s="286"/>
      <c r="AQ281" s="286"/>
      <c r="AR281" s="286"/>
      <c r="AS281" s="286"/>
      <c r="AT281" s="286"/>
      <c r="AU281" s="286"/>
      <c r="AV281" s="284"/>
      <c r="AW281" s="284"/>
      <c r="AX281" s="284"/>
      <c r="AY281" s="284"/>
      <c r="AZ281" s="284"/>
      <c r="BA281" s="284"/>
      <c r="BB281" s="284"/>
      <c r="BC281" s="284"/>
      <c r="BD281" s="284"/>
      <c r="BE281" s="284"/>
      <c r="BF281" s="284"/>
      <c r="BG281" s="284"/>
      <c r="BH281" s="284"/>
      <c r="BI281" s="284"/>
      <c r="BJ281" s="284"/>
      <c r="BK281" s="284"/>
      <c r="BL281" s="284"/>
      <c r="BM281" s="284"/>
      <c r="BN281" s="284"/>
      <c r="BO281" s="284"/>
      <c r="BP281" s="284"/>
      <c r="BQ281" s="284"/>
      <c r="BR281" s="284"/>
      <c r="BS281" s="284"/>
      <c r="BT281" s="284"/>
      <c r="BU281" s="284"/>
      <c r="BV281" s="284"/>
      <c r="BW281" s="284"/>
      <c r="BX281" s="284"/>
      <c r="BY281" s="284"/>
      <c r="BZ281" s="285"/>
      <c r="CA281" s="298">
        <f>SUM(C281,E281,G281,I281,K281,M281,O281,Q281,S281,U281,W281,Y281,AA281,AC281,AE281,AG281,AI281,AK281,AM281,AO281,AQ281,AS281,AU281,AW281,AY281,BA281,BC281,BE281,BG281,BI281,BK281,BM281,BO281,BQ281,BS281,BU281,BW281,BY281)</f>
        <v>0</v>
      </c>
      <c r="CB281" s="298">
        <f>SUM(D281,F281,H281,J281,L281,N281,P281,R281,T281,V281,X281,Z281,AB281,AD281,AF281,AH281,AJ281,AL281,AN281,AP281,AR281,AT281,AV281,AX281,AZ281,BB281,BD281,BF281,BH281,BJ281,BL281,BN281,BP281,BR281,BT281,BV281,BX281,BZ281)</f>
        <v>0</v>
      </c>
      <c r="CC281" s="299">
        <f>SUM(Table13[[#This Row],[GOALS 1]:[ASSISTS 38]])</f>
        <v>0</v>
      </c>
    </row>
    <row r="282" spans="1:81">
      <c r="A282" s="291" t="s">
        <v>1769</v>
      </c>
      <c r="B282" s="291" t="s">
        <v>51</v>
      </c>
      <c r="C282" s="286"/>
      <c r="D282" s="286"/>
      <c r="E282" s="288"/>
      <c r="F282" s="286"/>
      <c r="G282" s="288"/>
      <c r="H282" s="286"/>
      <c r="I282" s="288"/>
      <c r="J282" s="286"/>
      <c r="K282" s="288"/>
      <c r="L282" s="286"/>
      <c r="M282" s="288"/>
      <c r="N282" s="286"/>
      <c r="O282" s="288"/>
      <c r="P282" s="286"/>
      <c r="Q282" s="288"/>
      <c r="R282" s="286"/>
      <c r="S282" s="288"/>
      <c r="T282" s="286"/>
      <c r="U282" s="288"/>
      <c r="V282" s="286"/>
      <c r="W282" s="288"/>
      <c r="X282" s="286"/>
      <c r="Y282" s="288"/>
      <c r="Z282" s="286"/>
      <c r="AA282" s="288"/>
      <c r="AB282" s="286"/>
      <c r="AC282" s="288"/>
      <c r="AD282" s="286"/>
      <c r="AE282" s="288"/>
      <c r="AF282" s="286"/>
      <c r="AG282" s="288"/>
      <c r="AH282" s="286"/>
      <c r="AI282" s="288"/>
      <c r="AJ282" s="286"/>
      <c r="AK282" s="286"/>
      <c r="AL282" s="286"/>
      <c r="AM282" s="286"/>
      <c r="AN282" s="286"/>
      <c r="AO282" s="286"/>
      <c r="AP282" s="286"/>
      <c r="AQ282" s="286"/>
      <c r="AR282" s="286"/>
      <c r="AS282" s="286"/>
      <c r="AT282" s="286"/>
      <c r="AU282" s="286"/>
      <c r="AV282" s="284"/>
      <c r="AW282" s="284"/>
      <c r="AX282" s="284"/>
      <c r="AY282" s="284"/>
      <c r="AZ282" s="284"/>
      <c r="BA282" s="284"/>
      <c r="BB282" s="284"/>
      <c r="BC282" s="284"/>
      <c r="BD282" s="284"/>
      <c r="BE282" s="284"/>
      <c r="BF282" s="284"/>
      <c r="BG282" s="284"/>
      <c r="BH282" s="284"/>
      <c r="BI282" s="284"/>
      <c r="BJ282" s="284"/>
      <c r="BK282" s="284"/>
      <c r="BL282" s="284"/>
      <c r="BM282" s="284"/>
      <c r="BN282" s="284"/>
      <c r="BO282" s="284"/>
      <c r="BP282" s="284"/>
      <c r="BQ282" s="284"/>
      <c r="BR282" s="284"/>
      <c r="BS282" s="284"/>
      <c r="BT282" s="284"/>
      <c r="BU282" s="284"/>
      <c r="BV282" s="284"/>
      <c r="BW282" s="284"/>
      <c r="BX282" s="284"/>
      <c r="BY282" s="284"/>
      <c r="BZ282" s="285"/>
      <c r="CA282" s="298">
        <f>SUM(C282,E282,G282,I282,K282,M282,O282,Q282,S282,U282,W282,Y282,AA282,AC282,AE282,AG282,AI282,AK282,AM282,AO282,AQ282,AS282,AU282,AW282,AY282,BA282,BC282,BE282,BG282,BI282,BK282,BM282,BO282,BQ282,BS282,BU282,BW282,BY282)</f>
        <v>0</v>
      </c>
      <c r="CB282" s="298">
        <f>SUM(D282,F282,H282,J282,L282,N282,P282,R282,T282,V282,X282,Z282,AB282,AD282,AF282,AH282,AJ282,AL282,AN282,AP282,AR282,AT282,AV282,AX282,AZ282,BB282,BD282,BF282,BH282,BJ282,BL282,BN282,BP282,BR282,BT282,BV282,BX282,BZ282)</f>
        <v>0</v>
      </c>
      <c r="CC282" s="299">
        <f>SUM(Table13[[#This Row],[GOALS 1]:[ASSISTS 38]])</f>
        <v>0</v>
      </c>
    </row>
    <row r="283" spans="1:81">
      <c r="A283" s="291" t="s">
        <v>1576</v>
      </c>
      <c r="B283" s="291" t="s">
        <v>633</v>
      </c>
      <c r="C283" s="289"/>
      <c r="D283" s="286"/>
      <c r="E283" s="288"/>
      <c r="F283" s="286"/>
      <c r="G283" s="288"/>
      <c r="H283" s="286"/>
      <c r="I283" s="288"/>
      <c r="J283" s="286"/>
      <c r="K283" s="288"/>
      <c r="L283" s="286"/>
      <c r="M283" s="288"/>
      <c r="N283" s="286"/>
      <c r="O283" s="288"/>
      <c r="P283" s="286"/>
      <c r="Q283" s="288"/>
      <c r="R283" s="286"/>
      <c r="S283" s="288"/>
      <c r="T283" s="286"/>
      <c r="U283" s="288"/>
      <c r="V283" s="286"/>
      <c r="W283" s="288"/>
      <c r="X283" s="286"/>
      <c r="Y283" s="288"/>
      <c r="Z283" s="286"/>
      <c r="AA283" s="288"/>
      <c r="AB283" s="286"/>
      <c r="AC283" s="288"/>
      <c r="AD283" s="286"/>
      <c r="AE283" s="288"/>
      <c r="AF283" s="286"/>
      <c r="AG283" s="288"/>
      <c r="AH283" s="286"/>
      <c r="AI283" s="288"/>
      <c r="AJ283" s="286"/>
      <c r="AK283" s="286"/>
      <c r="AL283" s="286"/>
      <c r="AM283" s="286"/>
      <c r="AN283" s="286"/>
      <c r="AO283" s="286"/>
      <c r="AP283" s="286"/>
      <c r="AQ283" s="286"/>
      <c r="AR283" s="286"/>
      <c r="AS283" s="286"/>
      <c r="AT283" s="286"/>
      <c r="AU283" s="286"/>
      <c r="AV283" s="284"/>
      <c r="AW283" s="284"/>
      <c r="AX283" s="284"/>
      <c r="AY283" s="284"/>
      <c r="AZ283" s="284"/>
      <c r="BA283" s="284"/>
      <c r="BB283" s="284"/>
      <c r="BC283" s="284"/>
      <c r="BD283" s="284"/>
      <c r="BE283" s="284"/>
      <c r="BF283" s="284"/>
      <c r="BG283" s="284"/>
      <c r="BH283" s="284"/>
      <c r="BI283" s="284"/>
      <c r="BJ283" s="284"/>
      <c r="BK283" s="284"/>
      <c r="BL283" s="284"/>
      <c r="BM283" s="284"/>
      <c r="BN283" s="284"/>
      <c r="BO283" s="284"/>
      <c r="BP283" s="284"/>
      <c r="BQ283" s="284"/>
      <c r="BR283" s="284"/>
      <c r="BS283" s="284"/>
      <c r="BT283" s="284"/>
      <c r="BU283" s="284"/>
      <c r="BV283" s="284"/>
      <c r="BW283" s="284"/>
      <c r="BX283" s="284"/>
      <c r="BY283" s="284"/>
      <c r="BZ283" s="285"/>
      <c r="CA283" s="298">
        <f>SUM(C283,E283,G283,I283,K283,M283,O283,Q283,S283,U283,W283,Y283,AA283,AC283,AE283,AG283,AI283,AK283,AM283,AO283,AQ283,AS283,AU283,AW283,AY283,BA283,BC283,BE283,BG283,BI283,BK283,BM283,BO283,BQ283,BS283,BU283,BW283,BY283)</f>
        <v>0</v>
      </c>
      <c r="CB283" s="298">
        <f>SUM(D283,F283,H283,J283,L283,N283,P283,R283,T283,V283,X283,Z283,AB283,AD283,AF283,AH283,AJ283,AL283,AN283,AP283,AR283,AT283,AV283,AX283,AZ283,BB283,BD283,BF283,BH283,BJ283,BL283,BN283,BP283,BR283,BT283,BV283,BX283,BZ283)</f>
        <v>0</v>
      </c>
      <c r="CC283" s="299">
        <f>SUM(Table13[[#This Row],[GOALS 1]:[ASSISTS 38]])</f>
        <v>0</v>
      </c>
    </row>
    <row r="284" spans="1:81">
      <c r="A284" s="291" t="s">
        <v>1338</v>
      </c>
      <c r="B284" s="291" t="s">
        <v>29</v>
      </c>
      <c r="C284" s="289"/>
      <c r="D284" s="286"/>
      <c r="E284" s="288"/>
      <c r="F284" s="286"/>
      <c r="G284" s="288"/>
      <c r="H284" s="286"/>
      <c r="I284" s="288"/>
      <c r="J284" s="286"/>
      <c r="K284" s="288"/>
      <c r="L284" s="286"/>
      <c r="M284" s="288"/>
      <c r="N284" s="286"/>
      <c r="O284" s="288"/>
      <c r="P284" s="286"/>
      <c r="Q284" s="288"/>
      <c r="R284" s="286"/>
      <c r="S284" s="288"/>
      <c r="T284" s="286"/>
      <c r="U284" s="288"/>
      <c r="V284" s="286"/>
      <c r="W284" s="288"/>
      <c r="X284" s="286"/>
      <c r="Y284" s="288"/>
      <c r="Z284" s="286"/>
      <c r="AA284" s="288"/>
      <c r="AB284" s="286"/>
      <c r="AC284" s="288"/>
      <c r="AD284" s="286"/>
      <c r="AE284" s="288"/>
      <c r="AF284" s="286"/>
      <c r="AG284" s="288"/>
      <c r="AH284" s="286"/>
      <c r="AI284" s="288"/>
      <c r="AJ284" s="286"/>
      <c r="AK284" s="286"/>
      <c r="AL284" s="286"/>
      <c r="AM284" s="286"/>
      <c r="AN284" s="286"/>
      <c r="AO284" s="286"/>
      <c r="AP284" s="286"/>
      <c r="AQ284" s="286"/>
      <c r="AR284" s="286"/>
      <c r="AS284" s="286"/>
      <c r="AT284" s="286"/>
      <c r="AU284" s="286"/>
      <c r="AV284" s="284"/>
      <c r="AW284" s="284"/>
      <c r="AX284" s="284"/>
      <c r="AY284" s="284"/>
      <c r="AZ284" s="284"/>
      <c r="BA284" s="284"/>
      <c r="BB284" s="284"/>
      <c r="BC284" s="284"/>
      <c r="BD284" s="284"/>
      <c r="BE284" s="284"/>
      <c r="BF284" s="284"/>
      <c r="BG284" s="284"/>
      <c r="BH284" s="284"/>
      <c r="BI284" s="284"/>
      <c r="BJ284" s="284"/>
      <c r="BK284" s="284"/>
      <c r="BL284" s="284"/>
      <c r="BM284" s="284"/>
      <c r="BN284" s="284"/>
      <c r="BO284" s="284"/>
      <c r="BP284" s="284"/>
      <c r="BQ284" s="284"/>
      <c r="BR284" s="284"/>
      <c r="BS284" s="284"/>
      <c r="BT284" s="284"/>
      <c r="BU284" s="284"/>
      <c r="BV284" s="284"/>
      <c r="BW284" s="284"/>
      <c r="BX284" s="284"/>
      <c r="BY284" s="284"/>
      <c r="BZ284" s="285"/>
      <c r="CA284" s="298">
        <f>SUM(C284,E284,G284,I284,K284,M284,O284,Q284,S284,U284,W284,Y284,AA284,AC284,AE284,AG284,AI284,AK284,AM284,AO284,AQ284,AS284,AU284,AW284,AY284,BA284,BC284,BE284,BG284,BI284,BK284,BM284,BO284,BQ284,BS284,BU284,BW284,BY284)</f>
        <v>0</v>
      </c>
      <c r="CB284" s="298">
        <f>SUM(D284,F284,H284,J284,L284,N284,P284,R284,T284,V284,X284,Z284,AB284,AD284,AF284,AH284,AJ284,AL284,AN284,AP284,AR284,AT284,AV284,AX284,AZ284,BB284,BD284,BF284,BH284,BJ284,BL284,BN284,BP284,BR284,BT284,BV284,BX284,BZ284)</f>
        <v>0</v>
      </c>
      <c r="CC284" s="299">
        <f>SUM(Table13[[#This Row],[GOALS 1]:[ASSISTS 38]])</f>
        <v>0</v>
      </c>
    </row>
    <row r="285" spans="1:81">
      <c r="A285" s="291" t="s">
        <v>1644</v>
      </c>
      <c r="B285" s="291" t="s">
        <v>633</v>
      </c>
      <c r="C285" s="289"/>
      <c r="D285" s="286"/>
      <c r="E285" s="288"/>
      <c r="F285" s="286"/>
      <c r="G285" s="288"/>
      <c r="H285" s="286"/>
      <c r="I285" s="288"/>
      <c r="J285" s="286"/>
      <c r="K285" s="288"/>
      <c r="L285" s="286"/>
      <c r="M285" s="288"/>
      <c r="N285" s="286"/>
      <c r="O285" s="288"/>
      <c r="P285" s="286"/>
      <c r="Q285" s="288"/>
      <c r="R285" s="286"/>
      <c r="S285" s="288"/>
      <c r="T285" s="286"/>
      <c r="U285" s="288"/>
      <c r="V285" s="286"/>
      <c r="W285" s="288"/>
      <c r="X285" s="286"/>
      <c r="Y285" s="288"/>
      <c r="Z285" s="286"/>
      <c r="AA285" s="288"/>
      <c r="AB285" s="286"/>
      <c r="AC285" s="288"/>
      <c r="AD285" s="286"/>
      <c r="AE285" s="288"/>
      <c r="AF285" s="286"/>
      <c r="AG285" s="288"/>
      <c r="AH285" s="286"/>
      <c r="AI285" s="288"/>
      <c r="AJ285" s="286"/>
      <c r="AK285" s="286"/>
      <c r="AL285" s="286"/>
      <c r="AM285" s="286"/>
      <c r="AN285" s="286"/>
      <c r="AO285" s="286"/>
      <c r="AP285" s="286"/>
      <c r="AQ285" s="286"/>
      <c r="AR285" s="286"/>
      <c r="AS285" s="286"/>
      <c r="AT285" s="286"/>
      <c r="AU285" s="286"/>
      <c r="AV285" s="284"/>
      <c r="AW285" s="284"/>
      <c r="AX285" s="284"/>
      <c r="AY285" s="284"/>
      <c r="AZ285" s="284"/>
      <c r="BA285" s="284"/>
      <c r="BB285" s="284"/>
      <c r="BC285" s="284"/>
      <c r="BD285" s="284"/>
      <c r="BE285" s="284"/>
      <c r="BF285" s="284"/>
      <c r="BG285" s="284"/>
      <c r="BH285" s="284"/>
      <c r="BI285" s="284"/>
      <c r="BJ285" s="284"/>
      <c r="BK285" s="284"/>
      <c r="BL285" s="284"/>
      <c r="BM285" s="284"/>
      <c r="BN285" s="284"/>
      <c r="BO285" s="284"/>
      <c r="BP285" s="284"/>
      <c r="BQ285" s="284"/>
      <c r="BR285" s="284"/>
      <c r="BS285" s="284"/>
      <c r="BT285" s="284"/>
      <c r="BU285" s="284"/>
      <c r="BV285" s="284"/>
      <c r="BW285" s="284"/>
      <c r="BX285" s="284"/>
      <c r="BY285" s="284"/>
      <c r="BZ285" s="285"/>
      <c r="CA285" s="298">
        <f>SUM(C285,E285,G285,I285,K285,M285,O285,Q285,S285,U285,W285,Y285,AA285,AC285,AE285,AG285,AI285,AK285,AM285,AO285,AQ285,AS285,AU285,AW285,AY285,BA285,BC285,BE285,BG285,BI285,BK285,BM285,BO285,BQ285,BS285,BU285,BW285,BY285)</f>
        <v>0</v>
      </c>
      <c r="CB285" s="298">
        <f>SUM(D285,F285,H285,J285,L285,N285,P285,R285,T285,V285,X285,Z285,AB285,AD285,AF285,AH285,AJ285,AL285,AN285,AP285,AR285,AT285,AV285,AX285,AZ285,BB285,BD285,BF285,BH285,BJ285,BL285,BN285,BP285,BR285,BT285,BV285,BX285,BZ285)</f>
        <v>0</v>
      </c>
      <c r="CC285" s="299">
        <f>SUM(Table13[[#This Row],[GOALS 1]:[ASSISTS 38]])</f>
        <v>0</v>
      </c>
    </row>
    <row r="286" spans="1:81">
      <c r="A286" s="291" t="s">
        <v>1781</v>
      </c>
      <c r="B286" s="291" t="s">
        <v>24</v>
      </c>
      <c r="C286" s="286"/>
      <c r="D286" s="286"/>
      <c r="E286" s="288"/>
      <c r="F286" s="286"/>
      <c r="G286" s="288"/>
      <c r="H286" s="286"/>
      <c r="I286" s="288"/>
      <c r="J286" s="286"/>
      <c r="K286" s="288"/>
      <c r="L286" s="286"/>
      <c r="M286" s="288"/>
      <c r="N286" s="286"/>
      <c r="O286" s="288"/>
      <c r="P286" s="286"/>
      <c r="Q286" s="288"/>
      <c r="R286" s="286"/>
      <c r="S286" s="288"/>
      <c r="T286" s="286"/>
      <c r="U286" s="288"/>
      <c r="V286" s="286"/>
      <c r="W286" s="288"/>
      <c r="X286" s="286"/>
      <c r="Y286" s="288"/>
      <c r="Z286" s="286"/>
      <c r="AA286" s="288"/>
      <c r="AB286" s="286"/>
      <c r="AC286" s="288"/>
      <c r="AD286" s="286"/>
      <c r="AE286" s="288"/>
      <c r="AF286" s="286"/>
      <c r="AG286" s="288"/>
      <c r="AH286" s="286"/>
      <c r="AI286" s="288"/>
      <c r="AJ286" s="286"/>
      <c r="AK286" s="286"/>
      <c r="AL286" s="286"/>
      <c r="AM286" s="286"/>
      <c r="AN286" s="286"/>
      <c r="AO286" s="286"/>
      <c r="AP286" s="286"/>
      <c r="AQ286" s="286"/>
      <c r="AR286" s="286"/>
      <c r="AS286" s="286"/>
      <c r="AT286" s="286"/>
      <c r="AU286" s="286"/>
      <c r="AV286" s="284"/>
      <c r="AW286" s="284"/>
      <c r="AX286" s="284"/>
      <c r="AY286" s="284"/>
      <c r="AZ286" s="284"/>
      <c r="BA286" s="284"/>
      <c r="BB286" s="284"/>
      <c r="BC286" s="284"/>
      <c r="BD286" s="284"/>
      <c r="BE286" s="284"/>
      <c r="BF286" s="284"/>
      <c r="BG286" s="284"/>
      <c r="BH286" s="284"/>
      <c r="BI286" s="284"/>
      <c r="BJ286" s="284"/>
      <c r="BK286" s="284"/>
      <c r="BL286" s="284"/>
      <c r="BM286" s="284"/>
      <c r="BN286" s="284"/>
      <c r="BO286" s="284"/>
      <c r="BP286" s="284"/>
      <c r="BQ286" s="284"/>
      <c r="BR286" s="284"/>
      <c r="BS286" s="284"/>
      <c r="BT286" s="284"/>
      <c r="BU286" s="284"/>
      <c r="BV286" s="284"/>
      <c r="BW286" s="284"/>
      <c r="BX286" s="284"/>
      <c r="BY286" s="284"/>
      <c r="BZ286" s="285"/>
      <c r="CA286" s="298">
        <f>SUM(C286,E286,G286,I286,K286,M286,O286,Q286,S286,U286,W286,Y286,AA286,AC286,AE286,AG286,AI286,AK286,AM286,AO286,AQ286,AS286,AU286,AW286,AY286,BA286,BC286,BE286,BG286,BI286,BK286,BM286,BO286,BQ286,BS286,BU286,BW286,BY286)</f>
        <v>0</v>
      </c>
      <c r="CB286" s="298">
        <f>SUM(D286,F286,H286,J286,L286,N286,P286,R286,T286,V286,X286,Z286,AB286,AD286,AF286,AH286,AJ286,AL286,AN286,AP286,AR286,AT286,AV286,AX286,AZ286,BB286,BD286,BF286,BH286,BJ286,BL286,BN286,BP286,BR286,BT286,BV286,BX286,BZ286)</f>
        <v>0</v>
      </c>
      <c r="CC286" s="299">
        <f>SUM(Table13[[#This Row],[GOALS 1]:[ASSISTS 38]])</f>
        <v>0</v>
      </c>
    </row>
    <row r="287" spans="1:81">
      <c r="A287" s="291" t="s">
        <v>1674</v>
      </c>
      <c r="B287" s="291" t="s">
        <v>20</v>
      </c>
      <c r="C287" s="289"/>
      <c r="D287" s="286"/>
      <c r="E287" s="288"/>
      <c r="F287" s="286"/>
      <c r="G287" s="288"/>
      <c r="H287" s="286"/>
      <c r="I287" s="288"/>
      <c r="J287" s="286"/>
      <c r="K287" s="288"/>
      <c r="L287" s="286"/>
      <c r="M287" s="288"/>
      <c r="N287" s="286"/>
      <c r="O287" s="288"/>
      <c r="P287" s="286"/>
      <c r="Q287" s="288"/>
      <c r="R287" s="286"/>
      <c r="S287" s="288"/>
      <c r="T287" s="286"/>
      <c r="U287" s="288"/>
      <c r="V287" s="286"/>
      <c r="W287" s="288"/>
      <c r="X287" s="286"/>
      <c r="Y287" s="288"/>
      <c r="Z287" s="286"/>
      <c r="AA287" s="288"/>
      <c r="AB287" s="286"/>
      <c r="AC287" s="288"/>
      <c r="AD287" s="286"/>
      <c r="AE287" s="288"/>
      <c r="AF287" s="286"/>
      <c r="AG287" s="288"/>
      <c r="AH287" s="286"/>
      <c r="AI287" s="288"/>
      <c r="AJ287" s="286"/>
      <c r="AK287" s="286"/>
      <c r="AL287" s="286"/>
      <c r="AM287" s="286"/>
      <c r="AN287" s="286"/>
      <c r="AO287" s="286"/>
      <c r="AP287" s="286"/>
      <c r="AQ287" s="286"/>
      <c r="AR287" s="286"/>
      <c r="AS287" s="286"/>
      <c r="AT287" s="286"/>
      <c r="AU287" s="286"/>
      <c r="AV287" s="284"/>
      <c r="AW287" s="284"/>
      <c r="AX287" s="284"/>
      <c r="AY287" s="284"/>
      <c r="AZ287" s="284"/>
      <c r="BA287" s="284"/>
      <c r="BB287" s="284"/>
      <c r="BC287" s="284"/>
      <c r="BD287" s="284"/>
      <c r="BE287" s="284"/>
      <c r="BF287" s="284"/>
      <c r="BG287" s="284"/>
      <c r="BH287" s="284"/>
      <c r="BI287" s="284"/>
      <c r="BJ287" s="284"/>
      <c r="BK287" s="284"/>
      <c r="BL287" s="284"/>
      <c r="BM287" s="284"/>
      <c r="BN287" s="284"/>
      <c r="BO287" s="284"/>
      <c r="BP287" s="284"/>
      <c r="BQ287" s="284"/>
      <c r="BR287" s="284"/>
      <c r="BS287" s="284"/>
      <c r="BT287" s="284"/>
      <c r="BU287" s="284"/>
      <c r="BV287" s="284"/>
      <c r="BW287" s="284"/>
      <c r="BX287" s="284"/>
      <c r="BY287" s="284"/>
      <c r="BZ287" s="285"/>
      <c r="CA287" s="298">
        <f>SUM(C287,E287,G287,I287,K287,M287,O287,Q287,S287,U287,W287,Y287,AA287,AC287,AE287,AG287,AI287,AK287,AM287,AO287,AQ287,AS287,AU287,AW287,AY287,BA287,BC287,BE287,BG287,BI287,BK287,BM287,BO287,BQ287,BS287,BU287,BW287,BY287)</f>
        <v>0</v>
      </c>
      <c r="CB287" s="298">
        <f>SUM(D287,F287,H287,J287,L287,N287,P287,R287,T287,V287,X287,Z287,AB287,AD287,AF287,AH287,AJ287,AL287,AN287,AP287,AR287,AT287,AV287,AX287,AZ287,BB287,BD287,BF287,BH287,BJ287,BL287,BN287,BP287,BR287,BT287,BV287,BX287,BZ287)</f>
        <v>0</v>
      </c>
      <c r="CC287" s="299">
        <f>SUM(Table13[[#This Row],[GOALS 1]:[ASSISTS 38]])</f>
        <v>0</v>
      </c>
    </row>
    <row r="288" spans="1:81">
      <c r="A288" s="291" t="s">
        <v>1744</v>
      </c>
      <c r="B288" s="291" t="s">
        <v>23</v>
      </c>
      <c r="C288" s="289"/>
      <c r="D288" s="286"/>
      <c r="E288" s="288"/>
      <c r="F288" s="286"/>
      <c r="G288" s="288"/>
      <c r="H288" s="286"/>
      <c r="I288" s="288"/>
      <c r="J288" s="286"/>
      <c r="K288" s="288"/>
      <c r="L288" s="286"/>
      <c r="M288" s="288"/>
      <c r="N288" s="286"/>
      <c r="O288" s="288"/>
      <c r="P288" s="286"/>
      <c r="Q288" s="288"/>
      <c r="R288" s="286"/>
      <c r="S288" s="288"/>
      <c r="T288" s="286"/>
      <c r="U288" s="288"/>
      <c r="V288" s="286"/>
      <c r="W288" s="288"/>
      <c r="X288" s="286"/>
      <c r="Y288" s="288"/>
      <c r="Z288" s="286"/>
      <c r="AA288" s="288"/>
      <c r="AB288" s="286"/>
      <c r="AC288" s="288"/>
      <c r="AD288" s="286"/>
      <c r="AE288" s="288"/>
      <c r="AF288" s="286"/>
      <c r="AG288" s="288"/>
      <c r="AH288" s="286"/>
      <c r="AI288" s="288"/>
      <c r="AJ288" s="286"/>
      <c r="AK288" s="286"/>
      <c r="AL288" s="286"/>
      <c r="AM288" s="286"/>
      <c r="AN288" s="286"/>
      <c r="AO288" s="286"/>
      <c r="AP288" s="286"/>
      <c r="AQ288" s="286"/>
      <c r="AR288" s="286"/>
      <c r="AS288" s="286"/>
      <c r="AT288" s="286"/>
      <c r="AU288" s="286"/>
      <c r="AV288" s="284"/>
      <c r="AW288" s="284"/>
      <c r="AX288" s="284"/>
      <c r="AY288" s="284"/>
      <c r="AZ288" s="284"/>
      <c r="BA288" s="284"/>
      <c r="BB288" s="284"/>
      <c r="BC288" s="284"/>
      <c r="BD288" s="284"/>
      <c r="BE288" s="284"/>
      <c r="BF288" s="284"/>
      <c r="BG288" s="284"/>
      <c r="BH288" s="284"/>
      <c r="BI288" s="284"/>
      <c r="BJ288" s="284"/>
      <c r="BK288" s="284"/>
      <c r="BL288" s="284"/>
      <c r="BM288" s="284"/>
      <c r="BN288" s="284"/>
      <c r="BO288" s="284"/>
      <c r="BP288" s="284"/>
      <c r="BQ288" s="284"/>
      <c r="BR288" s="284"/>
      <c r="BS288" s="284"/>
      <c r="BT288" s="284"/>
      <c r="BU288" s="284"/>
      <c r="BV288" s="284"/>
      <c r="BW288" s="284"/>
      <c r="BX288" s="284"/>
      <c r="BY288" s="284"/>
      <c r="BZ288" s="285"/>
      <c r="CA288" s="298">
        <f>SUM(C288,E288,G288,I288,K288,M288,O288,Q288,S288,U288,W288,Y288,AA288,AC288,AE288,AG288,AI288,AK288,AM288,AO288,AQ288,AS288,AU288,AW288,AY288,BA288,BC288,BE288,BG288,BI288,BK288,BM288,BO288,BQ288,BS288,BU288,BW288,BY288)</f>
        <v>0</v>
      </c>
      <c r="CB288" s="298">
        <f>SUM(D288,F288,H288,J288,L288,N288,P288,R288,T288,V288,X288,Z288,AB288,AD288,AF288,AH288,AJ288,AL288,AN288,AP288,AR288,AT288,AV288,AX288,AZ288,BB288,BD288,BF288,BH288,BJ288,BL288,BN288,BP288,BR288,BT288,BV288,BX288,BZ288)</f>
        <v>0</v>
      </c>
      <c r="CC288" s="299">
        <f>SUM(Table13[[#This Row],[GOALS 1]:[ASSISTS 38]])</f>
        <v>0</v>
      </c>
    </row>
    <row r="289" spans="1:81">
      <c r="A289" s="291" t="s">
        <v>1866</v>
      </c>
      <c r="B289" s="291" t="s">
        <v>633</v>
      </c>
      <c r="C289" s="289"/>
      <c r="D289" s="286"/>
      <c r="E289" s="288"/>
      <c r="F289" s="286"/>
      <c r="G289" s="288"/>
      <c r="H289" s="286"/>
      <c r="I289" s="288"/>
      <c r="J289" s="286"/>
      <c r="K289" s="288"/>
      <c r="L289" s="286"/>
      <c r="M289" s="288"/>
      <c r="N289" s="286"/>
      <c r="O289" s="288"/>
      <c r="P289" s="286"/>
      <c r="Q289" s="288"/>
      <c r="R289" s="286"/>
      <c r="S289" s="288"/>
      <c r="T289" s="286"/>
      <c r="U289" s="288"/>
      <c r="V289" s="286"/>
      <c r="W289" s="288"/>
      <c r="X289" s="286"/>
      <c r="Y289" s="288"/>
      <c r="Z289" s="286"/>
      <c r="AA289" s="288"/>
      <c r="AB289" s="286"/>
      <c r="AC289" s="288"/>
      <c r="AD289" s="286"/>
      <c r="AE289" s="288"/>
      <c r="AF289" s="286"/>
      <c r="AG289" s="288"/>
      <c r="AH289" s="286"/>
      <c r="AI289" s="288"/>
      <c r="AJ289" s="286"/>
      <c r="AK289" s="286"/>
      <c r="AL289" s="286"/>
      <c r="AM289" s="286"/>
      <c r="AN289" s="286"/>
      <c r="AO289" s="286"/>
      <c r="AP289" s="286"/>
      <c r="AQ289" s="286"/>
      <c r="AR289" s="286"/>
      <c r="AS289" s="286"/>
      <c r="AT289" s="286"/>
      <c r="AU289" s="286"/>
      <c r="AV289" s="284"/>
      <c r="AW289" s="284"/>
      <c r="AX289" s="284"/>
      <c r="AY289" s="284"/>
      <c r="AZ289" s="284"/>
      <c r="BA289" s="284"/>
      <c r="BB289" s="284"/>
      <c r="BC289" s="284"/>
      <c r="BD289" s="284"/>
      <c r="BE289" s="284"/>
      <c r="BF289" s="284"/>
      <c r="BG289" s="284"/>
      <c r="BH289" s="284"/>
      <c r="BI289" s="284"/>
      <c r="BJ289" s="284"/>
      <c r="BK289" s="284"/>
      <c r="BL289" s="284"/>
      <c r="BM289" s="284"/>
      <c r="BN289" s="284"/>
      <c r="BO289" s="284"/>
      <c r="BP289" s="284"/>
      <c r="BQ289" s="284"/>
      <c r="BR289" s="284"/>
      <c r="BS289" s="284"/>
      <c r="BT289" s="284"/>
      <c r="BU289" s="284"/>
      <c r="BV289" s="284"/>
      <c r="BW289" s="284"/>
      <c r="BX289" s="284"/>
      <c r="BY289" s="284"/>
      <c r="BZ289" s="285"/>
      <c r="CA289" s="298">
        <f>SUM(C289,E289,G289,I289,K289,M289,O289,Q289,S289,U289,W289,Y289,AA289,AC289,AE289,AG289,AI289,AK289,AM289,AO289,AQ289,AS289,AU289,AW289,AY289,BA289,BC289,BE289,BG289,BI289,BK289,BM289,BO289,BQ289,BS289,BU289,BW289,BY289)</f>
        <v>0</v>
      </c>
      <c r="CB289" s="298">
        <f>SUM(D289,F289,H289,J289,L289,N289,P289,R289,T289,V289,X289,Z289,AB289,AD289,AF289,AH289,AJ289,AL289,AN289,AP289,AR289,AT289,AV289,AX289,AZ289,BB289,BD289,BF289,BH289,BJ289,BL289,BN289,BP289,BR289,BT289,BV289,BX289,BZ289)</f>
        <v>0</v>
      </c>
      <c r="CC289" s="299">
        <f>SUM(Table13[[#This Row],[GOALS 1]:[ASSISTS 38]])</f>
        <v>0</v>
      </c>
    </row>
    <row r="290" spans="1:81">
      <c r="A290" s="291" t="s">
        <v>1661</v>
      </c>
      <c r="B290" s="291" t="s">
        <v>21</v>
      </c>
      <c r="C290" s="289"/>
      <c r="D290" s="286"/>
      <c r="E290" s="288"/>
      <c r="F290" s="286"/>
      <c r="G290" s="288"/>
      <c r="H290" s="286"/>
      <c r="I290" s="288"/>
      <c r="J290" s="286"/>
      <c r="K290" s="288"/>
      <c r="L290" s="286"/>
      <c r="M290" s="288"/>
      <c r="N290" s="286"/>
      <c r="O290" s="288"/>
      <c r="P290" s="286"/>
      <c r="Q290" s="288"/>
      <c r="R290" s="286"/>
      <c r="S290" s="288"/>
      <c r="T290" s="286"/>
      <c r="U290" s="288"/>
      <c r="V290" s="286"/>
      <c r="W290" s="288"/>
      <c r="X290" s="286"/>
      <c r="Y290" s="288"/>
      <c r="Z290" s="286"/>
      <c r="AA290" s="288"/>
      <c r="AB290" s="286"/>
      <c r="AC290" s="288"/>
      <c r="AD290" s="286"/>
      <c r="AE290" s="288"/>
      <c r="AF290" s="286"/>
      <c r="AG290" s="288"/>
      <c r="AH290" s="286"/>
      <c r="AI290" s="288"/>
      <c r="AJ290" s="286"/>
      <c r="AK290" s="286"/>
      <c r="AL290" s="286"/>
      <c r="AM290" s="286"/>
      <c r="AN290" s="286"/>
      <c r="AO290" s="286"/>
      <c r="AP290" s="286"/>
      <c r="AQ290" s="286"/>
      <c r="AR290" s="286"/>
      <c r="AS290" s="286"/>
      <c r="AT290" s="286"/>
      <c r="AU290" s="286"/>
      <c r="AV290" s="284"/>
      <c r="AW290" s="284"/>
      <c r="AX290" s="284"/>
      <c r="AY290" s="284"/>
      <c r="AZ290" s="284"/>
      <c r="BA290" s="284"/>
      <c r="BB290" s="284"/>
      <c r="BC290" s="284"/>
      <c r="BD290" s="284"/>
      <c r="BE290" s="284"/>
      <c r="BF290" s="284"/>
      <c r="BG290" s="284"/>
      <c r="BH290" s="284"/>
      <c r="BI290" s="284"/>
      <c r="BJ290" s="284"/>
      <c r="BK290" s="284"/>
      <c r="BL290" s="284"/>
      <c r="BM290" s="284"/>
      <c r="BN290" s="284"/>
      <c r="BO290" s="284"/>
      <c r="BP290" s="284"/>
      <c r="BQ290" s="284"/>
      <c r="BR290" s="284"/>
      <c r="BS290" s="284"/>
      <c r="BT290" s="284"/>
      <c r="BU290" s="284"/>
      <c r="BV290" s="284"/>
      <c r="BW290" s="284"/>
      <c r="BX290" s="284"/>
      <c r="BY290" s="284"/>
      <c r="BZ290" s="285"/>
      <c r="CA290" s="298">
        <f>SUM(C290,E290,G290,I290,K290,M290,O290,Q290,S290,U290,W290,Y290,AA290,AC290,AE290,AG290,AI290,AK290,AM290,AO290,AQ290,AS290,AU290,AW290,AY290,BA290,BC290,BE290,BG290,BI290,BK290,BM290,BO290,BQ290,BS290,BU290,BW290,BY290)</f>
        <v>0</v>
      </c>
      <c r="CB290" s="298">
        <f>SUM(D290,F290,H290,J290,L290,N290,P290,R290,T290,V290,X290,Z290,AB290,AD290,AF290,AH290,AJ290,AL290,AN290,AP290,AR290,AT290,AV290,AX290,AZ290,BB290,BD290,BF290,BH290,BJ290,BL290,BN290,BP290,BR290,BT290,BV290,BX290,BZ290)</f>
        <v>0</v>
      </c>
      <c r="CC290" s="299">
        <f>SUM(Table13[[#This Row],[GOALS 1]:[ASSISTS 38]])</f>
        <v>0</v>
      </c>
    </row>
    <row r="291" spans="1:81">
      <c r="A291" s="291" t="s">
        <v>1436</v>
      </c>
      <c r="B291" s="291" t="s">
        <v>633</v>
      </c>
      <c r="C291" s="289"/>
      <c r="D291" s="286"/>
      <c r="E291" s="288"/>
      <c r="F291" s="286"/>
      <c r="G291" s="288"/>
      <c r="H291" s="286"/>
      <c r="I291" s="288"/>
      <c r="J291" s="286"/>
      <c r="K291" s="288"/>
      <c r="L291" s="286"/>
      <c r="M291" s="288"/>
      <c r="N291" s="286"/>
      <c r="O291" s="288"/>
      <c r="P291" s="286"/>
      <c r="Q291" s="288"/>
      <c r="R291" s="286"/>
      <c r="S291" s="288"/>
      <c r="T291" s="286"/>
      <c r="U291" s="288"/>
      <c r="V291" s="286"/>
      <c r="W291" s="288"/>
      <c r="X291" s="286"/>
      <c r="Y291" s="288"/>
      <c r="Z291" s="286"/>
      <c r="AA291" s="288"/>
      <c r="AB291" s="286"/>
      <c r="AC291" s="288"/>
      <c r="AD291" s="286"/>
      <c r="AE291" s="288"/>
      <c r="AF291" s="286"/>
      <c r="AG291" s="288"/>
      <c r="AH291" s="286"/>
      <c r="AI291" s="288"/>
      <c r="AJ291" s="286"/>
      <c r="AK291" s="286"/>
      <c r="AL291" s="286"/>
      <c r="AM291" s="286"/>
      <c r="AN291" s="286"/>
      <c r="AO291" s="286"/>
      <c r="AP291" s="286"/>
      <c r="AQ291" s="286"/>
      <c r="AR291" s="286"/>
      <c r="AS291" s="286"/>
      <c r="AT291" s="286"/>
      <c r="AU291" s="286"/>
      <c r="AV291" s="284"/>
      <c r="AW291" s="284"/>
      <c r="AX291" s="284"/>
      <c r="AY291" s="284"/>
      <c r="AZ291" s="284"/>
      <c r="BA291" s="284"/>
      <c r="BB291" s="284"/>
      <c r="BC291" s="284"/>
      <c r="BD291" s="284"/>
      <c r="BE291" s="284"/>
      <c r="BF291" s="284"/>
      <c r="BG291" s="284"/>
      <c r="BH291" s="284"/>
      <c r="BI291" s="284"/>
      <c r="BJ291" s="284"/>
      <c r="BK291" s="284"/>
      <c r="BL291" s="284"/>
      <c r="BM291" s="284"/>
      <c r="BN291" s="284"/>
      <c r="BO291" s="284"/>
      <c r="BP291" s="284"/>
      <c r="BQ291" s="284"/>
      <c r="BR291" s="284"/>
      <c r="BS291" s="284"/>
      <c r="BT291" s="284"/>
      <c r="BU291" s="284"/>
      <c r="BV291" s="284"/>
      <c r="BW291" s="284"/>
      <c r="BX291" s="284"/>
      <c r="BY291" s="284"/>
      <c r="BZ291" s="285"/>
      <c r="CA291" s="298">
        <f>SUM(C291,E291,G291,I291,K291,M291,O291,Q291,S291,U291,W291,Y291,AA291,AC291,AE291,AG291,AI291,AK291,AM291,AO291,AQ291,AS291,AU291,AW291,AY291,BA291,BC291,BE291,BG291,BI291,BK291,BM291,BO291,BQ291,BS291,BU291,BW291,BY291)</f>
        <v>0</v>
      </c>
      <c r="CB291" s="298">
        <f>SUM(D291,F291,H291,J291,L291,N291,P291,R291,T291,V291,X291,Z291,AB291,AD291,AF291,AH291,AJ291,AL291,AN291,AP291,AR291,AT291,AV291,AX291,AZ291,BB291,BD291,BF291,BH291,BJ291,BL291,BN291,BP291,BR291,BT291,BV291,BX291,BZ291)</f>
        <v>0</v>
      </c>
      <c r="CC291" s="299">
        <f>SUM(Table13[[#This Row],[GOALS 1]:[ASSISTS 38]])</f>
        <v>0</v>
      </c>
    </row>
    <row r="292" spans="1:81">
      <c r="A292" s="291" t="s">
        <v>1444</v>
      </c>
      <c r="B292" s="291" t="s">
        <v>33</v>
      </c>
      <c r="C292" s="289"/>
      <c r="D292" s="286"/>
      <c r="E292" s="288"/>
      <c r="F292" s="286"/>
      <c r="G292" s="288"/>
      <c r="H292" s="286"/>
      <c r="I292" s="288"/>
      <c r="J292" s="286"/>
      <c r="K292" s="288"/>
      <c r="L292" s="286"/>
      <c r="M292" s="288"/>
      <c r="N292" s="286"/>
      <c r="O292" s="288"/>
      <c r="P292" s="286"/>
      <c r="Q292" s="288"/>
      <c r="R292" s="286"/>
      <c r="S292" s="288"/>
      <c r="T292" s="286"/>
      <c r="U292" s="288"/>
      <c r="V292" s="286"/>
      <c r="W292" s="288"/>
      <c r="X292" s="286"/>
      <c r="Y292" s="288"/>
      <c r="Z292" s="286"/>
      <c r="AA292" s="288"/>
      <c r="AB292" s="286"/>
      <c r="AC292" s="288"/>
      <c r="AD292" s="286"/>
      <c r="AE292" s="288"/>
      <c r="AF292" s="286"/>
      <c r="AG292" s="288"/>
      <c r="AH292" s="286"/>
      <c r="AI292" s="288"/>
      <c r="AJ292" s="286"/>
      <c r="AK292" s="286"/>
      <c r="AL292" s="286"/>
      <c r="AM292" s="286"/>
      <c r="AN292" s="286"/>
      <c r="AO292" s="286"/>
      <c r="AP292" s="286"/>
      <c r="AQ292" s="286"/>
      <c r="AR292" s="286"/>
      <c r="AS292" s="286"/>
      <c r="AT292" s="286"/>
      <c r="AU292" s="286"/>
      <c r="AV292" s="284"/>
      <c r="AW292" s="284"/>
      <c r="AX292" s="284"/>
      <c r="AY292" s="284"/>
      <c r="AZ292" s="284"/>
      <c r="BA292" s="284"/>
      <c r="BB292" s="284"/>
      <c r="BC292" s="284"/>
      <c r="BD292" s="284"/>
      <c r="BE292" s="284"/>
      <c r="BF292" s="284"/>
      <c r="BG292" s="284"/>
      <c r="BH292" s="284"/>
      <c r="BI292" s="284"/>
      <c r="BJ292" s="284"/>
      <c r="BK292" s="284"/>
      <c r="BL292" s="284"/>
      <c r="BM292" s="284"/>
      <c r="BN292" s="284"/>
      <c r="BO292" s="284"/>
      <c r="BP292" s="284"/>
      <c r="BQ292" s="284"/>
      <c r="BR292" s="284"/>
      <c r="BS292" s="284"/>
      <c r="BT292" s="284"/>
      <c r="BU292" s="284"/>
      <c r="BV292" s="284"/>
      <c r="BW292" s="284"/>
      <c r="BX292" s="284"/>
      <c r="BY292" s="284"/>
      <c r="BZ292" s="285"/>
      <c r="CA292" s="298">
        <f>SUM(C292,E292,G292,I292,K292,M292,O292,Q292,S292,U292,W292,Y292,AA292,AC292,AE292,AG292,AI292,AK292,AM292,AO292,AQ292,AS292,AU292,AW292,AY292,BA292,BC292,BE292,BG292,BI292,BK292,BM292,BO292,BQ292,BS292,BU292,BW292,BY292)</f>
        <v>0</v>
      </c>
      <c r="CB292" s="298">
        <f>SUM(D292,F292,H292,J292,L292,N292,P292,R292,T292,V292,X292,Z292,AB292,AD292,AF292,AH292,AJ292,AL292,AN292,AP292,AR292,AT292,AV292,AX292,AZ292,BB292,BD292,BF292,BH292,BJ292,BL292,BN292,BP292,BR292,BT292,BV292,BX292,BZ292)</f>
        <v>0</v>
      </c>
      <c r="CC292" s="299">
        <f>SUM(Table13[[#This Row],[GOALS 1]:[ASSISTS 38]])</f>
        <v>0</v>
      </c>
    </row>
    <row r="293" spans="1:81">
      <c r="A293" s="291" t="s">
        <v>1785</v>
      </c>
      <c r="B293" s="291" t="s">
        <v>30</v>
      </c>
      <c r="C293" s="286"/>
      <c r="D293" s="286"/>
      <c r="E293" s="288"/>
      <c r="F293" s="286"/>
      <c r="G293" s="288"/>
      <c r="H293" s="286"/>
      <c r="I293" s="288"/>
      <c r="J293" s="286"/>
      <c r="K293" s="288"/>
      <c r="L293" s="286"/>
      <c r="M293" s="288"/>
      <c r="N293" s="286"/>
      <c r="O293" s="288"/>
      <c r="P293" s="286"/>
      <c r="Q293" s="288"/>
      <c r="R293" s="286"/>
      <c r="S293" s="288"/>
      <c r="T293" s="286"/>
      <c r="U293" s="288"/>
      <c r="V293" s="286"/>
      <c r="W293" s="288"/>
      <c r="X293" s="286"/>
      <c r="Y293" s="288"/>
      <c r="Z293" s="286"/>
      <c r="AA293" s="288"/>
      <c r="AB293" s="286"/>
      <c r="AC293" s="288"/>
      <c r="AD293" s="286"/>
      <c r="AE293" s="288"/>
      <c r="AF293" s="286"/>
      <c r="AG293" s="288"/>
      <c r="AH293" s="286"/>
      <c r="AI293" s="288"/>
      <c r="AJ293" s="286"/>
      <c r="AK293" s="286"/>
      <c r="AL293" s="286"/>
      <c r="AM293" s="286"/>
      <c r="AN293" s="286"/>
      <c r="AO293" s="286"/>
      <c r="AP293" s="286"/>
      <c r="AQ293" s="286"/>
      <c r="AR293" s="286"/>
      <c r="AS293" s="286"/>
      <c r="AT293" s="286"/>
      <c r="AU293" s="286"/>
      <c r="AV293" s="284"/>
      <c r="AW293" s="284"/>
      <c r="AX293" s="284"/>
      <c r="AY293" s="284"/>
      <c r="AZ293" s="284"/>
      <c r="BA293" s="284"/>
      <c r="BB293" s="284"/>
      <c r="BC293" s="284"/>
      <c r="BD293" s="284"/>
      <c r="BE293" s="284"/>
      <c r="BF293" s="284"/>
      <c r="BG293" s="284"/>
      <c r="BH293" s="284"/>
      <c r="BI293" s="284"/>
      <c r="BJ293" s="284"/>
      <c r="BK293" s="284"/>
      <c r="BL293" s="284"/>
      <c r="BM293" s="284"/>
      <c r="BN293" s="284"/>
      <c r="BO293" s="284"/>
      <c r="BP293" s="284"/>
      <c r="BQ293" s="284"/>
      <c r="BR293" s="284"/>
      <c r="BS293" s="284"/>
      <c r="BT293" s="284"/>
      <c r="BU293" s="284"/>
      <c r="BV293" s="284"/>
      <c r="BW293" s="284"/>
      <c r="BX293" s="284"/>
      <c r="BY293" s="284"/>
      <c r="BZ293" s="285"/>
      <c r="CA293" s="298">
        <f>SUM(C293,E293,G293,I293,K293,M293,O293,Q293,S293,U293,W293,Y293,AA293,AC293,AE293,AG293,AI293,AK293,AM293,AO293,AQ293,AS293,AU293,AW293,AY293,BA293,BC293,BE293,BG293,BI293,BK293,BM293,BO293,BQ293,BS293,BU293,BW293,BY293)</f>
        <v>0</v>
      </c>
      <c r="CB293" s="298">
        <f>SUM(D293,F293,H293,J293,L293,N293,P293,R293,T293,V293,X293,Z293,AB293,AD293,AF293,AH293,AJ293,AL293,AN293,AP293,AR293,AT293,AV293,AX293,AZ293,BB293,BD293,BF293,BH293,BJ293,BL293,BN293,BP293,BR293,BT293,BV293,BX293,BZ293)</f>
        <v>0</v>
      </c>
      <c r="CC293" s="299">
        <f>SUM(Table13[[#This Row],[GOALS 1]:[ASSISTS 38]])</f>
        <v>0</v>
      </c>
    </row>
    <row r="294" spans="1:81">
      <c r="A294" s="291" t="s">
        <v>1784</v>
      </c>
      <c r="B294" s="291" t="s">
        <v>30</v>
      </c>
      <c r="C294" s="286"/>
      <c r="D294" s="286"/>
      <c r="E294" s="288"/>
      <c r="F294" s="286"/>
      <c r="G294" s="288"/>
      <c r="H294" s="286"/>
      <c r="I294" s="288"/>
      <c r="J294" s="286"/>
      <c r="K294" s="288"/>
      <c r="L294" s="286"/>
      <c r="M294" s="288"/>
      <c r="N294" s="286"/>
      <c r="O294" s="288"/>
      <c r="P294" s="286"/>
      <c r="Q294" s="288"/>
      <c r="R294" s="286"/>
      <c r="S294" s="288"/>
      <c r="T294" s="286"/>
      <c r="U294" s="288"/>
      <c r="V294" s="286"/>
      <c r="W294" s="288"/>
      <c r="X294" s="286"/>
      <c r="Y294" s="288"/>
      <c r="Z294" s="286"/>
      <c r="AA294" s="288"/>
      <c r="AB294" s="286"/>
      <c r="AC294" s="288"/>
      <c r="AD294" s="286"/>
      <c r="AE294" s="288"/>
      <c r="AF294" s="286"/>
      <c r="AG294" s="288"/>
      <c r="AH294" s="286"/>
      <c r="AI294" s="288"/>
      <c r="AJ294" s="286"/>
      <c r="AK294" s="286"/>
      <c r="AL294" s="286"/>
      <c r="AM294" s="286"/>
      <c r="AN294" s="286"/>
      <c r="AO294" s="286"/>
      <c r="AP294" s="286"/>
      <c r="AQ294" s="286"/>
      <c r="AR294" s="286"/>
      <c r="AS294" s="286"/>
      <c r="AT294" s="286"/>
      <c r="AU294" s="286"/>
      <c r="AV294" s="284"/>
      <c r="AW294" s="284"/>
      <c r="AX294" s="284"/>
      <c r="AY294" s="284"/>
      <c r="AZ294" s="284"/>
      <c r="BA294" s="284"/>
      <c r="BB294" s="284"/>
      <c r="BC294" s="284"/>
      <c r="BD294" s="284"/>
      <c r="BE294" s="284"/>
      <c r="BF294" s="284"/>
      <c r="BG294" s="284"/>
      <c r="BH294" s="284"/>
      <c r="BI294" s="284"/>
      <c r="BJ294" s="284"/>
      <c r="BK294" s="284"/>
      <c r="BL294" s="284"/>
      <c r="BM294" s="284"/>
      <c r="BN294" s="284"/>
      <c r="BO294" s="284"/>
      <c r="BP294" s="284"/>
      <c r="BQ294" s="284"/>
      <c r="BR294" s="284"/>
      <c r="BS294" s="284"/>
      <c r="BT294" s="284"/>
      <c r="BU294" s="284"/>
      <c r="BV294" s="284"/>
      <c r="BW294" s="284"/>
      <c r="BX294" s="284"/>
      <c r="BY294" s="284"/>
      <c r="BZ294" s="285"/>
      <c r="CA294" s="298">
        <f>SUM(C294,E294,G294,I294,K294,M294,O294,Q294,S294,U294,W294,Y294,AA294,AC294,AE294,AG294,AI294,AK294,AM294,AO294,AQ294,AS294,AU294,AW294,AY294,BA294,BC294,BE294,BG294,BI294,BK294,BM294,BO294,BQ294,BS294,BU294,BW294,BY294)</f>
        <v>0</v>
      </c>
      <c r="CB294" s="298">
        <f>SUM(D294,F294,H294,J294,L294,N294,P294,R294,T294,V294,X294,Z294,AB294,AD294,AF294,AH294,AJ294,AL294,AN294,AP294,AR294,AT294,AV294,AX294,AZ294,BB294,BD294,BF294,BH294,BJ294,BL294,BN294,BP294,BR294,BT294,BV294,BX294,BZ294)</f>
        <v>0</v>
      </c>
      <c r="CC294" s="299">
        <f>SUM(Table13[[#This Row],[GOALS 1]:[ASSISTS 38]])</f>
        <v>0</v>
      </c>
    </row>
    <row r="295" spans="1:81">
      <c r="A295" s="291" t="s">
        <v>1449</v>
      </c>
      <c r="B295" s="291" t="s">
        <v>22</v>
      </c>
      <c r="C295" s="286"/>
      <c r="D295" s="286"/>
      <c r="E295" s="288"/>
      <c r="F295" s="286"/>
      <c r="G295" s="288"/>
      <c r="H295" s="286"/>
      <c r="I295" s="288"/>
      <c r="J295" s="286"/>
      <c r="K295" s="288"/>
      <c r="L295" s="286"/>
      <c r="M295" s="288"/>
      <c r="N295" s="286"/>
      <c r="O295" s="288"/>
      <c r="P295" s="286"/>
      <c r="Q295" s="288"/>
      <c r="R295" s="286"/>
      <c r="S295" s="288"/>
      <c r="T295" s="286"/>
      <c r="U295" s="288"/>
      <c r="V295" s="286"/>
      <c r="W295" s="288"/>
      <c r="X295" s="286"/>
      <c r="Y295" s="288"/>
      <c r="Z295" s="286"/>
      <c r="AA295" s="288"/>
      <c r="AB295" s="286"/>
      <c r="AC295" s="288"/>
      <c r="AD295" s="286"/>
      <c r="AE295" s="288"/>
      <c r="AF295" s="286"/>
      <c r="AG295" s="288"/>
      <c r="AH295" s="286"/>
      <c r="AI295" s="288"/>
      <c r="AJ295" s="286"/>
      <c r="AK295" s="286"/>
      <c r="AL295" s="286"/>
      <c r="AM295" s="286"/>
      <c r="AN295" s="286"/>
      <c r="AO295" s="286"/>
      <c r="AP295" s="286"/>
      <c r="AQ295" s="286"/>
      <c r="AR295" s="286"/>
      <c r="AS295" s="286"/>
      <c r="AT295" s="286"/>
      <c r="AU295" s="286"/>
      <c r="AV295" s="284"/>
      <c r="AW295" s="284"/>
      <c r="AX295" s="284"/>
      <c r="AY295" s="284"/>
      <c r="AZ295" s="284"/>
      <c r="BA295" s="284"/>
      <c r="BB295" s="284"/>
      <c r="BC295" s="284"/>
      <c r="BD295" s="284"/>
      <c r="BE295" s="284"/>
      <c r="BF295" s="284"/>
      <c r="BG295" s="284"/>
      <c r="BH295" s="284"/>
      <c r="BI295" s="284"/>
      <c r="BJ295" s="284"/>
      <c r="BK295" s="284"/>
      <c r="BL295" s="284"/>
      <c r="BM295" s="284"/>
      <c r="BN295" s="284"/>
      <c r="BO295" s="284"/>
      <c r="BP295" s="284"/>
      <c r="BQ295" s="284"/>
      <c r="BR295" s="284"/>
      <c r="BS295" s="284"/>
      <c r="BT295" s="284"/>
      <c r="BU295" s="284"/>
      <c r="BV295" s="284"/>
      <c r="BW295" s="284"/>
      <c r="BX295" s="284"/>
      <c r="BY295" s="284"/>
      <c r="BZ295" s="285"/>
      <c r="CA295" s="298">
        <f>SUM(C295,E295,G295,I295,K295,M295,O295,Q295,S295,U295,W295,Y295,AA295,AC295,AE295,AG295,AI295,AK295,AM295,AO295,AQ295,AS295,AU295,AW295,AY295,BA295,BC295,BE295,BG295,BI295,BK295,BM295,BO295,BQ295,BS295,BU295,BW295,BY295)</f>
        <v>0</v>
      </c>
      <c r="CB295" s="298">
        <f>SUM(D295,F295,H295,J295,L295,N295,P295,R295,T295,V295,X295,Z295,AB295,AD295,AF295,AH295,AJ295,AL295,AN295,AP295,AR295,AT295,AV295,AX295,AZ295,BB295,BD295,BF295,BH295,BJ295,BL295,BN295,BP295,BR295,BT295,BV295,BX295,BZ295)</f>
        <v>0</v>
      </c>
      <c r="CC295" s="299">
        <f>SUM(Table13[[#This Row],[GOALS 1]:[ASSISTS 38]])</f>
        <v>0</v>
      </c>
    </row>
    <row r="296" spans="1:81">
      <c r="A296" s="291" t="s">
        <v>1323</v>
      </c>
      <c r="B296" s="291" t="s">
        <v>25</v>
      </c>
      <c r="C296" s="286"/>
      <c r="D296" s="286"/>
      <c r="E296" s="288"/>
      <c r="F296" s="286"/>
      <c r="G296" s="288"/>
      <c r="H296" s="286"/>
      <c r="I296" s="288"/>
      <c r="J296" s="286"/>
      <c r="K296" s="288"/>
      <c r="L296" s="286"/>
      <c r="M296" s="288"/>
      <c r="N296" s="286"/>
      <c r="O296" s="288"/>
      <c r="P296" s="286"/>
      <c r="Q296" s="288"/>
      <c r="R296" s="286"/>
      <c r="S296" s="288"/>
      <c r="T296" s="286"/>
      <c r="U296" s="288"/>
      <c r="V296" s="286"/>
      <c r="W296" s="288"/>
      <c r="X296" s="286"/>
      <c r="Y296" s="288"/>
      <c r="Z296" s="286"/>
      <c r="AA296" s="288"/>
      <c r="AB296" s="286"/>
      <c r="AC296" s="288"/>
      <c r="AD296" s="286"/>
      <c r="AE296" s="288"/>
      <c r="AF296" s="286"/>
      <c r="AG296" s="288"/>
      <c r="AH296" s="286"/>
      <c r="AI296" s="288"/>
      <c r="AJ296" s="286"/>
      <c r="AK296" s="286"/>
      <c r="AL296" s="286"/>
      <c r="AM296" s="286"/>
      <c r="AN296" s="286"/>
      <c r="AO296" s="286"/>
      <c r="AP296" s="286"/>
      <c r="AQ296" s="286"/>
      <c r="AR296" s="286"/>
      <c r="AS296" s="286"/>
      <c r="AT296" s="286"/>
      <c r="AU296" s="286"/>
      <c r="AV296" s="284"/>
      <c r="AW296" s="284"/>
      <c r="AX296" s="284"/>
      <c r="AY296" s="284"/>
      <c r="AZ296" s="284"/>
      <c r="BA296" s="284"/>
      <c r="BB296" s="284"/>
      <c r="BC296" s="284"/>
      <c r="BD296" s="284"/>
      <c r="BE296" s="284"/>
      <c r="BF296" s="284"/>
      <c r="BG296" s="284"/>
      <c r="BH296" s="284"/>
      <c r="BI296" s="284"/>
      <c r="BJ296" s="284"/>
      <c r="BK296" s="284"/>
      <c r="BL296" s="284"/>
      <c r="BM296" s="284"/>
      <c r="BN296" s="284"/>
      <c r="BO296" s="284"/>
      <c r="BP296" s="284"/>
      <c r="BQ296" s="284"/>
      <c r="BR296" s="284"/>
      <c r="BS296" s="284"/>
      <c r="BT296" s="284"/>
      <c r="BU296" s="284"/>
      <c r="BV296" s="284"/>
      <c r="BW296" s="284"/>
      <c r="BX296" s="284"/>
      <c r="BY296" s="284"/>
      <c r="BZ296" s="285"/>
      <c r="CA296" s="298">
        <f>SUM(C296,E296,G296,I296,K296,M296,O296,Q296,S296,U296,W296,Y296,AA296,AC296,AE296,AG296,AI296,AK296,AM296,AO296,AQ296,AS296,AU296,AW296,AY296,BA296,BC296,BE296,BG296,BI296,BK296,BM296,BO296,BQ296,BS296,BU296,BW296,BY296)</f>
        <v>0</v>
      </c>
      <c r="CB296" s="298">
        <f>SUM(D296,F296,H296,J296,L296,N296,P296,R296,T296,V296,X296,Z296,AB296,AD296,AF296,AH296,AJ296,AL296,AN296,AP296,AR296,AT296,AV296,AX296,AZ296,BB296,BD296,BF296,BH296,BJ296,BL296,BN296,BP296,BR296,BT296,BV296,BX296,BZ296)</f>
        <v>0</v>
      </c>
      <c r="CC296" s="299">
        <f>SUM(Table13[[#This Row],[GOALS 1]:[ASSISTS 38]])</f>
        <v>0</v>
      </c>
    </row>
    <row r="297" spans="1:81">
      <c r="A297" s="291" t="s">
        <v>1419</v>
      </c>
      <c r="B297" s="291" t="s">
        <v>28</v>
      </c>
      <c r="C297" s="286"/>
      <c r="D297" s="286"/>
      <c r="E297" s="288"/>
      <c r="F297" s="286"/>
      <c r="G297" s="288"/>
      <c r="H297" s="286"/>
      <c r="I297" s="288"/>
      <c r="J297" s="286"/>
      <c r="K297" s="288"/>
      <c r="L297" s="286"/>
      <c r="M297" s="288"/>
      <c r="N297" s="286"/>
      <c r="O297" s="288"/>
      <c r="P297" s="286"/>
      <c r="Q297" s="288"/>
      <c r="R297" s="286"/>
      <c r="S297" s="288"/>
      <c r="T297" s="286"/>
      <c r="U297" s="288"/>
      <c r="V297" s="286"/>
      <c r="W297" s="288"/>
      <c r="X297" s="286"/>
      <c r="Y297" s="288"/>
      <c r="Z297" s="286"/>
      <c r="AA297" s="288"/>
      <c r="AB297" s="286"/>
      <c r="AC297" s="288"/>
      <c r="AD297" s="286"/>
      <c r="AE297" s="288"/>
      <c r="AF297" s="286"/>
      <c r="AG297" s="288"/>
      <c r="AH297" s="286"/>
      <c r="AI297" s="288"/>
      <c r="AJ297" s="286"/>
      <c r="AK297" s="286"/>
      <c r="AL297" s="286"/>
      <c r="AM297" s="286"/>
      <c r="AN297" s="286"/>
      <c r="AO297" s="286"/>
      <c r="AP297" s="286"/>
      <c r="AQ297" s="286"/>
      <c r="AR297" s="286"/>
      <c r="AS297" s="286"/>
      <c r="AT297" s="286"/>
      <c r="AU297" s="286"/>
      <c r="AV297" s="284"/>
      <c r="AW297" s="284"/>
      <c r="AX297" s="284"/>
      <c r="AY297" s="284"/>
      <c r="AZ297" s="284"/>
      <c r="BA297" s="284"/>
      <c r="BB297" s="284"/>
      <c r="BC297" s="284"/>
      <c r="BD297" s="284"/>
      <c r="BE297" s="284"/>
      <c r="BF297" s="284"/>
      <c r="BG297" s="284"/>
      <c r="BH297" s="284"/>
      <c r="BI297" s="284"/>
      <c r="BJ297" s="284"/>
      <c r="BK297" s="284"/>
      <c r="BL297" s="284"/>
      <c r="BM297" s="284"/>
      <c r="BN297" s="284"/>
      <c r="BO297" s="284"/>
      <c r="BP297" s="284"/>
      <c r="BQ297" s="284"/>
      <c r="BR297" s="284"/>
      <c r="BS297" s="284"/>
      <c r="BT297" s="284"/>
      <c r="BU297" s="284"/>
      <c r="BV297" s="284"/>
      <c r="BW297" s="284"/>
      <c r="BX297" s="284"/>
      <c r="BY297" s="284"/>
      <c r="BZ297" s="285"/>
      <c r="CA297" s="298">
        <f>SUM(C297,E297,G297,I297,K297,M297,O297,Q297,S297,U297,W297,Y297,AA297,AC297,AE297,AG297,AI297,AK297,AM297,AO297,AQ297,AS297,AU297,AW297,AY297,BA297,BC297,BE297,BG297,BI297,BK297,BM297,BO297,BQ297,BS297,BU297,BW297,BY297)</f>
        <v>0</v>
      </c>
      <c r="CB297" s="298">
        <f>SUM(D297,F297,H297,J297,L297,N297,P297,R297,T297,V297,X297,Z297,AB297,AD297,AF297,AH297,AJ297,AL297,AN297,AP297,AR297,AT297,AV297,AX297,AZ297,BB297,BD297,BF297,BH297,BJ297,BL297,BN297,BP297,BR297,BT297,BV297,BX297,BZ297)</f>
        <v>0</v>
      </c>
      <c r="CC297" s="299">
        <f>SUM(Table13[[#This Row],[GOALS 1]:[ASSISTS 38]])</f>
        <v>0</v>
      </c>
    </row>
    <row r="298" spans="1:81">
      <c r="A298" s="291" t="s">
        <v>1855</v>
      </c>
      <c r="B298" s="291" t="s">
        <v>33</v>
      </c>
      <c r="C298" s="289"/>
      <c r="D298" s="286"/>
      <c r="E298" s="288"/>
      <c r="F298" s="286"/>
      <c r="G298" s="288"/>
      <c r="H298" s="286"/>
      <c r="I298" s="288"/>
      <c r="J298" s="286"/>
      <c r="K298" s="288"/>
      <c r="L298" s="286"/>
      <c r="M298" s="288"/>
      <c r="N298" s="286"/>
      <c r="O298" s="288"/>
      <c r="P298" s="286"/>
      <c r="Q298" s="288"/>
      <c r="R298" s="286"/>
      <c r="S298" s="288"/>
      <c r="T298" s="286"/>
      <c r="U298" s="288"/>
      <c r="V298" s="286"/>
      <c r="W298" s="288"/>
      <c r="X298" s="286"/>
      <c r="Y298" s="288"/>
      <c r="Z298" s="286"/>
      <c r="AA298" s="288"/>
      <c r="AB298" s="286"/>
      <c r="AC298" s="288"/>
      <c r="AD298" s="286"/>
      <c r="AE298" s="288"/>
      <c r="AF298" s="286"/>
      <c r="AG298" s="288"/>
      <c r="AH298" s="286"/>
      <c r="AI298" s="288"/>
      <c r="AJ298" s="286"/>
      <c r="AK298" s="286"/>
      <c r="AL298" s="286"/>
      <c r="AM298" s="286"/>
      <c r="AN298" s="286"/>
      <c r="AO298" s="286"/>
      <c r="AP298" s="286"/>
      <c r="AQ298" s="286"/>
      <c r="AR298" s="286"/>
      <c r="AS298" s="286"/>
      <c r="AT298" s="286"/>
      <c r="AU298" s="286"/>
      <c r="AV298" s="284"/>
      <c r="AW298" s="284"/>
      <c r="AX298" s="284"/>
      <c r="AY298" s="284"/>
      <c r="AZ298" s="284"/>
      <c r="BA298" s="284"/>
      <c r="BB298" s="284"/>
      <c r="BC298" s="284"/>
      <c r="BD298" s="284"/>
      <c r="BE298" s="284"/>
      <c r="BF298" s="284"/>
      <c r="BG298" s="284"/>
      <c r="BH298" s="284"/>
      <c r="BI298" s="284"/>
      <c r="BJ298" s="284"/>
      <c r="BK298" s="284"/>
      <c r="BL298" s="284"/>
      <c r="BM298" s="284"/>
      <c r="BN298" s="284"/>
      <c r="BO298" s="284"/>
      <c r="BP298" s="284"/>
      <c r="BQ298" s="284"/>
      <c r="BR298" s="284"/>
      <c r="BS298" s="284"/>
      <c r="BT298" s="284"/>
      <c r="BU298" s="284"/>
      <c r="BV298" s="284"/>
      <c r="BW298" s="284"/>
      <c r="BX298" s="284"/>
      <c r="BY298" s="284"/>
      <c r="BZ298" s="285"/>
      <c r="CA298" s="298">
        <f>SUM(C298,E298,G298,I298,K298,M298,O298,Q298,S298,U298,W298,Y298,AA298,AC298,AE298,AG298,AI298,AK298,AM298,AO298,AQ298,AS298,AU298,AW298,AY298,BA298,BC298,BE298,BG298,BI298,BK298,BM298,BO298,BQ298,BS298,BU298,BW298,BY298)</f>
        <v>0</v>
      </c>
      <c r="CB298" s="298">
        <f>SUM(D298,F298,H298,J298,L298,N298,P298,R298,T298,V298,X298,Z298,AB298,AD298,AF298,AH298,AJ298,AL298,AN298,AP298,AR298,AT298,AV298,AX298,AZ298,BB298,BD298,BF298,BH298,BJ298,BL298,BN298,BP298,BR298,BT298,BV298,BX298,BZ298)</f>
        <v>0</v>
      </c>
      <c r="CC298" s="299">
        <f>SUM(Table13[[#This Row],[GOALS 1]:[ASSISTS 38]])</f>
        <v>0</v>
      </c>
    </row>
    <row r="299" spans="1:81">
      <c r="A299" s="291" t="s">
        <v>1379</v>
      </c>
      <c r="B299" s="291" t="s">
        <v>30</v>
      </c>
      <c r="C299" s="286"/>
      <c r="D299" s="286"/>
      <c r="E299" s="288"/>
      <c r="F299" s="286"/>
      <c r="G299" s="288"/>
      <c r="H299" s="286"/>
      <c r="I299" s="288"/>
      <c r="J299" s="286"/>
      <c r="K299" s="288"/>
      <c r="L299" s="286"/>
      <c r="M299" s="288"/>
      <c r="N299" s="286"/>
      <c r="O299" s="288"/>
      <c r="P299" s="286"/>
      <c r="Q299" s="288"/>
      <c r="R299" s="286"/>
      <c r="S299" s="288"/>
      <c r="T299" s="286"/>
      <c r="U299" s="288"/>
      <c r="V299" s="286"/>
      <c r="W299" s="288"/>
      <c r="X299" s="286"/>
      <c r="Y299" s="288"/>
      <c r="Z299" s="286"/>
      <c r="AA299" s="288"/>
      <c r="AB299" s="286"/>
      <c r="AC299" s="288"/>
      <c r="AD299" s="286"/>
      <c r="AE299" s="288"/>
      <c r="AF299" s="286"/>
      <c r="AG299" s="288"/>
      <c r="AH299" s="286"/>
      <c r="AI299" s="288"/>
      <c r="AJ299" s="286"/>
      <c r="AK299" s="286"/>
      <c r="AL299" s="286"/>
      <c r="AM299" s="286"/>
      <c r="AN299" s="286"/>
      <c r="AO299" s="286"/>
      <c r="AP299" s="286"/>
      <c r="AQ299" s="286"/>
      <c r="AR299" s="286"/>
      <c r="AS299" s="286"/>
      <c r="AT299" s="286"/>
      <c r="AU299" s="286"/>
      <c r="AV299" s="284"/>
      <c r="AW299" s="284"/>
      <c r="AX299" s="284"/>
      <c r="AY299" s="284"/>
      <c r="AZ299" s="284"/>
      <c r="BA299" s="284"/>
      <c r="BB299" s="284"/>
      <c r="BC299" s="284"/>
      <c r="BD299" s="284"/>
      <c r="BE299" s="284"/>
      <c r="BF299" s="284"/>
      <c r="BG299" s="284"/>
      <c r="BH299" s="284"/>
      <c r="BI299" s="284"/>
      <c r="BJ299" s="284"/>
      <c r="BK299" s="284"/>
      <c r="BL299" s="284"/>
      <c r="BM299" s="284"/>
      <c r="BN299" s="284"/>
      <c r="BO299" s="284"/>
      <c r="BP299" s="284"/>
      <c r="BQ299" s="284"/>
      <c r="BR299" s="284"/>
      <c r="BS299" s="284"/>
      <c r="BT299" s="284"/>
      <c r="BU299" s="284"/>
      <c r="BV299" s="284"/>
      <c r="BW299" s="284"/>
      <c r="BX299" s="284"/>
      <c r="BY299" s="284"/>
      <c r="BZ299" s="285"/>
      <c r="CA299" s="298">
        <f>SUM(C299,E299,G299,I299,K299,M299,O299,Q299,S299,U299,W299,Y299,AA299,AC299,AE299,AG299,AI299,AK299,AM299,AO299,AQ299,AS299,AU299,AW299,AY299,BA299,BC299,BE299,BG299,BI299,BK299,BM299,BO299,BQ299,BS299,BU299,BW299,BY299)</f>
        <v>0</v>
      </c>
      <c r="CB299" s="298">
        <f>SUM(D299,F299,H299,J299,L299,N299,P299,R299,T299,V299,X299,Z299,AB299,AD299,AF299,AH299,AJ299,AL299,AN299,AP299,AR299,AT299,AV299,AX299,AZ299,BB299,BD299,BF299,BH299,BJ299,BL299,BN299,BP299,BR299,BT299,BV299,BX299,BZ299)</f>
        <v>0</v>
      </c>
      <c r="CC299" s="299">
        <f>SUM(Table13[[#This Row],[GOALS 1]:[ASSISTS 38]])</f>
        <v>0</v>
      </c>
    </row>
    <row r="300" spans="1:81">
      <c r="A300" s="291" t="s">
        <v>1337</v>
      </c>
      <c r="B300" s="291" t="s">
        <v>18</v>
      </c>
      <c r="C300" s="286"/>
      <c r="D300" s="286"/>
      <c r="E300" s="288"/>
      <c r="F300" s="286"/>
      <c r="G300" s="288"/>
      <c r="H300" s="286"/>
      <c r="I300" s="288"/>
      <c r="J300" s="286"/>
      <c r="K300" s="288"/>
      <c r="L300" s="286"/>
      <c r="M300" s="288"/>
      <c r="N300" s="286"/>
      <c r="O300" s="288"/>
      <c r="P300" s="286"/>
      <c r="Q300" s="288"/>
      <c r="R300" s="286"/>
      <c r="S300" s="288"/>
      <c r="T300" s="286"/>
      <c r="U300" s="288"/>
      <c r="V300" s="286"/>
      <c r="W300" s="288"/>
      <c r="X300" s="286"/>
      <c r="Y300" s="288"/>
      <c r="Z300" s="286"/>
      <c r="AA300" s="288"/>
      <c r="AB300" s="286"/>
      <c r="AC300" s="288"/>
      <c r="AD300" s="286"/>
      <c r="AE300" s="288"/>
      <c r="AF300" s="286"/>
      <c r="AG300" s="288"/>
      <c r="AH300" s="286"/>
      <c r="AI300" s="288"/>
      <c r="AJ300" s="286"/>
      <c r="AK300" s="286"/>
      <c r="AL300" s="286"/>
      <c r="AM300" s="286"/>
      <c r="AN300" s="286"/>
      <c r="AO300" s="286"/>
      <c r="AP300" s="286"/>
      <c r="AQ300" s="286"/>
      <c r="AR300" s="286"/>
      <c r="AS300" s="286"/>
      <c r="AT300" s="286"/>
      <c r="AU300" s="286"/>
      <c r="AV300" s="284"/>
      <c r="AW300" s="284"/>
      <c r="AX300" s="284"/>
      <c r="AY300" s="284"/>
      <c r="AZ300" s="284"/>
      <c r="BA300" s="284"/>
      <c r="BB300" s="284"/>
      <c r="BC300" s="284"/>
      <c r="BD300" s="284"/>
      <c r="BE300" s="284"/>
      <c r="BF300" s="284"/>
      <c r="BG300" s="284"/>
      <c r="BH300" s="284"/>
      <c r="BI300" s="284"/>
      <c r="BJ300" s="284"/>
      <c r="BK300" s="284"/>
      <c r="BL300" s="284"/>
      <c r="BM300" s="284"/>
      <c r="BN300" s="284"/>
      <c r="BO300" s="284"/>
      <c r="BP300" s="284"/>
      <c r="BQ300" s="284"/>
      <c r="BR300" s="284"/>
      <c r="BS300" s="284"/>
      <c r="BT300" s="284"/>
      <c r="BU300" s="284"/>
      <c r="BV300" s="284"/>
      <c r="BW300" s="284"/>
      <c r="BX300" s="284"/>
      <c r="BY300" s="284"/>
      <c r="BZ300" s="285"/>
      <c r="CA300" s="298">
        <f>SUM(C300,E300,G300,I300,K300,M300,O300,Q300,S300,U300,W300,Y300,AA300,AC300,AE300,AG300,AI300,AK300,AM300,AO300,AQ300,AS300,AU300,AW300,AY300,BA300,BC300,BE300,BG300,BI300,BK300,BM300,BO300,BQ300,BS300,BU300,BW300,BY300)</f>
        <v>0</v>
      </c>
      <c r="CB300" s="298">
        <f>SUM(D300,F300,H300,J300,L300,N300,P300,R300,T300,V300,X300,Z300,AB300,AD300,AF300,AH300,AJ300,AL300,AN300,AP300,AR300,AT300,AV300,AX300,AZ300,BB300,BD300,BF300,BH300,BJ300,BL300,BN300,BP300,BR300,BT300,BV300,BX300,BZ300)</f>
        <v>0</v>
      </c>
      <c r="CC300" s="299">
        <f>SUM(Table13[[#This Row],[GOALS 1]:[ASSISTS 38]])</f>
        <v>0</v>
      </c>
    </row>
    <row r="301" spans="1:81">
      <c r="A301" s="291" t="s">
        <v>1883</v>
      </c>
      <c r="B301" s="291" t="s">
        <v>633</v>
      </c>
      <c r="C301" s="289"/>
      <c r="D301" s="286"/>
      <c r="E301" s="288"/>
      <c r="F301" s="286"/>
      <c r="G301" s="288"/>
      <c r="H301" s="286"/>
      <c r="I301" s="288"/>
      <c r="J301" s="286"/>
      <c r="K301" s="288"/>
      <c r="L301" s="286"/>
      <c r="M301" s="288"/>
      <c r="N301" s="286"/>
      <c r="O301" s="288"/>
      <c r="P301" s="286"/>
      <c r="Q301" s="288"/>
      <c r="R301" s="286"/>
      <c r="S301" s="288"/>
      <c r="T301" s="286"/>
      <c r="U301" s="288"/>
      <c r="V301" s="286"/>
      <c r="W301" s="288"/>
      <c r="X301" s="286"/>
      <c r="Y301" s="288"/>
      <c r="Z301" s="286"/>
      <c r="AA301" s="288"/>
      <c r="AB301" s="286"/>
      <c r="AC301" s="288"/>
      <c r="AD301" s="286"/>
      <c r="AE301" s="288"/>
      <c r="AF301" s="286"/>
      <c r="AG301" s="288"/>
      <c r="AH301" s="286"/>
      <c r="AI301" s="288"/>
      <c r="AJ301" s="286"/>
      <c r="AK301" s="286"/>
      <c r="AL301" s="286"/>
      <c r="AM301" s="286"/>
      <c r="AN301" s="286"/>
      <c r="AO301" s="286"/>
      <c r="AP301" s="286"/>
      <c r="AQ301" s="286"/>
      <c r="AR301" s="286"/>
      <c r="AS301" s="286"/>
      <c r="AT301" s="286"/>
      <c r="AU301" s="286"/>
      <c r="AV301" s="284"/>
      <c r="AW301" s="284"/>
      <c r="AX301" s="284"/>
      <c r="AY301" s="284"/>
      <c r="AZ301" s="284"/>
      <c r="BA301" s="284"/>
      <c r="BB301" s="284"/>
      <c r="BC301" s="284"/>
      <c r="BD301" s="284"/>
      <c r="BE301" s="284"/>
      <c r="BF301" s="284"/>
      <c r="BG301" s="284"/>
      <c r="BH301" s="284"/>
      <c r="BI301" s="284"/>
      <c r="BJ301" s="284"/>
      <c r="BK301" s="284"/>
      <c r="BL301" s="284"/>
      <c r="BM301" s="284"/>
      <c r="BN301" s="284"/>
      <c r="BO301" s="284"/>
      <c r="BP301" s="284"/>
      <c r="BQ301" s="284"/>
      <c r="BR301" s="284"/>
      <c r="BS301" s="284"/>
      <c r="BT301" s="284"/>
      <c r="BU301" s="284"/>
      <c r="BV301" s="284"/>
      <c r="BW301" s="284"/>
      <c r="BX301" s="284"/>
      <c r="BY301" s="284"/>
      <c r="BZ301" s="285"/>
      <c r="CA301" s="298">
        <f>SUM(C301,E301,G301,I301,K301,M301,O301,Q301,S301,U301,W301,Y301,AA301,AC301,AE301,AG301,AI301,AK301,AM301,AO301,AQ301,AS301,AU301,AW301,AY301,BA301,BC301,BE301,BG301,BI301,BK301,BM301,BO301,BQ301,BS301,BU301,BW301,BY301)</f>
        <v>0</v>
      </c>
      <c r="CB301" s="298">
        <f>SUM(D301,F301,H301,J301,L301,N301,P301,R301,T301,V301,X301,Z301,AB301,AD301,AF301,AH301,AJ301,AL301,AN301,AP301,AR301,AT301,AV301,AX301,AZ301,BB301,BD301,BF301,BH301,BJ301,BL301,BN301,BP301,BR301,BT301,BV301,BX301,BZ301)</f>
        <v>0</v>
      </c>
      <c r="CC301" s="299">
        <f>SUM(Table13[[#This Row],[GOALS 1]:[ASSISTS 38]])</f>
        <v>0</v>
      </c>
    </row>
    <row r="302" spans="1:81">
      <c r="A302" s="291" t="s">
        <v>1515</v>
      </c>
      <c r="B302" s="291" t="s">
        <v>24</v>
      </c>
      <c r="C302" s="286"/>
      <c r="D302" s="286"/>
      <c r="E302" s="288"/>
      <c r="F302" s="286"/>
      <c r="G302" s="288"/>
      <c r="H302" s="286"/>
      <c r="I302" s="288"/>
      <c r="J302" s="286"/>
      <c r="K302" s="288"/>
      <c r="L302" s="286"/>
      <c r="M302" s="288"/>
      <c r="N302" s="286"/>
      <c r="O302" s="288"/>
      <c r="P302" s="286"/>
      <c r="Q302" s="288"/>
      <c r="R302" s="286"/>
      <c r="S302" s="288"/>
      <c r="T302" s="286"/>
      <c r="U302" s="288"/>
      <c r="V302" s="286"/>
      <c r="W302" s="288"/>
      <c r="X302" s="286"/>
      <c r="Y302" s="288"/>
      <c r="Z302" s="286"/>
      <c r="AA302" s="288"/>
      <c r="AB302" s="286"/>
      <c r="AC302" s="288"/>
      <c r="AD302" s="286"/>
      <c r="AE302" s="288"/>
      <c r="AF302" s="286"/>
      <c r="AG302" s="288"/>
      <c r="AH302" s="286"/>
      <c r="AI302" s="288"/>
      <c r="AJ302" s="286"/>
      <c r="AK302" s="286"/>
      <c r="AL302" s="286"/>
      <c r="AM302" s="286"/>
      <c r="AN302" s="286"/>
      <c r="AO302" s="286"/>
      <c r="AP302" s="286"/>
      <c r="AQ302" s="286"/>
      <c r="AR302" s="286"/>
      <c r="AS302" s="286"/>
      <c r="AT302" s="286"/>
      <c r="AU302" s="286"/>
      <c r="AV302" s="284"/>
      <c r="AW302" s="284"/>
      <c r="AX302" s="284"/>
      <c r="AY302" s="284"/>
      <c r="AZ302" s="284"/>
      <c r="BA302" s="284"/>
      <c r="BB302" s="284"/>
      <c r="BC302" s="284"/>
      <c r="BD302" s="284"/>
      <c r="BE302" s="284"/>
      <c r="BF302" s="284"/>
      <c r="BG302" s="284"/>
      <c r="BH302" s="284"/>
      <c r="BI302" s="284"/>
      <c r="BJ302" s="284"/>
      <c r="BK302" s="284"/>
      <c r="BL302" s="284"/>
      <c r="BM302" s="284"/>
      <c r="BN302" s="284"/>
      <c r="BO302" s="284"/>
      <c r="BP302" s="284"/>
      <c r="BQ302" s="284"/>
      <c r="BR302" s="284"/>
      <c r="BS302" s="284"/>
      <c r="BT302" s="284"/>
      <c r="BU302" s="284"/>
      <c r="BV302" s="284"/>
      <c r="BW302" s="284"/>
      <c r="BX302" s="284"/>
      <c r="BY302" s="284"/>
      <c r="BZ302" s="285"/>
      <c r="CA302" s="298">
        <f>SUM(C302,E302,G302,I302,K302,M302,O302,Q302,S302,U302,W302,Y302,AA302,AC302,AE302,AG302,AI302,AK302,AM302,AO302,AQ302,AS302,AU302,AW302,AY302,BA302,BC302,BE302,BG302,BI302,BK302,BM302,BO302,BQ302,BS302,BU302,BW302,BY302)</f>
        <v>0</v>
      </c>
      <c r="CB302" s="298">
        <f>SUM(D302,F302,H302,J302,L302,N302,P302,R302,T302,V302,X302,Z302,AB302,AD302,AF302,AH302,AJ302,AL302,AN302,AP302,AR302,AT302,AV302,AX302,AZ302,BB302,BD302,BF302,BH302,BJ302,BL302,BN302,BP302,BR302,BT302,BV302,BX302,BZ302)</f>
        <v>0</v>
      </c>
      <c r="CC302" s="299">
        <f>SUM(Table13[[#This Row],[GOALS 1]:[ASSISTS 38]])</f>
        <v>0</v>
      </c>
    </row>
    <row r="303" spans="1:81">
      <c r="A303" s="291" t="s">
        <v>1441</v>
      </c>
      <c r="B303" s="291" t="s">
        <v>20</v>
      </c>
      <c r="C303" s="289"/>
      <c r="D303" s="286"/>
      <c r="E303" s="288"/>
      <c r="F303" s="286"/>
      <c r="G303" s="288"/>
      <c r="H303" s="286"/>
      <c r="I303" s="288"/>
      <c r="J303" s="286"/>
      <c r="K303" s="288"/>
      <c r="L303" s="286"/>
      <c r="M303" s="288"/>
      <c r="N303" s="286"/>
      <c r="O303" s="288"/>
      <c r="P303" s="286"/>
      <c r="Q303" s="288"/>
      <c r="R303" s="286"/>
      <c r="S303" s="288"/>
      <c r="T303" s="286"/>
      <c r="U303" s="288"/>
      <c r="V303" s="286"/>
      <c r="W303" s="288"/>
      <c r="X303" s="286"/>
      <c r="Y303" s="288"/>
      <c r="Z303" s="286"/>
      <c r="AA303" s="288"/>
      <c r="AB303" s="286"/>
      <c r="AC303" s="288"/>
      <c r="AD303" s="286"/>
      <c r="AE303" s="288"/>
      <c r="AF303" s="286"/>
      <c r="AG303" s="288"/>
      <c r="AH303" s="286"/>
      <c r="AI303" s="288"/>
      <c r="AJ303" s="286"/>
      <c r="AK303" s="286"/>
      <c r="AL303" s="286"/>
      <c r="AM303" s="286"/>
      <c r="AN303" s="286"/>
      <c r="AO303" s="286"/>
      <c r="AP303" s="286"/>
      <c r="AQ303" s="286"/>
      <c r="AR303" s="286"/>
      <c r="AS303" s="286"/>
      <c r="AT303" s="286"/>
      <c r="AU303" s="286"/>
      <c r="AV303" s="284"/>
      <c r="AW303" s="284"/>
      <c r="AX303" s="284"/>
      <c r="AY303" s="284"/>
      <c r="AZ303" s="284"/>
      <c r="BA303" s="284"/>
      <c r="BB303" s="284"/>
      <c r="BC303" s="284"/>
      <c r="BD303" s="284"/>
      <c r="BE303" s="284"/>
      <c r="BF303" s="284"/>
      <c r="BG303" s="284"/>
      <c r="BH303" s="284"/>
      <c r="BI303" s="284"/>
      <c r="BJ303" s="284"/>
      <c r="BK303" s="284"/>
      <c r="BL303" s="284"/>
      <c r="BM303" s="284"/>
      <c r="BN303" s="284"/>
      <c r="BO303" s="284"/>
      <c r="BP303" s="284"/>
      <c r="BQ303" s="284"/>
      <c r="BR303" s="284"/>
      <c r="BS303" s="284"/>
      <c r="BT303" s="284"/>
      <c r="BU303" s="284"/>
      <c r="BV303" s="284"/>
      <c r="BW303" s="284"/>
      <c r="BX303" s="284"/>
      <c r="BY303" s="284"/>
      <c r="BZ303" s="285"/>
      <c r="CA303" s="298">
        <f>SUM(C303,E303,G303,I303,K303,M303,O303,Q303,S303,U303,W303,Y303,AA303,AC303,AE303,AG303,AI303,AK303,AM303,AO303,AQ303,AS303,AU303,AW303,AY303,BA303,BC303,BE303,BG303,BI303,BK303,BM303,BO303,BQ303,BS303,BU303,BW303,BY303)</f>
        <v>0</v>
      </c>
      <c r="CB303" s="298">
        <f>SUM(D303,F303,H303,J303,L303,N303,P303,R303,T303,V303,X303,Z303,AB303,AD303,AF303,AH303,AJ303,AL303,AN303,AP303,AR303,AT303,AV303,AX303,AZ303,BB303,BD303,BF303,BH303,BJ303,BL303,BN303,BP303,BR303,BT303,BV303,BX303,BZ303)</f>
        <v>0</v>
      </c>
      <c r="CC303" s="299">
        <f>SUM(Table13[[#This Row],[GOALS 1]:[ASSISTS 38]])</f>
        <v>0</v>
      </c>
    </row>
    <row r="304" spans="1:81">
      <c r="A304" s="291" t="s">
        <v>1752</v>
      </c>
      <c r="B304" s="291" t="s">
        <v>25</v>
      </c>
      <c r="C304" s="286"/>
      <c r="D304" s="286"/>
      <c r="E304" s="288"/>
      <c r="F304" s="286"/>
      <c r="G304" s="288"/>
      <c r="H304" s="286"/>
      <c r="I304" s="288"/>
      <c r="J304" s="286"/>
      <c r="K304" s="288"/>
      <c r="L304" s="286"/>
      <c r="M304" s="288"/>
      <c r="N304" s="286"/>
      <c r="O304" s="288"/>
      <c r="P304" s="286"/>
      <c r="Q304" s="288"/>
      <c r="R304" s="286"/>
      <c r="S304" s="288"/>
      <c r="T304" s="286"/>
      <c r="U304" s="288"/>
      <c r="V304" s="286"/>
      <c r="W304" s="288"/>
      <c r="X304" s="286"/>
      <c r="Y304" s="288"/>
      <c r="Z304" s="286"/>
      <c r="AA304" s="288"/>
      <c r="AB304" s="286"/>
      <c r="AC304" s="288"/>
      <c r="AD304" s="286"/>
      <c r="AE304" s="288"/>
      <c r="AF304" s="286"/>
      <c r="AG304" s="288"/>
      <c r="AH304" s="286"/>
      <c r="AI304" s="288"/>
      <c r="AJ304" s="286"/>
      <c r="AK304" s="286"/>
      <c r="AL304" s="286"/>
      <c r="AM304" s="286"/>
      <c r="AN304" s="286"/>
      <c r="AO304" s="286"/>
      <c r="AP304" s="286"/>
      <c r="AQ304" s="286"/>
      <c r="AR304" s="286"/>
      <c r="AS304" s="286"/>
      <c r="AT304" s="286"/>
      <c r="AU304" s="286"/>
      <c r="AV304" s="284"/>
      <c r="AW304" s="284"/>
      <c r="AX304" s="284"/>
      <c r="AY304" s="284"/>
      <c r="AZ304" s="284"/>
      <c r="BA304" s="284"/>
      <c r="BB304" s="284"/>
      <c r="BC304" s="284"/>
      <c r="BD304" s="284"/>
      <c r="BE304" s="284"/>
      <c r="BF304" s="284"/>
      <c r="BG304" s="284"/>
      <c r="BH304" s="284"/>
      <c r="BI304" s="284"/>
      <c r="BJ304" s="284"/>
      <c r="BK304" s="284"/>
      <c r="BL304" s="284"/>
      <c r="BM304" s="284"/>
      <c r="BN304" s="284"/>
      <c r="BO304" s="284"/>
      <c r="BP304" s="284"/>
      <c r="BQ304" s="284"/>
      <c r="BR304" s="284"/>
      <c r="BS304" s="284"/>
      <c r="BT304" s="284"/>
      <c r="BU304" s="284"/>
      <c r="BV304" s="284"/>
      <c r="BW304" s="284"/>
      <c r="BX304" s="284"/>
      <c r="BY304" s="284"/>
      <c r="BZ304" s="285"/>
      <c r="CA304" s="298">
        <f>SUM(C304,E304,G304,I304,K304,M304,O304,Q304,S304,U304,W304,Y304,AA304,AC304,AE304,AG304,AI304,AK304,AM304,AO304,AQ304,AS304,AU304,AW304,AY304,BA304,BC304,BE304,BG304,BI304,BK304,BM304,BO304,BQ304,BS304,BU304,BW304,BY304)</f>
        <v>0</v>
      </c>
      <c r="CB304" s="298">
        <f>SUM(D304,F304,H304,J304,L304,N304,P304,R304,T304,V304,X304,Z304,AB304,AD304,AF304,AH304,AJ304,AL304,AN304,AP304,AR304,AT304,AV304,AX304,AZ304,BB304,BD304,BF304,BH304,BJ304,BL304,BN304,BP304,BR304,BT304,BV304,BX304,BZ304)</f>
        <v>0</v>
      </c>
      <c r="CC304" s="299">
        <f>SUM(Table13[[#This Row],[GOALS 1]:[ASSISTS 38]])</f>
        <v>0</v>
      </c>
    </row>
    <row r="305" spans="1:81">
      <c r="A305" s="291" t="s">
        <v>1723</v>
      </c>
      <c r="B305" s="291" t="s">
        <v>28</v>
      </c>
      <c r="C305" s="286"/>
      <c r="D305" s="286"/>
      <c r="E305" s="288"/>
      <c r="F305" s="286"/>
      <c r="G305" s="288"/>
      <c r="H305" s="286"/>
      <c r="I305" s="288"/>
      <c r="J305" s="286"/>
      <c r="K305" s="288"/>
      <c r="L305" s="286"/>
      <c r="M305" s="288"/>
      <c r="N305" s="286"/>
      <c r="O305" s="288"/>
      <c r="P305" s="286"/>
      <c r="Q305" s="288"/>
      <c r="R305" s="286"/>
      <c r="S305" s="288"/>
      <c r="T305" s="286"/>
      <c r="U305" s="288"/>
      <c r="V305" s="286"/>
      <c r="W305" s="288"/>
      <c r="X305" s="286"/>
      <c r="Y305" s="288"/>
      <c r="Z305" s="286"/>
      <c r="AA305" s="288"/>
      <c r="AB305" s="286"/>
      <c r="AC305" s="288"/>
      <c r="AD305" s="286"/>
      <c r="AE305" s="288"/>
      <c r="AF305" s="286"/>
      <c r="AG305" s="288"/>
      <c r="AH305" s="286"/>
      <c r="AI305" s="288"/>
      <c r="AJ305" s="286"/>
      <c r="AK305" s="286"/>
      <c r="AL305" s="286"/>
      <c r="AM305" s="286"/>
      <c r="AN305" s="286"/>
      <c r="AO305" s="286"/>
      <c r="AP305" s="286"/>
      <c r="AQ305" s="286"/>
      <c r="AR305" s="286"/>
      <c r="AS305" s="286"/>
      <c r="AT305" s="286"/>
      <c r="AU305" s="286"/>
      <c r="AV305" s="284"/>
      <c r="AW305" s="284"/>
      <c r="AX305" s="284"/>
      <c r="AY305" s="284"/>
      <c r="AZ305" s="284"/>
      <c r="BA305" s="284"/>
      <c r="BB305" s="284"/>
      <c r="BC305" s="284"/>
      <c r="BD305" s="284"/>
      <c r="BE305" s="284"/>
      <c r="BF305" s="284"/>
      <c r="BG305" s="284"/>
      <c r="BH305" s="284"/>
      <c r="BI305" s="284"/>
      <c r="BJ305" s="284"/>
      <c r="BK305" s="284"/>
      <c r="BL305" s="284"/>
      <c r="BM305" s="284"/>
      <c r="BN305" s="284"/>
      <c r="BO305" s="284"/>
      <c r="BP305" s="284"/>
      <c r="BQ305" s="284"/>
      <c r="BR305" s="284"/>
      <c r="BS305" s="284"/>
      <c r="BT305" s="284"/>
      <c r="BU305" s="284"/>
      <c r="BV305" s="284"/>
      <c r="BW305" s="284"/>
      <c r="BX305" s="284"/>
      <c r="BY305" s="284"/>
      <c r="BZ305" s="285"/>
      <c r="CA305" s="298">
        <f>SUM(C305,E305,G305,I305,K305,M305,O305,Q305,S305,U305,W305,Y305,AA305,AC305,AE305,AG305,AI305,AK305,AM305,AO305,AQ305,AS305,AU305,AW305,AY305,BA305,BC305,BE305,BG305,BI305,BK305,BM305,BO305,BQ305,BS305,BU305,BW305,BY305)</f>
        <v>0</v>
      </c>
      <c r="CB305" s="298">
        <f>SUM(D305,F305,H305,J305,L305,N305,P305,R305,T305,V305,X305,Z305,AB305,AD305,AF305,AH305,AJ305,AL305,AN305,AP305,AR305,AT305,AV305,AX305,AZ305,BB305,BD305,BF305,BH305,BJ305,BL305,BN305,BP305,BR305,BT305,BV305,BX305,BZ305)</f>
        <v>0</v>
      </c>
      <c r="CC305" s="299">
        <f>SUM(Table13[[#This Row],[GOALS 1]:[ASSISTS 38]])</f>
        <v>0</v>
      </c>
    </row>
    <row r="306" spans="1:81">
      <c r="A306" s="291" t="s">
        <v>1810</v>
      </c>
      <c r="B306" s="291" t="s">
        <v>43</v>
      </c>
      <c r="C306" s="286"/>
      <c r="D306" s="286"/>
      <c r="E306" s="288"/>
      <c r="F306" s="286"/>
      <c r="G306" s="288"/>
      <c r="H306" s="286"/>
      <c r="I306" s="288"/>
      <c r="J306" s="286"/>
      <c r="K306" s="288"/>
      <c r="L306" s="286"/>
      <c r="M306" s="288"/>
      <c r="N306" s="286"/>
      <c r="O306" s="288"/>
      <c r="P306" s="286"/>
      <c r="Q306" s="288"/>
      <c r="R306" s="286"/>
      <c r="S306" s="288"/>
      <c r="T306" s="286"/>
      <c r="U306" s="288"/>
      <c r="V306" s="286"/>
      <c r="W306" s="288"/>
      <c r="X306" s="286"/>
      <c r="Y306" s="288"/>
      <c r="Z306" s="286"/>
      <c r="AA306" s="288"/>
      <c r="AB306" s="286"/>
      <c r="AC306" s="288"/>
      <c r="AD306" s="286"/>
      <c r="AE306" s="288"/>
      <c r="AF306" s="286"/>
      <c r="AG306" s="288"/>
      <c r="AH306" s="286"/>
      <c r="AI306" s="288"/>
      <c r="AJ306" s="286"/>
      <c r="AK306" s="286"/>
      <c r="AL306" s="286"/>
      <c r="AM306" s="286"/>
      <c r="AN306" s="286"/>
      <c r="AO306" s="286"/>
      <c r="AP306" s="286"/>
      <c r="AQ306" s="286"/>
      <c r="AR306" s="286"/>
      <c r="AS306" s="286"/>
      <c r="AT306" s="286"/>
      <c r="AU306" s="286"/>
      <c r="AV306" s="284"/>
      <c r="AW306" s="284"/>
      <c r="AX306" s="284"/>
      <c r="AY306" s="284"/>
      <c r="AZ306" s="284"/>
      <c r="BA306" s="284"/>
      <c r="BB306" s="284"/>
      <c r="BC306" s="284"/>
      <c r="BD306" s="284"/>
      <c r="BE306" s="284"/>
      <c r="BF306" s="284"/>
      <c r="BG306" s="284"/>
      <c r="BH306" s="284"/>
      <c r="BI306" s="284"/>
      <c r="BJ306" s="284"/>
      <c r="BK306" s="284"/>
      <c r="BL306" s="284"/>
      <c r="BM306" s="284"/>
      <c r="BN306" s="284"/>
      <c r="BO306" s="284"/>
      <c r="BP306" s="284"/>
      <c r="BQ306" s="284"/>
      <c r="BR306" s="284"/>
      <c r="BS306" s="284"/>
      <c r="BT306" s="284"/>
      <c r="BU306" s="284"/>
      <c r="BV306" s="284"/>
      <c r="BW306" s="284"/>
      <c r="BX306" s="284"/>
      <c r="BY306" s="284"/>
      <c r="BZ306" s="285"/>
      <c r="CA306" s="298">
        <f>SUM(C306,E306,G306,I306,K306,M306,O306,Q306,S306,U306,W306,Y306,AA306,AC306,AE306,AG306,AI306,AK306,AM306,AO306,AQ306,AS306,AU306,AW306,AY306,BA306,BC306,BE306,BG306,BI306,BK306,BM306,BO306,BQ306,BS306,BU306,BW306,BY306)</f>
        <v>0</v>
      </c>
      <c r="CB306" s="298">
        <f>SUM(D306,F306,H306,J306,L306,N306,P306,R306,T306,V306,X306,Z306,AB306,AD306,AF306,AH306,AJ306,AL306,AN306,AP306,AR306,AT306,AV306,AX306,AZ306,BB306,BD306,BF306,BH306,BJ306,BL306,BN306,BP306,BR306,BT306,BV306,BX306,BZ306)</f>
        <v>0</v>
      </c>
      <c r="CC306" s="299">
        <f>SUM(Table13[[#This Row],[GOALS 1]:[ASSISTS 38]])</f>
        <v>0</v>
      </c>
    </row>
    <row r="307" spans="1:81">
      <c r="A307" s="291" t="s">
        <v>1309</v>
      </c>
      <c r="B307" s="291" t="s">
        <v>19</v>
      </c>
      <c r="C307" s="286"/>
      <c r="D307" s="286"/>
      <c r="E307" s="288"/>
      <c r="F307" s="286"/>
      <c r="G307" s="288"/>
      <c r="H307" s="286"/>
      <c r="I307" s="288"/>
      <c r="J307" s="286"/>
      <c r="K307" s="288"/>
      <c r="L307" s="286"/>
      <c r="M307" s="288"/>
      <c r="N307" s="286"/>
      <c r="O307" s="288"/>
      <c r="P307" s="286"/>
      <c r="Q307" s="288"/>
      <c r="R307" s="286"/>
      <c r="S307" s="288"/>
      <c r="T307" s="286"/>
      <c r="U307" s="288"/>
      <c r="V307" s="286"/>
      <c r="W307" s="288"/>
      <c r="X307" s="286"/>
      <c r="Y307" s="288"/>
      <c r="Z307" s="286"/>
      <c r="AA307" s="288"/>
      <c r="AB307" s="286"/>
      <c r="AC307" s="288"/>
      <c r="AD307" s="286"/>
      <c r="AE307" s="288"/>
      <c r="AF307" s="286"/>
      <c r="AG307" s="288"/>
      <c r="AH307" s="286"/>
      <c r="AI307" s="288"/>
      <c r="AJ307" s="286"/>
      <c r="AK307" s="286"/>
      <c r="AL307" s="286"/>
      <c r="AM307" s="286"/>
      <c r="AN307" s="286"/>
      <c r="AO307" s="286"/>
      <c r="AP307" s="286"/>
      <c r="AQ307" s="286"/>
      <c r="AR307" s="286"/>
      <c r="AS307" s="286"/>
      <c r="AT307" s="286"/>
      <c r="AU307" s="286"/>
      <c r="AV307" s="284"/>
      <c r="AW307" s="284"/>
      <c r="AX307" s="284"/>
      <c r="AY307" s="284"/>
      <c r="AZ307" s="284"/>
      <c r="BA307" s="284"/>
      <c r="BB307" s="284"/>
      <c r="BC307" s="284"/>
      <c r="BD307" s="284"/>
      <c r="BE307" s="284"/>
      <c r="BF307" s="284"/>
      <c r="BG307" s="284"/>
      <c r="BH307" s="284"/>
      <c r="BI307" s="284"/>
      <c r="BJ307" s="284"/>
      <c r="BK307" s="284"/>
      <c r="BL307" s="284"/>
      <c r="BM307" s="284"/>
      <c r="BN307" s="284"/>
      <c r="BO307" s="284"/>
      <c r="BP307" s="284"/>
      <c r="BQ307" s="284"/>
      <c r="BR307" s="284"/>
      <c r="BS307" s="284"/>
      <c r="BT307" s="284"/>
      <c r="BU307" s="284"/>
      <c r="BV307" s="284"/>
      <c r="BW307" s="284"/>
      <c r="BX307" s="284"/>
      <c r="BY307" s="284"/>
      <c r="BZ307" s="285"/>
      <c r="CA307" s="298">
        <f>SUM(C307,E307,G307,I307,K307,M307,O307,Q307,S307,U307,W307,Y307,AA307,AC307,AE307,AG307,AI307,AK307,AM307,AO307,AQ307,AS307,AU307,AW307,AY307,BA307,BC307,BE307,BG307,BI307,BK307,BM307,BO307,BQ307,BS307,BU307,BW307,BY307)</f>
        <v>0</v>
      </c>
      <c r="CB307" s="298">
        <f>SUM(D307,F307,H307,J307,L307,N307,P307,R307,T307,V307,X307,Z307,AB307,AD307,AF307,AH307,AJ307,AL307,AN307,AP307,AR307,AT307,AV307,AX307,AZ307,BB307,BD307,BF307,BH307,BJ307,BL307,BN307,BP307,BR307,BT307,BV307,BX307,BZ307)</f>
        <v>0</v>
      </c>
      <c r="CC307" s="299">
        <f>SUM(Table13[[#This Row],[GOALS 1]:[ASSISTS 38]])</f>
        <v>0</v>
      </c>
    </row>
    <row r="308" spans="1:81">
      <c r="A308" s="291" t="s">
        <v>1456</v>
      </c>
      <c r="B308" s="291" t="s">
        <v>29</v>
      </c>
      <c r="C308" s="289"/>
      <c r="D308" s="286"/>
      <c r="E308" s="288"/>
      <c r="F308" s="286"/>
      <c r="G308" s="288"/>
      <c r="H308" s="286"/>
      <c r="I308" s="288"/>
      <c r="J308" s="286"/>
      <c r="K308" s="288"/>
      <c r="L308" s="286"/>
      <c r="M308" s="288"/>
      <c r="N308" s="286"/>
      <c r="O308" s="288"/>
      <c r="P308" s="286"/>
      <c r="Q308" s="288"/>
      <c r="R308" s="286"/>
      <c r="S308" s="288"/>
      <c r="T308" s="286"/>
      <c r="U308" s="288"/>
      <c r="V308" s="286"/>
      <c r="W308" s="288"/>
      <c r="X308" s="286"/>
      <c r="Y308" s="288"/>
      <c r="Z308" s="286"/>
      <c r="AA308" s="288"/>
      <c r="AB308" s="286"/>
      <c r="AC308" s="288"/>
      <c r="AD308" s="286"/>
      <c r="AE308" s="288"/>
      <c r="AF308" s="286"/>
      <c r="AG308" s="288"/>
      <c r="AH308" s="286"/>
      <c r="AI308" s="288"/>
      <c r="AJ308" s="286"/>
      <c r="AK308" s="286"/>
      <c r="AL308" s="286"/>
      <c r="AM308" s="286"/>
      <c r="AN308" s="286"/>
      <c r="AO308" s="286"/>
      <c r="AP308" s="286"/>
      <c r="AQ308" s="286"/>
      <c r="AR308" s="286"/>
      <c r="AS308" s="286"/>
      <c r="AT308" s="286"/>
      <c r="AU308" s="286"/>
      <c r="AV308" s="284"/>
      <c r="AW308" s="284"/>
      <c r="AX308" s="284"/>
      <c r="AY308" s="284"/>
      <c r="AZ308" s="284"/>
      <c r="BA308" s="284"/>
      <c r="BB308" s="284"/>
      <c r="BC308" s="284"/>
      <c r="BD308" s="284"/>
      <c r="BE308" s="284"/>
      <c r="BF308" s="284"/>
      <c r="BG308" s="284"/>
      <c r="BH308" s="284"/>
      <c r="BI308" s="284"/>
      <c r="BJ308" s="284"/>
      <c r="BK308" s="284"/>
      <c r="BL308" s="284"/>
      <c r="BM308" s="284"/>
      <c r="BN308" s="284"/>
      <c r="BO308" s="284"/>
      <c r="BP308" s="284"/>
      <c r="BQ308" s="284"/>
      <c r="BR308" s="284"/>
      <c r="BS308" s="284"/>
      <c r="BT308" s="284"/>
      <c r="BU308" s="284"/>
      <c r="BV308" s="284"/>
      <c r="BW308" s="284"/>
      <c r="BX308" s="284"/>
      <c r="BY308" s="284"/>
      <c r="BZ308" s="285"/>
      <c r="CA308" s="298">
        <f>SUM(C308,E308,G308,I308,K308,M308,O308,Q308,S308,U308,W308,Y308,AA308,AC308,AE308,AG308,AI308,AK308,AM308,AO308,AQ308,AS308,AU308,AW308,AY308,BA308,BC308,BE308,BG308,BI308,BK308,BM308,BO308,BQ308,BS308,BU308,BW308,BY308)</f>
        <v>0</v>
      </c>
      <c r="CB308" s="298">
        <f>SUM(D308,F308,H308,J308,L308,N308,P308,R308,T308,V308,X308,Z308,AB308,AD308,AF308,AH308,AJ308,AL308,AN308,AP308,AR308,AT308,AV308,AX308,AZ308,BB308,BD308,BF308,BH308,BJ308,BL308,BN308,BP308,BR308,BT308,BV308,BX308,BZ308)</f>
        <v>0</v>
      </c>
      <c r="CC308" s="299">
        <f>SUM(Table13[[#This Row],[GOALS 1]:[ASSISTS 38]])</f>
        <v>0</v>
      </c>
    </row>
    <row r="309" spans="1:81">
      <c r="A309" s="291" t="s">
        <v>1783</v>
      </c>
      <c r="B309" s="291" t="s">
        <v>17</v>
      </c>
      <c r="C309" s="289"/>
      <c r="D309" s="286"/>
      <c r="E309" s="288"/>
      <c r="F309" s="286"/>
      <c r="G309" s="288"/>
      <c r="H309" s="286"/>
      <c r="I309" s="288"/>
      <c r="J309" s="286"/>
      <c r="K309" s="288"/>
      <c r="L309" s="286"/>
      <c r="M309" s="288"/>
      <c r="N309" s="286"/>
      <c r="O309" s="288"/>
      <c r="P309" s="286"/>
      <c r="Q309" s="288"/>
      <c r="R309" s="286"/>
      <c r="S309" s="288"/>
      <c r="T309" s="286"/>
      <c r="U309" s="288"/>
      <c r="V309" s="286"/>
      <c r="W309" s="288"/>
      <c r="X309" s="286"/>
      <c r="Y309" s="288"/>
      <c r="Z309" s="286"/>
      <c r="AA309" s="288"/>
      <c r="AB309" s="286"/>
      <c r="AC309" s="288"/>
      <c r="AD309" s="286"/>
      <c r="AE309" s="288"/>
      <c r="AF309" s="286"/>
      <c r="AG309" s="288"/>
      <c r="AH309" s="286"/>
      <c r="AI309" s="288"/>
      <c r="AJ309" s="286"/>
      <c r="AK309" s="286"/>
      <c r="AL309" s="286"/>
      <c r="AM309" s="286"/>
      <c r="AN309" s="286"/>
      <c r="AO309" s="286"/>
      <c r="AP309" s="286"/>
      <c r="AQ309" s="286"/>
      <c r="AR309" s="286"/>
      <c r="AS309" s="286"/>
      <c r="AT309" s="286"/>
      <c r="AU309" s="286"/>
      <c r="AV309" s="284"/>
      <c r="AW309" s="284"/>
      <c r="AX309" s="284"/>
      <c r="AY309" s="284"/>
      <c r="AZ309" s="284"/>
      <c r="BA309" s="284"/>
      <c r="BB309" s="284"/>
      <c r="BC309" s="284"/>
      <c r="BD309" s="284"/>
      <c r="BE309" s="284"/>
      <c r="BF309" s="284"/>
      <c r="BG309" s="284"/>
      <c r="BH309" s="284"/>
      <c r="BI309" s="284"/>
      <c r="BJ309" s="284"/>
      <c r="BK309" s="284"/>
      <c r="BL309" s="284"/>
      <c r="BM309" s="284"/>
      <c r="BN309" s="284"/>
      <c r="BO309" s="284"/>
      <c r="BP309" s="284"/>
      <c r="BQ309" s="284"/>
      <c r="BR309" s="284"/>
      <c r="BS309" s="284"/>
      <c r="BT309" s="284"/>
      <c r="BU309" s="284"/>
      <c r="BV309" s="284"/>
      <c r="BW309" s="284"/>
      <c r="BX309" s="284"/>
      <c r="BY309" s="284"/>
      <c r="BZ309" s="285"/>
      <c r="CA309" s="298">
        <f>SUM(C309,E309,G309,I309,K309,M309,O309,Q309,S309,U309,W309,Y309,AA309,AC309,AE309,AG309,AI309,AK309,AM309,AO309,AQ309,AS309,AU309,AW309,AY309,BA309,BC309,BE309,BG309,BI309,BK309,BM309,BO309,BQ309,BS309,BU309,BW309,BY309)</f>
        <v>0</v>
      </c>
      <c r="CB309" s="298">
        <f>SUM(D309,F309,H309,J309,L309,N309,P309,R309,T309,V309,X309,Z309,AB309,AD309,AF309,AH309,AJ309,AL309,AN309,AP309,AR309,AT309,AV309,AX309,AZ309,BB309,BD309,BF309,BH309,BJ309,BL309,BN309,BP309,BR309,BT309,BV309,BX309,BZ309)</f>
        <v>0</v>
      </c>
      <c r="CC309" s="299">
        <f>SUM(Table13[[#This Row],[GOALS 1]:[ASSISTS 38]])</f>
        <v>0</v>
      </c>
    </row>
    <row r="310" spans="1:81">
      <c r="A310" s="291" t="s">
        <v>1560</v>
      </c>
      <c r="B310" s="291" t="s">
        <v>33</v>
      </c>
      <c r="C310" s="289"/>
      <c r="D310" s="286"/>
      <c r="E310" s="288"/>
      <c r="F310" s="286"/>
      <c r="G310" s="288"/>
      <c r="H310" s="286"/>
      <c r="I310" s="288"/>
      <c r="J310" s="286"/>
      <c r="K310" s="288"/>
      <c r="L310" s="286"/>
      <c r="M310" s="288"/>
      <c r="N310" s="286"/>
      <c r="O310" s="288"/>
      <c r="P310" s="286"/>
      <c r="Q310" s="288"/>
      <c r="R310" s="286"/>
      <c r="S310" s="288"/>
      <c r="T310" s="286"/>
      <c r="U310" s="288"/>
      <c r="V310" s="286"/>
      <c r="W310" s="288"/>
      <c r="X310" s="286"/>
      <c r="Y310" s="288"/>
      <c r="Z310" s="286"/>
      <c r="AA310" s="288"/>
      <c r="AB310" s="286"/>
      <c r="AC310" s="288"/>
      <c r="AD310" s="286"/>
      <c r="AE310" s="288"/>
      <c r="AF310" s="286"/>
      <c r="AG310" s="288"/>
      <c r="AH310" s="286"/>
      <c r="AI310" s="288"/>
      <c r="AJ310" s="286"/>
      <c r="AK310" s="286"/>
      <c r="AL310" s="286"/>
      <c r="AM310" s="286"/>
      <c r="AN310" s="286"/>
      <c r="AO310" s="286"/>
      <c r="AP310" s="286"/>
      <c r="AQ310" s="286"/>
      <c r="AR310" s="286"/>
      <c r="AS310" s="286"/>
      <c r="AT310" s="286"/>
      <c r="AU310" s="286"/>
      <c r="AV310" s="284"/>
      <c r="AW310" s="284"/>
      <c r="AX310" s="284"/>
      <c r="AY310" s="284"/>
      <c r="AZ310" s="284"/>
      <c r="BA310" s="284"/>
      <c r="BB310" s="284"/>
      <c r="BC310" s="284"/>
      <c r="BD310" s="284"/>
      <c r="BE310" s="284"/>
      <c r="BF310" s="284"/>
      <c r="BG310" s="284"/>
      <c r="BH310" s="284"/>
      <c r="BI310" s="284"/>
      <c r="BJ310" s="284"/>
      <c r="BK310" s="284"/>
      <c r="BL310" s="284"/>
      <c r="BM310" s="284"/>
      <c r="BN310" s="284"/>
      <c r="BO310" s="284"/>
      <c r="BP310" s="284"/>
      <c r="BQ310" s="284"/>
      <c r="BR310" s="284"/>
      <c r="BS310" s="284"/>
      <c r="BT310" s="284"/>
      <c r="BU310" s="284"/>
      <c r="BV310" s="284"/>
      <c r="BW310" s="284"/>
      <c r="BX310" s="284"/>
      <c r="BY310" s="284"/>
      <c r="BZ310" s="285"/>
      <c r="CA310" s="298">
        <f>SUM(C310,E310,G310,I310,K310,M310,O310,Q310,S310,U310,W310,Y310,AA310,AC310,AE310,AG310,AI310,AK310,AM310,AO310,AQ310,AS310,AU310,AW310,AY310,BA310,BC310,BE310,BG310,BI310,BK310,BM310,BO310,BQ310,BS310,BU310,BW310,BY310)</f>
        <v>0</v>
      </c>
      <c r="CB310" s="298">
        <f>SUM(D310,F310,H310,J310,L310,N310,P310,R310,T310,V310,X310,Z310,AB310,AD310,AF310,AH310,AJ310,AL310,AN310,AP310,AR310,AT310,AV310,AX310,AZ310,BB310,BD310,BF310,BH310,BJ310,BL310,BN310,BP310,BR310,BT310,BV310,BX310,BZ310)</f>
        <v>0</v>
      </c>
      <c r="CC310" s="299">
        <f>SUM(Table13[[#This Row],[GOALS 1]:[ASSISTS 38]])</f>
        <v>0</v>
      </c>
    </row>
    <row r="311" spans="1:81">
      <c r="A311" s="291" t="s">
        <v>1392</v>
      </c>
      <c r="B311" s="291" t="s">
        <v>24</v>
      </c>
      <c r="C311" s="286"/>
      <c r="D311" s="286"/>
      <c r="E311" s="288"/>
      <c r="F311" s="286"/>
      <c r="G311" s="288"/>
      <c r="H311" s="286"/>
      <c r="I311" s="288"/>
      <c r="J311" s="286"/>
      <c r="K311" s="288"/>
      <c r="L311" s="286"/>
      <c r="M311" s="288"/>
      <c r="N311" s="286"/>
      <c r="O311" s="288"/>
      <c r="P311" s="286"/>
      <c r="Q311" s="288"/>
      <c r="R311" s="286"/>
      <c r="S311" s="288"/>
      <c r="T311" s="286"/>
      <c r="U311" s="288"/>
      <c r="V311" s="286"/>
      <c r="W311" s="288"/>
      <c r="X311" s="286"/>
      <c r="Y311" s="288"/>
      <c r="Z311" s="286"/>
      <c r="AA311" s="288"/>
      <c r="AB311" s="286"/>
      <c r="AC311" s="288"/>
      <c r="AD311" s="286"/>
      <c r="AE311" s="288"/>
      <c r="AF311" s="286"/>
      <c r="AG311" s="288"/>
      <c r="AH311" s="286"/>
      <c r="AI311" s="288"/>
      <c r="AJ311" s="286"/>
      <c r="AK311" s="286"/>
      <c r="AL311" s="286"/>
      <c r="AM311" s="286"/>
      <c r="AN311" s="286"/>
      <c r="AO311" s="286"/>
      <c r="AP311" s="286"/>
      <c r="AQ311" s="286"/>
      <c r="AR311" s="286"/>
      <c r="AS311" s="286"/>
      <c r="AT311" s="286"/>
      <c r="AU311" s="286"/>
      <c r="AV311" s="284"/>
      <c r="AW311" s="284"/>
      <c r="AX311" s="284"/>
      <c r="AY311" s="284"/>
      <c r="AZ311" s="284"/>
      <c r="BA311" s="284"/>
      <c r="BB311" s="284"/>
      <c r="BC311" s="284"/>
      <c r="BD311" s="284"/>
      <c r="BE311" s="284"/>
      <c r="BF311" s="284"/>
      <c r="BG311" s="284"/>
      <c r="BH311" s="284"/>
      <c r="BI311" s="284"/>
      <c r="BJ311" s="284"/>
      <c r="BK311" s="284"/>
      <c r="BL311" s="284"/>
      <c r="BM311" s="284"/>
      <c r="BN311" s="284"/>
      <c r="BO311" s="284"/>
      <c r="BP311" s="284"/>
      <c r="BQ311" s="284"/>
      <c r="BR311" s="284"/>
      <c r="BS311" s="284"/>
      <c r="BT311" s="284"/>
      <c r="BU311" s="284"/>
      <c r="BV311" s="284"/>
      <c r="BW311" s="284"/>
      <c r="BX311" s="284"/>
      <c r="BY311" s="284"/>
      <c r="BZ311" s="285"/>
      <c r="CA311" s="298">
        <f>SUM(C311,E311,G311,I311,K311,M311,O311,Q311,S311,U311,W311,Y311,AA311,AC311,AE311,AG311,AI311,AK311,AM311,AO311,AQ311,AS311,AU311,AW311,AY311,BA311,BC311,BE311,BG311,BI311,BK311,BM311,BO311,BQ311,BS311,BU311,BW311,BY311)</f>
        <v>0</v>
      </c>
      <c r="CB311" s="298">
        <f>SUM(D311,F311,H311,J311,L311,N311,P311,R311,T311,V311,X311,Z311,AB311,AD311,AF311,AH311,AJ311,AL311,AN311,AP311,AR311,AT311,AV311,AX311,AZ311,BB311,BD311,BF311,BH311,BJ311,BL311,BN311,BP311,BR311,BT311,BV311,BX311,BZ311)</f>
        <v>0</v>
      </c>
      <c r="CC311" s="299">
        <f>SUM(Table13[[#This Row],[GOALS 1]:[ASSISTS 38]])</f>
        <v>0</v>
      </c>
    </row>
    <row r="312" spans="1:81">
      <c r="A312" s="291" t="s">
        <v>1491</v>
      </c>
      <c r="B312" s="291" t="s">
        <v>29</v>
      </c>
      <c r="C312" s="289"/>
      <c r="D312" s="286"/>
      <c r="E312" s="288"/>
      <c r="F312" s="286"/>
      <c r="G312" s="288"/>
      <c r="H312" s="286"/>
      <c r="I312" s="288"/>
      <c r="J312" s="286"/>
      <c r="K312" s="288"/>
      <c r="L312" s="286"/>
      <c r="M312" s="288"/>
      <c r="N312" s="286"/>
      <c r="O312" s="288"/>
      <c r="P312" s="286"/>
      <c r="Q312" s="288"/>
      <c r="R312" s="286"/>
      <c r="S312" s="288"/>
      <c r="T312" s="286"/>
      <c r="U312" s="288"/>
      <c r="V312" s="286"/>
      <c r="W312" s="288"/>
      <c r="X312" s="286"/>
      <c r="Y312" s="288"/>
      <c r="Z312" s="286"/>
      <c r="AA312" s="288"/>
      <c r="AB312" s="286"/>
      <c r="AC312" s="288"/>
      <c r="AD312" s="286"/>
      <c r="AE312" s="288"/>
      <c r="AF312" s="286"/>
      <c r="AG312" s="288"/>
      <c r="AH312" s="286"/>
      <c r="AI312" s="288"/>
      <c r="AJ312" s="286"/>
      <c r="AK312" s="286"/>
      <c r="AL312" s="286"/>
      <c r="AM312" s="286"/>
      <c r="AN312" s="286"/>
      <c r="AO312" s="286"/>
      <c r="AP312" s="286"/>
      <c r="AQ312" s="286"/>
      <c r="AR312" s="286"/>
      <c r="AS312" s="286"/>
      <c r="AT312" s="286"/>
      <c r="AU312" s="286"/>
      <c r="AV312" s="284"/>
      <c r="AW312" s="284"/>
      <c r="AX312" s="284"/>
      <c r="AY312" s="284"/>
      <c r="AZ312" s="284"/>
      <c r="BA312" s="284"/>
      <c r="BB312" s="284"/>
      <c r="BC312" s="284"/>
      <c r="BD312" s="284"/>
      <c r="BE312" s="284"/>
      <c r="BF312" s="284"/>
      <c r="BG312" s="284"/>
      <c r="BH312" s="284"/>
      <c r="BI312" s="284"/>
      <c r="BJ312" s="284"/>
      <c r="BK312" s="284"/>
      <c r="BL312" s="284"/>
      <c r="BM312" s="284"/>
      <c r="BN312" s="284"/>
      <c r="BO312" s="284"/>
      <c r="BP312" s="284"/>
      <c r="BQ312" s="284"/>
      <c r="BR312" s="284"/>
      <c r="BS312" s="284"/>
      <c r="BT312" s="284"/>
      <c r="BU312" s="284"/>
      <c r="BV312" s="284"/>
      <c r="BW312" s="284"/>
      <c r="BX312" s="284"/>
      <c r="BY312" s="284"/>
      <c r="BZ312" s="285"/>
      <c r="CA312" s="298">
        <f>SUM(C312,E312,G312,I312,K312,M312,O312,Q312,S312,U312,W312,Y312,AA312,AC312,AE312,AG312,AI312,AK312,AM312,AO312,AQ312,AS312,AU312,AW312,AY312,BA312,BC312,BE312,BG312,BI312,BK312,BM312,BO312,BQ312,BS312,BU312,BW312,BY312)</f>
        <v>0</v>
      </c>
      <c r="CB312" s="298">
        <f>SUM(D312,F312,H312,J312,L312,N312,P312,R312,T312,V312,X312,Z312,AB312,AD312,AF312,AH312,AJ312,AL312,AN312,AP312,AR312,AT312,AV312,AX312,AZ312,BB312,BD312,BF312,BH312,BJ312,BL312,BN312,BP312,BR312,BT312,BV312,BX312,BZ312)</f>
        <v>0</v>
      </c>
      <c r="CC312" s="299">
        <f>SUM(Table13[[#This Row],[GOALS 1]:[ASSISTS 38]])</f>
        <v>0</v>
      </c>
    </row>
    <row r="313" spans="1:81">
      <c r="A313" s="291" t="s">
        <v>1370</v>
      </c>
      <c r="B313" s="291" t="s">
        <v>27</v>
      </c>
      <c r="C313" s="286"/>
      <c r="D313" s="286"/>
      <c r="E313" s="289"/>
      <c r="F313" s="286"/>
      <c r="G313" s="288"/>
      <c r="H313" s="286"/>
      <c r="I313" s="288"/>
      <c r="J313" s="286"/>
      <c r="K313" s="288"/>
      <c r="L313" s="286"/>
      <c r="M313" s="288"/>
      <c r="N313" s="286"/>
      <c r="O313" s="288"/>
      <c r="P313" s="286"/>
      <c r="Q313" s="288"/>
      <c r="R313" s="286"/>
      <c r="S313" s="288"/>
      <c r="T313" s="286"/>
      <c r="U313" s="288"/>
      <c r="V313" s="286"/>
      <c r="W313" s="288"/>
      <c r="X313" s="286"/>
      <c r="Y313" s="288"/>
      <c r="Z313" s="286"/>
      <c r="AA313" s="288"/>
      <c r="AB313" s="286"/>
      <c r="AC313" s="288"/>
      <c r="AD313" s="286"/>
      <c r="AE313" s="288"/>
      <c r="AF313" s="286"/>
      <c r="AG313" s="288"/>
      <c r="AH313" s="286"/>
      <c r="AI313" s="288"/>
      <c r="AJ313" s="286"/>
      <c r="AK313" s="286"/>
      <c r="AL313" s="286"/>
      <c r="AM313" s="286"/>
      <c r="AN313" s="286"/>
      <c r="AO313" s="286"/>
      <c r="AP313" s="286"/>
      <c r="AQ313" s="286"/>
      <c r="AR313" s="286"/>
      <c r="AS313" s="286"/>
      <c r="AT313" s="286"/>
      <c r="AU313" s="286"/>
      <c r="AV313" s="284"/>
      <c r="AW313" s="284"/>
      <c r="AX313" s="284"/>
      <c r="AY313" s="284"/>
      <c r="AZ313" s="284"/>
      <c r="BA313" s="284"/>
      <c r="BB313" s="284"/>
      <c r="BC313" s="284"/>
      <c r="BD313" s="284"/>
      <c r="BE313" s="284"/>
      <c r="BF313" s="284"/>
      <c r="BG313" s="284"/>
      <c r="BH313" s="284"/>
      <c r="BI313" s="284"/>
      <c r="BJ313" s="284"/>
      <c r="BK313" s="284"/>
      <c r="BL313" s="284"/>
      <c r="BM313" s="284"/>
      <c r="BN313" s="284"/>
      <c r="BO313" s="284"/>
      <c r="BP313" s="284"/>
      <c r="BQ313" s="284"/>
      <c r="BR313" s="284"/>
      <c r="BS313" s="284"/>
      <c r="BT313" s="284"/>
      <c r="BU313" s="284"/>
      <c r="BV313" s="284"/>
      <c r="BW313" s="284"/>
      <c r="BX313" s="284"/>
      <c r="BY313" s="284"/>
      <c r="BZ313" s="285"/>
      <c r="CA313" s="298">
        <f>SUM(C313,E313,G313,I313,K313,M313,O313,Q313,S313,U313,W313,Y313,AA313,AC313,AE313,AG313,AI313,AK313,AM313,AO313,AQ313,AS313,AU313,AW313,AY313,BA313,BC313,BE313,BG313,BI313,BK313,BM313,BO313,BQ313,BS313,BU313,BW313,BY313)</f>
        <v>0</v>
      </c>
      <c r="CB313" s="298">
        <f>SUM(D313,F313,H313,J313,L313,N313,P313,R313,T313,V313,X313,Z313,AB313,AD313,AF313,AH313,AJ313,AL313,AN313,AP313,AR313,AT313,AV313,AX313,AZ313,BB313,BD313,BF313,BH313,BJ313,BL313,BN313,BP313,BR313,BT313,BV313,BX313,BZ313)</f>
        <v>0</v>
      </c>
      <c r="CC313" s="299">
        <f>SUM(Table13[[#This Row],[GOALS 1]:[ASSISTS 38]])</f>
        <v>0</v>
      </c>
    </row>
    <row r="314" spans="1:81">
      <c r="A314" s="291" t="s">
        <v>1639</v>
      </c>
      <c r="B314" s="291" t="s">
        <v>33</v>
      </c>
      <c r="C314" s="289"/>
      <c r="D314" s="286"/>
      <c r="E314" s="288"/>
      <c r="F314" s="286"/>
      <c r="G314" s="288"/>
      <c r="H314" s="286"/>
      <c r="I314" s="288"/>
      <c r="J314" s="286"/>
      <c r="K314" s="288"/>
      <c r="L314" s="286"/>
      <c r="M314" s="288"/>
      <c r="N314" s="286"/>
      <c r="O314" s="288"/>
      <c r="P314" s="286"/>
      <c r="Q314" s="288"/>
      <c r="R314" s="286"/>
      <c r="S314" s="288"/>
      <c r="T314" s="286"/>
      <c r="U314" s="288"/>
      <c r="V314" s="286"/>
      <c r="W314" s="288"/>
      <c r="X314" s="286"/>
      <c r="Y314" s="288"/>
      <c r="Z314" s="286"/>
      <c r="AA314" s="288"/>
      <c r="AB314" s="286"/>
      <c r="AC314" s="288"/>
      <c r="AD314" s="286"/>
      <c r="AE314" s="288"/>
      <c r="AF314" s="286"/>
      <c r="AG314" s="288"/>
      <c r="AH314" s="286"/>
      <c r="AI314" s="288"/>
      <c r="AJ314" s="286"/>
      <c r="AK314" s="286"/>
      <c r="AL314" s="286"/>
      <c r="AM314" s="286"/>
      <c r="AN314" s="286"/>
      <c r="AO314" s="286"/>
      <c r="AP314" s="286"/>
      <c r="AQ314" s="286"/>
      <c r="AR314" s="286"/>
      <c r="AS314" s="286"/>
      <c r="AT314" s="286"/>
      <c r="AU314" s="286"/>
      <c r="AV314" s="284"/>
      <c r="AW314" s="284"/>
      <c r="AX314" s="284"/>
      <c r="AY314" s="284"/>
      <c r="AZ314" s="284"/>
      <c r="BA314" s="284"/>
      <c r="BB314" s="284"/>
      <c r="BC314" s="284"/>
      <c r="BD314" s="284"/>
      <c r="BE314" s="284"/>
      <c r="BF314" s="284"/>
      <c r="BG314" s="284"/>
      <c r="BH314" s="284"/>
      <c r="BI314" s="284"/>
      <c r="BJ314" s="284"/>
      <c r="BK314" s="284"/>
      <c r="BL314" s="284"/>
      <c r="BM314" s="284"/>
      <c r="BN314" s="284"/>
      <c r="BO314" s="284"/>
      <c r="BP314" s="284"/>
      <c r="BQ314" s="284"/>
      <c r="BR314" s="284"/>
      <c r="BS314" s="284"/>
      <c r="BT314" s="284"/>
      <c r="BU314" s="284"/>
      <c r="BV314" s="284"/>
      <c r="BW314" s="284"/>
      <c r="BX314" s="284"/>
      <c r="BY314" s="284"/>
      <c r="BZ314" s="285"/>
      <c r="CA314" s="298">
        <f>SUM(C314,E314,G314,I314,K314,M314,O314,Q314,S314,U314,W314,Y314,AA314,AC314,AE314,AG314,AI314,AK314,AM314,AO314,AQ314,AS314,AU314,AW314,AY314,BA314,BC314,BE314,BG314,BI314,BK314,BM314,BO314,BQ314,BS314,BU314,BW314,BY314)</f>
        <v>0</v>
      </c>
      <c r="CB314" s="298">
        <f>SUM(D314,F314,H314,J314,L314,N314,P314,R314,T314,V314,X314,Z314,AB314,AD314,AF314,AH314,AJ314,AL314,AN314,AP314,AR314,AT314,AV314,AX314,AZ314,BB314,BD314,BF314,BH314,BJ314,BL314,BN314,BP314,BR314,BT314,BV314,BX314,BZ314)</f>
        <v>0</v>
      </c>
      <c r="CC314" s="299">
        <f>SUM(Table13[[#This Row],[GOALS 1]:[ASSISTS 38]])</f>
        <v>0</v>
      </c>
    </row>
    <row r="315" spans="1:81">
      <c r="A315" s="291" t="s">
        <v>1408</v>
      </c>
      <c r="B315" s="291" t="s">
        <v>24</v>
      </c>
      <c r="C315" s="286"/>
      <c r="D315" s="286"/>
      <c r="E315" s="288"/>
      <c r="F315" s="286"/>
      <c r="G315" s="288"/>
      <c r="H315" s="286"/>
      <c r="I315" s="288"/>
      <c r="J315" s="286"/>
      <c r="K315" s="288"/>
      <c r="L315" s="286"/>
      <c r="M315" s="288"/>
      <c r="N315" s="286"/>
      <c r="O315" s="288"/>
      <c r="P315" s="286"/>
      <c r="Q315" s="288"/>
      <c r="R315" s="286"/>
      <c r="S315" s="288"/>
      <c r="T315" s="286"/>
      <c r="U315" s="288"/>
      <c r="V315" s="286"/>
      <c r="W315" s="288"/>
      <c r="X315" s="286"/>
      <c r="Y315" s="288"/>
      <c r="Z315" s="286"/>
      <c r="AA315" s="288"/>
      <c r="AB315" s="286"/>
      <c r="AC315" s="288"/>
      <c r="AD315" s="286"/>
      <c r="AE315" s="288"/>
      <c r="AF315" s="286"/>
      <c r="AG315" s="288"/>
      <c r="AH315" s="286"/>
      <c r="AI315" s="288"/>
      <c r="AJ315" s="286"/>
      <c r="AK315" s="286"/>
      <c r="AL315" s="286"/>
      <c r="AM315" s="286"/>
      <c r="AN315" s="286"/>
      <c r="AO315" s="286"/>
      <c r="AP315" s="286"/>
      <c r="AQ315" s="286"/>
      <c r="AR315" s="286"/>
      <c r="AS315" s="286"/>
      <c r="AT315" s="286"/>
      <c r="AU315" s="286"/>
      <c r="AV315" s="284"/>
      <c r="AW315" s="284"/>
      <c r="AX315" s="284"/>
      <c r="AY315" s="284"/>
      <c r="AZ315" s="284"/>
      <c r="BA315" s="284"/>
      <c r="BB315" s="284"/>
      <c r="BC315" s="284"/>
      <c r="BD315" s="284"/>
      <c r="BE315" s="284"/>
      <c r="BF315" s="284"/>
      <c r="BG315" s="284"/>
      <c r="BH315" s="284"/>
      <c r="BI315" s="284"/>
      <c r="BJ315" s="284"/>
      <c r="BK315" s="284"/>
      <c r="BL315" s="284"/>
      <c r="BM315" s="284"/>
      <c r="BN315" s="284"/>
      <c r="BO315" s="284"/>
      <c r="BP315" s="284"/>
      <c r="BQ315" s="284"/>
      <c r="BR315" s="284"/>
      <c r="BS315" s="284"/>
      <c r="BT315" s="284"/>
      <c r="BU315" s="284"/>
      <c r="BV315" s="284"/>
      <c r="BW315" s="284"/>
      <c r="BX315" s="284"/>
      <c r="BY315" s="284"/>
      <c r="BZ315" s="285"/>
      <c r="CA315" s="298">
        <f>SUM(C315,E315,G315,I315,K315,M315,O315,Q315,S315,U315,W315,Y315,AA315,AC315,AE315,AG315,AI315,AK315,AM315,AO315,AQ315,AS315,AU315,AW315,AY315,BA315,BC315,BE315,BG315,BI315,BK315,BM315,BO315,BQ315,BS315,BU315,BW315,BY315)</f>
        <v>0</v>
      </c>
      <c r="CB315" s="298">
        <f>SUM(D315,F315,H315,J315,L315,N315,P315,R315,T315,V315,X315,Z315,AB315,AD315,AF315,AH315,AJ315,AL315,AN315,AP315,AR315,AT315,AV315,AX315,AZ315,BB315,BD315,BF315,BH315,BJ315,BL315,BN315,BP315,BR315,BT315,BV315,BX315,BZ315)</f>
        <v>0</v>
      </c>
      <c r="CC315" s="299">
        <f>SUM(Table13[[#This Row],[GOALS 1]:[ASSISTS 38]])</f>
        <v>0</v>
      </c>
    </row>
    <row r="316" spans="1:81">
      <c r="A316" s="291" t="s">
        <v>1283</v>
      </c>
      <c r="B316" s="291" t="s">
        <v>27</v>
      </c>
      <c r="C316" s="286"/>
      <c r="D316" s="286"/>
      <c r="E316" s="289"/>
      <c r="F316" s="286"/>
      <c r="G316" s="288"/>
      <c r="H316" s="286"/>
      <c r="I316" s="288"/>
      <c r="J316" s="286"/>
      <c r="K316" s="288"/>
      <c r="L316" s="286"/>
      <c r="M316" s="288"/>
      <c r="N316" s="286"/>
      <c r="O316" s="288"/>
      <c r="P316" s="286"/>
      <c r="Q316" s="288"/>
      <c r="R316" s="286"/>
      <c r="S316" s="288"/>
      <c r="T316" s="286"/>
      <c r="U316" s="288"/>
      <c r="V316" s="286"/>
      <c r="W316" s="288"/>
      <c r="X316" s="286"/>
      <c r="Y316" s="288"/>
      <c r="Z316" s="286"/>
      <c r="AA316" s="288"/>
      <c r="AB316" s="286"/>
      <c r="AC316" s="288"/>
      <c r="AD316" s="286"/>
      <c r="AE316" s="288"/>
      <c r="AF316" s="286"/>
      <c r="AG316" s="288"/>
      <c r="AH316" s="286"/>
      <c r="AI316" s="288"/>
      <c r="AJ316" s="286"/>
      <c r="AK316" s="286"/>
      <c r="AL316" s="286"/>
      <c r="AM316" s="286"/>
      <c r="AN316" s="286"/>
      <c r="AO316" s="286"/>
      <c r="AP316" s="286"/>
      <c r="AQ316" s="286"/>
      <c r="AR316" s="286"/>
      <c r="AS316" s="286"/>
      <c r="AT316" s="286"/>
      <c r="AU316" s="286"/>
      <c r="AV316" s="284"/>
      <c r="AW316" s="284"/>
      <c r="AX316" s="284"/>
      <c r="AY316" s="284"/>
      <c r="AZ316" s="284"/>
      <c r="BA316" s="284"/>
      <c r="BB316" s="284"/>
      <c r="BC316" s="284"/>
      <c r="BD316" s="284"/>
      <c r="BE316" s="284"/>
      <c r="BF316" s="284"/>
      <c r="BG316" s="284"/>
      <c r="BH316" s="284"/>
      <c r="BI316" s="284"/>
      <c r="BJ316" s="284"/>
      <c r="BK316" s="284"/>
      <c r="BL316" s="284"/>
      <c r="BM316" s="284"/>
      <c r="BN316" s="284"/>
      <c r="BO316" s="284"/>
      <c r="BP316" s="284"/>
      <c r="BQ316" s="284"/>
      <c r="BR316" s="284"/>
      <c r="BS316" s="284"/>
      <c r="BT316" s="284"/>
      <c r="BU316" s="284"/>
      <c r="BV316" s="284"/>
      <c r="BW316" s="284"/>
      <c r="BX316" s="284"/>
      <c r="BY316" s="284"/>
      <c r="BZ316" s="285"/>
      <c r="CA316" s="298">
        <f>SUM(C316,E316,G316,I316,K316,M316,O316,Q316,S316,U316,W316,Y316,AA316,AC316,AE316,AG316,AI316,AK316,AM316,AO316,AQ316,AS316,AU316,AW316,AY316,BA316,BC316,BE316,BG316,BI316,BK316,BM316,BO316,BQ316,BS316,BU316,BW316,BY316)</f>
        <v>0</v>
      </c>
      <c r="CB316" s="298">
        <f>SUM(D316,F316,H316,J316,L316,N316,P316,R316,T316,V316,X316,Z316,AB316,AD316,AF316,AH316,AJ316,AL316,AN316,AP316,AR316,AT316,AV316,AX316,AZ316,BB316,BD316,BF316,BH316,BJ316,BL316,BN316,BP316,BR316,BT316,BV316,BX316,BZ316)</f>
        <v>0</v>
      </c>
      <c r="CC316" s="299">
        <f>SUM(Table13[[#This Row],[GOALS 1]:[ASSISTS 38]])</f>
        <v>0</v>
      </c>
    </row>
    <row r="317" spans="1:81">
      <c r="A317" s="291" t="s">
        <v>1662</v>
      </c>
      <c r="B317" s="291" t="s">
        <v>33</v>
      </c>
      <c r="C317" s="289"/>
      <c r="D317" s="286"/>
      <c r="E317" s="288"/>
      <c r="F317" s="286"/>
      <c r="G317" s="288"/>
      <c r="H317" s="286"/>
      <c r="I317" s="288"/>
      <c r="J317" s="286"/>
      <c r="K317" s="288"/>
      <c r="L317" s="286"/>
      <c r="M317" s="288"/>
      <c r="N317" s="286"/>
      <c r="O317" s="288"/>
      <c r="P317" s="286"/>
      <c r="Q317" s="288"/>
      <c r="R317" s="286"/>
      <c r="S317" s="288"/>
      <c r="T317" s="286"/>
      <c r="U317" s="288"/>
      <c r="V317" s="286"/>
      <c r="W317" s="288"/>
      <c r="X317" s="286"/>
      <c r="Y317" s="288"/>
      <c r="Z317" s="286"/>
      <c r="AA317" s="288"/>
      <c r="AB317" s="286"/>
      <c r="AC317" s="288"/>
      <c r="AD317" s="286"/>
      <c r="AE317" s="288"/>
      <c r="AF317" s="286"/>
      <c r="AG317" s="288"/>
      <c r="AH317" s="286"/>
      <c r="AI317" s="288"/>
      <c r="AJ317" s="286"/>
      <c r="AK317" s="286"/>
      <c r="AL317" s="286"/>
      <c r="AM317" s="286"/>
      <c r="AN317" s="286"/>
      <c r="AO317" s="286"/>
      <c r="AP317" s="286"/>
      <c r="AQ317" s="286"/>
      <c r="AR317" s="286"/>
      <c r="AS317" s="286"/>
      <c r="AT317" s="286"/>
      <c r="AU317" s="286"/>
      <c r="AV317" s="284"/>
      <c r="AW317" s="284"/>
      <c r="AX317" s="284"/>
      <c r="AY317" s="284"/>
      <c r="AZ317" s="284"/>
      <c r="BA317" s="284"/>
      <c r="BB317" s="284"/>
      <c r="BC317" s="284"/>
      <c r="BD317" s="284"/>
      <c r="BE317" s="284"/>
      <c r="BF317" s="284"/>
      <c r="BG317" s="284"/>
      <c r="BH317" s="284"/>
      <c r="BI317" s="284"/>
      <c r="BJ317" s="284"/>
      <c r="BK317" s="284"/>
      <c r="BL317" s="284"/>
      <c r="BM317" s="284"/>
      <c r="BN317" s="284"/>
      <c r="BO317" s="284"/>
      <c r="BP317" s="284"/>
      <c r="BQ317" s="284"/>
      <c r="BR317" s="284"/>
      <c r="BS317" s="284"/>
      <c r="BT317" s="284"/>
      <c r="BU317" s="284"/>
      <c r="BV317" s="284"/>
      <c r="BW317" s="284"/>
      <c r="BX317" s="284"/>
      <c r="BY317" s="284"/>
      <c r="BZ317" s="285"/>
      <c r="CA317" s="298">
        <f>SUM(C317,E317,G317,I317,K317,M317,O317,Q317,S317,U317,W317,Y317,AA317,AC317,AE317,AG317,AI317,AK317,AM317,AO317,AQ317,AS317,AU317,AW317,AY317,BA317,BC317,BE317,BG317,BI317,BK317,BM317,BO317,BQ317,BS317,BU317,BW317,BY317)</f>
        <v>0</v>
      </c>
      <c r="CB317" s="298">
        <f>SUM(D317,F317,H317,J317,L317,N317,P317,R317,T317,V317,X317,Z317,AB317,AD317,AF317,AH317,AJ317,AL317,AN317,AP317,AR317,AT317,AV317,AX317,AZ317,BB317,BD317,BF317,BH317,BJ317,BL317,BN317,BP317,BR317,BT317,BV317,BX317,BZ317)</f>
        <v>0</v>
      </c>
      <c r="CC317" s="299">
        <f>SUM(Table13[[#This Row],[GOALS 1]:[ASSISTS 38]])</f>
        <v>0</v>
      </c>
    </row>
    <row r="318" spans="1:81">
      <c r="A318" s="291" t="s">
        <v>1689</v>
      </c>
      <c r="B318" s="291" t="s">
        <v>634</v>
      </c>
      <c r="C318" s="288"/>
      <c r="D318" s="286"/>
      <c r="E318" s="288"/>
      <c r="F318" s="286"/>
      <c r="G318" s="288"/>
      <c r="H318" s="286"/>
      <c r="I318" s="288"/>
      <c r="J318" s="286"/>
      <c r="K318" s="288"/>
      <c r="L318" s="286"/>
      <c r="M318" s="288"/>
      <c r="N318" s="286"/>
      <c r="O318" s="288"/>
      <c r="P318" s="286"/>
      <c r="Q318" s="288"/>
      <c r="R318" s="286"/>
      <c r="S318" s="288"/>
      <c r="T318" s="286"/>
      <c r="U318" s="288"/>
      <c r="V318" s="286"/>
      <c r="W318" s="288"/>
      <c r="X318" s="286"/>
      <c r="Y318" s="288"/>
      <c r="Z318" s="286"/>
      <c r="AA318" s="288"/>
      <c r="AB318" s="286"/>
      <c r="AC318" s="288"/>
      <c r="AD318" s="286"/>
      <c r="AE318" s="288"/>
      <c r="AF318" s="286"/>
      <c r="AG318" s="288"/>
      <c r="AH318" s="286"/>
      <c r="AI318" s="288"/>
      <c r="AJ318" s="286"/>
      <c r="AK318" s="286"/>
      <c r="AL318" s="286"/>
      <c r="AM318" s="286"/>
      <c r="AN318" s="286"/>
      <c r="AO318" s="286"/>
      <c r="AP318" s="286"/>
      <c r="AQ318" s="286"/>
      <c r="AR318" s="286"/>
      <c r="AS318" s="286"/>
      <c r="AT318" s="286"/>
      <c r="AU318" s="286"/>
      <c r="AV318" s="284"/>
      <c r="AW318" s="284"/>
      <c r="AX318" s="284"/>
      <c r="AY318" s="284"/>
      <c r="AZ318" s="284"/>
      <c r="BA318" s="284"/>
      <c r="BB318" s="284"/>
      <c r="BC318" s="284"/>
      <c r="BD318" s="284"/>
      <c r="BE318" s="284"/>
      <c r="BF318" s="284"/>
      <c r="BG318" s="284"/>
      <c r="BH318" s="284"/>
      <c r="BI318" s="284"/>
      <c r="BJ318" s="284"/>
      <c r="BK318" s="284"/>
      <c r="BL318" s="284"/>
      <c r="BM318" s="284"/>
      <c r="BN318" s="284"/>
      <c r="BO318" s="284"/>
      <c r="BP318" s="284"/>
      <c r="BQ318" s="284"/>
      <c r="BR318" s="284"/>
      <c r="BS318" s="284"/>
      <c r="BT318" s="284"/>
      <c r="BU318" s="284"/>
      <c r="BV318" s="284"/>
      <c r="BW318" s="284"/>
      <c r="BX318" s="284"/>
      <c r="BY318" s="284"/>
      <c r="BZ318" s="285"/>
      <c r="CA318" s="298">
        <f>SUM(C318,E318,G318,I318,K318,M318,O318,Q318,S318,U318,W318,Y318,AA318,AC318,AE318,AG318,AI318,AK318,AM318,AO318,AQ318,AS318,AU318,AW318,AY318,BA318,BC318,BE318,BG318,BI318,BK318,BM318,BO318,BQ318,BS318,BU318,BW318,BY318)</f>
        <v>0</v>
      </c>
      <c r="CB318" s="298">
        <f>SUM(D318,F318,H318,J318,L318,N318,P318,R318,T318,V318,X318,Z318,AB318,AD318,AF318,AH318,AJ318,AL318,AN318,AP318,AR318,AT318,AV318,AX318,AZ318,BB318,BD318,BF318,BH318,BJ318,BL318,BN318,BP318,BR318,BT318,BV318,BX318,BZ318)</f>
        <v>0</v>
      </c>
      <c r="CC318" s="299">
        <f>SUM(Table13[[#This Row],[GOALS 1]:[ASSISTS 38]])</f>
        <v>0</v>
      </c>
    </row>
    <row r="319" spans="1:81">
      <c r="A319" s="291" t="s">
        <v>1786</v>
      </c>
      <c r="B319" s="291" t="s">
        <v>30</v>
      </c>
      <c r="C319" s="286"/>
      <c r="D319" s="286"/>
      <c r="E319" s="288"/>
      <c r="F319" s="286"/>
      <c r="G319" s="288"/>
      <c r="H319" s="286"/>
      <c r="I319" s="288"/>
      <c r="J319" s="286"/>
      <c r="K319" s="288"/>
      <c r="L319" s="286"/>
      <c r="M319" s="288"/>
      <c r="N319" s="286"/>
      <c r="O319" s="288"/>
      <c r="P319" s="286"/>
      <c r="Q319" s="288"/>
      <c r="R319" s="286"/>
      <c r="S319" s="288"/>
      <c r="T319" s="286"/>
      <c r="U319" s="288"/>
      <c r="V319" s="286"/>
      <c r="W319" s="288"/>
      <c r="X319" s="286"/>
      <c r="Y319" s="288"/>
      <c r="Z319" s="286"/>
      <c r="AA319" s="288"/>
      <c r="AB319" s="286"/>
      <c r="AC319" s="288"/>
      <c r="AD319" s="286"/>
      <c r="AE319" s="288"/>
      <c r="AF319" s="286"/>
      <c r="AG319" s="288"/>
      <c r="AH319" s="286"/>
      <c r="AI319" s="288"/>
      <c r="AJ319" s="286"/>
      <c r="AK319" s="286"/>
      <c r="AL319" s="286"/>
      <c r="AM319" s="286"/>
      <c r="AN319" s="286"/>
      <c r="AO319" s="286"/>
      <c r="AP319" s="286"/>
      <c r="AQ319" s="286"/>
      <c r="AR319" s="286"/>
      <c r="AS319" s="286"/>
      <c r="AT319" s="286"/>
      <c r="AU319" s="286"/>
      <c r="AV319" s="284"/>
      <c r="AW319" s="284"/>
      <c r="AX319" s="284"/>
      <c r="AY319" s="284"/>
      <c r="AZ319" s="284"/>
      <c r="BA319" s="284"/>
      <c r="BB319" s="284"/>
      <c r="BC319" s="284"/>
      <c r="BD319" s="284"/>
      <c r="BE319" s="284"/>
      <c r="BF319" s="284"/>
      <c r="BG319" s="284"/>
      <c r="BH319" s="284"/>
      <c r="BI319" s="284"/>
      <c r="BJ319" s="284"/>
      <c r="BK319" s="284"/>
      <c r="BL319" s="284"/>
      <c r="BM319" s="284"/>
      <c r="BN319" s="284"/>
      <c r="BO319" s="284"/>
      <c r="BP319" s="284"/>
      <c r="BQ319" s="284"/>
      <c r="BR319" s="284"/>
      <c r="BS319" s="284"/>
      <c r="BT319" s="284"/>
      <c r="BU319" s="284"/>
      <c r="BV319" s="284"/>
      <c r="BW319" s="284"/>
      <c r="BX319" s="284"/>
      <c r="BY319" s="284"/>
      <c r="BZ319" s="285"/>
      <c r="CA319" s="298">
        <f>SUM(C319,E319,G319,I319,K319,M319,O319,Q319,S319,U319,W319,Y319,AA319,AC319,AE319,AG319,AI319,AK319,AM319,AO319,AQ319,AS319,AU319,AW319,AY319,BA319,BC319,BE319,BG319,BI319,BK319,BM319,BO319,BQ319,BS319,BU319,BW319,BY319)</f>
        <v>0</v>
      </c>
      <c r="CB319" s="298">
        <f>SUM(D319,F319,H319,J319,L319,N319,P319,R319,T319,V319,X319,Z319,AB319,AD319,AF319,AH319,AJ319,AL319,AN319,AP319,AR319,AT319,AV319,AX319,AZ319,BB319,BD319,BF319,BH319,BJ319,BL319,BN319,BP319,BR319,BT319,BV319,BX319,BZ319)</f>
        <v>0</v>
      </c>
      <c r="CC319" s="299">
        <f>SUM(Table13[[#This Row],[GOALS 1]:[ASSISTS 38]])</f>
        <v>0</v>
      </c>
    </row>
    <row r="320" spans="1:81">
      <c r="A320" s="291" t="s">
        <v>1670</v>
      </c>
      <c r="B320" s="291" t="s">
        <v>633</v>
      </c>
      <c r="C320" s="289"/>
      <c r="D320" s="286"/>
      <c r="E320" s="288"/>
      <c r="F320" s="286"/>
      <c r="G320" s="288"/>
      <c r="H320" s="286"/>
      <c r="I320" s="288"/>
      <c r="J320" s="286"/>
      <c r="K320" s="288"/>
      <c r="L320" s="286"/>
      <c r="M320" s="288"/>
      <c r="N320" s="286"/>
      <c r="O320" s="288"/>
      <c r="P320" s="286"/>
      <c r="Q320" s="288"/>
      <c r="R320" s="286"/>
      <c r="S320" s="288"/>
      <c r="T320" s="286"/>
      <c r="U320" s="288"/>
      <c r="V320" s="286"/>
      <c r="W320" s="288"/>
      <c r="X320" s="286"/>
      <c r="Y320" s="288"/>
      <c r="Z320" s="286"/>
      <c r="AA320" s="288"/>
      <c r="AB320" s="286"/>
      <c r="AC320" s="288"/>
      <c r="AD320" s="286"/>
      <c r="AE320" s="288"/>
      <c r="AF320" s="286"/>
      <c r="AG320" s="288"/>
      <c r="AH320" s="286"/>
      <c r="AI320" s="288"/>
      <c r="AJ320" s="286"/>
      <c r="AK320" s="286"/>
      <c r="AL320" s="286"/>
      <c r="AM320" s="286"/>
      <c r="AN320" s="286"/>
      <c r="AO320" s="286"/>
      <c r="AP320" s="286"/>
      <c r="AQ320" s="286"/>
      <c r="AR320" s="286"/>
      <c r="AS320" s="286"/>
      <c r="AT320" s="286"/>
      <c r="AU320" s="286"/>
      <c r="AV320" s="284"/>
      <c r="AW320" s="284"/>
      <c r="AX320" s="284"/>
      <c r="AY320" s="284"/>
      <c r="AZ320" s="284"/>
      <c r="BA320" s="284"/>
      <c r="BB320" s="284"/>
      <c r="BC320" s="284"/>
      <c r="BD320" s="284"/>
      <c r="BE320" s="284"/>
      <c r="BF320" s="284"/>
      <c r="BG320" s="284"/>
      <c r="BH320" s="284"/>
      <c r="BI320" s="284"/>
      <c r="BJ320" s="284"/>
      <c r="BK320" s="284"/>
      <c r="BL320" s="284"/>
      <c r="BM320" s="284"/>
      <c r="BN320" s="284"/>
      <c r="BO320" s="284"/>
      <c r="BP320" s="284"/>
      <c r="BQ320" s="284"/>
      <c r="BR320" s="284"/>
      <c r="BS320" s="284"/>
      <c r="BT320" s="284"/>
      <c r="BU320" s="284"/>
      <c r="BV320" s="284"/>
      <c r="BW320" s="284"/>
      <c r="BX320" s="284"/>
      <c r="BY320" s="284"/>
      <c r="BZ320" s="285"/>
      <c r="CA320" s="298">
        <f>SUM(C320,E320,G320,I320,K320,M320,O320,Q320,S320,U320,W320,Y320,AA320,AC320,AE320,AG320,AI320,AK320,AM320,AO320,AQ320,AS320,AU320,AW320,AY320,BA320,BC320,BE320,BG320,BI320,BK320,BM320,BO320,BQ320,BS320,BU320,BW320,BY320)</f>
        <v>0</v>
      </c>
      <c r="CB320" s="298">
        <f>SUM(D320,F320,H320,J320,L320,N320,P320,R320,T320,V320,X320,Z320,AB320,AD320,AF320,AH320,AJ320,AL320,AN320,AP320,AR320,AT320,AV320,AX320,AZ320,BB320,BD320,BF320,BH320,BJ320,BL320,BN320,BP320,BR320,BT320,BV320,BX320,BZ320)</f>
        <v>0</v>
      </c>
      <c r="CC320" s="299">
        <f>SUM(Table13[[#This Row],[GOALS 1]:[ASSISTS 38]])</f>
        <v>0</v>
      </c>
    </row>
    <row r="321" spans="1:81">
      <c r="A321" s="291" t="s">
        <v>1707</v>
      </c>
      <c r="B321" s="291" t="s">
        <v>17</v>
      </c>
      <c r="C321" s="289"/>
      <c r="D321" s="286"/>
      <c r="E321" s="288"/>
      <c r="F321" s="286"/>
      <c r="G321" s="288"/>
      <c r="H321" s="286"/>
      <c r="I321" s="288"/>
      <c r="J321" s="286"/>
      <c r="K321" s="288"/>
      <c r="L321" s="286"/>
      <c r="M321" s="288"/>
      <c r="N321" s="286"/>
      <c r="O321" s="288"/>
      <c r="P321" s="286"/>
      <c r="Q321" s="288"/>
      <c r="R321" s="286"/>
      <c r="S321" s="288"/>
      <c r="T321" s="286"/>
      <c r="U321" s="288"/>
      <c r="V321" s="286"/>
      <c r="W321" s="288"/>
      <c r="X321" s="286"/>
      <c r="Y321" s="288"/>
      <c r="Z321" s="286"/>
      <c r="AA321" s="288"/>
      <c r="AB321" s="286"/>
      <c r="AC321" s="288"/>
      <c r="AD321" s="286"/>
      <c r="AE321" s="288"/>
      <c r="AF321" s="286"/>
      <c r="AG321" s="288"/>
      <c r="AH321" s="286"/>
      <c r="AI321" s="288"/>
      <c r="AJ321" s="286"/>
      <c r="AK321" s="286"/>
      <c r="AL321" s="286"/>
      <c r="AM321" s="286"/>
      <c r="AN321" s="286"/>
      <c r="AO321" s="286"/>
      <c r="AP321" s="286"/>
      <c r="AQ321" s="286"/>
      <c r="AR321" s="286"/>
      <c r="AS321" s="286"/>
      <c r="AT321" s="286"/>
      <c r="AU321" s="286"/>
      <c r="AV321" s="284"/>
      <c r="AW321" s="284"/>
      <c r="AX321" s="284"/>
      <c r="AY321" s="284"/>
      <c r="AZ321" s="284"/>
      <c r="BA321" s="284"/>
      <c r="BB321" s="284"/>
      <c r="BC321" s="284"/>
      <c r="BD321" s="284"/>
      <c r="BE321" s="284"/>
      <c r="BF321" s="284"/>
      <c r="BG321" s="284"/>
      <c r="BH321" s="284"/>
      <c r="BI321" s="284"/>
      <c r="BJ321" s="284"/>
      <c r="BK321" s="284"/>
      <c r="BL321" s="284"/>
      <c r="BM321" s="284"/>
      <c r="BN321" s="284"/>
      <c r="BO321" s="284"/>
      <c r="BP321" s="284"/>
      <c r="BQ321" s="284"/>
      <c r="BR321" s="284"/>
      <c r="BS321" s="284"/>
      <c r="BT321" s="284"/>
      <c r="BU321" s="284"/>
      <c r="BV321" s="284"/>
      <c r="BW321" s="284"/>
      <c r="BX321" s="284"/>
      <c r="BY321" s="284"/>
      <c r="BZ321" s="285"/>
      <c r="CA321" s="298">
        <f>SUM(C321,E321,G321,I321,K321,M321,O321,Q321,S321,U321,W321,Y321,AA321,AC321,AE321,AG321,AI321,AK321,AM321,AO321,AQ321,AS321,AU321,AW321,AY321,BA321,BC321,BE321,BG321,BI321,BK321,BM321,BO321,BQ321,BS321,BU321,BW321,BY321)</f>
        <v>0</v>
      </c>
      <c r="CB321" s="298">
        <f>SUM(D321,F321,H321,J321,L321,N321,P321,R321,T321,V321,X321,Z321,AB321,AD321,AF321,AH321,AJ321,AL321,AN321,AP321,AR321,AT321,AV321,AX321,AZ321,BB321,BD321,BF321,BH321,BJ321,BL321,BN321,BP321,BR321,BT321,BV321,BX321,BZ321)</f>
        <v>0</v>
      </c>
      <c r="CC321" s="299">
        <f>SUM(Table13[[#This Row],[GOALS 1]:[ASSISTS 38]])</f>
        <v>0</v>
      </c>
    </row>
    <row r="322" spans="1:81">
      <c r="A322" s="291" t="s">
        <v>1851</v>
      </c>
      <c r="B322" s="291" t="s">
        <v>21</v>
      </c>
      <c r="C322" s="289"/>
      <c r="D322" s="286"/>
      <c r="E322" s="288"/>
      <c r="F322" s="286"/>
      <c r="G322" s="288"/>
      <c r="H322" s="286"/>
      <c r="I322" s="288"/>
      <c r="J322" s="286"/>
      <c r="K322" s="288"/>
      <c r="L322" s="286"/>
      <c r="M322" s="288"/>
      <c r="N322" s="286"/>
      <c r="O322" s="288"/>
      <c r="P322" s="286"/>
      <c r="Q322" s="288"/>
      <c r="R322" s="286"/>
      <c r="S322" s="288"/>
      <c r="T322" s="286"/>
      <c r="U322" s="288"/>
      <c r="V322" s="286"/>
      <c r="W322" s="288"/>
      <c r="X322" s="286"/>
      <c r="Y322" s="288"/>
      <c r="Z322" s="286"/>
      <c r="AA322" s="288"/>
      <c r="AB322" s="286"/>
      <c r="AC322" s="288"/>
      <c r="AD322" s="286"/>
      <c r="AE322" s="288"/>
      <c r="AF322" s="286"/>
      <c r="AG322" s="288"/>
      <c r="AH322" s="286"/>
      <c r="AI322" s="288"/>
      <c r="AJ322" s="286"/>
      <c r="AK322" s="286"/>
      <c r="AL322" s="286"/>
      <c r="AM322" s="286"/>
      <c r="AN322" s="286"/>
      <c r="AO322" s="286"/>
      <c r="AP322" s="286"/>
      <c r="AQ322" s="286"/>
      <c r="AR322" s="286"/>
      <c r="AS322" s="286"/>
      <c r="AT322" s="286"/>
      <c r="AU322" s="286"/>
      <c r="AV322" s="284"/>
      <c r="AW322" s="284"/>
      <c r="AX322" s="284"/>
      <c r="AY322" s="284"/>
      <c r="AZ322" s="284"/>
      <c r="BA322" s="284"/>
      <c r="BB322" s="284"/>
      <c r="BC322" s="284"/>
      <c r="BD322" s="284"/>
      <c r="BE322" s="284"/>
      <c r="BF322" s="284"/>
      <c r="BG322" s="284"/>
      <c r="BH322" s="284"/>
      <c r="BI322" s="284"/>
      <c r="BJ322" s="284"/>
      <c r="BK322" s="284"/>
      <c r="BL322" s="284"/>
      <c r="BM322" s="284"/>
      <c r="BN322" s="284"/>
      <c r="BO322" s="284"/>
      <c r="BP322" s="284"/>
      <c r="BQ322" s="284"/>
      <c r="BR322" s="284"/>
      <c r="BS322" s="284"/>
      <c r="BT322" s="284"/>
      <c r="BU322" s="284"/>
      <c r="BV322" s="284"/>
      <c r="BW322" s="284"/>
      <c r="BX322" s="284"/>
      <c r="BY322" s="284"/>
      <c r="BZ322" s="285"/>
      <c r="CA322" s="298">
        <f>SUM(C322,E322,G322,I322,K322,M322,O322,Q322,S322,U322,W322,Y322,AA322,AC322,AE322,AG322,AI322,AK322,AM322,AO322,AQ322,AS322,AU322,AW322,AY322,BA322,BC322,BE322,BG322,BI322,BK322,BM322,BO322,BQ322,BS322,BU322,BW322,BY322)</f>
        <v>0</v>
      </c>
      <c r="CB322" s="298">
        <f>SUM(D322,F322,H322,J322,L322,N322,P322,R322,T322,V322,X322,Z322,AB322,AD322,AF322,AH322,AJ322,AL322,AN322,AP322,AR322,AT322,AV322,AX322,AZ322,BB322,BD322,BF322,BH322,BJ322,BL322,BN322,BP322,BR322,BT322,BV322,BX322,BZ322)</f>
        <v>0</v>
      </c>
      <c r="CC322" s="299">
        <f>SUM(Table13[[#This Row],[GOALS 1]:[ASSISTS 38]])</f>
        <v>0</v>
      </c>
    </row>
    <row r="323" spans="1:81">
      <c r="A323" s="291" t="s">
        <v>1777</v>
      </c>
      <c r="B323" s="291" t="s">
        <v>22</v>
      </c>
      <c r="C323" s="286"/>
      <c r="D323" s="286"/>
      <c r="E323" s="288"/>
      <c r="F323" s="286"/>
      <c r="G323" s="288"/>
      <c r="H323" s="286"/>
      <c r="I323" s="288"/>
      <c r="J323" s="286"/>
      <c r="K323" s="288"/>
      <c r="L323" s="286"/>
      <c r="M323" s="288"/>
      <c r="N323" s="286"/>
      <c r="O323" s="288"/>
      <c r="P323" s="286"/>
      <c r="Q323" s="288"/>
      <c r="R323" s="286"/>
      <c r="S323" s="288"/>
      <c r="T323" s="286"/>
      <c r="U323" s="288"/>
      <c r="V323" s="286"/>
      <c r="W323" s="288"/>
      <c r="X323" s="286"/>
      <c r="Y323" s="288"/>
      <c r="Z323" s="286"/>
      <c r="AA323" s="288"/>
      <c r="AB323" s="286"/>
      <c r="AC323" s="288"/>
      <c r="AD323" s="286"/>
      <c r="AE323" s="288"/>
      <c r="AF323" s="286"/>
      <c r="AG323" s="288"/>
      <c r="AH323" s="286"/>
      <c r="AI323" s="288"/>
      <c r="AJ323" s="286"/>
      <c r="AK323" s="286"/>
      <c r="AL323" s="286"/>
      <c r="AM323" s="286"/>
      <c r="AN323" s="286"/>
      <c r="AO323" s="286"/>
      <c r="AP323" s="286"/>
      <c r="AQ323" s="286"/>
      <c r="AR323" s="286"/>
      <c r="AS323" s="286"/>
      <c r="AT323" s="286"/>
      <c r="AU323" s="286"/>
      <c r="AV323" s="284"/>
      <c r="AW323" s="284"/>
      <c r="AX323" s="284"/>
      <c r="AY323" s="284"/>
      <c r="AZ323" s="284"/>
      <c r="BA323" s="284"/>
      <c r="BB323" s="284"/>
      <c r="BC323" s="284"/>
      <c r="BD323" s="284"/>
      <c r="BE323" s="284"/>
      <c r="BF323" s="284"/>
      <c r="BG323" s="284"/>
      <c r="BH323" s="284"/>
      <c r="BI323" s="284"/>
      <c r="BJ323" s="284"/>
      <c r="BK323" s="284"/>
      <c r="BL323" s="284"/>
      <c r="BM323" s="284"/>
      <c r="BN323" s="284"/>
      <c r="BO323" s="284"/>
      <c r="BP323" s="284"/>
      <c r="BQ323" s="284"/>
      <c r="BR323" s="284"/>
      <c r="BS323" s="284"/>
      <c r="BT323" s="284"/>
      <c r="BU323" s="284"/>
      <c r="BV323" s="284"/>
      <c r="BW323" s="284"/>
      <c r="BX323" s="284"/>
      <c r="BY323" s="284"/>
      <c r="BZ323" s="285"/>
      <c r="CA323" s="298">
        <f>SUM(C323,E323,G323,I323,K323,M323,O323,Q323,S323,U323,W323,Y323,AA323,AC323,AE323,AG323,AI323,AK323,AM323,AO323,AQ323,AS323,AU323,AW323,AY323,BA323,BC323,BE323,BG323,BI323,BK323,BM323,BO323,BQ323,BS323,BU323,BW323,BY323)</f>
        <v>0</v>
      </c>
      <c r="CB323" s="298">
        <f>SUM(D323,F323,H323,J323,L323,N323,P323,R323,T323,V323,X323,Z323,AB323,AD323,AF323,AH323,AJ323,AL323,AN323,AP323,AR323,AT323,AV323,AX323,AZ323,BB323,BD323,BF323,BH323,BJ323,BL323,BN323,BP323,BR323,BT323,BV323,BX323,BZ323)</f>
        <v>0</v>
      </c>
      <c r="CC323" s="299">
        <f>SUM(Table13[[#This Row],[GOALS 1]:[ASSISTS 38]])</f>
        <v>0</v>
      </c>
    </row>
    <row r="324" spans="1:81">
      <c r="A324" s="291" t="s">
        <v>1765</v>
      </c>
      <c r="B324" s="291" t="s">
        <v>27</v>
      </c>
      <c r="C324" s="286"/>
      <c r="D324" s="286"/>
      <c r="E324" s="289"/>
      <c r="F324" s="286"/>
      <c r="G324" s="288"/>
      <c r="H324" s="286"/>
      <c r="I324" s="288"/>
      <c r="J324" s="286"/>
      <c r="K324" s="288"/>
      <c r="L324" s="286"/>
      <c r="M324" s="288"/>
      <c r="N324" s="286"/>
      <c r="O324" s="288"/>
      <c r="P324" s="286"/>
      <c r="Q324" s="288"/>
      <c r="R324" s="286"/>
      <c r="S324" s="288"/>
      <c r="T324" s="286"/>
      <c r="U324" s="288"/>
      <c r="V324" s="286"/>
      <c r="W324" s="288"/>
      <c r="X324" s="286"/>
      <c r="Y324" s="288"/>
      <c r="Z324" s="286"/>
      <c r="AA324" s="288"/>
      <c r="AB324" s="286"/>
      <c r="AC324" s="288"/>
      <c r="AD324" s="286"/>
      <c r="AE324" s="288"/>
      <c r="AF324" s="286"/>
      <c r="AG324" s="288"/>
      <c r="AH324" s="286"/>
      <c r="AI324" s="288"/>
      <c r="AJ324" s="286"/>
      <c r="AK324" s="286"/>
      <c r="AL324" s="286"/>
      <c r="AM324" s="286"/>
      <c r="AN324" s="286"/>
      <c r="AO324" s="286"/>
      <c r="AP324" s="286"/>
      <c r="AQ324" s="286"/>
      <c r="AR324" s="286"/>
      <c r="AS324" s="286"/>
      <c r="AT324" s="286"/>
      <c r="AU324" s="286"/>
      <c r="AV324" s="284"/>
      <c r="AW324" s="284"/>
      <c r="AX324" s="284"/>
      <c r="AY324" s="284"/>
      <c r="AZ324" s="284"/>
      <c r="BA324" s="284"/>
      <c r="BB324" s="284"/>
      <c r="BC324" s="284"/>
      <c r="BD324" s="284"/>
      <c r="BE324" s="284"/>
      <c r="BF324" s="284"/>
      <c r="BG324" s="284"/>
      <c r="BH324" s="284"/>
      <c r="BI324" s="284"/>
      <c r="BJ324" s="284"/>
      <c r="BK324" s="284"/>
      <c r="BL324" s="284"/>
      <c r="BM324" s="284"/>
      <c r="BN324" s="284"/>
      <c r="BO324" s="284"/>
      <c r="BP324" s="284"/>
      <c r="BQ324" s="284"/>
      <c r="BR324" s="284"/>
      <c r="BS324" s="284"/>
      <c r="BT324" s="284"/>
      <c r="BU324" s="284"/>
      <c r="BV324" s="284"/>
      <c r="BW324" s="284"/>
      <c r="BX324" s="284"/>
      <c r="BY324" s="284"/>
      <c r="BZ324" s="285"/>
      <c r="CA324" s="298">
        <f>SUM(C324,E324,G324,I324,K324,M324,O324,Q324,S324,U324,W324,Y324,AA324,AC324,AE324,AG324,AI324,AK324,AM324,AO324,AQ324,AS324,AU324,AW324,AY324,BA324,BC324,BE324,BG324,BI324,BK324,BM324,BO324,BQ324,BS324,BU324,BW324,BY324)</f>
        <v>0</v>
      </c>
      <c r="CB324" s="298">
        <f>SUM(D324,F324,H324,J324,L324,N324,P324,R324,T324,V324,X324,Z324,AB324,AD324,AF324,AH324,AJ324,AL324,AN324,AP324,AR324,AT324,AV324,AX324,AZ324,BB324,BD324,BF324,BH324,BJ324,BL324,BN324,BP324,BR324,BT324,BV324,BX324,BZ324)</f>
        <v>0</v>
      </c>
      <c r="CC324" s="299">
        <f>SUM(Table13[[#This Row],[GOALS 1]:[ASSISTS 38]])</f>
        <v>0</v>
      </c>
    </row>
    <row r="325" spans="1:81">
      <c r="A325" s="291" t="s">
        <v>1291</v>
      </c>
      <c r="B325" s="291" t="s">
        <v>26</v>
      </c>
      <c r="C325" s="286"/>
      <c r="D325" s="286"/>
      <c r="E325" s="288"/>
      <c r="F325" s="286"/>
      <c r="G325" s="288"/>
      <c r="H325" s="286"/>
      <c r="I325" s="288"/>
      <c r="J325" s="286"/>
      <c r="K325" s="288"/>
      <c r="L325" s="286"/>
      <c r="M325" s="288"/>
      <c r="N325" s="286"/>
      <c r="O325" s="288"/>
      <c r="P325" s="286"/>
      <c r="Q325" s="288"/>
      <c r="R325" s="286"/>
      <c r="S325" s="288"/>
      <c r="T325" s="286"/>
      <c r="U325" s="288"/>
      <c r="V325" s="286"/>
      <c r="W325" s="288"/>
      <c r="X325" s="286"/>
      <c r="Y325" s="288"/>
      <c r="Z325" s="286"/>
      <c r="AA325" s="288"/>
      <c r="AB325" s="286"/>
      <c r="AC325" s="288"/>
      <c r="AD325" s="286"/>
      <c r="AE325" s="288"/>
      <c r="AF325" s="286"/>
      <c r="AG325" s="288"/>
      <c r="AH325" s="286"/>
      <c r="AI325" s="288"/>
      <c r="AJ325" s="286"/>
      <c r="AK325" s="286"/>
      <c r="AL325" s="286"/>
      <c r="AM325" s="286"/>
      <c r="AN325" s="286"/>
      <c r="AO325" s="286"/>
      <c r="AP325" s="286"/>
      <c r="AQ325" s="286"/>
      <c r="AR325" s="286"/>
      <c r="AS325" s="286"/>
      <c r="AT325" s="286"/>
      <c r="AU325" s="286"/>
      <c r="AV325" s="284"/>
      <c r="AW325" s="284"/>
      <c r="AX325" s="284"/>
      <c r="AY325" s="284"/>
      <c r="AZ325" s="284"/>
      <c r="BA325" s="284"/>
      <c r="BB325" s="284"/>
      <c r="BC325" s="284"/>
      <c r="BD325" s="284"/>
      <c r="BE325" s="284"/>
      <c r="BF325" s="284"/>
      <c r="BG325" s="284"/>
      <c r="BH325" s="284"/>
      <c r="BI325" s="284"/>
      <c r="BJ325" s="284"/>
      <c r="BK325" s="284"/>
      <c r="BL325" s="284"/>
      <c r="BM325" s="284"/>
      <c r="BN325" s="284"/>
      <c r="BO325" s="284"/>
      <c r="BP325" s="284"/>
      <c r="BQ325" s="284"/>
      <c r="BR325" s="284"/>
      <c r="BS325" s="284"/>
      <c r="BT325" s="284"/>
      <c r="BU325" s="284"/>
      <c r="BV325" s="284"/>
      <c r="BW325" s="284"/>
      <c r="BX325" s="284"/>
      <c r="BY325" s="284"/>
      <c r="BZ325" s="285"/>
      <c r="CA325" s="298">
        <f>SUM(C325,E325,G325,I325,K325,M325,O325,Q325,S325,U325,W325,Y325,AA325,AC325,AE325,AG325,AI325,AK325,AM325,AO325,AQ325,AS325,AU325,AW325,AY325,BA325,BC325,BE325,BG325,BI325,BK325,BM325,BO325,BQ325,BS325,BU325,BW325,BY325)</f>
        <v>0</v>
      </c>
      <c r="CB325" s="298">
        <f>SUM(D325,F325,H325,J325,L325,N325,P325,R325,T325,V325,X325,Z325,AB325,AD325,AF325,AH325,AJ325,AL325,AN325,AP325,AR325,AT325,AV325,AX325,AZ325,BB325,BD325,BF325,BH325,BJ325,BL325,BN325,BP325,BR325,BT325,BV325,BX325,BZ325)</f>
        <v>0</v>
      </c>
      <c r="CC325" s="299">
        <f>SUM(Table13[[#This Row],[GOALS 1]:[ASSISTS 38]])</f>
        <v>0</v>
      </c>
    </row>
    <row r="326" spans="1:81">
      <c r="A326" s="291" t="s">
        <v>1464</v>
      </c>
      <c r="B326" s="291" t="s">
        <v>51</v>
      </c>
      <c r="C326" s="286"/>
      <c r="D326" s="286"/>
      <c r="E326" s="288"/>
      <c r="F326" s="286"/>
      <c r="G326" s="288"/>
      <c r="H326" s="286"/>
      <c r="I326" s="288"/>
      <c r="J326" s="286"/>
      <c r="K326" s="288"/>
      <c r="L326" s="286"/>
      <c r="M326" s="288"/>
      <c r="N326" s="286"/>
      <c r="O326" s="288"/>
      <c r="P326" s="286"/>
      <c r="Q326" s="288"/>
      <c r="R326" s="286"/>
      <c r="S326" s="288"/>
      <c r="T326" s="286"/>
      <c r="U326" s="288"/>
      <c r="V326" s="286"/>
      <c r="W326" s="288"/>
      <c r="X326" s="286"/>
      <c r="Y326" s="288"/>
      <c r="Z326" s="286"/>
      <c r="AA326" s="288"/>
      <c r="AB326" s="286"/>
      <c r="AC326" s="288"/>
      <c r="AD326" s="286"/>
      <c r="AE326" s="288"/>
      <c r="AF326" s="286"/>
      <c r="AG326" s="288"/>
      <c r="AH326" s="286"/>
      <c r="AI326" s="288"/>
      <c r="AJ326" s="286"/>
      <c r="AK326" s="286"/>
      <c r="AL326" s="286"/>
      <c r="AM326" s="286"/>
      <c r="AN326" s="286"/>
      <c r="AO326" s="286"/>
      <c r="AP326" s="286"/>
      <c r="AQ326" s="286"/>
      <c r="AR326" s="286"/>
      <c r="AS326" s="286"/>
      <c r="AT326" s="286"/>
      <c r="AU326" s="286"/>
      <c r="AV326" s="284"/>
      <c r="AW326" s="284"/>
      <c r="AX326" s="284"/>
      <c r="AY326" s="284"/>
      <c r="AZ326" s="284"/>
      <c r="BA326" s="284"/>
      <c r="BB326" s="284"/>
      <c r="BC326" s="284"/>
      <c r="BD326" s="284"/>
      <c r="BE326" s="284"/>
      <c r="BF326" s="284"/>
      <c r="BG326" s="284"/>
      <c r="BH326" s="284"/>
      <c r="BI326" s="284"/>
      <c r="BJ326" s="284"/>
      <c r="BK326" s="284"/>
      <c r="BL326" s="284"/>
      <c r="BM326" s="284"/>
      <c r="BN326" s="284"/>
      <c r="BO326" s="284"/>
      <c r="BP326" s="284"/>
      <c r="BQ326" s="284"/>
      <c r="BR326" s="284"/>
      <c r="BS326" s="284"/>
      <c r="BT326" s="284"/>
      <c r="BU326" s="284"/>
      <c r="BV326" s="284"/>
      <c r="BW326" s="284"/>
      <c r="BX326" s="284"/>
      <c r="BY326" s="284"/>
      <c r="BZ326" s="285"/>
      <c r="CA326" s="298">
        <f>SUM(C326,E326,G326,I326,K326,M326,O326,Q326,S326,U326,W326,Y326,AA326,AC326,AE326,AG326,AI326,AK326,AM326,AO326,AQ326,AS326,AU326,AW326,AY326,BA326,BC326,BE326,BG326,BI326,BK326,BM326,BO326,BQ326,BS326,BU326,BW326,BY326)</f>
        <v>0</v>
      </c>
      <c r="CB326" s="298">
        <f>SUM(D326,F326,H326,J326,L326,N326,P326,R326,T326,V326,X326,Z326,AB326,AD326,AF326,AH326,AJ326,AL326,AN326,AP326,AR326,AT326,AV326,AX326,AZ326,BB326,BD326,BF326,BH326,BJ326,BL326,BN326,BP326,BR326,BT326,BV326,BX326,BZ326)</f>
        <v>0</v>
      </c>
      <c r="CC326" s="299">
        <f>SUM(Table13[[#This Row],[GOALS 1]:[ASSISTS 38]])</f>
        <v>0</v>
      </c>
    </row>
    <row r="327" spans="1:81">
      <c r="A327" s="291" t="s">
        <v>1568</v>
      </c>
      <c r="B327" s="291" t="s">
        <v>26</v>
      </c>
      <c r="C327" s="286"/>
      <c r="D327" s="286"/>
      <c r="E327" s="288"/>
      <c r="F327" s="286"/>
      <c r="G327" s="288"/>
      <c r="H327" s="286"/>
      <c r="I327" s="288"/>
      <c r="J327" s="286"/>
      <c r="K327" s="288"/>
      <c r="L327" s="286"/>
      <c r="M327" s="288"/>
      <c r="N327" s="286"/>
      <c r="O327" s="288"/>
      <c r="P327" s="286"/>
      <c r="Q327" s="288"/>
      <c r="R327" s="286"/>
      <c r="S327" s="288"/>
      <c r="T327" s="286"/>
      <c r="U327" s="288"/>
      <c r="V327" s="286"/>
      <c r="W327" s="288"/>
      <c r="X327" s="286"/>
      <c r="Y327" s="288"/>
      <c r="Z327" s="286"/>
      <c r="AA327" s="288"/>
      <c r="AB327" s="286"/>
      <c r="AC327" s="288"/>
      <c r="AD327" s="286"/>
      <c r="AE327" s="288"/>
      <c r="AF327" s="286"/>
      <c r="AG327" s="288"/>
      <c r="AH327" s="286"/>
      <c r="AI327" s="288"/>
      <c r="AJ327" s="286"/>
      <c r="AK327" s="286"/>
      <c r="AL327" s="286"/>
      <c r="AM327" s="286"/>
      <c r="AN327" s="286"/>
      <c r="AO327" s="286"/>
      <c r="AP327" s="286"/>
      <c r="AQ327" s="286"/>
      <c r="AR327" s="286"/>
      <c r="AS327" s="286"/>
      <c r="AT327" s="286"/>
      <c r="AU327" s="286"/>
      <c r="AV327" s="284"/>
      <c r="AW327" s="284"/>
      <c r="AX327" s="284"/>
      <c r="AY327" s="284"/>
      <c r="AZ327" s="284"/>
      <c r="BA327" s="284"/>
      <c r="BB327" s="284"/>
      <c r="BC327" s="284"/>
      <c r="BD327" s="284"/>
      <c r="BE327" s="284"/>
      <c r="BF327" s="284"/>
      <c r="BG327" s="284"/>
      <c r="BH327" s="284"/>
      <c r="BI327" s="284"/>
      <c r="BJ327" s="284"/>
      <c r="BK327" s="284"/>
      <c r="BL327" s="284"/>
      <c r="BM327" s="284"/>
      <c r="BN327" s="284"/>
      <c r="BO327" s="284"/>
      <c r="BP327" s="284"/>
      <c r="BQ327" s="284"/>
      <c r="BR327" s="284"/>
      <c r="BS327" s="284"/>
      <c r="BT327" s="284"/>
      <c r="BU327" s="284"/>
      <c r="BV327" s="284"/>
      <c r="BW327" s="284"/>
      <c r="BX327" s="284"/>
      <c r="BY327" s="284"/>
      <c r="BZ327" s="285"/>
      <c r="CA327" s="298">
        <f>SUM(C327,E327,G327,I327,K327,M327,O327,Q327,S327,U327,W327,Y327,AA327,AC327,AE327,AG327,AI327,AK327,AM327,AO327,AQ327,AS327,AU327,AW327,AY327,BA327,BC327,BE327,BG327,BI327,BK327,BM327,BO327,BQ327,BS327,BU327,BW327,BY327)</f>
        <v>0</v>
      </c>
      <c r="CB327" s="298">
        <f>SUM(D327,F327,H327,J327,L327,N327,P327,R327,T327,V327,X327,Z327,AB327,AD327,AF327,AH327,AJ327,AL327,AN327,AP327,AR327,AT327,AV327,AX327,AZ327,BB327,BD327,BF327,BH327,BJ327,BL327,BN327,BP327,BR327,BT327,BV327,BX327,BZ327)</f>
        <v>0</v>
      </c>
      <c r="CC327" s="299">
        <f>SUM(Table13[[#This Row],[GOALS 1]:[ASSISTS 38]])</f>
        <v>0</v>
      </c>
    </row>
    <row r="328" spans="1:81">
      <c r="A328" s="291" t="s">
        <v>1828</v>
      </c>
      <c r="B328" s="291" t="s">
        <v>634</v>
      </c>
      <c r="C328" s="288"/>
      <c r="D328" s="286"/>
      <c r="E328" s="288"/>
      <c r="F328" s="286"/>
      <c r="G328" s="288"/>
      <c r="H328" s="286"/>
      <c r="I328" s="288"/>
      <c r="J328" s="286"/>
      <c r="K328" s="288"/>
      <c r="L328" s="286"/>
      <c r="M328" s="288"/>
      <c r="N328" s="286"/>
      <c r="O328" s="288"/>
      <c r="P328" s="286"/>
      <c r="Q328" s="288"/>
      <c r="R328" s="286"/>
      <c r="S328" s="288"/>
      <c r="T328" s="286"/>
      <c r="U328" s="288"/>
      <c r="V328" s="286"/>
      <c r="W328" s="288"/>
      <c r="X328" s="286"/>
      <c r="Y328" s="288"/>
      <c r="Z328" s="286"/>
      <c r="AA328" s="288"/>
      <c r="AB328" s="286"/>
      <c r="AC328" s="288"/>
      <c r="AD328" s="286"/>
      <c r="AE328" s="288"/>
      <c r="AF328" s="286"/>
      <c r="AG328" s="288"/>
      <c r="AH328" s="286"/>
      <c r="AI328" s="288"/>
      <c r="AJ328" s="286"/>
      <c r="AK328" s="286"/>
      <c r="AL328" s="286"/>
      <c r="AM328" s="286"/>
      <c r="AN328" s="286"/>
      <c r="AO328" s="286"/>
      <c r="AP328" s="286"/>
      <c r="AQ328" s="286"/>
      <c r="AR328" s="286"/>
      <c r="AS328" s="286"/>
      <c r="AT328" s="286"/>
      <c r="AU328" s="286"/>
      <c r="AV328" s="284"/>
      <c r="AW328" s="284"/>
      <c r="AX328" s="284"/>
      <c r="AY328" s="284"/>
      <c r="AZ328" s="284"/>
      <c r="BA328" s="284"/>
      <c r="BB328" s="284"/>
      <c r="BC328" s="284"/>
      <c r="BD328" s="284"/>
      <c r="BE328" s="284"/>
      <c r="BF328" s="284"/>
      <c r="BG328" s="284"/>
      <c r="BH328" s="284"/>
      <c r="BI328" s="284"/>
      <c r="BJ328" s="284"/>
      <c r="BK328" s="284"/>
      <c r="BL328" s="284"/>
      <c r="BM328" s="284"/>
      <c r="BN328" s="284"/>
      <c r="BO328" s="284"/>
      <c r="BP328" s="284"/>
      <c r="BQ328" s="284"/>
      <c r="BR328" s="284"/>
      <c r="BS328" s="284"/>
      <c r="BT328" s="284"/>
      <c r="BU328" s="284"/>
      <c r="BV328" s="284"/>
      <c r="BW328" s="284"/>
      <c r="BX328" s="284"/>
      <c r="BY328" s="284"/>
      <c r="BZ328" s="285"/>
      <c r="CA328" s="298">
        <f>SUM(C328,E328,G328,I328,K328,M328,O328,Q328,S328,U328,W328,Y328,AA328,AC328,AE328,AG328,AI328,AK328,AM328,AO328,AQ328,AS328,AU328,AW328,AY328,BA328,BC328,BE328,BG328,BI328,BK328,BM328,BO328,BQ328,BS328,BU328,BW328,BY328)</f>
        <v>0</v>
      </c>
      <c r="CB328" s="298">
        <f>SUM(D328,F328,H328,J328,L328,N328,P328,R328,T328,V328,X328,Z328,AB328,AD328,AF328,AH328,AJ328,AL328,AN328,AP328,AR328,AT328,AV328,AX328,AZ328,BB328,BD328,BF328,BH328,BJ328,BL328,BN328,BP328,BR328,BT328,BV328,BX328,BZ328)</f>
        <v>0</v>
      </c>
      <c r="CC328" s="299">
        <f>SUM(Table13[[#This Row],[GOALS 1]:[ASSISTS 38]])</f>
        <v>0</v>
      </c>
    </row>
    <row r="329" spans="1:81">
      <c r="A329" s="291" t="s">
        <v>1346</v>
      </c>
      <c r="B329" s="291" t="s">
        <v>17</v>
      </c>
      <c r="C329" s="289"/>
      <c r="D329" s="286"/>
      <c r="E329" s="288"/>
      <c r="F329" s="286"/>
      <c r="G329" s="288"/>
      <c r="H329" s="286"/>
      <c r="I329" s="288"/>
      <c r="J329" s="286"/>
      <c r="K329" s="288"/>
      <c r="L329" s="286"/>
      <c r="M329" s="288"/>
      <c r="N329" s="286"/>
      <c r="O329" s="288"/>
      <c r="P329" s="286"/>
      <c r="Q329" s="288"/>
      <c r="R329" s="286"/>
      <c r="S329" s="288"/>
      <c r="T329" s="286"/>
      <c r="U329" s="288"/>
      <c r="V329" s="286"/>
      <c r="W329" s="288"/>
      <c r="X329" s="286"/>
      <c r="Y329" s="288"/>
      <c r="Z329" s="286"/>
      <c r="AA329" s="288"/>
      <c r="AB329" s="286"/>
      <c r="AC329" s="288"/>
      <c r="AD329" s="286"/>
      <c r="AE329" s="288"/>
      <c r="AF329" s="286"/>
      <c r="AG329" s="288"/>
      <c r="AH329" s="286"/>
      <c r="AI329" s="288"/>
      <c r="AJ329" s="286"/>
      <c r="AK329" s="286"/>
      <c r="AL329" s="286"/>
      <c r="AM329" s="286"/>
      <c r="AN329" s="286"/>
      <c r="AO329" s="286"/>
      <c r="AP329" s="286"/>
      <c r="AQ329" s="286"/>
      <c r="AR329" s="286"/>
      <c r="AS329" s="286"/>
      <c r="AT329" s="286"/>
      <c r="AU329" s="286"/>
      <c r="AV329" s="284"/>
      <c r="AW329" s="284"/>
      <c r="AX329" s="284"/>
      <c r="AY329" s="284"/>
      <c r="AZ329" s="284"/>
      <c r="BA329" s="284"/>
      <c r="BB329" s="284"/>
      <c r="BC329" s="284"/>
      <c r="BD329" s="284"/>
      <c r="BE329" s="284"/>
      <c r="BF329" s="284"/>
      <c r="BG329" s="284"/>
      <c r="BH329" s="284"/>
      <c r="BI329" s="284"/>
      <c r="BJ329" s="284"/>
      <c r="BK329" s="284"/>
      <c r="BL329" s="284"/>
      <c r="BM329" s="284"/>
      <c r="BN329" s="284"/>
      <c r="BO329" s="284"/>
      <c r="BP329" s="284"/>
      <c r="BQ329" s="284"/>
      <c r="BR329" s="284"/>
      <c r="BS329" s="284"/>
      <c r="BT329" s="284"/>
      <c r="BU329" s="284"/>
      <c r="BV329" s="284"/>
      <c r="BW329" s="284"/>
      <c r="BX329" s="284"/>
      <c r="BY329" s="284"/>
      <c r="BZ329" s="285"/>
      <c r="CA329" s="298">
        <f>SUM(C329,E329,G329,I329,K329,M329,O329,Q329,S329,U329,W329,Y329,AA329,AC329,AE329,AG329,AI329,AK329,AM329,AO329,AQ329,AS329,AU329,AW329,AY329,BA329,BC329,BE329,BG329,BI329,BK329,BM329,BO329,BQ329,BS329,BU329,BW329,BY329)</f>
        <v>0</v>
      </c>
      <c r="CB329" s="298">
        <f>SUM(D329,F329,H329,J329,L329,N329,P329,R329,T329,V329,X329,Z329,AB329,AD329,AF329,AH329,AJ329,AL329,AN329,AP329,AR329,AT329,AV329,AX329,AZ329,BB329,BD329,BF329,BH329,BJ329,BL329,BN329,BP329,BR329,BT329,BV329,BX329,BZ329)</f>
        <v>0</v>
      </c>
      <c r="CC329" s="299">
        <f>SUM(Table13[[#This Row],[GOALS 1]:[ASSISTS 38]])</f>
        <v>0</v>
      </c>
    </row>
    <row r="330" spans="1:81">
      <c r="A330" s="291" t="s">
        <v>1331</v>
      </c>
      <c r="B330" s="291" t="s">
        <v>29</v>
      </c>
      <c r="C330" s="289"/>
      <c r="D330" s="286"/>
      <c r="E330" s="288"/>
      <c r="F330" s="286"/>
      <c r="G330" s="288"/>
      <c r="H330" s="286"/>
      <c r="I330" s="288"/>
      <c r="J330" s="286"/>
      <c r="K330" s="288"/>
      <c r="L330" s="286"/>
      <c r="M330" s="288"/>
      <c r="N330" s="286"/>
      <c r="O330" s="288"/>
      <c r="P330" s="286"/>
      <c r="Q330" s="288"/>
      <c r="R330" s="286"/>
      <c r="S330" s="288"/>
      <c r="T330" s="286"/>
      <c r="U330" s="288"/>
      <c r="V330" s="286"/>
      <c r="W330" s="288"/>
      <c r="X330" s="286"/>
      <c r="Y330" s="288"/>
      <c r="Z330" s="286"/>
      <c r="AA330" s="288"/>
      <c r="AB330" s="286"/>
      <c r="AC330" s="288"/>
      <c r="AD330" s="286"/>
      <c r="AE330" s="288"/>
      <c r="AF330" s="286"/>
      <c r="AG330" s="288"/>
      <c r="AH330" s="286"/>
      <c r="AI330" s="288"/>
      <c r="AJ330" s="286"/>
      <c r="AK330" s="286"/>
      <c r="AL330" s="286"/>
      <c r="AM330" s="286"/>
      <c r="AN330" s="286"/>
      <c r="AO330" s="286"/>
      <c r="AP330" s="286"/>
      <c r="AQ330" s="286"/>
      <c r="AR330" s="286"/>
      <c r="AS330" s="286"/>
      <c r="AT330" s="286"/>
      <c r="AU330" s="286"/>
      <c r="AV330" s="284"/>
      <c r="AW330" s="284"/>
      <c r="AX330" s="284"/>
      <c r="AY330" s="284"/>
      <c r="AZ330" s="284"/>
      <c r="BA330" s="284"/>
      <c r="BB330" s="284"/>
      <c r="BC330" s="284"/>
      <c r="BD330" s="284"/>
      <c r="BE330" s="284"/>
      <c r="BF330" s="284"/>
      <c r="BG330" s="284"/>
      <c r="BH330" s="284"/>
      <c r="BI330" s="284"/>
      <c r="BJ330" s="284"/>
      <c r="BK330" s="284"/>
      <c r="BL330" s="284"/>
      <c r="BM330" s="284"/>
      <c r="BN330" s="284"/>
      <c r="BO330" s="284"/>
      <c r="BP330" s="284"/>
      <c r="BQ330" s="284"/>
      <c r="BR330" s="284"/>
      <c r="BS330" s="284"/>
      <c r="BT330" s="284"/>
      <c r="BU330" s="284"/>
      <c r="BV330" s="284"/>
      <c r="BW330" s="284"/>
      <c r="BX330" s="284"/>
      <c r="BY330" s="284"/>
      <c r="BZ330" s="285"/>
      <c r="CA330" s="298">
        <f>SUM(C330,E330,G330,I330,K330,M330,O330,Q330,S330,U330,W330,Y330,AA330,AC330,AE330,AG330,AI330,AK330,AM330,AO330,AQ330,AS330,AU330,AW330,AY330,BA330,BC330,BE330,BG330,BI330,BK330,BM330,BO330,BQ330,BS330,BU330,BW330,BY330)</f>
        <v>0</v>
      </c>
      <c r="CB330" s="298">
        <f>SUM(D330,F330,H330,J330,L330,N330,P330,R330,T330,V330,X330,Z330,AB330,AD330,AF330,AH330,AJ330,AL330,AN330,AP330,AR330,AT330,AV330,AX330,AZ330,BB330,BD330,BF330,BH330,BJ330,BL330,BN330,BP330,BR330,BT330,BV330,BX330,BZ330)</f>
        <v>0</v>
      </c>
      <c r="CC330" s="299">
        <f>SUM(Table13[[#This Row],[GOALS 1]:[ASSISTS 38]])</f>
        <v>0</v>
      </c>
    </row>
    <row r="331" spans="1:81">
      <c r="A331" s="291" t="s">
        <v>1561</v>
      </c>
      <c r="B331" s="291" t="s">
        <v>33</v>
      </c>
      <c r="C331" s="289"/>
      <c r="D331" s="286"/>
      <c r="E331" s="288"/>
      <c r="F331" s="286"/>
      <c r="G331" s="288"/>
      <c r="H331" s="286"/>
      <c r="I331" s="288"/>
      <c r="J331" s="286"/>
      <c r="K331" s="288"/>
      <c r="L331" s="286"/>
      <c r="M331" s="288"/>
      <c r="N331" s="286"/>
      <c r="O331" s="288"/>
      <c r="P331" s="286"/>
      <c r="Q331" s="288"/>
      <c r="R331" s="286"/>
      <c r="S331" s="288"/>
      <c r="T331" s="286"/>
      <c r="U331" s="288"/>
      <c r="V331" s="286"/>
      <c r="W331" s="288"/>
      <c r="X331" s="286"/>
      <c r="Y331" s="288"/>
      <c r="Z331" s="286"/>
      <c r="AA331" s="288"/>
      <c r="AB331" s="286"/>
      <c r="AC331" s="288"/>
      <c r="AD331" s="286"/>
      <c r="AE331" s="288"/>
      <c r="AF331" s="286"/>
      <c r="AG331" s="288"/>
      <c r="AH331" s="286"/>
      <c r="AI331" s="288"/>
      <c r="AJ331" s="286"/>
      <c r="AK331" s="286"/>
      <c r="AL331" s="286"/>
      <c r="AM331" s="286"/>
      <c r="AN331" s="286"/>
      <c r="AO331" s="286"/>
      <c r="AP331" s="286"/>
      <c r="AQ331" s="286"/>
      <c r="AR331" s="286"/>
      <c r="AS331" s="286"/>
      <c r="AT331" s="286"/>
      <c r="AU331" s="286"/>
      <c r="AV331" s="284"/>
      <c r="AW331" s="284"/>
      <c r="AX331" s="284"/>
      <c r="AY331" s="284"/>
      <c r="AZ331" s="284"/>
      <c r="BA331" s="284"/>
      <c r="BB331" s="284"/>
      <c r="BC331" s="284"/>
      <c r="BD331" s="284"/>
      <c r="BE331" s="284"/>
      <c r="BF331" s="284"/>
      <c r="BG331" s="284"/>
      <c r="BH331" s="284"/>
      <c r="BI331" s="284"/>
      <c r="BJ331" s="284"/>
      <c r="BK331" s="284"/>
      <c r="BL331" s="284"/>
      <c r="BM331" s="284"/>
      <c r="BN331" s="284"/>
      <c r="BO331" s="284"/>
      <c r="BP331" s="284"/>
      <c r="BQ331" s="284"/>
      <c r="BR331" s="284"/>
      <c r="BS331" s="284"/>
      <c r="BT331" s="284"/>
      <c r="BU331" s="284"/>
      <c r="BV331" s="284"/>
      <c r="BW331" s="284"/>
      <c r="BX331" s="284"/>
      <c r="BY331" s="284"/>
      <c r="BZ331" s="285"/>
      <c r="CA331" s="298">
        <f>SUM(C331,E331,G331,I331,K331,M331,O331,Q331,S331,U331,W331,Y331,AA331,AC331,AE331,AG331,AI331,AK331,AM331,AO331,AQ331,AS331,AU331,AW331,AY331,BA331,BC331,BE331,BG331,BI331,BK331,BM331,BO331,BQ331,BS331,BU331,BW331,BY331)</f>
        <v>0</v>
      </c>
      <c r="CB331" s="298">
        <f>SUM(D331,F331,H331,J331,L331,N331,P331,R331,T331,V331,X331,Z331,AB331,AD331,AF331,AH331,AJ331,AL331,AN331,AP331,AR331,AT331,AV331,AX331,AZ331,BB331,BD331,BF331,BH331,BJ331,BL331,BN331,BP331,BR331,BT331,BV331,BX331,BZ331)</f>
        <v>0</v>
      </c>
      <c r="CC331" s="299">
        <f>SUM(Table13[[#This Row],[GOALS 1]:[ASSISTS 38]])</f>
        <v>0</v>
      </c>
    </row>
    <row r="332" spans="1:81">
      <c r="A332" s="291" t="s">
        <v>1740</v>
      </c>
      <c r="B332" s="291" t="s">
        <v>26</v>
      </c>
      <c r="C332" s="286"/>
      <c r="D332" s="286"/>
      <c r="E332" s="288"/>
      <c r="F332" s="286"/>
      <c r="G332" s="288"/>
      <c r="H332" s="286"/>
      <c r="I332" s="288"/>
      <c r="J332" s="286"/>
      <c r="K332" s="288"/>
      <c r="L332" s="286"/>
      <c r="M332" s="288"/>
      <c r="N332" s="286"/>
      <c r="O332" s="288"/>
      <c r="P332" s="286"/>
      <c r="Q332" s="288"/>
      <c r="R332" s="286"/>
      <c r="S332" s="288"/>
      <c r="T332" s="286"/>
      <c r="U332" s="288"/>
      <c r="V332" s="286"/>
      <c r="W332" s="288"/>
      <c r="X332" s="286"/>
      <c r="Y332" s="288"/>
      <c r="Z332" s="286"/>
      <c r="AA332" s="288"/>
      <c r="AB332" s="286"/>
      <c r="AC332" s="288"/>
      <c r="AD332" s="286"/>
      <c r="AE332" s="288"/>
      <c r="AF332" s="286"/>
      <c r="AG332" s="288"/>
      <c r="AH332" s="286"/>
      <c r="AI332" s="288"/>
      <c r="AJ332" s="286"/>
      <c r="AK332" s="286"/>
      <c r="AL332" s="286"/>
      <c r="AM332" s="286"/>
      <c r="AN332" s="286"/>
      <c r="AO332" s="286"/>
      <c r="AP332" s="286"/>
      <c r="AQ332" s="286"/>
      <c r="AR332" s="286"/>
      <c r="AS332" s="286"/>
      <c r="AT332" s="286"/>
      <c r="AU332" s="286"/>
      <c r="AV332" s="284"/>
      <c r="AW332" s="284"/>
      <c r="AX332" s="284"/>
      <c r="AY332" s="284"/>
      <c r="AZ332" s="284"/>
      <c r="BA332" s="284"/>
      <c r="BB332" s="284"/>
      <c r="BC332" s="284"/>
      <c r="BD332" s="284"/>
      <c r="BE332" s="284"/>
      <c r="BF332" s="284"/>
      <c r="BG332" s="284"/>
      <c r="BH332" s="284"/>
      <c r="BI332" s="284"/>
      <c r="BJ332" s="284"/>
      <c r="BK332" s="284"/>
      <c r="BL332" s="284"/>
      <c r="BM332" s="284"/>
      <c r="BN332" s="284"/>
      <c r="BO332" s="284"/>
      <c r="BP332" s="284"/>
      <c r="BQ332" s="284"/>
      <c r="BR332" s="284"/>
      <c r="BS332" s="284"/>
      <c r="BT332" s="284"/>
      <c r="BU332" s="284"/>
      <c r="BV332" s="284"/>
      <c r="BW332" s="284"/>
      <c r="BX332" s="284"/>
      <c r="BY332" s="284"/>
      <c r="BZ332" s="285"/>
      <c r="CA332" s="298">
        <f>SUM(C332,E332,G332,I332,K332,M332,O332,Q332,S332,U332,W332,Y332,AA332,AC332,AE332,AG332,AI332,AK332,AM332,AO332,AQ332,AS332,AU332,AW332,AY332,BA332,BC332,BE332,BG332,BI332,BK332,BM332,BO332,BQ332,BS332,BU332,BW332,BY332)</f>
        <v>0</v>
      </c>
      <c r="CB332" s="298">
        <f>SUM(D332,F332,H332,J332,L332,N332,P332,R332,T332,V332,X332,Z332,AB332,AD332,AF332,AH332,AJ332,AL332,AN332,AP332,AR332,AT332,AV332,AX332,AZ332,BB332,BD332,BF332,BH332,BJ332,BL332,BN332,BP332,BR332,BT332,BV332,BX332,BZ332)</f>
        <v>0</v>
      </c>
      <c r="CC332" s="299">
        <f>SUM(Table13[[#This Row],[GOALS 1]:[ASSISTS 38]])</f>
        <v>0</v>
      </c>
    </row>
    <row r="333" spans="1:81">
      <c r="A333" s="291" t="s">
        <v>1411</v>
      </c>
      <c r="B333" s="291" t="s">
        <v>51</v>
      </c>
      <c r="C333" s="286"/>
      <c r="D333" s="286"/>
      <c r="E333" s="288"/>
      <c r="F333" s="286"/>
      <c r="G333" s="288"/>
      <c r="H333" s="286"/>
      <c r="I333" s="288"/>
      <c r="J333" s="286"/>
      <c r="K333" s="288"/>
      <c r="L333" s="286"/>
      <c r="M333" s="288"/>
      <c r="N333" s="286"/>
      <c r="O333" s="288"/>
      <c r="P333" s="286"/>
      <c r="Q333" s="288"/>
      <c r="R333" s="286"/>
      <c r="S333" s="288"/>
      <c r="T333" s="286"/>
      <c r="U333" s="288"/>
      <c r="V333" s="286"/>
      <c r="W333" s="288"/>
      <c r="X333" s="286"/>
      <c r="Y333" s="288"/>
      <c r="Z333" s="286"/>
      <c r="AA333" s="288"/>
      <c r="AB333" s="286"/>
      <c r="AC333" s="288"/>
      <c r="AD333" s="286"/>
      <c r="AE333" s="288"/>
      <c r="AF333" s="286"/>
      <c r="AG333" s="288"/>
      <c r="AH333" s="286"/>
      <c r="AI333" s="288"/>
      <c r="AJ333" s="286"/>
      <c r="AK333" s="286"/>
      <c r="AL333" s="286"/>
      <c r="AM333" s="286"/>
      <c r="AN333" s="286"/>
      <c r="AO333" s="286"/>
      <c r="AP333" s="286"/>
      <c r="AQ333" s="286"/>
      <c r="AR333" s="286"/>
      <c r="AS333" s="286"/>
      <c r="AT333" s="286"/>
      <c r="AU333" s="286"/>
      <c r="AV333" s="284"/>
      <c r="AW333" s="284"/>
      <c r="AX333" s="284"/>
      <c r="AY333" s="284"/>
      <c r="AZ333" s="284"/>
      <c r="BA333" s="284"/>
      <c r="BB333" s="284"/>
      <c r="BC333" s="284"/>
      <c r="BD333" s="284"/>
      <c r="BE333" s="284"/>
      <c r="BF333" s="284"/>
      <c r="BG333" s="284"/>
      <c r="BH333" s="284"/>
      <c r="BI333" s="284"/>
      <c r="BJ333" s="284"/>
      <c r="BK333" s="284"/>
      <c r="BL333" s="284"/>
      <c r="BM333" s="284"/>
      <c r="BN333" s="284"/>
      <c r="BO333" s="284"/>
      <c r="BP333" s="284"/>
      <c r="BQ333" s="284"/>
      <c r="BR333" s="284"/>
      <c r="BS333" s="284"/>
      <c r="BT333" s="284"/>
      <c r="BU333" s="284"/>
      <c r="BV333" s="284"/>
      <c r="BW333" s="284"/>
      <c r="BX333" s="284"/>
      <c r="BY333" s="284"/>
      <c r="BZ333" s="285"/>
      <c r="CA333" s="298">
        <f>SUM(C333,E333,G333,I333,K333,M333,O333,Q333,S333,U333,W333,Y333,AA333,AC333,AE333,AG333,AI333,AK333,AM333,AO333,AQ333,AS333,AU333,AW333,AY333,BA333,BC333,BE333,BG333,BI333,BK333,BM333,BO333,BQ333,BS333,BU333,BW333,BY333)</f>
        <v>0</v>
      </c>
      <c r="CB333" s="298">
        <f>SUM(D333,F333,H333,J333,L333,N333,P333,R333,T333,V333,X333,Z333,AB333,AD333,AF333,AH333,AJ333,AL333,AN333,AP333,AR333,AT333,AV333,AX333,AZ333,BB333,BD333,BF333,BH333,BJ333,BL333,BN333,BP333,BR333,BT333,BV333,BX333,BZ333)</f>
        <v>0</v>
      </c>
      <c r="CC333" s="299">
        <f>SUM(Table13[[#This Row],[GOALS 1]:[ASSISTS 38]])</f>
        <v>0</v>
      </c>
    </row>
    <row r="334" spans="1:81">
      <c r="A334" s="291" t="s">
        <v>1324</v>
      </c>
      <c r="B334" s="291" t="s">
        <v>23</v>
      </c>
      <c r="C334" s="289"/>
      <c r="D334" s="286"/>
      <c r="E334" s="288"/>
      <c r="F334" s="286"/>
      <c r="G334" s="288"/>
      <c r="H334" s="286"/>
      <c r="I334" s="288"/>
      <c r="J334" s="286"/>
      <c r="K334" s="288"/>
      <c r="L334" s="286"/>
      <c r="M334" s="288"/>
      <c r="N334" s="286"/>
      <c r="O334" s="288"/>
      <c r="P334" s="286"/>
      <c r="Q334" s="288"/>
      <c r="R334" s="286"/>
      <c r="S334" s="288"/>
      <c r="T334" s="286"/>
      <c r="U334" s="288"/>
      <c r="V334" s="286"/>
      <c r="W334" s="288"/>
      <c r="X334" s="286"/>
      <c r="Y334" s="288"/>
      <c r="Z334" s="286"/>
      <c r="AA334" s="288"/>
      <c r="AB334" s="286"/>
      <c r="AC334" s="288"/>
      <c r="AD334" s="286"/>
      <c r="AE334" s="288"/>
      <c r="AF334" s="286"/>
      <c r="AG334" s="288"/>
      <c r="AH334" s="286"/>
      <c r="AI334" s="288"/>
      <c r="AJ334" s="286"/>
      <c r="AK334" s="286"/>
      <c r="AL334" s="286"/>
      <c r="AM334" s="286"/>
      <c r="AN334" s="286"/>
      <c r="AO334" s="286"/>
      <c r="AP334" s="286"/>
      <c r="AQ334" s="286"/>
      <c r="AR334" s="286"/>
      <c r="AS334" s="286"/>
      <c r="AT334" s="286"/>
      <c r="AU334" s="286"/>
      <c r="AV334" s="284"/>
      <c r="AW334" s="284"/>
      <c r="AX334" s="284"/>
      <c r="AY334" s="284"/>
      <c r="AZ334" s="284"/>
      <c r="BA334" s="284"/>
      <c r="BB334" s="284"/>
      <c r="BC334" s="284"/>
      <c r="BD334" s="284"/>
      <c r="BE334" s="284"/>
      <c r="BF334" s="284"/>
      <c r="BG334" s="284"/>
      <c r="BH334" s="284"/>
      <c r="BI334" s="284"/>
      <c r="BJ334" s="284"/>
      <c r="BK334" s="284"/>
      <c r="BL334" s="284"/>
      <c r="BM334" s="284"/>
      <c r="BN334" s="284"/>
      <c r="BO334" s="284"/>
      <c r="BP334" s="284"/>
      <c r="BQ334" s="284"/>
      <c r="BR334" s="284"/>
      <c r="BS334" s="284"/>
      <c r="BT334" s="284"/>
      <c r="BU334" s="284"/>
      <c r="BV334" s="284"/>
      <c r="BW334" s="284"/>
      <c r="BX334" s="284"/>
      <c r="BY334" s="284"/>
      <c r="BZ334" s="285"/>
      <c r="CA334" s="298">
        <f>SUM(C334,E334,G334,I334,K334,M334,O334,Q334,S334,U334,W334,Y334,AA334,AC334,AE334,AG334,AI334,AK334,AM334,AO334,AQ334,AS334,AU334,AW334,AY334,BA334,BC334,BE334,BG334,BI334,BK334,BM334,BO334,BQ334,BS334,BU334,BW334,BY334)</f>
        <v>0</v>
      </c>
      <c r="CB334" s="298">
        <f>SUM(D334,F334,H334,J334,L334,N334,P334,R334,T334,V334,X334,Z334,AB334,AD334,AF334,AH334,AJ334,AL334,AN334,AP334,AR334,AT334,AV334,AX334,AZ334,BB334,BD334,BF334,BH334,BJ334,BL334,BN334,BP334,BR334,BT334,BV334,BX334,BZ334)</f>
        <v>0</v>
      </c>
      <c r="CC334" s="299">
        <f>SUM(Table13[[#This Row],[GOALS 1]:[ASSISTS 38]])</f>
        <v>0</v>
      </c>
    </row>
    <row r="335" spans="1:81">
      <c r="A335" s="291" t="s">
        <v>1635</v>
      </c>
      <c r="B335" s="291" t="s">
        <v>23</v>
      </c>
      <c r="C335" s="289"/>
      <c r="D335" s="286"/>
      <c r="E335" s="288"/>
      <c r="F335" s="286"/>
      <c r="G335" s="288"/>
      <c r="H335" s="286"/>
      <c r="I335" s="288"/>
      <c r="J335" s="286"/>
      <c r="K335" s="288"/>
      <c r="L335" s="286"/>
      <c r="M335" s="288"/>
      <c r="N335" s="286"/>
      <c r="O335" s="288"/>
      <c r="P335" s="286"/>
      <c r="Q335" s="288"/>
      <c r="R335" s="286"/>
      <c r="S335" s="288"/>
      <c r="T335" s="286"/>
      <c r="U335" s="288"/>
      <c r="V335" s="286"/>
      <c r="W335" s="288"/>
      <c r="X335" s="286"/>
      <c r="Y335" s="288"/>
      <c r="Z335" s="286"/>
      <c r="AA335" s="288"/>
      <c r="AB335" s="286"/>
      <c r="AC335" s="288"/>
      <c r="AD335" s="286"/>
      <c r="AE335" s="288"/>
      <c r="AF335" s="286"/>
      <c r="AG335" s="288"/>
      <c r="AH335" s="286"/>
      <c r="AI335" s="288"/>
      <c r="AJ335" s="286"/>
      <c r="AK335" s="286"/>
      <c r="AL335" s="286"/>
      <c r="AM335" s="286"/>
      <c r="AN335" s="286"/>
      <c r="AO335" s="286"/>
      <c r="AP335" s="286"/>
      <c r="AQ335" s="286"/>
      <c r="AR335" s="286"/>
      <c r="AS335" s="286"/>
      <c r="AT335" s="286"/>
      <c r="AU335" s="286"/>
      <c r="AV335" s="284"/>
      <c r="AW335" s="284"/>
      <c r="AX335" s="284"/>
      <c r="AY335" s="284"/>
      <c r="AZ335" s="284"/>
      <c r="BA335" s="284"/>
      <c r="BB335" s="284"/>
      <c r="BC335" s="284"/>
      <c r="BD335" s="284"/>
      <c r="BE335" s="284"/>
      <c r="BF335" s="284"/>
      <c r="BG335" s="284"/>
      <c r="BH335" s="284"/>
      <c r="BI335" s="284"/>
      <c r="BJ335" s="284"/>
      <c r="BK335" s="284"/>
      <c r="BL335" s="284"/>
      <c r="BM335" s="284"/>
      <c r="BN335" s="284"/>
      <c r="BO335" s="284"/>
      <c r="BP335" s="284"/>
      <c r="BQ335" s="284"/>
      <c r="BR335" s="284"/>
      <c r="BS335" s="284"/>
      <c r="BT335" s="284"/>
      <c r="BU335" s="284"/>
      <c r="BV335" s="284"/>
      <c r="BW335" s="284"/>
      <c r="BX335" s="284"/>
      <c r="BY335" s="284"/>
      <c r="BZ335" s="285"/>
      <c r="CA335" s="298">
        <f>SUM(C335,E335,G335,I335,K335,M335,O335,Q335,S335,U335,W335,Y335,AA335,AC335,AE335,AG335,AI335,AK335,AM335,AO335,AQ335,AS335,AU335,AW335,AY335,BA335,BC335,BE335,BG335,BI335,BK335,BM335,BO335,BQ335,BS335,BU335,BW335,BY335)</f>
        <v>0</v>
      </c>
      <c r="CB335" s="298">
        <f>SUM(D335,F335,H335,J335,L335,N335,P335,R335,T335,V335,X335,Z335,AB335,AD335,AF335,AH335,AJ335,AL335,AN335,AP335,AR335,AT335,AV335,AX335,AZ335,BB335,BD335,BF335,BH335,BJ335,BL335,BN335,BP335,BR335,BT335,BV335,BX335,BZ335)</f>
        <v>0</v>
      </c>
      <c r="CC335" s="299">
        <f>SUM(Table13[[#This Row],[GOALS 1]:[ASSISTS 38]])</f>
        <v>0</v>
      </c>
    </row>
    <row r="336" spans="1:81">
      <c r="A336" s="291" t="s">
        <v>1465</v>
      </c>
      <c r="B336" s="291" t="s">
        <v>51</v>
      </c>
      <c r="C336" s="286"/>
      <c r="D336" s="286"/>
      <c r="E336" s="288"/>
      <c r="F336" s="286"/>
      <c r="G336" s="288"/>
      <c r="H336" s="286"/>
      <c r="I336" s="288"/>
      <c r="J336" s="286"/>
      <c r="K336" s="288"/>
      <c r="L336" s="286"/>
      <c r="M336" s="288"/>
      <c r="N336" s="286"/>
      <c r="O336" s="288"/>
      <c r="P336" s="286"/>
      <c r="Q336" s="288"/>
      <c r="R336" s="286"/>
      <c r="S336" s="288"/>
      <c r="T336" s="286"/>
      <c r="U336" s="288"/>
      <c r="V336" s="286"/>
      <c r="W336" s="288"/>
      <c r="X336" s="286"/>
      <c r="Y336" s="288"/>
      <c r="Z336" s="286"/>
      <c r="AA336" s="288"/>
      <c r="AB336" s="286"/>
      <c r="AC336" s="288"/>
      <c r="AD336" s="286"/>
      <c r="AE336" s="288"/>
      <c r="AF336" s="286"/>
      <c r="AG336" s="288"/>
      <c r="AH336" s="286"/>
      <c r="AI336" s="288"/>
      <c r="AJ336" s="286"/>
      <c r="AK336" s="286"/>
      <c r="AL336" s="286"/>
      <c r="AM336" s="286"/>
      <c r="AN336" s="286"/>
      <c r="AO336" s="286"/>
      <c r="AP336" s="286"/>
      <c r="AQ336" s="286"/>
      <c r="AR336" s="286"/>
      <c r="AS336" s="286"/>
      <c r="AT336" s="286"/>
      <c r="AU336" s="286"/>
      <c r="AV336" s="284"/>
      <c r="AW336" s="284"/>
      <c r="AX336" s="284"/>
      <c r="AY336" s="284"/>
      <c r="AZ336" s="284"/>
      <c r="BA336" s="284"/>
      <c r="BB336" s="284"/>
      <c r="BC336" s="284"/>
      <c r="BD336" s="284"/>
      <c r="BE336" s="284"/>
      <c r="BF336" s="284"/>
      <c r="BG336" s="284"/>
      <c r="BH336" s="284"/>
      <c r="BI336" s="284"/>
      <c r="BJ336" s="284"/>
      <c r="BK336" s="284"/>
      <c r="BL336" s="284"/>
      <c r="BM336" s="284"/>
      <c r="BN336" s="284"/>
      <c r="BO336" s="284"/>
      <c r="BP336" s="284"/>
      <c r="BQ336" s="284"/>
      <c r="BR336" s="284"/>
      <c r="BS336" s="284"/>
      <c r="BT336" s="284"/>
      <c r="BU336" s="284"/>
      <c r="BV336" s="284"/>
      <c r="BW336" s="284"/>
      <c r="BX336" s="284"/>
      <c r="BY336" s="284"/>
      <c r="BZ336" s="285"/>
      <c r="CA336" s="298">
        <f>SUM(C336,E336,G336,I336,K336,M336,O336,Q336,S336,U336,W336,Y336,AA336,AC336,AE336,AG336,AI336,AK336,AM336,AO336,AQ336,AS336,AU336,AW336,AY336,BA336,BC336,BE336,BG336,BI336,BK336,BM336,BO336,BQ336,BS336,BU336,BW336,BY336)</f>
        <v>0</v>
      </c>
      <c r="CB336" s="298">
        <f>SUM(D336,F336,H336,J336,L336,N336,P336,R336,T336,V336,X336,Z336,AB336,AD336,AF336,AH336,AJ336,AL336,AN336,AP336,AR336,AT336,AV336,AX336,AZ336,BB336,BD336,BF336,BH336,BJ336,BL336,BN336,BP336,BR336,BT336,BV336,BX336,BZ336)</f>
        <v>0</v>
      </c>
      <c r="CC336" s="299">
        <f>SUM(Table13[[#This Row],[GOALS 1]:[ASSISTS 38]])</f>
        <v>0</v>
      </c>
    </row>
    <row r="337" spans="1:81">
      <c r="A337" s="291" t="s">
        <v>1819</v>
      </c>
      <c r="B337" s="291" t="s">
        <v>634</v>
      </c>
      <c r="C337" s="288"/>
      <c r="D337" s="286"/>
      <c r="E337" s="288"/>
      <c r="F337" s="286"/>
      <c r="G337" s="288"/>
      <c r="H337" s="286"/>
      <c r="I337" s="288"/>
      <c r="J337" s="286"/>
      <c r="K337" s="288"/>
      <c r="L337" s="286"/>
      <c r="M337" s="288"/>
      <c r="N337" s="286"/>
      <c r="O337" s="288"/>
      <c r="P337" s="286"/>
      <c r="Q337" s="288"/>
      <c r="R337" s="286"/>
      <c r="S337" s="288"/>
      <c r="T337" s="286"/>
      <c r="U337" s="288"/>
      <c r="V337" s="286"/>
      <c r="W337" s="288"/>
      <c r="X337" s="286"/>
      <c r="Y337" s="288"/>
      <c r="Z337" s="286"/>
      <c r="AA337" s="288"/>
      <c r="AB337" s="286"/>
      <c r="AC337" s="288"/>
      <c r="AD337" s="286"/>
      <c r="AE337" s="288"/>
      <c r="AF337" s="286"/>
      <c r="AG337" s="288"/>
      <c r="AH337" s="286"/>
      <c r="AI337" s="288"/>
      <c r="AJ337" s="286"/>
      <c r="AK337" s="286"/>
      <c r="AL337" s="286"/>
      <c r="AM337" s="286"/>
      <c r="AN337" s="286"/>
      <c r="AO337" s="286"/>
      <c r="AP337" s="286"/>
      <c r="AQ337" s="286"/>
      <c r="AR337" s="286"/>
      <c r="AS337" s="286"/>
      <c r="AT337" s="286"/>
      <c r="AU337" s="286"/>
      <c r="AV337" s="284"/>
      <c r="AW337" s="284"/>
      <c r="AX337" s="284"/>
      <c r="AY337" s="284"/>
      <c r="AZ337" s="284"/>
      <c r="BA337" s="284"/>
      <c r="BB337" s="284"/>
      <c r="BC337" s="284"/>
      <c r="BD337" s="284"/>
      <c r="BE337" s="284"/>
      <c r="BF337" s="284"/>
      <c r="BG337" s="284"/>
      <c r="BH337" s="284"/>
      <c r="BI337" s="284"/>
      <c r="BJ337" s="284"/>
      <c r="BK337" s="284"/>
      <c r="BL337" s="284"/>
      <c r="BM337" s="284"/>
      <c r="BN337" s="284"/>
      <c r="BO337" s="284"/>
      <c r="BP337" s="284"/>
      <c r="BQ337" s="284"/>
      <c r="BR337" s="284"/>
      <c r="BS337" s="284"/>
      <c r="BT337" s="284"/>
      <c r="BU337" s="284"/>
      <c r="BV337" s="284"/>
      <c r="BW337" s="284"/>
      <c r="BX337" s="284"/>
      <c r="BY337" s="284"/>
      <c r="BZ337" s="285"/>
      <c r="CA337" s="298">
        <f>SUM(C337,E337,G337,I337,K337,M337,O337,Q337,S337,U337,W337,Y337,AA337,AC337,AE337,AG337,AI337,AK337,AM337,AO337,AQ337,AS337,AU337,AW337,AY337,BA337,BC337,BE337,BG337,BI337,BK337,BM337,BO337,BQ337,BS337,BU337,BW337,BY337)</f>
        <v>0</v>
      </c>
      <c r="CB337" s="298">
        <f>SUM(D337,F337,H337,J337,L337,N337,P337,R337,T337,V337,X337,Z337,AB337,AD337,AF337,AH337,AJ337,AL337,AN337,AP337,AR337,AT337,AV337,AX337,AZ337,BB337,BD337,BF337,BH337,BJ337,BL337,BN337,BP337,BR337,BT337,BV337,BX337,BZ337)</f>
        <v>0</v>
      </c>
      <c r="CC337" s="299">
        <f>SUM(Table13[[#This Row],[GOALS 1]:[ASSISTS 38]])</f>
        <v>0</v>
      </c>
    </row>
    <row r="338" spans="1:81">
      <c r="A338" s="292" t="s">
        <v>1730</v>
      </c>
      <c r="B338" s="292" t="s">
        <v>33</v>
      </c>
      <c r="C338" s="289"/>
      <c r="D338" s="286"/>
      <c r="E338" s="288"/>
      <c r="F338" s="286"/>
      <c r="G338" s="288"/>
      <c r="H338" s="286"/>
      <c r="I338" s="288"/>
      <c r="J338" s="286"/>
      <c r="K338" s="288"/>
      <c r="L338" s="286"/>
      <c r="M338" s="288"/>
      <c r="N338" s="286"/>
      <c r="O338" s="288"/>
      <c r="P338" s="286"/>
      <c r="Q338" s="288"/>
      <c r="R338" s="286"/>
      <c r="S338" s="288"/>
      <c r="T338" s="286"/>
      <c r="U338" s="288"/>
      <c r="V338" s="286"/>
      <c r="W338" s="288"/>
      <c r="X338" s="286"/>
      <c r="Y338" s="288"/>
      <c r="Z338" s="286"/>
      <c r="AA338" s="288"/>
      <c r="AB338" s="286"/>
      <c r="AC338" s="288"/>
      <c r="AD338" s="286"/>
      <c r="AE338" s="288"/>
      <c r="AF338" s="286"/>
      <c r="AG338" s="288"/>
      <c r="AH338" s="286"/>
      <c r="AI338" s="288"/>
      <c r="AJ338" s="286"/>
      <c r="AK338" s="286"/>
      <c r="AL338" s="286"/>
      <c r="AM338" s="286"/>
      <c r="AN338" s="286"/>
      <c r="AO338" s="286"/>
      <c r="AP338" s="286"/>
      <c r="AQ338" s="286"/>
      <c r="AR338" s="286"/>
      <c r="AS338" s="286"/>
      <c r="AT338" s="286"/>
      <c r="AU338" s="286"/>
      <c r="AV338" s="284"/>
      <c r="AW338" s="284"/>
      <c r="AX338" s="284"/>
      <c r="AY338" s="284"/>
      <c r="AZ338" s="284"/>
      <c r="BA338" s="284"/>
      <c r="BB338" s="284"/>
      <c r="BC338" s="284"/>
      <c r="BD338" s="284"/>
      <c r="BE338" s="284"/>
      <c r="BF338" s="284"/>
      <c r="BG338" s="284"/>
      <c r="BH338" s="284"/>
      <c r="BI338" s="284"/>
      <c r="BJ338" s="284"/>
      <c r="BK338" s="284"/>
      <c r="BL338" s="284"/>
      <c r="BM338" s="284"/>
      <c r="BN338" s="284"/>
      <c r="BO338" s="284"/>
      <c r="BP338" s="284"/>
      <c r="BQ338" s="284"/>
      <c r="BR338" s="284"/>
      <c r="BS338" s="284"/>
      <c r="BT338" s="284"/>
      <c r="BU338" s="284"/>
      <c r="BV338" s="284"/>
      <c r="BW338" s="284"/>
      <c r="BX338" s="284"/>
      <c r="BY338" s="284"/>
      <c r="BZ338" s="285"/>
      <c r="CA338" s="298">
        <f>SUM(C338,E338,G338,I338,K338,M338,O338,Q338,S338,U338,W338,Y338,AA338,AC338,AE338,AG338,AI338,AK338,AM338,AO338,AQ338,AS338,AU338,AW338,AY338,BA338,BC338,BE338,BG338,BI338,BK338,BM338,BO338,BQ338,BS338,BU338,BW338,BY338)</f>
        <v>0</v>
      </c>
      <c r="CB338" s="298">
        <f>SUM(D338,F338,H338,J338,L338,N338,P338,R338,T338,V338,X338,Z338,AB338,AD338,AF338,AH338,AJ338,AL338,AN338,AP338,AR338,AT338,AV338,AX338,AZ338,BB338,BD338,BF338,BH338,BJ338,BL338,BN338,BP338,BR338,BT338,BV338,BX338,BZ338)</f>
        <v>0</v>
      </c>
      <c r="CC338" s="299">
        <f>SUM(Table13[[#This Row],[GOALS 1]:[ASSISTS 38]])</f>
        <v>0</v>
      </c>
    </row>
    <row r="339" spans="1:81">
      <c r="A339" s="291" t="s">
        <v>1802</v>
      </c>
      <c r="B339" s="291" t="s">
        <v>633</v>
      </c>
      <c r="C339" s="289"/>
      <c r="D339" s="286"/>
      <c r="E339" s="288"/>
      <c r="F339" s="286"/>
      <c r="G339" s="288"/>
      <c r="H339" s="286"/>
      <c r="I339" s="288"/>
      <c r="J339" s="286"/>
      <c r="K339" s="288"/>
      <c r="L339" s="286"/>
      <c r="M339" s="288"/>
      <c r="N339" s="286"/>
      <c r="O339" s="288"/>
      <c r="P339" s="286"/>
      <c r="Q339" s="288"/>
      <c r="R339" s="286"/>
      <c r="S339" s="288"/>
      <c r="T339" s="286"/>
      <c r="U339" s="288"/>
      <c r="V339" s="286"/>
      <c r="W339" s="288"/>
      <c r="X339" s="286"/>
      <c r="Y339" s="288"/>
      <c r="Z339" s="286"/>
      <c r="AA339" s="288"/>
      <c r="AB339" s="286"/>
      <c r="AC339" s="288"/>
      <c r="AD339" s="286"/>
      <c r="AE339" s="288"/>
      <c r="AF339" s="286"/>
      <c r="AG339" s="288"/>
      <c r="AH339" s="286"/>
      <c r="AI339" s="288"/>
      <c r="AJ339" s="286"/>
      <c r="AK339" s="286"/>
      <c r="AL339" s="286"/>
      <c r="AM339" s="286"/>
      <c r="AN339" s="286"/>
      <c r="AO339" s="286"/>
      <c r="AP339" s="286"/>
      <c r="AQ339" s="286"/>
      <c r="AR339" s="286"/>
      <c r="AS339" s="286"/>
      <c r="AT339" s="286"/>
      <c r="AU339" s="286"/>
      <c r="AV339" s="284"/>
      <c r="AW339" s="284"/>
      <c r="AX339" s="284"/>
      <c r="AY339" s="284"/>
      <c r="AZ339" s="284"/>
      <c r="BA339" s="284"/>
      <c r="BB339" s="284"/>
      <c r="BC339" s="284"/>
      <c r="BD339" s="284"/>
      <c r="BE339" s="284"/>
      <c r="BF339" s="284"/>
      <c r="BG339" s="284"/>
      <c r="BH339" s="284"/>
      <c r="BI339" s="284"/>
      <c r="BJ339" s="284"/>
      <c r="BK339" s="284"/>
      <c r="BL339" s="284"/>
      <c r="BM339" s="284"/>
      <c r="BN339" s="284"/>
      <c r="BO339" s="284"/>
      <c r="BP339" s="284"/>
      <c r="BQ339" s="284"/>
      <c r="BR339" s="284"/>
      <c r="BS339" s="284"/>
      <c r="BT339" s="284"/>
      <c r="BU339" s="284"/>
      <c r="BV339" s="284"/>
      <c r="BW339" s="284"/>
      <c r="BX339" s="284"/>
      <c r="BY339" s="284"/>
      <c r="BZ339" s="285"/>
      <c r="CA339" s="298">
        <f>SUM(C339,E339,G339,I339,K339,M339,O339,Q339,S339,U339,W339,Y339,AA339,AC339,AE339,AG339,AI339,AK339,AM339,AO339,AQ339,AS339,AU339,AW339,AY339,BA339,BC339,BE339,BG339,BI339,BK339,BM339,BO339,BQ339,BS339,BU339,BW339,BY339)</f>
        <v>0</v>
      </c>
      <c r="CB339" s="298">
        <f>SUM(D339,F339,H339,J339,L339,N339,P339,R339,T339,V339,X339,Z339,AB339,AD339,AF339,AH339,AJ339,AL339,AN339,AP339,AR339,AT339,AV339,AX339,AZ339,BB339,BD339,BF339,BH339,BJ339,BL339,BN339,BP339,BR339,BT339,BV339,BX339,BZ339)</f>
        <v>0</v>
      </c>
      <c r="CC339" s="299">
        <f>SUM(Table13[[#This Row],[GOALS 1]:[ASSISTS 38]])</f>
        <v>0</v>
      </c>
    </row>
    <row r="340" spans="1:81">
      <c r="A340" s="291" t="s">
        <v>1585</v>
      </c>
      <c r="B340" s="291" t="s">
        <v>25</v>
      </c>
      <c r="C340" s="286"/>
      <c r="D340" s="286"/>
      <c r="E340" s="288"/>
      <c r="F340" s="286"/>
      <c r="G340" s="288"/>
      <c r="H340" s="286"/>
      <c r="I340" s="288"/>
      <c r="J340" s="286"/>
      <c r="K340" s="288"/>
      <c r="L340" s="286"/>
      <c r="M340" s="288"/>
      <c r="N340" s="286"/>
      <c r="O340" s="288"/>
      <c r="P340" s="286"/>
      <c r="Q340" s="288"/>
      <c r="R340" s="286"/>
      <c r="S340" s="288"/>
      <c r="T340" s="286"/>
      <c r="U340" s="288"/>
      <c r="V340" s="286"/>
      <c r="W340" s="288"/>
      <c r="X340" s="286"/>
      <c r="Y340" s="288"/>
      <c r="Z340" s="286"/>
      <c r="AA340" s="288"/>
      <c r="AB340" s="286"/>
      <c r="AC340" s="288"/>
      <c r="AD340" s="286"/>
      <c r="AE340" s="288"/>
      <c r="AF340" s="286"/>
      <c r="AG340" s="288"/>
      <c r="AH340" s="286"/>
      <c r="AI340" s="288"/>
      <c r="AJ340" s="286"/>
      <c r="AK340" s="286"/>
      <c r="AL340" s="286"/>
      <c r="AM340" s="286"/>
      <c r="AN340" s="286"/>
      <c r="AO340" s="286"/>
      <c r="AP340" s="286"/>
      <c r="AQ340" s="286"/>
      <c r="AR340" s="286"/>
      <c r="AS340" s="286"/>
      <c r="AT340" s="286"/>
      <c r="AU340" s="286"/>
      <c r="AV340" s="284"/>
      <c r="AW340" s="284"/>
      <c r="AX340" s="284"/>
      <c r="AY340" s="284"/>
      <c r="AZ340" s="284"/>
      <c r="BA340" s="284"/>
      <c r="BB340" s="284"/>
      <c r="BC340" s="284"/>
      <c r="BD340" s="284"/>
      <c r="BE340" s="284"/>
      <c r="BF340" s="284"/>
      <c r="BG340" s="284"/>
      <c r="BH340" s="284"/>
      <c r="BI340" s="284"/>
      <c r="BJ340" s="284"/>
      <c r="BK340" s="284"/>
      <c r="BL340" s="284"/>
      <c r="BM340" s="284"/>
      <c r="BN340" s="284"/>
      <c r="BO340" s="284"/>
      <c r="BP340" s="284"/>
      <c r="BQ340" s="284"/>
      <c r="BR340" s="284"/>
      <c r="BS340" s="284"/>
      <c r="BT340" s="284"/>
      <c r="BU340" s="284"/>
      <c r="BV340" s="284"/>
      <c r="BW340" s="284"/>
      <c r="BX340" s="284"/>
      <c r="BY340" s="284"/>
      <c r="BZ340" s="285"/>
      <c r="CA340" s="298">
        <f>SUM(C340,E340,G340,I340,K340,M340,O340,Q340,S340,U340,W340,Y340,AA340,AC340,AE340,AG340,AI340,AK340,AM340,AO340,AQ340,AS340,AU340,AW340,AY340,BA340,BC340,BE340,BG340,BI340,BK340,BM340,BO340,BQ340,BS340,BU340,BW340,BY340)</f>
        <v>0</v>
      </c>
      <c r="CB340" s="298">
        <f>SUM(D340,F340,H340,J340,L340,N340,P340,R340,T340,V340,X340,Z340,AB340,AD340,AF340,AH340,AJ340,AL340,AN340,AP340,AR340,AT340,AV340,AX340,AZ340,BB340,BD340,BF340,BH340,BJ340,BL340,BN340,BP340,BR340,BT340,BV340,BX340,BZ340)</f>
        <v>0</v>
      </c>
      <c r="CC340" s="299">
        <f>SUM(Table13[[#This Row],[GOALS 1]:[ASSISTS 38]])</f>
        <v>0</v>
      </c>
    </row>
    <row r="341" spans="1:81">
      <c r="A341" s="291" t="s">
        <v>1581</v>
      </c>
      <c r="B341" s="291" t="s">
        <v>17</v>
      </c>
      <c r="C341" s="289"/>
      <c r="D341" s="286"/>
      <c r="E341" s="288"/>
      <c r="F341" s="286"/>
      <c r="G341" s="288"/>
      <c r="H341" s="286"/>
      <c r="I341" s="288"/>
      <c r="J341" s="286"/>
      <c r="K341" s="288"/>
      <c r="L341" s="286"/>
      <c r="M341" s="288"/>
      <c r="N341" s="286"/>
      <c r="O341" s="288"/>
      <c r="P341" s="286"/>
      <c r="Q341" s="288"/>
      <c r="R341" s="286"/>
      <c r="S341" s="288"/>
      <c r="T341" s="286"/>
      <c r="U341" s="288"/>
      <c r="V341" s="286"/>
      <c r="W341" s="288"/>
      <c r="X341" s="286"/>
      <c r="Y341" s="288"/>
      <c r="Z341" s="286"/>
      <c r="AA341" s="288"/>
      <c r="AB341" s="286"/>
      <c r="AC341" s="288"/>
      <c r="AD341" s="286"/>
      <c r="AE341" s="288"/>
      <c r="AF341" s="286"/>
      <c r="AG341" s="288"/>
      <c r="AH341" s="286"/>
      <c r="AI341" s="288"/>
      <c r="AJ341" s="286"/>
      <c r="AK341" s="286"/>
      <c r="AL341" s="286"/>
      <c r="AM341" s="286"/>
      <c r="AN341" s="286"/>
      <c r="AO341" s="286"/>
      <c r="AP341" s="286"/>
      <c r="AQ341" s="286"/>
      <c r="AR341" s="286"/>
      <c r="AS341" s="286"/>
      <c r="AT341" s="286"/>
      <c r="AU341" s="286"/>
      <c r="AV341" s="284"/>
      <c r="AW341" s="284"/>
      <c r="AX341" s="284"/>
      <c r="AY341" s="284"/>
      <c r="AZ341" s="284"/>
      <c r="BA341" s="284"/>
      <c r="BB341" s="284"/>
      <c r="BC341" s="284"/>
      <c r="BD341" s="284"/>
      <c r="BE341" s="284"/>
      <c r="BF341" s="284"/>
      <c r="BG341" s="284"/>
      <c r="BH341" s="284"/>
      <c r="BI341" s="284"/>
      <c r="BJ341" s="284"/>
      <c r="BK341" s="284"/>
      <c r="BL341" s="284"/>
      <c r="BM341" s="284"/>
      <c r="BN341" s="284"/>
      <c r="BO341" s="284"/>
      <c r="BP341" s="284"/>
      <c r="BQ341" s="284"/>
      <c r="BR341" s="284"/>
      <c r="BS341" s="284"/>
      <c r="BT341" s="284"/>
      <c r="BU341" s="284"/>
      <c r="BV341" s="284"/>
      <c r="BW341" s="284"/>
      <c r="BX341" s="284"/>
      <c r="BY341" s="284"/>
      <c r="BZ341" s="285"/>
      <c r="CA341" s="298">
        <f>SUM(C341,E341,G341,I341,K341,M341,O341,Q341,S341,U341,W341,Y341,AA341,AC341,AE341,AG341,AI341,AK341,AM341,AO341,AQ341,AS341,AU341,AW341,AY341,BA341,BC341,BE341,BG341,BI341,BK341,BM341,BO341,BQ341,BS341,BU341,BW341,BY341)</f>
        <v>0</v>
      </c>
      <c r="CB341" s="298">
        <f>SUM(D341,F341,H341,J341,L341,N341,P341,R341,T341,V341,X341,Z341,AB341,AD341,AF341,AH341,AJ341,AL341,AN341,AP341,AR341,AT341,AV341,AX341,AZ341,BB341,BD341,BF341,BH341,BJ341,BL341,BN341,BP341,BR341,BT341,BV341,BX341,BZ341)</f>
        <v>0</v>
      </c>
      <c r="CC341" s="299">
        <f>SUM(Table13[[#This Row],[GOALS 1]:[ASSISTS 38]])</f>
        <v>0</v>
      </c>
    </row>
    <row r="342" spans="1:81">
      <c r="A342" s="291" t="s">
        <v>1399</v>
      </c>
      <c r="B342" s="291" t="s">
        <v>633</v>
      </c>
      <c r="C342" s="289"/>
      <c r="D342" s="286"/>
      <c r="E342" s="288"/>
      <c r="F342" s="286"/>
      <c r="G342" s="288"/>
      <c r="H342" s="286"/>
      <c r="I342" s="288"/>
      <c r="J342" s="286"/>
      <c r="K342" s="288"/>
      <c r="L342" s="286"/>
      <c r="M342" s="288"/>
      <c r="N342" s="286"/>
      <c r="O342" s="288"/>
      <c r="P342" s="286"/>
      <c r="Q342" s="288"/>
      <c r="R342" s="286"/>
      <c r="S342" s="288"/>
      <c r="T342" s="286"/>
      <c r="U342" s="288"/>
      <c r="V342" s="286"/>
      <c r="W342" s="288"/>
      <c r="X342" s="286"/>
      <c r="Y342" s="288"/>
      <c r="Z342" s="286"/>
      <c r="AA342" s="288"/>
      <c r="AB342" s="286"/>
      <c r="AC342" s="288"/>
      <c r="AD342" s="286"/>
      <c r="AE342" s="288"/>
      <c r="AF342" s="286"/>
      <c r="AG342" s="288"/>
      <c r="AH342" s="286"/>
      <c r="AI342" s="288"/>
      <c r="AJ342" s="286"/>
      <c r="AK342" s="286"/>
      <c r="AL342" s="286"/>
      <c r="AM342" s="286"/>
      <c r="AN342" s="286"/>
      <c r="AO342" s="286"/>
      <c r="AP342" s="286"/>
      <c r="AQ342" s="286"/>
      <c r="AR342" s="286"/>
      <c r="AS342" s="286"/>
      <c r="AT342" s="286"/>
      <c r="AU342" s="286"/>
      <c r="AV342" s="284"/>
      <c r="AW342" s="284"/>
      <c r="AX342" s="284"/>
      <c r="AY342" s="284"/>
      <c r="AZ342" s="284"/>
      <c r="BA342" s="284"/>
      <c r="BB342" s="284"/>
      <c r="BC342" s="284"/>
      <c r="BD342" s="284"/>
      <c r="BE342" s="284"/>
      <c r="BF342" s="284"/>
      <c r="BG342" s="284"/>
      <c r="BH342" s="284"/>
      <c r="BI342" s="284"/>
      <c r="BJ342" s="284"/>
      <c r="BK342" s="284"/>
      <c r="BL342" s="284"/>
      <c r="BM342" s="284"/>
      <c r="BN342" s="284"/>
      <c r="BO342" s="284"/>
      <c r="BP342" s="284"/>
      <c r="BQ342" s="284"/>
      <c r="BR342" s="284"/>
      <c r="BS342" s="284"/>
      <c r="BT342" s="284"/>
      <c r="BU342" s="284"/>
      <c r="BV342" s="284"/>
      <c r="BW342" s="284"/>
      <c r="BX342" s="284"/>
      <c r="BY342" s="284"/>
      <c r="BZ342" s="285"/>
      <c r="CA342" s="298">
        <f>SUM(C342,E342,G342,I342,K342,M342,O342,Q342,S342,U342,W342,Y342,AA342,AC342,AE342,AG342,AI342,AK342,AM342,AO342,AQ342,AS342,AU342,AW342,AY342,BA342,BC342,BE342,BG342,BI342,BK342,BM342,BO342,BQ342,BS342,BU342,BW342,BY342)</f>
        <v>0</v>
      </c>
      <c r="CB342" s="298">
        <f>SUM(D342,F342,H342,J342,L342,N342,P342,R342,T342,V342,X342,Z342,AB342,AD342,AF342,AH342,AJ342,AL342,AN342,AP342,AR342,AT342,AV342,AX342,AZ342,BB342,BD342,BF342,BH342,BJ342,BL342,BN342,BP342,BR342,BT342,BV342,BX342,BZ342)</f>
        <v>0</v>
      </c>
      <c r="CC342" s="299">
        <f>SUM(Table13[[#This Row],[GOALS 1]:[ASSISTS 38]])</f>
        <v>0</v>
      </c>
    </row>
    <row r="343" spans="1:81">
      <c r="A343" s="291" t="s">
        <v>1679</v>
      </c>
      <c r="B343" s="291" t="s">
        <v>33</v>
      </c>
      <c r="C343" s="289"/>
      <c r="D343" s="286"/>
      <c r="E343" s="288"/>
      <c r="F343" s="286"/>
      <c r="G343" s="288"/>
      <c r="H343" s="286"/>
      <c r="I343" s="288"/>
      <c r="J343" s="286"/>
      <c r="K343" s="288"/>
      <c r="L343" s="286"/>
      <c r="M343" s="288"/>
      <c r="N343" s="286"/>
      <c r="O343" s="288"/>
      <c r="P343" s="286"/>
      <c r="Q343" s="288"/>
      <c r="R343" s="286"/>
      <c r="S343" s="288"/>
      <c r="T343" s="286"/>
      <c r="U343" s="288"/>
      <c r="V343" s="286"/>
      <c r="W343" s="288"/>
      <c r="X343" s="286"/>
      <c r="Y343" s="288"/>
      <c r="Z343" s="286"/>
      <c r="AA343" s="288"/>
      <c r="AB343" s="286"/>
      <c r="AC343" s="288"/>
      <c r="AD343" s="286"/>
      <c r="AE343" s="288"/>
      <c r="AF343" s="286"/>
      <c r="AG343" s="288"/>
      <c r="AH343" s="286"/>
      <c r="AI343" s="288"/>
      <c r="AJ343" s="286"/>
      <c r="AK343" s="286"/>
      <c r="AL343" s="286"/>
      <c r="AM343" s="286"/>
      <c r="AN343" s="286"/>
      <c r="AO343" s="286"/>
      <c r="AP343" s="286"/>
      <c r="AQ343" s="286"/>
      <c r="AR343" s="286"/>
      <c r="AS343" s="286"/>
      <c r="AT343" s="286"/>
      <c r="AU343" s="286"/>
      <c r="AV343" s="284"/>
      <c r="AW343" s="284"/>
      <c r="AX343" s="284"/>
      <c r="AY343" s="284"/>
      <c r="AZ343" s="284"/>
      <c r="BA343" s="284"/>
      <c r="BB343" s="284"/>
      <c r="BC343" s="284"/>
      <c r="BD343" s="284"/>
      <c r="BE343" s="284"/>
      <c r="BF343" s="284"/>
      <c r="BG343" s="284"/>
      <c r="BH343" s="284"/>
      <c r="BI343" s="284"/>
      <c r="BJ343" s="284"/>
      <c r="BK343" s="284"/>
      <c r="BL343" s="284"/>
      <c r="BM343" s="284"/>
      <c r="BN343" s="284"/>
      <c r="BO343" s="284"/>
      <c r="BP343" s="284"/>
      <c r="BQ343" s="284"/>
      <c r="BR343" s="284"/>
      <c r="BS343" s="284"/>
      <c r="BT343" s="284"/>
      <c r="BU343" s="284"/>
      <c r="BV343" s="284"/>
      <c r="BW343" s="284"/>
      <c r="BX343" s="284"/>
      <c r="BY343" s="284"/>
      <c r="BZ343" s="285"/>
      <c r="CA343" s="298">
        <f>SUM(C343,E343,G343,I343,K343,M343,O343,Q343,S343,U343,W343,Y343,AA343,AC343,AE343,AG343,AI343,AK343,AM343,AO343,AQ343,AS343,AU343,AW343,AY343,BA343,BC343,BE343,BG343,BI343,BK343,BM343,BO343,BQ343,BS343,BU343,BW343,BY343)</f>
        <v>0</v>
      </c>
      <c r="CB343" s="298">
        <f>SUM(D343,F343,H343,J343,L343,N343,P343,R343,T343,V343,X343,Z343,AB343,AD343,AF343,AH343,AJ343,AL343,AN343,AP343,AR343,AT343,AV343,AX343,AZ343,BB343,BD343,BF343,BH343,BJ343,BL343,BN343,BP343,BR343,BT343,BV343,BX343,BZ343)</f>
        <v>0</v>
      </c>
      <c r="CC343" s="299">
        <f>SUM(Table13[[#This Row],[GOALS 1]:[ASSISTS 38]])</f>
        <v>0</v>
      </c>
    </row>
    <row r="344" spans="1:81">
      <c r="A344" s="291" t="s">
        <v>1856</v>
      </c>
      <c r="B344" s="291" t="s">
        <v>22</v>
      </c>
      <c r="C344" s="286"/>
      <c r="D344" s="286"/>
      <c r="E344" s="288"/>
      <c r="F344" s="286"/>
      <c r="G344" s="288"/>
      <c r="H344" s="286"/>
      <c r="I344" s="288"/>
      <c r="J344" s="286"/>
      <c r="K344" s="288"/>
      <c r="L344" s="286"/>
      <c r="M344" s="288"/>
      <c r="N344" s="286"/>
      <c r="O344" s="288"/>
      <c r="P344" s="286"/>
      <c r="Q344" s="288"/>
      <c r="R344" s="286"/>
      <c r="S344" s="288"/>
      <c r="T344" s="286"/>
      <c r="U344" s="288"/>
      <c r="V344" s="286"/>
      <c r="W344" s="288"/>
      <c r="X344" s="286"/>
      <c r="Y344" s="288"/>
      <c r="Z344" s="286"/>
      <c r="AA344" s="288"/>
      <c r="AB344" s="286"/>
      <c r="AC344" s="288"/>
      <c r="AD344" s="286"/>
      <c r="AE344" s="288"/>
      <c r="AF344" s="286"/>
      <c r="AG344" s="288"/>
      <c r="AH344" s="286"/>
      <c r="AI344" s="288"/>
      <c r="AJ344" s="286"/>
      <c r="AK344" s="286"/>
      <c r="AL344" s="286"/>
      <c r="AM344" s="286"/>
      <c r="AN344" s="286"/>
      <c r="AO344" s="286"/>
      <c r="AP344" s="286"/>
      <c r="AQ344" s="286"/>
      <c r="AR344" s="286"/>
      <c r="AS344" s="286"/>
      <c r="AT344" s="286"/>
      <c r="AU344" s="286"/>
      <c r="AV344" s="284"/>
      <c r="AW344" s="284"/>
      <c r="AX344" s="284"/>
      <c r="AY344" s="284"/>
      <c r="AZ344" s="284"/>
      <c r="BA344" s="284"/>
      <c r="BB344" s="284"/>
      <c r="BC344" s="284"/>
      <c r="BD344" s="284"/>
      <c r="BE344" s="284"/>
      <c r="BF344" s="284"/>
      <c r="BG344" s="284"/>
      <c r="BH344" s="284"/>
      <c r="BI344" s="284"/>
      <c r="BJ344" s="284"/>
      <c r="BK344" s="284"/>
      <c r="BL344" s="284"/>
      <c r="BM344" s="284"/>
      <c r="BN344" s="284"/>
      <c r="BO344" s="284"/>
      <c r="BP344" s="284"/>
      <c r="BQ344" s="284"/>
      <c r="BR344" s="284"/>
      <c r="BS344" s="284"/>
      <c r="BT344" s="284"/>
      <c r="BU344" s="284"/>
      <c r="BV344" s="284"/>
      <c r="BW344" s="284"/>
      <c r="BX344" s="284"/>
      <c r="BY344" s="284"/>
      <c r="BZ344" s="285"/>
      <c r="CA344" s="298">
        <f>SUM(C344,E344,G344,I344,K344,M344,O344,Q344,S344,U344,W344,Y344,AA344,AC344,AE344,AG344,AI344,AK344,AM344,AO344,AQ344,AS344,AU344,AW344,AY344,BA344,BC344,BE344,BG344,BI344,BK344,BM344,BO344,BQ344,BS344,BU344,BW344,BY344)</f>
        <v>0</v>
      </c>
      <c r="CB344" s="298">
        <f>SUM(D344,F344,H344,J344,L344,N344,P344,R344,T344,V344,X344,Z344,AB344,AD344,AF344,AH344,AJ344,AL344,AN344,AP344,AR344,AT344,AV344,AX344,AZ344,BB344,BD344,BF344,BH344,BJ344,BL344,BN344,BP344,BR344,BT344,BV344,BX344,BZ344)</f>
        <v>0</v>
      </c>
      <c r="CC344" s="299">
        <f>SUM(Table13[[#This Row],[GOALS 1]:[ASSISTS 38]])</f>
        <v>0</v>
      </c>
    </row>
    <row r="345" spans="1:81">
      <c r="A345" s="291" t="s">
        <v>1418</v>
      </c>
      <c r="B345" s="291" t="s">
        <v>28</v>
      </c>
      <c r="C345" s="286"/>
      <c r="D345" s="286"/>
      <c r="E345" s="288"/>
      <c r="F345" s="286"/>
      <c r="G345" s="288"/>
      <c r="H345" s="286"/>
      <c r="I345" s="288"/>
      <c r="J345" s="286"/>
      <c r="K345" s="288"/>
      <c r="L345" s="286"/>
      <c r="M345" s="288"/>
      <c r="N345" s="286"/>
      <c r="O345" s="288"/>
      <c r="P345" s="286"/>
      <c r="Q345" s="288"/>
      <c r="R345" s="286"/>
      <c r="S345" s="288"/>
      <c r="T345" s="286"/>
      <c r="U345" s="288"/>
      <c r="V345" s="286"/>
      <c r="W345" s="288"/>
      <c r="X345" s="286"/>
      <c r="Y345" s="288"/>
      <c r="Z345" s="286"/>
      <c r="AA345" s="288"/>
      <c r="AB345" s="286"/>
      <c r="AC345" s="288"/>
      <c r="AD345" s="286"/>
      <c r="AE345" s="288"/>
      <c r="AF345" s="286"/>
      <c r="AG345" s="288"/>
      <c r="AH345" s="286"/>
      <c r="AI345" s="288"/>
      <c r="AJ345" s="286"/>
      <c r="AK345" s="286"/>
      <c r="AL345" s="286"/>
      <c r="AM345" s="286"/>
      <c r="AN345" s="286"/>
      <c r="AO345" s="286"/>
      <c r="AP345" s="286"/>
      <c r="AQ345" s="286"/>
      <c r="AR345" s="286"/>
      <c r="AS345" s="286"/>
      <c r="AT345" s="286"/>
      <c r="AU345" s="286"/>
      <c r="AV345" s="284"/>
      <c r="AW345" s="284"/>
      <c r="AX345" s="284"/>
      <c r="AY345" s="284"/>
      <c r="AZ345" s="284"/>
      <c r="BA345" s="284"/>
      <c r="BB345" s="284"/>
      <c r="BC345" s="284"/>
      <c r="BD345" s="284"/>
      <c r="BE345" s="284"/>
      <c r="BF345" s="284"/>
      <c r="BG345" s="284"/>
      <c r="BH345" s="284"/>
      <c r="BI345" s="284"/>
      <c r="BJ345" s="284"/>
      <c r="BK345" s="284"/>
      <c r="BL345" s="284"/>
      <c r="BM345" s="284"/>
      <c r="BN345" s="284"/>
      <c r="BO345" s="284"/>
      <c r="BP345" s="284"/>
      <c r="BQ345" s="284"/>
      <c r="BR345" s="284"/>
      <c r="BS345" s="284"/>
      <c r="BT345" s="284"/>
      <c r="BU345" s="284"/>
      <c r="BV345" s="284"/>
      <c r="BW345" s="284"/>
      <c r="BX345" s="284"/>
      <c r="BY345" s="284"/>
      <c r="BZ345" s="285"/>
      <c r="CA345" s="298">
        <f>SUM(C345,E345,G345,I345,K345,M345,O345,Q345,S345,U345,W345,Y345,AA345,AC345,AE345,AG345,AI345,AK345,AM345,AO345,AQ345,AS345,AU345,AW345,AY345,BA345,BC345,BE345,BG345,BI345,BK345,BM345,BO345,BQ345,BS345,BU345,BW345,BY345)</f>
        <v>0</v>
      </c>
      <c r="CB345" s="298">
        <f>SUM(D345,F345,H345,J345,L345,N345,P345,R345,T345,V345,X345,Z345,AB345,AD345,AF345,AH345,AJ345,AL345,AN345,AP345,AR345,AT345,AV345,AX345,AZ345,BB345,BD345,BF345,BH345,BJ345,BL345,BN345,BP345,BR345,BT345,BV345,BX345,BZ345)</f>
        <v>0</v>
      </c>
      <c r="CC345" s="299">
        <f>SUM(Table13[[#This Row],[GOALS 1]:[ASSISTS 38]])</f>
        <v>0</v>
      </c>
    </row>
    <row r="346" spans="1:81">
      <c r="A346" s="291" t="s">
        <v>1424</v>
      </c>
      <c r="B346" s="291" t="s">
        <v>29</v>
      </c>
      <c r="C346" s="289"/>
      <c r="D346" s="286"/>
      <c r="E346" s="288"/>
      <c r="F346" s="286"/>
      <c r="G346" s="288"/>
      <c r="H346" s="286"/>
      <c r="I346" s="288"/>
      <c r="J346" s="286"/>
      <c r="K346" s="288"/>
      <c r="L346" s="286"/>
      <c r="M346" s="288"/>
      <c r="N346" s="286"/>
      <c r="O346" s="288"/>
      <c r="P346" s="286"/>
      <c r="Q346" s="288"/>
      <c r="R346" s="286"/>
      <c r="S346" s="288"/>
      <c r="T346" s="286"/>
      <c r="U346" s="288"/>
      <c r="V346" s="286"/>
      <c r="W346" s="288"/>
      <c r="X346" s="286"/>
      <c r="Y346" s="288"/>
      <c r="Z346" s="286"/>
      <c r="AA346" s="288"/>
      <c r="AB346" s="286"/>
      <c r="AC346" s="288"/>
      <c r="AD346" s="286"/>
      <c r="AE346" s="288"/>
      <c r="AF346" s="286"/>
      <c r="AG346" s="288"/>
      <c r="AH346" s="286"/>
      <c r="AI346" s="288"/>
      <c r="AJ346" s="286"/>
      <c r="AK346" s="286"/>
      <c r="AL346" s="286"/>
      <c r="AM346" s="286"/>
      <c r="AN346" s="286"/>
      <c r="AO346" s="286"/>
      <c r="AP346" s="286"/>
      <c r="AQ346" s="286"/>
      <c r="AR346" s="286"/>
      <c r="AS346" s="286"/>
      <c r="AT346" s="286"/>
      <c r="AU346" s="286"/>
      <c r="AV346" s="284"/>
      <c r="AW346" s="284"/>
      <c r="AX346" s="284"/>
      <c r="AY346" s="284"/>
      <c r="AZ346" s="284"/>
      <c r="BA346" s="284"/>
      <c r="BB346" s="284"/>
      <c r="BC346" s="284"/>
      <c r="BD346" s="284"/>
      <c r="BE346" s="284"/>
      <c r="BF346" s="284"/>
      <c r="BG346" s="284"/>
      <c r="BH346" s="284"/>
      <c r="BI346" s="284"/>
      <c r="BJ346" s="284"/>
      <c r="BK346" s="284"/>
      <c r="BL346" s="284"/>
      <c r="BM346" s="284"/>
      <c r="BN346" s="284"/>
      <c r="BO346" s="284"/>
      <c r="BP346" s="284"/>
      <c r="BQ346" s="284"/>
      <c r="BR346" s="284"/>
      <c r="BS346" s="284"/>
      <c r="BT346" s="284"/>
      <c r="BU346" s="284"/>
      <c r="BV346" s="284"/>
      <c r="BW346" s="284"/>
      <c r="BX346" s="284"/>
      <c r="BY346" s="284"/>
      <c r="BZ346" s="285"/>
      <c r="CA346" s="298">
        <f>SUM(C346,E346,G346,I346,K346,M346,O346,Q346,S346,U346,W346,Y346,AA346,AC346,AE346,AG346,AI346,AK346,AM346,AO346,AQ346,AS346,AU346,AW346,AY346,BA346,BC346,BE346,BG346,BI346,BK346,BM346,BO346,BQ346,BS346,BU346,BW346,BY346)</f>
        <v>0</v>
      </c>
      <c r="CB346" s="298">
        <f>SUM(D346,F346,H346,J346,L346,N346,P346,R346,T346,V346,X346,Z346,AB346,AD346,AF346,AH346,AJ346,AL346,AN346,AP346,AR346,AT346,AV346,AX346,AZ346,BB346,BD346,BF346,BH346,BJ346,BL346,BN346,BP346,BR346,BT346,BV346,BX346,BZ346)</f>
        <v>0</v>
      </c>
      <c r="CC346" s="299">
        <f>SUM(Table13[[#This Row],[GOALS 1]:[ASSISTS 38]])</f>
        <v>0</v>
      </c>
    </row>
    <row r="347" spans="1:81">
      <c r="A347" s="291" t="s">
        <v>1525</v>
      </c>
      <c r="B347" s="291" t="s">
        <v>21</v>
      </c>
      <c r="C347" s="289"/>
      <c r="D347" s="286"/>
      <c r="E347" s="288"/>
      <c r="F347" s="286"/>
      <c r="G347" s="288"/>
      <c r="H347" s="286"/>
      <c r="I347" s="288"/>
      <c r="J347" s="286"/>
      <c r="K347" s="288"/>
      <c r="L347" s="286"/>
      <c r="M347" s="288"/>
      <c r="N347" s="286"/>
      <c r="O347" s="288"/>
      <c r="P347" s="286"/>
      <c r="Q347" s="288"/>
      <c r="R347" s="286"/>
      <c r="S347" s="288"/>
      <c r="T347" s="286"/>
      <c r="U347" s="288"/>
      <c r="V347" s="286"/>
      <c r="W347" s="288"/>
      <c r="X347" s="286"/>
      <c r="Y347" s="288"/>
      <c r="Z347" s="286"/>
      <c r="AA347" s="288"/>
      <c r="AB347" s="286"/>
      <c r="AC347" s="288"/>
      <c r="AD347" s="286"/>
      <c r="AE347" s="288"/>
      <c r="AF347" s="286"/>
      <c r="AG347" s="288"/>
      <c r="AH347" s="286"/>
      <c r="AI347" s="288"/>
      <c r="AJ347" s="286"/>
      <c r="AK347" s="286"/>
      <c r="AL347" s="286"/>
      <c r="AM347" s="286"/>
      <c r="AN347" s="286"/>
      <c r="AO347" s="286"/>
      <c r="AP347" s="286"/>
      <c r="AQ347" s="286"/>
      <c r="AR347" s="286"/>
      <c r="AS347" s="286"/>
      <c r="AT347" s="286"/>
      <c r="AU347" s="286"/>
      <c r="AV347" s="284"/>
      <c r="AW347" s="284"/>
      <c r="AX347" s="284"/>
      <c r="AY347" s="284"/>
      <c r="AZ347" s="284"/>
      <c r="BA347" s="284"/>
      <c r="BB347" s="284"/>
      <c r="BC347" s="284"/>
      <c r="BD347" s="284"/>
      <c r="BE347" s="284"/>
      <c r="BF347" s="284"/>
      <c r="BG347" s="284"/>
      <c r="BH347" s="284"/>
      <c r="BI347" s="284"/>
      <c r="BJ347" s="284"/>
      <c r="BK347" s="284"/>
      <c r="BL347" s="284"/>
      <c r="BM347" s="284"/>
      <c r="BN347" s="284"/>
      <c r="BO347" s="284"/>
      <c r="BP347" s="284"/>
      <c r="BQ347" s="284"/>
      <c r="BR347" s="284"/>
      <c r="BS347" s="284"/>
      <c r="BT347" s="284"/>
      <c r="BU347" s="284"/>
      <c r="BV347" s="284"/>
      <c r="BW347" s="284"/>
      <c r="BX347" s="284"/>
      <c r="BY347" s="284"/>
      <c r="BZ347" s="285"/>
      <c r="CA347" s="298">
        <f>SUM(C347,E347,G347,I347,K347,M347,O347,Q347,S347,U347,W347,Y347,AA347,AC347,AE347,AG347,AI347,AK347,AM347,AO347,AQ347,AS347,AU347,AW347,AY347,BA347,BC347,BE347,BG347,BI347,BK347,BM347,BO347,BQ347,BS347,BU347,BW347,BY347)</f>
        <v>0</v>
      </c>
      <c r="CB347" s="298">
        <f>SUM(D347,F347,H347,J347,L347,N347,P347,R347,T347,V347,X347,Z347,AB347,AD347,AF347,AH347,AJ347,AL347,AN347,AP347,AR347,AT347,AV347,AX347,AZ347,BB347,BD347,BF347,BH347,BJ347,BL347,BN347,BP347,BR347,BT347,BV347,BX347,BZ347)</f>
        <v>0</v>
      </c>
      <c r="CC347" s="299">
        <f>SUM(Table13[[#This Row],[GOALS 1]:[ASSISTS 38]])</f>
        <v>0</v>
      </c>
    </row>
    <row r="348" spans="1:81">
      <c r="A348" s="291" t="s">
        <v>1384</v>
      </c>
      <c r="B348" s="291" t="s">
        <v>24</v>
      </c>
      <c r="C348" s="286"/>
      <c r="D348" s="286"/>
      <c r="E348" s="288"/>
      <c r="F348" s="286"/>
      <c r="G348" s="288"/>
      <c r="H348" s="286"/>
      <c r="I348" s="288"/>
      <c r="J348" s="286"/>
      <c r="K348" s="288"/>
      <c r="L348" s="286"/>
      <c r="M348" s="288"/>
      <c r="N348" s="286"/>
      <c r="O348" s="288"/>
      <c r="P348" s="286"/>
      <c r="Q348" s="288"/>
      <c r="R348" s="286"/>
      <c r="S348" s="288"/>
      <c r="T348" s="286"/>
      <c r="U348" s="288"/>
      <c r="V348" s="286"/>
      <c r="W348" s="288"/>
      <c r="X348" s="286"/>
      <c r="Y348" s="288"/>
      <c r="Z348" s="286"/>
      <c r="AA348" s="288"/>
      <c r="AB348" s="286"/>
      <c r="AC348" s="288"/>
      <c r="AD348" s="286"/>
      <c r="AE348" s="288"/>
      <c r="AF348" s="286"/>
      <c r="AG348" s="288"/>
      <c r="AH348" s="286"/>
      <c r="AI348" s="288"/>
      <c r="AJ348" s="286"/>
      <c r="AK348" s="286"/>
      <c r="AL348" s="286"/>
      <c r="AM348" s="286"/>
      <c r="AN348" s="286"/>
      <c r="AO348" s="286"/>
      <c r="AP348" s="286"/>
      <c r="AQ348" s="286"/>
      <c r="AR348" s="286"/>
      <c r="AS348" s="286"/>
      <c r="AT348" s="286"/>
      <c r="AU348" s="286"/>
      <c r="AV348" s="284"/>
      <c r="AW348" s="284"/>
      <c r="AX348" s="284"/>
      <c r="AY348" s="284"/>
      <c r="AZ348" s="284"/>
      <c r="BA348" s="284"/>
      <c r="BB348" s="284"/>
      <c r="BC348" s="284"/>
      <c r="BD348" s="284"/>
      <c r="BE348" s="284"/>
      <c r="BF348" s="284"/>
      <c r="BG348" s="284"/>
      <c r="BH348" s="284"/>
      <c r="BI348" s="284"/>
      <c r="BJ348" s="284"/>
      <c r="BK348" s="284"/>
      <c r="BL348" s="284"/>
      <c r="BM348" s="284"/>
      <c r="BN348" s="284"/>
      <c r="BO348" s="284"/>
      <c r="BP348" s="284"/>
      <c r="BQ348" s="284"/>
      <c r="BR348" s="284"/>
      <c r="BS348" s="284"/>
      <c r="BT348" s="284"/>
      <c r="BU348" s="284"/>
      <c r="BV348" s="284"/>
      <c r="BW348" s="284"/>
      <c r="BX348" s="284"/>
      <c r="BY348" s="284"/>
      <c r="BZ348" s="285"/>
      <c r="CA348" s="298">
        <f>SUM(C348,E348,G348,I348,K348,M348,O348,Q348,S348,U348,W348,Y348,AA348,AC348,AE348,AG348,AI348,AK348,AM348,AO348,AQ348,AS348,AU348,AW348,AY348,BA348,BC348,BE348,BG348,BI348,BK348,BM348,BO348,BQ348,BS348,BU348,BW348,BY348)</f>
        <v>0</v>
      </c>
      <c r="CB348" s="298">
        <f>SUM(D348,F348,H348,J348,L348,N348,P348,R348,T348,V348,X348,Z348,AB348,AD348,AF348,AH348,AJ348,AL348,AN348,AP348,AR348,AT348,AV348,AX348,AZ348,BB348,BD348,BF348,BH348,BJ348,BL348,BN348,BP348,BR348,BT348,BV348,BX348,BZ348)</f>
        <v>0</v>
      </c>
      <c r="CC348" s="299">
        <f>SUM(Table13[[#This Row],[GOALS 1]:[ASSISTS 38]])</f>
        <v>0</v>
      </c>
    </row>
    <row r="349" spans="1:81">
      <c r="A349" s="291" t="s">
        <v>1318</v>
      </c>
      <c r="B349" s="291" t="s">
        <v>51</v>
      </c>
      <c r="C349" s="286"/>
      <c r="D349" s="286"/>
      <c r="E349" s="288"/>
      <c r="F349" s="286"/>
      <c r="G349" s="288"/>
      <c r="H349" s="286"/>
      <c r="I349" s="288"/>
      <c r="J349" s="286"/>
      <c r="K349" s="288"/>
      <c r="L349" s="286"/>
      <c r="M349" s="288"/>
      <c r="N349" s="286"/>
      <c r="O349" s="288"/>
      <c r="P349" s="286"/>
      <c r="Q349" s="288"/>
      <c r="R349" s="286"/>
      <c r="S349" s="288"/>
      <c r="T349" s="286"/>
      <c r="U349" s="288"/>
      <c r="V349" s="286"/>
      <c r="W349" s="288"/>
      <c r="X349" s="286"/>
      <c r="Y349" s="288"/>
      <c r="Z349" s="286"/>
      <c r="AA349" s="288"/>
      <c r="AB349" s="286"/>
      <c r="AC349" s="288"/>
      <c r="AD349" s="286"/>
      <c r="AE349" s="288"/>
      <c r="AF349" s="286"/>
      <c r="AG349" s="288"/>
      <c r="AH349" s="286"/>
      <c r="AI349" s="288"/>
      <c r="AJ349" s="286"/>
      <c r="AK349" s="286"/>
      <c r="AL349" s="286"/>
      <c r="AM349" s="286"/>
      <c r="AN349" s="286"/>
      <c r="AO349" s="286"/>
      <c r="AP349" s="286"/>
      <c r="AQ349" s="286"/>
      <c r="AR349" s="286"/>
      <c r="AS349" s="286"/>
      <c r="AT349" s="286"/>
      <c r="AU349" s="286"/>
      <c r="AV349" s="284"/>
      <c r="AW349" s="284"/>
      <c r="AX349" s="284"/>
      <c r="AY349" s="284"/>
      <c r="AZ349" s="284"/>
      <c r="BA349" s="284"/>
      <c r="BB349" s="284"/>
      <c r="BC349" s="284"/>
      <c r="BD349" s="284"/>
      <c r="BE349" s="284"/>
      <c r="BF349" s="284"/>
      <c r="BG349" s="284"/>
      <c r="BH349" s="284"/>
      <c r="BI349" s="284"/>
      <c r="BJ349" s="284"/>
      <c r="BK349" s="284"/>
      <c r="BL349" s="284"/>
      <c r="BM349" s="284"/>
      <c r="BN349" s="284"/>
      <c r="BO349" s="284"/>
      <c r="BP349" s="284"/>
      <c r="BQ349" s="284"/>
      <c r="BR349" s="284"/>
      <c r="BS349" s="284"/>
      <c r="BT349" s="284"/>
      <c r="BU349" s="284"/>
      <c r="BV349" s="284"/>
      <c r="BW349" s="284"/>
      <c r="BX349" s="284"/>
      <c r="BY349" s="284"/>
      <c r="BZ349" s="285"/>
      <c r="CA349" s="298">
        <f>SUM(C349,E349,G349,I349,K349,M349,O349,Q349,S349,U349,W349,Y349,AA349,AC349,AE349,AG349,AI349,AK349,AM349,AO349,AQ349,AS349,AU349,AW349,AY349,BA349,BC349,BE349,BG349,BI349,BK349,BM349,BO349,BQ349,BS349,BU349,BW349,BY349)</f>
        <v>0</v>
      </c>
      <c r="CB349" s="298">
        <f>SUM(D349,F349,H349,J349,L349,N349,P349,R349,T349,V349,X349,Z349,AB349,AD349,AF349,AH349,AJ349,AL349,AN349,AP349,AR349,AT349,AV349,AX349,AZ349,BB349,BD349,BF349,BH349,BJ349,BL349,BN349,BP349,BR349,BT349,BV349,BX349,BZ349)</f>
        <v>0</v>
      </c>
      <c r="CC349" s="299">
        <f>SUM(Table13[[#This Row],[GOALS 1]:[ASSISTS 38]])</f>
        <v>0</v>
      </c>
    </row>
    <row r="350" spans="1:81">
      <c r="A350" s="291" t="s">
        <v>1528</v>
      </c>
      <c r="B350" s="291" t="s">
        <v>18</v>
      </c>
      <c r="C350" s="286"/>
      <c r="D350" s="286"/>
      <c r="E350" s="288"/>
      <c r="F350" s="286"/>
      <c r="G350" s="288"/>
      <c r="H350" s="286"/>
      <c r="I350" s="288"/>
      <c r="J350" s="286"/>
      <c r="K350" s="288"/>
      <c r="L350" s="286"/>
      <c r="M350" s="288"/>
      <c r="N350" s="286"/>
      <c r="O350" s="288"/>
      <c r="P350" s="286"/>
      <c r="Q350" s="288"/>
      <c r="R350" s="286"/>
      <c r="S350" s="288"/>
      <c r="T350" s="286"/>
      <c r="U350" s="288"/>
      <c r="V350" s="286"/>
      <c r="W350" s="288"/>
      <c r="X350" s="286"/>
      <c r="Y350" s="288"/>
      <c r="Z350" s="286"/>
      <c r="AA350" s="288"/>
      <c r="AB350" s="286"/>
      <c r="AC350" s="288"/>
      <c r="AD350" s="286"/>
      <c r="AE350" s="288"/>
      <c r="AF350" s="286"/>
      <c r="AG350" s="288"/>
      <c r="AH350" s="286"/>
      <c r="AI350" s="288"/>
      <c r="AJ350" s="286"/>
      <c r="AK350" s="286"/>
      <c r="AL350" s="286"/>
      <c r="AM350" s="286"/>
      <c r="AN350" s="286"/>
      <c r="AO350" s="286"/>
      <c r="AP350" s="286"/>
      <c r="AQ350" s="286"/>
      <c r="AR350" s="286"/>
      <c r="AS350" s="286"/>
      <c r="AT350" s="286"/>
      <c r="AU350" s="286"/>
      <c r="AV350" s="284"/>
      <c r="AW350" s="284"/>
      <c r="AX350" s="284"/>
      <c r="AY350" s="284"/>
      <c r="AZ350" s="284"/>
      <c r="BA350" s="284"/>
      <c r="BB350" s="284"/>
      <c r="BC350" s="284"/>
      <c r="BD350" s="284"/>
      <c r="BE350" s="284"/>
      <c r="BF350" s="284"/>
      <c r="BG350" s="284"/>
      <c r="BH350" s="284"/>
      <c r="BI350" s="284"/>
      <c r="BJ350" s="284"/>
      <c r="BK350" s="284"/>
      <c r="BL350" s="284"/>
      <c r="BM350" s="284"/>
      <c r="BN350" s="284"/>
      <c r="BO350" s="284"/>
      <c r="BP350" s="284"/>
      <c r="BQ350" s="284"/>
      <c r="BR350" s="284"/>
      <c r="BS350" s="284"/>
      <c r="BT350" s="284"/>
      <c r="BU350" s="284"/>
      <c r="BV350" s="284"/>
      <c r="BW350" s="284"/>
      <c r="BX350" s="284"/>
      <c r="BY350" s="284"/>
      <c r="BZ350" s="285"/>
      <c r="CA350" s="298">
        <f>SUM(C350,E350,G350,I350,K350,M350,O350,Q350,S350,U350,W350,Y350,AA350,AC350,AE350,AG350,AI350,AK350,AM350,AO350,AQ350,AS350,AU350,AW350,AY350,BA350,BC350,BE350,BG350,BI350,BK350,BM350,BO350,BQ350,BS350,BU350,BW350,BY350)</f>
        <v>0</v>
      </c>
      <c r="CB350" s="298">
        <f>SUM(D350,F350,H350,J350,L350,N350,P350,R350,T350,V350,X350,Z350,AB350,AD350,AF350,AH350,AJ350,AL350,AN350,AP350,AR350,AT350,AV350,AX350,AZ350,BB350,BD350,BF350,BH350,BJ350,BL350,BN350,BP350,BR350,BT350,BV350,BX350,BZ350)</f>
        <v>0</v>
      </c>
      <c r="CC350" s="299">
        <f>SUM(Table13[[#This Row],[GOALS 1]:[ASSISTS 38]])</f>
        <v>0</v>
      </c>
    </row>
    <row r="351" spans="1:81">
      <c r="A351" s="291" t="s">
        <v>1839</v>
      </c>
      <c r="B351" s="291" t="s">
        <v>18</v>
      </c>
      <c r="C351" s="286"/>
      <c r="D351" s="286"/>
      <c r="E351" s="288"/>
      <c r="F351" s="286"/>
      <c r="G351" s="288"/>
      <c r="H351" s="286"/>
      <c r="I351" s="288"/>
      <c r="J351" s="286"/>
      <c r="K351" s="288"/>
      <c r="L351" s="286"/>
      <c r="M351" s="288"/>
      <c r="N351" s="286"/>
      <c r="O351" s="288"/>
      <c r="P351" s="286"/>
      <c r="Q351" s="288"/>
      <c r="R351" s="286"/>
      <c r="S351" s="288"/>
      <c r="T351" s="286"/>
      <c r="U351" s="288"/>
      <c r="V351" s="286"/>
      <c r="W351" s="288"/>
      <c r="X351" s="286"/>
      <c r="Y351" s="288"/>
      <c r="Z351" s="286"/>
      <c r="AA351" s="288"/>
      <c r="AB351" s="286"/>
      <c r="AC351" s="288"/>
      <c r="AD351" s="286"/>
      <c r="AE351" s="288"/>
      <c r="AF351" s="286"/>
      <c r="AG351" s="288"/>
      <c r="AH351" s="286"/>
      <c r="AI351" s="288"/>
      <c r="AJ351" s="286"/>
      <c r="AK351" s="286"/>
      <c r="AL351" s="286"/>
      <c r="AM351" s="286"/>
      <c r="AN351" s="286"/>
      <c r="AO351" s="286"/>
      <c r="AP351" s="286"/>
      <c r="AQ351" s="286"/>
      <c r="AR351" s="286"/>
      <c r="AS351" s="286"/>
      <c r="AT351" s="286"/>
      <c r="AU351" s="286"/>
      <c r="AV351" s="284"/>
      <c r="AW351" s="284"/>
      <c r="AX351" s="284"/>
      <c r="AY351" s="284"/>
      <c r="AZ351" s="284"/>
      <c r="BA351" s="284"/>
      <c r="BB351" s="284"/>
      <c r="BC351" s="284"/>
      <c r="BD351" s="284"/>
      <c r="BE351" s="284"/>
      <c r="BF351" s="284"/>
      <c r="BG351" s="284"/>
      <c r="BH351" s="284"/>
      <c r="BI351" s="284"/>
      <c r="BJ351" s="284"/>
      <c r="BK351" s="284"/>
      <c r="BL351" s="284"/>
      <c r="BM351" s="284"/>
      <c r="BN351" s="284"/>
      <c r="BO351" s="284"/>
      <c r="BP351" s="284"/>
      <c r="BQ351" s="284"/>
      <c r="BR351" s="284"/>
      <c r="BS351" s="284"/>
      <c r="BT351" s="284"/>
      <c r="BU351" s="284"/>
      <c r="BV351" s="284"/>
      <c r="BW351" s="284"/>
      <c r="BX351" s="284"/>
      <c r="BY351" s="284"/>
      <c r="BZ351" s="285"/>
      <c r="CA351" s="298">
        <f>SUM(C351,E351,G351,I351,K351,M351,O351,Q351,S351,U351,W351,Y351,AA351,AC351,AE351,AG351,AI351,AK351,AM351,AO351,AQ351,AS351,AU351,AW351,AY351,BA351,BC351,BE351,BG351,BI351,BK351,BM351,BO351,BQ351,BS351,BU351,BW351,BY351)</f>
        <v>0</v>
      </c>
      <c r="CB351" s="298">
        <f>SUM(D351,F351,H351,J351,L351,N351,P351,R351,T351,V351,X351,Z351,AB351,AD351,AF351,AH351,AJ351,AL351,AN351,AP351,AR351,AT351,AV351,AX351,AZ351,BB351,BD351,BF351,BH351,BJ351,BL351,BN351,BP351,BR351,BT351,BV351,BX351,BZ351)</f>
        <v>0</v>
      </c>
      <c r="CC351" s="299">
        <f>SUM(Table13[[#This Row],[GOALS 1]:[ASSISTS 38]])</f>
        <v>0</v>
      </c>
    </row>
    <row r="352" spans="1:81">
      <c r="A352" s="291" t="s">
        <v>1657</v>
      </c>
      <c r="B352" s="291" t="s">
        <v>23</v>
      </c>
      <c r="C352" s="289"/>
      <c r="D352" s="286"/>
      <c r="E352" s="288"/>
      <c r="F352" s="286"/>
      <c r="G352" s="288"/>
      <c r="H352" s="286"/>
      <c r="I352" s="288"/>
      <c r="J352" s="286"/>
      <c r="K352" s="288"/>
      <c r="L352" s="286"/>
      <c r="M352" s="288"/>
      <c r="N352" s="286"/>
      <c r="O352" s="288"/>
      <c r="P352" s="286"/>
      <c r="Q352" s="288"/>
      <c r="R352" s="286"/>
      <c r="S352" s="288"/>
      <c r="T352" s="286"/>
      <c r="U352" s="288"/>
      <c r="V352" s="286"/>
      <c r="W352" s="288"/>
      <c r="X352" s="286"/>
      <c r="Y352" s="288"/>
      <c r="Z352" s="286"/>
      <c r="AA352" s="288"/>
      <c r="AB352" s="286"/>
      <c r="AC352" s="288"/>
      <c r="AD352" s="286"/>
      <c r="AE352" s="288"/>
      <c r="AF352" s="286"/>
      <c r="AG352" s="288"/>
      <c r="AH352" s="286"/>
      <c r="AI352" s="288"/>
      <c r="AJ352" s="286"/>
      <c r="AK352" s="286"/>
      <c r="AL352" s="286"/>
      <c r="AM352" s="286"/>
      <c r="AN352" s="286"/>
      <c r="AO352" s="286"/>
      <c r="AP352" s="286"/>
      <c r="AQ352" s="286"/>
      <c r="AR352" s="286"/>
      <c r="AS352" s="286"/>
      <c r="AT352" s="286"/>
      <c r="AU352" s="286"/>
      <c r="AV352" s="284"/>
      <c r="AW352" s="284"/>
      <c r="AX352" s="284"/>
      <c r="AY352" s="284"/>
      <c r="AZ352" s="284"/>
      <c r="BA352" s="284"/>
      <c r="BB352" s="284"/>
      <c r="BC352" s="284"/>
      <c r="BD352" s="284"/>
      <c r="BE352" s="284"/>
      <c r="BF352" s="284"/>
      <c r="BG352" s="284"/>
      <c r="BH352" s="284"/>
      <c r="BI352" s="284"/>
      <c r="BJ352" s="284"/>
      <c r="BK352" s="284"/>
      <c r="BL352" s="284"/>
      <c r="BM352" s="284"/>
      <c r="BN352" s="284"/>
      <c r="BO352" s="284"/>
      <c r="BP352" s="284"/>
      <c r="BQ352" s="284"/>
      <c r="BR352" s="284"/>
      <c r="BS352" s="284"/>
      <c r="BT352" s="284"/>
      <c r="BU352" s="284"/>
      <c r="BV352" s="284"/>
      <c r="BW352" s="284"/>
      <c r="BX352" s="284"/>
      <c r="BY352" s="284"/>
      <c r="BZ352" s="285"/>
      <c r="CA352" s="298">
        <f>SUM(C352,E352,G352,I352,K352,M352,O352,Q352,S352,U352,W352,Y352,AA352,AC352,AE352,AG352,AI352,AK352,AM352,AO352,AQ352,AS352,AU352,AW352,AY352,BA352,BC352,BE352,BG352,BI352,BK352,BM352,BO352,BQ352,BS352,BU352,BW352,BY352)</f>
        <v>0</v>
      </c>
      <c r="CB352" s="298">
        <f>SUM(D352,F352,H352,J352,L352,N352,P352,R352,T352,V352,X352,Z352,AB352,AD352,AF352,AH352,AJ352,AL352,AN352,AP352,AR352,AT352,AV352,AX352,AZ352,BB352,BD352,BF352,BH352,BJ352,BL352,BN352,BP352,BR352,BT352,BV352,BX352,BZ352)</f>
        <v>0</v>
      </c>
      <c r="CC352" s="299">
        <f>SUM(Table13[[#This Row],[GOALS 1]:[ASSISTS 38]])</f>
        <v>0</v>
      </c>
    </row>
    <row r="353" spans="1:81">
      <c r="A353" s="291" t="s">
        <v>1602</v>
      </c>
      <c r="B353" s="291" t="s">
        <v>22</v>
      </c>
      <c r="C353" s="286"/>
      <c r="D353" s="286"/>
      <c r="E353" s="288"/>
      <c r="F353" s="286"/>
      <c r="G353" s="288"/>
      <c r="H353" s="286"/>
      <c r="I353" s="288"/>
      <c r="J353" s="286"/>
      <c r="K353" s="288"/>
      <c r="L353" s="286"/>
      <c r="M353" s="288"/>
      <c r="N353" s="286"/>
      <c r="O353" s="288"/>
      <c r="P353" s="286"/>
      <c r="Q353" s="288"/>
      <c r="R353" s="286"/>
      <c r="S353" s="288"/>
      <c r="T353" s="286"/>
      <c r="U353" s="288"/>
      <c r="V353" s="286"/>
      <c r="W353" s="288"/>
      <c r="X353" s="286"/>
      <c r="Y353" s="288"/>
      <c r="Z353" s="286"/>
      <c r="AA353" s="288"/>
      <c r="AB353" s="286"/>
      <c r="AC353" s="288"/>
      <c r="AD353" s="286"/>
      <c r="AE353" s="288"/>
      <c r="AF353" s="286"/>
      <c r="AG353" s="288"/>
      <c r="AH353" s="286"/>
      <c r="AI353" s="288"/>
      <c r="AJ353" s="286"/>
      <c r="AK353" s="286"/>
      <c r="AL353" s="286"/>
      <c r="AM353" s="286"/>
      <c r="AN353" s="286"/>
      <c r="AO353" s="286"/>
      <c r="AP353" s="286"/>
      <c r="AQ353" s="286"/>
      <c r="AR353" s="286"/>
      <c r="AS353" s="286"/>
      <c r="AT353" s="286"/>
      <c r="AU353" s="286"/>
      <c r="AV353" s="284"/>
      <c r="AW353" s="284"/>
      <c r="AX353" s="284"/>
      <c r="AY353" s="284"/>
      <c r="AZ353" s="284"/>
      <c r="BA353" s="284"/>
      <c r="BB353" s="284"/>
      <c r="BC353" s="284"/>
      <c r="BD353" s="284"/>
      <c r="BE353" s="284"/>
      <c r="BF353" s="284"/>
      <c r="BG353" s="284"/>
      <c r="BH353" s="284"/>
      <c r="BI353" s="284"/>
      <c r="BJ353" s="284"/>
      <c r="BK353" s="284"/>
      <c r="BL353" s="284"/>
      <c r="BM353" s="284"/>
      <c r="BN353" s="284"/>
      <c r="BO353" s="284"/>
      <c r="BP353" s="284"/>
      <c r="BQ353" s="284"/>
      <c r="BR353" s="284"/>
      <c r="BS353" s="284"/>
      <c r="BT353" s="284"/>
      <c r="BU353" s="284"/>
      <c r="BV353" s="284"/>
      <c r="BW353" s="284"/>
      <c r="BX353" s="284"/>
      <c r="BY353" s="284"/>
      <c r="BZ353" s="285"/>
      <c r="CA353" s="298">
        <f>SUM(C353,E353,G353,I353,K353,M353,O353,Q353,S353,U353,W353,Y353,AA353,AC353,AE353,AG353,AI353,AK353,AM353,AO353,AQ353,AS353,AU353,AW353,AY353,BA353,BC353,BE353,BG353,BI353,BK353,BM353,BO353,BQ353,BS353,BU353,BW353,BY353)</f>
        <v>0</v>
      </c>
      <c r="CB353" s="298">
        <f>SUM(D353,F353,H353,J353,L353,N353,P353,R353,T353,V353,X353,Z353,AB353,AD353,AF353,AH353,AJ353,AL353,AN353,AP353,AR353,AT353,AV353,AX353,AZ353,BB353,BD353,BF353,BH353,BJ353,BL353,BN353,BP353,BR353,BT353,BV353,BX353,BZ353)</f>
        <v>0</v>
      </c>
      <c r="CC353" s="299">
        <f>SUM(Table13[[#This Row],[GOALS 1]:[ASSISTS 38]])</f>
        <v>0</v>
      </c>
    </row>
    <row r="354" spans="1:81">
      <c r="A354" s="291" t="s">
        <v>1367</v>
      </c>
      <c r="B354" s="291" t="s">
        <v>30</v>
      </c>
      <c r="C354" s="286"/>
      <c r="D354" s="286"/>
      <c r="E354" s="288"/>
      <c r="F354" s="286"/>
      <c r="G354" s="288"/>
      <c r="H354" s="286"/>
      <c r="I354" s="288"/>
      <c r="J354" s="286"/>
      <c r="K354" s="288"/>
      <c r="L354" s="286"/>
      <c r="M354" s="288"/>
      <c r="N354" s="286"/>
      <c r="O354" s="288"/>
      <c r="P354" s="286"/>
      <c r="Q354" s="288"/>
      <c r="R354" s="286"/>
      <c r="S354" s="288"/>
      <c r="T354" s="286"/>
      <c r="U354" s="288"/>
      <c r="V354" s="286"/>
      <c r="W354" s="288"/>
      <c r="X354" s="286"/>
      <c r="Y354" s="288"/>
      <c r="Z354" s="286"/>
      <c r="AA354" s="288"/>
      <c r="AB354" s="286"/>
      <c r="AC354" s="288"/>
      <c r="AD354" s="286"/>
      <c r="AE354" s="288"/>
      <c r="AF354" s="286"/>
      <c r="AG354" s="288"/>
      <c r="AH354" s="286"/>
      <c r="AI354" s="288"/>
      <c r="AJ354" s="286"/>
      <c r="AK354" s="286"/>
      <c r="AL354" s="286"/>
      <c r="AM354" s="286"/>
      <c r="AN354" s="286"/>
      <c r="AO354" s="286"/>
      <c r="AP354" s="286"/>
      <c r="AQ354" s="286"/>
      <c r="AR354" s="286"/>
      <c r="AS354" s="286"/>
      <c r="AT354" s="286"/>
      <c r="AU354" s="286"/>
      <c r="AV354" s="284"/>
      <c r="AW354" s="284"/>
      <c r="AX354" s="284"/>
      <c r="AY354" s="284"/>
      <c r="AZ354" s="284"/>
      <c r="BA354" s="284"/>
      <c r="BB354" s="284"/>
      <c r="BC354" s="284"/>
      <c r="BD354" s="284"/>
      <c r="BE354" s="284"/>
      <c r="BF354" s="284"/>
      <c r="BG354" s="284"/>
      <c r="BH354" s="284"/>
      <c r="BI354" s="284"/>
      <c r="BJ354" s="284"/>
      <c r="BK354" s="284"/>
      <c r="BL354" s="284"/>
      <c r="BM354" s="284"/>
      <c r="BN354" s="284"/>
      <c r="BO354" s="284"/>
      <c r="BP354" s="284"/>
      <c r="BQ354" s="284"/>
      <c r="BR354" s="284"/>
      <c r="BS354" s="284"/>
      <c r="BT354" s="284"/>
      <c r="BU354" s="284"/>
      <c r="BV354" s="284"/>
      <c r="BW354" s="284"/>
      <c r="BX354" s="284"/>
      <c r="BY354" s="284"/>
      <c r="BZ354" s="285"/>
      <c r="CA354" s="298">
        <f>SUM(C354,E354,G354,I354,K354,M354,O354,Q354,S354,U354,W354,Y354,AA354,AC354,AE354,AG354,AI354,AK354,AM354,AO354,AQ354,AS354,AU354,AW354,AY354,BA354,BC354,BE354,BG354,BI354,BK354,BM354,BO354,BQ354,BS354,BU354,BW354,BY354)</f>
        <v>0</v>
      </c>
      <c r="CB354" s="298">
        <f>SUM(D354,F354,H354,J354,L354,N354,P354,R354,T354,V354,X354,Z354,AB354,AD354,AF354,AH354,AJ354,AL354,AN354,AP354,AR354,AT354,AV354,AX354,AZ354,BB354,BD354,BF354,BH354,BJ354,BL354,BN354,BP354,BR354,BT354,BV354,BX354,BZ354)</f>
        <v>0</v>
      </c>
      <c r="CC354" s="299">
        <f>SUM(Table13[[#This Row],[GOALS 1]:[ASSISTS 38]])</f>
        <v>0</v>
      </c>
    </row>
    <row r="355" spans="1:81">
      <c r="A355" s="291" t="s">
        <v>1351</v>
      </c>
      <c r="B355" s="291" t="s">
        <v>29</v>
      </c>
      <c r="C355" s="289"/>
      <c r="D355" s="286"/>
      <c r="E355" s="288"/>
      <c r="F355" s="286"/>
      <c r="G355" s="288"/>
      <c r="H355" s="286"/>
      <c r="I355" s="288"/>
      <c r="J355" s="286"/>
      <c r="K355" s="288"/>
      <c r="L355" s="286"/>
      <c r="M355" s="288"/>
      <c r="N355" s="286"/>
      <c r="O355" s="288"/>
      <c r="P355" s="286"/>
      <c r="Q355" s="288"/>
      <c r="R355" s="286"/>
      <c r="S355" s="288"/>
      <c r="T355" s="286"/>
      <c r="U355" s="288"/>
      <c r="V355" s="286"/>
      <c r="W355" s="288"/>
      <c r="X355" s="286"/>
      <c r="Y355" s="288"/>
      <c r="Z355" s="286"/>
      <c r="AA355" s="288"/>
      <c r="AB355" s="286"/>
      <c r="AC355" s="288"/>
      <c r="AD355" s="286"/>
      <c r="AE355" s="288"/>
      <c r="AF355" s="286"/>
      <c r="AG355" s="288"/>
      <c r="AH355" s="286"/>
      <c r="AI355" s="288"/>
      <c r="AJ355" s="286"/>
      <c r="AK355" s="286"/>
      <c r="AL355" s="286"/>
      <c r="AM355" s="286"/>
      <c r="AN355" s="286"/>
      <c r="AO355" s="286"/>
      <c r="AP355" s="286"/>
      <c r="AQ355" s="286"/>
      <c r="AR355" s="286"/>
      <c r="AS355" s="286"/>
      <c r="AT355" s="286"/>
      <c r="AU355" s="286"/>
      <c r="AV355" s="284"/>
      <c r="AW355" s="284"/>
      <c r="AX355" s="284"/>
      <c r="AY355" s="284"/>
      <c r="AZ355" s="284"/>
      <c r="BA355" s="284"/>
      <c r="BB355" s="284"/>
      <c r="BC355" s="284"/>
      <c r="BD355" s="284"/>
      <c r="BE355" s="284"/>
      <c r="BF355" s="284"/>
      <c r="BG355" s="284"/>
      <c r="BH355" s="284"/>
      <c r="BI355" s="284"/>
      <c r="BJ355" s="284"/>
      <c r="BK355" s="284"/>
      <c r="BL355" s="284"/>
      <c r="BM355" s="284"/>
      <c r="BN355" s="284"/>
      <c r="BO355" s="284"/>
      <c r="BP355" s="284"/>
      <c r="BQ355" s="284"/>
      <c r="BR355" s="284"/>
      <c r="BS355" s="284"/>
      <c r="BT355" s="284"/>
      <c r="BU355" s="284"/>
      <c r="BV355" s="284"/>
      <c r="BW355" s="284"/>
      <c r="BX355" s="284"/>
      <c r="BY355" s="284"/>
      <c r="BZ355" s="285"/>
      <c r="CA355" s="298">
        <f>SUM(C355,E355,G355,I355,K355,M355,O355,Q355,S355,U355,W355,Y355,AA355,AC355,AE355,AG355,AI355,AK355,AM355,AO355,AQ355,AS355,AU355,AW355,AY355,BA355,BC355,BE355,BG355,BI355,BK355,BM355,BO355,BQ355,BS355,BU355,BW355,BY355)</f>
        <v>0</v>
      </c>
      <c r="CB355" s="298">
        <f>SUM(D355,F355,H355,J355,L355,N355,P355,R355,T355,V355,X355,Z355,AB355,AD355,AF355,AH355,AJ355,AL355,AN355,AP355,AR355,AT355,AV355,AX355,AZ355,BB355,BD355,BF355,BH355,BJ355,BL355,BN355,BP355,BR355,BT355,BV355,BX355,BZ355)</f>
        <v>0</v>
      </c>
      <c r="CC355" s="299">
        <f>SUM(Table13[[#This Row],[GOALS 1]:[ASSISTS 38]])</f>
        <v>0</v>
      </c>
    </row>
    <row r="356" spans="1:81">
      <c r="A356" s="291" t="s">
        <v>1878</v>
      </c>
      <c r="B356" s="291" t="s">
        <v>21</v>
      </c>
      <c r="C356" s="289"/>
      <c r="D356" s="286"/>
      <c r="E356" s="288"/>
      <c r="F356" s="286"/>
      <c r="G356" s="288"/>
      <c r="H356" s="286"/>
      <c r="I356" s="288"/>
      <c r="J356" s="286"/>
      <c r="K356" s="288"/>
      <c r="L356" s="286"/>
      <c r="M356" s="288"/>
      <c r="N356" s="286"/>
      <c r="O356" s="288"/>
      <c r="P356" s="286"/>
      <c r="Q356" s="288"/>
      <c r="R356" s="286"/>
      <c r="S356" s="288"/>
      <c r="T356" s="286"/>
      <c r="U356" s="288"/>
      <c r="V356" s="286"/>
      <c r="W356" s="288"/>
      <c r="X356" s="286"/>
      <c r="Y356" s="288"/>
      <c r="Z356" s="286"/>
      <c r="AA356" s="288"/>
      <c r="AB356" s="286"/>
      <c r="AC356" s="288"/>
      <c r="AD356" s="286"/>
      <c r="AE356" s="288"/>
      <c r="AF356" s="286"/>
      <c r="AG356" s="288"/>
      <c r="AH356" s="286"/>
      <c r="AI356" s="288"/>
      <c r="AJ356" s="286"/>
      <c r="AK356" s="286"/>
      <c r="AL356" s="286"/>
      <c r="AM356" s="286"/>
      <c r="AN356" s="286"/>
      <c r="AO356" s="286"/>
      <c r="AP356" s="286"/>
      <c r="AQ356" s="286"/>
      <c r="AR356" s="286"/>
      <c r="AS356" s="286"/>
      <c r="AT356" s="286"/>
      <c r="AU356" s="286"/>
      <c r="AV356" s="284"/>
      <c r="AW356" s="284"/>
      <c r="AX356" s="284"/>
      <c r="AY356" s="284"/>
      <c r="AZ356" s="284"/>
      <c r="BA356" s="284"/>
      <c r="BB356" s="284"/>
      <c r="BC356" s="284"/>
      <c r="BD356" s="284"/>
      <c r="BE356" s="284"/>
      <c r="BF356" s="284"/>
      <c r="BG356" s="284"/>
      <c r="BH356" s="284"/>
      <c r="BI356" s="284"/>
      <c r="BJ356" s="284"/>
      <c r="BK356" s="284"/>
      <c r="BL356" s="284"/>
      <c r="BM356" s="284"/>
      <c r="BN356" s="284"/>
      <c r="BO356" s="284"/>
      <c r="BP356" s="284"/>
      <c r="BQ356" s="284"/>
      <c r="BR356" s="284"/>
      <c r="BS356" s="284"/>
      <c r="BT356" s="284"/>
      <c r="BU356" s="284"/>
      <c r="BV356" s="284"/>
      <c r="BW356" s="284"/>
      <c r="BX356" s="284"/>
      <c r="BY356" s="284"/>
      <c r="BZ356" s="285"/>
      <c r="CA356" s="298">
        <f>SUM(C356,E356,G356,I356,K356,M356,O356,Q356,S356,U356,W356,Y356,AA356,AC356,AE356,AG356,AI356,AK356,AM356,AO356,AQ356,AS356,AU356,AW356,AY356,BA356,BC356,BE356,BG356,BI356,BK356,BM356,BO356,BQ356,BS356,BU356,BW356,BY356)</f>
        <v>0</v>
      </c>
      <c r="CB356" s="298">
        <f>SUM(D356,F356,H356,J356,L356,N356,P356,R356,T356,V356,X356,Z356,AB356,AD356,AF356,AH356,AJ356,AL356,AN356,AP356,AR356,AT356,AV356,AX356,AZ356,BB356,BD356,BF356,BH356,BJ356,BL356,BN356,BP356,BR356,BT356,BV356,BX356,BZ356)</f>
        <v>0</v>
      </c>
      <c r="CC356" s="299">
        <f>SUM(Table13[[#This Row],[GOALS 1]:[ASSISTS 38]])</f>
        <v>0</v>
      </c>
    </row>
    <row r="357" spans="1:81">
      <c r="A357" s="291" t="s">
        <v>1728</v>
      </c>
      <c r="B357" s="291" t="s">
        <v>33</v>
      </c>
      <c r="C357" s="289"/>
      <c r="D357" s="286"/>
      <c r="E357" s="288"/>
      <c r="F357" s="286"/>
      <c r="G357" s="288"/>
      <c r="H357" s="286"/>
      <c r="I357" s="288"/>
      <c r="J357" s="286"/>
      <c r="K357" s="288"/>
      <c r="L357" s="286"/>
      <c r="M357" s="288"/>
      <c r="N357" s="286"/>
      <c r="O357" s="288"/>
      <c r="P357" s="286"/>
      <c r="Q357" s="288"/>
      <c r="R357" s="286"/>
      <c r="S357" s="288"/>
      <c r="T357" s="286"/>
      <c r="U357" s="288"/>
      <c r="V357" s="286"/>
      <c r="W357" s="288"/>
      <c r="X357" s="286"/>
      <c r="Y357" s="288"/>
      <c r="Z357" s="286"/>
      <c r="AA357" s="288"/>
      <c r="AB357" s="286"/>
      <c r="AC357" s="288"/>
      <c r="AD357" s="286"/>
      <c r="AE357" s="288"/>
      <c r="AF357" s="286"/>
      <c r="AG357" s="288"/>
      <c r="AH357" s="286"/>
      <c r="AI357" s="288"/>
      <c r="AJ357" s="286"/>
      <c r="AK357" s="286"/>
      <c r="AL357" s="286"/>
      <c r="AM357" s="286"/>
      <c r="AN357" s="286"/>
      <c r="AO357" s="286"/>
      <c r="AP357" s="286"/>
      <c r="AQ357" s="286"/>
      <c r="AR357" s="286"/>
      <c r="AS357" s="286"/>
      <c r="AT357" s="286"/>
      <c r="AU357" s="286"/>
      <c r="AV357" s="284"/>
      <c r="AW357" s="284"/>
      <c r="AX357" s="284"/>
      <c r="AY357" s="284"/>
      <c r="AZ357" s="284"/>
      <c r="BA357" s="284"/>
      <c r="BB357" s="284"/>
      <c r="BC357" s="284"/>
      <c r="BD357" s="284"/>
      <c r="BE357" s="284"/>
      <c r="BF357" s="284"/>
      <c r="BG357" s="284"/>
      <c r="BH357" s="284"/>
      <c r="BI357" s="284"/>
      <c r="BJ357" s="284"/>
      <c r="BK357" s="284"/>
      <c r="BL357" s="284"/>
      <c r="BM357" s="284"/>
      <c r="BN357" s="284"/>
      <c r="BO357" s="284"/>
      <c r="BP357" s="284"/>
      <c r="BQ357" s="284"/>
      <c r="BR357" s="284"/>
      <c r="BS357" s="284"/>
      <c r="BT357" s="284"/>
      <c r="BU357" s="284"/>
      <c r="BV357" s="284"/>
      <c r="BW357" s="284"/>
      <c r="BX357" s="284"/>
      <c r="BY357" s="284"/>
      <c r="BZ357" s="285"/>
      <c r="CA357" s="298">
        <f>SUM(C357,E357,G357,I357,K357,M357,O357,Q357,S357,U357,W357,Y357,AA357,AC357,AE357,AG357,AI357,AK357,AM357,AO357,AQ357,AS357,AU357,AW357,AY357,BA357,BC357,BE357,BG357,BI357,BK357,BM357,BO357,BQ357,BS357,BU357,BW357,BY357)</f>
        <v>0</v>
      </c>
      <c r="CB357" s="298">
        <f>SUM(D357,F357,H357,J357,L357,N357,P357,R357,T357,V357,X357,Z357,AB357,AD357,AF357,AH357,AJ357,AL357,AN357,AP357,AR357,AT357,AV357,AX357,AZ357,BB357,BD357,BF357,BH357,BJ357,BL357,BN357,BP357,BR357,BT357,BV357,BX357,BZ357)</f>
        <v>0</v>
      </c>
      <c r="CC357" s="299">
        <f>SUM(Table13[[#This Row],[GOALS 1]:[ASSISTS 38]])</f>
        <v>0</v>
      </c>
    </row>
    <row r="358" spans="1:81">
      <c r="A358" s="291" t="s">
        <v>1445</v>
      </c>
      <c r="B358" s="291" t="s">
        <v>33</v>
      </c>
      <c r="C358" s="289"/>
      <c r="D358" s="286"/>
      <c r="E358" s="288"/>
      <c r="F358" s="286"/>
      <c r="G358" s="288"/>
      <c r="H358" s="286"/>
      <c r="I358" s="288"/>
      <c r="J358" s="286"/>
      <c r="K358" s="288"/>
      <c r="L358" s="286"/>
      <c r="M358" s="288"/>
      <c r="N358" s="286"/>
      <c r="O358" s="288"/>
      <c r="P358" s="286"/>
      <c r="Q358" s="288"/>
      <c r="R358" s="286"/>
      <c r="S358" s="288"/>
      <c r="T358" s="286"/>
      <c r="U358" s="288"/>
      <c r="V358" s="286"/>
      <c r="W358" s="288"/>
      <c r="X358" s="286"/>
      <c r="Y358" s="288"/>
      <c r="Z358" s="286"/>
      <c r="AA358" s="288"/>
      <c r="AB358" s="286"/>
      <c r="AC358" s="288"/>
      <c r="AD358" s="286"/>
      <c r="AE358" s="288"/>
      <c r="AF358" s="286"/>
      <c r="AG358" s="288"/>
      <c r="AH358" s="286"/>
      <c r="AI358" s="288"/>
      <c r="AJ358" s="286"/>
      <c r="AK358" s="286"/>
      <c r="AL358" s="286"/>
      <c r="AM358" s="286"/>
      <c r="AN358" s="286"/>
      <c r="AO358" s="286"/>
      <c r="AP358" s="286"/>
      <c r="AQ358" s="286"/>
      <c r="AR358" s="286"/>
      <c r="AS358" s="286"/>
      <c r="AT358" s="286"/>
      <c r="AU358" s="286"/>
      <c r="AV358" s="284"/>
      <c r="AW358" s="284"/>
      <c r="AX358" s="284"/>
      <c r="AY358" s="284"/>
      <c r="AZ358" s="284"/>
      <c r="BA358" s="284"/>
      <c r="BB358" s="284"/>
      <c r="BC358" s="284"/>
      <c r="BD358" s="284"/>
      <c r="BE358" s="284"/>
      <c r="BF358" s="284"/>
      <c r="BG358" s="284"/>
      <c r="BH358" s="284"/>
      <c r="BI358" s="284"/>
      <c r="BJ358" s="284"/>
      <c r="BK358" s="284"/>
      <c r="BL358" s="284"/>
      <c r="BM358" s="284"/>
      <c r="BN358" s="284"/>
      <c r="BO358" s="284"/>
      <c r="BP358" s="284"/>
      <c r="BQ358" s="284"/>
      <c r="BR358" s="284"/>
      <c r="BS358" s="284"/>
      <c r="BT358" s="284"/>
      <c r="BU358" s="284"/>
      <c r="BV358" s="284"/>
      <c r="BW358" s="284"/>
      <c r="BX358" s="284"/>
      <c r="BY358" s="284"/>
      <c r="BZ358" s="285"/>
      <c r="CA358" s="298">
        <f>SUM(C358,E358,G358,I358,K358,M358,O358,Q358,S358,U358,W358,Y358,AA358,AC358,AE358,AG358,AI358,AK358,AM358,AO358,AQ358,AS358,AU358,AW358,AY358,BA358,BC358,BE358,BG358,BI358,BK358,BM358,BO358,BQ358,BS358,BU358,BW358,BY358)</f>
        <v>0</v>
      </c>
      <c r="CB358" s="298">
        <f>SUM(D358,F358,H358,J358,L358,N358,P358,R358,T358,V358,X358,Z358,AB358,AD358,AF358,AH358,AJ358,AL358,AN358,AP358,AR358,AT358,AV358,AX358,AZ358,BB358,BD358,BF358,BH358,BJ358,BL358,BN358,BP358,BR358,BT358,BV358,BX358,BZ358)</f>
        <v>0</v>
      </c>
      <c r="CC358" s="299">
        <f>SUM(Table13[[#This Row],[GOALS 1]:[ASSISTS 38]])</f>
        <v>0</v>
      </c>
    </row>
    <row r="359" spans="1:81">
      <c r="A359" s="291" t="s">
        <v>1833</v>
      </c>
      <c r="B359" s="291" t="s">
        <v>43</v>
      </c>
      <c r="C359" s="286"/>
      <c r="D359" s="286"/>
      <c r="E359" s="288"/>
      <c r="F359" s="286"/>
      <c r="G359" s="288"/>
      <c r="H359" s="286"/>
      <c r="I359" s="288"/>
      <c r="J359" s="286"/>
      <c r="K359" s="288"/>
      <c r="L359" s="286"/>
      <c r="M359" s="288"/>
      <c r="N359" s="286"/>
      <c r="O359" s="288"/>
      <c r="P359" s="286"/>
      <c r="Q359" s="288"/>
      <c r="R359" s="286"/>
      <c r="S359" s="288"/>
      <c r="T359" s="286"/>
      <c r="U359" s="288"/>
      <c r="V359" s="286"/>
      <c r="W359" s="288"/>
      <c r="X359" s="286"/>
      <c r="Y359" s="288"/>
      <c r="Z359" s="286"/>
      <c r="AA359" s="288"/>
      <c r="AB359" s="286"/>
      <c r="AC359" s="288"/>
      <c r="AD359" s="286"/>
      <c r="AE359" s="288"/>
      <c r="AF359" s="286"/>
      <c r="AG359" s="288"/>
      <c r="AH359" s="286"/>
      <c r="AI359" s="288"/>
      <c r="AJ359" s="286"/>
      <c r="AK359" s="286"/>
      <c r="AL359" s="286"/>
      <c r="AM359" s="286"/>
      <c r="AN359" s="286"/>
      <c r="AO359" s="286"/>
      <c r="AP359" s="286"/>
      <c r="AQ359" s="286"/>
      <c r="AR359" s="286"/>
      <c r="AS359" s="286"/>
      <c r="AT359" s="286"/>
      <c r="AU359" s="286"/>
      <c r="AV359" s="284"/>
      <c r="AW359" s="284"/>
      <c r="AX359" s="284"/>
      <c r="AY359" s="284"/>
      <c r="AZ359" s="284"/>
      <c r="BA359" s="284"/>
      <c r="BB359" s="284"/>
      <c r="BC359" s="284"/>
      <c r="BD359" s="284"/>
      <c r="BE359" s="284"/>
      <c r="BF359" s="284"/>
      <c r="BG359" s="284"/>
      <c r="BH359" s="284"/>
      <c r="BI359" s="284"/>
      <c r="BJ359" s="284"/>
      <c r="BK359" s="284"/>
      <c r="BL359" s="284"/>
      <c r="BM359" s="284"/>
      <c r="BN359" s="284"/>
      <c r="BO359" s="284"/>
      <c r="BP359" s="284"/>
      <c r="BQ359" s="284"/>
      <c r="BR359" s="284"/>
      <c r="BS359" s="284"/>
      <c r="BT359" s="284"/>
      <c r="BU359" s="284"/>
      <c r="BV359" s="284"/>
      <c r="BW359" s="284"/>
      <c r="BX359" s="284"/>
      <c r="BY359" s="284"/>
      <c r="BZ359" s="285"/>
      <c r="CA359" s="298">
        <f>SUM(C359,E359,G359,I359,K359,M359,O359,Q359,S359,U359,W359,Y359,AA359,AC359,AE359,AG359,AI359,AK359,AM359,AO359,AQ359,AS359,AU359,AW359,AY359,BA359,BC359,BE359,BG359,BI359,BK359,BM359,BO359,BQ359,BS359,BU359,BW359,BY359)</f>
        <v>0</v>
      </c>
      <c r="CB359" s="298">
        <f>SUM(D359,F359,H359,J359,L359,N359,P359,R359,T359,V359,X359,Z359,AB359,AD359,AF359,AH359,AJ359,AL359,AN359,AP359,AR359,AT359,AV359,AX359,AZ359,BB359,BD359,BF359,BH359,BJ359,BL359,BN359,BP359,BR359,BT359,BV359,BX359,BZ359)</f>
        <v>0</v>
      </c>
      <c r="CC359" s="299">
        <f>SUM(Table13[[#This Row],[GOALS 1]:[ASSISTS 38]])</f>
        <v>0</v>
      </c>
    </row>
    <row r="360" spans="1:81">
      <c r="A360" s="291" t="s">
        <v>1633</v>
      </c>
      <c r="B360" s="291" t="s">
        <v>26</v>
      </c>
      <c r="C360" s="286"/>
      <c r="D360" s="286"/>
      <c r="E360" s="288"/>
      <c r="F360" s="286"/>
      <c r="G360" s="288"/>
      <c r="H360" s="286"/>
      <c r="I360" s="288"/>
      <c r="J360" s="286"/>
      <c r="K360" s="288"/>
      <c r="L360" s="286"/>
      <c r="M360" s="288"/>
      <c r="N360" s="286"/>
      <c r="O360" s="288"/>
      <c r="P360" s="286"/>
      <c r="Q360" s="288"/>
      <c r="R360" s="286"/>
      <c r="S360" s="288"/>
      <c r="T360" s="286"/>
      <c r="U360" s="288"/>
      <c r="V360" s="286"/>
      <c r="W360" s="288"/>
      <c r="X360" s="286"/>
      <c r="Y360" s="288"/>
      <c r="Z360" s="286"/>
      <c r="AA360" s="288"/>
      <c r="AB360" s="286"/>
      <c r="AC360" s="288"/>
      <c r="AD360" s="286"/>
      <c r="AE360" s="288"/>
      <c r="AF360" s="286"/>
      <c r="AG360" s="288"/>
      <c r="AH360" s="286"/>
      <c r="AI360" s="288"/>
      <c r="AJ360" s="286"/>
      <c r="AK360" s="286"/>
      <c r="AL360" s="286"/>
      <c r="AM360" s="286"/>
      <c r="AN360" s="286"/>
      <c r="AO360" s="286"/>
      <c r="AP360" s="286"/>
      <c r="AQ360" s="286"/>
      <c r="AR360" s="286"/>
      <c r="AS360" s="286"/>
      <c r="AT360" s="286"/>
      <c r="AU360" s="286"/>
      <c r="AV360" s="284"/>
      <c r="AW360" s="284"/>
      <c r="AX360" s="284"/>
      <c r="AY360" s="284"/>
      <c r="AZ360" s="284"/>
      <c r="BA360" s="284"/>
      <c r="BB360" s="284"/>
      <c r="BC360" s="284"/>
      <c r="BD360" s="284"/>
      <c r="BE360" s="284"/>
      <c r="BF360" s="284"/>
      <c r="BG360" s="284"/>
      <c r="BH360" s="284"/>
      <c r="BI360" s="284"/>
      <c r="BJ360" s="284"/>
      <c r="BK360" s="284"/>
      <c r="BL360" s="284"/>
      <c r="BM360" s="284"/>
      <c r="BN360" s="284"/>
      <c r="BO360" s="284"/>
      <c r="BP360" s="284"/>
      <c r="BQ360" s="284"/>
      <c r="BR360" s="284"/>
      <c r="BS360" s="284"/>
      <c r="BT360" s="284"/>
      <c r="BU360" s="284"/>
      <c r="BV360" s="284"/>
      <c r="BW360" s="284"/>
      <c r="BX360" s="284"/>
      <c r="BY360" s="284"/>
      <c r="BZ360" s="285"/>
      <c r="CA360" s="298">
        <f>SUM(C360,E360,G360,I360,K360,M360,O360,Q360,S360,U360,W360,Y360,AA360,AC360,AE360,AG360,AI360,AK360,AM360,AO360,AQ360,AS360,AU360,AW360,AY360,BA360,BC360,BE360,BG360,BI360,BK360,BM360,BO360,BQ360,BS360,BU360,BW360,BY360)</f>
        <v>0</v>
      </c>
      <c r="CB360" s="298">
        <f>SUM(D360,F360,H360,J360,L360,N360,P360,R360,T360,V360,X360,Z360,AB360,AD360,AF360,AH360,AJ360,AL360,AN360,AP360,AR360,AT360,AV360,AX360,AZ360,BB360,BD360,BF360,BH360,BJ360,BL360,BN360,BP360,BR360,BT360,BV360,BX360,BZ360)</f>
        <v>0</v>
      </c>
      <c r="CC360" s="299">
        <f>SUM(Table13[[#This Row],[GOALS 1]:[ASSISTS 38]])</f>
        <v>0</v>
      </c>
    </row>
    <row r="361" spans="1:81">
      <c r="A361" s="291" t="s">
        <v>1304</v>
      </c>
      <c r="B361" s="291" t="s">
        <v>43</v>
      </c>
      <c r="C361" s="286"/>
      <c r="D361" s="286"/>
      <c r="E361" s="288"/>
      <c r="F361" s="286"/>
      <c r="G361" s="288"/>
      <c r="H361" s="286"/>
      <c r="I361" s="288"/>
      <c r="J361" s="286"/>
      <c r="K361" s="288"/>
      <c r="L361" s="286"/>
      <c r="M361" s="288"/>
      <c r="N361" s="286"/>
      <c r="O361" s="288"/>
      <c r="P361" s="286"/>
      <c r="Q361" s="288"/>
      <c r="R361" s="286"/>
      <c r="S361" s="288"/>
      <c r="T361" s="286"/>
      <c r="U361" s="288"/>
      <c r="V361" s="286"/>
      <c r="W361" s="288"/>
      <c r="X361" s="286"/>
      <c r="Y361" s="288"/>
      <c r="Z361" s="286"/>
      <c r="AA361" s="288"/>
      <c r="AB361" s="286"/>
      <c r="AC361" s="288"/>
      <c r="AD361" s="286"/>
      <c r="AE361" s="288"/>
      <c r="AF361" s="286"/>
      <c r="AG361" s="288"/>
      <c r="AH361" s="286"/>
      <c r="AI361" s="288"/>
      <c r="AJ361" s="286"/>
      <c r="AK361" s="286"/>
      <c r="AL361" s="286"/>
      <c r="AM361" s="286"/>
      <c r="AN361" s="286"/>
      <c r="AO361" s="286"/>
      <c r="AP361" s="286"/>
      <c r="AQ361" s="286"/>
      <c r="AR361" s="286"/>
      <c r="AS361" s="286"/>
      <c r="AT361" s="286"/>
      <c r="AU361" s="286"/>
      <c r="AV361" s="284"/>
      <c r="AW361" s="284"/>
      <c r="AX361" s="284"/>
      <c r="AY361" s="284"/>
      <c r="AZ361" s="284"/>
      <c r="BA361" s="284"/>
      <c r="BB361" s="284"/>
      <c r="BC361" s="284"/>
      <c r="BD361" s="284"/>
      <c r="BE361" s="284"/>
      <c r="BF361" s="284"/>
      <c r="BG361" s="284"/>
      <c r="BH361" s="284"/>
      <c r="BI361" s="284"/>
      <c r="BJ361" s="284"/>
      <c r="BK361" s="284"/>
      <c r="BL361" s="284"/>
      <c r="BM361" s="284"/>
      <c r="BN361" s="284"/>
      <c r="BO361" s="284"/>
      <c r="BP361" s="284"/>
      <c r="BQ361" s="284"/>
      <c r="BR361" s="284"/>
      <c r="BS361" s="284"/>
      <c r="BT361" s="284"/>
      <c r="BU361" s="284"/>
      <c r="BV361" s="284"/>
      <c r="BW361" s="284"/>
      <c r="BX361" s="284"/>
      <c r="BY361" s="284"/>
      <c r="BZ361" s="285"/>
      <c r="CA361" s="298">
        <f>SUM(C361,E361,G361,I361,K361,M361,O361,Q361,S361,U361,W361,Y361,AA361,AC361,AE361,AG361,AI361,AK361,AM361,AO361,AQ361,AS361,AU361,AW361,AY361,BA361,BC361,BE361,BG361,BI361,BK361,BM361,BO361,BQ361,BS361,BU361,BW361,BY361)</f>
        <v>0</v>
      </c>
      <c r="CB361" s="298">
        <f>SUM(D361,F361,H361,J361,L361,N361,P361,R361,T361,V361,X361,Z361,AB361,AD361,AF361,AH361,AJ361,AL361,AN361,AP361,AR361,AT361,AV361,AX361,AZ361,BB361,BD361,BF361,BH361,BJ361,BL361,BN361,BP361,BR361,BT361,BV361,BX361,BZ361)</f>
        <v>0</v>
      </c>
      <c r="CC361" s="299">
        <f>SUM(Table13[[#This Row],[GOALS 1]:[ASSISTS 38]])</f>
        <v>0</v>
      </c>
    </row>
    <row r="362" spans="1:81">
      <c r="A362" s="291" t="s">
        <v>1654</v>
      </c>
      <c r="B362" s="291" t="s">
        <v>28</v>
      </c>
      <c r="C362" s="286"/>
      <c r="D362" s="286"/>
      <c r="E362" s="288"/>
      <c r="F362" s="286"/>
      <c r="G362" s="288"/>
      <c r="H362" s="286"/>
      <c r="I362" s="288"/>
      <c r="J362" s="286"/>
      <c r="K362" s="288"/>
      <c r="L362" s="286"/>
      <c r="M362" s="288"/>
      <c r="N362" s="286"/>
      <c r="O362" s="288"/>
      <c r="P362" s="286"/>
      <c r="Q362" s="288"/>
      <c r="R362" s="286"/>
      <c r="S362" s="288"/>
      <c r="T362" s="286"/>
      <c r="U362" s="288"/>
      <c r="V362" s="286"/>
      <c r="W362" s="288"/>
      <c r="X362" s="286"/>
      <c r="Y362" s="288"/>
      <c r="Z362" s="286"/>
      <c r="AA362" s="288"/>
      <c r="AB362" s="286"/>
      <c r="AC362" s="288"/>
      <c r="AD362" s="286"/>
      <c r="AE362" s="288"/>
      <c r="AF362" s="286"/>
      <c r="AG362" s="288"/>
      <c r="AH362" s="286"/>
      <c r="AI362" s="288"/>
      <c r="AJ362" s="286"/>
      <c r="AK362" s="286"/>
      <c r="AL362" s="286"/>
      <c r="AM362" s="286"/>
      <c r="AN362" s="286"/>
      <c r="AO362" s="286"/>
      <c r="AP362" s="286"/>
      <c r="AQ362" s="286"/>
      <c r="AR362" s="286"/>
      <c r="AS362" s="286"/>
      <c r="AT362" s="286"/>
      <c r="AU362" s="286"/>
      <c r="AV362" s="284"/>
      <c r="AW362" s="284"/>
      <c r="AX362" s="284"/>
      <c r="AY362" s="284"/>
      <c r="AZ362" s="284"/>
      <c r="BA362" s="284"/>
      <c r="BB362" s="284"/>
      <c r="BC362" s="284"/>
      <c r="BD362" s="284"/>
      <c r="BE362" s="284"/>
      <c r="BF362" s="284"/>
      <c r="BG362" s="284"/>
      <c r="BH362" s="284"/>
      <c r="BI362" s="284"/>
      <c r="BJ362" s="284"/>
      <c r="BK362" s="284"/>
      <c r="BL362" s="284"/>
      <c r="BM362" s="284"/>
      <c r="BN362" s="284"/>
      <c r="BO362" s="284"/>
      <c r="BP362" s="284"/>
      <c r="BQ362" s="284"/>
      <c r="BR362" s="284"/>
      <c r="BS362" s="284"/>
      <c r="BT362" s="284"/>
      <c r="BU362" s="284"/>
      <c r="BV362" s="284"/>
      <c r="BW362" s="284"/>
      <c r="BX362" s="284"/>
      <c r="BY362" s="284"/>
      <c r="BZ362" s="285"/>
      <c r="CA362" s="298">
        <f>SUM(C362,E362,G362,I362,K362,M362,O362,Q362,S362,U362,W362,Y362,AA362,AC362,AE362,AG362,AI362,AK362,AM362,AO362,AQ362,AS362,AU362,AW362,AY362,BA362,BC362,BE362,BG362,BI362,BK362,BM362,BO362,BQ362,BS362,BU362,BW362,BY362)</f>
        <v>0</v>
      </c>
      <c r="CB362" s="298">
        <f>SUM(D362,F362,H362,J362,L362,N362,P362,R362,T362,V362,X362,Z362,AB362,AD362,AF362,AH362,AJ362,AL362,AN362,AP362,AR362,AT362,AV362,AX362,AZ362,BB362,BD362,BF362,BH362,BJ362,BL362,BN362,BP362,BR362,BT362,BV362,BX362,BZ362)</f>
        <v>0</v>
      </c>
      <c r="CC362" s="299">
        <f>SUM(Table13[[#This Row],[GOALS 1]:[ASSISTS 38]])</f>
        <v>0</v>
      </c>
    </row>
    <row r="363" spans="1:81">
      <c r="A363" s="291" t="s">
        <v>1779</v>
      </c>
      <c r="B363" s="291" t="s">
        <v>26</v>
      </c>
      <c r="C363" s="286"/>
      <c r="D363" s="286"/>
      <c r="E363" s="288"/>
      <c r="F363" s="286"/>
      <c r="G363" s="288"/>
      <c r="H363" s="286"/>
      <c r="I363" s="288"/>
      <c r="J363" s="286"/>
      <c r="K363" s="288"/>
      <c r="L363" s="286"/>
      <c r="M363" s="288"/>
      <c r="N363" s="286"/>
      <c r="O363" s="288"/>
      <c r="P363" s="286"/>
      <c r="Q363" s="288"/>
      <c r="R363" s="286"/>
      <c r="S363" s="288"/>
      <c r="T363" s="286"/>
      <c r="U363" s="288"/>
      <c r="V363" s="286"/>
      <c r="W363" s="288"/>
      <c r="X363" s="286"/>
      <c r="Y363" s="288"/>
      <c r="Z363" s="286"/>
      <c r="AA363" s="288"/>
      <c r="AB363" s="286"/>
      <c r="AC363" s="288"/>
      <c r="AD363" s="286"/>
      <c r="AE363" s="288"/>
      <c r="AF363" s="286"/>
      <c r="AG363" s="288"/>
      <c r="AH363" s="286"/>
      <c r="AI363" s="288"/>
      <c r="AJ363" s="286"/>
      <c r="AK363" s="286"/>
      <c r="AL363" s="286"/>
      <c r="AM363" s="286"/>
      <c r="AN363" s="286"/>
      <c r="AO363" s="286"/>
      <c r="AP363" s="286"/>
      <c r="AQ363" s="286"/>
      <c r="AR363" s="286"/>
      <c r="AS363" s="286"/>
      <c r="AT363" s="286"/>
      <c r="AU363" s="286"/>
      <c r="AV363" s="284"/>
      <c r="AW363" s="284"/>
      <c r="AX363" s="284"/>
      <c r="AY363" s="284"/>
      <c r="AZ363" s="284"/>
      <c r="BA363" s="284"/>
      <c r="BB363" s="284"/>
      <c r="BC363" s="284"/>
      <c r="BD363" s="284"/>
      <c r="BE363" s="284"/>
      <c r="BF363" s="284"/>
      <c r="BG363" s="284"/>
      <c r="BH363" s="284"/>
      <c r="BI363" s="284"/>
      <c r="BJ363" s="284"/>
      <c r="BK363" s="284"/>
      <c r="BL363" s="284"/>
      <c r="BM363" s="284"/>
      <c r="BN363" s="284"/>
      <c r="BO363" s="284"/>
      <c r="BP363" s="284"/>
      <c r="BQ363" s="284"/>
      <c r="BR363" s="284"/>
      <c r="BS363" s="284"/>
      <c r="BT363" s="284"/>
      <c r="BU363" s="284"/>
      <c r="BV363" s="284"/>
      <c r="BW363" s="284"/>
      <c r="BX363" s="284"/>
      <c r="BY363" s="284"/>
      <c r="BZ363" s="285"/>
      <c r="CA363" s="298">
        <f>SUM(C363,E363,G363,I363,K363,M363,O363,Q363,S363,U363,W363,Y363,AA363,AC363,AE363,AG363,AI363,AK363,AM363,AO363,AQ363,AS363,AU363,AW363,AY363,BA363,BC363,BE363,BG363,BI363,BK363,BM363,BO363,BQ363,BS363,BU363,BW363,BY363)</f>
        <v>0</v>
      </c>
      <c r="CB363" s="298">
        <f>SUM(D363,F363,H363,J363,L363,N363,P363,R363,T363,V363,X363,Z363,AB363,AD363,AF363,AH363,AJ363,AL363,AN363,AP363,AR363,AT363,AV363,AX363,AZ363,BB363,BD363,BF363,BH363,BJ363,BL363,BN363,BP363,BR363,BT363,BV363,BX363,BZ363)</f>
        <v>0</v>
      </c>
      <c r="CC363" s="299">
        <f>SUM(Table13[[#This Row],[GOALS 1]:[ASSISTS 38]])</f>
        <v>0</v>
      </c>
    </row>
    <row r="364" spans="1:81">
      <c r="A364" s="291" t="s">
        <v>1298</v>
      </c>
      <c r="B364" s="291" t="s">
        <v>20</v>
      </c>
      <c r="C364" s="289"/>
      <c r="D364" s="286"/>
      <c r="E364" s="288"/>
      <c r="F364" s="286"/>
      <c r="G364" s="288"/>
      <c r="H364" s="286"/>
      <c r="I364" s="288"/>
      <c r="J364" s="286"/>
      <c r="K364" s="288"/>
      <c r="L364" s="286"/>
      <c r="M364" s="288"/>
      <c r="N364" s="286"/>
      <c r="O364" s="288"/>
      <c r="P364" s="286"/>
      <c r="Q364" s="288"/>
      <c r="R364" s="286"/>
      <c r="S364" s="288"/>
      <c r="T364" s="286"/>
      <c r="U364" s="288"/>
      <c r="V364" s="286"/>
      <c r="W364" s="288"/>
      <c r="X364" s="286"/>
      <c r="Y364" s="288"/>
      <c r="Z364" s="286"/>
      <c r="AA364" s="288"/>
      <c r="AB364" s="286"/>
      <c r="AC364" s="288"/>
      <c r="AD364" s="286"/>
      <c r="AE364" s="288"/>
      <c r="AF364" s="286"/>
      <c r="AG364" s="288"/>
      <c r="AH364" s="286"/>
      <c r="AI364" s="288"/>
      <c r="AJ364" s="286"/>
      <c r="AK364" s="286"/>
      <c r="AL364" s="286"/>
      <c r="AM364" s="286"/>
      <c r="AN364" s="286"/>
      <c r="AO364" s="286"/>
      <c r="AP364" s="286"/>
      <c r="AQ364" s="286"/>
      <c r="AR364" s="286"/>
      <c r="AS364" s="286"/>
      <c r="AT364" s="286"/>
      <c r="AU364" s="286"/>
      <c r="AV364" s="284"/>
      <c r="AW364" s="284"/>
      <c r="AX364" s="284"/>
      <c r="AY364" s="284"/>
      <c r="AZ364" s="284"/>
      <c r="BA364" s="284"/>
      <c r="BB364" s="284"/>
      <c r="BC364" s="284"/>
      <c r="BD364" s="284"/>
      <c r="BE364" s="284"/>
      <c r="BF364" s="284"/>
      <c r="BG364" s="284"/>
      <c r="BH364" s="284"/>
      <c r="BI364" s="284"/>
      <c r="BJ364" s="284"/>
      <c r="BK364" s="284"/>
      <c r="BL364" s="284"/>
      <c r="BM364" s="284"/>
      <c r="BN364" s="284"/>
      <c r="BO364" s="284"/>
      <c r="BP364" s="284"/>
      <c r="BQ364" s="284"/>
      <c r="BR364" s="284"/>
      <c r="BS364" s="284"/>
      <c r="BT364" s="284"/>
      <c r="BU364" s="284"/>
      <c r="BV364" s="284"/>
      <c r="BW364" s="284"/>
      <c r="BX364" s="284"/>
      <c r="BY364" s="284"/>
      <c r="BZ364" s="285"/>
      <c r="CA364" s="298">
        <f>SUM(C364,E364,G364,I364,K364,M364,O364,Q364,S364,U364,W364,Y364,AA364,AC364,AE364,AG364,AI364,AK364,AM364,AO364,AQ364,AS364,AU364,AW364,AY364,BA364,BC364,BE364,BG364,BI364,BK364,BM364,BO364,BQ364,BS364,BU364,BW364,BY364)</f>
        <v>0</v>
      </c>
      <c r="CB364" s="298">
        <f>SUM(D364,F364,H364,J364,L364,N364,P364,R364,T364,V364,X364,Z364,AB364,AD364,AF364,AH364,AJ364,AL364,AN364,AP364,AR364,AT364,AV364,AX364,AZ364,BB364,BD364,BF364,BH364,BJ364,BL364,BN364,BP364,BR364,BT364,BV364,BX364,BZ364)</f>
        <v>0</v>
      </c>
      <c r="CC364" s="299">
        <f>SUM(Table13[[#This Row],[GOALS 1]:[ASSISTS 38]])</f>
        <v>0</v>
      </c>
    </row>
    <row r="365" spans="1:81">
      <c r="A365" s="291" t="s">
        <v>1582</v>
      </c>
      <c r="B365" s="291" t="s">
        <v>29</v>
      </c>
      <c r="C365" s="289"/>
      <c r="D365" s="286"/>
      <c r="E365" s="288"/>
      <c r="F365" s="286"/>
      <c r="G365" s="288"/>
      <c r="H365" s="286"/>
      <c r="I365" s="288"/>
      <c r="J365" s="286"/>
      <c r="K365" s="288"/>
      <c r="L365" s="286"/>
      <c r="M365" s="288"/>
      <c r="N365" s="286"/>
      <c r="O365" s="288"/>
      <c r="P365" s="286"/>
      <c r="Q365" s="288"/>
      <c r="R365" s="286"/>
      <c r="S365" s="288"/>
      <c r="T365" s="286"/>
      <c r="U365" s="288"/>
      <c r="V365" s="286"/>
      <c r="W365" s="288"/>
      <c r="X365" s="286"/>
      <c r="Y365" s="288"/>
      <c r="Z365" s="286"/>
      <c r="AA365" s="288"/>
      <c r="AB365" s="286"/>
      <c r="AC365" s="288"/>
      <c r="AD365" s="286"/>
      <c r="AE365" s="288"/>
      <c r="AF365" s="286"/>
      <c r="AG365" s="288"/>
      <c r="AH365" s="286"/>
      <c r="AI365" s="288"/>
      <c r="AJ365" s="286"/>
      <c r="AK365" s="286"/>
      <c r="AL365" s="286"/>
      <c r="AM365" s="286"/>
      <c r="AN365" s="286"/>
      <c r="AO365" s="286"/>
      <c r="AP365" s="286"/>
      <c r="AQ365" s="286"/>
      <c r="AR365" s="286"/>
      <c r="AS365" s="286"/>
      <c r="AT365" s="286"/>
      <c r="AU365" s="286"/>
      <c r="AV365" s="284"/>
      <c r="AW365" s="284"/>
      <c r="AX365" s="284"/>
      <c r="AY365" s="284"/>
      <c r="AZ365" s="284"/>
      <c r="BA365" s="284"/>
      <c r="BB365" s="284"/>
      <c r="BC365" s="284"/>
      <c r="BD365" s="284"/>
      <c r="BE365" s="284"/>
      <c r="BF365" s="284"/>
      <c r="BG365" s="284"/>
      <c r="BH365" s="284"/>
      <c r="BI365" s="284"/>
      <c r="BJ365" s="284"/>
      <c r="BK365" s="284"/>
      <c r="BL365" s="284"/>
      <c r="BM365" s="284"/>
      <c r="BN365" s="284"/>
      <c r="BO365" s="284"/>
      <c r="BP365" s="284"/>
      <c r="BQ365" s="284"/>
      <c r="BR365" s="284"/>
      <c r="BS365" s="284"/>
      <c r="BT365" s="284"/>
      <c r="BU365" s="284"/>
      <c r="BV365" s="284"/>
      <c r="BW365" s="284"/>
      <c r="BX365" s="284"/>
      <c r="BY365" s="284"/>
      <c r="BZ365" s="285"/>
      <c r="CA365" s="298">
        <f>SUM(C365,E365,G365,I365,K365,M365,O365,Q365,S365,U365,W365,Y365,AA365,AC365,AE365,AG365,AI365,AK365,AM365,AO365,AQ365,AS365,AU365,AW365,AY365,BA365,BC365,BE365,BG365,BI365,BK365,BM365,BO365,BQ365,BS365,BU365,BW365,BY365)</f>
        <v>0</v>
      </c>
      <c r="CB365" s="298">
        <f>SUM(D365,F365,H365,J365,L365,N365,P365,R365,T365,V365,X365,Z365,AB365,AD365,AF365,AH365,AJ365,AL365,AN365,AP365,AR365,AT365,AV365,AX365,AZ365,BB365,BD365,BF365,BH365,BJ365,BL365,BN365,BP365,BR365,BT365,BV365,BX365,BZ365)</f>
        <v>0</v>
      </c>
      <c r="CC365" s="299">
        <f>SUM(Table13[[#This Row],[GOALS 1]:[ASSISTS 38]])</f>
        <v>0</v>
      </c>
    </row>
    <row r="366" spans="1:81">
      <c r="A366" s="291" t="s">
        <v>1316</v>
      </c>
      <c r="B366" s="291" t="s">
        <v>33</v>
      </c>
      <c r="C366" s="289"/>
      <c r="D366" s="286"/>
      <c r="E366" s="288"/>
      <c r="F366" s="286"/>
      <c r="G366" s="288"/>
      <c r="H366" s="286"/>
      <c r="I366" s="288"/>
      <c r="J366" s="286"/>
      <c r="K366" s="288"/>
      <c r="L366" s="286"/>
      <c r="M366" s="288"/>
      <c r="N366" s="286"/>
      <c r="O366" s="288"/>
      <c r="P366" s="286"/>
      <c r="Q366" s="288"/>
      <c r="R366" s="286"/>
      <c r="S366" s="288"/>
      <c r="T366" s="286"/>
      <c r="U366" s="288"/>
      <c r="V366" s="286"/>
      <c r="W366" s="288"/>
      <c r="X366" s="286"/>
      <c r="Y366" s="288"/>
      <c r="Z366" s="286"/>
      <c r="AA366" s="288"/>
      <c r="AB366" s="286"/>
      <c r="AC366" s="288"/>
      <c r="AD366" s="286"/>
      <c r="AE366" s="288"/>
      <c r="AF366" s="286"/>
      <c r="AG366" s="288"/>
      <c r="AH366" s="286"/>
      <c r="AI366" s="288"/>
      <c r="AJ366" s="286"/>
      <c r="AK366" s="286"/>
      <c r="AL366" s="286"/>
      <c r="AM366" s="286"/>
      <c r="AN366" s="286"/>
      <c r="AO366" s="286"/>
      <c r="AP366" s="286"/>
      <c r="AQ366" s="286"/>
      <c r="AR366" s="286"/>
      <c r="AS366" s="286"/>
      <c r="AT366" s="286"/>
      <c r="AU366" s="286"/>
      <c r="AV366" s="284"/>
      <c r="AW366" s="284"/>
      <c r="AX366" s="284"/>
      <c r="AY366" s="284"/>
      <c r="AZ366" s="284"/>
      <c r="BA366" s="284"/>
      <c r="BB366" s="284"/>
      <c r="BC366" s="284"/>
      <c r="BD366" s="284"/>
      <c r="BE366" s="284"/>
      <c r="BF366" s="284"/>
      <c r="BG366" s="284"/>
      <c r="BH366" s="284"/>
      <c r="BI366" s="284"/>
      <c r="BJ366" s="284"/>
      <c r="BK366" s="284"/>
      <c r="BL366" s="284"/>
      <c r="BM366" s="284"/>
      <c r="BN366" s="284"/>
      <c r="BO366" s="284"/>
      <c r="BP366" s="284"/>
      <c r="BQ366" s="284"/>
      <c r="BR366" s="284"/>
      <c r="BS366" s="284"/>
      <c r="BT366" s="284"/>
      <c r="BU366" s="284"/>
      <c r="BV366" s="284"/>
      <c r="BW366" s="284"/>
      <c r="BX366" s="284"/>
      <c r="BY366" s="284"/>
      <c r="BZ366" s="285"/>
      <c r="CA366" s="298">
        <f>SUM(C366,E366,G366,I366,K366,M366,O366,Q366,S366,U366,W366,Y366,AA366,AC366,AE366,AG366,AI366,AK366,AM366,AO366,AQ366,AS366,AU366,AW366,AY366,BA366,BC366,BE366,BG366,BI366,BK366,BM366,BO366,BQ366,BS366,BU366,BW366,BY366)</f>
        <v>0</v>
      </c>
      <c r="CB366" s="298">
        <f>SUM(D366,F366,H366,J366,L366,N366,P366,R366,T366,V366,X366,Z366,AB366,AD366,AF366,AH366,AJ366,AL366,AN366,AP366,AR366,AT366,AV366,AX366,AZ366,BB366,BD366,BF366,BH366,BJ366,BL366,BN366,BP366,BR366,BT366,BV366,BX366,BZ366)</f>
        <v>0</v>
      </c>
      <c r="CC366" s="299">
        <f>SUM(Table13[[#This Row],[GOALS 1]:[ASSISTS 38]])</f>
        <v>0</v>
      </c>
    </row>
    <row r="367" spans="1:81">
      <c r="A367" s="291" t="s">
        <v>1794</v>
      </c>
      <c r="B367" s="291" t="s">
        <v>633</v>
      </c>
      <c r="C367" s="289"/>
      <c r="D367" s="286"/>
      <c r="E367" s="288"/>
      <c r="F367" s="286"/>
      <c r="G367" s="288"/>
      <c r="H367" s="286"/>
      <c r="I367" s="288"/>
      <c r="J367" s="286"/>
      <c r="K367" s="288"/>
      <c r="L367" s="286"/>
      <c r="M367" s="288"/>
      <c r="N367" s="286"/>
      <c r="O367" s="288"/>
      <c r="P367" s="286"/>
      <c r="Q367" s="288"/>
      <c r="R367" s="286"/>
      <c r="S367" s="288"/>
      <c r="T367" s="286"/>
      <c r="U367" s="288"/>
      <c r="V367" s="286"/>
      <c r="W367" s="288"/>
      <c r="X367" s="286"/>
      <c r="Y367" s="288"/>
      <c r="Z367" s="286"/>
      <c r="AA367" s="288"/>
      <c r="AB367" s="286"/>
      <c r="AC367" s="288"/>
      <c r="AD367" s="286"/>
      <c r="AE367" s="288"/>
      <c r="AF367" s="286"/>
      <c r="AG367" s="288"/>
      <c r="AH367" s="286"/>
      <c r="AI367" s="288"/>
      <c r="AJ367" s="286"/>
      <c r="AK367" s="286"/>
      <c r="AL367" s="286"/>
      <c r="AM367" s="286"/>
      <c r="AN367" s="286"/>
      <c r="AO367" s="286"/>
      <c r="AP367" s="286"/>
      <c r="AQ367" s="286"/>
      <c r="AR367" s="286"/>
      <c r="AS367" s="286"/>
      <c r="AT367" s="286"/>
      <c r="AU367" s="286"/>
      <c r="AV367" s="284"/>
      <c r="AW367" s="284"/>
      <c r="AX367" s="284"/>
      <c r="AY367" s="284"/>
      <c r="AZ367" s="284"/>
      <c r="BA367" s="284"/>
      <c r="BB367" s="284"/>
      <c r="BC367" s="284"/>
      <c r="BD367" s="284"/>
      <c r="BE367" s="284"/>
      <c r="BF367" s="284"/>
      <c r="BG367" s="284"/>
      <c r="BH367" s="284"/>
      <c r="BI367" s="284"/>
      <c r="BJ367" s="284"/>
      <c r="BK367" s="284"/>
      <c r="BL367" s="284"/>
      <c r="BM367" s="284"/>
      <c r="BN367" s="284"/>
      <c r="BO367" s="284"/>
      <c r="BP367" s="284"/>
      <c r="BQ367" s="284"/>
      <c r="BR367" s="284"/>
      <c r="BS367" s="284"/>
      <c r="BT367" s="284"/>
      <c r="BU367" s="284"/>
      <c r="BV367" s="284"/>
      <c r="BW367" s="284"/>
      <c r="BX367" s="284"/>
      <c r="BY367" s="284"/>
      <c r="BZ367" s="285"/>
      <c r="CA367" s="298">
        <f>SUM(C367,E367,G367,I367,K367,M367,O367,Q367,S367,U367,W367,Y367,AA367,AC367,AE367,AG367,AI367,AK367,AM367,AO367,AQ367,AS367,AU367,AW367,AY367,BA367,BC367,BE367,BG367,BI367,BK367,BM367,BO367,BQ367,BS367,BU367,BW367,BY367)</f>
        <v>0</v>
      </c>
      <c r="CB367" s="298">
        <f>SUM(D367,F367,H367,J367,L367,N367,P367,R367,T367,V367,X367,Z367,AB367,AD367,AF367,AH367,AJ367,AL367,AN367,AP367,AR367,AT367,AV367,AX367,AZ367,BB367,BD367,BF367,BH367,BJ367,BL367,BN367,BP367,BR367,BT367,BV367,BX367,BZ367)</f>
        <v>0</v>
      </c>
      <c r="CC367" s="299">
        <f>SUM(Table13[[#This Row],[GOALS 1]:[ASSISTS 38]])</f>
        <v>0</v>
      </c>
    </row>
    <row r="368" spans="1:81">
      <c r="A368" s="291" t="s">
        <v>1513</v>
      </c>
      <c r="B368" s="291" t="s">
        <v>21</v>
      </c>
      <c r="C368" s="289"/>
      <c r="D368" s="286"/>
      <c r="E368" s="288"/>
      <c r="F368" s="286"/>
      <c r="G368" s="288"/>
      <c r="H368" s="286"/>
      <c r="I368" s="288"/>
      <c r="J368" s="286"/>
      <c r="K368" s="288"/>
      <c r="L368" s="286"/>
      <c r="M368" s="288"/>
      <c r="N368" s="286"/>
      <c r="O368" s="288"/>
      <c r="P368" s="286"/>
      <c r="Q368" s="288"/>
      <c r="R368" s="286"/>
      <c r="S368" s="288"/>
      <c r="T368" s="286"/>
      <c r="U368" s="288"/>
      <c r="V368" s="286"/>
      <c r="W368" s="288"/>
      <c r="X368" s="286"/>
      <c r="Y368" s="288"/>
      <c r="Z368" s="286"/>
      <c r="AA368" s="288"/>
      <c r="AB368" s="286"/>
      <c r="AC368" s="288"/>
      <c r="AD368" s="286"/>
      <c r="AE368" s="288"/>
      <c r="AF368" s="286"/>
      <c r="AG368" s="288"/>
      <c r="AH368" s="286"/>
      <c r="AI368" s="288"/>
      <c r="AJ368" s="286"/>
      <c r="AK368" s="286"/>
      <c r="AL368" s="286"/>
      <c r="AM368" s="286"/>
      <c r="AN368" s="286"/>
      <c r="AO368" s="286"/>
      <c r="AP368" s="286"/>
      <c r="AQ368" s="286"/>
      <c r="AR368" s="286"/>
      <c r="AS368" s="286"/>
      <c r="AT368" s="286"/>
      <c r="AU368" s="286"/>
      <c r="AV368" s="284"/>
      <c r="AW368" s="284"/>
      <c r="AX368" s="284"/>
      <c r="AY368" s="284"/>
      <c r="AZ368" s="284"/>
      <c r="BA368" s="284"/>
      <c r="BB368" s="284"/>
      <c r="BC368" s="284"/>
      <c r="BD368" s="284"/>
      <c r="BE368" s="284"/>
      <c r="BF368" s="284"/>
      <c r="BG368" s="284"/>
      <c r="BH368" s="284"/>
      <c r="BI368" s="284"/>
      <c r="BJ368" s="284"/>
      <c r="BK368" s="284"/>
      <c r="BL368" s="284"/>
      <c r="BM368" s="284"/>
      <c r="BN368" s="284"/>
      <c r="BO368" s="284"/>
      <c r="BP368" s="284"/>
      <c r="BQ368" s="284"/>
      <c r="BR368" s="284"/>
      <c r="BS368" s="284"/>
      <c r="BT368" s="284"/>
      <c r="BU368" s="284"/>
      <c r="BV368" s="284"/>
      <c r="BW368" s="284"/>
      <c r="BX368" s="284"/>
      <c r="BY368" s="284"/>
      <c r="BZ368" s="285"/>
      <c r="CA368" s="298">
        <f>SUM(C368,E368,G368,I368,K368,M368,O368,Q368,S368,U368,W368,Y368,AA368,AC368,AE368,AG368,AI368,AK368,AM368,AO368,AQ368,AS368,AU368,AW368,AY368,BA368,BC368,BE368,BG368,BI368,BK368,BM368,BO368,BQ368,BS368,BU368,BW368,BY368)</f>
        <v>0</v>
      </c>
      <c r="CB368" s="298">
        <f>SUM(D368,F368,H368,J368,L368,N368,P368,R368,T368,V368,X368,Z368,AB368,AD368,AF368,AH368,AJ368,AL368,AN368,AP368,AR368,AT368,AV368,AX368,AZ368,BB368,BD368,BF368,BH368,BJ368,BL368,BN368,BP368,BR368,BT368,BV368,BX368,BZ368)</f>
        <v>0</v>
      </c>
      <c r="CC368" s="299">
        <f>SUM(Table13[[#This Row],[GOALS 1]:[ASSISTS 38]])</f>
        <v>0</v>
      </c>
    </row>
    <row r="369" spans="1:81">
      <c r="A369" s="291" t="s">
        <v>1705</v>
      </c>
      <c r="B369" s="291" t="s">
        <v>23</v>
      </c>
      <c r="C369" s="289"/>
      <c r="D369" s="286"/>
      <c r="E369" s="288"/>
      <c r="F369" s="286"/>
      <c r="G369" s="288"/>
      <c r="H369" s="286"/>
      <c r="I369" s="288"/>
      <c r="J369" s="286"/>
      <c r="K369" s="288"/>
      <c r="L369" s="286"/>
      <c r="M369" s="288"/>
      <c r="N369" s="286"/>
      <c r="O369" s="288"/>
      <c r="P369" s="286"/>
      <c r="Q369" s="288"/>
      <c r="R369" s="286"/>
      <c r="S369" s="288"/>
      <c r="T369" s="286"/>
      <c r="U369" s="288"/>
      <c r="V369" s="286"/>
      <c r="W369" s="288"/>
      <c r="X369" s="286"/>
      <c r="Y369" s="288"/>
      <c r="Z369" s="286"/>
      <c r="AA369" s="288"/>
      <c r="AB369" s="286"/>
      <c r="AC369" s="288"/>
      <c r="AD369" s="286"/>
      <c r="AE369" s="288"/>
      <c r="AF369" s="286"/>
      <c r="AG369" s="288"/>
      <c r="AH369" s="286"/>
      <c r="AI369" s="288"/>
      <c r="AJ369" s="286"/>
      <c r="AK369" s="286"/>
      <c r="AL369" s="286"/>
      <c r="AM369" s="286"/>
      <c r="AN369" s="286"/>
      <c r="AO369" s="286"/>
      <c r="AP369" s="286"/>
      <c r="AQ369" s="286"/>
      <c r="AR369" s="286"/>
      <c r="AS369" s="286"/>
      <c r="AT369" s="286"/>
      <c r="AU369" s="286"/>
      <c r="AV369" s="284"/>
      <c r="AW369" s="284"/>
      <c r="AX369" s="284"/>
      <c r="AY369" s="284"/>
      <c r="AZ369" s="284"/>
      <c r="BA369" s="284"/>
      <c r="BB369" s="284"/>
      <c r="BC369" s="284"/>
      <c r="BD369" s="284"/>
      <c r="BE369" s="284"/>
      <c r="BF369" s="284"/>
      <c r="BG369" s="284"/>
      <c r="BH369" s="284"/>
      <c r="BI369" s="284"/>
      <c r="BJ369" s="284"/>
      <c r="BK369" s="284"/>
      <c r="BL369" s="284"/>
      <c r="BM369" s="284"/>
      <c r="BN369" s="284"/>
      <c r="BO369" s="284"/>
      <c r="BP369" s="284"/>
      <c r="BQ369" s="284"/>
      <c r="BR369" s="284"/>
      <c r="BS369" s="284"/>
      <c r="BT369" s="284"/>
      <c r="BU369" s="284"/>
      <c r="BV369" s="284"/>
      <c r="BW369" s="284"/>
      <c r="BX369" s="284"/>
      <c r="BY369" s="284"/>
      <c r="BZ369" s="285"/>
      <c r="CA369" s="298">
        <f>SUM(C369,E369,G369,I369,K369,M369,O369,Q369,S369,U369,W369,Y369,AA369,AC369,AE369,AG369,AI369,AK369,AM369,AO369,AQ369,AS369,AU369,AW369,AY369,BA369,BC369,BE369,BG369,BI369,BK369,BM369,BO369,BQ369,BS369,BU369,BW369,BY369)</f>
        <v>0</v>
      </c>
      <c r="CB369" s="298">
        <f>SUM(D369,F369,H369,J369,L369,N369,P369,R369,T369,V369,X369,Z369,AB369,AD369,AF369,AH369,AJ369,AL369,AN369,AP369,AR369,AT369,AV369,AX369,AZ369,BB369,BD369,BF369,BH369,BJ369,BL369,BN369,BP369,BR369,BT369,BV369,BX369,BZ369)</f>
        <v>0</v>
      </c>
      <c r="CC369" s="299">
        <f>SUM(Table13[[#This Row],[GOALS 1]:[ASSISTS 38]])</f>
        <v>0</v>
      </c>
    </row>
    <row r="370" spans="1:81">
      <c r="A370" s="291" t="s">
        <v>1642</v>
      </c>
      <c r="B370" s="291" t="s">
        <v>20</v>
      </c>
      <c r="C370" s="289"/>
      <c r="D370" s="286"/>
      <c r="E370" s="288"/>
      <c r="F370" s="286"/>
      <c r="G370" s="288"/>
      <c r="H370" s="286"/>
      <c r="I370" s="288"/>
      <c r="J370" s="286"/>
      <c r="K370" s="288"/>
      <c r="L370" s="286"/>
      <c r="M370" s="288"/>
      <c r="N370" s="286"/>
      <c r="O370" s="288"/>
      <c r="P370" s="286"/>
      <c r="Q370" s="288"/>
      <c r="R370" s="286"/>
      <c r="S370" s="288"/>
      <c r="T370" s="286"/>
      <c r="U370" s="288"/>
      <c r="V370" s="286"/>
      <c r="W370" s="288"/>
      <c r="X370" s="286"/>
      <c r="Y370" s="288"/>
      <c r="Z370" s="286"/>
      <c r="AA370" s="288"/>
      <c r="AB370" s="286"/>
      <c r="AC370" s="288"/>
      <c r="AD370" s="286"/>
      <c r="AE370" s="288"/>
      <c r="AF370" s="286"/>
      <c r="AG370" s="288"/>
      <c r="AH370" s="286"/>
      <c r="AI370" s="288"/>
      <c r="AJ370" s="286"/>
      <c r="AK370" s="286"/>
      <c r="AL370" s="286"/>
      <c r="AM370" s="286"/>
      <c r="AN370" s="286"/>
      <c r="AO370" s="286"/>
      <c r="AP370" s="286"/>
      <c r="AQ370" s="286"/>
      <c r="AR370" s="286"/>
      <c r="AS370" s="286"/>
      <c r="AT370" s="286"/>
      <c r="AU370" s="286"/>
      <c r="AV370" s="284"/>
      <c r="AW370" s="284"/>
      <c r="AX370" s="284"/>
      <c r="AY370" s="284"/>
      <c r="AZ370" s="284"/>
      <c r="BA370" s="284"/>
      <c r="BB370" s="284"/>
      <c r="BC370" s="284"/>
      <c r="BD370" s="284"/>
      <c r="BE370" s="284"/>
      <c r="BF370" s="284"/>
      <c r="BG370" s="284"/>
      <c r="BH370" s="284"/>
      <c r="BI370" s="284"/>
      <c r="BJ370" s="284"/>
      <c r="BK370" s="284"/>
      <c r="BL370" s="284"/>
      <c r="BM370" s="284"/>
      <c r="BN370" s="284"/>
      <c r="BO370" s="284"/>
      <c r="BP370" s="284"/>
      <c r="BQ370" s="284"/>
      <c r="BR370" s="284"/>
      <c r="BS370" s="284"/>
      <c r="BT370" s="284"/>
      <c r="BU370" s="284"/>
      <c r="BV370" s="284"/>
      <c r="BW370" s="284"/>
      <c r="BX370" s="284"/>
      <c r="BY370" s="284"/>
      <c r="BZ370" s="285"/>
      <c r="CA370" s="298">
        <f>SUM(C370,E370,G370,I370,K370,M370,O370,Q370,S370,U370,W370,Y370,AA370,AC370,AE370,AG370,AI370,AK370,AM370,AO370,AQ370,AS370,AU370,AW370,AY370,BA370,BC370,BE370,BG370,BI370,BK370,BM370,BO370,BQ370,BS370,BU370,BW370,BY370)</f>
        <v>0</v>
      </c>
      <c r="CB370" s="298">
        <f>SUM(D370,F370,H370,J370,L370,N370,P370,R370,T370,V370,X370,Z370,AB370,AD370,AF370,AH370,AJ370,AL370,AN370,AP370,AR370,AT370,AV370,AX370,AZ370,BB370,BD370,BF370,BH370,BJ370,BL370,BN370,BP370,BR370,BT370,BV370,BX370,BZ370)</f>
        <v>0</v>
      </c>
      <c r="CC370" s="299">
        <f>SUM(Table13[[#This Row],[GOALS 1]:[ASSISTS 38]])</f>
        <v>0</v>
      </c>
    </row>
    <row r="371" spans="1:81">
      <c r="A371" s="291" t="s">
        <v>1764</v>
      </c>
      <c r="B371" s="291" t="s">
        <v>19</v>
      </c>
      <c r="C371" s="286"/>
      <c r="D371" s="286"/>
      <c r="E371" s="288"/>
      <c r="F371" s="286"/>
      <c r="G371" s="288"/>
      <c r="H371" s="286"/>
      <c r="I371" s="288"/>
      <c r="J371" s="286"/>
      <c r="K371" s="288"/>
      <c r="L371" s="286"/>
      <c r="M371" s="288"/>
      <c r="N371" s="286"/>
      <c r="O371" s="288"/>
      <c r="P371" s="286"/>
      <c r="Q371" s="288"/>
      <c r="R371" s="286"/>
      <c r="S371" s="288"/>
      <c r="T371" s="286"/>
      <c r="U371" s="288"/>
      <c r="V371" s="286"/>
      <c r="W371" s="288"/>
      <c r="X371" s="286"/>
      <c r="Y371" s="288"/>
      <c r="Z371" s="286"/>
      <c r="AA371" s="288"/>
      <c r="AB371" s="286"/>
      <c r="AC371" s="288"/>
      <c r="AD371" s="286"/>
      <c r="AE371" s="288"/>
      <c r="AF371" s="286"/>
      <c r="AG371" s="288"/>
      <c r="AH371" s="286"/>
      <c r="AI371" s="288"/>
      <c r="AJ371" s="286"/>
      <c r="AK371" s="286"/>
      <c r="AL371" s="286"/>
      <c r="AM371" s="286"/>
      <c r="AN371" s="286"/>
      <c r="AO371" s="286"/>
      <c r="AP371" s="286"/>
      <c r="AQ371" s="286"/>
      <c r="AR371" s="286"/>
      <c r="AS371" s="286"/>
      <c r="AT371" s="286"/>
      <c r="AU371" s="286"/>
      <c r="AV371" s="284"/>
      <c r="AW371" s="284"/>
      <c r="AX371" s="284"/>
      <c r="AY371" s="284"/>
      <c r="AZ371" s="284"/>
      <c r="BA371" s="284"/>
      <c r="BB371" s="284"/>
      <c r="BC371" s="284"/>
      <c r="BD371" s="284"/>
      <c r="BE371" s="284"/>
      <c r="BF371" s="284"/>
      <c r="BG371" s="284"/>
      <c r="BH371" s="284"/>
      <c r="BI371" s="284"/>
      <c r="BJ371" s="284"/>
      <c r="BK371" s="284"/>
      <c r="BL371" s="284"/>
      <c r="BM371" s="284"/>
      <c r="BN371" s="284"/>
      <c r="BO371" s="284"/>
      <c r="BP371" s="284"/>
      <c r="BQ371" s="284"/>
      <c r="BR371" s="284"/>
      <c r="BS371" s="284"/>
      <c r="BT371" s="284"/>
      <c r="BU371" s="284"/>
      <c r="BV371" s="284"/>
      <c r="BW371" s="284"/>
      <c r="BX371" s="284"/>
      <c r="BY371" s="284"/>
      <c r="BZ371" s="285"/>
      <c r="CA371" s="298">
        <f>SUM(C371,E371,G371,I371,K371,M371,O371,Q371,S371,U371,W371,Y371,AA371,AC371,AE371,AG371,AI371,AK371,AM371,AO371,AQ371,AS371,AU371,AW371,AY371,BA371,BC371,BE371,BG371,BI371,BK371,BM371,BO371,BQ371,BS371,BU371,BW371,BY371)</f>
        <v>0</v>
      </c>
      <c r="CB371" s="298">
        <f>SUM(D371,F371,H371,J371,L371,N371,P371,R371,T371,V371,X371,Z371,AB371,AD371,AF371,AH371,AJ371,AL371,AN371,AP371,AR371,AT371,AV371,AX371,AZ371,BB371,BD371,BF371,BH371,BJ371,BL371,BN371,BP371,BR371,BT371,BV371,BX371,BZ371)</f>
        <v>0</v>
      </c>
      <c r="CC371" s="299">
        <f>SUM(Table13[[#This Row],[GOALS 1]:[ASSISTS 38]])</f>
        <v>0</v>
      </c>
    </row>
    <row r="372" spans="1:81">
      <c r="A372" s="291" t="s">
        <v>1311</v>
      </c>
      <c r="B372" s="291" t="s">
        <v>21</v>
      </c>
      <c r="C372" s="289"/>
      <c r="D372" s="286"/>
      <c r="E372" s="288"/>
      <c r="F372" s="286"/>
      <c r="G372" s="288"/>
      <c r="H372" s="286"/>
      <c r="I372" s="288"/>
      <c r="J372" s="286"/>
      <c r="K372" s="288"/>
      <c r="L372" s="286"/>
      <c r="M372" s="288"/>
      <c r="N372" s="286"/>
      <c r="O372" s="288"/>
      <c r="P372" s="286"/>
      <c r="Q372" s="288"/>
      <c r="R372" s="286"/>
      <c r="S372" s="288"/>
      <c r="T372" s="286"/>
      <c r="U372" s="288"/>
      <c r="V372" s="286"/>
      <c r="W372" s="288"/>
      <c r="X372" s="286"/>
      <c r="Y372" s="288"/>
      <c r="Z372" s="286"/>
      <c r="AA372" s="288"/>
      <c r="AB372" s="286"/>
      <c r="AC372" s="288"/>
      <c r="AD372" s="286"/>
      <c r="AE372" s="288"/>
      <c r="AF372" s="286"/>
      <c r="AG372" s="288"/>
      <c r="AH372" s="286"/>
      <c r="AI372" s="288"/>
      <c r="AJ372" s="286"/>
      <c r="AK372" s="286"/>
      <c r="AL372" s="286"/>
      <c r="AM372" s="286"/>
      <c r="AN372" s="286"/>
      <c r="AO372" s="286"/>
      <c r="AP372" s="286"/>
      <c r="AQ372" s="286"/>
      <c r="AR372" s="286"/>
      <c r="AS372" s="286"/>
      <c r="AT372" s="286"/>
      <c r="AU372" s="286"/>
      <c r="AV372" s="284"/>
      <c r="AW372" s="284"/>
      <c r="AX372" s="284"/>
      <c r="AY372" s="284"/>
      <c r="AZ372" s="284"/>
      <c r="BA372" s="284"/>
      <c r="BB372" s="284"/>
      <c r="BC372" s="284"/>
      <c r="BD372" s="284"/>
      <c r="BE372" s="284"/>
      <c r="BF372" s="284"/>
      <c r="BG372" s="284"/>
      <c r="BH372" s="284"/>
      <c r="BI372" s="284"/>
      <c r="BJ372" s="284"/>
      <c r="BK372" s="284"/>
      <c r="BL372" s="284"/>
      <c r="BM372" s="284"/>
      <c r="BN372" s="284"/>
      <c r="BO372" s="284"/>
      <c r="BP372" s="284"/>
      <c r="BQ372" s="284"/>
      <c r="BR372" s="284"/>
      <c r="BS372" s="284"/>
      <c r="BT372" s="284"/>
      <c r="BU372" s="284"/>
      <c r="BV372" s="284"/>
      <c r="BW372" s="284"/>
      <c r="BX372" s="284"/>
      <c r="BY372" s="284"/>
      <c r="BZ372" s="285"/>
      <c r="CA372" s="298">
        <f>SUM(C372,E372,G372,I372,K372,M372,O372,Q372,S372,U372,W372,Y372,AA372,AC372,AE372,AG372,AI372,AK372,AM372,AO372,AQ372,AS372,AU372,AW372,AY372,BA372,BC372,BE372,BG372,BI372,BK372,BM372,BO372,BQ372,BS372,BU372,BW372,BY372)</f>
        <v>0</v>
      </c>
      <c r="CB372" s="298">
        <f>SUM(D372,F372,H372,J372,L372,N372,P372,R372,T372,V372,X372,Z372,AB372,AD372,AF372,AH372,AJ372,AL372,AN372,AP372,AR372,AT372,AV372,AX372,AZ372,BB372,BD372,BF372,BH372,BJ372,BL372,BN372,BP372,BR372,BT372,BV372,BX372,BZ372)</f>
        <v>0</v>
      </c>
      <c r="CC372" s="299">
        <f>SUM(Table13[[#This Row],[GOALS 1]:[ASSISTS 38]])</f>
        <v>0</v>
      </c>
    </row>
    <row r="373" spans="1:81">
      <c r="A373" s="292" t="s">
        <v>1797</v>
      </c>
      <c r="B373" s="292" t="s">
        <v>51</v>
      </c>
      <c r="C373" s="286"/>
      <c r="D373" s="286"/>
      <c r="E373" s="288"/>
      <c r="F373" s="286"/>
      <c r="G373" s="288"/>
      <c r="H373" s="286"/>
      <c r="I373" s="288"/>
      <c r="J373" s="286"/>
      <c r="K373" s="288"/>
      <c r="L373" s="286"/>
      <c r="M373" s="288"/>
      <c r="N373" s="286"/>
      <c r="O373" s="288"/>
      <c r="P373" s="286"/>
      <c r="Q373" s="288"/>
      <c r="R373" s="286"/>
      <c r="S373" s="288"/>
      <c r="T373" s="286"/>
      <c r="U373" s="288"/>
      <c r="V373" s="286"/>
      <c r="W373" s="288"/>
      <c r="X373" s="286"/>
      <c r="Y373" s="288"/>
      <c r="Z373" s="286"/>
      <c r="AA373" s="288"/>
      <c r="AB373" s="286"/>
      <c r="AC373" s="288"/>
      <c r="AD373" s="286"/>
      <c r="AE373" s="288"/>
      <c r="AF373" s="286"/>
      <c r="AG373" s="288"/>
      <c r="AH373" s="286"/>
      <c r="AI373" s="288"/>
      <c r="AJ373" s="286"/>
      <c r="AK373" s="286"/>
      <c r="AL373" s="286"/>
      <c r="AM373" s="286"/>
      <c r="AN373" s="286"/>
      <c r="AO373" s="286"/>
      <c r="AP373" s="286"/>
      <c r="AQ373" s="286"/>
      <c r="AR373" s="286"/>
      <c r="AS373" s="286"/>
      <c r="AT373" s="286"/>
      <c r="AU373" s="286"/>
      <c r="AV373" s="284"/>
      <c r="AW373" s="284"/>
      <c r="AX373" s="284"/>
      <c r="AY373" s="284"/>
      <c r="AZ373" s="284"/>
      <c r="BA373" s="284"/>
      <c r="BB373" s="284"/>
      <c r="BC373" s="284"/>
      <c r="BD373" s="284"/>
      <c r="BE373" s="284"/>
      <c r="BF373" s="284"/>
      <c r="BG373" s="284"/>
      <c r="BH373" s="284"/>
      <c r="BI373" s="284"/>
      <c r="BJ373" s="284"/>
      <c r="BK373" s="284"/>
      <c r="BL373" s="284"/>
      <c r="BM373" s="284"/>
      <c r="BN373" s="284"/>
      <c r="BO373" s="284"/>
      <c r="BP373" s="284"/>
      <c r="BQ373" s="284"/>
      <c r="BR373" s="284"/>
      <c r="BS373" s="284"/>
      <c r="BT373" s="284"/>
      <c r="BU373" s="284"/>
      <c r="BV373" s="284"/>
      <c r="BW373" s="284"/>
      <c r="BX373" s="284"/>
      <c r="BY373" s="284"/>
      <c r="BZ373" s="285"/>
      <c r="CA373" s="298">
        <f>SUM(C373,E373,G373,I373,K373,M373,O373,Q373,S373,U373,W373,Y373,AA373,AC373,AE373,AG373,AI373,AK373,AM373,AO373,AQ373,AS373,AU373,AW373,AY373,BA373,BC373,BE373,BG373,BI373,BK373,BM373,BO373,BQ373,BS373,BU373,BW373,BY373)</f>
        <v>0</v>
      </c>
      <c r="CB373" s="298">
        <f>SUM(D373,F373,H373,J373,L373,N373,P373,R373,T373,V373,X373,Z373,AB373,AD373,AF373,AH373,AJ373,AL373,AN373,AP373,AR373,AT373,AV373,AX373,AZ373,BB373,BD373,BF373,BH373,BJ373,BL373,BN373,BP373,BR373,BT373,BV373,BX373,BZ373)</f>
        <v>0</v>
      </c>
      <c r="CC373" s="299">
        <f>SUM(Table13[[#This Row],[GOALS 1]:[ASSISTS 38]])</f>
        <v>0</v>
      </c>
    </row>
    <row r="374" spans="1:81">
      <c r="A374" s="291" t="s">
        <v>1497</v>
      </c>
      <c r="B374" s="291" t="s">
        <v>25</v>
      </c>
      <c r="C374" s="286"/>
      <c r="D374" s="286"/>
      <c r="E374" s="288"/>
      <c r="F374" s="286"/>
      <c r="G374" s="288"/>
      <c r="H374" s="286"/>
      <c r="I374" s="288"/>
      <c r="J374" s="286"/>
      <c r="K374" s="288"/>
      <c r="L374" s="286"/>
      <c r="M374" s="288"/>
      <c r="N374" s="286"/>
      <c r="O374" s="288"/>
      <c r="P374" s="286"/>
      <c r="Q374" s="288"/>
      <c r="R374" s="286"/>
      <c r="S374" s="288"/>
      <c r="T374" s="286"/>
      <c r="U374" s="288"/>
      <c r="V374" s="286"/>
      <c r="W374" s="288"/>
      <c r="X374" s="286"/>
      <c r="Y374" s="288"/>
      <c r="Z374" s="286"/>
      <c r="AA374" s="288"/>
      <c r="AB374" s="286"/>
      <c r="AC374" s="288"/>
      <c r="AD374" s="286"/>
      <c r="AE374" s="288"/>
      <c r="AF374" s="286"/>
      <c r="AG374" s="288"/>
      <c r="AH374" s="286"/>
      <c r="AI374" s="288"/>
      <c r="AJ374" s="286"/>
      <c r="AK374" s="286"/>
      <c r="AL374" s="286"/>
      <c r="AM374" s="286"/>
      <c r="AN374" s="286"/>
      <c r="AO374" s="286"/>
      <c r="AP374" s="286"/>
      <c r="AQ374" s="286"/>
      <c r="AR374" s="286"/>
      <c r="AS374" s="286"/>
      <c r="AT374" s="286"/>
      <c r="AU374" s="286"/>
      <c r="AV374" s="284"/>
      <c r="AW374" s="284"/>
      <c r="AX374" s="284"/>
      <c r="AY374" s="284"/>
      <c r="AZ374" s="284"/>
      <c r="BA374" s="284"/>
      <c r="BB374" s="284"/>
      <c r="BC374" s="284"/>
      <c r="BD374" s="284"/>
      <c r="BE374" s="284"/>
      <c r="BF374" s="284"/>
      <c r="BG374" s="284"/>
      <c r="BH374" s="284"/>
      <c r="BI374" s="284"/>
      <c r="BJ374" s="284"/>
      <c r="BK374" s="284"/>
      <c r="BL374" s="284"/>
      <c r="BM374" s="284"/>
      <c r="BN374" s="284"/>
      <c r="BO374" s="284"/>
      <c r="BP374" s="284"/>
      <c r="BQ374" s="284"/>
      <c r="BR374" s="284"/>
      <c r="BS374" s="284"/>
      <c r="BT374" s="284"/>
      <c r="BU374" s="284"/>
      <c r="BV374" s="284"/>
      <c r="BW374" s="284"/>
      <c r="BX374" s="284"/>
      <c r="BY374" s="284"/>
      <c r="BZ374" s="285"/>
      <c r="CA374" s="298">
        <f>SUM(C374,E374,G374,I374,K374,M374,O374,Q374,S374,U374,W374,Y374,AA374,AC374,AE374,AG374,AI374,AK374,AM374,AO374,AQ374,AS374,AU374,AW374,AY374,BA374,BC374,BE374,BG374,BI374,BK374,BM374,BO374,BQ374,BS374,BU374,BW374,BY374)</f>
        <v>0</v>
      </c>
      <c r="CB374" s="298">
        <f>SUM(D374,F374,H374,J374,L374,N374,P374,R374,T374,V374,X374,Z374,AB374,AD374,AF374,AH374,AJ374,AL374,AN374,AP374,AR374,AT374,AV374,AX374,AZ374,BB374,BD374,BF374,BH374,BJ374,BL374,BN374,BP374,BR374,BT374,BV374,BX374,BZ374)</f>
        <v>0</v>
      </c>
      <c r="CC374" s="299">
        <f>SUM(Table13[[#This Row],[GOALS 1]:[ASSISTS 38]])</f>
        <v>0</v>
      </c>
    </row>
    <row r="375" spans="1:81">
      <c r="A375" s="291" t="s">
        <v>1489</v>
      </c>
      <c r="B375" s="291" t="s">
        <v>24</v>
      </c>
      <c r="C375" s="286"/>
      <c r="D375" s="286"/>
      <c r="E375" s="288"/>
      <c r="F375" s="286"/>
      <c r="G375" s="288"/>
      <c r="H375" s="286"/>
      <c r="I375" s="288"/>
      <c r="J375" s="286"/>
      <c r="K375" s="288"/>
      <c r="L375" s="286"/>
      <c r="M375" s="288"/>
      <c r="N375" s="286"/>
      <c r="O375" s="288"/>
      <c r="P375" s="286"/>
      <c r="Q375" s="288"/>
      <c r="R375" s="286"/>
      <c r="S375" s="288"/>
      <c r="T375" s="286"/>
      <c r="U375" s="288"/>
      <c r="V375" s="286"/>
      <c r="W375" s="288"/>
      <c r="X375" s="286"/>
      <c r="Y375" s="288"/>
      <c r="Z375" s="286"/>
      <c r="AA375" s="288"/>
      <c r="AB375" s="286"/>
      <c r="AC375" s="288"/>
      <c r="AD375" s="286"/>
      <c r="AE375" s="288"/>
      <c r="AF375" s="286"/>
      <c r="AG375" s="288"/>
      <c r="AH375" s="286"/>
      <c r="AI375" s="288"/>
      <c r="AJ375" s="286"/>
      <c r="AK375" s="286"/>
      <c r="AL375" s="286"/>
      <c r="AM375" s="286"/>
      <c r="AN375" s="286"/>
      <c r="AO375" s="286"/>
      <c r="AP375" s="286"/>
      <c r="AQ375" s="286"/>
      <c r="AR375" s="286"/>
      <c r="AS375" s="286"/>
      <c r="AT375" s="286"/>
      <c r="AU375" s="286"/>
      <c r="AV375" s="284"/>
      <c r="AW375" s="284"/>
      <c r="AX375" s="284"/>
      <c r="AY375" s="284"/>
      <c r="AZ375" s="284"/>
      <c r="BA375" s="284"/>
      <c r="BB375" s="284"/>
      <c r="BC375" s="284"/>
      <c r="BD375" s="284"/>
      <c r="BE375" s="284"/>
      <c r="BF375" s="284"/>
      <c r="BG375" s="284"/>
      <c r="BH375" s="284"/>
      <c r="BI375" s="284"/>
      <c r="BJ375" s="284"/>
      <c r="BK375" s="284"/>
      <c r="BL375" s="284"/>
      <c r="BM375" s="284"/>
      <c r="BN375" s="284"/>
      <c r="BO375" s="284"/>
      <c r="BP375" s="284"/>
      <c r="BQ375" s="284"/>
      <c r="BR375" s="284"/>
      <c r="BS375" s="284"/>
      <c r="BT375" s="284"/>
      <c r="BU375" s="284"/>
      <c r="BV375" s="284"/>
      <c r="BW375" s="284"/>
      <c r="BX375" s="284"/>
      <c r="BY375" s="284"/>
      <c r="BZ375" s="285"/>
      <c r="CA375" s="298">
        <f>SUM(C375,E375,G375,I375,K375,M375,O375,Q375,S375,U375,W375,Y375,AA375,AC375,AE375,AG375,AI375,AK375,AM375,AO375,AQ375,AS375,AU375,AW375,AY375,BA375,BC375,BE375,BG375,BI375,BK375,BM375,BO375,BQ375,BS375,BU375,BW375,BY375)</f>
        <v>0</v>
      </c>
      <c r="CB375" s="298">
        <f>SUM(D375,F375,H375,J375,L375,N375,P375,R375,T375,V375,X375,Z375,AB375,AD375,AF375,AH375,AJ375,AL375,AN375,AP375,AR375,AT375,AV375,AX375,AZ375,BB375,BD375,BF375,BH375,BJ375,BL375,BN375,BP375,BR375,BT375,BV375,BX375,BZ375)</f>
        <v>0</v>
      </c>
      <c r="CC375" s="299">
        <f>SUM(Table13[[#This Row],[GOALS 1]:[ASSISTS 38]])</f>
        <v>0</v>
      </c>
    </row>
    <row r="376" spans="1:81">
      <c r="A376" s="291" t="s">
        <v>1850</v>
      </c>
      <c r="B376" s="291" t="s">
        <v>21</v>
      </c>
      <c r="C376" s="289"/>
      <c r="D376" s="286"/>
      <c r="E376" s="288"/>
      <c r="F376" s="286"/>
      <c r="G376" s="288"/>
      <c r="H376" s="286"/>
      <c r="I376" s="288"/>
      <c r="J376" s="286"/>
      <c r="K376" s="288"/>
      <c r="L376" s="286"/>
      <c r="M376" s="288"/>
      <c r="N376" s="286"/>
      <c r="O376" s="288"/>
      <c r="P376" s="286"/>
      <c r="Q376" s="288"/>
      <c r="R376" s="286"/>
      <c r="S376" s="288"/>
      <c r="T376" s="286"/>
      <c r="U376" s="288"/>
      <c r="V376" s="286"/>
      <c r="W376" s="288"/>
      <c r="X376" s="286"/>
      <c r="Y376" s="288"/>
      <c r="Z376" s="286"/>
      <c r="AA376" s="288"/>
      <c r="AB376" s="286"/>
      <c r="AC376" s="288"/>
      <c r="AD376" s="286"/>
      <c r="AE376" s="288"/>
      <c r="AF376" s="286"/>
      <c r="AG376" s="288"/>
      <c r="AH376" s="286"/>
      <c r="AI376" s="288"/>
      <c r="AJ376" s="286"/>
      <c r="AK376" s="286"/>
      <c r="AL376" s="286"/>
      <c r="AM376" s="286"/>
      <c r="AN376" s="286"/>
      <c r="AO376" s="286"/>
      <c r="AP376" s="286"/>
      <c r="AQ376" s="286"/>
      <c r="AR376" s="286"/>
      <c r="AS376" s="286"/>
      <c r="AT376" s="286"/>
      <c r="AU376" s="286"/>
      <c r="AV376" s="284"/>
      <c r="AW376" s="284"/>
      <c r="AX376" s="284"/>
      <c r="AY376" s="284"/>
      <c r="AZ376" s="284"/>
      <c r="BA376" s="284"/>
      <c r="BB376" s="284"/>
      <c r="BC376" s="284"/>
      <c r="BD376" s="284"/>
      <c r="BE376" s="284"/>
      <c r="BF376" s="284"/>
      <c r="BG376" s="284"/>
      <c r="BH376" s="284"/>
      <c r="BI376" s="284"/>
      <c r="BJ376" s="284"/>
      <c r="BK376" s="284"/>
      <c r="BL376" s="284"/>
      <c r="BM376" s="284"/>
      <c r="BN376" s="284"/>
      <c r="BO376" s="284"/>
      <c r="BP376" s="284"/>
      <c r="BQ376" s="284"/>
      <c r="BR376" s="284"/>
      <c r="BS376" s="284"/>
      <c r="BT376" s="284"/>
      <c r="BU376" s="284"/>
      <c r="BV376" s="284"/>
      <c r="BW376" s="284"/>
      <c r="BX376" s="284"/>
      <c r="BY376" s="284"/>
      <c r="BZ376" s="285"/>
      <c r="CA376" s="298">
        <f>SUM(C376,E376,G376,I376,K376,M376,O376,Q376,S376,U376,W376,Y376,AA376,AC376,AE376,AG376,AI376,AK376,AM376,AO376,AQ376,AS376,AU376,AW376,AY376,BA376,BC376,BE376,BG376,BI376,BK376,BM376,BO376,BQ376,BS376,BU376,BW376,BY376)</f>
        <v>0</v>
      </c>
      <c r="CB376" s="298">
        <f>SUM(D376,F376,H376,J376,L376,N376,P376,R376,T376,V376,X376,Z376,AB376,AD376,AF376,AH376,AJ376,AL376,AN376,AP376,AR376,AT376,AV376,AX376,AZ376,BB376,BD376,BF376,BH376,BJ376,BL376,BN376,BP376,BR376,BT376,BV376,BX376,BZ376)</f>
        <v>0</v>
      </c>
      <c r="CC376" s="299">
        <f>SUM(Table13[[#This Row],[GOALS 1]:[ASSISTS 38]])</f>
        <v>0</v>
      </c>
    </row>
    <row r="377" spans="1:81">
      <c r="A377" s="291" t="s">
        <v>1505</v>
      </c>
      <c r="B377" s="291" t="s">
        <v>30</v>
      </c>
      <c r="C377" s="286"/>
      <c r="D377" s="286"/>
      <c r="E377" s="288"/>
      <c r="F377" s="286"/>
      <c r="G377" s="288"/>
      <c r="H377" s="286"/>
      <c r="I377" s="288"/>
      <c r="J377" s="286"/>
      <c r="K377" s="288"/>
      <c r="L377" s="286"/>
      <c r="M377" s="288"/>
      <c r="N377" s="286"/>
      <c r="O377" s="288"/>
      <c r="P377" s="286"/>
      <c r="Q377" s="288"/>
      <c r="R377" s="286"/>
      <c r="S377" s="288"/>
      <c r="T377" s="286"/>
      <c r="U377" s="288"/>
      <c r="V377" s="286"/>
      <c r="W377" s="288"/>
      <c r="X377" s="286"/>
      <c r="Y377" s="288"/>
      <c r="Z377" s="286"/>
      <c r="AA377" s="288"/>
      <c r="AB377" s="286"/>
      <c r="AC377" s="288"/>
      <c r="AD377" s="286"/>
      <c r="AE377" s="288"/>
      <c r="AF377" s="286"/>
      <c r="AG377" s="288"/>
      <c r="AH377" s="286"/>
      <c r="AI377" s="288"/>
      <c r="AJ377" s="286"/>
      <c r="AK377" s="286"/>
      <c r="AL377" s="286"/>
      <c r="AM377" s="286"/>
      <c r="AN377" s="286"/>
      <c r="AO377" s="286"/>
      <c r="AP377" s="286"/>
      <c r="AQ377" s="286"/>
      <c r="AR377" s="286"/>
      <c r="AS377" s="286"/>
      <c r="AT377" s="286"/>
      <c r="AU377" s="286"/>
      <c r="AV377" s="284"/>
      <c r="AW377" s="284"/>
      <c r="AX377" s="284"/>
      <c r="AY377" s="284"/>
      <c r="AZ377" s="284"/>
      <c r="BA377" s="284"/>
      <c r="BB377" s="284"/>
      <c r="BC377" s="284"/>
      <c r="BD377" s="284"/>
      <c r="BE377" s="284"/>
      <c r="BF377" s="284"/>
      <c r="BG377" s="284"/>
      <c r="BH377" s="284"/>
      <c r="BI377" s="284"/>
      <c r="BJ377" s="284"/>
      <c r="BK377" s="284"/>
      <c r="BL377" s="284"/>
      <c r="BM377" s="284"/>
      <c r="BN377" s="284"/>
      <c r="BO377" s="284"/>
      <c r="BP377" s="284"/>
      <c r="BQ377" s="284"/>
      <c r="BR377" s="284"/>
      <c r="BS377" s="284"/>
      <c r="BT377" s="284"/>
      <c r="BU377" s="284"/>
      <c r="BV377" s="284"/>
      <c r="BW377" s="284"/>
      <c r="BX377" s="284"/>
      <c r="BY377" s="284"/>
      <c r="BZ377" s="285"/>
      <c r="CA377" s="298">
        <f>SUM(C377,E377,G377,I377,K377,M377,O377,Q377,S377,U377,W377,Y377,AA377,AC377,AE377,AG377,AI377,AK377,AM377,AO377,AQ377,AS377,AU377,AW377,AY377,BA377,BC377,BE377,BG377,BI377,BK377,BM377,BO377,BQ377,BS377,BU377,BW377,BY377)</f>
        <v>0</v>
      </c>
      <c r="CB377" s="298">
        <f>SUM(D377,F377,H377,J377,L377,N377,P377,R377,T377,V377,X377,Z377,AB377,AD377,AF377,AH377,AJ377,AL377,AN377,AP377,AR377,AT377,AV377,AX377,AZ377,BB377,BD377,BF377,BH377,BJ377,BL377,BN377,BP377,BR377,BT377,BV377,BX377,BZ377)</f>
        <v>0</v>
      </c>
      <c r="CC377" s="299">
        <f>SUM(Table13[[#This Row],[GOALS 1]:[ASSISTS 38]])</f>
        <v>0</v>
      </c>
    </row>
    <row r="378" spans="1:81">
      <c r="A378" s="291" t="s">
        <v>1766</v>
      </c>
      <c r="B378" s="291" t="s">
        <v>27</v>
      </c>
      <c r="C378" s="286"/>
      <c r="D378" s="286"/>
      <c r="E378" s="289"/>
      <c r="F378" s="286"/>
      <c r="G378" s="288"/>
      <c r="H378" s="286"/>
      <c r="I378" s="288"/>
      <c r="J378" s="286"/>
      <c r="K378" s="288"/>
      <c r="L378" s="286"/>
      <c r="M378" s="288"/>
      <c r="N378" s="286"/>
      <c r="O378" s="288"/>
      <c r="P378" s="286"/>
      <c r="Q378" s="288"/>
      <c r="R378" s="286"/>
      <c r="S378" s="288"/>
      <c r="T378" s="286"/>
      <c r="U378" s="288"/>
      <c r="V378" s="286"/>
      <c r="W378" s="288"/>
      <c r="X378" s="286"/>
      <c r="Y378" s="288"/>
      <c r="Z378" s="286"/>
      <c r="AA378" s="288"/>
      <c r="AB378" s="286"/>
      <c r="AC378" s="288"/>
      <c r="AD378" s="286"/>
      <c r="AE378" s="288"/>
      <c r="AF378" s="286"/>
      <c r="AG378" s="288"/>
      <c r="AH378" s="286"/>
      <c r="AI378" s="288"/>
      <c r="AJ378" s="286"/>
      <c r="AK378" s="286"/>
      <c r="AL378" s="286"/>
      <c r="AM378" s="286"/>
      <c r="AN378" s="286"/>
      <c r="AO378" s="286"/>
      <c r="AP378" s="286"/>
      <c r="AQ378" s="286"/>
      <c r="AR378" s="286"/>
      <c r="AS378" s="286"/>
      <c r="AT378" s="286"/>
      <c r="AU378" s="286"/>
      <c r="AV378" s="284"/>
      <c r="AW378" s="284"/>
      <c r="AX378" s="284"/>
      <c r="AY378" s="284"/>
      <c r="AZ378" s="284"/>
      <c r="BA378" s="284"/>
      <c r="BB378" s="284"/>
      <c r="BC378" s="284"/>
      <c r="BD378" s="284"/>
      <c r="BE378" s="284"/>
      <c r="BF378" s="284"/>
      <c r="BG378" s="284"/>
      <c r="BH378" s="284"/>
      <c r="BI378" s="284"/>
      <c r="BJ378" s="284"/>
      <c r="BK378" s="284"/>
      <c r="BL378" s="284"/>
      <c r="BM378" s="284"/>
      <c r="BN378" s="284"/>
      <c r="BO378" s="284"/>
      <c r="BP378" s="284"/>
      <c r="BQ378" s="284"/>
      <c r="BR378" s="284"/>
      <c r="BS378" s="284"/>
      <c r="BT378" s="284"/>
      <c r="BU378" s="284"/>
      <c r="BV378" s="284"/>
      <c r="BW378" s="284"/>
      <c r="BX378" s="284"/>
      <c r="BY378" s="284"/>
      <c r="BZ378" s="285"/>
      <c r="CA378" s="298">
        <f>SUM(C378,E378,G378,I378,K378,M378,O378,Q378,S378,U378,W378,Y378,AA378,AC378,AE378,AG378,AI378,AK378,AM378,AO378,AQ378,AS378,AU378,AW378,AY378,BA378,BC378,BE378,BG378,BI378,BK378,BM378,BO378,BQ378,BS378,BU378,BW378,BY378)</f>
        <v>0</v>
      </c>
      <c r="CB378" s="298">
        <f>SUM(D378,F378,H378,J378,L378,N378,P378,R378,T378,V378,X378,Z378,AB378,AD378,AF378,AH378,AJ378,AL378,AN378,AP378,AR378,AT378,AV378,AX378,AZ378,BB378,BD378,BF378,BH378,BJ378,BL378,BN378,BP378,BR378,BT378,BV378,BX378,BZ378)</f>
        <v>0</v>
      </c>
      <c r="CC378" s="299">
        <f>SUM(Table13[[#This Row],[GOALS 1]:[ASSISTS 38]])</f>
        <v>0</v>
      </c>
    </row>
    <row r="379" spans="1:81">
      <c r="A379" s="291" t="s">
        <v>1579</v>
      </c>
      <c r="B379" s="291" t="s">
        <v>17</v>
      </c>
      <c r="C379" s="289"/>
      <c r="D379" s="286"/>
      <c r="E379" s="288"/>
      <c r="F379" s="286"/>
      <c r="G379" s="288"/>
      <c r="H379" s="286"/>
      <c r="I379" s="288"/>
      <c r="J379" s="286"/>
      <c r="K379" s="288"/>
      <c r="L379" s="286"/>
      <c r="M379" s="288"/>
      <c r="N379" s="286"/>
      <c r="O379" s="288"/>
      <c r="P379" s="286"/>
      <c r="Q379" s="288"/>
      <c r="R379" s="286"/>
      <c r="S379" s="288"/>
      <c r="T379" s="286"/>
      <c r="U379" s="288"/>
      <c r="V379" s="286"/>
      <c r="W379" s="288"/>
      <c r="X379" s="286"/>
      <c r="Y379" s="288"/>
      <c r="Z379" s="286"/>
      <c r="AA379" s="288"/>
      <c r="AB379" s="286"/>
      <c r="AC379" s="288"/>
      <c r="AD379" s="286"/>
      <c r="AE379" s="288"/>
      <c r="AF379" s="286"/>
      <c r="AG379" s="288"/>
      <c r="AH379" s="286"/>
      <c r="AI379" s="288"/>
      <c r="AJ379" s="286"/>
      <c r="AK379" s="286"/>
      <c r="AL379" s="286"/>
      <c r="AM379" s="286"/>
      <c r="AN379" s="286"/>
      <c r="AO379" s="286"/>
      <c r="AP379" s="286"/>
      <c r="AQ379" s="286"/>
      <c r="AR379" s="286"/>
      <c r="AS379" s="286"/>
      <c r="AT379" s="286"/>
      <c r="AU379" s="286"/>
      <c r="AV379" s="284"/>
      <c r="AW379" s="284"/>
      <c r="AX379" s="284"/>
      <c r="AY379" s="284"/>
      <c r="AZ379" s="284"/>
      <c r="BA379" s="284"/>
      <c r="BB379" s="284"/>
      <c r="BC379" s="284"/>
      <c r="BD379" s="284"/>
      <c r="BE379" s="284"/>
      <c r="BF379" s="284"/>
      <c r="BG379" s="284"/>
      <c r="BH379" s="284"/>
      <c r="BI379" s="284"/>
      <c r="BJ379" s="284"/>
      <c r="BK379" s="284"/>
      <c r="BL379" s="284"/>
      <c r="BM379" s="284"/>
      <c r="BN379" s="284"/>
      <c r="BO379" s="284"/>
      <c r="BP379" s="284"/>
      <c r="BQ379" s="284"/>
      <c r="BR379" s="284"/>
      <c r="BS379" s="284"/>
      <c r="BT379" s="284"/>
      <c r="BU379" s="284"/>
      <c r="BV379" s="284"/>
      <c r="BW379" s="284"/>
      <c r="BX379" s="284"/>
      <c r="BY379" s="284"/>
      <c r="BZ379" s="285"/>
      <c r="CA379" s="298">
        <f>SUM(C379,E379,G379,I379,K379,M379,O379,Q379,S379,U379,W379,Y379,AA379,AC379,AE379,AG379,AI379,AK379,AM379,AO379,AQ379,AS379,AU379,AW379,AY379,BA379,BC379,BE379,BG379,BI379,BK379,BM379,BO379,BQ379,BS379,BU379,BW379,BY379)</f>
        <v>0</v>
      </c>
      <c r="CB379" s="298">
        <f>SUM(D379,F379,H379,J379,L379,N379,P379,R379,T379,V379,X379,Z379,AB379,AD379,AF379,AH379,AJ379,AL379,AN379,AP379,AR379,AT379,AV379,AX379,AZ379,BB379,BD379,BF379,BH379,BJ379,BL379,BN379,BP379,BR379,BT379,BV379,BX379,BZ379)</f>
        <v>0</v>
      </c>
      <c r="CC379" s="299">
        <f>SUM(Table13[[#This Row],[GOALS 1]:[ASSISTS 38]])</f>
        <v>0</v>
      </c>
    </row>
    <row r="380" spans="1:81">
      <c r="A380" s="291" t="s">
        <v>1847</v>
      </c>
      <c r="B380" s="291" t="s">
        <v>19</v>
      </c>
      <c r="C380" s="286"/>
      <c r="D380" s="286"/>
      <c r="E380" s="288"/>
      <c r="F380" s="286"/>
      <c r="G380" s="288"/>
      <c r="H380" s="286"/>
      <c r="I380" s="288"/>
      <c r="J380" s="286"/>
      <c r="K380" s="288"/>
      <c r="L380" s="286"/>
      <c r="M380" s="288"/>
      <c r="N380" s="286"/>
      <c r="O380" s="288"/>
      <c r="P380" s="286"/>
      <c r="Q380" s="288"/>
      <c r="R380" s="286"/>
      <c r="S380" s="288"/>
      <c r="T380" s="286"/>
      <c r="U380" s="288"/>
      <c r="V380" s="286"/>
      <c r="W380" s="288"/>
      <c r="X380" s="286"/>
      <c r="Y380" s="288"/>
      <c r="Z380" s="286"/>
      <c r="AA380" s="288"/>
      <c r="AB380" s="286"/>
      <c r="AC380" s="288"/>
      <c r="AD380" s="286"/>
      <c r="AE380" s="288"/>
      <c r="AF380" s="286"/>
      <c r="AG380" s="288"/>
      <c r="AH380" s="286"/>
      <c r="AI380" s="288"/>
      <c r="AJ380" s="286"/>
      <c r="AK380" s="286"/>
      <c r="AL380" s="286"/>
      <c r="AM380" s="286"/>
      <c r="AN380" s="286"/>
      <c r="AO380" s="286"/>
      <c r="AP380" s="286"/>
      <c r="AQ380" s="286"/>
      <c r="AR380" s="286"/>
      <c r="AS380" s="286"/>
      <c r="AT380" s="286"/>
      <c r="AU380" s="286"/>
      <c r="AV380" s="284"/>
      <c r="AW380" s="284"/>
      <c r="AX380" s="284"/>
      <c r="AY380" s="284"/>
      <c r="AZ380" s="284"/>
      <c r="BA380" s="284"/>
      <c r="BB380" s="284"/>
      <c r="BC380" s="284"/>
      <c r="BD380" s="284"/>
      <c r="BE380" s="284"/>
      <c r="BF380" s="284"/>
      <c r="BG380" s="284"/>
      <c r="BH380" s="284"/>
      <c r="BI380" s="284"/>
      <c r="BJ380" s="284"/>
      <c r="BK380" s="284"/>
      <c r="BL380" s="284"/>
      <c r="BM380" s="284"/>
      <c r="BN380" s="284"/>
      <c r="BO380" s="284"/>
      <c r="BP380" s="284"/>
      <c r="BQ380" s="284"/>
      <c r="BR380" s="284"/>
      <c r="BS380" s="284"/>
      <c r="BT380" s="284"/>
      <c r="BU380" s="284"/>
      <c r="BV380" s="284"/>
      <c r="BW380" s="284"/>
      <c r="BX380" s="284"/>
      <c r="BY380" s="284"/>
      <c r="BZ380" s="285"/>
      <c r="CA380" s="298">
        <f>SUM(C380,E380,G380,I380,K380,M380,O380,Q380,S380,U380,W380,Y380,AA380,AC380,AE380,AG380,AI380,AK380,AM380,AO380,AQ380,AS380,AU380,AW380,AY380,BA380,BC380,BE380,BG380,BI380,BK380,BM380,BO380,BQ380,BS380,BU380,BW380,BY380)</f>
        <v>0</v>
      </c>
      <c r="CB380" s="298">
        <f>SUM(D380,F380,H380,J380,L380,N380,P380,R380,T380,V380,X380,Z380,AB380,AD380,AF380,AH380,AJ380,AL380,AN380,AP380,AR380,AT380,AV380,AX380,AZ380,BB380,BD380,BF380,BH380,BJ380,BL380,BN380,BP380,BR380,BT380,BV380,BX380,BZ380)</f>
        <v>0</v>
      </c>
      <c r="CC380" s="299">
        <f>SUM(Table13[[#This Row],[GOALS 1]:[ASSISTS 38]])</f>
        <v>0</v>
      </c>
    </row>
    <row r="381" spans="1:81">
      <c r="A381" s="291" t="s">
        <v>1696</v>
      </c>
      <c r="B381" s="291" t="s">
        <v>21</v>
      </c>
      <c r="C381" s="289"/>
      <c r="D381" s="286"/>
      <c r="E381" s="288"/>
      <c r="F381" s="286"/>
      <c r="G381" s="288"/>
      <c r="H381" s="286"/>
      <c r="I381" s="288"/>
      <c r="J381" s="286"/>
      <c r="K381" s="288"/>
      <c r="L381" s="286"/>
      <c r="M381" s="288"/>
      <c r="N381" s="286"/>
      <c r="O381" s="288"/>
      <c r="P381" s="286"/>
      <c r="Q381" s="288"/>
      <c r="R381" s="286"/>
      <c r="S381" s="288"/>
      <c r="T381" s="286"/>
      <c r="U381" s="288"/>
      <c r="V381" s="286"/>
      <c r="W381" s="288"/>
      <c r="X381" s="286"/>
      <c r="Y381" s="288"/>
      <c r="Z381" s="286"/>
      <c r="AA381" s="288"/>
      <c r="AB381" s="286"/>
      <c r="AC381" s="288"/>
      <c r="AD381" s="286"/>
      <c r="AE381" s="288"/>
      <c r="AF381" s="286"/>
      <c r="AG381" s="288"/>
      <c r="AH381" s="286"/>
      <c r="AI381" s="288"/>
      <c r="AJ381" s="286"/>
      <c r="AK381" s="286"/>
      <c r="AL381" s="286"/>
      <c r="AM381" s="286"/>
      <c r="AN381" s="286"/>
      <c r="AO381" s="286"/>
      <c r="AP381" s="286"/>
      <c r="AQ381" s="286"/>
      <c r="AR381" s="286"/>
      <c r="AS381" s="286"/>
      <c r="AT381" s="286"/>
      <c r="AU381" s="286"/>
      <c r="AV381" s="284"/>
      <c r="AW381" s="284"/>
      <c r="AX381" s="284"/>
      <c r="AY381" s="284"/>
      <c r="AZ381" s="284"/>
      <c r="BA381" s="284"/>
      <c r="BB381" s="284"/>
      <c r="BC381" s="284"/>
      <c r="BD381" s="284"/>
      <c r="BE381" s="284"/>
      <c r="BF381" s="284"/>
      <c r="BG381" s="284"/>
      <c r="BH381" s="284"/>
      <c r="BI381" s="284"/>
      <c r="BJ381" s="284"/>
      <c r="BK381" s="284"/>
      <c r="BL381" s="284"/>
      <c r="BM381" s="284"/>
      <c r="BN381" s="284"/>
      <c r="BO381" s="284"/>
      <c r="BP381" s="284"/>
      <c r="BQ381" s="284"/>
      <c r="BR381" s="284"/>
      <c r="BS381" s="284"/>
      <c r="BT381" s="284"/>
      <c r="BU381" s="284"/>
      <c r="BV381" s="284"/>
      <c r="BW381" s="284"/>
      <c r="BX381" s="284"/>
      <c r="BY381" s="284"/>
      <c r="BZ381" s="285"/>
      <c r="CA381" s="298">
        <f>SUM(C381,E381,G381,I381,K381,M381,O381,Q381,S381,U381,W381,Y381,AA381,AC381,AE381,AG381,AI381,AK381,AM381,AO381,AQ381,AS381,AU381,AW381,AY381,BA381,BC381,BE381,BG381,BI381,BK381,BM381,BO381,BQ381,BS381,BU381,BW381,BY381)</f>
        <v>0</v>
      </c>
      <c r="CB381" s="298">
        <f>SUM(D381,F381,H381,J381,L381,N381,P381,R381,T381,V381,X381,Z381,AB381,AD381,AF381,AH381,AJ381,AL381,AN381,AP381,AR381,AT381,AV381,AX381,AZ381,BB381,BD381,BF381,BH381,BJ381,BL381,BN381,BP381,BR381,BT381,BV381,BX381,BZ381)</f>
        <v>0</v>
      </c>
      <c r="CC381" s="299">
        <f>SUM(Table13[[#This Row],[GOALS 1]:[ASSISTS 38]])</f>
        <v>0</v>
      </c>
    </row>
    <row r="382" spans="1:81">
      <c r="A382" s="291" t="s">
        <v>1829</v>
      </c>
      <c r="B382" s="291" t="s">
        <v>27</v>
      </c>
      <c r="C382" s="286"/>
      <c r="D382" s="286"/>
      <c r="E382" s="289"/>
      <c r="F382" s="286"/>
      <c r="G382" s="288"/>
      <c r="H382" s="286"/>
      <c r="I382" s="288"/>
      <c r="J382" s="286"/>
      <c r="K382" s="288"/>
      <c r="L382" s="286"/>
      <c r="M382" s="288"/>
      <c r="N382" s="286"/>
      <c r="O382" s="288"/>
      <c r="P382" s="286"/>
      <c r="Q382" s="288"/>
      <c r="R382" s="286"/>
      <c r="S382" s="288"/>
      <c r="T382" s="286"/>
      <c r="U382" s="288"/>
      <c r="V382" s="286"/>
      <c r="W382" s="288"/>
      <c r="X382" s="286"/>
      <c r="Y382" s="288"/>
      <c r="Z382" s="286"/>
      <c r="AA382" s="288"/>
      <c r="AB382" s="286"/>
      <c r="AC382" s="288"/>
      <c r="AD382" s="286"/>
      <c r="AE382" s="288"/>
      <c r="AF382" s="286"/>
      <c r="AG382" s="288"/>
      <c r="AH382" s="286"/>
      <c r="AI382" s="288"/>
      <c r="AJ382" s="286"/>
      <c r="AK382" s="286"/>
      <c r="AL382" s="286"/>
      <c r="AM382" s="286"/>
      <c r="AN382" s="286"/>
      <c r="AO382" s="286"/>
      <c r="AP382" s="286"/>
      <c r="AQ382" s="286"/>
      <c r="AR382" s="286"/>
      <c r="AS382" s="286"/>
      <c r="AT382" s="286"/>
      <c r="AU382" s="286"/>
      <c r="AV382" s="284"/>
      <c r="AW382" s="284"/>
      <c r="AX382" s="284"/>
      <c r="AY382" s="284"/>
      <c r="AZ382" s="284"/>
      <c r="BA382" s="284"/>
      <c r="BB382" s="284"/>
      <c r="BC382" s="284"/>
      <c r="BD382" s="284"/>
      <c r="BE382" s="284"/>
      <c r="BF382" s="284"/>
      <c r="BG382" s="284"/>
      <c r="BH382" s="284"/>
      <c r="BI382" s="284"/>
      <c r="BJ382" s="284"/>
      <c r="BK382" s="284"/>
      <c r="BL382" s="284"/>
      <c r="BM382" s="284"/>
      <c r="BN382" s="284"/>
      <c r="BO382" s="284"/>
      <c r="BP382" s="284"/>
      <c r="BQ382" s="284"/>
      <c r="BR382" s="284"/>
      <c r="BS382" s="284"/>
      <c r="BT382" s="284"/>
      <c r="BU382" s="284"/>
      <c r="BV382" s="284"/>
      <c r="BW382" s="284"/>
      <c r="BX382" s="284"/>
      <c r="BY382" s="284"/>
      <c r="BZ382" s="285"/>
      <c r="CA382" s="298">
        <f>SUM(C382,E382,G382,I382,K382,M382,O382,Q382,S382,U382,W382,Y382,AA382,AC382,AE382,AG382,AI382,AK382,AM382,AO382,AQ382,AS382,AU382,AW382,AY382,BA382,BC382,BE382,BG382,BI382,BK382,BM382,BO382,BQ382,BS382,BU382,BW382,BY382)</f>
        <v>0</v>
      </c>
      <c r="CB382" s="298">
        <f>SUM(D382,F382,H382,J382,L382,N382,P382,R382,T382,V382,X382,Z382,AB382,AD382,AF382,AH382,AJ382,AL382,AN382,AP382,AR382,AT382,AV382,AX382,AZ382,BB382,BD382,BF382,BH382,BJ382,BL382,BN382,BP382,BR382,BT382,BV382,BX382,BZ382)</f>
        <v>0</v>
      </c>
      <c r="CC382" s="299">
        <f>SUM(Table13[[#This Row],[GOALS 1]:[ASSISTS 38]])</f>
        <v>0</v>
      </c>
    </row>
    <row r="383" spans="1:81">
      <c r="A383" s="291" t="s">
        <v>1631</v>
      </c>
      <c r="B383" s="291" t="s">
        <v>22</v>
      </c>
      <c r="C383" s="286"/>
      <c r="D383" s="286"/>
      <c r="E383" s="288"/>
      <c r="F383" s="286"/>
      <c r="G383" s="288"/>
      <c r="H383" s="286"/>
      <c r="I383" s="288"/>
      <c r="J383" s="286"/>
      <c r="K383" s="288"/>
      <c r="L383" s="286"/>
      <c r="M383" s="288"/>
      <c r="N383" s="286"/>
      <c r="O383" s="288"/>
      <c r="P383" s="286"/>
      <c r="Q383" s="288"/>
      <c r="R383" s="286"/>
      <c r="S383" s="288"/>
      <c r="T383" s="286"/>
      <c r="U383" s="288"/>
      <c r="V383" s="286"/>
      <c r="W383" s="288"/>
      <c r="X383" s="286"/>
      <c r="Y383" s="288"/>
      <c r="Z383" s="286"/>
      <c r="AA383" s="288"/>
      <c r="AB383" s="286"/>
      <c r="AC383" s="288"/>
      <c r="AD383" s="286"/>
      <c r="AE383" s="288"/>
      <c r="AF383" s="286"/>
      <c r="AG383" s="288"/>
      <c r="AH383" s="286"/>
      <c r="AI383" s="288"/>
      <c r="AJ383" s="286"/>
      <c r="AK383" s="286"/>
      <c r="AL383" s="286"/>
      <c r="AM383" s="286"/>
      <c r="AN383" s="286"/>
      <c r="AO383" s="286"/>
      <c r="AP383" s="286"/>
      <c r="AQ383" s="286"/>
      <c r="AR383" s="286"/>
      <c r="AS383" s="286"/>
      <c r="AT383" s="286"/>
      <c r="AU383" s="286"/>
      <c r="AV383" s="284"/>
      <c r="AW383" s="284"/>
      <c r="AX383" s="284"/>
      <c r="AY383" s="284"/>
      <c r="AZ383" s="284"/>
      <c r="BA383" s="284"/>
      <c r="BB383" s="284"/>
      <c r="BC383" s="284"/>
      <c r="BD383" s="284"/>
      <c r="BE383" s="284"/>
      <c r="BF383" s="284"/>
      <c r="BG383" s="284"/>
      <c r="BH383" s="284"/>
      <c r="BI383" s="284"/>
      <c r="BJ383" s="284"/>
      <c r="BK383" s="284"/>
      <c r="BL383" s="284"/>
      <c r="BM383" s="284"/>
      <c r="BN383" s="284"/>
      <c r="BO383" s="284"/>
      <c r="BP383" s="284"/>
      <c r="BQ383" s="284"/>
      <c r="BR383" s="284"/>
      <c r="BS383" s="284"/>
      <c r="BT383" s="284"/>
      <c r="BU383" s="284"/>
      <c r="BV383" s="284"/>
      <c r="BW383" s="284"/>
      <c r="BX383" s="284"/>
      <c r="BY383" s="284"/>
      <c r="BZ383" s="285"/>
      <c r="CA383" s="298">
        <f>SUM(C383,E383,G383,I383,K383,M383,O383,Q383,S383,U383,W383,Y383,AA383,AC383,AE383,AG383,AI383,AK383,AM383,AO383,AQ383,AS383,AU383,AW383,AY383,BA383,BC383,BE383,BG383,BI383,BK383,BM383,BO383,BQ383,BS383,BU383,BW383,BY383)</f>
        <v>0</v>
      </c>
      <c r="CB383" s="298">
        <f>SUM(D383,F383,H383,J383,L383,N383,P383,R383,T383,V383,X383,Z383,AB383,AD383,AF383,AH383,AJ383,AL383,AN383,AP383,AR383,AT383,AV383,AX383,AZ383,BB383,BD383,BF383,BH383,BJ383,BL383,BN383,BP383,BR383,BT383,BV383,BX383,BZ383)</f>
        <v>0</v>
      </c>
      <c r="CC383" s="299">
        <f>SUM(Table13[[#This Row],[GOALS 1]:[ASSISTS 38]])</f>
        <v>0</v>
      </c>
    </row>
    <row r="384" spans="1:81">
      <c r="A384" s="291" t="s">
        <v>1664</v>
      </c>
      <c r="B384" s="291" t="s">
        <v>27</v>
      </c>
      <c r="C384" s="286"/>
      <c r="D384" s="286"/>
      <c r="E384" s="289"/>
      <c r="F384" s="286"/>
      <c r="G384" s="288"/>
      <c r="H384" s="286"/>
      <c r="I384" s="288"/>
      <c r="J384" s="286"/>
      <c r="K384" s="288"/>
      <c r="L384" s="286"/>
      <c r="M384" s="288"/>
      <c r="N384" s="286"/>
      <c r="O384" s="288"/>
      <c r="P384" s="286"/>
      <c r="Q384" s="288"/>
      <c r="R384" s="286"/>
      <c r="S384" s="288"/>
      <c r="T384" s="286"/>
      <c r="U384" s="288"/>
      <c r="V384" s="286"/>
      <c r="W384" s="288"/>
      <c r="X384" s="286"/>
      <c r="Y384" s="288"/>
      <c r="Z384" s="286"/>
      <c r="AA384" s="288"/>
      <c r="AB384" s="286"/>
      <c r="AC384" s="288"/>
      <c r="AD384" s="286"/>
      <c r="AE384" s="288"/>
      <c r="AF384" s="286"/>
      <c r="AG384" s="288"/>
      <c r="AH384" s="286"/>
      <c r="AI384" s="288"/>
      <c r="AJ384" s="286"/>
      <c r="AK384" s="286"/>
      <c r="AL384" s="286"/>
      <c r="AM384" s="286"/>
      <c r="AN384" s="286"/>
      <c r="AO384" s="286"/>
      <c r="AP384" s="286"/>
      <c r="AQ384" s="286"/>
      <c r="AR384" s="286"/>
      <c r="AS384" s="286"/>
      <c r="AT384" s="286"/>
      <c r="AU384" s="286"/>
      <c r="AV384" s="284"/>
      <c r="AW384" s="284"/>
      <c r="AX384" s="284"/>
      <c r="AY384" s="284"/>
      <c r="AZ384" s="284"/>
      <c r="BA384" s="284"/>
      <c r="BB384" s="284"/>
      <c r="BC384" s="284"/>
      <c r="BD384" s="284"/>
      <c r="BE384" s="284"/>
      <c r="BF384" s="284"/>
      <c r="BG384" s="284"/>
      <c r="BH384" s="284"/>
      <c r="BI384" s="284"/>
      <c r="BJ384" s="284"/>
      <c r="BK384" s="284"/>
      <c r="BL384" s="284"/>
      <c r="BM384" s="284"/>
      <c r="BN384" s="284"/>
      <c r="BO384" s="284"/>
      <c r="BP384" s="284"/>
      <c r="BQ384" s="284"/>
      <c r="BR384" s="284"/>
      <c r="BS384" s="284"/>
      <c r="BT384" s="284"/>
      <c r="BU384" s="284"/>
      <c r="BV384" s="284"/>
      <c r="BW384" s="284"/>
      <c r="BX384" s="284"/>
      <c r="BY384" s="284"/>
      <c r="BZ384" s="285"/>
      <c r="CA384" s="298">
        <f>SUM(C384,E384,G384,I384,K384,M384,O384,Q384,S384,U384,W384,Y384,AA384,AC384,AE384,AG384,AI384,AK384,AM384,AO384,AQ384,AS384,AU384,AW384,AY384,BA384,BC384,BE384,BG384,BI384,BK384,BM384,BO384,BQ384,BS384,BU384,BW384,BY384)</f>
        <v>0</v>
      </c>
      <c r="CB384" s="298">
        <f>SUM(D384,F384,H384,J384,L384,N384,P384,R384,T384,V384,X384,Z384,AB384,AD384,AF384,AH384,AJ384,AL384,AN384,AP384,AR384,AT384,AV384,AX384,AZ384,BB384,BD384,BF384,BH384,BJ384,BL384,BN384,BP384,BR384,BT384,BV384,BX384,BZ384)</f>
        <v>0</v>
      </c>
      <c r="CC384" s="299">
        <f>SUM(Table13[[#This Row],[GOALS 1]:[ASSISTS 38]])</f>
        <v>0</v>
      </c>
    </row>
    <row r="385" spans="1:81">
      <c r="A385" s="291" t="s">
        <v>1830</v>
      </c>
      <c r="B385" s="291" t="s">
        <v>28</v>
      </c>
      <c r="C385" s="286"/>
      <c r="D385" s="286"/>
      <c r="E385" s="288"/>
      <c r="F385" s="286"/>
      <c r="G385" s="288"/>
      <c r="H385" s="286"/>
      <c r="I385" s="288"/>
      <c r="J385" s="286"/>
      <c r="K385" s="288"/>
      <c r="L385" s="286"/>
      <c r="M385" s="288"/>
      <c r="N385" s="286"/>
      <c r="O385" s="288"/>
      <c r="P385" s="286"/>
      <c r="Q385" s="288"/>
      <c r="R385" s="286"/>
      <c r="S385" s="288"/>
      <c r="T385" s="286"/>
      <c r="U385" s="288"/>
      <c r="V385" s="286"/>
      <c r="W385" s="288"/>
      <c r="X385" s="286"/>
      <c r="Y385" s="288"/>
      <c r="Z385" s="286"/>
      <c r="AA385" s="288"/>
      <c r="AB385" s="286"/>
      <c r="AC385" s="288"/>
      <c r="AD385" s="286"/>
      <c r="AE385" s="288"/>
      <c r="AF385" s="286"/>
      <c r="AG385" s="288"/>
      <c r="AH385" s="286"/>
      <c r="AI385" s="288"/>
      <c r="AJ385" s="286"/>
      <c r="AK385" s="286"/>
      <c r="AL385" s="286"/>
      <c r="AM385" s="286"/>
      <c r="AN385" s="286"/>
      <c r="AO385" s="286"/>
      <c r="AP385" s="286"/>
      <c r="AQ385" s="286"/>
      <c r="AR385" s="286"/>
      <c r="AS385" s="286"/>
      <c r="AT385" s="286"/>
      <c r="AU385" s="286"/>
      <c r="AV385" s="284"/>
      <c r="AW385" s="284"/>
      <c r="AX385" s="284"/>
      <c r="AY385" s="284"/>
      <c r="AZ385" s="284"/>
      <c r="BA385" s="284"/>
      <c r="BB385" s="284"/>
      <c r="BC385" s="284"/>
      <c r="BD385" s="284"/>
      <c r="BE385" s="284"/>
      <c r="BF385" s="284"/>
      <c r="BG385" s="284"/>
      <c r="BH385" s="284"/>
      <c r="BI385" s="284"/>
      <c r="BJ385" s="284"/>
      <c r="BK385" s="284"/>
      <c r="BL385" s="284"/>
      <c r="BM385" s="284"/>
      <c r="BN385" s="284"/>
      <c r="BO385" s="284"/>
      <c r="BP385" s="284"/>
      <c r="BQ385" s="284"/>
      <c r="BR385" s="284"/>
      <c r="BS385" s="284"/>
      <c r="BT385" s="284"/>
      <c r="BU385" s="284"/>
      <c r="BV385" s="284"/>
      <c r="BW385" s="284"/>
      <c r="BX385" s="284"/>
      <c r="BY385" s="284"/>
      <c r="BZ385" s="285"/>
      <c r="CA385" s="298">
        <f>SUM(C385,E385,G385,I385,K385,M385,O385,Q385,S385,U385,W385,Y385,AA385,AC385,AE385,AG385,AI385,AK385,AM385,AO385,AQ385,AS385,AU385,AW385,AY385,BA385,BC385,BE385,BG385,BI385,BK385,BM385,BO385,BQ385,BS385,BU385,BW385,BY385)</f>
        <v>0</v>
      </c>
      <c r="CB385" s="298">
        <f>SUM(D385,F385,H385,J385,L385,N385,P385,R385,T385,V385,X385,Z385,AB385,AD385,AF385,AH385,AJ385,AL385,AN385,AP385,AR385,AT385,AV385,AX385,AZ385,BB385,BD385,BF385,BH385,BJ385,BL385,BN385,BP385,BR385,BT385,BV385,BX385,BZ385)</f>
        <v>0</v>
      </c>
      <c r="CC385" s="299">
        <f>SUM(Table13[[#This Row],[GOALS 1]:[ASSISTS 38]])</f>
        <v>0</v>
      </c>
    </row>
    <row r="386" spans="1:81">
      <c r="A386" s="291" t="s">
        <v>1575</v>
      </c>
      <c r="B386" s="291" t="s">
        <v>633</v>
      </c>
      <c r="C386" s="289"/>
      <c r="D386" s="286"/>
      <c r="E386" s="288"/>
      <c r="F386" s="286"/>
      <c r="G386" s="288"/>
      <c r="H386" s="286"/>
      <c r="I386" s="288"/>
      <c r="J386" s="286"/>
      <c r="K386" s="288"/>
      <c r="L386" s="286"/>
      <c r="M386" s="288"/>
      <c r="N386" s="286"/>
      <c r="O386" s="288"/>
      <c r="P386" s="286"/>
      <c r="Q386" s="288"/>
      <c r="R386" s="286"/>
      <c r="S386" s="288"/>
      <c r="T386" s="286"/>
      <c r="U386" s="288"/>
      <c r="V386" s="286"/>
      <c r="W386" s="288"/>
      <c r="X386" s="286"/>
      <c r="Y386" s="288"/>
      <c r="Z386" s="286"/>
      <c r="AA386" s="288"/>
      <c r="AB386" s="286"/>
      <c r="AC386" s="288"/>
      <c r="AD386" s="286"/>
      <c r="AE386" s="288"/>
      <c r="AF386" s="286"/>
      <c r="AG386" s="288"/>
      <c r="AH386" s="286"/>
      <c r="AI386" s="288"/>
      <c r="AJ386" s="286"/>
      <c r="AK386" s="286"/>
      <c r="AL386" s="286"/>
      <c r="AM386" s="286"/>
      <c r="AN386" s="286"/>
      <c r="AO386" s="286"/>
      <c r="AP386" s="286"/>
      <c r="AQ386" s="286"/>
      <c r="AR386" s="286"/>
      <c r="AS386" s="286"/>
      <c r="AT386" s="286"/>
      <c r="AU386" s="286"/>
      <c r="AV386" s="284"/>
      <c r="AW386" s="284"/>
      <c r="AX386" s="284"/>
      <c r="AY386" s="284"/>
      <c r="AZ386" s="284"/>
      <c r="BA386" s="284"/>
      <c r="BB386" s="284"/>
      <c r="BC386" s="284"/>
      <c r="BD386" s="284"/>
      <c r="BE386" s="284"/>
      <c r="BF386" s="284"/>
      <c r="BG386" s="284"/>
      <c r="BH386" s="284"/>
      <c r="BI386" s="284"/>
      <c r="BJ386" s="284"/>
      <c r="BK386" s="284"/>
      <c r="BL386" s="284"/>
      <c r="BM386" s="284"/>
      <c r="BN386" s="284"/>
      <c r="BO386" s="284"/>
      <c r="BP386" s="284"/>
      <c r="BQ386" s="284"/>
      <c r="BR386" s="284"/>
      <c r="BS386" s="284"/>
      <c r="BT386" s="284"/>
      <c r="BU386" s="284"/>
      <c r="BV386" s="284"/>
      <c r="BW386" s="284"/>
      <c r="BX386" s="284"/>
      <c r="BY386" s="284"/>
      <c r="BZ386" s="285"/>
      <c r="CA386" s="298">
        <f>SUM(C386,E386,G386,I386,K386,M386,O386,Q386,S386,U386,W386,Y386,AA386,AC386,AE386,AG386,AI386,AK386,AM386,AO386,AQ386,AS386,AU386,AW386,AY386,BA386,BC386,BE386,BG386,BI386,BK386,BM386,BO386,BQ386,BS386,BU386,BW386,BY386)</f>
        <v>0</v>
      </c>
      <c r="CB386" s="298">
        <f>SUM(D386,F386,H386,J386,L386,N386,P386,R386,T386,V386,X386,Z386,AB386,AD386,AF386,AH386,AJ386,AL386,AN386,AP386,AR386,AT386,AV386,AX386,AZ386,BB386,BD386,BF386,BH386,BJ386,BL386,BN386,BP386,BR386,BT386,BV386,BX386,BZ386)</f>
        <v>0</v>
      </c>
      <c r="CC386" s="299">
        <f>SUM(Table13[[#This Row],[GOALS 1]:[ASSISTS 38]])</f>
        <v>0</v>
      </c>
    </row>
    <row r="387" spans="1:81">
      <c r="A387" s="291" t="s">
        <v>1310</v>
      </c>
      <c r="B387" s="291" t="s">
        <v>20</v>
      </c>
      <c r="C387" s="289"/>
      <c r="D387" s="286"/>
      <c r="E387" s="288"/>
      <c r="F387" s="286"/>
      <c r="G387" s="288"/>
      <c r="H387" s="286"/>
      <c r="I387" s="288"/>
      <c r="J387" s="286"/>
      <c r="K387" s="288"/>
      <c r="L387" s="286"/>
      <c r="M387" s="288"/>
      <c r="N387" s="286"/>
      <c r="O387" s="288"/>
      <c r="P387" s="286"/>
      <c r="Q387" s="288"/>
      <c r="R387" s="286"/>
      <c r="S387" s="288"/>
      <c r="T387" s="286"/>
      <c r="U387" s="288"/>
      <c r="V387" s="286"/>
      <c r="W387" s="288"/>
      <c r="X387" s="286"/>
      <c r="Y387" s="288"/>
      <c r="Z387" s="286"/>
      <c r="AA387" s="288"/>
      <c r="AB387" s="286"/>
      <c r="AC387" s="288"/>
      <c r="AD387" s="286"/>
      <c r="AE387" s="288"/>
      <c r="AF387" s="286"/>
      <c r="AG387" s="288"/>
      <c r="AH387" s="286"/>
      <c r="AI387" s="288"/>
      <c r="AJ387" s="286"/>
      <c r="AK387" s="286"/>
      <c r="AL387" s="286"/>
      <c r="AM387" s="286"/>
      <c r="AN387" s="286"/>
      <c r="AO387" s="286"/>
      <c r="AP387" s="286"/>
      <c r="AQ387" s="286"/>
      <c r="AR387" s="286"/>
      <c r="AS387" s="286"/>
      <c r="AT387" s="286"/>
      <c r="AU387" s="286"/>
      <c r="AV387" s="284"/>
      <c r="AW387" s="284"/>
      <c r="AX387" s="284"/>
      <c r="AY387" s="284"/>
      <c r="AZ387" s="284"/>
      <c r="BA387" s="284"/>
      <c r="BB387" s="284"/>
      <c r="BC387" s="284"/>
      <c r="BD387" s="284"/>
      <c r="BE387" s="284"/>
      <c r="BF387" s="284"/>
      <c r="BG387" s="284"/>
      <c r="BH387" s="284"/>
      <c r="BI387" s="284"/>
      <c r="BJ387" s="284"/>
      <c r="BK387" s="284"/>
      <c r="BL387" s="284"/>
      <c r="BM387" s="284"/>
      <c r="BN387" s="284"/>
      <c r="BO387" s="284"/>
      <c r="BP387" s="284"/>
      <c r="BQ387" s="284"/>
      <c r="BR387" s="284"/>
      <c r="BS387" s="284"/>
      <c r="BT387" s="284"/>
      <c r="BU387" s="284"/>
      <c r="BV387" s="284"/>
      <c r="BW387" s="284"/>
      <c r="BX387" s="284"/>
      <c r="BY387" s="284"/>
      <c r="BZ387" s="285"/>
      <c r="CA387" s="298">
        <f>SUM(C387,E387,G387,I387,K387,M387,O387,Q387,S387,U387,W387,Y387,AA387,AC387,AE387,AG387,AI387,AK387,AM387,AO387,AQ387,AS387,AU387,AW387,AY387,BA387,BC387,BE387,BG387,BI387,BK387,BM387,BO387,BQ387,BS387,BU387,BW387,BY387)</f>
        <v>0</v>
      </c>
      <c r="CB387" s="298">
        <f>SUM(D387,F387,H387,J387,L387,N387,P387,R387,T387,V387,X387,Z387,AB387,AD387,AF387,AH387,AJ387,AL387,AN387,AP387,AR387,AT387,AV387,AX387,AZ387,BB387,BD387,BF387,BH387,BJ387,BL387,BN387,BP387,BR387,BT387,BV387,BX387,BZ387)</f>
        <v>0</v>
      </c>
      <c r="CC387" s="299">
        <f>SUM(Table13[[#This Row],[GOALS 1]:[ASSISTS 38]])</f>
        <v>0</v>
      </c>
    </row>
    <row r="388" spans="1:81">
      <c r="A388" s="291" t="s">
        <v>1894</v>
      </c>
      <c r="B388" s="291" t="s">
        <v>634</v>
      </c>
      <c r="C388" s="288"/>
      <c r="D388" s="286"/>
      <c r="E388" s="288"/>
      <c r="F388" s="286"/>
      <c r="G388" s="288"/>
      <c r="H388" s="286"/>
      <c r="I388" s="288"/>
      <c r="J388" s="286"/>
      <c r="K388" s="288"/>
      <c r="L388" s="286"/>
      <c r="M388" s="288"/>
      <c r="N388" s="286"/>
      <c r="O388" s="288"/>
      <c r="P388" s="286"/>
      <c r="Q388" s="288"/>
      <c r="R388" s="286"/>
      <c r="S388" s="288"/>
      <c r="T388" s="286"/>
      <c r="U388" s="288"/>
      <c r="V388" s="286"/>
      <c r="W388" s="288"/>
      <c r="X388" s="286"/>
      <c r="Y388" s="288"/>
      <c r="Z388" s="286"/>
      <c r="AA388" s="288"/>
      <c r="AB388" s="286"/>
      <c r="AC388" s="288"/>
      <c r="AD388" s="286"/>
      <c r="AE388" s="288"/>
      <c r="AF388" s="286"/>
      <c r="AG388" s="288"/>
      <c r="AH388" s="286"/>
      <c r="AI388" s="288"/>
      <c r="AJ388" s="286"/>
      <c r="AK388" s="286"/>
      <c r="AL388" s="286"/>
      <c r="AM388" s="286"/>
      <c r="AN388" s="286"/>
      <c r="AO388" s="286"/>
      <c r="AP388" s="286"/>
      <c r="AQ388" s="286"/>
      <c r="AR388" s="286"/>
      <c r="AS388" s="286"/>
      <c r="AT388" s="286"/>
      <c r="AU388" s="286"/>
      <c r="AV388" s="284"/>
      <c r="AW388" s="284"/>
      <c r="AX388" s="284"/>
      <c r="AY388" s="284"/>
      <c r="AZ388" s="284"/>
      <c r="BA388" s="284"/>
      <c r="BB388" s="284"/>
      <c r="BC388" s="284"/>
      <c r="BD388" s="284"/>
      <c r="BE388" s="284"/>
      <c r="BF388" s="284"/>
      <c r="BG388" s="284"/>
      <c r="BH388" s="284"/>
      <c r="BI388" s="284"/>
      <c r="BJ388" s="284"/>
      <c r="BK388" s="284"/>
      <c r="BL388" s="284"/>
      <c r="BM388" s="284"/>
      <c r="BN388" s="284"/>
      <c r="BO388" s="284"/>
      <c r="BP388" s="284"/>
      <c r="BQ388" s="284"/>
      <c r="BR388" s="284"/>
      <c r="BS388" s="284"/>
      <c r="BT388" s="284"/>
      <c r="BU388" s="284"/>
      <c r="BV388" s="284"/>
      <c r="BW388" s="284"/>
      <c r="BX388" s="284"/>
      <c r="BY388" s="284"/>
      <c r="BZ388" s="285"/>
      <c r="CA388" s="298">
        <f>SUM(C388,E388,G388,I388,K388,M388,O388,Q388,S388,U388,W388,Y388,AA388,AC388,AE388,AG388,AI388,AK388,AM388,AO388,AQ388,AS388,AU388,AW388,AY388,BA388,BC388,BE388,BG388,BI388,BK388,BM388,BO388,BQ388,BS388,BU388,BW388,BY388)</f>
        <v>0</v>
      </c>
      <c r="CB388" s="298">
        <f>SUM(D388,F388,H388,J388,L388,N388,P388,R388,T388,V388,X388,Z388,AB388,AD388,AF388,AH388,AJ388,AL388,AN388,AP388,AR388,AT388,AV388,AX388,AZ388,BB388,BD388,BF388,BH388,BJ388,BL388,BN388,BP388,BR388,BT388,BV388,BX388,BZ388)</f>
        <v>0</v>
      </c>
      <c r="CC388" s="299">
        <f>SUM(Table13[[#This Row],[GOALS 1]:[ASSISTS 38]])</f>
        <v>0</v>
      </c>
    </row>
    <row r="389" spans="1:81">
      <c r="A389" s="291" t="s">
        <v>1421</v>
      </c>
      <c r="B389" s="291" t="s">
        <v>28</v>
      </c>
      <c r="C389" s="286"/>
      <c r="D389" s="286"/>
      <c r="E389" s="288"/>
      <c r="F389" s="286"/>
      <c r="G389" s="288"/>
      <c r="H389" s="286"/>
      <c r="I389" s="288"/>
      <c r="J389" s="286"/>
      <c r="K389" s="288"/>
      <c r="L389" s="286"/>
      <c r="M389" s="288"/>
      <c r="N389" s="286"/>
      <c r="O389" s="288"/>
      <c r="P389" s="286"/>
      <c r="Q389" s="288"/>
      <c r="R389" s="286"/>
      <c r="S389" s="288"/>
      <c r="T389" s="286"/>
      <c r="U389" s="288"/>
      <c r="V389" s="286"/>
      <c r="W389" s="288"/>
      <c r="X389" s="286"/>
      <c r="Y389" s="288"/>
      <c r="Z389" s="286"/>
      <c r="AA389" s="288"/>
      <c r="AB389" s="286"/>
      <c r="AC389" s="288"/>
      <c r="AD389" s="286"/>
      <c r="AE389" s="288"/>
      <c r="AF389" s="286"/>
      <c r="AG389" s="288"/>
      <c r="AH389" s="286"/>
      <c r="AI389" s="288"/>
      <c r="AJ389" s="286"/>
      <c r="AK389" s="286"/>
      <c r="AL389" s="286"/>
      <c r="AM389" s="286"/>
      <c r="AN389" s="286"/>
      <c r="AO389" s="286"/>
      <c r="AP389" s="286"/>
      <c r="AQ389" s="286"/>
      <c r="AR389" s="286"/>
      <c r="AS389" s="286"/>
      <c r="AT389" s="286"/>
      <c r="AU389" s="286"/>
      <c r="AV389" s="284"/>
      <c r="AW389" s="284"/>
      <c r="AX389" s="284"/>
      <c r="AY389" s="284"/>
      <c r="AZ389" s="284"/>
      <c r="BA389" s="284"/>
      <c r="BB389" s="284"/>
      <c r="BC389" s="284"/>
      <c r="BD389" s="284"/>
      <c r="BE389" s="284"/>
      <c r="BF389" s="284"/>
      <c r="BG389" s="284"/>
      <c r="BH389" s="284"/>
      <c r="BI389" s="284"/>
      <c r="BJ389" s="284"/>
      <c r="BK389" s="284"/>
      <c r="BL389" s="284"/>
      <c r="BM389" s="284"/>
      <c r="BN389" s="284"/>
      <c r="BO389" s="284"/>
      <c r="BP389" s="284"/>
      <c r="BQ389" s="284"/>
      <c r="BR389" s="284"/>
      <c r="BS389" s="284"/>
      <c r="BT389" s="284"/>
      <c r="BU389" s="284"/>
      <c r="BV389" s="284"/>
      <c r="BW389" s="284"/>
      <c r="BX389" s="284"/>
      <c r="BY389" s="284"/>
      <c r="BZ389" s="285"/>
      <c r="CA389" s="298">
        <f>SUM(C389,E389,G389,I389,K389,M389,O389,Q389,S389,U389,W389,Y389,AA389,AC389,AE389,AG389,AI389,AK389,AM389,AO389,AQ389,AS389,AU389,AW389,AY389,BA389,BC389,BE389,BG389,BI389,BK389,BM389,BO389,BQ389,BS389,BU389,BW389,BY389)</f>
        <v>0</v>
      </c>
      <c r="CB389" s="298">
        <f>SUM(D389,F389,H389,J389,L389,N389,P389,R389,T389,V389,X389,Z389,AB389,AD389,AF389,AH389,AJ389,AL389,AN389,AP389,AR389,AT389,AV389,AX389,AZ389,BB389,BD389,BF389,BH389,BJ389,BL389,BN389,BP389,BR389,BT389,BV389,BX389,BZ389)</f>
        <v>0</v>
      </c>
      <c r="CC389" s="299">
        <f>SUM(Table13[[#This Row],[GOALS 1]:[ASSISTS 38]])</f>
        <v>0</v>
      </c>
    </row>
    <row r="390" spans="1:81">
      <c r="A390" s="291" t="s">
        <v>1789</v>
      </c>
      <c r="B390" s="291" t="s">
        <v>51</v>
      </c>
      <c r="C390" s="286"/>
      <c r="D390" s="286"/>
      <c r="E390" s="288"/>
      <c r="F390" s="286"/>
      <c r="G390" s="288"/>
      <c r="H390" s="286"/>
      <c r="I390" s="288"/>
      <c r="J390" s="286"/>
      <c r="K390" s="288"/>
      <c r="L390" s="286"/>
      <c r="M390" s="288"/>
      <c r="N390" s="286"/>
      <c r="O390" s="288"/>
      <c r="P390" s="286"/>
      <c r="Q390" s="288"/>
      <c r="R390" s="286"/>
      <c r="S390" s="288"/>
      <c r="T390" s="286"/>
      <c r="U390" s="288"/>
      <c r="V390" s="286"/>
      <c r="W390" s="288"/>
      <c r="X390" s="286"/>
      <c r="Y390" s="288"/>
      <c r="Z390" s="286"/>
      <c r="AA390" s="288"/>
      <c r="AB390" s="286"/>
      <c r="AC390" s="288"/>
      <c r="AD390" s="286"/>
      <c r="AE390" s="288"/>
      <c r="AF390" s="286"/>
      <c r="AG390" s="288"/>
      <c r="AH390" s="286"/>
      <c r="AI390" s="288"/>
      <c r="AJ390" s="286"/>
      <c r="AK390" s="286"/>
      <c r="AL390" s="286"/>
      <c r="AM390" s="286"/>
      <c r="AN390" s="286"/>
      <c r="AO390" s="286"/>
      <c r="AP390" s="286"/>
      <c r="AQ390" s="286"/>
      <c r="AR390" s="286"/>
      <c r="AS390" s="286"/>
      <c r="AT390" s="286"/>
      <c r="AU390" s="286"/>
      <c r="AV390" s="284"/>
      <c r="AW390" s="284"/>
      <c r="AX390" s="284"/>
      <c r="AY390" s="284"/>
      <c r="AZ390" s="284"/>
      <c r="BA390" s="284"/>
      <c r="BB390" s="284"/>
      <c r="BC390" s="284"/>
      <c r="BD390" s="284"/>
      <c r="BE390" s="284"/>
      <c r="BF390" s="284"/>
      <c r="BG390" s="284"/>
      <c r="BH390" s="284"/>
      <c r="BI390" s="284"/>
      <c r="BJ390" s="284"/>
      <c r="BK390" s="284"/>
      <c r="BL390" s="284"/>
      <c r="BM390" s="284"/>
      <c r="BN390" s="284"/>
      <c r="BO390" s="284"/>
      <c r="BP390" s="284"/>
      <c r="BQ390" s="284"/>
      <c r="BR390" s="284"/>
      <c r="BS390" s="284"/>
      <c r="BT390" s="284"/>
      <c r="BU390" s="284"/>
      <c r="BV390" s="284"/>
      <c r="BW390" s="284"/>
      <c r="BX390" s="284"/>
      <c r="BY390" s="284"/>
      <c r="BZ390" s="285"/>
      <c r="CA390" s="298">
        <f>SUM(C390,E390,G390,I390,K390,M390,O390,Q390,S390,U390,W390,Y390,AA390,AC390,AE390,AG390,AI390,AK390,AM390,AO390,AQ390,AS390,AU390,AW390,AY390,BA390,BC390,BE390,BG390,BI390,BK390,BM390,BO390,BQ390,BS390,BU390,BW390,BY390)</f>
        <v>0</v>
      </c>
      <c r="CB390" s="298">
        <f>SUM(D390,F390,H390,J390,L390,N390,P390,R390,T390,V390,X390,Z390,AB390,AD390,AF390,AH390,AJ390,AL390,AN390,AP390,AR390,AT390,AV390,AX390,AZ390,BB390,BD390,BF390,BH390,BJ390,BL390,BN390,BP390,BR390,BT390,BV390,BX390,BZ390)</f>
        <v>0</v>
      </c>
      <c r="CC390" s="299">
        <f>SUM(Table13[[#This Row],[GOALS 1]:[ASSISTS 38]])</f>
        <v>0</v>
      </c>
    </row>
    <row r="391" spans="1:81">
      <c r="A391" s="291" t="s">
        <v>1600</v>
      </c>
      <c r="B391" s="291" t="s">
        <v>22</v>
      </c>
      <c r="C391" s="286"/>
      <c r="D391" s="286"/>
      <c r="E391" s="288"/>
      <c r="F391" s="286"/>
      <c r="G391" s="288"/>
      <c r="H391" s="286"/>
      <c r="I391" s="288"/>
      <c r="J391" s="286"/>
      <c r="K391" s="288"/>
      <c r="L391" s="286"/>
      <c r="M391" s="288"/>
      <c r="N391" s="286"/>
      <c r="O391" s="288"/>
      <c r="P391" s="286"/>
      <c r="Q391" s="288"/>
      <c r="R391" s="286"/>
      <c r="S391" s="288"/>
      <c r="T391" s="286"/>
      <c r="U391" s="288"/>
      <c r="V391" s="286"/>
      <c r="W391" s="288"/>
      <c r="X391" s="286"/>
      <c r="Y391" s="288"/>
      <c r="Z391" s="286"/>
      <c r="AA391" s="288"/>
      <c r="AB391" s="286"/>
      <c r="AC391" s="288"/>
      <c r="AD391" s="286"/>
      <c r="AE391" s="288"/>
      <c r="AF391" s="286"/>
      <c r="AG391" s="288"/>
      <c r="AH391" s="286"/>
      <c r="AI391" s="288"/>
      <c r="AJ391" s="286"/>
      <c r="AK391" s="286"/>
      <c r="AL391" s="286"/>
      <c r="AM391" s="286"/>
      <c r="AN391" s="286"/>
      <c r="AO391" s="286"/>
      <c r="AP391" s="286"/>
      <c r="AQ391" s="286"/>
      <c r="AR391" s="286"/>
      <c r="AS391" s="286"/>
      <c r="AT391" s="286"/>
      <c r="AU391" s="286"/>
      <c r="AV391" s="284"/>
      <c r="AW391" s="284"/>
      <c r="AX391" s="284"/>
      <c r="AY391" s="284"/>
      <c r="AZ391" s="284"/>
      <c r="BA391" s="284"/>
      <c r="BB391" s="284"/>
      <c r="BC391" s="284"/>
      <c r="BD391" s="284"/>
      <c r="BE391" s="284"/>
      <c r="BF391" s="284"/>
      <c r="BG391" s="284"/>
      <c r="BH391" s="284"/>
      <c r="BI391" s="284"/>
      <c r="BJ391" s="284"/>
      <c r="BK391" s="284"/>
      <c r="BL391" s="284"/>
      <c r="BM391" s="284"/>
      <c r="BN391" s="284"/>
      <c r="BO391" s="284"/>
      <c r="BP391" s="284"/>
      <c r="BQ391" s="284"/>
      <c r="BR391" s="284"/>
      <c r="BS391" s="284"/>
      <c r="BT391" s="284"/>
      <c r="BU391" s="284"/>
      <c r="BV391" s="284"/>
      <c r="BW391" s="284"/>
      <c r="BX391" s="284"/>
      <c r="BY391" s="284"/>
      <c r="BZ391" s="285"/>
      <c r="CA391" s="298">
        <f>SUM(C391,E391,G391,I391,K391,M391,O391,Q391,S391,U391,W391,Y391,AA391,AC391,AE391,AG391,AI391,AK391,AM391,AO391,AQ391,AS391,AU391,AW391,AY391,BA391,BC391,BE391,BG391,BI391,BK391,BM391,BO391,BQ391,BS391,BU391,BW391,BY391)</f>
        <v>0</v>
      </c>
      <c r="CB391" s="298">
        <f>SUM(D391,F391,H391,J391,L391,N391,P391,R391,T391,V391,X391,Z391,AB391,AD391,AF391,AH391,AJ391,AL391,AN391,AP391,AR391,AT391,AV391,AX391,AZ391,BB391,BD391,BF391,BH391,BJ391,BL391,BN391,BP391,BR391,BT391,BV391,BX391,BZ391)</f>
        <v>0</v>
      </c>
      <c r="CC391" s="299">
        <f>SUM(Table13[[#This Row],[GOALS 1]:[ASSISTS 38]])</f>
        <v>0</v>
      </c>
    </row>
    <row r="392" spans="1:81">
      <c r="A392" s="291" t="s">
        <v>1499</v>
      </c>
      <c r="B392" s="291" t="s">
        <v>18</v>
      </c>
      <c r="C392" s="286"/>
      <c r="D392" s="286"/>
      <c r="E392" s="288"/>
      <c r="F392" s="286"/>
      <c r="G392" s="288"/>
      <c r="H392" s="286"/>
      <c r="I392" s="288"/>
      <c r="J392" s="286"/>
      <c r="K392" s="288"/>
      <c r="L392" s="286"/>
      <c r="M392" s="288"/>
      <c r="N392" s="286"/>
      <c r="O392" s="288"/>
      <c r="P392" s="286"/>
      <c r="Q392" s="288"/>
      <c r="R392" s="286"/>
      <c r="S392" s="288"/>
      <c r="T392" s="286"/>
      <c r="U392" s="288"/>
      <c r="V392" s="286"/>
      <c r="W392" s="288"/>
      <c r="X392" s="286"/>
      <c r="Y392" s="288"/>
      <c r="Z392" s="286"/>
      <c r="AA392" s="288"/>
      <c r="AB392" s="286"/>
      <c r="AC392" s="288"/>
      <c r="AD392" s="286"/>
      <c r="AE392" s="288"/>
      <c r="AF392" s="286"/>
      <c r="AG392" s="288"/>
      <c r="AH392" s="286"/>
      <c r="AI392" s="288"/>
      <c r="AJ392" s="286"/>
      <c r="AK392" s="286"/>
      <c r="AL392" s="286"/>
      <c r="AM392" s="286"/>
      <c r="AN392" s="286"/>
      <c r="AO392" s="286"/>
      <c r="AP392" s="286"/>
      <c r="AQ392" s="286"/>
      <c r="AR392" s="286"/>
      <c r="AS392" s="286"/>
      <c r="AT392" s="286"/>
      <c r="AU392" s="286"/>
      <c r="AV392" s="284"/>
      <c r="AW392" s="284"/>
      <c r="AX392" s="284"/>
      <c r="AY392" s="284"/>
      <c r="AZ392" s="284"/>
      <c r="BA392" s="284"/>
      <c r="BB392" s="284"/>
      <c r="BC392" s="284"/>
      <c r="BD392" s="284"/>
      <c r="BE392" s="284"/>
      <c r="BF392" s="284"/>
      <c r="BG392" s="284"/>
      <c r="BH392" s="284"/>
      <c r="BI392" s="284"/>
      <c r="BJ392" s="284"/>
      <c r="BK392" s="284"/>
      <c r="BL392" s="284"/>
      <c r="BM392" s="284"/>
      <c r="BN392" s="284"/>
      <c r="BO392" s="284"/>
      <c r="BP392" s="284"/>
      <c r="BQ392" s="284"/>
      <c r="BR392" s="284"/>
      <c r="BS392" s="284"/>
      <c r="BT392" s="284"/>
      <c r="BU392" s="284"/>
      <c r="BV392" s="284"/>
      <c r="BW392" s="284"/>
      <c r="BX392" s="284"/>
      <c r="BY392" s="284"/>
      <c r="BZ392" s="285"/>
      <c r="CA392" s="298">
        <f>SUM(C392,E392,G392,I392,K392,M392,O392,Q392,S392,U392,W392,Y392,AA392,AC392,AE392,AG392,AI392,AK392,AM392,AO392,AQ392,AS392,AU392,AW392,AY392,BA392,BC392,BE392,BG392,BI392,BK392,BM392,BO392,BQ392,BS392,BU392,BW392,BY392)</f>
        <v>0</v>
      </c>
      <c r="CB392" s="298">
        <f>SUM(D392,F392,H392,J392,L392,N392,P392,R392,T392,V392,X392,Z392,AB392,AD392,AF392,AH392,AJ392,AL392,AN392,AP392,AR392,AT392,AV392,AX392,AZ392,BB392,BD392,BF392,BH392,BJ392,BL392,BN392,BP392,BR392,BT392,BV392,BX392,BZ392)</f>
        <v>0</v>
      </c>
      <c r="CC392" s="299">
        <f>SUM(Table13[[#This Row],[GOALS 1]:[ASSISTS 38]])</f>
        <v>0</v>
      </c>
    </row>
    <row r="393" spans="1:81">
      <c r="A393" s="291" t="s">
        <v>1596</v>
      </c>
      <c r="B393" s="291" t="s">
        <v>43</v>
      </c>
      <c r="C393" s="286"/>
      <c r="D393" s="286"/>
      <c r="E393" s="288"/>
      <c r="F393" s="286"/>
      <c r="G393" s="288"/>
      <c r="H393" s="286"/>
      <c r="I393" s="288"/>
      <c r="J393" s="286"/>
      <c r="K393" s="288"/>
      <c r="L393" s="286"/>
      <c r="M393" s="288"/>
      <c r="N393" s="286"/>
      <c r="O393" s="288"/>
      <c r="P393" s="286"/>
      <c r="Q393" s="288"/>
      <c r="R393" s="286"/>
      <c r="S393" s="288"/>
      <c r="T393" s="286"/>
      <c r="U393" s="288"/>
      <c r="V393" s="286"/>
      <c r="W393" s="288"/>
      <c r="X393" s="286"/>
      <c r="Y393" s="288"/>
      <c r="Z393" s="286"/>
      <c r="AA393" s="288"/>
      <c r="AB393" s="286"/>
      <c r="AC393" s="288"/>
      <c r="AD393" s="286"/>
      <c r="AE393" s="288"/>
      <c r="AF393" s="286"/>
      <c r="AG393" s="288"/>
      <c r="AH393" s="286"/>
      <c r="AI393" s="288"/>
      <c r="AJ393" s="286"/>
      <c r="AK393" s="286"/>
      <c r="AL393" s="286"/>
      <c r="AM393" s="286"/>
      <c r="AN393" s="286"/>
      <c r="AO393" s="286"/>
      <c r="AP393" s="286"/>
      <c r="AQ393" s="286"/>
      <c r="AR393" s="286"/>
      <c r="AS393" s="286"/>
      <c r="AT393" s="286"/>
      <c r="AU393" s="286"/>
      <c r="AV393" s="284"/>
      <c r="AW393" s="284"/>
      <c r="AX393" s="284"/>
      <c r="AY393" s="284"/>
      <c r="AZ393" s="284"/>
      <c r="BA393" s="284"/>
      <c r="BB393" s="284"/>
      <c r="BC393" s="284"/>
      <c r="BD393" s="284"/>
      <c r="BE393" s="284"/>
      <c r="BF393" s="284"/>
      <c r="BG393" s="284"/>
      <c r="BH393" s="284"/>
      <c r="BI393" s="284"/>
      <c r="BJ393" s="284"/>
      <c r="BK393" s="284"/>
      <c r="BL393" s="284"/>
      <c r="BM393" s="284"/>
      <c r="BN393" s="284"/>
      <c r="BO393" s="284"/>
      <c r="BP393" s="284"/>
      <c r="BQ393" s="284"/>
      <c r="BR393" s="284"/>
      <c r="BS393" s="284"/>
      <c r="BT393" s="284"/>
      <c r="BU393" s="284"/>
      <c r="BV393" s="284"/>
      <c r="BW393" s="284"/>
      <c r="BX393" s="284"/>
      <c r="BY393" s="284"/>
      <c r="BZ393" s="285"/>
      <c r="CA393" s="298">
        <f>SUM(C393,E393,G393,I393,K393,M393,O393,Q393,S393,U393,W393,Y393,AA393,AC393,AE393,AG393,AI393,AK393,AM393,AO393,AQ393,AS393,AU393,AW393,AY393,BA393,BC393,BE393,BG393,BI393,BK393,BM393,BO393,BQ393,BS393,BU393,BW393,BY393)</f>
        <v>0</v>
      </c>
      <c r="CB393" s="298">
        <f>SUM(D393,F393,H393,J393,L393,N393,P393,R393,T393,V393,X393,Z393,AB393,AD393,AF393,AH393,AJ393,AL393,AN393,AP393,AR393,AT393,AV393,AX393,AZ393,BB393,BD393,BF393,BH393,BJ393,BL393,BN393,BP393,BR393,BT393,BV393,BX393,BZ393)</f>
        <v>0</v>
      </c>
      <c r="CC393" s="299">
        <f>SUM(Table13[[#This Row],[GOALS 1]:[ASSISTS 38]])</f>
        <v>0</v>
      </c>
    </row>
    <row r="394" spans="1:81">
      <c r="A394" s="291" t="s">
        <v>1549</v>
      </c>
      <c r="B394" s="291" t="s">
        <v>28</v>
      </c>
      <c r="C394" s="286"/>
      <c r="D394" s="286"/>
      <c r="E394" s="288"/>
      <c r="F394" s="286"/>
      <c r="G394" s="288"/>
      <c r="H394" s="286"/>
      <c r="I394" s="288"/>
      <c r="J394" s="286"/>
      <c r="K394" s="288"/>
      <c r="L394" s="286"/>
      <c r="M394" s="288"/>
      <c r="N394" s="286"/>
      <c r="O394" s="288"/>
      <c r="P394" s="286"/>
      <c r="Q394" s="288"/>
      <c r="R394" s="286"/>
      <c r="S394" s="288"/>
      <c r="T394" s="286"/>
      <c r="U394" s="288"/>
      <c r="V394" s="286"/>
      <c r="W394" s="288"/>
      <c r="X394" s="286"/>
      <c r="Y394" s="288"/>
      <c r="Z394" s="286"/>
      <c r="AA394" s="288"/>
      <c r="AB394" s="286"/>
      <c r="AC394" s="288"/>
      <c r="AD394" s="286"/>
      <c r="AE394" s="288"/>
      <c r="AF394" s="286"/>
      <c r="AG394" s="288"/>
      <c r="AH394" s="286"/>
      <c r="AI394" s="288"/>
      <c r="AJ394" s="286"/>
      <c r="AK394" s="286"/>
      <c r="AL394" s="286"/>
      <c r="AM394" s="286"/>
      <c r="AN394" s="286"/>
      <c r="AO394" s="286"/>
      <c r="AP394" s="286"/>
      <c r="AQ394" s="286"/>
      <c r="AR394" s="286"/>
      <c r="AS394" s="286"/>
      <c r="AT394" s="286"/>
      <c r="AU394" s="286"/>
      <c r="AV394" s="284"/>
      <c r="AW394" s="284"/>
      <c r="AX394" s="284"/>
      <c r="AY394" s="284"/>
      <c r="AZ394" s="284"/>
      <c r="BA394" s="284"/>
      <c r="BB394" s="284"/>
      <c r="BC394" s="284"/>
      <c r="BD394" s="284"/>
      <c r="BE394" s="284"/>
      <c r="BF394" s="284"/>
      <c r="BG394" s="284"/>
      <c r="BH394" s="284"/>
      <c r="BI394" s="284"/>
      <c r="BJ394" s="284"/>
      <c r="BK394" s="284"/>
      <c r="BL394" s="284"/>
      <c r="BM394" s="284"/>
      <c r="BN394" s="284"/>
      <c r="BO394" s="284"/>
      <c r="BP394" s="284"/>
      <c r="BQ394" s="284"/>
      <c r="BR394" s="284"/>
      <c r="BS394" s="284"/>
      <c r="BT394" s="284"/>
      <c r="BU394" s="284"/>
      <c r="BV394" s="284"/>
      <c r="BW394" s="284"/>
      <c r="BX394" s="284"/>
      <c r="BY394" s="284"/>
      <c r="BZ394" s="285"/>
      <c r="CA394" s="298">
        <f>SUM(C394,E394,G394,I394,K394,M394,O394,Q394,S394,U394,W394,Y394,AA394,AC394,AE394,AG394,AI394,AK394,AM394,AO394,AQ394,AS394,AU394,AW394,AY394,BA394,BC394,BE394,BG394,BI394,BK394,BM394,BO394,BQ394,BS394,BU394,BW394,BY394)</f>
        <v>0</v>
      </c>
      <c r="CB394" s="298">
        <f>SUM(D394,F394,H394,J394,L394,N394,P394,R394,T394,V394,X394,Z394,AB394,AD394,AF394,AH394,AJ394,AL394,AN394,AP394,AR394,AT394,AV394,AX394,AZ394,BB394,BD394,BF394,BH394,BJ394,BL394,BN394,BP394,BR394,BT394,BV394,BX394,BZ394)</f>
        <v>0</v>
      </c>
      <c r="CC394" s="299">
        <f>SUM(Table13[[#This Row],[GOALS 1]:[ASSISTS 38]])</f>
        <v>0</v>
      </c>
    </row>
    <row r="395" spans="1:81">
      <c r="A395" s="291" t="s">
        <v>1641</v>
      </c>
      <c r="B395" s="291" t="s">
        <v>33</v>
      </c>
      <c r="C395" s="289"/>
      <c r="D395" s="286"/>
      <c r="E395" s="288"/>
      <c r="F395" s="286"/>
      <c r="G395" s="288"/>
      <c r="H395" s="286"/>
      <c r="I395" s="288"/>
      <c r="J395" s="286"/>
      <c r="K395" s="288"/>
      <c r="L395" s="286"/>
      <c r="M395" s="288"/>
      <c r="N395" s="286"/>
      <c r="O395" s="288"/>
      <c r="P395" s="286"/>
      <c r="Q395" s="288"/>
      <c r="R395" s="286"/>
      <c r="S395" s="288"/>
      <c r="T395" s="286"/>
      <c r="U395" s="288"/>
      <c r="V395" s="286"/>
      <c r="W395" s="288"/>
      <c r="X395" s="286"/>
      <c r="Y395" s="288"/>
      <c r="Z395" s="286"/>
      <c r="AA395" s="288"/>
      <c r="AB395" s="286"/>
      <c r="AC395" s="288"/>
      <c r="AD395" s="286"/>
      <c r="AE395" s="288"/>
      <c r="AF395" s="286"/>
      <c r="AG395" s="288"/>
      <c r="AH395" s="286"/>
      <c r="AI395" s="288"/>
      <c r="AJ395" s="286"/>
      <c r="AK395" s="286"/>
      <c r="AL395" s="286"/>
      <c r="AM395" s="286"/>
      <c r="AN395" s="286"/>
      <c r="AO395" s="286"/>
      <c r="AP395" s="286"/>
      <c r="AQ395" s="286"/>
      <c r="AR395" s="286"/>
      <c r="AS395" s="286"/>
      <c r="AT395" s="286"/>
      <c r="AU395" s="286"/>
      <c r="AV395" s="284"/>
      <c r="AW395" s="284"/>
      <c r="AX395" s="284"/>
      <c r="AY395" s="284"/>
      <c r="AZ395" s="284"/>
      <c r="BA395" s="284"/>
      <c r="BB395" s="284"/>
      <c r="BC395" s="284"/>
      <c r="BD395" s="284"/>
      <c r="BE395" s="284"/>
      <c r="BF395" s="284"/>
      <c r="BG395" s="284"/>
      <c r="BH395" s="284"/>
      <c r="BI395" s="284"/>
      <c r="BJ395" s="284"/>
      <c r="BK395" s="284"/>
      <c r="BL395" s="284"/>
      <c r="BM395" s="284"/>
      <c r="BN395" s="284"/>
      <c r="BO395" s="284"/>
      <c r="BP395" s="284"/>
      <c r="BQ395" s="284"/>
      <c r="BR395" s="284"/>
      <c r="BS395" s="284"/>
      <c r="BT395" s="284"/>
      <c r="BU395" s="284"/>
      <c r="BV395" s="284"/>
      <c r="BW395" s="284"/>
      <c r="BX395" s="284"/>
      <c r="BY395" s="284"/>
      <c r="BZ395" s="285"/>
      <c r="CA395" s="298">
        <f>SUM(C395,E395,G395,I395,K395,M395,O395,Q395,S395,U395,W395,Y395,AA395,AC395,AE395,AG395,AI395,AK395,AM395,AO395,AQ395,AS395,AU395,AW395,AY395,BA395,BC395,BE395,BG395,BI395,BK395,BM395,BO395,BQ395,BS395,BU395,BW395,BY395)</f>
        <v>0</v>
      </c>
      <c r="CB395" s="298">
        <f>SUM(D395,F395,H395,J395,L395,N395,P395,R395,T395,V395,X395,Z395,AB395,AD395,AF395,AH395,AJ395,AL395,AN395,AP395,AR395,AT395,AV395,AX395,AZ395,BB395,BD395,BF395,BH395,BJ395,BL395,BN395,BP395,BR395,BT395,BV395,BX395,BZ395)</f>
        <v>0</v>
      </c>
      <c r="CC395" s="299">
        <f>SUM(Table13[[#This Row],[GOALS 1]:[ASSISTS 38]])</f>
        <v>0</v>
      </c>
    </row>
    <row r="396" spans="1:81">
      <c r="A396" s="291" t="s">
        <v>1401</v>
      </c>
      <c r="B396" s="291" t="s">
        <v>25</v>
      </c>
      <c r="C396" s="286"/>
      <c r="D396" s="286"/>
      <c r="E396" s="288"/>
      <c r="F396" s="286"/>
      <c r="G396" s="288"/>
      <c r="H396" s="286"/>
      <c r="I396" s="288"/>
      <c r="J396" s="286"/>
      <c r="K396" s="288"/>
      <c r="L396" s="286"/>
      <c r="M396" s="288"/>
      <c r="N396" s="286"/>
      <c r="O396" s="288"/>
      <c r="P396" s="286"/>
      <c r="Q396" s="288"/>
      <c r="R396" s="286"/>
      <c r="S396" s="288"/>
      <c r="T396" s="286"/>
      <c r="U396" s="288"/>
      <c r="V396" s="286"/>
      <c r="W396" s="288"/>
      <c r="X396" s="286"/>
      <c r="Y396" s="288"/>
      <c r="Z396" s="286"/>
      <c r="AA396" s="288"/>
      <c r="AB396" s="286"/>
      <c r="AC396" s="288"/>
      <c r="AD396" s="286"/>
      <c r="AE396" s="288"/>
      <c r="AF396" s="286"/>
      <c r="AG396" s="288"/>
      <c r="AH396" s="286"/>
      <c r="AI396" s="288"/>
      <c r="AJ396" s="286"/>
      <c r="AK396" s="286"/>
      <c r="AL396" s="286"/>
      <c r="AM396" s="286"/>
      <c r="AN396" s="286"/>
      <c r="AO396" s="286"/>
      <c r="AP396" s="286"/>
      <c r="AQ396" s="286"/>
      <c r="AR396" s="286"/>
      <c r="AS396" s="286"/>
      <c r="AT396" s="286"/>
      <c r="AU396" s="286"/>
      <c r="AV396" s="284"/>
      <c r="AW396" s="284"/>
      <c r="AX396" s="284"/>
      <c r="AY396" s="284"/>
      <c r="AZ396" s="284"/>
      <c r="BA396" s="284"/>
      <c r="BB396" s="284"/>
      <c r="BC396" s="284"/>
      <c r="BD396" s="284"/>
      <c r="BE396" s="284"/>
      <c r="BF396" s="284"/>
      <c r="BG396" s="284"/>
      <c r="BH396" s="284"/>
      <c r="BI396" s="284"/>
      <c r="BJ396" s="284"/>
      <c r="BK396" s="284"/>
      <c r="BL396" s="284"/>
      <c r="BM396" s="284"/>
      <c r="BN396" s="284"/>
      <c r="BO396" s="284"/>
      <c r="BP396" s="284"/>
      <c r="BQ396" s="284"/>
      <c r="BR396" s="284"/>
      <c r="BS396" s="284"/>
      <c r="BT396" s="284"/>
      <c r="BU396" s="284"/>
      <c r="BV396" s="284"/>
      <c r="BW396" s="284"/>
      <c r="BX396" s="284"/>
      <c r="BY396" s="284"/>
      <c r="BZ396" s="285"/>
      <c r="CA396" s="298">
        <f>SUM(C396,E396,G396,I396,K396,M396,O396,Q396,S396,U396,W396,Y396,AA396,AC396,AE396,AG396,AI396,AK396,AM396,AO396,AQ396,AS396,AU396,AW396,AY396,BA396,BC396,BE396,BG396,BI396,BK396,BM396,BO396,BQ396,BS396,BU396,BW396,BY396)</f>
        <v>0</v>
      </c>
      <c r="CB396" s="298">
        <f>SUM(D396,F396,H396,J396,L396,N396,P396,R396,T396,V396,X396,Z396,AB396,AD396,AF396,AH396,AJ396,AL396,AN396,AP396,AR396,AT396,AV396,AX396,AZ396,BB396,BD396,BF396,BH396,BJ396,BL396,BN396,BP396,BR396,BT396,BV396,BX396,BZ396)</f>
        <v>0</v>
      </c>
      <c r="CC396" s="299">
        <f>SUM(Table13[[#This Row],[GOALS 1]:[ASSISTS 38]])</f>
        <v>0</v>
      </c>
    </row>
    <row r="397" spans="1:81">
      <c r="A397" s="291" t="s">
        <v>1627</v>
      </c>
      <c r="B397" s="291" t="s">
        <v>25</v>
      </c>
      <c r="C397" s="286"/>
      <c r="D397" s="286"/>
      <c r="E397" s="288"/>
      <c r="F397" s="286"/>
      <c r="G397" s="288"/>
      <c r="H397" s="286"/>
      <c r="I397" s="288"/>
      <c r="J397" s="286"/>
      <c r="K397" s="288"/>
      <c r="L397" s="286"/>
      <c r="M397" s="288"/>
      <c r="N397" s="286"/>
      <c r="O397" s="288"/>
      <c r="P397" s="286"/>
      <c r="Q397" s="288"/>
      <c r="R397" s="286"/>
      <c r="S397" s="288"/>
      <c r="T397" s="286"/>
      <c r="U397" s="288"/>
      <c r="V397" s="286"/>
      <c r="W397" s="288"/>
      <c r="X397" s="286"/>
      <c r="Y397" s="288"/>
      <c r="Z397" s="286"/>
      <c r="AA397" s="288"/>
      <c r="AB397" s="286"/>
      <c r="AC397" s="288"/>
      <c r="AD397" s="286"/>
      <c r="AE397" s="288"/>
      <c r="AF397" s="286"/>
      <c r="AG397" s="288"/>
      <c r="AH397" s="286"/>
      <c r="AI397" s="288"/>
      <c r="AJ397" s="286"/>
      <c r="AK397" s="286"/>
      <c r="AL397" s="286"/>
      <c r="AM397" s="286"/>
      <c r="AN397" s="286"/>
      <c r="AO397" s="286"/>
      <c r="AP397" s="286"/>
      <c r="AQ397" s="286"/>
      <c r="AR397" s="286"/>
      <c r="AS397" s="286"/>
      <c r="AT397" s="286"/>
      <c r="AU397" s="286"/>
      <c r="AV397" s="284"/>
      <c r="AW397" s="284"/>
      <c r="AX397" s="284"/>
      <c r="AY397" s="284"/>
      <c r="AZ397" s="284"/>
      <c r="BA397" s="284"/>
      <c r="BB397" s="284"/>
      <c r="BC397" s="284"/>
      <c r="BD397" s="284"/>
      <c r="BE397" s="284"/>
      <c r="BF397" s="284"/>
      <c r="BG397" s="284"/>
      <c r="BH397" s="284"/>
      <c r="BI397" s="284"/>
      <c r="BJ397" s="284"/>
      <c r="BK397" s="284"/>
      <c r="BL397" s="284"/>
      <c r="BM397" s="284"/>
      <c r="BN397" s="284"/>
      <c r="BO397" s="284"/>
      <c r="BP397" s="284"/>
      <c r="BQ397" s="284"/>
      <c r="BR397" s="284"/>
      <c r="BS397" s="284"/>
      <c r="BT397" s="284"/>
      <c r="BU397" s="284"/>
      <c r="BV397" s="284"/>
      <c r="BW397" s="284"/>
      <c r="BX397" s="284"/>
      <c r="BY397" s="284"/>
      <c r="BZ397" s="285"/>
      <c r="CA397" s="298">
        <f>SUM(C397,E397,G397,I397,K397,M397,O397,Q397,S397,U397,W397,Y397,AA397,AC397,AE397,AG397,AI397,AK397,AM397,AO397,AQ397,AS397,AU397,AW397,AY397,BA397,BC397,BE397,BG397,BI397,BK397,BM397,BO397,BQ397,BS397,BU397,BW397,BY397)</f>
        <v>0</v>
      </c>
      <c r="CB397" s="298">
        <f>SUM(D397,F397,H397,J397,L397,N397,P397,R397,T397,V397,X397,Z397,AB397,AD397,AF397,AH397,AJ397,AL397,AN397,AP397,AR397,AT397,AV397,AX397,AZ397,BB397,BD397,BF397,BH397,BJ397,BL397,BN397,BP397,BR397,BT397,BV397,BX397,BZ397)</f>
        <v>0</v>
      </c>
      <c r="CC397" s="299">
        <f>SUM(Table13[[#This Row],[GOALS 1]:[ASSISTS 38]])</f>
        <v>0</v>
      </c>
    </row>
    <row r="398" spans="1:81">
      <c r="A398" s="291" t="s">
        <v>1718</v>
      </c>
      <c r="B398" s="291" t="s">
        <v>27</v>
      </c>
      <c r="C398" s="286"/>
      <c r="D398" s="286"/>
      <c r="E398" s="289"/>
      <c r="F398" s="286"/>
      <c r="G398" s="288"/>
      <c r="H398" s="286"/>
      <c r="I398" s="288"/>
      <c r="J398" s="286"/>
      <c r="K398" s="288"/>
      <c r="L398" s="286"/>
      <c r="M398" s="288"/>
      <c r="N398" s="286"/>
      <c r="O398" s="288"/>
      <c r="P398" s="286"/>
      <c r="Q398" s="288"/>
      <c r="R398" s="286"/>
      <c r="S398" s="288"/>
      <c r="T398" s="286"/>
      <c r="U398" s="288"/>
      <c r="V398" s="286"/>
      <c r="W398" s="288"/>
      <c r="X398" s="286"/>
      <c r="Y398" s="288"/>
      <c r="Z398" s="286"/>
      <c r="AA398" s="288"/>
      <c r="AB398" s="286"/>
      <c r="AC398" s="288"/>
      <c r="AD398" s="286"/>
      <c r="AE398" s="288"/>
      <c r="AF398" s="286"/>
      <c r="AG398" s="288"/>
      <c r="AH398" s="286"/>
      <c r="AI398" s="288"/>
      <c r="AJ398" s="286"/>
      <c r="AK398" s="286"/>
      <c r="AL398" s="286"/>
      <c r="AM398" s="286"/>
      <c r="AN398" s="286"/>
      <c r="AO398" s="286"/>
      <c r="AP398" s="286"/>
      <c r="AQ398" s="286"/>
      <c r="AR398" s="286"/>
      <c r="AS398" s="286"/>
      <c r="AT398" s="286"/>
      <c r="AU398" s="286"/>
      <c r="AV398" s="284"/>
      <c r="AW398" s="284"/>
      <c r="AX398" s="284"/>
      <c r="AY398" s="284"/>
      <c r="AZ398" s="284"/>
      <c r="BA398" s="284"/>
      <c r="BB398" s="284"/>
      <c r="BC398" s="284"/>
      <c r="BD398" s="284"/>
      <c r="BE398" s="284"/>
      <c r="BF398" s="284"/>
      <c r="BG398" s="284"/>
      <c r="BH398" s="284"/>
      <c r="BI398" s="284"/>
      <c r="BJ398" s="284"/>
      <c r="BK398" s="284"/>
      <c r="BL398" s="284"/>
      <c r="BM398" s="284"/>
      <c r="BN398" s="284"/>
      <c r="BO398" s="284"/>
      <c r="BP398" s="284"/>
      <c r="BQ398" s="284"/>
      <c r="BR398" s="284"/>
      <c r="BS398" s="284"/>
      <c r="BT398" s="284"/>
      <c r="BU398" s="284"/>
      <c r="BV398" s="284"/>
      <c r="BW398" s="284"/>
      <c r="BX398" s="284"/>
      <c r="BY398" s="284"/>
      <c r="BZ398" s="285"/>
      <c r="CA398" s="298">
        <f>SUM(C398,E398,G398,I398,K398,M398,O398,Q398,S398,U398,W398,Y398,AA398,AC398,AE398,AG398,AI398,AK398,AM398,AO398,AQ398,AS398,AU398,AW398,AY398,BA398,BC398,BE398,BG398,BI398,BK398,BM398,BO398,BQ398,BS398,BU398,BW398,BY398)</f>
        <v>0</v>
      </c>
      <c r="CB398" s="298">
        <f>SUM(D398,F398,H398,J398,L398,N398,P398,R398,T398,V398,X398,Z398,AB398,AD398,AF398,AH398,AJ398,AL398,AN398,AP398,AR398,AT398,AV398,AX398,AZ398,BB398,BD398,BF398,BH398,BJ398,BL398,BN398,BP398,BR398,BT398,BV398,BX398,BZ398)</f>
        <v>0</v>
      </c>
      <c r="CC398" s="299">
        <f>SUM(Table13[[#This Row],[GOALS 1]:[ASSISTS 38]])</f>
        <v>0</v>
      </c>
    </row>
    <row r="399" spans="1:81">
      <c r="A399" s="291" t="s">
        <v>1320</v>
      </c>
      <c r="B399" s="291" t="s">
        <v>18</v>
      </c>
      <c r="C399" s="286"/>
      <c r="D399" s="286"/>
      <c r="E399" s="288"/>
      <c r="F399" s="286"/>
      <c r="G399" s="288"/>
      <c r="H399" s="286"/>
      <c r="I399" s="288"/>
      <c r="J399" s="286"/>
      <c r="K399" s="288"/>
      <c r="L399" s="286"/>
      <c r="M399" s="288"/>
      <c r="N399" s="286"/>
      <c r="O399" s="288"/>
      <c r="P399" s="286"/>
      <c r="Q399" s="288"/>
      <c r="R399" s="286"/>
      <c r="S399" s="288"/>
      <c r="T399" s="286"/>
      <c r="U399" s="288"/>
      <c r="V399" s="286"/>
      <c r="W399" s="288"/>
      <c r="X399" s="286"/>
      <c r="Y399" s="288"/>
      <c r="Z399" s="286"/>
      <c r="AA399" s="288"/>
      <c r="AB399" s="286"/>
      <c r="AC399" s="288"/>
      <c r="AD399" s="286"/>
      <c r="AE399" s="288"/>
      <c r="AF399" s="286"/>
      <c r="AG399" s="288"/>
      <c r="AH399" s="286"/>
      <c r="AI399" s="288"/>
      <c r="AJ399" s="286"/>
      <c r="AK399" s="286"/>
      <c r="AL399" s="286"/>
      <c r="AM399" s="286"/>
      <c r="AN399" s="286"/>
      <c r="AO399" s="286"/>
      <c r="AP399" s="286"/>
      <c r="AQ399" s="286"/>
      <c r="AR399" s="286"/>
      <c r="AS399" s="286"/>
      <c r="AT399" s="286"/>
      <c r="AU399" s="286"/>
      <c r="AV399" s="284"/>
      <c r="AW399" s="284"/>
      <c r="AX399" s="284"/>
      <c r="AY399" s="284"/>
      <c r="AZ399" s="284"/>
      <c r="BA399" s="284"/>
      <c r="BB399" s="284"/>
      <c r="BC399" s="284"/>
      <c r="BD399" s="284"/>
      <c r="BE399" s="284"/>
      <c r="BF399" s="284"/>
      <c r="BG399" s="284"/>
      <c r="BH399" s="284"/>
      <c r="BI399" s="284"/>
      <c r="BJ399" s="284"/>
      <c r="BK399" s="284"/>
      <c r="BL399" s="284"/>
      <c r="BM399" s="284"/>
      <c r="BN399" s="284"/>
      <c r="BO399" s="284"/>
      <c r="BP399" s="284"/>
      <c r="BQ399" s="284"/>
      <c r="BR399" s="284"/>
      <c r="BS399" s="284"/>
      <c r="BT399" s="284"/>
      <c r="BU399" s="284"/>
      <c r="BV399" s="284"/>
      <c r="BW399" s="284"/>
      <c r="BX399" s="284"/>
      <c r="BY399" s="284"/>
      <c r="BZ399" s="285"/>
      <c r="CA399" s="298">
        <f>SUM(C399,E399,G399,I399,K399,M399,O399,Q399,S399,U399,W399,Y399,AA399,AC399,AE399,AG399,AI399,AK399,AM399,AO399,AQ399,AS399,AU399,AW399,AY399,BA399,BC399,BE399,BG399,BI399,BK399,BM399,BO399,BQ399,BS399,BU399,BW399,BY399)</f>
        <v>0</v>
      </c>
      <c r="CB399" s="298">
        <f>SUM(D399,F399,H399,J399,L399,N399,P399,R399,T399,V399,X399,Z399,AB399,AD399,AF399,AH399,AJ399,AL399,AN399,AP399,AR399,AT399,AV399,AX399,AZ399,BB399,BD399,BF399,BH399,BJ399,BL399,BN399,BP399,BR399,BT399,BV399,BX399,BZ399)</f>
        <v>0</v>
      </c>
      <c r="CC399" s="299">
        <f>SUM(Table13[[#This Row],[GOALS 1]:[ASSISTS 38]])</f>
        <v>0</v>
      </c>
    </row>
    <row r="400" spans="1:81">
      <c r="A400" s="291" t="s">
        <v>1832</v>
      </c>
      <c r="B400" s="291" t="s">
        <v>28</v>
      </c>
      <c r="C400" s="286"/>
      <c r="D400" s="286"/>
      <c r="E400" s="288"/>
      <c r="F400" s="286"/>
      <c r="G400" s="288"/>
      <c r="H400" s="286"/>
      <c r="I400" s="288"/>
      <c r="J400" s="286"/>
      <c r="K400" s="288"/>
      <c r="L400" s="286"/>
      <c r="M400" s="288"/>
      <c r="N400" s="286"/>
      <c r="O400" s="288"/>
      <c r="P400" s="286"/>
      <c r="Q400" s="288"/>
      <c r="R400" s="286"/>
      <c r="S400" s="288"/>
      <c r="T400" s="286"/>
      <c r="U400" s="288"/>
      <c r="V400" s="286"/>
      <c r="W400" s="288"/>
      <c r="X400" s="286"/>
      <c r="Y400" s="288"/>
      <c r="Z400" s="286"/>
      <c r="AA400" s="288"/>
      <c r="AB400" s="286"/>
      <c r="AC400" s="288"/>
      <c r="AD400" s="286"/>
      <c r="AE400" s="288"/>
      <c r="AF400" s="286"/>
      <c r="AG400" s="288"/>
      <c r="AH400" s="286"/>
      <c r="AI400" s="288"/>
      <c r="AJ400" s="286"/>
      <c r="AK400" s="286"/>
      <c r="AL400" s="286"/>
      <c r="AM400" s="286"/>
      <c r="AN400" s="286"/>
      <c r="AO400" s="286"/>
      <c r="AP400" s="286"/>
      <c r="AQ400" s="286"/>
      <c r="AR400" s="286"/>
      <c r="AS400" s="286"/>
      <c r="AT400" s="286"/>
      <c r="AU400" s="286"/>
      <c r="AV400" s="284"/>
      <c r="AW400" s="284"/>
      <c r="AX400" s="284"/>
      <c r="AY400" s="284"/>
      <c r="AZ400" s="284"/>
      <c r="BA400" s="284"/>
      <c r="BB400" s="284"/>
      <c r="BC400" s="284"/>
      <c r="BD400" s="284"/>
      <c r="BE400" s="284"/>
      <c r="BF400" s="284"/>
      <c r="BG400" s="284"/>
      <c r="BH400" s="284"/>
      <c r="BI400" s="284"/>
      <c r="BJ400" s="284"/>
      <c r="BK400" s="284"/>
      <c r="BL400" s="284"/>
      <c r="BM400" s="284"/>
      <c r="BN400" s="284"/>
      <c r="BO400" s="284"/>
      <c r="BP400" s="284"/>
      <c r="BQ400" s="284"/>
      <c r="BR400" s="284"/>
      <c r="BS400" s="284"/>
      <c r="BT400" s="284"/>
      <c r="BU400" s="284"/>
      <c r="BV400" s="284"/>
      <c r="BW400" s="284"/>
      <c r="BX400" s="284"/>
      <c r="BY400" s="284"/>
      <c r="BZ400" s="285"/>
      <c r="CA400" s="298">
        <f>SUM(C400,E400,G400,I400,K400,M400,O400,Q400,S400,U400,W400,Y400,AA400,AC400,AE400,AG400,AI400,AK400,AM400,AO400,AQ400,AS400,AU400,AW400,AY400,BA400,BC400,BE400,BG400,BI400,BK400,BM400,BO400,BQ400,BS400,BU400,BW400,BY400)</f>
        <v>0</v>
      </c>
      <c r="CB400" s="298">
        <f>SUM(D400,F400,H400,J400,L400,N400,P400,R400,T400,V400,X400,Z400,AB400,AD400,AF400,AH400,AJ400,AL400,AN400,AP400,AR400,AT400,AV400,AX400,AZ400,BB400,BD400,BF400,BH400,BJ400,BL400,BN400,BP400,BR400,BT400,BV400,BX400,BZ400)</f>
        <v>0</v>
      </c>
      <c r="CC400" s="299">
        <f>SUM(Table13[[#This Row],[GOALS 1]:[ASSISTS 38]])</f>
        <v>0</v>
      </c>
    </row>
    <row r="401" spans="1:81">
      <c r="A401" s="291" t="s">
        <v>1369</v>
      </c>
      <c r="B401" s="291" t="s">
        <v>25</v>
      </c>
      <c r="C401" s="286"/>
      <c r="D401" s="286"/>
      <c r="E401" s="288"/>
      <c r="F401" s="286"/>
      <c r="G401" s="288"/>
      <c r="H401" s="286"/>
      <c r="I401" s="288"/>
      <c r="J401" s="286"/>
      <c r="K401" s="288"/>
      <c r="L401" s="286"/>
      <c r="M401" s="288"/>
      <c r="N401" s="286"/>
      <c r="O401" s="288"/>
      <c r="P401" s="286"/>
      <c r="Q401" s="288"/>
      <c r="R401" s="286"/>
      <c r="S401" s="288"/>
      <c r="T401" s="286"/>
      <c r="U401" s="288"/>
      <c r="V401" s="286"/>
      <c r="W401" s="288"/>
      <c r="X401" s="286"/>
      <c r="Y401" s="288"/>
      <c r="Z401" s="286"/>
      <c r="AA401" s="288"/>
      <c r="AB401" s="286"/>
      <c r="AC401" s="288"/>
      <c r="AD401" s="286"/>
      <c r="AE401" s="288"/>
      <c r="AF401" s="286"/>
      <c r="AG401" s="288"/>
      <c r="AH401" s="286"/>
      <c r="AI401" s="288"/>
      <c r="AJ401" s="286"/>
      <c r="AK401" s="286"/>
      <c r="AL401" s="286"/>
      <c r="AM401" s="286"/>
      <c r="AN401" s="286"/>
      <c r="AO401" s="286"/>
      <c r="AP401" s="286"/>
      <c r="AQ401" s="286"/>
      <c r="AR401" s="286"/>
      <c r="AS401" s="286"/>
      <c r="AT401" s="286"/>
      <c r="AU401" s="286"/>
      <c r="AV401" s="284"/>
      <c r="AW401" s="284"/>
      <c r="AX401" s="284"/>
      <c r="AY401" s="284"/>
      <c r="AZ401" s="284"/>
      <c r="BA401" s="284"/>
      <c r="BB401" s="284"/>
      <c r="BC401" s="284"/>
      <c r="BD401" s="284"/>
      <c r="BE401" s="284"/>
      <c r="BF401" s="284"/>
      <c r="BG401" s="284"/>
      <c r="BH401" s="284"/>
      <c r="BI401" s="284"/>
      <c r="BJ401" s="284"/>
      <c r="BK401" s="284"/>
      <c r="BL401" s="284"/>
      <c r="BM401" s="284"/>
      <c r="BN401" s="284"/>
      <c r="BO401" s="284"/>
      <c r="BP401" s="284"/>
      <c r="BQ401" s="284"/>
      <c r="BR401" s="284"/>
      <c r="BS401" s="284"/>
      <c r="BT401" s="284"/>
      <c r="BU401" s="284"/>
      <c r="BV401" s="284"/>
      <c r="BW401" s="284"/>
      <c r="BX401" s="284"/>
      <c r="BY401" s="284"/>
      <c r="BZ401" s="285"/>
      <c r="CA401" s="298">
        <f>SUM(C401,E401,G401,I401,K401,M401,O401,Q401,S401,U401,W401,Y401,AA401,AC401,AE401,AG401,AI401,AK401,AM401,AO401,AQ401,AS401,AU401,AW401,AY401,BA401,BC401,BE401,BG401,BI401,BK401,BM401,BO401,BQ401,BS401,BU401,BW401,BY401)</f>
        <v>0</v>
      </c>
      <c r="CB401" s="298">
        <f>SUM(D401,F401,H401,J401,L401,N401,P401,R401,T401,V401,X401,Z401,AB401,AD401,AF401,AH401,AJ401,AL401,AN401,AP401,AR401,AT401,AV401,AX401,AZ401,BB401,BD401,BF401,BH401,BJ401,BL401,BN401,BP401,BR401,BT401,BV401,BX401,BZ401)</f>
        <v>0</v>
      </c>
      <c r="CC401" s="299">
        <f>SUM(Table13[[#This Row],[GOALS 1]:[ASSISTS 38]])</f>
        <v>0</v>
      </c>
    </row>
    <row r="402" spans="1:81">
      <c r="A402" s="291" t="s">
        <v>1517</v>
      </c>
      <c r="B402" s="291" t="s">
        <v>30</v>
      </c>
      <c r="C402" s="286"/>
      <c r="D402" s="286"/>
      <c r="E402" s="288"/>
      <c r="F402" s="286"/>
      <c r="G402" s="288"/>
      <c r="H402" s="286"/>
      <c r="I402" s="288"/>
      <c r="J402" s="286"/>
      <c r="K402" s="288"/>
      <c r="L402" s="286"/>
      <c r="M402" s="288"/>
      <c r="N402" s="286"/>
      <c r="O402" s="288"/>
      <c r="P402" s="286"/>
      <c r="Q402" s="288"/>
      <c r="R402" s="286"/>
      <c r="S402" s="288"/>
      <c r="T402" s="286"/>
      <c r="U402" s="288"/>
      <c r="V402" s="286"/>
      <c r="W402" s="288"/>
      <c r="X402" s="286"/>
      <c r="Y402" s="288"/>
      <c r="Z402" s="286"/>
      <c r="AA402" s="288"/>
      <c r="AB402" s="286"/>
      <c r="AC402" s="288"/>
      <c r="AD402" s="286"/>
      <c r="AE402" s="288"/>
      <c r="AF402" s="286"/>
      <c r="AG402" s="288"/>
      <c r="AH402" s="286"/>
      <c r="AI402" s="288"/>
      <c r="AJ402" s="286"/>
      <c r="AK402" s="286"/>
      <c r="AL402" s="286"/>
      <c r="AM402" s="286"/>
      <c r="AN402" s="286"/>
      <c r="AO402" s="286"/>
      <c r="AP402" s="286"/>
      <c r="AQ402" s="286"/>
      <c r="AR402" s="286"/>
      <c r="AS402" s="286"/>
      <c r="AT402" s="286"/>
      <c r="AU402" s="286"/>
      <c r="AV402" s="284"/>
      <c r="AW402" s="284"/>
      <c r="AX402" s="284"/>
      <c r="AY402" s="284"/>
      <c r="AZ402" s="284"/>
      <c r="BA402" s="284"/>
      <c r="BB402" s="284"/>
      <c r="BC402" s="284"/>
      <c r="BD402" s="284"/>
      <c r="BE402" s="284"/>
      <c r="BF402" s="284"/>
      <c r="BG402" s="284"/>
      <c r="BH402" s="284"/>
      <c r="BI402" s="284"/>
      <c r="BJ402" s="284"/>
      <c r="BK402" s="284"/>
      <c r="BL402" s="284"/>
      <c r="BM402" s="284"/>
      <c r="BN402" s="284"/>
      <c r="BO402" s="284"/>
      <c r="BP402" s="284"/>
      <c r="BQ402" s="284"/>
      <c r="BR402" s="284"/>
      <c r="BS402" s="284"/>
      <c r="BT402" s="284"/>
      <c r="BU402" s="284"/>
      <c r="BV402" s="284"/>
      <c r="BW402" s="284"/>
      <c r="BX402" s="284"/>
      <c r="BY402" s="284"/>
      <c r="BZ402" s="285"/>
      <c r="CA402" s="298">
        <f>SUM(C402,E402,G402,I402,K402,M402,O402,Q402,S402,U402,W402,Y402,AA402,AC402,AE402,AG402,AI402,AK402,AM402,AO402,AQ402,AS402,AU402,AW402,AY402,BA402,BC402,BE402,BG402,BI402,BK402,BM402,BO402,BQ402,BS402,BU402,BW402,BY402)</f>
        <v>0</v>
      </c>
      <c r="CB402" s="298">
        <f>SUM(D402,F402,H402,J402,L402,N402,P402,R402,T402,V402,X402,Z402,AB402,AD402,AF402,AH402,AJ402,AL402,AN402,AP402,AR402,AT402,AV402,AX402,AZ402,BB402,BD402,BF402,BH402,BJ402,BL402,BN402,BP402,BR402,BT402,BV402,BX402,BZ402)</f>
        <v>0</v>
      </c>
      <c r="CC402" s="299">
        <f>SUM(Table13[[#This Row],[GOALS 1]:[ASSISTS 38]])</f>
        <v>0</v>
      </c>
    </row>
    <row r="403" spans="1:81">
      <c r="A403" s="291" t="s">
        <v>1722</v>
      </c>
      <c r="B403" s="291" t="s">
        <v>20</v>
      </c>
      <c r="C403" s="289"/>
      <c r="D403" s="286"/>
      <c r="E403" s="288"/>
      <c r="F403" s="286"/>
      <c r="G403" s="288"/>
      <c r="H403" s="286"/>
      <c r="I403" s="288"/>
      <c r="J403" s="286"/>
      <c r="K403" s="288"/>
      <c r="L403" s="286"/>
      <c r="M403" s="288"/>
      <c r="N403" s="286"/>
      <c r="O403" s="288"/>
      <c r="P403" s="286"/>
      <c r="Q403" s="288"/>
      <c r="R403" s="286"/>
      <c r="S403" s="288"/>
      <c r="T403" s="286"/>
      <c r="U403" s="288"/>
      <c r="V403" s="286"/>
      <c r="W403" s="288"/>
      <c r="X403" s="286"/>
      <c r="Y403" s="288"/>
      <c r="Z403" s="286"/>
      <c r="AA403" s="288"/>
      <c r="AB403" s="286"/>
      <c r="AC403" s="288"/>
      <c r="AD403" s="286"/>
      <c r="AE403" s="288"/>
      <c r="AF403" s="286"/>
      <c r="AG403" s="288"/>
      <c r="AH403" s="286"/>
      <c r="AI403" s="288"/>
      <c r="AJ403" s="286"/>
      <c r="AK403" s="286"/>
      <c r="AL403" s="286"/>
      <c r="AM403" s="286"/>
      <c r="AN403" s="286"/>
      <c r="AO403" s="286"/>
      <c r="AP403" s="286"/>
      <c r="AQ403" s="286"/>
      <c r="AR403" s="286"/>
      <c r="AS403" s="286"/>
      <c r="AT403" s="286"/>
      <c r="AU403" s="286"/>
      <c r="AV403" s="284"/>
      <c r="AW403" s="284"/>
      <c r="AX403" s="284"/>
      <c r="AY403" s="284"/>
      <c r="AZ403" s="284"/>
      <c r="BA403" s="284"/>
      <c r="BB403" s="284"/>
      <c r="BC403" s="284"/>
      <c r="BD403" s="284"/>
      <c r="BE403" s="284"/>
      <c r="BF403" s="284"/>
      <c r="BG403" s="284"/>
      <c r="BH403" s="284"/>
      <c r="BI403" s="284"/>
      <c r="BJ403" s="284"/>
      <c r="BK403" s="284"/>
      <c r="BL403" s="284"/>
      <c r="BM403" s="284"/>
      <c r="BN403" s="284"/>
      <c r="BO403" s="284"/>
      <c r="BP403" s="284"/>
      <c r="BQ403" s="284"/>
      <c r="BR403" s="284"/>
      <c r="BS403" s="284"/>
      <c r="BT403" s="284"/>
      <c r="BU403" s="284"/>
      <c r="BV403" s="284"/>
      <c r="BW403" s="284"/>
      <c r="BX403" s="284"/>
      <c r="BY403" s="284"/>
      <c r="BZ403" s="285"/>
      <c r="CA403" s="298">
        <f>SUM(C403,E403,G403,I403,K403,M403,O403,Q403,S403,U403,W403,Y403,AA403,AC403,AE403,AG403,AI403,AK403,AM403,AO403,AQ403,AS403,AU403,AW403,AY403,BA403,BC403,BE403,BG403,BI403,BK403,BM403,BO403,BQ403,BS403,BU403,BW403,BY403)</f>
        <v>0</v>
      </c>
      <c r="CB403" s="298">
        <f>SUM(D403,F403,H403,J403,L403,N403,P403,R403,T403,V403,X403,Z403,AB403,AD403,AF403,AH403,AJ403,AL403,AN403,AP403,AR403,AT403,AV403,AX403,AZ403,BB403,BD403,BF403,BH403,BJ403,BL403,BN403,BP403,BR403,BT403,BV403,BX403,BZ403)</f>
        <v>0</v>
      </c>
      <c r="CC403" s="299">
        <f>SUM(Table13[[#This Row],[GOALS 1]:[ASSISTS 38]])</f>
        <v>0</v>
      </c>
    </row>
    <row r="404" spans="1:81">
      <c r="A404" s="291" t="s">
        <v>1792</v>
      </c>
      <c r="B404" s="291" t="s">
        <v>28</v>
      </c>
      <c r="C404" s="286"/>
      <c r="D404" s="286"/>
      <c r="E404" s="288"/>
      <c r="F404" s="286"/>
      <c r="G404" s="288"/>
      <c r="H404" s="286"/>
      <c r="I404" s="288"/>
      <c r="J404" s="286"/>
      <c r="K404" s="288"/>
      <c r="L404" s="286"/>
      <c r="M404" s="288"/>
      <c r="N404" s="286"/>
      <c r="O404" s="288"/>
      <c r="P404" s="286"/>
      <c r="Q404" s="288"/>
      <c r="R404" s="286"/>
      <c r="S404" s="288"/>
      <c r="T404" s="286"/>
      <c r="U404" s="288"/>
      <c r="V404" s="286"/>
      <c r="W404" s="288"/>
      <c r="X404" s="286"/>
      <c r="Y404" s="288"/>
      <c r="Z404" s="286"/>
      <c r="AA404" s="288"/>
      <c r="AB404" s="286"/>
      <c r="AC404" s="288"/>
      <c r="AD404" s="286"/>
      <c r="AE404" s="288"/>
      <c r="AF404" s="286"/>
      <c r="AG404" s="288"/>
      <c r="AH404" s="286"/>
      <c r="AI404" s="288"/>
      <c r="AJ404" s="286"/>
      <c r="AK404" s="286"/>
      <c r="AL404" s="286"/>
      <c r="AM404" s="286"/>
      <c r="AN404" s="286"/>
      <c r="AO404" s="286"/>
      <c r="AP404" s="286"/>
      <c r="AQ404" s="286"/>
      <c r="AR404" s="286"/>
      <c r="AS404" s="286"/>
      <c r="AT404" s="286"/>
      <c r="AU404" s="286"/>
      <c r="AV404" s="284"/>
      <c r="AW404" s="284"/>
      <c r="AX404" s="284"/>
      <c r="AY404" s="284"/>
      <c r="AZ404" s="284"/>
      <c r="BA404" s="284"/>
      <c r="BB404" s="284"/>
      <c r="BC404" s="284"/>
      <c r="BD404" s="284"/>
      <c r="BE404" s="284"/>
      <c r="BF404" s="284"/>
      <c r="BG404" s="284"/>
      <c r="BH404" s="284"/>
      <c r="BI404" s="284"/>
      <c r="BJ404" s="284"/>
      <c r="BK404" s="284"/>
      <c r="BL404" s="284"/>
      <c r="BM404" s="284"/>
      <c r="BN404" s="284"/>
      <c r="BO404" s="284"/>
      <c r="BP404" s="284"/>
      <c r="BQ404" s="284"/>
      <c r="BR404" s="284"/>
      <c r="BS404" s="284"/>
      <c r="BT404" s="284"/>
      <c r="BU404" s="284"/>
      <c r="BV404" s="284"/>
      <c r="BW404" s="284"/>
      <c r="BX404" s="284"/>
      <c r="BY404" s="284"/>
      <c r="BZ404" s="285"/>
      <c r="CA404" s="298">
        <f>SUM(C404,E404,G404,I404,K404,M404,O404,Q404,S404,U404,W404,Y404,AA404,AC404,AE404,AG404,AI404,AK404,AM404,AO404,AQ404,AS404,AU404,AW404,AY404,BA404,BC404,BE404,BG404,BI404,BK404,BM404,BO404,BQ404,BS404,BU404,BW404,BY404)</f>
        <v>0</v>
      </c>
      <c r="CB404" s="298">
        <f>SUM(D404,F404,H404,J404,L404,N404,P404,R404,T404,V404,X404,Z404,AB404,AD404,AF404,AH404,AJ404,AL404,AN404,AP404,AR404,AT404,AV404,AX404,AZ404,BB404,BD404,BF404,BH404,BJ404,BL404,BN404,BP404,BR404,BT404,BV404,BX404,BZ404)</f>
        <v>0</v>
      </c>
      <c r="CC404" s="299">
        <f>SUM(Table13[[#This Row],[GOALS 1]:[ASSISTS 38]])</f>
        <v>0</v>
      </c>
    </row>
    <row r="405" spans="1:81">
      <c r="A405" s="291" t="s">
        <v>1772</v>
      </c>
      <c r="B405" s="291" t="s">
        <v>51</v>
      </c>
      <c r="C405" s="286"/>
      <c r="D405" s="286"/>
      <c r="E405" s="288"/>
      <c r="F405" s="286"/>
      <c r="G405" s="288"/>
      <c r="H405" s="286"/>
      <c r="I405" s="288"/>
      <c r="J405" s="286"/>
      <c r="K405" s="288"/>
      <c r="L405" s="286"/>
      <c r="M405" s="288"/>
      <c r="N405" s="286"/>
      <c r="O405" s="288"/>
      <c r="P405" s="286"/>
      <c r="Q405" s="288"/>
      <c r="R405" s="286"/>
      <c r="S405" s="288"/>
      <c r="T405" s="286"/>
      <c r="U405" s="288"/>
      <c r="V405" s="286"/>
      <c r="W405" s="288"/>
      <c r="X405" s="286"/>
      <c r="Y405" s="288"/>
      <c r="Z405" s="286"/>
      <c r="AA405" s="288"/>
      <c r="AB405" s="286"/>
      <c r="AC405" s="288"/>
      <c r="AD405" s="286"/>
      <c r="AE405" s="288"/>
      <c r="AF405" s="286"/>
      <c r="AG405" s="288"/>
      <c r="AH405" s="286"/>
      <c r="AI405" s="288"/>
      <c r="AJ405" s="286"/>
      <c r="AK405" s="286"/>
      <c r="AL405" s="286"/>
      <c r="AM405" s="286"/>
      <c r="AN405" s="286"/>
      <c r="AO405" s="286"/>
      <c r="AP405" s="286"/>
      <c r="AQ405" s="286"/>
      <c r="AR405" s="286"/>
      <c r="AS405" s="286"/>
      <c r="AT405" s="286"/>
      <c r="AU405" s="286"/>
      <c r="AV405" s="284"/>
      <c r="AW405" s="284"/>
      <c r="AX405" s="284"/>
      <c r="AY405" s="284"/>
      <c r="AZ405" s="284"/>
      <c r="BA405" s="284"/>
      <c r="BB405" s="284"/>
      <c r="BC405" s="284"/>
      <c r="BD405" s="284"/>
      <c r="BE405" s="284"/>
      <c r="BF405" s="284"/>
      <c r="BG405" s="284"/>
      <c r="BH405" s="284"/>
      <c r="BI405" s="284"/>
      <c r="BJ405" s="284"/>
      <c r="BK405" s="284"/>
      <c r="BL405" s="284"/>
      <c r="BM405" s="284"/>
      <c r="BN405" s="284"/>
      <c r="BO405" s="284"/>
      <c r="BP405" s="284"/>
      <c r="BQ405" s="284"/>
      <c r="BR405" s="284"/>
      <c r="BS405" s="284"/>
      <c r="BT405" s="284"/>
      <c r="BU405" s="284"/>
      <c r="BV405" s="284"/>
      <c r="BW405" s="284"/>
      <c r="BX405" s="284"/>
      <c r="BY405" s="284"/>
      <c r="BZ405" s="285"/>
      <c r="CA405" s="298">
        <f>SUM(C405,E405,G405,I405,K405,M405,O405,Q405,S405,U405,W405,Y405,AA405,AC405,AE405,AG405,AI405,AK405,AM405,AO405,AQ405,AS405,AU405,AW405,AY405,BA405,BC405,BE405,BG405,BI405,BK405,BM405,BO405,BQ405,BS405,BU405,BW405,BY405)</f>
        <v>0</v>
      </c>
      <c r="CB405" s="298">
        <f>SUM(D405,F405,H405,J405,L405,N405,P405,R405,T405,V405,X405,Z405,AB405,AD405,AF405,AH405,AJ405,AL405,AN405,AP405,AR405,AT405,AV405,AX405,AZ405,BB405,BD405,BF405,BH405,BJ405,BL405,BN405,BP405,BR405,BT405,BV405,BX405,BZ405)</f>
        <v>0</v>
      </c>
      <c r="CC405" s="299">
        <f>SUM(Table13[[#This Row],[GOALS 1]:[ASSISTS 38]])</f>
        <v>0</v>
      </c>
    </row>
    <row r="406" spans="1:81">
      <c r="A406" s="291" t="s">
        <v>1601</v>
      </c>
      <c r="B406" s="291" t="s">
        <v>22</v>
      </c>
      <c r="C406" s="286"/>
      <c r="D406" s="286"/>
      <c r="E406" s="288"/>
      <c r="F406" s="286"/>
      <c r="G406" s="288"/>
      <c r="H406" s="286"/>
      <c r="I406" s="288"/>
      <c r="J406" s="286"/>
      <c r="K406" s="288"/>
      <c r="L406" s="286"/>
      <c r="M406" s="288"/>
      <c r="N406" s="286"/>
      <c r="O406" s="288"/>
      <c r="P406" s="286"/>
      <c r="Q406" s="288"/>
      <c r="R406" s="286"/>
      <c r="S406" s="288"/>
      <c r="T406" s="286"/>
      <c r="U406" s="288"/>
      <c r="V406" s="286"/>
      <c r="W406" s="288"/>
      <c r="X406" s="286"/>
      <c r="Y406" s="288"/>
      <c r="Z406" s="286"/>
      <c r="AA406" s="288"/>
      <c r="AB406" s="286"/>
      <c r="AC406" s="288"/>
      <c r="AD406" s="286"/>
      <c r="AE406" s="288"/>
      <c r="AF406" s="286"/>
      <c r="AG406" s="288"/>
      <c r="AH406" s="286"/>
      <c r="AI406" s="288"/>
      <c r="AJ406" s="286"/>
      <c r="AK406" s="286"/>
      <c r="AL406" s="286"/>
      <c r="AM406" s="286"/>
      <c r="AN406" s="286"/>
      <c r="AO406" s="286"/>
      <c r="AP406" s="286"/>
      <c r="AQ406" s="286"/>
      <c r="AR406" s="286"/>
      <c r="AS406" s="286"/>
      <c r="AT406" s="286"/>
      <c r="AU406" s="286"/>
      <c r="AV406" s="284"/>
      <c r="AW406" s="284"/>
      <c r="AX406" s="284"/>
      <c r="AY406" s="284"/>
      <c r="AZ406" s="284"/>
      <c r="BA406" s="284"/>
      <c r="BB406" s="284"/>
      <c r="BC406" s="284"/>
      <c r="BD406" s="284"/>
      <c r="BE406" s="284"/>
      <c r="BF406" s="284"/>
      <c r="BG406" s="284"/>
      <c r="BH406" s="284"/>
      <c r="BI406" s="284"/>
      <c r="BJ406" s="284"/>
      <c r="BK406" s="284"/>
      <c r="BL406" s="284"/>
      <c r="BM406" s="284"/>
      <c r="BN406" s="284"/>
      <c r="BO406" s="284"/>
      <c r="BP406" s="284"/>
      <c r="BQ406" s="284"/>
      <c r="BR406" s="284"/>
      <c r="BS406" s="284"/>
      <c r="BT406" s="284"/>
      <c r="BU406" s="284"/>
      <c r="BV406" s="284"/>
      <c r="BW406" s="284"/>
      <c r="BX406" s="284"/>
      <c r="BY406" s="284"/>
      <c r="BZ406" s="285"/>
      <c r="CA406" s="298">
        <f>SUM(C406,E406,G406,I406,K406,M406,O406,Q406,S406,U406,W406,Y406,AA406,AC406,AE406,AG406,AI406,AK406,AM406,AO406,AQ406,AS406,AU406,AW406,AY406,BA406,BC406,BE406,BG406,BI406,BK406,BM406,BO406,BQ406,BS406,BU406,BW406,BY406)</f>
        <v>0</v>
      </c>
      <c r="CB406" s="298">
        <f>SUM(D406,F406,H406,J406,L406,N406,P406,R406,T406,V406,X406,Z406,AB406,AD406,AF406,AH406,AJ406,AL406,AN406,AP406,AR406,AT406,AV406,AX406,AZ406,BB406,BD406,BF406,BH406,BJ406,BL406,BN406,BP406,BR406,BT406,BV406,BX406,BZ406)</f>
        <v>0</v>
      </c>
      <c r="CC406" s="299">
        <f>SUM(Table13[[#This Row],[GOALS 1]:[ASSISTS 38]])</f>
        <v>0</v>
      </c>
    </row>
    <row r="407" spans="1:81">
      <c r="A407" s="291" t="s">
        <v>1562</v>
      </c>
      <c r="B407" s="291" t="s">
        <v>22</v>
      </c>
      <c r="C407" s="286"/>
      <c r="D407" s="286"/>
      <c r="E407" s="288"/>
      <c r="F407" s="286"/>
      <c r="G407" s="288"/>
      <c r="H407" s="286"/>
      <c r="I407" s="288"/>
      <c r="J407" s="286"/>
      <c r="K407" s="288"/>
      <c r="L407" s="286"/>
      <c r="M407" s="288"/>
      <c r="N407" s="286"/>
      <c r="O407" s="288"/>
      <c r="P407" s="286"/>
      <c r="Q407" s="288"/>
      <c r="R407" s="286"/>
      <c r="S407" s="288"/>
      <c r="T407" s="286"/>
      <c r="U407" s="288"/>
      <c r="V407" s="286"/>
      <c r="W407" s="288"/>
      <c r="X407" s="286"/>
      <c r="Y407" s="288"/>
      <c r="Z407" s="286"/>
      <c r="AA407" s="288"/>
      <c r="AB407" s="286"/>
      <c r="AC407" s="288"/>
      <c r="AD407" s="286"/>
      <c r="AE407" s="288"/>
      <c r="AF407" s="286"/>
      <c r="AG407" s="288"/>
      <c r="AH407" s="286"/>
      <c r="AI407" s="288"/>
      <c r="AJ407" s="286"/>
      <c r="AK407" s="286"/>
      <c r="AL407" s="286"/>
      <c r="AM407" s="286"/>
      <c r="AN407" s="286"/>
      <c r="AO407" s="286"/>
      <c r="AP407" s="286"/>
      <c r="AQ407" s="286"/>
      <c r="AR407" s="286"/>
      <c r="AS407" s="286"/>
      <c r="AT407" s="286"/>
      <c r="AU407" s="286"/>
      <c r="AV407" s="284"/>
      <c r="AW407" s="284"/>
      <c r="AX407" s="284"/>
      <c r="AY407" s="284"/>
      <c r="AZ407" s="284"/>
      <c r="BA407" s="284"/>
      <c r="BB407" s="284"/>
      <c r="BC407" s="284"/>
      <c r="BD407" s="284"/>
      <c r="BE407" s="284"/>
      <c r="BF407" s="284"/>
      <c r="BG407" s="284"/>
      <c r="BH407" s="284"/>
      <c r="BI407" s="284"/>
      <c r="BJ407" s="284"/>
      <c r="BK407" s="284"/>
      <c r="BL407" s="284"/>
      <c r="BM407" s="284"/>
      <c r="BN407" s="284"/>
      <c r="BO407" s="284"/>
      <c r="BP407" s="284"/>
      <c r="BQ407" s="284"/>
      <c r="BR407" s="284"/>
      <c r="BS407" s="284"/>
      <c r="BT407" s="284"/>
      <c r="BU407" s="284"/>
      <c r="BV407" s="284"/>
      <c r="BW407" s="284"/>
      <c r="BX407" s="284"/>
      <c r="BY407" s="284"/>
      <c r="BZ407" s="285"/>
      <c r="CA407" s="298">
        <f>SUM(C407,E407,G407,I407,K407,M407,O407,Q407,S407,U407,W407,Y407,AA407,AC407,AE407,AG407,AI407,AK407,AM407,AO407,AQ407,AS407,AU407,AW407,AY407,BA407,BC407,BE407,BG407,BI407,BK407,BM407,BO407,BQ407,BS407,BU407,BW407,BY407)</f>
        <v>0</v>
      </c>
      <c r="CB407" s="298">
        <f>SUM(D407,F407,H407,J407,L407,N407,P407,R407,T407,V407,X407,Z407,AB407,AD407,AF407,AH407,AJ407,AL407,AN407,AP407,AR407,AT407,AV407,AX407,AZ407,BB407,BD407,BF407,BH407,BJ407,BL407,BN407,BP407,BR407,BT407,BV407,BX407,BZ407)</f>
        <v>0</v>
      </c>
      <c r="CC407" s="299">
        <f>SUM(Table13[[#This Row],[GOALS 1]:[ASSISTS 38]])</f>
        <v>0</v>
      </c>
    </row>
    <row r="408" spans="1:81">
      <c r="A408" s="291" t="s">
        <v>1440</v>
      </c>
      <c r="B408" s="291" t="s">
        <v>19</v>
      </c>
      <c r="C408" s="286"/>
      <c r="D408" s="286"/>
      <c r="E408" s="288"/>
      <c r="F408" s="286"/>
      <c r="G408" s="288"/>
      <c r="H408" s="286"/>
      <c r="I408" s="288"/>
      <c r="J408" s="286"/>
      <c r="K408" s="288"/>
      <c r="L408" s="286"/>
      <c r="M408" s="288"/>
      <c r="N408" s="286"/>
      <c r="O408" s="288"/>
      <c r="P408" s="286"/>
      <c r="Q408" s="288"/>
      <c r="R408" s="286"/>
      <c r="S408" s="288"/>
      <c r="T408" s="286"/>
      <c r="U408" s="288"/>
      <c r="V408" s="286"/>
      <c r="W408" s="288"/>
      <c r="X408" s="286"/>
      <c r="Y408" s="288"/>
      <c r="Z408" s="286"/>
      <c r="AA408" s="288"/>
      <c r="AB408" s="286"/>
      <c r="AC408" s="288"/>
      <c r="AD408" s="286"/>
      <c r="AE408" s="288"/>
      <c r="AF408" s="286"/>
      <c r="AG408" s="288"/>
      <c r="AH408" s="286"/>
      <c r="AI408" s="288"/>
      <c r="AJ408" s="286"/>
      <c r="AK408" s="286"/>
      <c r="AL408" s="286"/>
      <c r="AM408" s="286"/>
      <c r="AN408" s="286"/>
      <c r="AO408" s="286"/>
      <c r="AP408" s="286"/>
      <c r="AQ408" s="286"/>
      <c r="AR408" s="286"/>
      <c r="AS408" s="286"/>
      <c r="AT408" s="286"/>
      <c r="AU408" s="286"/>
      <c r="AV408" s="284"/>
      <c r="AW408" s="284"/>
      <c r="AX408" s="284"/>
      <c r="AY408" s="284"/>
      <c r="AZ408" s="284"/>
      <c r="BA408" s="284"/>
      <c r="BB408" s="284"/>
      <c r="BC408" s="284"/>
      <c r="BD408" s="284"/>
      <c r="BE408" s="284"/>
      <c r="BF408" s="284"/>
      <c r="BG408" s="284"/>
      <c r="BH408" s="284"/>
      <c r="BI408" s="284"/>
      <c r="BJ408" s="284"/>
      <c r="BK408" s="284"/>
      <c r="BL408" s="284"/>
      <c r="BM408" s="284"/>
      <c r="BN408" s="284"/>
      <c r="BO408" s="284"/>
      <c r="BP408" s="284"/>
      <c r="BQ408" s="284"/>
      <c r="BR408" s="284"/>
      <c r="BS408" s="284"/>
      <c r="BT408" s="284"/>
      <c r="BU408" s="284"/>
      <c r="BV408" s="284"/>
      <c r="BW408" s="284"/>
      <c r="BX408" s="284"/>
      <c r="BY408" s="284"/>
      <c r="BZ408" s="285"/>
      <c r="CA408" s="298">
        <f>SUM(C408,E408,G408,I408,K408,M408,O408,Q408,S408,U408,W408,Y408,AA408,AC408,AE408,AG408,AI408,AK408,AM408,AO408,AQ408,AS408,AU408,AW408,AY408,BA408,BC408,BE408,BG408,BI408,BK408,BM408,BO408,BQ408,BS408,BU408,BW408,BY408)</f>
        <v>0</v>
      </c>
      <c r="CB408" s="298">
        <f>SUM(D408,F408,H408,J408,L408,N408,P408,R408,T408,V408,X408,Z408,AB408,AD408,AF408,AH408,AJ408,AL408,AN408,AP408,AR408,AT408,AV408,AX408,AZ408,BB408,BD408,BF408,BH408,BJ408,BL408,BN408,BP408,BR408,BT408,BV408,BX408,BZ408)</f>
        <v>0</v>
      </c>
      <c r="CC408" s="299">
        <f>SUM(Table13[[#This Row],[GOALS 1]:[ASSISTS 38]])</f>
        <v>0</v>
      </c>
    </row>
    <row r="409" spans="1:81">
      <c r="A409" s="291" t="s">
        <v>1632</v>
      </c>
      <c r="B409" s="291" t="s">
        <v>28</v>
      </c>
      <c r="C409" s="286"/>
      <c r="D409" s="286"/>
      <c r="E409" s="288"/>
      <c r="F409" s="286"/>
      <c r="G409" s="288"/>
      <c r="H409" s="286"/>
      <c r="I409" s="288"/>
      <c r="J409" s="286"/>
      <c r="K409" s="288"/>
      <c r="L409" s="286"/>
      <c r="M409" s="288"/>
      <c r="N409" s="286"/>
      <c r="O409" s="288"/>
      <c r="P409" s="286"/>
      <c r="Q409" s="288"/>
      <c r="R409" s="286"/>
      <c r="S409" s="288"/>
      <c r="T409" s="286"/>
      <c r="U409" s="288"/>
      <c r="V409" s="286"/>
      <c r="W409" s="288"/>
      <c r="X409" s="286"/>
      <c r="Y409" s="288"/>
      <c r="Z409" s="286"/>
      <c r="AA409" s="288"/>
      <c r="AB409" s="286"/>
      <c r="AC409" s="288"/>
      <c r="AD409" s="286"/>
      <c r="AE409" s="288"/>
      <c r="AF409" s="286"/>
      <c r="AG409" s="288"/>
      <c r="AH409" s="286"/>
      <c r="AI409" s="288"/>
      <c r="AJ409" s="286"/>
      <c r="AK409" s="286"/>
      <c r="AL409" s="286"/>
      <c r="AM409" s="286"/>
      <c r="AN409" s="286"/>
      <c r="AO409" s="286"/>
      <c r="AP409" s="286"/>
      <c r="AQ409" s="286"/>
      <c r="AR409" s="286"/>
      <c r="AS409" s="286"/>
      <c r="AT409" s="286"/>
      <c r="AU409" s="286"/>
      <c r="AV409" s="284"/>
      <c r="AW409" s="284"/>
      <c r="AX409" s="284"/>
      <c r="AY409" s="284"/>
      <c r="AZ409" s="284"/>
      <c r="BA409" s="284"/>
      <c r="BB409" s="284"/>
      <c r="BC409" s="284"/>
      <c r="BD409" s="284"/>
      <c r="BE409" s="284"/>
      <c r="BF409" s="284"/>
      <c r="BG409" s="284"/>
      <c r="BH409" s="284"/>
      <c r="BI409" s="284"/>
      <c r="BJ409" s="284"/>
      <c r="BK409" s="284"/>
      <c r="BL409" s="284"/>
      <c r="BM409" s="284"/>
      <c r="BN409" s="284"/>
      <c r="BO409" s="284"/>
      <c r="BP409" s="284"/>
      <c r="BQ409" s="284"/>
      <c r="BR409" s="284"/>
      <c r="BS409" s="284"/>
      <c r="BT409" s="284"/>
      <c r="BU409" s="284"/>
      <c r="BV409" s="284"/>
      <c r="BW409" s="284"/>
      <c r="BX409" s="284"/>
      <c r="BY409" s="284"/>
      <c r="BZ409" s="285"/>
      <c r="CA409" s="298">
        <f>SUM(C409,E409,G409,I409,K409,M409,O409,Q409,S409,U409,W409,Y409,AA409,AC409,AE409,AG409,AI409,AK409,AM409,AO409,AQ409,AS409,AU409,AW409,AY409,BA409,BC409,BE409,BG409,BI409,BK409,BM409,BO409,BQ409,BS409,BU409,BW409,BY409)</f>
        <v>0</v>
      </c>
      <c r="CB409" s="298">
        <f>SUM(D409,F409,H409,J409,L409,N409,P409,R409,T409,V409,X409,Z409,AB409,AD409,AF409,AH409,AJ409,AL409,AN409,AP409,AR409,AT409,AV409,AX409,AZ409,BB409,BD409,BF409,BH409,BJ409,BL409,BN409,BP409,BR409,BT409,BV409,BX409,BZ409)</f>
        <v>0</v>
      </c>
      <c r="CC409" s="299">
        <f>SUM(Table13[[#This Row],[GOALS 1]:[ASSISTS 38]])</f>
        <v>0</v>
      </c>
    </row>
    <row r="410" spans="1:81">
      <c r="A410" s="291" t="s">
        <v>1686</v>
      </c>
      <c r="B410" s="291" t="s">
        <v>633</v>
      </c>
      <c r="C410" s="289"/>
      <c r="D410" s="286"/>
      <c r="E410" s="288"/>
      <c r="F410" s="286"/>
      <c r="G410" s="288"/>
      <c r="H410" s="286"/>
      <c r="I410" s="288"/>
      <c r="J410" s="286"/>
      <c r="K410" s="288"/>
      <c r="L410" s="286"/>
      <c r="M410" s="288"/>
      <c r="N410" s="286"/>
      <c r="O410" s="288"/>
      <c r="P410" s="286"/>
      <c r="Q410" s="288"/>
      <c r="R410" s="286"/>
      <c r="S410" s="288"/>
      <c r="T410" s="286"/>
      <c r="U410" s="288"/>
      <c r="V410" s="286"/>
      <c r="W410" s="288"/>
      <c r="X410" s="286"/>
      <c r="Y410" s="288"/>
      <c r="Z410" s="286"/>
      <c r="AA410" s="288"/>
      <c r="AB410" s="286"/>
      <c r="AC410" s="288"/>
      <c r="AD410" s="286"/>
      <c r="AE410" s="288"/>
      <c r="AF410" s="286"/>
      <c r="AG410" s="288"/>
      <c r="AH410" s="286"/>
      <c r="AI410" s="288"/>
      <c r="AJ410" s="286"/>
      <c r="AK410" s="286"/>
      <c r="AL410" s="286"/>
      <c r="AM410" s="286"/>
      <c r="AN410" s="286"/>
      <c r="AO410" s="286"/>
      <c r="AP410" s="286"/>
      <c r="AQ410" s="286"/>
      <c r="AR410" s="286"/>
      <c r="AS410" s="286"/>
      <c r="AT410" s="286"/>
      <c r="AU410" s="286"/>
      <c r="AV410" s="284"/>
      <c r="AW410" s="284"/>
      <c r="AX410" s="284"/>
      <c r="AY410" s="284"/>
      <c r="AZ410" s="284"/>
      <c r="BA410" s="284"/>
      <c r="BB410" s="284"/>
      <c r="BC410" s="284"/>
      <c r="BD410" s="284"/>
      <c r="BE410" s="284"/>
      <c r="BF410" s="284"/>
      <c r="BG410" s="284"/>
      <c r="BH410" s="284"/>
      <c r="BI410" s="284"/>
      <c r="BJ410" s="284"/>
      <c r="BK410" s="284"/>
      <c r="BL410" s="284"/>
      <c r="BM410" s="284"/>
      <c r="BN410" s="284"/>
      <c r="BO410" s="284"/>
      <c r="BP410" s="284"/>
      <c r="BQ410" s="284"/>
      <c r="BR410" s="284"/>
      <c r="BS410" s="284"/>
      <c r="BT410" s="284"/>
      <c r="BU410" s="284"/>
      <c r="BV410" s="284"/>
      <c r="BW410" s="284"/>
      <c r="BX410" s="284"/>
      <c r="BY410" s="284"/>
      <c r="BZ410" s="285"/>
      <c r="CA410" s="298">
        <f>SUM(C410,E410,G410,I410,K410,M410,O410,Q410,S410,U410,W410,Y410,AA410,AC410,AE410,AG410,AI410,AK410,AM410,AO410,AQ410,AS410,AU410,AW410,AY410,BA410,BC410,BE410,BG410,BI410,BK410,BM410,BO410,BQ410,BS410,BU410,BW410,BY410)</f>
        <v>0</v>
      </c>
      <c r="CB410" s="298">
        <f>SUM(D410,F410,H410,J410,L410,N410,P410,R410,T410,V410,X410,Z410,AB410,AD410,AF410,AH410,AJ410,AL410,AN410,AP410,AR410,AT410,AV410,AX410,AZ410,BB410,BD410,BF410,BH410,BJ410,BL410,BN410,BP410,BR410,BT410,BV410,BX410,BZ410)</f>
        <v>0</v>
      </c>
      <c r="CC410" s="299">
        <f>SUM(Table13[[#This Row],[GOALS 1]:[ASSISTS 38]])</f>
        <v>0</v>
      </c>
    </row>
    <row r="411" spans="1:81">
      <c r="A411" s="291" t="s">
        <v>1737</v>
      </c>
      <c r="B411" s="291" t="s">
        <v>18</v>
      </c>
      <c r="C411" s="286"/>
      <c r="D411" s="286"/>
      <c r="E411" s="288"/>
      <c r="F411" s="286"/>
      <c r="G411" s="288"/>
      <c r="H411" s="286"/>
      <c r="I411" s="288"/>
      <c r="J411" s="286"/>
      <c r="K411" s="288"/>
      <c r="L411" s="286"/>
      <c r="M411" s="288"/>
      <c r="N411" s="286"/>
      <c r="O411" s="288"/>
      <c r="P411" s="286"/>
      <c r="Q411" s="288"/>
      <c r="R411" s="286"/>
      <c r="S411" s="288"/>
      <c r="T411" s="286"/>
      <c r="U411" s="288"/>
      <c r="V411" s="286"/>
      <c r="W411" s="288"/>
      <c r="X411" s="286"/>
      <c r="Y411" s="288"/>
      <c r="Z411" s="286"/>
      <c r="AA411" s="288"/>
      <c r="AB411" s="286"/>
      <c r="AC411" s="288"/>
      <c r="AD411" s="286"/>
      <c r="AE411" s="288"/>
      <c r="AF411" s="286"/>
      <c r="AG411" s="288"/>
      <c r="AH411" s="286"/>
      <c r="AI411" s="288"/>
      <c r="AJ411" s="286"/>
      <c r="AK411" s="286"/>
      <c r="AL411" s="286"/>
      <c r="AM411" s="286"/>
      <c r="AN411" s="286"/>
      <c r="AO411" s="286"/>
      <c r="AP411" s="286"/>
      <c r="AQ411" s="286"/>
      <c r="AR411" s="286"/>
      <c r="AS411" s="286"/>
      <c r="AT411" s="286"/>
      <c r="AU411" s="286"/>
      <c r="AV411" s="284"/>
      <c r="AW411" s="284"/>
      <c r="AX411" s="284"/>
      <c r="AY411" s="284"/>
      <c r="AZ411" s="284"/>
      <c r="BA411" s="284"/>
      <c r="BB411" s="284"/>
      <c r="BC411" s="284"/>
      <c r="BD411" s="284"/>
      <c r="BE411" s="284"/>
      <c r="BF411" s="284"/>
      <c r="BG411" s="284"/>
      <c r="BH411" s="284"/>
      <c r="BI411" s="284"/>
      <c r="BJ411" s="284"/>
      <c r="BK411" s="284"/>
      <c r="BL411" s="284"/>
      <c r="BM411" s="284"/>
      <c r="BN411" s="284"/>
      <c r="BO411" s="284"/>
      <c r="BP411" s="284"/>
      <c r="BQ411" s="284"/>
      <c r="BR411" s="284"/>
      <c r="BS411" s="284"/>
      <c r="BT411" s="284"/>
      <c r="BU411" s="284"/>
      <c r="BV411" s="284"/>
      <c r="BW411" s="284"/>
      <c r="BX411" s="284"/>
      <c r="BY411" s="284"/>
      <c r="BZ411" s="285"/>
      <c r="CA411" s="298">
        <f>SUM(C411,E411,G411,I411,K411,M411,O411,Q411,S411,U411,W411,Y411,AA411,AC411,AE411,AG411,AI411,AK411,AM411,AO411,AQ411,AS411,AU411,AW411,AY411,BA411,BC411,BE411,BG411,BI411,BK411,BM411,BO411,BQ411,BS411,BU411,BW411,BY411)</f>
        <v>0</v>
      </c>
      <c r="CB411" s="298">
        <f>SUM(D411,F411,H411,J411,L411,N411,P411,R411,T411,V411,X411,Z411,AB411,AD411,AF411,AH411,AJ411,AL411,AN411,AP411,AR411,AT411,AV411,AX411,AZ411,BB411,BD411,BF411,BH411,BJ411,BL411,BN411,BP411,BR411,BT411,BV411,BX411,BZ411)</f>
        <v>0</v>
      </c>
      <c r="CC411" s="299">
        <f>SUM(Table13[[#This Row],[GOALS 1]:[ASSISTS 38]])</f>
        <v>0</v>
      </c>
    </row>
    <row r="412" spans="1:81">
      <c r="A412" s="291" t="s">
        <v>1594</v>
      </c>
      <c r="B412" s="291" t="s">
        <v>27</v>
      </c>
      <c r="C412" s="286"/>
      <c r="D412" s="286"/>
      <c r="E412" s="289"/>
      <c r="F412" s="286"/>
      <c r="G412" s="288"/>
      <c r="H412" s="286"/>
      <c r="I412" s="288"/>
      <c r="J412" s="286"/>
      <c r="K412" s="288"/>
      <c r="L412" s="286"/>
      <c r="M412" s="288"/>
      <c r="N412" s="286"/>
      <c r="O412" s="288"/>
      <c r="P412" s="286"/>
      <c r="Q412" s="288"/>
      <c r="R412" s="286"/>
      <c r="S412" s="288"/>
      <c r="T412" s="286"/>
      <c r="U412" s="288"/>
      <c r="V412" s="286"/>
      <c r="W412" s="288"/>
      <c r="X412" s="286"/>
      <c r="Y412" s="288"/>
      <c r="Z412" s="286"/>
      <c r="AA412" s="288"/>
      <c r="AB412" s="286"/>
      <c r="AC412" s="288"/>
      <c r="AD412" s="286"/>
      <c r="AE412" s="288"/>
      <c r="AF412" s="286"/>
      <c r="AG412" s="288"/>
      <c r="AH412" s="286"/>
      <c r="AI412" s="288"/>
      <c r="AJ412" s="286"/>
      <c r="AK412" s="286"/>
      <c r="AL412" s="286"/>
      <c r="AM412" s="286"/>
      <c r="AN412" s="286"/>
      <c r="AO412" s="286"/>
      <c r="AP412" s="286"/>
      <c r="AQ412" s="286"/>
      <c r="AR412" s="286"/>
      <c r="AS412" s="286"/>
      <c r="AT412" s="286"/>
      <c r="AU412" s="286"/>
      <c r="AV412" s="284"/>
      <c r="AW412" s="284"/>
      <c r="AX412" s="284"/>
      <c r="AY412" s="284"/>
      <c r="AZ412" s="284"/>
      <c r="BA412" s="284"/>
      <c r="BB412" s="284"/>
      <c r="BC412" s="284"/>
      <c r="BD412" s="284"/>
      <c r="BE412" s="284"/>
      <c r="BF412" s="284"/>
      <c r="BG412" s="284"/>
      <c r="BH412" s="284"/>
      <c r="BI412" s="284"/>
      <c r="BJ412" s="284"/>
      <c r="BK412" s="284"/>
      <c r="BL412" s="284"/>
      <c r="BM412" s="284"/>
      <c r="BN412" s="284"/>
      <c r="BO412" s="284"/>
      <c r="BP412" s="284"/>
      <c r="BQ412" s="284"/>
      <c r="BR412" s="284"/>
      <c r="BS412" s="284"/>
      <c r="BT412" s="284"/>
      <c r="BU412" s="284"/>
      <c r="BV412" s="284"/>
      <c r="BW412" s="284"/>
      <c r="BX412" s="284"/>
      <c r="BY412" s="284"/>
      <c r="BZ412" s="285"/>
      <c r="CA412" s="298">
        <f>SUM(C412,E412,G412,I412,K412,M412,O412,Q412,S412,U412,W412,Y412,AA412,AC412,AE412,AG412,AI412,AK412,AM412,AO412,AQ412,AS412,AU412,AW412,AY412,BA412,BC412,BE412,BG412,BI412,BK412,BM412,BO412,BQ412,BS412,BU412,BW412,BY412)</f>
        <v>0</v>
      </c>
      <c r="CB412" s="298">
        <f>SUM(D412,F412,H412,J412,L412,N412,P412,R412,T412,V412,X412,Z412,AB412,AD412,AF412,AH412,AJ412,AL412,AN412,AP412,AR412,AT412,AV412,AX412,AZ412,BB412,BD412,BF412,BH412,BJ412,BL412,BN412,BP412,BR412,BT412,BV412,BX412,BZ412)</f>
        <v>0</v>
      </c>
      <c r="CC412" s="299">
        <f>SUM(Table13[[#This Row],[GOALS 1]:[ASSISTS 38]])</f>
        <v>0</v>
      </c>
    </row>
    <row r="413" spans="1:81">
      <c r="A413" s="291" t="s">
        <v>1552</v>
      </c>
      <c r="B413" s="291" t="s">
        <v>43</v>
      </c>
      <c r="C413" s="286"/>
      <c r="D413" s="286"/>
      <c r="E413" s="288"/>
      <c r="F413" s="286"/>
      <c r="G413" s="288"/>
      <c r="H413" s="286"/>
      <c r="I413" s="288"/>
      <c r="J413" s="286"/>
      <c r="K413" s="288"/>
      <c r="L413" s="286"/>
      <c r="M413" s="288"/>
      <c r="N413" s="286"/>
      <c r="O413" s="288"/>
      <c r="P413" s="286"/>
      <c r="Q413" s="288"/>
      <c r="R413" s="286"/>
      <c r="S413" s="288"/>
      <c r="T413" s="286"/>
      <c r="U413" s="288"/>
      <c r="V413" s="286"/>
      <c r="W413" s="288"/>
      <c r="X413" s="286"/>
      <c r="Y413" s="288"/>
      <c r="Z413" s="286"/>
      <c r="AA413" s="288"/>
      <c r="AB413" s="286"/>
      <c r="AC413" s="288"/>
      <c r="AD413" s="286"/>
      <c r="AE413" s="288"/>
      <c r="AF413" s="286"/>
      <c r="AG413" s="288"/>
      <c r="AH413" s="286"/>
      <c r="AI413" s="288"/>
      <c r="AJ413" s="286"/>
      <c r="AK413" s="286"/>
      <c r="AL413" s="286"/>
      <c r="AM413" s="286"/>
      <c r="AN413" s="286"/>
      <c r="AO413" s="286"/>
      <c r="AP413" s="286"/>
      <c r="AQ413" s="286"/>
      <c r="AR413" s="286"/>
      <c r="AS413" s="286"/>
      <c r="AT413" s="286"/>
      <c r="AU413" s="286"/>
      <c r="AV413" s="284"/>
      <c r="AW413" s="284"/>
      <c r="AX413" s="284"/>
      <c r="AY413" s="284"/>
      <c r="AZ413" s="284"/>
      <c r="BA413" s="284"/>
      <c r="BB413" s="284"/>
      <c r="BC413" s="284"/>
      <c r="BD413" s="284"/>
      <c r="BE413" s="284"/>
      <c r="BF413" s="284"/>
      <c r="BG413" s="284"/>
      <c r="BH413" s="284"/>
      <c r="BI413" s="284"/>
      <c r="BJ413" s="284"/>
      <c r="BK413" s="284"/>
      <c r="BL413" s="284"/>
      <c r="BM413" s="284"/>
      <c r="BN413" s="284"/>
      <c r="BO413" s="284"/>
      <c r="BP413" s="284"/>
      <c r="BQ413" s="284"/>
      <c r="BR413" s="284"/>
      <c r="BS413" s="284"/>
      <c r="BT413" s="284"/>
      <c r="BU413" s="284"/>
      <c r="BV413" s="284"/>
      <c r="BW413" s="284"/>
      <c r="BX413" s="284"/>
      <c r="BY413" s="284"/>
      <c r="BZ413" s="285"/>
      <c r="CA413" s="298">
        <f>SUM(C413,E413,G413,I413,K413,M413,O413,Q413,S413,U413,W413,Y413,AA413,AC413,AE413,AG413,AI413,AK413,AM413,AO413,AQ413,AS413,AU413,AW413,AY413,BA413,BC413,BE413,BG413,BI413,BK413,BM413,BO413,BQ413,BS413,BU413,BW413,BY413)</f>
        <v>0</v>
      </c>
      <c r="CB413" s="298">
        <f>SUM(D413,F413,H413,J413,L413,N413,P413,R413,T413,V413,X413,Z413,AB413,AD413,AF413,AH413,AJ413,AL413,AN413,AP413,AR413,AT413,AV413,AX413,AZ413,BB413,BD413,BF413,BH413,BJ413,BL413,BN413,BP413,BR413,BT413,BV413,BX413,BZ413)</f>
        <v>0</v>
      </c>
      <c r="CC413" s="299">
        <f>SUM(Table13[[#This Row],[GOALS 1]:[ASSISTS 38]])</f>
        <v>0</v>
      </c>
    </row>
    <row r="414" spans="1:81">
      <c r="A414" s="291" t="s">
        <v>1803</v>
      </c>
      <c r="B414" s="291" t="s">
        <v>19</v>
      </c>
      <c r="C414" s="286"/>
      <c r="D414" s="286"/>
      <c r="E414" s="288"/>
      <c r="F414" s="286"/>
      <c r="G414" s="288"/>
      <c r="H414" s="286"/>
      <c r="I414" s="288"/>
      <c r="J414" s="286"/>
      <c r="K414" s="288"/>
      <c r="L414" s="286"/>
      <c r="M414" s="288"/>
      <c r="N414" s="286"/>
      <c r="O414" s="288"/>
      <c r="P414" s="286"/>
      <c r="Q414" s="288"/>
      <c r="R414" s="286"/>
      <c r="S414" s="288"/>
      <c r="T414" s="286"/>
      <c r="U414" s="288"/>
      <c r="V414" s="286"/>
      <c r="W414" s="288"/>
      <c r="X414" s="286"/>
      <c r="Y414" s="288"/>
      <c r="Z414" s="286"/>
      <c r="AA414" s="288"/>
      <c r="AB414" s="286"/>
      <c r="AC414" s="288"/>
      <c r="AD414" s="286"/>
      <c r="AE414" s="288"/>
      <c r="AF414" s="286"/>
      <c r="AG414" s="288"/>
      <c r="AH414" s="286"/>
      <c r="AI414" s="288"/>
      <c r="AJ414" s="286"/>
      <c r="AK414" s="286"/>
      <c r="AL414" s="286"/>
      <c r="AM414" s="286"/>
      <c r="AN414" s="286"/>
      <c r="AO414" s="286"/>
      <c r="AP414" s="286"/>
      <c r="AQ414" s="286"/>
      <c r="AR414" s="286"/>
      <c r="AS414" s="286"/>
      <c r="AT414" s="286"/>
      <c r="AU414" s="286"/>
      <c r="AV414" s="284"/>
      <c r="AW414" s="284"/>
      <c r="AX414" s="284"/>
      <c r="AY414" s="284"/>
      <c r="AZ414" s="284"/>
      <c r="BA414" s="284"/>
      <c r="BB414" s="284"/>
      <c r="BC414" s="284"/>
      <c r="BD414" s="284"/>
      <c r="BE414" s="284"/>
      <c r="BF414" s="284"/>
      <c r="BG414" s="284"/>
      <c r="BH414" s="284"/>
      <c r="BI414" s="284"/>
      <c r="BJ414" s="284"/>
      <c r="BK414" s="284"/>
      <c r="BL414" s="284"/>
      <c r="BM414" s="284"/>
      <c r="BN414" s="284"/>
      <c r="BO414" s="284"/>
      <c r="BP414" s="284"/>
      <c r="BQ414" s="284"/>
      <c r="BR414" s="284"/>
      <c r="BS414" s="284"/>
      <c r="BT414" s="284"/>
      <c r="BU414" s="284"/>
      <c r="BV414" s="284"/>
      <c r="BW414" s="284"/>
      <c r="BX414" s="284"/>
      <c r="BY414" s="284"/>
      <c r="BZ414" s="285"/>
      <c r="CA414" s="298">
        <f>SUM(C414,E414,G414,I414,K414,M414,O414,Q414,S414,U414,W414,Y414,AA414,AC414,AE414,AG414,AI414,AK414,AM414,AO414,AQ414,AS414,AU414,AW414,AY414,BA414,BC414,BE414,BG414,BI414,BK414,BM414,BO414,BQ414,BS414,BU414,BW414,BY414)</f>
        <v>0</v>
      </c>
      <c r="CB414" s="298">
        <f>SUM(D414,F414,H414,J414,L414,N414,P414,R414,T414,V414,X414,Z414,AB414,AD414,AF414,AH414,AJ414,AL414,AN414,AP414,AR414,AT414,AV414,AX414,AZ414,BB414,BD414,BF414,BH414,BJ414,BL414,BN414,BP414,BR414,BT414,BV414,BX414,BZ414)</f>
        <v>0</v>
      </c>
      <c r="CC414" s="299">
        <f>SUM(Table13[[#This Row],[GOALS 1]:[ASSISTS 38]])</f>
        <v>0</v>
      </c>
    </row>
    <row r="415" spans="1:81">
      <c r="A415" s="291" t="s">
        <v>1893</v>
      </c>
      <c r="B415" s="291" t="s">
        <v>634</v>
      </c>
      <c r="C415" s="288"/>
      <c r="D415" s="286"/>
      <c r="E415" s="288"/>
      <c r="F415" s="286"/>
      <c r="G415" s="288"/>
      <c r="H415" s="286"/>
      <c r="I415" s="288"/>
      <c r="J415" s="286"/>
      <c r="K415" s="288"/>
      <c r="L415" s="286"/>
      <c r="M415" s="288"/>
      <c r="N415" s="286"/>
      <c r="O415" s="288"/>
      <c r="P415" s="286"/>
      <c r="Q415" s="288"/>
      <c r="R415" s="286"/>
      <c r="S415" s="288"/>
      <c r="T415" s="286"/>
      <c r="U415" s="288"/>
      <c r="V415" s="286"/>
      <c r="W415" s="288"/>
      <c r="X415" s="286"/>
      <c r="Y415" s="288"/>
      <c r="Z415" s="286"/>
      <c r="AA415" s="288"/>
      <c r="AB415" s="286"/>
      <c r="AC415" s="288"/>
      <c r="AD415" s="286"/>
      <c r="AE415" s="288"/>
      <c r="AF415" s="286"/>
      <c r="AG415" s="288"/>
      <c r="AH415" s="286"/>
      <c r="AI415" s="288"/>
      <c r="AJ415" s="286"/>
      <c r="AK415" s="286"/>
      <c r="AL415" s="286"/>
      <c r="AM415" s="286"/>
      <c r="AN415" s="286"/>
      <c r="AO415" s="286"/>
      <c r="AP415" s="286"/>
      <c r="AQ415" s="286"/>
      <c r="AR415" s="286"/>
      <c r="AS415" s="286"/>
      <c r="AT415" s="286"/>
      <c r="AU415" s="286"/>
      <c r="AV415" s="284"/>
      <c r="AW415" s="284"/>
      <c r="AX415" s="284"/>
      <c r="AY415" s="284"/>
      <c r="AZ415" s="284"/>
      <c r="BA415" s="284"/>
      <c r="BB415" s="284"/>
      <c r="BC415" s="284"/>
      <c r="BD415" s="284"/>
      <c r="BE415" s="284"/>
      <c r="BF415" s="284"/>
      <c r="BG415" s="284"/>
      <c r="BH415" s="284"/>
      <c r="BI415" s="284"/>
      <c r="BJ415" s="284"/>
      <c r="BK415" s="284"/>
      <c r="BL415" s="284"/>
      <c r="BM415" s="284"/>
      <c r="BN415" s="284"/>
      <c r="BO415" s="284"/>
      <c r="BP415" s="284"/>
      <c r="BQ415" s="284"/>
      <c r="BR415" s="284"/>
      <c r="BS415" s="284"/>
      <c r="BT415" s="284"/>
      <c r="BU415" s="284"/>
      <c r="BV415" s="284"/>
      <c r="BW415" s="284"/>
      <c r="BX415" s="284"/>
      <c r="BY415" s="284"/>
      <c r="BZ415" s="285"/>
      <c r="CA415" s="298">
        <f>SUM(C415,E415,G415,I415,K415,M415,O415,Q415,S415,U415,W415,Y415,AA415,AC415,AE415,AG415,AI415,AK415,AM415,AO415,AQ415,AS415,AU415,AW415,AY415,BA415,BC415,BE415,BG415,BI415,BK415,BM415,BO415,BQ415,BS415,BU415,BW415,BY415)</f>
        <v>0</v>
      </c>
      <c r="CB415" s="298">
        <f>SUM(D415,F415,H415,J415,L415,N415,P415,R415,T415,V415,X415,Z415,AB415,AD415,AF415,AH415,AJ415,AL415,AN415,AP415,AR415,AT415,AV415,AX415,AZ415,BB415,BD415,BF415,BH415,BJ415,BL415,BN415,BP415,BR415,BT415,BV415,BX415,BZ415)</f>
        <v>0</v>
      </c>
      <c r="CC415" s="299">
        <f>SUM(Table13[[#This Row],[GOALS 1]:[ASSISTS 38]])</f>
        <v>0</v>
      </c>
    </row>
    <row r="416" spans="1:81">
      <c r="A416" s="291" t="s">
        <v>1709</v>
      </c>
      <c r="B416" s="291" t="s">
        <v>30</v>
      </c>
      <c r="C416" s="286"/>
      <c r="D416" s="286"/>
      <c r="E416" s="288"/>
      <c r="F416" s="286"/>
      <c r="G416" s="288"/>
      <c r="H416" s="286"/>
      <c r="I416" s="288"/>
      <c r="J416" s="286"/>
      <c r="K416" s="288"/>
      <c r="L416" s="286"/>
      <c r="M416" s="288"/>
      <c r="N416" s="286"/>
      <c r="O416" s="288"/>
      <c r="P416" s="286"/>
      <c r="Q416" s="288"/>
      <c r="R416" s="286"/>
      <c r="S416" s="288"/>
      <c r="T416" s="286"/>
      <c r="U416" s="288"/>
      <c r="V416" s="286"/>
      <c r="W416" s="288"/>
      <c r="X416" s="286"/>
      <c r="Y416" s="288"/>
      <c r="Z416" s="286"/>
      <c r="AA416" s="288"/>
      <c r="AB416" s="286"/>
      <c r="AC416" s="288"/>
      <c r="AD416" s="286"/>
      <c r="AE416" s="288"/>
      <c r="AF416" s="286"/>
      <c r="AG416" s="288"/>
      <c r="AH416" s="286"/>
      <c r="AI416" s="288"/>
      <c r="AJ416" s="286"/>
      <c r="AK416" s="286"/>
      <c r="AL416" s="286"/>
      <c r="AM416" s="286"/>
      <c r="AN416" s="286"/>
      <c r="AO416" s="286"/>
      <c r="AP416" s="286"/>
      <c r="AQ416" s="286"/>
      <c r="AR416" s="286"/>
      <c r="AS416" s="286"/>
      <c r="AT416" s="286"/>
      <c r="AU416" s="286"/>
      <c r="AV416" s="284"/>
      <c r="AW416" s="284"/>
      <c r="AX416" s="284"/>
      <c r="AY416" s="284"/>
      <c r="AZ416" s="284"/>
      <c r="BA416" s="284"/>
      <c r="BB416" s="284"/>
      <c r="BC416" s="284"/>
      <c r="BD416" s="284"/>
      <c r="BE416" s="284"/>
      <c r="BF416" s="284"/>
      <c r="BG416" s="284"/>
      <c r="BH416" s="284"/>
      <c r="BI416" s="284"/>
      <c r="BJ416" s="284"/>
      <c r="BK416" s="284"/>
      <c r="BL416" s="284"/>
      <c r="BM416" s="284"/>
      <c r="BN416" s="284"/>
      <c r="BO416" s="284"/>
      <c r="BP416" s="284"/>
      <c r="BQ416" s="284"/>
      <c r="BR416" s="284"/>
      <c r="BS416" s="284"/>
      <c r="BT416" s="284"/>
      <c r="BU416" s="284"/>
      <c r="BV416" s="284"/>
      <c r="BW416" s="284"/>
      <c r="BX416" s="284"/>
      <c r="BY416" s="284"/>
      <c r="BZ416" s="285"/>
      <c r="CA416" s="298">
        <f>SUM(C416,E416,G416,I416,K416,M416,O416,Q416,S416,U416,W416,Y416,AA416,AC416,AE416,AG416,AI416,AK416,AM416,AO416,AQ416,AS416,AU416,AW416,AY416,BA416,BC416,BE416,BG416,BI416,BK416,BM416,BO416,BQ416,BS416,BU416,BW416,BY416)</f>
        <v>0</v>
      </c>
      <c r="CB416" s="298">
        <f>SUM(D416,F416,H416,J416,L416,N416,P416,R416,T416,V416,X416,Z416,AB416,AD416,AF416,AH416,AJ416,AL416,AN416,AP416,AR416,AT416,AV416,AX416,AZ416,BB416,BD416,BF416,BH416,BJ416,BL416,BN416,BP416,BR416,BT416,BV416,BX416,BZ416)</f>
        <v>0</v>
      </c>
      <c r="CC416" s="299">
        <f>SUM(Table13[[#This Row],[GOALS 1]:[ASSISTS 38]])</f>
        <v>0</v>
      </c>
    </row>
    <row r="417" spans="1:81">
      <c r="A417" s="291" t="s">
        <v>1527</v>
      </c>
      <c r="B417" s="291" t="s">
        <v>22</v>
      </c>
      <c r="C417" s="286"/>
      <c r="D417" s="286"/>
      <c r="E417" s="288"/>
      <c r="F417" s="286"/>
      <c r="G417" s="288"/>
      <c r="H417" s="286"/>
      <c r="I417" s="288"/>
      <c r="J417" s="286"/>
      <c r="K417" s="288"/>
      <c r="L417" s="286"/>
      <c r="M417" s="288"/>
      <c r="N417" s="286"/>
      <c r="O417" s="288"/>
      <c r="P417" s="286"/>
      <c r="Q417" s="288"/>
      <c r="R417" s="286"/>
      <c r="S417" s="288"/>
      <c r="T417" s="286"/>
      <c r="U417" s="288"/>
      <c r="V417" s="286"/>
      <c r="W417" s="288"/>
      <c r="X417" s="286"/>
      <c r="Y417" s="288"/>
      <c r="Z417" s="286"/>
      <c r="AA417" s="288"/>
      <c r="AB417" s="286"/>
      <c r="AC417" s="288"/>
      <c r="AD417" s="286"/>
      <c r="AE417" s="288"/>
      <c r="AF417" s="286"/>
      <c r="AG417" s="288"/>
      <c r="AH417" s="286"/>
      <c r="AI417" s="288"/>
      <c r="AJ417" s="286"/>
      <c r="AK417" s="286"/>
      <c r="AL417" s="286"/>
      <c r="AM417" s="286"/>
      <c r="AN417" s="286"/>
      <c r="AO417" s="286"/>
      <c r="AP417" s="286"/>
      <c r="AQ417" s="286"/>
      <c r="AR417" s="286"/>
      <c r="AS417" s="286"/>
      <c r="AT417" s="286"/>
      <c r="AU417" s="286"/>
      <c r="AV417" s="284"/>
      <c r="AW417" s="284"/>
      <c r="AX417" s="284"/>
      <c r="AY417" s="284"/>
      <c r="AZ417" s="284"/>
      <c r="BA417" s="284"/>
      <c r="BB417" s="284"/>
      <c r="BC417" s="284"/>
      <c r="BD417" s="284"/>
      <c r="BE417" s="284"/>
      <c r="BF417" s="284"/>
      <c r="BG417" s="284"/>
      <c r="BH417" s="284"/>
      <c r="BI417" s="284"/>
      <c r="BJ417" s="284"/>
      <c r="BK417" s="284"/>
      <c r="BL417" s="284"/>
      <c r="BM417" s="284"/>
      <c r="BN417" s="284"/>
      <c r="BO417" s="284"/>
      <c r="BP417" s="284"/>
      <c r="BQ417" s="284"/>
      <c r="BR417" s="284"/>
      <c r="BS417" s="284"/>
      <c r="BT417" s="284"/>
      <c r="BU417" s="284"/>
      <c r="BV417" s="284"/>
      <c r="BW417" s="284"/>
      <c r="BX417" s="284"/>
      <c r="BY417" s="284"/>
      <c r="BZ417" s="285"/>
      <c r="CA417" s="298">
        <f>SUM(C417,E417,G417,I417,K417,M417,O417,Q417,S417,U417,W417,Y417,AA417,AC417,AE417,AG417,AI417,AK417,AM417,AO417,AQ417,AS417,AU417,AW417,AY417,BA417,BC417,BE417,BG417,BI417,BK417,BM417,BO417,BQ417,BS417,BU417,BW417,BY417)</f>
        <v>0</v>
      </c>
      <c r="CB417" s="298">
        <f>SUM(D417,F417,H417,J417,L417,N417,P417,R417,T417,V417,X417,Z417,AB417,AD417,AF417,AH417,AJ417,AL417,AN417,AP417,AR417,AT417,AV417,AX417,AZ417,BB417,BD417,BF417,BH417,BJ417,BL417,BN417,BP417,BR417,BT417,BV417,BX417,BZ417)</f>
        <v>0</v>
      </c>
      <c r="CC417" s="299">
        <f>SUM(Table13[[#This Row],[GOALS 1]:[ASSISTS 38]])</f>
        <v>0</v>
      </c>
    </row>
    <row r="418" spans="1:81">
      <c r="A418" s="291" t="s">
        <v>1362</v>
      </c>
      <c r="B418" s="291" t="s">
        <v>52</v>
      </c>
      <c r="C418" s="289"/>
      <c r="D418" s="286"/>
      <c r="E418" s="288"/>
      <c r="F418" s="286"/>
      <c r="G418" s="288"/>
      <c r="H418" s="286"/>
      <c r="I418" s="288"/>
      <c r="J418" s="286"/>
      <c r="K418" s="288"/>
      <c r="L418" s="286"/>
      <c r="M418" s="288"/>
      <c r="N418" s="286"/>
      <c r="O418" s="288"/>
      <c r="P418" s="286"/>
      <c r="Q418" s="288"/>
      <c r="R418" s="286"/>
      <c r="S418" s="288"/>
      <c r="T418" s="286"/>
      <c r="U418" s="288"/>
      <c r="V418" s="286"/>
      <c r="W418" s="288"/>
      <c r="X418" s="286"/>
      <c r="Y418" s="288"/>
      <c r="Z418" s="286"/>
      <c r="AA418" s="288"/>
      <c r="AB418" s="286"/>
      <c r="AC418" s="288"/>
      <c r="AD418" s="286"/>
      <c r="AE418" s="288"/>
      <c r="AF418" s="286"/>
      <c r="AG418" s="288"/>
      <c r="AH418" s="286"/>
      <c r="AI418" s="288"/>
      <c r="AJ418" s="286"/>
      <c r="AK418" s="286"/>
      <c r="AL418" s="286"/>
      <c r="AM418" s="286"/>
      <c r="AN418" s="286"/>
      <c r="AO418" s="286"/>
      <c r="AP418" s="286"/>
      <c r="AQ418" s="286"/>
      <c r="AR418" s="286"/>
      <c r="AS418" s="286"/>
      <c r="AT418" s="286"/>
      <c r="AU418" s="286"/>
      <c r="AV418" s="284"/>
      <c r="AW418" s="284"/>
      <c r="AX418" s="284"/>
      <c r="AY418" s="284"/>
      <c r="AZ418" s="284"/>
      <c r="BA418" s="284"/>
      <c r="BB418" s="284"/>
      <c r="BC418" s="284"/>
      <c r="BD418" s="284"/>
      <c r="BE418" s="284"/>
      <c r="BF418" s="284"/>
      <c r="BG418" s="284"/>
      <c r="BH418" s="284"/>
      <c r="BI418" s="284"/>
      <c r="BJ418" s="284"/>
      <c r="BK418" s="284"/>
      <c r="BL418" s="284"/>
      <c r="BM418" s="284"/>
      <c r="BN418" s="284"/>
      <c r="BO418" s="284"/>
      <c r="BP418" s="284"/>
      <c r="BQ418" s="284"/>
      <c r="BR418" s="284"/>
      <c r="BS418" s="284"/>
      <c r="BT418" s="284"/>
      <c r="BU418" s="284"/>
      <c r="BV418" s="284"/>
      <c r="BW418" s="284"/>
      <c r="BX418" s="284"/>
      <c r="BY418" s="284"/>
      <c r="BZ418" s="285"/>
      <c r="CA418" s="298">
        <f>SUM(C418,E418,G418,I418,K418,M418,O418,Q418,S418,U418,W418,Y418,AA418,AC418,AE418,AG418,AI418,AK418,AM418,AO418,AQ418,AS418,AU418,AW418,AY418,BA418,BC418,BE418,BG418,BI418,BK418,BM418,BO418,BQ418,BS418,BU418,BW418,BY418)</f>
        <v>0</v>
      </c>
      <c r="CB418" s="298">
        <f>SUM(D418,F418,H418,J418,L418,N418,P418,R418,T418,V418,X418,Z418,AB418,AD418,AF418,AH418,AJ418,AL418,AN418,AP418,AR418,AT418,AV418,AX418,AZ418,BB418,BD418,BF418,BH418,BJ418,BL418,BN418,BP418,BR418,BT418,BV418,BX418,BZ418)</f>
        <v>0</v>
      </c>
      <c r="CC418" s="299">
        <f>SUM(Table13[[#This Row],[GOALS 1]:[ASSISTS 38]])</f>
        <v>0</v>
      </c>
    </row>
    <row r="419" spans="1:81">
      <c r="A419" s="291" t="s">
        <v>1767</v>
      </c>
      <c r="B419" s="291" t="s">
        <v>27</v>
      </c>
      <c r="C419" s="286"/>
      <c r="D419" s="286"/>
      <c r="E419" s="289"/>
      <c r="F419" s="286"/>
      <c r="G419" s="288"/>
      <c r="H419" s="286"/>
      <c r="I419" s="288"/>
      <c r="J419" s="286"/>
      <c r="K419" s="288"/>
      <c r="L419" s="286"/>
      <c r="M419" s="288"/>
      <c r="N419" s="286"/>
      <c r="O419" s="288"/>
      <c r="P419" s="286"/>
      <c r="Q419" s="288"/>
      <c r="R419" s="286"/>
      <c r="S419" s="288"/>
      <c r="T419" s="286"/>
      <c r="U419" s="288"/>
      <c r="V419" s="286"/>
      <c r="W419" s="288"/>
      <c r="X419" s="286"/>
      <c r="Y419" s="288"/>
      <c r="Z419" s="286"/>
      <c r="AA419" s="288"/>
      <c r="AB419" s="286"/>
      <c r="AC419" s="288"/>
      <c r="AD419" s="286"/>
      <c r="AE419" s="288"/>
      <c r="AF419" s="286"/>
      <c r="AG419" s="288"/>
      <c r="AH419" s="286"/>
      <c r="AI419" s="288"/>
      <c r="AJ419" s="286"/>
      <c r="AK419" s="286"/>
      <c r="AL419" s="286"/>
      <c r="AM419" s="286"/>
      <c r="AN419" s="286"/>
      <c r="AO419" s="286"/>
      <c r="AP419" s="286"/>
      <c r="AQ419" s="286"/>
      <c r="AR419" s="286"/>
      <c r="AS419" s="286"/>
      <c r="AT419" s="286"/>
      <c r="AU419" s="286"/>
      <c r="AV419" s="284"/>
      <c r="AW419" s="284"/>
      <c r="AX419" s="284"/>
      <c r="AY419" s="284"/>
      <c r="AZ419" s="284"/>
      <c r="BA419" s="284"/>
      <c r="BB419" s="284"/>
      <c r="BC419" s="284"/>
      <c r="BD419" s="284"/>
      <c r="BE419" s="284"/>
      <c r="BF419" s="284"/>
      <c r="BG419" s="284"/>
      <c r="BH419" s="284"/>
      <c r="BI419" s="284"/>
      <c r="BJ419" s="284"/>
      <c r="BK419" s="284"/>
      <c r="BL419" s="284"/>
      <c r="BM419" s="284"/>
      <c r="BN419" s="284"/>
      <c r="BO419" s="284"/>
      <c r="BP419" s="284"/>
      <c r="BQ419" s="284"/>
      <c r="BR419" s="284"/>
      <c r="BS419" s="284"/>
      <c r="BT419" s="284"/>
      <c r="BU419" s="284"/>
      <c r="BV419" s="284"/>
      <c r="BW419" s="284"/>
      <c r="BX419" s="284"/>
      <c r="BY419" s="284"/>
      <c r="BZ419" s="285"/>
      <c r="CA419" s="298">
        <f>SUM(C419,E419,G419,I419,K419,M419,O419,Q419,S419,U419,W419,Y419,AA419,AC419,AE419,AG419,AI419,AK419,AM419,AO419,AQ419,AS419,AU419,AW419,AY419,BA419,BC419,BE419,BG419,BI419,BK419,BM419,BO419,BQ419,BS419,BU419,BW419,BY419)</f>
        <v>0</v>
      </c>
      <c r="CB419" s="298">
        <f>SUM(D419,F419,H419,J419,L419,N419,P419,R419,T419,V419,X419,Z419,AB419,AD419,AF419,AH419,AJ419,AL419,AN419,AP419,AR419,AT419,AV419,AX419,AZ419,BB419,BD419,BF419,BH419,BJ419,BL419,BN419,BP419,BR419,BT419,BV419,BX419,BZ419)</f>
        <v>0</v>
      </c>
      <c r="CC419" s="299">
        <f>SUM(Table13[[#This Row],[GOALS 1]:[ASSISTS 38]])</f>
        <v>0</v>
      </c>
    </row>
    <row r="420" spans="1:81">
      <c r="A420" s="291" t="s">
        <v>1349</v>
      </c>
      <c r="B420" s="291" t="s">
        <v>20</v>
      </c>
      <c r="C420" s="289"/>
      <c r="D420" s="286"/>
      <c r="E420" s="288"/>
      <c r="F420" s="286"/>
      <c r="G420" s="288"/>
      <c r="H420" s="286"/>
      <c r="I420" s="288"/>
      <c r="J420" s="286"/>
      <c r="K420" s="288"/>
      <c r="L420" s="286"/>
      <c r="M420" s="288"/>
      <c r="N420" s="286"/>
      <c r="O420" s="288"/>
      <c r="P420" s="286"/>
      <c r="Q420" s="288"/>
      <c r="R420" s="286"/>
      <c r="S420" s="288"/>
      <c r="T420" s="286"/>
      <c r="U420" s="288"/>
      <c r="V420" s="286"/>
      <c r="W420" s="288"/>
      <c r="X420" s="286"/>
      <c r="Y420" s="288"/>
      <c r="Z420" s="286"/>
      <c r="AA420" s="288"/>
      <c r="AB420" s="286"/>
      <c r="AC420" s="288"/>
      <c r="AD420" s="286"/>
      <c r="AE420" s="288"/>
      <c r="AF420" s="286"/>
      <c r="AG420" s="288"/>
      <c r="AH420" s="286"/>
      <c r="AI420" s="288"/>
      <c r="AJ420" s="286"/>
      <c r="AK420" s="286"/>
      <c r="AL420" s="286"/>
      <c r="AM420" s="286"/>
      <c r="AN420" s="286"/>
      <c r="AO420" s="286"/>
      <c r="AP420" s="286"/>
      <c r="AQ420" s="286"/>
      <c r="AR420" s="286"/>
      <c r="AS420" s="286"/>
      <c r="AT420" s="286"/>
      <c r="AU420" s="286"/>
      <c r="AV420" s="284"/>
      <c r="AW420" s="284"/>
      <c r="AX420" s="284"/>
      <c r="AY420" s="284"/>
      <c r="AZ420" s="284"/>
      <c r="BA420" s="284"/>
      <c r="BB420" s="284"/>
      <c r="BC420" s="284"/>
      <c r="BD420" s="284"/>
      <c r="BE420" s="284"/>
      <c r="BF420" s="284"/>
      <c r="BG420" s="284"/>
      <c r="BH420" s="284"/>
      <c r="BI420" s="284"/>
      <c r="BJ420" s="284"/>
      <c r="BK420" s="284"/>
      <c r="BL420" s="284"/>
      <c r="BM420" s="284"/>
      <c r="BN420" s="284"/>
      <c r="BO420" s="284"/>
      <c r="BP420" s="284"/>
      <c r="BQ420" s="284"/>
      <c r="BR420" s="284"/>
      <c r="BS420" s="284"/>
      <c r="BT420" s="284"/>
      <c r="BU420" s="284"/>
      <c r="BV420" s="284"/>
      <c r="BW420" s="284"/>
      <c r="BX420" s="284"/>
      <c r="BY420" s="284"/>
      <c r="BZ420" s="285"/>
      <c r="CA420" s="298">
        <f>SUM(C420,E420,G420,I420,K420,M420,O420,Q420,S420,U420,W420,Y420,AA420,AC420,AE420,AG420,AI420,AK420,AM420,AO420,AQ420,AS420,AU420,AW420,AY420,BA420,BC420,BE420,BG420,BI420,BK420,BM420,BO420,BQ420,BS420,BU420,BW420,BY420)</f>
        <v>0</v>
      </c>
      <c r="CB420" s="298">
        <f>SUM(D420,F420,H420,J420,L420,N420,P420,R420,T420,V420,X420,Z420,AB420,AD420,AF420,AH420,AJ420,AL420,AN420,AP420,AR420,AT420,AV420,AX420,AZ420,BB420,BD420,BF420,BH420,BJ420,BL420,BN420,BP420,BR420,BT420,BV420,BX420,BZ420)</f>
        <v>0</v>
      </c>
      <c r="CC420" s="299">
        <f>SUM(Table13[[#This Row],[GOALS 1]:[ASSISTS 38]])</f>
        <v>0</v>
      </c>
    </row>
    <row r="421" spans="1:81">
      <c r="A421" s="291" t="s">
        <v>1630</v>
      </c>
      <c r="B421" s="291" t="s">
        <v>51</v>
      </c>
      <c r="C421" s="286"/>
      <c r="D421" s="286"/>
      <c r="E421" s="288"/>
      <c r="F421" s="286"/>
      <c r="G421" s="288"/>
      <c r="H421" s="286"/>
      <c r="I421" s="288"/>
      <c r="J421" s="286"/>
      <c r="K421" s="288"/>
      <c r="L421" s="286"/>
      <c r="M421" s="288"/>
      <c r="N421" s="286"/>
      <c r="O421" s="288"/>
      <c r="P421" s="286"/>
      <c r="Q421" s="288"/>
      <c r="R421" s="286"/>
      <c r="S421" s="288"/>
      <c r="T421" s="286"/>
      <c r="U421" s="288"/>
      <c r="V421" s="286"/>
      <c r="W421" s="288"/>
      <c r="X421" s="286"/>
      <c r="Y421" s="288"/>
      <c r="Z421" s="286"/>
      <c r="AA421" s="288"/>
      <c r="AB421" s="286"/>
      <c r="AC421" s="288"/>
      <c r="AD421" s="286"/>
      <c r="AE421" s="288"/>
      <c r="AF421" s="286"/>
      <c r="AG421" s="288"/>
      <c r="AH421" s="286"/>
      <c r="AI421" s="288"/>
      <c r="AJ421" s="286"/>
      <c r="AK421" s="286"/>
      <c r="AL421" s="286"/>
      <c r="AM421" s="286"/>
      <c r="AN421" s="286"/>
      <c r="AO421" s="286"/>
      <c r="AP421" s="286"/>
      <c r="AQ421" s="286"/>
      <c r="AR421" s="286"/>
      <c r="AS421" s="286"/>
      <c r="AT421" s="286"/>
      <c r="AU421" s="286"/>
      <c r="AV421" s="284"/>
      <c r="AW421" s="284"/>
      <c r="AX421" s="284"/>
      <c r="AY421" s="284"/>
      <c r="AZ421" s="284"/>
      <c r="BA421" s="284"/>
      <c r="BB421" s="284"/>
      <c r="BC421" s="284"/>
      <c r="BD421" s="284"/>
      <c r="BE421" s="284"/>
      <c r="BF421" s="284"/>
      <c r="BG421" s="284"/>
      <c r="BH421" s="284"/>
      <c r="BI421" s="284"/>
      <c r="BJ421" s="284"/>
      <c r="BK421" s="284"/>
      <c r="BL421" s="284"/>
      <c r="BM421" s="284"/>
      <c r="BN421" s="284"/>
      <c r="BO421" s="284"/>
      <c r="BP421" s="284"/>
      <c r="BQ421" s="284"/>
      <c r="BR421" s="284"/>
      <c r="BS421" s="284"/>
      <c r="BT421" s="284"/>
      <c r="BU421" s="284"/>
      <c r="BV421" s="284"/>
      <c r="BW421" s="284"/>
      <c r="BX421" s="284"/>
      <c r="BY421" s="284"/>
      <c r="BZ421" s="285"/>
      <c r="CA421" s="298">
        <f>SUM(C421,E421,G421,I421,K421,M421,O421,Q421,S421,U421,W421,Y421,AA421,AC421,AE421,AG421,AI421,AK421,AM421,AO421,AQ421,AS421,AU421,AW421,AY421,BA421,BC421,BE421,BG421,BI421,BK421,BM421,BO421,BQ421,BS421,BU421,BW421,BY421)</f>
        <v>0</v>
      </c>
      <c r="CB421" s="298">
        <f>SUM(D421,F421,H421,J421,L421,N421,P421,R421,T421,V421,X421,Z421,AB421,AD421,AF421,AH421,AJ421,AL421,AN421,AP421,AR421,AT421,AV421,AX421,AZ421,BB421,BD421,BF421,BH421,BJ421,BL421,BN421,BP421,BR421,BT421,BV421,BX421,BZ421)</f>
        <v>0</v>
      </c>
      <c r="CC421" s="299">
        <f>SUM(Table13[[#This Row],[GOALS 1]:[ASSISTS 38]])</f>
        <v>0</v>
      </c>
    </row>
    <row r="422" spans="1:81">
      <c r="A422" s="291" t="s">
        <v>1598</v>
      </c>
      <c r="B422" s="291" t="s">
        <v>33</v>
      </c>
      <c r="C422" s="289"/>
      <c r="D422" s="286"/>
      <c r="E422" s="288"/>
      <c r="F422" s="286"/>
      <c r="G422" s="288"/>
      <c r="H422" s="286"/>
      <c r="I422" s="288"/>
      <c r="J422" s="286"/>
      <c r="K422" s="288"/>
      <c r="L422" s="286"/>
      <c r="M422" s="288"/>
      <c r="N422" s="286"/>
      <c r="O422" s="288"/>
      <c r="P422" s="286"/>
      <c r="Q422" s="288"/>
      <c r="R422" s="286"/>
      <c r="S422" s="288"/>
      <c r="T422" s="286"/>
      <c r="U422" s="288"/>
      <c r="V422" s="286"/>
      <c r="W422" s="288"/>
      <c r="X422" s="286"/>
      <c r="Y422" s="288"/>
      <c r="Z422" s="286"/>
      <c r="AA422" s="288"/>
      <c r="AB422" s="286"/>
      <c r="AC422" s="288"/>
      <c r="AD422" s="286"/>
      <c r="AE422" s="288"/>
      <c r="AF422" s="286"/>
      <c r="AG422" s="288"/>
      <c r="AH422" s="286"/>
      <c r="AI422" s="288"/>
      <c r="AJ422" s="286"/>
      <c r="AK422" s="286"/>
      <c r="AL422" s="286"/>
      <c r="AM422" s="286"/>
      <c r="AN422" s="286"/>
      <c r="AO422" s="286"/>
      <c r="AP422" s="286"/>
      <c r="AQ422" s="286"/>
      <c r="AR422" s="286"/>
      <c r="AS422" s="286"/>
      <c r="AT422" s="286"/>
      <c r="AU422" s="286"/>
      <c r="AV422" s="284"/>
      <c r="AW422" s="284"/>
      <c r="AX422" s="284"/>
      <c r="AY422" s="284"/>
      <c r="AZ422" s="284"/>
      <c r="BA422" s="284"/>
      <c r="BB422" s="284"/>
      <c r="BC422" s="284"/>
      <c r="BD422" s="284"/>
      <c r="BE422" s="284"/>
      <c r="BF422" s="284"/>
      <c r="BG422" s="284"/>
      <c r="BH422" s="284"/>
      <c r="BI422" s="284"/>
      <c r="BJ422" s="284"/>
      <c r="BK422" s="284"/>
      <c r="BL422" s="284"/>
      <c r="BM422" s="284"/>
      <c r="BN422" s="284"/>
      <c r="BO422" s="284"/>
      <c r="BP422" s="284"/>
      <c r="BQ422" s="284"/>
      <c r="BR422" s="284"/>
      <c r="BS422" s="284"/>
      <c r="BT422" s="284"/>
      <c r="BU422" s="284"/>
      <c r="BV422" s="284"/>
      <c r="BW422" s="284"/>
      <c r="BX422" s="284"/>
      <c r="BY422" s="284"/>
      <c r="BZ422" s="285"/>
      <c r="CA422" s="298">
        <f>SUM(C422,E422,G422,I422,K422,M422,O422,Q422,S422,U422,W422,Y422,AA422,AC422,AE422,AG422,AI422,AK422,AM422,AO422,AQ422,AS422,AU422,AW422,AY422,BA422,BC422,BE422,BG422,BI422,BK422,BM422,BO422,BQ422,BS422,BU422,BW422,BY422)</f>
        <v>0</v>
      </c>
      <c r="CB422" s="298">
        <f>SUM(D422,F422,H422,J422,L422,N422,P422,R422,T422,V422,X422,Z422,AB422,AD422,AF422,AH422,AJ422,AL422,AN422,AP422,AR422,AT422,AV422,AX422,AZ422,BB422,BD422,BF422,BH422,BJ422,BL422,BN422,BP422,BR422,BT422,BV422,BX422,BZ422)</f>
        <v>0</v>
      </c>
      <c r="CC422" s="299">
        <f>SUM(Table13[[#This Row],[GOALS 1]:[ASSISTS 38]])</f>
        <v>0</v>
      </c>
    </row>
    <row r="423" spans="1:81">
      <c r="A423" s="291" t="s">
        <v>1494</v>
      </c>
      <c r="B423" s="291" t="s">
        <v>18</v>
      </c>
      <c r="C423" s="286"/>
      <c r="D423" s="286"/>
      <c r="E423" s="288"/>
      <c r="F423" s="286"/>
      <c r="G423" s="288"/>
      <c r="H423" s="286"/>
      <c r="I423" s="288"/>
      <c r="J423" s="286"/>
      <c r="K423" s="288"/>
      <c r="L423" s="286"/>
      <c r="M423" s="288"/>
      <c r="N423" s="286"/>
      <c r="O423" s="288"/>
      <c r="P423" s="286"/>
      <c r="Q423" s="288"/>
      <c r="R423" s="286"/>
      <c r="S423" s="288"/>
      <c r="T423" s="286"/>
      <c r="U423" s="288"/>
      <c r="V423" s="286"/>
      <c r="W423" s="288"/>
      <c r="X423" s="286"/>
      <c r="Y423" s="288"/>
      <c r="Z423" s="286"/>
      <c r="AA423" s="288"/>
      <c r="AB423" s="286"/>
      <c r="AC423" s="288"/>
      <c r="AD423" s="286"/>
      <c r="AE423" s="288"/>
      <c r="AF423" s="286"/>
      <c r="AG423" s="288"/>
      <c r="AH423" s="286"/>
      <c r="AI423" s="288"/>
      <c r="AJ423" s="286"/>
      <c r="AK423" s="286"/>
      <c r="AL423" s="286"/>
      <c r="AM423" s="286"/>
      <c r="AN423" s="286"/>
      <c r="AO423" s="286"/>
      <c r="AP423" s="286"/>
      <c r="AQ423" s="286"/>
      <c r="AR423" s="286"/>
      <c r="AS423" s="286"/>
      <c r="AT423" s="286"/>
      <c r="AU423" s="286"/>
      <c r="AV423" s="284"/>
      <c r="AW423" s="284"/>
      <c r="AX423" s="284"/>
      <c r="AY423" s="284"/>
      <c r="AZ423" s="284"/>
      <c r="BA423" s="284"/>
      <c r="BB423" s="284"/>
      <c r="BC423" s="284"/>
      <c r="BD423" s="284"/>
      <c r="BE423" s="284"/>
      <c r="BF423" s="284"/>
      <c r="BG423" s="284"/>
      <c r="BH423" s="284"/>
      <c r="BI423" s="284"/>
      <c r="BJ423" s="284"/>
      <c r="BK423" s="284"/>
      <c r="BL423" s="284"/>
      <c r="BM423" s="284"/>
      <c r="BN423" s="284"/>
      <c r="BO423" s="284"/>
      <c r="BP423" s="284"/>
      <c r="BQ423" s="284"/>
      <c r="BR423" s="284"/>
      <c r="BS423" s="284"/>
      <c r="BT423" s="284"/>
      <c r="BU423" s="284"/>
      <c r="BV423" s="284"/>
      <c r="BW423" s="284"/>
      <c r="BX423" s="284"/>
      <c r="BY423" s="284"/>
      <c r="BZ423" s="285"/>
      <c r="CA423" s="298">
        <f>SUM(C423,E423,G423,I423,K423,M423,O423,Q423,S423,U423,W423,Y423,AA423,AC423,AE423,AG423,AI423,AK423,AM423,AO423,AQ423,AS423,AU423,AW423,AY423,BA423,BC423,BE423,BG423,BI423,BK423,BM423,BO423,BQ423,BS423,BU423,BW423,BY423)</f>
        <v>0</v>
      </c>
      <c r="CB423" s="298">
        <f>SUM(D423,F423,H423,J423,L423,N423,P423,R423,T423,V423,X423,Z423,AB423,AD423,AF423,AH423,AJ423,AL423,AN423,AP423,AR423,AT423,AV423,AX423,AZ423,BB423,BD423,BF423,BH423,BJ423,BL423,BN423,BP423,BR423,BT423,BV423,BX423,BZ423)</f>
        <v>0</v>
      </c>
      <c r="CC423" s="299">
        <f>SUM(Table13[[#This Row],[GOALS 1]:[ASSISTS 38]])</f>
        <v>0</v>
      </c>
    </row>
    <row r="424" spans="1:81">
      <c r="A424" s="291" t="s">
        <v>1793</v>
      </c>
      <c r="B424" s="291" t="s">
        <v>634</v>
      </c>
      <c r="C424" s="288"/>
      <c r="D424" s="286"/>
      <c r="E424" s="288"/>
      <c r="F424" s="286"/>
      <c r="G424" s="288"/>
      <c r="H424" s="286"/>
      <c r="I424" s="288"/>
      <c r="J424" s="286"/>
      <c r="K424" s="288"/>
      <c r="L424" s="286"/>
      <c r="M424" s="288"/>
      <c r="N424" s="286"/>
      <c r="O424" s="288"/>
      <c r="P424" s="286"/>
      <c r="Q424" s="288"/>
      <c r="R424" s="286"/>
      <c r="S424" s="288"/>
      <c r="T424" s="286"/>
      <c r="U424" s="288"/>
      <c r="V424" s="286"/>
      <c r="W424" s="288"/>
      <c r="X424" s="286"/>
      <c r="Y424" s="288"/>
      <c r="Z424" s="286"/>
      <c r="AA424" s="288"/>
      <c r="AB424" s="286"/>
      <c r="AC424" s="288"/>
      <c r="AD424" s="286"/>
      <c r="AE424" s="288"/>
      <c r="AF424" s="286"/>
      <c r="AG424" s="288"/>
      <c r="AH424" s="286"/>
      <c r="AI424" s="288"/>
      <c r="AJ424" s="286"/>
      <c r="AK424" s="286"/>
      <c r="AL424" s="286"/>
      <c r="AM424" s="286"/>
      <c r="AN424" s="286"/>
      <c r="AO424" s="286"/>
      <c r="AP424" s="286"/>
      <c r="AQ424" s="286"/>
      <c r="AR424" s="286"/>
      <c r="AS424" s="286"/>
      <c r="AT424" s="286"/>
      <c r="AU424" s="286"/>
      <c r="AV424" s="284"/>
      <c r="AW424" s="284"/>
      <c r="AX424" s="284"/>
      <c r="AY424" s="284"/>
      <c r="AZ424" s="284"/>
      <c r="BA424" s="284"/>
      <c r="BB424" s="284"/>
      <c r="BC424" s="284"/>
      <c r="BD424" s="284"/>
      <c r="BE424" s="284"/>
      <c r="BF424" s="284"/>
      <c r="BG424" s="284"/>
      <c r="BH424" s="284"/>
      <c r="BI424" s="284"/>
      <c r="BJ424" s="284"/>
      <c r="BK424" s="284"/>
      <c r="BL424" s="284"/>
      <c r="BM424" s="284"/>
      <c r="BN424" s="284"/>
      <c r="BO424" s="284"/>
      <c r="BP424" s="284"/>
      <c r="BQ424" s="284"/>
      <c r="BR424" s="284"/>
      <c r="BS424" s="284"/>
      <c r="BT424" s="284"/>
      <c r="BU424" s="284"/>
      <c r="BV424" s="284"/>
      <c r="BW424" s="284"/>
      <c r="BX424" s="284"/>
      <c r="BY424" s="284"/>
      <c r="BZ424" s="285"/>
      <c r="CA424" s="298">
        <f>SUM(C424,E424,G424,I424,K424,M424,O424,Q424,S424,U424,W424,Y424,AA424,AC424,AE424,AG424,AI424,AK424,AM424,AO424,AQ424,AS424,AU424,AW424,AY424,BA424,BC424,BE424,BG424,BI424,BK424,BM424,BO424,BQ424,BS424,BU424,BW424,BY424)</f>
        <v>0</v>
      </c>
      <c r="CB424" s="298">
        <f>SUM(D424,F424,H424,J424,L424,N424,P424,R424,T424,V424,X424,Z424,AB424,AD424,AF424,AH424,AJ424,AL424,AN424,AP424,AR424,AT424,AV424,AX424,AZ424,BB424,BD424,BF424,BH424,BJ424,BL424,BN424,BP424,BR424,BT424,BV424,BX424,BZ424)</f>
        <v>0</v>
      </c>
      <c r="CC424" s="299">
        <f>SUM(Table13[[#This Row],[GOALS 1]:[ASSISTS 38]])</f>
        <v>0</v>
      </c>
    </row>
    <row r="425" spans="1:81">
      <c r="A425" s="291" t="s">
        <v>1476</v>
      </c>
      <c r="B425" s="291" t="s">
        <v>19</v>
      </c>
      <c r="C425" s="286"/>
      <c r="D425" s="286"/>
      <c r="E425" s="288"/>
      <c r="F425" s="286"/>
      <c r="G425" s="288"/>
      <c r="H425" s="286"/>
      <c r="I425" s="288"/>
      <c r="J425" s="286"/>
      <c r="K425" s="288"/>
      <c r="L425" s="286"/>
      <c r="M425" s="288"/>
      <c r="N425" s="286"/>
      <c r="O425" s="288"/>
      <c r="P425" s="286"/>
      <c r="Q425" s="288"/>
      <c r="R425" s="286"/>
      <c r="S425" s="288"/>
      <c r="T425" s="286"/>
      <c r="U425" s="288"/>
      <c r="V425" s="286"/>
      <c r="W425" s="288"/>
      <c r="X425" s="286"/>
      <c r="Y425" s="288"/>
      <c r="Z425" s="286"/>
      <c r="AA425" s="288"/>
      <c r="AB425" s="286"/>
      <c r="AC425" s="288"/>
      <c r="AD425" s="286"/>
      <c r="AE425" s="288"/>
      <c r="AF425" s="286"/>
      <c r="AG425" s="288"/>
      <c r="AH425" s="286"/>
      <c r="AI425" s="288"/>
      <c r="AJ425" s="286"/>
      <c r="AK425" s="286"/>
      <c r="AL425" s="286"/>
      <c r="AM425" s="286"/>
      <c r="AN425" s="286"/>
      <c r="AO425" s="286"/>
      <c r="AP425" s="286"/>
      <c r="AQ425" s="286"/>
      <c r="AR425" s="286"/>
      <c r="AS425" s="286"/>
      <c r="AT425" s="286"/>
      <c r="AU425" s="286"/>
      <c r="AV425" s="284"/>
      <c r="AW425" s="284"/>
      <c r="AX425" s="284"/>
      <c r="AY425" s="284"/>
      <c r="AZ425" s="284"/>
      <c r="BA425" s="284"/>
      <c r="BB425" s="284"/>
      <c r="BC425" s="284"/>
      <c r="BD425" s="284"/>
      <c r="BE425" s="284"/>
      <c r="BF425" s="284"/>
      <c r="BG425" s="284"/>
      <c r="BH425" s="284"/>
      <c r="BI425" s="284"/>
      <c r="BJ425" s="284"/>
      <c r="BK425" s="284"/>
      <c r="BL425" s="284"/>
      <c r="BM425" s="284"/>
      <c r="BN425" s="284"/>
      <c r="BO425" s="284"/>
      <c r="BP425" s="284"/>
      <c r="BQ425" s="284"/>
      <c r="BR425" s="284"/>
      <c r="BS425" s="284"/>
      <c r="BT425" s="284"/>
      <c r="BU425" s="284"/>
      <c r="BV425" s="284"/>
      <c r="BW425" s="284"/>
      <c r="BX425" s="284"/>
      <c r="BY425" s="284"/>
      <c r="BZ425" s="285"/>
      <c r="CA425" s="298">
        <f>SUM(C425,E425,G425,I425,K425,M425,O425,Q425,S425,U425,W425,Y425,AA425,AC425,AE425,AG425,AI425,AK425,AM425,AO425,AQ425,AS425,AU425,AW425,AY425,BA425,BC425,BE425,BG425,BI425,BK425,BM425,BO425,BQ425,BS425,BU425,BW425,BY425)</f>
        <v>0</v>
      </c>
      <c r="CB425" s="298">
        <f>SUM(D425,F425,H425,J425,L425,N425,P425,R425,T425,V425,X425,Z425,AB425,AD425,AF425,AH425,AJ425,AL425,AN425,AP425,AR425,AT425,AV425,AX425,AZ425,BB425,BD425,BF425,BH425,BJ425,BL425,BN425,BP425,BR425,BT425,BV425,BX425,BZ425)</f>
        <v>0</v>
      </c>
      <c r="CC425" s="299">
        <f>SUM(Table13[[#This Row],[GOALS 1]:[ASSISTS 38]])</f>
        <v>0</v>
      </c>
    </row>
    <row r="426" spans="1:81">
      <c r="A426" s="291" t="s">
        <v>1417</v>
      </c>
      <c r="B426" s="291" t="s">
        <v>29</v>
      </c>
      <c r="C426" s="289"/>
      <c r="D426" s="286"/>
      <c r="E426" s="288"/>
      <c r="F426" s="286"/>
      <c r="G426" s="288"/>
      <c r="H426" s="286"/>
      <c r="I426" s="288"/>
      <c r="J426" s="286"/>
      <c r="K426" s="288"/>
      <c r="L426" s="286"/>
      <c r="M426" s="288"/>
      <c r="N426" s="286"/>
      <c r="O426" s="288"/>
      <c r="P426" s="286"/>
      <c r="Q426" s="288"/>
      <c r="R426" s="286"/>
      <c r="S426" s="288"/>
      <c r="T426" s="286"/>
      <c r="U426" s="288"/>
      <c r="V426" s="286"/>
      <c r="W426" s="288"/>
      <c r="X426" s="286"/>
      <c r="Y426" s="288"/>
      <c r="Z426" s="286"/>
      <c r="AA426" s="288"/>
      <c r="AB426" s="286"/>
      <c r="AC426" s="288"/>
      <c r="AD426" s="286"/>
      <c r="AE426" s="288"/>
      <c r="AF426" s="286"/>
      <c r="AG426" s="288"/>
      <c r="AH426" s="286"/>
      <c r="AI426" s="288"/>
      <c r="AJ426" s="286"/>
      <c r="AK426" s="286"/>
      <c r="AL426" s="286"/>
      <c r="AM426" s="286"/>
      <c r="AN426" s="286"/>
      <c r="AO426" s="286"/>
      <c r="AP426" s="286"/>
      <c r="AQ426" s="286"/>
      <c r="AR426" s="286"/>
      <c r="AS426" s="286"/>
      <c r="AT426" s="286"/>
      <c r="AU426" s="286"/>
      <c r="AV426" s="284"/>
      <c r="AW426" s="284"/>
      <c r="AX426" s="284"/>
      <c r="AY426" s="284"/>
      <c r="AZ426" s="284"/>
      <c r="BA426" s="284"/>
      <c r="BB426" s="284"/>
      <c r="BC426" s="284"/>
      <c r="BD426" s="284"/>
      <c r="BE426" s="284"/>
      <c r="BF426" s="284"/>
      <c r="BG426" s="284"/>
      <c r="BH426" s="284"/>
      <c r="BI426" s="284"/>
      <c r="BJ426" s="284"/>
      <c r="BK426" s="284"/>
      <c r="BL426" s="284"/>
      <c r="BM426" s="284"/>
      <c r="BN426" s="284"/>
      <c r="BO426" s="284"/>
      <c r="BP426" s="284"/>
      <c r="BQ426" s="284"/>
      <c r="BR426" s="284"/>
      <c r="BS426" s="284"/>
      <c r="BT426" s="284"/>
      <c r="BU426" s="284"/>
      <c r="BV426" s="284"/>
      <c r="BW426" s="284"/>
      <c r="BX426" s="284"/>
      <c r="BY426" s="284"/>
      <c r="BZ426" s="285"/>
      <c r="CA426" s="298">
        <f>SUM(C426,E426,G426,I426,K426,M426,O426,Q426,S426,U426,W426,Y426,AA426,AC426,AE426,AG426,AI426,AK426,AM426,AO426,AQ426,AS426,AU426,AW426,AY426,BA426,BC426,BE426,BG426,BI426,BK426,BM426,BO426,BQ426,BS426,BU426,BW426,BY426)</f>
        <v>0</v>
      </c>
      <c r="CB426" s="298">
        <f>SUM(D426,F426,H426,J426,L426,N426,P426,R426,T426,V426,X426,Z426,AB426,AD426,AF426,AH426,AJ426,AL426,AN426,AP426,AR426,AT426,AV426,AX426,AZ426,BB426,BD426,BF426,BH426,BJ426,BL426,BN426,BP426,BR426,BT426,BV426,BX426,BZ426)</f>
        <v>0</v>
      </c>
      <c r="CC426" s="299">
        <f>SUM(Table13[[#This Row],[GOALS 1]:[ASSISTS 38]])</f>
        <v>0</v>
      </c>
    </row>
    <row r="427" spans="1:81">
      <c r="A427" s="291" t="s">
        <v>1474</v>
      </c>
      <c r="B427" s="291" t="s">
        <v>22</v>
      </c>
      <c r="C427" s="286"/>
      <c r="D427" s="286"/>
      <c r="E427" s="288"/>
      <c r="F427" s="286"/>
      <c r="G427" s="288"/>
      <c r="H427" s="286"/>
      <c r="I427" s="288"/>
      <c r="J427" s="286"/>
      <c r="K427" s="288"/>
      <c r="L427" s="286"/>
      <c r="M427" s="288"/>
      <c r="N427" s="286"/>
      <c r="O427" s="288"/>
      <c r="P427" s="286"/>
      <c r="Q427" s="288"/>
      <c r="R427" s="286"/>
      <c r="S427" s="288"/>
      <c r="T427" s="286"/>
      <c r="U427" s="288"/>
      <c r="V427" s="286"/>
      <c r="W427" s="288"/>
      <c r="X427" s="286"/>
      <c r="Y427" s="288"/>
      <c r="Z427" s="286"/>
      <c r="AA427" s="288"/>
      <c r="AB427" s="286"/>
      <c r="AC427" s="288"/>
      <c r="AD427" s="286"/>
      <c r="AE427" s="288"/>
      <c r="AF427" s="286"/>
      <c r="AG427" s="288"/>
      <c r="AH427" s="286"/>
      <c r="AI427" s="288"/>
      <c r="AJ427" s="286"/>
      <c r="AK427" s="286"/>
      <c r="AL427" s="286"/>
      <c r="AM427" s="286"/>
      <c r="AN427" s="286"/>
      <c r="AO427" s="286"/>
      <c r="AP427" s="286"/>
      <c r="AQ427" s="286"/>
      <c r="AR427" s="286"/>
      <c r="AS427" s="286"/>
      <c r="AT427" s="286"/>
      <c r="AU427" s="286"/>
      <c r="AV427" s="284"/>
      <c r="AW427" s="284"/>
      <c r="AX427" s="284"/>
      <c r="AY427" s="284"/>
      <c r="AZ427" s="284"/>
      <c r="BA427" s="284"/>
      <c r="BB427" s="284"/>
      <c r="BC427" s="284"/>
      <c r="BD427" s="284"/>
      <c r="BE427" s="284"/>
      <c r="BF427" s="284"/>
      <c r="BG427" s="284"/>
      <c r="BH427" s="284"/>
      <c r="BI427" s="284"/>
      <c r="BJ427" s="284"/>
      <c r="BK427" s="284"/>
      <c r="BL427" s="284"/>
      <c r="BM427" s="284"/>
      <c r="BN427" s="284"/>
      <c r="BO427" s="284"/>
      <c r="BP427" s="284"/>
      <c r="BQ427" s="284"/>
      <c r="BR427" s="284"/>
      <c r="BS427" s="284"/>
      <c r="BT427" s="284"/>
      <c r="BU427" s="284"/>
      <c r="BV427" s="284"/>
      <c r="BW427" s="284"/>
      <c r="BX427" s="284"/>
      <c r="BY427" s="284"/>
      <c r="BZ427" s="285"/>
      <c r="CA427" s="298">
        <f>SUM(C427,E427,G427,I427,K427,M427,O427,Q427,S427,U427,W427,Y427,AA427,AC427,AE427,AG427,AI427,AK427,AM427,AO427,AQ427,AS427,AU427,AW427,AY427,BA427,BC427,BE427,BG427,BI427,BK427,BM427,BO427,BQ427,BS427,BU427,BW427,BY427)</f>
        <v>0</v>
      </c>
      <c r="CB427" s="298">
        <f>SUM(D427,F427,H427,J427,L427,N427,P427,R427,T427,V427,X427,Z427,AB427,AD427,AF427,AH427,AJ427,AL427,AN427,AP427,AR427,AT427,AV427,AX427,AZ427,BB427,BD427,BF427,BH427,BJ427,BL427,BN427,BP427,BR427,BT427,BV427,BX427,BZ427)</f>
        <v>0</v>
      </c>
      <c r="CC427" s="299">
        <f>SUM(Table13[[#This Row],[GOALS 1]:[ASSISTS 38]])</f>
        <v>0</v>
      </c>
    </row>
    <row r="428" spans="1:81">
      <c r="A428" s="291" t="s">
        <v>1543</v>
      </c>
      <c r="B428" s="291" t="s">
        <v>30</v>
      </c>
      <c r="C428" s="286"/>
      <c r="D428" s="286"/>
      <c r="E428" s="288"/>
      <c r="F428" s="286"/>
      <c r="G428" s="288"/>
      <c r="H428" s="286"/>
      <c r="I428" s="288"/>
      <c r="J428" s="286"/>
      <c r="K428" s="288"/>
      <c r="L428" s="286"/>
      <c r="M428" s="288"/>
      <c r="N428" s="286"/>
      <c r="O428" s="288"/>
      <c r="P428" s="286"/>
      <c r="Q428" s="288"/>
      <c r="R428" s="286"/>
      <c r="S428" s="288"/>
      <c r="T428" s="286"/>
      <c r="U428" s="288"/>
      <c r="V428" s="286"/>
      <c r="W428" s="288"/>
      <c r="X428" s="286"/>
      <c r="Y428" s="288"/>
      <c r="Z428" s="286"/>
      <c r="AA428" s="288"/>
      <c r="AB428" s="286"/>
      <c r="AC428" s="288"/>
      <c r="AD428" s="286"/>
      <c r="AE428" s="288"/>
      <c r="AF428" s="286"/>
      <c r="AG428" s="288"/>
      <c r="AH428" s="286"/>
      <c r="AI428" s="288"/>
      <c r="AJ428" s="286"/>
      <c r="AK428" s="286"/>
      <c r="AL428" s="286"/>
      <c r="AM428" s="286"/>
      <c r="AN428" s="286"/>
      <c r="AO428" s="286"/>
      <c r="AP428" s="286"/>
      <c r="AQ428" s="286"/>
      <c r="AR428" s="286"/>
      <c r="AS428" s="286"/>
      <c r="AT428" s="286"/>
      <c r="AU428" s="286"/>
      <c r="AV428" s="284"/>
      <c r="AW428" s="284"/>
      <c r="AX428" s="284"/>
      <c r="AY428" s="284"/>
      <c r="AZ428" s="284"/>
      <c r="BA428" s="284"/>
      <c r="BB428" s="284"/>
      <c r="BC428" s="284"/>
      <c r="BD428" s="284"/>
      <c r="BE428" s="284"/>
      <c r="BF428" s="284"/>
      <c r="BG428" s="284"/>
      <c r="BH428" s="284"/>
      <c r="BI428" s="284"/>
      <c r="BJ428" s="284"/>
      <c r="BK428" s="284"/>
      <c r="BL428" s="284"/>
      <c r="BM428" s="284"/>
      <c r="BN428" s="284"/>
      <c r="BO428" s="284"/>
      <c r="BP428" s="284"/>
      <c r="BQ428" s="284"/>
      <c r="BR428" s="284"/>
      <c r="BS428" s="284"/>
      <c r="BT428" s="284"/>
      <c r="BU428" s="284"/>
      <c r="BV428" s="284"/>
      <c r="BW428" s="284"/>
      <c r="BX428" s="284"/>
      <c r="BY428" s="284"/>
      <c r="BZ428" s="285"/>
      <c r="CA428" s="298">
        <f>SUM(C428,E428,G428,I428,K428,M428,O428,Q428,S428,U428,W428,Y428,AA428,AC428,AE428,AG428,AI428,AK428,AM428,AO428,AQ428,AS428,AU428,AW428,AY428,BA428,BC428,BE428,BG428,BI428,BK428,BM428,BO428,BQ428,BS428,BU428,BW428,BY428)</f>
        <v>0</v>
      </c>
      <c r="CB428" s="298">
        <f>SUM(D428,F428,H428,J428,L428,N428,P428,R428,T428,V428,X428,Z428,AB428,AD428,AF428,AH428,AJ428,AL428,AN428,AP428,AR428,AT428,AV428,AX428,AZ428,BB428,BD428,BF428,BH428,BJ428,BL428,BN428,BP428,BR428,BT428,BV428,BX428,BZ428)</f>
        <v>0</v>
      </c>
      <c r="CC428" s="299">
        <f>SUM(Table13[[#This Row],[GOALS 1]:[ASSISTS 38]])</f>
        <v>0</v>
      </c>
    </row>
    <row r="429" spans="1:81">
      <c r="A429" s="300" t="s">
        <v>1615</v>
      </c>
      <c r="B429" s="302" t="s">
        <v>26</v>
      </c>
      <c r="C429" s="286"/>
      <c r="D429" s="286"/>
      <c r="E429" s="288"/>
      <c r="F429" s="286"/>
      <c r="G429" s="288"/>
      <c r="H429" s="286"/>
      <c r="I429" s="288"/>
      <c r="J429" s="286"/>
      <c r="K429" s="288"/>
      <c r="L429" s="286"/>
      <c r="M429" s="288"/>
      <c r="N429" s="286"/>
      <c r="O429" s="288"/>
      <c r="P429" s="286"/>
      <c r="Q429" s="288"/>
      <c r="R429" s="286"/>
      <c r="S429" s="288"/>
      <c r="T429" s="286"/>
      <c r="U429" s="288"/>
      <c r="V429" s="286"/>
      <c r="W429" s="288"/>
      <c r="X429" s="286"/>
      <c r="Y429" s="288"/>
      <c r="Z429" s="286"/>
      <c r="AA429" s="288"/>
      <c r="AB429" s="286"/>
      <c r="AC429" s="288"/>
      <c r="AD429" s="286"/>
      <c r="AE429" s="288"/>
      <c r="AF429" s="286"/>
      <c r="AG429" s="288"/>
      <c r="AH429" s="286"/>
      <c r="AI429" s="288"/>
      <c r="AJ429" s="286"/>
      <c r="AK429" s="286"/>
      <c r="AL429" s="286"/>
      <c r="AM429" s="286"/>
      <c r="AN429" s="286"/>
      <c r="AO429" s="286"/>
      <c r="AP429" s="286"/>
      <c r="AQ429" s="286"/>
      <c r="AR429" s="286"/>
      <c r="AS429" s="286"/>
      <c r="AT429" s="286"/>
      <c r="AU429" s="286"/>
      <c r="AV429" s="284"/>
      <c r="AW429" s="284"/>
      <c r="AX429" s="284"/>
      <c r="AY429" s="284"/>
      <c r="AZ429" s="284"/>
      <c r="BA429" s="284"/>
      <c r="BB429" s="284"/>
      <c r="BC429" s="284"/>
      <c r="BD429" s="284"/>
      <c r="BE429" s="284"/>
      <c r="BF429" s="284"/>
      <c r="BG429" s="284"/>
      <c r="BH429" s="284"/>
      <c r="BI429" s="284"/>
      <c r="BJ429" s="284"/>
      <c r="BK429" s="284"/>
      <c r="BL429" s="284"/>
      <c r="BM429" s="284"/>
      <c r="BN429" s="284"/>
      <c r="BO429" s="284"/>
      <c r="BP429" s="284"/>
      <c r="BQ429" s="284"/>
      <c r="BR429" s="284"/>
      <c r="BS429" s="284"/>
      <c r="BT429" s="284"/>
      <c r="BU429" s="284"/>
      <c r="BV429" s="284"/>
      <c r="BW429" s="284"/>
      <c r="BX429" s="284"/>
      <c r="BY429" s="284"/>
      <c r="BZ429" s="285"/>
      <c r="CA429" s="298">
        <f>SUM(C429,E429,G429,I429,K429,M429,O429,Q429,S429,U429,W429,Y429,AA429,AC429,AE429,AG429,AI429,AK429,AM429,AO429,AQ429,AS429,AU429,AW429,AY429,BA429,BC429,BE429,BG429,BI429,BK429,BM429,BO429,BQ429,BS429,BU429,BW429,BY429)</f>
        <v>0</v>
      </c>
      <c r="CB429" s="298">
        <f>SUM(D429,F429,H429,J429,L429,N429,P429,R429,T429,V429,X429,Z429,AB429,AD429,AF429,AH429,AJ429,AL429,AN429,AP429,AR429,AT429,AV429,AX429,AZ429,BB429,BD429,BF429,BH429,BJ429,BL429,BN429,BP429,BR429,BT429,BV429,BX429,BZ429)</f>
        <v>0</v>
      </c>
      <c r="CC429" s="299">
        <f>SUM(Table13[[#This Row],[GOALS 1]:[ASSISTS 38]])</f>
        <v>0</v>
      </c>
    </row>
    <row r="430" spans="1:81">
      <c r="A430" s="303" t="s">
        <v>1675</v>
      </c>
      <c r="B430" s="303" t="s">
        <v>28</v>
      </c>
      <c r="C430" s="286"/>
      <c r="D430" s="286"/>
      <c r="E430" s="288"/>
      <c r="F430" s="286"/>
      <c r="G430" s="288"/>
      <c r="H430" s="286"/>
      <c r="I430" s="288"/>
      <c r="J430" s="286"/>
      <c r="K430" s="288"/>
      <c r="L430" s="286"/>
      <c r="M430" s="288"/>
      <c r="N430" s="286"/>
      <c r="O430" s="288"/>
      <c r="P430" s="286"/>
      <c r="Q430" s="288"/>
      <c r="R430" s="286"/>
      <c r="S430" s="288"/>
      <c r="T430" s="286"/>
      <c r="U430" s="288"/>
      <c r="V430" s="286"/>
      <c r="W430" s="288"/>
      <c r="X430" s="286"/>
      <c r="Y430" s="288"/>
      <c r="Z430" s="286"/>
      <c r="AA430" s="288"/>
      <c r="AB430" s="286"/>
      <c r="AC430" s="288"/>
      <c r="AD430" s="286"/>
      <c r="AE430" s="288"/>
      <c r="AF430" s="286"/>
      <c r="AG430" s="288"/>
      <c r="AH430" s="286"/>
      <c r="AI430" s="288"/>
      <c r="AJ430" s="286"/>
      <c r="AK430" s="286"/>
      <c r="AL430" s="286"/>
      <c r="AM430" s="286"/>
      <c r="AN430" s="286"/>
      <c r="AO430" s="286"/>
      <c r="AP430" s="286"/>
      <c r="AQ430" s="286"/>
      <c r="AR430" s="286"/>
      <c r="AS430" s="286"/>
      <c r="AT430" s="286"/>
      <c r="AU430" s="286"/>
      <c r="AV430" s="284"/>
      <c r="AW430" s="284"/>
      <c r="AX430" s="284"/>
      <c r="AY430" s="284"/>
      <c r="AZ430" s="284"/>
      <c r="BA430" s="284"/>
      <c r="BB430" s="284"/>
      <c r="BC430" s="284"/>
      <c r="BD430" s="284"/>
      <c r="BE430" s="284"/>
      <c r="BF430" s="284"/>
      <c r="BG430" s="284"/>
      <c r="BH430" s="284"/>
      <c r="BI430" s="284"/>
      <c r="BJ430" s="284"/>
      <c r="BK430" s="284"/>
      <c r="BL430" s="284"/>
      <c r="BM430" s="284"/>
      <c r="BN430" s="284"/>
      <c r="BO430" s="284"/>
      <c r="BP430" s="284"/>
      <c r="BQ430" s="284"/>
      <c r="BR430" s="284"/>
      <c r="BS430" s="284"/>
      <c r="BT430" s="284"/>
      <c r="BU430" s="284"/>
      <c r="BV430" s="284"/>
      <c r="BW430" s="284"/>
      <c r="BX430" s="284"/>
      <c r="BY430" s="284"/>
      <c r="BZ430" s="285"/>
      <c r="CA430" s="298">
        <f>SUM(C430,E430,G430,I430,K430,M430,O430,Q430,S430,U430,W430,Y430,AA430,AC430,AE430,AG430,AI430,AK430,AM430,AO430,AQ430,AS430,AU430,AW430,AY430,BA430,BC430,BE430,BG430,BI430,BK430,BM430,BO430,BQ430,BS430,BU430,BW430,BY430)</f>
        <v>0</v>
      </c>
      <c r="CB430" s="298">
        <f>SUM(D430,F430,H430,J430,L430,N430,P430,R430,T430,V430,X430,Z430,AB430,AD430,AF430,AH430,AJ430,AL430,AN430,AP430,AR430,AT430,AV430,AX430,AZ430,BB430,BD430,BF430,BH430,BJ430,BL430,BN430,BP430,BR430,BT430,BV430,BX430,BZ430)</f>
        <v>0</v>
      </c>
      <c r="CC430" s="299">
        <f>SUM(Table13[[#This Row],[GOALS 1]:[ASSISTS 38]])</f>
        <v>0</v>
      </c>
    </row>
    <row r="431" spans="1:81">
      <c r="A431" s="291" t="s">
        <v>1655</v>
      </c>
      <c r="B431" s="291" t="s">
        <v>43</v>
      </c>
      <c r="C431" s="286"/>
      <c r="D431" s="286"/>
      <c r="E431" s="288"/>
      <c r="F431" s="286"/>
      <c r="G431" s="288"/>
      <c r="H431" s="286"/>
      <c r="I431" s="288"/>
      <c r="J431" s="286"/>
      <c r="K431" s="288"/>
      <c r="L431" s="286"/>
      <c r="M431" s="288"/>
      <c r="N431" s="286"/>
      <c r="O431" s="288"/>
      <c r="P431" s="286"/>
      <c r="Q431" s="288"/>
      <c r="R431" s="286"/>
      <c r="S431" s="288"/>
      <c r="T431" s="286"/>
      <c r="U431" s="288"/>
      <c r="V431" s="286"/>
      <c r="W431" s="288"/>
      <c r="X431" s="286"/>
      <c r="Y431" s="288"/>
      <c r="Z431" s="286"/>
      <c r="AA431" s="288"/>
      <c r="AB431" s="286"/>
      <c r="AC431" s="288"/>
      <c r="AD431" s="286"/>
      <c r="AE431" s="288"/>
      <c r="AF431" s="286"/>
      <c r="AG431" s="288"/>
      <c r="AH431" s="286"/>
      <c r="AI431" s="288"/>
      <c r="AJ431" s="286"/>
      <c r="AK431" s="286"/>
      <c r="AL431" s="286"/>
      <c r="AM431" s="286"/>
      <c r="AN431" s="286"/>
      <c r="AO431" s="286"/>
      <c r="AP431" s="286"/>
      <c r="AQ431" s="286"/>
      <c r="AR431" s="286"/>
      <c r="AS431" s="286"/>
      <c r="AT431" s="286"/>
      <c r="AU431" s="286"/>
      <c r="AV431" s="284"/>
      <c r="AW431" s="284"/>
      <c r="AX431" s="284"/>
      <c r="AY431" s="284"/>
      <c r="AZ431" s="284"/>
      <c r="BA431" s="284"/>
      <c r="BB431" s="284"/>
      <c r="BC431" s="284"/>
      <c r="BD431" s="284"/>
      <c r="BE431" s="284"/>
      <c r="BF431" s="284"/>
      <c r="BG431" s="284"/>
      <c r="BH431" s="284"/>
      <c r="BI431" s="284"/>
      <c r="BJ431" s="284"/>
      <c r="BK431" s="284"/>
      <c r="BL431" s="284"/>
      <c r="BM431" s="284"/>
      <c r="BN431" s="284"/>
      <c r="BO431" s="284"/>
      <c r="BP431" s="284"/>
      <c r="BQ431" s="284"/>
      <c r="BR431" s="284"/>
      <c r="BS431" s="284"/>
      <c r="BT431" s="284"/>
      <c r="BU431" s="284"/>
      <c r="BV431" s="284"/>
      <c r="BW431" s="284"/>
      <c r="BX431" s="284"/>
      <c r="BY431" s="284"/>
      <c r="BZ431" s="285"/>
      <c r="CA431" s="298">
        <f>SUM(C431,E431,G431,I431,K431,M431,O431,Q431,S431,U431,W431,Y431,AA431,AC431,AE431,AG431,AI431,AK431,AM431,AO431,AQ431,AS431,AU431,AW431,AY431,BA431,BC431,BE431,BG431,BI431,BK431,BM431,BO431,BQ431,BS431,BU431,BW431,BY431)</f>
        <v>0</v>
      </c>
      <c r="CB431" s="298">
        <f>SUM(D431,F431,H431,J431,L431,N431,P431,R431,T431,V431,X431,Z431,AB431,AD431,AF431,AH431,AJ431,AL431,AN431,AP431,AR431,AT431,AV431,AX431,AZ431,BB431,BD431,BF431,BH431,BJ431,BL431,BN431,BP431,BR431,BT431,BV431,BX431,BZ431)</f>
        <v>0</v>
      </c>
      <c r="CC431" s="299">
        <f>SUM(Table13[[#This Row],[GOALS 1]:[ASSISTS 38]])</f>
        <v>0</v>
      </c>
    </row>
    <row r="432" spans="1:81">
      <c r="A432" s="291" t="s">
        <v>1870</v>
      </c>
      <c r="B432" s="291" t="s">
        <v>29</v>
      </c>
      <c r="C432" s="289"/>
      <c r="D432" s="286"/>
      <c r="E432" s="288"/>
      <c r="F432" s="286"/>
      <c r="G432" s="288"/>
      <c r="H432" s="286"/>
      <c r="I432" s="288"/>
      <c r="J432" s="286"/>
      <c r="K432" s="288"/>
      <c r="L432" s="286"/>
      <c r="M432" s="288"/>
      <c r="N432" s="286"/>
      <c r="O432" s="288"/>
      <c r="P432" s="286"/>
      <c r="Q432" s="288"/>
      <c r="R432" s="286"/>
      <c r="S432" s="288"/>
      <c r="T432" s="286"/>
      <c r="U432" s="288"/>
      <c r="V432" s="286"/>
      <c r="W432" s="288"/>
      <c r="X432" s="286"/>
      <c r="Y432" s="288"/>
      <c r="Z432" s="286"/>
      <c r="AA432" s="288"/>
      <c r="AB432" s="286"/>
      <c r="AC432" s="288"/>
      <c r="AD432" s="286"/>
      <c r="AE432" s="288"/>
      <c r="AF432" s="286"/>
      <c r="AG432" s="288"/>
      <c r="AH432" s="286"/>
      <c r="AI432" s="288"/>
      <c r="AJ432" s="286"/>
      <c r="AK432" s="286"/>
      <c r="AL432" s="286"/>
      <c r="AM432" s="286"/>
      <c r="AN432" s="286"/>
      <c r="AO432" s="286"/>
      <c r="AP432" s="286"/>
      <c r="AQ432" s="286"/>
      <c r="AR432" s="286"/>
      <c r="AS432" s="286"/>
      <c r="AT432" s="286"/>
      <c r="AU432" s="286"/>
      <c r="AV432" s="284"/>
      <c r="AW432" s="284"/>
      <c r="AX432" s="284"/>
      <c r="AY432" s="284"/>
      <c r="AZ432" s="284"/>
      <c r="BA432" s="284"/>
      <c r="BB432" s="284"/>
      <c r="BC432" s="284"/>
      <c r="BD432" s="284"/>
      <c r="BE432" s="284"/>
      <c r="BF432" s="284"/>
      <c r="BG432" s="284"/>
      <c r="BH432" s="284"/>
      <c r="BI432" s="284"/>
      <c r="BJ432" s="284"/>
      <c r="BK432" s="284"/>
      <c r="BL432" s="284"/>
      <c r="BM432" s="284"/>
      <c r="BN432" s="284"/>
      <c r="BO432" s="284"/>
      <c r="BP432" s="284"/>
      <c r="BQ432" s="284"/>
      <c r="BR432" s="284"/>
      <c r="BS432" s="284"/>
      <c r="BT432" s="284"/>
      <c r="BU432" s="284"/>
      <c r="BV432" s="284"/>
      <c r="BW432" s="284"/>
      <c r="BX432" s="284"/>
      <c r="BY432" s="284"/>
      <c r="BZ432" s="285"/>
      <c r="CA432" s="298">
        <f>SUM(C432,E432,G432,I432,K432,M432,O432,Q432,S432,U432,W432,Y432,AA432,AC432,AE432,AG432,AI432,AK432,AM432,AO432,AQ432,AS432,AU432,AW432,AY432,BA432,BC432,BE432,BG432,BI432,BK432,BM432,BO432,BQ432,BS432,BU432,BW432,BY432)</f>
        <v>0</v>
      </c>
      <c r="CB432" s="298">
        <f>SUM(D432,F432,H432,J432,L432,N432,P432,R432,T432,V432,X432,Z432,AB432,AD432,AF432,AH432,AJ432,AL432,AN432,AP432,AR432,AT432,AV432,AX432,AZ432,BB432,BD432,BF432,BH432,BJ432,BL432,BN432,BP432,BR432,BT432,BV432,BX432,BZ432)</f>
        <v>0</v>
      </c>
      <c r="CC432" s="299">
        <f>SUM(Table13[[#This Row],[GOALS 1]:[ASSISTS 38]])</f>
        <v>0</v>
      </c>
    </row>
    <row r="433" spans="1:81">
      <c r="A433" s="291" t="s">
        <v>1538</v>
      </c>
      <c r="B433" s="291" t="s">
        <v>22</v>
      </c>
      <c r="C433" s="286"/>
      <c r="D433" s="286"/>
      <c r="E433" s="288"/>
      <c r="F433" s="286"/>
      <c r="G433" s="288"/>
      <c r="H433" s="286"/>
      <c r="I433" s="288"/>
      <c r="J433" s="286"/>
      <c r="K433" s="288"/>
      <c r="L433" s="286"/>
      <c r="M433" s="288"/>
      <c r="N433" s="286"/>
      <c r="O433" s="288"/>
      <c r="P433" s="286"/>
      <c r="Q433" s="288"/>
      <c r="R433" s="286"/>
      <c r="S433" s="288"/>
      <c r="T433" s="286"/>
      <c r="U433" s="288"/>
      <c r="V433" s="286"/>
      <c r="W433" s="288"/>
      <c r="X433" s="286"/>
      <c r="Y433" s="288"/>
      <c r="Z433" s="286"/>
      <c r="AA433" s="288"/>
      <c r="AB433" s="286"/>
      <c r="AC433" s="288"/>
      <c r="AD433" s="286"/>
      <c r="AE433" s="288"/>
      <c r="AF433" s="286"/>
      <c r="AG433" s="288"/>
      <c r="AH433" s="286"/>
      <c r="AI433" s="288"/>
      <c r="AJ433" s="286"/>
      <c r="AK433" s="286"/>
      <c r="AL433" s="286"/>
      <c r="AM433" s="286"/>
      <c r="AN433" s="286"/>
      <c r="AO433" s="286"/>
      <c r="AP433" s="286"/>
      <c r="AQ433" s="286"/>
      <c r="AR433" s="286"/>
      <c r="AS433" s="286"/>
      <c r="AT433" s="286"/>
      <c r="AU433" s="286"/>
      <c r="AV433" s="284"/>
      <c r="AW433" s="284"/>
      <c r="AX433" s="284"/>
      <c r="AY433" s="284"/>
      <c r="AZ433" s="284"/>
      <c r="BA433" s="284"/>
      <c r="BB433" s="284"/>
      <c r="BC433" s="284"/>
      <c r="BD433" s="284"/>
      <c r="BE433" s="284"/>
      <c r="BF433" s="284"/>
      <c r="BG433" s="284"/>
      <c r="BH433" s="284"/>
      <c r="BI433" s="284"/>
      <c r="BJ433" s="284"/>
      <c r="BK433" s="284"/>
      <c r="BL433" s="284"/>
      <c r="BM433" s="284"/>
      <c r="BN433" s="284"/>
      <c r="BO433" s="284"/>
      <c r="BP433" s="284"/>
      <c r="BQ433" s="284"/>
      <c r="BR433" s="284"/>
      <c r="BS433" s="284"/>
      <c r="BT433" s="284"/>
      <c r="BU433" s="284"/>
      <c r="BV433" s="284"/>
      <c r="BW433" s="284"/>
      <c r="BX433" s="284"/>
      <c r="BY433" s="284"/>
      <c r="BZ433" s="285"/>
      <c r="CA433" s="298">
        <f>SUM(C433,E433,G433,I433,K433,M433,O433,Q433,S433,U433,W433,Y433,AA433,AC433,AE433,AG433,AI433,AK433,AM433,AO433,AQ433,AS433,AU433,AW433,AY433,BA433,BC433,BE433,BG433,BI433,BK433,BM433,BO433,BQ433,BS433,BU433,BW433,BY433)</f>
        <v>0</v>
      </c>
      <c r="CB433" s="298">
        <f>SUM(D433,F433,H433,J433,L433,N433,P433,R433,T433,V433,X433,Z433,AB433,AD433,AF433,AH433,AJ433,AL433,AN433,AP433,AR433,AT433,AV433,AX433,AZ433,BB433,BD433,BF433,BH433,BJ433,BL433,BN433,BP433,BR433,BT433,BV433,BX433,BZ433)</f>
        <v>0</v>
      </c>
      <c r="CC433" s="299">
        <f>SUM(Table13[[#This Row],[GOALS 1]:[ASSISTS 38]])</f>
        <v>0</v>
      </c>
    </row>
    <row r="434" spans="1:81">
      <c r="A434" s="291" t="s">
        <v>1889</v>
      </c>
      <c r="B434" s="291" t="s">
        <v>25</v>
      </c>
      <c r="C434" s="286"/>
      <c r="D434" s="286"/>
      <c r="E434" s="288"/>
      <c r="F434" s="286"/>
      <c r="G434" s="288"/>
      <c r="H434" s="286"/>
      <c r="I434" s="288"/>
      <c r="J434" s="286"/>
      <c r="K434" s="288"/>
      <c r="L434" s="286"/>
      <c r="M434" s="288"/>
      <c r="N434" s="286"/>
      <c r="O434" s="288"/>
      <c r="P434" s="286"/>
      <c r="Q434" s="288"/>
      <c r="R434" s="286"/>
      <c r="S434" s="288"/>
      <c r="T434" s="286"/>
      <c r="U434" s="288"/>
      <c r="V434" s="286"/>
      <c r="W434" s="288"/>
      <c r="X434" s="286"/>
      <c r="Y434" s="288"/>
      <c r="Z434" s="286"/>
      <c r="AA434" s="288"/>
      <c r="AB434" s="286"/>
      <c r="AC434" s="288"/>
      <c r="AD434" s="286"/>
      <c r="AE434" s="288"/>
      <c r="AF434" s="286"/>
      <c r="AG434" s="288"/>
      <c r="AH434" s="286"/>
      <c r="AI434" s="288"/>
      <c r="AJ434" s="286"/>
      <c r="AK434" s="286"/>
      <c r="AL434" s="286"/>
      <c r="AM434" s="286"/>
      <c r="AN434" s="286"/>
      <c r="AO434" s="286"/>
      <c r="AP434" s="286"/>
      <c r="AQ434" s="286"/>
      <c r="AR434" s="286"/>
      <c r="AS434" s="286"/>
      <c r="AT434" s="286"/>
      <c r="AU434" s="286"/>
      <c r="AV434" s="284"/>
      <c r="AW434" s="284"/>
      <c r="AX434" s="284"/>
      <c r="AY434" s="284"/>
      <c r="AZ434" s="284"/>
      <c r="BA434" s="284"/>
      <c r="BB434" s="284"/>
      <c r="BC434" s="284"/>
      <c r="BD434" s="284"/>
      <c r="BE434" s="284"/>
      <c r="BF434" s="284"/>
      <c r="BG434" s="284"/>
      <c r="BH434" s="284"/>
      <c r="BI434" s="284"/>
      <c r="BJ434" s="284"/>
      <c r="BK434" s="284"/>
      <c r="BL434" s="284"/>
      <c r="BM434" s="284"/>
      <c r="BN434" s="284"/>
      <c r="BO434" s="284"/>
      <c r="BP434" s="284"/>
      <c r="BQ434" s="284"/>
      <c r="BR434" s="284"/>
      <c r="BS434" s="284"/>
      <c r="BT434" s="284"/>
      <c r="BU434" s="284"/>
      <c r="BV434" s="284"/>
      <c r="BW434" s="284"/>
      <c r="BX434" s="284"/>
      <c r="BY434" s="284"/>
      <c r="BZ434" s="285"/>
      <c r="CA434" s="298">
        <f>SUM(C434,E434,G434,I434,K434,M434,O434,Q434,S434,U434,W434,Y434,AA434,AC434,AE434,AG434,AI434,AK434,AM434,AO434,AQ434,AS434,AU434,AW434,AY434,BA434,BC434,BE434,BG434,BI434,BK434,BM434,BO434,BQ434,BS434,BU434,BW434,BY434)</f>
        <v>0</v>
      </c>
      <c r="CB434" s="298">
        <f>SUM(D434,F434,H434,J434,L434,N434,P434,R434,T434,V434,X434,Z434,AB434,AD434,AF434,AH434,AJ434,AL434,AN434,AP434,AR434,AT434,AV434,AX434,AZ434,BB434,BD434,BF434,BH434,BJ434,BL434,BN434,BP434,BR434,BT434,BV434,BX434,BZ434)</f>
        <v>0</v>
      </c>
      <c r="CC434" s="299">
        <f>SUM(Table13[[#This Row],[GOALS 1]:[ASSISTS 38]])</f>
        <v>0</v>
      </c>
    </row>
    <row r="435" spans="1:81">
      <c r="A435" s="291" t="s">
        <v>1703</v>
      </c>
      <c r="B435" s="291" t="s">
        <v>24</v>
      </c>
      <c r="C435" s="286"/>
      <c r="D435" s="286"/>
      <c r="E435" s="288"/>
      <c r="F435" s="286"/>
      <c r="G435" s="288"/>
      <c r="H435" s="286"/>
      <c r="I435" s="288"/>
      <c r="J435" s="286"/>
      <c r="K435" s="288"/>
      <c r="L435" s="286"/>
      <c r="M435" s="288"/>
      <c r="N435" s="286"/>
      <c r="O435" s="288"/>
      <c r="P435" s="286"/>
      <c r="Q435" s="288"/>
      <c r="R435" s="286"/>
      <c r="S435" s="288"/>
      <c r="T435" s="286"/>
      <c r="U435" s="288"/>
      <c r="V435" s="286"/>
      <c r="W435" s="288"/>
      <c r="X435" s="286"/>
      <c r="Y435" s="288"/>
      <c r="Z435" s="286"/>
      <c r="AA435" s="288"/>
      <c r="AB435" s="286"/>
      <c r="AC435" s="288"/>
      <c r="AD435" s="286"/>
      <c r="AE435" s="288"/>
      <c r="AF435" s="286"/>
      <c r="AG435" s="288"/>
      <c r="AH435" s="286"/>
      <c r="AI435" s="288"/>
      <c r="AJ435" s="286"/>
      <c r="AK435" s="286"/>
      <c r="AL435" s="286"/>
      <c r="AM435" s="286"/>
      <c r="AN435" s="286"/>
      <c r="AO435" s="286"/>
      <c r="AP435" s="286"/>
      <c r="AQ435" s="286"/>
      <c r="AR435" s="286"/>
      <c r="AS435" s="286"/>
      <c r="AT435" s="286"/>
      <c r="AU435" s="286"/>
      <c r="AV435" s="284"/>
      <c r="AW435" s="284"/>
      <c r="AX435" s="284"/>
      <c r="AY435" s="284"/>
      <c r="AZ435" s="284"/>
      <c r="BA435" s="284"/>
      <c r="BB435" s="284"/>
      <c r="BC435" s="284"/>
      <c r="BD435" s="284"/>
      <c r="BE435" s="284"/>
      <c r="BF435" s="284"/>
      <c r="BG435" s="284"/>
      <c r="BH435" s="284"/>
      <c r="BI435" s="284"/>
      <c r="BJ435" s="284"/>
      <c r="BK435" s="284"/>
      <c r="BL435" s="284"/>
      <c r="BM435" s="284"/>
      <c r="BN435" s="284"/>
      <c r="BO435" s="284"/>
      <c r="BP435" s="284"/>
      <c r="BQ435" s="284"/>
      <c r="BR435" s="284"/>
      <c r="BS435" s="284"/>
      <c r="BT435" s="284"/>
      <c r="BU435" s="284"/>
      <c r="BV435" s="284"/>
      <c r="BW435" s="284"/>
      <c r="BX435" s="284"/>
      <c r="BY435" s="284"/>
      <c r="BZ435" s="285"/>
      <c r="CA435" s="298">
        <f>SUM(C435,E435,G435,I435,K435,M435,O435,Q435,S435,U435,W435,Y435,AA435,AC435,AE435,AG435,AI435,AK435,AM435,AO435,AQ435,AS435,AU435,AW435,AY435,BA435,BC435,BE435,BG435,BI435,BK435,BM435,BO435,BQ435,BS435,BU435,BW435,BY435)</f>
        <v>0</v>
      </c>
      <c r="CB435" s="298">
        <f>SUM(D435,F435,H435,J435,L435,N435,P435,R435,T435,V435,X435,Z435,AB435,AD435,AF435,AH435,AJ435,AL435,AN435,AP435,AR435,AT435,AV435,AX435,AZ435,BB435,BD435,BF435,BH435,BJ435,BL435,BN435,BP435,BR435,BT435,BV435,BX435,BZ435)</f>
        <v>0</v>
      </c>
      <c r="CC435" s="299">
        <f>SUM(Table13[[#This Row],[GOALS 1]:[ASSISTS 38]])</f>
        <v>0</v>
      </c>
    </row>
    <row r="436" spans="1:81">
      <c r="A436" s="291" t="s">
        <v>1467</v>
      </c>
      <c r="B436" s="291" t="s">
        <v>51</v>
      </c>
      <c r="C436" s="286"/>
      <c r="D436" s="286"/>
      <c r="E436" s="288"/>
      <c r="F436" s="286"/>
      <c r="G436" s="288"/>
      <c r="H436" s="286"/>
      <c r="I436" s="288"/>
      <c r="J436" s="286"/>
      <c r="K436" s="288"/>
      <c r="L436" s="286"/>
      <c r="M436" s="288"/>
      <c r="N436" s="286"/>
      <c r="O436" s="288"/>
      <c r="P436" s="286"/>
      <c r="Q436" s="288"/>
      <c r="R436" s="286"/>
      <c r="S436" s="288"/>
      <c r="T436" s="286"/>
      <c r="U436" s="288"/>
      <c r="V436" s="286"/>
      <c r="W436" s="288"/>
      <c r="X436" s="286"/>
      <c r="Y436" s="288"/>
      <c r="Z436" s="286"/>
      <c r="AA436" s="288"/>
      <c r="AB436" s="286"/>
      <c r="AC436" s="288"/>
      <c r="AD436" s="286"/>
      <c r="AE436" s="288"/>
      <c r="AF436" s="286"/>
      <c r="AG436" s="288"/>
      <c r="AH436" s="286"/>
      <c r="AI436" s="288"/>
      <c r="AJ436" s="286"/>
      <c r="AK436" s="286"/>
      <c r="AL436" s="286"/>
      <c r="AM436" s="286"/>
      <c r="AN436" s="286"/>
      <c r="AO436" s="286"/>
      <c r="AP436" s="286"/>
      <c r="AQ436" s="286"/>
      <c r="AR436" s="286"/>
      <c r="AS436" s="286"/>
      <c r="AT436" s="286"/>
      <c r="AU436" s="286"/>
      <c r="AV436" s="284"/>
      <c r="AW436" s="284"/>
      <c r="AX436" s="284"/>
      <c r="AY436" s="284"/>
      <c r="AZ436" s="284"/>
      <c r="BA436" s="284"/>
      <c r="BB436" s="284"/>
      <c r="BC436" s="284"/>
      <c r="BD436" s="284"/>
      <c r="BE436" s="284"/>
      <c r="BF436" s="284"/>
      <c r="BG436" s="284"/>
      <c r="BH436" s="284"/>
      <c r="BI436" s="284"/>
      <c r="BJ436" s="284"/>
      <c r="BK436" s="284"/>
      <c r="BL436" s="284"/>
      <c r="BM436" s="284"/>
      <c r="BN436" s="284"/>
      <c r="BO436" s="284"/>
      <c r="BP436" s="284"/>
      <c r="BQ436" s="284"/>
      <c r="BR436" s="284"/>
      <c r="BS436" s="284"/>
      <c r="BT436" s="284"/>
      <c r="BU436" s="284"/>
      <c r="BV436" s="284"/>
      <c r="BW436" s="284"/>
      <c r="BX436" s="284"/>
      <c r="BY436" s="284"/>
      <c r="BZ436" s="285"/>
      <c r="CA436" s="298">
        <f>SUM(C436,E436,G436,I436,K436,M436,O436,Q436,S436,U436,W436,Y436,AA436,AC436,AE436,AG436,AI436,AK436,AM436,AO436,AQ436,AS436,AU436,AW436,AY436,BA436,BC436,BE436,BG436,BI436,BK436,BM436,BO436,BQ436,BS436,BU436,BW436,BY436)</f>
        <v>0</v>
      </c>
      <c r="CB436" s="298">
        <f>SUM(D436,F436,H436,J436,L436,N436,P436,R436,T436,V436,X436,Z436,AB436,AD436,AF436,AH436,AJ436,AL436,AN436,AP436,AR436,AT436,AV436,AX436,AZ436,BB436,BD436,BF436,BH436,BJ436,BL436,BN436,BP436,BR436,BT436,BV436,BX436,BZ436)</f>
        <v>0</v>
      </c>
      <c r="CC436" s="299">
        <f>SUM(Table13[[#This Row],[GOALS 1]:[ASSISTS 38]])</f>
        <v>0</v>
      </c>
    </row>
    <row r="437" spans="1:81">
      <c r="A437" s="291" t="s">
        <v>1746</v>
      </c>
      <c r="B437" s="291" t="s">
        <v>23</v>
      </c>
      <c r="C437" s="289"/>
      <c r="D437" s="286"/>
      <c r="E437" s="288"/>
      <c r="F437" s="286"/>
      <c r="G437" s="288"/>
      <c r="H437" s="286"/>
      <c r="I437" s="288"/>
      <c r="J437" s="286"/>
      <c r="K437" s="288"/>
      <c r="L437" s="286"/>
      <c r="M437" s="288"/>
      <c r="N437" s="286"/>
      <c r="O437" s="288"/>
      <c r="P437" s="286"/>
      <c r="Q437" s="288"/>
      <c r="R437" s="286"/>
      <c r="S437" s="288"/>
      <c r="T437" s="286"/>
      <c r="U437" s="288"/>
      <c r="V437" s="286"/>
      <c r="W437" s="288"/>
      <c r="X437" s="286"/>
      <c r="Y437" s="288"/>
      <c r="Z437" s="286"/>
      <c r="AA437" s="288"/>
      <c r="AB437" s="286"/>
      <c r="AC437" s="288"/>
      <c r="AD437" s="286"/>
      <c r="AE437" s="288"/>
      <c r="AF437" s="286"/>
      <c r="AG437" s="288"/>
      <c r="AH437" s="286"/>
      <c r="AI437" s="288"/>
      <c r="AJ437" s="286"/>
      <c r="AK437" s="286"/>
      <c r="AL437" s="286"/>
      <c r="AM437" s="286"/>
      <c r="AN437" s="286"/>
      <c r="AO437" s="286"/>
      <c r="AP437" s="286"/>
      <c r="AQ437" s="286"/>
      <c r="AR437" s="286"/>
      <c r="AS437" s="286"/>
      <c r="AT437" s="286"/>
      <c r="AU437" s="286"/>
      <c r="AV437" s="284"/>
      <c r="AW437" s="284"/>
      <c r="AX437" s="284"/>
      <c r="AY437" s="284"/>
      <c r="AZ437" s="284"/>
      <c r="BA437" s="284"/>
      <c r="BB437" s="284"/>
      <c r="BC437" s="284"/>
      <c r="BD437" s="284"/>
      <c r="BE437" s="284"/>
      <c r="BF437" s="284"/>
      <c r="BG437" s="284"/>
      <c r="BH437" s="284"/>
      <c r="BI437" s="284"/>
      <c r="BJ437" s="284"/>
      <c r="BK437" s="284"/>
      <c r="BL437" s="284"/>
      <c r="BM437" s="284"/>
      <c r="BN437" s="284"/>
      <c r="BO437" s="284"/>
      <c r="BP437" s="284"/>
      <c r="BQ437" s="284"/>
      <c r="BR437" s="284"/>
      <c r="BS437" s="284"/>
      <c r="BT437" s="284"/>
      <c r="BU437" s="284"/>
      <c r="BV437" s="284"/>
      <c r="BW437" s="284"/>
      <c r="BX437" s="284"/>
      <c r="BY437" s="284"/>
      <c r="BZ437" s="285"/>
      <c r="CA437" s="298">
        <f>SUM(C437,E437,G437,I437,K437,M437,O437,Q437,S437,U437,W437,Y437,AA437,AC437,AE437,AG437,AI437,AK437,AM437,AO437,AQ437,AS437,AU437,AW437,AY437,BA437,BC437,BE437,BG437,BI437,BK437,BM437,BO437,BQ437,BS437,BU437,BW437,BY437)</f>
        <v>0</v>
      </c>
      <c r="CB437" s="298">
        <f>SUM(D437,F437,H437,J437,L437,N437,P437,R437,T437,V437,X437,Z437,AB437,AD437,AF437,AH437,AJ437,AL437,AN437,AP437,AR437,AT437,AV437,AX437,AZ437,BB437,BD437,BF437,BH437,BJ437,BL437,BN437,BP437,BR437,BT437,BV437,BX437,BZ437)</f>
        <v>0</v>
      </c>
      <c r="CC437" s="299">
        <f>SUM(Table13[[#This Row],[GOALS 1]:[ASSISTS 38]])</f>
        <v>0</v>
      </c>
    </row>
    <row r="438" spans="1:81">
      <c r="A438" s="291" t="s">
        <v>1790</v>
      </c>
      <c r="B438" s="291" t="s">
        <v>22</v>
      </c>
      <c r="C438" s="286"/>
      <c r="D438" s="286"/>
      <c r="E438" s="288"/>
      <c r="F438" s="286"/>
      <c r="G438" s="288"/>
      <c r="H438" s="286"/>
      <c r="I438" s="288"/>
      <c r="J438" s="286"/>
      <c r="K438" s="288"/>
      <c r="L438" s="286"/>
      <c r="M438" s="288"/>
      <c r="N438" s="286"/>
      <c r="O438" s="288"/>
      <c r="P438" s="286"/>
      <c r="Q438" s="288"/>
      <c r="R438" s="286"/>
      <c r="S438" s="288"/>
      <c r="T438" s="286"/>
      <c r="U438" s="288"/>
      <c r="V438" s="286"/>
      <c r="W438" s="288"/>
      <c r="X438" s="286"/>
      <c r="Y438" s="288"/>
      <c r="Z438" s="286"/>
      <c r="AA438" s="288"/>
      <c r="AB438" s="286"/>
      <c r="AC438" s="288"/>
      <c r="AD438" s="286"/>
      <c r="AE438" s="288"/>
      <c r="AF438" s="286"/>
      <c r="AG438" s="288"/>
      <c r="AH438" s="286"/>
      <c r="AI438" s="288"/>
      <c r="AJ438" s="286"/>
      <c r="AK438" s="286"/>
      <c r="AL438" s="286"/>
      <c r="AM438" s="286"/>
      <c r="AN438" s="286"/>
      <c r="AO438" s="286"/>
      <c r="AP438" s="286"/>
      <c r="AQ438" s="286"/>
      <c r="AR438" s="286"/>
      <c r="AS438" s="286"/>
      <c r="AT438" s="286"/>
      <c r="AU438" s="286"/>
      <c r="AV438" s="284"/>
      <c r="AW438" s="284"/>
      <c r="AX438" s="284"/>
      <c r="AY438" s="284"/>
      <c r="AZ438" s="284"/>
      <c r="BA438" s="284"/>
      <c r="BB438" s="284"/>
      <c r="BC438" s="284"/>
      <c r="BD438" s="284"/>
      <c r="BE438" s="284"/>
      <c r="BF438" s="284"/>
      <c r="BG438" s="284"/>
      <c r="BH438" s="284"/>
      <c r="BI438" s="284"/>
      <c r="BJ438" s="284"/>
      <c r="BK438" s="284"/>
      <c r="BL438" s="284"/>
      <c r="BM438" s="284"/>
      <c r="BN438" s="284"/>
      <c r="BO438" s="284"/>
      <c r="BP438" s="284"/>
      <c r="BQ438" s="284"/>
      <c r="BR438" s="284"/>
      <c r="BS438" s="284"/>
      <c r="BT438" s="284"/>
      <c r="BU438" s="284"/>
      <c r="BV438" s="284"/>
      <c r="BW438" s="284"/>
      <c r="BX438" s="284"/>
      <c r="BY438" s="284"/>
      <c r="BZ438" s="285"/>
      <c r="CA438" s="298">
        <f>SUM(C438,E438,G438,I438,K438,M438,O438,Q438,S438,U438,W438,Y438,AA438,AC438,AE438,AG438,AI438,AK438,AM438,AO438,AQ438,AS438,AU438,AW438,AY438,BA438,BC438,BE438,BG438,BI438,BK438,BM438,BO438,BQ438,BS438,BU438,BW438,BY438)</f>
        <v>0</v>
      </c>
      <c r="CB438" s="298">
        <f>SUM(D438,F438,H438,J438,L438,N438,P438,R438,T438,V438,X438,Z438,AB438,AD438,AF438,AH438,AJ438,AL438,AN438,AP438,AR438,AT438,AV438,AX438,AZ438,BB438,BD438,BF438,BH438,BJ438,BL438,BN438,BP438,BR438,BT438,BV438,BX438,BZ438)</f>
        <v>0</v>
      </c>
      <c r="CC438" s="299">
        <f>SUM(Table13[[#This Row],[GOALS 1]:[ASSISTS 38]])</f>
        <v>0</v>
      </c>
    </row>
    <row r="439" spans="1:81">
      <c r="A439" s="291" t="s">
        <v>1286</v>
      </c>
      <c r="B439" s="291" t="s">
        <v>20</v>
      </c>
      <c r="C439" s="289"/>
      <c r="D439" s="286"/>
      <c r="E439" s="288"/>
      <c r="F439" s="286"/>
      <c r="G439" s="288"/>
      <c r="H439" s="286"/>
      <c r="I439" s="288"/>
      <c r="J439" s="286"/>
      <c r="K439" s="288"/>
      <c r="L439" s="286"/>
      <c r="M439" s="288"/>
      <c r="N439" s="286"/>
      <c r="O439" s="288"/>
      <c r="P439" s="286"/>
      <c r="Q439" s="288"/>
      <c r="R439" s="286"/>
      <c r="S439" s="288"/>
      <c r="T439" s="286"/>
      <c r="U439" s="288"/>
      <c r="V439" s="286"/>
      <c r="W439" s="288"/>
      <c r="X439" s="286"/>
      <c r="Y439" s="288"/>
      <c r="Z439" s="286"/>
      <c r="AA439" s="288"/>
      <c r="AB439" s="286"/>
      <c r="AC439" s="288"/>
      <c r="AD439" s="286"/>
      <c r="AE439" s="288"/>
      <c r="AF439" s="286"/>
      <c r="AG439" s="288"/>
      <c r="AH439" s="286"/>
      <c r="AI439" s="288"/>
      <c r="AJ439" s="286"/>
      <c r="AK439" s="286"/>
      <c r="AL439" s="286"/>
      <c r="AM439" s="286"/>
      <c r="AN439" s="286"/>
      <c r="AO439" s="286"/>
      <c r="AP439" s="286"/>
      <c r="AQ439" s="286"/>
      <c r="AR439" s="286"/>
      <c r="AS439" s="286"/>
      <c r="AT439" s="286"/>
      <c r="AU439" s="286"/>
      <c r="AV439" s="284"/>
      <c r="AW439" s="284"/>
      <c r="AX439" s="284"/>
      <c r="AY439" s="284"/>
      <c r="AZ439" s="284"/>
      <c r="BA439" s="284"/>
      <c r="BB439" s="284"/>
      <c r="BC439" s="284"/>
      <c r="BD439" s="284"/>
      <c r="BE439" s="284"/>
      <c r="BF439" s="284"/>
      <c r="BG439" s="284"/>
      <c r="BH439" s="284"/>
      <c r="BI439" s="284"/>
      <c r="BJ439" s="284"/>
      <c r="BK439" s="284"/>
      <c r="BL439" s="284"/>
      <c r="BM439" s="284"/>
      <c r="BN439" s="284"/>
      <c r="BO439" s="284"/>
      <c r="BP439" s="284"/>
      <c r="BQ439" s="284"/>
      <c r="BR439" s="284"/>
      <c r="BS439" s="284"/>
      <c r="BT439" s="284"/>
      <c r="BU439" s="284"/>
      <c r="BV439" s="284"/>
      <c r="BW439" s="284"/>
      <c r="BX439" s="284"/>
      <c r="BY439" s="284"/>
      <c r="BZ439" s="285"/>
      <c r="CA439" s="298">
        <f>SUM(C439,E439,G439,I439,K439,M439,O439,Q439,S439,U439,W439,Y439,AA439,AC439,AE439,AG439,AI439,AK439,AM439,AO439,AQ439,AS439,AU439,AW439,AY439,BA439,BC439,BE439,BG439,BI439,BK439,BM439,BO439,BQ439,BS439,BU439,BW439,BY439)</f>
        <v>0</v>
      </c>
      <c r="CB439" s="298">
        <f>SUM(D439,F439,H439,J439,L439,N439,P439,R439,T439,V439,X439,Z439,AB439,AD439,AF439,AH439,AJ439,AL439,AN439,AP439,AR439,AT439,AV439,AX439,AZ439,BB439,BD439,BF439,BH439,BJ439,BL439,BN439,BP439,BR439,BT439,BV439,BX439,BZ439)</f>
        <v>0</v>
      </c>
      <c r="CC439" s="299">
        <f>SUM(Table13[[#This Row],[GOALS 1]:[ASSISTS 38]])</f>
        <v>0</v>
      </c>
    </row>
    <row r="440" spans="1:81">
      <c r="A440" s="291" t="s">
        <v>1684</v>
      </c>
      <c r="B440" s="291" t="s">
        <v>24</v>
      </c>
      <c r="C440" s="286"/>
      <c r="D440" s="286"/>
      <c r="E440" s="288"/>
      <c r="F440" s="286"/>
      <c r="G440" s="288"/>
      <c r="H440" s="286"/>
      <c r="I440" s="288"/>
      <c r="J440" s="286"/>
      <c r="K440" s="288"/>
      <c r="L440" s="286"/>
      <c r="M440" s="288"/>
      <c r="N440" s="286"/>
      <c r="O440" s="288"/>
      <c r="P440" s="286"/>
      <c r="Q440" s="288"/>
      <c r="R440" s="286"/>
      <c r="S440" s="288"/>
      <c r="T440" s="286"/>
      <c r="U440" s="288"/>
      <c r="V440" s="286"/>
      <c r="W440" s="288"/>
      <c r="X440" s="286"/>
      <c r="Y440" s="288"/>
      <c r="Z440" s="286"/>
      <c r="AA440" s="288"/>
      <c r="AB440" s="286"/>
      <c r="AC440" s="288"/>
      <c r="AD440" s="286"/>
      <c r="AE440" s="288"/>
      <c r="AF440" s="286"/>
      <c r="AG440" s="288"/>
      <c r="AH440" s="286"/>
      <c r="AI440" s="288"/>
      <c r="AJ440" s="286"/>
      <c r="AK440" s="286"/>
      <c r="AL440" s="286"/>
      <c r="AM440" s="286"/>
      <c r="AN440" s="286"/>
      <c r="AO440" s="286"/>
      <c r="AP440" s="286"/>
      <c r="AQ440" s="286"/>
      <c r="AR440" s="286"/>
      <c r="AS440" s="286"/>
      <c r="AT440" s="286"/>
      <c r="AU440" s="286"/>
      <c r="AV440" s="284"/>
      <c r="AW440" s="284"/>
      <c r="AX440" s="284"/>
      <c r="AY440" s="284"/>
      <c r="AZ440" s="284"/>
      <c r="BA440" s="284"/>
      <c r="BB440" s="284"/>
      <c r="BC440" s="284"/>
      <c r="BD440" s="284"/>
      <c r="BE440" s="284"/>
      <c r="BF440" s="284"/>
      <c r="BG440" s="284"/>
      <c r="BH440" s="284"/>
      <c r="BI440" s="284"/>
      <c r="BJ440" s="284"/>
      <c r="BK440" s="284"/>
      <c r="BL440" s="284"/>
      <c r="BM440" s="284"/>
      <c r="BN440" s="284"/>
      <c r="BO440" s="284"/>
      <c r="BP440" s="284"/>
      <c r="BQ440" s="284"/>
      <c r="BR440" s="284"/>
      <c r="BS440" s="284"/>
      <c r="BT440" s="284"/>
      <c r="BU440" s="284"/>
      <c r="BV440" s="284"/>
      <c r="BW440" s="284"/>
      <c r="BX440" s="284"/>
      <c r="BY440" s="284"/>
      <c r="BZ440" s="285"/>
      <c r="CA440" s="298">
        <f>SUM(C440,E440,G440,I440,K440,M440,O440,Q440,S440,U440,W440,Y440,AA440,AC440,AE440,AG440,AI440,AK440,AM440,AO440,AQ440,AS440,AU440,AW440,AY440,BA440,BC440,BE440,BG440,BI440,BK440,BM440,BO440,BQ440,BS440,BU440,BW440,BY440)</f>
        <v>0</v>
      </c>
      <c r="CB440" s="298">
        <f>SUM(D440,F440,H440,J440,L440,N440,P440,R440,T440,V440,X440,Z440,AB440,AD440,AF440,AH440,AJ440,AL440,AN440,AP440,AR440,AT440,AV440,AX440,AZ440,BB440,BD440,BF440,BH440,BJ440,BL440,BN440,BP440,BR440,BT440,BV440,BX440,BZ440)</f>
        <v>0</v>
      </c>
      <c r="CC440" s="299">
        <f>SUM(Table13[[#This Row],[GOALS 1]:[ASSISTS 38]])</f>
        <v>0</v>
      </c>
    </row>
    <row r="441" spans="1:81">
      <c r="A441" s="291" t="s">
        <v>1407</v>
      </c>
      <c r="B441" s="291" t="s">
        <v>20</v>
      </c>
      <c r="C441" s="289"/>
      <c r="D441" s="286"/>
      <c r="E441" s="288"/>
      <c r="F441" s="286"/>
      <c r="G441" s="288"/>
      <c r="H441" s="286"/>
      <c r="I441" s="288"/>
      <c r="J441" s="286"/>
      <c r="K441" s="288"/>
      <c r="L441" s="286"/>
      <c r="M441" s="288"/>
      <c r="N441" s="286"/>
      <c r="O441" s="288"/>
      <c r="P441" s="286"/>
      <c r="Q441" s="288"/>
      <c r="R441" s="286"/>
      <c r="S441" s="288"/>
      <c r="T441" s="286"/>
      <c r="U441" s="288"/>
      <c r="V441" s="286"/>
      <c r="W441" s="288"/>
      <c r="X441" s="286"/>
      <c r="Y441" s="288"/>
      <c r="Z441" s="286"/>
      <c r="AA441" s="288"/>
      <c r="AB441" s="286"/>
      <c r="AC441" s="288"/>
      <c r="AD441" s="286"/>
      <c r="AE441" s="288"/>
      <c r="AF441" s="286"/>
      <c r="AG441" s="288"/>
      <c r="AH441" s="286"/>
      <c r="AI441" s="288"/>
      <c r="AJ441" s="286"/>
      <c r="AK441" s="286"/>
      <c r="AL441" s="286"/>
      <c r="AM441" s="286"/>
      <c r="AN441" s="286"/>
      <c r="AO441" s="286"/>
      <c r="AP441" s="286"/>
      <c r="AQ441" s="286"/>
      <c r="AR441" s="286"/>
      <c r="AS441" s="286"/>
      <c r="AT441" s="286"/>
      <c r="AU441" s="286"/>
      <c r="AV441" s="284"/>
      <c r="AW441" s="284"/>
      <c r="AX441" s="284"/>
      <c r="AY441" s="284"/>
      <c r="AZ441" s="284"/>
      <c r="BA441" s="284"/>
      <c r="BB441" s="284"/>
      <c r="BC441" s="284"/>
      <c r="BD441" s="284"/>
      <c r="BE441" s="284"/>
      <c r="BF441" s="284"/>
      <c r="BG441" s="284"/>
      <c r="BH441" s="284"/>
      <c r="BI441" s="284"/>
      <c r="BJ441" s="284"/>
      <c r="BK441" s="284"/>
      <c r="BL441" s="284"/>
      <c r="BM441" s="284"/>
      <c r="BN441" s="284"/>
      <c r="BO441" s="284"/>
      <c r="BP441" s="284"/>
      <c r="BQ441" s="284"/>
      <c r="BR441" s="284"/>
      <c r="BS441" s="284"/>
      <c r="BT441" s="284"/>
      <c r="BU441" s="284"/>
      <c r="BV441" s="284"/>
      <c r="BW441" s="284"/>
      <c r="BX441" s="284"/>
      <c r="BY441" s="284"/>
      <c r="BZ441" s="285"/>
      <c r="CA441" s="298">
        <f>SUM(C441,E441,G441,I441,K441,M441,O441,Q441,S441,U441,W441,Y441,AA441,AC441,AE441,AG441,AI441,AK441,AM441,AO441,AQ441,AS441,AU441,AW441,AY441,BA441,BC441,BE441,BG441,BI441,BK441,BM441,BO441,BQ441,BS441,BU441,BW441,BY441)</f>
        <v>0</v>
      </c>
      <c r="CB441" s="298">
        <f>SUM(D441,F441,H441,J441,L441,N441,P441,R441,T441,V441,X441,Z441,AB441,AD441,AF441,AH441,AJ441,AL441,AN441,AP441,AR441,AT441,AV441,AX441,AZ441,BB441,BD441,BF441,BH441,BJ441,BL441,BN441,BP441,BR441,BT441,BV441,BX441,BZ441)</f>
        <v>0</v>
      </c>
      <c r="CC441" s="299">
        <f>SUM(Table13[[#This Row],[GOALS 1]:[ASSISTS 38]])</f>
        <v>0</v>
      </c>
    </row>
    <row r="442" spans="1:81">
      <c r="A442" s="291" t="s">
        <v>1770</v>
      </c>
      <c r="B442" s="291" t="s">
        <v>51</v>
      </c>
      <c r="C442" s="286"/>
      <c r="D442" s="286"/>
      <c r="E442" s="288"/>
      <c r="F442" s="286"/>
      <c r="G442" s="288"/>
      <c r="H442" s="286"/>
      <c r="I442" s="288"/>
      <c r="J442" s="286"/>
      <c r="K442" s="288"/>
      <c r="L442" s="286"/>
      <c r="M442" s="288"/>
      <c r="N442" s="286"/>
      <c r="O442" s="288"/>
      <c r="P442" s="286"/>
      <c r="Q442" s="288"/>
      <c r="R442" s="286"/>
      <c r="S442" s="288"/>
      <c r="T442" s="286"/>
      <c r="U442" s="288"/>
      <c r="V442" s="286"/>
      <c r="W442" s="288"/>
      <c r="X442" s="286"/>
      <c r="Y442" s="288"/>
      <c r="Z442" s="286"/>
      <c r="AA442" s="288"/>
      <c r="AB442" s="286"/>
      <c r="AC442" s="288"/>
      <c r="AD442" s="286"/>
      <c r="AE442" s="288"/>
      <c r="AF442" s="286"/>
      <c r="AG442" s="288"/>
      <c r="AH442" s="286"/>
      <c r="AI442" s="288"/>
      <c r="AJ442" s="286"/>
      <c r="AK442" s="286"/>
      <c r="AL442" s="286"/>
      <c r="AM442" s="286"/>
      <c r="AN442" s="286"/>
      <c r="AO442" s="286"/>
      <c r="AP442" s="286"/>
      <c r="AQ442" s="286"/>
      <c r="AR442" s="286"/>
      <c r="AS442" s="286"/>
      <c r="AT442" s="286"/>
      <c r="AU442" s="286"/>
      <c r="AV442" s="284"/>
      <c r="AW442" s="284"/>
      <c r="AX442" s="284"/>
      <c r="AY442" s="284"/>
      <c r="AZ442" s="284"/>
      <c r="BA442" s="284"/>
      <c r="BB442" s="284"/>
      <c r="BC442" s="284"/>
      <c r="BD442" s="284"/>
      <c r="BE442" s="284"/>
      <c r="BF442" s="284"/>
      <c r="BG442" s="284"/>
      <c r="BH442" s="284"/>
      <c r="BI442" s="284"/>
      <c r="BJ442" s="284"/>
      <c r="BK442" s="284"/>
      <c r="BL442" s="284"/>
      <c r="BM442" s="284"/>
      <c r="BN442" s="284"/>
      <c r="BO442" s="284"/>
      <c r="BP442" s="284"/>
      <c r="BQ442" s="284"/>
      <c r="BR442" s="284"/>
      <c r="BS442" s="284"/>
      <c r="BT442" s="284"/>
      <c r="BU442" s="284"/>
      <c r="BV442" s="284"/>
      <c r="BW442" s="284"/>
      <c r="BX442" s="284"/>
      <c r="BY442" s="284"/>
      <c r="BZ442" s="285"/>
      <c r="CA442" s="298">
        <f>SUM(C442,E442,G442,I442,K442,M442,O442,Q442,S442,U442,W442,Y442,AA442,AC442,AE442,AG442,AI442,AK442,AM442,AO442,AQ442,AS442,AU442,AW442,AY442,BA442,BC442,BE442,BG442,BI442,BK442,BM442,BO442,BQ442,BS442,BU442,BW442,BY442)</f>
        <v>0</v>
      </c>
      <c r="CB442" s="298">
        <f>SUM(D442,F442,H442,J442,L442,N442,P442,R442,T442,V442,X442,Z442,AB442,AD442,AF442,AH442,AJ442,AL442,AN442,AP442,AR442,AT442,AV442,AX442,AZ442,BB442,BD442,BF442,BH442,BJ442,BL442,BN442,BP442,BR442,BT442,BV442,BX442,BZ442)</f>
        <v>0</v>
      </c>
      <c r="CC442" s="299">
        <f>SUM(Table13[[#This Row],[GOALS 1]:[ASSISTS 38]])</f>
        <v>0</v>
      </c>
    </row>
    <row r="443" spans="1:81">
      <c r="A443" s="291" t="s">
        <v>1375</v>
      </c>
      <c r="B443" s="291" t="s">
        <v>30</v>
      </c>
      <c r="C443" s="286"/>
      <c r="D443" s="286"/>
      <c r="E443" s="288"/>
      <c r="F443" s="286"/>
      <c r="G443" s="288"/>
      <c r="H443" s="286"/>
      <c r="I443" s="288"/>
      <c r="J443" s="286"/>
      <c r="K443" s="288"/>
      <c r="L443" s="286"/>
      <c r="M443" s="288"/>
      <c r="N443" s="286"/>
      <c r="O443" s="288"/>
      <c r="P443" s="286"/>
      <c r="Q443" s="288"/>
      <c r="R443" s="286"/>
      <c r="S443" s="288"/>
      <c r="T443" s="286"/>
      <c r="U443" s="288"/>
      <c r="V443" s="286"/>
      <c r="W443" s="288"/>
      <c r="X443" s="286"/>
      <c r="Y443" s="288"/>
      <c r="Z443" s="286"/>
      <c r="AA443" s="288"/>
      <c r="AB443" s="286"/>
      <c r="AC443" s="288"/>
      <c r="AD443" s="286"/>
      <c r="AE443" s="288"/>
      <c r="AF443" s="286"/>
      <c r="AG443" s="288"/>
      <c r="AH443" s="286"/>
      <c r="AI443" s="288"/>
      <c r="AJ443" s="286"/>
      <c r="AK443" s="286"/>
      <c r="AL443" s="286"/>
      <c r="AM443" s="286"/>
      <c r="AN443" s="286"/>
      <c r="AO443" s="286"/>
      <c r="AP443" s="286"/>
      <c r="AQ443" s="286"/>
      <c r="AR443" s="286"/>
      <c r="AS443" s="286"/>
      <c r="AT443" s="286"/>
      <c r="AU443" s="286"/>
      <c r="AV443" s="284"/>
      <c r="AW443" s="284"/>
      <c r="AX443" s="284"/>
      <c r="AY443" s="284"/>
      <c r="AZ443" s="284"/>
      <c r="BA443" s="284"/>
      <c r="BB443" s="284"/>
      <c r="BC443" s="284"/>
      <c r="BD443" s="284"/>
      <c r="BE443" s="284"/>
      <c r="BF443" s="284"/>
      <c r="BG443" s="284"/>
      <c r="BH443" s="284"/>
      <c r="BI443" s="284"/>
      <c r="BJ443" s="284"/>
      <c r="BK443" s="284"/>
      <c r="BL443" s="284"/>
      <c r="BM443" s="284"/>
      <c r="BN443" s="284"/>
      <c r="BO443" s="284"/>
      <c r="BP443" s="284"/>
      <c r="BQ443" s="284"/>
      <c r="BR443" s="284"/>
      <c r="BS443" s="284"/>
      <c r="BT443" s="284"/>
      <c r="BU443" s="284"/>
      <c r="BV443" s="284"/>
      <c r="BW443" s="284"/>
      <c r="BX443" s="284"/>
      <c r="BY443" s="284"/>
      <c r="BZ443" s="285"/>
      <c r="CA443" s="298">
        <f>SUM(C443,E443,G443,I443,K443,M443,O443,Q443,S443,U443,W443,Y443,AA443,AC443,AE443,AG443,AI443,AK443,AM443,AO443,AQ443,AS443,AU443,AW443,AY443,BA443,BC443,BE443,BG443,BI443,BK443,BM443,BO443,BQ443,BS443,BU443,BW443,BY443)</f>
        <v>0</v>
      </c>
      <c r="CB443" s="298">
        <f>SUM(D443,F443,H443,J443,L443,N443,P443,R443,T443,V443,X443,Z443,AB443,AD443,AF443,AH443,AJ443,AL443,AN443,AP443,AR443,AT443,AV443,AX443,AZ443,BB443,BD443,BF443,BH443,BJ443,BL443,BN443,BP443,BR443,BT443,BV443,BX443,BZ443)</f>
        <v>0</v>
      </c>
      <c r="CC443" s="299">
        <f>SUM(Table13[[#This Row],[GOALS 1]:[ASSISTS 38]])</f>
        <v>0</v>
      </c>
    </row>
    <row r="444" spans="1:81">
      <c r="A444" s="291" t="s">
        <v>1821</v>
      </c>
      <c r="B444" s="291" t="s">
        <v>43</v>
      </c>
      <c r="C444" s="286"/>
      <c r="D444" s="286"/>
      <c r="E444" s="288"/>
      <c r="F444" s="286"/>
      <c r="G444" s="288"/>
      <c r="H444" s="286"/>
      <c r="I444" s="288"/>
      <c r="J444" s="286"/>
      <c r="K444" s="288"/>
      <c r="L444" s="286"/>
      <c r="M444" s="288"/>
      <c r="N444" s="286"/>
      <c r="O444" s="288"/>
      <c r="P444" s="286"/>
      <c r="Q444" s="288"/>
      <c r="R444" s="286"/>
      <c r="S444" s="288"/>
      <c r="T444" s="286"/>
      <c r="U444" s="288"/>
      <c r="V444" s="286"/>
      <c r="W444" s="288"/>
      <c r="X444" s="286"/>
      <c r="Y444" s="288"/>
      <c r="Z444" s="286"/>
      <c r="AA444" s="288"/>
      <c r="AB444" s="286"/>
      <c r="AC444" s="288"/>
      <c r="AD444" s="286"/>
      <c r="AE444" s="288"/>
      <c r="AF444" s="286"/>
      <c r="AG444" s="288"/>
      <c r="AH444" s="286"/>
      <c r="AI444" s="288"/>
      <c r="AJ444" s="286"/>
      <c r="AK444" s="286"/>
      <c r="AL444" s="286"/>
      <c r="AM444" s="286"/>
      <c r="AN444" s="286"/>
      <c r="AO444" s="286"/>
      <c r="AP444" s="286"/>
      <c r="AQ444" s="286"/>
      <c r="AR444" s="286"/>
      <c r="AS444" s="286"/>
      <c r="AT444" s="286"/>
      <c r="AU444" s="286"/>
      <c r="AV444" s="284"/>
      <c r="AW444" s="284"/>
      <c r="AX444" s="284"/>
      <c r="AY444" s="284"/>
      <c r="AZ444" s="284"/>
      <c r="BA444" s="284"/>
      <c r="BB444" s="284"/>
      <c r="BC444" s="284"/>
      <c r="BD444" s="284"/>
      <c r="BE444" s="284"/>
      <c r="BF444" s="284"/>
      <c r="BG444" s="284"/>
      <c r="BH444" s="284"/>
      <c r="BI444" s="284"/>
      <c r="BJ444" s="284"/>
      <c r="BK444" s="284"/>
      <c r="BL444" s="284"/>
      <c r="BM444" s="284"/>
      <c r="BN444" s="284"/>
      <c r="BO444" s="284"/>
      <c r="BP444" s="284"/>
      <c r="BQ444" s="284"/>
      <c r="BR444" s="284"/>
      <c r="BS444" s="284"/>
      <c r="BT444" s="284"/>
      <c r="BU444" s="284"/>
      <c r="BV444" s="284"/>
      <c r="BW444" s="284"/>
      <c r="BX444" s="284"/>
      <c r="BY444" s="284"/>
      <c r="BZ444" s="285"/>
      <c r="CA444" s="298">
        <f>SUM(C444,E444,G444,I444,K444,M444,O444,Q444,S444,U444,W444,Y444,AA444,AC444,AE444,AG444,AI444,AK444,AM444,AO444,AQ444,AS444,AU444,AW444,AY444,BA444,BC444,BE444,BG444,BI444,BK444,BM444,BO444,BQ444,BS444,BU444,BW444,BY444)</f>
        <v>0</v>
      </c>
      <c r="CB444" s="298">
        <f>SUM(D444,F444,H444,J444,L444,N444,P444,R444,T444,V444,X444,Z444,AB444,AD444,AF444,AH444,AJ444,AL444,AN444,AP444,AR444,AT444,AV444,AX444,AZ444,BB444,BD444,BF444,BH444,BJ444,BL444,BN444,BP444,BR444,BT444,BV444,BX444,BZ444)</f>
        <v>0</v>
      </c>
      <c r="CC444" s="299">
        <f>SUM(Table13[[#This Row],[GOALS 1]:[ASSISTS 38]])</f>
        <v>0</v>
      </c>
    </row>
    <row r="445" spans="1:81">
      <c r="A445" s="291" t="s">
        <v>1381</v>
      </c>
      <c r="B445" s="291" t="s">
        <v>29</v>
      </c>
      <c r="C445" s="289"/>
      <c r="D445" s="286"/>
      <c r="E445" s="288"/>
      <c r="F445" s="286"/>
      <c r="G445" s="288"/>
      <c r="H445" s="286"/>
      <c r="I445" s="288"/>
      <c r="J445" s="286"/>
      <c r="K445" s="288"/>
      <c r="L445" s="286"/>
      <c r="M445" s="288"/>
      <c r="N445" s="286"/>
      <c r="O445" s="288"/>
      <c r="P445" s="286"/>
      <c r="Q445" s="288"/>
      <c r="R445" s="286"/>
      <c r="S445" s="288"/>
      <c r="T445" s="286"/>
      <c r="U445" s="288"/>
      <c r="V445" s="286"/>
      <c r="W445" s="288"/>
      <c r="X445" s="286"/>
      <c r="Y445" s="288"/>
      <c r="Z445" s="286"/>
      <c r="AA445" s="288"/>
      <c r="AB445" s="286"/>
      <c r="AC445" s="288"/>
      <c r="AD445" s="286"/>
      <c r="AE445" s="288"/>
      <c r="AF445" s="286"/>
      <c r="AG445" s="288"/>
      <c r="AH445" s="286"/>
      <c r="AI445" s="288"/>
      <c r="AJ445" s="286"/>
      <c r="AK445" s="286"/>
      <c r="AL445" s="286"/>
      <c r="AM445" s="286"/>
      <c r="AN445" s="286"/>
      <c r="AO445" s="286"/>
      <c r="AP445" s="286"/>
      <c r="AQ445" s="286"/>
      <c r="AR445" s="286"/>
      <c r="AS445" s="286"/>
      <c r="AT445" s="286"/>
      <c r="AU445" s="286"/>
      <c r="AV445" s="284"/>
      <c r="AW445" s="284"/>
      <c r="AX445" s="284"/>
      <c r="AY445" s="284"/>
      <c r="AZ445" s="284"/>
      <c r="BA445" s="284"/>
      <c r="BB445" s="284"/>
      <c r="BC445" s="284"/>
      <c r="BD445" s="284"/>
      <c r="BE445" s="284"/>
      <c r="BF445" s="284"/>
      <c r="BG445" s="284"/>
      <c r="BH445" s="284"/>
      <c r="BI445" s="284"/>
      <c r="BJ445" s="284"/>
      <c r="BK445" s="284"/>
      <c r="BL445" s="284"/>
      <c r="BM445" s="284"/>
      <c r="BN445" s="284"/>
      <c r="BO445" s="284"/>
      <c r="BP445" s="284"/>
      <c r="BQ445" s="284"/>
      <c r="BR445" s="284"/>
      <c r="BS445" s="284"/>
      <c r="BT445" s="284"/>
      <c r="BU445" s="284"/>
      <c r="BV445" s="284"/>
      <c r="BW445" s="284"/>
      <c r="BX445" s="284"/>
      <c r="BY445" s="284"/>
      <c r="BZ445" s="285"/>
      <c r="CA445" s="298">
        <f>SUM(C445,E445,G445,I445,K445,M445,O445,Q445,S445,U445,W445,Y445,AA445,AC445,AE445,AG445,AI445,AK445,AM445,AO445,AQ445,AS445,AU445,AW445,AY445,BA445,BC445,BE445,BG445,BI445,BK445,BM445,BO445,BQ445,BS445,BU445,BW445,BY445)</f>
        <v>0</v>
      </c>
      <c r="CB445" s="298">
        <f>SUM(D445,F445,H445,J445,L445,N445,P445,R445,T445,V445,X445,Z445,AB445,AD445,AF445,AH445,AJ445,AL445,AN445,AP445,AR445,AT445,AV445,AX445,AZ445,BB445,BD445,BF445,BH445,BJ445,BL445,BN445,BP445,BR445,BT445,BV445,BX445,BZ445)</f>
        <v>0</v>
      </c>
      <c r="CC445" s="299">
        <f>SUM(Table13[[#This Row],[GOALS 1]:[ASSISTS 38]])</f>
        <v>0</v>
      </c>
    </row>
    <row r="446" spans="1:81">
      <c r="A446" s="291" t="s">
        <v>1285</v>
      </c>
      <c r="B446" s="291" t="s">
        <v>30</v>
      </c>
      <c r="C446" s="286"/>
      <c r="D446" s="286"/>
      <c r="E446" s="288"/>
      <c r="F446" s="286"/>
      <c r="G446" s="288"/>
      <c r="H446" s="286"/>
      <c r="I446" s="288"/>
      <c r="J446" s="286"/>
      <c r="K446" s="288"/>
      <c r="L446" s="286"/>
      <c r="M446" s="288"/>
      <c r="N446" s="286"/>
      <c r="O446" s="288"/>
      <c r="P446" s="286"/>
      <c r="Q446" s="288"/>
      <c r="R446" s="286"/>
      <c r="S446" s="288"/>
      <c r="T446" s="286"/>
      <c r="U446" s="288"/>
      <c r="V446" s="286"/>
      <c r="W446" s="288"/>
      <c r="X446" s="286"/>
      <c r="Y446" s="288"/>
      <c r="Z446" s="286"/>
      <c r="AA446" s="288"/>
      <c r="AB446" s="286"/>
      <c r="AC446" s="288"/>
      <c r="AD446" s="286"/>
      <c r="AE446" s="288"/>
      <c r="AF446" s="286"/>
      <c r="AG446" s="288"/>
      <c r="AH446" s="286"/>
      <c r="AI446" s="288"/>
      <c r="AJ446" s="286"/>
      <c r="AK446" s="286"/>
      <c r="AL446" s="286"/>
      <c r="AM446" s="286"/>
      <c r="AN446" s="286"/>
      <c r="AO446" s="286"/>
      <c r="AP446" s="286"/>
      <c r="AQ446" s="286"/>
      <c r="AR446" s="286"/>
      <c r="AS446" s="286"/>
      <c r="AT446" s="286"/>
      <c r="AU446" s="286"/>
      <c r="AV446" s="284"/>
      <c r="AW446" s="284"/>
      <c r="AX446" s="284"/>
      <c r="AY446" s="284"/>
      <c r="AZ446" s="284"/>
      <c r="BA446" s="284"/>
      <c r="BB446" s="284"/>
      <c r="BC446" s="284"/>
      <c r="BD446" s="284"/>
      <c r="BE446" s="284"/>
      <c r="BF446" s="284"/>
      <c r="BG446" s="284"/>
      <c r="BH446" s="284"/>
      <c r="BI446" s="284"/>
      <c r="BJ446" s="284"/>
      <c r="BK446" s="284"/>
      <c r="BL446" s="284"/>
      <c r="BM446" s="284"/>
      <c r="BN446" s="284"/>
      <c r="BO446" s="284"/>
      <c r="BP446" s="284"/>
      <c r="BQ446" s="284"/>
      <c r="BR446" s="284"/>
      <c r="BS446" s="284"/>
      <c r="BT446" s="284"/>
      <c r="BU446" s="284"/>
      <c r="BV446" s="284"/>
      <c r="BW446" s="284"/>
      <c r="BX446" s="284"/>
      <c r="BY446" s="284"/>
      <c r="BZ446" s="285"/>
      <c r="CA446" s="298">
        <f>SUM(C446,E446,G446,I446,K446,M446,O446,Q446,S446,U446,W446,Y446,AA446,AC446,AE446,AG446,AI446,AK446,AM446,AO446,AQ446,AS446,AU446,AW446,AY446,BA446,BC446,BE446,BG446,BI446,BK446,BM446,BO446,BQ446,BS446,BU446,BW446,BY446)</f>
        <v>0</v>
      </c>
      <c r="CB446" s="298">
        <f>SUM(D446,F446,H446,J446,L446,N446,P446,R446,T446,V446,X446,Z446,AB446,AD446,AF446,AH446,AJ446,AL446,AN446,AP446,AR446,AT446,AV446,AX446,AZ446,BB446,BD446,BF446,BH446,BJ446,BL446,BN446,BP446,BR446,BT446,BV446,BX446,BZ446)</f>
        <v>0</v>
      </c>
      <c r="CC446" s="299">
        <f>SUM(Table13[[#This Row],[GOALS 1]:[ASSISTS 38]])</f>
        <v>0</v>
      </c>
    </row>
    <row r="447" spans="1:81">
      <c r="A447" s="291" t="s">
        <v>1853</v>
      </c>
      <c r="B447" s="291" t="s">
        <v>21</v>
      </c>
      <c r="C447" s="289"/>
      <c r="D447" s="286"/>
      <c r="E447" s="288"/>
      <c r="F447" s="286"/>
      <c r="G447" s="288"/>
      <c r="H447" s="286"/>
      <c r="I447" s="288"/>
      <c r="J447" s="286"/>
      <c r="K447" s="288"/>
      <c r="L447" s="286"/>
      <c r="M447" s="288"/>
      <c r="N447" s="286"/>
      <c r="O447" s="288"/>
      <c r="P447" s="286"/>
      <c r="Q447" s="288"/>
      <c r="R447" s="286"/>
      <c r="S447" s="288"/>
      <c r="T447" s="286"/>
      <c r="U447" s="288"/>
      <c r="V447" s="286"/>
      <c r="W447" s="288"/>
      <c r="X447" s="286"/>
      <c r="Y447" s="288"/>
      <c r="Z447" s="286"/>
      <c r="AA447" s="288"/>
      <c r="AB447" s="286"/>
      <c r="AC447" s="288"/>
      <c r="AD447" s="286"/>
      <c r="AE447" s="288"/>
      <c r="AF447" s="286"/>
      <c r="AG447" s="288"/>
      <c r="AH447" s="286"/>
      <c r="AI447" s="288"/>
      <c r="AJ447" s="286"/>
      <c r="AK447" s="286"/>
      <c r="AL447" s="286"/>
      <c r="AM447" s="286"/>
      <c r="AN447" s="286"/>
      <c r="AO447" s="286"/>
      <c r="AP447" s="286"/>
      <c r="AQ447" s="286"/>
      <c r="AR447" s="286"/>
      <c r="AS447" s="286"/>
      <c r="AT447" s="286"/>
      <c r="AU447" s="286"/>
      <c r="AV447" s="284"/>
      <c r="AW447" s="284"/>
      <c r="AX447" s="284"/>
      <c r="AY447" s="284"/>
      <c r="AZ447" s="284"/>
      <c r="BA447" s="284"/>
      <c r="BB447" s="284"/>
      <c r="BC447" s="284"/>
      <c r="BD447" s="284"/>
      <c r="BE447" s="284"/>
      <c r="BF447" s="284"/>
      <c r="BG447" s="284"/>
      <c r="BH447" s="284"/>
      <c r="BI447" s="284"/>
      <c r="BJ447" s="284"/>
      <c r="BK447" s="284"/>
      <c r="BL447" s="284"/>
      <c r="BM447" s="284"/>
      <c r="BN447" s="284"/>
      <c r="BO447" s="284"/>
      <c r="BP447" s="284"/>
      <c r="BQ447" s="284"/>
      <c r="BR447" s="284"/>
      <c r="BS447" s="284"/>
      <c r="BT447" s="284"/>
      <c r="BU447" s="284"/>
      <c r="BV447" s="284"/>
      <c r="BW447" s="284"/>
      <c r="BX447" s="284"/>
      <c r="BY447" s="284"/>
      <c r="BZ447" s="285"/>
      <c r="CA447" s="298">
        <f>SUM(C447,E447,G447,I447,K447,M447,O447,Q447,S447,U447,W447,Y447,AA447,AC447,AE447,AG447,AI447,AK447,AM447,AO447,AQ447,AS447,AU447,AW447,AY447,BA447,BC447,BE447,BG447,BI447,BK447,BM447,BO447,BQ447,BS447,BU447,BW447,BY447)</f>
        <v>0</v>
      </c>
      <c r="CB447" s="298">
        <f>SUM(D447,F447,H447,J447,L447,N447,P447,R447,T447,V447,X447,Z447,AB447,AD447,AF447,AH447,AJ447,AL447,AN447,AP447,AR447,AT447,AV447,AX447,AZ447,BB447,BD447,BF447,BH447,BJ447,BL447,BN447,BP447,BR447,BT447,BV447,BX447,BZ447)</f>
        <v>0</v>
      </c>
      <c r="CC447" s="299">
        <f>SUM(Table13[[#This Row],[GOALS 1]:[ASSISTS 38]])</f>
        <v>0</v>
      </c>
    </row>
    <row r="448" spans="1:81">
      <c r="A448" s="291" t="s">
        <v>1556</v>
      </c>
      <c r="B448" s="291" t="s">
        <v>21</v>
      </c>
      <c r="C448" s="289"/>
      <c r="D448" s="286"/>
      <c r="E448" s="288"/>
      <c r="F448" s="286"/>
      <c r="G448" s="288"/>
      <c r="H448" s="286"/>
      <c r="I448" s="288"/>
      <c r="J448" s="286"/>
      <c r="K448" s="288"/>
      <c r="L448" s="286"/>
      <c r="M448" s="288"/>
      <c r="N448" s="286"/>
      <c r="O448" s="288"/>
      <c r="P448" s="286"/>
      <c r="Q448" s="288"/>
      <c r="R448" s="286"/>
      <c r="S448" s="288"/>
      <c r="T448" s="286"/>
      <c r="U448" s="288"/>
      <c r="V448" s="286"/>
      <c r="W448" s="288"/>
      <c r="X448" s="286"/>
      <c r="Y448" s="288"/>
      <c r="Z448" s="286"/>
      <c r="AA448" s="288"/>
      <c r="AB448" s="286"/>
      <c r="AC448" s="288"/>
      <c r="AD448" s="286"/>
      <c r="AE448" s="288"/>
      <c r="AF448" s="286"/>
      <c r="AG448" s="288"/>
      <c r="AH448" s="286"/>
      <c r="AI448" s="288"/>
      <c r="AJ448" s="286"/>
      <c r="AK448" s="286"/>
      <c r="AL448" s="286"/>
      <c r="AM448" s="286"/>
      <c r="AN448" s="286"/>
      <c r="AO448" s="286"/>
      <c r="AP448" s="286"/>
      <c r="AQ448" s="286"/>
      <c r="AR448" s="286"/>
      <c r="AS448" s="286"/>
      <c r="AT448" s="286"/>
      <c r="AU448" s="286"/>
      <c r="AV448" s="284"/>
      <c r="AW448" s="284"/>
      <c r="AX448" s="284"/>
      <c r="AY448" s="284"/>
      <c r="AZ448" s="284"/>
      <c r="BA448" s="284"/>
      <c r="BB448" s="284"/>
      <c r="BC448" s="284"/>
      <c r="BD448" s="284"/>
      <c r="BE448" s="284"/>
      <c r="BF448" s="284"/>
      <c r="BG448" s="284"/>
      <c r="BH448" s="284"/>
      <c r="BI448" s="284"/>
      <c r="BJ448" s="284"/>
      <c r="BK448" s="284"/>
      <c r="BL448" s="284"/>
      <c r="BM448" s="284"/>
      <c r="BN448" s="284"/>
      <c r="BO448" s="284"/>
      <c r="BP448" s="284"/>
      <c r="BQ448" s="284"/>
      <c r="BR448" s="284"/>
      <c r="BS448" s="284"/>
      <c r="BT448" s="284"/>
      <c r="BU448" s="284"/>
      <c r="BV448" s="284"/>
      <c r="BW448" s="284"/>
      <c r="BX448" s="284"/>
      <c r="BY448" s="284"/>
      <c r="BZ448" s="285"/>
      <c r="CA448" s="298">
        <f>SUM(C448,E448,G448,I448,K448,M448,O448,Q448,S448,U448,W448,Y448,AA448,AC448,AE448,AG448,AI448,AK448,AM448,AO448,AQ448,AS448,AU448,AW448,AY448,BA448,BC448,BE448,BG448,BI448,BK448,BM448,BO448,BQ448,BS448,BU448,BW448,BY448)</f>
        <v>0</v>
      </c>
      <c r="CB448" s="298">
        <f>SUM(D448,F448,H448,J448,L448,N448,P448,R448,T448,V448,X448,Z448,AB448,AD448,AF448,AH448,AJ448,AL448,AN448,AP448,AR448,AT448,AV448,AX448,AZ448,BB448,BD448,BF448,BH448,BJ448,BL448,BN448,BP448,BR448,BT448,BV448,BX448,BZ448)</f>
        <v>0</v>
      </c>
      <c r="CC448" s="299">
        <f>SUM(Table13[[#This Row],[GOALS 1]:[ASSISTS 38]])</f>
        <v>0</v>
      </c>
    </row>
    <row r="449" spans="1:81">
      <c r="A449" s="291" t="s">
        <v>1340</v>
      </c>
      <c r="B449" s="291" t="s">
        <v>19</v>
      </c>
      <c r="C449" s="286"/>
      <c r="D449" s="286"/>
      <c r="E449" s="288"/>
      <c r="F449" s="286"/>
      <c r="G449" s="288"/>
      <c r="H449" s="286"/>
      <c r="I449" s="288"/>
      <c r="J449" s="286"/>
      <c r="K449" s="288"/>
      <c r="L449" s="286"/>
      <c r="M449" s="288"/>
      <c r="N449" s="286"/>
      <c r="O449" s="288"/>
      <c r="P449" s="286"/>
      <c r="Q449" s="288"/>
      <c r="R449" s="286"/>
      <c r="S449" s="288"/>
      <c r="T449" s="286"/>
      <c r="U449" s="288"/>
      <c r="V449" s="286"/>
      <c r="W449" s="288"/>
      <c r="X449" s="286"/>
      <c r="Y449" s="288"/>
      <c r="Z449" s="286"/>
      <c r="AA449" s="288"/>
      <c r="AB449" s="286"/>
      <c r="AC449" s="288"/>
      <c r="AD449" s="286"/>
      <c r="AE449" s="288"/>
      <c r="AF449" s="286"/>
      <c r="AG449" s="288"/>
      <c r="AH449" s="286"/>
      <c r="AI449" s="288"/>
      <c r="AJ449" s="286"/>
      <c r="AK449" s="286"/>
      <c r="AL449" s="286"/>
      <c r="AM449" s="286"/>
      <c r="AN449" s="286"/>
      <c r="AO449" s="286"/>
      <c r="AP449" s="286"/>
      <c r="AQ449" s="286"/>
      <c r="AR449" s="286"/>
      <c r="AS449" s="286"/>
      <c r="AT449" s="286"/>
      <c r="AU449" s="286"/>
      <c r="AV449" s="284"/>
      <c r="AW449" s="284"/>
      <c r="AX449" s="284"/>
      <c r="AY449" s="284"/>
      <c r="AZ449" s="284"/>
      <c r="BA449" s="284"/>
      <c r="BB449" s="284"/>
      <c r="BC449" s="284"/>
      <c r="BD449" s="284"/>
      <c r="BE449" s="284"/>
      <c r="BF449" s="284"/>
      <c r="BG449" s="284"/>
      <c r="BH449" s="284"/>
      <c r="BI449" s="284"/>
      <c r="BJ449" s="284"/>
      <c r="BK449" s="284"/>
      <c r="BL449" s="284"/>
      <c r="BM449" s="284"/>
      <c r="BN449" s="284"/>
      <c r="BO449" s="284"/>
      <c r="BP449" s="284"/>
      <c r="BQ449" s="284"/>
      <c r="BR449" s="284"/>
      <c r="BS449" s="284"/>
      <c r="BT449" s="284"/>
      <c r="BU449" s="284"/>
      <c r="BV449" s="284"/>
      <c r="BW449" s="284"/>
      <c r="BX449" s="284"/>
      <c r="BY449" s="284"/>
      <c r="BZ449" s="285"/>
      <c r="CA449" s="298">
        <f>SUM(C449,E449,G449,I449,K449,M449,O449,Q449,S449,U449,W449,Y449,AA449,AC449,AE449,AG449,AI449,AK449,AM449,AO449,AQ449,AS449,AU449,AW449,AY449,BA449,BC449,BE449,BG449,BI449,BK449,BM449,BO449,BQ449,BS449,BU449,BW449,BY449)</f>
        <v>0</v>
      </c>
      <c r="CB449" s="298">
        <f>SUM(D449,F449,H449,J449,L449,N449,P449,R449,T449,V449,X449,Z449,AB449,AD449,AF449,AH449,AJ449,AL449,AN449,AP449,AR449,AT449,AV449,AX449,AZ449,BB449,BD449,BF449,BH449,BJ449,BL449,BN449,BP449,BR449,BT449,BV449,BX449,BZ449)</f>
        <v>0</v>
      </c>
      <c r="CC449" s="299">
        <f>SUM(Table13[[#This Row],[GOALS 1]:[ASSISTS 38]])</f>
        <v>0</v>
      </c>
    </row>
    <row r="450" spans="1:81">
      <c r="A450" s="291" t="s">
        <v>1558</v>
      </c>
      <c r="B450" s="291" t="s">
        <v>33</v>
      </c>
      <c r="C450" s="289"/>
      <c r="D450" s="286"/>
      <c r="E450" s="288"/>
      <c r="F450" s="286"/>
      <c r="G450" s="288"/>
      <c r="H450" s="286"/>
      <c r="I450" s="288"/>
      <c r="J450" s="286"/>
      <c r="K450" s="288"/>
      <c r="L450" s="286"/>
      <c r="M450" s="288"/>
      <c r="N450" s="286"/>
      <c r="O450" s="288"/>
      <c r="P450" s="286"/>
      <c r="Q450" s="288"/>
      <c r="R450" s="286"/>
      <c r="S450" s="288"/>
      <c r="T450" s="286"/>
      <c r="U450" s="288"/>
      <c r="V450" s="286"/>
      <c r="W450" s="288"/>
      <c r="X450" s="286"/>
      <c r="Y450" s="288"/>
      <c r="Z450" s="286"/>
      <c r="AA450" s="288"/>
      <c r="AB450" s="286"/>
      <c r="AC450" s="288"/>
      <c r="AD450" s="286"/>
      <c r="AE450" s="288"/>
      <c r="AF450" s="286"/>
      <c r="AG450" s="288"/>
      <c r="AH450" s="286"/>
      <c r="AI450" s="288"/>
      <c r="AJ450" s="286"/>
      <c r="AK450" s="286"/>
      <c r="AL450" s="286"/>
      <c r="AM450" s="286"/>
      <c r="AN450" s="286"/>
      <c r="AO450" s="286"/>
      <c r="AP450" s="286"/>
      <c r="AQ450" s="286"/>
      <c r="AR450" s="286"/>
      <c r="AS450" s="286"/>
      <c r="AT450" s="286"/>
      <c r="AU450" s="286"/>
      <c r="AV450" s="284"/>
      <c r="AW450" s="284"/>
      <c r="AX450" s="284"/>
      <c r="AY450" s="284"/>
      <c r="AZ450" s="284"/>
      <c r="BA450" s="284"/>
      <c r="BB450" s="284"/>
      <c r="BC450" s="284"/>
      <c r="BD450" s="284"/>
      <c r="BE450" s="284"/>
      <c r="BF450" s="284"/>
      <c r="BG450" s="284"/>
      <c r="BH450" s="284"/>
      <c r="BI450" s="284"/>
      <c r="BJ450" s="284"/>
      <c r="BK450" s="284"/>
      <c r="BL450" s="284"/>
      <c r="BM450" s="284"/>
      <c r="BN450" s="284"/>
      <c r="BO450" s="284"/>
      <c r="BP450" s="284"/>
      <c r="BQ450" s="284"/>
      <c r="BR450" s="284"/>
      <c r="BS450" s="284"/>
      <c r="BT450" s="284"/>
      <c r="BU450" s="284"/>
      <c r="BV450" s="284"/>
      <c r="BW450" s="284"/>
      <c r="BX450" s="284"/>
      <c r="BY450" s="284"/>
      <c r="BZ450" s="285"/>
      <c r="CA450" s="298">
        <f>SUM(C450,E450,G450,I450,K450,M450,O450,Q450,S450,U450,W450,Y450,AA450,AC450,AE450,AG450,AI450,AK450,AM450,AO450,AQ450,AS450,AU450,AW450,AY450,BA450,BC450,BE450,BG450,BI450,BK450,BM450,BO450,BQ450,BS450,BU450,BW450,BY450)</f>
        <v>0</v>
      </c>
      <c r="CB450" s="298">
        <f>SUM(D450,F450,H450,J450,L450,N450,P450,R450,T450,V450,X450,Z450,AB450,AD450,AF450,AH450,AJ450,AL450,AN450,AP450,AR450,AT450,AV450,AX450,AZ450,BB450,BD450,BF450,BH450,BJ450,BL450,BN450,BP450,BR450,BT450,BV450,BX450,BZ450)</f>
        <v>0</v>
      </c>
      <c r="CC450" s="299">
        <f>SUM(Table13[[#This Row],[GOALS 1]:[ASSISTS 38]])</f>
        <v>0</v>
      </c>
    </row>
    <row r="451" spans="1:81">
      <c r="A451" s="291" t="s">
        <v>349</v>
      </c>
      <c r="B451" s="291" t="s">
        <v>51</v>
      </c>
      <c r="C451" s="286"/>
      <c r="D451" s="286"/>
      <c r="E451" s="288"/>
      <c r="F451" s="286"/>
      <c r="G451" s="288"/>
      <c r="H451" s="286"/>
      <c r="I451" s="288"/>
      <c r="J451" s="286"/>
      <c r="K451" s="288"/>
      <c r="L451" s="286"/>
      <c r="M451" s="288"/>
      <c r="N451" s="286"/>
      <c r="O451" s="288"/>
      <c r="P451" s="286"/>
      <c r="Q451" s="288"/>
      <c r="R451" s="286"/>
      <c r="S451" s="288"/>
      <c r="T451" s="286"/>
      <c r="U451" s="288"/>
      <c r="V451" s="286"/>
      <c r="W451" s="288"/>
      <c r="X451" s="286"/>
      <c r="Y451" s="288"/>
      <c r="Z451" s="286"/>
      <c r="AA451" s="288"/>
      <c r="AB451" s="286"/>
      <c r="AC451" s="288"/>
      <c r="AD451" s="286"/>
      <c r="AE451" s="288"/>
      <c r="AF451" s="286"/>
      <c r="AG451" s="288"/>
      <c r="AH451" s="286"/>
      <c r="AI451" s="288"/>
      <c r="AJ451" s="286"/>
      <c r="AK451" s="286"/>
      <c r="AL451" s="286"/>
      <c r="AM451" s="286"/>
      <c r="AN451" s="286"/>
      <c r="AO451" s="286"/>
      <c r="AP451" s="286"/>
      <c r="AQ451" s="286"/>
      <c r="AR451" s="286"/>
      <c r="AS451" s="286"/>
      <c r="AT451" s="286"/>
      <c r="AU451" s="286"/>
      <c r="AV451" s="284"/>
      <c r="AW451" s="284"/>
      <c r="AX451" s="284"/>
      <c r="AY451" s="284"/>
      <c r="AZ451" s="284"/>
      <c r="BA451" s="284"/>
      <c r="BB451" s="284"/>
      <c r="BC451" s="284"/>
      <c r="BD451" s="284"/>
      <c r="BE451" s="284"/>
      <c r="BF451" s="284"/>
      <c r="BG451" s="284"/>
      <c r="BH451" s="284"/>
      <c r="BI451" s="284"/>
      <c r="BJ451" s="284"/>
      <c r="BK451" s="284"/>
      <c r="BL451" s="284"/>
      <c r="BM451" s="284"/>
      <c r="BN451" s="284"/>
      <c r="BO451" s="284"/>
      <c r="BP451" s="284"/>
      <c r="BQ451" s="284"/>
      <c r="BR451" s="284"/>
      <c r="BS451" s="284"/>
      <c r="BT451" s="284"/>
      <c r="BU451" s="284"/>
      <c r="BV451" s="284"/>
      <c r="BW451" s="284"/>
      <c r="BX451" s="284"/>
      <c r="BY451" s="284"/>
      <c r="BZ451" s="285"/>
      <c r="CA451" s="298">
        <f>SUM(C451,E451,G451,I451,K451,M451,O451,Q451,S451,U451,W451,Y451,AA451,AC451,AE451,AG451,AI451,AK451,AM451,AO451,AQ451,AS451,AU451,AW451,AY451,BA451,BC451,BE451,BG451,BI451,BK451,BM451,BO451,BQ451,BS451,BU451,BW451,BY451)</f>
        <v>0</v>
      </c>
      <c r="CB451" s="298">
        <f>SUM(D451,F451,H451,J451,L451,N451,P451,R451,T451,V451,X451,Z451,AB451,AD451,AF451,AH451,AJ451,AL451,AN451,AP451,AR451,AT451,AV451,AX451,AZ451,BB451,BD451,BF451,BH451,BJ451,BL451,BN451,BP451,BR451,BT451,BV451,BX451,BZ451)</f>
        <v>0</v>
      </c>
      <c r="CC451" s="299">
        <f>SUM(Table13[[#This Row],[GOALS 1]:[ASSISTS 38]])</f>
        <v>0</v>
      </c>
    </row>
    <row r="452" spans="1:81">
      <c r="A452" s="291" t="s">
        <v>1817</v>
      </c>
      <c r="B452" s="291" t="s">
        <v>25</v>
      </c>
      <c r="C452" s="286"/>
      <c r="D452" s="286"/>
      <c r="E452" s="288"/>
      <c r="F452" s="286"/>
      <c r="G452" s="288"/>
      <c r="H452" s="286"/>
      <c r="I452" s="288"/>
      <c r="J452" s="286"/>
      <c r="K452" s="288"/>
      <c r="L452" s="286"/>
      <c r="M452" s="288"/>
      <c r="N452" s="286"/>
      <c r="O452" s="288"/>
      <c r="P452" s="286"/>
      <c r="Q452" s="288"/>
      <c r="R452" s="286"/>
      <c r="S452" s="288"/>
      <c r="T452" s="286"/>
      <c r="U452" s="288"/>
      <c r="V452" s="286"/>
      <c r="W452" s="288"/>
      <c r="X452" s="286"/>
      <c r="Y452" s="288"/>
      <c r="Z452" s="286"/>
      <c r="AA452" s="288"/>
      <c r="AB452" s="286"/>
      <c r="AC452" s="288"/>
      <c r="AD452" s="286"/>
      <c r="AE452" s="288"/>
      <c r="AF452" s="286"/>
      <c r="AG452" s="288"/>
      <c r="AH452" s="286"/>
      <c r="AI452" s="288"/>
      <c r="AJ452" s="286"/>
      <c r="AK452" s="286"/>
      <c r="AL452" s="286"/>
      <c r="AM452" s="286"/>
      <c r="AN452" s="286"/>
      <c r="AO452" s="286"/>
      <c r="AP452" s="286"/>
      <c r="AQ452" s="286"/>
      <c r="AR452" s="286"/>
      <c r="AS452" s="286"/>
      <c r="AT452" s="286"/>
      <c r="AU452" s="286"/>
      <c r="AV452" s="284"/>
      <c r="AW452" s="284"/>
      <c r="AX452" s="284"/>
      <c r="AY452" s="284"/>
      <c r="AZ452" s="284"/>
      <c r="BA452" s="284"/>
      <c r="BB452" s="284"/>
      <c r="BC452" s="284"/>
      <c r="BD452" s="284"/>
      <c r="BE452" s="284"/>
      <c r="BF452" s="284"/>
      <c r="BG452" s="284"/>
      <c r="BH452" s="284"/>
      <c r="BI452" s="284"/>
      <c r="BJ452" s="284"/>
      <c r="BK452" s="284"/>
      <c r="BL452" s="284"/>
      <c r="BM452" s="284"/>
      <c r="BN452" s="284"/>
      <c r="BO452" s="284"/>
      <c r="BP452" s="284"/>
      <c r="BQ452" s="284"/>
      <c r="BR452" s="284"/>
      <c r="BS452" s="284"/>
      <c r="BT452" s="284"/>
      <c r="BU452" s="284"/>
      <c r="BV452" s="284"/>
      <c r="BW452" s="284"/>
      <c r="BX452" s="284"/>
      <c r="BY452" s="284"/>
      <c r="BZ452" s="285"/>
      <c r="CA452" s="298">
        <f>SUM(C452,E452,G452,I452,K452,M452,O452,Q452,S452,U452,W452,Y452,AA452,AC452,AE452,AG452,AI452,AK452,AM452,AO452,AQ452,AS452,AU452,AW452,AY452,BA452,BC452,BE452,BG452,BI452,BK452,BM452,BO452,BQ452,BS452,BU452,BW452,BY452)</f>
        <v>0</v>
      </c>
      <c r="CB452" s="298">
        <f>SUM(D452,F452,H452,J452,L452,N452,P452,R452,T452,V452,X452,Z452,AB452,AD452,AF452,AH452,AJ452,AL452,AN452,AP452,AR452,AT452,AV452,AX452,AZ452,BB452,BD452,BF452,BH452,BJ452,BL452,BN452,BP452,BR452,BT452,BV452,BX452,BZ452)</f>
        <v>0</v>
      </c>
      <c r="CC452" s="299">
        <f>SUM(Table13[[#This Row],[GOALS 1]:[ASSISTS 38]])</f>
        <v>0</v>
      </c>
    </row>
    <row r="453" spans="1:81">
      <c r="A453" s="291" t="s">
        <v>1500</v>
      </c>
      <c r="B453" s="291" t="s">
        <v>30</v>
      </c>
      <c r="C453" s="286"/>
      <c r="D453" s="286"/>
      <c r="E453" s="288"/>
      <c r="F453" s="286"/>
      <c r="G453" s="288"/>
      <c r="H453" s="286"/>
      <c r="I453" s="288"/>
      <c r="J453" s="286"/>
      <c r="K453" s="288"/>
      <c r="L453" s="286"/>
      <c r="M453" s="288"/>
      <c r="N453" s="286"/>
      <c r="O453" s="288"/>
      <c r="P453" s="286"/>
      <c r="Q453" s="288"/>
      <c r="R453" s="286"/>
      <c r="S453" s="288"/>
      <c r="T453" s="286"/>
      <c r="U453" s="288"/>
      <c r="V453" s="286"/>
      <c r="W453" s="288"/>
      <c r="X453" s="286"/>
      <c r="Y453" s="288"/>
      <c r="Z453" s="286"/>
      <c r="AA453" s="288"/>
      <c r="AB453" s="286"/>
      <c r="AC453" s="288"/>
      <c r="AD453" s="286"/>
      <c r="AE453" s="288"/>
      <c r="AF453" s="286"/>
      <c r="AG453" s="288"/>
      <c r="AH453" s="286"/>
      <c r="AI453" s="288"/>
      <c r="AJ453" s="286"/>
      <c r="AK453" s="286"/>
      <c r="AL453" s="286"/>
      <c r="AM453" s="286"/>
      <c r="AN453" s="286"/>
      <c r="AO453" s="286"/>
      <c r="AP453" s="286"/>
      <c r="AQ453" s="286"/>
      <c r="AR453" s="286"/>
      <c r="AS453" s="286"/>
      <c r="AT453" s="286"/>
      <c r="AU453" s="286"/>
      <c r="AV453" s="284"/>
      <c r="AW453" s="284"/>
      <c r="AX453" s="284"/>
      <c r="AY453" s="284"/>
      <c r="AZ453" s="284"/>
      <c r="BA453" s="284"/>
      <c r="BB453" s="284"/>
      <c r="BC453" s="284"/>
      <c r="BD453" s="284"/>
      <c r="BE453" s="284"/>
      <c r="BF453" s="284"/>
      <c r="BG453" s="284"/>
      <c r="BH453" s="284"/>
      <c r="BI453" s="284"/>
      <c r="BJ453" s="284"/>
      <c r="BK453" s="284"/>
      <c r="BL453" s="284"/>
      <c r="BM453" s="284"/>
      <c r="BN453" s="284"/>
      <c r="BO453" s="284"/>
      <c r="BP453" s="284"/>
      <c r="BQ453" s="284"/>
      <c r="BR453" s="284"/>
      <c r="BS453" s="284"/>
      <c r="BT453" s="284"/>
      <c r="BU453" s="284"/>
      <c r="BV453" s="284"/>
      <c r="BW453" s="284"/>
      <c r="BX453" s="284"/>
      <c r="BY453" s="284"/>
      <c r="BZ453" s="285"/>
      <c r="CA453" s="298">
        <f>SUM(C453,E453,G453,I453,K453,M453,O453,Q453,S453,U453,W453,Y453,AA453,AC453,AE453,AG453,AI453,AK453,AM453,AO453,AQ453,AS453,AU453,AW453,AY453,BA453,BC453,BE453,BG453,BI453,BK453,BM453,BO453,BQ453,BS453,BU453,BW453,BY453)</f>
        <v>0</v>
      </c>
      <c r="CB453" s="298">
        <f>SUM(D453,F453,H453,J453,L453,N453,P453,R453,T453,V453,X453,Z453,AB453,AD453,AF453,AH453,AJ453,AL453,AN453,AP453,AR453,AT453,AV453,AX453,AZ453,BB453,BD453,BF453,BH453,BJ453,BL453,BN453,BP453,BR453,BT453,BV453,BX453,BZ453)</f>
        <v>0</v>
      </c>
      <c r="CC453" s="299">
        <f>SUM(Table13[[#This Row],[GOALS 1]:[ASSISTS 38]])</f>
        <v>0</v>
      </c>
    </row>
    <row r="454" spans="1:81">
      <c r="A454" s="291" t="s">
        <v>1634</v>
      </c>
      <c r="B454" s="291" t="s">
        <v>28</v>
      </c>
      <c r="C454" s="286"/>
      <c r="D454" s="286"/>
      <c r="E454" s="288"/>
      <c r="F454" s="286"/>
      <c r="G454" s="288"/>
      <c r="H454" s="286"/>
      <c r="I454" s="288"/>
      <c r="J454" s="286"/>
      <c r="K454" s="288"/>
      <c r="L454" s="286"/>
      <c r="M454" s="288"/>
      <c r="N454" s="286"/>
      <c r="O454" s="288"/>
      <c r="P454" s="286"/>
      <c r="Q454" s="288"/>
      <c r="R454" s="286"/>
      <c r="S454" s="288"/>
      <c r="T454" s="286"/>
      <c r="U454" s="288"/>
      <c r="V454" s="286"/>
      <c r="W454" s="288"/>
      <c r="X454" s="286"/>
      <c r="Y454" s="288"/>
      <c r="Z454" s="286"/>
      <c r="AA454" s="288"/>
      <c r="AB454" s="286"/>
      <c r="AC454" s="288"/>
      <c r="AD454" s="286"/>
      <c r="AE454" s="288"/>
      <c r="AF454" s="286"/>
      <c r="AG454" s="288"/>
      <c r="AH454" s="286"/>
      <c r="AI454" s="288"/>
      <c r="AJ454" s="286"/>
      <c r="AK454" s="286"/>
      <c r="AL454" s="286"/>
      <c r="AM454" s="286"/>
      <c r="AN454" s="286"/>
      <c r="AO454" s="286"/>
      <c r="AP454" s="286"/>
      <c r="AQ454" s="286"/>
      <c r="AR454" s="286"/>
      <c r="AS454" s="286"/>
      <c r="AT454" s="286"/>
      <c r="AU454" s="286"/>
      <c r="AV454" s="284"/>
      <c r="AW454" s="284"/>
      <c r="AX454" s="284"/>
      <c r="AY454" s="284"/>
      <c r="AZ454" s="284"/>
      <c r="BA454" s="284"/>
      <c r="BB454" s="284"/>
      <c r="BC454" s="284"/>
      <c r="BD454" s="284"/>
      <c r="BE454" s="284"/>
      <c r="BF454" s="284"/>
      <c r="BG454" s="284"/>
      <c r="BH454" s="284"/>
      <c r="BI454" s="284"/>
      <c r="BJ454" s="284"/>
      <c r="BK454" s="284"/>
      <c r="BL454" s="284"/>
      <c r="BM454" s="284"/>
      <c r="BN454" s="284"/>
      <c r="BO454" s="284"/>
      <c r="BP454" s="284"/>
      <c r="BQ454" s="284"/>
      <c r="BR454" s="284"/>
      <c r="BS454" s="284"/>
      <c r="BT454" s="284"/>
      <c r="BU454" s="284"/>
      <c r="BV454" s="284"/>
      <c r="BW454" s="284"/>
      <c r="BX454" s="284"/>
      <c r="BY454" s="284"/>
      <c r="BZ454" s="285"/>
      <c r="CA454" s="298">
        <f>SUM(C454,E454,G454,I454,K454,M454,O454,Q454,S454,U454,W454,Y454,AA454,AC454,AE454,AG454,AI454,AK454,AM454,AO454,AQ454,AS454,AU454,AW454,AY454,BA454,BC454,BE454,BG454,BI454,BK454,BM454,BO454,BQ454,BS454,BU454,BW454,BY454)</f>
        <v>0</v>
      </c>
      <c r="CB454" s="298">
        <f>SUM(D454,F454,H454,J454,L454,N454,P454,R454,T454,V454,X454,Z454,AB454,AD454,AF454,AH454,AJ454,AL454,AN454,AP454,AR454,AT454,AV454,AX454,AZ454,BB454,BD454,BF454,BH454,BJ454,BL454,BN454,BP454,BR454,BT454,BV454,BX454,BZ454)</f>
        <v>0</v>
      </c>
      <c r="CC454" s="299">
        <f>SUM(Table13[[#This Row],[GOALS 1]:[ASSISTS 38]])</f>
        <v>0</v>
      </c>
    </row>
    <row r="455" spans="1:81">
      <c r="A455" s="291" t="s">
        <v>1478</v>
      </c>
      <c r="B455" s="291" t="s">
        <v>52</v>
      </c>
      <c r="C455" s="289"/>
      <c r="D455" s="286"/>
      <c r="E455" s="288"/>
      <c r="F455" s="286"/>
      <c r="G455" s="288"/>
      <c r="H455" s="286"/>
      <c r="I455" s="288"/>
      <c r="J455" s="286"/>
      <c r="K455" s="288"/>
      <c r="L455" s="286"/>
      <c r="M455" s="288"/>
      <c r="N455" s="286"/>
      <c r="O455" s="288"/>
      <c r="P455" s="286"/>
      <c r="Q455" s="288"/>
      <c r="R455" s="286"/>
      <c r="S455" s="288"/>
      <c r="T455" s="286"/>
      <c r="U455" s="288"/>
      <c r="V455" s="286"/>
      <c r="W455" s="288"/>
      <c r="X455" s="286"/>
      <c r="Y455" s="288"/>
      <c r="Z455" s="286"/>
      <c r="AA455" s="288"/>
      <c r="AB455" s="286"/>
      <c r="AC455" s="288"/>
      <c r="AD455" s="286"/>
      <c r="AE455" s="288"/>
      <c r="AF455" s="286"/>
      <c r="AG455" s="288"/>
      <c r="AH455" s="286"/>
      <c r="AI455" s="288"/>
      <c r="AJ455" s="286"/>
      <c r="AK455" s="286"/>
      <c r="AL455" s="286"/>
      <c r="AM455" s="286"/>
      <c r="AN455" s="286"/>
      <c r="AO455" s="286"/>
      <c r="AP455" s="286"/>
      <c r="AQ455" s="286"/>
      <c r="AR455" s="286"/>
      <c r="AS455" s="286"/>
      <c r="AT455" s="286"/>
      <c r="AU455" s="286"/>
      <c r="AV455" s="284"/>
      <c r="AW455" s="284"/>
      <c r="AX455" s="284"/>
      <c r="AY455" s="284"/>
      <c r="AZ455" s="284"/>
      <c r="BA455" s="284"/>
      <c r="BB455" s="284"/>
      <c r="BC455" s="284"/>
      <c r="BD455" s="284"/>
      <c r="BE455" s="284"/>
      <c r="BF455" s="284"/>
      <c r="BG455" s="284"/>
      <c r="BH455" s="284"/>
      <c r="BI455" s="284"/>
      <c r="BJ455" s="284"/>
      <c r="BK455" s="284"/>
      <c r="BL455" s="284"/>
      <c r="BM455" s="284"/>
      <c r="BN455" s="284"/>
      <c r="BO455" s="284"/>
      <c r="BP455" s="284"/>
      <c r="BQ455" s="284"/>
      <c r="BR455" s="284"/>
      <c r="BS455" s="284"/>
      <c r="BT455" s="284"/>
      <c r="BU455" s="284"/>
      <c r="BV455" s="284"/>
      <c r="BW455" s="284"/>
      <c r="BX455" s="284"/>
      <c r="BY455" s="284"/>
      <c r="BZ455" s="285"/>
      <c r="CA455" s="298">
        <f>SUM(C455,E455,G455,I455,K455,M455,O455,Q455,S455,U455,W455,Y455,AA455,AC455,AE455,AG455,AI455,AK455,AM455,AO455,AQ455,AS455,AU455,AW455,AY455,BA455,BC455,BE455,BG455,BI455,BK455,BM455,BO455,BQ455,BS455,BU455,BW455,BY455)</f>
        <v>0</v>
      </c>
      <c r="CB455" s="298">
        <f>SUM(D455,F455,H455,J455,L455,N455,P455,R455,T455,V455,X455,Z455,AB455,AD455,AF455,AH455,AJ455,AL455,AN455,AP455,AR455,AT455,AV455,AX455,AZ455,BB455,BD455,BF455,BH455,BJ455,BL455,BN455,BP455,BR455,BT455,BV455,BX455,BZ455)</f>
        <v>0</v>
      </c>
      <c r="CC455" s="299">
        <f>SUM(Table13[[#This Row],[GOALS 1]:[ASSISTS 38]])</f>
        <v>0</v>
      </c>
    </row>
    <row r="456" spans="1:81">
      <c r="A456" s="291" t="s">
        <v>1672</v>
      </c>
      <c r="B456" s="291" t="s">
        <v>27</v>
      </c>
      <c r="C456" s="286"/>
      <c r="D456" s="286"/>
      <c r="E456" s="289"/>
      <c r="F456" s="286"/>
      <c r="G456" s="288"/>
      <c r="H456" s="286"/>
      <c r="I456" s="288"/>
      <c r="J456" s="286"/>
      <c r="K456" s="288"/>
      <c r="L456" s="286"/>
      <c r="M456" s="288"/>
      <c r="N456" s="286"/>
      <c r="O456" s="288"/>
      <c r="P456" s="286"/>
      <c r="Q456" s="288"/>
      <c r="R456" s="286"/>
      <c r="S456" s="288"/>
      <c r="T456" s="286"/>
      <c r="U456" s="288"/>
      <c r="V456" s="286"/>
      <c r="W456" s="288"/>
      <c r="X456" s="286"/>
      <c r="Y456" s="288"/>
      <c r="Z456" s="286"/>
      <c r="AA456" s="288"/>
      <c r="AB456" s="286"/>
      <c r="AC456" s="288"/>
      <c r="AD456" s="286"/>
      <c r="AE456" s="288"/>
      <c r="AF456" s="286"/>
      <c r="AG456" s="288"/>
      <c r="AH456" s="286"/>
      <c r="AI456" s="288"/>
      <c r="AJ456" s="286"/>
      <c r="AK456" s="286"/>
      <c r="AL456" s="286"/>
      <c r="AM456" s="286"/>
      <c r="AN456" s="286"/>
      <c r="AO456" s="286"/>
      <c r="AP456" s="286"/>
      <c r="AQ456" s="286"/>
      <c r="AR456" s="286"/>
      <c r="AS456" s="286"/>
      <c r="AT456" s="286"/>
      <c r="AU456" s="286"/>
      <c r="AV456" s="284"/>
      <c r="AW456" s="284"/>
      <c r="AX456" s="284"/>
      <c r="AY456" s="284"/>
      <c r="AZ456" s="284"/>
      <c r="BA456" s="284"/>
      <c r="BB456" s="284"/>
      <c r="BC456" s="284"/>
      <c r="BD456" s="284"/>
      <c r="BE456" s="284"/>
      <c r="BF456" s="284"/>
      <c r="BG456" s="284"/>
      <c r="BH456" s="284"/>
      <c r="BI456" s="284"/>
      <c r="BJ456" s="284"/>
      <c r="BK456" s="284"/>
      <c r="BL456" s="284"/>
      <c r="BM456" s="284"/>
      <c r="BN456" s="284"/>
      <c r="BO456" s="284"/>
      <c r="BP456" s="284"/>
      <c r="BQ456" s="284"/>
      <c r="BR456" s="284"/>
      <c r="BS456" s="284"/>
      <c r="BT456" s="284"/>
      <c r="BU456" s="284"/>
      <c r="BV456" s="284"/>
      <c r="BW456" s="284"/>
      <c r="BX456" s="284"/>
      <c r="BY456" s="284"/>
      <c r="BZ456" s="285"/>
      <c r="CA456" s="298">
        <f>SUM(C456,E456,G456,I456,K456,M456,O456,Q456,S456,U456,W456,Y456,AA456,AC456,AE456,AG456,AI456,AK456,AM456,AO456,AQ456,AS456,AU456,AW456,AY456,BA456,BC456,BE456,BG456,BI456,BK456,BM456,BO456,BQ456,BS456,BU456,BW456,BY456)</f>
        <v>0</v>
      </c>
      <c r="CB456" s="298">
        <f>SUM(D456,F456,H456,J456,L456,N456,P456,R456,T456,V456,X456,Z456,AB456,AD456,AF456,AH456,AJ456,AL456,AN456,AP456,AR456,AT456,AV456,AX456,AZ456,BB456,BD456,BF456,BH456,BJ456,BL456,BN456,BP456,BR456,BT456,BV456,BX456,BZ456)</f>
        <v>0</v>
      </c>
      <c r="CC456" s="299">
        <f>SUM(Table13[[#This Row],[GOALS 1]:[ASSISTS 38]])</f>
        <v>0</v>
      </c>
    </row>
    <row r="457" spans="1:81">
      <c r="A457" s="291" t="s">
        <v>1701</v>
      </c>
      <c r="B457" s="291" t="s">
        <v>22</v>
      </c>
      <c r="C457" s="286"/>
      <c r="D457" s="286"/>
      <c r="E457" s="288"/>
      <c r="F457" s="286"/>
      <c r="G457" s="288"/>
      <c r="H457" s="286"/>
      <c r="I457" s="288"/>
      <c r="J457" s="286"/>
      <c r="K457" s="288"/>
      <c r="L457" s="286"/>
      <c r="M457" s="288"/>
      <c r="N457" s="286"/>
      <c r="O457" s="288"/>
      <c r="P457" s="286"/>
      <c r="Q457" s="288"/>
      <c r="R457" s="286"/>
      <c r="S457" s="288"/>
      <c r="T457" s="286"/>
      <c r="U457" s="288"/>
      <c r="V457" s="286"/>
      <c r="W457" s="288"/>
      <c r="X457" s="286"/>
      <c r="Y457" s="288"/>
      <c r="Z457" s="286"/>
      <c r="AA457" s="288"/>
      <c r="AB457" s="286"/>
      <c r="AC457" s="288"/>
      <c r="AD457" s="286"/>
      <c r="AE457" s="288"/>
      <c r="AF457" s="286"/>
      <c r="AG457" s="288"/>
      <c r="AH457" s="286"/>
      <c r="AI457" s="288"/>
      <c r="AJ457" s="286"/>
      <c r="AK457" s="286"/>
      <c r="AL457" s="286"/>
      <c r="AM457" s="286"/>
      <c r="AN457" s="286"/>
      <c r="AO457" s="286"/>
      <c r="AP457" s="286"/>
      <c r="AQ457" s="286"/>
      <c r="AR457" s="286"/>
      <c r="AS457" s="286"/>
      <c r="AT457" s="286"/>
      <c r="AU457" s="286"/>
      <c r="AV457" s="284"/>
      <c r="AW457" s="284"/>
      <c r="AX457" s="284"/>
      <c r="AY457" s="284"/>
      <c r="AZ457" s="284"/>
      <c r="BA457" s="284"/>
      <c r="BB457" s="284"/>
      <c r="BC457" s="284"/>
      <c r="BD457" s="284"/>
      <c r="BE457" s="284"/>
      <c r="BF457" s="284"/>
      <c r="BG457" s="284"/>
      <c r="BH457" s="284"/>
      <c r="BI457" s="284"/>
      <c r="BJ457" s="284"/>
      <c r="BK457" s="284"/>
      <c r="BL457" s="284"/>
      <c r="BM457" s="284"/>
      <c r="BN457" s="284"/>
      <c r="BO457" s="284"/>
      <c r="BP457" s="284"/>
      <c r="BQ457" s="284"/>
      <c r="BR457" s="284"/>
      <c r="BS457" s="284"/>
      <c r="BT457" s="284"/>
      <c r="BU457" s="284"/>
      <c r="BV457" s="284"/>
      <c r="BW457" s="284"/>
      <c r="BX457" s="284"/>
      <c r="BY457" s="284"/>
      <c r="BZ457" s="285"/>
      <c r="CA457" s="298">
        <f>SUM(C457,E457,G457,I457,K457,M457,O457,Q457,S457,U457,W457,Y457,AA457,AC457,AE457,AG457,AI457,AK457,AM457,AO457,AQ457,AS457,AU457,AW457,AY457,BA457,BC457,BE457,BG457,BI457,BK457,BM457,BO457,BQ457,BS457,BU457,BW457,BY457)</f>
        <v>0</v>
      </c>
      <c r="CB457" s="298">
        <f>SUM(D457,F457,H457,J457,L457,N457,P457,R457,T457,V457,X457,Z457,AB457,AD457,AF457,AH457,AJ457,AL457,AN457,AP457,AR457,AT457,AV457,AX457,AZ457,BB457,BD457,BF457,BH457,BJ457,BL457,BN457,BP457,BR457,BT457,BV457,BX457,BZ457)</f>
        <v>0</v>
      </c>
      <c r="CC457" s="299">
        <f>SUM(Table13[[#This Row],[GOALS 1]:[ASSISTS 38]])</f>
        <v>0</v>
      </c>
    </row>
    <row r="458" spans="1:81">
      <c r="A458" s="291" t="s">
        <v>1502</v>
      </c>
      <c r="B458" s="291" t="s">
        <v>26</v>
      </c>
      <c r="C458" s="286"/>
      <c r="D458" s="286"/>
      <c r="E458" s="288"/>
      <c r="F458" s="286"/>
      <c r="G458" s="288"/>
      <c r="H458" s="286"/>
      <c r="I458" s="288"/>
      <c r="J458" s="286"/>
      <c r="K458" s="288"/>
      <c r="L458" s="286"/>
      <c r="M458" s="288"/>
      <c r="N458" s="286"/>
      <c r="O458" s="288"/>
      <c r="P458" s="286"/>
      <c r="Q458" s="288"/>
      <c r="R458" s="286"/>
      <c r="S458" s="288"/>
      <c r="T458" s="286"/>
      <c r="U458" s="288"/>
      <c r="V458" s="286"/>
      <c r="W458" s="288"/>
      <c r="X458" s="286"/>
      <c r="Y458" s="288"/>
      <c r="Z458" s="286"/>
      <c r="AA458" s="288"/>
      <c r="AB458" s="286"/>
      <c r="AC458" s="288"/>
      <c r="AD458" s="286"/>
      <c r="AE458" s="288"/>
      <c r="AF458" s="286"/>
      <c r="AG458" s="288"/>
      <c r="AH458" s="286"/>
      <c r="AI458" s="288"/>
      <c r="AJ458" s="286"/>
      <c r="AK458" s="286"/>
      <c r="AL458" s="286"/>
      <c r="AM458" s="286"/>
      <c r="AN458" s="286"/>
      <c r="AO458" s="286"/>
      <c r="AP458" s="286"/>
      <c r="AQ458" s="286"/>
      <c r="AR458" s="286"/>
      <c r="AS458" s="286"/>
      <c r="AT458" s="286"/>
      <c r="AU458" s="286"/>
      <c r="AV458" s="284"/>
      <c r="AW458" s="284"/>
      <c r="AX458" s="284"/>
      <c r="AY458" s="284"/>
      <c r="AZ458" s="284"/>
      <c r="BA458" s="284"/>
      <c r="BB458" s="284"/>
      <c r="BC458" s="284"/>
      <c r="BD458" s="284"/>
      <c r="BE458" s="284"/>
      <c r="BF458" s="284"/>
      <c r="BG458" s="284"/>
      <c r="BH458" s="284"/>
      <c r="BI458" s="284"/>
      <c r="BJ458" s="284"/>
      <c r="BK458" s="284"/>
      <c r="BL458" s="284"/>
      <c r="BM458" s="284"/>
      <c r="BN458" s="284"/>
      <c r="BO458" s="284"/>
      <c r="BP458" s="284"/>
      <c r="BQ458" s="284"/>
      <c r="BR458" s="284"/>
      <c r="BS458" s="284"/>
      <c r="BT458" s="284"/>
      <c r="BU458" s="284"/>
      <c r="BV458" s="284"/>
      <c r="BW458" s="284"/>
      <c r="BX458" s="284"/>
      <c r="BY458" s="284"/>
      <c r="BZ458" s="285"/>
      <c r="CA458" s="298">
        <f>SUM(C458,E458,G458,I458,K458,M458,O458,Q458,S458,U458,W458,Y458,AA458,AC458,AE458,AG458,AI458,AK458,AM458,AO458,AQ458,AS458,AU458,AW458,AY458,BA458,BC458,BE458,BG458,BI458,BK458,BM458,BO458,BQ458,BS458,BU458,BW458,BY458)</f>
        <v>0</v>
      </c>
      <c r="CB458" s="298">
        <f>SUM(D458,F458,H458,J458,L458,N458,P458,R458,T458,V458,X458,Z458,AB458,AD458,AF458,AH458,AJ458,AL458,AN458,AP458,AR458,AT458,AV458,AX458,AZ458,BB458,BD458,BF458,BH458,BJ458,BL458,BN458,BP458,BR458,BT458,BV458,BX458,BZ458)</f>
        <v>0</v>
      </c>
      <c r="CC458" s="299">
        <f>SUM(Table13[[#This Row],[GOALS 1]:[ASSISTS 38]])</f>
        <v>0</v>
      </c>
    </row>
    <row r="459" spans="1:81">
      <c r="A459" s="291" t="s">
        <v>1619</v>
      </c>
      <c r="B459" s="291" t="s">
        <v>33</v>
      </c>
      <c r="C459" s="289"/>
      <c r="D459" s="286"/>
      <c r="E459" s="288"/>
      <c r="F459" s="286"/>
      <c r="G459" s="288"/>
      <c r="H459" s="286"/>
      <c r="I459" s="288"/>
      <c r="J459" s="286"/>
      <c r="K459" s="288"/>
      <c r="L459" s="286"/>
      <c r="M459" s="288"/>
      <c r="N459" s="286"/>
      <c r="O459" s="288"/>
      <c r="P459" s="286"/>
      <c r="Q459" s="288"/>
      <c r="R459" s="286"/>
      <c r="S459" s="288"/>
      <c r="T459" s="286"/>
      <c r="U459" s="288"/>
      <c r="V459" s="286"/>
      <c r="W459" s="288"/>
      <c r="X459" s="286"/>
      <c r="Y459" s="288"/>
      <c r="Z459" s="286"/>
      <c r="AA459" s="288"/>
      <c r="AB459" s="286"/>
      <c r="AC459" s="288"/>
      <c r="AD459" s="286"/>
      <c r="AE459" s="288"/>
      <c r="AF459" s="286"/>
      <c r="AG459" s="288"/>
      <c r="AH459" s="286"/>
      <c r="AI459" s="288"/>
      <c r="AJ459" s="286"/>
      <c r="AK459" s="286"/>
      <c r="AL459" s="286"/>
      <c r="AM459" s="286"/>
      <c r="AN459" s="286"/>
      <c r="AO459" s="286"/>
      <c r="AP459" s="286"/>
      <c r="AQ459" s="286"/>
      <c r="AR459" s="286"/>
      <c r="AS459" s="286"/>
      <c r="AT459" s="286"/>
      <c r="AU459" s="286"/>
      <c r="AV459" s="284"/>
      <c r="AW459" s="284"/>
      <c r="AX459" s="284"/>
      <c r="AY459" s="284"/>
      <c r="AZ459" s="284"/>
      <c r="BA459" s="284"/>
      <c r="BB459" s="284"/>
      <c r="BC459" s="284"/>
      <c r="BD459" s="284"/>
      <c r="BE459" s="284"/>
      <c r="BF459" s="284"/>
      <c r="BG459" s="284"/>
      <c r="BH459" s="284"/>
      <c r="BI459" s="284"/>
      <c r="BJ459" s="284"/>
      <c r="BK459" s="284"/>
      <c r="BL459" s="284"/>
      <c r="BM459" s="284"/>
      <c r="BN459" s="284"/>
      <c r="BO459" s="284"/>
      <c r="BP459" s="284"/>
      <c r="BQ459" s="284"/>
      <c r="BR459" s="284"/>
      <c r="BS459" s="284"/>
      <c r="BT459" s="284"/>
      <c r="BU459" s="284"/>
      <c r="BV459" s="284"/>
      <c r="BW459" s="284"/>
      <c r="BX459" s="284"/>
      <c r="BY459" s="284"/>
      <c r="BZ459" s="285"/>
      <c r="CA459" s="298">
        <f>SUM(C459,E459,G459,I459,K459,M459,O459,Q459,S459,U459,W459,Y459,AA459,AC459,AE459,AG459,AI459,AK459,AM459,AO459,AQ459,AS459,AU459,AW459,AY459,BA459,BC459,BE459,BG459,BI459,BK459,BM459,BO459,BQ459,BS459,BU459,BW459,BY459)</f>
        <v>0</v>
      </c>
      <c r="CB459" s="298">
        <f>SUM(D459,F459,H459,J459,L459,N459,P459,R459,T459,V459,X459,Z459,AB459,AD459,AF459,AH459,AJ459,AL459,AN459,AP459,AR459,AT459,AV459,AX459,AZ459,BB459,BD459,BF459,BH459,BJ459,BL459,BN459,BP459,BR459,BT459,BV459,BX459,BZ459)</f>
        <v>0</v>
      </c>
      <c r="CC459" s="299">
        <f>SUM(Table13[[#This Row],[GOALS 1]:[ASSISTS 38]])</f>
        <v>0</v>
      </c>
    </row>
    <row r="460" spans="1:81">
      <c r="A460" s="291" t="s">
        <v>1791</v>
      </c>
      <c r="B460" s="291" t="s">
        <v>22</v>
      </c>
      <c r="C460" s="286"/>
      <c r="D460" s="286"/>
      <c r="E460" s="288"/>
      <c r="F460" s="286"/>
      <c r="G460" s="288"/>
      <c r="H460" s="286"/>
      <c r="I460" s="288"/>
      <c r="J460" s="286"/>
      <c r="K460" s="288"/>
      <c r="L460" s="286"/>
      <c r="M460" s="288"/>
      <c r="N460" s="286"/>
      <c r="O460" s="288"/>
      <c r="P460" s="286"/>
      <c r="Q460" s="288"/>
      <c r="R460" s="286"/>
      <c r="S460" s="288"/>
      <c r="T460" s="286"/>
      <c r="U460" s="288"/>
      <c r="V460" s="286"/>
      <c r="W460" s="288"/>
      <c r="X460" s="286"/>
      <c r="Y460" s="288"/>
      <c r="Z460" s="286"/>
      <c r="AA460" s="288"/>
      <c r="AB460" s="286"/>
      <c r="AC460" s="288"/>
      <c r="AD460" s="286"/>
      <c r="AE460" s="288"/>
      <c r="AF460" s="286"/>
      <c r="AG460" s="288"/>
      <c r="AH460" s="286"/>
      <c r="AI460" s="288"/>
      <c r="AJ460" s="286"/>
      <c r="AK460" s="286"/>
      <c r="AL460" s="286"/>
      <c r="AM460" s="286"/>
      <c r="AN460" s="286"/>
      <c r="AO460" s="286"/>
      <c r="AP460" s="286"/>
      <c r="AQ460" s="286"/>
      <c r="AR460" s="286"/>
      <c r="AS460" s="286"/>
      <c r="AT460" s="286"/>
      <c r="AU460" s="286"/>
      <c r="AV460" s="284"/>
      <c r="AW460" s="284"/>
      <c r="AX460" s="284"/>
      <c r="AY460" s="284"/>
      <c r="AZ460" s="284"/>
      <c r="BA460" s="284"/>
      <c r="BB460" s="284"/>
      <c r="BC460" s="284"/>
      <c r="BD460" s="284"/>
      <c r="BE460" s="284"/>
      <c r="BF460" s="284"/>
      <c r="BG460" s="284"/>
      <c r="BH460" s="284"/>
      <c r="BI460" s="284"/>
      <c r="BJ460" s="284"/>
      <c r="BK460" s="284"/>
      <c r="BL460" s="284"/>
      <c r="BM460" s="284"/>
      <c r="BN460" s="284"/>
      <c r="BO460" s="284"/>
      <c r="BP460" s="284"/>
      <c r="BQ460" s="284"/>
      <c r="BR460" s="284"/>
      <c r="BS460" s="284"/>
      <c r="BT460" s="284"/>
      <c r="BU460" s="284"/>
      <c r="BV460" s="284"/>
      <c r="BW460" s="284"/>
      <c r="BX460" s="284"/>
      <c r="BY460" s="284"/>
      <c r="BZ460" s="285"/>
      <c r="CA460" s="298">
        <f>SUM(C460,E460,G460,I460,K460,M460,O460,Q460,S460,U460,W460,Y460,AA460,AC460,AE460,AG460,AI460,AK460,AM460,AO460,AQ460,AS460,AU460,AW460,AY460,BA460,BC460,BE460,BG460,BI460,BK460,BM460,BO460,BQ460,BS460,BU460,BW460,BY460)</f>
        <v>0</v>
      </c>
      <c r="CB460" s="298">
        <f>SUM(D460,F460,H460,J460,L460,N460,P460,R460,T460,V460,X460,Z460,AB460,AD460,AF460,AH460,AJ460,AL460,AN460,AP460,AR460,AT460,AV460,AX460,AZ460,BB460,BD460,BF460,BH460,BJ460,BL460,BN460,BP460,BR460,BT460,BV460,BX460,BZ460)</f>
        <v>0</v>
      </c>
      <c r="CC460" s="299">
        <f>SUM(Table13[[#This Row],[GOALS 1]:[ASSISTS 38]])</f>
        <v>0</v>
      </c>
    </row>
    <row r="461" spans="1:81">
      <c r="A461" s="291" t="s">
        <v>1595</v>
      </c>
      <c r="B461" s="291" t="s">
        <v>27</v>
      </c>
      <c r="C461" s="286"/>
      <c r="D461" s="286"/>
      <c r="E461" s="289"/>
      <c r="F461" s="286"/>
      <c r="G461" s="288"/>
      <c r="H461" s="286"/>
      <c r="I461" s="288"/>
      <c r="J461" s="286"/>
      <c r="K461" s="288"/>
      <c r="L461" s="286"/>
      <c r="M461" s="288"/>
      <c r="N461" s="286"/>
      <c r="O461" s="288"/>
      <c r="P461" s="286"/>
      <c r="Q461" s="288"/>
      <c r="R461" s="286"/>
      <c r="S461" s="288"/>
      <c r="T461" s="286"/>
      <c r="U461" s="288"/>
      <c r="V461" s="286"/>
      <c r="W461" s="288"/>
      <c r="X461" s="286"/>
      <c r="Y461" s="288"/>
      <c r="Z461" s="286"/>
      <c r="AA461" s="288"/>
      <c r="AB461" s="286"/>
      <c r="AC461" s="288"/>
      <c r="AD461" s="286"/>
      <c r="AE461" s="288"/>
      <c r="AF461" s="286"/>
      <c r="AG461" s="288"/>
      <c r="AH461" s="286"/>
      <c r="AI461" s="288"/>
      <c r="AJ461" s="286"/>
      <c r="AK461" s="286"/>
      <c r="AL461" s="286"/>
      <c r="AM461" s="286"/>
      <c r="AN461" s="286"/>
      <c r="AO461" s="286"/>
      <c r="AP461" s="286"/>
      <c r="AQ461" s="286"/>
      <c r="AR461" s="286"/>
      <c r="AS461" s="286"/>
      <c r="AT461" s="286"/>
      <c r="AU461" s="286"/>
      <c r="AV461" s="284"/>
      <c r="AW461" s="284"/>
      <c r="AX461" s="284"/>
      <c r="AY461" s="284"/>
      <c r="AZ461" s="284"/>
      <c r="BA461" s="284"/>
      <c r="BB461" s="284"/>
      <c r="BC461" s="284"/>
      <c r="BD461" s="284"/>
      <c r="BE461" s="284"/>
      <c r="BF461" s="284"/>
      <c r="BG461" s="284"/>
      <c r="BH461" s="284"/>
      <c r="BI461" s="284"/>
      <c r="BJ461" s="284"/>
      <c r="BK461" s="284"/>
      <c r="BL461" s="284"/>
      <c r="BM461" s="284"/>
      <c r="BN461" s="284"/>
      <c r="BO461" s="284"/>
      <c r="BP461" s="284"/>
      <c r="BQ461" s="284"/>
      <c r="BR461" s="284"/>
      <c r="BS461" s="284"/>
      <c r="BT461" s="284"/>
      <c r="BU461" s="284"/>
      <c r="BV461" s="284"/>
      <c r="BW461" s="284"/>
      <c r="BX461" s="284"/>
      <c r="BY461" s="284"/>
      <c r="BZ461" s="285"/>
      <c r="CA461" s="298">
        <f>SUM(C461,E461,G461,I461,K461,M461,O461,Q461,S461,U461,W461,Y461,AA461,AC461,AE461,AG461,AI461,AK461,AM461,AO461,AQ461,AS461,AU461,AW461,AY461,BA461,BC461,BE461,BG461,BI461,BK461,BM461,BO461,BQ461,BS461,BU461,BW461,BY461)</f>
        <v>0</v>
      </c>
      <c r="CB461" s="298">
        <f>SUM(D461,F461,H461,J461,L461,N461,P461,R461,T461,V461,X461,Z461,AB461,AD461,AF461,AH461,AJ461,AL461,AN461,AP461,AR461,AT461,AV461,AX461,AZ461,BB461,BD461,BF461,BH461,BJ461,BL461,BN461,BP461,BR461,BT461,BV461,BX461,BZ461)</f>
        <v>0</v>
      </c>
      <c r="CC461" s="299">
        <f>SUM(Table13[[#This Row],[GOALS 1]:[ASSISTS 38]])</f>
        <v>0</v>
      </c>
    </row>
    <row r="462" spans="1:81">
      <c r="A462" s="291" t="s">
        <v>1537</v>
      </c>
      <c r="B462" s="291" t="s">
        <v>22</v>
      </c>
      <c r="C462" s="286"/>
      <c r="D462" s="286"/>
      <c r="E462" s="288"/>
      <c r="F462" s="286"/>
      <c r="G462" s="288"/>
      <c r="H462" s="286"/>
      <c r="I462" s="288"/>
      <c r="J462" s="286"/>
      <c r="K462" s="288"/>
      <c r="L462" s="286"/>
      <c r="M462" s="288"/>
      <c r="N462" s="286"/>
      <c r="O462" s="288"/>
      <c r="P462" s="286"/>
      <c r="Q462" s="288"/>
      <c r="R462" s="286"/>
      <c r="S462" s="288"/>
      <c r="T462" s="286"/>
      <c r="U462" s="288"/>
      <c r="V462" s="286"/>
      <c r="W462" s="288"/>
      <c r="X462" s="286"/>
      <c r="Y462" s="288"/>
      <c r="Z462" s="286"/>
      <c r="AA462" s="288"/>
      <c r="AB462" s="286"/>
      <c r="AC462" s="288"/>
      <c r="AD462" s="286"/>
      <c r="AE462" s="288"/>
      <c r="AF462" s="286"/>
      <c r="AG462" s="288"/>
      <c r="AH462" s="286"/>
      <c r="AI462" s="288"/>
      <c r="AJ462" s="286"/>
      <c r="AK462" s="286"/>
      <c r="AL462" s="286"/>
      <c r="AM462" s="286"/>
      <c r="AN462" s="286"/>
      <c r="AO462" s="286"/>
      <c r="AP462" s="286"/>
      <c r="AQ462" s="286"/>
      <c r="AR462" s="286"/>
      <c r="AS462" s="286"/>
      <c r="AT462" s="286"/>
      <c r="AU462" s="286"/>
      <c r="AV462" s="284"/>
      <c r="AW462" s="284"/>
      <c r="AX462" s="284"/>
      <c r="AY462" s="284"/>
      <c r="AZ462" s="284"/>
      <c r="BA462" s="284"/>
      <c r="BB462" s="284"/>
      <c r="BC462" s="284"/>
      <c r="BD462" s="284"/>
      <c r="BE462" s="284"/>
      <c r="BF462" s="284"/>
      <c r="BG462" s="284"/>
      <c r="BH462" s="284"/>
      <c r="BI462" s="284"/>
      <c r="BJ462" s="284"/>
      <c r="BK462" s="284"/>
      <c r="BL462" s="284"/>
      <c r="BM462" s="284"/>
      <c r="BN462" s="284"/>
      <c r="BO462" s="284"/>
      <c r="BP462" s="284"/>
      <c r="BQ462" s="284"/>
      <c r="BR462" s="284"/>
      <c r="BS462" s="284"/>
      <c r="BT462" s="284"/>
      <c r="BU462" s="284"/>
      <c r="BV462" s="284"/>
      <c r="BW462" s="284"/>
      <c r="BX462" s="284"/>
      <c r="BY462" s="284"/>
      <c r="BZ462" s="285"/>
      <c r="CA462" s="298">
        <f>SUM(C462,E462,G462,I462,K462,M462,O462,Q462,S462,U462,W462,Y462,AA462,AC462,AE462,AG462,AI462,AK462,AM462,AO462,AQ462,AS462,AU462,AW462,AY462,BA462,BC462,BE462,BG462,BI462,BK462,BM462,BO462,BQ462,BS462,BU462,BW462,BY462)</f>
        <v>0</v>
      </c>
      <c r="CB462" s="298">
        <f>SUM(D462,F462,H462,J462,L462,N462,P462,R462,T462,V462,X462,Z462,AB462,AD462,AF462,AH462,AJ462,AL462,AN462,AP462,AR462,AT462,AV462,AX462,AZ462,BB462,BD462,BF462,BH462,BJ462,BL462,BN462,BP462,BR462,BT462,BV462,BX462,BZ462)</f>
        <v>0</v>
      </c>
      <c r="CC462" s="299">
        <f>SUM(Table13[[#This Row],[GOALS 1]:[ASSISTS 38]])</f>
        <v>0</v>
      </c>
    </row>
    <row r="463" spans="1:81">
      <c r="A463" s="291" t="s">
        <v>1697</v>
      </c>
      <c r="B463" s="291" t="s">
        <v>21</v>
      </c>
      <c r="C463" s="289"/>
      <c r="D463" s="286"/>
      <c r="E463" s="288"/>
      <c r="F463" s="286"/>
      <c r="G463" s="288"/>
      <c r="H463" s="286"/>
      <c r="I463" s="288"/>
      <c r="J463" s="286"/>
      <c r="K463" s="288"/>
      <c r="L463" s="286"/>
      <c r="M463" s="288"/>
      <c r="N463" s="286"/>
      <c r="O463" s="288"/>
      <c r="P463" s="286"/>
      <c r="Q463" s="288"/>
      <c r="R463" s="286"/>
      <c r="S463" s="288"/>
      <c r="T463" s="286"/>
      <c r="U463" s="288"/>
      <c r="V463" s="286"/>
      <c r="W463" s="288"/>
      <c r="X463" s="286"/>
      <c r="Y463" s="288"/>
      <c r="Z463" s="286"/>
      <c r="AA463" s="288"/>
      <c r="AB463" s="286"/>
      <c r="AC463" s="288"/>
      <c r="AD463" s="286"/>
      <c r="AE463" s="288"/>
      <c r="AF463" s="286"/>
      <c r="AG463" s="288"/>
      <c r="AH463" s="286"/>
      <c r="AI463" s="288"/>
      <c r="AJ463" s="286"/>
      <c r="AK463" s="286"/>
      <c r="AL463" s="286"/>
      <c r="AM463" s="286"/>
      <c r="AN463" s="286"/>
      <c r="AO463" s="286"/>
      <c r="AP463" s="286"/>
      <c r="AQ463" s="286"/>
      <c r="AR463" s="286"/>
      <c r="AS463" s="286"/>
      <c r="AT463" s="286"/>
      <c r="AU463" s="286"/>
      <c r="AV463" s="284"/>
      <c r="AW463" s="284"/>
      <c r="AX463" s="284"/>
      <c r="AY463" s="284"/>
      <c r="AZ463" s="284"/>
      <c r="BA463" s="284"/>
      <c r="BB463" s="284"/>
      <c r="BC463" s="284"/>
      <c r="BD463" s="284"/>
      <c r="BE463" s="284"/>
      <c r="BF463" s="284"/>
      <c r="BG463" s="284"/>
      <c r="BH463" s="284"/>
      <c r="BI463" s="284"/>
      <c r="BJ463" s="284"/>
      <c r="BK463" s="284"/>
      <c r="BL463" s="284"/>
      <c r="BM463" s="284"/>
      <c r="BN463" s="284"/>
      <c r="BO463" s="284"/>
      <c r="BP463" s="284"/>
      <c r="BQ463" s="284"/>
      <c r="BR463" s="284"/>
      <c r="BS463" s="284"/>
      <c r="BT463" s="284"/>
      <c r="BU463" s="284"/>
      <c r="BV463" s="284"/>
      <c r="BW463" s="284"/>
      <c r="BX463" s="284"/>
      <c r="BY463" s="284"/>
      <c r="BZ463" s="285"/>
      <c r="CA463" s="298">
        <f>SUM(C463,E463,G463,I463,K463,M463,O463,Q463,S463,U463,W463,Y463,AA463,AC463,AE463,AG463,AI463,AK463,AM463,AO463,AQ463,AS463,AU463,AW463,AY463,BA463,BC463,BE463,BG463,BI463,BK463,BM463,BO463,BQ463,BS463,BU463,BW463,BY463)</f>
        <v>0</v>
      </c>
      <c r="CB463" s="298">
        <f>SUM(D463,F463,H463,J463,L463,N463,P463,R463,T463,V463,X463,Z463,AB463,AD463,AF463,AH463,AJ463,AL463,AN463,AP463,AR463,AT463,AV463,AX463,AZ463,BB463,BD463,BF463,BH463,BJ463,BL463,BN463,BP463,BR463,BT463,BV463,BX463,BZ463)</f>
        <v>0</v>
      </c>
      <c r="CC463" s="299">
        <f>SUM(Table13[[#This Row],[GOALS 1]:[ASSISTS 38]])</f>
        <v>0</v>
      </c>
    </row>
    <row r="464" spans="1:81">
      <c r="A464" s="291" t="s">
        <v>1682</v>
      </c>
      <c r="B464" s="291" t="s">
        <v>24</v>
      </c>
      <c r="C464" s="286"/>
      <c r="D464" s="286"/>
      <c r="E464" s="288"/>
      <c r="F464" s="286"/>
      <c r="G464" s="288"/>
      <c r="H464" s="286"/>
      <c r="I464" s="288"/>
      <c r="J464" s="286"/>
      <c r="K464" s="288"/>
      <c r="L464" s="286"/>
      <c r="M464" s="288"/>
      <c r="N464" s="286"/>
      <c r="O464" s="288"/>
      <c r="P464" s="286"/>
      <c r="Q464" s="288"/>
      <c r="R464" s="286"/>
      <c r="S464" s="288"/>
      <c r="T464" s="286"/>
      <c r="U464" s="288"/>
      <c r="V464" s="286"/>
      <c r="W464" s="288"/>
      <c r="X464" s="286"/>
      <c r="Y464" s="288"/>
      <c r="Z464" s="286"/>
      <c r="AA464" s="288"/>
      <c r="AB464" s="286"/>
      <c r="AC464" s="288"/>
      <c r="AD464" s="286"/>
      <c r="AE464" s="288"/>
      <c r="AF464" s="286"/>
      <c r="AG464" s="288"/>
      <c r="AH464" s="286"/>
      <c r="AI464" s="288"/>
      <c r="AJ464" s="286"/>
      <c r="AK464" s="286"/>
      <c r="AL464" s="286"/>
      <c r="AM464" s="286"/>
      <c r="AN464" s="286"/>
      <c r="AO464" s="286"/>
      <c r="AP464" s="286"/>
      <c r="AQ464" s="286"/>
      <c r="AR464" s="286"/>
      <c r="AS464" s="286"/>
      <c r="AT464" s="286"/>
      <c r="AU464" s="286"/>
      <c r="AV464" s="284"/>
      <c r="AW464" s="284"/>
      <c r="AX464" s="284"/>
      <c r="AY464" s="284"/>
      <c r="AZ464" s="284"/>
      <c r="BA464" s="284"/>
      <c r="BB464" s="284"/>
      <c r="BC464" s="284"/>
      <c r="BD464" s="284"/>
      <c r="BE464" s="284"/>
      <c r="BF464" s="284"/>
      <c r="BG464" s="284"/>
      <c r="BH464" s="284"/>
      <c r="BI464" s="284"/>
      <c r="BJ464" s="284"/>
      <c r="BK464" s="284"/>
      <c r="BL464" s="284"/>
      <c r="BM464" s="284"/>
      <c r="BN464" s="284"/>
      <c r="BO464" s="284"/>
      <c r="BP464" s="284"/>
      <c r="BQ464" s="284"/>
      <c r="BR464" s="284"/>
      <c r="BS464" s="284"/>
      <c r="BT464" s="284"/>
      <c r="BU464" s="284"/>
      <c r="BV464" s="284"/>
      <c r="BW464" s="284"/>
      <c r="BX464" s="284"/>
      <c r="BY464" s="284"/>
      <c r="BZ464" s="285"/>
      <c r="CA464" s="298">
        <f>SUM(C464,E464,G464,I464,K464,M464,O464,Q464,S464,U464,W464,Y464,AA464,AC464,AE464,AG464,AI464,AK464,AM464,AO464,AQ464,AS464,AU464,AW464,AY464,BA464,BC464,BE464,BG464,BI464,BK464,BM464,BO464,BQ464,BS464,BU464,BW464,BY464)</f>
        <v>0</v>
      </c>
      <c r="CB464" s="298">
        <f>SUM(D464,F464,H464,J464,L464,N464,P464,R464,T464,V464,X464,Z464,AB464,AD464,AF464,AH464,AJ464,AL464,AN464,AP464,AR464,AT464,AV464,AX464,AZ464,BB464,BD464,BF464,BH464,BJ464,BL464,BN464,BP464,BR464,BT464,BV464,BX464,BZ464)</f>
        <v>0</v>
      </c>
      <c r="CC464" s="299">
        <f>SUM(Table13[[#This Row],[GOALS 1]:[ASSISTS 38]])</f>
        <v>0</v>
      </c>
    </row>
    <row r="465" spans="1:81">
      <c r="A465" s="291" t="s">
        <v>1656</v>
      </c>
      <c r="B465" s="291" t="s">
        <v>22</v>
      </c>
      <c r="C465" s="286"/>
      <c r="D465" s="286"/>
      <c r="E465" s="288"/>
      <c r="F465" s="286"/>
      <c r="G465" s="288"/>
      <c r="H465" s="286"/>
      <c r="I465" s="288"/>
      <c r="J465" s="286"/>
      <c r="K465" s="288"/>
      <c r="L465" s="286"/>
      <c r="M465" s="288"/>
      <c r="N465" s="286"/>
      <c r="O465" s="288"/>
      <c r="P465" s="286"/>
      <c r="Q465" s="288"/>
      <c r="R465" s="286"/>
      <c r="S465" s="288"/>
      <c r="T465" s="286"/>
      <c r="U465" s="288"/>
      <c r="V465" s="286"/>
      <c r="W465" s="288"/>
      <c r="X465" s="286"/>
      <c r="Y465" s="288"/>
      <c r="Z465" s="286"/>
      <c r="AA465" s="288"/>
      <c r="AB465" s="286"/>
      <c r="AC465" s="288"/>
      <c r="AD465" s="286"/>
      <c r="AE465" s="288"/>
      <c r="AF465" s="286"/>
      <c r="AG465" s="288"/>
      <c r="AH465" s="286"/>
      <c r="AI465" s="288"/>
      <c r="AJ465" s="286"/>
      <c r="AK465" s="286"/>
      <c r="AL465" s="286"/>
      <c r="AM465" s="286"/>
      <c r="AN465" s="286"/>
      <c r="AO465" s="286"/>
      <c r="AP465" s="286"/>
      <c r="AQ465" s="286"/>
      <c r="AR465" s="286"/>
      <c r="AS465" s="286"/>
      <c r="AT465" s="286"/>
      <c r="AU465" s="286"/>
      <c r="AV465" s="284"/>
      <c r="AW465" s="284"/>
      <c r="AX465" s="284"/>
      <c r="AY465" s="284"/>
      <c r="AZ465" s="284"/>
      <c r="BA465" s="284"/>
      <c r="BB465" s="284"/>
      <c r="BC465" s="284"/>
      <c r="BD465" s="284"/>
      <c r="BE465" s="284"/>
      <c r="BF465" s="284"/>
      <c r="BG465" s="284"/>
      <c r="BH465" s="284"/>
      <c r="BI465" s="284"/>
      <c r="BJ465" s="284"/>
      <c r="BK465" s="284"/>
      <c r="BL465" s="284"/>
      <c r="BM465" s="284"/>
      <c r="BN465" s="284"/>
      <c r="BO465" s="284"/>
      <c r="BP465" s="284"/>
      <c r="BQ465" s="284"/>
      <c r="BR465" s="284"/>
      <c r="BS465" s="284"/>
      <c r="BT465" s="284"/>
      <c r="BU465" s="284"/>
      <c r="BV465" s="284"/>
      <c r="BW465" s="284"/>
      <c r="BX465" s="284"/>
      <c r="BY465" s="284"/>
      <c r="BZ465" s="285"/>
      <c r="CA465" s="298">
        <f>SUM(C465,E465,G465,I465,K465,M465,O465,Q465,S465,U465,W465,Y465,AA465,AC465,AE465,AG465,AI465,AK465,AM465,AO465,AQ465,AS465,AU465,AW465,AY465,BA465,BC465,BE465,BG465,BI465,BK465,BM465,BO465,BQ465,BS465,BU465,BW465,BY465)</f>
        <v>0</v>
      </c>
      <c r="CB465" s="298">
        <f>SUM(D465,F465,H465,J465,L465,N465,P465,R465,T465,V465,X465,Z465,AB465,AD465,AF465,AH465,AJ465,AL465,AN465,AP465,AR465,AT465,AV465,AX465,AZ465,BB465,BD465,BF465,BH465,BJ465,BL465,BN465,BP465,BR465,BT465,BV465,BX465,BZ465)</f>
        <v>0</v>
      </c>
      <c r="CC465" s="299">
        <f>SUM(Table13[[#This Row],[GOALS 1]:[ASSISTS 38]])</f>
        <v>0</v>
      </c>
    </row>
    <row r="466" spans="1:81">
      <c r="A466" s="291" t="s">
        <v>1613</v>
      </c>
      <c r="B466" s="291" t="s">
        <v>19</v>
      </c>
      <c r="C466" s="286"/>
      <c r="D466" s="286"/>
      <c r="E466" s="288"/>
      <c r="F466" s="286"/>
      <c r="G466" s="288"/>
      <c r="H466" s="286"/>
      <c r="I466" s="288"/>
      <c r="J466" s="286"/>
      <c r="K466" s="288"/>
      <c r="L466" s="286"/>
      <c r="M466" s="288"/>
      <c r="N466" s="286"/>
      <c r="O466" s="288"/>
      <c r="P466" s="286"/>
      <c r="Q466" s="288"/>
      <c r="R466" s="286"/>
      <c r="S466" s="288"/>
      <c r="T466" s="286"/>
      <c r="U466" s="288"/>
      <c r="V466" s="286"/>
      <c r="W466" s="288"/>
      <c r="X466" s="286"/>
      <c r="Y466" s="288"/>
      <c r="Z466" s="286"/>
      <c r="AA466" s="288"/>
      <c r="AB466" s="286"/>
      <c r="AC466" s="288"/>
      <c r="AD466" s="286"/>
      <c r="AE466" s="288"/>
      <c r="AF466" s="286"/>
      <c r="AG466" s="288"/>
      <c r="AH466" s="286"/>
      <c r="AI466" s="288"/>
      <c r="AJ466" s="286"/>
      <c r="AK466" s="286"/>
      <c r="AL466" s="286"/>
      <c r="AM466" s="286"/>
      <c r="AN466" s="286"/>
      <c r="AO466" s="286"/>
      <c r="AP466" s="286"/>
      <c r="AQ466" s="286"/>
      <c r="AR466" s="286"/>
      <c r="AS466" s="286"/>
      <c r="AT466" s="286"/>
      <c r="AU466" s="286"/>
      <c r="AV466" s="284"/>
      <c r="AW466" s="284"/>
      <c r="AX466" s="284"/>
      <c r="AY466" s="284"/>
      <c r="AZ466" s="284"/>
      <c r="BA466" s="284"/>
      <c r="BB466" s="284"/>
      <c r="BC466" s="284"/>
      <c r="BD466" s="284"/>
      <c r="BE466" s="284"/>
      <c r="BF466" s="284"/>
      <c r="BG466" s="284"/>
      <c r="BH466" s="284"/>
      <c r="BI466" s="284"/>
      <c r="BJ466" s="284"/>
      <c r="BK466" s="284"/>
      <c r="BL466" s="284"/>
      <c r="BM466" s="284"/>
      <c r="BN466" s="284"/>
      <c r="BO466" s="284"/>
      <c r="BP466" s="284"/>
      <c r="BQ466" s="284"/>
      <c r="BR466" s="284"/>
      <c r="BS466" s="284"/>
      <c r="BT466" s="284"/>
      <c r="BU466" s="284"/>
      <c r="BV466" s="284"/>
      <c r="BW466" s="284"/>
      <c r="BX466" s="284"/>
      <c r="BY466" s="284"/>
      <c r="BZ466" s="285"/>
      <c r="CA466" s="298">
        <f>SUM(C466,E466,G466,I466,K466,M466,O466,Q466,S466,U466,W466,Y466,AA466,AC466,AE466,AG466,AI466,AK466,AM466,AO466,AQ466,AS466,AU466,AW466,AY466,BA466,BC466,BE466,BG466,BI466,BK466,BM466,BO466,BQ466,BS466,BU466,BW466,BY466)</f>
        <v>0</v>
      </c>
      <c r="CB466" s="298">
        <f>SUM(D466,F466,H466,J466,L466,N466,P466,R466,T466,V466,X466,Z466,AB466,AD466,AF466,AH466,AJ466,AL466,AN466,AP466,AR466,AT466,AV466,AX466,AZ466,BB466,BD466,BF466,BH466,BJ466,BL466,BN466,BP466,BR466,BT466,BV466,BX466,BZ466)</f>
        <v>0</v>
      </c>
      <c r="CC466" s="299">
        <f>SUM(Table13[[#This Row],[GOALS 1]:[ASSISTS 38]])</f>
        <v>0</v>
      </c>
    </row>
    <row r="467" spans="1:81">
      <c r="A467" s="291" t="s">
        <v>1365</v>
      </c>
      <c r="B467" s="291" t="s">
        <v>20</v>
      </c>
      <c r="C467" s="289"/>
      <c r="D467" s="286"/>
      <c r="E467" s="288"/>
      <c r="F467" s="286"/>
      <c r="G467" s="288"/>
      <c r="H467" s="286"/>
      <c r="I467" s="288"/>
      <c r="J467" s="286"/>
      <c r="K467" s="288"/>
      <c r="L467" s="286"/>
      <c r="M467" s="288"/>
      <c r="N467" s="286"/>
      <c r="O467" s="288"/>
      <c r="P467" s="286"/>
      <c r="Q467" s="288"/>
      <c r="R467" s="286"/>
      <c r="S467" s="288"/>
      <c r="T467" s="286"/>
      <c r="U467" s="288"/>
      <c r="V467" s="286"/>
      <c r="W467" s="288"/>
      <c r="X467" s="286"/>
      <c r="Y467" s="288"/>
      <c r="Z467" s="286"/>
      <c r="AA467" s="288"/>
      <c r="AB467" s="286"/>
      <c r="AC467" s="288"/>
      <c r="AD467" s="286"/>
      <c r="AE467" s="288"/>
      <c r="AF467" s="286"/>
      <c r="AG467" s="288"/>
      <c r="AH467" s="286"/>
      <c r="AI467" s="288"/>
      <c r="AJ467" s="286"/>
      <c r="AK467" s="286"/>
      <c r="AL467" s="286"/>
      <c r="AM467" s="286"/>
      <c r="AN467" s="286"/>
      <c r="AO467" s="286"/>
      <c r="AP467" s="286"/>
      <c r="AQ467" s="286"/>
      <c r="AR467" s="286"/>
      <c r="AS467" s="286"/>
      <c r="AT467" s="286"/>
      <c r="AU467" s="286"/>
      <c r="AV467" s="284"/>
      <c r="AW467" s="284"/>
      <c r="AX467" s="284"/>
      <c r="AY467" s="284"/>
      <c r="AZ467" s="284"/>
      <c r="BA467" s="284"/>
      <c r="BB467" s="284"/>
      <c r="BC467" s="284"/>
      <c r="BD467" s="284"/>
      <c r="BE467" s="284"/>
      <c r="BF467" s="284"/>
      <c r="BG467" s="284"/>
      <c r="BH467" s="284"/>
      <c r="BI467" s="284"/>
      <c r="BJ467" s="284"/>
      <c r="BK467" s="284"/>
      <c r="BL467" s="284"/>
      <c r="BM467" s="284"/>
      <c r="BN467" s="284"/>
      <c r="BO467" s="284"/>
      <c r="BP467" s="284"/>
      <c r="BQ467" s="284"/>
      <c r="BR467" s="284"/>
      <c r="BS467" s="284"/>
      <c r="BT467" s="284"/>
      <c r="BU467" s="284"/>
      <c r="BV467" s="284"/>
      <c r="BW467" s="284"/>
      <c r="BX467" s="284"/>
      <c r="BY467" s="284"/>
      <c r="BZ467" s="285"/>
      <c r="CA467" s="298">
        <f>SUM(C467,E467,G467,I467,K467,M467,O467,Q467,S467,U467,W467,Y467,AA467,AC467,AE467,AG467,AI467,AK467,AM467,AO467,AQ467,AS467,AU467,AW467,AY467,BA467,BC467,BE467,BG467,BI467,BK467,BM467,BO467,BQ467,BS467,BU467,BW467,BY467)</f>
        <v>0</v>
      </c>
      <c r="CB467" s="298">
        <f>SUM(D467,F467,H467,J467,L467,N467,P467,R467,T467,V467,X467,Z467,AB467,AD467,AF467,AH467,AJ467,AL467,AN467,AP467,AR467,AT467,AV467,AX467,AZ467,BB467,BD467,BF467,BH467,BJ467,BL467,BN467,BP467,BR467,BT467,BV467,BX467,BZ467)</f>
        <v>0</v>
      </c>
      <c r="CC467" s="299">
        <f>SUM(Table13[[#This Row],[GOALS 1]:[ASSISTS 38]])</f>
        <v>0</v>
      </c>
    </row>
    <row r="468" spans="1:81">
      <c r="A468" s="291" t="s">
        <v>1359</v>
      </c>
      <c r="B468" s="291" t="s">
        <v>21</v>
      </c>
      <c r="C468" s="289"/>
      <c r="D468" s="286"/>
      <c r="E468" s="288"/>
      <c r="F468" s="286"/>
      <c r="G468" s="288"/>
      <c r="H468" s="286"/>
      <c r="I468" s="288"/>
      <c r="J468" s="286"/>
      <c r="K468" s="288"/>
      <c r="L468" s="286"/>
      <c r="M468" s="288"/>
      <c r="N468" s="286"/>
      <c r="O468" s="288"/>
      <c r="P468" s="286"/>
      <c r="Q468" s="288"/>
      <c r="R468" s="286"/>
      <c r="S468" s="288"/>
      <c r="T468" s="286"/>
      <c r="U468" s="288"/>
      <c r="V468" s="286"/>
      <c r="W468" s="288"/>
      <c r="X468" s="286"/>
      <c r="Y468" s="288"/>
      <c r="Z468" s="286"/>
      <c r="AA468" s="288"/>
      <c r="AB468" s="286"/>
      <c r="AC468" s="288"/>
      <c r="AD468" s="286"/>
      <c r="AE468" s="288"/>
      <c r="AF468" s="286"/>
      <c r="AG468" s="288"/>
      <c r="AH468" s="286"/>
      <c r="AI468" s="288"/>
      <c r="AJ468" s="286"/>
      <c r="AK468" s="286"/>
      <c r="AL468" s="286"/>
      <c r="AM468" s="286"/>
      <c r="AN468" s="286"/>
      <c r="AO468" s="286"/>
      <c r="AP468" s="286"/>
      <c r="AQ468" s="286"/>
      <c r="AR468" s="286"/>
      <c r="AS468" s="286"/>
      <c r="AT468" s="286"/>
      <c r="AU468" s="286"/>
      <c r="AV468" s="284"/>
      <c r="AW468" s="284"/>
      <c r="AX468" s="284"/>
      <c r="AY468" s="284"/>
      <c r="AZ468" s="284"/>
      <c r="BA468" s="284"/>
      <c r="BB468" s="284"/>
      <c r="BC468" s="284"/>
      <c r="BD468" s="284"/>
      <c r="BE468" s="284"/>
      <c r="BF468" s="284"/>
      <c r="BG468" s="284"/>
      <c r="BH468" s="284"/>
      <c r="BI468" s="284"/>
      <c r="BJ468" s="284"/>
      <c r="BK468" s="284"/>
      <c r="BL468" s="284"/>
      <c r="BM468" s="284"/>
      <c r="BN468" s="284"/>
      <c r="BO468" s="284"/>
      <c r="BP468" s="284"/>
      <c r="BQ468" s="284"/>
      <c r="BR468" s="284"/>
      <c r="BS468" s="284"/>
      <c r="BT468" s="284"/>
      <c r="BU468" s="284"/>
      <c r="BV468" s="284"/>
      <c r="BW468" s="284"/>
      <c r="BX468" s="284"/>
      <c r="BY468" s="284"/>
      <c r="BZ468" s="285"/>
      <c r="CA468" s="298">
        <f>SUM(C468,E468,G468,I468,K468,M468,O468,Q468,S468,U468,W468,Y468,AA468,AC468,AE468,AG468,AI468,AK468,AM468,AO468,AQ468,AS468,AU468,AW468,AY468,BA468,BC468,BE468,BG468,BI468,BK468,BM468,BO468,BQ468,BS468,BU468,BW468,BY468)</f>
        <v>0</v>
      </c>
      <c r="CB468" s="298">
        <f>SUM(D468,F468,H468,J468,L468,N468,P468,R468,T468,V468,X468,Z468,AB468,AD468,AF468,AH468,AJ468,AL468,AN468,AP468,AR468,AT468,AV468,AX468,AZ468,BB468,BD468,BF468,BH468,BJ468,BL468,BN468,BP468,BR468,BT468,BV468,BX468,BZ468)</f>
        <v>0</v>
      </c>
      <c r="CC468" s="299">
        <f>SUM(Table13[[#This Row],[GOALS 1]:[ASSISTS 38]])</f>
        <v>0</v>
      </c>
    </row>
    <row r="469" spans="1:81">
      <c r="A469" s="291" t="s">
        <v>1591</v>
      </c>
      <c r="B469" s="291" t="s">
        <v>634</v>
      </c>
      <c r="C469" s="288"/>
      <c r="D469" s="286"/>
      <c r="E469" s="288"/>
      <c r="F469" s="286"/>
      <c r="G469" s="288"/>
      <c r="H469" s="286"/>
      <c r="I469" s="288"/>
      <c r="J469" s="286"/>
      <c r="K469" s="288"/>
      <c r="L469" s="286"/>
      <c r="M469" s="288"/>
      <c r="N469" s="286"/>
      <c r="O469" s="288"/>
      <c r="P469" s="286"/>
      <c r="Q469" s="288"/>
      <c r="R469" s="286"/>
      <c r="S469" s="288"/>
      <c r="T469" s="286"/>
      <c r="U469" s="288"/>
      <c r="V469" s="286"/>
      <c r="W469" s="288"/>
      <c r="X469" s="286"/>
      <c r="Y469" s="288"/>
      <c r="Z469" s="286"/>
      <c r="AA469" s="288"/>
      <c r="AB469" s="286"/>
      <c r="AC469" s="288"/>
      <c r="AD469" s="286"/>
      <c r="AE469" s="288"/>
      <c r="AF469" s="286"/>
      <c r="AG469" s="288"/>
      <c r="AH469" s="286"/>
      <c r="AI469" s="288"/>
      <c r="AJ469" s="286"/>
      <c r="AK469" s="286"/>
      <c r="AL469" s="286"/>
      <c r="AM469" s="286"/>
      <c r="AN469" s="286"/>
      <c r="AO469" s="286"/>
      <c r="AP469" s="286"/>
      <c r="AQ469" s="286"/>
      <c r="AR469" s="286"/>
      <c r="AS469" s="286"/>
      <c r="AT469" s="286"/>
      <c r="AU469" s="286"/>
      <c r="AV469" s="284"/>
      <c r="AW469" s="284"/>
      <c r="AX469" s="284"/>
      <c r="AY469" s="284"/>
      <c r="AZ469" s="284"/>
      <c r="BA469" s="284"/>
      <c r="BB469" s="284"/>
      <c r="BC469" s="284"/>
      <c r="BD469" s="284"/>
      <c r="BE469" s="284"/>
      <c r="BF469" s="284"/>
      <c r="BG469" s="284"/>
      <c r="BH469" s="284"/>
      <c r="BI469" s="284"/>
      <c r="BJ469" s="284"/>
      <c r="BK469" s="284"/>
      <c r="BL469" s="284"/>
      <c r="BM469" s="284"/>
      <c r="BN469" s="284"/>
      <c r="BO469" s="284"/>
      <c r="BP469" s="284"/>
      <c r="BQ469" s="284"/>
      <c r="BR469" s="284"/>
      <c r="BS469" s="284"/>
      <c r="BT469" s="284"/>
      <c r="BU469" s="284"/>
      <c r="BV469" s="284"/>
      <c r="BW469" s="284"/>
      <c r="BX469" s="284"/>
      <c r="BY469" s="284"/>
      <c r="BZ469" s="285"/>
      <c r="CA469" s="298">
        <f>SUM(C469,E469,G469,I469,K469,M469,O469,Q469,S469,U469,W469,Y469,AA469,AC469,AE469,AG469,AI469,AK469,AM469,AO469,AQ469,AS469,AU469,AW469,AY469,BA469,BC469,BE469,BG469,BI469,BK469,BM469,BO469,BQ469,BS469,BU469,BW469,BY469)</f>
        <v>0</v>
      </c>
      <c r="CB469" s="298">
        <f>SUM(D469,F469,H469,J469,L469,N469,P469,R469,T469,V469,X469,Z469,AB469,AD469,AF469,AH469,AJ469,AL469,AN469,AP469,AR469,AT469,AV469,AX469,AZ469,BB469,BD469,BF469,BH469,BJ469,BL469,BN469,BP469,BR469,BT469,BV469,BX469,BZ469)</f>
        <v>0</v>
      </c>
      <c r="CC469" s="299">
        <f>SUM(Table13[[#This Row],[GOALS 1]:[ASSISTS 38]])</f>
        <v>0</v>
      </c>
    </row>
    <row r="470" spans="1:81">
      <c r="A470" s="291" t="s">
        <v>1353</v>
      </c>
      <c r="B470" s="291" t="s">
        <v>17</v>
      </c>
      <c r="C470" s="289"/>
      <c r="D470" s="286"/>
      <c r="E470" s="288"/>
      <c r="F470" s="286"/>
      <c r="G470" s="288"/>
      <c r="H470" s="286"/>
      <c r="I470" s="288"/>
      <c r="J470" s="286"/>
      <c r="K470" s="288"/>
      <c r="L470" s="286"/>
      <c r="M470" s="288"/>
      <c r="N470" s="286"/>
      <c r="O470" s="288"/>
      <c r="P470" s="286"/>
      <c r="Q470" s="288"/>
      <c r="R470" s="286"/>
      <c r="S470" s="288"/>
      <c r="T470" s="286"/>
      <c r="U470" s="288"/>
      <c r="V470" s="286"/>
      <c r="W470" s="288"/>
      <c r="X470" s="286"/>
      <c r="Y470" s="288"/>
      <c r="Z470" s="286"/>
      <c r="AA470" s="288"/>
      <c r="AB470" s="286"/>
      <c r="AC470" s="288"/>
      <c r="AD470" s="286"/>
      <c r="AE470" s="288"/>
      <c r="AF470" s="286"/>
      <c r="AG470" s="288"/>
      <c r="AH470" s="286"/>
      <c r="AI470" s="288"/>
      <c r="AJ470" s="286"/>
      <c r="AK470" s="286"/>
      <c r="AL470" s="286"/>
      <c r="AM470" s="286"/>
      <c r="AN470" s="286"/>
      <c r="AO470" s="286"/>
      <c r="AP470" s="286"/>
      <c r="AQ470" s="286"/>
      <c r="AR470" s="286"/>
      <c r="AS470" s="286"/>
      <c r="AT470" s="286"/>
      <c r="AU470" s="286"/>
      <c r="AV470" s="284"/>
      <c r="AW470" s="284"/>
      <c r="AX470" s="284"/>
      <c r="AY470" s="284"/>
      <c r="AZ470" s="284"/>
      <c r="BA470" s="284"/>
      <c r="BB470" s="284"/>
      <c r="BC470" s="284"/>
      <c r="BD470" s="284"/>
      <c r="BE470" s="284"/>
      <c r="BF470" s="284"/>
      <c r="BG470" s="284"/>
      <c r="BH470" s="284"/>
      <c r="BI470" s="284"/>
      <c r="BJ470" s="284"/>
      <c r="BK470" s="284"/>
      <c r="BL470" s="284"/>
      <c r="BM470" s="284"/>
      <c r="BN470" s="284"/>
      <c r="BO470" s="284"/>
      <c r="BP470" s="284"/>
      <c r="BQ470" s="284"/>
      <c r="BR470" s="284"/>
      <c r="BS470" s="284"/>
      <c r="BT470" s="284"/>
      <c r="BU470" s="284"/>
      <c r="BV470" s="284"/>
      <c r="BW470" s="284"/>
      <c r="BX470" s="284"/>
      <c r="BY470" s="284"/>
      <c r="BZ470" s="285"/>
      <c r="CA470" s="298">
        <f>SUM(C470,E470,G470,I470,K470,M470,O470,Q470,S470,U470,W470,Y470,AA470,AC470,AE470,AG470,AI470,AK470,AM470,AO470,AQ470,AS470,AU470,AW470,AY470,BA470,BC470,BE470,BG470,BI470,BK470,BM470,BO470,BQ470,BS470,BU470,BW470,BY470)</f>
        <v>0</v>
      </c>
      <c r="CB470" s="298">
        <f>SUM(D470,F470,H470,J470,L470,N470,P470,R470,T470,V470,X470,Z470,AB470,AD470,AF470,AH470,AJ470,AL470,AN470,AP470,AR470,AT470,AV470,AX470,AZ470,BB470,BD470,BF470,BH470,BJ470,BL470,BN470,BP470,BR470,BT470,BV470,BX470,BZ470)</f>
        <v>0</v>
      </c>
      <c r="CC470" s="299">
        <f>SUM(Table13[[#This Row],[GOALS 1]:[ASSISTS 38]])</f>
        <v>0</v>
      </c>
    </row>
    <row r="471" spans="1:81">
      <c r="A471" s="291" t="s">
        <v>1873</v>
      </c>
      <c r="B471" s="291" t="s">
        <v>25</v>
      </c>
      <c r="C471" s="286"/>
      <c r="D471" s="286"/>
      <c r="E471" s="288"/>
      <c r="F471" s="286"/>
      <c r="G471" s="288"/>
      <c r="H471" s="286"/>
      <c r="I471" s="288"/>
      <c r="J471" s="286"/>
      <c r="K471" s="288"/>
      <c r="L471" s="286"/>
      <c r="M471" s="288"/>
      <c r="N471" s="286"/>
      <c r="O471" s="288"/>
      <c r="P471" s="286"/>
      <c r="Q471" s="288"/>
      <c r="R471" s="286"/>
      <c r="S471" s="288"/>
      <c r="T471" s="286"/>
      <c r="U471" s="288"/>
      <c r="V471" s="286"/>
      <c r="W471" s="288"/>
      <c r="X471" s="286"/>
      <c r="Y471" s="288"/>
      <c r="Z471" s="286"/>
      <c r="AA471" s="288"/>
      <c r="AB471" s="286"/>
      <c r="AC471" s="288"/>
      <c r="AD471" s="286"/>
      <c r="AE471" s="288"/>
      <c r="AF471" s="286"/>
      <c r="AG471" s="288"/>
      <c r="AH471" s="286"/>
      <c r="AI471" s="288"/>
      <c r="AJ471" s="286"/>
      <c r="AK471" s="286"/>
      <c r="AL471" s="286"/>
      <c r="AM471" s="286"/>
      <c r="AN471" s="286"/>
      <c r="AO471" s="286"/>
      <c r="AP471" s="286"/>
      <c r="AQ471" s="286"/>
      <c r="AR471" s="286"/>
      <c r="AS471" s="286"/>
      <c r="AT471" s="286"/>
      <c r="AU471" s="286"/>
      <c r="AV471" s="284"/>
      <c r="AW471" s="284"/>
      <c r="AX471" s="284"/>
      <c r="AY471" s="284"/>
      <c r="AZ471" s="284"/>
      <c r="BA471" s="284"/>
      <c r="BB471" s="284"/>
      <c r="BC471" s="284"/>
      <c r="BD471" s="284"/>
      <c r="BE471" s="284"/>
      <c r="BF471" s="284"/>
      <c r="BG471" s="284"/>
      <c r="BH471" s="284"/>
      <c r="BI471" s="284"/>
      <c r="BJ471" s="284"/>
      <c r="BK471" s="284"/>
      <c r="BL471" s="284"/>
      <c r="BM471" s="284"/>
      <c r="BN471" s="284"/>
      <c r="BO471" s="284"/>
      <c r="BP471" s="284"/>
      <c r="BQ471" s="284"/>
      <c r="BR471" s="284"/>
      <c r="BS471" s="284"/>
      <c r="BT471" s="284"/>
      <c r="BU471" s="284"/>
      <c r="BV471" s="284"/>
      <c r="BW471" s="284"/>
      <c r="BX471" s="284"/>
      <c r="BY471" s="284"/>
      <c r="BZ471" s="285"/>
      <c r="CA471" s="298">
        <f>SUM(C471,E471,G471,I471,K471,M471,O471,Q471,S471,U471,W471,Y471,AA471,AC471,AE471,AG471,AI471,AK471,AM471,AO471,AQ471,AS471,AU471,AW471,AY471,BA471,BC471,BE471,BG471,BI471,BK471,BM471,BO471,BQ471,BS471,BU471,BW471,BY471)</f>
        <v>0</v>
      </c>
      <c r="CB471" s="298">
        <f>SUM(D471,F471,H471,J471,L471,N471,P471,R471,T471,V471,X471,Z471,AB471,AD471,AF471,AH471,AJ471,AL471,AN471,AP471,AR471,AT471,AV471,AX471,AZ471,BB471,BD471,BF471,BH471,BJ471,BL471,BN471,BP471,BR471,BT471,BV471,BX471,BZ471)</f>
        <v>0</v>
      </c>
      <c r="CC471" s="299">
        <f>SUM(Table13[[#This Row],[GOALS 1]:[ASSISTS 38]])</f>
        <v>0</v>
      </c>
    </row>
    <row r="472" spans="1:81">
      <c r="A472" s="291" t="s">
        <v>1396</v>
      </c>
      <c r="B472" s="291" t="s">
        <v>29</v>
      </c>
      <c r="C472" s="289"/>
      <c r="D472" s="286"/>
      <c r="E472" s="288"/>
      <c r="F472" s="286"/>
      <c r="G472" s="288"/>
      <c r="H472" s="286"/>
      <c r="I472" s="288"/>
      <c r="J472" s="286"/>
      <c r="K472" s="288"/>
      <c r="L472" s="286"/>
      <c r="M472" s="288"/>
      <c r="N472" s="286"/>
      <c r="O472" s="288"/>
      <c r="P472" s="286"/>
      <c r="Q472" s="288"/>
      <c r="R472" s="286"/>
      <c r="S472" s="288"/>
      <c r="T472" s="286"/>
      <c r="U472" s="288"/>
      <c r="V472" s="286"/>
      <c r="W472" s="288"/>
      <c r="X472" s="286"/>
      <c r="Y472" s="288"/>
      <c r="Z472" s="286"/>
      <c r="AA472" s="288"/>
      <c r="AB472" s="286"/>
      <c r="AC472" s="288"/>
      <c r="AD472" s="286"/>
      <c r="AE472" s="288"/>
      <c r="AF472" s="286"/>
      <c r="AG472" s="288"/>
      <c r="AH472" s="286"/>
      <c r="AI472" s="288"/>
      <c r="AJ472" s="286"/>
      <c r="AK472" s="286"/>
      <c r="AL472" s="286"/>
      <c r="AM472" s="286"/>
      <c r="AN472" s="286"/>
      <c r="AO472" s="286"/>
      <c r="AP472" s="286"/>
      <c r="AQ472" s="286"/>
      <c r="AR472" s="286"/>
      <c r="AS472" s="286"/>
      <c r="AT472" s="286"/>
      <c r="AU472" s="286"/>
      <c r="AV472" s="284"/>
      <c r="AW472" s="284"/>
      <c r="AX472" s="284"/>
      <c r="AY472" s="284"/>
      <c r="AZ472" s="284"/>
      <c r="BA472" s="284"/>
      <c r="BB472" s="284"/>
      <c r="BC472" s="284"/>
      <c r="BD472" s="284"/>
      <c r="BE472" s="284"/>
      <c r="BF472" s="284"/>
      <c r="BG472" s="284"/>
      <c r="BH472" s="284"/>
      <c r="BI472" s="284"/>
      <c r="BJ472" s="284"/>
      <c r="BK472" s="284"/>
      <c r="BL472" s="284"/>
      <c r="BM472" s="284"/>
      <c r="BN472" s="284"/>
      <c r="BO472" s="284"/>
      <c r="BP472" s="284"/>
      <c r="BQ472" s="284"/>
      <c r="BR472" s="284"/>
      <c r="BS472" s="284"/>
      <c r="BT472" s="284"/>
      <c r="BU472" s="284"/>
      <c r="BV472" s="284"/>
      <c r="BW472" s="284"/>
      <c r="BX472" s="284"/>
      <c r="BY472" s="284"/>
      <c r="BZ472" s="285"/>
      <c r="CA472" s="298">
        <f>SUM(C472,E472,G472,I472,K472,M472,O472,Q472,S472,U472,W472,Y472,AA472,AC472,AE472,AG472,AI472,AK472,AM472,AO472,AQ472,AS472,AU472,AW472,AY472,BA472,BC472,BE472,BG472,BI472,BK472,BM472,BO472,BQ472,BS472,BU472,BW472,BY472)</f>
        <v>0</v>
      </c>
      <c r="CB472" s="298">
        <f>SUM(D472,F472,H472,J472,L472,N472,P472,R472,T472,V472,X472,Z472,AB472,AD472,AF472,AH472,AJ472,AL472,AN472,AP472,AR472,AT472,AV472,AX472,AZ472,BB472,BD472,BF472,BH472,BJ472,BL472,BN472,BP472,BR472,BT472,BV472,BX472,BZ472)</f>
        <v>0</v>
      </c>
      <c r="CC472" s="299">
        <f>SUM(Table13[[#This Row],[GOALS 1]:[ASSISTS 38]])</f>
        <v>0</v>
      </c>
    </row>
    <row r="473" spans="1:81">
      <c r="A473" s="291" t="s">
        <v>1299</v>
      </c>
      <c r="B473" s="291" t="s">
        <v>28</v>
      </c>
      <c r="C473" s="286"/>
      <c r="D473" s="286"/>
      <c r="E473" s="288"/>
      <c r="F473" s="286"/>
      <c r="G473" s="288"/>
      <c r="H473" s="286"/>
      <c r="I473" s="288"/>
      <c r="J473" s="286"/>
      <c r="K473" s="288"/>
      <c r="L473" s="286"/>
      <c r="M473" s="288"/>
      <c r="N473" s="286"/>
      <c r="O473" s="288"/>
      <c r="P473" s="286"/>
      <c r="Q473" s="288"/>
      <c r="R473" s="286"/>
      <c r="S473" s="288"/>
      <c r="T473" s="286"/>
      <c r="U473" s="288"/>
      <c r="V473" s="286"/>
      <c r="W473" s="288"/>
      <c r="X473" s="286"/>
      <c r="Y473" s="288"/>
      <c r="Z473" s="286"/>
      <c r="AA473" s="288"/>
      <c r="AB473" s="286"/>
      <c r="AC473" s="288"/>
      <c r="AD473" s="286"/>
      <c r="AE473" s="288"/>
      <c r="AF473" s="286"/>
      <c r="AG473" s="288"/>
      <c r="AH473" s="286"/>
      <c r="AI473" s="288"/>
      <c r="AJ473" s="286"/>
      <c r="AK473" s="286"/>
      <c r="AL473" s="286"/>
      <c r="AM473" s="286"/>
      <c r="AN473" s="286"/>
      <c r="AO473" s="286"/>
      <c r="AP473" s="286"/>
      <c r="AQ473" s="286"/>
      <c r="AR473" s="286"/>
      <c r="AS473" s="286"/>
      <c r="AT473" s="286"/>
      <c r="AU473" s="286"/>
      <c r="AV473" s="284"/>
      <c r="AW473" s="284"/>
      <c r="AX473" s="284"/>
      <c r="AY473" s="284"/>
      <c r="AZ473" s="284"/>
      <c r="BA473" s="284"/>
      <c r="BB473" s="284"/>
      <c r="BC473" s="284"/>
      <c r="BD473" s="284"/>
      <c r="BE473" s="284"/>
      <c r="BF473" s="284"/>
      <c r="BG473" s="284"/>
      <c r="BH473" s="284"/>
      <c r="BI473" s="284"/>
      <c r="BJ473" s="284"/>
      <c r="BK473" s="284"/>
      <c r="BL473" s="284"/>
      <c r="BM473" s="284"/>
      <c r="BN473" s="284"/>
      <c r="BO473" s="284"/>
      <c r="BP473" s="284"/>
      <c r="BQ473" s="284"/>
      <c r="BR473" s="284"/>
      <c r="BS473" s="284"/>
      <c r="BT473" s="284"/>
      <c r="BU473" s="284"/>
      <c r="BV473" s="284"/>
      <c r="BW473" s="284"/>
      <c r="BX473" s="284"/>
      <c r="BY473" s="284"/>
      <c r="BZ473" s="285"/>
      <c r="CA473" s="298">
        <f>SUM(C473,E473,G473,I473,K473,M473,O473,Q473,S473,U473,W473,Y473,AA473,AC473,AE473,AG473,AI473,AK473,AM473,AO473,AQ473,AS473,AU473,AW473,AY473,BA473,BC473,BE473,BG473,BI473,BK473,BM473,BO473,BQ473,BS473,BU473,BW473,BY473)</f>
        <v>0</v>
      </c>
      <c r="CB473" s="298">
        <f>SUM(D473,F473,H473,J473,L473,N473,P473,R473,T473,V473,X473,Z473,AB473,AD473,AF473,AH473,AJ473,AL473,AN473,AP473,AR473,AT473,AV473,AX473,AZ473,BB473,BD473,BF473,BH473,BJ473,BL473,BN473,BP473,BR473,BT473,BV473,BX473,BZ473)</f>
        <v>0</v>
      </c>
      <c r="CC473" s="299">
        <f>SUM(Table13[[#This Row],[GOALS 1]:[ASSISTS 38]])</f>
        <v>0</v>
      </c>
    </row>
    <row r="474" spans="1:81">
      <c r="A474" s="292" t="s">
        <v>1758</v>
      </c>
      <c r="B474" s="292" t="s">
        <v>52</v>
      </c>
      <c r="C474" s="289"/>
      <c r="D474" s="286"/>
      <c r="E474" s="288"/>
      <c r="F474" s="286"/>
      <c r="G474" s="288"/>
      <c r="H474" s="286"/>
      <c r="I474" s="288"/>
      <c r="J474" s="286"/>
      <c r="K474" s="288"/>
      <c r="L474" s="286"/>
      <c r="M474" s="288"/>
      <c r="N474" s="286"/>
      <c r="O474" s="288"/>
      <c r="P474" s="286"/>
      <c r="Q474" s="288"/>
      <c r="R474" s="286"/>
      <c r="S474" s="288"/>
      <c r="T474" s="286"/>
      <c r="U474" s="288"/>
      <c r="V474" s="286"/>
      <c r="W474" s="288"/>
      <c r="X474" s="286"/>
      <c r="Y474" s="288"/>
      <c r="Z474" s="286"/>
      <c r="AA474" s="288"/>
      <c r="AB474" s="286"/>
      <c r="AC474" s="288"/>
      <c r="AD474" s="286"/>
      <c r="AE474" s="288"/>
      <c r="AF474" s="286"/>
      <c r="AG474" s="288"/>
      <c r="AH474" s="286"/>
      <c r="AI474" s="288"/>
      <c r="AJ474" s="286"/>
      <c r="AK474" s="286"/>
      <c r="AL474" s="286"/>
      <c r="AM474" s="286"/>
      <c r="AN474" s="286"/>
      <c r="AO474" s="286"/>
      <c r="AP474" s="286"/>
      <c r="AQ474" s="286"/>
      <c r="AR474" s="286"/>
      <c r="AS474" s="286"/>
      <c r="AT474" s="286"/>
      <c r="AU474" s="286"/>
      <c r="AV474" s="284"/>
      <c r="AW474" s="284"/>
      <c r="AX474" s="284"/>
      <c r="AY474" s="284"/>
      <c r="AZ474" s="284"/>
      <c r="BA474" s="284"/>
      <c r="BB474" s="284"/>
      <c r="BC474" s="284"/>
      <c r="BD474" s="284"/>
      <c r="BE474" s="284"/>
      <c r="BF474" s="284"/>
      <c r="BG474" s="284"/>
      <c r="BH474" s="284"/>
      <c r="BI474" s="284"/>
      <c r="BJ474" s="284"/>
      <c r="BK474" s="284"/>
      <c r="BL474" s="284"/>
      <c r="BM474" s="284"/>
      <c r="BN474" s="284"/>
      <c r="BO474" s="284"/>
      <c r="BP474" s="284"/>
      <c r="BQ474" s="284"/>
      <c r="BR474" s="284"/>
      <c r="BS474" s="284"/>
      <c r="BT474" s="284"/>
      <c r="BU474" s="284"/>
      <c r="BV474" s="284"/>
      <c r="BW474" s="284"/>
      <c r="BX474" s="284"/>
      <c r="BY474" s="284"/>
      <c r="BZ474" s="285"/>
      <c r="CA474" s="298">
        <f>SUM(C474,E474,G474,I474,K474,M474,O474,Q474,S474,U474,W474,Y474,AA474,AC474,AE474,AG474,AI474,AK474,AM474,AO474,AQ474,AS474,AU474,AW474,AY474,BA474,BC474,BE474,BG474,BI474,BK474,BM474,BO474,BQ474,BS474,BU474,BW474,BY474)</f>
        <v>0</v>
      </c>
      <c r="CB474" s="298">
        <f>SUM(D474,F474,H474,J474,L474,N474,P474,R474,T474,V474,X474,Z474,AB474,AD474,AF474,AH474,AJ474,AL474,AN474,AP474,AR474,AT474,AV474,AX474,AZ474,BB474,BD474,BF474,BH474,BJ474,BL474,BN474,BP474,BR474,BT474,BV474,BX474,BZ474)</f>
        <v>0</v>
      </c>
      <c r="CC474" s="299">
        <f>SUM(Table13[[#This Row],[GOALS 1]:[ASSISTS 38]])</f>
        <v>0</v>
      </c>
    </row>
    <row r="475" spans="1:81">
      <c r="A475" s="291" t="s">
        <v>1604</v>
      </c>
      <c r="B475" s="291" t="s">
        <v>18</v>
      </c>
      <c r="C475" s="286"/>
      <c r="D475" s="286"/>
      <c r="E475" s="288"/>
      <c r="F475" s="286"/>
      <c r="G475" s="288"/>
      <c r="H475" s="286"/>
      <c r="I475" s="288"/>
      <c r="J475" s="286"/>
      <c r="K475" s="288"/>
      <c r="L475" s="286"/>
      <c r="M475" s="288"/>
      <c r="N475" s="286"/>
      <c r="O475" s="288"/>
      <c r="P475" s="286"/>
      <c r="Q475" s="288"/>
      <c r="R475" s="286"/>
      <c r="S475" s="288"/>
      <c r="T475" s="286"/>
      <c r="U475" s="288"/>
      <c r="V475" s="286"/>
      <c r="W475" s="288"/>
      <c r="X475" s="286"/>
      <c r="Y475" s="288"/>
      <c r="Z475" s="286"/>
      <c r="AA475" s="288"/>
      <c r="AB475" s="286"/>
      <c r="AC475" s="288"/>
      <c r="AD475" s="286"/>
      <c r="AE475" s="288"/>
      <c r="AF475" s="286"/>
      <c r="AG475" s="288"/>
      <c r="AH475" s="286"/>
      <c r="AI475" s="288"/>
      <c r="AJ475" s="286"/>
      <c r="AK475" s="286"/>
      <c r="AL475" s="286"/>
      <c r="AM475" s="286"/>
      <c r="AN475" s="286"/>
      <c r="AO475" s="286"/>
      <c r="AP475" s="286"/>
      <c r="AQ475" s="286"/>
      <c r="AR475" s="286"/>
      <c r="AS475" s="286"/>
      <c r="AT475" s="286"/>
      <c r="AU475" s="286"/>
      <c r="AV475" s="284"/>
      <c r="AW475" s="284"/>
      <c r="AX475" s="284"/>
      <c r="AY475" s="284"/>
      <c r="AZ475" s="284"/>
      <c r="BA475" s="284"/>
      <c r="BB475" s="284"/>
      <c r="BC475" s="284"/>
      <c r="BD475" s="284"/>
      <c r="BE475" s="284"/>
      <c r="BF475" s="284"/>
      <c r="BG475" s="284"/>
      <c r="BH475" s="284"/>
      <c r="BI475" s="284"/>
      <c r="BJ475" s="284"/>
      <c r="BK475" s="284"/>
      <c r="BL475" s="284"/>
      <c r="BM475" s="284"/>
      <c r="BN475" s="284"/>
      <c r="BO475" s="284"/>
      <c r="BP475" s="284"/>
      <c r="BQ475" s="284"/>
      <c r="BR475" s="284"/>
      <c r="BS475" s="284"/>
      <c r="BT475" s="284"/>
      <c r="BU475" s="284"/>
      <c r="BV475" s="284"/>
      <c r="BW475" s="284"/>
      <c r="BX475" s="284"/>
      <c r="BY475" s="284"/>
      <c r="BZ475" s="285"/>
      <c r="CA475" s="298">
        <f>SUM(C475,E475,G475,I475,K475,M475,O475,Q475,S475,U475,W475,Y475,AA475,AC475,AE475,AG475,AI475,AK475,AM475,AO475,AQ475,AS475,AU475,AW475,AY475,BA475,BC475,BE475,BG475,BI475,BK475,BM475,BO475,BQ475,BS475,BU475,BW475,BY475)</f>
        <v>0</v>
      </c>
      <c r="CB475" s="298">
        <f>SUM(D475,F475,H475,J475,L475,N475,P475,R475,T475,V475,X475,Z475,AB475,AD475,AF475,AH475,AJ475,AL475,AN475,AP475,AR475,AT475,AV475,AX475,AZ475,BB475,BD475,BF475,BH475,BJ475,BL475,BN475,BP475,BR475,BT475,BV475,BX475,BZ475)</f>
        <v>0</v>
      </c>
      <c r="CC475" s="299">
        <f>SUM(Table13[[#This Row],[GOALS 1]:[ASSISTS 38]])</f>
        <v>0</v>
      </c>
    </row>
    <row r="476" spans="1:81">
      <c r="A476" s="291" t="s">
        <v>1394</v>
      </c>
      <c r="B476" s="291" t="s">
        <v>20</v>
      </c>
      <c r="C476" s="289"/>
      <c r="D476" s="286"/>
      <c r="E476" s="288"/>
      <c r="F476" s="286"/>
      <c r="G476" s="288"/>
      <c r="H476" s="286"/>
      <c r="I476" s="288"/>
      <c r="J476" s="286"/>
      <c r="K476" s="288"/>
      <c r="L476" s="286"/>
      <c r="M476" s="288"/>
      <c r="N476" s="286"/>
      <c r="O476" s="288"/>
      <c r="P476" s="286"/>
      <c r="Q476" s="288"/>
      <c r="R476" s="286"/>
      <c r="S476" s="288"/>
      <c r="T476" s="286"/>
      <c r="U476" s="288"/>
      <c r="V476" s="286"/>
      <c r="W476" s="288"/>
      <c r="X476" s="286"/>
      <c r="Y476" s="288"/>
      <c r="Z476" s="286"/>
      <c r="AA476" s="288"/>
      <c r="AB476" s="286"/>
      <c r="AC476" s="288"/>
      <c r="AD476" s="286"/>
      <c r="AE476" s="288"/>
      <c r="AF476" s="286"/>
      <c r="AG476" s="288"/>
      <c r="AH476" s="286"/>
      <c r="AI476" s="288"/>
      <c r="AJ476" s="286"/>
      <c r="AK476" s="286"/>
      <c r="AL476" s="286"/>
      <c r="AM476" s="286"/>
      <c r="AN476" s="286"/>
      <c r="AO476" s="286"/>
      <c r="AP476" s="286"/>
      <c r="AQ476" s="286"/>
      <c r="AR476" s="286"/>
      <c r="AS476" s="286"/>
      <c r="AT476" s="286"/>
      <c r="AU476" s="286"/>
      <c r="AV476" s="284"/>
      <c r="AW476" s="284"/>
      <c r="AX476" s="284"/>
      <c r="AY476" s="284"/>
      <c r="AZ476" s="284"/>
      <c r="BA476" s="284"/>
      <c r="BB476" s="284"/>
      <c r="BC476" s="284"/>
      <c r="BD476" s="284"/>
      <c r="BE476" s="284"/>
      <c r="BF476" s="284"/>
      <c r="BG476" s="284"/>
      <c r="BH476" s="284"/>
      <c r="BI476" s="284"/>
      <c r="BJ476" s="284"/>
      <c r="BK476" s="284"/>
      <c r="BL476" s="284"/>
      <c r="BM476" s="284"/>
      <c r="BN476" s="284"/>
      <c r="BO476" s="284"/>
      <c r="BP476" s="284"/>
      <c r="BQ476" s="284"/>
      <c r="BR476" s="284"/>
      <c r="BS476" s="284"/>
      <c r="BT476" s="284"/>
      <c r="BU476" s="284"/>
      <c r="BV476" s="284"/>
      <c r="BW476" s="284"/>
      <c r="BX476" s="284"/>
      <c r="BY476" s="284"/>
      <c r="BZ476" s="285"/>
      <c r="CA476" s="298">
        <f>SUM(C476,E476,G476,I476,K476,M476,O476,Q476,S476,U476,W476,Y476,AA476,AC476,AE476,AG476,AI476,AK476,AM476,AO476,AQ476,AS476,AU476,AW476,AY476,BA476,BC476,BE476,BG476,BI476,BK476,BM476,BO476,BQ476,BS476,BU476,BW476,BY476)</f>
        <v>0</v>
      </c>
      <c r="CB476" s="298">
        <f>SUM(D476,F476,H476,J476,L476,N476,P476,R476,T476,V476,X476,Z476,AB476,AD476,AF476,AH476,AJ476,AL476,AN476,AP476,AR476,AT476,AV476,AX476,AZ476,BB476,BD476,BF476,BH476,BJ476,BL476,BN476,BP476,BR476,BT476,BV476,BX476,BZ476)</f>
        <v>0</v>
      </c>
      <c r="CC476" s="299">
        <f>SUM(Table13[[#This Row],[GOALS 1]:[ASSISTS 38]])</f>
        <v>0</v>
      </c>
    </row>
    <row r="477" spans="1:81">
      <c r="A477" s="291" t="s">
        <v>1774</v>
      </c>
      <c r="B477" s="291" t="s">
        <v>21</v>
      </c>
      <c r="C477" s="289"/>
      <c r="D477" s="286"/>
      <c r="E477" s="288"/>
      <c r="F477" s="286"/>
      <c r="G477" s="288"/>
      <c r="H477" s="286"/>
      <c r="I477" s="288"/>
      <c r="J477" s="286"/>
      <c r="K477" s="288"/>
      <c r="L477" s="286"/>
      <c r="M477" s="288"/>
      <c r="N477" s="286"/>
      <c r="O477" s="288"/>
      <c r="P477" s="286"/>
      <c r="Q477" s="288"/>
      <c r="R477" s="286"/>
      <c r="S477" s="288"/>
      <c r="T477" s="286"/>
      <c r="U477" s="288"/>
      <c r="V477" s="286"/>
      <c r="W477" s="288"/>
      <c r="X477" s="286"/>
      <c r="Y477" s="288"/>
      <c r="Z477" s="286"/>
      <c r="AA477" s="288"/>
      <c r="AB477" s="286"/>
      <c r="AC477" s="288"/>
      <c r="AD477" s="286"/>
      <c r="AE477" s="288"/>
      <c r="AF477" s="286"/>
      <c r="AG477" s="288"/>
      <c r="AH477" s="286"/>
      <c r="AI477" s="288"/>
      <c r="AJ477" s="286"/>
      <c r="AK477" s="286"/>
      <c r="AL477" s="286"/>
      <c r="AM477" s="286"/>
      <c r="AN477" s="286"/>
      <c r="AO477" s="286"/>
      <c r="AP477" s="286"/>
      <c r="AQ477" s="286"/>
      <c r="AR477" s="286"/>
      <c r="AS477" s="286"/>
      <c r="AT477" s="286"/>
      <c r="AU477" s="286"/>
      <c r="AV477" s="284"/>
      <c r="AW477" s="284"/>
      <c r="AX477" s="284"/>
      <c r="AY477" s="284"/>
      <c r="AZ477" s="284"/>
      <c r="BA477" s="284"/>
      <c r="BB477" s="284"/>
      <c r="BC477" s="284"/>
      <c r="BD477" s="284"/>
      <c r="BE477" s="284"/>
      <c r="BF477" s="284"/>
      <c r="BG477" s="284"/>
      <c r="BH477" s="284"/>
      <c r="BI477" s="284"/>
      <c r="BJ477" s="284"/>
      <c r="BK477" s="284"/>
      <c r="BL477" s="284"/>
      <c r="BM477" s="284"/>
      <c r="BN477" s="284"/>
      <c r="BO477" s="284"/>
      <c r="BP477" s="284"/>
      <c r="BQ477" s="284"/>
      <c r="BR477" s="284"/>
      <c r="BS477" s="284"/>
      <c r="BT477" s="284"/>
      <c r="BU477" s="284"/>
      <c r="BV477" s="284"/>
      <c r="BW477" s="284"/>
      <c r="BX477" s="284"/>
      <c r="BY477" s="284"/>
      <c r="BZ477" s="285"/>
      <c r="CA477" s="298">
        <f>SUM(C477,E477,G477,I477,K477,M477,O477,Q477,S477,U477,W477,Y477,AA477,AC477,AE477,AG477,AI477,AK477,AM477,AO477,AQ477,AS477,AU477,AW477,AY477,BA477,BC477,BE477,BG477,BI477,BK477,BM477,BO477,BQ477,BS477,BU477,BW477,BY477)</f>
        <v>0</v>
      </c>
      <c r="CB477" s="298">
        <f>SUM(D477,F477,H477,J477,L477,N477,P477,R477,T477,V477,X477,Z477,AB477,AD477,AF477,AH477,AJ477,AL477,AN477,AP477,AR477,AT477,AV477,AX477,AZ477,BB477,BD477,BF477,BH477,BJ477,BL477,BN477,BP477,BR477,BT477,BV477,BX477,BZ477)</f>
        <v>0</v>
      </c>
      <c r="CC477" s="299">
        <f>SUM(Table13[[#This Row],[GOALS 1]:[ASSISTS 38]])</f>
        <v>0</v>
      </c>
    </row>
    <row r="478" spans="1:81">
      <c r="A478" s="291" t="s">
        <v>1780</v>
      </c>
      <c r="B478" s="291" t="s">
        <v>26</v>
      </c>
      <c r="C478" s="286"/>
      <c r="D478" s="286"/>
      <c r="E478" s="288"/>
      <c r="F478" s="286"/>
      <c r="G478" s="288"/>
      <c r="H478" s="286"/>
      <c r="I478" s="288"/>
      <c r="J478" s="286"/>
      <c r="K478" s="288"/>
      <c r="L478" s="286"/>
      <c r="M478" s="288"/>
      <c r="N478" s="286"/>
      <c r="O478" s="288"/>
      <c r="P478" s="286"/>
      <c r="Q478" s="288"/>
      <c r="R478" s="286"/>
      <c r="S478" s="288"/>
      <c r="T478" s="286"/>
      <c r="U478" s="288"/>
      <c r="V478" s="286"/>
      <c r="W478" s="288"/>
      <c r="X478" s="286"/>
      <c r="Y478" s="288"/>
      <c r="Z478" s="286"/>
      <c r="AA478" s="288"/>
      <c r="AB478" s="286"/>
      <c r="AC478" s="288"/>
      <c r="AD478" s="286"/>
      <c r="AE478" s="288"/>
      <c r="AF478" s="286"/>
      <c r="AG478" s="288"/>
      <c r="AH478" s="286"/>
      <c r="AI478" s="288"/>
      <c r="AJ478" s="286"/>
      <c r="AK478" s="286"/>
      <c r="AL478" s="286"/>
      <c r="AM478" s="286"/>
      <c r="AN478" s="286"/>
      <c r="AO478" s="286"/>
      <c r="AP478" s="286"/>
      <c r="AQ478" s="286"/>
      <c r="AR478" s="286"/>
      <c r="AS478" s="286"/>
      <c r="AT478" s="286"/>
      <c r="AU478" s="286"/>
      <c r="AV478" s="284"/>
      <c r="AW478" s="284"/>
      <c r="AX478" s="284"/>
      <c r="AY478" s="284"/>
      <c r="AZ478" s="284"/>
      <c r="BA478" s="284"/>
      <c r="BB478" s="284"/>
      <c r="BC478" s="284"/>
      <c r="BD478" s="284"/>
      <c r="BE478" s="284"/>
      <c r="BF478" s="284"/>
      <c r="BG478" s="284"/>
      <c r="BH478" s="284"/>
      <c r="BI478" s="284"/>
      <c r="BJ478" s="284"/>
      <c r="BK478" s="284"/>
      <c r="BL478" s="284"/>
      <c r="BM478" s="284"/>
      <c r="BN478" s="284"/>
      <c r="BO478" s="284"/>
      <c r="BP478" s="284"/>
      <c r="BQ478" s="284"/>
      <c r="BR478" s="284"/>
      <c r="BS478" s="284"/>
      <c r="BT478" s="284"/>
      <c r="BU478" s="284"/>
      <c r="BV478" s="284"/>
      <c r="BW478" s="284"/>
      <c r="BX478" s="284"/>
      <c r="BY478" s="284"/>
      <c r="BZ478" s="285"/>
      <c r="CA478" s="298">
        <f>SUM(C478,E478,G478,I478,K478,M478,O478,Q478,S478,U478,W478,Y478,AA478,AC478,AE478,AG478,AI478,AK478,AM478,AO478,AQ478,AS478,AU478,AW478,AY478,BA478,BC478,BE478,BG478,BI478,BK478,BM478,BO478,BQ478,BS478,BU478,BW478,BY478)</f>
        <v>0</v>
      </c>
      <c r="CB478" s="298">
        <f>SUM(D478,F478,H478,J478,L478,N478,P478,R478,T478,V478,X478,Z478,AB478,AD478,AF478,AH478,AJ478,AL478,AN478,AP478,AR478,AT478,AV478,AX478,AZ478,BB478,BD478,BF478,BH478,BJ478,BL478,BN478,BP478,BR478,BT478,BV478,BX478,BZ478)</f>
        <v>0</v>
      </c>
      <c r="CC478" s="299">
        <f>SUM(Table13[[#This Row],[GOALS 1]:[ASSISTS 38]])</f>
        <v>0</v>
      </c>
    </row>
    <row r="479" spans="1:81">
      <c r="A479" s="291" t="s">
        <v>1668</v>
      </c>
      <c r="B479" s="291" t="s">
        <v>18</v>
      </c>
      <c r="C479" s="286"/>
      <c r="D479" s="286"/>
      <c r="E479" s="288"/>
      <c r="F479" s="286"/>
      <c r="G479" s="288"/>
      <c r="H479" s="286"/>
      <c r="I479" s="288"/>
      <c r="J479" s="286"/>
      <c r="K479" s="288"/>
      <c r="L479" s="286"/>
      <c r="M479" s="288"/>
      <c r="N479" s="286"/>
      <c r="O479" s="288"/>
      <c r="P479" s="286"/>
      <c r="Q479" s="288"/>
      <c r="R479" s="286"/>
      <c r="S479" s="288"/>
      <c r="T479" s="286"/>
      <c r="U479" s="288"/>
      <c r="V479" s="286"/>
      <c r="W479" s="288"/>
      <c r="X479" s="286"/>
      <c r="Y479" s="288"/>
      <c r="Z479" s="286"/>
      <c r="AA479" s="288"/>
      <c r="AB479" s="286"/>
      <c r="AC479" s="288"/>
      <c r="AD479" s="286"/>
      <c r="AE479" s="288"/>
      <c r="AF479" s="286"/>
      <c r="AG479" s="288"/>
      <c r="AH479" s="286"/>
      <c r="AI479" s="288"/>
      <c r="AJ479" s="286"/>
      <c r="AK479" s="286"/>
      <c r="AL479" s="286"/>
      <c r="AM479" s="286"/>
      <c r="AN479" s="286"/>
      <c r="AO479" s="286"/>
      <c r="AP479" s="286"/>
      <c r="AQ479" s="286"/>
      <c r="AR479" s="286"/>
      <c r="AS479" s="286"/>
      <c r="AT479" s="286"/>
      <c r="AU479" s="286"/>
      <c r="AV479" s="284"/>
      <c r="AW479" s="284"/>
      <c r="AX479" s="284"/>
      <c r="AY479" s="284"/>
      <c r="AZ479" s="284"/>
      <c r="BA479" s="284"/>
      <c r="BB479" s="284"/>
      <c r="BC479" s="284"/>
      <c r="BD479" s="284"/>
      <c r="BE479" s="284"/>
      <c r="BF479" s="284"/>
      <c r="BG479" s="284"/>
      <c r="BH479" s="284"/>
      <c r="BI479" s="284"/>
      <c r="BJ479" s="284"/>
      <c r="BK479" s="284"/>
      <c r="BL479" s="284"/>
      <c r="BM479" s="284"/>
      <c r="BN479" s="284"/>
      <c r="BO479" s="284"/>
      <c r="BP479" s="284"/>
      <c r="BQ479" s="284"/>
      <c r="BR479" s="284"/>
      <c r="BS479" s="284"/>
      <c r="BT479" s="284"/>
      <c r="BU479" s="284"/>
      <c r="BV479" s="284"/>
      <c r="BW479" s="284"/>
      <c r="BX479" s="284"/>
      <c r="BY479" s="284"/>
      <c r="BZ479" s="285"/>
      <c r="CA479" s="298">
        <f>SUM(C479,E479,G479,I479,K479,M479,O479,Q479,S479,U479,W479,Y479,AA479,AC479,AE479,AG479,AI479,AK479,AM479,AO479,AQ479,AS479,AU479,AW479,AY479,BA479,BC479,BE479,BG479,BI479,BK479,BM479,BO479,BQ479,BS479,BU479,BW479,BY479)</f>
        <v>0</v>
      </c>
      <c r="CB479" s="298">
        <f>SUM(D479,F479,H479,J479,L479,N479,P479,R479,T479,V479,X479,Z479,AB479,AD479,AF479,AH479,AJ479,AL479,AN479,AP479,AR479,AT479,AV479,AX479,AZ479,BB479,BD479,BF479,BH479,BJ479,BL479,BN479,BP479,BR479,BT479,BV479,BX479,BZ479)</f>
        <v>0</v>
      </c>
      <c r="CC479" s="299">
        <f>SUM(Table13[[#This Row],[GOALS 1]:[ASSISTS 38]])</f>
        <v>0</v>
      </c>
    </row>
    <row r="480" spans="1:81">
      <c r="A480" s="291" t="s">
        <v>1420</v>
      </c>
      <c r="B480" s="291" t="s">
        <v>29</v>
      </c>
      <c r="C480" s="289"/>
      <c r="D480" s="286"/>
      <c r="E480" s="288"/>
      <c r="F480" s="286"/>
      <c r="G480" s="288"/>
      <c r="H480" s="286"/>
      <c r="I480" s="288"/>
      <c r="J480" s="286"/>
      <c r="K480" s="288"/>
      <c r="L480" s="286"/>
      <c r="M480" s="288"/>
      <c r="N480" s="286"/>
      <c r="O480" s="288"/>
      <c r="P480" s="286"/>
      <c r="Q480" s="288"/>
      <c r="R480" s="286"/>
      <c r="S480" s="288"/>
      <c r="T480" s="286"/>
      <c r="U480" s="288"/>
      <c r="V480" s="286"/>
      <c r="W480" s="288"/>
      <c r="X480" s="286"/>
      <c r="Y480" s="288"/>
      <c r="Z480" s="286"/>
      <c r="AA480" s="288"/>
      <c r="AB480" s="286"/>
      <c r="AC480" s="288"/>
      <c r="AD480" s="286"/>
      <c r="AE480" s="288"/>
      <c r="AF480" s="286"/>
      <c r="AG480" s="288"/>
      <c r="AH480" s="286"/>
      <c r="AI480" s="288"/>
      <c r="AJ480" s="286"/>
      <c r="AK480" s="286"/>
      <c r="AL480" s="286"/>
      <c r="AM480" s="286"/>
      <c r="AN480" s="286"/>
      <c r="AO480" s="286"/>
      <c r="AP480" s="286"/>
      <c r="AQ480" s="286"/>
      <c r="AR480" s="286"/>
      <c r="AS480" s="286"/>
      <c r="AT480" s="286"/>
      <c r="AU480" s="286"/>
      <c r="AV480" s="284"/>
      <c r="AW480" s="284"/>
      <c r="AX480" s="284"/>
      <c r="AY480" s="284"/>
      <c r="AZ480" s="284"/>
      <c r="BA480" s="284"/>
      <c r="BB480" s="284"/>
      <c r="BC480" s="284"/>
      <c r="BD480" s="284"/>
      <c r="BE480" s="284"/>
      <c r="BF480" s="284"/>
      <c r="BG480" s="284"/>
      <c r="BH480" s="284"/>
      <c r="BI480" s="284"/>
      <c r="BJ480" s="284"/>
      <c r="BK480" s="284"/>
      <c r="BL480" s="284"/>
      <c r="BM480" s="284"/>
      <c r="BN480" s="284"/>
      <c r="BO480" s="284"/>
      <c r="BP480" s="284"/>
      <c r="BQ480" s="284"/>
      <c r="BR480" s="284"/>
      <c r="BS480" s="284"/>
      <c r="BT480" s="284"/>
      <c r="BU480" s="284"/>
      <c r="BV480" s="284"/>
      <c r="BW480" s="284"/>
      <c r="BX480" s="284"/>
      <c r="BY480" s="284"/>
      <c r="BZ480" s="285"/>
      <c r="CA480" s="298">
        <f>SUM(C480,E480,G480,I480,K480,M480,O480,Q480,S480,U480,W480,Y480,AA480,AC480,AE480,AG480,AI480,AK480,AM480,AO480,AQ480,AS480,AU480,AW480,AY480,BA480,BC480,BE480,BG480,BI480,BK480,BM480,BO480,BQ480,BS480,BU480,BW480,BY480)</f>
        <v>0</v>
      </c>
      <c r="CB480" s="298">
        <f>SUM(D480,F480,H480,J480,L480,N480,P480,R480,T480,V480,X480,Z480,AB480,AD480,AF480,AH480,AJ480,AL480,AN480,AP480,AR480,AT480,AV480,AX480,AZ480,BB480,BD480,BF480,BH480,BJ480,BL480,BN480,BP480,BR480,BT480,BV480,BX480,BZ480)</f>
        <v>0</v>
      </c>
      <c r="CC480" s="299">
        <f>SUM(Table13[[#This Row],[GOALS 1]:[ASSISTS 38]])</f>
        <v>0</v>
      </c>
    </row>
    <row r="481" spans="1:81">
      <c r="A481" s="291" t="s">
        <v>1495</v>
      </c>
      <c r="B481" s="291" t="s">
        <v>21</v>
      </c>
      <c r="C481" s="289"/>
      <c r="D481" s="286"/>
      <c r="E481" s="288"/>
      <c r="F481" s="286"/>
      <c r="G481" s="288"/>
      <c r="H481" s="286"/>
      <c r="I481" s="288"/>
      <c r="J481" s="286"/>
      <c r="K481" s="288"/>
      <c r="L481" s="286"/>
      <c r="M481" s="288"/>
      <c r="N481" s="286"/>
      <c r="O481" s="288"/>
      <c r="P481" s="286"/>
      <c r="Q481" s="288"/>
      <c r="R481" s="286"/>
      <c r="S481" s="288"/>
      <c r="T481" s="286"/>
      <c r="U481" s="288"/>
      <c r="V481" s="286"/>
      <c r="W481" s="288"/>
      <c r="X481" s="286"/>
      <c r="Y481" s="288"/>
      <c r="Z481" s="286"/>
      <c r="AA481" s="288"/>
      <c r="AB481" s="286"/>
      <c r="AC481" s="288"/>
      <c r="AD481" s="286"/>
      <c r="AE481" s="288"/>
      <c r="AF481" s="286"/>
      <c r="AG481" s="288"/>
      <c r="AH481" s="286"/>
      <c r="AI481" s="288"/>
      <c r="AJ481" s="286"/>
      <c r="AK481" s="286"/>
      <c r="AL481" s="286"/>
      <c r="AM481" s="286"/>
      <c r="AN481" s="286"/>
      <c r="AO481" s="286"/>
      <c r="AP481" s="286"/>
      <c r="AQ481" s="286"/>
      <c r="AR481" s="286"/>
      <c r="AS481" s="286"/>
      <c r="AT481" s="286"/>
      <c r="AU481" s="286"/>
      <c r="AV481" s="284"/>
      <c r="AW481" s="284"/>
      <c r="AX481" s="284"/>
      <c r="AY481" s="284"/>
      <c r="AZ481" s="284"/>
      <c r="BA481" s="284"/>
      <c r="BB481" s="284"/>
      <c r="BC481" s="284"/>
      <c r="BD481" s="284"/>
      <c r="BE481" s="284"/>
      <c r="BF481" s="284"/>
      <c r="BG481" s="284"/>
      <c r="BH481" s="284"/>
      <c r="BI481" s="284"/>
      <c r="BJ481" s="284"/>
      <c r="BK481" s="284"/>
      <c r="BL481" s="284"/>
      <c r="BM481" s="284"/>
      <c r="BN481" s="284"/>
      <c r="BO481" s="284"/>
      <c r="BP481" s="284"/>
      <c r="BQ481" s="284"/>
      <c r="BR481" s="284"/>
      <c r="BS481" s="284"/>
      <c r="BT481" s="284"/>
      <c r="BU481" s="284"/>
      <c r="BV481" s="284"/>
      <c r="BW481" s="284"/>
      <c r="BX481" s="284"/>
      <c r="BY481" s="284"/>
      <c r="BZ481" s="285"/>
      <c r="CA481" s="298">
        <f>SUM(C481,E481,G481,I481,K481,M481,O481,Q481,S481,U481,W481,Y481,AA481,AC481,AE481,AG481,AI481,AK481,AM481,AO481,AQ481,AS481,AU481,AW481,AY481,BA481,BC481,BE481,BG481,BI481,BK481,BM481,BO481,BQ481,BS481,BU481,BW481,BY481)</f>
        <v>0</v>
      </c>
      <c r="CB481" s="298">
        <f>SUM(D481,F481,H481,J481,L481,N481,P481,R481,T481,V481,X481,Z481,AB481,AD481,AF481,AH481,AJ481,AL481,AN481,AP481,AR481,AT481,AV481,AX481,AZ481,BB481,BD481,BF481,BH481,BJ481,BL481,BN481,BP481,BR481,BT481,BV481,BX481,BZ481)</f>
        <v>0</v>
      </c>
      <c r="CC481" s="299">
        <f>SUM(Table13[[#This Row],[GOALS 1]:[ASSISTS 38]])</f>
        <v>0</v>
      </c>
    </row>
    <row r="482" spans="1:81">
      <c r="A482" s="291" t="s">
        <v>1629</v>
      </c>
      <c r="B482" s="291" t="s">
        <v>51</v>
      </c>
      <c r="C482" s="286"/>
      <c r="D482" s="286"/>
      <c r="E482" s="288"/>
      <c r="F482" s="286"/>
      <c r="G482" s="288"/>
      <c r="H482" s="286"/>
      <c r="I482" s="288"/>
      <c r="J482" s="286"/>
      <c r="K482" s="288"/>
      <c r="L482" s="286"/>
      <c r="M482" s="288"/>
      <c r="N482" s="286"/>
      <c r="O482" s="288"/>
      <c r="P482" s="286"/>
      <c r="Q482" s="288"/>
      <c r="R482" s="286"/>
      <c r="S482" s="288"/>
      <c r="T482" s="286"/>
      <c r="U482" s="288"/>
      <c r="V482" s="286"/>
      <c r="W482" s="288"/>
      <c r="X482" s="286"/>
      <c r="Y482" s="288"/>
      <c r="Z482" s="286"/>
      <c r="AA482" s="288"/>
      <c r="AB482" s="286"/>
      <c r="AC482" s="288"/>
      <c r="AD482" s="286"/>
      <c r="AE482" s="288"/>
      <c r="AF482" s="286"/>
      <c r="AG482" s="288"/>
      <c r="AH482" s="286"/>
      <c r="AI482" s="288"/>
      <c r="AJ482" s="286"/>
      <c r="AK482" s="286"/>
      <c r="AL482" s="286"/>
      <c r="AM482" s="286"/>
      <c r="AN482" s="286"/>
      <c r="AO482" s="286"/>
      <c r="AP482" s="286"/>
      <c r="AQ482" s="286"/>
      <c r="AR482" s="286"/>
      <c r="AS482" s="286"/>
      <c r="AT482" s="286"/>
      <c r="AU482" s="286"/>
      <c r="AV482" s="284"/>
      <c r="AW482" s="284"/>
      <c r="AX482" s="284"/>
      <c r="AY482" s="284"/>
      <c r="AZ482" s="284"/>
      <c r="BA482" s="284"/>
      <c r="BB482" s="284"/>
      <c r="BC482" s="284"/>
      <c r="BD482" s="284"/>
      <c r="BE482" s="284"/>
      <c r="BF482" s="284"/>
      <c r="BG482" s="284"/>
      <c r="BH482" s="284"/>
      <c r="BI482" s="284"/>
      <c r="BJ482" s="284"/>
      <c r="BK482" s="284"/>
      <c r="BL482" s="284"/>
      <c r="BM482" s="284"/>
      <c r="BN482" s="284"/>
      <c r="BO482" s="284"/>
      <c r="BP482" s="284"/>
      <c r="BQ482" s="284"/>
      <c r="BR482" s="284"/>
      <c r="BS482" s="284"/>
      <c r="BT482" s="284"/>
      <c r="BU482" s="284"/>
      <c r="BV482" s="284"/>
      <c r="BW482" s="284"/>
      <c r="BX482" s="284"/>
      <c r="BY482" s="284"/>
      <c r="BZ482" s="285"/>
      <c r="CA482" s="298">
        <f>SUM(C482,E482,G482,I482,K482,M482,O482,Q482,S482,U482,W482,Y482,AA482,AC482,AE482,AG482,AI482,AK482,AM482,AO482,AQ482,AS482,AU482,AW482,AY482,BA482,BC482,BE482,BG482,BI482,BK482,BM482,BO482,BQ482,BS482,BU482,BW482,BY482)</f>
        <v>0</v>
      </c>
      <c r="CB482" s="298">
        <f>SUM(D482,F482,H482,J482,L482,N482,P482,R482,T482,V482,X482,Z482,AB482,AD482,AF482,AH482,AJ482,AL482,AN482,AP482,AR482,AT482,AV482,AX482,AZ482,BB482,BD482,BF482,BH482,BJ482,BL482,BN482,BP482,BR482,BT482,BV482,BX482,BZ482)</f>
        <v>0</v>
      </c>
      <c r="CC482" s="299">
        <f>SUM(Table13[[#This Row],[GOALS 1]:[ASSISTS 38]])</f>
        <v>0</v>
      </c>
    </row>
    <row r="483" spans="1:81">
      <c r="A483" s="291" t="s">
        <v>1741</v>
      </c>
      <c r="B483" s="291" t="s">
        <v>24</v>
      </c>
      <c r="C483" s="286"/>
      <c r="D483" s="286"/>
      <c r="E483" s="288"/>
      <c r="F483" s="286"/>
      <c r="G483" s="288"/>
      <c r="H483" s="286"/>
      <c r="I483" s="288"/>
      <c r="J483" s="286"/>
      <c r="K483" s="288"/>
      <c r="L483" s="286"/>
      <c r="M483" s="288"/>
      <c r="N483" s="286"/>
      <c r="O483" s="288"/>
      <c r="P483" s="286"/>
      <c r="Q483" s="288"/>
      <c r="R483" s="286"/>
      <c r="S483" s="288"/>
      <c r="T483" s="286"/>
      <c r="U483" s="288"/>
      <c r="V483" s="286"/>
      <c r="W483" s="288"/>
      <c r="X483" s="286"/>
      <c r="Y483" s="288"/>
      <c r="Z483" s="286"/>
      <c r="AA483" s="288"/>
      <c r="AB483" s="286"/>
      <c r="AC483" s="288"/>
      <c r="AD483" s="286"/>
      <c r="AE483" s="288"/>
      <c r="AF483" s="286"/>
      <c r="AG483" s="288"/>
      <c r="AH483" s="286"/>
      <c r="AI483" s="288"/>
      <c r="AJ483" s="286"/>
      <c r="AK483" s="286"/>
      <c r="AL483" s="286"/>
      <c r="AM483" s="286"/>
      <c r="AN483" s="286"/>
      <c r="AO483" s="286"/>
      <c r="AP483" s="286"/>
      <c r="AQ483" s="286"/>
      <c r="AR483" s="286"/>
      <c r="AS483" s="286"/>
      <c r="AT483" s="286"/>
      <c r="AU483" s="286"/>
      <c r="AV483" s="284"/>
      <c r="AW483" s="284"/>
      <c r="AX483" s="284"/>
      <c r="AY483" s="284"/>
      <c r="AZ483" s="284"/>
      <c r="BA483" s="284"/>
      <c r="BB483" s="284"/>
      <c r="BC483" s="284"/>
      <c r="BD483" s="284"/>
      <c r="BE483" s="284"/>
      <c r="BF483" s="284"/>
      <c r="BG483" s="284"/>
      <c r="BH483" s="284"/>
      <c r="BI483" s="284"/>
      <c r="BJ483" s="284"/>
      <c r="BK483" s="284"/>
      <c r="BL483" s="284"/>
      <c r="BM483" s="284"/>
      <c r="BN483" s="284"/>
      <c r="BO483" s="284"/>
      <c r="BP483" s="284"/>
      <c r="BQ483" s="284"/>
      <c r="BR483" s="284"/>
      <c r="BS483" s="284"/>
      <c r="BT483" s="284"/>
      <c r="BU483" s="284"/>
      <c r="BV483" s="284"/>
      <c r="BW483" s="284"/>
      <c r="BX483" s="284"/>
      <c r="BY483" s="284"/>
      <c r="BZ483" s="285"/>
      <c r="CA483" s="298">
        <f>SUM(C483,E483,G483,I483,K483,M483,O483,Q483,S483,U483,W483,Y483,AA483,AC483,AE483,AG483,AI483,AK483,AM483,AO483,AQ483,AS483,AU483,AW483,AY483,BA483,BC483,BE483,BG483,BI483,BK483,BM483,BO483,BQ483,BS483,BU483,BW483,BY483)</f>
        <v>0</v>
      </c>
      <c r="CB483" s="298">
        <f>SUM(D483,F483,H483,J483,L483,N483,P483,R483,T483,V483,X483,Z483,AB483,AD483,AF483,AH483,AJ483,AL483,AN483,AP483,AR483,AT483,AV483,AX483,AZ483,BB483,BD483,BF483,BH483,BJ483,BL483,BN483,BP483,BR483,BT483,BV483,BX483,BZ483)</f>
        <v>0</v>
      </c>
      <c r="CC483" s="299">
        <f>SUM(Table13[[#This Row],[GOALS 1]:[ASSISTS 38]])</f>
        <v>0</v>
      </c>
    </row>
    <row r="484" spans="1:81">
      <c r="A484" s="291" t="s">
        <v>1814</v>
      </c>
      <c r="B484" s="291" t="s">
        <v>26</v>
      </c>
      <c r="C484" s="286"/>
      <c r="D484" s="286"/>
      <c r="E484" s="288"/>
      <c r="F484" s="286"/>
      <c r="G484" s="288"/>
      <c r="H484" s="286"/>
      <c r="I484" s="288"/>
      <c r="J484" s="286"/>
      <c r="K484" s="288"/>
      <c r="L484" s="286"/>
      <c r="M484" s="288"/>
      <c r="N484" s="286"/>
      <c r="O484" s="288"/>
      <c r="P484" s="286"/>
      <c r="Q484" s="288"/>
      <c r="R484" s="286"/>
      <c r="S484" s="288"/>
      <c r="T484" s="286"/>
      <c r="U484" s="288"/>
      <c r="V484" s="286"/>
      <c r="W484" s="288"/>
      <c r="X484" s="286"/>
      <c r="Y484" s="288"/>
      <c r="Z484" s="286"/>
      <c r="AA484" s="288"/>
      <c r="AB484" s="286"/>
      <c r="AC484" s="288"/>
      <c r="AD484" s="286"/>
      <c r="AE484" s="288"/>
      <c r="AF484" s="286"/>
      <c r="AG484" s="288"/>
      <c r="AH484" s="286"/>
      <c r="AI484" s="288"/>
      <c r="AJ484" s="286"/>
      <c r="AK484" s="286"/>
      <c r="AL484" s="286"/>
      <c r="AM484" s="286"/>
      <c r="AN484" s="286"/>
      <c r="AO484" s="286"/>
      <c r="AP484" s="286"/>
      <c r="AQ484" s="286"/>
      <c r="AR484" s="286"/>
      <c r="AS484" s="286"/>
      <c r="AT484" s="286"/>
      <c r="AU484" s="286"/>
      <c r="AV484" s="284"/>
      <c r="AW484" s="284"/>
      <c r="AX484" s="284"/>
      <c r="AY484" s="284"/>
      <c r="AZ484" s="284"/>
      <c r="BA484" s="284"/>
      <c r="BB484" s="284"/>
      <c r="BC484" s="284"/>
      <c r="BD484" s="284"/>
      <c r="BE484" s="284"/>
      <c r="BF484" s="284"/>
      <c r="BG484" s="284"/>
      <c r="BH484" s="284"/>
      <c r="BI484" s="284"/>
      <c r="BJ484" s="284"/>
      <c r="BK484" s="284"/>
      <c r="BL484" s="284"/>
      <c r="BM484" s="284"/>
      <c r="BN484" s="284"/>
      <c r="BO484" s="284"/>
      <c r="BP484" s="284"/>
      <c r="BQ484" s="284"/>
      <c r="BR484" s="284"/>
      <c r="BS484" s="284"/>
      <c r="BT484" s="284"/>
      <c r="BU484" s="284"/>
      <c r="BV484" s="284"/>
      <c r="BW484" s="284"/>
      <c r="BX484" s="284"/>
      <c r="BY484" s="284"/>
      <c r="BZ484" s="285"/>
      <c r="CA484" s="298">
        <f>SUM(C484,E484,G484,I484,K484,M484,O484,Q484,S484,U484,W484,Y484,AA484,AC484,AE484,AG484,AI484,AK484,AM484,AO484,AQ484,AS484,AU484,AW484,AY484,BA484,BC484,BE484,BG484,BI484,BK484,BM484,BO484,BQ484,BS484,BU484,BW484,BY484)</f>
        <v>0</v>
      </c>
      <c r="CB484" s="298">
        <f>SUM(D484,F484,H484,J484,L484,N484,P484,R484,T484,V484,X484,Z484,AB484,AD484,AF484,AH484,AJ484,AL484,AN484,AP484,AR484,AT484,AV484,AX484,AZ484,BB484,BD484,BF484,BH484,BJ484,BL484,BN484,BP484,BR484,BT484,BV484,BX484,BZ484)</f>
        <v>0</v>
      </c>
      <c r="CC484" s="299">
        <f>SUM(Table13[[#This Row],[GOALS 1]:[ASSISTS 38]])</f>
        <v>0</v>
      </c>
    </row>
    <row r="485" spans="1:81">
      <c r="A485" s="291" t="s">
        <v>1768</v>
      </c>
      <c r="B485" s="291" t="s">
        <v>27</v>
      </c>
      <c r="C485" s="286"/>
      <c r="D485" s="286"/>
      <c r="E485" s="289"/>
      <c r="F485" s="286"/>
      <c r="G485" s="288"/>
      <c r="H485" s="286"/>
      <c r="I485" s="288"/>
      <c r="J485" s="286"/>
      <c r="K485" s="288"/>
      <c r="L485" s="286"/>
      <c r="M485" s="288"/>
      <c r="N485" s="286"/>
      <c r="O485" s="288"/>
      <c r="P485" s="286"/>
      <c r="Q485" s="288"/>
      <c r="R485" s="286"/>
      <c r="S485" s="288"/>
      <c r="T485" s="286"/>
      <c r="U485" s="288"/>
      <c r="V485" s="286"/>
      <c r="W485" s="288"/>
      <c r="X485" s="286"/>
      <c r="Y485" s="288"/>
      <c r="Z485" s="286"/>
      <c r="AA485" s="288"/>
      <c r="AB485" s="286"/>
      <c r="AC485" s="288"/>
      <c r="AD485" s="286"/>
      <c r="AE485" s="288"/>
      <c r="AF485" s="286"/>
      <c r="AG485" s="288"/>
      <c r="AH485" s="286"/>
      <c r="AI485" s="288"/>
      <c r="AJ485" s="286"/>
      <c r="AK485" s="286"/>
      <c r="AL485" s="286"/>
      <c r="AM485" s="286"/>
      <c r="AN485" s="286"/>
      <c r="AO485" s="286"/>
      <c r="AP485" s="286"/>
      <c r="AQ485" s="286"/>
      <c r="AR485" s="286"/>
      <c r="AS485" s="286"/>
      <c r="AT485" s="286"/>
      <c r="AU485" s="286"/>
      <c r="AV485" s="284"/>
      <c r="AW485" s="284"/>
      <c r="AX485" s="284"/>
      <c r="AY485" s="284"/>
      <c r="AZ485" s="284"/>
      <c r="BA485" s="284"/>
      <c r="BB485" s="284"/>
      <c r="BC485" s="284"/>
      <c r="BD485" s="284"/>
      <c r="BE485" s="284"/>
      <c r="BF485" s="284"/>
      <c r="BG485" s="284"/>
      <c r="BH485" s="284"/>
      <c r="BI485" s="284"/>
      <c r="BJ485" s="284"/>
      <c r="BK485" s="284"/>
      <c r="BL485" s="284"/>
      <c r="BM485" s="284"/>
      <c r="BN485" s="284"/>
      <c r="BO485" s="284"/>
      <c r="BP485" s="284"/>
      <c r="BQ485" s="284"/>
      <c r="BR485" s="284"/>
      <c r="BS485" s="284"/>
      <c r="BT485" s="284"/>
      <c r="BU485" s="284"/>
      <c r="BV485" s="284"/>
      <c r="BW485" s="284"/>
      <c r="BX485" s="284"/>
      <c r="BY485" s="284"/>
      <c r="BZ485" s="285"/>
      <c r="CA485" s="298">
        <f>SUM(C485,E485,G485,I485,K485,M485,O485,Q485,S485,U485,W485,Y485,AA485,AC485,AE485,AG485,AI485,AK485,AM485,AO485,AQ485,AS485,AU485,AW485,AY485,BA485,BC485,BE485,BG485,BI485,BK485,BM485,BO485,BQ485,BS485,BU485,BW485,BY485)</f>
        <v>0</v>
      </c>
      <c r="CB485" s="298">
        <f>SUM(D485,F485,H485,J485,L485,N485,P485,R485,T485,V485,X485,Z485,AB485,AD485,AF485,AH485,AJ485,AL485,AN485,AP485,AR485,AT485,AV485,AX485,AZ485,BB485,BD485,BF485,BH485,BJ485,BL485,BN485,BP485,BR485,BT485,BV485,BX485,BZ485)</f>
        <v>0</v>
      </c>
      <c r="CC485" s="299">
        <f>SUM(Table13[[#This Row],[GOALS 1]:[ASSISTS 38]])</f>
        <v>0</v>
      </c>
    </row>
    <row r="486" spans="1:81">
      <c r="A486" s="291" t="s">
        <v>1688</v>
      </c>
      <c r="B486" s="291" t="s">
        <v>634</v>
      </c>
      <c r="C486" s="288"/>
      <c r="D486" s="286"/>
      <c r="E486" s="288"/>
      <c r="F486" s="286"/>
      <c r="G486" s="288"/>
      <c r="H486" s="286"/>
      <c r="I486" s="288"/>
      <c r="J486" s="286"/>
      <c r="K486" s="288"/>
      <c r="L486" s="286"/>
      <c r="M486" s="288"/>
      <c r="N486" s="286"/>
      <c r="O486" s="288"/>
      <c r="P486" s="286"/>
      <c r="Q486" s="288"/>
      <c r="R486" s="286"/>
      <c r="S486" s="288"/>
      <c r="T486" s="286"/>
      <c r="U486" s="288"/>
      <c r="V486" s="286"/>
      <c r="W486" s="288"/>
      <c r="X486" s="286"/>
      <c r="Y486" s="288"/>
      <c r="Z486" s="286"/>
      <c r="AA486" s="288"/>
      <c r="AB486" s="286"/>
      <c r="AC486" s="288"/>
      <c r="AD486" s="286"/>
      <c r="AE486" s="288"/>
      <c r="AF486" s="286"/>
      <c r="AG486" s="288"/>
      <c r="AH486" s="286"/>
      <c r="AI486" s="288"/>
      <c r="AJ486" s="286"/>
      <c r="AK486" s="286"/>
      <c r="AL486" s="286"/>
      <c r="AM486" s="286"/>
      <c r="AN486" s="286"/>
      <c r="AO486" s="286"/>
      <c r="AP486" s="286"/>
      <c r="AQ486" s="286"/>
      <c r="AR486" s="286"/>
      <c r="AS486" s="286"/>
      <c r="AT486" s="286"/>
      <c r="AU486" s="286"/>
      <c r="AV486" s="284"/>
      <c r="AW486" s="284"/>
      <c r="AX486" s="284"/>
      <c r="AY486" s="284"/>
      <c r="AZ486" s="284"/>
      <c r="BA486" s="284"/>
      <c r="BB486" s="284"/>
      <c r="BC486" s="284"/>
      <c r="BD486" s="284"/>
      <c r="BE486" s="284"/>
      <c r="BF486" s="284"/>
      <c r="BG486" s="284"/>
      <c r="BH486" s="284"/>
      <c r="BI486" s="284"/>
      <c r="BJ486" s="284"/>
      <c r="BK486" s="284"/>
      <c r="BL486" s="284"/>
      <c r="BM486" s="284"/>
      <c r="BN486" s="284"/>
      <c r="BO486" s="284"/>
      <c r="BP486" s="284"/>
      <c r="BQ486" s="284"/>
      <c r="BR486" s="284"/>
      <c r="BS486" s="284"/>
      <c r="BT486" s="284"/>
      <c r="BU486" s="284"/>
      <c r="BV486" s="284"/>
      <c r="BW486" s="284"/>
      <c r="BX486" s="284"/>
      <c r="BY486" s="284"/>
      <c r="BZ486" s="285"/>
      <c r="CA486" s="298">
        <f>SUM(C486,E486,G486,I486,K486,M486,O486,Q486,S486,U486,W486,Y486,AA486,AC486,AE486,AG486,AI486,AK486,AM486,AO486,AQ486,AS486,AU486,AW486,AY486,BA486,BC486,BE486,BG486,BI486,BK486,BM486,BO486,BQ486,BS486,BU486,BW486,BY486)</f>
        <v>0</v>
      </c>
      <c r="CB486" s="298">
        <f>SUM(D486,F486,H486,J486,L486,N486,P486,R486,T486,V486,X486,Z486,AB486,AD486,AF486,AH486,AJ486,AL486,AN486,AP486,AR486,AT486,AV486,AX486,AZ486,BB486,BD486,BF486,BH486,BJ486,BL486,BN486,BP486,BR486,BT486,BV486,BX486,BZ486)</f>
        <v>0</v>
      </c>
      <c r="CC486" s="299">
        <f>SUM(Table13[[#This Row],[GOALS 1]:[ASSISTS 38]])</f>
        <v>0</v>
      </c>
    </row>
    <row r="487" spans="1:81">
      <c r="A487" s="291" t="s">
        <v>1733</v>
      </c>
      <c r="B487" s="291" t="s">
        <v>22</v>
      </c>
      <c r="C487" s="286"/>
      <c r="D487" s="286"/>
      <c r="E487" s="288"/>
      <c r="F487" s="286"/>
      <c r="G487" s="288"/>
      <c r="H487" s="286"/>
      <c r="I487" s="288"/>
      <c r="J487" s="286"/>
      <c r="K487" s="288"/>
      <c r="L487" s="286"/>
      <c r="M487" s="288"/>
      <c r="N487" s="286"/>
      <c r="O487" s="288"/>
      <c r="P487" s="286"/>
      <c r="Q487" s="288"/>
      <c r="R487" s="286"/>
      <c r="S487" s="288"/>
      <c r="T487" s="286"/>
      <c r="U487" s="288"/>
      <c r="V487" s="286"/>
      <c r="W487" s="288"/>
      <c r="X487" s="286"/>
      <c r="Y487" s="288"/>
      <c r="Z487" s="286"/>
      <c r="AA487" s="288"/>
      <c r="AB487" s="286"/>
      <c r="AC487" s="288"/>
      <c r="AD487" s="286"/>
      <c r="AE487" s="288"/>
      <c r="AF487" s="286"/>
      <c r="AG487" s="288"/>
      <c r="AH487" s="286"/>
      <c r="AI487" s="288"/>
      <c r="AJ487" s="286"/>
      <c r="AK487" s="286"/>
      <c r="AL487" s="286"/>
      <c r="AM487" s="286"/>
      <c r="AN487" s="286"/>
      <c r="AO487" s="286"/>
      <c r="AP487" s="286"/>
      <c r="AQ487" s="286"/>
      <c r="AR487" s="286"/>
      <c r="AS487" s="286"/>
      <c r="AT487" s="286"/>
      <c r="AU487" s="286"/>
      <c r="AV487" s="284"/>
      <c r="AW487" s="284"/>
      <c r="AX487" s="284"/>
      <c r="AY487" s="284"/>
      <c r="AZ487" s="284"/>
      <c r="BA487" s="284"/>
      <c r="BB487" s="284"/>
      <c r="BC487" s="284"/>
      <c r="BD487" s="284"/>
      <c r="BE487" s="284"/>
      <c r="BF487" s="284"/>
      <c r="BG487" s="284"/>
      <c r="BH487" s="284"/>
      <c r="BI487" s="284"/>
      <c r="BJ487" s="284"/>
      <c r="BK487" s="284"/>
      <c r="BL487" s="284"/>
      <c r="BM487" s="284"/>
      <c r="BN487" s="284"/>
      <c r="BO487" s="284"/>
      <c r="BP487" s="284"/>
      <c r="BQ487" s="284"/>
      <c r="BR487" s="284"/>
      <c r="BS487" s="284"/>
      <c r="BT487" s="284"/>
      <c r="BU487" s="284"/>
      <c r="BV487" s="284"/>
      <c r="BW487" s="284"/>
      <c r="BX487" s="284"/>
      <c r="BY487" s="284"/>
      <c r="BZ487" s="285"/>
      <c r="CA487" s="298">
        <f>SUM(C487,E487,G487,I487,K487,M487,O487,Q487,S487,U487,W487,Y487,AA487,AC487,AE487,AG487,AI487,AK487,AM487,AO487,AQ487,AS487,AU487,AW487,AY487,BA487,BC487,BE487,BG487,BI487,BK487,BM487,BO487,BQ487,BS487,BU487,BW487,BY487)</f>
        <v>0</v>
      </c>
      <c r="CB487" s="298">
        <f>SUM(D487,F487,H487,J487,L487,N487,P487,R487,T487,V487,X487,Z487,AB487,AD487,AF487,AH487,AJ487,AL487,AN487,AP487,AR487,AT487,AV487,AX487,AZ487,BB487,BD487,BF487,BH487,BJ487,BL487,BN487,BP487,BR487,BT487,BV487,BX487,BZ487)</f>
        <v>0</v>
      </c>
      <c r="CC487" s="299">
        <f>SUM(Table13[[#This Row],[GOALS 1]:[ASSISTS 38]])</f>
        <v>0</v>
      </c>
    </row>
    <row r="488" spans="1:81">
      <c r="A488" s="291" t="s">
        <v>1480</v>
      </c>
      <c r="B488" s="291" t="s">
        <v>52</v>
      </c>
      <c r="C488" s="289"/>
      <c r="D488" s="286"/>
      <c r="E488" s="288"/>
      <c r="F488" s="286"/>
      <c r="G488" s="288"/>
      <c r="H488" s="286"/>
      <c r="I488" s="288"/>
      <c r="J488" s="286"/>
      <c r="K488" s="288"/>
      <c r="L488" s="286"/>
      <c r="M488" s="288"/>
      <c r="N488" s="286"/>
      <c r="O488" s="288"/>
      <c r="P488" s="286"/>
      <c r="Q488" s="288"/>
      <c r="R488" s="286"/>
      <c r="S488" s="288"/>
      <c r="T488" s="286"/>
      <c r="U488" s="288"/>
      <c r="V488" s="286"/>
      <c r="W488" s="288"/>
      <c r="X488" s="286"/>
      <c r="Y488" s="288"/>
      <c r="Z488" s="286"/>
      <c r="AA488" s="288"/>
      <c r="AB488" s="286"/>
      <c r="AC488" s="288"/>
      <c r="AD488" s="286"/>
      <c r="AE488" s="288"/>
      <c r="AF488" s="286"/>
      <c r="AG488" s="288"/>
      <c r="AH488" s="286"/>
      <c r="AI488" s="288"/>
      <c r="AJ488" s="286"/>
      <c r="AK488" s="286"/>
      <c r="AL488" s="286"/>
      <c r="AM488" s="286"/>
      <c r="AN488" s="286"/>
      <c r="AO488" s="286"/>
      <c r="AP488" s="286"/>
      <c r="AQ488" s="286"/>
      <c r="AR488" s="286"/>
      <c r="AS488" s="286"/>
      <c r="AT488" s="286"/>
      <c r="AU488" s="286"/>
      <c r="AV488" s="284"/>
      <c r="AW488" s="284"/>
      <c r="AX488" s="284"/>
      <c r="AY488" s="284"/>
      <c r="AZ488" s="284"/>
      <c r="BA488" s="284"/>
      <c r="BB488" s="284"/>
      <c r="BC488" s="284"/>
      <c r="BD488" s="284"/>
      <c r="BE488" s="284"/>
      <c r="BF488" s="284"/>
      <c r="BG488" s="284"/>
      <c r="BH488" s="284"/>
      <c r="BI488" s="284"/>
      <c r="BJ488" s="284"/>
      <c r="BK488" s="284"/>
      <c r="BL488" s="284"/>
      <c r="BM488" s="284"/>
      <c r="BN488" s="284"/>
      <c r="BO488" s="284"/>
      <c r="BP488" s="284"/>
      <c r="BQ488" s="284"/>
      <c r="BR488" s="284"/>
      <c r="BS488" s="284"/>
      <c r="BT488" s="284"/>
      <c r="BU488" s="284"/>
      <c r="BV488" s="284"/>
      <c r="BW488" s="284"/>
      <c r="BX488" s="284"/>
      <c r="BY488" s="284"/>
      <c r="BZ488" s="285"/>
      <c r="CA488" s="298">
        <f>SUM(C488,E488,G488,I488,K488,M488,O488,Q488,S488,U488,W488,Y488,AA488,AC488,AE488,AG488,AI488,AK488,AM488,AO488,AQ488,AS488,AU488,AW488,AY488,BA488,BC488,BE488,BG488,BI488,BK488,BM488,BO488,BQ488,BS488,BU488,BW488,BY488)</f>
        <v>0</v>
      </c>
      <c r="CB488" s="298">
        <f>SUM(D488,F488,H488,J488,L488,N488,P488,R488,T488,V488,X488,Z488,AB488,AD488,AF488,AH488,AJ488,AL488,AN488,AP488,AR488,AT488,AV488,AX488,AZ488,BB488,BD488,BF488,BH488,BJ488,BL488,BN488,BP488,BR488,BT488,BV488,BX488,BZ488)</f>
        <v>0</v>
      </c>
      <c r="CC488" s="299">
        <f>SUM(Table13[[#This Row],[GOALS 1]:[ASSISTS 38]])</f>
        <v>0</v>
      </c>
    </row>
    <row r="489" spans="1:81">
      <c r="A489" s="291" t="s">
        <v>1759</v>
      </c>
      <c r="B489" s="291" t="s">
        <v>634</v>
      </c>
      <c r="C489" s="288"/>
      <c r="D489" s="286"/>
      <c r="E489" s="288"/>
      <c r="F489" s="286"/>
      <c r="G489" s="288"/>
      <c r="H489" s="286"/>
      <c r="I489" s="288"/>
      <c r="J489" s="286"/>
      <c r="K489" s="288"/>
      <c r="L489" s="286"/>
      <c r="M489" s="288"/>
      <c r="N489" s="286"/>
      <c r="O489" s="288"/>
      <c r="P489" s="286"/>
      <c r="Q489" s="288"/>
      <c r="R489" s="286"/>
      <c r="S489" s="288"/>
      <c r="T489" s="286"/>
      <c r="U489" s="288"/>
      <c r="V489" s="286"/>
      <c r="W489" s="288"/>
      <c r="X489" s="286"/>
      <c r="Y489" s="288"/>
      <c r="Z489" s="286"/>
      <c r="AA489" s="288"/>
      <c r="AB489" s="286"/>
      <c r="AC489" s="288"/>
      <c r="AD489" s="286"/>
      <c r="AE489" s="288"/>
      <c r="AF489" s="286"/>
      <c r="AG489" s="288"/>
      <c r="AH489" s="286"/>
      <c r="AI489" s="288"/>
      <c r="AJ489" s="286"/>
      <c r="AK489" s="286"/>
      <c r="AL489" s="286"/>
      <c r="AM489" s="286"/>
      <c r="AN489" s="286"/>
      <c r="AO489" s="286"/>
      <c r="AP489" s="286"/>
      <c r="AQ489" s="286"/>
      <c r="AR489" s="286"/>
      <c r="AS489" s="286"/>
      <c r="AT489" s="286"/>
      <c r="AU489" s="286"/>
      <c r="AV489" s="284"/>
      <c r="AW489" s="284"/>
      <c r="AX489" s="284"/>
      <c r="AY489" s="284"/>
      <c r="AZ489" s="284"/>
      <c r="BA489" s="284"/>
      <c r="BB489" s="284"/>
      <c r="BC489" s="284"/>
      <c r="BD489" s="284"/>
      <c r="BE489" s="284"/>
      <c r="BF489" s="284"/>
      <c r="BG489" s="284"/>
      <c r="BH489" s="284"/>
      <c r="BI489" s="284"/>
      <c r="BJ489" s="284"/>
      <c r="BK489" s="284"/>
      <c r="BL489" s="284"/>
      <c r="BM489" s="284"/>
      <c r="BN489" s="284"/>
      <c r="BO489" s="284"/>
      <c r="BP489" s="284"/>
      <c r="BQ489" s="284"/>
      <c r="BR489" s="284"/>
      <c r="BS489" s="284"/>
      <c r="BT489" s="284"/>
      <c r="BU489" s="284"/>
      <c r="BV489" s="284"/>
      <c r="BW489" s="284"/>
      <c r="BX489" s="284"/>
      <c r="BY489" s="284"/>
      <c r="BZ489" s="285"/>
      <c r="CA489" s="298">
        <f>SUM(C489,E489,G489,I489,K489,M489,O489,Q489,S489,U489,W489,Y489,AA489,AC489,AE489,AG489,AI489,AK489,AM489,AO489,AQ489,AS489,AU489,AW489,AY489,BA489,BC489,BE489,BG489,BI489,BK489,BM489,BO489,BQ489,BS489,BU489,BW489,BY489)</f>
        <v>0</v>
      </c>
      <c r="CB489" s="298">
        <f>SUM(D489,F489,H489,J489,L489,N489,P489,R489,T489,V489,X489,Z489,AB489,AD489,AF489,AH489,AJ489,AL489,AN489,AP489,AR489,AT489,AV489,AX489,AZ489,BB489,BD489,BF489,BH489,BJ489,BL489,BN489,BP489,BR489,BT489,BV489,BX489,BZ489)</f>
        <v>0</v>
      </c>
      <c r="CC489" s="299">
        <f>SUM(Table13[[#This Row],[GOALS 1]:[ASSISTS 38]])</f>
        <v>0</v>
      </c>
    </row>
    <row r="490" spans="1:81">
      <c r="A490" s="291" t="s">
        <v>1466</v>
      </c>
      <c r="B490" s="291" t="s">
        <v>51</v>
      </c>
      <c r="C490" s="286"/>
      <c r="D490" s="286"/>
      <c r="E490" s="288"/>
      <c r="F490" s="286"/>
      <c r="G490" s="288"/>
      <c r="H490" s="286"/>
      <c r="I490" s="288"/>
      <c r="J490" s="286"/>
      <c r="K490" s="288"/>
      <c r="L490" s="286"/>
      <c r="M490" s="288"/>
      <c r="N490" s="286"/>
      <c r="O490" s="288"/>
      <c r="P490" s="286"/>
      <c r="Q490" s="288"/>
      <c r="R490" s="286"/>
      <c r="S490" s="288"/>
      <c r="T490" s="286"/>
      <c r="U490" s="288"/>
      <c r="V490" s="286"/>
      <c r="W490" s="288"/>
      <c r="X490" s="286"/>
      <c r="Y490" s="288"/>
      <c r="Z490" s="286"/>
      <c r="AA490" s="288"/>
      <c r="AB490" s="286"/>
      <c r="AC490" s="288"/>
      <c r="AD490" s="286"/>
      <c r="AE490" s="288"/>
      <c r="AF490" s="286"/>
      <c r="AG490" s="288"/>
      <c r="AH490" s="286"/>
      <c r="AI490" s="288"/>
      <c r="AJ490" s="286"/>
      <c r="AK490" s="286"/>
      <c r="AL490" s="286"/>
      <c r="AM490" s="286"/>
      <c r="AN490" s="286"/>
      <c r="AO490" s="286"/>
      <c r="AP490" s="286"/>
      <c r="AQ490" s="286"/>
      <c r="AR490" s="286"/>
      <c r="AS490" s="286"/>
      <c r="AT490" s="286"/>
      <c r="AU490" s="286"/>
      <c r="AV490" s="284"/>
      <c r="AW490" s="284"/>
      <c r="AX490" s="284"/>
      <c r="AY490" s="284"/>
      <c r="AZ490" s="284"/>
      <c r="BA490" s="284"/>
      <c r="BB490" s="284"/>
      <c r="BC490" s="284"/>
      <c r="BD490" s="284"/>
      <c r="BE490" s="284"/>
      <c r="BF490" s="284"/>
      <c r="BG490" s="284"/>
      <c r="BH490" s="284"/>
      <c r="BI490" s="284"/>
      <c r="BJ490" s="284"/>
      <c r="BK490" s="284"/>
      <c r="BL490" s="284"/>
      <c r="BM490" s="284"/>
      <c r="BN490" s="284"/>
      <c r="BO490" s="284"/>
      <c r="BP490" s="284"/>
      <c r="BQ490" s="284"/>
      <c r="BR490" s="284"/>
      <c r="BS490" s="284"/>
      <c r="BT490" s="284"/>
      <c r="BU490" s="284"/>
      <c r="BV490" s="284"/>
      <c r="BW490" s="284"/>
      <c r="BX490" s="284"/>
      <c r="BY490" s="284"/>
      <c r="BZ490" s="285"/>
      <c r="CA490" s="298">
        <f>SUM(C490,E490,G490,I490,K490,M490,O490,Q490,S490,U490,W490,Y490,AA490,AC490,AE490,AG490,AI490,AK490,AM490,AO490,AQ490,AS490,AU490,AW490,AY490,BA490,BC490,BE490,BG490,BI490,BK490,BM490,BO490,BQ490,BS490,BU490,BW490,BY490)</f>
        <v>0</v>
      </c>
      <c r="CB490" s="298">
        <f>SUM(D490,F490,H490,J490,L490,N490,P490,R490,T490,V490,X490,Z490,AB490,AD490,AF490,AH490,AJ490,AL490,AN490,AP490,AR490,AT490,AV490,AX490,AZ490,BB490,BD490,BF490,BH490,BJ490,BL490,BN490,BP490,BR490,BT490,BV490,BX490,BZ490)</f>
        <v>0</v>
      </c>
      <c r="CC490" s="299">
        <f>SUM(Table13[[#This Row],[GOALS 1]:[ASSISTS 38]])</f>
        <v>0</v>
      </c>
    </row>
    <row r="491" spans="1:81">
      <c r="A491" s="291" t="s">
        <v>1845</v>
      </c>
      <c r="B491" s="291" t="s">
        <v>634</v>
      </c>
      <c r="C491" s="288"/>
      <c r="D491" s="286"/>
      <c r="E491" s="288"/>
      <c r="F491" s="286"/>
      <c r="G491" s="288"/>
      <c r="H491" s="286"/>
      <c r="I491" s="288"/>
      <c r="J491" s="286"/>
      <c r="K491" s="288"/>
      <c r="L491" s="286"/>
      <c r="M491" s="288"/>
      <c r="N491" s="286"/>
      <c r="O491" s="288"/>
      <c r="P491" s="286"/>
      <c r="Q491" s="288"/>
      <c r="R491" s="286"/>
      <c r="S491" s="288"/>
      <c r="T491" s="286"/>
      <c r="U491" s="288"/>
      <c r="V491" s="286"/>
      <c r="W491" s="288"/>
      <c r="X491" s="286"/>
      <c r="Y491" s="288"/>
      <c r="Z491" s="286"/>
      <c r="AA491" s="288"/>
      <c r="AB491" s="286"/>
      <c r="AC491" s="288"/>
      <c r="AD491" s="286"/>
      <c r="AE491" s="288"/>
      <c r="AF491" s="286"/>
      <c r="AG491" s="288"/>
      <c r="AH491" s="286"/>
      <c r="AI491" s="288"/>
      <c r="AJ491" s="286"/>
      <c r="AK491" s="286"/>
      <c r="AL491" s="286"/>
      <c r="AM491" s="286"/>
      <c r="AN491" s="286"/>
      <c r="AO491" s="286"/>
      <c r="AP491" s="286"/>
      <c r="AQ491" s="286"/>
      <c r="AR491" s="286"/>
      <c r="AS491" s="286"/>
      <c r="AT491" s="286"/>
      <c r="AU491" s="286"/>
      <c r="AV491" s="284"/>
      <c r="AW491" s="284"/>
      <c r="AX491" s="284"/>
      <c r="AY491" s="284"/>
      <c r="AZ491" s="284"/>
      <c r="BA491" s="284"/>
      <c r="BB491" s="284"/>
      <c r="BC491" s="284"/>
      <c r="BD491" s="284"/>
      <c r="BE491" s="284"/>
      <c r="BF491" s="284"/>
      <c r="BG491" s="284"/>
      <c r="BH491" s="284"/>
      <c r="BI491" s="284"/>
      <c r="BJ491" s="284"/>
      <c r="BK491" s="284"/>
      <c r="BL491" s="284"/>
      <c r="BM491" s="284"/>
      <c r="BN491" s="284"/>
      <c r="BO491" s="284"/>
      <c r="BP491" s="284"/>
      <c r="BQ491" s="284"/>
      <c r="BR491" s="284"/>
      <c r="BS491" s="284"/>
      <c r="BT491" s="284"/>
      <c r="BU491" s="284"/>
      <c r="BV491" s="284"/>
      <c r="BW491" s="284"/>
      <c r="BX491" s="284"/>
      <c r="BY491" s="284"/>
      <c r="BZ491" s="285"/>
      <c r="CA491" s="298">
        <f>SUM(C491,E491,G491,I491,K491,M491,O491,Q491,S491,U491,W491,Y491,AA491,AC491,AE491,AG491,AI491,AK491,AM491,AO491,AQ491,AS491,AU491,AW491,AY491,BA491,BC491,BE491,BG491,BI491,BK491,BM491,BO491,BQ491,BS491,BU491,BW491,BY491)</f>
        <v>0</v>
      </c>
      <c r="CB491" s="298">
        <f>SUM(D491,F491,H491,J491,L491,N491,P491,R491,T491,V491,X491,Z491,AB491,AD491,AF491,AH491,AJ491,AL491,AN491,AP491,AR491,AT491,AV491,AX491,AZ491,BB491,BD491,BF491,BH491,BJ491,BL491,BN491,BP491,BR491,BT491,BV491,BX491,BZ491)</f>
        <v>0</v>
      </c>
      <c r="CC491" s="299">
        <f>SUM(Table13[[#This Row],[GOALS 1]:[ASSISTS 38]])</f>
        <v>0</v>
      </c>
    </row>
    <row r="492" spans="1:81">
      <c r="A492" s="291" t="s">
        <v>1354</v>
      </c>
      <c r="B492" s="291" t="s">
        <v>27</v>
      </c>
      <c r="C492" s="286"/>
      <c r="D492" s="286"/>
      <c r="E492" s="289"/>
      <c r="F492" s="286"/>
      <c r="G492" s="288"/>
      <c r="H492" s="286"/>
      <c r="I492" s="288"/>
      <c r="J492" s="286"/>
      <c r="K492" s="288"/>
      <c r="L492" s="286"/>
      <c r="M492" s="288"/>
      <c r="N492" s="286"/>
      <c r="O492" s="288"/>
      <c r="P492" s="286"/>
      <c r="Q492" s="288"/>
      <c r="R492" s="286"/>
      <c r="S492" s="288"/>
      <c r="T492" s="286"/>
      <c r="U492" s="288"/>
      <c r="V492" s="286"/>
      <c r="W492" s="288"/>
      <c r="X492" s="286"/>
      <c r="Y492" s="288"/>
      <c r="Z492" s="286"/>
      <c r="AA492" s="288"/>
      <c r="AB492" s="286"/>
      <c r="AC492" s="288"/>
      <c r="AD492" s="286"/>
      <c r="AE492" s="288"/>
      <c r="AF492" s="286"/>
      <c r="AG492" s="288"/>
      <c r="AH492" s="286"/>
      <c r="AI492" s="288"/>
      <c r="AJ492" s="286"/>
      <c r="AK492" s="286"/>
      <c r="AL492" s="286"/>
      <c r="AM492" s="286"/>
      <c r="AN492" s="286"/>
      <c r="AO492" s="286"/>
      <c r="AP492" s="286"/>
      <c r="AQ492" s="286"/>
      <c r="AR492" s="286"/>
      <c r="AS492" s="286"/>
      <c r="AT492" s="286"/>
      <c r="AU492" s="286"/>
      <c r="AV492" s="284"/>
      <c r="AW492" s="284"/>
      <c r="AX492" s="284"/>
      <c r="AY492" s="284"/>
      <c r="AZ492" s="284"/>
      <c r="BA492" s="284"/>
      <c r="BB492" s="284"/>
      <c r="BC492" s="284"/>
      <c r="BD492" s="284"/>
      <c r="BE492" s="284"/>
      <c r="BF492" s="284"/>
      <c r="BG492" s="284"/>
      <c r="BH492" s="284"/>
      <c r="BI492" s="284"/>
      <c r="BJ492" s="284"/>
      <c r="BK492" s="284"/>
      <c r="BL492" s="284"/>
      <c r="BM492" s="284"/>
      <c r="BN492" s="284"/>
      <c r="BO492" s="284"/>
      <c r="BP492" s="284"/>
      <c r="BQ492" s="284"/>
      <c r="BR492" s="284"/>
      <c r="BS492" s="284"/>
      <c r="BT492" s="284"/>
      <c r="BU492" s="284"/>
      <c r="BV492" s="284"/>
      <c r="BW492" s="284"/>
      <c r="BX492" s="284"/>
      <c r="BY492" s="284"/>
      <c r="BZ492" s="285"/>
      <c r="CA492" s="298">
        <f>SUM(C492,E492,G492,I492,K492,M492,O492,Q492,S492,U492,W492,Y492,AA492,AC492,AE492,AG492,AI492,AK492,AM492,AO492,AQ492,AS492,AU492,AW492,AY492,BA492,BC492,BE492,BG492,BI492,BK492,BM492,BO492,BQ492,BS492,BU492,BW492,BY492)</f>
        <v>0</v>
      </c>
      <c r="CB492" s="298">
        <f>SUM(D492,F492,H492,J492,L492,N492,P492,R492,T492,V492,X492,Z492,AB492,AD492,AF492,AH492,AJ492,AL492,AN492,AP492,AR492,AT492,AV492,AX492,AZ492,BB492,BD492,BF492,BH492,BJ492,BL492,BN492,BP492,BR492,BT492,BV492,BX492,BZ492)</f>
        <v>0</v>
      </c>
      <c r="CC492" s="299">
        <f>SUM(Table13[[#This Row],[GOALS 1]:[ASSISTS 38]])</f>
        <v>0</v>
      </c>
    </row>
    <row r="493" spans="1:81">
      <c r="A493" s="291" t="s">
        <v>1378</v>
      </c>
      <c r="B493" s="291" t="s">
        <v>29</v>
      </c>
      <c r="C493" s="289"/>
      <c r="D493" s="286"/>
      <c r="E493" s="288"/>
      <c r="F493" s="286"/>
      <c r="G493" s="288"/>
      <c r="H493" s="286"/>
      <c r="I493" s="288"/>
      <c r="J493" s="286"/>
      <c r="K493" s="288"/>
      <c r="L493" s="286"/>
      <c r="M493" s="288"/>
      <c r="N493" s="286"/>
      <c r="O493" s="288"/>
      <c r="P493" s="286"/>
      <c r="Q493" s="288"/>
      <c r="R493" s="286"/>
      <c r="S493" s="288"/>
      <c r="T493" s="286"/>
      <c r="U493" s="288"/>
      <c r="V493" s="286"/>
      <c r="W493" s="288"/>
      <c r="X493" s="286"/>
      <c r="Y493" s="288"/>
      <c r="Z493" s="286"/>
      <c r="AA493" s="288"/>
      <c r="AB493" s="286"/>
      <c r="AC493" s="288"/>
      <c r="AD493" s="286"/>
      <c r="AE493" s="288"/>
      <c r="AF493" s="286"/>
      <c r="AG493" s="288"/>
      <c r="AH493" s="286"/>
      <c r="AI493" s="288"/>
      <c r="AJ493" s="286"/>
      <c r="AK493" s="286"/>
      <c r="AL493" s="286"/>
      <c r="AM493" s="286"/>
      <c r="AN493" s="286"/>
      <c r="AO493" s="286"/>
      <c r="AP493" s="286"/>
      <c r="AQ493" s="286"/>
      <c r="AR493" s="286"/>
      <c r="AS493" s="286"/>
      <c r="AT493" s="286"/>
      <c r="AU493" s="286"/>
      <c r="AV493" s="284"/>
      <c r="AW493" s="284"/>
      <c r="AX493" s="284"/>
      <c r="AY493" s="284"/>
      <c r="AZ493" s="284"/>
      <c r="BA493" s="284"/>
      <c r="BB493" s="284"/>
      <c r="BC493" s="284"/>
      <c r="BD493" s="284"/>
      <c r="BE493" s="284"/>
      <c r="BF493" s="284"/>
      <c r="BG493" s="284"/>
      <c r="BH493" s="284"/>
      <c r="BI493" s="284"/>
      <c r="BJ493" s="284"/>
      <c r="BK493" s="284"/>
      <c r="BL493" s="284"/>
      <c r="BM493" s="284"/>
      <c r="BN493" s="284"/>
      <c r="BO493" s="284"/>
      <c r="BP493" s="284"/>
      <c r="BQ493" s="284"/>
      <c r="BR493" s="284"/>
      <c r="BS493" s="284"/>
      <c r="BT493" s="284"/>
      <c r="BU493" s="284"/>
      <c r="BV493" s="284"/>
      <c r="BW493" s="284"/>
      <c r="BX493" s="284"/>
      <c r="BY493" s="284"/>
      <c r="BZ493" s="285"/>
      <c r="CA493" s="298">
        <f>SUM(C493,E493,G493,I493,K493,M493,O493,Q493,S493,U493,W493,Y493,AA493,AC493,AE493,AG493,AI493,AK493,AM493,AO493,AQ493,AS493,AU493,AW493,AY493,BA493,BC493,BE493,BG493,BI493,BK493,BM493,BO493,BQ493,BS493,BU493,BW493,BY493)</f>
        <v>0</v>
      </c>
      <c r="CB493" s="298">
        <f>SUM(D493,F493,H493,J493,L493,N493,P493,R493,T493,V493,X493,Z493,AB493,AD493,AF493,AH493,AJ493,AL493,AN493,AP493,AR493,AT493,AV493,AX493,AZ493,BB493,BD493,BF493,BH493,BJ493,BL493,BN493,BP493,BR493,BT493,BV493,BX493,BZ493)</f>
        <v>0</v>
      </c>
      <c r="CC493" s="299">
        <f>SUM(Table13[[#This Row],[GOALS 1]:[ASSISTS 38]])</f>
        <v>0</v>
      </c>
    </row>
    <row r="494" spans="1:81">
      <c r="A494" s="291" t="s">
        <v>1542</v>
      </c>
      <c r="B494" s="291" t="s">
        <v>29</v>
      </c>
      <c r="C494" s="289"/>
      <c r="D494" s="286"/>
      <c r="E494" s="288"/>
      <c r="F494" s="286"/>
      <c r="G494" s="288"/>
      <c r="H494" s="286"/>
      <c r="I494" s="288"/>
      <c r="J494" s="286"/>
      <c r="K494" s="288"/>
      <c r="L494" s="286"/>
      <c r="M494" s="288"/>
      <c r="N494" s="286"/>
      <c r="O494" s="288"/>
      <c r="P494" s="286"/>
      <c r="Q494" s="288"/>
      <c r="R494" s="286"/>
      <c r="S494" s="288"/>
      <c r="T494" s="286"/>
      <c r="U494" s="288"/>
      <c r="V494" s="286"/>
      <c r="W494" s="288"/>
      <c r="X494" s="286"/>
      <c r="Y494" s="288"/>
      <c r="Z494" s="286"/>
      <c r="AA494" s="288"/>
      <c r="AB494" s="286"/>
      <c r="AC494" s="288"/>
      <c r="AD494" s="286"/>
      <c r="AE494" s="288"/>
      <c r="AF494" s="286"/>
      <c r="AG494" s="288"/>
      <c r="AH494" s="286"/>
      <c r="AI494" s="288"/>
      <c r="AJ494" s="286"/>
      <c r="AK494" s="286"/>
      <c r="AL494" s="286"/>
      <c r="AM494" s="286"/>
      <c r="AN494" s="286"/>
      <c r="AO494" s="286"/>
      <c r="AP494" s="286"/>
      <c r="AQ494" s="286"/>
      <c r="AR494" s="286"/>
      <c r="AS494" s="286"/>
      <c r="AT494" s="286"/>
      <c r="AU494" s="286"/>
      <c r="AV494" s="284"/>
      <c r="AW494" s="284"/>
      <c r="AX494" s="284"/>
      <c r="AY494" s="284"/>
      <c r="AZ494" s="284"/>
      <c r="BA494" s="284"/>
      <c r="BB494" s="284"/>
      <c r="BC494" s="284"/>
      <c r="BD494" s="284"/>
      <c r="BE494" s="284"/>
      <c r="BF494" s="284"/>
      <c r="BG494" s="284"/>
      <c r="BH494" s="284"/>
      <c r="BI494" s="284"/>
      <c r="BJ494" s="284"/>
      <c r="BK494" s="284"/>
      <c r="BL494" s="284"/>
      <c r="BM494" s="284"/>
      <c r="BN494" s="284"/>
      <c r="BO494" s="284"/>
      <c r="BP494" s="284"/>
      <c r="BQ494" s="284"/>
      <c r="BR494" s="284"/>
      <c r="BS494" s="284"/>
      <c r="BT494" s="284"/>
      <c r="BU494" s="284"/>
      <c r="BV494" s="284"/>
      <c r="BW494" s="284"/>
      <c r="BX494" s="284"/>
      <c r="BY494" s="284"/>
      <c r="BZ494" s="285"/>
      <c r="CA494" s="298">
        <f>SUM(C494,E494,G494,I494,K494,M494,O494,Q494,S494,U494,W494,Y494,AA494,AC494,AE494,AG494,AI494,AK494,AM494,AO494,AQ494,AS494,AU494,AW494,AY494,BA494,BC494,BE494,BG494,BI494,BK494,BM494,BO494,BQ494,BS494,BU494,BW494,BY494)</f>
        <v>0</v>
      </c>
      <c r="CB494" s="298">
        <f>SUM(D494,F494,H494,J494,L494,N494,P494,R494,T494,V494,X494,Z494,AB494,AD494,AF494,AH494,AJ494,AL494,AN494,AP494,AR494,AT494,AV494,AX494,AZ494,BB494,BD494,BF494,BH494,BJ494,BL494,BN494,BP494,BR494,BT494,BV494,BX494,BZ494)</f>
        <v>0</v>
      </c>
      <c r="CC494" s="299">
        <f>SUM(Table13[[#This Row],[GOALS 1]:[ASSISTS 38]])</f>
        <v>0</v>
      </c>
    </row>
    <row r="495" spans="1:81">
      <c r="A495" s="291" t="s">
        <v>1608</v>
      </c>
      <c r="B495" s="291" t="s">
        <v>52</v>
      </c>
      <c r="C495" s="289"/>
      <c r="D495" s="286"/>
      <c r="E495" s="288"/>
      <c r="F495" s="286"/>
      <c r="G495" s="288"/>
      <c r="H495" s="286"/>
      <c r="I495" s="288"/>
      <c r="J495" s="286"/>
      <c r="K495" s="288"/>
      <c r="L495" s="286"/>
      <c r="M495" s="288"/>
      <c r="N495" s="286"/>
      <c r="O495" s="288"/>
      <c r="P495" s="286"/>
      <c r="Q495" s="288"/>
      <c r="R495" s="286"/>
      <c r="S495" s="288"/>
      <c r="T495" s="286"/>
      <c r="U495" s="288"/>
      <c r="V495" s="286"/>
      <c r="W495" s="288"/>
      <c r="X495" s="286"/>
      <c r="Y495" s="288"/>
      <c r="Z495" s="286"/>
      <c r="AA495" s="288"/>
      <c r="AB495" s="286"/>
      <c r="AC495" s="288"/>
      <c r="AD495" s="286"/>
      <c r="AE495" s="288"/>
      <c r="AF495" s="286"/>
      <c r="AG495" s="288"/>
      <c r="AH495" s="286"/>
      <c r="AI495" s="288"/>
      <c r="AJ495" s="286"/>
      <c r="AK495" s="286"/>
      <c r="AL495" s="286"/>
      <c r="AM495" s="286"/>
      <c r="AN495" s="286"/>
      <c r="AO495" s="286"/>
      <c r="AP495" s="286"/>
      <c r="AQ495" s="286"/>
      <c r="AR495" s="286"/>
      <c r="AS495" s="286"/>
      <c r="AT495" s="286"/>
      <c r="AU495" s="286"/>
      <c r="AV495" s="284"/>
      <c r="AW495" s="284"/>
      <c r="AX495" s="284"/>
      <c r="AY495" s="284"/>
      <c r="AZ495" s="284"/>
      <c r="BA495" s="284"/>
      <c r="BB495" s="284"/>
      <c r="BC495" s="284"/>
      <c r="BD495" s="284"/>
      <c r="BE495" s="284"/>
      <c r="BF495" s="284"/>
      <c r="BG495" s="284"/>
      <c r="BH495" s="284"/>
      <c r="BI495" s="284"/>
      <c r="BJ495" s="284"/>
      <c r="BK495" s="284"/>
      <c r="BL495" s="284"/>
      <c r="BM495" s="284"/>
      <c r="BN495" s="284"/>
      <c r="BO495" s="284"/>
      <c r="BP495" s="284"/>
      <c r="BQ495" s="284"/>
      <c r="BR495" s="284"/>
      <c r="BS495" s="284"/>
      <c r="BT495" s="284"/>
      <c r="BU495" s="284"/>
      <c r="BV495" s="284"/>
      <c r="BW495" s="284"/>
      <c r="BX495" s="284"/>
      <c r="BY495" s="284"/>
      <c r="BZ495" s="285"/>
      <c r="CA495" s="298">
        <f>SUM(C495,E495,G495,I495,K495,M495,O495,Q495,S495,U495,W495,Y495,AA495,AC495,AE495,AG495,AI495,AK495,AM495,AO495,AQ495,AS495,AU495,AW495,AY495,BA495,BC495,BE495,BG495,BI495,BK495,BM495,BO495,BQ495,BS495,BU495,BW495,BY495)</f>
        <v>0</v>
      </c>
      <c r="CB495" s="298">
        <f>SUM(D495,F495,H495,J495,L495,N495,P495,R495,T495,V495,X495,Z495,AB495,AD495,AF495,AH495,AJ495,AL495,AN495,AP495,AR495,AT495,AV495,AX495,AZ495,BB495,BD495,BF495,BH495,BJ495,BL495,BN495,BP495,BR495,BT495,BV495,BX495,BZ495)</f>
        <v>0</v>
      </c>
      <c r="CC495" s="299">
        <f>SUM(Table13[[#This Row],[GOALS 1]:[ASSISTS 38]])</f>
        <v>0</v>
      </c>
    </row>
    <row r="496" spans="1:81">
      <c r="A496" s="291" t="s">
        <v>1342</v>
      </c>
      <c r="B496" s="291" t="s">
        <v>18</v>
      </c>
      <c r="C496" s="286"/>
      <c r="D496" s="286"/>
      <c r="E496" s="288"/>
      <c r="F496" s="286"/>
      <c r="G496" s="288"/>
      <c r="H496" s="286"/>
      <c r="I496" s="288"/>
      <c r="J496" s="286"/>
      <c r="K496" s="288"/>
      <c r="L496" s="286"/>
      <c r="M496" s="288"/>
      <c r="N496" s="286"/>
      <c r="O496" s="288"/>
      <c r="P496" s="286"/>
      <c r="Q496" s="288"/>
      <c r="R496" s="286"/>
      <c r="S496" s="288"/>
      <c r="T496" s="286"/>
      <c r="U496" s="288"/>
      <c r="V496" s="286"/>
      <c r="W496" s="288"/>
      <c r="X496" s="286"/>
      <c r="Y496" s="288"/>
      <c r="Z496" s="286"/>
      <c r="AA496" s="288"/>
      <c r="AB496" s="286"/>
      <c r="AC496" s="288"/>
      <c r="AD496" s="286"/>
      <c r="AE496" s="288"/>
      <c r="AF496" s="286"/>
      <c r="AG496" s="288"/>
      <c r="AH496" s="286"/>
      <c r="AI496" s="288"/>
      <c r="AJ496" s="286"/>
      <c r="AK496" s="286"/>
      <c r="AL496" s="286"/>
      <c r="AM496" s="286"/>
      <c r="AN496" s="286"/>
      <c r="AO496" s="286"/>
      <c r="AP496" s="286"/>
      <c r="AQ496" s="286"/>
      <c r="AR496" s="286"/>
      <c r="AS496" s="286"/>
      <c r="AT496" s="286"/>
      <c r="AU496" s="286"/>
      <c r="AV496" s="284"/>
      <c r="AW496" s="284"/>
      <c r="AX496" s="284"/>
      <c r="AY496" s="284"/>
      <c r="AZ496" s="284"/>
      <c r="BA496" s="284"/>
      <c r="BB496" s="284"/>
      <c r="BC496" s="284"/>
      <c r="BD496" s="284"/>
      <c r="BE496" s="284"/>
      <c r="BF496" s="284"/>
      <c r="BG496" s="284"/>
      <c r="BH496" s="284"/>
      <c r="BI496" s="284"/>
      <c r="BJ496" s="284"/>
      <c r="BK496" s="284"/>
      <c r="BL496" s="284"/>
      <c r="BM496" s="284"/>
      <c r="BN496" s="284"/>
      <c r="BO496" s="284"/>
      <c r="BP496" s="284"/>
      <c r="BQ496" s="284"/>
      <c r="BR496" s="284"/>
      <c r="BS496" s="284"/>
      <c r="BT496" s="284"/>
      <c r="BU496" s="284"/>
      <c r="BV496" s="284"/>
      <c r="BW496" s="284"/>
      <c r="BX496" s="284"/>
      <c r="BY496" s="284"/>
      <c r="BZ496" s="285"/>
      <c r="CA496" s="298">
        <f>SUM(C496,E496,G496,I496,K496,M496,O496,Q496,S496,U496,W496,Y496,AA496,AC496,AE496,AG496,AI496,AK496,AM496,AO496,AQ496,AS496,AU496,AW496,AY496,BA496,BC496,BE496,BG496,BI496,BK496,BM496,BO496,BQ496,BS496,BU496,BW496,BY496)</f>
        <v>0</v>
      </c>
      <c r="CB496" s="298">
        <f>SUM(D496,F496,H496,J496,L496,N496,P496,R496,T496,V496,X496,Z496,AB496,AD496,AF496,AH496,AJ496,AL496,AN496,AP496,AR496,AT496,AV496,AX496,AZ496,BB496,BD496,BF496,BH496,BJ496,BL496,BN496,BP496,BR496,BT496,BV496,BX496,BZ496)</f>
        <v>0</v>
      </c>
      <c r="CC496" s="299">
        <f>SUM(Table13[[#This Row],[GOALS 1]:[ASSISTS 38]])</f>
        <v>0</v>
      </c>
    </row>
    <row r="497" spans="1:81">
      <c r="A497" s="291" t="s">
        <v>1388</v>
      </c>
      <c r="B497" s="291" t="s">
        <v>52</v>
      </c>
      <c r="C497" s="289"/>
      <c r="D497" s="286"/>
      <c r="E497" s="288"/>
      <c r="F497" s="286"/>
      <c r="G497" s="288"/>
      <c r="H497" s="286"/>
      <c r="I497" s="288"/>
      <c r="J497" s="286"/>
      <c r="K497" s="288"/>
      <c r="L497" s="286"/>
      <c r="M497" s="288"/>
      <c r="N497" s="286"/>
      <c r="O497" s="288"/>
      <c r="P497" s="286"/>
      <c r="Q497" s="288"/>
      <c r="R497" s="286"/>
      <c r="S497" s="288"/>
      <c r="T497" s="286"/>
      <c r="U497" s="288"/>
      <c r="V497" s="286"/>
      <c r="W497" s="288"/>
      <c r="X497" s="286"/>
      <c r="Y497" s="288"/>
      <c r="Z497" s="286"/>
      <c r="AA497" s="288"/>
      <c r="AB497" s="286"/>
      <c r="AC497" s="288"/>
      <c r="AD497" s="286"/>
      <c r="AE497" s="288"/>
      <c r="AF497" s="286"/>
      <c r="AG497" s="288"/>
      <c r="AH497" s="286"/>
      <c r="AI497" s="288"/>
      <c r="AJ497" s="286"/>
      <c r="AK497" s="286"/>
      <c r="AL497" s="286"/>
      <c r="AM497" s="286"/>
      <c r="AN497" s="286"/>
      <c r="AO497" s="286"/>
      <c r="AP497" s="286"/>
      <c r="AQ497" s="286"/>
      <c r="AR497" s="286"/>
      <c r="AS497" s="286"/>
      <c r="AT497" s="286"/>
      <c r="AU497" s="286"/>
      <c r="AV497" s="284"/>
      <c r="AW497" s="284"/>
      <c r="AX497" s="284"/>
      <c r="AY497" s="284"/>
      <c r="AZ497" s="284"/>
      <c r="BA497" s="284"/>
      <c r="BB497" s="284"/>
      <c r="BC497" s="284"/>
      <c r="BD497" s="284"/>
      <c r="BE497" s="284"/>
      <c r="BF497" s="284"/>
      <c r="BG497" s="284"/>
      <c r="BH497" s="284"/>
      <c r="BI497" s="284"/>
      <c r="BJ497" s="284"/>
      <c r="BK497" s="284"/>
      <c r="BL497" s="284"/>
      <c r="BM497" s="284"/>
      <c r="BN497" s="284"/>
      <c r="BO497" s="284"/>
      <c r="BP497" s="284"/>
      <c r="BQ497" s="284"/>
      <c r="BR497" s="284"/>
      <c r="BS497" s="284"/>
      <c r="BT497" s="284"/>
      <c r="BU497" s="284"/>
      <c r="BV497" s="284"/>
      <c r="BW497" s="284"/>
      <c r="BX497" s="284"/>
      <c r="BY497" s="284"/>
      <c r="BZ497" s="285"/>
      <c r="CA497" s="298">
        <f>SUM(C497,E497,G497,I497,K497,M497,O497,Q497,S497,U497,W497,Y497,AA497,AC497,AE497,AG497,AI497,AK497,AM497,AO497,AQ497,AS497,AU497,AW497,AY497,BA497,BC497,BE497,BG497,BI497,BK497,BM497,BO497,BQ497,BS497,BU497,BW497,BY497)</f>
        <v>0</v>
      </c>
      <c r="CB497" s="298">
        <f>SUM(D497,F497,H497,J497,L497,N497,P497,R497,T497,V497,X497,Z497,AB497,AD497,AF497,AH497,AJ497,AL497,AN497,AP497,AR497,AT497,AV497,AX497,AZ497,BB497,BD497,BF497,BH497,BJ497,BL497,BN497,BP497,BR497,BT497,BV497,BX497,BZ497)</f>
        <v>0</v>
      </c>
      <c r="CC497" s="299">
        <f>SUM(Table13[[#This Row],[GOALS 1]:[ASSISTS 38]])</f>
        <v>0</v>
      </c>
    </row>
    <row r="498" spans="1:81">
      <c r="A498" s="291" t="s">
        <v>2006</v>
      </c>
      <c r="B498" s="291" t="s">
        <v>633</v>
      </c>
      <c r="C498" s="289"/>
      <c r="D498" s="286"/>
      <c r="E498" s="288"/>
      <c r="F498" s="286"/>
      <c r="G498" s="288"/>
      <c r="H498" s="286"/>
      <c r="I498" s="288"/>
      <c r="J498" s="286"/>
      <c r="K498" s="288"/>
      <c r="L498" s="286"/>
      <c r="M498" s="288"/>
      <c r="N498" s="286"/>
      <c r="O498" s="288"/>
      <c r="P498" s="286"/>
      <c r="Q498" s="288"/>
      <c r="R498" s="286"/>
      <c r="S498" s="288"/>
      <c r="T498" s="286"/>
      <c r="U498" s="288"/>
      <c r="V498" s="286"/>
      <c r="W498" s="288"/>
      <c r="X498" s="286"/>
      <c r="Y498" s="288"/>
      <c r="Z498" s="286"/>
      <c r="AA498" s="288"/>
      <c r="AB498" s="286"/>
      <c r="AC498" s="288"/>
      <c r="AD498" s="286"/>
      <c r="AE498" s="288"/>
      <c r="AF498" s="286"/>
      <c r="AG498" s="288"/>
      <c r="AH498" s="286"/>
      <c r="AI498" s="288"/>
      <c r="AJ498" s="286"/>
      <c r="AK498" s="286"/>
      <c r="AL498" s="286"/>
      <c r="AM498" s="286"/>
      <c r="AN498" s="286"/>
      <c r="AO498" s="286"/>
      <c r="AP498" s="286"/>
      <c r="AQ498" s="286"/>
      <c r="AR498" s="286"/>
      <c r="AS498" s="286"/>
      <c r="AT498" s="286"/>
      <c r="AU498" s="286"/>
      <c r="AV498" s="284"/>
      <c r="AW498" s="284"/>
      <c r="AX498" s="284"/>
      <c r="AY498" s="284"/>
      <c r="AZ498" s="284"/>
      <c r="BA498" s="284"/>
      <c r="BB498" s="284"/>
      <c r="BC498" s="284"/>
      <c r="BD498" s="284"/>
      <c r="BE498" s="284"/>
      <c r="BF498" s="284"/>
      <c r="BG498" s="284"/>
      <c r="BH498" s="284"/>
      <c r="BI498" s="284"/>
      <c r="BJ498" s="284"/>
      <c r="BK498" s="284"/>
      <c r="BL498" s="284"/>
      <c r="BM498" s="284"/>
      <c r="BN498" s="284"/>
      <c r="BO498" s="284"/>
      <c r="BP498" s="284"/>
      <c r="BQ498" s="284"/>
      <c r="BR498" s="284"/>
      <c r="BS498" s="284"/>
      <c r="BT498" s="284"/>
      <c r="BU498" s="284"/>
      <c r="BV498" s="284"/>
      <c r="BW498" s="284"/>
      <c r="BX498" s="284"/>
      <c r="BY498" s="284"/>
      <c r="BZ498" s="285"/>
      <c r="CA498" s="298">
        <f>SUM(C498,E498,G498,I498,K498,M498,O498,Q498,S498,U498,W498,Y498,AA498,AC498,AE498,AG498,AI498,AK498,AM498,AO498,AQ498,AS498,AU498,AW498,AY498,BA498,BC498,BE498,BG498,BI498,BK498,BM498,BO498,BQ498,BS498,BU498,BW498,BY498)</f>
        <v>0</v>
      </c>
      <c r="CB498" s="298">
        <f>SUM(D498,F498,H498,J498,L498,N498,P498,R498,T498,V498,X498,Z498,AB498,AD498,AF498,AH498,AJ498,AL498,AN498,AP498,AR498,AT498,AV498,AX498,AZ498,BB498,BD498,BF498,BH498,BJ498,BL498,BN498,BP498,BR498,BT498,BV498,BX498,BZ498)</f>
        <v>0</v>
      </c>
      <c r="CC498" s="299">
        <f>SUM(Table13[[#This Row],[GOALS 1]:[ASSISTS 38]])</f>
        <v>0</v>
      </c>
    </row>
    <row r="499" spans="1:81">
      <c r="A499" s="291" t="s">
        <v>1588</v>
      </c>
      <c r="B499" s="291" t="s">
        <v>634</v>
      </c>
      <c r="C499" s="288"/>
      <c r="D499" s="286"/>
      <c r="E499" s="288"/>
      <c r="F499" s="286"/>
      <c r="G499" s="288"/>
      <c r="H499" s="286"/>
      <c r="I499" s="288"/>
      <c r="J499" s="286"/>
      <c r="K499" s="288"/>
      <c r="L499" s="286"/>
      <c r="M499" s="288"/>
      <c r="N499" s="286"/>
      <c r="O499" s="288"/>
      <c r="P499" s="286"/>
      <c r="Q499" s="288"/>
      <c r="R499" s="286"/>
      <c r="S499" s="288"/>
      <c r="T499" s="286"/>
      <c r="U499" s="288"/>
      <c r="V499" s="286"/>
      <c r="W499" s="288"/>
      <c r="X499" s="286"/>
      <c r="Y499" s="288"/>
      <c r="Z499" s="286"/>
      <c r="AA499" s="288"/>
      <c r="AB499" s="286"/>
      <c r="AC499" s="288"/>
      <c r="AD499" s="286"/>
      <c r="AE499" s="288"/>
      <c r="AF499" s="286"/>
      <c r="AG499" s="288"/>
      <c r="AH499" s="286"/>
      <c r="AI499" s="288"/>
      <c r="AJ499" s="286"/>
      <c r="AK499" s="286"/>
      <c r="AL499" s="286"/>
      <c r="AM499" s="286"/>
      <c r="AN499" s="286"/>
      <c r="AO499" s="286"/>
      <c r="AP499" s="286"/>
      <c r="AQ499" s="286"/>
      <c r="AR499" s="286"/>
      <c r="AS499" s="286"/>
      <c r="AT499" s="286"/>
      <c r="AU499" s="286"/>
      <c r="AV499" s="284"/>
      <c r="AW499" s="284"/>
      <c r="AX499" s="284"/>
      <c r="AY499" s="284"/>
      <c r="AZ499" s="284"/>
      <c r="BA499" s="284"/>
      <c r="BB499" s="284"/>
      <c r="BC499" s="284"/>
      <c r="BD499" s="284"/>
      <c r="BE499" s="284"/>
      <c r="BF499" s="284"/>
      <c r="BG499" s="284"/>
      <c r="BH499" s="284"/>
      <c r="BI499" s="284"/>
      <c r="BJ499" s="284"/>
      <c r="BK499" s="284"/>
      <c r="BL499" s="284"/>
      <c r="BM499" s="284"/>
      <c r="BN499" s="284"/>
      <c r="BO499" s="284"/>
      <c r="BP499" s="284"/>
      <c r="BQ499" s="284"/>
      <c r="BR499" s="284"/>
      <c r="BS499" s="284"/>
      <c r="BT499" s="284"/>
      <c r="BU499" s="284"/>
      <c r="BV499" s="284"/>
      <c r="BW499" s="284"/>
      <c r="BX499" s="284"/>
      <c r="BY499" s="284"/>
      <c r="BZ499" s="285"/>
      <c r="CA499" s="298">
        <f>SUM(C499,E499,G499,I499,K499,M499,O499,Q499,S499,U499,W499,Y499,AA499,AC499,AE499,AG499,AI499,AK499,AM499,AO499,AQ499,AS499,AU499,AW499,AY499,BA499,BC499,BE499,BG499,BI499,BK499,BM499,BO499,BQ499,BS499,BU499,BW499,BY499)</f>
        <v>0</v>
      </c>
      <c r="CB499" s="298">
        <f>SUM(D499,F499,H499,J499,L499,N499,P499,R499,T499,V499,X499,Z499,AB499,AD499,AF499,AH499,AJ499,AL499,AN499,AP499,AR499,AT499,AV499,AX499,AZ499,BB499,BD499,BF499,BH499,BJ499,BL499,BN499,BP499,BR499,BT499,BV499,BX499,BZ499)</f>
        <v>0</v>
      </c>
      <c r="CC499" s="299">
        <f>SUM(Table13[[#This Row],[GOALS 1]:[ASSISTS 38]])</f>
        <v>0</v>
      </c>
    </row>
    <row r="500" spans="1:81">
      <c r="A500" s="291" t="s">
        <v>1308</v>
      </c>
      <c r="B500" s="291" t="s">
        <v>20</v>
      </c>
      <c r="C500" s="289"/>
      <c r="D500" s="286"/>
      <c r="E500" s="288"/>
      <c r="F500" s="286"/>
      <c r="G500" s="288"/>
      <c r="H500" s="286"/>
      <c r="I500" s="288"/>
      <c r="J500" s="286"/>
      <c r="K500" s="288"/>
      <c r="L500" s="286"/>
      <c r="M500" s="288"/>
      <c r="N500" s="286"/>
      <c r="O500" s="288"/>
      <c r="P500" s="286"/>
      <c r="Q500" s="288"/>
      <c r="R500" s="286"/>
      <c r="S500" s="288"/>
      <c r="T500" s="286"/>
      <c r="U500" s="288"/>
      <c r="V500" s="286"/>
      <c r="W500" s="288"/>
      <c r="X500" s="286"/>
      <c r="Y500" s="288"/>
      <c r="Z500" s="286"/>
      <c r="AA500" s="288"/>
      <c r="AB500" s="286"/>
      <c r="AC500" s="288"/>
      <c r="AD500" s="286"/>
      <c r="AE500" s="288"/>
      <c r="AF500" s="286"/>
      <c r="AG500" s="288"/>
      <c r="AH500" s="286"/>
      <c r="AI500" s="288"/>
      <c r="AJ500" s="286"/>
      <c r="AK500" s="286"/>
      <c r="AL500" s="286"/>
      <c r="AM500" s="286"/>
      <c r="AN500" s="286"/>
      <c r="AO500" s="286"/>
      <c r="AP500" s="286"/>
      <c r="AQ500" s="286"/>
      <c r="AR500" s="286"/>
      <c r="AS500" s="286"/>
      <c r="AT500" s="286"/>
      <c r="AU500" s="286"/>
      <c r="AV500" s="284"/>
      <c r="AW500" s="284"/>
      <c r="AX500" s="284"/>
      <c r="AY500" s="284"/>
      <c r="AZ500" s="284"/>
      <c r="BA500" s="284"/>
      <c r="BB500" s="284"/>
      <c r="BC500" s="284"/>
      <c r="BD500" s="284"/>
      <c r="BE500" s="284"/>
      <c r="BF500" s="284"/>
      <c r="BG500" s="284"/>
      <c r="BH500" s="284"/>
      <c r="BI500" s="284"/>
      <c r="BJ500" s="284"/>
      <c r="BK500" s="284"/>
      <c r="BL500" s="284"/>
      <c r="BM500" s="284"/>
      <c r="BN500" s="284"/>
      <c r="BO500" s="284"/>
      <c r="BP500" s="284"/>
      <c r="BQ500" s="284"/>
      <c r="BR500" s="284"/>
      <c r="BS500" s="284"/>
      <c r="BT500" s="284"/>
      <c r="BU500" s="284"/>
      <c r="BV500" s="284"/>
      <c r="BW500" s="284"/>
      <c r="BX500" s="284"/>
      <c r="BY500" s="284"/>
      <c r="BZ500" s="285"/>
      <c r="CA500" s="298">
        <f>SUM(C500,E500,G500,I500,K500,M500,O500,Q500,S500,U500,W500,Y500,AA500,AC500,AE500,AG500,AI500,AK500,AM500,AO500,AQ500,AS500,AU500,AW500,AY500,BA500,BC500,BE500,BG500,BI500,BK500,BM500,BO500,BQ500,BS500,BU500,BW500,BY500)</f>
        <v>0</v>
      </c>
      <c r="CB500" s="298">
        <f>SUM(D500,F500,H500,J500,L500,N500,P500,R500,T500,V500,X500,Z500,AB500,AD500,AF500,AH500,AJ500,AL500,AN500,AP500,AR500,AT500,AV500,AX500,AZ500,BB500,BD500,BF500,BH500,BJ500,BL500,BN500,BP500,BR500,BT500,BV500,BX500,BZ500)</f>
        <v>0</v>
      </c>
      <c r="CC500" s="299">
        <f>SUM(Table13[[#This Row],[GOALS 1]:[ASSISTS 38]])</f>
        <v>0</v>
      </c>
    </row>
    <row r="501" spans="1:81">
      <c r="A501" s="291" t="s">
        <v>1385</v>
      </c>
      <c r="B501" s="291" t="s">
        <v>24</v>
      </c>
      <c r="C501" s="286"/>
      <c r="D501" s="286"/>
      <c r="E501" s="288"/>
      <c r="F501" s="286"/>
      <c r="G501" s="288"/>
      <c r="H501" s="286"/>
      <c r="I501" s="288"/>
      <c r="J501" s="286"/>
      <c r="K501" s="288"/>
      <c r="L501" s="286"/>
      <c r="M501" s="288"/>
      <c r="N501" s="286"/>
      <c r="O501" s="288"/>
      <c r="P501" s="286"/>
      <c r="Q501" s="288"/>
      <c r="R501" s="286"/>
      <c r="S501" s="288"/>
      <c r="T501" s="286"/>
      <c r="U501" s="288"/>
      <c r="V501" s="286"/>
      <c r="W501" s="288"/>
      <c r="X501" s="286"/>
      <c r="Y501" s="288"/>
      <c r="Z501" s="286"/>
      <c r="AA501" s="288"/>
      <c r="AB501" s="286"/>
      <c r="AC501" s="288"/>
      <c r="AD501" s="286"/>
      <c r="AE501" s="288"/>
      <c r="AF501" s="286"/>
      <c r="AG501" s="288"/>
      <c r="AH501" s="286"/>
      <c r="AI501" s="288"/>
      <c r="AJ501" s="286"/>
      <c r="AK501" s="286"/>
      <c r="AL501" s="286"/>
      <c r="AM501" s="286"/>
      <c r="AN501" s="286"/>
      <c r="AO501" s="286"/>
      <c r="AP501" s="286"/>
      <c r="AQ501" s="286"/>
      <c r="AR501" s="286"/>
      <c r="AS501" s="286"/>
      <c r="AT501" s="286"/>
      <c r="AU501" s="286"/>
      <c r="AV501" s="284"/>
      <c r="AW501" s="284"/>
      <c r="AX501" s="284"/>
      <c r="AY501" s="284"/>
      <c r="AZ501" s="284"/>
      <c r="BA501" s="284"/>
      <c r="BB501" s="284"/>
      <c r="BC501" s="284"/>
      <c r="BD501" s="284"/>
      <c r="BE501" s="284"/>
      <c r="BF501" s="284"/>
      <c r="BG501" s="284"/>
      <c r="BH501" s="284"/>
      <c r="BI501" s="284"/>
      <c r="BJ501" s="284"/>
      <c r="BK501" s="284"/>
      <c r="BL501" s="284"/>
      <c r="BM501" s="284"/>
      <c r="BN501" s="284"/>
      <c r="BO501" s="284"/>
      <c r="BP501" s="284"/>
      <c r="BQ501" s="284"/>
      <c r="BR501" s="284"/>
      <c r="BS501" s="284"/>
      <c r="BT501" s="284"/>
      <c r="BU501" s="284"/>
      <c r="BV501" s="284"/>
      <c r="BW501" s="284"/>
      <c r="BX501" s="284"/>
      <c r="BY501" s="284"/>
      <c r="BZ501" s="285"/>
      <c r="CA501" s="298">
        <f>SUM(C501,E501,G501,I501,K501,M501,O501,Q501,S501,U501,W501,Y501,AA501,AC501,AE501,AG501,AI501,AK501,AM501,AO501,AQ501,AS501,AU501,AW501,AY501,BA501,BC501,BE501,BG501,BI501,BK501,BM501,BO501,BQ501,BS501,BU501,BW501,BY501)</f>
        <v>0</v>
      </c>
      <c r="CB501" s="298">
        <f>SUM(D501,F501,H501,J501,L501,N501,P501,R501,T501,V501,X501,Z501,AB501,AD501,AF501,AH501,AJ501,AL501,AN501,AP501,AR501,AT501,AV501,AX501,AZ501,BB501,BD501,BF501,BH501,BJ501,BL501,BN501,BP501,BR501,BT501,BV501,BX501,BZ501)</f>
        <v>0</v>
      </c>
      <c r="CC501" s="299">
        <f>SUM(Table13[[#This Row],[GOALS 1]:[ASSISTS 38]])</f>
        <v>0</v>
      </c>
    </row>
    <row r="502" spans="1:81">
      <c r="A502" s="291" t="s">
        <v>1506</v>
      </c>
      <c r="B502" s="291" t="s">
        <v>30</v>
      </c>
      <c r="C502" s="286"/>
      <c r="D502" s="286"/>
      <c r="E502" s="288"/>
      <c r="F502" s="286"/>
      <c r="G502" s="288"/>
      <c r="H502" s="286"/>
      <c r="I502" s="288"/>
      <c r="J502" s="286"/>
      <c r="K502" s="288"/>
      <c r="L502" s="286"/>
      <c r="M502" s="288"/>
      <c r="N502" s="286"/>
      <c r="O502" s="288"/>
      <c r="P502" s="286"/>
      <c r="Q502" s="288"/>
      <c r="R502" s="286"/>
      <c r="S502" s="288"/>
      <c r="T502" s="286"/>
      <c r="U502" s="288"/>
      <c r="V502" s="286"/>
      <c r="W502" s="288"/>
      <c r="X502" s="286"/>
      <c r="Y502" s="288"/>
      <c r="Z502" s="286"/>
      <c r="AA502" s="288"/>
      <c r="AB502" s="286"/>
      <c r="AC502" s="288"/>
      <c r="AD502" s="286"/>
      <c r="AE502" s="288"/>
      <c r="AF502" s="286"/>
      <c r="AG502" s="288"/>
      <c r="AH502" s="286"/>
      <c r="AI502" s="288"/>
      <c r="AJ502" s="286"/>
      <c r="AK502" s="286"/>
      <c r="AL502" s="286"/>
      <c r="AM502" s="286"/>
      <c r="AN502" s="286"/>
      <c r="AO502" s="286"/>
      <c r="AP502" s="286"/>
      <c r="AQ502" s="286"/>
      <c r="AR502" s="286"/>
      <c r="AS502" s="286"/>
      <c r="AT502" s="286"/>
      <c r="AU502" s="286"/>
      <c r="AV502" s="284"/>
      <c r="AW502" s="284"/>
      <c r="AX502" s="284"/>
      <c r="AY502" s="284"/>
      <c r="AZ502" s="284"/>
      <c r="BA502" s="284"/>
      <c r="BB502" s="284"/>
      <c r="BC502" s="284"/>
      <c r="BD502" s="284"/>
      <c r="BE502" s="284"/>
      <c r="BF502" s="284"/>
      <c r="BG502" s="284"/>
      <c r="BH502" s="284"/>
      <c r="BI502" s="284"/>
      <c r="BJ502" s="284"/>
      <c r="BK502" s="284"/>
      <c r="BL502" s="284"/>
      <c r="BM502" s="284"/>
      <c r="BN502" s="284"/>
      <c r="BO502" s="284"/>
      <c r="BP502" s="284"/>
      <c r="BQ502" s="284"/>
      <c r="BR502" s="284"/>
      <c r="BS502" s="284"/>
      <c r="BT502" s="284"/>
      <c r="BU502" s="284"/>
      <c r="BV502" s="284"/>
      <c r="BW502" s="284"/>
      <c r="BX502" s="284"/>
      <c r="BY502" s="284"/>
      <c r="BZ502" s="285"/>
      <c r="CA502" s="298">
        <f>SUM(C502,E502,G502,I502,K502,M502,O502,Q502,S502,U502,W502,Y502,AA502,AC502,AE502,AG502,AI502,AK502,AM502,AO502,AQ502,AS502,AU502,AW502,AY502,BA502,BC502,BE502,BG502,BI502,BK502,BM502,BO502,BQ502,BS502,BU502,BW502,BY502)</f>
        <v>0</v>
      </c>
      <c r="CB502" s="298">
        <f>SUM(D502,F502,H502,J502,L502,N502,P502,R502,T502,V502,X502,Z502,AB502,AD502,AF502,AH502,AJ502,AL502,AN502,AP502,AR502,AT502,AV502,AX502,AZ502,BB502,BD502,BF502,BH502,BJ502,BL502,BN502,BP502,BR502,BT502,BV502,BX502,BZ502)</f>
        <v>0</v>
      </c>
      <c r="CC502" s="299">
        <f>SUM(Table13[[#This Row],[GOALS 1]:[ASSISTS 38]])</f>
        <v>0</v>
      </c>
    </row>
    <row r="503" spans="1:81">
      <c r="A503" s="291" t="s">
        <v>1423</v>
      </c>
      <c r="B503" s="291" t="s">
        <v>29</v>
      </c>
      <c r="C503" s="289"/>
      <c r="D503" s="286"/>
      <c r="E503" s="288"/>
      <c r="F503" s="286"/>
      <c r="G503" s="288"/>
      <c r="H503" s="286"/>
      <c r="I503" s="288"/>
      <c r="J503" s="286"/>
      <c r="K503" s="288"/>
      <c r="L503" s="286"/>
      <c r="M503" s="288"/>
      <c r="N503" s="286"/>
      <c r="O503" s="288"/>
      <c r="P503" s="286"/>
      <c r="Q503" s="288"/>
      <c r="R503" s="286"/>
      <c r="S503" s="288"/>
      <c r="T503" s="286"/>
      <c r="U503" s="288"/>
      <c r="V503" s="286"/>
      <c r="W503" s="288"/>
      <c r="X503" s="286"/>
      <c r="Y503" s="288"/>
      <c r="Z503" s="286"/>
      <c r="AA503" s="288"/>
      <c r="AB503" s="286"/>
      <c r="AC503" s="288"/>
      <c r="AD503" s="286"/>
      <c r="AE503" s="288"/>
      <c r="AF503" s="286"/>
      <c r="AG503" s="288"/>
      <c r="AH503" s="286"/>
      <c r="AI503" s="288"/>
      <c r="AJ503" s="286"/>
      <c r="AK503" s="286"/>
      <c r="AL503" s="286"/>
      <c r="AM503" s="286"/>
      <c r="AN503" s="286"/>
      <c r="AO503" s="286"/>
      <c r="AP503" s="286"/>
      <c r="AQ503" s="286"/>
      <c r="AR503" s="286"/>
      <c r="AS503" s="286"/>
      <c r="AT503" s="286"/>
      <c r="AU503" s="286"/>
      <c r="AV503" s="284"/>
      <c r="AW503" s="284"/>
      <c r="AX503" s="284"/>
      <c r="AY503" s="284"/>
      <c r="AZ503" s="284"/>
      <c r="BA503" s="284"/>
      <c r="BB503" s="284"/>
      <c r="BC503" s="284"/>
      <c r="BD503" s="284"/>
      <c r="BE503" s="284"/>
      <c r="BF503" s="284"/>
      <c r="BG503" s="284"/>
      <c r="BH503" s="284"/>
      <c r="BI503" s="284"/>
      <c r="BJ503" s="284"/>
      <c r="BK503" s="284"/>
      <c r="BL503" s="284"/>
      <c r="BM503" s="284"/>
      <c r="BN503" s="284"/>
      <c r="BO503" s="284"/>
      <c r="BP503" s="284"/>
      <c r="BQ503" s="284"/>
      <c r="BR503" s="284"/>
      <c r="BS503" s="284"/>
      <c r="BT503" s="284"/>
      <c r="BU503" s="284"/>
      <c r="BV503" s="284"/>
      <c r="BW503" s="284"/>
      <c r="BX503" s="284"/>
      <c r="BY503" s="284"/>
      <c r="BZ503" s="285"/>
      <c r="CA503" s="298">
        <f>SUM(C503,E503,G503,I503,K503,M503,O503,Q503,S503,U503,W503,Y503,AA503,AC503,AE503,AG503,AI503,AK503,AM503,AO503,AQ503,AS503,AU503,AW503,AY503,BA503,BC503,BE503,BG503,BI503,BK503,BM503,BO503,BQ503,BS503,BU503,BW503,BY503)</f>
        <v>0</v>
      </c>
      <c r="CB503" s="298">
        <f>SUM(D503,F503,H503,J503,L503,N503,P503,R503,T503,V503,X503,Z503,AB503,AD503,AF503,AH503,AJ503,AL503,AN503,AP503,AR503,AT503,AV503,AX503,AZ503,BB503,BD503,BF503,BH503,BJ503,BL503,BN503,BP503,BR503,BT503,BV503,BX503,BZ503)</f>
        <v>0</v>
      </c>
      <c r="CC503" s="299">
        <f>SUM(Table13[[#This Row],[GOALS 1]:[ASSISTS 38]])</f>
        <v>0</v>
      </c>
    </row>
    <row r="504" spans="1:81">
      <c r="A504" s="291" t="s">
        <v>1503</v>
      </c>
      <c r="B504" s="291" t="s">
        <v>26</v>
      </c>
      <c r="C504" s="286"/>
      <c r="D504" s="286"/>
      <c r="E504" s="288"/>
      <c r="F504" s="286"/>
      <c r="G504" s="288"/>
      <c r="H504" s="286"/>
      <c r="I504" s="288"/>
      <c r="J504" s="286"/>
      <c r="K504" s="288"/>
      <c r="L504" s="286"/>
      <c r="M504" s="288"/>
      <c r="N504" s="286"/>
      <c r="O504" s="288"/>
      <c r="P504" s="286"/>
      <c r="Q504" s="288"/>
      <c r="R504" s="286"/>
      <c r="S504" s="288"/>
      <c r="T504" s="286"/>
      <c r="U504" s="288"/>
      <c r="V504" s="286"/>
      <c r="W504" s="288"/>
      <c r="X504" s="286"/>
      <c r="Y504" s="288"/>
      <c r="Z504" s="286"/>
      <c r="AA504" s="288"/>
      <c r="AB504" s="286"/>
      <c r="AC504" s="288"/>
      <c r="AD504" s="286"/>
      <c r="AE504" s="288"/>
      <c r="AF504" s="286"/>
      <c r="AG504" s="288"/>
      <c r="AH504" s="286"/>
      <c r="AI504" s="288"/>
      <c r="AJ504" s="286"/>
      <c r="AK504" s="286"/>
      <c r="AL504" s="286"/>
      <c r="AM504" s="286"/>
      <c r="AN504" s="286"/>
      <c r="AO504" s="286"/>
      <c r="AP504" s="286"/>
      <c r="AQ504" s="286"/>
      <c r="AR504" s="286"/>
      <c r="AS504" s="286"/>
      <c r="AT504" s="286"/>
      <c r="AU504" s="286"/>
      <c r="AV504" s="284"/>
      <c r="AW504" s="284"/>
      <c r="AX504" s="284"/>
      <c r="AY504" s="284"/>
      <c r="AZ504" s="284"/>
      <c r="BA504" s="284"/>
      <c r="BB504" s="284"/>
      <c r="BC504" s="284"/>
      <c r="BD504" s="284"/>
      <c r="BE504" s="284"/>
      <c r="BF504" s="284"/>
      <c r="BG504" s="284"/>
      <c r="BH504" s="284"/>
      <c r="BI504" s="284"/>
      <c r="BJ504" s="284"/>
      <c r="BK504" s="284"/>
      <c r="BL504" s="284"/>
      <c r="BM504" s="284"/>
      <c r="BN504" s="284"/>
      <c r="BO504" s="284"/>
      <c r="BP504" s="284"/>
      <c r="BQ504" s="284"/>
      <c r="BR504" s="284"/>
      <c r="BS504" s="284"/>
      <c r="BT504" s="284"/>
      <c r="BU504" s="284"/>
      <c r="BV504" s="284"/>
      <c r="BW504" s="284"/>
      <c r="BX504" s="284"/>
      <c r="BY504" s="284"/>
      <c r="BZ504" s="285"/>
      <c r="CA504" s="298">
        <f>SUM(C504,E504,G504,I504,K504,M504,O504,Q504,S504,U504,W504,Y504,AA504,AC504,AE504,AG504,AI504,AK504,AM504,AO504,AQ504,AS504,AU504,AW504,AY504,BA504,BC504,BE504,BG504,BI504,BK504,BM504,BO504,BQ504,BS504,BU504,BW504,BY504)</f>
        <v>0</v>
      </c>
      <c r="CB504" s="298">
        <f>SUM(D504,F504,H504,J504,L504,N504,P504,R504,T504,V504,X504,Z504,AB504,AD504,AF504,AH504,AJ504,AL504,AN504,AP504,AR504,AT504,AV504,AX504,AZ504,BB504,BD504,BF504,BH504,BJ504,BL504,BN504,BP504,BR504,BT504,BV504,BX504,BZ504)</f>
        <v>0</v>
      </c>
      <c r="CC504" s="299">
        <f>SUM(Table13[[#This Row],[GOALS 1]:[ASSISTS 38]])</f>
        <v>0</v>
      </c>
    </row>
    <row r="505" spans="1:81">
      <c r="A505" s="291" t="s">
        <v>1902</v>
      </c>
      <c r="B505" s="291" t="s">
        <v>52</v>
      </c>
      <c r="C505" s="289"/>
      <c r="D505" s="286"/>
      <c r="E505" s="288"/>
      <c r="F505" s="286"/>
      <c r="G505" s="288"/>
      <c r="H505" s="286"/>
      <c r="I505" s="288"/>
      <c r="J505" s="286"/>
      <c r="K505" s="288"/>
      <c r="L505" s="286"/>
      <c r="M505" s="288"/>
      <c r="N505" s="286"/>
      <c r="O505" s="288"/>
      <c r="P505" s="286"/>
      <c r="Q505" s="288"/>
      <c r="R505" s="286"/>
      <c r="S505" s="288"/>
      <c r="T505" s="286"/>
      <c r="U505" s="288"/>
      <c r="V505" s="286"/>
      <c r="W505" s="288"/>
      <c r="X505" s="286"/>
      <c r="Y505" s="288"/>
      <c r="Z505" s="286"/>
      <c r="AA505" s="288"/>
      <c r="AB505" s="286"/>
      <c r="AC505" s="288"/>
      <c r="AD505" s="286"/>
      <c r="AE505" s="288"/>
      <c r="AF505" s="286"/>
      <c r="AG505" s="288"/>
      <c r="AH505" s="286"/>
      <c r="AI505" s="288"/>
      <c r="AJ505" s="286"/>
      <c r="AK505" s="286"/>
      <c r="AL505" s="286"/>
      <c r="AM505" s="286"/>
      <c r="AN505" s="286"/>
      <c r="AO505" s="286"/>
      <c r="AP505" s="286"/>
      <c r="AQ505" s="286"/>
      <c r="AR505" s="286"/>
      <c r="AS505" s="286"/>
      <c r="AT505" s="286"/>
      <c r="AU505" s="286"/>
      <c r="AV505" s="284"/>
      <c r="AW505" s="284"/>
      <c r="AX505" s="284"/>
      <c r="AY505" s="284"/>
      <c r="AZ505" s="284"/>
      <c r="BA505" s="284"/>
      <c r="BB505" s="284"/>
      <c r="BC505" s="284"/>
      <c r="BD505" s="284"/>
      <c r="BE505" s="284"/>
      <c r="BF505" s="284"/>
      <c r="BG505" s="284"/>
      <c r="BH505" s="284"/>
      <c r="BI505" s="284"/>
      <c r="BJ505" s="284"/>
      <c r="BK505" s="284"/>
      <c r="BL505" s="284"/>
      <c r="BM505" s="284"/>
      <c r="BN505" s="284"/>
      <c r="BO505" s="284"/>
      <c r="BP505" s="284"/>
      <c r="BQ505" s="284"/>
      <c r="BR505" s="284"/>
      <c r="BS505" s="284"/>
      <c r="BT505" s="284"/>
      <c r="BU505" s="284"/>
      <c r="BV505" s="284"/>
      <c r="BW505" s="284"/>
      <c r="BX505" s="284"/>
      <c r="BY505" s="284"/>
      <c r="BZ505" s="285"/>
      <c r="CA505" s="298">
        <f>SUM(C505,E505,G505,I505,K505,M505,O505,Q505,S505,U505,W505,Y505,AA505,AC505,AE505,AG505,AI505,AK505,AM505,AO505,AQ505,AS505,AU505,AW505,AY505,BA505,BC505,BE505,BG505,BI505,BK505,BM505,BO505,BQ505,BS505,BU505,BW505,BY505)</f>
        <v>0</v>
      </c>
      <c r="CB505" s="298">
        <f>SUM(D505,F505,H505,J505,L505,N505,P505,R505,T505,V505,X505,Z505,AB505,AD505,AF505,AH505,AJ505,AL505,AN505,AP505,AR505,AT505,AV505,AX505,AZ505,BB505,BD505,BF505,BH505,BJ505,BL505,BN505,BP505,BR505,BT505,BV505,BX505,BZ505)</f>
        <v>0</v>
      </c>
      <c r="CC505" s="299">
        <f>SUM(Table13[[#This Row],[GOALS 1]:[ASSISTS 38]])</f>
        <v>0</v>
      </c>
    </row>
    <row r="506" spans="1:81">
      <c r="A506" s="291" t="s">
        <v>1522</v>
      </c>
      <c r="B506" s="291" t="s">
        <v>20</v>
      </c>
      <c r="C506" s="289"/>
      <c r="D506" s="286"/>
      <c r="E506" s="288"/>
      <c r="F506" s="286"/>
      <c r="G506" s="288"/>
      <c r="H506" s="286"/>
      <c r="I506" s="288"/>
      <c r="J506" s="286"/>
      <c r="K506" s="288"/>
      <c r="L506" s="286"/>
      <c r="M506" s="288"/>
      <c r="N506" s="286"/>
      <c r="O506" s="288"/>
      <c r="P506" s="286"/>
      <c r="Q506" s="288"/>
      <c r="R506" s="286"/>
      <c r="S506" s="288"/>
      <c r="T506" s="286"/>
      <c r="U506" s="288"/>
      <c r="V506" s="286"/>
      <c r="W506" s="288"/>
      <c r="X506" s="286"/>
      <c r="Y506" s="288"/>
      <c r="Z506" s="286"/>
      <c r="AA506" s="288"/>
      <c r="AB506" s="286"/>
      <c r="AC506" s="288"/>
      <c r="AD506" s="286"/>
      <c r="AE506" s="288"/>
      <c r="AF506" s="286"/>
      <c r="AG506" s="288"/>
      <c r="AH506" s="286"/>
      <c r="AI506" s="288"/>
      <c r="AJ506" s="286"/>
      <c r="AK506" s="286"/>
      <c r="AL506" s="286"/>
      <c r="AM506" s="286"/>
      <c r="AN506" s="286"/>
      <c r="AO506" s="286"/>
      <c r="AP506" s="286"/>
      <c r="AQ506" s="286"/>
      <c r="AR506" s="286"/>
      <c r="AS506" s="286"/>
      <c r="AT506" s="286"/>
      <c r="AU506" s="286"/>
      <c r="AV506" s="284"/>
      <c r="AW506" s="284"/>
      <c r="AX506" s="284"/>
      <c r="AY506" s="284"/>
      <c r="AZ506" s="284"/>
      <c r="BA506" s="284"/>
      <c r="BB506" s="284"/>
      <c r="BC506" s="284"/>
      <c r="BD506" s="284"/>
      <c r="BE506" s="284"/>
      <c r="BF506" s="284"/>
      <c r="BG506" s="284"/>
      <c r="BH506" s="284"/>
      <c r="BI506" s="284"/>
      <c r="BJ506" s="284"/>
      <c r="BK506" s="284"/>
      <c r="BL506" s="284"/>
      <c r="BM506" s="284"/>
      <c r="BN506" s="284"/>
      <c r="BO506" s="284"/>
      <c r="BP506" s="284"/>
      <c r="BQ506" s="284"/>
      <c r="BR506" s="284"/>
      <c r="BS506" s="284"/>
      <c r="BT506" s="284"/>
      <c r="BU506" s="284"/>
      <c r="BV506" s="284"/>
      <c r="BW506" s="284"/>
      <c r="BX506" s="284"/>
      <c r="BY506" s="284"/>
      <c r="BZ506" s="285"/>
      <c r="CA506" s="298">
        <f>SUM(C506,E506,G506,I506,K506,M506,O506,Q506,S506,U506,W506,Y506,AA506,AC506,AE506,AG506,AI506,AK506,AM506,AO506,AQ506,AS506,AU506,AW506,AY506,BA506,BC506,BE506,BG506,BI506,BK506,BM506,BO506,BQ506,BS506,BU506,BW506,BY506)</f>
        <v>0</v>
      </c>
      <c r="CB506" s="298">
        <f>SUM(D506,F506,H506,J506,L506,N506,P506,R506,T506,V506,X506,Z506,AB506,AD506,AF506,AH506,AJ506,AL506,AN506,AP506,AR506,AT506,AV506,AX506,AZ506,BB506,BD506,BF506,BH506,BJ506,BL506,BN506,BP506,BR506,BT506,BV506,BX506,BZ506)</f>
        <v>0</v>
      </c>
      <c r="CC506" s="299">
        <f>SUM(Table13[[#This Row],[GOALS 1]:[ASSISTS 38]])</f>
        <v>0</v>
      </c>
    </row>
    <row r="507" spans="1:81">
      <c r="A507" s="291" t="s">
        <v>1738</v>
      </c>
      <c r="B507" s="291" t="s">
        <v>26</v>
      </c>
      <c r="C507" s="286"/>
      <c r="D507" s="286"/>
      <c r="E507" s="288"/>
      <c r="F507" s="286"/>
      <c r="G507" s="288"/>
      <c r="H507" s="286"/>
      <c r="I507" s="288"/>
      <c r="J507" s="286"/>
      <c r="K507" s="288"/>
      <c r="L507" s="286"/>
      <c r="M507" s="288"/>
      <c r="N507" s="286"/>
      <c r="O507" s="288"/>
      <c r="P507" s="286"/>
      <c r="Q507" s="288"/>
      <c r="R507" s="286"/>
      <c r="S507" s="288"/>
      <c r="T507" s="286"/>
      <c r="U507" s="288"/>
      <c r="V507" s="286"/>
      <c r="W507" s="288"/>
      <c r="X507" s="286"/>
      <c r="Y507" s="288"/>
      <c r="Z507" s="286"/>
      <c r="AA507" s="288"/>
      <c r="AB507" s="286"/>
      <c r="AC507" s="288"/>
      <c r="AD507" s="286"/>
      <c r="AE507" s="288"/>
      <c r="AF507" s="286"/>
      <c r="AG507" s="288"/>
      <c r="AH507" s="286"/>
      <c r="AI507" s="288"/>
      <c r="AJ507" s="286"/>
      <c r="AK507" s="286"/>
      <c r="AL507" s="286"/>
      <c r="AM507" s="286"/>
      <c r="AN507" s="286"/>
      <c r="AO507" s="286"/>
      <c r="AP507" s="286"/>
      <c r="AQ507" s="286"/>
      <c r="AR507" s="286"/>
      <c r="AS507" s="286"/>
      <c r="AT507" s="286"/>
      <c r="AU507" s="286"/>
      <c r="AV507" s="284"/>
      <c r="AW507" s="284"/>
      <c r="AX507" s="284"/>
      <c r="AY507" s="284"/>
      <c r="AZ507" s="284"/>
      <c r="BA507" s="284"/>
      <c r="BB507" s="284"/>
      <c r="BC507" s="284"/>
      <c r="BD507" s="284"/>
      <c r="BE507" s="284"/>
      <c r="BF507" s="284"/>
      <c r="BG507" s="284"/>
      <c r="BH507" s="284"/>
      <c r="BI507" s="284"/>
      <c r="BJ507" s="284"/>
      <c r="BK507" s="284"/>
      <c r="BL507" s="284"/>
      <c r="BM507" s="284"/>
      <c r="BN507" s="284"/>
      <c r="BO507" s="284"/>
      <c r="BP507" s="284"/>
      <c r="BQ507" s="284"/>
      <c r="BR507" s="284"/>
      <c r="BS507" s="284"/>
      <c r="BT507" s="284"/>
      <c r="BU507" s="284"/>
      <c r="BV507" s="284"/>
      <c r="BW507" s="284"/>
      <c r="BX507" s="284"/>
      <c r="BY507" s="284"/>
      <c r="BZ507" s="285"/>
      <c r="CA507" s="298">
        <f>SUM(C507,E507,G507,I507,K507,M507,O507,Q507,S507,U507,W507,Y507,AA507,AC507,AE507,AG507,AI507,AK507,AM507,AO507,AQ507,AS507,AU507,AW507,AY507,BA507,BC507,BE507,BG507,BI507,BK507,BM507,BO507,BQ507,BS507,BU507,BW507,BY507)</f>
        <v>0</v>
      </c>
      <c r="CB507" s="298">
        <f>SUM(D507,F507,H507,J507,L507,N507,P507,R507,T507,V507,X507,Z507,AB507,AD507,AF507,AH507,AJ507,AL507,AN507,AP507,AR507,AT507,AV507,AX507,AZ507,BB507,BD507,BF507,BH507,BJ507,BL507,BN507,BP507,BR507,BT507,BV507,BX507,BZ507)</f>
        <v>0</v>
      </c>
      <c r="CC507" s="299">
        <f>SUM(Table13[[#This Row],[GOALS 1]:[ASSISTS 38]])</f>
        <v>0</v>
      </c>
    </row>
    <row r="508" spans="1:81">
      <c r="A508" s="291" t="s">
        <v>1306</v>
      </c>
      <c r="B508" s="291" t="s">
        <v>29</v>
      </c>
      <c r="C508" s="289"/>
      <c r="D508" s="286"/>
      <c r="E508" s="288"/>
      <c r="F508" s="286"/>
      <c r="G508" s="288"/>
      <c r="H508" s="286"/>
      <c r="I508" s="288"/>
      <c r="J508" s="286"/>
      <c r="K508" s="288"/>
      <c r="L508" s="286"/>
      <c r="M508" s="288"/>
      <c r="N508" s="286"/>
      <c r="O508" s="288"/>
      <c r="P508" s="286"/>
      <c r="Q508" s="288"/>
      <c r="R508" s="286"/>
      <c r="S508" s="288"/>
      <c r="T508" s="286"/>
      <c r="U508" s="288"/>
      <c r="V508" s="286"/>
      <c r="W508" s="288"/>
      <c r="X508" s="286"/>
      <c r="Y508" s="288"/>
      <c r="Z508" s="286"/>
      <c r="AA508" s="288"/>
      <c r="AB508" s="286"/>
      <c r="AC508" s="288"/>
      <c r="AD508" s="286"/>
      <c r="AE508" s="288"/>
      <c r="AF508" s="286"/>
      <c r="AG508" s="288"/>
      <c r="AH508" s="286"/>
      <c r="AI508" s="288"/>
      <c r="AJ508" s="286"/>
      <c r="AK508" s="286"/>
      <c r="AL508" s="286"/>
      <c r="AM508" s="286"/>
      <c r="AN508" s="286"/>
      <c r="AO508" s="286"/>
      <c r="AP508" s="286"/>
      <c r="AQ508" s="286"/>
      <c r="AR508" s="286"/>
      <c r="AS508" s="286"/>
      <c r="AT508" s="286"/>
      <c r="AU508" s="286"/>
      <c r="AV508" s="284"/>
      <c r="AW508" s="284"/>
      <c r="AX508" s="284"/>
      <c r="AY508" s="284"/>
      <c r="AZ508" s="284"/>
      <c r="BA508" s="284"/>
      <c r="BB508" s="284"/>
      <c r="BC508" s="284"/>
      <c r="BD508" s="284"/>
      <c r="BE508" s="284"/>
      <c r="BF508" s="284"/>
      <c r="BG508" s="284"/>
      <c r="BH508" s="284"/>
      <c r="BI508" s="284"/>
      <c r="BJ508" s="284"/>
      <c r="BK508" s="284"/>
      <c r="BL508" s="284"/>
      <c r="BM508" s="284"/>
      <c r="BN508" s="284"/>
      <c r="BO508" s="284"/>
      <c r="BP508" s="284"/>
      <c r="BQ508" s="284"/>
      <c r="BR508" s="284"/>
      <c r="BS508" s="284"/>
      <c r="BT508" s="284"/>
      <c r="BU508" s="284"/>
      <c r="BV508" s="284"/>
      <c r="BW508" s="284"/>
      <c r="BX508" s="284"/>
      <c r="BY508" s="284"/>
      <c r="BZ508" s="285"/>
      <c r="CA508" s="298">
        <f>SUM(C508,E508,G508,I508,K508,M508,O508,Q508,S508,U508,W508,Y508,AA508,AC508,AE508,AG508,AI508,AK508,AM508,AO508,AQ508,AS508,AU508,AW508,AY508,BA508,BC508,BE508,BG508,BI508,BK508,BM508,BO508,BQ508,BS508,BU508,BW508,BY508)</f>
        <v>0</v>
      </c>
      <c r="CB508" s="298">
        <f>SUM(D508,F508,H508,J508,L508,N508,P508,R508,T508,V508,X508,Z508,AB508,AD508,AF508,AH508,AJ508,AL508,AN508,AP508,AR508,AT508,AV508,AX508,AZ508,BB508,BD508,BF508,BH508,BJ508,BL508,BN508,BP508,BR508,BT508,BV508,BX508,BZ508)</f>
        <v>0</v>
      </c>
      <c r="CC508" s="299">
        <f>SUM(Table13[[#This Row],[GOALS 1]:[ASSISTS 38]])</f>
        <v>0</v>
      </c>
    </row>
    <row r="509" spans="1:81">
      <c r="A509" s="291" t="s">
        <v>1857</v>
      </c>
      <c r="B509" s="291" t="s">
        <v>22</v>
      </c>
      <c r="C509" s="286"/>
      <c r="D509" s="286"/>
      <c r="E509" s="288"/>
      <c r="F509" s="286"/>
      <c r="G509" s="288"/>
      <c r="H509" s="286"/>
      <c r="I509" s="288"/>
      <c r="J509" s="286"/>
      <c r="K509" s="288"/>
      <c r="L509" s="286"/>
      <c r="M509" s="288"/>
      <c r="N509" s="286"/>
      <c r="O509" s="288"/>
      <c r="P509" s="286"/>
      <c r="Q509" s="288"/>
      <c r="R509" s="286"/>
      <c r="S509" s="288"/>
      <c r="T509" s="286"/>
      <c r="U509" s="288"/>
      <c r="V509" s="286"/>
      <c r="W509" s="288"/>
      <c r="X509" s="286"/>
      <c r="Y509" s="288"/>
      <c r="Z509" s="286"/>
      <c r="AA509" s="288"/>
      <c r="AB509" s="286"/>
      <c r="AC509" s="288"/>
      <c r="AD509" s="286"/>
      <c r="AE509" s="288"/>
      <c r="AF509" s="286"/>
      <c r="AG509" s="288"/>
      <c r="AH509" s="286"/>
      <c r="AI509" s="288"/>
      <c r="AJ509" s="286"/>
      <c r="AK509" s="286"/>
      <c r="AL509" s="286"/>
      <c r="AM509" s="286"/>
      <c r="AN509" s="286"/>
      <c r="AO509" s="286"/>
      <c r="AP509" s="286"/>
      <c r="AQ509" s="286"/>
      <c r="AR509" s="286"/>
      <c r="AS509" s="286"/>
      <c r="AT509" s="286"/>
      <c r="AU509" s="286"/>
      <c r="AV509" s="284"/>
      <c r="AW509" s="284"/>
      <c r="AX509" s="284"/>
      <c r="AY509" s="284"/>
      <c r="AZ509" s="284"/>
      <c r="BA509" s="284"/>
      <c r="BB509" s="284"/>
      <c r="BC509" s="284"/>
      <c r="BD509" s="284"/>
      <c r="BE509" s="284"/>
      <c r="BF509" s="284"/>
      <c r="BG509" s="284"/>
      <c r="BH509" s="284"/>
      <c r="BI509" s="284"/>
      <c r="BJ509" s="284"/>
      <c r="BK509" s="284"/>
      <c r="BL509" s="284"/>
      <c r="BM509" s="284"/>
      <c r="BN509" s="284"/>
      <c r="BO509" s="284"/>
      <c r="BP509" s="284"/>
      <c r="BQ509" s="284"/>
      <c r="BR509" s="284"/>
      <c r="BS509" s="284"/>
      <c r="BT509" s="284"/>
      <c r="BU509" s="284"/>
      <c r="BV509" s="284"/>
      <c r="BW509" s="284"/>
      <c r="BX509" s="284"/>
      <c r="BY509" s="284"/>
      <c r="BZ509" s="285"/>
      <c r="CA509" s="298">
        <f>SUM(C509,E509,G509,I509,K509,M509,O509,Q509,S509,U509,W509,Y509,AA509,AC509,AE509,AG509,AI509,AK509,AM509,AO509,AQ509,AS509,AU509,AW509,AY509,BA509,BC509,BE509,BG509,BI509,BK509,BM509,BO509,BQ509,BS509,BU509,BW509,BY509)</f>
        <v>0</v>
      </c>
      <c r="CB509" s="298">
        <f>SUM(D509,F509,H509,J509,L509,N509,P509,R509,T509,V509,X509,Z509,AB509,AD509,AF509,AH509,AJ509,AL509,AN509,AP509,AR509,AT509,AV509,AX509,AZ509,BB509,BD509,BF509,BH509,BJ509,BL509,BN509,BP509,BR509,BT509,BV509,BX509,BZ509)</f>
        <v>0</v>
      </c>
      <c r="CC509" s="299">
        <f>SUM(Table13[[#This Row],[GOALS 1]:[ASSISTS 38]])</f>
        <v>0</v>
      </c>
    </row>
    <row r="510" spans="1:81">
      <c r="A510" s="291" t="s">
        <v>1732</v>
      </c>
      <c r="B510" s="291" t="s">
        <v>33</v>
      </c>
      <c r="C510" s="289"/>
      <c r="D510" s="286"/>
      <c r="E510" s="288"/>
      <c r="F510" s="286"/>
      <c r="G510" s="288"/>
      <c r="H510" s="286"/>
      <c r="I510" s="288"/>
      <c r="J510" s="286"/>
      <c r="K510" s="288"/>
      <c r="L510" s="286"/>
      <c r="M510" s="288"/>
      <c r="N510" s="286"/>
      <c r="O510" s="288"/>
      <c r="P510" s="286"/>
      <c r="Q510" s="288"/>
      <c r="R510" s="286"/>
      <c r="S510" s="288"/>
      <c r="T510" s="286"/>
      <c r="U510" s="288"/>
      <c r="V510" s="286"/>
      <c r="W510" s="288"/>
      <c r="X510" s="286"/>
      <c r="Y510" s="288"/>
      <c r="Z510" s="286"/>
      <c r="AA510" s="288"/>
      <c r="AB510" s="286"/>
      <c r="AC510" s="288"/>
      <c r="AD510" s="286"/>
      <c r="AE510" s="288"/>
      <c r="AF510" s="286"/>
      <c r="AG510" s="288"/>
      <c r="AH510" s="286"/>
      <c r="AI510" s="288"/>
      <c r="AJ510" s="286"/>
      <c r="AK510" s="286"/>
      <c r="AL510" s="286"/>
      <c r="AM510" s="286"/>
      <c r="AN510" s="286"/>
      <c r="AO510" s="286"/>
      <c r="AP510" s="286"/>
      <c r="AQ510" s="286"/>
      <c r="AR510" s="286"/>
      <c r="AS510" s="286"/>
      <c r="AT510" s="286"/>
      <c r="AU510" s="286"/>
      <c r="AV510" s="284"/>
      <c r="AW510" s="284"/>
      <c r="AX510" s="284"/>
      <c r="AY510" s="284"/>
      <c r="AZ510" s="284"/>
      <c r="BA510" s="284"/>
      <c r="BB510" s="284"/>
      <c r="BC510" s="284"/>
      <c r="BD510" s="284"/>
      <c r="BE510" s="284"/>
      <c r="BF510" s="284"/>
      <c r="BG510" s="284"/>
      <c r="BH510" s="284"/>
      <c r="BI510" s="284"/>
      <c r="BJ510" s="284"/>
      <c r="BK510" s="284"/>
      <c r="BL510" s="284"/>
      <c r="BM510" s="284"/>
      <c r="BN510" s="284"/>
      <c r="BO510" s="284"/>
      <c r="BP510" s="284"/>
      <c r="BQ510" s="284"/>
      <c r="BR510" s="284"/>
      <c r="BS510" s="284"/>
      <c r="BT510" s="284"/>
      <c r="BU510" s="284"/>
      <c r="BV510" s="284"/>
      <c r="BW510" s="284"/>
      <c r="BX510" s="284"/>
      <c r="BY510" s="284"/>
      <c r="BZ510" s="285"/>
      <c r="CA510" s="298">
        <f>SUM(C510,E510,G510,I510,K510,M510,O510,Q510,S510,U510,W510,Y510,AA510,AC510,AE510,AG510,AI510,AK510,AM510,AO510,AQ510,AS510,AU510,AW510,AY510,BA510,BC510,BE510,BG510,BI510,BK510,BM510,BO510,BQ510,BS510,BU510,BW510,BY510)</f>
        <v>0</v>
      </c>
      <c r="CB510" s="298">
        <f>SUM(D510,F510,H510,J510,L510,N510,P510,R510,T510,V510,X510,Z510,AB510,AD510,AF510,AH510,AJ510,AL510,AN510,AP510,AR510,AT510,AV510,AX510,AZ510,BB510,BD510,BF510,BH510,BJ510,BL510,BN510,BP510,BR510,BT510,BV510,BX510,BZ510)</f>
        <v>0</v>
      </c>
      <c r="CC510" s="299">
        <f>SUM(Table13[[#This Row],[GOALS 1]:[ASSISTS 38]])</f>
        <v>0</v>
      </c>
    </row>
    <row r="511" spans="1:81">
      <c r="A511" s="291" t="s">
        <v>1788</v>
      </c>
      <c r="B511" s="291" t="s">
        <v>27</v>
      </c>
      <c r="C511" s="286"/>
      <c r="D511" s="286"/>
      <c r="E511" s="289"/>
      <c r="F511" s="286"/>
      <c r="G511" s="288"/>
      <c r="H511" s="286"/>
      <c r="I511" s="288"/>
      <c r="J511" s="286"/>
      <c r="K511" s="288"/>
      <c r="L511" s="286"/>
      <c r="M511" s="288"/>
      <c r="N511" s="286"/>
      <c r="O511" s="288"/>
      <c r="P511" s="286"/>
      <c r="Q511" s="288"/>
      <c r="R511" s="286"/>
      <c r="S511" s="288"/>
      <c r="T511" s="286"/>
      <c r="U511" s="288"/>
      <c r="V511" s="286"/>
      <c r="W511" s="288"/>
      <c r="X511" s="286"/>
      <c r="Y511" s="288"/>
      <c r="Z511" s="286"/>
      <c r="AA511" s="288"/>
      <c r="AB511" s="286"/>
      <c r="AC511" s="288"/>
      <c r="AD511" s="286"/>
      <c r="AE511" s="288"/>
      <c r="AF511" s="286"/>
      <c r="AG511" s="288"/>
      <c r="AH511" s="286"/>
      <c r="AI511" s="288"/>
      <c r="AJ511" s="286"/>
      <c r="AK511" s="286"/>
      <c r="AL511" s="286"/>
      <c r="AM511" s="286"/>
      <c r="AN511" s="286"/>
      <c r="AO511" s="286"/>
      <c r="AP511" s="286"/>
      <c r="AQ511" s="286"/>
      <c r="AR511" s="286"/>
      <c r="AS511" s="286"/>
      <c r="AT511" s="286"/>
      <c r="AU511" s="286"/>
      <c r="AV511" s="284"/>
      <c r="AW511" s="284"/>
      <c r="AX511" s="284"/>
      <c r="AY511" s="284"/>
      <c r="AZ511" s="284"/>
      <c r="BA511" s="284"/>
      <c r="BB511" s="284"/>
      <c r="BC511" s="284"/>
      <c r="BD511" s="284"/>
      <c r="BE511" s="284"/>
      <c r="BF511" s="284"/>
      <c r="BG511" s="284"/>
      <c r="BH511" s="284"/>
      <c r="BI511" s="284"/>
      <c r="BJ511" s="284"/>
      <c r="BK511" s="284"/>
      <c r="BL511" s="284"/>
      <c r="BM511" s="284"/>
      <c r="BN511" s="284"/>
      <c r="BO511" s="284"/>
      <c r="BP511" s="284"/>
      <c r="BQ511" s="284"/>
      <c r="BR511" s="284"/>
      <c r="BS511" s="284"/>
      <c r="BT511" s="284"/>
      <c r="BU511" s="284"/>
      <c r="BV511" s="284"/>
      <c r="BW511" s="284"/>
      <c r="BX511" s="284"/>
      <c r="BY511" s="284"/>
      <c r="BZ511" s="285"/>
      <c r="CA511" s="298">
        <f>SUM(C511,E511,G511,I511,K511,M511,O511,Q511,S511,U511,W511,Y511,AA511,AC511,AE511,AG511,AI511,AK511,AM511,AO511,AQ511,AS511,AU511,AW511,AY511,BA511,BC511,BE511,BG511,BI511,BK511,BM511,BO511,BQ511,BS511,BU511,BW511,BY511)</f>
        <v>0</v>
      </c>
      <c r="CB511" s="298">
        <f>SUM(D511,F511,H511,J511,L511,N511,P511,R511,T511,V511,X511,Z511,AB511,AD511,AF511,AH511,AJ511,AL511,AN511,AP511,AR511,AT511,AV511,AX511,AZ511,BB511,BD511,BF511,BH511,BJ511,BL511,BN511,BP511,BR511,BT511,BV511,BX511,BZ511)</f>
        <v>0</v>
      </c>
      <c r="CC511" s="299">
        <f>SUM(Table13[[#This Row],[GOALS 1]:[ASSISTS 38]])</f>
        <v>0</v>
      </c>
    </row>
    <row r="512" spans="1:81">
      <c r="A512" s="291" t="s">
        <v>1278</v>
      </c>
      <c r="B512" s="291" t="s">
        <v>28</v>
      </c>
      <c r="C512" s="286"/>
      <c r="D512" s="286"/>
      <c r="E512" s="288"/>
      <c r="F512" s="286"/>
      <c r="G512" s="288"/>
      <c r="H512" s="286"/>
      <c r="I512" s="288"/>
      <c r="J512" s="286"/>
      <c r="K512" s="288"/>
      <c r="L512" s="286"/>
      <c r="M512" s="288"/>
      <c r="N512" s="286"/>
      <c r="O512" s="288"/>
      <c r="P512" s="286"/>
      <c r="Q512" s="288"/>
      <c r="R512" s="286"/>
      <c r="S512" s="288"/>
      <c r="T512" s="286"/>
      <c r="U512" s="288"/>
      <c r="V512" s="286"/>
      <c r="W512" s="288"/>
      <c r="X512" s="286"/>
      <c r="Y512" s="288"/>
      <c r="Z512" s="286"/>
      <c r="AA512" s="288"/>
      <c r="AB512" s="286"/>
      <c r="AC512" s="288"/>
      <c r="AD512" s="286"/>
      <c r="AE512" s="288"/>
      <c r="AF512" s="286"/>
      <c r="AG512" s="288"/>
      <c r="AH512" s="286"/>
      <c r="AI512" s="288"/>
      <c r="AJ512" s="286"/>
      <c r="AK512" s="286"/>
      <c r="AL512" s="286"/>
      <c r="AM512" s="286"/>
      <c r="AN512" s="286"/>
      <c r="AO512" s="286"/>
      <c r="AP512" s="286"/>
      <c r="AQ512" s="286"/>
      <c r="AR512" s="286"/>
      <c r="AS512" s="286"/>
      <c r="AT512" s="286"/>
      <c r="AU512" s="286"/>
      <c r="AV512" s="284"/>
      <c r="AW512" s="284"/>
      <c r="AX512" s="284"/>
      <c r="AY512" s="284"/>
      <c r="AZ512" s="284"/>
      <c r="BA512" s="284"/>
      <c r="BB512" s="284"/>
      <c r="BC512" s="284"/>
      <c r="BD512" s="284"/>
      <c r="BE512" s="284"/>
      <c r="BF512" s="284"/>
      <c r="BG512" s="284"/>
      <c r="BH512" s="284"/>
      <c r="BI512" s="284"/>
      <c r="BJ512" s="284"/>
      <c r="BK512" s="284"/>
      <c r="BL512" s="284"/>
      <c r="BM512" s="284"/>
      <c r="BN512" s="284"/>
      <c r="BO512" s="284"/>
      <c r="BP512" s="284"/>
      <c r="BQ512" s="284"/>
      <c r="BR512" s="284"/>
      <c r="BS512" s="284"/>
      <c r="BT512" s="284"/>
      <c r="BU512" s="284"/>
      <c r="BV512" s="284"/>
      <c r="BW512" s="284"/>
      <c r="BX512" s="284"/>
      <c r="BY512" s="284"/>
      <c r="BZ512" s="285"/>
      <c r="CA512" s="298">
        <f>SUM(C512,E512,G512,I512,K512,M512,O512,Q512,S512,U512,W512,Y512,AA512,AC512,AE512,AG512,AI512,AK512,AM512,AO512,AQ512,AS512,AU512,AW512,AY512,BA512,BC512,BE512,BG512,BI512,BK512,BM512,BO512,BQ512,BS512,BU512,BW512,BY512)</f>
        <v>0</v>
      </c>
      <c r="CB512" s="298">
        <f>SUM(D512,F512,H512,J512,L512,N512,P512,R512,T512,V512,X512,Z512,AB512,AD512,AF512,AH512,AJ512,AL512,AN512,AP512,AR512,AT512,AV512,AX512,AZ512,BB512,BD512,BF512,BH512,BJ512,BL512,BN512,BP512,BR512,BT512,BV512,BX512,BZ512)</f>
        <v>0</v>
      </c>
      <c r="CC512" s="299">
        <f>SUM(Table13[[#This Row],[GOALS 1]:[ASSISTS 38]])</f>
        <v>0</v>
      </c>
    </row>
    <row r="513" spans="1:81">
      <c r="A513" s="291" t="s">
        <v>1735</v>
      </c>
      <c r="B513" s="291" t="s">
        <v>22</v>
      </c>
      <c r="C513" s="286"/>
      <c r="D513" s="286"/>
      <c r="E513" s="288"/>
      <c r="F513" s="286"/>
      <c r="G513" s="288"/>
      <c r="H513" s="286"/>
      <c r="I513" s="288"/>
      <c r="J513" s="286"/>
      <c r="K513" s="288"/>
      <c r="L513" s="286"/>
      <c r="M513" s="288"/>
      <c r="N513" s="286"/>
      <c r="O513" s="288"/>
      <c r="P513" s="286"/>
      <c r="Q513" s="288"/>
      <c r="R513" s="286"/>
      <c r="S513" s="288"/>
      <c r="T513" s="286"/>
      <c r="U513" s="288"/>
      <c r="V513" s="286"/>
      <c r="W513" s="288"/>
      <c r="X513" s="286"/>
      <c r="Y513" s="288"/>
      <c r="Z513" s="286"/>
      <c r="AA513" s="288"/>
      <c r="AB513" s="286"/>
      <c r="AC513" s="288"/>
      <c r="AD513" s="286"/>
      <c r="AE513" s="288"/>
      <c r="AF513" s="286"/>
      <c r="AG513" s="288"/>
      <c r="AH513" s="286"/>
      <c r="AI513" s="288"/>
      <c r="AJ513" s="286"/>
      <c r="AK513" s="286"/>
      <c r="AL513" s="286"/>
      <c r="AM513" s="286"/>
      <c r="AN513" s="286"/>
      <c r="AO513" s="286"/>
      <c r="AP513" s="286"/>
      <c r="AQ513" s="286"/>
      <c r="AR513" s="286"/>
      <c r="AS513" s="286"/>
      <c r="AT513" s="286"/>
      <c r="AU513" s="286"/>
      <c r="AV513" s="284"/>
      <c r="AW513" s="284"/>
      <c r="AX513" s="284"/>
      <c r="AY513" s="284"/>
      <c r="AZ513" s="284"/>
      <c r="BA513" s="284"/>
      <c r="BB513" s="284"/>
      <c r="BC513" s="284"/>
      <c r="BD513" s="284"/>
      <c r="BE513" s="284"/>
      <c r="BF513" s="284"/>
      <c r="BG513" s="284"/>
      <c r="BH513" s="284"/>
      <c r="BI513" s="284"/>
      <c r="BJ513" s="284"/>
      <c r="BK513" s="284"/>
      <c r="BL513" s="284"/>
      <c r="BM513" s="284"/>
      <c r="BN513" s="284"/>
      <c r="BO513" s="284"/>
      <c r="BP513" s="284"/>
      <c r="BQ513" s="284"/>
      <c r="BR513" s="284"/>
      <c r="BS513" s="284"/>
      <c r="BT513" s="284"/>
      <c r="BU513" s="284"/>
      <c r="BV513" s="284"/>
      <c r="BW513" s="284"/>
      <c r="BX513" s="284"/>
      <c r="BY513" s="284"/>
      <c r="BZ513" s="285"/>
      <c r="CA513" s="298">
        <f>SUM(C513,E513,G513,I513,K513,M513,O513,Q513,S513,U513,W513,Y513,AA513,AC513,AE513,AG513,AI513,AK513,AM513,AO513,AQ513,AS513,AU513,AW513,AY513,BA513,BC513,BE513,BG513,BI513,BK513,BM513,BO513,BQ513,BS513,BU513,BW513,BY513)</f>
        <v>0</v>
      </c>
      <c r="CB513" s="298">
        <f>SUM(D513,F513,H513,J513,L513,N513,P513,R513,T513,V513,X513,Z513,AB513,AD513,AF513,AH513,AJ513,AL513,AN513,AP513,AR513,AT513,AV513,AX513,AZ513,BB513,BD513,BF513,BH513,BJ513,BL513,BN513,BP513,BR513,BT513,BV513,BX513,BZ513)</f>
        <v>0</v>
      </c>
      <c r="CC513" s="299">
        <f>SUM(Table13[[#This Row],[GOALS 1]:[ASSISTS 38]])</f>
        <v>0</v>
      </c>
    </row>
    <row r="514" spans="1:81">
      <c r="A514" s="291" t="s">
        <v>1281</v>
      </c>
      <c r="B514" s="291" t="s">
        <v>29</v>
      </c>
      <c r="C514" s="289"/>
      <c r="D514" s="286"/>
      <c r="E514" s="288"/>
      <c r="F514" s="286"/>
      <c r="G514" s="288"/>
      <c r="H514" s="286"/>
      <c r="I514" s="288"/>
      <c r="J514" s="286"/>
      <c r="K514" s="288"/>
      <c r="L514" s="286"/>
      <c r="M514" s="288"/>
      <c r="N514" s="286"/>
      <c r="O514" s="288"/>
      <c r="P514" s="286"/>
      <c r="Q514" s="288"/>
      <c r="R514" s="286"/>
      <c r="S514" s="288"/>
      <c r="T514" s="286"/>
      <c r="U514" s="288"/>
      <c r="V514" s="286"/>
      <c r="W514" s="288"/>
      <c r="X514" s="286"/>
      <c r="Y514" s="288"/>
      <c r="Z514" s="286"/>
      <c r="AA514" s="288"/>
      <c r="AB514" s="286"/>
      <c r="AC514" s="288"/>
      <c r="AD514" s="286"/>
      <c r="AE514" s="288"/>
      <c r="AF514" s="286"/>
      <c r="AG514" s="288"/>
      <c r="AH514" s="286"/>
      <c r="AI514" s="288"/>
      <c r="AJ514" s="286"/>
      <c r="AK514" s="286"/>
      <c r="AL514" s="286"/>
      <c r="AM514" s="286"/>
      <c r="AN514" s="286"/>
      <c r="AO514" s="286"/>
      <c r="AP514" s="286"/>
      <c r="AQ514" s="286"/>
      <c r="AR514" s="286"/>
      <c r="AS514" s="286"/>
      <c r="AT514" s="286"/>
      <c r="AU514" s="286"/>
      <c r="AV514" s="284"/>
      <c r="AW514" s="284"/>
      <c r="AX514" s="284"/>
      <c r="AY514" s="284"/>
      <c r="AZ514" s="284"/>
      <c r="BA514" s="284"/>
      <c r="BB514" s="284"/>
      <c r="BC514" s="284"/>
      <c r="BD514" s="284"/>
      <c r="BE514" s="284"/>
      <c r="BF514" s="284"/>
      <c r="BG514" s="284"/>
      <c r="BH514" s="284"/>
      <c r="BI514" s="284"/>
      <c r="BJ514" s="284"/>
      <c r="BK514" s="284"/>
      <c r="BL514" s="284"/>
      <c r="BM514" s="284"/>
      <c r="BN514" s="284"/>
      <c r="BO514" s="284"/>
      <c r="BP514" s="284"/>
      <c r="BQ514" s="284"/>
      <c r="BR514" s="284"/>
      <c r="BS514" s="284"/>
      <c r="BT514" s="284"/>
      <c r="BU514" s="284"/>
      <c r="BV514" s="284"/>
      <c r="BW514" s="284"/>
      <c r="BX514" s="284"/>
      <c r="BY514" s="284"/>
      <c r="BZ514" s="285"/>
      <c r="CA514" s="298">
        <f>SUM(C514,E514,G514,I514,K514,M514,O514,Q514,S514,U514,W514,Y514,AA514,AC514,AE514,AG514,AI514,AK514,AM514,AO514,AQ514,AS514,AU514,AW514,AY514,BA514,BC514,BE514,BG514,BI514,BK514,BM514,BO514,BQ514,BS514,BU514,BW514,BY514)</f>
        <v>0</v>
      </c>
      <c r="CB514" s="298">
        <f>SUM(D514,F514,H514,J514,L514,N514,P514,R514,T514,V514,X514,Z514,AB514,AD514,AF514,AH514,AJ514,AL514,AN514,AP514,AR514,AT514,AV514,AX514,AZ514,BB514,BD514,BF514,BH514,BJ514,BL514,BN514,BP514,BR514,BT514,BV514,BX514,BZ514)</f>
        <v>0</v>
      </c>
      <c r="CC514" s="299">
        <f>SUM(Table13[[#This Row],[GOALS 1]:[ASSISTS 38]])</f>
        <v>0</v>
      </c>
    </row>
    <row r="515" spans="1:81">
      <c r="A515" s="291" t="s">
        <v>1756</v>
      </c>
      <c r="B515" s="291" t="s">
        <v>52</v>
      </c>
      <c r="C515" s="289"/>
      <c r="D515" s="286"/>
      <c r="E515" s="288"/>
      <c r="F515" s="286"/>
      <c r="G515" s="288"/>
      <c r="H515" s="286"/>
      <c r="I515" s="288"/>
      <c r="J515" s="286"/>
      <c r="K515" s="288"/>
      <c r="L515" s="286"/>
      <c r="M515" s="288"/>
      <c r="N515" s="286"/>
      <c r="O515" s="288"/>
      <c r="P515" s="286"/>
      <c r="Q515" s="288"/>
      <c r="R515" s="286"/>
      <c r="S515" s="288"/>
      <c r="T515" s="286"/>
      <c r="U515" s="288"/>
      <c r="V515" s="286"/>
      <c r="W515" s="288"/>
      <c r="X515" s="286"/>
      <c r="Y515" s="288"/>
      <c r="Z515" s="286"/>
      <c r="AA515" s="288"/>
      <c r="AB515" s="286"/>
      <c r="AC515" s="288"/>
      <c r="AD515" s="286"/>
      <c r="AE515" s="288"/>
      <c r="AF515" s="286"/>
      <c r="AG515" s="288"/>
      <c r="AH515" s="286"/>
      <c r="AI515" s="288"/>
      <c r="AJ515" s="286"/>
      <c r="AK515" s="286"/>
      <c r="AL515" s="286"/>
      <c r="AM515" s="286"/>
      <c r="AN515" s="286"/>
      <c r="AO515" s="286"/>
      <c r="AP515" s="286"/>
      <c r="AQ515" s="286"/>
      <c r="AR515" s="286"/>
      <c r="AS515" s="286"/>
      <c r="AT515" s="286"/>
      <c r="AU515" s="286"/>
      <c r="AV515" s="284"/>
      <c r="AW515" s="284"/>
      <c r="AX515" s="284"/>
      <c r="AY515" s="284"/>
      <c r="AZ515" s="284"/>
      <c r="BA515" s="284"/>
      <c r="BB515" s="284"/>
      <c r="BC515" s="284"/>
      <c r="BD515" s="284"/>
      <c r="BE515" s="284"/>
      <c r="BF515" s="284"/>
      <c r="BG515" s="284"/>
      <c r="BH515" s="284"/>
      <c r="BI515" s="284"/>
      <c r="BJ515" s="284"/>
      <c r="BK515" s="284"/>
      <c r="BL515" s="284"/>
      <c r="BM515" s="284"/>
      <c r="BN515" s="284"/>
      <c r="BO515" s="284"/>
      <c r="BP515" s="284"/>
      <c r="BQ515" s="284"/>
      <c r="BR515" s="284"/>
      <c r="BS515" s="284"/>
      <c r="BT515" s="284"/>
      <c r="BU515" s="284"/>
      <c r="BV515" s="284"/>
      <c r="BW515" s="284"/>
      <c r="BX515" s="284"/>
      <c r="BY515" s="284"/>
      <c r="BZ515" s="285"/>
      <c r="CA515" s="298">
        <f>SUM(C515,E515,G515,I515,K515,M515,O515,Q515,S515,U515,W515,Y515,AA515,AC515,AE515,AG515,AI515,AK515,AM515,AO515,AQ515,AS515,AU515,AW515,AY515,BA515,BC515,BE515,BG515,BI515,BK515,BM515,BO515,BQ515,BS515,BU515,BW515,BY515)</f>
        <v>0</v>
      </c>
      <c r="CB515" s="298">
        <f>SUM(D515,F515,H515,J515,L515,N515,P515,R515,T515,V515,X515,Z515,AB515,AD515,AF515,AH515,AJ515,AL515,AN515,AP515,AR515,AT515,AV515,AX515,AZ515,BB515,BD515,BF515,BH515,BJ515,BL515,BN515,BP515,BR515,BT515,BV515,BX515,BZ515)</f>
        <v>0</v>
      </c>
      <c r="CC515" s="299">
        <f>SUM(Table13[[#This Row],[GOALS 1]:[ASSISTS 38]])</f>
        <v>0</v>
      </c>
    </row>
    <row r="516" spans="1:81">
      <c r="A516" s="291" t="s">
        <v>1849</v>
      </c>
      <c r="B516" s="291" t="s">
        <v>43</v>
      </c>
      <c r="C516" s="286"/>
      <c r="D516" s="286"/>
      <c r="E516" s="288"/>
      <c r="F516" s="286"/>
      <c r="G516" s="288"/>
      <c r="H516" s="286"/>
      <c r="I516" s="288"/>
      <c r="J516" s="286"/>
      <c r="K516" s="288"/>
      <c r="L516" s="286"/>
      <c r="M516" s="288"/>
      <c r="N516" s="286"/>
      <c r="O516" s="288"/>
      <c r="P516" s="286"/>
      <c r="Q516" s="288"/>
      <c r="R516" s="286"/>
      <c r="S516" s="288"/>
      <c r="T516" s="286"/>
      <c r="U516" s="288"/>
      <c r="V516" s="286"/>
      <c r="W516" s="288"/>
      <c r="X516" s="286"/>
      <c r="Y516" s="288"/>
      <c r="Z516" s="286"/>
      <c r="AA516" s="288"/>
      <c r="AB516" s="286"/>
      <c r="AC516" s="288"/>
      <c r="AD516" s="286"/>
      <c r="AE516" s="288"/>
      <c r="AF516" s="286"/>
      <c r="AG516" s="288"/>
      <c r="AH516" s="286"/>
      <c r="AI516" s="288"/>
      <c r="AJ516" s="286"/>
      <c r="AK516" s="286"/>
      <c r="AL516" s="286"/>
      <c r="AM516" s="286"/>
      <c r="AN516" s="286"/>
      <c r="AO516" s="286"/>
      <c r="AP516" s="286"/>
      <c r="AQ516" s="286"/>
      <c r="AR516" s="286"/>
      <c r="AS516" s="286"/>
      <c r="AT516" s="286"/>
      <c r="AU516" s="286"/>
      <c r="AV516" s="284"/>
      <c r="AW516" s="284"/>
      <c r="AX516" s="284"/>
      <c r="AY516" s="284"/>
      <c r="AZ516" s="284"/>
      <c r="BA516" s="284"/>
      <c r="BB516" s="284"/>
      <c r="BC516" s="284"/>
      <c r="BD516" s="284"/>
      <c r="BE516" s="284"/>
      <c r="BF516" s="284"/>
      <c r="BG516" s="284"/>
      <c r="BH516" s="284"/>
      <c r="BI516" s="284"/>
      <c r="BJ516" s="284"/>
      <c r="BK516" s="284"/>
      <c r="BL516" s="284"/>
      <c r="BM516" s="284"/>
      <c r="BN516" s="284"/>
      <c r="BO516" s="284"/>
      <c r="BP516" s="284"/>
      <c r="BQ516" s="284"/>
      <c r="BR516" s="284"/>
      <c r="BS516" s="284"/>
      <c r="BT516" s="284"/>
      <c r="BU516" s="284"/>
      <c r="BV516" s="284"/>
      <c r="BW516" s="284"/>
      <c r="BX516" s="284"/>
      <c r="BY516" s="284"/>
      <c r="BZ516" s="285"/>
      <c r="CA516" s="298">
        <f>SUM(C516,E516,G516,I516,K516,M516,O516,Q516,S516,U516,W516,Y516,AA516,AC516,AE516,AG516,AI516,AK516,AM516,AO516,AQ516,AS516,AU516,AW516,AY516,BA516,BC516,BE516,BG516,BI516,BK516,BM516,BO516,BQ516,BS516,BU516,BW516,BY516)</f>
        <v>0</v>
      </c>
      <c r="CB516" s="298">
        <f>SUM(D516,F516,H516,J516,L516,N516,P516,R516,T516,V516,X516,Z516,AB516,AD516,AF516,AH516,AJ516,AL516,AN516,AP516,AR516,AT516,AV516,AX516,AZ516,BB516,BD516,BF516,BH516,BJ516,BL516,BN516,BP516,BR516,BT516,BV516,BX516,BZ516)</f>
        <v>0</v>
      </c>
      <c r="CC516" s="299">
        <f>SUM(Table13[[#This Row],[GOALS 1]:[ASSISTS 38]])</f>
        <v>0</v>
      </c>
    </row>
    <row r="517" spans="1:81">
      <c r="A517" s="291" t="s">
        <v>1831</v>
      </c>
      <c r="B517" s="291" t="s">
        <v>28</v>
      </c>
      <c r="C517" s="286"/>
      <c r="D517" s="286"/>
      <c r="E517" s="288"/>
      <c r="F517" s="286"/>
      <c r="G517" s="288"/>
      <c r="H517" s="286"/>
      <c r="I517" s="288"/>
      <c r="J517" s="286"/>
      <c r="K517" s="288"/>
      <c r="L517" s="286"/>
      <c r="M517" s="288"/>
      <c r="N517" s="286"/>
      <c r="O517" s="288"/>
      <c r="P517" s="286"/>
      <c r="Q517" s="288"/>
      <c r="R517" s="286"/>
      <c r="S517" s="288"/>
      <c r="T517" s="286"/>
      <c r="U517" s="288"/>
      <c r="V517" s="286"/>
      <c r="W517" s="288"/>
      <c r="X517" s="286"/>
      <c r="Y517" s="288"/>
      <c r="Z517" s="286"/>
      <c r="AA517" s="288"/>
      <c r="AB517" s="286"/>
      <c r="AC517" s="288"/>
      <c r="AD517" s="286"/>
      <c r="AE517" s="288"/>
      <c r="AF517" s="286"/>
      <c r="AG517" s="288"/>
      <c r="AH517" s="286"/>
      <c r="AI517" s="288"/>
      <c r="AJ517" s="286"/>
      <c r="AK517" s="286"/>
      <c r="AL517" s="286"/>
      <c r="AM517" s="286"/>
      <c r="AN517" s="286"/>
      <c r="AO517" s="286"/>
      <c r="AP517" s="286"/>
      <c r="AQ517" s="286"/>
      <c r="AR517" s="286"/>
      <c r="AS517" s="286"/>
      <c r="AT517" s="286"/>
      <c r="AU517" s="286"/>
      <c r="AV517" s="284"/>
      <c r="AW517" s="284"/>
      <c r="AX517" s="284"/>
      <c r="AY517" s="284"/>
      <c r="AZ517" s="284"/>
      <c r="BA517" s="284"/>
      <c r="BB517" s="284"/>
      <c r="BC517" s="284"/>
      <c r="BD517" s="284"/>
      <c r="BE517" s="284"/>
      <c r="BF517" s="284"/>
      <c r="BG517" s="284"/>
      <c r="BH517" s="284"/>
      <c r="BI517" s="284"/>
      <c r="BJ517" s="284"/>
      <c r="BK517" s="284"/>
      <c r="BL517" s="284"/>
      <c r="BM517" s="284"/>
      <c r="BN517" s="284"/>
      <c r="BO517" s="284"/>
      <c r="BP517" s="284"/>
      <c r="BQ517" s="284"/>
      <c r="BR517" s="284"/>
      <c r="BS517" s="284"/>
      <c r="BT517" s="284"/>
      <c r="BU517" s="284"/>
      <c r="BV517" s="284"/>
      <c r="BW517" s="284"/>
      <c r="BX517" s="284"/>
      <c r="BY517" s="284"/>
      <c r="BZ517" s="285"/>
      <c r="CA517" s="298">
        <f>SUM(C517,E517,G517,I517,K517,M517,O517,Q517,S517,U517,W517,Y517,AA517,AC517,AE517,AG517,AI517,AK517,AM517,AO517,AQ517,AS517,AU517,AW517,AY517,BA517,BC517,BE517,BG517,BI517,BK517,BM517,BO517,BQ517,BS517,BU517,BW517,BY517)</f>
        <v>0</v>
      </c>
      <c r="CB517" s="298">
        <f>SUM(D517,F517,H517,J517,L517,N517,P517,R517,T517,V517,X517,Z517,AB517,AD517,AF517,AH517,AJ517,AL517,AN517,AP517,AR517,AT517,AV517,AX517,AZ517,BB517,BD517,BF517,BH517,BJ517,BL517,BN517,BP517,BR517,BT517,BV517,BX517,BZ517)</f>
        <v>0</v>
      </c>
      <c r="CC517" s="299">
        <f>SUM(Table13[[#This Row],[GOALS 1]:[ASSISTS 38]])</f>
        <v>0</v>
      </c>
    </row>
    <row r="518" spans="1:81">
      <c r="A518" s="291" t="s">
        <v>1726</v>
      </c>
      <c r="B518" s="291" t="s">
        <v>21</v>
      </c>
      <c r="C518" s="289"/>
      <c r="D518" s="286"/>
      <c r="E518" s="288"/>
      <c r="F518" s="286"/>
      <c r="G518" s="288"/>
      <c r="H518" s="286"/>
      <c r="I518" s="288"/>
      <c r="J518" s="286"/>
      <c r="K518" s="288"/>
      <c r="L518" s="286"/>
      <c r="M518" s="288"/>
      <c r="N518" s="286"/>
      <c r="O518" s="288"/>
      <c r="P518" s="286"/>
      <c r="Q518" s="288"/>
      <c r="R518" s="286"/>
      <c r="S518" s="288"/>
      <c r="T518" s="286"/>
      <c r="U518" s="288"/>
      <c r="V518" s="286"/>
      <c r="W518" s="288"/>
      <c r="X518" s="286"/>
      <c r="Y518" s="288"/>
      <c r="Z518" s="286"/>
      <c r="AA518" s="288"/>
      <c r="AB518" s="286"/>
      <c r="AC518" s="288"/>
      <c r="AD518" s="286"/>
      <c r="AE518" s="288"/>
      <c r="AF518" s="286"/>
      <c r="AG518" s="288"/>
      <c r="AH518" s="286"/>
      <c r="AI518" s="288"/>
      <c r="AJ518" s="286"/>
      <c r="AK518" s="286"/>
      <c r="AL518" s="286"/>
      <c r="AM518" s="286"/>
      <c r="AN518" s="286"/>
      <c r="AO518" s="286"/>
      <c r="AP518" s="286"/>
      <c r="AQ518" s="286"/>
      <c r="AR518" s="286"/>
      <c r="AS518" s="286"/>
      <c r="AT518" s="286"/>
      <c r="AU518" s="286"/>
      <c r="AV518" s="284"/>
      <c r="AW518" s="284"/>
      <c r="AX518" s="284"/>
      <c r="AY518" s="284"/>
      <c r="AZ518" s="284"/>
      <c r="BA518" s="284"/>
      <c r="BB518" s="284"/>
      <c r="BC518" s="284"/>
      <c r="BD518" s="284"/>
      <c r="BE518" s="284"/>
      <c r="BF518" s="284"/>
      <c r="BG518" s="284"/>
      <c r="BH518" s="284"/>
      <c r="BI518" s="284"/>
      <c r="BJ518" s="284"/>
      <c r="BK518" s="284"/>
      <c r="BL518" s="284"/>
      <c r="BM518" s="284"/>
      <c r="BN518" s="284"/>
      <c r="BO518" s="284"/>
      <c r="BP518" s="284"/>
      <c r="BQ518" s="284"/>
      <c r="BR518" s="284"/>
      <c r="BS518" s="284"/>
      <c r="BT518" s="284"/>
      <c r="BU518" s="284"/>
      <c r="BV518" s="284"/>
      <c r="BW518" s="284"/>
      <c r="BX518" s="284"/>
      <c r="BY518" s="284"/>
      <c r="BZ518" s="285"/>
      <c r="CA518" s="298">
        <f>SUM(C518,E518,G518,I518,K518,M518,O518,Q518,S518,U518,W518,Y518,AA518,AC518,AE518,AG518,AI518,AK518,AM518,AO518,AQ518,AS518,AU518,AW518,AY518,BA518,BC518,BE518,BG518,BI518,BK518,BM518,BO518,BQ518,BS518,BU518,BW518,BY518)</f>
        <v>0</v>
      </c>
      <c r="CB518" s="298">
        <f>SUM(D518,F518,H518,J518,L518,N518,P518,R518,T518,V518,X518,Z518,AB518,AD518,AF518,AH518,AJ518,AL518,AN518,AP518,AR518,AT518,AV518,AX518,AZ518,BB518,BD518,BF518,BH518,BJ518,BL518,BN518,BP518,BR518,BT518,BV518,BX518,BZ518)</f>
        <v>0</v>
      </c>
      <c r="CC518" s="299">
        <f>SUM(Table13[[#This Row],[GOALS 1]:[ASSISTS 38]])</f>
        <v>0</v>
      </c>
    </row>
    <row r="519" spans="1:81">
      <c r="A519" s="291" t="s">
        <v>1669</v>
      </c>
      <c r="B519" s="291" t="s">
        <v>633</v>
      </c>
      <c r="C519" s="289"/>
      <c r="D519" s="286"/>
      <c r="E519" s="288"/>
      <c r="F519" s="286"/>
      <c r="G519" s="288"/>
      <c r="H519" s="286"/>
      <c r="I519" s="288"/>
      <c r="J519" s="286"/>
      <c r="K519" s="288"/>
      <c r="L519" s="286"/>
      <c r="M519" s="288"/>
      <c r="N519" s="286"/>
      <c r="O519" s="288"/>
      <c r="P519" s="286"/>
      <c r="Q519" s="288"/>
      <c r="R519" s="286"/>
      <c r="S519" s="288"/>
      <c r="T519" s="286"/>
      <c r="U519" s="288"/>
      <c r="V519" s="286"/>
      <c r="W519" s="288"/>
      <c r="X519" s="286"/>
      <c r="Y519" s="288"/>
      <c r="Z519" s="286"/>
      <c r="AA519" s="288"/>
      <c r="AB519" s="286"/>
      <c r="AC519" s="288"/>
      <c r="AD519" s="286"/>
      <c r="AE519" s="288"/>
      <c r="AF519" s="286"/>
      <c r="AG519" s="288"/>
      <c r="AH519" s="286"/>
      <c r="AI519" s="288"/>
      <c r="AJ519" s="286"/>
      <c r="AK519" s="286"/>
      <c r="AL519" s="286"/>
      <c r="AM519" s="286"/>
      <c r="AN519" s="286"/>
      <c r="AO519" s="286"/>
      <c r="AP519" s="286"/>
      <c r="AQ519" s="286"/>
      <c r="AR519" s="286"/>
      <c r="AS519" s="286"/>
      <c r="AT519" s="286"/>
      <c r="AU519" s="286"/>
      <c r="AV519" s="284"/>
      <c r="AW519" s="284"/>
      <c r="AX519" s="284"/>
      <c r="AY519" s="284"/>
      <c r="AZ519" s="284"/>
      <c r="BA519" s="284"/>
      <c r="BB519" s="284"/>
      <c r="BC519" s="284"/>
      <c r="BD519" s="284"/>
      <c r="BE519" s="284"/>
      <c r="BF519" s="284"/>
      <c r="BG519" s="284"/>
      <c r="BH519" s="284"/>
      <c r="BI519" s="284"/>
      <c r="BJ519" s="284"/>
      <c r="BK519" s="284"/>
      <c r="BL519" s="284"/>
      <c r="BM519" s="284"/>
      <c r="BN519" s="284"/>
      <c r="BO519" s="284"/>
      <c r="BP519" s="284"/>
      <c r="BQ519" s="284"/>
      <c r="BR519" s="284"/>
      <c r="BS519" s="284"/>
      <c r="BT519" s="284"/>
      <c r="BU519" s="284"/>
      <c r="BV519" s="284"/>
      <c r="BW519" s="284"/>
      <c r="BX519" s="284"/>
      <c r="BY519" s="284"/>
      <c r="BZ519" s="285"/>
      <c r="CA519" s="298">
        <f>SUM(C519,E519,G519,I519,K519,M519,O519,Q519,S519,U519,W519,Y519,AA519,AC519,AE519,AG519,AI519,AK519,AM519,AO519,AQ519,AS519,AU519,AW519,AY519,BA519,BC519,BE519,BG519,BI519,BK519,BM519,BO519,BQ519,BS519,BU519,BW519,BY519)</f>
        <v>0</v>
      </c>
      <c r="CB519" s="298">
        <f>SUM(D519,F519,H519,J519,L519,N519,P519,R519,T519,V519,X519,Z519,AB519,AD519,AF519,AH519,AJ519,AL519,AN519,AP519,AR519,AT519,AV519,AX519,AZ519,BB519,BD519,BF519,BH519,BJ519,BL519,BN519,BP519,BR519,BT519,BV519,BX519,BZ519)</f>
        <v>0</v>
      </c>
      <c r="CC519" s="299">
        <f>SUM(Table13[[#This Row],[GOALS 1]:[ASSISTS 38]])</f>
        <v>0</v>
      </c>
    </row>
    <row r="520" spans="1:81">
      <c r="A520" s="291" t="s">
        <v>1490</v>
      </c>
      <c r="B520" s="291" t="s">
        <v>633</v>
      </c>
      <c r="C520" s="289"/>
      <c r="D520" s="286"/>
      <c r="E520" s="288"/>
      <c r="F520" s="286"/>
      <c r="G520" s="288"/>
      <c r="H520" s="286"/>
      <c r="I520" s="288"/>
      <c r="J520" s="286"/>
      <c r="K520" s="288"/>
      <c r="L520" s="286"/>
      <c r="M520" s="288"/>
      <c r="N520" s="286"/>
      <c r="O520" s="288"/>
      <c r="P520" s="286"/>
      <c r="Q520" s="288"/>
      <c r="R520" s="286"/>
      <c r="S520" s="288"/>
      <c r="T520" s="286"/>
      <c r="U520" s="288"/>
      <c r="V520" s="286"/>
      <c r="W520" s="288"/>
      <c r="X520" s="286"/>
      <c r="Y520" s="288"/>
      <c r="Z520" s="286"/>
      <c r="AA520" s="288"/>
      <c r="AB520" s="286"/>
      <c r="AC520" s="288"/>
      <c r="AD520" s="286"/>
      <c r="AE520" s="288"/>
      <c r="AF520" s="286"/>
      <c r="AG520" s="288"/>
      <c r="AH520" s="286"/>
      <c r="AI520" s="288"/>
      <c r="AJ520" s="286"/>
      <c r="AK520" s="286"/>
      <c r="AL520" s="286"/>
      <c r="AM520" s="286"/>
      <c r="AN520" s="286"/>
      <c r="AO520" s="286"/>
      <c r="AP520" s="286"/>
      <c r="AQ520" s="286"/>
      <c r="AR520" s="286"/>
      <c r="AS520" s="286"/>
      <c r="AT520" s="286"/>
      <c r="AU520" s="286"/>
      <c r="AV520" s="284"/>
      <c r="AW520" s="284"/>
      <c r="AX520" s="284"/>
      <c r="AY520" s="284"/>
      <c r="AZ520" s="284"/>
      <c r="BA520" s="284"/>
      <c r="BB520" s="284"/>
      <c r="BC520" s="284"/>
      <c r="BD520" s="284"/>
      <c r="BE520" s="284"/>
      <c r="BF520" s="284"/>
      <c r="BG520" s="284"/>
      <c r="BH520" s="284"/>
      <c r="BI520" s="284"/>
      <c r="BJ520" s="284"/>
      <c r="BK520" s="284"/>
      <c r="BL520" s="284"/>
      <c r="BM520" s="284"/>
      <c r="BN520" s="284"/>
      <c r="BO520" s="284"/>
      <c r="BP520" s="284"/>
      <c r="BQ520" s="284"/>
      <c r="BR520" s="284"/>
      <c r="BS520" s="284"/>
      <c r="BT520" s="284"/>
      <c r="BU520" s="284"/>
      <c r="BV520" s="284"/>
      <c r="BW520" s="284"/>
      <c r="BX520" s="284"/>
      <c r="BY520" s="284"/>
      <c r="BZ520" s="285"/>
      <c r="CA520" s="298">
        <f>SUM(C520,E520,G520,I520,K520,M520,O520,Q520,S520,U520,W520,Y520,AA520,AC520,AE520,AG520,AI520,AK520,AM520,AO520,AQ520,AS520,AU520,AW520,AY520,BA520,BC520,BE520,BG520,BI520,BK520,BM520,BO520,BQ520,BS520,BU520,BW520,BY520)</f>
        <v>0</v>
      </c>
      <c r="CB520" s="298">
        <f>SUM(D520,F520,H520,J520,L520,N520,P520,R520,T520,V520,X520,Z520,AB520,AD520,AF520,AH520,AJ520,AL520,AN520,AP520,AR520,AT520,AV520,AX520,AZ520,BB520,BD520,BF520,BH520,BJ520,BL520,BN520,BP520,BR520,BT520,BV520,BX520,BZ520)</f>
        <v>0</v>
      </c>
      <c r="CC520" s="299">
        <f>SUM(Table13[[#This Row],[GOALS 1]:[ASSISTS 38]])</f>
        <v>0</v>
      </c>
    </row>
    <row r="521" spans="1:81">
      <c r="A521" s="292" t="s">
        <v>1620</v>
      </c>
      <c r="B521" s="292" t="s">
        <v>30</v>
      </c>
      <c r="C521" s="286"/>
      <c r="D521" s="286"/>
      <c r="E521" s="288"/>
      <c r="F521" s="286"/>
      <c r="G521" s="288"/>
      <c r="H521" s="286"/>
      <c r="I521" s="288"/>
      <c r="J521" s="286"/>
      <c r="K521" s="288"/>
      <c r="L521" s="286"/>
      <c r="M521" s="288"/>
      <c r="N521" s="286"/>
      <c r="O521" s="288"/>
      <c r="P521" s="286"/>
      <c r="Q521" s="288"/>
      <c r="R521" s="286"/>
      <c r="S521" s="288"/>
      <c r="T521" s="286"/>
      <c r="U521" s="288"/>
      <c r="V521" s="286"/>
      <c r="W521" s="288"/>
      <c r="X521" s="286"/>
      <c r="Y521" s="288"/>
      <c r="Z521" s="286"/>
      <c r="AA521" s="288"/>
      <c r="AB521" s="286"/>
      <c r="AC521" s="288"/>
      <c r="AD521" s="286"/>
      <c r="AE521" s="288"/>
      <c r="AF521" s="286"/>
      <c r="AG521" s="288"/>
      <c r="AH521" s="286"/>
      <c r="AI521" s="288"/>
      <c r="AJ521" s="286"/>
      <c r="AK521" s="286"/>
      <c r="AL521" s="286"/>
      <c r="AM521" s="286"/>
      <c r="AN521" s="286"/>
      <c r="AO521" s="286"/>
      <c r="AP521" s="286"/>
      <c r="AQ521" s="286"/>
      <c r="AR521" s="286"/>
      <c r="AS521" s="286"/>
      <c r="AT521" s="286"/>
      <c r="AU521" s="286"/>
      <c r="AV521" s="284"/>
      <c r="AW521" s="284"/>
      <c r="AX521" s="284"/>
      <c r="AY521" s="284"/>
      <c r="AZ521" s="284"/>
      <c r="BA521" s="284"/>
      <c r="BB521" s="284"/>
      <c r="BC521" s="284"/>
      <c r="BD521" s="284"/>
      <c r="BE521" s="284"/>
      <c r="BF521" s="284"/>
      <c r="BG521" s="284"/>
      <c r="BH521" s="284"/>
      <c r="BI521" s="284"/>
      <c r="BJ521" s="284"/>
      <c r="BK521" s="284"/>
      <c r="BL521" s="284"/>
      <c r="BM521" s="284"/>
      <c r="BN521" s="284"/>
      <c r="BO521" s="284"/>
      <c r="BP521" s="284"/>
      <c r="BQ521" s="284"/>
      <c r="BR521" s="284"/>
      <c r="BS521" s="284"/>
      <c r="BT521" s="284"/>
      <c r="BU521" s="284"/>
      <c r="BV521" s="284"/>
      <c r="BW521" s="284"/>
      <c r="BX521" s="284"/>
      <c r="BY521" s="284"/>
      <c r="BZ521" s="285"/>
      <c r="CA521" s="298">
        <f>SUM(C521,E521,G521,I521,K521,M521,O521,Q521,S521,U521,W521,Y521,AA521,AC521,AE521,AG521,AI521,AK521,AM521,AO521,AQ521,AS521,AU521,AW521,AY521,BA521,BC521,BE521,BG521,BI521,BK521,BM521,BO521,BQ521,BS521,BU521,BW521,BY521)</f>
        <v>0</v>
      </c>
      <c r="CB521" s="298">
        <f>SUM(D521,F521,H521,J521,L521,N521,P521,R521,T521,V521,X521,Z521,AB521,AD521,AF521,AH521,AJ521,AL521,AN521,AP521,AR521,AT521,AV521,AX521,AZ521,BB521,BD521,BF521,BH521,BJ521,BL521,BN521,BP521,BR521,BT521,BV521,BX521,BZ521)</f>
        <v>0</v>
      </c>
      <c r="CC521" s="299">
        <f>SUM(Table13[[#This Row],[GOALS 1]:[ASSISTS 38]])</f>
        <v>0</v>
      </c>
    </row>
    <row r="522" spans="1:81">
      <c r="A522" s="291" t="s">
        <v>1459</v>
      </c>
      <c r="B522" s="291" t="s">
        <v>634</v>
      </c>
      <c r="C522" s="288"/>
      <c r="D522" s="286"/>
      <c r="E522" s="288"/>
      <c r="F522" s="286"/>
      <c r="G522" s="288"/>
      <c r="H522" s="286"/>
      <c r="I522" s="288"/>
      <c r="J522" s="286"/>
      <c r="K522" s="288"/>
      <c r="L522" s="286"/>
      <c r="M522" s="288"/>
      <c r="N522" s="286"/>
      <c r="O522" s="288"/>
      <c r="P522" s="286"/>
      <c r="Q522" s="288"/>
      <c r="R522" s="286"/>
      <c r="S522" s="288"/>
      <c r="T522" s="286"/>
      <c r="U522" s="288"/>
      <c r="V522" s="286"/>
      <c r="W522" s="288"/>
      <c r="X522" s="286"/>
      <c r="Y522" s="288"/>
      <c r="Z522" s="286"/>
      <c r="AA522" s="288"/>
      <c r="AB522" s="286"/>
      <c r="AC522" s="288"/>
      <c r="AD522" s="286"/>
      <c r="AE522" s="288"/>
      <c r="AF522" s="286"/>
      <c r="AG522" s="288"/>
      <c r="AH522" s="286"/>
      <c r="AI522" s="288"/>
      <c r="AJ522" s="286"/>
      <c r="AK522" s="286"/>
      <c r="AL522" s="286"/>
      <c r="AM522" s="286"/>
      <c r="AN522" s="286"/>
      <c r="AO522" s="286"/>
      <c r="AP522" s="286"/>
      <c r="AQ522" s="286"/>
      <c r="AR522" s="286"/>
      <c r="AS522" s="286"/>
      <c r="AT522" s="286"/>
      <c r="AU522" s="286"/>
      <c r="AV522" s="284"/>
      <c r="AW522" s="284"/>
      <c r="AX522" s="284"/>
      <c r="AY522" s="284"/>
      <c r="AZ522" s="284"/>
      <c r="BA522" s="284"/>
      <c r="BB522" s="284"/>
      <c r="BC522" s="284"/>
      <c r="BD522" s="284"/>
      <c r="BE522" s="284"/>
      <c r="BF522" s="284"/>
      <c r="BG522" s="284"/>
      <c r="BH522" s="284"/>
      <c r="BI522" s="284"/>
      <c r="BJ522" s="284"/>
      <c r="BK522" s="284"/>
      <c r="BL522" s="284"/>
      <c r="BM522" s="284"/>
      <c r="BN522" s="284"/>
      <c r="BO522" s="284"/>
      <c r="BP522" s="284"/>
      <c r="BQ522" s="284"/>
      <c r="BR522" s="284"/>
      <c r="BS522" s="284"/>
      <c r="BT522" s="284"/>
      <c r="BU522" s="284"/>
      <c r="BV522" s="284"/>
      <c r="BW522" s="284"/>
      <c r="BX522" s="284"/>
      <c r="BY522" s="284"/>
      <c r="BZ522" s="285"/>
      <c r="CA522" s="298">
        <f>SUM(C522,E522,G522,I522,K522,M522,O522,Q522,S522,U522,W522,Y522,AA522,AC522,AE522,AG522,AI522,AK522,AM522,AO522,AQ522,AS522,AU522,AW522,AY522,BA522,BC522,BE522,BG522,BI522,BK522,BM522,BO522,BQ522,BS522,BU522,BW522,BY522)</f>
        <v>0</v>
      </c>
      <c r="CB522" s="298">
        <f>SUM(D522,F522,H522,J522,L522,N522,P522,R522,T522,V522,X522,Z522,AB522,AD522,AF522,AH522,AJ522,AL522,AN522,AP522,AR522,AT522,AV522,AX522,AZ522,BB522,BD522,BF522,BH522,BJ522,BL522,BN522,BP522,BR522,BT522,BV522,BX522,BZ522)</f>
        <v>0</v>
      </c>
      <c r="CC522" s="299">
        <f>SUM(Table13[[#This Row],[GOALS 1]:[ASSISTS 38]])</f>
        <v>0</v>
      </c>
    </row>
    <row r="523" spans="1:81">
      <c r="A523" s="291" t="s">
        <v>1616</v>
      </c>
      <c r="B523" s="291" t="s">
        <v>634</v>
      </c>
      <c r="C523" s="288"/>
      <c r="D523" s="286"/>
      <c r="E523" s="288"/>
      <c r="F523" s="286"/>
      <c r="G523" s="288"/>
      <c r="H523" s="286"/>
      <c r="I523" s="288"/>
      <c r="J523" s="286"/>
      <c r="K523" s="288"/>
      <c r="L523" s="286"/>
      <c r="M523" s="288"/>
      <c r="N523" s="286"/>
      <c r="O523" s="288"/>
      <c r="P523" s="286"/>
      <c r="Q523" s="288"/>
      <c r="R523" s="286"/>
      <c r="S523" s="288"/>
      <c r="T523" s="286"/>
      <c r="U523" s="288"/>
      <c r="V523" s="286"/>
      <c r="W523" s="288"/>
      <c r="X523" s="286"/>
      <c r="Y523" s="288"/>
      <c r="Z523" s="286"/>
      <c r="AA523" s="288"/>
      <c r="AB523" s="286"/>
      <c r="AC523" s="288"/>
      <c r="AD523" s="286"/>
      <c r="AE523" s="288"/>
      <c r="AF523" s="286"/>
      <c r="AG523" s="288"/>
      <c r="AH523" s="286"/>
      <c r="AI523" s="288"/>
      <c r="AJ523" s="286"/>
      <c r="AK523" s="286"/>
      <c r="AL523" s="286"/>
      <c r="AM523" s="286"/>
      <c r="AN523" s="286"/>
      <c r="AO523" s="286"/>
      <c r="AP523" s="286"/>
      <c r="AQ523" s="286"/>
      <c r="AR523" s="286"/>
      <c r="AS523" s="286"/>
      <c r="AT523" s="286"/>
      <c r="AU523" s="286"/>
      <c r="AV523" s="284"/>
      <c r="AW523" s="284"/>
      <c r="AX523" s="284"/>
      <c r="AY523" s="284"/>
      <c r="AZ523" s="284"/>
      <c r="BA523" s="284"/>
      <c r="BB523" s="284"/>
      <c r="BC523" s="284"/>
      <c r="BD523" s="284"/>
      <c r="BE523" s="284"/>
      <c r="BF523" s="284"/>
      <c r="BG523" s="284"/>
      <c r="BH523" s="284"/>
      <c r="BI523" s="284"/>
      <c r="BJ523" s="284"/>
      <c r="BK523" s="284"/>
      <c r="BL523" s="284"/>
      <c r="BM523" s="284"/>
      <c r="BN523" s="284"/>
      <c r="BO523" s="284"/>
      <c r="BP523" s="284"/>
      <c r="BQ523" s="284"/>
      <c r="BR523" s="284"/>
      <c r="BS523" s="284"/>
      <c r="BT523" s="284"/>
      <c r="BU523" s="284"/>
      <c r="BV523" s="284"/>
      <c r="BW523" s="284"/>
      <c r="BX523" s="284"/>
      <c r="BY523" s="284"/>
      <c r="BZ523" s="285"/>
      <c r="CA523" s="298">
        <f>SUM(C523,E523,G523,I523,K523,M523,O523,Q523,S523,U523,W523,Y523,AA523,AC523,AE523,AG523,AI523,AK523,AM523,AO523,AQ523,AS523,AU523,AW523,AY523,BA523,BC523,BE523,BG523,BI523,BK523,BM523,BO523,BQ523,BS523,BU523,BW523,BY523)</f>
        <v>0</v>
      </c>
      <c r="CB523" s="298">
        <f>SUM(D523,F523,H523,J523,L523,N523,P523,R523,T523,V523,X523,Z523,AB523,AD523,AF523,AH523,AJ523,AL523,AN523,AP523,AR523,AT523,AV523,AX523,AZ523,BB523,BD523,BF523,BH523,BJ523,BL523,BN523,BP523,BR523,BT523,BV523,BX523,BZ523)</f>
        <v>0</v>
      </c>
      <c r="CC523" s="299">
        <f>SUM(Table13[[#This Row],[GOALS 1]:[ASSISTS 38]])</f>
        <v>0</v>
      </c>
    </row>
    <row r="524" spans="1:81">
      <c r="A524" s="291" t="s">
        <v>1383</v>
      </c>
      <c r="B524" s="291" t="s">
        <v>19</v>
      </c>
      <c r="C524" s="286"/>
      <c r="D524" s="286"/>
      <c r="E524" s="288"/>
      <c r="F524" s="286"/>
      <c r="G524" s="288"/>
      <c r="H524" s="286"/>
      <c r="I524" s="288"/>
      <c r="J524" s="286"/>
      <c r="K524" s="288"/>
      <c r="L524" s="286"/>
      <c r="M524" s="288"/>
      <c r="N524" s="286"/>
      <c r="O524" s="288"/>
      <c r="P524" s="286"/>
      <c r="Q524" s="288"/>
      <c r="R524" s="286"/>
      <c r="S524" s="288"/>
      <c r="T524" s="286"/>
      <c r="U524" s="288"/>
      <c r="V524" s="286"/>
      <c r="W524" s="288"/>
      <c r="X524" s="286"/>
      <c r="Y524" s="288"/>
      <c r="Z524" s="286"/>
      <c r="AA524" s="288"/>
      <c r="AB524" s="286"/>
      <c r="AC524" s="288"/>
      <c r="AD524" s="286"/>
      <c r="AE524" s="288"/>
      <c r="AF524" s="286"/>
      <c r="AG524" s="288"/>
      <c r="AH524" s="286"/>
      <c r="AI524" s="288"/>
      <c r="AJ524" s="286"/>
      <c r="AK524" s="286"/>
      <c r="AL524" s="286"/>
      <c r="AM524" s="286"/>
      <c r="AN524" s="286"/>
      <c r="AO524" s="286"/>
      <c r="AP524" s="286"/>
      <c r="AQ524" s="286"/>
      <c r="AR524" s="286"/>
      <c r="AS524" s="286"/>
      <c r="AT524" s="286"/>
      <c r="AU524" s="286"/>
      <c r="AV524" s="284"/>
      <c r="AW524" s="284"/>
      <c r="AX524" s="284"/>
      <c r="AY524" s="284"/>
      <c r="AZ524" s="284"/>
      <c r="BA524" s="284"/>
      <c r="BB524" s="284"/>
      <c r="BC524" s="284"/>
      <c r="BD524" s="284"/>
      <c r="BE524" s="284"/>
      <c r="BF524" s="284"/>
      <c r="BG524" s="284"/>
      <c r="BH524" s="284"/>
      <c r="BI524" s="284"/>
      <c r="BJ524" s="284"/>
      <c r="BK524" s="284"/>
      <c r="BL524" s="284"/>
      <c r="BM524" s="284"/>
      <c r="BN524" s="284"/>
      <c r="BO524" s="284"/>
      <c r="BP524" s="284"/>
      <c r="BQ524" s="284"/>
      <c r="BR524" s="284"/>
      <c r="BS524" s="284"/>
      <c r="BT524" s="284"/>
      <c r="BU524" s="284"/>
      <c r="BV524" s="284"/>
      <c r="BW524" s="284"/>
      <c r="BX524" s="284"/>
      <c r="BY524" s="284"/>
      <c r="BZ524" s="285"/>
      <c r="CA524" s="298">
        <f>SUM(C524,E524,G524,I524,K524,M524,O524,Q524,S524,U524,W524,Y524,AA524,AC524,AE524,AG524,AI524,AK524,AM524,AO524,AQ524,AS524,AU524,AW524,AY524,BA524,BC524,BE524,BG524,BI524,BK524,BM524,BO524,BQ524,BS524,BU524,BW524,BY524)</f>
        <v>0</v>
      </c>
      <c r="CB524" s="298">
        <f>SUM(D524,F524,H524,J524,L524,N524,P524,R524,T524,V524,X524,Z524,AB524,AD524,AF524,AH524,AJ524,AL524,AN524,AP524,AR524,AT524,AV524,AX524,AZ524,BB524,BD524,BF524,BH524,BJ524,BL524,BN524,BP524,BR524,BT524,BV524,BX524,BZ524)</f>
        <v>0</v>
      </c>
      <c r="CC524" s="299">
        <f>SUM(Table13[[#This Row],[GOALS 1]:[ASSISTS 38]])</f>
        <v>0</v>
      </c>
    </row>
    <row r="525" spans="1:81">
      <c r="A525" s="291" t="s">
        <v>1427</v>
      </c>
      <c r="B525" s="291" t="s">
        <v>23</v>
      </c>
      <c r="C525" s="289"/>
      <c r="D525" s="286"/>
      <c r="E525" s="288"/>
      <c r="F525" s="286"/>
      <c r="G525" s="288"/>
      <c r="H525" s="286"/>
      <c r="I525" s="288"/>
      <c r="J525" s="286"/>
      <c r="K525" s="288"/>
      <c r="L525" s="286"/>
      <c r="M525" s="288"/>
      <c r="N525" s="286"/>
      <c r="O525" s="288"/>
      <c r="P525" s="286"/>
      <c r="Q525" s="288"/>
      <c r="R525" s="286"/>
      <c r="S525" s="288"/>
      <c r="T525" s="286"/>
      <c r="U525" s="288"/>
      <c r="V525" s="286"/>
      <c r="W525" s="288"/>
      <c r="X525" s="286"/>
      <c r="Y525" s="288"/>
      <c r="Z525" s="286"/>
      <c r="AA525" s="288"/>
      <c r="AB525" s="286"/>
      <c r="AC525" s="288"/>
      <c r="AD525" s="286"/>
      <c r="AE525" s="288"/>
      <c r="AF525" s="286"/>
      <c r="AG525" s="288"/>
      <c r="AH525" s="286"/>
      <c r="AI525" s="288"/>
      <c r="AJ525" s="286"/>
      <c r="AK525" s="286"/>
      <c r="AL525" s="286"/>
      <c r="AM525" s="286"/>
      <c r="AN525" s="286"/>
      <c r="AO525" s="286"/>
      <c r="AP525" s="286"/>
      <c r="AQ525" s="286"/>
      <c r="AR525" s="286"/>
      <c r="AS525" s="286"/>
      <c r="AT525" s="286"/>
      <c r="AU525" s="286"/>
      <c r="AV525" s="284"/>
      <c r="AW525" s="284"/>
      <c r="AX525" s="284"/>
      <c r="AY525" s="284"/>
      <c r="AZ525" s="284"/>
      <c r="BA525" s="284"/>
      <c r="BB525" s="284"/>
      <c r="BC525" s="284"/>
      <c r="BD525" s="284"/>
      <c r="BE525" s="284"/>
      <c r="BF525" s="284"/>
      <c r="BG525" s="284"/>
      <c r="BH525" s="284"/>
      <c r="BI525" s="284"/>
      <c r="BJ525" s="284"/>
      <c r="BK525" s="284"/>
      <c r="BL525" s="284"/>
      <c r="BM525" s="284"/>
      <c r="BN525" s="284"/>
      <c r="BO525" s="284"/>
      <c r="BP525" s="284"/>
      <c r="BQ525" s="284"/>
      <c r="BR525" s="284"/>
      <c r="BS525" s="284"/>
      <c r="BT525" s="284"/>
      <c r="BU525" s="284"/>
      <c r="BV525" s="284"/>
      <c r="BW525" s="284"/>
      <c r="BX525" s="284"/>
      <c r="BY525" s="284"/>
      <c r="BZ525" s="285"/>
      <c r="CA525" s="298">
        <f>SUM(C525,E525,G525,I525,K525,M525,O525,Q525,S525,U525,W525,Y525,AA525,AC525,AE525,AG525,AI525,AK525,AM525,AO525,AQ525,AS525,AU525,AW525,AY525,BA525,BC525,BE525,BG525,BI525,BK525,BM525,BO525,BQ525,BS525,BU525,BW525,BY525)</f>
        <v>0</v>
      </c>
      <c r="CB525" s="298">
        <f>SUM(D525,F525,H525,J525,L525,N525,P525,R525,T525,V525,X525,Z525,AB525,AD525,AF525,AH525,AJ525,AL525,AN525,AP525,AR525,AT525,AV525,AX525,AZ525,BB525,BD525,BF525,BH525,BJ525,BL525,BN525,BP525,BR525,BT525,BV525,BX525,BZ525)</f>
        <v>0</v>
      </c>
      <c r="CC525" s="299">
        <f>SUM(Table13[[#This Row],[GOALS 1]:[ASSISTS 38]])</f>
        <v>0</v>
      </c>
    </row>
    <row r="526" spans="1:81">
      <c r="A526" s="291" t="s">
        <v>1287</v>
      </c>
      <c r="B526" s="291" t="s">
        <v>29</v>
      </c>
      <c r="C526" s="289"/>
      <c r="D526" s="286"/>
      <c r="E526" s="288"/>
      <c r="F526" s="286"/>
      <c r="G526" s="288"/>
      <c r="H526" s="286"/>
      <c r="I526" s="288"/>
      <c r="J526" s="286"/>
      <c r="K526" s="288"/>
      <c r="L526" s="286"/>
      <c r="M526" s="288"/>
      <c r="N526" s="286"/>
      <c r="O526" s="288"/>
      <c r="P526" s="286"/>
      <c r="Q526" s="288"/>
      <c r="R526" s="286"/>
      <c r="S526" s="288"/>
      <c r="T526" s="286"/>
      <c r="U526" s="288"/>
      <c r="V526" s="286"/>
      <c r="W526" s="288"/>
      <c r="X526" s="286"/>
      <c r="Y526" s="288"/>
      <c r="Z526" s="286"/>
      <c r="AA526" s="288"/>
      <c r="AB526" s="286"/>
      <c r="AC526" s="288"/>
      <c r="AD526" s="286"/>
      <c r="AE526" s="288"/>
      <c r="AF526" s="286"/>
      <c r="AG526" s="288"/>
      <c r="AH526" s="286"/>
      <c r="AI526" s="288"/>
      <c r="AJ526" s="286"/>
      <c r="AK526" s="286"/>
      <c r="AL526" s="286"/>
      <c r="AM526" s="286"/>
      <c r="AN526" s="286"/>
      <c r="AO526" s="286"/>
      <c r="AP526" s="286"/>
      <c r="AQ526" s="286"/>
      <c r="AR526" s="286"/>
      <c r="AS526" s="286"/>
      <c r="AT526" s="286"/>
      <c r="AU526" s="286"/>
      <c r="AV526" s="284"/>
      <c r="AW526" s="284"/>
      <c r="AX526" s="284"/>
      <c r="AY526" s="284"/>
      <c r="AZ526" s="284"/>
      <c r="BA526" s="284"/>
      <c r="BB526" s="284"/>
      <c r="BC526" s="284"/>
      <c r="BD526" s="284"/>
      <c r="BE526" s="284"/>
      <c r="BF526" s="284"/>
      <c r="BG526" s="284"/>
      <c r="BH526" s="284"/>
      <c r="BI526" s="284"/>
      <c r="BJ526" s="284"/>
      <c r="BK526" s="284"/>
      <c r="BL526" s="284"/>
      <c r="BM526" s="284"/>
      <c r="BN526" s="284"/>
      <c r="BO526" s="284"/>
      <c r="BP526" s="284"/>
      <c r="BQ526" s="284"/>
      <c r="BR526" s="284"/>
      <c r="BS526" s="284"/>
      <c r="BT526" s="284"/>
      <c r="BU526" s="284"/>
      <c r="BV526" s="284"/>
      <c r="BW526" s="284"/>
      <c r="BX526" s="284"/>
      <c r="BY526" s="284"/>
      <c r="BZ526" s="285"/>
      <c r="CA526" s="298">
        <f>SUM(C526,E526,G526,I526,K526,M526,O526,Q526,S526,U526,W526,Y526,AA526,AC526,AE526,AG526,AI526,AK526,AM526,AO526,AQ526,AS526,AU526,AW526,AY526,BA526,BC526,BE526,BG526,BI526,BK526,BM526,BO526,BQ526,BS526,BU526,BW526,BY526)</f>
        <v>0</v>
      </c>
      <c r="CB526" s="298">
        <f>SUM(D526,F526,H526,J526,L526,N526,P526,R526,T526,V526,X526,Z526,AB526,AD526,AF526,AH526,AJ526,AL526,AN526,AP526,AR526,AT526,AV526,AX526,AZ526,BB526,BD526,BF526,BH526,BJ526,BL526,BN526,BP526,BR526,BT526,BV526,BX526,BZ526)</f>
        <v>0</v>
      </c>
      <c r="CC526" s="299">
        <f>SUM(Table13[[#This Row],[GOALS 1]:[ASSISTS 38]])</f>
        <v>0</v>
      </c>
    </row>
    <row r="527" spans="1:81">
      <c r="A527" s="300" t="s">
        <v>1761</v>
      </c>
      <c r="B527" s="300" t="s">
        <v>634</v>
      </c>
      <c r="C527" s="304"/>
      <c r="D527" s="286"/>
      <c r="E527" s="288"/>
      <c r="F527" s="286"/>
      <c r="G527" s="288"/>
      <c r="H527" s="286"/>
      <c r="I527" s="288"/>
      <c r="J527" s="286"/>
      <c r="K527" s="288"/>
      <c r="L527" s="286"/>
      <c r="M527" s="288"/>
      <c r="N527" s="286"/>
      <c r="O527" s="288"/>
      <c r="P527" s="286"/>
      <c r="Q527" s="288"/>
      <c r="R527" s="286"/>
      <c r="S527" s="288"/>
      <c r="T527" s="286"/>
      <c r="U527" s="288"/>
      <c r="V527" s="286"/>
      <c r="W527" s="288"/>
      <c r="X527" s="286"/>
      <c r="Y527" s="288"/>
      <c r="Z527" s="286"/>
      <c r="AA527" s="288"/>
      <c r="AB527" s="286"/>
      <c r="AC527" s="288"/>
      <c r="AD527" s="286"/>
      <c r="AE527" s="288"/>
      <c r="AF527" s="286"/>
      <c r="AG527" s="288"/>
      <c r="AH527" s="286"/>
      <c r="AI527" s="288"/>
      <c r="AJ527" s="286"/>
      <c r="AK527" s="286"/>
      <c r="AL527" s="286"/>
      <c r="AM527" s="286"/>
      <c r="AN527" s="286"/>
      <c r="AO527" s="286"/>
      <c r="AP527" s="286"/>
      <c r="AQ527" s="286"/>
      <c r="AR527" s="286"/>
      <c r="AS527" s="286"/>
      <c r="AT527" s="286"/>
      <c r="AU527" s="286"/>
      <c r="AV527" s="284"/>
      <c r="AW527" s="284"/>
      <c r="AX527" s="284"/>
      <c r="AY527" s="284"/>
      <c r="AZ527" s="284"/>
      <c r="BA527" s="284"/>
      <c r="BB527" s="284"/>
      <c r="BC527" s="284"/>
      <c r="BD527" s="284"/>
      <c r="BE527" s="284"/>
      <c r="BF527" s="284"/>
      <c r="BG527" s="284"/>
      <c r="BH527" s="284"/>
      <c r="BI527" s="284"/>
      <c r="BJ527" s="284"/>
      <c r="BK527" s="284"/>
      <c r="BL527" s="284"/>
      <c r="BM527" s="284"/>
      <c r="BN527" s="284"/>
      <c r="BO527" s="284"/>
      <c r="BP527" s="284"/>
      <c r="BQ527" s="284"/>
      <c r="BR527" s="284"/>
      <c r="BS527" s="284"/>
      <c r="BT527" s="284"/>
      <c r="BU527" s="284"/>
      <c r="BV527" s="284"/>
      <c r="BW527" s="284"/>
      <c r="BX527" s="284"/>
      <c r="BY527" s="284"/>
      <c r="BZ527" s="285"/>
      <c r="CA527" s="298">
        <f>SUM(C527,E527,G527,I527,K527,M527,O527,Q527,S527,U527,W527,Y527,AA527,AC527,AE527,AG527,AI527,AK527,AM527,AO527,AQ527,AS527,AU527,AW527,AY527,BA527,BC527,BE527,BG527,BI527,BK527,BM527,BO527,BQ527,BS527,BU527,BW527,BY527)</f>
        <v>0</v>
      </c>
      <c r="CB527" s="298">
        <f>SUM(D527,F527,H527,J527,L527,N527,P527,R527,T527,V527,X527,Z527,AB527,AD527,AF527,AH527,AJ527,AL527,AN527,AP527,AR527,AT527,AV527,AX527,AZ527,BB527,BD527,BF527,BH527,BJ527,BL527,BN527,BP527,BR527,BT527,BV527,BX527,BZ527)</f>
        <v>0</v>
      </c>
      <c r="CC527" s="299">
        <f>SUM(Table13[[#This Row],[GOALS 1]:[ASSISTS 38]])</f>
        <v>0</v>
      </c>
    </row>
    <row r="528" spans="1:81">
      <c r="A528" s="303" t="s">
        <v>1822</v>
      </c>
      <c r="B528" s="303" t="s">
        <v>22</v>
      </c>
      <c r="C528" s="286"/>
      <c r="D528" s="286"/>
      <c r="E528" s="288"/>
      <c r="F528" s="286"/>
      <c r="G528" s="288"/>
      <c r="H528" s="286"/>
      <c r="I528" s="288"/>
      <c r="J528" s="286"/>
      <c r="K528" s="288"/>
      <c r="L528" s="286"/>
      <c r="M528" s="288"/>
      <c r="N528" s="286"/>
      <c r="O528" s="288"/>
      <c r="P528" s="286"/>
      <c r="Q528" s="288"/>
      <c r="R528" s="286"/>
      <c r="S528" s="288"/>
      <c r="T528" s="286"/>
      <c r="U528" s="288"/>
      <c r="V528" s="286"/>
      <c r="W528" s="288"/>
      <c r="X528" s="286"/>
      <c r="Y528" s="288"/>
      <c r="Z528" s="286"/>
      <c r="AA528" s="288"/>
      <c r="AB528" s="286"/>
      <c r="AC528" s="288"/>
      <c r="AD528" s="286"/>
      <c r="AE528" s="288"/>
      <c r="AF528" s="286"/>
      <c r="AG528" s="288"/>
      <c r="AH528" s="286"/>
      <c r="AI528" s="288"/>
      <c r="AJ528" s="286"/>
      <c r="AK528" s="286"/>
      <c r="AL528" s="286"/>
      <c r="AM528" s="286"/>
      <c r="AN528" s="286"/>
      <c r="AO528" s="286"/>
      <c r="AP528" s="286"/>
      <c r="AQ528" s="286"/>
      <c r="AR528" s="286"/>
      <c r="AS528" s="286"/>
      <c r="AT528" s="286"/>
      <c r="AU528" s="286"/>
      <c r="AV528" s="284"/>
      <c r="AW528" s="284"/>
      <c r="AX528" s="284"/>
      <c r="AY528" s="284"/>
      <c r="AZ528" s="284"/>
      <c r="BA528" s="284"/>
      <c r="BB528" s="284"/>
      <c r="BC528" s="284"/>
      <c r="BD528" s="284"/>
      <c r="BE528" s="284"/>
      <c r="BF528" s="284"/>
      <c r="BG528" s="284"/>
      <c r="BH528" s="284"/>
      <c r="BI528" s="284"/>
      <c r="BJ528" s="284"/>
      <c r="BK528" s="284"/>
      <c r="BL528" s="284"/>
      <c r="BM528" s="284"/>
      <c r="BN528" s="284"/>
      <c r="BO528" s="284"/>
      <c r="BP528" s="284"/>
      <c r="BQ528" s="284"/>
      <c r="BR528" s="284"/>
      <c r="BS528" s="284"/>
      <c r="BT528" s="284"/>
      <c r="BU528" s="284"/>
      <c r="BV528" s="284"/>
      <c r="BW528" s="284"/>
      <c r="BX528" s="284"/>
      <c r="BY528" s="284"/>
      <c r="BZ528" s="285"/>
      <c r="CA528" s="298">
        <f>SUM(C528,E528,G528,I528,K528,M528,O528,Q528,S528,U528,W528,Y528,AA528,AC528,AE528,AG528,AI528,AK528,AM528,AO528,AQ528,AS528,AU528,AW528,AY528,BA528,BC528,BE528,BG528,BI528,BK528,BM528,BO528,BQ528,BS528,BU528,BW528,BY528)</f>
        <v>0</v>
      </c>
      <c r="CB528" s="298">
        <f>SUM(D528,F528,H528,J528,L528,N528,P528,R528,T528,V528,X528,Z528,AB528,AD528,AF528,AH528,AJ528,AL528,AN528,AP528,AR528,AT528,AV528,AX528,AZ528,BB528,BD528,BF528,BH528,BJ528,BL528,BN528,BP528,BR528,BT528,BV528,BX528,BZ528)</f>
        <v>0</v>
      </c>
      <c r="CC528" s="299">
        <f>SUM(Table13[[#This Row],[GOALS 1]:[ASSISTS 38]])</f>
        <v>0</v>
      </c>
    </row>
    <row r="529" spans="1:81">
      <c r="A529" s="291" t="s">
        <v>1787</v>
      </c>
      <c r="B529" s="291" t="s">
        <v>19</v>
      </c>
      <c r="C529" s="286"/>
      <c r="D529" s="286"/>
      <c r="E529" s="288"/>
      <c r="F529" s="286"/>
      <c r="G529" s="288"/>
      <c r="H529" s="286"/>
      <c r="I529" s="288"/>
      <c r="J529" s="286"/>
      <c r="K529" s="288"/>
      <c r="L529" s="286"/>
      <c r="M529" s="288"/>
      <c r="N529" s="286"/>
      <c r="O529" s="288"/>
      <c r="P529" s="286"/>
      <c r="Q529" s="288"/>
      <c r="R529" s="286"/>
      <c r="S529" s="288"/>
      <c r="T529" s="286"/>
      <c r="U529" s="288"/>
      <c r="V529" s="286"/>
      <c r="W529" s="288"/>
      <c r="X529" s="286"/>
      <c r="Y529" s="288"/>
      <c r="Z529" s="286"/>
      <c r="AA529" s="288"/>
      <c r="AB529" s="286"/>
      <c r="AC529" s="288"/>
      <c r="AD529" s="286"/>
      <c r="AE529" s="288"/>
      <c r="AF529" s="286"/>
      <c r="AG529" s="288"/>
      <c r="AH529" s="286"/>
      <c r="AI529" s="288"/>
      <c r="AJ529" s="286"/>
      <c r="AK529" s="286"/>
      <c r="AL529" s="286"/>
      <c r="AM529" s="286"/>
      <c r="AN529" s="286"/>
      <c r="AO529" s="286"/>
      <c r="AP529" s="286"/>
      <c r="AQ529" s="286"/>
      <c r="AR529" s="286"/>
      <c r="AS529" s="286"/>
      <c r="AT529" s="286"/>
      <c r="AU529" s="286"/>
      <c r="AV529" s="284"/>
      <c r="AW529" s="284"/>
      <c r="AX529" s="284"/>
      <c r="AY529" s="284"/>
      <c r="AZ529" s="284"/>
      <c r="BA529" s="284"/>
      <c r="BB529" s="284"/>
      <c r="BC529" s="284"/>
      <c r="BD529" s="284"/>
      <c r="BE529" s="284"/>
      <c r="BF529" s="284"/>
      <c r="BG529" s="284"/>
      <c r="BH529" s="284"/>
      <c r="BI529" s="284"/>
      <c r="BJ529" s="284"/>
      <c r="BK529" s="284"/>
      <c r="BL529" s="284"/>
      <c r="BM529" s="284"/>
      <c r="BN529" s="284"/>
      <c r="BO529" s="284"/>
      <c r="BP529" s="284"/>
      <c r="BQ529" s="284"/>
      <c r="BR529" s="284"/>
      <c r="BS529" s="284"/>
      <c r="BT529" s="284"/>
      <c r="BU529" s="284"/>
      <c r="BV529" s="284"/>
      <c r="BW529" s="284"/>
      <c r="BX529" s="284"/>
      <c r="BY529" s="284"/>
      <c r="BZ529" s="285"/>
      <c r="CA529" s="298">
        <f>SUM(C529,E529,G529,I529,K529,M529,O529,Q529,S529,U529,W529,Y529,AA529,AC529,AE529,AG529,AI529,AK529,AM529,AO529,AQ529,AS529,AU529,AW529,AY529,BA529,BC529,BE529,BG529,BI529,BK529,BM529,BO529,BQ529,BS529,BU529,BW529,BY529)</f>
        <v>0</v>
      </c>
      <c r="CB529" s="298">
        <f>SUM(D529,F529,H529,J529,L529,N529,P529,R529,T529,V529,X529,Z529,AB529,AD529,AF529,AH529,AJ529,AL529,AN529,AP529,AR529,AT529,AV529,AX529,AZ529,BB529,BD529,BF529,BH529,BJ529,BL529,BN529,BP529,BR529,BT529,BV529,BX529,BZ529)</f>
        <v>0</v>
      </c>
      <c r="CC529" s="299">
        <f>SUM(Table13[[#This Row],[GOALS 1]:[ASSISTS 38]])</f>
        <v>0</v>
      </c>
    </row>
    <row r="530" spans="1:81">
      <c r="A530" s="291" t="s">
        <v>1541</v>
      </c>
      <c r="B530" s="291" t="s">
        <v>24</v>
      </c>
      <c r="C530" s="286"/>
      <c r="D530" s="286"/>
      <c r="E530" s="288"/>
      <c r="F530" s="286"/>
      <c r="G530" s="288"/>
      <c r="H530" s="286"/>
      <c r="I530" s="288"/>
      <c r="J530" s="286"/>
      <c r="K530" s="288"/>
      <c r="L530" s="286"/>
      <c r="M530" s="288"/>
      <c r="N530" s="286"/>
      <c r="O530" s="288"/>
      <c r="P530" s="286"/>
      <c r="Q530" s="288"/>
      <c r="R530" s="286"/>
      <c r="S530" s="288"/>
      <c r="T530" s="286"/>
      <c r="U530" s="288"/>
      <c r="V530" s="286"/>
      <c r="W530" s="288"/>
      <c r="X530" s="286"/>
      <c r="Y530" s="288"/>
      <c r="Z530" s="286"/>
      <c r="AA530" s="288"/>
      <c r="AB530" s="286"/>
      <c r="AC530" s="288"/>
      <c r="AD530" s="286"/>
      <c r="AE530" s="288"/>
      <c r="AF530" s="286"/>
      <c r="AG530" s="288"/>
      <c r="AH530" s="286"/>
      <c r="AI530" s="288"/>
      <c r="AJ530" s="286"/>
      <c r="AK530" s="286"/>
      <c r="AL530" s="286"/>
      <c r="AM530" s="286"/>
      <c r="AN530" s="286"/>
      <c r="AO530" s="286"/>
      <c r="AP530" s="286"/>
      <c r="AQ530" s="286"/>
      <c r="AR530" s="286"/>
      <c r="AS530" s="286"/>
      <c r="AT530" s="286"/>
      <c r="AU530" s="286"/>
      <c r="AV530" s="284"/>
      <c r="AW530" s="284"/>
      <c r="AX530" s="284"/>
      <c r="AY530" s="284"/>
      <c r="AZ530" s="284"/>
      <c r="BA530" s="284"/>
      <c r="BB530" s="284"/>
      <c r="BC530" s="284"/>
      <c r="BD530" s="284"/>
      <c r="BE530" s="284"/>
      <c r="BF530" s="284"/>
      <c r="BG530" s="284"/>
      <c r="BH530" s="284"/>
      <c r="BI530" s="284"/>
      <c r="BJ530" s="284"/>
      <c r="BK530" s="284"/>
      <c r="BL530" s="284"/>
      <c r="BM530" s="284"/>
      <c r="BN530" s="284"/>
      <c r="BO530" s="284"/>
      <c r="BP530" s="284"/>
      <c r="BQ530" s="284"/>
      <c r="BR530" s="284"/>
      <c r="BS530" s="284"/>
      <c r="BT530" s="284"/>
      <c r="BU530" s="284"/>
      <c r="BV530" s="284"/>
      <c r="BW530" s="284"/>
      <c r="BX530" s="284"/>
      <c r="BY530" s="284"/>
      <c r="BZ530" s="285"/>
      <c r="CA530" s="298">
        <f>SUM(C530,E530,G530,I530,K530,M530,O530,Q530,S530,U530,W530,Y530,AA530,AC530,AE530,AG530,AI530,AK530,AM530,AO530,AQ530,AS530,AU530,AW530,AY530,BA530,BC530,BE530,BG530,BI530,BK530,BM530,BO530,BQ530,BS530,BU530,BW530,BY530)</f>
        <v>0</v>
      </c>
      <c r="CB530" s="298">
        <f>SUM(D530,F530,H530,J530,L530,N530,P530,R530,T530,V530,X530,Z530,AB530,AD530,AF530,AH530,AJ530,AL530,AN530,AP530,AR530,AT530,AV530,AX530,AZ530,BB530,BD530,BF530,BH530,BJ530,BL530,BN530,BP530,BR530,BT530,BV530,BX530,BZ530)</f>
        <v>0</v>
      </c>
      <c r="CC530" s="299">
        <f>SUM(Table13[[#This Row],[GOALS 1]:[ASSISTS 38]])</f>
        <v>0</v>
      </c>
    </row>
    <row r="531" spans="1:81">
      <c r="A531" s="291" t="s">
        <v>1334</v>
      </c>
      <c r="B531" s="291" t="s">
        <v>30</v>
      </c>
      <c r="C531" s="286"/>
      <c r="D531" s="286"/>
      <c r="E531" s="288"/>
      <c r="F531" s="286"/>
      <c r="G531" s="288"/>
      <c r="H531" s="286"/>
      <c r="I531" s="288"/>
      <c r="J531" s="286"/>
      <c r="K531" s="288"/>
      <c r="L531" s="286"/>
      <c r="M531" s="288"/>
      <c r="N531" s="286"/>
      <c r="O531" s="288"/>
      <c r="P531" s="286"/>
      <c r="Q531" s="288"/>
      <c r="R531" s="286"/>
      <c r="S531" s="288"/>
      <c r="T531" s="286"/>
      <c r="U531" s="288"/>
      <c r="V531" s="286"/>
      <c r="W531" s="288"/>
      <c r="X531" s="286"/>
      <c r="Y531" s="288"/>
      <c r="Z531" s="286"/>
      <c r="AA531" s="288"/>
      <c r="AB531" s="286"/>
      <c r="AC531" s="288"/>
      <c r="AD531" s="286"/>
      <c r="AE531" s="288"/>
      <c r="AF531" s="286"/>
      <c r="AG531" s="288"/>
      <c r="AH531" s="286"/>
      <c r="AI531" s="288"/>
      <c r="AJ531" s="286"/>
      <c r="AK531" s="286"/>
      <c r="AL531" s="286"/>
      <c r="AM531" s="286"/>
      <c r="AN531" s="286"/>
      <c r="AO531" s="286"/>
      <c r="AP531" s="286"/>
      <c r="AQ531" s="286"/>
      <c r="AR531" s="286"/>
      <c r="AS531" s="286"/>
      <c r="AT531" s="286"/>
      <c r="AU531" s="286"/>
      <c r="AV531" s="284"/>
      <c r="AW531" s="284"/>
      <c r="AX531" s="284"/>
      <c r="AY531" s="284"/>
      <c r="AZ531" s="284"/>
      <c r="BA531" s="284"/>
      <c r="BB531" s="284"/>
      <c r="BC531" s="284"/>
      <c r="BD531" s="284"/>
      <c r="BE531" s="284"/>
      <c r="BF531" s="284"/>
      <c r="BG531" s="284"/>
      <c r="BH531" s="284"/>
      <c r="BI531" s="284"/>
      <c r="BJ531" s="284"/>
      <c r="BK531" s="284"/>
      <c r="BL531" s="284"/>
      <c r="BM531" s="284"/>
      <c r="BN531" s="284"/>
      <c r="BO531" s="284"/>
      <c r="BP531" s="284"/>
      <c r="BQ531" s="284"/>
      <c r="BR531" s="284"/>
      <c r="BS531" s="284"/>
      <c r="BT531" s="284"/>
      <c r="BU531" s="284"/>
      <c r="BV531" s="284"/>
      <c r="BW531" s="284"/>
      <c r="BX531" s="284"/>
      <c r="BY531" s="284"/>
      <c r="BZ531" s="285"/>
      <c r="CA531" s="298">
        <f>SUM(C531,E531,G531,I531,K531,M531,O531,Q531,S531,U531,W531,Y531,AA531,AC531,AE531,AG531,AI531,AK531,AM531,AO531,AQ531,AS531,AU531,AW531,AY531,BA531,BC531,BE531,BG531,BI531,BK531,BM531,BO531,BQ531,BS531,BU531,BW531,BY531)</f>
        <v>0</v>
      </c>
      <c r="CB531" s="298">
        <f>SUM(D531,F531,H531,J531,L531,N531,P531,R531,T531,V531,X531,Z531,AB531,AD531,AF531,AH531,AJ531,AL531,AN531,AP531,AR531,AT531,AV531,AX531,AZ531,BB531,BD531,BF531,BH531,BJ531,BL531,BN531,BP531,BR531,BT531,BV531,BX531,BZ531)</f>
        <v>0</v>
      </c>
      <c r="CC531" s="299">
        <f>SUM(Table13[[#This Row],[GOALS 1]:[ASSISTS 38]])</f>
        <v>0</v>
      </c>
    </row>
    <row r="532" spans="1:81">
      <c r="A532" s="291" t="s">
        <v>1348</v>
      </c>
      <c r="B532" s="291" t="s">
        <v>29</v>
      </c>
      <c r="C532" s="289"/>
      <c r="D532" s="286"/>
      <c r="E532" s="288"/>
      <c r="F532" s="286"/>
      <c r="G532" s="288"/>
      <c r="H532" s="286"/>
      <c r="I532" s="288"/>
      <c r="J532" s="286"/>
      <c r="K532" s="288"/>
      <c r="L532" s="286"/>
      <c r="M532" s="288"/>
      <c r="N532" s="286"/>
      <c r="O532" s="288"/>
      <c r="P532" s="286"/>
      <c r="Q532" s="288"/>
      <c r="R532" s="286"/>
      <c r="S532" s="288"/>
      <c r="T532" s="286"/>
      <c r="U532" s="288"/>
      <c r="V532" s="286"/>
      <c r="W532" s="288"/>
      <c r="X532" s="286"/>
      <c r="Y532" s="288"/>
      <c r="Z532" s="286"/>
      <c r="AA532" s="288"/>
      <c r="AB532" s="286"/>
      <c r="AC532" s="288"/>
      <c r="AD532" s="286"/>
      <c r="AE532" s="288"/>
      <c r="AF532" s="286"/>
      <c r="AG532" s="288"/>
      <c r="AH532" s="286"/>
      <c r="AI532" s="288"/>
      <c r="AJ532" s="286"/>
      <c r="AK532" s="286"/>
      <c r="AL532" s="286"/>
      <c r="AM532" s="286"/>
      <c r="AN532" s="286"/>
      <c r="AO532" s="286"/>
      <c r="AP532" s="286"/>
      <c r="AQ532" s="286"/>
      <c r="AR532" s="286"/>
      <c r="AS532" s="286"/>
      <c r="AT532" s="286"/>
      <c r="AU532" s="286"/>
      <c r="AV532" s="284"/>
      <c r="AW532" s="284"/>
      <c r="AX532" s="284"/>
      <c r="AY532" s="284"/>
      <c r="AZ532" s="284"/>
      <c r="BA532" s="284"/>
      <c r="BB532" s="284"/>
      <c r="BC532" s="284"/>
      <c r="BD532" s="284"/>
      <c r="BE532" s="284"/>
      <c r="BF532" s="284"/>
      <c r="BG532" s="284"/>
      <c r="BH532" s="284"/>
      <c r="BI532" s="284"/>
      <c r="BJ532" s="284"/>
      <c r="BK532" s="284"/>
      <c r="BL532" s="284"/>
      <c r="BM532" s="284"/>
      <c r="BN532" s="284"/>
      <c r="BO532" s="284"/>
      <c r="BP532" s="284"/>
      <c r="BQ532" s="284"/>
      <c r="BR532" s="284"/>
      <c r="BS532" s="284"/>
      <c r="BT532" s="284"/>
      <c r="BU532" s="284"/>
      <c r="BV532" s="284"/>
      <c r="BW532" s="284"/>
      <c r="BX532" s="284"/>
      <c r="BY532" s="284"/>
      <c r="BZ532" s="285"/>
      <c r="CA532" s="298">
        <f>SUM(C532,E532,G532,I532,K532,M532,O532,Q532,S532,U532,W532,Y532,AA532,AC532,AE532,AG532,AI532,AK532,AM532,AO532,AQ532,AS532,AU532,AW532,AY532,BA532,BC532,BE532,BG532,BI532,BK532,BM532,BO532,BQ532,BS532,BU532,BW532,BY532)</f>
        <v>0</v>
      </c>
      <c r="CB532" s="298">
        <f>SUM(D532,F532,H532,J532,L532,N532,P532,R532,T532,V532,X532,Z532,AB532,AD532,AF532,AH532,AJ532,AL532,AN532,AP532,AR532,AT532,AV532,AX532,AZ532,BB532,BD532,BF532,BH532,BJ532,BL532,BN532,BP532,BR532,BT532,BV532,BX532,BZ532)</f>
        <v>0</v>
      </c>
      <c r="CC532" s="299">
        <f>SUM(Table13[[#This Row],[GOALS 1]:[ASSISTS 38]])</f>
        <v>0</v>
      </c>
    </row>
    <row r="533" spans="1:81">
      <c r="A533" s="291" t="s">
        <v>1395</v>
      </c>
      <c r="B533" s="291" t="s">
        <v>18</v>
      </c>
      <c r="C533" s="286"/>
      <c r="D533" s="286"/>
      <c r="E533" s="288"/>
      <c r="F533" s="286"/>
      <c r="G533" s="288"/>
      <c r="H533" s="286"/>
      <c r="I533" s="288"/>
      <c r="J533" s="286"/>
      <c r="K533" s="288"/>
      <c r="L533" s="286"/>
      <c r="M533" s="288"/>
      <c r="N533" s="286"/>
      <c r="O533" s="288"/>
      <c r="P533" s="286"/>
      <c r="Q533" s="288"/>
      <c r="R533" s="286"/>
      <c r="S533" s="288"/>
      <c r="T533" s="286"/>
      <c r="U533" s="288"/>
      <c r="V533" s="286"/>
      <c r="W533" s="288"/>
      <c r="X533" s="286"/>
      <c r="Y533" s="288"/>
      <c r="Z533" s="286"/>
      <c r="AA533" s="288"/>
      <c r="AB533" s="286"/>
      <c r="AC533" s="288"/>
      <c r="AD533" s="286"/>
      <c r="AE533" s="288"/>
      <c r="AF533" s="286"/>
      <c r="AG533" s="288"/>
      <c r="AH533" s="286"/>
      <c r="AI533" s="288"/>
      <c r="AJ533" s="286"/>
      <c r="AK533" s="286"/>
      <c r="AL533" s="286"/>
      <c r="AM533" s="286"/>
      <c r="AN533" s="286"/>
      <c r="AO533" s="286"/>
      <c r="AP533" s="286"/>
      <c r="AQ533" s="286"/>
      <c r="AR533" s="286"/>
      <c r="AS533" s="286"/>
      <c r="AT533" s="286"/>
      <c r="AU533" s="286"/>
      <c r="AV533" s="284"/>
      <c r="AW533" s="284"/>
      <c r="AX533" s="284"/>
      <c r="AY533" s="284"/>
      <c r="AZ533" s="284"/>
      <c r="BA533" s="284"/>
      <c r="BB533" s="284"/>
      <c r="BC533" s="284"/>
      <c r="BD533" s="284"/>
      <c r="BE533" s="284"/>
      <c r="BF533" s="284"/>
      <c r="BG533" s="284"/>
      <c r="BH533" s="284"/>
      <c r="BI533" s="284"/>
      <c r="BJ533" s="284"/>
      <c r="BK533" s="284"/>
      <c r="BL533" s="284"/>
      <c r="BM533" s="284"/>
      <c r="BN533" s="284"/>
      <c r="BO533" s="284"/>
      <c r="BP533" s="284"/>
      <c r="BQ533" s="284"/>
      <c r="BR533" s="284"/>
      <c r="BS533" s="284"/>
      <c r="BT533" s="284"/>
      <c r="BU533" s="284"/>
      <c r="BV533" s="284"/>
      <c r="BW533" s="284"/>
      <c r="BX533" s="284"/>
      <c r="BY533" s="284"/>
      <c r="BZ533" s="285"/>
      <c r="CA533" s="298">
        <f>SUM(C533,E533,G533,I533,K533,M533,O533,Q533,S533,U533,W533,Y533,AA533,AC533,AE533,AG533,AI533,AK533,AM533,AO533,AQ533,AS533,AU533,AW533,AY533,BA533,BC533,BE533,BG533,BI533,BK533,BM533,BO533,BQ533,BS533,BU533,BW533,BY533)</f>
        <v>0</v>
      </c>
      <c r="CB533" s="298">
        <f>SUM(D533,F533,H533,J533,L533,N533,P533,R533,T533,V533,X533,Z533,AB533,AD533,AF533,AH533,AJ533,AL533,AN533,AP533,AR533,AT533,AV533,AX533,AZ533,BB533,BD533,BF533,BH533,BJ533,BL533,BN533,BP533,BR533,BT533,BV533,BX533,BZ533)</f>
        <v>0</v>
      </c>
      <c r="CC533" s="299">
        <f>SUM(Table13[[#This Row],[GOALS 1]:[ASSISTS 38]])</f>
        <v>0</v>
      </c>
    </row>
    <row r="534" spans="1:81">
      <c r="A534" s="291" t="s">
        <v>1864</v>
      </c>
      <c r="B534" s="291" t="s">
        <v>24</v>
      </c>
      <c r="C534" s="286"/>
      <c r="D534" s="286"/>
      <c r="E534" s="288"/>
      <c r="F534" s="286"/>
      <c r="G534" s="288"/>
      <c r="H534" s="286"/>
      <c r="I534" s="288"/>
      <c r="J534" s="286"/>
      <c r="K534" s="288"/>
      <c r="L534" s="286"/>
      <c r="M534" s="288"/>
      <c r="N534" s="286"/>
      <c r="O534" s="288"/>
      <c r="P534" s="286"/>
      <c r="Q534" s="288"/>
      <c r="R534" s="286"/>
      <c r="S534" s="288"/>
      <c r="T534" s="286"/>
      <c r="U534" s="288"/>
      <c r="V534" s="286"/>
      <c r="W534" s="288"/>
      <c r="X534" s="286"/>
      <c r="Y534" s="288"/>
      <c r="Z534" s="286"/>
      <c r="AA534" s="288"/>
      <c r="AB534" s="286"/>
      <c r="AC534" s="288"/>
      <c r="AD534" s="286"/>
      <c r="AE534" s="288"/>
      <c r="AF534" s="286"/>
      <c r="AG534" s="288"/>
      <c r="AH534" s="286"/>
      <c r="AI534" s="288"/>
      <c r="AJ534" s="286"/>
      <c r="AK534" s="286"/>
      <c r="AL534" s="286"/>
      <c r="AM534" s="286"/>
      <c r="AN534" s="286"/>
      <c r="AO534" s="286"/>
      <c r="AP534" s="286"/>
      <c r="AQ534" s="286"/>
      <c r="AR534" s="286"/>
      <c r="AS534" s="286"/>
      <c r="AT534" s="286"/>
      <c r="AU534" s="286"/>
      <c r="AV534" s="284"/>
      <c r="AW534" s="284"/>
      <c r="AX534" s="284"/>
      <c r="AY534" s="284"/>
      <c r="AZ534" s="284"/>
      <c r="BA534" s="284"/>
      <c r="BB534" s="284"/>
      <c r="BC534" s="284"/>
      <c r="BD534" s="284"/>
      <c r="BE534" s="284"/>
      <c r="BF534" s="284"/>
      <c r="BG534" s="284"/>
      <c r="BH534" s="284"/>
      <c r="BI534" s="284"/>
      <c r="BJ534" s="284"/>
      <c r="BK534" s="284"/>
      <c r="BL534" s="284"/>
      <c r="BM534" s="284"/>
      <c r="BN534" s="284"/>
      <c r="BO534" s="284"/>
      <c r="BP534" s="284"/>
      <c r="BQ534" s="284"/>
      <c r="BR534" s="284"/>
      <c r="BS534" s="284"/>
      <c r="BT534" s="284"/>
      <c r="BU534" s="284"/>
      <c r="BV534" s="284"/>
      <c r="BW534" s="284"/>
      <c r="BX534" s="284"/>
      <c r="BY534" s="284"/>
      <c r="BZ534" s="285"/>
      <c r="CA534" s="298">
        <f>SUM(C534,E534,G534,I534,K534,M534,O534,Q534,S534,U534,W534,Y534,AA534,AC534,AE534,AG534,AI534,AK534,AM534,AO534,AQ534,AS534,AU534,AW534,AY534,BA534,BC534,BE534,BG534,BI534,BK534,BM534,BO534,BQ534,BS534,BU534,BW534,BY534)</f>
        <v>0</v>
      </c>
      <c r="CB534" s="298">
        <f>SUM(D534,F534,H534,J534,L534,N534,P534,R534,T534,V534,X534,Z534,AB534,AD534,AF534,AH534,AJ534,AL534,AN534,AP534,AR534,AT534,AV534,AX534,AZ534,BB534,BD534,BF534,BH534,BJ534,BL534,BN534,BP534,BR534,BT534,BV534,BX534,BZ534)</f>
        <v>0</v>
      </c>
      <c r="CC534" s="299">
        <f>SUM(Table13[[#This Row],[GOALS 1]:[ASSISTS 38]])</f>
        <v>0</v>
      </c>
    </row>
    <row r="535" spans="1:81">
      <c r="A535" s="291" t="s">
        <v>1532</v>
      </c>
      <c r="B535" s="291" t="s">
        <v>20</v>
      </c>
      <c r="C535" s="289"/>
      <c r="D535" s="286"/>
      <c r="E535" s="288"/>
      <c r="F535" s="286"/>
      <c r="G535" s="288"/>
      <c r="H535" s="286"/>
      <c r="I535" s="288"/>
      <c r="J535" s="286"/>
      <c r="K535" s="288"/>
      <c r="L535" s="286"/>
      <c r="M535" s="288"/>
      <c r="N535" s="286"/>
      <c r="O535" s="288"/>
      <c r="P535" s="286"/>
      <c r="Q535" s="288"/>
      <c r="R535" s="286"/>
      <c r="S535" s="288"/>
      <c r="T535" s="286"/>
      <c r="U535" s="288"/>
      <c r="V535" s="286"/>
      <c r="W535" s="288"/>
      <c r="X535" s="286"/>
      <c r="Y535" s="288"/>
      <c r="Z535" s="286"/>
      <c r="AA535" s="288"/>
      <c r="AB535" s="286"/>
      <c r="AC535" s="288"/>
      <c r="AD535" s="286"/>
      <c r="AE535" s="288"/>
      <c r="AF535" s="286"/>
      <c r="AG535" s="288"/>
      <c r="AH535" s="286"/>
      <c r="AI535" s="288"/>
      <c r="AJ535" s="286"/>
      <c r="AK535" s="286"/>
      <c r="AL535" s="286"/>
      <c r="AM535" s="286"/>
      <c r="AN535" s="286"/>
      <c r="AO535" s="286"/>
      <c r="AP535" s="286"/>
      <c r="AQ535" s="286"/>
      <c r="AR535" s="286"/>
      <c r="AS535" s="286"/>
      <c r="AT535" s="286"/>
      <c r="AU535" s="286"/>
      <c r="AV535" s="284"/>
      <c r="AW535" s="284"/>
      <c r="AX535" s="284"/>
      <c r="AY535" s="284"/>
      <c r="AZ535" s="284"/>
      <c r="BA535" s="284"/>
      <c r="BB535" s="284"/>
      <c r="BC535" s="284"/>
      <c r="BD535" s="284"/>
      <c r="BE535" s="284"/>
      <c r="BF535" s="284"/>
      <c r="BG535" s="284"/>
      <c r="BH535" s="284"/>
      <c r="BI535" s="284"/>
      <c r="BJ535" s="284"/>
      <c r="BK535" s="284"/>
      <c r="BL535" s="284"/>
      <c r="BM535" s="284"/>
      <c r="BN535" s="284"/>
      <c r="BO535" s="284"/>
      <c r="BP535" s="284"/>
      <c r="BQ535" s="284"/>
      <c r="BR535" s="284"/>
      <c r="BS535" s="284"/>
      <c r="BT535" s="284"/>
      <c r="BU535" s="284"/>
      <c r="BV535" s="284"/>
      <c r="BW535" s="284"/>
      <c r="BX535" s="284"/>
      <c r="BY535" s="284"/>
      <c r="BZ535" s="285"/>
      <c r="CA535" s="298">
        <f>SUM(C535,E535,G535,I535,K535,M535,O535,Q535,S535,U535,W535,Y535,AA535,AC535,AE535,AG535,AI535,AK535,AM535,AO535,AQ535,AS535,AU535,AW535,AY535,BA535,BC535,BE535,BG535,BI535,BK535,BM535,BO535,BQ535,BS535,BU535,BW535,BY535)</f>
        <v>0</v>
      </c>
      <c r="CB535" s="298">
        <f>SUM(D535,F535,H535,J535,L535,N535,P535,R535,T535,V535,X535,Z535,AB535,AD535,AF535,AH535,AJ535,AL535,AN535,AP535,AR535,AT535,AV535,AX535,AZ535,BB535,BD535,BF535,BH535,BJ535,BL535,BN535,BP535,BR535,BT535,BV535,BX535,BZ535)</f>
        <v>0</v>
      </c>
      <c r="CC535" s="299">
        <f>SUM(Table13[[#This Row],[GOALS 1]:[ASSISTS 38]])</f>
        <v>0</v>
      </c>
    </row>
    <row r="536" spans="1:81">
      <c r="A536" s="291" t="s">
        <v>1881</v>
      </c>
      <c r="B536" s="291" t="s">
        <v>26</v>
      </c>
      <c r="C536" s="286"/>
      <c r="D536" s="286"/>
      <c r="E536" s="288"/>
      <c r="F536" s="286"/>
      <c r="G536" s="288"/>
      <c r="H536" s="286"/>
      <c r="I536" s="288"/>
      <c r="J536" s="286"/>
      <c r="K536" s="288"/>
      <c r="L536" s="286"/>
      <c r="M536" s="288"/>
      <c r="N536" s="286"/>
      <c r="O536" s="288"/>
      <c r="P536" s="286"/>
      <c r="Q536" s="288"/>
      <c r="R536" s="286"/>
      <c r="S536" s="288"/>
      <c r="T536" s="286"/>
      <c r="U536" s="288"/>
      <c r="V536" s="286"/>
      <c r="W536" s="288"/>
      <c r="X536" s="286"/>
      <c r="Y536" s="288"/>
      <c r="Z536" s="286"/>
      <c r="AA536" s="288"/>
      <c r="AB536" s="286"/>
      <c r="AC536" s="288"/>
      <c r="AD536" s="286"/>
      <c r="AE536" s="288"/>
      <c r="AF536" s="286"/>
      <c r="AG536" s="288"/>
      <c r="AH536" s="286"/>
      <c r="AI536" s="288"/>
      <c r="AJ536" s="286"/>
      <c r="AK536" s="286"/>
      <c r="AL536" s="286"/>
      <c r="AM536" s="286"/>
      <c r="AN536" s="286"/>
      <c r="AO536" s="286"/>
      <c r="AP536" s="286"/>
      <c r="AQ536" s="286"/>
      <c r="AR536" s="286"/>
      <c r="AS536" s="286"/>
      <c r="AT536" s="286"/>
      <c r="AU536" s="286"/>
      <c r="AV536" s="284"/>
      <c r="AW536" s="284"/>
      <c r="AX536" s="284"/>
      <c r="AY536" s="284"/>
      <c r="AZ536" s="284"/>
      <c r="BA536" s="284"/>
      <c r="BB536" s="284"/>
      <c r="BC536" s="284"/>
      <c r="BD536" s="284"/>
      <c r="BE536" s="284"/>
      <c r="BF536" s="284"/>
      <c r="BG536" s="284"/>
      <c r="BH536" s="284"/>
      <c r="BI536" s="284"/>
      <c r="BJ536" s="284"/>
      <c r="BK536" s="284"/>
      <c r="BL536" s="284"/>
      <c r="BM536" s="284"/>
      <c r="BN536" s="284"/>
      <c r="BO536" s="284"/>
      <c r="BP536" s="284"/>
      <c r="BQ536" s="284"/>
      <c r="BR536" s="284"/>
      <c r="BS536" s="284"/>
      <c r="BT536" s="284"/>
      <c r="BU536" s="284"/>
      <c r="BV536" s="284"/>
      <c r="BW536" s="284"/>
      <c r="BX536" s="284"/>
      <c r="BY536" s="284"/>
      <c r="BZ536" s="285"/>
      <c r="CA536" s="298">
        <f>SUM(C536,E536,G536,I536,K536,M536,O536,Q536,S536,U536,W536,Y536,AA536,AC536,AE536,AG536,AI536,AK536,AM536,AO536,AQ536,AS536,AU536,AW536,AY536,BA536,BC536,BE536,BG536,BI536,BK536,BM536,BO536,BQ536,BS536,BU536,BW536,BY536)</f>
        <v>0</v>
      </c>
      <c r="CB536" s="298">
        <f>SUM(D536,F536,H536,J536,L536,N536,P536,R536,T536,V536,X536,Z536,AB536,AD536,AF536,AH536,AJ536,AL536,AN536,AP536,AR536,AT536,AV536,AX536,AZ536,BB536,BD536,BF536,BH536,BJ536,BL536,BN536,BP536,BR536,BT536,BV536,BX536,BZ536)</f>
        <v>0</v>
      </c>
      <c r="CC536" s="299">
        <f>SUM(Table13[[#This Row],[GOALS 1]:[ASSISTS 38]])</f>
        <v>0</v>
      </c>
    </row>
    <row r="537" spans="1:81">
      <c r="A537" s="291" t="s">
        <v>1869</v>
      </c>
      <c r="B537" s="291" t="s">
        <v>17</v>
      </c>
      <c r="C537" s="289"/>
      <c r="D537" s="286"/>
      <c r="E537" s="288"/>
      <c r="F537" s="286"/>
      <c r="G537" s="288"/>
      <c r="H537" s="286"/>
      <c r="I537" s="288"/>
      <c r="J537" s="286"/>
      <c r="K537" s="288"/>
      <c r="L537" s="286"/>
      <c r="M537" s="288"/>
      <c r="N537" s="286"/>
      <c r="O537" s="288"/>
      <c r="P537" s="286"/>
      <c r="Q537" s="288"/>
      <c r="R537" s="286"/>
      <c r="S537" s="288"/>
      <c r="T537" s="286"/>
      <c r="U537" s="288"/>
      <c r="V537" s="286"/>
      <c r="W537" s="288"/>
      <c r="X537" s="286"/>
      <c r="Y537" s="288"/>
      <c r="Z537" s="286"/>
      <c r="AA537" s="288"/>
      <c r="AB537" s="286"/>
      <c r="AC537" s="288"/>
      <c r="AD537" s="286"/>
      <c r="AE537" s="288"/>
      <c r="AF537" s="286"/>
      <c r="AG537" s="288"/>
      <c r="AH537" s="286"/>
      <c r="AI537" s="288"/>
      <c r="AJ537" s="286"/>
      <c r="AK537" s="286"/>
      <c r="AL537" s="286"/>
      <c r="AM537" s="286"/>
      <c r="AN537" s="286"/>
      <c r="AO537" s="286"/>
      <c r="AP537" s="286"/>
      <c r="AQ537" s="286"/>
      <c r="AR537" s="286"/>
      <c r="AS537" s="286"/>
      <c r="AT537" s="286"/>
      <c r="AU537" s="286"/>
      <c r="AV537" s="284"/>
      <c r="AW537" s="284"/>
      <c r="AX537" s="284"/>
      <c r="AY537" s="284"/>
      <c r="AZ537" s="284"/>
      <c r="BA537" s="284"/>
      <c r="BB537" s="284"/>
      <c r="BC537" s="284"/>
      <c r="BD537" s="284"/>
      <c r="BE537" s="284"/>
      <c r="BF537" s="284"/>
      <c r="BG537" s="284"/>
      <c r="BH537" s="284"/>
      <c r="BI537" s="284"/>
      <c r="BJ537" s="284"/>
      <c r="BK537" s="284"/>
      <c r="BL537" s="284"/>
      <c r="BM537" s="284"/>
      <c r="BN537" s="284"/>
      <c r="BO537" s="284"/>
      <c r="BP537" s="284"/>
      <c r="BQ537" s="284"/>
      <c r="BR537" s="284"/>
      <c r="BS537" s="284"/>
      <c r="BT537" s="284"/>
      <c r="BU537" s="284"/>
      <c r="BV537" s="284"/>
      <c r="BW537" s="284"/>
      <c r="BX537" s="284"/>
      <c r="BY537" s="284"/>
      <c r="BZ537" s="285"/>
      <c r="CA537" s="298">
        <f>SUM(C537,E537,G537,I537,K537,M537,O537,Q537,S537,U537,W537,Y537,AA537,AC537,AE537,AG537,AI537,AK537,AM537,AO537,AQ537,AS537,AU537,AW537,AY537,BA537,BC537,BE537,BG537,BI537,BK537,BM537,BO537,BQ537,BS537,BU537,BW537,BY537)</f>
        <v>0</v>
      </c>
      <c r="CB537" s="298">
        <f>SUM(D537,F537,H537,J537,L537,N537,P537,R537,T537,V537,X537,Z537,AB537,AD537,AF537,AH537,AJ537,AL537,AN537,AP537,AR537,AT537,AV537,AX537,AZ537,BB537,BD537,BF537,BH537,BJ537,BL537,BN537,BP537,BR537,BT537,BV537,BX537,BZ537)</f>
        <v>0</v>
      </c>
      <c r="CC537" s="299">
        <f>SUM(Table13[[#This Row],[GOALS 1]:[ASSISTS 38]])</f>
        <v>0</v>
      </c>
    </row>
    <row r="538" spans="1:81">
      <c r="A538" s="291" t="s">
        <v>1699</v>
      </c>
      <c r="B538" s="291" t="s">
        <v>21</v>
      </c>
      <c r="C538" s="289"/>
      <c r="D538" s="286"/>
      <c r="E538" s="288"/>
      <c r="F538" s="286"/>
      <c r="G538" s="288"/>
      <c r="H538" s="286"/>
      <c r="I538" s="288"/>
      <c r="J538" s="286"/>
      <c r="K538" s="288"/>
      <c r="L538" s="286"/>
      <c r="M538" s="288"/>
      <c r="N538" s="286"/>
      <c r="O538" s="288"/>
      <c r="P538" s="286"/>
      <c r="Q538" s="288"/>
      <c r="R538" s="286"/>
      <c r="S538" s="288"/>
      <c r="T538" s="286"/>
      <c r="U538" s="288"/>
      <c r="V538" s="286"/>
      <c r="W538" s="288"/>
      <c r="X538" s="286"/>
      <c r="Y538" s="288"/>
      <c r="Z538" s="286"/>
      <c r="AA538" s="288"/>
      <c r="AB538" s="286"/>
      <c r="AC538" s="288"/>
      <c r="AD538" s="286"/>
      <c r="AE538" s="288"/>
      <c r="AF538" s="286"/>
      <c r="AG538" s="288"/>
      <c r="AH538" s="286"/>
      <c r="AI538" s="288"/>
      <c r="AJ538" s="286"/>
      <c r="AK538" s="286"/>
      <c r="AL538" s="286"/>
      <c r="AM538" s="286"/>
      <c r="AN538" s="286"/>
      <c r="AO538" s="286"/>
      <c r="AP538" s="286"/>
      <c r="AQ538" s="286"/>
      <c r="AR538" s="286"/>
      <c r="AS538" s="286"/>
      <c r="AT538" s="286"/>
      <c r="AU538" s="286"/>
      <c r="AV538" s="284"/>
      <c r="AW538" s="284"/>
      <c r="AX538" s="284"/>
      <c r="AY538" s="284"/>
      <c r="AZ538" s="284"/>
      <c r="BA538" s="284"/>
      <c r="BB538" s="284"/>
      <c r="BC538" s="284"/>
      <c r="BD538" s="284"/>
      <c r="BE538" s="284"/>
      <c r="BF538" s="284"/>
      <c r="BG538" s="284"/>
      <c r="BH538" s="284"/>
      <c r="BI538" s="284"/>
      <c r="BJ538" s="284"/>
      <c r="BK538" s="284"/>
      <c r="BL538" s="284"/>
      <c r="BM538" s="284"/>
      <c r="BN538" s="284"/>
      <c r="BO538" s="284"/>
      <c r="BP538" s="284"/>
      <c r="BQ538" s="284"/>
      <c r="BR538" s="284"/>
      <c r="BS538" s="284"/>
      <c r="BT538" s="284"/>
      <c r="BU538" s="284"/>
      <c r="BV538" s="284"/>
      <c r="BW538" s="284"/>
      <c r="BX538" s="284"/>
      <c r="BY538" s="284"/>
      <c r="BZ538" s="285"/>
      <c r="CA538" s="298">
        <f>SUM(C538,E538,G538,I538,K538,M538,O538,Q538,S538,U538,W538,Y538,AA538,AC538,AE538,AG538,AI538,AK538,AM538,AO538,AQ538,AS538,AU538,AW538,AY538,BA538,BC538,BE538,BG538,BI538,BK538,BM538,BO538,BQ538,BS538,BU538,BW538,BY538)</f>
        <v>0</v>
      </c>
      <c r="CB538" s="298">
        <f>SUM(D538,F538,H538,J538,L538,N538,P538,R538,T538,V538,X538,Z538,AB538,AD538,AF538,AH538,AJ538,AL538,AN538,AP538,AR538,AT538,AV538,AX538,AZ538,BB538,BD538,BF538,BH538,BJ538,BL538,BN538,BP538,BR538,BT538,BV538,BX538,BZ538)</f>
        <v>0</v>
      </c>
      <c r="CC538" s="299">
        <f>SUM(Table13[[#This Row],[GOALS 1]:[ASSISTS 38]])</f>
        <v>0</v>
      </c>
    </row>
    <row r="539" spans="1:81">
      <c r="A539" s="291" t="s">
        <v>1479</v>
      </c>
      <c r="B539" s="291" t="s">
        <v>18</v>
      </c>
      <c r="C539" s="286"/>
      <c r="D539" s="286"/>
      <c r="E539" s="288"/>
      <c r="F539" s="286"/>
      <c r="G539" s="288"/>
      <c r="H539" s="286"/>
      <c r="I539" s="288"/>
      <c r="J539" s="286"/>
      <c r="K539" s="288"/>
      <c r="L539" s="286"/>
      <c r="M539" s="288"/>
      <c r="N539" s="286"/>
      <c r="O539" s="288"/>
      <c r="P539" s="286"/>
      <c r="Q539" s="288"/>
      <c r="R539" s="286"/>
      <c r="S539" s="288"/>
      <c r="T539" s="286"/>
      <c r="U539" s="288"/>
      <c r="V539" s="286"/>
      <c r="W539" s="288"/>
      <c r="X539" s="286"/>
      <c r="Y539" s="288"/>
      <c r="Z539" s="286"/>
      <c r="AA539" s="288"/>
      <c r="AB539" s="286"/>
      <c r="AC539" s="288"/>
      <c r="AD539" s="286"/>
      <c r="AE539" s="288"/>
      <c r="AF539" s="286"/>
      <c r="AG539" s="288"/>
      <c r="AH539" s="286"/>
      <c r="AI539" s="288"/>
      <c r="AJ539" s="286"/>
      <c r="AK539" s="286"/>
      <c r="AL539" s="286"/>
      <c r="AM539" s="286"/>
      <c r="AN539" s="286"/>
      <c r="AO539" s="286"/>
      <c r="AP539" s="286"/>
      <c r="AQ539" s="286"/>
      <c r="AR539" s="286"/>
      <c r="AS539" s="286"/>
      <c r="AT539" s="286"/>
      <c r="AU539" s="286"/>
      <c r="AV539" s="284"/>
      <c r="AW539" s="284"/>
      <c r="AX539" s="284"/>
      <c r="AY539" s="284"/>
      <c r="AZ539" s="284"/>
      <c r="BA539" s="284"/>
      <c r="BB539" s="284"/>
      <c r="BC539" s="284"/>
      <c r="BD539" s="284"/>
      <c r="BE539" s="284"/>
      <c r="BF539" s="284"/>
      <c r="BG539" s="284"/>
      <c r="BH539" s="284"/>
      <c r="BI539" s="284"/>
      <c r="BJ539" s="284"/>
      <c r="BK539" s="284"/>
      <c r="BL539" s="284"/>
      <c r="BM539" s="284"/>
      <c r="BN539" s="284"/>
      <c r="BO539" s="284"/>
      <c r="BP539" s="284"/>
      <c r="BQ539" s="284"/>
      <c r="BR539" s="284"/>
      <c r="BS539" s="284"/>
      <c r="BT539" s="284"/>
      <c r="BU539" s="284"/>
      <c r="BV539" s="284"/>
      <c r="BW539" s="284"/>
      <c r="BX539" s="284"/>
      <c r="BY539" s="284"/>
      <c r="BZ539" s="285"/>
      <c r="CA539" s="298">
        <f>SUM(C539,E539,G539,I539,K539,M539,O539,Q539,S539,U539,W539,Y539,AA539,AC539,AE539,AG539,AI539,AK539,AM539,AO539,AQ539,AS539,AU539,AW539,AY539,BA539,BC539,BE539,BG539,BI539,BK539,BM539,BO539,BQ539,BS539,BU539,BW539,BY539)</f>
        <v>0</v>
      </c>
      <c r="CB539" s="298">
        <f>SUM(D539,F539,H539,J539,L539,N539,P539,R539,T539,V539,X539,Z539,AB539,AD539,AF539,AH539,AJ539,AL539,AN539,AP539,AR539,AT539,AV539,AX539,AZ539,BB539,BD539,BF539,BH539,BJ539,BL539,BN539,BP539,BR539,BT539,BV539,BX539,BZ539)</f>
        <v>0</v>
      </c>
      <c r="CC539" s="299">
        <f>SUM(Table13[[#This Row],[GOALS 1]:[ASSISTS 38]])</f>
        <v>0</v>
      </c>
    </row>
    <row r="540" spans="1:81">
      <c r="A540" s="291" t="s">
        <v>1712</v>
      </c>
      <c r="B540" s="291" t="s">
        <v>634</v>
      </c>
      <c r="C540" s="288"/>
      <c r="D540" s="286"/>
      <c r="E540" s="288"/>
      <c r="F540" s="286"/>
      <c r="G540" s="288"/>
      <c r="H540" s="286"/>
      <c r="I540" s="288"/>
      <c r="J540" s="286"/>
      <c r="K540" s="288"/>
      <c r="L540" s="286"/>
      <c r="M540" s="288"/>
      <c r="N540" s="286"/>
      <c r="O540" s="288"/>
      <c r="P540" s="286"/>
      <c r="Q540" s="288"/>
      <c r="R540" s="286"/>
      <c r="S540" s="288"/>
      <c r="T540" s="286"/>
      <c r="U540" s="288"/>
      <c r="V540" s="286"/>
      <c r="W540" s="288"/>
      <c r="X540" s="286"/>
      <c r="Y540" s="288"/>
      <c r="Z540" s="286"/>
      <c r="AA540" s="288"/>
      <c r="AB540" s="286"/>
      <c r="AC540" s="288"/>
      <c r="AD540" s="286"/>
      <c r="AE540" s="288"/>
      <c r="AF540" s="286"/>
      <c r="AG540" s="288"/>
      <c r="AH540" s="286"/>
      <c r="AI540" s="288"/>
      <c r="AJ540" s="286"/>
      <c r="AK540" s="286"/>
      <c r="AL540" s="286"/>
      <c r="AM540" s="286"/>
      <c r="AN540" s="286"/>
      <c r="AO540" s="286"/>
      <c r="AP540" s="286"/>
      <c r="AQ540" s="286"/>
      <c r="AR540" s="286"/>
      <c r="AS540" s="286"/>
      <c r="AT540" s="286"/>
      <c r="AU540" s="286"/>
      <c r="AV540" s="284"/>
      <c r="AW540" s="284"/>
      <c r="AX540" s="284"/>
      <c r="AY540" s="284"/>
      <c r="AZ540" s="284"/>
      <c r="BA540" s="284"/>
      <c r="BB540" s="284"/>
      <c r="BC540" s="284"/>
      <c r="BD540" s="284"/>
      <c r="BE540" s="284"/>
      <c r="BF540" s="284"/>
      <c r="BG540" s="284"/>
      <c r="BH540" s="284"/>
      <c r="BI540" s="284"/>
      <c r="BJ540" s="284"/>
      <c r="BK540" s="284"/>
      <c r="BL540" s="284"/>
      <c r="BM540" s="284"/>
      <c r="BN540" s="284"/>
      <c r="BO540" s="284"/>
      <c r="BP540" s="284"/>
      <c r="BQ540" s="284"/>
      <c r="BR540" s="284"/>
      <c r="BS540" s="284"/>
      <c r="BT540" s="284"/>
      <c r="BU540" s="284"/>
      <c r="BV540" s="284"/>
      <c r="BW540" s="284"/>
      <c r="BX540" s="284"/>
      <c r="BY540" s="284"/>
      <c r="BZ540" s="285"/>
      <c r="CA540" s="298">
        <f>SUM(C540,E540,G540,I540,K540,M540,O540,Q540,S540,U540,W540,Y540,AA540,AC540,AE540,AG540,AI540,AK540,AM540,AO540,AQ540,AS540,AU540,AW540,AY540,BA540,BC540,BE540,BG540,BI540,BK540,BM540,BO540,BQ540,BS540,BU540,BW540,BY540)</f>
        <v>0</v>
      </c>
      <c r="CB540" s="298">
        <f>SUM(D540,F540,H540,J540,L540,N540,P540,R540,T540,V540,X540,Z540,AB540,AD540,AF540,AH540,AJ540,AL540,AN540,AP540,AR540,AT540,AV540,AX540,AZ540,BB540,BD540,BF540,BH540,BJ540,BL540,BN540,BP540,BR540,BT540,BV540,BX540,BZ540)</f>
        <v>0</v>
      </c>
      <c r="CC540" s="299">
        <f>SUM(Table13[[#This Row],[GOALS 1]:[ASSISTS 38]])</f>
        <v>0</v>
      </c>
    </row>
    <row r="541" spans="1:81">
      <c r="A541" s="291" t="s">
        <v>1462</v>
      </c>
      <c r="B541" s="291" t="s">
        <v>19</v>
      </c>
      <c r="C541" s="286"/>
      <c r="D541" s="286"/>
      <c r="E541" s="288"/>
      <c r="F541" s="286"/>
      <c r="G541" s="288"/>
      <c r="H541" s="286"/>
      <c r="I541" s="288"/>
      <c r="J541" s="286"/>
      <c r="K541" s="288"/>
      <c r="L541" s="286"/>
      <c r="M541" s="288"/>
      <c r="N541" s="286"/>
      <c r="O541" s="288"/>
      <c r="P541" s="286"/>
      <c r="Q541" s="288"/>
      <c r="R541" s="286"/>
      <c r="S541" s="288"/>
      <c r="T541" s="286"/>
      <c r="U541" s="288"/>
      <c r="V541" s="286"/>
      <c r="W541" s="288"/>
      <c r="X541" s="286"/>
      <c r="Y541" s="288"/>
      <c r="Z541" s="286"/>
      <c r="AA541" s="288"/>
      <c r="AB541" s="286"/>
      <c r="AC541" s="288"/>
      <c r="AD541" s="286"/>
      <c r="AE541" s="288"/>
      <c r="AF541" s="286"/>
      <c r="AG541" s="288"/>
      <c r="AH541" s="286"/>
      <c r="AI541" s="288"/>
      <c r="AJ541" s="286"/>
      <c r="AK541" s="286"/>
      <c r="AL541" s="286"/>
      <c r="AM541" s="286"/>
      <c r="AN541" s="286"/>
      <c r="AO541" s="286"/>
      <c r="AP541" s="286"/>
      <c r="AQ541" s="286"/>
      <c r="AR541" s="286"/>
      <c r="AS541" s="286"/>
      <c r="AT541" s="286"/>
      <c r="AU541" s="286"/>
      <c r="AV541" s="284"/>
      <c r="AW541" s="284"/>
      <c r="AX541" s="284"/>
      <c r="AY541" s="284"/>
      <c r="AZ541" s="284"/>
      <c r="BA541" s="284"/>
      <c r="BB541" s="284"/>
      <c r="BC541" s="284"/>
      <c r="BD541" s="284"/>
      <c r="BE541" s="284"/>
      <c r="BF541" s="284"/>
      <c r="BG541" s="284"/>
      <c r="BH541" s="284"/>
      <c r="BI541" s="284"/>
      <c r="BJ541" s="284"/>
      <c r="BK541" s="284"/>
      <c r="BL541" s="284"/>
      <c r="BM541" s="284"/>
      <c r="BN541" s="284"/>
      <c r="BO541" s="284"/>
      <c r="BP541" s="284"/>
      <c r="BQ541" s="284"/>
      <c r="BR541" s="284"/>
      <c r="BS541" s="284"/>
      <c r="BT541" s="284"/>
      <c r="BU541" s="284"/>
      <c r="BV541" s="284"/>
      <c r="BW541" s="284"/>
      <c r="BX541" s="284"/>
      <c r="BY541" s="284"/>
      <c r="BZ541" s="285"/>
      <c r="CA541" s="298">
        <f>SUM(C541,E541,G541,I541,K541,M541,O541,Q541,S541,U541,W541,Y541,AA541,AC541,AE541,AG541,AI541,AK541,AM541,AO541,AQ541,AS541,AU541,AW541,AY541,BA541,BC541,BE541,BG541,BI541,BK541,BM541,BO541,BQ541,BS541,BU541,BW541,BY541)</f>
        <v>0</v>
      </c>
      <c r="CB541" s="298">
        <f>SUM(D541,F541,H541,J541,L541,N541,P541,R541,T541,V541,X541,Z541,AB541,AD541,AF541,AH541,AJ541,AL541,AN541,AP541,AR541,AT541,AV541,AX541,AZ541,BB541,BD541,BF541,BH541,BJ541,BL541,BN541,BP541,BR541,BT541,BV541,BX541,BZ541)</f>
        <v>0</v>
      </c>
      <c r="CC541" s="299">
        <f>SUM(Table13[[#This Row],[GOALS 1]:[ASSISTS 38]])</f>
        <v>0</v>
      </c>
    </row>
    <row r="542" spans="1:81">
      <c r="A542" s="291" t="s">
        <v>1755</v>
      </c>
      <c r="B542" s="291" t="s">
        <v>52</v>
      </c>
      <c r="C542" s="289"/>
      <c r="D542" s="286"/>
      <c r="E542" s="288"/>
      <c r="F542" s="286"/>
      <c r="G542" s="288"/>
      <c r="H542" s="286"/>
      <c r="I542" s="288"/>
      <c r="J542" s="286"/>
      <c r="K542" s="288"/>
      <c r="L542" s="286"/>
      <c r="M542" s="288"/>
      <c r="N542" s="286"/>
      <c r="O542" s="288"/>
      <c r="P542" s="286"/>
      <c r="Q542" s="288"/>
      <c r="R542" s="286"/>
      <c r="S542" s="288"/>
      <c r="T542" s="286"/>
      <c r="U542" s="288"/>
      <c r="V542" s="286"/>
      <c r="W542" s="288"/>
      <c r="X542" s="286"/>
      <c r="Y542" s="288"/>
      <c r="Z542" s="286"/>
      <c r="AA542" s="288"/>
      <c r="AB542" s="286"/>
      <c r="AC542" s="288"/>
      <c r="AD542" s="286"/>
      <c r="AE542" s="288"/>
      <c r="AF542" s="286"/>
      <c r="AG542" s="288"/>
      <c r="AH542" s="286"/>
      <c r="AI542" s="288"/>
      <c r="AJ542" s="286"/>
      <c r="AK542" s="286"/>
      <c r="AL542" s="286"/>
      <c r="AM542" s="286"/>
      <c r="AN542" s="286"/>
      <c r="AO542" s="286"/>
      <c r="AP542" s="286"/>
      <c r="AQ542" s="286"/>
      <c r="AR542" s="286"/>
      <c r="AS542" s="286"/>
      <c r="AT542" s="286"/>
      <c r="AU542" s="286"/>
      <c r="AV542" s="284"/>
      <c r="AW542" s="284"/>
      <c r="AX542" s="284"/>
      <c r="AY542" s="284"/>
      <c r="AZ542" s="284"/>
      <c r="BA542" s="284"/>
      <c r="BB542" s="284"/>
      <c r="BC542" s="284"/>
      <c r="BD542" s="284"/>
      <c r="BE542" s="284"/>
      <c r="BF542" s="284"/>
      <c r="BG542" s="284"/>
      <c r="BH542" s="284"/>
      <c r="BI542" s="284"/>
      <c r="BJ542" s="284"/>
      <c r="BK542" s="284"/>
      <c r="BL542" s="284"/>
      <c r="BM542" s="284"/>
      <c r="BN542" s="284"/>
      <c r="BO542" s="284"/>
      <c r="BP542" s="284"/>
      <c r="BQ542" s="284"/>
      <c r="BR542" s="284"/>
      <c r="BS542" s="284"/>
      <c r="BT542" s="284"/>
      <c r="BU542" s="284"/>
      <c r="BV542" s="284"/>
      <c r="BW542" s="284"/>
      <c r="BX542" s="284"/>
      <c r="BY542" s="284"/>
      <c r="BZ542" s="285"/>
      <c r="CA542" s="298">
        <f>SUM(C542,E542,G542,I542,K542,M542,O542,Q542,S542,U542,W542,Y542,AA542,AC542,AE542,AG542,AI542,AK542,AM542,AO542,AQ542,AS542,AU542,AW542,AY542,BA542,BC542,BE542,BG542,BI542,BK542,BM542,BO542,BQ542,BS542,BU542,BW542,BY542)</f>
        <v>0</v>
      </c>
      <c r="CB542" s="298">
        <f>SUM(D542,F542,H542,J542,L542,N542,P542,R542,T542,V542,X542,Z542,AB542,AD542,AF542,AH542,AJ542,AL542,AN542,AP542,AR542,AT542,AV542,AX542,AZ542,BB542,BD542,BF542,BH542,BJ542,BL542,BN542,BP542,BR542,BT542,BV542,BX542,BZ542)</f>
        <v>0</v>
      </c>
      <c r="CC542" s="299">
        <f>SUM(Table13[[#This Row],[GOALS 1]:[ASSISTS 38]])</f>
        <v>0</v>
      </c>
    </row>
    <row r="543" spans="1:81">
      <c r="A543" s="291" t="s">
        <v>1540</v>
      </c>
      <c r="B543" s="291" t="s">
        <v>26</v>
      </c>
      <c r="C543" s="286"/>
      <c r="D543" s="286"/>
      <c r="E543" s="288"/>
      <c r="F543" s="286"/>
      <c r="G543" s="288"/>
      <c r="H543" s="286"/>
      <c r="I543" s="288"/>
      <c r="J543" s="286"/>
      <c r="K543" s="288"/>
      <c r="L543" s="286"/>
      <c r="M543" s="288"/>
      <c r="N543" s="286"/>
      <c r="O543" s="288"/>
      <c r="P543" s="286"/>
      <c r="Q543" s="288"/>
      <c r="R543" s="286"/>
      <c r="S543" s="288"/>
      <c r="T543" s="286"/>
      <c r="U543" s="288"/>
      <c r="V543" s="286"/>
      <c r="W543" s="288"/>
      <c r="X543" s="286"/>
      <c r="Y543" s="288"/>
      <c r="Z543" s="286"/>
      <c r="AA543" s="288"/>
      <c r="AB543" s="286"/>
      <c r="AC543" s="288"/>
      <c r="AD543" s="286"/>
      <c r="AE543" s="288"/>
      <c r="AF543" s="286"/>
      <c r="AG543" s="288"/>
      <c r="AH543" s="286"/>
      <c r="AI543" s="288"/>
      <c r="AJ543" s="286"/>
      <c r="AK543" s="286"/>
      <c r="AL543" s="286"/>
      <c r="AM543" s="286"/>
      <c r="AN543" s="286"/>
      <c r="AO543" s="286"/>
      <c r="AP543" s="286"/>
      <c r="AQ543" s="286"/>
      <c r="AR543" s="286"/>
      <c r="AS543" s="286"/>
      <c r="AT543" s="286"/>
      <c r="AU543" s="286"/>
      <c r="AV543" s="284"/>
      <c r="AW543" s="284"/>
      <c r="AX543" s="284"/>
      <c r="AY543" s="284"/>
      <c r="AZ543" s="284"/>
      <c r="BA543" s="284"/>
      <c r="BB543" s="284"/>
      <c r="BC543" s="284"/>
      <c r="BD543" s="284"/>
      <c r="BE543" s="284"/>
      <c r="BF543" s="284"/>
      <c r="BG543" s="284"/>
      <c r="BH543" s="284"/>
      <c r="BI543" s="284"/>
      <c r="BJ543" s="284"/>
      <c r="BK543" s="284"/>
      <c r="BL543" s="284"/>
      <c r="BM543" s="284"/>
      <c r="BN543" s="284"/>
      <c r="BO543" s="284"/>
      <c r="BP543" s="284"/>
      <c r="BQ543" s="284"/>
      <c r="BR543" s="284"/>
      <c r="BS543" s="284"/>
      <c r="BT543" s="284"/>
      <c r="BU543" s="284"/>
      <c r="BV543" s="284"/>
      <c r="BW543" s="284"/>
      <c r="BX543" s="284"/>
      <c r="BY543" s="284"/>
      <c r="BZ543" s="285"/>
      <c r="CA543" s="298">
        <f>SUM(C543,E543,G543,I543,K543,M543,O543,Q543,S543,U543,W543,Y543,AA543,AC543,AE543,AG543,AI543,AK543,AM543,AO543,AQ543,AS543,AU543,AW543,AY543,BA543,BC543,BE543,BG543,BI543,BK543,BM543,BO543,BQ543,BS543,BU543,BW543,BY543)</f>
        <v>0</v>
      </c>
      <c r="CB543" s="298">
        <f>SUM(D543,F543,H543,J543,L543,N543,P543,R543,T543,V543,X543,Z543,AB543,AD543,AF543,AH543,AJ543,AL543,AN543,AP543,AR543,AT543,AV543,AX543,AZ543,BB543,BD543,BF543,BH543,BJ543,BL543,BN543,BP543,BR543,BT543,BV543,BX543,BZ543)</f>
        <v>0</v>
      </c>
      <c r="CC543" s="299">
        <f>SUM(Table13[[#This Row],[GOALS 1]:[ASSISTS 38]])</f>
        <v>0</v>
      </c>
    </row>
    <row r="544" spans="1:81">
      <c r="A544" s="291" t="s">
        <v>1773</v>
      </c>
      <c r="B544" s="291" t="s">
        <v>43</v>
      </c>
      <c r="C544" s="286"/>
      <c r="D544" s="286"/>
      <c r="E544" s="288"/>
      <c r="F544" s="286"/>
      <c r="G544" s="288"/>
      <c r="H544" s="286"/>
      <c r="I544" s="288"/>
      <c r="J544" s="286"/>
      <c r="K544" s="288"/>
      <c r="L544" s="286"/>
      <c r="M544" s="288"/>
      <c r="N544" s="286"/>
      <c r="O544" s="288"/>
      <c r="P544" s="286"/>
      <c r="Q544" s="288"/>
      <c r="R544" s="286"/>
      <c r="S544" s="288"/>
      <c r="T544" s="286"/>
      <c r="U544" s="288"/>
      <c r="V544" s="286"/>
      <c r="W544" s="288"/>
      <c r="X544" s="286"/>
      <c r="Y544" s="288"/>
      <c r="Z544" s="286"/>
      <c r="AA544" s="288"/>
      <c r="AB544" s="286"/>
      <c r="AC544" s="288"/>
      <c r="AD544" s="286"/>
      <c r="AE544" s="288"/>
      <c r="AF544" s="286"/>
      <c r="AG544" s="288"/>
      <c r="AH544" s="286"/>
      <c r="AI544" s="288"/>
      <c r="AJ544" s="286"/>
      <c r="AK544" s="286"/>
      <c r="AL544" s="286"/>
      <c r="AM544" s="286"/>
      <c r="AN544" s="286"/>
      <c r="AO544" s="286"/>
      <c r="AP544" s="286"/>
      <c r="AQ544" s="286"/>
      <c r="AR544" s="286"/>
      <c r="AS544" s="286"/>
      <c r="AT544" s="286"/>
      <c r="AU544" s="286"/>
      <c r="AV544" s="284"/>
      <c r="AW544" s="284"/>
      <c r="AX544" s="284"/>
      <c r="AY544" s="284"/>
      <c r="AZ544" s="284"/>
      <c r="BA544" s="284"/>
      <c r="BB544" s="284"/>
      <c r="BC544" s="284"/>
      <c r="BD544" s="284"/>
      <c r="BE544" s="284"/>
      <c r="BF544" s="284"/>
      <c r="BG544" s="284"/>
      <c r="BH544" s="284"/>
      <c r="BI544" s="284"/>
      <c r="BJ544" s="284"/>
      <c r="BK544" s="284"/>
      <c r="BL544" s="284"/>
      <c r="BM544" s="284"/>
      <c r="BN544" s="284"/>
      <c r="BO544" s="284"/>
      <c r="BP544" s="284"/>
      <c r="BQ544" s="284"/>
      <c r="BR544" s="284"/>
      <c r="BS544" s="284"/>
      <c r="BT544" s="284"/>
      <c r="BU544" s="284"/>
      <c r="BV544" s="284"/>
      <c r="BW544" s="284"/>
      <c r="BX544" s="284"/>
      <c r="BY544" s="284"/>
      <c r="BZ544" s="285"/>
      <c r="CA544" s="298">
        <f>SUM(C544,E544,G544,I544,K544,M544,O544,Q544,S544,U544,W544,Y544,AA544,AC544,AE544,AG544,AI544,AK544,AM544,AO544,AQ544,AS544,AU544,AW544,AY544,BA544,BC544,BE544,BG544,BI544,BK544,BM544,BO544,BQ544,BS544,BU544,BW544,BY544)</f>
        <v>0</v>
      </c>
      <c r="CB544" s="298">
        <f>SUM(D544,F544,H544,J544,L544,N544,P544,R544,T544,V544,X544,Z544,AB544,AD544,AF544,AH544,AJ544,AL544,AN544,AP544,AR544,AT544,AV544,AX544,AZ544,BB544,BD544,BF544,BH544,BJ544,BL544,BN544,BP544,BR544,BT544,BV544,BX544,BZ544)</f>
        <v>0</v>
      </c>
      <c r="CC544" s="299">
        <f>SUM(Table13[[#This Row],[GOALS 1]:[ASSISTS 38]])</f>
        <v>0</v>
      </c>
    </row>
    <row r="545" spans="1:81">
      <c r="A545" s="291" t="s">
        <v>1610</v>
      </c>
      <c r="B545" s="291" t="s">
        <v>634</v>
      </c>
      <c r="C545" s="288"/>
      <c r="D545" s="286"/>
      <c r="E545" s="288"/>
      <c r="F545" s="286"/>
      <c r="G545" s="288"/>
      <c r="H545" s="286"/>
      <c r="I545" s="288"/>
      <c r="J545" s="286"/>
      <c r="K545" s="288"/>
      <c r="L545" s="286"/>
      <c r="M545" s="288"/>
      <c r="N545" s="286"/>
      <c r="O545" s="288"/>
      <c r="P545" s="286"/>
      <c r="Q545" s="288"/>
      <c r="R545" s="286"/>
      <c r="S545" s="288"/>
      <c r="T545" s="286"/>
      <c r="U545" s="288"/>
      <c r="V545" s="286"/>
      <c r="W545" s="288"/>
      <c r="X545" s="286"/>
      <c r="Y545" s="288"/>
      <c r="Z545" s="286"/>
      <c r="AA545" s="288"/>
      <c r="AB545" s="286"/>
      <c r="AC545" s="288"/>
      <c r="AD545" s="286"/>
      <c r="AE545" s="288"/>
      <c r="AF545" s="286"/>
      <c r="AG545" s="288"/>
      <c r="AH545" s="286"/>
      <c r="AI545" s="288"/>
      <c r="AJ545" s="286"/>
      <c r="AK545" s="286"/>
      <c r="AL545" s="286"/>
      <c r="AM545" s="286"/>
      <c r="AN545" s="286"/>
      <c r="AO545" s="286"/>
      <c r="AP545" s="286"/>
      <c r="AQ545" s="286"/>
      <c r="AR545" s="286"/>
      <c r="AS545" s="286"/>
      <c r="AT545" s="286"/>
      <c r="AU545" s="286"/>
      <c r="AV545" s="284"/>
      <c r="AW545" s="284"/>
      <c r="AX545" s="284"/>
      <c r="AY545" s="284"/>
      <c r="AZ545" s="284"/>
      <c r="BA545" s="284"/>
      <c r="BB545" s="284"/>
      <c r="BC545" s="284"/>
      <c r="BD545" s="284"/>
      <c r="BE545" s="284"/>
      <c r="BF545" s="284"/>
      <c r="BG545" s="284"/>
      <c r="BH545" s="284"/>
      <c r="BI545" s="284"/>
      <c r="BJ545" s="284"/>
      <c r="BK545" s="284"/>
      <c r="BL545" s="284"/>
      <c r="BM545" s="284"/>
      <c r="BN545" s="284"/>
      <c r="BO545" s="284"/>
      <c r="BP545" s="284"/>
      <c r="BQ545" s="284"/>
      <c r="BR545" s="284"/>
      <c r="BS545" s="284"/>
      <c r="BT545" s="284"/>
      <c r="BU545" s="284"/>
      <c r="BV545" s="284"/>
      <c r="BW545" s="284"/>
      <c r="BX545" s="284"/>
      <c r="BY545" s="284"/>
      <c r="BZ545" s="285"/>
      <c r="CA545" s="298">
        <f>SUM(C545,E545,G545,I545,K545,M545,O545,Q545,S545,U545,W545,Y545,AA545,AC545,AE545,AG545,AI545,AK545,AM545,AO545,AQ545,AS545,AU545,AW545,AY545,BA545,BC545,BE545,BG545,BI545,BK545,BM545,BO545,BQ545,BS545,BU545,BW545,BY545)</f>
        <v>0</v>
      </c>
      <c r="CB545" s="298">
        <f>SUM(D545,F545,H545,J545,L545,N545,P545,R545,T545,V545,X545,Z545,AB545,AD545,AF545,AH545,AJ545,AL545,AN545,AP545,AR545,AT545,AV545,AX545,AZ545,BB545,BD545,BF545,BH545,BJ545,BL545,BN545,BP545,BR545,BT545,BV545,BX545,BZ545)</f>
        <v>0</v>
      </c>
      <c r="CC545" s="299">
        <f>SUM(Table13[[#This Row],[GOALS 1]:[ASSISTS 38]])</f>
        <v>0</v>
      </c>
    </row>
    <row r="546" spans="1:81">
      <c r="A546" s="291" t="s">
        <v>1840</v>
      </c>
      <c r="B546" s="291" t="s">
        <v>24</v>
      </c>
      <c r="C546" s="286"/>
      <c r="D546" s="286"/>
      <c r="E546" s="288"/>
      <c r="F546" s="286"/>
      <c r="G546" s="288"/>
      <c r="H546" s="286"/>
      <c r="I546" s="288"/>
      <c r="J546" s="286"/>
      <c r="K546" s="288"/>
      <c r="L546" s="286"/>
      <c r="M546" s="288"/>
      <c r="N546" s="286"/>
      <c r="O546" s="288"/>
      <c r="P546" s="286"/>
      <c r="Q546" s="288"/>
      <c r="R546" s="286"/>
      <c r="S546" s="288"/>
      <c r="T546" s="286"/>
      <c r="U546" s="288"/>
      <c r="V546" s="286"/>
      <c r="W546" s="288"/>
      <c r="X546" s="286"/>
      <c r="Y546" s="288"/>
      <c r="Z546" s="286"/>
      <c r="AA546" s="288"/>
      <c r="AB546" s="286"/>
      <c r="AC546" s="288"/>
      <c r="AD546" s="286"/>
      <c r="AE546" s="288"/>
      <c r="AF546" s="286"/>
      <c r="AG546" s="288"/>
      <c r="AH546" s="286"/>
      <c r="AI546" s="288"/>
      <c r="AJ546" s="286"/>
      <c r="AK546" s="286"/>
      <c r="AL546" s="286"/>
      <c r="AM546" s="286"/>
      <c r="AN546" s="286"/>
      <c r="AO546" s="286"/>
      <c r="AP546" s="286"/>
      <c r="AQ546" s="286"/>
      <c r="AR546" s="286"/>
      <c r="AS546" s="286"/>
      <c r="AT546" s="286"/>
      <c r="AU546" s="286"/>
      <c r="AV546" s="284"/>
      <c r="AW546" s="284"/>
      <c r="AX546" s="284"/>
      <c r="AY546" s="284"/>
      <c r="AZ546" s="284"/>
      <c r="BA546" s="284"/>
      <c r="BB546" s="284"/>
      <c r="BC546" s="284"/>
      <c r="BD546" s="284"/>
      <c r="BE546" s="284"/>
      <c r="BF546" s="284"/>
      <c r="BG546" s="284"/>
      <c r="BH546" s="284"/>
      <c r="BI546" s="284"/>
      <c r="BJ546" s="284"/>
      <c r="BK546" s="284"/>
      <c r="BL546" s="284"/>
      <c r="BM546" s="284"/>
      <c r="BN546" s="284"/>
      <c r="BO546" s="284"/>
      <c r="BP546" s="284"/>
      <c r="BQ546" s="284"/>
      <c r="BR546" s="284"/>
      <c r="BS546" s="284"/>
      <c r="BT546" s="284"/>
      <c r="BU546" s="284"/>
      <c r="BV546" s="284"/>
      <c r="BW546" s="284"/>
      <c r="BX546" s="284"/>
      <c r="BY546" s="284"/>
      <c r="BZ546" s="285"/>
      <c r="CA546" s="298">
        <f>SUM(C546,E546,G546,I546,K546,M546,O546,Q546,S546,U546,W546,Y546,AA546,AC546,AE546,AG546,AI546,AK546,AM546,AO546,AQ546,AS546,AU546,AW546,AY546,BA546,BC546,BE546,BG546,BI546,BK546,BM546,BO546,BQ546,BS546,BU546,BW546,BY546)</f>
        <v>0</v>
      </c>
      <c r="CB546" s="298">
        <f>SUM(D546,F546,H546,J546,L546,N546,P546,R546,T546,V546,X546,Z546,AB546,AD546,AF546,AH546,AJ546,AL546,AN546,AP546,AR546,AT546,AV546,AX546,AZ546,BB546,BD546,BF546,BH546,BJ546,BL546,BN546,BP546,BR546,BT546,BV546,BX546,BZ546)</f>
        <v>0</v>
      </c>
      <c r="CC546" s="299">
        <f>SUM(Table13[[#This Row],[GOALS 1]:[ASSISTS 38]])</f>
        <v>0</v>
      </c>
    </row>
    <row r="547" spans="1:81">
      <c r="A547" s="291" t="s">
        <v>1727</v>
      </c>
      <c r="B547" s="291" t="s">
        <v>21</v>
      </c>
      <c r="C547" s="289"/>
      <c r="D547" s="286"/>
      <c r="E547" s="288"/>
      <c r="F547" s="286"/>
      <c r="G547" s="288"/>
      <c r="H547" s="286"/>
      <c r="I547" s="288"/>
      <c r="J547" s="286"/>
      <c r="K547" s="288"/>
      <c r="L547" s="286"/>
      <c r="M547" s="288"/>
      <c r="N547" s="286"/>
      <c r="O547" s="288"/>
      <c r="P547" s="286"/>
      <c r="Q547" s="288"/>
      <c r="R547" s="286"/>
      <c r="S547" s="288"/>
      <c r="T547" s="286"/>
      <c r="U547" s="288"/>
      <c r="V547" s="286"/>
      <c r="W547" s="288"/>
      <c r="X547" s="286"/>
      <c r="Y547" s="288"/>
      <c r="Z547" s="286"/>
      <c r="AA547" s="288"/>
      <c r="AB547" s="286"/>
      <c r="AC547" s="288"/>
      <c r="AD547" s="286"/>
      <c r="AE547" s="288"/>
      <c r="AF547" s="286"/>
      <c r="AG547" s="288"/>
      <c r="AH547" s="286"/>
      <c r="AI547" s="288"/>
      <c r="AJ547" s="286"/>
      <c r="AK547" s="286"/>
      <c r="AL547" s="286"/>
      <c r="AM547" s="286"/>
      <c r="AN547" s="286"/>
      <c r="AO547" s="286"/>
      <c r="AP547" s="286"/>
      <c r="AQ547" s="286"/>
      <c r="AR547" s="286"/>
      <c r="AS547" s="286"/>
      <c r="AT547" s="286"/>
      <c r="AU547" s="286"/>
      <c r="AV547" s="284"/>
      <c r="AW547" s="284"/>
      <c r="AX547" s="284"/>
      <c r="AY547" s="284"/>
      <c r="AZ547" s="284"/>
      <c r="BA547" s="284"/>
      <c r="BB547" s="284"/>
      <c r="BC547" s="284"/>
      <c r="BD547" s="284"/>
      <c r="BE547" s="284"/>
      <c r="BF547" s="284"/>
      <c r="BG547" s="284"/>
      <c r="BH547" s="284"/>
      <c r="BI547" s="284"/>
      <c r="BJ547" s="284"/>
      <c r="BK547" s="284"/>
      <c r="BL547" s="284"/>
      <c r="BM547" s="284"/>
      <c r="BN547" s="284"/>
      <c r="BO547" s="284"/>
      <c r="BP547" s="284"/>
      <c r="BQ547" s="284"/>
      <c r="BR547" s="284"/>
      <c r="BS547" s="284"/>
      <c r="BT547" s="284"/>
      <c r="BU547" s="284"/>
      <c r="BV547" s="284"/>
      <c r="BW547" s="284"/>
      <c r="BX547" s="284"/>
      <c r="BY547" s="284"/>
      <c r="BZ547" s="285"/>
      <c r="CA547" s="298">
        <f>SUM(C547,E547,G547,I547,K547,M547,O547,Q547,S547,U547,W547,Y547,AA547,AC547,AE547,AG547,AI547,AK547,AM547,AO547,AQ547,AS547,AU547,AW547,AY547,BA547,BC547,BE547,BG547,BI547,BK547,BM547,BO547,BQ547,BS547,BU547,BW547,BY547)</f>
        <v>0</v>
      </c>
      <c r="CB547" s="298">
        <f>SUM(D547,F547,H547,J547,L547,N547,P547,R547,T547,V547,X547,Z547,AB547,AD547,AF547,AH547,AJ547,AL547,AN547,AP547,AR547,AT547,AV547,AX547,AZ547,BB547,BD547,BF547,BH547,BJ547,BL547,BN547,BP547,BR547,BT547,BV547,BX547,BZ547)</f>
        <v>0</v>
      </c>
      <c r="CC547" s="299">
        <f>SUM(Table13[[#This Row],[GOALS 1]:[ASSISTS 38]])</f>
        <v>0</v>
      </c>
    </row>
    <row r="548" spans="1:81">
      <c r="A548" s="291" t="s">
        <v>1565</v>
      </c>
      <c r="B548" s="291" t="s">
        <v>18</v>
      </c>
      <c r="C548" s="286"/>
      <c r="D548" s="286"/>
      <c r="E548" s="288"/>
      <c r="F548" s="286"/>
      <c r="G548" s="288"/>
      <c r="H548" s="286"/>
      <c r="I548" s="288"/>
      <c r="J548" s="286"/>
      <c r="K548" s="288"/>
      <c r="L548" s="286"/>
      <c r="M548" s="288"/>
      <c r="N548" s="286"/>
      <c r="O548" s="288"/>
      <c r="P548" s="286"/>
      <c r="Q548" s="288"/>
      <c r="R548" s="286"/>
      <c r="S548" s="288"/>
      <c r="T548" s="286"/>
      <c r="U548" s="288"/>
      <c r="V548" s="286"/>
      <c r="W548" s="288"/>
      <c r="X548" s="286"/>
      <c r="Y548" s="288"/>
      <c r="Z548" s="286"/>
      <c r="AA548" s="288"/>
      <c r="AB548" s="286"/>
      <c r="AC548" s="288"/>
      <c r="AD548" s="286"/>
      <c r="AE548" s="288"/>
      <c r="AF548" s="286"/>
      <c r="AG548" s="288"/>
      <c r="AH548" s="286"/>
      <c r="AI548" s="288"/>
      <c r="AJ548" s="286"/>
      <c r="AK548" s="286"/>
      <c r="AL548" s="286"/>
      <c r="AM548" s="286"/>
      <c r="AN548" s="286"/>
      <c r="AO548" s="286"/>
      <c r="AP548" s="286"/>
      <c r="AQ548" s="286"/>
      <c r="AR548" s="286"/>
      <c r="AS548" s="286"/>
      <c r="AT548" s="286"/>
      <c r="AU548" s="286"/>
      <c r="AV548" s="284"/>
      <c r="AW548" s="284"/>
      <c r="AX548" s="284"/>
      <c r="AY548" s="284"/>
      <c r="AZ548" s="284"/>
      <c r="BA548" s="284"/>
      <c r="BB548" s="284"/>
      <c r="BC548" s="284"/>
      <c r="BD548" s="284"/>
      <c r="BE548" s="284"/>
      <c r="BF548" s="284"/>
      <c r="BG548" s="284"/>
      <c r="BH548" s="284"/>
      <c r="BI548" s="284"/>
      <c r="BJ548" s="284"/>
      <c r="BK548" s="284"/>
      <c r="BL548" s="284"/>
      <c r="BM548" s="284"/>
      <c r="BN548" s="284"/>
      <c r="BO548" s="284"/>
      <c r="BP548" s="284"/>
      <c r="BQ548" s="284"/>
      <c r="BR548" s="284"/>
      <c r="BS548" s="284"/>
      <c r="BT548" s="284"/>
      <c r="BU548" s="284"/>
      <c r="BV548" s="284"/>
      <c r="BW548" s="284"/>
      <c r="BX548" s="284"/>
      <c r="BY548" s="284"/>
      <c r="BZ548" s="285"/>
      <c r="CA548" s="298">
        <f>SUM(C548,E548,G548,I548,K548,M548,O548,Q548,S548,U548,W548,Y548,AA548,AC548,AE548,AG548,AI548,AK548,AM548,AO548,AQ548,AS548,AU548,AW548,AY548,BA548,BC548,BE548,BG548,BI548,BK548,BM548,BO548,BQ548,BS548,BU548,BW548,BY548)</f>
        <v>0</v>
      </c>
      <c r="CB548" s="298">
        <f>SUM(D548,F548,H548,J548,L548,N548,P548,R548,T548,V548,X548,Z548,AB548,AD548,AF548,AH548,AJ548,AL548,AN548,AP548,AR548,AT548,AV548,AX548,AZ548,BB548,BD548,BF548,BH548,BJ548,BL548,BN548,BP548,BR548,BT548,BV548,BX548,BZ548)</f>
        <v>0</v>
      </c>
      <c r="CC548" s="299">
        <f>SUM(Table13[[#This Row],[GOALS 1]:[ASSISTS 38]])</f>
        <v>0</v>
      </c>
    </row>
    <row r="549" spans="1:81">
      <c r="A549" s="291" t="s">
        <v>1534</v>
      </c>
      <c r="B549" s="291" t="s">
        <v>28</v>
      </c>
      <c r="C549" s="286"/>
      <c r="D549" s="286"/>
      <c r="E549" s="288"/>
      <c r="F549" s="286"/>
      <c r="G549" s="288"/>
      <c r="H549" s="286"/>
      <c r="I549" s="288"/>
      <c r="J549" s="286"/>
      <c r="K549" s="288"/>
      <c r="L549" s="286"/>
      <c r="M549" s="288"/>
      <c r="N549" s="286"/>
      <c r="O549" s="288"/>
      <c r="P549" s="286"/>
      <c r="Q549" s="288"/>
      <c r="R549" s="286"/>
      <c r="S549" s="288"/>
      <c r="T549" s="286"/>
      <c r="U549" s="288"/>
      <c r="V549" s="286"/>
      <c r="W549" s="288"/>
      <c r="X549" s="286"/>
      <c r="Y549" s="288"/>
      <c r="Z549" s="286"/>
      <c r="AA549" s="288"/>
      <c r="AB549" s="286"/>
      <c r="AC549" s="288"/>
      <c r="AD549" s="286"/>
      <c r="AE549" s="288"/>
      <c r="AF549" s="286"/>
      <c r="AG549" s="288"/>
      <c r="AH549" s="286"/>
      <c r="AI549" s="288"/>
      <c r="AJ549" s="286"/>
      <c r="AK549" s="286"/>
      <c r="AL549" s="286"/>
      <c r="AM549" s="286"/>
      <c r="AN549" s="286"/>
      <c r="AO549" s="286"/>
      <c r="AP549" s="286"/>
      <c r="AQ549" s="286"/>
      <c r="AR549" s="286"/>
      <c r="AS549" s="286"/>
      <c r="AT549" s="286"/>
      <c r="AU549" s="286"/>
      <c r="AV549" s="284"/>
      <c r="AW549" s="284"/>
      <c r="AX549" s="284"/>
      <c r="AY549" s="284"/>
      <c r="AZ549" s="284"/>
      <c r="BA549" s="284"/>
      <c r="BB549" s="284"/>
      <c r="BC549" s="284"/>
      <c r="BD549" s="284"/>
      <c r="BE549" s="284"/>
      <c r="BF549" s="284"/>
      <c r="BG549" s="284"/>
      <c r="BH549" s="284"/>
      <c r="BI549" s="284"/>
      <c r="BJ549" s="284"/>
      <c r="BK549" s="284"/>
      <c r="BL549" s="284"/>
      <c r="BM549" s="284"/>
      <c r="BN549" s="284"/>
      <c r="BO549" s="284"/>
      <c r="BP549" s="284"/>
      <c r="BQ549" s="284"/>
      <c r="BR549" s="284"/>
      <c r="BS549" s="284"/>
      <c r="BT549" s="284"/>
      <c r="BU549" s="284"/>
      <c r="BV549" s="284"/>
      <c r="BW549" s="284"/>
      <c r="BX549" s="284"/>
      <c r="BY549" s="284"/>
      <c r="BZ549" s="285"/>
      <c r="CA549" s="298">
        <f>SUM(C549,E549,G549,I549,K549,M549,O549,Q549,S549,U549,W549,Y549,AA549,AC549,AE549,AG549,AI549,AK549,AM549,AO549,AQ549,AS549,AU549,AW549,AY549,BA549,BC549,BE549,BG549,BI549,BK549,BM549,BO549,BQ549,BS549,BU549,BW549,BY549)</f>
        <v>0</v>
      </c>
      <c r="CB549" s="298">
        <f>SUM(D549,F549,H549,J549,L549,N549,P549,R549,T549,V549,X549,Z549,AB549,AD549,AF549,AH549,AJ549,AL549,AN549,AP549,AR549,AT549,AV549,AX549,AZ549,BB549,BD549,BF549,BH549,BJ549,BL549,BN549,BP549,BR549,BT549,BV549,BX549,BZ549)</f>
        <v>0</v>
      </c>
      <c r="CC549" s="299">
        <f>SUM(Table13[[#This Row],[GOALS 1]:[ASSISTS 38]])</f>
        <v>0</v>
      </c>
    </row>
    <row r="550" spans="1:81">
      <c r="A550" s="291" t="s">
        <v>1523</v>
      </c>
      <c r="B550" s="291" t="s">
        <v>43</v>
      </c>
      <c r="C550" s="286"/>
      <c r="D550" s="286"/>
      <c r="E550" s="288"/>
      <c r="F550" s="286"/>
      <c r="G550" s="288"/>
      <c r="H550" s="286"/>
      <c r="I550" s="288"/>
      <c r="J550" s="286"/>
      <c r="K550" s="288"/>
      <c r="L550" s="286"/>
      <c r="M550" s="288"/>
      <c r="N550" s="286"/>
      <c r="O550" s="288"/>
      <c r="P550" s="286"/>
      <c r="Q550" s="288"/>
      <c r="R550" s="286"/>
      <c r="S550" s="288"/>
      <c r="T550" s="286"/>
      <c r="U550" s="288"/>
      <c r="V550" s="286"/>
      <c r="W550" s="288"/>
      <c r="X550" s="286"/>
      <c r="Y550" s="288"/>
      <c r="Z550" s="286"/>
      <c r="AA550" s="288"/>
      <c r="AB550" s="286"/>
      <c r="AC550" s="288"/>
      <c r="AD550" s="286"/>
      <c r="AE550" s="288"/>
      <c r="AF550" s="286"/>
      <c r="AG550" s="288"/>
      <c r="AH550" s="286"/>
      <c r="AI550" s="288"/>
      <c r="AJ550" s="286"/>
      <c r="AK550" s="286"/>
      <c r="AL550" s="286"/>
      <c r="AM550" s="286"/>
      <c r="AN550" s="286"/>
      <c r="AO550" s="286"/>
      <c r="AP550" s="286"/>
      <c r="AQ550" s="286"/>
      <c r="AR550" s="286"/>
      <c r="AS550" s="286"/>
      <c r="AT550" s="286"/>
      <c r="AU550" s="286"/>
      <c r="AV550" s="284"/>
      <c r="AW550" s="284"/>
      <c r="AX550" s="284"/>
      <c r="AY550" s="284"/>
      <c r="AZ550" s="284"/>
      <c r="BA550" s="284"/>
      <c r="BB550" s="284"/>
      <c r="BC550" s="284"/>
      <c r="BD550" s="284"/>
      <c r="BE550" s="284"/>
      <c r="BF550" s="284"/>
      <c r="BG550" s="284"/>
      <c r="BH550" s="284"/>
      <c r="BI550" s="284"/>
      <c r="BJ550" s="284"/>
      <c r="BK550" s="284"/>
      <c r="BL550" s="284"/>
      <c r="BM550" s="284"/>
      <c r="BN550" s="284"/>
      <c r="BO550" s="284"/>
      <c r="BP550" s="284"/>
      <c r="BQ550" s="284"/>
      <c r="BR550" s="284"/>
      <c r="BS550" s="284"/>
      <c r="BT550" s="284"/>
      <c r="BU550" s="284"/>
      <c r="BV550" s="284"/>
      <c r="BW550" s="284"/>
      <c r="BX550" s="284"/>
      <c r="BY550" s="284"/>
      <c r="BZ550" s="285"/>
      <c r="CA550" s="298">
        <f>SUM(C550,E550,G550,I550,K550,M550,O550,Q550,S550,U550,W550,Y550,AA550,AC550,AE550,AG550,AI550,AK550,AM550,AO550,AQ550,AS550,AU550,AW550,AY550,BA550,BC550,BE550,BG550,BI550,BK550,BM550,BO550,BQ550,BS550,BU550,BW550,BY550)</f>
        <v>0</v>
      </c>
      <c r="CB550" s="298">
        <f>SUM(D550,F550,H550,J550,L550,N550,P550,R550,T550,V550,X550,Z550,AB550,AD550,AF550,AH550,AJ550,AL550,AN550,AP550,AR550,AT550,AV550,AX550,AZ550,BB550,BD550,BF550,BH550,BJ550,BL550,BN550,BP550,BR550,BT550,BV550,BX550,BZ550)</f>
        <v>0</v>
      </c>
      <c r="CC550" s="299">
        <f>SUM(Table13[[#This Row],[GOALS 1]:[ASSISTS 38]])</f>
        <v>0</v>
      </c>
    </row>
    <row r="551" spans="1:81">
      <c r="A551" s="291" t="s">
        <v>1452</v>
      </c>
      <c r="B551" s="291" t="s">
        <v>23</v>
      </c>
      <c r="C551" s="289"/>
      <c r="D551" s="286"/>
      <c r="E551" s="288"/>
      <c r="F551" s="286"/>
      <c r="G551" s="288"/>
      <c r="H551" s="286"/>
      <c r="I551" s="288"/>
      <c r="J551" s="286"/>
      <c r="K551" s="288"/>
      <c r="L551" s="286"/>
      <c r="M551" s="288"/>
      <c r="N551" s="286"/>
      <c r="O551" s="288"/>
      <c r="P551" s="286"/>
      <c r="Q551" s="288"/>
      <c r="R551" s="286"/>
      <c r="S551" s="288"/>
      <c r="T551" s="286"/>
      <c r="U551" s="288"/>
      <c r="V551" s="286"/>
      <c r="W551" s="288"/>
      <c r="X551" s="286"/>
      <c r="Y551" s="288"/>
      <c r="Z551" s="286"/>
      <c r="AA551" s="288"/>
      <c r="AB551" s="286"/>
      <c r="AC551" s="288"/>
      <c r="AD551" s="286"/>
      <c r="AE551" s="288"/>
      <c r="AF551" s="286"/>
      <c r="AG551" s="288"/>
      <c r="AH551" s="286"/>
      <c r="AI551" s="288"/>
      <c r="AJ551" s="286"/>
      <c r="AK551" s="286"/>
      <c r="AL551" s="286"/>
      <c r="AM551" s="286"/>
      <c r="AN551" s="286"/>
      <c r="AO551" s="286"/>
      <c r="AP551" s="286"/>
      <c r="AQ551" s="286"/>
      <c r="AR551" s="286"/>
      <c r="AS551" s="286"/>
      <c r="AT551" s="286"/>
      <c r="AU551" s="286"/>
      <c r="AV551" s="284"/>
      <c r="AW551" s="284"/>
      <c r="AX551" s="284"/>
      <c r="AY551" s="284"/>
      <c r="AZ551" s="284"/>
      <c r="BA551" s="284"/>
      <c r="BB551" s="284"/>
      <c r="BC551" s="284"/>
      <c r="BD551" s="284"/>
      <c r="BE551" s="284"/>
      <c r="BF551" s="284"/>
      <c r="BG551" s="284"/>
      <c r="BH551" s="284"/>
      <c r="BI551" s="284"/>
      <c r="BJ551" s="284"/>
      <c r="BK551" s="284"/>
      <c r="BL551" s="284"/>
      <c r="BM551" s="284"/>
      <c r="BN551" s="284"/>
      <c r="BO551" s="284"/>
      <c r="BP551" s="284"/>
      <c r="BQ551" s="284"/>
      <c r="BR551" s="284"/>
      <c r="BS551" s="284"/>
      <c r="BT551" s="284"/>
      <c r="BU551" s="284"/>
      <c r="BV551" s="284"/>
      <c r="BW551" s="284"/>
      <c r="BX551" s="284"/>
      <c r="BY551" s="284"/>
      <c r="BZ551" s="285"/>
      <c r="CA551" s="298">
        <f>SUM(C551,E551,G551,I551,K551,M551,O551,Q551,S551,U551,W551,Y551,AA551,AC551,AE551,AG551,AI551,AK551,AM551,AO551,AQ551,AS551,AU551,AW551,AY551,BA551,BC551,BE551,BG551,BI551,BK551,BM551,BO551,BQ551,BS551,BU551,BW551,BY551)</f>
        <v>0</v>
      </c>
      <c r="CB551" s="298">
        <f>SUM(D551,F551,H551,J551,L551,N551,P551,R551,T551,V551,X551,Z551,AB551,AD551,AF551,AH551,AJ551,AL551,AN551,AP551,AR551,AT551,AV551,AX551,AZ551,BB551,BD551,BF551,BH551,BJ551,BL551,BN551,BP551,BR551,BT551,BV551,BX551,BZ551)</f>
        <v>0</v>
      </c>
      <c r="CC551" s="299">
        <f>SUM(Table13[[#This Row],[GOALS 1]:[ASSISTS 38]])</f>
        <v>0</v>
      </c>
    </row>
    <row r="552" spans="1:81">
      <c r="A552" s="291" t="s">
        <v>1544</v>
      </c>
      <c r="B552" s="291" t="s">
        <v>52</v>
      </c>
      <c r="C552" s="289"/>
      <c r="D552" s="286"/>
      <c r="E552" s="288"/>
      <c r="F552" s="286"/>
      <c r="G552" s="288"/>
      <c r="H552" s="286"/>
      <c r="I552" s="288"/>
      <c r="J552" s="286"/>
      <c r="K552" s="288"/>
      <c r="L552" s="286"/>
      <c r="M552" s="288"/>
      <c r="N552" s="286"/>
      <c r="O552" s="288"/>
      <c r="P552" s="286"/>
      <c r="Q552" s="288"/>
      <c r="R552" s="286"/>
      <c r="S552" s="288"/>
      <c r="T552" s="286"/>
      <c r="U552" s="288"/>
      <c r="V552" s="286"/>
      <c r="W552" s="288"/>
      <c r="X552" s="286"/>
      <c r="Y552" s="288"/>
      <c r="Z552" s="286"/>
      <c r="AA552" s="288"/>
      <c r="AB552" s="286"/>
      <c r="AC552" s="288"/>
      <c r="AD552" s="286"/>
      <c r="AE552" s="288"/>
      <c r="AF552" s="286"/>
      <c r="AG552" s="288"/>
      <c r="AH552" s="286"/>
      <c r="AI552" s="288"/>
      <c r="AJ552" s="286"/>
      <c r="AK552" s="286"/>
      <c r="AL552" s="286"/>
      <c r="AM552" s="286"/>
      <c r="AN552" s="286"/>
      <c r="AO552" s="286"/>
      <c r="AP552" s="286"/>
      <c r="AQ552" s="286"/>
      <c r="AR552" s="286"/>
      <c r="AS552" s="286"/>
      <c r="AT552" s="286"/>
      <c r="AU552" s="286"/>
      <c r="AV552" s="284"/>
      <c r="AW552" s="284"/>
      <c r="AX552" s="284"/>
      <c r="AY552" s="284"/>
      <c r="AZ552" s="284"/>
      <c r="BA552" s="284"/>
      <c r="BB552" s="284"/>
      <c r="BC552" s="284"/>
      <c r="BD552" s="284"/>
      <c r="BE552" s="284"/>
      <c r="BF552" s="284"/>
      <c r="BG552" s="284"/>
      <c r="BH552" s="284"/>
      <c r="BI552" s="284"/>
      <c r="BJ552" s="284"/>
      <c r="BK552" s="284"/>
      <c r="BL552" s="284"/>
      <c r="BM552" s="284"/>
      <c r="BN552" s="284"/>
      <c r="BO552" s="284"/>
      <c r="BP552" s="284"/>
      <c r="BQ552" s="284"/>
      <c r="BR552" s="284"/>
      <c r="BS552" s="284"/>
      <c r="BT552" s="284"/>
      <c r="BU552" s="284"/>
      <c r="BV552" s="284"/>
      <c r="BW552" s="284"/>
      <c r="BX552" s="284"/>
      <c r="BY552" s="284"/>
      <c r="BZ552" s="285"/>
      <c r="CA552" s="298">
        <f>SUM(C552,E552,G552,I552,K552,M552,O552,Q552,S552,U552,W552,Y552,AA552,AC552,AE552,AG552,AI552,AK552,AM552,AO552,AQ552,AS552,AU552,AW552,AY552,BA552,BC552,BE552,BG552,BI552,BK552,BM552,BO552,BQ552,BS552,BU552,BW552,BY552)</f>
        <v>0</v>
      </c>
      <c r="CB552" s="298">
        <f>SUM(D552,F552,H552,J552,L552,N552,P552,R552,T552,V552,X552,Z552,AB552,AD552,AF552,AH552,AJ552,AL552,AN552,AP552,AR552,AT552,AV552,AX552,AZ552,BB552,BD552,BF552,BH552,BJ552,BL552,BN552,BP552,BR552,BT552,BV552,BX552,BZ552)</f>
        <v>0</v>
      </c>
      <c r="CC552" s="299">
        <f>SUM(Table13[[#This Row],[GOALS 1]:[ASSISTS 38]])</f>
        <v>0</v>
      </c>
    </row>
    <row r="553" spans="1:81">
      <c r="A553" s="291" t="s">
        <v>1841</v>
      </c>
      <c r="B553" s="291" t="s">
        <v>633</v>
      </c>
      <c r="C553" s="289"/>
      <c r="D553" s="286"/>
      <c r="E553" s="288"/>
      <c r="F553" s="286"/>
      <c r="G553" s="288"/>
      <c r="H553" s="286"/>
      <c r="I553" s="288"/>
      <c r="J553" s="286"/>
      <c r="K553" s="288"/>
      <c r="L553" s="286"/>
      <c r="M553" s="288"/>
      <c r="N553" s="286"/>
      <c r="O553" s="288"/>
      <c r="P553" s="286"/>
      <c r="Q553" s="288"/>
      <c r="R553" s="286"/>
      <c r="S553" s="288"/>
      <c r="T553" s="286"/>
      <c r="U553" s="288"/>
      <c r="V553" s="286"/>
      <c r="W553" s="288"/>
      <c r="X553" s="286"/>
      <c r="Y553" s="288"/>
      <c r="Z553" s="286"/>
      <c r="AA553" s="288"/>
      <c r="AB553" s="286"/>
      <c r="AC553" s="288"/>
      <c r="AD553" s="286"/>
      <c r="AE553" s="288"/>
      <c r="AF553" s="286"/>
      <c r="AG553" s="288"/>
      <c r="AH553" s="286"/>
      <c r="AI553" s="288"/>
      <c r="AJ553" s="286"/>
      <c r="AK553" s="286"/>
      <c r="AL553" s="286"/>
      <c r="AM553" s="286"/>
      <c r="AN553" s="286"/>
      <c r="AO553" s="286"/>
      <c r="AP553" s="286"/>
      <c r="AQ553" s="286"/>
      <c r="AR553" s="286"/>
      <c r="AS553" s="286"/>
      <c r="AT553" s="286"/>
      <c r="AU553" s="286"/>
      <c r="AV553" s="284"/>
      <c r="AW553" s="284"/>
      <c r="AX553" s="284"/>
      <c r="AY553" s="284"/>
      <c r="AZ553" s="284"/>
      <c r="BA553" s="284"/>
      <c r="BB553" s="284"/>
      <c r="BC553" s="284"/>
      <c r="BD553" s="284"/>
      <c r="BE553" s="284"/>
      <c r="BF553" s="284"/>
      <c r="BG553" s="284"/>
      <c r="BH553" s="284"/>
      <c r="BI553" s="284"/>
      <c r="BJ553" s="284"/>
      <c r="BK553" s="284"/>
      <c r="BL553" s="284"/>
      <c r="BM553" s="284"/>
      <c r="BN553" s="284"/>
      <c r="BO553" s="284"/>
      <c r="BP553" s="284"/>
      <c r="BQ553" s="284"/>
      <c r="BR553" s="284"/>
      <c r="BS553" s="284"/>
      <c r="BT553" s="284"/>
      <c r="BU553" s="284"/>
      <c r="BV553" s="284"/>
      <c r="BW553" s="284"/>
      <c r="BX553" s="284"/>
      <c r="BY553" s="284"/>
      <c r="BZ553" s="285"/>
      <c r="CA553" s="298">
        <f>SUM(C553,E553,G553,I553,K553,M553,O553,Q553,S553,U553,W553,Y553,AA553,AC553,AE553,AG553,AI553,AK553,AM553,AO553,AQ553,AS553,AU553,AW553,AY553,BA553,BC553,BE553,BG553,BI553,BK553,BM553,BO553,BQ553,BS553,BU553,BW553,BY553)</f>
        <v>0</v>
      </c>
      <c r="CB553" s="298">
        <f>SUM(D553,F553,H553,J553,L553,N553,P553,R553,T553,V553,X553,Z553,AB553,AD553,AF553,AH553,AJ553,AL553,AN553,AP553,AR553,AT553,AV553,AX553,AZ553,BB553,BD553,BF553,BH553,BJ553,BL553,BN553,BP553,BR553,BT553,BV553,BX553,BZ553)</f>
        <v>0</v>
      </c>
      <c r="CC553" s="299">
        <f>SUM(Table13[[#This Row],[GOALS 1]:[ASSISTS 38]])</f>
        <v>0</v>
      </c>
    </row>
    <row r="554" spans="1:81">
      <c r="A554" s="291" t="s">
        <v>1577</v>
      </c>
      <c r="B554" s="291" t="s">
        <v>633</v>
      </c>
      <c r="C554" s="289"/>
      <c r="D554" s="286"/>
      <c r="E554" s="288"/>
      <c r="F554" s="286"/>
      <c r="G554" s="288"/>
      <c r="H554" s="286"/>
      <c r="I554" s="288"/>
      <c r="J554" s="286"/>
      <c r="K554" s="288"/>
      <c r="L554" s="286"/>
      <c r="M554" s="288"/>
      <c r="N554" s="286"/>
      <c r="O554" s="288"/>
      <c r="P554" s="286"/>
      <c r="Q554" s="288"/>
      <c r="R554" s="286"/>
      <c r="S554" s="288"/>
      <c r="T554" s="286"/>
      <c r="U554" s="288"/>
      <c r="V554" s="286"/>
      <c r="W554" s="288"/>
      <c r="X554" s="286"/>
      <c r="Y554" s="288"/>
      <c r="Z554" s="286"/>
      <c r="AA554" s="288"/>
      <c r="AB554" s="286"/>
      <c r="AC554" s="288"/>
      <c r="AD554" s="286"/>
      <c r="AE554" s="288"/>
      <c r="AF554" s="286"/>
      <c r="AG554" s="288"/>
      <c r="AH554" s="286"/>
      <c r="AI554" s="288"/>
      <c r="AJ554" s="286"/>
      <c r="AK554" s="286"/>
      <c r="AL554" s="286"/>
      <c r="AM554" s="286"/>
      <c r="AN554" s="286"/>
      <c r="AO554" s="286"/>
      <c r="AP554" s="286"/>
      <c r="AQ554" s="286"/>
      <c r="AR554" s="286"/>
      <c r="AS554" s="286"/>
      <c r="AT554" s="286"/>
      <c r="AU554" s="286"/>
      <c r="AV554" s="284"/>
      <c r="AW554" s="284"/>
      <c r="AX554" s="284"/>
      <c r="AY554" s="284"/>
      <c r="AZ554" s="284"/>
      <c r="BA554" s="284"/>
      <c r="BB554" s="284"/>
      <c r="BC554" s="284"/>
      <c r="BD554" s="284"/>
      <c r="BE554" s="284"/>
      <c r="BF554" s="284"/>
      <c r="BG554" s="284"/>
      <c r="BH554" s="284"/>
      <c r="BI554" s="284"/>
      <c r="BJ554" s="284"/>
      <c r="BK554" s="284"/>
      <c r="BL554" s="284"/>
      <c r="BM554" s="284"/>
      <c r="BN554" s="284"/>
      <c r="BO554" s="284"/>
      <c r="BP554" s="284"/>
      <c r="BQ554" s="284"/>
      <c r="BR554" s="284"/>
      <c r="BS554" s="284"/>
      <c r="BT554" s="284"/>
      <c r="BU554" s="284"/>
      <c r="BV554" s="284"/>
      <c r="BW554" s="284"/>
      <c r="BX554" s="284"/>
      <c r="BY554" s="284"/>
      <c r="BZ554" s="285"/>
      <c r="CA554" s="298">
        <f>SUM(C554,E554,G554,I554,K554,M554,O554,Q554,S554,U554,W554,Y554,AA554,AC554,AE554,AG554,AI554,AK554,AM554,AO554,AQ554,AS554,AU554,AW554,AY554,BA554,BC554,BE554,BG554,BI554,BK554,BM554,BO554,BQ554,BS554,BU554,BW554,BY554)</f>
        <v>0</v>
      </c>
      <c r="CB554" s="298">
        <f>SUM(D554,F554,H554,J554,L554,N554,P554,R554,T554,V554,X554,Z554,AB554,AD554,AF554,AH554,AJ554,AL554,AN554,AP554,AR554,AT554,AV554,AX554,AZ554,BB554,BD554,BF554,BH554,BJ554,BL554,BN554,BP554,BR554,BT554,BV554,BX554,BZ554)</f>
        <v>0</v>
      </c>
      <c r="CC554" s="299">
        <f>SUM(Table13[[#This Row],[GOALS 1]:[ASSISTS 38]])</f>
        <v>0</v>
      </c>
    </row>
    <row r="555" spans="1:81">
      <c r="A555" s="291" t="s">
        <v>1721</v>
      </c>
      <c r="B555" s="291" t="s">
        <v>51</v>
      </c>
      <c r="C555" s="286"/>
      <c r="D555" s="286"/>
      <c r="E555" s="288"/>
      <c r="F555" s="286"/>
      <c r="G555" s="288"/>
      <c r="H555" s="286"/>
      <c r="I555" s="288"/>
      <c r="J555" s="286"/>
      <c r="K555" s="288"/>
      <c r="L555" s="286"/>
      <c r="M555" s="288"/>
      <c r="N555" s="286"/>
      <c r="O555" s="288"/>
      <c r="P555" s="286"/>
      <c r="Q555" s="288"/>
      <c r="R555" s="286"/>
      <c r="S555" s="288"/>
      <c r="T555" s="286"/>
      <c r="U555" s="288"/>
      <c r="V555" s="286"/>
      <c r="W555" s="288"/>
      <c r="X555" s="286"/>
      <c r="Y555" s="288"/>
      <c r="Z555" s="286"/>
      <c r="AA555" s="288"/>
      <c r="AB555" s="286"/>
      <c r="AC555" s="288"/>
      <c r="AD555" s="286"/>
      <c r="AE555" s="288"/>
      <c r="AF555" s="286"/>
      <c r="AG555" s="288"/>
      <c r="AH555" s="286"/>
      <c r="AI555" s="288"/>
      <c r="AJ555" s="286"/>
      <c r="AK555" s="286"/>
      <c r="AL555" s="286"/>
      <c r="AM555" s="286"/>
      <c r="AN555" s="286"/>
      <c r="AO555" s="286"/>
      <c r="AP555" s="286"/>
      <c r="AQ555" s="286"/>
      <c r="AR555" s="286"/>
      <c r="AS555" s="286"/>
      <c r="AT555" s="286"/>
      <c r="AU555" s="286"/>
      <c r="AV555" s="284"/>
      <c r="AW555" s="284"/>
      <c r="AX555" s="284"/>
      <c r="AY555" s="284"/>
      <c r="AZ555" s="284"/>
      <c r="BA555" s="284"/>
      <c r="BB555" s="284"/>
      <c r="BC555" s="284"/>
      <c r="BD555" s="284"/>
      <c r="BE555" s="284"/>
      <c r="BF555" s="284"/>
      <c r="BG555" s="284"/>
      <c r="BH555" s="284"/>
      <c r="BI555" s="284"/>
      <c r="BJ555" s="284"/>
      <c r="BK555" s="284"/>
      <c r="BL555" s="284"/>
      <c r="BM555" s="284"/>
      <c r="BN555" s="284"/>
      <c r="BO555" s="284"/>
      <c r="BP555" s="284"/>
      <c r="BQ555" s="284"/>
      <c r="BR555" s="284"/>
      <c r="BS555" s="284"/>
      <c r="BT555" s="284"/>
      <c r="BU555" s="284"/>
      <c r="BV555" s="284"/>
      <c r="BW555" s="284"/>
      <c r="BX555" s="284"/>
      <c r="BY555" s="284"/>
      <c r="BZ555" s="285"/>
      <c r="CA555" s="298">
        <f>SUM(C555,E555,G555,I555,K555,M555,O555,Q555,S555,U555,W555,Y555,AA555,AC555,AE555,AG555,AI555,AK555,AM555,AO555,AQ555,AS555,AU555,AW555,AY555,BA555,BC555,BE555,BG555,BI555,BK555,BM555,BO555,BQ555,BS555,BU555,BW555,BY555)</f>
        <v>0</v>
      </c>
      <c r="CB555" s="298">
        <f>SUM(D555,F555,H555,J555,L555,N555,P555,R555,T555,V555,X555,Z555,AB555,AD555,AF555,AH555,AJ555,AL555,AN555,AP555,AR555,AT555,AV555,AX555,AZ555,BB555,BD555,BF555,BH555,BJ555,BL555,BN555,BP555,BR555,BT555,BV555,BX555,BZ555)</f>
        <v>0</v>
      </c>
      <c r="CC555" s="299">
        <f>SUM(Table13[[#This Row],[GOALS 1]:[ASSISTS 38]])</f>
        <v>0</v>
      </c>
    </row>
    <row r="556" spans="1:81">
      <c r="A556" s="291" t="s">
        <v>1865</v>
      </c>
      <c r="B556" s="291" t="s">
        <v>23</v>
      </c>
      <c r="C556" s="289"/>
      <c r="D556" s="286"/>
      <c r="E556" s="288"/>
      <c r="F556" s="286"/>
      <c r="G556" s="288"/>
      <c r="H556" s="286"/>
      <c r="I556" s="288"/>
      <c r="J556" s="286"/>
      <c r="K556" s="288"/>
      <c r="L556" s="286"/>
      <c r="M556" s="288"/>
      <c r="N556" s="286"/>
      <c r="O556" s="288"/>
      <c r="P556" s="286"/>
      <c r="Q556" s="288"/>
      <c r="R556" s="286"/>
      <c r="S556" s="288"/>
      <c r="T556" s="286"/>
      <c r="U556" s="288"/>
      <c r="V556" s="286"/>
      <c r="W556" s="288"/>
      <c r="X556" s="286"/>
      <c r="Y556" s="288"/>
      <c r="Z556" s="286"/>
      <c r="AA556" s="288"/>
      <c r="AB556" s="286"/>
      <c r="AC556" s="288"/>
      <c r="AD556" s="286"/>
      <c r="AE556" s="288"/>
      <c r="AF556" s="286"/>
      <c r="AG556" s="288"/>
      <c r="AH556" s="286"/>
      <c r="AI556" s="288"/>
      <c r="AJ556" s="286"/>
      <c r="AK556" s="286"/>
      <c r="AL556" s="286"/>
      <c r="AM556" s="286"/>
      <c r="AN556" s="286"/>
      <c r="AO556" s="286"/>
      <c r="AP556" s="286"/>
      <c r="AQ556" s="286"/>
      <c r="AR556" s="286"/>
      <c r="AS556" s="286"/>
      <c r="AT556" s="286"/>
      <c r="AU556" s="286"/>
      <c r="AV556" s="284"/>
      <c r="AW556" s="284"/>
      <c r="AX556" s="284"/>
      <c r="AY556" s="284"/>
      <c r="AZ556" s="284"/>
      <c r="BA556" s="284"/>
      <c r="BB556" s="284"/>
      <c r="BC556" s="284"/>
      <c r="BD556" s="284"/>
      <c r="BE556" s="284"/>
      <c r="BF556" s="284"/>
      <c r="BG556" s="284"/>
      <c r="BH556" s="284"/>
      <c r="BI556" s="284"/>
      <c r="BJ556" s="284"/>
      <c r="BK556" s="284"/>
      <c r="BL556" s="284"/>
      <c r="BM556" s="284"/>
      <c r="BN556" s="284"/>
      <c r="BO556" s="284"/>
      <c r="BP556" s="284"/>
      <c r="BQ556" s="284"/>
      <c r="BR556" s="284"/>
      <c r="BS556" s="284"/>
      <c r="BT556" s="284"/>
      <c r="BU556" s="284"/>
      <c r="BV556" s="284"/>
      <c r="BW556" s="284"/>
      <c r="BX556" s="284"/>
      <c r="BY556" s="284"/>
      <c r="BZ556" s="285"/>
      <c r="CA556" s="298">
        <f>SUM(C556,E556,G556,I556,K556,M556,O556,Q556,S556,U556,W556,Y556,AA556,AC556,AE556,AG556,AI556,AK556,AM556,AO556,AQ556,AS556,AU556,AW556,AY556,BA556,BC556,BE556,BG556,BI556,BK556,BM556,BO556,BQ556,BS556,BU556,BW556,BY556)</f>
        <v>0</v>
      </c>
      <c r="CB556" s="298">
        <f>SUM(D556,F556,H556,J556,L556,N556,P556,R556,T556,V556,X556,Z556,AB556,AD556,AF556,AH556,AJ556,AL556,AN556,AP556,AR556,AT556,AV556,AX556,AZ556,BB556,BD556,BF556,BH556,BJ556,BL556,BN556,BP556,BR556,BT556,BV556,BX556,BZ556)</f>
        <v>0</v>
      </c>
      <c r="CC556" s="299">
        <f>SUM(Table13[[#This Row],[GOALS 1]:[ASSISTS 38]])</f>
        <v>0</v>
      </c>
    </row>
    <row r="557" spans="1:81">
      <c r="A557" s="291" t="s">
        <v>1470</v>
      </c>
      <c r="B557" s="291" t="s">
        <v>28</v>
      </c>
      <c r="C557" s="286"/>
      <c r="D557" s="286"/>
      <c r="E557" s="288"/>
      <c r="F557" s="286"/>
      <c r="G557" s="288"/>
      <c r="H557" s="286"/>
      <c r="I557" s="288"/>
      <c r="J557" s="286"/>
      <c r="K557" s="288"/>
      <c r="L557" s="286"/>
      <c r="M557" s="288"/>
      <c r="N557" s="286"/>
      <c r="O557" s="288"/>
      <c r="P557" s="286"/>
      <c r="Q557" s="288"/>
      <c r="R557" s="286"/>
      <c r="S557" s="288"/>
      <c r="T557" s="286"/>
      <c r="U557" s="288"/>
      <c r="V557" s="286"/>
      <c r="W557" s="288"/>
      <c r="X557" s="286"/>
      <c r="Y557" s="288"/>
      <c r="Z557" s="286"/>
      <c r="AA557" s="288"/>
      <c r="AB557" s="286"/>
      <c r="AC557" s="288"/>
      <c r="AD557" s="286"/>
      <c r="AE557" s="288"/>
      <c r="AF557" s="286"/>
      <c r="AG557" s="288"/>
      <c r="AH557" s="286"/>
      <c r="AI557" s="288"/>
      <c r="AJ557" s="286"/>
      <c r="AK557" s="286"/>
      <c r="AL557" s="286"/>
      <c r="AM557" s="286"/>
      <c r="AN557" s="286"/>
      <c r="AO557" s="286"/>
      <c r="AP557" s="286"/>
      <c r="AQ557" s="286"/>
      <c r="AR557" s="286"/>
      <c r="AS557" s="286"/>
      <c r="AT557" s="286"/>
      <c r="AU557" s="286"/>
      <c r="AV557" s="284"/>
      <c r="AW557" s="284"/>
      <c r="AX557" s="284"/>
      <c r="AY557" s="284"/>
      <c r="AZ557" s="284"/>
      <c r="BA557" s="284"/>
      <c r="BB557" s="284"/>
      <c r="BC557" s="284"/>
      <c r="BD557" s="284"/>
      <c r="BE557" s="284"/>
      <c r="BF557" s="284"/>
      <c r="BG557" s="284"/>
      <c r="BH557" s="284"/>
      <c r="BI557" s="284"/>
      <c r="BJ557" s="284"/>
      <c r="BK557" s="284"/>
      <c r="BL557" s="284"/>
      <c r="BM557" s="284"/>
      <c r="BN557" s="284"/>
      <c r="BO557" s="284"/>
      <c r="BP557" s="284"/>
      <c r="BQ557" s="284"/>
      <c r="BR557" s="284"/>
      <c r="BS557" s="284"/>
      <c r="BT557" s="284"/>
      <c r="BU557" s="284"/>
      <c r="BV557" s="284"/>
      <c r="BW557" s="284"/>
      <c r="BX557" s="284"/>
      <c r="BY557" s="284"/>
      <c r="BZ557" s="285"/>
      <c r="CA557" s="298">
        <f>SUM(C557,E557,G557,I557,K557,M557,O557,Q557,S557,U557,W557,Y557,AA557,AC557,AE557,AG557,AI557,AK557,AM557,AO557,AQ557,AS557,AU557,AW557,AY557,BA557,BC557,BE557,BG557,BI557,BK557,BM557,BO557,BQ557,BS557,BU557,BW557,BY557)</f>
        <v>0</v>
      </c>
      <c r="CB557" s="298">
        <f>SUM(D557,F557,H557,J557,L557,N557,P557,R557,T557,V557,X557,Z557,AB557,AD557,AF557,AH557,AJ557,AL557,AN557,AP557,AR557,AT557,AV557,AX557,AZ557,BB557,BD557,BF557,BH557,BJ557,BL557,BN557,BP557,BR557,BT557,BV557,BX557,BZ557)</f>
        <v>0</v>
      </c>
      <c r="CC557" s="299">
        <f>SUM(Table13[[#This Row],[GOALS 1]:[ASSISTS 38]])</f>
        <v>0</v>
      </c>
    </row>
    <row r="558" spans="1:81">
      <c r="A558" s="291" t="s">
        <v>1573</v>
      </c>
      <c r="B558" s="291" t="s">
        <v>23</v>
      </c>
      <c r="C558" s="289"/>
      <c r="D558" s="286"/>
      <c r="E558" s="288"/>
      <c r="F558" s="286"/>
      <c r="G558" s="288"/>
      <c r="H558" s="286"/>
      <c r="I558" s="288"/>
      <c r="J558" s="286"/>
      <c r="K558" s="288"/>
      <c r="L558" s="286"/>
      <c r="M558" s="288"/>
      <c r="N558" s="286"/>
      <c r="O558" s="288"/>
      <c r="P558" s="286"/>
      <c r="Q558" s="288"/>
      <c r="R558" s="286"/>
      <c r="S558" s="288"/>
      <c r="T558" s="286"/>
      <c r="U558" s="288"/>
      <c r="V558" s="286"/>
      <c r="W558" s="288"/>
      <c r="X558" s="286"/>
      <c r="Y558" s="288"/>
      <c r="Z558" s="286"/>
      <c r="AA558" s="288"/>
      <c r="AB558" s="286"/>
      <c r="AC558" s="288"/>
      <c r="AD558" s="286"/>
      <c r="AE558" s="288"/>
      <c r="AF558" s="286"/>
      <c r="AG558" s="288"/>
      <c r="AH558" s="286"/>
      <c r="AI558" s="288"/>
      <c r="AJ558" s="286"/>
      <c r="AK558" s="286"/>
      <c r="AL558" s="286"/>
      <c r="AM558" s="286"/>
      <c r="AN558" s="286"/>
      <c r="AO558" s="286"/>
      <c r="AP558" s="286"/>
      <c r="AQ558" s="286"/>
      <c r="AR558" s="286"/>
      <c r="AS558" s="286"/>
      <c r="AT558" s="286"/>
      <c r="AU558" s="286"/>
      <c r="AV558" s="284"/>
      <c r="AW558" s="284"/>
      <c r="AX558" s="284"/>
      <c r="AY558" s="284"/>
      <c r="AZ558" s="284"/>
      <c r="BA558" s="284"/>
      <c r="BB558" s="284"/>
      <c r="BC558" s="284"/>
      <c r="BD558" s="284"/>
      <c r="BE558" s="284"/>
      <c r="BF558" s="284"/>
      <c r="BG558" s="284"/>
      <c r="BH558" s="284"/>
      <c r="BI558" s="284"/>
      <c r="BJ558" s="284"/>
      <c r="BK558" s="284"/>
      <c r="BL558" s="284"/>
      <c r="BM558" s="284"/>
      <c r="BN558" s="284"/>
      <c r="BO558" s="284"/>
      <c r="BP558" s="284"/>
      <c r="BQ558" s="284"/>
      <c r="BR558" s="284"/>
      <c r="BS558" s="284"/>
      <c r="BT558" s="284"/>
      <c r="BU558" s="284"/>
      <c r="BV558" s="284"/>
      <c r="BW558" s="284"/>
      <c r="BX558" s="284"/>
      <c r="BY558" s="284"/>
      <c r="BZ558" s="285"/>
      <c r="CA558" s="298">
        <f>SUM(C558,E558,G558,I558,K558,M558,O558,Q558,S558,U558,W558,Y558,AA558,AC558,AE558,AG558,AI558,AK558,AM558,AO558,AQ558,AS558,AU558,AW558,AY558,BA558,BC558,BE558,BG558,BI558,BK558,BM558,BO558,BQ558,BS558,BU558,BW558,BY558)</f>
        <v>0</v>
      </c>
      <c r="CB558" s="298">
        <f>SUM(D558,F558,H558,J558,L558,N558,P558,R558,T558,V558,X558,Z558,AB558,AD558,AF558,AH558,AJ558,AL558,AN558,AP558,AR558,AT558,AV558,AX558,AZ558,BB558,BD558,BF558,BH558,BJ558,BL558,BN558,BP558,BR558,BT558,BV558,BX558,BZ558)</f>
        <v>0</v>
      </c>
      <c r="CC558" s="299">
        <f>SUM(Table13[[#This Row],[GOALS 1]:[ASSISTS 38]])</f>
        <v>0</v>
      </c>
    </row>
    <row r="559" spans="1:81">
      <c r="A559" s="291" t="s">
        <v>1405</v>
      </c>
      <c r="B559" s="291" t="s">
        <v>25</v>
      </c>
      <c r="C559" s="286"/>
      <c r="D559" s="286"/>
      <c r="E559" s="288"/>
      <c r="F559" s="286"/>
      <c r="G559" s="288"/>
      <c r="H559" s="286"/>
      <c r="I559" s="288"/>
      <c r="J559" s="286"/>
      <c r="K559" s="288"/>
      <c r="L559" s="286"/>
      <c r="M559" s="288"/>
      <c r="N559" s="286"/>
      <c r="O559" s="288"/>
      <c r="P559" s="286"/>
      <c r="Q559" s="288"/>
      <c r="R559" s="286"/>
      <c r="S559" s="288"/>
      <c r="T559" s="286"/>
      <c r="U559" s="288"/>
      <c r="V559" s="286"/>
      <c r="W559" s="288"/>
      <c r="X559" s="286"/>
      <c r="Y559" s="288"/>
      <c r="Z559" s="286"/>
      <c r="AA559" s="288"/>
      <c r="AB559" s="286"/>
      <c r="AC559" s="288"/>
      <c r="AD559" s="286"/>
      <c r="AE559" s="288"/>
      <c r="AF559" s="286"/>
      <c r="AG559" s="288"/>
      <c r="AH559" s="286"/>
      <c r="AI559" s="288"/>
      <c r="AJ559" s="286"/>
      <c r="AK559" s="286"/>
      <c r="AL559" s="286"/>
      <c r="AM559" s="286"/>
      <c r="AN559" s="286"/>
      <c r="AO559" s="286"/>
      <c r="AP559" s="286"/>
      <c r="AQ559" s="286"/>
      <c r="AR559" s="286"/>
      <c r="AS559" s="286"/>
      <c r="AT559" s="286"/>
      <c r="AU559" s="286"/>
      <c r="AV559" s="284"/>
      <c r="AW559" s="284"/>
      <c r="AX559" s="284"/>
      <c r="AY559" s="284"/>
      <c r="AZ559" s="284"/>
      <c r="BA559" s="284"/>
      <c r="BB559" s="284"/>
      <c r="BC559" s="284"/>
      <c r="BD559" s="284"/>
      <c r="BE559" s="284"/>
      <c r="BF559" s="284"/>
      <c r="BG559" s="284"/>
      <c r="BH559" s="284"/>
      <c r="BI559" s="284"/>
      <c r="BJ559" s="284"/>
      <c r="BK559" s="284"/>
      <c r="BL559" s="284"/>
      <c r="BM559" s="284"/>
      <c r="BN559" s="284"/>
      <c r="BO559" s="284"/>
      <c r="BP559" s="284"/>
      <c r="BQ559" s="284"/>
      <c r="BR559" s="284"/>
      <c r="BS559" s="284"/>
      <c r="BT559" s="284"/>
      <c r="BU559" s="284"/>
      <c r="BV559" s="284"/>
      <c r="BW559" s="284"/>
      <c r="BX559" s="284"/>
      <c r="BY559" s="284"/>
      <c r="BZ559" s="285"/>
      <c r="CA559" s="298">
        <f>SUM(C559,E559,G559,I559,K559,M559,O559,Q559,S559,U559,W559,Y559,AA559,AC559,AE559,AG559,AI559,AK559,AM559,AO559,AQ559,AS559,AU559,AW559,AY559,BA559,BC559,BE559,BG559,BI559,BK559,BM559,BO559,BQ559,BS559,BU559,BW559,BY559)</f>
        <v>0</v>
      </c>
      <c r="CB559" s="298">
        <f>SUM(D559,F559,H559,J559,L559,N559,P559,R559,T559,V559,X559,Z559,AB559,AD559,AF559,AH559,AJ559,AL559,AN559,AP559,AR559,AT559,AV559,AX559,AZ559,BB559,BD559,BF559,BH559,BJ559,BL559,BN559,BP559,BR559,BT559,BV559,BX559,BZ559)</f>
        <v>0</v>
      </c>
      <c r="CC559" s="299">
        <f>SUM(Table13[[#This Row],[GOALS 1]:[ASSISTS 38]])</f>
        <v>0</v>
      </c>
    </row>
    <row r="560" spans="1:81">
      <c r="A560" s="291" t="s">
        <v>1380</v>
      </c>
      <c r="B560" s="291" t="s">
        <v>30</v>
      </c>
      <c r="C560" s="286"/>
      <c r="D560" s="286"/>
      <c r="E560" s="288"/>
      <c r="F560" s="286"/>
      <c r="G560" s="288"/>
      <c r="H560" s="286"/>
      <c r="I560" s="288"/>
      <c r="J560" s="286"/>
      <c r="K560" s="288"/>
      <c r="L560" s="286"/>
      <c r="M560" s="288"/>
      <c r="N560" s="286"/>
      <c r="O560" s="288"/>
      <c r="P560" s="286"/>
      <c r="Q560" s="288"/>
      <c r="R560" s="286"/>
      <c r="S560" s="288"/>
      <c r="T560" s="286"/>
      <c r="U560" s="288"/>
      <c r="V560" s="286"/>
      <c r="W560" s="288"/>
      <c r="X560" s="286"/>
      <c r="Y560" s="288"/>
      <c r="Z560" s="286"/>
      <c r="AA560" s="288"/>
      <c r="AB560" s="286"/>
      <c r="AC560" s="288"/>
      <c r="AD560" s="286"/>
      <c r="AE560" s="288"/>
      <c r="AF560" s="286"/>
      <c r="AG560" s="288"/>
      <c r="AH560" s="286"/>
      <c r="AI560" s="288"/>
      <c r="AJ560" s="286"/>
      <c r="AK560" s="286"/>
      <c r="AL560" s="286"/>
      <c r="AM560" s="286"/>
      <c r="AN560" s="286"/>
      <c r="AO560" s="286"/>
      <c r="AP560" s="286"/>
      <c r="AQ560" s="286"/>
      <c r="AR560" s="286"/>
      <c r="AS560" s="286"/>
      <c r="AT560" s="286"/>
      <c r="AU560" s="286"/>
      <c r="AV560" s="284"/>
      <c r="AW560" s="284"/>
      <c r="AX560" s="284"/>
      <c r="AY560" s="284"/>
      <c r="AZ560" s="284"/>
      <c r="BA560" s="284"/>
      <c r="BB560" s="284"/>
      <c r="BC560" s="284"/>
      <c r="BD560" s="284"/>
      <c r="BE560" s="284"/>
      <c r="BF560" s="284"/>
      <c r="BG560" s="284"/>
      <c r="BH560" s="284"/>
      <c r="BI560" s="284"/>
      <c r="BJ560" s="284"/>
      <c r="BK560" s="284"/>
      <c r="BL560" s="284"/>
      <c r="BM560" s="284"/>
      <c r="BN560" s="284"/>
      <c r="BO560" s="284"/>
      <c r="BP560" s="284"/>
      <c r="BQ560" s="284"/>
      <c r="BR560" s="284"/>
      <c r="BS560" s="284"/>
      <c r="BT560" s="284"/>
      <c r="BU560" s="284"/>
      <c r="BV560" s="284"/>
      <c r="BW560" s="284"/>
      <c r="BX560" s="284"/>
      <c r="BY560" s="284"/>
      <c r="BZ560" s="285"/>
      <c r="CA560" s="298">
        <f>SUM(C560,E560,G560,I560,K560,M560,O560,Q560,S560,U560,W560,Y560,AA560,AC560,AE560,AG560,AI560,AK560,AM560,AO560,AQ560,AS560,AU560,AW560,AY560,BA560,BC560,BE560,BG560,BI560,BK560,BM560,BO560,BQ560,BS560,BU560,BW560,BY560)</f>
        <v>0</v>
      </c>
      <c r="CB560" s="298">
        <f>SUM(D560,F560,H560,J560,L560,N560,P560,R560,T560,V560,X560,Z560,AB560,AD560,AF560,AH560,AJ560,AL560,AN560,AP560,AR560,AT560,AV560,AX560,AZ560,BB560,BD560,BF560,BH560,BJ560,BL560,BN560,BP560,BR560,BT560,BV560,BX560,BZ560)</f>
        <v>0</v>
      </c>
      <c r="CC560" s="299">
        <f>SUM(Table13[[#This Row],[GOALS 1]:[ASSISTS 38]])</f>
        <v>0</v>
      </c>
    </row>
    <row r="561" spans="1:81">
      <c r="A561" s="291" t="s">
        <v>1717</v>
      </c>
      <c r="B561" s="291" t="s">
        <v>27</v>
      </c>
      <c r="C561" s="286"/>
      <c r="D561" s="286"/>
      <c r="E561" s="289"/>
      <c r="F561" s="286"/>
      <c r="G561" s="288"/>
      <c r="H561" s="286"/>
      <c r="I561" s="288"/>
      <c r="J561" s="286"/>
      <c r="K561" s="288"/>
      <c r="L561" s="286"/>
      <c r="M561" s="288"/>
      <c r="N561" s="286"/>
      <c r="O561" s="288"/>
      <c r="P561" s="286"/>
      <c r="Q561" s="288"/>
      <c r="R561" s="286"/>
      <c r="S561" s="288"/>
      <c r="T561" s="286"/>
      <c r="U561" s="288"/>
      <c r="V561" s="286"/>
      <c r="W561" s="288"/>
      <c r="X561" s="286"/>
      <c r="Y561" s="288"/>
      <c r="Z561" s="286"/>
      <c r="AA561" s="288"/>
      <c r="AB561" s="286"/>
      <c r="AC561" s="288"/>
      <c r="AD561" s="286"/>
      <c r="AE561" s="288"/>
      <c r="AF561" s="286"/>
      <c r="AG561" s="288"/>
      <c r="AH561" s="286"/>
      <c r="AI561" s="288"/>
      <c r="AJ561" s="286"/>
      <c r="AK561" s="286"/>
      <c r="AL561" s="286"/>
      <c r="AM561" s="286"/>
      <c r="AN561" s="286"/>
      <c r="AO561" s="286"/>
      <c r="AP561" s="286"/>
      <c r="AQ561" s="286"/>
      <c r="AR561" s="286"/>
      <c r="AS561" s="286"/>
      <c r="AT561" s="286"/>
      <c r="AU561" s="286"/>
      <c r="AV561" s="284"/>
      <c r="AW561" s="284"/>
      <c r="AX561" s="284"/>
      <c r="AY561" s="284"/>
      <c r="AZ561" s="284"/>
      <c r="BA561" s="284"/>
      <c r="BB561" s="284"/>
      <c r="BC561" s="284"/>
      <c r="BD561" s="284"/>
      <c r="BE561" s="284"/>
      <c r="BF561" s="284"/>
      <c r="BG561" s="284"/>
      <c r="BH561" s="284"/>
      <c r="BI561" s="284"/>
      <c r="BJ561" s="284"/>
      <c r="BK561" s="284"/>
      <c r="BL561" s="284"/>
      <c r="BM561" s="284"/>
      <c r="BN561" s="284"/>
      <c r="BO561" s="284"/>
      <c r="BP561" s="284"/>
      <c r="BQ561" s="284"/>
      <c r="BR561" s="284"/>
      <c r="BS561" s="284"/>
      <c r="BT561" s="284"/>
      <c r="BU561" s="284"/>
      <c r="BV561" s="284"/>
      <c r="BW561" s="284"/>
      <c r="BX561" s="284"/>
      <c r="BY561" s="284"/>
      <c r="BZ561" s="285"/>
      <c r="CA561" s="298">
        <f>SUM(C561,E561,G561,I561,K561,M561,O561,Q561,S561,U561,W561,Y561,AA561,AC561,AE561,AG561,AI561,AK561,AM561,AO561,AQ561,AS561,AU561,AW561,AY561,BA561,BC561,BE561,BG561,BI561,BK561,BM561,BO561,BQ561,BS561,BU561,BW561,BY561)</f>
        <v>0</v>
      </c>
      <c r="CB561" s="298">
        <f>SUM(D561,F561,H561,J561,L561,N561,P561,R561,T561,V561,X561,Z561,AB561,AD561,AF561,AH561,AJ561,AL561,AN561,AP561,AR561,AT561,AV561,AX561,AZ561,BB561,BD561,BF561,BH561,BJ561,BL561,BN561,BP561,BR561,BT561,BV561,BX561,BZ561)</f>
        <v>0</v>
      </c>
      <c r="CC561" s="299">
        <f>SUM(Table13[[#This Row],[GOALS 1]:[ASSISTS 38]])</f>
        <v>0</v>
      </c>
    </row>
    <row r="562" spans="1:81">
      <c r="A562" s="291" t="s">
        <v>1393</v>
      </c>
      <c r="B562" s="291" t="s">
        <v>52</v>
      </c>
      <c r="C562" s="289"/>
      <c r="D562" s="286"/>
      <c r="E562" s="288"/>
      <c r="F562" s="286"/>
      <c r="G562" s="288"/>
      <c r="H562" s="286"/>
      <c r="I562" s="288"/>
      <c r="J562" s="286"/>
      <c r="K562" s="288"/>
      <c r="L562" s="286"/>
      <c r="M562" s="288"/>
      <c r="N562" s="286"/>
      <c r="O562" s="288"/>
      <c r="P562" s="286"/>
      <c r="Q562" s="288"/>
      <c r="R562" s="286"/>
      <c r="S562" s="288"/>
      <c r="T562" s="286"/>
      <c r="U562" s="288"/>
      <c r="V562" s="286"/>
      <c r="W562" s="288"/>
      <c r="X562" s="286"/>
      <c r="Y562" s="288"/>
      <c r="Z562" s="286"/>
      <c r="AA562" s="288"/>
      <c r="AB562" s="286"/>
      <c r="AC562" s="288"/>
      <c r="AD562" s="286"/>
      <c r="AE562" s="288"/>
      <c r="AF562" s="286"/>
      <c r="AG562" s="288"/>
      <c r="AH562" s="286"/>
      <c r="AI562" s="288"/>
      <c r="AJ562" s="286"/>
      <c r="AK562" s="286"/>
      <c r="AL562" s="286"/>
      <c r="AM562" s="286"/>
      <c r="AN562" s="286"/>
      <c r="AO562" s="286"/>
      <c r="AP562" s="286"/>
      <c r="AQ562" s="286"/>
      <c r="AR562" s="286"/>
      <c r="AS562" s="286"/>
      <c r="AT562" s="286"/>
      <c r="AU562" s="286"/>
      <c r="AV562" s="284"/>
      <c r="AW562" s="284"/>
      <c r="AX562" s="284"/>
      <c r="AY562" s="284"/>
      <c r="AZ562" s="284"/>
      <c r="BA562" s="284"/>
      <c r="BB562" s="284"/>
      <c r="BC562" s="284"/>
      <c r="BD562" s="284"/>
      <c r="BE562" s="284"/>
      <c r="BF562" s="284"/>
      <c r="BG562" s="284"/>
      <c r="BH562" s="284"/>
      <c r="BI562" s="284"/>
      <c r="BJ562" s="284"/>
      <c r="BK562" s="284"/>
      <c r="BL562" s="284"/>
      <c r="BM562" s="284"/>
      <c r="BN562" s="284"/>
      <c r="BO562" s="284"/>
      <c r="BP562" s="284"/>
      <c r="BQ562" s="284"/>
      <c r="BR562" s="284"/>
      <c r="BS562" s="284"/>
      <c r="BT562" s="284"/>
      <c r="BU562" s="284"/>
      <c r="BV562" s="284"/>
      <c r="BW562" s="284"/>
      <c r="BX562" s="284"/>
      <c r="BY562" s="284"/>
      <c r="BZ562" s="285"/>
      <c r="CA562" s="298">
        <f>SUM(C562,E562,G562,I562,K562,M562,O562,Q562,S562,U562,W562,Y562,AA562,AC562,AE562,AG562,AI562,AK562,AM562,AO562,AQ562,AS562,AU562,AW562,AY562,BA562,BC562,BE562,BG562,BI562,BK562,BM562,BO562,BQ562,BS562,BU562,BW562,BY562)</f>
        <v>0</v>
      </c>
      <c r="CB562" s="298">
        <f>SUM(D562,F562,H562,J562,L562,N562,P562,R562,T562,V562,X562,Z562,AB562,AD562,AF562,AH562,AJ562,AL562,AN562,AP562,AR562,AT562,AV562,AX562,AZ562,BB562,BD562,BF562,BH562,BJ562,BL562,BN562,BP562,BR562,BT562,BV562,BX562,BZ562)</f>
        <v>0</v>
      </c>
      <c r="CC562" s="299">
        <f>SUM(Table13[[#This Row],[GOALS 1]:[ASSISTS 38]])</f>
        <v>0</v>
      </c>
    </row>
    <row r="563" spans="1:81">
      <c r="A563" s="291" t="s">
        <v>1548</v>
      </c>
      <c r="B563" s="291" t="s">
        <v>51</v>
      </c>
      <c r="C563" s="286"/>
      <c r="D563" s="286"/>
      <c r="E563" s="288"/>
      <c r="F563" s="286"/>
      <c r="G563" s="288"/>
      <c r="H563" s="286"/>
      <c r="I563" s="288"/>
      <c r="J563" s="286"/>
      <c r="K563" s="288"/>
      <c r="L563" s="286"/>
      <c r="M563" s="288"/>
      <c r="N563" s="286"/>
      <c r="O563" s="288"/>
      <c r="P563" s="286"/>
      <c r="Q563" s="288"/>
      <c r="R563" s="286"/>
      <c r="S563" s="288"/>
      <c r="T563" s="286"/>
      <c r="U563" s="288"/>
      <c r="V563" s="286"/>
      <c r="W563" s="288"/>
      <c r="X563" s="286"/>
      <c r="Y563" s="288"/>
      <c r="Z563" s="286"/>
      <c r="AA563" s="288"/>
      <c r="AB563" s="286"/>
      <c r="AC563" s="288"/>
      <c r="AD563" s="286"/>
      <c r="AE563" s="288"/>
      <c r="AF563" s="286"/>
      <c r="AG563" s="288"/>
      <c r="AH563" s="286"/>
      <c r="AI563" s="288"/>
      <c r="AJ563" s="286"/>
      <c r="AK563" s="286"/>
      <c r="AL563" s="286"/>
      <c r="AM563" s="286"/>
      <c r="AN563" s="286"/>
      <c r="AO563" s="286"/>
      <c r="AP563" s="286"/>
      <c r="AQ563" s="286"/>
      <c r="AR563" s="286"/>
      <c r="AS563" s="286"/>
      <c r="AT563" s="286"/>
      <c r="AU563" s="286"/>
      <c r="AV563" s="284"/>
      <c r="AW563" s="284"/>
      <c r="AX563" s="284"/>
      <c r="AY563" s="284"/>
      <c r="AZ563" s="284"/>
      <c r="BA563" s="284"/>
      <c r="BB563" s="284"/>
      <c r="BC563" s="284"/>
      <c r="BD563" s="284"/>
      <c r="BE563" s="284"/>
      <c r="BF563" s="284"/>
      <c r="BG563" s="284"/>
      <c r="BH563" s="284"/>
      <c r="BI563" s="284"/>
      <c r="BJ563" s="284"/>
      <c r="BK563" s="284"/>
      <c r="BL563" s="284"/>
      <c r="BM563" s="284"/>
      <c r="BN563" s="284"/>
      <c r="BO563" s="284"/>
      <c r="BP563" s="284"/>
      <c r="BQ563" s="284"/>
      <c r="BR563" s="284"/>
      <c r="BS563" s="284"/>
      <c r="BT563" s="284"/>
      <c r="BU563" s="284"/>
      <c r="BV563" s="284"/>
      <c r="BW563" s="284"/>
      <c r="BX563" s="284"/>
      <c r="BY563" s="284"/>
      <c r="BZ563" s="285"/>
      <c r="CA563" s="298">
        <f>SUM(C563,E563,G563,I563,K563,M563,O563,Q563,S563,U563,W563,Y563,AA563,AC563,AE563,AG563,AI563,AK563,AM563,AO563,AQ563,AS563,AU563,AW563,AY563,BA563,BC563,BE563,BG563,BI563,BK563,BM563,BO563,BQ563,BS563,BU563,BW563,BY563)</f>
        <v>0</v>
      </c>
      <c r="CB563" s="298">
        <f>SUM(D563,F563,H563,J563,L563,N563,P563,R563,T563,V563,X563,Z563,AB563,AD563,AF563,AH563,AJ563,AL563,AN563,AP563,AR563,AT563,AV563,AX563,AZ563,BB563,BD563,BF563,BH563,BJ563,BL563,BN563,BP563,BR563,BT563,BV563,BX563,BZ563)</f>
        <v>0</v>
      </c>
      <c r="CC563" s="299">
        <f>SUM(Table13[[#This Row],[GOALS 1]:[ASSISTS 38]])</f>
        <v>0</v>
      </c>
    </row>
    <row r="564" spans="1:81">
      <c r="A564" s="291" t="s">
        <v>1572</v>
      </c>
      <c r="B564" s="291" t="s">
        <v>23</v>
      </c>
      <c r="C564" s="289"/>
      <c r="D564" s="286"/>
      <c r="E564" s="288"/>
      <c r="F564" s="286"/>
      <c r="G564" s="288"/>
      <c r="H564" s="286"/>
      <c r="I564" s="288"/>
      <c r="J564" s="286"/>
      <c r="K564" s="288"/>
      <c r="L564" s="286"/>
      <c r="M564" s="288"/>
      <c r="N564" s="286"/>
      <c r="O564" s="288"/>
      <c r="P564" s="286"/>
      <c r="Q564" s="288"/>
      <c r="R564" s="286"/>
      <c r="S564" s="288"/>
      <c r="T564" s="286"/>
      <c r="U564" s="288"/>
      <c r="V564" s="286"/>
      <c r="W564" s="288"/>
      <c r="X564" s="286"/>
      <c r="Y564" s="288"/>
      <c r="Z564" s="286"/>
      <c r="AA564" s="288"/>
      <c r="AB564" s="286"/>
      <c r="AC564" s="288"/>
      <c r="AD564" s="286"/>
      <c r="AE564" s="288"/>
      <c r="AF564" s="286"/>
      <c r="AG564" s="288"/>
      <c r="AH564" s="286"/>
      <c r="AI564" s="288"/>
      <c r="AJ564" s="286"/>
      <c r="AK564" s="286"/>
      <c r="AL564" s="286"/>
      <c r="AM564" s="286"/>
      <c r="AN564" s="286"/>
      <c r="AO564" s="286"/>
      <c r="AP564" s="286"/>
      <c r="AQ564" s="286"/>
      <c r="AR564" s="286"/>
      <c r="AS564" s="286"/>
      <c r="AT564" s="286"/>
      <c r="AU564" s="286"/>
      <c r="AV564" s="284"/>
      <c r="AW564" s="284"/>
      <c r="AX564" s="284"/>
      <c r="AY564" s="284"/>
      <c r="AZ564" s="284"/>
      <c r="BA564" s="284"/>
      <c r="BB564" s="284"/>
      <c r="BC564" s="284"/>
      <c r="BD564" s="284"/>
      <c r="BE564" s="284"/>
      <c r="BF564" s="284"/>
      <c r="BG564" s="284"/>
      <c r="BH564" s="284"/>
      <c r="BI564" s="284"/>
      <c r="BJ564" s="284"/>
      <c r="BK564" s="284"/>
      <c r="BL564" s="284"/>
      <c r="BM564" s="284"/>
      <c r="BN564" s="284"/>
      <c r="BO564" s="284"/>
      <c r="BP564" s="284"/>
      <c r="BQ564" s="284"/>
      <c r="BR564" s="284"/>
      <c r="BS564" s="284"/>
      <c r="BT564" s="284"/>
      <c r="BU564" s="284"/>
      <c r="BV564" s="284"/>
      <c r="BW564" s="284"/>
      <c r="BX564" s="284"/>
      <c r="BY564" s="284"/>
      <c r="BZ564" s="285"/>
      <c r="CA564" s="298">
        <f>SUM(C564,E564,G564,I564,K564,M564,O564,Q564,S564,U564,W564,Y564,AA564,AC564,AE564,AG564,AI564,AK564,AM564,AO564,AQ564,AS564,AU564,AW564,AY564,BA564,BC564,BE564,BG564,BI564,BK564,BM564,BO564,BQ564,BS564,BU564,BW564,BY564)</f>
        <v>0</v>
      </c>
      <c r="CB564" s="298">
        <f>SUM(D564,F564,H564,J564,L564,N564,P564,R564,T564,V564,X564,Z564,AB564,AD564,AF564,AH564,AJ564,AL564,AN564,AP564,AR564,AT564,AV564,AX564,AZ564,BB564,BD564,BF564,BH564,BJ564,BL564,BN564,BP564,BR564,BT564,BV564,BX564,BZ564)</f>
        <v>0</v>
      </c>
      <c r="CC564" s="299">
        <f>SUM(Table13[[#This Row],[GOALS 1]:[ASSISTS 38]])</f>
        <v>0</v>
      </c>
    </row>
    <row r="565" spans="1:81">
      <c r="A565" s="291" t="s">
        <v>1704</v>
      </c>
      <c r="B565" s="291" t="s">
        <v>24</v>
      </c>
      <c r="C565" s="286"/>
      <c r="D565" s="286"/>
      <c r="E565" s="288"/>
      <c r="F565" s="286"/>
      <c r="G565" s="288"/>
      <c r="H565" s="286"/>
      <c r="I565" s="288"/>
      <c r="J565" s="286"/>
      <c r="K565" s="288"/>
      <c r="L565" s="286"/>
      <c r="M565" s="288"/>
      <c r="N565" s="286"/>
      <c r="O565" s="288"/>
      <c r="P565" s="286"/>
      <c r="Q565" s="288"/>
      <c r="R565" s="286"/>
      <c r="S565" s="288"/>
      <c r="T565" s="286"/>
      <c r="U565" s="288"/>
      <c r="V565" s="286"/>
      <c r="W565" s="288"/>
      <c r="X565" s="286"/>
      <c r="Y565" s="288"/>
      <c r="Z565" s="286"/>
      <c r="AA565" s="288"/>
      <c r="AB565" s="286"/>
      <c r="AC565" s="288"/>
      <c r="AD565" s="286"/>
      <c r="AE565" s="288"/>
      <c r="AF565" s="286"/>
      <c r="AG565" s="288"/>
      <c r="AH565" s="286"/>
      <c r="AI565" s="288"/>
      <c r="AJ565" s="286"/>
      <c r="AK565" s="286"/>
      <c r="AL565" s="286"/>
      <c r="AM565" s="286"/>
      <c r="AN565" s="286"/>
      <c r="AO565" s="286"/>
      <c r="AP565" s="286"/>
      <c r="AQ565" s="286"/>
      <c r="AR565" s="286"/>
      <c r="AS565" s="286"/>
      <c r="AT565" s="286"/>
      <c r="AU565" s="286"/>
      <c r="AV565" s="284"/>
      <c r="AW565" s="284"/>
      <c r="AX565" s="284"/>
      <c r="AY565" s="284"/>
      <c r="AZ565" s="284"/>
      <c r="BA565" s="284"/>
      <c r="BB565" s="284"/>
      <c r="BC565" s="284"/>
      <c r="BD565" s="284"/>
      <c r="BE565" s="284"/>
      <c r="BF565" s="284"/>
      <c r="BG565" s="284"/>
      <c r="BH565" s="284"/>
      <c r="BI565" s="284"/>
      <c r="BJ565" s="284"/>
      <c r="BK565" s="284"/>
      <c r="BL565" s="284"/>
      <c r="BM565" s="284"/>
      <c r="BN565" s="284"/>
      <c r="BO565" s="284"/>
      <c r="BP565" s="284"/>
      <c r="BQ565" s="284"/>
      <c r="BR565" s="284"/>
      <c r="BS565" s="284"/>
      <c r="BT565" s="284"/>
      <c r="BU565" s="284"/>
      <c r="BV565" s="284"/>
      <c r="BW565" s="284"/>
      <c r="BX565" s="284"/>
      <c r="BY565" s="284"/>
      <c r="BZ565" s="285"/>
      <c r="CA565" s="298">
        <f>SUM(C565,E565,G565,I565,K565,M565,O565,Q565,S565,U565,W565,Y565,AA565,AC565,AE565,AG565,AI565,AK565,AM565,AO565,AQ565,AS565,AU565,AW565,AY565,BA565,BC565,BE565,BG565,BI565,BK565,BM565,BO565,BQ565,BS565,BU565,BW565,BY565)</f>
        <v>0</v>
      </c>
      <c r="CB565" s="298">
        <f>SUM(D565,F565,H565,J565,L565,N565,P565,R565,T565,V565,X565,Z565,AB565,AD565,AF565,AH565,AJ565,AL565,AN565,AP565,AR565,AT565,AV565,AX565,AZ565,BB565,BD565,BF565,BH565,BJ565,BL565,BN565,BP565,BR565,BT565,BV565,BX565,BZ565)</f>
        <v>0</v>
      </c>
      <c r="CC565" s="299">
        <f>SUM(Table13[[#This Row],[GOALS 1]:[ASSISTS 38]])</f>
        <v>0</v>
      </c>
    </row>
    <row r="566" spans="1:81">
      <c r="A566" s="291" t="s">
        <v>1529</v>
      </c>
      <c r="B566" s="291" t="s">
        <v>633</v>
      </c>
      <c r="C566" s="289"/>
      <c r="D566" s="286"/>
      <c r="E566" s="288"/>
      <c r="F566" s="286"/>
      <c r="G566" s="288"/>
      <c r="H566" s="286"/>
      <c r="I566" s="288"/>
      <c r="J566" s="286"/>
      <c r="K566" s="288"/>
      <c r="L566" s="286"/>
      <c r="M566" s="288"/>
      <c r="N566" s="286"/>
      <c r="O566" s="288"/>
      <c r="P566" s="286"/>
      <c r="Q566" s="288"/>
      <c r="R566" s="286"/>
      <c r="S566" s="288"/>
      <c r="T566" s="286"/>
      <c r="U566" s="288"/>
      <c r="V566" s="286"/>
      <c r="W566" s="288"/>
      <c r="X566" s="286"/>
      <c r="Y566" s="288"/>
      <c r="Z566" s="286"/>
      <c r="AA566" s="288"/>
      <c r="AB566" s="286"/>
      <c r="AC566" s="288"/>
      <c r="AD566" s="286"/>
      <c r="AE566" s="288"/>
      <c r="AF566" s="286"/>
      <c r="AG566" s="288"/>
      <c r="AH566" s="286"/>
      <c r="AI566" s="288"/>
      <c r="AJ566" s="286"/>
      <c r="AK566" s="286"/>
      <c r="AL566" s="286"/>
      <c r="AM566" s="286"/>
      <c r="AN566" s="286"/>
      <c r="AO566" s="286"/>
      <c r="AP566" s="286"/>
      <c r="AQ566" s="286"/>
      <c r="AR566" s="286"/>
      <c r="AS566" s="286"/>
      <c r="AT566" s="286"/>
      <c r="AU566" s="286"/>
      <c r="AV566" s="284"/>
      <c r="AW566" s="284"/>
      <c r="AX566" s="284"/>
      <c r="AY566" s="284"/>
      <c r="AZ566" s="284"/>
      <c r="BA566" s="284"/>
      <c r="BB566" s="284"/>
      <c r="BC566" s="284"/>
      <c r="BD566" s="284"/>
      <c r="BE566" s="284"/>
      <c r="BF566" s="284"/>
      <c r="BG566" s="284"/>
      <c r="BH566" s="284"/>
      <c r="BI566" s="284"/>
      <c r="BJ566" s="284"/>
      <c r="BK566" s="284"/>
      <c r="BL566" s="284"/>
      <c r="BM566" s="284"/>
      <c r="BN566" s="284"/>
      <c r="BO566" s="284"/>
      <c r="BP566" s="284"/>
      <c r="BQ566" s="284"/>
      <c r="BR566" s="284"/>
      <c r="BS566" s="284"/>
      <c r="BT566" s="284"/>
      <c r="BU566" s="284"/>
      <c r="BV566" s="284"/>
      <c r="BW566" s="284"/>
      <c r="BX566" s="284"/>
      <c r="BY566" s="284"/>
      <c r="BZ566" s="285"/>
      <c r="CA566" s="298">
        <f>SUM(C566,E566,G566,I566,K566,M566,O566,Q566,S566,U566,W566,Y566,AA566,AC566,AE566,AG566,AI566,AK566,AM566,AO566,AQ566,AS566,AU566,AW566,AY566,BA566,BC566,BE566,BG566,BI566,BK566,BM566,BO566,BQ566,BS566,BU566,BW566,BY566)</f>
        <v>0</v>
      </c>
      <c r="CB566" s="298">
        <f>SUM(D566,F566,H566,J566,L566,N566,P566,R566,T566,V566,X566,Z566,AB566,AD566,AF566,AH566,AJ566,AL566,AN566,AP566,AR566,AT566,AV566,AX566,AZ566,BB566,BD566,BF566,BH566,BJ566,BL566,BN566,BP566,BR566,BT566,BV566,BX566,BZ566)</f>
        <v>0</v>
      </c>
      <c r="CC566" s="299">
        <f>SUM(Table13[[#This Row],[GOALS 1]:[ASSISTS 38]])</f>
        <v>0</v>
      </c>
    </row>
    <row r="567" spans="1:81">
      <c r="A567" s="291" t="s">
        <v>1687</v>
      </c>
      <c r="B567" s="291" t="s">
        <v>25</v>
      </c>
      <c r="C567" s="286"/>
      <c r="D567" s="286"/>
      <c r="E567" s="288"/>
      <c r="F567" s="286"/>
      <c r="G567" s="288"/>
      <c r="H567" s="286"/>
      <c r="I567" s="288"/>
      <c r="J567" s="286"/>
      <c r="K567" s="288"/>
      <c r="L567" s="286"/>
      <c r="M567" s="288"/>
      <c r="N567" s="286"/>
      <c r="O567" s="288"/>
      <c r="P567" s="286"/>
      <c r="Q567" s="288"/>
      <c r="R567" s="286"/>
      <c r="S567" s="288"/>
      <c r="T567" s="286"/>
      <c r="U567" s="288"/>
      <c r="V567" s="286"/>
      <c r="W567" s="288"/>
      <c r="X567" s="286"/>
      <c r="Y567" s="288"/>
      <c r="Z567" s="286"/>
      <c r="AA567" s="288"/>
      <c r="AB567" s="286"/>
      <c r="AC567" s="288"/>
      <c r="AD567" s="286"/>
      <c r="AE567" s="288"/>
      <c r="AF567" s="286"/>
      <c r="AG567" s="288"/>
      <c r="AH567" s="286"/>
      <c r="AI567" s="288"/>
      <c r="AJ567" s="286"/>
      <c r="AK567" s="286"/>
      <c r="AL567" s="286"/>
      <c r="AM567" s="286"/>
      <c r="AN567" s="286"/>
      <c r="AO567" s="286"/>
      <c r="AP567" s="286"/>
      <c r="AQ567" s="286"/>
      <c r="AR567" s="286"/>
      <c r="AS567" s="286"/>
      <c r="AT567" s="286"/>
      <c r="AU567" s="286"/>
      <c r="AV567" s="284"/>
      <c r="AW567" s="284"/>
      <c r="AX567" s="284"/>
      <c r="AY567" s="284"/>
      <c r="AZ567" s="284"/>
      <c r="BA567" s="284"/>
      <c r="BB567" s="284"/>
      <c r="BC567" s="284"/>
      <c r="BD567" s="284"/>
      <c r="BE567" s="284"/>
      <c r="BF567" s="284"/>
      <c r="BG567" s="284"/>
      <c r="BH567" s="284"/>
      <c r="BI567" s="284"/>
      <c r="BJ567" s="284"/>
      <c r="BK567" s="284"/>
      <c r="BL567" s="284"/>
      <c r="BM567" s="284"/>
      <c r="BN567" s="284"/>
      <c r="BO567" s="284"/>
      <c r="BP567" s="284"/>
      <c r="BQ567" s="284"/>
      <c r="BR567" s="284"/>
      <c r="BS567" s="284"/>
      <c r="BT567" s="284"/>
      <c r="BU567" s="284"/>
      <c r="BV567" s="284"/>
      <c r="BW567" s="284"/>
      <c r="BX567" s="284"/>
      <c r="BY567" s="284"/>
      <c r="BZ567" s="285"/>
      <c r="CA567" s="298">
        <f>SUM(C567,E567,G567,I567,K567,M567,O567,Q567,S567,U567,W567,Y567,AA567,AC567,AE567,AG567,AI567,AK567,AM567,AO567,AQ567,AS567,AU567,AW567,AY567,BA567,BC567,BE567,BG567,BI567,BK567,BM567,BO567,BQ567,BS567,BU567,BW567,BY567)</f>
        <v>0</v>
      </c>
      <c r="CB567" s="298">
        <f>SUM(D567,F567,H567,J567,L567,N567,P567,R567,T567,V567,X567,Z567,AB567,AD567,AF567,AH567,AJ567,AL567,AN567,AP567,AR567,AT567,AV567,AX567,AZ567,BB567,BD567,BF567,BH567,BJ567,BL567,BN567,BP567,BR567,BT567,BV567,BX567,BZ567)</f>
        <v>0</v>
      </c>
      <c r="CC567" s="299">
        <f>SUM(Table13[[#This Row],[GOALS 1]:[ASSISTS 38]])</f>
        <v>0</v>
      </c>
    </row>
    <row r="568" spans="1:81">
      <c r="A568" s="291" t="s">
        <v>1867</v>
      </c>
      <c r="B568" s="291" t="s">
        <v>633</v>
      </c>
      <c r="C568" s="289"/>
      <c r="D568" s="286"/>
      <c r="E568" s="288"/>
      <c r="F568" s="286"/>
      <c r="G568" s="288"/>
      <c r="H568" s="286"/>
      <c r="I568" s="288"/>
      <c r="J568" s="286"/>
      <c r="K568" s="288"/>
      <c r="L568" s="286"/>
      <c r="M568" s="288"/>
      <c r="N568" s="286"/>
      <c r="O568" s="288"/>
      <c r="P568" s="286"/>
      <c r="Q568" s="288"/>
      <c r="R568" s="286"/>
      <c r="S568" s="288"/>
      <c r="T568" s="286"/>
      <c r="U568" s="288"/>
      <c r="V568" s="286"/>
      <c r="W568" s="288"/>
      <c r="X568" s="286"/>
      <c r="Y568" s="288"/>
      <c r="Z568" s="286"/>
      <c r="AA568" s="288"/>
      <c r="AB568" s="286"/>
      <c r="AC568" s="288"/>
      <c r="AD568" s="286"/>
      <c r="AE568" s="288"/>
      <c r="AF568" s="286"/>
      <c r="AG568" s="288"/>
      <c r="AH568" s="286"/>
      <c r="AI568" s="288"/>
      <c r="AJ568" s="286"/>
      <c r="AK568" s="286"/>
      <c r="AL568" s="286"/>
      <c r="AM568" s="286"/>
      <c r="AN568" s="286"/>
      <c r="AO568" s="286"/>
      <c r="AP568" s="286"/>
      <c r="AQ568" s="286"/>
      <c r="AR568" s="286"/>
      <c r="AS568" s="286"/>
      <c r="AT568" s="286"/>
      <c r="AU568" s="286"/>
      <c r="AV568" s="284"/>
      <c r="AW568" s="284"/>
      <c r="AX568" s="284"/>
      <c r="AY568" s="284"/>
      <c r="AZ568" s="284"/>
      <c r="BA568" s="284"/>
      <c r="BB568" s="284"/>
      <c r="BC568" s="284"/>
      <c r="BD568" s="284"/>
      <c r="BE568" s="284"/>
      <c r="BF568" s="284"/>
      <c r="BG568" s="284"/>
      <c r="BH568" s="284"/>
      <c r="BI568" s="284"/>
      <c r="BJ568" s="284"/>
      <c r="BK568" s="284"/>
      <c r="BL568" s="284"/>
      <c r="BM568" s="284"/>
      <c r="BN568" s="284"/>
      <c r="BO568" s="284"/>
      <c r="BP568" s="284"/>
      <c r="BQ568" s="284"/>
      <c r="BR568" s="284"/>
      <c r="BS568" s="284"/>
      <c r="BT568" s="284"/>
      <c r="BU568" s="284"/>
      <c r="BV568" s="284"/>
      <c r="BW568" s="284"/>
      <c r="BX568" s="284"/>
      <c r="BY568" s="284"/>
      <c r="BZ568" s="285"/>
      <c r="CA568" s="298">
        <f>SUM(C568,E568,G568,I568,K568,M568,O568,Q568,S568,U568,W568,Y568,AA568,AC568,AE568,AG568,AI568,AK568,AM568,AO568,AQ568,AS568,AU568,AW568,AY568,BA568,BC568,BE568,BG568,BI568,BK568,BM568,BO568,BQ568,BS568,BU568,BW568,BY568)</f>
        <v>0</v>
      </c>
      <c r="CB568" s="298">
        <f>SUM(D568,F568,H568,J568,L568,N568,P568,R568,T568,V568,X568,Z568,AB568,AD568,AF568,AH568,AJ568,AL568,AN568,AP568,AR568,AT568,AV568,AX568,AZ568,BB568,BD568,BF568,BH568,BJ568,BL568,BN568,BP568,BR568,BT568,BV568,BX568,BZ568)</f>
        <v>0</v>
      </c>
      <c r="CC568" s="299">
        <f>SUM(Table13[[#This Row],[GOALS 1]:[ASSISTS 38]])</f>
        <v>0</v>
      </c>
    </row>
    <row r="569" spans="1:81">
      <c r="A569" s="291" t="s">
        <v>1750</v>
      </c>
      <c r="B569" s="291" t="s">
        <v>30</v>
      </c>
      <c r="C569" s="286"/>
      <c r="D569" s="286"/>
      <c r="E569" s="288"/>
      <c r="F569" s="286"/>
      <c r="G569" s="288"/>
      <c r="H569" s="286"/>
      <c r="I569" s="288"/>
      <c r="J569" s="286"/>
      <c r="K569" s="288"/>
      <c r="L569" s="286"/>
      <c r="M569" s="288"/>
      <c r="N569" s="286"/>
      <c r="O569" s="288"/>
      <c r="P569" s="286"/>
      <c r="Q569" s="288"/>
      <c r="R569" s="286"/>
      <c r="S569" s="288"/>
      <c r="T569" s="286"/>
      <c r="U569" s="288"/>
      <c r="V569" s="286"/>
      <c r="W569" s="288"/>
      <c r="X569" s="286"/>
      <c r="Y569" s="288"/>
      <c r="Z569" s="286"/>
      <c r="AA569" s="288"/>
      <c r="AB569" s="286"/>
      <c r="AC569" s="288"/>
      <c r="AD569" s="286"/>
      <c r="AE569" s="288"/>
      <c r="AF569" s="286"/>
      <c r="AG569" s="288"/>
      <c r="AH569" s="286"/>
      <c r="AI569" s="288"/>
      <c r="AJ569" s="286"/>
      <c r="AK569" s="286"/>
      <c r="AL569" s="286"/>
      <c r="AM569" s="286"/>
      <c r="AN569" s="286"/>
      <c r="AO569" s="286"/>
      <c r="AP569" s="286"/>
      <c r="AQ569" s="286"/>
      <c r="AR569" s="286"/>
      <c r="AS569" s="286"/>
      <c r="AT569" s="286"/>
      <c r="AU569" s="286"/>
      <c r="AV569" s="284"/>
      <c r="AW569" s="284"/>
      <c r="AX569" s="284"/>
      <c r="AY569" s="284"/>
      <c r="AZ569" s="284"/>
      <c r="BA569" s="284"/>
      <c r="BB569" s="284"/>
      <c r="BC569" s="284"/>
      <c r="BD569" s="284"/>
      <c r="BE569" s="284"/>
      <c r="BF569" s="284"/>
      <c r="BG569" s="284"/>
      <c r="BH569" s="284"/>
      <c r="BI569" s="284"/>
      <c r="BJ569" s="284"/>
      <c r="BK569" s="284"/>
      <c r="BL569" s="284"/>
      <c r="BM569" s="284"/>
      <c r="BN569" s="284"/>
      <c r="BO569" s="284"/>
      <c r="BP569" s="284"/>
      <c r="BQ569" s="284"/>
      <c r="BR569" s="284"/>
      <c r="BS569" s="284"/>
      <c r="BT569" s="284"/>
      <c r="BU569" s="284"/>
      <c r="BV569" s="284"/>
      <c r="BW569" s="284"/>
      <c r="BX569" s="284"/>
      <c r="BY569" s="284"/>
      <c r="BZ569" s="285"/>
      <c r="CA569" s="298">
        <f>SUM(C569,E569,G569,I569,K569,M569,O569,Q569,S569,U569,W569,Y569,AA569,AC569,AE569,AG569,AI569,AK569,AM569,AO569,AQ569,AS569,AU569,AW569,AY569,BA569,BC569,BE569,BG569,BI569,BK569,BM569,BO569,BQ569,BS569,BU569,BW569,BY569)</f>
        <v>0</v>
      </c>
      <c r="CB569" s="298">
        <f>SUM(D569,F569,H569,J569,L569,N569,P569,R569,T569,V569,X569,Z569,AB569,AD569,AF569,AH569,AJ569,AL569,AN569,AP569,AR569,AT569,AV569,AX569,AZ569,BB569,BD569,BF569,BH569,BJ569,BL569,BN569,BP569,BR569,BT569,BV569,BX569,BZ569)</f>
        <v>0</v>
      </c>
      <c r="CC569" s="299">
        <f>SUM(Table13[[#This Row],[GOALS 1]:[ASSISTS 38]])</f>
        <v>0</v>
      </c>
    </row>
    <row r="570" spans="1:81">
      <c r="A570" s="291" t="s">
        <v>1666</v>
      </c>
      <c r="B570" s="291" t="s">
        <v>21</v>
      </c>
      <c r="C570" s="289"/>
      <c r="D570" s="286"/>
      <c r="E570" s="288"/>
      <c r="F570" s="286"/>
      <c r="G570" s="288"/>
      <c r="H570" s="286"/>
      <c r="I570" s="288"/>
      <c r="J570" s="286"/>
      <c r="K570" s="288"/>
      <c r="L570" s="286"/>
      <c r="M570" s="288"/>
      <c r="N570" s="286"/>
      <c r="O570" s="288"/>
      <c r="P570" s="286"/>
      <c r="Q570" s="288"/>
      <c r="R570" s="286"/>
      <c r="S570" s="288"/>
      <c r="T570" s="286"/>
      <c r="U570" s="288"/>
      <c r="V570" s="286"/>
      <c r="W570" s="288"/>
      <c r="X570" s="286"/>
      <c r="Y570" s="288"/>
      <c r="Z570" s="286"/>
      <c r="AA570" s="288"/>
      <c r="AB570" s="286"/>
      <c r="AC570" s="288"/>
      <c r="AD570" s="286"/>
      <c r="AE570" s="288"/>
      <c r="AF570" s="286"/>
      <c r="AG570" s="288"/>
      <c r="AH570" s="286"/>
      <c r="AI570" s="288"/>
      <c r="AJ570" s="286"/>
      <c r="AK570" s="286"/>
      <c r="AL570" s="286"/>
      <c r="AM570" s="286"/>
      <c r="AN570" s="286"/>
      <c r="AO570" s="286"/>
      <c r="AP570" s="286"/>
      <c r="AQ570" s="286"/>
      <c r="AR570" s="286"/>
      <c r="AS570" s="286"/>
      <c r="AT570" s="286"/>
      <c r="AU570" s="286"/>
      <c r="AV570" s="284"/>
      <c r="AW570" s="284"/>
      <c r="AX570" s="284"/>
      <c r="AY570" s="284"/>
      <c r="AZ570" s="284"/>
      <c r="BA570" s="284"/>
      <c r="BB570" s="284"/>
      <c r="BC570" s="284"/>
      <c r="BD570" s="284"/>
      <c r="BE570" s="284"/>
      <c r="BF570" s="284"/>
      <c r="BG570" s="284"/>
      <c r="BH570" s="284"/>
      <c r="BI570" s="284"/>
      <c r="BJ570" s="284"/>
      <c r="BK570" s="284"/>
      <c r="BL570" s="284"/>
      <c r="BM570" s="284"/>
      <c r="BN570" s="284"/>
      <c r="BO570" s="284"/>
      <c r="BP570" s="284"/>
      <c r="BQ570" s="284"/>
      <c r="BR570" s="284"/>
      <c r="BS570" s="284"/>
      <c r="BT570" s="284"/>
      <c r="BU570" s="284"/>
      <c r="BV570" s="284"/>
      <c r="BW570" s="284"/>
      <c r="BX570" s="284"/>
      <c r="BY570" s="284"/>
      <c r="BZ570" s="285"/>
      <c r="CA570" s="298">
        <f>SUM(C570,E570,G570,I570,K570,M570,O570,Q570,S570,U570,W570,Y570,AA570,AC570,AE570,AG570,AI570,AK570,AM570,AO570,AQ570,AS570,AU570,AW570,AY570,BA570,BC570,BE570,BG570,BI570,BK570,BM570,BO570,BQ570,BS570,BU570,BW570,BY570)</f>
        <v>0</v>
      </c>
      <c r="CB570" s="298">
        <f>SUM(D570,F570,H570,J570,L570,N570,P570,R570,T570,V570,X570,Z570,AB570,AD570,AF570,AH570,AJ570,AL570,AN570,AP570,AR570,AT570,AV570,AX570,AZ570,BB570,BD570,BF570,BH570,BJ570,BL570,BN570,BP570,BR570,BT570,BV570,BX570,BZ570)</f>
        <v>0</v>
      </c>
      <c r="CC570" s="299">
        <f>SUM(Table13[[#This Row],[GOALS 1]:[ASSISTS 38]])</f>
        <v>0</v>
      </c>
    </row>
    <row r="571" spans="1:81">
      <c r="A571" s="291" t="s">
        <v>1858</v>
      </c>
      <c r="B571" s="291" t="s">
        <v>22</v>
      </c>
      <c r="C571" s="286"/>
      <c r="D571" s="286"/>
      <c r="E571" s="288"/>
      <c r="F571" s="286"/>
      <c r="G571" s="288"/>
      <c r="H571" s="286"/>
      <c r="I571" s="288"/>
      <c r="J571" s="286"/>
      <c r="K571" s="288"/>
      <c r="L571" s="286"/>
      <c r="M571" s="288"/>
      <c r="N571" s="286"/>
      <c r="O571" s="288"/>
      <c r="P571" s="286"/>
      <c r="Q571" s="288"/>
      <c r="R571" s="286"/>
      <c r="S571" s="288"/>
      <c r="T571" s="286"/>
      <c r="U571" s="288"/>
      <c r="V571" s="286"/>
      <c r="W571" s="288"/>
      <c r="X571" s="286"/>
      <c r="Y571" s="288"/>
      <c r="Z571" s="286"/>
      <c r="AA571" s="288"/>
      <c r="AB571" s="286"/>
      <c r="AC571" s="288"/>
      <c r="AD571" s="286"/>
      <c r="AE571" s="288"/>
      <c r="AF571" s="286"/>
      <c r="AG571" s="288"/>
      <c r="AH571" s="286"/>
      <c r="AI571" s="288"/>
      <c r="AJ571" s="286"/>
      <c r="AK571" s="286"/>
      <c r="AL571" s="286"/>
      <c r="AM571" s="286"/>
      <c r="AN571" s="286"/>
      <c r="AO571" s="286"/>
      <c r="AP571" s="286"/>
      <c r="AQ571" s="286"/>
      <c r="AR571" s="286"/>
      <c r="AS571" s="286"/>
      <c r="AT571" s="286"/>
      <c r="AU571" s="286"/>
      <c r="AV571" s="284"/>
      <c r="AW571" s="284"/>
      <c r="AX571" s="284"/>
      <c r="AY571" s="284"/>
      <c r="AZ571" s="284"/>
      <c r="BA571" s="284"/>
      <c r="BB571" s="284"/>
      <c r="BC571" s="284"/>
      <c r="BD571" s="284"/>
      <c r="BE571" s="284"/>
      <c r="BF571" s="284"/>
      <c r="BG571" s="284"/>
      <c r="BH571" s="284"/>
      <c r="BI571" s="284"/>
      <c r="BJ571" s="284"/>
      <c r="BK571" s="284"/>
      <c r="BL571" s="284"/>
      <c r="BM571" s="284"/>
      <c r="BN571" s="284"/>
      <c r="BO571" s="284"/>
      <c r="BP571" s="284"/>
      <c r="BQ571" s="284"/>
      <c r="BR571" s="284"/>
      <c r="BS571" s="284"/>
      <c r="BT571" s="284"/>
      <c r="BU571" s="284"/>
      <c r="BV571" s="284"/>
      <c r="BW571" s="284"/>
      <c r="BX571" s="284"/>
      <c r="BY571" s="284"/>
      <c r="BZ571" s="285"/>
      <c r="CA571" s="298">
        <f>SUM(C571,E571,G571,I571,K571,M571,O571,Q571,S571,U571,W571,Y571,AA571,AC571,AE571,AG571,AI571,AK571,AM571,AO571,AQ571,AS571,AU571,AW571,AY571,BA571,BC571,BE571,BG571,BI571,BK571,BM571,BO571,BQ571,BS571,BU571,BW571,BY571)</f>
        <v>0</v>
      </c>
      <c r="CB571" s="298">
        <f>SUM(D571,F571,H571,J571,L571,N571,P571,R571,T571,V571,X571,Z571,AB571,AD571,AF571,AH571,AJ571,AL571,AN571,AP571,AR571,AT571,AV571,AX571,AZ571,BB571,BD571,BF571,BH571,BJ571,BL571,BN571,BP571,BR571,BT571,BV571,BX571,BZ571)</f>
        <v>0</v>
      </c>
      <c r="CC571" s="299">
        <f>SUM(Table13[[#This Row],[GOALS 1]:[ASSISTS 38]])</f>
        <v>0</v>
      </c>
    </row>
    <row r="572" spans="1:81">
      <c r="A572" s="291" t="s">
        <v>1335</v>
      </c>
      <c r="B572" s="291" t="s">
        <v>29</v>
      </c>
      <c r="C572" s="289"/>
      <c r="D572" s="286"/>
      <c r="E572" s="288"/>
      <c r="F572" s="286"/>
      <c r="G572" s="288"/>
      <c r="H572" s="286"/>
      <c r="I572" s="288"/>
      <c r="J572" s="286"/>
      <c r="K572" s="288"/>
      <c r="L572" s="286"/>
      <c r="M572" s="288"/>
      <c r="N572" s="286"/>
      <c r="O572" s="288"/>
      <c r="P572" s="286"/>
      <c r="Q572" s="288"/>
      <c r="R572" s="286"/>
      <c r="S572" s="288"/>
      <c r="T572" s="286"/>
      <c r="U572" s="288"/>
      <c r="V572" s="286"/>
      <c r="W572" s="288"/>
      <c r="X572" s="286"/>
      <c r="Y572" s="288"/>
      <c r="Z572" s="286"/>
      <c r="AA572" s="288"/>
      <c r="AB572" s="286"/>
      <c r="AC572" s="288"/>
      <c r="AD572" s="286"/>
      <c r="AE572" s="288"/>
      <c r="AF572" s="286"/>
      <c r="AG572" s="288"/>
      <c r="AH572" s="286"/>
      <c r="AI572" s="288"/>
      <c r="AJ572" s="286"/>
      <c r="AK572" s="286"/>
      <c r="AL572" s="286"/>
      <c r="AM572" s="286"/>
      <c r="AN572" s="286"/>
      <c r="AO572" s="286"/>
      <c r="AP572" s="286"/>
      <c r="AQ572" s="286"/>
      <c r="AR572" s="286"/>
      <c r="AS572" s="286"/>
      <c r="AT572" s="286"/>
      <c r="AU572" s="286"/>
      <c r="AV572" s="284"/>
      <c r="AW572" s="284"/>
      <c r="AX572" s="284"/>
      <c r="AY572" s="284"/>
      <c r="AZ572" s="284"/>
      <c r="BA572" s="284"/>
      <c r="BB572" s="284"/>
      <c r="BC572" s="284"/>
      <c r="BD572" s="284"/>
      <c r="BE572" s="284"/>
      <c r="BF572" s="284"/>
      <c r="BG572" s="284"/>
      <c r="BH572" s="284"/>
      <c r="BI572" s="284"/>
      <c r="BJ572" s="284"/>
      <c r="BK572" s="284"/>
      <c r="BL572" s="284"/>
      <c r="BM572" s="284"/>
      <c r="BN572" s="284"/>
      <c r="BO572" s="284"/>
      <c r="BP572" s="284"/>
      <c r="BQ572" s="284"/>
      <c r="BR572" s="284"/>
      <c r="BS572" s="284"/>
      <c r="BT572" s="284"/>
      <c r="BU572" s="284"/>
      <c r="BV572" s="284"/>
      <c r="BW572" s="284"/>
      <c r="BX572" s="284"/>
      <c r="BY572" s="284"/>
      <c r="BZ572" s="285"/>
      <c r="CA572" s="298">
        <f>SUM(C572,E572,G572,I572,K572,M572,O572,Q572,S572,U572,W572,Y572,AA572,AC572,AE572,AG572,AI572,AK572,AM572,AO572,AQ572,AS572,AU572,AW572,AY572,BA572,BC572,BE572,BG572,BI572,BK572,BM572,BO572,BQ572,BS572,BU572,BW572,BY572)</f>
        <v>0</v>
      </c>
      <c r="CB572" s="298">
        <f>SUM(D572,F572,H572,J572,L572,N572,P572,R572,T572,V572,X572,Z572,AB572,AD572,AF572,AH572,AJ572,AL572,AN572,AP572,AR572,AT572,AV572,AX572,AZ572,BB572,BD572,BF572,BH572,BJ572,BL572,BN572,BP572,BR572,BT572,BV572,BX572,BZ572)</f>
        <v>0</v>
      </c>
      <c r="CC572" s="299">
        <f>SUM(Table13[[#This Row],[GOALS 1]:[ASSISTS 38]])</f>
        <v>0</v>
      </c>
    </row>
    <row r="573" spans="1:81">
      <c r="A573" s="291" t="s">
        <v>1859</v>
      </c>
      <c r="B573" s="291" t="s">
        <v>22</v>
      </c>
      <c r="C573" s="286"/>
      <c r="D573" s="286"/>
      <c r="E573" s="288"/>
      <c r="F573" s="286"/>
      <c r="G573" s="288"/>
      <c r="H573" s="286"/>
      <c r="I573" s="288"/>
      <c r="J573" s="286"/>
      <c r="K573" s="288"/>
      <c r="L573" s="286"/>
      <c r="M573" s="288"/>
      <c r="N573" s="286"/>
      <c r="O573" s="288"/>
      <c r="P573" s="286"/>
      <c r="Q573" s="288"/>
      <c r="R573" s="286"/>
      <c r="S573" s="288"/>
      <c r="T573" s="286"/>
      <c r="U573" s="288"/>
      <c r="V573" s="286"/>
      <c r="W573" s="288"/>
      <c r="X573" s="286"/>
      <c r="Y573" s="288"/>
      <c r="Z573" s="286"/>
      <c r="AA573" s="288"/>
      <c r="AB573" s="286"/>
      <c r="AC573" s="288"/>
      <c r="AD573" s="286"/>
      <c r="AE573" s="288"/>
      <c r="AF573" s="286"/>
      <c r="AG573" s="288"/>
      <c r="AH573" s="286"/>
      <c r="AI573" s="288"/>
      <c r="AJ573" s="286"/>
      <c r="AK573" s="286"/>
      <c r="AL573" s="286"/>
      <c r="AM573" s="286"/>
      <c r="AN573" s="286"/>
      <c r="AO573" s="286"/>
      <c r="AP573" s="286"/>
      <c r="AQ573" s="286"/>
      <c r="AR573" s="286"/>
      <c r="AS573" s="286"/>
      <c r="AT573" s="286"/>
      <c r="AU573" s="286"/>
      <c r="AV573" s="284"/>
      <c r="AW573" s="284"/>
      <c r="AX573" s="284"/>
      <c r="AY573" s="284"/>
      <c r="AZ573" s="284"/>
      <c r="BA573" s="284"/>
      <c r="BB573" s="284"/>
      <c r="BC573" s="284"/>
      <c r="BD573" s="284"/>
      <c r="BE573" s="284"/>
      <c r="BF573" s="284"/>
      <c r="BG573" s="284"/>
      <c r="BH573" s="284"/>
      <c r="BI573" s="284"/>
      <c r="BJ573" s="284"/>
      <c r="BK573" s="284"/>
      <c r="BL573" s="284"/>
      <c r="BM573" s="284"/>
      <c r="BN573" s="284"/>
      <c r="BO573" s="284"/>
      <c r="BP573" s="284"/>
      <c r="BQ573" s="284"/>
      <c r="BR573" s="284"/>
      <c r="BS573" s="284"/>
      <c r="BT573" s="284"/>
      <c r="BU573" s="284"/>
      <c r="BV573" s="284"/>
      <c r="BW573" s="284"/>
      <c r="BX573" s="284"/>
      <c r="BY573" s="284"/>
      <c r="BZ573" s="285"/>
      <c r="CA573" s="298">
        <f>SUM(C573,E573,G573,I573,K573,M573,O573,Q573,S573,U573,W573,Y573,AA573,AC573,AE573,AG573,AI573,AK573,AM573,AO573,AQ573,AS573,AU573,AW573,AY573,BA573,BC573,BE573,BG573,BI573,BK573,BM573,BO573,BQ573,BS573,BU573,BW573,BY573)</f>
        <v>0</v>
      </c>
      <c r="CB573" s="298">
        <f>SUM(D573,F573,H573,J573,L573,N573,P573,R573,T573,V573,X573,Z573,AB573,AD573,AF573,AH573,AJ573,AL573,AN573,AP573,AR573,AT573,AV573,AX573,AZ573,BB573,BD573,BF573,BH573,BJ573,BL573,BN573,BP573,BR573,BT573,BV573,BX573,BZ573)</f>
        <v>0</v>
      </c>
      <c r="CC573" s="299">
        <f>SUM(Table13[[#This Row],[GOALS 1]:[ASSISTS 38]])</f>
        <v>0</v>
      </c>
    </row>
    <row r="574" spans="1:81">
      <c r="A574" s="291" t="s">
        <v>1713</v>
      </c>
      <c r="B574" s="291" t="s">
        <v>634</v>
      </c>
      <c r="C574" s="288"/>
      <c r="D574" s="286"/>
      <c r="E574" s="288"/>
      <c r="F574" s="286"/>
      <c r="G574" s="288"/>
      <c r="H574" s="286"/>
      <c r="I574" s="288"/>
      <c r="J574" s="286"/>
      <c r="K574" s="288"/>
      <c r="L574" s="286"/>
      <c r="M574" s="288"/>
      <c r="N574" s="286"/>
      <c r="O574" s="288"/>
      <c r="P574" s="286"/>
      <c r="Q574" s="288"/>
      <c r="R574" s="286"/>
      <c r="S574" s="288"/>
      <c r="T574" s="286"/>
      <c r="U574" s="288"/>
      <c r="V574" s="286"/>
      <c r="W574" s="288"/>
      <c r="X574" s="286"/>
      <c r="Y574" s="288"/>
      <c r="Z574" s="286"/>
      <c r="AA574" s="288"/>
      <c r="AB574" s="286"/>
      <c r="AC574" s="288"/>
      <c r="AD574" s="286"/>
      <c r="AE574" s="288"/>
      <c r="AF574" s="286"/>
      <c r="AG574" s="288"/>
      <c r="AH574" s="286"/>
      <c r="AI574" s="288"/>
      <c r="AJ574" s="286"/>
      <c r="AK574" s="286"/>
      <c r="AL574" s="286"/>
      <c r="AM574" s="286"/>
      <c r="AN574" s="286"/>
      <c r="AO574" s="286"/>
      <c r="AP574" s="286"/>
      <c r="AQ574" s="286"/>
      <c r="AR574" s="286"/>
      <c r="AS574" s="286"/>
      <c r="AT574" s="286"/>
      <c r="AU574" s="286"/>
      <c r="AV574" s="284"/>
      <c r="AW574" s="284"/>
      <c r="AX574" s="284"/>
      <c r="AY574" s="284"/>
      <c r="AZ574" s="284"/>
      <c r="BA574" s="284"/>
      <c r="BB574" s="284"/>
      <c r="BC574" s="284"/>
      <c r="BD574" s="284"/>
      <c r="BE574" s="284"/>
      <c r="BF574" s="284"/>
      <c r="BG574" s="284"/>
      <c r="BH574" s="284"/>
      <c r="BI574" s="284"/>
      <c r="BJ574" s="284"/>
      <c r="BK574" s="284"/>
      <c r="BL574" s="284"/>
      <c r="BM574" s="284"/>
      <c r="BN574" s="284"/>
      <c r="BO574" s="284"/>
      <c r="BP574" s="284"/>
      <c r="BQ574" s="284"/>
      <c r="BR574" s="284"/>
      <c r="BS574" s="284"/>
      <c r="BT574" s="284"/>
      <c r="BU574" s="284"/>
      <c r="BV574" s="284"/>
      <c r="BW574" s="284"/>
      <c r="BX574" s="284"/>
      <c r="BY574" s="284"/>
      <c r="BZ574" s="285"/>
      <c r="CA574" s="298">
        <f>SUM(C574,E574,G574,I574,K574,M574,O574,Q574,S574,U574,W574,Y574,AA574,AC574,AE574,AG574,AI574,AK574,AM574,AO574,AQ574,AS574,AU574,AW574,AY574,BA574,BC574,BE574,BG574,BI574,BK574,BM574,BO574,BQ574,BS574,BU574,BW574,BY574)</f>
        <v>0</v>
      </c>
      <c r="CB574" s="298">
        <f>SUM(D574,F574,H574,J574,L574,N574,P574,R574,T574,V574,X574,Z574,AB574,AD574,AF574,AH574,AJ574,AL574,AN574,AP574,AR574,AT574,AV574,AX574,AZ574,BB574,BD574,BF574,BH574,BJ574,BL574,BN574,BP574,BR574,BT574,BV574,BX574,BZ574)</f>
        <v>0</v>
      </c>
      <c r="CC574" s="299">
        <f>SUM(Table13[[#This Row],[GOALS 1]:[ASSISTS 38]])</f>
        <v>0</v>
      </c>
    </row>
    <row r="575" spans="1:81">
      <c r="A575" s="291" t="s">
        <v>1820</v>
      </c>
      <c r="B575" s="291" t="s">
        <v>634</v>
      </c>
      <c r="C575" s="288"/>
      <c r="D575" s="286"/>
      <c r="E575" s="288"/>
      <c r="F575" s="286"/>
      <c r="G575" s="288"/>
      <c r="H575" s="286"/>
      <c r="I575" s="288"/>
      <c r="J575" s="286"/>
      <c r="K575" s="288"/>
      <c r="L575" s="286"/>
      <c r="M575" s="288"/>
      <c r="N575" s="286"/>
      <c r="O575" s="288"/>
      <c r="P575" s="286"/>
      <c r="Q575" s="288"/>
      <c r="R575" s="286"/>
      <c r="S575" s="288"/>
      <c r="T575" s="286"/>
      <c r="U575" s="288"/>
      <c r="V575" s="286"/>
      <c r="W575" s="288"/>
      <c r="X575" s="286"/>
      <c r="Y575" s="288"/>
      <c r="Z575" s="286"/>
      <c r="AA575" s="288"/>
      <c r="AB575" s="286"/>
      <c r="AC575" s="288"/>
      <c r="AD575" s="286"/>
      <c r="AE575" s="288"/>
      <c r="AF575" s="286"/>
      <c r="AG575" s="288"/>
      <c r="AH575" s="286"/>
      <c r="AI575" s="288"/>
      <c r="AJ575" s="286"/>
      <c r="AK575" s="286"/>
      <c r="AL575" s="286"/>
      <c r="AM575" s="286"/>
      <c r="AN575" s="286"/>
      <c r="AO575" s="286"/>
      <c r="AP575" s="286"/>
      <c r="AQ575" s="286"/>
      <c r="AR575" s="286"/>
      <c r="AS575" s="286"/>
      <c r="AT575" s="286"/>
      <c r="AU575" s="286"/>
      <c r="AV575" s="284"/>
      <c r="AW575" s="284"/>
      <c r="AX575" s="284"/>
      <c r="AY575" s="284"/>
      <c r="AZ575" s="284"/>
      <c r="BA575" s="284"/>
      <c r="BB575" s="284"/>
      <c r="BC575" s="284"/>
      <c r="BD575" s="284"/>
      <c r="BE575" s="284"/>
      <c r="BF575" s="284"/>
      <c r="BG575" s="284"/>
      <c r="BH575" s="284"/>
      <c r="BI575" s="284"/>
      <c r="BJ575" s="284"/>
      <c r="BK575" s="284"/>
      <c r="BL575" s="284"/>
      <c r="BM575" s="284"/>
      <c r="BN575" s="284"/>
      <c r="BO575" s="284"/>
      <c r="BP575" s="284"/>
      <c r="BQ575" s="284"/>
      <c r="BR575" s="284"/>
      <c r="BS575" s="284"/>
      <c r="BT575" s="284"/>
      <c r="BU575" s="284"/>
      <c r="BV575" s="284"/>
      <c r="BW575" s="284"/>
      <c r="BX575" s="284"/>
      <c r="BY575" s="284"/>
      <c r="BZ575" s="285"/>
      <c r="CA575" s="298">
        <f>SUM(C575,E575,G575,I575,K575,M575,O575,Q575,S575,U575,W575,Y575,AA575,AC575,AE575,AG575,AI575,AK575,AM575,AO575,AQ575,AS575,AU575,AW575,AY575,BA575,BC575,BE575,BG575,BI575,BK575,BM575,BO575,BQ575,BS575,BU575,BW575,BY575)</f>
        <v>0</v>
      </c>
      <c r="CB575" s="298">
        <f>SUM(D575,F575,H575,J575,L575,N575,P575,R575,T575,V575,X575,Z575,AB575,AD575,AF575,AH575,AJ575,AL575,AN575,AP575,AR575,AT575,AV575,AX575,AZ575,BB575,BD575,BF575,BH575,BJ575,BL575,BN575,BP575,BR575,BT575,BV575,BX575,BZ575)</f>
        <v>0</v>
      </c>
      <c r="CC575" s="299">
        <f>SUM(Table13[[#This Row],[GOALS 1]:[ASSISTS 38]])</f>
        <v>0</v>
      </c>
    </row>
    <row r="576" spans="1:81">
      <c r="A576" s="291" t="s">
        <v>1511</v>
      </c>
      <c r="B576" s="291" t="s">
        <v>51</v>
      </c>
      <c r="C576" s="286"/>
      <c r="D576" s="286"/>
      <c r="E576" s="288"/>
      <c r="F576" s="286"/>
      <c r="G576" s="288"/>
      <c r="H576" s="286"/>
      <c r="I576" s="288"/>
      <c r="J576" s="286"/>
      <c r="K576" s="288"/>
      <c r="L576" s="286"/>
      <c r="M576" s="288"/>
      <c r="N576" s="286"/>
      <c r="O576" s="288"/>
      <c r="P576" s="286"/>
      <c r="Q576" s="288"/>
      <c r="R576" s="286"/>
      <c r="S576" s="288"/>
      <c r="T576" s="286"/>
      <c r="U576" s="288"/>
      <c r="V576" s="286"/>
      <c r="W576" s="288"/>
      <c r="X576" s="286"/>
      <c r="Y576" s="288"/>
      <c r="Z576" s="286"/>
      <c r="AA576" s="288"/>
      <c r="AB576" s="286"/>
      <c r="AC576" s="288"/>
      <c r="AD576" s="286"/>
      <c r="AE576" s="288"/>
      <c r="AF576" s="286"/>
      <c r="AG576" s="288"/>
      <c r="AH576" s="286"/>
      <c r="AI576" s="288"/>
      <c r="AJ576" s="286"/>
      <c r="AK576" s="286"/>
      <c r="AL576" s="286"/>
      <c r="AM576" s="286"/>
      <c r="AN576" s="286"/>
      <c r="AO576" s="286"/>
      <c r="AP576" s="286"/>
      <c r="AQ576" s="286"/>
      <c r="AR576" s="286"/>
      <c r="AS576" s="286"/>
      <c r="AT576" s="286"/>
      <c r="AU576" s="286"/>
      <c r="AV576" s="284"/>
      <c r="AW576" s="284"/>
      <c r="AX576" s="284"/>
      <c r="AY576" s="284"/>
      <c r="AZ576" s="284"/>
      <c r="BA576" s="284"/>
      <c r="BB576" s="284"/>
      <c r="BC576" s="284"/>
      <c r="BD576" s="284"/>
      <c r="BE576" s="284"/>
      <c r="BF576" s="284"/>
      <c r="BG576" s="284"/>
      <c r="BH576" s="284"/>
      <c r="BI576" s="284"/>
      <c r="BJ576" s="284"/>
      <c r="BK576" s="284"/>
      <c r="BL576" s="284"/>
      <c r="BM576" s="284"/>
      <c r="BN576" s="284"/>
      <c r="BO576" s="284"/>
      <c r="BP576" s="284"/>
      <c r="BQ576" s="284"/>
      <c r="BR576" s="284"/>
      <c r="BS576" s="284"/>
      <c r="BT576" s="284"/>
      <c r="BU576" s="284"/>
      <c r="BV576" s="284"/>
      <c r="BW576" s="284"/>
      <c r="BX576" s="284"/>
      <c r="BY576" s="284"/>
      <c r="BZ576" s="285"/>
      <c r="CA576" s="298">
        <f>SUM(C576,E576,G576,I576,K576,M576,O576,Q576,S576,U576,W576,Y576,AA576,AC576,AE576,AG576,AI576,AK576,AM576,AO576,AQ576,AS576,AU576,AW576,AY576,BA576,BC576,BE576,BG576,BI576,BK576,BM576,BO576,BQ576,BS576,BU576,BW576,BY576)</f>
        <v>0</v>
      </c>
      <c r="CB576" s="298">
        <f>SUM(D576,F576,H576,J576,L576,N576,P576,R576,T576,V576,X576,Z576,AB576,AD576,AF576,AH576,AJ576,AL576,AN576,AP576,AR576,AT576,AV576,AX576,AZ576,BB576,BD576,BF576,BH576,BJ576,BL576,BN576,BP576,BR576,BT576,BV576,BX576,BZ576)</f>
        <v>0</v>
      </c>
      <c r="CC576" s="299">
        <f>SUM(Table13[[#This Row],[GOALS 1]:[ASSISTS 38]])</f>
        <v>0</v>
      </c>
    </row>
    <row r="577" spans="1:81">
      <c r="A577" s="291" t="s">
        <v>1377</v>
      </c>
      <c r="B577" s="291" t="s">
        <v>33</v>
      </c>
      <c r="C577" s="289"/>
      <c r="D577" s="286"/>
      <c r="E577" s="288"/>
      <c r="F577" s="286"/>
      <c r="G577" s="288"/>
      <c r="H577" s="286"/>
      <c r="I577" s="288"/>
      <c r="J577" s="286"/>
      <c r="K577" s="288"/>
      <c r="L577" s="286"/>
      <c r="M577" s="288"/>
      <c r="N577" s="286"/>
      <c r="O577" s="288"/>
      <c r="P577" s="286"/>
      <c r="Q577" s="288"/>
      <c r="R577" s="286"/>
      <c r="S577" s="288"/>
      <c r="T577" s="286"/>
      <c r="U577" s="288"/>
      <c r="V577" s="286"/>
      <c r="W577" s="288"/>
      <c r="X577" s="286"/>
      <c r="Y577" s="288"/>
      <c r="Z577" s="286"/>
      <c r="AA577" s="288"/>
      <c r="AB577" s="286"/>
      <c r="AC577" s="288"/>
      <c r="AD577" s="286"/>
      <c r="AE577" s="288"/>
      <c r="AF577" s="286"/>
      <c r="AG577" s="288"/>
      <c r="AH577" s="286"/>
      <c r="AI577" s="288"/>
      <c r="AJ577" s="286"/>
      <c r="AK577" s="286"/>
      <c r="AL577" s="286"/>
      <c r="AM577" s="286"/>
      <c r="AN577" s="286"/>
      <c r="AO577" s="286"/>
      <c r="AP577" s="286"/>
      <c r="AQ577" s="286"/>
      <c r="AR577" s="286"/>
      <c r="AS577" s="286"/>
      <c r="AT577" s="286"/>
      <c r="AU577" s="286"/>
      <c r="AV577" s="284"/>
      <c r="AW577" s="284"/>
      <c r="AX577" s="284"/>
      <c r="AY577" s="284"/>
      <c r="AZ577" s="284"/>
      <c r="BA577" s="284"/>
      <c r="BB577" s="284"/>
      <c r="BC577" s="284"/>
      <c r="BD577" s="284"/>
      <c r="BE577" s="284"/>
      <c r="BF577" s="284"/>
      <c r="BG577" s="284"/>
      <c r="BH577" s="284"/>
      <c r="BI577" s="284"/>
      <c r="BJ577" s="284"/>
      <c r="BK577" s="284"/>
      <c r="BL577" s="284"/>
      <c r="BM577" s="284"/>
      <c r="BN577" s="284"/>
      <c r="BO577" s="284"/>
      <c r="BP577" s="284"/>
      <c r="BQ577" s="284"/>
      <c r="BR577" s="284"/>
      <c r="BS577" s="284"/>
      <c r="BT577" s="284"/>
      <c r="BU577" s="284"/>
      <c r="BV577" s="284"/>
      <c r="BW577" s="284"/>
      <c r="BX577" s="284"/>
      <c r="BY577" s="284"/>
      <c r="BZ577" s="285"/>
      <c r="CA577" s="298">
        <f>SUM(C577,E577,G577,I577,K577,M577,O577,Q577,S577,U577,W577,Y577,AA577,AC577,AE577,AG577,AI577,AK577,AM577,AO577,AQ577,AS577,AU577,AW577,AY577,BA577,BC577,BE577,BG577,BI577,BK577,BM577,BO577,BQ577,BS577,BU577,BW577,BY577)</f>
        <v>0</v>
      </c>
      <c r="CB577" s="298">
        <f>SUM(D577,F577,H577,J577,L577,N577,P577,R577,T577,V577,X577,Z577,AB577,AD577,AF577,AH577,AJ577,AL577,AN577,AP577,AR577,AT577,AV577,AX577,AZ577,BB577,BD577,BF577,BH577,BJ577,BL577,BN577,BP577,BR577,BT577,BV577,BX577,BZ577)</f>
        <v>0</v>
      </c>
      <c r="CC577" s="299">
        <f>SUM(Table13[[#This Row],[GOALS 1]:[ASSISTS 38]])</f>
        <v>0</v>
      </c>
    </row>
    <row r="578" spans="1:81">
      <c r="A578" s="291" t="s">
        <v>1749</v>
      </c>
      <c r="B578" s="291" t="s">
        <v>17</v>
      </c>
      <c r="C578" s="289"/>
      <c r="D578" s="286"/>
      <c r="E578" s="288"/>
      <c r="F578" s="286"/>
      <c r="G578" s="288"/>
      <c r="H578" s="286"/>
      <c r="I578" s="288"/>
      <c r="J578" s="286"/>
      <c r="K578" s="288"/>
      <c r="L578" s="286"/>
      <c r="M578" s="288"/>
      <c r="N578" s="286"/>
      <c r="O578" s="288"/>
      <c r="P578" s="286"/>
      <c r="Q578" s="288"/>
      <c r="R578" s="286"/>
      <c r="S578" s="288"/>
      <c r="T578" s="286"/>
      <c r="U578" s="288"/>
      <c r="V578" s="286"/>
      <c r="W578" s="288"/>
      <c r="X578" s="286"/>
      <c r="Y578" s="288"/>
      <c r="Z578" s="286"/>
      <c r="AA578" s="288"/>
      <c r="AB578" s="286"/>
      <c r="AC578" s="288"/>
      <c r="AD578" s="286"/>
      <c r="AE578" s="288"/>
      <c r="AF578" s="286"/>
      <c r="AG578" s="288"/>
      <c r="AH578" s="286"/>
      <c r="AI578" s="288"/>
      <c r="AJ578" s="286"/>
      <c r="AK578" s="286"/>
      <c r="AL578" s="286"/>
      <c r="AM578" s="286"/>
      <c r="AN578" s="286"/>
      <c r="AO578" s="286"/>
      <c r="AP578" s="286"/>
      <c r="AQ578" s="286"/>
      <c r="AR578" s="286"/>
      <c r="AS578" s="286"/>
      <c r="AT578" s="286"/>
      <c r="AU578" s="286"/>
      <c r="AV578" s="284"/>
      <c r="AW578" s="284"/>
      <c r="AX578" s="284"/>
      <c r="AY578" s="284"/>
      <c r="AZ578" s="284"/>
      <c r="BA578" s="284"/>
      <c r="BB578" s="284"/>
      <c r="BC578" s="284"/>
      <c r="BD578" s="284"/>
      <c r="BE578" s="284"/>
      <c r="BF578" s="284"/>
      <c r="BG578" s="284"/>
      <c r="BH578" s="284"/>
      <c r="BI578" s="284"/>
      <c r="BJ578" s="284"/>
      <c r="BK578" s="284"/>
      <c r="BL578" s="284"/>
      <c r="BM578" s="284"/>
      <c r="BN578" s="284"/>
      <c r="BO578" s="284"/>
      <c r="BP578" s="284"/>
      <c r="BQ578" s="284"/>
      <c r="BR578" s="284"/>
      <c r="BS578" s="284"/>
      <c r="BT578" s="284"/>
      <c r="BU578" s="284"/>
      <c r="BV578" s="284"/>
      <c r="BW578" s="284"/>
      <c r="BX578" s="284"/>
      <c r="BY578" s="284"/>
      <c r="BZ578" s="285"/>
      <c r="CA578" s="298">
        <f>SUM(C578,E578,G578,I578,K578,M578,O578,Q578,S578,U578,W578,Y578,AA578,AC578,AE578,AG578,AI578,AK578,AM578,AO578,AQ578,AS578,AU578,AW578,AY578,BA578,BC578,BE578,BG578,BI578,BK578,BM578,BO578,BQ578,BS578,BU578,BW578,BY578)</f>
        <v>0</v>
      </c>
      <c r="CB578" s="298">
        <f>SUM(D578,F578,H578,J578,L578,N578,P578,R578,T578,V578,X578,Z578,AB578,AD578,AF578,AH578,AJ578,AL578,AN578,AP578,AR578,AT578,AV578,AX578,AZ578,BB578,BD578,BF578,BH578,BJ578,BL578,BN578,BP578,BR578,BT578,BV578,BX578,BZ578)</f>
        <v>0</v>
      </c>
      <c r="CC578" s="299">
        <f>SUM(Table13[[#This Row],[GOALS 1]:[ASSISTS 38]])</f>
        <v>0</v>
      </c>
    </row>
    <row r="579" spans="1:81">
      <c r="A579" s="291" t="s">
        <v>1521</v>
      </c>
      <c r="B579" s="291" t="s">
        <v>29</v>
      </c>
      <c r="C579" s="289"/>
      <c r="D579" s="286"/>
      <c r="E579" s="288"/>
      <c r="F579" s="286"/>
      <c r="G579" s="288"/>
      <c r="H579" s="286"/>
      <c r="I579" s="288"/>
      <c r="J579" s="286"/>
      <c r="K579" s="288"/>
      <c r="L579" s="286"/>
      <c r="M579" s="288"/>
      <c r="N579" s="286"/>
      <c r="O579" s="288"/>
      <c r="P579" s="286"/>
      <c r="Q579" s="288"/>
      <c r="R579" s="286"/>
      <c r="S579" s="288"/>
      <c r="T579" s="286"/>
      <c r="U579" s="288"/>
      <c r="V579" s="286"/>
      <c r="W579" s="288"/>
      <c r="X579" s="286"/>
      <c r="Y579" s="288"/>
      <c r="Z579" s="286"/>
      <c r="AA579" s="288"/>
      <c r="AB579" s="286"/>
      <c r="AC579" s="288"/>
      <c r="AD579" s="286"/>
      <c r="AE579" s="288"/>
      <c r="AF579" s="286"/>
      <c r="AG579" s="288"/>
      <c r="AH579" s="286"/>
      <c r="AI579" s="288"/>
      <c r="AJ579" s="286"/>
      <c r="AK579" s="286"/>
      <c r="AL579" s="286"/>
      <c r="AM579" s="286"/>
      <c r="AN579" s="286"/>
      <c r="AO579" s="286"/>
      <c r="AP579" s="286"/>
      <c r="AQ579" s="286"/>
      <c r="AR579" s="286"/>
      <c r="AS579" s="286"/>
      <c r="AT579" s="286"/>
      <c r="AU579" s="286"/>
      <c r="AV579" s="284"/>
      <c r="AW579" s="284"/>
      <c r="AX579" s="284"/>
      <c r="AY579" s="284"/>
      <c r="AZ579" s="284"/>
      <c r="BA579" s="284"/>
      <c r="BB579" s="284"/>
      <c r="BC579" s="284"/>
      <c r="BD579" s="284"/>
      <c r="BE579" s="284"/>
      <c r="BF579" s="284"/>
      <c r="BG579" s="284"/>
      <c r="BH579" s="284"/>
      <c r="BI579" s="284"/>
      <c r="BJ579" s="284"/>
      <c r="BK579" s="284"/>
      <c r="BL579" s="284"/>
      <c r="BM579" s="284"/>
      <c r="BN579" s="284"/>
      <c r="BO579" s="284"/>
      <c r="BP579" s="284"/>
      <c r="BQ579" s="284"/>
      <c r="BR579" s="284"/>
      <c r="BS579" s="284"/>
      <c r="BT579" s="284"/>
      <c r="BU579" s="284"/>
      <c r="BV579" s="284"/>
      <c r="BW579" s="284"/>
      <c r="BX579" s="284"/>
      <c r="BY579" s="284"/>
      <c r="BZ579" s="285"/>
      <c r="CA579" s="298">
        <f>SUM(C579,E579,G579,I579,K579,M579,O579,Q579,S579,U579,W579,Y579,AA579,AC579,AE579,AG579,AI579,AK579,AM579,AO579,AQ579,AS579,AU579,AW579,AY579,BA579,BC579,BE579,BG579,BI579,BK579,BM579,BO579,BQ579,BS579,BU579,BW579,BY579)</f>
        <v>0</v>
      </c>
      <c r="CB579" s="298">
        <f>SUM(D579,F579,H579,J579,L579,N579,P579,R579,T579,V579,X579,Z579,AB579,AD579,AF579,AH579,AJ579,AL579,AN579,AP579,AR579,AT579,AV579,AX579,AZ579,BB579,BD579,BF579,BH579,BJ579,BL579,BN579,BP579,BR579,BT579,BV579,BX579,BZ579)</f>
        <v>0</v>
      </c>
      <c r="CC579" s="299">
        <f>SUM(Table13[[#This Row],[GOALS 1]:[ASSISTS 38]])</f>
        <v>0</v>
      </c>
    </row>
    <row r="580" spans="1:81">
      <c r="A580" s="291" t="s">
        <v>1448</v>
      </c>
      <c r="B580" s="291" t="s">
        <v>33</v>
      </c>
      <c r="C580" s="289"/>
      <c r="D580" s="286"/>
      <c r="E580" s="288"/>
      <c r="F580" s="286"/>
      <c r="G580" s="288"/>
      <c r="H580" s="286"/>
      <c r="I580" s="288"/>
      <c r="J580" s="286"/>
      <c r="K580" s="288"/>
      <c r="L580" s="286"/>
      <c r="M580" s="288"/>
      <c r="N580" s="286"/>
      <c r="O580" s="288"/>
      <c r="P580" s="286"/>
      <c r="Q580" s="288"/>
      <c r="R580" s="286"/>
      <c r="S580" s="288"/>
      <c r="T580" s="286"/>
      <c r="U580" s="288"/>
      <c r="V580" s="286"/>
      <c r="W580" s="288"/>
      <c r="X580" s="286"/>
      <c r="Y580" s="288"/>
      <c r="Z580" s="286"/>
      <c r="AA580" s="288"/>
      <c r="AB580" s="286"/>
      <c r="AC580" s="288"/>
      <c r="AD580" s="286"/>
      <c r="AE580" s="288"/>
      <c r="AF580" s="286"/>
      <c r="AG580" s="288"/>
      <c r="AH580" s="286"/>
      <c r="AI580" s="288"/>
      <c r="AJ580" s="286"/>
      <c r="AK580" s="286"/>
      <c r="AL580" s="286"/>
      <c r="AM580" s="286"/>
      <c r="AN580" s="286"/>
      <c r="AO580" s="286"/>
      <c r="AP580" s="286"/>
      <c r="AQ580" s="286"/>
      <c r="AR580" s="286"/>
      <c r="AS580" s="286"/>
      <c r="AT580" s="286"/>
      <c r="AU580" s="286"/>
      <c r="AV580" s="284"/>
      <c r="AW580" s="284"/>
      <c r="AX580" s="284"/>
      <c r="AY580" s="284"/>
      <c r="AZ580" s="284"/>
      <c r="BA580" s="284"/>
      <c r="BB580" s="284"/>
      <c r="BC580" s="284"/>
      <c r="BD580" s="284"/>
      <c r="BE580" s="284"/>
      <c r="BF580" s="284"/>
      <c r="BG580" s="284"/>
      <c r="BH580" s="284"/>
      <c r="BI580" s="284"/>
      <c r="BJ580" s="284"/>
      <c r="BK580" s="284"/>
      <c r="BL580" s="284"/>
      <c r="BM580" s="284"/>
      <c r="BN580" s="284"/>
      <c r="BO580" s="284"/>
      <c r="BP580" s="284"/>
      <c r="BQ580" s="284"/>
      <c r="BR580" s="284"/>
      <c r="BS580" s="284"/>
      <c r="BT580" s="284"/>
      <c r="BU580" s="284"/>
      <c r="BV580" s="284"/>
      <c r="BW580" s="284"/>
      <c r="BX580" s="284"/>
      <c r="BY580" s="284"/>
      <c r="BZ580" s="285"/>
      <c r="CA580" s="298">
        <f>SUM(C580,E580,G580,I580,K580,M580,O580,Q580,S580,U580,W580,Y580,AA580,AC580,AE580,AG580,AI580,AK580,AM580,AO580,AQ580,AS580,AU580,AW580,AY580,BA580,BC580,BE580,BG580,BI580,BK580,BM580,BO580,BQ580,BS580,BU580,BW580,BY580)</f>
        <v>0</v>
      </c>
      <c r="CB580" s="298">
        <f>SUM(D580,F580,H580,J580,L580,N580,P580,R580,T580,V580,X580,Z580,AB580,AD580,AF580,AH580,AJ580,AL580,AN580,AP580,AR580,AT580,AV580,AX580,AZ580,BB580,BD580,BF580,BH580,BJ580,BL580,BN580,BP580,BR580,BT580,BV580,BX580,BZ580)</f>
        <v>0</v>
      </c>
      <c r="CC580" s="299">
        <f>SUM(Table13[[#This Row],[GOALS 1]:[ASSISTS 38]])</f>
        <v>0</v>
      </c>
    </row>
    <row r="581" spans="1:81">
      <c r="A581" s="291" t="s">
        <v>1519</v>
      </c>
      <c r="B581" s="291" t="s">
        <v>25</v>
      </c>
      <c r="C581" s="286"/>
      <c r="D581" s="286"/>
      <c r="E581" s="288"/>
      <c r="F581" s="286"/>
      <c r="G581" s="288"/>
      <c r="H581" s="286"/>
      <c r="I581" s="288"/>
      <c r="J581" s="286"/>
      <c r="K581" s="288"/>
      <c r="L581" s="286"/>
      <c r="M581" s="288"/>
      <c r="N581" s="286"/>
      <c r="O581" s="288"/>
      <c r="P581" s="286"/>
      <c r="Q581" s="288"/>
      <c r="R581" s="286"/>
      <c r="S581" s="288"/>
      <c r="T581" s="286"/>
      <c r="U581" s="288"/>
      <c r="V581" s="286"/>
      <c r="W581" s="288"/>
      <c r="X581" s="286"/>
      <c r="Y581" s="288"/>
      <c r="Z581" s="286"/>
      <c r="AA581" s="288"/>
      <c r="AB581" s="286"/>
      <c r="AC581" s="288"/>
      <c r="AD581" s="286"/>
      <c r="AE581" s="288"/>
      <c r="AF581" s="286"/>
      <c r="AG581" s="288"/>
      <c r="AH581" s="286"/>
      <c r="AI581" s="288"/>
      <c r="AJ581" s="286"/>
      <c r="AK581" s="286"/>
      <c r="AL581" s="286"/>
      <c r="AM581" s="286"/>
      <c r="AN581" s="286"/>
      <c r="AO581" s="286"/>
      <c r="AP581" s="286"/>
      <c r="AQ581" s="286"/>
      <c r="AR581" s="286"/>
      <c r="AS581" s="286"/>
      <c r="AT581" s="286"/>
      <c r="AU581" s="286"/>
      <c r="AV581" s="284"/>
      <c r="AW581" s="284"/>
      <c r="AX581" s="284"/>
      <c r="AY581" s="284"/>
      <c r="AZ581" s="284"/>
      <c r="BA581" s="284"/>
      <c r="BB581" s="284"/>
      <c r="BC581" s="284"/>
      <c r="BD581" s="284"/>
      <c r="BE581" s="284"/>
      <c r="BF581" s="284"/>
      <c r="BG581" s="284"/>
      <c r="BH581" s="284"/>
      <c r="BI581" s="284"/>
      <c r="BJ581" s="284"/>
      <c r="BK581" s="284"/>
      <c r="BL581" s="284"/>
      <c r="BM581" s="284"/>
      <c r="BN581" s="284"/>
      <c r="BO581" s="284"/>
      <c r="BP581" s="284"/>
      <c r="BQ581" s="284"/>
      <c r="BR581" s="284"/>
      <c r="BS581" s="284"/>
      <c r="BT581" s="284"/>
      <c r="BU581" s="284"/>
      <c r="BV581" s="284"/>
      <c r="BW581" s="284"/>
      <c r="BX581" s="284"/>
      <c r="BY581" s="284"/>
      <c r="BZ581" s="285"/>
      <c r="CA581" s="298">
        <f>SUM(C581,E581,G581,I581,K581,M581,O581,Q581,S581,U581,W581,Y581,AA581,AC581,AE581,AG581,AI581,AK581,AM581,AO581,AQ581,AS581,AU581,AW581,AY581,BA581,BC581,BE581,BG581,BI581,BK581,BM581,BO581,BQ581,BS581,BU581,BW581,BY581)</f>
        <v>0</v>
      </c>
      <c r="CB581" s="298">
        <f>SUM(D581,F581,H581,J581,L581,N581,P581,R581,T581,V581,X581,Z581,AB581,AD581,AF581,AH581,AJ581,AL581,AN581,AP581,AR581,AT581,AV581,AX581,AZ581,BB581,BD581,BF581,BH581,BJ581,BL581,BN581,BP581,BR581,BT581,BV581,BX581,BZ581)</f>
        <v>0</v>
      </c>
      <c r="CC581" s="299">
        <f>SUM(Table13[[#This Row],[GOALS 1]:[ASSISTS 38]])</f>
        <v>0</v>
      </c>
    </row>
    <row r="582" spans="1:81">
      <c r="A582" s="291" t="s">
        <v>1583</v>
      </c>
      <c r="B582" s="291" t="s">
        <v>29</v>
      </c>
      <c r="C582" s="289"/>
      <c r="D582" s="286"/>
      <c r="E582" s="288"/>
      <c r="F582" s="286"/>
      <c r="G582" s="288"/>
      <c r="H582" s="286"/>
      <c r="I582" s="288"/>
      <c r="J582" s="286"/>
      <c r="K582" s="288"/>
      <c r="L582" s="286"/>
      <c r="M582" s="288"/>
      <c r="N582" s="286"/>
      <c r="O582" s="288"/>
      <c r="P582" s="286"/>
      <c r="Q582" s="288"/>
      <c r="R582" s="286"/>
      <c r="S582" s="288"/>
      <c r="T582" s="286"/>
      <c r="U582" s="288"/>
      <c r="V582" s="286"/>
      <c r="W582" s="288"/>
      <c r="X582" s="286"/>
      <c r="Y582" s="288"/>
      <c r="Z582" s="286"/>
      <c r="AA582" s="288"/>
      <c r="AB582" s="286"/>
      <c r="AC582" s="288"/>
      <c r="AD582" s="286"/>
      <c r="AE582" s="288"/>
      <c r="AF582" s="286"/>
      <c r="AG582" s="288"/>
      <c r="AH582" s="286"/>
      <c r="AI582" s="288"/>
      <c r="AJ582" s="286"/>
      <c r="AK582" s="286"/>
      <c r="AL582" s="286"/>
      <c r="AM582" s="286"/>
      <c r="AN582" s="286"/>
      <c r="AO582" s="286"/>
      <c r="AP582" s="286"/>
      <c r="AQ582" s="286"/>
      <c r="AR582" s="286"/>
      <c r="AS582" s="286"/>
      <c r="AT582" s="286"/>
      <c r="AU582" s="286"/>
      <c r="AV582" s="284"/>
      <c r="AW582" s="284"/>
      <c r="AX582" s="284"/>
      <c r="AY582" s="284"/>
      <c r="AZ582" s="284"/>
      <c r="BA582" s="284"/>
      <c r="BB582" s="284"/>
      <c r="BC582" s="284"/>
      <c r="BD582" s="284"/>
      <c r="BE582" s="284"/>
      <c r="BF582" s="284"/>
      <c r="BG582" s="284"/>
      <c r="BH582" s="284"/>
      <c r="BI582" s="284"/>
      <c r="BJ582" s="284"/>
      <c r="BK582" s="284"/>
      <c r="BL582" s="284"/>
      <c r="BM582" s="284"/>
      <c r="BN582" s="284"/>
      <c r="BO582" s="284"/>
      <c r="BP582" s="284"/>
      <c r="BQ582" s="284"/>
      <c r="BR582" s="284"/>
      <c r="BS582" s="284"/>
      <c r="BT582" s="284"/>
      <c r="BU582" s="284"/>
      <c r="BV582" s="284"/>
      <c r="BW582" s="284"/>
      <c r="BX582" s="284"/>
      <c r="BY582" s="284"/>
      <c r="BZ582" s="285"/>
      <c r="CA582" s="298">
        <f>SUM(C582,E582,G582,I582,K582,M582,O582,Q582,S582,U582,W582,Y582,AA582,AC582,AE582,AG582,AI582,AK582,AM582,AO582,AQ582,AS582,AU582,AW582,AY582,BA582,BC582,BE582,BG582,BI582,BK582,BM582,BO582,BQ582,BS582,BU582,BW582,BY582)</f>
        <v>0</v>
      </c>
      <c r="CB582" s="298">
        <f>SUM(D582,F582,H582,J582,L582,N582,P582,R582,T582,V582,X582,Z582,AB582,AD582,AF582,AH582,AJ582,AL582,AN582,AP582,AR582,AT582,AV582,AX582,AZ582,BB582,BD582,BF582,BH582,BJ582,BL582,BN582,BP582,BR582,BT582,BV582,BX582,BZ582)</f>
        <v>0</v>
      </c>
      <c r="CC582" s="299">
        <f>SUM(Table13[[#This Row],[GOALS 1]:[ASSISTS 38]])</f>
        <v>0</v>
      </c>
    </row>
    <row r="583" spans="1:81">
      <c r="A583" s="291" t="s">
        <v>1413</v>
      </c>
      <c r="B583" s="291" t="s">
        <v>52</v>
      </c>
      <c r="C583" s="289"/>
      <c r="D583" s="286"/>
      <c r="E583" s="288"/>
      <c r="F583" s="286"/>
      <c r="G583" s="288"/>
      <c r="H583" s="286"/>
      <c r="I583" s="288"/>
      <c r="J583" s="286"/>
      <c r="K583" s="288"/>
      <c r="L583" s="286"/>
      <c r="M583" s="288"/>
      <c r="N583" s="286"/>
      <c r="O583" s="288"/>
      <c r="P583" s="286"/>
      <c r="Q583" s="288"/>
      <c r="R583" s="286"/>
      <c r="S583" s="288"/>
      <c r="T583" s="286"/>
      <c r="U583" s="288"/>
      <c r="V583" s="286"/>
      <c r="W583" s="288"/>
      <c r="X583" s="286"/>
      <c r="Y583" s="288"/>
      <c r="Z583" s="286"/>
      <c r="AA583" s="288"/>
      <c r="AB583" s="286"/>
      <c r="AC583" s="288"/>
      <c r="AD583" s="286"/>
      <c r="AE583" s="288"/>
      <c r="AF583" s="286"/>
      <c r="AG583" s="288"/>
      <c r="AH583" s="286"/>
      <c r="AI583" s="288"/>
      <c r="AJ583" s="286"/>
      <c r="AK583" s="286"/>
      <c r="AL583" s="286"/>
      <c r="AM583" s="286"/>
      <c r="AN583" s="286"/>
      <c r="AO583" s="286"/>
      <c r="AP583" s="286"/>
      <c r="AQ583" s="286"/>
      <c r="AR583" s="286"/>
      <c r="AS583" s="286"/>
      <c r="AT583" s="286"/>
      <c r="AU583" s="286"/>
      <c r="AV583" s="284"/>
      <c r="AW583" s="284"/>
      <c r="AX583" s="284"/>
      <c r="AY583" s="284"/>
      <c r="AZ583" s="284"/>
      <c r="BA583" s="284"/>
      <c r="BB583" s="284"/>
      <c r="BC583" s="284"/>
      <c r="BD583" s="284"/>
      <c r="BE583" s="284"/>
      <c r="BF583" s="284"/>
      <c r="BG583" s="284"/>
      <c r="BH583" s="284"/>
      <c r="BI583" s="284"/>
      <c r="BJ583" s="284"/>
      <c r="BK583" s="284"/>
      <c r="BL583" s="284"/>
      <c r="BM583" s="284"/>
      <c r="BN583" s="284"/>
      <c r="BO583" s="284"/>
      <c r="BP583" s="284"/>
      <c r="BQ583" s="284"/>
      <c r="BR583" s="284"/>
      <c r="BS583" s="284"/>
      <c r="BT583" s="284"/>
      <c r="BU583" s="284"/>
      <c r="BV583" s="284"/>
      <c r="BW583" s="284"/>
      <c r="BX583" s="284"/>
      <c r="BY583" s="284"/>
      <c r="BZ583" s="285"/>
      <c r="CA583" s="298">
        <f>SUM(C583,E583,G583,I583,K583,M583,O583,Q583,S583,U583,W583,Y583,AA583,AC583,AE583,AG583,AI583,AK583,AM583,AO583,AQ583,AS583,AU583,AW583,AY583,BA583,BC583,BE583,BG583,BI583,BK583,BM583,BO583,BQ583,BS583,BU583,BW583,BY583)</f>
        <v>0</v>
      </c>
      <c r="CB583" s="298">
        <f>SUM(D583,F583,H583,J583,L583,N583,P583,R583,T583,V583,X583,Z583,AB583,AD583,AF583,AH583,AJ583,AL583,AN583,AP583,AR583,AT583,AV583,AX583,AZ583,BB583,BD583,BF583,BH583,BJ583,BL583,BN583,BP583,BR583,BT583,BV583,BX583,BZ583)</f>
        <v>0</v>
      </c>
      <c r="CC583" s="299">
        <f>SUM(Table13[[#This Row],[GOALS 1]:[ASSISTS 38]])</f>
        <v>0</v>
      </c>
    </row>
    <row r="584" spans="1:81">
      <c r="A584" s="291" t="s">
        <v>1667</v>
      </c>
      <c r="B584" s="291" t="s">
        <v>33</v>
      </c>
      <c r="C584" s="289"/>
      <c r="D584" s="286"/>
      <c r="E584" s="288"/>
      <c r="F584" s="286"/>
      <c r="G584" s="288"/>
      <c r="H584" s="286"/>
      <c r="I584" s="288"/>
      <c r="J584" s="286"/>
      <c r="K584" s="288"/>
      <c r="L584" s="286"/>
      <c r="M584" s="288"/>
      <c r="N584" s="286"/>
      <c r="O584" s="288"/>
      <c r="P584" s="286"/>
      <c r="Q584" s="288"/>
      <c r="R584" s="286"/>
      <c r="S584" s="288"/>
      <c r="T584" s="286"/>
      <c r="U584" s="288"/>
      <c r="V584" s="286"/>
      <c r="W584" s="288"/>
      <c r="X584" s="286"/>
      <c r="Y584" s="288"/>
      <c r="Z584" s="286"/>
      <c r="AA584" s="288"/>
      <c r="AB584" s="286"/>
      <c r="AC584" s="288"/>
      <c r="AD584" s="286"/>
      <c r="AE584" s="288"/>
      <c r="AF584" s="286"/>
      <c r="AG584" s="288"/>
      <c r="AH584" s="286"/>
      <c r="AI584" s="288"/>
      <c r="AJ584" s="286"/>
      <c r="AK584" s="286"/>
      <c r="AL584" s="286"/>
      <c r="AM584" s="286"/>
      <c r="AN584" s="286"/>
      <c r="AO584" s="286"/>
      <c r="AP584" s="286"/>
      <c r="AQ584" s="286"/>
      <c r="AR584" s="286"/>
      <c r="AS584" s="286"/>
      <c r="AT584" s="286"/>
      <c r="AU584" s="286"/>
      <c r="AV584" s="284"/>
      <c r="AW584" s="284"/>
      <c r="AX584" s="284"/>
      <c r="AY584" s="284"/>
      <c r="AZ584" s="284"/>
      <c r="BA584" s="284"/>
      <c r="BB584" s="284"/>
      <c r="BC584" s="284"/>
      <c r="BD584" s="284"/>
      <c r="BE584" s="284"/>
      <c r="BF584" s="284"/>
      <c r="BG584" s="284"/>
      <c r="BH584" s="284"/>
      <c r="BI584" s="284"/>
      <c r="BJ584" s="284"/>
      <c r="BK584" s="284"/>
      <c r="BL584" s="284"/>
      <c r="BM584" s="284"/>
      <c r="BN584" s="284"/>
      <c r="BO584" s="284"/>
      <c r="BP584" s="284"/>
      <c r="BQ584" s="284"/>
      <c r="BR584" s="284"/>
      <c r="BS584" s="284"/>
      <c r="BT584" s="284"/>
      <c r="BU584" s="284"/>
      <c r="BV584" s="284"/>
      <c r="BW584" s="284"/>
      <c r="BX584" s="284"/>
      <c r="BY584" s="284"/>
      <c r="BZ584" s="285"/>
      <c r="CA584" s="298">
        <f>SUM(C584,E584,G584,I584,K584,M584,O584,Q584,S584,U584,W584,Y584,AA584,AC584,AE584,AG584,AI584,AK584,AM584,AO584,AQ584,AS584,AU584,AW584,AY584,BA584,BC584,BE584,BG584,BI584,BK584,BM584,BO584,BQ584,BS584,BU584,BW584,BY584)</f>
        <v>0</v>
      </c>
      <c r="CB584" s="298">
        <f>SUM(D584,F584,H584,J584,L584,N584,P584,R584,T584,V584,X584,Z584,AB584,AD584,AF584,AH584,AJ584,AL584,AN584,AP584,AR584,AT584,AV584,AX584,AZ584,BB584,BD584,BF584,BH584,BJ584,BL584,BN584,BP584,BR584,BT584,BV584,BX584,BZ584)</f>
        <v>0</v>
      </c>
      <c r="CC584" s="299">
        <f>SUM(Table13[[#This Row],[GOALS 1]:[ASSISTS 38]])</f>
        <v>0</v>
      </c>
    </row>
    <row r="585" spans="1:81">
      <c r="A585" s="291" t="s">
        <v>1693</v>
      </c>
      <c r="B585" s="291" t="s">
        <v>51</v>
      </c>
      <c r="C585" s="286"/>
      <c r="D585" s="286"/>
      <c r="E585" s="288"/>
      <c r="F585" s="286"/>
      <c r="G585" s="288"/>
      <c r="H585" s="286"/>
      <c r="I585" s="288"/>
      <c r="J585" s="286"/>
      <c r="K585" s="288"/>
      <c r="L585" s="286"/>
      <c r="M585" s="288"/>
      <c r="N585" s="286"/>
      <c r="O585" s="288"/>
      <c r="P585" s="286"/>
      <c r="Q585" s="288"/>
      <c r="R585" s="286"/>
      <c r="S585" s="288"/>
      <c r="T585" s="286"/>
      <c r="U585" s="288"/>
      <c r="V585" s="286"/>
      <c r="W585" s="288"/>
      <c r="X585" s="286"/>
      <c r="Y585" s="288"/>
      <c r="Z585" s="286"/>
      <c r="AA585" s="288"/>
      <c r="AB585" s="286"/>
      <c r="AC585" s="288"/>
      <c r="AD585" s="286"/>
      <c r="AE585" s="288"/>
      <c r="AF585" s="286"/>
      <c r="AG585" s="288"/>
      <c r="AH585" s="286"/>
      <c r="AI585" s="288"/>
      <c r="AJ585" s="286"/>
      <c r="AK585" s="286"/>
      <c r="AL585" s="286"/>
      <c r="AM585" s="286"/>
      <c r="AN585" s="286"/>
      <c r="AO585" s="286"/>
      <c r="AP585" s="286"/>
      <c r="AQ585" s="286"/>
      <c r="AR585" s="286"/>
      <c r="AS585" s="286"/>
      <c r="AT585" s="286"/>
      <c r="AU585" s="286"/>
      <c r="AV585" s="284"/>
      <c r="AW585" s="284"/>
      <c r="AX585" s="284"/>
      <c r="AY585" s="284"/>
      <c r="AZ585" s="284"/>
      <c r="BA585" s="284"/>
      <c r="BB585" s="284"/>
      <c r="BC585" s="284"/>
      <c r="BD585" s="284"/>
      <c r="BE585" s="284"/>
      <c r="BF585" s="284"/>
      <c r="BG585" s="284"/>
      <c r="BH585" s="284"/>
      <c r="BI585" s="284"/>
      <c r="BJ585" s="284"/>
      <c r="BK585" s="284"/>
      <c r="BL585" s="284"/>
      <c r="BM585" s="284"/>
      <c r="BN585" s="284"/>
      <c r="BO585" s="284"/>
      <c r="BP585" s="284"/>
      <c r="BQ585" s="284"/>
      <c r="BR585" s="284"/>
      <c r="BS585" s="284"/>
      <c r="BT585" s="284"/>
      <c r="BU585" s="284"/>
      <c r="BV585" s="284"/>
      <c r="BW585" s="284"/>
      <c r="BX585" s="284"/>
      <c r="BY585" s="284"/>
      <c r="BZ585" s="285"/>
      <c r="CA585" s="298">
        <f>SUM(C585,E585,G585,I585,K585,M585,O585,Q585,S585,U585,W585,Y585,AA585,AC585,AE585,AG585,AI585,AK585,AM585,AO585,AQ585,AS585,AU585,AW585,AY585,BA585,BC585,BE585,BG585,BI585,BK585,BM585,BO585,BQ585,BS585,BU585,BW585,BY585)</f>
        <v>0</v>
      </c>
      <c r="CB585" s="298">
        <f>SUM(D585,F585,H585,J585,L585,N585,P585,R585,T585,V585,X585,Z585,AB585,AD585,AF585,AH585,AJ585,AL585,AN585,AP585,AR585,AT585,AV585,AX585,AZ585,BB585,BD585,BF585,BH585,BJ585,BL585,BN585,BP585,BR585,BT585,BV585,BX585,BZ585)</f>
        <v>0</v>
      </c>
      <c r="CC585" s="299">
        <f>SUM(Table13[[#This Row],[GOALS 1]:[ASSISTS 38]])</f>
        <v>0</v>
      </c>
    </row>
    <row r="586" spans="1:81">
      <c r="A586" s="291" t="s">
        <v>1364</v>
      </c>
      <c r="B586" s="291" t="s">
        <v>24</v>
      </c>
      <c r="C586" s="286"/>
      <c r="D586" s="286"/>
      <c r="E586" s="288"/>
      <c r="F586" s="286"/>
      <c r="G586" s="288"/>
      <c r="H586" s="286"/>
      <c r="I586" s="288"/>
      <c r="J586" s="286"/>
      <c r="K586" s="288"/>
      <c r="L586" s="286"/>
      <c r="M586" s="288"/>
      <c r="N586" s="286"/>
      <c r="O586" s="288"/>
      <c r="P586" s="286"/>
      <c r="Q586" s="288"/>
      <c r="R586" s="286"/>
      <c r="S586" s="288"/>
      <c r="T586" s="286"/>
      <c r="U586" s="288"/>
      <c r="V586" s="286"/>
      <c r="W586" s="288"/>
      <c r="X586" s="286"/>
      <c r="Y586" s="288"/>
      <c r="Z586" s="286"/>
      <c r="AA586" s="288"/>
      <c r="AB586" s="286"/>
      <c r="AC586" s="288"/>
      <c r="AD586" s="286"/>
      <c r="AE586" s="288"/>
      <c r="AF586" s="286"/>
      <c r="AG586" s="288"/>
      <c r="AH586" s="286"/>
      <c r="AI586" s="288"/>
      <c r="AJ586" s="286"/>
      <c r="AK586" s="286"/>
      <c r="AL586" s="286"/>
      <c r="AM586" s="286"/>
      <c r="AN586" s="286"/>
      <c r="AO586" s="286"/>
      <c r="AP586" s="286"/>
      <c r="AQ586" s="286"/>
      <c r="AR586" s="286"/>
      <c r="AS586" s="286"/>
      <c r="AT586" s="286"/>
      <c r="AU586" s="286"/>
      <c r="AV586" s="284"/>
      <c r="AW586" s="284"/>
      <c r="AX586" s="284"/>
      <c r="AY586" s="284"/>
      <c r="AZ586" s="284"/>
      <c r="BA586" s="284"/>
      <c r="BB586" s="284"/>
      <c r="BC586" s="284"/>
      <c r="BD586" s="284"/>
      <c r="BE586" s="284"/>
      <c r="BF586" s="284"/>
      <c r="BG586" s="284"/>
      <c r="BH586" s="284"/>
      <c r="BI586" s="284"/>
      <c r="BJ586" s="284"/>
      <c r="BK586" s="284"/>
      <c r="BL586" s="284"/>
      <c r="BM586" s="284"/>
      <c r="BN586" s="284"/>
      <c r="BO586" s="284"/>
      <c r="BP586" s="284"/>
      <c r="BQ586" s="284"/>
      <c r="BR586" s="284"/>
      <c r="BS586" s="284"/>
      <c r="BT586" s="284"/>
      <c r="BU586" s="284"/>
      <c r="BV586" s="284"/>
      <c r="BW586" s="284"/>
      <c r="BX586" s="284"/>
      <c r="BY586" s="284"/>
      <c r="BZ586" s="285"/>
      <c r="CA586" s="298">
        <f>SUM(C586,E586,G586,I586,K586,M586,O586,Q586,S586,U586,W586,Y586,AA586,AC586,AE586,AG586,AI586,AK586,AM586,AO586,AQ586,AS586,AU586,AW586,AY586,BA586,BC586,BE586,BG586,BI586,BK586,BM586,BO586,BQ586,BS586,BU586,BW586,BY586)</f>
        <v>0</v>
      </c>
      <c r="CB586" s="298">
        <f>SUM(D586,F586,H586,J586,L586,N586,P586,R586,T586,V586,X586,Z586,AB586,AD586,AF586,AH586,AJ586,AL586,AN586,AP586,AR586,AT586,AV586,AX586,AZ586,BB586,BD586,BF586,BH586,BJ586,BL586,BN586,BP586,BR586,BT586,BV586,BX586,BZ586)</f>
        <v>0</v>
      </c>
      <c r="CC586" s="299">
        <f>SUM(Table13[[#This Row],[GOALS 1]:[ASSISTS 38]])</f>
        <v>0</v>
      </c>
    </row>
    <row r="587" spans="1:81">
      <c r="A587" s="291" t="s">
        <v>1606</v>
      </c>
      <c r="B587" s="291" t="s">
        <v>24</v>
      </c>
      <c r="C587" s="286"/>
      <c r="D587" s="286"/>
      <c r="E587" s="288"/>
      <c r="F587" s="286"/>
      <c r="G587" s="288"/>
      <c r="H587" s="286"/>
      <c r="I587" s="288"/>
      <c r="J587" s="286"/>
      <c r="K587" s="288"/>
      <c r="L587" s="286"/>
      <c r="M587" s="288"/>
      <c r="N587" s="286"/>
      <c r="O587" s="288"/>
      <c r="P587" s="286"/>
      <c r="Q587" s="288"/>
      <c r="R587" s="286"/>
      <c r="S587" s="288"/>
      <c r="T587" s="286"/>
      <c r="U587" s="288"/>
      <c r="V587" s="286"/>
      <c r="W587" s="288"/>
      <c r="X587" s="286"/>
      <c r="Y587" s="288"/>
      <c r="Z587" s="286"/>
      <c r="AA587" s="288"/>
      <c r="AB587" s="286"/>
      <c r="AC587" s="288"/>
      <c r="AD587" s="286"/>
      <c r="AE587" s="288"/>
      <c r="AF587" s="286"/>
      <c r="AG587" s="288"/>
      <c r="AH587" s="286"/>
      <c r="AI587" s="288"/>
      <c r="AJ587" s="286"/>
      <c r="AK587" s="286"/>
      <c r="AL587" s="286"/>
      <c r="AM587" s="286"/>
      <c r="AN587" s="286"/>
      <c r="AO587" s="286"/>
      <c r="AP587" s="286"/>
      <c r="AQ587" s="286"/>
      <c r="AR587" s="286"/>
      <c r="AS587" s="286"/>
      <c r="AT587" s="286"/>
      <c r="AU587" s="286"/>
      <c r="AV587" s="284"/>
      <c r="AW587" s="284"/>
      <c r="AX587" s="284"/>
      <c r="AY587" s="284"/>
      <c r="AZ587" s="284"/>
      <c r="BA587" s="284"/>
      <c r="BB587" s="284"/>
      <c r="BC587" s="284"/>
      <c r="BD587" s="284"/>
      <c r="BE587" s="284"/>
      <c r="BF587" s="284"/>
      <c r="BG587" s="284"/>
      <c r="BH587" s="284"/>
      <c r="BI587" s="284"/>
      <c r="BJ587" s="284"/>
      <c r="BK587" s="284"/>
      <c r="BL587" s="284"/>
      <c r="BM587" s="284"/>
      <c r="BN587" s="284"/>
      <c r="BO587" s="284"/>
      <c r="BP587" s="284"/>
      <c r="BQ587" s="284"/>
      <c r="BR587" s="284"/>
      <c r="BS587" s="284"/>
      <c r="BT587" s="284"/>
      <c r="BU587" s="284"/>
      <c r="BV587" s="284"/>
      <c r="BW587" s="284"/>
      <c r="BX587" s="284"/>
      <c r="BY587" s="284"/>
      <c r="BZ587" s="285"/>
      <c r="CA587" s="298">
        <f>SUM(C587,E587,G587,I587,K587,M587,O587,Q587,S587,U587,W587,Y587,AA587,AC587,AE587,AG587,AI587,AK587,AM587,AO587,AQ587,AS587,AU587,AW587,AY587,BA587,BC587,BE587,BG587,BI587,BK587,BM587,BO587,BQ587,BS587,BU587,BW587,BY587)</f>
        <v>0</v>
      </c>
      <c r="CB587" s="298">
        <f>SUM(D587,F587,H587,J587,L587,N587,P587,R587,T587,V587,X587,Z587,AB587,AD587,AF587,AH587,AJ587,AL587,AN587,AP587,AR587,AT587,AV587,AX587,AZ587,BB587,BD587,BF587,BH587,BJ587,BL587,BN587,BP587,BR587,BT587,BV587,BX587,BZ587)</f>
        <v>0</v>
      </c>
      <c r="CC587" s="299">
        <f>SUM(Table13[[#This Row],[GOALS 1]:[ASSISTS 38]])</f>
        <v>0</v>
      </c>
    </row>
    <row r="588" spans="1:81">
      <c r="A588" s="291" t="s">
        <v>1843</v>
      </c>
      <c r="B588" s="291" t="s">
        <v>634</v>
      </c>
      <c r="C588" s="288"/>
      <c r="D588" s="286"/>
      <c r="E588" s="288"/>
      <c r="F588" s="286"/>
      <c r="G588" s="288"/>
      <c r="H588" s="286"/>
      <c r="I588" s="288"/>
      <c r="J588" s="286"/>
      <c r="K588" s="288"/>
      <c r="L588" s="286"/>
      <c r="M588" s="288"/>
      <c r="N588" s="286"/>
      <c r="O588" s="288"/>
      <c r="P588" s="286"/>
      <c r="Q588" s="288"/>
      <c r="R588" s="286"/>
      <c r="S588" s="288"/>
      <c r="T588" s="286"/>
      <c r="U588" s="288"/>
      <c r="V588" s="286"/>
      <c r="W588" s="288"/>
      <c r="X588" s="286"/>
      <c r="Y588" s="288"/>
      <c r="Z588" s="286"/>
      <c r="AA588" s="288"/>
      <c r="AB588" s="286"/>
      <c r="AC588" s="288"/>
      <c r="AD588" s="286"/>
      <c r="AE588" s="288"/>
      <c r="AF588" s="286"/>
      <c r="AG588" s="288"/>
      <c r="AH588" s="286"/>
      <c r="AI588" s="288"/>
      <c r="AJ588" s="286"/>
      <c r="AK588" s="286"/>
      <c r="AL588" s="286"/>
      <c r="AM588" s="286"/>
      <c r="AN588" s="286"/>
      <c r="AO588" s="286"/>
      <c r="AP588" s="286"/>
      <c r="AQ588" s="286"/>
      <c r="AR588" s="286"/>
      <c r="AS588" s="286"/>
      <c r="AT588" s="286"/>
      <c r="AU588" s="286"/>
      <c r="AV588" s="284"/>
      <c r="AW588" s="284"/>
      <c r="AX588" s="284"/>
      <c r="AY588" s="284"/>
      <c r="AZ588" s="284"/>
      <c r="BA588" s="284"/>
      <c r="BB588" s="284"/>
      <c r="BC588" s="284"/>
      <c r="BD588" s="284"/>
      <c r="BE588" s="284"/>
      <c r="BF588" s="284"/>
      <c r="BG588" s="284"/>
      <c r="BH588" s="284"/>
      <c r="BI588" s="284"/>
      <c r="BJ588" s="284"/>
      <c r="BK588" s="284"/>
      <c r="BL588" s="284"/>
      <c r="BM588" s="284"/>
      <c r="BN588" s="284"/>
      <c r="BO588" s="284"/>
      <c r="BP588" s="284"/>
      <c r="BQ588" s="284"/>
      <c r="BR588" s="284"/>
      <c r="BS588" s="284"/>
      <c r="BT588" s="284"/>
      <c r="BU588" s="284"/>
      <c r="BV588" s="284"/>
      <c r="BW588" s="284"/>
      <c r="BX588" s="284"/>
      <c r="BY588" s="284"/>
      <c r="BZ588" s="285"/>
      <c r="CA588" s="298">
        <f>SUM(C588,E588,G588,I588,K588,M588,O588,Q588,S588,U588,W588,Y588,AA588,AC588,AE588,AG588,AI588,AK588,AM588,AO588,AQ588,AS588,AU588,AW588,AY588,BA588,BC588,BE588,BG588,BI588,BK588,BM588,BO588,BQ588,BS588,BU588,BW588,BY588)</f>
        <v>0</v>
      </c>
      <c r="CB588" s="298">
        <f>SUM(D588,F588,H588,J588,L588,N588,P588,R588,T588,V588,X588,Z588,AB588,AD588,AF588,AH588,AJ588,AL588,AN588,AP588,AR588,AT588,AV588,AX588,AZ588,BB588,BD588,BF588,BH588,BJ588,BL588,BN588,BP588,BR588,BT588,BV588,BX588,BZ588)</f>
        <v>0</v>
      </c>
      <c r="CC588" s="299">
        <f>SUM(Table13[[#This Row],[GOALS 1]:[ASSISTS 38]])</f>
        <v>0</v>
      </c>
    </row>
    <row r="589" spans="1:81">
      <c r="A589" s="291" t="s">
        <v>1706</v>
      </c>
      <c r="B589" s="291" t="s">
        <v>23</v>
      </c>
      <c r="C589" s="289"/>
      <c r="D589" s="286"/>
      <c r="E589" s="288"/>
      <c r="F589" s="286"/>
      <c r="G589" s="288"/>
      <c r="H589" s="286"/>
      <c r="I589" s="288"/>
      <c r="J589" s="286"/>
      <c r="K589" s="288"/>
      <c r="L589" s="286"/>
      <c r="M589" s="288"/>
      <c r="N589" s="286"/>
      <c r="O589" s="288"/>
      <c r="P589" s="286"/>
      <c r="Q589" s="288"/>
      <c r="R589" s="286"/>
      <c r="S589" s="288"/>
      <c r="T589" s="286"/>
      <c r="U589" s="288"/>
      <c r="V589" s="286"/>
      <c r="W589" s="288"/>
      <c r="X589" s="286"/>
      <c r="Y589" s="288"/>
      <c r="Z589" s="286"/>
      <c r="AA589" s="288"/>
      <c r="AB589" s="286"/>
      <c r="AC589" s="288"/>
      <c r="AD589" s="286"/>
      <c r="AE589" s="288"/>
      <c r="AF589" s="286"/>
      <c r="AG589" s="288"/>
      <c r="AH589" s="286"/>
      <c r="AI589" s="288"/>
      <c r="AJ589" s="286"/>
      <c r="AK589" s="286"/>
      <c r="AL589" s="286"/>
      <c r="AM589" s="286"/>
      <c r="AN589" s="286"/>
      <c r="AO589" s="286"/>
      <c r="AP589" s="286"/>
      <c r="AQ589" s="286"/>
      <c r="AR589" s="286"/>
      <c r="AS589" s="286"/>
      <c r="AT589" s="286"/>
      <c r="AU589" s="286"/>
      <c r="AV589" s="284"/>
      <c r="AW589" s="284"/>
      <c r="AX589" s="284"/>
      <c r="AY589" s="284"/>
      <c r="AZ589" s="284"/>
      <c r="BA589" s="284"/>
      <c r="BB589" s="284"/>
      <c r="BC589" s="284"/>
      <c r="BD589" s="284"/>
      <c r="BE589" s="284"/>
      <c r="BF589" s="284"/>
      <c r="BG589" s="284"/>
      <c r="BH589" s="284"/>
      <c r="BI589" s="284"/>
      <c r="BJ589" s="284"/>
      <c r="BK589" s="284"/>
      <c r="BL589" s="284"/>
      <c r="BM589" s="284"/>
      <c r="BN589" s="284"/>
      <c r="BO589" s="284"/>
      <c r="BP589" s="284"/>
      <c r="BQ589" s="284"/>
      <c r="BR589" s="284"/>
      <c r="BS589" s="284"/>
      <c r="BT589" s="284"/>
      <c r="BU589" s="284"/>
      <c r="BV589" s="284"/>
      <c r="BW589" s="284"/>
      <c r="BX589" s="284"/>
      <c r="BY589" s="284"/>
      <c r="BZ589" s="285"/>
      <c r="CA589" s="298">
        <f>SUM(C589,E589,G589,I589,K589,M589,O589,Q589,S589,U589,W589,Y589,AA589,AC589,AE589,AG589,AI589,AK589,AM589,AO589,AQ589,AS589,AU589,AW589,AY589,BA589,BC589,BE589,BG589,BI589,BK589,BM589,BO589,BQ589,BS589,BU589,BW589,BY589)</f>
        <v>0</v>
      </c>
      <c r="CB589" s="298">
        <f>SUM(D589,F589,H589,J589,L589,N589,P589,R589,T589,V589,X589,Z589,AB589,AD589,AF589,AH589,AJ589,AL589,AN589,AP589,AR589,AT589,AV589,AX589,AZ589,BB589,BD589,BF589,BH589,BJ589,BL589,BN589,BP589,BR589,BT589,BV589,BX589,BZ589)</f>
        <v>0</v>
      </c>
      <c r="CC589" s="299">
        <f>SUM(Table13[[#This Row],[GOALS 1]:[ASSISTS 38]])</f>
        <v>0</v>
      </c>
    </row>
    <row r="590" spans="1:81">
      <c r="A590" s="291" t="s">
        <v>1708</v>
      </c>
      <c r="B590" s="291" t="s">
        <v>30</v>
      </c>
      <c r="C590" s="286"/>
      <c r="D590" s="286"/>
      <c r="E590" s="288"/>
      <c r="F590" s="286"/>
      <c r="G590" s="288"/>
      <c r="H590" s="286"/>
      <c r="I590" s="288"/>
      <c r="J590" s="286"/>
      <c r="K590" s="288"/>
      <c r="L590" s="286"/>
      <c r="M590" s="288"/>
      <c r="N590" s="286"/>
      <c r="O590" s="288"/>
      <c r="P590" s="286"/>
      <c r="Q590" s="288"/>
      <c r="R590" s="286"/>
      <c r="S590" s="288"/>
      <c r="T590" s="286"/>
      <c r="U590" s="288"/>
      <c r="V590" s="286"/>
      <c r="W590" s="288"/>
      <c r="X590" s="286"/>
      <c r="Y590" s="288"/>
      <c r="Z590" s="286"/>
      <c r="AA590" s="288"/>
      <c r="AB590" s="286"/>
      <c r="AC590" s="288"/>
      <c r="AD590" s="286"/>
      <c r="AE590" s="288"/>
      <c r="AF590" s="286"/>
      <c r="AG590" s="288"/>
      <c r="AH590" s="286"/>
      <c r="AI590" s="288"/>
      <c r="AJ590" s="286"/>
      <c r="AK590" s="286"/>
      <c r="AL590" s="286"/>
      <c r="AM590" s="286"/>
      <c r="AN590" s="286"/>
      <c r="AO590" s="286"/>
      <c r="AP590" s="286"/>
      <c r="AQ590" s="286"/>
      <c r="AR590" s="286"/>
      <c r="AS590" s="286"/>
      <c r="AT590" s="286"/>
      <c r="AU590" s="286"/>
      <c r="AV590" s="284"/>
      <c r="AW590" s="284"/>
      <c r="AX590" s="284"/>
      <c r="AY590" s="284"/>
      <c r="AZ590" s="284"/>
      <c r="BA590" s="284"/>
      <c r="BB590" s="284"/>
      <c r="BC590" s="284"/>
      <c r="BD590" s="284"/>
      <c r="BE590" s="284"/>
      <c r="BF590" s="284"/>
      <c r="BG590" s="284"/>
      <c r="BH590" s="284"/>
      <c r="BI590" s="284"/>
      <c r="BJ590" s="284"/>
      <c r="BK590" s="284"/>
      <c r="BL590" s="284"/>
      <c r="BM590" s="284"/>
      <c r="BN590" s="284"/>
      <c r="BO590" s="284"/>
      <c r="BP590" s="284"/>
      <c r="BQ590" s="284"/>
      <c r="BR590" s="284"/>
      <c r="BS590" s="284"/>
      <c r="BT590" s="284"/>
      <c r="BU590" s="284"/>
      <c r="BV590" s="284"/>
      <c r="BW590" s="284"/>
      <c r="BX590" s="284"/>
      <c r="BY590" s="284"/>
      <c r="BZ590" s="285"/>
      <c r="CA590" s="298">
        <f>SUM(C590,E590,G590,I590,K590,M590,O590,Q590,S590,U590,W590,Y590,AA590,AC590,AE590,AG590,AI590,AK590,AM590,AO590,AQ590,AS590,AU590,AW590,AY590,BA590,BC590,BE590,BG590,BI590,BK590,BM590,BO590,BQ590,BS590,BU590,BW590,BY590)</f>
        <v>0</v>
      </c>
      <c r="CB590" s="298">
        <f>SUM(D590,F590,H590,J590,L590,N590,P590,R590,T590,V590,X590,Z590,AB590,AD590,AF590,AH590,AJ590,AL590,AN590,AP590,AR590,AT590,AV590,AX590,AZ590,BB590,BD590,BF590,BH590,BJ590,BL590,BN590,BP590,BR590,BT590,BV590,BX590,BZ590)</f>
        <v>0</v>
      </c>
      <c r="CC590" s="299">
        <f>SUM(Table13[[#This Row],[GOALS 1]:[ASSISTS 38]])</f>
        <v>0</v>
      </c>
    </row>
    <row r="591" spans="1:81">
      <c r="A591" s="291" t="s">
        <v>1574</v>
      </c>
      <c r="B591" s="291" t="s">
        <v>23</v>
      </c>
      <c r="C591" s="289"/>
      <c r="D591" s="286"/>
      <c r="E591" s="288"/>
      <c r="F591" s="286"/>
      <c r="G591" s="288"/>
      <c r="H591" s="286"/>
      <c r="I591" s="288"/>
      <c r="J591" s="286"/>
      <c r="K591" s="288"/>
      <c r="L591" s="286"/>
      <c r="M591" s="288"/>
      <c r="N591" s="286"/>
      <c r="O591" s="288"/>
      <c r="P591" s="286"/>
      <c r="Q591" s="288"/>
      <c r="R591" s="286"/>
      <c r="S591" s="288"/>
      <c r="T591" s="286"/>
      <c r="U591" s="288"/>
      <c r="V591" s="286"/>
      <c r="W591" s="288"/>
      <c r="X591" s="286"/>
      <c r="Y591" s="288"/>
      <c r="Z591" s="286"/>
      <c r="AA591" s="288"/>
      <c r="AB591" s="286"/>
      <c r="AC591" s="288"/>
      <c r="AD591" s="286"/>
      <c r="AE591" s="288"/>
      <c r="AF591" s="286"/>
      <c r="AG591" s="288"/>
      <c r="AH591" s="286"/>
      <c r="AI591" s="288"/>
      <c r="AJ591" s="286"/>
      <c r="AK591" s="286"/>
      <c r="AL591" s="286"/>
      <c r="AM591" s="286"/>
      <c r="AN591" s="286"/>
      <c r="AO591" s="286"/>
      <c r="AP591" s="286"/>
      <c r="AQ591" s="286"/>
      <c r="AR591" s="286"/>
      <c r="AS591" s="286"/>
      <c r="AT591" s="286"/>
      <c r="AU591" s="286"/>
      <c r="AV591" s="284"/>
      <c r="AW591" s="284"/>
      <c r="AX591" s="284"/>
      <c r="AY591" s="284"/>
      <c r="AZ591" s="284"/>
      <c r="BA591" s="284"/>
      <c r="BB591" s="284"/>
      <c r="BC591" s="284"/>
      <c r="BD591" s="284"/>
      <c r="BE591" s="284"/>
      <c r="BF591" s="284"/>
      <c r="BG591" s="284"/>
      <c r="BH591" s="284"/>
      <c r="BI591" s="284"/>
      <c r="BJ591" s="284"/>
      <c r="BK591" s="284"/>
      <c r="BL591" s="284"/>
      <c r="BM591" s="284"/>
      <c r="BN591" s="284"/>
      <c r="BO591" s="284"/>
      <c r="BP591" s="284"/>
      <c r="BQ591" s="284"/>
      <c r="BR591" s="284"/>
      <c r="BS591" s="284"/>
      <c r="BT591" s="284"/>
      <c r="BU591" s="284"/>
      <c r="BV591" s="284"/>
      <c r="BW591" s="284"/>
      <c r="BX591" s="284"/>
      <c r="BY591" s="284"/>
      <c r="BZ591" s="285"/>
      <c r="CA591" s="298">
        <f>SUM(C591,E591,G591,I591,K591,M591,O591,Q591,S591,U591,W591,Y591,AA591,AC591,AE591,AG591,AI591,AK591,AM591,AO591,AQ591,AS591,AU591,AW591,AY591,BA591,BC591,BE591,BG591,BI591,BK591,BM591,BO591,BQ591,BS591,BU591,BW591,BY591)</f>
        <v>0</v>
      </c>
      <c r="CB591" s="298">
        <f>SUM(D591,F591,H591,J591,L591,N591,P591,R591,T591,V591,X591,Z591,AB591,AD591,AF591,AH591,AJ591,AL591,AN591,AP591,AR591,AT591,AV591,AX591,AZ591,BB591,BD591,BF591,BH591,BJ591,BL591,BN591,BP591,BR591,BT591,BV591,BX591,BZ591)</f>
        <v>0</v>
      </c>
      <c r="CC591" s="299">
        <f>SUM(Table13[[#This Row],[GOALS 1]:[ASSISTS 38]])</f>
        <v>0</v>
      </c>
    </row>
    <row r="592" spans="1:81">
      <c r="A592" s="291" t="s">
        <v>1673</v>
      </c>
      <c r="B592" s="291" t="s">
        <v>51</v>
      </c>
      <c r="C592" s="286"/>
      <c r="D592" s="286"/>
      <c r="E592" s="288"/>
      <c r="F592" s="286"/>
      <c r="G592" s="288"/>
      <c r="H592" s="286"/>
      <c r="I592" s="288"/>
      <c r="J592" s="286"/>
      <c r="K592" s="288"/>
      <c r="L592" s="286"/>
      <c r="M592" s="288"/>
      <c r="N592" s="286"/>
      <c r="O592" s="288"/>
      <c r="P592" s="286"/>
      <c r="Q592" s="288"/>
      <c r="R592" s="286"/>
      <c r="S592" s="288"/>
      <c r="T592" s="286"/>
      <c r="U592" s="288"/>
      <c r="V592" s="286"/>
      <c r="W592" s="288"/>
      <c r="X592" s="286"/>
      <c r="Y592" s="288"/>
      <c r="Z592" s="286"/>
      <c r="AA592" s="288"/>
      <c r="AB592" s="286"/>
      <c r="AC592" s="288"/>
      <c r="AD592" s="286"/>
      <c r="AE592" s="288"/>
      <c r="AF592" s="286"/>
      <c r="AG592" s="288"/>
      <c r="AH592" s="286"/>
      <c r="AI592" s="288"/>
      <c r="AJ592" s="286"/>
      <c r="AK592" s="286"/>
      <c r="AL592" s="286"/>
      <c r="AM592" s="286"/>
      <c r="AN592" s="286"/>
      <c r="AO592" s="286"/>
      <c r="AP592" s="286"/>
      <c r="AQ592" s="286"/>
      <c r="AR592" s="286"/>
      <c r="AS592" s="286"/>
      <c r="AT592" s="286"/>
      <c r="AU592" s="286"/>
      <c r="AV592" s="284"/>
      <c r="AW592" s="284"/>
      <c r="AX592" s="284"/>
      <c r="AY592" s="284"/>
      <c r="AZ592" s="284"/>
      <c r="BA592" s="284"/>
      <c r="BB592" s="284"/>
      <c r="BC592" s="284"/>
      <c r="BD592" s="284"/>
      <c r="BE592" s="284"/>
      <c r="BF592" s="284"/>
      <c r="BG592" s="284"/>
      <c r="BH592" s="284"/>
      <c r="BI592" s="284"/>
      <c r="BJ592" s="284"/>
      <c r="BK592" s="284"/>
      <c r="BL592" s="284"/>
      <c r="BM592" s="284"/>
      <c r="BN592" s="284"/>
      <c r="BO592" s="284"/>
      <c r="BP592" s="284"/>
      <c r="BQ592" s="284"/>
      <c r="BR592" s="284"/>
      <c r="BS592" s="284"/>
      <c r="BT592" s="284"/>
      <c r="BU592" s="284"/>
      <c r="BV592" s="284"/>
      <c r="BW592" s="284"/>
      <c r="BX592" s="284"/>
      <c r="BY592" s="284"/>
      <c r="BZ592" s="285"/>
      <c r="CA592" s="298">
        <f>SUM(C592,E592,G592,I592,K592,M592,O592,Q592,S592,U592,W592,Y592,AA592,AC592,AE592,AG592,AI592,AK592,AM592,AO592,AQ592,AS592,AU592,AW592,AY592,BA592,BC592,BE592,BG592,BI592,BK592,BM592,BO592,BQ592,BS592,BU592,BW592,BY592)</f>
        <v>0</v>
      </c>
      <c r="CB592" s="298">
        <f>SUM(D592,F592,H592,J592,L592,N592,P592,R592,T592,V592,X592,Z592,AB592,AD592,AF592,AH592,AJ592,AL592,AN592,AP592,AR592,AT592,AV592,AX592,AZ592,BB592,BD592,BF592,BH592,BJ592,BL592,BN592,BP592,BR592,BT592,BV592,BX592,BZ592)</f>
        <v>0</v>
      </c>
      <c r="CC592" s="299">
        <f>SUM(Table13[[#This Row],[GOALS 1]:[ASSISTS 38]])</f>
        <v>0</v>
      </c>
    </row>
    <row r="593" spans="1:81">
      <c r="A593" s="291" t="s">
        <v>1827</v>
      </c>
      <c r="B593" s="291" t="s">
        <v>30</v>
      </c>
      <c r="C593" s="286"/>
      <c r="D593" s="286"/>
      <c r="E593" s="288"/>
      <c r="F593" s="286"/>
      <c r="G593" s="288"/>
      <c r="H593" s="286"/>
      <c r="I593" s="288"/>
      <c r="J593" s="286"/>
      <c r="K593" s="288"/>
      <c r="L593" s="286"/>
      <c r="M593" s="288"/>
      <c r="N593" s="286"/>
      <c r="O593" s="288"/>
      <c r="P593" s="286"/>
      <c r="Q593" s="288"/>
      <c r="R593" s="286"/>
      <c r="S593" s="288"/>
      <c r="T593" s="286"/>
      <c r="U593" s="288"/>
      <c r="V593" s="286"/>
      <c r="W593" s="288"/>
      <c r="X593" s="286"/>
      <c r="Y593" s="288"/>
      <c r="Z593" s="286"/>
      <c r="AA593" s="288"/>
      <c r="AB593" s="286"/>
      <c r="AC593" s="288"/>
      <c r="AD593" s="286"/>
      <c r="AE593" s="288"/>
      <c r="AF593" s="286"/>
      <c r="AG593" s="288"/>
      <c r="AH593" s="286"/>
      <c r="AI593" s="288"/>
      <c r="AJ593" s="286"/>
      <c r="AK593" s="286"/>
      <c r="AL593" s="286"/>
      <c r="AM593" s="286"/>
      <c r="AN593" s="286"/>
      <c r="AO593" s="286"/>
      <c r="AP593" s="286"/>
      <c r="AQ593" s="286"/>
      <c r="AR593" s="286"/>
      <c r="AS593" s="286"/>
      <c r="AT593" s="286"/>
      <c r="AU593" s="286"/>
      <c r="AV593" s="284"/>
      <c r="AW593" s="284"/>
      <c r="AX593" s="284"/>
      <c r="AY593" s="284"/>
      <c r="AZ593" s="284"/>
      <c r="BA593" s="284"/>
      <c r="BB593" s="284"/>
      <c r="BC593" s="284"/>
      <c r="BD593" s="284"/>
      <c r="BE593" s="284"/>
      <c r="BF593" s="284"/>
      <c r="BG593" s="284"/>
      <c r="BH593" s="284"/>
      <c r="BI593" s="284"/>
      <c r="BJ593" s="284"/>
      <c r="BK593" s="284"/>
      <c r="BL593" s="284"/>
      <c r="BM593" s="284"/>
      <c r="BN593" s="284"/>
      <c r="BO593" s="284"/>
      <c r="BP593" s="284"/>
      <c r="BQ593" s="284"/>
      <c r="BR593" s="284"/>
      <c r="BS593" s="284"/>
      <c r="BT593" s="284"/>
      <c r="BU593" s="284"/>
      <c r="BV593" s="284"/>
      <c r="BW593" s="284"/>
      <c r="BX593" s="284"/>
      <c r="BY593" s="284"/>
      <c r="BZ593" s="285"/>
      <c r="CA593" s="298">
        <f>SUM(C593,E593,G593,I593,K593,M593,O593,Q593,S593,U593,W593,Y593,AA593,AC593,AE593,AG593,AI593,AK593,AM593,AO593,AQ593,AS593,AU593,AW593,AY593,BA593,BC593,BE593,BG593,BI593,BK593,BM593,BO593,BQ593,BS593,BU593,BW593,BY593)</f>
        <v>0</v>
      </c>
      <c r="CB593" s="298">
        <f>SUM(D593,F593,H593,J593,L593,N593,P593,R593,T593,V593,X593,Z593,AB593,AD593,AF593,AH593,AJ593,AL593,AN593,AP593,AR593,AT593,AV593,AX593,AZ593,BB593,BD593,BF593,BH593,BJ593,BL593,BN593,BP593,BR593,BT593,BV593,BX593,BZ593)</f>
        <v>0</v>
      </c>
      <c r="CC593" s="299">
        <f>SUM(Table13[[#This Row],[GOALS 1]:[ASSISTS 38]])</f>
        <v>0</v>
      </c>
    </row>
    <row r="594" spans="1:81">
      <c r="A594" s="291" t="s">
        <v>1799</v>
      </c>
      <c r="B594" s="291" t="s">
        <v>24</v>
      </c>
      <c r="C594" s="286"/>
      <c r="D594" s="286"/>
      <c r="E594" s="288"/>
      <c r="F594" s="286"/>
      <c r="G594" s="288"/>
      <c r="H594" s="286"/>
      <c r="I594" s="288"/>
      <c r="J594" s="286"/>
      <c r="K594" s="288"/>
      <c r="L594" s="286"/>
      <c r="M594" s="288"/>
      <c r="N594" s="286"/>
      <c r="O594" s="288"/>
      <c r="P594" s="286"/>
      <c r="Q594" s="288"/>
      <c r="R594" s="286"/>
      <c r="S594" s="288"/>
      <c r="T594" s="286"/>
      <c r="U594" s="288"/>
      <c r="V594" s="286"/>
      <c r="W594" s="288"/>
      <c r="X594" s="286"/>
      <c r="Y594" s="288"/>
      <c r="Z594" s="286"/>
      <c r="AA594" s="288"/>
      <c r="AB594" s="286"/>
      <c r="AC594" s="288"/>
      <c r="AD594" s="286"/>
      <c r="AE594" s="288"/>
      <c r="AF594" s="286"/>
      <c r="AG594" s="288"/>
      <c r="AH594" s="286"/>
      <c r="AI594" s="288"/>
      <c r="AJ594" s="286"/>
      <c r="AK594" s="286"/>
      <c r="AL594" s="286"/>
      <c r="AM594" s="286"/>
      <c r="AN594" s="286"/>
      <c r="AO594" s="286"/>
      <c r="AP594" s="286"/>
      <c r="AQ594" s="286"/>
      <c r="AR594" s="286"/>
      <c r="AS594" s="286"/>
      <c r="AT594" s="286"/>
      <c r="AU594" s="286"/>
      <c r="AV594" s="284"/>
      <c r="AW594" s="284"/>
      <c r="AX594" s="284"/>
      <c r="AY594" s="284"/>
      <c r="AZ594" s="284"/>
      <c r="BA594" s="284"/>
      <c r="BB594" s="284"/>
      <c r="BC594" s="284"/>
      <c r="BD594" s="284"/>
      <c r="BE594" s="284"/>
      <c r="BF594" s="284"/>
      <c r="BG594" s="284"/>
      <c r="BH594" s="284"/>
      <c r="BI594" s="284"/>
      <c r="BJ594" s="284"/>
      <c r="BK594" s="284"/>
      <c r="BL594" s="284"/>
      <c r="BM594" s="284"/>
      <c r="BN594" s="284"/>
      <c r="BO594" s="284"/>
      <c r="BP594" s="284"/>
      <c r="BQ594" s="284"/>
      <c r="BR594" s="284"/>
      <c r="BS594" s="284"/>
      <c r="BT594" s="284"/>
      <c r="BU594" s="284"/>
      <c r="BV594" s="284"/>
      <c r="BW594" s="284"/>
      <c r="BX594" s="284"/>
      <c r="BY594" s="284"/>
      <c r="BZ594" s="285"/>
      <c r="CA594" s="298">
        <f>SUM(C594,E594,G594,I594,K594,M594,O594,Q594,S594,U594,W594,Y594,AA594,AC594,AE594,AG594,AI594,AK594,AM594,AO594,AQ594,AS594,AU594,AW594,AY594,BA594,BC594,BE594,BG594,BI594,BK594,BM594,BO594,BQ594,BS594,BU594,BW594,BY594)</f>
        <v>0</v>
      </c>
      <c r="CB594" s="298">
        <f>SUM(D594,F594,H594,J594,L594,N594,P594,R594,T594,V594,X594,Z594,AB594,AD594,AF594,AH594,AJ594,AL594,AN594,AP594,AR594,AT594,AV594,AX594,AZ594,BB594,BD594,BF594,BH594,BJ594,BL594,BN594,BP594,BR594,BT594,BV594,BX594,BZ594)</f>
        <v>0</v>
      </c>
      <c r="CC594" s="299">
        <f>SUM(Table13[[#This Row],[GOALS 1]:[ASSISTS 38]])</f>
        <v>0</v>
      </c>
    </row>
    <row r="595" spans="1:81">
      <c r="A595" s="291" t="s">
        <v>1837</v>
      </c>
      <c r="B595" s="291" t="s">
        <v>33</v>
      </c>
      <c r="C595" s="289"/>
      <c r="D595" s="286"/>
      <c r="E595" s="288"/>
      <c r="F595" s="286"/>
      <c r="G595" s="288"/>
      <c r="H595" s="286"/>
      <c r="I595" s="288"/>
      <c r="J595" s="286"/>
      <c r="K595" s="288"/>
      <c r="L595" s="286"/>
      <c r="M595" s="288"/>
      <c r="N595" s="286"/>
      <c r="O595" s="288"/>
      <c r="P595" s="286"/>
      <c r="Q595" s="288"/>
      <c r="R595" s="286"/>
      <c r="S595" s="288"/>
      <c r="T595" s="286"/>
      <c r="U595" s="288"/>
      <c r="V595" s="286"/>
      <c r="W595" s="288"/>
      <c r="X595" s="286"/>
      <c r="Y595" s="288"/>
      <c r="Z595" s="286"/>
      <c r="AA595" s="288"/>
      <c r="AB595" s="286"/>
      <c r="AC595" s="288"/>
      <c r="AD595" s="286"/>
      <c r="AE595" s="288"/>
      <c r="AF595" s="286"/>
      <c r="AG595" s="288"/>
      <c r="AH595" s="286"/>
      <c r="AI595" s="288"/>
      <c r="AJ595" s="286"/>
      <c r="AK595" s="286"/>
      <c r="AL595" s="286"/>
      <c r="AM595" s="286"/>
      <c r="AN595" s="286"/>
      <c r="AO595" s="286"/>
      <c r="AP595" s="286"/>
      <c r="AQ595" s="286"/>
      <c r="AR595" s="286"/>
      <c r="AS595" s="286"/>
      <c r="AT595" s="286"/>
      <c r="AU595" s="286"/>
      <c r="AV595" s="284"/>
      <c r="AW595" s="284"/>
      <c r="AX595" s="284"/>
      <c r="AY595" s="284"/>
      <c r="AZ595" s="284"/>
      <c r="BA595" s="284"/>
      <c r="BB595" s="284"/>
      <c r="BC595" s="284"/>
      <c r="BD595" s="284"/>
      <c r="BE595" s="284"/>
      <c r="BF595" s="284"/>
      <c r="BG595" s="284"/>
      <c r="BH595" s="284"/>
      <c r="BI595" s="284"/>
      <c r="BJ595" s="284"/>
      <c r="BK595" s="284"/>
      <c r="BL595" s="284"/>
      <c r="BM595" s="284"/>
      <c r="BN595" s="284"/>
      <c r="BO595" s="284"/>
      <c r="BP595" s="284"/>
      <c r="BQ595" s="284"/>
      <c r="BR595" s="284"/>
      <c r="BS595" s="284"/>
      <c r="BT595" s="284"/>
      <c r="BU595" s="284"/>
      <c r="BV595" s="284"/>
      <c r="BW595" s="284"/>
      <c r="BX595" s="284"/>
      <c r="BY595" s="284"/>
      <c r="BZ595" s="285"/>
      <c r="CA595" s="298">
        <f>SUM(C595,E595,G595,I595,K595,M595,O595,Q595,S595,U595,W595,Y595,AA595,AC595,AE595,AG595,AI595,AK595,AM595,AO595,AQ595,AS595,AU595,AW595,AY595,BA595,BC595,BE595,BG595,BI595,BK595,BM595,BO595,BQ595,BS595,BU595,BW595,BY595)</f>
        <v>0</v>
      </c>
      <c r="CB595" s="298">
        <f>SUM(D595,F595,H595,J595,L595,N595,P595,R595,T595,V595,X595,Z595,AB595,AD595,AF595,AH595,AJ595,AL595,AN595,AP595,AR595,AT595,AV595,AX595,AZ595,BB595,BD595,BF595,BH595,BJ595,BL595,BN595,BP595,BR595,BT595,BV595,BX595,BZ595)</f>
        <v>0</v>
      </c>
      <c r="CC595" s="299">
        <f>SUM(Table13[[#This Row],[GOALS 1]:[ASSISTS 38]])</f>
        <v>0</v>
      </c>
    </row>
    <row r="596" spans="1:81">
      <c r="A596" s="291" t="s">
        <v>1599</v>
      </c>
      <c r="B596" s="291" t="s">
        <v>33</v>
      </c>
      <c r="C596" s="289"/>
      <c r="D596" s="286"/>
      <c r="E596" s="288"/>
      <c r="F596" s="286"/>
      <c r="G596" s="288"/>
      <c r="H596" s="286"/>
      <c r="I596" s="288"/>
      <c r="J596" s="286"/>
      <c r="K596" s="288"/>
      <c r="L596" s="286"/>
      <c r="M596" s="288"/>
      <c r="N596" s="286"/>
      <c r="O596" s="288"/>
      <c r="P596" s="286"/>
      <c r="Q596" s="288"/>
      <c r="R596" s="286"/>
      <c r="S596" s="288"/>
      <c r="T596" s="286"/>
      <c r="U596" s="288"/>
      <c r="V596" s="286"/>
      <c r="W596" s="288"/>
      <c r="X596" s="286"/>
      <c r="Y596" s="288"/>
      <c r="Z596" s="286"/>
      <c r="AA596" s="288"/>
      <c r="AB596" s="286"/>
      <c r="AC596" s="288"/>
      <c r="AD596" s="286"/>
      <c r="AE596" s="288"/>
      <c r="AF596" s="286"/>
      <c r="AG596" s="288"/>
      <c r="AH596" s="286"/>
      <c r="AI596" s="288"/>
      <c r="AJ596" s="286"/>
      <c r="AK596" s="286"/>
      <c r="AL596" s="286"/>
      <c r="AM596" s="286"/>
      <c r="AN596" s="286"/>
      <c r="AO596" s="286"/>
      <c r="AP596" s="286"/>
      <c r="AQ596" s="286"/>
      <c r="AR596" s="286"/>
      <c r="AS596" s="286"/>
      <c r="AT596" s="286"/>
      <c r="AU596" s="286"/>
      <c r="AV596" s="284"/>
      <c r="AW596" s="284"/>
      <c r="AX596" s="284"/>
      <c r="AY596" s="284"/>
      <c r="AZ596" s="284"/>
      <c r="BA596" s="284"/>
      <c r="BB596" s="284"/>
      <c r="BC596" s="284"/>
      <c r="BD596" s="284"/>
      <c r="BE596" s="284"/>
      <c r="BF596" s="284"/>
      <c r="BG596" s="284"/>
      <c r="BH596" s="284"/>
      <c r="BI596" s="284"/>
      <c r="BJ596" s="284"/>
      <c r="BK596" s="284"/>
      <c r="BL596" s="284"/>
      <c r="BM596" s="284"/>
      <c r="BN596" s="284"/>
      <c r="BO596" s="284"/>
      <c r="BP596" s="284"/>
      <c r="BQ596" s="284"/>
      <c r="BR596" s="284"/>
      <c r="BS596" s="284"/>
      <c r="BT596" s="284"/>
      <c r="BU596" s="284"/>
      <c r="BV596" s="284"/>
      <c r="BW596" s="284"/>
      <c r="BX596" s="284"/>
      <c r="BY596" s="284"/>
      <c r="BZ596" s="285"/>
      <c r="CA596" s="298">
        <f>SUM(C596,E596,G596,I596,K596,M596,O596,Q596,S596,U596,W596,Y596,AA596,AC596,AE596,AG596,AI596,AK596,AM596,AO596,AQ596,AS596,AU596,AW596,AY596,BA596,BC596,BE596,BG596,BI596,BK596,BM596,BO596,BQ596,BS596,BU596,BW596,BY596)</f>
        <v>0</v>
      </c>
      <c r="CB596" s="298">
        <f>SUM(D596,F596,H596,J596,L596,N596,P596,R596,T596,V596,X596,Z596,AB596,AD596,AF596,AH596,AJ596,AL596,AN596,AP596,AR596,AT596,AV596,AX596,AZ596,BB596,BD596,BF596,BH596,BJ596,BL596,BN596,BP596,BR596,BT596,BV596,BX596,BZ596)</f>
        <v>0</v>
      </c>
      <c r="CC596" s="299">
        <f>SUM(Table13[[#This Row],[GOALS 1]:[ASSISTS 38]])</f>
        <v>0</v>
      </c>
    </row>
    <row r="597" spans="1:81">
      <c r="A597" s="291" t="s">
        <v>1363</v>
      </c>
      <c r="B597" s="291" t="s">
        <v>27</v>
      </c>
      <c r="C597" s="286"/>
      <c r="D597" s="286"/>
      <c r="E597" s="289"/>
      <c r="F597" s="286"/>
      <c r="G597" s="288"/>
      <c r="H597" s="286"/>
      <c r="I597" s="288"/>
      <c r="J597" s="286"/>
      <c r="K597" s="288"/>
      <c r="L597" s="286"/>
      <c r="M597" s="288"/>
      <c r="N597" s="286"/>
      <c r="O597" s="288"/>
      <c r="P597" s="286"/>
      <c r="Q597" s="288"/>
      <c r="R597" s="286"/>
      <c r="S597" s="288"/>
      <c r="T597" s="286"/>
      <c r="U597" s="288"/>
      <c r="V597" s="286"/>
      <c r="W597" s="288"/>
      <c r="X597" s="286"/>
      <c r="Y597" s="288"/>
      <c r="Z597" s="286"/>
      <c r="AA597" s="288"/>
      <c r="AB597" s="286"/>
      <c r="AC597" s="288"/>
      <c r="AD597" s="286"/>
      <c r="AE597" s="288"/>
      <c r="AF597" s="286"/>
      <c r="AG597" s="288"/>
      <c r="AH597" s="286"/>
      <c r="AI597" s="288"/>
      <c r="AJ597" s="286"/>
      <c r="AK597" s="286"/>
      <c r="AL597" s="286"/>
      <c r="AM597" s="286"/>
      <c r="AN597" s="286"/>
      <c r="AO597" s="286"/>
      <c r="AP597" s="286"/>
      <c r="AQ597" s="286"/>
      <c r="AR597" s="286"/>
      <c r="AS597" s="286"/>
      <c r="AT597" s="286"/>
      <c r="AU597" s="286"/>
      <c r="AV597" s="284"/>
      <c r="AW597" s="284"/>
      <c r="AX597" s="284"/>
      <c r="AY597" s="284"/>
      <c r="AZ597" s="284"/>
      <c r="BA597" s="284"/>
      <c r="BB597" s="284"/>
      <c r="BC597" s="284"/>
      <c r="BD597" s="284"/>
      <c r="BE597" s="284"/>
      <c r="BF597" s="284"/>
      <c r="BG597" s="284"/>
      <c r="BH597" s="284"/>
      <c r="BI597" s="284"/>
      <c r="BJ597" s="284"/>
      <c r="BK597" s="284"/>
      <c r="BL597" s="284"/>
      <c r="BM597" s="284"/>
      <c r="BN597" s="284"/>
      <c r="BO597" s="284"/>
      <c r="BP597" s="284"/>
      <c r="BQ597" s="284"/>
      <c r="BR597" s="284"/>
      <c r="BS597" s="284"/>
      <c r="BT597" s="284"/>
      <c r="BU597" s="284"/>
      <c r="BV597" s="284"/>
      <c r="BW597" s="284"/>
      <c r="BX597" s="284"/>
      <c r="BY597" s="284"/>
      <c r="BZ597" s="285"/>
      <c r="CA597" s="298">
        <f>SUM(C597,E597,G597,I597,K597,M597,O597,Q597,S597,U597,W597,Y597,AA597,AC597,AE597,AG597,AI597,AK597,AM597,AO597,AQ597,AS597,AU597,AW597,AY597,BA597,BC597,BE597,BG597,BI597,BK597,BM597,BO597,BQ597,BS597,BU597,BW597,BY597)</f>
        <v>0</v>
      </c>
      <c r="CB597" s="298">
        <f>SUM(D597,F597,H597,J597,L597,N597,P597,R597,T597,V597,X597,Z597,AB597,AD597,AF597,AH597,AJ597,AL597,AN597,AP597,AR597,AT597,AV597,AX597,AZ597,BB597,BD597,BF597,BH597,BJ597,BL597,BN597,BP597,BR597,BT597,BV597,BX597,BZ597)</f>
        <v>0</v>
      </c>
      <c r="CC597" s="299">
        <f>SUM(Table13[[#This Row],[GOALS 1]:[ASSISTS 38]])</f>
        <v>0</v>
      </c>
    </row>
    <row r="598" spans="1:81">
      <c r="A598" s="291" t="s">
        <v>1660</v>
      </c>
      <c r="B598" s="291" t="s">
        <v>28</v>
      </c>
      <c r="C598" s="286"/>
      <c r="D598" s="286"/>
      <c r="E598" s="288"/>
      <c r="F598" s="286"/>
      <c r="G598" s="288"/>
      <c r="H598" s="286"/>
      <c r="I598" s="288"/>
      <c r="J598" s="286"/>
      <c r="K598" s="288"/>
      <c r="L598" s="286"/>
      <c r="M598" s="288"/>
      <c r="N598" s="286"/>
      <c r="O598" s="288"/>
      <c r="P598" s="286"/>
      <c r="Q598" s="288"/>
      <c r="R598" s="286"/>
      <c r="S598" s="288"/>
      <c r="T598" s="286"/>
      <c r="U598" s="288"/>
      <c r="V598" s="286"/>
      <c r="W598" s="288"/>
      <c r="X598" s="286"/>
      <c r="Y598" s="288"/>
      <c r="Z598" s="286"/>
      <c r="AA598" s="288"/>
      <c r="AB598" s="286"/>
      <c r="AC598" s="288"/>
      <c r="AD598" s="286"/>
      <c r="AE598" s="288"/>
      <c r="AF598" s="286"/>
      <c r="AG598" s="288"/>
      <c r="AH598" s="286"/>
      <c r="AI598" s="288"/>
      <c r="AJ598" s="286"/>
      <c r="AK598" s="286"/>
      <c r="AL598" s="286"/>
      <c r="AM598" s="286"/>
      <c r="AN598" s="286"/>
      <c r="AO598" s="286"/>
      <c r="AP598" s="286"/>
      <c r="AQ598" s="286"/>
      <c r="AR598" s="286"/>
      <c r="AS598" s="286"/>
      <c r="AT598" s="286"/>
      <c r="AU598" s="286"/>
      <c r="AV598" s="284"/>
      <c r="AW598" s="284"/>
      <c r="AX598" s="284"/>
      <c r="AY598" s="284"/>
      <c r="AZ598" s="284"/>
      <c r="BA598" s="284"/>
      <c r="BB598" s="284"/>
      <c r="BC598" s="284"/>
      <c r="BD598" s="284"/>
      <c r="BE598" s="284"/>
      <c r="BF598" s="284"/>
      <c r="BG598" s="284"/>
      <c r="BH598" s="284"/>
      <c r="BI598" s="284"/>
      <c r="BJ598" s="284"/>
      <c r="BK598" s="284"/>
      <c r="BL598" s="284"/>
      <c r="BM598" s="284"/>
      <c r="BN598" s="284"/>
      <c r="BO598" s="284"/>
      <c r="BP598" s="284"/>
      <c r="BQ598" s="284"/>
      <c r="BR598" s="284"/>
      <c r="BS598" s="284"/>
      <c r="BT598" s="284"/>
      <c r="BU598" s="284"/>
      <c r="BV598" s="284"/>
      <c r="BW598" s="284"/>
      <c r="BX598" s="284"/>
      <c r="BY598" s="284"/>
      <c r="BZ598" s="285"/>
      <c r="CA598" s="298">
        <f>SUM(C598,E598,G598,I598,K598,M598,O598,Q598,S598,U598,W598,Y598,AA598,AC598,AE598,AG598,AI598,AK598,AM598,AO598,AQ598,AS598,AU598,AW598,AY598,BA598,BC598,BE598,BG598,BI598,BK598,BM598,BO598,BQ598,BS598,BU598,BW598,BY598)</f>
        <v>0</v>
      </c>
      <c r="CB598" s="298">
        <f>SUM(D598,F598,H598,J598,L598,N598,P598,R598,T598,V598,X598,Z598,AB598,AD598,AF598,AH598,AJ598,AL598,AN598,AP598,AR598,AT598,AV598,AX598,AZ598,BB598,BD598,BF598,BH598,BJ598,BL598,BN598,BP598,BR598,BT598,BV598,BX598,BZ598)</f>
        <v>0</v>
      </c>
      <c r="CC598" s="299">
        <f>SUM(Table13[[#This Row],[GOALS 1]:[ASSISTS 38]])</f>
        <v>0</v>
      </c>
    </row>
    <row r="599" spans="1:81">
      <c r="A599" s="291" t="s">
        <v>1714</v>
      </c>
      <c r="B599" s="291" t="s">
        <v>634</v>
      </c>
      <c r="C599" s="288"/>
      <c r="D599" s="286"/>
      <c r="E599" s="288"/>
      <c r="F599" s="286"/>
      <c r="G599" s="288"/>
      <c r="H599" s="286"/>
      <c r="I599" s="288"/>
      <c r="J599" s="286"/>
      <c r="K599" s="288"/>
      <c r="L599" s="286"/>
      <c r="M599" s="288"/>
      <c r="N599" s="286"/>
      <c r="O599" s="288"/>
      <c r="P599" s="286"/>
      <c r="Q599" s="288"/>
      <c r="R599" s="286"/>
      <c r="S599" s="288"/>
      <c r="T599" s="286"/>
      <c r="U599" s="288"/>
      <c r="V599" s="286"/>
      <c r="W599" s="288"/>
      <c r="X599" s="286"/>
      <c r="Y599" s="288"/>
      <c r="Z599" s="286"/>
      <c r="AA599" s="288"/>
      <c r="AB599" s="286"/>
      <c r="AC599" s="288"/>
      <c r="AD599" s="286"/>
      <c r="AE599" s="288"/>
      <c r="AF599" s="286"/>
      <c r="AG599" s="288"/>
      <c r="AH599" s="286"/>
      <c r="AI599" s="288"/>
      <c r="AJ599" s="286"/>
      <c r="AK599" s="286"/>
      <c r="AL599" s="286"/>
      <c r="AM599" s="286"/>
      <c r="AN599" s="286"/>
      <c r="AO599" s="286"/>
      <c r="AP599" s="286"/>
      <c r="AQ599" s="286"/>
      <c r="AR599" s="286"/>
      <c r="AS599" s="286"/>
      <c r="AT599" s="286"/>
      <c r="AU599" s="286"/>
      <c r="AV599" s="284"/>
      <c r="AW599" s="284"/>
      <c r="AX599" s="284"/>
      <c r="AY599" s="284"/>
      <c r="AZ599" s="284"/>
      <c r="BA599" s="284"/>
      <c r="BB599" s="284"/>
      <c r="BC599" s="284"/>
      <c r="BD599" s="284"/>
      <c r="BE599" s="284"/>
      <c r="BF599" s="284"/>
      <c r="BG599" s="284"/>
      <c r="BH599" s="284"/>
      <c r="BI599" s="284"/>
      <c r="BJ599" s="284"/>
      <c r="BK599" s="284"/>
      <c r="BL599" s="284"/>
      <c r="BM599" s="284"/>
      <c r="BN599" s="284"/>
      <c r="BO599" s="284"/>
      <c r="BP599" s="284"/>
      <c r="BQ599" s="284"/>
      <c r="BR599" s="284"/>
      <c r="BS599" s="284"/>
      <c r="BT599" s="284"/>
      <c r="BU599" s="284"/>
      <c r="BV599" s="284"/>
      <c r="BW599" s="284"/>
      <c r="BX599" s="284"/>
      <c r="BY599" s="284"/>
      <c r="BZ599" s="285"/>
      <c r="CA599" s="298">
        <f>SUM(C599,E599,G599,I599,K599,M599,O599,Q599,S599,U599,W599,Y599,AA599,AC599,AE599,AG599,AI599,AK599,AM599,AO599,AQ599,AS599,AU599,AW599,AY599,BA599,BC599,BE599,BG599,BI599,BK599,BM599,BO599,BQ599,BS599,BU599,BW599,BY599)</f>
        <v>0</v>
      </c>
      <c r="CB599" s="298">
        <f>SUM(D599,F599,H599,J599,L599,N599,P599,R599,T599,V599,X599,Z599,AB599,AD599,AF599,AH599,AJ599,AL599,AN599,AP599,AR599,AT599,AV599,AX599,AZ599,BB599,BD599,BF599,BH599,BJ599,BL599,BN599,BP599,BR599,BT599,BV599,BX599,BZ599)</f>
        <v>0</v>
      </c>
      <c r="CC599" s="299">
        <f>SUM(Table13[[#This Row],[GOALS 1]:[ASSISTS 38]])</f>
        <v>0</v>
      </c>
    </row>
    <row r="600" spans="1:81">
      <c r="A600" s="291" t="s">
        <v>1430</v>
      </c>
      <c r="B600" s="291" t="s">
        <v>23</v>
      </c>
      <c r="C600" s="289"/>
      <c r="D600" s="286"/>
      <c r="E600" s="288"/>
      <c r="F600" s="286"/>
      <c r="G600" s="288"/>
      <c r="H600" s="286"/>
      <c r="I600" s="288"/>
      <c r="J600" s="286"/>
      <c r="K600" s="288"/>
      <c r="L600" s="286"/>
      <c r="M600" s="288"/>
      <c r="N600" s="286"/>
      <c r="O600" s="288"/>
      <c r="P600" s="286"/>
      <c r="Q600" s="288"/>
      <c r="R600" s="286"/>
      <c r="S600" s="288"/>
      <c r="T600" s="286"/>
      <c r="U600" s="288"/>
      <c r="V600" s="286"/>
      <c r="W600" s="288"/>
      <c r="X600" s="286"/>
      <c r="Y600" s="288"/>
      <c r="Z600" s="286"/>
      <c r="AA600" s="288"/>
      <c r="AB600" s="286"/>
      <c r="AC600" s="288"/>
      <c r="AD600" s="286"/>
      <c r="AE600" s="288"/>
      <c r="AF600" s="286"/>
      <c r="AG600" s="288"/>
      <c r="AH600" s="286"/>
      <c r="AI600" s="288"/>
      <c r="AJ600" s="286"/>
      <c r="AK600" s="286"/>
      <c r="AL600" s="286"/>
      <c r="AM600" s="286"/>
      <c r="AN600" s="286"/>
      <c r="AO600" s="286"/>
      <c r="AP600" s="286"/>
      <c r="AQ600" s="286"/>
      <c r="AR600" s="286"/>
      <c r="AS600" s="286"/>
      <c r="AT600" s="286"/>
      <c r="AU600" s="286"/>
      <c r="AV600" s="284"/>
      <c r="AW600" s="284"/>
      <c r="AX600" s="284"/>
      <c r="AY600" s="284"/>
      <c r="AZ600" s="284"/>
      <c r="BA600" s="284"/>
      <c r="BB600" s="284"/>
      <c r="BC600" s="284"/>
      <c r="BD600" s="284"/>
      <c r="BE600" s="284"/>
      <c r="BF600" s="284"/>
      <c r="BG600" s="284"/>
      <c r="BH600" s="284"/>
      <c r="BI600" s="284"/>
      <c r="BJ600" s="284"/>
      <c r="BK600" s="284"/>
      <c r="BL600" s="284"/>
      <c r="BM600" s="284"/>
      <c r="BN600" s="284"/>
      <c r="BO600" s="284"/>
      <c r="BP600" s="284"/>
      <c r="BQ600" s="284"/>
      <c r="BR600" s="284"/>
      <c r="BS600" s="284"/>
      <c r="BT600" s="284"/>
      <c r="BU600" s="284"/>
      <c r="BV600" s="284"/>
      <c r="BW600" s="284"/>
      <c r="BX600" s="284"/>
      <c r="BY600" s="284"/>
      <c r="BZ600" s="285"/>
      <c r="CA600" s="298">
        <f>SUM(C600,E600,G600,I600,K600,M600,O600,Q600,S600,U600,W600,Y600,AA600,AC600,AE600,AG600,AI600,AK600,AM600,AO600,AQ600,AS600,AU600,AW600,AY600,BA600,BC600,BE600,BG600,BI600,BK600,BM600,BO600,BQ600,BS600,BU600,BW600,BY600)</f>
        <v>0</v>
      </c>
      <c r="CB600" s="298">
        <f>SUM(D600,F600,H600,J600,L600,N600,P600,R600,T600,V600,X600,Z600,AB600,AD600,AF600,AH600,AJ600,AL600,AN600,AP600,AR600,AT600,AV600,AX600,AZ600,BB600,BD600,BF600,BH600,BJ600,BL600,BN600,BP600,BR600,BT600,BV600,BX600,BZ600)</f>
        <v>0</v>
      </c>
      <c r="CC600" s="299">
        <f>SUM(Table13[[#This Row],[GOALS 1]:[ASSISTS 38]])</f>
        <v>0</v>
      </c>
    </row>
    <row r="601" spans="1:81">
      <c r="A601" s="291" t="s">
        <v>1748</v>
      </c>
      <c r="B601" s="291" t="s">
        <v>17</v>
      </c>
      <c r="C601" s="289"/>
      <c r="D601" s="286"/>
      <c r="E601" s="288"/>
      <c r="F601" s="286"/>
      <c r="G601" s="288"/>
      <c r="H601" s="286"/>
      <c r="I601" s="288"/>
      <c r="J601" s="286"/>
      <c r="K601" s="288"/>
      <c r="L601" s="286"/>
      <c r="M601" s="288"/>
      <c r="N601" s="286"/>
      <c r="O601" s="288"/>
      <c r="P601" s="286"/>
      <c r="Q601" s="288"/>
      <c r="R601" s="286"/>
      <c r="S601" s="288"/>
      <c r="T601" s="286"/>
      <c r="U601" s="288"/>
      <c r="V601" s="286"/>
      <c r="W601" s="288"/>
      <c r="X601" s="286"/>
      <c r="Y601" s="288"/>
      <c r="Z601" s="286"/>
      <c r="AA601" s="288"/>
      <c r="AB601" s="286"/>
      <c r="AC601" s="288"/>
      <c r="AD601" s="286"/>
      <c r="AE601" s="288"/>
      <c r="AF601" s="286"/>
      <c r="AG601" s="288"/>
      <c r="AH601" s="286"/>
      <c r="AI601" s="288"/>
      <c r="AJ601" s="286"/>
      <c r="AK601" s="286"/>
      <c r="AL601" s="286"/>
      <c r="AM601" s="286"/>
      <c r="AN601" s="286"/>
      <c r="AO601" s="286"/>
      <c r="AP601" s="286"/>
      <c r="AQ601" s="286"/>
      <c r="AR601" s="286"/>
      <c r="AS601" s="286"/>
      <c r="AT601" s="286"/>
      <c r="AU601" s="286"/>
      <c r="AV601" s="284"/>
      <c r="AW601" s="284"/>
      <c r="AX601" s="284"/>
      <c r="AY601" s="284"/>
      <c r="AZ601" s="284"/>
      <c r="BA601" s="284"/>
      <c r="BB601" s="284"/>
      <c r="BC601" s="284"/>
      <c r="BD601" s="284"/>
      <c r="BE601" s="284"/>
      <c r="BF601" s="284"/>
      <c r="BG601" s="284"/>
      <c r="BH601" s="284"/>
      <c r="BI601" s="284"/>
      <c r="BJ601" s="284"/>
      <c r="BK601" s="284"/>
      <c r="BL601" s="284"/>
      <c r="BM601" s="284"/>
      <c r="BN601" s="284"/>
      <c r="BO601" s="284"/>
      <c r="BP601" s="284"/>
      <c r="BQ601" s="284"/>
      <c r="BR601" s="284"/>
      <c r="BS601" s="284"/>
      <c r="BT601" s="284"/>
      <c r="BU601" s="284"/>
      <c r="BV601" s="284"/>
      <c r="BW601" s="284"/>
      <c r="BX601" s="284"/>
      <c r="BY601" s="284"/>
      <c r="BZ601" s="285"/>
      <c r="CA601" s="298">
        <f>SUM(C601,E601,G601,I601,K601,M601,O601,Q601,S601,U601,W601,Y601,AA601,AC601,AE601,AG601,AI601,AK601,AM601,AO601,AQ601,AS601,AU601,AW601,AY601,BA601,BC601,BE601,BG601,BI601,BK601,BM601,BO601,BQ601,BS601,BU601,BW601,BY601)</f>
        <v>0</v>
      </c>
      <c r="CB601" s="298">
        <f>SUM(D601,F601,H601,J601,L601,N601,P601,R601,T601,V601,X601,Z601,AB601,AD601,AF601,AH601,AJ601,AL601,AN601,AP601,AR601,AT601,AV601,AX601,AZ601,BB601,BD601,BF601,BH601,BJ601,BL601,BN601,BP601,BR601,BT601,BV601,BX601,BZ601)</f>
        <v>0</v>
      </c>
      <c r="CC601" s="299">
        <f>SUM(Table13[[#This Row],[GOALS 1]:[ASSISTS 38]])</f>
        <v>0</v>
      </c>
    </row>
    <row r="602" spans="1:81">
      <c r="A602" s="291" t="s">
        <v>1535</v>
      </c>
      <c r="B602" s="291" t="s">
        <v>43</v>
      </c>
      <c r="C602" s="286"/>
      <c r="D602" s="286"/>
      <c r="E602" s="288"/>
      <c r="F602" s="286"/>
      <c r="G602" s="288"/>
      <c r="H602" s="286"/>
      <c r="I602" s="288"/>
      <c r="J602" s="286"/>
      <c r="K602" s="288"/>
      <c r="L602" s="286"/>
      <c r="M602" s="288"/>
      <c r="N602" s="286"/>
      <c r="O602" s="288"/>
      <c r="P602" s="286"/>
      <c r="Q602" s="288"/>
      <c r="R602" s="286"/>
      <c r="S602" s="288"/>
      <c r="T602" s="286"/>
      <c r="U602" s="288"/>
      <c r="V602" s="286"/>
      <c r="W602" s="288"/>
      <c r="X602" s="286"/>
      <c r="Y602" s="288"/>
      <c r="Z602" s="286"/>
      <c r="AA602" s="288"/>
      <c r="AB602" s="286"/>
      <c r="AC602" s="288"/>
      <c r="AD602" s="286"/>
      <c r="AE602" s="288"/>
      <c r="AF602" s="286"/>
      <c r="AG602" s="288"/>
      <c r="AH602" s="286"/>
      <c r="AI602" s="288"/>
      <c r="AJ602" s="286"/>
      <c r="AK602" s="286"/>
      <c r="AL602" s="286"/>
      <c r="AM602" s="286"/>
      <c r="AN602" s="286"/>
      <c r="AO602" s="286"/>
      <c r="AP602" s="286"/>
      <c r="AQ602" s="286"/>
      <c r="AR602" s="286"/>
      <c r="AS602" s="286"/>
      <c r="AT602" s="286"/>
      <c r="AU602" s="286"/>
      <c r="AV602" s="284"/>
      <c r="AW602" s="284"/>
      <c r="AX602" s="284"/>
      <c r="AY602" s="284"/>
      <c r="AZ602" s="284"/>
      <c r="BA602" s="284"/>
      <c r="BB602" s="284"/>
      <c r="BC602" s="284"/>
      <c r="BD602" s="284"/>
      <c r="BE602" s="284"/>
      <c r="BF602" s="284"/>
      <c r="BG602" s="284"/>
      <c r="BH602" s="284"/>
      <c r="BI602" s="284"/>
      <c r="BJ602" s="284"/>
      <c r="BK602" s="284"/>
      <c r="BL602" s="284"/>
      <c r="BM602" s="284"/>
      <c r="BN602" s="284"/>
      <c r="BO602" s="284"/>
      <c r="BP602" s="284"/>
      <c r="BQ602" s="284"/>
      <c r="BR602" s="284"/>
      <c r="BS602" s="284"/>
      <c r="BT602" s="284"/>
      <c r="BU602" s="284"/>
      <c r="BV602" s="284"/>
      <c r="BW602" s="284"/>
      <c r="BX602" s="284"/>
      <c r="BY602" s="284"/>
      <c r="BZ602" s="285"/>
      <c r="CA602" s="298">
        <f>SUM(C602,E602,G602,I602,K602,M602,O602,Q602,S602,U602,W602,Y602,AA602,AC602,AE602,AG602,AI602,AK602,AM602,AO602,AQ602,AS602,AU602,AW602,AY602,BA602,BC602,BE602,BG602,BI602,BK602,BM602,BO602,BQ602,BS602,BU602,BW602,BY602)</f>
        <v>0</v>
      </c>
      <c r="CB602" s="298">
        <f>SUM(D602,F602,H602,J602,L602,N602,P602,R602,T602,V602,X602,Z602,AB602,AD602,AF602,AH602,AJ602,AL602,AN602,AP602,AR602,AT602,AV602,AX602,AZ602,BB602,BD602,BF602,BH602,BJ602,BL602,BN602,BP602,BR602,BT602,BV602,BX602,BZ602)</f>
        <v>0</v>
      </c>
      <c r="CC602" s="299">
        <f>SUM(Table13[[#This Row],[GOALS 1]:[ASSISTS 38]])</f>
        <v>0</v>
      </c>
    </row>
    <row r="603" spans="1:81">
      <c r="A603" s="291" t="s">
        <v>1872</v>
      </c>
      <c r="B603" s="291" t="s">
        <v>30</v>
      </c>
      <c r="C603" s="286"/>
      <c r="D603" s="286"/>
      <c r="E603" s="288"/>
      <c r="F603" s="286"/>
      <c r="G603" s="288"/>
      <c r="H603" s="286"/>
      <c r="I603" s="288"/>
      <c r="J603" s="286"/>
      <c r="K603" s="288"/>
      <c r="L603" s="286"/>
      <c r="M603" s="288"/>
      <c r="N603" s="286"/>
      <c r="O603" s="288"/>
      <c r="P603" s="286"/>
      <c r="Q603" s="288"/>
      <c r="R603" s="286"/>
      <c r="S603" s="288"/>
      <c r="T603" s="286"/>
      <c r="U603" s="288"/>
      <c r="V603" s="286"/>
      <c r="W603" s="288"/>
      <c r="X603" s="286"/>
      <c r="Y603" s="288"/>
      <c r="Z603" s="286"/>
      <c r="AA603" s="288"/>
      <c r="AB603" s="286"/>
      <c r="AC603" s="288"/>
      <c r="AD603" s="286"/>
      <c r="AE603" s="288"/>
      <c r="AF603" s="286"/>
      <c r="AG603" s="288"/>
      <c r="AH603" s="286"/>
      <c r="AI603" s="288"/>
      <c r="AJ603" s="286"/>
      <c r="AK603" s="286"/>
      <c r="AL603" s="286"/>
      <c r="AM603" s="286"/>
      <c r="AN603" s="286"/>
      <c r="AO603" s="286"/>
      <c r="AP603" s="286"/>
      <c r="AQ603" s="286"/>
      <c r="AR603" s="286"/>
      <c r="AS603" s="286"/>
      <c r="AT603" s="286"/>
      <c r="AU603" s="286"/>
      <c r="AV603" s="284"/>
      <c r="AW603" s="284"/>
      <c r="AX603" s="284"/>
      <c r="AY603" s="284"/>
      <c r="AZ603" s="284"/>
      <c r="BA603" s="284"/>
      <c r="BB603" s="284"/>
      <c r="BC603" s="284"/>
      <c r="BD603" s="284"/>
      <c r="BE603" s="284"/>
      <c r="BF603" s="284"/>
      <c r="BG603" s="284"/>
      <c r="BH603" s="284"/>
      <c r="BI603" s="284"/>
      <c r="BJ603" s="284"/>
      <c r="BK603" s="284"/>
      <c r="BL603" s="284"/>
      <c r="BM603" s="284"/>
      <c r="BN603" s="284"/>
      <c r="BO603" s="284"/>
      <c r="BP603" s="284"/>
      <c r="BQ603" s="284"/>
      <c r="BR603" s="284"/>
      <c r="BS603" s="284"/>
      <c r="BT603" s="284"/>
      <c r="BU603" s="284"/>
      <c r="BV603" s="284"/>
      <c r="BW603" s="284"/>
      <c r="BX603" s="284"/>
      <c r="BY603" s="284"/>
      <c r="BZ603" s="285"/>
      <c r="CA603" s="298">
        <f>SUM(C603,E603,G603,I603,K603,M603,O603,Q603,S603,U603,W603,Y603,AA603,AC603,AE603,AG603,AI603,AK603,AM603,AO603,AQ603,AS603,AU603,AW603,AY603,BA603,BC603,BE603,BG603,BI603,BK603,BM603,BO603,BQ603,BS603,BU603,BW603,BY603)</f>
        <v>0</v>
      </c>
      <c r="CB603" s="298">
        <f>SUM(D603,F603,H603,J603,L603,N603,P603,R603,T603,V603,X603,Z603,AB603,AD603,AF603,AH603,AJ603,AL603,AN603,AP603,AR603,AT603,AV603,AX603,AZ603,BB603,BD603,BF603,BH603,BJ603,BL603,BN603,BP603,BR603,BT603,BV603,BX603,BZ603)</f>
        <v>0</v>
      </c>
      <c r="CC603" s="299">
        <f>SUM(Table13[[#This Row],[GOALS 1]:[ASSISTS 38]])</f>
        <v>0</v>
      </c>
    </row>
    <row r="604" spans="1:81">
      <c r="A604" s="291" t="s">
        <v>2008</v>
      </c>
      <c r="B604" s="291" t="s">
        <v>24</v>
      </c>
      <c r="C604" s="286"/>
      <c r="D604" s="286"/>
      <c r="E604" s="288"/>
      <c r="F604" s="286"/>
      <c r="G604" s="288"/>
      <c r="H604" s="286"/>
      <c r="I604" s="288"/>
      <c r="J604" s="286"/>
      <c r="K604" s="288"/>
      <c r="L604" s="286"/>
      <c r="M604" s="288"/>
      <c r="N604" s="286"/>
      <c r="O604" s="288"/>
      <c r="P604" s="286"/>
      <c r="Q604" s="288"/>
      <c r="R604" s="286"/>
      <c r="S604" s="288"/>
      <c r="T604" s="286"/>
      <c r="U604" s="288"/>
      <c r="V604" s="286"/>
      <c r="W604" s="288"/>
      <c r="X604" s="286"/>
      <c r="Y604" s="288"/>
      <c r="Z604" s="286"/>
      <c r="AA604" s="288"/>
      <c r="AB604" s="286"/>
      <c r="AC604" s="288"/>
      <c r="AD604" s="286"/>
      <c r="AE604" s="288"/>
      <c r="AF604" s="286"/>
      <c r="AG604" s="288"/>
      <c r="AH604" s="286"/>
      <c r="AI604" s="288"/>
      <c r="AJ604" s="286"/>
      <c r="AK604" s="286"/>
      <c r="AL604" s="286"/>
      <c r="AM604" s="286"/>
      <c r="AN604" s="286"/>
      <c r="AO604" s="286"/>
      <c r="AP604" s="286"/>
      <c r="AQ604" s="286"/>
      <c r="AR604" s="286"/>
      <c r="AS604" s="286"/>
      <c r="AT604" s="286"/>
      <c r="AU604" s="286"/>
      <c r="AV604" s="284"/>
      <c r="AW604" s="284"/>
      <c r="AX604" s="284"/>
      <c r="AY604" s="284"/>
      <c r="AZ604" s="284"/>
      <c r="BA604" s="284"/>
      <c r="BB604" s="284"/>
      <c r="BC604" s="284"/>
      <c r="BD604" s="284"/>
      <c r="BE604" s="284"/>
      <c r="BF604" s="284"/>
      <c r="BG604" s="284"/>
      <c r="BH604" s="284"/>
      <c r="BI604" s="284"/>
      <c r="BJ604" s="284"/>
      <c r="BK604" s="284"/>
      <c r="BL604" s="284"/>
      <c r="BM604" s="284"/>
      <c r="BN604" s="284"/>
      <c r="BO604" s="284"/>
      <c r="BP604" s="284"/>
      <c r="BQ604" s="284"/>
      <c r="BR604" s="284"/>
      <c r="BS604" s="284"/>
      <c r="BT604" s="284"/>
      <c r="BU604" s="284"/>
      <c r="BV604" s="284"/>
      <c r="BW604" s="284"/>
      <c r="BX604" s="284"/>
      <c r="BY604" s="284"/>
      <c r="BZ604" s="285"/>
      <c r="CA604" s="298">
        <f>SUM(C604,E604,G604,I604,K604,M604,O604,Q604,S604,U604,W604,Y604,AA604,AC604,AE604,AG604,AI604,AK604,AM604,AO604,AQ604,AS604,AU604,AW604,AY604,BA604,BC604,BE604,BG604,BI604,BK604,BM604,BO604,BQ604,BS604,BU604,BW604,BY604)</f>
        <v>0</v>
      </c>
      <c r="CB604" s="298">
        <f>SUM(D604,F604,H604,J604,L604,N604,P604,R604,T604,V604,X604,Z604,AB604,AD604,AF604,AH604,AJ604,AL604,AN604,AP604,AR604,AT604,AV604,AX604,AZ604,BB604,BD604,BF604,BH604,BJ604,BL604,BN604,BP604,BR604,BT604,BV604,BX604,BZ604)</f>
        <v>0</v>
      </c>
      <c r="CC604" s="299">
        <f>SUM(Table13[[#This Row],[GOALS 1]:[ASSISTS 38]])</f>
        <v>0</v>
      </c>
    </row>
    <row r="605" spans="1:81">
      <c r="A605" s="291" t="s">
        <v>1826</v>
      </c>
      <c r="B605" s="291" t="s">
        <v>30</v>
      </c>
      <c r="C605" s="286"/>
      <c r="D605" s="286"/>
      <c r="E605" s="288"/>
      <c r="F605" s="286"/>
      <c r="G605" s="288"/>
      <c r="H605" s="286"/>
      <c r="I605" s="288"/>
      <c r="J605" s="286"/>
      <c r="K605" s="288"/>
      <c r="L605" s="286"/>
      <c r="M605" s="288"/>
      <c r="N605" s="286"/>
      <c r="O605" s="288"/>
      <c r="P605" s="286"/>
      <c r="Q605" s="288"/>
      <c r="R605" s="286"/>
      <c r="S605" s="288"/>
      <c r="T605" s="286"/>
      <c r="U605" s="288"/>
      <c r="V605" s="286"/>
      <c r="W605" s="288"/>
      <c r="X605" s="286"/>
      <c r="Y605" s="288"/>
      <c r="Z605" s="286"/>
      <c r="AA605" s="288"/>
      <c r="AB605" s="286"/>
      <c r="AC605" s="288"/>
      <c r="AD605" s="286"/>
      <c r="AE605" s="288"/>
      <c r="AF605" s="286"/>
      <c r="AG605" s="288"/>
      <c r="AH605" s="286"/>
      <c r="AI605" s="288"/>
      <c r="AJ605" s="286"/>
      <c r="AK605" s="286"/>
      <c r="AL605" s="286"/>
      <c r="AM605" s="286"/>
      <c r="AN605" s="286"/>
      <c r="AO605" s="286"/>
      <c r="AP605" s="286"/>
      <c r="AQ605" s="286"/>
      <c r="AR605" s="286"/>
      <c r="AS605" s="286"/>
      <c r="AT605" s="286"/>
      <c r="AU605" s="286"/>
      <c r="AV605" s="284"/>
      <c r="AW605" s="284"/>
      <c r="AX605" s="284"/>
      <c r="AY605" s="284"/>
      <c r="AZ605" s="284"/>
      <c r="BA605" s="284"/>
      <c r="BB605" s="284"/>
      <c r="BC605" s="284"/>
      <c r="BD605" s="284"/>
      <c r="BE605" s="284"/>
      <c r="BF605" s="284"/>
      <c r="BG605" s="284"/>
      <c r="BH605" s="284"/>
      <c r="BI605" s="284"/>
      <c r="BJ605" s="284"/>
      <c r="BK605" s="284"/>
      <c r="BL605" s="284"/>
      <c r="BM605" s="284"/>
      <c r="BN605" s="284"/>
      <c r="BO605" s="284"/>
      <c r="BP605" s="284"/>
      <c r="BQ605" s="284"/>
      <c r="BR605" s="284"/>
      <c r="BS605" s="284"/>
      <c r="BT605" s="284"/>
      <c r="BU605" s="284"/>
      <c r="BV605" s="284"/>
      <c r="BW605" s="284"/>
      <c r="BX605" s="284"/>
      <c r="BY605" s="284"/>
      <c r="BZ605" s="285"/>
      <c r="CA605" s="298">
        <f>SUM(C605,E605,G605,I605,K605,M605,O605,Q605,S605,U605,W605,Y605,AA605,AC605,AE605,AG605,AI605,AK605,AM605,AO605,AQ605,AS605,AU605,AW605,AY605,BA605,BC605,BE605,BG605,BI605,BK605,BM605,BO605,BQ605,BS605,BU605,BW605,BY605)</f>
        <v>0</v>
      </c>
      <c r="CB605" s="298">
        <f>SUM(D605,F605,H605,J605,L605,N605,P605,R605,T605,V605,X605,Z605,AB605,AD605,AF605,AH605,AJ605,AL605,AN605,AP605,AR605,AT605,AV605,AX605,AZ605,BB605,BD605,BF605,BH605,BJ605,BL605,BN605,BP605,BR605,BT605,BV605,BX605,BZ605)</f>
        <v>0</v>
      </c>
      <c r="CC605" s="299">
        <f>SUM(Table13[[#This Row],[GOALS 1]:[ASSISTS 38]])</f>
        <v>0</v>
      </c>
    </row>
    <row r="606" spans="1:81">
      <c r="A606" s="291" t="s">
        <v>1501</v>
      </c>
      <c r="B606" s="291" t="s">
        <v>26</v>
      </c>
      <c r="C606" s="286"/>
      <c r="D606" s="286"/>
      <c r="E606" s="288"/>
      <c r="F606" s="286"/>
      <c r="G606" s="288"/>
      <c r="H606" s="286"/>
      <c r="I606" s="288"/>
      <c r="J606" s="286"/>
      <c r="K606" s="288"/>
      <c r="L606" s="286"/>
      <c r="M606" s="288"/>
      <c r="N606" s="286"/>
      <c r="O606" s="288"/>
      <c r="P606" s="286"/>
      <c r="Q606" s="288"/>
      <c r="R606" s="286"/>
      <c r="S606" s="288"/>
      <c r="T606" s="286"/>
      <c r="U606" s="288"/>
      <c r="V606" s="286"/>
      <c r="W606" s="288"/>
      <c r="X606" s="286"/>
      <c r="Y606" s="288"/>
      <c r="Z606" s="286"/>
      <c r="AA606" s="288"/>
      <c r="AB606" s="286"/>
      <c r="AC606" s="288"/>
      <c r="AD606" s="286"/>
      <c r="AE606" s="288"/>
      <c r="AF606" s="286"/>
      <c r="AG606" s="288"/>
      <c r="AH606" s="286"/>
      <c r="AI606" s="288"/>
      <c r="AJ606" s="286"/>
      <c r="AK606" s="286"/>
      <c r="AL606" s="286"/>
      <c r="AM606" s="286"/>
      <c r="AN606" s="286"/>
      <c r="AO606" s="286"/>
      <c r="AP606" s="286"/>
      <c r="AQ606" s="286"/>
      <c r="AR606" s="286"/>
      <c r="AS606" s="286"/>
      <c r="AT606" s="286"/>
      <c r="AU606" s="286"/>
      <c r="AV606" s="284"/>
      <c r="AW606" s="284"/>
      <c r="AX606" s="284"/>
      <c r="AY606" s="284"/>
      <c r="AZ606" s="284"/>
      <c r="BA606" s="284"/>
      <c r="BB606" s="284"/>
      <c r="BC606" s="284"/>
      <c r="BD606" s="284"/>
      <c r="BE606" s="284"/>
      <c r="BF606" s="284"/>
      <c r="BG606" s="284"/>
      <c r="BH606" s="284"/>
      <c r="BI606" s="284"/>
      <c r="BJ606" s="284"/>
      <c r="BK606" s="284"/>
      <c r="BL606" s="284"/>
      <c r="BM606" s="284"/>
      <c r="BN606" s="284"/>
      <c r="BO606" s="284"/>
      <c r="BP606" s="284"/>
      <c r="BQ606" s="284"/>
      <c r="BR606" s="284"/>
      <c r="BS606" s="284"/>
      <c r="BT606" s="284"/>
      <c r="BU606" s="284"/>
      <c r="BV606" s="284"/>
      <c r="BW606" s="284"/>
      <c r="BX606" s="284"/>
      <c r="BY606" s="284"/>
      <c r="BZ606" s="285"/>
      <c r="CA606" s="298">
        <f>SUM(C606,E606,G606,I606,K606,M606,O606,Q606,S606,U606,W606,Y606,AA606,AC606,AE606,AG606,AI606,AK606,AM606,AO606,AQ606,AS606,AU606,AW606,AY606,BA606,BC606,BE606,BG606,BI606,BK606,BM606,BO606,BQ606,BS606,BU606,BW606,BY606)</f>
        <v>0</v>
      </c>
      <c r="CB606" s="298">
        <f>SUM(D606,F606,H606,J606,L606,N606,P606,R606,T606,V606,X606,Z606,AB606,AD606,AF606,AH606,AJ606,AL606,AN606,AP606,AR606,AT606,AV606,AX606,AZ606,BB606,BD606,BF606,BH606,BJ606,BL606,BN606,BP606,BR606,BT606,BV606,BX606,BZ606)</f>
        <v>0</v>
      </c>
      <c r="CC606" s="299">
        <f>SUM(Table13[[#This Row],[GOALS 1]:[ASSISTS 38]])</f>
        <v>0</v>
      </c>
    </row>
    <row r="607" spans="1:81">
      <c r="A607" s="291" t="s">
        <v>1566</v>
      </c>
      <c r="B607" s="291" t="s">
        <v>18</v>
      </c>
      <c r="C607" s="286"/>
      <c r="D607" s="286"/>
      <c r="E607" s="288"/>
      <c r="F607" s="286"/>
      <c r="G607" s="288"/>
      <c r="H607" s="286"/>
      <c r="I607" s="288"/>
      <c r="J607" s="286"/>
      <c r="K607" s="288"/>
      <c r="L607" s="286"/>
      <c r="M607" s="288"/>
      <c r="N607" s="286"/>
      <c r="O607" s="288"/>
      <c r="P607" s="286"/>
      <c r="Q607" s="288"/>
      <c r="R607" s="286"/>
      <c r="S607" s="288"/>
      <c r="T607" s="286"/>
      <c r="U607" s="288"/>
      <c r="V607" s="286"/>
      <c r="W607" s="288"/>
      <c r="X607" s="286"/>
      <c r="Y607" s="288"/>
      <c r="Z607" s="286"/>
      <c r="AA607" s="288"/>
      <c r="AB607" s="286"/>
      <c r="AC607" s="288"/>
      <c r="AD607" s="286"/>
      <c r="AE607" s="288"/>
      <c r="AF607" s="286"/>
      <c r="AG607" s="288"/>
      <c r="AH607" s="286"/>
      <c r="AI607" s="288"/>
      <c r="AJ607" s="286"/>
      <c r="AK607" s="286"/>
      <c r="AL607" s="286"/>
      <c r="AM607" s="286"/>
      <c r="AN607" s="286"/>
      <c r="AO607" s="286"/>
      <c r="AP607" s="286"/>
      <c r="AQ607" s="286"/>
      <c r="AR607" s="286"/>
      <c r="AS607" s="286"/>
      <c r="AT607" s="286"/>
      <c r="AU607" s="286"/>
      <c r="AV607" s="284"/>
      <c r="AW607" s="284"/>
      <c r="AX607" s="284"/>
      <c r="AY607" s="284"/>
      <c r="AZ607" s="284"/>
      <c r="BA607" s="284"/>
      <c r="BB607" s="284"/>
      <c r="BC607" s="284"/>
      <c r="BD607" s="284"/>
      <c r="BE607" s="284"/>
      <c r="BF607" s="284"/>
      <c r="BG607" s="284"/>
      <c r="BH607" s="284"/>
      <c r="BI607" s="284"/>
      <c r="BJ607" s="284"/>
      <c r="BK607" s="284"/>
      <c r="BL607" s="284"/>
      <c r="BM607" s="284"/>
      <c r="BN607" s="284"/>
      <c r="BO607" s="284"/>
      <c r="BP607" s="284"/>
      <c r="BQ607" s="284"/>
      <c r="BR607" s="284"/>
      <c r="BS607" s="284"/>
      <c r="BT607" s="284"/>
      <c r="BU607" s="284"/>
      <c r="BV607" s="284"/>
      <c r="BW607" s="284"/>
      <c r="BX607" s="284"/>
      <c r="BY607" s="284"/>
      <c r="BZ607" s="285"/>
      <c r="CA607" s="298">
        <f>SUM(C607,E607,G607,I607,K607,M607,O607,Q607,S607,U607,W607,Y607,AA607,AC607,AE607,AG607,AI607,AK607,AM607,AO607,AQ607,AS607,AU607,AW607,AY607,BA607,BC607,BE607,BG607,BI607,BK607,BM607,BO607,BQ607,BS607,BU607,BW607,BY607)</f>
        <v>0</v>
      </c>
      <c r="CB607" s="298">
        <f>SUM(D607,F607,H607,J607,L607,N607,P607,R607,T607,V607,X607,Z607,AB607,AD607,AF607,AH607,AJ607,AL607,AN607,AP607,AR607,AT607,AV607,AX607,AZ607,BB607,BD607,BF607,BH607,BJ607,BL607,BN607,BP607,BR607,BT607,BV607,BX607,BZ607)</f>
        <v>0</v>
      </c>
      <c r="CC607" s="299">
        <f>SUM(Table13[[#This Row],[GOALS 1]:[ASSISTS 38]])</f>
        <v>0</v>
      </c>
    </row>
    <row r="608" spans="1:81">
      <c r="A608" s="291" t="s">
        <v>1653</v>
      </c>
      <c r="B608" s="291" t="s">
        <v>28</v>
      </c>
      <c r="C608" s="286"/>
      <c r="D608" s="286"/>
      <c r="E608" s="288"/>
      <c r="F608" s="286"/>
      <c r="G608" s="288"/>
      <c r="H608" s="286"/>
      <c r="I608" s="288"/>
      <c r="J608" s="286"/>
      <c r="K608" s="288"/>
      <c r="L608" s="286"/>
      <c r="M608" s="288"/>
      <c r="N608" s="286"/>
      <c r="O608" s="288"/>
      <c r="P608" s="286"/>
      <c r="Q608" s="288"/>
      <c r="R608" s="286"/>
      <c r="S608" s="288"/>
      <c r="T608" s="286"/>
      <c r="U608" s="288"/>
      <c r="V608" s="286"/>
      <c r="W608" s="288"/>
      <c r="X608" s="286"/>
      <c r="Y608" s="288"/>
      <c r="Z608" s="286"/>
      <c r="AA608" s="288"/>
      <c r="AB608" s="286"/>
      <c r="AC608" s="288"/>
      <c r="AD608" s="286"/>
      <c r="AE608" s="288"/>
      <c r="AF608" s="286"/>
      <c r="AG608" s="288"/>
      <c r="AH608" s="286"/>
      <c r="AI608" s="288"/>
      <c r="AJ608" s="286"/>
      <c r="AK608" s="286"/>
      <c r="AL608" s="286"/>
      <c r="AM608" s="286"/>
      <c r="AN608" s="286"/>
      <c r="AO608" s="286"/>
      <c r="AP608" s="286"/>
      <c r="AQ608" s="286"/>
      <c r="AR608" s="286"/>
      <c r="AS608" s="286"/>
      <c r="AT608" s="286"/>
      <c r="AU608" s="286"/>
      <c r="AV608" s="284"/>
      <c r="AW608" s="284"/>
      <c r="AX608" s="284"/>
      <c r="AY608" s="284"/>
      <c r="AZ608" s="284"/>
      <c r="BA608" s="284"/>
      <c r="BB608" s="284"/>
      <c r="BC608" s="284"/>
      <c r="BD608" s="284"/>
      <c r="BE608" s="284"/>
      <c r="BF608" s="284"/>
      <c r="BG608" s="284"/>
      <c r="BH608" s="284"/>
      <c r="BI608" s="284"/>
      <c r="BJ608" s="284"/>
      <c r="BK608" s="284"/>
      <c r="BL608" s="284"/>
      <c r="BM608" s="284"/>
      <c r="BN608" s="284"/>
      <c r="BO608" s="284"/>
      <c r="BP608" s="284"/>
      <c r="BQ608" s="284"/>
      <c r="BR608" s="284"/>
      <c r="BS608" s="284"/>
      <c r="BT608" s="284"/>
      <c r="BU608" s="284"/>
      <c r="BV608" s="284"/>
      <c r="BW608" s="284"/>
      <c r="BX608" s="284"/>
      <c r="BY608" s="284"/>
      <c r="BZ608" s="285"/>
      <c r="CA608" s="298">
        <f>SUM(C608,E608,G608,I608,K608,M608,O608,Q608,S608,U608,W608,Y608,AA608,AC608,AE608,AG608,AI608,AK608,AM608,AO608,AQ608,AS608,AU608,AW608,AY608,BA608,BC608,BE608,BG608,BI608,BK608,BM608,BO608,BQ608,BS608,BU608,BW608,BY608)</f>
        <v>0</v>
      </c>
      <c r="CB608" s="298">
        <f>SUM(D608,F608,H608,J608,L608,N608,P608,R608,T608,V608,X608,Z608,AB608,AD608,AF608,AH608,AJ608,AL608,AN608,AP608,AR608,AT608,AV608,AX608,AZ608,BB608,BD608,BF608,BH608,BJ608,BL608,BN608,BP608,BR608,BT608,BV608,BX608,BZ608)</f>
        <v>0</v>
      </c>
      <c r="CC608" s="299">
        <f>SUM(Table13[[#This Row],[GOALS 1]:[ASSISTS 38]])</f>
        <v>0</v>
      </c>
    </row>
    <row r="609" spans="1:81">
      <c r="A609" s="291" t="s">
        <v>1838</v>
      </c>
      <c r="B609" s="291" t="s">
        <v>22</v>
      </c>
      <c r="C609" s="286"/>
      <c r="D609" s="286"/>
      <c r="E609" s="288"/>
      <c r="F609" s="286"/>
      <c r="G609" s="288"/>
      <c r="H609" s="286"/>
      <c r="I609" s="288"/>
      <c r="J609" s="286"/>
      <c r="K609" s="288"/>
      <c r="L609" s="286"/>
      <c r="M609" s="288"/>
      <c r="N609" s="286"/>
      <c r="O609" s="288"/>
      <c r="P609" s="286"/>
      <c r="Q609" s="288"/>
      <c r="R609" s="286"/>
      <c r="S609" s="288"/>
      <c r="T609" s="286"/>
      <c r="U609" s="288"/>
      <c r="V609" s="286"/>
      <c r="W609" s="288"/>
      <c r="X609" s="286"/>
      <c r="Y609" s="288"/>
      <c r="Z609" s="286"/>
      <c r="AA609" s="288"/>
      <c r="AB609" s="286"/>
      <c r="AC609" s="288"/>
      <c r="AD609" s="286"/>
      <c r="AE609" s="288"/>
      <c r="AF609" s="286"/>
      <c r="AG609" s="288"/>
      <c r="AH609" s="286"/>
      <c r="AI609" s="288"/>
      <c r="AJ609" s="286"/>
      <c r="AK609" s="286"/>
      <c r="AL609" s="286"/>
      <c r="AM609" s="286"/>
      <c r="AN609" s="286"/>
      <c r="AO609" s="286"/>
      <c r="AP609" s="286"/>
      <c r="AQ609" s="286"/>
      <c r="AR609" s="286"/>
      <c r="AS609" s="286"/>
      <c r="AT609" s="286"/>
      <c r="AU609" s="286"/>
      <c r="AV609" s="284"/>
      <c r="AW609" s="284"/>
      <c r="AX609" s="284"/>
      <c r="AY609" s="284"/>
      <c r="AZ609" s="284"/>
      <c r="BA609" s="284"/>
      <c r="BB609" s="284"/>
      <c r="BC609" s="284"/>
      <c r="BD609" s="284"/>
      <c r="BE609" s="284"/>
      <c r="BF609" s="284"/>
      <c r="BG609" s="284"/>
      <c r="BH609" s="284"/>
      <c r="BI609" s="284"/>
      <c r="BJ609" s="284"/>
      <c r="BK609" s="284"/>
      <c r="BL609" s="284"/>
      <c r="BM609" s="284"/>
      <c r="BN609" s="284"/>
      <c r="BO609" s="284"/>
      <c r="BP609" s="284"/>
      <c r="BQ609" s="284"/>
      <c r="BR609" s="284"/>
      <c r="BS609" s="284"/>
      <c r="BT609" s="284"/>
      <c r="BU609" s="284"/>
      <c r="BV609" s="284"/>
      <c r="BW609" s="284"/>
      <c r="BX609" s="284"/>
      <c r="BY609" s="284"/>
      <c r="BZ609" s="285"/>
      <c r="CA609" s="298">
        <f>SUM(C609,E609,G609,I609,K609,M609,O609,Q609,S609,U609,W609,Y609,AA609,AC609,AE609,AG609,AI609,AK609,AM609,AO609,AQ609,AS609,AU609,AW609,AY609,BA609,BC609,BE609,BG609,BI609,BK609,BM609,BO609,BQ609,BS609,BU609,BW609,BY609)</f>
        <v>0</v>
      </c>
      <c r="CB609" s="298">
        <f>SUM(D609,F609,H609,J609,L609,N609,P609,R609,T609,V609,X609,Z609,AB609,AD609,AF609,AH609,AJ609,AL609,AN609,AP609,AR609,AT609,AV609,AX609,AZ609,BB609,BD609,BF609,BH609,BJ609,BL609,BN609,BP609,BR609,BT609,BV609,BX609,BZ609)</f>
        <v>0</v>
      </c>
      <c r="CC609" s="299">
        <f>SUM(Table13[[#This Row],[GOALS 1]:[ASSISTS 38]])</f>
        <v>0</v>
      </c>
    </row>
    <row r="610" spans="1:81">
      <c r="A610" s="291" t="s">
        <v>1347</v>
      </c>
      <c r="B610" s="291" t="s">
        <v>17</v>
      </c>
      <c r="C610" s="289"/>
      <c r="D610" s="286"/>
      <c r="E610" s="288"/>
      <c r="F610" s="286"/>
      <c r="G610" s="288"/>
      <c r="H610" s="286"/>
      <c r="I610" s="288"/>
      <c r="J610" s="286"/>
      <c r="K610" s="288"/>
      <c r="L610" s="286"/>
      <c r="M610" s="288"/>
      <c r="N610" s="286"/>
      <c r="O610" s="288"/>
      <c r="P610" s="286"/>
      <c r="Q610" s="288"/>
      <c r="R610" s="286"/>
      <c r="S610" s="288"/>
      <c r="T610" s="286"/>
      <c r="U610" s="288"/>
      <c r="V610" s="286"/>
      <c r="W610" s="288"/>
      <c r="X610" s="286"/>
      <c r="Y610" s="288"/>
      <c r="Z610" s="286"/>
      <c r="AA610" s="288"/>
      <c r="AB610" s="286"/>
      <c r="AC610" s="288"/>
      <c r="AD610" s="286"/>
      <c r="AE610" s="288"/>
      <c r="AF610" s="286"/>
      <c r="AG610" s="288"/>
      <c r="AH610" s="286"/>
      <c r="AI610" s="288"/>
      <c r="AJ610" s="286"/>
      <c r="AK610" s="286"/>
      <c r="AL610" s="286"/>
      <c r="AM610" s="286"/>
      <c r="AN610" s="286"/>
      <c r="AO610" s="286"/>
      <c r="AP610" s="286"/>
      <c r="AQ610" s="286"/>
      <c r="AR610" s="286"/>
      <c r="AS610" s="286"/>
      <c r="AT610" s="286"/>
      <c r="AU610" s="286"/>
      <c r="AV610" s="284"/>
      <c r="AW610" s="284"/>
      <c r="AX610" s="284"/>
      <c r="AY610" s="284"/>
      <c r="AZ610" s="284"/>
      <c r="BA610" s="284"/>
      <c r="BB610" s="284"/>
      <c r="BC610" s="284"/>
      <c r="BD610" s="284"/>
      <c r="BE610" s="284"/>
      <c r="BF610" s="284"/>
      <c r="BG610" s="284"/>
      <c r="BH610" s="284"/>
      <c r="BI610" s="284"/>
      <c r="BJ610" s="284"/>
      <c r="BK610" s="284"/>
      <c r="BL610" s="284"/>
      <c r="BM610" s="284"/>
      <c r="BN610" s="284"/>
      <c r="BO610" s="284"/>
      <c r="BP610" s="284"/>
      <c r="BQ610" s="284"/>
      <c r="BR610" s="284"/>
      <c r="BS610" s="284"/>
      <c r="BT610" s="284"/>
      <c r="BU610" s="284"/>
      <c r="BV610" s="284"/>
      <c r="BW610" s="284"/>
      <c r="BX610" s="284"/>
      <c r="BY610" s="284"/>
      <c r="BZ610" s="285"/>
      <c r="CA610" s="298">
        <f>SUM(C610,E610,G610,I610,K610,M610,O610,Q610,S610,U610,W610,Y610,AA610,AC610,AE610,AG610,AI610,AK610,AM610,AO610,AQ610,AS610,AU610,AW610,AY610,BA610,BC610,BE610,BG610,BI610,BK610,BM610,BO610,BQ610,BS610,BU610,BW610,BY610)</f>
        <v>0</v>
      </c>
      <c r="CB610" s="298">
        <f>SUM(D610,F610,H610,J610,L610,N610,P610,R610,T610,V610,X610,Z610,AB610,AD610,AF610,AH610,AJ610,AL610,AN610,AP610,AR610,AT610,AV610,AX610,AZ610,BB610,BD610,BF610,BH610,BJ610,BL610,BN610,BP610,BR610,BT610,BV610,BX610,BZ610)</f>
        <v>0</v>
      </c>
      <c r="CC610" s="299">
        <f>SUM(Table13[[#This Row],[GOALS 1]:[ASSISTS 38]])</f>
        <v>0</v>
      </c>
    </row>
    <row r="611" spans="1:81">
      <c r="A611" s="291" t="s">
        <v>1488</v>
      </c>
      <c r="B611" s="291" t="s">
        <v>24</v>
      </c>
      <c r="C611" s="286"/>
      <c r="D611" s="286"/>
      <c r="E611" s="288"/>
      <c r="F611" s="286"/>
      <c r="G611" s="288"/>
      <c r="H611" s="286"/>
      <c r="I611" s="288"/>
      <c r="J611" s="286"/>
      <c r="K611" s="288"/>
      <c r="L611" s="286"/>
      <c r="M611" s="288"/>
      <c r="N611" s="286"/>
      <c r="O611" s="288"/>
      <c r="P611" s="286"/>
      <c r="Q611" s="288"/>
      <c r="R611" s="286"/>
      <c r="S611" s="288"/>
      <c r="T611" s="286"/>
      <c r="U611" s="288"/>
      <c r="V611" s="286"/>
      <c r="W611" s="288"/>
      <c r="X611" s="286"/>
      <c r="Y611" s="288"/>
      <c r="Z611" s="286"/>
      <c r="AA611" s="288"/>
      <c r="AB611" s="286"/>
      <c r="AC611" s="288"/>
      <c r="AD611" s="286"/>
      <c r="AE611" s="288"/>
      <c r="AF611" s="286"/>
      <c r="AG611" s="288"/>
      <c r="AH611" s="286"/>
      <c r="AI611" s="288"/>
      <c r="AJ611" s="286"/>
      <c r="AK611" s="286"/>
      <c r="AL611" s="286"/>
      <c r="AM611" s="286"/>
      <c r="AN611" s="286"/>
      <c r="AO611" s="286"/>
      <c r="AP611" s="286"/>
      <c r="AQ611" s="286"/>
      <c r="AR611" s="286"/>
      <c r="AS611" s="286"/>
      <c r="AT611" s="286"/>
      <c r="AU611" s="286"/>
      <c r="AV611" s="284"/>
      <c r="AW611" s="284"/>
      <c r="AX611" s="284"/>
      <c r="AY611" s="284"/>
      <c r="AZ611" s="284"/>
      <c r="BA611" s="284"/>
      <c r="BB611" s="284"/>
      <c r="BC611" s="284"/>
      <c r="BD611" s="284"/>
      <c r="BE611" s="284"/>
      <c r="BF611" s="284"/>
      <c r="BG611" s="284"/>
      <c r="BH611" s="284"/>
      <c r="BI611" s="284"/>
      <c r="BJ611" s="284"/>
      <c r="BK611" s="284"/>
      <c r="BL611" s="284"/>
      <c r="BM611" s="284"/>
      <c r="BN611" s="284"/>
      <c r="BO611" s="284"/>
      <c r="BP611" s="284"/>
      <c r="BQ611" s="284"/>
      <c r="BR611" s="284"/>
      <c r="BS611" s="284"/>
      <c r="BT611" s="284"/>
      <c r="BU611" s="284"/>
      <c r="BV611" s="284"/>
      <c r="BW611" s="284"/>
      <c r="BX611" s="284"/>
      <c r="BY611" s="284"/>
      <c r="BZ611" s="285"/>
      <c r="CA611" s="298">
        <f>SUM(C611,E611,G611,I611,K611,M611,O611,Q611,S611,U611,W611,Y611,AA611,AC611,AE611,AG611,AI611,AK611,AM611,AO611,AQ611,AS611,AU611,AW611,AY611,BA611,BC611,BE611,BG611,BI611,BK611,BM611,BO611,BQ611,BS611,BU611,BW611,BY611)</f>
        <v>0</v>
      </c>
      <c r="CB611" s="298">
        <f>SUM(D611,F611,H611,J611,L611,N611,P611,R611,T611,V611,X611,Z611,AB611,AD611,AF611,AH611,AJ611,AL611,AN611,AP611,AR611,AT611,AV611,AX611,AZ611,BB611,BD611,BF611,BH611,BJ611,BL611,BN611,BP611,BR611,BT611,BV611,BX611,BZ611)</f>
        <v>0</v>
      </c>
      <c r="CC611" s="299">
        <f>SUM(Table13[[#This Row],[GOALS 1]:[ASSISTS 38]])</f>
        <v>0</v>
      </c>
    </row>
    <row r="612" spans="1:81">
      <c r="A612" s="291" t="s">
        <v>1554</v>
      </c>
      <c r="B612" s="291" t="s">
        <v>21</v>
      </c>
      <c r="C612" s="289"/>
      <c r="D612" s="286"/>
      <c r="E612" s="288"/>
      <c r="F612" s="286"/>
      <c r="G612" s="288"/>
      <c r="H612" s="286"/>
      <c r="I612" s="288"/>
      <c r="J612" s="286"/>
      <c r="K612" s="288"/>
      <c r="L612" s="286"/>
      <c r="M612" s="288"/>
      <c r="N612" s="286"/>
      <c r="O612" s="288"/>
      <c r="P612" s="286"/>
      <c r="Q612" s="288"/>
      <c r="R612" s="286"/>
      <c r="S612" s="288"/>
      <c r="T612" s="286"/>
      <c r="U612" s="288"/>
      <c r="V612" s="286"/>
      <c r="W612" s="288"/>
      <c r="X612" s="286"/>
      <c r="Y612" s="288"/>
      <c r="Z612" s="286"/>
      <c r="AA612" s="288"/>
      <c r="AB612" s="286"/>
      <c r="AC612" s="288"/>
      <c r="AD612" s="286"/>
      <c r="AE612" s="288"/>
      <c r="AF612" s="286"/>
      <c r="AG612" s="288"/>
      <c r="AH612" s="286"/>
      <c r="AI612" s="288"/>
      <c r="AJ612" s="286"/>
      <c r="AK612" s="286"/>
      <c r="AL612" s="286"/>
      <c r="AM612" s="286"/>
      <c r="AN612" s="286"/>
      <c r="AO612" s="286"/>
      <c r="AP612" s="286"/>
      <c r="AQ612" s="286"/>
      <c r="AR612" s="286"/>
      <c r="AS612" s="286"/>
      <c r="AT612" s="286"/>
      <c r="AU612" s="286"/>
      <c r="AV612" s="284"/>
      <c r="AW612" s="284"/>
      <c r="AX612" s="284"/>
      <c r="AY612" s="284"/>
      <c r="AZ612" s="284"/>
      <c r="BA612" s="284"/>
      <c r="BB612" s="284"/>
      <c r="BC612" s="284"/>
      <c r="BD612" s="284"/>
      <c r="BE612" s="284"/>
      <c r="BF612" s="284"/>
      <c r="BG612" s="284"/>
      <c r="BH612" s="284"/>
      <c r="BI612" s="284"/>
      <c r="BJ612" s="284"/>
      <c r="BK612" s="284"/>
      <c r="BL612" s="284"/>
      <c r="BM612" s="284"/>
      <c r="BN612" s="284"/>
      <c r="BO612" s="284"/>
      <c r="BP612" s="284"/>
      <c r="BQ612" s="284"/>
      <c r="BR612" s="284"/>
      <c r="BS612" s="284"/>
      <c r="BT612" s="284"/>
      <c r="BU612" s="284"/>
      <c r="BV612" s="284"/>
      <c r="BW612" s="284"/>
      <c r="BX612" s="284"/>
      <c r="BY612" s="284"/>
      <c r="BZ612" s="285"/>
      <c r="CA612" s="298">
        <f>SUM(C612,E612,G612,I612,K612,M612,O612,Q612,S612,U612,W612,Y612,AA612,AC612,AE612,AG612,AI612,AK612,AM612,AO612,AQ612,AS612,AU612,AW612,AY612,BA612,BC612,BE612,BG612,BI612,BK612,BM612,BO612,BQ612,BS612,BU612,BW612,BY612)</f>
        <v>0</v>
      </c>
      <c r="CB612" s="298">
        <f>SUM(D612,F612,H612,J612,L612,N612,P612,R612,T612,V612,X612,Z612,AB612,AD612,AF612,AH612,AJ612,AL612,AN612,AP612,AR612,AT612,AV612,AX612,AZ612,BB612,BD612,BF612,BH612,BJ612,BL612,BN612,BP612,BR612,BT612,BV612,BX612,BZ612)</f>
        <v>0</v>
      </c>
      <c r="CC612" s="299">
        <f>SUM(Table13[[#This Row],[GOALS 1]:[ASSISTS 38]])</f>
        <v>0</v>
      </c>
    </row>
    <row r="613" spans="1:81">
      <c r="A613" s="291" t="s">
        <v>1888</v>
      </c>
      <c r="B613" s="291" t="s">
        <v>25</v>
      </c>
      <c r="C613" s="286"/>
      <c r="D613" s="286"/>
      <c r="E613" s="288"/>
      <c r="F613" s="286"/>
      <c r="G613" s="288"/>
      <c r="H613" s="286"/>
      <c r="I613" s="288"/>
      <c r="J613" s="286"/>
      <c r="K613" s="288"/>
      <c r="L613" s="286"/>
      <c r="M613" s="288"/>
      <c r="N613" s="286"/>
      <c r="O613" s="288"/>
      <c r="P613" s="286"/>
      <c r="Q613" s="288"/>
      <c r="R613" s="286"/>
      <c r="S613" s="288"/>
      <c r="T613" s="286"/>
      <c r="U613" s="288"/>
      <c r="V613" s="286"/>
      <c r="W613" s="288"/>
      <c r="X613" s="286"/>
      <c r="Y613" s="288"/>
      <c r="Z613" s="286"/>
      <c r="AA613" s="288"/>
      <c r="AB613" s="286"/>
      <c r="AC613" s="288"/>
      <c r="AD613" s="286"/>
      <c r="AE613" s="288"/>
      <c r="AF613" s="286"/>
      <c r="AG613" s="288"/>
      <c r="AH613" s="286"/>
      <c r="AI613" s="288"/>
      <c r="AJ613" s="286"/>
      <c r="AK613" s="286"/>
      <c r="AL613" s="286"/>
      <c r="AM613" s="286"/>
      <c r="AN613" s="286"/>
      <c r="AO613" s="286"/>
      <c r="AP613" s="286"/>
      <c r="AQ613" s="286"/>
      <c r="AR613" s="286"/>
      <c r="AS613" s="286"/>
      <c r="AT613" s="286"/>
      <c r="AU613" s="286"/>
      <c r="AV613" s="284"/>
      <c r="AW613" s="284"/>
      <c r="AX613" s="284"/>
      <c r="AY613" s="284"/>
      <c r="AZ613" s="284"/>
      <c r="BA613" s="284"/>
      <c r="BB613" s="284"/>
      <c r="BC613" s="284"/>
      <c r="BD613" s="284"/>
      <c r="BE613" s="284"/>
      <c r="BF613" s="284"/>
      <c r="BG613" s="284"/>
      <c r="BH613" s="284"/>
      <c r="BI613" s="284"/>
      <c r="BJ613" s="284"/>
      <c r="BK613" s="284"/>
      <c r="BL613" s="284"/>
      <c r="BM613" s="284"/>
      <c r="BN613" s="284"/>
      <c r="BO613" s="284"/>
      <c r="BP613" s="284"/>
      <c r="BQ613" s="284"/>
      <c r="BR613" s="284"/>
      <c r="BS613" s="284"/>
      <c r="BT613" s="284"/>
      <c r="BU613" s="284"/>
      <c r="BV613" s="284"/>
      <c r="BW613" s="284"/>
      <c r="BX613" s="284"/>
      <c r="BY613" s="284"/>
      <c r="BZ613" s="285"/>
      <c r="CA613" s="298">
        <f>SUM(C613,E613,G613,I613,K613,M613,O613,Q613,S613,U613,W613,Y613,AA613,AC613,AE613,AG613,AI613,AK613,AM613,AO613,AQ613,AS613,AU613,AW613,AY613,BA613,BC613,BE613,BG613,BI613,BK613,BM613,BO613,BQ613,BS613,BU613,BW613,BY613)</f>
        <v>0</v>
      </c>
      <c r="CB613" s="298">
        <f>SUM(D613,F613,H613,J613,L613,N613,P613,R613,T613,V613,X613,Z613,AB613,AD613,AF613,AH613,AJ613,AL613,AN613,AP613,AR613,AT613,AV613,AX613,AZ613,BB613,BD613,BF613,BH613,BJ613,BL613,BN613,BP613,BR613,BT613,BV613,BX613,BZ613)</f>
        <v>0</v>
      </c>
      <c r="CC613" s="299">
        <f>SUM(Table13[[#This Row],[GOALS 1]:[ASSISTS 38]])</f>
        <v>0</v>
      </c>
    </row>
    <row r="614" spans="1:81">
      <c r="A614" s="291" t="s">
        <v>1825</v>
      </c>
      <c r="B614" s="291" t="s">
        <v>26</v>
      </c>
      <c r="C614" s="286"/>
      <c r="D614" s="286"/>
      <c r="E614" s="288"/>
      <c r="F614" s="286"/>
      <c r="G614" s="288"/>
      <c r="H614" s="286"/>
      <c r="I614" s="288"/>
      <c r="J614" s="286"/>
      <c r="K614" s="288"/>
      <c r="L614" s="286"/>
      <c r="M614" s="288"/>
      <c r="N614" s="286"/>
      <c r="O614" s="288"/>
      <c r="P614" s="286"/>
      <c r="Q614" s="288"/>
      <c r="R614" s="286"/>
      <c r="S614" s="288"/>
      <c r="T614" s="286"/>
      <c r="U614" s="288"/>
      <c r="V614" s="286"/>
      <c r="W614" s="288"/>
      <c r="X614" s="286"/>
      <c r="Y614" s="288"/>
      <c r="Z614" s="286"/>
      <c r="AA614" s="288"/>
      <c r="AB614" s="286"/>
      <c r="AC614" s="288"/>
      <c r="AD614" s="286"/>
      <c r="AE614" s="288"/>
      <c r="AF614" s="286"/>
      <c r="AG614" s="288"/>
      <c r="AH614" s="286"/>
      <c r="AI614" s="288"/>
      <c r="AJ614" s="286"/>
      <c r="AK614" s="286"/>
      <c r="AL614" s="286"/>
      <c r="AM614" s="286"/>
      <c r="AN614" s="286"/>
      <c r="AO614" s="286"/>
      <c r="AP614" s="286"/>
      <c r="AQ614" s="286"/>
      <c r="AR614" s="286"/>
      <c r="AS614" s="286"/>
      <c r="AT614" s="286"/>
      <c r="AU614" s="286"/>
      <c r="AV614" s="284"/>
      <c r="AW614" s="284"/>
      <c r="AX614" s="284"/>
      <c r="AY614" s="284"/>
      <c r="AZ614" s="284"/>
      <c r="BA614" s="284"/>
      <c r="BB614" s="284"/>
      <c r="BC614" s="284"/>
      <c r="BD614" s="284"/>
      <c r="BE614" s="284"/>
      <c r="BF614" s="284"/>
      <c r="BG614" s="284"/>
      <c r="BH614" s="284"/>
      <c r="BI614" s="284"/>
      <c r="BJ614" s="284"/>
      <c r="BK614" s="284"/>
      <c r="BL614" s="284"/>
      <c r="BM614" s="284"/>
      <c r="BN614" s="284"/>
      <c r="BO614" s="284"/>
      <c r="BP614" s="284"/>
      <c r="BQ614" s="284"/>
      <c r="BR614" s="284"/>
      <c r="BS614" s="284"/>
      <c r="BT614" s="284"/>
      <c r="BU614" s="284"/>
      <c r="BV614" s="284"/>
      <c r="BW614" s="284"/>
      <c r="BX614" s="284"/>
      <c r="BY614" s="284"/>
      <c r="BZ614" s="285"/>
      <c r="CA614" s="298">
        <f>SUM(C614,E614,G614,I614,K614,M614,O614,Q614,S614,U614,W614,Y614,AA614,AC614,AE614,AG614,AI614,AK614,AM614,AO614,AQ614,AS614,AU614,AW614,AY614,BA614,BC614,BE614,BG614,BI614,BK614,BM614,BO614,BQ614,BS614,BU614,BW614,BY614)</f>
        <v>0</v>
      </c>
      <c r="CB614" s="298">
        <f>SUM(D614,F614,H614,J614,L614,N614,P614,R614,T614,V614,X614,Z614,AB614,AD614,AF614,AH614,AJ614,AL614,AN614,AP614,AR614,AT614,AV614,AX614,AZ614,BB614,BD614,BF614,BH614,BJ614,BL614,BN614,BP614,BR614,BT614,BV614,BX614,BZ614)</f>
        <v>0</v>
      </c>
      <c r="CC614" s="299">
        <f>SUM(Table13[[#This Row],[GOALS 1]:[ASSISTS 38]])</f>
        <v>0</v>
      </c>
    </row>
    <row r="615" spans="1:81">
      <c r="A615" s="291" t="s">
        <v>1815</v>
      </c>
      <c r="B615" s="291" t="s">
        <v>27</v>
      </c>
      <c r="C615" s="286"/>
      <c r="D615" s="286"/>
      <c r="E615" s="289"/>
      <c r="F615" s="286"/>
      <c r="G615" s="288"/>
      <c r="H615" s="286"/>
      <c r="I615" s="288"/>
      <c r="J615" s="286"/>
      <c r="K615" s="288"/>
      <c r="L615" s="286"/>
      <c r="M615" s="288"/>
      <c r="N615" s="286"/>
      <c r="O615" s="288"/>
      <c r="P615" s="286"/>
      <c r="Q615" s="288"/>
      <c r="R615" s="286"/>
      <c r="S615" s="288"/>
      <c r="T615" s="286"/>
      <c r="U615" s="288"/>
      <c r="V615" s="286"/>
      <c r="W615" s="288"/>
      <c r="X615" s="286"/>
      <c r="Y615" s="288"/>
      <c r="Z615" s="286"/>
      <c r="AA615" s="288"/>
      <c r="AB615" s="286"/>
      <c r="AC615" s="288"/>
      <c r="AD615" s="286"/>
      <c r="AE615" s="288"/>
      <c r="AF615" s="286"/>
      <c r="AG615" s="288"/>
      <c r="AH615" s="286"/>
      <c r="AI615" s="288"/>
      <c r="AJ615" s="286"/>
      <c r="AK615" s="286"/>
      <c r="AL615" s="286"/>
      <c r="AM615" s="286"/>
      <c r="AN615" s="286"/>
      <c r="AO615" s="286"/>
      <c r="AP615" s="286"/>
      <c r="AQ615" s="286"/>
      <c r="AR615" s="286"/>
      <c r="AS615" s="286"/>
      <c r="AT615" s="286"/>
      <c r="AU615" s="286"/>
      <c r="AV615" s="284"/>
      <c r="AW615" s="284"/>
      <c r="AX615" s="284"/>
      <c r="AY615" s="284"/>
      <c r="AZ615" s="284"/>
      <c r="BA615" s="284"/>
      <c r="BB615" s="284"/>
      <c r="BC615" s="284"/>
      <c r="BD615" s="284"/>
      <c r="BE615" s="284"/>
      <c r="BF615" s="284"/>
      <c r="BG615" s="284"/>
      <c r="BH615" s="284"/>
      <c r="BI615" s="284"/>
      <c r="BJ615" s="284"/>
      <c r="BK615" s="284"/>
      <c r="BL615" s="284"/>
      <c r="BM615" s="284"/>
      <c r="BN615" s="284"/>
      <c r="BO615" s="284"/>
      <c r="BP615" s="284"/>
      <c r="BQ615" s="284"/>
      <c r="BR615" s="284"/>
      <c r="BS615" s="284"/>
      <c r="BT615" s="284"/>
      <c r="BU615" s="284"/>
      <c r="BV615" s="284"/>
      <c r="BW615" s="284"/>
      <c r="BX615" s="284"/>
      <c r="BY615" s="284"/>
      <c r="BZ615" s="285"/>
      <c r="CA615" s="298">
        <f>SUM(C615,E615,G615,I615,K615,M615,O615,Q615,S615,U615,W615,Y615,AA615,AC615,AE615,AG615,AI615,AK615,AM615,AO615,AQ615,AS615,AU615,AW615,AY615,BA615,BC615,BE615,BG615,BI615,BK615,BM615,BO615,BQ615,BS615,BU615,BW615,BY615)</f>
        <v>0</v>
      </c>
      <c r="CB615" s="298">
        <f>SUM(D615,F615,H615,J615,L615,N615,P615,R615,T615,V615,X615,Z615,AB615,AD615,AF615,AH615,AJ615,AL615,AN615,AP615,AR615,AT615,AV615,AX615,AZ615,BB615,BD615,BF615,BH615,BJ615,BL615,BN615,BP615,BR615,BT615,BV615,BX615,BZ615)</f>
        <v>0</v>
      </c>
      <c r="CC615" s="299">
        <f>SUM(Table13[[#This Row],[GOALS 1]:[ASSISTS 38]])</f>
        <v>0</v>
      </c>
    </row>
    <row r="616" spans="1:81">
      <c r="A616" s="291" t="s">
        <v>1680</v>
      </c>
      <c r="B616" s="291" t="s">
        <v>18</v>
      </c>
      <c r="C616" s="286"/>
      <c r="D616" s="286"/>
      <c r="E616" s="288"/>
      <c r="F616" s="286"/>
      <c r="G616" s="288"/>
      <c r="H616" s="286"/>
      <c r="I616" s="288"/>
      <c r="J616" s="286"/>
      <c r="K616" s="288"/>
      <c r="L616" s="286"/>
      <c r="M616" s="288"/>
      <c r="N616" s="286"/>
      <c r="O616" s="288"/>
      <c r="P616" s="286"/>
      <c r="Q616" s="288"/>
      <c r="R616" s="286"/>
      <c r="S616" s="288"/>
      <c r="T616" s="286"/>
      <c r="U616" s="288"/>
      <c r="V616" s="286"/>
      <c r="W616" s="288"/>
      <c r="X616" s="286"/>
      <c r="Y616" s="288"/>
      <c r="Z616" s="286"/>
      <c r="AA616" s="288"/>
      <c r="AB616" s="286"/>
      <c r="AC616" s="288"/>
      <c r="AD616" s="286"/>
      <c r="AE616" s="288"/>
      <c r="AF616" s="286"/>
      <c r="AG616" s="288"/>
      <c r="AH616" s="286"/>
      <c r="AI616" s="288"/>
      <c r="AJ616" s="286"/>
      <c r="AK616" s="286"/>
      <c r="AL616" s="286"/>
      <c r="AM616" s="286"/>
      <c r="AN616" s="286"/>
      <c r="AO616" s="286"/>
      <c r="AP616" s="286"/>
      <c r="AQ616" s="286"/>
      <c r="AR616" s="286"/>
      <c r="AS616" s="286"/>
      <c r="AT616" s="286"/>
      <c r="AU616" s="286"/>
      <c r="AV616" s="284"/>
      <c r="AW616" s="284"/>
      <c r="AX616" s="284"/>
      <c r="AY616" s="284"/>
      <c r="AZ616" s="284"/>
      <c r="BA616" s="284"/>
      <c r="BB616" s="284"/>
      <c r="BC616" s="284"/>
      <c r="BD616" s="284"/>
      <c r="BE616" s="284"/>
      <c r="BF616" s="284"/>
      <c r="BG616" s="284"/>
      <c r="BH616" s="284"/>
      <c r="BI616" s="284"/>
      <c r="BJ616" s="284"/>
      <c r="BK616" s="284"/>
      <c r="BL616" s="284"/>
      <c r="BM616" s="284"/>
      <c r="BN616" s="284"/>
      <c r="BO616" s="284"/>
      <c r="BP616" s="284"/>
      <c r="BQ616" s="284"/>
      <c r="BR616" s="284"/>
      <c r="BS616" s="284"/>
      <c r="BT616" s="284"/>
      <c r="BU616" s="284"/>
      <c r="BV616" s="284"/>
      <c r="BW616" s="284"/>
      <c r="BX616" s="284"/>
      <c r="BY616" s="284"/>
      <c r="BZ616" s="285"/>
      <c r="CA616" s="298">
        <f>SUM(C616,E616,G616,I616,K616,M616,O616,Q616,S616,U616,W616,Y616,AA616,AC616,AE616,AG616,AI616,AK616,AM616,AO616,AQ616,AS616,AU616,AW616,AY616,BA616,BC616,BE616,BG616,BI616,BK616,BM616,BO616,BQ616,BS616,BU616,BW616,BY616)</f>
        <v>0</v>
      </c>
      <c r="CB616" s="298">
        <f>SUM(D616,F616,H616,J616,L616,N616,P616,R616,T616,V616,X616,Z616,AB616,AD616,AF616,AH616,AJ616,AL616,AN616,AP616,AR616,AT616,AV616,AX616,AZ616,BB616,BD616,BF616,BH616,BJ616,BL616,BN616,BP616,BR616,BT616,BV616,BX616,BZ616)</f>
        <v>0</v>
      </c>
      <c r="CC616" s="299">
        <f>SUM(Table13[[#This Row],[GOALS 1]:[ASSISTS 38]])</f>
        <v>0</v>
      </c>
    </row>
    <row r="617" spans="1:81">
      <c r="A617" s="291" t="s">
        <v>1422</v>
      </c>
      <c r="B617" s="291" t="s">
        <v>633</v>
      </c>
      <c r="C617" s="289"/>
      <c r="D617" s="286"/>
      <c r="E617" s="288"/>
      <c r="F617" s="286"/>
      <c r="G617" s="288"/>
      <c r="H617" s="286"/>
      <c r="I617" s="288"/>
      <c r="J617" s="286"/>
      <c r="K617" s="288"/>
      <c r="L617" s="286"/>
      <c r="M617" s="288"/>
      <c r="N617" s="286"/>
      <c r="O617" s="288"/>
      <c r="P617" s="286"/>
      <c r="Q617" s="288"/>
      <c r="R617" s="286"/>
      <c r="S617" s="288"/>
      <c r="T617" s="286"/>
      <c r="U617" s="288"/>
      <c r="V617" s="286"/>
      <c r="W617" s="288"/>
      <c r="X617" s="286"/>
      <c r="Y617" s="288"/>
      <c r="Z617" s="286"/>
      <c r="AA617" s="288"/>
      <c r="AB617" s="286"/>
      <c r="AC617" s="288"/>
      <c r="AD617" s="286"/>
      <c r="AE617" s="288"/>
      <c r="AF617" s="286"/>
      <c r="AG617" s="288"/>
      <c r="AH617" s="286"/>
      <c r="AI617" s="288"/>
      <c r="AJ617" s="286"/>
      <c r="AK617" s="286"/>
      <c r="AL617" s="286"/>
      <c r="AM617" s="286"/>
      <c r="AN617" s="286"/>
      <c r="AO617" s="286"/>
      <c r="AP617" s="286"/>
      <c r="AQ617" s="286"/>
      <c r="AR617" s="286"/>
      <c r="AS617" s="286"/>
      <c r="AT617" s="286"/>
      <c r="AU617" s="286"/>
      <c r="AV617" s="284"/>
      <c r="AW617" s="284"/>
      <c r="AX617" s="284"/>
      <c r="AY617" s="284"/>
      <c r="AZ617" s="284"/>
      <c r="BA617" s="284"/>
      <c r="BB617" s="284"/>
      <c r="BC617" s="284"/>
      <c r="BD617" s="284"/>
      <c r="BE617" s="284"/>
      <c r="BF617" s="284"/>
      <c r="BG617" s="284"/>
      <c r="BH617" s="284"/>
      <c r="BI617" s="284"/>
      <c r="BJ617" s="284"/>
      <c r="BK617" s="284"/>
      <c r="BL617" s="284"/>
      <c r="BM617" s="284"/>
      <c r="BN617" s="284"/>
      <c r="BO617" s="284"/>
      <c r="BP617" s="284"/>
      <c r="BQ617" s="284"/>
      <c r="BR617" s="284"/>
      <c r="BS617" s="284"/>
      <c r="BT617" s="284"/>
      <c r="BU617" s="284"/>
      <c r="BV617" s="284"/>
      <c r="BW617" s="284"/>
      <c r="BX617" s="284"/>
      <c r="BY617" s="284"/>
      <c r="BZ617" s="285"/>
      <c r="CA617" s="298">
        <f>SUM(C617,E617,G617,I617,K617,M617,O617,Q617,S617,U617,W617,Y617,AA617,AC617,AE617,AG617,AI617,AK617,AM617,AO617,AQ617,AS617,AU617,AW617,AY617,BA617,BC617,BE617,BG617,BI617,BK617,BM617,BO617,BQ617,BS617,BU617,BW617,BY617)</f>
        <v>0</v>
      </c>
      <c r="CB617" s="298">
        <f>SUM(D617,F617,H617,J617,L617,N617,P617,R617,T617,V617,X617,Z617,AB617,AD617,AF617,AH617,AJ617,AL617,AN617,AP617,AR617,AT617,AV617,AX617,AZ617,BB617,BD617,BF617,BH617,BJ617,BL617,BN617,BP617,BR617,BT617,BV617,BX617,BZ617)</f>
        <v>0</v>
      </c>
      <c r="CC617" s="299">
        <f>SUM(Table13[[#This Row],[GOALS 1]:[ASSISTS 38]])</f>
        <v>0</v>
      </c>
    </row>
    <row r="618" spans="1:81">
      <c r="A618" s="291" t="s">
        <v>1811</v>
      </c>
      <c r="B618" s="291" t="s">
        <v>43</v>
      </c>
      <c r="C618" s="286"/>
      <c r="D618" s="286"/>
      <c r="E618" s="288"/>
      <c r="F618" s="286"/>
      <c r="G618" s="288"/>
      <c r="H618" s="286"/>
      <c r="I618" s="288"/>
      <c r="J618" s="286"/>
      <c r="K618" s="288"/>
      <c r="L618" s="286"/>
      <c r="M618" s="288"/>
      <c r="N618" s="286"/>
      <c r="O618" s="288"/>
      <c r="P618" s="286"/>
      <c r="Q618" s="288"/>
      <c r="R618" s="286"/>
      <c r="S618" s="288"/>
      <c r="T618" s="286"/>
      <c r="U618" s="288"/>
      <c r="V618" s="286"/>
      <c r="W618" s="288"/>
      <c r="X618" s="286"/>
      <c r="Y618" s="288"/>
      <c r="Z618" s="286"/>
      <c r="AA618" s="288"/>
      <c r="AB618" s="286"/>
      <c r="AC618" s="288"/>
      <c r="AD618" s="286"/>
      <c r="AE618" s="288"/>
      <c r="AF618" s="286"/>
      <c r="AG618" s="288"/>
      <c r="AH618" s="286"/>
      <c r="AI618" s="288"/>
      <c r="AJ618" s="286"/>
      <c r="AK618" s="286"/>
      <c r="AL618" s="286"/>
      <c r="AM618" s="286"/>
      <c r="AN618" s="286"/>
      <c r="AO618" s="286"/>
      <c r="AP618" s="286"/>
      <c r="AQ618" s="286"/>
      <c r="AR618" s="286"/>
      <c r="AS618" s="286"/>
      <c r="AT618" s="286"/>
      <c r="AU618" s="286"/>
      <c r="AV618" s="284"/>
      <c r="AW618" s="284"/>
      <c r="AX618" s="284"/>
      <c r="AY618" s="284"/>
      <c r="AZ618" s="284"/>
      <c r="BA618" s="284"/>
      <c r="BB618" s="284"/>
      <c r="BC618" s="284"/>
      <c r="BD618" s="284"/>
      <c r="BE618" s="284"/>
      <c r="BF618" s="284"/>
      <c r="BG618" s="284"/>
      <c r="BH618" s="284"/>
      <c r="BI618" s="284"/>
      <c r="BJ618" s="284"/>
      <c r="BK618" s="284"/>
      <c r="BL618" s="284"/>
      <c r="BM618" s="284"/>
      <c r="BN618" s="284"/>
      <c r="BO618" s="284"/>
      <c r="BP618" s="284"/>
      <c r="BQ618" s="284"/>
      <c r="BR618" s="284"/>
      <c r="BS618" s="284"/>
      <c r="BT618" s="284"/>
      <c r="BU618" s="284"/>
      <c r="BV618" s="284"/>
      <c r="BW618" s="284"/>
      <c r="BX618" s="284"/>
      <c r="BY618" s="284"/>
      <c r="BZ618" s="285"/>
      <c r="CA618" s="298">
        <f>SUM(C618,E618,G618,I618,K618,M618,O618,Q618,S618,U618,W618,Y618,AA618,AC618,AE618,AG618,AI618,AK618,AM618,AO618,AQ618,AS618,AU618,AW618,AY618,BA618,BC618,BE618,BG618,BI618,BK618,BM618,BO618,BQ618,BS618,BU618,BW618,BY618)</f>
        <v>0</v>
      </c>
      <c r="CB618" s="298">
        <f>SUM(D618,F618,H618,J618,L618,N618,P618,R618,T618,V618,X618,Z618,AB618,AD618,AF618,AH618,AJ618,AL618,AN618,AP618,AR618,AT618,AV618,AX618,AZ618,BB618,BD618,BF618,BH618,BJ618,BL618,BN618,BP618,BR618,BT618,BV618,BX618,BZ618)</f>
        <v>0</v>
      </c>
      <c r="CC618" s="299">
        <f>SUM(Table13[[#This Row],[GOALS 1]:[ASSISTS 38]])</f>
        <v>0</v>
      </c>
    </row>
    <row r="619" spans="1:81">
      <c r="A619" s="291" t="s">
        <v>1567</v>
      </c>
      <c r="B619" s="291" t="s">
        <v>26</v>
      </c>
      <c r="C619" s="286"/>
      <c r="D619" s="286"/>
      <c r="E619" s="288"/>
      <c r="F619" s="286"/>
      <c r="G619" s="288"/>
      <c r="H619" s="286"/>
      <c r="I619" s="288"/>
      <c r="J619" s="286"/>
      <c r="K619" s="288"/>
      <c r="L619" s="286"/>
      <c r="M619" s="288"/>
      <c r="N619" s="286"/>
      <c r="O619" s="288"/>
      <c r="P619" s="286"/>
      <c r="Q619" s="288"/>
      <c r="R619" s="286"/>
      <c r="S619" s="288"/>
      <c r="T619" s="286"/>
      <c r="U619" s="288"/>
      <c r="V619" s="286"/>
      <c r="W619" s="288"/>
      <c r="X619" s="286"/>
      <c r="Y619" s="288"/>
      <c r="Z619" s="286"/>
      <c r="AA619" s="288"/>
      <c r="AB619" s="286"/>
      <c r="AC619" s="288"/>
      <c r="AD619" s="286"/>
      <c r="AE619" s="288"/>
      <c r="AF619" s="286"/>
      <c r="AG619" s="288"/>
      <c r="AH619" s="286"/>
      <c r="AI619" s="288"/>
      <c r="AJ619" s="286"/>
      <c r="AK619" s="286"/>
      <c r="AL619" s="286"/>
      <c r="AM619" s="286"/>
      <c r="AN619" s="286"/>
      <c r="AO619" s="286"/>
      <c r="AP619" s="286"/>
      <c r="AQ619" s="286"/>
      <c r="AR619" s="286"/>
      <c r="AS619" s="286"/>
      <c r="AT619" s="286"/>
      <c r="AU619" s="286"/>
      <c r="AV619" s="284"/>
      <c r="AW619" s="284"/>
      <c r="AX619" s="284"/>
      <c r="AY619" s="284"/>
      <c r="AZ619" s="284"/>
      <c r="BA619" s="284"/>
      <c r="BB619" s="284"/>
      <c r="BC619" s="284"/>
      <c r="BD619" s="284"/>
      <c r="BE619" s="284"/>
      <c r="BF619" s="284"/>
      <c r="BG619" s="284"/>
      <c r="BH619" s="284"/>
      <c r="BI619" s="284"/>
      <c r="BJ619" s="284"/>
      <c r="BK619" s="284"/>
      <c r="BL619" s="284"/>
      <c r="BM619" s="284"/>
      <c r="BN619" s="284"/>
      <c r="BO619" s="284"/>
      <c r="BP619" s="284"/>
      <c r="BQ619" s="284"/>
      <c r="BR619" s="284"/>
      <c r="BS619" s="284"/>
      <c r="BT619" s="284"/>
      <c r="BU619" s="284"/>
      <c r="BV619" s="284"/>
      <c r="BW619" s="284"/>
      <c r="BX619" s="284"/>
      <c r="BY619" s="284"/>
      <c r="BZ619" s="285"/>
      <c r="CA619" s="298">
        <f>SUM(C619,E619,G619,I619,K619,M619,O619,Q619,S619,U619,W619,Y619,AA619,AC619,AE619,AG619,AI619,AK619,AM619,AO619,AQ619,AS619,AU619,AW619,AY619,BA619,BC619,BE619,BG619,BI619,BK619,BM619,BO619,BQ619,BS619,BU619,BW619,BY619)</f>
        <v>0</v>
      </c>
      <c r="CB619" s="298">
        <f>SUM(D619,F619,H619,J619,L619,N619,P619,R619,T619,V619,X619,Z619,AB619,AD619,AF619,AH619,AJ619,AL619,AN619,AP619,AR619,AT619,AV619,AX619,AZ619,BB619,BD619,BF619,BH619,BJ619,BL619,BN619,BP619,BR619,BT619,BV619,BX619,BZ619)</f>
        <v>0</v>
      </c>
      <c r="CC619" s="299">
        <f>SUM(Table13[[#This Row],[GOALS 1]:[ASSISTS 38]])</f>
        <v>0</v>
      </c>
    </row>
    <row r="620" spans="1:81">
      <c r="A620" s="291" t="s">
        <v>1352</v>
      </c>
      <c r="B620" s="291" t="s">
        <v>20</v>
      </c>
      <c r="C620" s="289"/>
      <c r="D620" s="286"/>
      <c r="E620" s="288"/>
      <c r="F620" s="286"/>
      <c r="G620" s="288"/>
      <c r="H620" s="286"/>
      <c r="I620" s="288"/>
      <c r="J620" s="286"/>
      <c r="K620" s="288"/>
      <c r="L620" s="286"/>
      <c r="M620" s="288"/>
      <c r="N620" s="286"/>
      <c r="O620" s="288"/>
      <c r="P620" s="286"/>
      <c r="Q620" s="288"/>
      <c r="R620" s="286"/>
      <c r="S620" s="288"/>
      <c r="T620" s="286"/>
      <c r="U620" s="288"/>
      <c r="V620" s="286"/>
      <c r="W620" s="288"/>
      <c r="X620" s="286"/>
      <c r="Y620" s="288"/>
      <c r="Z620" s="286"/>
      <c r="AA620" s="288"/>
      <c r="AB620" s="286"/>
      <c r="AC620" s="288"/>
      <c r="AD620" s="286"/>
      <c r="AE620" s="288"/>
      <c r="AF620" s="286"/>
      <c r="AG620" s="288"/>
      <c r="AH620" s="286"/>
      <c r="AI620" s="288"/>
      <c r="AJ620" s="286"/>
      <c r="AK620" s="286"/>
      <c r="AL620" s="286"/>
      <c r="AM620" s="286"/>
      <c r="AN620" s="286"/>
      <c r="AO620" s="286"/>
      <c r="AP620" s="286"/>
      <c r="AQ620" s="286"/>
      <c r="AR620" s="286"/>
      <c r="AS620" s="286"/>
      <c r="AT620" s="286"/>
      <c r="AU620" s="286"/>
      <c r="AV620" s="284"/>
      <c r="AW620" s="284"/>
      <c r="AX620" s="284"/>
      <c r="AY620" s="284"/>
      <c r="AZ620" s="284"/>
      <c r="BA620" s="284"/>
      <c r="BB620" s="284"/>
      <c r="BC620" s="284"/>
      <c r="BD620" s="284"/>
      <c r="BE620" s="284"/>
      <c r="BF620" s="284"/>
      <c r="BG620" s="284"/>
      <c r="BH620" s="284"/>
      <c r="BI620" s="284"/>
      <c r="BJ620" s="284"/>
      <c r="BK620" s="284"/>
      <c r="BL620" s="284"/>
      <c r="BM620" s="284"/>
      <c r="BN620" s="284"/>
      <c r="BO620" s="284"/>
      <c r="BP620" s="284"/>
      <c r="BQ620" s="284"/>
      <c r="BR620" s="284"/>
      <c r="BS620" s="284"/>
      <c r="BT620" s="284"/>
      <c r="BU620" s="284"/>
      <c r="BV620" s="284"/>
      <c r="BW620" s="284"/>
      <c r="BX620" s="284"/>
      <c r="BY620" s="284"/>
      <c r="BZ620" s="285"/>
      <c r="CA620" s="298">
        <f>SUM(C620,E620,G620,I620,K620,M620,O620,Q620,S620,U620,W620,Y620,AA620,AC620,AE620,AG620,AI620,AK620,AM620,AO620,AQ620,AS620,AU620,AW620,AY620,BA620,BC620,BE620,BG620,BI620,BK620,BM620,BO620,BQ620,BS620,BU620,BW620,BY620)</f>
        <v>0</v>
      </c>
      <c r="CB620" s="298">
        <f>SUM(D620,F620,H620,J620,L620,N620,P620,R620,T620,V620,X620,Z620,AB620,AD620,AF620,AH620,AJ620,AL620,AN620,AP620,AR620,AT620,AV620,AX620,AZ620,BB620,BD620,BF620,BH620,BJ620,BL620,BN620,BP620,BR620,BT620,BV620,BX620,BZ620)</f>
        <v>0</v>
      </c>
      <c r="CC620" s="299">
        <f>SUM(Table13[[#This Row],[GOALS 1]:[ASSISTS 38]])</f>
        <v>0</v>
      </c>
    </row>
    <row r="621" spans="1:81">
      <c r="A621" s="291" t="s">
        <v>1818</v>
      </c>
      <c r="B621" s="291" t="s">
        <v>52</v>
      </c>
      <c r="C621" s="289"/>
      <c r="D621" s="286"/>
      <c r="E621" s="288"/>
      <c r="F621" s="286"/>
      <c r="G621" s="288"/>
      <c r="H621" s="286"/>
      <c r="I621" s="288"/>
      <c r="J621" s="286"/>
      <c r="K621" s="288"/>
      <c r="L621" s="286"/>
      <c r="M621" s="288"/>
      <c r="N621" s="286"/>
      <c r="O621" s="288"/>
      <c r="P621" s="286"/>
      <c r="Q621" s="288"/>
      <c r="R621" s="286"/>
      <c r="S621" s="288"/>
      <c r="T621" s="286"/>
      <c r="U621" s="288"/>
      <c r="V621" s="286"/>
      <c r="W621" s="288"/>
      <c r="X621" s="286"/>
      <c r="Y621" s="288"/>
      <c r="Z621" s="286"/>
      <c r="AA621" s="288"/>
      <c r="AB621" s="286"/>
      <c r="AC621" s="288"/>
      <c r="AD621" s="286"/>
      <c r="AE621" s="288"/>
      <c r="AF621" s="286"/>
      <c r="AG621" s="288"/>
      <c r="AH621" s="286"/>
      <c r="AI621" s="288"/>
      <c r="AJ621" s="286"/>
      <c r="AK621" s="286"/>
      <c r="AL621" s="286"/>
      <c r="AM621" s="286"/>
      <c r="AN621" s="286"/>
      <c r="AO621" s="286"/>
      <c r="AP621" s="286"/>
      <c r="AQ621" s="286"/>
      <c r="AR621" s="286"/>
      <c r="AS621" s="286"/>
      <c r="AT621" s="286"/>
      <c r="AU621" s="286"/>
      <c r="AV621" s="284"/>
      <c r="AW621" s="284"/>
      <c r="AX621" s="284"/>
      <c r="AY621" s="284"/>
      <c r="AZ621" s="284"/>
      <c r="BA621" s="284"/>
      <c r="BB621" s="284"/>
      <c r="BC621" s="284"/>
      <c r="BD621" s="284"/>
      <c r="BE621" s="284"/>
      <c r="BF621" s="284"/>
      <c r="BG621" s="284"/>
      <c r="BH621" s="284"/>
      <c r="BI621" s="284"/>
      <c r="BJ621" s="284"/>
      <c r="BK621" s="284"/>
      <c r="BL621" s="284"/>
      <c r="BM621" s="284"/>
      <c r="BN621" s="284"/>
      <c r="BO621" s="284"/>
      <c r="BP621" s="284"/>
      <c r="BQ621" s="284"/>
      <c r="BR621" s="284"/>
      <c r="BS621" s="284"/>
      <c r="BT621" s="284"/>
      <c r="BU621" s="284"/>
      <c r="BV621" s="284"/>
      <c r="BW621" s="284"/>
      <c r="BX621" s="284"/>
      <c r="BY621" s="284"/>
      <c r="BZ621" s="285"/>
      <c r="CA621" s="298">
        <f>SUM(C621,E621,G621,I621,K621,M621,O621,Q621,S621,U621,W621,Y621,AA621,AC621,AE621,AG621,AI621,AK621,AM621,AO621,AQ621,AS621,AU621,AW621,AY621,BA621,BC621,BE621,BG621,BI621,BK621,BM621,BO621,BQ621,BS621,BU621,BW621,BY621)</f>
        <v>0</v>
      </c>
      <c r="CB621" s="298">
        <f>SUM(D621,F621,H621,J621,L621,N621,P621,R621,T621,V621,X621,Z621,AB621,AD621,AF621,AH621,AJ621,AL621,AN621,AP621,AR621,AT621,AV621,AX621,AZ621,BB621,BD621,BF621,BH621,BJ621,BL621,BN621,BP621,BR621,BT621,BV621,BX621,BZ621)</f>
        <v>0</v>
      </c>
      <c r="CC621" s="299">
        <f>SUM(Table13[[#This Row],[GOALS 1]:[ASSISTS 38]])</f>
        <v>0</v>
      </c>
    </row>
    <row r="622" spans="1:81">
      <c r="A622" s="291" t="s">
        <v>1463</v>
      </c>
      <c r="B622" s="291" t="s">
        <v>19</v>
      </c>
      <c r="C622" s="286"/>
      <c r="D622" s="286"/>
      <c r="E622" s="288"/>
      <c r="F622" s="286"/>
      <c r="G622" s="288"/>
      <c r="H622" s="286"/>
      <c r="I622" s="288"/>
      <c r="J622" s="286"/>
      <c r="K622" s="288"/>
      <c r="L622" s="286"/>
      <c r="M622" s="288"/>
      <c r="N622" s="286"/>
      <c r="O622" s="288"/>
      <c r="P622" s="286"/>
      <c r="Q622" s="288"/>
      <c r="R622" s="286"/>
      <c r="S622" s="288"/>
      <c r="T622" s="286"/>
      <c r="U622" s="288"/>
      <c r="V622" s="286"/>
      <c r="W622" s="288"/>
      <c r="X622" s="286"/>
      <c r="Y622" s="288"/>
      <c r="Z622" s="286"/>
      <c r="AA622" s="288"/>
      <c r="AB622" s="286"/>
      <c r="AC622" s="288"/>
      <c r="AD622" s="286"/>
      <c r="AE622" s="288"/>
      <c r="AF622" s="286"/>
      <c r="AG622" s="288"/>
      <c r="AH622" s="286"/>
      <c r="AI622" s="288"/>
      <c r="AJ622" s="286"/>
      <c r="AK622" s="286"/>
      <c r="AL622" s="286"/>
      <c r="AM622" s="286"/>
      <c r="AN622" s="286"/>
      <c r="AO622" s="286"/>
      <c r="AP622" s="286"/>
      <c r="AQ622" s="286"/>
      <c r="AR622" s="286"/>
      <c r="AS622" s="286"/>
      <c r="AT622" s="286"/>
      <c r="AU622" s="286"/>
      <c r="AV622" s="284"/>
      <c r="AW622" s="284"/>
      <c r="AX622" s="284"/>
      <c r="AY622" s="284"/>
      <c r="AZ622" s="284"/>
      <c r="BA622" s="284"/>
      <c r="BB622" s="284"/>
      <c r="BC622" s="284"/>
      <c r="BD622" s="284"/>
      <c r="BE622" s="284"/>
      <c r="BF622" s="284"/>
      <c r="BG622" s="284"/>
      <c r="BH622" s="284"/>
      <c r="BI622" s="284"/>
      <c r="BJ622" s="284"/>
      <c r="BK622" s="284"/>
      <c r="BL622" s="284"/>
      <c r="BM622" s="284"/>
      <c r="BN622" s="284"/>
      <c r="BO622" s="284"/>
      <c r="BP622" s="284"/>
      <c r="BQ622" s="284"/>
      <c r="BR622" s="284"/>
      <c r="BS622" s="284"/>
      <c r="BT622" s="284"/>
      <c r="BU622" s="284"/>
      <c r="BV622" s="284"/>
      <c r="BW622" s="284"/>
      <c r="BX622" s="284"/>
      <c r="BY622" s="284"/>
      <c r="BZ622" s="285"/>
      <c r="CA622" s="298">
        <f>SUM(C622,E622,G622,I622,K622,M622,O622,Q622,S622,U622,W622,Y622,AA622,AC622,AE622,AG622,AI622,AK622,AM622,AO622,AQ622,AS622,AU622,AW622,AY622,BA622,BC622,BE622,BG622,BI622,BK622,BM622,BO622,BQ622,BS622,BU622,BW622,BY622)</f>
        <v>0</v>
      </c>
      <c r="CB622" s="298">
        <f>SUM(D622,F622,H622,J622,L622,N622,P622,R622,T622,V622,X622,Z622,AB622,AD622,AF622,AH622,AJ622,AL622,AN622,AP622,AR622,AT622,AV622,AX622,AZ622,BB622,BD622,BF622,BH622,BJ622,BL622,BN622,BP622,BR622,BT622,BV622,BX622,BZ622)</f>
        <v>0</v>
      </c>
      <c r="CC622" s="299">
        <f>SUM(Table13[[#This Row],[GOALS 1]:[ASSISTS 38]])</f>
        <v>0</v>
      </c>
    </row>
    <row r="623" spans="1:81">
      <c r="A623" s="291" t="s">
        <v>1358</v>
      </c>
      <c r="B623" s="291" t="s">
        <v>33</v>
      </c>
      <c r="C623" s="289"/>
      <c r="D623" s="286"/>
      <c r="E623" s="288"/>
      <c r="F623" s="286"/>
      <c r="G623" s="288"/>
      <c r="H623" s="286"/>
      <c r="I623" s="288"/>
      <c r="J623" s="286"/>
      <c r="K623" s="288"/>
      <c r="L623" s="286"/>
      <c r="M623" s="288"/>
      <c r="N623" s="286"/>
      <c r="O623" s="288"/>
      <c r="P623" s="286"/>
      <c r="Q623" s="288"/>
      <c r="R623" s="286"/>
      <c r="S623" s="288"/>
      <c r="T623" s="286"/>
      <c r="U623" s="288"/>
      <c r="V623" s="286"/>
      <c r="W623" s="288"/>
      <c r="X623" s="286"/>
      <c r="Y623" s="288"/>
      <c r="Z623" s="286"/>
      <c r="AA623" s="288"/>
      <c r="AB623" s="286"/>
      <c r="AC623" s="288"/>
      <c r="AD623" s="286"/>
      <c r="AE623" s="288"/>
      <c r="AF623" s="286"/>
      <c r="AG623" s="288"/>
      <c r="AH623" s="286"/>
      <c r="AI623" s="288"/>
      <c r="AJ623" s="286"/>
      <c r="AK623" s="286"/>
      <c r="AL623" s="286"/>
      <c r="AM623" s="286"/>
      <c r="AN623" s="286"/>
      <c r="AO623" s="286"/>
      <c r="AP623" s="286"/>
      <c r="AQ623" s="286"/>
      <c r="AR623" s="286"/>
      <c r="AS623" s="286"/>
      <c r="AT623" s="286"/>
      <c r="AU623" s="286"/>
      <c r="AV623" s="284"/>
      <c r="AW623" s="284"/>
      <c r="AX623" s="284"/>
      <c r="AY623" s="284"/>
      <c r="AZ623" s="284"/>
      <c r="BA623" s="284"/>
      <c r="BB623" s="284"/>
      <c r="BC623" s="284"/>
      <c r="BD623" s="284"/>
      <c r="BE623" s="284"/>
      <c r="BF623" s="284"/>
      <c r="BG623" s="284"/>
      <c r="BH623" s="284"/>
      <c r="BI623" s="284"/>
      <c r="BJ623" s="284"/>
      <c r="BK623" s="284"/>
      <c r="BL623" s="284"/>
      <c r="BM623" s="284"/>
      <c r="BN623" s="284"/>
      <c r="BO623" s="284"/>
      <c r="BP623" s="284"/>
      <c r="BQ623" s="284"/>
      <c r="BR623" s="284"/>
      <c r="BS623" s="284"/>
      <c r="BT623" s="284"/>
      <c r="BU623" s="284"/>
      <c r="BV623" s="284"/>
      <c r="BW623" s="284"/>
      <c r="BX623" s="284"/>
      <c r="BY623" s="284"/>
      <c r="BZ623" s="285"/>
      <c r="CA623" s="298">
        <f>SUM(C623,E623,G623,I623,K623,M623,O623,Q623,S623,U623,W623,Y623,AA623,AC623,AE623,AG623,AI623,AK623,AM623,AO623,AQ623,AS623,AU623,AW623,AY623,BA623,BC623,BE623,BG623,BI623,BK623,BM623,BO623,BQ623,BS623,BU623,BW623,BY623)</f>
        <v>0</v>
      </c>
      <c r="CB623" s="298">
        <f>SUM(D623,F623,H623,J623,L623,N623,P623,R623,T623,V623,X623,Z623,AB623,AD623,AF623,AH623,AJ623,AL623,AN623,AP623,AR623,AT623,AV623,AX623,AZ623,BB623,BD623,BF623,BH623,BJ623,BL623,BN623,BP623,BR623,BT623,BV623,BX623,BZ623)</f>
        <v>0</v>
      </c>
      <c r="CC623" s="299">
        <f>SUM(Table13[[#This Row],[GOALS 1]:[ASSISTS 38]])</f>
        <v>0</v>
      </c>
    </row>
    <row r="624" spans="1:81">
      <c r="A624" s="291" t="s">
        <v>1536</v>
      </c>
      <c r="B624" s="291" t="s">
        <v>33</v>
      </c>
      <c r="C624" s="289"/>
      <c r="D624" s="286"/>
      <c r="E624" s="288"/>
      <c r="F624" s="286"/>
      <c r="G624" s="288"/>
      <c r="H624" s="286"/>
      <c r="I624" s="288"/>
      <c r="J624" s="286"/>
      <c r="K624" s="288"/>
      <c r="L624" s="286"/>
      <c r="M624" s="288"/>
      <c r="N624" s="286"/>
      <c r="O624" s="288"/>
      <c r="P624" s="286"/>
      <c r="Q624" s="288"/>
      <c r="R624" s="286"/>
      <c r="S624" s="288"/>
      <c r="T624" s="286"/>
      <c r="U624" s="288"/>
      <c r="V624" s="286"/>
      <c r="W624" s="288"/>
      <c r="X624" s="286"/>
      <c r="Y624" s="288"/>
      <c r="Z624" s="286"/>
      <c r="AA624" s="288"/>
      <c r="AB624" s="286"/>
      <c r="AC624" s="288"/>
      <c r="AD624" s="286"/>
      <c r="AE624" s="288"/>
      <c r="AF624" s="286"/>
      <c r="AG624" s="288"/>
      <c r="AH624" s="286"/>
      <c r="AI624" s="288"/>
      <c r="AJ624" s="286"/>
      <c r="AK624" s="286"/>
      <c r="AL624" s="286"/>
      <c r="AM624" s="286"/>
      <c r="AN624" s="286"/>
      <c r="AO624" s="286"/>
      <c r="AP624" s="286"/>
      <c r="AQ624" s="286"/>
      <c r="AR624" s="286"/>
      <c r="AS624" s="286"/>
      <c r="AT624" s="286"/>
      <c r="AU624" s="286"/>
      <c r="AV624" s="284"/>
      <c r="AW624" s="284"/>
      <c r="AX624" s="284"/>
      <c r="AY624" s="284"/>
      <c r="AZ624" s="284"/>
      <c r="BA624" s="284"/>
      <c r="BB624" s="284"/>
      <c r="BC624" s="284"/>
      <c r="BD624" s="284"/>
      <c r="BE624" s="284"/>
      <c r="BF624" s="284"/>
      <c r="BG624" s="284"/>
      <c r="BH624" s="284"/>
      <c r="BI624" s="284"/>
      <c r="BJ624" s="284"/>
      <c r="BK624" s="284"/>
      <c r="BL624" s="284"/>
      <c r="BM624" s="284"/>
      <c r="BN624" s="284"/>
      <c r="BO624" s="284"/>
      <c r="BP624" s="284"/>
      <c r="BQ624" s="284"/>
      <c r="BR624" s="284"/>
      <c r="BS624" s="284"/>
      <c r="BT624" s="284"/>
      <c r="BU624" s="284"/>
      <c r="BV624" s="284"/>
      <c r="BW624" s="284"/>
      <c r="BX624" s="284"/>
      <c r="BY624" s="284"/>
      <c r="BZ624" s="285"/>
      <c r="CA624" s="298">
        <f>SUM(C624,E624,G624,I624,K624,M624,O624,Q624,S624,U624,W624,Y624,AA624,AC624,AE624,AG624,AI624,AK624,AM624,AO624,AQ624,AS624,AU624,AW624,AY624,BA624,BC624,BE624,BG624,BI624,BK624,BM624,BO624,BQ624,BS624,BU624,BW624,BY624)</f>
        <v>0</v>
      </c>
      <c r="CB624" s="298">
        <f>SUM(D624,F624,H624,J624,L624,N624,P624,R624,T624,V624,X624,Z624,AB624,AD624,AF624,AH624,AJ624,AL624,AN624,AP624,AR624,AT624,AV624,AX624,AZ624,BB624,BD624,BF624,BH624,BJ624,BL624,BN624,BP624,BR624,BT624,BV624,BX624,BZ624)</f>
        <v>0</v>
      </c>
      <c r="CC624" s="299">
        <f>SUM(Table13[[#This Row],[GOALS 1]:[ASSISTS 38]])</f>
        <v>0</v>
      </c>
    </row>
    <row r="625" spans="1:81">
      <c r="A625" s="291" t="s">
        <v>1555</v>
      </c>
      <c r="B625" s="291" t="s">
        <v>21</v>
      </c>
      <c r="C625" s="289"/>
      <c r="D625" s="286"/>
      <c r="E625" s="288"/>
      <c r="F625" s="286"/>
      <c r="G625" s="288"/>
      <c r="H625" s="286"/>
      <c r="I625" s="288"/>
      <c r="J625" s="286"/>
      <c r="K625" s="288"/>
      <c r="L625" s="286"/>
      <c r="M625" s="288"/>
      <c r="N625" s="286"/>
      <c r="O625" s="288"/>
      <c r="P625" s="286"/>
      <c r="Q625" s="288"/>
      <c r="R625" s="286"/>
      <c r="S625" s="288"/>
      <c r="T625" s="286"/>
      <c r="U625" s="288"/>
      <c r="V625" s="286"/>
      <c r="W625" s="288"/>
      <c r="X625" s="286"/>
      <c r="Y625" s="288"/>
      <c r="Z625" s="286"/>
      <c r="AA625" s="288"/>
      <c r="AB625" s="286"/>
      <c r="AC625" s="288"/>
      <c r="AD625" s="286"/>
      <c r="AE625" s="288"/>
      <c r="AF625" s="286"/>
      <c r="AG625" s="288"/>
      <c r="AH625" s="286"/>
      <c r="AI625" s="288"/>
      <c r="AJ625" s="286"/>
      <c r="AK625" s="286"/>
      <c r="AL625" s="286"/>
      <c r="AM625" s="286"/>
      <c r="AN625" s="286"/>
      <c r="AO625" s="286"/>
      <c r="AP625" s="286"/>
      <c r="AQ625" s="286"/>
      <c r="AR625" s="286"/>
      <c r="AS625" s="286"/>
      <c r="AT625" s="286"/>
      <c r="AU625" s="286"/>
      <c r="AV625" s="284"/>
      <c r="AW625" s="284"/>
      <c r="AX625" s="284"/>
      <c r="AY625" s="284"/>
      <c r="AZ625" s="284"/>
      <c r="BA625" s="284"/>
      <c r="BB625" s="284"/>
      <c r="BC625" s="284"/>
      <c r="BD625" s="284"/>
      <c r="BE625" s="284"/>
      <c r="BF625" s="284"/>
      <c r="BG625" s="284"/>
      <c r="BH625" s="284"/>
      <c r="BI625" s="284"/>
      <c r="BJ625" s="284"/>
      <c r="BK625" s="284"/>
      <c r="BL625" s="284"/>
      <c r="BM625" s="284"/>
      <c r="BN625" s="284"/>
      <c r="BO625" s="284"/>
      <c r="BP625" s="284"/>
      <c r="BQ625" s="284"/>
      <c r="BR625" s="284"/>
      <c r="BS625" s="284"/>
      <c r="BT625" s="284"/>
      <c r="BU625" s="284"/>
      <c r="BV625" s="284"/>
      <c r="BW625" s="284"/>
      <c r="BX625" s="284"/>
      <c r="BY625" s="284"/>
      <c r="BZ625" s="285"/>
      <c r="CA625" s="298">
        <f>SUM(C625,E625,G625,I625,K625,M625,O625,Q625,S625,U625,W625,Y625,AA625,AC625,AE625,AG625,AI625,AK625,AM625,AO625,AQ625,AS625,AU625,AW625,AY625,BA625,BC625,BE625,BG625,BI625,BK625,BM625,BO625,BQ625,BS625,BU625,BW625,BY625)</f>
        <v>0</v>
      </c>
      <c r="CB625" s="298">
        <f>SUM(D625,F625,H625,J625,L625,N625,P625,R625,T625,V625,X625,Z625,AB625,AD625,AF625,AH625,AJ625,AL625,AN625,AP625,AR625,AT625,AV625,AX625,AZ625,BB625,BD625,BF625,BH625,BJ625,BL625,BN625,BP625,BR625,BT625,BV625,BX625,BZ625)</f>
        <v>0</v>
      </c>
      <c r="CC625" s="299">
        <f>SUM(Table13[[#This Row],[GOALS 1]:[ASSISTS 38]])</f>
        <v>0</v>
      </c>
    </row>
    <row r="626" spans="1:81">
      <c r="A626" s="292" t="s">
        <v>1771</v>
      </c>
      <c r="B626" s="292" t="s">
        <v>51</v>
      </c>
      <c r="C626" s="286"/>
      <c r="D626" s="286"/>
      <c r="E626" s="288"/>
      <c r="F626" s="286"/>
      <c r="G626" s="288"/>
      <c r="H626" s="286"/>
      <c r="I626" s="288"/>
      <c r="J626" s="286"/>
      <c r="K626" s="288"/>
      <c r="L626" s="286"/>
      <c r="M626" s="288"/>
      <c r="N626" s="286"/>
      <c r="O626" s="288"/>
      <c r="P626" s="286"/>
      <c r="Q626" s="288"/>
      <c r="R626" s="286"/>
      <c r="S626" s="288"/>
      <c r="T626" s="286"/>
      <c r="U626" s="288"/>
      <c r="V626" s="286"/>
      <c r="W626" s="288"/>
      <c r="X626" s="286"/>
      <c r="Y626" s="288"/>
      <c r="Z626" s="286"/>
      <c r="AA626" s="288"/>
      <c r="AB626" s="286"/>
      <c r="AC626" s="288"/>
      <c r="AD626" s="286"/>
      <c r="AE626" s="288"/>
      <c r="AF626" s="286"/>
      <c r="AG626" s="288"/>
      <c r="AH626" s="286"/>
      <c r="AI626" s="288"/>
      <c r="AJ626" s="286"/>
      <c r="AK626" s="286"/>
      <c r="AL626" s="286"/>
      <c r="AM626" s="286"/>
      <c r="AN626" s="286"/>
      <c r="AO626" s="286"/>
      <c r="AP626" s="286"/>
      <c r="AQ626" s="286"/>
      <c r="AR626" s="286"/>
      <c r="AS626" s="286"/>
      <c r="AT626" s="286"/>
      <c r="AU626" s="286"/>
      <c r="AV626" s="284"/>
      <c r="AW626" s="284"/>
      <c r="AX626" s="284"/>
      <c r="AY626" s="284"/>
      <c r="AZ626" s="284"/>
      <c r="BA626" s="284"/>
      <c r="BB626" s="284"/>
      <c r="BC626" s="284"/>
      <c r="BD626" s="284"/>
      <c r="BE626" s="284"/>
      <c r="BF626" s="284"/>
      <c r="BG626" s="284"/>
      <c r="BH626" s="284"/>
      <c r="BI626" s="284"/>
      <c r="BJ626" s="284"/>
      <c r="BK626" s="284"/>
      <c r="BL626" s="284"/>
      <c r="BM626" s="284"/>
      <c r="BN626" s="284"/>
      <c r="BO626" s="284"/>
      <c r="BP626" s="284"/>
      <c r="BQ626" s="284"/>
      <c r="BR626" s="284"/>
      <c r="BS626" s="284"/>
      <c r="BT626" s="284"/>
      <c r="BU626" s="284"/>
      <c r="BV626" s="284"/>
      <c r="BW626" s="284"/>
      <c r="BX626" s="284"/>
      <c r="BY626" s="284"/>
      <c r="BZ626" s="285"/>
      <c r="CA626" s="298">
        <f>SUM(C626,E626,G626,I626,K626,M626,O626,Q626,S626,U626,W626,Y626,AA626,AC626,AE626,AG626,AI626,AK626,AM626,AO626,AQ626,AS626,AU626,AW626,AY626,BA626,BC626,BE626,BG626,BI626,BK626,BM626,BO626,BQ626,BS626,BU626,BW626,BY626)</f>
        <v>0</v>
      </c>
      <c r="CB626" s="298">
        <f>SUM(D626,F626,H626,J626,L626,N626,P626,R626,T626,V626,X626,Z626,AB626,AD626,AF626,AH626,AJ626,AL626,AN626,AP626,AR626,AT626,AV626,AX626,AZ626,BB626,BD626,BF626,BH626,BJ626,BL626,BN626,BP626,BR626,BT626,BV626,BX626,BZ626)</f>
        <v>0</v>
      </c>
      <c r="CC626" s="299">
        <f>SUM(Table13[[#This Row],[GOALS 1]:[ASSISTS 38]])</f>
        <v>0</v>
      </c>
    </row>
    <row r="627" spans="1:81">
      <c r="A627" s="291" t="s">
        <v>1294</v>
      </c>
      <c r="B627" s="291" t="s">
        <v>21</v>
      </c>
      <c r="C627" s="289"/>
      <c r="D627" s="286"/>
      <c r="E627" s="288"/>
      <c r="F627" s="286"/>
      <c r="G627" s="288"/>
      <c r="H627" s="286"/>
      <c r="I627" s="288"/>
      <c r="J627" s="286"/>
      <c r="K627" s="288"/>
      <c r="L627" s="286"/>
      <c r="M627" s="288"/>
      <c r="N627" s="286"/>
      <c r="O627" s="288"/>
      <c r="P627" s="286"/>
      <c r="Q627" s="288"/>
      <c r="R627" s="286"/>
      <c r="S627" s="288"/>
      <c r="T627" s="286"/>
      <c r="U627" s="288"/>
      <c r="V627" s="286"/>
      <c r="W627" s="288"/>
      <c r="X627" s="286"/>
      <c r="Y627" s="288"/>
      <c r="Z627" s="286"/>
      <c r="AA627" s="288"/>
      <c r="AB627" s="286"/>
      <c r="AC627" s="288"/>
      <c r="AD627" s="286"/>
      <c r="AE627" s="288"/>
      <c r="AF627" s="286"/>
      <c r="AG627" s="288"/>
      <c r="AH627" s="286"/>
      <c r="AI627" s="288"/>
      <c r="AJ627" s="286"/>
      <c r="AK627" s="286"/>
      <c r="AL627" s="286"/>
      <c r="AM627" s="286"/>
      <c r="AN627" s="286"/>
      <c r="AO627" s="286"/>
      <c r="AP627" s="286"/>
      <c r="AQ627" s="286"/>
      <c r="AR627" s="286"/>
      <c r="AS627" s="286"/>
      <c r="AT627" s="286"/>
      <c r="AU627" s="286"/>
      <c r="AV627" s="284"/>
      <c r="AW627" s="284"/>
      <c r="AX627" s="284"/>
      <c r="AY627" s="284"/>
      <c r="AZ627" s="284"/>
      <c r="BA627" s="284"/>
      <c r="BB627" s="284"/>
      <c r="BC627" s="284"/>
      <c r="BD627" s="284"/>
      <c r="BE627" s="284"/>
      <c r="BF627" s="284"/>
      <c r="BG627" s="284"/>
      <c r="BH627" s="284"/>
      <c r="BI627" s="284"/>
      <c r="BJ627" s="284"/>
      <c r="BK627" s="284"/>
      <c r="BL627" s="284"/>
      <c r="BM627" s="284"/>
      <c r="BN627" s="284"/>
      <c r="BO627" s="284"/>
      <c r="BP627" s="284"/>
      <c r="BQ627" s="284"/>
      <c r="BR627" s="284"/>
      <c r="BS627" s="284"/>
      <c r="BT627" s="284"/>
      <c r="BU627" s="284"/>
      <c r="BV627" s="284"/>
      <c r="BW627" s="284"/>
      <c r="BX627" s="284"/>
      <c r="BY627" s="284"/>
      <c r="BZ627" s="285"/>
      <c r="CA627" s="298">
        <f>SUM(C627,E627,G627,I627,K627,M627,O627,Q627,S627,U627,W627,Y627,AA627,AC627,AE627,AG627,AI627,AK627,AM627,AO627,AQ627,AS627,AU627,AW627,AY627,BA627,BC627,BE627,BG627,BI627,BK627,BM627,BO627,BQ627,BS627,BU627,BW627,BY627)</f>
        <v>0</v>
      </c>
      <c r="CB627" s="298">
        <f>SUM(D627,F627,H627,J627,L627,N627,P627,R627,T627,V627,X627,Z627,AB627,AD627,AF627,AH627,AJ627,AL627,AN627,AP627,AR627,AT627,AV627,AX627,AZ627,BB627,BD627,BF627,BH627,BJ627,BL627,BN627,BP627,BR627,BT627,BV627,BX627,BZ627)</f>
        <v>0</v>
      </c>
      <c r="CC627" s="299">
        <f>SUM(Table13[[#This Row],[GOALS 1]:[ASSISTS 38]])</f>
        <v>0</v>
      </c>
    </row>
    <row r="628" spans="1:81">
      <c r="A628" s="291" t="s">
        <v>1355</v>
      </c>
      <c r="B628" s="291" t="s">
        <v>28</v>
      </c>
      <c r="C628" s="286"/>
      <c r="D628" s="286"/>
      <c r="E628" s="288"/>
      <c r="F628" s="286"/>
      <c r="G628" s="288"/>
      <c r="H628" s="286"/>
      <c r="I628" s="288"/>
      <c r="J628" s="286"/>
      <c r="K628" s="288"/>
      <c r="L628" s="286"/>
      <c r="M628" s="288"/>
      <c r="N628" s="286"/>
      <c r="O628" s="288"/>
      <c r="P628" s="286"/>
      <c r="Q628" s="288"/>
      <c r="R628" s="286"/>
      <c r="S628" s="288"/>
      <c r="T628" s="286"/>
      <c r="U628" s="288"/>
      <c r="V628" s="286"/>
      <c r="W628" s="288"/>
      <c r="X628" s="286"/>
      <c r="Y628" s="288"/>
      <c r="Z628" s="286"/>
      <c r="AA628" s="288"/>
      <c r="AB628" s="286"/>
      <c r="AC628" s="288"/>
      <c r="AD628" s="286"/>
      <c r="AE628" s="288"/>
      <c r="AF628" s="286"/>
      <c r="AG628" s="288"/>
      <c r="AH628" s="286"/>
      <c r="AI628" s="288"/>
      <c r="AJ628" s="286"/>
      <c r="AK628" s="286"/>
      <c r="AL628" s="286"/>
      <c r="AM628" s="286"/>
      <c r="AN628" s="286"/>
      <c r="AO628" s="286"/>
      <c r="AP628" s="286"/>
      <c r="AQ628" s="286"/>
      <c r="AR628" s="286"/>
      <c r="AS628" s="286"/>
      <c r="AT628" s="286"/>
      <c r="AU628" s="286"/>
      <c r="AV628" s="284"/>
      <c r="AW628" s="284"/>
      <c r="AX628" s="284"/>
      <c r="AY628" s="284"/>
      <c r="AZ628" s="284"/>
      <c r="BA628" s="284"/>
      <c r="BB628" s="284"/>
      <c r="BC628" s="284"/>
      <c r="BD628" s="284"/>
      <c r="BE628" s="284"/>
      <c r="BF628" s="284"/>
      <c r="BG628" s="284"/>
      <c r="BH628" s="284"/>
      <c r="BI628" s="284"/>
      <c r="BJ628" s="284"/>
      <c r="BK628" s="284"/>
      <c r="BL628" s="284"/>
      <c r="BM628" s="284"/>
      <c r="BN628" s="284"/>
      <c r="BO628" s="284"/>
      <c r="BP628" s="284"/>
      <c r="BQ628" s="284"/>
      <c r="BR628" s="284"/>
      <c r="BS628" s="284"/>
      <c r="BT628" s="284"/>
      <c r="BU628" s="284"/>
      <c r="BV628" s="284"/>
      <c r="BW628" s="284"/>
      <c r="BX628" s="284"/>
      <c r="BY628" s="284"/>
      <c r="BZ628" s="285"/>
      <c r="CA628" s="298">
        <f>SUM(C628,E628,G628,I628,K628,M628,O628,Q628,S628,U628,W628,Y628,AA628,AC628,AE628,AG628,AI628,AK628,AM628,AO628,AQ628,AS628,AU628,AW628,AY628,BA628,BC628,BE628,BG628,BI628,BK628,BM628,BO628,BQ628,BS628,BU628,BW628,BY628)</f>
        <v>0</v>
      </c>
      <c r="CB628" s="298">
        <f>SUM(D628,F628,H628,J628,L628,N628,P628,R628,T628,V628,X628,Z628,AB628,AD628,AF628,AH628,AJ628,AL628,AN628,AP628,AR628,AT628,AV628,AX628,AZ628,BB628,BD628,BF628,BH628,BJ628,BL628,BN628,BP628,BR628,BT628,BV628,BX628,BZ628)</f>
        <v>0</v>
      </c>
      <c r="CC628" s="299">
        <f>SUM(Table13[[#This Row],[GOALS 1]:[ASSISTS 38]])</f>
        <v>0</v>
      </c>
    </row>
    <row r="629" spans="1:81">
      <c r="A629" s="291" t="s">
        <v>1698</v>
      </c>
      <c r="B629" s="291" t="s">
        <v>21</v>
      </c>
      <c r="C629" s="289"/>
      <c r="D629" s="286"/>
      <c r="E629" s="288"/>
      <c r="F629" s="286"/>
      <c r="G629" s="288"/>
      <c r="H629" s="286"/>
      <c r="I629" s="288"/>
      <c r="J629" s="286"/>
      <c r="K629" s="288"/>
      <c r="L629" s="286"/>
      <c r="M629" s="288"/>
      <c r="N629" s="286"/>
      <c r="O629" s="288"/>
      <c r="P629" s="286"/>
      <c r="Q629" s="288"/>
      <c r="R629" s="286"/>
      <c r="S629" s="288"/>
      <c r="T629" s="286"/>
      <c r="U629" s="288"/>
      <c r="V629" s="286"/>
      <c r="W629" s="288"/>
      <c r="X629" s="286"/>
      <c r="Y629" s="288"/>
      <c r="Z629" s="286"/>
      <c r="AA629" s="288"/>
      <c r="AB629" s="286"/>
      <c r="AC629" s="288"/>
      <c r="AD629" s="286"/>
      <c r="AE629" s="288"/>
      <c r="AF629" s="286"/>
      <c r="AG629" s="288"/>
      <c r="AH629" s="286"/>
      <c r="AI629" s="288"/>
      <c r="AJ629" s="286"/>
      <c r="AK629" s="286"/>
      <c r="AL629" s="286"/>
      <c r="AM629" s="286"/>
      <c r="AN629" s="286"/>
      <c r="AO629" s="286"/>
      <c r="AP629" s="286"/>
      <c r="AQ629" s="286"/>
      <c r="AR629" s="286"/>
      <c r="AS629" s="286"/>
      <c r="AT629" s="286"/>
      <c r="AU629" s="286"/>
      <c r="AV629" s="284"/>
      <c r="AW629" s="284"/>
      <c r="AX629" s="284"/>
      <c r="AY629" s="284"/>
      <c r="AZ629" s="284"/>
      <c r="BA629" s="284"/>
      <c r="BB629" s="284"/>
      <c r="BC629" s="284"/>
      <c r="BD629" s="284"/>
      <c r="BE629" s="284"/>
      <c r="BF629" s="284"/>
      <c r="BG629" s="284"/>
      <c r="BH629" s="284"/>
      <c r="BI629" s="284"/>
      <c r="BJ629" s="284"/>
      <c r="BK629" s="284"/>
      <c r="BL629" s="284"/>
      <c r="BM629" s="284"/>
      <c r="BN629" s="284"/>
      <c r="BO629" s="284"/>
      <c r="BP629" s="284"/>
      <c r="BQ629" s="284"/>
      <c r="BR629" s="284"/>
      <c r="BS629" s="284"/>
      <c r="BT629" s="284"/>
      <c r="BU629" s="284"/>
      <c r="BV629" s="284"/>
      <c r="BW629" s="284"/>
      <c r="BX629" s="284"/>
      <c r="BY629" s="284"/>
      <c r="BZ629" s="285"/>
      <c r="CA629" s="298">
        <f>SUM(C629,E629,G629,I629,K629,M629,O629,Q629,S629,U629,W629,Y629,AA629,AC629,AE629,AG629,AI629,AK629,AM629,AO629,AQ629,AS629,AU629,AW629,AY629,BA629,BC629,BE629,BG629,BI629,BK629,BM629,BO629,BQ629,BS629,BU629,BW629,BY629)</f>
        <v>0</v>
      </c>
      <c r="CB629" s="298">
        <f>SUM(D629,F629,H629,J629,L629,N629,P629,R629,T629,V629,X629,Z629,AB629,AD629,AF629,AH629,AJ629,AL629,AN629,AP629,AR629,AT629,AV629,AX629,AZ629,BB629,BD629,BF629,BH629,BJ629,BL629,BN629,BP629,BR629,BT629,BV629,BX629,BZ629)</f>
        <v>0</v>
      </c>
      <c r="CC629" s="299">
        <f>SUM(Table13[[#This Row],[GOALS 1]:[ASSISTS 38]])</f>
        <v>0</v>
      </c>
    </row>
    <row r="630" spans="1:81">
      <c r="A630" s="291" t="s">
        <v>1461</v>
      </c>
      <c r="B630" s="291" t="s">
        <v>19</v>
      </c>
      <c r="C630" s="286"/>
      <c r="D630" s="286"/>
      <c r="E630" s="288"/>
      <c r="F630" s="286"/>
      <c r="G630" s="288"/>
      <c r="H630" s="286"/>
      <c r="I630" s="288"/>
      <c r="J630" s="286"/>
      <c r="K630" s="288"/>
      <c r="L630" s="286"/>
      <c r="M630" s="288"/>
      <c r="N630" s="286"/>
      <c r="O630" s="288"/>
      <c r="P630" s="286"/>
      <c r="Q630" s="288"/>
      <c r="R630" s="286"/>
      <c r="S630" s="288"/>
      <c r="T630" s="286"/>
      <c r="U630" s="288"/>
      <c r="V630" s="286"/>
      <c r="W630" s="288"/>
      <c r="X630" s="286"/>
      <c r="Y630" s="288"/>
      <c r="Z630" s="286"/>
      <c r="AA630" s="288"/>
      <c r="AB630" s="286"/>
      <c r="AC630" s="288"/>
      <c r="AD630" s="286"/>
      <c r="AE630" s="288"/>
      <c r="AF630" s="286"/>
      <c r="AG630" s="288"/>
      <c r="AH630" s="286"/>
      <c r="AI630" s="288"/>
      <c r="AJ630" s="286"/>
      <c r="AK630" s="286"/>
      <c r="AL630" s="286"/>
      <c r="AM630" s="286"/>
      <c r="AN630" s="286"/>
      <c r="AO630" s="286"/>
      <c r="AP630" s="286"/>
      <c r="AQ630" s="286"/>
      <c r="AR630" s="286"/>
      <c r="AS630" s="286"/>
      <c r="AT630" s="286"/>
      <c r="AU630" s="286"/>
      <c r="AV630" s="284"/>
      <c r="AW630" s="284"/>
      <c r="AX630" s="284"/>
      <c r="AY630" s="284"/>
      <c r="AZ630" s="284"/>
      <c r="BA630" s="284"/>
      <c r="BB630" s="284"/>
      <c r="BC630" s="284"/>
      <c r="BD630" s="284"/>
      <c r="BE630" s="284"/>
      <c r="BF630" s="284"/>
      <c r="BG630" s="284"/>
      <c r="BH630" s="284"/>
      <c r="BI630" s="284"/>
      <c r="BJ630" s="284"/>
      <c r="BK630" s="284"/>
      <c r="BL630" s="284"/>
      <c r="BM630" s="284"/>
      <c r="BN630" s="284"/>
      <c r="BO630" s="284"/>
      <c r="BP630" s="284"/>
      <c r="BQ630" s="284"/>
      <c r="BR630" s="284"/>
      <c r="BS630" s="284"/>
      <c r="BT630" s="284"/>
      <c r="BU630" s="284"/>
      <c r="BV630" s="284"/>
      <c r="BW630" s="284"/>
      <c r="BX630" s="284"/>
      <c r="BY630" s="284"/>
      <c r="BZ630" s="285"/>
      <c r="CA630" s="298">
        <f>SUM(C630,E630,G630,I630,K630,M630,O630,Q630,S630,U630,W630,Y630,AA630,AC630,AE630,AG630,AI630,AK630,AM630,AO630,AQ630,AS630,AU630,AW630,AY630,BA630,BC630,BE630,BG630,BI630,BK630,BM630,BO630,BQ630,BS630,BU630,BW630,BY630)</f>
        <v>0</v>
      </c>
      <c r="CB630" s="298">
        <f>SUM(D630,F630,H630,J630,L630,N630,P630,R630,T630,V630,X630,Z630,AB630,AD630,AF630,AH630,AJ630,AL630,AN630,AP630,AR630,AT630,AV630,AX630,AZ630,BB630,BD630,BF630,BH630,BJ630,BL630,BN630,BP630,BR630,BT630,BV630,BX630,BZ630)</f>
        <v>0</v>
      </c>
      <c r="CC630" s="299">
        <f>SUM(Table13[[#This Row],[GOALS 1]:[ASSISTS 38]])</f>
        <v>0</v>
      </c>
    </row>
    <row r="631" spans="1:81">
      <c r="A631" s="291" t="s">
        <v>1875</v>
      </c>
      <c r="B631" s="291" t="s">
        <v>52</v>
      </c>
      <c r="C631" s="289"/>
      <c r="D631" s="286"/>
      <c r="E631" s="288"/>
      <c r="F631" s="286"/>
      <c r="G631" s="288"/>
      <c r="H631" s="286"/>
      <c r="I631" s="288"/>
      <c r="J631" s="286"/>
      <c r="K631" s="288"/>
      <c r="L631" s="286"/>
      <c r="M631" s="288"/>
      <c r="N631" s="286"/>
      <c r="O631" s="288"/>
      <c r="P631" s="286"/>
      <c r="Q631" s="288"/>
      <c r="R631" s="286"/>
      <c r="S631" s="288"/>
      <c r="T631" s="286"/>
      <c r="U631" s="288"/>
      <c r="V631" s="286"/>
      <c r="W631" s="288"/>
      <c r="X631" s="286"/>
      <c r="Y631" s="288"/>
      <c r="Z631" s="286"/>
      <c r="AA631" s="288"/>
      <c r="AB631" s="286"/>
      <c r="AC631" s="288"/>
      <c r="AD631" s="286"/>
      <c r="AE631" s="288"/>
      <c r="AF631" s="286"/>
      <c r="AG631" s="288"/>
      <c r="AH631" s="286"/>
      <c r="AI631" s="288"/>
      <c r="AJ631" s="286"/>
      <c r="AK631" s="286"/>
      <c r="AL631" s="286"/>
      <c r="AM631" s="286"/>
      <c r="AN631" s="286"/>
      <c r="AO631" s="286"/>
      <c r="AP631" s="286"/>
      <c r="AQ631" s="286"/>
      <c r="AR631" s="286"/>
      <c r="AS631" s="286"/>
      <c r="AT631" s="286"/>
      <c r="AU631" s="286"/>
      <c r="AV631" s="284"/>
      <c r="AW631" s="284"/>
      <c r="AX631" s="284"/>
      <c r="AY631" s="284"/>
      <c r="AZ631" s="284"/>
      <c r="BA631" s="284"/>
      <c r="BB631" s="284"/>
      <c r="BC631" s="284"/>
      <c r="BD631" s="284"/>
      <c r="BE631" s="284"/>
      <c r="BF631" s="284"/>
      <c r="BG631" s="284"/>
      <c r="BH631" s="284"/>
      <c r="BI631" s="284"/>
      <c r="BJ631" s="284"/>
      <c r="BK631" s="284"/>
      <c r="BL631" s="284"/>
      <c r="BM631" s="284"/>
      <c r="BN631" s="284"/>
      <c r="BO631" s="284"/>
      <c r="BP631" s="284"/>
      <c r="BQ631" s="284"/>
      <c r="BR631" s="284"/>
      <c r="BS631" s="284"/>
      <c r="BT631" s="284"/>
      <c r="BU631" s="284"/>
      <c r="BV631" s="284"/>
      <c r="BW631" s="284"/>
      <c r="BX631" s="284"/>
      <c r="BY631" s="284"/>
      <c r="BZ631" s="285"/>
      <c r="CA631" s="298">
        <f>SUM(C631,E631,G631,I631,K631,M631,O631,Q631,S631,U631,W631,Y631,AA631,AC631,AE631,AG631,AI631,AK631,AM631,AO631,AQ631,AS631,AU631,AW631,AY631,BA631,BC631,BE631,BG631,BI631,BK631,BM631,BO631,BQ631,BS631,BU631,BW631,BY631)</f>
        <v>0</v>
      </c>
      <c r="CB631" s="298">
        <f>SUM(D631,F631,H631,J631,L631,N631,P631,R631,T631,V631,X631,Z631,AB631,AD631,AF631,AH631,AJ631,AL631,AN631,AP631,AR631,AT631,AV631,AX631,AZ631,BB631,BD631,BF631,BH631,BJ631,BL631,BN631,BP631,BR631,BT631,BV631,BX631,BZ631)</f>
        <v>0</v>
      </c>
      <c r="CC631" s="299">
        <f>SUM(Table13[[#This Row],[GOALS 1]:[ASSISTS 38]])</f>
        <v>0</v>
      </c>
    </row>
    <row r="632" spans="1:81">
      <c r="A632" s="291" t="s">
        <v>1695</v>
      </c>
      <c r="B632" s="291" t="s">
        <v>43</v>
      </c>
      <c r="C632" s="286"/>
      <c r="D632" s="286"/>
      <c r="E632" s="288"/>
      <c r="F632" s="286"/>
      <c r="G632" s="288"/>
      <c r="H632" s="286"/>
      <c r="I632" s="288"/>
      <c r="J632" s="286"/>
      <c r="K632" s="288"/>
      <c r="L632" s="286"/>
      <c r="M632" s="288"/>
      <c r="N632" s="286"/>
      <c r="O632" s="288"/>
      <c r="P632" s="286"/>
      <c r="Q632" s="288"/>
      <c r="R632" s="286"/>
      <c r="S632" s="288"/>
      <c r="T632" s="286"/>
      <c r="U632" s="288"/>
      <c r="V632" s="286"/>
      <c r="W632" s="288"/>
      <c r="X632" s="286"/>
      <c r="Y632" s="288"/>
      <c r="Z632" s="286"/>
      <c r="AA632" s="288"/>
      <c r="AB632" s="286"/>
      <c r="AC632" s="288"/>
      <c r="AD632" s="286"/>
      <c r="AE632" s="288"/>
      <c r="AF632" s="286"/>
      <c r="AG632" s="288"/>
      <c r="AH632" s="286"/>
      <c r="AI632" s="288"/>
      <c r="AJ632" s="286"/>
      <c r="AK632" s="286"/>
      <c r="AL632" s="286"/>
      <c r="AM632" s="286"/>
      <c r="AN632" s="286"/>
      <c r="AO632" s="286"/>
      <c r="AP632" s="286"/>
      <c r="AQ632" s="286"/>
      <c r="AR632" s="286"/>
      <c r="AS632" s="286"/>
      <c r="AT632" s="286"/>
      <c r="AU632" s="286"/>
      <c r="AV632" s="284"/>
      <c r="AW632" s="284"/>
      <c r="AX632" s="284"/>
      <c r="AY632" s="284"/>
      <c r="AZ632" s="284"/>
      <c r="BA632" s="284"/>
      <c r="BB632" s="284"/>
      <c r="BC632" s="284"/>
      <c r="BD632" s="284"/>
      <c r="BE632" s="284"/>
      <c r="BF632" s="284"/>
      <c r="BG632" s="284"/>
      <c r="BH632" s="284"/>
      <c r="BI632" s="284"/>
      <c r="BJ632" s="284"/>
      <c r="BK632" s="284"/>
      <c r="BL632" s="284"/>
      <c r="BM632" s="284"/>
      <c r="BN632" s="284"/>
      <c r="BO632" s="284"/>
      <c r="BP632" s="284"/>
      <c r="BQ632" s="284"/>
      <c r="BR632" s="284"/>
      <c r="BS632" s="284"/>
      <c r="BT632" s="284"/>
      <c r="BU632" s="284"/>
      <c r="BV632" s="284"/>
      <c r="BW632" s="284"/>
      <c r="BX632" s="284"/>
      <c r="BY632" s="284"/>
      <c r="BZ632" s="285"/>
      <c r="CA632" s="298">
        <f>SUM(C632,E632,G632,I632,K632,M632,O632,Q632,S632,U632,W632,Y632,AA632,AC632,AE632,AG632,AI632,AK632,AM632,AO632,AQ632,AS632,AU632,AW632,AY632,BA632,BC632,BE632,BG632,BI632,BK632,BM632,BO632,BQ632,BS632,BU632,BW632,BY632)</f>
        <v>0</v>
      </c>
      <c r="CB632" s="298">
        <f>SUM(D632,F632,H632,J632,L632,N632,P632,R632,T632,V632,X632,Z632,AB632,AD632,AF632,AH632,AJ632,AL632,AN632,AP632,AR632,AT632,AV632,AX632,AZ632,BB632,BD632,BF632,BH632,BJ632,BL632,BN632,BP632,BR632,BT632,BV632,BX632,BZ632)</f>
        <v>0</v>
      </c>
      <c r="CC632" s="299">
        <f>SUM(Table13[[#This Row],[GOALS 1]:[ASSISTS 38]])</f>
        <v>0</v>
      </c>
    </row>
    <row r="633" spans="1:81">
      <c r="A633" s="291" t="s">
        <v>1844</v>
      </c>
      <c r="B633" s="291" t="s">
        <v>634</v>
      </c>
      <c r="C633" s="288"/>
      <c r="D633" s="286"/>
      <c r="E633" s="288"/>
      <c r="F633" s="286"/>
      <c r="G633" s="288"/>
      <c r="H633" s="286"/>
      <c r="I633" s="288"/>
      <c r="J633" s="286"/>
      <c r="K633" s="288"/>
      <c r="L633" s="286"/>
      <c r="M633" s="288"/>
      <c r="N633" s="286"/>
      <c r="O633" s="288"/>
      <c r="P633" s="286"/>
      <c r="Q633" s="288"/>
      <c r="R633" s="286"/>
      <c r="S633" s="288"/>
      <c r="T633" s="286"/>
      <c r="U633" s="288"/>
      <c r="V633" s="286"/>
      <c r="W633" s="288"/>
      <c r="X633" s="286"/>
      <c r="Y633" s="288"/>
      <c r="Z633" s="286"/>
      <c r="AA633" s="288"/>
      <c r="AB633" s="286"/>
      <c r="AC633" s="288"/>
      <c r="AD633" s="286"/>
      <c r="AE633" s="288"/>
      <c r="AF633" s="286"/>
      <c r="AG633" s="288"/>
      <c r="AH633" s="286"/>
      <c r="AI633" s="288"/>
      <c r="AJ633" s="286"/>
      <c r="AK633" s="286"/>
      <c r="AL633" s="286"/>
      <c r="AM633" s="286"/>
      <c r="AN633" s="286"/>
      <c r="AO633" s="286"/>
      <c r="AP633" s="286"/>
      <c r="AQ633" s="286"/>
      <c r="AR633" s="286"/>
      <c r="AS633" s="286"/>
      <c r="AT633" s="286"/>
      <c r="AU633" s="286"/>
      <c r="AV633" s="284"/>
      <c r="AW633" s="284"/>
      <c r="AX633" s="284"/>
      <c r="AY633" s="284"/>
      <c r="AZ633" s="284"/>
      <c r="BA633" s="284"/>
      <c r="BB633" s="284"/>
      <c r="BC633" s="284"/>
      <c r="BD633" s="284"/>
      <c r="BE633" s="284"/>
      <c r="BF633" s="284"/>
      <c r="BG633" s="284"/>
      <c r="BH633" s="284"/>
      <c r="BI633" s="284"/>
      <c r="BJ633" s="284"/>
      <c r="BK633" s="284"/>
      <c r="BL633" s="284"/>
      <c r="BM633" s="284"/>
      <c r="BN633" s="284"/>
      <c r="BO633" s="284"/>
      <c r="BP633" s="284"/>
      <c r="BQ633" s="284"/>
      <c r="BR633" s="284"/>
      <c r="BS633" s="284"/>
      <c r="BT633" s="284"/>
      <c r="BU633" s="284"/>
      <c r="BV633" s="284"/>
      <c r="BW633" s="284"/>
      <c r="BX633" s="284"/>
      <c r="BY633" s="284"/>
      <c r="BZ633" s="285"/>
      <c r="CA633" s="298">
        <f>SUM(C633,E633,G633,I633,K633,M633,O633,Q633,S633,U633,W633,Y633,AA633,AC633,AE633,AG633,AI633,AK633,AM633,AO633,AQ633,AS633,AU633,AW633,AY633,BA633,BC633,BE633,BG633,BI633,BK633,BM633,BO633,BQ633,BS633,BU633,BW633,BY633)</f>
        <v>0</v>
      </c>
      <c r="CB633" s="298">
        <f>SUM(D633,F633,H633,J633,L633,N633,P633,R633,T633,V633,X633,Z633,AB633,AD633,AF633,AH633,AJ633,AL633,AN633,AP633,AR633,AT633,AV633,AX633,AZ633,BB633,BD633,BF633,BH633,BJ633,BL633,BN633,BP633,BR633,BT633,BV633,BX633,BZ633)</f>
        <v>0</v>
      </c>
      <c r="CC633" s="299">
        <f>SUM(Table13[[#This Row],[GOALS 1]:[ASSISTS 38]])</f>
        <v>0</v>
      </c>
    </row>
    <row r="634" spans="1:81">
      <c r="A634" s="291" t="s">
        <v>1539</v>
      </c>
      <c r="B634" s="291" t="s">
        <v>22</v>
      </c>
      <c r="C634" s="286"/>
      <c r="D634" s="286"/>
      <c r="E634" s="288"/>
      <c r="F634" s="286"/>
      <c r="G634" s="288"/>
      <c r="H634" s="286"/>
      <c r="I634" s="288"/>
      <c r="J634" s="286"/>
      <c r="K634" s="288"/>
      <c r="L634" s="286"/>
      <c r="M634" s="288"/>
      <c r="N634" s="286"/>
      <c r="O634" s="288"/>
      <c r="P634" s="286"/>
      <c r="Q634" s="288"/>
      <c r="R634" s="286"/>
      <c r="S634" s="288"/>
      <c r="T634" s="286"/>
      <c r="U634" s="288"/>
      <c r="V634" s="286"/>
      <c r="W634" s="288"/>
      <c r="X634" s="286"/>
      <c r="Y634" s="288"/>
      <c r="Z634" s="286"/>
      <c r="AA634" s="288"/>
      <c r="AB634" s="286"/>
      <c r="AC634" s="288"/>
      <c r="AD634" s="286"/>
      <c r="AE634" s="288"/>
      <c r="AF634" s="286"/>
      <c r="AG634" s="288"/>
      <c r="AH634" s="286"/>
      <c r="AI634" s="288"/>
      <c r="AJ634" s="286"/>
      <c r="AK634" s="286"/>
      <c r="AL634" s="286"/>
      <c r="AM634" s="286"/>
      <c r="AN634" s="286"/>
      <c r="AO634" s="286"/>
      <c r="AP634" s="286"/>
      <c r="AQ634" s="286"/>
      <c r="AR634" s="286"/>
      <c r="AS634" s="286"/>
      <c r="AT634" s="286"/>
      <c r="AU634" s="286"/>
      <c r="AV634" s="284"/>
      <c r="AW634" s="284"/>
      <c r="AX634" s="284"/>
      <c r="AY634" s="284"/>
      <c r="AZ634" s="284"/>
      <c r="BA634" s="284"/>
      <c r="BB634" s="284"/>
      <c r="BC634" s="284"/>
      <c r="BD634" s="284"/>
      <c r="BE634" s="284"/>
      <c r="BF634" s="284"/>
      <c r="BG634" s="284"/>
      <c r="BH634" s="284"/>
      <c r="BI634" s="284"/>
      <c r="BJ634" s="284"/>
      <c r="BK634" s="284"/>
      <c r="BL634" s="284"/>
      <c r="BM634" s="284"/>
      <c r="BN634" s="284"/>
      <c r="BO634" s="284"/>
      <c r="BP634" s="284"/>
      <c r="BQ634" s="284"/>
      <c r="BR634" s="284"/>
      <c r="BS634" s="284"/>
      <c r="BT634" s="284"/>
      <c r="BU634" s="284"/>
      <c r="BV634" s="284"/>
      <c r="BW634" s="284"/>
      <c r="BX634" s="284"/>
      <c r="BY634" s="284"/>
      <c r="BZ634" s="285"/>
      <c r="CA634" s="298">
        <f>SUM(C634,E634,G634,I634,K634,M634,O634,Q634,S634,U634,W634,Y634,AA634,AC634,AE634,AG634,AI634,AK634,AM634,AO634,AQ634,AS634,AU634,AW634,AY634,BA634,BC634,BE634,BG634,BI634,BK634,BM634,BO634,BQ634,BS634,BU634,BW634,BY634)</f>
        <v>0</v>
      </c>
      <c r="CB634" s="298">
        <f>SUM(D634,F634,H634,J634,L634,N634,P634,R634,T634,V634,X634,Z634,AB634,AD634,AF634,AH634,AJ634,AL634,AN634,AP634,AR634,AT634,AV634,AX634,AZ634,BB634,BD634,BF634,BH634,BJ634,BL634,BN634,BP634,BR634,BT634,BV634,BX634,BZ634)</f>
        <v>0</v>
      </c>
      <c r="CC634" s="299">
        <f>SUM(Table13[[#This Row],[GOALS 1]:[ASSISTS 38]])</f>
        <v>0</v>
      </c>
    </row>
    <row r="635" spans="1:81">
      <c r="A635" s="291" t="s">
        <v>1646</v>
      </c>
      <c r="B635" s="291" t="s">
        <v>28</v>
      </c>
      <c r="C635" s="286"/>
      <c r="D635" s="286"/>
      <c r="E635" s="288"/>
      <c r="F635" s="286"/>
      <c r="G635" s="288"/>
      <c r="H635" s="286"/>
      <c r="I635" s="288"/>
      <c r="J635" s="286"/>
      <c r="K635" s="288"/>
      <c r="L635" s="286"/>
      <c r="M635" s="288"/>
      <c r="N635" s="286"/>
      <c r="O635" s="288"/>
      <c r="P635" s="286"/>
      <c r="Q635" s="288"/>
      <c r="R635" s="286"/>
      <c r="S635" s="288"/>
      <c r="T635" s="286"/>
      <c r="U635" s="288"/>
      <c r="V635" s="286"/>
      <c r="W635" s="288"/>
      <c r="X635" s="286"/>
      <c r="Y635" s="288"/>
      <c r="Z635" s="286"/>
      <c r="AA635" s="288"/>
      <c r="AB635" s="286"/>
      <c r="AC635" s="288"/>
      <c r="AD635" s="286"/>
      <c r="AE635" s="288"/>
      <c r="AF635" s="286"/>
      <c r="AG635" s="288"/>
      <c r="AH635" s="286"/>
      <c r="AI635" s="288"/>
      <c r="AJ635" s="286"/>
      <c r="AK635" s="286"/>
      <c r="AL635" s="286"/>
      <c r="AM635" s="286"/>
      <c r="AN635" s="286"/>
      <c r="AO635" s="286"/>
      <c r="AP635" s="286"/>
      <c r="AQ635" s="286"/>
      <c r="AR635" s="286"/>
      <c r="AS635" s="286"/>
      <c r="AT635" s="286"/>
      <c r="AU635" s="286"/>
      <c r="AV635" s="284"/>
      <c r="AW635" s="284"/>
      <c r="AX635" s="284"/>
      <c r="AY635" s="284"/>
      <c r="AZ635" s="284"/>
      <c r="BA635" s="284"/>
      <c r="BB635" s="284"/>
      <c r="BC635" s="284"/>
      <c r="BD635" s="284"/>
      <c r="BE635" s="284"/>
      <c r="BF635" s="284"/>
      <c r="BG635" s="284"/>
      <c r="BH635" s="284"/>
      <c r="BI635" s="284"/>
      <c r="BJ635" s="284"/>
      <c r="BK635" s="284"/>
      <c r="BL635" s="284"/>
      <c r="BM635" s="284"/>
      <c r="BN635" s="284"/>
      <c r="BO635" s="284"/>
      <c r="BP635" s="284"/>
      <c r="BQ635" s="284"/>
      <c r="BR635" s="284"/>
      <c r="BS635" s="284"/>
      <c r="BT635" s="284"/>
      <c r="BU635" s="284"/>
      <c r="BV635" s="284"/>
      <c r="BW635" s="284"/>
      <c r="BX635" s="284"/>
      <c r="BY635" s="284"/>
      <c r="BZ635" s="285"/>
      <c r="CA635" s="298">
        <f>SUM(C635,E635,G635,I635,K635,M635,O635,Q635,S635,U635,W635,Y635,AA635,AC635,AE635,AG635,AI635,AK635,AM635,AO635,AQ635,AS635,AU635,AW635,AY635,BA635,BC635,BE635,BG635,BI635,BK635,BM635,BO635,BQ635,BS635,BU635,BW635,BY635)</f>
        <v>0</v>
      </c>
      <c r="CB635" s="298">
        <f>SUM(D635,F635,H635,J635,L635,N635,P635,R635,T635,V635,X635,Z635,AB635,AD635,AF635,AH635,AJ635,AL635,AN635,AP635,AR635,AT635,AV635,AX635,AZ635,BB635,BD635,BF635,BH635,BJ635,BL635,BN635,BP635,BR635,BT635,BV635,BX635,BZ635)</f>
        <v>0</v>
      </c>
      <c r="CC635" s="299">
        <f>SUM(Table13[[#This Row],[GOALS 1]:[ASSISTS 38]])</f>
        <v>0</v>
      </c>
    </row>
    <row r="636" spans="1:81">
      <c r="A636" s="291" t="s">
        <v>1434</v>
      </c>
      <c r="B636" s="291" t="s">
        <v>22</v>
      </c>
      <c r="C636" s="286"/>
      <c r="D636" s="286"/>
      <c r="E636" s="288"/>
      <c r="F636" s="286"/>
      <c r="G636" s="288"/>
      <c r="H636" s="286"/>
      <c r="I636" s="288"/>
      <c r="J636" s="286"/>
      <c r="K636" s="288"/>
      <c r="L636" s="286"/>
      <c r="M636" s="288"/>
      <c r="N636" s="286"/>
      <c r="O636" s="288"/>
      <c r="P636" s="286"/>
      <c r="Q636" s="288"/>
      <c r="R636" s="286"/>
      <c r="S636" s="288"/>
      <c r="T636" s="286"/>
      <c r="U636" s="288"/>
      <c r="V636" s="286"/>
      <c r="W636" s="288"/>
      <c r="X636" s="286"/>
      <c r="Y636" s="288"/>
      <c r="Z636" s="286"/>
      <c r="AA636" s="288"/>
      <c r="AB636" s="286"/>
      <c r="AC636" s="288"/>
      <c r="AD636" s="286"/>
      <c r="AE636" s="288"/>
      <c r="AF636" s="286"/>
      <c r="AG636" s="288"/>
      <c r="AH636" s="286"/>
      <c r="AI636" s="288"/>
      <c r="AJ636" s="286"/>
      <c r="AK636" s="286"/>
      <c r="AL636" s="286"/>
      <c r="AM636" s="286"/>
      <c r="AN636" s="286"/>
      <c r="AO636" s="286"/>
      <c r="AP636" s="286"/>
      <c r="AQ636" s="286"/>
      <c r="AR636" s="286"/>
      <c r="AS636" s="286"/>
      <c r="AT636" s="286"/>
      <c r="AU636" s="286"/>
      <c r="AV636" s="284"/>
      <c r="AW636" s="284"/>
      <c r="AX636" s="284"/>
      <c r="AY636" s="284"/>
      <c r="AZ636" s="284"/>
      <c r="BA636" s="284"/>
      <c r="BB636" s="284"/>
      <c r="BC636" s="284"/>
      <c r="BD636" s="284"/>
      <c r="BE636" s="284"/>
      <c r="BF636" s="284"/>
      <c r="BG636" s="284"/>
      <c r="BH636" s="284"/>
      <c r="BI636" s="284"/>
      <c r="BJ636" s="284"/>
      <c r="BK636" s="284"/>
      <c r="BL636" s="284"/>
      <c r="BM636" s="284"/>
      <c r="BN636" s="284"/>
      <c r="BO636" s="284"/>
      <c r="BP636" s="284"/>
      <c r="BQ636" s="284"/>
      <c r="BR636" s="284"/>
      <c r="BS636" s="284"/>
      <c r="BT636" s="284"/>
      <c r="BU636" s="284"/>
      <c r="BV636" s="284"/>
      <c r="BW636" s="284"/>
      <c r="BX636" s="284"/>
      <c r="BY636" s="284"/>
      <c r="BZ636" s="285"/>
      <c r="CA636" s="298">
        <f>SUM(C636,E636,G636,I636,K636,M636,O636,Q636,S636,U636,W636,Y636,AA636,AC636,AE636,AG636,AI636,AK636,AM636,AO636,AQ636,AS636,AU636,AW636,AY636,BA636,BC636,BE636,BG636,BI636,BK636,BM636,BO636,BQ636,BS636,BU636,BW636,BY636)</f>
        <v>0</v>
      </c>
      <c r="CB636" s="298">
        <f>SUM(D636,F636,H636,J636,L636,N636,P636,R636,T636,V636,X636,Z636,AB636,AD636,AF636,AH636,AJ636,AL636,AN636,AP636,AR636,AT636,AV636,AX636,AZ636,BB636,BD636,BF636,BH636,BJ636,BL636,BN636,BP636,BR636,BT636,BV636,BX636,BZ636)</f>
        <v>0</v>
      </c>
      <c r="CC636" s="299">
        <f>SUM(Table13[[#This Row],[GOALS 1]:[ASSISTS 38]])</f>
        <v>0</v>
      </c>
    </row>
    <row r="637" spans="1:81">
      <c r="A637" s="291" t="s">
        <v>1805</v>
      </c>
      <c r="B637" s="291" t="s">
        <v>43</v>
      </c>
      <c r="C637" s="286"/>
      <c r="D637" s="286"/>
      <c r="E637" s="288"/>
      <c r="F637" s="286"/>
      <c r="G637" s="288"/>
      <c r="H637" s="286"/>
      <c r="I637" s="288"/>
      <c r="J637" s="286"/>
      <c r="K637" s="288"/>
      <c r="L637" s="286"/>
      <c r="M637" s="288"/>
      <c r="N637" s="286"/>
      <c r="O637" s="288"/>
      <c r="P637" s="286"/>
      <c r="Q637" s="288"/>
      <c r="R637" s="286"/>
      <c r="S637" s="288"/>
      <c r="T637" s="286"/>
      <c r="U637" s="288"/>
      <c r="V637" s="286"/>
      <c r="W637" s="288"/>
      <c r="X637" s="286"/>
      <c r="Y637" s="288"/>
      <c r="Z637" s="286"/>
      <c r="AA637" s="288"/>
      <c r="AB637" s="286"/>
      <c r="AC637" s="288"/>
      <c r="AD637" s="286"/>
      <c r="AE637" s="288"/>
      <c r="AF637" s="286"/>
      <c r="AG637" s="288"/>
      <c r="AH637" s="286"/>
      <c r="AI637" s="288"/>
      <c r="AJ637" s="286"/>
      <c r="AK637" s="286"/>
      <c r="AL637" s="286"/>
      <c r="AM637" s="286"/>
      <c r="AN637" s="286"/>
      <c r="AO637" s="286"/>
      <c r="AP637" s="286"/>
      <c r="AQ637" s="286"/>
      <c r="AR637" s="286"/>
      <c r="AS637" s="286"/>
      <c r="AT637" s="286"/>
      <c r="AU637" s="286"/>
      <c r="AV637" s="284"/>
      <c r="AW637" s="284"/>
      <c r="AX637" s="284"/>
      <c r="AY637" s="284"/>
      <c r="AZ637" s="284"/>
      <c r="BA637" s="284"/>
      <c r="BB637" s="284"/>
      <c r="BC637" s="284"/>
      <c r="BD637" s="284"/>
      <c r="BE637" s="284"/>
      <c r="BF637" s="284"/>
      <c r="BG637" s="284"/>
      <c r="BH637" s="284"/>
      <c r="BI637" s="284"/>
      <c r="BJ637" s="284"/>
      <c r="BK637" s="284"/>
      <c r="BL637" s="284"/>
      <c r="BM637" s="284"/>
      <c r="BN637" s="284"/>
      <c r="BO637" s="284"/>
      <c r="BP637" s="284"/>
      <c r="BQ637" s="284"/>
      <c r="BR637" s="284"/>
      <c r="BS637" s="284"/>
      <c r="BT637" s="284"/>
      <c r="BU637" s="284"/>
      <c r="BV637" s="284"/>
      <c r="BW637" s="284"/>
      <c r="BX637" s="284"/>
      <c r="BY637" s="284"/>
      <c r="BZ637" s="285"/>
      <c r="CA637" s="298">
        <f>SUM(C637,E637,G637,I637,K637,M637,O637,Q637,S637,U637,W637,Y637,AA637,AC637,AE637,AG637,AI637,AK637,AM637,AO637,AQ637,AS637,AU637,AW637,AY637,BA637,BC637,BE637,BG637,BI637,BK637,BM637,BO637,BQ637,BS637,BU637,BW637,BY637)</f>
        <v>0</v>
      </c>
      <c r="CB637" s="298">
        <f>SUM(D637,F637,H637,J637,L637,N637,P637,R637,T637,V637,X637,Z637,AB637,AD637,AF637,AH637,AJ637,AL637,AN637,AP637,AR637,AT637,AV637,AX637,AZ637,BB637,BD637,BF637,BH637,BJ637,BL637,BN637,BP637,BR637,BT637,BV637,BX637,BZ637)</f>
        <v>0</v>
      </c>
      <c r="CC637" s="299">
        <f>SUM(Table13[[#This Row],[GOALS 1]:[ASSISTS 38]])</f>
        <v>0</v>
      </c>
    </row>
    <row r="638" spans="1:81">
      <c r="A638" s="291" t="s">
        <v>1681</v>
      </c>
      <c r="B638" s="291" t="s">
        <v>26</v>
      </c>
      <c r="C638" s="286"/>
      <c r="D638" s="286"/>
      <c r="E638" s="288"/>
      <c r="F638" s="286"/>
      <c r="G638" s="288"/>
      <c r="H638" s="286"/>
      <c r="I638" s="288"/>
      <c r="J638" s="286"/>
      <c r="K638" s="288"/>
      <c r="L638" s="286"/>
      <c r="M638" s="288"/>
      <c r="N638" s="286"/>
      <c r="O638" s="288"/>
      <c r="P638" s="286"/>
      <c r="Q638" s="288"/>
      <c r="R638" s="286"/>
      <c r="S638" s="288"/>
      <c r="T638" s="286"/>
      <c r="U638" s="288"/>
      <c r="V638" s="286"/>
      <c r="W638" s="288"/>
      <c r="X638" s="286"/>
      <c r="Y638" s="288"/>
      <c r="Z638" s="286"/>
      <c r="AA638" s="288"/>
      <c r="AB638" s="286"/>
      <c r="AC638" s="288"/>
      <c r="AD638" s="286"/>
      <c r="AE638" s="288"/>
      <c r="AF638" s="286"/>
      <c r="AG638" s="288"/>
      <c r="AH638" s="286"/>
      <c r="AI638" s="288"/>
      <c r="AJ638" s="286"/>
      <c r="AK638" s="286"/>
      <c r="AL638" s="286"/>
      <c r="AM638" s="286"/>
      <c r="AN638" s="286"/>
      <c r="AO638" s="286"/>
      <c r="AP638" s="286"/>
      <c r="AQ638" s="286"/>
      <c r="AR638" s="286"/>
      <c r="AS638" s="286"/>
      <c r="AT638" s="286"/>
      <c r="AU638" s="286"/>
      <c r="AV638" s="284"/>
      <c r="AW638" s="284"/>
      <c r="AX638" s="284"/>
      <c r="AY638" s="284"/>
      <c r="AZ638" s="284"/>
      <c r="BA638" s="284"/>
      <c r="BB638" s="284"/>
      <c r="BC638" s="284"/>
      <c r="BD638" s="284"/>
      <c r="BE638" s="284"/>
      <c r="BF638" s="284"/>
      <c r="BG638" s="284"/>
      <c r="BH638" s="284"/>
      <c r="BI638" s="284"/>
      <c r="BJ638" s="284"/>
      <c r="BK638" s="284"/>
      <c r="BL638" s="284"/>
      <c r="BM638" s="284"/>
      <c r="BN638" s="284"/>
      <c r="BO638" s="284"/>
      <c r="BP638" s="284"/>
      <c r="BQ638" s="284"/>
      <c r="BR638" s="284"/>
      <c r="BS638" s="284"/>
      <c r="BT638" s="284"/>
      <c r="BU638" s="284"/>
      <c r="BV638" s="284"/>
      <c r="BW638" s="284"/>
      <c r="BX638" s="284"/>
      <c r="BY638" s="284"/>
      <c r="BZ638" s="285"/>
      <c r="CA638" s="298">
        <f>SUM(C638,E638,G638,I638,K638,M638,O638,Q638,S638,U638,W638,Y638,AA638,AC638,AE638,AG638,AI638,AK638,AM638,AO638,AQ638,AS638,AU638,AW638,AY638,BA638,BC638,BE638,BG638,BI638,BK638,BM638,BO638,BQ638,BS638,BU638,BW638,BY638)</f>
        <v>0</v>
      </c>
      <c r="CB638" s="298">
        <f>SUM(D638,F638,H638,J638,L638,N638,P638,R638,T638,V638,X638,Z638,AB638,AD638,AF638,AH638,AJ638,AL638,AN638,AP638,AR638,AT638,AV638,AX638,AZ638,BB638,BD638,BF638,BH638,BJ638,BL638,BN638,BP638,BR638,BT638,BV638,BX638,BZ638)</f>
        <v>0</v>
      </c>
      <c r="CC638" s="299">
        <f>SUM(Table13[[#This Row],[GOALS 1]:[ASSISTS 38]])</f>
        <v>0</v>
      </c>
    </row>
  </sheetData>
  <phoneticPr fontId="3" type="noConversion"/>
  <conditionalFormatting sqref="CA4:CA638">
    <cfRule type="aboveAverage" dxfId="8" priority="3"/>
  </conditionalFormatting>
  <conditionalFormatting sqref="CB4:CB638">
    <cfRule type="aboveAverage" dxfId="7" priority="2"/>
  </conditionalFormatting>
  <conditionalFormatting sqref="CC4:CC638">
    <cfRule type="aboveAverage" dxfId="4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338B8-58C0-4042-B6E7-C3A92E196355}">
  <sheetPr>
    <tabColor rgb="FFFFC000"/>
  </sheetPr>
  <dimension ref="A1:AM23"/>
  <sheetViews>
    <sheetView workbookViewId="0">
      <selection activeCell="B1" sqref="B1:AM1"/>
    </sheetView>
  </sheetViews>
  <sheetFormatPr baseColWidth="10" defaultRowHeight="16"/>
  <cols>
    <col min="1" max="1" width="12.5" bestFit="1" customWidth="1"/>
  </cols>
  <sheetData>
    <row r="1" spans="1:39" ht="18" thickBot="1">
      <c r="A1" s="83" t="s">
        <v>1915</v>
      </c>
      <c r="B1" s="273" t="s">
        <v>1917</v>
      </c>
      <c r="C1" s="128" t="s">
        <v>1918</v>
      </c>
      <c r="D1" s="128" t="s">
        <v>1919</v>
      </c>
      <c r="E1" s="128" t="s">
        <v>1920</v>
      </c>
      <c r="F1" s="128" t="s">
        <v>1921</v>
      </c>
      <c r="G1" s="128" t="s">
        <v>1922</v>
      </c>
      <c r="H1" s="128" t="s">
        <v>1923</v>
      </c>
      <c r="I1" s="128" t="s">
        <v>1924</v>
      </c>
      <c r="J1" s="128" t="s">
        <v>1925</v>
      </c>
      <c r="K1" s="128" t="s">
        <v>1926</v>
      </c>
      <c r="L1" s="128" t="s">
        <v>1927</v>
      </c>
      <c r="M1" s="128" t="s">
        <v>1928</v>
      </c>
      <c r="N1" s="128" t="s">
        <v>1929</v>
      </c>
      <c r="O1" s="128" t="s">
        <v>1930</v>
      </c>
      <c r="P1" s="128" t="s">
        <v>1931</v>
      </c>
      <c r="Q1" s="128" t="s">
        <v>1932</v>
      </c>
      <c r="R1" s="128" t="s">
        <v>1933</v>
      </c>
      <c r="S1" s="128" t="s">
        <v>1934</v>
      </c>
      <c r="T1" s="128" t="s">
        <v>1935</v>
      </c>
      <c r="U1" s="128" t="s">
        <v>1936</v>
      </c>
      <c r="V1" s="128" t="s">
        <v>1937</v>
      </c>
      <c r="W1" s="128" t="s">
        <v>1938</v>
      </c>
      <c r="X1" s="128" t="s">
        <v>1939</v>
      </c>
      <c r="Y1" s="128" t="s">
        <v>1940</v>
      </c>
      <c r="Z1" s="128" t="s">
        <v>1941</v>
      </c>
      <c r="AA1" s="128" t="s">
        <v>1942</v>
      </c>
      <c r="AB1" s="128" t="s">
        <v>1943</v>
      </c>
      <c r="AC1" s="128" t="s">
        <v>1944</v>
      </c>
      <c r="AD1" s="128" t="s">
        <v>1945</v>
      </c>
      <c r="AE1" s="128" t="s">
        <v>1946</v>
      </c>
      <c r="AF1" s="128" t="s">
        <v>1947</v>
      </c>
      <c r="AG1" s="128" t="s">
        <v>1948</v>
      </c>
      <c r="AH1" s="128" t="s">
        <v>1949</v>
      </c>
      <c r="AI1" s="128" t="s">
        <v>1950</v>
      </c>
      <c r="AJ1" s="128" t="s">
        <v>1951</v>
      </c>
      <c r="AK1" s="128" t="s">
        <v>1952</v>
      </c>
      <c r="AL1" s="128" t="s">
        <v>1953</v>
      </c>
      <c r="AM1" s="128" t="s">
        <v>1954</v>
      </c>
    </row>
    <row r="2" spans="1:39" ht="17" thickTop="1">
      <c r="A2" s="84" t="s">
        <v>20</v>
      </c>
      <c r="B2" s="126" cm="1">
        <f t="array" ref="B2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C2" s="126" cm="1">
        <f t="array" ref="C2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D2" s="126" cm="1">
        <f t="array" ref="D2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E2" s="126" cm="1">
        <f t="array" ref="E2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F2" s="126" cm="1">
        <f t="array" ref="F2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G2" s="126" cm="1">
        <f t="array" ref="G2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H2" s="126" cm="1">
        <f t="array" ref="H2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I2" s="126" cm="1">
        <f t="array" ref="I2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J2" s="126" cm="1">
        <f t="array" ref="J2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K2" s="126" cm="1">
        <f t="array" ref="K2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L2" s="126" cm="1">
        <f t="array" ref="L2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M2" s="126" cm="1">
        <f t="array" ref="M2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N2" s="126" cm="1">
        <f t="array" ref="N2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O2" s="126" cm="1">
        <f t="array" ref="O2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P2" s="126" cm="1">
        <f t="array" ref="P2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Q2" s="126" cm="1">
        <f t="array" ref="Q2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R2" s="126" cm="1">
        <f t="array" ref="R2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S2" s="126" cm="1">
        <f t="array" ref="S2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T2" s="126" cm="1">
        <f t="array" ref="T2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U2" s="126" cm="1">
        <f t="array" ref="U2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V2" s="6" cm="1">
        <f t="array" ref="V2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W2" cm="1">
        <f t="array" ref="W2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X2" cm="1">
        <f t="array" ref="X2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Y2" cm="1">
        <f t="array" ref="Y2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Z2" cm="1">
        <f t="array" ref="Z2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A2" cm="1">
        <f t="array" ref="AA2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B2" cm="1">
        <f t="array" ref="AB2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C2" cm="1">
        <f t="array" ref="AC2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D2" cm="1">
        <f t="array" ref="AD2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E2" cm="1">
        <f t="array" ref="AE2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F2" cm="1">
        <f t="array" ref="AF2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G2" cm="1">
        <f t="array" ref="AG2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H2" cm="1">
        <f t="array" ref="AH2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I2" cm="1">
        <f t="array" ref="AI2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J2" cm="1">
        <f t="array" ref="AJ2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K2" cm="1">
        <f t="array" ref="AK2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L2" cm="1">
        <f t="array" ref="AL2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M2" cm="1">
        <f t="array" ref="AM2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</row>
    <row r="3" spans="1:39">
      <c r="A3" s="85" t="s">
        <v>28</v>
      </c>
      <c r="B3" s="126" cm="1">
        <f t="array" ref="B3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C3" s="126" cm="1">
        <f t="array" ref="C3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D3" s="126" cm="1">
        <f t="array" ref="D3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E3" s="126" cm="1">
        <f t="array" ref="E3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F3" s="126" cm="1">
        <f t="array" ref="F3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G3" s="126" cm="1">
        <f t="array" ref="G3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H3" s="126" cm="1">
        <f t="array" ref="H3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I3" s="126" cm="1">
        <f t="array" ref="I3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J3" s="126" cm="1">
        <f t="array" ref="J3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K3" s="126" cm="1">
        <f t="array" ref="K3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L3" s="126" cm="1">
        <f t="array" ref="L3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M3" s="126" cm="1">
        <f t="array" ref="M3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N3" s="126" cm="1">
        <f t="array" ref="N3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O3" s="126" cm="1">
        <f t="array" ref="O3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P3" s="126" cm="1">
        <f t="array" ref="P3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Q3" s="126" cm="1">
        <f t="array" ref="Q3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R3" s="126" cm="1">
        <f t="array" ref="R3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S3" s="126" cm="1">
        <f t="array" ref="S3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T3" s="126" cm="1">
        <f t="array" ref="T3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U3" s="126" cm="1">
        <f t="array" ref="U3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V3" s="6" cm="1">
        <f t="array" ref="V3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W3" cm="1">
        <f t="array" ref="W3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X3" cm="1">
        <f t="array" ref="X3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Y3" cm="1">
        <f t="array" ref="Y3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Z3" cm="1">
        <f t="array" ref="Z3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A3" cm="1">
        <f t="array" ref="AA3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B3" cm="1">
        <f t="array" ref="AB3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C3" cm="1">
        <f t="array" ref="AC3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D3" cm="1">
        <f t="array" ref="AD3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E3" cm="1">
        <f t="array" ref="AE3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F3" cm="1">
        <f t="array" ref="AF3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G3" cm="1">
        <f t="array" ref="AG3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H3" cm="1">
        <f t="array" ref="AH3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I3" cm="1">
        <f t="array" ref="AI3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J3" cm="1">
        <f t="array" ref="AJ3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K3" cm="1">
        <f t="array" ref="AK3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L3" cm="1">
        <f t="array" ref="AL3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M3" cm="1">
        <f t="array" ref="AM3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</row>
    <row r="4" spans="1:39">
      <c r="A4" s="85" t="s">
        <v>43</v>
      </c>
      <c r="B4" s="126" cm="1">
        <f t="array" ref="B4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C4" s="126" cm="1">
        <f t="array" ref="C4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D4" s="126" cm="1">
        <f t="array" ref="D4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E4" s="126" cm="1">
        <f t="array" ref="E4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F4" s="126" cm="1">
        <f t="array" ref="F4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G4" s="126" cm="1">
        <f t="array" ref="G4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H4" s="126" cm="1">
        <f t="array" ref="H4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I4" s="126" cm="1">
        <f t="array" ref="I4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J4" s="126" cm="1">
        <f t="array" ref="J4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K4" s="126" cm="1">
        <f t="array" ref="K4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L4" s="126" cm="1">
        <f t="array" ref="L4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M4" s="126" cm="1">
        <f t="array" ref="M4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N4" s="126" cm="1">
        <f t="array" ref="N4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O4" s="126" cm="1">
        <f t="array" ref="O4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P4" s="126" cm="1">
        <f t="array" ref="P4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Q4" s="126" cm="1">
        <f t="array" ref="Q4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R4" s="126" cm="1">
        <f t="array" ref="R4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S4" s="126" cm="1">
        <f t="array" ref="S4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T4" s="126" cm="1">
        <f t="array" ref="T4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U4" s="126" cm="1">
        <f t="array" ref="U4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V4" s="6" cm="1">
        <f t="array" ref="V4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W4" cm="1">
        <f t="array" ref="W4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X4" cm="1">
        <f t="array" ref="X4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Y4" cm="1">
        <f t="array" ref="Y4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Z4" cm="1">
        <f t="array" ref="Z4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A4" cm="1">
        <f t="array" ref="AA4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B4" cm="1">
        <f t="array" ref="AB4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C4" cm="1">
        <f t="array" ref="AC4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D4" cm="1">
        <f t="array" ref="AD4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E4" cm="1">
        <f t="array" ref="AE4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F4" cm="1">
        <f t="array" ref="AF4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G4" cm="1">
        <f t="array" ref="AG4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H4" cm="1">
        <f t="array" ref="AH4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I4" cm="1">
        <f t="array" ref="AI4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J4" cm="1">
        <f t="array" ref="AJ4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K4" cm="1">
        <f t="array" ref="AK4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L4" cm="1">
        <f t="array" ref="AL4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M4" cm="1">
        <f t="array" ref="AM4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</row>
    <row r="5" spans="1:39">
      <c r="A5" s="85" t="s">
        <v>21</v>
      </c>
      <c r="B5" s="126" cm="1">
        <f t="array" ref="B5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C5" s="126" cm="1">
        <f t="array" ref="C5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D5" s="126" cm="1">
        <f t="array" ref="D5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E5" s="126" cm="1">
        <f t="array" ref="E5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F5" s="126" cm="1">
        <f t="array" ref="F5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G5" s="126" cm="1">
        <f t="array" ref="G5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H5" s="126" cm="1">
        <f t="array" ref="H5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I5" s="126" cm="1">
        <f t="array" ref="I5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J5" s="126" cm="1">
        <f t="array" ref="J5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K5" s="126" cm="1">
        <f t="array" ref="K5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L5" s="126" cm="1">
        <f t="array" ref="L5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M5" s="126" cm="1">
        <f t="array" ref="M5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N5" s="126" cm="1">
        <f t="array" ref="N5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O5" s="126" cm="1">
        <f t="array" ref="O5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P5" s="126" cm="1">
        <f t="array" ref="P5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Q5" s="126" cm="1">
        <f t="array" ref="Q5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R5" s="126" cm="1">
        <f t="array" ref="R5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S5" s="126" cm="1">
        <f t="array" ref="S5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T5" s="126" cm="1">
        <f t="array" ref="T5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U5" s="126" cm="1">
        <f t="array" ref="U5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V5" s="6" cm="1">
        <f t="array" ref="V5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W5" cm="1">
        <f t="array" ref="W5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X5" cm="1">
        <f t="array" ref="X5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Y5" cm="1">
        <f t="array" ref="Y5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Z5" cm="1">
        <f t="array" ref="Z5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A5" cm="1">
        <f t="array" ref="AA5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B5" cm="1">
        <f t="array" ref="AB5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C5" cm="1">
        <f t="array" ref="AC5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D5" cm="1">
        <f t="array" ref="AD5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E5" cm="1">
        <f t="array" ref="AE5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F5" cm="1">
        <f t="array" ref="AF5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G5" cm="1">
        <f t="array" ref="AG5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H5" cm="1">
        <f t="array" ref="AH5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I5" cm="1">
        <f t="array" ref="AI5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J5" cm="1">
        <f t="array" ref="AJ5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K5" cm="1">
        <f t="array" ref="AK5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L5" cm="1">
        <f t="array" ref="AL5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M5" cm="1">
        <f t="array" ref="AM5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</row>
    <row r="6" spans="1:39">
      <c r="A6" s="85" t="s">
        <v>33</v>
      </c>
      <c r="B6" s="126" cm="1">
        <f t="array" ref="B6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C6" s="126" cm="1">
        <f t="array" ref="C6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D6" s="126" cm="1">
        <f t="array" ref="D6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E6" s="126" cm="1">
        <f t="array" ref="E6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F6" s="126" cm="1">
        <f t="array" ref="F6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G6" s="126" cm="1">
        <f t="array" ref="G6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H6" s="126" cm="1">
        <f t="array" ref="H6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I6" s="126" cm="1">
        <f t="array" ref="I6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J6" s="126" cm="1">
        <f t="array" ref="J6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K6" s="126" cm="1">
        <f t="array" ref="K6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L6" s="126" cm="1">
        <f t="array" ref="L6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M6" s="126" cm="1">
        <f t="array" ref="M6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N6" s="126" cm="1">
        <f t="array" ref="N6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O6" s="126" cm="1">
        <f t="array" ref="O6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P6" s="126" cm="1">
        <f t="array" ref="P6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Q6" s="126" cm="1">
        <f t="array" ref="Q6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R6" s="126" cm="1">
        <f t="array" ref="R6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S6" s="126" cm="1">
        <f t="array" ref="S6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T6" s="126" cm="1">
        <f t="array" ref="T6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U6" s="126" cm="1">
        <f t="array" ref="U6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V6" s="6" cm="1">
        <f t="array" ref="V6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W6" cm="1">
        <f t="array" ref="W6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X6" cm="1">
        <f t="array" ref="X6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Y6" cm="1">
        <f t="array" ref="Y6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Z6" cm="1">
        <f t="array" ref="Z6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A6" cm="1">
        <f t="array" ref="AA6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B6" cm="1">
        <f t="array" ref="AB6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C6" cm="1">
        <f t="array" ref="AC6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D6" cm="1">
        <f t="array" ref="AD6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E6" cm="1">
        <f t="array" ref="AE6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F6" cm="1">
        <f t="array" ref="AF6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G6" cm="1">
        <f t="array" ref="AG6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H6" cm="1">
        <f t="array" ref="AH6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I6" cm="1">
        <f t="array" ref="AI6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J6" cm="1">
        <f t="array" ref="AJ6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K6" cm="1">
        <f t="array" ref="AK6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L6" cm="1">
        <f t="array" ref="AL6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M6" cm="1">
        <f t="array" ref="AM6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</row>
    <row r="7" spans="1:39">
      <c r="A7" s="85" t="s">
        <v>22</v>
      </c>
      <c r="B7" s="126" cm="1">
        <f t="array" ref="B7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C7" s="126" cm="1">
        <f t="array" ref="C7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D7" s="126" cm="1">
        <f t="array" ref="D7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E7" s="126" cm="1">
        <f t="array" ref="E7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F7" s="126" cm="1">
        <f t="array" ref="F7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G7" s="126" cm="1">
        <f t="array" ref="G7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H7" s="126" cm="1">
        <f t="array" ref="H7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I7" s="126" cm="1">
        <f t="array" ref="I7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J7" s="126" cm="1">
        <f t="array" ref="J7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K7" s="126" cm="1">
        <f t="array" ref="K7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L7" s="126" cm="1">
        <f t="array" ref="L7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M7" s="126" cm="1">
        <f t="array" ref="M7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N7" s="126" cm="1">
        <f t="array" ref="N7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O7" s="126" cm="1">
        <f t="array" ref="O7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P7" s="126" cm="1">
        <f t="array" ref="P7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Q7" s="126" cm="1">
        <f t="array" ref="Q7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R7" s="126" cm="1">
        <f t="array" ref="R7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S7" s="126" cm="1">
        <f t="array" ref="S7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T7" s="126" cm="1">
        <f t="array" ref="T7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U7" s="126" cm="1">
        <f t="array" ref="U7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V7" s="6" cm="1">
        <f t="array" ref="V7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W7" cm="1">
        <f t="array" ref="W7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X7" cm="1">
        <f t="array" ref="X7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Y7" cm="1">
        <f t="array" ref="Y7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Z7" cm="1">
        <f t="array" ref="Z7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A7" cm="1">
        <f t="array" ref="AA7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B7" cm="1">
        <f t="array" ref="AB7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C7" cm="1">
        <f t="array" ref="AC7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D7" cm="1">
        <f t="array" ref="AD7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E7" cm="1">
        <f t="array" ref="AE7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F7" cm="1">
        <f t="array" ref="AF7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G7" cm="1">
        <f t="array" ref="AG7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H7" cm="1">
        <f t="array" ref="AH7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I7" cm="1">
        <f t="array" ref="AI7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J7" cm="1">
        <f t="array" ref="AJ7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K7" cm="1">
        <f t="array" ref="AK7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L7" cm="1">
        <f t="array" ref="AL7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M7" cm="1">
        <f t="array" ref="AM7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</row>
    <row r="8" spans="1:39">
      <c r="A8" s="85" t="s">
        <v>18</v>
      </c>
      <c r="B8" s="126" cm="1">
        <f t="array" ref="B8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C8" s="126" cm="1">
        <f t="array" ref="C8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D8" s="126" cm="1">
        <f t="array" ref="D8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E8" s="126" cm="1">
        <f t="array" ref="E8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F8" s="126" cm="1">
        <f t="array" ref="F8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G8" s="126" cm="1">
        <f t="array" ref="G8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H8" s="126" cm="1">
        <f t="array" ref="H8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I8" s="126" cm="1">
        <f t="array" ref="I8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J8" s="126" cm="1">
        <f t="array" ref="J8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K8" s="126" cm="1">
        <f t="array" ref="K8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L8" s="126" cm="1">
        <f t="array" ref="L8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M8" s="126" cm="1">
        <f t="array" ref="M8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N8" s="126" cm="1">
        <f t="array" ref="N8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O8" s="126" cm="1">
        <f t="array" ref="O8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P8" s="126" cm="1">
        <f t="array" ref="P8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Q8" s="126" cm="1">
        <f t="array" ref="Q8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R8" s="126" cm="1">
        <f t="array" ref="R8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S8" s="126" cm="1">
        <f t="array" ref="S8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T8" s="126" cm="1">
        <f t="array" ref="T8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U8" s="126" cm="1">
        <f t="array" ref="U8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V8" s="6" cm="1">
        <f t="array" ref="V8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W8" cm="1">
        <f t="array" ref="W8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X8" cm="1">
        <f t="array" ref="X8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Y8" cm="1">
        <f t="array" ref="Y8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Z8" cm="1">
        <f t="array" ref="Z8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A8" cm="1">
        <f t="array" ref="AA8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B8" cm="1">
        <f t="array" ref="AB8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C8" cm="1">
        <f t="array" ref="AC8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D8" cm="1">
        <f t="array" ref="AD8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E8" cm="1">
        <f t="array" ref="AE8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F8" cm="1">
        <f t="array" ref="AF8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G8" cm="1">
        <f t="array" ref="AG8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H8" cm="1">
        <f t="array" ref="AH8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I8" cm="1">
        <f t="array" ref="AI8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J8" cm="1">
        <f t="array" ref="AJ8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K8" cm="1">
        <f t="array" ref="AK8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L8" cm="1">
        <f t="array" ref="AL8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M8" cm="1">
        <f t="array" ref="AM8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</row>
    <row r="9" spans="1:39">
      <c r="A9" s="85" t="s">
        <v>26</v>
      </c>
      <c r="B9" s="126" cm="1">
        <f t="array" ref="B9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C9" s="126" cm="1">
        <f t="array" ref="C9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D9" s="126" cm="1">
        <f t="array" ref="D9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E9" s="126" cm="1">
        <f t="array" ref="E9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F9" s="126" cm="1">
        <f t="array" ref="F9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G9" s="126" cm="1">
        <f t="array" ref="G9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H9" s="126" cm="1">
        <f t="array" ref="H9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I9" s="126" cm="1">
        <f t="array" ref="I9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J9" s="126" cm="1">
        <f t="array" ref="J9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K9" s="126" cm="1">
        <f t="array" ref="K9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L9" s="126" cm="1">
        <f t="array" ref="L9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M9" s="126" cm="1">
        <f t="array" ref="M9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N9" s="126" cm="1">
        <f t="array" ref="N9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O9" s="126" cm="1">
        <f t="array" ref="O9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P9" s="126" cm="1">
        <f t="array" ref="P9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Q9" s="126" cm="1">
        <f t="array" ref="Q9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R9" s="126" cm="1">
        <f t="array" ref="R9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S9" s="126" cm="1">
        <f t="array" ref="S9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T9" s="126" cm="1">
        <f t="array" ref="T9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U9" s="126" cm="1">
        <f t="array" ref="U9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V9" s="6" cm="1">
        <f t="array" ref="V9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W9" cm="1">
        <f t="array" ref="W9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X9" cm="1">
        <f t="array" ref="X9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Y9" cm="1">
        <f t="array" ref="Y9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Z9" cm="1">
        <f t="array" ref="Z9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A9" cm="1">
        <f t="array" ref="AA9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B9" cm="1">
        <f t="array" ref="AB9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C9" cm="1">
        <f t="array" ref="AC9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D9" cm="1">
        <f t="array" ref="AD9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E9" cm="1">
        <f t="array" ref="AE9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F9" cm="1">
        <f t="array" ref="AF9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G9" cm="1">
        <f t="array" ref="AG9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H9" cm="1">
        <f t="array" ref="AH9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I9" cm="1">
        <f t="array" ref="AI9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J9" cm="1">
        <f t="array" ref="AJ9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K9" cm="1">
        <f t="array" ref="AK9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L9" cm="1">
        <f t="array" ref="AL9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M9" cm="1">
        <f t="array" ref="AM9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</row>
    <row r="10" spans="1:39">
      <c r="A10" s="85" t="s">
        <v>24</v>
      </c>
      <c r="B10" s="126" cm="1">
        <f t="array" ref="B10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C10" s="126" cm="1">
        <f t="array" ref="C10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D10" s="126" cm="1">
        <f t="array" ref="D10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E10" s="126" cm="1">
        <f t="array" ref="E10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F10" s="126" cm="1">
        <f t="array" ref="F10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G10" s="126" cm="1">
        <f t="array" ref="G10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H10" s="126" cm="1">
        <f t="array" ref="H10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I10" s="126" cm="1">
        <f t="array" ref="I10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J10" s="126" cm="1">
        <f t="array" ref="J10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K10" s="126" cm="1">
        <f t="array" ref="K10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L10" s="126" cm="1">
        <f t="array" ref="L10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M10" s="126" cm="1">
        <f t="array" ref="M10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N10" s="126" cm="1">
        <f t="array" ref="N10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O10" s="126" cm="1">
        <f t="array" ref="O10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P10" s="126" cm="1">
        <f t="array" ref="P10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Q10" s="126" cm="1">
        <f t="array" ref="Q10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R10" s="126" cm="1">
        <f t="array" ref="R10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S10" s="126" cm="1">
        <f t="array" ref="S10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T10" s="126" cm="1">
        <f t="array" ref="T10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U10" s="126" cm="1">
        <f t="array" ref="U10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V10" s="6" cm="1">
        <f t="array" ref="V10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W10" cm="1">
        <f t="array" ref="W10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X10" cm="1">
        <f t="array" ref="X10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Y10" cm="1">
        <f t="array" ref="Y10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Z10" cm="1">
        <f t="array" ref="Z10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A10" cm="1">
        <f t="array" ref="AA10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B10" cm="1">
        <f t="array" ref="AB10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C10" cm="1">
        <f t="array" ref="AC10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D10" cm="1">
        <f t="array" ref="AD10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E10" cm="1">
        <f t="array" ref="AE10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F10" cm="1">
        <f t="array" ref="AF10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G10" cm="1">
        <f t="array" ref="AG10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H10" cm="1">
        <f t="array" ref="AH10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I10" cm="1">
        <f t="array" ref="AI10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J10" cm="1">
        <f t="array" ref="AJ10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K10" cm="1">
        <f t="array" ref="AK10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L10" cm="1">
        <f t="array" ref="AL10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M10" cm="1">
        <f t="array" ref="AM10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</row>
    <row r="11" spans="1:39">
      <c r="A11" s="85" t="s">
        <v>23</v>
      </c>
      <c r="B11" s="126" cm="1">
        <f t="array" ref="B11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C11" s="126" cm="1">
        <f t="array" ref="C11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D11" s="126" cm="1">
        <f t="array" ref="D11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E11" s="126" cm="1">
        <f t="array" ref="E11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F11" s="126" cm="1">
        <f t="array" ref="F11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G11" s="126" cm="1">
        <f t="array" ref="G11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H11" s="126" cm="1">
        <f t="array" ref="H11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I11" s="126" cm="1">
        <f t="array" ref="I11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J11" s="126" cm="1">
        <f t="array" ref="J11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K11" s="126" cm="1">
        <f t="array" ref="K11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L11" s="126" cm="1">
        <f t="array" ref="L11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M11" s="126" cm="1">
        <f t="array" ref="M11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N11" s="126" cm="1">
        <f t="array" ref="N11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O11" s="126" cm="1">
        <f t="array" ref="O11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P11" s="126" cm="1">
        <f t="array" ref="P11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Q11" s="126" cm="1">
        <f t="array" ref="Q11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R11" s="126" cm="1">
        <f t="array" ref="R11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S11" s="126" cm="1">
        <f t="array" ref="S11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T11" s="126" cm="1">
        <f t="array" ref="T11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U11" s="126" cm="1">
        <f t="array" ref="U11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V11" s="6" cm="1">
        <f t="array" ref="V11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W11" cm="1">
        <f t="array" ref="W11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X11" cm="1">
        <f t="array" ref="X11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Y11" cm="1">
        <f t="array" ref="Y11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Z11" cm="1">
        <f t="array" ref="Z11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A11" cm="1">
        <f t="array" ref="AA11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B11" cm="1">
        <f t="array" ref="AB11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C11" cm="1">
        <f t="array" ref="AC11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D11" cm="1">
        <f t="array" ref="AD11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E11" cm="1">
        <f t="array" ref="AE11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F11" cm="1">
        <f t="array" ref="AF11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G11" cm="1">
        <f t="array" ref="AG11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H11" cm="1">
        <f t="array" ref="AH11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I11" cm="1">
        <f t="array" ref="AI11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J11" cm="1">
        <f t="array" ref="AJ11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K11" cm="1">
        <f t="array" ref="AK11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L11" cm="1">
        <f t="array" ref="AL11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M11" cm="1">
        <f t="array" ref="AM11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</row>
    <row r="12" spans="1:39">
      <c r="A12" s="85" t="s">
        <v>633</v>
      </c>
      <c r="B12" s="126" cm="1">
        <f t="array" ref="B12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C12" s="126" cm="1">
        <f t="array" ref="C12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D12" s="126" cm="1">
        <f t="array" ref="D12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E12" s="126" cm="1">
        <f t="array" ref="E12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F12" s="126" cm="1">
        <f t="array" ref="F12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G12" s="126" cm="1">
        <f t="array" ref="G12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H12" s="126" cm="1">
        <f t="array" ref="H12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I12" s="126" cm="1">
        <f t="array" ref="I12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J12" s="126" cm="1">
        <f t="array" ref="J12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K12" s="126" cm="1">
        <f t="array" ref="K12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L12" s="126" cm="1">
        <f t="array" ref="L12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M12" s="126" cm="1">
        <f t="array" ref="M12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N12" s="126" cm="1">
        <f t="array" ref="N12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O12" s="126" cm="1">
        <f t="array" ref="O12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P12" s="126" cm="1">
        <f t="array" ref="P12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Q12" s="126" cm="1">
        <f t="array" ref="Q12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R12" s="126" cm="1">
        <f t="array" ref="R12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S12" s="126" cm="1">
        <f t="array" ref="S12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T12" s="126" cm="1">
        <f t="array" ref="T12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U12" s="126" cm="1">
        <f t="array" ref="U12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V12" s="6" cm="1">
        <f t="array" ref="V12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W12" cm="1">
        <f t="array" ref="W12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X12" cm="1">
        <f t="array" ref="X12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Y12" cm="1">
        <f t="array" ref="Y12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Z12" cm="1">
        <f t="array" ref="Z12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A12" cm="1">
        <f t="array" ref="AA12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B12" cm="1">
        <f t="array" ref="AB12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C12" cm="1">
        <f t="array" ref="AC12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D12" cm="1">
        <f t="array" ref="AD12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E12" cm="1">
        <f t="array" ref="AE12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F12" cm="1">
        <f t="array" ref="AF12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G12" cm="1">
        <f t="array" ref="AG12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H12" cm="1">
        <f t="array" ref="AH12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I12" cm="1">
        <f t="array" ref="AI12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J12" cm="1">
        <f t="array" ref="AJ12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K12" cm="1">
        <f t="array" ref="AK12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L12" cm="1">
        <f t="array" ref="AL12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M12" cm="1">
        <f t="array" ref="AM12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</row>
    <row r="13" spans="1:39">
      <c r="A13" s="85" t="s">
        <v>17</v>
      </c>
      <c r="B13" s="126" cm="1">
        <f t="array" ref="B13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C13" s="126" cm="1">
        <f t="array" ref="C13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D13" s="126" cm="1">
        <f t="array" ref="D13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E13" s="126" cm="1">
        <f t="array" ref="E13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F13" s="126" cm="1">
        <f t="array" ref="F13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G13" s="126" cm="1">
        <f t="array" ref="G13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H13" s="126" cm="1">
        <f t="array" ref="H13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I13" s="126" cm="1">
        <f t="array" ref="I13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J13" s="126" cm="1">
        <f t="array" ref="J13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K13" s="126" cm="1">
        <f t="array" ref="K13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L13" s="126" cm="1">
        <f t="array" ref="L13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M13" s="126" cm="1">
        <f t="array" ref="M13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N13" s="126" cm="1">
        <f t="array" ref="N13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O13" s="126" cm="1">
        <f t="array" ref="O13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P13" s="126" cm="1">
        <f t="array" ref="P13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Q13" s="126" cm="1">
        <f t="array" ref="Q13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R13" s="126" cm="1">
        <f t="array" ref="R13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S13" s="126" cm="1">
        <f t="array" ref="S13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T13" s="126" cm="1">
        <f t="array" ref="T13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U13" s="126" cm="1">
        <f t="array" ref="U13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V13" s="6" cm="1">
        <f t="array" ref="V13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W13" cm="1">
        <f t="array" ref="W13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X13" cm="1">
        <f t="array" ref="X13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Y13" cm="1">
        <f t="array" ref="Y13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Z13" cm="1">
        <f t="array" ref="Z13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A13" cm="1">
        <f t="array" ref="AA13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B13" cm="1">
        <f t="array" ref="AB13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C13" cm="1">
        <f t="array" ref="AC13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D13" cm="1">
        <f t="array" ref="AD13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E13" cm="1">
        <f t="array" ref="AE13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F13" cm="1">
        <f t="array" ref="AF13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G13" cm="1">
        <f t="array" ref="AG13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H13" cm="1">
        <f t="array" ref="AH13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I13" cm="1">
        <f t="array" ref="AI13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J13" cm="1">
        <f t="array" ref="AJ13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K13" cm="1">
        <f t="array" ref="AK13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L13" cm="1">
        <f t="array" ref="AL13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M13" cm="1">
        <f t="array" ref="AM13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</row>
    <row r="14" spans="1:39">
      <c r="A14" s="85" t="s">
        <v>29</v>
      </c>
      <c r="B14" s="126" cm="1">
        <f t="array" ref="B14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C14" s="126" cm="1">
        <f t="array" ref="C14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D14" s="126" cm="1">
        <f t="array" ref="D14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E14" s="126" cm="1">
        <f t="array" ref="E14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F14" s="126" cm="1">
        <f t="array" ref="F14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G14" s="126" cm="1">
        <f t="array" ref="G14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H14" s="126" cm="1">
        <f t="array" ref="H14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I14" s="126" cm="1">
        <f t="array" ref="I14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J14" s="126" cm="1">
        <f t="array" ref="J14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K14" s="126" cm="1">
        <f t="array" ref="K14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L14" s="126" cm="1">
        <f t="array" ref="L14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M14" s="126" cm="1">
        <f t="array" ref="M14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N14" s="126" cm="1">
        <f t="array" ref="N14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O14" s="126" cm="1">
        <f t="array" ref="O14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P14" s="126" cm="1">
        <f t="array" ref="P14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Q14" s="126" cm="1">
        <f t="array" ref="Q14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R14" s="126" cm="1">
        <f t="array" ref="R14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S14" s="126" cm="1">
        <f t="array" ref="S14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T14" s="126" cm="1">
        <f t="array" ref="T14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U14" s="126" cm="1">
        <f t="array" ref="U14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V14" s="6" cm="1">
        <f t="array" ref="V14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W14" cm="1">
        <f t="array" ref="W14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X14" cm="1">
        <f t="array" ref="X14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Y14" cm="1">
        <f t="array" ref="Y14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Z14" cm="1">
        <f t="array" ref="Z14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A14" cm="1">
        <f t="array" ref="AA14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B14" cm="1">
        <f t="array" ref="AB14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C14" cm="1">
        <f t="array" ref="AC14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D14" cm="1">
        <f t="array" ref="AD14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E14" cm="1">
        <f t="array" ref="AE14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F14" cm="1">
        <f t="array" ref="AF14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G14" cm="1">
        <f t="array" ref="AG14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H14" cm="1">
        <f t="array" ref="AH14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I14" cm="1">
        <f t="array" ref="AI14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J14" cm="1">
        <f t="array" ref="AJ14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K14" cm="1">
        <f t="array" ref="AK14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L14" cm="1">
        <f t="array" ref="AL14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M14" cm="1">
        <f t="array" ref="AM14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</row>
    <row r="15" spans="1:39">
      <c r="A15" s="85" t="s">
        <v>30</v>
      </c>
      <c r="B15" s="126" cm="1">
        <f t="array" ref="B15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C15" s="126" cm="1">
        <f t="array" ref="C15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D15" s="126" cm="1">
        <f t="array" ref="D15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E15" s="126" cm="1">
        <f t="array" ref="E15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F15" s="126" cm="1">
        <f t="array" ref="F15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G15" s="126" cm="1">
        <f t="array" ref="G15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H15" s="126" cm="1">
        <f t="array" ref="H15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I15" s="126" cm="1">
        <f t="array" ref="I15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J15" s="126" cm="1">
        <f t="array" ref="J15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K15" s="126" cm="1">
        <f t="array" ref="K15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L15" s="126" cm="1">
        <f t="array" ref="L15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M15" s="126" cm="1">
        <f t="array" ref="M15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N15" s="126" cm="1">
        <f t="array" ref="N15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O15" s="126" cm="1">
        <f t="array" ref="O15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P15" s="126" cm="1">
        <f t="array" ref="P15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Q15" s="126" cm="1">
        <f t="array" ref="Q15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R15" s="126" cm="1">
        <f t="array" ref="R15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S15" s="126" cm="1">
        <f t="array" ref="S15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T15" s="126" cm="1">
        <f t="array" ref="T15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U15" s="126" cm="1">
        <f t="array" ref="U15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V15" s="6" cm="1">
        <f t="array" ref="V15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W15" cm="1">
        <f t="array" ref="W15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X15" cm="1">
        <f t="array" ref="X15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Y15" cm="1">
        <f t="array" ref="Y15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Z15" cm="1">
        <f t="array" ref="Z15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A15" cm="1">
        <f t="array" ref="AA15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B15" cm="1">
        <f t="array" ref="AB15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C15" cm="1">
        <f t="array" ref="AC15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D15" cm="1">
        <f t="array" ref="AD15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E15" cm="1">
        <f t="array" ref="AE15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F15" cm="1">
        <f t="array" ref="AF15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G15" cm="1">
        <f t="array" ref="AG15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H15" cm="1">
        <f t="array" ref="AH15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I15" cm="1">
        <f t="array" ref="AI15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J15" cm="1">
        <f t="array" ref="AJ15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K15" cm="1">
        <f t="array" ref="AK15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L15" cm="1">
        <f t="array" ref="AL15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M15" cm="1">
        <f t="array" ref="AM15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</row>
    <row r="16" spans="1:39">
      <c r="A16" s="85" t="s">
        <v>25</v>
      </c>
      <c r="B16" s="126" cm="1">
        <f t="array" ref="B16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C16" s="126" cm="1">
        <f t="array" ref="C16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D16" s="126" cm="1">
        <f t="array" ref="D16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E16" s="126" cm="1">
        <f t="array" ref="E16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F16" s="126" cm="1">
        <f t="array" ref="F16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G16" s="126" cm="1">
        <f t="array" ref="G16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H16" s="126" cm="1">
        <f t="array" ref="H16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I16" s="126" cm="1">
        <f t="array" ref="I16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J16" s="126" cm="1">
        <f t="array" ref="J16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K16" s="126" cm="1">
        <f t="array" ref="K16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L16" s="126" cm="1">
        <f t="array" ref="L16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M16" s="126" cm="1">
        <f t="array" ref="M16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N16" s="126" cm="1">
        <f t="array" ref="N16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O16" s="126" cm="1">
        <f t="array" ref="O16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P16" s="126" cm="1">
        <f t="array" ref="P16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Q16" s="126" cm="1">
        <f t="array" ref="Q16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R16" s="126" cm="1">
        <f t="array" ref="R16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S16" s="126" cm="1">
        <f t="array" ref="S16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T16" s="126" cm="1">
        <f t="array" ref="T16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U16" s="126" cm="1">
        <f t="array" ref="U16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V16" s="6" cm="1">
        <f t="array" ref="V16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W16" cm="1">
        <f t="array" ref="W16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X16" cm="1">
        <f t="array" ref="X16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Y16" cm="1">
        <f t="array" ref="Y16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Z16" cm="1">
        <f t="array" ref="Z16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A16" cm="1">
        <f t="array" ref="AA16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B16" cm="1">
        <f t="array" ref="AB16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C16" cm="1">
        <f t="array" ref="AC16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D16" cm="1">
        <f t="array" ref="AD16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E16" cm="1">
        <f t="array" ref="AE16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F16" cm="1">
        <f t="array" ref="AF16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G16" cm="1">
        <f t="array" ref="AG16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H16" cm="1">
        <f t="array" ref="AH16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I16" cm="1">
        <f t="array" ref="AI16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J16" cm="1">
        <f t="array" ref="AJ16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K16" cm="1">
        <f t="array" ref="AK16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L16" cm="1">
        <f t="array" ref="AL16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M16" cm="1">
        <f t="array" ref="AM16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</row>
    <row r="17" spans="1:39">
      <c r="A17" s="85" t="s">
        <v>52</v>
      </c>
      <c r="B17" s="126" cm="1">
        <f t="array" ref="B17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C17" s="126" cm="1">
        <f t="array" ref="C17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D17" s="126" cm="1">
        <f t="array" ref="D17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E17" s="126" cm="1">
        <f t="array" ref="E17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F17" s="126" cm="1">
        <f t="array" ref="F17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G17" s="126" cm="1">
        <f t="array" ref="G17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H17" s="126" cm="1">
        <f t="array" ref="H17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I17" s="126" cm="1">
        <f t="array" ref="I17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J17" s="126" cm="1">
        <f t="array" ref="J17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K17" s="126" cm="1">
        <f t="array" ref="K17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L17" s="126" cm="1">
        <f t="array" ref="L17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M17" s="126" cm="1">
        <f t="array" ref="M17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N17" s="126" cm="1">
        <f t="array" ref="N17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O17" s="126" cm="1">
        <f t="array" ref="O17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P17" s="126" cm="1">
        <f t="array" ref="P17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Q17" s="126" cm="1">
        <f t="array" ref="Q17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R17" s="126" cm="1">
        <f t="array" ref="R17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S17" s="126" cm="1">
        <f t="array" ref="S17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T17" s="126" cm="1">
        <f t="array" ref="T17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U17" s="126" cm="1">
        <f t="array" ref="U17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V17" s="6" cm="1">
        <f t="array" ref="V17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W17" cm="1">
        <f t="array" ref="W17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X17" cm="1">
        <f t="array" ref="X17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Y17" cm="1">
        <f t="array" ref="Y17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Z17" cm="1">
        <f t="array" ref="Z17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A17" cm="1">
        <f t="array" ref="AA17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B17" cm="1">
        <f t="array" ref="AB17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C17" cm="1">
        <f t="array" ref="AC17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D17" cm="1">
        <f t="array" ref="AD17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E17" cm="1">
        <f t="array" ref="AE17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F17" cm="1">
        <f t="array" ref="AF17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G17" cm="1">
        <f t="array" ref="AG17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H17" cm="1">
        <f t="array" ref="AH17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I17" cm="1">
        <f t="array" ref="AI17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J17" cm="1">
        <f t="array" ref="AJ17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K17" cm="1">
        <f t="array" ref="AK17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L17" cm="1">
        <f t="array" ref="AL17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M17" cm="1">
        <f t="array" ref="AM17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</row>
    <row r="18" spans="1:39">
      <c r="A18" s="85" t="s">
        <v>634</v>
      </c>
      <c r="B18" s="126" cm="1">
        <f t="array" ref="B18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C18" s="126" cm="1">
        <f t="array" ref="C18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D18" s="126" cm="1">
        <f t="array" ref="D18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E18" s="126" cm="1">
        <f t="array" ref="E18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F18" s="126" cm="1">
        <f t="array" ref="F18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G18" s="126" cm="1">
        <f t="array" ref="G18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H18" s="126" cm="1">
        <f t="array" ref="H18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I18" s="126" cm="1">
        <f t="array" ref="I18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J18" s="126" cm="1">
        <f t="array" ref="J18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K18" s="126" cm="1">
        <f t="array" ref="K18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L18" s="126" cm="1">
        <f t="array" ref="L18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M18" s="126" cm="1">
        <f t="array" ref="M18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N18" s="126" cm="1">
        <f t="array" ref="N18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O18" s="126" cm="1">
        <f t="array" ref="O18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P18" s="126" cm="1">
        <f t="array" ref="P18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Q18" s="126" cm="1">
        <f t="array" ref="Q18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R18" s="126" cm="1">
        <f t="array" ref="R18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S18" s="126" cm="1">
        <f t="array" ref="S18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T18" s="126" cm="1">
        <f t="array" ref="T18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U18" s="126" cm="1">
        <f t="array" ref="U18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V18" s="6" cm="1">
        <f t="array" ref="V18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W18" cm="1">
        <f t="array" ref="W18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X18" cm="1">
        <f t="array" ref="X18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Y18" cm="1">
        <f t="array" ref="Y18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Z18" cm="1">
        <f t="array" ref="Z18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A18" cm="1">
        <f t="array" ref="AA18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B18" cm="1">
        <f t="array" ref="AB18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C18" cm="1">
        <f t="array" ref="AC18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D18" cm="1">
        <f t="array" ref="AD18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E18" cm="1">
        <f t="array" ref="AE18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F18" cm="1">
        <f t="array" ref="AF18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G18" cm="1">
        <f t="array" ref="AG18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H18" cm="1">
        <f t="array" ref="AH18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I18" cm="1">
        <f t="array" ref="AI18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J18" cm="1">
        <f t="array" ref="AJ18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K18" cm="1">
        <f t="array" ref="AK18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L18" cm="1">
        <f t="array" ref="AL18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M18" cm="1">
        <f t="array" ref="AM18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</row>
    <row r="19" spans="1:39">
      <c r="A19" s="85" t="s">
        <v>19</v>
      </c>
      <c r="B19" s="126" cm="1">
        <f t="array" ref="B19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C19" s="126" cm="1">
        <f t="array" ref="C19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D19" s="126" cm="1">
        <f t="array" ref="D19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E19" s="126" cm="1">
        <f t="array" ref="E19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F19" s="126" cm="1">
        <f t="array" ref="F19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G19" s="126" cm="1">
        <f t="array" ref="G19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H19" s="126" cm="1">
        <f t="array" ref="H19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I19" s="126" cm="1">
        <f t="array" ref="I19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J19" s="126" cm="1">
        <f t="array" ref="J19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K19" s="126" cm="1">
        <f t="array" ref="K19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L19" s="126" cm="1">
        <f t="array" ref="L19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M19" s="126" cm="1">
        <f t="array" ref="M19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N19" s="126" cm="1">
        <f t="array" ref="N19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O19" s="126" cm="1">
        <f t="array" ref="O19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P19" s="126" cm="1">
        <f t="array" ref="P19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Q19" s="126" cm="1">
        <f t="array" ref="Q19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R19" s="126" cm="1">
        <f t="array" ref="R19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S19" s="126" cm="1">
        <f t="array" ref="S19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T19" s="126" cm="1">
        <f t="array" ref="T19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U19" s="126" cm="1">
        <f t="array" ref="U19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V19" s="6" cm="1">
        <f t="array" ref="V19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W19" cm="1">
        <f t="array" ref="W19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X19" cm="1">
        <f t="array" ref="X19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Y19" cm="1">
        <f t="array" ref="Y19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Z19" cm="1">
        <f t="array" ref="Z19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A19" cm="1">
        <f t="array" ref="AA19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B19" cm="1">
        <f t="array" ref="AB19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C19" cm="1">
        <f t="array" ref="AC19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D19" cm="1">
        <f t="array" ref="AD19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E19" cm="1">
        <f t="array" ref="AE19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F19" cm="1">
        <f t="array" ref="AF19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G19" cm="1">
        <f t="array" ref="AG19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H19" cm="1">
        <f t="array" ref="AH19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I19" cm="1">
        <f t="array" ref="AI19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J19" cm="1">
        <f t="array" ref="AJ19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K19" cm="1">
        <f t="array" ref="AK19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AL19" cm="1">
        <f t="array" ref="AL19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M19" cm="1">
        <f t="array" ref="AM19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</row>
    <row r="20" spans="1:39">
      <c r="A20" s="85" t="s">
        <v>27</v>
      </c>
      <c r="B20" s="126" cm="1">
        <f t="array" ref="B20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C20" s="126" cm="1">
        <f t="array" ref="C20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D20" s="126" cm="1">
        <f t="array" ref="D20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E20" s="126" cm="1">
        <f t="array" ref="E20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F20" s="126" cm="1">
        <f t="array" ref="F20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G20" s="126" cm="1">
        <f t="array" ref="G20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H20" s="126" cm="1">
        <f t="array" ref="H20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I20" s="126" cm="1">
        <f t="array" ref="I20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J20" s="126" cm="1">
        <f t="array" ref="J20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K20" s="126" cm="1">
        <f t="array" ref="K20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L20" s="126" cm="1">
        <f t="array" ref="L20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M20" s="126" cm="1">
        <f t="array" ref="M20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N20" s="126" cm="1">
        <f t="array" ref="N20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O20" s="126" cm="1">
        <f t="array" ref="O20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P20" s="126" cm="1">
        <f t="array" ref="P20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Q20" s="126" cm="1">
        <f t="array" ref="Q20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R20" s="126" cm="1">
        <f t="array" ref="R20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S20" s="126" cm="1">
        <f t="array" ref="S20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T20" s="126" cm="1">
        <f t="array" ref="T20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U20" s="126" cm="1">
        <f t="array" ref="U20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V20" s="6" cm="1">
        <f t="array" ref="V20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W20" cm="1">
        <f t="array" ref="W20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X20" cm="1">
        <f t="array" ref="X20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  <c r="Y20" cm="1">
        <f t="array" ref="Y20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Z20" cm="1">
        <f t="array" ref="Z20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A20" cm="1">
        <f t="array" ref="AA20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B20" cm="1">
        <f t="array" ref="AB20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C20" cm="1">
        <f t="array" ref="AC20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D20" cm="1">
        <f t="array" ref="AD20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E20" cm="1">
        <f t="array" ref="AE20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F20" cm="1">
        <f t="array" ref="AF20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G20" cm="1">
        <f t="array" ref="AG20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H20" cm="1">
        <f t="array" ref="AH20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I20" cm="1">
        <f t="array" ref="AI20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J20" cm="1">
        <f t="array" ref="AJ20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K20" cm="1">
        <f t="array" ref="AK20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L20" cm="1">
        <f t="array" ref="AL20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M20" cm="1">
        <f t="array" ref="AM20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1</v>
      </c>
    </row>
    <row r="21" spans="1:39">
      <c r="A21" s="86" t="s">
        <v>51</v>
      </c>
      <c r="B21" s="126" cm="1">
        <f t="array" ref="B21">_xlfn.LET(
  _xlpm.wk, TEXT(FDR[[#Headers],[1]],"0"),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C21" s="126" cm="1">
        <f t="array" ref="C21">_xlfn.LET(
  _xlpm.wk, TEXT(FDR[[#Headers],[2]],"0"),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D21" s="126" cm="1">
        <f t="array" ref="D21">_xlfn.LET(
  _xlpm.wk, TEXT(FDR[[#Headers],[3]],"0"),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E21" s="126" cm="1">
        <f t="array" ref="E21">_xlfn.LET(
  _xlpm.wk, TEXT(FDR[[#Headers],[4]],"0"),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F21" s="126" cm="1">
        <f t="array" ref="F21">_xlfn.LET(
  _xlpm.wk, TEXT(FDR[[#Headers],[5]],"0"),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G21" s="126" cm="1">
        <f t="array" ref="G21">_xlfn.LET(
  _xlpm.wk, TEXT(FDR[[#Headers],[6]],"0"),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H21" s="126" cm="1">
        <f t="array" ref="H21">_xlfn.LET(
  _xlpm.wk, TEXT(FDR[[#Headers],[7]],"0"),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I21" s="126" cm="1">
        <f t="array" ref="I21">_xlfn.LET(
  _xlpm.wk, TEXT(FDR[[#Headers],[8]],"0"),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J21" s="126" cm="1">
        <f t="array" ref="J21">_xlfn.LET(
  _xlpm.wk, TEXT(FDR[[#Headers],[9]],"0"),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K21" s="126" cm="1">
        <f t="array" ref="K21">_xlfn.LET(
  _xlpm.wk, TEXT(FDR[[#Headers],[10]],"0"),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L21" s="126" cm="1">
        <f t="array" ref="L21">_xlfn.LET(
  _xlpm.wk, TEXT(FDR[[#Headers],[11]],"0"),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M21" s="126" cm="1">
        <f t="array" ref="M21">_xlfn.LET(
  _xlpm.wk, TEXT(FDR[[#Headers],[12]],"0"),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N21" s="126" cm="1">
        <f t="array" ref="N21">_xlfn.LET(
  _xlpm.wk, TEXT(FDR[[#Headers],[13]],"0"),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O21" s="126" cm="1">
        <f t="array" ref="O21">_xlfn.LET(
  _xlpm.wk, TEXT(FDR[[#Headers],[14]],"0"),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P21" s="126" cm="1">
        <f t="array" ref="P21">_xlfn.LET(
  _xlpm.wk, TEXT(FDR[[#Headers],[15]],"0"),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Q21" s="126" cm="1">
        <f t="array" ref="Q21">_xlfn.LET(
  _xlpm.wk, TEXT(FDR[[#Headers],[16]],"0"),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R21" s="126" cm="1">
        <f t="array" ref="R21">_xlfn.LET(
  _xlpm.wk, TEXT(FDR[[#Headers],[17]],"0"),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S21" s="126" cm="1">
        <f t="array" ref="S21">_xlfn.LET(
  _xlpm.wk, TEXT(FDR[[#Headers],[18]],"0"),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T21" s="126" cm="1">
        <f t="array" ref="T21">_xlfn.LET(
  _xlpm.wk, TEXT(FDR[[#Headers],[19]],"0"),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U21" s="126" cm="1">
        <f t="array" ref="U21">_xlfn.LET(
  _xlpm.wk, TEXT(FDR[[#Headers],[20]],"0"),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V21" s="6" cm="1">
        <f t="array" ref="V21">_xlfn.LET(
  _xlpm.wk, TEXT(FDR[[#Headers],[21]],"0"),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W21" cm="1">
        <f t="array" ref="W21">_xlfn.LET(
  _xlpm.wk, TEXT(FDR[[#Headers],[22]],"0"),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X21" cm="1">
        <f t="array" ref="X21">_xlfn.LET(
  _xlpm.wk, TEXT(FDR[[#Headers],[23]],"0"),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Y21" cm="1">
        <f t="array" ref="Y21">_xlfn.LET(
  _xlpm.wk, TEXT(FDR[[#Headers],[24]],"0"),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Z21" cm="1">
        <f t="array" ref="Z21">_xlfn.LET(
  _xlpm.wk, TEXT(FDR[[#Headers],[25]],"0"),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A21" cm="1">
        <f t="array" ref="AA21">_xlfn.LET(
  _xlpm.wk, TEXT(FDR[[#Headers],[26]],"0"),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B21" cm="1">
        <f t="array" ref="AB21">_xlfn.LET(
  _xlpm.wk, TEXT(FDR[[#Headers],[27]],"0"),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C21" cm="1">
        <f t="array" ref="AC21">_xlfn.LET(
  _xlpm.wk, TEXT(FDR[[#Headers],[28]],"0"),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D21" cm="1">
        <f t="array" ref="AD21">_xlfn.LET(
  _xlpm.wk, TEXT(FDR[[#Headers],[29]],"0"),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E21" cm="1">
        <f t="array" ref="AE21">_xlfn.LET(
  _xlpm.wk, TEXT(FDR[[#Headers],[30]],"0"),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F21" cm="1">
        <f t="array" ref="AF21">_xlfn.LET(
  _xlpm.wk, TEXT(FDR[[#Headers],[31]],"0"),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G21" cm="1">
        <f t="array" ref="AG21">_xlfn.LET(
  _xlpm.wk, TEXT(FDR[[#Headers],[32]],"0"),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H21" cm="1">
        <f t="array" ref="AH21">_xlfn.LET(
  _xlpm.wk, TEXT(FDR[[#Headers],[33]],"0"),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  <c r="AI21" cm="1">
        <f t="array" ref="AI21">_xlfn.LET(
  _xlpm.wk, TEXT(FDR[[#Headers],[34]],"0"),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J21" cm="1">
        <f t="array" ref="AJ21">_xlfn.LET(
  _xlpm.wk, TEXT(FDR[[#Headers],[35]],"0"),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2</v>
      </c>
      <c r="AK21" cm="1">
        <f t="array" ref="AK21">_xlfn.LET(
  _xlpm.wk, TEXT(FDR[[#Headers],[36]],"0"),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5</v>
      </c>
      <c r="AL21" cm="1">
        <f t="array" ref="AL21">_xlfn.LET(
  _xlpm.wk, TEXT(FDR[[#Headers],[37]],"0"),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4</v>
      </c>
      <c r="AM21" cm="1">
        <f t="array" ref="AM21">_xlfn.LET(
  _xlpm.wk, TEXT(FDR[[#Headers],[38]],"0"),
  _xlpm.team, UPPER(TRIM(FDR[[#This Row],[FDR]])),
  _xlpm.lookupArray, _xlfn.VSTACK( UPPER(TRIM(Fixture[HomeTeam]))&amp;TEXT(Fixture[GAME WEEK],"0"),
                       UPPER(TRIM(Fixture[AwayTeam]))&amp;TEXT(Fixture[GAME WEEK],"0") ),
  _xlpm.returnArray, _xlfn.VSTACK( Fixture[H_Difficulty], Fixture[A_Difficulty] ),
  _xlfn.XLOOKUP(_xlpm.team&amp;_xlpm.wk, _xlpm.lookupArray, _xlpm.returnArray, "")
)</f>
        <v>3</v>
      </c>
    </row>
    <row r="23" spans="1:39">
      <c r="D23" s="123">
        <v>1</v>
      </c>
      <c r="E23" s="91">
        <v>2</v>
      </c>
      <c r="F23" s="122">
        <v>3</v>
      </c>
      <c r="G23" s="127">
        <v>4</v>
      </c>
      <c r="H23" s="93">
        <v>5</v>
      </c>
    </row>
  </sheetData>
  <conditionalFormatting sqref="B2:AM21">
    <cfRule type="iconSet" priority="1">
      <iconSet iconSet="5Arrows" reverse="1">
        <cfvo type="percent" val="0"/>
        <cfvo type="num" val="2"/>
        <cfvo type="num" val="3"/>
        <cfvo type="num" val="4"/>
        <cfvo type="num" val="5"/>
      </iconSet>
    </cfRule>
    <cfRule type="cellIs" dxfId="1323" priority="6" operator="equal">
      <formula>5</formula>
    </cfRule>
    <cfRule type="cellIs" dxfId="1322" priority="7" operator="equal">
      <formula>4</formula>
    </cfRule>
    <cfRule type="cellIs" dxfId="1321" priority="8" operator="equal">
      <formula>3</formula>
    </cfRule>
    <cfRule type="cellIs" dxfId="1320" priority="9" operator="equal">
      <formula>2</formula>
    </cfRule>
    <cfRule type="cellIs" dxfId="1319" priority="10" operator="equal">
      <formula>1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69E9C-306D-6049-ACB8-50335BFDFF78}">
  <sheetPr>
    <tabColor theme="4" tint="-0.249977111117893"/>
  </sheetPr>
  <dimension ref="A1:L28"/>
  <sheetViews>
    <sheetView showGridLines="0" topLeftCell="A11" zoomScale="125" workbookViewId="0">
      <selection activeCell="I13" sqref="I13"/>
    </sheetView>
  </sheetViews>
  <sheetFormatPr baseColWidth="10" defaultRowHeight="16"/>
  <cols>
    <col min="2" max="2" width="12.5" bestFit="1" customWidth="1"/>
    <col min="4" max="8" width="10.83203125" customWidth="1"/>
    <col min="11" max="11" width="10.83203125" customWidth="1"/>
  </cols>
  <sheetData>
    <row r="1" spans="1:12" ht="17" thickBot="1"/>
    <row r="2" spans="1:12" ht="17" customHeight="1" thickTop="1">
      <c r="B2" s="131"/>
      <c r="C2" s="249" t="s">
        <v>1963</v>
      </c>
      <c r="D2" s="250"/>
      <c r="E2" s="250"/>
      <c r="F2" s="250"/>
      <c r="G2" s="250"/>
      <c r="H2" s="250"/>
      <c r="I2" s="250"/>
      <c r="J2" s="250"/>
      <c r="K2" s="251"/>
    </row>
    <row r="3" spans="1:12" ht="17" customHeight="1">
      <c r="A3" s="131"/>
      <c r="B3" s="131"/>
      <c r="C3" s="252"/>
      <c r="D3" s="253"/>
      <c r="E3" s="253"/>
      <c r="F3" s="253"/>
      <c r="G3" s="253"/>
      <c r="H3" s="253"/>
      <c r="I3" s="253"/>
      <c r="J3" s="253"/>
      <c r="K3" s="254"/>
    </row>
    <row r="4" spans="1:12" ht="17" customHeight="1">
      <c r="A4" s="131"/>
      <c r="B4" s="131"/>
      <c r="C4" s="252"/>
      <c r="D4" s="253"/>
      <c r="E4" s="253"/>
      <c r="F4" s="253"/>
      <c r="G4" s="253"/>
      <c r="H4" s="253"/>
      <c r="I4" s="253"/>
      <c r="J4" s="253"/>
      <c r="K4" s="254"/>
    </row>
    <row r="5" spans="1:12" ht="17" customHeight="1">
      <c r="A5" s="131"/>
      <c r="B5" s="131"/>
      <c r="C5" s="252"/>
      <c r="D5" s="253"/>
      <c r="E5" s="253"/>
      <c r="F5" s="253"/>
      <c r="G5" s="253"/>
      <c r="H5" s="253"/>
      <c r="I5" s="253"/>
      <c r="J5" s="253"/>
      <c r="K5" s="254"/>
    </row>
    <row r="6" spans="1:12" ht="17" customHeight="1" thickBot="1">
      <c r="C6" s="255"/>
      <c r="D6" s="256"/>
      <c r="E6" s="256"/>
      <c r="F6" s="256"/>
      <c r="G6" s="256"/>
      <c r="H6" s="256"/>
      <c r="I6" s="256"/>
      <c r="J6" s="256"/>
      <c r="K6" s="257"/>
    </row>
    <row r="7" spans="1:12" ht="17" thickTop="1"/>
    <row r="8" spans="1:12" ht="17" thickBot="1">
      <c r="B8" s="143" t="s">
        <v>1964</v>
      </c>
      <c r="C8" s="144" t="s">
        <v>1965</v>
      </c>
      <c r="D8" s="145" t="s">
        <v>34</v>
      </c>
      <c r="E8" s="133" t="s">
        <v>1966</v>
      </c>
      <c r="F8" s="133" t="s">
        <v>35</v>
      </c>
      <c r="G8" s="146" t="s">
        <v>1967</v>
      </c>
      <c r="H8" s="132" t="s">
        <v>1968</v>
      </c>
      <c r="I8" s="145" t="s">
        <v>31</v>
      </c>
      <c r="J8" s="132" t="s">
        <v>1969</v>
      </c>
      <c r="K8" s="147" t="s">
        <v>1970</v>
      </c>
      <c r="L8" s="133" t="s">
        <v>1971</v>
      </c>
    </row>
    <row r="9" spans="1:12">
      <c r="B9" s="148" t="s">
        <v>20</v>
      </c>
      <c r="C9" s="134">
        <f>SUM(D9:F9)</f>
        <v>2</v>
      </c>
      <c r="D9" s="305" cm="1">
        <f t="array" ref="D9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2</v>
      </c>
      <c r="E9" s="305" cm="1">
        <f t="array" ref="E9">SUMPRODUCT(
  ((Fixture[HomeTeam]=TableRank[[#This Row],[TEAMS]]) + (Fixture[AwayTeam]=TableRank[[#This Row],[TEAMS]])) * (Fixture[HomeGoals]=Fixture[AwayGoals]) *(ISNUMBER(Fixture[HomeGoals])*ISNUMBER(Fixture[AwayGoals]))
)</f>
        <v>0</v>
      </c>
      <c r="F9" s="306" cm="1">
        <f t="array" ref="F9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0</v>
      </c>
      <c r="G9" s="150">
        <f>SUMIFS(Fixture[HomeGoals], Fixture[HomeTeam], TableRank[[#This Row],[TEAMS]], Fixture[HomeGoals], "&lt;&gt;") +
  SUMIFS(Fixture[AwayGoals], Fixture[AwayTeam], TableRank[[#This Row],[TEAMS]], Fixture[AwayGoals], "&lt;&gt;")</f>
        <v>6</v>
      </c>
      <c r="H9" s="308">
        <f>SUMIFS(Fixture[AwayGoals], Fixture[HomeTeam], TableRank[[#This Row],[TEAMS]], Fixture[AwayGoals], "&lt;&gt;") +
  SUMIFS(Fixture[HomeGoals], Fixture[AwayTeam], TableRank[[#This Row],[TEAMS]], Fixture[HomeGoals], "&lt;&gt;")</f>
        <v>0</v>
      </c>
      <c r="I9" s="309">
        <f>G9-H9</f>
        <v>6</v>
      </c>
      <c r="J9" s="135">
        <f>D9*3+E9*1+F9*0</f>
        <v>6</v>
      </c>
      <c r="K9" s="311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-4</v>
      </c>
      <c r="L9" s="313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10" spans="1:12">
      <c r="B10" s="149" t="s">
        <v>19</v>
      </c>
      <c r="C10" s="141">
        <f>SUM(D10:F10)</f>
        <v>2</v>
      </c>
      <c r="D10" s="139" cm="1">
        <f t="array" ref="D10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2</v>
      </c>
      <c r="E10" s="139" cm="1">
        <f t="array" ref="E10">SUMPRODUCT(
  ((Fixture[HomeTeam]=TableRank[[#This Row],[TEAMS]]) + (Fixture[AwayTeam]=TableRank[[#This Row],[TEAMS]])) * (Fixture[HomeGoals]=Fixture[AwayGoals]) *(ISNUMBER(Fixture[HomeGoals])*ISNUMBER(Fixture[AwayGoals]))
)</f>
        <v>0</v>
      </c>
      <c r="F10" s="140" cm="1">
        <f t="array" ref="F10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0</v>
      </c>
      <c r="G10" s="150">
        <f>SUMIFS(Fixture[HomeGoals], Fixture[HomeTeam], TableRank[[#This Row],[TEAMS]], Fixture[HomeGoals], "&lt;&gt;") +
  SUMIFS(Fixture[AwayGoals], Fixture[AwayTeam], TableRank[[#This Row],[TEAMS]], Fixture[AwayGoals], "&lt;&gt;")</f>
        <v>5</v>
      </c>
      <c r="H10" s="150">
        <f>SUMIFS(Fixture[AwayGoals], Fixture[HomeTeam], TableRank[[#This Row],[TEAMS]], Fixture[AwayGoals], "&lt;&gt;") +
  SUMIFS(Fixture[HomeGoals], Fixture[AwayTeam], TableRank[[#This Row],[TEAMS]], Fixture[HomeGoals], "&lt;&gt;")</f>
        <v>0</v>
      </c>
      <c r="I10" s="138">
        <f>G10-H10</f>
        <v>5</v>
      </c>
      <c r="J10" s="136">
        <f>D10*3+E10*1+F10*0</f>
        <v>6</v>
      </c>
      <c r="K10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0</v>
      </c>
      <c r="L10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11" spans="1:12">
      <c r="B11" s="149" t="s">
        <v>17</v>
      </c>
      <c r="C11" s="141">
        <f>SUM(D11:F11)</f>
        <v>2</v>
      </c>
      <c r="D11" s="139" cm="1">
        <f t="array" ref="D11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2</v>
      </c>
      <c r="E11" s="139" cm="1">
        <f t="array" ref="E11">SUMPRODUCT(
  ((Fixture[HomeTeam]=TableRank[[#This Row],[TEAMS]]) + (Fixture[AwayTeam]=TableRank[[#This Row],[TEAMS]])) * (Fixture[HomeGoals]=Fixture[AwayGoals]) *(ISNUMBER(Fixture[HomeGoals])*ISNUMBER(Fixture[AwayGoals]))
)</f>
        <v>0</v>
      </c>
      <c r="F11" s="140" cm="1">
        <f t="array" ref="F11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0</v>
      </c>
      <c r="G11" s="150">
        <f>SUMIFS(Fixture[HomeGoals], Fixture[HomeTeam], TableRank[[#This Row],[TEAMS]], Fixture[HomeGoals], "&lt;&gt;") +
  SUMIFS(Fixture[AwayGoals], Fixture[AwayTeam], TableRank[[#This Row],[TEAMS]], Fixture[AwayGoals], "&lt;&gt;")</f>
        <v>7</v>
      </c>
      <c r="H11" s="150">
        <f>SUMIFS(Fixture[AwayGoals], Fixture[HomeTeam], TableRank[[#This Row],[TEAMS]], Fixture[AwayGoals], "&lt;&gt;") +
  SUMIFS(Fixture[HomeGoals], Fixture[AwayTeam], TableRank[[#This Row],[TEAMS]], Fixture[HomeGoals], "&lt;&gt;")</f>
        <v>4</v>
      </c>
      <c r="I11" s="138">
        <f>G11-H11</f>
        <v>3</v>
      </c>
      <c r="J11" s="136">
        <f>D11*3+E11*1+F11*0</f>
        <v>6</v>
      </c>
      <c r="K11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-1</v>
      </c>
      <c r="L11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12" spans="1:12">
      <c r="B12" s="149" t="s">
        <v>18</v>
      </c>
      <c r="C12" s="141">
        <f>SUM(D12:F12)</f>
        <v>2</v>
      </c>
      <c r="D12" s="136" cm="1">
        <f t="array" ref="D12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1</v>
      </c>
      <c r="E12" s="136" cm="1">
        <f t="array" ref="E12">SUMPRODUCT(
  ((Fixture[HomeTeam]=TableRank[[#This Row],[TEAMS]]) + (Fixture[AwayTeam]=TableRank[[#This Row],[TEAMS]])) * (Fixture[HomeGoals]=Fixture[AwayGoals]) *(ISNUMBER(Fixture[HomeGoals])*ISNUMBER(Fixture[AwayGoals]))
)</f>
        <v>1</v>
      </c>
      <c r="F12" s="307" cm="1">
        <f t="array" ref="F12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0</v>
      </c>
      <c r="G12" s="137">
        <f>SUMIFS(Fixture[HomeGoals], Fixture[HomeTeam], TableRank[[#This Row],[TEAMS]], Fixture[HomeGoals], "&lt;&gt;") +
  SUMIFS(Fixture[AwayGoals], Fixture[AwayTeam], TableRank[[#This Row],[TEAMS]], Fixture[AwayGoals], "&lt;&gt;")</f>
        <v>5</v>
      </c>
      <c r="H12" s="137">
        <f>SUMIFS(Fixture[AwayGoals], Fixture[HomeTeam], TableRank[[#This Row],[TEAMS]], Fixture[AwayGoals], "&lt;&gt;") +
  SUMIFS(Fixture[HomeGoals], Fixture[AwayTeam], TableRank[[#This Row],[TEAMS]], Fixture[HomeGoals], "&lt;&gt;")</f>
        <v>1</v>
      </c>
      <c r="I12" s="310">
        <f>G12-H12</f>
        <v>4</v>
      </c>
      <c r="J12" s="136">
        <f>D12*3+E12*1+F12*0</f>
        <v>4</v>
      </c>
      <c r="K12" s="31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-2</v>
      </c>
      <c r="L12" s="314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13" spans="1:12">
      <c r="B13" s="149" t="s">
        <v>52</v>
      </c>
      <c r="C13" s="141">
        <f>SUM(D13:F13)</f>
        <v>2</v>
      </c>
      <c r="D13" s="139" cm="1">
        <f t="array" ref="D13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1</v>
      </c>
      <c r="E13" s="139" cm="1">
        <f t="array" ref="E13">SUMPRODUCT(
  ((Fixture[HomeTeam]=TableRank[[#This Row],[TEAMS]]) + (Fixture[AwayTeam]=TableRank[[#This Row],[TEAMS]])) * (Fixture[HomeGoals]=Fixture[AwayGoals]) *(ISNUMBER(Fixture[HomeGoals])*ISNUMBER(Fixture[AwayGoals]))
)</f>
        <v>1</v>
      </c>
      <c r="F13" s="140" cm="1">
        <f t="array" ref="F13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0</v>
      </c>
      <c r="G13" s="150">
        <f>SUMIFS(Fixture[HomeGoals], Fixture[HomeTeam], TableRank[[#This Row],[TEAMS]], Fixture[HomeGoals], "&lt;&gt;") +
  SUMIFS(Fixture[AwayGoals], Fixture[AwayTeam], TableRank[[#This Row],[TEAMS]], Fixture[AwayGoals], "&lt;&gt;")</f>
        <v>4</v>
      </c>
      <c r="H13" s="150">
        <f>SUMIFS(Fixture[AwayGoals], Fixture[HomeTeam], TableRank[[#This Row],[TEAMS]], Fixture[AwayGoals], "&lt;&gt;") +
  SUMIFS(Fixture[HomeGoals], Fixture[AwayTeam], TableRank[[#This Row],[TEAMS]], Fixture[HomeGoals], "&lt;&gt;")</f>
        <v>2</v>
      </c>
      <c r="I13" s="138">
        <f>G13-H13</f>
        <v>2</v>
      </c>
      <c r="J13" s="136">
        <f>D13*3+E13*1+F13*0</f>
        <v>4</v>
      </c>
      <c r="K13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-1</v>
      </c>
      <c r="L13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14" spans="1:12">
      <c r="B14" s="149" t="s">
        <v>29</v>
      </c>
      <c r="C14" s="141">
        <f>SUM(D14:F14)</f>
        <v>2</v>
      </c>
      <c r="D14" s="139" cm="1">
        <f t="array" ref="D14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1</v>
      </c>
      <c r="E14" s="139" cm="1">
        <f t="array" ref="E14">SUMPRODUCT(
  ((Fixture[HomeTeam]=TableRank[[#This Row],[TEAMS]]) + (Fixture[AwayTeam]=TableRank[[#This Row],[TEAMS]])) * (Fixture[HomeGoals]=Fixture[AwayGoals]) *(ISNUMBER(Fixture[HomeGoals])*ISNUMBER(Fixture[AwayGoals]))
)</f>
        <v>0</v>
      </c>
      <c r="F14" s="140" cm="1">
        <f t="array" ref="F14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1</v>
      </c>
      <c r="G14" s="150">
        <f>SUMIFS(Fixture[HomeGoals], Fixture[HomeTeam], TableRank[[#This Row],[TEAMS]], Fixture[HomeGoals], "&lt;&gt;") +
  SUMIFS(Fixture[AwayGoals], Fixture[AwayTeam], TableRank[[#This Row],[TEAMS]], Fixture[AwayGoals], "&lt;&gt;")</f>
        <v>4</v>
      </c>
      <c r="H14" s="150">
        <f>SUMIFS(Fixture[AwayGoals], Fixture[HomeTeam], TableRank[[#This Row],[TEAMS]], Fixture[AwayGoals], "&lt;&gt;") +
  SUMIFS(Fixture[HomeGoals], Fixture[AwayTeam], TableRank[[#This Row],[TEAMS]], Fixture[HomeGoals], "&lt;&gt;")</f>
        <v>2</v>
      </c>
      <c r="I14" s="138">
        <f>G14-H14</f>
        <v>2</v>
      </c>
      <c r="J14" s="136">
        <f>D14*3+E14*1+F14*0</f>
        <v>3</v>
      </c>
      <c r="K14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-2</v>
      </c>
      <c r="L14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15" spans="1:12">
      <c r="B15" s="149" t="s">
        <v>634</v>
      </c>
      <c r="C15" s="141">
        <f>SUM(D15:F15)</f>
        <v>2</v>
      </c>
      <c r="D15" s="139" cm="1">
        <f t="array" ref="D15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1</v>
      </c>
      <c r="E15" s="139" cm="1">
        <f t="array" ref="E15">SUMPRODUCT(
  ((Fixture[HomeTeam]=TableRank[[#This Row],[TEAMS]]) + (Fixture[AwayTeam]=TableRank[[#This Row],[TEAMS]])) * (Fixture[HomeGoals]=Fixture[AwayGoals]) *(ISNUMBER(Fixture[HomeGoals])*ISNUMBER(Fixture[AwayGoals]))
)</f>
        <v>0</v>
      </c>
      <c r="F15" s="140" cm="1">
        <f t="array" ref="F15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1</v>
      </c>
      <c r="G15" s="150">
        <f>SUMIFS(Fixture[HomeGoals], Fixture[HomeTeam], TableRank[[#This Row],[TEAMS]], Fixture[HomeGoals], "&lt;&gt;") +
  SUMIFS(Fixture[AwayGoals], Fixture[AwayTeam], TableRank[[#This Row],[TEAMS]], Fixture[AwayGoals], "&lt;&gt;")</f>
        <v>3</v>
      </c>
      <c r="H15" s="150">
        <f>SUMIFS(Fixture[AwayGoals], Fixture[HomeTeam], TableRank[[#This Row],[TEAMS]], Fixture[AwayGoals], "&lt;&gt;") +
  SUMIFS(Fixture[HomeGoals], Fixture[AwayTeam], TableRank[[#This Row],[TEAMS]], Fixture[HomeGoals], "&lt;&gt;")</f>
        <v>2</v>
      </c>
      <c r="I15" s="138">
        <f>G15-H15</f>
        <v>1</v>
      </c>
      <c r="J15" s="136">
        <f>D15*3+E15*1+F15*0</f>
        <v>3</v>
      </c>
      <c r="K15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0</v>
      </c>
      <c r="L15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16" spans="1:12">
      <c r="B16" s="149" t="s">
        <v>24</v>
      </c>
      <c r="C16" s="141">
        <f>SUM(D16:F16)</f>
        <v>2</v>
      </c>
      <c r="D16" s="139" cm="1">
        <f t="array" ref="D16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1</v>
      </c>
      <c r="E16" s="139" cm="1">
        <f t="array" ref="E16">SUMPRODUCT(
  ((Fixture[HomeTeam]=TableRank[[#This Row],[TEAMS]]) + (Fixture[AwayTeam]=TableRank[[#This Row],[TEAMS]])) * (Fixture[HomeGoals]=Fixture[AwayGoals]) *(ISNUMBER(Fixture[HomeGoals])*ISNUMBER(Fixture[AwayGoals]))
)</f>
        <v>0</v>
      </c>
      <c r="F16" s="140" cm="1">
        <f t="array" ref="F16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1</v>
      </c>
      <c r="G16" s="150">
        <f>SUMIFS(Fixture[HomeGoals], Fixture[HomeTeam], TableRank[[#This Row],[TEAMS]], Fixture[HomeGoals], "&lt;&gt;") +
  SUMIFS(Fixture[AwayGoals], Fixture[AwayTeam], TableRank[[#This Row],[TEAMS]], Fixture[AwayGoals], "&lt;&gt;")</f>
        <v>2</v>
      </c>
      <c r="H16" s="150">
        <f>SUMIFS(Fixture[AwayGoals], Fixture[HomeTeam], TableRank[[#This Row],[TEAMS]], Fixture[AwayGoals], "&lt;&gt;") +
  SUMIFS(Fixture[HomeGoals], Fixture[AwayTeam], TableRank[[#This Row],[TEAMS]], Fixture[HomeGoals], "&lt;&gt;")</f>
        <v>1</v>
      </c>
      <c r="I16" s="138">
        <f>G16-H16</f>
        <v>1</v>
      </c>
      <c r="J16" s="136">
        <f>D16*3+E16*1+F16*0</f>
        <v>3</v>
      </c>
      <c r="K16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-2</v>
      </c>
      <c r="L16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17" spans="2:12">
      <c r="B17" s="149" t="s">
        <v>43</v>
      </c>
      <c r="C17" s="141">
        <f>SUM(D17:F17)</f>
        <v>2</v>
      </c>
      <c r="D17" s="139" cm="1">
        <f t="array" ref="D17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1</v>
      </c>
      <c r="E17" s="139" cm="1">
        <f t="array" ref="E17">SUMPRODUCT(
  ((Fixture[HomeTeam]=TableRank[[#This Row],[TEAMS]]) + (Fixture[AwayTeam]=TableRank[[#This Row],[TEAMS]])) * (Fixture[HomeGoals]=Fixture[AwayGoals]) *(ISNUMBER(Fixture[HomeGoals])*ISNUMBER(Fixture[AwayGoals]))
)</f>
        <v>0</v>
      </c>
      <c r="F17" s="140" cm="1">
        <f t="array" ref="F17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1</v>
      </c>
      <c r="G17" s="150">
        <f>SUMIFS(Fixture[HomeGoals], Fixture[HomeTeam], TableRank[[#This Row],[TEAMS]], Fixture[HomeGoals], "&lt;&gt;") +
  SUMIFS(Fixture[AwayGoals], Fixture[AwayTeam], TableRank[[#This Row],[TEAMS]], Fixture[AwayGoals], "&lt;&gt;")</f>
        <v>3</v>
      </c>
      <c r="H17" s="150">
        <f>SUMIFS(Fixture[AwayGoals], Fixture[HomeTeam], TableRank[[#This Row],[TEAMS]], Fixture[AwayGoals], "&lt;&gt;") +
  SUMIFS(Fixture[HomeGoals], Fixture[AwayTeam], TableRank[[#This Row],[TEAMS]], Fixture[HomeGoals], "&lt;&gt;")</f>
        <v>4</v>
      </c>
      <c r="I17" s="138">
        <f>G17-H17</f>
        <v>-1</v>
      </c>
      <c r="J17" s="136">
        <f>D17*3+E17*1+F17*0</f>
        <v>3</v>
      </c>
      <c r="K17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-2</v>
      </c>
      <c r="L17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18" spans="2:12">
      <c r="B18" s="149" t="s">
        <v>21</v>
      </c>
      <c r="C18" s="141">
        <f>SUM(D18:F18)</f>
        <v>2</v>
      </c>
      <c r="D18" s="139" cm="1">
        <f t="array" ref="D18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1</v>
      </c>
      <c r="E18" s="139" cm="1">
        <f t="array" ref="E18">SUMPRODUCT(
  ((Fixture[HomeTeam]=TableRank[[#This Row],[TEAMS]]) + (Fixture[AwayTeam]=TableRank[[#This Row],[TEAMS]])) * (Fixture[HomeGoals]=Fixture[AwayGoals]) *(ISNUMBER(Fixture[HomeGoals])*ISNUMBER(Fixture[AwayGoals]))
)</f>
        <v>0</v>
      </c>
      <c r="F18" s="140" cm="1">
        <f t="array" ref="F18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1</v>
      </c>
      <c r="G18" s="150">
        <f>SUMIFS(Fixture[HomeGoals], Fixture[HomeTeam], TableRank[[#This Row],[TEAMS]], Fixture[HomeGoals], "&lt;&gt;") +
  SUMIFS(Fixture[AwayGoals], Fixture[AwayTeam], TableRank[[#This Row],[TEAMS]], Fixture[AwayGoals], "&lt;&gt;")</f>
        <v>2</v>
      </c>
      <c r="H18" s="150">
        <f>SUMIFS(Fixture[AwayGoals], Fixture[HomeTeam], TableRank[[#This Row],[TEAMS]], Fixture[AwayGoals], "&lt;&gt;") +
  SUMIFS(Fixture[HomeGoals], Fixture[AwayTeam], TableRank[[#This Row],[TEAMS]], Fixture[HomeGoals], "&lt;&gt;")</f>
        <v>3</v>
      </c>
      <c r="I18" s="138">
        <f>G18-H18</f>
        <v>-1</v>
      </c>
      <c r="J18" s="136">
        <f>D18*3+E18*1+F18*0</f>
        <v>3</v>
      </c>
      <c r="K18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-2</v>
      </c>
      <c r="L18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19" spans="2:12">
      <c r="B19" s="149" t="s">
        <v>22</v>
      </c>
      <c r="C19" s="141">
        <f>SUM(D19:F19)</f>
        <v>2</v>
      </c>
      <c r="D19" s="139" cm="1">
        <f t="array" ref="D19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1</v>
      </c>
      <c r="E19" s="139" cm="1">
        <f t="array" ref="E19">SUMPRODUCT(
  ((Fixture[HomeTeam]=TableRank[[#This Row],[TEAMS]]) + (Fixture[AwayTeam]=TableRank[[#This Row],[TEAMS]])) * (Fixture[HomeGoals]=Fixture[AwayGoals]) *(ISNUMBER(Fixture[HomeGoals])*ISNUMBER(Fixture[AwayGoals]))
)</f>
        <v>0</v>
      </c>
      <c r="F19" s="140" cm="1">
        <f t="array" ref="F19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1</v>
      </c>
      <c r="G19" s="150">
        <f>SUMIFS(Fixture[HomeGoals], Fixture[HomeTeam], TableRank[[#This Row],[TEAMS]], Fixture[HomeGoals], "&lt;&gt;") +
  SUMIFS(Fixture[AwayGoals], Fixture[AwayTeam], TableRank[[#This Row],[TEAMS]], Fixture[AwayGoals], "&lt;&gt;")</f>
        <v>2</v>
      </c>
      <c r="H19" s="150">
        <f>SUMIFS(Fixture[AwayGoals], Fixture[HomeTeam], TableRank[[#This Row],[TEAMS]], Fixture[AwayGoals], "&lt;&gt;") +
  SUMIFS(Fixture[HomeGoals], Fixture[AwayTeam], TableRank[[#This Row],[TEAMS]], Fixture[HomeGoals], "&lt;&gt;")</f>
        <v>3</v>
      </c>
      <c r="I19" s="138">
        <f>G19-H19</f>
        <v>-1</v>
      </c>
      <c r="J19" s="136">
        <f>D19*3+E19*1+F19*0</f>
        <v>3</v>
      </c>
      <c r="K19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0</v>
      </c>
      <c r="L19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20" spans="2:12">
      <c r="B20" s="149" t="s">
        <v>633</v>
      </c>
      <c r="C20" s="141">
        <f>SUM(D20:F20)</f>
        <v>2</v>
      </c>
      <c r="D20" s="139" cm="1">
        <f t="array" ref="D20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1</v>
      </c>
      <c r="E20" s="139" cm="1">
        <f t="array" ref="E20">SUMPRODUCT(
  ((Fixture[HomeTeam]=TableRank[[#This Row],[TEAMS]]) + (Fixture[AwayTeam]=TableRank[[#This Row],[TEAMS]])) * (Fixture[HomeGoals]=Fixture[AwayGoals]) *(ISNUMBER(Fixture[HomeGoals])*ISNUMBER(Fixture[AwayGoals]))
)</f>
        <v>0</v>
      </c>
      <c r="F20" s="140" cm="1">
        <f t="array" ref="F20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1</v>
      </c>
      <c r="G20" s="150">
        <f>SUMIFS(Fixture[HomeGoals], Fixture[HomeTeam], TableRank[[#This Row],[TEAMS]], Fixture[HomeGoals], "&lt;&gt;") +
  SUMIFS(Fixture[AwayGoals], Fixture[AwayTeam], TableRank[[#This Row],[TEAMS]], Fixture[AwayGoals], "&lt;&gt;")</f>
        <v>1</v>
      </c>
      <c r="H20" s="150">
        <f>SUMIFS(Fixture[AwayGoals], Fixture[HomeTeam], TableRank[[#This Row],[TEAMS]], Fixture[AwayGoals], "&lt;&gt;") +
  SUMIFS(Fixture[HomeGoals], Fixture[AwayTeam], TableRank[[#This Row],[TEAMS]], Fixture[HomeGoals], "&lt;&gt;")</f>
        <v>5</v>
      </c>
      <c r="I20" s="138">
        <f>G20-H20</f>
        <v>-4</v>
      </c>
      <c r="J20" s="136">
        <f>D20*3+E20*1+F20*0</f>
        <v>3</v>
      </c>
      <c r="K20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0</v>
      </c>
      <c r="L20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21" spans="2:12">
      <c r="B21" s="149" t="s">
        <v>23</v>
      </c>
      <c r="C21" s="141">
        <f>SUM(D21:F21)</f>
        <v>2</v>
      </c>
      <c r="D21" s="139" cm="1">
        <f t="array" ref="D21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0</v>
      </c>
      <c r="E21" s="139" cm="1">
        <f t="array" ref="E21">SUMPRODUCT(
  ((Fixture[HomeTeam]=TableRank[[#This Row],[TEAMS]]) + (Fixture[AwayTeam]=TableRank[[#This Row],[TEAMS]])) * (Fixture[HomeGoals]=Fixture[AwayGoals]) *(ISNUMBER(Fixture[HomeGoals])*ISNUMBER(Fixture[AwayGoals]))
)</f>
        <v>2</v>
      </c>
      <c r="F21" s="140" cm="1">
        <f t="array" ref="F21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0</v>
      </c>
      <c r="G21" s="150">
        <f>SUMIFS(Fixture[HomeGoals], Fixture[HomeTeam], TableRank[[#This Row],[TEAMS]], Fixture[HomeGoals], "&lt;&gt;") +
  SUMIFS(Fixture[AwayGoals], Fixture[AwayTeam], TableRank[[#This Row],[TEAMS]], Fixture[AwayGoals], "&lt;&gt;")</f>
        <v>2</v>
      </c>
      <c r="H21" s="150">
        <f>SUMIFS(Fixture[AwayGoals], Fixture[HomeTeam], TableRank[[#This Row],[TEAMS]], Fixture[AwayGoals], "&lt;&gt;") +
  SUMIFS(Fixture[HomeGoals], Fixture[AwayTeam], TableRank[[#This Row],[TEAMS]], Fixture[HomeGoals], "&lt;&gt;")</f>
        <v>2</v>
      </c>
      <c r="I21" s="138">
        <f>G21-H21</f>
        <v>0</v>
      </c>
      <c r="J21" s="136">
        <f>D21*3+E21*1+F21*0</f>
        <v>2</v>
      </c>
      <c r="K21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-3</v>
      </c>
      <c r="L21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22" spans="2:12">
      <c r="B22" s="149" t="s">
        <v>26</v>
      </c>
      <c r="C22" s="141">
        <f>SUM(D22:F22)</f>
        <v>2</v>
      </c>
      <c r="D22" s="139" cm="1">
        <f t="array" ref="D22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0</v>
      </c>
      <c r="E22" s="139" cm="1">
        <f t="array" ref="E22">SUMPRODUCT(
  ((Fixture[HomeTeam]=TableRank[[#This Row],[TEAMS]]) + (Fixture[AwayTeam]=TableRank[[#This Row],[TEAMS]])) * (Fixture[HomeGoals]=Fixture[AwayGoals]) *(ISNUMBER(Fixture[HomeGoals])*ISNUMBER(Fixture[AwayGoals]))
)</f>
        <v>2</v>
      </c>
      <c r="F22" s="140" cm="1">
        <f t="array" ref="F22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0</v>
      </c>
      <c r="G22" s="150">
        <f>SUMIFS(Fixture[HomeGoals], Fixture[HomeTeam], TableRank[[#This Row],[TEAMS]], Fixture[HomeGoals], "&lt;&gt;") +
  SUMIFS(Fixture[AwayGoals], Fixture[AwayTeam], TableRank[[#This Row],[TEAMS]], Fixture[AwayGoals], "&lt;&gt;")</f>
        <v>1</v>
      </c>
      <c r="H22" s="150">
        <f>SUMIFS(Fixture[AwayGoals], Fixture[HomeTeam], TableRank[[#This Row],[TEAMS]], Fixture[AwayGoals], "&lt;&gt;") +
  SUMIFS(Fixture[HomeGoals], Fixture[AwayTeam], TableRank[[#This Row],[TEAMS]], Fixture[HomeGoals], "&lt;&gt;")</f>
        <v>1</v>
      </c>
      <c r="I22" s="138">
        <f>G22-H22</f>
        <v>0</v>
      </c>
      <c r="J22" s="136">
        <f>D22*3+E22*1+F22*0</f>
        <v>2</v>
      </c>
      <c r="K22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-3</v>
      </c>
      <c r="L22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23" spans="2:12">
      <c r="B23" s="149" t="s">
        <v>25</v>
      </c>
      <c r="C23" s="141">
        <f>SUM(D23:F23)</f>
        <v>2</v>
      </c>
      <c r="D23" s="139" cm="1">
        <f t="array" ref="D23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0</v>
      </c>
      <c r="E23" s="139" cm="1">
        <f t="array" ref="E23">SUMPRODUCT(
  ((Fixture[HomeTeam]=TableRank[[#This Row],[TEAMS]]) + (Fixture[AwayTeam]=TableRank[[#This Row],[TEAMS]])) * (Fixture[HomeGoals]=Fixture[AwayGoals]) *(ISNUMBER(Fixture[HomeGoals])*ISNUMBER(Fixture[AwayGoals]))
)</f>
        <v>1</v>
      </c>
      <c r="F23" s="140" cm="1">
        <f t="array" ref="F23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1</v>
      </c>
      <c r="G23" s="150">
        <f>SUMIFS(Fixture[HomeGoals], Fixture[HomeTeam], TableRank[[#This Row],[TEAMS]], Fixture[HomeGoals], "&lt;&gt;") +
  SUMIFS(Fixture[AwayGoals], Fixture[AwayTeam], TableRank[[#This Row],[TEAMS]], Fixture[AwayGoals], "&lt;&gt;")</f>
        <v>2</v>
      </c>
      <c r="H23" s="150">
        <f>SUMIFS(Fixture[AwayGoals], Fixture[HomeTeam], TableRank[[#This Row],[TEAMS]], Fixture[AwayGoals], "&lt;&gt;") +
  SUMIFS(Fixture[HomeGoals], Fixture[AwayTeam], TableRank[[#This Row],[TEAMS]], Fixture[HomeGoals], "&lt;&gt;")</f>
        <v>3</v>
      </c>
      <c r="I23" s="138">
        <f>G23-H23</f>
        <v>-1</v>
      </c>
      <c r="J23" s="136">
        <f>D23*3+E23*1+F23*0</f>
        <v>1</v>
      </c>
      <c r="K23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-1</v>
      </c>
      <c r="L23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24" spans="2:12">
      <c r="B24" s="149" t="s">
        <v>30</v>
      </c>
      <c r="C24" s="141">
        <f>SUM(D24:F24)</f>
        <v>2</v>
      </c>
      <c r="D24" s="139" cm="1">
        <f t="array" ref="D24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0</v>
      </c>
      <c r="E24" s="139" cm="1">
        <f t="array" ref="E24">SUMPRODUCT(
  ((Fixture[HomeTeam]=TableRank[[#This Row],[TEAMS]]) + (Fixture[AwayTeam]=TableRank[[#This Row],[TEAMS]])) * (Fixture[HomeGoals]=Fixture[AwayGoals]) *(ISNUMBER(Fixture[HomeGoals])*ISNUMBER(Fixture[AwayGoals]))
)</f>
        <v>1</v>
      </c>
      <c r="F24" s="140" cm="1">
        <f t="array" ref="F24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1</v>
      </c>
      <c r="G24" s="150">
        <f>SUMIFS(Fixture[HomeGoals], Fixture[HomeTeam], TableRank[[#This Row],[TEAMS]], Fixture[HomeGoals], "&lt;&gt;") +
  SUMIFS(Fixture[AwayGoals], Fixture[AwayTeam], TableRank[[#This Row],[TEAMS]], Fixture[AwayGoals], "&lt;&gt;")</f>
        <v>1</v>
      </c>
      <c r="H24" s="150">
        <f>SUMIFS(Fixture[AwayGoals], Fixture[HomeTeam], TableRank[[#This Row],[TEAMS]], Fixture[AwayGoals], "&lt;&gt;") +
  SUMIFS(Fixture[HomeGoals], Fixture[AwayTeam], TableRank[[#This Row],[TEAMS]], Fixture[HomeGoals], "&lt;&gt;")</f>
        <v>2</v>
      </c>
      <c r="I24" s="138">
        <f>G24-H24</f>
        <v>-1</v>
      </c>
      <c r="J24" s="136">
        <f>D24*3+E24*1+F24*0</f>
        <v>1</v>
      </c>
      <c r="K24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-1</v>
      </c>
      <c r="L24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25" spans="2:12">
      <c r="B25" s="149" t="s">
        <v>28</v>
      </c>
      <c r="C25" s="141">
        <f>SUM(D25:F25)</f>
        <v>2</v>
      </c>
      <c r="D25" s="139" cm="1">
        <f t="array" ref="D25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0</v>
      </c>
      <c r="E25" s="139" cm="1">
        <f t="array" ref="E25">SUMPRODUCT(
  ((Fixture[HomeTeam]=TableRank[[#This Row],[TEAMS]]) + (Fixture[AwayTeam]=TableRank[[#This Row],[TEAMS]])) * (Fixture[HomeGoals]=Fixture[AwayGoals]) *(ISNUMBER(Fixture[HomeGoals])*ISNUMBER(Fixture[AwayGoals]))
)</f>
        <v>1</v>
      </c>
      <c r="F25" s="140" cm="1">
        <f t="array" ref="F25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1</v>
      </c>
      <c r="G25" s="150">
        <f>SUMIFS(Fixture[HomeGoals], Fixture[HomeTeam], TableRank[[#This Row],[TEAMS]], Fixture[HomeGoals], "&lt;&gt;") +
  SUMIFS(Fixture[AwayGoals], Fixture[AwayTeam], TableRank[[#This Row],[TEAMS]], Fixture[AwayGoals], "&lt;&gt;")</f>
        <v>0</v>
      </c>
      <c r="H25" s="150">
        <f>SUMIFS(Fixture[AwayGoals], Fixture[HomeTeam], TableRank[[#This Row],[TEAMS]], Fixture[AwayGoals], "&lt;&gt;") +
  SUMIFS(Fixture[HomeGoals], Fixture[AwayTeam], TableRank[[#This Row],[TEAMS]], Fixture[HomeGoals], "&lt;&gt;")</f>
        <v>1</v>
      </c>
      <c r="I25" s="138">
        <f>G25-H25</f>
        <v>-1</v>
      </c>
      <c r="J25" s="136">
        <f>D25*3+E25*1+F25*0</f>
        <v>1</v>
      </c>
      <c r="K25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-5</v>
      </c>
      <c r="L25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26" spans="2:12">
      <c r="B26" s="149" t="s">
        <v>33</v>
      </c>
      <c r="C26" s="141">
        <f>SUM(D26:F26)</f>
        <v>2</v>
      </c>
      <c r="D26" s="139" cm="1">
        <f t="array" ref="D26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0</v>
      </c>
      <c r="E26" s="139" cm="1">
        <f t="array" ref="E26">SUMPRODUCT(
  ((Fixture[HomeTeam]=TableRank[[#This Row],[TEAMS]]) + (Fixture[AwayTeam]=TableRank[[#This Row],[TEAMS]])) * (Fixture[HomeGoals]=Fixture[AwayGoals]) *(ISNUMBER(Fixture[HomeGoals])*ISNUMBER(Fixture[AwayGoals]))
)</f>
        <v>1</v>
      </c>
      <c r="F26" s="140" cm="1">
        <f t="array" ref="F26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1</v>
      </c>
      <c r="G26" s="150">
        <f>SUMIFS(Fixture[HomeGoals], Fixture[HomeTeam], TableRank[[#This Row],[TEAMS]], Fixture[HomeGoals], "&lt;&gt;") +
  SUMIFS(Fixture[AwayGoals], Fixture[AwayTeam], TableRank[[#This Row],[TEAMS]], Fixture[AwayGoals], "&lt;&gt;")</f>
        <v>1</v>
      </c>
      <c r="H26" s="150">
        <f>SUMIFS(Fixture[AwayGoals], Fixture[HomeTeam], TableRank[[#This Row],[TEAMS]], Fixture[AwayGoals], "&lt;&gt;") +
  SUMIFS(Fixture[HomeGoals], Fixture[AwayTeam], TableRank[[#This Row],[TEAMS]], Fixture[HomeGoals], "&lt;&gt;")</f>
        <v>3</v>
      </c>
      <c r="I26" s="138">
        <f>G26-H26</f>
        <v>-2</v>
      </c>
      <c r="J26" s="136">
        <f>D26*3+E26*1+F26*0</f>
        <v>1</v>
      </c>
      <c r="K26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-3</v>
      </c>
      <c r="L26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27" spans="2:12">
      <c r="B27" s="149" t="s">
        <v>51</v>
      </c>
      <c r="C27" s="141">
        <f>SUM(D27:F27)</f>
        <v>2</v>
      </c>
      <c r="D27" s="139" cm="1">
        <f t="array" ref="D27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0</v>
      </c>
      <c r="E27" s="139" cm="1">
        <f t="array" ref="E27">SUMPRODUCT(
  ((Fixture[HomeTeam]=TableRank[[#This Row],[TEAMS]]) + (Fixture[AwayTeam]=TableRank[[#This Row],[TEAMS]])) * (Fixture[HomeGoals]=Fixture[AwayGoals]) *(ISNUMBER(Fixture[HomeGoals])*ISNUMBER(Fixture[AwayGoals]))
)</f>
        <v>0</v>
      </c>
      <c r="F27" s="140" cm="1">
        <f t="array" ref="F27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2</v>
      </c>
      <c r="G27" s="150">
        <f>SUMIFS(Fixture[HomeGoals], Fixture[HomeTeam], TableRank[[#This Row],[TEAMS]], Fixture[HomeGoals], "&lt;&gt;") +
  SUMIFS(Fixture[AwayGoals], Fixture[AwayTeam], TableRank[[#This Row],[TEAMS]], Fixture[AwayGoals], "&lt;&gt;")</f>
        <v>0</v>
      </c>
      <c r="H27" s="150">
        <f>SUMIFS(Fixture[AwayGoals], Fixture[HomeTeam], TableRank[[#This Row],[TEAMS]], Fixture[AwayGoals], "&lt;&gt;") +
  SUMIFS(Fixture[HomeGoals], Fixture[AwayTeam], TableRank[[#This Row],[TEAMS]], Fixture[HomeGoals], "&lt;&gt;")</f>
        <v>5</v>
      </c>
      <c r="I27" s="138">
        <f>G27-H27</f>
        <v>-5</v>
      </c>
      <c r="J27" s="136">
        <f>D27*3+E27*1+F27*0</f>
        <v>0</v>
      </c>
      <c r="K27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-1</v>
      </c>
      <c r="L27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  <row r="28" spans="2:12">
      <c r="B28" s="149" t="s">
        <v>27</v>
      </c>
      <c r="C28" s="141">
        <f>SUM(D28:F28)</f>
        <v>2</v>
      </c>
      <c r="D28" s="139" cm="1">
        <f t="array" ref="D28">SUMPRODUCT(
  ((Fixture[HomeTeam]=TableRank[[#This Row],[TEAMS]])*(Fixture[HomeGoals]&gt;Fixture[AwayGoals])*(ISNUMBER(Fixture[HomeGoals])*ISNUMBER(Fixture[AwayGoals]))) +
  ((Fixture[AwayTeam]=TableRank[[#This Row],[TEAMS]])*(Fixture[AwayGoals]&gt;Fixture[HomeGoals])*(ISNUMBER(Fixture[AwayGoals])*ISNUMBER(Fixture[HomeGoals]))))</f>
        <v>0</v>
      </c>
      <c r="E28" s="139" cm="1">
        <f t="array" ref="E28">SUMPRODUCT(
  ((Fixture[HomeTeam]=TableRank[[#This Row],[TEAMS]]) + (Fixture[AwayTeam]=TableRank[[#This Row],[TEAMS]])) * (Fixture[HomeGoals]=Fixture[AwayGoals]) *(ISNUMBER(Fixture[HomeGoals])*ISNUMBER(Fixture[AwayGoals]))
)</f>
        <v>0</v>
      </c>
      <c r="F28" s="140" cm="1">
        <f t="array" ref="F28">SUMPRODUCT(
  ((Fixture[HomeTeam]=TableRank[[#This Row],[TEAMS]])*(Fixture[HomeGoals]&lt;Fixture[AwayGoals])*(ISNUMBER(Fixture[HomeGoals])*ISNUMBER(Fixture[AwayGoals]))) +
  ((Fixture[AwayTeam]=TableRank[[#This Row],[TEAMS]])*(Fixture[AwayGoals]&lt;Fixture[HomeGoals])*(ISNUMBER(Fixture[HomeGoals])*ISNUMBER(Fixture[AwayGoals])))
)</f>
        <v>2</v>
      </c>
      <c r="G28" s="150">
        <f>SUMIFS(Fixture[HomeGoals], Fixture[HomeTeam], TableRank[[#This Row],[TEAMS]], Fixture[HomeGoals], "&lt;&gt;") +
  SUMIFS(Fixture[AwayGoals], Fixture[AwayTeam], TableRank[[#This Row],[TEAMS]], Fixture[AwayGoals], "&lt;&gt;")</f>
        <v>1</v>
      </c>
      <c r="H28" s="150">
        <f>SUMIFS(Fixture[AwayGoals], Fixture[HomeTeam], TableRank[[#This Row],[TEAMS]], Fixture[AwayGoals], "&lt;&gt;") +
  SUMIFS(Fixture[HomeGoals], Fixture[AwayTeam], TableRank[[#This Row],[TEAMS]], Fixture[HomeGoals], "&lt;&gt;")</f>
        <v>8</v>
      </c>
      <c r="I28" s="138">
        <f>G28-H28</f>
        <v>-7</v>
      </c>
      <c r="J28" s="136">
        <f>D28*3+E28*1+F28*0</f>
        <v>0</v>
      </c>
      <c r="K28" s="142">
        <f>_xlfn.LET(
  _xlpm.T, TableRank[[#This Row],[TEAMS]],
  _xlpm.P, Fixture[HomeGoals],
  _xlpm.Y,  SUMIFS(Fixture[YELLOW A],       Fixture[HomeTeam], _xlpm.T, _xlpm.P, "&lt;&gt;") + SUMIFS(Fixture[YELLOW B],       Fixture[AwayTeam], _xlpm.T, _xlpm.P, "&lt;&gt;"),
  _xlpm.IR, SUMIFS(Fixture[INDIRECT RED A], Fixture[HomeTeam], _xlpm.T, _xlpm.P, "&lt;&gt;") + SUMIFS(Fixture[INDIRECT RED B], Fixture[AwayTeam], _xlpm.T, _xlpm.P, "&lt;&gt;"),
  _xlpm.DR, SUMIFS(Fixture[DIRECT RED A],   Fixture[HomeTeam], _xlpm.T, _xlpm.P, "&lt;&gt;") + SUMIFS(Fixture[DIRECT RED B],   Fixture[AwayTeam], _xlpm.T, _xlpm.P, "&lt;&gt;"),
  -1*_xlpm.Y + -3*_xlpm.IR + -4*_xlpm.DR
)</f>
        <v>-1</v>
      </c>
      <c r="L28" s="151">
        <f ca="1">RANK(TableRank[[#This Row],[PTS]],TableRank[[Helper ]])+RANK(TableRank[[#This Row],[GD]],TableRank[FP])/10+RANK(TableRank[[#This Row],[ +]],TableRank[GD])/100-RANK(TableRank[[#This Row],[FP]],$M$9:$M$40,1)/1000</f>
        <v>0</v>
      </c>
    </row>
  </sheetData>
  <mergeCells count="1">
    <mergeCell ref="C2:K6"/>
  </mergeCells>
  <conditionalFormatting sqref="C9:C28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{B12EC4C5-D3C1-4748-88BF-4F25DFFA81DD}</x14:id>
        </ext>
      </extLst>
    </cfRule>
  </conditionalFormatting>
  <conditionalFormatting sqref="D9:D28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{69526993-5334-6F43-AEC8-D7FAE1D2A4D8}</x14:id>
        </ext>
      </extLst>
    </cfRule>
  </conditionalFormatting>
  <conditionalFormatting sqref="E9:E28">
    <cfRule type="dataBar" priority="1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{A51A402E-0EE4-BC4D-9D5D-BFE33FC286C8}</x14:id>
        </ext>
      </extLst>
    </cfRule>
  </conditionalFormatting>
  <conditionalFormatting sqref="F9:F2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{448C3053-94FB-3648-AA96-C0B5166E1AE6}</x14:id>
        </ext>
      </extLst>
    </cfRule>
  </conditionalFormatting>
  <conditionalFormatting sqref="G9 I9:K9 I10:J28">
    <cfRule type="expression" dxfId="1318" priority="21">
      <formula>RANK(O8,$N$9:$N$40,1)=2</formula>
    </cfRule>
  </conditionalFormatting>
  <conditionalFormatting sqref="H9:H28">
    <cfRule type="dataBar" priority="7">
      <dataBar>
        <cfvo type="min"/>
        <cfvo type="max"/>
        <color theme="2" tint="-0.249977111117893"/>
      </dataBar>
      <extLst>
        <ext xmlns:x14="http://schemas.microsoft.com/office/spreadsheetml/2009/9/main" uri="{B025F937-C7B1-47D3-B67F-A62EFF666E3E}">
          <x14:id>{CF9B794B-8202-2C43-A2AD-259E32FB9F0D}</x14:id>
        </ext>
      </extLst>
    </cfRule>
    <cfRule type="aboveAverage" dxfId="1317" priority="9"/>
  </conditionalFormatting>
  <conditionalFormatting sqref="I9:I28">
    <cfRule type="colorScale" priority="6">
      <colorScale>
        <cfvo type="min"/>
        <cfvo type="percent" val="50"/>
        <cfvo type="max"/>
        <color rgb="FFFF6840"/>
        <color theme="0"/>
        <color theme="9" tint="0.59999389629810485"/>
      </colorScale>
    </cfRule>
  </conditionalFormatting>
  <conditionalFormatting sqref="I9:K9 G9 I10:J28">
    <cfRule type="expression" dxfId="1316" priority="20">
      <formula>RANK(O8,$N$9:$N$40,1)=1</formula>
    </cfRule>
  </conditionalFormatting>
  <conditionalFormatting sqref="J9:J28">
    <cfRule type="colorScale" priority="17">
      <colorScale>
        <cfvo type="min"/>
        <cfvo type="max"/>
        <color theme="0"/>
        <color rgb="FF638EC6"/>
      </colorScale>
    </cfRule>
    <cfRule type="dataBar" priority="18">
      <dataBar>
        <cfvo type="min"/>
        <cfvo type="max"/>
        <color theme="2" tint="-0.249977111117893"/>
      </dataBar>
      <extLst>
        <ext xmlns:x14="http://schemas.microsoft.com/office/spreadsheetml/2009/9/main" uri="{B025F937-C7B1-47D3-B67F-A62EFF666E3E}">
          <x14:id>{275ADE11-F2F4-D94A-9F7D-4C1429958F25}</x14:id>
        </ext>
      </extLst>
    </cfRule>
  </conditionalFormatting>
  <conditionalFormatting sqref="G9:G28">
    <cfRule type="expression" dxfId="1315" priority="1">
      <formula>ABS(G9-AVERAGE($G$9:$G$40))&lt;=1</formula>
    </cfRule>
    <cfRule type="aboveAverage" dxfId="1314" priority="2" aboveAverage="0"/>
    <cfRule type="aboveAverage" dxfId="1313" priority="3"/>
    <cfRule type="top10" dxfId="1312" priority="4" bottom="1" rank="1"/>
    <cfRule type="top10" dxfId="1311" priority="5" rank="1"/>
    <cfRule type="dataBar" priority="8">
      <dataBar>
        <cfvo type="min"/>
        <cfvo type="max"/>
        <color theme="2" tint="-0.249977111117893"/>
      </dataBar>
      <extLst>
        <ext xmlns:x14="http://schemas.microsoft.com/office/spreadsheetml/2009/9/main" uri="{B025F937-C7B1-47D3-B67F-A62EFF666E3E}">
          <x14:id>{9E9D06A8-AF3A-4E47-A651-5E8D8837BFFA}</x14:id>
        </ext>
      </extLst>
    </cfRule>
  </conditionalFormatting>
  <conditionalFormatting sqref="K9:K2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aboveAverage" dxfId="1310" priority="19" aboveAverage="0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12EC4C5-D3C1-4748-88BF-4F25DFFA81D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C9:C28</xm:sqref>
        </x14:conditionalFormatting>
        <x14:conditionalFormatting xmlns:xm="http://schemas.microsoft.com/office/excel/2006/main">
          <x14:cfRule type="dataBar" id="{69526993-5334-6F43-AEC8-D7FAE1D2A4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D9:D28</xm:sqref>
        </x14:conditionalFormatting>
        <x14:conditionalFormatting xmlns:xm="http://schemas.microsoft.com/office/excel/2006/main">
          <x14:cfRule type="dataBar" id="{A51A402E-0EE4-BC4D-9D5D-BFE33FC286C8}">
            <x14:dataBar minLength="0" maxLength="100" border="1" negativeBarColorSameAsPositive="1" negativeBarBorderColorSameAsPositive="0">
              <x14:cfvo type="autoMin"/>
              <x14:cfvo type="autoMax"/>
              <x14:borderColor rgb="FFD9D819"/>
              <x14:negativeBorderColor rgb="FFFF0000"/>
              <x14:axisColor rgb="FF000000"/>
            </x14:dataBar>
          </x14:cfRule>
          <xm:sqref>E9:E28</xm:sqref>
        </x14:conditionalFormatting>
        <x14:conditionalFormatting xmlns:xm="http://schemas.microsoft.com/office/excel/2006/main">
          <x14:cfRule type="dataBar" id="{448C3053-94FB-3648-AA96-C0B5166E1AE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F9:F28</xm:sqref>
        </x14:conditionalFormatting>
        <x14:conditionalFormatting xmlns:xm="http://schemas.microsoft.com/office/excel/2006/main">
          <x14:cfRule type="dataBar" id="{CF9B794B-8202-2C43-A2AD-259E32FB9F0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H9:H28</xm:sqref>
        </x14:conditionalFormatting>
        <x14:conditionalFormatting xmlns:xm="http://schemas.microsoft.com/office/excel/2006/main">
          <x14:cfRule type="dataBar" id="{275ADE11-F2F4-D94A-9F7D-4C1429958F2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J9:J28</xm:sqref>
        </x14:conditionalFormatting>
        <x14:conditionalFormatting xmlns:xm="http://schemas.microsoft.com/office/excel/2006/main">
          <x14:cfRule type="dataBar" id="{9E9D06A8-AF3A-4E47-A651-5E8D8837BFF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G9:G28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A5E65-95C4-F748-B827-07EF6BF3B0EB}">
  <sheetPr>
    <tabColor rgb="FFC00000"/>
  </sheetPr>
  <dimension ref="A1:D21"/>
  <sheetViews>
    <sheetView workbookViewId="0">
      <selection activeCell="G21" sqref="G21"/>
    </sheetView>
  </sheetViews>
  <sheetFormatPr baseColWidth="10" defaultRowHeight="16"/>
  <cols>
    <col min="1" max="1" width="12.5" style="121" bestFit="1" customWidth="1"/>
    <col min="2" max="2" width="18.1640625" bestFit="1" customWidth="1"/>
    <col min="3" max="3" width="23.33203125" bestFit="1" customWidth="1"/>
    <col min="4" max="4" width="21.5" bestFit="1" customWidth="1"/>
  </cols>
  <sheetData>
    <row r="1" spans="1:4" s="6" customFormat="1" ht="20" thickBot="1">
      <c r="A1" s="196" t="s">
        <v>622</v>
      </c>
      <c r="B1" s="200" t="s">
        <v>1974</v>
      </c>
      <c r="C1" s="200" t="s">
        <v>1975</v>
      </c>
      <c r="D1" s="200" t="s">
        <v>1976</v>
      </c>
    </row>
    <row r="2" spans="1:4" ht="17" thickTop="1">
      <c r="A2" s="197" t="s">
        <v>20</v>
      </c>
      <c r="B2">
        <f>_xlfn.LET(
  _xlpm.T, Table6[[#This Row],[TEAM]],
  SUMIFS(Fixture[YELLOW A], Fixture[HomeTeam], _xlpm.T, Fixture[HomeGoals], "&lt;&gt;") +
  SUMIFS(Fixture[YELLOW B], Fixture[AwayTeam], _xlpm.T, Fixture[AwayGoals], "&lt;&gt;")
)</f>
        <v>4</v>
      </c>
      <c r="C2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2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3" spans="1:4">
      <c r="A3" s="198" t="s">
        <v>28</v>
      </c>
      <c r="B3">
        <f>_xlfn.LET(
  _xlpm.T, Table6[[#This Row],[TEAM]],
  SUMIFS(Fixture[YELLOW A], Fixture[HomeTeam], _xlpm.T, Fixture[HomeGoals], "&lt;&gt;") +
  SUMIFS(Fixture[YELLOW B], Fixture[AwayTeam], _xlpm.T, Fixture[AwayGoals], "&lt;&gt;")
)</f>
        <v>1</v>
      </c>
      <c r="C3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3">
        <f>_xlfn.LET(_xlpm.T, Table6[[#This Row],[TEAM]],
  SUMIFS(Fixture[DIRECT RED A], Fixture[HomeTeam], _xlpm.T, Fixture[HomeGoals], "&lt;&gt;") +
  SUMIFS(Fixture[DIRECT RED B], Fixture[AwayTeam], _xlpm.T, Fixture[HomeGoals], "&lt;&gt;")
)</f>
        <v>1</v>
      </c>
    </row>
    <row r="4" spans="1:4">
      <c r="A4" s="198" t="s">
        <v>43</v>
      </c>
      <c r="B4">
        <f>_xlfn.LET(
  _xlpm.T, Table6[[#This Row],[TEAM]],
  SUMIFS(Fixture[YELLOW A], Fixture[HomeTeam], _xlpm.T, Fixture[HomeGoals], "&lt;&gt;") +
  SUMIFS(Fixture[YELLOW B], Fixture[AwayTeam], _xlpm.T, Fixture[AwayGoals], "&lt;&gt;")
)</f>
        <v>2</v>
      </c>
      <c r="C4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4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5" spans="1:4">
      <c r="A5" s="198" t="s">
        <v>21</v>
      </c>
      <c r="B5">
        <f>_xlfn.LET(
  _xlpm.T, Table6[[#This Row],[TEAM]],
  SUMIFS(Fixture[YELLOW A], Fixture[HomeTeam], _xlpm.T, Fixture[HomeGoals], "&lt;&gt;") +
  SUMIFS(Fixture[YELLOW B], Fixture[AwayTeam], _xlpm.T, Fixture[AwayGoals], "&lt;&gt;")
)</f>
        <v>2</v>
      </c>
      <c r="C5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5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6" spans="1:4">
      <c r="A6" s="198" t="s">
        <v>33</v>
      </c>
      <c r="B6">
        <f>_xlfn.LET(
  _xlpm.T, Table6[[#This Row],[TEAM]],
  SUMIFS(Fixture[YELLOW A], Fixture[HomeTeam], _xlpm.T, Fixture[HomeGoals], "&lt;&gt;") +
  SUMIFS(Fixture[YELLOW B], Fixture[AwayTeam], _xlpm.T, Fixture[AwayGoals], "&lt;&gt;")
)</f>
        <v>3</v>
      </c>
      <c r="C6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6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7" spans="1:4">
      <c r="A7" s="198" t="s">
        <v>22</v>
      </c>
      <c r="B7">
        <f>_xlfn.LET(
  _xlpm.T, Table6[[#This Row],[TEAM]],
  SUMIFS(Fixture[YELLOW A], Fixture[HomeTeam], _xlpm.T, Fixture[HomeGoals], "&lt;&gt;") +
  SUMIFS(Fixture[YELLOW B], Fixture[AwayTeam], _xlpm.T, Fixture[AwayGoals], "&lt;&gt;")
)</f>
        <v>0</v>
      </c>
      <c r="C7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7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8" spans="1:4">
      <c r="A8" s="198" t="s">
        <v>18</v>
      </c>
      <c r="B8">
        <f>_xlfn.LET(
  _xlpm.T, Table6[[#This Row],[TEAM]],
  SUMIFS(Fixture[YELLOW A], Fixture[HomeTeam], _xlpm.T, Fixture[HomeGoals], "&lt;&gt;") +
  SUMIFS(Fixture[YELLOW B], Fixture[AwayTeam], _xlpm.T, Fixture[AwayGoals], "&lt;&gt;")
)</f>
        <v>2</v>
      </c>
      <c r="C8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8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9" spans="1:4">
      <c r="A9" s="198" t="s">
        <v>26</v>
      </c>
      <c r="B9">
        <f>_xlfn.LET(
  _xlpm.T, Table6[[#This Row],[TEAM]],
  SUMIFS(Fixture[YELLOW A], Fixture[HomeTeam], _xlpm.T, Fixture[HomeGoals], "&lt;&gt;") +
  SUMIFS(Fixture[YELLOW B], Fixture[AwayTeam], _xlpm.T, Fixture[AwayGoals], "&lt;&gt;")
)</f>
        <v>3</v>
      </c>
      <c r="C9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9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10" spans="1:4">
      <c r="A10" s="198" t="s">
        <v>24</v>
      </c>
      <c r="B10">
        <f>_xlfn.LET(
  _xlpm.T, Table6[[#This Row],[TEAM]],
  SUMIFS(Fixture[YELLOW A], Fixture[HomeTeam], _xlpm.T, Fixture[HomeGoals], "&lt;&gt;") +
  SUMIFS(Fixture[YELLOW B], Fixture[AwayTeam], _xlpm.T, Fixture[AwayGoals], "&lt;&gt;")
)</f>
        <v>2</v>
      </c>
      <c r="C10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10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11" spans="1:4">
      <c r="A11" s="198" t="s">
        <v>23</v>
      </c>
      <c r="B11">
        <f>_xlfn.LET(
  _xlpm.T, Table6[[#This Row],[TEAM]],
  SUMIFS(Fixture[YELLOW A], Fixture[HomeTeam], _xlpm.T, Fixture[HomeGoals], "&lt;&gt;") +
  SUMIFS(Fixture[YELLOW B], Fixture[AwayTeam], _xlpm.T, Fixture[AwayGoals], "&lt;&gt;")
)</f>
        <v>3</v>
      </c>
      <c r="C11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11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12" spans="1:4">
      <c r="A12" s="198" t="s">
        <v>633</v>
      </c>
      <c r="B12">
        <f>_xlfn.LET(
  _xlpm.T, Table6[[#This Row],[TEAM]],
  SUMIFS(Fixture[YELLOW A], Fixture[HomeTeam], _xlpm.T, Fixture[HomeGoals], "&lt;&gt;") +
  SUMIFS(Fixture[YELLOW B], Fixture[AwayTeam], _xlpm.T, Fixture[AwayGoals], "&lt;&gt;")
)</f>
        <v>0</v>
      </c>
      <c r="C12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12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13" spans="1:4">
      <c r="A13" s="198" t="s">
        <v>17</v>
      </c>
      <c r="B13">
        <f>_xlfn.LET(
  _xlpm.T, Table6[[#This Row],[TEAM]],
  SUMIFS(Fixture[YELLOW A], Fixture[HomeTeam], _xlpm.T, Fixture[HomeGoals], "&lt;&gt;") +
  SUMIFS(Fixture[YELLOW B], Fixture[AwayTeam], _xlpm.T, Fixture[AwayGoals], "&lt;&gt;")
)</f>
        <v>1</v>
      </c>
      <c r="C13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13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14" spans="1:4">
      <c r="A14" s="198" t="s">
        <v>29</v>
      </c>
      <c r="B14">
        <f>_xlfn.LET(
  _xlpm.T, Table6[[#This Row],[TEAM]],
  SUMIFS(Fixture[YELLOW A], Fixture[HomeTeam], _xlpm.T, Fixture[HomeGoals], "&lt;&gt;") +
  SUMIFS(Fixture[YELLOW B], Fixture[AwayTeam], _xlpm.T, Fixture[AwayGoals], "&lt;&gt;")
)</f>
        <v>2</v>
      </c>
      <c r="C14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14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15" spans="1:4">
      <c r="A15" s="198" t="s">
        <v>30</v>
      </c>
      <c r="B15">
        <f>_xlfn.LET(
  _xlpm.T, Table6[[#This Row],[TEAM]],
  SUMIFS(Fixture[YELLOW A], Fixture[HomeTeam], _xlpm.T, Fixture[HomeGoals], "&lt;&gt;") +
  SUMIFS(Fixture[YELLOW B], Fixture[AwayTeam], _xlpm.T, Fixture[AwayGoals], "&lt;&gt;")
)</f>
        <v>1</v>
      </c>
      <c r="C15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15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16" spans="1:4">
      <c r="A16" s="198" t="s">
        <v>25</v>
      </c>
      <c r="B16">
        <f>_xlfn.LET(
  _xlpm.T, Table6[[#This Row],[TEAM]],
  SUMIFS(Fixture[YELLOW A], Fixture[HomeTeam], _xlpm.T, Fixture[HomeGoals], "&lt;&gt;") +
  SUMIFS(Fixture[YELLOW B], Fixture[AwayTeam], _xlpm.T, Fixture[AwayGoals], "&lt;&gt;")
)</f>
        <v>1</v>
      </c>
      <c r="C16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16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17" spans="1:4">
      <c r="A17" s="198" t="s">
        <v>52</v>
      </c>
      <c r="B17">
        <f>_xlfn.LET(
  _xlpm.T, Table6[[#This Row],[TEAM]],
  SUMIFS(Fixture[YELLOW A], Fixture[HomeTeam], _xlpm.T, Fixture[HomeGoals], "&lt;&gt;") +
  SUMIFS(Fixture[YELLOW B], Fixture[AwayTeam], _xlpm.T, Fixture[AwayGoals], "&lt;&gt;")
)</f>
        <v>1</v>
      </c>
      <c r="C17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17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18" spans="1:4">
      <c r="A18" s="198" t="s">
        <v>634</v>
      </c>
      <c r="B18">
        <f>_xlfn.LET(
  _xlpm.T, Table6[[#This Row],[TEAM]],
  SUMIFS(Fixture[YELLOW A], Fixture[HomeTeam], _xlpm.T, Fixture[HomeGoals], "&lt;&gt;") +
  SUMIFS(Fixture[YELLOW B], Fixture[AwayTeam], _xlpm.T, Fixture[AwayGoals], "&lt;&gt;")
)</f>
        <v>0</v>
      </c>
      <c r="C18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18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19" spans="1:4">
      <c r="A19" s="198" t="s">
        <v>19</v>
      </c>
      <c r="B19">
        <f>_xlfn.LET(
  _xlpm.T, Table6[[#This Row],[TEAM]],
  SUMIFS(Fixture[YELLOW A], Fixture[HomeTeam], _xlpm.T, Fixture[HomeGoals], "&lt;&gt;") +
  SUMIFS(Fixture[YELLOW B], Fixture[AwayTeam], _xlpm.T, Fixture[AwayGoals], "&lt;&gt;")
)</f>
        <v>0</v>
      </c>
      <c r="C19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19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20" spans="1:4">
      <c r="A20" s="198" t="s">
        <v>27</v>
      </c>
      <c r="B20">
        <f>_xlfn.LET(
  _xlpm.T, Table6[[#This Row],[TEAM]],
  SUMIFS(Fixture[YELLOW A], Fixture[HomeTeam], _xlpm.T, Fixture[HomeGoals], "&lt;&gt;") +
  SUMIFS(Fixture[YELLOW B], Fixture[AwayTeam], _xlpm.T, Fixture[AwayGoals], "&lt;&gt;")
)</f>
        <v>1</v>
      </c>
      <c r="C20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20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  <row r="21" spans="1:4">
      <c r="A21" s="199" t="s">
        <v>51</v>
      </c>
      <c r="B21">
        <f>_xlfn.LET(
  _xlpm.T, Table6[[#This Row],[TEAM]],
  SUMIFS(Fixture[YELLOW A], Fixture[HomeTeam], _xlpm.T, Fixture[HomeGoals], "&lt;&gt;") +
  SUMIFS(Fixture[YELLOW B], Fixture[AwayTeam], _xlpm.T, Fixture[AwayGoals], "&lt;&gt;")
)</f>
        <v>1</v>
      </c>
      <c r="C21">
        <f>_xlfn.LET(_xlpm.T, Table6[[#This Row],[TEAM]],
  SUMIFS(Fixture[INDIRECT RED A], Fixture[HomeTeam], _xlpm.T, Fixture[HomeGoals], "&lt;&gt;") +
  SUMIFS(Fixture[INDIRECT RED B], Fixture[AwayTeam], _xlpm.T, Fixture[HomeGoals], "&lt;&gt;")
)</f>
        <v>0</v>
      </c>
      <c r="D21">
        <f>_xlfn.LET(_xlpm.T, Table6[[#This Row],[TEAM]],
  SUMIFS(Fixture[DIRECT RED A], Fixture[HomeTeam], _xlpm.T, Fixture[HomeGoals], "&lt;&gt;") +
  SUMIFS(Fixture[DIRECT RED B], Fixture[AwayTeam], _xlpm.T, Fixture[HomeGoals], "&lt;&gt;")
)</f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E669C-B7C7-7C4B-BE90-1396768D44AC}">
  <sheetPr codeName="Sheet14">
    <tabColor theme="2" tint="-0.249977111117893"/>
  </sheetPr>
  <dimension ref="A1:AX641"/>
  <sheetViews>
    <sheetView zoomScale="127" zoomScaleNormal="127" workbookViewId="0">
      <pane xSplit="8" ySplit="1" topLeftCell="I422" activePane="bottomRight" state="frozen"/>
      <selection pane="topRight" activeCell="I1" sqref="I1"/>
      <selection pane="bottomLeft" activeCell="A2" sqref="A2"/>
      <selection pane="bottomRight" activeCell="B554" sqref="B554"/>
    </sheetView>
  </sheetViews>
  <sheetFormatPr baseColWidth="10" defaultColWidth="10.83203125" defaultRowHeight="19"/>
  <cols>
    <col min="1" max="1" width="15.83203125" style="9" bestFit="1" customWidth="1"/>
    <col min="2" max="2" width="23.5" bestFit="1" customWidth="1"/>
    <col min="3" max="3" width="12.6640625" bestFit="1" customWidth="1"/>
    <col min="4" max="4" width="21.33203125" bestFit="1" customWidth="1"/>
    <col min="5" max="5" width="18" bestFit="1" customWidth="1"/>
    <col min="6" max="6" width="9.6640625" bestFit="1" customWidth="1"/>
    <col min="7" max="7" width="13.83203125" bestFit="1" customWidth="1"/>
    <col min="8" max="8" width="16.83203125" hidden="1" customWidth="1"/>
    <col min="9" max="9" width="16.5" bestFit="1" customWidth="1"/>
    <col min="10" max="10" width="16" bestFit="1" customWidth="1"/>
    <col min="11" max="12" width="15.33203125" bestFit="1" customWidth="1"/>
    <col min="15" max="15" width="10.83203125" customWidth="1"/>
  </cols>
  <sheetData>
    <row r="1" spans="1:50" ht="22" thickTop="1" thickBot="1">
      <c r="A1" s="37" t="s">
        <v>328</v>
      </c>
      <c r="B1" s="39" t="s">
        <v>1898</v>
      </c>
      <c r="C1" s="39" t="s">
        <v>622</v>
      </c>
      <c r="D1" s="39" t="s">
        <v>2003</v>
      </c>
      <c r="E1" s="48" t="s">
        <v>1271</v>
      </c>
      <c r="F1" s="39" t="s">
        <v>1219</v>
      </c>
      <c r="G1" s="48" t="s">
        <v>623</v>
      </c>
      <c r="H1" s="39" t="s">
        <v>2002</v>
      </c>
      <c r="I1" s="39" t="s">
        <v>619</v>
      </c>
      <c r="J1" s="39" t="s">
        <v>989</v>
      </c>
      <c r="K1" s="56" t="s">
        <v>620</v>
      </c>
      <c r="L1" s="56" t="s">
        <v>621</v>
      </c>
      <c r="M1" s="201" t="s">
        <v>1917</v>
      </c>
      <c r="N1" s="201" t="s">
        <v>1918</v>
      </c>
      <c r="O1" s="201" t="s">
        <v>1919</v>
      </c>
      <c r="P1" s="201" t="s">
        <v>1920</v>
      </c>
      <c r="Q1" s="201" t="s">
        <v>1921</v>
      </c>
      <c r="R1" s="201" t="s">
        <v>1922</v>
      </c>
      <c r="S1" s="201" t="s">
        <v>1923</v>
      </c>
      <c r="T1" s="201" t="s">
        <v>1924</v>
      </c>
      <c r="U1" s="201" t="s">
        <v>1925</v>
      </c>
      <c r="V1" s="201" t="s">
        <v>1926</v>
      </c>
      <c r="W1" s="201" t="s">
        <v>1927</v>
      </c>
      <c r="X1" s="201" t="s">
        <v>1928</v>
      </c>
      <c r="Y1" s="201" t="s">
        <v>1929</v>
      </c>
      <c r="Z1" s="201" t="s">
        <v>1930</v>
      </c>
      <c r="AA1" s="201" t="s">
        <v>1931</v>
      </c>
      <c r="AB1" s="201" t="s">
        <v>1932</v>
      </c>
      <c r="AC1" s="201" t="s">
        <v>1933</v>
      </c>
      <c r="AD1" s="201" t="s">
        <v>1934</v>
      </c>
      <c r="AE1" s="201" t="s">
        <v>1935</v>
      </c>
      <c r="AF1" s="201" t="s">
        <v>1936</v>
      </c>
      <c r="AG1" s="201" t="s">
        <v>1937</v>
      </c>
      <c r="AH1" s="201" t="s">
        <v>1938</v>
      </c>
      <c r="AI1" s="201" t="s">
        <v>1939</v>
      </c>
      <c r="AJ1" s="201" t="s">
        <v>1940</v>
      </c>
      <c r="AK1" s="201" t="s">
        <v>1941</v>
      </c>
      <c r="AL1" s="201" t="s">
        <v>1942</v>
      </c>
      <c r="AM1" s="201" t="s">
        <v>1943</v>
      </c>
      <c r="AN1" s="201" t="s">
        <v>1944</v>
      </c>
      <c r="AO1" s="201" t="s">
        <v>1945</v>
      </c>
      <c r="AP1" s="201" t="s">
        <v>1946</v>
      </c>
      <c r="AQ1" s="201" t="s">
        <v>1947</v>
      </c>
      <c r="AR1" s="201" t="s">
        <v>1948</v>
      </c>
      <c r="AS1" s="201" t="s">
        <v>1949</v>
      </c>
      <c r="AT1" s="201" t="s">
        <v>1950</v>
      </c>
      <c r="AU1" s="201" t="s">
        <v>1951</v>
      </c>
      <c r="AV1" s="201" t="s">
        <v>1952</v>
      </c>
      <c r="AW1" s="201" t="s">
        <v>1953</v>
      </c>
      <c r="AX1" s="201" t="s">
        <v>1954</v>
      </c>
    </row>
    <row r="2" spans="1:50" ht="22" thickTop="1" thickBot="1">
      <c r="A2" s="38" t="str">
        <f>INDEX!S$4</f>
        <v>MID</v>
      </c>
      <c r="B2" s="70" t="s">
        <v>1272</v>
      </c>
      <c r="C2" s="40" t="s">
        <v>17</v>
      </c>
      <c r="D2" s="62">
        <v>344</v>
      </c>
      <c r="E2" s="60">
        <v>0.53700000000000003</v>
      </c>
      <c r="F2" s="61">
        <v>476</v>
      </c>
      <c r="G2" s="63">
        <v>14.5</v>
      </c>
      <c r="H2" s="261">
        <f>IF(ISBLANK(I2),0,1)</f>
        <v>0</v>
      </c>
      <c r="I2" s="57"/>
      <c r="J2" s="58"/>
      <c r="K2" s="59" t="s">
        <v>352</v>
      </c>
      <c r="L2" s="59" t="s">
        <v>58</v>
      </c>
      <c r="M2" cm="1">
        <f t="array" ref="M2">_xlfn.XLOOKUP(Matrix[[#This Row],[TEAM]]&amp;Matrix[[#Headers],[1]],FDR[FDR]&amp;FDR[[#Headers],[1]],FDR[1],"",0,1)</f>
        <v>1</v>
      </c>
      <c r="N2" cm="1">
        <f t="array" ref="N2">_xlfn.XLOOKUP(Matrix[[#This Row],[TEAM]]&amp;Matrix[[#Headers],[2]],FDR[FDR]&amp;FDR[[#Headers],[2]],FDR[2],"",0,1)</f>
        <v>3</v>
      </c>
      <c r="O2" cm="1">
        <f t="array" ref="O2">_xlfn.XLOOKUP(Matrix[[#This Row],[TEAM]]&amp;Matrix[[#Headers],[3]],FDR[FDR]&amp;FDR[[#Headers],[3]],FDR[3],"",0,1)</f>
        <v>3</v>
      </c>
      <c r="P2" cm="1">
        <f t="array" ref="P2">_xlfn.XLOOKUP(Matrix[[#This Row],[TEAM]]&amp;Matrix[[#Headers],[4]],FDR[FDR]&amp;FDR[[#Headers],[4]],FDR[4],"",0,1)</f>
        <v>1</v>
      </c>
      <c r="Q2" cm="1">
        <f t="array" ref="Q2">_xlfn.XLOOKUP(Matrix[[#This Row],[TEAM]]&amp;Matrix[[#Headers],[5]],FDR[FDR]&amp;FDR[[#Headers],[5]],FDR[5],"",0,1)</f>
        <v>1</v>
      </c>
      <c r="R2" cm="1">
        <f t="array" ref="R2">_xlfn.XLOOKUP(Matrix[[#This Row],[TEAM]]&amp;Matrix[[#Headers],[6]],FDR[FDR]&amp;FDR[[#Headers],[6]],FDR[6],"",0,1)</f>
        <v>2</v>
      </c>
      <c r="S2" cm="1">
        <f t="array" ref="S2">_xlfn.XLOOKUP(Matrix[[#This Row],[TEAM]]&amp;Matrix[[#Headers],[7]],FDR[FDR]&amp;FDR[[#Headers],[7]],FDR[7],"",0,1)</f>
        <v>3</v>
      </c>
      <c r="T2" cm="1">
        <f t="array" ref="T2">_xlfn.XLOOKUP(Matrix[[#This Row],[TEAM]]&amp;Matrix[[#Headers],[8]],FDR[FDR]&amp;FDR[[#Headers],[8]],FDR[8],"",0,1)</f>
        <v>2</v>
      </c>
      <c r="U2" cm="1">
        <f t="array" ref="U2">_xlfn.XLOOKUP(Matrix[[#This Row],[TEAM]]&amp;Matrix[[#Headers],[9]],FDR[FDR]&amp;FDR[[#Headers],[9]],FDR[9],"",0,1)</f>
        <v>2</v>
      </c>
      <c r="V2" cm="1">
        <f t="array" ref="V2">_xlfn.XLOOKUP(Matrix[[#This Row],[TEAM]]&amp;Matrix[[#Headers],[10]],FDR[FDR]&amp;FDR[[#Headers],[10]],FDR[10],"",0,1)</f>
        <v>2</v>
      </c>
      <c r="W2" cm="1">
        <f t="array" ref="W2">_xlfn.XLOOKUP(Matrix[[#This Row],[TEAM]]&amp;Matrix[[#Headers],[11]],FDR[FDR]&amp;FDR[[#Headers],[11]],FDR[11],"",0,1)</f>
        <v>3</v>
      </c>
      <c r="X2" cm="1">
        <f t="array" ref="X2">_xlfn.XLOOKUP(Matrix[[#This Row],[TEAM]]&amp;Matrix[[#Headers],[12]],FDR[FDR]&amp;FDR[[#Headers],[12]],FDR[12],"",0,1)</f>
        <v>1</v>
      </c>
      <c r="Y2" cm="1">
        <f t="array" ref="Y2">_xlfn.XLOOKUP(Matrix[[#This Row],[TEAM]]&amp;Matrix[[#Headers],[13]],FDR[FDR]&amp;FDR[[#Headers],[13]],FDR[13],"",0,1)</f>
        <v>2</v>
      </c>
      <c r="Z2" cm="1">
        <f t="array" ref="Z2">_xlfn.XLOOKUP(Matrix[[#This Row],[TEAM]]&amp;Matrix[[#Headers],[14]],FDR[FDR]&amp;FDR[[#Headers],[14]],FDR[14],"",0,1)</f>
        <v>1</v>
      </c>
      <c r="AA2" cm="1">
        <f t="array" ref="AA2">_xlfn.XLOOKUP(Matrix[[#This Row],[TEAM]]&amp;Matrix[[#Headers],[15]],FDR[FDR]&amp;FDR[[#Headers],[15]],FDR[15],"",0,1)</f>
        <v>1</v>
      </c>
      <c r="AB2" cm="1">
        <f t="array" ref="AB2">_xlfn.XLOOKUP(Matrix[[#This Row],[TEAM]]&amp;Matrix[[#Headers],[16]],FDR[FDR]&amp;FDR[[#Headers],[16]],FDR[16],"",0,1)</f>
        <v>1</v>
      </c>
      <c r="AC2" cm="1">
        <f t="array" ref="AC2">_xlfn.XLOOKUP(Matrix[[#This Row],[TEAM]]&amp;Matrix[[#Headers],[17]],FDR[FDR]&amp;FDR[[#Headers],[17]],FDR[17],"",0,1)</f>
        <v>3</v>
      </c>
      <c r="AD2" cm="1">
        <f t="array" ref="AD2">_xlfn.XLOOKUP(Matrix[[#This Row],[TEAM]]&amp;Matrix[[#Headers],[18]],FDR[FDR]&amp;FDR[[#Headers],[18]],FDR[18],"",0,1)</f>
        <v>1</v>
      </c>
      <c r="AE2" cm="1">
        <f t="array" ref="AE2">_xlfn.XLOOKUP(Matrix[[#This Row],[TEAM]]&amp;Matrix[[#Headers],[19]],FDR[FDR]&amp;FDR[[#Headers],[19]],FDR[19],"",0,1)</f>
        <v>1</v>
      </c>
      <c r="AF2" cm="1">
        <f t="array" ref="AF2">_xlfn.XLOOKUP(Matrix[[#This Row],[TEAM]]&amp;Matrix[[#Headers],[20]],FDR[FDR]&amp;FDR[[#Headers],[20]],FDR[20],"",0,1)</f>
        <v>2</v>
      </c>
      <c r="AG2" cm="1">
        <f t="array" ref="AG2">_xlfn.XLOOKUP(Matrix[[#This Row],[TEAM]]&amp;Matrix[[#Headers],[21]],FDR[FDR]&amp;FDR[[#Headers],[21]],FDR[21],"",0,1)</f>
        <v>3</v>
      </c>
      <c r="AH2" cm="1">
        <f t="array" ref="AH2">_xlfn.XLOOKUP(Matrix[[#This Row],[TEAM]]&amp;Matrix[[#Headers],[22]],FDR[FDR]&amp;FDR[[#Headers],[22]],FDR[22],"",0,1)</f>
        <v>1</v>
      </c>
      <c r="AI2" cm="1">
        <f t="array" ref="AI2">_xlfn.XLOOKUP(Matrix[[#This Row],[TEAM]]&amp;Matrix[[#Headers],[23]],FDR[FDR]&amp;FDR[[#Headers],[23]],FDR[23],"",0,1)</f>
        <v>2</v>
      </c>
      <c r="AJ2" cm="1">
        <f t="array" ref="AJ2">_xlfn.XLOOKUP(Matrix[[#This Row],[TEAM]]&amp;Matrix[[#Headers],[24]],FDR[FDR]&amp;FDR[[#Headers],[24]],FDR[24],"",0,1)</f>
        <v>2</v>
      </c>
      <c r="AK2" cm="1">
        <f t="array" ref="AK2">_xlfn.XLOOKUP(Matrix[[#This Row],[TEAM]]&amp;Matrix[[#Headers],[25]],FDR[FDR]&amp;FDR[[#Headers],[25]],FDR[25],"",0,1)</f>
        <v>3</v>
      </c>
      <c r="AL2" cm="1">
        <f t="array" ref="AL2">_xlfn.XLOOKUP(Matrix[[#This Row],[TEAM]]&amp;Matrix[[#Headers],[26]],FDR[FDR]&amp;FDR[[#Headers],[26]],FDR[26],"",0,1)</f>
        <v>1</v>
      </c>
      <c r="AM2" cm="1">
        <f t="array" ref="AM2">_xlfn.XLOOKUP(Matrix[[#This Row],[TEAM]]&amp;Matrix[[#Headers],[27]],FDR[FDR]&amp;FDR[[#Headers],[27]],FDR[27],"",0,1)</f>
        <v>2</v>
      </c>
      <c r="AN2" cm="1">
        <f t="array" ref="AN2">_xlfn.XLOOKUP(Matrix[[#This Row],[TEAM]]&amp;Matrix[[#Headers],[28]],FDR[FDR]&amp;FDR[[#Headers],[28]],FDR[28],"",0,1)</f>
        <v>1</v>
      </c>
      <c r="AO2" cm="1">
        <f t="array" ref="AO2">_xlfn.XLOOKUP(Matrix[[#This Row],[TEAM]]&amp;Matrix[[#Headers],[29]],FDR[FDR]&amp;FDR[[#Headers],[29]],FDR[29],"",0,1)</f>
        <v>1</v>
      </c>
      <c r="AP2" cm="1">
        <f t="array" ref="AP2">_xlfn.XLOOKUP(Matrix[[#This Row],[TEAM]]&amp;Matrix[[#Headers],[30]],FDR[FDR]&amp;FDR[[#Headers],[30]],FDR[30],"",0,1)</f>
        <v>2</v>
      </c>
      <c r="AQ2" cm="1">
        <f t="array" ref="AQ2">_xlfn.XLOOKUP(Matrix[[#This Row],[TEAM]]&amp;Matrix[[#Headers],[31]],FDR[FDR]&amp;FDR[[#Headers],[31]],FDR[31],"",0,1)</f>
        <v>2</v>
      </c>
      <c r="AR2" cm="1">
        <f t="array" ref="AR2">_xlfn.XLOOKUP(Matrix[[#This Row],[TEAM]]&amp;Matrix[[#Headers],[32]],FDR[FDR]&amp;FDR[[#Headers],[32]],FDR[32],"",0,1)</f>
        <v>1</v>
      </c>
      <c r="AS2" cm="1">
        <f t="array" ref="AS2">_xlfn.XLOOKUP(Matrix[[#This Row],[TEAM]]&amp;Matrix[[#Headers],[33]],FDR[FDR]&amp;FDR[[#Headers],[33]],FDR[33],"",0,1)</f>
        <v>2</v>
      </c>
      <c r="AT2" cm="1">
        <f t="array" ref="AT2">_xlfn.XLOOKUP(Matrix[[#This Row],[TEAM]]&amp;Matrix[[#Headers],[34]],FDR[FDR]&amp;FDR[[#Headers],[34]],FDR[34],"",0,1)</f>
        <v>1</v>
      </c>
      <c r="AU2" cm="1">
        <f t="array" ref="AU2">_xlfn.XLOOKUP(Matrix[[#This Row],[TEAM]]&amp;Matrix[[#Headers],[35]],FDR[FDR]&amp;FDR[[#Headers],[35]],FDR[35],"",0,1)</f>
        <v>3</v>
      </c>
      <c r="AV2" cm="1">
        <f t="array" ref="AV2">_xlfn.XLOOKUP(Matrix[[#This Row],[TEAM]]&amp;Matrix[[#Headers],[36]],FDR[FDR]&amp;FDR[[#Headers],[36]],FDR[36],"",0,1)</f>
        <v>2</v>
      </c>
      <c r="AW2" cm="1">
        <f t="array" ref="AW2">_xlfn.XLOOKUP(Matrix[[#This Row],[TEAM]]&amp;Matrix[[#Headers],[37]],FDR[FDR]&amp;FDR[[#Headers],[37]],FDR[37],"",0,1)</f>
        <v>3</v>
      </c>
      <c r="AX2" cm="1">
        <f t="array" ref="AX2">_xlfn.XLOOKUP(Matrix[[#This Row],[TEAM]]&amp;Matrix[[#Headers],[38]],FDR[FDR]&amp;FDR[[#Headers],[38]],FDR[38],"",0,1)</f>
        <v>1</v>
      </c>
    </row>
    <row r="3" spans="1:50" ht="22" thickTop="1" thickBot="1">
      <c r="A3" s="49" t="s">
        <v>655</v>
      </c>
      <c r="B3" s="70" t="s">
        <v>1273</v>
      </c>
      <c r="C3" s="40" t="s">
        <v>29</v>
      </c>
      <c r="D3" s="62">
        <v>181</v>
      </c>
      <c r="E3" s="60">
        <v>0.224</v>
      </c>
      <c r="F3" s="61">
        <v>281.8</v>
      </c>
      <c r="G3" s="63">
        <v>14.1</v>
      </c>
      <c r="H3" s="261">
        <f>IF(ISBLANK(I3),0,1)</f>
        <v>0</v>
      </c>
      <c r="I3" s="57"/>
      <c r="J3" s="58"/>
      <c r="K3" s="64" t="s">
        <v>350</v>
      </c>
      <c r="L3" s="64" t="s">
        <v>57</v>
      </c>
      <c r="M3" cm="1">
        <f t="array" ref="M3">_xlfn.XLOOKUP(Matrix[[#This Row],[TEAM]]&amp;Matrix[[#Headers],[1]],FDR[FDR]&amp;FDR[[#Headers],[1]],FDR[1],"",0,1)</f>
        <v>1</v>
      </c>
      <c r="N3" cm="1">
        <f t="array" ref="N3">_xlfn.XLOOKUP(Matrix[[#This Row],[TEAM]]&amp;Matrix[[#Headers],[2]],FDR[FDR]&amp;FDR[[#Headers],[2]],FDR[2],"",0,1)</f>
        <v>2</v>
      </c>
      <c r="O3" cm="1">
        <f t="array" ref="O3">_xlfn.XLOOKUP(Matrix[[#This Row],[TEAM]]&amp;Matrix[[#Headers],[3]],FDR[FDR]&amp;FDR[[#Headers],[3]],FDR[3],"",0,1)</f>
        <v>2</v>
      </c>
      <c r="P3" cm="1">
        <f t="array" ref="P3">_xlfn.XLOOKUP(Matrix[[#This Row],[TEAM]]&amp;Matrix[[#Headers],[4]],FDR[FDR]&amp;FDR[[#Headers],[4]],FDR[4],"",0,1)</f>
        <v>2</v>
      </c>
      <c r="Q3" cm="1">
        <f t="array" ref="Q3">_xlfn.XLOOKUP(Matrix[[#This Row],[TEAM]]&amp;Matrix[[#Headers],[5]],FDR[FDR]&amp;FDR[[#Headers],[5]],FDR[5],"",0,1)</f>
        <v>4</v>
      </c>
      <c r="R3" cm="1">
        <f t="array" ref="R3">_xlfn.XLOOKUP(Matrix[[#This Row],[TEAM]]&amp;Matrix[[#Headers],[6]],FDR[FDR]&amp;FDR[[#Headers],[6]],FDR[6],"",0,1)</f>
        <v>1</v>
      </c>
      <c r="S3" cm="1">
        <f t="array" ref="S3">_xlfn.XLOOKUP(Matrix[[#This Row],[TEAM]]&amp;Matrix[[#Headers],[7]],FDR[FDR]&amp;FDR[[#Headers],[7]],FDR[7],"",0,1)</f>
        <v>2</v>
      </c>
      <c r="T3" cm="1">
        <f t="array" ref="T3">_xlfn.XLOOKUP(Matrix[[#This Row],[TEAM]]&amp;Matrix[[#Headers],[8]],FDR[FDR]&amp;FDR[[#Headers],[8]],FDR[8],"",0,1)</f>
        <v>1</v>
      </c>
      <c r="U3" cm="1">
        <f t="array" ref="U3">_xlfn.XLOOKUP(Matrix[[#This Row],[TEAM]]&amp;Matrix[[#Headers],[9]],FDR[FDR]&amp;FDR[[#Headers],[9]],FDR[9],"",0,1)</f>
        <v>3</v>
      </c>
      <c r="V3" cm="1">
        <f t="array" ref="V3">_xlfn.XLOOKUP(Matrix[[#This Row],[TEAM]]&amp;Matrix[[#Headers],[10]],FDR[FDR]&amp;FDR[[#Headers],[10]],FDR[10],"",0,1)</f>
        <v>1</v>
      </c>
      <c r="W3" cm="1">
        <f t="array" ref="W3">_xlfn.XLOOKUP(Matrix[[#This Row],[TEAM]]&amp;Matrix[[#Headers],[11]],FDR[FDR]&amp;FDR[[#Headers],[11]],FDR[11],"",0,1)</f>
        <v>3</v>
      </c>
      <c r="X3" cm="1">
        <f t="array" ref="X3">_xlfn.XLOOKUP(Matrix[[#This Row],[TEAM]]&amp;Matrix[[#Headers],[12]],FDR[FDR]&amp;FDR[[#Headers],[12]],FDR[12],"",0,1)</f>
        <v>3</v>
      </c>
      <c r="Y3" cm="1">
        <f t="array" ref="Y3">_xlfn.XLOOKUP(Matrix[[#This Row],[TEAM]]&amp;Matrix[[#Headers],[13]],FDR[FDR]&amp;FDR[[#Headers],[13]],FDR[13],"",0,1)</f>
        <v>1</v>
      </c>
      <c r="Z3" cm="1">
        <f t="array" ref="Z3">_xlfn.XLOOKUP(Matrix[[#This Row],[TEAM]]&amp;Matrix[[#Headers],[14]],FDR[FDR]&amp;FDR[[#Headers],[14]],FDR[14],"",0,1)</f>
        <v>2</v>
      </c>
      <c r="AA3" cm="1">
        <f t="array" ref="AA3">_xlfn.XLOOKUP(Matrix[[#This Row],[TEAM]]&amp;Matrix[[#Headers],[15]],FDR[FDR]&amp;FDR[[#Headers],[15]],FDR[15],"",0,1)</f>
        <v>1</v>
      </c>
      <c r="AB3" cm="1">
        <f t="array" ref="AB3">_xlfn.XLOOKUP(Matrix[[#This Row],[TEAM]]&amp;Matrix[[#Headers],[16]],FDR[FDR]&amp;FDR[[#Headers],[16]],FDR[16],"",0,1)</f>
        <v>2</v>
      </c>
      <c r="AC3" cm="1">
        <f t="array" ref="AC3">_xlfn.XLOOKUP(Matrix[[#This Row],[TEAM]]&amp;Matrix[[#Headers],[17]],FDR[FDR]&amp;FDR[[#Headers],[17]],FDR[17],"",0,1)</f>
        <v>1</v>
      </c>
      <c r="AD3" cm="1">
        <f t="array" ref="AD3">_xlfn.XLOOKUP(Matrix[[#This Row],[TEAM]]&amp;Matrix[[#Headers],[18]],FDR[FDR]&amp;FDR[[#Headers],[18]],FDR[18],"",0,1)</f>
        <v>2</v>
      </c>
      <c r="AE3" cm="1">
        <f t="array" ref="AE3">_xlfn.XLOOKUP(Matrix[[#This Row],[TEAM]]&amp;Matrix[[#Headers],[19]],FDR[FDR]&amp;FDR[[#Headers],[19]],FDR[19],"",0,1)</f>
        <v>1</v>
      </c>
      <c r="AF3" cm="1">
        <f t="array" ref="AF3">_xlfn.XLOOKUP(Matrix[[#This Row],[TEAM]]&amp;Matrix[[#Headers],[20]],FDR[FDR]&amp;FDR[[#Headers],[20]],FDR[20],"",0,1)</f>
        <v>2</v>
      </c>
      <c r="AG3" cm="1">
        <f t="array" ref="AG3">_xlfn.XLOOKUP(Matrix[[#This Row],[TEAM]]&amp;Matrix[[#Headers],[21]],FDR[FDR]&amp;FDR[[#Headers],[21]],FDR[21],"",0,1)</f>
        <v>1</v>
      </c>
      <c r="AH3" cm="1">
        <f t="array" ref="AH3">_xlfn.XLOOKUP(Matrix[[#This Row],[TEAM]]&amp;Matrix[[#Headers],[22]],FDR[FDR]&amp;FDR[[#Headers],[22]],FDR[22],"",0,1)</f>
        <v>3</v>
      </c>
      <c r="AI3" cm="1">
        <f t="array" ref="AI3">_xlfn.XLOOKUP(Matrix[[#This Row],[TEAM]]&amp;Matrix[[#Headers],[23]],FDR[FDR]&amp;FDR[[#Headers],[23]],FDR[23],"",0,1)</f>
        <v>1</v>
      </c>
      <c r="AJ3" cm="1">
        <f t="array" ref="AJ3">_xlfn.XLOOKUP(Matrix[[#This Row],[TEAM]]&amp;Matrix[[#Headers],[24]],FDR[FDR]&amp;FDR[[#Headers],[24]],FDR[24],"",0,1)</f>
        <v>3</v>
      </c>
      <c r="AK3" cm="1">
        <f t="array" ref="AK3">_xlfn.XLOOKUP(Matrix[[#This Row],[TEAM]]&amp;Matrix[[#Headers],[25]],FDR[FDR]&amp;FDR[[#Headers],[25]],FDR[25],"",0,1)</f>
        <v>4</v>
      </c>
      <c r="AL3" cm="1">
        <f t="array" ref="AL3">_xlfn.XLOOKUP(Matrix[[#This Row],[TEAM]]&amp;Matrix[[#Headers],[26]],FDR[FDR]&amp;FDR[[#Headers],[26]],FDR[26],"",0,1)</f>
        <v>1</v>
      </c>
      <c r="AM3" cm="1">
        <f t="array" ref="AM3">_xlfn.XLOOKUP(Matrix[[#This Row],[TEAM]]&amp;Matrix[[#Headers],[27]],FDR[FDR]&amp;FDR[[#Headers],[27]],FDR[27],"",0,1)</f>
        <v>2</v>
      </c>
      <c r="AN3" cm="1">
        <f t="array" ref="AN3">_xlfn.XLOOKUP(Matrix[[#This Row],[TEAM]]&amp;Matrix[[#Headers],[28]],FDR[FDR]&amp;FDR[[#Headers],[28]],FDR[28],"",0,1)</f>
        <v>1</v>
      </c>
      <c r="AO3" cm="1">
        <f t="array" ref="AO3">_xlfn.XLOOKUP(Matrix[[#This Row],[TEAM]]&amp;Matrix[[#Headers],[29]],FDR[FDR]&amp;FDR[[#Headers],[29]],FDR[29],"",0,1)</f>
        <v>1</v>
      </c>
      <c r="AP3" cm="1">
        <f t="array" ref="AP3">_xlfn.XLOOKUP(Matrix[[#This Row],[TEAM]]&amp;Matrix[[#Headers],[30]],FDR[FDR]&amp;FDR[[#Headers],[30]],FDR[30],"",0,1)</f>
        <v>2</v>
      </c>
      <c r="AQ3" cm="1">
        <f t="array" ref="AQ3">_xlfn.XLOOKUP(Matrix[[#This Row],[TEAM]]&amp;Matrix[[#Headers],[31]],FDR[FDR]&amp;FDR[[#Headers],[31]],FDR[31],"",0,1)</f>
        <v>1</v>
      </c>
      <c r="AR3" cm="1">
        <f t="array" ref="AR3">_xlfn.XLOOKUP(Matrix[[#This Row],[TEAM]]&amp;Matrix[[#Headers],[32]],FDR[FDR]&amp;FDR[[#Headers],[32]],FDR[32],"",0,1)</f>
        <v>3</v>
      </c>
      <c r="AS3" cm="1">
        <f t="array" ref="AS3">_xlfn.XLOOKUP(Matrix[[#This Row],[TEAM]]&amp;Matrix[[#Headers],[33]],FDR[FDR]&amp;FDR[[#Headers],[33]],FDR[33],"",0,1)</f>
        <v>3</v>
      </c>
      <c r="AT3" cm="1">
        <f t="array" ref="AT3">_xlfn.XLOOKUP(Matrix[[#This Row],[TEAM]]&amp;Matrix[[#Headers],[34]],FDR[FDR]&amp;FDR[[#Headers],[34]],FDR[34],"",0,1)</f>
        <v>1</v>
      </c>
      <c r="AU3" cm="1">
        <f t="array" ref="AU3">_xlfn.XLOOKUP(Matrix[[#This Row],[TEAM]]&amp;Matrix[[#Headers],[35]],FDR[FDR]&amp;FDR[[#Headers],[35]],FDR[35],"",0,1)</f>
        <v>2</v>
      </c>
      <c r="AV3" cm="1">
        <f t="array" ref="AV3">_xlfn.XLOOKUP(Matrix[[#This Row],[TEAM]]&amp;Matrix[[#Headers],[36]],FDR[FDR]&amp;FDR[[#Headers],[36]],FDR[36],"",0,1)</f>
        <v>1</v>
      </c>
      <c r="AW3" cm="1">
        <f t="array" ref="AW3">_xlfn.XLOOKUP(Matrix[[#This Row],[TEAM]]&amp;Matrix[[#Headers],[37]],FDR[FDR]&amp;FDR[[#Headers],[37]],FDR[37],"",0,1)</f>
        <v>2</v>
      </c>
      <c r="AX3" cm="1">
        <f t="array" ref="AX3">_xlfn.XLOOKUP(Matrix[[#This Row],[TEAM]]&amp;Matrix[[#Headers],[38]],FDR[FDR]&amp;FDR[[#Headers],[38]],FDR[38],"",0,1)</f>
        <v>2</v>
      </c>
    </row>
    <row r="4" spans="1:50" ht="22" thickTop="1" thickBot="1">
      <c r="A4" s="50" t="str">
        <f>INDEX!S$4</f>
        <v>MID</v>
      </c>
      <c r="B4" s="70" t="s">
        <v>1279</v>
      </c>
      <c r="C4" s="40" t="s">
        <v>30</v>
      </c>
      <c r="D4" s="62">
        <v>174</v>
      </c>
      <c r="E4" s="60">
        <v>0.17899999999999999</v>
      </c>
      <c r="F4" s="61">
        <v>300.8</v>
      </c>
      <c r="G4" s="63">
        <v>9</v>
      </c>
      <c r="H4" s="261">
        <f>IF(ISBLANK(I4),0,1)</f>
        <v>0</v>
      </c>
      <c r="I4" s="57"/>
      <c r="J4" s="58"/>
      <c r="K4" s="59" t="s">
        <v>358</v>
      </c>
      <c r="L4" s="59" t="s">
        <v>361</v>
      </c>
      <c r="M4" cm="1">
        <f t="array" ref="M4">_xlfn.XLOOKUP(Matrix[[#This Row],[TEAM]]&amp;Matrix[[#Headers],[1]],FDR[FDR]&amp;FDR[[#Headers],[1]],FDR[1],"",0,1)</f>
        <v>3</v>
      </c>
      <c r="N4" cm="1">
        <f t="array" ref="N4">_xlfn.XLOOKUP(Matrix[[#This Row],[TEAM]]&amp;Matrix[[#Headers],[2]],FDR[FDR]&amp;FDR[[#Headers],[2]],FDR[2],"",0,1)</f>
        <v>2</v>
      </c>
      <c r="O4" cm="1">
        <f t="array" ref="O4">_xlfn.XLOOKUP(Matrix[[#This Row],[TEAM]]&amp;Matrix[[#Headers],[3]],FDR[FDR]&amp;FDR[[#Headers],[3]],FDR[3],"",0,1)</f>
        <v>1</v>
      </c>
      <c r="P4" cm="1">
        <f t="array" ref="P4">_xlfn.XLOOKUP(Matrix[[#This Row],[TEAM]]&amp;Matrix[[#Headers],[4]],FDR[FDR]&amp;FDR[[#Headers],[4]],FDR[4],"",0,1)</f>
        <v>4</v>
      </c>
      <c r="Q4" cm="1">
        <f t="array" ref="Q4">_xlfn.XLOOKUP(Matrix[[#This Row],[TEAM]]&amp;Matrix[[#Headers],[5]],FDR[FDR]&amp;FDR[[#Headers],[5]],FDR[5],"",0,1)</f>
        <v>3</v>
      </c>
      <c r="R4" cm="1">
        <f t="array" ref="R4">_xlfn.XLOOKUP(Matrix[[#This Row],[TEAM]]&amp;Matrix[[#Headers],[6]],FDR[FDR]&amp;FDR[[#Headers],[6]],FDR[6],"",0,1)</f>
        <v>2</v>
      </c>
      <c r="S4" cm="1">
        <f t="array" ref="S4">_xlfn.XLOOKUP(Matrix[[#This Row],[TEAM]]&amp;Matrix[[#Headers],[7]],FDR[FDR]&amp;FDR[[#Headers],[7]],FDR[7],"",0,1)</f>
        <v>1</v>
      </c>
      <c r="T4" cm="1">
        <f t="array" ref="T4">_xlfn.XLOOKUP(Matrix[[#This Row],[TEAM]]&amp;Matrix[[#Headers],[8]],FDR[FDR]&amp;FDR[[#Headers],[8]],FDR[8],"",0,1)</f>
        <v>4</v>
      </c>
      <c r="U4" cm="1">
        <f t="array" ref="U4">_xlfn.XLOOKUP(Matrix[[#This Row],[TEAM]]&amp;Matrix[[#Headers],[9]],FDR[FDR]&amp;FDR[[#Headers],[9]],FDR[9],"",0,1)</f>
        <v>1</v>
      </c>
      <c r="V4" cm="1">
        <f t="array" ref="V4">_xlfn.XLOOKUP(Matrix[[#This Row],[TEAM]]&amp;Matrix[[#Headers],[10]],FDR[FDR]&amp;FDR[[#Headers],[10]],FDR[10],"",0,1)</f>
        <v>2</v>
      </c>
      <c r="W4" cm="1">
        <f t="array" ref="W4">_xlfn.XLOOKUP(Matrix[[#This Row],[TEAM]]&amp;Matrix[[#Headers],[11]],FDR[FDR]&amp;FDR[[#Headers],[11]],FDR[11],"",0,1)</f>
        <v>4</v>
      </c>
      <c r="X4" cm="1">
        <f t="array" ref="X4">_xlfn.XLOOKUP(Matrix[[#This Row],[TEAM]]&amp;Matrix[[#Headers],[12]],FDR[FDR]&amp;FDR[[#Headers],[12]],FDR[12],"",0,1)</f>
        <v>1</v>
      </c>
      <c r="Y4" cm="1">
        <f t="array" ref="Y4">_xlfn.XLOOKUP(Matrix[[#This Row],[TEAM]]&amp;Matrix[[#Headers],[13]],FDR[FDR]&amp;FDR[[#Headers],[13]],FDR[13],"",0,1)</f>
        <v>2</v>
      </c>
      <c r="Z4" cm="1">
        <f t="array" ref="Z4">_xlfn.XLOOKUP(Matrix[[#This Row],[TEAM]]&amp;Matrix[[#Headers],[14]],FDR[FDR]&amp;FDR[[#Headers],[14]],FDR[14],"",0,1)</f>
        <v>1</v>
      </c>
      <c r="AA4" cm="1">
        <f t="array" ref="AA4">_xlfn.XLOOKUP(Matrix[[#This Row],[TEAM]]&amp;Matrix[[#Headers],[15]],FDR[FDR]&amp;FDR[[#Headers],[15]],FDR[15],"",0,1)</f>
        <v>1</v>
      </c>
      <c r="AB4" cm="1">
        <f t="array" ref="AB4">_xlfn.XLOOKUP(Matrix[[#This Row],[TEAM]]&amp;Matrix[[#Headers],[16]],FDR[FDR]&amp;FDR[[#Headers],[16]],FDR[16],"",0,1)</f>
        <v>1</v>
      </c>
      <c r="AC4" cm="1">
        <f t="array" ref="AC4">_xlfn.XLOOKUP(Matrix[[#This Row],[TEAM]]&amp;Matrix[[#Headers],[17]],FDR[FDR]&amp;FDR[[#Headers],[17]],FDR[17],"",0,1)</f>
        <v>3</v>
      </c>
      <c r="AD4" cm="1">
        <f t="array" ref="AD4">_xlfn.XLOOKUP(Matrix[[#This Row],[TEAM]]&amp;Matrix[[#Headers],[18]],FDR[FDR]&amp;FDR[[#Headers],[18]],FDR[18],"",0,1)</f>
        <v>2</v>
      </c>
      <c r="AE4" cm="1">
        <f t="array" ref="AE4">_xlfn.XLOOKUP(Matrix[[#This Row],[TEAM]]&amp;Matrix[[#Headers],[19]],FDR[FDR]&amp;FDR[[#Headers],[19]],FDR[19],"",0,1)</f>
        <v>1</v>
      </c>
      <c r="AF4" cm="1">
        <f t="array" ref="AF4">_xlfn.XLOOKUP(Matrix[[#This Row],[TEAM]]&amp;Matrix[[#Headers],[20]],FDR[FDR]&amp;FDR[[#Headers],[20]],FDR[20],"",0,1)</f>
        <v>1</v>
      </c>
      <c r="AG4" cm="1">
        <f t="array" ref="AG4">_xlfn.XLOOKUP(Matrix[[#This Row],[TEAM]]&amp;Matrix[[#Headers],[21]],FDR[FDR]&amp;FDR[[#Headers],[21]],FDR[21],"",0,1)</f>
        <v>1</v>
      </c>
      <c r="AH4" cm="1">
        <f t="array" ref="AH4">_xlfn.XLOOKUP(Matrix[[#This Row],[TEAM]]&amp;Matrix[[#Headers],[22]],FDR[FDR]&amp;FDR[[#Headers],[22]],FDR[22],"",0,1)</f>
        <v>3</v>
      </c>
      <c r="AI4" cm="1">
        <f t="array" ref="AI4">_xlfn.XLOOKUP(Matrix[[#This Row],[TEAM]]&amp;Matrix[[#Headers],[23]],FDR[FDR]&amp;FDR[[#Headers],[23]],FDR[23],"",0,1)</f>
        <v>4</v>
      </c>
      <c r="AJ4" cm="1">
        <f t="array" ref="AJ4">_xlfn.XLOOKUP(Matrix[[#This Row],[TEAM]]&amp;Matrix[[#Headers],[24]],FDR[FDR]&amp;FDR[[#Headers],[24]],FDR[24],"",0,1)</f>
        <v>1</v>
      </c>
      <c r="AK4" cm="1">
        <f t="array" ref="AK4">_xlfn.XLOOKUP(Matrix[[#This Row],[TEAM]]&amp;Matrix[[#Headers],[25]],FDR[FDR]&amp;FDR[[#Headers],[25]],FDR[25],"",0,1)</f>
        <v>3</v>
      </c>
      <c r="AL4" cm="1">
        <f t="array" ref="AL4">_xlfn.XLOOKUP(Matrix[[#This Row],[TEAM]]&amp;Matrix[[#Headers],[26]],FDR[FDR]&amp;FDR[[#Headers],[26]],FDR[26],"",0,1)</f>
        <v>2</v>
      </c>
      <c r="AM4" cm="1">
        <f t="array" ref="AM4">_xlfn.XLOOKUP(Matrix[[#This Row],[TEAM]]&amp;Matrix[[#Headers],[27]],FDR[FDR]&amp;FDR[[#Headers],[27]],FDR[27],"",0,1)</f>
        <v>2</v>
      </c>
      <c r="AN4" cm="1">
        <f t="array" ref="AN4">_xlfn.XLOOKUP(Matrix[[#This Row],[TEAM]]&amp;Matrix[[#Headers],[28]],FDR[FDR]&amp;FDR[[#Headers],[28]],FDR[28],"",0,1)</f>
        <v>1</v>
      </c>
      <c r="AO4" cm="1">
        <f t="array" ref="AO4">_xlfn.XLOOKUP(Matrix[[#This Row],[TEAM]]&amp;Matrix[[#Headers],[29]],FDR[FDR]&amp;FDR[[#Headers],[29]],FDR[29],"",0,1)</f>
        <v>3</v>
      </c>
      <c r="AP4" cm="1">
        <f t="array" ref="AP4">_xlfn.XLOOKUP(Matrix[[#This Row],[TEAM]]&amp;Matrix[[#Headers],[30]],FDR[FDR]&amp;FDR[[#Headers],[30]],FDR[30],"",0,1)</f>
        <v>2</v>
      </c>
      <c r="AQ4" cm="1">
        <f t="array" ref="AQ4">_xlfn.XLOOKUP(Matrix[[#This Row],[TEAM]]&amp;Matrix[[#Headers],[31]],FDR[FDR]&amp;FDR[[#Headers],[31]],FDR[31],"",0,1)</f>
        <v>2</v>
      </c>
      <c r="AR4" cm="1">
        <f t="array" ref="AR4">_xlfn.XLOOKUP(Matrix[[#This Row],[TEAM]]&amp;Matrix[[#Headers],[32]],FDR[FDR]&amp;FDR[[#Headers],[32]],FDR[32],"",0,1)</f>
        <v>1</v>
      </c>
      <c r="AS4" cm="1">
        <f t="array" ref="AS4">_xlfn.XLOOKUP(Matrix[[#This Row],[TEAM]]&amp;Matrix[[#Headers],[33]],FDR[FDR]&amp;FDR[[#Headers],[33]],FDR[33],"",0,1)</f>
        <v>4</v>
      </c>
      <c r="AT4" cm="1">
        <f t="array" ref="AT4">_xlfn.XLOOKUP(Matrix[[#This Row],[TEAM]]&amp;Matrix[[#Headers],[34]],FDR[FDR]&amp;FDR[[#Headers],[34]],FDR[34],"",0,1)</f>
        <v>1</v>
      </c>
      <c r="AU4" cm="1">
        <f t="array" ref="AU4">_xlfn.XLOOKUP(Matrix[[#This Row],[TEAM]]&amp;Matrix[[#Headers],[35]],FDR[FDR]&amp;FDR[[#Headers],[35]],FDR[35],"",0,1)</f>
        <v>3</v>
      </c>
      <c r="AV4" cm="1">
        <f t="array" ref="AV4">_xlfn.XLOOKUP(Matrix[[#This Row],[TEAM]]&amp;Matrix[[#Headers],[36]],FDR[FDR]&amp;FDR[[#Headers],[36]],FDR[36],"",0,1)</f>
        <v>1</v>
      </c>
      <c r="AW4" cm="1">
        <f t="array" ref="AW4">_xlfn.XLOOKUP(Matrix[[#This Row],[TEAM]]&amp;Matrix[[#Headers],[37]],FDR[FDR]&amp;FDR[[#Headers],[37]],FDR[37],"",0,1)</f>
        <v>1</v>
      </c>
      <c r="AX4" cm="1">
        <f t="array" ref="AX4">_xlfn.XLOOKUP(Matrix[[#This Row],[TEAM]]&amp;Matrix[[#Headers],[38]],FDR[FDR]&amp;FDR[[#Headers],[38]],FDR[38],"",0,1)</f>
        <v>2</v>
      </c>
    </row>
    <row r="5" spans="1:50" ht="22" thickTop="1" thickBot="1">
      <c r="A5" s="49" t="str">
        <f>INDEX!S$5</f>
        <v>FWD</v>
      </c>
      <c r="B5" s="70" t="s">
        <v>1278</v>
      </c>
      <c r="C5" s="40" t="s">
        <v>28</v>
      </c>
      <c r="D5" s="62">
        <v>186</v>
      </c>
      <c r="E5" s="60">
        <v>0.21099999999999999</v>
      </c>
      <c r="F5" s="61">
        <v>223.8</v>
      </c>
      <c r="G5" s="63">
        <v>9</v>
      </c>
      <c r="H5" s="261">
        <f>IF(ISBLANK(I5),0,1)</f>
        <v>0</v>
      </c>
      <c r="I5" s="57"/>
      <c r="J5" s="58"/>
      <c r="K5" s="64" t="s">
        <v>359</v>
      </c>
      <c r="L5" s="64" t="s">
        <v>62</v>
      </c>
      <c r="M5" cm="1">
        <f t="array" ref="M5">_xlfn.XLOOKUP(Matrix[[#This Row],[TEAM]]&amp;Matrix[[#Headers],[1]],FDR[FDR]&amp;FDR[[#Headers],[1]],FDR[1],"",0,1)</f>
        <v>3</v>
      </c>
      <c r="N5" cm="1">
        <f t="array" ref="N5">_xlfn.XLOOKUP(Matrix[[#This Row],[TEAM]]&amp;Matrix[[#Headers],[2]],FDR[FDR]&amp;FDR[[#Headers],[2]],FDR[2],"",0,1)</f>
        <v>2</v>
      </c>
      <c r="O5" cm="1">
        <f t="array" ref="O5">_xlfn.XLOOKUP(Matrix[[#This Row],[TEAM]]&amp;Matrix[[#Headers],[3]],FDR[FDR]&amp;FDR[[#Headers],[3]],FDR[3],"",0,1)</f>
        <v>1</v>
      </c>
      <c r="P5" cm="1">
        <f t="array" ref="P5">_xlfn.XLOOKUP(Matrix[[#This Row],[TEAM]]&amp;Matrix[[#Headers],[4]],FDR[FDR]&amp;FDR[[#Headers],[4]],FDR[4],"",0,1)</f>
        <v>2</v>
      </c>
      <c r="Q5" cm="1">
        <f t="array" ref="Q5">_xlfn.XLOOKUP(Matrix[[#This Row],[TEAM]]&amp;Matrix[[#Headers],[5]],FDR[FDR]&amp;FDR[[#Headers],[5]],FDR[5],"",0,1)</f>
        <v>1</v>
      </c>
      <c r="R5" cm="1">
        <f t="array" ref="R5">_xlfn.XLOOKUP(Matrix[[#This Row],[TEAM]]&amp;Matrix[[#Headers],[6]],FDR[FDR]&amp;FDR[[#Headers],[6]],FDR[6],"",0,1)</f>
        <v>2</v>
      </c>
      <c r="S5" cm="1">
        <f t="array" ref="S5">_xlfn.XLOOKUP(Matrix[[#This Row],[TEAM]]&amp;Matrix[[#Headers],[7]],FDR[FDR]&amp;FDR[[#Headers],[7]],FDR[7],"",0,1)</f>
        <v>1</v>
      </c>
      <c r="T5" cm="1">
        <f t="array" ref="T5">_xlfn.XLOOKUP(Matrix[[#This Row],[TEAM]]&amp;Matrix[[#Headers],[8]],FDR[FDR]&amp;FDR[[#Headers],[8]],FDR[8],"",0,1)</f>
        <v>4</v>
      </c>
      <c r="U5" cm="1">
        <f t="array" ref="U5">_xlfn.XLOOKUP(Matrix[[#This Row],[TEAM]]&amp;Matrix[[#Headers],[9]],FDR[FDR]&amp;FDR[[#Headers],[9]],FDR[9],"",0,1)</f>
        <v>3</v>
      </c>
      <c r="V5" cm="1">
        <f t="array" ref="V5">_xlfn.XLOOKUP(Matrix[[#This Row],[TEAM]]&amp;Matrix[[#Headers],[10]],FDR[FDR]&amp;FDR[[#Headers],[10]],FDR[10],"",0,1)</f>
        <v>4</v>
      </c>
      <c r="W5" cm="1">
        <f t="array" ref="W5">_xlfn.XLOOKUP(Matrix[[#This Row],[TEAM]]&amp;Matrix[[#Headers],[11]],FDR[FDR]&amp;FDR[[#Headers],[11]],FDR[11],"",0,1)</f>
        <v>2</v>
      </c>
      <c r="X5" cm="1">
        <f t="array" ref="X5">_xlfn.XLOOKUP(Matrix[[#This Row],[TEAM]]&amp;Matrix[[#Headers],[12]],FDR[FDR]&amp;FDR[[#Headers],[12]],FDR[12],"",0,1)</f>
        <v>1</v>
      </c>
      <c r="Y5" cm="1">
        <f t="array" ref="Y5">_xlfn.XLOOKUP(Matrix[[#This Row],[TEAM]]&amp;Matrix[[#Headers],[13]],FDR[FDR]&amp;FDR[[#Headers],[13]],FDR[13],"",0,1)</f>
        <v>1</v>
      </c>
      <c r="Z5" cm="1">
        <f t="array" ref="Z5">_xlfn.XLOOKUP(Matrix[[#This Row],[TEAM]]&amp;Matrix[[#Headers],[14]],FDR[FDR]&amp;FDR[[#Headers],[14]],FDR[14],"",0,1)</f>
        <v>3</v>
      </c>
      <c r="AA5" cm="1">
        <f t="array" ref="AA5">_xlfn.XLOOKUP(Matrix[[#This Row],[TEAM]]&amp;Matrix[[#Headers],[15]],FDR[FDR]&amp;FDR[[#Headers],[15]],FDR[15],"",0,1)</f>
        <v>3</v>
      </c>
      <c r="AB5" cm="1">
        <f t="array" ref="AB5">_xlfn.XLOOKUP(Matrix[[#This Row],[TEAM]]&amp;Matrix[[#Headers],[16]],FDR[FDR]&amp;FDR[[#Headers],[16]],FDR[16],"",0,1)</f>
        <v>2</v>
      </c>
      <c r="AC5" cm="1">
        <f t="array" ref="AC5">_xlfn.XLOOKUP(Matrix[[#This Row],[TEAM]]&amp;Matrix[[#Headers],[17]],FDR[FDR]&amp;FDR[[#Headers],[17]],FDR[17],"",0,1)</f>
        <v>3</v>
      </c>
      <c r="AD5" cm="1">
        <f t="array" ref="AD5">_xlfn.XLOOKUP(Matrix[[#This Row],[TEAM]]&amp;Matrix[[#Headers],[18]],FDR[FDR]&amp;FDR[[#Headers],[18]],FDR[18],"",0,1)</f>
        <v>4</v>
      </c>
      <c r="AE5" cm="1">
        <f t="array" ref="AE5">_xlfn.XLOOKUP(Matrix[[#This Row],[TEAM]]&amp;Matrix[[#Headers],[19]],FDR[FDR]&amp;FDR[[#Headers],[19]],FDR[19],"",0,1)</f>
        <v>4</v>
      </c>
      <c r="AF5" cm="1">
        <f t="array" ref="AF5">_xlfn.XLOOKUP(Matrix[[#This Row],[TEAM]]&amp;Matrix[[#Headers],[20]],FDR[FDR]&amp;FDR[[#Headers],[20]],FDR[20],"",0,1)</f>
        <v>2</v>
      </c>
      <c r="AG5" cm="1">
        <f t="array" ref="AG5">_xlfn.XLOOKUP(Matrix[[#This Row],[TEAM]]&amp;Matrix[[#Headers],[21]],FDR[FDR]&amp;FDR[[#Headers],[21]],FDR[21],"",0,1)</f>
        <v>2</v>
      </c>
      <c r="AH5" cm="1">
        <f t="array" ref="AH5">_xlfn.XLOOKUP(Matrix[[#This Row],[TEAM]]&amp;Matrix[[#Headers],[22]],FDR[FDR]&amp;FDR[[#Headers],[22]],FDR[22],"",0,1)</f>
        <v>1</v>
      </c>
      <c r="AI5" cm="1">
        <f t="array" ref="AI5">_xlfn.XLOOKUP(Matrix[[#This Row],[TEAM]]&amp;Matrix[[#Headers],[23]],FDR[FDR]&amp;FDR[[#Headers],[23]],FDR[23],"",0,1)</f>
        <v>4</v>
      </c>
      <c r="AJ5" cm="1">
        <f t="array" ref="AJ5">_xlfn.XLOOKUP(Matrix[[#This Row],[TEAM]]&amp;Matrix[[#Headers],[24]],FDR[FDR]&amp;FDR[[#Headers],[24]],FDR[24],"",0,1)</f>
        <v>1</v>
      </c>
      <c r="AK5" cm="1">
        <f t="array" ref="AK5">_xlfn.XLOOKUP(Matrix[[#This Row],[TEAM]]&amp;Matrix[[#Headers],[25]],FDR[FDR]&amp;FDR[[#Headers],[25]],FDR[25],"",0,1)</f>
        <v>3</v>
      </c>
      <c r="AL5" cm="1">
        <f t="array" ref="AL5">_xlfn.XLOOKUP(Matrix[[#This Row],[TEAM]]&amp;Matrix[[#Headers],[26]],FDR[FDR]&amp;FDR[[#Headers],[26]],FDR[26],"",0,1)</f>
        <v>2</v>
      </c>
      <c r="AM5" cm="1">
        <f t="array" ref="AM5">_xlfn.XLOOKUP(Matrix[[#This Row],[TEAM]]&amp;Matrix[[#Headers],[27]],FDR[FDR]&amp;FDR[[#Headers],[27]],FDR[27],"",0,1)</f>
        <v>1</v>
      </c>
      <c r="AN5" cm="1">
        <f t="array" ref="AN5">_xlfn.XLOOKUP(Matrix[[#This Row],[TEAM]]&amp;Matrix[[#Headers],[28]],FDR[FDR]&amp;FDR[[#Headers],[28]],FDR[28],"",0,1)</f>
        <v>1</v>
      </c>
      <c r="AO5" cm="1">
        <f t="array" ref="AO5">_xlfn.XLOOKUP(Matrix[[#This Row],[TEAM]]&amp;Matrix[[#Headers],[29]],FDR[FDR]&amp;FDR[[#Headers],[29]],FDR[29],"",0,1)</f>
        <v>3</v>
      </c>
      <c r="AP5" cm="1">
        <f t="array" ref="AP5">_xlfn.XLOOKUP(Matrix[[#This Row],[TEAM]]&amp;Matrix[[#Headers],[30]],FDR[FDR]&amp;FDR[[#Headers],[30]],FDR[30],"",0,1)</f>
        <v>4</v>
      </c>
      <c r="AQ5" cm="1">
        <f t="array" ref="AQ5">_xlfn.XLOOKUP(Matrix[[#This Row],[TEAM]]&amp;Matrix[[#Headers],[31]],FDR[FDR]&amp;FDR[[#Headers],[31]],FDR[31],"",0,1)</f>
        <v>1</v>
      </c>
      <c r="AR5" cm="1">
        <f t="array" ref="AR5">_xlfn.XLOOKUP(Matrix[[#This Row],[TEAM]]&amp;Matrix[[#Headers],[32]],FDR[FDR]&amp;FDR[[#Headers],[32]],FDR[32],"",0,1)</f>
        <v>3</v>
      </c>
      <c r="AS5" cm="1">
        <f t="array" ref="AS5">_xlfn.XLOOKUP(Matrix[[#This Row],[TEAM]]&amp;Matrix[[#Headers],[33]],FDR[FDR]&amp;FDR[[#Headers],[33]],FDR[33],"",0,1)</f>
        <v>1</v>
      </c>
      <c r="AT5" cm="1">
        <f t="array" ref="AT5">_xlfn.XLOOKUP(Matrix[[#This Row],[TEAM]]&amp;Matrix[[#Headers],[34]],FDR[FDR]&amp;FDR[[#Headers],[34]],FDR[34],"",0,1)</f>
        <v>3</v>
      </c>
      <c r="AU5" cm="1">
        <f t="array" ref="AU5">_xlfn.XLOOKUP(Matrix[[#This Row],[TEAM]]&amp;Matrix[[#Headers],[35]],FDR[FDR]&amp;FDR[[#Headers],[35]],FDR[35],"",0,1)</f>
        <v>3</v>
      </c>
      <c r="AV5" cm="1">
        <f t="array" ref="AV5">_xlfn.XLOOKUP(Matrix[[#This Row],[TEAM]]&amp;Matrix[[#Headers],[36]],FDR[FDR]&amp;FDR[[#Headers],[36]],FDR[36],"",0,1)</f>
        <v>1</v>
      </c>
      <c r="AW5" cm="1">
        <f t="array" ref="AW5">_xlfn.XLOOKUP(Matrix[[#This Row],[TEAM]]&amp;Matrix[[#Headers],[37]],FDR[FDR]&amp;FDR[[#Headers],[37]],FDR[37],"",0,1)</f>
        <v>3</v>
      </c>
      <c r="AX5" cm="1">
        <f t="array" ref="AX5">_xlfn.XLOOKUP(Matrix[[#This Row],[TEAM]]&amp;Matrix[[#Headers],[38]],FDR[FDR]&amp;FDR[[#Headers],[38]],FDR[38],"",0,1)</f>
        <v>4</v>
      </c>
    </row>
    <row r="6" spans="1:50" ht="22" thickTop="1" thickBot="1">
      <c r="A6" s="49" t="str">
        <f>INDEX!S$5</f>
        <v>FWD</v>
      </c>
      <c r="B6" s="70" t="s">
        <v>1277</v>
      </c>
      <c r="C6" s="40" t="s">
        <v>20</v>
      </c>
      <c r="D6" s="62">
        <v>0</v>
      </c>
      <c r="E6" s="60">
        <v>0.25900000000000001</v>
      </c>
      <c r="F6" s="61">
        <v>0</v>
      </c>
      <c r="G6" s="63">
        <v>9</v>
      </c>
      <c r="H6" s="261">
        <f>IF(ISBLANK(I6),0,1)</f>
        <v>0</v>
      </c>
      <c r="I6" s="57"/>
      <c r="J6" s="58"/>
      <c r="K6" s="64" t="s">
        <v>719</v>
      </c>
      <c r="L6" s="64" t="s">
        <v>720</v>
      </c>
      <c r="M6" cm="1">
        <f t="array" ref="M6">_xlfn.XLOOKUP(Matrix[[#This Row],[TEAM]]&amp;Matrix[[#Headers],[1]],FDR[FDR]&amp;FDR[[#Headers],[1]],FDR[1],"",0,1)</f>
        <v>3</v>
      </c>
      <c r="N6" cm="1">
        <f t="array" ref="N6">_xlfn.XLOOKUP(Matrix[[#This Row],[TEAM]]&amp;Matrix[[#Headers],[2]],FDR[FDR]&amp;FDR[[#Headers],[2]],FDR[2],"",0,1)</f>
        <v>1</v>
      </c>
      <c r="O6" cm="1">
        <f t="array" ref="O6">_xlfn.XLOOKUP(Matrix[[#This Row],[TEAM]]&amp;Matrix[[#Headers],[3]],FDR[FDR]&amp;FDR[[#Headers],[3]],FDR[3],"",0,1)</f>
        <v>4</v>
      </c>
      <c r="P6" cm="1">
        <f t="array" ref="P6">_xlfn.XLOOKUP(Matrix[[#This Row],[TEAM]]&amp;Matrix[[#Headers],[4]],FDR[FDR]&amp;FDR[[#Headers],[4]],FDR[4],"",0,1)</f>
        <v>1</v>
      </c>
      <c r="Q6" cm="1">
        <f t="array" ref="Q6">_xlfn.XLOOKUP(Matrix[[#This Row],[TEAM]]&amp;Matrix[[#Headers],[5]],FDR[FDR]&amp;FDR[[#Headers],[5]],FDR[5],"",0,1)</f>
        <v>3</v>
      </c>
      <c r="R6" cm="1">
        <f t="array" ref="R6">_xlfn.XLOOKUP(Matrix[[#This Row],[TEAM]]&amp;Matrix[[#Headers],[6]],FDR[FDR]&amp;FDR[[#Headers],[6]],FDR[6],"",0,1)</f>
        <v>3</v>
      </c>
      <c r="S6" cm="1">
        <f t="array" ref="S6">_xlfn.XLOOKUP(Matrix[[#This Row],[TEAM]]&amp;Matrix[[#Headers],[7]],FDR[FDR]&amp;FDR[[#Headers],[7]],FDR[7],"",0,1)</f>
        <v>1</v>
      </c>
      <c r="T6" cm="1">
        <f t="array" ref="T6">_xlfn.XLOOKUP(Matrix[[#This Row],[TEAM]]&amp;Matrix[[#Headers],[8]],FDR[FDR]&amp;FDR[[#Headers],[8]],FDR[8],"",0,1)</f>
        <v>2</v>
      </c>
      <c r="U6" cm="1">
        <f t="array" ref="U6">_xlfn.XLOOKUP(Matrix[[#This Row],[TEAM]]&amp;Matrix[[#Headers],[9]],FDR[FDR]&amp;FDR[[#Headers],[9]],FDR[9],"",0,1)</f>
        <v>1</v>
      </c>
      <c r="V6" cm="1">
        <f t="array" ref="V6">_xlfn.XLOOKUP(Matrix[[#This Row],[TEAM]]&amp;Matrix[[#Headers],[10]],FDR[FDR]&amp;FDR[[#Headers],[10]],FDR[10],"",0,1)</f>
        <v>1</v>
      </c>
      <c r="W6" cm="1">
        <f t="array" ref="W6">_xlfn.XLOOKUP(Matrix[[#This Row],[TEAM]]&amp;Matrix[[#Headers],[11]],FDR[FDR]&amp;FDR[[#Headers],[11]],FDR[11],"",0,1)</f>
        <v>1</v>
      </c>
      <c r="X6" cm="1">
        <f t="array" ref="X6">_xlfn.XLOOKUP(Matrix[[#This Row],[TEAM]]&amp;Matrix[[#Headers],[12]],FDR[FDR]&amp;FDR[[#Headers],[12]],FDR[12],"",0,1)</f>
        <v>2</v>
      </c>
      <c r="Y6" cm="1">
        <f t="array" ref="Y6">_xlfn.XLOOKUP(Matrix[[#This Row],[TEAM]]&amp;Matrix[[#Headers],[13]],FDR[FDR]&amp;FDR[[#Headers],[13]],FDR[13],"",0,1)</f>
        <v>3</v>
      </c>
      <c r="Z6" cm="1">
        <f t="array" ref="Z6">_xlfn.XLOOKUP(Matrix[[#This Row],[TEAM]]&amp;Matrix[[#Headers],[14]],FDR[FDR]&amp;FDR[[#Headers],[14]],FDR[14],"",0,1)</f>
        <v>1</v>
      </c>
      <c r="AA6" cm="1">
        <f t="array" ref="AA6">_xlfn.XLOOKUP(Matrix[[#This Row],[TEAM]]&amp;Matrix[[#Headers],[15]],FDR[FDR]&amp;FDR[[#Headers],[15]],FDR[15],"",0,1)</f>
        <v>3</v>
      </c>
      <c r="AB6" cm="1">
        <f t="array" ref="AB6">_xlfn.XLOOKUP(Matrix[[#This Row],[TEAM]]&amp;Matrix[[#Headers],[16]],FDR[FDR]&amp;FDR[[#Headers],[16]],FDR[16],"",0,1)</f>
        <v>1</v>
      </c>
      <c r="AC6" cm="1">
        <f t="array" ref="AC6">_xlfn.XLOOKUP(Matrix[[#This Row],[TEAM]]&amp;Matrix[[#Headers],[17]],FDR[FDR]&amp;FDR[[#Headers],[17]],FDR[17],"",0,1)</f>
        <v>2</v>
      </c>
      <c r="AD6" cm="1">
        <f t="array" ref="AD6">_xlfn.XLOOKUP(Matrix[[#This Row],[TEAM]]&amp;Matrix[[#Headers],[18]],FDR[FDR]&amp;FDR[[#Headers],[18]],FDR[18],"",0,1)</f>
        <v>1</v>
      </c>
      <c r="AE6" cm="1">
        <f t="array" ref="AE6">_xlfn.XLOOKUP(Matrix[[#This Row],[TEAM]]&amp;Matrix[[#Headers],[19]],FDR[FDR]&amp;FDR[[#Headers],[19]],FDR[19],"",0,1)</f>
        <v>2</v>
      </c>
      <c r="AF6" cm="1">
        <f t="array" ref="AF6">_xlfn.XLOOKUP(Matrix[[#This Row],[TEAM]]&amp;Matrix[[#Headers],[20]],FDR[FDR]&amp;FDR[[#Headers],[20]],FDR[20],"",0,1)</f>
        <v>2</v>
      </c>
      <c r="AG6" cm="1">
        <f t="array" ref="AG6">_xlfn.XLOOKUP(Matrix[[#This Row],[TEAM]]&amp;Matrix[[#Headers],[21]],FDR[FDR]&amp;FDR[[#Headers],[21]],FDR[21],"",0,1)</f>
        <v>3</v>
      </c>
      <c r="AH6" cm="1">
        <f t="array" ref="AH6">_xlfn.XLOOKUP(Matrix[[#This Row],[TEAM]]&amp;Matrix[[#Headers],[22]],FDR[FDR]&amp;FDR[[#Headers],[22]],FDR[22],"",0,1)</f>
        <v>2</v>
      </c>
      <c r="AI6" cm="1">
        <f t="array" ref="AI6">_xlfn.XLOOKUP(Matrix[[#This Row],[TEAM]]&amp;Matrix[[#Headers],[23]],FDR[FDR]&amp;FDR[[#Headers],[23]],FDR[23],"",0,1)</f>
        <v>2</v>
      </c>
      <c r="AJ6" cm="1">
        <f t="array" ref="AJ6">_xlfn.XLOOKUP(Matrix[[#This Row],[TEAM]]&amp;Matrix[[#Headers],[24]],FDR[FDR]&amp;FDR[[#Headers],[24]],FDR[24],"",0,1)</f>
        <v>1</v>
      </c>
      <c r="AK6" cm="1">
        <f t="array" ref="AK6">_xlfn.XLOOKUP(Matrix[[#This Row],[TEAM]]&amp;Matrix[[#Headers],[25]],FDR[FDR]&amp;FDR[[#Headers],[25]],FDR[25],"",0,1)</f>
        <v>1</v>
      </c>
      <c r="AL6" cm="1">
        <f t="array" ref="AL6">_xlfn.XLOOKUP(Matrix[[#This Row],[TEAM]]&amp;Matrix[[#Headers],[26]],FDR[FDR]&amp;FDR[[#Headers],[26]],FDR[26],"",0,1)</f>
        <v>2</v>
      </c>
      <c r="AM6" cm="1">
        <f t="array" ref="AM6">_xlfn.XLOOKUP(Matrix[[#This Row],[TEAM]]&amp;Matrix[[#Headers],[27]],FDR[FDR]&amp;FDR[[#Headers],[27]],FDR[27],"",0,1)</f>
        <v>3</v>
      </c>
      <c r="AN6" cm="1">
        <f t="array" ref="AN6">_xlfn.XLOOKUP(Matrix[[#This Row],[TEAM]]&amp;Matrix[[#Headers],[28]],FDR[FDR]&amp;FDR[[#Headers],[28]],FDR[28],"",0,1)</f>
        <v>2</v>
      </c>
      <c r="AO6" cm="1">
        <f t="array" ref="AO6">_xlfn.XLOOKUP(Matrix[[#This Row],[TEAM]]&amp;Matrix[[#Headers],[29]],FDR[FDR]&amp;FDR[[#Headers],[29]],FDR[29],"",0,1)</f>
        <v>2</v>
      </c>
      <c r="AP6" cm="1">
        <f t="array" ref="AP6">_xlfn.XLOOKUP(Matrix[[#This Row],[TEAM]]&amp;Matrix[[#Headers],[30]],FDR[FDR]&amp;FDR[[#Headers],[30]],FDR[30],"",0,1)</f>
        <v>1</v>
      </c>
      <c r="AQ6" cm="1">
        <f t="array" ref="AQ6">_xlfn.XLOOKUP(Matrix[[#This Row],[TEAM]]&amp;Matrix[[#Headers],[31]],FDR[FDR]&amp;FDR[[#Headers],[31]],FDR[31],"",0,1)</f>
        <v>1</v>
      </c>
      <c r="AR6" cm="1">
        <f t="array" ref="AR6">_xlfn.XLOOKUP(Matrix[[#This Row],[TEAM]]&amp;Matrix[[#Headers],[32]],FDR[FDR]&amp;FDR[[#Headers],[32]],FDR[32],"",0,1)</f>
        <v>1</v>
      </c>
      <c r="AS6" cm="1">
        <f t="array" ref="AS6">_xlfn.XLOOKUP(Matrix[[#This Row],[TEAM]]&amp;Matrix[[#Headers],[33]],FDR[FDR]&amp;FDR[[#Headers],[33]],FDR[33],"",0,1)</f>
        <v>3</v>
      </c>
      <c r="AT6" cm="1">
        <f t="array" ref="AT6">_xlfn.XLOOKUP(Matrix[[#This Row],[TEAM]]&amp;Matrix[[#Headers],[34]],FDR[FDR]&amp;FDR[[#Headers],[34]],FDR[34],"",0,1)</f>
        <v>2</v>
      </c>
      <c r="AU6" cm="1">
        <f t="array" ref="AU6">_xlfn.XLOOKUP(Matrix[[#This Row],[TEAM]]&amp;Matrix[[#Headers],[35]],FDR[FDR]&amp;FDR[[#Headers],[35]],FDR[35],"",0,1)</f>
        <v>1</v>
      </c>
      <c r="AV6" cm="1">
        <f t="array" ref="AV6">_xlfn.XLOOKUP(Matrix[[#This Row],[TEAM]]&amp;Matrix[[#Headers],[36]],FDR[FDR]&amp;FDR[[#Headers],[36]],FDR[36],"",0,1)</f>
        <v>2</v>
      </c>
      <c r="AW6" cm="1">
        <f t="array" ref="AW6">_xlfn.XLOOKUP(Matrix[[#This Row],[TEAM]]&amp;Matrix[[#Headers],[37]],FDR[FDR]&amp;FDR[[#Headers],[37]],FDR[37],"",0,1)</f>
        <v>1</v>
      </c>
      <c r="AX6" cm="1">
        <f t="array" ref="AX6">_xlfn.XLOOKUP(Matrix[[#This Row],[TEAM]]&amp;Matrix[[#Headers],[38]],FDR[FDR]&amp;FDR[[#Headers],[38]],FDR[38],"",0,1)</f>
        <v>2</v>
      </c>
    </row>
    <row r="7" spans="1:50" ht="22" thickTop="1" thickBot="1">
      <c r="A7" s="49" t="str">
        <f>INDEX!S$5</f>
        <v>FWD</v>
      </c>
      <c r="B7" s="70" t="s">
        <v>1282</v>
      </c>
      <c r="C7" s="40" t="s">
        <v>17</v>
      </c>
      <c r="D7" s="62">
        <v>0</v>
      </c>
      <c r="E7" s="60">
        <v>0.115</v>
      </c>
      <c r="F7" s="61">
        <v>0</v>
      </c>
      <c r="G7" s="63">
        <v>8.6</v>
      </c>
      <c r="H7" s="261">
        <f>IF(ISBLANK(I7),0,1)</f>
        <v>0</v>
      </c>
      <c r="I7" s="57"/>
      <c r="J7" s="58"/>
      <c r="K7" s="64" t="s">
        <v>445</v>
      </c>
      <c r="L7" s="64" t="s">
        <v>663</v>
      </c>
      <c r="M7" cm="1">
        <f t="array" ref="M7">_xlfn.XLOOKUP(Matrix[[#This Row],[TEAM]]&amp;Matrix[[#Headers],[1]],FDR[FDR]&amp;FDR[[#Headers],[1]],FDR[1],"",0,1)</f>
        <v>1</v>
      </c>
      <c r="N7" cm="1">
        <f t="array" ref="N7">_xlfn.XLOOKUP(Matrix[[#This Row],[TEAM]]&amp;Matrix[[#Headers],[2]],FDR[FDR]&amp;FDR[[#Headers],[2]],FDR[2],"",0,1)</f>
        <v>3</v>
      </c>
      <c r="O7" cm="1">
        <f t="array" ref="O7">_xlfn.XLOOKUP(Matrix[[#This Row],[TEAM]]&amp;Matrix[[#Headers],[3]],FDR[FDR]&amp;FDR[[#Headers],[3]],FDR[3],"",0,1)</f>
        <v>3</v>
      </c>
      <c r="P7" cm="1">
        <f t="array" ref="P7">_xlfn.XLOOKUP(Matrix[[#This Row],[TEAM]]&amp;Matrix[[#Headers],[4]],FDR[FDR]&amp;FDR[[#Headers],[4]],FDR[4],"",0,1)</f>
        <v>1</v>
      </c>
      <c r="Q7" cm="1">
        <f t="array" ref="Q7">_xlfn.XLOOKUP(Matrix[[#This Row],[TEAM]]&amp;Matrix[[#Headers],[5]],FDR[FDR]&amp;FDR[[#Headers],[5]],FDR[5],"",0,1)</f>
        <v>1</v>
      </c>
      <c r="R7" cm="1">
        <f t="array" ref="R7">_xlfn.XLOOKUP(Matrix[[#This Row],[TEAM]]&amp;Matrix[[#Headers],[6]],FDR[FDR]&amp;FDR[[#Headers],[6]],FDR[6],"",0,1)</f>
        <v>2</v>
      </c>
      <c r="S7" cm="1">
        <f t="array" ref="S7">_xlfn.XLOOKUP(Matrix[[#This Row],[TEAM]]&amp;Matrix[[#Headers],[7]],FDR[FDR]&amp;FDR[[#Headers],[7]],FDR[7],"",0,1)</f>
        <v>3</v>
      </c>
      <c r="T7" cm="1">
        <f t="array" ref="T7">_xlfn.XLOOKUP(Matrix[[#This Row],[TEAM]]&amp;Matrix[[#Headers],[8]],FDR[FDR]&amp;FDR[[#Headers],[8]],FDR[8],"",0,1)</f>
        <v>2</v>
      </c>
      <c r="U7" cm="1">
        <f t="array" ref="U7">_xlfn.XLOOKUP(Matrix[[#This Row],[TEAM]]&amp;Matrix[[#Headers],[9]],FDR[FDR]&amp;FDR[[#Headers],[9]],FDR[9],"",0,1)</f>
        <v>2</v>
      </c>
      <c r="V7" cm="1">
        <f t="array" ref="V7">_xlfn.XLOOKUP(Matrix[[#This Row],[TEAM]]&amp;Matrix[[#Headers],[10]],FDR[FDR]&amp;FDR[[#Headers],[10]],FDR[10],"",0,1)</f>
        <v>2</v>
      </c>
      <c r="W7" cm="1">
        <f t="array" ref="W7">_xlfn.XLOOKUP(Matrix[[#This Row],[TEAM]]&amp;Matrix[[#Headers],[11]],FDR[FDR]&amp;FDR[[#Headers],[11]],FDR[11],"",0,1)</f>
        <v>3</v>
      </c>
      <c r="X7" cm="1">
        <f t="array" ref="X7">_xlfn.XLOOKUP(Matrix[[#This Row],[TEAM]]&amp;Matrix[[#Headers],[12]],FDR[FDR]&amp;FDR[[#Headers],[12]],FDR[12],"",0,1)</f>
        <v>1</v>
      </c>
      <c r="Y7" cm="1">
        <f t="array" ref="Y7">_xlfn.XLOOKUP(Matrix[[#This Row],[TEAM]]&amp;Matrix[[#Headers],[13]],FDR[FDR]&amp;FDR[[#Headers],[13]],FDR[13],"",0,1)</f>
        <v>2</v>
      </c>
      <c r="Z7" cm="1">
        <f t="array" ref="Z7">_xlfn.XLOOKUP(Matrix[[#This Row],[TEAM]]&amp;Matrix[[#Headers],[14]],FDR[FDR]&amp;FDR[[#Headers],[14]],FDR[14],"",0,1)</f>
        <v>1</v>
      </c>
      <c r="AA7" cm="1">
        <f t="array" ref="AA7">_xlfn.XLOOKUP(Matrix[[#This Row],[TEAM]]&amp;Matrix[[#Headers],[15]],FDR[FDR]&amp;FDR[[#Headers],[15]],FDR[15],"",0,1)</f>
        <v>1</v>
      </c>
      <c r="AB7" cm="1">
        <f t="array" ref="AB7">_xlfn.XLOOKUP(Matrix[[#This Row],[TEAM]]&amp;Matrix[[#Headers],[16]],FDR[FDR]&amp;FDR[[#Headers],[16]],FDR[16],"",0,1)</f>
        <v>1</v>
      </c>
      <c r="AC7" cm="1">
        <f t="array" ref="AC7">_xlfn.XLOOKUP(Matrix[[#This Row],[TEAM]]&amp;Matrix[[#Headers],[17]],FDR[FDR]&amp;FDR[[#Headers],[17]],FDR[17],"",0,1)</f>
        <v>3</v>
      </c>
      <c r="AD7" cm="1">
        <f t="array" ref="AD7">_xlfn.XLOOKUP(Matrix[[#This Row],[TEAM]]&amp;Matrix[[#Headers],[18]],FDR[FDR]&amp;FDR[[#Headers],[18]],FDR[18],"",0,1)</f>
        <v>1</v>
      </c>
      <c r="AE7" cm="1">
        <f t="array" ref="AE7">_xlfn.XLOOKUP(Matrix[[#This Row],[TEAM]]&amp;Matrix[[#Headers],[19]],FDR[FDR]&amp;FDR[[#Headers],[19]],FDR[19],"",0,1)</f>
        <v>1</v>
      </c>
      <c r="AF7" cm="1">
        <f t="array" ref="AF7">_xlfn.XLOOKUP(Matrix[[#This Row],[TEAM]]&amp;Matrix[[#Headers],[20]],FDR[FDR]&amp;FDR[[#Headers],[20]],FDR[20],"",0,1)</f>
        <v>2</v>
      </c>
      <c r="AG7" cm="1">
        <f t="array" ref="AG7">_xlfn.XLOOKUP(Matrix[[#This Row],[TEAM]]&amp;Matrix[[#Headers],[21]],FDR[FDR]&amp;FDR[[#Headers],[21]],FDR[21],"",0,1)</f>
        <v>3</v>
      </c>
      <c r="AH7" cm="1">
        <f t="array" ref="AH7">_xlfn.XLOOKUP(Matrix[[#This Row],[TEAM]]&amp;Matrix[[#Headers],[22]],FDR[FDR]&amp;FDR[[#Headers],[22]],FDR[22],"",0,1)</f>
        <v>1</v>
      </c>
      <c r="AI7" cm="1">
        <f t="array" ref="AI7">_xlfn.XLOOKUP(Matrix[[#This Row],[TEAM]]&amp;Matrix[[#Headers],[23]],FDR[FDR]&amp;FDR[[#Headers],[23]],FDR[23],"",0,1)</f>
        <v>2</v>
      </c>
      <c r="AJ7" cm="1">
        <f t="array" ref="AJ7">_xlfn.XLOOKUP(Matrix[[#This Row],[TEAM]]&amp;Matrix[[#Headers],[24]],FDR[FDR]&amp;FDR[[#Headers],[24]],FDR[24],"",0,1)</f>
        <v>2</v>
      </c>
      <c r="AK7" cm="1">
        <f t="array" ref="AK7">_xlfn.XLOOKUP(Matrix[[#This Row],[TEAM]]&amp;Matrix[[#Headers],[25]],FDR[FDR]&amp;FDR[[#Headers],[25]],FDR[25],"",0,1)</f>
        <v>3</v>
      </c>
      <c r="AL7" cm="1">
        <f t="array" ref="AL7">_xlfn.XLOOKUP(Matrix[[#This Row],[TEAM]]&amp;Matrix[[#Headers],[26]],FDR[FDR]&amp;FDR[[#Headers],[26]],FDR[26],"",0,1)</f>
        <v>1</v>
      </c>
      <c r="AM7" cm="1">
        <f t="array" ref="AM7">_xlfn.XLOOKUP(Matrix[[#This Row],[TEAM]]&amp;Matrix[[#Headers],[27]],FDR[FDR]&amp;FDR[[#Headers],[27]],FDR[27],"",0,1)</f>
        <v>2</v>
      </c>
      <c r="AN7" cm="1">
        <f t="array" ref="AN7">_xlfn.XLOOKUP(Matrix[[#This Row],[TEAM]]&amp;Matrix[[#Headers],[28]],FDR[FDR]&amp;FDR[[#Headers],[28]],FDR[28],"",0,1)</f>
        <v>1</v>
      </c>
      <c r="AO7" cm="1">
        <f t="array" ref="AO7">_xlfn.XLOOKUP(Matrix[[#This Row],[TEAM]]&amp;Matrix[[#Headers],[29]],FDR[FDR]&amp;FDR[[#Headers],[29]],FDR[29],"",0,1)</f>
        <v>1</v>
      </c>
      <c r="AP7" cm="1">
        <f t="array" ref="AP7">_xlfn.XLOOKUP(Matrix[[#This Row],[TEAM]]&amp;Matrix[[#Headers],[30]],FDR[FDR]&amp;FDR[[#Headers],[30]],FDR[30],"",0,1)</f>
        <v>2</v>
      </c>
      <c r="AQ7" cm="1">
        <f t="array" ref="AQ7">_xlfn.XLOOKUP(Matrix[[#This Row],[TEAM]]&amp;Matrix[[#Headers],[31]],FDR[FDR]&amp;FDR[[#Headers],[31]],FDR[31],"",0,1)</f>
        <v>2</v>
      </c>
      <c r="AR7" cm="1">
        <f t="array" ref="AR7">_xlfn.XLOOKUP(Matrix[[#This Row],[TEAM]]&amp;Matrix[[#Headers],[32]],FDR[FDR]&amp;FDR[[#Headers],[32]],FDR[32],"",0,1)</f>
        <v>1</v>
      </c>
      <c r="AS7" cm="1">
        <f t="array" ref="AS7">_xlfn.XLOOKUP(Matrix[[#This Row],[TEAM]]&amp;Matrix[[#Headers],[33]],FDR[FDR]&amp;FDR[[#Headers],[33]],FDR[33],"",0,1)</f>
        <v>2</v>
      </c>
      <c r="AT7" cm="1">
        <f t="array" ref="AT7">_xlfn.XLOOKUP(Matrix[[#This Row],[TEAM]]&amp;Matrix[[#Headers],[34]],FDR[FDR]&amp;FDR[[#Headers],[34]],FDR[34],"",0,1)</f>
        <v>1</v>
      </c>
      <c r="AU7" cm="1">
        <f t="array" ref="AU7">_xlfn.XLOOKUP(Matrix[[#This Row],[TEAM]]&amp;Matrix[[#Headers],[35]],FDR[FDR]&amp;FDR[[#Headers],[35]],FDR[35],"",0,1)</f>
        <v>3</v>
      </c>
      <c r="AV7" cm="1">
        <f t="array" ref="AV7">_xlfn.XLOOKUP(Matrix[[#This Row],[TEAM]]&amp;Matrix[[#Headers],[36]],FDR[FDR]&amp;FDR[[#Headers],[36]],FDR[36],"",0,1)</f>
        <v>2</v>
      </c>
      <c r="AW7" cm="1">
        <f t="array" ref="AW7">_xlfn.XLOOKUP(Matrix[[#This Row],[TEAM]]&amp;Matrix[[#Headers],[37]],FDR[FDR]&amp;FDR[[#Headers],[37]],FDR[37],"",0,1)</f>
        <v>3</v>
      </c>
      <c r="AX7" cm="1">
        <f t="array" ref="AX7">_xlfn.XLOOKUP(Matrix[[#This Row],[TEAM]]&amp;Matrix[[#Headers],[38]],FDR[FDR]&amp;FDR[[#Headers],[38]],FDR[38],"",0,1)</f>
        <v>1</v>
      </c>
    </row>
    <row r="8" spans="1:50" ht="22" thickTop="1" thickBot="1">
      <c r="A8" s="50" t="str">
        <f>INDEX!S$4</f>
        <v>MID</v>
      </c>
      <c r="B8" s="70" t="s">
        <v>1280</v>
      </c>
      <c r="C8" s="40" t="s">
        <v>17</v>
      </c>
      <c r="D8" s="62">
        <v>0</v>
      </c>
      <c r="E8" s="60">
        <v>0.34399999999999997</v>
      </c>
      <c r="F8" s="61">
        <v>0</v>
      </c>
      <c r="G8" s="63">
        <v>8.5</v>
      </c>
      <c r="H8" s="261">
        <f>IF(ISBLANK(I8),0,1)</f>
        <v>0</v>
      </c>
      <c r="I8" s="57"/>
      <c r="J8" s="58"/>
      <c r="K8" s="59" t="s">
        <v>661</v>
      </c>
      <c r="L8" s="59" t="s">
        <v>662</v>
      </c>
      <c r="M8" cm="1">
        <f t="array" ref="M8">_xlfn.XLOOKUP(Matrix[[#This Row],[TEAM]]&amp;Matrix[[#Headers],[1]],FDR[FDR]&amp;FDR[[#Headers],[1]],FDR[1],"",0,1)</f>
        <v>1</v>
      </c>
      <c r="N8" cm="1">
        <f t="array" ref="N8">_xlfn.XLOOKUP(Matrix[[#This Row],[TEAM]]&amp;Matrix[[#Headers],[2]],FDR[FDR]&amp;FDR[[#Headers],[2]],FDR[2],"",0,1)</f>
        <v>3</v>
      </c>
      <c r="O8" cm="1">
        <f t="array" ref="O8">_xlfn.XLOOKUP(Matrix[[#This Row],[TEAM]]&amp;Matrix[[#Headers],[3]],FDR[FDR]&amp;FDR[[#Headers],[3]],FDR[3],"",0,1)</f>
        <v>3</v>
      </c>
      <c r="P8" cm="1">
        <f t="array" ref="P8">_xlfn.XLOOKUP(Matrix[[#This Row],[TEAM]]&amp;Matrix[[#Headers],[4]],FDR[FDR]&amp;FDR[[#Headers],[4]],FDR[4],"",0,1)</f>
        <v>1</v>
      </c>
      <c r="Q8" cm="1">
        <f t="array" ref="Q8">_xlfn.XLOOKUP(Matrix[[#This Row],[TEAM]]&amp;Matrix[[#Headers],[5]],FDR[FDR]&amp;FDR[[#Headers],[5]],FDR[5],"",0,1)</f>
        <v>1</v>
      </c>
      <c r="R8" cm="1">
        <f t="array" ref="R8">_xlfn.XLOOKUP(Matrix[[#This Row],[TEAM]]&amp;Matrix[[#Headers],[6]],FDR[FDR]&amp;FDR[[#Headers],[6]],FDR[6],"",0,1)</f>
        <v>2</v>
      </c>
      <c r="S8" cm="1">
        <f t="array" ref="S8">_xlfn.XLOOKUP(Matrix[[#This Row],[TEAM]]&amp;Matrix[[#Headers],[7]],FDR[FDR]&amp;FDR[[#Headers],[7]],FDR[7],"",0,1)</f>
        <v>3</v>
      </c>
      <c r="T8" cm="1">
        <f t="array" ref="T8">_xlfn.XLOOKUP(Matrix[[#This Row],[TEAM]]&amp;Matrix[[#Headers],[8]],FDR[FDR]&amp;FDR[[#Headers],[8]],FDR[8],"",0,1)</f>
        <v>2</v>
      </c>
      <c r="U8" cm="1">
        <f t="array" ref="U8">_xlfn.XLOOKUP(Matrix[[#This Row],[TEAM]]&amp;Matrix[[#Headers],[9]],FDR[FDR]&amp;FDR[[#Headers],[9]],FDR[9],"",0,1)</f>
        <v>2</v>
      </c>
      <c r="V8" cm="1">
        <f t="array" ref="V8">_xlfn.XLOOKUP(Matrix[[#This Row],[TEAM]]&amp;Matrix[[#Headers],[10]],FDR[FDR]&amp;FDR[[#Headers],[10]],FDR[10],"",0,1)</f>
        <v>2</v>
      </c>
      <c r="W8" cm="1">
        <f t="array" ref="W8">_xlfn.XLOOKUP(Matrix[[#This Row],[TEAM]]&amp;Matrix[[#Headers],[11]],FDR[FDR]&amp;FDR[[#Headers],[11]],FDR[11],"",0,1)</f>
        <v>3</v>
      </c>
      <c r="X8" cm="1">
        <f t="array" ref="X8">_xlfn.XLOOKUP(Matrix[[#This Row],[TEAM]]&amp;Matrix[[#Headers],[12]],FDR[FDR]&amp;FDR[[#Headers],[12]],FDR[12],"",0,1)</f>
        <v>1</v>
      </c>
      <c r="Y8" cm="1">
        <f t="array" ref="Y8">_xlfn.XLOOKUP(Matrix[[#This Row],[TEAM]]&amp;Matrix[[#Headers],[13]],FDR[FDR]&amp;FDR[[#Headers],[13]],FDR[13],"",0,1)</f>
        <v>2</v>
      </c>
      <c r="Z8" cm="1">
        <f t="array" ref="Z8">_xlfn.XLOOKUP(Matrix[[#This Row],[TEAM]]&amp;Matrix[[#Headers],[14]],FDR[FDR]&amp;FDR[[#Headers],[14]],FDR[14],"",0,1)</f>
        <v>1</v>
      </c>
      <c r="AA8" cm="1">
        <f t="array" ref="AA8">_xlfn.XLOOKUP(Matrix[[#This Row],[TEAM]]&amp;Matrix[[#Headers],[15]],FDR[FDR]&amp;FDR[[#Headers],[15]],FDR[15],"",0,1)</f>
        <v>1</v>
      </c>
      <c r="AB8" cm="1">
        <f t="array" ref="AB8">_xlfn.XLOOKUP(Matrix[[#This Row],[TEAM]]&amp;Matrix[[#Headers],[16]],FDR[FDR]&amp;FDR[[#Headers],[16]],FDR[16],"",0,1)</f>
        <v>1</v>
      </c>
      <c r="AC8" cm="1">
        <f t="array" ref="AC8">_xlfn.XLOOKUP(Matrix[[#This Row],[TEAM]]&amp;Matrix[[#Headers],[17]],FDR[FDR]&amp;FDR[[#Headers],[17]],FDR[17],"",0,1)</f>
        <v>3</v>
      </c>
      <c r="AD8" cm="1">
        <f t="array" ref="AD8">_xlfn.XLOOKUP(Matrix[[#This Row],[TEAM]]&amp;Matrix[[#Headers],[18]],FDR[FDR]&amp;FDR[[#Headers],[18]],FDR[18],"",0,1)</f>
        <v>1</v>
      </c>
      <c r="AE8" cm="1">
        <f t="array" ref="AE8">_xlfn.XLOOKUP(Matrix[[#This Row],[TEAM]]&amp;Matrix[[#Headers],[19]],FDR[FDR]&amp;FDR[[#Headers],[19]],FDR[19],"",0,1)</f>
        <v>1</v>
      </c>
      <c r="AF8" cm="1">
        <f t="array" ref="AF8">_xlfn.XLOOKUP(Matrix[[#This Row],[TEAM]]&amp;Matrix[[#Headers],[20]],FDR[FDR]&amp;FDR[[#Headers],[20]],FDR[20],"",0,1)</f>
        <v>2</v>
      </c>
      <c r="AG8" cm="1">
        <f t="array" ref="AG8">_xlfn.XLOOKUP(Matrix[[#This Row],[TEAM]]&amp;Matrix[[#Headers],[21]],FDR[FDR]&amp;FDR[[#Headers],[21]],FDR[21],"",0,1)</f>
        <v>3</v>
      </c>
      <c r="AH8" cm="1">
        <f t="array" ref="AH8">_xlfn.XLOOKUP(Matrix[[#This Row],[TEAM]]&amp;Matrix[[#Headers],[22]],FDR[FDR]&amp;FDR[[#Headers],[22]],FDR[22],"",0,1)</f>
        <v>1</v>
      </c>
      <c r="AI8" cm="1">
        <f t="array" ref="AI8">_xlfn.XLOOKUP(Matrix[[#This Row],[TEAM]]&amp;Matrix[[#Headers],[23]],FDR[FDR]&amp;FDR[[#Headers],[23]],FDR[23],"",0,1)</f>
        <v>2</v>
      </c>
      <c r="AJ8" cm="1">
        <f t="array" ref="AJ8">_xlfn.XLOOKUP(Matrix[[#This Row],[TEAM]]&amp;Matrix[[#Headers],[24]],FDR[FDR]&amp;FDR[[#Headers],[24]],FDR[24],"",0,1)</f>
        <v>2</v>
      </c>
      <c r="AK8" cm="1">
        <f t="array" ref="AK8">_xlfn.XLOOKUP(Matrix[[#This Row],[TEAM]]&amp;Matrix[[#Headers],[25]],FDR[FDR]&amp;FDR[[#Headers],[25]],FDR[25],"",0,1)</f>
        <v>3</v>
      </c>
      <c r="AL8" cm="1">
        <f t="array" ref="AL8">_xlfn.XLOOKUP(Matrix[[#This Row],[TEAM]]&amp;Matrix[[#Headers],[26]],FDR[FDR]&amp;FDR[[#Headers],[26]],FDR[26],"",0,1)</f>
        <v>1</v>
      </c>
      <c r="AM8" cm="1">
        <f t="array" ref="AM8">_xlfn.XLOOKUP(Matrix[[#This Row],[TEAM]]&amp;Matrix[[#Headers],[27]],FDR[FDR]&amp;FDR[[#Headers],[27]],FDR[27],"",0,1)</f>
        <v>2</v>
      </c>
      <c r="AN8" cm="1">
        <f t="array" ref="AN8">_xlfn.XLOOKUP(Matrix[[#This Row],[TEAM]]&amp;Matrix[[#Headers],[28]],FDR[FDR]&amp;FDR[[#Headers],[28]],FDR[28],"",0,1)</f>
        <v>1</v>
      </c>
      <c r="AO8" cm="1">
        <f t="array" ref="AO8">_xlfn.XLOOKUP(Matrix[[#This Row],[TEAM]]&amp;Matrix[[#Headers],[29]],FDR[FDR]&amp;FDR[[#Headers],[29]],FDR[29],"",0,1)</f>
        <v>1</v>
      </c>
      <c r="AP8" cm="1">
        <f t="array" ref="AP8">_xlfn.XLOOKUP(Matrix[[#This Row],[TEAM]]&amp;Matrix[[#Headers],[30]],FDR[FDR]&amp;FDR[[#Headers],[30]],FDR[30],"",0,1)</f>
        <v>2</v>
      </c>
      <c r="AQ8" cm="1">
        <f t="array" ref="AQ8">_xlfn.XLOOKUP(Matrix[[#This Row],[TEAM]]&amp;Matrix[[#Headers],[31]],FDR[FDR]&amp;FDR[[#Headers],[31]],FDR[31],"",0,1)</f>
        <v>2</v>
      </c>
      <c r="AR8" cm="1">
        <f t="array" ref="AR8">_xlfn.XLOOKUP(Matrix[[#This Row],[TEAM]]&amp;Matrix[[#Headers],[32]],FDR[FDR]&amp;FDR[[#Headers],[32]],FDR[32],"",0,1)</f>
        <v>1</v>
      </c>
      <c r="AS8" cm="1">
        <f t="array" ref="AS8">_xlfn.XLOOKUP(Matrix[[#This Row],[TEAM]]&amp;Matrix[[#Headers],[33]],FDR[FDR]&amp;FDR[[#Headers],[33]],FDR[33],"",0,1)</f>
        <v>2</v>
      </c>
      <c r="AT8" cm="1">
        <f t="array" ref="AT8">_xlfn.XLOOKUP(Matrix[[#This Row],[TEAM]]&amp;Matrix[[#Headers],[34]],FDR[FDR]&amp;FDR[[#Headers],[34]],FDR[34],"",0,1)</f>
        <v>1</v>
      </c>
      <c r="AU8" cm="1">
        <f t="array" ref="AU8">_xlfn.XLOOKUP(Matrix[[#This Row],[TEAM]]&amp;Matrix[[#Headers],[35]],FDR[FDR]&amp;FDR[[#Headers],[35]],FDR[35],"",0,1)</f>
        <v>3</v>
      </c>
      <c r="AV8" cm="1">
        <f t="array" ref="AV8">_xlfn.XLOOKUP(Matrix[[#This Row],[TEAM]]&amp;Matrix[[#Headers],[36]],FDR[FDR]&amp;FDR[[#Headers],[36]],FDR[36],"",0,1)</f>
        <v>2</v>
      </c>
      <c r="AW8" cm="1">
        <f t="array" ref="AW8">_xlfn.XLOOKUP(Matrix[[#This Row],[TEAM]]&amp;Matrix[[#Headers],[37]],FDR[FDR]&amp;FDR[[#Headers],[37]],FDR[37],"",0,1)</f>
        <v>3</v>
      </c>
      <c r="AX8" cm="1">
        <f t="array" ref="AX8">_xlfn.XLOOKUP(Matrix[[#This Row],[TEAM]]&amp;Matrix[[#Headers],[38]],FDR[FDR]&amp;FDR[[#Headers],[38]],FDR[38],"",0,1)</f>
        <v>1</v>
      </c>
    </row>
    <row r="9" spans="1:50" ht="22" thickTop="1" thickBot="1">
      <c r="A9" s="50" t="str">
        <f>INDEX!S$4</f>
        <v>MID</v>
      </c>
      <c r="B9" s="70" t="s">
        <v>1281</v>
      </c>
      <c r="C9" s="40" t="s">
        <v>29</v>
      </c>
      <c r="D9" s="62">
        <v>73</v>
      </c>
      <c r="E9" s="60">
        <v>0.13</v>
      </c>
      <c r="F9" s="61">
        <v>97.3</v>
      </c>
      <c r="G9" s="63">
        <v>8.4</v>
      </c>
      <c r="H9" s="261">
        <f>IF(ISBLANK(I9),0,1)</f>
        <v>0</v>
      </c>
      <c r="I9" s="57"/>
      <c r="J9" s="58"/>
      <c r="K9" s="59" t="s">
        <v>606</v>
      </c>
      <c r="L9" s="59" t="s">
        <v>660</v>
      </c>
      <c r="M9" cm="1">
        <f t="array" ref="M9">_xlfn.XLOOKUP(Matrix[[#This Row],[TEAM]]&amp;Matrix[[#Headers],[1]],FDR[FDR]&amp;FDR[[#Headers],[1]],FDR[1],"",0,1)</f>
        <v>1</v>
      </c>
      <c r="N9" cm="1">
        <f t="array" ref="N9">_xlfn.XLOOKUP(Matrix[[#This Row],[TEAM]]&amp;Matrix[[#Headers],[2]],FDR[FDR]&amp;FDR[[#Headers],[2]],FDR[2],"",0,1)</f>
        <v>2</v>
      </c>
      <c r="O9" cm="1">
        <f t="array" ref="O9">_xlfn.XLOOKUP(Matrix[[#This Row],[TEAM]]&amp;Matrix[[#Headers],[3]],FDR[FDR]&amp;FDR[[#Headers],[3]],FDR[3],"",0,1)</f>
        <v>2</v>
      </c>
      <c r="P9" cm="1">
        <f t="array" ref="P9">_xlfn.XLOOKUP(Matrix[[#This Row],[TEAM]]&amp;Matrix[[#Headers],[4]],FDR[FDR]&amp;FDR[[#Headers],[4]],FDR[4],"",0,1)</f>
        <v>2</v>
      </c>
      <c r="Q9" cm="1">
        <f t="array" ref="Q9">_xlfn.XLOOKUP(Matrix[[#This Row],[TEAM]]&amp;Matrix[[#Headers],[5]],FDR[FDR]&amp;FDR[[#Headers],[5]],FDR[5],"",0,1)</f>
        <v>4</v>
      </c>
      <c r="R9" cm="1">
        <f t="array" ref="R9">_xlfn.XLOOKUP(Matrix[[#This Row],[TEAM]]&amp;Matrix[[#Headers],[6]],FDR[FDR]&amp;FDR[[#Headers],[6]],FDR[6],"",0,1)</f>
        <v>1</v>
      </c>
      <c r="S9" cm="1">
        <f t="array" ref="S9">_xlfn.XLOOKUP(Matrix[[#This Row],[TEAM]]&amp;Matrix[[#Headers],[7]],FDR[FDR]&amp;FDR[[#Headers],[7]],FDR[7],"",0,1)</f>
        <v>2</v>
      </c>
      <c r="T9" cm="1">
        <f t="array" ref="T9">_xlfn.XLOOKUP(Matrix[[#This Row],[TEAM]]&amp;Matrix[[#Headers],[8]],FDR[FDR]&amp;FDR[[#Headers],[8]],FDR[8],"",0,1)</f>
        <v>1</v>
      </c>
      <c r="U9" cm="1">
        <f t="array" ref="U9">_xlfn.XLOOKUP(Matrix[[#This Row],[TEAM]]&amp;Matrix[[#Headers],[9]],FDR[FDR]&amp;FDR[[#Headers],[9]],FDR[9],"",0,1)</f>
        <v>3</v>
      </c>
      <c r="V9" cm="1">
        <f t="array" ref="V9">_xlfn.XLOOKUP(Matrix[[#This Row],[TEAM]]&amp;Matrix[[#Headers],[10]],FDR[FDR]&amp;FDR[[#Headers],[10]],FDR[10],"",0,1)</f>
        <v>1</v>
      </c>
      <c r="W9" cm="1">
        <f t="array" ref="W9">_xlfn.XLOOKUP(Matrix[[#This Row],[TEAM]]&amp;Matrix[[#Headers],[11]],FDR[FDR]&amp;FDR[[#Headers],[11]],FDR[11],"",0,1)</f>
        <v>3</v>
      </c>
      <c r="X9" cm="1">
        <f t="array" ref="X9">_xlfn.XLOOKUP(Matrix[[#This Row],[TEAM]]&amp;Matrix[[#Headers],[12]],FDR[FDR]&amp;FDR[[#Headers],[12]],FDR[12],"",0,1)</f>
        <v>3</v>
      </c>
      <c r="Y9" cm="1">
        <f t="array" ref="Y9">_xlfn.XLOOKUP(Matrix[[#This Row],[TEAM]]&amp;Matrix[[#Headers],[13]],FDR[FDR]&amp;FDR[[#Headers],[13]],FDR[13],"",0,1)</f>
        <v>1</v>
      </c>
      <c r="Z9" cm="1">
        <f t="array" ref="Z9">_xlfn.XLOOKUP(Matrix[[#This Row],[TEAM]]&amp;Matrix[[#Headers],[14]],FDR[FDR]&amp;FDR[[#Headers],[14]],FDR[14],"",0,1)</f>
        <v>2</v>
      </c>
      <c r="AA9" cm="1">
        <f t="array" ref="AA9">_xlfn.XLOOKUP(Matrix[[#This Row],[TEAM]]&amp;Matrix[[#Headers],[15]],FDR[FDR]&amp;FDR[[#Headers],[15]],FDR[15],"",0,1)</f>
        <v>1</v>
      </c>
      <c r="AB9" cm="1">
        <f t="array" ref="AB9">_xlfn.XLOOKUP(Matrix[[#This Row],[TEAM]]&amp;Matrix[[#Headers],[16]],FDR[FDR]&amp;FDR[[#Headers],[16]],FDR[16],"",0,1)</f>
        <v>2</v>
      </c>
      <c r="AC9" cm="1">
        <f t="array" ref="AC9">_xlfn.XLOOKUP(Matrix[[#This Row],[TEAM]]&amp;Matrix[[#Headers],[17]],FDR[FDR]&amp;FDR[[#Headers],[17]],FDR[17],"",0,1)</f>
        <v>1</v>
      </c>
      <c r="AD9" cm="1">
        <f t="array" ref="AD9">_xlfn.XLOOKUP(Matrix[[#This Row],[TEAM]]&amp;Matrix[[#Headers],[18]],FDR[FDR]&amp;FDR[[#Headers],[18]],FDR[18],"",0,1)</f>
        <v>2</v>
      </c>
      <c r="AE9" cm="1">
        <f t="array" ref="AE9">_xlfn.XLOOKUP(Matrix[[#This Row],[TEAM]]&amp;Matrix[[#Headers],[19]],FDR[FDR]&amp;FDR[[#Headers],[19]],FDR[19],"",0,1)</f>
        <v>1</v>
      </c>
      <c r="AF9" cm="1">
        <f t="array" ref="AF9">_xlfn.XLOOKUP(Matrix[[#This Row],[TEAM]]&amp;Matrix[[#Headers],[20]],FDR[FDR]&amp;FDR[[#Headers],[20]],FDR[20],"",0,1)</f>
        <v>2</v>
      </c>
      <c r="AG9" cm="1">
        <f t="array" ref="AG9">_xlfn.XLOOKUP(Matrix[[#This Row],[TEAM]]&amp;Matrix[[#Headers],[21]],FDR[FDR]&amp;FDR[[#Headers],[21]],FDR[21],"",0,1)</f>
        <v>1</v>
      </c>
      <c r="AH9" cm="1">
        <f t="array" ref="AH9">_xlfn.XLOOKUP(Matrix[[#This Row],[TEAM]]&amp;Matrix[[#Headers],[22]],FDR[FDR]&amp;FDR[[#Headers],[22]],FDR[22],"",0,1)</f>
        <v>3</v>
      </c>
      <c r="AI9" cm="1">
        <f t="array" ref="AI9">_xlfn.XLOOKUP(Matrix[[#This Row],[TEAM]]&amp;Matrix[[#Headers],[23]],FDR[FDR]&amp;FDR[[#Headers],[23]],FDR[23],"",0,1)</f>
        <v>1</v>
      </c>
      <c r="AJ9" cm="1">
        <f t="array" ref="AJ9">_xlfn.XLOOKUP(Matrix[[#This Row],[TEAM]]&amp;Matrix[[#Headers],[24]],FDR[FDR]&amp;FDR[[#Headers],[24]],FDR[24],"",0,1)</f>
        <v>3</v>
      </c>
      <c r="AK9" cm="1">
        <f t="array" ref="AK9">_xlfn.XLOOKUP(Matrix[[#This Row],[TEAM]]&amp;Matrix[[#Headers],[25]],FDR[FDR]&amp;FDR[[#Headers],[25]],FDR[25],"",0,1)</f>
        <v>4</v>
      </c>
      <c r="AL9" cm="1">
        <f t="array" ref="AL9">_xlfn.XLOOKUP(Matrix[[#This Row],[TEAM]]&amp;Matrix[[#Headers],[26]],FDR[FDR]&amp;FDR[[#Headers],[26]],FDR[26],"",0,1)</f>
        <v>1</v>
      </c>
      <c r="AM9" cm="1">
        <f t="array" ref="AM9">_xlfn.XLOOKUP(Matrix[[#This Row],[TEAM]]&amp;Matrix[[#Headers],[27]],FDR[FDR]&amp;FDR[[#Headers],[27]],FDR[27],"",0,1)</f>
        <v>2</v>
      </c>
      <c r="AN9" cm="1">
        <f t="array" ref="AN9">_xlfn.XLOOKUP(Matrix[[#This Row],[TEAM]]&amp;Matrix[[#Headers],[28]],FDR[FDR]&amp;FDR[[#Headers],[28]],FDR[28],"",0,1)</f>
        <v>1</v>
      </c>
      <c r="AO9" cm="1">
        <f t="array" ref="AO9">_xlfn.XLOOKUP(Matrix[[#This Row],[TEAM]]&amp;Matrix[[#Headers],[29]],FDR[FDR]&amp;FDR[[#Headers],[29]],FDR[29],"",0,1)</f>
        <v>1</v>
      </c>
      <c r="AP9" cm="1">
        <f t="array" ref="AP9">_xlfn.XLOOKUP(Matrix[[#This Row],[TEAM]]&amp;Matrix[[#Headers],[30]],FDR[FDR]&amp;FDR[[#Headers],[30]],FDR[30],"",0,1)</f>
        <v>2</v>
      </c>
      <c r="AQ9" cm="1">
        <f t="array" ref="AQ9">_xlfn.XLOOKUP(Matrix[[#This Row],[TEAM]]&amp;Matrix[[#Headers],[31]],FDR[FDR]&amp;FDR[[#Headers],[31]],FDR[31],"",0,1)</f>
        <v>1</v>
      </c>
      <c r="AR9" cm="1">
        <f t="array" ref="AR9">_xlfn.XLOOKUP(Matrix[[#This Row],[TEAM]]&amp;Matrix[[#Headers],[32]],FDR[FDR]&amp;FDR[[#Headers],[32]],FDR[32],"",0,1)</f>
        <v>3</v>
      </c>
      <c r="AS9" cm="1">
        <f t="array" ref="AS9">_xlfn.XLOOKUP(Matrix[[#This Row],[TEAM]]&amp;Matrix[[#Headers],[33]],FDR[FDR]&amp;FDR[[#Headers],[33]],FDR[33],"",0,1)</f>
        <v>3</v>
      </c>
      <c r="AT9" cm="1">
        <f t="array" ref="AT9">_xlfn.XLOOKUP(Matrix[[#This Row],[TEAM]]&amp;Matrix[[#Headers],[34]],FDR[FDR]&amp;FDR[[#Headers],[34]],FDR[34],"",0,1)</f>
        <v>1</v>
      </c>
      <c r="AU9" cm="1">
        <f t="array" ref="AU9">_xlfn.XLOOKUP(Matrix[[#This Row],[TEAM]]&amp;Matrix[[#Headers],[35]],FDR[FDR]&amp;FDR[[#Headers],[35]],FDR[35],"",0,1)</f>
        <v>2</v>
      </c>
      <c r="AV9" cm="1">
        <f t="array" ref="AV9">_xlfn.XLOOKUP(Matrix[[#This Row],[TEAM]]&amp;Matrix[[#Headers],[36]],FDR[FDR]&amp;FDR[[#Headers],[36]],FDR[36],"",0,1)</f>
        <v>1</v>
      </c>
      <c r="AW9" cm="1">
        <f t="array" ref="AW9">_xlfn.XLOOKUP(Matrix[[#This Row],[TEAM]]&amp;Matrix[[#Headers],[37]],FDR[FDR]&amp;FDR[[#Headers],[37]],FDR[37],"",0,1)</f>
        <v>2</v>
      </c>
      <c r="AX9" cm="1">
        <f t="array" ref="AX9">_xlfn.XLOOKUP(Matrix[[#This Row],[TEAM]]&amp;Matrix[[#Headers],[38]],FDR[FDR]&amp;FDR[[#Headers],[38]],FDR[38],"",0,1)</f>
        <v>2</v>
      </c>
    </row>
    <row r="10" spans="1:50" ht="22" thickTop="1" thickBot="1">
      <c r="A10" s="50" t="str">
        <f>INDEX!S$4</f>
        <v>MID</v>
      </c>
      <c r="B10" s="70" t="s">
        <v>1284</v>
      </c>
      <c r="C10" s="40" t="s">
        <v>30</v>
      </c>
      <c r="D10" s="62">
        <v>236</v>
      </c>
      <c r="E10" s="60">
        <v>0.161</v>
      </c>
      <c r="F10" s="61">
        <v>340.8</v>
      </c>
      <c r="G10" s="63">
        <v>8</v>
      </c>
      <c r="H10" s="261">
        <f>IF(ISBLANK(I10),0,1)</f>
        <v>0</v>
      </c>
      <c r="I10" s="57"/>
      <c r="J10" s="58"/>
      <c r="K10" s="59" t="s">
        <v>252</v>
      </c>
      <c r="L10" s="59" t="s">
        <v>70</v>
      </c>
      <c r="M10" cm="1">
        <f t="array" ref="M10">_xlfn.XLOOKUP(Matrix[[#This Row],[TEAM]]&amp;Matrix[[#Headers],[1]],FDR[FDR]&amp;FDR[[#Headers],[1]],FDR[1],"",0,1)</f>
        <v>3</v>
      </c>
      <c r="N10" cm="1">
        <f t="array" ref="N10">_xlfn.XLOOKUP(Matrix[[#This Row],[TEAM]]&amp;Matrix[[#Headers],[2]],FDR[FDR]&amp;FDR[[#Headers],[2]],FDR[2],"",0,1)</f>
        <v>2</v>
      </c>
      <c r="O10" cm="1">
        <f t="array" ref="O10">_xlfn.XLOOKUP(Matrix[[#This Row],[TEAM]]&amp;Matrix[[#Headers],[3]],FDR[FDR]&amp;FDR[[#Headers],[3]],FDR[3],"",0,1)</f>
        <v>1</v>
      </c>
      <c r="P10" cm="1">
        <f t="array" ref="P10">_xlfn.XLOOKUP(Matrix[[#This Row],[TEAM]]&amp;Matrix[[#Headers],[4]],FDR[FDR]&amp;FDR[[#Headers],[4]],FDR[4],"",0,1)</f>
        <v>4</v>
      </c>
      <c r="Q10" cm="1">
        <f t="array" ref="Q10">_xlfn.XLOOKUP(Matrix[[#This Row],[TEAM]]&amp;Matrix[[#Headers],[5]],FDR[FDR]&amp;FDR[[#Headers],[5]],FDR[5],"",0,1)</f>
        <v>3</v>
      </c>
      <c r="R10" cm="1">
        <f t="array" ref="R10">_xlfn.XLOOKUP(Matrix[[#This Row],[TEAM]]&amp;Matrix[[#Headers],[6]],FDR[FDR]&amp;FDR[[#Headers],[6]],FDR[6],"",0,1)</f>
        <v>2</v>
      </c>
      <c r="S10" cm="1">
        <f t="array" ref="S10">_xlfn.XLOOKUP(Matrix[[#This Row],[TEAM]]&amp;Matrix[[#Headers],[7]],FDR[FDR]&amp;FDR[[#Headers],[7]],FDR[7],"",0,1)</f>
        <v>1</v>
      </c>
      <c r="T10" cm="1">
        <f t="array" ref="T10">_xlfn.XLOOKUP(Matrix[[#This Row],[TEAM]]&amp;Matrix[[#Headers],[8]],FDR[FDR]&amp;FDR[[#Headers],[8]],FDR[8],"",0,1)</f>
        <v>4</v>
      </c>
      <c r="U10" cm="1">
        <f t="array" ref="U10">_xlfn.XLOOKUP(Matrix[[#This Row],[TEAM]]&amp;Matrix[[#Headers],[9]],FDR[FDR]&amp;FDR[[#Headers],[9]],FDR[9],"",0,1)</f>
        <v>1</v>
      </c>
      <c r="V10" cm="1">
        <f t="array" ref="V10">_xlfn.XLOOKUP(Matrix[[#This Row],[TEAM]]&amp;Matrix[[#Headers],[10]],FDR[FDR]&amp;FDR[[#Headers],[10]],FDR[10],"",0,1)</f>
        <v>2</v>
      </c>
      <c r="W10" cm="1">
        <f t="array" ref="W10">_xlfn.XLOOKUP(Matrix[[#This Row],[TEAM]]&amp;Matrix[[#Headers],[11]],FDR[FDR]&amp;FDR[[#Headers],[11]],FDR[11],"",0,1)</f>
        <v>4</v>
      </c>
      <c r="X10" cm="1">
        <f t="array" ref="X10">_xlfn.XLOOKUP(Matrix[[#This Row],[TEAM]]&amp;Matrix[[#Headers],[12]],FDR[FDR]&amp;FDR[[#Headers],[12]],FDR[12],"",0,1)</f>
        <v>1</v>
      </c>
      <c r="Y10" cm="1">
        <f t="array" ref="Y10">_xlfn.XLOOKUP(Matrix[[#This Row],[TEAM]]&amp;Matrix[[#Headers],[13]],FDR[FDR]&amp;FDR[[#Headers],[13]],FDR[13],"",0,1)</f>
        <v>2</v>
      </c>
      <c r="Z10" cm="1">
        <f t="array" ref="Z10">_xlfn.XLOOKUP(Matrix[[#This Row],[TEAM]]&amp;Matrix[[#Headers],[14]],FDR[FDR]&amp;FDR[[#Headers],[14]],FDR[14],"",0,1)</f>
        <v>1</v>
      </c>
      <c r="AA10" cm="1">
        <f t="array" ref="AA10">_xlfn.XLOOKUP(Matrix[[#This Row],[TEAM]]&amp;Matrix[[#Headers],[15]],FDR[FDR]&amp;FDR[[#Headers],[15]],FDR[15],"",0,1)</f>
        <v>1</v>
      </c>
      <c r="AB10" cm="1">
        <f t="array" ref="AB10">_xlfn.XLOOKUP(Matrix[[#This Row],[TEAM]]&amp;Matrix[[#Headers],[16]],FDR[FDR]&amp;FDR[[#Headers],[16]],FDR[16],"",0,1)</f>
        <v>1</v>
      </c>
      <c r="AC10" cm="1">
        <f t="array" ref="AC10">_xlfn.XLOOKUP(Matrix[[#This Row],[TEAM]]&amp;Matrix[[#Headers],[17]],FDR[FDR]&amp;FDR[[#Headers],[17]],FDR[17],"",0,1)</f>
        <v>3</v>
      </c>
      <c r="AD10" cm="1">
        <f t="array" ref="AD10">_xlfn.XLOOKUP(Matrix[[#This Row],[TEAM]]&amp;Matrix[[#Headers],[18]],FDR[FDR]&amp;FDR[[#Headers],[18]],FDR[18],"",0,1)</f>
        <v>2</v>
      </c>
      <c r="AE10" cm="1">
        <f t="array" ref="AE10">_xlfn.XLOOKUP(Matrix[[#This Row],[TEAM]]&amp;Matrix[[#Headers],[19]],FDR[FDR]&amp;FDR[[#Headers],[19]],FDR[19],"",0,1)</f>
        <v>1</v>
      </c>
      <c r="AF10" cm="1">
        <f t="array" ref="AF10">_xlfn.XLOOKUP(Matrix[[#This Row],[TEAM]]&amp;Matrix[[#Headers],[20]],FDR[FDR]&amp;FDR[[#Headers],[20]],FDR[20],"",0,1)</f>
        <v>1</v>
      </c>
      <c r="AG10" cm="1">
        <f t="array" ref="AG10">_xlfn.XLOOKUP(Matrix[[#This Row],[TEAM]]&amp;Matrix[[#Headers],[21]],FDR[FDR]&amp;FDR[[#Headers],[21]],FDR[21],"",0,1)</f>
        <v>1</v>
      </c>
      <c r="AH10" cm="1">
        <f t="array" ref="AH10">_xlfn.XLOOKUP(Matrix[[#This Row],[TEAM]]&amp;Matrix[[#Headers],[22]],FDR[FDR]&amp;FDR[[#Headers],[22]],FDR[22],"",0,1)</f>
        <v>3</v>
      </c>
      <c r="AI10" cm="1">
        <f t="array" ref="AI10">_xlfn.XLOOKUP(Matrix[[#This Row],[TEAM]]&amp;Matrix[[#Headers],[23]],FDR[FDR]&amp;FDR[[#Headers],[23]],FDR[23],"",0,1)</f>
        <v>4</v>
      </c>
      <c r="AJ10" cm="1">
        <f t="array" ref="AJ10">_xlfn.XLOOKUP(Matrix[[#This Row],[TEAM]]&amp;Matrix[[#Headers],[24]],FDR[FDR]&amp;FDR[[#Headers],[24]],FDR[24],"",0,1)</f>
        <v>1</v>
      </c>
      <c r="AK10" cm="1">
        <f t="array" ref="AK10">_xlfn.XLOOKUP(Matrix[[#This Row],[TEAM]]&amp;Matrix[[#Headers],[25]],FDR[FDR]&amp;FDR[[#Headers],[25]],FDR[25],"",0,1)</f>
        <v>3</v>
      </c>
      <c r="AL10" cm="1">
        <f t="array" ref="AL10">_xlfn.XLOOKUP(Matrix[[#This Row],[TEAM]]&amp;Matrix[[#Headers],[26]],FDR[FDR]&amp;FDR[[#Headers],[26]],FDR[26],"",0,1)</f>
        <v>2</v>
      </c>
      <c r="AM10" cm="1">
        <f t="array" ref="AM10">_xlfn.XLOOKUP(Matrix[[#This Row],[TEAM]]&amp;Matrix[[#Headers],[27]],FDR[FDR]&amp;FDR[[#Headers],[27]],FDR[27],"",0,1)</f>
        <v>2</v>
      </c>
      <c r="AN10" cm="1">
        <f t="array" ref="AN10">_xlfn.XLOOKUP(Matrix[[#This Row],[TEAM]]&amp;Matrix[[#Headers],[28]],FDR[FDR]&amp;FDR[[#Headers],[28]],FDR[28],"",0,1)</f>
        <v>1</v>
      </c>
      <c r="AO10" cm="1">
        <f t="array" ref="AO10">_xlfn.XLOOKUP(Matrix[[#This Row],[TEAM]]&amp;Matrix[[#Headers],[29]],FDR[FDR]&amp;FDR[[#Headers],[29]],FDR[29],"",0,1)</f>
        <v>3</v>
      </c>
      <c r="AP10" cm="1">
        <f t="array" ref="AP10">_xlfn.XLOOKUP(Matrix[[#This Row],[TEAM]]&amp;Matrix[[#Headers],[30]],FDR[FDR]&amp;FDR[[#Headers],[30]],FDR[30],"",0,1)</f>
        <v>2</v>
      </c>
      <c r="AQ10" cm="1">
        <f t="array" ref="AQ10">_xlfn.XLOOKUP(Matrix[[#This Row],[TEAM]]&amp;Matrix[[#Headers],[31]],FDR[FDR]&amp;FDR[[#Headers],[31]],FDR[31],"",0,1)</f>
        <v>2</v>
      </c>
      <c r="AR10" cm="1">
        <f t="array" ref="AR10">_xlfn.XLOOKUP(Matrix[[#This Row],[TEAM]]&amp;Matrix[[#Headers],[32]],FDR[FDR]&amp;FDR[[#Headers],[32]],FDR[32],"",0,1)</f>
        <v>1</v>
      </c>
      <c r="AS10" cm="1">
        <f t="array" ref="AS10">_xlfn.XLOOKUP(Matrix[[#This Row],[TEAM]]&amp;Matrix[[#Headers],[33]],FDR[FDR]&amp;FDR[[#Headers],[33]],FDR[33],"",0,1)</f>
        <v>4</v>
      </c>
      <c r="AT10" cm="1">
        <f t="array" ref="AT10">_xlfn.XLOOKUP(Matrix[[#This Row],[TEAM]]&amp;Matrix[[#Headers],[34]],FDR[FDR]&amp;FDR[[#Headers],[34]],FDR[34],"",0,1)</f>
        <v>1</v>
      </c>
      <c r="AU10" cm="1">
        <f t="array" ref="AU10">_xlfn.XLOOKUP(Matrix[[#This Row],[TEAM]]&amp;Matrix[[#Headers],[35]],FDR[FDR]&amp;FDR[[#Headers],[35]],FDR[35],"",0,1)</f>
        <v>3</v>
      </c>
      <c r="AV10" cm="1">
        <f t="array" ref="AV10">_xlfn.XLOOKUP(Matrix[[#This Row],[TEAM]]&amp;Matrix[[#Headers],[36]],FDR[FDR]&amp;FDR[[#Headers],[36]],FDR[36],"",0,1)</f>
        <v>1</v>
      </c>
      <c r="AW10" cm="1">
        <f t="array" ref="AW10">_xlfn.XLOOKUP(Matrix[[#This Row],[TEAM]]&amp;Matrix[[#Headers],[37]],FDR[FDR]&amp;FDR[[#Headers],[37]],FDR[37],"",0,1)</f>
        <v>1</v>
      </c>
      <c r="AX10" cm="1">
        <f t="array" ref="AX10">_xlfn.XLOOKUP(Matrix[[#This Row],[TEAM]]&amp;Matrix[[#Headers],[38]],FDR[FDR]&amp;FDR[[#Headers],[38]],FDR[38],"",0,1)</f>
        <v>2</v>
      </c>
    </row>
    <row r="11" spans="1:50" ht="22" thickTop="1" thickBot="1">
      <c r="A11" s="50" t="s">
        <v>656</v>
      </c>
      <c r="B11" s="70" t="s">
        <v>1285</v>
      </c>
      <c r="C11" s="40" t="s">
        <v>30</v>
      </c>
      <c r="D11" s="62">
        <v>178</v>
      </c>
      <c r="E11" s="60">
        <v>9.4E-2</v>
      </c>
      <c r="F11" s="61">
        <v>272.2</v>
      </c>
      <c r="G11" s="63">
        <v>8</v>
      </c>
      <c r="H11" s="261">
        <f>IF(ISBLANK(I11),0,1)</f>
        <v>0</v>
      </c>
      <c r="I11" s="57"/>
      <c r="J11" s="58"/>
      <c r="K11" s="59" t="s">
        <v>462</v>
      </c>
      <c r="L11" s="59" t="s">
        <v>331</v>
      </c>
      <c r="M11" cm="1">
        <f t="array" ref="M11">_xlfn.XLOOKUP(Matrix[[#This Row],[TEAM]]&amp;Matrix[[#Headers],[1]],FDR[FDR]&amp;FDR[[#Headers],[1]],FDR[1],"",0,1)</f>
        <v>3</v>
      </c>
      <c r="N11" cm="1">
        <f t="array" ref="N11">_xlfn.XLOOKUP(Matrix[[#This Row],[TEAM]]&amp;Matrix[[#Headers],[2]],FDR[FDR]&amp;FDR[[#Headers],[2]],FDR[2],"",0,1)</f>
        <v>2</v>
      </c>
      <c r="O11" cm="1">
        <f t="array" ref="O11">_xlfn.XLOOKUP(Matrix[[#This Row],[TEAM]]&amp;Matrix[[#Headers],[3]],FDR[FDR]&amp;FDR[[#Headers],[3]],FDR[3],"",0,1)</f>
        <v>1</v>
      </c>
      <c r="P11" cm="1">
        <f t="array" ref="P11">_xlfn.XLOOKUP(Matrix[[#This Row],[TEAM]]&amp;Matrix[[#Headers],[4]],FDR[FDR]&amp;FDR[[#Headers],[4]],FDR[4],"",0,1)</f>
        <v>4</v>
      </c>
      <c r="Q11" cm="1">
        <f t="array" ref="Q11">_xlfn.XLOOKUP(Matrix[[#This Row],[TEAM]]&amp;Matrix[[#Headers],[5]],FDR[FDR]&amp;FDR[[#Headers],[5]],FDR[5],"",0,1)</f>
        <v>3</v>
      </c>
      <c r="R11" cm="1">
        <f t="array" ref="R11">_xlfn.XLOOKUP(Matrix[[#This Row],[TEAM]]&amp;Matrix[[#Headers],[6]],FDR[FDR]&amp;FDR[[#Headers],[6]],FDR[6],"",0,1)</f>
        <v>2</v>
      </c>
      <c r="S11" cm="1">
        <f t="array" ref="S11">_xlfn.XLOOKUP(Matrix[[#This Row],[TEAM]]&amp;Matrix[[#Headers],[7]],FDR[FDR]&amp;FDR[[#Headers],[7]],FDR[7],"",0,1)</f>
        <v>1</v>
      </c>
      <c r="T11" cm="1">
        <f t="array" ref="T11">_xlfn.XLOOKUP(Matrix[[#This Row],[TEAM]]&amp;Matrix[[#Headers],[8]],FDR[FDR]&amp;FDR[[#Headers],[8]],FDR[8],"",0,1)</f>
        <v>4</v>
      </c>
      <c r="U11" cm="1">
        <f t="array" ref="U11">_xlfn.XLOOKUP(Matrix[[#This Row],[TEAM]]&amp;Matrix[[#Headers],[9]],FDR[FDR]&amp;FDR[[#Headers],[9]],FDR[9],"",0,1)</f>
        <v>1</v>
      </c>
      <c r="V11" cm="1">
        <f t="array" ref="V11">_xlfn.XLOOKUP(Matrix[[#This Row],[TEAM]]&amp;Matrix[[#Headers],[10]],FDR[FDR]&amp;FDR[[#Headers],[10]],FDR[10],"",0,1)</f>
        <v>2</v>
      </c>
      <c r="W11" cm="1">
        <f t="array" ref="W11">_xlfn.XLOOKUP(Matrix[[#This Row],[TEAM]]&amp;Matrix[[#Headers],[11]],FDR[FDR]&amp;FDR[[#Headers],[11]],FDR[11],"",0,1)</f>
        <v>4</v>
      </c>
      <c r="X11" cm="1">
        <f t="array" ref="X11">_xlfn.XLOOKUP(Matrix[[#This Row],[TEAM]]&amp;Matrix[[#Headers],[12]],FDR[FDR]&amp;FDR[[#Headers],[12]],FDR[12],"",0,1)</f>
        <v>1</v>
      </c>
      <c r="Y11" cm="1">
        <f t="array" ref="Y11">_xlfn.XLOOKUP(Matrix[[#This Row],[TEAM]]&amp;Matrix[[#Headers],[13]],FDR[FDR]&amp;FDR[[#Headers],[13]],FDR[13],"",0,1)</f>
        <v>2</v>
      </c>
      <c r="Z11" cm="1">
        <f t="array" ref="Z11">_xlfn.XLOOKUP(Matrix[[#This Row],[TEAM]]&amp;Matrix[[#Headers],[14]],FDR[FDR]&amp;FDR[[#Headers],[14]],FDR[14],"",0,1)</f>
        <v>1</v>
      </c>
      <c r="AA11" cm="1">
        <f t="array" ref="AA11">_xlfn.XLOOKUP(Matrix[[#This Row],[TEAM]]&amp;Matrix[[#Headers],[15]],FDR[FDR]&amp;FDR[[#Headers],[15]],FDR[15],"",0,1)</f>
        <v>1</v>
      </c>
      <c r="AB11" cm="1">
        <f t="array" ref="AB11">_xlfn.XLOOKUP(Matrix[[#This Row],[TEAM]]&amp;Matrix[[#Headers],[16]],FDR[FDR]&amp;FDR[[#Headers],[16]],FDR[16],"",0,1)</f>
        <v>1</v>
      </c>
      <c r="AC11" cm="1">
        <f t="array" ref="AC11">_xlfn.XLOOKUP(Matrix[[#This Row],[TEAM]]&amp;Matrix[[#Headers],[17]],FDR[FDR]&amp;FDR[[#Headers],[17]],FDR[17],"",0,1)</f>
        <v>3</v>
      </c>
      <c r="AD11" cm="1">
        <f t="array" ref="AD11">_xlfn.XLOOKUP(Matrix[[#This Row],[TEAM]]&amp;Matrix[[#Headers],[18]],FDR[FDR]&amp;FDR[[#Headers],[18]],FDR[18],"",0,1)</f>
        <v>2</v>
      </c>
      <c r="AE11" cm="1">
        <f t="array" ref="AE11">_xlfn.XLOOKUP(Matrix[[#This Row],[TEAM]]&amp;Matrix[[#Headers],[19]],FDR[FDR]&amp;FDR[[#Headers],[19]],FDR[19],"",0,1)</f>
        <v>1</v>
      </c>
      <c r="AF11" cm="1">
        <f t="array" ref="AF11">_xlfn.XLOOKUP(Matrix[[#This Row],[TEAM]]&amp;Matrix[[#Headers],[20]],FDR[FDR]&amp;FDR[[#Headers],[20]],FDR[20],"",0,1)</f>
        <v>1</v>
      </c>
      <c r="AG11" cm="1">
        <f t="array" ref="AG11">_xlfn.XLOOKUP(Matrix[[#This Row],[TEAM]]&amp;Matrix[[#Headers],[21]],FDR[FDR]&amp;FDR[[#Headers],[21]],FDR[21],"",0,1)</f>
        <v>1</v>
      </c>
      <c r="AH11" cm="1">
        <f t="array" ref="AH11">_xlfn.XLOOKUP(Matrix[[#This Row],[TEAM]]&amp;Matrix[[#Headers],[22]],FDR[FDR]&amp;FDR[[#Headers],[22]],FDR[22],"",0,1)</f>
        <v>3</v>
      </c>
      <c r="AI11" cm="1">
        <f t="array" ref="AI11">_xlfn.XLOOKUP(Matrix[[#This Row],[TEAM]]&amp;Matrix[[#Headers],[23]],FDR[FDR]&amp;FDR[[#Headers],[23]],FDR[23],"",0,1)</f>
        <v>4</v>
      </c>
      <c r="AJ11" cm="1">
        <f t="array" ref="AJ11">_xlfn.XLOOKUP(Matrix[[#This Row],[TEAM]]&amp;Matrix[[#Headers],[24]],FDR[FDR]&amp;FDR[[#Headers],[24]],FDR[24],"",0,1)</f>
        <v>1</v>
      </c>
      <c r="AK11" cm="1">
        <f t="array" ref="AK11">_xlfn.XLOOKUP(Matrix[[#This Row],[TEAM]]&amp;Matrix[[#Headers],[25]],FDR[FDR]&amp;FDR[[#Headers],[25]],FDR[25],"",0,1)</f>
        <v>3</v>
      </c>
      <c r="AL11" cm="1">
        <f t="array" ref="AL11">_xlfn.XLOOKUP(Matrix[[#This Row],[TEAM]]&amp;Matrix[[#Headers],[26]],FDR[FDR]&amp;FDR[[#Headers],[26]],FDR[26],"",0,1)</f>
        <v>2</v>
      </c>
      <c r="AM11" cm="1">
        <f t="array" ref="AM11">_xlfn.XLOOKUP(Matrix[[#This Row],[TEAM]]&amp;Matrix[[#Headers],[27]],FDR[FDR]&amp;FDR[[#Headers],[27]],FDR[27],"",0,1)</f>
        <v>2</v>
      </c>
      <c r="AN11" cm="1">
        <f t="array" ref="AN11">_xlfn.XLOOKUP(Matrix[[#This Row],[TEAM]]&amp;Matrix[[#Headers],[28]],FDR[FDR]&amp;FDR[[#Headers],[28]],FDR[28],"",0,1)</f>
        <v>1</v>
      </c>
      <c r="AO11" cm="1">
        <f t="array" ref="AO11">_xlfn.XLOOKUP(Matrix[[#This Row],[TEAM]]&amp;Matrix[[#Headers],[29]],FDR[FDR]&amp;FDR[[#Headers],[29]],FDR[29],"",0,1)</f>
        <v>3</v>
      </c>
      <c r="AP11" cm="1">
        <f t="array" ref="AP11">_xlfn.XLOOKUP(Matrix[[#This Row],[TEAM]]&amp;Matrix[[#Headers],[30]],FDR[FDR]&amp;FDR[[#Headers],[30]],FDR[30],"",0,1)</f>
        <v>2</v>
      </c>
      <c r="AQ11" cm="1">
        <f t="array" ref="AQ11">_xlfn.XLOOKUP(Matrix[[#This Row],[TEAM]]&amp;Matrix[[#Headers],[31]],FDR[FDR]&amp;FDR[[#Headers],[31]],FDR[31],"",0,1)</f>
        <v>2</v>
      </c>
      <c r="AR11" cm="1">
        <f t="array" ref="AR11">_xlfn.XLOOKUP(Matrix[[#This Row],[TEAM]]&amp;Matrix[[#Headers],[32]],FDR[FDR]&amp;FDR[[#Headers],[32]],FDR[32],"",0,1)</f>
        <v>1</v>
      </c>
      <c r="AS11" cm="1">
        <f t="array" ref="AS11">_xlfn.XLOOKUP(Matrix[[#This Row],[TEAM]]&amp;Matrix[[#Headers],[33]],FDR[FDR]&amp;FDR[[#Headers],[33]],FDR[33],"",0,1)</f>
        <v>4</v>
      </c>
      <c r="AT11" cm="1">
        <f t="array" ref="AT11">_xlfn.XLOOKUP(Matrix[[#This Row],[TEAM]]&amp;Matrix[[#Headers],[34]],FDR[FDR]&amp;FDR[[#Headers],[34]],FDR[34],"",0,1)</f>
        <v>1</v>
      </c>
      <c r="AU11" cm="1">
        <f t="array" ref="AU11">_xlfn.XLOOKUP(Matrix[[#This Row],[TEAM]]&amp;Matrix[[#Headers],[35]],FDR[FDR]&amp;FDR[[#Headers],[35]],FDR[35],"",0,1)</f>
        <v>3</v>
      </c>
      <c r="AV11" cm="1">
        <f t="array" ref="AV11">_xlfn.XLOOKUP(Matrix[[#This Row],[TEAM]]&amp;Matrix[[#Headers],[36]],FDR[FDR]&amp;FDR[[#Headers],[36]],FDR[36],"",0,1)</f>
        <v>1</v>
      </c>
      <c r="AW11" cm="1">
        <f t="array" ref="AW11">_xlfn.XLOOKUP(Matrix[[#This Row],[TEAM]]&amp;Matrix[[#Headers],[37]],FDR[FDR]&amp;FDR[[#Headers],[37]],FDR[37],"",0,1)</f>
        <v>1</v>
      </c>
      <c r="AX11" cm="1">
        <f t="array" ref="AX11">_xlfn.XLOOKUP(Matrix[[#This Row],[TEAM]]&amp;Matrix[[#Headers],[38]],FDR[FDR]&amp;FDR[[#Headers],[38]],FDR[38],"",0,1)</f>
        <v>2</v>
      </c>
    </row>
    <row r="12" spans="1:50" ht="22" thickTop="1" thickBot="1">
      <c r="A12" s="50" t="str">
        <f>INDEX!S$4</f>
        <v>MID</v>
      </c>
      <c r="B12" s="70" t="s">
        <v>1287</v>
      </c>
      <c r="C12" s="40" t="s">
        <v>29</v>
      </c>
      <c r="D12" s="62">
        <v>105</v>
      </c>
      <c r="E12" s="60">
        <v>2.1000000000000001E-2</v>
      </c>
      <c r="F12" s="61">
        <v>164.2</v>
      </c>
      <c r="G12" s="63">
        <v>8</v>
      </c>
      <c r="H12" s="261">
        <f>IF(ISBLANK(I12),0,1)</f>
        <v>0</v>
      </c>
      <c r="I12" s="57"/>
      <c r="J12" s="58"/>
      <c r="K12" s="59" t="s">
        <v>377</v>
      </c>
      <c r="L12" s="59" t="s">
        <v>186</v>
      </c>
      <c r="M12" cm="1">
        <f t="array" ref="M12">_xlfn.XLOOKUP(Matrix[[#This Row],[TEAM]]&amp;Matrix[[#Headers],[1]],FDR[FDR]&amp;FDR[[#Headers],[1]],FDR[1],"",0,1)</f>
        <v>1</v>
      </c>
      <c r="N12" cm="1">
        <f t="array" ref="N12">_xlfn.XLOOKUP(Matrix[[#This Row],[TEAM]]&amp;Matrix[[#Headers],[2]],FDR[FDR]&amp;FDR[[#Headers],[2]],FDR[2],"",0,1)</f>
        <v>2</v>
      </c>
      <c r="O12" cm="1">
        <f t="array" ref="O12">_xlfn.XLOOKUP(Matrix[[#This Row],[TEAM]]&amp;Matrix[[#Headers],[3]],FDR[FDR]&amp;FDR[[#Headers],[3]],FDR[3],"",0,1)</f>
        <v>2</v>
      </c>
      <c r="P12" cm="1">
        <f t="array" ref="P12">_xlfn.XLOOKUP(Matrix[[#This Row],[TEAM]]&amp;Matrix[[#Headers],[4]],FDR[FDR]&amp;FDR[[#Headers],[4]],FDR[4],"",0,1)</f>
        <v>2</v>
      </c>
      <c r="Q12" cm="1">
        <f t="array" ref="Q12">_xlfn.XLOOKUP(Matrix[[#This Row],[TEAM]]&amp;Matrix[[#Headers],[5]],FDR[FDR]&amp;FDR[[#Headers],[5]],FDR[5],"",0,1)</f>
        <v>4</v>
      </c>
      <c r="R12" cm="1">
        <f t="array" ref="R12">_xlfn.XLOOKUP(Matrix[[#This Row],[TEAM]]&amp;Matrix[[#Headers],[6]],FDR[FDR]&amp;FDR[[#Headers],[6]],FDR[6],"",0,1)</f>
        <v>1</v>
      </c>
      <c r="S12" cm="1">
        <f t="array" ref="S12">_xlfn.XLOOKUP(Matrix[[#This Row],[TEAM]]&amp;Matrix[[#Headers],[7]],FDR[FDR]&amp;FDR[[#Headers],[7]],FDR[7],"",0,1)</f>
        <v>2</v>
      </c>
      <c r="T12" cm="1">
        <f t="array" ref="T12">_xlfn.XLOOKUP(Matrix[[#This Row],[TEAM]]&amp;Matrix[[#Headers],[8]],FDR[FDR]&amp;FDR[[#Headers],[8]],FDR[8],"",0,1)</f>
        <v>1</v>
      </c>
      <c r="U12" cm="1">
        <f t="array" ref="U12">_xlfn.XLOOKUP(Matrix[[#This Row],[TEAM]]&amp;Matrix[[#Headers],[9]],FDR[FDR]&amp;FDR[[#Headers],[9]],FDR[9],"",0,1)</f>
        <v>3</v>
      </c>
      <c r="V12" cm="1">
        <f t="array" ref="V12">_xlfn.XLOOKUP(Matrix[[#This Row],[TEAM]]&amp;Matrix[[#Headers],[10]],FDR[FDR]&amp;FDR[[#Headers],[10]],FDR[10],"",0,1)</f>
        <v>1</v>
      </c>
      <c r="W12" cm="1">
        <f t="array" ref="W12">_xlfn.XLOOKUP(Matrix[[#This Row],[TEAM]]&amp;Matrix[[#Headers],[11]],FDR[FDR]&amp;FDR[[#Headers],[11]],FDR[11],"",0,1)</f>
        <v>3</v>
      </c>
      <c r="X12" cm="1">
        <f t="array" ref="X12">_xlfn.XLOOKUP(Matrix[[#This Row],[TEAM]]&amp;Matrix[[#Headers],[12]],FDR[FDR]&amp;FDR[[#Headers],[12]],FDR[12],"",0,1)</f>
        <v>3</v>
      </c>
      <c r="Y12" cm="1">
        <f t="array" ref="Y12">_xlfn.XLOOKUP(Matrix[[#This Row],[TEAM]]&amp;Matrix[[#Headers],[13]],FDR[FDR]&amp;FDR[[#Headers],[13]],FDR[13],"",0,1)</f>
        <v>1</v>
      </c>
      <c r="Z12" cm="1">
        <f t="array" ref="Z12">_xlfn.XLOOKUP(Matrix[[#This Row],[TEAM]]&amp;Matrix[[#Headers],[14]],FDR[FDR]&amp;FDR[[#Headers],[14]],FDR[14],"",0,1)</f>
        <v>2</v>
      </c>
      <c r="AA12" cm="1">
        <f t="array" ref="AA12">_xlfn.XLOOKUP(Matrix[[#This Row],[TEAM]]&amp;Matrix[[#Headers],[15]],FDR[FDR]&amp;FDR[[#Headers],[15]],FDR[15],"",0,1)</f>
        <v>1</v>
      </c>
      <c r="AB12" cm="1">
        <f t="array" ref="AB12">_xlfn.XLOOKUP(Matrix[[#This Row],[TEAM]]&amp;Matrix[[#Headers],[16]],FDR[FDR]&amp;FDR[[#Headers],[16]],FDR[16],"",0,1)</f>
        <v>2</v>
      </c>
      <c r="AC12" cm="1">
        <f t="array" ref="AC12">_xlfn.XLOOKUP(Matrix[[#This Row],[TEAM]]&amp;Matrix[[#Headers],[17]],FDR[FDR]&amp;FDR[[#Headers],[17]],FDR[17],"",0,1)</f>
        <v>1</v>
      </c>
      <c r="AD12" cm="1">
        <f t="array" ref="AD12">_xlfn.XLOOKUP(Matrix[[#This Row],[TEAM]]&amp;Matrix[[#Headers],[18]],FDR[FDR]&amp;FDR[[#Headers],[18]],FDR[18],"",0,1)</f>
        <v>2</v>
      </c>
      <c r="AE12" cm="1">
        <f t="array" ref="AE12">_xlfn.XLOOKUP(Matrix[[#This Row],[TEAM]]&amp;Matrix[[#Headers],[19]],FDR[FDR]&amp;FDR[[#Headers],[19]],FDR[19],"",0,1)</f>
        <v>1</v>
      </c>
      <c r="AF12" cm="1">
        <f t="array" ref="AF12">_xlfn.XLOOKUP(Matrix[[#This Row],[TEAM]]&amp;Matrix[[#Headers],[20]],FDR[FDR]&amp;FDR[[#Headers],[20]],FDR[20],"",0,1)</f>
        <v>2</v>
      </c>
      <c r="AG12" cm="1">
        <f t="array" ref="AG12">_xlfn.XLOOKUP(Matrix[[#This Row],[TEAM]]&amp;Matrix[[#Headers],[21]],FDR[FDR]&amp;FDR[[#Headers],[21]],FDR[21],"",0,1)</f>
        <v>1</v>
      </c>
      <c r="AH12" cm="1">
        <f t="array" ref="AH12">_xlfn.XLOOKUP(Matrix[[#This Row],[TEAM]]&amp;Matrix[[#Headers],[22]],FDR[FDR]&amp;FDR[[#Headers],[22]],FDR[22],"",0,1)</f>
        <v>3</v>
      </c>
      <c r="AI12" cm="1">
        <f t="array" ref="AI12">_xlfn.XLOOKUP(Matrix[[#This Row],[TEAM]]&amp;Matrix[[#Headers],[23]],FDR[FDR]&amp;FDR[[#Headers],[23]],FDR[23],"",0,1)</f>
        <v>1</v>
      </c>
      <c r="AJ12" cm="1">
        <f t="array" ref="AJ12">_xlfn.XLOOKUP(Matrix[[#This Row],[TEAM]]&amp;Matrix[[#Headers],[24]],FDR[FDR]&amp;FDR[[#Headers],[24]],FDR[24],"",0,1)</f>
        <v>3</v>
      </c>
      <c r="AK12" cm="1">
        <f t="array" ref="AK12">_xlfn.XLOOKUP(Matrix[[#This Row],[TEAM]]&amp;Matrix[[#Headers],[25]],FDR[FDR]&amp;FDR[[#Headers],[25]],FDR[25],"",0,1)</f>
        <v>4</v>
      </c>
      <c r="AL12" cm="1">
        <f t="array" ref="AL12">_xlfn.XLOOKUP(Matrix[[#This Row],[TEAM]]&amp;Matrix[[#Headers],[26]],FDR[FDR]&amp;FDR[[#Headers],[26]],FDR[26],"",0,1)</f>
        <v>1</v>
      </c>
      <c r="AM12" cm="1">
        <f t="array" ref="AM12">_xlfn.XLOOKUP(Matrix[[#This Row],[TEAM]]&amp;Matrix[[#Headers],[27]],FDR[FDR]&amp;FDR[[#Headers],[27]],FDR[27],"",0,1)</f>
        <v>2</v>
      </c>
      <c r="AN12" cm="1">
        <f t="array" ref="AN12">_xlfn.XLOOKUP(Matrix[[#This Row],[TEAM]]&amp;Matrix[[#Headers],[28]],FDR[FDR]&amp;FDR[[#Headers],[28]],FDR[28],"",0,1)</f>
        <v>1</v>
      </c>
      <c r="AO12" cm="1">
        <f t="array" ref="AO12">_xlfn.XLOOKUP(Matrix[[#This Row],[TEAM]]&amp;Matrix[[#Headers],[29]],FDR[FDR]&amp;FDR[[#Headers],[29]],FDR[29],"",0,1)</f>
        <v>1</v>
      </c>
      <c r="AP12" cm="1">
        <f t="array" ref="AP12">_xlfn.XLOOKUP(Matrix[[#This Row],[TEAM]]&amp;Matrix[[#Headers],[30]],FDR[FDR]&amp;FDR[[#Headers],[30]],FDR[30],"",0,1)</f>
        <v>2</v>
      </c>
      <c r="AQ12" cm="1">
        <f t="array" ref="AQ12">_xlfn.XLOOKUP(Matrix[[#This Row],[TEAM]]&amp;Matrix[[#Headers],[31]],FDR[FDR]&amp;FDR[[#Headers],[31]],FDR[31],"",0,1)</f>
        <v>1</v>
      </c>
      <c r="AR12" cm="1">
        <f t="array" ref="AR12">_xlfn.XLOOKUP(Matrix[[#This Row],[TEAM]]&amp;Matrix[[#Headers],[32]],FDR[FDR]&amp;FDR[[#Headers],[32]],FDR[32],"",0,1)</f>
        <v>3</v>
      </c>
      <c r="AS12" cm="1">
        <f t="array" ref="AS12">_xlfn.XLOOKUP(Matrix[[#This Row],[TEAM]]&amp;Matrix[[#Headers],[33]],FDR[FDR]&amp;FDR[[#Headers],[33]],FDR[33],"",0,1)</f>
        <v>3</v>
      </c>
      <c r="AT12" cm="1">
        <f t="array" ref="AT12">_xlfn.XLOOKUP(Matrix[[#This Row],[TEAM]]&amp;Matrix[[#Headers],[34]],FDR[FDR]&amp;FDR[[#Headers],[34]],FDR[34],"",0,1)</f>
        <v>1</v>
      </c>
      <c r="AU12" cm="1">
        <f t="array" ref="AU12">_xlfn.XLOOKUP(Matrix[[#This Row],[TEAM]]&amp;Matrix[[#Headers],[35]],FDR[FDR]&amp;FDR[[#Headers],[35]],FDR[35],"",0,1)</f>
        <v>2</v>
      </c>
      <c r="AV12" cm="1">
        <f t="array" ref="AV12">_xlfn.XLOOKUP(Matrix[[#This Row],[TEAM]]&amp;Matrix[[#Headers],[36]],FDR[FDR]&amp;FDR[[#Headers],[36]],FDR[36],"",0,1)</f>
        <v>1</v>
      </c>
      <c r="AW12" cm="1">
        <f t="array" ref="AW12">_xlfn.XLOOKUP(Matrix[[#This Row],[TEAM]]&amp;Matrix[[#Headers],[37]],FDR[FDR]&amp;FDR[[#Headers],[37]],FDR[37],"",0,1)</f>
        <v>2</v>
      </c>
      <c r="AX12" cm="1">
        <f t="array" ref="AX12">_xlfn.XLOOKUP(Matrix[[#This Row],[TEAM]]&amp;Matrix[[#Headers],[38]],FDR[FDR]&amp;FDR[[#Headers],[38]],FDR[38],"",0,1)</f>
        <v>2</v>
      </c>
    </row>
    <row r="13" spans="1:50" ht="22" thickTop="1" thickBot="1">
      <c r="A13" s="49" t="str">
        <f>INDEX!S$5</f>
        <v>FWD</v>
      </c>
      <c r="B13" s="70" t="s">
        <v>1283</v>
      </c>
      <c r="C13" s="40" t="s">
        <v>27</v>
      </c>
      <c r="D13" s="62">
        <v>193</v>
      </c>
      <c r="E13" s="60">
        <v>0.19</v>
      </c>
      <c r="F13" s="61">
        <v>271.89999999999998</v>
      </c>
      <c r="G13" s="63">
        <v>7.9</v>
      </c>
      <c r="H13" s="261">
        <f>IF(ISBLANK(I13),0,1)</f>
        <v>0</v>
      </c>
      <c r="I13" s="57"/>
      <c r="J13" s="58"/>
      <c r="K13" s="64" t="s">
        <v>372</v>
      </c>
      <c r="L13" s="64" t="s">
        <v>74</v>
      </c>
      <c r="M13" cm="1">
        <f t="array" ref="M13">_xlfn.XLOOKUP(Matrix[[#This Row],[TEAM]]&amp;Matrix[[#Headers],[1]],FDR[FDR]&amp;FDR[[#Headers],[1]],FDR[1],"",0,1)</f>
        <v>2</v>
      </c>
      <c r="N13" cm="1">
        <f t="array" ref="N13">_xlfn.XLOOKUP(Matrix[[#This Row],[TEAM]]&amp;Matrix[[#Headers],[2]],FDR[FDR]&amp;FDR[[#Headers],[2]],FDR[2],"",0,1)</f>
        <v>4</v>
      </c>
      <c r="O13" cm="1">
        <f t="array" ref="O13">_xlfn.XLOOKUP(Matrix[[#This Row],[TEAM]]&amp;Matrix[[#Headers],[3]],FDR[FDR]&amp;FDR[[#Headers],[3]],FDR[3],"",0,1)</f>
        <v>4</v>
      </c>
      <c r="P13" cm="1">
        <f t="array" ref="P13">_xlfn.XLOOKUP(Matrix[[#This Row],[TEAM]]&amp;Matrix[[#Headers],[4]],FDR[FDR]&amp;FDR[[#Headers],[4]],FDR[4],"",0,1)</f>
        <v>4</v>
      </c>
      <c r="Q13" cm="1">
        <f t="array" ref="Q13">_xlfn.XLOOKUP(Matrix[[#This Row],[TEAM]]&amp;Matrix[[#Headers],[5]],FDR[FDR]&amp;FDR[[#Headers],[5]],FDR[5],"",0,1)</f>
        <v>3</v>
      </c>
      <c r="R13" cm="1">
        <f t="array" ref="R13">_xlfn.XLOOKUP(Matrix[[#This Row],[TEAM]]&amp;Matrix[[#Headers],[6]],FDR[FDR]&amp;FDR[[#Headers],[6]],FDR[6],"",0,1)</f>
        <v>4</v>
      </c>
      <c r="S13" cm="1">
        <f t="array" ref="S13">_xlfn.XLOOKUP(Matrix[[#This Row],[TEAM]]&amp;Matrix[[#Headers],[7]],FDR[FDR]&amp;FDR[[#Headers],[7]],FDR[7],"",0,1)</f>
        <v>5</v>
      </c>
      <c r="T13" cm="1">
        <f t="array" ref="T13">_xlfn.XLOOKUP(Matrix[[#This Row],[TEAM]]&amp;Matrix[[#Headers],[8]],FDR[FDR]&amp;FDR[[#Headers],[8]],FDR[8],"",0,1)</f>
        <v>3</v>
      </c>
      <c r="U13" cm="1">
        <f t="array" ref="U13">_xlfn.XLOOKUP(Matrix[[#This Row],[TEAM]]&amp;Matrix[[#Headers],[9]],FDR[FDR]&amp;FDR[[#Headers],[9]],FDR[9],"",0,1)</f>
        <v>2</v>
      </c>
      <c r="V13" cm="1">
        <f t="array" ref="V13">_xlfn.XLOOKUP(Matrix[[#This Row],[TEAM]]&amp;Matrix[[#Headers],[10]],FDR[FDR]&amp;FDR[[#Headers],[10]],FDR[10],"",0,1)</f>
        <v>4</v>
      </c>
      <c r="W13" cm="1">
        <f t="array" ref="W13">_xlfn.XLOOKUP(Matrix[[#This Row],[TEAM]]&amp;Matrix[[#Headers],[11]],FDR[FDR]&amp;FDR[[#Headers],[11]],FDR[11],"",0,1)</f>
        <v>1</v>
      </c>
      <c r="X13" cm="1">
        <f t="array" ref="X13">_xlfn.XLOOKUP(Matrix[[#This Row],[TEAM]]&amp;Matrix[[#Headers],[12]],FDR[FDR]&amp;FDR[[#Headers],[12]],FDR[12],"",0,1)</f>
        <v>4</v>
      </c>
      <c r="Y13" cm="1">
        <f t="array" ref="Y13">_xlfn.XLOOKUP(Matrix[[#This Row],[TEAM]]&amp;Matrix[[#Headers],[13]],FDR[FDR]&amp;FDR[[#Headers],[13]],FDR[13],"",0,1)</f>
        <v>4</v>
      </c>
      <c r="Z13" cm="1">
        <f t="array" ref="Z13">_xlfn.XLOOKUP(Matrix[[#This Row],[TEAM]]&amp;Matrix[[#Headers],[14]],FDR[FDR]&amp;FDR[[#Headers],[14]],FDR[14],"",0,1)</f>
        <v>5</v>
      </c>
      <c r="AA13" cm="1">
        <f t="array" ref="AA13">_xlfn.XLOOKUP(Matrix[[#This Row],[TEAM]]&amp;Matrix[[#Headers],[15]],FDR[FDR]&amp;FDR[[#Headers],[15]],FDR[15],"",0,1)</f>
        <v>4</v>
      </c>
      <c r="AB13" cm="1">
        <f t="array" ref="AB13">_xlfn.XLOOKUP(Matrix[[#This Row],[TEAM]]&amp;Matrix[[#Headers],[16]],FDR[FDR]&amp;FDR[[#Headers],[16]],FDR[16],"",0,1)</f>
        <v>4</v>
      </c>
      <c r="AC13" cm="1">
        <f t="array" ref="AC13">_xlfn.XLOOKUP(Matrix[[#This Row],[TEAM]]&amp;Matrix[[#Headers],[17]],FDR[FDR]&amp;FDR[[#Headers],[17]],FDR[17],"",0,1)</f>
        <v>5</v>
      </c>
      <c r="AD13" cm="1">
        <f t="array" ref="AD13">_xlfn.XLOOKUP(Matrix[[#This Row],[TEAM]]&amp;Matrix[[#Headers],[18]],FDR[FDR]&amp;FDR[[#Headers],[18]],FDR[18],"",0,1)</f>
        <v>3</v>
      </c>
      <c r="AE13" cm="1">
        <f t="array" ref="AE13">_xlfn.XLOOKUP(Matrix[[#This Row],[TEAM]]&amp;Matrix[[#Headers],[19]],FDR[FDR]&amp;FDR[[#Headers],[19]],FDR[19],"",0,1)</f>
        <v>3</v>
      </c>
      <c r="AF13" cm="1">
        <f t="array" ref="AF13">_xlfn.XLOOKUP(Matrix[[#This Row],[TEAM]]&amp;Matrix[[#Headers],[20]],FDR[FDR]&amp;FDR[[#Headers],[20]],FDR[20],"",0,1)</f>
        <v>2</v>
      </c>
      <c r="AG13" cm="1">
        <f t="array" ref="AG13">_xlfn.XLOOKUP(Matrix[[#This Row],[TEAM]]&amp;Matrix[[#Headers],[21]],FDR[FDR]&amp;FDR[[#Headers],[21]],FDR[21],"",0,1)</f>
        <v>3</v>
      </c>
      <c r="AH13" cm="1">
        <f t="array" ref="AH13">_xlfn.XLOOKUP(Matrix[[#This Row],[TEAM]]&amp;Matrix[[#Headers],[22]],FDR[FDR]&amp;FDR[[#Headers],[22]],FDR[22],"",0,1)</f>
        <v>5</v>
      </c>
      <c r="AI13" cm="1">
        <f t="array" ref="AI13">_xlfn.XLOOKUP(Matrix[[#This Row],[TEAM]]&amp;Matrix[[#Headers],[23]],FDR[FDR]&amp;FDR[[#Headers],[23]],FDR[23],"",0,1)</f>
        <v>1</v>
      </c>
      <c r="AJ13" cm="1">
        <f t="array" ref="AJ13">_xlfn.XLOOKUP(Matrix[[#This Row],[TEAM]]&amp;Matrix[[#Headers],[24]],FDR[FDR]&amp;FDR[[#Headers],[24]],FDR[24],"",0,1)</f>
        <v>5</v>
      </c>
      <c r="AK13" cm="1">
        <f t="array" ref="AK13">_xlfn.XLOOKUP(Matrix[[#This Row],[TEAM]]&amp;Matrix[[#Headers],[25]],FDR[FDR]&amp;FDR[[#Headers],[25]],FDR[25],"",0,1)</f>
        <v>2</v>
      </c>
      <c r="AL13" cm="1">
        <f t="array" ref="AL13">_xlfn.XLOOKUP(Matrix[[#This Row],[TEAM]]&amp;Matrix[[#Headers],[26]],FDR[FDR]&amp;FDR[[#Headers],[26]],FDR[26],"",0,1)</f>
        <v>4</v>
      </c>
      <c r="AM13" cm="1">
        <f t="array" ref="AM13">_xlfn.XLOOKUP(Matrix[[#This Row],[TEAM]]&amp;Matrix[[#Headers],[27]],FDR[FDR]&amp;FDR[[#Headers],[27]],FDR[27],"",0,1)</f>
        <v>3</v>
      </c>
      <c r="AN13" cm="1">
        <f t="array" ref="AN13">_xlfn.XLOOKUP(Matrix[[#This Row],[TEAM]]&amp;Matrix[[#Headers],[28]],FDR[FDR]&amp;FDR[[#Headers],[28]],FDR[28],"",0,1)</f>
        <v>5</v>
      </c>
      <c r="AO13" cm="1">
        <f t="array" ref="AO13">_xlfn.XLOOKUP(Matrix[[#This Row],[TEAM]]&amp;Matrix[[#Headers],[29]],FDR[FDR]&amp;FDR[[#Headers],[29]],FDR[29],"",0,1)</f>
        <v>4</v>
      </c>
      <c r="AP13" cm="1">
        <f t="array" ref="AP13">_xlfn.XLOOKUP(Matrix[[#This Row],[TEAM]]&amp;Matrix[[#Headers],[30]],FDR[FDR]&amp;FDR[[#Headers],[30]],FDR[30],"",0,1)</f>
        <v>4</v>
      </c>
      <c r="AQ13" cm="1">
        <f t="array" ref="AQ13">_xlfn.XLOOKUP(Matrix[[#This Row],[TEAM]]&amp;Matrix[[#Headers],[31]],FDR[FDR]&amp;FDR[[#Headers],[31]],FDR[31],"",0,1)</f>
        <v>5</v>
      </c>
      <c r="AR13" cm="1">
        <f t="array" ref="AR13">_xlfn.XLOOKUP(Matrix[[#This Row],[TEAM]]&amp;Matrix[[#Headers],[32]],FDR[FDR]&amp;FDR[[#Headers],[32]],FDR[32],"",0,1)</f>
        <v>2</v>
      </c>
      <c r="AS13" cm="1">
        <f t="array" ref="AS13">_xlfn.XLOOKUP(Matrix[[#This Row],[TEAM]]&amp;Matrix[[#Headers],[33]],FDR[FDR]&amp;FDR[[#Headers],[33]],FDR[33],"",0,1)</f>
        <v>4</v>
      </c>
      <c r="AT13" cm="1">
        <f t="array" ref="AT13">_xlfn.XLOOKUP(Matrix[[#This Row],[TEAM]]&amp;Matrix[[#Headers],[34]],FDR[FDR]&amp;FDR[[#Headers],[34]],FDR[34],"",0,1)</f>
        <v>3</v>
      </c>
      <c r="AU13" cm="1">
        <f t="array" ref="AU13">_xlfn.XLOOKUP(Matrix[[#This Row],[TEAM]]&amp;Matrix[[#Headers],[35]],FDR[FDR]&amp;FDR[[#Headers],[35]],FDR[35],"",0,1)</f>
        <v>4</v>
      </c>
      <c r="AV13" cm="1">
        <f t="array" ref="AV13">_xlfn.XLOOKUP(Matrix[[#This Row],[TEAM]]&amp;Matrix[[#Headers],[36]],FDR[FDR]&amp;FDR[[#Headers],[36]],FDR[36],"",0,1)</f>
        <v>4</v>
      </c>
      <c r="AW13" cm="1">
        <f t="array" ref="AW13">_xlfn.XLOOKUP(Matrix[[#This Row],[TEAM]]&amp;Matrix[[#Headers],[37]],FDR[FDR]&amp;FDR[[#Headers],[37]],FDR[37],"",0,1)</f>
        <v>5</v>
      </c>
      <c r="AX13" cm="1">
        <f t="array" ref="AX13">_xlfn.XLOOKUP(Matrix[[#This Row],[TEAM]]&amp;Matrix[[#Headers],[38]],FDR[FDR]&amp;FDR[[#Headers],[38]],FDR[38],"",0,1)</f>
        <v>1</v>
      </c>
    </row>
    <row r="14" spans="1:50" ht="22" thickTop="1" thickBot="1">
      <c r="A14" s="49" t="str">
        <f>INDEX!S$5</f>
        <v>FWD</v>
      </c>
      <c r="B14" s="70" t="s">
        <v>1289</v>
      </c>
      <c r="C14" s="40" t="s">
        <v>52</v>
      </c>
      <c r="D14" s="62">
        <v>200</v>
      </c>
      <c r="E14" s="60">
        <v>0.14699999999999999</v>
      </c>
      <c r="F14" s="61">
        <v>205.6</v>
      </c>
      <c r="G14" s="63">
        <v>7.6</v>
      </c>
      <c r="H14" s="261">
        <f>IF(ISBLANK(I14),0,1)</f>
        <v>0</v>
      </c>
      <c r="I14" s="57"/>
      <c r="J14" s="58"/>
      <c r="K14" s="64" t="s">
        <v>494</v>
      </c>
      <c r="L14" s="64" t="s">
        <v>286</v>
      </c>
      <c r="M14" cm="1">
        <f t="array" ref="M14">_xlfn.XLOOKUP(Matrix[[#This Row],[TEAM]]&amp;Matrix[[#Headers],[1]],FDR[FDR]&amp;FDR[[#Headers],[1]],FDR[1],"",0,1)</f>
        <v>2</v>
      </c>
      <c r="N14" cm="1">
        <f t="array" ref="N14">_xlfn.XLOOKUP(Matrix[[#This Row],[TEAM]]&amp;Matrix[[#Headers],[2]],FDR[FDR]&amp;FDR[[#Headers],[2]],FDR[2],"",0,1)</f>
        <v>3</v>
      </c>
      <c r="O14" cm="1">
        <f t="array" ref="O14">_xlfn.XLOOKUP(Matrix[[#This Row],[TEAM]]&amp;Matrix[[#Headers],[3]],FDR[FDR]&amp;FDR[[#Headers],[3]],FDR[3],"",0,1)</f>
        <v>2</v>
      </c>
      <c r="P14" cm="1">
        <f t="array" ref="P14">_xlfn.XLOOKUP(Matrix[[#This Row],[TEAM]]&amp;Matrix[[#Headers],[4]],FDR[FDR]&amp;FDR[[#Headers],[4]],FDR[4],"",0,1)</f>
        <v>5</v>
      </c>
      <c r="Q14" cm="1">
        <f t="array" ref="Q14">_xlfn.XLOOKUP(Matrix[[#This Row],[TEAM]]&amp;Matrix[[#Headers],[5]],FDR[FDR]&amp;FDR[[#Headers],[5]],FDR[5],"",0,1)</f>
        <v>2</v>
      </c>
      <c r="R14" cm="1">
        <f t="array" ref="R14">_xlfn.XLOOKUP(Matrix[[#This Row],[TEAM]]&amp;Matrix[[#Headers],[6]],FDR[FDR]&amp;FDR[[#Headers],[6]],FDR[6],"",0,1)</f>
        <v>1</v>
      </c>
      <c r="S14" cm="1">
        <f t="array" ref="S14">_xlfn.XLOOKUP(Matrix[[#This Row],[TEAM]]&amp;Matrix[[#Headers],[7]],FDR[FDR]&amp;FDR[[#Headers],[7]],FDR[7],"",0,1)</f>
        <v>5</v>
      </c>
      <c r="T14" cm="1">
        <f t="array" ref="T14">_xlfn.XLOOKUP(Matrix[[#This Row],[TEAM]]&amp;Matrix[[#Headers],[8]],FDR[FDR]&amp;FDR[[#Headers],[8]],FDR[8],"",0,1)</f>
        <v>4</v>
      </c>
      <c r="U14" cm="1">
        <f t="array" ref="U14">_xlfn.XLOOKUP(Matrix[[#This Row],[TEAM]]&amp;Matrix[[#Headers],[9]],FDR[FDR]&amp;FDR[[#Headers],[9]],FDR[9],"",0,1)</f>
        <v>4</v>
      </c>
      <c r="V14" cm="1">
        <f t="array" ref="V14">_xlfn.XLOOKUP(Matrix[[#This Row],[TEAM]]&amp;Matrix[[#Headers],[10]],FDR[FDR]&amp;FDR[[#Headers],[10]],FDR[10],"",0,1)</f>
        <v>4</v>
      </c>
      <c r="W14" cm="1">
        <f t="array" ref="W14">_xlfn.XLOOKUP(Matrix[[#This Row],[TEAM]]&amp;Matrix[[#Headers],[11]],FDR[FDR]&amp;FDR[[#Headers],[11]],FDR[11],"",0,1)</f>
        <v>1</v>
      </c>
      <c r="X14" cm="1">
        <f t="array" ref="X14">_xlfn.XLOOKUP(Matrix[[#This Row],[TEAM]]&amp;Matrix[[#Headers],[12]],FDR[FDR]&amp;FDR[[#Headers],[12]],FDR[12],"",0,1)</f>
        <v>5</v>
      </c>
      <c r="Y14" cm="1">
        <f t="array" ref="Y14">_xlfn.XLOOKUP(Matrix[[#This Row],[TEAM]]&amp;Matrix[[#Headers],[13]],FDR[FDR]&amp;FDR[[#Headers],[13]],FDR[13],"",0,1)</f>
        <v>3</v>
      </c>
      <c r="Z14" cm="1">
        <f t="array" ref="Z14">_xlfn.XLOOKUP(Matrix[[#This Row],[TEAM]]&amp;Matrix[[#Headers],[14]],FDR[FDR]&amp;FDR[[#Headers],[14]],FDR[14],"",0,1)</f>
        <v>2</v>
      </c>
      <c r="AA14" cm="1">
        <f t="array" ref="AA14">_xlfn.XLOOKUP(Matrix[[#This Row],[TEAM]]&amp;Matrix[[#Headers],[15]],FDR[FDR]&amp;FDR[[#Headers],[15]],FDR[15],"",0,1)</f>
        <v>3</v>
      </c>
      <c r="AB14" cm="1">
        <f t="array" ref="AB14">_xlfn.XLOOKUP(Matrix[[#This Row],[TEAM]]&amp;Matrix[[#Headers],[16]],FDR[FDR]&amp;FDR[[#Headers],[16]],FDR[16],"",0,1)</f>
        <v>4</v>
      </c>
      <c r="AC14" cm="1">
        <f t="array" ref="AC14">_xlfn.XLOOKUP(Matrix[[#This Row],[TEAM]]&amp;Matrix[[#Headers],[17]],FDR[FDR]&amp;FDR[[#Headers],[17]],FDR[17],"",0,1)</f>
        <v>4</v>
      </c>
      <c r="AD14" cm="1">
        <f t="array" ref="AD14">_xlfn.XLOOKUP(Matrix[[#This Row],[TEAM]]&amp;Matrix[[#Headers],[18]],FDR[FDR]&amp;FDR[[#Headers],[18]],FDR[18],"",0,1)</f>
        <v>4</v>
      </c>
      <c r="AE14" cm="1">
        <f t="array" ref="AE14">_xlfn.XLOOKUP(Matrix[[#This Row],[TEAM]]&amp;Matrix[[#Headers],[19]],FDR[FDR]&amp;FDR[[#Headers],[19]],FDR[19],"",0,1)</f>
        <v>2</v>
      </c>
      <c r="AF14" cm="1">
        <f t="array" ref="AF14">_xlfn.XLOOKUP(Matrix[[#This Row],[TEAM]]&amp;Matrix[[#Headers],[20]],FDR[FDR]&amp;FDR[[#Headers],[20]],FDR[20],"",0,1)</f>
        <v>5</v>
      </c>
      <c r="AG14" cm="1">
        <f t="array" ref="AG14">_xlfn.XLOOKUP(Matrix[[#This Row],[TEAM]]&amp;Matrix[[#Headers],[21]],FDR[FDR]&amp;FDR[[#Headers],[21]],FDR[21],"",0,1)</f>
        <v>3</v>
      </c>
      <c r="AH14" cm="1">
        <f t="array" ref="AH14">_xlfn.XLOOKUP(Matrix[[#This Row],[TEAM]]&amp;Matrix[[#Headers],[22]],FDR[FDR]&amp;FDR[[#Headers],[22]],FDR[22],"",0,1)</f>
        <v>4</v>
      </c>
      <c r="AI14" cm="1">
        <f t="array" ref="AI14">_xlfn.XLOOKUP(Matrix[[#This Row],[TEAM]]&amp;Matrix[[#Headers],[23]],FDR[FDR]&amp;FDR[[#Headers],[23]],FDR[23],"",0,1)</f>
        <v>3</v>
      </c>
      <c r="AJ14" cm="1">
        <f t="array" ref="AJ14">_xlfn.XLOOKUP(Matrix[[#This Row],[TEAM]]&amp;Matrix[[#Headers],[24]],FDR[FDR]&amp;FDR[[#Headers],[24]],FDR[24],"",0,1)</f>
        <v>2</v>
      </c>
      <c r="AK14" cm="1">
        <f t="array" ref="AK14">_xlfn.XLOOKUP(Matrix[[#This Row],[TEAM]]&amp;Matrix[[#Headers],[25]],FDR[FDR]&amp;FDR[[#Headers],[25]],FDR[25],"",0,1)</f>
        <v>2</v>
      </c>
      <c r="AL14" cm="1">
        <f t="array" ref="AL14">_xlfn.XLOOKUP(Matrix[[#This Row],[TEAM]]&amp;Matrix[[#Headers],[26]],FDR[FDR]&amp;FDR[[#Headers],[26]],FDR[26],"",0,1)</f>
        <v>1</v>
      </c>
      <c r="AM14" cm="1">
        <f t="array" ref="AM14">_xlfn.XLOOKUP(Matrix[[#This Row],[TEAM]]&amp;Matrix[[#Headers],[27]],FDR[FDR]&amp;FDR[[#Headers],[27]],FDR[27],"",0,1)</f>
        <v>4</v>
      </c>
      <c r="AN14" cm="1">
        <f t="array" ref="AN14">_xlfn.XLOOKUP(Matrix[[#This Row],[TEAM]]&amp;Matrix[[#Headers],[28]],FDR[FDR]&amp;FDR[[#Headers],[28]],FDR[28],"",0,1)</f>
        <v>4</v>
      </c>
      <c r="AO14" cm="1">
        <f t="array" ref="AO14">_xlfn.XLOOKUP(Matrix[[#This Row],[TEAM]]&amp;Matrix[[#Headers],[29]],FDR[FDR]&amp;FDR[[#Headers],[29]],FDR[29],"",0,1)</f>
        <v>5</v>
      </c>
      <c r="AP14" cm="1">
        <f t="array" ref="AP14">_xlfn.XLOOKUP(Matrix[[#This Row],[TEAM]]&amp;Matrix[[#Headers],[30]],FDR[FDR]&amp;FDR[[#Headers],[30]],FDR[30],"",0,1)</f>
        <v>3</v>
      </c>
      <c r="AQ14" cm="1">
        <f t="array" ref="AQ14">_xlfn.XLOOKUP(Matrix[[#This Row],[TEAM]]&amp;Matrix[[#Headers],[31]],FDR[FDR]&amp;FDR[[#Headers],[31]],FDR[31],"",0,1)</f>
        <v>5</v>
      </c>
      <c r="AR14" cm="1">
        <f t="array" ref="AR14">_xlfn.XLOOKUP(Matrix[[#This Row],[TEAM]]&amp;Matrix[[#Headers],[32]],FDR[FDR]&amp;FDR[[#Headers],[32]],FDR[32],"",0,1)</f>
        <v>3</v>
      </c>
      <c r="AS14" cm="1">
        <f t="array" ref="AS14">_xlfn.XLOOKUP(Matrix[[#This Row],[TEAM]]&amp;Matrix[[#Headers],[33]],FDR[FDR]&amp;FDR[[#Headers],[33]],FDR[33],"",0,1)</f>
        <v>1</v>
      </c>
      <c r="AT14" cm="1">
        <f t="array" ref="AT14">_xlfn.XLOOKUP(Matrix[[#This Row],[TEAM]]&amp;Matrix[[#Headers],[34]],FDR[FDR]&amp;FDR[[#Headers],[34]],FDR[34],"",0,1)</f>
        <v>2</v>
      </c>
      <c r="AU14" cm="1">
        <f t="array" ref="AU14">_xlfn.XLOOKUP(Matrix[[#This Row],[TEAM]]&amp;Matrix[[#Headers],[35]],FDR[FDR]&amp;FDR[[#Headers],[35]],FDR[35],"",0,1)</f>
        <v>5</v>
      </c>
      <c r="AV14" cm="1">
        <f t="array" ref="AV14">_xlfn.XLOOKUP(Matrix[[#This Row],[TEAM]]&amp;Matrix[[#Headers],[36]],FDR[FDR]&amp;FDR[[#Headers],[36]],FDR[36],"",0,1)</f>
        <v>4</v>
      </c>
      <c r="AW14" cm="1">
        <f t="array" ref="AW14">_xlfn.XLOOKUP(Matrix[[#This Row],[TEAM]]&amp;Matrix[[#Headers],[37]],FDR[FDR]&amp;FDR[[#Headers],[37]],FDR[37],"",0,1)</f>
        <v>5</v>
      </c>
      <c r="AX14" cm="1">
        <f t="array" ref="AX14">_xlfn.XLOOKUP(Matrix[[#This Row],[TEAM]]&amp;Matrix[[#Headers],[38]],FDR[FDR]&amp;FDR[[#Headers],[38]],FDR[38],"",0,1)</f>
        <v>3</v>
      </c>
    </row>
    <row r="15" spans="1:50" ht="22" thickTop="1" thickBot="1">
      <c r="A15" s="50" t="str">
        <f>INDEX!S$4</f>
        <v>MID</v>
      </c>
      <c r="B15" s="70" t="s">
        <v>1295</v>
      </c>
      <c r="C15" s="40" t="s">
        <v>52</v>
      </c>
      <c r="D15" s="62">
        <v>154</v>
      </c>
      <c r="E15" s="60">
        <v>5.0999999999999997E-2</v>
      </c>
      <c r="F15" s="61">
        <v>210.6</v>
      </c>
      <c r="G15" s="63">
        <v>7.5</v>
      </c>
      <c r="H15" s="261">
        <f>IF(ISBLANK(I15),0,1)</f>
        <v>0</v>
      </c>
      <c r="I15" s="57"/>
      <c r="J15" s="58"/>
      <c r="K15" s="59" t="s">
        <v>373</v>
      </c>
      <c r="L15" s="59" t="s">
        <v>73</v>
      </c>
      <c r="M15" cm="1">
        <f t="array" ref="M15">_xlfn.XLOOKUP(Matrix[[#This Row],[TEAM]]&amp;Matrix[[#Headers],[1]],FDR[FDR]&amp;FDR[[#Headers],[1]],FDR[1],"",0,1)</f>
        <v>2</v>
      </c>
      <c r="N15" cm="1">
        <f t="array" ref="N15">_xlfn.XLOOKUP(Matrix[[#This Row],[TEAM]]&amp;Matrix[[#Headers],[2]],FDR[FDR]&amp;FDR[[#Headers],[2]],FDR[2],"",0,1)</f>
        <v>3</v>
      </c>
      <c r="O15" cm="1">
        <f t="array" ref="O15">_xlfn.XLOOKUP(Matrix[[#This Row],[TEAM]]&amp;Matrix[[#Headers],[3]],FDR[FDR]&amp;FDR[[#Headers],[3]],FDR[3],"",0,1)</f>
        <v>2</v>
      </c>
      <c r="P15" cm="1">
        <f t="array" ref="P15">_xlfn.XLOOKUP(Matrix[[#This Row],[TEAM]]&amp;Matrix[[#Headers],[4]],FDR[FDR]&amp;FDR[[#Headers],[4]],FDR[4],"",0,1)</f>
        <v>5</v>
      </c>
      <c r="Q15" cm="1">
        <f t="array" ref="Q15">_xlfn.XLOOKUP(Matrix[[#This Row],[TEAM]]&amp;Matrix[[#Headers],[5]],FDR[FDR]&amp;FDR[[#Headers],[5]],FDR[5],"",0,1)</f>
        <v>2</v>
      </c>
      <c r="R15" cm="1">
        <f t="array" ref="R15">_xlfn.XLOOKUP(Matrix[[#This Row],[TEAM]]&amp;Matrix[[#Headers],[6]],FDR[FDR]&amp;FDR[[#Headers],[6]],FDR[6],"",0,1)</f>
        <v>1</v>
      </c>
      <c r="S15" cm="1">
        <f t="array" ref="S15">_xlfn.XLOOKUP(Matrix[[#This Row],[TEAM]]&amp;Matrix[[#Headers],[7]],FDR[FDR]&amp;FDR[[#Headers],[7]],FDR[7],"",0,1)</f>
        <v>5</v>
      </c>
      <c r="T15" cm="1">
        <f t="array" ref="T15">_xlfn.XLOOKUP(Matrix[[#This Row],[TEAM]]&amp;Matrix[[#Headers],[8]],FDR[FDR]&amp;FDR[[#Headers],[8]],FDR[8],"",0,1)</f>
        <v>4</v>
      </c>
      <c r="U15" cm="1">
        <f t="array" ref="U15">_xlfn.XLOOKUP(Matrix[[#This Row],[TEAM]]&amp;Matrix[[#Headers],[9]],FDR[FDR]&amp;FDR[[#Headers],[9]],FDR[9],"",0,1)</f>
        <v>4</v>
      </c>
      <c r="V15" cm="1">
        <f t="array" ref="V15">_xlfn.XLOOKUP(Matrix[[#This Row],[TEAM]]&amp;Matrix[[#Headers],[10]],FDR[FDR]&amp;FDR[[#Headers],[10]],FDR[10],"",0,1)</f>
        <v>4</v>
      </c>
      <c r="W15" cm="1">
        <f t="array" ref="W15">_xlfn.XLOOKUP(Matrix[[#This Row],[TEAM]]&amp;Matrix[[#Headers],[11]],FDR[FDR]&amp;FDR[[#Headers],[11]],FDR[11],"",0,1)</f>
        <v>1</v>
      </c>
      <c r="X15" cm="1">
        <f t="array" ref="X15">_xlfn.XLOOKUP(Matrix[[#This Row],[TEAM]]&amp;Matrix[[#Headers],[12]],FDR[FDR]&amp;FDR[[#Headers],[12]],FDR[12],"",0,1)</f>
        <v>5</v>
      </c>
      <c r="Y15" cm="1">
        <f t="array" ref="Y15">_xlfn.XLOOKUP(Matrix[[#This Row],[TEAM]]&amp;Matrix[[#Headers],[13]],FDR[FDR]&amp;FDR[[#Headers],[13]],FDR[13],"",0,1)</f>
        <v>3</v>
      </c>
      <c r="Z15" cm="1">
        <f t="array" ref="Z15">_xlfn.XLOOKUP(Matrix[[#This Row],[TEAM]]&amp;Matrix[[#Headers],[14]],FDR[FDR]&amp;FDR[[#Headers],[14]],FDR[14],"",0,1)</f>
        <v>2</v>
      </c>
      <c r="AA15" cm="1">
        <f t="array" ref="AA15">_xlfn.XLOOKUP(Matrix[[#This Row],[TEAM]]&amp;Matrix[[#Headers],[15]],FDR[FDR]&amp;FDR[[#Headers],[15]],FDR[15],"",0,1)</f>
        <v>3</v>
      </c>
      <c r="AB15" cm="1">
        <f t="array" ref="AB15">_xlfn.XLOOKUP(Matrix[[#This Row],[TEAM]]&amp;Matrix[[#Headers],[16]],FDR[FDR]&amp;FDR[[#Headers],[16]],FDR[16],"",0,1)</f>
        <v>4</v>
      </c>
      <c r="AC15" cm="1">
        <f t="array" ref="AC15">_xlfn.XLOOKUP(Matrix[[#This Row],[TEAM]]&amp;Matrix[[#Headers],[17]],FDR[FDR]&amp;FDR[[#Headers],[17]],FDR[17],"",0,1)</f>
        <v>4</v>
      </c>
      <c r="AD15" cm="1">
        <f t="array" ref="AD15">_xlfn.XLOOKUP(Matrix[[#This Row],[TEAM]]&amp;Matrix[[#Headers],[18]],FDR[FDR]&amp;FDR[[#Headers],[18]],FDR[18],"",0,1)</f>
        <v>4</v>
      </c>
      <c r="AE15" cm="1">
        <f t="array" ref="AE15">_xlfn.XLOOKUP(Matrix[[#This Row],[TEAM]]&amp;Matrix[[#Headers],[19]],FDR[FDR]&amp;FDR[[#Headers],[19]],FDR[19],"",0,1)</f>
        <v>2</v>
      </c>
      <c r="AF15" cm="1">
        <f t="array" ref="AF15">_xlfn.XLOOKUP(Matrix[[#This Row],[TEAM]]&amp;Matrix[[#Headers],[20]],FDR[FDR]&amp;FDR[[#Headers],[20]],FDR[20],"",0,1)</f>
        <v>5</v>
      </c>
      <c r="AG15" cm="1">
        <f t="array" ref="AG15">_xlfn.XLOOKUP(Matrix[[#This Row],[TEAM]]&amp;Matrix[[#Headers],[21]],FDR[FDR]&amp;FDR[[#Headers],[21]],FDR[21],"",0,1)</f>
        <v>3</v>
      </c>
      <c r="AH15" cm="1">
        <f t="array" ref="AH15">_xlfn.XLOOKUP(Matrix[[#This Row],[TEAM]]&amp;Matrix[[#Headers],[22]],FDR[FDR]&amp;FDR[[#Headers],[22]],FDR[22],"",0,1)</f>
        <v>4</v>
      </c>
      <c r="AI15" cm="1">
        <f t="array" ref="AI15">_xlfn.XLOOKUP(Matrix[[#This Row],[TEAM]]&amp;Matrix[[#Headers],[23]],FDR[FDR]&amp;FDR[[#Headers],[23]],FDR[23],"",0,1)</f>
        <v>3</v>
      </c>
      <c r="AJ15" cm="1">
        <f t="array" ref="AJ15">_xlfn.XLOOKUP(Matrix[[#This Row],[TEAM]]&amp;Matrix[[#Headers],[24]],FDR[FDR]&amp;FDR[[#Headers],[24]],FDR[24],"",0,1)</f>
        <v>2</v>
      </c>
      <c r="AK15" cm="1">
        <f t="array" ref="AK15">_xlfn.XLOOKUP(Matrix[[#This Row],[TEAM]]&amp;Matrix[[#Headers],[25]],FDR[FDR]&amp;FDR[[#Headers],[25]],FDR[25],"",0,1)</f>
        <v>2</v>
      </c>
      <c r="AL15" cm="1">
        <f t="array" ref="AL15">_xlfn.XLOOKUP(Matrix[[#This Row],[TEAM]]&amp;Matrix[[#Headers],[26]],FDR[FDR]&amp;FDR[[#Headers],[26]],FDR[26],"",0,1)</f>
        <v>1</v>
      </c>
      <c r="AM15" cm="1">
        <f t="array" ref="AM15">_xlfn.XLOOKUP(Matrix[[#This Row],[TEAM]]&amp;Matrix[[#Headers],[27]],FDR[FDR]&amp;FDR[[#Headers],[27]],FDR[27],"",0,1)</f>
        <v>4</v>
      </c>
      <c r="AN15" cm="1">
        <f t="array" ref="AN15">_xlfn.XLOOKUP(Matrix[[#This Row],[TEAM]]&amp;Matrix[[#Headers],[28]],FDR[FDR]&amp;FDR[[#Headers],[28]],FDR[28],"",0,1)</f>
        <v>4</v>
      </c>
      <c r="AO15" cm="1">
        <f t="array" ref="AO15">_xlfn.XLOOKUP(Matrix[[#This Row],[TEAM]]&amp;Matrix[[#Headers],[29]],FDR[FDR]&amp;FDR[[#Headers],[29]],FDR[29],"",0,1)</f>
        <v>5</v>
      </c>
      <c r="AP15" cm="1">
        <f t="array" ref="AP15">_xlfn.XLOOKUP(Matrix[[#This Row],[TEAM]]&amp;Matrix[[#Headers],[30]],FDR[FDR]&amp;FDR[[#Headers],[30]],FDR[30],"",0,1)</f>
        <v>3</v>
      </c>
      <c r="AQ15" cm="1">
        <f t="array" ref="AQ15">_xlfn.XLOOKUP(Matrix[[#This Row],[TEAM]]&amp;Matrix[[#Headers],[31]],FDR[FDR]&amp;FDR[[#Headers],[31]],FDR[31],"",0,1)</f>
        <v>5</v>
      </c>
      <c r="AR15" cm="1">
        <f t="array" ref="AR15">_xlfn.XLOOKUP(Matrix[[#This Row],[TEAM]]&amp;Matrix[[#Headers],[32]],FDR[FDR]&amp;FDR[[#Headers],[32]],FDR[32],"",0,1)</f>
        <v>3</v>
      </c>
      <c r="AS15" cm="1">
        <f t="array" ref="AS15">_xlfn.XLOOKUP(Matrix[[#This Row],[TEAM]]&amp;Matrix[[#Headers],[33]],FDR[FDR]&amp;FDR[[#Headers],[33]],FDR[33],"",0,1)</f>
        <v>1</v>
      </c>
      <c r="AT15" cm="1">
        <f t="array" ref="AT15">_xlfn.XLOOKUP(Matrix[[#This Row],[TEAM]]&amp;Matrix[[#Headers],[34]],FDR[FDR]&amp;FDR[[#Headers],[34]],FDR[34],"",0,1)</f>
        <v>2</v>
      </c>
      <c r="AU15" cm="1">
        <f t="array" ref="AU15">_xlfn.XLOOKUP(Matrix[[#This Row],[TEAM]]&amp;Matrix[[#Headers],[35]],FDR[FDR]&amp;FDR[[#Headers],[35]],FDR[35],"",0,1)</f>
        <v>5</v>
      </c>
      <c r="AV15" cm="1">
        <f t="array" ref="AV15">_xlfn.XLOOKUP(Matrix[[#This Row],[TEAM]]&amp;Matrix[[#Headers],[36]],FDR[FDR]&amp;FDR[[#Headers],[36]],FDR[36],"",0,1)</f>
        <v>4</v>
      </c>
      <c r="AW15" cm="1">
        <f t="array" ref="AW15">_xlfn.XLOOKUP(Matrix[[#This Row],[TEAM]]&amp;Matrix[[#Headers],[37]],FDR[FDR]&amp;FDR[[#Headers],[37]],FDR[37],"",0,1)</f>
        <v>5</v>
      </c>
      <c r="AX15" cm="1">
        <f t="array" ref="AX15">_xlfn.XLOOKUP(Matrix[[#This Row],[TEAM]]&amp;Matrix[[#Headers],[38]],FDR[FDR]&amp;FDR[[#Headers],[38]],FDR[38],"",0,1)</f>
        <v>3</v>
      </c>
    </row>
    <row r="16" spans="1:50" ht="22" thickTop="1" thickBot="1">
      <c r="A16" s="50" t="str">
        <f>INDEX!S$4</f>
        <v>MID</v>
      </c>
      <c r="B16" s="70" t="s">
        <v>1290</v>
      </c>
      <c r="C16" s="40" t="s">
        <v>20</v>
      </c>
      <c r="D16" s="62">
        <v>148</v>
      </c>
      <c r="E16" s="60">
        <v>9.9000000000000005E-2</v>
      </c>
      <c r="F16" s="61">
        <v>222.4</v>
      </c>
      <c r="G16" s="63">
        <v>7.5</v>
      </c>
      <c r="H16" s="261">
        <f>IF(ISBLANK(I16),0,1)</f>
        <v>0</v>
      </c>
      <c r="I16" s="57"/>
      <c r="J16" s="58"/>
      <c r="K16" s="59" t="s">
        <v>363</v>
      </c>
      <c r="L16" s="59" t="s">
        <v>65</v>
      </c>
      <c r="M16" cm="1">
        <f t="array" ref="M16">_xlfn.XLOOKUP(Matrix[[#This Row],[TEAM]]&amp;Matrix[[#Headers],[1]],FDR[FDR]&amp;FDR[[#Headers],[1]],FDR[1],"",0,1)</f>
        <v>3</v>
      </c>
      <c r="N16" cm="1">
        <f t="array" ref="N16">_xlfn.XLOOKUP(Matrix[[#This Row],[TEAM]]&amp;Matrix[[#Headers],[2]],FDR[FDR]&amp;FDR[[#Headers],[2]],FDR[2],"",0,1)</f>
        <v>1</v>
      </c>
      <c r="O16" cm="1">
        <f t="array" ref="O16">_xlfn.XLOOKUP(Matrix[[#This Row],[TEAM]]&amp;Matrix[[#Headers],[3]],FDR[FDR]&amp;FDR[[#Headers],[3]],FDR[3],"",0,1)</f>
        <v>4</v>
      </c>
      <c r="P16" cm="1">
        <f t="array" ref="P16">_xlfn.XLOOKUP(Matrix[[#This Row],[TEAM]]&amp;Matrix[[#Headers],[4]],FDR[FDR]&amp;FDR[[#Headers],[4]],FDR[4],"",0,1)</f>
        <v>1</v>
      </c>
      <c r="Q16" cm="1">
        <f t="array" ref="Q16">_xlfn.XLOOKUP(Matrix[[#This Row],[TEAM]]&amp;Matrix[[#Headers],[5]],FDR[FDR]&amp;FDR[[#Headers],[5]],FDR[5],"",0,1)</f>
        <v>3</v>
      </c>
      <c r="R16" cm="1">
        <f t="array" ref="R16">_xlfn.XLOOKUP(Matrix[[#This Row],[TEAM]]&amp;Matrix[[#Headers],[6]],FDR[FDR]&amp;FDR[[#Headers],[6]],FDR[6],"",0,1)</f>
        <v>3</v>
      </c>
      <c r="S16" cm="1">
        <f t="array" ref="S16">_xlfn.XLOOKUP(Matrix[[#This Row],[TEAM]]&amp;Matrix[[#Headers],[7]],FDR[FDR]&amp;FDR[[#Headers],[7]],FDR[7],"",0,1)</f>
        <v>1</v>
      </c>
      <c r="T16" cm="1">
        <f t="array" ref="T16">_xlfn.XLOOKUP(Matrix[[#This Row],[TEAM]]&amp;Matrix[[#Headers],[8]],FDR[FDR]&amp;FDR[[#Headers],[8]],FDR[8],"",0,1)</f>
        <v>2</v>
      </c>
      <c r="U16" cm="1">
        <f t="array" ref="U16">_xlfn.XLOOKUP(Matrix[[#This Row],[TEAM]]&amp;Matrix[[#Headers],[9]],FDR[FDR]&amp;FDR[[#Headers],[9]],FDR[9],"",0,1)</f>
        <v>1</v>
      </c>
      <c r="V16" cm="1">
        <f t="array" ref="V16">_xlfn.XLOOKUP(Matrix[[#This Row],[TEAM]]&amp;Matrix[[#Headers],[10]],FDR[FDR]&amp;FDR[[#Headers],[10]],FDR[10],"",0,1)</f>
        <v>1</v>
      </c>
      <c r="W16" cm="1">
        <f t="array" ref="W16">_xlfn.XLOOKUP(Matrix[[#This Row],[TEAM]]&amp;Matrix[[#Headers],[11]],FDR[FDR]&amp;FDR[[#Headers],[11]],FDR[11],"",0,1)</f>
        <v>1</v>
      </c>
      <c r="X16" cm="1">
        <f t="array" ref="X16">_xlfn.XLOOKUP(Matrix[[#This Row],[TEAM]]&amp;Matrix[[#Headers],[12]],FDR[FDR]&amp;FDR[[#Headers],[12]],FDR[12],"",0,1)</f>
        <v>2</v>
      </c>
      <c r="Y16" cm="1">
        <f t="array" ref="Y16">_xlfn.XLOOKUP(Matrix[[#This Row],[TEAM]]&amp;Matrix[[#Headers],[13]],FDR[FDR]&amp;FDR[[#Headers],[13]],FDR[13],"",0,1)</f>
        <v>3</v>
      </c>
      <c r="Z16" cm="1">
        <f t="array" ref="Z16">_xlfn.XLOOKUP(Matrix[[#This Row],[TEAM]]&amp;Matrix[[#Headers],[14]],FDR[FDR]&amp;FDR[[#Headers],[14]],FDR[14],"",0,1)</f>
        <v>1</v>
      </c>
      <c r="AA16" cm="1">
        <f t="array" ref="AA16">_xlfn.XLOOKUP(Matrix[[#This Row],[TEAM]]&amp;Matrix[[#Headers],[15]],FDR[FDR]&amp;FDR[[#Headers],[15]],FDR[15],"",0,1)</f>
        <v>3</v>
      </c>
      <c r="AB16" cm="1">
        <f t="array" ref="AB16">_xlfn.XLOOKUP(Matrix[[#This Row],[TEAM]]&amp;Matrix[[#Headers],[16]],FDR[FDR]&amp;FDR[[#Headers],[16]],FDR[16],"",0,1)</f>
        <v>1</v>
      </c>
      <c r="AC16" cm="1">
        <f t="array" ref="AC16">_xlfn.XLOOKUP(Matrix[[#This Row],[TEAM]]&amp;Matrix[[#Headers],[17]],FDR[FDR]&amp;FDR[[#Headers],[17]],FDR[17],"",0,1)</f>
        <v>2</v>
      </c>
      <c r="AD16" cm="1">
        <f t="array" ref="AD16">_xlfn.XLOOKUP(Matrix[[#This Row],[TEAM]]&amp;Matrix[[#Headers],[18]],FDR[FDR]&amp;FDR[[#Headers],[18]],FDR[18],"",0,1)</f>
        <v>1</v>
      </c>
      <c r="AE16" cm="1">
        <f t="array" ref="AE16">_xlfn.XLOOKUP(Matrix[[#This Row],[TEAM]]&amp;Matrix[[#Headers],[19]],FDR[FDR]&amp;FDR[[#Headers],[19]],FDR[19],"",0,1)</f>
        <v>2</v>
      </c>
      <c r="AF16" cm="1">
        <f t="array" ref="AF16">_xlfn.XLOOKUP(Matrix[[#This Row],[TEAM]]&amp;Matrix[[#Headers],[20]],FDR[FDR]&amp;FDR[[#Headers],[20]],FDR[20],"",0,1)</f>
        <v>2</v>
      </c>
      <c r="AG16" cm="1">
        <f t="array" ref="AG16">_xlfn.XLOOKUP(Matrix[[#This Row],[TEAM]]&amp;Matrix[[#Headers],[21]],FDR[FDR]&amp;FDR[[#Headers],[21]],FDR[21],"",0,1)</f>
        <v>3</v>
      </c>
      <c r="AH16" cm="1">
        <f t="array" ref="AH16">_xlfn.XLOOKUP(Matrix[[#This Row],[TEAM]]&amp;Matrix[[#Headers],[22]],FDR[FDR]&amp;FDR[[#Headers],[22]],FDR[22],"",0,1)</f>
        <v>2</v>
      </c>
      <c r="AI16" cm="1">
        <f t="array" ref="AI16">_xlfn.XLOOKUP(Matrix[[#This Row],[TEAM]]&amp;Matrix[[#Headers],[23]],FDR[FDR]&amp;FDR[[#Headers],[23]],FDR[23],"",0,1)</f>
        <v>2</v>
      </c>
      <c r="AJ16" cm="1">
        <f t="array" ref="AJ16">_xlfn.XLOOKUP(Matrix[[#This Row],[TEAM]]&amp;Matrix[[#Headers],[24]],FDR[FDR]&amp;FDR[[#Headers],[24]],FDR[24],"",0,1)</f>
        <v>1</v>
      </c>
      <c r="AK16" cm="1">
        <f t="array" ref="AK16">_xlfn.XLOOKUP(Matrix[[#This Row],[TEAM]]&amp;Matrix[[#Headers],[25]],FDR[FDR]&amp;FDR[[#Headers],[25]],FDR[25],"",0,1)</f>
        <v>1</v>
      </c>
      <c r="AL16" cm="1">
        <f t="array" ref="AL16">_xlfn.XLOOKUP(Matrix[[#This Row],[TEAM]]&amp;Matrix[[#Headers],[26]],FDR[FDR]&amp;FDR[[#Headers],[26]],FDR[26],"",0,1)</f>
        <v>2</v>
      </c>
      <c r="AM16" cm="1">
        <f t="array" ref="AM16">_xlfn.XLOOKUP(Matrix[[#This Row],[TEAM]]&amp;Matrix[[#Headers],[27]],FDR[FDR]&amp;FDR[[#Headers],[27]],FDR[27],"",0,1)</f>
        <v>3</v>
      </c>
      <c r="AN16" cm="1">
        <f t="array" ref="AN16">_xlfn.XLOOKUP(Matrix[[#This Row],[TEAM]]&amp;Matrix[[#Headers],[28]],FDR[FDR]&amp;FDR[[#Headers],[28]],FDR[28],"",0,1)</f>
        <v>2</v>
      </c>
      <c r="AO16" cm="1">
        <f t="array" ref="AO16">_xlfn.XLOOKUP(Matrix[[#This Row],[TEAM]]&amp;Matrix[[#Headers],[29]],FDR[FDR]&amp;FDR[[#Headers],[29]],FDR[29],"",0,1)</f>
        <v>2</v>
      </c>
      <c r="AP16" cm="1">
        <f t="array" ref="AP16">_xlfn.XLOOKUP(Matrix[[#This Row],[TEAM]]&amp;Matrix[[#Headers],[30]],FDR[FDR]&amp;FDR[[#Headers],[30]],FDR[30],"",0,1)</f>
        <v>1</v>
      </c>
      <c r="AQ16" cm="1">
        <f t="array" ref="AQ16">_xlfn.XLOOKUP(Matrix[[#This Row],[TEAM]]&amp;Matrix[[#Headers],[31]],FDR[FDR]&amp;FDR[[#Headers],[31]],FDR[31],"",0,1)</f>
        <v>1</v>
      </c>
      <c r="AR16" cm="1">
        <f t="array" ref="AR16">_xlfn.XLOOKUP(Matrix[[#This Row],[TEAM]]&amp;Matrix[[#Headers],[32]],FDR[FDR]&amp;FDR[[#Headers],[32]],FDR[32],"",0,1)</f>
        <v>1</v>
      </c>
      <c r="AS16" cm="1">
        <f t="array" ref="AS16">_xlfn.XLOOKUP(Matrix[[#This Row],[TEAM]]&amp;Matrix[[#Headers],[33]],FDR[FDR]&amp;FDR[[#Headers],[33]],FDR[33],"",0,1)</f>
        <v>3</v>
      </c>
      <c r="AT16" cm="1">
        <f t="array" ref="AT16">_xlfn.XLOOKUP(Matrix[[#This Row],[TEAM]]&amp;Matrix[[#Headers],[34]],FDR[FDR]&amp;FDR[[#Headers],[34]],FDR[34],"",0,1)</f>
        <v>2</v>
      </c>
      <c r="AU16" cm="1">
        <f t="array" ref="AU16">_xlfn.XLOOKUP(Matrix[[#This Row],[TEAM]]&amp;Matrix[[#Headers],[35]],FDR[FDR]&amp;FDR[[#Headers],[35]],FDR[35],"",0,1)</f>
        <v>1</v>
      </c>
      <c r="AV16" cm="1">
        <f t="array" ref="AV16">_xlfn.XLOOKUP(Matrix[[#This Row],[TEAM]]&amp;Matrix[[#Headers],[36]],FDR[FDR]&amp;FDR[[#Headers],[36]],FDR[36],"",0,1)</f>
        <v>2</v>
      </c>
      <c r="AW16" cm="1">
        <f t="array" ref="AW16">_xlfn.XLOOKUP(Matrix[[#This Row],[TEAM]]&amp;Matrix[[#Headers],[37]],FDR[FDR]&amp;FDR[[#Headers],[37]],FDR[37],"",0,1)</f>
        <v>1</v>
      </c>
      <c r="AX16" cm="1">
        <f t="array" ref="AX16">_xlfn.XLOOKUP(Matrix[[#This Row],[TEAM]]&amp;Matrix[[#Headers],[38]],FDR[FDR]&amp;FDR[[#Headers],[38]],FDR[38],"",0,1)</f>
        <v>2</v>
      </c>
    </row>
    <row r="17" spans="1:50" ht="22" thickTop="1" thickBot="1">
      <c r="A17" s="50" t="str">
        <f>INDEX!S$4</f>
        <v>MID</v>
      </c>
      <c r="B17" s="70" t="s">
        <v>1293</v>
      </c>
      <c r="C17" s="40" t="s">
        <v>17</v>
      </c>
      <c r="D17" s="62">
        <v>127</v>
      </c>
      <c r="E17" s="60">
        <v>6.0999999999999999E-2</v>
      </c>
      <c r="F17" s="61">
        <v>180.3</v>
      </c>
      <c r="G17" s="63">
        <v>7.5</v>
      </c>
      <c r="H17" s="261">
        <f>IF(ISBLANK(I17),0,1)</f>
        <v>0</v>
      </c>
      <c r="I17" s="57"/>
      <c r="J17" s="58"/>
      <c r="K17" s="59" t="s">
        <v>444</v>
      </c>
      <c r="L17" s="59" t="s">
        <v>275</v>
      </c>
      <c r="M17" cm="1">
        <f t="array" ref="M17">_xlfn.XLOOKUP(Matrix[[#This Row],[TEAM]]&amp;Matrix[[#Headers],[1]],FDR[FDR]&amp;FDR[[#Headers],[1]],FDR[1],"",0,1)</f>
        <v>1</v>
      </c>
      <c r="N17" cm="1">
        <f t="array" ref="N17">_xlfn.XLOOKUP(Matrix[[#This Row],[TEAM]]&amp;Matrix[[#Headers],[2]],FDR[FDR]&amp;FDR[[#Headers],[2]],FDR[2],"",0,1)</f>
        <v>3</v>
      </c>
      <c r="O17" cm="1">
        <f t="array" ref="O17">_xlfn.XLOOKUP(Matrix[[#This Row],[TEAM]]&amp;Matrix[[#Headers],[3]],FDR[FDR]&amp;FDR[[#Headers],[3]],FDR[3],"",0,1)</f>
        <v>3</v>
      </c>
      <c r="P17" cm="1">
        <f t="array" ref="P17">_xlfn.XLOOKUP(Matrix[[#This Row],[TEAM]]&amp;Matrix[[#Headers],[4]],FDR[FDR]&amp;FDR[[#Headers],[4]],FDR[4],"",0,1)</f>
        <v>1</v>
      </c>
      <c r="Q17" cm="1">
        <f t="array" ref="Q17">_xlfn.XLOOKUP(Matrix[[#This Row],[TEAM]]&amp;Matrix[[#Headers],[5]],FDR[FDR]&amp;FDR[[#Headers],[5]],FDR[5],"",0,1)</f>
        <v>1</v>
      </c>
      <c r="R17" cm="1">
        <f t="array" ref="R17">_xlfn.XLOOKUP(Matrix[[#This Row],[TEAM]]&amp;Matrix[[#Headers],[6]],FDR[FDR]&amp;FDR[[#Headers],[6]],FDR[6],"",0,1)</f>
        <v>2</v>
      </c>
      <c r="S17" cm="1">
        <f t="array" ref="S17">_xlfn.XLOOKUP(Matrix[[#This Row],[TEAM]]&amp;Matrix[[#Headers],[7]],FDR[FDR]&amp;FDR[[#Headers],[7]],FDR[7],"",0,1)</f>
        <v>3</v>
      </c>
      <c r="T17" cm="1">
        <f t="array" ref="T17">_xlfn.XLOOKUP(Matrix[[#This Row],[TEAM]]&amp;Matrix[[#Headers],[8]],FDR[FDR]&amp;FDR[[#Headers],[8]],FDR[8],"",0,1)</f>
        <v>2</v>
      </c>
      <c r="U17" cm="1">
        <f t="array" ref="U17">_xlfn.XLOOKUP(Matrix[[#This Row],[TEAM]]&amp;Matrix[[#Headers],[9]],FDR[FDR]&amp;FDR[[#Headers],[9]],FDR[9],"",0,1)</f>
        <v>2</v>
      </c>
      <c r="V17" cm="1">
        <f t="array" ref="V17">_xlfn.XLOOKUP(Matrix[[#This Row],[TEAM]]&amp;Matrix[[#Headers],[10]],FDR[FDR]&amp;FDR[[#Headers],[10]],FDR[10],"",0,1)</f>
        <v>2</v>
      </c>
      <c r="W17" cm="1">
        <f t="array" ref="W17">_xlfn.XLOOKUP(Matrix[[#This Row],[TEAM]]&amp;Matrix[[#Headers],[11]],FDR[FDR]&amp;FDR[[#Headers],[11]],FDR[11],"",0,1)</f>
        <v>3</v>
      </c>
      <c r="X17" cm="1">
        <f t="array" ref="X17">_xlfn.XLOOKUP(Matrix[[#This Row],[TEAM]]&amp;Matrix[[#Headers],[12]],FDR[FDR]&amp;FDR[[#Headers],[12]],FDR[12],"",0,1)</f>
        <v>1</v>
      </c>
      <c r="Y17" cm="1">
        <f t="array" ref="Y17">_xlfn.XLOOKUP(Matrix[[#This Row],[TEAM]]&amp;Matrix[[#Headers],[13]],FDR[FDR]&amp;FDR[[#Headers],[13]],FDR[13],"",0,1)</f>
        <v>2</v>
      </c>
      <c r="Z17" cm="1">
        <f t="array" ref="Z17">_xlfn.XLOOKUP(Matrix[[#This Row],[TEAM]]&amp;Matrix[[#Headers],[14]],FDR[FDR]&amp;FDR[[#Headers],[14]],FDR[14],"",0,1)</f>
        <v>1</v>
      </c>
      <c r="AA17" cm="1">
        <f t="array" ref="AA17">_xlfn.XLOOKUP(Matrix[[#This Row],[TEAM]]&amp;Matrix[[#Headers],[15]],FDR[FDR]&amp;FDR[[#Headers],[15]],FDR[15],"",0,1)</f>
        <v>1</v>
      </c>
      <c r="AB17" cm="1">
        <f t="array" ref="AB17">_xlfn.XLOOKUP(Matrix[[#This Row],[TEAM]]&amp;Matrix[[#Headers],[16]],FDR[FDR]&amp;FDR[[#Headers],[16]],FDR[16],"",0,1)</f>
        <v>1</v>
      </c>
      <c r="AC17" cm="1">
        <f t="array" ref="AC17">_xlfn.XLOOKUP(Matrix[[#This Row],[TEAM]]&amp;Matrix[[#Headers],[17]],FDR[FDR]&amp;FDR[[#Headers],[17]],FDR[17],"",0,1)</f>
        <v>3</v>
      </c>
      <c r="AD17" cm="1">
        <f t="array" ref="AD17">_xlfn.XLOOKUP(Matrix[[#This Row],[TEAM]]&amp;Matrix[[#Headers],[18]],FDR[FDR]&amp;FDR[[#Headers],[18]],FDR[18],"",0,1)</f>
        <v>1</v>
      </c>
      <c r="AE17" cm="1">
        <f t="array" ref="AE17">_xlfn.XLOOKUP(Matrix[[#This Row],[TEAM]]&amp;Matrix[[#Headers],[19]],FDR[FDR]&amp;FDR[[#Headers],[19]],FDR[19],"",0,1)</f>
        <v>1</v>
      </c>
      <c r="AF17" cm="1">
        <f t="array" ref="AF17">_xlfn.XLOOKUP(Matrix[[#This Row],[TEAM]]&amp;Matrix[[#Headers],[20]],FDR[FDR]&amp;FDR[[#Headers],[20]],FDR[20],"",0,1)</f>
        <v>2</v>
      </c>
      <c r="AG17" cm="1">
        <f t="array" ref="AG17">_xlfn.XLOOKUP(Matrix[[#This Row],[TEAM]]&amp;Matrix[[#Headers],[21]],FDR[FDR]&amp;FDR[[#Headers],[21]],FDR[21],"",0,1)</f>
        <v>3</v>
      </c>
      <c r="AH17" cm="1">
        <f t="array" ref="AH17">_xlfn.XLOOKUP(Matrix[[#This Row],[TEAM]]&amp;Matrix[[#Headers],[22]],FDR[FDR]&amp;FDR[[#Headers],[22]],FDR[22],"",0,1)</f>
        <v>1</v>
      </c>
      <c r="AI17" cm="1">
        <f t="array" ref="AI17">_xlfn.XLOOKUP(Matrix[[#This Row],[TEAM]]&amp;Matrix[[#Headers],[23]],FDR[FDR]&amp;FDR[[#Headers],[23]],FDR[23],"",0,1)</f>
        <v>2</v>
      </c>
      <c r="AJ17" cm="1">
        <f t="array" ref="AJ17">_xlfn.XLOOKUP(Matrix[[#This Row],[TEAM]]&amp;Matrix[[#Headers],[24]],FDR[FDR]&amp;FDR[[#Headers],[24]],FDR[24],"",0,1)</f>
        <v>2</v>
      </c>
      <c r="AK17" cm="1">
        <f t="array" ref="AK17">_xlfn.XLOOKUP(Matrix[[#This Row],[TEAM]]&amp;Matrix[[#Headers],[25]],FDR[FDR]&amp;FDR[[#Headers],[25]],FDR[25],"",0,1)</f>
        <v>3</v>
      </c>
      <c r="AL17" cm="1">
        <f t="array" ref="AL17">_xlfn.XLOOKUP(Matrix[[#This Row],[TEAM]]&amp;Matrix[[#Headers],[26]],FDR[FDR]&amp;FDR[[#Headers],[26]],FDR[26],"",0,1)</f>
        <v>1</v>
      </c>
      <c r="AM17" cm="1">
        <f t="array" ref="AM17">_xlfn.XLOOKUP(Matrix[[#This Row],[TEAM]]&amp;Matrix[[#Headers],[27]],FDR[FDR]&amp;FDR[[#Headers],[27]],FDR[27],"",0,1)</f>
        <v>2</v>
      </c>
      <c r="AN17" cm="1">
        <f t="array" ref="AN17">_xlfn.XLOOKUP(Matrix[[#This Row],[TEAM]]&amp;Matrix[[#Headers],[28]],FDR[FDR]&amp;FDR[[#Headers],[28]],FDR[28],"",0,1)</f>
        <v>1</v>
      </c>
      <c r="AO17" cm="1">
        <f t="array" ref="AO17">_xlfn.XLOOKUP(Matrix[[#This Row],[TEAM]]&amp;Matrix[[#Headers],[29]],FDR[FDR]&amp;FDR[[#Headers],[29]],FDR[29],"",0,1)</f>
        <v>1</v>
      </c>
      <c r="AP17" cm="1">
        <f t="array" ref="AP17">_xlfn.XLOOKUP(Matrix[[#This Row],[TEAM]]&amp;Matrix[[#Headers],[30]],FDR[FDR]&amp;FDR[[#Headers],[30]],FDR[30],"",0,1)</f>
        <v>2</v>
      </c>
      <c r="AQ17" cm="1">
        <f t="array" ref="AQ17">_xlfn.XLOOKUP(Matrix[[#This Row],[TEAM]]&amp;Matrix[[#Headers],[31]],FDR[FDR]&amp;FDR[[#Headers],[31]],FDR[31],"",0,1)</f>
        <v>2</v>
      </c>
      <c r="AR17" cm="1">
        <f t="array" ref="AR17">_xlfn.XLOOKUP(Matrix[[#This Row],[TEAM]]&amp;Matrix[[#Headers],[32]],FDR[FDR]&amp;FDR[[#Headers],[32]],FDR[32],"",0,1)</f>
        <v>1</v>
      </c>
      <c r="AS17" cm="1">
        <f t="array" ref="AS17">_xlfn.XLOOKUP(Matrix[[#This Row],[TEAM]]&amp;Matrix[[#Headers],[33]],FDR[FDR]&amp;FDR[[#Headers],[33]],FDR[33],"",0,1)</f>
        <v>2</v>
      </c>
      <c r="AT17" cm="1">
        <f t="array" ref="AT17">_xlfn.XLOOKUP(Matrix[[#This Row],[TEAM]]&amp;Matrix[[#Headers],[34]],FDR[FDR]&amp;FDR[[#Headers],[34]],FDR[34],"",0,1)</f>
        <v>1</v>
      </c>
      <c r="AU17" cm="1">
        <f t="array" ref="AU17">_xlfn.XLOOKUP(Matrix[[#This Row],[TEAM]]&amp;Matrix[[#Headers],[35]],FDR[FDR]&amp;FDR[[#Headers],[35]],FDR[35],"",0,1)</f>
        <v>3</v>
      </c>
      <c r="AV17" cm="1">
        <f t="array" ref="AV17">_xlfn.XLOOKUP(Matrix[[#This Row],[TEAM]]&amp;Matrix[[#Headers],[36]],FDR[FDR]&amp;FDR[[#Headers],[36]],FDR[36],"",0,1)</f>
        <v>2</v>
      </c>
      <c r="AW17" cm="1">
        <f t="array" ref="AW17">_xlfn.XLOOKUP(Matrix[[#This Row],[TEAM]]&amp;Matrix[[#Headers],[37]],FDR[FDR]&amp;FDR[[#Headers],[37]],FDR[37],"",0,1)</f>
        <v>3</v>
      </c>
      <c r="AX17" cm="1">
        <f t="array" ref="AX17">_xlfn.XLOOKUP(Matrix[[#This Row],[TEAM]]&amp;Matrix[[#Headers],[38]],FDR[FDR]&amp;FDR[[#Headers],[38]],FDR[38],"",0,1)</f>
        <v>1</v>
      </c>
    </row>
    <row r="18" spans="1:50" ht="22" thickTop="1" thickBot="1">
      <c r="A18" s="50" t="str">
        <f>INDEX!S$4</f>
        <v>MID</v>
      </c>
      <c r="B18" s="70" t="s">
        <v>1297</v>
      </c>
      <c r="C18" s="40" t="s">
        <v>25</v>
      </c>
      <c r="D18" s="62">
        <v>124</v>
      </c>
      <c r="E18" s="60">
        <v>2.1999999999999999E-2</v>
      </c>
      <c r="F18" s="61">
        <v>196.8</v>
      </c>
      <c r="G18" s="63">
        <v>7.5</v>
      </c>
      <c r="H18" s="261">
        <f>IF(ISBLANK(I18),0,1)</f>
        <v>0</v>
      </c>
      <c r="I18" s="57"/>
      <c r="J18" s="58"/>
      <c r="K18" s="59" t="s">
        <v>234</v>
      </c>
      <c r="L18" s="59" t="s">
        <v>217</v>
      </c>
      <c r="M18" cm="1">
        <f t="array" ref="M18">_xlfn.XLOOKUP(Matrix[[#This Row],[TEAM]]&amp;Matrix[[#Headers],[1]],FDR[FDR]&amp;FDR[[#Headers],[1]],FDR[1],"",0,1)</f>
        <v>3</v>
      </c>
      <c r="N18" cm="1">
        <f t="array" ref="N18">_xlfn.XLOOKUP(Matrix[[#This Row],[TEAM]]&amp;Matrix[[#Headers],[2]],FDR[FDR]&amp;FDR[[#Headers],[2]],FDR[2],"",0,1)</f>
        <v>3</v>
      </c>
      <c r="O18" cm="1">
        <f t="array" ref="O18">_xlfn.XLOOKUP(Matrix[[#This Row],[TEAM]]&amp;Matrix[[#Headers],[3]],FDR[FDR]&amp;FDR[[#Headers],[3]],FDR[3],"",0,1)</f>
        <v>1</v>
      </c>
      <c r="P18" cm="1">
        <f t="array" ref="P18">_xlfn.XLOOKUP(Matrix[[#This Row],[TEAM]]&amp;Matrix[[#Headers],[4]],FDR[FDR]&amp;FDR[[#Headers],[4]],FDR[4],"",0,1)</f>
        <v>1</v>
      </c>
      <c r="Q18" cm="1">
        <f t="array" ref="Q18">_xlfn.XLOOKUP(Matrix[[#This Row],[TEAM]]&amp;Matrix[[#Headers],[5]],FDR[FDR]&amp;FDR[[#Headers],[5]],FDR[5],"",0,1)</f>
        <v>2</v>
      </c>
      <c r="R18" cm="1">
        <f t="array" ref="R18">_xlfn.XLOOKUP(Matrix[[#This Row],[TEAM]]&amp;Matrix[[#Headers],[6]],FDR[FDR]&amp;FDR[[#Headers],[6]],FDR[6],"",0,1)</f>
        <v>3</v>
      </c>
      <c r="S18" cm="1">
        <f t="array" ref="S18">_xlfn.XLOOKUP(Matrix[[#This Row],[TEAM]]&amp;Matrix[[#Headers],[7]],FDR[FDR]&amp;FDR[[#Headers],[7]],FDR[7],"",0,1)</f>
        <v>2</v>
      </c>
      <c r="T18" cm="1">
        <f t="array" ref="T18">_xlfn.XLOOKUP(Matrix[[#This Row],[TEAM]]&amp;Matrix[[#Headers],[8]],FDR[FDR]&amp;FDR[[#Headers],[8]],FDR[8],"",0,1)</f>
        <v>2</v>
      </c>
      <c r="U18" cm="1">
        <f t="array" ref="U18">_xlfn.XLOOKUP(Matrix[[#This Row],[TEAM]]&amp;Matrix[[#Headers],[9]],FDR[FDR]&amp;FDR[[#Headers],[9]],FDR[9],"",0,1)</f>
        <v>2</v>
      </c>
      <c r="V18" cm="1">
        <f t="array" ref="V18">_xlfn.XLOOKUP(Matrix[[#This Row],[TEAM]]&amp;Matrix[[#Headers],[10]],FDR[FDR]&amp;FDR[[#Headers],[10]],FDR[10],"",0,1)</f>
        <v>2</v>
      </c>
      <c r="W18" cm="1">
        <f t="array" ref="W18">_xlfn.XLOOKUP(Matrix[[#This Row],[TEAM]]&amp;Matrix[[#Headers],[11]],FDR[FDR]&amp;FDR[[#Headers],[11]],FDR[11],"",0,1)</f>
        <v>2</v>
      </c>
      <c r="X18" cm="1">
        <f t="array" ref="X18">_xlfn.XLOOKUP(Matrix[[#This Row],[TEAM]]&amp;Matrix[[#Headers],[12]],FDR[FDR]&amp;FDR[[#Headers],[12]],FDR[12],"",0,1)</f>
        <v>3</v>
      </c>
      <c r="Y18" cm="1">
        <f t="array" ref="Y18">_xlfn.XLOOKUP(Matrix[[#This Row],[TEAM]]&amp;Matrix[[#Headers],[13]],FDR[FDR]&amp;FDR[[#Headers],[13]],FDR[13],"",0,1)</f>
        <v>2</v>
      </c>
      <c r="Z18" cm="1">
        <f t="array" ref="Z18">_xlfn.XLOOKUP(Matrix[[#This Row],[TEAM]]&amp;Matrix[[#Headers],[14]],FDR[FDR]&amp;FDR[[#Headers],[14]],FDR[14],"",0,1)</f>
        <v>3</v>
      </c>
      <c r="AA18" cm="1">
        <f t="array" ref="AA18">_xlfn.XLOOKUP(Matrix[[#This Row],[TEAM]]&amp;Matrix[[#Headers],[15]],FDR[FDR]&amp;FDR[[#Headers],[15]],FDR[15],"",0,1)</f>
        <v>1</v>
      </c>
      <c r="AB18" cm="1">
        <f t="array" ref="AB18">_xlfn.XLOOKUP(Matrix[[#This Row],[TEAM]]&amp;Matrix[[#Headers],[16]],FDR[FDR]&amp;FDR[[#Headers],[16]],FDR[16],"",0,1)</f>
        <v>1</v>
      </c>
      <c r="AC18" cm="1">
        <f t="array" ref="AC18">_xlfn.XLOOKUP(Matrix[[#This Row],[TEAM]]&amp;Matrix[[#Headers],[17]],FDR[FDR]&amp;FDR[[#Headers],[17]],FDR[17],"",0,1)</f>
        <v>3</v>
      </c>
      <c r="AD18" cm="1">
        <f t="array" ref="AD18">_xlfn.XLOOKUP(Matrix[[#This Row],[TEAM]]&amp;Matrix[[#Headers],[18]],FDR[FDR]&amp;FDR[[#Headers],[18]],FDR[18],"",0,1)</f>
        <v>4</v>
      </c>
      <c r="AE18" cm="1">
        <f t="array" ref="AE18">_xlfn.XLOOKUP(Matrix[[#This Row],[TEAM]]&amp;Matrix[[#Headers],[19]],FDR[FDR]&amp;FDR[[#Headers],[19]],FDR[19],"",0,1)</f>
        <v>1</v>
      </c>
      <c r="AF18" cm="1">
        <f t="array" ref="AF18">_xlfn.XLOOKUP(Matrix[[#This Row],[TEAM]]&amp;Matrix[[#Headers],[20]],FDR[FDR]&amp;FDR[[#Headers],[20]],FDR[20],"",0,1)</f>
        <v>1</v>
      </c>
      <c r="AG18" cm="1">
        <f t="array" ref="AG18">_xlfn.XLOOKUP(Matrix[[#This Row],[TEAM]]&amp;Matrix[[#Headers],[21]],FDR[FDR]&amp;FDR[[#Headers],[21]],FDR[21],"",0,1)</f>
        <v>1</v>
      </c>
      <c r="AH18" cm="1">
        <f t="array" ref="AH18">_xlfn.XLOOKUP(Matrix[[#This Row],[TEAM]]&amp;Matrix[[#Headers],[22]],FDR[FDR]&amp;FDR[[#Headers],[22]],FDR[22],"",0,1)</f>
        <v>1</v>
      </c>
      <c r="AI18" cm="1">
        <f t="array" ref="AI18">_xlfn.XLOOKUP(Matrix[[#This Row],[TEAM]]&amp;Matrix[[#Headers],[23]],FDR[FDR]&amp;FDR[[#Headers],[23]],FDR[23],"",0,1)</f>
        <v>2</v>
      </c>
      <c r="AJ18" cm="1">
        <f t="array" ref="AJ18">_xlfn.XLOOKUP(Matrix[[#This Row],[TEAM]]&amp;Matrix[[#Headers],[24]],FDR[FDR]&amp;FDR[[#Headers],[24]],FDR[24],"",0,1)</f>
        <v>4</v>
      </c>
      <c r="AK18" cm="1">
        <f t="array" ref="AK18">_xlfn.XLOOKUP(Matrix[[#This Row],[TEAM]]&amp;Matrix[[#Headers],[25]],FDR[FDR]&amp;FDR[[#Headers],[25]],FDR[25],"",0,1)</f>
        <v>1</v>
      </c>
      <c r="AL18" cm="1">
        <f t="array" ref="AL18">_xlfn.XLOOKUP(Matrix[[#This Row],[TEAM]]&amp;Matrix[[#Headers],[26]],FDR[FDR]&amp;FDR[[#Headers],[26]],FDR[26],"",0,1)</f>
        <v>4</v>
      </c>
      <c r="AM18" cm="1">
        <f t="array" ref="AM18">_xlfn.XLOOKUP(Matrix[[#This Row],[TEAM]]&amp;Matrix[[#Headers],[27]],FDR[FDR]&amp;FDR[[#Headers],[27]],FDR[27],"",0,1)</f>
        <v>4</v>
      </c>
      <c r="AN18" cm="1">
        <f t="array" ref="AN18">_xlfn.XLOOKUP(Matrix[[#This Row],[TEAM]]&amp;Matrix[[#Headers],[28]],FDR[FDR]&amp;FDR[[#Headers],[28]],FDR[28],"",0,1)</f>
        <v>1</v>
      </c>
      <c r="AO18" cm="1">
        <f t="array" ref="AO18">_xlfn.XLOOKUP(Matrix[[#This Row],[TEAM]]&amp;Matrix[[#Headers],[29]],FDR[FDR]&amp;FDR[[#Headers],[29]],FDR[29],"",0,1)</f>
        <v>3</v>
      </c>
      <c r="AP18" cm="1">
        <f t="array" ref="AP18">_xlfn.XLOOKUP(Matrix[[#This Row],[TEAM]]&amp;Matrix[[#Headers],[30]],FDR[FDR]&amp;FDR[[#Headers],[30]],FDR[30],"",0,1)</f>
        <v>4</v>
      </c>
      <c r="AQ18" cm="1">
        <f t="array" ref="AQ18">_xlfn.XLOOKUP(Matrix[[#This Row],[TEAM]]&amp;Matrix[[#Headers],[31]],FDR[FDR]&amp;FDR[[#Headers],[31]],FDR[31],"",0,1)</f>
        <v>1</v>
      </c>
      <c r="AR18" cm="1">
        <f t="array" ref="AR18">_xlfn.XLOOKUP(Matrix[[#This Row],[TEAM]]&amp;Matrix[[#Headers],[32]],FDR[FDR]&amp;FDR[[#Headers],[32]],FDR[32],"",0,1)</f>
        <v>2</v>
      </c>
      <c r="AS18" cm="1">
        <f t="array" ref="AS18">_xlfn.XLOOKUP(Matrix[[#This Row],[TEAM]]&amp;Matrix[[#Headers],[33]],FDR[FDR]&amp;FDR[[#Headers],[33]],FDR[33],"",0,1)</f>
        <v>2</v>
      </c>
      <c r="AT18" cm="1">
        <f t="array" ref="AT18">_xlfn.XLOOKUP(Matrix[[#This Row],[TEAM]]&amp;Matrix[[#Headers],[34]],FDR[FDR]&amp;FDR[[#Headers],[34]],FDR[34],"",0,1)</f>
        <v>4</v>
      </c>
      <c r="AU18" cm="1">
        <f t="array" ref="AU18">_xlfn.XLOOKUP(Matrix[[#This Row],[TEAM]]&amp;Matrix[[#Headers],[35]],FDR[FDR]&amp;FDR[[#Headers],[35]],FDR[35],"",0,1)</f>
        <v>2</v>
      </c>
      <c r="AV18" cm="1">
        <f t="array" ref="AV18">_xlfn.XLOOKUP(Matrix[[#This Row],[TEAM]]&amp;Matrix[[#Headers],[36]],FDR[FDR]&amp;FDR[[#Headers],[36]],FDR[36],"",0,1)</f>
        <v>2</v>
      </c>
      <c r="AW18" cm="1">
        <f t="array" ref="AW18">_xlfn.XLOOKUP(Matrix[[#This Row],[TEAM]]&amp;Matrix[[#Headers],[37]],FDR[FDR]&amp;FDR[[#Headers],[37]],FDR[37],"",0,1)</f>
        <v>1</v>
      </c>
      <c r="AX18" cm="1">
        <f t="array" ref="AX18">_xlfn.XLOOKUP(Matrix[[#This Row],[TEAM]]&amp;Matrix[[#Headers],[38]],FDR[FDR]&amp;FDR[[#Headers],[38]],FDR[38],"",0,1)</f>
        <v>2</v>
      </c>
    </row>
    <row r="19" spans="1:50" ht="22" thickTop="1" thickBot="1">
      <c r="A19" s="49" t="str">
        <f>INDEX!S$5</f>
        <v>FWD</v>
      </c>
      <c r="B19" s="70" t="s">
        <v>1291</v>
      </c>
      <c r="C19" s="40" t="s">
        <v>26</v>
      </c>
      <c r="D19" s="62">
        <v>150</v>
      </c>
      <c r="E19" s="60">
        <v>0.08</v>
      </c>
      <c r="F19" s="61">
        <v>187.3</v>
      </c>
      <c r="G19" s="63">
        <v>7.5</v>
      </c>
      <c r="H19" s="261">
        <f>IF(ISBLANK(I19),0,1)</f>
        <v>0</v>
      </c>
      <c r="I19" s="57"/>
      <c r="J19" s="58"/>
      <c r="K19" s="64" t="s">
        <v>515</v>
      </c>
      <c r="L19" s="64" t="s">
        <v>287</v>
      </c>
      <c r="M19" cm="1">
        <f t="array" ref="M19">_xlfn.XLOOKUP(Matrix[[#This Row],[TEAM]]&amp;Matrix[[#Headers],[1]],FDR[FDR]&amp;FDR[[#Headers],[1]],FDR[1],"",0,1)</f>
        <v>5</v>
      </c>
      <c r="N19" cm="1">
        <f t="array" ref="N19">_xlfn.XLOOKUP(Matrix[[#This Row],[TEAM]]&amp;Matrix[[#Headers],[2]],FDR[FDR]&amp;FDR[[#Headers],[2]],FDR[2],"",0,1)</f>
        <v>3</v>
      </c>
      <c r="O19" cm="1">
        <f t="array" ref="O19">_xlfn.XLOOKUP(Matrix[[#This Row],[TEAM]]&amp;Matrix[[#Headers],[3]],FDR[FDR]&amp;FDR[[#Headers],[3]],FDR[3],"",0,1)</f>
        <v>5</v>
      </c>
      <c r="P19" cm="1">
        <f t="array" ref="P19">_xlfn.XLOOKUP(Matrix[[#This Row],[TEAM]]&amp;Matrix[[#Headers],[4]],FDR[FDR]&amp;FDR[[#Headers],[4]],FDR[4],"",0,1)</f>
        <v>1</v>
      </c>
      <c r="Q19" cm="1">
        <f t="array" ref="Q19">_xlfn.XLOOKUP(Matrix[[#This Row],[TEAM]]&amp;Matrix[[#Headers],[5]],FDR[FDR]&amp;FDR[[#Headers],[5]],FDR[5],"",0,1)</f>
        <v>4</v>
      </c>
      <c r="R19" cm="1">
        <f t="array" ref="R19">_xlfn.XLOOKUP(Matrix[[#This Row],[TEAM]]&amp;Matrix[[#Headers],[6]],FDR[FDR]&amp;FDR[[#Headers],[6]],FDR[6],"",0,1)</f>
        <v>4</v>
      </c>
      <c r="S19" cm="1">
        <f t="array" ref="S19">_xlfn.XLOOKUP(Matrix[[#This Row],[TEAM]]&amp;Matrix[[#Headers],[7]],FDR[FDR]&amp;FDR[[#Headers],[7]],FDR[7],"",0,1)</f>
        <v>4</v>
      </c>
      <c r="T19" cm="1">
        <f t="array" ref="T19">_xlfn.XLOOKUP(Matrix[[#This Row],[TEAM]]&amp;Matrix[[#Headers],[8]],FDR[FDR]&amp;FDR[[#Headers],[8]],FDR[8],"",0,1)</f>
        <v>3</v>
      </c>
      <c r="U19" cm="1">
        <f t="array" ref="U19">_xlfn.XLOOKUP(Matrix[[#This Row],[TEAM]]&amp;Matrix[[#Headers],[9]],FDR[FDR]&amp;FDR[[#Headers],[9]],FDR[9],"",0,1)</f>
        <v>5</v>
      </c>
      <c r="V19" cm="1">
        <f t="array" ref="V19">_xlfn.XLOOKUP(Matrix[[#This Row],[TEAM]]&amp;Matrix[[#Headers],[10]],FDR[FDR]&amp;FDR[[#Headers],[10]],FDR[10],"",0,1)</f>
        <v>3</v>
      </c>
      <c r="W19" cm="1">
        <f t="array" ref="W19">_xlfn.XLOOKUP(Matrix[[#This Row],[TEAM]]&amp;Matrix[[#Headers],[11]],FDR[FDR]&amp;FDR[[#Headers],[11]],FDR[11],"",0,1)</f>
        <v>3</v>
      </c>
      <c r="X19" cm="1">
        <f t="array" ref="X19">_xlfn.XLOOKUP(Matrix[[#This Row],[TEAM]]&amp;Matrix[[#Headers],[12]],FDR[FDR]&amp;FDR[[#Headers],[12]],FDR[12],"",0,1)</f>
        <v>2</v>
      </c>
      <c r="Y19" cm="1">
        <f t="array" ref="Y19">_xlfn.XLOOKUP(Matrix[[#This Row],[TEAM]]&amp;Matrix[[#Headers],[13]],FDR[FDR]&amp;FDR[[#Headers],[13]],FDR[13],"",0,1)</f>
        <v>4</v>
      </c>
      <c r="Z19" cm="1">
        <f t="array" ref="Z19">_xlfn.XLOOKUP(Matrix[[#This Row],[TEAM]]&amp;Matrix[[#Headers],[14]],FDR[FDR]&amp;FDR[[#Headers],[14]],FDR[14],"",0,1)</f>
        <v>2</v>
      </c>
      <c r="AA19" cm="1">
        <f t="array" ref="AA19">_xlfn.XLOOKUP(Matrix[[#This Row],[TEAM]]&amp;Matrix[[#Headers],[15]],FDR[FDR]&amp;FDR[[#Headers],[15]],FDR[15],"",0,1)</f>
        <v>4</v>
      </c>
      <c r="AB19" cm="1">
        <f t="array" ref="AB19">_xlfn.XLOOKUP(Matrix[[#This Row],[TEAM]]&amp;Matrix[[#Headers],[16]],FDR[FDR]&amp;FDR[[#Headers],[16]],FDR[16],"",0,1)</f>
        <v>4</v>
      </c>
      <c r="AC19" cm="1">
        <f t="array" ref="AC19">_xlfn.XLOOKUP(Matrix[[#This Row],[TEAM]]&amp;Matrix[[#Headers],[17]],FDR[FDR]&amp;FDR[[#Headers],[17]],FDR[17],"",0,1)</f>
        <v>2</v>
      </c>
      <c r="AD19" cm="1">
        <f t="array" ref="AD19">_xlfn.XLOOKUP(Matrix[[#This Row],[TEAM]]&amp;Matrix[[#Headers],[18]],FDR[FDR]&amp;FDR[[#Headers],[18]],FDR[18],"",0,1)</f>
        <v>4</v>
      </c>
      <c r="AE19" cm="1">
        <f t="array" ref="AE19">_xlfn.XLOOKUP(Matrix[[#This Row],[TEAM]]&amp;Matrix[[#Headers],[19]],FDR[FDR]&amp;FDR[[#Headers],[19]],FDR[19],"",0,1)</f>
        <v>3</v>
      </c>
      <c r="AF19" cm="1">
        <f t="array" ref="AF19">_xlfn.XLOOKUP(Matrix[[#This Row],[TEAM]]&amp;Matrix[[#Headers],[20]],FDR[FDR]&amp;FDR[[#Headers],[20]],FDR[20],"",0,1)</f>
        <v>5</v>
      </c>
      <c r="AG19" cm="1">
        <f t="array" ref="AG19">_xlfn.XLOOKUP(Matrix[[#This Row],[TEAM]]&amp;Matrix[[#Headers],[21]],FDR[FDR]&amp;FDR[[#Headers],[21]],FDR[21],"",0,1)</f>
        <v>4</v>
      </c>
      <c r="AH19" cm="1">
        <f t="array" ref="AH19">_xlfn.XLOOKUP(Matrix[[#This Row],[TEAM]]&amp;Matrix[[#Headers],[22]],FDR[FDR]&amp;FDR[[#Headers],[22]],FDR[22],"",0,1)</f>
        <v>2</v>
      </c>
      <c r="AI19" cm="1">
        <f t="array" ref="AI19">_xlfn.XLOOKUP(Matrix[[#This Row],[TEAM]]&amp;Matrix[[#Headers],[23]],FDR[FDR]&amp;FDR[[#Headers],[23]],FDR[23],"",0,1)</f>
        <v>4</v>
      </c>
      <c r="AJ19" cm="1">
        <f t="array" ref="AJ19">_xlfn.XLOOKUP(Matrix[[#This Row],[TEAM]]&amp;Matrix[[#Headers],[24]],FDR[FDR]&amp;FDR[[#Headers],[24]],FDR[24],"",0,1)</f>
        <v>4</v>
      </c>
      <c r="AK19" cm="1">
        <f t="array" ref="AK19">_xlfn.XLOOKUP(Matrix[[#This Row],[TEAM]]&amp;Matrix[[#Headers],[25]],FDR[FDR]&amp;FDR[[#Headers],[25]],FDR[25],"",0,1)</f>
        <v>4</v>
      </c>
      <c r="AL19" cm="1">
        <f t="array" ref="AL19">_xlfn.XLOOKUP(Matrix[[#This Row],[TEAM]]&amp;Matrix[[#Headers],[26]],FDR[FDR]&amp;FDR[[#Headers],[26]],FDR[26],"",0,1)</f>
        <v>1</v>
      </c>
      <c r="AM19" cm="1">
        <f t="array" ref="AM19">_xlfn.XLOOKUP(Matrix[[#This Row],[TEAM]]&amp;Matrix[[#Headers],[27]],FDR[FDR]&amp;FDR[[#Headers],[27]],FDR[27],"",0,1)</f>
        <v>2</v>
      </c>
      <c r="AN19" cm="1">
        <f t="array" ref="AN19">_xlfn.XLOOKUP(Matrix[[#This Row],[TEAM]]&amp;Matrix[[#Headers],[28]],FDR[FDR]&amp;FDR[[#Headers],[28]],FDR[28],"",0,1)</f>
        <v>5</v>
      </c>
      <c r="AO19" cm="1">
        <f t="array" ref="AO19">_xlfn.XLOOKUP(Matrix[[#This Row],[TEAM]]&amp;Matrix[[#Headers],[29]],FDR[FDR]&amp;FDR[[#Headers],[29]],FDR[29],"",0,1)</f>
        <v>5</v>
      </c>
      <c r="AP19" cm="1">
        <f t="array" ref="AP19">_xlfn.XLOOKUP(Matrix[[#This Row],[TEAM]]&amp;Matrix[[#Headers],[30]],FDR[FDR]&amp;FDR[[#Headers],[30]],FDR[30],"",0,1)</f>
        <v>1</v>
      </c>
      <c r="AQ19" cm="1">
        <f t="array" ref="AQ19">_xlfn.XLOOKUP(Matrix[[#This Row],[TEAM]]&amp;Matrix[[#Headers],[31]],FDR[FDR]&amp;FDR[[#Headers],[31]],FDR[31],"",0,1)</f>
        <v>5</v>
      </c>
      <c r="AR19" cm="1">
        <f t="array" ref="AR19">_xlfn.XLOOKUP(Matrix[[#This Row],[TEAM]]&amp;Matrix[[#Headers],[32]],FDR[FDR]&amp;FDR[[#Headers],[32]],FDR[32],"",0,1)</f>
        <v>4</v>
      </c>
      <c r="AS19" cm="1">
        <f t="array" ref="AS19">_xlfn.XLOOKUP(Matrix[[#This Row],[TEAM]]&amp;Matrix[[#Headers],[33]],FDR[FDR]&amp;FDR[[#Headers],[33]],FDR[33],"",0,1)</f>
        <v>3</v>
      </c>
      <c r="AT19" cm="1">
        <f t="array" ref="AT19">_xlfn.XLOOKUP(Matrix[[#This Row],[TEAM]]&amp;Matrix[[#Headers],[34]],FDR[FDR]&amp;FDR[[#Headers],[34]],FDR[34],"",0,1)</f>
        <v>5</v>
      </c>
      <c r="AU19" cm="1">
        <f t="array" ref="AU19">_xlfn.XLOOKUP(Matrix[[#This Row],[TEAM]]&amp;Matrix[[#Headers],[35]],FDR[FDR]&amp;FDR[[#Headers],[35]],FDR[35],"",0,1)</f>
        <v>4</v>
      </c>
      <c r="AV19" cm="1">
        <f t="array" ref="AV19">_xlfn.XLOOKUP(Matrix[[#This Row],[TEAM]]&amp;Matrix[[#Headers],[36]],FDR[FDR]&amp;FDR[[#Headers],[36]],FDR[36],"",0,1)</f>
        <v>3</v>
      </c>
      <c r="AW19" cm="1">
        <f t="array" ref="AW19">_xlfn.XLOOKUP(Matrix[[#This Row],[TEAM]]&amp;Matrix[[#Headers],[37]],FDR[FDR]&amp;FDR[[#Headers],[37]],FDR[37],"",0,1)</f>
        <v>4</v>
      </c>
      <c r="AX19" cm="1">
        <f t="array" ref="AX19">_xlfn.XLOOKUP(Matrix[[#This Row],[TEAM]]&amp;Matrix[[#Headers],[38]],FDR[FDR]&amp;FDR[[#Headers],[38]],FDR[38],"",0,1)</f>
        <v>4</v>
      </c>
    </row>
    <row r="20" spans="1:50" ht="22" thickTop="1" thickBot="1">
      <c r="A20" s="49" t="str">
        <f>INDEX!S$5</f>
        <v>FWD</v>
      </c>
      <c r="B20" s="70" t="s">
        <v>1288</v>
      </c>
      <c r="C20" s="40" t="s">
        <v>18</v>
      </c>
      <c r="D20" s="62">
        <v>126</v>
      </c>
      <c r="E20" s="60">
        <v>0.54500000000000004</v>
      </c>
      <c r="F20" s="61">
        <v>166</v>
      </c>
      <c r="G20" s="63">
        <v>7.5</v>
      </c>
      <c r="H20" s="261">
        <f>IF(ISBLANK(I20),0,1)</f>
        <v>0</v>
      </c>
      <c r="I20" s="57"/>
      <c r="J20" s="58"/>
      <c r="K20" s="64" t="s">
        <v>450</v>
      </c>
      <c r="L20" s="64" t="s">
        <v>486</v>
      </c>
      <c r="M20" cm="1">
        <f t="array" ref="M20">_xlfn.XLOOKUP(Matrix[[#This Row],[TEAM]]&amp;Matrix[[#Headers],[1]],FDR[FDR]&amp;FDR[[#Headers],[1]],FDR[1],"",0,1)</f>
        <v>1</v>
      </c>
      <c r="N20" cm="1">
        <f t="array" ref="N20">_xlfn.XLOOKUP(Matrix[[#This Row],[TEAM]]&amp;Matrix[[#Headers],[2]],FDR[FDR]&amp;FDR[[#Headers],[2]],FDR[2],"",0,1)</f>
        <v>2</v>
      </c>
      <c r="O20" cm="1">
        <f t="array" ref="O20">_xlfn.XLOOKUP(Matrix[[#This Row],[TEAM]]&amp;Matrix[[#Headers],[3]],FDR[FDR]&amp;FDR[[#Headers],[3]],FDR[3],"",0,1)</f>
        <v>1</v>
      </c>
      <c r="P20" cm="1">
        <f t="array" ref="P20">_xlfn.XLOOKUP(Matrix[[#This Row],[TEAM]]&amp;Matrix[[#Headers],[4]],FDR[FDR]&amp;FDR[[#Headers],[4]],FDR[4],"",0,1)</f>
        <v>2</v>
      </c>
      <c r="Q20" cm="1">
        <f t="array" ref="Q20">_xlfn.XLOOKUP(Matrix[[#This Row],[TEAM]]&amp;Matrix[[#Headers],[5]],FDR[FDR]&amp;FDR[[#Headers],[5]],FDR[5],"",0,1)</f>
        <v>3</v>
      </c>
      <c r="R20" cm="1">
        <f t="array" ref="R20">_xlfn.XLOOKUP(Matrix[[#This Row],[TEAM]]&amp;Matrix[[#Headers],[6]],FDR[FDR]&amp;FDR[[#Headers],[6]],FDR[6],"",0,1)</f>
        <v>1</v>
      </c>
      <c r="S20" cm="1">
        <f t="array" ref="S20">_xlfn.XLOOKUP(Matrix[[#This Row],[TEAM]]&amp;Matrix[[#Headers],[7]],FDR[FDR]&amp;FDR[[#Headers],[7]],FDR[7],"",0,1)</f>
        <v>3</v>
      </c>
      <c r="T20" cm="1">
        <f t="array" ref="T20">_xlfn.XLOOKUP(Matrix[[#This Row],[TEAM]]&amp;Matrix[[#Headers],[8]],FDR[FDR]&amp;FDR[[#Headers],[8]],FDR[8],"",0,1)</f>
        <v>2</v>
      </c>
      <c r="U20" cm="1">
        <f t="array" ref="U20">_xlfn.XLOOKUP(Matrix[[#This Row],[TEAM]]&amp;Matrix[[#Headers],[9]],FDR[FDR]&amp;FDR[[#Headers],[9]],FDR[9],"",0,1)</f>
        <v>1</v>
      </c>
      <c r="V20" cm="1">
        <f t="array" ref="V20">_xlfn.XLOOKUP(Matrix[[#This Row],[TEAM]]&amp;Matrix[[#Headers],[10]],FDR[FDR]&amp;FDR[[#Headers],[10]],FDR[10],"",0,1)</f>
        <v>3</v>
      </c>
      <c r="W20" cm="1">
        <f t="array" ref="W20">_xlfn.XLOOKUP(Matrix[[#This Row],[TEAM]]&amp;Matrix[[#Headers],[11]],FDR[FDR]&amp;FDR[[#Headers],[11]],FDR[11],"",0,1)</f>
        <v>1</v>
      </c>
      <c r="X20" cm="1">
        <f t="array" ref="X20">_xlfn.XLOOKUP(Matrix[[#This Row],[TEAM]]&amp;Matrix[[#Headers],[12]],FDR[FDR]&amp;FDR[[#Headers],[12]],FDR[12],"",0,1)</f>
        <v>1</v>
      </c>
      <c r="Y20" cm="1">
        <f t="array" ref="Y20">_xlfn.XLOOKUP(Matrix[[#This Row],[TEAM]]&amp;Matrix[[#Headers],[13]],FDR[FDR]&amp;FDR[[#Headers],[13]],FDR[13],"",0,1)</f>
        <v>3</v>
      </c>
      <c r="Z20" cm="1">
        <f t="array" ref="Z20">_xlfn.XLOOKUP(Matrix[[#This Row],[TEAM]]&amp;Matrix[[#Headers],[14]],FDR[FDR]&amp;FDR[[#Headers],[14]],FDR[14],"",0,1)</f>
        <v>1</v>
      </c>
      <c r="AA20" cm="1">
        <f t="array" ref="AA20">_xlfn.XLOOKUP(Matrix[[#This Row],[TEAM]]&amp;Matrix[[#Headers],[15]],FDR[FDR]&amp;FDR[[#Headers],[15]],FDR[15],"",0,1)</f>
        <v>2</v>
      </c>
      <c r="AB20" cm="1">
        <f t="array" ref="AB20">_xlfn.XLOOKUP(Matrix[[#This Row],[TEAM]]&amp;Matrix[[#Headers],[16]],FDR[FDR]&amp;FDR[[#Headers],[16]],FDR[16],"",0,1)</f>
        <v>1</v>
      </c>
      <c r="AC20" cm="1">
        <f t="array" ref="AC20">_xlfn.XLOOKUP(Matrix[[#This Row],[TEAM]]&amp;Matrix[[#Headers],[17]],FDR[FDR]&amp;FDR[[#Headers],[17]],FDR[17],"",0,1)</f>
        <v>3</v>
      </c>
      <c r="AD20" cm="1">
        <f t="array" ref="AD20">_xlfn.XLOOKUP(Matrix[[#This Row],[TEAM]]&amp;Matrix[[#Headers],[18]],FDR[FDR]&amp;FDR[[#Headers],[18]],FDR[18],"",0,1)</f>
        <v>2</v>
      </c>
      <c r="AE20" cm="1">
        <f t="array" ref="AE20">_xlfn.XLOOKUP(Matrix[[#This Row],[TEAM]]&amp;Matrix[[#Headers],[19]],FDR[FDR]&amp;FDR[[#Headers],[19]],FDR[19],"",0,1)</f>
        <v>1</v>
      </c>
      <c r="AF20" cm="1">
        <f t="array" ref="AF20">_xlfn.XLOOKUP(Matrix[[#This Row],[TEAM]]&amp;Matrix[[#Headers],[20]],FDR[FDR]&amp;FDR[[#Headers],[20]],FDR[20],"",0,1)</f>
        <v>4</v>
      </c>
      <c r="AG20" cm="1">
        <f t="array" ref="AG20">_xlfn.XLOOKUP(Matrix[[#This Row],[TEAM]]&amp;Matrix[[#Headers],[21]],FDR[FDR]&amp;FDR[[#Headers],[21]],FDR[21],"",0,1)</f>
        <v>2</v>
      </c>
      <c r="AH20" cm="1">
        <f t="array" ref="AH20">_xlfn.XLOOKUP(Matrix[[#This Row],[TEAM]]&amp;Matrix[[#Headers],[22]],FDR[FDR]&amp;FDR[[#Headers],[22]],FDR[22],"",0,1)</f>
        <v>1</v>
      </c>
      <c r="AI20" cm="1">
        <f t="array" ref="AI20">_xlfn.XLOOKUP(Matrix[[#This Row],[TEAM]]&amp;Matrix[[#Headers],[23]],FDR[FDR]&amp;FDR[[#Headers],[23]],FDR[23],"",0,1)</f>
        <v>2</v>
      </c>
      <c r="AJ20" cm="1">
        <f t="array" ref="AJ20">_xlfn.XLOOKUP(Matrix[[#This Row],[TEAM]]&amp;Matrix[[#Headers],[24]],FDR[FDR]&amp;FDR[[#Headers],[24]],FDR[24],"",0,1)</f>
        <v>1</v>
      </c>
      <c r="AK20" cm="1">
        <f t="array" ref="AK20">_xlfn.XLOOKUP(Matrix[[#This Row],[TEAM]]&amp;Matrix[[#Headers],[25]],FDR[FDR]&amp;FDR[[#Headers],[25]],FDR[25],"",0,1)</f>
        <v>1</v>
      </c>
      <c r="AL20" cm="1">
        <f t="array" ref="AL20">_xlfn.XLOOKUP(Matrix[[#This Row],[TEAM]]&amp;Matrix[[#Headers],[26]],FDR[FDR]&amp;FDR[[#Headers],[26]],FDR[26],"",0,1)</f>
        <v>1</v>
      </c>
      <c r="AM20" cm="1">
        <f t="array" ref="AM20">_xlfn.XLOOKUP(Matrix[[#This Row],[TEAM]]&amp;Matrix[[#Headers],[27]],FDR[FDR]&amp;FDR[[#Headers],[27]],FDR[27],"",0,1)</f>
        <v>1</v>
      </c>
      <c r="AN20" cm="1">
        <f t="array" ref="AN20">_xlfn.XLOOKUP(Matrix[[#This Row],[TEAM]]&amp;Matrix[[#Headers],[28]],FDR[FDR]&amp;FDR[[#Headers],[28]],FDR[28],"",0,1)</f>
        <v>4</v>
      </c>
      <c r="AO20" cm="1">
        <f t="array" ref="AO20">_xlfn.XLOOKUP(Matrix[[#This Row],[TEAM]]&amp;Matrix[[#Headers],[29]],FDR[FDR]&amp;FDR[[#Headers],[29]],FDR[29],"",0,1)</f>
        <v>3</v>
      </c>
      <c r="AP20" cm="1">
        <f t="array" ref="AP20">_xlfn.XLOOKUP(Matrix[[#This Row],[TEAM]]&amp;Matrix[[#Headers],[30]],FDR[FDR]&amp;FDR[[#Headers],[30]],FDR[30],"",0,1)</f>
        <v>2</v>
      </c>
      <c r="AQ20" cm="1">
        <f t="array" ref="AQ20">_xlfn.XLOOKUP(Matrix[[#This Row],[TEAM]]&amp;Matrix[[#Headers],[31]],FDR[FDR]&amp;FDR[[#Headers],[31]],FDR[31],"",0,1)</f>
        <v>2</v>
      </c>
      <c r="AR20" cm="1">
        <f t="array" ref="AR20">_xlfn.XLOOKUP(Matrix[[#This Row],[TEAM]]&amp;Matrix[[#Headers],[32]],FDR[FDR]&amp;FDR[[#Headers],[32]],FDR[32],"",0,1)</f>
        <v>3</v>
      </c>
      <c r="AS20" cm="1">
        <f t="array" ref="AS20">_xlfn.XLOOKUP(Matrix[[#This Row],[TEAM]]&amp;Matrix[[#Headers],[33]],FDR[FDR]&amp;FDR[[#Headers],[33]],FDR[33],"",0,1)</f>
        <v>2</v>
      </c>
      <c r="AT20" cm="1">
        <f t="array" ref="AT20">_xlfn.XLOOKUP(Matrix[[#This Row],[TEAM]]&amp;Matrix[[#Headers],[34]],FDR[FDR]&amp;FDR[[#Headers],[34]],FDR[34],"",0,1)</f>
        <v>2</v>
      </c>
      <c r="AU20" cm="1">
        <f t="array" ref="AU20">_xlfn.XLOOKUP(Matrix[[#This Row],[TEAM]]&amp;Matrix[[#Headers],[35]],FDR[FDR]&amp;FDR[[#Headers],[35]],FDR[35],"",0,1)</f>
        <v>1</v>
      </c>
      <c r="AV20" cm="1">
        <f t="array" ref="AV20">_xlfn.XLOOKUP(Matrix[[#This Row],[TEAM]]&amp;Matrix[[#Headers],[36]],FDR[FDR]&amp;FDR[[#Headers],[36]],FDR[36],"",0,1)</f>
        <v>4</v>
      </c>
      <c r="AW20" cm="1">
        <f t="array" ref="AW20">_xlfn.XLOOKUP(Matrix[[#This Row],[TEAM]]&amp;Matrix[[#Headers],[37]],FDR[FDR]&amp;FDR[[#Headers],[37]],FDR[37],"",0,1)</f>
        <v>2</v>
      </c>
      <c r="AX20" cm="1">
        <f t="array" ref="AX20">_xlfn.XLOOKUP(Matrix[[#This Row],[TEAM]]&amp;Matrix[[#Headers],[38]],FDR[FDR]&amp;FDR[[#Headers],[38]],FDR[38],"",0,1)</f>
        <v>1</v>
      </c>
    </row>
    <row r="21" spans="1:50" ht="22" thickTop="1" thickBot="1">
      <c r="A21" s="49" t="str">
        <f>INDEX!S$5</f>
        <v>FWD</v>
      </c>
      <c r="B21" s="70" t="s">
        <v>1296</v>
      </c>
      <c r="C21" s="40" t="s">
        <v>30</v>
      </c>
      <c r="D21" s="62">
        <v>0</v>
      </c>
      <c r="E21" s="60">
        <v>0.04</v>
      </c>
      <c r="F21" s="61">
        <v>0</v>
      </c>
      <c r="G21" s="63">
        <v>7.5</v>
      </c>
      <c r="H21" s="261">
        <f>IF(ISBLANK(I21),0,1)</f>
        <v>0</v>
      </c>
      <c r="I21" s="57"/>
      <c r="J21" s="58"/>
      <c r="K21" s="64" t="s">
        <v>366</v>
      </c>
      <c r="L21" s="64" t="s">
        <v>1101</v>
      </c>
      <c r="M21" cm="1">
        <f t="array" ref="M21">_xlfn.XLOOKUP(Matrix[[#This Row],[TEAM]]&amp;Matrix[[#Headers],[1]],FDR[FDR]&amp;FDR[[#Headers],[1]],FDR[1],"",0,1)</f>
        <v>3</v>
      </c>
      <c r="N21" cm="1">
        <f t="array" ref="N21">_xlfn.XLOOKUP(Matrix[[#This Row],[TEAM]]&amp;Matrix[[#Headers],[2]],FDR[FDR]&amp;FDR[[#Headers],[2]],FDR[2],"",0,1)</f>
        <v>2</v>
      </c>
      <c r="O21" cm="1">
        <f t="array" ref="O21">_xlfn.XLOOKUP(Matrix[[#This Row],[TEAM]]&amp;Matrix[[#Headers],[3]],FDR[FDR]&amp;FDR[[#Headers],[3]],FDR[3],"",0,1)</f>
        <v>1</v>
      </c>
      <c r="P21" cm="1">
        <f t="array" ref="P21">_xlfn.XLOOKUP(Matrix[[#This Row],[TEAM]]&amp;Matrix[[#Headers],[4]],FDR[FDR]&amp;FDR[[#Headers],[4]],FDR[4],"",0,1)</f>
        <v>4</v>
      </c>
      <c r="Q21" cm="1">
        <f t="array" ref="Q21">_xlfn.XLOOKUP(Matrix[[#This Row],[TEAM]]&amp;Matrix[[#Headers],[5]],FDR[FDR]&amp;FDR[[#Headers],[5]],FDR[5],"",0,1)</f>
        <v>3</v>
      </c>
      <c r="R21" cm="1">
        <f t="array" ref="R21">_xlfn.XLOOKUP(Matrix[[#This Row],[TEAM]]&amp;Matrix[[#Headers],[6]],FDR[FDR]&amp;FDR[[#Headers],[6]],FDR[6],"",0,1)</f>
        <v>2</v>
      </c>
      <c r="S21" cm="1">
        <f t="array" ref="S21">_xlfn.XLOOKUP(Matrix[[#This Row],[TEAM]]&amp;Matrix[[#Headers],[7]],FDR[FDR]&amp;FDR[[#Headers],[7]],FDR[7],"",0,1)</f>
        <v>1</v>
      </c>
      <c r="T21" cm="1">
        <f t="array" ref="T21">_xlfn.XLOOKUP(Matrix[[#This Row],[TEAM]]&amp;Matrix[[#Headers],[8]],FDR[FDR]&amp;FDR[[#Headers],[8]],FDR[8],"",0,1)</f>
        <v>4</v>
      </c>
      <c r="U21" cm="1">
        <f t="array" ref="U21">_xlfn.XLOOKUP(Matrix[[#This Row],[TEAM]]&amp;Matrix[[#Headers],[9]],FDR[FDR]&amp;FDR[[#Headers],[9]],FDR[9],"",0,1)</f>
        <v>1</v>
      </c>
      <c r="V21" cm="1">
        <f t="array" ref="V21">_xlfn.XLOOKUP(Matrix[[#This Row],[TEAM]]&amp;Matrix[[#Headers],[10]],FDR[FDR]&amp;FDR[[#Headers],[10]],FDR[10],"",0,1)</f>
        <v>2</v>
      </c>
      <c r="W21" cm="1">
        <f t="array" ref="W21">_xlfn.XLOOKUP(Matrix[[#This Row],[TEAM]]&amp;Matrix[[#Headers],[11]],FDR[FDR]&amp;FDR[[#Headers],[11]],FDR[11],"",0,1)</f>
        <v>4</v>
      </c>
      <c r="X21" cm="1">
        <f t="array" ref="X21">_xlfn.XLOOKUP(Matrix[[#This Row],[TEAM]]&amp;Matrix[[#Headers],[12]],FDR[FDR]&amp;FDR[[#Headers],[12]],FDR[12],"",0,1)</f>
        <v>1</v>
      </c>
      <c r="Y21" cm="1">
        <f t="array" ref="Y21">_xlfn.XLOOKUP(Matrix[[#This Row],[TEAM]]&amp;Matrix[[#Headers],[13]],FDR[FDR]&amp;FDR[[#Headers],[13]],FDR[13],"",0,1)</f>
        <v>2</v>
      </c>
      <c r="Z21" cm="1">
        <f t="array" ref="Z21">_xlfn.XLOOKUP(Matrix[[#This Row],[TEAM]]&amp;Matrix[[#Headers],[14]],FDR[FDR]&amp;FDR[[#Headers],[14]],FDR[14],"",0,1)</f>
        <v>1</v>
      </c>
      <c r="AA21" cm="1">
        <f t="array" ref="AA21">_xlfn.XLOOKUP(Matrix[[#This Row],[TEAM]]&amp;Matrix[[#Headers],[15]],FDR[FDR]&amp;FDR[[#Headers],[15]],FDR[15],"",0,1)</f>
        <v>1</v>
      </c>
      <c r="AB21" cm="1">
        <f t="array" ref="AB21">_xlfn.XLOOKUP(Matrix[[#This Row],[TEAM]]&amp;Matrix[[#Headers],[16]],FDR[FDR]&amp;FDR[[#Headers],[16]],FDR[16],"",0,1)</f>
        <v>1</v>
      </c>
      <c r="AC21" cm="1">
        <f t="array" ref="AC21">_xlfn.XLOOKUP(Matrix[[#This Row],[TEAM]]&amp;Matrix[[#Headers],[17]],FDR[FDR]&amp;FDR[[#Headers],[17]],FDR[17],"",0,1)</f>
        <v>3</v>
      </c>
      <c r="AD21" cm="1">
        <f t="array" ref="AD21">_xlfn.XLOOKUP(Matrix[[#This Row],[TEAM]]&amp;Matrix[[#Headers],[18]],FDR[FDR]&amp;FDR[[#Headers],[18]],FDR[18],"",0,1)</f>
        <v>2</v>
      </c>
      <c r="AE21" cm="1">
        <f t="array" ref="AE21">_xlfn.XLOOKUP(Matrix[[#This Row],[TEAM]]&amp;Matrix[[#Headers],[19]],FDR[FDR]&amp;FDR[[#Headers],[19]],FDR[19],"",0,1)</f>
        <v>1</v>
      </c>
      <c r="AF21" cm="1">
        <f t="array" ref="AF21">_xlfn.XLOOKUP(Matrix[[#This Row],[TEAM]]&amp;Matrix[[#Headers],[20]],FDR[FDR]&amp;FDR[[#Headers],[20]],FDR[20],"",0,1)</f>
        <v>1</v>
      </c>
      <c r="AG21" cm="1">
        <f t="array" ref="AG21">_xlfn.XLOOKUP(Matrix[[#This Row],[TEAM]]&amp;Matrix[[#Headers],[21]],FDR[FDR]&amp;FDR[[#Headers],[21]],FDR[21],"",0,1)</f>
        <v>1</v>
      </c>
      <c r="AH21" cm="1">
        <f t="array" ref="AH21">_xlfn.XLOOKUP(Matrix[[#This Row],[TEAM]]&amp;Matrix[[#Headers],[22]],FDR[FDR]&amp;FDR[[#Headers],[22]],FDR[22],"",0,1)</f>
        <v>3</v>
      </c>
      <c r="AI21" cm="1">
        <f t="array" ref="AI21">_xlfn.XLOOKUP(Matrix[[#This Row],[TEAM]]&amp;Matrix[[#Headers],[23]],FDR[FDR]&amp;FDR[[#Headers],[23]],FDR[23],"",0,1)</f>
        <v>4</v>
      </c>
      <c r="AJ21" cm="1">
        <f t="array" ref="AJ21">_xlfn.XLOOKUP(Matrix[[#This Row],[TEAM]]&amp;Matrix[[#Headers],[24]],FDR[FDR]&amp;FDR[[#Headers],[24]],FDR[24],"",0,1)</f>
        <v>1</v>
      </c>
      <c r="AK21" cm="1">
        <f t="array" ref="AK21">_xlfn.XLOOKUP(Matrix[[#This Row],[TEAM]]&amp;Matrix[[#Headers],[25]],FDR[FDR]&amp;FDR[[#Headers],[25]],FDR[25],"",0,1)</f>
        <v>3</v>
      </c>
      <c r="AL21" cm="1">
        <f t="array" ref="AL21">_xlfn.XLOOKUP(Matrix[[#This Row],[TEAM]]&amp;Matrix[[#Headers],[26]],FDR[FDR]&amp;FDR[[#Headers],[26]],FDR[26],"",0,1)</f>
        <v>2</v>
      </c>
      <c r="AM21" cm="1">
        <f t="array" ref="AM21">_xlfn.XLOOKUP(Matrix[[#This Row],[TEAM]]&amp;Matrix[[#Headers],[27]],FDR[FDR]&amp;FDR[[#Headers],[27]],FDR[27],"",0,1)</f>
        <v>2</v>
      </c>
      <c r="AN21" cm="1">
        <f t="array" ref="AN21">_xlfn.XLOOKUP(Matrix[[#This Row],[TEAM]]&amp;Matrix[[#Headers],[28]],FDR[FDR]&amp;FDR[[#Headers],[28]],FDR[28],"",0,1)</f>
        <v>1</v>
      </c>
      <c r="AO21" cm="1">
        <f t="array" ref="AO21">_xlfn.XLOOKUP(Matrix[[#This Row],[TEAM]]&amp;Matrix[[#Headers],[29]],FDR[FDR]&amp;FDR[[#Headers],[29]],FDR[29],"",0,1)</f>
        <v>3</v>
      </c>
      <c r="AP21" cm="1">
        <f t="array" ref="AP21">_xlfn.XLOOKUP(Matrix[[#This Row],[TEAM]]&amp;Matrix[[#Headers],[30]],FDR[FDR]&amp;FDR[[#Headers],[30]],FDR[30],"",0,1)</f>
        <v>2</v>
      </c>
      <c r="AQ21" cm="1">
        <f t="array" ref="AQ21">_xlfn.XLOOKUP(Matrix[[#This Row],[TEAM]]&amp;Matrix[[#Headers],[31]],FDR[FDR]&amp;FDR[[#Headers],[31]],FDR[31],"",0,1)</f>
        <v>2</v>
      </c>
      <c r="AR21" cm="1">
        <f t="array" ref="AR21">_xlfn.XLOOKUP(Matrix[[#This Row],[TEAM]]&amp;Matrix[[#Headers],[32]],FDR[FDR]&amp;FDR[[#Headers],[32]],FDR[32],"",0,1)</f>
        <v>1</v>
      </c>
      <c r="AS21" cm="1">
        <f t="array" ref="AS21">_xlfn.XLOOKUP(Matrix[[#This Row],[TEAM]]&amp;Matrix[[#Headers],[33]],FDR[FDR]&amp;FDR[[#Headers],[33]],FDR[33],"",0,1)</f>
        <v>4</v>
      </c>
      <c r="AT21" cm="1">
        <f t="array" ref="AT21">_xlfn.XLOOKUP(Matrix[[#This Row],[TEAM]]&amp;Matrix[[#Headers],[34]],FDR[FDR]&amp;FDR[[#Headers],[34]],FDR[34],"",0,1)</f>
        <v>1</v>
      </c>
      <c r="AU21" cm="1">
        <f t="array" ref="AU21">_xlfn.XLOOKUP(Matrix[[#This Row],[TEAM]]&amp;Matrix[[#Headers],[35]],FDR[FDR]&amp;FDR[[#Headers],[35]],FDR[35],"",0,1)</f>
        <v>3</v>
      </c>
      <c r="AV21" cm="1">
        <f t="array" ref="AV21">_xlfn.XLOOKUP(Matrix[[#This Row],[TEAM]]&amp;Matrix[[#Headers],[36]],FDR[FDR]&amp;FDR[[#Headers],[36]],FDR[36],"",0,1)</f>
        <v>1</v>
      </c>
      <c r="AW21" cm="1">
        <f t="array" ref="AW21">_xlfn.XLOOKUP(Matrix[[#This Row],[TEAM]]&amp;Matrix[[#Headers],[37]],FDR[FDR]&amp;FDR[[#Headers],[37]],FDR[37],"",0,1)</f>
        <v>1</v>
      </c>
      <c r="AX21" cm="1">
        <f t="array" ref="AX21">_xlfn.XLOOKUP(Matrix[[#This Row],[TEAM]]&amp;Matrix[[#Headers],[38]],FDR[FDR]&amp;FDR[[#Headers],[38]],FDR[38],"",0,1)</f>
        <v>2</v>
      </c>
    </row>
    <row r="22" spans="1:50" ht="22" thickTop="1" thickBot="1">
      <c r="A22" s="49" t="str">
        <f>INDEX!S$5</f>
        <v>FWD</v>
      </c>
      <c r="B22" s="70" t="s">
        <v>1292</v>
      </c>
      <c r="C22" s="40" t="s">
        <v>19</v>
      </c>
      <c r="D22" s="62">
        <v>108</v>
      </c>
      <c r="E22" s="60">
        <v>6.4000000000000001E-2</v>
      </c>
      <c r="F22" s="61">
        <v>142.1</v>
      </c>
      <c r="G22" s="63">
        <v>7.4</v>
      </c>
      <c r="H22" s="261">
        <f>IF(ISBLANK(I22),0,1)</f>
        <v>0</v>
      </c>
      <c r="I22" s="57"/>
      <c r="J22" s="58"/>
      <c r="K22" s="64" t="s">
        <v>388</v>
      </c>
      <c r="L22" s="64" t="s">
        <v>277</v>
      </c>
      <c r="M22" cm="1">
        <f t="array" ref="M22">_xlfn.XLOOKUP(Matrix[[#This Row],[TEAM]]&amp;Matrix[[#Headers],[1]],FDR[FDR]&amp;FDR[[#Headers],[1]],FDR[1],"",0,1)</f>
        <v>1</v>
      </c>
      <c r="N22" cm="1">
        <f t="array" ref="N22">_xlfn.XLOOKUP(Matrix[[#This Row],[TEAM]]&amp;Matrix[[#Headers],[2]],FDR[FDR]&amp;FDR[[#Headers],[2]],FDR[2],"",0,1)</f>
        <v>4</v>
      </c>
      <c r="O22" cm="1">
        <f t="array" ref="O22">_xlfn.XLOOKUP(Matrix[[#This Row],[TEAM]]&amp;Matrix[[#Headers],[3]],FDR[FDR]&amp;FDR[[#Headers],[3]],FDR[3],"",0,1)</f>
        <v>1</v>
      </c>
      <c r="P22" cm="1">
        <f t="array" ref="P22">_xlfn.XLOOKUP(Matrix[[#This Row],[TEAM]]&amp;Matrix[[#Headers],[4]],FDR[FDR]&amp;FDR[[#Headers],[4]],FDR[4],"",0,1)</f>
        <v>2</v>
      </c>
      <c r="Q22" cm="1">
        <f t="array" ref="Q22">_xlfn.XLOOKUP(Matrix[[#This Row],[TEAM]]&amp;Matrix[[#Headers],[5]],FDR[FDR]&amp;FDR[[#Headers],[5]],FDR[5],"",0,1)</f>
        <v>2</v>
      </c>
      <c r="R22" cm="1">
        <f t="array" ref="R22">_xlfn.XLOOKUP(Matrix[[#This Row],[TEAM]]&amp;Matrix[[#Headers],[6]],FDR[FDR]&amp;FDR[[#Headers],[6]],FDR[6],"",0,1)</f>
        <v>1</v>
      </c>
      <c r="S22" cm="1">
        <f t="array" ref="S22">_xlfn.XLOOKUP(Matrix[[#This Row],[TEAM]]&amp;Matrix[[#Headers],[7]],FDR[FDR]&amp;FDR[[#Headers],[7]],FDR[7],"",0,1)</f>
        <v>1</v>
      </c>
      <c r="T22" cm="1">
        <f t="array" ref="T22">_xlfn.XLOOKUP(Matrix[[#This Row],[TEAM]]&amp;Matrix[[#Headers],[8]],FDR[FDR]&amp;FDR[[#Headers],[8]],FDR[8],"",0,1)</f>
        <v>2</v>
      </c>
      <c r="U22" cm="1">
        <f t="array" ref="U22">_xlfn.XLOOKUP(Matrix[[#This Row],[TEAM]]&amp;Matrix[[#Headers],[9]],FDR[FDR]&amp;FDR[[#Headers],[9]],FDR[9],"",0,1)</f>
        <v>2</v>
      </c>
      <c r="V22" cm="1">
        <f t="array" ref="V22">_xlfn.XLOOKUP(Matrix[[#This Row],[TEAM]]&amp;Matrix[[#Headers],[10]],FDR[FDR]&amp;FDR[[#Headers],[10]],FDR[10],"",0,1)</f>
        <v>3</v>
      </c>
      <c r="W22" cm="1">
        <f t="array" ref="W22">_xlfn.XLOOKUP(Matrix[[#This Row],[TEAM]]&amp;Matrix[[#Headers],[11]],FDR[FDR]&amp;FDR[[#Headers],[11]],FDR[11],"",0,1)</f>
        <v>3</v>
      </c>
      <c r="X22" cm="1">
        <f t="array" ref="X22">_xlfn.XLOOKUP(Matrix[[#This Row],[TEAM]]&amp;Matrix[[#Headers],[12]],FDR[FDR]&amp;FDR[[#Headers],[12]],FDR[12],"",0,1)</f>
        <v>4</v>
      </c>
      <c r="Y22" cm="1">
        <f t="array" ref="Y22">_xlfn.XLOOKUP(Matrix[[#This Row],[TEAM]]&amp;Matrix[[#Headers],[13]],FDR[FDR]&amp;FDR[[#Headers],[13]],FDR[13],"",0,1)</f>
        <v>1</v>
      </c>
      <c r="Z22" cm="1">
        <f t="array" ref="Z22">_xlfn.XLOOKUP(Matrix[[#This Row],[TEAM]]&amp;Matrix[[#Headers],[14]],FDR[FDR]&amp;FDR[[#Headers],[14]],FDR[14],"",0,1)</f>
        <v>3</v>
      </c>
      <c r="AA22" cm="1">
        <f t="array" ref="AA22">_xlfn.XLOOKUP(Matrix[[#This Row],[TEAM]]&amp;Matrix[[#Headers],[15]],FDR[FDR]&amp;FDR[[#Headers],[15]],FDR[15],"",0,1)</f>
        <v>1</v>
      </c>
      <c r="AB22" cm="1">
        <f t="array" ref="AB22">_xlfn.XLOOKUP(Matrix[[#This Row],[TEAM]]&amp;Matrix[[#Headers],[16]],FDR[FDR]&amp;FDR[[#Headers],[16]],FDR[16],"",0,1)</f>
        <v>2</v>
      </c>
      <c r="AC22" cm="1">
        <f t="array" ref="AC22">_xlfn.XLOOKUP(Matrix[[#This Row],[TEAM]]&amp;Matrix[[#Headers],[17]],FDR[FDR]&amp;FDR[[#Headers],[17]],FDR[17],"",0,1)</f>
        <v>3</v>
      </c>
      <c r="AD22" cm="1">
        <f t="array" ref="AD22">_xlfn.XLOOKUP(Matrix[[#This Row],[TEAM]]&amp;Matrix[[#Headers],[18]],FDR[FDR]&amp;FDR[[#Headers],[18]],FDR[18],"",0,1)</f>
        <v>2</v>
      </c>
      <c r="AE22" cm="1">
        <f t="array" ref="AE22">_xlfn.XLOOKUP(Matrix[[#This Row],[TEAM]]&amp;Matrix[[#Headers],[19]],FDR[FDR]&amp;FDR[[#Headers],[19]],FDR[19],"",0,1)</f>
        <v>2</v>
      </c>
      <c r="AF22" cm="1">
        <f t="array" ref="AF22">_xlfn.XLOOKUP(Matrix[[#This Row],[TEAM]]&amp;Matrix[[#Headers],[20]],FDR[FDR]&amp;FDR[[#Headers],[20]],FDR[20],"",0,1)</f>
        <v>1</v>
      </c>
      <c r="AG22" cm="1">
        <f t="array" ref="AG22">_xlfn.XLOOKUP(Matrix[[#This Row],[TEAM]]&amp;Matrix[[#Headers],[21]],FDR[FDR]&amp;FDR[[#Headers],[21]],FDR[21],"",0,1)</f>
        <v>2</v>
      </c>
      <c r="AH22" cm="1">
        <f t="array" ref="AH22">_xlfn.XLOOKUP(Matrix[[#This Row],[TEAM]]&amp;Matrix[[#Headers],[22]],FDR[FDR]&amp;FDR[[#Headers],[22]],FDR[22],"",0,1)</f>
        <v>1</v>
      </c>
      <c r="AI22" cm="1">
        <f t="array" ref="AI22">_xlfn.XLOOKUP(Matrix[[#This Row],[TEAM]]&amp;Matrix[[#Headers],[23]],FDR[FDR]&amp;FDR[[#Headers],[23]],FDR[23],"",0,1)</f>
        <v>1</v>
      </c>
      <c r="AJ22" cm="1">
        <f t="array" ref="AJ22">_xlfn.XLOOKUP(Matrix[[#This Row],[TEAM]]&amp;Matrix[[#Headers],[24]],FDR[FDR]&amp;FDR[[#Headers],[24]],FDR[24],"",0,1)</f>
        <v>3</v>
      </c>
      <c r="AK22" cm="1">
        <f t="array" ref="AK22">_xlfn.XLOOKUP(Matrix[[#This Row],[TEAM]]&amp;Matrix[[#Headers],[25]],FDR[FDR]&amp;FDR[[#Headers],[25]],FDR[25],"",0,1)</f>
        <v>4</v>
      </c>
      <c r="AL22" cm="1">
        <f t="array" ref="AL22">_xlfn.XLOOKUP(Matrix[[#This Row],[TEAM]]&amp;Matrix[[#Headers],[26]],FDR[FDR]&amp;FDR[[#Headers],[26]],FDR[26],"",0,1)</f>
        <v>2</v>
      </c>
      <c r="AM22" cm="1">
        <f t="array" ref="AM22">_xlfn.XLOOKUP(Matrix[[#This Row],[TEAM]]&amp;Matrix[[#Headers],[27]],FDR[FDR]&amp;FDR[[#Headers],[27]],FDR[27],"",0,1)</f>
        <v>3</v>
      </c>
      <c r="AN22" cm="1">
        <f t="array" ref="AN22">_xlfn.XLOOKUP(Matrix[[#This Row],[TEAM]]&amp;Matrix[[#Headers],[28]],FDR[FDR]&amp;FDR[[#Headers],[28]],FDR[28],"",0,1)</f>
        <v>2</v>
      </c>
      <c r="AO22" cm="1">
        <f t="array" ref="AO22">_xlfn.XLOOKUP(Matrix[[#This Row],[TEAM]]&amp;Matrix[[#Headers],[29]],FDR[FDR]&amp;FDR[[#Headers],[29]],FDR[29],"",0,1)</f>
        <v>1</v>
      </c>
      <c r="AP22" cm="1">
        <f t="array" ref="AP22">_xlfn.XLOOKUP(Matrix[[#This Row],[TEAM]]&amp;Matrix[[#Headers],[30]],FDR[FDR]&amp;FDR[[#Headers],[30]],FDR[30],"",0,1)</f>
        <v>4</v>
      </c>
      <c r="AQ22" cm="1">
        <f t="array" ref="AQ22">_xlfn.XLOOKUP(Matrix[[#This Row],[TEAM]]&amp;Matrix[[#Headers],[31]],FDR[FDR]&amp;FDR[[#Headers],[31]],FDR[31],"",0,1)</f>
        <v>1</v>
      </c>
      <c r="AR22" cm="1">
        <f t="array" ref="AR22">_xlfn.XLOOKUP(Matrix[[#This Row],[TEAM]]&amp;Matrix[[#Headers],[32]],FDR[FDR]&amp;FDR[[#Headers],[32]],FDR[32],"",0,1)</f>
        <v>1</v>
      </c>
      <c r="AS22" cm="1">
        <f t="array" ref="AS22">_xlfn.XLOOKUP(Matrix[[#This Row],[TEAM]]&amp;Matrix[[#Headers],[33]],FDR[FDR]&amp;FDR[[#Headers],[33]],FDR[33],"",0,1)</f>
        <v>1</v>
      </c>
      <c r="AT22" cm="1">
        <f t="array" ref="AT22">_xlfn.XLOOKUP(Matrix[[#This Row],[TEAM]]&amp;Matrix[[#Headers],[34]],FDR[FDR]&amp;FDR[[#Headers],[34]],FDR[34],"",0,1)</f>
        <v>1</v>
      </c>
      <c r="AU22" cm="1">
        <f t="array" ref="AU22">_xlfn.XLOOKUP(Matrix[[#This Row],[TEAM]]&amp;Matrix[[#Headers],[35]],FDR[FDR]&amp;FDR[[#Headers],[35]],FDR[35],"",0,1)</f>
        <v>3</v>
      </c>
      <c r="AV22" cm="1">
        <f t="array" ref="AV22">_xlfn.XLOOKUP(Matrix[[#This Row],[TEAM]]&amp;Matrix[[#Headers],[36]],FDR[FDR]&amp;FDR[[#Headers],[36]],FDR[36],"",0,1)</f>
        <v>1</v>
      </c>
      <c r="AW22" cm="1">
        <f t="array" ref="AW22">_xlfn.XLOOKUP(Matrix[[#This Row],[TEAM]]&amp;Matrix[[#Headers],[37]],FDR[FDR]&amp;FDR[[#Headers],[37]],FDR[37],"",0,1)</f>
        <v>4</v>
      </c>
      <c r="AX22" cm="1">
        <f t="array" ref="AX22">_xlfn.XLOOKUP(Matrix[[#This Row],[TEAM]]&amp;Matrix[[#Headers],[38]],FDR[FDR]&amp;FDR[[#Headers],[38]],FDR[38],"",0,1)</f>
        <v>1</v>
      </c>
    </row>
    <row r="23" spans="1:50" ht="22" thickTop="1" thickBot="1">
      <c r="A23" s="50" t="str">
        <f>INDEX!S$4</f>
        <v>MID</v>
      </c>
      <c r="B23" s="70" t="s">
        <v>1301</v>
      </c>
      <c r="C23" s="40" t="s">
        <v>43</v>
      </c>
      <c r="D23" s="62">
        <v>165</v>
      </c>
      <c r="E23" s="60">
        <v>5.2999999999999999E-2</v>
      </c>
      <c r="F23" s="61">
        <v>267.8</v>
      </c>
      <c r="G23" s="63">
        <v>7.2</v>
      </c>
      <c r="H23" s="261">
        <f>IF(ISBLANK(I23),0,1)</f>
        <v>0</v>
      </c>
      <c r="I23" s="57"/>
      <c r="J23" s="58"/>
      <c r="K23" s="59" t="s">
        <v>546</v>
      </c>
      <c r="L23" s="59" t="s">
        <v>293</v>
      </c>
      <c r="M23" cm="1">
        <f t="array" ref="M23">_xlfn.XLOOKUP(Matrix[[#This Row],[TEAM]]&amp;Matrix[[#Headers],[1]],FDR[FDR]&amp;FDR[[#Headers],[1]],FDR[1],"",0,1)</f>
        <v>5</v>
      </c>
      <c r="N23" cm="1">
        <f t="array" ref="N23">_xlfn.XLOOKUP(Matrix[[#This Row],[TEAM]]&amp;Matrix[[#Headers],[2]],FDR[FDR]&amp;FDR[[#Headers],[2]],FDR[2],"",0,1)</f>
        <v>1</v>
      </c>
      <c r="O23" cm="1">
        <f t="array" ref="O23">_xlfn.XLOOKUP(Matrix[[#This Row],[TEAM]]&amp;Matrix[[#Headers],[3]],FDR[FDR]&amp;FDR[[#Headers],[3]],FDR[3],"",0,1)</f>
        <v>5</v>
      </c>
      <c r="P23" cm="1">
        <f t="array" ref="P23">_xlfn.XLOOKUP(Matrix[[#This Row],[TEAM]]&amp;Matrix[[#Headers],[4]],FDR[FDR]&amp;FDR[[#Headers],[4]],FDR[4],"",0,1)</f>
        <v>3</v>
      </c>
      <c r="Q23" cm="1">
        <f t="array" ref="Q23">_xlfn.XLOOKUP(Matrix[[#This Row],[TEAM]]&amp;Matrix[[#Headers],[5]],FDR[FDR]&amp;FDR[[#Headers],[5]],FDR[5],"",0,1)</f>
        <v>4</v>
      </c>
      <c r="R23" cm="1">
        <f t="array" ref="R23">_xlfn.XLOOKUP(Matrix[[#This Row],[TEAM]]&amp;Matrix[[#Headers],[6]],FDR[FDR]&amp;FDR[[#Headers],[6]],FDR[6],"",0,1)</f>
        <v>2</v>
      </c>
      <c r="S23" cm="1">
        <f t="array" ref="S23">_xlfn.XLOOKUP(Matrix[[#This Row],[TEAM]]&amp;Matrix[[#Headers],[7]],FDR[FDR]&amp;FDR[[#Headers],[7]],FDR[7],"",0,1)</f>
        <v>3</v>
      </c>
      <c r="T23" cm="1">
        <f t="array" ref="T23">_xlfn.XLOOKUP(Matrix[[#This Row],[TEAM]]&amp;Matrix[[#Headers],[8]],FDR[FDR]&amp;FDR[[#Headers],[8]],FDR[8],"",0,1)</f>
        <v>3</v>
      </c>
      <c r="U23" cm="1">
        <f t="array" ref="U23">_xlfn.XLOOKUP(Matrix[[#This Row],[TEAM]]&amp;Matrix[[#Headers],[9]],FDR[FDR]&amp;FDR[[#Headers],[9]],FDR[9],"",0,1)</f>
        <v>3</v>
      </c>
      <c r="V23" cm="1">
        <f t="array" ref="V23">_xlfn.XLOOKUP(Matrix[[#This Row],[TEAM]]&amp;Matrix[[#Headers],[10]],FDR[FDR]&amp;FDR[[#Headers],[10]],FDR[10],"",0,1)</f>
        <v>5</v>
      </c>
      <c r="W23" cm="1">
        <f t="array" ref="W23">_xlfn.XLOOKUP(Matrix[[#This Row],[TEAM]]&amp;Matrix[[#Headers],[11]],FDR[FDR]&amp;FDR[[#Headers],[11]],FDR[11],"",0,1)</f>
        <v>5</v>
      </c>
      <c r="X23" cm="1">
        <f t="array" ref="X23">_xlfn.XLOOKUP(Matrix[[#This Row],[TEAM]]&amp;Matrix[[#Headers],[12]],FDR[FDR]&amp;FDR[[#Headers],[12]],FDR[12],"",0,1)</f>
        <v>2</v>
      </c>
      <c r="Y23" cm="1">
        <f t="array" ref="Y23">_xlfn.XLOOKUP(Matrix[[#This Row],[TEAM]]&amp;Matrix[[#Headers],[13]],FDR[FDR]&amp;FDR[[#Headers],[13]],FDR[13],"",0,1)</f>
        <v>2</v>
      </c>
      <c r="Z23" cm="1">
        <f t="array" ref="Z23">_xlfn.XLOOKUP(Matrix[[#This Row],[TEAM]]&amp;Matrix[[#Headers],[14]],FDR[FDR]&amp;FDR[[#Headers],[14]],FDR[14],"",0,1)</f>
        <v>2</v>
      </c>
      <c r="AA23" cm="1">
        <f t="array" ref="AA23">_xlfn.XLOOKUP(Matrix[[#This Row],[TEAM]]&amp;Matrix[[#Headers],[15]],FDR[FDR]&amp;FDR[[#Headers],[15]],FDR[15],"",0,1)</f>
        <v>4</v>
      </c>
      <c r="AB23" cm="1">
        <f t="array" ref="AB23">_xlfn.XLOOKUP(Matrix[[#This Row],[TEAM]]&amp;Matrix[[#Headers],[16]],FDR[FDR]&amp;FDR[[#Headers],[16]],FDR[16],"",0,1)</f>
        <v>5</v>
      </c>
      <c r="AC23" cm="1">
        <f t="array" ref="AC23">_xlfn.XLOOKUP(Matrix[[#This Row],[TEAM]]&amp;Matrix[[#Headers],[17]],FDR[FDR]&amp;FDR[[#Headers],[17]],FDR[17],"",0,1)</f>
        <v>1</v>
      </c>
      <c r="AD23" cm="1">
        <f t="array" ref="AD23">_xlfn.XLOOKUP(Matrix[[#This Row],[TEAM]]&amp;Matrix[[#Headers],[18]],FDR[FDR]&amp;FDR[[#Headers],[18]],FDR[18],"",0,1)</f>
        <v>3</v>
      </c>
      <c r="AE23" cm="1">
        <f t="array" ref="AE23">_xlfn.XLOOKUP(Matrix[[#This Row],[TEAM]]&amp;Matrix[[#Headers],[19]],FDR[FDR]&amp;FDR[[#Headers],[19]],FDR[19],"",0,1)</f>
        <v>5</v>
      </c>
      <c r="AF23" cm="1">
        <f t="array" ref="AF23">_xlfn.XLOOKUP(Matrix[[#This Row],[TEAM]]&amp;Matrix[[#Headers],[20]],FDR[FDR]&amp;FDR[[#Headers],[20]],FDR[20],"",0,1)</f>
        <v>4</v>
      </c>
      <c r="AG23" cm="1">
        <f t="array" ref="AG23">_xlfn.XLOOKUP(Matrix[[#This Row],[TEAM]]&amp;Matrix[[#Headers],[21]],FDR[FDR]&amp;FDR[[#Headers],[21]],FDR[21],"",0,1)</f>
        <v>4</v>
      </c>
      <c r="AH23" cm="1">
        <f t="array" ref="AH23">_xlfn.XLOOKUP(Matrix[[#This Row],[TEAM]]&amp;Matrix[[#Headers],[22]],FDR[FDR]&amp;FDR[[#Headers],[22]],FDR[22],"",0,1)</f>
        <v>4</v>
      </c>
      <c r="AI23" cm="1">
        <f t="array" ref="AI23">_xlfn.XLOOKUP(Matrix[[#This Row],[TEAM]]&amp;Matrix[[#Headers],[23]],FDR[FDR]&amp;FDR[[#Headers],[23]],FDR[23],"",0,1)</f>
        <v>4</v>
      </c>
      <c r="AJ23" cm="1">
        <f t="array" ref="AJ23">_xlfn.XLOOKUP(Matrix[[#This Row],[TEAM]]&amp;Matrix[[#Headers],[24]],FDR[FDR]&amp;FDR[[#Headers],[24]],FDR[24],"",0,1)</f>
        <v>2</v>
      </c>
      <c r="AK23" cm="1">
        <f t="array" ref="AK23">_xlfn.XLOOKUP(Matrix[[#This Row],[TEAM]]&amp;Matrix[[#Headers],[25]],FDR[FDR]&amp;FDR[[#Headers],[25]],FDR[25],"",0,1)</f>
        <v>3</v>
      </c>
      <c r="AL23" cm="1">
        <f t="array" ref="AL23">_xlfn.XLOOKUP(Matrix[[#This Row],[TEAM]]&amp;Matrix[[#Headers],[26]],FDR[FDR]&amp;FDR[[#Headers],[26]],FDR[26],"",0,1)</f>
        <v>3</v>
      </c>
      <c r="AM23" cm="1">
        <f t="array" ref="AM23">_xlfn.XLOOKUP(Matrix[[#This Row],[TEAM]]&amp;Matrix[[#Headers],[27]],FDR[FDR]&amp;FDR[[#Headers],[27]],FDR[27],"",0,1)</f>
        <v>3</v>
      </c>
      <c r="AN23" cm="1">
        <f t="array" ref="AN23">_xlfn.XLOOKUP(Matrix[[#This Row],[TEAM]]&amp;Matrix[[#Headers],[28]],FDR[FDR]&amp;FDR[[#Headers],[28]],FDR[28],"",0,1)</f>
        <v>1</v>
      </c>
      <c r="AO23" cm="1">
        <f t="array" ref="AO23">_xlfn.XLOOKUP(Matrix[[#This Row],[TEAM]]&amp;Matrix[[#Headers],[29]],FDR[FDR]&amp;FDR[[#Headers],[29]],FDR[29],"",0,1)</f>
        <v>2</v>
      </c>
      <c r="AP23" cm="1">
        <f t="array" ref="AP23">_xlfn.XLOOKUP(Matrix[[#This Row],[TEAM]]&amp;Matrix[[#Headers],[30]],FDR[FDR]&amp;FDR[[#Headers],[30]],FDR[30],"",0,1)</f>
        <v>2</v>
      </c>
      <c r="AQ23" cm="1">
        <f t="array" ref="AQ23">_xlfn.XLOOKUP(Matrix[[#This Row],[TEAM]]&amp;Matrix[[#Headers],[31]],FDR[FDR]&amp;FDR[[#Headers],[31]],FDR[31],"",0,1)</f>
        <v>4</v>
      </c>
      <c r="AR23" cm="1">
        <f t="array" ref="AR23">_xlfn.XLOOKUP(Matrix[[#This Row],[TEAM]]&amp;Matrix[[#Headers],[32]],FDR[FDR]&amp;FDR[[#Headers],[32]],FDR[32],"",0,1)</f>
        <v>5</v>
      </c>
      <c r="AS23" cm="1">
        <f t="array" ref="AS23">_xlfn.XLOOKUP(Matrix[[#This Row],[TEAM]]&amp;Matrix[[#Headers],[33]],FDR[FDR]&amp;FDR[[#Headers],[33]],FDR[33],"",0,1)</f>
        <v>5</v>
      </c>
      <c r="AT23" cm="1">
        <f t="array" ref="AT23">_xlfn.XLOOKUP(Matrix[[#This Row],[TEAM]]&amp;Matrix[[#Headers],[34]],FDR[FDR]&amp;FDR[[#Headers],[34]],FDR[34],"",0,1)</f>
        <v>1</v>
      </c>
      <c r="AU23" cm="1">
        <f t="array" ref="AU23">_xlfn.XLOOKUP(Matrix[[#This Row],[TEAM]]&amp;Matrix[[#Headers],[35]],FDR[FDR]&amp;FDR[[#Headers],[35]],FDR[35],"",0,1)</f>
        <v>2</v>
      </c>
      <c r="AV23" cm="1">
        <f t="array" ref="AV23">_xlfn.XLOOKUP(Matrix[[#This Row],[TEAM]]&amp;Matrix[[#Headers],[36]],FDR[FDR]&amp;FDR[[#Headers],[36]],FDR[36],"",0,1)</f>
        <v>4</v>
      </c>
      <c r="AW23" cm="1">
        <f t="array" ref="AW23">_xlfn.XLOOKUP(Matrix[[#This Row],[TEAM]]&amp;Matrix[[#Headers],[37]],FDR[FDR]&amp;FDR[[#Headers],[37]],FDR[37],"",0,1)</f>
        <v>4</v>
      </c>
      <c r="AX23" cm="1">
        <f t="array" ref="AX23">_xlfn.XLOOKUP(Matrix[[#This Row],[TEAM]]&amp;Matrix[[#Headers],[38]],FDR[FDR]&amp;FDR[[#Headers],[38]],FDR[38],"",0,1)</f>
        <v>4</v>
      </c>
    </row>
    <row r="24" spans="1:50" ht="22" thickTop="1" thickBot="1">
      <c r="A24" s="50" t="str">
        <f>INDEX!S$4</f>
        <v>MID</v>
      </c>
      <c r="B24" s="70" t="s">
        <v>1299</v>
      </c>
      <c r="C24" s="40" t="s">
        <v>28</v>
      </c>
      <c r="D24" s="62">
        <v>161</v>
      </c>
      <c r="E24" s="60">
        <v>0.156</v>
      </c>
      <c r="F24" s="61">
        <v>214.3</v>
      </c>
      <c r="G24" s="63">
        <v>7</v>
      </c>
      <c r="H24" s="261">
        <f>IF(ISBLANK(I24),0,1)</f>
        <v>0</v>
      </c>
      <c r="I24" s="57"/>
      <c r="J24" s="58"/>
      <c r="K24" s="59" t="s">
        <v>373</v>
      </c>
      <c r="L24" s="59" t="s">
        <v>672</v>
      </c>
      <c r="M24" cm="1">
        <f t="array" ref="M24">_xlfn.XLOOKUP(Matrix[[#This Row],[TEAM]]&amp;Matrix[[#Headers],[1]],FDR[FDR]&amp;FDR[[#Headers],[1]],FDR[1],"",0,1)</f>
        <v>3</v>
      </c>
      <c r="N24" cm="1">
        <f t="array" ref="N24">_xlfn.XLOOKUP(Matrix[[#This Row],[TEAM]]&amp;Matrix[[#Headers],[2]],FDR[FDR]&amp;FDR[[#Headers],[2]],FDR[2],"",0,1)</f>
        <v>2</v>
      </c>
      <c r="O24" cm="1">
        <f t="array" ref="O24">_xlfn.XLOOKUP(Matrix[[#This Row],[TEAM]]&amp;Matrix[[#Headers],[3]],FDR[FDR]&amp;FDR[[#Headers],[3]],FDR[3],"",0,1)</f>
        <v>1</v>
      </c>
      <c r="P24" cm="1">
        <f t="array" ref="P24">_xlfn.XLOOKUP(Matrix[[#This Row],[TEAM]]&amp;Matrix[[#Headers],[4]],FDR[FDR]&amp;FDR[[#Headers],[4]],FDR[4],"",0,1)</f>
        <v>2</v>
      </c>
      <c r="Q24" cm="1">
        <f t="array" ref="Q24">_xlfn.XLOOKUP(Matrix[[#This Row],[TEAM]]&amp;Matrix[[#Headers],[5]],FDR[FDR]&amp;FDR[[#Headers],[5]],FDR[5],"",0,1)</f>
        <v>1</v>
      </c>
      <c r="R24" cm="1">
        <f t="array" ref="R24">_xlfn.XLOOKUP(Matrix[[#This Row],[TEAM]]&amp;Matrix[[#Headers],[6]],FDR[FDR]&amp;FDR[[#Headers],[6]],FDR[6],"",0,1)</f>
        <v>2</v>
      </c>
      <c r="S24" cm="1">
        <f t="array" ref="S24">_xlfn.XLOOKUP(Matrix[[#This Row],[TEAM]]&amp;Matrix[[#Headers],[7]],FDR[FDR]&amp;FDR[[#Headers],[7]],FDR[7],"",0,1)</f>
        <v>1</v>
      </c>
      <c r="T24" cm="1">
        <f t="array" ref="T24">_xlfn.XLOOKUP(Matrix[[#This Row],[TEAM]]&amp;Matrix[[#Headers],[8]],FDR[FDR]&amp;FDR[[#Headers],[8]],FDR[8],"",0,1)</f>
        <v>4</v>
      </c>
      <c r="U24" cm="1">
        <f t="array" ref="U24">_xlfn.XLOOKUP(Matrix[[#This Row],[TEAM]]&amp;Matrix[[#Headers],[9]],FDR[FDR]&amp;FDR[[#Headers],[9]],FDR[9],"",0,1)</f>
        <v>3</v>
      </c>
      <c r="V24" cm="1">
        <f t="array" ref="V24">_xlfn.XLOOKUP(Matrix[[#This Row],[TEAM]]&amp;Matrix[[#Headers],[10]],FDR[FDR]&amp;FDR[[#Headers],[10]],FDR[10],"",0,1)</f>
        <v>4</v>
      </c>
      <c r="W24" cm="1">
        <f t="array" ref="W24">_xlfn.XLOOKUP(Matrix[[#This Row],[TEAM]]&amp;Matrix[[#Headers],[11]],FDR[FDR]&amp;FDR[[#Headers],[11]],FDR[11],"",0,1)</f>
        <v>2</v>
      </c>
      <c r="X24" cm="1">
        <f t="array" ref="X24">_xlfn.XLOOKUP(Matrix[[#This Row],[TEAM]]&amp;Matrix[[#Headers],[12]],FDR[FDR]&amp;FDR[[#Headers],[12]],FDR[12],"",0,1)</f>
        <v>1</v>
      </c>
      <c r="Y24" cm="1">
        <f t="array" ref="Y24">_xlfn.XLOOKUP(Matrix[[#This Row],[TEAM]]&amp;Matrix[[#Headers],[13]],FDR[FDR]&amp;FDR[[#Headers],[13]],FDR[13],"",0,1)</f>
        <v>1</v>
      </c>
      <c r="Z24" cm="1">
        <f t="array" ref="Z24">_xlfn.XLOOKUP(Matrix[[#This Row],[TEAM]]&amp;Matrix[[#Headers],[14]],FDR[FDR]&amp;FDR[[#Headers],[14]],FDR[14],"",0,1)</f>
        <v>3</v>
      </c>
      <c r="AA24" cm="1">
        <f t="array" ref="AA24">_xlfn.XLOOKUP(Matrix[[#This Row],[TEAM]]&amp;Matrix[[#Headers],[15]],FDR[FDR]&amp;FDR[[#Headers],[15]],FDR[15],"",0,1)</f>
        <v>3</v>
      </c>
      <c r="AB24" cm="1">
        <f t="array" ref="AB24">_xlfn.XLOOKUP(Matrix[[#This Row],[TEAM]]&amp;Matrix[[#Headers],[16]],FDR[FDR]&amp;FDR[[#Headers],[16]],FDR[16],"",0,1)</f>
        <v>2</v>
      </c>
      <c r="AC24" cm="1">
        <f t="array" ref="AC24">_xlfn.XLOOKUP(Matrix[[#This Row],[TEAM]]&amp;Matrix[[#Headers],[17]],FDR[FDR]&amp;FDR[[#Headers],[17]],FDR[17],"",0,1)</f>
        <v>3</v>
      </c>
      <c r="AD24" cm="1">
        <f t="array" ref="AD24">_xlfn.XLOOKUP(Matrix[[#This Row],[TEAM]]&amp;Matrix[[#Headers],[18]],FDR[FDR]&amp;FDR[[#Headers],[18]],FDR[18],"",0,1)</f>
        <v>4</v>
      </c>
      <c r="AE24" cm="1">
        <f t="array" ref="AE24">_xlfn.XLOOKUP(Matrix[[#This Row],[TEAM]]&amp;Matrix[[#Headers],[19]],FDR[FDR]&amp;FDR[[#Headers],[19]],FDR[19],"",0,1)</f>
        <v>4</v>
      </c>
      <c r="AF24" cm="1">
        <f t="array" ref="AF24">_xlfn.XLOOKUP(Matrix[[#This Row],[TEAM]]&amp;Matrix[[#Headers],[20]],FDR[FDR]&amp;FDR[[#Headers],[20]],FDR[20],"",0,1)</f>
        <v>2</v>
      </c>
      <c r="AG24" cm="1">
        <f t="array" ref="AG24">_xlfn.XLOOKUP(Matrix[[#This Row],[TEAM]]&amp;Matrix[[#Headers],[21]],FDR[FDR]&amp;FDR[[#Headers],[21]],FDR[21],"",0,1)</f>
        <v>2</v>
      </c>
      <c r="AH24" cm="1">
        <f t="array" ref="AH24">_xlfn.XLOOKUP(Matrix[[#This Row],[TEAM]]&amp;Matrix[[#Headers],[22]],FDR[FDR]&amp;FDR[[#Headers],[22]],FDR[22],"",0,1)</f>
        <v>1</v>
      </c>
      <c r="AI24" cm="1">
        <f t="array" ref="AI24">_xlfn.XLOOKUP(Matrix[[#This Row],[TEAM]]&amp;Matrix[[#Headers],[23]],FDR[FDR]&amp;FDR[[#Headers],[23]],FDR[23],"",0,1)</f>
        <v>4</v>
      </c>
      <c r="AJ24" cm="1">
        <f t="array" ref="AJ24">_xlfn.XLOOKUP(Matrix[[#This Row],[TEAM]]&amp;Matrix[[#Headers],[24]],FDR[FDR]&amp;FDR[[#Headers],[24]],FDR[24],"",0,1)</f>
        <v>1</v>
      </c>
      <c r="AK24" cm="1">
        <f t="array" ref="AK24">_xlfn.XLOOKUP(Matrix[[#This Row],[TEAM]]&amp;Matrix[[#Headers],[25]],FDR[FDR]&amp;FDR[[#Headers],[25]],FDR[25],"",0,1)</f>
        <v>3</v>
      </c>
      <c r="AL24" cm="1">
        <f t="array" ref="AL24">_xlfn.XLOOKUP(Matrix[[#This Row],[TEAM]]&amp;Matrix[[#Headers],[26]],FDR[FDR]&amp;FDR[[#Headers],[26]],FDR[26],"",0,1)</f>
        <v>2</v>
      </c>
      <c r="AM24" cm="1">
        <f t="array" ref="AM24">_xlfn.XLOOKUP(Matrix[[#This Row],[TEAM]]&amp;Matrix[[#Headers],[27]],FDR[FDR]&amp;FDR[[#Headers],[27]],FDR[27],"",0,1)</f>
        <v>1</v>
      </c>
      <c r="AN24" cm="1">
        <f t="array" ref="AN24">_xlfn.XLOOKUP(Matrix[[#This Row],[TEAM]]&amp;Matrix[[#Headers],[28]],FDR[FDR]&amp;FDR[[#Headers],[28]],FDR[28],"",0,1)</f>
        <v>1</v>
      </c>
      <c r="AO24" cm="1">
        <f t="array" ref="AO24">_xlfn.XLOOKUP(Matrix[[#This Row],[TEAM]]&amp;Matrix[[#Headers],[29]],FDR[FDR]&amp;FDR[[#Headers],[29]],FDR[29],"",0,1)</f>
        <v>3</v>
      </c>
      <c r="AP24" cm="1">
        <f t="array" ref="AP24">_xlfn.XLOOKUP(Matrix[[#This Row],[TEAM]]&amp;Matrix[[#Headers],[30]],FDR[FDR]&amp;FDR[[#Headers],[30]],FDR[30],"",0,1)</f>
        <v>4</v>
      </c>
      <c r="AQ24" cm="1">
        <f t="array" ref="AQ24">_xlfn.XLOOKUP(Matrix[[#This Row],[TEAM]]&amp;Matrix[[#Headers],[31]],FDR[FDR]&amp;FDR[[#Headers],[31]],FDR[31],"",0,1)</f>
        <v>1</v>
      </c>
      <c r="AR24" cm="1">
        <f t="array" ref="AR24">_xlfn.XLOOKUP(Matrix[[#This Row],[TEAM]]&amp;Matrix[[#Headers],[32]],FDR[FDR]&amp;FDR[[#Headers],[32]],FDR[32],"",0,1)</f>
        <v>3</v>
      </c>
      <c r="AS24" cm="1">
        <f t="array" ref="AS24">_xlfn.XLOOKUP(Matrix[[#This Row],[TEAM]]&amp;Matrix[[#Headers],[33]],FDR[FDR]&amp;FDR[[#Headers],[33]],FDR[33],"",0,1)</f>
        <v>1</v>
      </c>
      <c r="AT24" cm="1">
        <f t="array" ref="AT24">_xlfn.XLOOKUP(Matrix[[#This Row],[TEAM]]&amp;Matrix[[#Headers],[34]],FDR[FDR]&amp;FDR[[#Headers],[34]],FDR[34],"",0,1)</f>
        <v>3</v>
      </c>
      <c r="AU24" cm="1">
        <f t="array" ref="AU24">_xlfn.XLOOKUP(Matrix[[#This Row],[TEAM]]&amp;Matrix[[#Headers],[35]],FDR[FDR]&amp;FDR[[#Headers],[35]],FDR[35],"",0,1)</f>
        <v>3</v>
      </c>
      <c r="AV24" cm="1">
        <f t="array" ref="AV24">_xlfn.XLOOKUP(Matrix[[#This Row],[TEAM]]&amp;Matrix[[#Headers],[36]],FDR[FDR]&amp;FDR[[#Headers],[36]],FDR[36],"",0,1)</f>
        <v>1</v>
      </c>
      <c r="AW24" cm="1">
        <f t="array" ref="AW24">_xlfn.XLOOKUP(Matrix[[#This Row],[TEAM]]&amp;Matrix[[#Headers],[37]],FDR[FDR]&amp;FDR[[#Headers],[37]],FDR[37],"",0,1)</f>
        <v>3</v>
      </c>
      <c r="AX24" cm="1">
        <f t="array" ref="AX24">_xlfn.XLOOKUP(Matrix[[#This Row],[TEAM]]&amp;Matrix[[#Headers],[38]],FDR[FDR]&amp;FDR[[#Headers],[38]],FDR[38],"",0,1)</f>
        <v>4</v>
      </c>
    </row>
    <row r="25" spans="1:50" ht="22" thickTop="1" thickBot="1">
      <c r="A25" s="50" t="str">
        <f>INDEX!S$4</f>
        <v>MID</v>
      </c>
      <c r="B25" s="70" t="s">
        <v>1304</v>
      </c>
      <c r="C25" s="40" t="s">
        <v>43</v>
      </c>
      <c r="D25" s="62">
        <v>158</v>
      </c>
      <c r="E25" s="60">
        <v>3.2000000000000001E-2</v>
      </c>
      <c r="F25" s="61">
        <v>212</v>
      </c>
      <c r="G25" s="63">
        <v>7</v>
      </c>
      <c r="H25" s="261">
        <f>IF(ISBLANK(I25),0,1)</f>
        <v>0</v>
      </c>
      <c r="I25" s="57"/>
      <c r="J25" s="58"/>
      <c r="K25" s="59" t="s">
        <v>569</v>
      </c>
      <c r="L25" s="59" t="s">
        <v>254</v>
      </c>
      <c r="M25" cm="1">
        <f t="array" ref="M25">_xlfn.XLOOKUP(Matrix[[#This Row],[TEAM]]&amp;Matrix[[#Headers],[1]],FDR[FDR]&amp;FDR[[#Headers],[1]],FDR[1],"",0,1)</f>
        <v>5</v>
      </c>
      <c r="N25" cm="1">
        <f t="array" ref="N25">_xlfn.XLOOKUP(Matrix[[#This Row],[TEAM]]&amp;Matrix[[#Headers],[2]],FDR[FDR]&amp;FDR[[#Headers],[2]],FDR[2],"",0,1)</f>
        <v>1</v>
      </c>
      <c r="O25" cm="1">
        <f t="array" ref="O25">_xlfn.XLOOKUP(Matrix[[#This Row],[TEAM]]&amp;Matrix[[#Headers],[3]],FDR[FDR]&amp;FDR[[#Headers],[3]],FDR[3],"",0,1)</f>
        <v>5</v>
      </c>
      <c r="P25" cm="1">
        <f t="array" ref="P25">_xlfn.XLOOKUP(Matrix[[#This Row],[TEAM]]&amp;Matrix[[#Headers],[4]],FDR[FDR]&amp;FDR[[#Headers],[4]],FDR[4],"",0,1)</f>
        <v>3</v>
      </c>
      <c r="Q25" cm="1">
        <f t="array" ref="Q25">_xlfn.XLOOKUP(Matrix[[#This Row],[TEAM]]&amp;Matrix[[#Headers],[5]],FDR[FDR]&amp;FDR[[#Headers],[5]],FDR[5],"",0,1)</f>
        <v>4</v>
      </c>
      <c r="R25" cm="1">
        <f t="array" ref="R25">_xlfn.XLOOKUP(Matrix[[#This Row],[TEAM]]&amp;Matrix[[#Headers],[6]],FDR[FDR]&amp;FDR[[#Headers],[6]],FDR[6],"",0,1)</f>
        <v>2</v>
      </c>
      <c r="S25" cm="1">
        <f t="array" ref="S25">_xlfn.XLOOKUP(Matrix[[#This Row],[TEAM]]&amp;Matrix[[#Headers],[7]],FDR[FDR]&amp;FDR[[#Headers],[7]],FDR[7],"",0,1)</f>
        <v>3</v>
      </c>
      <c r="T25" cm="1">
        <f t="array" ref="T25">_xlfn.XLOOKUP(Matrix[[#This Row],[TEAM]]&amp;Matrix[[#Headers],[8]],FDR[FDR]&amp;FDR[[#Headers],[8]],FDR[8],"",0,1)</f>
        <v>3</v>
      </c>
      <c r="U25" cm="1">
        <f t="array" ref="U25">_xlfn.XLOOKUP(Matrix[[#This Row],[TEAM]]&amp;Matrix[[#Headers],[9]],FDR[FDR]&amp;FDR[[#Headers],[9]],FDR[9],"",0,1)</f>
        <v>3</v>
      </c>
      <c r="V25" cm="1">
        <f t="array" ref="V25">_xlfn.XLOOKUP(Matrix[[#This Row],[TEAM]]&amp;Matrix[[#Headers],[10]],FDR[FDR]&amp;FDR[[#Headers],[10]],FDR[10],"",0,1)</f>
        <v>5</v>
      </c>
      <c r="W25" cm="1">
        <f t="array" ref="W25">_xlfn.XLOOKUP(Matrix[[#This Row],[TEAM]]&amp;Matrix[[#Headers],[11]],FDR[FDR]&amp;FDR[[#Headers],[11]],FDR[11],"",0,1)</f>
        <v>5</v>
      </c>
      <c r="X25" cm="1">
        <f t="array" ref="X25">_xlfn.XLOOKUP(Matrix[[#This Row],[TEAM]]&amp;Matrix[[#Headers],[12]],FDR[FDR]&amp;FDR[[#Headers],[12]],FDR[12],"",0,1)</f>
        <v>2</v>
      </c>
      <c r="Y25" cm="1">
        <f t="array" ref="Y25">_xlfn.XLOOKUP(Matrix[[#This Row],[TEAM]]&amp;Matrix[[#Headers],[13]],FDR[FDR]&amp;FDR[[#Headers],[13]],FDR[13],"",0,1)</f>
        <v>2</v>
      </c>
      <c r="Z25" cm="1">
        <f t="array" ref="Z25">_xlfn.XLOOKUP(Matrix[[#This Row],[TEAM]]&amp;Matrix[[#Headers],[14]],FDR[FDR]&amp;FDR[[#Headers],[14]],FDR[14],"",0,1)</f>
        <v>2</v>
      </c>
      <c r="AA25" cm="1">
        <f t="array" ref="AA25">_xlfn.XLOOKUP(Matrix[[#This Row],[TEAM]]&amp;Matrix[[#Headers],[15]],FDR[FDR]&amp;FDR[[#Headers],[15]],FDR[15],"",0,1)</f>
        <v>4</v>
      </c>
      <c r="AB25" cm="1">
        <f t="array" ref="AB25">_xlfn.XLOOKUP(Matrix[[#This Row],[TEAM]]&amp;Matrix[[#Headers],[16]],FDR[FDR]&amp;FDR[[#Headers],[16]],FDR[16],"",0,1)</f>
        <v>5</v>
      </c>
      <c r="AC25" cm="1">
        <f t="array" ref="AC25">_xlfn.XLOOKUP(Matrix[[#This Row],[TEAM]]&amp;Matrix[[#Headers],[17]],FDR[FDR]&amp;FDR[[#Headers],[17]],FDR[17],"",0,1)</f>
        <v>1</v>
      </c>
      <c r="AD25" cm="1">
        <f t="array" ref="AD25">_xlfn.XLOOKUP(Matrix[[#This Row],[TEAM]]&amp;Matrix[[#Headers],[18]],FDR[FDR]&amp;FDR[[#Headers],[18]],FDR[18],"",0,1)</f>
        <v>3</v>
      </c>
      <c r="AE25" cm="1">
        <f t="array" ref="AE25">_xlfn.XLOOKUP(Matrix[[#This Row],[TEAM]]&amp;Matrix[[#Headers],[19]],FDR[FDR]&amp;FDR[[#Headers],[19]],FDR[19],"",0,1)</f>
        <v>5</v>
      </c>
      <c r="AF25" cm="1">
        <f t="array" ref="AF25">_xlfn.XLOOKUP(Matrix[[#This Row],[TEAM]]&amp;Matrix[[#Headers],[20]],FDR[FDR]&amp;FDR[[#Headers],[20]],FDR[20],"",0,1)</f>
        <v>4</v>
      </c>
      <c r="AG25" cm="1">
        <f t="array" ref="AG25">_xlfn.XLOOKUP(Matrix[[#This Row],[TEAM]]&amp;Matrix[[#Headers],[21]],FDR[FDR]&amp;FDR[[#Headers],[21]],FDR[21],"",0,1)</f>
        <v>4</v>
      </c>
      <c r="AH25" cm="1">
        <f t="array" ref="AH25">_xlfn.XLOOKUP(Matrix[[#This Row],[TEAM]]&amp;Matrix[[#Headers],[22]],FDR[FDR]&amp;FDR[[#Headers],[22]],FDR[22],"",0,1)</f>
        <v>4</v>
      </c>
      <c r="AI25" cm="1">
        <f t="array" ref="AI25">_xlfn.XLOOKUP(Matrix[[#This Row],[TEAM]]&amp;Matrix[[#Headers],[23]],FDR[FDR]&amp;FDR[[#Headers],[23]],FDR[23],"",0,1)</f>
        <v>4</v>
      </c>
      <c r="AJ25" cm="1">
        <f t="array" ref="AJ25">_xlfn.XLOOKUP(Matrix[[#This Row],[TEAM]]&amp;Matrix[[#Headers],[24]],FDR[FDR]&amp;FDR[[#Headers],[24]],FDR[24],"",0,1)</f>
        <v>2</v>
      </c>
      <c r="AK25" cm="1">
        <f t="array" ref="AK25">_xlfn.XLOOKUP(Matrix[[#This Row],[TEAM]]&amp;Matrix[[#Headers],[25]],FDR[FDR]&amp;FDR[[#Headers],[25]],FDR[25],"",0,1)</f>
        <v>3</v>
      </c>
      <c r="AL25" cm="1">
        <f t="array" ref="AL25">_xlfn.XLOOKUP(Matrix[[#This Row],[TEAM]]&amp;Matrix[[#Headers],[26]],FDR[FDR]&amp;FDR[[#Headers],[26]],FDR[26],"",0,1)</f>
        <v>3</v>
      </c>
      <c r="AM25" cm="1">
        <f t="array" ref="AM25">_xlfn.XLOOKUP(Matrix[[#This Row],[TEAM]]&amp;Matrix[[#Headers],[27]],FDR[FDR]&amp;FDR[[#Headers],[27]],FDR[27],"",0,1)</f>
        <v>3</v>
      </c>
      <c r="AN25" cm="1">
        <f t="array" ref="AN25">_xlfn.XLOOKUP(Matrix[[#This Row],[TEAM]]&amp;Matrix[[#Headers],[28]],FDR[FDR]&amp;FDR[[#Headers],[28]],FDR[28],"",0,1)</f>
        <v>1</v>
      </c>
      <c r="AO25" cm="1">
        <f t="array" ref="AO25">_xlfn.XLOOKUP(Matrix[[#This Row],[TEAM]]&amp;Matrix[[#Headers],[29]],FDR[FDR]&amp;FDR[[#Headers],[29]],FDR[29],"",0,1)</f>
        <v>2</v>
      </c>
      <c r="AP25" cm="1">
        <f t="array" ref="AP25">_xlfn.XLOOKUP(Matrix[[#This Row],[TEAM]]&amp;Matrix[[#Headers],[30]],FDR[FDR]&amp;FDR[[#Headers],[30]],FDR[30],"",0,1)</f>
        <v>2</v>
      </c>
      <c r="AQ25" cm="1">
        <f t="array" ref="AQ25">_xlfn.XLOOKUP(Matrix[[#This Row],[TEAM]]&amp;Matrix[[#Headers],[31]],FDR[FDR]&amp;FDR[[#Headers],[31]],FDR[31],"",0,1)</f>
        <v>4</v>
      </c>
      <c r="AR25" cm="1">
        <f t="array" ref="AR25">_xlfn.XLOOKUP(Matrix[[#This Row],[TEAM]]&amp;Matrix[[#Headers],[32]],FDR[FDR]&amp;FDR[[#Headers],[32]],FDR[32],"",0,1)</f>
        <v>5</v>
      </c>
      <c r="AS25" cm="1">
        <f t="array" ref="AS25">_xlfn.XLOOKUP(Matrix[[#This Row],[TEAM]]&amp;Matrix[[#Headers],[33]],FDR[FDR]&amp;FDR[[#Headers],[33]],FDR[33],"",0,1)</f>
        <v>5</v>
      </c>
      <c r="AT25" cm="1">
        <f t="array" ref="AT25">_xlfn.XLOOKUP(Matrix[[#This Row],[TEAM]]&amp;Matrix[[#Headers],[34]],FDR[FDR]&amp;FDR[[#Headers],[34]],FDR[34],"",0,1)</f>
        <v>1</v>
      </c>
      <c r="AU25" cm="1">
        <f t="array" ref="AU25">_xlfn.XLOOKUP(Matrix[[#This Row],[TEAM]]&amp;Matrix[[#Headers],[35]],FDR[FDR]&amp;FDR[[#Headers],[35]],FDR[35],"",0,1)</f>
        <v>2</v>
      </c>
      <c r="AV25" cm="1">
        <f t="array" ref="AV25">_xlfn.XLOOKUP(Matrix[[#This Row],[TEAM]]&amp;Matrix[[#Headers],[36]],FDR[FDR]&amp;FDR[[#Headers],[36]],FDR[36],"",0,1)</f>
        <v>4</v>
      </c>
      <c r="AW25" cm="1">
        <f t="array" ref="AW25">_xlfn.XLOOKUP(Matrix[[#This Row],[TEAM]]&amp;Matrix[[#Headers],[37]],FDR[FDR]&amp;FDR[[#Headers],[37]],FDR[37],"",0,1)</f>
        <v>4</v>
      </c>
      <c r="AX25" cm="1">
        <f t="array" ref="AX25">_xlfn.XLOOKUP(Matrix[[#This Row],[TEAM]]&amp;Matrix[[#Headers],[38]],FDR[FDR]&amp;FDR[[#Headers],[38]],FDR[38],"",0,1)</f>
        <v>4</v>
      </c>
    </row>
    <row r="26" spans="1:50" ht="22" thickTop="1" thickBot="1">
      <c r="A26" s="50" t="str">
        <f>INDEX!S$4</f>
        <v>MID</v>
      </c>
      <c r="B26" s="70" t="s">
        <v>1300</v>
      </c>
      <c r="C26" s="40" t="s">
        <v>25</v>
      </c>
      <c r="D26" s="62">
        <v>153</v>
      </c>
      <c r="E26" s="60">
        <v>9.2999999999999999E-2</v>
      </c>
      <c r="F26" s="61">
        <v>199.8</v>
      </c>
      <c r="G26" s="63">
        <v>7</v>
      </c>
      <c r="H26" s="261">
        <f>IF(ISBLANK(I26),0,1)</f>
        <v>0</v>
      </c>
      <c r="I26" s="57"/>
      <c r="J26" s="58"/>
      <c r="K26" s="59" t="s">
        <v>234</v>
      </c>
      <c r="L26" s="59" t="s">
        <v>248</v>
      </c>
      <c r="M26" cm="1">
        <f t="array" ref="M26">_xlfn.XLOOKUP(Matrix[[#This Row],[TEAM]]&amp;Matrix[[#Headers],[1]],FDR[FDR]&amp;FDR[[#Headers],[1]],FDR[1],"",0,1)</f>
        <v>3</v>
      </c>
      <c r="N26" cm="1">
        <f t="array" ref="N26">_xlfn.XLOOKUP(Matrix[[#This Row],[TEAM]]&amp;Matrix[[#Headers],[2]],FDR[FDR]&amp;FDR[[#Headers],[2]],FDR[2],"",0,1)</f>
        <v>3</v>
      </c>
      <c r="O26" cm="1">
        <f t="array" ref="O26">_xlfn.XLOOKUP(Matrix[[#This Row],[TEAM]]&amp;Matrix[[#Headers],[3]],FDR[FDR]&amp;FDR[[#Headers],[3]],FDR[3],"",0,1)</f>
        <v>1</v>
      </c>
      <c r="P26" cm="1">
        <f t="array" ref="P26">_xlfn.XLOOKUP(Matrix[[#This Row],[TEAM]]&amp;Matrix[[#Headers],[4]],FDR[FDR]&amp;FDR[[#Headers],[4]],FDR[4],"",0,1)</f>
        <v>1</v>
      </c>
      <c r="Q26" cm="1">
        <f t="array" ref="Q26">_xlfn.XLOOKUP(Matrix[[#This Row],[TEAM]]&amp;Matrix[[#Headers],[5]],FDR[FDR]&amp;FDR[[#Headers],[5]],FDR[5],"",0,1)</f>
        <v>2</v>
      </c>
      <c r="R26" cm="1">
        <f t="array" ref="R26">_xlfn.XLOOKUP(Matrix[[#This Row],[TEAM]]&amp;Matrix[[#Headers],[6]],FDR[FDR]&amp;FDR[[#Headers],[6]],FDR[6],"",0,1)</f>
        <v>3</v>
      </c>
      <c r="S26" cm="1">
        <f t="array" ref="S26">_xlfn.XLOOKUP(Matrix[[#This Row],[TEAM]]&amp;Matrix[[#Headers],[7]],FDR[FDR]&amp;FDR[[#Headers],[7]],FDR[7],"",0,1)</f>
        <v>2</v>
      </c>
      <c r="T26" cm="1">
        <f t="array" ref="T26">_xlfn.XLOOKUP(Matrix[[#This Row],[TEAM]]&amp;Matrix[[#Headers],[8]],FDR[FDR]&amp;FDR[[#Headers],[8]],FDR[8],"",0,1)</f>
        <v>2</v>
      </c>
      <c r="U26" cm="1">
        <f t="array" ref="U26">_xlfn.XLOOKUP(Matrix[[#This Row],[TEAM]]&amp;Matrix[[#Headers],[9]],FDR[FDR]&amp;FDR[[#Headers],[9]],FDR[9],"",0,1)</f>
        <v>2</v>
      </c>
      <c r="V26" cm="1">
        <f t="array" ref="V26">_xlfn.XLOOKUP(Matrix[[#This Row],[TEAM]]&amp;Matrix[[#Headers],[10]],FDR[FDR]&amp;FDR[[#Headers],[10]],FDR[10],"",0,1)</f>
        <v>2</v>
      </c>
      <c r="W26" cm="1">
        <f t="array" ref="W26">_xlfn.XLOOKUP(Matrix[[#This Row],[TEAM]]&amp;Matrix[[#Headers],[11]],FDR[FDR]&amp;FDR[[#Headers],[11]],FDR[11],"",0,1)</f>
        <v>2</v>
      </c>
      <c r="X26" cm="1">
        <f t="array" ref="X26">_xlfn.XLOOKUP(Matrix[[#This Row],[TEAM]]&amp;Matrix[[#Headers],[12]],FDR[FDR]&amp;FDR[[#Headers],[12]],FDR[12],"",0,1)</f>
        <v>3</v>
      </c>
      <c r="Y26" cm="1">
        <f t="array" ref="Y26">_xlfn.XLOOKUP(Matrix[[#This Row],[TEAM]]&amp;Matrix[[#Headers],[13]],FDR[FDR]&amp;FDR[[#Headers],[13]],FDR[13],"",0,1)</f>
        <v>2</v>
      </c>
      <c r="Z26" cm="1">
        <f t="array" ref="Z26">_xlfn.XLOOKUP(Matrix[[#This Row],[TEAM]]&amp;Matrix[[#Headers],[14]],FDR[FDR]&amp;FDR[[#Headers],[14]],FDR[14],"",0,1)</f>
        <v>3</v>
      </c>
      <c r="AA26" cm="1">
        <f t="array" ref="AA26">_xlfn.XLOOKUP(Matrix[[#This Row],[TEAM]]&amp;Matrix[[#Headers],[15]],FDR[FDR]&amp;FDR[[#Headers],[15]],FDR[15],"",0,1)</f>
        <v>1</v>
      </c>
      <c r="AB26" cm="1">
        <f t="array" ref="AB26">_xlfn.XLOOKUP(Matrix[[#This Row],[TEAM]]&amp;Matrix[[#Headers],[16]],FDR[FDR]&amp;FDR[[#Headers],[16]],FDR[16],"",0,1)</f>
        <v>1</v>
      </c>
      <c r="AC26" cm="1">
        <f t="array" ref="AC26">_xlfn.XLOOKUP(Matrix[[#This Row],[TEAM]]&amp;Matrix[[#Headers],[17]],FDR[FDR]&amp;FDR[[#Headers],[17]],FDR[17],"",0,1)</f>
        <v>3</v>
      </c>
      <c r="AD26" cm="1">
        <f t="array" ref="AD26">_xlfn.XLOOKUP(Matrix[[#This Row],[TEAM]]&amp;Matrix[[#Headers],[18]],FDR[FDR]&amp;FDR[[#Headers],[18]],FDR[18],"",0,1)</f>
        <v>4</v>
      </c>
      <c r="AE26" cm="1">
        <f t="array" ref="AE26">_xlfn.XLOOKUP(Matrix[[#This Row],[TEAM]]&amp;Matrix[[#Headers],[19]],FDR[FDR]&amp;FDR[[#Headers],[19]],FDR[19],"",0,1)</f>
        <v>1</v>
      </c>
      <c r="AF26" cm="1">
        <f t="array" ref="AF26">_xlfn.XLOOKUP(Matrix[[#This Row],[TEAM]]&amp;Matrix[[#Headers],[20]],FDR[FDR]&amp;FDR[[#Headers],[20]],FDR[20],"",0,1)</f>
        <v>1</v>
      </c>
      <c r="AG26" cm="1">
        <f t="array" ref="AG26">_xlfn.XLOOKUP(Matrix[[#This Row],[TEAM]]&amp;Matrix[[#Headers],[21]],FDR[FDR]&amp;FDR[[#Headers],[21]],FDR[21],"",0,1)</f>
        <v>1</v>
      </c>
      <c r="AH26" cm="1">
        <f t="array" ref="AH26">_xlfn.XLOOKUP(Matrix[[#This Row],[TEAM]]&amp;Matrix[[#Headers],[22]],FDR[FDR]&amp;FDR[[#Headers],[22]],FDR[22],"",0,1)</f>
        <v>1</v>
      </c>
      <c r="AI26" cm="1">
        <f t="array" ref="AI26">_xlfn.XLOOKUP(Matrix[[#This Row],[TEAM]]&amp;Matrix[[#Headers],[23]],FDR[FDR]&amp;FDR[[#Headers],[23]],FDR[23],"",0,1)</f>
        <v>2</v>
      </c>
      <c r="AJ26" cm="1">
        <f t="array" ref="AJ26">_xlfn.XLOOKUP(Matrix[[#This Row],[TEAM]]&amp;Matrix[[#Headers],[24]],FDR[FDR]&amp;FDR[[#Headers],[24]],FDR[24],"",0,1)</f>
        <v>4</v>
      </c>
      <c r="AK26" cm="1">
        <f t="array" ref="AK26">_xlfn.XLOOKUP(Matrix[[#This Row],[TEAM]]&amp;Matrix[[#Headers],[25]],FDR[FDR]&amp;FDR[[#Headers],[25]],FDR[25],"",0,1)</f>
        <v>1</v>
      </c>
      <c r="AL26" cm="1">
        <f t="array" ref="AL26">_xlfn.XLOOKUP(Matrix[[#This Row],[TEAM]]&amp;Matrix[[#Headers],[26]],FDR[FDR]&amp;FDR[[#Headers],[26]],FDR[26],"",0,1)</f>
        <v>4</v>
      </c>
      <c r="AM26" cm="1">
        <f t="array" ref="AM26">_xlfn.XLOOKUP(Matrix[[#This Row],[TEAM]]&amp;Matrix[[#Headers],[27]],FDR[FDR]&amp;FDR[[#Headers],[27]],FDR[27],"",0,1)</f>
        <v>4</v>
      </c>
      <c r="AN26" cm="1">
        <f t="array" ref="AN26">_xlfn.XLOOKUP(Matrix[[#This Row],[TEAM]]&amp;Matrix[[#Headers],[28]],FDR[FDR]&amp;FDR[[#Headers],[28]],FDR[28],"",0,1)</f>
        <v>1</v>
      </c>
      <c r="AO26" cm="1">
        <f t="array" ref="AO26">_xlfn.XLOOKUP(Matrix[[#This Row],[TEAM]]&amp;Matrix[[#Headers],[29]],FDR[FDR]&amp;FDR[[#Headers],[29]],FDR[29],"",0,1)</f>
        <v>3</v>
      </c>
      <c r="AP26" cm="1">
        <f t="array" ref="AP26">_xlfn.XLOOKUP(Matrix[[#This Row],[TEAM]]&amp;Matrix[[#Headers],[30]],FDR[FDR]&amp;FDR[[#Headers],[30]],FDR[30],"",0,1)</f>
        <v>4</v>
      </c>
      <c r="AQ26" cm="1">
        <f t="array" ref="AQ26">_xlfn.XLOOKUP(Matrix[[#This Row],[TEAM]]&amp;Matrix[[#Headers],[31]],FDR[FDR]&amp;FDR[[#Headers],[31]],FDR[31],"",0,1)</f>
        <v>1</v>
      </c>
      <c r="AR26" cm="1">
        <f t="array" ref="AR26">_xlfn.XLOOKUP(Matrix[[#This Row],[TEAM]]&amp;Matrix[[#Headers],[32]],FDR[FDR]&amp;FDR[[#Headers],[32]],FDR[32],"",0,1)</f>
        <v>2</v>
      </c>
      <c r="AS26" cm="1">
        <f t="array" ref="AS26">_xlfn.XLOOKUP(Matrix[[#This Row],[TEAM]]&amp;Matrix[[#Headers],[33]],FDR[FDR]&amp;FDR[[#Headers],[33]],FDR[33],"",0,1)</f>
        <v>2</v>
      </c>
      <c r="AT26" cm="1">
        <f t="array" ref="AT26">_xlfn.XLOOKUP(Matrix[[#This Row],[TEAM]]&amp;Matrix[[#Headers],[34]],FDR[FDR]&amp;FDR[[#Headers],[34]],FDR[34],"",0,1)</f>
        <v>4</v>
      </c>
      <c r="AU26" cm="1">
        <f t="array" ref="AU26">_xlfn.XLOOKUP(Matrix[[#This Row],[TEAM]]&amp;Matrix[[#Headers],[35]],FDR[FDR]&amp;FDR[[#Headers],[35]],FDR[35],"",0,1)</f>
        <v>2</v>
      </c>
      <c r="AV26" cm="1">
        <f t="array" ref="AV26">_xlfn.XLOOKUP(Matrix[[#This Row],[TEAM]]&amp;Matrix[[#Headers],[36]],FDR[FDR]&amp;FDR[[#Headers],[36]],FDR[36],"",0,1)</f>
        <v>2</v>
      </c>
      <c r="AW26" cm="1">
        <f t="array" ref="AW26">_xlfn.XLOOKUP(Matrix[[#This Row],[TEAM]]&amp;Matrix[[#Headers],[37]],FDR[FDR]&amp;FDR[[#Headers],[37]],FDR[37],"",0,1)</f>
        <v>1</v>
      </c>
      <c r="AX26" cm="1">
        <f t="array" ref="AX26">_xlfn.XLOOKUP(Matrix[[#This Row],[TEAM]]&amp;Matrix[[#Headers],[38]],FDR[FDR]&amp;FDR[[#Headers],[38]],FDR[38],"",0,1)</f>
        <v>2</v>
      </c>
    </row>
    <row r="27" spans="1:50" ht="22" thickTop="1" thickBot="1">
      <c r="A27" s="50" t="str">
        <f>INDEX!S$4</f>
        <v>MID</v>
      </c>
      <c r="B27" s="70" t="s">
        <v>1310</v>
      </c>
      <c r="C27" s="40" t="s">
        <v>20</v>
      </c>
      <c r="D27" s="62">
        <v>152</v>
      </c>
      <c r="E27" s="60">
        <v>1.0999999999999999E-2</v>
      </c>
      <c r="F27" s="61">
        <v>202.1</v>
      </c>
      <c r="G27" s="63">
        <v>7</v>
      </c>
      <c r="H27" s="261">
        <f>IF(ISBLANK(I27),0,1)</f>
        <v>0</v>
      </c>
      <c r="I27" s="57"/>
      <c r="J27" s="58"/>
      <c r="K27" s="59" t="s">
        <v>368</v>
      </c>
      <c r="L27" s="59" t="s">
        <v>68</v>
      </c>
      <c r="M27" cm="1">
        <f t="array" ref="M27">_xlfn.XLOOKUP(Matrix[[#This Row],[TEAM]]&amp;Matrix[[#Headers],[1]],FDR[FDR]&amp;FDR[[#Headers],[1]],FDR[1],"",0,1)</f>
        <v>3</v>
      </c>
      <c r="N27" cm="1">
        <f t="array" ref="N27">_xlfn.XLOOKUP(Matrix[[#This Row],[TEAM]]&amp;Matrix[[#Headers],[2]],FDR[FDR]&amp;FDR[[#Headers],[2]],FDR[2],"",0,1)</f>
        <v>1</v>
      </c>
      <c r="O27" cm="1">
        <f t="array" ref="O27">_xlfn.XLOOKUP(Matrix[[#This Row],[TEAM]]&amp;Matrix[[#Headers],[3]],FDR[FDR]&amp;FDR[[#Headers],[3]],FDR[3],"",0,1)</f>
        <v>4</v>
      </c>
      <c r="P27" cm="1">
        <f t="array" ref="P27">_xlfn.XLOOKUP(Matrix[[#This Row],[TEAM]]&amp;Matrix[[#Headers],[4]],FDR[FDR]&amp;FDR[[#Headers],[4]],FDR[4],"",0,1)</f>
        <v>1</v>
      </c>
      <c r="Q27" cm="1">
        <f t="array" ref="Q27">_xlfn.XLOOKUP(Matrix[[#This Row],[TEAM]]&amp;Matrix[[#Headers],[5]],FDR[FDR]&amp;FDR[[#Headers],[5]],FDR[5],"",0,1)</f>
        <v>3</v>
      </c>
      <c r="R27" cm="1">
        <f t="array" ref="R27">_xlfn.XLOOKUP(Matrix[[#This Row],[TEAM]]&amp;Matrix[[#Headers],[6]],FDR[FDR]&amp;FDR[[#Headers],[6]],FDR[6],"",0,1)</f>
        <v>3</v>
      </c>
      <c r="S27" cm="1">
        <f t="array" ref="S27">_xlfn.XLOOKUP(Matrix[[#This Row],[TEAM]]&amp;Matrix[[#Headers],[7]],FDR[FDR]&amp;FDR[[#Headers],[7]],FDR[7],"",0,1)</f>
        <v>1</v>
      </c>
      <c r="T27" cm="1">
        <f t="array" ref="T27">_xlfn.XLOOKUP(Matrix[[#This Row],[TEAM]]&amp;Matrix[[#Headers],[8]],FDR[FDR]&amp;FDR[[#Headers],[8]],FDR[8],"",0,1)</f>
        <v>2</v>
      </c>
      <c r="U27" cm="1">
        <f t="array" ref="U27">_xlfn.XLOOKUP(Matrix[[#This Row],[TEAM]]&amp;Matrix[[#Headers],[9]],FDR[FDR]&amp;FDR[[#Headers],[9]],FDR[9],"",0,1)</f>
        <v>1</v>
      </c>
      <c r="V27" cm="1">
        <f t="array" ref="V27">_xlfn.XLOOKUP(Matrix[[#This Row],[TEAM]]&amp;Matrix[[#Headers],[10]],FDR[FDR]&amp;FDR[[#Headers],[10]],FDR[10],"",0,1)</f>
        <v>1</v>
      </c>
      <c r="W27" cm="1">
        <f t="array" ref="W27">_xlfn.XLOOKUP(Matrix[[#This Row],[TEAM]]&amp;Matrix[[#Headers],[11]],FDR[FDR]&amp;FDR[[#Headers],[11]],FDR[11],"",0,1)</f>
        <v>1</v>
      </c>
      <c r="X27" cm="1">
        <f t="array" ref="X27">_xlfn.XLOOKUP(Matrix[[#This Row],[TEAM]]&amp;Matrix[[#Headers],[12]],FDR[FDR]&amp;FDR[[#Headers],[12]],FDR[12],"",0,1)</f>
        <v>2</v>
      </c>
      <c r="Y27" cm="1">
        <f t="array" ref="Y27">_xlfn.XLOOKUP(Matrix[[#This Row],[TEAM]]&amp;Matrix[[#Headers],[13]],FDR[FDR]&amp;FDR[[#Headers],[13]],FDR[13],"",0,1)</f>
        <v>3</v>
      </c>
      <c r="Z27" cm="1">
        <f t="array" ref="Z27">_xlfn.XLOOKUP(Matrix[[#This Row],[TEAM]]&amp;Matrix[[#Headers],[14]],FDR[FDR]&amp;FDR[[#Headers],[14]],FDR[14],"",0,1)</f>
        <v>1</v>
      </c>
      <c r="AA27" cm="1">
        <f t="array" ref="AA27">_xlfn.XLOOKUP(Matrix[[#This Row],[TEAM]]&amp;Matrix[[#Headers],[15]],FDR[FDR]&amp;FDR[[#Headers],[15]],FDR[15],"",0,1)</f>
        <v>3</v>
      </c>
      <c r="AB27" cm="1">
        <f t="array" ref="AB27">_xlfn.XLOOKUP(Matrix[[#This Row],[TEAM]]&amp;Matrix[[#Headers],[16]],FDR[FDR]&amp;FDR[[#Headers],[16]],FDR[16],"",0,1)</f>
        <v>1</v>
      </c>
      <c r="AC27" cm="1">
        <f t="array" ref="AC27">_xlfn.XLOOKUP(Matrix[[#This Row],[TEAM]]&amp;Matrix[[#Headers],[17]],FDR[FDR]&amp;FDR[[#Headers],[17]],FDR[17],"",0,1)</f>
        <v>2</v>
      </c>
      <c r="AD27" cm="1">
        <f t="array" ref="AD27">_xlfn.XLOOKUP(Matrix[[#This Row],[TEAM]]&amp;Matrix[[#Headers],[18]],FDR[FDR]&amp;FDR[[#Headers],[18]],FDR[18],"",0,1)</f>
        <v>1</v>
      </c>
      <c r="AE27" cm="1">
        <f t="array" ref="AE27">_xlfn.XLOOKUP(Matrix[[#This Row],[TEAM]]&amp;Matrix[[#Headers],[19]],FDR[FDR]&amp;FDR[[#Headers],[19]],FDR[19],"",0,1)</f>
        <v>2</v>
      </c>
      <c r="AF27" cm="1">
        <f t="array" ref="AF27">_xlfn.XLOOKUP(Matrix[[#This Row],[TEAM]]&amp;Matrix[[#Headers],[20]],FDR[FDR]&amp;FDR[[#Headers],[20]],FDR[20],"",0,1)</f>
        <v>2</v>
      </c>
      <c r="AG27" cm="1">
        <f t="array" ref="AG27">_xlfn.XLOOKUP(Matrix[[#This Row],[TEAM]]&amp;Matrix[[#Headers],[21]],FDR[FDR]&amp;FDR[[#Headers],[21]],FDR[21],"",0,1)</f>
        <v>3</v>
      </c>
      <c r="AH27" cm="1">
        <f t="array" ref="AH27">_xlfn.XLOOKUP(Matrix[[#This Row],[TEAM]]&amp;Matrix[[#Headers],[22]],FDR[FDR]&amp;FDR[[#Headers],[22]],FDR[22],"",0,1)</f>
        <v>2</v>
      </c>
      <c r="AI27" cm="1">
        <f t="array" ref="AI27">_xlfn.XLOOKUP(Matrix[[#This Row],[TEAM]]&amp;Matrix[[#Headers],[23]],FDR[FDR]&amp;FDR[[#Headers],[23]],FDR[23],"",0,1)</f>
        <v>2</v>
      </c>
      <c r="AJ27" cm="1">
        <f t="array" ref="AJ27">_xlfn.XLOOKUP(Matrix[[#This Row],[TEAM]]&amp;Matrix[[#Headers],[24]],FDR[FDR]&amp;FDR[[#Headers],[24]],FDR[24],"",0,1)</f>
        <v>1</v>
      </c>
      <c r="AK27" cm="1">
        <f t="array" ref="AK27">_xlfn.XLOOKUP(Matrix[[#This Row],[TEAM]]&amp;Matrix[[#Headers],[25]],FDR[FDR]&amp;FDR[[#Headers],[25]],FDR[25],"",0,1)</f>
        <v>1</v>
      </c>
      <c r="AL27" cm="1">
        <f t="array" ref="AL27">_xlfn.XLOOKUP(Matrix[[#This Row],[TEAM]]&amp;Matrix[[#Headers],[26]],FDR[FDR]&amp;FDR[[#Headers],[26]],FDR[26],"",0,1)</f>
        <v>2</v>
      </c>
      <c r="AM27" cm="1">
        <f t="array" ref="AM27">_xlfn.XLOOKUP(Matrix[[#This Row],[TEAM]]&amp;Matrix[[#Headers],[27]],FDR[FDR]&amp;FDR[[#Headers],[27]],FDR[27],"",0,1)</f>
        <v>3</v>
      </c>
      <c r="AN27" cm="1">
        <f t="array" ref="AN27">_xlfn.XLOOKUP(Matrix[[#This Row],[TEAM]]&amp;Matrix[[#Headers],[28]],FDR[FDR]&amp;FDR[[#Headers],[28]],FDR[28],"",0,1)</f>
        <v>2</v>
      </c>
      <c r="AO27" cm="1">
        <f t="array" ref="AO27">_xlfn.XLOOKUP(Matrix[[#This Row],[TEAM]]&amp;Matrix[[#Headers],[29]],FDR[FDR]&amp;FDR[[#Headers],[29]],FDR[29],"",0,1)</f>
        <v>2</v>
      </c>
      <c r="AP27" cm="1">
        <f t="array" ref="AP27">_xlfn.XLOOKUP(Matrix[[#This Row],[TEAM]]&amp;Matrix[[#Headers],[30]],FDR[FDR]&amp;FDR[[#Headers],[30]],FDR[30],"",0,1)</f>
        <v>1</v>
      </c>
      <c r="AQ27" cm="1">
        <f t="array" ref="AQ27">_xlfn.XLOOKUP(Matrix[[#This Row],[TEAM]]&amp;Matrix[[#Headers],[31]],FDR[FDR]&amp;FDR[[#Headers],[31]],FDR[31],"",0,1)</f>
        <v>1</v>
      </c>
      <c r="AR27" cm="1">
        <f t="array" ref="AR27">_xlfn.XLOOKUP(Matrix[[#This Row],[TEAM]]&amp;Matrix[[#Headers],[32]],FDR[FDR]&amp;FDR[[#Headers],[32]],FDR[32],"",0,1)</f>
        <v>1</v>
      </c>
      <c r="AS27" cm="1">
        <f t="array" ref="AS27">_xlfn.XLOOKUP(Matrix[[#This Row],[TEAM]]&amp;Matrix[[#Headers],[33]],FDR[FDR]&amp;FDR[[#Headers],[33]],FDR[33],"",0,1)</f>
        <v>3</v>
      </c>
      <c r="AT27" cm="1">
        <f t="array" ref="AT27">_xlfn.XLOOKUP(Matrix[[#This Row],[TEAM]]&amp;Matrix[[#Headers],[34]],FDR[FDR]&amp;FDR[[#Headers],[34]],FDR[34],"",0,1)</f>
        <v>2</v>
      </c>
      <c r="AU27" cm="1">
        <f t="array" ref="AU27">_xlfn.XLOOKUP(Matrix[[#This Row],[TEAM]]&amp;Matrix[[#Headers],[35]],FDR[FDR]&amp;FDR[[#Headers],[35]],FDR[35],"",0,1)</f>
        <v>1</v>
      </c>
      <c r="AV27" cm="1">
        <f t="array" ref="AV27">_xlfn.XLOOKUP(Matrix[[#This Row],[TEAM]]&amp;Matrix[[#Headers],[36]],FDR[FDR]&amp;FDR[[#Headers],[36]],FDR[36],"",0,1)</f>
        <v>2</v>
      </c>
      <c r="AW27" cm="1">
        <f t="array" ref="AW27">_xlfn.XLOOKUP(Matrix[[#This Row],[TEAM]]&amp;Matrix[[#Headers],[37]],FDR[FDR]&amp;FDR[[#Headers],[37]],FDR[37],"",0,1)</f>
        <v>1</v>
      </c>
      <c r="AX27" cm="1">
        <f t="array" ref="AX27">_xlfn.XLOOKUP(Matrix[[#This Row],[TEAM]]&amp;Matrix[[#Headers],[38]],FDR[FDR]&amp;FDR[[#Headers],[38]],FDR[38],"",0,1)</f>
        <v>2</v>
      </c>
    </row>
    <row r="28" spans="1:50" ht="22" thickTop="1" thickBot="1">
      <c r="A28" s="50" t="str">
        <f>INDEX!S$4</f>
        <v>MID</v>
      </c>
      <c r="B28" s="70" t="s">
        <v>1311</v>
      </c>
      <c r="C28" s="40" t="s">
        <v>21</v>
      </c>
      <c r="D28" s="62">
        <v>149</v>
      </c>
      <c r="E28" s="60">
        <v>1.0999999999999999E-2</v>
      </c>
      <c r="F28" s="61">
        <v>183.3</v>
      </c>
      <c r="G28" s="63">
        <v>7</v>
      </c>
      <c r="H28" s="261">
        <f>IF(ISBLANK(I28),0,1)</f>
        <v>0</v>
      </c>
      <c r="I28" s="57"/>
      <c r="J28" s="58"/>
      <c r="K28" s="59" t="s">
        <v>357</v>
      </c>
      <c r="L28" s="59" t="s">
        <v>220</v>
      </c>
      <c r="M28" cm="1">
        <f t="array" ref="M28">_xlfn.XLOOKUP(Matrix[[#This Row],[TEAM]]&amp;Matrix[[#Headers],[1]],FDR[FDR]&amp;FDR[[#Headers],[1]],FDR[1],"",0,1)</f>
        <v>4</v>
      </c>
      <c r="N28" cm="1">
        <f t="array" ref="N28">_xlfn.XLOOKUP(Matrix[[#This Row],[TEAM]]&amp;Matrix[[#Headers],[2]],FDR[FDR]&amp;FDR[[#Headers],[2]],FDR[2],"",0,1)</f>
        <v>4</v>
      </c>
      <c r="O28" cm="1">
        <f t="array" ref="O28">_xlfn.XLOOKUP(Matrix[[#This Row],[TEAM]]&amp;Matrix[[#Headers],[3]],FDR[FDR]&amp;FDR[[#Headers],[3]],FDR[3],"",0,1)</f>
        <v>2</v>
      </c>
      <c r="P28" cm="1">
        <f t="array" ref="P28">_xlfn.XLOOKUP(Matrix[[#This Row],[TEAM]]&amp;Matrix[[#Headers],[4]],FDR[FDR]&amp;FDR[[#Headers],[4]],FDR[4],"",0,1)</f>
        <v>4</v>
      </c>
      <c r="Q28" cm="1">
        <f t="array" ref="Q28">_xlfn.XLOOKUP(Matrix[[#This Row],[TEAM]]&amp;Matrix[[#Headers],[5]],FDR[FDR]&amp;FDR[[#Headers],[5]],FDR[5],"",0,1)</f>
        <v>4</v>
      </c>
      <c r="R28" cm="1">
        <f t="array" ref="R28">_xlfn.XLOOKUP(Matrix[[#This Row],[TEAM]]&amp;Matrix[[#Headers],[6]],FDR[FDR]&amp;FDR[[#Headers],[6]],FDR[6],"",0,1)</f>
        <v>4</v>
      </c>
      <c r="S28" cm="1">
        <f t="array" ref="S28">_xlfn.XLOOKUP(Matrix[[#This Row],[TEAM]]&amp;Matrix[[#Headers],[7]],FDR[FDR]&amp;FDR[[#Headers],[7]],FDR[7],"",0,1)</f>
        <v>4</v>
      </c>
      <c r="T28" cm="1">
        <f t="array" ref="T28">_xlfn.XLOOKUP(Matrix[[#This Row],[TEAM]]&amp;Matrix[[#Headers],[8]],FDR[FDR]&amp;FDR[[#Headers],[8]],FDR[8],"",0,1)</f>
        <v>4</v>
      </c>
      <c r="U28" cm="1">
        <f t="array" ref="U28">_xlfn.XLOOKUP(Matrix[[#This Row],[TEAM]]&amp;Matrix[[#Headers],[9]],FDR[FDR]&amp;FDR[[#Headers],[9]],FDR[9],"",0,1)</f>
        <v>4</v>
      </c>
      <c r="V28" cm="1">
        <f t="array" ref="V28">_xlfn.XLOOKUP(Matrix[[#This Row],[TEAM]]&amp;Matrix[[#Headers],[10]],FDR[FDR]&amp;FDR[[#Headers],[10]],FDR[10],"",0,1)</f>
        <v>4</v>
      </c>
      <c r="W28" cm="1">
        <f t="array" ref="W28">_xlfn.XLOOKUP(Matrix[[#This Row],[TEAM]]&amp;Matrix[[#Headers],[11]],FDR[FDR]&amp;FDR[[#Headers],[11]],FDR[11],"",0,1)</f>
        <v>4</v>
      </c>
      <c r="X28" cm="1">
        <f t="array" ref="X28">_xlfn.XLOOKUP(Matrix[[#This Row],[TEAM]]&amp;Matrix[[#Headers],[12]],FDR[FDR]&amp;FDR[[#Headers],[12]],FDR[12],"",0,1)</f>
        <v>4</v>
      </c>
      <c r="Y28" cm="1">
        <f t="array" ref="Y28">_xlfn.XLOOKUP(Matrix[[#This Row],[TEAM]]&amp;Matrix[[#Headers],[13]],FDR[FDR]&amp;FDR[[#Headers],[13]],FDR[13],"",0,1)</f>
        <v>1</v>
      </c>
      <c r="Z28" cm="1">
        <f t="array" ref="Z28">_xlfn.XLOOKUP(Matrix[[#This Row],[TEAM]]&amp;Matrix[[#Headers],[14]],FDR[FDR]&amp;FDR[[#Headers],[14]],FDR[14],"",0,1)</f>
        <v>5</v>
      </c>
      <c r="AA28" cm="1">
        <f t="array" ref="AA28">_xlfn.XLOOKUP(Matrix[[#This Row],[TEAM]]&amp;Matrix[[#Headers],[15]],FDR[FDR]&amp;FDR[[#Headers],[15]],FDR[15],"",0,1)</f>
        <v>5</v>
      </c>
      <c r="AB28" cm="1">
        <f t="array" ref="AB28">_xlfn.XLOOKUP(Matrix[[#This Row],[TEAM]]&amp;Matrix[[#Headers],[16]],FDR[FDR]&amp;FDR[[#Headers],[16]],FDR[16],"",0,1)</f>
        <v>1</v>
      </c>
      <c r="AC28" cm="1">
        <f t="array" ref="AC28">_xlfn.XLOOKUP(Matrix[[#This Row],[TEAM]]&amp;Matrix[[#Headers],[17]],FDR[FDR]&amp;FDR[[#Headers],[17]],FDR[17],"",0,1)</f>
        <v>2</v>
      </c>
      <c r="AD28" cm="1">
        <f t="array" ref="AD28">_xlfn.XLOOKUP(Matrix[[#This Row],[TEAM]]&amp;Matrix[[#Headers],[18]],FDR[FDR]&amp;FDR[[#Headers],[18]],FDR[18],"",0,1)</f>
        <v>3</v>
      </c>
      <c r="AE28" cm="1">
        <f t="array" ref="AE28">_xlfn.XLOOKUP(Matrix[[#This Row],[TEAM]]&amp;Matrix[[#Headers],[19]],FDR[FDR]&amp;FDR[[#Headers],[19]],FDR[19],"",0,1)</f>
        <v>4</v>
      </c>
      <c r="AF28" cm="1">
        <f t="array" ref="AF28">_xlfn.XLOOKUP(Matrix[[#This Row],[TEAM]]&amp;Matrix[[#Headers],[20]],FDR[FDR]&amp;FDR[[#Headers],[20]],FDR[20],"",0,1)</f>
        <v>4</v>
      </c>
      <c r="AG28" cm="1">
        <f t="array" ref="AG28">_xlfn.XLOOKUP(Matrix[[#This Row],[TEAM]]&amp;Matrix[[#Headers],[21]],FDR[FDR]&amp;FDR[[#Headers],[21]],FDR[21],"",0,1)</f>
        <v>1</v>
      </c>
      <c r="AH28" cm="1">
        <f t="array" ref="AH28">_xlfn.XLOOKUP(Matrix[[#This Row],[TEAM]]&amp;Matrix[[#Headers],[22]],FDR[FDR]&amp;FDR[[#Headers],[22]],FDR[22],"",0,1)</f>
        <v>5</v>
      </c>
      <c r="AI28" cm="1">
        <f t="array" ref="AI28">_xlfn.XLOOKUP(Matrix[[#This Row],[TEAM]]&amp;Matrix[[#Headers],[23]],FDR[FDR]&amp;FDR[[#Headers],[23]],FDR[23],"",0,1)</f>
        <v>3</v>
      </c>
      <c r="AJ28" cm="1">
        <f t="array" ref="AJ28">_xlfn.XLOOKUP(Matrix[[#This Row],[TEAM]]&amp;Matrix[[#Headers],[24]],FDR[FDR]&amp;FDR[[#Headers],[24]],FDR[24],"",0,1)</f>
        <v>5</v>
      </c>
      <c r="AK28" cm="1">
        <f t="array" ref="AK28">_xlfn.XLOOKUP(Matrix[[#This Row],[TEAM]]&amp;Matrix[[#Headers],[25]],FDR[FDR]&amp;FDR[[#Headers],[25]],FDR[25],"",0,1)</f>
        <v>5</v>
      </c>
      <c r="AL28" cm="1">
        <f t="array" ref="AL28">_xlfn.XLOOKUP(Matrix[[#This Row],[TEAM]]&amp;Matrix[[#Headers],[26]],FDR[FDR]&amp;FDR[[#Headers],[26]],FDR[26],"",0,1)</f>
        <v>4</v>
      </c>
      <c r="AM28" cm="1">
        <f t="array" ref="AM28">_xlfn.XLOOKUP(Matrix[[#This Row],[TEAM]]&amp;Matrix[[#Headers],[27]],FDR[FDR]&amp;FDR[[#Headers],[27]],FDR[27],"",0,1)</f>
        <v>3</v>
      </c>
      <c r="AN28" cm="1">
        <f t="array" ref="AN28">_xlfn.XLOOKUP(Matrix[[#This Row],[TEAM]]&amp;Matrix[[#Headers],[28]],FDR[FDR]&amp;FDR[[#Headers],[28]],FDR[28],"",0,1)</f>
        <v>2</v>
      </c>
      <c r="AO28" cm="1">
        <f t="array" ref="AO28">_xlfn.XLOOKUP(Matrix[[#This Row],[TEAM]]&amp;Matrix[[#Headers],[29]],FDR[FDR]&amp;FDR[[#Headers],[29]],FDR[29],"",0,1)</f>
        <v>4</v>
      </c>
      <c r="AP28" cm="1">
        <f t="array" ref="AP28">_xlfn.XLOOKUP(Matrix[[#This Row],[TEAM]]&amp;Matrix[[#Headers],[30]],FDR[FDR]&amp;FDR[[#Headers],[30]],FDR[30],"",0,1)</f>
        <v>2</v>
      </c>
      <c r="AQ28" cm="1">
        <f t="array" ref="AQ28">_xlfn.XLOOKUP(Matrix[[#This Row],[TEAM]]&amp;Matrix[[#Headers],[31]],FDR[FDR]&amp;FDR[[#Headers],[31]],FDR[31],"",0,1)</f>
        <v>2</v>
      </c>
      <c r="AR28" cm="1">
        <f t="array" ref="AR28">_xlfn.XLOOKUP(Matrix[[#This Row],[TEAM]]&amp;Matrix[[#Headers],[32]],FDR[FDR]&amp;FDR[[#Headers],[32]],FDR[32],"",0,1)</f>
        <v>3</v>
      </c>
      <c r="AS28" cm="1">
        <f t="array" ref="AS28">_xlfn.XLOOKUP(Matrix[[#This Row],[TEAM]]&amp;Matrix[[#Headers],[33]],FDR[FDR]&amp;FDR[[#Headers],[33]],FDR[33],"",0,1)</f>
        <v>3</v>
      </c>
      <c r="AT28" cm="1">
        <f t="array" ref="AT28">_xlfn.XLOOKUP(Matrix[[#This Row],[TEAM]]&amp;Matrix[[#Headers],[34]],FDR[FDR]&amp;FDR[[#Headers],[34]],FDR[34],"",0,1)</f>
        <v>5</v>
      </c>
      <c r="AU28" cm="1">
        <f t="array" ref="AU28">_xlfn.XLOOKUP(Matrix[[#This Row],[TEAM]]&amp;Matrix[[#Headers],[35]],FDR[FDR]&amp;FDR[[#Headers],[35]],FDR[35],"",0,1)</f>
        <v>3</v>
      </c>
      <c r="AV28" cm="1">
        <f t="array" ref="AV28">_xlfn.XLOOKUP(Matrix[[#This Row],[TEAM]]&amp;Matrix[[#Headers],[36]],FDR[FDR]&amp;FDR[[#Headers],[36]],FDR[36],"",0,1)</f>
        <v>5</v>
      </c>
      <c r="AW28" cm="1">
        <f t="array" ref="AW28">_xlfn.XLOOKUP(Matrix[[#This Row],[TEAM]]&amp;Matrix[[#Headers],[37]],FDR[FDR]&amp;FDR[[#Headers],[37]],FDR[37],"",0,1)</f>
        <v>3</v>
      </c>
      <c r="AX28" cm="1">
        <f t="array" ref="AX28">_xlfn.XLOOKUP(Matrix[[#This Row],[TEAM]]&amp;Matrix[[#Headers],[38]],FDR[FDR]&amp;FDR[[#Headers],[38]],FDR[38],"",0,1)</f>
        <v>5</v>
      </c>
    </row>
    <row r="29" spans="1:50" ht="22" thickTop="1" thickBot="1">
      <c r="A29" s="50" t="str">
        <f>INDEX!S$4</f>
        <v>MID</v>
      </c>
      <c r="B29" s="70" t="s">
        <v>1303</v>
      </c>
      <c r="C29" s="40" t="s">
        <v>19</v>
      </c>
      <c r="D29" s="62">
        <v>137</v>
      </c>
      <c r="E29" s="60">
        <v>4.1000000000000002E-2</v>
      </c>
      <c r="F29" s="61">
        <v>161</v>
      </c>
      <c r="G29" s="63">
        <v>7</v>
      </c>
      <c r="H29" s="261">
        <f>IF(ISBLANK(I29),0,1)</f>
        <v>0</v>
      </c>
      <c r="I29" s="57"/>
      <c r="J29" s="58"/>
      <c r="K29" s="59" t="s">
        <v>400</v>
      </c>
      <c r="L29" s="59" t="s">
        <v>160</v>
      </c>
      <c r="M29" cm="1">
        <f t="array" ref="M29">_xlfn.XLOOKUP(Matrix[[#This Row],[TEAM]]&amp;Matrix[[#Headers],[1]],FDR[FDR]&amp;FDR[[#Headers],[1]],FDR[1],"",0,1)</f>
        <v>1</v>
      </c>
      <c r="N29" cm="1">
        <f t="array" ref="N29">_xlfn.XLOOKUP(Matrix[[#This Row],[TEAM]]&amp;Matrix[[#Headers],[2]],FDR[FDR]&amp;FDR[[#Headers],[2]],FDR[2],"",0,1)</f>
        <v>4</v>
      </c>
      <c r="O29" cm="1">
        <f t="array" ref="O29">_xlfn.XLOOKUP(Matrix[[#This Row],[TEAM]]&amp;Matrix[[#Headers],[3]],FDR[FDR]&amp;FDR[[#Headers],[3]],FDR[3],"",0,1)</f>
        <v>1</v>
      </c>
      <c r="P29" cm="1">
        <f t="array" ref="P29">_xlfn.XLOOKUP(Matrix[[#This Row],[TEAM]]&amp;Matrix[[#Headers],[4]],FDR[FDR]&amp;FDR[[#Headers],[4]],FDR[4],"",0,1)</f>
        <v>2</v>
      </c>
      <c r="Q29" cm="1">
        <f t="array" ref="Q29">_xlfn.XLOOKUP(Matrix[[#This Row],[TEAM]]&amp;Matrix[[#Headers],[5]],FDR[FDR]&amp;FDR[[#Headers],[5]],FDR[5],"",0,1)</f>
        <v>2</v>
      </c>
      <c r="R29" cm="1">
        <f t="array" ref="R29">_xlfn.XLOOKUP(Matrix[[#This Row],[TEAM]]&amp;Matrix[[#Headers],[6]],FDR[FDR]&amp;FDR[[#Headers],[6]],FDR[6],"",0,1)</f>
        <v>1</v>
      </c>
      <c r="S29" cm="1">
        <f t="array" ref="S29">_xlfn.XLOOKUP(Matrix[[#This Row],[TEAM]]&amp;Matrix[[#Headers],[7]],FDR[FDR]&amp;FDR[[#Headers],[7]],FDR[7],"",0,1)</f>
        <v>1</v>
      </c>
      <c r="T29" cm="1">
        <f t="array" ref="T29">_xlfn.XLOOKUP(Matrix[[#This Row],[TEAM]]&amp;Matrix[[#Headers],[8]],FDR[FDR]&amp;FDR[[#Headers],[8]],FDR[8],"",0,1)</f>
        <v>2</v>
      </c>
      <c r="U29" cm="1">
        <f t="array" ref="U29">_xlfn.XLOOKUP(Matrix[[#This Row],[TEAM]]&amp;Matrix[[#Headers],[9]],FDR[FDR]&amp;FDR[[#Headers],[9]],FDR[9],"",0,1)</f>
        <v>2</v>
      </c>
      <c r="V29" cm="1">
        <f t="array" ref="V29">_xlfn.XLOOKUP(Matrix[[#This Row],[TEAM]]&amp;Matrix[[#Headers],[10]],FDR[FDR]&amp;FDR[[#Headers],[10]],FDR[10],"",0,1)</f>
        <v>3</v>
      </c>
      <c r="W29" cm="1">
        <f t="array" ref="W29">_xlfn.XLOOKUP(Matrix[[#This Row],[TEAM]]&amp;Matrix[[#Headers],[11]],FDR[FDR]&amp;FDR[[#Headers],[11]],FDR[11],"",0,1)</f>
        <v>3</v>
      </c>
      <c r="X29" cm="1">
        <f t="array" ref="X29">_xlfn.XLOOKUP(Matrix[[#This Row],[TEAM]]&amp;Matrix[[#Headers],[12]],FDR[FDR]&amp;FDR[[#Headers],[12]],FDR[12],"",0,1)</f>
        <v>4</v>
      </c>
      <c r="Y29" cm="1">
        <f t="array" ref="Y29">_xlfn.XLOOKUP(Matrix[[#This Row],[TEAM]]&amp;Matrix[[#Headers],[13]],FDR[FDR]&amp;FDR[[#Headers],[13]],FDR[13],"",0,1)</f>
        <v>1</v>
      </c>
      <c r="Z29" cm="1">
        <f t="array" ref="Z29">_xlfn.XLOOKUP(Matrix[[#This Row],[TEAM]]&amp;Matrix[[#Headers],[14]],FDR[FDR]&amp;FDR[[#Headers],[14]],FDR[14],"",0,1)</f>
        <v>3</v>
      </c>
      <c r="AA29" cm="1">
        <f t="array" ref="AA29">_xlfn.XLOOKUP(Matrix[[#This Row],[TEAM]]&amp;Matrix[[#Headers],[15]],FDR[FDR]&amp;FDR[[#Headers],[15]],FDR[15],"",0,1)</f>
        <v>1</v>
      </c>
      <c r="AB29" cm="1">
        <f t="array" ref="AB29">_xlfn.XLOOKUP(Matrix[[#This Row],[TEAM]]&amp;Matrix[[#Headers],[16]],FDR[FDR]&amp;FDR[[#Headers],[16]],FDR[16],"",0,1)</f>
        <v>2</v>
      </c>
      <c r="AC29" cm="1">
        <f t="array" ref="AC29">_xlfn.XLOOKUP(Matrix[[#This Row],[TEAM]]&amp;Matrix[[#Headers],[17]],FDR[FDR]&amp;FDR[[#Headers],[17]],FDR[17],"",0,1)</f>
        <v>3</v>
      </c>
      <c r="AD29" cm="1">
        <f t="array" ref="AD29">_xlfn.XLOOKUP(Matrix[[#This Row],[TEAM]]&amp;Matrix[[#Headers],[18]],FDR[FDR]&amp;FDR[[#Headers],[18]],FDR[18],"",0,1)</f>
        <v>2</v>
      </c>
      <c r="AE29" cm="1">
        <f t="array" ref="AE29">_xlfn.XLOOKUP(Matrix[[#This Row],[TEAM]]&amp;Matrix[[#Headers],[19]],FDR[FDR]&amp;FDR[[#Headers],[19]],FDR[19],"",0,1)</f>
        <v>2</v>
      </c>
      <c r="AF29" cm="1">
        <f t="array" ref="AF29">_xlfn.XLOOKUP(Matrix[[#This Row],[TEAM]]&amp;Matrix[[#Headers],[20]],FDR[FDR]&amp;FDR[[#Headers],[20]],FDR[20],"",0,1)</f>
        <v>1</v>
      </c>
      <c r="AG29" cm="1">
        <f t="array" ref="AG29">_xlfn.XLOOKUP(Matrix[[#This Row],[TEAM]]&amp;Matrix[[#Headers],[21]],FDR[FDR]&amp;FDR[[#Headers],[21]],FDR[21],"",0,1)</f>
        <v>2</v>
      </c>
      <c r="AH29" cm="1">
        <f t="array" ref="AH29">_xlfn.XLOOKUP(Matrix[[#This Row],[TEAM]]&amp;Matrix[[#Headers],[22]],FDR[FDR]&amp;FDR[[#Headers],[22]],FDR[22],"",0,1)</f>
        <v>1</v>
      </c>
      <c r="AI29" cm="1">
        <f t="array" ref="AI29">_xlfn.XLOOKUP(Matrix[[#This Row],[TEAM]]&amp;Matrix[[#Headers],[23]],FDR[FDR]&amp;FDR[[#Headers],[23]],FDR[23],"",0,1)</f>
        <v>1</v>
      </c>
      <c r="AJ29" cm="1">
        <f t="array" ref="AJ29">_xlfn.XLOOKUP(Matrix[[#This Row],[TEAM]]&amp;Matrix[[#Headers],[24]],FDR[FDR]&amp;FDR[[#Headers],[24]],FDR[24],"",0,1)</f>
        <v>3</v>
      </c>
      <c r="AK29" cm="1">
        <f t="array" ref="AK29">_xlfn.XLOOKUP(Matrix[[#This Row],[TEAM]]&amp;Matrix[[#Headers],[25]],FDR[FDR]&amp;FDR[[#Headers],[25]],FDR[25],"",0,1)</f>
        <v>4</v>
      </c>
      <c r="AL29" cm="1">
        <f t="array" ref="AL29">_xlfn.XLOOKUP(Matrix[[#This Row],[TEAM]]&amp;Matrix[[#Headers],[26]],FDR[FDR]&amp;FDR[[#Headers],[26]],FDR[26],"",0,1)</f>
        <v>2</v>
      </c>
      <c r="AM29" cm="1">
        <f t="array" ref="AM29">_xlfn.XLOOKUP(Matrix[[#This Row],[TEAM]]&amp;Matrix[[#Headers],[27]],FDR[FDR]&amp;FDR[[#Headers],[27]],FDR[27],"",0,1)</f>
        <v>3</v>
      </c>
      <c r="AN29" cm="1">
        <f t="array" ref="AN29">_xlfn.XLOOKUP(Matrix[[#This Row],[TEAM]]&amp;Matrix[[#Headers],[28]],FDR[FDR]&amp;FDR[[#Headers],[28]],FDR[28],"",0,1)</f>
        <v>2</v>
      </c>
      <c r="AO29" cm="1">
        <f t="array" ref="AO29">_xlfn.XLOOKUP(Matrix[[#This Row],[TEAM]]&amp;Matrix[[#Headers],[29]],FDR[FDR]&amp;FDR[[#Headers],[29]],FDR[29],"",0,1)</f>
        <v>1</v>
      </c>
      <c r="AP29" cm="1">
        <f t="array" ref="AP29">_xlfn.XLOOKUP(Matrix[[#This Row],[TEAM]]&amp;Matrix[[#Headers],[30]],FDR[FDR]&amp;FDR[[#Headers],[30]],FDR[30],"",0,1)</f>
        <v>4</v>
      </c>
      <c r="AQ29" cm="1">
        <f t="array" ref="AQ29">_xlfn.XLOOKUP(Matrix[[#This Row],[TEAM]]&amp;Matrix[[#Headers],[31]],FDR[FDR]&amp;FDR[[#Headers],[31]],FDR[31],"",0,1)</f>
        <v>1</v>
      </c>
      <c r="AR29" cm="1">
        <f t="array" ref="AR29">_xlfn.XLOOKUP(Matrix[[#This Row],[TEAM]]&amp;Matrix[[#Headers],[32]],FDR[FDR]&amp;FDR[[#Headers],[32]],FDR[32],"",0,1)</f>
        <v>1</v>
      </c>
      <c r="AS29" cm="1">
        <f t="array" ref="AS29">_xlfn.XLOOKUP(Matrix[[#This Row],[TEAM]]&amp;Matrix[[#Headers],[33]],FDR[FDR]&amp;FDR[[#Headers],[33]],FDR[33],"",0,1)</f>
        <v>1</v>
      </c>
      <c r="AT29" cm="1">
        <f t="array" ref="AT29">_xlfn.XLOOKUP(Matrix[[#This Row],[TEAM]]&amp;Matrix[[#Headers],[34]],FDR[FDR]&amp;FDR[[#Headers],[34]],FDR[34],"",0,1)</f>
        <v>1</v>
      </c>
      <c r="AU29" cm="1">
        <f t="array" ref="AU29">_xlfn.XLOOKUP(Matrix[[#This Row],[TEAM]]&amp;Matrix[[#Headers],[35]],FDR[FDR]&amp;FDR[[#Headers],[35]],FDR[35],"",0,1)</f>
        <v>3</v>
      </c>
      <c r="AV29" cm="1">
        <f t="array" ref="AV29">_xlfn.XLOOKUP(Matrix[[#This Row],[TEAM]]&amp;Matrix[[#Headers],[36]],FDR[FDR]&amp;FDR[[#Headers],[36]],FDR[36],"",0,1)</f>
        <v>1</v>
      </c>
      <c r="AW29" cm="1">
        <f t="array" ref="AW29">_xlfn.XLOOKUP(Matrix[[#This Row],[TEAM]]&amp;Matrix[[#Headers],[37]],FDR[FDR]&amp;FDR[[#Headers],[37]],FDR[37],"",0,1)</f>
        <v>4</v>
      </c>
      <c r="AX29" cm="1">
        <f t="array" ref="AX29">_xlfn.XLOOKUP(Matrix[[#This Row],[TEAM]]&amp;Matrix[[#Headers],[38]],FDR[FDR]&amp;FDR[[#Headers],[38]],FDR[38],"",0,1)</f>
        <v>1</v>
      </c>
    </row>
    <row r="30" spans="1:50" ht="22" thickTop="1" thickBot="1">
      <c r="A30" s="50" t="str">
        <f>INDEX!S$4</f>
        <v>MID</v>
      </c>
      <c r="B30" s="70" t="s">
        <v>1307</v>
      </c>
      <c r="C30" s="40" t="s">
        <v>20</v>
      </c>
      <c r="D30" s="62">
        <v>125</v>
      </c>
      <c r="E30" s="60">
        <v>1.4999999999999999E-2</v>
      </c>
      <c r="F30" s="61">
        <v>206.1</v>
      </c>
      <c r="G30" s="63">
        <v>7</v>
      </c>
      <c r="H30" s="261">
        <f>IF(ISBLANK(I30),0,1)</f>
        <v>0</v>
      </c>
      <c r="I30" s="57"/>
      <c r="J30" s="58"/>
      <c r="K30" s="59" t="s">
        <v>72</v>
      </c>
      <c r="L30" s="59" t="s">
        <v>60</v>
      </c>
      <c r="M30" cm="1">
        <f t="array" ref="M30">_xlfn.XLOOKUP(Matrix[[#This Row],[TEAM]]&amp;Matrix[[#Headers],[1]],FDR[FDR]&amp;FDR[[#Headers],[1]],FDR[1],"",0,1)</f>
        <v>3</v>
      </c>
      <c r="N30" cm="1">
        <f t="array" ref="N30">_xlfn.XLOOKUP(Matrix[[#This Row],[TEAM]]&amp;Matrix[[#Headers],[2]],FDR[FDR]&amp;FDR[[#Headers],[2]],FDR[2],"",0,1)</f>
        <v>1</v>
      </c>
      <c r="O30" cm="1">
        <f t="array" ref="O30">_xlfn.XLOOKUP(Matrix[[#This Row],[TEAM]]&amp;Matrix[[#Headers],[3]],FDR[FDR]&amp;FDR[[#Headers],[3]],FDR[3],"",0,1)</f>
        <v>4</v>
      </c>
      <c r="P30" cm="1">
        <f t="array" ref="P30">_xlfn.XLOOKUP(Matrix[[#This Row],[TEAM]]&amp;Matrix[[#Headers],[4]],FDR[FDR]&amp;FDR[[#Headers],[4]],FDR[4],"",0,1)</f>
        <v>1</v>
      </c>
      <c r="Q30" cm="1">
        <f t="array" ref="Q30">_xlfn.XLOOKUP(Matrix[[#This Row],[TEAM]]&amp;Matrix[[#Headers],[5]],FDR[FDR]&amp;FDR[[#Headers],[5]],FDR[5],"",0,1)</f>
        <v>3</v>
      </c>
      <c r="R30" cm="1">
        <f t="array" ref="R30">_xlfn.XLOOKUP(Matrix[[#This Row],[TEAM]]&amp;Matrix[[#Headers],[6]],FDR[FDR]&amp;FDR[[#Headers],[6]],FDR[6],"",0,1)</f>
        <v>3</v>
      </c>
      <c r="S30" cm="1">
        <f t="array" ref="S30">_xlfn.XLOOKUP(Matrix[[#This Row],[TEAM]]&amp;Matrix[[#Headers],[7]],FDR[FDR]&amp;FDR[[#Headers],[7]],FDR[7],"",0,1)</f>
        <v>1</v>
      </c>
      <c r="T30" cm="1">
        <f t="array" ref="T30">_xlfn.XLOOKUP(Matrix[[#This Row],[TEAM]]&amp;Matrix[[#Headers],[8]],FDR[FDR]&amp;FDR[[#Headers],[8]],FDR[8],"",0,1)</f>
        <v>2</v>
      </c>
      <c r="U30" cm="1">
        <f t="array" ref="U30">_xlfn.XLOOKUP(Matrix[[#This Row],[TEAM]]&amp;Matrix[[#Headers],[9]],FDR[FDR]&amp;FDR[[#Headers],[9]],FDR[9],"",0,1)</f>
        <v>1</v>
      </c>
      <c r="V30" cm="1">
        <f t="array" ref="V30">_xlfn.XLOOKUP(Matrix[[#This Row],[TEAM]]&amp;Matrix[[#Headers],[10]],FDR[FDR]&amp;FDR[[#Headers],[10]],FDR[10],"",0,1)</f>
        <v>1</v>
      </c>
      <c r="W30" cm="1">
        <f t="array" ref="W30">_xlfn.XLOOKUP(Matrix[[#This Row],[TEAM]]&amp;Matrix[[#Headers],[11]],FDR[FDR]&amp;FDR[[#Headers],[11]],FDR[11],"",0,1)</f>
        <v>1</v>
      </c>
      <c r="X30" cm="1">
        <f t="array" ref="X30">_xlfn.XLOOKUP(Matrix[[#This Row],[TEAM]]&amp;Matrix[[#Headers],[12]],FDR[FDR]&amp;FDR[[#Headers],[12]],FDR[12],"",0,1)</f>
        <v>2</v>
      </c>
      <c r="Y30" cm="1">
        <f t="array" ref="Y30">_xlfn.XLOOKUP(Matrix[[#This Row],[TEAM]]&amp;Matrix[[#Headers],[13]],FDR[FDR]&amp;FDR[[#Headers],[13]],FDR[13],"",0,1)</f>
        <v>3</v>
      </c>
      <c r="Z30" cm="1">
        <f t="array" ref="Z30">_xlfn.XLOOKUP(Matrix[[#This Row],[TEAM]]&amp;Matrix[[#Headers],[14]],FDR[FDR]&amp;FDR[[#Headers],[14]],FDR[14],"",0,1)</f>
        <v>1</v>
      </c>
      <c r="AA30" cm="1">
        <f t="array" ref="AA30">_xlfn.XLOOKUP(Matrix[[#This Row],[TEAM]]&amp;Matrix[[#Headers],[15]],FDR[FDR]&amp;FDR[[#Headers],[15]],FDR[15],"",0,1)</f>
        <v>3</v>
      </c>
      <c r="AB30" cm="1">
        <f t="array" ref="AB30">_xlfn.XLOOKUP(Matrix[[#This Row],[TEAM]]&amp;Matrix[[#Headers],[16]],FDR[FDR]&amp;FDR[[#Headers],[16]],FDR[16],"",0,1)</f>
        <v>1</v>
      </c>
      <c r="AC30" cm="1">
        <f t="array" ref="AC30">_xlfn.XLOOKUP(Matrix[[#This Row],[TEAM]]&amp;Matrix[[#Headers],[17]],FDR[FDR]&amp;FDR[[#Headers],[17]],FDR[17],"",0,1)</f>
        <v>2</v>
      </c>
      <c r="AD30" cm="1">
        <f t="array" ref="AD30">_xlfn.XLOOKUP(Matrix[[#This Row],[TEAM]]&amp;Matrix[[#Headers],[18]],FDR[FDR]&amp;FDR[[#Headers],[18]],FDR[18],"",0,1)</f>
        <v>1</v>
      </c>
      <c r="AE30" cm="1">
        <f t="array" ref="AE30">_xlfn.XLOOKUP(Matrix[[#This Row],[TEAM]]&amp;Matrix[[#Headers],[19]],FDR[FDR]&amp;FDR[[#Headers],[19]],FDR[19],"",0,1)</f>
        <v>2</v>
      </c>
      <c r="AF30" cm="1">
        <f t="array" ref="AF30">_xlfn.XLOOKUP(Matrix[[#This Row],[TEAM]]&amp;Matrix[[#Headers],[20]],FDR[FDR]&amp;FDR[[#Headers],[20]],FDR[20],"",0,1)</f>
        <v>2</v>
      </c>
      <c r="AG30" cm="1">
        <f t="array" ref="AG30">_xlfn.XLOOKUP(Matrix[[#This Row],[TEAM]]&amp;Matrix[[#Headers],[21]],FDR[FDR]&amp;FDR[[#Headers],[21]],FDR[21],"",0,1)</f>
        <v>3</v>
      </c>
      <c r="AH30" cm="1">
        <f t="array" ref="AH30">_xlfn.XLOOKUP(Matrix[[#This Row],[TEAM]]&amp;Matrix[[#Headers],[22]],FDR[FDR]&amp;FDR[[#Headers],[22]],FDR[22],"",0,1)</f>
        <v>2</v>
      </c>
      <c r="AI30" cm="1">
        <f t="array" ref="AI30">_xlfn.XLOOKUP(Matrix[[#This Row],[TEAM]]&amp;Matrix[[#Headers],[23]],FDR[FDR]&amp;FDR[[#Headers],[23]],FDR[23],"",0,1)</f>
        <v>2</v>
      </c>
      <c r="AJ30" cm="1">
        <f t="array" ref="AJ30">_xlfn.XLOOKUP(Matrix[[#This Row],[TEAM]]&amp;Matrix[[#Headers],[24]],FDR[FDR]&amp;FDR[[#Headers],[24]],FDR[24],"",0,1)</f>
        <v>1</v>
      </c>
      <c r="AK30" cm="1">
        <f t="array" ref="AK30">_xlfn.XLOOKUP(Matrix[[#This Row],[TEAM]]&amp;Matrix[[#Headers],[25]],FDR[FDR]&amp;FDR[[#Headers],[25]],FDR[25],"",0,1)</f>
        <v>1</v>
      </c>
      <c r="AL30" cm="1">
        <f t="array" ref="AL30">_xlfn.XLOOKUP(Matrix[[#This Row],[TEAM]]&amp;Matrix[[#Headers],[26]],FDR[FDR]&amp;FDR[[#Headers],[26]],FDR[26],"",0,1)</f>
        <v>2</v>
      </c>
      <c r="AM30" cm="1">
        <f t="array" ref="AM30">_xlfn.XLOOKUP(Matrix[[#This Row],[TEAM]]&amp;Matrix[[#Headers],[27]],FDR[FDR]&amp;FDR[[#Headers],[27]],FDR[27],"",0,1)</f>
        <v>3</v>
      </c>
      <c r="AN30" cm="1">
        <f t="array" ref="AN30">_xlfn.XLOOKUP(Matrix[[#This Row],[TEAM]]&amp;Matrix[[#Headers],[28]],FDR[FDR]&amp;FDR[[#Headers],[28]],FDR[28],"",0,1)</f>
        <v>2</v>
      </c>
      <c r="AO30" cm="1">
        <f t="array" ref="AO30">_xlfn.XLOOKUP(Matrix[[#This Row],[TEAM]]&amp;Matrix[[#Headers],[29]],FDR[FDR]&amp;FDR[[#Headers],[29]],FDR[29],"",0,1)</f>
        <v>2</v>
      </c>
      <c r="AP30" cm="1">
        <f t="array" ref="AP30">_xlfn.XLOOKUP(Matrix[[#This Row],[TEAM]]&amp;Matrix[[#Headers],[30]],FDR[FDR]&amp;FDR[[#Headers],[30]],FDR[30],"",0,1)</f>
        <v>1</v>
      </c>
      <c r="AQ30" cm="1">
        <f t="array" ref="AQ30">_xlfn.XLOOKUP(Matrix[[#This Row],[TEAM]]&amp;Matrix[[#Headers],[31]],FDR[FDR]&amp;FDR[[#Headers],[31]],FDR[31],"",0,1)</f>
        <v>1</v>
      </c>
      <c r="AR30" cm="1">
        <f t="array" ref="AR30">_xlfn.XLOOKUP(Matrix[[#This Row],[TEAM]]&amp;Matrix[[#Headers],[32]],FDR[FDR]&amp;FDR[[#Headers],[32]],FDR[32],"",0,1)</f>
        <v>1</v>
      </c>
      <c r="AS30" cm="1">
        <f t="array" ref="AS30">_xlfn.XLOOKUP(Matrix[[#This Row],[TEAM]]&amp;Matrix[[#Headers],[33]],FDR[FDR]&amp;FDR[[#Headers],[33]],FDR[33],"",0,1)</f>
        <v>3</v>
      </c>
      <c r="AT30" cm="1">
        <f t="array" ref="AT30">_xlfn.XLOOKUP(Matrix[[#This Row],[TEAM]]&amp;Matrix[[#Headers],[34]],FDR[FDR]&amp;FDR[[#Headers],[34]],FDR[34],"",0,1)</f>
        <v>2</v>
      </c>
      <c r="AU30" cm="1">
        <f t="array" ref="AU30">_xlfn.XLOOKUP(Matrix[[#This Row],[TEAM]]&amp;Matrix[[#Headers],[35]],FDR[FDR]&amp;FDR[[#Headers],[35]],FDR[35],"",0,1)</f>
        <v>1</v>
      </c>
      <c r="AV30" cm="1">
        <f t="array" ref="AV30">_xlfn.XLOOKUP(Matrix[[#This Row],[TEAM]]&amp;Matrix[[#Headers],[36]],FDR[FDR]&amp;FDR[[#Headers],[36]],FDR[36],"",0,1)</f>
        <v>2</v>
      </c>
      <c r="AW30" cm="1">
        <f t="array" ref="AW30">_xlfn.XLOOKUP(Matrix[[#This Row],[TEAM]]&amp;Matrix[[#Headers],[37]],FDR[FDR]&amp;FDR[[#Headers],[37]],FDR[37],"",0,1)</f>
        <v>1</v>
      </c>
      <c r="AX30" cm="1">
        <f t="array" ref="AX30">_xlfn.XLOOKUP(Matrix[[#This Row],[TEAM]]&amp;Matrix[[#Headers],[38]],FDR[FDR]&amp;FDR[[#Headers],[38]],FDR[38],"",0,1)</f>
        <v>2</v>
      </c>
    </row>
    <row r="31" spans="1:50" ht="22" thickTop="1" thickBot="1">
      <c r="A31" s="50" t="str">
        <f>INDEX!S$4</f>
        <v>MID</v>
      </c>
      <c r="B31" s="70" t="s">
        <v>1308</v>
      </c>
      <c r="C31" s="40" t="s">
        <v>20</v>
      </c>
      <c r="D31" s="62">
        <v>120</v>
      </c>
      <c r="E31" s="60">
        <v>1.4999999999999999E-2</v>
      </c>
      <c r="F31" s="61">
        <v>195.3</v>
      </c>
      <c r="G31" s="63">
        <v>7</v>
      </c>
      <c r="H31" s="261">
        <f>IF(ISBLANK(I31),0,1)</f>
        <v>0</v>
      </c>
      <c r="I31" s="57"/>
      <c r="J31" s="58"/>
      <c r="K31" s="59" t="s">
        <v>535</v>
      </c>
      <c r="L31" s="59" t="s">
        <v>221</v>
      </c>
      <c r="M31" cm="1">
        <f t="array" ref="M31">_xlfn.XLOOKUP(Matrix[[#This Row],[TEAM]]&amp;Matrix[[#Headers],[1]],FDR[FDR]&amp;FDR[[#Headers],[1]],FDR[1],"",0,1)</f>
        <v>3</v>
      </c>
      <c r="N31" cm="1">
        <f t="array" ref="N31">_xlfn.XLOOKUP(Matrix[[#This Row],[TEAM]]&amp;Matrix[[#Headers],[2]],FDR[FDR]&amp;FDR[[#Headers],[2]],FDR[2],"",0,1)</f>
        <v>1</v>
      </c>
      <c r="O31" cm="1">
        <f t="array" ref="O31">_xlfn.XLOOKUP(Matrix[[#This Row],[TEAM]]&amp;Matrix[[#Headers],[3]],FDR[FDR]&amp;FDR[[#Headers],[3]],FDR[3],"",0,1)</f>
        <v>4</v>
      </c>
      <c r="P31" cm="1">
        <f t="array" ref="P31">_xlfn.XLOOKUP(Matrix[[#This Row],[TEAM]]&amp;Matrix[[#Headers],[4]],FDR[FDR]&amp;FDR[[#Headers],[4]],FDR[4],"",0,1)</f>
        <v>1</v>
      </c>
      <c r="Q31" cm="1">
        <f t="array" ref="Q31">_xlfn.XLOOKUP(Matrix[[#This Row],[TEAM]]&amp;Matrix[[#Headers],[5]],FDR[FDR]&amp;FDR[[#Headers],[5]],FDR[5],"",0,1)</f>
        <v>3</v>
      </c>
      <c r="R31" cm="1">
        <f t="array" ref="R31">_xlfn.XLOOKUP(Matrix[[#This Row],[TEAM]]&amp;Matrix[[#Headers],[6]],FDR[FDR]&amp;FDR[[#Headers],[6]],FDR[6],"",0,1)</f>
        <v>3</v>
      </c>
      <c r="S31" cm="1">
        <f t="array" ref="S31">_xlfn.XLOOKUP(Matrix[[#This Row],[TEAM]]&amp;Matrix[[#Headers],[7]],FDR[FDR]&amp;FDR[[#Headers],[7]],FDR[7],"",0,1)</f>
        <v>1</v>
      </c>
      <c r="T31" cm="1">
        <f t="array" ref="T31">_xlfn.XLOOKUP(Matrix[[#This Row],[TEAM]]&amp;Matrix[[#Headers],[8]],FDR[FDR]&amp;FDR[[#Headers],[8]],FDR[8],"",0,1)</f>
        <v>2</v>
      </c>
      <c r="U31" cm="1">
        <f t="array" ref="U31">_xlfn.XLOOKUP(Matrix[[#This Row],[TEAM]]&amp;Matrix[[#Headers],[9]],FDR[FDR]&amp;FDR[[#Headers],[9]],FDR[9],"",0,1)</f>
        <v>1</v>
      </c>
      <c r="V31" cm="1">
        <f t="array" ref="V31">_xlfn.XLOOKUP(Matrix[[#This Row],[TEAM]]&amp;Matrix[[#Headers],[10]],FDR[FDR]&amp;FDR[[#Headers],[10]],FDR[10],"",0,1)</f>
        <v>1</v>
      </c>
      <c r="W31" cm="1">
        <f t="array" ref="W31">_xlfn.XLOOKUP(Matrix[[#This Row],[TEAM]]&amp;Matrix[[#Headers],[11]],FDR[FDR]&amp;FDR[[#Headers],[11]],FDR[11],"",0,1)</f>
        <v>1</v>
      </c>
      <c r="X31" cm="1">
        <f t="array" ref="X31">_xlfn.XLOOKUP(Matrix[[#This Row],[TEAM]]&amp;Matrix[[#Headers],[12]],FDR[FDR]&amp;FDR[[#Headers],[12]],FDR[12],"",0,1)</f>
        <v>2</v>
      </c>
      <c r="Y31" cm="1">
        <f t="array" ref="Y31">_xlfn.XLOOKUP(Matrix[[#This Row],[TEAM]]&amp;Matrix[[#Headers],[13]],FDR[FDR]&amp;FDR[[#Headers],[13]],FDR[13],"",0,1)</f>
        <v>3</v>
      </c>
      <c r="Z31" cm="1">
        <f t="array" ref="Z31">_xlfn.XLOOKUP(Matrix[[#This Row],[TEAM]]&amp;Matrix[[#Headers],[14]],FDR[FDR]&amp;FDR[[#Headers],[14]],FDR[14],"",0,1)</f>
        <v>1</v>
      </c>
      <c r="AA31" cm="1">
        <f t="array" ref="AA31">_xlfn.XLOOKUP(Matrix[[#This Row],[TEAM]]&amp;Matrix[[#Headers],[15]],FDR[FDR]&amp;FDR[[#Headers],[15]],FDR[15],"",0,1)</f>
        <v>3</v>
      </c>
      <c r="AB31" cm="1">
        <f t="array" ref="AB31">_xlfn.XLOOKUP(Matrix[[#This Row],[TEAM]]&amp;Matrix[[#Headers],[16]],FDR[FDR]&amp;FDR[[#Headers],[16]],FDR[16],"",0,1)</f>
        <v>1</v>
      </c>
      <c r="AC31" cm="1">
        <f t="array" ref="AC31">_xlfn.XLOOKUP(Matrix[[#This Row],[TEAM]]&amp;Matrix[[#Headers],[17]],FDR[FDR]&amp;FDR[[#Headers],[17]],FDR[17],"",0,1)</f>
        <v>2</v>
      </c>
      <c r="AD31" cm="1">
        <f t="array" ref="AD31">_xlfn.XLOOKUP(Matrix[[#This Row],[TEAM]]&amp;Matrix[[#Headers],[18]],FDR[FDR]&amp;FDR[[#Headers],[18]],FDR[18],"",0,1)</f>
        <v>1</v>
      </c>
      <c r="AE31" cm="1">
        <f t="array" ref="AE31">_xlfn.XLOOKUP(Matrix[[#This Row],[TEAM]]&amp;Matrix[[#Headers],[19]],FDR[FDR]&amp;FDR[[#Headers],[19]],FDR[19],"",0,1)</f>
        <v>2</v>
      </c>
      <c r="AF31" cm="1">
        <f t="array" ref="AF31">_xlfn.XLOOKUP(Matrix[[#This Row],[TEAM]]&amp;Matrix[[#Headers],[20]],FDR[FDR]&amp;FDR[[#Headers],[20]],FDR[20],"",0,1)</f>
        <v>2</v>
      </c>
      <c r="AG31" cm="1">
        <f t="array" ref="AG31">_xlfn.XLOOKUP(Matrix[[#This Row],[TEAM]]&amp;Matrix[[#Headers],[21]],FDR[FDR]&amp;FDR[[#Headers],[21]],FDR[21],"",0,1)</f>
        <v>3</v>
      </c>
      <c r="AH31" cm="1">
        <f t="array" ref="AH31">_xlfn.XLOOKUP(Matrix[[#This Row],[TEAM]]&amp;Matrix[[#Headers],[22]],FDR[FDR]&amp;FDR[[#Headers],[22]],FDR[22],"",0,1)</f>
        <v>2</v>
      </c>
      <c r="AI31" cm="1">
        <f t="array" ref="AI31">_xlfn.XLOOKUP(Matrix[[#This Row],[TEAM]]&amp;Matrix[[#Headers],[23]],FDR[FDR]&amp;FDR[[#Headers],[23]],FDR[23],"",0,1)</f>
        <v>2</v>
      </c>
      <c r="AJ31" cm="1">
        <f t="array" ref="AJ31">_xlfn.XLOOKUP(Matrix[[#This Row],[TEAM]]&amp;Matrix[[#Headers],[24]],FDR[FDR]&amp;FDR[[#Headers],[24]],FDR[24],"",0,1)</f>
        <v>1</v>
      </c>
      <c r="AK31" cm="1">
        <f t="array" ref="AK31">_xlfn.XLOOKUP(Matrix[[#This Row],[TEAM]]&amp;Matrix[[#Headers],[25]],FDR[FDR]&amp;FDR[[#Headers],[25]],FDR[25],"",0,1)</f>
        <v>1</v>
      </c>
      <c r="AL31" cm="1">
        <f t="array" ref="AL31">_xlfn.XLOOKUP(Matrix[[#This Row],[TEAM]]&amp;Matrix[[#Headers],[26]],FDR[FDR]&amp;FDR[[#Headers],[26]],FDR[26],"",0,1)</f>
        <v>2</v>
      </c>
      <c r="AM31" cm="1">
        <f t="array" ref="AM31">_xlfn.XLOOKUP(Matrix[[#This Row],[TEAM]]&amp;Matrix[[#Headers],[27]],FDR[FDR]&amp;FDR[[#Headers],[27]],FDR[27],"",0,1)</f>
        <v>3</v>
      </c>
      <c r="AN31" cm="1">
        <f t="array" ref="AN31">_xlfn.XLOOKUP(Matrix[[#This Row],[TEAM]]&amp;Matrix[[#Headers],[28]],FDR[FDR]&amp;FDR[[#Headers],[28]],FDR[28],"",0,1)</f>
        <v>2</v>
      </c>
      <c r="AO31" cm="1">
        <f t="array" ref="AO31">_xlfn.XLOOKUP(Matrix[[#This Row],[TEAM]]&amp;Matrix[[#Headers],[29]],FDR[FDR]&amp;FDR[[#Headers],[29]],FDR[29],"",0,1)</f>
        <v>2</v>
      </c>
      <c r="AP31" cm="1">
        <f t="array" ref="AP31">_xlfn.XLOOKUP(Matrix[[#This Row],[TEAM]]&amp;Matrix[[#Headers],[30]],FDR[FDR]&amp;FDR[[#Headers],[30]],FDR[30],"",0,1)</f>
        <v>1</v>
      </c>
      <c r="AQ31" cm="1">
        <f t="array" ref="AQ31">_xlfn.XLOOKUP(Matrix[[#This Row],[TEAM]]&amp;Matrix[[#Headers],[31]],FDR[FDR]&amp;FDR[[#Headers],[31]],FDR[31],"",0,1)</f>
        <v>1</v>
      </c>
      <c r="AR31" cm="1">
        <f t="array" ref="AR31">_xlfn.XLOOKUP(Matrix[[#This Row],[TEAM]]&amp;Matrix[[#Headers],[32]],FDR[FDR]&amp;FDR[[#Headers],[32]],FDR[32],"",0,1)</f>
        <v>1</v>
      </c>
      <c r="AS31" cm="1">
        <f t="array" ref="AS31">_xlfn.XLOOKUP(Matrix[[#This Row],[TEAM]]&amp;Matrix[[#Headers],[33]],FDR[FDR]&amp;FDR[[#Headers],[33]],FDR[33],"",0,1)</f>
        <v>3</v>
      </c>
      <c r="AT31" cm="1">
        <f t="array" ref="AT31">_xlfn.XLOOKUP(Matrix[[#This Row],[TEAM]]&amp;Matrix[[#Headers],[34]],FDR[FDR]&amp;FDR[[#Headers],[34]],FDR[34],"",0,1)</f>
        <v>2</v>
      </c>
      <c r="AU31" cm="1">
        <f t="array" ref="AU31">_xlfn.XLOOKUP(Matrix[[#This Row],[TEAM]]&amp;Matrix[[#Headers],[35]],FDR[FDR]&amp;FDR[[#Headers],[35]],FDR[35],"",0,1)</f>
        <v>1</v>
      </c>
      <c r="AV31" cm="1">
        <f t="array" ref="AV31">_xlfn.XLOOKUP(Matrix[[#This Row],[TEAM]]&amp;Matrix[[#Headers],[36]],FDR[FDR]&amp;FDR[[#Headers],[36]],FDR[36],"",0,1)</f>
        <v>2</v>
      </c>
      <c r="AW31" cm="1">
        <f t="array" ref="AW31">_xlfn.XLOOKUP(Matrix[[#This Row],[TEAM]]&amp;Matrix[[#Headers],[37]],FDR[FDR]&amp;FDR[[#Headers],[37]],FDR[37],"",0,1)</f>
        <v>1</v>
      </c>
      <c r="AX31" cm="1">
        <f t="array" ref="AX31">_xlfn.XLOOKUP(Matrix[[#This Row],[TEAM]]&amp;Matrix[[#Headers],[38]],FDR[FDR]&amp;FDR[[#Headers],[38]],FDR[38],"",0,1)</f>
        <v>2</v>
      </c>
    </row>
    <row r="32" spans="1:50" ht="22" thickTop="1" thickBot="1">
      <c r="A32" s="50" t="str">
        <f>INDEX!S$4</f>
        <v>MID</v>
      </c>
      <c r="B32" s="70" t="s">
        <v>1302</v>
      </c>
      <c r="C32" s="40" t="s">
        <v>18</v>
      </c>
      <c r="D32" s="62">
        <v>104</v>
      </c>
      <c r="E32" s="60">
        <v>4.1000000000000002E-2</v>
      </c>
      <c r="F32" s="61">
        <v>180</v>
      </c>
      <c r="G32" s="63">
        <v>7</v>
      </c>
      <c r="H32" s="261">
        <f>IF(ISBLANK(I32),0,1)</f>
        <v>0</v>
      </c>
      <c r="I32" s="57"/>
      <c r="J32" s="58"/>
      <c r="K32" s="59" t="s">
        <v>486</v>
      </c>
      <c r="L32" s="59" t="s">
        <v>81</v>
      </c>
      <c r="M32" cm="1">
        <f t="array" ref="M32">_xlfn.XLOOKUP(Matrix[[#This Row],[TEAM]]&amp;Matrix[[#Headers],[1]],FDR[FDR]&amp;FDR[[#Headers],[1]],FDR[1],"",0,1)</f>
        <v>1</v>
      </c>
      <c r="N32" cm="1">
        <f t="array" ref="N32">_xlfn.XLOOKUP(Matrix[[#This Row],[TEAM]]&amp;Matrix[[#Headers],[2]],FDR[FDR]&amp;FDR[[#Headers],[2]],FDR[2],"",0,1)</f>
        <v>2</v>
      </c>
      <c r="O32" cm="1">
        <f t="array" ref="O32">_xlfn.XLOOKUP(Matrix[[#This Row],[TEAM]]&amp;Matrix[[#Headers],[3]],FDR[FDR]&amp;FDR[[#Headers],[3]],FDR[3],"",0,1)</f>
        <v>1</v>
      </c>
      <c r="P32" cm="1">
        <f t="array" ref="P32">_xlfn.XLOOKUP(Matrix[[#This Row],[TEAM]]&amp;Matrix[[#Headers],[4]],FDR[FDR]&amp;FDR[[#Headers],[4]],FDR[4],"",0,1)</f>
        <v>2</v>
      </c>
      <c r="Q32" cm="1">
        <f t="array" ref="Q32">_xlfn.XLOOKUP(Matrix[[#This Row],[TEAM]]&amp;Matrix[[#Headers],[5]],FDR[FDR]&amp;FDR[[#Headers],[5]],FDR[5],"",0,1)</f>
        <v>3</v>
      </c>
      <c r="R32" cm="1">
        <f t="array" ref="R32">_xlfn.XLOOKUP(Matrix[[#This Row],[TEAM]]&amp;Matrix[[#Headers],[6]],FDR[FDR]&amp;FDR[[#Headers],[6]],FDR[6],"",0,1)</f>
        <v>1</v>
      </c>
      <c r="S32" cm="1">
        <f t="array" ref="S32">_xlfn.XLOOKUP(Matrix[[#This Row],[TEAM]]&amp;Matrix[[#Headers],[7]],FDR[FDR]&amp;FDR[[#Headers],[7]],FDR[7],"",0,1)</f>
        <v>3</v>
      </c>
      <c r="T32" cm="1">
        <f t="array" ref="T32">_xlfn.XLOOKUP(Matrix[[#This Row],[TEAM]]&amp;Matrix[[#Headers],[8]],FDR[FDR]&amp;FDR[[#Headers],[8]],FDR[8],"",0,1)</f>
        <v>2</v>
      </c>
      <c r="U32" cm="1">
        <f t="array" ref="U32">_xlfn.XLOOKUP(Matrix[[#This Row],[TEAM]]&amp;Matrix[[#Headers],[9]],FDR[FDR]&amp;FDR[[#Headers],[9]],FDR[9],"",0,1)</f>
        <v>1</v>
      </c>
      <c r="V32" cm="1">
        <f t="array" ref="V32">_xlfn.XLOOKUP(Matrix[[#This Row],[TEAM]]&amp;Matrix[[#Headers],[10]],FDR[FDR]&amp;FDR[[#Headers],[10]],FDR[10],"",0,1)</f>
        <v>3</v>
      </c>
      <c r="W32" cm="1">
        <f t="array" ref="W32">_xlfn.XLOOKUP(Matrix[[#This Row],[TEAM]]&amp;Matrix[[#Headers],[11]],FDR[FDR]&amp;FDR[[#Headers],[11]],FDR[11],"",0,1)</f>
        <v>1</v>
      </c>
      <c r="X32" cm="1">
        <f t="array" ref="X32">_xlfn.XLOOKUP(Matrix[[#This Row],[TEAM]]&amp;Matrix[[#Headers],[12]],FDR[FDR]&amp;FDR[[#Headers],[12]],FDR[12],"",0,1)</f>
        <v>1</v>
      </c>
      <c r="Y32" cm="1">
        <f t="array" ref="Y32">_xlfn.XLOOKUP(Matrix[[#This Row],[TEAM]]&amp;Matrix[[#Headers],[13]],FDR[FDR]&amp;FDR[[#Headers],[13]],FDR[13],"",0,1)</f>
        <v>3</v>
      </c>
      <c r="Z32" cm="1">
        <f t="array" ref="Z32">_xlfn.XLOOKUP(Matrix[[#This Row],[TEAM]]&amp;Matrix[[#Headers],[14]],FDR[FDR]&amp;FDR[[#Headers],[14]],FDR[14],"",0,1)</f>
        <v>1</v>
      </c>
      <c r="AA32" cm="1">
        <f t="array" ref="AA32">_xlfn.XLOOKUP(Matrix[[#This Row],[TEAM]]&amp;Matrix[[#Headers],[15]],FDR[FDR]&amp;FDR[[#Headers],[15]],FDR[15],"",0,1)</f>
        <v>2</v>
      </c>
      <c r="AB32" cm="1">
        <f t="array" ref="AB32">_xlfn.XLOOKUP(Matrix[[#This Row],[TEAM]]&amp;Matrix[[#Headers],[16]],FDR[FDR]&amp;FDR[[#Headers],[16]],FDR[16],"",0,1)</f>
        <v>1</v>
      </c>
      <c r="AC32" cm="1">
        <f t="array" ref="AC32">_xlfn.XLOOKUP(Matrix[[#This Row],[TEAM]]&amp;Matrix[[#Headers],[17]],FDR[FDR]&amp;FDR[[#Headers],[17]],FDR[17],"",0,1)</f>
        <v>3</v>
      </c>
      <c r="AD32" cm="1">
        <f t="array" ref="AD32">_xlfn.XLOOKUP(Matrix[[#This Row],[TEAM]]&amp;Matrix[[#Headers],[18]],FDR[FDR]&amp;FDR[[#Headers],[18]],FDR[18],"",0,1)</f>
        <v>2</v>
      </c>
      <c r="AE32" cm="1">
        <f t="array" ref="AE32">_xlfn.XLOOKUP(Matrix[[#This Row],[TEAM]]&amp;Matrix[[#Headers],[19]],FDR[FDR]&amp;FDR[[#Headers],[19]],FDR[19],"",0,1)</f>
        <v>1</v>
      </c>
      <c r="AF32" cm="1">
        <f t="array" ref="AF32">_xlfn.XLOOKUP(Matrix[[#This Row],[TEAM]]&amp;Matrix[[#Headers],[20]],FDR[FDR]&amp;FDR[[#Headers],[20]],FDR[20],"",0,1)</f>
        <v>4</v>
      </c>
      <c r="AG32" cm="1">
        <f t="array" ref="AG32">_xlfn.XLOOKUP(Matrix[[#This Row],[TEAM]]&amp;Matrix[[#Headers],[21]],FDR[FDR]&amp;FDR[[#Headers],[21]],FDR[21],"",0,1)</f>
        <v>2</v>
      </c>
      <c r="AH32" cm="1">
        <f t="array" ref="AH32">_xlfn.XLOOKUP(Matrix[[#This Row],[TEAM]]&amp;Matrix[[#Headers],[22]],FDR[FDR]&amp;FDR[[#Headers],[22]],FDR[22],"",0,1)</f>
        <v>1</v>
      </c>
      <c r="AI32" cm="1">
        <f t="array" ref="AI32">_xlfn.XLOOKUP(Matrix[[#This Row],[TEAM]]&amp;Matrix[[#Headers],[23]],FDR[FDR]&amp;FDR[[#Headers],[23]],FDR[23],"",0,1)</f>
        <v>2</v>
      </c>
      <c r="AJ32" cm="1">
        <f t="array" ref="AJ32">_xlfn.XLOOKUP(Matrix[[#This Row],[TEAM]]&amp;Matrix[[#Headers],[24]],FDR[FDR]&amp;FDR[[#Headers],[24]],FDR[24],"",0,1)</f>
        <v>1</v>
      </c>
      <c r="AK32" cm="1">
        <f t="array" ref="AK32">_xlfn.XLOOKUP(Matrix[[#This Row],[TEAM]]&amp;Matrix[[#Headers],[25]],FDR[FDR]&amp;FDR[[#Headers],[25]],FDR[25],"",0,1)</f>
        <v>1</v>
      </c>
      <c r="AL32" cm="1">
        <f t="array" ref="AL32">_xlfn.XLOOKUP(Matrix[[#This Row],[TEAM]]&amp;Matrix[[#Headers],[26]],FDR[FDR]&amp;FDR[[#Headers],[26]],FDR[26],"",0,1)</f>
        <v>1</v>
      </c>
      <c r="AM32" cm="1">
        <f t="array" ref="AM32">_xlfn.XLOOKUP(Matrix[[#This Row],[TEAM]]&amp;Matrix[[#Headers],[27]],FDR[FDR]&amp;FDR[[#Headers],[27]],FDR[27],"",0,1)</f>
        <v>1</v>
      </c>
      <c r="AN32" cm="1">
        <f t="array" ref="AN32">_xlfn.XLOOKUP(Matrix[[#This Row],[TEAM]]&amp;Matrix[[#Headers],[28]],FDR[FDR]&amp;FDR[[#Headers],[28]],FDR[28],"",0,1)</f>
        <v>4</v>
      </c>
      <c r="AO32" cm="1">
        <f t="array" ref="AO32">_xlfn.XLOOKUP(Matrix[[#This Row],[TEAM]]&amp;Matrix[[#Headers],[29]],FDR[FDR]&amp;FDR[[#Headers],[29]],FDR[29],"",0,1)</f>
        <v>3</v>
      </c>
      <c r="AP32" cm="1">
        <f t="array" ref="AP32">_xlfn.XLOOKUP(Matrix[[#This Row],[TEAM]]&amp;Matrix[[#Headers],[30]],FDR[FDR]&amp;FDR[[#Headers],[30]],FDR[30],"",0,1)</f>
        <v>2</v>
      </c>
      <c r="AQ32" cm="1">
        <f t="array" ref="AQ32">_xlfn.XLOOKUP(Matrix[[#This Row],[TEAM]]&amp;Matrix[[#Headers],[31]],FDR[FDR]&amp;FDR[[#Headers],[31]],FDR[31],"",0,1)</f>
        <v>2</v>
      </c>
      <c r="AR32" cm="1">
        <f t="array" ref="AR32">_xlfn.XLOOKUP(Matrix[[#This Row],[TEAM]]&amp;Matrix[[#Headers],[32]],FDR[FDR]&amp;FDR[[#Headers],[32]],FDR[32],"",0,1)</f>
        <v>3</v>
      </c>
      <c r="AS32" cm="1">
        <f t="array" ref="AS32">_xlfn.XLOOKUP(Matrix[[#This Row],[TEAM]]&amp;Matrix[[#Headers],[33]],FDR[FDR]&amp;FDR[[#Headers],[33]],FDR[33],"",0,1)</f>
        <v>2</v>
      </c>
      <c r="AT32" cm="1">
        <f t="array" ref="AT32">_xlfn.XLOOKUP(Matrix[[#This Row],[TEAM]]&amp;Matrix[[#Headers],[34]],FDR[FDR]&amp;FDR[[#Headers],[34]],FDR[34],"",0,1)</f>
        <v>2</v>
      </c>
      <c r="AU32" cm="1">
        <f t="array" ref="AU32">_xlfn.XLOOKUP(Matrix[[#This Row],[TEAM]]&amp;Matrix[[#Headers],[35]],FDR[FDR]&amp;FDR[[#Headers],[35]],FDR[35],"",0,1)</f>
        <v>1</v>
      </c>
      <c r="AV32" cm="1">
        <f t="array" ref="AV32">_xlfn.XLOOKUP(Matrix[[#This Row],[TEAM]]&amp;Matrix[[#Headers],[36]],FDR[FDR]&amp;FDR[[#Headers],[36]],FDR[36],"",0,1)</f>
        <v>4</v>
      </c>
      <c r="AW32" cm="1">
        <f t="array" ref="AW32">_xlfn.XLOOKUP(Matrix[[#This Row],[TEAM]]&amp;Matrix[[#Headers],[37]],FDR[FDR]&amp;FDR[[#Headers],[37]],FDR[37],"",0,1)</f>
        <v>2</v>
      </c>
      <c r="AX32" cm="1">
        <f t="array" ref="AX32">_xlfn.XLOOKUP(Matrix[[#This Row],[TEAM]]&amp;Matrix[[#Headers],[38]],FDR[FDR]&amp;FDR[[#Headers],[38]],FDR[38],"",0,1)</f>
        <v>1</v>
      </c>
    </row>
    <row r="33" spans="1:50" ht="22" thickTop="1" thickBot="1">
      <c r="A33" s="49" t="str">
        <f>INDEX!S$5</f>
        <v>FWD</v>
      </c>
      <c r="B33" s="70" t="s">
        <v>1305</v>
      </c>
      <c r="C33" s="40" t="s">
        <v>43</v>
      </c>
      <c r="D33" s="62">
        <v>128</v>
      </c>
      <c r="E33" s="60">
        <v>2.3E-2</v>
      </c>
      <c r="F33" s="61">
        <v>174.8</v>
      </c>
      <c r="G33" s="63">
        <v>7</v>
      </c>
      <c r="H33" s="261">
        <f>IF(ISBLANK(I33),0,1)</f>
        <v>0</v>
      </c>
      <c r="I33" s="57"/>
      <c r="J33" s="58"/>
      <c r="K33" s="64" t="s">
        <v>618</v>
      </c>
      <c r="L33" s="64" t="s">
        <v>721</v>
      </c>
      <c r="M33" cm="1">
        <f t="array" ref="M33">_xlfn.XLOOKUP(Matrix[[#This Row],[TEAM]]&amp;Matrix[[#Headers],[1]],FDR[FDR]&amp;FDR[[#Headers],[1]],FDR[1],"",0,1)</f>
        <v>5</v>
      </c>
      <c r="N33" cm="1">
        <f t="array" ref="N33">_xlfn.XLOOKUP(Matrix[[#This Row],[TEAM]]&amp;Matrix[[#Headers],[2]],FDR[FDR]&amp;FDR[[#Headers],[2]],FDR[2],"",0,1)</f>
        <v>1</v>
      </c>
      <c r="O33" cm="1">
        <f t="array" ref="O33">_xlfn.XLOOKUP(Matrix[[#This Row],[TEAM]]&amp;Matrix[[#Headers],[3]],FDR[FDR]&amp;FDR[[#Headers],[3]],FDR[3],"",0,1)</f>
        <v>5</v>
      </c>
      <c r="P33" cm="1">
        <f t="array" ref="P33">_xlfn.XLOOKUP(Matrix[[#This Row],[TEAM]]&amp;Matrix[[#Headers],[4]],FDR[FDR]&amp;FDR[[#Headers],[4]],FDR[4],"",0,1)</f>
        <v>3</v>
      </c>
      <c r="Q33" cm="1">
        <f t="array" ref="Q33">_xlfn.XLOOKUP(Matrix[[#This Row],[TEAM]]&amp;Matrix[[#Headers],[5]],FDR[FDR]&amp;FDR[[#Headers],[5]],FDR[5],"",0,1)</f>
        <v>4</v>
      </c>
      <c r="R33" cm="1">
        <f t="array" ref="R33">_xlfn.XLOOKUP(Matrix[[#This Row],[TEAM]]&amp;Matrix[[#Headers],[6]],FDR[FDR]&amp;FDR[[#Headers],[6]],FDR[6],"",0,1)</f>
        <v>2</v>
      </c>
      <c r="S33" cm="1">
        <f t="array" ref="S33">_xlfn.XLOOKUP(Matrix[[#This Row],[TEAM]]&amp;Matrix[[#Headers],[7]],FDR[FDR]&amp;FDR[[#Headers],[7]],FDR[7],"",0,1)</f>
        <v>3</v>
      </c>
      <c r="T33" cm="1">
        <f t="array" ref="T33">_xlfn.XLOOKUP(Matrix[[#This Row],[TEAM]]&amp;Matrix[[#Headers],[8]],FDR[FDR]&amp;FDR[[#Headers],[8]],FDR[8],"",0,1)</f>
        <v>3</v>
      </c>
      <c r="U33" cm="1">
        <f t="array" ref="U33">_xlfn.XLOOKUP(Matrix[[#This Row],[TEAM]]&amp;Matrix[[#Headers],[9]],FDR[FDR]&amp;FDR[[#Headers],[9]],FDR[9],"",0,1)</f>
        <v>3</v>
      </c>
      <c r="V33" cm="1">
        <f t="array" ref="V33">_xlfn.XLOOKUP(Matrix[[#This Row],[TEAM]]&amp;Matrix[[#Headers],[10]],FDR[FDR]&amp;FDR[[#Headers],[10]],FDR[10],"",0,1)</f>
        <v>5</v>
      </c>
      <c r="W33" cm="1">
        <f t="array" ref="W33">_xlfn.XLOOKUP(Matrix[[#This Row],[TEAM]]&amp;Matrix[[#Headers],[11]],FDR[FDR]&amp;FDR[[#Headers],[11]],FDR[11],"",0,1)</f>
        <v>5</v>
      </c>
      <c r="X33" cm="1">
        <f t="array" ref="X33">_xlfn.XLOOKUP(Matrix[[#This Row],[TEAM]]&amp;Matrix[[#Headers],[12]],FDR[FDR]&amp;FDR[[#Headers],[12]],FDR[12],"",0,1)</f>
        <v>2</v>
      </c>
      <c r="Y33" cm="1">
        <f t="array" ref="Y33">_xlfn.XLOOKUP(Matrix[[#This Row],[TEAM]]&amp;Matrix[[#Headers],[13]],FDR[FDR]&amp;FDR[[#Headers],[13]],FDR[13],"",0,1)</f>
        <v>2</v>
      </c>
      <c r="Z33" cm="1">
        <f t="array" ref="Z33">_xlfn.XLOOKUP(Matrix[[#This Row],[TEAM]]&amp;Matrix[[#Headers],[14]],FDR[FDR]&amp;FDR[[#Headers],[14]],FDR[14],"",0,1)</f>
        <v>2</v>
      </c>
      <c r="AA33" cm="1">
        <f t="array" ref="AA33">_xlfn.XLOOKUP(Matrix[[#This Row],[TEAM]]&amp;Matrix[[#Headers],[15]],FDR[FDR]&amp;FDR[[#Headers],[15]],FDR[15],"",0,1)</f>
        <v>4</v>
      </c>
      <c r="AB33" cm="1">
        <f t="array" ref="AB33">_xlfn.XLOOKUP(Matrix[[#This Row],[TEAM]]&amp;Matrix[[#Headers],[16]],FDR[FDR]&amp;FDR[[#Headers],[16]],FDR[16],"",0,1)</f>
        <v>5</v>
      </c>
      <c r="AC33" cm="1">
        <f t="array" ref="AC33">_xlfn.XLOOKUP(Matrix[[#This Row],[TEAM]]&amp;Matrix[[#Headers],[17]],FDR[FDR]&amp;FDR[[#Headers],[17]],FDR[17],"",0,1)</f>
        <v>1</v>
      </c>
      <c r="AD33" cm="1">
        <f t="array" ref="AD33">_xlfn.XLOOKUP(Matrix[[#This Row],[TEAM]]&amp;Matrix[[#Headers],[18]],FDR[FDR]&amp;FDR[[#Headers],[18]],FDR[18],"",0,1)</f>
        <v>3</v>
      </c>
      <c r="AE33" cm="1">
        <f t="array" ref="AE33">_xlfn.XLOOKUP(Matrix[[#This Row],[TEAM]]&amp;Matrix[[#Headers],[19]],FDR[FDR]&amp;FDR[[#Headers],[19]],FDR[19],"",0,1)</f>
        <v>5</v>
      </c>
      <c r="AF33" cm="1">
        <f t="array" ref="AF33">_xlfn.XLOOKUP(Matrix[[#This Row],[TEAM]]&amp;Matrix[[#Headers],[20]],FDR[FDR]&amp;FDR[[#Headers],[20]],FDR[20],"",0,1)</f>
        <v>4</v>
      </c>
      <c r="AG33" cm="1">
        <f t="array" ref="AG33">_xlfn.XLOOKUP(Matrix[[#This Row],[TEAM]]&amp;Matrix[[#Headers],[21]],FDR[FDR]&amp;FDR[[#Headers],[21]],FDR[21],"",0,1)</f>
        <v>4</v>
      </c>
      <c r="AH33" cm="1">
        <f t="array" ref="AH33">_xlfn.XLOOKUP(Matrix[[#This Row],[TEAM]]&amp;Matrix[[#Headers],[22]],FDR[FDR]&amp;FDR[[#Headers],[22]],FDR[22],"",0,1)</f>
        <v>4</v>
      </c>
      <c r="AI33" cm="1">
        <f t="array" ref="AI33">_xlfn.XLOOKUP(Matrix[[#This Row],[TEAM]]&amp;Matrix[[#Headers],[23]],FDR[FDR]&amp;FDR[[#Headers],[23]],FDR[23],"",0,1)</f>
        <v>4</v>
      </c>
      <c r="AJ33" cm="1">
        <f t="array" ref="AJ33">_xlfn.XLOOKUP(Matrix[[#This Row],[TEAM]]&amp;Matrix[[#Headers],[24]],FDR[FDR]&amp;FDR[[#Headers],[24]],FDR[24],"",0,1)</f>
        <v>2</v>
      </c>
      <c r="AK33" cm="1">
        <f t="array" ref="AK33">_xlfn.XLOOKUP(Matrix[[#This Row],[TEAM]]&amp;Matrix[[#Headers],[25]],FDR[FDR]&amp;FDR[[#Headers],[25]],FDR[25],"",0,1)</f>
        <v>3</v>
      </c>
      <c r="AL33" cm="1">
        <f t="array" ref="AL33">_xlfn.XLOOKUP(Matrix[[#This Row],[TEAM]]&amp;Matrix[[#Headers],[26]],FDR[FDR]&amp;FDR[[#Headers],[26]],FDR[26],"",0,1)</f>
        <v>3</v>
      </c>
      <c r="AM33" cm="1">
        <f t="array" ref="AM33">_xlfn.XLOOKUP(Matrix[[#This Row],[TEAM]]&amp;Matrix[[#Headers],[27]],FDR[FDR]&amp;FDR[[#Headers],[27]],FDR[27],"",0,1)</f>
        <v>3</v>
      </c>
      <c r="AN33" cm="1">
        <f t="array" ref="AN33">_xlfn.XLOOKUP(Matrix[[#This Row],[TEAM]]&amp;Matrix[[#Headers],[28]],FDR[FDR]&amp;FDR[[#Headers],[28]],FDR[28],"",0,1)</f>
        <v>1</v>
      </c>
      <c r="AO33" cm="1">
        <f t="array" ref="AO33">_xlfn.XLOOKUP(Matrix[[#This Row],[TEAM]]&amp;Matrix[[#Headers],[29]],FDR[FDR]&amp;FDR[[#Headers],[29]],FDR[29],"",0,1)</f>
        <v>2</v>
      </c>
      <c r="AP33" cm="1">
        <f t="array" ref="AP33">_xlfn.XLOOKUP(Matrix[[#This Row],[TEAM]]&amp;Matrix[[#Headers],[30]],FDR[FDR]&amp;FDR[[#Headers],[30]],FDR[30],"",0,1)</f>
        <v>2</v>
      </c>
      <c r="AQ33" cm="1">
        <f t="array" ref="AQ33">_xlfn.XLOOKUP(Matrix[[#This Row],[TEAM]]&amp;Matrix[[#Headers],[31]],FDR[FDR]&amp;FDR[[#Headers],[31]],FDR[31],"",0,1)</f>
        <v>4</v>
      </c>
      <c r="AR33" cm="1">
        <f t="array" ref="AR33">_xlfn.XLOOKUP(Matrix[[#This Row],[TEAM]]&amp;Matrix[[#Headers],[32]],FDR[FDR]&amp;FDR[[#Headers],[32]],FDR[32],"",0,1)</f>
        <v>5</v>
      </c>
      <c r="AS33" cm="1">
        <f t="array" ref="AS33">_xlfn.XLOOKUP(Matrix[[#This Row],[TEAM]]&amp;Matrix[[#Headers],[33]],FDR[FDR]&amp;FDR[[#Headers],[33]],FDR[33],"",0,1)</f>
        <v>5</v>
      </c>
      <c r="AT33" cm="1">
        <f t="array" ref="AT33">_xlfn.XLOOKUP(Matrix[[#This Row],[TEAM]]&amp;Matrix[[#Headers],[34]],FDR[FDR]&amp;FDR[[#Headers],[34]],FDR[34],"",0,1)</f>
        <v>1</v>
      </c>
      <c r="AU33" cm="1">
        <f t="array" ref="AU33">_xlfn.XLOOKUP(Matrix[[#This Row],[TEAM]]&amp;Matrix[[#Headers],[35]],FDR[FDR]&amp;FDR[[#Headers],[35]],FDR[35],"",0,1)</f>
        <v>2</v>
      </c>
      <c r="AV33" cm="1">
        <f t="array" ref="AV33">_xlfn.XLOOKUP(Matrix[[#This Row],[TEAM]]&amp;Matrix[[#Headers],[36]],FDR[FDR]&amp;FDR[[#Headers],[36]],FDR[36],"",0,1)</f>
        <v>4</v>
      </c>
      <c r="AW33" cm="1">
        <f t="array" ref="AW33">_xlfn.XLOOKUP(Matrix[[#This Row],[TEAM]]&amp;Matrix[[#Headers],[37]],FDR[FDR]&amp;FDR[[#Headers],[37]],FDR[37],"",0,1)</f>
        <v>4</v>
      </c>
      <c r="AX33" cm="1">
        <f t="array" ref="AX33">_xlfn.XLOOKUP(Matrix[[#This Row],[TEAM]]&amp;Matrix[[#Headers],[38]],FDR[FDR]&amp;FDR[[#Headers],[38]],FDR[38],"",0,1)</f>
        <v>4</v>
      </c>
    </row>
    <row r="34" spans="1:50" ht="22" thickTop="1" thickBot="1">
      <c r="A34" s="50" t="str">
        <f>INDEX!S$4</f>
        <v>MID</v>
      </c>
      <c r="B34" s="70" t="s">
        <v>1312</v>
      </c>
      <c r="C34" s="40" t="s">
        <v>19</v>
      </c>
      <c r="D34" s="62">
        <v>106</v>
      </c>
      <c r="E34" s="60">
        <v>0.23799999999999999</v>
      </c>
      <c r="F34" s="61">
        <v>177.5</v>
      </c>
      <c r="G34" s="63">
        <v>6.6</v>
      </c>
      <c r="H34" s="261">
        <f>IF(ISBLANK(I34),0,1)</f>
        <v>0</v>
      </c>
      <c r="I34" s="57"/>
      <c r="J34" s="58"/>
      <c r="K34" s="59" t="s">
        <v>352</v>
      </c>
      <c r="L34" s="59" t="s">
        <v>738</v>
      </c>
      <c r="M34" cm="1">
        <f t="array" ref="M34">_xlfn.XLOOKUP(Matrix[[#This Row],[TEAM]]&amp;Matrix[[#Headers],[1]],FDR[FDR]&amp;FDR[[#Headers],[1]],FDR[1],"",0,1)</f>
        <v>1</v>
      </c>
      <c r="N34" cm="1">
        <f t="array" ref="N34">_xlfn.XLOOKUP(Matrix[[#This Row],[TEAM]]&amp;Matrix[[#Headers],[2]],FDR[FDR]&amp;FDR[[#Headers],[2]],FDR[2],"",0,1)</f>
        <v>4</v>
      </c>
      <c r="O34" cm="1">
        <f t="array" ref="O34">_xlfn.XLOOKUP(Matrix[[#This Row],[TEAM]]&amp;Matrix[[#Headers],[3]],FDR[FDR]&amp;FDR[[#Headers],[3]],FDR[3],"",0,1)</f>
        <v>1</v>
      </c>
      <c r="P34" cm="1">
        <f t="array" ref="P34">_xlfn.XLOOKUP(Matrix[[#This Row],[TEAM]]&amp;Matrix[[#Headers],[4]],FDR[FDR]&amp;FDR[[#Headers],[4]],FDR[4],"",0,1)</f>
        <v>2</v>
      </c>
      <c r="Q34" cm="1">
        <f t="array" ref="Q34">_xlfn.XLOOKUP(Matrix[[#This Row],[TEAM]]&amp;Matrix[[#Headers],[5]],FDR[FDR]&amp;FDR[[#Headers],[5]],FDR[5],"",0,1)</f>
        <v>2</v>
      </c>
      <c r="R34" cm="1">
        <f t="array" ref="R34">_xlfn.XLOOKUP(Matrix[[#This Row],[TEAM]]&amp;Matrix[[#Headers],[6]],FDR[FDR]&amp;FDR[[#Headers],[6]],FDR[6],"",0,1)</f>
        <v>1</v>
      </c>
      <c r="S34" cm="1">
        <f t="array" ref="S34">_xlfn.XLOOKUP(Matrix[[#This Row],[TEAM]]&amp;Matrix[[#Headers],[7]],FDR[FDR]&amp;FDR[[#Headers],[7]],FDR[7],"",0,1)</f>
        <v>1</v>
      </c>
      <c r="T34" cm="1">
        <f t="array" ref="T34">_xlfn.XLOOKUP(Matrix[[#This Row],[TEAM]]&amp;Matrix[[#Headers],[8]],FDR[FDR]&amp;FDR[[#Headers],[8]],FDR[8],"",0,1)</f>
        <v>2</v>
      </c>
      <c r="U34" cm="1">
        <f t="array" ref="U34">_xlfn.XLOOKUP(Matrix[[#This Row],[TEAM]]&amp;Matrix[[#Headers],[9]],FDR[FDR]&amp;FDR[[#Headers],[9]],FDR[9],"",0,1)</f>
        <v>2</v>
      </c>
      <c r="V34" cm="1">
        <f t="array" ref="V34">_xlfn.XLOOKUP(Matrix[[#This Row],[TEAM]]&amp;Matrix[[#Headers],[10]],FDR[FDR]&amp;FDR[[#Headers],[10]],FDR[10],"",0,1)</f>
        <v>3</v>
      </c>
      <c r="W34" cm="1">
        <f t="array" ref="W34">_xlfn.XLOOKUP(Matrix[[#This Row],[TEAM]]&amp;Matrix[[#Headers],[11]],FDR[FDR]&amp;FDR[[#Headers],[11]],FDR[11],"",0,1)</f>
        <v>3</v>
      </c>
      <c r="X34" cm="1">
        <f t="array" ref="X34">_xlfn.XLOOKUP(Matrix[[#This Row],[TEAM]]&amp;Matrix[[#Headers],[12]],FDR[FDR]&amp;FDR[[#Headers],[12]],FDR[12],"",0,1)</f>
        <v>4</v>
      </c>
      <c r="Y34" cm="1">
        <f t="array" ref="Y34">_xlfn.XLOOKUP(Matrix[[#This Row],[TEAM]]&amp;Matrix[[#Headers],[13]],FDR[FDR]&amp;FDR[[#Headers],[13]],FDR[13],"",0,1)</f>
        <v>1</v>
      </c>
      <c r="Z34" cm="1">
        <f t="array" ref="Z34">_xlfn.XLOOKUP(Matrix[[#This Row],[TEAM]]&amp;Matrix[[#Headers],[14]],FDR[FDR]&amp;FDR[[#Headers],[14]],FDR[14],"",0,1)</f>
        <v>3</v>
      </c>
      <c r="AA34" cm="1">
        <f t="array" ref="AA34">_xlfn.XLOOKUP(Matrix[[#This Row],[TEAM]]&amp;Matrix[[#Headers],[15]],FDR[FDR]&amp;FDR[[#Headers],[15]],FDR[15],"",0,1)</f>
        <v>1</v>
      </c>
      <c r="AB34" cm="1">
        <f t="array" ref="AB34">_xlfn.XLOOKUP(Matrix[[#This Row],[TEAM]]&amp;Matrix[[#Headers],[16]],FDR[FDR]&amp;FDR[[#Headers],[16]],FDR[16],"",0,1)</f>
        <v>2</v>
      </c>
      <c r="AC34" cm="1">
        <f t="array" ref="AC34">_xlfn.XLOOKUP(Matrix[[#This Row],[TEAM]]&amp;Matrix[[#Headers],[17]],FDR[FDR]&amp;FDR[[#Headers],[17]],FDR[17],"",0,1)</f>
        <v>3</v>
      </c>
      <c r="AD34" cm="1">
        <f t="array" ref="AD34">_xlfn.XLOOKUP(Matrix[[#This Row],[TEAM]]&amp;Matrix[[#Headers],[18]],FDR[FDR]&amp;FDR[[#Headers],[18]],FDR[18],"",0,1)</f>
        <v>2</v>
      </c>
      <c r="AE34" cm="1">
        <f t="array" ref="AE34">_xlfn.XLOOKUP(Matrix[[#This Row],[TEAM]]&amp;Matrix[[#Headers],[19]],FDR[FDR]&amp;FDR[[#Headers],[19]],FDR[19],"",0,1)</f>
        <v>2</v>
      </c>
      <c r="AF34" cm="1">
        <f t="array" ref="AF34">_xlfn.XLOOKUP(Matrix[[#This Row],[TEAM]]&amp;Matrix[[#Headers],[20]],FDR[FDR]&amp;FDR[[#Headers],[20]],FDR[20],"",0,1)</f>
        <v>1</v>
      </c>
      <c r="AG34" cm="1">
        <f t="array" ref="AG34">_xlfn.XLOOKUP(Matrix[[#This Row],[TEAM]]&amp;Matrix[[#Headers],[21]],FDR[FDR]&amp;FDR[[#Headers],[21]],FDR[21],"",0,1)</f>
        <v>2</v>
      </c>
      <c r="AH34" cm="1">
        <f t="array" ref="AH34">_xlfn.XLOOKUP(Matrix[[#This Row],[TEAM]]&amp;Matrix[[#Headers],[22]],FDR[FDR]&amp;FDR[[#Headers],[22]],FDR[22],"",0,1)</f>
        <v>1</v>
      </c>
      <c r="AI34" cm="1">
        <f t="array" ref="AI34">_xlfn.XLOOKUP(Matrix[[#This Row],[TEAM]]&amp;Matrix[[#Headers],[23]],FDR[FDR]&amp;FDR[[#Headers],[23]],FDR[23],"",0,1)</f>
        <v>1</v>
      </c>
      <c r="AJ34" cm="1">
        <f t="array" ref="AJ34">_xlfn.XLOOKUP(Matrix[[#This Row],[TEAM]]&amp;Matrix[[#Headers],[24]],FDR[FDR]&amp;FDR[[#Headers],[24]],FDR[24],"",0,1)</f>
        <v>3</v>
      </c>
      <c r="AK34" cm="1">
        <f t="array" ref="AK34">_xlfn.XLOOKUP(Matrix[[#This Row],[TEAM]]&amp;Matrix[[#Headers],[25]],FDR[FDR]&amp;FDR[[#Headers],[25]],FDR[25],"",0,1)</f>
        <v>4</v>
      </c>
      <c r="AL34" cm="1">
        <f t="array" ref="AL34">_xlfn.XLOOKUP(Matrix[[#This Row],[TEAM]]&amp;Matrix[[#Headers],[26]],FDR[FDR]&amp;FDR[[#Headers],[26]],FDR[26],"",0,1)</f>
        <v>2</v>
      </c>
      <c r="AM34" cm="1">
        <f t="array" ref="AM34">_xlfn.XLOOKUP(Matrix[[#This Row],[TEAM]]&amp;Matrix[[#Headers],[27]],FDR[FDR]&amp;FDR[[#Headers],[27]],FDR[27],"",0,1)</f>
        <v>3</v>
      </c>
      <c r="AN34" cm="1">
        <f t="array" ref="AN34">_xlfn.XLOOKUP(Matrix[[#This Row],[TEAM]]&amp;Matrix[[#Headers],[28]],FDR[FDR]&amp;FDR[[#Headers],[28]],FDR[28],"",0,1)</f>
        <v>2</v>
      </c>
      <c r="AO34" cm="1">
        <f t="array" ref="AO34">_xlfn.XLOOKUP(Matrix[[#This Row],[TEAM]]&amp;Matrix[[#Headers],[29]],FDR[FDR]&amp;FDR[[#Headers],[29]],FDR[29],"",0,1)</f>
        <v>1</v>
      </c>
      <c r="AP34" cm="1">
        <f t="array" ref="AP34">_xlfn.XLOOKUP(Matrix[[#This Row],[TEAM]]&amp;Matrix[[#Headers],[30]],FDR[FDR]&amp;FDR[[#Headers],[30]],FDR[30],"",0,1)</f>
        <v>4</v>
      </c>
      <c r="AQ34" cm="1">
        <f t="array" ref="AQ34">_xlfn.XLOOKUP(Matrix[[#This Row],[TEAM]]&amp;Matrix[[#Headers],[31]],FDR[FDR]&amp;FDR[[#Headers],[31]],FDR[31],"",0,1)</f>
        <v>1</v>
      </c>
      <c r="AR34" cm="1">
        <f t="array" ref="AR34">_xlfn.XLOOKUP(Matrix[[#This Row],[TEAM]]&amp;Matrix[[#Headers],[32]],FDR[FDR]&amp;FDR[[#Headers],[32]],FDR[32],"",0,1)</f>
        <v>1</v>
      </c>
      <c r="AS34" cm="1">
        <f t="array" ref="AS34">_xlfn.XLOOKUP(Matrix[[#This Row],[TEAM]]&amp;Matrix[[#Headers],[33]],FDR[FDR]&amp;FDR[[#Headers],[33]],FDR[33],"",0,1)</f>
        <v>1</v>
      </c>
      <c r="AT34" cm="1">
        <f t="array" ref="AT34">_xlfn.XLOOKUP(Matrix[[#This Row],[TEAM]]&amp;Matrix[[#Headers],[34]],FDR[FDR]&amp;FDR[[#Headers],[34]],FDR[34],"",0,1)</f>
        <v>1</v>
      </c>
      <c r="AU34" cm="1">
        <f t="array" ref="AU34">_xlfn.XLOOKUP(Matrix[[#This Row],[TEAM]]&amp;Matrix[[#Headers],[35]],FDR[FDR]&amp;FDR[[#Headers],[35]],FDR[35],"",0,1)</f>
        <v>3</v>
      </c>
      <c r="AV34" cm="1">
        <f t="array" ref="AV34">_xlfn.XLOOKUP(Matrix[[#This Row],[TEAM]]&amp;Matrix[[#Headers],[36]],FDR[FDR]&amp;FDR[[#Headers],[36]],FDR[36],"",0,1)</f>
        <v>1</v>
      </c>
      <c r="AW34" cm="1">
        <f t="array" ref="AW34">_xlfn.XLOOKUP(Matrix[[#This Row],[TEAM]]&amp;Matrix[[#Headers],[37]],FDR[FDR]&amp;FDR[[#Headers],[37]],FDR[37],"",0,1)</f>
        <v>4</v>
      </c>
      <c r="AX34" cm="1">
        <f t="array" ref="AX34">_xlfn.XLOOKUP(Matrix[[#This Row],[TEAM]]&amp;Matrix[[#Headers],[38]],FDR[FDR]&amp;FDR[[#Headers],[38]],FDR[38],"",0,1)</f>
        <v>1</v>
      </c>
    </row>
    <row r="35" spans="1:50" ht="22" thickTop="1" thickBot="1">
      <c r="A35" s="49" t="str">
        <f>INDEX!S$5</f>
        <v>FWD</v>
      </c>
      <c r="B35" s="70" t="s">
        <v>1332</v>
      </c>
      <c r="C35" s="40" t="s">
        <v>19</v>
      </c>
      <c r="D35" s="62">
        <v>35</v>
      </c>
      <c r="E35" s="60">
        <v>1.0999999999999999E-2</v>
      </c>
      <c r="F35" s="61">
        <v>47.4</v>
      </c>
      <c r="G35" s="63">
        <v>6.6</v>
      </c>
      <c r="H35" s="261">
        <f>IF(ISBLANK(I35),0,1)</f>
        <v>0</v>
      </c>
      <c r="I35" s="57"/>
      <c r="J35" s="58"/>
      <c r="K35" s="64" t="s">
        <v>511</v>
      </c>
      <c r="L35" s="64" t="s">
        <v>193</v>
      </c>
      <c r="M35" cm="1">
        <f t="array" ref="M35">_xlfn.XLOOKUP(Matrix[[#This Row],[TEAM]]&amp;Matrix[[#Headers],[1]],FDR[FDR]&amp;FDR[[#Headers],[1]],FDR[1],"",0,1)</f>
        <v>1</v>
      </c>
      <c r="N35" cm="1">
        <f t="array" ref="N35">_xlfn.XLOOKUP(Matrix[[#This Row],[TEAM]]&amp;Matrix[[#Headers],[2]],FDR[FDR]&amp;FDR[[#Headers],[2]],FDR[2],"",0,1)</f>
        <v>4</v>
      </c>
      <c r="O35" cm="1">
        <f t="array" ref="O35">_xlfn.XLOOKUP(Matrix[[#This Row],[TEAM]]&amp;Matrix[[#Headers],[3]],FDR[FDR]&amp;FDR[[#Headers],[3]],FDR[3],"",0,1)</f>
        <v>1</v>
      </c>
      <c r="P35" cm="1">
        <f t="array" ref="P35">_xlfn.XLOOKUP(Matrix[[#This Row],[TEAM]]&amp;Matrix[[#Headers],[4]],FDR[FDR]&amp;FDR[[#Headers],[4]],FDR[4],"",0,1)</f>
        <v>2</v>
      </c>
      <c r="Q35" cm="1">
        <f t="array" ref="Q35">_xlfn.XLOOKUP(Matrix[[#This Row],[TEAM]]&amp;Matrix[[#Headers],[5]],FDR[FDR]&amp;FDR[[#Headers],[5]],FDR[5],"",0,1)</f>
        <v>2</v>
      </c>
      <c r="R35" cm="1">
        <f t="array" ref="R35">_xlfn.XLOOKUP(Matrix[[#This Row],[TEAM]]&amp;Matrix[[#Headers],[6]],FDR[FDR]&amp;FDR[[#Headers],[6]],FDR[6],"",0,1)</f>
        <v>1</v>
      </c>
      <c r="S35" cm="1">
        <f t="array" ref="S35">_xlfn.XLOOKUP(Matrix[[#This Row],[TEAM]]&amp;Matrix[[#Headers],[7]],FDR[FDR]&amp;FDR[[#Headers],[7]],FDR[7],"",0,1)</f>
        <v>1</v>
      </c>
      <c r="T35" cm="1">
        <f t="array" ref="T35">_xlfn.XLOOKUP(Matrix[[#This Row],[TEAM]]&amp;Matrix[[#Headers],[8]],FDR[FDR]&amp;FDR[[#Headers],[8]],FDR[8],"",0,1)</f>
        <v>2</v>
      </c>
      <c r="U35" cm="1">
        <f t="array" ref="U35">_xlfn.XLOOKUP(Matrix[[#This Row],[TEAM]]&amp;Matrix[[#Headers],[9]],FDR[FDR]&amp;FDR[[#Headers],[9]],FDR[9],"",0,1)</f>
        <v>2</v>
      </c>
      <c r="V35" cm="1">
        <f t="array" ref="V35">_xlfn.XLOOKUP(Matrix[[#This Row],[TEAM]]&amp;Matrix[[#Headers],[10]],FDR[FDR]&amp;FDR[[#Headers],[10]],FDR[10],"",0,1)</f>
        <v>3</v>
      </c>
      <c r="W35" cm="1">
        <f t="array" ref="W35">_xlfn.XLOOKUP(Matrix[[#This Row],[TEAM]]&amp;Matrix[[#Headers],[11]],FDR[FDR]&amp;FDR[[#Headers],[11]],FDR[11],"",0,1)</f>
        <v>3</v>
      </c>
      <c r="X35" cm="1">
        <f t="array" ref="X35">_xlfn.XLOOKUP(Matrix[[#This Row],[TEAM]]&amp;Matrix[[#Headers],[12]],FDR[FDR]&amp;FDR[[#Headers],[12]],FDR[12],"",0,1)</f>
        <v>4</v>
      </c>
      <c r="Y35" cm="1">
        <f t="array" ref="Y35">_xlfn.XLOOKUP(Matrix[[#This Row],[TEAM]]&amp;Matrix[[#Headers],[13]],FDR[FDR]&amp;FDR[[#Headers],[13]],FDR[13],"",0,1)</f>
        <v>1</v>
      </c>
      <c r="Z35" cm="1">
        <f t="array" ref="Z35">_xlfn.XLOOKUP(Matrix[[#This Row],[TEAM]]&amp;Matrix[[#Headers],[14]],FDR[FDR]&amp;FDR[[#Headers],[14]],FDR[14],"",0,1)</f>
        <v>3</v>
      </c>
      <c r="AA35" cm="1">
        <f t="array" ref="AA35">_xlfn.XLOOKUP(Matrix[[#This Row],[TEAM]]&amp;Matrix[[#Headers],[15]],FDR[FDR]&amp;FDR[[#Headers],[15]],FDR[15],"",0,1)</f>
        <v>1</v>
      </c>
      <c r="AB35" cm="1">
        <f t="array" ref="AB35">_xlfn.XLOOKUP(Matrix[[#This Row],[TEAM]]&amp;Matrix[[#Headers],[16]],FDR[FDR]&amp;FDR[[#Headers],[16]],FDR[16],"",0,1)</f>
        <v>2</v>
      </c>
      <c r="AC35" cm="1">
        <f t="array" ref="AC35">_xlfn.XLOOKUP(Matrix[[#This Row],[TEAM]]&amp;Matrix[[#Headers],[17]],FDR[FDR]&amp;FDR[[#Headers],[17]],FDR[17],"",0,1)</f>
        <v>3</v>
      </c>
      <c r="AD35" cm="1">
        <f t="array" ref="AD35">_xlfn.XLOOKUP(Matrix[[#This Row],[TEAM]]&amp;Matrix[[#Headers],[18]],FDR[FDR]&amp;FDR[[#Headers],[18]],FDR[18],"",0,1)</f>
        <v>2</v>
      </c>
      <c r="AE35" cm="1">
        <f t="array" ref="AE35">_xlfn.XLOOKUP(Matrix[[#This Row],[TEAM]]&amp;Matrix[[#Headers],[19]],FDR[FDR]&amp;FDR[[#Headers],[19]],FDR[19],"",0,1)</f>
        <v>2</v>
      </c>
      <c r="AF35" cm="1">
        <f t="array" ref="AF35">_xlfn.XLOOKUP(Matrix[[#This Row],[TEAM]]&amp;Matrix[[#Headers],[20]],FDR[FDR]&amp;FDR[[#Headers],[20]],FDR[20],"",0,1)</f>
        <v>1</v>
      </c>
      <c r="AG35" cm="1">
        <f t="array" ref="AG35">_xlfn.XLOOKUP(Matrix[[#This Row],[TEAM]]&amp;Matrix[[#Headers],[21]],FDR[FDR]&amp;FDR[[#Headers],[21]],FDR[21],"",0,1)</f>
        <v>2</v>
      </c>
      <c r="AH35" cm="1">
        <f t="array" ref="AH35">_xlfn.XLOOKUP(Matrix[[#This Row],[TEAM]]&amp;Matrix[[#Headers],[22]],FDR[FDR]&amp;FDR[[#Headers],[22]],FDR[22],"",0,1)</f>
        <v>1</v>
      </c>
      <c r="AI35" cm="1">
        <f t="array" ref="AI35">_xlfn.XLOOKUP(Matrix[[#This Row],[TEAM]]&amp;Matrix[[#Headers],[23]],FDR[FDR]&amp;FDR[[#Headers],[23]],FDR[23],"",0,1)</f>
        <v>1</v>
      </c>
      <c r="AJ35" cm="1">
        <f t="array" ref="AJ35">_xlfn.XLOOKUP(Matrix[[#This Row],[TEAM]]&amp;Matrix[[#Headers],[24]],FDR[FDR]&amp;FDR[[#Headers],[24]],FDR[24],"",0,1)</f>
        <v>3</v>
      </c>
      <c r="AK35" cm="1">
        <f t="array" ref="AK35">_xlfn.XLOOKUP(Matrix[[#This Row],[TEAM]]&amp;Matrix[[#Headers],[25]],FDR[FDR]&amp;FDR[[#Headers],[25]],FDR[25],"",0,1)</f>
        <v>4</v>
      </c>
      <c r="AL35" cm="1">
        <f t="array" ref="AL35">_xlfn.XLOOKUP(Matrix[[#This Row],[TEAM]]&amp;Matrix[[#Headers],[26]],FDR[FDR]&amp;FDR[[#Headers],[26]],FDR[26],"",0,1)</f>
        <v>2</v>
      </c>
      <c r="AM35" cm="1">
        <f t="array" ref="AM35">_xlfn.XLOOKUP(Matrix[[#This Row],[TEAM]]&amp;Matrix[[#Headers],[27]],FDR[FDR]&amp;FDR[[#Headers],[27]],FDR[27],"",0,1)</f>
        <v>3</v>
      </c>
      <c r="AN35" cm="1">
        <f t="array" ref="AN35">_xlfn.XLOOKUP(Matrix[[#This Row],[TEAM]]&amp;Matrix[[#Headers],[28]],FDR[FDR]&amp;FDR[[#Headers],[28]],FDR[28],"",0,1)</f>
        <v>2</v>
      </c>
      <c r="AO35" cm="1">
        <f t="array" ref="AO35">_xlfn.XLOOKUP(Matrix[[#This Row],[TEAM]]&amp;Matrix[[#Headers],[29]],FDR[FDR]&amp;FDR[[#Headers],[29]],FDR[29],"",0,1)</f>
        <v>1</v>
      </c>
      <c r="AP35" cm="1">
        <f t="array" ref="AP35">_xlfn.XLOOKUP(Matrix[[#This Row],[TEAM]]&amp;Matrix[[#Headers],[30]],FDR[FDR]&amp;FDR[[#Headers],[30]],FDR[30],"",0,1)</f>
        <v>4</v>
      </c>
      <c r="AQ35" cm="1">
        <f t="array" ref="AQ35">_xlfn.XLOOKUP(Matrix[[#This Row],[TEAM]]&amp;Matrix[[#Headers],[31]],FDR[FDR]&amp;FDR[[#Headers],[31]],FDR[31],"",0,1)</f>
        <v>1</v>
      </c>
      <c r="AR35" cm="1">
        <f t="array" ref="AR35">_xlfn.XLOOKUP(Matrix[[#This Row],[TEAM]]&amp;Matrix[[#Headers],[32]],FDR[FDR]&amp;FDR[[#Headers],[32]],FDR[32],"",0,1)</f>
        <v>1</v>
      </c>
      <c r="AS35" cm="1">
        <f t="array" ref="AS35">_xlfn.XLOOKUP(Matrix[[#This Row],[TEAM]]&amp;Matrix[[#Headers],[33]],FDR[FDR]&amp;FDR[[#Headers],[33]],FDR[33],"",0,1)</f>
        <v>1</v>
      </c>
      <c r="AT35" cm="1">
        <f t="array" ref="AT35">_xlfn.XLOOKUP(Matrix[[#This Row],[TEAM]]&amp;Matrix[[#Headers],[34]],FDR[FDR]&amp;FDR[[#Headers],[34]],FDR[34],"",0,1)</f>
        <v>1</v>
      </c>
      <c r="AU35" cm="1">
        <f t="array" ref="AU35">_xlfn.XLOOKUP(Matrix[[#This Row],[TEAM]]&amp;Matrix[[#Headers],[35]],FDR[FDR]&amp;FDR[[#Headers],[35]],FDR[35],"",0,1)</f>
        <v>3</v>
      </c>
      <c r="AV35" cm="1">
        <f t="array" ref="AV35">_xlfn.XLOOKUP(Matrix[[#This Row],[TEAM]]&amp;Matrix[[#Headers],[36]],FDR[FDR]&amp;FDR[[#Headers],[36]],FDR[36],"",0,1)</f>
        <v>1</v>
      </c>
      <c r="AW35" cm="1">
        <f t="array" ref="AW35">_xlfn.XLOOKUP(Matrix[[#This Row],[TEAM]]&amp;Matrix[[#Headers],[37]],FDR[FDR]&amp;FDR[[#Headers],[37]],FDR[37],"",0,1)</f>
        <v>4</v>
      </c>
      <c r="AX35" cm="1">
        <f t="array" ref="AX35">_xlfn.XLOOKUP(Matrix[[#This Row],[TEAM]]&amp;Matrix[[#Headers],[38]],FDR[FDR]&amp;FDR[[#Headers],[38]],FDR[38],"",0,1)</f>
        <v>1</v>
      </c>
    </row>
    <row r="36" spans="1:50" ht="22" thickTop="1" thickBot="1">
      <c r="A36" s="50" t="str">
        <f>INDEX!S$4</f>
        <v>MID</v>
      </c>
      <c r="B36" s="70" t="s">
        <v>1323</v>
      </c>
      <c r="C36" s="40" t="s">
        <v>25</v>
      </c>
      <c r="D36" s="62">
        <v>159</v>
      </c>
      <c r="E36" s="60">
        <v>2.9000000000000001E-2</v>
      </c>
      <c r="F36" s="61">
        <v>185.6</v>
      </c>
      <c r="G36" s="63">
        <v>6.5</v>
      </c>
      <c r="H36" s="261">
        <f>IF(ISBLANK(I36),0,1)</f>
        <v>0</v>
      </c>
      <c r="I36" s="57"/>
      <c r="J36" s="58"/>
      <c r="K36" s="59" t="s">
        <v>384</v>
      </c>
      <c r="L36" s="59" t="s">
        <v>1124</v>
      </c>
      <c r="M36" cm="1">
        <f t="array" ref="M36">_xlfn.XLOOKUP(Matrix[[#This Row],[TEAM]]&amp;Matrix[[#Headers],[1]],FDR[FDR]&amp;FDR[[#Headers],[1]],FDR[1],"",0,1)</f>
        <v>3</v>
      </c>
      <c r="N36" cm="1">
        <f t="array" ref="N36">_xlfn.XLOOKUP(Matrix[[#This Row],[TEAM]]&amp;Matrix[[#Headers],[2]],FDR[FDR]&amp;FDR[[#Headers],[2]],FDR[2],"",0,1)</f>
        <v>3</v>
      </c>
      <c r="O36" cm="1">
        <f t="array" ref="O36">_xlfn.XLOOKUP(Matrix[[#This Row],[TEAM]]&amp;Matrix[[#Headers],[3]],FDR[FDR]&amp;FDR[[#Headers],[3]],FDR[3],"",0,1)</f>
        <v>1</v>
      </c>
      <c r="P36" cm="1">
        <f t="array" ref="P36">_xlfn.XLOOKUP(Matrix[[#This Row],[TEAM]]&amp;Matrix[[#Headers],[4]],FDR[FDR]&amp;FDR[[#Headers],[4]],FDR[4],"",0,1)</f>
        <v>1</v>
      </c>
      <c r="Q36" cm="1">
        <f t="array" ref="Q36">_xlfn.XLOOKUP(Matrix[[#This Row],[TEAM]]&amp;Matrix[[#Headers],[5]],FDR[FDR]&amp;FDR[[#Headers],[5]],FDR[5],"",0,1)</f>
        <v>2</v>
      </c>
      <c r="R36" cm="1">
        <f t="array" ref="R36">_xlfn.XLOOKUP(Matrix[[#This Row],[TEAM]]&amp;Matrix[[#Headers],[6]],FDR[FDR]&amp;FDR[[#Headers],[6]],FDR[6],"",0,1)</f>
        <v>3</v>
      </c>
      <c r="S36" cm="1">
        <f t="array" ref="S36">_xlfn.XLOOKUP(Matrix[[#This Row],[TEAM]]&amp;Matrix[[#Headers],[7]],FDR[FDR]&amp;FDR[[#Headers],[7]],FDR[7],"",0,1)</f>
        <v>2</v>
      </c>
      <c r="T36" cm="1">
        <f t="array" ref="T36">_xlfn.XLOOKUP(Matrix[[#This Row],[TEAM]]&amp;Matrix[[#Headers],[8]],FDR[FDR]&amp;FDR[[#Headers],[8]],FDR[8],"",0,1)</f>
        <v>2</v>
      </c>
      <c r="U36" cm="1">
        <f t="array" ref="U36">_xlfn.XLOOKUP(Matrix[[#This Row],[TEAM]]&amp;Matrix[[#Headers],[9]],FDR[FDR]&amp;FDR[[#Headers],[9]],FDR[9],"",0,1)</f>
        <v>2</v>
      </c>
      <c r="V36" cm="1">
        <f t="array" ref="V36">_xlfn.XLOOKUP(Matrix[[#This Row],[TEAM]]&amp;Matrix[[#Headers],[10]],FDR[FDR]&amp;FDR[[#Headers],[10]],FDR[10],"",0,1)</f>
        <v>2</v>
      </c>
      <c r="W36" cm="1">
        <f t="array" ref="W36">_xlfn.XLOOKUP(Matrix[[#This Row],[TEAM]]&amp;Matrix[[#Headers],[11]],FDR[FDR]&amp;FDR[[#Headers],[11]],FDR[11],"",0,1)</f>
        <v>2</v>
      </c>
      <c r="X36" cm="1">
        <f t="array" ref="X36">_xlfn.XLOOKUP(Matrix[[#This Row],[TEAM]]&amp;Matrix[[#Headers],[12]],FDR[FDR]&amp;FDR[[#Headers],[12]],FDR[12],"",0,1)</f>
        <v>3</v>
      </c>
      <c r="Y36" cm="1">
        <f t="array" ref="Y36">_xlfn.XLOOKUP(Matrix[[#This Row],[TEAM]]&amp;Matrix[[#Headers],[13]],FDR[FDR]&amp;FDR[[#Headers],[13]],FDR[13],"",0,1)</f>
        <v>2</v>
      </c>
      <c r="Z36" cm="1">
        <f t="array" ref="Z36">_xlfn.XLOOKUP(Matrix[[#This Row],[TEAM]]&amp;Matrix[[#Headers],[14]],FDR[FDR]&amp;FDR[[#Headers],[14]],FDR[14],"",0,1)</f>
        <v>3</v>
      </c>
      <c r="AA36" cm="1">
        <f t="array" ref="AA36">_xlfn.XLOOKUP(Matrix[[#This Row],[TEAM]]&amp;Matrix[[#Headers],[15]],FDR[FDR]&amp;FDR[[#Headers],[15]],FDR[15],"",0,1)</f>
        <v>1</v>
      </c>
      <c r="AB36" cm="1">
        <f t="array" ref="AB36">_xlfn.XLOOKUP(Matrix[[#This Row],[TEAM]]&amp;Matrix[[#Headers],[16]],FDR[FDR]&amp;FDR[[#Headers],[16]],FDR[16],"",0,1)</f>
        <v>1</v>
      </c>
      <c r="AC36" cm="1">
        <f t="array" ref="AC36">_xlfn.XLOOKUP(Matrix[[#This Row],[TEAM]]&amp;Matrix[[#Headers],[17]],FDR[FDR]&amp;FDR[[#Headers],[17]],FDR[17],"",0,1)</f>
        <v>3</v>
      </c>
      <c r="AD36" cm="1">
        <f t="array" ref="AD36">_xlfn.XLOOKUP(Matrix[[#This Row],[TEAM]]&amp;Matrix[[#Headers],[18]],FDR[FDR]&amp;FDR[[#Headers],[18]],FDR[18],"",0,1)</f>
        <v>4</v>
      </c>
      <c r="AE36" cm="1">
        <f t="array" ref="AE36">_xlfn.XLOOKUP(Matrix[[#This Row],[TEAM]]&amp;Matrix[[#Headers],[19]],FDR[FDR]&amp;FDR[[#Headers],[19]],FDR[19],"",0,1)</f>
        <v>1</v>
      </c>
      <c r="AF36" cm="1">
        <f t="array" ref="AF36">_xlfn.XLOOKUP(Matrix[[#This Row],[TEAM]]&amp;Matrix[[#Headers],[20]],FDR[FDR]&amp;FDR[[#Headers],[20]],FDR[20],"",0,1)</f>
        <v>1</v>
      </c>
      <c r="AG36" cm="1">
        <f t="array" ref="AG36">_xlfn.XLOOKUP(Matrix[[#This Row],[TEAM]]&amp;Matrix[[#Headers],[21]],FDR[FDR]&amp;FDR[[#Headers],[21]],FDR[21],"",0,1)</f>
        <v>1</v>
      </c>
      <c r="AH36" cm="1">
        <f t="array" ref="AH36">_xlfn.XLOOKUP(Matrix[[#This Row],[TEAM]]&amp;Matrix[[#Headers],[22]],FDR[FDR]&amp;FDR[[#Headers],[22]],FDR[22],"",0,1)</f>
        <v>1</v>
      </c>
      <c r="AI36" cm="1">
        <f t="array" ref="AI36">_xlfn.XLOOKUP(Matrix[[#This Row],[TEAM]]&amp;Matrix[[#Headers],[23]],FDR[FDR]&amp;FDR[[#Headers],[23]],FDR[23],"",0,1)</f>
        <v>2</v>
      </c>
      <c r="AJ36" cm="1">
        <f t="array" ref="AJ36">_xlfn.XLOOKUP(Matrix[[#This Row],[TEAM]]&amp;Matrix[[#Headers],[24]],FDR[FDR]&amp;FDR[[#Headers],[24]],FDR[24],"",0,1)</f>
        <v>4</v>
      </c>
      <c r="AK36" cm="1">
        <f t="array" ref="AK36">_xlfn.XLOOKUP(Matrix[[#This Row],[TEAM]]&amp;Matrix[[#Headers],[25]],FDR[FDR]&amp;FDR[[#Headers],[25]],FDR[25],"",0,1)</f>
        <v>1</v>
      </c>
      <c r="AL36" cm="1">
        <f t="array" ref="AL36">_xlfn.XLOOKUP(Matrix[[#This Row],[TEAM]]&amp;Matrix[[#Headers],[26]],FDR[FDR]&amp;FDR[[#Headers],[26]],FDR[26],"",0,1)</f>
        <v>4</v>
      </c>
      <c r="AM36" cm="1">
        <f t="array" ref="AM36">_xlfn.XLOOKUP(Matrix[[#This Row],[TEAM]]&amp;Matrix[[#Headers],[27]],FDR[FDR]&amp;FDR[[#Headers],[27]],FDR[27],"",0,1)</f>
        <v>4</v>
      </c>
      <c r="AN36" cm="1">
        <f t="array" ref="AN36">_xlfn.XLOOKUP(Matrix[[#This Row],[TEAM]]&amp;Matrix[[#Headers],[28]],FDR[FDR]&amp;FDR[[#Headers],[28]],FDR[28],"",0,1)</f>
        <v>1</v>
      </c>
      <c r="AO36" cm="1">
        <f t="array" ref="AO36">_xlfn.XLOOKUP(Matrix[[#This Row],[TEAM]]&amp;Matrix[[#Headers],[29]],FDR[FDR]&amp;FDR[[#Headers],[29]],FDR[29],"",0,1)</f>
        <v>3</v>
      </c>
      <c r="AP36" cm="1">
        <f t="array" ref="AP36">_xlfn.XLOOKUP(Matrix[[#This Row],[TEAM]]&amp;Matrix[[#Headers],[30]],FDR[FDR]&amp;FDR[[#Headers],[30]],FDR[30],"",0,1)</f>
        <v>4</v>
      </c>
      <c r="AQ36" cm="1">
        <f t="array" ref="AQ36">_xlfn.XLOOKUP(Matrix[[#This Row],[TEAM]]&amp;Matrix[[#Headers],[31]],FDR[FDR]&amp;FDR[[#Headers],[31]],FDR[31],"",0,1)</f>
        <v>1</v>
      </c>
      <c r="AR36" cm="1">
        <f t="array" ref="AR36">_xlfn.XLOOKUP(Matrix[[#This Row],[TEAM]]&amp;Matrix[[#Headers],[32]],FDR[FDR]&amp;FDR[[#Headers],[32]],FDR[32],"",0,1)</f>
        <v>2</v>
      </c>
      <c r="AS36" cm="1">
        <f t="array" ref="AS36">_xlfn.XLOOKUP(Matrix[[#This Row],[TEAM]]&amp;Matrix[[#Headers],[33]],FDR[FDR]&amp;FDR[[#Headers],[33]],FDR[33],"",0,1)</f>
        <v>2</v>
      </c>
      <c r="AT36" cm="1">
        <f t="array" ref="AT36">_xlfn.XLOOKUP(Matrix[[#This Row],[TEAM]]&amp;Matrix[[#Headers],[34]],FDR[FDR]&amp;FDR[[#Headers],[34]],FDR[34],"",0,1)</f>
        <v>4</v>
      </c>
      <c r="AU36" cm="1">
        <f t="array" ref="AU36">_xlfn.XLOOKUP(Matrix[[#This Row],[TEAM]]&amp;Matrix[[#Headers],[35]],FDR[FDR]&amp;FDR[[#Headers],[35]],FDR[35],"",0,1)</f>
        <v>2</v>
      </c>
      <c r="AV36" cm="1">
        <f t="array" ref="AV36">_xlfn.XLOOKUP(Matrix[[#This Row],[TEAM]]&amp;Matrix[[#Headers],[36]],FDR[FDR]&amp;FDR[[#Headers],[36]],FDR[36],"",0,1)</f>
        <v>2</v>
      </c>
      <c r="AW36" cm="1">
        <f t="array" ref="AW36">_xlfn.XLOOKUP(Matrix[[#This Row],[TEAM]]&amp;Matrix[[#Headers],[37]],FDR[FDR]&amp;FDR[[#Headers],[37]],FDR[37],"",0,1)</f>
        <v>1</v>
      </c>
      <c r="AX36" cm="1">
        <f t="array" ref="AX36">_xlfn.XLOOKUP(Matrix[[#This Row],[TEAM]]&amp;Matrix[[#Headers],[38]],FDR[FDR]&amp;FDR[[#Headers],[38]],FDR[38],"",0,1)</f>
        <v>2</v>
      </c>
    </row>
    <row r="37" spans="1:50" ht="22" thickTop="1" thickBot="1">
      <c r="A37" s="50" t="str">
        <f>INDEX!S$4</f>
        <v>MID</v>
      </c>
      <c r="B37" s="70" t="s">
        <v>1327</v>
      </c>
      <c r="C37" s="40" t="s">
        <v>23</v>
      </c>
      <c r="D37" s="62">
        <v>156</v>
      </c>
      <c r="E37" s="60">
        <v>1.6E-2</v>
      </c>
      <c r="F37" s="61">
        <v>243</v>
      </c>
      <c r="G37" s="63">
        <v>6.5</v>
      </c>
      <c r="H37" s="261">
        <f>IF(ISBLANK(I37),0,1)</f>
        <v>0</v>
      </c>
      <c r="I37" s="57"/>
      <c r="J37" s="58"/>
      <c r="K37" s="59" t="s">
        <v>395</v>
      </c>
      <c r="L37" s="59" t="s">
        <v>204</v>
      </c>
      <c r="M37" cm="1">
        <f t="array" ref="M37">_xlfn.XLOOKUP(Matrix[[#This Row],[TEAM]]&amp;Matrix[[#Headers],[1]],FDR[FDR]&amp;FDR[[#Headers],[1]],FDR[1],"",0,1)</f>
        <v>4</v>
      </c>
      <c r="N37" cm="1">
        <f t="array" ref="N37">_xlfn.XLOOKUP(Matrix[[#This Row],[TEAM]]&amp;Matrix[[#Headers],[2]],FDR[FDR]&amp;FDR[[#Headers],[2]],FDR[2],"",0,1)</f>
        <v>4</v>
      </c>
      <c r="O37" cm="1">
        <f t="array" ref="O37">_xlfn.XLOOKUP(Matrix[[#This Row],[TEAM]]&amp;Matrix[[#Headers],[3]],FDR[FDR]&amp;FDR[[#Headers],[3]],FDR[3],"",0,1)</f>
        <v>5</v>
      </c>
      <c r="P37" cm="1">
        <f t="array" ref="P37">_xlfn.XLOOKUP(Matrix[[#This Row],[TEAM]]&amp;Matrix[[#Headers],[4]],FDR[FDR]&amp;FDR[[#Headers],[4]],FDR[4],"",0,1)</f>
        <v>1</v>
      </c>
      <c r="Q37" cm="1">
        <f t="array" ref="Q37">_xlfn.XLOOKUP(Matrix[[#This Row],[TEAM]]&amp;Matrix[[#Headers],[5]],FDR[FDR]&amp;FDR[[#Headers],[5]],FDR[5],"",0,1)</f>
        <v>2</v>
      </c>
      <c r="R37" cm="1">
        <f t="array" ref="R37">_xlfn.XLOOKUP(Matrix[[#This Row],[TEAM]]&amp;Matrix[[#Headers],[6]],FDR[FDR]&amp;FDR[[#Headers],[6]],FDR[6],"",0,1)</f>
        <v>5</v>
      </c>
      <c r="S37" cm="1">
        <f t="array" ref="S37">_xlfn.XLOOKUP(Matrix[[#This Row],[TEAM]]&amp;Matrix[[#Headers],[7]],FDR[FDR]&amp;FDR[[#Headers],[7]],FDR[7],"",0,1)</f>
        <v>4</v>
      </c>
      <c r="T37" cm="1">
        <f t="array" ref="T37">_xlfn.XLOOKUP(Matrix[[#This Row],[TEAM]]&amp;Matrix[[#Headers],[8]],FDR[FDR]&amp;FDR[[#Headers],[8]],FDR[8],"",0,1)</f>
        <v>4</v>
      </c>
      <c r="U37" cm="1">
        <f t="array" ref="U37">_xlfn.XLOOKUP(Matrix[[#This Row],[TEAM]]&amp;Matrix[[#Headers],[9]],FDR[FDR]&amp;FDR[[#Headers],[9]],FDR[9],"",0,1)</f>
        <v>5</v>
      </c>
      <c r="V37" cm="1">
        <f t="array" ref="V37">_xlfn.XLOOKUP(Matrix[[#This Row],[TEAM]]&amp;Matrix[[#Headers],[10]],FDR[FDR]&amp;FDR[[#Headers],[10]],FDR[10],"",0,1)</f>
        <v>1</v>
      </c>
      <c r="W37" cm="1">
        <f t="array" ref="W37">_xlfn.XLOOKUP(Matrix[[#This Row],[TEAM]]&amp;Matrix[[#Headers],[11]],FDR[FDR]&amp;FDR[[#Headers],[11]],FDR[11],"",0,1)</f>
        <v>3</v>
      </c>
      <c r="X37" cm="1">
        <f t="array" ref="X37">_xlfn.XLOOKUP(Matrix[[#This Row],[TEAM]]&amp;Matrix[[#Headers],[12]],FDR[FDR]&amp;FDR[[#Headers],[12]],FDR[12],"",0,1)</f>
        <v>1</v>
      </c>
      <c r="Y37" cm="1">
        <f t="array" ref="Y37">_xlfn.XLOOKUP(Matrix[[#This Row],[TEAM]]&amp;Matrix[[#Headers],[13]],FDR[FDR]&amp;FDR[[#Headers],[13]],FDR[13],"",0,1)</f>
        <v>5</v>
      </c>
      <c r="Z37" cm="1">
        <f t="array" ref="Z37">_xlfn.XLOOKUP(Matrix[[#This Row],[TEAM]]&amp;Matrix[[#Headers],[14]],FDR[FDR]&amp;FDR[[#Headers],[14]],FDR[14],"",0,1)</f>
        <v>4</v>
      </c>
      <c r="AA37" cm="1">
        <f t="array" ref="AA37">_xlfn.XLOOKUP(Matrix[[#This Row],[TEAM]]&amp;Matrix[[#Headers],[15]],FDR[FDR]&amp;FDR[[#Headers],[15]],FDR[15],"",0,1)</f>
        <v>2</v>
      </c>
      <c r="AB37" cm="1">
        <f t="array" ref="AB37">_xlfn.XLOOKUP(Matrix[[#This Row],[TEAM]]&amp;Matrix[[#Headers],[16]],FDR[FDR]&amp;FDR[[#Headers],[16]],FDR[16],"",0,1)</f>
        <v>2</v>
      </c>
      <c r="AC37" cm="1">
        <f t="array" ref="AC37">_xlfn.XLOOKUP(Matrix[[#This Row],[TEAM]]&amp;Matrix[[#Headers],[17]],FDR[FDR]&amp;FDR[[#Headers],[17]],FDR[17],"",0,1)</f>
        <v>3</v>
      </c>
      <c r="AD37" cm="1">
        <f t="array" ref="AD37">_xlfn.XLOOKUP(Matrix[[#This Row],[TEAM]]&amp;Matrix[[#Headers],[18]],FDR[FDR]&amp;FDR[[#Headers],[18]],FDR[18],"",0,1)</f>
        <v>3</v>
      </c>
      <c r="AE37" cm="1">
        <f t="array" ref="AE37">_xlfn.XLOOKUP(Matrix[[#This Row],[TEAM]]&amp;Matrix[[#Headers],[19]],FDR[FDR]&amp;FDR[[#Headers],[19]],FDR[19],"",0,1)</f>
        <v>3</v>
      </c>
      <c r="AF37" cm="1">
        <f t="array" ref="AF37">_xlfn.XLOOKUP(Matrix[[#This Row],[TEAM]]&amp;Matrix[[#Headers],[20]],FDR[FDR]&amp;FDR[[#Headers],[20]],FDR[20],"",0,1)</f>
        <v>4</v>
      </c>
      <c r="AG37" cm="1">
        <f t="array" ref="AG37">_xlfn.XLOOKUP(Matrix[[#This Row],[TEAM]]&amp;Matrix[[#Headers],[21]],FDR[FDR]&amp;FDR[[#Headers],[21]],FDR[21],"",0,1)</f>
        <v>4</v>
      </c>
      <c r="AH37" cm="1">
        <f t="array" ref="AH37">_xlfn.XLOOKUP(Matrix[[#This Row],[TEAM]]&amp;Matrix[[#Headers],[22]],FDR[FDR]&amp;FDR[[#Headers],[22]],FDR[22],"",0,1)</f>
        <v>2</v>
      </c>
      <c r="AI37" cm="1">
        <f t="array" ref="AI37">_xlfn.XLOOKUP(Matrix[[#This Row],[TEAM]]&amp;Matrix[[#Headers],[23]],FDR[FDR]&amp;FDR[[#Headers],[23]],FDR[23],"",0,1)</f>
        <v>3</v>
      </c>
      <c r="AJ37" cm="1">
        <f t="array" ref="AJ37">_xlfn.XLOOKUP(Matrix[[#This Row],[TEAM]]&amp;Matrix[[#Headers],[24]],FDR[FDR]&amp;FDR[[#Headers],[24]],FDR[24],"",0,1)</f>
        <v>5</v>
      </c>
      <c r="AK37" cm="1">
        <f t="array" ref="AK37">_xlfn.XLOOKUP(Matrix[[#This Row],[TEAM]]&amp;Matrix[[#Headers],[25]],FDR[FDR]&amp;FDR[[#Headers],[25]],FDR[25],"",0,1)</f>
        <v>2</v>
      </c>
      <c r="AL37" cm="1">
        <f t="array" ref="AL37">_xlfn.XLOOKUP(Matrix[[#This Row],[TEAM]]&amp;Matrix[[#Headers],[26]],FDR[FDR]&amp;FDR[[#Headers],[26]],FDR[26],"",0,1)</f>
        <v>5</v>
      </c>
      <c r="AM37" cm="1">
        <f t="array" ref="AM37">_xlfn.XLOOKUP(Matrix[[#This Row],[TEAM]]&amp;Matrix[[#Headers],[27]],FDR[FDR]&amp;FDR[[#Headers],[27]],FDR[27],"",0,1)</f>
        <v>2</v>
      </c>
      <c r="AN37" cm="1">
        <f t="array" ref="AN37">_xlfn.XLOOKUP(Matrix[[#This Row],[TEAM]]&amp;Matrix[[#Headers],[28]],FDR[FDR]&amp;FDR[[#Headers],[28]],FDR[28],"",0,1)</f>
        <v>4</v>
      </c>
      <c r="AO37" cm="1">
        <f t="array" ref="AO37">_xlfn.XLOOKUP(Matrix[[#This Row],[TEAM]]&amp;Matrix[[#Headers],[29]],FDR[FDR]&amp;FDR[[#Headers],[29]],FDR[29],"",0,1)</f>
        <v>2</v>
      </c>
      <c r="AP37" cm="1">
        <f t="array" ref="AP37">_xlfn.XLOOKUP(Matrix[[#This Row],[TEAM]]&amp;Matrix[[#Headers],[30]],FDR[FDR]&amp;FDR[[#Headers],[30]],FDR[30],"",0,1)</f>
        <v>4</v>
      </c>
      <c r="AQ37" cm="1">
        <f t="array" ref="AQ37">_xlfn.XLOOKUP(Matrix[[#This Row],[TEAM]]&amp;Matrix[[#Headers],[31]],FDR[FDR]&amp;FDR[[#Headers],[31]],FDR[31],"",0,1)</f>
        <v>1</v>
      </c>
      <c r="AR37" cm="1">
        <f t="array" ref="AR37">_xlfn.XLOOKUP(Matrix[[#This Row],[TEAM]]&amp;Matrix[[#Headers],[32]],FDR[FDR]&amp;FDR[[#Headers],[32]],FDR[32],"",0,1)</f>
        <v>5</v>
      </c>
      <c r="AS37" cm="1">
        <f t="array" ref="AS37">_xlfn.XLOOKUP(Matrix[[#This Row],[TEAM]]&amp;Matrix[[#Headers],[33]],FDR[FDR]&amp;FDR[[#Headers],[33]],FDR[33],"",0,1)</f>
        <v>3</v>
      </c>
      <c r="AT37" cm="1">
        <f t="array" ref="AT37">_xlfn.XLOOKUP(Matrix[[#This Row],[TEAM]]&amp;Matrix[[#Headers],[34]],FDR[FDR]&amp;FDR[[#Headers],[34]],FDR[34],"",0,1)</f>
        <v>3</v>
      </c>
      <c r="AU37" cm="1">
        <f t="array" ref="AU37">_xlfn.XLOOKUP(Matrix[[#This Row],[TEAM]]&amp;Matrix[[#Headers],[35]],FDR[FDR]&amp;FDR[[#Headers],[35]],FDR[35],"",0,1)</f>
        <v>5</v>
      </c>
      <c r="AV37" cm="1">
        <f t="array" ref="AV37">_xlfn.XLOOKUP(Matrix[[#This Row],[TEAM]]&amp;Matrix[[#Headers],[36]],FDR[FDR]&amp;FDR[[#Headers],[36]],FDR[36],"",0,1)</f>
        <v>3</v>
      </c>
      <c r="AW37" cm="1">
        <f t="array" ref="AW37">_xlfn.XLOOKUP(Matrix[[#This Row],[TEAM]]&amp;Matrix[[#Headers],[37]],FDR[FDR]&amp;FDR[[#Headers],[37]],FDR[37],"",0,1)</f>
        <v>2</v>
      </c>
      <c r="AX37" cm="1">
        <f t="array" ref="AX37">_xlfn.XLOOKUP(Matrix[[#This Row],[TEAM]]&amp;Matrix[[#Headers],[38]],FDR[FDR]&amp;FDR[[#Headers],[38]],FDR[38],"",0,1)</f>
        <v>4</v>
      </c>
    </row>
    <row r="38" spans="1:50" ht="22" thickTop="1" thickBot="1">
      <c r="A38" s="50" t="str">
        <f>INDEX!S$4</f>
        <v>MID</v>
      </c>
      <c r="B38" s="70" t="s">
        <v>1319</v>
      </c>
      <c r="C38" s="40" t="s">
        <v>26</v>
      </c>
      <c r="D38" s="62">
        <v>149</v>
      </c>
      <c r="E38" s="60">
        <v>4.9000000000000002E-2</v>
      </c>
      <c r="F38" s="61">
        <v>215.9</v>
      </c>
      <c r="G38" s="63">
        <v>6.5</v>
      </c>
      <c r="H38" s="261">
        <f>IF(ISBLANK(I38),0,1)</f>
        <v>0</v>
      </c>
      <c r="I38" s="57"/>
      <c r="J38" s="58"/>
      <c r="K38" s="59" t="s">
        <v>612</v>
      </c>
      <c r="L38" s="59" t="s">
        <v>553</v>
      </c>
      <c r="M38" cm="1">
        <f t="array" ref="M38">_xlfn.XLOOKUP(Matrix[[#This Row],[TEAM]]&amp;Matrix[[#Headers],[1]],FDR[FDR]&amp;FDR[[#Headers],[1]],FDR[1],"",0,1)</f>
        <v>5</v>
      </c>
      <c r="N38" cm="1">
        <f t="array" ref="N38">_xlfn.XLOOKUP(Matrix[[#This Row],[TEAM]]&amp;Matrix[[#Headers],[2]],FDR[FDR]&amp;FDR[[#Headers],[2]],FDR[2],"",0,1)</f>
        <v>3</v>
      </c>
      <c r="O38" cm="1">
        <f t="array" ref="O38">_xlfn.XLOOKUP(Matrix[[#This Row],[TEAM]]&amp;Matrix[[#Headers],[3]],FDR[FDR]&amp;FDR[[#Headers],[3]],FDR[3],"",0,1)</f>
        <v>5</v>
      </c>
      <c r="P38" cm="1">
        <f t="array" ref="P38">_xlfn.XLOOKUP(Matrix[[#This Row],[TEAM]]&amp;Matrix[[#Headers],[4]],FDR[FDR]&amp;FDR[[#Headers],[4]],FDR[4],"",0,1)</f>
        <v>1</v>
      </c>
      <c r="Q38" cm="1">
        <f t="array" ref="Q38">_xlfn.XLOOKUP(Matrix[[#This Row],[TEAM]]&amp;Matrix[[#Headers],[5]],FDR[FDR]&amp;FDR[[#Headers],[5]],FDR[5],"",0,1)</f>
        <v>4</v>
      </c>
      <c r="R38" cm="1">
        <f t="array" ref="R38">_xlfn.XLOOKUP(Matrix[[#This Row],[TEAM]]&amp;Matrix[[#Headers],[6]],FDR[FDR]&amp;FDR[[#Headers],[6]],FDR[6],"",0,1)</f>
        <v>4</v>
      </c>
      <c r="S38" cm="1">
        <f t="array" ref="S38">_xlfn.XLOOKUP(Matrix[[#This Row],[TEAM]]&amp;Matrix[[#Headers],[7]],FDR[FDR]&amp;FDR[[#Headers],[7]],FDR[7],"",0,1)</f>
        <v>4</v>
      </c>
      <c r="T38" cm="1">
        <f t="array" ref="T38">_xlfn.XLOOKUP(Matrix[[#This Row],[TEAM]]&amp;Matrix[[#Headers],[8]],FDR[FDR]&amp;FDR[[#Headers],[8]],FDR[8],"",0,1)</f>
        <v>3</v>
      </c>
      <c r="U38" cm="1">
        <f t="array" ref="U38">_xlfn.XLOOKUP(Matrix[[#This Row],[TEAM]]&amp;Matrix[[#Headers],[9]],FDR[FDR]&amp;FDR[[#Headers],[9]],FDR[9],"",0,1)</f>
        <v>5</v>
      </c>
      <c r="V38" cm="1">
        <f t="array" ref="V38">_xlfn.XLOOKUP(Matrix[[#This Row],[TEAM]]&amp;Matrix[[#Headers],[10]],FDR[FDR]&amp;FDR[[#Headers],[10]],FDR[10],"",0,1)</f>
        <v>3</v>
      </c>
      <c r="W38" cm="1">
        <f t="array" ref="W38">_xlfn.XLOOKUP(Matrix[[#This Row],[TEAM]]&amp;Matrix[[#Headers],[11]],FDR[FDR]&amp;FDR[[#Headers],[11]],FDR[11],"",0,1)</f>
        <v>3</v>
      </c>
      <c r="X38" cm="1">
        <f t="array" ref="X38">_xlfn.XLOOKUP(Matrix[[#This Row],[TEAM]]&amp;Matrix[[#Headers],[12]],FDR[FDR]&amp;FDR[[#Headers],[12]],FDR[12],"",0,1)</f>
        <v>2</v>
      </c>
      <c r="Y38" cm="1">
        <f t="array" ref="Y38">_xlfn.XLOOKUP(Matrix[[#This Row],[TEAM]]&amp;Matrix[[#Headers],[13]],FDR[FDR]&amp;FDR[[#Headers],[13]],FDR[13],"",0,1)</f>
        <v>4</v>
      </c>
      <c r="Z38" cm="1">
        <f t="array" ref="Z38">_xlfn.XLOOKUP(Matrix[[#This Row],[TEAM]]&amp;Matrix[[#Headers],[14]],FDR[FDR]&amp;FDR[[#Headers],[14]],FDR[14],"",0,1)</f>
        <v>2</v>
      </c>
      <c r="AA38" cm="1">
        <f t="array" ref="AA38">_xlfn.XLOOKUP(Matrix[[#This Row],[TEAM]]&amp;Matrix[[#Headers],[15]],FDR[FDR]&amp;FDR[[#Headers],[15]],FDR[15],"",0,1)</f>
        <v>4</v>
      </c>
      <c r="AB38" cm="1">
        <f t="array" ref="AB38">_xlfn.XLOOKUP(Matrix[[#This Row],[TEAM]]&amp;Matrix[[#Headers],[16]],FDR[FDR]&amp;FDR[[#Headers],[16]],FDR[16],"",0,1)</f>
        <v>4</v>
      </c>
      <c r="AC38" cm="1">
        <f t="array" ref="AC38">_xlfn.XLOOKUP(Matrix[[#This Row],[TEAM]]&amp;Matrix[[#Headers],[17]],FDR[FDR]&amp;FDR[[#Headers],[17]],FDR[17],"",0,1)</f>
        <v>2</v>
      </c>
      <c r="AD38" cm="1">
        <f t="array" ref="AD38">_xlfn.XLOOKUP(Matrix[[#This Row],[TEAM]]&amp;Matrix[[#Headers],[18]],FDR[FDR]&amp;FDR[[#Headers],[18]],FDR[18],"",0,1)</f>
        <v>4</v>
      </c>
      <c r="AE38" cm="1">
        <f t="array" ref="AE38">_xlfn.XLOOKUP(Matrix[[#This Row],[TEAM]]&amp;Matrix[[#Headers],[19]],FDR[FDR]&amp;FDR[[#Headers],[19]],FDR[19],"",0,1)</f>
        <v>3</v>
      </c>
      <c r="AF38" cm="1">
        <f t="array" ref="AF38">_xlfn.XLOOKUP(Matrix[[#This Row],[TEAM]]&amp;Matrix[[#Headers],[20]],FDR[FDR]&amp;FDR[[#Headers],[20]],FDR[20],"",0,1)</f>
        <v>5</v>
      </c>
      <c r="AG38" cm="1">
        <f t="array" ref="AG38">_xlfn.XLOOKUP(Matrix[[#This Row],[TEAM]]&amp;Matrix[[#Headers],[21]],FDR[FDR]&amp;FDR[[#Headers],[21]],FDR[21],"",0,1)</f>
        <v>4</v>
      </c>
      <c r="AH38" cm="1">
        <f t="array" ref="AH38">_xlfn.XLOOKUP(Matrix[[#This Row],[TEAM]]&amp;Matrix[[#Headers],[22]],FDR[FDR]&amp;FDR[[#Headers],[22]],FDR[22],"",0,1)</f>
        <v>2</v>
      </c>
      <c r="AI38" cm="1">
        <f t="array" ref="AI38">_xlfn.XLOOKUP(Matrix[[#This Row],[TEAM]]&amp;Matrix[[#Headers],[23]],FDR[FDR]&amp;FDR[[#Headers],[23]],FDR[23],"",0,1)</f>
        <v>4</v>
      </c>
      <c r="AJ38" cm="1">
        <f t="array" ref="AJ38">_xlfn.XLOOKUP(Matrix[[#This Row],[TEAM]]&amp;Matrix[[#Headers],[24]],FDR[FDR]&amp;FDR[[#Headers],[24]],FDR[24],"",0,1)</f>
        <v>4</v>
      </c>
      <c r="AK38" cm="1">
        <f t="array" ref="AK38">_xlfn.XLOOKUP(Matrix[[#This Row],[TEAM]]&amp;Matrix[[#Headers],[25]],FDR[FDR]&amp;FDR[[#Headers],[25]],FDR[25],"",0,1)</f>
        <v>4</v>
      </c>
      <c r="AL38" cm="1">
        <f t="array" ref="AL38">_xlfn.XLOOKUP(Matrix[[#This Row],[TEAM]]&amp;Matrix[[#Headers],[26]],FDR[FDR]&amp;FDR[[#Headers],[26]],FDR[26],"",0,1)</f>
        <v>1</v>
      </c>
      <c r="AM38" cm="1">
        <f t="array" ref="AM38">_xlfn.XLOOKUP(Matrix[[#This Row],[TEAM]]&amp;Matrix[[#Headers],[27]],FDR[FDR]&amp;FDR[[#Headers],[27]],FDR[27],"",0,1)</f>
        <v>2</v>
      </c>
      <c r="AN38" cm="1">
        <f t="array" ref="AN38">_xlfn.XLOOKUP(Matrix[[#This Row],[TEAM]]&amp;Matrix[[#Headers],[28]],FDR[FDR]&amp;FDR[[#Headers],[28]],FDR[28],"",0,1)</f>
        <v>5</v>
      </c>
      <c r="AO38" cm="1">
        <f t="array" ref="AO38">_xlfn.XLOOKUP(Matrix[[#This Row],[TEAM]]&amp;Matrix[[#Headers],[29]],FDR[FDR]&amp;FDR[[#Headers],[29]],FDR[29],"",0,1)</f>
        <v>5</v>
      </c>
      <c r="AP38" cm="1">
        <f t="array" ref="AP38">_xlfn.XLOOKUP(Matrix[[#This Row],[TEAM]]&amp;Matrix[[#Headers],[30]],FDR[FDR]&amp;FDR[[#Headers],[30]],FDR[30],"",0,1)</f>
        <v>1</v>
      </c>
      <c r="AQ38" cm="1">
        <f t="array" ref="AQ38">_xlfn.XLOOKUP(Matrix[[#This Row],[TEAM]]&amp;Matrix[[#Headers],[31]],FDR[FDR]&amp;FDR[[#Headers],[31]],FDR[31],"",0,1)</f>
        <v>5</v>
      </c>
      <c r="AR38" cm="1">
        <f t="array" ref="AR38">_xlfn.XLOOKUP(Matrix[[#This Row],[TEAM]]&amp;Matrix[[#Headers],[32]],FDR[FDR]&amp;FDR[[#Headers],[32]],FDR[32],"",0,1)</f>
        <v>4</v>
      </c>
      <c r="AS38" cm="1">
        <f t="array" ref="AS38">_xlfn.XLOOKUP(Matrix[[#This Row],[TEAM]]&amp;Matrix[[#Headers],[33]],FDR[FDR]&amp;FDR[[#Headers],[33]],FDR[33],"",0,1)</f>
        <v>3</v>
      </c>
      <c r="AT38" cm="1">
        <f t="array" ref="AT38">_xlfn.XLOOKUP(Matrix[[#This Row],[TEAM]]&amp;Matrix[[#Headers],[34]],FDR[FDR]&amp;FDR[[#Headers],[34]],FDR[34],"",0,1)</f>
        <v>5</v>
      </c>
      <c r="AU38" cm="1">
        <f t="array" ref="AU38">_xlfn.XLOOKUP(Matrix[[#This Row],[TEAM]]&amp;Matrix[[#Headers],[35]],FDR[FDR]&amp;FDR[[#Headers],[35]],FDR[35],"",0,1)</f>
        <v>4</v>
      </c>
      <c r="AV38" cm="1">
        <f t="array" ref="AV38">_xlfn.XLOOKUP(Matrix[[#This Row],[TEAM]]&amp;Matrix[[#Headers],[36]],FDR[FDR]&amp;FDR[[#Headers],[36]],FDR[36],"",0,1)</f>
        <v>3</v>
      </c>
      <c r="AW38" cm="1">
        <f t="array" ref="AW38">_xlfn.XLOOKUP(Matrix[[#This Row],[TEAM]]&amp;Matrix[[#Headers],[37]],FDR[FDR]&amp;FDR[[#Headers],[37]],FDR[37],"",0,1)</f>
        <v>4</v>
      </c>
      <c r="AX38" cm="1">
        <f t="array" ref="AX38">_xlfn.XLOOKUP(Matrix[[#This Row],[TEAM]]&amp;Matrix[[#Headers],[38]],FDR[FDR]&amp;FDR[[#Headers],[38]],FDR[38],"",0,1)</f>
        <v>4</v>
      </c>
    </row>
    <row r="39" spans="1:50" ht="22" thickTop="1" thickBot="1">
      <c r="A39" s="50" t="str">
        <f>INDEX!S$4</f>
        <v>MID</v>
      </c>
      <c r="B39" s="70" t="s">
        <v>1316</v>
      </c>
      <c r="C39" s="40" t="s">
        <v>33</v>
      </c>
      <c r="D39" s="62">
        <v>145</v>
      </c>
      <c r="E39" s="60">
        <v>6.6000000000000003E-2</v>
      </c>
      <c r="F39" s="61">
        <v>210.7</v>
      </c>
      <c r="G39" s="63">
        <v>6.5</v>
      </c>
      <c r="H39" s="261">
        <f>IF(ISBLANK(I39),0,1)</f>
        <v>0</v>
      </c>
      <c r="I39" s="57"/>
      <c r="J39" s="58"/>
      <c r="K39" s="59" t="s">
        <v>381</v>
      </c>
      <c r="L39" s="59" t="s">
        <v>195</v>
      </c>
      <c r="M39" cm="1">
        <f t="array" ref="M39">_xlfn.XLOOKUP(Matrix[[#This Row],[TEAM]]&amp;Matrix[[#Headers],[1]],FDR[FDR]&amp;FDR[[#Headers],[1]],FDR[1],"",0,1)</f>
        <v>3</v>
      </c>
      <c r="N39" cm="1">
        <f t="array" ref="N39">_xlfn.XLOOKUP(Matrix[[#This Row],[TEAM]]&amp;Matrix[[#Headers],[2]],FDR[FDR]&amp;FDR[[#Headers],[2]],FDR[2],"",0,1)</f>
        <v>3</v>
      </c>
      <c r="O39" cm="1">
        <f t="array" ref="O39">_xlfn.XLOOKUP(Matrix[[#This Row],[TEAM]]&amp;Matrix[[#Headers],[3]],FDR[FDR]&amp;FDR[[#Headers],[3]],FDR[3],"",0,1)</f>
        <v>4</v>
      </c>
      <c r="P39" cm="1">
        <f t="array" ref="P39">_xlfn.XLOOKUP(Matrix[[#This Row],[TEAM]]&amp;Matrix[[#Headers],[4]],FDR[FDR]&amp;FDR[[#Headers],[4]],FDR[4],"",0,1)</f>
        <v>4</v>
      </c>
      <c r="Q39" cm="1">
        <f t="array" ref="Q39">_xlfn.XLOOKUP(Matrix[[#This Row],[TEAM]]&amp;Matrix[[#Headers],[5]],FDR[FDR]&amp;FDR[[#Headers],[5]],FDR[5],"",0,1)</f>
        <v>4</v>
      </c>
      <c r="R39" cm="1">
        <f t="array" ref="R39">_xlfn.XLOOKUP(Matrix[[#This Row],[TEAM]]&amp;Matrix[[#Headers],[6]],FDR[FDR]&amp;FDR[[#Headers],[6]],FDR[6],"",0,1)</f>
        <v>5</v>
      </c>
      <c r="S39" cm="1">
        <f t="array" ref="S39">_xlfn.XLOOKUP(Matrix[[#This Row],[TEAM]]&amp;Matrix[[#Headers],[7]],FDR[FDR]&amp;FDR[[#Headers],[7]],FDR[7],"",0,1)</f>
        <v>2</v>
      </c>
      <c r="T39" cm="1">
        <f t="array" ref="T39">_xlfn.XLOOKUP(Matrix[[#This Row],[TEAM]]&amp;Matrix[[#Headers],[8]],FDR[FDR]&amp;FDR[[#Headers],[8]],FDR[8],"",0,1)</f>
        <v>4</v>
      </c>
      <c r="U39" cm="1">
        <f t="array" ref="U39">_xlfn.XLOOKUP(Matrix[[#This Row],[TEAM]]&amp;Matrix[[#Headers],[9]],FDR[FDR]&amp;FDR[[#Headers],[9]],FDR[9],"",0,1)</f>
        <v>5</v>
      </c>
      <c r="V39" cm="1">
        <f t="array" ref="V39">_xlfn.XLOOKUP(Matrix[[#This Row],[TEAM]]&amp;Matrix[[#Headers],[10]],FDR[FDR]&amp;FDR[[#Headers],[10]],FDR[10],"",0,1)</f>
        <v>1</v>
      </c>
      <c r="W39" cm="1">
        <f t="array" ref="W39">_xlfn.XLOOKUP(Matrix[[#This Row],[TEAM]]&amp;Matrix[[#Headers],[11]],FDR[FDR]&amp;FDR[[#Headers],[11]],FDR[11],"",0,1)</f>
        <v>3</v>
      </c>
      <c r="X39" cm="1">
        <f t="array" ref="X39">_xlfn.XLOOKUP(Matrix[[#This Row],[TEAM]]&amp;Matrix[[#Headers],[12]],FDR[FDR]&amp;FDR[[#Headers],[12]],FDR[12],"",0,1)</f>
        <v>2</v>
      </c>
      <c r="Y39" cm="1">
        <f t="array" ref="Y39">_xlfn.XLOOKUP(Matrix[[#This Row],[TEAM]]&amp;Matrix[[#Headers],[13]],FDR[FDR]&amp;FDR[[#Headers],[13]],FDR[13],"",0,1)</f>
        <v>4</v>
      </c>
      <c r="Z39" cm="1">
        <f t="array" ref="Z39">_xlfn.XLOOKUP(Matrix[[#This Row],[TEAM]]&amp;Matrix[[#Headers],[14]],FDR[FDR]&amp;FDR[[#Headers],[14]],FDR[14],"",0,1)</f>
        <v>3</v>
      </c>
      <c r="AA39" cm="1">
        <f t="array" ref="AA39">_xlfn.XLOOKUP(Matrix[[#This Row],[TEAM]]&amp;Matrix[[#Headers],[15]],FDR[FDR]&amp;FDR[[#Headers],[15]],FDR[15],"",0,1)</f>
        <v>2</v>
      </c>
      <c r="AB39" cm="1">
        <f t="array" ref="AB39">_xlfn.XLOOKUP(Matrix[[#This Row],[TEAM]]&amp;Matrix[[#Headers],[16]],FDR[FDR]&amp;FDR[[#Headers],[16]],FDR[16],"",0,1)</f>
        <v>5</v>
      </c>
      <c r="AC39" cm="1">
        <f t="array" ref="AC39">_xlfn.XLOOKUP(Matrix[[#This Row],[TEAM]]&amp;Matrix[[#Headers],[17]],FDR[FDR]&amp;FDR[[#Headers],[17]],FDR[17],"",0,1)</f>
        <v>1</v>
      </c>
      <c r="AD39" cm="1">
        <f t="array" ref="AD39">_xlfn.XLOOKUP(Matrix[[#This Row],[TEAM]]&amp;Matrix[[#Headers],[18]],FDR[FDR]&amp;FDR[[#Headers],[18]],FDR[18],"",0,1)</f>
        <v>5</v>
      </c>
      <c r="AE39" cm="1">
        <f t="array" ref="AE39">_xlfn.XLOOKUP(Matrix[[#This Row],[TEAM]]&amp;Matrix[[#Headers],[19]],FDR[FDR]&amp;FDR[[#Headers],[19]],FDR[19],"",0,1)</f>
        <v>3</v>
      </c>
      <c r="AF39" cm="1">
        <f t="array" ref="AF39">_xlfn.XLOOKUP(Matrix[[#This Row],[TEAM]]&amp;Matrix[[#Headers],[20]],FDR[FDR]&amp;FDR[[#Headers],[20]],FDR[20],"",0,1)</f>
        <v>1</v>
      </c>
      <c r="AG39" cm="1">
        <f t="array" ref="AG39">_xlfn.XLOOKUP(Matrix[[#This Row],[TEAM]]&amp;Matrix[[#Headers],[21]],FDR[FDR]&amp;FDR[[#Headers],[21]],FDR[21],"",0,1)</f>
        <v>5</v>
      </c>
      <c r="AH39" cm="1">
        <f t="array" ref="AH39">_xlfn.XLOOKUP(Matrix[[#This Row],[TEAM]]&amp;Matrix[[#Headers],[22]],FDR[FDR]&amp;FDR[[#Headers],[22]],FDR[22],"",0,1)</f>
        <v>3</v>
      </c>
      <c r="AI39" cm="1">
        <f t="array" ref="AI39">_xlfn.XLOOKUP(Matrix[[#This Row],[TEAM]]&amp;Matrix[[#Headers],[23]],FDR[FDR]&amp;FDR[[#Headers],[23]],FDR[23],"",0,1)</f>
        <v>4</v>
      </c>
      <c r="AJ39" cm="1">
        <f t="array" ref="AJ39">_xlfn.XLOOKUP(Matrix[[#This Row],[TEAM]]&amp;Matrix[[#Headers],[24]],FDR[FDR]&amp;FDR[[#Headers],[24]],FDR[24],"",0,1)</f>
        <v>2</v>
      </c>
      <c r="AK39" cm="1">
        <f t="array" ref="AK39">_xlfn.XLOOKUP(Matrix[[#This Row],[TEAM]]&amp;Matrix[[#Headers],[25]],FDR[FDR]&amp;FDR[[#Headers],[25]],FDR[25],"",0,1)</f>
        <v>2</v>
      </c>
      <c r="AL39" cm="1">
        <f t="array" ref="AL39">_xlfn.XLOOKUP(Matrix[[#This Row],[TEAM]]&amp;Matrix[[#Headers],[26]],FDR[FDR]&amp;FDR[[#Headers],[26]],FDR[26],"",0,1)</f>
        <v>5</v>
      </c>
      <c r="AM39" cm="1">
        <f t="array" ref="AM39">_xlfn.XLOOKUP(Matrix[[#This Row],[TEAM]]&amp;Matrix[[#Headers],[27]],FDR[FDR]&amp;FDR[[#Headers],[27]],FDR[27],"",0,1)</f>
        <v>3</v>
      </c>
      <c r="AN39" cm="1">
        <f t="array" ref="AN39">_xlfn.XLOOKUP(Matrix[[#This Row],[TEAM]]&amp;Matrix[[#Headers],[28]],FDR[FDR]&amp;FDR[[#Headers],[28]],FDR[28],"",0,1)</f>
        <v>3</v>
      </c>
      <c r="AO39" cm="1">
        <f t="array" ref="AO39">_xlfn.XLOOKUP(Matrix[[#This Row],[TEAM]]&amp;Matrix[[#Headers],[29]],FDR[FDR]&amp;FDR[[#Headers],[29]],FDR[29],"",0,1)</f>
        <v>4</v>
      </c>
      <c r="AP39" cm="1">
        <f t="array" ref="AP39">_xlfn.XLOOKUP(Matrix[[#This Row],[TEAM]]&amp;Matrix[[#Headers],[30]],FDR[FDR]&amp;FDR[[#Headers],[30]],FDR[30],"",0,1)</f>
        <v>2</v>
      </c>
      <c r="AQ39" cm="1">
        <f t="array" ref="AQ39">_xlfn.XLOOKUP(Matrix[[#This Row],[TEAM]]&amp;Matrix[[#Headers],[31]],FDR[FDR]&amp;FDR[[#Headers],[31]],FDR[31],"",0,1)</f>
        <v>4</v>
      </c>
      <c r="AR39" cm="1">
        <f t="array" ref="AR39">_xlfn.XLOOKUP(Matrix[[#This Row],[TEAM]]&amp;Matrix[[#Headers],[32]],FDR[FDR]&amp;FDR[[#Headers],[32]],FDR[32],"",0,1)</f>
        <v>2</v>
      </c>
      <c r="AS39" cm="1">
        <f t="array" ref="AS39">_xlfn.XLOOKUP(Matrix[[#This Row],[TEAM]]&amp;Matrix[[#Headers],[33]],FDR[FDR]&amp;FDR[[#Headers],[33]],FDR[33],"",0,1)</f>
        <v>5</v>
      </c>
      <c r="AT39" cm="1">
        <f t="array" ref="AT39">_xlfn.XLOOKUP(Matrix[[#This Row],[TEAM]]&amp;Matrix[[#Headers],[34]],FDR[FDR]&amp;FDR[[#Headers],[34]],FDR[34],"",0,1)</f>
        <v>4</v>
      </c>
      <c r="AU39" cm="1">
        <f t="array" ref="AU39">_xlfn.XLOOKUP(Matrix[[#This Row],[TEAM]]&amp;Matrix[[#Headers],[35]],FDR[FDR]&amp;FDR[[#Headers],[35]],FDR[35],"",0,1)</f>
        <v>5</v>
      </c>
      <c r="AV39" cm="1">
        <f t="array" ref="AV39">_xlfn.XLOOKUP(Matrix[[#This Row],[TEAM]]&amp;Matrix[[#Headers],[36]],FDR[FDR]&amp;FDR[[#Headers],[36]],FDR[36],"",0,1)</f>
        <v>1</v>
      </c>
      <c r="AW39" cm="1">
        <f t="array" ref="AW39">_xlfn.XLOOKUP(Matrix[[#This Row],[TEAM]]&amp;Matrix[[#Headers],[37]],FDR[FDR]&amp;FDR[[#Headers],[37]],FDR[37],"",0,1)</f>
        <v>2</v>
      </c>
      <c r="AX39" cm="1">
        <f t="array" ref="AX39">_xlfn.XLOOKUP(Matrix[[#This Row],[TEAM]]&amp;Matrix[[#Headers],[38]],FDR[FDR]&amp;FDR[[#Headers],[38]],FDR[38],"",0,1)</f>
        <v>4</v>
      </c>
    </row>
    <row r="40" spans="1:50" ht="22" thickTop="1" thickBot="1">
      <c r="A40" s="50" t="str">
        <f>INDEX!S$4</f>
        <v>MID</v>
      </c>
      <c r="B40" s="70" t="s">
        <v>1325</v>
      </c>
      <c r="C40" s="40" t="s">
        <v>17</v>
      </c>
      <c r="D40" s="62">
        <v>143</v>
      </c>
      <c r="E40" s="60">
        <v>0.02</v>
      </c>
      <c r="F40" s="61">
        <v>198.1</v>
      </c>
      <c r="G40" s="63">
        <v>6.5</v>
      </c>
      <c r="H40" s="261">
        <f>IF(ISBLANK(I40),0,1)</f>
        <v>0</v>
      </c>
      <c r="I40" s="57"/>
      <c r="J40" s="58"/>
      <c r="K40" s="59" t="s">
        <v>595</v>
      </c>
      <c r="L40" s="59" t="s">
        <v>194</v>
      </c>
      <c r="M40" cm="1">
        <f t="array" ref="M40">_xlfn.XLOOKUP(Matrix[[#This Row],[TEAM]]&amp;Matrix[[#Headers],[1]],FDR[FDR]&amp;FDR[[#Headers],[1]],FDR[1],"",0,1)</f>
        <v>1</v>
      </c>
      <c r="N40" cm="1">
        <f t="array" ref="N40">_xlfn.XLOOKUP(Matrix[[#This Row],[TEAM]]&amp;Matrix[[#Headers],[2]],FDR[FDR]&amp;FDR[[#Headers],[2]],FDR[2],"",0,1)</f>
        <v>3</v>
      </c>
      <c r="O40" cm="1">
        <f t="array" ref="O40">_xlfn.XLOOKUP(Matrix[[#This Row],[TEAM]]&amp;Matrix[[#Headers],[3]],FDR[FDR]&amp;FDR[[#Headers],[3]],FDR[3],"",0,1)</f>
        <v>3</v>
      </c>
      <c r="P40" cm="1">
        <f t="array" ref="P40">_xlfn.XLOOKUP(Matrix[[#This Row],[TEAM]]&amp;Matrix[[#Headers],[4]],FDR[FDR]&amp;FDR[[#Headers],[4]],FDR[4],"",0,1)</f>
        <v>1</v>
      </c>
      <c r="Q40" cm="1">
        <f t="array" ref="Q40">_xlfn.XLOOKUP(Matrix[[#This Row],[TEAM]]&amp;Matrix[[#Headers],[5]],FDR[FDR]&amp;FDR[[#Headers],[5]],FDR[5],"",0,1)</f>
        <v>1</v>
      </c>
      <c r="R40" cm="1">
        <f t="array" ref="R40">_xlfn.XLOOKUP(Matrix[[#This Row],[TEAM]]&amp;Matrix[[#Headers],[6]],FDR[FDR]&amp;FDR[[#Headers],[6]],FDR[6],"",0,1)</f>
        <v>2</v>
      </c>
      <c r="S40" cm="1">
        <f t="array" ref="S40">_xlfn.XLOOKUP(Matrix[[#This Row],[TEAM]]&amp;Matrix[[#Headers],[7]],FDR[FDR]&amp;FDR[[#Headers],[7]],FDR[7],"",0,1)</f>
        <v>3</v>
      </c>
      <c r="T40" cm="1">
        <f t="array" ref="T40">_xlfn.XLOOKUP(Matrix[[#This Row],[TEAM]]&amp;Matrix[[#Headers],[8]],FDR[FDR]&amp;FDR[[#Headers],[8]],FDR[8],"",0,1)</f>
        <v>2</v>
      </c>
      <c r="U40" cm="1">
        <f t="array" ref="U40">_xlfn.XLOOKUP(Matrix[[#This Row],[TEAM]]&amp;Matrix[[#Headers],[9]],FDR[FDR]&amp;FDR[[#Headers],[9]],FDR[9],"",0,1)</f>
        <v>2</v>
      </c>
      <c r="V40" cm="1">
        <f t="array" ref="V40">_xlfn.XLOOKUP(Matrix[[#This Row],[TEAM]]&amp;Matrix[[#Headers],[10]],FDR[FDR]&amp;FDR[[#Headers],[10]],FDR[10],"",0,1)</f>
        <v>2</v>
      </c>
      <c r="W40" cm="1">
        <f t="array" ref="W40">_xlfn.XLOOKUP(Matrix[[#This Row],[TEAM]]&amp;Matrix[[#Headers],[11]],FDR[FDR]&amp;FDR[[#Headers],[11]],FDR[11],"",0,1)</f>
        <v>3</v>
      </c>
      <c r="X40" cm="1">
        <f t="array" ref="X40">_xlfn.XLOOKUP(Matrix[[#This Row],[TEAM]]&amp;Matrix[[#Headers],[12]],FDR[FDR]&amp;FDR[[#Headers],[12]],FDR[12],"",0,1)</f>
        <v>1</v>
      </c>
      <c r="Y40" cm="1">
        <f t="array" ref="Y40">_xlfn.XLOOKUP(Matrix[[#This Row],[TEAM]]&amp;Matrix[[#Headers],[13]],FDR[FDR]&amp;FDR[[#Headers],[13]],FDR[13],"",0,1)</f>
        <v>2</v>
      </c>
      <c r="Z40" cm="1">
        <f t="array" ref="Z40">_xlfn.XLOOKUP(Matrix[[#This Row],[TEAM]]&amp;Matrix[[#Headers],[14]],FDR[FDR]&amp;FDR[[#Headers],[14]],FDR[14],"",0,1)</f>
        <v>1</v>
      </c>
      <c r="AA40" cm="1">
        <f t="array" ref="AA40">_xlfn.XLOOKUP(Matrix[[#This Row],[TEAM]]&amp;Matrix[[#Headers],[15]],FDR[FDR]&amp;FDR[[#Headers],[15]],FDR[15],"",0,1)</f>
        <v>1</v>
      </c>
      <c r="AB40" cm="1">
        <f t="array" ref="AB40">_xlfn.XLOOKUP(Matrix[[#This Row],[TEAM]]&amp;Matrix[[#Headers],[16]],FDR[FDR]&amp;FDR[[#Headers],[16]],FDR[16],"",0,1)</f>
        <v>1</v>
      </c>
      <c r="AC40" cm="1">
        <f t="array" ref="AC40">_xlfn.XLOOKUP(Matrix[[#This Row],[TEAM]]&amp;Matrix[[#Headers],[17]],FDR[FDR]&amp;FDR[[#Headers],[17]],FDR[17],"",0,1)</f>
        <v>3</v>
      </c>
      <c r="AD40" cm="1">
        <f t="array" ref="AD40">_xlfn.XLOOKUP(Matrix[[#This Row],[TEAM]]&amp;Matrix[[#Headers],[18]],FDR[FDR]&amp;FDR[[#Headers],[18]],FDR[18],"",0,1)</f>
        <v>1</v>
      </c>
      <c r="AE40" cm="1">
        <f t="array" ref="AE40">_xlfn.XLOOKUP(Matrix[[#This Row],[TEAM]]&amp;Matrix[[#Headers],[19]],FDR[FDR]&amp;FDR[[#Headers],[19]],FDR[19],"",0,1)</f>
        <v>1</v>
      </c>
      <c r="AF40" cm="1">
        <f t="array" ref="AF40">_xlfn.XLOOKUP(Matrix[[#This Row],[TEAM]]&amp;Matrix[[#Headers],[20]],FDR[FDR]&amp;FDR[[#Headers],[20]],FDR[20],"",0,1)</f>
        <v>2</v>
      </c>
      <c r="AG40" cm="1">
        <f t="array" ref="AG40">_xlfn.XLOOKUP(Matrix[[#This Row],[TEAM]]&amp;Matrix[[#Headers],[21]],FDR[FDR]&amp;FDR[[#Headers],[21]],FDR[21],"",0,1)</f>
        <v>3</v>
      </c>
      <c r="AH40" cm="1">
        <f t="array" ref="AH40">_xlfn.XLOOKUP(Matrix[[#This Row],[TEAM]]&amp;Matrix[[#Headers],[22]],FDR[FDR]&amp;FDR[[#Headers],[22]],FDR[22],"",0,1)</f>
        <v>1</v>
      </c>
      <c r="AI40" cm="1">
        <f t="array" ref="AI40">_xlfn.XLOOKUP(Matrix[[#This Row],[TEAM]]&amp;Matrix[[#Headers],[23]],FDR[FDR]&amp;FDR[[#Headers],[23]],FDR[23],"",0,1)</f>
        <v>2</v>
      </c>
      <c r="AJ40" cm="1">
        <f t="array" ref="AJ40">_xlfn.XLOOKUP(Matrix[[#This Row],[TEAM]]&amp;Matrix[[#Headers],[24]],FDR[FDR]&amp;FDR[[#Headers],[24]],FDR[24],"",0,1)</f>
        <v>2</v>
      </c>
      <c r="AK40" cm="1">
        <f t="array" ref="AK40">_xlfn.XLOOKUP(Matrix[[#This Row],[TEAM]]&amp;Matrix[[#Headers],[25]],FDR[FDR]&amp;FDR[[#Headers],[25]],FDR[25],"",0,1)</f>
        <v>3</v>
      </c>
      <c r="AL40" cm="1">
        <f t="array" ref="AL40">_xlfn.XLOOKUP(Matrix[[#This Row],[TEAM]]&amp;Matrix[[#Headers],[26]],FDR[FDR]&amp;FDR[[#Headers],[26]],FDR[26],"",0,1)</f>
        <v>1</v>
      </c>
      <c r="AM40" cm="1">
        <f t="array" ref="AM40">_xlfn.XLOOKUP(Matrix[[#This Row],[TEAM]]&amp;Matrix[[#Headers],[27]],FDR[FDR]&amp;FDR[[#Headers],[27]],FDR[27],"",0,1)</f>
        <v>2</v>
      </c>
      <c r="AN40" cm="1">
        <f t="array" ref="AN40">_xlfn.XLOOKUP(Matrix[[#This Row],[TEAM]]&amp;Matrix[[#Headers],[28]],FDR[FDR]&amp;FDR[[#Headers],[28]],FDR[28],"",0,1)</f>
        <v>1</v>
      </c>
      <c r="AO40" cm="1">
        <f t="array" ref="AO40">_xlfn.XLOOKUP(Matrix[[#This Row],[TEAM]]&amp;Matrix[[#Headers],[29]],FDR[FDR]&amp;FDR[[#Headers],[29]],FDR[29],"",0,1)</f>
        <v>1</v>
      </c>
      <c r="AP40" cm="1">
        <f t="array" ref="AP40">_xlfn.XLOOKUP(Matrix[[#This Row],[TEAM]]&amp;Matrix[[#Headers],[30]],FDR[FDR]&amp;FDR[[#Headers],[30]],FDR[30],"",0,1)</f>
        <v>2</v>
      </c>
      <c r="AQ40" cm="1">
        <f t="array" ref="AQ40">_xlfn.XLOOKUP(Matrix[[#This Row],[TEAM]]&amp;Matrix[[#Headers],[31]],FDR[FDR]&amp;FDR[[#Headers],[31]],FDR[31],"",0,1)</f>
        <v>2</v>
      </c>
      <c r="AR40" cm="1">
        <f t="array" ref="AR40">_xlfn.XLOOKUP(Matrix[[#This Row],[TEAM]]&amp;Matrix[[#Headers],[32]],FDR[FDR]&amp;FDR[[#Headers],[32]],FDR[32],"",0,1)</f>
        <v>1</v>
      </c>
      <c r="AS40" cm="1">
        <f t="array" ref="AS40">_xlfn.XLOOKUP(Matrix[[#This Row],[TEAM]]&amp;Matrix[[#Headers],[33]],FDR[FDR]&amp;FDR[[#Headers],[33]],FDR[33],"",0,1)</f>
        <v>2</v>
      </c>
      <c r="AT40" cm="1">
        <f t="array" ref="AT40">_xlfn.XLOOKUP(Matrix[[#This Row],[TEAM]]&amp;Matrix[[#Headers],[34]],FDR[FDR]&amp;FDR[[#Headers],[34]],FDR[34],"",0,1)</f>
        <v>1</v>
      </c>
      <c r="AU40" cm="1">
        <f t="array" ref="AU40">_xlfn.XLOOKUP(Matrix[[#This Row],[TEAM]]&amp;Matrix[[#Headers],[35]],FDR[FDR]&amp;FDR[[#Headers],[35]],FDR[35],"",0,1)</f>
        <v>3</v>
      </c>
      <c r="AV40" cm="1">
        <f t="array" ref="AV40">_xlfn.XLOOKUP(Matrix[[#This Row],[TEAM]]&amp;Matrix[[#Headers],[36]],FDR[FDR]&amp;FDR[[#Headers],[36]],FDR[36],"",0,1)</f>
        <v>2</v>
      </c>
      <c r="AW40" cm="1">
        <f t="array" ref="AW40">_xlfn.XLOOKUP(Matrix[[#This Row],[TEAM]]&amp;Matrix[[#Headers],[37]],FDR[FDR]&amp;FDR[[#Headers],[37]],FDR[37],"",0,1)</f>
        <v>3</v>
      </c>
      <c r="AX40" cm="1">
        <f t="array" ref="AX40">_xlfn.XLOOKUP(Matrix[[#This Row],[TEAM]]&amp;Matrix[[#Headers],[38]],FDR[FDR]&amp;FDR[[#Headers],[38]],FDR[38],"",0,1)</f>
        <v>1</v>
      </c>
    </row>
    <row r="41" spans="1:50" ht="22" thickTop="1" thickBot="1">
      <c r="A41" s="50" t="str">
        <f>INDEX!S$4</f>
        <v>MID</v>
      </c>
      <c r="B41" s="70" t="s">
        <v>1321</v>
      </c>
      <c r="C41" s="40" t="s">
        <v>18</v>
      </c>
      <c r="D41" s="62">
        <v>135</v>
      </c>
      <c r="E41" s="60">
        <v>3.6999999999999998E-2</v>
      </c>
      <c r="F41" s="61">
        <v>241.3</v>
      </c>
      <c r="G41" s="63">
        <v>6.5</v>
      </c>
      <c r="H41" s="261">
        <f>IF(ISBLANK(I41),0,1)</f>
        <v>0</v>
      </c>
      <c r="I41" s="259"/>
      <c r="J41" s="58"/>
      <c r="K41" s="59" t="s">
        <v>239</v>
      </c>
      <c r="L41" s="59" t="s">
        <v>182</v>
      </c>
      <c r="M41" cm="1">
        <f t="array" ref="M41">_xlfn.XLOOKUP(Matrix[[#This Row],[TEAM]]&amp;Matrix[[#Headers],[1]],FDR[FDR]&amp;FDR[[#Headers],[1]],FDR[1],"",0,1)</f>
        <v>1</v>
      </c>
      <c r="N41" cm="1">
        <f t="array" ref="N41">_xlfn.XLOOKUP(Matrix[[#This Row],[TEAM]]&amp;Matrix[[#Headers],[2]],FDR[FDR]&amp;FDR[[#Headers],[2]],FDR[2],"",0,1)</f>
        <v>2</v>
      </c>
      <c r="O41" cm="1">
        <f t="array" ref="O41">_xlfn.XLOOKUP(Matrix[[#This Row],[TEAM]]&amp;Matrix[[#Headers],[3]],FDR[FDR]&amp;FDR[[#Headers],[3]],FDR[3],"",0,1)</f>
        <v>1</v>
      </c>
      <c r="P41" cm="1">
        <f t="array" ref="P41">_xlfn.XLOOKUP(Matrix[[#This Row],[TEAM]]&amp;Matrix[[#Headers],[4]],FDR[FDR]&amp;FDR[[#Headers],[4]],FDR[4],"",0,1)</f>
        <v>2</v>
      </c>
      <c r="Q41" cm="1">
        <f t="array" ref="Q41">_xlfn.XLOOKUP(Matrix[[#This Row],[TEAM]]&amp;Matrix[[#Headers],[5]],FDR[FDR]&amp;FDR[[#Headers],[5]],FDR[5],"",0,1)</f>
        <v>3</v>
      </c>
      <c r="R41" cm="1">
        <f t="array" ref="R41">_xlfn.XLOOKUP(Matrix[[#This Row],[TEAM]]&amp;Matrix[[#Headers],[6]],FDR[FDR]&amp;FDR[[#Headers],[6]],FDR[6],"",0,1)</f>
        <v>1</v>
      </c>
      <c r="S41" cm="1">
        <f t="array" ref="S41">_xlfn.XLOOKUP(Matrix[[#This Row],[TEAM]]&amp;Matrix[[#Headers],[7]],FDR[FDR]&amp;FDR[[#Headers],[7]],FDR[7],"",0,1)</f>
        <v>3</v>
      </c>
      <c r="T41" cm="1">
        <f t="array" ref="T41">_xlfn.XLOOKUP(Matrix[[#This Row],[TEAM]]&amp;Matrix[[#Headers],[8]],FDR[FDR]&amp;FDR[[#Headers],[8]],FDR[8],"",0,1)</f>
        <v>2</v>
      </c>
      <c r="U41" cm="1">
        <f t="array" ref="U41">_xlfn.XLOOKUP(Matrix[[#This Row],[TEAM]]&amp;Matrix[[#Headers],[9]],FDR[FDR]&amp;FDR[[#Headers],[9]],FDR[9],"",0,1)</f>
        <v>1</v>
      </c>
      <c r="V41" cm="1">
        <f t="array" ref="V41">_xlfn.XLOOKUP(Matrix[[#This Row],[TEAM]]&amp;Matrix[[#Headers],[10]],FDR[FDR]&amp;FDR[[#Headers],[10]],FDR[10],"",0,1)</f>
        <v>3</v>
      </c>
      <c r="W41" cm="1">
        <f t="array" ref="W41">_xlfn.XLOOKUP(Matrix[[#This Row],[TEAM]]&amp;Matrix[[#Headers],[11]],FDR[FDR]&amp;FDR[[#Headers],[11]],FDR[11],"",0,1)</f>
        <v>1</v>
      </c>
      <c r="X41" cm="1">
        <f t="array" ref="X41">_xlfn.XLOOKUP(Matrix[[#This Row],[TEAM]]&amp;Matrix[[#Headers],[12]],FDR[FDR]&amp;FDR[[#Headers],[12]],FDR[12],"",0,1)</f>
        <v>1</v>
      </c>
      <c r="Y41" cm="1">
        <f t="array" ref="Y41">_xlfn.XLOOKUP(Matrix[[#This Row],[TEAM]]&amp;Matrix[[#Headers],[13]],FDR[FDR]&amp;FDR[[#Headers],[13]],FDR[13],"",0,1)</f>
        <v>3</v>
      </c>
      <c r="Z41" cm="1">
        <f t="array" ref="Z41">_xlfn.XLOOKUP(Matrix[[#This Row],[TEAM]]&amp;Matrix[[#Headers],[14]],FDR[FDR]&amp;FDR[[#Headers],[14]],FDR[14],"",0,1)</f>
        <v>1</v>
      </c>
      <c r="AA41" cm="1">
        <f t="array" ref="AA41">_xlfn.XLOOKUP(Matrix[[#This Row],[TEAM]]&amp;Matrix[[#Headers],[15]],FDR[FDR]&amp;FDR[[#Headers],[15]],FDR[15],"",0,1)</f>
        <v>2</v>
      </c>
      <c r="AB41" cm="1">
        <f t="array" ref="AB41">_xlfn.XLOOKUP(Matrix[[#This Row],[TEAM]]&amp;Matrix[[#Headers],[16]],FDR[FDR]&amp;FDR[[#Headers],[16]],FDR[16],"",0,1)</f>
        <v>1</v>
      </c>
      <c r="AC41" cm="1">
        <f t="array" ref="AC41">_xlfn.XLOOKUP(Matrix[[#This Row],[TEAM]]&amp;Matrix[[#Headers],[17]],FDR[FDR]&amp;FDR[[#Headers],[17]],FDR[17],"",0,1)</f>
        <v>3</v>
      </c>
      <c r="AD41" cm="1">
        <f t="array" ref="AD41">_xlfn.XLOOKUP(Matrix[[#This Row],[TEAM]]&amp;Matrix[[#Headers],[18]],FDR[FDR]&amp;FDR[[#Headers],[18]],FDR[18],"",0,1)</f>
        <v>2</v>
      </c>
      <c r="AE41" cm="1">
        <f t="array" ref="AE41">_xlfn.XLOOKUP(Matrix[[#This Row],[TEAM]]&amp;Matrix[[#Headers],[19]],FDR[FDR]&amp;FDR[[#Headers],[19]],FDR[19],"",0,1)</f>
        <v>1</v>
      </c>
      <c r="AF41" cm="1">
        <f t="array" ref="AF41">_xlfn.XLOOKUP(Matrix[[#This Row],[TEAM]]&amp;Matrix[[#Headers],[20]],FDR[FDR]&amp;FDR[[#Headers],[20]],FDR[20],"",0,1)</f>
        <v>4</v>
      </c>
      <c r="AG41" cm="1">
        <f t="array" ref="AG41">_xlfn.XLOOKUP(Matrix[[#This Row],[TEAM]]&amp;Matrix[[#Headers],[21]],FDR[FDR]&amp;FDR[[#Headers],[21]],FDR[21],"",0,1)</f>
        <v>2</v>
      </c>
      <c r="AH41" cm="1">
        <f t="array" ref="AH41">_xlfn.XLOOKUP(Matrix[[#This Row],[TEAM]]&amp;Matrix[[#Headers],[22]],FDR[FDR]&amp;FDR[[#Headers],[22]],FDR[22],"",0,1)</f>
        <v>1</v>
      </c>
      <c r="AI41" cm="1">
        <f t="array" ref="AI41">_xlfn.XLOOKUP(Matrix[[#This Row],[TEAM]]&amp;Matrix[[#Headers],[23]],FDR[FDR]&amp;FDR[[#Headers],[23]],FDR[23],"",0,1)</f>
        <v>2</v>
      </c>
      <c r="AJ41" cm="1">
        <f t="array" ref="AJ41">_xlfn.XLOOKUP(Matrix[[#This Row],[TEAM]]&amp;Matrix[[#Headers],[24]],FDR[FDR]&amp;FDR[[#Headers],[24]],FDR[24],"",0,1)</f>
        <v>1</v>
      </c>
      <c r="AK41" cm="1">
        <f t="array" ref="AK41">_xlfn.XLOOKUP(Matrix[[#This Row],[TEAM]]&amp;Matrix[[#Headers],[25]],FDR[FDR]&amp;FDR[[#Headers],[25]],FDR[25],"",0,1)</f>
        <v>1</v>
      </c>
      <c r="AL41" cm="1">
        <f t="array" ref="AL41">_xlfn.XLOOKUP(Matrix[[#This Row],[TEAM]]&amp;Matrix[[#Headers],[26]],FDR[FDR]&amp;FDR[[#Headers],[26]],FDR[26],"",0,1)</f>
        <v>1</v>
      </c>
      <c r="AM41" cm="1">
        <f t="array" ref="AM41">_xlfn.XLOOKUP(Matrix[[#This Row],[TEAM]]&amp;Matrix[[#Headers],[27]],FDR[FDR]&amp;FDR[[#Headers],[27]],FDR[27],"",0,1)</f>
        <v>1</v>
      </c>
      <c r="AN41" cm="1">
        <f t="array" ref="AN41">_xlfn.XLOOKUP(Matrix[[#This Row],[TEAM]]&amp;Matrix[[#Headers],[28]],FDR[FDR]&amp;FDR[[#Headers],[28]],FDR[28],"",0,1)</f>
        <v>4</v>
      </c>
      <c r="AO41" cm="1">
        <f t="array" ref="AO41">_xlfn.XLOOKUP(Matrix[[#This Row],[TEAM]]&amp;Matrix[[#Headers],[29]],FDR[FDR]&amp;FDR[[#Headers],[29]],FDR[29],"",0,1)</f>
        <v>3</v>
      </c>
      <c r="AP41" cm="1">
        <f t="array" ref="AP41">_xlfn.XLOOKUP(Matrix[[#This Row],[TEAM]]&amp;Matrix[[#Headers],[30]],FDR[FDR]&amp;FDR[[#Headers],[30]],FDR[30],"",0,1)</f>
        <v>2</v>
      </c>
      <c r="AQ41" cm="1">
        <f t="array" ref="AQ41">_xlfn.XLOOKUP(Matrix[[#This Row],[TEAM]]&amp;Matrix[[#Headers],[31]],FDR[FDR]&amp;FDR[[#Headers],[31]],FDR[31],"",0,1)</f>
        <v>2</v>
      </c>
      <c r="AR41" cm="1">
        <f t="array" ref="AR41">_xlfn.XLOOKUP(Matrix[[#This Row],[TEAM]]&amp;Matrix[[#Headers],[32]],FDR[FDR]&amp;FDR[[#Headers],[32]],FDR[32],"",0,1)</f>
        <v>3</v>
      </c>
      <c r="AS41" cm="1">
        <f t="array" ref="AS41">_xlfn.XLOOKUP(Matrix[[#This Row],[TEAM]]&amp;Matrix[[#Headers],[33]],FDR[FDR]&amp;FDR[[#Headers],[33]],FDR[33],"",0,1)</f>
        <v>2</v>
      </c>
      <c r="AT41" cm="1">
        <f t="array" ref="AT41">_xlfn.XLOOKUP(Matrix[[#This Row],[TEAM]]&amp;Matrix[[#Headers],[34]],FDR[FDR]&amp;FDR[[#Headers],[34]],FDR[34],"",0,1)</f>
        <v>2</v>
      </c>
      <c r="AU41" cm="1">
        <f t="array" ref="AU41">_xlfn.XLOOKUP(Matrix[[#This Row],[TEAM]]&amp;Matrix[[#Headers],[35]],FDR[FDR]&amp;FDR[[#Headers],[35]],FDR[35],"",0,1)</f>
        <v>1</v>
      </c>
      <c r="AV41" cm="1">
        <f t="array" ref="AV41">_xlfn.XLOOKUP(Matrix[[#This Row],[TEAM]]&amp;Matrix[[#Headers],[36]],FDR[FDR]&amp;FDR[[#Headers],[36]],FDR[36],"",0,1)</f>
        <v>4</v>
      </c>
      <c r="AW41" cm="1">
        <f t="array" ref="AW41">_xlfn.XLOOKUP(Matrix[[#This Row],[TEAM]]&amp;Matrix[[#Headers],[37]],FDR[FDR]&amp;FDR[[#Headers],[37]],FDR[37],"",0,1)</f>
        <v>2</v>
      </c>
      <c r="AX41" cm="1">
        <f t="array" ref="AX41">_xlfn.XLOOKUP(Matrix[[#This Row],[TEAM]]&amp;Matrix[[#Headers],[38]],FDR[FDR]&amp;FDR[[#Headers],[38]],FDR[38],"",0,1)</f>
        <v>1</v>
      </c>
    </row>
    <row r="42" spans="1:50" ht="22" thickTop="1" thickBot="1">
      <c r="A42" s="50" t="str">
        <f>INDEX!S$4</f>
        <v>MID</v>
      </c>
      <c r="B42" s="70" t="s">
        <v>1328</v>
      </c>
      <c r="C42" s="40" t="s">
        <v>25</v>
      </c>
      <c r="D42" s="62">
        <v>135</v>
      </c>
      <c r="E42" s="60">
        <v>1.6E-2</v>
      </c>
      <c r="F42" s="61">
        <v>197.5</v>
      </c>
      <c r="G42" s="63">
        <v>6.5</v>
      </c>
      <c r="H42" s="261">
        <f>IF(ISBLANK(I42),0,1)</f>
        <v>0</v>
      </c>
      <c r="I42" s="57"/>
      <c r="J42" s="58"/>
      <c r="K42" s="59" t="s">
        <v>414</v>
      </c>
      <c r="L42" s="59" t="s">
        <v>1123</v>
      </c>
      <c r="M42" cm="1">
        <f t="array" ref="M42">_xlfn.XLOOKUP(Matrix[[#This Row],[TEAM]]&amp;Matrix[[#Headers],[1]],FDR[FDR]&amp;FDR[[#Headers],[1]],FDR[1],"",0,1)</f>
        <v>3</v>
      </c>
      <c r="N42" cm="1">
        <f t="array" ref="N42">_xlfn.XLOOKUP(Matrix[[#This Row],[TEAM]]&amp;Matrix[[#Headers],[2]],FDR[FDR]&amp;FDR[[#Headers],[2]],FDR[2],"",0,1)</f>
        <v>3</v>
      </c>
      <c r="O42" cm="1">
        <f t="array" ref="O42">_xlfn.XLOOKUP(Matrix[[#This Row],[TEAM]]&amp;Matrix[[#Headers],[3]],FDR[FDR]&amp;FDR[[#Headers],[3]],FDR[3],"",0,1)</f>
        <v>1</v>
      </c>
      <c r="P42" cm="1">
        <f t="array" ref="P42">_xlfn.XLOOKUP(Matrix[[#This Row],[TEAM]]&amp;Matrix[[#Headers],[4]],FDR[FDR]&amp;FDR[[#Headers],[4]],FDR[4],"",0,1)</f>
        <v>1</v>
      </c>
      <c r="Q42" cm="1">
        <f t="array" ref="Q42">_xlfn.XLOOKUP(Matrix[[#This Row],[TEAM]]&amp;Matrix[[#Headers],[5]],FDR[FDR]&amp;FDR[[#Headers],[5]],FDR[5],"",0,1)</f>
        <v>2</v>
      </c>
      <c r="R42" cm="1">
        <f t="array" ref="R42">_xlfn.XLOOKUP(Matrix[[#This Row],[TEAM]]&amp;Matrix[[#Headers],[6]],FDR[FDR]&amp;FDR[[#Headers],[6]],FDR[6],"",0,1)</f>
        <v>3</v>
      </c>
      <c r="S42" cm="1">
        <f t="array" ref="S42">_xlfn.XLOOKUP(Matrix[[#This Row],[TEAM]]&amp;Matrix[[#Headers],[7]],FDR[FDR]&amp;FDR[[#Headers],[7]],FDR[7],"",0,1)</f>
        <v>2</v>
      </c>
      <c r="T42" cm="1">
        <f t="array" ref="T42">_xlfn.XLOOKUP(Matrix[[#This Row],[TEAM]]&amp;Matrix[[#Headers],[8]],FDR[FDR]&amp;FDR[[#Headers],[8]],FDR[8],"",0,1)</f>
        <v>2</v>
      </c>
      <c r="U42" cm="1">
        <f t="array" ref="U42">_xlfn.XLOOKUP(Matrix[[#This Row],[TEAM]]&amp;Matrix[[#Headers],[9]],FDR[FDR]&amp;FDR[[#Headers],[9]],FDR[9],"",0,1)</f>
        <v>2</v>
      </c>
      <c r="V42" cm="1">
        <f t="array" ref="V42">_xlfn.XLOOKUP(Matrix[[#This Row],[TEAM]]&amp;Matrix[[#Headers],[10]],FDR[FDR]&amp;FDR[[#Headers],[10]],FDR[10],"",0,1)</f>
        <v>2</v>
      </c>
      <c r="W42" cm="1">
        <f t="array" ref="W42">_xlfn.XLOOKUP(Matrix[[#This Row],[TEAM]]&amp;Matrix[[#Headers],[11]],FDR[FDR]&amp;FDR[[#Headers],[11]],FDR[11],"",0,1)</f>
        <v>2</v>
      </c>
      <c r="X42" cm="1">
        <f t="array" ref="X42">_xlfn.XLOOKUP(Matrix[[#This Row],[TEAM]]&amp;Matrix[[#Headers],[12]],FDR[FDR]&amp;FDR[[#Headers],[12]],FDR[12],"",0,1)</f>
        <v>3</v>
      </c>
      <c r="Y42" cm="1">
        <f t="array" ref="Y42">_xlfn.XLOOKUP(Matrix[[#This Row],[TEAM]]&amp;Matrix[[#Headers],[13]],FDR[FDR]&amp;FDR[[#Headers],[13]],FDR[13],"",0,1)</f>
        <v>2</v>
      </c>
      <c r="Z42" cm="1">
        <f t="array" ref="Z42">_xlfn.XLOOKUP(Matrix[[#This Row],[TEAM]]&amp;Matrix[[#Headers],[14]],FDR[FDR]&amp;FDR[[#Headers],[14]],FDR[14],"",0,1)</f>
        <v>3</v>
      </c>
      <c r="AA42" cm="1">
        <f t="array" ref="AA42">_xlfn.XLOOKUP(Matrix[[#This Row],[TEAM]]&amp;Matrix[[#Headers],[15]],FDR[FDR]&amp;FDR[[#Headers],[15]],FDR[15],"",0,1)</f>
        <v>1</v>
      </c>
      <c r="AB42" cm="1">
        <f t="array" ref="AB42">_xlfn.XLOOKUP(Matrix[[#This Row],[TEAM]]&amp;Matrix[[#Headers],[16]],FDR[FDR]&amp;FDR[[#Headers],[16]],FDR[16],"",0,1)</f>
        <v>1</v>
      </c>
      <c r="AC42" cm="1">
        <f t="array" ref="AC42">_xlfn.XLOOKUP(Matrix[[#This Row],[TEAM]]&amp;Matrix[[#Headers],[17]],FDR[FDR]&amp;FDR[[#Headers],[17]],FDR[17],"",0,1)</f>
        <v>3</v>
      </c>
      <c r="AD42" cm="1">
        <f t="array" ref="AD42">_xlfn.XLOOKUP(Matrix[[#This Row],[TEAM]]&amp;Matrix[[#Headers],[18]],FDR[FDR]&amp;FDR[[#Headers],[18]],FDR[18],"",0,1)</f>
        <v>4</v>
      </c>
      <c r="AE42" cm="1">
        <f t="array" ref="AE42">_xlfn.XLOOKUP(Matrix[[#This Row],[TEAM]]&amp;Matrix[[#Headers],[19]],FDR[FDR]&amp;FDR[[#Headers],[19]],FDR[19],"",0,1)</f>
        <v>1</v>
      </c>
      <c r="AF42" cm="1">
        <f t="array" ref="AF42">_xlfn.XLOOKUP(Matrix[[#This Row],[TEAM]]&amp;Matrix[[#Headers],[20]],FDR[FDR]&amp;FDR[[#Headers],[20]],FDR[20],"",0,1)</f>
        <v>1</v>
      </c>
      <c r="AG42" cm="1">
        <f t="array" ref="AG42">_xlfn.XLOOKUP(Matrix[[#This Row],[TEAM]]&amp;Matrix[[#Headers],[21]],FDR[FDR]&amp;FDR[[#Headers],[21]],FDR[21],"",0,1)</f>
        <v>1</v>
      </c>
      <c r="AH42" cm="1">
        <f t="array" ref="AH42">_xlfn.XLOOKUP(Matrix[[#This Row],[TEAM]]&amp;Matrix[[#Headers],[22]],FDR[FDR]&amp;FDR[[#Headers],[22]],FDR[22],"",0,1)</f>
        <v>1</v>
      </c>
      <c r="AI42" cm="1">
        <f t="array" ref="AI42">_xlfn.XLOOKUP(Matrix[[#This Row],[TEAM]]&amp;Matrix[[#Headers],[23]],FDR[FDR]&amp;FDR[[#Headers],[23]],FDR[23],"",0,1)</f>
        <v>2</v>
      </c>
      <c r="AJ42" cm="1">
        <f t="array" ref="AJ42">_xlfn.XLOOKUP(Matrix[[#This Row],[TEAM]]&amp;Matrix[[#Headers],[24]],FDR[FDR]&amp;FDR[[#Headers],[24]],FDR[24],"",0,1)</f>
        <v>4</v>
      </c>
      <c r="AK42" cm="1">
        <f t="array" ref="AK42">_xlfn.XLOOKUP(Matrix[[#This Row],[TEAM]]&amp;Matrix[[#Headers],[25]],FDR[FDR]&amp;FDR[[#Headers],[25]],FDR[25],"",0,1)</f>
        <v>1</v>
      </c>
      <c r="AL42" cm="1">
        <f t="array" ref="AL42">_xlfn.XLOOKUP(Matrix[[#This Row],[TEAM]]&amp;Matrix[[#Headers],[26]],FDR[FDR]&amp;FDR[[#Headers],[26]],FDR[26],"",0,1)</f>
        <v>4</v>
      </c>
      <c r="AM42" cm="1">
        <f t="array" ref="AM42">_xlfn.XLOOKUP(Matrix[[#This Row],[TEAM]]&amp;Matrix[[#Headers],[27]],FDR[FDR]&amp;FDR[[#Headers],[27]],FDR[27],"",0,1)</f>
        <v>4</v>
      </c>
      <c r="AN42" cm="1">
        <f t="array" ref="AN42">_xlfn.XLOOKUP(Matrix[[#This Row],[TEAM]]&amp;Matrix[[#Headers],[28]],FDR[FDR]&amp;FDR[[#Headers],[28]],FDR[28],"",0,1)</f>
        <v>1</v>
      </c>
      <c r="AO42" cm="1">
        <f t="array" ref="AO42">_xlfn.XLOOKUP(Matrix[[#This Row],[TEAM]]&amp;Matrix[[#Headers],[29]],FDR[FDR]&amp;FDR[[#Headers],[29]],FDR[29],"",0,1)</f>
        <v>3</v>
      </c>
      <c r="AP42" cm="1">
        <f t="array" ref="AP42">_xlfn.XLOOKUP(Matrix[[#This Row],[TEAM]]&amp;Matrix[[#Headers],[30]],FDR[FDR]&amp;FDR[[#Headers],[30]],FDR[30],"",0,1)</f>
        <v>4</v>
      </c>
      <c r="AQ42" cm="1">
        <f t="array" ref="AQ42">_xlfn.XLOOKUP(Matrix[[#This Row],[TEAM]]&amp;Matrix[[#Headers],[31]],FDR[FDR]&amp;FDR[[#Headers],[31]],FDR[31],"",0,1)</f>
        <v>1</v>
      </c>
      <c r="AR42" cm="1">
        <f t="array" ref="AR42">_xlfn.XLOOKUP(Matrix[[#This Row],[TEAM]]&amp;Matrix[[#Headers],[32]],FDR[FDR]&amp;FDR[[#Headers],[32]],FDR[32],"",0,1)</f>
        <v>2</v>
      </c>
      <c r="AS42" cm="1">
        <f t="array" ref="AS42">_xlfn.XLOOKUP(Matrix[[#This Row],[TEAM]]&amp;Matrix[[#Headers],[33]],FDR[FDR]&amp;FDR[[#Headers],[33]],FDR[33],"",0,1)</f>
        <v>2</v>
      </c>
      <c r="AT42" cm="1">
        <f t="array" ref="AT42">_xlfn.XLOOKUP(Matrix[[#This Row],[TEAM]]&amp;Matrix[[#Headers],[34]],FDR[FDR]&amp;FDR[[#Headers],[34]],FDR[34],"",0,1)</f>
        <v>4</v>
      </c>
      <c r="AU42" cm="1">
        <f t="array" ref="AU42">_xlfn.XLOOKUP(Matrix[[#This Row],[TEAM]]&amp;Matrix[[#Headers],[35]],FDR[FDR]&amp;FDR[[#Headers],[35]],FDR[35],"",0,1)</f>
        <v>2</v>
      </c>
      <c r="AV42" cm="1">
        <f t="array" ref="AV42">_xlfn.XLOOKUP(Matrix[[#This Row],[TEAM]]&amp;Matrix[[#Headers],[36]],FDR[FDR]&amp;FDR[[#Headers],[36]],FDR[36],"",0,1)</f>
        <v>2</v>
      </c>
      <c r="AW42" cm="1">
        <f t="array" ref="AW42">_xlfn.XLOOKUP(Matrix[[#This Row],[TEAM]]&amp;Matrix[[#Headers],[37]],FDR[FDR]&amp;FDR[[#Headers],[37]],FDR[37],"",0,1)</f>
        <v>1</v>
      </c>
      <c r="AX42" cm="1">
        <f t="array" ref="AX42">_xlfn.XLOOKUP(Matrix[[#This Row],[TEAM]]&amp;Matrix[[#Headers],[38]],FDR[FDR]&amp;FDR[[#Headers],[38]],FDR[38],"",0,1)</f>
        <v>2</v>
      </c>
    </row>
    <row r="43" spans="1:50" ht="22" thickTop="1" thickBot="1">
      <c r="A43" s="50" t="s">
        <v>656</v>
      </c>
      <c r="B43" s="70" t="s">
        <v>1336</v>
      </c>
      <c r="C43" s="40" t="s">
        <v>25</v>
      </c>
      <c r="D43" s="62">
        <v>130</v>
      </c>
      <c r="E43" s="60">
        <v>6.0000000000000001E-3</v>
      </c>
      <c r="F43" s="61">
        <v>163.1</v>
      </c>
      <c r="G43" s="63">
        <v>6.5</v>
      </c>
      <c r="H43" s="261">
        <f>IF(ISBLANK(I43),0,1)</f>
        <v>0</v>
      </c>
      <c r="I43" s="57"/>
      <c r="J43" s="58"/>
      <c r="K43" s="59" t="s">
        <v>382</v>
      </c>
      <c r="L43" s="59" t="s">
        <v>383</v>
      </c>
      <c r="M43" cm="1">
        <f t="array" ref="M43">_xlfn.XLOOKUP(Matrix[[#This Row],[TEAM]]&amp;Matrix[[#Headers],[1]],FDR[FDR]&amp;FDR[[#Headers],[1]],FDR[1],"",0,1)</f>
        <v>3</v>
      </c>
      <c r="N43" cm="1">
        <f t="array" ref="N43">_xlfn.XLOOKUP(Matrix[[#This Row],[TEAM]]&amp;Matrix[[#Headers],[2]],FDR[FDR]&amp;FDR[[#Headers],[2]],FDR[2],"",0,1)</f>
        <v>3</v>
      </c>
      <c r="O43" cm="1">
        <f t="array" ref="O43">_xlfn.XLOOKUP(Matrix[[#This Row],[TEAM]]&amp;Matrix[[#Headers],[3]],FDR[FDR]&amp;FDR[[#Headers],[3]],FDR[3],"",0,1)</f>
        <v>1</v>
      </c>
      <c r="P43" cm="1">
        <f t="array" ref="P43">_xlfn.XLOOKUP(Matrix[[#This Row],[TEAM]]&amp;Matrix[[#Headers],[4]],FDR[FDR]&amp;FDR[[#Headers],[4]],FDR[4],"",0,1)</f>
        <v>1</v>
      </c>
      <c r="Q43" cm="1">
        <f t="array" ref="Q43">_xlfn.XLOOKUP(Matrix[[#This Row],[TEAM]]&amp;Matrix[[#Headers],[5]],FDR[FDR]&amp;FDR[[#Headers],[5]],FDR[5],"",0,1)</f>
        <v>2</v>
      </c>
      <c r="R43" cm="1">
        <f t="array" ref="R43">_xlfn.XLOOKUP(Matrix[[#This Row],[TEAM]]&amp;Matrix[[#Headers],[6]],FDR[FDR]&amp;FDR[[#Headers],[6]],FDR[6],"",0,1)</f>
        <v>3</v>
      </c>
      <c r="S43" cm="1">
        <f t="array" ref="S43">_xlfn.XLOOKUP(Matrix[[#This Row],[TEAM]]&amp;Matrix[[#Headers],[7]],FDR[FDR]&amp;FDR[[#Headers],[7]],FDR[7],"",0,1)</f>
        <v>2</v>
      </c>
      <c r="T43" cm="1">
        <f t="array" ref="T43">_xlfn.XLOOKUP(Matrix[[#This Row],[TEAM]]&amp;Matrix[[#Headers],[8]],FDR[FDR]&amp;FDR[[#Headers],[8]],FDR[8],"",0,1)</f>
        <v>2</v>
      </c>
      <c r="U43" cm="1">
        <f t="array" ref="U43">_xlfn.XLOOKUP(Matrix[[#This Row],[TEAM]]&amp;Matrix[[#Headers],[9]],FDR[FDR]&amp;FDR[[#Headers],[9]],FDR[9],"",0,1)</f>
        <v>2</v>
      </c>
      <c r="V43" cm="1">
        <f t="array" ref="V43">_xlfn.XLOOKUP(Matrix[[#This Row],[TEAM]]&amp;Matrix[[#Headers],[10]],FDR[FDR]&amp;FDR[[#Headers],[10]],FDR[10],"",0,1)</f>
        <v>2</v>
      </c>
      <c r="W43" cm="1">
        <f t="array" ref="W43">_xlfn.XLOOKUP(Matrix[[#This Row],[TEAM]]&amp;Matrix[[#Headers],[11]],FDR[FDR]&amp;FDR[[#Headers],[11]],FDR[11],"",0,1)</f>
        <v>2</v>
      </c>
      <c r="X43" cm="1">
        <f t="array" ref="X43">_xlfn.XLOOKUP(Matrix[[#This Row],[TEAM]]&amp;Matrix[[#Headers],[12]],FDR[FDR]&amp;FDR[[#Headers],[12]],FDR[12],"",0,1)</f>
        <v>3</v>
      </c>
      <c r="Y43" cm="1">
        <f t="array" ref="Y43">_xlfn.XLOOKUP(Matrix[[#This Row],[TEAM]]&amp;Matrix[[#Headers],[13]],FDR[FDR]&amp;FDR[[#Headers],[13]],FDR[13],"",0,1)</f>
        <v>2</v>
      </c>
      <c r="Z43" cm="1">
        <f t="array" ref="Z43">_xlfn.XLOOKUP(Matrix[[#This Row],[TEAM]]&amp;Matrix[[#Headers],[14]],FDR[FDR]&amp;FDR[[#Headers],[14]],FDR[14],"",0,1)</f>
        <v>3</v>
      </c>
      <c r="AA43" cm="1">
        <f t="array" ref="AA43">_xlfn.XLOOKUP(Matrix[[#This Row],[TEAM]]&amp;Matrix[[#Headers],[15]],FDR[FDR]&amp;FDR[[#Headers],[15]],FDR[15],"",0,1)</f>
        <v>1</v>
      </c>
      <c r="AB43" cm="1">
        <f t="array" ref="AB43">_xlfn.XLOOKUP(Matrix[[#This Row],[TEAM]]&amp;Matrix[[#Headers],[16]],FDR[FDR]&amp;FDR[[#Headers],[16]],FDR[16],"",0,1)</f>
        <v>1</v>
      </c>
      <c r="AC43" cm="1">
        <f t="array" ref="AC43">_xlfn.XLOOKUP(Matrix[[#This Row],[TEAM]]&amp;Matrix[[#Headers],[17]],FDR[FDR]&amp;FDR[[#Headers],[17]],FDR[17],"",0,1)</f>
        <v>3</v>
      </c>
      <c r="AD43" cm="1">
        <f t="array" ref="AD43">_xlfn.XLOOKUP(Matrix[[#This Row],[TEAM]]&amp;Matrix[[#Headers],[18]],FDR[FDR]&amp;FDR[[#Headers],[18]],FDR[18],"",0,1)</f>
        <v>4</v>
      </c>
      <c r="AE43" cm="1">
        <f t="array" ref="AE43">_xlfn.XLOOKUP(Matrix[[#This Row],[TEAM]]&amp;Matrix[[#Headers],[19]],FDR[FDR]&amp;FDR[[#Headers],[19]],FDR[19],"",0,1)</f>
        <v>1</v>
      </c>
      <c r="AF43" cm="1">
        <f t="array" ref="AF43">_xlfn.XLOOKUP(Matrix[[#This Row],[TEAM]]&amp;Matrix[[#Headers],[20]],FDR[FDR]&amp;FDR[[#Headers],[20]],FDR[20],"",0,1)</f>
        <v>1</v>
      </c>
      <c r="AG43" cm="1">
        <f t="array" ref="AG43">_xlfn.XLOOKUP(Matrix[[#This Row],[TEAM]]&amp;Matrix[[#Headers],[21]],FDR[FDR]&amp;FDR[[#Headers],[21]],FDR[21],"",0,1)</f>
        <v>1</v>
      </c>
      <c r="AH43" cm="1">
        <f t="array" ref="AH43">_xlfn.XLOOKUP(Matrix[[#This Row],[TEAM]]&amp;Matrix[[#Headers],[22]],FDR[FDR]&amp;FDR[[#Headers],[22]],FDR[22],"",0,1)</f>
        <v>1</v>
      </c>
      <c r="AI43" cm="1">
        <f t="array" ref="AI43">_xlfn.XLOOKUP(Matrix[[#This Row],[TEAM]]&amp;Matrix[[#Headers],[23]],FDR[FDR]&amp;FDR[[#Headers],[23]],FDR[23],"",0,1)</f>
        <v>2</v>
      </c>
      <c r="AJ43" cm="1">
        <f t="array" ref="AJ43">_xlfn.XLOOKUP(Matrix[[#This Row],[TEAM]]&amp;Matrix[[#Headers],[24]],FDR[FDR]&amp;FDR[[#Headers],[24]],FDR[24],"",0,1)</f>
        <v>4</v>
      </c>
      <c r="AK43" cm="1">
        <f t="array" ref="AK43">_xlfn.XLOOKUP(Matrix[[#This Row],[TEAM]]&amp;Matrix[[#Headers],[25]],FDR[FDR]&amp;FDR[[#Headers],[25]],FDR[25],"",0,1)</f>
        <v>1</v>
      </c>
      <c r="AL43" cm="1">
        <f t="array" ref="AL43">_xlfn.XLOOKUP(Matrix[[#This Row],[TEAM]]&amp;Matrix[[#Headers],[26]],FDR[FDR]&amp;FDR[[#Headers],[26]],FDR[26],"",0,1)</f>
        <v>4</v>
      </c>
      <c r="AM43" cm="1">
        <f t="array" ref="AM43">_xlfn.XLOOKUP(Matrix[[#This Row],[TEAM]]&amp;Matrix[[#Headers],[27]],FDR[FDR]&amp;FDR[[#Headers],[27]],FDR[27],"",0,1)</f>
        <v>4</v>
      </c>
      <c r="AN43" cm="1">
        <f t="array" ref="AN43">_xlfn.XLOOKUP(Matrix[[#This Row],[TEAM]]&amp;Matrix[[#Headers],[28]],FDR[FDR]&amp;FDR[[#Headers],[28]],FDR[28],"",0,1)</f>
        <v>1</v>
      </c>
      <c r="AO43" cm="1">
        <f t="array" ref="AO43">_xlfn.XLOOKUP(Matrix[[#This Row],[TEAM]]&amp;Matrix[[#Headers],[29]],FDR[FDR]&amp;FDR[[#Headers],[29]],FDR[29],"",0,1)</f>
        <v>3</v>
      </c>
      <c r="AP43" cm="1">
        <f t="array" ref="AP43">_xlfn.XLOOKUP(Matrix[[#This Row],[TEAM]]&amp;Matrix[[#Headers],[30]],FDR[FDR]&amp;FDR[[#Headers],[30]],FDR[30],"",0,1)</f>
        <v>4</v>
      </c>
      <c r="AQ43" cm="1">
        <f t="array" ref="AQ43">_xlfn.XLOOKUP(Matrix[[#This Row],[TEAM]]&amp;Matrix[[#Headers],[31]],FDR[FDR]&amp;FDR[[#Headers],[31]],FDR[31],"",0,1)</f>
        <v>1</v>
      </c>
      <c r="AR43" cm="1">
        <f t="array" ref="AR43">_xlfn.XLOOKUP(Matrix[[#This Row],[TEAM]]&amp;Matrix[[#Headers],[32]],FDR[FDR]&amp;FDR[[#Headers],[32]],FDR[32],"",0,1)</f>
        <v>2</v>
      </c>
      <c r="AS43" cm="1">
        <f t="array" ref="AS43">_xlfn.XLOOKUP(Matrix[[#This Row],[TEAM]]&amp;Matrix[[#Headers],[33]],FDR[FDR]&amp;FDR[[#Headers],[33]],FDR[33],"",0,1)</f>
        <v>2</v>
      </c>
      <c r="AT43" cm="1">
        <f t="array" ref="AT43">_xlfn.XLOOKUP(Matrix[[#This Row],[TEAM]]&amp;Matrix[[#Headers],[34]],FDR[FDR]&amp;FDR[[#Headers],[34]],FDR[34],"",0,1)</f>
        <v>4</v>
      </c>
      <c r="AU43" cm="1">
        <f t="array" ref="AU43">_xlfn.XLOOKUP(Matrix[[#This Row],[TEAM]]&amp;Matrix[[#Headers],[35]],FDR[FDR]&amp;FDR[[#Headers],[35]],FDR[35],"",0,1)</f>
        <v>2</v>
      </c>
      <c r="AV43" cm="1">
        <f t="array" ref="AV43">_xlfn.XLOOKUP(Matrix[[#This Row],[TEAM]]&amp;Matrix[[#Headers],[36]],FDR[FDR]&amp;FDR[[#Headers],[36]],FDR[36],"",0,1)</f>
        <v>2</v>
      </c>
      <c r="AW43" cm="1">
        <f t="array" ref="AW43">_xlfn.XLOOKUP(Matrix[[#This Row],[TEAM]]&amp;Matrix[[#Headers],[37]],FDR[FDR]&amp;FDR[[#Headers],[37]],FDR[37],"",0,1)</f>
        <v>1</v>
      </c>
      <c r="AX43" cm="1">
        <f t="array" ref="AX43">_xlfn.XLOOKUP(Matrix[[#This Row],[TEAM]]&amp;Matrix[[#Headers],[38]],FDR[FDR]&amp;FDR[[#Headers],[38]],FDR[38],"",0,1)</f>
        <v>2</v>
      </c>
    </row>
    <row r="44" spans="1:50" ht="22" thickTop="1" thickBot="1">
      <c r="A44" s="50" t="str">
        <f>INDEX!S$4</f>
        <v>MID</v>
      </c>
      <c r="B44" s="70" t="s">
        <v>1322</v>
      </c>
      <c r="C44" s="40" t="s">
        <v>30</v>
      </c>
      <c r="D44" s="62">
        <v>129</v>
      </c>
      <c r="E44" s="60">
        <v>3.4000000000000002E-2</v>
      </c>
      <c r="F44" s="61">
        <v>193.8</v>
      </c>
      <c r="G44" s="63">
        <v>6.5</v>
      </c>
      <c r="H44" s="261">
        <f>IF(ISBLANK(I44),0,1)</f>
        <v>0</v>
      </c>
      <c r="I44" s="57"/>
      <c r="J44" s="58"/>
      <c r="K44" s="59" t="s">
        <v>599</v>
      </c>
      <c r="L44" s="59" t="s">
        <v>271</v>
      </c>
      <c r="M44" cm="1">
        <f t="array" ref="M44">_xlfn.XLOOKUP(Matrix[[#This Row],[TEAM]]&amp;Matrix[[#Headers],[1]],FDR[FDR]&amp;FDR[[#Headers],[1]],FDR[1],"",0,1)</f>
        <v>3</v>
      </c>
      <c r="N44" cm="1">
        <f t="array" ref="N44">_xlfn.XLOOKUP(Matrix[[#This Row],[TEAM]]&amp;Matrix[[#Headers],[2]],FDR[FDR]&amp;FDR[[#Headers],[2]],FDR[2],"",0,1)</f>
        <v>2</v>
      </c>
      <c r="O44" cm="1">
        <f t="array" ref="O44">_xlfn.XLOOKUP(Matrix[[#This Row],[TEAM]]&amp;Matrix[[#Headers],[3]],FDR[FDR]&amp;FDR[[#Headers],[3]],FDR[3],"",0,1)</f>
        <v>1</v>
      </c>
      <c r="P44" cm="1">
        <f t="array" ref="P44">_xlfn.XLOOKUP(Matrix[[#This Row],[TEAM]]&amp;Matrix[[#Headers],[4]],FDR[FDR]&amp;FDR[[#Headers],[4]],FDR[4],"",0,1)</f>
        <v>4</v>
      </c>
      <c r="Q44" cm="1">
        <f t="array" ref="Q44">_xlfn.XLOOKUP(Matrix[[#This Row],[TEAM]]&amp;Matrix[[#Headers],[5]],FDR[FDR]&amp;FDR[[#Headers],[5]],FDR[5],"",0,1)</f>
        <v>3</v>
      </c>
      <c r="R44" cm="1">
        <f t="array" ref="R44">_xlfn.XLOOKUP(Matrix[[#This Row],[TEAM]]&amp;Matrix[[#Headers],[6]],FDR[FDR]&amp;FDR[[#Headers],[6]],FDR[6],"",0,1)</f>
        <v>2</v>
      </c>
      <c r="S44" cm="1">
        <f t="array" ref="S44">_xlfn.XLOOKUP(Matrix[[#This Row],[TEAM]]&amp;Matrix[[#Headers],[7]],FDR[FDR]&amp;FDR[[#Headers],[7]],FDR[7],"",0,1)</f>
        <v>1</v>
      </c>
      <c r="T44" cm="1">
        <f t="array" ref="T44">_xlfn.XLOOKUP(Matrix[[#This Row],[TEAM]]&amp;Matrix[[#Headers],[8]],FDR[FDR]&amp;FDR[[#Headers],[8]],FDR[8],"",0,1)</f>
        <v>4</v>
      </c>
      <c r="U44" cm="1">
        <f t="array" ref="U44">_xlfn.XLOOKUP(Matrix[[#This Row],[TEAM]]&amp;Matrix[[#Headers],[9]],FDR[FDR]&amp;FDR[[#Headers],[9]],FDR[9],"",0,1)</f>
        <v>1</v>
      </c>
      <c r="V44" cm="1">
        <f t="array" ref="V44">_xlfn.XLOOKUP(Matrix[[#This Row],[TEAM]]&amp;Matrix[[#Headers],[10]],FDR[FDR]&amp;FDR[[#Headers],[10]],FDR[10],"",0,1)</f>
        <v>2</v>
      </c>
      <c r="W44" cm="1">
        <f t="array" ref="W44">_xlfn.XLOOKUP(Matrix[[#This Row],[TEAM]]&amp;Matrix[[#Headers],[11]],FDR[FDR]&amp;FDR[[#Headers],[11]],FDR[11],"",0,1)</f>
        <v>4</v>
      </c>
      <c r="X44" cm="1">
        <f t="array" ref="X44">_xlfn.XLOOKUP(Matrix[[#This Row],[TEAM]]&amp;Matrix[[#Headers],[12]],FDR[FDR]&amp;FDR[[#Headers],[12]],FDR[12],"",0,1)</f>
        <v>1</v>
      </c>
      <c r="Y44" cm="1">
        <f t="array" ref="Y44">_xlfn.XLOOKUP(Matrix[[#This Row],[TEAM]]&amp;Matrix[[#Headers],[13]],FDR[FDR]&amp;FDR[[#Headers],[13]],FDR[13],"",0,1)</f>
        <v>2</v>
      </c>
      <c r="Z44" cm="1">
        <f t="array" ref="Z44">_xlfn.XLOOKUP(Matrix[[#This Row],[TEAM]]&amp;Matrix[[#Headers],[14]],FDR[FDR]&amp;FDR[[#Headers],[14]],FDR[14],"",0,1)</f>
        <v>1</v>
      </c>
      <c r="AA44" cm="1">
        <f t="array" ref="AA44">_xlfn.XLOOKUP(Matrix[[#This Row],[TEAM]]&amp;Matrix[[#Headers],[15]],FDR[FDR]&amp;FDR[[#Headers],[15]],FDR[15],"",0,1)</f>
        <v>1</v>
      </c>
      <c r="AB44" cm="1">
        <f t="array" ref="AB44">_xlfn.XLOOKUP(Matrix[[#This Row],[TEAM]]&amp;Matrix[[#Headers],[16]],FDR[FDR]&amp;FDR[[#Headers],[16]],FDR[16],"",0,1)</f>
        <v>1</v>
      </c>
      <c r="AC44" cm="1">
        <f t="array" ref="AC44">_xlfn.XLOOKUP(Matrix[[#This Row],[TEAM]]&amp;Matrix[[#Headers],[17]],FDR[FDR]&amp;FDR[[#Headers],[17]],FDR[17],"",0,1)</f>
        <v>3</v>
      </c>
      <c r="AD44" cm="1">
        <f t="array" ref="AD44">_xlfn.XLOOKUP(Matrix[[#This Row],[TEAM]]&amp;Matrix[[#Headers],[18]],FDR[FDR]&amp;FDR[[#Headers],[18]],FDR[18],"",0,1)</f>
        <v>2</v>
      </c>
      <c r="AE44" cm="1">
        <f t="array" ref="AE44">_xlfn.XLOOKUP(Matrix[[#This Row],[TEAM]]&amp;Matrix[[#Headers],[19]],FDR[FDR]&amp;FDR[[#Headers],[19]],FDR[19],"",0,1)</f>
        <v>1</v>
      </c>
      <c r="AF44" cm="1">
        <f t="array" ref="AF44">_xlfn.XLOOKUP(Matrix[[#This Row],[TEAM]]&amp;Matrix[[#Headers],[20]],FDR[FDR]&amp;FDR[[#Headers],[20]],FDR[20],"",0,1)</f>
        <v>1</v>
      </c>
      <c r="AG44" cm="1">
        <f t="array" ref="AG44">_xlfn.XLOOKUP(Matrix[[#This Row],[TEAM]]&amp;Matrix[[#Headers],[21]],FDR[FDR]&amp;FDR[[#Headers],[21]],FDR[21],"",0,1)</f>
        <v>1</v>
      </c>
      <c r="AH44" cm="1">
        <f t="array" ref="AH44">_xlfn.XLOOKUP(Matrix[[#This Row],[TEAM]]&amp;Matrix[[#Headers],[22]],FDR[FDR]&amp;FDR[[#Headers],[22]],FDR[22],"",0,1)</f>
        <v>3</v>
      </c>
      <c r="AI44" cm="1">
        <f t="array" ref="AI44">_xlfn.XLOOKUP(Matrix[[#This Row],[TEAM]]&amp;Matrix[[#Headers],[23]],FDR[FDR]&amp;FDR[[#Headers],[23]],FDR[23],"",0,1)</f>
        <v>4</v>
      </c>
      <c r="AJ44" cm="1">
        <f t="array" ref="AJ44">_xlfn.XLOOKUP(Matrix[[#This Row],[TEAM]]&amp;Matrix[[#Headers],[24]],FDR[FDR]&amp;FDR[[#Headers],[24]],FDR[24],"",0,1)</f>
        <v>1</v>
      </c>
      <c r="AK44" cm="1">
        <f t="array" ref="AK44">_xlfn.XLOOKUP(Matrix[[#This Row],[TEAM]]&amp;Matrix[[#Headers],[25]],FDR[FDR]&amp;FDR[[#Headers],[25]],FDR[25],"",0,1)</f>
        <v>3</v>
      </c>
      <c r="AL44" cm="1">
        <f t="array" ref="AL44">_xlfn.XLOOKUP(Matrix[[#This Row],[TEAM]]&amp;Matrix[[#Headers],[26]],FDR[FDR]&amp;FDR[[#Headers],[26]],FDR[26],"",0,1)</f>
        <v>2</v>
      </c>
      <c r="AM44" cm="1">
        <f t="array" ref="AM44">_xlfn.XLOOKUP(Matrix[[#This Row],[TEAM]]&amp;Matrix[[#Headers],[27]],FDR[FDR]&amp;FDR[[#Headers],[27]],FDR[27],"",0,1)</f>
        <v>2</v>
      </c>
      <c r="AN44" cm="1">
        <f t="array" ref="AN44">_xlfn.XLOOKUP(Matrix[[#This Row],[TEAM]]&amp;Matrix[[#Headers],[28]],FDR[FDR]&amp;FDR[[#Headers],[28]],FDR[28],"",0,1)</f>
        <v>1</v>
      </c>
      <c r="AO44" cm="1">
        <f t="array" ref="AO44">_xlfn.XLOOKUP(Matrix[[#This Row],[TEAM]]&amp;Matrix[[#Headers],[29]],FDR[FDR]&amp;FDR[[#Headers],[29]],FDR[29],"",0,1)</f>
        <v>3</v>
      </c>
      <c r="AP44" cm="1">
        <f t="array" ref="AP44">_xlfn.XLOOKUP(Matrix[[#This Row],[TEAM]]&amp;Matrix[[#Headers],[30]],FDR[FDR]&amp;FDR[[#Headers],[30]],FDR[30],"",0,1)</f>
        <v>2</v>
      </c>
      <c r="AQ44" cm="1">
        <f t="array" ref="AQ44">_xlfn.XLOOKUP(Matrix[[#This Row],[TEAM]]&amp;Matrix[[#Headers],[31]],FDR[FDR]&amp;FDR[[#Headers],[31]],FDR[31],"",0,1)</f>
        <v>2</v>
      </c>
      <c r="AR44" cm="1">
        <f t="array" ref="AR44">_xlfn.XLOOKUP(Matrix[[#This Row],[TEAM]]&amp;Matrix[[#Headers],[32]],FDR[FDR]&amp;FDR[[#Headers],[32]],FDR[32],"",0,1)</f>
        <v>1</v>
      </c>
      <c r="AS44" cm="1">
        <f t="array" ref="AS44">_xlfn.XLOOKUP(Matrix[[#This Row],[TEAM]]&amp;Matrix[[#Headers],[33]],FDR[FDR]&amp;FDR[[#Headers],[33]],FDR[33],"",0,1)</f>
        <v>4</v>
      </c>
      <c r="AT44" cm="1">
        <f t="array" ref="AT44">_xlfn.XLOOKUP(Matrix[[#This Row],[TEAM]]&amp;Matrix[[#Headers],[34]],FDR[FDR]&amp;FDR[[#Headers],[34]],FDR[34],"",0,1)</f>
        <v>1</v>
      </c>
      <c r="AU44" cm="1">
        <f t="array" ref="AU44">_xlfn.XLOOKUP(Matrix[[#This Row],[TEAM]]&amp;Matrix[[#Headers],[35]],FDR[FDR]&amp;FDR[[#Headers],[35]],FDR[35],"",0,1)</f>
        <v>3</v>
      </c>
      <c r="AV44" cm="1">
        <f t="array" ref="AV44">_xlfn.XLOOKUP(Matrix[[#This Row],[TEAM]]&amp;Matrix[[#Headers],[36]],FDR[FDR]&amp;FDR[[#Headers],[36]],FDR[36],"",0,1)</f>
        <v>1</v>
      </c>
      <c r="AW44" cm="1">
        <f t="array" ref="AW44">_xlfn.XLOOKUP(Matrix[[#This Row],[TEAM]]&amp;Matrix[[#Headers],[37]],FDR[FDR]&amp;FDR[[#Headers],[37]],FDR[37],"",0,1)</f>
        <v>1</v>
      </c>
      <c r="AX44" cm="1">
        <f t="array" ref="AX44">_xlfn.XLOOKUP(Matrix[[#This Row],[TEAM]]&amp;Matrix[[#Headers],[38]],FDR[FDR]&amp;FDR[[#Headers],[38]],FDR[38],"",0,1)</f>
        <v>2</v>
      </c>
    </row>
    <row r="45" spans="1:50" ht="22" thickTop="1" thickBot="1">
      <c r="A45" s="50" t="str">
        <f>INDEX!S$4</f>
        <v>MID</v>
      </c>
      <c r="B45" s="70" t="s">
        <v>1315</v>
      </c>
      <c r="C45" s="40" t="s">
        <v>20</v>
      </c>
      <c r="D45" s="62">
        <v>127</v>
      </c>
      <c r="E45" s="60">
        <v>7.4999999999999997E-2</v>
      </c>
      <c r="F45" s="61">
        <v>208.8</v>
      </c>
      <c r="G45" s="63">
        <v>6.5</v>
      </c>
      <c r="H45" s="261">
        <f>IF(ISBLANK(I45),0,1)</f>
        <v>0</v>
      </c>
      <c r="I45" s="57"/>
      <c r="J45" s="58"/>
      <c r="K45" s="59" t="s">
        <v>406</v>
      </c>
      <c r="L45" s="59" t="s">
        <v>208</v>
      </c>
      <c r="M45" cm="1">
        <f t="array" ref="M45">_xlfn.XLOOKUP(Matrix[[#This Row],[TEAM]]&amp;Matrix[[#Headers],[1]],FDR[FDR]&amp;FDR[[#Headers],[1]],FDR[1],"",0,1)</f>
        <v>3</v>
      </c>
      <c r="N45" cm="1">
        <f t="array" ref="N45">_xlfn.XLOOKUP(Matrix[[#This Row],[TEAM]]&amp;Matrix[[#Headers],[2]],FDR[FDR]&amp;FDR[[#Headers],[2]],FDR[2],"",0,1)</f>
        <v>1</v>
      </c>
      <c r="O45" cm="1">
        <f t="array" ref="O45">_xlfn.XLOOKUP(Matrix[[#This Row],[TEAM]]&amp;Matrix[[#Headers],[3]],FDR[FDR]&amp;FDR[[#Headers],[3]],FDR[3],"",0,1)</f>
        <v>4</v>
      </c>
      <c r="P45" cm="1">
        <f t="array" ref="P45">_xlfn.XLOOKUP(Matrix[[#This Row],[TEAM]]&amp;Matrix[[#Headers],[4]],FDR[FDR]&amp;FDR[[#Headers],[4]],FDR[4],"",0,1)</f>
        <v>1</v>
      </c>
      <c r="Q45" cm="1">
        <f t="array" ref="Q45">_xlfn.XLOOKUP(Matrix[[#This Row],[TEAM]]&amp;Matrix[[#Headers],[5]],FDR[FDR]&amp;FDR[[#Headers],[5]],FDR[5],"",0,1)</f>
        <v>3</v>
      </c>
      <c r="R45" cm="1">
        <f t="array" ref="R45">_xlfn.XLOOKUP(Matrix[[#This Row],[TEAM]]&amp;Matrix[[#Headers],[6]],FDR[FDR]&amp;FDR[[#Headers],[6]],FDR[6],"",0,1)</f>
        <v>3</v>
      </c>
      <c r="S45" cm="1">
        <f t="array" ref="S45">_xlfn.XLOOKUP(Matrix[[#This Row],[TEAM]]&amp;Matrix[[#Headers],[7]],FDR[FDR]&amp;FDR[[#Headers],[7]],FDR[7],"",0,1)</f>
        <v>1</v>
      </c>
      <c r="T45" cm="1">
        <f t="array" ref="T45">_xlfn.XLOOKUP(Matrix[[#This Row],[TEAM]]&amp;Matrix[[#Headers],[8]],FDR[FDR]&amp;FDR[[#Headers],[8]],FDR[8],"",0,1)</f>
        <v>2</v>
      </c>
      <c r="U45" cm="1">
        <f t="array" ref="U45">_xlfn.XLOOKUP(Matrix[[#This Row],[TEAM]]&amp;Matrix[[#Headers],[9]],FDR[FDR]&amp;FDR[[#Headers],[9]],FDR[9],"",0,1)</f>
        <v>1</v>
      </c>
      <c r="V45" cm="1">
        <f t="array" ref="V45">_xlfn.XLOOKUP(Matrix[[#This Row],[TEAM]]&amp;Matrix[[#Headers],[10]],FDR[FDR]&amp;FDR[[#Headers],[10]],FDR[10],"",0,1)</f>
        <v>1</v>
      </c>
      <c r="W45" cm="1">
        <f t="array" ref="W45">_xlfn.XLOOKUP(Matrix[[#This Row],[TEAM]]&amp;Matrix[[#Headers],[11]],FDR[FDR]&amp;FDR[[#Headers],[11]],FDR[11],"",0,1)</f>
        <v>1</v>
      </c>
      <c r="X45" cm="1">
        <f t="array" ref="X45">_xlfn.XLOOKUP(Matrix[[#This Row],[TEAM]]&amp;Matrix[[#Headers],[12]],FDR[FDR]&amp;FDR[[#Headers],[12]],FDR[12],"",0,1)</f>
        <v>2</v>
      </c>
      <c r="Y45" cm="1">
        <f t="array" ref="Y45">_xlfn.XLOOKUP(Matrix[[#This Row],[TEAM]]&amp;Matrix[[#Headers],[13]],FDR[FDR]&amp;FDR[[#Headers],[13]],FDR[13],"",0,1)</f>
        <v>3</v>
      </c>
      <c r="Z45" cm="1">
        <f t="array" ref="Z45">_xlfn.XLOOKUP(Matrix[[#This Row],[TEAM]]&amp;Matrix[[#Headers],[14]],FDR[FDR]&amp;FDR[[#Headers],[14]],FDR[14],"",0,1)</f>
        <v>1</v>
      </c>
      <c r="AA45" cm="1">
        <f t="array" ref="AA45">_xlfn.XLOOKUP(Matrix[[#This Row],[TEAM]]&amp;Matrix[[#Headers],[15]],FDR[FDR]&amp;FDR[[#Headers],[15]],FDR[15],"",0,1)</f>
        <v>3</v>
      </c>
      <c r="AB45" cm="1">
        <f t="array" ref="AB45">_xlfn.XLOOKUP(Matrix[[#This Row],[TEAM]]&amp;Matrix[[#Headers],[16]],FDR[FDR]&amp;FDR[[#Headers],[16]],FDR[16],"",0,1)</f>
        <v>1</v>
      </c>
      <c r="AC45" cm="1">
        <f t="array" ref="AC45">_xlfn.XLOOKUP(Matrix[[#This Row],[TEAM]]&amp;Matrix[[#Headers],[17]],FDR[FDR]&amp;FDR[[#Headers],[17]],FDR[17],"",0,1)</f>
        <v>2</v>
      </c>
      <c r="AD45" cm="1">
        <f t="array" ref="AD45">_xlfn.XLOOKUP(Matrix[[#This Row],[TEAM]]&amp;Matrix[[#Headers],[18]],FDR[FDR]&amp;FDR[[#Headers],[18]],FDR[18],"",0,1)</f>
        <v>1</v>
      </c>
      <c r="AE45" cm="1">
        <f t="array" ref="AE45">_xlfn.XLOOKUP(Matrix[[#This Row],[TEAM]]&amp;Matrix[[#Headers],[19]],FDR[FDR]&amp;FDR[[#Headers],[19]],FDR[19],"",0,1)</f>
        <v>2</v>
      </c>
      <c r="AF45" cm="1">
        <f t="array" ref="AF45">_xlfn.XLOOKUP(Matrix[[#This Row],[TEAM]]&amp;Matrix[[#Headers],[20]],FDR[FDR]&amp;FDR[[#Headers],[20]],FDR[20],"",0,1)</f>
        <v>2</v>
      </c>
      <c r="AG45" cm="1">
        <f t="array" ref="AG45">_xlfn.XLOOKUP(Matrix[[#This Row],[TEAM]]&amp;Matrix[[#Headers],[21]],FDR[FDR]&amp;FDR[[#Headers],[21]],FDR[21],"",0,1)</f>
        <v>3</v>
      </c>
      <c r="AH45" cm="1">
        <f t="array" ref="AH45">_xlfn.XLOOKUP(Matrix[[#This Row],[TEAM]]&amp;Matrix[[#Headers],[22]],FDR[FDR]&amp;FDR[[#Headers],[22]],FDR[22],"",0,1)</f>
        <v>2</v>
      </c>
      <c r="AI45" cm="1">
        <f t="array" ref="AI45">_xlfn.XLOOKUP(Matrix[[#This Row],[TEAM]]&amp;Matrix[[#Headers],[23]],FDR[FDR]&amp;FDR[[#Headers],[23]],FDR[23],"",0,1)</f>
        <v>2</v>
      </c>
      <c r="AJ45" cm="1">
        <f t="array" ref="AJ45">_xlfn.XLOOKUP(Matrix[[#This Row],[TEAM]]&amp;Matrix[[#Headers],[24]],FDR[FDR]&amp;FDR[[#Headers],[24]],FDR[24],"",0,1)</f>
        <v>1</v>
      </c>
      <c r="AK45" cm="1">
        <f t="array" ref="AK45">_xlfn.XLOOKUP(Matrix[[#This Row],[TEAM]]&amp;Matrix[[#Headers],[25]],FDR[FDR]&amp;FDR[[#Headers],[25]],FDR[25],"",0,1)</f>
        <v>1</v>
      </c>
      <c r="AL45" cm="1">
        <f t="array" ref="AL45">_xlfn.XLOOKUP(Matrix[[#This Row],[TEAM]]&amp;Matrix[[#Headers],[26]],FDR[FDR]&amp;FDR[[#Headers],[26]],FDR[26],"",0,1)</f>
        <v>2</v>
      </c>
      <c r="AM45" cm="1">
        <f t="array" ref="AM45">_xlfn.XLOOKUP(Matrix[[#This Row],[TEAM]]&amp;Matrix[[#Headers],[27]],FDR[FDR]&amp;FDR[[#Headers],[27]],FDR[27],"",0,1)</f>
        <v>3</v>
      </c>
      <c r="AN45" cm="1">
        <f t="array" ref="AN45">_xlfn.XLOOKUP(Matrix[[#This Row],[TEAM]]&amp;Matrix[[#Headers],[28]],FDR[FDR]&amp;FDR[[#Headers],[28]],FDR[28],"",0,1)</f>
        <v>2</v>
      </c>
      <c r="AO45" cm="1">
        <f t="array" ref="AO45">_xlfn.XLOOKUP(Matrix[[#This Row],[TEAM]]&amp;Matrix[[#Headers],[29]],FDR[FDR]&amp;FDR[[#Headers],[29]],FDR[29],"",0,1)</f>
        <v>2</v>
      </c>
      <c r="AP45" cm="1">
        <f t="array" ref="AP45">_xlfn.XLOOKUP(Matrix[[#This Row],[TEAM]]&amp;Matrix[[#Headers],[30]],FDR[FDR]&amp;FDR[[#Headers],[30]],FDR[30],"",0,1)</f>
        <v>1</v>
      </c>
      <c r="AQ45" cm="1">
        <f t="array" ref="AQ45">_xlfn.XLOOKUP(Matrix[[#This Row],[TEAM]]&amp;Matrix[[#Headers],[31]],FDR[FDR]&amp;FDR[[#Headers],[31]],FDR[31],"",0,1)</f>
        <v>1</v>
      </c>
      <c r="AR45" cm="1">
        <f t="array" ref="AR45">_xlfn.XLOOKUP(Matrix[[#This Row],[TEAM]]&amp;Matrix[[#Headers],[32]],FDR[FDR]&amp;FDR[[#Headers],[32]],FDR[32],"",0,1)</f>
        <v>1</v>
      </c>
      <c r="AS45" cm="1">
        <f t="array" ref="AS45">_xlfn.XLOOKUP(Matrix[[#This Row],[TEAM]]&amp;Matrix[[#Headers],[33]],FDR[FDR]&amp;FDR[[#Headers],[33]],FDR[33],"",0,1)</f>
        <v>3</v>
      </c>
      <c r="AT45" cm="1">
        <f t="array" ref="AT45">_xlfn.XLOOKUP(Matrix[[#This Row],[TEAM]]&amp;Matrix[[#Headers],[34]],FDR[FDR]&amp;FDR[[#Headers],[34]],FDR[34],"",0,1)</f>
        <v>2</v>
      </c>
      <c r="AU45" cm="1">
        <f t="array" ref="AU45">_xlfn.XLOOKUP(Matrix[[#This Row],[TEAM]]&amp;Matrix[[#Headers],[35]],FDR[FDR]&amp;FDR[[#Headers],[35]],FDR[35],"",0,1)</f>
        <v>1</v>
      </c>
      <c r="AV45" cm="1">
        <f t="array" ref="AV45">_xlfn.XLOOKUP(Matrix[[#This Row],[TEAM]]&amp;Matrix[[#Headers],[36]],FDR[FDR]&amp;FDR[[#Headers],[36]],FDR[36],"",0,1)</f>
        <v>2</v>
      </c>
      <c r="AW45" cm="1">
        <f t="array" ref="AW45">_xlfn.XLOOKUP(Matrix[[#This Row],[TEAM]]&amp;Matrix[[#Headers],[37]],FDR[FDR]&amp;FDR[[#Headers],[37]],FDR[37],"",0,1)</f>
        <v>1</v>
      </c>
      <c r="AX45" cm="1">
        <f t="array" ref="AX45">_xlfn.XLOOKUP(Matrix[[#This Row],[TEAM]]&amp;Matrix[[#Headers],[38]],FDR[FDR]&amp;FDR[[#Headers],[38]],FDR[38],"",0,1)</f>
        <v>2</v>
      </c>
    </row>
    <row r="46" spans="1:50" ht="22" thickTop="1" thickBot="1">
      <c r="A46" s="50" t="str">
        <f>INDEX!S$4</f>
        <v>MID</v>
      </c>
      <c r="B46" s="70" t="s">
        <v>1329</v>
      </c>
      <c r="C46" s="40" t="s">
        <v>17</v>
      </c>
      <c r="D46" s="62">
        <v>122</v>
      </c>
      <c r="E46" s="60">
        <v>1.4999999999999999E-2</v>
      </c>
      <c r="F46" s="61">
        <v>174.1</v>
      </c>
      <c r="G46" s="63">
        <v>6.5</v>
      </c>
      <c r="H46" s="261">
        <f>IF(ISBLANK(I46),0,1)</f>
        <v>0</v>
      </c>
      <c r="I46" s="57"/>
      <c r="J46" s="58"/>
      <c r="K46" s="59" t="s">
        <v>379</v>
      </c>
      <c r="L46" s="59" t="s">
        <v>198</v>
      </c>
      <c r="M46" cm="1">
        <f t="array" ref="M46">_xlfn.XLOOKUP(Matrix[[#This Row],[TEAM]]&amp;Matrix[[#Headers],[1]],FDR[FDR]&amp;FDR[[#Headers],[1]],FDR[1],"",0,1)</f>
        <v>1</v>
      </c>
      <c r="N46" cm="1">
        <f t="array" ref="N46">_xlfn.XLOOKUP(Matrix[[#This Row],[TEAM]]&amp;Matrix[[#Headers],[2]],FDR[FDR]&amp;FDR[[#Headers],[2]],FDR[2],"",0,1)</f>
        <v>3</v>
      </c>
      <c r="O46" cm="1">
        <f t="array" ref="O46">_xlfn.XLOOKUP(Matrix[[#This Row],[TEAM]]&amp;Matrix[[#Headers],[3]],FDR[FDR]&amp;FDR[[#Headers],[3]],FDR[3],"",0,1)</f>
        <v>3</v>
      </c>
      <c r="P46" cm="1">
        <f t="array" ref="P46">_xlfn.XLOOKUP(Matrix[[#This Row],[TEAM]]&amp;Matrix[[#Headers],[4]],FDR[FDR]&amp;FDR[[#Headers],[4]],FDR[4],"",0,1)</f>
        <v>1</v>
      </c>
      <c r="Q46" cm="1">
        <f t="array" ref="Q46">_xlfn.XLOOKUP(Matrix[[#This Row],[TEAM]]&amp;Matrix[[#Headers],[5]],FDR[FDR]&amp;FDR[[#Headers],[5]],FDR[5],"",0,1)</f>
        <v>1</v>
      </c>
      <c r="R46" cm="1">
        <f t="array" ref="R46">_xlfn.XLOOKUP(Matrix[[#This Row],[TEAM]]&amp;Matrix[[#Headers],[6]],FDR[FDR]&amp;FDR[[#Headers],[6]],FDR[6],"",0,1)</f>
        <v>2</v>
      </c>
      <c r="S46" cm="1">
        <f t="array" ref="S46">_xlfn.XLOOKUP(Matrix[[#This Row],[TEAM]]&amp;Matrix[[#Headers],[7]],FDR[FDR]&amp;FDR[[#Headers],[7]],FDR[7],"",0,1)</f>
        <v>3</v>
      </c>
      <c r="T46" cm="1">
        <f t="array" ref="T46">_xlfn.XLOOKUP(Matrix[[#This Row],[TEAM]]&amp;Matrix[[#Headers],[8]],FDR[FDR]&amp;FDR[[#Headers],[8]],FDR[8],"",0,1)</f>
        <v>2</v>
      </c>
      <c r="U46" cm="1">
        <f t="array" ref="U46">_xlfn.XLOOKUP(Matrix[[#This Row],[TEAM]]&amp;Matrix[[#Headers],[9]],FDR[FDR]&amp;FDR[[#Headers],[9]],FDR[9],"",0,1)</f>
        <v>2</v>
      </c>
      <c r="V46" cm="1">
        <f t="array" ref="V46">_xlfn.XLOOKUP(Matrix[[#This Row],[TEAM]]&amp;Matrix[[#Headers],[10]],FDR[FDR]&amp;FDR[[#Headers],[10]],FDR[10],"",0,1)</f>
        <v>2</v>
      </c>
      <c r="W46" cm="1">
        <f t="array" ref="W46">_xlfn.XLOOKUP(Matrix[[#This Row],[TEAM]]&amp;Matrix[[#Headers],[11]],FDR[FDR]&amp;FDR[[#Headers],[11]],FDR[11],"",0,1)</f>
        <v>3</v>
      </c>
      <c r="X46" cm="1">
        <f t="array" ref="X46">_xlfn.XLOOKUP(Matrix[[#This Row],[TEAM]]&amp;Matrix[[#Headers],[12]],FDR[FDR]&amp;FDR[[#Headers],[12]],FDR[12],"",0,1)</f>
        <v>1</v>
      </c>
      <c r="Y46" cm="1">
        <f t="array" ref="Y46">_xlfn.XLOOKUP(Matrix[[#This Row],[TEAM]]&amp;Matrix[[#Headers],[13]],FDR[FDR]&amp;FDR[[#Headers],[13]],FDR[13],"",0,1)</f>
        <v>2</v>
      </c>
      <c r="Z46" cm="1">
        <f t="array" ref="Z46">_xlfn.XLOOKUP(Matrix[[#This Row],[TEAM]]&amp;Matrix[[#Headers],[14]],FDR[FDR]&amp;FDR[[#Headers],[14]],FDR[14],"",0,1)</f>
        <v>1</v>
      </c>
      <c r="AA46" cm="1">
        <f t="array" ref="AA46">_xlfn.XLOOKUP(Matrix[[#This Row],[TEAM]]&amp;Matrix[[#Headers],[15]],FDR[FDR]&amp;FDR[[#Headers],[15]],FDR[15],"",0,1)</f>
        <v>1</v>
      </c>
      <c r="AB46" cm="1">
        <f t="array" ref="AB46">_xlfn.XLOOKUP(Matrix[[#This Row],[TEAM]]&amp;Matrix[[#Headers],[16]],FDR[FDR]&amp;FDR[[#Headers],[16]],FDR[16],"",0,1)</f>
        <v>1</v>
      </c>
      <c r="AC46" cm="1">
        <f t="array" ref="AC46">_xlfn.XLOOKUP(Matrix[[#This Row],[TEAM]]&amp;Matrix[[#Headers],[17]],FDR[FDR]&amp;FDR[[#Headers],[17]],FDR[17],"",0,1)</f>
        <v>3</v>
      </c>
      <c r="AD46" cm="1">
        <f t="array" ref="AD46">_xlfn.XLOOKUP(Matrix[[#This Row],[TEAM]]&amp;Matrix[[#Headers],[18]],FDR[FDR]&amp;FDR[[#Headers],[18]],FDR[18],"",0,1)</f>
        <v>1</v>
      </c>
      <c r="AE46" cm="1">
        <f t="array" ref="AE46">_xlfn.XLOOKUP(Matrix[[#This Row],[TEAM]]&amp;Matrix[[#Headers],[19]],FDR[FDR]&amp;FDR[[#Headers],[19]],FDR[19],"",0,1)</f>
        <v>1</v>
      </c>
      <c r="AF46" cm="1">
        <f t="array" ref="AF46">_xlfn.XLOOKUP(Matrix[[#This Row],[TEAM]]&amp;Matrix[[#Headers],[20]],FDR[FDR]&amp;FDR[[#Headers],[20]],FDR[20],"",0,1)</f>
        <v>2</v>
      </c>
      <c r="AG46" cm="1">
        <f t="array" ref="AG46">_xlfn.XLOOKUP(Matrix[[#This Row],[TEAM]]&amp;Matrix[[#Headers],[21]],FDR[FDR]&amp;FDR[[#Headers],[21]],FDR[21],"",0,1)</f>
        <v>3</v>
      </c>
      <c r="AH46" cm="1">
        <f t="array" ref="AH46">_xlfn.XLOOKUP(Matrix[[#This Row],[TEAM]]&amp;Matrix[[#Headers],[22]],FDR[FDR]&amp;FDR[[#Headers],[22]],FDR[22],"",0,1)</f>
        <v>1</v>
      </c>
      <c r="AI46" cm="1">
        <f t="array" ref="AI46">_xlfn.XLOOKUP(Matrix[[#This Row],[TEAM]]&amp;Matrix[[#Headers],[23]],FDR[FDR]&amp;FDR[[#Headers],[23]],FDR[23],"",0,1)</f>
        <v>2</v>
      </c>
      <c r="AJ46" cm="1">
        <f t="array" ref="AJ46">_xlfn.XLOOKUP(Matrix[[#This Row],[TEAM]]&amp;Matrix[[#Headers],[24]],FDR[FDR]&amp;FDR[[#Headers],[24]],FDR[24],"",0,1)</f>
        <v>2</v>
      </c>
      <c r="AK46" cm="1">
        <f t="array" ref="AK46">_xlfn.XLOOKUP(Matrix[[#This Row],[TEAM]]&amp;Matrix[[#Headers],[25]],FDR[FDR]&amp;FDR[[#Headers],[25]],FDR[25],"",0,1)</f>
        <v>3</v>
      </c>
      <c r="AL46" cm="1">
        <f t="array" ref="AL46">_xlfn.XLOOKUP(Matrix[[#This Row],[TEAM]]&amp;Matrix[[#Headers],[26]],FDR[FDR]&amp;FDR[[#Headers],[26]],FDR[26],"",0,1)</f>
        <v>1</v>
      </c>
      <c r="AM46" cm="1">
        <f t="array" ref="AM46">_xlfn.XLOOKUP(Matrix[[#This Row],[TEAM]]&amp;Matrix[[#Headers],[27]],FDR[FDR]&amp;FDR[[#Headers],[27]],FDR[27],"",0,1)</f>
        <v>2</v>
      </c>
      <c r="AN46" cm="1">
        <f t="array" ref="AN46">_xlfn.XLOOKUP(Matrix[[#This Row],[TEAM]]&amp;Matrix[[#Headers],[28]],FDR[FDR]&amp;FDR[[#Headers],[28]],FDR[28],"",0,1)</f>
        <v>1</v>
      </c>
      <c r="AO46" cm="1">
        <f t="array" ref="AO46">_xlfn.XLOOKUP(Matrix[[#This Row],[TEAM]]&amp;Matrix[[#Headers],[29]],FDR[FDR]&amp;FDR[[#Headers],[29]],FDR[29],"",0,1)</f>
        <v>1</v>
      </c>
      <c r="AP46" cm="1">
        <f t="array" ref="AP46">_xlfn.XLOOKUP(Matrix[[#This Row],[TEAM]]&amp;Matrix[[#Headers],[30]],FDR[FDR]&amp;FDR[[#Headers],[30]],FDR[30],"",0,1)</f>
        <v>2</v>
      </c>
      <c r="AQ46" cm="1">
        <f t="array" ref="AQ46">_xlfn.XLOOKUP(Matrix[[#This Row],[TEAM]]&amp;Matrix[[#Headers],[31]],FDR[FDR]&amp;FDR[[#Headers],[31]],FDR[31],"",0,1)</f>
        <v>2</v>
      </c>
      <c r="AR46" cm="1">
        <f t="array" ref="AR46">_xlfn.XLOOKUP(Matrix[[#This Row],[TEAM]]&amp;Matrix[[#Headers],[32]],FDR[FDR]&amp;FDR[[#Headers],[32]],FDR[32],"",0,1)</f>
        <v>1</v>
      </c>
      <c r="AS46" cm="1">
        <f t="array" ref="AS46">_xlfn.XLOOKUP(Matrix[[#This Row],[TEAM]]&amp;Matrix[[#Headers],[33]],FDR[FDR]&amp;FDR[[#Headers],[33]],FDR[33],"",0,1)</f>
        <v>2</v>
      </c>
      <c r="AT46" cm="1">
        <f t="array" ref="AT46">_xlfn.XLOOKUP(Matrix[[#This Row],[TEAM]]&amp;Matrix[[#Headers],[34]],FDR[FDR]&amp;FDR[[#Headers],[34]],FDR[34],"",0,1)</f>
        <v>1</v>
      </c>
      <c r="AU46" cm="1">
        <f t="array" ref="AU46">_xlfn.XLOOKUP(Matrix[[#This Row],[TEAM]]&amp;Matrix[[#Headers],[35]],FDR[FDR]&amp;FDR[[#Headers],[35]],FDR[35],"",0,1)</f>
        <v>3</v>
      </c>
      <c r="AV46" cm="1">
        <f t="array" ref="AV46">_xlfn.XLOOKUP(Matrix[[#This Row],[TEAM]]&amp;Matrix[[#Headers],[36]],FDR[FDR]&amp;FDR[[#Headers],[36]],FDR[36],"",0,1)</f>
        <v>2</v>
      </c>
      <c r="AW46" cm="1">
        <f t="array" ref="AW46">_xlfn.XLOOKUP(Matrix[[#This Row],[TEAM]]&amp;Matrix[[#Headers],[37]],FDR[FDR]&amp;FDR[[#Headers],[37]],FDR[37],"",0,1)</f>
        <v>3</v>
      </c>
      <c r="AX46" cm="1">
        <f t="array" ref="AX46">_xlfn.XLOOKUP(Matrix[[#This Row],[TEAM]]&amp;Matrix[[#Headers],[38]],FDR[FDR]&amp;FDR[[#Headers],[38]],FDR[38],"",0,1)</f>
        <v>1</v>
      </c>
    </row>
    <row r="47" spans="1:50" ht="22" thickTop="1" thickBot="1">
      <c r="A47" s="50" t="str">
        <f>INDEX!S$4</f>
        <v>MID</v>
      </c>
      <c r="B47" s="70" t="s">
        <v>1313</v>
      </c>
      <c r="C47" s="40" t="s">
        <v>24</v>
      </c>
      <c r="D47" s="62">
        <v>114</v>
      </c>
      <c r="E47" s="60">
        <v>0.129</v>
      </c>
      <c r="F47" s="61">
        <v>142</v>
      </c>
      <c r="G47" s="63">
        <v>6.5</v>
      </c>
      <c r="H47" s="261">
        <f>IF(ISBLANK(I47),0,1)</f>
        <v>0</v>
      </c>
      <c r="I47" s="57"/>
      <c r="J47" s="58"/>
      <c r="K47" s="59" t="s">
        <v>613</v>
      </c>
      <c r="L47" s="59" t="s">
        <v>284</v>
      </c>
      <c r="M47" cm="1">
        <f t="array" ref="M47">_xlfn.XLOOKUP(Matrix[[#This Row],[TEAM]]&amp;Matrix[[#Headers],[1]],FDR[FDR]&amp;FDR[[#Headers],[1]],FDR[1],"",0,1)</f>
        <v>2</v>
      </c>
      <c r="N47" cm="1">
        <f t="array" ref="N47">_xlfn.XLOOKUP(Matrix[[#This Row],[TEAM]]&amp;Matrix[[#Headers],[2]],FDR[FDR]&amp;FDR[[#Headers],[2]],FDR[2],"",0,1)</f>
        <v>3</v>
      </c>
      <c r="O47" cm="1">
        <f t="array" ref="O47">_xlfn.XLOOKUP(Matrix[[#This Row],[TEAM]]&amp;Matrix[[#Headers],[3]],FDR[FDR]&amp;FDR[[#Headers],[3]],FDR[3],"",0,1)</f>
        <v>2</v>
      </c>
      <c r="P47" cm="1">
        <f t="array" ref="P47">_xlfn.XLOOKUP(Matrix[[#This Row],[TEAM]]&amp;Matrix[[#Headers],[4]],FDR[FDR]&amp;FDR[[#Headers],[4]],FDR[4],"",0,1)</f>
        <v>4</v>
      </c>
      <c r="Q47" cm="1">
        <f t="array" ref="Q47">_xlfn.XLOOKUP(Matrix[[#This Row],[TEAM]]&amp;Matrix[[#Headers],[5]],FDR[FDR]&amp;FDR[[#Headers],[5]],FDR[5],"",0,1)</f>
        <v>5</v>
      </c>
      <c r="R47" cm="1">
        <f t="array" ref="R47">_xlfn.XLOOKUP(Matrix[[#This Row],[TEAM]]&amp;Matrix[[#Headers],[6]],FDR[FDR]&amp;FDR[[#Headers],[6]],FDR[6],"",0,1)</f>
        <v>3</v>
      </c>
      <c r="S47" cm="1">
        <f t="array" ref="S47">_xlfn.XLOOKUP(Matrix[[#This Row],[TEAM]]&amp;Matrix[[#Headers],[7]],FDR[FDR]&amp;FDR[[#Headers],[7]],FDR[7],"",0,1)</f>
        <v>3</v>
      </c>
      <c r="T47" cm="1">
        <f t="array" ref="T47">_xlfn.XLOOKUP(Matrix[[#This Row],[TEAM]]&amp;Matrix[[#Headers],[8]],FDR[FDR]&amp;FDR[[#Headers],[8]],FDR[8],"",0,1)</f>
        <v>5</v>
      </c>
      <c r="U47" cm="1">
        <f t="array" ref="U47">_xlfn.XLOOKUP(Matrix[[#This Row],[TEAM]]&amp;Matrix[[#Headers],[9]],FDR[FDR]&amp;FDR[[#Headers],[9]],FDR[9],"",0,1)</f>
        <v>4</v>
      </c>
      <c r="V47" cm="1">
        <f t="array" ref="V47">_xlfn.XLOOKUP(Matrix[[#This Row],[TEAM]]&amp;Matrix[[#Headers],[10]],FDR[FDR]&amp;FDR[[#Headers],[10]],FDR[10],"",0,1)</f>
        <v>2</v>
      </c>
      <c r="W47" cm="1">
        <f t="array" ref="W47">_xlfn.XLOOKUP(Matrix[[#This Row],[TEAM]]&amp;Matrix[[#Headers],[11]],FDR[FDR]&amp;FDR[[#Headers],[11]],FDR[11],"",0,1)</f>
        <v>3</v>
      </c>
      <c r="X47" cm="1">
        <f t="array" ref="X47">_xlfn.XLOOKUP(Matrix[[#This Row],[TEAM]]&amp;Matrix[[#Headers],[12]],FDR[FDR]&amp;FDR[[#Headers],[12]],FDR[12],"",0,1)</f>
        <v>5</v>
      </c>
      <c r="Y47" cm="1">
        <f t="array" ref="Y47">_xlfn.XLOOKUP(Matrix[[#This Row],[TEAM]]&amp;Matrix[[#Headers],[13]],FDR[FDR]&amp;FDR[[#Headers],[13]],FDR[13],"",0,1)</f>
        <v>4</v>
      </c>
      <c r="Z47" cm="1">
        <f t="array" ref="Z47">_xlfn.XLOOKUP(Matrix[[#This Row],[TEAM]]&amp;Matrix[[#Headers],[14]],FDR[FDR]&amp;FDR[[#Headers],[14]],FDR[14],"",0,1)</f>
        <v>4</v>
      </c>
      <c r="AA47" cm="1">
        <f t="array" ref="AA47">_xlfn.XLOOKUP(Matrix[[#This Row],[TEAM]]&amp;Matrix[[#Headers],[15]],FDR[FDR]&amp;FDR[[#Headers],[15]],FDR[15],"",0,1)</f>
        <v>3</v>
      </c>
      <c r="AB47" cm="1">
        <f t="array" ref="AB47">_xlfn.XLOOKUP(Matrix[[#This Row],[TEAM]]&amp;Matrix[[#Headers],[16]],FDR[FDR]&amp;FDR[[#Headers],[16]],FDR[16],"",0,1)</f>
        <v>5</v>
      </c>
      <c r="AC47" cm="1">
        <f t="array" ref="AC47">_xlfn.XLOOKUP(Matrix[[#This Row],[TEAM]]&amp;Matrix[[#Headers],[17]],FDR[FDR]&amp;FDR[[#Headers],[17]],FDR[17],"",0,1)</f>
        <v>4</v>
      </c>
      <c r="AD47" cm="1">
        <f t="array" ref="AD47">_xlfn.XLOOKUP(Matrix[[#This Row],[TEAM]]&amp;Matrix[[#Headers],[18]],FDR[FDR]&amp;FDR[[#Headers],[18]],FDR[18],"",0,1)</f>
        <v>2</v>
      </c>
      <c r="AE47" cm="1">
        <f t="array" ref="AE47">_xlfn.XLOOKUP(Matrix[[#This Row],[TEAM]]&amp;Matrix[[#Headers],[19]],FDR[FDR]&amp;FDR[[#Headers],[19]],FDR[19],"",0,1)</f>
        <v>4</v>
      </c>
      <c r="AF47" cm="1">
        <f t="array" ref="AF47">_xlfn.XLOOKUP(Matrix[[#This Row],[TEAM]]&amp;Matrix[[#Headers],[20]],FDR[FDR]&amp;FDR[[#Headers],[20]],FDR[20],"",0,1)</f>
        <v>3</v>
      </c>
      <c r="AG47" cm="1">
        <f t="array" ref="AG47">_xlfn.XLOOKUP(Matrix[[#This Row],[TEAM]]&amp;Matrix[[#Headers],[21]],FDR[FDR]&amp;FDR[[#Headers],[21]],FDR[21],"",0,1)</f>
        <v>2</v>
      </c>
      <c r="AH47" cm="1">
        <f t="array" ref="AH47">_xlfn.XLOOKUP(Matrix[[#This Row],[TEAM]]&amp;Matrix[[#Headers],[22]],FDR[FDR]&amp;FDR[[#Headers],[22]],FDR[22],"",0,1)</f>
        <v>5</v>
      </c>
      <c r="AI47" cm="1">
        <f t="array" ref="AI47">_xlfn.XLOOKUP(Matrix[[#This Row],[TEAM]]&amp;Matrix[[#Headers],[23]],FDR[FDR]&amp;FDR[[#Headers],[23]],FDR[23],"",0,1)</f>
        <v>1</v>
      </c>
      <c r="AJ47" cm="1">
        <f t="array" ref="AJ47">_xlfn.XLOOKUP(Matrix[[#This Row],[TEAM]]&amp;Matrix[[#Headers],[24]],FDR[FDR]&amp;FDR[[#Headers],[24]],FDR[24],"",0,1)</f>
        <v>4</v>
      </c>
      <c r="AK47" cm="1">
        <f t="array" ref="AK47">_xlfn.XLOOKUP(Matrix[[#This Row],[TEAM]]&amp;Matrix[[#Headers],[25]],FDR[FDR]&amp;FDR[[#Headers],[25]],FDR[25],"",0,1)</f>
        <v>4</v>
      </c>
      <c r="AL47" cm="1">
        <f t="array" ref="AL47">_xlfn.XLOOKUP(Matrix[[#This Row],[TEAM]]&amp;Matrix[[#Headers],[26]],FDR[FDR]&amp;FDR[[#Headers],[26]],FDR[26],"",0,1)</f>
        <v>3</v>
      </c>
      <c r="AM47" cm="1">
        <f t="array" ref="AM47">_xlfn.XLOOKUP(Matrix[[#This Row],[TEAM]]&amp;Matrix[[#Headers],[27]],FDR[FDR]&amp;FDR[[#Headers],[27]],FDR[27],"",0,1)</f>
        <v>4</v>
      </c>
      <c r="AN47" cm="1">
        <f t="array" ref="AN47">_xlfn.XLOOKUP(Matrix[[#This Row],[TEAM]]&amp;Matrix[[#Headers],[28]],FDR[FDR]&amp;FDR[[#Headers],[28]],FDR[28],"",0,1)</f>
        <v>5</v>
      </c>
      <c r="AO47" cm="1">
        <f t="array" ref="AO47">_xlfn.XLOOKUP(Matrix[[#This Row],[TEAM]]&amp;Matrix[[#Headers],[29]],FDR[FDR]&amp;FDR[[#Headers],[29]],FDR[29],"",0,1)</f>
        <v>1</v>
      </c>
      <c r="AP47" cm="1">
        <f t="array" ref="AP47">_xlfn.XLOOKUP(Matrix[[#This Row],[TEAM]]&amp;Matrix[[#Headers],[30]],FDR[FDR]&amp;FDR[[#Headers],[30]],FDR[30],"",0,1)</f>
        <v>5</v>
      </c>
      <c r="AQ47" cm="1">
        <f t="array" ref="AQ47">_xlfn.XLOOKUP(Matrix[[#This Row],[TEAM]]&amp;Matrix[[#Headers],[31]],FDR[FDR]&amp;FDR[[#Headers],[31]],FDR[31],"",0,1)</f>
        <v>4</v>
      </c>
      <c r="AR47" cm="1">
        <f t="array" ref="AR47">_xlfn.XLOOKUP(Matrix[[#This Row],[TEAM]]&amp;Matrix[[#Headers],[32]],FDR[FDR]&amp;FDR[[#Headers],[32]],FDR[32],"",0,1)</f>
        <v>4</v>
      </c>
      <c r="AS47" cm="1">
        <f t="array" ref="AS47">_xlfn.XLOOKUP(Matrix[[#This Row],[TEAM]]&amp;Matrix[[#Headers],[33]],FDR[FDR]&amp;FDR[[#Headers],[33]],FDR[33],"",0,1)</f>
        <v>4</v>
      </c>
      <c r="AT47" cm="1">
        <f t="array" ref="AT47">_xlfn.XLOOKUP(Matrix[[#This Row],[TEAM]]&amp;Matrix[[#Headers],[34]],FDR[FDR]&amp;FDR[[#Headers],[34]],FDR[34],"",0,1)</f>
        <v>4</v>
      </c>
      <c r="AU47" cm="1">
        <f t="array" ref="AU47">_xlfn.XLOOKUP(Matrix[[#This Row],[TEAM]]&amp;Matrix[[#Headers],[35]],FDR[FDR]&amp;FDR[[#Headers],[35]],FDR[35],"",0,1)</f>
        <v>4</v>
      </c>
      <c r="AV47" cm="1">
        <f t="array" ref="AV47">_xlfn.XLOOKUP(Matrix[[#This Row],[TEAM]]&amp;Matrix[[#Headers],[36]],FDR[FDR]&amp;FDR[[#Headers],[36]],FDR[36],"",0,1)</f>
        <v>4</v>
      </c>
      <c r="AW47" cm="1">
        <f t="array" ref="AW47">_xlfn.XLOOKUP(Matrix[[#This Row],[TEAM]]&amp;Matrix[[#Headers],[37]],FDR[FDR]&amp;FDR[[#Headers],[37]],FDR[37],"",0,1)</f>
        <v>1</v>
      </c>
      <c r="AX47" cm="1">
        <f t="array" ref="AX47">_xlfn.XLOOKUP(Matrix[[#This Row],[TEAM]]&amp;Matrix[[#Headers],[38]],FDR[FDR]&amp;FDR[[#Headers],[38]],FDR[38],"",0,1)</f>
        <v>5</v>
      </c>
    </row>
    <row r="48" spans="1:50" ht="22" thickTop="1" thickBot="1">
      <c r="A48" s="50" t="str">
        <f>INDEX!S$4</f>
        <v>MID</v>
      </c>
      <c r="B48" s="70" t="s">
        <v>1335</v>
      </c>
      <c r="C48" s="40" t="s">
        <v>29</v>
      </c>
      <c r="D48" s="62">
        <v>110</v>
      </c>
      <c r="E48" s="60">
        <v>7.0000000000000001E-3</v>
      </c>
      <c r="F48" s="61">
        <v>193.6</v>
      </c>
      <c r="G48" s="63">
        <v>6.5</v>
      </c>
      <c r="H48" s="261">
        <f>IF(ISBLANK(I48),0,1)</f>
        <v>0</v>
      </c>
      <c r="I48" s="57"/>
      <c r="J48" s="58"/>
      <c r="K48" s="59" t="s">
        <v>416</v>
      </c>
      <c r="L48" s="59" t="s">
        <v>196</v>
      </c>
      <c r="M48" cm="1">
        <f t="array" ref="M48">_xlfn.XLOOKUP(Matrix[[#This Row],[TEAM]]&amp;Matrix[[#Headers],[1]],FDR[FDR]&amp;FDR[[#Headers],[1]],FDR[1],"",0,1)</f>
        <v>1</v>
      </c>
      <c r="N48" cm="1">
        <f t="array" ref="N48">_xlfn.XLOOKUP(Matrix[[#This Row],[TEAM]]&amp;Matrix[[#Headers],[2]],FDR[FDR]&amp;FDR[[#Headers],[2]],FDR[2],"",0,1)</f>
        <v>2</v>
      </c>
      <c r="O48" cm="1">
        <f t="array" ref="O48">_xlfn.XLOOKUP(Matrix[[#This Row],[TEAM]]&amp;Matrix[[#Headers],[3]],FDR[FDR]&amp;FDR[[#Headers],[3]],FDR[3],"",0,1)</f>
        <v>2</v>
      </c>
      <c r="P48" cm="1">
        <f t="array" ref="P48">_xlfn.XLOOKUP(Matrix[[#This Row],[TEAM]]&amp;Matrix[[#Headers],[4]],FDR[FDR]&amp;FDR[[#Headers],[4]],FDR[4],"",0,1)</f>
        <v>2</v>
      </c>
      <c r="Q48" cm="1">
        <f t="array" ref="Q48">_xlfn.XLOOKUP(Matrix[[#This Row],[TEAM]]&amp;Matrix[[#Headers],[5]],FDR[FDR]&amp;FDR[[#Headers],[5]],FDR[5],"",0,1)</f>
        <v>4</v>
      </c>
      <c r="R48" cm="1">
        <f t="array" ref="R48">_xlfn.XLOOKUP(Matrix[[#This Row],[TEAM]]&amp;Matrix[[#Headers],[6]],FDR[FDR]&amp;FDR[[#Headers],[6]],FDR[6],"",0,1)</f>
        <v>1</v>
      </c>
      <c r="S48" cm="1">
        <f t="array" ref="S48">_xlfn.XLOOKUP(Matrix[[#This Row],[TEAM]]&amp;Matrix[[#Headers],[7]],FDR[FDR]&amp;FDR[[#Headers],[7]],FDR[7],"",0,1)</f>
        <v>2</v>
      </c>
      <c r="T48" cm="1">
        <f t="array" ref="T48">_xlfn.XLOOKUP(Matrix[[#This Row],[TEAM]]&amp;Matrix[[#Headers],[8]],FDR[FDR]&amp;FDR[[#Headers],[8]],FDR[8],"",0,1)</f>
        <v>1</v>
      </c>
      <c r="U48" cm="1">
        <f t="array" ref="U48">_xlfn.XLOOKUP(Matrix[[#This Row],[TEAM]]&amp;Matrix[[#Headers],[9]],FDR[FDR]&amp;FDR[[#Headers],[9]],FDR[9],"",0,1)</f>
        <v>3</v>
      </c>
      <c r="V48" cm="1">
        <f t="array" ref="V48">_xlfn.XLOOKUP(Matrix[[#This Row],[TEAM]]&amp;Matrix[[#Headers],[10]],FDR[FDR]&amp;FDR[[#Headers],[10]],FDR[10],"",0,1)</f>
        <v>1</v>
      </c>
      <c r="W48" cm="1">
        <f t="array" ref="W48">_xlfn.XLOOKUP(Matrix[[#This Row],[TEAM]]&amp;Matrix[[#Headers],[11]],FDR[FDR]&amp;FDR[[#Headers],[11]],FDR[11],"",0,1)</f>
        <v>3</v>
      </c>
      <c r="X48" cm="1">
        <f t="array" ref="X48">_xlfn.XLOOKUP(Matrix[[#This Row],[TEAM]]&amp;Matrix[[#Headers],[12]],FDR[FDR]&amp;FDR[[#Headers],[12]],FDR[12],"",0,1)</f>
        <v>3</v>
      </c>
      <c r="Y48" cm="1">
        <f t="array" ref="Y48">_xlfn.XLOOKUP(Matrix[[#This Row],[TEAM]]&amp;Matrix[[#Headers],[13]],FDR[FDR]&amp;FDR[[#Headers],[13]],FDR[13],"",0,1)</f>
        <v>1</v>
      </c>
      <c r="Z48" cm="1">
        <f t="array" ref="Z48">_xlfn.XLOOKUP(Matrix[[#This Row],[TEAM]]&amp;Matrix[[#Headers],[14]],FDR[FDR]&amp;FDR[[#Headers],[14]],FDR[14],"",0,1)</f>
        <v>2</v>
      </c>
      <c r="AA48" cm="1">
        <f t="array" ref="AA48">_xlfn.XLOOKUP(Matrix[[#This Row],[TEAM]]&amp;Matrix[[#Headers],[15]],FDR[FDR]&amp;FDR[[#Headers],[15]],FDR[15],"",0,1)</f>
        <v>1</v>
      </c>
      <c r="AB48" cm="1">
        <f t="array" ref="AB48">_xlfn.XLOOKUP(Matrix[[#This Row],[TEAM]]&amp;Matrix[[#Headers],[16]],FDR[FDR]&amp;FDR[[#Headers],[16]],FDR[16],"",0,1)</f>
        <v>2</v>
      </c>
      <c r="AC48" cm="1">
        <f t="array" ref="AC48">_xlfn.XLOOKUP(Matrix[[#This Row],[TEAM]]&amp;Matrix[[#Headers],[17]],FDR[FDR]&amp;FDR[[#Headers],[17]],FDR[17],"",0,1)</f>
        <v>1</v>
      </c>
      <c r="AD48" cm="1">
        <f t="array" ref="AD48">_xlfn.XLOOKUP(Matrix[[#This Row],[TEAM]]&amp;Matrix[[#Headers],[18]],FDR[FDR]&amp;FDR[[#Headers],[18]],FDR[18],"",0,1)</f>
        <v>2</v>
      </c>
      <c r="AE48" cm="1">
        <f t="array" ref="AE48">_xlfn.XLOOKUP(Matrix[[#This Row],[TEAM]]&amp;Matrix[[#Headers],[19]],FDR[FDR]&amp;FDR[[#Headers],[19]],FDR[19],"",0,1)</f>
        <v>1</v>
      </c>
      <c r="AF48" cm="1">
        <f t="array" ref="AF48">_xlfn.XLOOKUP(Matrix[[#This Row],[TEAM]]&amp;Matrix[[#Headers],[20]],FDR[FDR]&amp;FDR[[#Headers],[20]],FDR[20],"",0,1)</f>
        <v>2</v>
      </c>
      <c r="AG48" cm="1">
        <f t="array" ref="AG48">_xlfn.XLOOKUP(Matrix[[#This Row],[TEAM]]&amp;Matrix[[#Headers],[21]],FDR[FDR]&amp;FDR[[#Headers],[21]],FDR[21],"",0,1)</f>
        <v>1</v>
      </c>
      <c r="AH48" cm="1">
        <f t="array" ref="AH48">_xlfn.XLOOKUP(Matrix[[#This Row],[TEAM]]&amp;Matrix[[#Headers],[22]],FDR[FDR]&amp;FDR[[#Headers],[22]],FDR[22],"",0,1)</f>
        <v>3</v>
      </c>
      <c r="AI48" cm="1">
        <f t="array" ref="AI48">_xlfn.XLOOKUP(Matrix[[#This Row],[TEAM]]&amp;Matrix[[#Headers],[23]],FDR[FDR]&amp;FDR[[#Headers],[23]],FDR[23],"",0,1)</f>
        <v>1</v>
      </c>
      <c r="AJ48" cm="1">
        <f t="array" ref="AJ48">_xlfn.XLOOKUP(Matrix[[#This Row],[TEAM]]&amp;Matrix[[#Headers],[24]],FDR[FDR]&amp;FDR[[#Headers],[24]],FDR[24],"",0,1)</f>
        <v>3</v>
      </c>
      <c r="AK48" cm="1">
        <f t="array" ref="AK48">_xlfn.XLOOKUP(Matrix[[#This Row],[TEAM]]&amp;Matrix[[#Headers],[25]],FDR[FDR]&amp;FDR[[#Headers],[25]],FDR[25],"",0,1)</f>
        <v>4</v>
      </c>
      <c r="AL48" cm="1">
        <f t="array" ref="AL48">_xlfn.XLOOKUP(Matrix[[#This Row],[TEAM]]&amp;Matrix[[#Headers],[26]],FDR[FDR]&amp;FDR[[#Headers],[26]],FDR[26],"",0,1)</f>
        <v>1</v>
      </c>
      <c r="AM48" cm="1">
        <f t="array" ref="AM48">_xlfn.XLOOKUP(Matrix[[#This Row],[TEAM]]&amp;Matrix[[#Headers],[27]],FDR[FDR]&amp;FDR[[#Headers],[27]],FDR[27],"",0,1)</f>
        <v>2</v>
      </c>
      <c r="AN48" cm="1">
        <f t="array" ref="AN48">_xlfn.XLOOKUP(Matrix[[#This Row],[TEAM]]&amp;Matrix[[#Headers],[28]],FDR[FDR]&amp;FDR[[#Headers],[28]],FDR[28],"",0,1)</f>
        <v>1</v>
      </c>
      <c r="AO48" cm="1">
        <f t="array" ref="AO48">_xlfn.XLOOKUP(Matrix[[#This Row],[TEAM]]&amp;Matrix[[#Headers],[29]],FDR[FDR]&amp;FDR[[#Headers],[29]],FDR[29],"",0,1)</f>
        <v>1</v>
      </c>
      <c r="AP48" cm="1">
        <f t="array" ref="AP48">_xlfn.XLOOKUP(Matrix[[#This Row],[TEAM]]&amp;Matrix[[#Headers],[30]],FDR[FDR]&amp;FDR[[#Headers],[30]],FDR[30],"",0,1)</f>
        <v>2</v>
      </c>
      <c r="AQ48" cm="1">
        <f t="array" ref="AQ48">_xlfn.XLOOKUP(Matrix[[#This Row],[TEAM]]&amp;Matrix[[#Headers],[31]],FDR[FDR]&amp;FDR[[#Headers],[31]],FDR[31],"",0,1)</f>
        <v>1</v>
      </c>
      <c r="AR48" cm="1">
        <f t="array" ref="AR48">_xlfn.XLOOKUP(Matrix[[#This Row],[TEAM]]&amp;Matrix[[#Headers],[32]],FDR[FDR]&amp;FDR[[#Headers],[32]],FDR[32],"",0,1)</f>
        <v>3</v>
      </c>
      <c r="AS48" cm="1">
        <f t="array" ref="AS48">_xlfn.XLOOKUP(Matrix[[#This Row],[TEAM]]&amp;Matrix[[#Headers],[33]],FDR[FDR]&amp;FDR[[#Headers],[33]],FDR[33],"",0,1)</f>
        <v>3</v>
      </c>
      <c r="AT48" cm="1">
        <f t="array" ref="AT48">_xlfn.XLOOKUP(Matrix[[#This Row],[TEAM]]&amp;Matrix[[#Headers],[34]],FDR[FDR]&amp;FDR[[#Headers],[34]],FDR[34],"",0,1)</f>
        <v>1</v>
      </c>
      <c r="AU48" cm="1">
        <f t="array" ref="AU48">_xlfn.XLOOKUP(Matrix[[#This Row],[TEAM]]&amp;Matrix[[#Headers],[35]],FDR[FDR]&amp;FDR[[#Headers],[35]],FDR[35],"",0,1)</f>
        <v>2</v>
      </c>
      <c r="AV48" cm="1">
        <f t="array" ref="AV48">_xlfn.XLOOKUP(Matrix[[#This Row],[TEAM]]&amp;Matrix[[#Headers],[36]],FDR[FDR]&amp;FDR[[#Headers],[36]],FDR[36],"",0,1)</f>
        <v>1</v>
      </c>
      <c r="AW48" cm="1">
        <f t="array" ref="AW48">_xlfn.XLOOKUP(Matrix[[#This Row],[TEAM]]&amp;Matrix[[#Headers],[37]],FDR[FDR]&amp;FDR[[#Headers],[37]],FDR[37],"",0,1)</f>
        <v>2</v>
      </c>
      <c r="AX48" cm="1">
        <f t="array" ref="AX48">_xlfn.XLOOKUP(Matrix[[#This Row],[TEAM]]&amp;Matrix[[#Headers],[38]],FDR[FDR]&amp;FDR[[#Headers],[38]],FDR[38],"",0,1)</f>
        <v>2</v>
      </c>
    </row>
    <row r="49" spans="1:50" ht="22" thickTop="1" thickBot="1">
      <c r="A49" s="50" t="str">
        <f>INDEX!S$4</f>
        <v>MID</v>
      </c>
      <c r="B49" s="70" t="s">
        <v>1338</v>
      </c>
      <c r="C49" s="40" t="s">
        <v>29</v>
      </c>
      <c r="D49" s="62">
        <v>97</v>
      </c>
      <c r="E49" s="60">
        <v>2E-3</v>
      </c>
      <c r="F49" s="61">
        <v>144.19999999999999</v>
      </c>
      <c r="G49" s="63">
        <v>6.5</v>
      </c>
      <c r="H49" s="261">
        <f>IF(ISBLANK(I49),0,1)</f>
        <v>0</v>
      </c>
      <c r="I49" s="57"/>
      <c r="J49" s="58"/>
      <c r="K49" s="59" t="s">
        <v>734</v>
      </c>
      <c r="L49" s="59" t="s">
        <v>735</v>
      </c>
      <c r="M49" cm="1">
        <f t="array" ref="M49">_xlfn.XLOOKUP(Matrix[[#This Row],[TEAM]]&amp;Matrix[[#Headers],[1]],FDR[FDR]&amp;FDR[[#Headers],[1]],FDR[1],"",0,1)</f>
        <v>1</v>
      </c>
      <c r="N49" cm="1">
        <f t="array" ref="N49">_xlfn.XLOOKUP(Matrix[[#This Row],[TEAM]]&amp;Matrix[[#Headers],[2]],FDR[FDR]&amp;FDR[[#Headers],[2]],FDR[2],"",0,1)</f>
        <v>2</v>
      </c>
      <c r="O49" cm="1">
        <f t="array" ref="O49">_xlfn.XLOOKUP(Matrix[[#This Row],[TEAM]]&amp;Matrix[[#Headers],[3]],FDR[FDR]&amp;FDR[[#Headers],[3]],FDR[3],"",0,1)</f>
        <v>2</v>
      </c>
      <c r="P49" cm="1">
        <f t="array" ref="P49">_xlfn.XLOOKUP(Matrix[[#This Row],[TEAM]]&amp;Matrix[[#Headers],[4]],FDR[FDR]&amp;FDR[[#Headers],[4]],FDR[4],"",0,1)</f>
        <v>2</v>
      </c>
      <c r="Q49" cm="1">
        <f t="array" ref="Q49">_xlfn.XLOOKUP(Matrix[[#This Row],[TEAM]]&amp;Matrix[[#Headers],[5]],FDR[FDR]&amp;FDR[[#Headers],[5]],FDR[5],"",0,1)</f>
        <v>4</v>
      </c>
      <c r="R49" cm="1">
        <f t="array" ref="R49">_xlfn.XLOOKUP(Matrix[[#This Row],[TEAM]]&amp;Matrix[[#Headers],[6]],FDR[FDR]&amp;FDR[[#Headers],[6]],FDR[6],"",0,1)</f>
        <v>1</v>
      </c>
      <c r="S49" cm="1">
        <f t="array" ref="S49">_xlfn.XLOOKUP(Matrix[[#This Row],[TEAM]]&amp;Matrix[[#Headers],[7]],FDR[FDR]&amp;FDR[[#Headers],[7]],FDR[7],"",0,1)</f>
        <v>2</v>
      </c>
      <c r="T49" cm="1">
        <f t="array" ref="T49">_xlfn.XLOOKUP(Matrix[[#This Row],[TEAM]]&amp;Matrix[[#Headers],[8]],FDR[FDR]&amp;FDR[[#Headers],[8]],FDR[8],"",0,1)</f>
        <v>1</v>
      </c>
      <c r="U49" cm="1">
        <f t="array" ref="U49">_xlfn.XLOOKUP(Matrix[[#This Row],[TEAM]]&amp;Matrix[[#Headers],[9]],FDR[FDR]&amp;FDR[[#Headers],[9]],FDR[9],"",0,1)</f>
        <v>3</v>
      </c>
      <c r="V49" cm="1">
        <f t="array" ref="V49">_xlfn.XLOOKUP(Matrix[[#This Row],[TEAM]]&amp;Matrix[[#Headers],[10]],FDR[FDR]&amp;FDR[[#Headers],[10]],FDR[10],"",0,1)</f>
        <v>1</v>
      </c>
      <c r="W49" cm="1">
        <f t="array" ref="W49">_xlfn.XLOOKUP(Matrix[[#This Row],[TEAM]]&amp;Matrix[[#Headers],[11]],FDR[FDR]&amp;FDR[[#Headers],[11]],FDR[11],"",0,1)</f>
        <v>3</v>
      </c>
      <c r="X49" cm="1">
        <f t="array" ref="X49">_xlfn.XLOOKUP(Matrix[[#This Row],[TEAM]]&amp;Matrix[[#Headers],[12]],FDR[FDR]&amp;FDR[[#Headers],[12]],FDR[12],"",0,1)</f>
        <v>3</v>
      </c>
      <c r="Y49" cm="1">
        <f t="array" ref="Y49">_xlfn.XLOOKUP(Matrix[[#This Row],[TEAM]]&amp;Matrix[[#Headers],[13]],FDR[FDR]&amp;FDR[[#Headers],[13]],FDR[13],"",0,1)</f>
        <v>1</v>
      </c>
      <c r="Z49" cm="1">
        <f t="array" ref="Z49">_xlfn.XLOOKUP(Matrix[[#This Row],[TEAM]]&amp;Matrix[[#Headers],[14]],FDR[FDR]&amp;FDR[[#Headers],[14]],FDR[14],"",0,1)</f>
        <v>2</v>
      </c>
      <c r="AA49" cm="1">
        <f t="array" ref="AA49">_xlfn.XLOOKUP(Matrix[[#This Row],[TEAM]]&amp;Matrix[[#Headers],[15]],FDR[FDR]&amp;FDR[[#Headers],[15]],FDR[15],"",0,1)</f>
        <v>1</v>
      </c>
      <c r="AB49" cm="1">
        <f t="array" ref="AB49">_xlfn.XLOOKUP(Matrix[[#This Row],[TEAM]]&amp;Matrix[[#Headers],[16]],FDR[FDR]&amp;FDR[[#Headers],[16]],FDR[16],"",0,1)</f>
        <v>2</v>
      </c>
      <c r="AC49" cm="1">
        <f t="array" ref="AC49">_xlfn.XLOOKUP(Matrix[[#This Row],[TEAM]]&amp;Matrix[[#Headers],[17]],FDR[FDR]&amp;FDR[[#Headers],[17]],FDR[17],"",0,1)</f>
        <v>1</v>
      </c>
      <c r="AD49" cm="1">
        <f t="array" ref="AD49">_xlfn.XLOOKUP(Matrix[[#This Row],[TEAM]]&amp;Matrix[[#Headers],[18]],FDR[FDR]&amp;FDR[[#Headers],[18]],FDR[18],"",0,1)</f>
        <v>2</v>
      </c>
      <c r="AE49" cm="1">
        <f t="array" ref="AE49">_xlfn.XLOOKUP(Matrix[[#This Row],[TEAM]]&amp;Matrix[[#Headers],[19]],FDR[FDR]&amp;FDR[[#Headers],[19]],FDR[19],"",0,1)</f>
        <v>1</v>
      </c>
      <c r="AF49" cm="1">
        <f t="array" ref="AF49">_xlfn.XLOOKUP(Matrix[[#This Row],[TEAM]]&amp;Matrix[[#Headers],[20]],FDR[FDR]&amp;FDR[[#Headers],[20]],FDR[20],"",0,1)</f>
        <v>2</v>
      </c>
      <c r="AG49" cm="1">
        <f t="array" ref="AG49">_xlfn.XLOOKUP(Matrix[[#This Row],[TEAM]]&amp;Matrix[[#Headers],[21]],FDR[FDR]&amp;FDR[[#Headers],[21]],FDR[21],"",0,1)</f>
        <v>1</v>
      </c>
      <c r="AH49" cm="1">
        <f t="array" ref="AH49">_xlfn.XLOOKUP(Matrix[[#This Row],[TEAM]]&amp;Matrix[[#Headers],[22]],FDR[FDR]&amp;FDR[[#Headers],[22]],FDR[22],"",0,1)</f>
        <v>3</v>
      </c>
      <c r="AI49" cm="1">
        <f t="array" ref="AI49">_xlfn.XLOOKUP(Matrix[[#This Row],[TEAM]]&amp;Matrix[[#Headers],[23]],FDR[FDR]&amp;FDR[[#Headers],[23]],FDR[23],"",0,1)</f>
        <v>1</v>
      </c>
      <c r="AJ49" cm="1">
        <f t="array" ref="AJ49">_xlfn.XLOOKUP(Matrix[[#This Row],[TEAM]]&amp;Matrix[[#Headers],[24]],FDR[FDR]&amp;FDR[[#Headers],[24]],FDR[24],"",0,1)</f>
        <v>3</v>
      </c>
      <c r="AK49" cm="1">
        <f t="array" ref="AK49">_xlfn.XLOOKUP(Matrix[[#This Row],[TEAM]]&amp;Matrix[[#Headers],[25]],FDR[FDR]&amp;FDR[[#Headers],[25]],FDR[25],"",0,1)</f>
        <v>4</v>
      </c>
      <c r="AL49" cm="1">
        <f t="array" ref="AL49">_xlfn.XLOOKUP(Matrix[[#This Row],[TEAM]]&amp;Matrix[[#Headers],[26]],FDR[FDR]&amp;FDR[[#Headers],[26]],FDR[26],"",0,1)</f>
        <v>1</v>
      </c>
      <c r="AM49" cm="1">
        <f t="array" ref="AM49">_xlfn.XLOOKUP(Matrix[[#This Row],[TEAM]]&amp;Matrix[[#Headers],[27]],FDR[FDR]&amp;FDR[[#Headers],[27]],FDR[27],"",0,1)</f>
        <v>2</v>
      </c>
      <c r="AN49" cm="1">
        <f t="array" ref="AN49">_xlfn.XLOOKUP(Matrix[[#This Row],[TEAM]]&amp;Matrix[[#Headers],[28]],FDR[FDR]&amp;FDR[[#Headers],[28]],FDR[28],"",0,1)</f>
        <v>1</v>
      </c>
      <c r="AO49" cm="1">
        <f t="array" ref="AO49">_xlfn.XLOOKUP(Matrix[[#This Row],[TEAM]]&amp;Matrix[[#Headers],[29]],FDR[FDR]&amp;FDR[[#Headers],[29]],FDR[29],"",0,1)</f>
        <v>1</v>
      </c>
      <c r="AP49" cm="1">
        <f t="array" ref="AP49">_xlfn.XLOOKUP(Matrix[[#This Row],[TEAM]]&amp;Matrix[[#Headers],[30]],FDR[FDR]&amp;FDR[[#Headers],[30]],FDR[30],"",0,1)</f>
        <v>2</v>
      </c>
      <c r="AQ49" cm="1">
        <f t="array" ref="AQ49">_xlfn.XLOOKUP(Matrix[[#This Row],[TEAM]]&amp;Matrix[[#Headers],[31]],FDR[FDR]&amp;FDR[[#Headers],[31]],FDR[31],"",0,1)</f>
        <v>1</v>
      </c>
      <c r="AR49" cm="1">
        <f t="array" ref="AR49">_xlfn.XLOOKUP(Matrix[[#This Row],[TEAM]]&amp;Matrix[[#Headers],[32]],FDR[FDR]&amp;FDR[[#Headers],[32]],FDR[32],"",0,1)</f>
        <v>3</v>
      </c>
      <c r="AS49" cm="1">
        <f t="array" ref="AS49">_xlfn.XLOOKUP(Matrix[[#This Row],[TEAM]]&amp;Matrix[[#Headers],[33]],FDR[FDR]&amp;FDR[[#Headers],[33]],FDR[33],"",0,1)</f>
        <v>3</v>
      </c>
      <c r="AT49" cm="1">
        <f t="array" ref="AT49">_xlfn.XLOOKUP(Matrix[[#This Row],[TEAM]]&amp;Matrix[[#Headers],[34]],FDR[FDR]&amp;FDR[[#Headers],[34]],FDR[34],"",0,1)</f>
        <v>1</v>
      </c>
      <c r="AU49" cm="1">
        <f t="array" ref="AU49">_xlfn.XLOOKUP(Matrix[[#This Row],[TEAM]]&amp;Matrix[[#Headers],[35]],FDR[FDR]&amp;FDR[[#Headers],[35]],FDR[35],"",0,1)</f>
        <v>2</v>
      </c>
      <c r="AV49" cm="1">
        <f t="array" ref="AV49">_xlfn.XLOOKUP(Matrix[[#This Row],[TEAM]]&amp;Matrix[[#Headers],[36]],FDR[FDR]&amp;FDR[[#Headers],[36]],FDR[36],"",0,1)</f>
        <v>1</v>
      </c>
      <c r="AW49" cm="1">
        <f t="array" ref="AW49">_xlfn.XLOOKUP(Matrix[[#This Row],[TEAM]]&amp;Matrix[[#Headers],[37]],FDR[FDR]&amp;FDR[[#Headers],[37]],FDR[37],"",0,1)</f>
        <v>2</v>
      </c>
      <c r="AX49" cm="1">
        <f t="array" ref="AX49">_xlfn.XLOOKUP(Matrix[[#This Row],[TEAM]]&amp;Matrix[[#Headers],[38]],FDR[FDR]&amp;FDR[[#Headers],[38]],FDR[38],"",0,1)</f>
        <v>2</v>
      </c>
    </row>
    <row r="50" spans="1:50" ht="22" thickTop="1" thickBot="1">
      <c r="A50" s="50" t="str">
        <f>INDEX!S$4</f>
        <v>MID</v>
      </c>
      <c r="B50" s="70" t="s">
        <v>1331</v>
      </c>
      <c r="C50" s="40" t="s">
        <v>29</v>
      </c>
      <c r="D50" s="62">
        <v>88</v>
      </c>
      <c r="E50" s="60">
        <v>1.0999999999999999E-2</v>
      </c>
      <c r="F50" s="61">
        <v>150</v>
      </c>
      <c r="G50" s="63">
        <v>6.5</v>
      </c>
      <c r="H50" s="261">
        <f>IF(ISBLANK(I50),0,1)</f>
        <v>0</v>
      </c>
      <c r="I50" s="57"/>
      <c r="J50" s="58"/>
      <c r="K50" s="59" t="s">
        <v>547</v>
      </c>
      <c r="L50" s="59" t="s">
        <v>733</v>
      </c>
      <c r="M50" cm="1">
        <f t="array" ref="M50">_xlfn.XLOOKUP(Matrix[[#This Row],[TEAM]]&amp;Matrix[[#Headers],[1]],FDR[FDR]&amp;FDR[[#Headers],[1]],FDR[1],"",0,1)</f>
        <v>1</v>
      </c>
      <c r="N50" cm="1">
        <f t="array" ref="N50">_xlfn.XLOOKUP(Matrix[[#This Row],[TEAM]]&amp;Matrix[[#Headers],[2]],FDR[FDR]&amp;FDR[[#Headers],[2]],FDR[2],"",0,1)</f>
        <v>2</v>
      </c>
      <c r="O50" cm="1">
        <f t="array" ref="O50">_xlfn.XLOOKUP(Matrix[[#This Row],[TEAM]]&amp;Matrix[[#Headers],[3]],FDR[FDR]&amp;FDR[[#Headers],[3]],FDR[3],"",0,1)</f>
        <v>2</v>
      </c>
      <c r="P50" cm="1">
        <f t="array" ref="P50">_xlfn.XLOOKUP(Matrix[[#This Row],[TEAM]]&amp;Matrix[[#Headers],[4]],FDR[FDR]&amp;FDR[[#Headers],[4]],FDR[4],"",0,1)</f>
        <v>2</v>
      </c>
      <c r="Q50" cm="1">
        <f t="array" ref="Q50">_xlfn.XLOOKUP(Matrix[[#This Row],[TEAM]]&amp;Matrix[[#Headers],[5]],FDR[FDR]&amp;FDR[[#Headers],[5]],FDR[5],"",0,1)</f>
        <v>4</v>
      </c>
      <c r="R50" cm="1">
        <f t="array" ref="R50">_xlfn.XLOOKUP(Matrix[[#This Row],[TEAM]]&amp;Matrix[[#Headers],[6]],FDR[FDR]&amp;FDR[[#Headers],[6]],FDR[6],"",0,1)</f>
        <v>1</v>
      </c>
      <c r="S50" cm="1">
        <f t="array" ref="S50">_xlfn.XLOOKUP(Matrix[[#This Row],[TEAM]]&amp;Matrix[[#Headers],[7]],FDR[FDR]&amp;FDR[[#Headers],[7]],FDR[7],"",0,1)</f>
        <v>2</v>
      </c>
      <c r="T50" cm="1">
        <f t="array" ref="T50">_xlfn.XLOOKUP(Matrix[[#This Row],[TEAM]]&amp;Matrix[[#Headers],[8]],FDR[FDR]&amp;FDR[[#Headers],[8]],FDR[8],"",0,1)</f>
        <v>1</v>
      </c>
      <c r="U50" cm="1">
        <f t="array" ref="U50">_xlfn.XLOOKUP(Matrix[[#This Row],[TEAM]]&amp;Matrix[[#Headers],[9]],FDR[FDR]&amp;FDR[[#Headers],[9]],FDR[9],"",0,1)</f>
        <v>3</v>
      </c>
      <c r="V50" cm="1">
        <f t="array" ref="V50">_xlfn.XLOOKUP(Matrix[[#This Row],[TEAM]]&amp;Matrix[[#Headers],[10]],FDR[FDR]&amp;FDR[[#Headers],[10]],FDR[10],"",0,1)</f>
        <v>1</v>
      </c>
      <c r="W50" cm="1">
        <f t="array" ref="W50">_xlfn.XLOOKUP(Matrix[[#This Row],[TEAM]]&amp;Matrix[[#Headers],[11]],FDR[FDR]&amp;FDR[[#Headers],[11]],FDR[11],"",0,1)</f>
        <v>3</v>
      </c>
      <c r="X50" cm="1">
        <f t="array" ref="X50">_xlfn.XLOOKUP(Matrix[[#This Row],[TEAM]]&amp;Matrix[[#Headers],[12]],FDR[FDR]&amp;FDR[[#Headers],[12]],FDR[12],"",0,1)</f>
        <v>3</v>
      </c>
      <c r="Y50" cm="1">
        <f t="array" ref="Y50">_xlfn.XLOOKUP(Matrix[[#This Row],[TEAM]]&amp;Matrix[[#Headers],[13]],FDR[FDR]&amp;FDR[[#Headers],[13]],FDR[13],"",0,1)</f>
        <v>1</v>
      </c>
      <c r="Z50" cm="1">
        <f t="array" ref="Z50">_xlfn.XLOOKUP(Matrix[[#This Row],[TEAM]]&amp;Matrix[[#Headers],[14]],FDR[FDR]&amp;FDR[[#Headers],[14]],FDR[14],"",0,1)</f>
        <v>2</v>
      </c>
      <c r="AA50" cm="1">
        <f t="array" ref="AA50">_xlfn.XLOOKUP(Matrix[[#This Row],[TEAM]]&amp;Matrix[[#Headers],[15]],FDR[FDR]&amp;FDR[[#Headers],[15]],FDR[15],"",0,1)</f>
        <v>1</v>
      </c>
      <c r="AB50" cm="1">
        <f t="array" ref="AB50">_xlfn.XLOOKUP(Matrix[[#This Row],[TEAM]]&amp;Matrix[[#Headers],[16]],FDR[FDR]&amp;FDR[[#Headers],[16]],FDR[16],"",0,1)</f>
        <v>2</v>
      </c>
      <c r="AC50" cm="1">
        <f t="array" ref="AC50">_xlfn.XLOOKUP(Matrix[[#This Row],[TEAM]]&amp;Matrix[[#Headers],[17]],FDR[FDR]&amp;FDR[[#Headers],[17]],FDR[17],"",0,1)</f>
        <v>1</v>
      </c>
      <c r="AD50" cm="1">
        <f t="array" ref="AD50">_xlfn.XLOOKUP(Matrix[[#This Row],[TEAM]]&amp;Matrix[[#Headers],[18]],FDR[FDR]&amp;FDR[[#Headers],[18]],FDR[18],"",0,1)</f>
        <v>2</v>
      </c>
      <c r="AE50" cm="1">
        <f t="array" ref="AE50">_xlfn.XLOOKUP(Matrix[[#This Row],[TEAM]]&amp;Matrix[[#Headers],[19]],FDR[FDR]&amp;FDR[[#Headers],[19]],FDR[19],"",0,1)</f>
        <v>1</v>
      </c>
      <c r="AF50" cm="1">
        <f t="array" ref="AF50">_xlfn.XLOOKUP(Matrix[[#This Row],[TEAM]]&amp;Matrix[[#Headers],[20]],FDR[FDR]&amp;FDR[[#Headers],[20]],FDR[20],"",0,1)</f>
        <v>2</v>
      </c>
      <c r="AG50" cm="1">
        <f t="array" ref="AG50">_xlfn.XLOOKUP(Matrix[[#This Row],[TEAM]]&amp;Matrix[[#Headers],[21]],FDR[FDR]&amp;FDR[[#Headers],[21]],FDR[21],"",0,1)</f>
        <v>1</v>
      </c>
      <c r="AH50" cm="1">
        <f t="array" ref="AH50">_xlfn.XLOOKUP(Matrix[[#This Row],[TEAM]]&amp;Matrix[[#Headers],[22]],FDR[FDR]&amp;FDR[[#Headers],[22]],FDR[22],"",0,1)</f>
        <v>3</v>
      </c>
      <c r="AI50" cm="1">
        <f t="array" ref="AI50">_xlfn.XLOOKUP(Matrix[[#This Row],[TEAM]]&amp;Matrix[[#Headers],[23]],FDR[FDR]&amp;FDR[[#Headers],[23]],FDR[23],"",0,1)</f>
        <v>1</v>
      </c>
      <c r="AJ50" cm="1">
        <f t="array" ref="AJ50">_xlfn.XLOOKUP(Matrix[[#This Row],[TEAM]]&amp;Matrix[[#Headers],[24]],FDR[FDR]&amp;FDR[[#Headers],[24]],FDR[24],"",0,1)</f>
        <v>3</v>
      </c>
      <c r="AK50" cm="1">
        <f t="array" ref="AK50">_xlfn.XLOOKUP(Matrix[[#This Row],[TEAM]]&amp;Matrix[[#Headers],[25]],FDR[FDR]&amp;FDR[[#Headers],[25]],FDR[25],"",0,1)</f>
        <v>4</v>
      </c>
      <c r="AL50" cm="1">
        <f t="array" ref="AL50">_xlfn.XLOOKUP(Matrix[[#This Row],[TEAM]]&amp;Matrix[[#Headers],[26]],FDR[FDR]&amp;FDR[[#Headers],[26]],FDR[26],"",0,1)</f>
        <v>1</v>
      </c>
      <c r="AM50" cm="1">
        <f t="array" ref="AM50">_xlfn.XLOOKUP(Matrix[[#This Row],[TEAM]]&amp;Matrix[[#Headers],[27]],FDR[FDR]&amp;FDR[[#Headers],[27]],FDR[27],"",0,1)</f>
        <v>2</v>
      </c>
      <c r="AN50" cm="1">
        <f t="array" ref="AN50">_xlfn.XLOOKUP(Matrix[[#This Row],[TEAM]]&amp;Matrix[[#Headers],[28]],FDR[FDR]&amp;FDR[[#Headers],[28]],FDR[28],"",0,1)</f>
        <v>1</v>
      </c>
      <c r="AO50" cm="1">
        <f t="array" ref="AO50">_xlfn.XLOOKUP(Matrix[[#This Row],[TEAM]]&amp;Matrix[[#Headers],[29]],FDR[FDR]&amp;FDR[[#Headers],[29]],FDR[29],"",0,1)</f>
        <v>1</v>
      </c>
      <c r="AP50" cm="1">
        <f t="array" ref="AP50">_xlfn.XLOOKUP(Matrix[[#This Row],[TEAM]]&amp;Matrix[[#Headers],[30]],FDR[FDR]&amp;FDR[[#Headers],[30]],FDR[30],"",0,1)</f>
        <v>2</v>
      </c>
      <c r="AQ50" cm="1">
        <f t="array" ref="AQ50">_xlfn.XLOOKUP(Matrix[[#This Row],[TEAM]]&amp;Matrix[[#Headers],[31]],FDR[FDR]&amp;FDR[[#Headers],[31]],FDR[31],"",0,1)</f>
        <v>1</v>
      </c>
      <c r="AR50" cm="1">
        <f t="array" ref="AR50">_xlfn.XLOOKUP(Matrix[[#This Row],[TEAM]]&amp;Matrix[[#Headers],[32]],FDR[FDR]&amp;FDR[[#Headers],[32]],FDR[32],"",0,1)</f>
        <v>3</v>
      </c>
      <c r="AS50" cm="1">
        <f t="array" ref="AS50">_xlfn.XLOOKUP(Matrix[[#This Row],[TEAM]]&amp;Matrix[[#Headers],[33]],FDR[FDR]&amp;FDR[[#Headers],[33]],FDR[33],"",0,1)</f>
        <v>3</v>
      </c>
      <c r="AT50" cm="1">
        <f t="array" ref="AT50">_xlfn.XLOOKUP(Matrix[[#This Row],[TEAM]]&amp;Matrix[[#Headers],[34]],FDR[FDR]&amp;FDR[[#Headers],[34]],FDR[34],"",0,1)</f>
        <v>1</v>
      </c>
      <c r="AU50" cm="1">
        <f t="array" ref="AU50">_xlfn.XLOOKUP(Matrix[[#This Row],[TEAM]]&amp;Matrix[[#Headers],[35]],FDR[FDR]&amp;FDR[[#Headers],[35]],FDR[35],"",0,1)</f>
        <v>2</v>
      </c>
      <c r="AV50" cm="1">
        <f t="array" ref="AV50">_xlfn.XLOOKUP(Matrix[[#This Row],[TEAM]]&amp;Matrix[[#Headers],[36]],FDR[FDR]&amp;FDR[[#Headers],[36]],FDR[36],"",0,1)</f>
        <v>1</v>
      </c>
      <c r="AW50" cm="1">
        <f t="array" ref="AW50">_xlfn.XLOOKUP(Matrix[[#This Row],[TEAM]]&amp;Matrix[[#Headers],[37]],FDR[FDR]&amp;FDR[[#Headers],[37]],FDR[37],"",0,1)</f>
        <v>2</v>
      </c>
      <c r="AX50" cm="1">
        <f t="array" ref="AX50">_xlfn.XLOOKUP(Matrix[[#This Row],[TEAM]]&amp;Matrix[[#Headers],[38]],FDR[FDR]&amp;FDR[[#Headers],[38]],FDR[38],"",0,1)</f>
        <v>2</v>
      </c>
    </row>
    <row r="51" spans="1:50" ht="22" thickTop="1" thickBot="1">
      <c r="A51" s="50" t="str">
        <f>INDEX!S$4</f>
        <v>MID</v>
      </c>
      <c r="B51" s="70" t="s">
        <v>1330</v>
      </c>
      <c r="C51" s="40" t="s">
        <v>24</v>
      </c>
      <c r="D51" s="62">
        <v>38</v>
      </c>
      <c r="E51" s="60">
        <v>1.4E-2</v>
      </c>
      <c r="F51" s="61">
        <v>71.3</v>
      </c>
      <c r="G51" s="63">
        <v>6.5</v>
      </c>
      <c r="H51" s="261">
        <f>IF(ISBLANK(I51),0,1)</f>
        <v>0</v>
      </c>
      <c r="I51" s="57"/>
      <c r="J51" s="58"/>
      <c r="K51" s="59" t="s">
        <v>401</v>
      </c>
      <c r="L51" s="59" t="s">
        <v>188</v>
      </c>
      <c r="M51" cm="1">
        <f t="array" ref="M51">_xlfn.XLOOKUP(Matrix[[#This Row],[TEAM]]&amp;Matrix[[#Headers],[1]],FDR[FDR]&amp;FDR[[#Headers],[1]],FDR[1],"",0,1)</f>
        <v>2</v>
      </c>
      <c r="N51" cm="1">
        <f t="array" ref="N51">_xlfn.XLOOKUP(Matrix[[#This Row],[TEAM]]&amp;Matrix[[#Headers],[2]],FDR[FDR]&amp;FDR[[#Headers],[2]],FDR[2],"",0,1)</f>
        <v>3</v>
      </c>
      <c r="O51" cm="1">
        <f t="array" ref="O51">_xlfn.XLOOKUP(Matrix[[#This Row],[TEAM]]&amp;Matrix[[#Headers],[3]],FDR[FDR]&amp;FDR[[#Headers],[3]],FDR[3],"",0,1)</f>
        <v>2</v>
      </c>
      <c r="P51" cm="1">
        <f t="array" ref="P51">_xlfn.XLOOKUP(Matrix[[#This Row],[TEAM]]&amp;Matrix[[#Headers],[4]],FDR[FDR]&amp;FDR[[#Headers],[4]],FDR[4],"",0,1)</f>
        <v>4</v>
      </c>
      <c r="Q51" cm="1">
        <f t="array" ref="Q51">_xlfn.XLOOKUP(Matrix[[#This Row],[TEAM]]&amp;Matrix[[#Headers],[5]],FDR[FDR]&amp;FDR[[#Headers],[5]],FDR[5],"",0,1)</f>
        <v>5</v>
      </c>
      <c r="R51" cm="1">
        <f t="array" ref="R51">_xlfn.XLOOKUP(Matrix[[#This Row],[TEAM]]&amp;Matrix[[#Headers],[6]],FDR[FDR]&amp;FDR[[#Headers],[6]],FDR[6],"",0,1)</f>
        <v>3</v>
      </c>
      <c r="S51" cm="1">
        <f t="array" ref="S51">_xlfn.XLOOKUP(Matrix[[#This Row],[TEAM]]&amp;Matrix[[#Headers],[7]],FDR[FDR]&amp;FDR[[#Headers],[7]],FDR[7],"",0,1)</f>
        <v>3</v>
      </c>
      <c r="T51" cm="1">
        <f t="array" ref="T51">_xlfn.XLOOKUP(Matrix[[#This Row],[TEAM]]&amp;Matrix[[#Headers],[8]],FDR[FDR]&amp;FDR[[#Headers],[8]],FDR[8],"",0,1)</f>
        <v>5</v>
      </c>
      <c r="U51" cm="1">
        <f t="array" ref="U51">_xlfn.XLOOKUP(Matrix[[#This Row],[TEAM]]&amp;Matrix[[#Headers],[9]],FDR[FDR]&amp;FDR[[#Headers],[9]],FDR[9],"",0,1)</f>
        <v>4</v>
      </c>
      <c r="V51" cm="1">
        <f t="array" ref="V51">_xlfn.XLOOKUP(Matrix[[#This Row],[TEAM]]&amp;Matrix[[#Headers],[10]],FDR[FDR]&amp;FDR[[#Headers],[10]],FDR[10],"",0,1)</f>
        <v>2</v>
      </c>
      <c r="W51" cm="1">
        <f t="array" ref="W51">_xlfn.XLOOKUP(Matrix[[#This Row],[TEAM]]&amp;Matrix[[#Headers],[11]],FDR[FDR]&amp;FDR[[#Headers],[11]],FDR[11],"",0,1)</f>
        <v>3</v>
      </c>
      <c r="X51" cm="1">
        <f t="array" ref="X51">_xlfn.XLOOKUP(Matrix[[#This Row],[TEAM]]&amp;Matrix[[#Headers],[12]],FDR[FDR]&amp;FDR[[#Headers],[12]],FDR[12],"",0,1)</f>
        <v>5</v>
      </c>
      <c r="Y51" cm="1">
        <f t="array" ref="Y51">_xlfn.XLOOKUP(Matrix[[#This Row],[TEAM]]&amp;Matrix[[#Headers],[13]],FDR[FDR]&amp;FDR[[#Headers],[13]],FDR[13],"",0,1)</f>
        <v>4</v>
      </c>
      <c r="Z51" cm="1">
        <f t="array" ref="Z51">_xlfn.XLOOKUP(Matrix[[#This Row],[TEAM]]&amp;Matrix[[#Headers],[14]],FDR[FDR]&amp;FDR[[#Headers],[14]],FDR[14],"",0,1)</f>
        <v>4</v>
      </c>
      <c r="AA51" cm="1">
        <f t="array" ref="AA51">_xlfn.XLOOKUP(Matrix[[#This Row],[TEAM]]&amp;Matrix[[#Headers],[15]],FDR[FDR]&amp;FDR[[#Headers],[15]],FDR[15],"",0,1)</f>
        <v>3</v>
      </c>
      <c r="AB51" cm="1">
        <f t="array" ref="AB51">_xlfn.XLOOKUP(Matrix[[#This Row],[TEAM]]&amp;Matrix[[#Headers],[16]],FDR[FDR]&amp;FDR[[#Headers],[16]],FDR[16],"",0,1)</f>
        <v>5</v>
      </c>
      <c r="AC51" cm="1">
        <f t="array" ref="AC51">_xlfn.XLOOKUP(Matrix[[#This Row],[TEAM]]&amp;Matrix[[#Headers],[17]],FDR[FDR]&amp;FDR[[#Headers],[17]],FDR[17],"",0,1)</f>
        <v>4</v>
      </c>
      <c r="AD51" cm="1">
        <f t="array" ref="AD51">_xlfn.XLOOKUP(Matrix[[#This Row],[TEAM]]&amp;Matrix[[#Headers],[18]],FDR[FDR]&amp;FDR[[#Headers],[18]],FDR[18],"",0,1)</f>
        <v>2</v>
      </c>
      <c r="AE51" cm="1">
        <f t="array" ref="AE51">_xlfn.XLOOKUP(Matrix[[#This Row],[TEAM]]&amp;Matrix[[#Headers],[19]],FDR[FDR]&amp;FDR[[#Headers],[19]],FDR[19],"",0,1)</f>
        <v>4</v>
      </c>
      <c r="AF51" cm="1">
        <f t="array" ref="AF51">_xlfn.XLOOKUP(Matrix[[#This Row],[TEAM]]&amp;Matrix[[#Headers],[20]],FDR[FDR]&amp;FDR[[#Headers],[20]],FDR[20],"",0,1)</f>
        <v>3</v>
      </c>
      <c r="AG51" cm="1">
        <f t="array" ref="AG51">_xlfn.XLOOKUP(Matrix[[#This Row],[TEAM]]&amp;Matrix[[#Headers],[21]],FDR[FDR]&amp;FDR[[#Headers],[21]],FDR[21],"",0,1)</f>
        <v>2</v>
      </c>
      <c r="AH51" cm="1">
        <f t="array" ref="AH51">_xlfn.XLOOKUP(Matrix[[#This Row],[TEAM]]&amp;Matrix[[#Headers],[22]],FDR[FDR]&amp;FDR[[#Headers],[22]],FDR[22],"",0,1)</f>
        <v>5</v>
      </c>
      <c r="AI51" cm="1">
        <f t="array" ref="AI51">_xlfn.XLOOKUP(Matrix[[#This Row],[TEAM]]&amp;Matrix[[#Headers],[23]],FDR[FDR]&amp;FDR[[#Headers],[23]],FDR[23],"",0,1)</f>
        <v>1</v>
      </c>
      <c r="AJ51" cm="1">
        <f t="array" ref="AJ51">_xlfn.XLOOKUP(Matrix[[#This Row],[TEAM]]&amp;Matrix[[#Headers],[24]],FDR[FDR]&amp;FDR[[#Headers],[24]],FDR[24],"",0,1)</f>
        <v>4</v>
      </c>
      <c r="AK51" cm="1">
        <f t="array" ref="AK51">_xlfn.XLOOKUP(Matrix[[#This Row],[TEAM]]&amp;Matrix[[#Headers],[25]],FDR[FDR]&amp;FDR[[#Headers],[25]],FDR[25],"",0,1)</f>
        <v>4</v>
      </c>
      <c r="AL51" cm="1">
        <f t="array" ref="AL51">_xlfn.XLOOKUP(Matrix[[#This Row],[TEAM]]&amp;Matrix[[#Headers],[26]],FDR[FDR]&amp;FDR[[#Headers],[26]],FDR[26],"",0,1)</f>
        <v>3</v>
      </c>
      <c r="AM51" cm="1">
        <f t="array" ref="AM51">_xlfn.XLOOKUP(Matrix[[#This Row],[TEAM]]&amp;Matrix[[#Headers],[27]],FDR[FDR]&amp;FDR[[#Headers],[27]],FDR[27],"",0,1)</f>
        <v>4</v>
      </c>
      <c r="AN51" cm="1">
        <f t="array" ref="AN51">_xlfn.XLOOKUP(Matrix[[#This Row],[TEAM]]&amp;Matrix[[#Headers],[28]],FDR[FDR]&amp;FDR[[#Headers],[28]],FDR[28],"",0,1)</f>
        <v>5</v>
      </c>
      <c r="AO51" cm="1">
        <f t="array" ref="AO51">_xlfn.XLOOKUP(Matrix[[#This Row],[TEAM]]&amp;Matrix[[#Headers],[29]],FDR[FDR]&amp;FDR[[#Headers],[29]],FDR[29],"",0,1)</f>
        <v>1</v>
      </c>
      <c r="AP51" cm="1">
        <f t="array" ref="AP51">_xlfn.XLOOKUP(Matrix[[#This Row],[TEAM]]&amp;Matrix[[#Headers],[30]],FDR[FDR]&amp;FDR[[#Headers],[30]],FDR[30],"",0,1)</f>
        <v>5</v>
      </c>
      <c r="AQ51" cm="1">
        <f t="array" ref="AQ51">_xlfn.XLOOKUP(Matrix[[#This Row],[TEAM]]&amp;Matrix[[#Headers],[31]],FDR[FDR]&amp;FDR[[#Headers],[31]],FDR[31],"",0,1)</f>
        <v>4</v>
      </c>
      <c r="AR51" cm="1">
        <f t="array" ref="AR51">_xlfn.XLOOKUP(Matrix[[#This Row],[TEAM]]&amp;Matrix[[#Headers],[32]],FDR[FDR]&amp;FDR[[#Headers],[32]],FDR[32],"",0,1)</f>
        <v>4</v>
      </c>
      <c r="AS51" cm="1">
        <f t="array" ref="AS51">_xlfn.XLOOKUP(Matrix[[#This Row],[TEAM]]&amp;Matrix[[#Headers],[33]],FDR[FDR]&amp;FDR[[#Headers],[33]],FDR[33],"",0,1)</f>
        <v>4</v>
      </c>
      <c r="AT51" cm="1">
        <f t="array" ref="AT51">_xlfn.XLOOKUP(Matrix[[#This Row],[TEAM]]&amp;Matrix[[#Headers],[34]],FDR[FDR]&amp;FDR[[#Headers],[34]],FDR[34],"",0,1)</f>
        <v>4</v>
      </c>
      <c r="AU51" cm="1">
        <f t="array" ref="AU51">_xlfn.XLOOKUP(Matrix[[#This Row],[TEAM]]&amp;Matrix[[#Headers],[35]],FDR[FDR]&amp;FDR[[#Headers],[35]],FDR[35],"",0,1)</f>
        <v>4</v>
      </c>
      <c r="AV51" cm="1">
        <f t="array" ref="AV51">_xlfn.XLOOKUP(Matrix[[#This Row],[TEAM]]&amp;Matrix[[#Headers],[36]],FDR[FDR]&amp;FDR[[#Headers],[36]],FDR[36],"",0,1)</f>
        <v>4</v>
      </c>
      <c r="AW51" cm="1">
        <f t="array" ref="AW51">_xlfn.XLOOKUP(Matrix[[#This Row],[TEAM]]&amp;Matrix[[#Headers],[37]],FDR[FDR]&amp;FDR[[#Headers],[37]],FDR[37],"",0,1)</f>
        <v>1</v>
      </c>
      <c r="AX51" cm="1">
        <f t="array" ref="AX51">_xlfn.XLOOKUP(Matrix[[#This Row],[TEAM]]&amp;Matrix[[#Headers],[38]],FDR[FDR]&amp;FDR[[#Headers],[38]],FDR[38],"",0,1)</f>
        <v>5</v>
      </c>
    </row>
    <row r="52" spans="1:50" ht="22" thickTop="1" thickBot="1">
      <c r="A52" s="50" t="str">
        <f>INDEX!S$4</f>
        <v>MID</v>
      </c>
      <c r="B52" s="70" t="s">
        <v>1343</v>
      </c>
      <c r="C52" s="40" t="s">
        <v>17</v>
      </c>
      <c r="D52" s="62">
        <v>7</v>
      </c>
      <c r="E52" s="60">
        <v>1E-3</v>
      </c>
      <c r="F52" s="61">
        <v>6.7</v>
      </c>
      <c r="G52" s="63">
        <v>6.5</v>
      </c>
      <c r="H52" s="261">
        <f>IF(ISBLANK(I52),0,1)</f>
        <v>0</v>
      </c>
      <c r="I52" s="57"/>
      <c r="J52" s="58"/>
      <c r="K52" s="59" t="s">
        <v>730</v>
      </c>
      <c r="L52" s="59" t="s">
        <v>731</v>
      </c>
      <c r="M52" cm="1">
        <f t="array" ref="M52">_xlfn.XLOOKUP(Matrix[[#This Row],[TEAM]]&amp;Matrix[[#Headers],[1]],FDR[FDR]&amp;FDR[[#Headers],[1]],FDR[1],"",0,1)</f>
        <v>1</v>
      </c>
      <c r="N52" cm="1">
        <f t="array" ref="N52">_xlfn.XLOOKUP(Matrix[[#This Row],[TEAM]]&amp;Matrix[[#Headers],[2]],FDR[FDR]&amp;FDR[[#Headers],[2]],FDR[2],"",0,1)</f>
        <v>3</v>
      </c>
      <c r="O52" cm="1">
        <f t="array" ref="O52">_xlfn.XLOOKUP(Matrix[[#This Row],[TEAM]]&amp;Matrix[[#Headers],[3]],FDR[FDR]&amp;FDR[[#Headers],[3]],FDR[3],"",0,1)</f>
        <v>3</v>
      </c>
      <c r="P52" cm="1">
        <f t="array" ref="P52">_xlfn.XLOOKUP(Matrix[[#This Row],[TEAM]]&amp;Matrix[[#Headers],[4]],FDR[FDR]&amp;FDR[[#Headers],[4]],FDR[4],"",0,1)</f>
        <v>1</v>
      </c>
      <c r="Q52" cm="1">
        <f t="array" ref="Q52">_xlfn.XLOOKUP(Matrix[[#This Row],[TEAM]]&amp;Matrix[[#Headers],[5]],FDR[FDR]&amp;FDR[[#Headers],[5]],FDR[5],"",0,1)</f>
        <v>1</v>
      </c>
      <c r="R52" cm="1">
        <f t="array" ref="R52">_xlfn.XLOOKUP(Matrix[[#This Row],[TEAM]]&amp;Matrix[[#Headers],[6]],FDR[FDR]&amp;FDR[[#Headers],[6]],FDR[6],"",0,1)</f>
        <v>2</v>
      </c>
      <c r="S52" cm="1">
        <f t="array" ref="S52">_xlfn.XLOOKUP(Matrix[[#This Row],[TEAM]]&amp;Matrix[[#Headers],[7]],FDR[FDR]&amp;FDR[[#Headers],[7]],FDR[7],"",0,1)</f>
        <v>3</v>
      </c>
      <c r="T52" cm="1">
        <f t="array" ref="T52">_xlfn.XLOOKUP(Matrix[[#This Row],[TEAM]]&amp;Matrix[[#Headers],[8]],FDR[FDR]&amp;FDR[[#Headers],[8]],FDR[8],"",0,1)</f>
        <v>2</v>
      </c>
      <c r="U52" cm="1">
        <f t="array" ref="U52">_xlfn.XLOOKUP(Matrix[[#This Row],[TEAM]]&amp;Matrix[[#Headers],[9]],FDR[FDR]&amp;FDR[[#Headers],[9]],FDR[9],"",0,1)</f>
        <v>2</v>
      </c>
      <c r="V52" cm="1">
        <f t="array" ref="V52">_xlfn.XLOOKUP(Matrix[[#This Row],[TEAM]]&amp;Matrix[[#Headers],[10]],FDR[FDR]&amp;FDR[[#Headers],[10]],FDR[10],"",0,1)</f>
        <v>2</v>
      </c>
      <c r="W52" cm="1">
        <f t="array" ref="W52">_xlfn.XLOOKUP(Matrix[[#This Row],[TEAM]]&amp;Matrix[[#Headers],[11]],FDR[FDR]&amp;FDR[[#Headers],[11]],FDR[11],"",0,1)</f>
        <v>3</v>
      </c>
      <c r="X52" cm="1">
        <f t="array" ref="X52">_xlfn.XLOOKUP(Matrix[[#This Row],[TEAM]]&amp;Matrix[[#Headers],[12]],FDR[FDR]&amp;FDR[[#Headers],[12]],FDR[12],"",0,1)</f>
        <v>1</v>
      </c>
      <c r="Y52" cm="1">
        <f t="array" ref="Y52">_xlfn.XLOOKUP(Matrix[[#This Row],[TEAM]]&amp;Matrix[[#Headers],[13]],FDR[FDR]&amp;FDR[[#Headers],[13]],FDR[13],"",0,1)</f>
        <v>2</v>
      </c>
      <c r="Z52" cm="1">
        <f t="array" ref="Z52">_xlfn.XLOOKUP(Matrix[[#This Row],[TEAM]]&amp;Matrix[[#Headers],[14]],FDR[FDR]&amp;FDR[[#Headers],[14]],FDR[14],"",0,1)</f>
        <v>1</v>
      </c>
      <c r="AA52" cm="1">
        <f t="array" ref="AA52">_xlfn.XLOOKUP(Matrix[[#This Row],[TEAM]]&amp;Matrix[[#Headers],[15]],FDR[FDR]&amp;FDR[[#Headers],[15]],FDR[15],"",0,1)</f>
        <v>1</v>
      </c>
      <c r="AB52" cm="1">
        <f t="array" ref="AB52">_xlfn.XLOOKUP(Matrix[[#This Row],[TEAM]]&amp;Matrix[[#Headers],[16]],FDR[FDR]&amp;FDR[[#Headers],[16]],FDR[16],"",0,1)</f>
        <v>1</v>
      </c>
      <c r="AC52" cm="1">
        <f t="array" ref="AC52">_xlfn.XLOOKUP(Matrix[[#This Row],[TEAM]]&amp;Matrix[[#Headers],[17]],FDR[FDR]&amp;FDR[[#Headers],[17]],FDR[17],"",0,1)</f>
        <v>3</v>
      </c>
      <c r="AD52" cm="1">
        <f t="array" ref="AD52">_xlfn.XLOOKUP(Matrix[[#This Row],[TEAM]]&amp;Matrix[[#Headers],[18]],FDR[FDR]&amp;FDR[[#Headers],[18]],FDR[18],"",0,1)</f>
        <v>1</v>
      </c>
      <c r="AE52" cm="1">
        <f t="array" ref="AE52">_xlfn.XLOOKUP(Matrix[[#This Row],[TEAM]]&amp;Matrix[[#Headers],[19]],FDR[FDR]&amp;FDR[[#Headers],[19]],FDR[19],"",0,1)</f>
        <v>1</v>
      </c>
      <c r="AF52" cm="1">
        <f t="array" ref="AF52">_xlfn.XLOOKUP(Matrix[[#This Row],[TEAM]]&amp;Matrix[[#Headers],[20]],FDR[FDR]&amp;FDR[[#Headers],[20]],FDR[20],"",0,1)</f>
        <v>2</v>
      </c>
      <c r="AG52" cm="1">
        <f t="array" ref="AG52">_xlfn.XLOOKUP(Matrix[[#This Row],[TEAM]]&amp;Matrix[[#Headers],[21]],FDR[FDR]&amp;FDR[[#Headers],[21]],FDR[21],"",0,1)</f>
        <v>3</v>
      </c>
      <c r="AH52" cm="1">
        <f t="array" ref="AH52">_xlfn.XLOOKUP(Matrix[[#This Row],[TEAM]]&amp;Matrix[[#Headers],[22]],FDR[FDR]&amp;FDR[[#Headers],[22]],FDR[22],"",0,1)</f>
        <v>1</v>
      </c>
      <c r="AI52" cm="1">
        <f t="array" ref="AI52">_xlfn.XLOOKUP(Matrix[[#This Row],[TEAM]]&amp;Matrix[[#Headers],[23]],FDR[FDR]&amp;FDR[[#Headers],[23]],FDR[23],"",0,1)</f>
        <v>2</v>
      </c>
      <c r="AJ52" cm="1">
        <f t="array" ref="AJ52">_xlfn.XLOOKUP(Matrix[[#This Row],[TEAM]]&amp;Matrix[[#Headers],[24]],FDR[FDR]&amp;FDR[[#Headers],[24]],FDR[24],"",0,1)</f>
        <v>2</v>
      </c>
      <c r="AK52" cm="1">
        <f t="array" ref="AK52">_xlfn.XLOOKUP(Matrix[[#This Row],[TEAM]]&amp;Matrix[[#Headers],[25]],FDR[FDR]&amp;FDR[[#Headers],[25]],FDR[25],"",0,1)</f>
        <v>3</v>
      </c>
      <c r="AL52" cm="1">
        <f t="array" ref="AL52">_xlfn.XLOOKUP(Matrix[[#This Row],[TEAM]]&amp;Matrix[[#Headers],[26]],FDR[FDR]&amp;FDR[[#Headers],[26]],FDR[26],"",0,1)</f>
        <v>1</v>
      </c>
      <c r="AM52" cm="1">
        <f t="array" ref="AM52">_xlfn.XLOOKUP(Matrix[[#This Row],[TEAM]]&amp;Matrix[[#Headers],[27]],FDR[FDR]&amp;FDR[[#Headers],[27]],FDR[27],"",0,1)</f>
        <v>2</v>
      </c>
      <c r="AN52" cm="1">
        <f t="array" ref="AN52">_xlfn.XLOOKUP(Matrix[[#This Row],[TEAM]]&amp;Matrix[[#Headers],[28]],FDR[FDR]&amp;FDR[[#Headers],[28]],FDR[28],"",0,1)</f>
        <v>1</v>
      </c>
      <c r="AO52" cm="1">
        <f t="array" ref="AO52">_xlfn.XLOOKUP(Matrix[[#This Row],[TEAM]]&amp;Matrix[[#Headers],[29]],FDR[FDR]&amp;FDR[[#Headers],[29]],FDR[29],"",0,1)</f>
        <v>1</v>
      </c>
      <c r="AP52" cm="1">
        <f t="array" ref="AP52">_xlfn.XLOOKUP(Matrix[[#This Row],[TEAM]]&amp;Matrix[[#Headers],[30]],FDR[FDR]&amp;FDR[[#Headers],[30]],FDR[30],"",0,1)</f>
        <v>2</v>
      </c>
      <c r="AQ52" cm="1">
        <f t="array" ref="AQ52">_xlfn.XLOOKUP(Matrix[[#This Row],[TEAM]]&amp;Matrix[[#Headers],[31]],FDR[FDR]&amp;FDR[[#Headers],[31]],FDR[31],"",0,1)</f>
        <v>2</v>
      </c>
      <c r="AR52" cm="1">
        <f t="array" ref="AR52">_xlfn.XLOOKUP(Matrix[[#This Row],[TEAM]]&amp;Matrix[[#Headers],[32]],FDR[FDR]&amp;FDR[[#Headers],[32]],FDR[32],"",0,1)</f>
        <v>1</v>
      </c>
      <c r="AS52" cm="1">
        <f t="array" ref="AS52">_xlfn.XLOOKUP(Matrix[[#This Row],[TEAM]]&amp;Matrix[[#Headers],[33]],FDR[FDR]&amp;FDR[[#Headers],[33]],FDR[33],"",0,1)</f>
        <v>2</v>
      </c>
      <c r="AT52" cm="1">
        <f t="array" ref="AT52">_xlfn.XLOOKUP(Matrix[[#This Row],[TEAM]]&amp;Matrix[[#Headers],[34]],FDR[FDR]&amp;FDR[[#Headers],[34]],FDR[34],"",0,1)</f>
        <v>1</v>
      </c>
      <c r="AU52" cm="1">
        <f t="array" ref="AU52">_xlfn.XLOOKUP(Matrix[[#This Row],[TEAM]]&amp;Matrix[[#Headers],[35]],FDR[FDR]&amp;FDR[[#Headers],[35]],FDR[35],"",0,1)</f>
        <v>3</v>
      </c>
      <c r="AV52" cm="1">
        <f t="array" ref="AV52">_xlfn.XLOOKUP(Matrix[[#This Row],[TEAM]]&amp;Matrix[[#Headers],[36]],FDR[FDR]&amp;FDR[[#Headers],[36]],FDR[36],"",0,1)</f>
        <v>2</v>
      </c>
      <c r="AW52" cm="1">
        <f t="array" ref="AW52">_xlfn.XLOOKUP(Matrix[[#This Row],[TEAM]]&amp;Matrix[[#Headers],[37]],FDR[FDR]&amp;FDR[[#Headers],[37]],FDR[37],"",0,1)</f>
        <v>3</v>
      </c>
      <c r="AX52" cm="1">
        <f t="array" ref="AX52">_xlfn.XLOOKUP(Matrix[[#This Row],[TEAM]]&amp;Matrix[[#Headers],[38]],FDR[FDR]&amp;FDR[[#Headers],[38]],FDR[38],"",0,1)</f>
        <v>1</v>
      </c>
    </row>
    <row r="53" spans="1:50" ht="22" thickTop="1" thickBot="1">
      <c r="A53" s="50" t="s">
        <v>656</v>
      </c>
      <c r="B53" s="70" t="s">
        <v>1341</v>
      </c>
      <c r="C53" s="40" t="s">
        <v>28</v>
      </c>
      <c r="D53" s="62">
        <v>0</v>
      </c>
      <c r="E53" s="60">
        <v>1E-3</v>
      </c>
      <c r="F53" s="61">
        <v>0</v>
      </c>
      <c r="G53" s="63">
        <v>6.5</v>
      </c>
      <c r="H53" s="261">
        <f>IF(ISBLANK(I53),0,1)</f>
        <v>0</v>
      </c>
      <c r="I53" s="57"/>
      <c r="J53" s="58"/>
      <c r="K53" s="59" t="s">
        <v>722</v>
      </c>
      <c r="L53" s="59" t="s">
        <v>723</v>
      </c>
      <c r="M53" cm="1">
        <f t="array" ref="M53">_xlfn.XLOOKUP(Matrix[[#This Row],[TEAM]]&amp;Matrix[[#Headers],[1]],FDR[FDR]&amp;FDR[[#Headers],[1]],FDR[1],"",0,1)</f>
        <v>3</v>
      </c>
      <c r="N53" cm="1">
        <f t="array" ref="N53">_xlfn.XLOOKUP(Matrix[[#This Row],[TEAM]]&amp;Matrix[[#Headers],[2]],FDR[FDR]&amp;FDR[[#Headers],[2]],FDR[2],"",0,1)</f>
        <v>2</v>
      </c>
      <c r="O53" cm="1">
        <f t="array" ref="O53">_xlfn.XLOOKUP(Matrix[[#This Row],[TEAM]]&amp;Matrix[[#Headers],[3]],FDR[FDR]&amp;FDR[[#Headers],[3]],FDR[3],"",0,1)</f>
        <v>1</v>
      </c>
      <c r="P53" cm="1">
        <f t="array" ref="P53">_xlfn.XLOOKUP(Matrix[[#This Row],[TEAM]]&amp;Matrix[[#Headers],[4]],FDR[FDR]&amp;FDR[[#Headers],[4]],FDR[4],"",0,1)</f>
        <v>2</v>
      </c>
      <c r="Q53" cm="1">
        <f t="array" ref="Q53">_xlfn.XLOOKUP(Matrix[[#This Row],[TEAM]]&amp;Matrix[[#Headers],[5]],FDR[FDR]&amp;FDR[[#Headers],[5]],FDR[5],"",0,1)</f>
        <v>1</v>
      </c>
      <c r="R53" cm="1">
        <f t="array" ref="R53">_xlfn.XLOOKUP(Matrix[[#This Row],[TEAM]]&amp;Matrix[[#Headers],[6]],FDR[FDR]&amp;FDR[[#Headers],[6]],FDR[6],"",0,1)</f>
        <v>2</v>
      </c>
      <c r="S53" cm="1">
        <f t="array" ref="S53">_xlfn.XLOOKUP(Matrix[[#This Row],[TEAM]]&amp;Matrix[[#Headers],[7]],FDR[FDR]&amp;FDR[[#Headers],[7]],FDR[7],"",0,1)</f>
        <v>1</v>
      </c>
      <c r="T53" cm="1">
        <f t="array" ref="T53">_xlfn.XLOOKUP(Matrix[[#This Row],[TEAM]]&amp;Matrix[[#Headers],[8]],FDR[FDR]&amp;FDR[[#Headers],[8]],FDR[8],"",0,1)</f>
        <v>4</v>
      </c>
      <c r="U53" cm="1">
        <f t="array" ref="U53">_xlfn.XLOOKUP(Matrix[[#This Row],[TEAM]]&amp;Matrix[[#Headers],[9]],FDR[FDR]&amp;FDR[[#Headers],[9]],FDR[9],"",0,1)</f>
        <v>3</v>
      </c>
      <c r="V53" cm="1">
        <f t="array" ref="V53">_xlfn.XLOOKUP(Matrix[[#This Row],[TEAM]]&amp;Matrix[[#Headers],[10]],FDR[FDR]&amp;FDR[[#Headers],[10]],FDR[10],"",0,1)</f>
        <v>4</v>
      </c>
      <c r="W53" cm="1">
        <f t="array" ref="W53">_xlfn.XLOOKUP(Matrix[[#This Row],[TEAM]]&amp;Matrix[[#Headers],[11]],FDR[FDR]&amp;FDR[[#Headers],[11]],FDR[11],"",0,1)</f>
        <v>2</v>
      </c>
      <c r="X53" cm="1">
        <f t="array" ref="X53">_xlfn.XLOOKUP(Matrix[[#This Row],[TEAM]]&amp;Matrix[[#Headers],[12]],FDR[FDR]&amp;FDR[[#Headers],[12]],FDR[12],"",0,1)</f>
        <v>1</v>
      </c>
      <c r="Y53" cm="1">
        <f t="array" ref="Y53">_xlfn.XLOOKUP(Matrix[[#This Row],[TEAM]]&amp;Matrix[[#Headers],[13]],FDR[FDR]&amp;FDR[[#Headers],[13]],FDR[13],"",0,1)</f>
        <v>1</v>
      </c>
      <c r="Z53" cm="1">
        <f t="array" ref="Z53">_xlfn.XLOOKUP(Matrix[[#This Row],[TEAM]]&amp;Matrix[[#Headers],[14]],FDR[FDR]&amp;FDR[[#Headers],[14]],FDR[14],"",0,1)</f>
        <v>3</v>
      </c>
      <c r="AA53" cm="1">
        <f t="array" ref="AA53">_xlfn.XLOOKUP(Matrix[[#This Row],[TEAM]]&amp;Matrix[[#Headers],[15]],FDR[FDR]&amp;FDR[[#Headers],[15]],FDR[15],"",0,1)</f>
        <v>3</v>
      </c>
      <c r="AB53" cm="1">
        <f t="array" ref="AB53">_xlfn.XLOOKUP(Matrix[[#This Row],[TEAM]]&amp;Matrix[[#Headers],[16]],FDR[FDR]&amp;FDR[[#Headers],[16]],FDR[16],"",0,1)</f>
        <v>2</v>
      </c>
      <c r="AC53" cm="1">
        <f t="array" ref="AC53">_xlfn.XLOOKUP(Matrix[[#This Row],[TEAM]]&amp;Matrix[[#Headers],[17]],FDR[FDR]&amp;FDR[[#Headers],[17]],FDR[17],"",0,1)</f>
        <v>3</v>
      </c>
      <c r="AD53" cm="1">
        <f t="array" ref="AD53">_xlfn.XLOOKUP(Matrix[[#This Row],[TEAM]]&amp;Matrix[[#Headers],[18]],FDR[FDR]&amp;FDR[[#Headers],[18]],FDR[18],"",0,1)</f>
        <v>4</v>
      </c>
      <c r="AE53" cm="1">
        <f t="array" ref="AE53">_xlfn.XLOOKUP(Matrix[[#This Row],[TEAM]]&amp;Matrix[[#Headers],[19]],FDR[FDR]&amp;FDR[[#Headers],[19]],FDR[19],"",0,1)</f>
        <v>4</v>
      </c>
      <c r="AF53" cm="1">
        <f t="array" ref="AF53">_xlfn.XLOOKUP(Matrix[[#This Row],[TEAM]]&amp;Matrix[[#Headers],[20]],FDR[FDR]&amp;FDR[[#Headers],[20]],FDR[20],"",0,1)</f>
        <v>2</v>
      </c>
      <c r="AG53" cm="1">
        <f t="array" ref="AG53">_xlfn.XLOOKUP(Matrix[[#This Row],[TEAM]]&amp;Matrix[[#Headers],[21]],FDR[FDR]&amp;FDR[[#Headers],[21]],FDR[21],"",0,1)</f>
        <v>2</v>
      </c>
      <c r="AH53" cm="1">
        <f t="array" ref="AH53">_xlfn.XLOOKUP(Matrix[[#This Row],[TEAM]]&amp;Matrix[[#Headers],[22]],FDR[FDR]&amp;FDR[[#Headers],[22]],FDR[22],"",0,1)</f>
        <v>1</v>
      </c>
      <c r="AI53" cm="1">
        <f t="array" ref="AI53">_xlfn.XLOOKUP(Matrix[[#This Row],[TEAM]]&amp;Matrix[[#Headers],[23]],FDR[FDR]&amp;FDR[[#Headers],[23]],FDR[23],"",0,1)</f>
        <v>4</v>
      </c>
      <c r="AJ53" cm="1">
        <f t="array" ref="AJ53">_xlfn.XLOOKUP(Matrix[[#This Row],[TEAM]]&amp;Matrix[[#Headers],[24]],FDR[FDR]&amp;FDR[[#Headers],[24]],FDR[24],"",0,1)</f>
        <v>1</v>
      </c>
      <c r="AK53" cm="1">
        <f t="array" ref="AK53">_xlfn.XLOOKUP(Matrix[[#This Row],[TEAM]]&amp;Matrix[[#Headers],[25]],FDR[FDR]&amp;FDR[[#Headers],[25]],FDR[25],"",0,1)</f>
        <v>3</v>
      </c>
      <c r="AL53" cm="1">
        <f t="array" ref="AL53">_xlfn.XLOOKUP(Matrix[[#This Row],[TEAM]]&amp;Matrix[[#Headers],[26]],FDR[FDR]&amp;FDR[[#Headers],[26]],FDR[26],"",0,1)</f>
        <v>2</v>
      </c>
      <c r="AM53" cm="1">
        <f t="array" ref="AM53">_xlfn.XLOOKUP(Matrix[[#This Row],[TEAM]]&amp;Matrix[[#Headers],[27]],FDR[FDR]&amp;FDR[[#Headers],[27]],FDR[27],"",0,1)</f>
        <v>1</v>
      </c>
      <c r="AN53" cm="1">
        <f t="array" ref="AN53">_xlfn.XLOOKUP(Matrix[[#This Row],[TEAM]]&amp;Matrix[[#Headers],[28]],FDR[FDR]&amp;FDR[[#Headers],[28]],FDR[28],"",0,1)</f>
        <v>1</v>
      </c>
      <c r="AO53" cm="1">
        <f t="array" ref="AO53">_xlfn.XLOOKUP(Matrix[[#This Row],[TEAM]]&amp;Matrix[[#Headers],[29]],FDR[FDR]&amp;FDR[[#Headers],[29]],FDR[29],"",0,1)</f>
        <v>3</v>
      </c>
      <c r="AP53" cm="1">
        <f t="array" ref="AP53">_xlfn.XLOOKUP(Matrix[[#This Row],[TEAM]]&amp;Matrix[[#Headers],[30]],FDR[FDR]&amp;FDR[[#Headers],[30]],FDR[30],"",0,1)</f>
        <v>4</v>
      </c>
      <c r="AQ53" cm="1">
        <f t="array" ref="AQ53">_xlfn.XLOOKUP(Matrix[[#This Row],[TEAM]]&amp;Matrix[[#Headers],[31]],FDR[FDR]&amp;FDR[[#Headers],[31]],FDR[31],"",0,1)</f>
        <v>1</v>
      </c>
      <c r="AR53" cm="1">
        <f t="array" ref="AR53">_xlfn.XLOOKUP(Matrix[[#This Row],[TEAM]]&amp;Matrix[[#Headers],[32]],FDR[FDR]&amp;FDR[[#Headers],[32]],FDR[32],"",0,1)</f>
        <v>3</v>
      </c>
      <c r="AS53" cm="1">
        <f t="array" ref="AS53">_xlfn.XLOOKUP(Matrix[[#This Row],[TEAM]]&amp;Matrix[[#Headers],[33]],FDR[FDR]&amp;FDR[[#Headers],[33]],FDR[33],"",0,1)</f>
        <v>1</v>
      </c>
      <c r="AT53" cm="1">
        <f t="array" ref="AT53">_xlfn.XLOOKUP(Matrix[[#This Row],[TEAM]]&amp;Matrix[[#Headers],[34]],FDR[FDR]&amp;FDR[[#Headers],[34]],FDR[34],"",0,1)</f>
        <v>3</v>
      </c>
      <c r="AU53" cm="1">
        <f t="array" ref="AU53">_xlfn.XLOOKUP(Matrix[[#This Row],[TEAM]]&amp;Matrix[[#Headers],[35]],FDR[FDR]&amp;FDR[[#Headers],[35]],FDR[35],"",0,1)</f>
        <v>3</v>
      </c>
      <c r="AV53" cm="1">
        <f t="array" ref="AV53">_xlfn.XLOOKUP(Matrix[[#This Row],[TEAM]]&amp;Matrix[[#Headers],[36]],FDR[FDR]&amp;FDR[[#Headers],[36]],FDR[36],"",0,1)</f>
        <v>1</v>
      </c>
      <c r="AW53" cm="1">
        <f t="array" ref="AW53">_xlfn.XLOOKUP(Matrix[[#This Row],[TEAM]]&amp;Matrix[[#Headers],[37]],FDR[FDR]&amp;FDR[[#Headers],[37]],FDR[37],"",0,1)</f>
        <v>3</v>
      </c>
      <c r="AX53" cm="1">
        <f t="array" ref="AX53">_xlfn.XLOOKUP(Matrix[[#This Row],[TEAM]]&amp;Matrix[[#Headers],[38]],FDR[FDR]&amp;FDR[[#Headers],[38]],FDR[38],"",0,1)</f>
        <v>4</v>
      </c>
    </row>
    <row r="54" spans="1:50" ht="22" thickTop="1" thickBot="1">
      <c r="A54" s="50" t="str">
        <f>INDEX!S$4</f>
        <v>MID</v>
      </c>
      <c r="B54" s="70" t="s">
        <v>1326</v>
      </c>
      <c r="C54" s="40" t="s">
        <v>18</v>
      </c>
      <c r="D54" s="62">
        <v>0</v>
      </c>
      <c r="E54" s="60">
        <v>1.7999999999999999E-2</v>
      </c>
      <c r="F54" s="61">
        <v>0</v>
      </c>
      <c r="G54" s="63">
        <v>6.5</v>
      </c>
      <c r="H54" s="261">
        <f>IF(ISBLANK(I54),0,1)</f>
        <v>0</v>
      </c>
      <c r="I54" s="57"/>
      <c r="J54" s="58"/>
      <c r="K54" s="59" t="s">
        <v>725</v>
      </c>
      <c r="L54" s="59" t="s">
        <v>724</v>
      </c>
      <c r="M54" cm="1">
        <f t="array" ref="M54">_xlfn.XLOOKUP(Matrix[[#This Row],[TEAM]]&amp;Matrix[[#Headers],[1]],FDR[FDR]&amp;FDR[[#Headers],[1]],FDR[1],"",0,1)</f>
        <v>1</v>
      </c>
      <c r="N54" cm="1">
        <f t="array" ref="N54">_xlfn.XLOOKUP(Matrix[[#This Row],[TEAM]]&amp;Matrix[[#Headers],[2]],FDR[FDR]&amp;FDR[[#Headers],[2]],FDR[2],"",0,1)</f>
        <v>2</v>
      </c>
      <c r="O54" cm="1">
        <f t="array" ref="O54">_xlfn.XLOOKUP(Matrix[[#This Row],[TEAM]]&amp;Matrix[[#Headers],[3]],FDR[FDR]&amp;FDR[[#Headers],[3]],FDR[3],"",0,1)</f>
        <v>1</v>
      </c>
      <c r="P54" cm="1">
        <f t="array" ref="P54">_xlfn.XLOOKUP(Matrix[[#This Row],[TEAM]]&amp;Matrix[[#Headers],[4]],FDR[FDR]&amp;FDR[[#Headers],[4]],FDR[4],"",0,1)</f>
        <v>2</v>
      </c>
      <c r="Q54" cm="1">
        <f t="array" ref="Q54">_xlfn.XLOOKUP(Matrix[[#This Row],[TEAM]]&amp;Matrix[[#Headers],[5]],FDR[FDR]&amp;FDR[[#Headers],[5]],FDR[5],"",0,1)</f>
        <v>3</v>
      </c>
      <c r="R54" cm="1">
        <f t="array" ref="R54">_xlfn.XLOOKUP(Matrix[[#This Row],[TEAM]]&amp;Matrix[[#Headers],[6]],FDR[FDR]&amp;FDR[[#Headers],[6]],FDR[6],"",0,1)</f>
        <v>1</v>
      </c>
      <c r="S54" cm="1">
        <f t="array" ref="S54">_xlfn.XLOOKUP(Matrix[[#This Row],[TEAM]]&amp;Matrix[[#Headers],[7]],FDR[FDR]&amp;FDR[[#Headers],[7]],FDR[7],"",0,1)</f>
        <v>3</v>
      </c>
      <c r="T54" cm="1">
        <f t="array" ref="T54">_xlfn.XLOOKUP(Matrix[[#This Row],[TEAM]]&amp;Matrix[[#Headers],[8]],FDR[FDR]&amp;FDR[[#Headers],[8]],FDR[8],"",0,1)</f>
        <v>2</v>
      </c>
      <c r="U54" cm="1">
        <f t="array" ref="U54">_xlfn.XLOOKUP(Matrix[[#This Row],[TEAM]]&amp;Matrix[[#Headers],[9]],FDR[FDR]&amp;FDR[[#Headers],[9]],FDR[9],"",0,1)</f>
        <v>1</v>
      </c>
      <c r="V54" cm="1">
        <f t="array" ref="V54">_xlfn.XLOOKUP(Matrix[[#This Row],[TEAM]]&amp;Matrix[[#Headers],[10]],FDR[FDR]&amp;FDR[[#Headers],[10]],FDR[10],"",0,1)</f>
        <v>3</v>
      </c>
      <c r="W54" cm="1">
        <f t="array" ref="W54">_xlfn.XLOOKUP(Matrix[[#This Row],[TEAM]]&amp;Matrix[[#Headers],[11]],FDR[FDR]&amp;FDR[[#Headers],[11]],FDR[11],"",0,1)</f>
        <v>1</v>
      </c>
      <c r="X54" cm="1">
        <f t="array" ref="X54">_xlfn.XLOOKUP(Matrix[[#This Row],[TEAM]]&amp;Matrix[[#Headers],[12]],FDR[FDR]&amp;FDR[[#Headers],[12]],FDR[12],"",0,1)</f>
        <v>1</v>
      </c>
      <c r="Y54" cm="1">
        <f t="array" ref="Y54">_xlfn.XLOOKUP(Matrix[[#This Row],[TEAM]]&amp;Matrix[[#Headers],[13]],FDR[FDR]&amp;FDR[[#Headers],[13]],FDR[13],"",0,1)</f>
        <v>3</v>
      </c>
      <c r="Z54" cm="1">
        <f t="array" ref="Z54">_xlfn.XLOOKUP(Matrix[[#This Row],[TEAM]]&amp;Matrix[[#Headers],[14]],FDR[FDR]&amp;FDR[[#Headers],[14]],FDR[14],"",0,1)</f>
        <v>1</v>
      </c>
      <c r="AA54" cm="1">
        <f t="array" ref="AA54">_xlfn.XLOOKUP(Matrix[[#This Row],[TEAM]]&amp;Matrix[[#Headers],[15]],FDR[FDR]&amp;FDR[[#Headers],[15]],FDR[15],"",0,1)</f>
        <v>2</v>
      </c>
      <c r="AB54" cm="1">
        <f t="array" ref="AB54">_xlfn.XLOOKUP(Matrix[[#This Row],[TEAM]]&amp;Matrix[[#Headers],[16]],FDR[FDR]&amp;FDR[[#Headers],[16]],FDR[16],"",0,1)</f>
        <v>1</v>
      </c>
      <c r="AC54" cm="1">
        <f t="array" ref="AC54">_xlfn.XLOOKUP(Matrix[[#This Row],[TEAM]]&amp;Matrix[[#Headers],[17]],FDR[FDR]&amp;FDR[[#Headers],[17]],FDR[17],"",0,1)</f>
        <v>3</v>
      </c>
      <c r="AD54" cm="1">
        <f t="array" ref="AD54">_xlfn.XLOOKUP(Matrix[[#This Row],[TEAM]]&amp;Matrix[[#Headers],[18]],FDR[FDR]&amp;FDR[[#Headers],[18]],FDR[18],"",0,1)</f>
        <v>2</v>
      </c>
      <c r="AE54" cm="1">
        <f t="array" ref="AE54">_xlfn.XLOOKUP(Matrix[[#This Row],[TEAM]]&amp;Matrix[[#Headers],[19]],FDR[FDR]&amp;FDR[[#Headers],[19]],FDR[19],"",0,1)</f>
        <v>1</v>
      </c>
      <c r="AF54" cm="1">
        <f t="array" ref="AF54">_xlfn.XLOOKUP(Matrix[[#This Row],[TEAM]]&amp;Matrix[[#Headers],[20]],FDR[FDR]&amp;FDR[[#Headers],[20]],FDR[20],"",0,1)</f>
        <v>4</v>
      </c>
      <c r="AG54" cm="1">
        <f t="array" ref="AG54">_xlfn.XLOOKUP(Matrix[[#This Row],[TEAM]]&amp;Matrix[[#Headers],[21]],FDR[FDR]&amp;FDR[[#Headers],[21]],FDR[21],"",0,1)</f>
        <v>2</v>
      </c>
      <c r="AH54" cm="1">
        <f t="array" ref="AH54">_xlfn.XLOOKUP(Matrix[[#This Row],[TEAM]]&amp;Matrix[[#Headers],[22]],FDR[FDR]&amp;FDR[[#Headers],[22]],FDR[22],"",0,1)</f>
        <v>1</v>
      </c>
      <c r="AI54" cm="1">
        <f t="array" ref="AI54">_xlfn.XLOOKUP(Matrix[[#This Row],[TEAM]]&amp;Matrix[[#Headers],[23]],FDR[FDR]&amp;FDR[[#Headers],[23]],FDR[23],"",0,1)</f>
        <v>2</v>
      </c>
      <c r="AJ54" cm="1">
        <f t="array" ref="AJ54">_xlfn.XLOOKUP(Matrix[[#This Row],[TEAM]]&amp;Matrix[[#Headers],[24]],FDR[FDR]&amp;FDR[[#Headers],[24]],FDR[24],"",0,1)</f>
        <v>1</v>
      </c>
      <c r="AK54" cm="1">
        <f t="array" ref="AK54">_xlfn.XLOOKUP(Matrix[[#This Row],[TEAM]]&amp;Matrix[[#Headers],[25]],FDR[FDR]&amp;FDR[[#Headers],[25]],FDR[25],"",0,1)</f>
        <v>1</v>
      </c>
      <c r="AL54" cm="1">
        <f t="array" ref="AL54">_xlfn.XLOOKUP(Matrix[[#This Row],[TEAM]]&amp;Matrix[[#Headers],[26]],FDR[FDR]&amp;FDR[[#Headers],[26]],FDR[26],"",0,1)</f>
        <v>1</v>
      </c>
      <c r="AM54" cm="1">
        <f t="array" ref="AM54">_xlfn.XLOOKUP(Matrix[[#This Row],[TEAM]]&amp;Matrix[[#Headers],[27]],FDR[FDR]&amp;FDR[[#Headers],[27]],FDR[27],"",0,1)</f>
        <v>1</v>
      </c>
      <c r="AN54" cm="1">
        <f t="array" ref="AN54">_xlfn.XLOOKUP(Matrix[[#This Row],[TEAM]]&amp;Matrix[[#Headers],[28]],FDR[FDR]&amp;FDR[[#Headers],[28]],FDR[28],"",0,1)</f>
        <v>4</v>
      </c>
      <c r="AO54" cm="1">
        <f t="array" ref="AO54">_xlfn.XLOOKUP(Matrix[[#This Row],[TEAM]]&amp;Matrix[[#Headers],[29]],FDR[FDR]&amp;FDR[[#Headers],[29]],FDR[29],"",0,1)</f>
        <v>3</v>
      </c>
      <c r="AP54" cm="1">
        <f t="array" ref="AP54">_xlfn.XLOOKUP(Matrix[[#This Row],[TEAM]]&amp;Matrix[[#Headers],[30]],FDR[FDR]&amp;FDR[[#Headers],[30]],FDR[30],"",0,1)</f>
        <v>2</v>
      </c>
      <c r="AQ54" cm="1">
        <f t="array" ref="AQ54">_xlfn.XLOOKUP(Matrix[[#This Row],[TEAM]]&amp;Matrix[[#Headers],[31]],FDR[FDR]&amp;FDR[[#Headers],[31]],FDR[31],"",0,1)</f>
        <v>2</v>
      </c>
      <c r="AR54" cm="1">
        <f t="array" ref="AR54">_xlfn.XLOOKUP(Matrix[[#This Row],[TEAM]]&amp;Matrix[[#Headers],[32]],FDR[FDR]&amp;FDR[[#Headers],[32]],FDR[32],"",0,1)</f>
        <v>3</v>
      </c>
      <c r="AS54" cm="1">
        <f t="array" ref="AS54">_xlfn.XLOOKUP(Matrix[[#This Row],[TEAM]]&amp;Matrix[[#Headers],[33]],FDR[FDR]&amp;FDR[[#Headers],[33]],FDR[33],"",0,1)</f>
        <v>2</v>
      </c>
      <c r="AT54" cm="1">
        <f t="array" ref="AT54">_xlfn.XLOOKUP(Matrix[[#This Row],[TEAM]]&amp;Matrix[[#Headers],[34]],FDR[FDR]&amp;FDR[[#Headers],[34]],FDR[34],"",0,1)</f>
        <v>2</v>
      </c>
      <c r="AU54" cm="1">
        <f t="array" ref="AU54">_xlfn.XLOOKUP(Matrix[[#This Row],[TEAM]]&amp;Matrix[[#Headers],[35]],FDR[FDR]&amp;FDR[[#Headers],[35]],FDR[35],"",0,1)</f>
        <v>1</v>
      </c>
      <c r="AV54" cm="1">
        <f t="array" ref="AV54">_xlfn.XLOOKUP(Matrix[[#This Row],[TEAM]]&amp;Matrix[[#Headers],[36]],FDR[FDR]&amp;FDR[[#Headers],[36]],FDR[36],"",0,1)</f>
        <v>4</v>
      </c>
      <c r="AW54" cm="1">
        <f t="array" ref="AW54">_xlfn.XLOOKUP(Matrix[[#This Row],[TEAM]]&amp;Matrix[[#Headers],[37]],FDR[FDR]&amp;FDR[[#Headers],[37]],FDR[37],"",0,1)</f>
        <v>2</v>
      </c>
      <c r="AX54" cm="1">
        <f t="array" ref="AX54">_xlfn.XLOOKUP(Matrix[[#This Row],[TEAM]]&amp;Matrix[[#Headers],[38]],FDR[FDR]&amp;FDR[[#Headers],[38]],FDR[38],"",0,1)</f>
        <v>1</v>
      </c>
    </row>
    <row r="55" spans="1:50" ht="22" thickTop="1" thickBot="1">
      <c r="A55" s="50" t="str">
        <f>INDEX!S$4</f>
        <v>MID</v>
      </c>
      <c r="B55" s="70" t="s">
        <v>1314</v>
      </c>
      <c r="C55" s="40" t="s">
        <v>29</v>
      </c>
      <c r="D55" s="62">
        <v>0</v>
      </c>
      <c r="E55" s="60">
        <v>7.8E-2</v>
      </c>
      <c r="F55" s="61">
        <v>0</v>
      </c>
      <c r="G55" s="63">
        <v>6.5</v>
      </c>
      <c r="H55" s="261">
        <f>IF(ISBLANK(I55),0,1)</f>
        <v>0</v>
      </c>
      <c r="I55" s="57"/>
      <c r="J55" s="58"/>
      <c r="K55" s="59" t="s">
        <v>516</v>
      </c>
      <c r="L55" s="59" t="s">
        <v>732</v>
      </c>
      <c r="M55" cm="1">
        <f t="array" ref="M55">_xlfn.XLOOKUP(Matrix[[#This Row],[TEAM]]&amp;Matrix[[#Headers],[1]],FDR[FDR]&amp;FDR[[#Headers],[1]],FDR[1],"",0,1)</f>
        <v>1</v>
      </c>
      <c r="N55" cm="1">
        <f t="array" ref="N55">_xlfn.XLOOKUP(Matrix[[#This Row],[TEAM]]&amp;Matrix[[#Headers],[2]],FDR[FDR]&amp;FDR[[#Headers],[2]],FDR[2],"",0,1)</f>
        <v>2</v>
      </c>
      <c r="O55" cm="1">
        <f t="array" ref="O55">_xlfn.XLOOKUP(Matrix[[#This Row],[TEAM]]&amp;Matrix[[#Headers],[3]],FDR[FDR]&amp;FDR[[#Headers],[3]],FDR[3],"",0,1)</f>
        <v>2</v>
      </c>
      <c r="P55" cm="1">
        <f t="array" ref="P55">_xlfn.XLOOKUP(Matrix[[#This Row],[TEAM]]&amp;Matrix[[#Headers],[4]],FDR[FDR]&amp;FDR[[#Headers],[4]],FDR[4],"",0,1)</f>
        <v>2</v>
      </c>
      <c r="Q55" cm="1">
        <f t="array" ref="Q55">_xlfn.XLOOKUP(Matrix[[#This Row],[TEAM]]&amp;Matrix[[#Headers],[5]],FDR[FDR]&amp;FDR[[#Headers],[5]],FDR[5],"",0,1)</f>
        <v>4</v>
      </c>
      <c r="R55" cm="1">
        <f t="array" ref="R55">_xlfn.XLOOKUP(Matrix[[#This Row],[TEAM]]&amp;Matrix[[#Headers],[6]],FDR[FDR]&amp;FDR[[#Headers],[6]],FDR[6],"",0,1)</f>
        <v>1</v>
      </c>
      <c r="S55" cm="1">
        <f t="array" ref="S55">_xlfn.XLOOKUP(Matrix[[#This Row],[TEAM]]&amp;Matrix[[#Headers],[7]],FDR[FDR]&amp;FDR[[#Headers],[7]],FDR[7],"",0,1)</f>
        <v>2</v>
      </c>
      <c r="T55" cm="1">
        <f t="array" ref="T55">_xlfn.XLOOKUP(Matrix[[#This Row],[TEAM]]&amp;Matrix[[#Headers],[8]],FDR[FDR]&amp;FDR[[#Headers],[8]],FDR[8],"",0,1)</f>
        <v>1</v>
      </c>
      <c r="U55" cm="1">
        <f t="array" ref="U55">_xlfn.XLOOKUP(Matrix[[#This Row],[TEAM]]&amp;Matrix[[#Headers],[9]],FDR[FDR]&amp;FDR[[#Headers],[9]],FDR[9],"",0,1)</f>
        <v>3</v>
      </c>
      <c r="V55" cm="1">
        <f t="array" ref="V55">_xlfn.XLOOKUP(Matrix[[#This Row],[TEAM]]&amp;Matrix[[#Headers],[10]],FDR[FDR]&amp;FDR[[#Headers],[10]],FDR[10],"",0,1)</f>
        <v>1</v>
      </c>
      <c r="W55" cm="1">
        <f t="array" ref="W55">_xlfn.XLOOKUP(Matrix[[#This Row],[TEAM]]&amp;Matrix[[#Headers],[11]],FDR[FDR]&amp;FDR[[#Headers],[11]],FDR[11],"",0,1)</f>
        <v>3</v>
      </c>
      <c r="X55" cm="1">
        <f t="array" ref="X55">_xlfn.XLOOKUP(Matrix[[#This Row],[TEAM]]&amp;Matrix[[#Headers],[12]],FDR[FDR]&amp;FDR[[#Headers],[12]],FDR[12],"",0,1)</f>
        <v>3</v>
      </c>
      <c r="Y55" cm="1">
        <f t="array" ref="Y55">_xlfn.XLOOKUP(Matrix[[#This Row],[TEAM]]&amp;Matrix[[#Headers],[13]],FDR[FDR]&amp;FDR[[#Headers],[13]],FDR[13],"",0,1)</f>
        <v>1</v>
      </c>
      <c r="Z55" cm="1">
        <f t="array" ref="Z55">_xlfn.XLOOKUP(Matrix[[#This Row],[TEAM]]&amp;Matrix[[#Headers],[14]],FDR[FDR]&amp;FDR[[#Headers],[14]],FDR[14],"",0,1)</f>
        <v>2</v>
      </c>
      <c r="AA55" cm="1">
        <f t="array" ref="AA55">_xlfn.XLOOKUP(Matrix[[#This Row],[TEAM]]&amp;Matrix[[#Headers],[15]],FDR[FDR]&amp;FDR[[#Headers],[15]],FDR[15],"",0,1)</f>
        <v>1</v>
      </c>
      <c r="AB55" cm="1">
        <f t="array" ref="AB55">_xlfn.XLOOKUP(Matrix[[#This Row],[TEAM]]&amp;Matrix[[#Headers],[16]],FDR[FDR]&amp;FDR[[#Headers],[16]],FDR[16],"",0,1)</f>
        <v>2</v>
      </c>
      <c r="AC55" cm="1">
        <f t="array" ref="AC55">_xlfn.XLOOKUP(Matrix[[#This Row],[TEAM]]&amp;Matrix[[#Headers],[17]],FDR[FDR]&amp;FDR[[#Headers],[17]],FDR[17],"",0,1)</f>
        <v>1</v>
      </c>
      <c r="AD55" cm="1">
        <f t="array" ref="AD55">_xlfn.XLOOKUP(Matrix[[#This Row],[TEAM]]&amp;Matrix[[#Headers],[18]],FDR[FDR]&amp;FDR[[#Headers],[18]],FDR[18],"",0,1)</f>
        <v>2</v>
      </c>
      <c r="AE55" cm="1">
        <f t="array" ref="AE55">_xlfn.XLOOKUP(Matrix[[#This Row],[TEAM]]&amp;Matrix[[#Headers],[19]],FDR[FDR]&amp;FDR[[#Headers],[19]],FDR[19],"",0,1)</f>
        <v>1</v>
      </c>
      <c r="AF55" cm="1">
        <f t="array" ref="AF55">_xlfn.XLOOKUP(Matrix[[#This Row],[TEAM]]&amp;Matrix[[#Headers],[20]],FDR[FDR]&amp;FDR[[#Headers],[20]],FDR[20],"",0,1)</f>
        <v>2</v>
      </c>
      <c r="AG55" cm="1">
        <f t="array" ref="AG55">_xlfn.XLOOKUP(Matrix[[#This Row],[TEAM]]&amp;Matrix[[#Headers],[21]],FDR[FDR]&amp;FDR[[#Headers],[21]],FDR[21],"",0,1)</f>
        <v>1</v>
      </c>
      <c r="AH55" cm="1">
        <f t="array" ref="AH55">_xlfn.XLOOKUP(Matrix[[#This Row],[TEAM]]&amp;Matrix[[#Headers],[22]],FDR[FDR]&amp;FDR[[#Headers],[22]],FDR[22],"",0,1)</f>
        <v>3</v>
      </c>
      <c r="AI55" cm="1">
        <f t="array" ref="AI55">_xlfn.XLOOKUP(Matrix[[#This Row],[TEAM]]&amp;Matrix[[#Headers],[23]],FDR[FDR]&amp;FDR[[#Headers],[23]],FDR[23],"",0,1)</f>
        <v>1</v>
      </c>
      <c r="AJ55" cm="1">
        <f t="array" ref="AJ55">_xlfn.XLOOKUP(Matrix[[#This Row],[TEAM]]&amp;Matrix[[#Headers],[24]],FDR[FDR]&amp;FDR[[#Headers],[24]],FDR[24],"",0,1)</f>
        <v>3</v>
      </c>
      <c r="AK55" cm="1">
        <f t="array" ref="AK55">_xlfn.XLOOKUP(Matrix[[#This Row],[TEAM]]&amp;Matrix[[#Headers],[25]],FDR[FDR]&amp;FDR[[#Headers],[25]],FDR[25],"",0,1)</f>
        <v>4</v>
      </c>
      <c r="AL55" cm="1">
        <f t="array" ref="AL55">_xlfn.XLOOKUP(Matrix[[#This Row],[TEAM]]&amp;Matrix[[#Headers],[26]],FDR[FDR]&amp;FDR[[#Headers],[26]],FDR[26],"",0,1)</f>
        <v>1</v>
      </c>
      <c r="AM55" cm="1">
        <f t="array" ref="AM55">_xlfn.XLOOKUP(Matrix[[#This Row],[TEAM]]&amp;Matrix[[#Headers],[27]],FDR[FDR]&amp;FDR[[#Headers],[27]],FDR[27],"",0,1)</f>
        <v>2</v>
      </c>
      <c r="AN55" cm="1">
        <f t="array" ref="AN55">_xlfn.XLOOKUP(Matrix[[#This Row],[TEAM]]&amp;Matrix[[#Headers],[28]],FDR[FDR]&amp;FDR[[#Headers],[28]],FDR[28],"",0,1)</f>
        <v>1</v>
      </c>
      <c r="AO55" cm="1">
        <f t="array" ref="AO55">_xlfn.XLOOKUP(Matrix[[#This Row],[TEAM]]&amp;Matrix[[#Headers],[29]],FDR[FDR]&amp;FDR[[#Headers],[29]],FDR[29],"",0,1)</f>
        <v>1</v>
      </c>
      <c r="AP55" cm="1">
        <f t="array" ref="AP55">_xlfn.XLOOKUP(Matrix[[#This Row],[TEAM]]&amp;Matrix[[#Headers],[30]],FDR[FDR]&amp;FDR[[#Headers],[30]],FDR[30],"",0,1)</f>
        <v>2</v>
      </c>
      <c r="AQ55" cm="1">
        <f t="array" ref="AQ55">_xlfn.XLOOKUP(Matrix[[#This Row],[TEAM]]&amp;Matrix[[#Headers],[31]],FDR[FDR]&amp;FDR[[#Headers],[31]],FDR[31],"",0,1)</f>
        <v>1</v>
      </c>
      <c r="AR55" cm="1">
        <f t="array" ref="AR55">_xlfn.XLOOKUP(Matrix[[#This Row],[TEAM]]&amp;Matrix[[#Headers],[32]],FDR[FDR]&amp;FDR[[#Headers],[32]],FDR[32],"",0,1)</f>
        <v>3</v>
      </c>
      <c r="AS55" cm="1">
        <f t="array" ref="AS55">_xlfn.XLOOKUP(Matrix[[#This Row],[TEAM]]&amp;Matrix[[#Headers],[33]],FDR[FDR]&amp;FDR[[#Headers],[33]],FDR[33],"",0,1)</f>
        <v>3</v>
      </c>
      <c r="AT55" cm="1">
        <f t="array" ref="AT55">_xlfn.XLOOKUP(Matrix[[#This Row],[TEAM]]&amp;Matrix[[#Headers],[34]],FDR[FDR]&amp;FDR[[#Headers],[34]],FDR[34],"",0,1)</f>
        <v>1</v>
      </c>
      <c r="AU55" cm="1">
        <f t="array" ref="AU55">_xlfn.XLOOKUP(Matrix[[#This Row],[TEAM]]&amp;Matrix[[#Headers],[35]],FDR[FDR]&amp;FDR[[#Headers],[35]],FDR[35],"",0,1)</f>
        <v>2</v>
      </c>
      <c r="AV55" cm="1">
        <f t="array" ref="AV55">_xlfn.XLOOKUP(Matrix[[#This Row],[TEAM]]&amp;Matrix[[#Headers],[36]],FDR[FDR]&amp;FDR[[#Headers],[36]],FDR[36],"",0,1)</f>
        <v>1</v>
      </c>
      <c r="AW55" cm="1">
        <f t="array" ref="AW55">_xlfn.XLOOKUP(Matrix[[#This Row],[TEAM]]&amp;Matrix[[#Headers],[37]],FDR[FDR]&amp;FDR[[#Headers],[37]],FDR[37],"",0,1)</f>
        <v>2</v>
      </c>
      <c r="AX55" cm="1">
        <f t="array" ref="AX55">_xlfn.XLOOKUP(Matrix[[#This Row],[TEAM]]&amp;Matrix[[#Headers],[38]],FDR[FDR]&amp;FDR[[#Headers],[38]],FDR[38],"",0,1)</f>
        <v>2</v>
      </c>
    </row>
    <row r="56" spans="1:50" ht="22" thickTop="1" thickBot="1">
      <c r="A56" s="49" t="str">
        <f>INDEX!S$5</f>
        <v>FWD</v>
      </c>
      <c r="B56" s="70" t="s">
        <v>1324</v>
      </c>
      <c r="C56" s="40" t="s">
        <v>23</v>
      </c>
      <c r="D56" s="62">
        <v>147</v>
      </c>
      <c r="E56" s="60">
        <v>2.3E-2</v>
      </c>
      <c r="F56" s="61">
        <v>199.7</v>
      </c>
      <c r="G56" s="63">
        <v>6.5</v>
      </c>
      <c r="H56" s="261">
        <f>IF(ISBLANK(I56),0,1)</f>
        <v>0</v>
      </c>
      <c r="I56" s="57"/>
      <c r="J56" s="58"/>
      <c r="K56" s="64" t="s">
        <v>531</v>
      </c>
      <c r="L56" s="64" t="s">
        <v>530</v>
      </c>
      <c r="M56" cm="1">
        <f t="array" ref="M56">_xlfn.XLOOKUP(Matrix[[#This Row],[TEAM]]&amp;Matrix[[#Headers],[1]],FDR[FDR]&amp;FDR[[#Headers],[1]],FDR[1],"",0,1)</f>
        <v>4</v>
      </c>
      <c r="N56" cm="1">
        <f t="array" ref="N56">_xlfn.XLOOKUP(Matrix[[#This Row],[TEAM]]&amp;Matrix[[#Headers],[2]],FDR[FDR]&amp;FDR[[#Headers],[2]],FDR[2],"",0,1)</f>
        <v>4</v>
      </c>
      <c r="O56" cm="1">
        <f t="array" ref="O56">_xlfn.XLOOKUP(Matrix[[#This Row],[TEAM]]&amp;Matrix[[#Headers],[3]],FDR[FDR]&amp;FDR[[#Headers],[3]],FDR[3],"",0,1)</f>
        <v>5</v>
      </c>
      <c r="P56" cm="1">
        <f t="array" ref="P56">_xlfn.XLOOKUP(Matrix[[#This Row],[TEAM]]&amp;Matrix[[#Headers],[4]],FDR[FDR]&amp;FDR[[#Headers],[4]],FDR[4],"",0,1)</f>
        <v>1</v>
      </c>
      <c r="Q56" cm="1">
        <f t="array" ref="Q56">_xlfn.XLOOKUP(Matrix[[#This Row],[TEAM]]&amp;Matrix[[#Headers],[5]],FDR[FDR]&amp;FDR[[#Headers],[5]],FDR[5],"",0,1)</f>
        <v>2</v>
      </c>
      <c r="R56" cm="1">
        <f t="array" ref="R56">_xlfn.XLOOKUP(Matrix[[#This Row],[TEAM]]&amp;Matrix[[#Headers],[6]],FDR[FDR]&amp;FDR[[#Headers],[6]],FDR[6],"",0,1)</f>
        <v>5</v>
      </c>
      <c r="S56" cm="1">
        <f t="array" ref="S56">_xlfn.XLOOKUP(Matrix[[#This Row],[TEAM]]&amp;Matrix[[#Headers],[7]],FDR[FDR]&amp;FDR[[#Headers],[7]],FDR[7],"",0,1)</f>
        <v>4</v>
      </c>
      <c r="T56" cm="1">
        <f t="array" ref="T56">_xlfn.XLOOKUP(Matrix[[#This Row],[TEAM]]&amp;Matrix[[#Headers],[8]],FDR[FDR]&amp;FDR[[#Headers],[8]],FDR[8],"",0,1)</f>
        <v>4</v>
      </c>
      <c r="U56" cm="1">
        <f t="array" ref="U56">_xlfn.XLOOKUP(Matrix[[#This Row],[TEAM]]&amp;Matrix[[#Headers],[9]],FDR[FDR]&amp;FDR[[#Headers],[9]],FDR[9],"",0,1)</f>
        <v>5</v>
      </c>
      <c r="V56" cm="1">
        <f t="array" ref="V56">_xlfn.XLOOKUP(Matrix[[#This Row],[TEAM]]&amp;Matrix[[#Headers],[10]],FDR[FDR]&amp;FDR[[#Headers],[10]],FDR[10],"",0,1)</f>
        <v>1</v>
      </c>
      <c r="W56" cm="1">
        <f t="array" ref="W56">_xlfn.XLOOKUP(Matrix[[#This Row],[TEAM]]&amp;Matrix[[#Headers],[11]],FDR[FDR]&amp;FDR[[#Headers],[11]],FDR[11],"",0,1)</f>
        <v>3</v>
      </c>
      <c r="X56" cm="1">
        <f t="array" ref="X56">_xlfn.XLOOKUP(Matrix[[#This Row],[TEAM]]&amp;Matrix[[#Headers],[12]],FDR[FDR]&amp;FDR[[#Headers],[12]],FDR[12],"",0,1)</f>
        <v>1</v>
      </c>
      <c r="Y56" cm="1">
        <f t="array" ref="Y56">_xlfn.XLOOKUP(Matrix[[#This Row],[TEAM]]&amp;Matrix[[#Headers],[13]],FDR[FDR]&amp;FDR[[#Headers],[13]],FDR[13],"",0,1)</f>
        <v>5</v>
      </c>
      <c r="Z56" cm="1">
        <f t="array" ref="Z56">_xlfn.XLOOKUP(Matrix[[#This Row],[TEAM]]&amp;Matrix[[#Headers],[14]],FDR[FDR]&amp;FDR[[#Headers],[14]],FDR[14],"",0,1)</f>
        <v>4</v>
      </c>
      <c r="AA56" cm="1">
        <f t="array" ref="AA56">_xlfn.XLOOKUP(Matrix[[#This Row],[TEAM]]&amp;Matrix[[#Headers],[15]],FDR[FDR]&amp;FDR[[#Headers],[15]],FDR[15],"",0,1)</f>
        <v>2</v>
      </c>
      <c r="AB56" cm="1">
        <f t="array" ref="AB56">_xlfn.XLOOKUP(Matrix[[#This Row],[TEAM]]&amp;Matrix[[#Headers],[16]],FDR[FDR]&amp;FDR[[#Headers],[16]],FDR[16],"",0,1)</f>
        <v>2</v>
      </c>
      <c r="AC56" cm="1">
        <f t="array" ref="AC56">_xlfn.XLOOKUP(Matrix[[#This Row],[TEAM]]&amp;Matrix[[#Headers],[17]],FDR[FDR]&amp;FDR[[#Headers],[17]],FDR[17],"",0,1)</f>
        <v>3</v>
      </c>
      <c r="AD56" cm="1">
        <f t="array" ref="AD56">_xlfn.XLOOKUP(Matrix[[#This Row],[TEAM]]&amp;Matrix[[#Headers],[18]],FDR[FDR]&amp;FDR[[#Headers],[18]],FDR[18],"",0,1)</f>
        <v>3</v>
      </c>
      <c r="AE56" cm="1">
        <f t="array" ref="AE56">_xlfn.XLOOKUP(Matrix[[#This Row],[TEAM]]&amp;Matrix[[#Headers],[19]],FDR[FDR]&amp;FDR[[#Headers],[19]],FDR[19],"",0,1)</f>
        <v>3</v>
      </c>
      <c r="AF56" cm="1">
        <f t="array" ref="AF56">_xlfn.XLOOKUP(Matrix[[#This Row],[TEAM]]&amp;Matrix[[#Headers],[20]],FDR[FDR]&amp;FDR[[#Headers],[20]],FDR[20],"",0,1)</f>
        <v>4</v>
      </c>
      <c r="AG56" cm="1">
        <f t="array" ref="AG56">_xlfn.XLOOKUP(Matrix[[#This Row],[TEAM]]&amp;Matrix[[#Headers],[21]],FDR[FDR]&amp;FDR[[#Headers],[21]],FDR[21],"",0,1)</f>
        <v>4</v>
      </c>
      <c r="AH56" cm="1">
        <f t="array" ref="AH56">_xlfn.XLOOKUP(Matrix[[#This Row],[TEAM]]&amp;Matrix[[#Headers],[22]],FDR[FDR]&amp;FDR[[#Headers],[22]],FDR[22],"",0,1)</f>
        <v>2</v>
      </c>
      <c r="AI56" cm="1">
        <f t="array" ref="AI56">_xlfn.XLOOKUP(Matrix[[#This Row],[TEAM]]&amp;Matrix[[#Headers],[23]],FDR[FDR]&amp;FDR[[#Headers],[23]],FDR[23],"",0,1)</f>
        <v>3</v>
      </c>
      <c r="AJ56" cm="1">
        <f t="array" ref="AJ56">_xlfn.XLOOKUP(Matrix[[#This Row],[TEAM]]&amp;Matrix[[#Headers],[24]],FDR[FDR]&amp;FDR[[#Headers],[24]],FDR[24],"",0,1)</f>
        <v>5</v>
      </c>
      <c r="AK56" cm="1">
        <f t="array" ref="AK56">_xlfn.XLOOKUP(Matrix[[#This Row],[TEAM]]&amp;Matrix[[#Headers],[25]],FDR[FDR]&amp;FDR[[#Headers],[25]],FDR[25],"",0,1)</f>
        <v>2</v>
      </c>
      <c r="AL56" cm="1">
        <f t="array" ref="AL56">_xlfn.XLOOKUP(Matrix[[#This Row],[TEAM]]&amp;Matrix[[#Headers],[26]],FDR[FDR]&amp;FDR[[#Headers],[26]],FDR[26],"",0,1)</f>
        <v>5</v>
      </c>
      <c r="AM56" cm="1">
        <f t="array" ref="AM56">_xlfn.XLOOKUP(Matrix[[#This Row],[TEAM]]&amp;Matrix[[#Headers],[27]],FDR[FDR]&amp;FDR[[#Headers],[27]],FDR[27],"",0,1)</f>
        <v>2</v>
      </c>
      <c r="AN56" cm="1">
        <f t="array" ref="AN56">_xlfn.XLOOKUP(Matrix[[#This Row],[TEAM]]&amp;Matrix[[#Headers],[28]],FDR[FDR]&amp;FDR[[#Headers],[28]],FDR[28],"",0,1)</f>
        <v>4</v>
      </c>
      <c r="AO56" cm="1">
        <f t="array" ref="AO56">_xlfn.XLOOKUP(Matrix[[#This Row],[TEAM]]&amp;Matrix[[#Headers],[29]],FDR[FDR]&amp;FDR[[#Headers],[29]],FDR[29],"",0,1)</f>
        <v>2</v>
      </c>
      <c r="AP56" cm="1">
        <f t="array" ref="AP56">_xlfn.XLOOKUP(Matrix[[#This Row],[TEAM]]&amp;Matrix[[#Headers],[30]],FDR[FDR]&amp;FDR[[#Headers],[30]],FDR[30],"",0,1)</f>
        <v>4</v>
      </c>
      <c r="AQ56" cm="1">
        <f t="array" ref="AQ56">_xlfn.XLOOKUP(Matrix[[#This Row],[TEAM]]&amp;Matrix[[#Headers],[31]],FDR[FDR]&amp;FDR[[#Headers],[31]],FDR[31],"",0,1)</f>
        <v>1</v>
      </c>
      <c r="AR56" cm="1">
        <f t="array" ref="AR56">_xlfn.XLOOKUP(Matrix[[#This Row],[TEAM]]&amp;Matrix[[#Headers],[32]],FDR[FDR]&amp;FDR[[#Headers],[32]],FDR[32],"",0,1)</f>
        <v>5</v>
      </c>
      <c r="AS56" cm="1">
        <f t="array" ref="AS56">_xlfn.XLOOKUP(Matrix[[#This Row],[TEAM]]&amp;Matrix[[#Headers],[33]],FDR[FDR]&amp;FDR[[#Headers],[33]],FDR[33],"",0,1)</f>
        <v>3</v>
      </c>
      <c r="AT56" cm="1">
        <f t="array" ref="AT56">_xlfn.XLOOKUP(Matrix[[#This Row],[TEAM]]&amp;Matrix[[#Headers],[34]],FDR[FDR]&amp;FDR[[#Headers],[34]],FDR[34],"",0,1)</f>
        <v>3</v>
      </c>
      <c r="AU56" cm="1">
        <f t="array" ref="AU56">_xlfn.XLOOKUP(Matrix[[#This Row],[TEAM]]&amp;Matrix[[#Headers],[35]],FDR[FDR]&amp;FDR[[#Headers],[35]],FDR[35],"",0,1)</f>
        <v>5</v>
      </c>
      <c r="AV56" cm="1">
        <f t="array" ref="AV56">_xlfn.XLOOKUP(Matrix[[#This Row],[TEAM]]&amp;Matrix[[#Headers],[36]],FDR[FDR]&amp;FDR[[#Headers],[36]],FDR[36],"",0,1)</f>
        <v>3</v>
      </c>
      <c r="AW56" cm="1">
        <f t="array" ref="AW56">_xlfn.XLOOKUP(Matrix[[#This Row],[TEAM]]&amp;Matrix[[#Headers],[37]],FDR[FDR]&amp;FDR[[#Headers],[37]],FDR[37],"",0,1)</f>
        <v>2</v>
      </c>
      <c r="AX56" cm="1">
        <f t="array" ref="AX56">_xlfn.XLOOKUP(Matrix[[#This Row],[TEAM]]&amp;Matrix[[#Headers],[38]],FDR[FDR]&amp;FDR[[#Headers],[38]],FDR[38],"",0,1)</f>
        <v>4</v>
      </c>
    </row>
    <row r="57" spans="1:50" ht="22" thickTop="1" thickBot="1">
      <c r="A57" s="49" t="str">
        <f>INDEX!S$5</f>
        <v>FWD</v>
      </c>
      <c r="B57" s="70" t="s">
        <v>1318</v>
      </c>
      <c r="C57" s="40" t="s">
        <v>51</v>
      </c>
      <c r="D57" s="62">
        <v>145</v>
      </c>
      <c r="E57" s="60">
        <v>5.1999999999999998E-2</v>
      </c>
      <c r="F57" s="61">
        <v>179.5</v>
      </c>
      <c r="G57" s="63">
        <v>6.5</v>
      </c>
      <c r="H57" s="261">
        <f>IF(ISBLANK(I57),0,1)</f>
        <v>0</v>
      </c>
      <c r="I57" s="57"/>
      <c r="J57" s="58"/>
      <c r="K57" s="64" t="s">
        <v>741</v>
      </c>
      <c r="L57" s="64" t="s">
        <v>742</v>
      </c>
      <c r="M57" cm="1">
        <f t="array" ref="M57">_xlfn.XLOOKUP(Matrix[[#This Row],[TEAM]]&amp;Matrix[[#Headers],[1]],FDR[FDR]&amp;FDR[[#Headers],[1]],FDR[1],"",0,1)</f>
        <v>5</v>
      </c>
      <c r="N57" cm="1">
        <f t="array" ref="N57">_xlfn.XLOOKUP(Matrix[[#This Row],[TEAM]]&amp;Matrix[[#Headers],[2]],FDR[FDR]&amp;FDR[[#Headers],[2]],FDR[2],"",0,1)</f>
        <v>5</v>
      </c>
      <c r="O57" cm="1">
        <f t="array" ref="O57">_xlfn.XLOOKUP(Matrix[[#This Row],[TEAM]]&amp;Matrix[[#Headers],[3]],FDR[FDR]&amp;FDR[[#Headers],[3]],FDR[3],"",0,1)</f>
        <v>4</v>
      </c>
      <c r="P57" cm="1">
        <f t="array" ref="P57">_xlfn.XLOOKUP(Matrix[[#This Row],[TEAM]]&amp;Matrix[[#Headers],[4]],FDR[FDR]&amp;FDR[[#Headers],[4]],FDR[4],"",0,1)</f>
        <v>5</v>
      </c>
      <c r="Q57" cm="1">
        <f t="array" ref="Q57">_xlfn.XLOOKUP(Matrix[[#This Row],[TEAM]]&amp;Matrix[[#Headers],[5]],FDR[FDR]&amp;FDR[[#Headers],[5]],FDR[5],"",0,1)</f>
        <v>2</v>
      </c>
      <c r="R57" cm="1">
        <f t="array" ref="R57">_xlfn.XLOOKUP(Matrix[[#This Row],[TEAM]]&amp;Matrix[[#Headers],[6]],FDR[FDR]&amp;FDR[[#Headers],[6]],FDR[6],"",0,1)</f>
        <v>5</v>
      </c>
      <c r="S57" cm="1">
        <f t="array" ref="S57">_xlfn.XLOOKUP(Matrix[[#This Row],[TEAM]]&amp;Matrix[[#Headers],[7]],FDR[FDR]&amp;FDR[[#Headers],[7]],FDR[7],"",0,1)</f>
        <v>4</v>
      </c>
      <c r="T57" cm="1">
        <f t="array" ref="T57">_xlfn.XLOOKUP(Matrix[[#This Row],[TEAM]]&amp;Matrix[[#Headers],[8]],FDR[FDR]&amp;FDR[[#Headers],[8]],FDR[8],"",0,1)</f>
        <v>3</v>
      </c>
      <c r="U57" cm="1">
        <f t="array" ref="U57">_xlfn.XLOOKUP(Matrix[[#This Row],[TEAM]]&amp;Matrix[[#Headers],[9]],FDR[FDR]&amp;FDR[[#Headers],[9]],FDR[9],"",0,1)</f>
        <v>2</v>
      </c>
      <c r="V57" cm="1">
        <f t="array" ref="V57">_xlfn.XLOOKUP(Matrix[[#This Row],[TEAM]]&amp;Matrix[[#Headers],[10]],FDR[FDR]&amp;FDR[[#Headers],[10]],FDR[10],"",0,1)</f>
        <v>5</v>
      </c>
      <c r="W57" cm="1">
        <f t="array" ref="W57">_xlfn.XLOOKUP(Matrix[[#This Row],[TEAM]]&amp;Matrix[[#Headers],[11]],FDR[FDR]&amp;FDR[[#Headers],[11]],FDR[11],"",0,1)</f>
        <v>5</v>
      </c>
      <c r="X57" cm="1">
        <f t="array" ref="X57">_xlfn.XLOOKUP(Matrix[[#This Row],[TEAM]]&amp;Matrix[[#Headers],[12]],FDR[FDR]&amp;FDR[[#Headers],[12]],FDR[12],"",0,1)</f>
        <v>4</v>
      </c>
      <c r="Y57" cm="1">
        <f t="array" ref="Y57">_xlfn.XLOOKUP(Matrix[[#This Row],[TEAM]]&amp;Matrix[[#Headers],[13]],FDR[FDR]&amp;FDR[[#Headers],[13]],FDR[13],"",0,1)</f>
        <v>5</v>
      </c>
      <c r="Z57" cm="1">
        <f t="array" ref="Z57">_xlfn.XLOOKUP(Matrix[[#This Row],[TEAM]]&amp;Matrix[[#Headers],[14]],FDR[FDR]&amp;FDR[[#Headers],[14]],FDR[14],"",0,1)</f>
        <v>4</v>
      </c>
      <c r="AA57" cm="1">
        <f t="array" ref="AA57">_xlfn.XLOOKUP(Matrix[[#This Row],[TEAM]]&amp;Matrix[[#Headers],[15]],FDR[FDR]&amp;FDR[[#Headers],[15]],FDR[15],"",0,1)</f>
        <v>5</v>
      </c>
      <c r="AB57" cm="1">
        <f t="array" ref="AB57">_xlfn.XLOOKUP(Matrix[[#This Row],[TEAM]]&amp;Matrix[[#Headers],[16]],FDR[FDR]&amp;FDR[[#Headers],[16]],FDR[16],"",0,1)</f>
        <v>5</v>
      </c>
      <c r="AC57" cm="1">
        <f t="array" ref="AC57">_xlfn.XLOOKUP(Matrix[[#This Row],[TEAM]]&amp;Matrix[[#Headers],[17]],FDR[FDR]&amp;FDR[[#Headers],[17]],FDR[17],"",0,1)</f>
        <v>4</v>
      </c>
      <c r="AD57" cm="1">
        <f t="array" ref="AD57">_xlfn.XLOOKUP(Matrix[[#This Row],[TEAM]]&amp;Matrix[[#Headers],[18]],FDR[FDR]&amp;FDR[[#Headers],[18]],FDR[18],"",0,1)</f>
        <v>5</v>
      </c>
      <c r="AE57" cm="1">
        <f t="array" ref="AE57">_xlfn.XLOOKUP(Matrix[[#This Row],[TEAM]]&amp;Matrix[[#Headers],[19]],FDR[FDR]&amp;FDR[[#Headers],[19]],FDR[19],"",0,1)</f>
        <v>5</v>
      </c>
      <c r="AF57" cm="1">
        <f t="array" ref="AF57">_xlfn.XLOOKUP(Matrix[[#This Row],[TEAM]]&amp;Matrix[[#Headers],[20]],FDR[FDR]&amp;FDR[[#Headers],[20]],FDR[20],"",0,1)</f>
        <v>4</v>
      </c>
      <c r="AG57" cm="1">
        <f t="array" ref="AG57">_xlfn.XLOOKUP(Matrix[[#This Row],[TEAM]]&amp;Matrix[[#Headers],[21]],FDR[FDR]&amp;FDR[[#Headers],[21]],FDR[21],"",0,1)</f>
        <v>5</v>
      </c>
      <c r="AH57" cm="1">
        <f t="array" ref="AH57">_xlfn.XLOOKUP(Matrix[[#This Row],[TEAM]]&amp;Matrix[[#Headers],[22]],FDR[FDR]&amp;FDR[[#Headers],[22]],FDR[22],"",0,1)</f>
        <v>5</v>
      </c>
      <c r="AI57" cm="1">
        <f t="array" ref="AI57">_xlfn.XLOOKUP(Matrix[[#This Row],[TEAM]]&amp;Matrix[[#Headers],[23]],FDR[FDR]&amp;FDR[[#Headers],[23]],FDR[23],"",0,1)</f>
        <v>5</v>
      </c>
      <c r="AJ57" cm="1">
        <f t="array" ref="AJ57">_xlfn.XLOOKUP(Matrix[[#This Row],[TEAM]]&amp;Matrix[[#Headers],[24]],FDR[FDR]&amp;FDR[[#Headers],[24]],FDR[24],"",0,1)</f>
        <v>4</v>
      </c>
      <c r="AK57" cm="1">
        <f t="array" ref="AK57">_xlfn.XLOOKUP(Matrix[[#This Row],[TEAM]]&amp;Matrix[[#Headers],[25]],FDR[FDR]&amp;FDR[[#Headers],[25]],FDR[25],"",0,1)</f>
        <v>5</v>
      </c>
      <c r="AL57" cm="1">
        <f t="array" ref="AL57">_xlfn.XLOOKUP(Matrix[[#This Row],[TEAM]]&amp;Matrix[[#Headers],[26]],FDR[FDR]&amp;FDR[[#Headers],[26]],FDR[26],"",0,1)</f>
        <v>5</v>
      </c>
      <c r="AM57" cm="1">
        <f t="array" ref="AM57">_xlfn.XLOOKUP(Matrix[[#This Row],[TEAM]]&amp;Matrix[[#Headers],[27]],FDR[FDR]&amp;FDR[[#Headers],[27]],FDR[27],"",0,1)</f>
        <v>5</v>
      </c>
      <c r="AN57" cm="1">
        <f t="array" ref="AN57">_xlfn.XLOOKUP(Matrix[[#This Row],[TEAM]]&amp;Matrix[[#Headers],[28]],FDR[FDR]&amp;FDR[[#Headers],[28]],FDR[28],"",0,1)</f>
        <v>5</v>
      </c>
      <c r="AO57" cm="1">
        <f t="array" ref="AO57">_xlfn.XLOOKUP(Matrix[[#This Row],[TEAM]]&amp;Matrix[[#Headers],[29]],FDR[FDR]&amp;FDR[[#Headers],[29]],FDR[29],"",0,1)</f>
        <v>5</v>
      </c>
      <c r="AP57" cm="1">
        <f t="array" ref="AP57">_xlfn.XLOOKUP(Matrix[[#This Row],[TEAM]]&amp;Matrix[[#Headers],[30]],FDR[FDR]&amp;FDR[[#Headers],[30]],FDR[30],"",0,1)</f>
        <v>5</v>
      </c>
      <c r="AQ57" cm="1">
        <f t="array" ref="AQ57">_xlfn.XLOOKUP(Matrix[[#This Row],[TEAM]]&amp;Matrix[[#Headers],[31]],FDR[FDR]&amp;FDR[[#Headers],[31]],FDR[31],"",0,1)</f>
        <v>5</v>
      </c>
      <c r="AR57" cm="1">
        <f t="array" ref="AR57">_xlfn.XLOOKUP(Matrix[[#This Row],[TEAM]]&amp;Matrix[[#Headers],[32]],FDR[FDR]&amp;FDR[[#Headers],[32]],FDR[32],"",0,1)</f>
        <v>5</v>
      </c>
      <c r="AS57" cm="1">
        <f t="array" ref="AS57">_xlfn.XLOOKUP(Matrix[[#This Row],[TEAM]]&amp;Matrix[[#Headers],[33]],FDR[FDR]&amp;FDR[[#Headers],[33]],FDR[33],"",0,1)</f>
        <v>3</v>
      </c>
      <c r="AT57" cm="1">
        <f t="array" ref="AT57">_xlfn.XLOOKUP(Matrix[[#This Row],[TEAM]]&amp;Matrix[[#Headers],[34]],FDR[FDR]&amp;FDR[[#Headers],[34]],FDR[34],"",0,1)</f>
        <v>5</v>
      </c>
      <c r="AU57" cm="1">
        <f t="array" ref="AU57">_xlfn.XLOOKUP(Matrix[[#This Row],[TEAM]]&amp;Matrix[[#Headers],[35]],FDR[FDR]&amp;FDR[[#Headers],[35]],FDR[35],"",0,1)</f>
        <v>2</v>
      </c>
      <c r="AV57" cm="1">
        <f t="array" ref="AV57">_xlfn.XLOOKUP(Matrix[[#This Row],[TEAM]]&amp;Matrix[[#Headers],[36]],FDR[FDR]&amp;FDR[[#Headers],[36]],FDR[36],"",0,1)</f>
        <v>5</v>
      </c>
      <c r="AW57" cm="1">
        <f t="array" ref="AW57">_xlfn.XLOOKUP(Matrix[[#This Row],[TEAM]]&amp;Matrix[[#Headers],[37]],FDR[FDR]&amp;FDR[[#Headers],[37]],FDR[37],"",0,1)</f>
        <v>4</v>
      </c>
      <c r="AX57" cm="1">
        <f t="array" ref="AX57">_xlfn.XLOOKUP(Matrix[[#This Row],[TEAM]]&amp;Matrix[[#Headers],[38]],FDR[FDR]&amp;FDR[[#Headers],[38]],FDR[38],"",0,1)</f>
        <v>3</v>
      </c>
    </row>
    <row r="58" spans="1:50" ht="22" thickTop="1" thickBot="1">
      <c r="A58" s="50" t="str">
        <f>INDEX!S$4</f>
        <v>MID</v>
      </c>
      <c r="B58" s="70" t="s">
        <v>1339</v>
      </c>
      <c r="C58" s="40" t="s">
        <v>30</v>
      </c>
      <c r="D58" s="62">
        <v>106</v>
      </c>
      <c r="E58" s="60">
        <v>2E-3</v>
      </c>
      <c r="F58" s="61">
        <v>188.3</v>
      </c>
      <c r="G58" s="63">
        <v>6.4</v>
      </c>
      <c r="H58" s="261">
        <f>IF(ISBLANK(I58),0,1)</f>
        <v>0</v>
      </c>
      <c r="I58" s="57"/>
      <c r="J58" s="58"/>
      <c r="K58" s="59" t="s">
        <v>520</v>
      </c>
      <c r="L58" s="59" t="s">
        <v>241</v>
      </c>
      <c r="M58" cm="1">
        <f t="array" ref="M58">_xlfn.XLOOKUP(Matrix[[#This Row],[TEAM]]&amp;Matrix[[#Headers],[1]],FDR[FDR]&amp;FDR[[#Headers],[1]],FDR[1],"",0,1)</f>
        <v>3</v>
      </c>
      <c r="N58" cm="1">
        <f t="array" ref="N58">_xlfn.XLOOKUP(Matrix[[#This Row],[TEAM]]&amp;Matrix[[#Headers],[2]],FDR[FDR]&amp;FDR[[#Headers],[2]],FDR[2],"",0,1)</f>
        <v>2</v>
      </c>
      <c r="O58" cm="1">
        <f t="array" ref="O58">_xlfn.XLOOKUP(Matrix[[#This Row],[TEAM]]&amp;Matrix[[#Headers],[3]],FDR[FDR]&amp;FDR[[#Headers],[3]],FDR[3],"",0,1)</f>
        <v>1</v>
      </c>
      <c r="P58" cm="1">
        <f t="array" ref="P58">_xlfn.XLOOKUP(Matrix[[#This Row],[TEAM]]&amp;Matrix[[#Headers],[4]],FDR[FDR]&amp;FDR[[#Headers],[4]],FDR[4],"",0,1)</f>
        <v>4</v>
      </c>
      <c r="Q58" cm="1">
        <f t="array" ref="Q58">_xlfn.XLOOKUP(Matrix[[#This Row],[TEAM]]&amp;Matrix[[#Headers],[5]],FDR[FDR]&amp;FDR[[#Headers],[5]],FDR[5],"",0,1)</f>
        <v>3</v>
      </c>
      <c r="R58" cm="1">
        <f t="array" ref="R58">_xlfn.XLOOKUP(Matrix[[#This Row],[TEAM]]&amp;Matrix[[#Headers],[6]],FDR[FDR]&amp;FDR[[#Headers],[6]],FDR[6],"",0,1)</f>
        <v>2</v>
      </c>
      <c r="S58" cm="1">
        <f t="array" ref="S58">_xlfn.XLOOKUP(Matrix[[#This Row],[TEAM]]&amp;Matrix[[#Headers],[7]],FDR[FDR]&amp;FDR[[#Headers],[7]],FDR[7],"",0,1)</f>
        <v>1</v>
      </c>
      <c r="T58" cm="1">
        <f t="array" ref="T58">_xlfn.XLOOKUP(Matrix[[#This Row],[TEAM]]&amp;Matrix[[#Headers],[8]],FDR[FDR]&amp;FDR[[#Headers],[8]],FDR[8],"",0,1)</f>
        <v>4</v>
      </c>
      <c r="U58" cm="1">
        <f t="array" ref="U58">_xlfn.XLOOKUP(Matrix[[#This Row],[TEAM]]&amp;Matrix[[#Headers],[9]],FDR[FDR]&amp;FDR[[#Headers],[9]],FDR[9],"",0,1)</f>
        <v>1</v>
      </c>
      <c r="V58" cm="1">
        <f t="array" ref="V58">_xlfn.XLOOKUP(Matrix[[#This Row],[TEAM]]&amp;Matrix[[#Headers],[10]],FDR[FDR]&amp;FDR[[#Headers],[10]],FDR[10],"",0,1)</f>
        <v>2</v>
      </c>
      <c r="W58" cm="1">
        <f t="array" ref="W58">_xlfn.XLOOKUP(Matrix[[#This Row],[TEAM]]&amp;Matrix[[#Headers],[11]],FDR[FDR]&amp;FDR[[#Headers],[11]],FDR[11],"",0,1)</f>
        <v>4</v>
      </c>
      <c r="X58" cm="1">
        <f t="array" ref="X58">_xlfn.XLOOKUP(Matrix[[#This Row],[TEAM]]&amp;Matrix[[#Headers],[12]],FDR[FDR]&amp;FDR[[#Headers],[12]],FDR[12],"",0,1)</f>
        <v>1</v>
      </c>
      <c r="Y58" cm="1">
        <f t="array" ref="Y58">_xlfn.XLOOKUP(Matrix[[#This Row],[TEAM]]&amp;Matrix[[#Headers],[13]],FDR[FDR]&amp;FDR[[#Headers],[13]],FDR[13],"",0,1)</f>
        <v>2</v>
      </c>
      <c r="Z58" cm="1">
        <f t="array" ref="Z58">_xlfn.XLOOKUP(Matrix[[#This Row],[TEAM]]&amp;Matrix[[#Headers],[14]],FDR[FDR]&amp;FDR[[#Headers],[14]],FDR[14],"",0,1)</f>
        <v>1</v>
      </c>
      <c r="AA58" cm="1">
        <f t="array" ref="AA58">_xlfn.XLOOKUP(Matrix[[#This Row],[TEAM]]&amp;Matrix[[#Headers],[15]],FDR[FDR]&amp;FDR[[#Headers],[15]],FDR[15],"",0,1)</f>
        <v>1</v>
      </c>
      <c r="AB58" cm="1">
        <f t="array" ref="AB58">_xlfn.XLOOKUP(Matrix[[#This Row],[TEAM]]&amp;Matrix[[#Headers],[16]],FDR[FDR]&amp;FDR[[#Headers],[16]],FDR[16],"",0,1)</f>
        <v>1</v>
      </c>
      <c r="AC58" cm="1">
        <f t="array" ref="AC58">_xlfn.XLOOKUP(Matrix[[#This Row],[TEAM]]&amp;Matrix[[#Headers],[17]],FDR[FDR]&amp;FDR[[#Headers],[17]],FDR[17],"",0,1)</f>
        <v>3</v>
      </c>
      <c r="AD58" cm="1">
        <f t="array" ref="AD58">_xlfn.XLOOKUP(Matrix[[#This Row],[TEAM]]&amp;Matrix[[#Headers],[18]],FDR[FDR]&amp;FDR[[#Headers],[18]],FDR[18],"",0,1)</f>
        <v>2</v>
      </c>
      <c r="AE58" cm="1">
        <f t="array" ref="AE58">_xlfn.XLOOKUP(Matrix[[#This Row],[TEAM]]&amp;Matrix[[#Headers],[19]],FDR[FDR]&amp;FDR[[#Headers],[19]],FDR[19],"",0,1)</f>
        <v>1</v>
      </c>
      <c r="AF58" cm="1">
        <f t="array" ref="AF58">_xlfn.XLOOKUP(Matrix[[#This Row],[TEAM]]&amp;Matrix[[#Headers],[20]],FDR[FDR]&amp;FDR[[#Headers],[20]],FDR[20],"",0,1)</f>
        <v>1</v>
      </c>
      <c r="AG58" cm="1">
        <f t="array" ref="AG58">_xlfn.XLOOKUP(Matrix[[#This Row],[TEAM]]&amp;Matrix[[#Headers],[21]],FDR[FDR]&amp;FDR[[#Headers],[21]],FDR[21],"",0,1)</f>
        <v>1</v>
      </c>
      <c r="AH58" cm="1">
        <f t="array" ref="AH58">_xlfn.XLOOKUP(Matrix[[#This Row],[TEAM]]&amp;Matrix[[#Headers],[22]],FDR[FDR]&amp;FDR[[#Headers],[22]],FDR[22],"",0,1)</f>
        <v>3</v>
      </c>
      <c r="AI58" cm="1">
        <f t="array" ref="AI58">_xlfn.XLOOKUP(Matrix[[#This Row],[TEAM]]&amp;Matrix[[#Headers],[23]],FDR[FDR]&amp;FDR[[#Headers],[23]],FDR[23],"",0,1)</f>
        <v>4</v>
      </c>
      <c r="AJ58" cm="1">
        <f t="array" ref="AJ58">_xlfn.XLOOKUP(Matrix[[#This Row],[TEAM]]&amp;Matrix[[#Headers],[24]],FDR[FDR]&amp;FDR[[#Headers],[24]],FDR[24],"",0,1)</f>
        <v>1</v>
      </c>
      <c r="AK58" cm="1">
        <f t="array" ref="AK58">_xlfn.XLOOKUP(Matrix[[#This Row],[TEAM]]&amp;Matrix[[#Headers],[25]],FDR[FDR]&amp;FDR[[#Headers],[25]],FDR[25],"",0,1)</f>
        <v>3</v>
      </c>
      <c r="AL58" cm="1">
        <f t="array" ref="AL58">_xlfn.XLOOKUP(Matrix[[#This Row],[TEAM]]&amp;Matrix[[#Headers],[26]],FDR[FDR]&amp;FDR[[#Headers],[26]],FDR[26],"",0,1)</f>
        <v>2</v>
      </c>
      <c r="AM58" cm="1">
        <f t="array" ref="AM58">_xlfn.XLOOKUP(Matrix[[#This Row],[TEAM]]&amp;Matrix[[#Headers],[27]],FDR[FDR]&amp;FDR[[#Headers],[27]],FDR[27],"",0,1)</f>
        <v>2</v>
      </c>
      <c r="AN58" cm="1">
        <f t="array" ref="AN58">_xlfn.XLOOKUP(Matrix[[#This Row],[TEAM]]&amp;Matrix[[#Headers],[28]],FDR[FDR]&amp;FDR[[#Headers],[28]],FDR[28],"",0,1)</f>
        <v>1</v>
      </c>
      <c r="AO58" cm="1">
        <f t="array" ref="AO58">_xlfn.XLOOKUP(Matrix[[#This Row],[TEAM]]&amp;Matrix[[#Headers],[29]],FDR[FDR]&amp;FDR[[#Headers],[29]],FDR[29],"",0,1)</f>
        <v>3</v>
      </c>
      <c r="AP58" cm="1">
        <f t="array" ref="AP58">_xlfn.XLOOKUP(Matrix[[#This Row],[TEAM]]&amp;Matrix[[#Headers],[30]],FDR[FDR]&amp;FDR[[#Headers],[30]],FDR[30],"",0,1)</f>
        <v>2</v>
      </c>
      <c r="AQ58" cm="1">
        <f t="array" ref="AQ58">_xlfn.XLOOKUP(Matrix[[#This Row],[TEAM]]&amp;Matrix[[#Headers],[31]],FDR[FDR]&amp;FDR[[#Headers],[31]],FDR[31],"",0,1)</f>
        <v>2</v>
      </c>
      <c r="AR58" cm="1">
        <f t="array" ref="AR58">_xlfn.XLOOKUP(Matrix[[#This Row],[TEAM]]&amp;Matrix[[#Headers],[32]],FDR[FDR]&amp;FDR[[#Headers],[32]],FDR[32],"",0,1)</f>
        <v>1</v>
      </c>
      <c r="AS58" cm="1">
        <f t="array" ref="AS58">_xlfn.XLOOKUP(Matrix[[#This Row],[TEAM]]&amp;Matrix[[#Headers],[33]],FDR[FDR]&amp;FDR[[#Headers],[33]],FDR[33],"",0,1)</f>
        <v>4</v>
      </c>
      <c r="AT58" cm="1">
        <f t="array" ref="AT58">_xlfn.XLOOKUP(Matrix[[#This Row],[TEAM]]&amp;Matrix[[#Headers],[34]],FDR[FDR]&amp;FDR[[#Headers],[34]],FDR[34],"",0,1)</f>
        <v>1</v>
      </c>
      <c r="AU58" cm="1">
        <f t="array" ref="AU58">_xlfn.XLOOKUP(Matrix[[#This Row],[TEAM]]&amp;Matrix[[#Headers],[35]],FDR[FDR]&amp;FDR[[#Headers],[35]],FDR[35],"",0,1)</f>
        <v>3</v>
      </c>
      <c r="AV58" cm="1">
        <f t="array" ref="AV58">_xlfn.XLOOKUP(Matrix[[#This Row],[TEAM]]&amp;Matrix[[#Headers],[36]],FDR[FDR]&amp;FDR[[#Headers],[36]],FDR[36],"",0,1)</f>
        <v>1</v>
      </c>
      <c r="AW58" cm="1">
        <f t="array" ref="AW58">_xlfn.XLOOKUP(Matrix[[#This Row],[TEAM]]&amp;Matrix[[#Headers],[37]],FDR[FDR]&amp;FDR[[#Headers],[37]],FDR[37],"",0,1)</f>
        <v>1</v>
      </c>
      <c r="AX58" cm="1">
        <f t="array" ref="AX58">_xlfn.XLOOKUP(Matrix[[#This Row],[TEAM]]&amp;Matrix[[#Headers],[38]],FDR[FDR]&amp;FDR[[#Headers],[38]],FDR[38],"",0,1)</f>
        <v>2</v>
      </c>
    </row>
    <row r="59" spans="1:50" ht="22" thickTop="1" thickBot="1">
      <c r="A59" s="50" t="str">
        <f>INDEX!S$4</f>
        <v>MID</v>
      </c>
      <c r="B59" s="70" t="s">
        <v>1340</v>
      </c>
      <c r="C59" s="40" t="s">
        <v>19</v>
      </c>
      <c r="D59" s="62">
        <v>42</v>
      </c>
      <c r="E59" s="60">
        <v>2E-3</v>
      </c>
      <c r="F59" s="61">
        <v>62.3</v>
      </c>
      <c r="G59" s="63">
        <v>6.4</v>
      </c>
      <c r="H59" s="261">
        <f>IF(ISBLANK(I59),0,1)</f>
        <v>0</v>
      </c>
      <c r="I59" s="57"/>
      <c r="J59" s="58"/>
      <c r="K59" s="59" t="s">
        <v>739</v>
      </c>
      <c r="L59" s="59" t="s">
        <v>740</v>
      </c>
      <c r="M59" cm="1">
        <f t="array" ref="M59">_xlfn.XLOOKUP(Matrix[[#This Row],[TEAM]]&amp;Matrix[[#Headers],[1]],FDR[FDR]&amp;FDR[[#Headers],[1]],FDR[1],"",0,1)</f>
        <v>1</v>
      </c>
      <c r="N59" cm="1">
        <f t="array" ref="N59">_xlfn.XLOOKUP(Matrix[[#This Row],[TEAM]]&amp;Matrix[[#Headers],[2]],FDR[FDR]&amp;FDR[[#Headers],[2]],FDR[2],"",0,1)</f>
        <v>4</v>
      </c>
      <c r="O59" cm="1">
        <f t="array" ref="O59">_xlfn.XLOOKUP(Matrix[[#This Row],[TEAM]]&amp;Matrix[[#Headers],[3]],FDR[FDR]&amp;FDR[[#Headers],[3]],FDR[3],"",0,1)</f>
        <v>1</v>
      </c>
      <c r="P59" cm="1">
        <f t="array" ref="P59">_xlfn.XLOOKUP(Matrix[[#This Row],[TEAM]]&amp;Matrix[[#Headers],[4]],FDR[FDR]&amp;FDR[[#Headers],[4]],FDR[4],"",0,1)</f>
        <v>2</v>
      </c>
      <c r="Q59" cm="1">
        <f t="array" ref="Q59">_xlfn.XLOOKUP(Matrix[[#This Row],[TEAM]]&amp;Matrix[[#Headers],[5]],FDR[FDR]&amp;FDR[[#Headers],[5]],FDR[5],"",0,1)</f>
        <v>2</v>
      </c>
      <c r="R59" cm="1">
        <f t="array" ref="R59">_xlfn.XLOOKUP(Matrix[[#This Row],[TEAM]]&amp;Matrix[[#Headers],[6]],FDR[FDR]&amp;FDR[[#Headers],[6]],FDR[6],"",0,1)</f>
        <v>1</v>
      </c>
      <c r="S59" cm="1">
        <f t="array" ref="S59">_xlfn.XLOOKUP(Matrix[[#This Row],[TEAM]]&amp;Matrix[[#Headers],[7]],FDR[FDR]&amp;FDR[[#Headers],[7]],FDR[7],"",0,1)</f>
        <v>1</v>
      </c>
      <c r="T59" cm="1">
        <f t="array" ref="T59">_xlfn.XLOOKUP(Matrix[[#This Row],[TEAM]]&amp;Matrix[[#Headers],[8]],FDR[FDR]&amp;FDR[[#Headers],[8]],FDR[8],"",0,1)</f>
        <v>2</v>
      </c>
      <c r="U59" cm="1">
        <f t="array" ref="U59">_xlfn.XLOOKUP(Matrix[[#This Row],[TEAM]]&amp;Matrix[[#Headers],[9]],FDR[FDR]&amp;FDR[[#Headers],[9]],FDR[9],"",0,1)</f>
        <v>2</v>
      </c>
      <c r="V59" cm="1">
        <f t="array" ref="V59">_xlfn.XLOOKUP(Matrix[[#This Row],[TEAM]]&amp;Matrix[[#Headers],[10]],FDR[FDR]&amp;FDR[[#Headers],[10]],FDR[10],"",0,1)</f>
        <v>3</v>
      </c>
      <c r="W59" cm="1">
        <f t="array" ref="W59">_xlfn.XLOOKUP(Matrix[[#This Row],[TEAM]]&amp;Matrix[[#Headers],[11]],FDR[FDR]&amp;FDR[[#Headers],[11]],FDR[11],"",0,1)</f>
        <v>3</v>
      </c>
      <c r="X59" cm="1">
        <f t="array" ref="X59">_xlfn.XLOOKUP(Matrix[[#This Row],[TEAM]]&amp;Matrix[[#Headers],[12]],FDR[FDR]&amp;FDR[[#Headers],[12]],FDR[12],"",0,1)</f>
        <v>4</v>
      </c>
      <c r="Y59" cm="1">
        <f t="array" ref="Y59">_xlfn.XLOOKUP(Matrix[[#This Row],[TEAM]]&amp;Matrix[[#Headers],[13]],FDR[FDR]&amp;FDR[[#Headers],[13]],FDR[13],"",0,1)</f>
        <v>1</v>
      </c>
      <c r="Z59" cm="1">
        <f t="array" ref="Z59">_xlfn.XLOOKUP(Matrix[[#This Row],[TEAM]]&amp;Matrix[[#Headers],[14]],FDR[FDR]&amp;FDR[[#Headers],[14]],FDR[14],"",0,1)</f>
        <v>3</v>
      </c>
      <c r="AA59" cm="1">
        <f t="array" ref="AA59">_xlfn.XLOOKUP(Matrix[[#This Row],[TEAM]]&amp;Matrix[[#Headers],[15]],FDR[FDR]&amp;FDR[[#Headers],[15]],FDR[15],"",0,1)</f>
        <v>1</v>
      </c>
      <c r="AB59" cm="1">
        <f t="array" ref="AB59">_xlfn.XLOOKUP(Matrix[[#This Row],[TEAM]]&amp;Matrix[[#Headers],[16]],FDR[FDR]&amp;FDR[[#Headers],[16]],FDR[16],"",0,1)</f>
        <v>2</v>
      </c>
      <c r="AC59" cm="1">
        <f t="array" ref="AC59">_xlfn.XLOOKUP(Matrix[[#This Row],[TEAM]]&amp;Matrix[[#Headers],[17]],FDR[FDR]&amp;FDR[[#Headers],[17]],FDR[17],"",0,1)</f>
        <v>3</v>
      </c>
      <c r="AD59" cm="1">
        <f t="array" ref="AD59">_xlfn.XLOOKUP(Matrix[[#This Row],[TEAM]]&amp;Matrix[[#Headers],[18]],FDR[FDR]&amp;FDR[[#Headers],[18]],FDR[18],"",0,1)</f>
        <v>2</v>
      </c>
      <c r="AE59" cm="1">
        <f t="array" ref="AE59">_xlfn.XLOOKUP(Matrix[[#This Row],[TEAM]]&amp;Matrix[[#Headers],[19]],FDR[FDR]&amp;FDR[[#Headers],[19]],FDR[19],"",0,1)</f>
        <v>2</v>
      </c>
      <c r="AF59" cm="1">
        <f t="array" ref="AF59">_xlfn.XLOOKUP(Matrix[[#This Row],[TEAM]]&amp;Matrix[[#Headers],[20]],FDR[FDR]&amp;FDR[[#Headers],[20]],FDR[20],"",0,1)</f>
        <v>1</v>
      </c>
      <c r="AG59" cm="1">
        <f t="array" ref="AG59">_xlfn.XLOOKUP(Matrix[[#This Row],[TEAM]]&amp;Matrix[[#Headers],[21]],FDR[FDR]&amp;FDR[[#Headers],[21]],FDR[21],"",0,1)</f>
        <v>2</v>
      </c>
      <c r="AH59" cm="1">
        <f t="array" ref="AH59">_xlfn.XLOOKUP(Matrix[[#This Row],[TEAM]]&amp;Matrix[[#Headers],[22]],FDR[FDR]&amp;FDR[[#Headers],[22]],FDR[22],"",0,1)</f>
        <v>1</v>
      </c>
      <c r="AI59" cm="1">
        <f t="array" ref="AI59">_xlfn.XLOOKUP(Matrix[[#This Row],[TEAM]]&amp;Matrix[[#Headers],[23]],FDR[FDR]&amp;FDR[[#Headers],[23]],FDR[23],"",0,1)</f>
        <v>1</v>
      </c>
      <c r="AJ59" cm="1">
        <f t="array" ref="AJ59">_xlfn.XLOOKUP(Matrix[[#This Row],[TEAM]]&amp;Matrix[[#Headers],[24]],FDR[FDR]&amp;FDR[[#Headers],[24]],FDR[24],"",0,1)</f>
        <v>3</v>
      </c>
      <c r="AK59" cm="1">
        <f t="array" ref="AK59">_xlfn.XLOOKUP(Matrix[[#This Row],[TEAM]]&amp;Matrix[[#Headers],[25]],FDR[FDR]&amp;FDR[[#Headers],[25]],FDR[25],"",0,1)</f>
        <v>4</v>
      </c>
      <c r="AL59" cm="1">
        <f t="array" ref="AL59">_xlfn.XLOOKUP(Matrix[[#This Row],[TEAM]]&amp;Matrix[[#Headers],[26]],FDR[FDR]&amp;FDR[[#Headers],[26]],FDR[26],"",0,1)</f>
        <v>2</v>
      </c>
      <c r="AM59" cm="1">
        <f t="array" ref="AM59">_xlfn.XLOOKUP(Matrix[[#This Row],[TEAM]]&amp;Matrix[[#Headers],[27]],FDR[FDR]&amp;FDR[[#Headers],[27]],FDR[27],"",0,1)</f>
        <v>3</v>
      </c>
      <c r="AN59" cm="1">
        <f t="array" ref="AN59">_xlfn.XLOOKUP(Matrix[[#This Row],[TEAM]]&amp;Matrix[[#Headers],[28]],FDR[FDR]&amp;FDR[[#Headers],[28]],FDR[28],"",0,1)</f>
        <v>2</v>
      </c>
      <c r="AO59" cm="1">
        <f t="array" ref="AO59">_xlfn.XLOOKUP(Matrix[[#This Row],[TEAM]]&amp;Matrix[[#Headers],[29]],FDR[FDR]&amp;FDR[[#Headers],[29]],FDR[29],"",0,1)</f>
        <v>1</v>
      </c>
      <c r="AP59" cm="1">
        <f t="array" ref="AP59">_xlfn.XLOOKUP(Matrix[[#This Row],[TEAM]]&amp;Matrix[[#Headers],[30]],FDR[FDR]&amp;FDR[[#Headers],[30]],FDR[30],"",0,1)</f>
        <v>4</v>
      </c>
      <c r="AQ59" cm="1">
        <f t="array" ref="AQ59">_xlfn.XLOOKUP(Matrix[[#This Row],[TEAM]]&amp;Matrix[[#Headers],[31]],FDR[FDR]&amp;FDR[[#Headers],[31]],FDR[31],"",0,1)</f>
        <v>1</v>
      </c>
      <c r="AR59" cm="1">
        <f t="array" ref="AR59">_xlfn.XLOOKUP(Matrix[[#This Row],[TEAM]]&amp;Matrix[[#Headers],[32]],FDR[FDR]&amp;FDR[[#Headers],[32]],FDR[32],"",0,1)</f>
        <v>1</v>
      </c>
      <c r="AS59" cm="1">
        <f t="array" ref="AS59">_xlfn.XLOOKUP(Matrix[[#This Row],[TEAM]]&amp;Matrix[[#Headers],[33]],FDR[FDR]&amp;FDR[[#Headers],[33]],FDR[33],"",0,1)</f>
        <v>1</v>
      </c>
      <c r="AT59" cm="1">
        <f t="array" ref="AT59">_xlfn.XLOOKUP(Matrix[[#This Row],[TEAM]]&amp;Matrix[[#Headers],[34]],FDR[FDR]&amp;FDR[[#Headers],[34]],FDR[34],"",0,1)</f>
        <v>1</v>
      </c>
      <c r="AU59" cm="1">
        <f t="array" ref="AU59">_xlfn.XLOOKUP(Matrix[[#This Row],[TEAM]]&amp;Matrix[[#Headers],[35]],FDR[FDR]&amp;FDR[[#Headers],[35]],FDR[35],"",0,1)</f>
        <v>3</v>
      </c>
      <c r="AV59" cm="1">
        <f t="array" ref="AV59">_xlfn.XLOOKUP(Matrix[[#This Row],[TEAM]]&amp;Matrix[[#Headers],[36]],FDR[FDR]&amp;FDR[[#Headers],[36]],FDR[36],"",0,1)</f>
        <v>1</v>
      </c>
      <c r="AW59" cm="1">
        <f t="array" ref="AW59">_xlfn.XLOOKUP(Matrix[[#This Row],[TEAM]]&amp;Matrix[[#Headers],[37]],FDR[FDR]&amp;FDR[[#Headers],[37]],FDR[37],"",0,1)</f>
        <v>4</v>
      </c>
      <c r="AX59" cm="1">
        <f t="array" ref="AX59">_xlfn.XLOOKUP(Matrix[[#This Row],[TEAM]]&amp;Matrix[[#Headers],[38]],FDR[FDR]&amp;FDR[[#Headers],[38]],FDR[38],"",0,1)</f>
        <v>1</v>
      </c>
    </row>
    <row r="60" spans="1:50" ht="22" thickTop="1" thickBot="1">
      <c r="A60" s="50" t="str">
        <f>INDEX!S$4</f>
        <v>MID</v>
      </c>
      <c r="B60" s="70" t="s">
        <v>1337</v>
      </c>
      <c r="C60" s="40" t="s">
        <v>18</v>
      </c>
      <c r="D60" s="62">
        <v>0</v>
      </c>
      <c r="E60" s="60">
        <v>3.0000000000000001E-3</v>
      </c>
      <c r="F60" s="61">
        <v>0</v>
      </c>
      <c r="G60" s="63">
        <v>6.4</v>
      </c>
      <c r="H60" s="261">
        <f>IF(ISBLANK(I60),0,1)</f>
        <v>0</v>
      </c>
      <c r="I60" s="57"/>
      <c r="J60" s="58"/>
      <c r="K60" s="59" t="s">
        <v>726</v>
      </c>
      <c r="L60" s="59" t="s">
        <v>727</v>
      </c>
      <c r="M60" cm="1">
        <f t="array" ref="M60">_xlfn.XLOOKUP(Matrix[[#This Row],[TEAM]]&amp;Matrix[[#Headers],[1]],FDR[FDR]&amp;FDR[[#Headers],[1]],FDR[1],"",0,1)</f>
        <v>1</v>
      </c>
      <c r="N60" cm="1">
        <f t="array" ref="N60">_xlfn.XLOOKUP(Matrix[[#This Row],[TEAM]]&amp;Matrix[[#Headers],[2]],FDR[FDR]&amp;FDR[[#Headers],[2]],FDR[2],"",0,1)</f>
        <v>2</v>
      </c>
      <c r="O60" cm="1">
        <f t="array" ref="O60">_xlfn.XLOOKUP(Matrix[[#This Row],[TEAM]]&amp;Matrix[[#Headers],[3]],FDR[FDR]&amp;FDR[[#Headers],[3]],FDR[3],"",0,1)</f>
        <v>1</v>
      </c>
      <c r="P60" cm="1">
        <f t="array" ref="P60">_xlfn.XLOOKUP(Matrix[[#This Row],[TEAM]]&amp;Matrix[[#Headers],[4]],FDR[FDR]&amp;FDR[[#Headers],[4]],FDR[4],"",0,1)</f>
        <v>2</v>
      </c>
      <c r="Q60" cm="1">
        <f t="array" ref="Q60">_xlfn.XLOOKUP(Matrix[[#This Row],[TEAM]]&amp;Matrix[[#Headers],[5]],FDR[FDR]&amp;FDR[[#Headers],[5]],FDR[5],"",0,1)</f>
        <v>3</v>
      </c>
      <c r="R60" cm="1">
        <f t="array" ref="R60">_xlfn.XLOOKUP(Matrix[[#This Row],[TEAM]]&amp;Matrix[[#Headers],[6]],FDR[FDR]&amp;FDR[[#Headers],[6]],FDR[6],"",0,1)</f>
        <v>1</v>
      </c>
      <c r="S60" cm="1">
        <f t="array" ref="S60">_xlfn.XLOOKUP(Matrix[[#This Row],[TEAM]]&amp;Matrix[[#Headers],[7]],FDR[FDR]&amp;FDR[[#Headers],[7]],FDR[7],"",0,1)</f>
        <v>3</v>
      </c>
      <c r="T60" cm="1">
        <f t="array" ref="T60">_xlfn.XLOOKUP(Matrix[[#This Row],[TEAM]]&amp;Matrix[[#Headers],[8]],FDR[FDR]&amp;FDR[[#Headers],[8]],FDR[8],"",0,1)</f>
        <v>2</v>
      </c>
      <c r="U60" cm="1">
        <f t="array" ref="U60">_xlfn.XLOOKUP(Matrix[[#This Row],[TEAM]]&amp;Matrix[[#Headers],[9]],FDR[FDR]&amp;FDR[[#Headers],[9]],FDR[9],"",0,1)</f>
        <v>1</v>
      </c>
      <c r="V60" cm="1">
        <f t="array" ref="V60">_xlfn.XLOOKUP(Matrix[[#This Row],[TEAM]]&amp;Matrix[[#Headers],[10]],FDR[FDR]&amp;FDR[[#Headers],[10]],FDR[10],"",0,1)</f>
        <v>3</v>
      </c>
      <c r="W60" cm="1">
        <f t="array" ref="W60">_xlfn.XLOOKUP(Matrix[[#This Row],[TEAM]]&amp;Matrix[[#Headers],[11]],FDR[FDR]&amp;FDR[[#Headers],[11]],FDR[11],"",0,1)</f>
        <v>1</v>
      </c>
      <c r="X60" cm="1">
        <f t="array" ref="X60">_xlfn.XLOOKUP(Matrix[[#This Row],[TEAM]]&amp;Matrix[[#Headers],[12]],FDR[FDR]&amp;FDR[[#Headers],[12]],FDR[12],"",0,1)</f>
        <v>1</v>
      </c>
      <c r="Y60" cm="1">
        <f t="array" ref="Y60">_xlfn.XLOOKUP(Matrix[[#This Row],[TEAM]]&amp;Matrix[[#Headers],[13]],FDR[FDR]&amp;FDR[[#Headers],[13]],FDR[13],"",0,1)</f>
        <v>3</v>
      </c>
      <c r="Z60" cm="1">
        <f t="array" ref="Z60">_xlfn.XLOOKUP(Matrix[[#This Row],[TEAM]]&amp;Matrix[[#Headers],[14]],FDR[FDR]&amp;FDR[[#Headers],[14]],FDR[14],"",0,1)</f>
        <v>1</v>
      </c>
      <c r="AA60" cm="1">
        <f t="array" ref="AA60">_xlfn.XLOOKUP(Matrix[[#This Row],[TEAM]]&amp;Matrix[[#Headers],[15]],FDR[FDR]&amp;FDR[[#Headers],[15]],FDR[15],"",0,1)</f>
        <v>2</v>
      </c>
      <c r="AB60" cm="1">
        <f t="array" ref="AB60">_xlfn.XLOOKUP(Matrix[[#This Row],[TEAM]]&amp;Matrix[[#Headers],[16]],FDR[FDR]&amp;FDR[[#Headers],[16]],FDR[16],"",0,1)</f>
        <v>1</v>
      </c>
      <c r="AC60" cm="1">
        <f t="array" ref="AC60">_xlfn.XLOOKUP(Matrix[[#This Row],[TEAM]]&amp;Matrix[[#Headers],[17]],FDR[FDR]&amp;FDR[[#Headers],[17]],FDR[17],"",0,1)</f>
        <v>3</v>
      </c>
      <c r="AD60" cm="1">
        <f t="array" ref="AD60">_xlfn.XLOOKUP(Matrix[[#This Row],[TEAM]]&amp;Matrix[[#Headers],[18]],FDR[FDR]&amp;FDR[[#Headers],[18]],FDR[18],"",0,1)</f>
        <v>2</v>
      </c>
      <c r="AE60" cm="1">
        <f t="array" ref="AE60">_xlfn.XLOOKUP(Matrix[[#This Row],[TEAM]]&amp;Matrix[[#Headers],[19]],FDR[FDR]&amp;FDR[[#Headers],[19]],FDR[19],"",0,1)</f>
        <v>1</v>
      </c>
      <c r="AF60" cm="1">
        <f t="array" ref="AF60">_xlfn.XLOOKUP(Matrix[[#This Row],[TEAM]]&amp;Matrix[[#Headers],[20]],FDR[FDR]&amp;FDR[[#Headers],[20]],FDR[20],"",0,1)</f>
        <v>4</v>
      </c>
      <c r="AG60" cm="1">
        <f t="array" ref="AG60">_xlfn.XLOOKUP(Matrix[[#This Row],[TEAM]]&amp;Matrix[[#Headers],[21]],FDR[FDR]&amp;FDR[[#Headers],[21]],FDR[21],"",0,1)</f>
        <v>2</v>
      </c>
      <c r="AH60" cm="1">
        <f t="array" ref="AH60">_xlfn.XLOOKUP(Matrix[[#This Row],[TEAM]]&amp;Matrix[[#Headers],[22]],FDR[FDR]&amp;FDR[[#Headers],[22]],FDR[22],"",0,1)</f>
        <v>1</v>
      </c>
      <c r="AI60" cm="1">
        <f t="array" ref="AI60">_xlfn.XLOOKUP(Matrix[[#This Row],[TEAM]]&amp;Matrix[[#Headers],[23]],FDR[FDR]&amp;FDR[[#Headers],[23]],FDR[23],"",0,1)</f>
        <v>2</v>
      </c>
      <c r="AJ60" cm="1">
        <f t="array" ref="AJ60">_xlfn.XLOOKUP(Matrix[[#This Row],[TEAM]]&amp;Matrix[[#Headers],[24]],FDR[FDR]&amp;FDR[[#Headers],[24]],FDR[24],"",0,1)</f>
        <v>1</v>
      </c>
      <c r="AK60" cm="1">
        <f t="array" ref="AK60">_xlfn.XLOOKUP(Matrix[[#This Row],[TEAM]]&amp;Matrix[[#Headers],[25]],FDR[FDR]&amp;FDR[[#Headers],[25]],FDR[25],"",0,1)</f>
        <v>1</v>
      </c>
      <c r="AL60" cm="1">
        <f t="array" ref="AL60">_xlfn.XLOOKUP(Matrix[[#This Row],[TEAM]]&amp;Matrix[[#Headers],[26]],FDR[FDR]&amp;FDR[[#Headers],[26]],FDR[26],"",0,1)</f>
        <v>1</v>
      </c>
      <c r="AM60" cm="1">
        <f t="array" ref="AM60">_xlfn.XLOOKUP(Matrix[[#This Row],[TEAM]]&amp;Matrix[[#Headers],[27]],FDR[FDR]&amp;FDR[[#Headers],[27]],FDR[27],"",0,1)</f>
        <v>1</v>
      </c>
      <c r="AN60" cm="1">
        <f t="array" ref="AN60">_xlfn.XLOOKUP(Matrix[[#This Row],[TEAM]]&amp;Matrix[[#Headers],[28]],FDR[FDR]&amp;FDR[[#Headers],[28]],FDR[28],"",0,1)</f>
        <v>4</v>
      </c>
      <c r="AO60" cm="1">
        <f t="array" ref="AO60">_xlfn.XLOOKUP(Matrix[[#This Row],[TEAM]]&amp;Matrix[[#Headers],[29]],FDR[FDR]&amp;FDR[[#Headers],[29]],FDR[29],"",0,1)</f>
        <v>3</v>
      </c>
      <c r="AP60" cm="1">
        <f t="array" ref="AP60">_xlfn.XLOOKUP(Matrix[[#This Row],[TEAM]]&amp;Matrix[[#Headers],[30]],FDR[FDR]&amp;FDR[[#Headers],[30]],FDR[30],"",0,1)</f>
        <v>2</v>
      </c>
      <c r="AQ60" cm="1">
        <f t="array" ref="AQ60">_xlfn.XLOOKUP(Matrix[[#This Row],[TEAM]]&amp;Matrix[[#Headers],[31]],FDR[FDR]&amp;FDR[[#Headers],[31]],FDR[31],"",0,1)</f>
        <v>2</v>
      </c>
      <c r="AR60" cm="1">
        <f t="array" ref="AR60">_xlfn.XLOOKUP(Matrix[[#This Row],[TEAM]]&amp;Matrix[[#Headers],[32]],FDR[FDR]&amp;FDR[[#Headers],[32]],FDR[32],"",0,1)</f>
        <v>3</v>
      </c>
      <c r="AS60" cm="1">
        <f t="array" ref="AS60">_xlfn.XLOOKUP(Matrix[[#This Row],[TEAM]]&amp;Matrix[[#Headers],[33]],FDR[FDR]&amp;FDR[[#Headers],[33]],FDR[33],"",0,1)</f>
        <v>2</v>
      </c>
      <c r="AT60" cm="1">
        <f t="array" ref="AT60">_xlfn.XLOOKUP(Matrix[[#This Row],[TEAM]]&amp;Matrix[[#Headers],[34]],FDR[FDR]&amp;FDR[[#Headers],[34]],FDR[34],"",0,1)</f>
        <v>2</v>
      </c>
      <c r="AU60" cm="1">
        <f t="array" ref="AU60">_xlfn.XLOOKUP(Matrix[[#This Row],[TEAM]]&amp;Matrix[[#Headers],[35]],FDR[FDR]&amp;FDR[[#Headers],[35]],FDR[35],"",0,1)</f>
        <v>1</v>
      </c>
      <c r="AV60" cm="1">
        <f t="array" ref="AV60">_xlfn.XLOOKUP(Matrix[[#This Row],[TEAM]]&amp;Matrix[[#Headers],[36]],FDR[FDR]&amp;FDR[[#Headers],[36]],FDR[36],"",0,1)</f>
        <v>4</v>
      </c>
      <c r="AW60" cm="1">
        <f t="array" ref="AW60">_xlfn.XLOOKUP(Matrix[[#This Row],[TEAM]]&amp;Matrix[[#Headers],[37]],FDR[FDR]&amp;FDR[[#Headers],[37]],FDR[37],"",0,1)</f>
        <v>2</v>
      </c>
      <c r="AX60" cm="1">
        <f t="array" ref="AX60">_xlfn.XLOOKUP(Matrix[[#This Row],[TEAM]]&amp;Matrix[[#Headers],[38]],FDR[FDR]&amp;FDR[[#Headers],[38]],FDR[38],"",0,1)</f>
        <v>1</v>
      </c>
    </row>
    <row r="61" spans="1:50" ht="22" thickTop="1" thickBot="1">
      <c r="A61" s="49" t="str">
        <f>INDEX!S$5</f>
        <v>FWD</v>
      </c>
      <c r="B61" s="70" t="s">
        <v>1320</v>
      </c>
      <c r="C61" s="40" t="s">
        <v>18</v>
      </c>
      <c r="D61" s="62">
        <v>132</v>
      </c>
      <c r="E61" s="60">
        <v>4.5999999999999999E-2</v>
      </c>
      <c r="F61" s="61">
        <v>157.5</v>
      </c>
      <c r="G61" s="63">
        <v>6.4</v>
      </c>
      <c r="H61" s="261">
        <f>IF(ISBLANK(I61),0,1)</f>
        <v>0</v>
      </c>
      <c r="I61" s="57"/>
      <c r="J61" s="58"/>
      <c r="K61" s="64" t="s">
        <v>728</v>
      </c>
      <c r="L61" s="64" t="s">
        <v>729</v>
      </c>
      <c r="M61" cm="1">
        <f t="array" ref="M61">_xlfn.XLOOKUP(Matrix[[#This Row],[TEAM]]&amp;Matrix[[#Headers],[1]],FDR[FDR]&amp;FDR[[#Headers],[1]],FDR[1],"",0,1)</f>
        <v>1</v>
      </c>
      <c r="N61" cm="1">
        <f t="array" ref="N61">_xlfn.XLOOKUP(Matrix[[#This Row],[TEAM]]&amp;Matrix[[#Headers],[2]],FDR[FDR]&amp;FDR[[#Headers],[2]],FDR[2],"",0,1)</f>
        <v>2</v>
      </c>
      <c r="O61" cm="1">
        <f t="array" ref="O61">_xlfn.XLOOKUP(Matrix[[#This Row],[TEAM]]&amp;Matrix[[#Headers],[3]],FDR[FDR]&amp;FDR[[#Headers],[3]],FDR[3],"",0,1)</f>
        <v>1</v>
      </c>
      <c r="P61" cm="1">
        <f t="array" ref="P61">_xlfn.XLOOKUP(Matrix[[#This Row],[TEAM]]&amp;Matrix[[#Headers],[4]],FDR[FDR]&amp;FDR[[#Headers],[4]],FDR[4],"",0,1)</f>
        <v>2</v>
      </c>
      <c r="Q61" cm="1">
        <f t="array" ref="Q61">_xlfn.XLOOKUP(Matrix[[#This Row],[TEAM]]&amp;Matrix[[#Headers],[5]],FDR[FDR]&amp;FDR[[#Headers],[5]],FDR[5],"",0,1)</f>
        <v>3</v>
      </c>
      <c r="R61" cm="1">
        <f t="array" ref="R61">_xlfn.XLOOKUP(Matrix[[#This Row],[TEAM]]&amp;Matrix[[#Headers],[6]],FDR[FDR]&amp;FDR[[#Headers],[6]],FDR[6],"",0,1)</f>
        <v>1</v>
      </c>
      <c r="S61" cm="1">
        <f t="array" ref="S61">_xlfn.XLOOKUP(Matrix[[#This Row],[TEAM]]&amp;Matrix[[#Headers],[7]],FDR[FDR]&amp;FDR[[#Headers],[7]],FDR[7],"",0,1)</f>
        <v>3</v>
      </c>
      <c r="T61" cm="1">
        <f t="array" ref="T61">_xlfn.XLOOKUP(Matrix[[#This Row],[TEAM]]&amp;Matrix[[#Headers],[8]],FDR[FDR]&amp;FDR[[#Headers],[8]],FDR[8],"",0,1)</f>
        <v>2</v>
      </c>
      <c r="U61" cm="1">
        <f t="array" ref="U61">_xlfn.XLOOKUP(Matrix[[#This Row],[TEAM]]&amp;Matrix[[#Headers],[9]],FDR[FDR]&amp;FDR[[#Headers],[9]],FDR[9],"",0,1)</f>
        <v>1</v>
      </c>
      <c r="V61" cm="1">
        <f t="array" ref="V61">_xlfn.XLOOKUP(Matrix[[#This Row],[TEAM]]&amp;Matrix[[#Headers],[10]],FDR[FDR]&amp;FDR[[#Headers],[10]],FDR[10],"",0,1)</f>
        <v>3</v>
      </c>
      <c r="W61" cm="1">
        <f t="array" ref="W61">_xlfn.XLOOKUP(Matrix[[#This Row],[TEAM]]&amp;Matrix[[#Headers],[11]],FDR[FDR]&amp;FDR[[#Headers],[11]],FDR[11],"",0,1)</f>
        <v>1</v>
      </c>
      <c r="X61" cm="1">
        <f t="array" ref="X61">_xlfn.XLOOKUP(Matrix[[#This Row],[TEAM]]&amp;Matrix[[#Headers],[12]],FDR[FDR]&amp;FDR[[#Headers],[12]],FDR[12],"",0,1)</f>
        <v>1</v>
      </c>
      <c r="Y61" cm="1">
        <f t="array" ref="Y61">_xlfn.XLOOKUP(Matrix[[#This Row],[TEAM]]&amp;Matrix[[#Headers],[13]],FDR[FDR]&amp;FDR[[#Headers],[13]],FDR[13],"",0,1)</f>
        <v>3</v>
      </c>
      <c r="Z61" cm="1">
        <f t="array" ref="Z61">_xlfn.XLOOKUP(Matrix[[#This Row],[TEAM]]&amp;Matrix[[#Headers],[14]],FDR[FDR]&amp;FDR[[#Headers],[14]],FDR[14],"",0,1)</f>
        <v>1</v>
      </c>
      <c r="AA61" cm="1">
        <f t="array" ref="AA61">_xlfn.XLOOKUP(Matrix[[#This Row],[TEAM]]&amp;Matrix[[#Headers],[15]],FDR[FDR]&amp;FDR[[#Headers],[15]],FDR[15],"",0,1)</f>
        <v>2</v>
      </c>
      <c r="AB61" cm="1">
        <f t="array" ref="AB61">_xlfn.XLOOKUP(Matrix[[#This Row],[TEAM]]&amp;Matrix[[#Headers],[16]],FDR[FDR]&amp;FDR[[#Headers],[16]],FDR[16],"",0,1)</f>
        <v>1</v>
      </c>
      <c r="AC61" cm="1">
        <f t="array" ref="AC61">_xlfn.XLOOKUP(Matrix[[#This Row],[TEAM]]&amp;Matrix[[#Headers],[17]],FDR[FDR]&amp;FDR[[#Headers],[17]],FDR[17],"",0,1)</f>
        <v>3</v>
      </c>
      <c r="AD61" cm="1">
        <f t="array" ref="AD61">_xlfn.XLOOKUP(Matrix[[#This Row],[TEAM]]&amp;Matrix[[#Headers],[18]],FDR[FDR]&amp;FDR[[#Headers],[18]],FDR[18],"",0,1)</f>
        <v>2</v>
      </c>
      <c r="AE61" cm="1">
        <f t="array" ref="AE61">_xlfn.XLOOKUP(Matrix[[#This Row],[TEAM]]&amp;Matrix[[#Headers],[19]],FDR[FDR]&amp;FDR[[#Headers],[19]],FDR[19],"",0,1)</f>
        <v>1</v>
      </c>
      <c r="AF61" cm="1">
        <f t="array" ref="AF61">_xlfn.XLOOKUP(Matrix[[#This Row],[TEAM]]&amp;Matrix[[#Headers],[20]],FDR[FDR]&amp;FDR[[#Headers],[20]],FDR[20],"",0,1)</f>
        <v>4</v>
      </c>
      <c r="AG61" cm="1">
        <f t="array" ref="AG61">_xlfn.XLOOKUP(Matrix[[#This Row],[TEAM]]&amp;Matrix[[#Headers],[21]],FDR[FDR]&amp;FDR[[#Headers],[21]],FDR[21],"",0,1)</f>
        <v>2</v>
      </c>
      <c r="AH61" cm="1">
        <f t="array" ref="AH61">_xlfn.XLOOKUP(Matrix[[#This Row],[TEAM]]&amp;Matrix[[#Headers],[22]],FDR[FDR]&amp;FDR[[#Headers],[22]],FDR[22],"",0,1)</f>
        <v>1</v>
      </c>
      <c r="AI61" cm="1">
        <f t="array" ref="AI61">_xlfn.XLOOKUP(Matrix[[#This Row],[TEAM]]&amp;Matrix[[#Headers],[23]],FDR[FDR]&amp;FDR[[#Headers],[23]],FDR[23],"",0,1)</f>
        <v>2</v>
      </c>
      <c r="AJ61" cm="1">
        <f t="array" ref="AJ61">_xlfn.XLOOKUP(Matrix[[#This Row],[TEAM]]&amp;Matrix[[#Headers],[24]],FDR[FDR]&amp;FDR[[#Headers],[24]],FDR[24],"",0,1)</f>
        <v>1</v>
      </c>
      <c r="AK61" cm="1">
        <f t="array" ref="AK61">_xlfn.XLOOKUP(Matrix[[#This Row],[TEAM]]&amp;Matrix[[#Headers],[25]],FDR[FDR]&amp;FDR[[#Headers],[25]],FDR[25],"",0,1)</f>
        <v>1</v>
      </c>
      <c r="AL61" cm="1">
        <f t="array" ref="AL61">_xlfn.XLOOKUP(Matrix[[#This Row],[TEAM]]&amp;Matrix[[#Headers],[26]],FDR[FDR]&amp;FDR[[#Headers],[26]],FDR[26],"",0,1)</f>
        <v>1</v>
      </c>
      <c r="AM61" cm="1">
        <f t="array" ref="AM61">_xlfn.XLOOKUP(Matrix[[#This Row],[TEAM]]&amp;Matrix[[#Headers],[27]],FDR[FDR]&amp;FDR[[#Headers],[27]],FDR[27],"",0,1)</f>
        <v>1</v>
      </c>
      <c r="AN61" cm="1">
        <f t="array" ref="AN61">_xlfn.XLOOKUP(Matrix[[#This Row],[TEAM]]&amp;Matrix[[#Headers],[28]],FDR[FDR]&amp;FDR[[#Headers],[28]],FDR[28],"",0,1)</f>
        <v>4</v>
      </c>
      <c r="AO61" cm="1">
        <f t="array" ref="AO61">_xlfn.XLOOKUP(Matrix[[#This Row],[TEAM]]&amp;Matrix[[#Headers],[29]],FDR[FDR]&amp;FDR[[#Headers],[29]],FDR[29],"",0,1)</f>
        <v>3</v>
      </c>
      <c r="AP61" cm="1">
        <f t="array" ref="AP61">_xlfn.XLOOKUP(Matrix[[#This Row],[TEAM]]&amp;Matrix[[#Headers],[30]],FDR[FDR]&amp;FDR[[#Headers],[30]],FDR[30],"",0,1)</f>
        <v>2</v>
      </c>
      <c r="AQ61" cm="1">
        <f t="array" ref="AQ61">_xlfn.XLOOKUP(Matrix[[#This Row],[TEAM]]&amp;Matrix[[#Headers],[31]],FDR[FDR]&amp;FDR[[#Headers],[31]],FDR[31],"",0,1)</f>
        <v>2</v>
      </c>
      <c r="AR61" cm="1">
        <f t="array" ref="AR61">_xlfn.XLOOKUP(Matrix[[#This Row],[TEAM]]&amp;Matrix[[#Headers],[32]],FDR[FDR]&amp;FDR[[#Headers],[32]],FDR[32],"",0,1)</f>
        <v>3</v>
      </c>
      <c r="AS61" cm="1">
        <f t="array" ref="AS61">_xlfn.XLOOKUP(Matrix[[#This Row],[TEAM]]&amp;Matrix[[#Headers],[33]],FDR[FDR]&amp;FDR[[#Headers],[33]],FDR[33],"",0,1)</f>
        <v>2</v>
      </c>
      <c r="AT61" cm="1">
        <f t="array" ref="AT61">_xlfn.XLOOKUP(Matrix[[#This Row],[TEAM]]&amp;Matrix[[#Headers],[34]],FDR[FDR]&amp;FDR[[#Headers],[34]],FDR[34],"",0,1)</f>
        <v>2</v>
      </c>
      <c r="AU61" cm="1">
        <f t="array" ref="AU61">_xlfn.XLOOKUP(Matrix[[#This Row],[TEAM]]&amp;Matrix[[#Headers],[35]],FDR[FDR]&amp;FDR[[#Headers],[35]],FDR[35],"",0,1)</f>
        <v>1</v>
      </c>
      <c r="AV61" cm="1">
        <f t="array" ref="AV61">_xlfn.XLOOKUP(Matrix[[#This Row],[TEAM]]&amp;Matrix[[#Headers],[36]],FDR[FDR]&amp;FDR[[#Headers],[36]],FDR[36],"",0,1)</f>
        <v>4</v>
      </c>
      <c r="AW61" cm="1">
        <f t="array" ref="AW61">_xlfn.XLOOKUP(Matrix[[#This Row],[TEAM]]&amp;Matrix[[#Headers],[37]],FDR[FDR]&amp;FDR[[#Headers],[37]],FDR[37],"",0,1)</f>
        <v>2</v>
      </c>
      <c r="AX61" cm="1">
        <f t="array" ref="AX61">_xlfn.XLOOKUP(Matrix[[#This Row],[TEAM]]&amp;Matrix[[#Headers],[38]],FDR[FDR]&amp;FDR[[#Headers],[38]],FDR[38],"",0,1)</f>
        <v>1</v>
      </c>
    </row>
    <row r="62" spans="1:50" ht="22" thickTop="1" thickBot="1">
      <c r="A62" s="49" t="str">
        <f>INDEX!S$5</f>
        <v>FWD</v>
      </c>
      <c r="B62" s="70" t="s">
        <v>1317</v>
      </c>
      <c r="C62" s="40" t="s">
        <v>33</v>
      </c>
      <c r="D62" s="62">
        <v>125</v>
      </c>
      <c r="E62" s="60">
        <v>6.0999999999999999E-2</v>
      </c>
      <c r="F62" s="61">
        <v>155.80000000000001</v>
      </c>
      <c r="G62" s="63">
        <v>6.4</v>
      </c>
      <c r="H62" s="261">
        <f>IF(ISBLANK(I62),0,1)</f>
        <v>0</v>
      </c>
      <c r="I62" s="57"/>
      <c r="J62" s="58"/>
      <c r="K62" s="64" t="s">
        <v>432</v>
      </c>
      <c r="L62" s="64" t="s">
        <v>281</v>
      </c>
      <c r="M62" cm="1">
        <f t="array" ref="M62">_xlfn.XLOOKUP(Matrix[[#This Row],[TEAM]]&amp;Matrix[[#Headers],[1]],FDR[FDR]&amp;FDR[[#Headers],[1]],FDR[1],"",0,1)</f>
        <v>3</v>
      </c>
      <c r="N62" cm="1">
        <f t="array" ref="N62">_xlfn.XLOOKUP(Matrix[[#This Row],[TEAM]]&amp;Matrix[[#Headers],[2]],FDR[FDR]&amp;FDR[[#Headers],[2]],FDR[2],"",0,1)</f>
        <v>3</v>
      </c>
      <c r="O62" cm="1">
        <f t="array" ref="O62">_xlfn.XLOOKUP(Matrix[[#This Row],[TEAM]]&amp;Matrix[[#Headers],[3]],FDR[FDR]&amp;FDR[[#Headers],[3]],FDR[3],"",0,1)</f>
        <v>4</v>
      </c>
      <c r="P62" cm="1">
        <f t="array" ref="P62">_xlfn.XLOOKUP(Matrix[[#This Row],[TEAM]]&amp;Matrix[[#Headers],[4]],FDR[FDR]&amp;FDR[[#Headers],[4]],FDR[4],"",0,1)</f>
        <v>4</v>
      </c>
      <c r="Q62" cm="1">
        <f t="array" ref="Q62">_xlfn.XLOOKUP(Matrix[[#This Row],[TEAM]]&amp;Matrix[[#Headers],[5]],FDR[FDR]&amp;FDR[[#Headers],[5]],FDR[5],"",0,1)</f>
        <v>4</v>
      </c>
      <c r="R62" cm="1">
        <f t="array" ref="R62">_xlfn.XLOOKUP(Matrix[[#This Row],[TEAM]]&amp;Matrix[[#Headers],[6]],FDR[FDR]&amp;FDR[[#Headers],[6]],FDR[6],"",0,1)</f>
        <v>5</v>
      </c>
      <c r="S62" cm="1">
        <f t="array" ref="S62">_xlfn.XLOOKUP(Matrix[[#This Row],[TEAM]]&amp;Matrix[[#Headers],[7]],FDR[FDR]&amp;FDR[[#Headers],[7]],FDR[7],"",0,1)</f>
        <v>2</v>
      </c>
      <c r="T62" cm="1">
        <f t="array" ref="T62">_xlfn.XLOOKUP(Matrix[[#This Row],[TEAM]]&amp;Matrix[[#Headers],[8]],FDR[FDR]&amp;FDR[[#Headers],[8]],FDR[8],"",0,1)</f>
        <v>4</v>
      </c>
      <c r="U62" cm="1">
        <f t="array" ref="U62">_xlfn.XLOOKUP(Matrix[[#This Row],[TEAM]]&amp;Matrix[[#Headers],[9]],FDR[FDR]&amp;FDR[[#Headers],[9]],FDR[9],"",0,1)</f>
        <v>5</v>
      </c>
      <c r="V62" cm="1">
        <f t="array" ref="V62">_xlfn.XLOOKUP(Matrix[[#This Row],[TEAM]]&amp;Matrix[[#Headers],[10]],FDR[FDR]&amp;FDR[[#Headers],[10]],FDR[10],"",0,1)</f>
        <v>1</v>
      </c>
      <c r="W62" cm="1">
        <f t="array" ref="W62">_xlfn.XLOOKUP(Matrix[[#This Row],[TEAM]]&amp;Matrix[[#Headers],[11]],FDR[FDR]&amp;FDR[[#Headers],[11]],FDR[11],"",0,1)</f>
        <v>3</v>
      </c>
      <c r="X62" cm="1">
        <f t="array" ref="X62">_xlfn.XLOOKUP(Matrix[[#This Row],[TEAM]]&amp;Matrix[[#Headers],[12]],FDR[FDR]&amp;FDR[[#Headers],[12]],FDR[12],"",0,1)</f>
        <v>2</v>
      </c>
      <c r="Y62" cm="1">
        <f t="array" ref="Y62">_xlfn.XLOOKUP(Matrix[[#This Row],[TEAM]]&amp;Matrix[[#Headers],[13]],FDR[FDR]&amp;FDR[[#Headers],[13]],FDR[13],"",0,1)</f>
        <v>4</v>
      </c>
      <c r="Z62" cm="1">
        <f t="array" ref="Z62">_xlfn.XLOOKUP(Matrix[[#This Row],[TEAM]]&amp;Matrix[[#Headers],[14]],FDR[FDR]&amp;FDR[[#Headers],[14]],FDR[14],"",0,1)</f>
        <v>3</v>
      </c>
      <c r="AA62" cm="1">
        <f t="array" ref="AA62">_xlfn.XLOOKUP(Matrix[[#This Row],[TEAM]]&amp;Matrix[[#Headers],[15]],FDR[FDR]&amp;FDR[[#Headers],[15]],FDR[15],"",0,1)</f>
        <v>2</v>
      </c>
      <c r="AB62" cm="1">
        <f t="array" ref="AB62">_xlfn.XLOOKUP(Matrix[[#This Row],[TEAM]]&amp;Matrix[[#Headers],[16]],FDR[FDR]&amp;FDR[[#Headers],[16]],FDR[16],"",0,1)</f>
        <v>5</v>
      </c>
      <c r="AC62" cm="1">
        <f t="array" ref="AC62">_xlfn.XLOOKUP(Matrix[[#This Row],[TEAM]]&amp;Matrix[[#Headers],[17]],FDR[FDR]&amp;FDR[[#Headers],[17]],FDR[17],"",0,1)</f>
        <v>1</v>
      </c>
      <c r="AD62" cm="1">
        <f t="array" ref="AD62">_xlfn.XLOOKUP(Matrix[[#This Row],[TEAM]]&amp;Matrix[[#Headers],[18]],FDR[FDR]&amp;FDR[[#Headers],[18]],FDR[18],"",0,1)</f>
        <v>5</v>
      </c>
      <c r="AE62" cm="1">
        <f t="array" ref="AE62">_xlfn.XLOOKUP(Matrix[[#This Row],[TEAM]]&amp;Matrix[[#Headers],[19]],FDR[FDR]&amp;FDR[[#Headers],[19]],FDR[19],"",0,1)</f>
        <v>3</v>
      </c>
      <c r="AF62" cm="1">
        <f t="array" ref="AF62">_xlfn.XLOOKUP(Matrix[[#This Row],[TEAM]]&amp;Matrix[[#Headers],[20]],FDR[FDR]&amp;FDR[[#Headers],[20]],FDR[20],"",0,1)</f>
        <v>1</v>
      </c>
      <c r="AG62" cm="1">
        <f t="array" ref="AG62">_xlfn.XLOOKUP(Matrix[[#This Row],[TEAM]]&amp;Matrix[[#Headers],[21]],FDR[FDR]&amp;FDR[[#Headers],[21]],FDR[21],"",0,1)</f>
        <v>5</v>
      </c>
      <c r="AH62" cm="1">
        <f t="array" ref="AH62">_xlfn.XLOOKUP(Matrix[[#This Row],[TEAM]]&amp;Matrix[[#Headers],[22]],FDR[FDR]&amp;FDR[[#Headers],[22]],FDR[22],"",0,1)</f>
        <v>3</v>
      </c>
      <c r="AI62" cm="1">
        <f t="array" ref="AI62">_xlfn.XLOOKUP(Matrix[[#This Row],[TEAM]]&amp;Matrix[[#Headers],[23]],FDR[FDR]&amp;FDR[[#Headers],[23]],FDR[23],"",0,1)</f>
        <v>4</v>
      </c>
      <c r="AJ62" cm="1">
        <f t="array" ref="AJ62">_xlfn.XLOOKUP(Matrix[[#This Row],[TEAM]]&amp;Matrix[[#Headers],[24]],FDR[FDR]&amp;FDR[[#Headers],[24]],FDR[24],"",0,1)</f>
        <v>2</v>
      </c>
      <c r="AK62" cm="1">
        <f t="array" ref="AK62">_xlfn.XLOOKUP(Matrix[[#This Row],[TEAM]]&amp;Matrix[[#Headers],[25]],FDR[FDR]&amp;FDR[[#Headers],[25]],FDR[25],"",0,1)</f>
        <v>2</v>
      </c>
      <c r="AL62" cm="1">
        <f t="array" ref="AL62">_xlfn.XLOOKUP(Matrix[[#This Row],[TEAM]]&amp;Matrix[[#Headers],[26]],FDR[FDR]&amp;FDR[[#Headers],[26]],FDR[26],"",0,1)</f>
        <v>5</v>
      </c>
      <c r="AM62" cm="1">
        <f t="array" ref="AM62">_xlfn.XLOOKUP(Matrix[[#This Row],[TEAM]]&amp;Matrix[[#Headers],[27]],FDR[FDR]&amp;FDR[[#Headers],[27]],FDR[27],"",0,1)</f>
        <v>3</v>
      </c>
      <c r="AN62" cm="1">
        <f t="array" ref="AN62">_xlfn.XLOOKUP(Matrix[[#This Row],[TEAM]]&amp;Matrix[[#Headers],[28]],FDR[FDR]&amp;FDR[[#Headers],[28]],FDR[28],"",0,1)</f>
        <v>3</v>
      </c>
      <c r="AO62" cm="1">
        <f t="array" ref="AO62">_xlfn.XLOOKUP(Matrix[[#This Row],[TEAM]]&amp;Matrix[[#Headers],[29]],FDR[FDR]&amp;FDR[[#Headers],[29]],FDR[29],"",0,1)</f>
        <v>4</v>
      </c>
      <c r="AP62" cm="1">
        <f t="array" ref="AP62">_xlfn.XLOOKUP(Matrix[[#This Row],[TEAM]]&amp;Matrix[[#Headers],[30]],FDR[FDR]&amp;FDR[[#Headers],[30]],FDR[30],"",0,1)</f>
        <v>2</v>
      </c>
      <c r="AQ62" cm="1">
        <f t="array" ref="AQ62">_xlfn.XLOOKUP(Matrix[[#This Row],[TEAM]]&amp;Matrix[[#Headers],[31]],FDR[FDR]&amp;FDR[[#Headers],[31]],FDR[31],"",0,1)</f>
        <v>4</v>
      </c>
      <c r="AR62" cm="1">
        <f t="array" ref="AR62">_xlfn.XLOOKUP(Matrix[[#This Row],[TEAM]]&amp;Matrix[[#Headers],[32]],FDR[FDR]&amp;FDR[[#Headers],[32]],FDR[32],"",0,1)</f>
        <v>2</v>
      </c>
      <c r="AS62" cm="1">
        <f t="array" ref="AS62">_xlfn.XLOOKUP(Matrix[[#This Row],[TEAM]]&amp;Matrix[[#Headers],[33]],FDR[FDR]&amp;FDR[[#Headers],[33]],FDR[33],"",0,1)</f>
        <v>5</v>
      </c>
      <c r="AT62" cm="1">
        <f t="array" ref="AT62">_xlfn.XLOOKUP(Matrix[[#This Row],[TEAM]]&amp;Matrix[[#Headers],[34]],FDR[FDR]&amp;FDR[[#Headers],[34]],FDR[34],"",0,1)</f>
        <v>4</v>
      </c>
      <c r="AU62" cm="1">
        <f t="array" ref="AU62">_xlfn.XLOOKUP(Matrix[[#This Row],[TEAM]]&amp;Matrix[[#Headers],[35]],FDR[FDR]&amp;FDR[[#Headers],[35]],FDR[35],"",0,1)</f>
        <v>5</v>
      </c>
      <c r="AV62" cm="1">
        <f t="array" ref="AV62">_xlfn.XLOOKUP(Matrix[[#This Row],[TEAM]]&amp;Matrix[[#Headers],[36]],FDR[FDR]&amp;FDR[[#Headers],[36]],FDR[36],"",0,1)</f>
        <v>1</v>
      </c>
      <c r="AW62" cm="1">
        <f t="array" ref="AW62">_xlfn.XLOOKUP(Matrix[[#This Row],[TEAM]]&amp;Matrix[[#Headers],[37]],FDR[FDR]&amp;FDR[[#Headers],[37]],FDR[37],"",0,1)</f>
        <v>2</v>
      </c>
      <c r="AX62" cm="1">
        <f t="array" ref="AX62">_xlfn.XLOOKUP(Matrix[[#This Row],[TEAM]]&amp;Matrix[[#Headers],[38]],FDR[FDR]&amp;FDR[[#Headers],[38]],FDR[38],"",0,1)</f>
        <v>4</v>
      </c>
    </row>
    <row r="63" spans="1:50" ht="22" thickTop="1" thickBot="1">
      <c r="A63" s="49" t="str">
        <f>INDEX!S$5</f>
        <v>FWD</v>
      </c>
      <c r="B63" s="70" t="s">
        <v>1334</v>
      </c>
      <c r="C63" s="40" t="s">
        <v>30</v>
      </c>
      <c r="D63" s="62">
        <v>78</v>
      </c>
      <c r="E63" s="60">
        <v>8.0000000000000002E-3</v>
      </c>
      <c r="F63" s="61">
        <v>86.3</v>
      </c>
      <c r="G63" s="63">
        <v>6.4</v>
      </c>
      <c r="H63" s="261">
        <f>IF(ISBLANK(I63),0,1)</f>
        <v>0</v>
      </c>
      <c r="I63" s="57"/>
      <c r="J63" s="58"/>
      <c r="K63" s="64" t="s">
        <v>736</v>
      </c>
      <c r="L63" s="64" t="s">
        <v>737</v>
      </c>
      <c r="M63" cm="1">
        <f t="array" ref="M63">_xlfn.XLOOKUP(Matrix[[#This Row],[TEAM]]&amp;Matrix[[#Headers],[1]],FDR[FDR]&amp;FDR[[#Headers],[1]],FDR[1],"",0,1)</f>
        <v>3</v>
      </c>
      <c r="N63" cm="1">
        <f t="array" ref="N63">_xlfn.XLOOKUP(Matrix[[#This Row],[TEAM]]&amp;Matrix[[#Headers],[2]],FDR[FDR]&amp;FDR[[#Headers],[2]],FDR[2],"",0,1)</f>
        <v>2</v>
      </c>
      <c r="O63" cm="1">
        <f t="array" ref="O63">_xlfn.XLOOKUP(Matrix[[#This Row],[TEAM]]&amp;Matrix[[#Headers],[3]],FDR[FDR]&amp;FDR[[#Headers],[3]],FDR[3],"",0,1)</f>
        <v>1</v>
      </c>
      <c r="P63" cm="1">
        <f t="array" ref="P63">_xlfn.XLOOKUP(Matrix[[#This Row],[TEAM]]&amp;Matrix[[#Headers],[4]],FDR[FDR]&amp;FDR[[#Headers],[4]],FDR[4],"",0,1)</f>
        <v>4</v>
      </c>
      <c r="Q63" cm="1">
        <f t="array" ref="Q63">_xlfn.XLOOKUP(Matrix[[#This Row],[TEAM]]&amp;Matrix[[#Headers],[5]],FDR[FDR]&amp;FDR[[#Headers],[5]],FDR[5],"",0,1)</f>
        <v>3</v>
      </c>
      <c r="R63" cm="1">
        <f t="array" ref="R63">_xlfn.XLOOKUP(Matrix[[#This Row],[TEAM]]&amp;Matrix[[#Headers],[6]],FDR[FDR]&amp;FDR[[#Headers],[6]],FDR[6],"",0,1)</f>
        <v>2</v>
      </c>
      <c r="S63" cm="1">
        <f t="array" ref="S63">_xlfn.XLOOKUP(Matrix[[#This Row],[TEAM]]&amp;Matrix[[#Headers],[7]],FDR[FDR]&amp;FDR[[#Headers],[7]],FDR[7],"",0,1)</f>
        <v>1</v>
      </c>
      <c r="T63" cm="1">
        <f t="array" ref="T63">_xlfn.XLOOKUP(Matrix[[#This Row],[TEAM]]&amp;Matrix[[#Headers],[8]],FDR[FDR]&amp;FDR[[#Headers],[8]],FDR[8],"",0,1)</f>
        <v>4</v>
      </c>
      <c r="U63" cm="1">
        <f t="array" ref="U63">_xlfn.XLOOKUP(Matrix[[#This Row],[TEAM]]&amp;Matrix[[#Headers],[9]],FDR[FDR]&amp;FDR[[#Headers],[9]],FDR[9],"",0,1)</f>
        <v>1</v>
      </c>
      <c r="V63" cm="1">
        <f t="array" ref="V63">_xlfn.XLOOKUP(Matrix[[#This Row],[TEAM]]&amp;Matrix[[#Headers],[10]],FDR[FDR]&amp;FDR[[#Headers],[10]],FDR[10],"",0,1)</f>
        <v>2</v>
      </c>
      <c r="W63" cm="1">
        <f t="array" ref="W63">_xlfn.XLOOKUP(Matrix[[#This Row],[TEAM]]&amp;Matrix[[#Headers],[11]],FDR[FDR]&amp;FDR[[#Headers],[11]],FDR[11],"",0,1)</f>
        <v>4</v>
      </c>
      <c r="X63" cm="1">
        <f t="array" ref="X63">_xlfn.XLOOKUP(Matrix[[#This Row],[TEAM]]&amp;Matrix[[#Headers],[12]],FDR[FDR]&amp;FDR[[#Headers],[12]],FDR[12],"",0,1)</f>
        <v>1</v>
      </c>
      <c r="Y63" cm="1">
        <f t="array" ref="Y63">_xlfn.XLOOKUP(Matrix[[#This Row],[TEAM]]&amp;Matrix[[#Headers],[13]],FDR[FDR]&amp;FDR[[#Headers],[13]],FDR[13],"",0,1)</f>
        <v>2</v>
      </c>
      <c r="Z63" cm="1">
        <f t="array" ref="Z63">_xlfn.XLOOKUP(Matrix[[#This Row],[TEAM]]&amp;Matrix[[#Headers],[14]],FDR[FDR]&amp;FDR[[#Headers],[14]],FDR[14],"",0,1)</f>
        <v>1</v>
      </c>
      <c r="AA63" cm="1">
        <f t="array" ref="AA63">_xlfn.XLOOKUP(Matrix[[#This Row],[TEAM]]&amp;Matrix[[#Headers],[15]],FDR[FDR]&amp;FDR[[#Headers],[15]],FDR[15],"",0,1)</f>
        <v>1</v>
      </c>
      <c r="AB63" cm="1">
        <f t="array" ref="AB63">_xlfn.XLOOKUP(Matrix[[#This Row],[TEAM]]&amp;Matrix[[#Headers],[16]],FDR[FDR]&amp;FDR[[#Headers],[16]],FDR[16],"",0,1)</f>
        <v>1</v>
      </c>
      <c r="AC63" cm="1">
        <f t="array" ref="AC63">_xlfn.XLOOKUP(Matrix[[#This Row],[TEAM]]&amp;Matrix[[#Headers],[17]],FDR[FDR]&amp;FDR[[#Headers],[17]],FDR[17],"",0,1)</f>
        <v>3</v>
      </c>
      <c r="AD63" cm="1">
        <f t="array" ref="AD63">_xlfn.XLOOKUP(Matrix[[#This Row],[TEAM]]&amp;Matrix[[#Headers],[18]],FDR[FDR]&amp;FDR[[#Headers],[18]],FDR[18],"",0,1)</f>
        <v>2</v>
      </c>
      <c r="AE63" cm="1">
        <f t="array" ref="AE63">_xlfn.XLOOKUP(Matrix[[#This Row],[TEAM]]&amp;Matrix[[#Headers],[19]],FDR[FDR]&amp;FDR[[#Headers],[19]],FDR[19],"",0,1)</f>
        <v>1</v>
      </c>
      <c r="AF63" cm="1">
        <f t="array" ref="AF63">_xlfn.XLOOKUP(Matrix[[#This Row],[TEAM]]&amp;Matrix[[#Headers],[20]],FDR[FDR]&amp;FDR[[#Headers],[20]],FDR[20],"",0,1)</f>
        <v>1</v>
      </c>
      <c r="AG63" cm="1">
        <f t="array" ref="AG63">_xlfn.XLOOKUP(Matrix[[#This Row],[TEAM]]&amp;Matrix[[#Headers],[21]],FDR[FDR]&amp;FDR[[#Headers],[21]],FDR[21],"",0,1)</f>
        <v>1</v>
      </c>
      <c r="AH63" cm="1">
        <f t="array" ref="AH63">_xlfn.XLOOKUP(Matrix[[#This Row],[TEAM]]&amp;Matrix[[#Headers],[22]],FDR[FDR]&amp;FDR[[#Headers],[22]],FDR[22],"",0,1)</f>
        <v>3</v>
      </c>
      <c r="AI63" cm="1">
        <f t="array" ref="AI63">_xlfn.XLOOKUP(Matrix[[#This Row],[TEAM]]&amp;Matrix[[#Headers],[23]],FDR[FDR]&amp;FDR[[#Headers],[23]],FDR[23],"",0,1)</f>
        <v>4</v>
      </c>
      <c r="AJ63" cm="1">
        <f t="array" ref="AJ63">_xlfn.XLOOKUP(Matrix[[#This Row],[TEAM]]&amp;Matrix[[#Headers],[24]],FDR[FDR]&amp;FDR[[#Headers],[24]],FDR[24],"",0,1)</f>
        <v>1</v>
      </c>
      <c r="AK63" cm="1">
        <f t="array" ref="AK63">_xlfn.XLOOKUP(Matrix[[#This Row],[TEAM]]&amp;Matrix[[#Headers],[25]],FDR[FDR]&amp;FDR[[#Headers],[25]],FDR[25],"",0,1)</f>
        <v>3</v>
      </c>
      <c r="AL63" cm="1">
        <f t="array" ref="AL63">_xlfn.XLOOKUP(Matrix[[#This Row],[TEAM]]&amp;Matrix[[#Headers],[26]],FDR[FDR]&amp;FDR[[#Headers],[26]],FDR[26],"",0,1)</f>
        <v>2</v>
      </c>
      <c r="AM63" cm="1">
        <f t="array" ref="AM63">_xlfn.XLOOKUP(Matrix[[#This Row],[TEAM]]&amp;Matrix[[#Headers],[27]],FDR[FDR]&amp;FDR[[#Headers],[27]],FDR[27],"",0,1)</f>
        <v>2</v>
      </c>
      <c r="AN63" cm="1">
        <f t="array" ref="AN63">_xlfn.XLOOKUP(Matrix[[#This Row],[TEAM]]&amp;Matrix[[#Headers],[28]],FDR[FDR]&amp;FDR[[#Headers],[28]],FDR[28],"",0,1)</f>
        <v>1</v>
      </c>
      <c r="AO63" cm="1">
        <f t="array" ref="AO63">_xlfn.XLOOKUP(Matrix[[#This Row],[TEAM]]&amp;Matrix[[#Headers],[29]],FDR[FDR]&amp;FDR[[#Headers],[29]],FDR[29],"",0,1)</f>
        <v>3</v>
      </c>
      <c r="AP63" cm="1">
        <f t="array" ref="AP63">_xlfn.XLOOKUP(Matrix[[#This Row],[TEAM]]&amp;Matrix[[#Headers],[30]],FDR[FDR]&amp;FDR[[#Headers],[30]],FDR[30],"",0,1)</f>
        <v>2</v>
      </c>
      <c r="AQ63" cm="1">
        <f t="array" ref="AQ63">_xlfn.XLOOKUP(Matrix[[#This Row],[TEAM]]&amp;Matrix[[#Headers],[31]],FDR[FDR]&amp;FDR[[#Headers],[31]],FDR[31],"",0,1)</f>
        <v>2</v>
      </c>
      <c r="AR63" cm="1">
        <f t="array" ref="AR63">_xlfn.XLOOKUP(Matrix[[#This Row],[TEAM]]&amp;Matrix[[#Headers],[32]],FDR[FDR]&amp;FDR[[#Headers],[32]],FDR[32],"",0,1)</f>
        <v>1</v>
      </c>
      <c r="AS63" cm="1">
        <f t="array" ref="AS63">_xlfn.XLOOKUP(Matrix[[#This Row],[TEAM]]&amp;Matrix[[#Headers],[33]],FDR[FDR]&amp;FDR[[#Headers],[33]],FDR[33],"",0,1)</f>
        <v>4</v>
      </c>
      <c r="AT63" cm="1">
        <f t="array" ref="AT63">_xlfn.XLOOKUP(Matrix[[#This Row],[TEAM]]&amp;Matrix[[#Headers],[34]],FDR[FDR]&amp;FDR[[#Headers],[34]],FDR[34],"",0,1)</f>
        <v>1</v>
      </c>
      <c r="AU63" cm="1">
        <f t="array" ref="AU63">_xlfn.XLOOKUP(Matrix[[#This Row],[TEAM]]&amp;Matrix[[#Headers],[35]],FDR[FDR]&amp;FDR[[#Headers],[35]],FDR[35],"",0,1)</f>
        <v>3</v>
      </c>
      <c r="AV63" cm="1">
        <f t="array" ref="AV63">_xlfn.XLOOKUP(Matrix[[#This Row],[TEAM]]&amp;Matrix[[#Headers],[36]],FDR[FDR]&amp;FDR[[#Headers],[36]],FDR[36],"",0,1)</f>
        <v>1</v>
      </c>
      <c r="AW63" cm="1">
        <f t="array" ref="AW63">_xlfn.XLOOKUP(Matrix[[#This Row],[TEAM]]&amp;Matrix[[#Headers],[37]],FDR[FDR]&amp;FDR[[#Headers],[37]],FDR[37],"",0,1)</f>
        <v>1</v>
      </c>
      <c r="AX63" cm="1">
        <f t="array" ref="AX63">_xlfn.XLOOKUP(Matrix[[#This Row],[TEAM]]&amp;Matrix[[#Headers],[38]],FDR[FDR]&amp;FDR[[#Headers],[38]],FDR[38],"",0,1)</f>
        <v>2</v>
      </c>
    </row>
    <row r="64" spans="1:50" ht="22" thickTop="1" thickBot="1">
      <c r="A64" s="51" t="s">
        <v>657</v>
      </c>
      <c r="B64" s="70" t="s">
        <v>1350</v>
      </c>
      <c r="C64" s="40" t="s">
        <v>18</v>
      </c>
      <c r="D64" s="62">
        <v>133</v>
      </c>
      <c r="E64" s="60">
        <v>0.188</v>
      </c>
      <c r="F64" s="61">
        <v>137.9</v>
      </c>
      <c r="G64" s="63">
        <v>6.1</v>
      </c>
      <c r="H64" s="261">
        <f>IF(ISBLANK(I64),0,1)</f>
        <v>0</v>
      </c>
      <c r="I64" s="57"/>
      <c r="J64" s="58"/>
      <c r="K64" s="65" t="s">
        <v>436</v>
      </c>
      <c r="L64" s="65" t="s">
        <v>117</v>
      </c>
      <c r="M64" cm="1">
        <f t="array" ref="M64">_xlfn.XLOOKUP(Matrix[[#This Row],[TEAM]]&amp;Matrix[[#Headers],[1]],FDR[FDR]&amp;FDR[[#Headers],[1]],FDR[1],"",0,1)</f>
        <v>1</v>
      </c>
      <c r="N64" cm="1">
        <f t="array" ref="N64">_xlfn.XLOOKUP(Matrix[[#This Row],[TEAM]]&amp;Matrix[[#Headers],[2]],FDR[FDR]&amp;FDR[[#Headers],[2]],FDR[2],"",0,1)</f>
        <v>2</v>
      </c>
      <c r="O64" cm="1">
        <f t="array" ref="O64">_xlfn.XLOOKUP(Matrix[[#This Row],[TEAM]]&amp;Matrix[[#Headers],[3]],FDR[FDR]&amp;FDR[[#Headers],[3]],FDR[3],"",0,1)</f>
        <v>1</v>
      </c>
      <c r="P64" cm="1">
        <f t="array" ref="P64">_xlfn.XLOOKUP(Matrix[[#This Row],[TEAM]]&amp;Matrix[[#Headers],[4]],FDR[FDR]&amp;FDR[[#Headers],[4]],FDR[4],"",0,1)</f>
        <v>2</v>
      </c>
      <c r="Q64" cm="1">
        <f t="array" ref="Q64">_xlfn.XLOOKUP(Matrix[[#This Row],[TEAM]]&amp;Matrix[[#Headers],[5]],FDR[FDR]&amp;FDR[[#Headers],[5]],FDR[5],"",0,1)</f>
        <v>3</v>
      </c>
      <c r="R64" cm="1">
        <f t="array" ref="R64">_xlfn.XLOOKUP(Matrix[[#This Row],[TEAM]]&amp;Matrix[[#Headers],[6]],FDR[FDR]&amp;FDR[[#Headers],[6]],FDR[6],"",0,1)</f>
        <v>1</v>
      </c>
      <c r="S64" cm="1">
        <f t="array" ref="S64">_xlfn.XLOOKUP(Matrix[[#This Row],[TEAM]]&amp;Matrix[[#Headers],[7]],FDR[FDR]&amp;FDR[[#Headers],[7]],FDR[7],"",0,1)</f>
        <v>3</v>
      </c>
      <c r="T64" cm="1">
        <f t="array" ref="T64">_xlfn.XLOOKUP(Matrix[[#This Row],[TEAM]]&amp;Matrix[[#Headers],[8]],FDR[FDR]&amp;FDR[[#Headers],[8]],FDR[8],"",0,1)</f>
        <v>2</v>
      </c>
      <c r="U64" cm="1">
        <f t="array" ref="U64">_xlfn.XLOOKUP(Matrix[[#This Row],[TEAM]]&amp;Matrix[[#Headers],[9]],FDR[FDR]&amp;FDR[[#Headers],[9]],FDR[9],"",0,1)</f>
        <v>1</v>
      </c>
      <c r="V64" cm="1">
        <f t="array" ref="V64">_xlfn.XLOOKUP(Matrix[[#This Row],[TEAM]]&amp;Matrix[[#Headers],[10]],FDR[FDR]&amp;FDR[[#Headers],[10]],FDR[10],"",0,1)</f>
        <v>3</v>
      </c>
      <c r="W64" cm="1">
        <f t="array" ref="W64">_xlfn.XLOOKUP(Matrix[[#This Row],[TEAM]]&amp;Matrix[[#Headers],[11]],FDR[FDR]&amp;FDR[[#Headers],[11]],FDR[11],"",0,1)</f>
        <v>1</v>
      </c>
      <c r="X64" cm="1">
        <f t="array" ref="X64">_xlfn.XLOOKUP(Matrix[[#This Row],[TEAM]]&amp;Matrix[[#Headers],[12]],FDR[FDR]&amp;FDR[[#Headers],[12]],FDR[12],"",0,1)</f>
        <v>1</v>
      </c>
      <c r="Y64" cm="1">
        <f t="array" ref="Y64">_xlfn.XLOOKUP(Matrix[[#This Row],[TEAM]]&amp;Matrix[[#Headers],[13]],FDR[FDR]&amp;FDR[[#Headers],[13]],FDR[13],"",0,1)</f>
        <v>3</v>
      </c>
      <c r="Z64" cm="1">
        <f t="array" ref="Z64">_xlfn.XLOOKUP(Matrix[[#This Row],[TEAM]]&amp;Matrix[[#Headers],[14]],FDR[FDR]&amp;FDR[[#Headers],[14]],FDR[14],"",0,1)</f>
        <v>1</v>
      </c>
      <c r="AA64" cm="1">
        <f t="array" ref="AA64">_xlfn.XLOOKUP(Matrix[[#This Row],[TEAM]]&amp;Matrix[[#Headers],[15]],FDR[FDR]&amp;FDR[[#Headers],[15]],FDR[15],"",0,1)</f>
        <v>2</v>
      </c>
      <c r="AB64" cm="1">
        <f t="array" ref="AB64">_xlfn.XLOOKUP(Matrix[[#This Row],[TEAM]]&amp;Matrix[[#Headers],[16]],FDR[FDR]&amp;FDR[[#Headers],[16]],FDR[16],"",0,1)</f>
        <v>1</v>
      </c>
      <c r="AC64" cm="1">
        <f t="array" ref="AC64">_xlfn.XLOOKUP(Matrix[[#This Row],[TEAM]]&amp;Matrix[[#Headers],[17]],FDR[FDR]&amp;FDR[[#Headers],[17]],FDR[17],"",0,1)</f>
        <v>3</v>
      </c>
      <c r="AD64" cm="1">
        <f t="array" ref="AD64">_xlfn.XLOOKUP(Matrix[[#This Row],[TEAM]]&amp;Matrix[[#Headers],[18]],FDR[FDR]&amp;FDR[[#Headers],[18]],FDR[18],"",0,1)</f>
        <v>2</v>
      </c>
      <c r="AE64" cm="1">
        <f t="array" ref="AE64">_xlfn.XLOOKUP(Matrix[[#This Row],[TEAM]]&amp;Matrix[[#Headers],[19]],FDR[FDR]&amp;FDR[[#Headers],[19]],FDR[19],"",0,1)</f>
        <v>1</v>
      </c>
      <c r="AF64" cm="1">
        <f t="array" ref="AF64">_xlfn.XLOOKUP(Matrix[[#This Row],[TEAM]]&amp;Matrix[[#Headers],[20]],FDR[FDR]&amp;FDR[[#Headers],[20]],FDR[20],"",0,1)</f>
        <v>4</v>
      </c>
      <c r="AG64" cm="1">
        <f t="array" ref="AG64">_xlfn.XLOOKUP(Matrix[[#This Row],[TEAM]]&amp;Matrix[[#Headers],[21]],FDR[FDR]&amp;FDR[[#Headers],[21]],FDR[21],"",0,1)</f>
        <v>2</v>
      </c>
      <c r="AH64" cm="1">
        <f t="array" ref="AH64">_xlfn.XLOOKUP(Matrix[[#This Row],[TEAM]]&amp;Matrix[[#Headers],[22]],FDR[FDR]&amp;FDR[[#Headers],[22]],FDR[22],"",0,1)</f>
        <v>1</v>
      </c>
      <c r="AI64" cm="1">
        <f t="array" ref="AI64">_xlfn.XLOOKUP(Matrix[[#This Row],[TEAM]]&amp;Matrix[[#Headers],[23]],FDR[FDR]&amp;FDR[[#Headers],[23]],FDR[23],"",0,1)</f>
        <v>2</v>
      </c>
      <c r="AJ64" cm="1">
        <f t="array" ref="AJ64">_xlfn.XLOOKUP(Matrix[[#This Row],[TEAM]]&amp;Matrix[[#Headers],[24]],FDR[FDR]&amp;FDR[[#Headers],[24]],FDR[24],"",0,1)</f>
        <v>1</v>
      </c>
      <c r="AK64" cm="1">
        <f t="array" ref="AK64">_xlfn.XLOOKUP(Matrix[[#This Row],[TEAM]]&amp;Matrix[[#Headers],[25]],FDR[FDR]&amp;FDR[[#Headers],[25]],FDR[25],"",0,1)</f>
        <v>1</v>
      </c>
      <c r="AL64" cm="1">
        <f t="array" ref="AL64">_xlfn.XLOOKUP(Matrix[[#This Row],[TEAM]]&amp;Matrix[[#Headers],[26]],FDR[FDR]&amp;FDR[[#Headers],[26]],FDR[26],"",0,1)</f>
        <v>1</v>
      </c>
      <c r="AM64" cm="1">
        <f t="array" ref="AM64">_xlfn.XLOOKUP(Matrix[[#This Row],[TEAM]]&amp;Matrix[[#Headers],[27]],FDR[FDR]&amp;FDR[[#Headers],[27]],FDR[27],"",0,1)</f>
        <v>1</v>
      </c>
      <c r="AN64" cm="1">
        <f t="array" ref="AN64">_xlfn.XLOOKUP(Matrix[[#This Row],[TEAM]]&amp;Matrix[[#Headers],[28]],FDR[FDR]&amp;FDR[[#Headers],[28]],FDR[28],"",0,1)</f>
        <v>4</v>
      </c>
      <c r="AO64" cm="1">
        <f t="array" ref="AO64">_xlfn.XLOOKUP(Matrix[[#This Row],[TEAM]]&amp;Matrix[[#Headers],[29]],FDR[FDR]&amp;FDR[[#Headers],[29]],FDR[29],"",0,1)</f>
        <v>3</v>
      </c>
      <c r="AP64" cm="1">
        <f t="array" ref="AP64">_xlfn.XLOOKUP(Matrix[[#This Row],[TEAM]]&amp;Matrix[[#Headers],[30]],FDR[FDR]&amp;FDR[[#Headers],[30]],FDR[30],"",0,1)</f>
        <v>2</v>
      </c>
      <c r="AQ64" cm="1">
        <f t="array" ref="AQ64">_xlfn.XLOOKUP(Matrix[[#This Row],[TEAM]]&amp;Matrix[[#Headers],[31]],FDR[FDR]&amp;FDR[[#Headers],[31]],FDR[31],"",0,1)</f>
        <v>2</v>
      </c>
      <c r="AR64" cm="1">
        <f t="array" ref="AR64">_xlfn.XLOOKUP(Matrix[[#This Row],[TEAM]]&amp;Matrix[[#Headers],[32]],FDR[FDR]&amp;FDR[[#Headers],[32]],FDR[32],"",0,1)</f>
        <v>3</v>
      </c>
      <c r="AS64" cm="1">
        <f t="array" ref="AS64">_xlfn.XLOOKUP(Matrix[[#This Row],[TEAM]]&amp;Matrix[[#Headers],[33]],FDR[FDR]&amp;FDR[[#Headers],[33]],FDR[33],"",0,1)</f>
        <v>2</v>
      </c>
      <c r="AT64" cm="1">
        <f t="array" ref="AT64">_xlfn.XLOOKUP(Matrix[[#This Row],[TEAM]]&amp;Matrix[[#Headers],[34]],FDR[FDR]&amp;FDR[[#Headers],[34]],FDR[34],"",0,1)</f>
        <v>2</v>
      </c>
      <c r="AU64" cm="1">
        <f t="array" ref="AU64">_xlfn.XLOOKUP(Matrix[[#This Row],[TEAM]]&amp;Matrix[[#Headers],[35]],FDR[FDR]&amp;FDR[[#Headers],[35]],FDR[35],"",0,1)</f>
        <v>1</v>
      </c>
      <c r="AV64" cm="1">
        <f t="array" ref="AV64">_xlfn.XLOOKUP(Matrix[[#This Row],[TEAM]]&amp;Matrix[[#Headers],[36]],FDR[FDR]&amp;FDR[[#Headers],[36]],FDR[36],"",0,1)</f>
        <v>4</v>
      </c>
      <c r="AW64" cm="1">
        <f t="array" ref="AW64">_xlfn.XLOOKUP(Matrix[[#This Row],[TEAM]]&amp;Matrix[[#Headers],[37]],FDR[FDR]&amp;FDR[[#Headers],[37]],FDR[37],"",0,1)</f>
        <v>2</v>
      </c>
      <c r="AX64" cm="1">
        <f t="array" ref="AX64">_xlfn.XLOOKUP(Matrix[[#This Row],[TEAM]]&amp;Matrix[[#Headers],[38]],FDR[FDR]&amp;FDR[[#Headers],[38]],FDR[38],"",0,1)</f>
        <v>1</v>
      </c>
    </row>
    <row r="65" spans="1:50" ht="22" thickTop="1" thickBot="1">
      <c r="A65" s="51" t="s">
        <v>657</v>
      </c>
      <c r="B65" s="70" t="s">
        <v>1352</v>
      </c>
      <c r="C65" s="40" t="s">
        <v>20</v>
      </c>
      <c r="D65" s="62">
        <v>130</v>
      </c>
      <c r="E65" s="60">
        <v>0.13700000000000001</v>
      </c>
      <c r="F65" s="61">
        <v>94.2</v>
      </c>
      <c r="G65" s="63">
        <v>6.1</v>
      </c>
      <c r="H65" s="261">
        <f>IF(ISBLANK(I65),0,1)</f>
        <v>0</v>
      </c>
      <c r="I65" s="57"/>
      <c r="J65" s="58"/>
      <c r="K65" s="65" t="s">
        <v>405</v>
      </c>
      <c r="L65" s="65" t="s">
        <v>112</v>
      </c>
      <c r="M65" cm="1">
        <f t="array" ref="M65">_xlfn.XLOOKUP(Matrix[[#This Row],[TEAM]]&amp;Matrix[[#Headers],[1]],FDR[FDR]&amp;FDR[[#Headers],[1]],FDR[1],"",0,1)</f>
        <v>3</v>
      </c>
      <c r="N65" cm="1">
        <f t="array" ref="N65">_xlfn.XLOOKUP(Matrix[[#This Row],[TEAM]]&amp;Matrix[[#Headers],[2]],FDR[FDR]&amp;FDR[[#Headers],[2]],FDR[2],"",0,1)</f>
        <v>1</v>
      </c>
      <c r="O65" cm="1">
        <f t="array" ref="O65">_xlfn.XLOOKUP(Matrix[[#This Row],[TEAM]]&amp;Matrix[[#Headers],[3]],FDR[FDR]&amp;FDR[[#Headers],[3]],FDR[3],"",0,1)</f>
        <v>4</v>
      </c>
      <c r="P65" cm="1">
        <f t="array" ref="P65">_xlfn.XLOOKUP(Matrix[[#This Row],[TEAM]]&amp;Matrix[[#Headers],[4]],FDR[FDR]&amp;FDR[[#Headers],[4]],FDR[4],"",0,1)</f>
        <v>1</v>
      </c>
      <c r="Q65" cm="1">
        <f t="array" ref="Q65">_xlfn.XLOOKUP(Matrix[[#This Row],[TEAM]]&amp;Matrix[[#Headers],[5]],FDR[FDR]&amp;FDR[[#Headers],[5]],FDR[5],"",0,1)</f>
        <v>3</v>
      </c>
      <c r="R65" cm="1">
        <f t="array" ref="R65">_xlfn.XLOOKUP(Matrix[[#This Row],[TEAM]]&amp;Matrix[[#Headers],[6]],FDR[FDR]&amp;FDR[[#Headers],[6]],FDR[6],"",0,1)</f>
        <v>3</v>
      </c>
      <c r="S65" cm="1">
        <f t="array" ref="S65">_xlfn.XLOOKUP(Matrix[[#This Row],[TEAM]]&amp;Matrix[[#Headers],[7]],FDR[FDR]&amp;FDR[[#Headers],[7]],FDR[7],"",0,1)</f>
        <v>1</v>
      </c>
      <c r="T65" cm="1">
        <f t="array" ref="T65">_xlfn.XLOOKUP(Matrix[[#This Row],[TEAM]]&amp;Matrix[[#Headers],[8]],FDR[FDR]&amp;FDR[[#Headers],[8]],FDR[8],"",0,1)</f>
        <v>2</v>
      </c>
      <c r="U65" cm="1">
        <f t="array" ref="U65">_xlfn.XLOOKUP(Matrix[[#This Row],[TEAM]]&amp;Matrix[[#Headers],[9]],FDR[FDR]&amp;FDR[[#Headers],[9]],FDR[9],"",0,1)</f>
        <v>1</v>
      </c>
      <c r="V65" cm="1">
        <f t="array" ref="V65">_xlfn.XLOOKUP(Matrix[[#This Row],[TEAM]]&amp;Matrix[[#Headers],[10]],FDR[FDR]&amp;FDR[[#Headers],[10]],FDR[10],"",0,1)</f>
        <v>1</v>
      </c>
      <c r="W65" cm="1">
        <f t="array" ref="W65">_xlfn.XLOOKUP(Matrix[[#This Row],[TEAM]]&amp;Matrix[[#Headers],[11]],FDR[FDR]&amp;FDR[[#Headers],[11]],FDR[11],"",0,1)</f>
        <v>1</v>
      </c>
      <c r="X65" cm="1">
        <f t="array" ref="X65">_xlfn.XLOOKUP(Matrix[[#This Row],[TEAM]]&amp;Matrix[[#Headers],[12]],FDR[FDR]&amp;FDR[[#Headers],[12]],FDR[12],"",0,1)</f>
        <v>2</v>
      </c>
      <c r="Y65" cm="1">
        <f t="array" ref="Y65">_xlfn.XLOOKUP(Matrix[[#This Row],[TEAM]]&amp;Matrix[[#Headers],[13]],FDR[FDR]&amp;FDR[[#Headers],[13]],FDR[13],"",0,1)</f>
        <v>3</v>
      </c>
      <c r="Z65" cm="1">
        <f t="array" ref="Z65">_xlfn.XLOOKUP(Matrix[[#This Row],[TEAM]]&amp;Matrix[[#Headers],[14]],FDR[FDR]&amp;FDR[[#Headers],[14]],FDR[14],"",0,1)</f>
        <v>1</v>
      </c>
      <c r="AA65" cm="1">
        <f t="array" ref="AA65">_xlfn.XLOOKUP(Matrix[[#This Row],[TEAM]]&amp;Matrix[[#Headers],[15]],FDR[FDR]&amp;FDR[[#Headers],[15]],FDR[15],"",0,1)</f>
        <v>3</v>
      </c>
      <c r="AB65" cm="1">
        <f t="array" ref="AB65">_xlfn.XLOOKUP(Matrix[[#This Row],[TEAM]]&amp;Matrix[[#Headers],[16]],FDR[FDR]&amp;FDR[[#Headers],[16]],FDR[16],"",0,1)</f>
        <v>1</v>
      </c>
      <c r="AC65" cm="1">
        <f t="array" ref="AC65">_xlfn.XLOOKUP(Matrix[[#This Row],[TEAM]]&amp;Matrix[[#Headers],[17]],FDR[FDR]&amp;FDR[[#Headers],[17]],FDR[17],"",0,1)</f>
        <v>2</v>
      </c>
      <c r="AD65" cm="1">
        <f t="array" ref="AD65">_xlfn.XLOOKUP(Matrix[[#This Row],[TEAM]]&amp;Matrix[[#Headers],[18]],FDR[FDR]&amp;FDR[[#Headers],[18]],FDR[18],"",0,1)</f>
        <v>1</v>
      </c>
      <c r="AE65" cm="1">
        <f t="array" ref="AE65">_xlfn.XLOOKUP(Matrix[[#This Row],[TEAM]]&amp;Matrix[[#Headers],[19]],FDR[FDR]&amp;FDR[[#Headers],[19]],FDR[19],"",0,1)</f>
        <v>2</v>
      </c>
      <c r="AF65" cm="1">
        <f t="array" ref="AF65">_xlfn.XLOOKUP(Matrix[[#This Row],[TEAM]]&amp;Matrix[[#Headers],[20]],FDR[FDR]&amp;FDR[[#Headers],[20]],FDR[20],"",0,1)</f>
        <v>2</v>
      </c>
      <c r="AG65" cm="1">
        <f t="array" ref="AG65">_xlfn.XLOOKUP(Matrix[[#This Row],[TEAM]]&amp;Matrix[[#Headers],[21]],FDR[FDR]&amp;FDR[[#Headers],[21]],FDR[21],"",0,1)</f>
        <v>3</v>
      </c>
      <c r="AH65" cm="1">
        <f t="array" ref="AH65">_xlfn.XLOOKUP(Matrix[[#This Row],[TEAM]]&amp;Matrix[[#Headers],[22]],FDR[FDR]&amp;FDR[[#Headers],[22]],FDR[22],"",0,1)</f>
        <v>2</v>
      </c>
      <c r="AI65" cm="1">
        <f t="array" ref="AI65">_xlfn.XLOOKUP(Matrix[[#This Row],[TEAM]]&amp;Matrix[[#Headers],[23]],FDR[FDR]&amp;FDR[[#Headers],[23]],FDR[23],"",0,1)</f>
        <v>2</v>
      </c>
      <c r="AJ65" cm="1">
        <f t="array" ref="AJ65">_xlfn.XLOOKUP(Matrix[[#This Row],[TEAM]]&amp;Matrix[[#Headers],[24]],FDR[FDR]&amp;FDR[[#Headers],[24]],FDR[24],"",0,1)</f>
        <v>1</v>
      </c>
      <c r="AK65" cm="1">
        <f t="array" ref="AK65">_xlfn.XLOOKUP(Matrix[[#This Row],[TEAM]]&amp;Matrix[[#Headers],[25]],FDR[FDR]&amp;FDR[[#Headers],[25]],FDR[25],"",0,1)</f>
        <v>1</v>
      </c>
      <c r="AL65" cm="1">
        <f t="array" ref="AL65">_xlfn.XLOOKUP(Matrix[[#This Row],[TEAM]]&amp;Matrix[[#Headers],[26]],FDR[FDR]&amp;FDR[[#Headers],[26]],FDR[26],"",0,1)</f>
        <v>2</v>
      </c>
      <c r="AM65" cm="1">
        <f t="array" ref="AM65">_xlfn.XLOOKUP(Matrix[[#This Row],[TEAM]]&amp;Matrix[[#Headers],[27]],FDR[FDR]&amp;FDR[[#Headers],[27]],FDR[27],"",0,1)</f>
        <v>3</v>
      </c>
      <c r="AN65" cm="1">
        <f t="array" ref="AN65">_xlfn.XLOOKUP(Matrix[[#This Row],[TEAM]]&amp;Matrix[[#Headers],[28]],FDR[FDR]&amp;FDR[[#Headers],[28]],FDR[28],"",0,1)</f>
        <v>2</v>
      </c>
      <c r="AO65" cm="1">
        <f t="array" ref="AO65">_xlfn.XLOOKUP(Matrix[[#This Row],[TEAM]]&amp;Matrix[[#Headers],[29]],FDR[FDR]&amp;FDR[[#Headers],[29]],FDR[29],"",0,1)</f>
        <v>2</v>
      </c>
      <c r="AP65" cm="1">
        <f t="array" ref="AP65">_xlfn.XLOOKUP(Matrix[[#This Row],[TEAM]]&amp;Matrix[[#Headers],[30]],FDR[FDR]&amp;FDR[[#Headers],[30]],FDR[30],"",0,1)</f>
        <v>1</v>
      </c>
      <c r="AQ65" cm="1">
        <f t="array" ref="AQ65">_xlfn.XLOOKUP(Matrix[[#This Row],[TEAM]]&amp;Matrix[[#Headers],[31]],FDR[FDR]&amp;FDR[[#Headers],[31]],FDR[31],"",0,1)</f>
        <v>1</v>
      </c>
      <c r="AR65" cm="1">
        <f t="array" ref="AR65">_xlfn.XLOOKUP(Matrix[[#This Row],[TEAM]]&amp;Matrix[[#Headers],[32]],FDR[FDR]&amp;FDR[[#Headers],[32]],FDR[32],"",0,1)</f>
        <v>1</v>
      </c>
      <c r="AS65" cm="1">
        <f t="array" ref="AS65">_xlfn.XLOOKUP(Matrix[[#This Row],[TEAM]]&amp;Matrix[[#Headers],[33]],FDR[FDR]&amp;FDR[[#Headers],[33]],FDR[33],"",0,1)</f>
        <v>3</v>
      </c>
      <c r="AT65" cm="1">
        <f t="array" ref="AT65">_xlfn.XLOOKUP(Matrix[[#This Row],[TEAM]]&amp;Matrix[[#Headers],[34]],FDR[FDR]&amp;FDR[[#Headers],[34]],FDR[34],"",0,1)</f>
        <v>2</v>
      </c>
      <c r="AU65" cm="1">
        <f t="array" ref="AU65">_xlfn.XLOOKUP(Matrix[[#This Row],[TEAM]]&amp;Matrix[[#Headers],[35]],FDR[FDR]&amp;FDR[[#Headers],[35]],FDR[35],"",0,1)</f>
        <v>1</v>
      </c>
      <c r="AV65" cm="1">
        <f t="array" ref="AV65">_xlfn.XLOOKUP(Matrix[[#This Row],[TEAM]]&amp;Matrix[[#Headers],[36]],FDR[FDR]&amp;FDR[[#Headers],[36]],FDR[36],"",0,1)</f>
        <v>2</v>
      </c>
      <c r="AW65" cm="1">
        <f t="array" ref="AW65">_xlfn.XLOOKUP(Matrix[[#This Row],[TEAM]]&amp;Matrix[[#Headers],[37]],FDR[FDR]&amp;FDR[[#Headers],[37]],FDR[37],"",0,1)</f>
        <v>1</v>
      </c>
      <c r="AX65" cm="1">
        <f t="array" ref="AX65">_xlfn.XLOOKUP(Matrix[[#This Row],[TEAM]]&amp;Matrix[[#Headers],[38]],FDR[FDR]&amp;FDR[[#Headers],[38]],FDR[38],"",0,1)</f>
        <v>2</v>
      </c>
    </row>
    <row r="66" spans="1:50" ht="22" thickTop="1" thickBot="1">
      <c r="A66" s="51" t="s">
        <v>657</v>
      </c>
      <c r="B66" s="70" t="s">
        <v>1349</v>
      </c>
      <c r="C66" s="40" t="s">
        <v>20</v>
      </c>
      <c r="D66" s="62">
        <v>117</v>
      </c>
      <c r="E66" s="60">
        <v>0.20499999999999999</v>
      </c>
      <c r="F66" s="61">
        <v>108.2</v>
      </c>
      <c r="G66" s="63">
        <v>6.1</v>
      </c>
      <c r="H66" s="261">
        <f>IF(ISBLANK(I66),0,1)</f>
        <v>0</v>
      </c>
      <c r="I66" s="57"/>
      <c r="J66" s="58"/>
      <c r="K66" s="65" t="s">
        <v>371</v>
      </c>
      <c r="L66" s="65" t="s">
        <v>72</v>
      </c>
      <c r="M66" cm="1">
        <f t="array" ref="M66">_xlfn.XLOOKUP(Matrix[[#This Row],[TEAM]]&amp;Matrix[[#Headers],[1]],FDR[FDR]&amp;FDR[[#Headers],[1]],FDR[1],"",0,1)</f>
        <v>3</v>
      </c>
      <c r="N66" cm="1">
        <f t="array" ref="N66">_xlfn.XLOOKUP(Matrix[[#This Row],[TEAM]]&amp;Matrix[[#Headers],[2]],FDR[FDR]&amp;FDR[[#Headers],[2]],FDR[2],"",0,1)</f>
        <v>1</v>
      </c>
      <c r="O66" cm="1">
        <f t="array" ref="O66">_xlfn.XLOOKUP(Matrix[[#This Row],[TEAM]]&amp;Matrix[[#Headers],[3]],FDR[FDR]&amp;FDR[[#Headers],[3]],FDR[3],"",0,1)</f>
        <v>4</v>
      </c>
      <c r="P66" cm="1">
        <f t="array" ref="P66">_xlfn.XLOOKUP(Matrix[[#This Row],[TEAM]]&amp;Matrix[[#Headers],[4]],FDR[FDR]&amp;FDR[[#Headers],[4]],FDR[4],"",0,1)</f>
        <v>1</v>
      </c>
      <c r="Q66" cm="1">
        <f t="array" ref="Q66">_xlfn.XLOOKUP(Matrix[[#This Row],[TEAM]]&amp;Matrix[[#Headers],[5]],FDR[FDR]&amp;FDR[[#Headers],[5]],FDR[5],"",0,1)</f>
        <v>3</v>
      </c>
      <c r="R66" cm="1">
        <f t="array" ref="R66">_xlfn.XLOOKUP(Matrix[[#This Row],[TEAM]]&amp;Matrix[[#Headers],[6]],FDR[FDR]&amp;FDR[[#Headers],[6]],FDR[6],"",0,1)</f>
        <v>3</v>
      </c>
      <c r="S66" cm="1">
        <f t="array" ref="S66">_xlfn.XLOOKUP(Matrix[[#This Row],[TEAM]]&amp;Matrix[[#Headers],[7]],FDR[FDR]&amp;FDR[[#Headers],[7]],FDR[7],"",0,1)</f>
        <v>1</v>
      </c>
      <c r="T66" cm="1">
        <f t="array" ref="T66">_xlfn.XLOOKUP(Matrix[[#This Row],[TEAM]]&amp;Matrix[[#Headers],[8]],FDR[FDR]&amp;FDR[[#Headers],[8]],FDR[8],"",0,1)</f>
        <v>2</v>
      </c>
      <c r="U66" cm="1">
        <f t="array" ref="U66">_xlfn.XLOOKUP(Matrix[[#This Row],[TEAM]]&amp;Matrix[[#Headers],[9]],FDR[FDR]&amp;FDR[[#Headers],[9]],FDR[9],"",0,1)</f>
        <v>1</v>
      </c>
      <c r="V66" cm="1">
        <f t="array" ref="V66">_xlfn.XLOOKUP(Matrix[[#This Row],[TEAM]]&amp;Matrix[[#Headers],[10]],FDR[FDR]&amp;FDR[[#Headers],[10]],FDR[10],"",0,1)</f>
        <v>1</v>
      </c>
      <c r="W66" cm="1">
        <f t="array" ref="W66">_xlfn.XLOOKUP(Matrix[[#This Row],[TEAM]]&amp;Matrix[[#Headers],[11]],FDR[FDR]&amp;FDR[[#Headers],[11]],FDR[11],"",0,1)</f>
        <v>1</v>
      </c>
      <c r="X66" cm="1">
        <f t="array" ref="X66">_xlfn.XLOOKUP(Matrix[[#This Row],[TEAM]]&amp;Matrix[[#Headers],[12]],FDR[FDR]&amp;FDR[[#Headers],[12]],FDR[12],"",0,1)</f>
        <v>2</v>
      </c>
      <c r="Y66" cm="1">
        <f t="array" ref="Y66">_xlfn.XLOOKUP(Matrix[[#This Row],[TEAM]]&amp;Matrix[[#Headers],[13]],FDR[FDR]&amp;FDR[[#Headers],[13]],FDR[13],"",0,1)</f>
        <v>3</v>
      </c>
      <c r="Z66" cm="1">
        <f t="array" ref="Z66">_xlfn.XLOOKUP(Matrix[[#This Row],[TEAM]]&amp;Matrix[[#Headers],[14]],FDR[FDR]&amp;FDR[[#Headers],[14]],FDR[14],"",0,1)</f>
        <v>1</v>
      </c>
      <c r="AA66" cm="1">
        <f t="array" ref="AA66">_xlfn.XLOOKUP(Matrix[[#This Row],[TEAM]]&amp;Matrix[[#Headers],[15]],FDR[FDR]&amp;FDR[[#Headers],[15]],FDR[15],"",0,1)</f>
        <v>3</v>
      </c>
      <c r="AB66" cm="1">
        <f t="array" ref="AB66">_xlfn.XLOOKUP(Matrix[[#This Row],[TEAM]]&amp;Matrix[[#Headers],[16]],FDR[FDR]&amp;FDR[[#Headers],[16]],FDR[16],"",0,1)</f>
        <v>1</v>
      </c>
      <c r="AC66" cm="1">
        <f t="array" ref="AC66">_xlfn.XLOOKUP(Matrix[[#This Row],[TEAM]]&amp;Matrix[[#Headers],[17]],FDR[FDR]&amp;FDR[[#Headers],[17]],FDR[17],"",0,1)</f>
        <v>2</v>
      </c>
      <c r="AD66" cm="1">
        <f t="array" ref="AD66">_xlfn.XLOOKUP(Matrix[[#This Row],[TEAM]]&amp;Matrix[[#Headers],[18]],FDR[FDR]&amp;FDR[[#Headers],[18]],FDR[18],"",0,1)</f>
        <v>1</v>
      </c>
      <c r="AE66" cm="1">
        <f t="array" ref="AE66">_xlfn.XLOOKUP(Matrix[[#This Row],[TEAM]]&amp;Matrix[[#Headers],[19]],FDR[FDR]&amp;FDR[[#Headers],[19]],FDR[19],"",0,1)</f>
        <v>2</v>
      </c>
      <c r="AF66" cm="1">
        <f t="array" ref="AF66">_xlfn.XLOOKUP(Matrix[[#This Row],[TEAM]]&amp;Matrix[[#Headers],[20]],FDR[FDR]&amp;FDR[[#Headers],[20]],FDR[20],"",0,1)</f>
        <v>2</v>
      </c>
      <c r="AG66" cm="1">
        <f t="array" ref="AG66">_xlfn.XLOOKUP(Matrix[[#This Row],[TEAM]]&amp;Matrix[[#Headers],[21]],FDR[FDR]&amp;FDR[[#Headers],[21]],FDR[21],"",0,1)</f>
        <v>3</v>
      </c>
      <c r="AH66" cm="1">
        <f t="array" ref="AH66">_xlfn.XLOOKUP(Matrix[[#This Row],[TEAM]]&amp;Matrix[[#Headers],[22]],FDR[FDR]&amp;FDR[[#Headers],[22]],FDR[22],"",0,1)</f>
        <v>2</v>
      </c>
      <c r="AI66" cm="1">
        <f t="array" ref="AI66">_xlfn.XLOOKUP(Matrix[[#This Row],[TEAM]]&amp;Matrix[[#Headers],[23]],FDR[FDR]&amp;FDR[[#Headers],[23]],FDR[23],"",0,1)</f>
        <v>2</v>
      </c>
      <c r="AJ66" cm="1">
        <f t="array" ref="AJ66">_xlfn.XLOOKUP(Matrix[[#This Row],[TEAM]]&amp;Matrix[[#Headers],[24]],FDR[FDR]&amp;FDR[[#Headers],[24]],FDR[24],"",0,1)</f>
        <v>1</v>
      </c>
      <c r="AK66" cm="1">
        <f t="array" ref="AK66">_xlfn.XLOOKUP(Matrix[[#This Row],[TEAM]]&amp;Matrix[[#Headers],[25]],FDR[FDR]&amp;FDR[[#Headers],[25]],FDR[25],"",0,1)</f>
        <v>1</v>
      </c>
      <c r="AL66" cm="1">
        <f t="array" ref="AL66">_xlfn.XLOOKUP(Matrix[[#This Row],[TEAM]]&amp;Matrix[[#Headers],[26]],FDR[FDR]&amp;FDR[[#Headers],[26]],FDR[26],"",0,1)</f>
        <v>2</v>
      </c>
      <c r="AM66" cm="1">
        <f t="array" ref="AM66">_xlfn.XLOOKUP(Matrix[[#This Row],[TEAM]]&amp;Matrix[[#Headers],[27]],FDR[FDR]&amp;FDR[[#Headers],[27]],FDR[27],"",0,1)</f>
        <v>3</v>
      </c>
      <c r="AN66" cm="1">
        <f t="array" ref="AN66">_xlfn.XLOOKUP(Matrix[[#This Row],[TEAM]]&amp;Matrix[[#Headers],[28]],FDR[FDR]&amp;FDR[[#Headers],[28]],FDR[28],"",0,1)</f>
        <v>2</v>
      </c>
      <c r="AO66" cm="1">
        <f t="array" ref="AO66">_xlfn.XLOOKUP(Matrix[[#This Row],[TEAM]]&amp;Matrix[[#Headers],[29]],FDR[FDR]&amp;FDR[[#Headers],[29]],FDR[29],"",0,1)</f>
        <v>2</v>
      </c>
      <c r="AP66" cm="1">
        <f t="array" ref="AP66">_xlfn.XLOOKUP(Matrix[[#This Row],[TEAM]]&amp;Matrix[[#Headers],[30]],FDR[FDR]&amp;FDR[[#Headers],[30]],FDR[30],"",0,1)</f>
        <v>1</v>
      </c>
      <c r="AQ66" cm="1">
        <f t="array" ref="AQ66">_xlfn.XLOOKUP(Matrix[[#This Row],[TEAM]]&amp;Matrix[[#Headers],[31]],FDR[FDR]&amp;FDR[[#Headers],[31]],FDR[31],"",0,1)</f>
        <v>1</v>
      </c>
      <c r="AR66" cm="1">
        <f t="array" ref="AR66">_xlfn.XLOOKUP(Matrix[[#This Row],[TEAM]]&amp;Matrix[[#Headers],[32]],FDR[FDR]&amp;FDR[[#Headers],[32]],FDR[32],"",0,1)</f>
        <v>1</v>
      </c>
      <c r="AS66" cm="1">
        <f t="array" ref="AS66">_xlfn.XLOOKUP(Matrix[[#This Row],[TEAM]]&amp;Matrix[[#Headers],[33]],FDR[FDR]&amp;FDR[[#Headers],[33]],FDR[33],"",0,1)</f>
        <v>3</v>
      </c>
      <c r="AT66" cm="1">
        <f t="array" ref="AT66">_xlfn.XLOOKUP(Matrix[[#This Row],[TEAM]]&amp;Matrix[[#Headers],[34]],FDR[FDR]&amp;FDR[[#Headers],[34]],FDR[34],"",0,1)</f>
        <v>2</v>
      </c>
      <c r="AU66" cm="1">
        <f t="array" ref="AU66">_xlfn.XLOOKUP(Matrix[[#This Row],[TEAM]]&amp;Matrix[[#Headers],[35]],FDR[FDR]&amp;FDR[[#Headers],[35]],FDR[35],"",0,1)</f>
        <v>1</v>
      </c>
      <c r="AV66" cm="1">
        <f t="array" ref="AV66">_xlfn.XLOOKUP(Matrix[[#This Row],[TEAM]]&amp;Matrix[[#Headers],[36]],FDR[FDR]&amp;FDR[[#Headers],[36]],FDR[36],"",0,1)</f>
        <v>2</v>
      </c>
      <c r="AW66" cm="1">
        <f t="array" ref="AW66">_xlfn.XLOOKUP(Matrix[[#This Row],[TEAM]]&amp;Matrix[[#Headers],[37]],FDR[FDR]&amp;FDR[[#Headers],[37]],FDR[37],"",0,1)</f>
        <v>1</v>
      </c>
      <c r="AX66" cm="1">
        <f t="array" ref="AX66">_xlfn.XLOOKUP(Matrix[[#This Row],[TEAM]]&amp;Matrix[[#Headers],[38]],FDR[FDR]&amp;FDR[[#Headers],[38]],FDR[38],"",0,1)</f>
        <v>2</v>
      </c>
    </row>
    <row r="67" spans="1:50" ht="22" thickTop="1" thickBot="1">
      <c r="A67" s="51" t="s">
        <v>657</v>
      </c>
      <c r="B67" s="70" t="s">
        <v>1347</v>
      </c>
      <c r="C67" s="40" t="s">
        <v>17</v>
      </c>
      <c r="D67" s="62">
        <v>143</v>
      </c>
      <c r="E67" s="60">
        <v>0.24</v>
      </c>
      <c r="F67" s="61">
        <v>143.69999999999999</v>
      </c>
      <c r="G67" s="63">
        <v>6</v>
      </c>
      <c r="H67" s="261">
        <f>IF(ISBLANK(I67),0,1)</f>
        <v>0</v>
      </c>
      <c r="I67" s="57"/>
      <c r="J67" s="58"/>
      <c r="K67" s="65" t="s">
        <v>392</v>
      </c>
      <c r="L67" s="65" t="s">
        <v>393</v>
      </c>
      <c r="M67" cm="1">
        <f t="array" ref="M67">_xlfn.XLOOKUP(Matrix[[#This Row],[TEAM]]&amp;Matrix[[#Headers],[1]],FDR[FDR]&amp;FDR[[#Headers],[1]],FDR[1],"",0,1)</f>
        <v>1</v>
      </c>
      <c r="N67" cm="1">
        <f t="array" ref="N67">_xlfn.XLOOKUP(Matrix[[#This Row],[TEAM]]&amp;Matrix[[#Headers],[2]],FDR[FDR]&amp;FDR[[#Headers],[2]],FDR[2],"",0,1)</f>
        <v>3</v>
      </c>
      <c r="O67" cm="1">
        <f t="array" ref="O67">_xlfn.XLOOKUP(Matrix[[#This Row],[TEAM]]&amp;Matrix[[#Headers],[3]],FDR[FDR]&amp;FDR[[#Headers],[3]],FDR[3],"",0,1)</f>
        <v>3</v>
      </c>
      <c r="P67" cm="1">
        <f t="array" ref="P67">_xlfn.XLOOKUP(Matrix[[#This Row],[TEAM]]&amp;Matrix[[#Headers],[4]],FDR[FDR]&amp;FDR[[#Headers],[4]],FDR[4],"",0,1)</f>
        <v>1</v>
      </c>
      <c r="Q67" cm="1">
        <f t="array" ref="Q67">_xlfn.XLOOKUP(Matrix[[#This Row],[TEAM]]&amp;Matrix[[#Headers],[5]],FDR[FDR]&amp;FDR[[#Headers],[5]],FDR[5],"",0,1)</f>
        <v>1</v>
      </c>
      <c r="R67" cm="1">
        <f t="array" ref="R67">_xlfn.XLOOKUP(Matrix[[#This Row],[TEAM]]&amp;Matrix[[#Headers],[6]],FDR[FDR]&amp;FDR[[#Headers],[6]],FDR[6],"",0,1)</f>
        <v>2</v>
      </c>
      <c r="S67" cm="1">
        <f t="array" ref="S67">_xlfn.XLOOKUP(Matrix[[#This Row],[TEAM]]&amp;Matrix[[#Headers],[7]],FDR[FDR]&amp;FDR[[#Headers],[7]],FDR[7],"",0,1)</f>
        <v>3</v>
      </c>
      <c r="T67" cm="1">
        <f t="array" ref="T67">_xlfn.XLOOKUP(Matrix[[#This Row],[TEAM]]&amp;Matrix[[#Headers],[8]],FDR[FDR]&amp;FDR[[#Headers],[8]],FDR[8],"",0,1)</f>
        <v>2</v>
      </c>
      <c r="U67" cm="1">
        <f t="array" ref="U67">_xlfn.XLOOKUP(Matrix[[#This Row],[TEAM]]&amp;Matrix[[#Headers],[9]],FDR[FDR]&amp;FDR[[#Headers],[9]],FDR[9],"",0,1)</f>
        <v>2</v>
      </c>
      <c r="V67" cm="1">
        <f t="array" ref="V67">_xlfn.XLOOKUP(Matrix[[#This Row],[TEAM]]&amp;Matrix[[#Headers],[10]],FDR[FDR]&amp;FDR[[#Headers],[10]],FDR[10],"",0,1)</f>
        <v>2</v>
      </c>
      <c r="W67" cm="1">
        <f t="array" ref="W67">_xlfn.XLOOKUP(Matrix[[#This Row],[TEAM]]&amp;Matrix[[#Headers],[11]],FDR[FDR]&amp;FDR[[#Headers],[11]],FDR[11],"",0,1)</f>
        <v>3</v>
      </c>
      <c r="X67" cm="1">
        <f t="array" ref="X67">_xlfn.XLOOKUP(Matrix[[#This Row],[TEAM]]&amp;Matrix[[#Headers],[12]],FDR[FDR]&amp;FDR[[#Headers],[12]],FDR[12],"",0,1)</f>
        <v>1</v>
      </c>
      <c r="Y67" cm="1">
        <f t="array" ref="Y67">_xlfn.XLOOKUP(Matrix[[#This Row],[TEAM]]&amp;Matrix[[#Headers],[13]],FDR[FDR]&amp;FDR[[#Headers],[13]],FDR[13],"",0,1)</f>
        <v>2</v>
      </c>
      <c r="Z67" cm="1">
        <f t="array" ref="Z67">_xlfn.XLOOKUP(Matrix[[#This Row],[TEAM]]&amp;Matrix[[#Headers],[14]],FDR[FDR]&amp;FDR[[#Headers],[14]],FDR[14],"",0,1)</f>
        <v>1</v>
      </c>
      <c r="AA67" cm="1">
        <f t="array" ref="AA67">_xlfn.XLOOKUP(Matrix[[#This Row],[TEAM]]&amp;Matrix[[#Headers],[15]],FDR[FDR]&amp;FDR[[#Headers],[15]],FDR[15],"",0,1)</f>
        <v>1</v>
      </c>
      <c r="AB67" cm="1">
        <f t="array" ref="AB67">_xlfn.XLOOKUP(Matrix[[#This Row],[TEAM]]&amp;Matrix[[#Headers],[16]],FDR[FDR]&amp;FDR[[#Headers],[16]],FDR[16],"",0,1)</f>
        <v>1</v>
      </c>
      <c r="AC67" cm="1">
        <f t="array" ref="AC67">_xlfn.XLOOKUP(Matrix[[#This Row],[TEAM]]&amp;Matrix[[#Headers],[17]],FDR[FDR]&amp;FDR[[#Headers],[17]],FDR[17],"",0,1)</f>
        <v>3</v>
      </c>
      <c r="AD67" cm="1">
        <f t="array" ref="AD67">_xlfn.XLOOKUP(Matrix[[#This Row],[TEAM]]&amp;Matrix[[#Headers],[18]],FDR[FDR]&amp;FDR[[#Headers],[18]],FDR[18],"",0,1)</f>
        <v>1</v>
      </c>
      <c r="AE67" cm="1">
        <f t="array" ref="AE67">_xlfn.XLOOKUP(Matrix[[#This Row],[TEAM]]&amp;Matrix[[#Headers],[19]],FDR[FDR]&amp;FDR[[#Headers],[19]],FDR[19],"",0,1)</f>
        <v>1</v>
      </c>
      <c r="AF67" cm="1">
        <f t="array" ref="AF67">_xlfn.XLOOKUP(Matrix[[#This Row],[TEAM]]&amp;Matrix[[#Headers],[20]],FDR[FDR]&amp;FDR[[#Headers],[20]],FDR[20],"",0,1)</f>
        <v>2</v>
      </c>
      <c r="AG67" cm="1">
        <f t="array" ref="AG67">_xlfn.XLOOKUP(Matrix[[#This Row],[TEAM]]&amp;Matrix[[#Headers],[21]],FDR[FDR]&amp;FDR[[#Headers],[21]],FDR[21],"",0,1)</f>
        <v>3</v>
      </c>
      <c r="AH67" cm="1">
        <f t="array" ref="AH67">_xlfn.XLOOKUP(Matrix[[#This Row],[TEAM]]&amp;Matrix[[#Headers],[22]],FDR[FDR]&amp;FDR[[#Headers],[22]],FDR[22],"",0,1)</f>
        <v>1</v>
      </c>
      <c r="AI67" cm="1">
        <f t="array" ref="AI67">_xlfn.XLOOKUP(Matrix[[#This Row],[TEAM]]&amp;Matrix[[#Headers],[23]],FDR[FDR]&amp;FDR[[#Headers],[23]],FDR[23],"",0,1)</f>
        <v>2</v>
      </c>
      <c r="AJ67" cm="1">
        <f t="array" ref="AJ67">_xlfn.XLOOKUP(Matrix[[#This Row],[TEAM]]&amp;Matrix[[#Headers],[24]],FDR[FDR]&amp;FDR[[#Headers],[24]],FDR[24],"",0,1)</f>
        <v>2</v>
      </c>
      <c r="AK67" cm="1">
        <f t="array" ref="AK67">_xlfn.XLOOKUP(Matrix[[#This Row],[TEAM]]&amp;Matrix[[#Headers],[25]],FDR[FDR]&amp;FDR[[#Headers],[25]],FDR[25],"",0,1)</f>
        <v>3</v>
      </c>
      <c r="AL67" cm="1">
        <f t="array" ref="AL67">_xlfn.XLOOKUP(Matrix[[#This Row],[TEAM]]&amp;Matrix[[#Headers],[26]],FDR[FDR]&amp;FDR[[#Headers],[26]],FDR[26],"",0,1)</f>
        <v>1</v>
      </c>
      <c r="AM67" cm="1">
        <f t="array" ref="AM67">_xlfn.XLOOKUP(Matrix[[#This Row],[TEAM]]&amp;Matrix[[#Headers],[27]],FDR[FDR]&amp;FDR[[#Headers],[27]],FDR[27],"",0,1)</f>
        <v>2</v>
      </c>
      <c r="AN67" cm="1">
        <f t="array" ref="AN67">_xlfn.XLOOKUP(Matrix[[#This Row],[TEAM]]&amp;Matrix[[#Headers],[28]],FDR[FDR]&amp;FDR[[#Headers],[28]],FDR[28],"",0,1)</f>
        <v>1</v>
      </c>
      <c r="AO67" cm="1">
        <f t="array" ref="AO67">_xlfn.XLOOKUP(Matrix[[#This Row],[TEAM]]&amp;Matrix[[#Headers],[29]],FDR[FDR]&amp;FDR[[#Headers],[29]],FDR[29],"",0,1)</f>
        <v>1</v>
      </c>
      <c r="AP67" cm="1">
        <f t="array" ref="AP67">_xlfn.XLOOKUP(Matrix[[#This Row],[TEAM]]&amp;Matrix[[#Headers],[30]],FDR[FDR]&amp;FDR[[#Headers],[30]],FDR[30],"",0,1)</f>
        <v>2</v>
      </c>
      <c r="AQ67" cm="1">
        <f t="array" ref="AQ67">_xlfn.XLOOKUP(Matrix[[#This Row],[TEAM]]&amp;Matrix[[#Headers],[31]],FDR[FDR]&amp;FDR[[#Headers],[31]],FDR[31],"",0,1)</f>
        <v>2</v>
      </c>
      <c r="AR67" cm="1">
        <f t="array" ref="AR67">_xlfn.XLOOKUP(Matrix[[#This Row],[TEAM]]&amp;Matrix[[#Headers],[32]],FDR[FDR]&amp;FDR[[#Headers],[32]],FDR[32],"",0,1)</f>
        <v>1</v>
      </c>
      <c r="AS67" cm="1">
        <f t="array" ref="AS67">_xlfn.XLOOKUP(Matrix[[#This Row],[TEAM]]&amp;Matrix[[#Headers],[33]],FDR[FDR]&amp;FDR[[#Headers],[33]],FDR[33],"",0,1)</f>
        <v>2</v>
      </c>
      <c r="AT67" cm="1">
        <f t="array" ref="AT67">_xlfn.XLOOKUP(Matrix[[#This Row],[TEAM]]&amp;Matrix[[#Headers],[34]],FDR[FDR]&amp;FDR[[#Headers],[34]],FDR[34],"",0,1)</f>
        <v>1</v>
      </c>
      <c r="AU67" cm="1">
        <f t="array" ref="AU67">_xlfn.XLOOKUP(Matrix[[#This Row],[TEAM]]&amp;Matrix[[#Headers],[35]],FDR[FDR]&amp;FDR[[#Headers],[35]],FDR[35],"",0,1)</f>
        <v>3</v>
      </c>
      <c r="AV67" cm="1">
        <f t="array" ref="AV67">_xlfn.XLOOKUP(Matrix[[#This Row],[TEAM]]&amp;Matrix[[#Headers],[36]],FDR[FDR]&amp;FDR[[#Headers],[36]],FDR[36],"",0,1)</f>
        <v>2</v>
      </c>
      <c r="AW67" cm="1">
        <f t="array" ref="AW67">_xlfn.XLOOKUP(Matrix[[#This Row],[TEAM]]&amp;Matrix[[#Headers],[37]],FDR[FDR]&amp;FDR[[#Headers],[37]],FDR[37],"",0,1)</f>
        <v>3</v>
      </c>
      <c r="AX67" cm="1">
        <f t="array" ref="AX67">_xlfn.XLOOKUP(Matrix[[#This Row],[TEAM]]&amp;Matrix[[#Headers],[38]],FDR[FDR]&amp;FDR[[#Headers],[38]],FDR[38],"",0,1)</f>
        <v>1</v>
      </c>
    </row>
    <row r="68" spans="1:50" ht="22" thickTop="1" thickBot="1">
      <c r="A68" s="51" t="s">
        <v>657</v>
      </c>
      <c r="B68" s="70" t="s">
        <v>1353</v>
      </c>
      <c r="C68" s="40" t="s">
        <v>17</v>
      </c>
      <c r="D68" s="62">
        <v>134</v>
      </c>
      <c r="E68" s="60">
        <v>8.5000000000000006E-2</v>
      </c>
      <c r="F68" s="61">
        <v>157.30000000000001</v>
      </c>
      <c r="G68" s="63">
        <v>6</v>
      </c>
      <c r="H68" s="261">
        <f>IF(ISBLANK(I68),0,1)</f>
        <v>0</v>
      </c>
      <c r="I68" s="57"/>
      <c r="J68" s="58"/>
      <c r="K68" s="65" t="s">
        <v>571</v>
      </c>
      <c r="L68" s="65" t="s">
        <v>335</v>
      </c>
      <c r="M68" cm="1">
        <f t="array" ref="M68">_xlfn.XLOOKUP(Matrix[[#This Row],[TEAM]]&amp;Matrix[[#Headers],[1]],FDR[FDR]&amp;FDR[[#Headers],[1]],FDR[1],"",0,1)</f>
        <v>1</v>
      </c>
      <c r="N68" cm="1">
        <f t="array" ref="N68">_xlfn.XLOOKUP(Matrix[[#This Row],[TEAM]]&amp;Matrix[[#Headers],[2]],FDR[FDR]&amp;FDR[[#Headers],[2]],FDR[2],"",0,1)</f>
        <v>3</v>
      </c>
      <c r="O68" cm="1">
        <f t="array" ref="O68">_xlfn.XLOOKUP(Matrix[[#This Row],[TEAM]]&amp;Matrix[[#Headers],[3]],FDR[FDR]&amp;FDR[[#Headers],[3]],FDR[3],"",0,1)</f>
        <v>3</v>
      </c>
      <c r="P68" cm="1">
        <f t="array" ref="P68">_xlfn.XLOOKUP(Matrix[[#This Row],[TEAM]]&amp;Matrix[[#Headers],[4]],FDR[FDR]&amp;FDR[[#Headers],[4]],FDR[4],"",0,1)</f>
        <v>1</v>
      </c>
      <c r="Q68" cm="1">
        <f t="array" ref="Q68">_xlfn.XLOOKUP(Matrix[[#This Row],[TEAM]]&amp;Matrix[[#Headers],[5]],FDR[FDR]&amp;FDR[[#Headers],[5]],FDR[5],"",0,1)</f>
        <v>1</v>
      </c>
      <c r="R68" cm="1">
        <f t="array" ref="R68">_xlfn.XLOOKUP(Matrix[[#This Row],[TEAM]]&amp;Matrix[[#Headers],[6]],FDR[FDR]&amp;FDR[[#Headers],[6]],FDR[6],"",0,1)</f>
        <v>2</v>
      </c>
      <c r="S68" cm="1">
        <f t="array" ref="S68">_xlfn.XLOOKUP(Matrix[[#This Row],[TEAM]]&amp;Matrix[[#Headers],[7]],FDR[FDR]&amp;FDR[[#Headers],[7]],FDR[7],"",0,1)</f>
        <v>3</v>
      </c>
      <c r="T68" cm="1">
        <f t="array" ref="T68">_xlfn.XLOOKUP(Matrix[[#This Row],[TEAM]]&amp;Matrix[[#Headers],[8]],FDR[FDR]&amp;FDR[[#Headers],[8]],FDR[8],"",0,1)</f>
        <v>2</v>
      </c>
      <c r="U68" cm="1">
        <f t="array" ref="U68">_xlfn.XLOOKUP(Matrix[[#This Row],[TEAM]]&amp;Matrix[[#Headers],[9]],FDR[FDR]&amp;FDR[[#Headers],[9]],FDR[9],"",0,1)</f>
        <v>2</v>
      </c>
      <c r="V68" cm="1">
        <f t="array" ref="V68">_xlfn.XLOOKUP(Matrix[[#This Row],[TEAM]]&amp;Matrix[[#Headers],[10]],FDR[FDR]&amp;FDR[[#Headers],[10]],FDR[10],"",0,1)</f>
        <v>2</v>
      </c>
      <c r="W68" cm="1">
        <f t="array" ref="W68">_xlfn.XLOOKUP(Matrix[[#This Row],[TEAM]]&amp;Matrix[[#Headers],[11]],FDR[FDR]&amp;FDR[[#Headers],[11]],FDR[11],"",0,1)</f>
        <v>3</v>
      </c>
      <c r="X68" cm="1">
        <f t="array" ref="X68">_xlfn.XLOOKUP(Matrix[[#This Row],[TEAM]]&amp;Matrix[[#Headers],[12]],FDR[FDR]&amp;FDR[[#Headers],[12]],FDR[12],"",0,1)</f>
        <v>1</v>
      </c>
      <c r="Y68" cm="1">
        <f t="array" ref="Y68">_xlfn.XLOOKUP(Matrix[[#This Row],[TEAM]]&amp;Matrix[[#Headers],[13]],FDR[FDR]&amp;FDR[[#Headers],[13]],FDR[13],"",0,1)</f>
        <v>2</v>
      </c>
      <c r="Z68" cm="1">
        <f t="array" ref="Z68">_xlfn.XLOOKUP(Matrix[[#This Row],[TEAM]]&amp;Matrix[[#Headers],[14]],FDR[FDR]&amp;FDR[[#Headers],[14]],FDR[14],"",0,1)</f>
        <v>1</v>
      </c>
      <c r="AA68" cm="1">
        <f t="array" ref="AA68">_xlfn.XLOOKUP(Matrix[[#This Row],[TEAM]]&amp;Matrix[[#Headers],[15]],FDR[FDR]&amp;FDR[[#Headers],[15]],FDR[15],"",0,1)</f>
        <v>1</v>
      </c>
      <c r="AB68" cm="1">
        <f t="array" ref="AB68">_xlfn.XLOOKUP(Matrix[[#This Row],[TEAM]]&amp;Matrix[[#Headers],[16]],FDR[FDR]&amp;FDR[[#Headers],[16]],FDR[16],"",0,1)</f>
        <v>1</v>
      </c>
      <c r="AC68" cm="1">
        <f t="array" ref="AC68">_xlfn.XLOOKUP(Matrix[[#This Row],[TEAM]]&amp;Matrix[[#Headers],[17]],FDR[FDR]&amp;FDR[[#Headers],[17]],FDR[17],"",0,1)</f>
        <v>3</v>
      </c>
      <c r="AD68" cm="1">
        <f t="array" ref="AD68">_xlfn.XLOOKUP(Matrix[[#This Row],[TEAM]]&amp;Matrix[[#Headers],[18]],FDR[FDR]&amp;FDR[[#Headers],[18]],FDR[18],"",0,1)</f>
        <v>1</v>
      </c>
      <c r="AE68" cm="1">
        <f t="array" ref="AE68">_xlfn.XLOOKUP(Matrix[[#This Row],[TEAM]]&amp;Matrix[[#Headers],[19]],FDR[FDR]&amp;FDR[[#Headers],[19]],FDR[19],"",0,1)</f>
        <v>1</v>
      </c>
      <c r="AF68" cm="1">
        <f t="array" ref="AF68">_xlfn.XLOOKUP(Matrix[[#This Row],[TEAM]]&amp;Matrix[[#Headers],[20]],FDR[FDR]&amp;FDR[[#Headers],[20]],FDR[20],"",0,1)</f>
        <v>2</v>
      </c>
      <c r="AG68" cm="1">
        <f t="array" ref="AG68">_xlfn.XLOOKUP(Matrix[[#This Row],[TEAM]]&amp;Matrix[[#Headers],[21]],FDR[FDR]&amp;FDR[[#Headers],[21]],FDR[21],"",0,1)</f>
        <v>3</v>
      </c>
      <c r="AH68" cm="1">
        <f t="array" ref="AH68">_xlfn.XLOOKUP(Matrix[[#This Row],[TEAM]]&amp;Matrix[[#Headers],[22]],FDR[FDR]&amp;FDR[[#Headers],[22]],FDR[22],"",0,1)</f>
        <v>1</v>
      </c>
      <c r="AI68" cm="1">
        <f t="array" ref="AI68">_xlfn.XLOOKUP(Matrix[[#This Row],[TEAM]]&amp;Matrix[[#Headers],[23]],FDR[FDR]&amp;FDR[[#Headers],[23]],FDR[23],"",0,1)</f>
        <v>2</v>
      </c>
      <c r="AJ68" cm="1">
        <f t="array" ref="AJ68">_xlfn.XLOOKUP(Matrix[[#This Row],[TEAM]]&amp;Matrix[[#Headers],[24]],FDR[FDR]&amp;FDR[[#Headers],[24]],FDR[24],"",0,1)</f>
        <v>2</v>
      </c>
      <c r="AK68" cm="1">
        <f t="array" ref="AK68">_xlfn.XLOOKUP(Matrix[[#This Row],[TEAM]]&amp;Matrix[[#Headers],[25]],FDR[FDR]&amp;FDR[[#Headers],[25]],FDR[25],"",0,1)</f>
        <v>3</v>
      </c>
      <c r="AL68" cm="1">
        <f t="array" ref="AL68">_xlfn.XLOOKUP(Matrix[[#This Row],[TEAM]]&amp;Matrix[[#Headers],[26]],FDR[FDR]&amp;FDR[[#Headers],[26]],FDR[26],"",0,1)</f>
        <v>1</v>
      </c>
      <c r="AM68" cm="1">
        <f t="array" ref="AM68">_xlfn.XLOOKUP(Matrix[[#This Row],[TEAM]]&amp;Matrix[[#Headers],[27]],FDR[FDR]&amp;FDR[[#Headers],[27]],FDR[27],"",0,1)</f>
        <v>2</v>
      </c>
      <c r="AN68" cm="1">
        <f t="array" ref="AN68">_xlfn.XLOOKUP(Matrix[[#This Row],[TEAM]]&amp;Matrix[[#Headers],[28]],FDR[FDR]&amp;FDR[[#Headers],[28]],FDR[28],"",0,1)</f>
        <v>1</v>
      </c>
      <c r="AO68" cm="1">
        <f t="array" ref="AO68">_xlfn.XLOOKUP(Matrix[[#This Row],[TEAM]]&amp;Matrix[[#Headers],[29]],FDR[FDR]&amp;FDR[[#Headers],[29]],FDR[29],"",0,1)</f>
        <v>1</v>
      </c>
      <c r="AP68" cm="1">
        <f t="array" ref="AP68">_xlfn.XLOOKUP(Matrix[[#This Row],[TEAM]]&amp;Matrix[[#Headers],[30]],FDR[FDR]&amp;FDR[[#Headers],[30]],FDR[30],"",0,1)</f>
        <v>2</v>
      </c>
      <c r="AQ68" cm="1">
        <f t="array" ref="AQ68">_xlfn.XLOOKUP(Matrix[[#This Row],[TEAM]]&amp;Matrix[[#Headers],[31]],FDR[FDR]&amp;FDR[[#Headers],[31]],FDR[31],"",0,1)</f>
        <v>2</v>
      </c>
      <c r="AR68" cm="1">
        <f t="array" ref="AR68">_xlfn.XLOOKUP(Matrix[[#This Row],[TEAM]]&amp;Matrix[[#Headers],[32]],FDR[FDR]&amp;FDR[[#Headers],[32]],FDR[32],"",0,1)</f>
        <v>1</v>
      </c>
      <c r="AS68" cm="1">
        <f t="array" ref="AS68">_xlfn.XLOOKUP(Matrix[[#This Row],[TEAM]]&amp;Matrix[[#Headers],[33]],FDR[FDR]&amp;FDR[[#Headers],[33]],FDR[33],"",0,1)</f>
        <v>2</v>
      </c>
      <c r="AT68" cm="1">
        <f t="array" ref="AT68">_xlfn.XLOOKUP(Matrix[[#This Row],[TEAM]]&amp;Matrix[[#Headers],[34]],FDR[FDR]&amp;FDR[[#Headers],[34]],FDR[34],"",0,1)</f>
        <v>1</v>
      </c>
      <c r="AU68" cm="1">
        <f t="array" ref="AU68">_xlfn.XLOOKUP(Matrix[[#This Row],[TEAM]]&amp;Matrix[[#Headers],[35]],FDR[FDR]&amp;FDR[[#Headers],[35]],FDR[35],"",0,1)</f>
        <v>3</v>
      </c>
      <c r="AV68" cm="1">
        <f t="array" ref="AV68">_xlfn.XLOOKUP(Matrix[[#This Row],[TEAM]]&amp;Matrix[[#Headers],[36]],FDR[FDR]&amp;FDR[[#Headers],[36]],FDR[36],"",0,1)</f>
        <v>2</v>
      </c>
      <c r="AW68" cm="1">
        <f t="array" ref="AW68">_xlfn.XLOOKUP(Matrix[[#This Row],[TEAM]]&amp;Matrix[[#Headers],[37]],FDR[FDR]&amp;FDR[[#Headers],[37]],FDR[37],"",0,1)</f>
        <v>3</v>
      </c>
      <c r="AX68" cm="1">
        <f t="array" ref="AX68">_xlfn.XLOOKUP(Matrix[[#This Row],[TEAM]]&amp;Matrix[[#Headers],[38]],FDR[FDR]&amp;FDR[[#Headers],[38]],FDR[38],"",0,1)</f>
        <v>1</v>
      </c>
    </row>
    <row r="69" spans="1:50" ht="22" thickTop="1" thickBot="1">
      <c r="A69" s="51" t="s">
        <v>657</v>
      </c>
      <c r="B69" s="70" t="s">
        <v>1356</v>
      </c>
      <c r="C69" s="40" t="s">
        <v>17</v>
      </c>
      <c r="D69" s="62">
        <v>91</v>
      </c>
      <c r="E69" s="60">
        <v>1.7999999999999999E-2</v>
      </c>
      <c r="F69" s="61">
        <v>124.4</v>
      </c>
      <c r="G69" s="63">
        <v>6</v>
      </c>
      <c r="H69" s="261">
        <f>IF(ISBLANK(I69),0,1)</f>
        <v>0</v>
      </c>
      <c r="I69" s="57"/>
      <c r="J69" s="58"/>
      <c r="K69" s="65" t="s">
        <v>402</v>
      </c>
      <c r="L69" s="65" t="s">
        <v>108</v>
      </c>
      <c r="M69" cm="1">
        <f t="array" ref="M69">_xlfn.XLOOKUP(Matrix[[#This Row],[TEAM]]&amp;Matrix[[#Headers],[1]],FDR[FDR]&amp;FDR[[#Headers],[1]],FDR[1],"",0,1)</f>
        <v>1</v>
      </c>
      <c r="N69" cm="1">
        <f t="array" ref="N69">_xlfn.XLOOKUP(Matrix[[#This Row],[TEAM]]&amp;Matrix[[#Headers],[2]],FDR[FDR]&amp;FDR[[#Headers],[2]],FDR[2],"",0,1)</f>
        <v>3</v>
      </c>
      <c r="O69" cm="1">
        <f t="array" ref="O69">_xlfn.XLOOKUP(Matrix[[#This Row],[TEAM]]&amp;Matrix[[#Headers],[3]],FDR[FDR]&amp;FDR[[#Headers],[3]],FDR[3],"",0,1)</f>
        <v>3</v>
      </c>
      <c r="P69" cm="1">
        <f t="array" ref="P69">_xlfn.XLOOKUP(Matrix[[#This Row],[TEAM]]&amp;Matrix[[#Headers],[4]],FDR[FDR]&amp;FDR[[#Headers],[4]],FDR[4],"",0,1)</f>
        <v>1</v>
      </c>
      <c r="Q69" cm="1">
        <f t="array" ref="Q69">_xlfn.XLOOKUP(Matrix[[#This Row],[TEAM]]&amp;Matrix[[#Headers],[5]],FDR[FDR]&amp;FDR[[#Headers],[5]],FDR[5],"",0,1)</f>
        <v>1</v>
      </c>
      <c r="R69" cm="1">
        <f t="array" ref="R69">_xlfn.XLOOKUP(Matrix[[#This Row],[TEAM]]&amp;Matrix[[#Headers],[6]],FDR[FDR]&amp;FDR[[#Headers],[6]],FDR[6],"",0,1)</f>
        <v>2</v>
      </c>
      <c r="S69" cm="1">
        <f t="array" ref="S69">_xlfn.XLOOKUP(Matrix[[#This Row],[TEAM]]&amp;Matrix[[#Headers],[7]],FDR[FDR]&amp;FDR[[#Headers],[7]],FDR[7],"",0,1)</f>
        <v>3</v>
      </c>
      <c r="T69" cm="1">
        <f t="array" ref="T69">_xlfn.XLOOKUP(Matrix[[#This Row],[TEAM]]&amp;Matrix[[#Headers],[8]],FDR[FDR]&amp;FDR[[#Headers],[8]],FDR[8],"",0,1)</f>
        <v>2</v>
      </c>
      <c r="U69" cm="1">
        <f t="array" ref="U69">_xlfn.XLOOKUP(Matrix[[#This Row],[TEAM]]&amp;Matrix[[#Headers],[9]],FDR[FDR]&amp;FDR[[#Headers],[9]],FDR[9],"",0,1)</f>
        <v>2</v>
      </c>
      <c r="V69" cm="1">
        <f t="array" ref="V69">_xlfn.XLOOKUP(Matrix[[#This Row],[TEAM]]&amp;Matrix[[#Headers],[10]],FDR[FDR]&amp;FDR[[#Headers],[10]],FDR[10],"",0,1)</f>
        <v>2</v>
      </c>
      <c r="W69" cm="1">
        <f t="array" ref="W69">_xlfn.XLOOKUP(Matrix[[#This Row],[TEAM]]&amp;Matrix[[#Headers],[11]],FDR[FDR]&amp;FDR[[#Headers],[11]],FDR[11],"",0,1)</f>
        <v>3</v>
      </c>
      <c r="X69" cm="1">
        <f t="array" ref="X69">_xlfn.XLOOKUP(Matrix[[#This Row],[TEAM]]&amp;Matrix[[#Headers],[12]],FDR[FDR]&amp;FDR[[#Headers],[12]],FDR[12],"",0,1)</f>
        <v>1</v>
      </c>
      <c r="Y69" cm="1">
        <f t="array" ref="Y69">_xlfn.XLOOKUP(Matrix[[#This Row],[TEAM]]&amp;Matrix[[#Headers],[13]],FDR[FDR]&amp;FDR[[#Headers],[13]],FDR[13],"",0,1)</f>
        <v>2</v>
      </c>
      <c r="Z69" cm="1">
        <f t="array" ref="Z69">_xlfn.XLOOKUP(Matrix[[#This Row],[TEAM]]&amp;Matrix[[#Headers],[14]],FDR[FDR]&amp;FDR[[#Headers],[14]],FDR[14],"",0,1)</f>
        <v>1</v>
      </c>
      <c r="AA69" cm="1">
        <f t="array" ref="AA69">_xlfn.XLOOKUP(Matrix[[#This Row],[TEAM]]&amp;Matrix[[#Headers],[15]],FDR[FDR]&amp;FDR[[#Headers],[15]],FDR[15],"",0,1)</f>
        <v>1</v>
      </c>
      <c r="AB69" cm="1">
        <f t="array" ref="AB69">_xlfn.XLOOKUP(Matrix[[#This Row],[TEAM]]&amp;Matrix[[#Headers],[16]],FDR[FDR]&amp;FDR[[#Headers],[16]],FDR[16],"",0,1)</f>
        <v>1</v>
      </c>
      <c r="AC69" cm="1">
        <f t="array" ref="AC69">_xlfn.XLOOKUP(Matrix[[#This Row],[TEAM]]&amp;Matrix[[#Headers],[17]],FDR[FDR]&amp;FDR[[#Headers],[17]],FDR[17],"",0,1)</f>
        <v>3</v>
      </c>
      <c r="AD69" cm="1">
        <f t="array" ref="AD69">_xlfn.XLOOKUP(Matrix[[#This Row],[TEAM]]&amp;Matrix[[#Headers],[18]],FDR[FDR]&amp;FDR[[#Headers],[18]],FDR[18],"",0,1)</f>
        <v>1</v>
      </c>
      <c r="AE69" cm="1">
        <f t="array" ref="AE69">_xlfn.XLOOKUP(Matrix[[#This Row],[TEAM]]&amp;Matrix[[#Headers],[19]],FDR[FDR]&amp;FDR[[#Headers],[19]],FDR[19],"",0,1)</f>
        <v>1</v>
      </c>
      <c r="AF69" cm="1">
        <f t="array" ref="AF69">_xlfn.XLOOKUP(Matrix[[#This Row],[TEAM]]&amp;Matrix[[#Headers],[20]],FDR[FDR]&amp;FDR[[#Headers],[20]],FDR[20],"",0,1)</f>
        <v>2</v>
      </c>
      <c r="AG69" cm="1">
        <f t="array" ref="AG69">_xlfn.XLOOKUP(Matrix[[#This Row],[TEAM]]&amp;Matrix[[#Headers],[21]],FDR[FDR]&amp;FDR[[#Headers],[21]],FDR[21],"",0,1)</f>
        <v>3</v>
      </c>
      <c r="AH69" cm="1">
        <f t="array" ref="AH69">_xlfn.XLOOKUP(Matrix[[#This Row],[TEAM]]&amp;Matrix[[#Headers],[22]],FDR[FDR]&amp;FDR[[#Headers],[22]],FDR[22],"",0,1)</f>
        <v>1</v>
      </c>
      <c r="AI69" cm="1">
        <f t="array" ref="AI69">_xlfn.XLOOKUP(Matrix[[#This Row],[TEAM]]&amp;Matrix[[#Headers],[23]],FDR[FDR]&amp;FDR[[#Headers],[23]],FDR[23],"",0,1)</f>
        <v>2</v>
      </c>
      <c r="AJ69" cm="1">
        <f t="array" ref="AJ69">_xlfn.XLOOKUP(Matrix[[#This Row],[TEAM]]&amp;Matrix[[#Headers],[24]],FDR[FDR]&amp;FDR[[#Headers],[24]],FDR[24],"",0,1)</f>
        <v>2</v>
      </c>
      <c r="AK69" cm="1">
        <f t="array" ref="AK69">_xlfn.XLOOKUP(Matrix[[#This Row],[TEAM]]&amp;Matrix[[#Headers],[25]],FDR[FDR]&amp;FDR[[#Headers],[25]],FDR[25],"",0,1)</f>
        <v>3</v>
      </c>
      <c r="AL69" cm="1">
        <f t="array" ref="AL69">_xlfn.XLOOKUP(Matrix[[#This Row],[TEAM]]&amp;Matrix[[#Headers],[26]],FDR[FDR]&amp;FDR[[#Headers],[26]],FDR[26],"",0,1)</f>
        <v>1</v>
      </c>
      <c r="AM69" cm="1">
        <f t="array" ref="AM69">_xlfn.XLOOKUP(Matrix[[#This Row],[TEAM]]&amp;Matrix[[#Headers],[27]],FDR[FDR]&amp;FDR[[#Headers],[27]],FDR[27],"",0,1)</f>
        <v>2</v>
      </c>
      <c r="AN69" cm="1">
        <f t="array" ref="AN69">_xlfn.XLOOKUP(Matrix[[#This Row],[TEAM]]&amp;Matrix[[#Headers],[28]],FDR[FDR]&amp;FDR[[#Headers],[28]],FDR[28],"",0,1)</f>
        <v>1</v>
      </c>
      <c r="AO69" cm="1">
        <f t="array" ref="AO69">_xlfn.XLOOKUP(Matrix[[#This Row],[TEAM]]&amp;Matrix[[#Headers],[29]],FDR[FDR]&amp;FDR[[#Headers],[29]],FDR[29],"",0,1)</f>
        <v>1</v>
      </c>
      <c r="AP69" cm="1">
        <f t="array" ref="AP69">_xlfn.XLOOKUP(Matrix[[#This Row],[TEAM]]&amp;Matrix[[#Headers],[30]],FDR[FDR]&amp;FDR[[#Headers],[30]],FDR[30],"",0,1)</f>
        <v>2</v>
      </c>
      <c r="AQ69" cm="1">
        <f t="array" ref="AQ69">_xlfn.XLOOKUP(Matrix[[#This Row],[TEAM]]&amp;Matrix[[#Headers],[31]],FDR[FDR]&amp;FDR[[#Headers],[31]],FDR[31],"",0,1)</f>
        <v>2</v>
      </c>
      <c r="AR69" cm="1">
        <f t="array" ref="AR69">_xlfn.XLOOKUP(Matrix[[#This Row],[TEAM]]&amp;Matrix[[#Headers],[32]],FDR[FDR]&amp;FDR[[#Headers],[32]],FDR[32],"",0,1)</f>
        <v>1</v>
      </c>
      <c r="AS69" cm="1">
        <f t="array" ref="AS69">_xlfn.XLOOKUP(Matrix[[#This Row],[TEAM]]&amp;Matrix[[#Headers],[33]],FDR[FDR]&amp;FDR[[#Headers],[33]],FDR[33],"",0,1)</f>
        <v>2</v>
      </c>
      <c r="AT69" cm="1">
        <f t="array" ref="AT69">_xlfn.XLOOKUP(Matrix[[#This Row],[TEAM]]&amp;Matrix[[#Headers],[34]],FDR[FDR]&amp;FDR[[#Headers],[34]],FDR[34],"",0,1)</f>
        <v>1</v>
      </c>
      <c r="AU69" cm="1">
        <f t="array" ref="AU69">_xlfn.XLOOKUP(Matrix[[#This Row],[TEAM]]&amp;Matrix[[#Headers],[35]],FDR[FDR]&amp;FDR[[#Headers],[35]],FDR[35],"",0,1)</f>
        <v>3</v>
      </c>
      <c r="AV69" cm="1">
        <f t="array" ref="AV69">_xlfn.XLOOKUP(Matrix[[#This Row],[TEAM]]&amp;Matrix[[#Headers],[36]],FDR[FDR]&amp;FDR[[#Headers],[36]],FDR[36],"",0,1)</f>
        <v>2</v>
      </c>
      <c r="AW69" cm="1">
        <f t="array" ref="AW69">_xlfn.XLOOKUP(Matrix[[#This Row],[TEAM]]&amp;Matrix[[#Headers],[37]],FDR[FDR]&amp;FDR[[#Headers],[37]],FDR[37],"",0,1)</f>
        <v>3</v>
      </c>
      <c r="AX69" cm="1">
        <f t="array" ref="AX69">_xlfn.XLOOKUP(Matrix[[#This Row],[TEAM]]&amp;Matrix[[#Headers],[38]],FDR[FDR]&amp;FDR[[#Headers],[38]],FDR[38],"",0,1)</f>
        <v>1</v>
      </c>
    </row>
    <row r="70" spans="1:50" ht="22" thickTop="1" thickBot="1">
      <c r="A70" s="50" t="str">
        <f>INDEX!S$4</f>
        <v>MID</v>
      </c>
      <c r="B70" s="70" t="s">
        <v>1363</v>
      </c>
      <c r="C70" s="40" t="s">
        <v>27</v>
      </c>
      <c r="D70" s="62">
        <v>126</v>
      </c>
      <c r="E70" s="60">
        <v>0.01</v>
      </c>
      <c r="F70" s="61">
        <v>154</v>
      </c>
      <c r="G70" s="63">
        <v>6</v>
      </c>
      <c r="H70" s="261">
        <f>IF(ISBLANK(I70),0,1)</f>
        <v>0</v>
      </c>
      <c r="I70" s="57"/>
      <c r="J70" s="58"/>
      <c r="K70" s="59" t="s">
        <v>428</v>
      </c>
      <c r="L70" s="59" t="s">
        <v>344</v>
      </c>
      <c r="M70" cm="1">
        <f t="array" ref="M70">_xlfn.XLOOKUP(Matrix[[#This Row],[TEAM]]&amp;Matrix[[#Headers],[1]],FDR[FDR]&amp;FDR[[#Headers],[1]],FDR[1],"",0,1)</f>
        <v>2</v>
      </c>
      <c r="N70" cm="1">
        <f t="array" ref="N70">_xlfn.XLOOKUP(Matrix[[#This Row],[TEAM]]&amp;Matrix[[#Headers],[2]],FDR[FDR]&amp;FDR[[#Headers],[2]],FDR[2],"",0,1)</f>
        <v>4</v>
      </c>
      <c r="O70" cm="1">
        <f t="array" ref="O70">_xlfn.XLOOKUP(Matrix[[#This Row],[TEAM]]&amp;Matrix[[#Headers],[3]],FDR[FDR]&amp;FDR[[#Headers],[3]],FDR[3],"",0,1)</f>
        <v>4</v>
      </c>
      <c r="P70" cm="1">
        <f t="array" ref="P70">_xlfn.XLOOKUP(Matrix[[#This Row],[TEAM]]&amp;Matrix[[#Headers],[4]],FDR[FDR]&amp;FDR[[#Headers],[4]],FDR[4],"",0,1)</f>
        <v>4</v>
      </c>
      <c r="Q70" cm="1">
        <f t="array" ref="Q70">_xlfn.XLOOKUP(Matrix[[#This Row],[TEAM]]&amp;Matrix[[#Headers],[5]],FDR[FDR]&amp;FDR[[#Headers],[5]],FDR[5],"",0,1)</f>
        <v>3</v>
      </c>
      <c r="R70" cm="1">
        <f t="array" ref="R70">_xlfn.XLOOKUP(Matrix[[#This Row],[TEAM]]&amp;Matrix[[#Headers],[6]],FDR[FDR]&amp;FDR[[#Headers],[6]],FDR[6],"",0,1)</f>
        <v>4</v>
      </c>
      <c r="S70" cm="1">
        <f t="array" ref="S70">_xlfn.XLOOKUP(Matrix[[#This Row],[TEAM]]&amp;Matrix[[#Headers],[7]],FDR[FDR]&amp;FDR[[#Headers],[7]],FDR[7],"",0,1)</f>
        <v>5</v>
      </c>
      <c r="T70" cm="1">
        <f t="array" ref="T70">_xlfn.XLOOKUP(Matrix[[#This Row],[TEAM]]&amp;Matrix[[#Headers],[8]],FDR[FDR]&amp;FDR[[#Headers],[8]],FDR[8],"",0,1)</f>
        <v>3</v>
      </c>
      <c r="U70" cm="1">
        <f t="array" ref="U70">_xlfn.XLOOKUP(Matrix[[#This Row],[TEAM]]&amp;Matrix[[#Headers],[9]],FDR[FDR]&amp;FDR[[#Headers],[9]],FDR[9],"",0,1)</f>
        <v>2</v>
      </c>
      <c r="V70" cm="1">
        <f t="array" ref="V70">_xlfn.XLOOKUP(Matrix[[#This Row],[TEAM]]&amp;Matrix[[#Headers],[10]],FDR[FDR]&amp;FDR[[#Headers],[10]],FDR[10],"",0,1)</f>
        <v>4</v>
      </c>
      <c r="W70" cm="1">
        <f t="array" ref="W70">_xlfn.XLOOKUP(Matrix[[#This Row],[TEAM]]&amp;Matrix[[#Headers],[11]],FDR[FDR]&amp;FDR[[#Headers],[11]],FDR[11],"",0,1)</f>
        <v>1</v>
      </c>
      <c r="X70" cm="1">
        <f t="array" ref="X70">_xlfn.XLOOKUP(Matrix[[#This Row],[TEAM]]&amp;Matrix[[#Headers],[12]],FDR[FDR]&amp;FDR[[#Headers],[12]],FDR[12],"",0,1)</f>
        <v>4</v>
      </c>
      <c r="Y70" cm="1">
        <f t="array" ref="Y70">_xlfn.XLOOKUP(Matrix[[#This Row],[TEAM]]&amp;Matrix[[#Headers],[13]],FDR[FDR]&amp;FDR[[#Headers],[13]],FDR[13],"",0,1)</f>
        <v>4</v>
      </c>
      <c r="Z70" cm="1">
        <f t="array" ref="Z70">_xlfn.XLOOKUP(Matrix[[#This Row],[TEAM]]&amp;Matrix[[#Headers],[14]],FDR[FDR]&amp;FDR[[#Headers],[14]],FDR[14],"",0,1)</f>
        <v>5</v>
      </c>
      <c r="AA70" cm="1">
        <f t="array" ref="AA70">_xlfn.XLOOKUP(Matrix[[#This Row],[TEAM]]&amp;Matrix[[#Headers],[15]],FDR[FDR]&amp;FDR[[#Headers],[15]],FDR[15],"",0,1)</f>
        <v>4</v>
      </c>
      <c r="AB70" cm="1">
        <f t="array" ref="AB70">_xlfn.XLOOKUP(Matrix[[#This Row],[TEAM]]&amp;Matrix[[#Headers],[16]],FDR[FDR]&amp;FDR[[#Headers],[16]],FDR[16],"",0,1)</f>
        <v>4</v>
      </c>
      <c r="AC70" cm="1">
        <f t="array" ref="AC70">_xlfn.XLOOKUP(Matrix[[#This Row],[TEAM]]&amp;Matrix[[#Headers],[17]],FDR[FDR]&amp;FDR[[#Headers],[17]],FDR[17],"",0,1)</f>
        <v>5</v>
      </c>
      <c r="AD70" cm="1">
        <f t="array" ref="AD70">_xlfn.XLOOKUP(Matrix[[#This Row],[TEAM]]&amp;Matrix[[#Headers],[18]],FDR[FDR]&amp;FDR[[#Headers],[18]],FDR[18],"",0,1)</f>
        <v>3</v>
      </c>
      <c r="AE70" cm="1">
        <f t="array" ref="AE70">_xlfn.XLOOKUP(Matrix[[#This Row],[TEAM]]&amp;Matrix[[#Headers],[19]],FDR[FDR]&amp;FDR[[#Headers],[19]],FDR[19],"",0,1)</f>
        <v>3</v>
      </c>
      <c r="AF70" cm="1">
        <f t="array" ref="AF70">_xlfn.XLOOKUP(Matrix[[#This Row],[TEAM]]&amp;Matrix[[#Headers],[20]],FDR[FDR]&amp;FDR[[#Headers],[20]],FDR[20],"",0,1)</f>
        <v>2</v>
      </c>
      <c r="AG70" cm="1">
        <f t="array" ref="AG70">_xlfn.XLOOKUP(Matrix[[#This Row],[TEAM]]&amp;Matrix[[#Headers],[21]],FDR[FDR]&amp;FDR[[#Headers],[21]],FDR[21],"",0,1)</f>
        <v>3</v>
      </c>
      <c r="AH70" cm="1">
        <f t="array" ref="AH70">_xlfn.XLOOKUP(Matrix[[#This Row],[TEAM]]&amp;Matrix[[#Headers],[22]],FDR[FDR]&amp;FDR[[#Headers],[22]],FDR[22],"",0,1)</f>
        <v>5</v>
      </c>
      <c r="AI70" cm="1">
        <f t="array" ref="AI70">_xlfn.XLOOKUP(Matrix[[#This Row],[TEAM]]&amp;Matrix[[#Headers],[23]],FDR[FDR]&amp;FDR[[#Headers],[23]],FDR[23],"",0,1)</f>
        <v>1</v>
      </c>
      <c r="AJ70" cm="1">
        <f t="array" ref="AJ70">_xlfn.XLOOKUP(Matrix[[#This Row],[TEAM]]&amp;Matrix[[#Headers],[24]],FDR[FDR]&amp;FDR[[#Headers],[24]],FDR[24],"",0,1)</f>
        <v>5</v>
      </c>
      <c r="AK70" cm="1">
        <f t="array" ref="AK70">_xlfn.XLOOKUP(Matrix[[#This Row],[TEAM]]&amp;Matrix[[#Headers],[25]],FDR[FDR]&amp;FDR[[#Headers],[25]],FDR[25],"",0,1)</f>
        <v>2</v>
      </c>
      <c r="AL70" cm="1">
        <f t="array" ref="AL70">_xlfn.XLOOKUP(Matrix[[#This Row],[TEAM]]&amp;Matrix[[#Headers],[26]],FDR[FDR]&amp;FDR[[#Headers],[26]],FDR[26],"",0,1)</f>
        <v>4</v>
      </c>
      <c r="AM70" cm="1">
        <f t="array" ref="AM70">_xlfn.XLOOKUP(Matrix[[#This Row],[TEAM]]&amp;Matrix[[#Headers],[27]],FDR[FDR]&amp;FDR[[#Headers],[27]],FDR[27],"",0,1)</f>
        <v>3</v>
      </c>
      <c r="AN70" cm="1">
        <f t="array" ref="AN70">_xlfn.XLOOKUP(Matrix[[#This Row],[TEAM]]&amp;Matrix[[#Headers],[28]],FDR[FDR]&amp;FDR[[#Headers],[28]],FDR[28],"",0,1)</f>
        <v>5</v>
      </c>
      <c r="AO70" cm="1">
        <f t="array" ref="AO70">_xlfn.XLOOKUP(Matrix[[#This Row],[TEAM]]&amp;Matrix[[#Headers],[29]],FDR[FDR]&amp;FDR[[#Headers],[29]],FDR[29],"",0,1)</f>
        <v>4</v>
      </c>
      <c r="AP70" cm="1">
        <f t="array" ref="AP70">_xlfn.XLOOKUP(Matrix[[#This Row],[TEAM]]&amp;Matrix[[#Headers],[30]],FDR[FDR]&amp;FDR[[#Headers],[30]],FDR[30],"",0,1)</f>
        <v>4</v>
      </c>
      <c r="AQ70" cm="1">
        <f t="array" ref="AQ70">_xlfn.XLOOKUP(Matrix[[#This Row],[TEAM]]&amp;Matrix[[#Headers],[31]],FDR[FDR]&amp;FDR[[#Headers],[31]],FDR[31],"",0,1)</f>
        <v>5</v>
      </c>
      <c r="AR70" cm="1">
        <f t="array" ref="AR70">_xlfn.XLOOKUP(Matrix[[#This Row],[TEAM]]&amp;Matrix[[#Headers],[32]],FDR[FDR]&amp;FDR[[#Headers],[32]],FDR[32],"",0,1)</f>
        <v>2</v>
      </c>
      <c r="AS70" cm="1">
        <f t="array" ref="AS70">_xlfn.XLOOKUP(Matrix[[#This Row],[TEAM]]&amp;Matrix[[#Headers],[33]],FDR[FDR]&amp;FDR[[#Headers],[33]],FDR[33],"",0,1)</f>
        <v>4</v>
      </c>
      <c r="AT70" cm="1">
        <f t="array" ref="AT70">_xlfn.XLOOKUP(Matrix[[#This Row],[TEAM]]&amp;Matrix[[#Headers],[34]],FDR[FDR]&amp;FDR[[#Headers],[34]],FDR[34],"",0,1)</f>
        <v>3</v>
      </c>
      <c r="AU70" cm="1">
        <f t="array" ref="AU70">_xlfn.XLOOKUP(Matrix[[#This Row],[TEAM]]&amp;Matrix[[#Headers],[35]],FDR[FDR]&amp;FDR[[#Headers],[35]],FDR[35],"",0,1)</f>
        <v>4</v>
      </c>
      <c r="AV70" cm="1">
        <f t="array" ref="AV70">_xlfn.XLOOKUP(Matrix[[#This Row],[TEAM]]&amp;Matrix[[#Headers],[36]],FDR[FDR]&amp;FDR[[#Headers],[36]],FDR[36],"",0,1)</f>
        <v>4</v>
      </c>
      <c r="AW70" cm="1">
        <f t="array" ref="AW70">_xlfn.XLOOKUP(Matrix[[#This Row],[TEAM]]&amp;Matrix[[#Headers],[37]],FDR[FDR]&amp;FDR[[#Headers],[37]],FDR[37],"",0,1)</f>
        <v>5</v>
      </c>
      <c r="AX70" cm="1">
        <f t="array" ref="AX70">_xlfn.XLOOKUP(Matrix[[#This Row],[TEAM]]&amp;Matrix[[#Headers],[38]],FDR[FDR]&amp;FDR[[#Headers],[38]],FDR[38],"",0,1)</f>
        <v>1</v>
      </c>
    </row>
    <row r="71" spans="1:50" ht="22" thickTop="1" thickBot="1">
      <c r="A71" s="50" t="str">
        <f>INDEX!S$4</f>
        <v>MID</v>
      </c>
      <c r="B71" s="70" t="s">
        <v>1355</v>
      </c>
      <c r="C71" s="40" t="s">
        <v>28</v>
      </c>
      <c r="D71" s="62">
        <v>121</v>
      </c>
      <c r="E71" s="60">
        <v>0.02</v>
      </c>
      <c r="F71" s="61">
        <v>209.6</v>
      </c>
      <c r="G71" s="63">
        <v>6</v>
      </c>
      <c r="H71" s="261">
        <f>IF(ISBLANK(I71),0,1)</f>
        <v>0</v>
      </c>
      <c r="I71" s="57"/>
      <c r="J71" s="58"/>
      <c r="K71" s="59" t="s">
        <v>448</v>
      </c>
      <c r="L71" s="59" t="s">
        <v>201</v>
      </c>
      <c r="M71" cm="1">
        <f t="array" ref="M71">_xlfn.XLOOKUP(Matrix[[#This Row],[TEAM]]&amp;Matrix[[#Headers],[1]],FDR[FDR]&amp;FDR[[#Headers],[1]],FDR[1],"",0,1)</f>
        <v>3</v>
      </c>
      <c r="N71" cm="1">
        <f t="array" ref="N71">_xlfn.XLOOKUP(Matrix[[#This Row],[TEAM]]&amp;Matrix[[#Headers],[2]],FDR[FDR]&amp;FDR[[#Headers],[2]],FDR[2],"",0,1)</f>
        <v>2</v>
      </c>
      <c r="O71" cm="1">
        <f t="array" ref="O71">_xlfn.XLOOKUP(Matrix[[#This Row],[TEAM]]&amp;Matrix[[#Headers],[3]],FDR[FDR]&amp;FDR[[#Headers],[3]],FDR[3],"",0,1)</f>
        <v>1</v>
      </c>
      <c r="P71" cm="1">
        <f t="array" ref="P71">_xlfn.XLOOKUP(Matrix[[#This Row],[TEAM]]&amp;Matrix[[#Headers],[4]],FDR[FDR]&amp;FDR[[#Headers],[4]],FDR[4],"",0,1)</f>
        <v>2</v>
      </c>
      <c r="Q71" cm="1">
        <f t="array" ref="Q71">_xlfn.XLOOKUP(Matrix[[#This Row],[TEAM]]&amp;Matrix[[#Headers],[5]],FDR[FDR]&amp;FDR[[#Headers],[5]],FDR[5],"",0,1)</f>
        <v>1</v>
      </c>
      <c r="R71" cm="1">
        <f t="array" ref="R71">_xlfn.XLOOKUP(Matrix[[#This Row],[TEAM]]&amp;Matrix[[#Headers],[6]],FDR[FDR]&amp;FDR[[#Headers],[6]],FDR[6],"",0,1)</f>
        <v>2</v>
      </c>
      <c r="S71" cm="1">
        <f t="array" ref="S71">_xlfn.XLOOKUP(Matrix[[#This Row],[TEAM]]&amp;Matrix[[#Headers],[7]],FDR[FDR]&amp;FDR[[#Headers],[7]],FDR[7],"",0,1)</f>
        <v>1</v>
      </c>
      <c r="T71" cm="1">
        <f t="array" ref="T71">_xlfn.XLOOKUP(Matrix[[#This Row],[TEAM]]&amp;Matrix[[#Headers],[8]],FDR[FDR]&amp;FDR[[#Headers],[8]],FDR[8],"",0,1)</f>
        <v>4</v>
      </c>
      <c r="U71" cm="1">
        <f t="array" ref="U71">_xlfn.XLOOKUP(Matrix[[#This Row],[TEAM]]&amp;Matrix[[#Headers],[9]],FDR[FDR]&amp;FDR[[#Headers],[9]],FDR[9],"",0,1)</f>
        <v>3</v>
      </c>
      <c r="V71" cm="1">
        <f t="array" ref="V71">_xlfn.XLOOKUP(Matrix[[#This Row],[TEAM]]&amp;Matrix[[#Headers],[10]],FDR[FDR]&amp;FDR[[#Headers],[10]],FDR[10],"",0,1)</f>
        <v>4</v>
      </c>
      <c r="W71" cm="1">
        <f t="array" ref="W71">_xlfn.XLOOKUP(Matrix[[#This Row],[TEAM]]&amp;Matrix[[#Headers],[11]],FDR[FDR]&amp;FDR[[#Headers],[11]],FDR[11],"",0,1)</f>
        <v>2</v>
      </c>
      <c r="X71" cm="1">
        <f t="array" ref="X71">_xlfn.XLOOKUP(Matrix[[#This Row],[TEAM]]&amp;Matrix[[#Headers],[12]],FDR[FDR]&amp;FDR[[#Headers],[12]],FDR[12],"",0,1)</f>
        <v>1</v>
      </c>
      <c r="Y71" cm="1">
        <f t="array" ref="Y71">_xlfn.XLOOKUP(Matrix[[#This Row],[TEAM]]&amp;Matrix[[#Headers],[13]],FDR[FDR]&amp;FDR[[#Headers],[13]],FDR[13],"",0,1)</f>
        <v>1</v>
      </c>
      <c r="Z71" cm="1">
        <f t="array" ref="Z71">_xlfn.XLOOKUP(Matrix[[#This Row],[TEAM]]&amp;Matrix[[#Headers],[14]],FDR[FDR]&amp;FDR[[#Headers],[14]],FDR[14],"",0,1)</f>
        <v>3</v>
      </c>
      <c r="AA71" cm="1">
        <f t="array" ref="AA71">_xlfn.XLOOKUP(Matrix[[#This Row],[TEAM]]&amp;Matrix[[#Headers],[15]],FDR[FDR]&amp;FDR[[#Headers],[15]],FDR[15],"",0,1)</f>
        <v>3</v>
      </c>
      <c r="AB71" cm="1">
        <f t="array" ref="AB71">_xlfn.XLOOKUP(Matrix[[#This Row],[TEAM]]&amp;Matrix[[#Headers],[16]],FDR[FDR]&amp;FDR[[#Headers],[16]],FDR[16],"",0,1)</f>
        <v>2</v>
      </c>
      <c r="AC71" cm="1">
        <f t="array" ref="AC71">_xlfn.XLOOKUP(Matrix[[#This Row],[TEAM]]&amp;Matrix[[#Headers],[17]],FDR[FDR]&amp;FDR[[#Headers],[17]],FDR[17],"",0,1)</f>
        <v>3</v>
      </c>
      <c r="AD71" cm="1">
        <f t="array" ref="AD71">_xlfn.XLOOKUP(Matrix[[#This Row],[TEAM]]&amp;Matrix[[#Headers],[18]],FDR[FDR]&amp;FDR[[#Headers],[18]],FDR[18],"",0,1)</f>
        <v>4</v>
      </c>
      <c r="AE71" cm="1">
        <f t="array" ref="AE71">_xlfn.XLOOKUP(Matrix[[#This Row],[TEAM]]&amp;Matrix[[#Headers],[19]],FDR[FDR]&amp;FDR[[#Headers],[19]],FDR[19],"",0,1)</f>
        <v>4</v>
      </c>
      <c r="AF71" cm="1">
        <f t="array" ref="AF71">_xlfn.XLOOKUP(Matrix[[#This Row],[TEAM]]&amp;Matrix[[#Headers],[20]],FDR[FDR]&amp;FDR[[#Headers],[20]],FDR[20],"",0,1)</f>
        <v>2</v>
      </c>
      <c r="AG71" cm="1">
        <f t="array" ref="AG71">_xlfn.XLOOKUP(Matrix[[#This Row],[TEAM]]&amp;Matrix[[#Headers],[21]],FDR[FDR]&amp;FDR[[#Headers],[21]],FDR[21],"",0,1)</f>
        <v>2</v>
      </c>
      <c r="AH71" cm="1">
        <f t="array" ref="AH71">_xlfn.XLOOKUP(Matrix[[#This Row],[TEAM]]&amp;Matrix[[#Headers],[22]],FDR[FDR]&amp;FDR[[#Headers],[22]],FDR[22],"",0,1)</f>
        <v>1</v>
      </c>
      <c r="AI71" cm="1">
        <f t="array" ref="AI71">_xlfn.XLOOKUP(Matrix[[#This Row],[TEAM]]&amp;Matrix[[#Headers],[23]],FDR[FDR]&amp;FDR[[#Headers],[23]],FDR[23],"",0,1)</f>
        <v>4</v>
      </c>
      <c r="AJ71" cm="1">
        <f t="array" ref="AJ71">_xlfn.XLOOKUP(Matrix[[#This Row],[TEAM]]&amp;Matrix[[#Headers],[24]],FDR[FDR]&amp;FDR[[#Headers],[24]],FDR[24],"",0,1)</f>
        <v>1</v>
      </c>
      <c r="AK71" cm="1">
        <f t="array" ref="AK71">_xlfn.XLOOKUP(Matrix[[#This Row],[TEAM]]&amp;Matrix[[#Headers],[25]],FDR[FDR]&amp;FDR[[#Headers],[25]],FDR[25],"",0,1)</f>
        <v>3</v>
      </c>
      <c r="AL71" cm="1">
        <f t="array" ref="AL71">_xlfn.XLOOKUP(Matrix[[#This Row],[TEAM]]&amp;Matrix[[#Headers],[26]],FDR[FDR]&amp;FDR[[#Headers],[26]],FDR[26],"",0,1)</f>
        <v>2</v>
      </c>
      <c r="AM71" cm="1">
        <f t="array" ref="AM71">_xlfn.XLOOKUP(Matrix[[#This Row],[TEAM]]&amp;Matrix[[#Headers],[27]],FDR[FDR]&amp;FDR[[#Headers],[27]],FDR[27],"",0,1)</f>
        <v>1</v>
      </c>
      <c r="AN71" cm="1">
        <f t="array" ref="AN71">_xlfn.XLOOKUP(Matrix[[#This Row],[TEAM]]&amp;Matrix[[#Headers],[28]],FDR[FDR]&amp;FDR[[#Headers],[28]],FDR[28],"",0,1)</f>
        <v>1</v>
      </c>
      <c r="AO71" cm="1">
        <f t="array" ref="AO71">_xlfn.XLOOKUP(Matrix[[#This Row],[TEAM]]&amp;Matrix[[#Headers],[29]],FDR[FDR]&amp;FDR[[#Headers],[29]],FDR[29],"",0,1)</f>
        <v>3</v>
      </c>
      <c r="AP71" cm="1">
        <f t="array" ref="AP71">_xlfn.XLOOKUP(Matrix[[#This Row],[TEAM]]&amp;Matrix[[#Headers],[30]],FDR[FDR]&amp;FDR[[#Headers],[30]],FDR[30],"",0,1)</f>
        <v>4</v>
      </c>
      <c r="AQ71" cm="1">
        <f t="array" ref="AQ71">_xlfn.XLOOKUP(Matrix[[#This Row],[TEAM]]&amp;Matrix[[#Headers],[31]],FDR[FDR]&amp;FDR[[#Headers],[31]],FDR[31],"",0,1)</f>
        <v>1</v>
      </c>
      <c r="AR71" cm="1">
        <f t="array" ref="AR71">_xlfn.XLOOKUP(Matrix[[#This Row],[TEAM]]&amp;Matrix[[#Headers],[32]],FDR[FDR]&amp;FDR[[#Headers],[32]],FDR[32],"",0,1)</f>
        <v>3</v>
      </c>
      <c r="AS71" cm="1">
        <f t="array" ref="AS71">_xlfn.XLOOKUP(Matrix[[#This Row],[TEAM]]&amp;Matrix[[#Headers],[33]],FDR[FDR]&amp;FDR[[#Headers],[33]],FDR[33],"",0,1)</f>
        <v>1</v>
      </c>
      <c r="AT71" cm="1">
        <f t="array" ref="AT71">_xlfn.XLOOKUP(Matrix[[#This Row],[TEAM]]&amp;Matrix[[#Headers],[34]],FDR[FDR]&amp;FDR[[#Headers],[34]],FDR[34],"",0,1)</f>
        <v>3</v>
      </c>
      <c r="AU71" cm="1">
        <f t="array" ref="AU71">_xlfn.XLOOKUP(Matrix[[#This Row],[TEAM]]&amp;Matrix[[#Headers],[35]],FDR[FDR]&amp;FDR[[#Headers],[35]],FDR[35],"",0,1)</f>
        <v>3</v>
      </c>
      <c r="AV71" cm="1">
        <f t="array" ref="AV71">_xlfn.XLOOKUP(Matrix[[#This Row],[TEAM]]&amp;Matrix[[#Headers],[36]],FDR[FDR]&amp;FDR[[#Headers],[36]],FDR[36],"",0,1)</f>
        <v>1</v>
      </c>
      <c r="AW71" cm="1">
        <f t="array" ref="AW71">_xlfn.XLOOKUP(Matrix[[#This Row],[TEAM]]&amp;Matrix[[#Headers],[37]],FDR[FDR]&amp;FDR[[#Headers],[37]],FDR[37],"",0,1)</f>
        <v>3</v>
      </c>
      <c r="AX71" cm="1">
        <f t="array" ref="AX71">_xlfn.XLOOKUP(Matrix[[#This Row],[TEAM]]&amp;Matrix[[#Headers],[38]],FDR[FDR]&amp;FDR[[#Headers],[38]],FDR[38],"",0,1)</f>
        <v>4</v>
      </c>
    </row>
    <row r="72" spans="1:50" ht="22" thickTop="1" thickBot="1">
      <c r="A72" s="50" t="str">
        <f>INDEX!S$4</f>
        <v>MID</v>
      </c>
      <c r="B72" s="70" t="s">
        <v>1373</v>
      </c>
      <c r="C72" s="40" t="s">
        <v>21</v>
      </c>
      <c r="D72" s="62">
        <v>111</v>
      </c>
      <c r="E72" s="60">
        <v>2E-3</v>
      </c>
      <c r="F72" s="61">
        <v>187.2</v>
      </c>
      <c r="G72" s="63">
        <v>6</v>
      </c>
      <c r="H72" s="261">
        <f>IF(ISBLANK(I72),0,1)</f>
        <v>0</v>
      </c>
      <c r="I72" s="57"/>
      <c r="J72" s="58"/>
      <c r="K72" s="59" t="s">
        <v>496</v>
      </c>
      <c r="L72" s="59" t="s">
        <v>993</v>
      </c>
      <c r="M72" cm="1">
        <f t="array" ref="M72">_xlfn.XLOOKUP(Matrix[[#This Row],[TEAM]]&amp;Matrix[[#Headers],[1]],FDR[FDR]&amp;FDR[[#Headers],[1]],FDR[1],"",0,1)</f>
        <v>4</v>
      </c>
      <c r="N72" cm="1">
        <f t="array" ref="N72">_xlfn.XLOOKUP(Matrix[[#This Row],[TEAM]]&amp;Matrix[[#Headers],[2]],FDR[FDR]&amp;FDR[[#Headers],[2]],FDR[2],"",0,1)</f>
        <v>4</v>
      </c>
      <c r="O72" cm="1">
        <f t="array" ref="O72">_xlfn.XLOOKUP(Matrix[[#This Row],[TEAM]]&amp;Matrix[[#Headers],[3]],FDR[FDR]&amp;FDR[[#Headers],[3]],FDR[3],"",0,1)</f>
        <v>2</v>
      </c>
      <c r="P72" cm="1">
        <f t="array" ref="P72">_xlfn.XLOOKUP(Matrix[[#This Row],[TEAM]]&amp;Matrix[[#Headers],[4]],FDR[FDR]&amp;FDR[[#Headers],[4]],FDR[4],"",0,1)</f>
        <v>4</v>
      </c>
      <c r="Q72" cm="1">
        <f t="array" ref="Q72">_xlfn.XLOOKUP(Matrix[[#This Row],[TEAM]]&amp;Matrix[[#Headers],[5]],FDR[FDR]&amp;FDR[[#Headers],[5]],FDR[5],"",0,1)</f>
        <v>4</v>
      </c>
      <c r="R72" cm="1">
        <f t="array" ref="R72">_xlfn.XLOOKUP(Matrix[[#This Row],[TEAM]]&amp;Matrix[[#Headers],[6]],FDR[FDR]&amp;FDR[[#Headers],[6]],FDR[6],"",0,1)</f>
        <v>4</v>
      </c>
      <c r="S72" cm="1">
        <f t="array" ref="S72">_xlfn.XLOOKUP(Matrix[[#This Row],[TEAM]]&amp;Matrix[[#Headers],[7]],FDR[FDR]&amp;FDR[[#Headers],[7]],FDR[7],"",0,1)</f>
        <v>4</v>
      </c>
      <c r="T72" cm="1">
        <f t="array" ref="T72">_xlfn.XLOOKUP(Matrix[[#This Row],[TEAM]]&amp;Matrix[[#Headers],[8]],FDR[FDR]&amp;FDR[[#Headers],[8]],FDR[8],"",0,1)</f>
        <v>4</v>
      </c>
      <c r="U72" cm="1">
        <f t="array" ref="U72">_xlfn.XLOOKUP(Matrix[[#This Row],[TEAM]]&amp;Matrix[[#Headers],[9]],FDR[FDR]&amp;FDR[[#Headers],[9]],FDR[9],"",0,1)</f>
        <v>4</v>
      </c>
      <c r="V72" cm="1">
        <f t="array" ref="V72">_xlfn.XLOOKUP(Matrix[[#This Row],[TEAM]]&amp;Matrix[[#Headers],[10]],FDR[FDR]&amp;FDR[[#Headers],[10]],FDR[10],"",0,1)</f>
        <v>4</v>
      </c>
      <c r="W72" cm="1">
        <f t="array" ref="W72">_xlfn.XLOOKUP(Matrix[[#This Row],[TEAM]]&amp;Matrix[[#Headers],[11]],FDR[FDR]&amp;FDR[[#Headers],[11]],FDR[11],"",0,1)</f>
        <v>4</v>
      </c>
      <c r="X72" cm="1">
        <f t="array" ref="X72">_xlfn.XLOOKUP(Matrix[[#This Row],[TEAM]]&amp;Matrix[[#Headers],[12]],FDR[FDR]&amp;FDR[[#Headers],[12]],FDR[12],"",0,1)</f>
        <v>4</v>
      </c>
      <c r="Y72" cm="1">
        <f t="array" ref="Y72">_xlfn.XLOOKUP(Matrix[[#This Row],[TEAM]]&amp;Matrix[[#Headers],[13]],FDR[FDR]&amp;FDR[[#Headers],[13]],FDR[13],"",0,1)</f>
        <v>1</v>
      </c>
      <c r="Z72" cm="1">
        <f t="array" ref="Z72">_xlfn.XLOOKUP(Matrix[[#This Row],[TEAM]]&amp;Matrix[[#Headers],[14]],FDR[FDR]&amp;FDR[[#Headers],[14]],FDR[14],"",0,1)</f>
        <v>5</v>
      </c>
      <c r="AA72" cm="1">
        <f t="array" ref="AA72">_xlfn.XLOOKUP(Matrix[[#This Row],[TEAM]]&amp;Matrix[[#Headers],[15]],FDR[FDR]&amp;FDR[[#Headers],[15]],FDR[15],"",0,1)</f>
        <v>5</v>
      </c>
      <c r="AB72" cm="1">
        <f t="array" ref="AB72">_xlfn.XLOOKUP(Matrix[[#This Row],[TEAM]]&amp;Matrix[[#Headers],[16]],FDR[FDR]&amp;FDR[[#Headers],[16]],FDR[16],"",0,1)</f>
        <v>1</v>
      </c>
      <c r="AC72" cm="1">
        <f t="array" ref="AC72">_xlfn.XLOOKUP(Matrix[[#This Row],[TEAM]]&amp;Matrix[[#Headers],[17]],FDR[FDR]&amp;FDR[[#Headers],[17]],FDR[17],"",0,1)</f>
        <v>2</v>
      </c>
      <c r="AD72" cm="1">
        <f t="array" ref="AD72">_xlfn.XLOOKUP(Matrix[[#This Row],[TEAM]]&amp;Matrix[[#Headers],[18]],FDR[FDR]&amp;FDR[[#Headers],[18]],FDR[18],"",0,1)</f>
        <v>3</v>
      </c>
      <c r="AE72" cm="1">
        <f t="array" ref="AE72">_xlfn.XLOOKUP(Matrix[[#This Row],[TEAM]]&amp;Matrix[[#Headers],[19]],FDR[FDR]&amp;FDR[[#Headers],[19]],FDR[19],"",0,1)</f>
        <v>4</v>
      </c>
      <c r="AF72" cm="1">
        <f t="array" ref="AF72">_xlfn.XLOOKUP(Matrix[[#This Row],[TEAM]]&amp;Matrix[[#Headers],[20]],FDR[FDR]&amp;FDR[[#Headers],[20]],FDR[20],"",0,1)</f>
        <v>4</v>
      </c>
      <c r="AG72" cm="1">
        <f t="array" ref="AG72">_xlfn.XLOOKUP(Matrix[[#This Row],[TEAM]]&amp;Matrix[[#Headers],[21]],FDR[FDR]&amp;FDR[[#Headers],[21]],FDR[21],"",0,1)</f>
        <v>1</v>
      </c>
      <c r="AH72" cm="1">
        <f t="array" ref="AH72">_xlfn.XLOOKUP(Matrix[[#This Row],[TEAM]]&amp;Matrix[[#Headers],[22]],FDR[FDR]&amp;FDR[[#Headers],[22]],FDR[22],"",0,1)</f>
        <v>5</v>
      </c>
      <c r="AI72" cm="1">
        <f t="array" ref="AI72">_xlfn.XLOOKUP(Matrix[[#This Row],[TEAM]]&amp;Matrix[[#Headers],[23]],FDR[FDR]&amp;FDR[[#Headers],[23]],FDR[23],"",0,1)</f>
        <v>3</v>
      </c>
      <c r="AJ72" cm="1">
        <f t="array" ref="AJ72">_xlfn.XLOOKUP(Matrix[[#This Row],[TEAM]]&amp;Matrix[[#Headers],[24]],FDR[FDR]&amp;FDR[[#Headers],[24]],FDR[24],"",0,1)</f>
        <v>5</v>
      </c>
      <c r="AK72" cm="1">
        <f t="array" ref="AK72">_xlfn.XLOOKUP(Matrix[[#This Row],[TEAM]]&amp;Matrix[[#Headers],[25]],FDR[FDR]&amp;FDR[[#Headers],[25]],FDR[25],"",0,1)</f>
        <v>5</v>
      </c>
      <c r="AL72" cm="1">
        <f t="array" ref="AL72">_xlfn.XLOOKUP(Matrix[[#This Row],[TEAM]]&amp;Matrix[[#Headers],[26]],FDR[FDR]&amp;FDR[[#Headers],[26]],FDR[26],"",0,1)</f>
        <v>4</v>
      </c>
      <c r="AM72" cm="1">
        <f t="array" ref="AM72">_xlfn.XLOOKUP(Matrix[[#This Row],[TEAM]]&amp;Matrix[[#Headers],[27]],FDR[FDR]&amp;FDR[[#Headers],[27]],FDR[27],"",0,1)</f>
        <v>3</v>
      </c>
      <c r="AN72" cm="1">
        <f t="array" ref="AN72">_xlfn.XLOOKUP(Matrix[[#This Row],[TEAM]]&amp;Matrix[[#Headers],[28]],FDR[FDR]&amp;FDR[[#Headers],[28]],FDR[28],"",0,1)</f>
        <v>2</v>
      </c>
      <c r="AO72" cm="1">
        <f t="array" ref="AO72">_xlfn.XLOOKUP(Matrix[[#This Row],[TEAM]]&amp;Matrix[[#Headers],[29]],FDR[FDR]&amp;FDR[[#Headers],[29]],FDR[29],"",0,1)</f>
        <v>4</v>
      </c>
      <c r="AP72" cm="1">
        <f t="array" ref="AP72">_xlfn.XLOOKUP(Matrix[[#This Row],[TEAM]]&amp;Matrix[[#Headers],[30]],FDR[FDR]&amp;FDR[[#Headers],[30]],FDR[30],"",0,1)</f>
        <v>2</v>
      </c>
      <c r="AQ72" cm="1">
        <f t="array" ref="AQ72">_xlfn.XLOOKUP(Matrix[[#This Row],[TEAM]]&amp;Matrix[[#Headers],[31]],FDR[FDR]&amp;FDR[[#Headers],[31]],FDR[31],"",0,1)</f>
        <v>2</v>
      </c>
      <c r="AR72" cm="1">
        <f t="array" ref="AR72">_xlfn.XLOOKUP(Matrix[[#This Row],[TEAM]]&amp;Matrix[[#Headers],[32]],FDR[FDR]&amp;FDR[[#Headers],[32]],FDR[32],"",0,1)</f>
        <v>3</v>
      </c>
      <c r="AS72" cm="1">
        <f t="array" ref="AS72">_xlfn.XLOOKUP(Matrix[[#This Row],[TEAM]]&amp;Matrix[[#Headers],[33]],FDR[FDR]&amp;FDR[[#Headers],[33]],FDR[33],"",0,1)</f>
        <v>3</v>
      </c>
      <c r="AT72" cm="1">
        <f t="array" ref="AT72">_xlfn.XLOOKUP(Matrix[[#This Row],[TEAM]]&amp;Matrix[[#Headers],[34]],FDR[FDR]&amp;FDR[[#Headers],[34]],FDR[34],"",0,1)</f>
        <v>5</v>
      </c>
      <c r="AU72" cm="1">
        <f t="array" ref="AU72">_xlfn.XLOOKUP(Matrix[[#This Row],[TEAM]]&amp;Matrix[[#Headers],[35]],FDR[FDR]&amp;FDR[[#Headers],[35]],FDR[35],"",0,1)</f>
        <v>3</v>
      </c>
      <c r="AV72" cm="1">
        <f t="array" ref="AV72">_xlfn.XLOOKUP(Matrix[[#This Row],[TEAM]]&amp;Matrix[[#Headers],[36]],FDR[FDR]&amp;FDR[[#Headers],[36]],FDR[36],"",0,1)</f>
        <v>5</v>
      </c>
      <c r="AW72" cm="1">
        <f t="array" ref="AW72">_xlfn.XLOOKUP(Matrix[[#This Row],[TEAM]]&amp;Matrix[[#Headers],[37]],FDR[FDR]&amp;FDR[[#Headers],[37]],FDR[37],"",0,1)</f>
        <v>3</v>
      </c>
      <c r="AX72" cm="1">
        <f t="array" ref="AX72">_xlfn.XLOOKUP(Matrix[[#This Row],[TEAM]]&amp;Matrix[[#Headers],[38]],FDR[FDR]&amp;FDR[[#Headers],[38]],FDR[38],"",0,1)</f>
        <v>5</v>
      </c>
    </row>
    <row r="73" spans="1:50" ht="22" thickTop="1" thickBot="1">
      <c r="A73" s="50" t="str">
        <f>INDEX!S$4</f>
        <v>MID</v>
      </c>
      <c r="B73" s="70" t="s">
        <v>1357</v>
      </c>
      <c r="C73" s="40" t="s">
        <v>52</v>
      </c>
      <c r="D73" s="62">
        <v>103</v>
      </c>
      <c r="E73" s="60">
        <v>1.4999999999999999E-2</v>
      </c>
      <c r="F73" s="61">
        <v>151</v>
      </c>
      <c r="G73" s="63">
        <v>6</v>
      </c>
      <c r="H73" s="261">
        <f>IF(ISBLANK(I73),0,1)</f>
        <v>0</v>
      </c>
      <c r="I73" s="57"/>
      <c r="J73" s="58"/>
      <c r="K73" s="59" t="s">
        <v>364</v>
      </c>
      <c r="L73" s="59" t="s">
        <v>258</v>
      </c>
      <c r="M73" cm="1">
        <f t="array" ref="M73">_xlfn.XLOOKUP(Matrix[[#This Row],[TEAM]]&amp;Matrix[[#Headers],[1]],FDR[FDR]&amp;FDR[[#Headers],[1]],FDR[1],"",0,1)</f>
        <v>2</v>
      </c>
      <c r="N73" cm="1">
        <f t="array" ref="N73">_xlfn.XLOOKUP(Matrix[[#This Row],[TEAM]]&amp;Matrix[[#Headers],[2]],FDR[FDR]&amp;FDR[[#Headers],[2]],FDR[2],"",0,1)</f>
        <v>3</v>
      </c>
      <c r="O73" cm="1">
        <f t="array" ref="O73">_xlfn.XLOOKUP(Matrix[[#This Row],[TEAM]]&amp;Matrix[[#Headers],[3]],FDR[FDR]&amp;FDR[[#Headers],[3]],FDR[3],"",0,1)</f>
        <v>2</v>
      </c>
      <c r="P73" cm="1">
        <f t="array" ref="P73">_xlfn.XLOOKUP(Matrix[[#This Row],[TEAM]]&amp;Matrix[[#Headers],[4]],FDR[FDR]&amp;FDR[[#Headers],[4]],FDR[4],"",0,1)</f>
        <v>5</v>
      </c>
      <c r="Q73" cm="1">
        <f t="array" ref="Q73">_xlfn.XLOOKUP(Matrix[[#This Row],[TEAM]]&amp;Matrix[[#Headers],[5]],FDR[FDR]&amp;FDR[[#Headers],[5]],FDR[5],"",0,1)</f>
        <v>2</v>
      </c>
      <c r="R73" cm="1">
        <f t="array" ref="R73">_xlfn.XLOOKUP(Matrix[[#This Row],[TEAM]]&amp;Matrix[[#Headers],[6]],FDR[FDR]&amp;FDR[[#Headers],[6]],FDR[6],"",0,1)</f>
        <v>1</v>
      </c>
      <c r="S73" cm="1">
        <f t="array" ref="S73">_xlfn.XLOOKUP(Matrix[[#This Row],[TEAM]]&amp;Matrix[[#Headers],[7]],FDR[FDR]&amp;FDR[[#Headers],[7]],FDR[7],"",0,1)</f>
        <v>5</v>
      </c>
      <c r="T73" cm="1">
        <f t="array" ref="T73">_xlfn.XLOOKUP(Matrix[[#This Row],[TEAM]]&amp;Matrix[[#Headers],[8]],FDR[FDR]&amp;FDR[[#Headers],[8]],FDR[8],"",0,1)</f>
        <v>4</v>
      </c>
      <c r="U73" cm="1">
        <f t="array" ref="U73">_xlfn.XLOOKUP(Matrix[[#This Row],[TEAM]]&amp;Matrix[[#Headers],[9]],FDR[FDR]&amp;FDR[[#Headers],[9]],FDR[9],"",0,1)</f>
        <v>4</v>
      </c>
      <c r="V73" cm="1">
        <f t="array" ref="V73">_xlfn.XLOOKUP(Matrix[[#This Row],[TEAM]]&amp;Matrix[[#Headers],[10]],FDR[FDR]&amp;FDR[[#Headers],[10]],FDR[10],"",0,1)</f>
        <v>4</v>
      </c>
      <c r="W73" cm="1">
        <f t="array" ref="W73">_xlfn.XLOOKUP(Matrix[[#This Row],[TEAM]]&amp;Matrix[[#Headers],[11]],FDR[FDR]&amp;FDR[[#Headers],[11]],FDR[11],"",0,1)</f>
        <v>1</v>
      </c>
      <c r="X73" cm="1">
        <f t="array" ref="X73">_xlfn.XLOOKUP(Matrix[[#This Row],[TEAM]]&amp;Matrix[[#Headers],[12]],FDR[FDR]&amp;FDR[[#Headers],[12]],FDR[12],"",0,1)</f>
        <v>5</v>
      </c>
      <c r="Y73" cm="1">
        <f t="array" ref="Y73">_xlfn.XLOOKUP(Matrix[[#This Row],[TEAM]]&amp;Matrix[[#Headers],[13]],FDR[FDR]&amp;FDR[[#Headers],[13]],FDR[13],"",0,1)</f>
        <v>3</v>
      </c>
      <c r="Z73" cm="1">
        <f t="array" ref="Z73">_xlfn.XLOOKUP(Matrix[[#This Row],[TEAM]]&amp;Matrix[[#Headers],[14]],FDR[FDR]&amp;FDR[[#Headers],[14]],FDR[14],"",0,1)</f>
        <v>2</v>
      </c>
      <c r="AA73" cm="1">
        <f t="array" ref="AA73">_xlfn.XLOOKUP(Matrix[[#This Row],[TEAM]]&amp;Matrix[[#Headers],[15]],FDR[FDR]&amp;FDR[[#Headers],[15]],FDR[15],"",0,1)</f>
        <v>3</v>
      </c>
      <c r="AB73" cm="1">
        <f t="array" ref="AB73">_xlfn.XLOOKUP(Matrix[[#This Row],[TEAM]]&amp;Matrix[[#Headers],[16]],FDR[FDR]&amp;FDR[[#Headers],[16]],FDR[16],"",0,1)</f>
        <v>4</v>
      </c>
      <c r="AC73" cm="1">
        <f t="array" ref="AC73">_xlfn.XLOOKUP(Matrix[[#This Row],[TEAM]]&amp;Matrix[[#Headers],[17]],FDR[FDR]&amp;FDR[[#Headers],[17]],FDR[17],"",0,1)</f>
        <v>4</v>
      </c>
      <c r="AD73" cm="1">
        <f t="array" ref="AD73">_xlfn.XLOOKUP(Matrix[[#This Row],[TEAM]]&amp;Matrix[[#Headers],[18]],FDR[FDR]&amp;FDR[[#Headers],[18]],FDR[18],"",0,1)</f>
        <v>4</v>
      </c>
      <c r="AE73" cm="1">
        <f t="array" ref="AE73">_xlfn.XLOOKUP(Matrix[[#This Row],[TEAM]]&amp;Matrix[[#Headers],[19]],FDR[FDR]&amp;FDR[[#Headers],[19]],FDR[19],"",0,1)</f>
        <v>2</v>
      </c>
      <c r="AF73" cm="1">
        <f t="array" ref="AF73">_xlfn.XLOOKUP(Matrix[[#This Row],[TEAM]]&amp;Matrix[[#Headers],[20]],FDR[FDR]&amp;FDR[[#Headers],[20]],FDR[20],"",0,1)</f>
        <v>5</v>
      </c>
      <c r="AG73" cm="1">
        <f t="array" ref="AG73">_xlfn.XLOOKUP(Matrix[[#This Row],[TEAM]]&amp;Matrix[[#Headers],[21]],FDR[FDR]&amp;FDR[[#Headers],[21]],FDR[21],"",0,1)</f>
        <v>3</v>
      </c>
      <c r="AH73" cm="1">
        <f t="array" ref="AH73">_xlfn.XLOOKUP(Matrix[[#This Row],[TEAM]]&amp;Matrix[[#Headers],[22]],FDR[FDR]&amp;FDR[[#Headers],[22]],FDR[22],"",0,1)</f>
        <v>4</v>
      </c>
      <c r="AI73" cm="1">
        <f t="array" ref="AI73">_xlfn.XLOOKUP(Matrix[[#This Row],[TEAM]]&amp;Matrix[[#Headers],[23]],FDR[FDR]&amp;FDR[[#Headers],[23]],FDR[23],"",0,1)</f>
        <v>3</v>
      </c>
      <c r="AJ73" cm="1">
        <f t="array" ref="AJ73">_xlfn.XLOOKUP(Matrix[[#This Row],[TEAM]]&amp;Matrix[[#Headers],[24]],FDR[FDR]&amp;FDR[[#Headers],[24]],FDR[24],"",0,1)</f>
        <v>2</v>
      </c>
      <c r="AK73" cm="1">
        <f t="array" ref="AK73">_xlfn.XLOOKUP(Matrix[[#This Row],[TEAM]]&amp;Matrix[[#Headers],[25]],FDR[FDR]&amp;FDR[[#Headers],[25]],FDR[25],"",0,1)</f>
        <v>2</v>
      </c>
      <c r="AL73" cm="1">
        <f t="array" ref="AL73">_xlfn.XLOOKUP(Matrix[[#This Row],[TEAM]]&amp;Matrix[[#Headers],[26]],FDR[FDR]&amp;FDR[[#Headers],[26]],FDR[26],"",0,1)</f>
        <v>1</v>
      </c>
      <c r="AM73" cm="1">
        <f t="array" ref="AM73">_xlfn.XLOOKUP(Matrix[[#This Row],[TEAM]]&amp;Matrix[[#Headers],[27]],FDR[FDR]&amp;FDR[[#Headers],[27]],FDR[27],"",0,1)</f>
        <v>4</v>
      </c>
      <c r="AN73" cm="1">
        <f t="array" ref="AN73">_xlfn.XLOOKUP(Matrix[[#This Row],[TEAM]]&amp;Matrix[[#Headers],[28]],FDR[FDR]&amp;FDR[[#Headers],[28]],FDR[28],"",0,1)</f>
        <v>4</v>
      </c>
      <c r="AO73" cm="1">
        <f t="array" ref="AO73">_xlfn.XLOOKUP(Matrix[[#This Row],[TEAM]]&amp;Matrix[[#Headers],[29]],FDR[FDR]&amp;FDR[[#Headers],[29]],FDR[29],"",0,1)</f>
        <v>5</v>
      </c>
      <c r="AP73" cm="1">
        <f t="array" ref="AP73">_xlfn.XLOOKUP(Matrix[[#This Row],[TEAM]]&amp;Matrix[[#Headers],[30]],FDR[FDR]&amp;FDR[[#Headers],[30]],FDR[30],"",0,1)</f>
        <v>3</v>
      </c>
      <c r="AQ73" cm="1">
        <f t="array" ref="AQ73">_xlfn.XLOOKUP(Matrix[[#This Row],[TEAM]]&amp;Matrix[[#Headers],[31]],FDR[FDR]&amp;FDR[[#Headers],[31]],FDR[31],"",0,1)</f>
        <v>5</v>
      </c>
      <c r="AR73" cm="1">
        <f t="array" ref="AR73">_xlfn.XLOOKUP(Matrix[[#This Row],[TEAM]]&amp;Matrix[[#Headers],[32]],FDR[FDR]&amp;FDR[[#Headers],[32]],FDR[32],"",0,1)</f>
        <v>3</v>
      </c>
      <c r="AS73" cm="1">
        <f t="array" ref="AS73">_xlfn.XLOOKUP(Matrix[[#This Row],[TEAM]]&amp;Matrix[[#Headers],[33]],FDR[FDR]&amp;FDR[[#Headers],[33]],FDR[33],"",0,1)</f>
        <v>1</v>
      </c>
      <c r="AT73" cm="1">
        <f t="array" ref="AT73">_xlfn.XLOOKUP(Matrix[[#This Row],[TEAM]]&amp;Matrix[[#Headers],[34]],FDR[FDR]&amp;FDR[[#Headers],[34]],FDR[34],"",0,1)</f>
        <v>2</v>
      </c>
      <c r="AU73" cm="1">
        <f t="array" ref="AU73">_xlfn.XLOOKUP(Matrix[[#This Row],[TEAM]]&amp;Matrix[[#Headers],[35]],FDR[FDR]&amp;FDR[[#Headers],[35]],FDR[35],"",0,1)</f>
        <v>5</v>
      </c>
      <c r="AV73" cm="1">
        <f t="array" ref="AV73">_xlfn.XLOOKUP(Matrix[[#This Row],[TEAM]]&amp;Matrix[[#Headers],[36]],FDR[FDR]&amp;FDR[[#Headers],[36]],FDR[36],"",0,1)</f>
        <v>4</v>
      </c>
      <c r="AW73" cm="1">
        <f t="array" ref="AW73">_xlfn.XLOOKUP(Matrix[[#This Row],[TEAM]]&amp;Matrix[[#Headers],[37]],FDR[FDR]&amp;FDR[[#Headers],[37]],FDR[37],"",0,1)</f>
        <v>5</v>
      </c>
      <c r="AX73" cm="1">
        <f t="array" ref="AX73">_xlfn.XLOOKUP(Matrix[[#This Row],[TEAM]]&amp;Matrix[[#Headers],[38]],FDR[FDR]&amp;FDR[[#Headers],[38]],FDR[38],"",0,1)</f>
        <v>3</v>
      </c>
    </row>
    <row r="74" spans="1:50" ht="22" thickTop="1" thickBot="1">
      <c r="A74" s="50" t="str">
        <f>INDEX!S$4</f>
        <v>MID</v>
      </c>
      <c r="B74" s="70" t="s">
        <v>1358</v>
      </c>
      <c r="C74" s="40" t="s">
        <v>33</v>
      </c>
      <c r="D74" s="62">
        <v>102</v>
      </c>
      <c r="E74" s="60">
        <v>1.4E-2</v>
      </c>
      <c r="F74" s="61">
        <v>159.1</v>
      </c>
      <c r="G74" s="63">
        <v>6</v>
      </c>
      <c r="H74" s="261">
        <f>IF(ISBLANK(I74),0,1)</f>
        <v>0</v>
      </c>
      <c r="I74" s="57"/>
      <c r="J74" s="58"/>
      <c r="K74" s="59" t="s">
        <v>746</v>
      </c>
      <c r="L74" s="59" t="s">
        <v>747</v>
      </c>
      <c r="M74" cm="1">
        <f t="array" ref="M74">_xlfn.XLOOKUP(Matrix[[#This Row],[TEAM]]&amp;Matrix[[#Headers],[1]],FDR[FDR]&amp;FDR[[#Headers],[1]],FDR[1],"",0,1)</f>
        <v>3</v>
      </c>
      <c r="N74" cm="1">
        <f t="array" ref="N74">_xlfn.XLOOKUP(Matrix[[#This Row],[TEAM]]&amp;Matrix[[#Headers],[2]],FDR[FDR]&amp;FDR[[#Headers],[2]],FDR[2],"",0,1)</f>
        <v>3</v>
      </c>
      <c r="O74" cm="1">
        <f t="array" ref="O74">_xlfn.XLOOKUP(Matrix[[#This Row],[TEAM]]&amp;Matrix[[#Headers],[3]],FDR[FDR]&amp;FDR[[#Headers],[3]],FDR[3],"",0,1)</f>
        <v>4</v>
      </c>
      <c r="P74" cm="1">
        <f t="array" ref="P74">_xlfn.XLOOKUP(Matrix[[#This Row],[TEAM]]&amp;Matrix[[#Headers],[4]],FDR[FDR]&amp;FDR[[#Headers],[4]],FDR[4],"",0,1)</f>
        <v>4</v>
      </c>
      <c r="Q74" cm="1">
        <f t="array" ref="Q74">_xlfn.XLOOKUP(Matrix[[#This Row],[TEAM]]&amp;Matrix[[#Headers],[5]],FDR[FDR]&amp;FDR[[#Headers],[5]],FDR[5],"",0,1)</f>
        <v>4</v>
      </c>
      <c r="R74" cm="1">
        <f t="array" ref="R74">_xlfn.XLOOKUP(Matrix[[#This Row],[TEAM]]&amp;Matrix[[#Headers],[6]],FDR[FDR]&amp;FDR[[#Headers],[6]],FDR[6],"",0,1)</f>
        <v>5</v>
      </c>
      <c r="S74" cm="1">
        <f t="array" ref="S74">_xlfn.XLOOKUP(Matrix[[#This Row],[TEAM]]&amp;Matrix[[#Headers],[7]],FDR[FDR]&amp;FDR[[#Headers],[7]],FDR[7],"",0,1)</f>
        <v>2</v>
      </c>
      <c r="T74" cm="1">
        <f t="array" ref="T74">_xlfn.XLOOKUP(Matrix[[#This Row],[TEAM]]&amp;Matrix[[#Headers],[8]],FDR[FDR]&amp;FDR[[#Headers],[8]],FDR[8],"",0,1)</f>
        <v>4</v>
      </c>
      <c r="U74" cm="1">
        <f t="array" ref="U74">_xlfn.XLOOKUP(Matrix[[#This Row],[TEAM]]&amp;Matrix[[#Headers],[9]],FDR[FDR]&amp;FDR[[#Headers],[9]],FDR[9],"",0,1)</f>
        <v>5</v>
      </c>
      <c r="V74" cm="1">
        <f t="array" ref="V74">_xlfn.XLOOKUP(Matrix[[#This Row],[TEAM]]&amp;Matrix[[#Headers],[10]],FDR[FDR]&amp;FDR[[#Headers],[10]],FDR[10],"",0,1)</f>
        <v>1</v>
      </c>
      <c r="W74" cm="1">
        <f t="array" ref="W74">_xlfn.XLOOKUP(Matrix[[#This Row],[TEAM]]&amp;Matrix[[#Headers],[11]],FDR[FDR]&amp;FDR[[#Headers],[11]],FDR[11],"",0,1)</f>
        <v>3</v>
      </c>
      <c r="X74" cm="1">
        <f t="array" ref="X74">_xlfn.XLOOKUP(Matrix[[#This Row],[TEAM]]&amp;Matrix[[#Headers],[12]],FDR[FDR]&amp;FDR[[#Headers],[12]],FDR[12],"",0,1)</f>
        <v>2</v>
      </c>
      <c r="Y74" cm="1">
        <f t="array" ref="Y74">_xlfn.XLOOKUP(Matrix[[#This Row],[TEAM]]&amp;Matrix[[#Headers],[13]],FDR[FDR]&amp;FDR[[#Headers],[13]],FDR[13],"",0,1)</f>
        <v>4</v>
      </c>
      <c r="Z74" cm="1">
        <f t="array" ref="Z74">_xlfn.XLOOKUP(Matrix[[#This Row],[TEAM]]&amp;Matrix[[#Headers],[14]],FDR[FDR]&amp;FDR[[#Headers],[14]],FDR[14],"",0,1)</f>
        <v>3</v>
      </c>
      <c r="AA74" cm="1">
        <f t="array" ref="AA74">_xlfn.XLOOKUP(Matrix[[#This Row],[TEAM]]&amp;Matrix[[#Headers],[15]],FDR[FDR]&amp;FDR[[#Headers],[15]],FDR[15],"",0,1)</f>
        <v>2</v>
      </c>
      <c r="AB74" cm="1">
        <f t="array" ref="AB74">_xlfn.XLOOKUP(Matrix[[#This Row],[TEAM]]&amp;Matrix[[#Headers],[16]],FDR[FDR]&amp;FDR[[#Headers],[16]],FDR[16],"",0,1)</f>
        <v>5</v>
      </c>
      <c r="AC74" cm="1">
        <f t="array" ref="AC74">_xlfn.XLOOKUP(Matrix[[#This Row],[TEAM]]&amp;Matrix[[#Headers],[17]],FDR[FDR]&amp;FDR[[#Headers],[17]],FDR[17],"",0,1)</f>
        <v>1</v>
      </c>
      <c r="AD74" cm="1">
        <f t="array" ref="AD74">_xlfn.XLOOKUP(Matrix[[#This Row],[TEAM]]&amp;Matrix[[#Headers],[18]],FDR[FDR]&amp;FDR[[#Headers],[18]],FDR[18],"",0,1)</f>
        <v>5</v>
      </c>
      <c r="AE74" cm="1">
        <f t="array" ref="AE74">_xlfn.XLOOKUP(Matrix[[#This Row],[TEAM]]&amp;Matrix[[#Headers],[19]],FDR[FDR]&amp;FDR[[#Headers],[19]],FDR[19],"",0,1)</f>
        <v>3</v>
      </c>
      <c r="AF74" cm="1">
        <f t="array" ref="AF74">_xlfn.XLOOKUP(Matrix[[#This Row],[TEAM]]&amp;Matrix[[#Headers],[20]],FDR[FDR]&amp;FDR[[#Headers],[20]],FDR[20],"",0,1)</f>
        <v>1</v>
      </c>
      <c r="AG74" cm="1">
        <f t="array" ref="AG74">_xlfn.XLOOKUP(Matrix[[#This Row],[TEAM]]&amp;Matrix[[#Headers],[21]],FDR[FDR]&amp;FDR[[#Headers],[21]],FDR[21],"",0,1)</f>
        <v>5</v>
      </c>
      <c r="AH74" cm="1">
        <f t="array" ref="AH74">_xlfn.XLOOKUP(Matrix[[#This Row],[TEAM]]&amp;Matrix[[#Headers],[22]],FDR[FDR]&amp;FDR[[#Headers],[22]],FDR[22],"",0,1)</f>
        <v>3</v>
      </c>
      <c r="AI74" cm="1">
        <f t="array" ref="AI74">_xlfn.XLOOKUP(Matrix[[#This Row],[TEAM]]&amp;Matrix[[#Headers],[23]],FDR[FDR]&amp;FDR[[#Headers],[23]],FDR[23],"",0,1)</f>
        <v>4</v>
      </c>
      <c r="AJ74" cm="1">
        <f t="array" ref="AJ74">_xlfn.XLOOKUP(Matrix[[#This Row],[TEAM]]&amp;Matrix[[#Headers],[24]],FDR[FDR]&amp;FDR[[#Headers],[24]],FDR[24],"",0,1)</f>
        <v>2</v>
      </c>
      <c r="AK74" cm="1">
        <f t="array" ref="AK74">_xlfn.XLOOKUP(Matrix[[#This Row],[TEAM]]&amp;Matrix[[#Headers],[25]],FDR[FDR]&amp;FDR[[#Headers],[25]],FDR[25],"",0,1)</f>
        <v>2</v>
      </c>
      <c r="AL74" cm="1">
        <f t="array" ref="AL74">_xlfn.XLOOKUP(Matrix[[#This Row],[TEAM]]&amp;Matrix[[#Headers],[26]],FDR[FDR]&amp;FDR[[#Headers],[26]],FDR[26],"",0,1)</f>
        <v>5</v>
      </c>
      <c r="AM74" cm="1">
        <f t="array" ref="AM74">_xlfn.XLOOKUP(Matrix[[#This Row],[TEAM]]&amp;Matrix[[#Headers],[27]],FDR[FDR]&amp;FDR[[#Headers],[27]],FDR[27],"",0,1)</f>
        <v>3</v>
      </c>
      <c r="AN74" cm="1">
        <f t="array" ref="AN74">_xlfn.XLOOKUP(Matrix[[#This Row],[TEAM]]&amp;Matrix[[#Headers],[28]],FDR[FDR]&amp;FDR[[#Headers],[28]],FDR[28],"",0,1)</f>
        <v>3</v>
      </c>
      <c r="AO74" cm="1">
        <f t="array" ref="AO74">_xlfn.XLOOKUP(Matrix[[#This Row],[TEAM]]&amp;Matrix[[#Headers],[29]],FDR[FDR]&amp;FDR[[#Headers],[29]],FDR[29],"",0,1)</f>
        <v>4</v>
      </c>
      <c r="AP74" cm="1">
        <f t="array" ref="AP74">_xlfn.XLOOKUP(Matrix[[#This Row],[TEAM]]&amp;Matrix[[#Headers],[30]],FDR[FDR]&amp;FDR[[#Headers],[30]],FDR[30],"",0,1)</f>
        <v>2</v>
      </c>
      <c r="AQ74" cm="1">
        <f t="array" ref="AQ74">_xlfn.XLOOKUP(Matrix[[#This Row],[TEAM]]&amp;Matrix[[#Headers],[31]],FDR[FDR]&amp;FDR[[#Headers],[31]],FDR[31],"",0,1)</f>
        <v>4</v>
      </c>
      <c r="AR74" cm="1">
        <f t="array" ref="AR74">_xlfn.XLOOKUP(Matrix[[#This Row],[TEAM]]&amp;Matrix[[#Headers],[32]],FDR[FDR]&amp;FDR[[#Headers],[32]],FDR[32],"",0,1)</f>
        <v>2</v>
      </c>
      <c r="AS74" cm="1">
        <f t="array" ref="AS74">_xlfn.XLOOKUP(Matrix[[#This Row],[TEAM]]&amp;Matrix[[#Headers],[33]],FDR[FDR]&amp;FDR[[#Headers],[33]],FDR[33],"",0,1)</f>
        <v>5</v>
      </c>
      <c r="AT74" cm="1">
        <f t="array" ref="AT74">_xlfn.XLOOKUP(Matrix[[#This Row],[TEAM]]&amp;Matrix[[#Headers],[34]],FDR[FDR]&amp;FDR[[#Headers],[34]],FDR[34],"",0,1)</f>
        <v>4</v>
      </c>
      <c r="AU74" cm="1">
        <f t="array" ref="AU74">_xlfn.XLOOKUP(Matrix[[#This Row],[TEAM]]&amp;Matrix[[#Headers],[35]],FDR[FDR]&amp;FDR[[#Headers],[35]],FDR[35],"",0,1)</f>
        <v>5</v>
      </c>
      <c r="AV74" cm="1">
        <f t="array" ref="AV74">_xlfn.XLOOKUP(Matrix[[#This Row],[TEAM]]&amp;Matrix[[#Headers],[36]],FDR[FDR]&amp;FDR[[#Headers],[36]],FDR[36],"",0,1)</f>
        <v>1</v>
      </c>
      <c r="AW74" cm="1">
        <f t="array" ref="AW74">_xlfn.XLOOKUP(Matrix[[#This Row],[TEAM]]&amp;Matrix[[#Headers],[37]],FDR[FDR]&amp;FDR[[#Headers],[37]],FDR[37],"",0,1)</f>
        <v>2</v>
      </c>
      <c r="AX74" cm="1">
        <f t="array" ref="AX74">_xlfn.XLOOKUP(Matrix[[#This Row],[TEAM]]&amp;Matrix[[#Headers],[38]],FDR[FDR]&amp;FDR[[#Headers],[38]],FDR[38],"",0,1)</f>
        <v>4</v>
      </c>
    </row>
    <row r="75" spans="1:50" ht="22" thickTop="1" thickBot="1">
      <c r="A75" s="50" t="str">
        <f>INDEX!S$4</f>
        <v>MID</v>
      </c>
      <c r="B75" s="70" t="s">
        <v>1369</v>
      </c>
      <c r="C75" s="40" t="s">
        <v>25</v>
      </c>
      <c r="D75" s="62">
        <v>99</v>
      </c>
      <c r="E75" s="60">
        <v>5.0000000000000001E-3</v>
      </c>
      <c r="F75" s="61">
        <v>132.69999999999999</v>
      </c>
      <c r="G75" s="63">
        <v>6</v>
      </c>
      <c r="H75" s="261">
        <f>IF(ISBLANK(I75),0,1)</f>
        <v>0</v>
      </c>
      <c r="I75" s="57"/>
      <c r="J75" s="58"/>
      <c r="K75" s="59" t="s">
        <v>512</v>
      </c>
      <c r="L75" s="59" t="s">
        <v>200</v>
      </c>
      <c r="M75" cm="1">
        <f t="array" ref="M75">_xlfn.XLOOKUP(Matrix[[#This Row],[TEAM]]&amp;Matrix[[#Headers],[1]],FDR[FDR]&amp;FDR[[#Headers],[1]],FDR[1],"",0,1)</f>
        <v>3</v>
      </c>
      <c r="N75" cm="1">
        <f t="array" ref="N75">_xlfn.XLOOKUP(Matrix[[#This Row],[TEAM]]&amp;Matrix[[#Headers],[2]],FDR[FDR]&amp;FDR[[#Headers],[2]],FDR[2],"",0,1)</f>
        <v>3</v>
      </c>
      <c r="O75" cm="1">
        <f t="array" ref="O75">_xlfn.XLOOKUP(Matrix[[#This Row],[TEAM]]&amp;Matrix[[#Headers],[3]],FDR[FDR]&amp;FDR[[#Headers],[3]],FDR[3],"",0,1)</f>
        <v>1</v>
      </c>
      <c r="P75" cm="1">
        <f t="array" ref="P75">_xlfn.XLOOKUP(Matrix[[#This Row],[TEAM]]&amp;Matrix[[#Headers],[4]],FDR[FDR]&amp;FDR[[#Headers],[4]],FDR[4],"",0,1)</f>
        <v>1</v>
      </c>
      <c r="Q75" cm="1">
        <f t="array" ref="Q75">_xlfn.XLOOKUP(Matrix[[#This Row],[TEAM]]&amp;Matrix[[#Headers],[5]],FDR[FDR]&amp;FDR[[#Headers],[5]],FDR[5],"",0,1)</f>
        <v>2</v>
      </c>
      <c r="R75" cm="1">
        <f t="array" ref="R75">_xlfn.XLOOKUP(Matrix[[#This Row],[TEAM]]&amp;Matrix[[#Headers],[6]],FDR[FDR]&amp;FDR[[#Headers],[6]],FDR[6],"",0,1)</f>
        <v>3</v>
      </c>
      <c r="S75" cm="1">
        <f t="array" ref="S75">_xlfn.XLOOKUP(Matrix[[#This Row],[TEAM]]&amp;Matrix[[#Headers],[7]],FDR[FDR]&amp;FDR[[#Headers],[7]],FDR[7],"",0,1)</f>
        <v>2</v>
      </c>
      <c r="T75" cm="1">
        <f t="array" ref="T75">_xlfn.XLOOKUP(Matrix[[#This Row],[TEAM]]&amp;Matrix[[#Headers],[8]],FDR[FDR]&amp;FDR[[#Headers],[8]],FDR[8],"",0,1)</f>
        <v>2</v>
      </c>
      <c r="U75" cm="1">
        <f t="array" ref="U75">_xlfn.XLOOKUP(Matrix[[#This Row],[TEAM]]&amp;Matrix[[#Headers],[9]],FDR[FDR]&amp;FDR[[#Headers],[9]],FDR[9],"",0,1)</f>
        <v>2</v>
      </c>
      <c r="V75" cm="1">
        <f t="array" ref="V75">_xlfn.XLOOKUP(Matrix[[#This Row],[TEAM]]&amp;Matrix[[#Headers],[10]],FDR[FDR]&amp;FDR[[#Headers],[10]],FDR[10],"",0,1)</f>
        <v>2</v>
      </c>
      <c r="W75" cm="1">
        <f t="array" ref="W75">_xlfn.XLOOKUP(Matrix[[#This Row],[TEAM]]&amp;Matrix[[#Headers],[11]],FDR[FDR]&amp;FDR[[#Headers],[11]],FDR[11],"",0,1)</f>
        <v>2</v>
      </c>
      <c r="X75" cm="1">
        <f t="array" ref="X75">_xlfn.XLOOKUP(Matrix[[#This Row],[TEAM]]&amp;Matrix[[#Headers],[12]],FDR[FDR]&amp;FDR[[#Headers],[12]],FDR[12],"",0,1)</f>
        <v>3</v>
      </c>
      <c r="Y75" cm="1">
        <f t="array" ref="Y75">_xlfn.XLOOKUP(Matrix[[#This Row],[TEAM]]&amp;Matrix[[#Headers],[13]],FDR[FDR]&amp;FDR[[#Headers],[13]],FDR[13],"",0,1)</f>
        <v>2</v>
      </c>
      <c r="Z75" cm="1">
        <f t="array" ref="Z75">_xlfn.XLOOKUP(Matrix[[#This Row],[TEAM]]&amp;Matrix[[#Headers],[14]],FDR[FDR]&amp;FDR[[#Headers],[14]],FDR[14],"",0,1)</f>
        <v>3</v>
      </c>
      <c r="AA75" cm="1">
        <f t="array" ref="AA75">_xlfn.XLOOKUP(Matrix[[#This Row],[TEAM]]&amp;Matrix[[#Headers],[15]],FDR[FDR]&amp;FDR[[#Headers],[15]],FDR[15],"",0,1)</f>
        <v>1</v>
      </c>
      <c r="AB75" cm="1">
        <f t="array" ref="AB75">_xlfn.XLOOKUP(Matrix[[#This Row],[TEAM]]&amp;Matrix[[#Headers],[16]],FDR[FDR]&amp;FDR[[#Headers],[16]],FDR[16],"",0,1)</f>
        <v>1</v>
      </c>
      <c r="AC75" cm="1">
        <f t="array" ref="AC75">_xlfn.XLOOKUP(Matrix[[#This Row],[TEAM]]&amp;Matrix[[#Headers],[17]],FDR[FDR]&amp;FDR[[#Headers],[17]],FDR[17],"",0,1)</f>
        <v>3</v>
      </c>
      <c r="AD75" cm="1">
        <f t="array" ref="AD75">_xlfn.XLOOKUP(Matrix[[#This Row],[TEAM]]&amp;Matrix[[#Headers],[18]],FDR[FDR]&amp;FDR[[#Headers],[18]],FDR[18],"",0,1)</f>
        <v>4</v>
      </c>
      <c r="AE75" cm="1">
        <f t="array" ref="AE75">_xlfn.XLOOKUP(Matrix[[#This Row],[TEAM]]&amp;Matrix[[#Headers],[19]],FDR[FDR]&amp;FDR[[#Headers],[19]],FDR[19],"",0,1)</f>
        <v>1</v>
      </c>
      <c r="AF75" cm="1">
        <f t="array" ref="AF75">_xlfn.XLOOKUP(Matrix[[#This Row],[TEAM]]&amp;Matrix[[#Headers],[20]],FDR[FDR]&amp;FDR[[#Headers],[20]],FDR[20],"",0,1)</f>
        <v>1</v>
      </c>
      <c r="AG75" cm="1">
        <f t="array" ref="AG75">_xlfn.XLOOKUP(Matrix[[#This Row],[TEAM]]&amp;Matrix[[#Headers],[21]],FDR[FDR]&amp;FDR[[#Headers],[21]],FDR[21],"",0,1)</f>
        <v>1</v>
      </c>
      <c r="AH75" cm="1">
        <f t="array" ref="AH75">_xlfn.XLOOKUP(Matrix[[#This Row],[TEAM]]&amp;Matrix[[#Headers],[22]],FDR[FDR]&amp;FDR[[#Headers],[22]],FDR[22],"",0,1)</f>
        <v>1</v>
      </c>
      <c r="AI75" cm="1">
        <f t="array" ref="AI75">_xlfn.XLOOKUP(Matrix[[#This Row],[TEAM]]&amp;Matrix[[#Headers],[23]],FDR[FDR]&amp;FDR[[#Headers],[23]],FDR[23],"",0,1)</f>
        <v>2</v>
      </c>
      <c r="AJ75" cm="1">
        <f t="array" ref="AJ75">_xlfn.XLOOKUP(Matrix[[#This Row],[TEAM]]&amp;Matrix[[#Headers],[24]],FDR[FDR]&amp;FDR[[#Headers],[24]],FDR[24],"",0,1)</f>
        <v>4</v>
      </c>
      <c r="AK75" cm="1">
        <f t="array" ref="AK75">_xlfn.XLOOKUP(Matrix[[#This Row],[TEAM]]&amp;Matrix[[#Headers],[25]],FDR[FDR]&amp;FDR[[#Headers],[25]],FDR[25],"",0,1)</f>
        <v>1</v>
      </c>
      <c r="AL75" cm="1">
        <f t="array" ref="AL75">_xlfn.XLOOKUP(Matrix[[#This Row],[TEAM]]&amp;Matrix[[#Headers],[26]],FDR[FDR]&amp;FDR[[#Headers],[26]],FDR[26],"",0,1)</f>
        <v>4</v>
      </c>
      <c r="AM75" cm="1">
        <f t="array" ref="AM75">_xlfn.XLOOKUP(Matrix[[#This Row],[TEAM]]&amp;Matrix[[#Headers],[27]],FDR[FDR]&amp;FDR[[#Headers],[27]],FDR[27],"",0,1)</f>
        <v>4</v>
      </c>
      <c r="AN75" cm="1">
        <f t="array" ref="AN75">_xlfn.XLOOKUP(Matrix[[#This Row],[TEAM]]&amp;Matrix[[#Headers],[28]],FDR[FDR]&amp;FDR[[#Headers],[28]],FDR[28],"",0,1)</f>
        <v>1</v>
      </c>
      <c r="AO75" cm="1">
        <f t="array" ref="AO75">_xlfn.XLOOKUP(Matrix[[#This Row],[TEAM]]&amp;Matrix[[#Headers],[29]],FDR[FDR]&amp;FDR[[#Headers],[29]],FDR[29],"",0,1)</f>
        <v>3</v>
      </c>
      <c r="AP75" cm="1">
        <f t="array" ref="AP75">_xlfn.XLOOKUP(Matrix[[#This Row],[TEAM]]&amp;Matrix[[#Headers],[30]],FDR[FDR]&amp;FDR[[#Headers],[30]],FDR[30],"",0,1)</f>
        <v>4</v>
      </c>
      <c r="AQ75" cm="1">
        <f t="array" ref="AQ75">_xlfn.XLOOKUP(Matrix[[#This Row],[TEAM]]&amp;Matrix[[#Headers],[31]],FDR[FDR]&amp;FDR[[#Headers],[31]],FDR[31],"",0,1)</f>
        <v>1</v>
      </c>
      <c r="AR75" cm="1">
        <f t="array" ref="AR75">_xlfn.XLOOKUP(Matrix[[#This Row],[TEAM]]&amp;Matrix[[#Headers],[32]],FDR[FDR]&amp;FDR[[#Headers],[32]],FDR[32],"",0,1)</f>
        <v>2</v>
      </c>
      <c r="AS75" cm="1">
        <f t="array" ref="AS75">_xlfn.XLOOKUP(Matrix[[#This Row],[TEAM]]&amp;Matrix[[#Headers],[33]],FDR[FDR]&amp;FDR[[#Headers],[33]],FDR[33],"",0,1)</f>
        <v>2</v>
      </c>
      <c r="AT75" cm="1">
        <f t="array" ref="AT75">_xlfn.XLOOKUP(Matrix[[#This Row],[TEAM]]&amp;Matrix[[#Headers],[34]],FDR[FDR]&amp;FDR[[#Headers],[34]],FDR[34],"",0,1)</f>
        <v>4</v>
      </c>
      <c r="AU75" cm="1">
        <f t="array" ref="AU75">_xlfn.XLOOKUP(Matrix[[#This Row],[TEAM]]&amp;Matrix[[#Headers],[35]],FDR[FDR]&amp;FDR[[#Headers],[35]],FDR[35],"",0,1)</f>
        <v>2</v>
      </c>
      <c r="AV75" cm="1">
        <f t="array" ref="AV75">_xlfn.XLOOKUP(Matrix[[#This Row],[TEAM]]&amp;Matrix[[#Headers],[36]],FDR[FDR]&amp;FDR[[#Headers],[36]],FDR[36],"",0,1)</f>
        <v>2</v>
      </c>
      <c r="AW75" cm="1">
        <f t="array" ref="AW75">_xlfn.XLOOKUP(Matrix[[#This Row],[TEAM]]&amp;Matrix[[#Headers],[37]],FDR[FDR]&amp;FDR[[#Headers],[37]],FDR[37],"",0,1)</f>
        <v>1</v>
      </c>
      <c r="AX75" cm="1">
        <f t="array" ref="AX75">_xlfn.XLOOKUP(Matrix[[#This Row],[TEAM]]&amp;Matrix[[#Headers],[38]],FDR[FDR]&amp;FDR[[#Headers],[38]],FDR[38],"",0,1)</f>
        <v>2</v>
      </c>
    </row>
    <row r="76" spans="1:50" ht="22" thickTop="1" thickBot="1">
      <c r="A76" s="50" t="str">
        <f>INDEX!S$4</f>
        <v>MID</v>
      </c>
      <c r="B76" s="70" t="s">
        <v>1366</v>
      </c>
      <c r="C76" s="40" t="s">
        <v>33</v>
      </c>
      <c r="D76" s="62">
        <v>95</v>
      </c>
      <c r="E76" s="60">
        <v>7.0000000000000001E-3</v>
      </c>
      <c r="F76" s="61">
        <v>103</v>
      </c>
      <c r="G76" s="63">
        <v>6</v>
      </c>
      <c r="H76" s="261">
        <f>IF(ISBLANK(I76),0,1)</f>
        <v>0</v>
      </c>
      <c r="I76" s="57"/>
      <c r="J76" s="58"/>
      <c r="K76" s="59" t="s">
        <v>745</v>
      </c>
      <c r="L76" s="59" t="s">
        <v>744</v>
      </c>
      <c r="M76" cm="1">
        <f t="array" ref="M76">_xlfn.XLOOKUP(Matrix[[#This Row],[TEAM]]&amp;Matrix[[#Headers],[1]],FDR[FDR]&amp;FDR[[#Headers],[1]],FDR[1],"",0,1)</f>
        <v>3</v>
      </c>
      <c r="N76" cm="1">
        <f t="array" ref="N76">_xlfn.XLOOKUP(Matrix[[#This Row],[TEAM]]&amp;Matrix[[#Headers],[2]],FDR[FDR]&amp;FDR[[#Headers],[2]],FDR[2],"",0,1)</f>
        <v>3</v>
      </c>
      <c r="O76" cm="1">
        <f t="array" ref="O76">_xlfn.XLOOKUP(Matrix[[#This Row],[TEAM]]&amp;Matrix[[#Headers],[3]],FDR[FDR]&amp;FDR[[#Headers],[3]],FDR[3],"",0,1)</f>
        <v>4</v>
      </c>
      <c r="P76" cm="1">
        <f t="array" ref="P76">_xlfn.XLOOKUP(Matrix[[#This Row],[TEAM]]&amp;Matrix[[#Headers],[4]],FDR[FDR]&amp;FDR[[#Headers],[4]],FDR[4],"",0,1)</f>
        <v>4</v>
      </c>
      <c r="Q76" cm="1">
        <f t="array" ref="Q76">_xlfn.XLOOKUP(Matrix[[#This Row],[TEAM]]&amp;Matrix[[#Headers],[5]],FDR[FDR]&amp;FDR[[#Headers],[5]],FDR[5],"",0,1)</f>
        <v>4</v>
      </c>
      <c r="R76" cm="1">
        <f t="array" ref="R76">_xlfn.XLOOKUP(Matrix[[#This Row],[TEAM]]&amp;Matrix[[#Headers],[6]],FDR[FDR]&amp;FDR[[#Headers],[6]],FDR[6],"",0,1)</f>
        <v>5</v>
      </c>
      <c r="S76" cm="1">
        <f t="array" ref="S76">_xlfn.XLOOKUP(Matrix[[#This Row],[TEAM]]&amp;Matrix[[#Headers],[7]],FDR[FDR]&amp;FDR[[#Headers],[7]],FDR[7],"",0,1)</f>
        <v>2</v>
      </c>
      <c r="T76" cm="1">
        <f t="array" ref="T76">_xlfn.XLOOKUP(Matrix[[#This Row],[TEAM]]&amp;Matrix[[#Headers],[8]],FDR[FDR]&amp;FDR[[#Headers],[8]],FDR[8],"",0,1)</f>
        <v>4</v>
      </c>
      <c r="U76" cm="1">
        <f t="array" ref="U76">_xlfn.XLOOKUP(Matrix[[#This Row],[TEAM]]&amp;Matrix[[#Headers],[9]],FDR[FDR]&amp;FDR[[#Headers],[9]],FDR[9],"",0,1)</f>
        <v>5</v>
      </c>
      <c r="V76" cm="1">
        <f t="array" ref="V76">_xlfn.XLOOKUP(Matrix[[#This Row],[TEAM]]&amp;Matrix[[#Headers],[10]],FDR[FDR]&amp;FDR[[#Headers],[10]],FDR[10],"",0,1)</f>
        <v>1</v>
      </c>
      <c r="W76" cm="1">
        <f t="array" ref="W76">_xlfn.XLOOKUP(Matrix[[#This Row],[TEAM]]&amp;Matrix[[#Headers],[11]],FDR[FDR]&amp;FDR[[#Headers],[11]],FDR[11],"",0,1)</f>
        <v>3</v>
      </c>
      <c r="X76" cm="1">
        <f t="array" ref="X76">_xlfn.XLOOKUP(Matrix[[#This Row],[TEAM]]&amp;Matrix[[#Headers],[12]],FDR[FDR]&amp;FDR[[#Headers],[12]],FDR[12],"",0,1)</f>
        <v>2</v>
      </c>
      <c r="Y76" cm="1">
        <f t="array" ref="Y76">_xlfn.XLOOKUP(Matrix[[#This Row],[TEAM]]&amp;Matrix[[#Headers],[13]],FDR[FDR]&amp;FDR[[#Headers],[13]],FDR[13],"",0,1)</f>
        <v>4</v>
      </c>
      <c r="Z76" cm="1">
        <f t="array" ref="Z76">_xlfn.XLOOKUP(Matrix[[#This Row],[TEAM]]&amp;Matrix[[#Headers],[14]],FDR[FDR]&amp;FDR[[#Headers],[14]],FDR[14],"",0,1)</f>
        <v>3</v>
      </c>
      <c r="AA76" cm="1">
        <f t="array" ref="AA76">_xlfn.XLOOKUP(Matrix[[#This Row],[TEAM]]&amp;Matrix[[#Headers],[15]],FDR[FDR]&amp;FDR[[#Headers],[15]],FDR[15],"",0,1)</f>
        <v>2</v>
      </c>
      <c r="AB76" cm="1">
        <f t="array" ref="AB76">_xlfn.XLOOKUP(Matrix[[#This Row],[TEAM]]&amp;Matrix[[#Headers],[16]],FDR[FDR]&amp;FDR[[#Headers],[16]],FDR[16],"",0,1)</f>
        <v>5</v>
      </c>
      <c r="AC76" cm="1">
        <f t="array" ref="AC76">_xlfn.XLOOKUP(Matrix[[#This Row],[TEAM]]&amp;Matrix[[#Headers],[17]],FDR[FDR]&amp;FDR[[#Headers],[17]],FDR[17],"",0,1)</f>
        <v>1</v>
      </c>
      <c r="AD76" cm="1">
        <f t="array" ref="AD76">_xlfn.XLOOKUP(Matrix[[#This Row],[TEAM]]&amp;Matrix[[#Headers],[18]],FDR[FDR]&amp;FDR[[#Headers],[18]],FDR[18],"",0,1)</f>
        <v>5</v>
      </c>
      <c r="AE76" cm="1">
        <f t="array" ref="AE76">_xlfn.XLOOKUP(Matrix[[#This Row],[TEAM]]&amp;Matrix[[#Headers],[19]],FDR[FDR]&amp;FDR[[#Headers],[19]],FDR[19],"",0,1)</f>
        <v>3</v>
      </c>
      <c r="AF76" cm="1">
        <f t="array" ref="AF76">_xlfn.XLOOKUP(Matrix[[#This Row],[TEAM]]&amp;Matrix[[#Headers],[20]],FDR[FDR]&amp;FDR[[#Headers],[20]],FDR[20],"",0,1)</f>
        <v>1</v>
      </c>
      <c r="AG76" cm="1">
        <f t="array" ref="AG76">_xlfn.XLOOKUP(Matrix[[#This Row],[TEAM]]&amp;Matrix[[#Headers],[21]],FDR[FDR]&amp;FDR[[#Headers],[21]],FDR[21],"",0,1)</f>
        <v>5</v>
      </c>
      <c r="AH76" cm="1">
        <f t="array" ref="AH76">_xlfn.XLOOKUP(Matrix[[#This Row],[TEAM]]&amp;Matrix[[#Headers],[22]],FDR[FDR]&amp;FDR[[#Headers],[22]],FDR[22],"",0,1)</f>
        <v>3</v>
      </c>
      <c r="AI76" cm="1">
        <f t="array" ref="AI76">_xlfn.XLOOKUP(Matrix[[#This Row],[TEAM]]&amp;Matrix[[#Headers],[23]],FDR[FDR]&amp;FDR[[#Headers],[23]],FDR[23],"",0,1)</f>
        <v>4</v>
      </c>
      <c r="AJ76" cm="1">
        <f t="array" ref="AJ76">_xlfn.XLOOKUP(Matrix[[#This Row],[TEAM]]&amp;Matrix[[#Headers],[24]],FDR[FDR]&amp;FDR[[#Headers],[24]],FDR[24],"",0,1)</f>
        <v>2</v>
      </c>
      <c r="AK76" cm="1">
        <f t="array" ref="AK76">_xlfn.XLOOKUP(Matrix[[#This Row],[TEAM]]&amp;Matrix[[#Headers],[25]],FDR[FDR]&amp;FDR[[#Headers],[25]],FDR[25],"",0,1)</f>
        <v>2</v>
      </c>
      <c r="AL76" cm="1">
        <f t="array" ref="AL76">_xlfn.XLOOKUP(Matrix[[#This Row],[TEAM]]&amp;Matrix[[#Headers],[26]],FDR[FDR]&amp;FDR[[#Headers],[26]],FDR[26],"",0,1)</f>
        <v>5</v>
      </c>
      <c r="AM76" cm="1">
        <f t="array" ref="AM76">_xlfn.XLOOKUP(Matrix[[#This Row],[TEAM]]&amp;Matrix[[#Headers],[27]],FDR[FDR]&amp;FDR[[#Headers],[27]],FDR[27],"",0,1)</f>
        <v>3</v>
      </c>
      <c r="AN76" cm="1">
        <f t="array" ref="AN76">_xlfn.XLOOKUP(Matrix[[#This Row],[TEAM]]&amp;Matrix[[#Headers],[28]],FDR[FDR]&amp;FDR[[#Headers],[28]],FDR[28],"",0,1)</f>
        <v>3</v>
      </c>
      <c r="AO76" cm="1">
        <f t="array" ref="AO76">_xlfn.XLOOKUP(Matrix[[#This Row],[TEAM]]&amp;Matrix[[#Headers],[29]],FDR[FDR]&amp;FDR[[#Headers],[29]],FDR[29],"",0,1)</f>
        <v>4</v>
      </c>
      <c r="AP76" cm="1">
        <f t="array" ref="AP76">_xlfn.XLOOKUP(Matrix[[#This Row],[TEAM]]&amp;Matrix[[#Headers],[30]],FDR[FDR]&amp;FDR[[#Headers],[30]],FDR[30],"",0,1)</f>
        <v>2</v>
      </c>
      <c r="AQ76" cm="1">
        <f t="array" ref="AQ76">_xlfn.XLOOKUP(Matrix[[#This Row],[TEAM]]&amp;Matrix[[#Headers],[31]],FDR[FDR]&amp;FDR[[#Headers],[31]],FDR[31],"",0,1)</f>
        <v>4</v>
      </c>
      <c r="AR76" cm="1">
        <f t="array" ref="AR76">_xlfn.XLOOKUP(Matrix[[#This Row],[TEAM]]&amp;Matrix[[#Headers],[32]],FDR[FDR]&amp;FDR[[#Headers],[32]],FDR[32],"",0,1)</f>
        <v>2</v>
      </c>
      <c r="AS76" cm="1">
        <f t="array" ref="AS76">_xlfn.XLOOKUP(Matrix[[#This Row],[TEAM]]&amp;Matrix[[#Headers],[33]],FDR[FDR]&amp;FDR[[#Headers],[33]],FDR[33],"",0,1)</f>
        <v>5</v>
      </c>
      <c r="AT76" cm="1">
        <f t="array" ref="AT76">_xlfn.XLOOKUP(Matrix[[#This Row],[TEAM]]&amp;Matrix[[#Headers],[34]],FDR[FDR]&amp;FDR[[#Headers],[34]],FDR[34],"",0,1)</f>
        <v>4</v>
      </c>
      <c r="AU76" cm="1">
        <f t="array" ref="AU76">_xlfn.XLOOKUP(Matrix[[#This Row],[TEAM]]&amp;Matrix[[#Headers],[35]],FDR[FDR]&amp;FDR[[#Headers],[35]],FDR[35],"",0,1)</f>
        <v>5</v>
      </c>
      <c r="AV76" cm="1">
        <f t="array" ref="AV76">_xlfn.XLOOKUP(Matrix[[#This Row],[TEAM]]&amp;Matrix[[#Headers],[36]],FDR[FDR]&amp;FDR[[#Headers],[36]],FDR[36],"",0,1)</f>
        <v>1</v>
      </c>
      <c r="AW76" cm="1">
        <f t="array" ref="AW76">_xlfn.XLOOKUP(Matrix[[#This Row],[TEAM]]&amp;Matrix[[#Headers],[37]],FDR[FDR]&amp;FDR[[#Headers],[37]],FDR[37],"",0,1)</f>
        <v>2</v>
      </c>
      <c r="AX76" cm="1">
        <f t="array" ref="AX76">_xlfn.XLOOKUP(Matrix[[#This Row],[TEAM]]&amp;Matrix[[#Headers],[38]],FDR[FDR]&amp;FDR[[#Headers],[38]],FDR[38],"",0,1)</f>
        <v>4</v>
      </c>
    </row>
    <row r="77" spans="1:50" ht="22" thickTop="1" thickBot="1">
      <c r="A77" s="50" t="str">
        <f>INDEX!S$4</f>
        <v>MID</v>
      </c>
      <c r="B77" s="70" t="s">
        <v>1361</v>
      </c>
      <c r="C77" s="40" t="s">
        <v>27</v>
      </c>
      <c r="D77" s="62">
        <v>80</v>
      </c>
      <c r="E77" s="60">
        <v>1.0999999999999999E-2</v>
      </c>
      <c r="F77" s="61">
        <v>132.6</v>
      </c>
      <c r="G77" s="63">
        <v>6</v>
      </c>
      <c r="H77" s="261">
        <f>IF(ISBLANK(I77),0,1)</f>
        <v>0</v>
      </c>
      <c r="I77" s="57"/>
      <c r="J77" s="58"/>
      <c r="K77" s="59" t="s">
        <v>430</v>
      </c>
      <c r="L77" s="59" t="s">
        <v>1200</v>
      </c>
      <c r="M77" cm="1">
        <f t="array" ref="M77">_xlfn.XLOOKUP(Matrix[[#This Row],[TEAM]]&amp;Matrix[[#Headers],[1]],FDR[FDR]&amp;FDR[[#Headers],[1]],FDR[1],"",0,1)</f>
        <v>2</v>
      </c>
      <c r="N77" cm="1">
        <f t="array" ref="N77">_xlfn.XLOOKUP(Matrix[[#This Row],[TEAM]]&amp;Matrix[[#Headers],[2]],FDR[FDR]&amp;FDR[[#Headers],[2]],FDR[2],"",0,1)</f>
        <v>4</v>
      </c>
      <c r="O77" cm="1">
        <f t="array" ref="O77">_xlfn.XLOOKUP(Matrix[[#This Row],[TEAM]]&amp;Matrix[[#Headers],[3]],FDR[FDR]&amp;FDR[[#Headers],[3]],FDR[3],"",0,1)</f>
        <v>4</v>
      </c>
      <c r="P77" cm="1">
        <f t="array" ref="P77">_xlfn.XLOOKUP(Matrix[[#This Row],[TEAM]]&amp;Matrix[[#Headers],[4]],FDR[FDR]&amp;FDR[[#Headers],[4]],FDR[4],"",0,1)</f>
        <v>4</v>
      </c>
      <c r="Q77" cm="1">
        <f t="array" ref="Q77">_xlfn.XLOOKUP(Matrix[[#This Row],[TEAM]]&amp;Matrix[[#Headers],[5]],FDR[FDR]&amp;FDR[[#Headers],[5]],FDR[5],"",0,1)</f>
        <v>3</v>
      </c>
      <c r="R77" cm="1">
        <f t="array" ref="R77">_xlfn.XLOOKUP(Matrix[[#This Row],[TEAM]]&amp;Matrix[[#Headers],[6]],FDR[FDR]&amp;FDR[[#Headers],[6]],FDR[6],"",0,1)</f>
        <v>4</v>
      </c>
      <c r="S77" cm="1">
        <f t="array" ref="S77">_xlfn.XLOOKUP(Matrix[[#This Row],[TEAM]]&amp;Matrix[[#Headers],[7]],FDR[FDR]&amp;FDR[[#Headers],[7]],FDR[7],"",0,1)</f>
        <v>5</v>
      </c>
      <c r="T77" cm="1">
        <f t="array" ref="T77">_xlfn.XLOOKUP(Matrix[[#This Row],[TEAM]]&amp;Matrix[[#Headers],[8]],FDR[FDR]&amp;FDR[[#Headers],[8]],FDR[8],"",0,1)</f>
        <v>3</v>
      </c>
      <c r="U77" cm="1">
        <f t="array" ref="U77">_xlfn.XLOOKUP(Matrix[[#This Row],[TEAM]]&amp;Matrix[[#Headers],[9]],FDR[FDR]&amp;FDR[[#Headers],[9]],FDR[9],"",0,1)</f>
        <v>2</v>
      </c>
      <c r="V77" cm="1">
        <f t="array" ref="V77">_xlfn.XLOOKUP(Matrix[[#This Row],[TEAM]]&amp;Matrix[[#Headers],[10]],FDR[FDR]&amp;FDR[[#Headers],[10]],FDR[10],"",0,1)</f>
        <v>4</v>
      </c>
      <c r="W77" cm="1">
        <f t="array" ref="W77">_xlfn.XLOOKUP(Matrix[[#This Row],[TEAM]]&amp;Matrix[[#Headers],[11]],FDR[FDR]&amp;FDR[[#Headers],[11]],FDR[11],"",0,1)</f>
        <v>1</v>
      </c>
      <c r="X77" cm="1">
        <f t="array" ref="X77">_xlfn.XLOOKUP(Matrix[[#This Row],[TEAM]]&amp;Matrix[[#Headers],[12]],FDR[FDR]&amp;FDR[[#Headers],[12]],FDR[12],"",0,1)</f>
        <v>4</v>
      </c>
      <c r="Y77" cm="1">
        <f t="array" ref="Y77">_xlfn.XLOOKUP(Matrix[[#This Row],[TEAM]]&amp;Matrix[[#Headers],[13]],FDR[FDR]&amp;FDR[[#Headers],[13]],FDR[13],"",0,1)</f>
        <v>4</v>
      </c>
      <c r="Z77" cm="1">
        <f t="array" ref="Z77">_xlfn.XLOOKUP(Matrix[[#This Row],[TEAM]]&amp;Matrix[[#Headers],[14]],FDR[FDR]&amp;FDR[[#Headers],[14]],FDR[14],"",0,1)</f>
        <v>5</v>
      </c>
      <c r="AA77" cm="1">
        <f t="array" ref="AA77">_xlfn.XLOOKUP(Matrix[[#This Row],[TEAM]]&amp;Matrix[[#Headers],[15]],FDR[FDR]&amp;FDR[[#Headers],[15]],FDR[15],"",0,1)</f>
        <v>4</v>
      </c>
      <c r="AB77" cm="1">
        <f t="array" ref="AB77">_xlfn.XLOOKUP(Matrix[[#This Row],[TEAM]]&amp;Matrix[[#Headers],[16]],FDR[FDR]&amp;FDR[[#Headers],[16]],FDR[16],"",0,1)</f>
        <v>4</v>
      </c>
      <c r="AC77" cm="1">
        <f t="array" ref="AC77">_xlfn.XLOOKUP(Matrix[[#This Row],[TEAM]]&amp;Matrix[[#Headers],[17]],FDR[FDR]&amp;FDR[[#Headers],[17]],FDR[17],"",0,1)</f>
        <v>5</v>
      </c>
      <c r="AD77" cm="1">
        <f t="array" ref="AD77">_xlfn.XLOOKUP(Matrix[[#This Row],[TEAM]]&amp;Matrix[[#Headers],[18]],FDR[FDR]&amp;FDR[[#Headers],[18]],FDR[18],"",0,1)</f>
        <v>3</v>
      </c>
      <c r="AE77" cm="1">
        <f t="array" ref="AE77">_xlfn.XLOOKUP(Matrix[[#This Row],[TEAM]]&amp;Matrix[[#Headers],[19]],FDR[FDR]&amp;FDR[[#Headers],[19]],FDR[19],"",0,1)</f>
        <v>3</v>
      </c>
      <c r="AF77" cm="1">
        <f t="array" ref="AF77">_xlfn.XLOOKUP(Matrix[[#This Row],[TEAM]]&amp;Matrix[[#Headers],[20]],FDR[FDR]&amp;FDR[[#Headers],[20]],FDR[20],"",0,1)</f>
        <v>2</v>
      </c>
      <c r="AG77" cm="1">
        <f t="array" ref="AG77">_xlfn.XLOOKUP(Matrix[[#This Row],[TEAM]]&amp;Matrix[[#Headers],[21]],FDR[FDR]&amp;FDR[[#Headers],[21]],FDR[21],"",0,1)</f>
        <v>3</v>
      </c>
      <c r="AH77" cm="1">
        <f t="array" ref="AH77">_xlfn.XLOOKUP(Matrix[[#This Row],[TEAM]]&amp;Matrix[[#Headers],[22]],FDR[FDR]&amp;FDR[[#Headers],[22]],FDR[22],"",0,1)</f>
        <v>5</v>
      </c>
      <c r="AI77" cm="1">
        <f t="array" ref="AI77">_xlfn.XLOOKUP(Matrix[[#This Row],[TEAM]]&amp;Matrix[[#Headers],[23]],FDR[FDR]&amp;FDR[[#Headers],[23]],FDR[23],"",0,1)</f>
        <v>1</v>
      </c>
      <c r="AJ77" cm="1">
        <f t="array" ref="AJ77">_xlfn.XLOOKUP(Matrix[[#This Row],[TEAM]]&amp;Matrix[[#Headers],[24]],FDR[FDR]&amp;FDR[[#Headers],[24]],FDR[24],"",0,1)</f>
        <v>5</v>
      </c>
      <c r="AK77" cm="1">
        <f t="array" ref="AK77">_xlfn.XLOOKUP(Matrix[[#This Row],[TEAM]]&amp;Matrix[[#Headers],[25]],FDR[FDR]&amp;FDR[[#Headers],[25]],FDR[25],"",0,1)</f>
        <v>2</v>
      </c>
      <c r="AL77" cm="1">
        <f t="array" ref="AL77">_xlfn.XLOOKUP(Matrix[[#This Row],[TEAM]]&amp;Matrix[[#Headers],[26]],FDR[FDR]&amp;FDR[[#Headers],[26]],FDR[26],"",0,1)</f>
        <v>4</v>
      </c>
      <c r="AM77" cm="1">
        <f t="array" ref="AM77">_xlfn.XLOOKUP(Matrix[[#This Row],[TEAM]]&amp;Matrix[[#Headers],[27]],FDR[FDR]&amp;FDR[[#Headers],[27]],FDR[27],"",0,1)</f>
        <v>3</v>
      </c>
      <c r="AN77" cm="1">
        <f t="array" ref="AN77">_xlfn.XLOOKUP(Matrix[[#This Row],[TEAM]]&amp;Matrix[[#Headers],[28]],FDR[FDR]&amp;FDR[[#Headers],[28]],FDR[28],"",0,1)</f>
        <v>5</v>
      </c>
      <c r="AO77" cm="1">
        <f t="array" ref="AO77">_xlfn.XLOOKUP(Matrix[[#This Row],[TEAM]]&amp;Matrix[[#Headers],[29]],FDR[FDR]&amp;FDR[[#Headers],[29]],FDR[29],"",0,1)</f>
        <v>4</v>
      </c>
      <c r="AP77" cm="1">
        <f t="array" ref="AP77">_xlfn.XLOOKUP(Matrix[[#This Row],[TEAM]]&amp;Matrix[[#Headers],[30]],FDR[FDR]&amp;FDR[[#Headers],[30]],FDR[30],"",0,1)</f>
        <v>4</v>
      </c>
      <c r="AQ77" cm="1">
        <f t="array" ref="AQ77">_xlfn.XLOOKUP(Matrix[[#This Row],[TEAM]]&amp;Matrix[[#Headers],[31]],FDR[FDR]&amp;FDR[[#Headers],[31]],FDR[31],"",0,1)</f>
        <v>5</v>
      </c>
      <c r="AR77" cm="1">
        <f t="array" ref="AR77">_xlfn.XLOOKUP(Matrix[[#This Row],[TEAM]]&amp;Matrix[[#Headers],[32]],FDR[FDR]&amp;FDR[[#Headers],[32]],FDR[32],"",0,1)</f>
        <v>2</v>
      </c>
      <c r="AS77" cm="1">
        <f t="array" ref="AS77">_xlfn.XLOOKUP(Matrix[[#This Row],[TEAM]]&amp;Matrix[[#Headers],[33]],FDR[FDR]&amp;FDR[[#Headers],[33]],FDR[33],"",0,1)</f>
        <v>4</v>
      </c>
      <c r="AT77" cm="1">
        <f t="array" ref="AT77">_xlfn.XLOOKUP(Matrix[[#This Row],[TEAM]]&amp;Matrix[[#Headers],[34]],FDR[FDR]&amp;FDR[[#Headers],[34]],FDR[34],"",0,1)</f>
        <v>3</v>
      </c>
      <c r="AU77" cm="1">
        <f t="array" ref="AU77">_xlfn.XLOOKUP(Matrix[[#This Row],[TEAM]]&amp;Matrix[[#Headers],[35]],FDR[FDR]&amp;FDR[[#Headers],[35]],FDR[35],"",0,1)</f>
        <v>4</v>
      </c>
      <c r="AV77" cm="1">
        <f t="array" ref="AV77">_xlfn.XLOOKUP(Matrix[[#This Row],[TEAM]]&amp;Matrix[[#Headers],[36]],FDR[FDR]&amp;FDR[[#Headers],[36]],FDR[36],"",0,1)</f>
        <v>4</v>
      </c>
      <c r="AW77" cm="1">
        <f t="array" ref="AW77">_xlfn.XLOOKUP(Matrix[[#This Row],[TEAM]]&amp;Matrix[[#Headers],[37]],FDR[FDR]&amp;FDR[[#Headers],[37]],FDR[37],"",0,1)</f>
        <v>5</v>
      </c>
      <c r="AX77" cm="1">
        <f t="array" ref="AX77">_xlfn.XLOOKUP(Matrix[[#This Row],[TEAM]]&amp;Matrix[[#Headers],[38]],FDR[FDR]&amp;FDR[[#Headers],[38]],FDR[38],"",0,1)</f>
        <v>1</v>
      </c>
    </row>
    <row r="78" spans="1:50" ht="22" thickTop="1" thickBot="1">
      <c r="A78" s="50" t="str">
        <f>INDEX!S$4</f>
        <v>MID</v>
      </c>
      <c r="B78" s="70" t="s">
        <v>1376</v>
      </c>
      <c r="C78" s="40" t="s">
        <v>51</v>
      </c>
      <c r="D78" s="62">
        <v>37</v>
      </c>
      <c r="E78" s="60">
        <v>2E-3</v>
      </c>
      <c r="F78" s="61">
        <v>26.7</v>
      </c>
      <c r="G78" s="63">
        <v>6</v>
      </c>
      <c r="H78" s="261">
        <f>IF(ISBLANK(I78),0,1)</f>
        <v>0</v>
      </c>
      <c r="I78" s="57"/>
      <c r="J78" s="58"/>
      <c r="K78" s="59" t="s">
        <v>485</v>
      </c>
      <c r="L78" s="59" t="s">
        <v>218</v>
      </c>
      <c r="M78" cm="1">
        <f t="array" ref="M78">_xlfn.XLOOKUP(Matrix[[#This Row],[TEAM]]&amp;Matrix[[#Headers],[1]],FDR[FDR]&amp;FDR[[#Headers],[1]],FDR[1],"",0,1)</f>
        <v>5</v>
      </c>
      <c r="N78" cm="1">
        <f t="array" ref="N78">_xlfn.XLOOKUP(Matrix[[#This Row],[TEAM]]&amp;Matrix[[#Headers],[2]],FDR[FDR]&amp;FDR[[#Headers],[2]],FDR[2],"",0,1)</f>
        <v>5</v>
      </c>
      <c r="O78" cm="1">
        <f t="array" ref="O78">_xlfn.XLOOKUP(Matrix[[#This Row],[TEAM]]&amp;Matrix[[#Headers],[3]],FDR[FDR]&amp;FDR[[#Headers],[3]],FDR[3],"",0,1)</f>
        <v>4</v>
      </c>
      <c r="P78" cm="1">
        <f t="array" ref="P78">_xlfn.XLOOKUP(Matrix[[#This Row],[TEAM]]&amp;Matrix[[#Headers],[4]],FDR[FDR]&amp;FDR[[#Headers],[4]],FDR[4],"",0,1)</f>
        <v>5</v>
      </c>
      <c r="Q78" cm="1">
        <f t="array" ref="Q78">_xlfn.XLOOKUP(Matrix[[#This Row],[TEAM]]&amp;Matrix[[#Headers],[5]],FDR[FDR]&amp;FDR[[#Headers],[5]],FDR[5],"",0,1)</f>
        <v>2</v>
      </c>
      <c r="R78" cm="1">
        <f t="array" ref="R78">_xlfn.XLOOKUP(Matrix[[#This Row],[TEAM]]&amp;Matrix[[#Headers],[6]],FDR[FDR]&amp;FDR[[#Headers],[6]],FDR[6],"",0,1)</f>
        <v>5</v>
      </c>
      <c r="S78" cm="1">
        <f t="array" ref="S78">_xlfn.XLOOKUP(Matrix[[#This Row],[TEAM]]&amp;Matrix[[#Headers],[7]],FDR[FDR]&amp;FDR[[#Headers],[7]],FDR[7],"",0,1)</f>
        <v>4</v>
      </c>
      <c r="T78" cm="1">
        <f t="array" ref="T78">_xlfn.XLOOKUP(Matrix[[#This Row],[TEAM]]&amp;Matrix[[#Headers],[8]],FDR[FDR]&amp;FDR[[#Headers],[8]],FDR[8],"",0,1)</f>
        <v>3</v>
      </c>
      <c r="U78" cm="1">
        <f t="array" ref="U78">_xlfn.XLOOKUP(Matrix[[#This Row],[TEAM]]&amp;Matrix[[#Headers],[9]],FDR[FDR]&amp;FDR[[#Headers],[9]],FDR[9],"",0,1)</f>
        <v>2</v>
      </c>
      <c r="V78" cm="1">
        <f t="array" ref="V78">_xlfn.XLOOKUP(Matrix[[#This Row],[TEAM]]&amp;Matrix[[#Headers],[10]],FDR[FDR]&amp;FDR[[#Headers],[10]],FDR[10],"",0,1)</f>
        <v>5</v>
      </c>
      <c r="W78" cm="1">
        <f t="array" ref="W78">_xlfn.XLOOKUP(Matrix[[#This Row],[TEAM]]&amp;Matrix[[#Headers],[11]],FDR[FDR]&amp;FDR[[#Headers],[11]],FDR[11],"",0,1)</f>
        <v>5</v>
      </c>
      <c r="X78" cm="1">
        <f t="array" ref="X78">_xlfn.XLOOKUP(Matrix[[#This Row],[TEAM]]&amp;Matrix[[#Headers],[12]],FDR[FDR]&amp;FDR[[#Headers],[12]],FDR[12],"",0,1)</f>
        <v>4</v>
      </c>
      <c r="Y78" cm="1">
        <f t="array" ref="Y78">_xlfn.XLOOKUP(Matrix[[#This Row],[TEAM]]&amp;Matrix[[#Headers],[13]],FDR[FDR]&amp;FDR[[#Headers],[13]],FDR[13],"",0,1)</f>
        <v>5</v>
      </c>
      <c r="Z78" cm="1">
        <f t="array" ref="Z78">_xlfn.XLOOKUP(Matrix[[#This Row],[TEAM]]&amp;Matrix[[#Headers],[14]],FDR[FDR]&amp;FDR[[#Headers],[14]],FDR[14],"",0,1)</f>
        <v>4</v>
      </c>
      <c r="AA78" cm="1">
        <f t="array" ref="AA78">_xlfn.XLOOKUP(Matrix[[#This Row],[TEAM]]&amp;Matrix[[#Headers],[15]],FDR[FDR]&amp;FDR[[#Headers],[15]],FDR[15],"",0,1)</f>
        <v>5</v>
      </c>
      <c r="AB78" cm="1">
        <f t="array" ref="AB78">_xlfn.XLOOKUP(Matrix[[#This Row],[TEAM]]&amp;Matrix[[#Headers],[16]],FDR[FDR]&amp;FDR[[#Headers],[16]],FDR[16],"",0,1)</f>
        <v>5</v>
      </c>
      <c r="AC78" cm="1">
        <f t="array" ref="AC78">_xlfn.XLOOKUP(Matrix[[#This Row],[TEAM]]&amp;Matrix[[#Headers],[17]],FDR[FDR]&amp;FDR[[#Headers],[17]],FDR[17],"",0,1)</f>
        <v>4</v>
      </c>
      <c r="AD78" cm="1">
        <f t="array" ref="AD78">_xlfn.XLOOKUP(Matrix[[#This Row],[TEAM]]&amp;Matrix[[#Headers],[18]],FDR[FDR]&amp;FDR[[#Headers],[18]],FDR[18],"",0,1)</f>
        <v>5</v>
      </c>
      <c r="AE78" cm="1">
        <f t="array" ref="AE78">_xlfn.XLOOKUP(Matrix[[#This Row],[TEAM]]&amp;Matrix[[#Headers],[19]],FDR[FDR]&amp;FDR[[#Headers],[19]],FDR[19],"",0,1)</f>
        <v>5</v>
      </c>
      <c r="AF78" cm="1">
        <f t="array" ref="AF78">_xlfn.XLOOKUP(Matrix[[#This Row],[TEAM]]&amp;Matrix[[#Headers],[20]],FDR[FDR]&amp;FDR[[#Headers],[20]],FDR[20],"",0,1)</f>
        <v>4</v>
      </c>
      <c r="AG78" cm="1">
        <f t="array" ref="AG78">_xlfn.XLOOKUP(Matrix[[#This Row],[TEAM]]&amp;Matrix[[#Headers],[21]],FDR[FDR]&amp;FDR[[#Headers],[21]],FDR[21],"",0,1)</f>
        <v>5</v>
      </c>
      <c r="AH78" cm="1">
        <f t="array" ref="AH78">_xlfn.XLOOKUP(Matrix[[#This Row],[TEAM]]&amp;Matrix[[#Headers],[22]],FDR[FDR]&amp;FDR[[#Headers],[22]],FDR[22],"",0,1)</f>
        <v>5</v>
      </c>
      <c r="AI78" cm="1">
        <f t="array" ref="AI78">_xlfn.XLOOKUP(Matrix[[#This Row],[TEAM]]&amp;Matrix[[#Headers],[23]],FDR[FDR]&amp;FDR[[#Headers],[23]],FDR[23],"",0,1)</f>
        <v>5</v>
      </c>
      <c r="AJ78" cm="1">
        <f t="array" ref="AJ78">_xlfn.XLOOKUP(Matrix[[#This Row],[TEAM]]&amp;Matrix[[#Headers],[24]],FDR[FDR]&amp;FDR[[#Headers],[24]],FDR[24],"",0,1)</f>
        <v>4</v>
      </c>
      <c r="AK78" cm="1">
        <f t="array" ref="AK78">_xlfn.XLOOKUP(Matrix[[#This Row],[TEAM]]&amp;Matrix[[#Headers],[25]],FDR[FDR]&amp;FDR[[#Headers],[25]],FDR[25],"",0,1)</f>
        <v>5</v>
      </c>
      <c r="AL78" cm="1">
        <f t="array" ref="AL78">_xlfn.XLOOKUP(Matrix[[#This Row],[TEAM]]&amp;Matrix[[#Headers],[26]],FDR[FDR]&amp;FDR[[#Headers],[26]],FDR[26],"",0,1)</f>
        <v>5</v>
      </c>
      <c r="AM78" cm="1">
        <f t="array" ref="AM78">_xlfn.XLOOKUP(Matrix[[#This Row],[TEAM]]&amp;Matrix[[#Headers],[27]],FDR[FDR]&amp;FDR[[#Headers],[27]],FDR[27],"",0,1)</f>
        <v>5</v>
      </c>
      <c r="AN78" cm="1">
        <f t="array" ref="AN78">_xlfn.XLOOKUP(Matrix[[#This Row],[TEAM]]&amp;Matrix[[#Headers],[28]],FDR[FDR]&amp;FDR[[#Headers],[28]],FDR[28],"",0,1)</f>
        <v>5</v>
      </c>
      <c r="AO78" cm="1">
        <f t="array" ref="AO78">_xlfn.XLOOKUP(Matrix[[#This Row],[TEAM]]&amp;Matrix[[#Headers],[29]],FDR[FDR]&amp;FDR[[#Headers],[29]],FDR[29],"",0,1)</f>
        <v>5</v>
      </c>
      <c r="AP78" cm="1">
        <f t="array" ref="AP78">_xlfn.XLOOKUP(Matrix[[#This Row],[TEAM]]&amp;Matrix[[#Headers],[30]],FDR[FDR]&amp;FDR[[#Headers],[30]],FDR[30],"",0,1)</f>
        <v>5</v>
      </c>
      <c r="AQ78" cm="1">
        <f t="array" ref="AQ78">_xlfn.XLOOKUP(Matrix[[#This Row],[TEAM]]&amp;Matrix[[#Headers],[31]],FDR[FDR]&amp;FDR[[#Headers],[31]],FDR[31],"",0,1)</f>
        <v>5</v>
      </c>
      <c r="AR78" cm="1">
        <f t="array" ref="AR78">_xlfn.XLOOKUP(Matrix[[#This Row],[TEAM]]&amp;Matrix[[#Headers],[32]],FDR[FDR]&amp;FDR[[#Headers],[32]],FDR[32],"",0,1)</f>
        <v>5</v>
      </c>
      <c r="AS78" cm="1">
        <f t="array" ref="AS78">_xlfn.XLOOKUP(Matrix[[#This Row],[TEAM]]&amp;Matrix[[#Headers],[33]],FDR[FDR]&amp;FDR[[#Headers],[33]],FDR[33],"",0,1)</f>
        <v>3</v>
      </c>
      <c r="AT78" cm="1">
        <f t="array" ref="AT78">_xlfn.XLOOKUP(Matrix[[#This Row],[TEAM]]&amp;Matrix[[#Headers],[34]],FDR[FDR]&amp;FDR[[#Headers],[34]],FDR[34],"",0,1)</f>
        <v>5</v>
      </c>
      <c r="AU78" cm="1">
        <f t="array" ref="AU78">_xlfn.XLOOKUP(Matrix[[#This Row],[TEAM]]&amp;Matrix[[#Headers],[35]],FDR[FDR]&amp;FDR[[#Headers],[35]],FDR[35],"",0,1)</f>
        <v>2</v>
      </c>
      <c r="AV78" cm="1">
        <f t="array" ref="AV78">_xlfn.XLOOKUP(Matrix[[#This Row],[TEAM]]&amp;Matrix[[#Headers],[36]],FDR[FDR]&amp;FDR[[#Headers],[36]],FDR[36],"",0,1)</f>
        <v>5</v>
      </c>
      <c r="AW78" cm="1">
        <f t="array" ref="AW78">_xlfn.XLOOKUP(Matrix[[#This Row],[TEAM]]&amp;Matrix[[#Headers],[37]],FDR[FDR]&amp;FDR[[#Headers],[37]],FDR[37],"",0,1)</f>
        <v>4</v>
      </c>
      <c r="AX78" cm="1">
        <f t="array" ref="AX78">_xlfn.XLOOKUP(Matrix[[#This Row],[TEAM]]&amp;Matrix[[#Headers],[38]],FDR[FDR]&amp;FDR[[#Headers],[38]],FDR[38],"",0,1)</f>
        <v>3</v>
      </c>
    </row>
    <row r="79" spans="1:50" ht="22" thickTop="1" thickBot="1">
      <c r="A79" s="50" t="str">
        <f>INDEX!S$4</f>
        <v>MID</v>
      </c>
      <c r="B79" s="70" t="s">
        <v>1378</v>
      </c>
      <c r="C79" s="40" t="s">
        <v>29</v>
      </c>
      <c r="D79" s="62">
        <v>31</v>
      </c>
      <c r="E79" s="60">
        <v>1E-3</v>
      </c>
      <c r="F79" s="61">
        <v>27.5</v>
      </c>
      <c r="G79" s="63">
        <v>6</v>
      </c>
      <c r="H79" s="261">
        <f>IF(ISBLANK(I79),0,1)</f>
        <v>0</v>
      </c>
      <c r="I79" s="57"/>
      <c r="J79" s="58"/>
      <c r="K79" s="59" t="s">
        <v>1099</v>
      </c>
      <c r="L79" s="59" t="s">
        <v>1098</v>
      </c>
      <c r="M79" cm="1">
        <f t="array" ref="M79">_xlfn.XLOOKUP(Matrix[[#This Row],[TEAM]]&amp;Matrix[[#Headers],[1]],FDR[FDR]&amp;FDR[[#Headers],[1]],FDR[1],"",0,1)</f>
        <v>1</v>
      </c>
      <c r="N79" cm="1">
        <f t="array" ref="N79">_xlfn.XLOOKUP(Matrix[[#This Row],[TEAM]]&amp;Matrix[[#Headers],[2]],FDR[FDR]&amp;FDR[[#Headers],[2]],FDR[2],"",0,1)</f>
        <v>2</v>
      </c>
      <c r="O79" cm="1">
        <f t="array" ref="O79">_xlfn.XLOOKUP(Matrix[[#This Row],[TEAM]]&amp;Matrix[[#Headers],[3]],FDR[FDR]&amp;FDR[[#Headers],[3]],FDR[3],"",0,1)</f>
        <v>2</v>
      </c>
      <c r="P79" cm="1">
        <f t="array" ref="P79">_xlfn.XLOOKUP(Matrix[[#This Row],[TEAM]]&amp;Matrix[[#Headers],[4]],FDR[FDR]&amp;FDR[[#Headers],[4]],FDR[4],"",0,1)</f>
        <v>2</v>
      </c>
      <c r="Q79" cm="1">
        <f t="array" ref="Q79">_xlfn.XLOOKUP(Matrix[[#This Row],[TEAM]]&amp;Matrix[[#Headers],[5]],FDR[FDR]&amp;FDR[[#Headers],[5]],FDR[5],"",0,1)</f>
        <v>4</v>
      </c>
      <c r="R79" cm="1">
        <f t="array" ref="R79">_xlfn.XLOOKUP(Matrix[[#This Row],[TEAM]]&amp;Matrix[[#Headers],[6]],FDR[FDR]&amp;FDR[[#Headers],[6]],FDR[6],"",0,1)</f>
        <v>1</v>
      </c>
      <c r="S79" cm="1">
        <f t="array" ref="S79">_xlfn.XLOOKUP(Matrix[[#This Row],[TEAM]]&amp;Matrix[[#Headers],[7]],FDR[FDR]&amp;FDR[[#Headers],[7]],FDR[7],"",0,1)</f>
        <v>2</v>
      </c>
      <c r="T79" cm="1">
        <f t="array" ref="T79">_xlfn.XLOOKUP(Matrix[[#This Row],[TEAM]]&amp;Matrix[[#Headers],[8]],FDR[FDR]&amp;FDR[[#Headers],[8]],FDR[8],"",0,1)</f>
        <v>1</v>
      </c>
      <c r="U79" cm="1">
        <f t="array" ref="U79">_xlfn.XLOOKUP(Matrix[[#This Row],[TEAM]]&amp;Matrix[[#Headers],[9]],FDR[FDR]&amp;FDR[[#Headers],[9]],FDR[9],"",0,1)</f>
        <v>3</v>
      </c>
      <c r="V79" cm="1">
        <f t="array" ref="V79">_xlfn.XLOOKUP(Matrix[[#This Row],[TEAM]]&amp;Matrix[[#Headers],[10]],FDR[FDR]&amp;FDR[[#Headers],[10]],FDR[10],"",0,1)</f>
        <v>1</v>
      </c>
      <c r="W79" cm="1">
        <f t="array" ref="W79">_xlfn.XLOOKUP(Matrix[[#This Row],[TEAM]]&amp;Matrix[[#Headers],[11]],FDR[FDR]&amp;FDR[[#Headers],[11]],FDR[11],"",0,1)</f>
        <v>3</v>
      </c>
      <c r="X79" cm="1">
        <f t="array" ref="X79">_xlfn.XLOOKUP(Matrix[[#This Row],[TEAM]]&amp;Matrix[[#Headers],[12]],FDR[FDR]&amp;FDR[[#Headers],[12]],FDR[12],"",0,1)</f>
        <v>3</v>
      </c>
      <c r="Y79" cm="1">
        <f t="array" ref="Y79">_xlfn.XLOOKUP(Matrix[[#This Row],[TEAM]]&amp;Matrix[[#Headers],[13]],FDR[FDR]&amp;FDR[[#Headers],[13]],FDR[13],"",0,1)</f>
        <v>1</v>
      </c>
      <c r="Z79" cm="1">
        <f t="array" ref="Z79">_xlfn.XLOOKUP(Matrix[[#This Row],[TEAM]]&amp;Matrix[[#Headers],[14]],FDR[FDR]&amp;FDR[[#Headers],[14]],FDR[14],"",0,1)</f>
        <v>2</v>
      </c>
      <c r="AA79" cm="1">
        <f t="array" ref="AA79">_xlfn.XLOOKUP(Matrix[[#This Row],[TEAM]]&amp;Matrix[[#Headers],[15]],FDR[FDR]&amp;FDR[[#Headers],[15]],FDR[15],"",0,1)</f>
        <v>1</v>
      </c>
      <c r="AB79" cm="1">
        <f t="array" ref="AB79">_xlfn.XLOOKUP(Matrix[[#This Row],[TEAM]]&amp;Matrix[[#Headers],[16]],FDR[FDR]&amp;FDR[[#Headers],[16]],FDR[16],"",0,1)</f>
        <v>2</v>
      </c>
      <c r="AC79" cm="1">
        <f t="array" ref="AC79">_xlfn.XLOOKUP(Matrix[[#This Row],[TEAM]]&amp;Matrix[[#Headers],[17]],FDR[FDR]&amp;FDR[[#Headers],[17]],FDR[17],"",0,1)</f>
        <v>1</v>
      </c>
      <c r="AD79" cm="1">
        <f t="array" ref="AD79">_xlfn.XLOOKUP(Matrix[[#This Row],[TEAM]]&amp;Matrix[[#Headers],[18]],FDR[FDR]&amp;FDR[[#Headers],[18]],FDR[18],"",0,1)</f>
        <v>2</v>
      </c>
      <c r="AE79" cm="1">
        <f t="array" ref="AE79">_xlfn.XLOOKUP(Matrix[[#This Row],[TEAM]]&amp;Matrix[[#Headers],[19]],FDR[FDR]&amp;FDR[[#Headers],[19]],FDR[19],"",0,1)</f>
        <v>1</v>
      </c>
      <c r="AF79" cm="1">
        <f t="array" ref="AF79">_xlfn.XLOOKUP(Matrix[[#This Row],[TEAM]]&amp;Matrix[[#Headers],[20]],FDR[FDR]&amp;FDR[[#Headers],[20]],FDR[20],"",0,1)</f>
        <v>2</v>
      </c>
      <c r="AG79" cm="1">
        <f t="array" ref="AG79">_xlfn.XLOOKUP(Matrix[[#This Row],[TEAM]]&amp;Matrix[[#Headers],[21]],FDR[FDR]&amp;FDR[[#Headers],[21]],FDR[21],"",0,1)</f>
        <v>1</v>
      </c>
      <c r="AH79" cm="1">
        <f t="array" ref="AH79">_xlfn.XLOOKUP(Matrix[[#This Row],[TEAM]]&amp;Matrix[[#Headers],[22]],FDR[FDR]&amp;FDR[[#Headers],[22]],FDR[22],"",0,1)</f>
        <v>3</v>
      </c>
      <c r="AI79" cm="1">
        <f t="array" ref="AI79">_xlfn.XLOOKUP(Matrix[[#This Row],[TEAM]]&amp;Matrix[[#Headers],[23]],FDR[FDR]&amp;FDR[[#Headers],[23]],FDR[23],"",0,1)</f>
        <v>1</v>
      </c>
      <c r="AJ79" cm="1">
        <f t="array" ref="AJ79">_xlfn.XLOOKUP(Matrix[[#This Row],[TEAM]]&amp;Matrix[[#Headers],[24]],FDR[FDR]&amp;FDR[[#Headers],[24]],FDR[24],"",0,1)</f>
        <v>3</v>
      </c>
      <c r="AK79" cm="1">
        <f t="array" ref="AK79">_xlfn.XLOOKUP(Matrix[[#This Row],[TEAM]]&amp;Matrix[[#Headers],[25]],FDR[FDR]&amp;FDR[[#Headers],[25]],FDR[25],"",0,1)</f>
        <v>4</v>
      </c>
      <c r="AL79" cm="1">
        <f t="array" ref="AL79">_xlfn.XLOOKUP(Matrix[[#This Row],[TEAM]]&amp;Matrix[[#Headers],[26]],FDR[FDR]&amp;FDR[[#Headers],[26]],FDR[26],"",0,1)</f>
        <v>1</v>
      </c>
      <c r="AM79" cm="1">
        <f t="array" ref="AM79">_xlfn.XLOOKUP(Matrix[[#This Row],[TEAM]]&amp;Matrix[[#Headers],[27]],FDR[FDR]&amp;FDR[[#Headers],[27]],FDR[27],"",0,1)</f>
        <v>2</v>
      </c>
      <c r="AN79" cm="1">
        <f t="array" ref="AN79">_xlfn.XLOOKUP(Matrix[[#This Row],[TEAM]]&amp;Matrix[[#Headers],[28]],FDR[FDR]&amp;FDR[[#Headers],[28]],FDR[28],"",0,1)</f>
        <v>1</v>
      </c>
      <c r="AO79" cm="1">
        <f t="array" ref="AO79">_xlfn.XLOOKUP(Matrix[[#This Row],[TEAM]]&amp;Matrix[[#Headers],[29]],FDR[FDR]&amp;FDR[[#Headers],[29]],FDR[29],"",0,1)</f>
        <v>1</v>
      </c>
      <c r="AP79" cm="1">
        <f t="array" ref="AP79">_xlfn.XLOOKUP(Matrix[[#This Row],[TEAM]]&amp;Matrix[[#Headers],[30]],FDR[FDR]&amp;FDR[[#Headers],[30]],FDR[30],"",0,1)</f>
        <v>2</v>
      </c>
      <c r="AQ79" cm="1">
        <f t="array" ref="AQ79">_xlfn.XLOOKUP(Matrix[[#This Row],[TEAM]]&amp;Matrix[[#Headers],[31]],FDR[FDR]&amp;FDR[[#Headers],[31]],FDR[31],"",0,1)</f>
        <v>1</v>
      </c>
      <c r="AR79" cm="1">
        <f t="array" ref="AR79">_xlfn.XLOOKUP(Matrix[[#This Row],[TEAM]]&amp;Matrix[[#Headers],[32]],FDR[FDR]&amp;FDR[[#Headers],[32]],FDR[32],"",0,1)</f>
        <v>3</v>
      </c>
      <c r="AS79" cm="1">
        <f t="array" ref="AS79">_xlfn.XLOOKUP(Matrix[[#This Row],[TEAM]]&amp;Matrix[[#Headers],[33]],FDR[FDR]&amp;FDR[[#Headers],[33]],FDR[33],"",0,1)</f>
        <v>3</v>
      </c>
      <c r="AT79" cm="1">
        <f t="array" ref="AT79">_xlfn.XLOOKUP(Matrix[[#This Row],[TEAM]]&amp;Matrix[[#Headers],[34]],FDR[FDR]&amp;FDR[[#Headers],[34]],FDR[34],"",0,1)</f>
        <v>1</v>
      </c>
      <c r="AU79" cm="1">
        <f t="array" ref="AU79">_xlfn.XLOOKUP(Matrix[[#This Row],[TEAM]]&amp;Matrix[[#Headers],[35]],FDR[FDR]&amp;FDR[[#Headers],[35]],FDR[35],"",0,1)</f>
        <v>2</v>
      </c>
      <c r="AV79" cm="1">
        <f t="array" ref="AV79">_xlfn.XLOOKUP(Matrix[[#This Row],[TEAM]]&amp;Matrix[[#Headers],[36]],FDR[FDR]&amp;FDR[[#Headers],[36]],FDR[36],"",0,1)</f>
        <v>1</v>
      </c>
      <c r="AW79" cm="1">
        <f t="array" ref="AW79">_xlfn.XLOOKUP(Matrix[[#This Row],[TEAM]]&amp;Matrix[[#Headers],[37]],FDR[FDR]&amp;FDR[[#Headers],[37]],FDR[37],"",0,1)</f>
        <v>2</v>
      </c>
      <c r="AX79" cm="1">
        <f t="array" ref="AX79">_xlfn.XLOOKUP(Matrix[[#This Row],[TEAM]]&amp;Matrix[[#Headers],[38]],FDR[FDR]&amp;FDR[[#Headers],[38]],FDR[38],"",0,1)</f>
        <v>2</v>
      </c>
    </row>
    <row r="80" spans="1:50" ht="22" thickTop="1" thickBot="1">
      <c r="A80" s="50" t="str">
        <f>INDEX!S$4</f>
        <v>MID</v>
      </c>
      <c r="B80" s="70" t="s">
        <v>1375</v>
      </c>
      <c r="C80" s="40" t="s">
        <v>30</v>
      </c>
      <c r="D80" s="62">
        <v>25</v>
      </c>
      <c r="E80" s="60">
        <v>2E-3</v>
      </c>
      <c r="F80" s="61">
        <v>45.6</v>
      </c>
      <c r="G80" s="63">
        <v>6</v>
      </c>
      <c r="H80" s="261">
        <f>IF(ISBLANK(I80),0,1)</f>
        <v>0</v>
      </c>
      <c r="I80" s="57"/>
      <c r="J80" s="58"/>
      <c r="K80" s="59" t="s">
        <v>451</v>
      </c>
      <c r="L80" s="59" t="s">
        <v>191</v>
      </c>
      <c r="M80" cm="1">
        <f t="array" ref="M80">_xlfn.XLOOKUP(Matrix[[#This Row],[TEAM]]&amp;Matrix[[#Headers],[1]],FDR[FDR]&amp;FDR[[#Headers],[1]],FDR[1],"",0,1)</f>
        <v>3</v>
      </c>
      <c r="N80" cm="1">
        <f t="array" ref="N80">_xlfn.XLOOKUP(Matrix[[#This Row],[TEAM]]&amp;Matrix[[#Headers],[2]],FDR[FDR]&amp;FDR[[#Headers],[2]],FDR[2],"",0,1)</f>
        <v>2</v>
      </c>
      <c r="O80" cm="1">
        <f t="array" ref="O80">_xlfn.XLOOKUP(Matrix[[#This Row],[TEAM]]&amp;Matrix[[#Headers],[3]],FDR[FDR]&amp;FDR[[#Headers],[3]],FDR[3],"",0,1)</f>
        <v>1</v>
      </c>
      <c r="P80" cm="1">
        <f t="array" ref="P80">_xlfn.XLOOKUP(Matrix[[#This Row],[TEAM]]&amp;Matrix[[#Headers],[4]],FDR[FDR]&amp;FDR[[#Headers],[4]],FDR[4],"",0,1)</f>
        <v>4</v>
      </c>
      <c r="Q80" cm="1">
        <f t="array" ref="Q80">_xlfn.XLOOKUP(Matrix[[#This Row],[TEAM]]&amp;Matrix[[#Headers],[5]],FDR[FDR]&amp;FDR[[#Headers],[5]],FDR[5],"",0,1)</f>
        <v>3</v>
      </c>
      <c r="R80" cm="1">
        <f t="array" ref="R80">_xlfn.XLOOKUP(Matrix[[#This Row],[TEAM]]&amp;Matrix[[#Headers],[6]],FDR[FDR]&amp;FDR[[#Headers],[6]],FDR[6],"",0,1)</f>
        <v>2</v>
      </c>
      <c r="S80" cm="1">
        <f t="array" ref="S80">_xlfn.XLOOKUP(Matrix[[#This Row],[TEAM]]&amp;Matrix[[#Headers],[7]],FDR[FDR]&amp;FDR[[#Headers],[7]],FDR[7],"",0,1)</f>
        <v>1</v>
      </c>
      <c r="T80" cm="1">
        <f t="array" ref="T80">_xlfn.XLOOKUP(Matrix[[#This Row],[TEAM]]&amp;Matrix[[#Headers],[8]],FDR[FDR]&amp;FDR[[#Headers],[8]],FDR[8],"",0,1)</f>
        <v>4</v>
      </c>
      <c r="U80" cm="1">
        <f t="array" ref="U80">_xlfn.XLOOKUP(Matrix[[#This Row],[TEAM]]&amp;Matrix[[#Headers],[9]],FDR[FDR]&amp;FDR[[#Headers],[9]],FDR[9],"",0,1)</f>
        <v>1</v>
      </c>
      <c r="V80" cm="1">
        <f t="array" ref="V80">_xlfn.XLOOKUP(Matrix[[#This Row],[TEAM]]&amp;Matrix[[#Headers],[10]],FDR[FDR]&amp;FDR[[#Headers],[10]],FDR[10],"",0,1)</f>
        <v>2</v>
      </c>
      <c r="W80" cm="1">
        <f t="array" ref="W80">_xlfn.XLOOKUP(Matrix[[#This Row],[TEAM]]&amp;Matrix[[#Headers],[11]],FDR[FDR]&amp;FDR[[#Headers],[11]],FDR[11],"",0,1)</f>
        <v>4</v>
      </c>
      <c r="X80" cm="1">
        <f t="array" ref="X80">_xlfn.XLOOKUP(Matrix[[#This Row],[TEAM]]&amp;Matrix[[#Headers],[12]],FDR[FDR]&amp;FDR[[#Headers],[12]],FDR[12],"",0,1)</f>
        <v>1</v>
      </c>
      <c r="Y80" cm="1">
        <f t="array" ref="Y80">_xlfn.XLOOKUP(Matrix[[#This Row],[TEAM]]&amp;Matrix[[#Headers],[13]],FDR[FDR]&amp;FDR[[#Headers],[13]],FDR[13],"",0,1)</f>
        <v>2</v>
      </c>
      <c r="Z80" cm="1">
        <f t="array" ref="Z80">_xlfn.XLOOKUP(Matrix[[#This Row],[TEAM]]&amp;Matrix[[#Headers],[14]],FDR[FDR]&amp;FDR[[#Headers],[14]],FDR[14],"",0,1)</f>
        <v>1</v>
      </c>
      <c r="AA80" cm="1">
        <f t="array" ref="AA80">_xlfn.XLOOKUP(Matrix[[#This Row],[TEAM]]&amp;Matrix[[#Headers],[15]],FDR[FDR]&amp;FDR[[#Headers],[15]],FDR[15],"",0,1)</f>
        <v>1</v>
      </c>
      <c r="AB80" cm="1">
        <f t="array" ref="AB80">_xlfn.XLOOKUP(Matrix[[#This Row],[TEAM]]&amp;Matrix[[#Headers],[16]],FDR[FDR]&amp;FDR[[#Headers],[16]],FDR[16],"",0,1)</f>
        <v>1</v>
      </c>
      <c r="AC80" cm="1">
        <f t="array" ref="AC80">_xlfn.XLOOKUP(Matrix[[#This Row],[TEAM]]&amp;Matrix[[#Headers],[17]],FDR[FDR]&amp;FDR[[#Headers],[17]],FDR[17],"",0,1)</f>
        <v>3</v>
      </c>
      <c r="AD80" cm="1">
        <f t="array" ref="AD80">_xlfn.XLOOKUP(Matrix[[#This Row],[TEAM]]&amp;Matrix[[#Headers],[18]],FDR[FDR]&amp;FDR[[#Headers],[18]],FDR[18],"",0,1)</f>
        <v>2</v>
      </c>
      <c r="AE80" cm="1">
        <f t="array" ref="AE80">_xlfn.XLOOKUP(Matrix[[#This Row],[TEAM]]&amp;Matrix[[#Headers],[19]],FDR[FDR]&amp;FDR[[#Headers],[19]],FDR[19],"",0,1)</f>
        <v>1</v>
      </c>
      <c r="AF80" cm="1">
        <f t="array" ref="AF80">_xlfn.XLOOKUP(Matrix[[#This Row],[TEAM]]&amp;Matrix[[#Headers],[20]],FDR[FDR]&amp;FDR[[#Headers],[20]],FDR[20],"",0,1)</f>
        <v>1</v>
      </c>
      <c r="AG80" cm="1">
        <f t="array" ref="AG80">_xlfn.XLOOKUP(Matrix[[#This Row],[TEAM]]&amp;Matrix[[#Headers],[21]],FDR[FDR]&amp;FDR[[#Headers],[21]],FDR[21],"",0,1)</f>
        <v>1</v>
      </c>
      <c r="AH80" cm="1">
        <f t="array" ref="AH80">_xlfn.XLOOKUP(Matrix[[#This Row],[TEAM]]&amp;Matrix[[#Headers],[22]],FDR[FDR]&amp;FDR[[#Headers],[22]],FDR[22],"",0,1)</f>
        <v>3</v>
      </c>
      <c r="AI80" cm="1">
        <f t="array" ref="AI80">_xlfn.XLOOKUP(Matrix[[#This Row],[TEAM]]&amp;Matrix[[#Headers],[23]],FDR[FDR]&amp;FDR[[#Headers],[23]],FDR[23],"",0,1)</f>
        <v>4</v>
      </c>
      <c r="AJ80" cm="1">
        <f t="array" ref="AJ80">_xlfn.XLOOKUP(Matrix[[#This Row],[TEAM]]&amp;Matrix[[#Headers],[24]],FDR[FDR]&amp;FDR[[#Headers],[24]],FDR[24],"",0,1)</f>
        <v>1</v>
      </c>
      <c r="AK80" cm="1">
        <f t="array" ref="AK80">_xlfn.XLOOKUP(Matrix[[#This Row],[TEAM]]&amp;Matrix[[#Headers],[25]],FDR[FDR]&amp;FDR[[#Headers],[25]],FDR[25],"",0,1)</f>
        <v>3</v>
      </c>
      <c r="AL80" cm="1">
        <f t="array" ref="AL80">_xlfn.XLOOKUP(Matrix[[#This Row],[TEAM]]&amp;Matrix[[#Headers],[26]],FDR[FDR]&amp;FDR[[#Headers],[26]],FDR[26],"",0,1)</f>
        <v>2</v>
      </c>
      <c r="AM80" cm="1">
        <f t="array" ref="AM80">_xlfn.XLOOKUP(Matrix[[#This Row],[TEAM]]&amp;Matrix[[#Headers],[27]],FDR[FDR]&amp;FDR[[#Headers],[27]],FDR[27],"",0,1)</f>
        <v>2</v>
      </c>
      <c r="AN80" cm="1">
        <f t="array" ref="AN80">_xlfn.XLOOKUP(Matrix[[#This Row],[TEAM]]&amp;Matrix[[#Headers],[28]],FDR[FDR]&amp;FDR[[#Headers],[28]],FDR[28],"",0,1)</f>
        <v>1</v>
      </c>
      <c r="AO80" cm="1">
        <f t="array" ref="AO80">_xlfn.XLOOKUP(Matrix[[#This Row],[TEAM]]&amp;Matrix[[#Headers],[29]],FDR[FDR]&amp;FDR[[#Headers],[29]],FDR[29],"",0,1)</f>
        <v>3</v>
      </c>
      <c r="AP80" cm="1">
        <f t="array" ref="AP80">_xlfn.XLOOKUP(Matrix[[#This Row],[TEAM]]&amp;Matrix[[#Headers],[30]],FDR[FDR]&amp;FDR[[#Headers],[30]],FDR[30],"",0,1)</f>
        <v>2</v>
      </c>
      <c r="AQ80" cm="1">
        <f t="array" ref="AQ80">_xlfn.XLOOKUP(Matrix[[#This Row],[TEAM]]&amp;Matrix[[#Headers],[31]],FDR[FDR]&amp;FDR[[#Headers],[31]],FDR[31],"",0,1)</f>
        <v>2</v>
      </c>
      <c r="AR80" cm="1">
        <f t="array" ref="AR80">_xlfn.XLOOKUP(Matrix[[#This Row],[TEAM]]&amp;Matrix[[#Headers],[32]],FDR[FDR]&amp;FDR[[#Headers],[32]],FDR[32],"",0,1)</f>
        <v>1</v>
      </c>
      <c r="AS80" cm="1">
        <f t="array" ref="AS80">_xlfn.XLOOKUP(Matrix[[#This Row],[TEAM]]&amp;Matrix[[#Headers],[33]],FDR[FDR]&amp;FDR[[#Headers],[33]],FDR[33],"",0,1)</f>
        <v>4</v>
      </c>
      <c r="AT80" cm="1">
        <f t="array" ref="AT80">_xlfn.XLOOKUP(Matrix[[#This Row],[TEAM]]&amp;Matrix[[#Headers],[34]],FDR[FDR]&amp;FDR[[#Headers],[34]],FDR[34],"",0,1)</f>
        <v>1</v>
      </c>
      <c r="AU80" cm="1">
        <f t="array" ref="AU80">_xlfn.XLOOKUP(Matrix[[#This Row],[TEAM]]&amp;Matrix[[#Headers],[35]],FDR[FDR]&amp;FDR[[#Headers],[35]],FDR[35],"",0,1)</f>
        <v>3</v>
      </c>
      <c r="AV80" cm="1">
        <f t="array" ref="AV80">_xlfn.XLOOKUP(Matrix[[#This Row],[TEAM]]&amp;Matrix[[#Headers],[36]],FDR[FDR]&amp;FDR[[#Headers],[36]],FDR[36],"",0,1)</f>
        <v>1</v>
      </c>
      <c r="AW80" cm="1">
        <f t="array" ref="AW80">_xlfn.XLOOKUP(Matrix[[#This Row],[TEAM]]&amp;Matrix[[#Headers],[37]],FDR[FDR]&amp;FDR[[#Headers],[37]],FDR[37],"",0,1)</f>
        <v>1</v>
      </c>
      <c r="AX80" cm="1">
        <f t="array" ref="AX80">_xlfn.XLOOKUP(Matrix[[#This Row],[TEAM]]&amp;Matrix[[#Headers],[38]],FDR[FDR]&amp;FDR[[#Headers],[38]],FDR[38],"",0,1)</f>
        <v>2</v>
      </c>
    </row>
    <row r="81" spans="1:50" ht="22" thickTop="1" thickBot="1">
      <c r="A81" s="50" t="str">
        <f>INDEX!S$4</f>
        <v>MID</v>
      </c>
      <c r="B81" s="70" t="s">
        <v>1372</v>
      </c>
      <c r="C81" s="40" t="s">
        <v>52</v>
      </c>
      <c r="D81" s="62">
        <v>0</v>
      </c>
      <c r="E81" s="60">
        <v>3.0000000000000001E-3</v>
      </c>
      <c r="F81" s="61">
        <v>0</v>
      </c>
      <c r="G81" s="63">
        <v>6</v>
      </c>
      <c r="H81" s="261">
        <f>IF(ISBLANK(I81),0,1)</f>
        <v>0</v>
      </c>
      <c r="I81" s="57"/>
      <c r="J81" s="58"/>
      <c r="K81" s="59" t="s">
        <v>391</v>
      </c>
      <c r="L81" s="59" t="s">
        <v>758</v>
      </c>
      <c r="M81" cm="1">
        <f t="array" ref="M81">_xlfn.XLOOKUP(Matrix[[#This Row],[TEAM]]&amp;Matrix[[#Headers],[1]],FDR[FDR]&amp;FDR[[#Headers],[1]],FDR[1],"",0,1)</f>
        <v>2</v>
      </c>
      <c r="N81" cm="1">
        <f t="array" ref="N81">_xlfn.XLOOKUP(Matrix[[#This Row],[TEAM]]&amp;Matrix[[#Headers],[2]],FDR[FDR]&amp;FDR[[#Headers],[2]],FDR[2],"",0,1)</f>
        <v>3</v>
      </c>
      <c r="O81" cm="1">
        <f t="array" ref="O81">_xlfn.XLOOKUP(Matrix[[#This Row],[TEAM]]&amp;Matrix[[#Headers],[3]],FDR[FDR]&amp;FDR[[#Headers],[3]],FDR[3],"",0,1)</f>
        <v>2</v>
      </c>
      <c r="P81" cm="1">
        <f t="array" ref="P81">_xlfn.XLOOKUP(Matrix[[#This Row],[TEAM]]&amp;Matrix[[#Headers],[4]],FDR[FDR]&amp;FDR[[#Headers],[4]],FDR[4],"",0,1)</f>
        <v>5</v>
      </c>
      <c r="Q81" cm="1">
        <f t="array" ref="Q81">_xlfn.XLOOKUP(Matrix[[#This Row],[TEAM]]&amp;Matrix[[#Headers],[5]],FDR[FDR]&amp;FDR[[#Headers],[5]],FDR[5],"",0,1)</f>
        <v>2</v>
      </c>
      <c r="R81" cm="1">
        <f t="array" ref="R81">_xlfn.XLOOKUP(Matrix[[#This Row],[TEAM]]&amp;Matrix[[#Headers],[6]],FDR[FDR]&amp;FDR[[#Headers],[6]],FDR[6],"",0,1)</f>
        <v>1</v>
      </c>
      <c r="S81" cm="1">
        <f t="array" ref="S81">_xlfn.XLOOKUP(Matrix[[#This Row],[TEAM]]&amp;Matrix[[#Headers],[7]],FDR[FDR]&amp;FDR[[#Headers],[7]],FDR[7],"",0,1)</f>
        <v>5</v>
      </c>
      <c r="T81" cm="1">
        <f t="array" ref="T81">_xlfn.XLOOKUP(Matrix[[#This Row],[TEAM]]&amp;Matrix[[#Headers],[8]],FDR[FDR]&amp;FDR[[#Headers],[8]],FDR[8],"",0,1)</f>
        <v>4</v>
      </c>
      <c r="U81" cm="1">
        <f t="array" ref="U81">_xlfn.XLOOKUP(Matrix[[#This Row],[TEAM]]&amp;Matrix[[#Headers],[9]],FDR[FDR]&amp;FDR[[#Headers],[9]],FDR[9],"",0,1)</f>
        <v>4</v>
      </c>
      <c r="V81" cm="1">
        <f t="array" ref="V81">_xlfn.XLOOKUP(Matrix[[#This Row],[TEAM]]&amp;Matrix[[#Headers],[10]],FDR[FDR]&amp;FDR[[#Headers],[10]],FDR[10],"",0,1)</f>
        <v>4</v>
      </c>
      <c r="W81" cm="1">
        <f t="array" ref="W81">_xlfn.XLOOKUP(Matrix[[#This Row],[TEAM]]&amp;Matrix[[#Headers],[11]],FDR[FDR]&amp;FDR[[#Headers],[11]],FDR[11],"",0,1)</f>
        <v>1</v>
      </c>
      <c r="X81" cm="1">
        <f t="array" ref="X81">_xlfn.XLOOKUP(Matrix[[#This Row],[TEAM]]&amp;Matrix[[#Headers],[12]],FDR[FDR]&amp;FDR[[#Headers],[12]],FDR[12],"",0,1)</f>
        <v>5</v>
      </c>
      <c r="Y81" cm="1">
        <f t="array" ref="Y81">_xlfn.XLOOKUP(Matrix[[#This Row],[TEAM]]&amp;Matrix[[#Headers],[13]],FDR[FDR]&amp;FDR[[#Headers],[13]],FDR[13],"",0,1)</f>
        <v>3</v>
      </c>
      <c r="Z81" cm="1">
        <f t="array" ref="Z81">_xlfn.XLOOKUP(Matrix[[#This Row],[TEAM]]&amp;Matrix[[#Headers],[14]],FDR[FDR]&amp;FDR[[#Headers],[14]],FDR[14],"",0,1)</f>
        <v>2</v>
      </c>
      <c r="AA81" cm="1">
        <f t="array" ref="AA81">_xlfn.XLOOKUP(Matrix[[#This Row],[TEAM]]&amp;Matrix[[#Headers],[15]],FDR[FDR]&amp;FDR[[#Headers],[15]],FDR[15],"",0,1)</f>
        <v>3</v>
      </c>
      <c r="AB81" cm="1">
        <f t="array" ref="AB81">_xlfn.XLOOKUP(Matrix[[#This Row],[TEAM]]&amp;Matrix[[#Headers],[16]],FDR[FDR]&amp;FDR[[#Headers],[16]],FDR[16],"",0,1)</f>
        <v>4</v>
      </c>
      <c r="AC81" cm="1">
        <f t="array" ref="AC81">_xlfn.XLOOKUP(Matrix[[#This Row],[TEAM]]&amp;Matrix[[#Headers],[17]],FDR[FDR]&amp;FDR[[#Headers],[17]],FDR[17],"",0,1)</f>
        <v>4</v>
      </c>
      <c r="AD81" cm="1">
        <f t="array" ref="AD81">_xlfn.XLOOKUP(Matrix[[#This Row],[TEAM]]&amp;Matrix[[#Headers],[18]],FDR[FDR]&amp;FDR[[#Headers],[18]],FDR[18],"",0,1)</f>
        <v>4</v>
      </c>
      <c r="AE81" cm="1">
        <f t="array" ref="AE81">_xlfn.XLOOKUP(Matrix[[#This Row],[TEAM]]&amp;Matrix[[#Headers],[19]],FDR[FDR]&amp;FDR[[#Headers],[19]],FDR[19],"",0,1)</f>
        <v>2</v>
      </c>
      <c r="AF81" cm="1">
        <f t="array" ref="AF81">_xlfn.XLOOKUP(Matrix[[#This Row],[TEAM]]&amp;Matrix[[#Headers],[20]],FDR[FDR]&amp;FDR[[#Headers],[20]],FDR[20],"",0,1)</f>
        <v>5</v>
      </c>
      <c r="AG81" cm="1">
        <f t="array" ref="AG81">_xlfn.XLOOKUP(Matrix[[#This Row],[TEAM]]&amp;Matrix[[#Headers],[21]],FDR[FDR]&amp;FDR[[#Headers],[21]],FDR[21],"",0,1)</f>
        <v>3</v>
      </c>
      <c r="AH81" cm="1">
        <f t="array" ref="AH81">_xlfn.XLOOKUP(Matrix[[#This Row],[TEAM]]&amp;Matrix[[#Headers],[22]],FDR[FDR]&amp;FDR[[#Headers],[22]],FDR[22],"",0,1)</f>
        <v>4</v>
      </c>
      <c r="AI81" cm="1">
        <f t="array" ref="AI81">_xlfn.XLOOKUP(Matrix[[#This Row],[TEAM]]&amp;Matrix[[#Headers],[23]],FDR[FDR]&amp;FDR[[#Headers],[23]],FDR[23],"",0,1)</f>
        <v>3</v>
      </c>
      <c r="AJ81" cm="1">
        <f t="array" ref="AJ81">_xlfn.XLOOKUP(Matrix[[#This Row],[TEAM]]&amp;Matrix[[#Headers],[24]],FDR[FDR]&amp;FDR[[#Headers],[24]],FDR[24],"",0,1)</f>
        <v>2</v>
      </c>
      <c r="AK81" cm="1">
        <f t="array" ref="AK81">_xlfn.XLOOKUP(Matrix[[#This Row],[TEAM]]&amp;Matrix[[#Headers],[25]],FDR[FDR]&amp;FDR[[#Headers],[25]],FDR[25],"",0,1)</f>
        <v>2</v>
      </c>
      <c r="AL81" cm="1">
        <f t="array" ref="AL81">_xlfn.XLOOKUP(Matrix[[#This Row],[TEAM]]&amp;Matrix[[#Headers],[26]],FDR[FDR]&amp;FDR[[#Headers],[26]],FDR[26],"",0,1)</f>
        <v>1</v>
      </c>
      <c r="AM81" cm="1">
        <f t="array" ref="AM81">_xlfn.XLOOKUP(Matrix[[#This Row],[TEAM]]&amp;Matrix[[#Headers],[27]],FDR[FDR]&amp;FDR[[#Headers],[27]],FDR[27],"",0,1)</f>
        <v>4</v>
      </c>
      <c r="AN81" cm="1">
        <f t="array" ref="AN81">_xlfn.XLOOKUP(Matrix[[#This Row],[TEAM]]&amp;Matrix[[#Headers],[28]],FDR[FDR]&amp;FDR[[#Headers],[28]],FDR[28],"",0,1)</f>
        <v>4</v>
      </c>
      <c r="AO81" cm="1">
        <f t="array" ref="AO81">_xlfn.XLOOKUP(Matrix[[#This Row],[TEAM]]&amp;Matrix[[#Headers],[29]],FDR[FDR]&amp;FDR[[#Headers],[29]],FDR[29],"",0,1)</f>
        <v>5</v>
      </c>
      <c r="AP81" cm="1">
        <f t="array" ref="AP81">_xlfn.XLOOKUP(Matrix[[#This Row],[TEAM]]&amp;Matrix[[#Headers],[30]],FDR[FDR]&amp;FDR[[#Headers],[30]],FDR[30],"",0,1)</f>
        <v>3</v>
      </c>
      <c r="AQ81" cm="1">
        <f t="array" ref="AQ81">_xlfn.XLOOKUP(Matrix[[#This Row],[TEAM]]&amp;Matrix[[#Headers],[31]],FDR[FDR]&amp;FDR[[#Headers],[31]],FDR[31],"",0,1)</f>
        <v>5</v>
      </c>
      <c r="AR81" cm="1">
        <f t="array" ref="AR81">_xlfn.XLOOKUP(Matrix[[#This Row],[TEAM]]&amp;Matrix[[#Headers],[32]],FDR[FDR]&amp;FDR[[#Headers],[32]],FDR[32],"",0,1)</f>
        <v>3</v>
      </c>
      <c r="AS81" cm="1">
        <f t="array" ref="AS81">_xlfn.XLOOKUP(Matrix[[#This Row],[TEAM]]&amp;Matrix[[#Headers],[33]],FDR[FDR]&amp;FDR[[#Headers],[33]],FDR[33],"",0,1)</f>
        <v>1</v>
      </c>
      <c r="AT81" cm="1">
        <f t="array" ref="AT81">_xlfn.XLOOKUP(Matrix[[#This Row],[TEAM]]&amp;Matrix[[#Headers],[34]],FDR[FDR]&amp;FDR[[#Headers],[34]],FDR[34],"",0,1)</f>
        <v>2</v>
      </c>
      <c r="AU81" cm="1">
        <f t="array" ref="AU81">_xlfn.XLOOKUP(Matrix[[#This Row],[TEAM]]&amp;Matrix[[#Headers],[35]],FDR[FDR]&amp;FDR[[#Headers],[35]],FDR[35],"",0,1)</f>
        <v>5</v>
      </c>
      <c r="AV81" cm="1">
        <f t="array" ref="AV81">_xlfn.XLOOKUP(Matrix[[#This Row],[TEAM]]&amp;Matrix[[#Headers],[36]],FDR[FDR]&amp;FDR[[#Headers],[36]],FDR[36],"",0,1)</f>
        <v>4</v>
      </c>
      <c r="AW81" cm="1">
        <f t="array" ref="AW81">_xlfn.XLOOKUP(Matrix[[#This Row],[TEAM]]&amp;Matrix[[#Headers],[37]],FDR[FDR]&amp;FDR[[#Headers],[37]],FDR[37],"",0,1)</f>
        <v>5</v>
      </c>
      <c r="AX81" cm="1">
        <f t="array" ref="AX81">_xlfn.XLOOKUP(Matrix[[#This Row],[TEAM]]&amp;Matrix[[#Headers],[38]],FDR[FDR]&amp;FDR[[#Headers],[38]],FDR[38],"",0,1)</f>
        <v>3</v>
      </c>
    </row>
    <row r="82" spans="1:50" ht="22" thickTop="1" thickBot="1">
      <c r="A82" s="49" t="str">
        <f>INDEX!S$5</f>
        <v>FWD</v>
      </c>
      <c r="B82" s="70" t="s">
        <v>743</v>
      </c>
      <c r="C82" s="40" t="s">
        <v>21</v>
      </c>
      <c r="D82" s="62">
        <v>9</v>
      </c>
      <c r="E82" s="60">
        <v>1.0999999999999999E-2</v>
      </c>
      <c r="F82" s="61">
        <v>5.8</v>
      </c>
      <c r="G82" s="63">
        <v>6</v>
      </c>
      <c r="H82" s="261">
        <f>IF(ISBLANK(I82),0,1)</f>
        <v>0</v>
      </c>
      <c r="I82" s="57"/>
      <c r="J82" s="58"/>
      <c r="K82" s="64" t="s">
        <v>711</v>
      </c>
      <c r="L82" s="64" t="s">
        <v>461</v>
      </c>
      <c r="M82" cm="1">
        <f t="array" ref="M82">_xlfn.XLOOKUP(Matrix[[#This Row],[TEAM]]&amp;Matrix[[#Headers],[1]],FDR[FDR]&amp;FDR[[#Headers],[1]],FDR[1],"",0,1)</f>
        <v>4</v>
      </c>
      <c r="N82" cm="1">
        <f t="array" ref="N82">_xlfn.XLOOKUP(Matrix[[#This Row],[TEAM]]&amp;Matrix[[#Headers],[2]],FDR[FDR]&amp;FDR[[#Headers],[2]],FDR[2],"",0,1)</f>
        <v>4</v>
      </c>
      <c r="O82" cm="1">
        <f t="array" ref="O82">_xlfn.XLOOKUP(Matrix[[#This Row],[TEAM]]&amp;Matrix[[#Headers],[3]],FDR[FDR]&amp;FDR[[#Headers],[3]],FDR[3],"",0,1)</f>
        <v>2</v>
      </c>
      <c r="P82" cm="1">
        <f t="array" ref="P82">_xlfn.XLOOKUP(Matrix[[#This Row],[TEAM]]&amp;Matrix[[#Headers],[4]],FDR[FDR]&amp;FDR[[#Headers],[4]],FDR[4],"",0,1)</f>
        <v>4</v>
      </c>
      <c r="Q82" cm="1">
        <f t="array" ref="Q82">_xlfn.XLOOKUP(Matrix[[#This Row],[TEAM]]&amp;Matrix[[#Headers],[5]],FDR[FDR]&amp;FDR[[#Headers],[5]],FDR[5],"",0,1)</f>
        <v>4</v>
      </c>
      <c r="R82" cm="1">
        <f t="array" ref="R82">_xlfn.XLOOKUP(Matrix[[#This Row],[TEAM]]&amp;Matrix[[#Headers],[6]],FDR[FDR]&amp;FDR[[#Headers],[6]],FDR[6],"",0,1)</f>
        <v>4</v>
      </c>
      <c r="S82" cm="1">
        <f t="array" ref="S82">_xlfn.XLOOKUP(Matrix[[#This Row],[TEAM]]&amp;Matrix[[#Headers],[7]],FDR[FDR]&amp;FDR[[#Headers],[7]],FDR[7],"",0,1)</f>
        <v>4</v>
      </c>
      <c r="T82" cm="1">
        <f t="array" ref="T82">_xlfn.XLOOKUP(Matrix[[#This Row],[TEAM]]&amp;Matrix[[#Headers],[8]],FDR[FDR]&amp;FDR[[#Headers],[8]],FDR[8],"",0,1)</f>
        <v>4</v>
      </c>
      <c r="U82" cm="1">
        <f t="array" ref="U82">_xlfn.XLOOKUP(Matrix[[#This Row],[TEAM]]&amp;Matrix[[#Headers],[9]],FDR[FDR]&amp;FDR[[#Headers],[9]],FDR[9],"",0,1)</f>
        <v>4</v>
      </c>
      <c r="V82" cm="1">
        <f t="array" ref="V82">_xlfn.XLOOKUP(Matrix[[#This Row],[TEAM]]&amp;Matrix[[#Headers],[10]],FDR[FDR]&amp;FDR[[#Headers],[10]],FDR[10],"",0,1)</f>
        <v>4</v>
      </c>
      <c r="W82" cm="1">
        <f t="array" ref="W82">_xlfn.XLOOKUP(Matrix[[#This Row],[TEAM]]&amp;Matrix[[#Headers],[11]],FDR[FDR]&amp;FDR[[#Headers],[11]],FDR[11],"",0,1)</f>
        <v>4</v>
      </c>
      <c r="X82" cm="1">
        <f t="array" ref="X82">_xlfn.XLOOKUP(Matrix[[#This Row],[TEAM]]&amp;Matrix[[#Headers],[12]],FDR[FDR]&amp;FDR[[#Headers],[12]],FDR[12],"",0,1)</f>
        <v>4</v>
      </c>
      <c r="Y82" cm="1">
        <f t="array" ref="Y82">_xlfn.XLOOKUP(Matrix[[#This Row],[TEAM]]&amp;Matrix[[#Headers],[13]],FDR[FDR]&amp;FDR[[#Headers],[13]],FDR[13],"",0,1)</f>
        <v>1</v>
      </c>
      <c r="Z82" cm="1">
        <f t="array" ref="Z82">_xlfn.XLOOKUP(Matrix[[#This Row],[TEAM]]&amp;Matrix[[#Headers],[14]],FDR[FDR]&amp;FDR[[#Headers],[14]],FDR[14],"",0,1)</f>
        <v>5</v>
      </c>
      <c r="AA82" cm="1">
        <f t="array" ref="AA82">_xlfn.XLOOKUP(Matrix[[#This Row],[TEAM]]&amp;Matrix[[#Headers],[15]],FDR[FDR]&amp;FDR[[#Headers],[15]],FDR[15],"",0,1)</f>
        <v>5</v>
      </c>
      <c r="AB82" cm="1">
        <f t="array" ref="AB82">_xlfn.XLOOKUP(Matrix[[#This Row],[TEAM]]&amp;Matrix[[#Headers],[16]],FDR[FDR]&amp;FDR[[#Headers],[16]],FDR[16],"",0,1)</f>
        <v>1</v>
      </c>
      <c r="AC82" cm="1">
        <f t="array" ref="AC82">_xlfn.XLOOKUP(Matrix[[#This Row],[TEAM]]&amp;Matrix[[#Headers],[17]],FDR[FDR]&amp;FDR[[#Headers],[17]],FDR[17],"",0,1)</f>
        <v>2</v>
      </c>
      <c r="AD82" cm="1">
        <f t="array" ref="AD82">_xlfn.XLOOKUP(Matrix[[#This Row],[TEAM]]&amp;Matrix[[#Headers],[18]],FDR[FDR]&amp;FDR[[#Headers],[18]],FDR[18],"",0,1)</f>
        <v>3</v>
      </c>
      <c r="AE82" cm="1">
        <f t="array" ref="AE82">_xlfn.XLOOKUP(Matrix[[#This Row],[TEAM]]&amp;Matrix[[#Headers],[19]],FDR[FDR]&amp;FDR[[#Headers],[19]],FDR[19],"",0,1)</f>
        <v>4</v>
      </c>
      <c r="AF82" cm="1">
        <f t="array" ref="AF82">_xlfn.XLOOKUP(Matrix[[#This Row],[TEAM]]&amp;Matrix[[#Headers],[20]],FDR[FDR]&amp;FDR[[#Headers],[20]],FDR[20],"",0,1)</f>
        <v>4</v>
      </c>
      <c r="AG82" cm="1">
        <f t="array" ref="AG82">_xlfn.XLOOKUP(Matrix[[#This Row],[TEAM]]&amp;Matrix[[#Headers],[21]],FDR[FDR]&amp;FDR[[#Headers],[21]],FDR[21],"",0,1)</f>
        <v>1</v>
      </c>
      <c r="AH82" cm="1">
        <f t="array" ref="AH82">_xlfn.XLOOKUP(Matrix[[#This Row],[TEAM]]&amp;Matrix[[#Headers],[22]],FDR[FDR]&amp;FDR[[#Headers],[22]],FDR[22],"",0,1)</f>
        <v>5</v>
      </c>
      <c r="AI82" cm="1">
        <f t="array" ref="AI82">_xlfn.XLOOKUP(Matrix[[#This Row],[TEAM]]&amp;Matrix[[#Headers],[23]],FDR[FDR]&amp;FDR[[#Headers],[23]],FDR[23],"",0,1)</f>
        <v>3</v>
      </c>
      <c r="AJ82" cm="1">
        <f t="array" ref="AJ82">_xlfn.XLOOKUP(Matrix[[#This Row],[TEAM]]&amp;Matrix[[#Headers],[24]],FDR[FDR]&amp;FDR[[#Headers],[24]],FDR[24],"",0,1)</f>
        <v>5</v>
      </c>
      <c r="AK82" cm="1">
        <f t="array" ref="AK82">_xlfn.XLOOKUP(Matrix[[#This Row],[TEAM]]&amp;Matrix[[#Headers],[25]],FDR[FDR]&amp;FDR[[#Headers],[25]],FDR[25],"",0,1)</f>
        <v>5</v>
      </c>
      <c r="AL82" cm="1">
        <f t="array" ref="AL82">_xlfn.XLOOKUP(Matrix[[#This Row],[TEAM]]&amp;Matrix[[#Headers],[26]],FDR[FDR]&amp;FDR[[#Headers],[26]],FDR[26],"",0,1)</f>
        <v>4</v>
      </c>
      <c r="AM82" cm="1">
        <f t="array" ref="AM82">_xlfn.XLOOKUP(Matrix[[#This Row],[TEAM]]&amp;Matrix[[#Headers],[27]],FDR[FDR]&amp;FDR[[#Headers],[27]],FDR[27],"",0,1)</f>
        <v>3</v>
      </c>
      <c r="AN82" cm="1">
        <f t="array" ref="AN82">_xlfn.XLOOKUP(Matrix[[#This Row],[TEAM]]&amp;Matrix[[#Headers],[28]],FDR[FDR]&amp;FDR[[#Headers],[28]],FDR[28],"",0,1)</f>
        <v>2</v>
      </c>
      <c r="AO82" cm="1">
        <f t="array" ref="AO82">_xlfn.XLOOKUP(Matrix[[#This Row],[TEAM]]&amp;Matrix[[#Headers],[29]],FDR[FDR]&amp;FDR[[#Headers],[29]],FDR[29],"",0,1)</f>
        <v>4</v>
      </c>
      <c r="AP82" cm="1">
        <f t="array" ref="AP82">_xlfn.XLOOKUP(Matrix[[#This Row],[TEAM]]&amp;Matrix[[#Headers],[30]],FDR[FDR]&amp;FDR[[#Headers],[30]],FDR[30],"",0,1)</f>
        <v>2</v>
      </c>
      <c r="AQ82" cm="1">
        <f t="array" ref="AQ82">_xlfn.XLOOKUP(Matrix[[#This Row],[TEAM]]&amp;Matrix[[#Headers],[31]],FDR[FDR]&amp;FDR[[#Headers],[31]],FDR[31],"",0,1)</f>
        <v>2</v>
      </c>
      <c r="AR82" cm="1">
        <f t="array" ref="AR82">_xlfn.XLOOKUP(Matrix[[#This Row],[TEAM]]&amp;Matrix[[#Headers],[32]],FDR[FDR]&amp;FDR[[#Headers],[32]],FDR[32],"",0,1)</f>
        <v>3</v>
      </c>
      <c r="AS82" cm="1">
        <f t="array" ref="AS82">_xlfn.XLOOKUP(Matrix[[#This Row],[TEAM]]&amp;Matrix[[#Headers],[33]],FDR[FDR]&amp;FDR[[#Headers],[33]],FDR[33],"",0,1)</f>
        <v>3</v>
      </c>
      <c r="AT82" cm="1">
        <f t="array" ref="AT82">_xlfn.XLOOKUP(Matrix[[#This Row],[TEAM]]&amp;Matrix[[#Headers],[34]],FDR[FDR]&amp;FDR[[#Headers],[34]],FDR[34],"",0,1)</f>
        <v>5</v>
      </c>
      <c r="AU82" cm="1">
        <f t="array" ref="AU82">_xlfn.XLOOKUP(Matrix[[#This Row],[TEAM]]&amp;Matrix[[#Headers],[35]],FDR[FDR]&amp;FDR[[#Headers],[35]],FDR[35],"",0,1)</f>
        <v>3</v>
      </c>
      <c r="AV82" cm="1">
        <f t="array" ref="AV82">_xlfn.XLOOKUP(Matrix[[#This Row],[TEAM]]&amp;Matrix[[#Headers],[36]],FDR[FDR]&amp;FDR[[#Headers],[36]],FDR[36],"",0,1)</f>
        <v>5</v>
      </c>
      <c r="AW82" cm="1">
        <f t="array" ref="AW82">_xlfn.XLOOKUP(Matrix[[#This Row],[TEAM]]&amp;Matrix[[#Headers],[37]],FDR[FDR]&amp;FDR[[#Headers],[37]],FDR[37],"",0,1)</f>
        <v>3</v>
      </c>
      <c r="AX82" cm="1">
        <f t="array" ref="AX82">_xlfn.XLOOKUP(Matrix[[#This Row],[TEAM]]&amp;Matrix[[#Headers],[38]],FDR[FDR]&amp;FDR[[#Headers],[38]],FDR[38],"",0,1)</f>
        <v>5</v>
      </c>
    </row>
    <row r="83" spans="1:50" ht="22" thickTop="1" thickBot="1">
      <c r="A83" s="49" t="str">
        <f>INDEX!S$5</f>
        <v>FWD</v>
      </c>
      <c r="B83" s="70" t="s">
        <v>1364</v>
      </c>
      <c r="C83" s="40" t="s">
        <v>24</v>
      </c>
      <c r="D83" s="62">
        <v>0</v>
      </c>
      <c r="E83" s="60">
        <v>8.9999999999999993E-3</v>
      </c>
      <c r="F83" s="61">
        <v>0</v>
      </c>
      <c r="G83" s="63">
        <v>6</v>
      </c>
      <c r="H83" s="261">
        <f>IF(ISBLANK(I83),0,1)</f>
        <v>0</v>
      </c>
      <c r="I83" s="57"/>
      <c r="J83" s="58"/>
      <c r="K83" s="64" t="s">
        <v>748</v>
      </c>
      <c r="L83" s="64" t="s">
        <v>749</v>
      </c>
      <c r="M83" cm="1">
        <f t="array" ref="M83">_xlfn.XLOOKUP(Matrix[[#This Row],[TEAM]]&amp;Matrix[[#Headers],[1]],FDR[FDR]&amp;FDR[[#Headers],[1]],FDR[1],"",0,1)</f>
        <v>2</v>
      </c>
      <c r="N83" cm="1">
        <f t="array" ref="N83">_xlfn.XLOOKUP(Matrix[[#This Row],[TEAM]]&amp;Matrix[[#Headers],[2]],FDR[FDR]&amp;FDR[[#Headers],[2]],FDR[2],"",0,1)</f>
        <v>3</v>
      </c>
      <c r="O83" cm="1">
        <f t="array" ref="O83">_xlfn.XLOOKUP(Matrix[[#This Row],[TEAM]]&amp;Matrix[[#Headers],[3]],FDR[FDR]&amp;FDR[[#Headers],[3]],FDR[3],"",0,1)</f>
        <v>2</v>
      </c>
      <c r="P83" cm="1">
        <f t="array" ref="P83">_xlfn.XLOOKUP(Matrix[[#This Row],[TEAM]]&amp;Matrix[[#Headers],[4]],FDR[FDR]&amp;FDR[[#Headers],[4]],FDR[4],"",0,1)</f>
        <v>4</v>
      </c>
      <c r="Q83" cm="1">
        <f t="array" ref="Q83">_xlfn.XLOOKUP(Matrix[[#This Row],[TEAM]]&amp;Matrix[[#Headers],[5]],FDR[FDR]&amp;FDR[[#Headers],[5]],FDR[5],"",0,1)</f>
        <v>5</v>
      </c>
      <c r="R83" cm="1">
        <f t="array" ref="R83">_xlfn.XLOOKUP(Matrix[[#This Row],[TEAM]]&amp;Matrix[[#Headers],[6]],FDR[FDR]&amp;FDR[[#Headers],[6]],FDR[6],"",0,1)</f>
        <v>3</v>
      </c>
      <c r="S83" cm="1">
        <f t="array" ref="S83">_xlfn.XLOOKUP(Matrix[[#This Row],[TEAM]]&amp;Matrix[[#Headers],[7]],FDR[FDR]&amp;FDR[[#Headers],[7]],FDR[7],"",0,1)</f>
        <v>3</v>
      </c>
      <c r="T83" cm="1">
        <f t="array" ref="T83">_xlfn.XLOOKUP(Matrix[[#This Row],[TEAM]]&amp;Matrix[[#Headers],[8]],FDR[FDR]&amp;FDR[[#Headers],[8]],FDR[8],"",0,1)</f>
        <v>5</v>
      </c>
      <c r="U83" cm="1">
        <f t="array" ref="U83">_xlfn.XLOOKUP(Matrix[[#This Row],[TEAM]]&amp;Matrix[[#Headers],[9]],FDR[FDR]&amp;FDR[[#Headers],[9]],FDR[9],"",0,1)</f>
        <v>4</v>
      </c>
      <c r="V83" cm="1">
        <f t="array" ref="V83">_xlfn.XLOOKUP(Matrix[[#This Row],[TEAM]]&amp;Matrix[[#Headers],[10]],FDR[FDR]&amp;FDR[[#Headers],[10]],FDR[10],"",0,1)</f>
        <v>2</v>
      </c>
      <c r="W83" cm="1">
        <f t="array" ref="W83">_xlfn.XLOOKUP(Matrix[[#This Row],[TEAM]]&amp;Matrix[[#Headers],[11]],FDR[FDR]&amp;FDR[[#Headers],[11]],FDR[11],"",0,1)</f>
        <v>3</v>
      </c>
      <c r="X83" cm="1">
        <f t="array" ref="X83">_xlfn.XLOOKUP(Matrix[[#This Row],[TEAM]]&amp;Matrix[[#Headers],[12]],FDR[FDR]&amp;FDR[[#Headers],[12]],FDR[12],"",0,1)</f>
        <v>5</v>
      </c>
      <c r="Y83" cm="1">
        <f t="array" ref="Y83">_xlfn.XLOOKUP(Matrix[[#This Row],[TEAM]]&amp;Matrix[[#Headers],[13]],FDR[FDR]&amp;FDR[[#Headers],[13]],FDR[13],"",0,1)</f>
        <v>4</v>
      </c>
      <c r="Z83" cm="1">
        <f t="array" ref="Z83">_xlfn.XLOOKUP(Matrix[[#This Row],[TEAM]]&amp;Matrix[[#Headers],[14]],FDR[FDR]&amp;FDR[[#Headers],[14]],FDR[14],"",0,1)</f>
        <v>4</v>
      </c>
      <c r="AA83" cm="1">
        <f t="array" ref="AA83">_xlfn.XLOOKUP(Matrix[[#This Row],[TEAM]]&amp;Matrix[[#Headers],[15]],FDR[FDR]&amp;FDR[[#Headers],[15]],FDR[15],"",0,1)</f>
        <v>3</v>
      </c>
      <c r="AB83" cm="1">
        <f t="array" ref="AB83">_xlfn.XLOOKUP(Matrix[[#This Row],[TEAM]]&amp;Matrix[[#Headers],[16]],FDR[FDR]&amp;FDR[[#Headers],[16]],FDR[16],"",0,1)</f>
        <v>5</v>
      </c>
      <c r="AC83" cm="1">
        <f t="array" ref="AC83">_xlfn.XLOOKUP(Matrix[[#This Row],[TEAM]]&amp;Matrix[[#Headers],[17]],FDR[FDR]&amp;FDR[[#Headers],[17]],FDR[17],"",0,1)</f>
        <v>4</v>
      </c>
      <c r="AD83" cm="1">
        <f t="array" ref="AD83">_xlfn.XLOOKUP(Matrix[[#This Row],[TEAM]]&amp;Matrix[[#Headers],[18]],FDR[FDR]&amp;FDR[[#Headers],[18]],FDR[18],"",0,1)</f>
        <v>2</v>
      </c>
      <c r="AE83" cm="1">
        <f t="array" ref="AE83">_xlfn.XLOOKUP(Matrix[[#This Row],[TEAM]]&amp;Matrix[[#Headers],[19]],FDR[FDR]&amp;FDR[[#Headers],[19]],FDR[19],"",0,1)</f>
        <v>4</v>
      </c>
      <c r="AF83" cm="1">
        <f t="array" ref="AF83">_xlfn.XLOOKUP(Matrix[[#This Row],[TEAM]]&amp;Matrix[[#Headers],[20]],FDR[FDR]&amp;FDR[[#Headers],[20]],FDR[20],"",0,1)</f>
        <v>3</v>
      </c>
      <c r="AG83" cm="1">
        <f t="array" ref="AG83">_xlfn.XLOOKUP(Matrix[[#This Row],[TEAM]]&amp;Matrix[[#Headers],[21]],FDR[FDR]&amp;FDR[[#Headers],[21]],FDR[21],"",0,1)</f>
        <v>2</v>
      </c>
      <c r="AH83" cm="1">
        <f t="array" ref="AH83">_xlfn.XLOOKUP(Matrix[[#This Row],[TEAM]]&amp;Matrix[[#Headers],[22]],FDR[FDR]&amp;FDR[[#Headers],[22]],FDR[22],"",0,1)</f>
        <v>5</v>
      </c>
      <c r="AI83" cm="1">
        <f t="array" ref="AI83">_xlfn.XLOOKUP(Matrix[[#This Row],[TEAM]]&amp;Matrix[[#Headers],[23]],FDR[FDR]&amp;FDR[[#Headers],[23]],FDR[23],"",0,1)</f>
        <v>1</v>
      </c>
      <c r="AJ83" cm="1">
        <f t="array" ref="AJ83">_xlfn.XLOOKUP(Matrix[[#This Row],[TEAM]]&amp;Matrix[[#Headers],[24]],FDR[FDR]&amp;FDR[[#Headers],[24]],FDR[24],"",0,1)</f>
        <v>4</v>
      </c>
      <c r="AK83" cm="1">
        <f t="array" ref="AK83">_xlfn.XLOOKUP(Matrix[[#This Row],[TEAM]]&amp;Matrix[[#Headers],[25]],FDR[FDR]&amp;FDR[[#Headers],[25]],FDR[25],"",0,1)</f>
        <v>4</v>
      </c>
      <c r="AL83" cm="1">
        <f t="array" ref="AL83">_xlfn.XLOOKUP(Matrix[[#This Row],[TEAM]]&amp;Matrix[[#Headers],[26]],FDR[FDR]&amp;FDR[[#Headers],[26]],FDR[26],"",0,1)</f>
        <v>3</v>
      </c>
      <c r="AM83" cm="1">
        <f t="array" ref="AM83">_xlfn.XLOOKUP(Matrix[[#This Row],[TEAM]]&amp;Matrix[[#Headers],[27]],FDR[FDR]&amp;FDR[[#Headers],[27]],FDR[27],"",0,1)</f>
        <v>4</v>
      </c>
      <c r="AN83" cm="1">
        <f t="array" ref="AN83">_xlfn.XLOOKUP(Matrix[[#This Row],[TEAM]]&amp;Matrix[[#Headers],[28]],FDR[FDR]&amp;FDR[[#Headers],[28]],FDR[28],"",0,1)</f>
        <v>5</v>
      </c>
      <c r="AO83" cm="1">
        <f t="array" ref="AO83">_xlfn.XLOOKUP(Matrix[[#This Row],[TEAM]]&amp;Matrix[[#Headers],[29]],FDR[FDR]&amp;FDR[[#Headers],[29]],FDR[29],"",0,1)</f>
        <v>1</v>
      </c>
      <c r="AP83" cm="1">
        <f t="array" ref="AP83">_xlfn.XLOOKUP(Matrix[[#This Row],[TEAM]]&amp;Matrix[[#Headers],[30]],FDR[FDR]&amp;FDR[[#Headers],[30]],FDR[30],"",0,1)</f>
        <v>5</v>
      </c>
      <c r="AQ83" cm="1">
        <f t="array" ref="AQ83">_xlfn.XLOOKUP(Matrix[[#This Row],[TEAM]]&amp;Matrix[[#Headers],[31]],FDR[FDR]&amp;FDR[[#Headers],[31]],FDR[31],"",0,1)</f>
        <v>4</v>
      </c>
      <c r="AR83" cm="1">
        <f t="array" ref="AR83">_xlfn.XLOOKUP(Matrix[[#This Row],[TEAM]]&amp;Matrix[[#Headers],[32]],FDR[FDR]&amp;FDR[[#Headers],[32]],FDR[32],"",0,1)</f>
        <v>4</v>
      </c>
      <c r="AS83" cm="1">
        <f t="array" ref="AS83">_xlfn.XLOOKUP(Matrix[[#This Row],[TEAM]]&amp;Matrix[[#Headers],[33]],FDR[FDR]&amp;FDR[[#Headers],[33]],FDR[33],"",0,1)</f>
        <v>4</v>
      </c>
      <c r="AT83" cm="1">
        <f t="array" ref="AT83">_xlfn.XLOOKUP(Matrix[[#This Row],[TEAM]]&amp;Matrix[[#Headers],[34]],FDR[FDR]&amp;FDR[[#Headers],[34]],FDR[34],"",0,1)</f>
        <v>4</v>
      </c>
      <c r="AU83" cm="1">
        <f t="array" ref="AU83">_xlfn.XLOOKUP(Matrix[[#This Row],[TEAM]]&amp;Matrix[[#Headers],[35]],FDR[FDR]&amp;FDR[[#Headers],[35]],FDR[35],"",0,1)</f>
        <v>4</v>
      </c>
      <c r="AV83" cm="1">
        <f t="array" ref="AV83">_xlfn.XLOOKUP(Matrix[[#This Row],[TEAM]]&amp;Matrix[[#Headers],[36]],FDR[FDR]&amp;FDR[[#Headers],[36]],FDR[36],"",0,1)</f>
        <v>4</v>
      </c>
      <c r="AW83" cm="1">
        <f t="array" ref="AW83">_xlfn.XLOOKUP(Matrix[[#This Row],[TEAM]]&amp;Matrix[[#Headers],[37]],FDR[FDR]&amp;FDR[[#Headers],[37]],FDR[37],"",0,1)</f>
        <v>1</v>
      </c>
      <c r="AX83" cm="1">
        <f t="array" ref="AX83">_xlfn.XLOOKUP(Matrix[[#This Row],[TEAM]]&amp;Matrix[[#Headers],[38]],FDR[FDR]&amp;FDR[[#Headers],[38]],FDR[38],"",0,1)</f>
        <v>5</v>
      </c>
    </row>
    <row r="84" spans="1:50" ht="22" thickTop="1" thickBot="1">
      <c r="A84" s="49" t="str">
        <f>INDEX!S$5</f>
        <v>FWD</v>
      </c>
      <c r="B84" s="70" t="s">
        <v>1371</v>
      </c>
      <c r="C84" s="40" t="s">
        <v>27</v>
      </c>
      <c r="D84" s="62">
        <v>0</v>
      </c>
      <c r="E84" s="60">
        <v>4.0000000000000001E-3</v>
      </c>
      <c r="F84" s="61">
        <v>0</v>
      </c>
      <c r="G84" s="63">
        <v>6</v>
      </c>
      <c r="H84" s="261">
        <f>IF(ISBLANK(I84),0,1)</f>
        <v>0</v>
      </c>
      <c r="I84" s="57"/>
      <c r="J84" s="58"/>
      <c r="K84" s="64" t="s">
        <v>364</v>
      </c>
      <c r="L84" s="64" t="s">
        <v>67</v>
      </c>
      <c r="M84" cm="1">
        <f t="array" ref="M84">_xlfn.XLOOKUP(Matrix[[#This Row],[TEAM]]&amp;Matrix[[#Headers],[1]],FDR[FDR]&amp;FDR[[#Headers],[1]],FDR[1],"",0,1)</f>
        <v>2</v>
      </c>
      <c r="N84" cm="1">
        <f t="array" ref="N84">_xlfn.XLOOKUP(Matrix[[#This Row],[TEAM]]&amp;Matrix[[#Headers],[2]],FDR[FDR]&amp;FDR[[#Headers],[2]],FDR[2],"",0,1)</f>
        <v>4</v>
      </c>
      <c r="O84" cm="1">
        <f t="array" ref="O84">_xlfn.XLOOKUP(Matrix[[#This Row],[TEAM]]&amp;Matrix[[#Headers],[3]],FDR[FDR]&amp;FDR[[#Headers],[3]],FDR[3],"",0,1)</f>
        <v>4</v>
      </c>
      <c r="P84" cm="1">
        <f t="array" ref="P84">_xlfn.XLOOKUP(Matrix[[#This Row],[TEAM]]&amp;Matrix[[#Headers],[4]],FDR[FDR]&amp;FDR[[#Headers],[4]],FDR[4],"",0,1)</f>
        <v>4</v>
      </c>
      <c r="Q84" cm="1">
        <f t="array" ref="Q84">_xlfn.XLOOKUP(Matrix[[#This Row],[TEAM]]&amp;Matrix[[#Headers],[5]],FDR[FDR]&amp;FDR[[#Headers],[5]],FDR[5],"",0,1)</f>
        <v>3</v>
      </c>
      <c r="R84" cm="1">
        <f t="array" ref="R84">_xlfn.XLOOKUP(Matrix[[#This Row],[TEAM]]&amp;Matrix[[#Headers],[6]],FDR[FDR]&amp;FDR[[#Headers],[6]],FDR[6],"",0,1)</f>
        <v>4</v>
      </c>
      <c r="S84" cm="1">
        <f t="array" ref="S84">_xlfn.XLOOKUP(Matrix[[#This Row],[TEAM]]&amp;Matrix[[#Headers],[7]],FDR[FDR]&amp;FDR[[#Headers],[7]],FDR[7],"",0,1)</f>
        <v>5</v>
      </c>
      <c r="T84" cm="1">
        <f t="array" ref="T84">_xlfn.XLOOKUP(Matrix[[#This Row],[TEAM]]&amp;Matrix[[#Headers],[8]],FDR[FDR]&amp;FDR[[#Headers],[8]],FDR[8],"",0,1)</f>
        <v>3</v>
      </c>
      <c r="U84" cm="1">
        <f t="array" ref="U84">_xlfn.XLOOKUP(Matrix[[#This Row],[TEAM]]&amp;Matrix[[#Headers],[9]],FDR[FDR]&amp;FDR[[#Headers],[9]],FDR[9],"",0,1)</f>
        <v>2</v>
      </c>
      <c r="V84" cm="1">
        <f t="array" ref="V84">_xlfn.XLOOKUP(Matrix[[#This Row],[TEAM]]&amp;Matrix[[#Headers],[10]],FDR[FDR]&amp;FDR[[#Headers],[10]],FDR[10],"",0,1)</f>
        <v>4</v>
      </c>
      <c r="W84" cm="1">
        <f t="array" ref="W84">_xlfn.XLOOKUP(Matrix[[#This Row],[TEAM]]&amp;Matrix[[#Headers],[11]],FDR[FDR]&amp;FDR[[#Headers],[11]],FDR[11],"",0,1)</f>
        <v>1</v>
      </c>
      <c r="X84" cm="1">
        <f t="array" ref="X84">_xlfn.XLOOKUP(Matrix[[#This Row],[TEAM]]&amp;Matrix[[#Headers],[12]],FDR[FDR]&amp;FDR[[#Headers],[12]],FDR[12],"",0,1)</f>
        <v>4</v>
      </c>
      <c r="Y84" cm="1">
        <f t="array" ref="Y84">_xlfn.XLOOKUP(Matrix[[#This Row],[TEAM]]&amp;Matrix[[#Headers],[13]],FDR[FDR]&amp;FDR[[#Headers],[13]],FDR[13],"",0,1)</f>
        <v>4</v>
      </c>
      <c r="Z84" cm="1">
        <f t="array" ref="Z84">_xlfn.XLOOKUP(Matrix[[#This Row],[TEAM]]&amp;Matrix[[#Headers],[14]],FDR[FDR]&amp;FDR[[#Headers],[14]],FDR[14],"",0,1)</f>
        <v>5</v>
      </c>
      <c r="AA84" cm="1">
        <f t="array" ref="AA84">_xlfn.XLOOKUP(Matrix[[#This Row],[TEAM]]&amp;Matrix[[#Headers],[15]],FDR[FDR]&amp;FDR[[#Headers],[15]],FDR[15],"",0,1)</f>
        <v>4</v>
      </c>
      <c r="AB84" cm="1">
        <f t="array" ref="AB84">_xlfn.XLOOKUP(Matrix[[#This Row],[TEAM]]&amp;Matrix[[#Headers],[16]],FDR[FDR]&amp;FDR[[#Headers],[16]],FDR[16],"",0,1)</f>
        <v>4</v>
      </c>
      <c r="AC84" cm="1">
        <f t="array" ref="AC84">_xlfn.XLOOKUP(Matrix[[#This Row],[TEAM]]&amp;Matrix[[#Headers],[17]],FDR[FDR]&amp;FDR[[#Headers],[17]],FDR[17],"",0,1)</f>
        <v>5</v>
      </c>
      <c r="AD84" cm="1">
        <f t="array" ref="AD84">_xlfn.XLOOKUP(Matrix[[#This Row],[TEAM]]&amp;Matrix[[#Headers],[18]],FDR[FDR]&amp;FDR[[#Headers],[18]],FDR[18],"",0,1)</f>
        <v>3</v>
      </c>
      <c r="AE84" cm="1">
        <f t="array" ref="AE84">_xlfn.XLOOKUP(Matrix[[#This Row],[TEAM]]&amp;Matrix[[#Headers],[19]],FDR[FDR]&amp;FDR[[#Headers],[19]],FDR[19],"",0,1)</f>
        <v>3</v>
      </c>
      <c r="AF84" cm="1">
        <f t="array" ref="AF84">_xlfn.XLOOKUP(Matrix[[#This Row],[TEAM]]&amp;Matrix[[#Headers],[20]],FDR[FDR]&amp;FDR[[#Headers],[20]],FDR[20],"",0,1)</f>
        <v>2</v>
      </c>
      <c r="AG84" cm="1">
        <f t="array" ref="AG84">_xlfn.XLOOKUP(Matrix[[#This Row],[TEAM]]&amp;Matrix[[#Headers],[21]],FDR[FDR]&amp;FDR[[#Headers],[21]],FDR[21],"",0,1)</f>
        <v>3</v>
      </c>
      <c r="AH84" cm="1">
        <f t="array" ref="AH84">_xlfn.XLOOKUP(Matrix[[#This Row],[TEAM]]&amp;Matrix[[#Headers],[22]],FDR[FDR]&amp;FDR[[#Headers],[22]],FDR[22],"",0,1)</f>
        <v>5</v>
      </c>
      <c r="AI84" cm="1">
        <f t="array" ref="AI84">_xlfn.XLOOKUP(Matrix[[#This Row],[TEAM]]&amp;Matrix[[#Headers],[23]],FDR[FDR]&amp;FDR[[#Headers],[23]],FDR[23],"",0,1)</f>
        <v>1</v>
      </c>
      <c r="AJ84" cm="1">
        <f t="array" ref="AJ84">_xlfn.XLOOKUP(Matrix[[#This Row],[TEAM]]&amp;Matrix[[#Headers],[24]],FDR[FDR]&amp;FDR[[#Headers],[24]],FDR[24],"",0,1)</f>
        <v>5</v>
      </c>
      <c r="AK84" cm="1">
        <f t="array" ref="AK84">_xlfn.XLOOKUP(Matrix[[#This Row],[TEAM]]&amp;Matrix[[#Headers],[25]],FDR[FDR]&amp;FDR[[#Headers],[25]],FDR[25],"",0,1)</f>
        <v>2</v>
      </c>
      <c r="AL84" cm="1">
        <f t="array" ref="AL84">_xlfn.XLOOKUP(Matrix[[#This Row],[TEAM]]&amp;Matrix[[#Headers],[26]],FDR[FDR]&amp;FDR[[#Headers],[26]],FDR[26],"",0,1)</f>
        <v>4</v>
      </c>
      <c r="AM84" cm="1">
        <f t="array" ref="AM84">_xlfn.XLOOKUP(Matrix[[#This Row],[TEAM]]&amp;Matrix[[#Headers],[27]],FDR[FDR]&amp;FDR[[#Headers],[27]],FDR[27],"",0,1)</f>
        <v>3</v>
      </c>
      <c r="AN84" cm="1">
        <f t="array" ref="AN84">_xlfn.XLOOKUP(Matrix[[#This Row],[TEAM]]&amp;Matrix[[#Headers],[28]],FDR[FDR]&amp;FDR[[#Headers],[28]],FDR[28],"",0,1)</f>
        <v>5</v>
      </c>
      <c r="AO84" cm="1">
        <f t="array" ref="AO84">_xlfn.XLOOKUP(Matrix[[#This Row],[TEAM]]&amp;Matrix[[#Headers],[29]],FDR[FDR]&amp;FDR[[#Headers],[29]],FDR[29],"",0,1)</f>
        <v>4</v>
      </c>
      <c r="AP84" cm="1">
        <f t="array" ref="AP84">_xlfn.XLOOKUP(Matrix[[#This Row],[TEAM]]&amp;Matrix[[#Headers],[30]],FDR[FDR]&amp;FDR[[#Headers],[30]],FDR[30],"",0,1)</f>
        <v>4</v>
      </c>
      <c r="AQ84" cm="1">
        <f t="array" ref="AQ84">_xlfn.XLOOKUP(Matrix[[#This Row],[TEAM]]&amp;Matrix[[#Headers],[31]],FDR[FDR]&amp;FDR[[#Headers],[31]],FDR[31],"",0,1)</f>
        <v>5</v>
      </c>
      <c r="AR84" cm="1">
        <f t="array" ref="AR84">_xlfn.XLOOKUP(Matrix[[#This Row],[TEAM]]&amp;Matrix[[#Headers],[32]],FDR[FDR]&amp;FDR[[#Headers],[32]],FDR[32],"",0,1)</f>
        <v>2</v>
      </c>
      <c r="AS84" cm="1">
        <f t="array" ref="AS84">_xlfn.XLOOKUP(Matrix[[#This Row],[TEAM]]&amp;Matrix[[#Headers],[33]],FDR[FDR]&amp;FDR[[#Headers],[33]],FDR[33],"",0,1)</f>
        <v>4</v>
      </c>
      <c r="AT84" cm="1">
        <f t="array" ref="AT84">_xlfn.XLOOKUP(Matrix[[#This Row],[TEAM]]&amp;Matrix[[#Headers],[34]],FDR[FDR]&amp;FDR[[#Headers],[34]],FDR[34],"",0,1)</f>
        <v>3</v>
      </c>
      <c r="AU84" cm="1">
        <f t="array" ref="AU84">_xlfn.XLOOKUP(Matrix[[#This Row],[TEAM]]&amp;Matrix[[#Headers],[35]],FDR[FDR]&amp;FDR[[#Headers],[35]],FDR[35],"",0,1)</f>
        <v>4</v>
      </c>
      <c r="AV84" cm="1">
        <f t="array" ref="AV84">_xlfn.XLOOKUP(Matrix[[#This Row],[TEAM]]&amp;Matrix[[#Headers],[36]],FDR[FDR]&amp;FDR[[#Headers],[36]],FDR[36],"",0,1)</f>
        <v>4</v>
      </c>
      <c r="AW84" cm="1">
        <f t="array" ref="AW84">_xlfn.XLOOKUP(Matrix[[#This Row],[TEAM]]&amp;Matrix[[#Headers],[37]],FDR[FDR]&amp;FDR[[#Headers],[37]],FDR[37],"",0,1)</f>
        <v>5</v>
      </c>
      <c r="AX84" cm="1">
        <f t="array" ref="AX84">_xlfn.XLOOKUP(Matrix[[#This Row],[TEAM]]&amp;Matrix[[#Headers],[38]],FDR[FDR]&amp;FDR[[#Headers],[38]],FDR[38],"",0,1)</f>
        <v>1</v>
      </c>
    </row>
    <row r="85" spans="1:50" ht="22" thickTop="1" thickBot="1">
      <c r="A85" s="50" t="str">
        <f>INDEX!S$4</f>
        <v>MID</v>
      </c>
      <c r="B85" s="70" t="s">
        <v>1359</v>
      </c>
      <c r="C85" s="40" t="s">
        <v>21</v>
      </c>
      <c r="D85" s="62">
        <v>131</v>
      </c>
      <c r="E85" s="60">
        <v>1.2E-2</v>
      </c>
      <c r="F85" s="61">
        <v>205.9</v>
      </c>
      <c r="G85" s="63">
        <v>5.9</v>
      </c>
      <c r="H85" s="261">
        <f>IF(ISBLANK(I85),0,1)</f>
        <v>0</v>
      </c>
      <c r="I85" s="57"/>
      <c r="J85" s="58"/>
      <c r="K85" s="59" t="s">
        <v>527</v>
      </c>
      <c r="L85" s="59" t="s">
        <v>243</v>
      </c>
      <c r="M85" cm="1">
        <f t="array" ref="M85">_xlfn.XLOOKUP(Matrix[[#This Row],[TEAM]]&amp;Matrix[[#Headers],[1]],FDR[FDR]&amp;FDR[[#Headers],[1]],FDR[1],"",0,1)</f>
        <v>4</v>
      </c>
      <c r="N85" cm="1">
        <f t="array" ref="N85">_xlfn.XLOOKUP(Matrix[[#This Row],[TEAM]]&amp;Matrix[[#Headers],[2]],FDR[FDR]&amp;FDR[[#Headers],[2]],FDR[2],"",0,1)</f>
        <v>4</v>
      </c>
      <c r="O85" cm="1">
        <f t="array" ref="O85">_xlfn.XLOOKUP(Matrix[[#This Row],[TEAM]]&amp;Matrix[[#Headers],[3]],FDR[FDR]&amp;FDR[[#Headers],[3]],FDR[3],"",0,1)</f>
        <v>2</v>
      </c>
      <c r="P85" cm="1">
        <f t="array" ref="P85">_xlfn.XLOOKUP(Matrix[[#This Row],[TEAM]]&amp;Matrix[[#Headers],[4]],FDR[FDR]&amp;FDR[[#Headers],[4]],FDR[4],"",0,1)</f>
        <v>4</v>
      </c>
      <c r="Q85" cm="1">
        <f t="array" ref="Q85">_xlfn.XLOOKUP(Matrix[[#This Row],[TEAM]]&amp;Matrix[[#Headers],[5]],FDR[FDR]&amp;FDR[[#Headers],[5]],FDR[5],"",0,1)</f>
        <v>4</v>
      </c>
      <c r="R85" cm="1">
        <f t="array" ref="R85">_xlfn.XLOOKUP(Matrix[[#This Row],[TEAM]]&amp;Matrix[[#Headers],[6]],FDR[FDR]&amp;FDR[[#Headers],[6]],FDR[6],"",0,1)</f>
        <v>4</v>
      </c>
      <c r="S85" cm="1">
        <f t="array" ref="S85">_xlfn.XLOOKUP(Matrix[[#This Row],[TEAM]]&amp;Matrix[[#Headers],[7]],FDR[FDR]&amp;FDR[[#Headers],[7]],FDR[7],"",0,1)</f>
        <v>4</v>
      </c>
      <c r="T85" cm="1">
        <f t="array" ref="T85">_xlfn.XLOOKUP(Matrix[[#This Row],[TEAM]]&amp;Matrix[[#Headers],[8]],FDR[FDR]&amp;FDR[[#Headers],[8]],FDR[8],"",0,1)</f>
        <v>4</v>
      </c>
      <c r="U85" cm="1">
        <f t="array" ref="U85">_xlfn.XLOOKUP(Matrix[[#This Row],[TEAM]]&amp;Matrix[[#Headers],[9]],FDR[FDR]&amp;FDR[[#Headers],[9]],FDR[9],"",0,1)</f>
        <v>4</v>
      </c>
      <c r="V85" cm="1">
        <f t="array" ref="V85">_xlfn.XLOOKUP(Matrix[[#This Row],[TEAM]]&amp;Matrix[[#Headers],[10]],FDR[FDR]&amp;FDR[[#Headers],[10]],FDR[10],"",0,1)</f>
        <v>4</v>
      </c>
      <c r="W85" cm="1">
        <f t="array" ref="W85">_xlfn.XLOOKUP(Matrix[[#This Row],[TEAM]]&amp;Matrix[[#Headers],[11]],FDR[FDR]&amp;FDR[[#Headers],[11]],FDR[11],"",0,1)</f>
        <v>4</v>
      </c>
      <c r="X85" cm="1">
        <f t="array" ref="X85">_xlfn.XLOOKUP(Matrix[[#This Row],[TEAM]]&amp;Matrix[[#Headers],[12]],FDR[FDR]&amp;FDR[[#Headers],[12]],FDR[12],"",0,1)</f>
        <v>4</v>
      </c>
      <c r="Y85" cm="1">
        <f t="array" ref="Y85">_xlfn.XLOOKUP(Matrix[[#This Row],[TEAM]]&amp;Matrix[[#Headers],[13]],FDR[FDR]&amp;FDR[[#Headers],[13]],FDR[13],"",0,1)</f>
        <v>1</v>
      </c>
      <c r="Z85" cm="1">
        <f t="array" ref="Z85">_xlfn.XLOOKUP(Matrix[[#This Row],[TEAM]]&amp;Matrix[[#Headers],[14]],FDR[FDR]&amp;FDR[[#Headers],[14]],FDR[14],"",0,1)</f>
        <v>5</v>
      </c>
      <c r="AA85" cm="1">
        <f t="array" ref="AA85">_xlfn.XLOOKUP(Matrix[[#This Row],[TEAM]]&amp;Matrix[[#Headers],[15]],FDR[FDR]&amp;FDR[[#Headers],[15]],FDR[15],"",0,1)</f>
        <v>5</v>
      </c>
      <c r="AB85" cm="1">
        <f t="array" ref="AB85">_xlfn.XLOOKUP(Matrix[[#This Row],[TEAM]]&amp;Matrix[[#Headers],[16]],FDR[FDR]&amp;FDR[[#Headers],[16]],FDR[16],"",0,1)</f>
        <v>1</v>
      </c>
      <c r="AC85" cm="1">
        <f t="array" ref="AC85">_xlfn.XLOOKUP(Matrix[[#This Row],[TEAM]]&amp;Matrix[[#Headers],[17]],FDR[FDR]&amp;FDR[[#Headers],[17]],FDR[17],"",0,1)</f>
        <v>2</v>
      </c>
      <c r="AD85" cm="1">
        <f t="array" ref="AD85">_xlfn.XLOOKUP(Matrix[[#This Row],[TEAM]]&amp;Matrix[[#Headers],[18]],FDR[FDR]&amp;FDR[[#Headers],[18]],FDR[18],"",0,1)</f>
        <v>3</v>
      </c>
      <c r="AE85" cm="1">
        <f t="array" ref="AE85">_xlfn.XLOOKUP(Matrix[[#This Row],[TEAM]]&amp;Matrix[[#Headers],[19]],FDR[FDR]&amp;FDR[[#Headers],[19]],FDR[19],"",0,1)</f>
        <v>4</v>
      </c>
      <c r="AF85" cm="1">
        <f t="array" ref="AF85">_xlfn.XLOOKUP(Matrix[[#This Row],[TEAM]]&amp;Matrix[[#Headers],[20]],FDR[FDR]&amp;FDR[[#Headers],[20]],FDR[20],"",0,1)</f>
        <v>4</v>
      </c>
      <c r="AG85" cm="1">
        <f t="array" ref="AG85">_xlfn.XLOOKUP(Matrix[[#This Row],[TEAM]]&amp;Matrix[[#Headers],[21]],FDR[FDR]&amp;FDR[[#Headers],[21]],FDR[21],"",0,1)</f>
        <v>1</v>
      </c>
      <c r="AH85" cm="1">
        <f t="array" ref="AH85">_xlfn.XLOOKUP(Matrix[[#This Row],[TEAM]]&amp;Matrix[[#Headers],[22]],FDR[FDR]&amp;FDR[[#Headers],[22]],FDR[22],"",0,1)</f>
        <v>5</v>
      </c>
      <c r="AI85" cm="1">
        <f t="array" ref="AI85">_xlfn.XLOOKUP(Matrix[[#This Row],[TEAM]]&amp;Matrix[[#Headers],[23]],FDR[FDR]&amp;FDR[[#Headers],[23]],FDR[23],"",0,1)</f>
        <v>3</v>
      </c>
      <c r="AJ85" cm="1">
        <f t="array" ref="AJ85">_xlfn.XLOOKUP(Matrix[[#This Row],[TEAM]]&amp;Matrix[[#Headers],[24]],FDR[FDR]&amp;FDR[[#Headers],[24]],FDR[24],"",0,1)</f>
        <v>5</v>
      </c>
      <c r="AK85" cm="1">
        <f t="array" ref="AK85">_xlfn.XLOOKUP(Matrix[[#This Row],[TEAM]]&amp;Matrix[[#Headers],[25]],FDR[FDR]&amp;FDR[[#Headers],[25]],FDR[25],"",0,1)</f>
        <v>5</v>
      </c>
      <c r="AL85" cm="1">
        <f t="array" ref="AL85">_xlfn.XLOOKUP(Matrix[[#This Row],[TEAM]]&amp;Matrix[[#Headers],[26]],FDR[FDR]&amp;FDR[[#Headers],[26]],FDR[26],"",0,1)</f>
        <v>4</v>
      </c>
      <c r="AM85" cm="1">
        <f t="array" ref="AM85">_xlfn.XLOOKUP(Matrix[[#This Row],[TEAM]]&amp;Matrix[[#Headers],[27]],FDR[FDR]&amp;FDR[[#Headers],[27]],FDR[27],"",0,1)</f>
        <v>3</v>
      </c>
      <c r="AN85" cm="1">
        <f t="array" ref="AN85">_xlfn.XLOOKUP(Matrix[[#This Row],[TEAM]]&amp;Matrix[[#Headers],[28]],FDR[FDR]&amp;FDR[[#Headers],[28]],FDR[28],"",0,1)</f>
        <v>2</v>
      </c>
      <c r="AO85" cm="1">
        <f t="array" ref="AO85">_xlfn.XLOOKUP(Matrix[[#This Row],[TEAM]]&amp;Matrix[[#Headers],[29]],FDR[FDR]&amp;FDR[[#Headers],[29]],FDR[29],"",0,1)</f>
        <v>4</v>
      </c>
      <c r="AP85" cm="1">
        <f t="array" ref="AP85">_xlfn.XLOOKUP(Matrix[[#This Row],[TEAM]]&amp;Matrix[[#Headers],[30]],FDR[FDR]&amp;FDR[[#Headers],[30]],FDR[30],"",0,1)</f>
        <v>2</v>
      </c>
      <c r="AQ85" cm="1">
        <f t="array" ref="AQ85">_xlfn.XLOOKUP(Matrix[[#This Row],[TEAM]]&amp;Matrix[[#Headers],[31]],FDR[FDR]&amp;FDR[[#Headers],[31]],FDR[31],"",0,1)</f>
        <v>2</v>
      </c>
      <c r="AR85" cm="1">
        <f t="array" ref="AR85">_xlfn.XLOOKUP(Matrix[[#This Row],[TEAM]]&amp;Matrix[[#Headers],[32]],FDR[FDR]&amp;FDR[[#Headers],[32]],FDR[32],"",0,1)</f>
        <v>3</v>
      </c>
      <c r="AS85" cm="1">
        <f t="array" ref="AS85">_xlfn.XLOOKUP(Matrix[[#This Row],[TEAM]]&amp;Matrix[[#Headers],[33]],FDR[FDR]&amp;FDR[[#Headers],[33]],FDR[33],"",0,1)</f>
        <v>3</v>
      </c>
      <c r="AT85" cm="1">
        <f t="array" ref="AT85">_xlfn.XLOOKUP(Matrix[[#This Row],[TEAM]]&amp;Matrix[[#Headers],[34]],FDR[FDR]&amp;FDR[[#Headers],[34]],FDR[34],"",0,1)</f>
        <v>5</v>
      </c>
      <c r="AU85" cm="1">
        <f t="array" ref="AU85">_xlfn.XLOOKUP(Matrix[[#This Row],[TEAM]]&amp;Matrix[[#Headers],[35]],FDR[FDR]&amp;FDR[[#Headers],[35]],FDR[35],"",0,1)</f>
        <v>3</v>
      </c>
      <c r="AV85" cm="1">
        <f t="array" ref="AV85">_xlfn.XLOOKUP(Matrix[[#This Row],[TEAM]]&amp;Matrix[[#Headers],[36]],FDR[FDR]&amp;FDR[[#Headers],[36]],FDR[36],"",0,1)</f>
        <v>5</v>
      </c>
      <c r="AW85" cm="1">
        <f t="array" ref="AW85">_xlfn.XLOOKUP(Matrix[[#This Row],[TEAM]]&amp;Matrix[[#Headers],[37]],FDR[FDR]&amp;FDR[[#Headers],[37]],FDR[37],"",0,1)</f>
        <v>3</v>
      </c>
      <c r="AX85" cm="1">
        <f t="array" ref="AX85">_xlfn.XLOOKUP(Matrix[[#This Row],[TEAM]]&amp;Matrix[[#Headers],[38]],FDR[FDR]&amp;FDR[[#Headers],[38]],FDR[38],"",0,1)</f>
        <v>5</v>
      </c>
    </row>
    <row r="86" spans="1:50" ht="22" thickTop="1" thickBot="1">
      <c r="A86" s="50" t="str">
        <f>INDEX!S$4</f>
        <v>MID</v>
      </c>
      <c r="B86" s="70" t="s">
        <v>1360</v>
      </c>
      <c r="C86" s="40" t="s">
        <v>23</v>
      </c>
      <c r="D86" s="62">
        <v>114</v>
      </c>
      <c r="E86" s="60">
        <v>1.0999999999999999E-2</v>
      </c>
      <c r="F86" s="61">
        <v>124.4</v>
      </c>
      <c r="G86" s="63">
        <v>5.9</v>
      </c>
      <c r="H86" s="261">
        <f>IF(ISBLANK(I86),0,1)</f>
        <v>0</v>
      </c>
      <c r="I86" s="57"/>
      <c r="J86" s="58"/>
      <c r="K86" s="59" t="s">
        <v>545</v>
      </c>
      <c r="L86" s="59" t="s">
        <v>222</v>
      </c>
      <c r="M86" cm="1">
        <f t="array" ref="M86">_xlfn.XLOOKUP(Matrix[[#This Row],[TEAM]]&amp;Matrix[[#Headers],[1]],FDR[FDR]&amp;FDR[[#Headers],[1]],FDR[1],"",0,1)</f>
        <v>4</v>
      </c>
      <c r="N86" cm="1">
        <f t="array" ref="N86">_xlfn.XLOOKUP(Matrix[[#This Row],[TEAM]]&amp;Matrix[[#Headers],[2]],FDR[FDR]&amp;FDR[[#Headers],[2]],FDR[2],"",0,1)</f>
        <v>4</v>
      </c>
      <c r="O86" cm="1">
        <f t="array" ref="O86">_xlfn.XLOOKUP(Matrix[[#This Row],[TEAM]]&amp;Matrix[[#Headers],[3]],FDR[FDR]&amp;FDR[[#Headers],[3]],FDR[3],"",0,1)</f>
        <v>5</v>
      </c>
      <c r="P86" cm="1">
        <f t="array" ref="P86">_xlfn.XLOOKUP(Matrix[[#This Row],[TEAM]]&amp;Matrix[[#Headers],[4]],FDR[FDR]&amp;FDR[[#Headers],[4]],FDR[4],"",0,1)</f>
        <v>1</v>
      </c>
      <c r="Q86" cm="1">
        <f t="array" ref="Q86">_xlfn.XLOOKUP(Matrix[[#This Row],[TEAM]]&amp;Matrix[[#Headers],[5]],FDR[FDR]&amp;FDR[[#Headers],[5]],FDR[5],"",0,1)</f>
        <v>2</v>
      </c>
      <c r="R86" cm="1">
        <f t="array" ref="R86">_xlfn.XLOOKUP(Matrix[[#This Row],[TEAM]]&amp;Matrix[[#Headers],[6]],FDR[FDR]&amp;FDR[[#Headers],[6]],FDR[6],"",0,1)</f>
        <v>5</v>
      </c>
      <c r="S86" cm="1">
        <f t="array" ref="S86">_xlfn.XLOOKUP(Matrix[[#This Row],[TEAM]]&amp;Matrix[[#Headers],[7]],FDR[FDR]&amp;FDR[[#Headers],[7]],FDR[7],"",0,1)</f>
        <v>4</v>
      </c>
      <c r="T86" cm="1">
        <f t="array" ref="T86">_xlfn.XLOOKUP(Matrix[[#This Row],[TEAM]]&amp;Matrix[[#Headers],[8]],FDR[FDR]&amp;FDR[[#Headers],[8]],FDR[8],"",0,1)</f>
        <v>4</v>
      </c>
      <c r="U86" cm="1">
        <f t="array" ref="U86">_xlfn.XLOOKUP(Matrix[[#This Row],[TEAM]]&amp;Matrix[[#Headers],[9]],FDR[FDR]&amp;FDR[[#Headers],[9]],FDR[9],"",0,1)</f>
        <v>5</v>
      </c>
      <c r="V86" cm="1">
        <f t="array" ref="V86">_xlfn.XLOOKUP(Matrix[[#This Row],[TEAM]]&amp;Matrix[[#Headers],[10]],FDR[FDR]&amp;FDR[[#Headers],[10]],FDR[10],"",0,1)</f>
        <v>1</v>
      </c>
      <c r="W86" cm="1">
        <f t="array" ref="W86">_xlfn.XLOOKUP(Matrix[[#This Row],[TEAM]]&amp;Matrix[[#Headers],[11]],FDR[FDR]&amp;FDR[[#Headers],[11]],FDR[11],"",0,1)</f>
        <v>3</v>
      </c>
      <c r="X86" cm="1">
        <f t="array" ref="X86">_xlfn.XLOOKUP(Matrix[[#This Row],[TEAM]]&amp;Matrix[[#Headers],[12]],FDR[FDR]&amp;FDR[[#Headers],[12]],FDR[12],"",0,1)</f>
        <v>1</v>
      </c>
      <c r="Y86" cm="1">
        <f t="array" ref="Y86">_xlfn.XLOOKUP(Matrix[[#This Row],[TEAM]]&amp;Matrix[[#Headers],[13]],FDR[FDR]&amp;FDR[[#Headers],[13]],FDR[13],"",0,1)</f>
        <v>5</v>
      </c>
      <c r="Z86" cm="1">
        <f t="array" ref="Z86">_xlfn.XLOOKUP(Matrix[[#This Row],[TEAM]]&amp;Matrix[[#Headers],[14]],FDR[FDR]&amp;FDR[[#Headers],[14]],FDR[14],"",0,1)</f>
        <v>4</v>
      </c>
      <c r="AA86" cm="1">
        <f t="array" ref="AA86">_xlfn.XLOOKUP(Matrix[[#This Row],[TEAM]]&amp;Matrix[[#Headers],[15]],FDR[FDR]&amp;FDR[[#Headers],[15]],FDR[15],"",0,1)</f>
        <v>2</v>
      </c>
      <c r="AB86" cm="1">
        <f t="array" ref="AB86">_xlfn.XLOOKUP(Matrix[[#This Row],[TEAM]]&amp;Matrix[[#Headers],[16]],FDR[FDR]&amp;FDR[[#Headers],[16]],FDR[16],"",0,1)</f>
        <v>2</v>
      </c>
      <c r="AC86" cm="1">
        <f t="array" ref="AC86">_xlfn.XLOOKUP(Matrix[[#This Row],[TEAM]]&amp;Matrix[[#Headers],[17]],FDR[FDR]&amp;FDR[[#Headers],[17]],FDR[17],"",0,1)</f>
        <v>3</v>
      </c>
      <c r="AD86" cm="1">
        <f t="array" ref="AD86">_xlfn.XLOOKUP(Matrix[[#This Row],[TEAM]]&amp;Matrix[[#Headers],[18]],FDR[FDR]&amp;FDR[[#Headers],[18]],FDR[18],"",0,1)</f>
        <v>3</v>
      </c>
      <c r="AE86" cm="1">
        <f t="array" ref="AE86">_xlfn.XLOOKUP(Matrix[[#This Row],[TEAM]]&amp;Matrix[[#Headers],[19]],FDR[FDR]&amp;FDR[[#Headers],[19]],FDR[19],"",0,1)</f>
        <v>3</v>
      </c>
      <c r="AF86" cm="1">
        <f t="array" ref="AF86">_xlfn.XLOOKUP(Matrix[[#This Row],[TEAM]]&amp;Matrix[[#Headers],[20]],FDR[FDR]&amp;FDR[[#Headers],[20]],FDR[20],"",0,1)</f>
        <v>4</v>
      </c>
      <c r="AG86" cm="1">
        <f t="array" ref="AG86">_xlfn.XLOOKUP(Matrix[[#This Row],[TEAM]]&amp;Matrix[[#Headers],[21]],FDR[FDR]&amp;FDR[[#Headers],[21]],FDR[21],"",0,1)</f>
        <v>4</v>
      </c>
      <c r="AH86" cm="1">
        <f t="array" ref="AH86">_xlfn.XLOOKUP(Matrix[[#This Row],[TEAM]]&amp;Matrix[[#Headers],[22]],FDR[FDR]&amp;FDR[[#Headers],[22]],FDR[22],"",0,1)</f>
        <v>2</v>
      </c>
      <c r="AI86" cm="1">
        <f t="array" ref="AI86">_xlfn.XLOOKUP(Matrix[[#This Row],[TEAM]]&amp;Matrix[[#Headers],[23]],FDR[FDR]&amp;FDR[[#Headers],[23]],FDR[23],"",0,1)</f>
        <v>3</v>
      </c>
      <c r="AJ86" cm="1">
        <f t="array" ref="AJ86">_xlfn.XLOOKUP(Matrix[[#This Row],[TEAM]]&amp;Matrix[[#Headers],[24]],FDR[FDR]&amp;FDR[[#Headers],[24]],FDR[24],"",0,1)</f>
        <v>5</v>
      </c>
      <c r="AK86" cm="1">
        <f t="array" ref="AK86">_xlfn.XLOOKUP(Matrix[[#This Row],[TEAM]]&amp;Matrix[[#Headers],[25]],FDR[FDR]&amp;FDR[[#Headers],[25]],FDR[25],"",0,1)</f>
        <v>2</v>
      </c>
      <c r="AL86" cm="1">
        <f t="array" ref="AL86">_xlfn.XLOOKUP(Matrix[[#This Row],[TEAM]]&amp;Matrix[[#Headers],[26]],FDR[FDR]&amp;FDR[[#Headers],[26]],FDR[26],"",0,1)</f>
        <v>5</v>
      </c>
      <c r="AM86" cm="1">
        <f t="array" ref="AM86">_xlfn.XLOOKUP(Matrix[[#This Row],[TEAM]]&amp;Matrix[[#Headers],[27]],FDR[FDR]&amp;FDR[[#Headers],[27]],FDR[27],"",0,1)</f>
        <v>2</v>
      </c>
      <c r="AN86" cm="1">
        <f t="array" ref="AN86">_xlfn.XLOOKUP(Matrix[[#This Row],[TEAM]]&amp;Matrix[[#Headers],[28]],FDR[FDR]&amp;FDR[[#Headers],[28]],FDR[28],"",0,1)</f>
        <v>4</v>
      </c>
      <c r="AO86" cm="1">
        <f t="array" ref="AO86">_xlfn.XLOOKUP(Matrix[[#This Row],[TEAM]]&amp;Matrix[[#Headers],[29]],FDR[FDR]&amp;FDR[[#Headers],[29]],FDR[29],"",0,1)</f>
        <v>2</v>
      </c>
      <c r="AP86" cm="1">
        <f t="array" ref="AP86">_xlfn.XLOOKUP(Matrix[[#This Row],[TEAM]]&amp;Matrix[[#Headers],[30]],FDR[FDR]&amp;FDR[[#Headers],[30]],FDR[30],"",0,1)</f>
        <v>4</v>
      </c>
      <c r="AQ86" cm="1">
        <f t="array" ref="AQ86">_xlfn.XLOOKUP(Matrix[[#This Row],[TEAM]]&amp;Matrix[[#Headers],[31]],FDR[FDR]&amp;FDR[[#Headers],[31]],FDR[31],"",0,1)</f>
        <v>1</v>
      </c>
      <c r="AR86" cm="1">
        <f t="array" ref="AR86">_xlfn.XLOOKUP(Matrix[[#This Row],[TEAM]]&amp;Matrix[[#Headers],[32]],FDR[FDR]&amp;FDR[[#Headers],[32]],FDR[32],"",0,1)</f>
        <v>5</v>
      </c>
      <c r="AS86" cm="1">
        <f t="array" ref="AS86">_xlfn.XLOOKUP(Matrix[[#This Row],[TEAM]]&amp;Matrix[[#Headers],[33]],FDR[FDR]&amp;FDR[[#Headers],[33]],FDR[33],"",0,1)</f>
        <v>3</v>
      </c>
      <c r="AT86" cm="1">
        <f t="array" ref="AT86">_xlfn.XLOOKUP(Matrix[[#This Row],[TEAM]]&amp;Matrix[[#Headers],[34]],FDR[FDR]&amp;FDR[[#Headers],[34]],FDR[34],"",0,1)</f>
        <v>3</v>
      </c>
      <c r="AU86" cm="1">
        <f t="array" ref="AU86">_xlfn.XLOOKUP(Matrix[[#This Row],[TEAM]]&amp;Matrix[[#Headers],[35]],FDR[FDR]&amp;FDR[[#Headers],[35]],FDR[35],"",0,1)</f>
        <v>5</v>
      </c>
      <c r="AV86" cm="1">
        <f t="array" ref="AV86">_xlfn.XLOOKUP(Matrix[[#This Row],[TEAM]]&amp;Matrix[[#Headers],[36]],FDR[FDR]&amp;FDR[[#Headers],[36]],FDR[36],"",0,1)</f>
        <v>3</v>
      </c>
      <c r="AW86" cm="1">
        <f t="array" ref="AW86">_xlfn.XLOOKUP(Matrix[[#This Row],[TEAM]]&amp;Matrix[[#Headers],[37]],FDR[FDR]&amp;FDR[[#Headers],[37]],FDR[37],"",0,1)</f>
        <v>2</v>
      </c>
      <c r="AX86" cm="1">
        <f t="array" ref="AX86">_xlfn.XLOOKUP(Matrix[[#This Row],[TEAM]]&amp;Matrix[[#Headers],[38]],FDR[FDR]&amp;FDR[[#Headers],[38]],FDR[38],"",0,1)</f>
        <v>4</v>
      </c>
    </row>
    <row r="87" spans="1:50" ht="22" thickTop="1" thickBot="1">
      <c r="A87" s="50" t="str">
        <f>INDEX!S$4</f>
        <v>MID</v>
      </c>
      <c r="B87" s="70" t="s">
        <v>1368</v>
      </c>
      <c r="C87" s="40" t="s">
        <v>24</v>
      </c>
      <c r="D87" s="62">
        <v>93</v>
      </c>
      <c r="E87" s="60">
        <v>6.0000000000000001E-3</v>
      </c>
      <c r="F87" s="61">
        <v>123.3</v>
      </c>
      <c r="G87" s="63">
        <v>5.9</v>
      </c>
      <c r="H87" s="261">
        <f>IF(ISBLANK(I87),0,1)</f>
        <v>0</v>
      </c>
      <c r="I87" s="57"/>
      <c r="J87" s="58"/>
      <c r="K87" s="59" t="s">
        <v>396</v>
      </c>
      <c r="L87" s="59" t="s">
        <v>205</v>
      </c>
      <c r="M87" cm="1">
        <f t="array" ref="M87">_xlfn.XLOOKUP(Matrix[[#This Row],[TEAM]]&amp;Matrix[[#Headers],[1]],FDR[FDR]&amp;FDR[[#Headers],[1]],FDR[1],"",0,1)</f>
        <v>2</v>
      </c>
      <c r="N87" cm="1">
        <f t="array" ref="N87">_xlfn.XLOOKUP(Matrix[[#This Row],[TEAM]]&amp;Matrix[[#Headers],[2]],FDR[FDR]&amp;FDR[[#Headers],[2]],FDR[2],"",0,1)</f>
        <v>3</v>
      </c>
      <c r="O87" cm="1">
        <f t="array" ref="O87">_xlfn.XLOOKUP(Matrix[[#This Row],[TEAM]]&amp;Matrix[[#Headers],[3]],FDR[FDR]&amp;FDR[[#Headers],[3]],FDR[3],"",0,1)</f>
        <v>2</v>
      </c>
      <c r="P87" cm="1">
        <f t="array" ref="P87">_xlfn.XLOOKUP(Matrix[[#This Row],[TEAM]]&amp;Matrix[[#Headers],[4]],FDR[FDR]&amp;FDR[[#Headers],[4]],FDR[4],"",0,1)</f>
        <v>4</v>
      </c>
      <c r="Q87" cm="1">
        <f t="array" ref="Q87">_xlfn.XLOOKUP(Matrix[[#This Row],[TEAM]]&amp;Matrix[[#Headers],[5]],FDR[FDR]&amp;FDR[[#Headers],[5]],FDR[5],"",0,1)</f>
        <v>5</v>
      </c>
      <c r="R87" cm="1">
        <f t="array" ref="R87">_xlfn.XLOOKUP(Matrix[[#This Row],[TEAM]]&amp;Matrix[[#Headers],[6]],FDR[FDR]&amp;FDR[[#Headers],[6]],FDR[6],"",0,1)</f>
        <v>3</v>
      </c>
      <c r="S87" cm="1">
        <f t="array" ref="S87">_xlfn.XLOOKUP(Matrix[[#This Row],[TEAM]]&amp;Matrix[[#Headers],[7]],FDR[FDR]&amp;FDR[[#Headers],[7]],FDR[7],"",0,1)</f>
        <v>3</v>
      </c>
      <c r="T87" cm="1">
        <f t="array" ref="T87">_xlfn.XLOOKUP(Matrix[[#This Row],[TEAM]]&amp;Matrix[[#Headers],[8]],FDR[FDR]&amp;FDR[[#Headers],[8]],FDR[8],"",0,1)</f>
        <v>5</v>
      </c>
      <c r="U87" cm="1">
        <f t="array" ref="U87">_xlfn.XLOOKUP(Matrix[[#This Row],[TEAM]]&amp;Matrix[[#Headers],[9]],FDR[FDR]&amp;FDR[[#Headers],[9]],FDR[9],"",0,1)</f>
        <v>4</v>
      </c>
      <c r="V87" cm="1">
        <f t="array" ref="V87">_xlfn.XLOOKUP(Matrix[[#This Row],[TEAM]]&amp;Matrix[[#Headers],[10]],FDR[FDR]&amp;FDR[[#Headers],[10]],FDR[10],"",0,1)</f>
        <v>2</v>
      </c>
      <c r="W87" cm="1">
        <f t="array" ref="W87">_xlfn.XLOOKUP(Matrix[[#This Row],[TEAM]]&amp;Matrix[[#Headers],[11]],FDR[FDR]&amp;FDR[[#Headers],[11]],FDR[11],"",0,1)</f>
        <v>3</v>
      </c>
      <c r="X87" cm="1">
        <f t="array" ref="X87">_xlfn.XLOOKUP(Matrix[[#This Row],[TEAM]]&amp;Matrix[[#Headers],[12]],FDR[FDR]&amp;FDR[[#Headers],[12]],FDR[12],"",0,1)</f>
        <v>5</v>
      </c>
      <c r="Y87" cm="1">
        <f t="array" ref="Y87">_xlfn.XLOOKUP(Matrix[[#This Row],[TEAM]]&amp;Matrix[[#Headers],[13]],FDR[FDR]&amp;FDR[[#Headers],[13]],FDR[13],"",0,1)</f>
        <v>4</v>
      </c>
      <c r="Z87" cm="1">
        <f t="array" ref="Z87">_xlfn.XLOOKUP(Matrix[[#This Row],[TEAM]]&amp;Matrix[[#Headers],[14]],FDR[FDR]&amp;FDR[[#Headers],[14]],FDR[14],"",0,1)</f>
        <v>4</v>
      </c>
      <c r="AA87" cm="1">
        <f t="array" ref="AA87">_xlfn.XLOOKUP(Matrix[[#This Row],[TEAM]]&amp;Matrix[[#Headers],[15]],FDR[FDR]&amp;FDR[[#Headers],[15]],FDR[15],"",0,1)</f>
        <v>3</v>
      </c>
      <c r="AB87" cm="1">
        <f t="array" ref="AB87">_xlfn.XLOOKUP(Matrix[[#This Row],[TEAM]]&amp;Matrix[[#Headers],[16]],FDR[FDR]&amp;FDR[[#Headers],[16]],FDR[16],"",0,1)</f>
        <v>5</v>
      </c>
      <c r="AC87" cm="1">
        <f t="array" ref="AC87">_xlfn.XLOOKUP(Matrix[[#This Row],[TEAM]]&amp;Matrix[[#Headers],[17]],FDR[FDR]&amp;FDR[[#Headers],[17]],FDR[17],"",0,1)</f>
        <v>4</v>
      </c>
      <c r="AD87" cm="1">
        <f t="array" ref="AD87">_xlfn.XLOOKUP(Matrix[[#This Row],[TEAM]]&amp;Matrix[[#Headers],[18]],FDR[FDR]&amp;FDR[[#Headers],[18]],FDR[18],"",0,1)</f>
        <v>2</v>
      </c>
      <c r="AE87" cm="1">
        <f t="array" ref="AE87">_xlfn.XLOOKUP(Matrix[[#This Row],[TEAM]]&amp;Matrix[[#Headers],[19]],FDR[FDR]&amp;FDR[[#Headers],[19]],FDR[19],"",0,1)</f>
        <v>4</v>
      </c>
      <c r="AF87" cm="1">
        <f t="array" ref="AF87">_xlfn.XLOOKUP(Matrix[[#This Row],[TEAM]]&amp;Matrix[[#Headers],[20]],FDR[FDR]&amp;FDR[[#Headers],[20]],FDR[20],"",0,1)</f>
        <v>3</v>
      </c>
      <c r="AG87" cm="1">
        <f t="array" ref="AG87">_xlfn.XLOOKUP(Matrix[[#This Row],[TEAM]]&amp;Matrix[[#Headers],[21]],FDR[FDR]&amp;FDR[[#Headers],[21]],FDR[21],"",0,1)</f>
        <v>2</v>
      </c>
      <c r="AH87" cm="1">
        <f t="array" ref="AH87">_xlfn.XLOOKUP(Matrix[[#This Row],[TEAM]]&amp;Matrix[[#Headers],[22]],FDR[FDR]&amp;FDR[[#Headers],[22]],FDR[22],"",0,1)</f>
        <v>5</v>
      </c>
      <c r="AI87" cm="1">
        <f t="array" ref="AI87">_xlfn.XLOOKUP(Matrix[[#This Row],[TEAM]]&amp;Matrix[[#Headers],[23]],FDR[FDR]&amp;FDR[[#Headers],[23]],FDR[23],"",0,1)</f>
        <v>1</v>
      </c>
      <c r="AJ87" cm="1">
        <f t="array" ref="AJ87">_xlfn.XLOOKUP(Matrix[[#This Row],[TEAM]]&amp;Matrix[[#Headers],[24]],FDR[FDR]&amp;FDR[[#Headers],[24]],FDR[24],"",0,1)</f>
        <v>4</v>
      </c>
      <c r="AK87" cm="1">
        <f t="array" ref="AK87">_xlfn.XLOOKUP(Matrix[[#This Row],[TEAM]]&amp;Matrix[[#Headers],[25]],FDR[FDR]&amp;FDR[[#Headers],[25]],FDR[25],"",0,1)</f>
        <v>4</v>
      </c>
      <c r="AL87" cm="1">
        <f t="array" ref="AL87">_xlfn.XLOOKUP(Matrix[[#This Row],[TEAM]]&amp;Matrix[[#Headers],[26]],FDR[FDR]&amp;FDR[[#Headers],[26]],FDR[26],"",0,1)</f>
        <v>3</v>
      </c>
      <c r="AM87" cm="1">
        <f t="array" ref="AM87">_xlfn.XLOOKUP(Matrix[[#This Row],[TEAM]]&amp;Matrix[[#Headers],[27]],FDR[FDR]&amp;FDR[[#Headers],[27]],FDR[27],"",0,1)</f>
        <v>4</v>
      </c>
      <c r="AN87" cm="1">
        <f t="array" ref="AN87">_xlfn.XLOOKUP(Matrix[[#This Row],[TEAM]]&amp;Matrix[[#Headers],[28]],FDR[FDR]&amp;FDR[[#Headers],[28]],FDR[28],"",0,1)</f>
        <v>5</v>
      </c>
      <c r="AO87" cm="1">
        <f t="array" ref="AO87">_xlfn.XLOOKUP(Matrix[[#This Row],[TEAM]]&amp;Matrix[[#Headers],[29]],FDR[FDR]&amp;FDR[[#Headers],[29]],FDR[29],"",0,1)</f>
        <v>1</v>
      </c>
      <c r="AP87" cm="1">
        <f t="array" ref="AP87">_xlfn.XLOOKUP(Matrix[[#This Row],[TEAM]]&amp;Matrix[[#Headers],[30]],FDR[FDR]&amp;FDR[[#Headers],[30]],FDR[30],"",0,1)</f>
        <v>5</v>
      </c>
      <c r="AQ87" cm="1">
        <f t="array" ref="AQ87">_xlfn.XLOOKUP(Matrix[[#This Row],[TEAM]]&amp;Matrix[[#Headers],[31]],FDR[FDR]&amp;FDR[[#Headers],[31]],FDR[31],"",0,1)</f>
        <v>4</v>
      </c>
      <c r="AR87" cm="1">
        <f t="array" ref="AR87">_xlfn.XLOOKUP(Matrix[[#This Row],[TEAM]]&amp;Matrix[[#Headers],[32]],FDR[FDR]&amp;FDR[[#Headers],[32]],FDR[32],"",0,1)</f>
        <v>4</v>
      </c>
      <c r="AS87" cm="1">
        <f t="array" ref="AS87">_xlfn.XLOOKUP(Matrix[[#This Row],[TEAM]]&amp;Matrix[[#Headers],[33]],FDR[FDR]&amp;FDR[[#Headers],[33]],FDR[33],"",0,1)</f>
        <v>4</v>
      </c>
      <c r="AT87" cm="1">
        <f t="array" ref="AT87">_xlfn.XLOOKUP(Matrix[[#This Row],[TEAM]]&amp;Matrix[[#Headers],[34]],FDR[FDR]&amp;FDR[[#Headers],[34]],FDR[34],"",0,1)</f>
        <v>4</v>
      </c>
      <c r="AU87" cm="1">
        <f t="array" ref="AU87">_xlfn.XLOOKUP(Matrix[[#This Row],[TEAM]]&amp;Matrix[[#Headers],[35]],FDR[FDR]&amp;FDR[[#Headers],[35]],FDR[35],"",0,1)</f>
        <v>4</v>
      </c>
      <c r="AV87" cm="1">
        <f t="array" ref="AV87">_xlfn.XLOOKUP(Matrix[[#This Row],[TEAM]]&amp;Matrix[[#Headers],[36]],FDR[FDR]&amp;FDR[[#Headers],[36]],FDR[36],"",0,1)</f>
        <v>4</v>
      </c>
      <c r="AW87" cm="1">
        <f t="array" ref="AW87">_xlfn.XLOOKUP(Matrix[[#This Row],[TEAM]]&amp;Matrix[[#Headers],[37]],FDR[FDR]&amp;FDR[[#Headers],[37]],FDR[37],"",0,1)</f>
        <v>1</v>
      </c>
      <c r="AX87" cm="1">
        <f t="array" ref="AX87">_xlfn.XLOOKUP(Matrix[[#This Row],[TEAM]]&amp;Matrix[[#Headers],[38]],FDR[FDR]&amp;FDR[[#Headers],[38]],FDR[38],"",0,1)</f>
        <v>5</v>
      </c>
    </row>
    <row r="88" spans="1:50" ht="22" thickTop="1" thickBot="1">
      <c r="A88" s="50" t="str">
        <f>INDEX!S$4</f>
        <v>MID</v>
      </c>
      <c r="B88" s="70" t="s">
        <v>1365</v>
      </c>
      <c r="C88" s="40" t="s">
        <v>20</v>
      </c>
      <c r="D88" s="62">
        <v>92</v>
      </c>
      <c r="E88" s="60">
        <v>8.0000000000000002E-3</v>
      </c>
      <c r="F88" s="61">
        <v>123.3</v>
      </c>
      <c r="G88" s="63">
        <v>5.9</v>
      </c>
      <c r="H88" s="261">
        <f>IF(ISBLANK(I88),0,1)</f>
        <v>0</v>
      </c>
      <c r="I88" s="57"/>
      <c r="J88" s="58"/>
      <c r="K88" s="59" t="s">
        <v>664</v>
      </c>
      <c r="L88" s="59" t="s">
        <v>665</v>
      </c>
      <c r="M88" cm="1">
        <f t="array" ref="M88">_xlfn.XLOOKUP(Matrix[[#This Row],[TEAM]]&amp;Matrix[[#Headers],[1]],FDR[FDR]&amp;FDR[[#Headers],[1]],FDR[1],"",0,1)</f>
        <v>3</v>
      </c>
      <c r="N88" cm="1">
        <f t="array" ref="N88">_xlfn.XLOOKUP(Matrix[[#This Row],[TEAM]]&amp;Matrix[[#Headers],[2]],FDR[FDR]&amp;FDR[[#Headers],[2]],FDR[2],"",0,1)</f>
        <v>1</v>
      </c>
      <c r="O88" cm="1">
        <f t="array" ref="O88">_xlfn.XLOOKUP(Matrix[[#This Row],[TEAM]]&amp;Matrix[[#Headers],[3]],FDR[FDR]&amp;FDR[[#Headers],[3]],FDR[3],"",0,1)</f>
        <v>4</v>
      </c>
      <c r="P88" cm="1">
        <f t="array" ref="P88">_xlfn.XLOOKUP(Matrix[[#This Row],[TEAM]]&amp;Matrix[[#Headers],[4]],FDR[FDR]&amp;FDR[[#Headers],[4]],FDR[4],"",0,1)</f>
        <v>1</v>
      </c>
      <c r="Q88" cm="1">
        <f t="array" ref="Q88">_xlfn.XLOOKUP(Matrix[[#This Row],[TEAM]]&amp;Matrix[[#Headers],[5]],FDR[FDR]&amp;FDR[[#Headers],[5]],FDR[5],"",0,1)</f>
        <v>3</v>
      </c>
      <c r="R88" cm="1">
        <f t="array" ref="R88">_xlfn.XLOOKUP(Matrix[[#This Row],[TEAM]]&amp;Matrix[[#Headers],[6]],FDR[FDR]&amp;FDR[[#Headers],[6]],FDR[6],"",0,1)</f>
        <v>3</v>
      </c>
      <c r="S88" cm="1">
        <f t="array" ref="S88">_xlfn.XLOOKUP(Matrix[[#This Row],[TEAM]]&amp;Matrix[[#Headers],[7]],FDR[FDR]&amp;FDR[[#Headers],[7]],FDR[7],"",0,1)</f>
        <v>1</v>
      </c>
      <c r="T88" cm="1">
        <f t="array" ref="T88">_xlfn.XLOOKUP(Matrix[[#This Row],[TEAM]]&amp;Matrix[[#Headers],[8]],FDR[FDR]&amp;FDR[[#Headers],[8]],FDR[8],"",0,1)</f>
        <v>2</v>
      </c>
      <c r="U88" cm="1">
        <f t="array" ref="U88">_xlfn.XLOOKUP(Matrix[[#This Row],[TEAM]]&amp;Matrix[[#Headers],[9]],FDR[FDR]&amp;FDR[[#Headers],[9]],FDR[9],"",0,1)</f>
        <v>1</v>
      </c>
      <c r="V88" cm="1">
        <f t="array" ref="V88">_xlfn.XLOOKUP(Matrix[[#This Row],[TEAM]]&amp;Matrix[[#Headers],[10]],FDR[FDR]&amp;FDR[[#Headers],[10]],FDR[10],"",0,1)</f>
        <v>1</v>
      </c>
      <c r="W88" cm="1">
        <f t="array" ref="W88">_xlfn.XLOOKUP(Matrix[[#This Row],[TEAM]]&amp;Matrix[[#Headers],[11]],FDR[FDR]&amp;FDR[[#Headers],[11]],FDR[11],"",0,1)</f>
        <v>1</v>
      </c>
      <c r="X88" cm="1">
        <f t="array" ref="X88">_xlfn.XLOOKUP(Matrix[[#This Row],[TEAM]]&amp;Matrix[[#Headers],[12]],FDR[FDR]&amp;FDR[[#Headers],[12]],FDR[12],"",0,1)</f>
        <v>2</v>
      </c>
      <c r="Y88" cm="1">
        <f t="array" ref="Y88">_xlfn.XLOOKUP(Matrix[[#This Row],[TEAM]]&amp;Matrix[[#Headers],[13]],FDR[FDR]&amp;FDR[[#Headers],[13]],FDR[13],"",0,1)</f>
        <v>3</v>
      </c>
      <c r="Z88" cm="1">
        <f t="array" ref="Z88">_xlfn.XLOOKUP(Matrix[[#This Row],[TEAM]]&amp;Matrix[[#Headers],[14]],FDR[FDR]&amp;FDR[[#Headers],[14]],FDR[14],"",0,1)</f>
        <v>1</v>
      </c>
      <c r="AA88" cm="1">
        <f t="array" ref="AA88">_xlfn.XLOOKUP(Matrix[[#This Row],[TEAM]]&amp;Matrix[[#Headers],[15]],FDR[FDR]&amp;FDR[[#Headers],[15]],FDR[15],"",0,1)</f>
        <v>3</v>
      </c>
      <c r="AB88" cm="1">
        <f t="array" ref="AB88">_xlfn.XLOOKUP(Matrix[[#This Row],[TEAM]]&amp;Matrix[[#Headers],[16]],FDR[FDR]&amp;FDR[[#Headers],[16]],FDR[16],"",0,1)</f>
        <v>1</v>
      </c>
      <c r="AC88" cm="1">
        <f t="array" ref="AC88">_xlfn.XLOOKUP(Matrix[[#This Row],[TEAM]]&amp;Matrix[[#Headers],[17]],FDR[FDR]&amp;FDR[[#Headers],[17]],FDR[17],"",0,1)</f>
        <v>2</v>
      </c>
      <c r="AD88" cm="1">
        <f t="array" ref="AD88">_xlfn.XLOOKUP(Matrix[[#This Row],[TEAM]]&amp;Matrix[[#Headers],[18]],FDR[FDR]&amp;FDR[[#Headers],[18]],FDR[18],"",0,1)</f>
        <v>1</v>
      </c>
      <c r="AE88" cm="1">
        <f t="array" ref="AE88">_xlfn.XLOOKUP(Matrix[[#This Row],[TEAM]]&amp;Matrix[[#Headers],[19]],FDR[FDR]&amp;FDR[[#Headers],[19]],FDR[19],"",0,1)</f>
        <v>2</v>
      </c>
      <c r="AF88" cm="1">
        <f t="array" ref="AF88">_xlfn.XLOOKUP(Matrix[[#This Row],[TEAM]]&amp;Matrix[[#Headers],[20]],FDR[FDR]&amp;FDR[[#Headers],[20]],FDR[20],"",0,1)</f>
        <v>2</v>
      </c>
      <c r="AG88" cm="1">
        <f t="array" ref="AG88">_xlfn.XLOOKUP(Matrix[[#This Row],[TEAM]]&amp;Matrix[[#Headers],[21]],FDR[FDR]&amp;FDR[[#Headers],[21]],FDR[21],"",0,1)</f>
        <v>3</v>
      </c>
      <c r="AH88" cm="1">
        <f t="array" ref="AH88">_xlfn.XLOOKUP(Matrix[[#This Row],[TEAM]]&amp;Matrix[[#Headers],[22]],FDR[FDR]&amp;FDR[[#Headers],[22]],FDR[22],"",0,1)</f>
        <v>2</v>
      </c>
      <c r="AI88" cm="1">
        <f t="array" ref="AI88">_xlfn.XLOOKUP(Matrix[[#This Row],[TEAM]]&amp;Matrix[[#Headers],[23]],FDR[FDR]&amp;FDR[[#Headers],[23]],FDR[23],"",0,1)</f>
        <v>2</v>
      </c>
      <c r="AJ88" cm="1">
        <f t="array" ref="AJ88">_xlfn.XLOOKUP(Matrix[[#This Row],[TEAM]]&amp;Matrix[[#Headers],[24]],FDR[FDR]&amp;FDR[[#Headers],[24]],FDR[24],"",0,1)</f>
        <v>1</v>
      </c>
      <c r="AK88" cm="1">
        <f t="array" ref="AK88">_xlfn.XLOOKUP(Matrix[[#This Row],[TEAM]]&amp;Matrix[[#Headers],[25]],FDR[FDR]&amp;FDR[[#Headers],[25]],FDR[25],"",0,1)</f>
        <v>1</v>
      </c>
      <c r="AL88" cm="1">
        <f t="array" ref="AL88">_xlfn.XLOOKUP(Matrix[[#This Row],[TEAM]]&amp;Matrix[[#Headers],[26]],FDR[FDR]&amp;FDR[[#Headers],[26]],FDR[26],"",0,1)</f>
        <v>2</v>
      </c>
      <c r="AM88" cm="1">
        <f t="array" ref="AM88">_xlfn.XLOOKUP(Matrix[[#This Row],[TEAM]]&amp;Matrix[[#Headers],[27]],FDR[FDR]&amp;FDR[[#Headers],[27]],FDR[27],"",0,1)</f>
        <v>3</v>
      </c>
      <c r="AN88" cm="1">
        <f t="array" ref="AN88">_xlfn.XLOOKUP(Matrix[[#This Row],[TEAM]]&amp;Matrix[[#Headers],[28]],FDR[FDR]&amp;FDR[[#Headers],[28]],FDR[28],"",0,1)</f>
        <v>2</v>
      </c>
      <c r="AO88" cm="1">
        <f t="array" ref="AO88">_xlfn.XLOOKUP(Matrix[[#This Row],[TEAM]]&amp;Matrix[[#Headers],[29]],FDR[FDR]&amp;FDR[[#Headers],[29]],FDR[29],"",0,1)</f>
        <v>2</v>
      </c>
      <c r="AP88" cm="1">
        <f t="array" ref="AP88">_xlfn.XLOOKUP(Matrix[[#This Row],[TEAM]]&amp;Matrix[[#Headers],[30]],FDR[FDR]&amp;FDR[[#Headers],[30]],FDR[30],"",0,1)</f>
        <v>1</v>
      </c>
      <c r="AQ88" cm="1">
        <f t="array" ref="AQ88">_xlfn.XLOOKUP(Matrix[[#This Row],[TEAM]]&amp;Matrix[[#Headers],[31]],FDR[FDR]&amp;FDR[[#Headers],[31]],FDR[31],"",0,1)</f>
        <v>1</v>
      </c>
      <c r="AR88" cm="1">
        <f t="array" ref="AR88">_xlfn.XLOOKUP(Matrix[[#This Row],[TEAM]]&amp;Matrix[[#Headers],[32]],FDR[FDR]&amp;FDR[[#Headers],[32]],FDR[32],"",0,1)</f>
        <v>1</v>
      </c>
      <c r="AS88" cm="1">
        <f t="array" ref="AS88">_xlfn.XLOOKUP(Matrix[[#This Row],[TEAM]]&amp;Matrix[[#Headers],[33]],FDR[FDR]&amp;FDR[[#Headers],[33]],FDR[33],"",0,1)</f>
        <v>3</v>
      </c>
      <c r="AT88" cm="1">
        <f t="array" ref="AT88">_xlfn.XLOOKUP(Matrix[[#This Row],[TEAM]]&amp;Matrix[[#Headers],[34]],FDR[FDR]&amp;FDR[[#Headers],[34]],FDR[34],"",0,1)</f>
        <v>2</v>
      </c>
      <c r="AU88" cm="1">
        <f t="array" ref="AU88">_xlfn.XLOOKUP(Matrix[[#This Row],[TEAM]]&amp;Matrix[[#Headers],[35]],FDR[FDR]&amp;FDR[[#Headers],[35]],FDR[35],"",0,1)</f>
        <v>1</v>
      </c>
      <c r="AV88" cm="1">
        <f t="array" ref="AV88">_xlfn.XLOOKUP(Matrix[[#This Row],[TEAM]]&amp;Matrix[[#Headers],[36]],FDR[FDR]&amp;FDR[[#Headers],[36]],FDR[36],"",0,1)</f>
        <v>2</v>
      </c>
      <c r="AW88" cm="1">
        <f t="array" ref="AW88">_xlfn.XLOOKUP(Matrix[[#This Row],[TEAM]]&amp;Matrix[[#Headers],[37]],FDR[FDR]&amp;FDR[[#Headers],[37]],FDR[37],"",0,1)</f>
        <v>1</v>
      </c>
      <c r="AX88" cm="1">
        <f t="array" ref="AX88">_xlfn.XLOOKUP(Matrix[[#This Row],[TEAM]]&amp;Matrix[[#Headers],[38]],FDR[FDR]&amp;FDR[[#Headers],[38]],FDR[38],"",0,1)</f>
        <v>2</v>
      </c>
    </row>
    <row r="89" spans="1:50" ht="22" thickTop="1" thickBot="1">
      <c r="A89" s="50" t="str">
        <f>INDEX!S$4</f>
        <v>MID</v>
      </c>
      <c r="B89" s="70" t="s">
        <v>1379</v>
      </c>
      <c r="C89" s="40" t="s">
        <v>30</v>
      </c>
      <c r="D89" s="62">
        <v>86</v>
      </c>
      <c r="E89" s="60">
        <v>1E-3</v>
      </c>
      <c r="F89" s="61">
        <v>127.5</v>
      </c>
      <c r="G89" s="63">
        <v>5.9</v>
      </c>
      <c r="H89" s="261">
        <f>IF(ISBLANK(I89),0,1)</f>
        <v>0</v>
      </c>
      <c r="I89" s="57"/>
      <c r="J89" s="58"/>
      <c r="K89" s="59" t="s">
        <v>417</v>
      </c>
      <c r="L89" s="59" t="s">
        <v>189</v>
      </c>
      <c r="M89" cm="1">
        <f t="array" ref="M89">_xlfn.XLOOKUP(Matrix[[#This Row],[TEAM]]&amp;Matrix[[#Headers],[1]],FDR[FDR]&amp;FDR[[#Headers],[1]],FDR[1],"",0,1)</f>
        <v>3</v>
      </c>
      <c r="N89" cm="1">
        <f t="array" ref="N89">_xlfn.XLOOKUP(Matrix[[#This Row],[TEAM]]&amp;Matrix[[#Headers],[2]],FDR[FDR]&amp;FDR[[#Headers],[2]],FDR[2],"",0,1)</f>
        <v>2</v>
      </c>
      <c r="O89" cm="1">
        <f t="array" ref="O89">_xlfn.XLOOKUP(Matrix[[#This Row],[TEAM]]&amp;Matrix[[#Headers],[3]],FDR[FDR]&amp;FDR[[#Headers],[3]],FDR[3],"",0,1)</f>
        <v>1</v>
      </c>
      <c r="P89" cm="1">
        <f t="array" ref="P89">_xlfn.XLOOKUP(Matrix[[#This Row],[TEAM]]&amp;Matrix[[#Headers],[4]],FDR[FDR]&amp;FDR[[#Headers],[4]],FDR[4],"",0,1)</f>
        <v>4</v>
      </c>
      <c r="Q89" cm="1">
        <f t="array" ref="Q89">_xlfn.XLOOKUP(Matrix[[#This Row],[TEAM]]&amp;Matrix[[#Headers],[5]],FDR[FDR]&amp;FDR[[#Headers],[5]],FDR[5],"",0,1)</f>
        <v>3</v>
      </c>
      <c r="R89" cm="1">
        <f t="array" ref="R89">_xlfn.XLOOKUP(Matrix[[#This Row],[TEAM]]&amp;Matrix[[#Headers],[6]],FDR[FDR]&amp;FDR[[#Headers],[6]],FDR[6],"",0,1)</f>
        <v>2</v>
      </c>
      <c r="S89" cm="1">
        <f t="array" ref="S89">_xlfn.XLOOKUP(Matrix[[#This Row],[TEAM]]&amp;Matrix[[#Headers],[7]],FDR[FDR]&amp;FDR[[#Headers],[7]],FDR[7],"",0,1)</f>
        <v>1</v>
      </c>
      <c r="T89" cm="1">
        <f t="array" ref="T89">_xlfn.XLOOKUP(Matrix[[#This Row],[TEAM]]&amp;Matrix[[#Headers],[8]],FDR[FDR]&amp;FDR[[#Headers],[8]],FDR[8],"",0,1)</f>
        <v>4</v>
      </c>
      <c r="U89" cm="1">
        <f t="array" ref="U89">_xlfn.XLOOKUP(Matrix[[#This Row],[TEAM]]&amp;Matrix[[#Headers],[9]],FDR[FDR]&amp;FDR[[#Headers],[9]],FDR[9],"",0,1)</f>
        <v>1</v>
      </c>
      <c r="V89" cm="1">
        <f t="array" ref="V89">_xlfn.XLOOKUP(Matrix[[#This Row],[TEAM]]&amp;Matrix[[#Headers],[10]],FDR[FDR]&amp;FDR[[#Headers],[10]],FDR[10],"",0,1)</f>
        <v>2</v>
      </c>
      <c r="W89" cm="1">
        <f t="array" ref="W89">_xlfn.XLOOKUP(Matrix[[#This Row],[TEAM]]&amp;Matrix[[#Headers],[11]],FDR[FDR]&amp;FDR[[#Headers],[11]],FDR[11],"",0,1)</f>
        <v>4</v>
      </c>
      <c r="X89" cm="1">
        <f t="array" ref="X89">_xlfn.XLOOKUP(Matrix[[#This Row],[TEAM]]&amp;Matrix[[#Headers],[12]],FDR[FDR]&amp;FDR[[#Headers],[12]],FDR[12],"",0,1)</f>
        <v>1</v>
      </c>
      <c r="Y89" cm="1">
        <f t="array" ref="Y89">_xlfn.XLOOKUP(Matrix[[#This Row],[TEAM]]&amp;Matrix[[#Headers],[13]],FDR[FDR]&amp;FDR[[#Headers],[13]],FDR[13],"",0,1)</f>
        <v>2</v>
      </c>
      <c r="Z89" cm="1">
        <f t="array" ref="Z89">_xlfn.XLOOKUP(Matrix[[#This Row],[TEAM]]&amp;Matrix[[#Headers],[14]],FDR[FDR]&amp;FDR[[#Headers],[14]],FDR[14],"",0,1)</f>
        <v>1</v>
      </c>
      <c r="AA89" cm="1">
        <f t="array" ref="AA89">_xlfn.XLOOKUP(Matrix[[#This Row],[TEAM]]&amp;Matrix[[#Headers],[15]],FDR[FDR]&amp;FDR[[#Headers],[15]],FDR[15],"",0,1)</f>
        <v>1</v>
      </c>
      <c r="AB89" cm="1">
        <f t="array" ref="AB89">_xlfn.XLOOKUP(Matrix[[#This Row],[TEAM]]&amp;Matrix[[#Headers],[16]],FDR[FDR]&amp;FDR[[#Headers],[16]],FDR[16],"",0,1)</f>
        <v>1</v>
      </c>
      <c r="AC89" cm="1">
        <f t="array" ref="AC89">_xlfn.XLOOKUP(Matrix[[#This Row],[TEAM]]&amp;Matrix[[#Headers],[17]],FDR[FDR]&amp;FDR[[#Headers],[17]],FDR[17],"",0,1)</f>
        <v>3</v>
      </c>
      <c r="AD89" cm="1">
        <f t="array" ref="AD89">_xlfn.XLOOKUP(Matrix[[#This Row],[TEAM]]&amp;Matrix[[#Headers],[18]],FDR[FDR]&amp;FDR[[#Headers],[18]],FDR[18],"",0,1)</f>
        <v>2</v>
      </c>
      <c r="AE89" cm="1">
        <f t="array" ref="AE89">_xlfn.XLOOKUP(Matrix[[#This Row],[TEAM]]&amp;Matrix[[#Headers],[19]],FDR[FDR]&amp;FDR[[#Headers],[19]],FDR[19],"",0,1)</f>
        <v>1</v>
      </c>
      <c r="AF89" cm="1">
        <f t="array" ref="AF89">_xlfn.XLOOKUP(Matrix[[#This Row],[TEAM]]&amp;Matrix[[#Headers],[20]],FDR[FDR]&amp;FDR[[#Headers],[20]],FDR[20],"",0,1)</f>
        <v>1</v>
      </c>
      <c r="AG89" cm="1">
        <f t="array" ref="AG89">_xlfn.XLOOKUP(Matrix[[#This Row],[TEAM]]&amp;Matrix[[#Headers],[21]],FDR[FDR]&amp;FDR[[#Headers],[21]],FDR[21],"",0,1)</f>
        <v>1</v>
      </c>
      <c r="AH89" cm="1">
        <f t="array" ref="AH89">_xlfn.XLOOKUP(Matrix[[#This Row],[TEAM]]&amp;Matrix[[#Headers],[22]],FDR[FDR]&amp;FDR[[#Headers],[22]],FDR[22],"",0,1)</f>
        <v>3</v>
      </c>
      <c r="AI89" cm="1">
        <f t="array" ref="AI89">_xlfn.XLOOKUP(Matrix[[#This Row],[TEAM]]&amp;Matrix[[#Headers],[23]],FDR[FDR]&amp;FDR[[#Headers],[23]],FDR[23],"",0,1)</f>
        <v>4</v>
      </c>
      <c r="AJ89" cm="1">
        <f t="array" ref="AJ89">_xlfn.XLOOKUP(Matrix[[#This Row],[TEAM]]&amp;Matrix[[#Headers],[24]],FDR[FDR]&amp;FDR[[#Headers],[24]],FDR[24],"",0,1)</f>
        <v>1</v>
      </c>
      <c r="AK89" cm="1">
        <f t="array" ref="AK89">_xlfn.XLOOKUP(Matrix[[#This Row],[TEAM]]&amp;Matrix[[#Headers],[25]],FDR[FDR]&amp;FDR[[#Headers],[25]],FDR[25],"",0,1)</f>
        <v>3</v>
      </c>
      <c r="AL89" cm="1">
        <f t="array" ref="AL89">_xlfn.XLOOKUP(Matrix[[#This Row],[TEAM]]&amp;Matrix[[#Headers],[26]],FDR[FDR]&amp;FDR[[#Headers],[26]],FDR[26],"",0,1)</f>
        <v>2</v>
      </c>
      <c r="AM89" cm="1">
        <f t="array" ref="AM89">_xlfn.XLOOKUP(Matrix[[#This Row],[TEAM]]&amp;Matrix[[#Headers],[27]],FDR[FDR]&amp;FDR[[#Headers],[27]],FDR[27],"",0,1)</f>
        <v>2</v>
      </c>
      <c r="AN89" cm="1">
        <f t="array" ref="AN89">_xlfn.XLOOKUP(Matrix[[#This Row],[TEAM]]&amp;Matrix[[#Headers],[28]],FDR[FDR]&amp;FDR[[#Headers],[28]],FDR[28],"",0,1)</f>
        <v>1</v>
      </c>
      <c r="AO89" cm="1">
        <f t="array" ref="AO89">_xlfn.XLOOKUP(Matrix[[#This Row],[TEAM]]&amp;Matrix[[#Headers],[29]],FDR[FDR]&amp;FDR[[#Headers],[29]],FDR[29],"",0,1)</f>
        <v>3</v>
      </c>
      <c r="AP89" cm="1">
        <f t="array" ref="AP89">_xlfn.XLOOKUP(Matrix[[#This Row],[TEAM]]&amp;Matrix[[#Headers],[30]],FDR[FDR]&amp;FDR[[#Headers],[30]],FDR[30],"",0,1)</f>
        <v>2</v>
      </c>
      <c r="AQ89" cm="1">
        <f t="array" ref="AQ89">_xlfn.XLOOKUP(Matrix[[#This Row],[TEAM]]&amp;Matrix[[#Headers],[31]],FDR[FDR]&amp;FDR[[#Headers],[31]],FDR[31],"",0,1)</f>
        <v>2</v>
      </c>
      <c r="AR89" cm="1">
        <f t="array" ref="AR89">_xlfn.XLOOKUP(Matrix[[#This Row],[TEAM]]&amp;Matrix[[#Headers],[32]],FDR[FDR]&amp;FDR[[#Headers],[32]],FDR[32],"",0,1)</f>
        <v>1</v>
      </c>
      <c r="AS89" cm="1">
        <f t="array" ref="AS89">_xlfn.XLOOKUP(Matrix[[#This Row],[TEAM]]&amp;Matrix[[#Headers],[33]],FDR[FDR]&amp;FDR[[#Headers],[33]],FDR[33],"",0,1)</f>
        <v>4</v>
      </c>
      <c r="AT89" cm="1">
        <f t="array" ref="AT89">_xlfn.XLOOKUP(Matrix[[#This Row],[TEAM]]&amp;Matrix[[#Headers],[34]],FDR[FDR]&amp;FDR[[#Headers],[34]],FDR[34],"",0,1)</f>
        <v>1</v>
      </c>
      <c r="AU89" cm="1">
        <f t="array" ref="AU89">_xlfn.XLOOKUP(Matrix[[#This Row],[TEAM]]&amp;Matrix[[#Headers],[35]],FDR[FDR]&amp;FDR[[#Headers],[35]],FDR[35],"",0,1)</f>
        <v>3</v>
      </c>
      <c r="AV89" cm="1">
        <f t="array" ref="AV89">_xlfn.XLOOKUP(Matrix[[#This Row],[TEAM]]&amp;Matrix[[#Headers],[36]],FDR[FDR]&amp;FDR[[#Headers],[36]],FDR[36],"",0,1)</f>
        <v>1</v>
      </c>
      <c r="AW89" cm="1">
        <f t="array" ref="AW89">_xlfn.XLOOKUP(Matrix[[#This Row],[TEAM]]&amp;Matrix[[#Headers],[37]],FDR[FDR]&amp;FDR[[#Headers],[37]],FDR[37],"",0,1)</f>
        <v>1</v>
      </c>
      <c r="AX89" cm="1">
        <f t="array" ref="AX89">_xlfn.XLOOKUP(Matrix[[#This Row],[TEAM]]&amp;Matrix[[#Headers],[38]],FDR[FDR]&amp;FDR[[#Headers],[38]],FDR[38],"",0,1)</f>
        <v>2</v>
      </c>
    </row>
    <row r="90" spans="1:50" ht="22" thickTop="1" thickBot="1">
      <c r="A90" s="50" t="str">
        <f>INDEX!S$4</f>
        <v>MID</v>
      </c>
      <c r="B90" s="70" t="s">
        <v>1370</v>
      </c>
      <c r="C90" s="40" t="s">
        <v>27</v>
      </c>
      <c r="D90" s="62">
        <v>51</v>
      </c>
      <c r="E90" s="60">
        <v>4.0000000000000001E-3</v>
      </c>
      <c r="F90" s="61">
        <v>80</v>
      </c>
      <c r="G90" s="63">
        <v>5.9</v>
      </c>
      <c r="H90" s="261">
        <f>IF(ISBLANK(I90),0,1)</f>
        <v>0</v>
      </c>
      <c r="I90" s="57"/>
      <c r="J90" s="58"/>
      <c r="K90" s="59" t="s">
        <v>111</v>
      </c>
      <c r="L90" s="59" t="s">
        <v>759</v>
      </c>
      <c r="M90" cm="1">
        <f t="array" ref="M90">_xlfn.XLOOKUP(Matrix[[#This Row],[TEAM]]&amp;Matrix[[#Headers],[1]],FDR[FDR]&amp;FDR[[#Headers],[1]],FDR[1],"",0,1)</f>
        <v>2</v>
      </c>
      <c r="N90" cm="1">
        <f t="array" ref="N90">_xlfn.XLOOKUP(Matrix[[#This Row],[TEAM]]&amp;Matrix[[#Headers],[2]],FDR[FDR]&amp;FDR[[#Headers],[2]],FDR[2],"",0,1)</f>
        <v>4</v>
      </c>
      <c r="O90" cm="1">
        <f t="array" ref="O90">_xlfn.XLOOKUP(Matrix[[#This Row],[TEAM]]&amp;Matrix[[#Headers],[3]],FDR[FDR]&amp;FDR[[#Headers],[3]],FDR[3],"",0,1)</f>
        <v>4</v>
      </c>
      <c r="P90" cm="1">
        <f t="array" ref="P90">_xlfn.XLOOKUP(Matrix[[#This Row],[TEAM]]&amp;Matrix[[#Headers],[4]],FDR[FDR]&amp;FDR[[#Headers],[4]],FDR[4],"",0,1)</f>
        <v>4</v>
      </c>
      <c r="Q90" cm="1">
        <f t="array" ref="Q90">_xlfn.XLOOKUP(Matrix[[#This Row],[TEAM]]&amp;Matrix[[#Headers],[5]],FDR[FDR]&amp;FDR[[#Headers],[5]],FDR[5],"",0,1)</f>
        <v>3</v>
      </c>
      <c r="R90" cm="1">
        <f t="array" ref="R90">_xlfn.XLOOKUP(Matrix[[#This Row],[TEAM]]&amp;Matrix[[#Headers],[6]],FDR[FDR]&amp;FDR[[#Headers],[6]],FDR[6],"",0,1)</f>
        <v>4</v>
      </c>
      <c r="S90" cm="1">
        <f t="array" ref="S90">_xlfn.XLOOKUP(Matrix[[#This Row],[TEAM]]&amp;Matrix[[#Headers],[7]],FDR[FDR]&amp;FDR[[#Headers],[7]],FDR[7],"",0,1)</f>
        <v>5</v>
      </c>
      <c r="T90" cm="1">
        <f t="array" ref="T90">_xlfn.XLOOKUP(Matrix[[#This Row],[TEAM]]&amp;Matrix[[#Headers],[8]],FDR[FDR]&amp;FDR[[#Headers],[8]],FDR[8],"",0,1)</f>
        <v>3</v>
      </c>
      <c r="U90" cm="1">
        <f t="array" ref="U90">_xlfn.XLOOKUP(Matrix[[#This Row],[TEAM]]&amp;Matrix[[#Headers],[9]],FDR[FDR]&amp;FDR[[#Headers],[9]],FDR[9],"",0,1)</f>
        <v>2</v>
      </c>
      <c r="V90" cm="1">
        <f t="array" ref="V90">_xlfn.XLOOKUP(Matrix[[#This Row],[TEAM]]&amp;Matrix[[#Headers],[10]],FDR[FDR]&amp;FDR[[#Headers],[10]],FDR[10],"",0,1)</f>
        <v>4</v>
      </c>
      <c r="W90" cm="1">
        <f t="array" ref="W90">_xlfn.XLOOKUP(Matrix[[#This Row],[TEAM]]&amp;Matrix[[#Headers],[11]],FDR[FDR]&amp;FDR[[#Headers],[11]],FDR[11],"",0,1)</f>
        <v>1</v>
      </c>
      <c r="X90" cm="1">
        <f t="array" ref="X90">_xlfn.XLOOKUP(Matrix[[#This Row],[TEAM]]&amp;Matrix[[#Headers],[12]],FDR[FDR]&amp;FDR[[#Headers],[12]],FDR[12],"",0,1)</f>
        <v>4</v>
      </c>
      <c r="Y90" cm="1">
        <f t="array" ref="Y90">_xlfn.XLOOKUP(Matrix[[#This Row],[TEAM]]&amp;Matrix[[#Headers],[13]],FDR[FDR]&amp;FDR[[#Headers],[13]],FDR[13],"",0,1)</f>
        <v>4</v>
      </c>
      <c r="Z90" cm="1">
        <f t="array" ref="Z90">_xlfn.XLOOKUP(Matrix[[#This Row],[TEAM]]&amp;Matrix[[#Headers],[14]],FDR[FDR]&amp;FDR[[#Headers],[14]],FDR[14],"",0,1)</f>
        <v>5</v>
      </c>
      <c r="AA90" cm="1">
        <f t="array" ref="AA90">_xlfn.XLOOKUP(Matrix[[#This Row],[TEAM]]&amp;Matrix[[#Headers],[15]],FDR[FDR]&amp;FDR[[#Headers],[15]],FDR[15],"",0,1)</f>
        <v>4</v>
      </c>
      <c r="AB90" cm="1">
        <f t="array" ref="AB90">_xlfn.XLOOKUP(Matrix[[#This Row],[TEAM]]&amp;Matrix[[#Headers],[16]],FDR[FDR]&amp;FDR[[#Headers],[16]],FDR[16],"",0,1)</f>
        <v>4</v>
      </c>
      <c r="AC90" cm="1">
        <f t="array" ref="AC90">_xlfn.XLOOKUP(Matrix[[#This Row],[TEAM]]&amp;Matrix[[#Headers],[17]],FDR[FDR]&amp;FDR[[#Headers],[17]],FDR[17],"",0,1)</f>
        <v>5</v>
      </c>
      <c r="AD90" cm="1">
        <f t="array" ref="AD90">_xlfn.XLOOKUP(Matrix[[#This Row],[TEAM]]&amp;Matrix[[#Headers],[18]],FDR[FDR]&amp;FDR[[#Headers],[18]],FDR[18],"",0,1)</f>
        <v>3</v>
      </c>
      <c r="AE90" cm="1">
        <f t="array" ref="AE90">_xlfn.XLOOKUP(Matrix[[#This Row],[TEAM]]&amp;Matrix[[#Headers],[19]],FDR[FDR]&amp;FDR[[#Headers],[19]],FDR[19],"",0,1)</f>
        <v>3</v>
      </c>
      <c r="AF90" cm="1">
        <f t="array" ref="AF90">_xlfn.XLOOKUP(Matrix[[#This Row],[TEAM]]&amp;Matrix[[#Headers],[20]],FDR[FDR]&amp;FDR[[#Headers],[20]],FDR[20],"",0,1)</f>
        <v>2</v>
      </c>
      <c r="AG90" cm="1">
        <f t="array" ref="AG90">_xlfn.XLOOKUP(Matrix[[#This Row],[TEAM]]&amp;Matrix[[#Headers],[21]],FDR[FDR]&amp;FDR[[#Headers],[21]],FDR[21],"",0,1)</f>
        <v>3</v>
      </c>
      <c r="AH90" cm="1">
        <f t="array" ref="AH90">_xlfn.XLOOKUP(Matrix[[#This Row],[TEAM]]&amp;Matrix[[#Headers],[22]],FDR[FDR]&amp;FDR[[#Headers],[22]],FDR[22],"",0,1)</f>
        <v>5</v>
      </c>
      <c r="AI90" cm="1">
        <f t="array" ref="AI90">_xlfn.XLOOKUP(Matrix[[#This Row],[TEAM]]&amp;Matrix[[#Headers],[23]],FDR[FDR]&amp;FDR[[#Headers],[23]],FDR[23],"",0,1)</f>
        <v>1</v>
      </c>
      <c r="AJ90" cm="1">
        <f t="array" ref="AJ90">_xlfn.XLOOKUP(Matrix[[#This Row],[TEAM]]&amp;Matrix[[#Headers],[24]],FDR[FDR]&amp;FDR[[#Headers],[24]],FDR[24],"",0,1)</f>
        <v>5</v>
      </c>
      <c r="AK90" cm="1">
        <f t="array" ref="AK90">_xlfn.XLOOKUP(Matrix[[#This Row],[TEAM]]&amp;Matrix[[#Headers],[25]],FDR[FDR]&amp;FDR[[#Headers],[25]],FDR[25],"",0,1)</f>
        <v>2</v>
      </c>
      <c r="AL90" cm="1">
        <f t="array" ref="AL90">_xlfn.XLOOKUP(Matrix[[#This Row],[TEAM]]&amp;Matrix[[#Headers],[26]],FDR[FDR]&amp;FDR[[#Headers],[26]],FDR[26],"",0,1)</f>
        <v>4</v>
      </c>
      <c r="AM90" cm="1">
        <f t="array" ref="AM90">_xlfn.XLOOKUP(Matrix[[#This Row],[TEAM]]&amp;Matrix[[#Headers],[27]],FDR[FDR]&amp;FDR[[#Headers],[27]],FDR[27],"",0,1)</f>
        <v>3</v>
      </c>
      <c r="AN90" cm="1">
        <f t="array" ref="AN90">_xlfn.XLOOKUP(Matrix[[#This Row],[TEAM]]&amp;Matrix[[#Headers],[28]],FDR[FDR]&amp;FDR[[#Headers],[28]],FDR[28],"",0,1)</f>
        <v>5</v>
      </c>
      <c r="AO90" cm="1">
        <f t="array" ref="AO90">_xlfn.XLOOKUP(Matrix[[#This Row],[TEAM]]&amp;Matrix[[#Headers],[29]],FDR[FDR]&amp;FDR[[#Headers],[29]],FDR[29],"",0,1)</f>
        <v>4</v>
      </c>
      <c r="AP90" cm="1">
        <f t="array" ref="AP90">_xlfn.XLOOKUP(Matrix[[#This Row],[TEAM]]&amp;Matrix[[#Headers],[30]],FDR[FDR]&amp;FDR[[#Headers],[30]],FDR[30],"",0,1)</f>
        <v>4</v>
      </c>
      <c r="AQ90" cm="1">
        <f t="array" ref="AQ90">_xlfn.XLOOKUP(Matrix[[#This Row],[TEAM]]&amp;Matrix[[#Headers],[31]],FDR[FDR]&amp;FDR[[#Headers],[31]],FDR[31],"",0,1)</f>
        <v>5</v>
      </c>
      <c r="AR90" cm="1">
        <f t="array" ref="AR90">_xlfn.XLOOKUP(Matrix[[#This Row],[TEAM]]&amp;Matrix[[#Headers],[32]],FDR[FDR]&amp;FDR[[#Headers],[32]],FDR[32],"",0,1)</f>
        <v>2</v>
      </c>
      <c r="AS90" cm="1">
        <f t="array" ref="AS90">_xlfn.XLOOKUP(Matrix[[#This Row],[TEAM]]&amp;Matrix[[#Headers],[33]],FDR[FDR]&amp;FDR[[#Headers],[33]],FDR[33],"",0,1)</f>
        <v>4</v>
      </c>
      <c r="AT90" cm="1">
        <f t="array" ref="AT90">_xlfn.XLOOKUP(Matrix[[#This Row],[TEAM]]&amp;Matrix[[#Headers],[34]],FDR[FDR]&amp;FDR[[#Headers],[34]],FDR[34],"",0,1)</f>
        <v>3</v>
      </c>
      <c r="AU90" cm="1">
        <f t="array" ref="AU90">_xlfn.XLOOKUP(Matrix[[#This Row],[TEAM]]&amp;Matrix[[#Headers],[35]],FDR[FDR]&amp;FDR[[#Headers],[35]],FDR[35],"",0,1)</f>
        <v>4</v>
      </c>
      <c r="AV90" cm="1">
        <f t="array" ref="AV90">_xlfn.XLOOKUP(Matrix[[#This Row],[TEAM]]&amp;Matrix[[#Headers],[36]],FDR[FDR]&amp;FDR[[#Headers],[36]],FDR[36],"",0,1)</f>
        <v>4</v>
      </c>
      <c r="AW90" cm="1">
        <f t="array" ref="AW90">_xlfn.XLOOKUP(Matrix[[#This Row],[TEAM]]&amp;Matrix[[#Headers],[37]],FDR[FDR]&amp;FDR[[#Headers],[37]],FDR[37],"",0,1)</f>
        <v>5</v>
      </c>
      <c r="AX90" cm="1">
        <f t="array" ref="AX90">_xlfn.XLOOKUP(Matrix[[#This Row],[TEAM]]&amp;Matrix[[#Headers],[38]],FDR[FDR]&amp;FDR[[#Headers],[38]],FDR[38],"",0,1)</f>
        <v>1</v>
      </c>
    </row>
    <row r="91" spans="1:50" ht="22" thickTop="1" thickBot="1">
      <c r="A91" s="50" t="str">
        <f>INDEX!S$4</f>
        <v>MID</v>
      </c>
      <c r="B91" s="70" t="s">
        <v>1380</v>
      </c>
      <c r="C91" s="40" t="s">
        <v>30</v>
      </c>
      <c r="D91" s="62">
        <v>8</v>
      </c>
      <c r="E91" s="60">
        <v>1E-3</v>
      </c>
      <c r="F91" s="61">
        <v>15.8</v>
      </c>
      <c r="G91" s="63">
        <v>5.9</v>
      </c>
      <c r="H91" s="261">
        <f>IF(ISBLANK(I91),0,1)</f>
        <v>0</v>
      </c>
      <c r="I91" s="57"/>
      <c r="J91" s="58"/>
      <c r="K91" s="59" t="s">
        <v>482</v>
      </c>
      <c r="L91" s="59" t="s">
        <v>192</v>
      </c>
      <c r="M91" cm="1">
        <f t="array" ref="M91">_xlfn.XLOOKUP(Matrix[[#This Row],[TEAM]]&amp;Matrix[[#Headers],[1]],FDR[FDR]&amp;FDR[[#Headers],[1]],FDR[1],"",0,1)</f>
        <v>3</v>
      </c>
      <c r="N91" cm="1">
        <f t="array" ref="N91">_xlfn.XLOOKUP(Matrix[[#This Row],[TEAM]]&amp;Matrix[[#Headers],[2]],FDR[FDR]&amp;FDR[[#Headers],[2]],FDR[2],"",0,1)</f>
        <v>2</v>
      </c>
      <c r="O91" cm="1">
        <f t="array" ref="O91">_xlfn.XLOOKUP(Matrix[[#This Row],[TEAM]]&amp;Matrix[[#Headers],[3]],FDR[FDR]&amp;FDR[[#Headers],[3]],FDR[3],"",0,1)</f>
        <v>1</v>
      </c>
      <c r="P91" cm="1">
        <f t="array" ref="P91">_xlfn.XLOOKUP(Matrix[[#This Row],[TEAM]]&amp;Matrix[[#Headers],[4]],FDR[FDR]&amp;FDR[[#Headers],[4]],FDR[4],"",0,1)</f>
        <v>4</v>
      </c>
      <c r="Q91" cm="1">
        <f t="array" ref="Q91">_xlfn.XLOOKUP(Matrix[[#This Row],[TEAM]]&amp;Matrix[[#Headers],[5]],FDR[FDR]&amp;FDR[[#Headers],[5]],FDR[5],"",0,1)</f>
        <v>3</v>
      </c>
      <c r="R91" cm="1">
        <f t="array" ref="R91">_xlfn.XLOOKUP(Matrix[[#This Row],[TEAM]]&amp;Matrix[[#Headers],[6]],FDR[FDR]&amp;FDR[[#Headers],[6]],FDR[6],"",0,1)</f>
        <v>2</v>
      </c>
      <c r="S91" cm="1">
        <f t="array" ref="S91">_xlfn.XLOOKUP(Matrix[[#This Row],[TEAM]]&amp;Matrix[[#Headers],[7]],FDR[FDR]&amp;FDR[[#Headers],[7]],FDR[7],"",0,1)</f>
        <v>1</v>
      </c>
      <c r="T91" cm="1">
        <f t="array" ref="T91">_xlfn.XLOOKUP(Matrix[[#This Row],[TEAM]]&amp;Matrix[[#Headers],[8]],FDR[FDR]&amp;FDR[[#Headers],[8]],FDR[8],"",0,1)</f>
        <v>4</v>
      </c>
      <c r="U91" cm="1">
        <f t="array" ref="U91">_xlfn.XLOOKUP(Matrix[[#This Row],[TEAM]]&amp;Matrix[[#Headers],[9]],FDR[FDR]&amp;FDR[[#Headers],[9]],FDR[9],"",0,1)</f>
        <v>1</v>
      </c>
      <c r="V91" cm="1">
        <f t="array" ref="V91">_xlfn.XLOOKUP(Matrix[[#This Row],[TEAM]]&amp;Matrix[[#Headers],[10]],FDR[FDR]&amp;FDR[[#Headers],[10]],FDR[10],"",0,1)</f>
        <v>2</v>
      </c>
      <c r="W91" cm="1">
        <f t="array" ref="W91">_xlfn.XLOOKUP(Matrix[[#This Row],[TEAM]]&amp;Matrix[[#Headers],[11]],FDR[FDR]&amp;FDR[[#Headers],[11]],FDR[11],"",0,1)</f>
        <v>4</v>
      </c>
      <c r="X91" cm="1">
        <f t="array" ref="X91">_xlfn.XLOOKUP(Matrix[[#This Row],[TEAM]]&amp;Matrix[[#Headers],[12]],FDR[FDR]&amp;FDR[[#Headers],[12]],FDR[12],"",0,1)</f>
        <v>1</v>
      </c>
      <c r="Y91" cm="1">
        <f t="array" ref="Y91">_xlfn.XLOOKUP(Matrix[[#This Row],[TEAM]]&amp;Matrix[[#Headers],[13]],FDR[FDR]&amp;FDR[[#Headers],[13]],FDR[13],"",0,1)</f>
        <v>2</v>
      </c>
      <c r="Z91" cm="1">
        <f t="array" ref="Z91">_xlfn.XLOOKUP(Matrix[[#This Row],[TEAM]]&amp;Matrix[[#Headers],[14]],FDR[FDR]&amp;FDR[[#Headers],[14]],FDR[14],"",0,1)</f>
        <v>1</v>
      </c>
      <c r="AA91" cm="1">
        <f t="array" ref="AA91">_xlfn.XLOOKUP(Matrix[[#This Row],[TEAM]]&amp;Matrix[[#Headers],[15]],FDR[FDR]&amp;FDR[[#Headers],[15]],FDR[15],"",0,1)</f>
        <v>1</v>
      </c>
      <c r="AB91" cm="1">
        <f t="array" ref="AB91">_xlfn.XLOOKUP(Matrix[[#This Row],[TEAM]]&amp;Matrix[[#Headers],[16]],FDR[FDR]&amp;FDR[[#Headers],[16]],FDR[16],"",0,1)</f>
        <v>1</v>
      </c>
      <c r="AC91" cm="1">
        <f t="array" ref="AC91">_xlfn.XLOOKUP(Matrix[[#This Row],[TEAM]]&amp;Matrix[[#Headers],[17]],FDR[FDR]&amp;FDR[[#Headers],[17]],FDR[17],"",0,1)</f>
        <v>3</v>
      </c>
      <c r="AD91" cm="1">
        <f t="array" ref="AD91">_xlfn.XLOOKUP(Matrix[[#This Row],[TEAM]]&amp;Matrix[[#Headers],[18]],FDR[FDR]&amp;FDR[[#Headers],[18]],FDR[18],"",0,1)</f>
        <v>2</v>
      </c>
      <c r="AE91" cm="1">
        <f t="array" ref="AE91">_xlfn.XLOOKUP(Matrix[[#This Row],[TEAM]]&amp;Matrix[[#Headers],[19]],FDR[FDR]&amp;FDR[[#Headers],[19]],FDR[19],"",0,1)</f>
        <v>1</v>
      </c>
      <c r="AF91" cm="1">
        <f t="array" ref="AF91">_xlfn.XLOOKUP(Matrix[[#This Row],[TEAM]]&amp;Matrix[[#Headers],[20]],FDR[FDR]&amp;FDR[[#Headers],[20]],FDR[20],"",0,1)</f>
        <v>1</v>
      </c>
      <c r="AG91" cm="1">
        <f t="array" ref="AG91">_xlfn.XLOOKUP(Matrix[[#This Row],[TEAM]]&amp;Matrix[[#Headers],[21]],FDR[FDR]&amp;FDR[[#Headers],[21]],FDR[21],"",0,1)</f>
        <v>1</v>
      </c>
      <c r="AH91" cm="1">
        <f t="array" ref="AH91">_xlfn.XLOOKUP(Matrix[[#This Row],[TEAM]]&amp;Matrix[[#Headers],[22]],FDR[FDR]&amp;FDR[[#Headers],[22]],FDR[22],"",0,1)</f>
        <v>3</v>
      </c>
      <c r="AI91" cm="1">
        <f t="array" ref="AI91">_xlfn.XLOOKUP(Matrix[[#This Row],[TEAM]]&amp;Matrix[[#Headers],[23]],FDR[FDR]&amp;FDR[[#Headers],[23]],FDR[23],"",0,1)</f>
        <v>4</v>
      </c>
      <c r="AJ91" cm="1">
        <f t="array" ref="AJ91">_xlfn.XLOOKUP(Matrix[[#This Row],[TEAM]]&amp;Matrix[[#Headers],[24]],FDR[FDR]&amp;FDR[[#Headers],[24]],FDR[24],"",0,1)</f>
        <v>1</v>
      </c>
      <c r="AK91" cm="1">
        <f t="array" ref="AK91">_xlfn.XLOOKUP(Matrix[[#This Row],[TEAM]]&amp;Matrix[[#Headers],[25]],FDR[FDR]&amp;FDR[[#Headers],[25]],FDR[25],"",0,1)</f>
        <v>3</v>
      </c>
      <c r="AL91" cm="1">
        <f t="array" ref="AL91">_xlfn.XLOOKUP(Matrix[[#This Row],[TEAM]]&amp;Matrix[[#Headers],[26]],FDR[FDR]&amp;FDR[[#Headers],[26]],FDR[26],"",0,1)</f>
        <v>2</v>
      </c>
      <c r="AM91" cm="1">
        <f t="array" ref="AM91">_xlfn.XLOOKUP(Matrix[[#This Row],[TEAM]]&amp;Matrix[[#Headers],[27]],FDR[FDR]&amp;FDR[[#Headers],[27]],FDR[27],"",0,1)</f>
        <v>2</v>
      </c>
      <c r="AN91" cm="1">
        <f t="array" ref="AN91">_xlfn.XLOOKUP(Matrix[[#This Row],[TEAM]]&amp;Matrix[[#Headers],[28]],FDR[FDR]&amp;FDR[[#Headers],[28]],FDR[28],"",0,1)</f>
        <v>1</v>
      </c>
      <c r="AO91" cm="1">
        <f t="array" ref="AO91">_xlfn.XLOOKUP(Matrix[[#This Row],[TEAM]]&amp;Matrix[[#Headers],[29]],FDR[FDR]&amp;FDR[[#Headers],[29]],FDR[29],"",0,1)</f>
        <v>3</v>
      </c>
      <c r="AP91" cm="1">
        <f t="array" ref="AP91">_xlfn.XLOOKUP(Matrix[[#This Row],[TEAM]]&amp;Matrix[[#Headers],[30]],FDR[FDR]&amp;FDR[[#Headers],[30]],FDR[30],"",0,1)</f>
        <v>2</v>
      </c>
      <c r="AQ91" cm="1">
        <f t="array" ref="AQ91">_xlfn.XLOOKUP(Matrix[[#This Row],[TEAM]]&amp;Matrix[[#Headers],[31]],FDR[FDR]&amp;FDR[[#Headers],[31]],FDR[31],"",0,1)</f>
        <v>2</v>
      </c>
      <c r="AR91" cm="1">
        <f t="array" ref="AR91">_xlfn.XLOOKUP(Matrix[[#This Row],[TEAM]]&amp;Matrix[[#Headers],[32]],FDR[FDR]&amp;FDR[[#Headers],[32]],FDR[32],"",0,1)</f>
        <v>1</v>
      </c>
      <c r="AS91" cm="1">
        <f t="array" ref="AS91">_xlfn.XLOOKUP(Matrix[[#This Row],[TEAM]]&amp;Matrix[[#Headers],[33]],FDR[FDR]&amp;FDR[[#Headers],[33]],FDR[33],"",0,1)</f>
        <v>4</v>
      </c>
      <c r="AT91" cm="1">
        <f t="array" ref="AT91">_xlfn.XLOOKUP(Matrix[[#This Row],[TEAM]]&amp;Matrix[[#Headers],[34]],FDR[FDR]&amp;FDR[[#Headers],[34]],FDR[34],"",0,1)</f>
        <v>1</v>
      </c>
      <c r="AU91" cm="1">
        <f t="array" ref="AU91">_xlfn.XLOOKUP(Matrix[[#This Row],[TEAM]]&amp;Matrix[[#Headers],[35]],FDR[FDR]&amp;FDR[[#Headers],[35]],FDR[35],"",0,1)</f>
        <v>3</v>
      </c>
      <c r="AV91" cm="1">
        <f t="array" ref="AV91">_xlfn.XLOOKUP(Matrix[[#This Row],[TEAM]]&amp;Matrix[[#Headers],[36]],FDR[FDR]&amp;FDR[[#Headers],[36]],FDR[36],"",0,1)</f>
        <v>1</v>
      </c>
      <c r="AW91" cm="1">
        <f t="array" ref="AW91">_xlfn.XLOOKUP(Matrix[[#This Row],[TEAM]]&amp;Matrix[[#Headers],[37]],FDR[FDR]&amp;FDR[[#Headers],[37]],FDR[37],"",0,1)</f>
        <v>1</v>
      </c>
      <c r="AX91" cm="1">
        <f t="array" ref="AX91">_xlfn.XLOOKUP(Matrix[[#This Row],[TEAM]]&amp;Matrix[[#Headers],[38]],FDR[FDR]&amp;FDR[[#Headers],[38]],FDR[38],"",0,1)</f>
        <v>2</v>
      </c>
    </row>
    <row r="92" spans="1:50" ht="22" thickTop="1" thickBot="1">
      <c r="A92" s="49" t="str">
        <f>INDEX!S$5</f>
        <v>FWD</v>
      </c>
      <c r="B92" s="70" t="s">
        <v>1354</v>
      </c>
      <c r="C92" s="40" t="s">
        <v>27</v>
      </c>
      <c r="D92" s="62">
        <v>42</v>
      </c>
      <c r="E92" s="60">
        <v>0.03</v>
      </c>
      <c r="F92" s="61">
        <v>56.8</v>
      </c>
      <c r="G92" s="63">
        <v>5.9</v>
      </c>
      <c r="H92" s="261">
        <f>IF(ISBLANK(I92),0,1)</f>
        <v>0</v>
      </c>
      <c r="I92" s="57"/>
      <c r="J92" s="58"/>
      <c r="K92" s="64" t="s">
        <v>760</v>
      </c>
      <c r="L92" s="64" t="s">
        <v>761</v>
      </c>
      <c r="M92" cm="1">
        <f t="array" ref="M92">_xlfn.XLOOKUP(Matrix[[#This Row],[TEAM]]&amp;Matrix[[#Headers],[1]],FDR[FDR]&amp;FDR[[#Headers],[1]],FDR[1],"",0,1)</f>
        <v>2</v>
      </c>
      <c r="N92" cm="1">
        <f t="array" ref="N92">_xlfn.XLOOKUP(Matrix[[#This Row],[TEAM]]&amp;Matrix[[#Headers],[2]],FDR[FDR]&amp;FDR[[#Headers],[2]],FDR[2],"",0,1)</f>
        <v>4</v>
      </c>
      <c r="O92" cm="1">
        <f t="array" ref="O92">_xlfn.XLOOKUP(Matrix[[#This Row],[TEAM]]&amp;Matrix[[#Headers],[3]],FDR[FDR]&amp;FDR[[#Headers],[3]],FDR[3],"",0,1)</f>
        <v>4</v>
      </c>
      <c r="P92" cm="1">
        <f t="array" ref="P92">_xlfn.XLOOKUP(Matrix[[#This Row],[TEAM]]&amp;Matrix[[#Headers],[4]],FDR[FDR]&amp;FDR[[#Headers],[4]],FDR[4],"",0,1)</f>
        <v>4</v>
      </c>
      <c r="Q92" cm="1">
        <f t="array" ref="Q92">_xlfn.XLOOKUP(Matrix[[#This Row],[TEAM]]&amp;Matrix[[#Headers],[5]],FDR[FDR]&amp;FDR[[#Headers],[5]],FDR[5],"",0,1)</f>
        <v>3</v>
      </c>
      <c r="R92" cm="1">
        <f t="array" ref="R92">_xlfn.XLOOKUP(Matrix[[#This Row],[TEAM]]&amp;Matrix[[#Headers],[6]],FDR[FDR]&amp;FDR[[#Headers],[6]],FDR[6],"",0,1)</f>
        <v>4</v>
      </c>
      <c r="S92" cm="1">
        <f t="array" ref="S92">_xlfn.XLOOKUP(Matrix[[#This Row],[TEAM]]&amp;Matrix[[#Headers],[7]],FDR[FDR]&amp;FDR[[#Headers],[7]],FDR[7],"",0,1)</f>
        <v>5</v>
      </c>
      <c r="T92" cm="1">
        <f t="array" ref="T92">_xlfn.XLOOKUP(Matrix[[#This Row],[TEAM]]&amp;Matrix[[#Headers],[8]],FDR[FDR]&amp;FDR[[#Headers],[8]],FDR[8],"",0,1)</f>
        <v>3</v>
      </c>
      <c r="U92" cm="1">
        <f t="array" ref="U92">_xlfn.XLOOKUP(Matrix[[#This Row],[TEAM]]&amp;Matrix[[#Headers],[9]],FDR[FDR]&amp;FDR[[#Headers],[9]],FDR[9],"",0,1)</f>
        <v>2</v>
      </c>
      <c r="V92" cm="1">
        <f t="array" ref="V92">_xlfn.XLOOKUP(Matrix[[#This Row],[TEAM]]&amp;Matrix[[#Headers],[10]],FDR[FDR]&amp;FDR[[#Headers],[10]],FDR[10],"",0,1)</f>
        <v>4</v>
      </c>
      <c r="W92" cm="1">
        <f t="array" ref="W92">_xlfn.XLOOKUP(Matrix[[#This Row],[TEAM]]&amp;Matrix[[#Headers],[11]],FDR[FDR]&amp;FDR[[#Headers],[11]],FDR[11],"",0,1)</f>
        <v>1</v>
      </c>
      <c r="X92" cm="1">
        <f t="array" ref="X92">_xlfn.XLOOKUP(Matrix[[#This Row],[TEAM]]&amp;Matrix[[#Headers],[12]],FDR[FDR]&amp;FDR[[#Headers],[12]],FDR[12],"",0,1)</f>
        <v>4</v>
      </c>
      <c r="Y92" cm="1">
        <f t="array" ref="Y92">_xlfn.XLOOKUP(Matrix[[#This Row],[TEAM]]&amp;Matrix[[#Headers],[13]],FDR[FDR]&amp;FDR[[#Headers],[13]],FDR[13],"",0,1)</f>
        <v>4</v>
      </c>
      <c r="Z92" cm="1">
        <f t="array" ref="Z92">_xlfn.XLOOKUP(Matrix[[#This Row],[TEAM]]&amp;Matrix[[#Headers],[14]],FDR[FDR]&amp;FDR[[#Headers],[14]],FDR[14],"",0,1)</f>
        <v>5</v>
      </c>
      <c r="AA92" cm="1">
        <f t="array" ref="AA92">_xlfn.XLOOKUP(Matrix[[#This Row],[TEAM]]&amp;Matrix[[#Headers],[15]],FDR[FDR]&amp;FDR[[#Headers],[15]],FDR[15],"",0,1)</f>
        <v>4</v>
      </c>
      <c r="AB92" cm="1">
        <f t="array" ref="AB92">_xlfn.XLOOKUP(Matrix[[#This Row],[TEAM]]&amp;Matrix[[#Headers],[16]],FDR[FDR]&amp;FDR[[#Headers],[16]],FDR[16],"",0,1)</f>
        <v>4</v>
      </c>
      <c r="AC92" cm="1">
        <f t="array" ref="AC92">_xlfn.XLOOKUP(Matrix[[#This Row],[TEAM]]&amp;Matrix[[#Headers],[17]],FDR[FDR]&amp;FDR[[#Headers],[17]],FDR[17],"",0,1)</f>
        <v>5</v>
      </c>
      <c r="AD92" cm="1">
        <f t="array" ref="AD92">_xlfn.XLOOKUP(Matrix[[#This Row],[TEAM]]&amp;Matrix[[#Headers],[18]],FDR[FDR]&amp;FDR[[#Headers],[18]],FDR[18],"",0,1)</f>
        <v>3</v>
      </c>
      <c r="AE92" cm="1">
        <f t="array" ref="AE92">_xlfn.XLOOKUP(Matrix[[#This Row],[TEAM]]&amp;Matrix[[#Headers],[19]],FDR[FDR]&amp;FDR[[#Headers],[19]],FDR[19],"",0,1)</f>
        <v>3</v>
      </c>
      <c r="AF92" cm="1">
        <f t="array" ref="AF92">_xlfn.XLOOKUP(Matrix[[#This Row],[TEAM]]&amp;Matrix[[#Headers],[20]],FDR[FDR]&amp;FDR[[#Headers],[20]],FDR[20],"",0,1)</f>
        <v>2</v>
      </c>
      <c r="AG92" cm="1">
        <f t="array" ref="AG92">_xlfn.XLOOKUP(Matrix[[#This Row],[TEAM]]&amp;Matrix[[#Headers],[21]],FDR[FDR]&amp;FDR[[#Headers],[21]],FDR[21],"",0,1)</f>
        <v>3</v>
      </c>
      <c r="AH92" cm="1">
        <f t="array" ref="AH92">_xlfn.XLOOKUP(Matrix[[#This Row],[TEAM]]&amp;Matrix[[#Headers],[22]],FDR[FDR]&amp;FDR[[#Headers],[22]],FDR[22],"",0,1)</f>
        <v>5</v>
      </c>
      <c r="AI92" cm="1">
        <f t="array" ref="AI92">_xlfn.XLOOKUP(Matrix[[#This Row],[TEAM]]&amp;Matrix[[#Headers],[23]],FDR[FDR]&amp;FDR[[#Headers],[23]],FDR[23],"",0,1)</f>
        <v>1</v>
      </c>
      <c r="AJ92" cm="1">
        <f t="array" ref="AJ92">_xlfn.XLOOKUP(Matrix[[#This Row],[TEAM]]&amp;Matrix[[#Headers],[24]],FDR[FDR]&amp;FDR[[#Headers],[24]],FDR[24],"",0,1)</f>
        <v>5</v>
      </c>
      <c r="AK92" cm="1">
        <f t="array" ref="AK92">_xlfn.XLOOKUP(Matrix[[#This Row],[TEAM]]&amp;Matrix[[#Headers],[25]],FDR[FDR]&amp;FDR[[#Headers],[25]],FDR[25],"",0,1)</f>
        <v>2</v>
      </c>
      <c r="AL92" cm="1">
        <f t="array" ref="AL92">_xlfn.XLOOKUP(Matrix[[#This Row],[TEAM]]&amp;Matrix[[#Headers],[26]],FDR[FDR]&amp;FDR[[#Headers],[26]],FDR[26],"",0,1)</f>
        <v>4</v>
      </c>
      <c r="AM92" cm="1">
        <f t="array" ref="AM92">_xlfn.XLOOKUP(Matrix[[#This Row],[TEAM]]&amp;Matrix[[#Headers],[27]],FDR[FDR]&amp;FDR[[#Headers],[27]],FDR[27],"",0,1)</f>
        <v>3</v>
      </c>
      <c r="AN92" cm="1">
        <f t="array" ref="AN92">_xlfn.XLOOKUP(Matrix[[#This Row],[TEAM]]&amp;Matrix[[#Headers],[28]],FDR[FDR]&amp;FDR[[#Headers],[28]],FDR[28],"",0,1)</f>
        <v>5</v>
      </c>
      <c r="AO92" cm="1">
        <f t="array" ref="AO92">_xlfn.XLOOKUP(Matrix[[#This Row],[TEAM]]&amp;Matrix[[#Headers],[29]],FDR[FDR]&amp;FDR[[#Headers],[29]],FDR[29],"",0,1)</f>
        <v>4</v>
      </c>
      <c r="AP92" cm="1">
        <f t="array" ref="AP92">_xlfn.XLOOKUP(Matrix[[#This Row],[TEAM]]&amp;Matrix[[#Headers],[30]],FDR[FDR]&amp;FDR[[#Headers],[30]],FDR[30],"",0,1)</f>
        <v>4</v>
      </c>
      <c r="AQ92" cm="1">
        <f t="array" ref="AQ92">_xlfn.XLOOKUP(Matrix[[#This Row],[TEAM]]&amp;Matrix[[#Headers],[31]],FDR[FDR]&amp;FDR[[#Headers],[31]],FDR[31],"",0,1)</f>
        <v>5</v>
      </c>
      <c r="AR92" cm="1">
        <f t="array" ref="AR92">_xlfn.XLOOKUP(Matrix[[#This Row],[TEAM]]&amp;Matrix[[#Headers],[32]],FDR[FDR]&amp;FDR[[#Headers],[32]],FDR[32],"",0,1)</f>
        <v>2</v>
      </c>
      <c r="AS92" cm="1">
        <f t="array" ref="AS92">_xlfn.XLOOKUP(Matrix[[#This Row],[TEAM]]&amp;Matrix[[#Headers],[33]],FDR[FDR]&amp;FDR[[#Headers],[33]],FDR[33],"",0,1)</f>
        <v>4</v>
      </c>
      <c r="AT92" cm="1">
        <f t="array" ref="AT92">_xlfn.XLOOKUP(Matrix[[#This Row],[TEAM]]&amp;Matrix[[#Headers],[34]],FDR[FDR]&amp;FDR[[#Headers],[34]],FDR[34],"",0,1)</f>
        <v>3</v>
      </c>
      <c r="AU92" cm="1">
        <f t="array" ref="AU92">_xlfn.XLOOKUP(Matrix[[#This Row],[TEAM]]&amp;Matrix[[#Headers],[35]],FDR[FDR]&amp;FDR[[#Headers],[35]],FDR[35],"",0,1)</f>
        <v>4</v>
      </c>
      <c r="AV92" cm="1">
        <f t="array" ref="AV92">_xlfn.XLOOKUP(Matrix[[#This Row],[TEAM]]&amp;Matrix[[#Headers],[36]],FDR[FDR]&amp;FDR[[#Headers],[36]],FDR[36],"",0,1)</f>
        <v>4</v>
      </c>
      <c r="AW92" cm="1">
        <f t="array" ref="AW92">_xlfn.XLOOKUP(Matrix[[#This Row],[TEAM]]&amp;Matrix[[#Headers],[37]],FDR[FDR]&amp;FDR[[#Headers],[37]],FDR[37],"",0,1)</f>
        <v>5</v>
      </c>
      <c r="AX92" cm="1">
        <f t="array" ref="AX92">_xlfn.XLOOKUP(Matrix[[#This Row],[TEAM]]&amp;Matrix[[#Headers],[38]],FDR[FDR]&amp;FDR[[#Headers],[38]],FDR[38],"",0,1)</f>
        <v>1</v>
      </c>
    </row>
    <row r="93" spans="1:50" ht="22" thickTop="1" thickBot="1">
      <c r="A93" s="49" t="str">
        <f>INDEX!S$5</f>
        <v>FWD</v>
      </c>
      <c r="B93" s="70" t="s">
        <v>1362</v>
      </c>
      <c r="C93" s="40" t="s">
        <v>52</v>
      </c>
      <c r="D93" s="62">
        <v>0</v>
      </c>
      <c r="E93" s="60">
        <v>0.01</v>
      </c>
      <c r="F93" s="61">
        <v>0</v>
      </c>
      <c r="G93" s="63">
        <v>5.9</v>
      </c>
      <c r="H93" s="261">
        <f>IF(ISBLANK(I93),0,1)</f>
        <v>0</v>
      </c>
      <c r="I93" s="57"/>
      <c r="J93" s="58"/>
      <c r="K93" s="64" t="s">
        <v>711</v>
      </c>
      <c r="L93" s="64" t="s">
        <v>1978</v>
      </c>
      <c r="M93" cm="1">
        <f t="array" ref="M93">_xlfn.XLOOKUP(Matrix[[#This Row],[TEAM]]&amp;Matrix[[#Headers],[1]],FDR[FDR]&amp;FDR[[#Headers],[1]],FDR[1],"",0,1)</f>
        <v>2</v>
      </c>
      <c r="N93" cm="1">
        <f t="array" ref="N93">_xlfn.XLOOKUP(Matrix[[#This Row],[TEAM]]&amp;Matrix[[#Headers],[2]],FDR[FDR]&amp;FDR[[#Headers],[2]],FDR[2],"",0,1)</f>
        <v>3</v>
      </c>
      <c r="O93" cm="1">
        <f t="array" ref="O93">_xlfn.XLOOKUP(Matrix[[#This Row],[TEAM]]&amp;Matrix[[#Headers],[3]],FDR[FDR]&amp;FDR[[#Headers],[3]],FDR[3],"",0,1)</f>
        <v>2</v>
      </c>
      <c r="P93" cm="1">
        <f t="array" ref="P93">_xlfn.XLOOKUP(Matrix[[#This Row],[TEAM]]&amp;Matrix[[#Headers],[4]],FDR[FDR]&amp;FDR[[#Headers],[4]],FDR[4],"",0,1)</f>
        <v>5</v>
      </c>
      <c r="Q93" cm="1">
        <f t="array" ref="Q93">_xlfn.XLOOKUP(Matrix[[#This Row],[TEAM]]&amp;Matrix[[#Headers],[5]],FDR[FDR]&amp;FDR[[#Headers],[5]],FDR[5],"",0,1)</f>
        <v>2</v>
      </c>
      <c r="R93" cm="1">
        <f t="array" ref="R93">_xlfn.XLOOKUP(Matrix[[#This Row],[TEAM]]&amp;Matrix[[#Headers],[6]],FDR[FDR]&amp;FDR[[#Headers],[6]],FDR[6],"",0,1)</f>
        <v>1</v>
      </c>
      <c r="S93" cm="1">
        <f t="array" ref="S93">_xlfn.XLOOKUP(Matrix[[#This Row],[TEAM]]&amp;Matrix[[#Headers],[7]],FDR[FDR]&amp;FDR[[#Headers],[7]],FDR[7],"",0,1)</f>
        <v>5</v>
      </c>
      <c r="T93" cm="1">
        <f t="array" ref="T93">_xlfn.XLOOKUP(Matrix[[#This Row],[TEAM]]&amp;Matrix[[#Headers],[8]],FDR[FDR]&amp;FDR[[#Headers],[8]],FDR[8],"",0,1)</f>
        <v>4</v>
      </c>
      <c r="U93" cm="1">
        <f t="array" ref="U93">_xlfn.XLOOKUP(Matrix[[#This Row],[TEAM]]&amp;Matrix[[#Headers],[9]],FDR[FDR]&amp;FDR[[#Headers],[9]],FDR[9],"",0,1)</f>
        <v>4</v>
      </c>
      <c r="V93" cm="1">
        <f t="array" ref="V93">_xlfn.XLOOKUP(Matrix[[#This Row],[TEAM]]&amp;Matrix[[#Headers],[10]],FDR[FDR]&amp;FDR[[#Headers],[10]],FDR[10],"",0,1)</f>
        <v>4</v>
      </c>
      <c r="W93" cm="1">
        <f t="array" ref="W93">_xlfn.XLOOKUP(Matrix[[#This Row],[TEAM]]&amp;Matrix[[#Headers],[11]],FDR[FDR]&amp;FDR[[#Headers],[11]],FDR[11],"",0,1)</f>
        <v>1</v>
      </c>
      <c r="X93" cm="1">
        <f t="array" ref="X93">_xlfn.XLOOKUP(Matrix[[#This Row],[TEAM]]&amp;Matrix[[#Headers],[12]],FDR[FDR]&amp;FDR[[#Headers],[12]],FDR[12],"",0,1)</f>
        <v>5</v>
      </c>
      <c r="Y93" cm="1">
        <f t="array" ref="Y93">_xlfn.XLOOKUP(Matrix[[#This Row],[TEAM]]&amp;Matrix[[#Headers],[13]],FDR[FDR]&amp;FDR[[#Headers],[13]],FDR[13],"",0,1)</f>
        <v>3</v>
      </c>
      <c r="Z93" cm="1">
        <f t="array" ref="Z93">_xlfn.XLOOKUP(Matrix[[#This Row],[TEAM]]&amp;Matrix[[#Headers],[14]],FDR[FDR]&amp;FDR[[#Headers],[14]],FDR[14],"",0,1)</f>
        <v>2</v>
      </c>
      <c r="AA93" cm="1">
        <f t="array" ref="AA93">_xlfn.XLOOKUP(Matrix[[#This Row],[TEAM]]&amp;Matrix[[#Headers],[15]],FDR[FDR]&amp;FDR[[#Headers],[15]],FDR[15],"",0,1)</f>
        <v>3</v>
      </c>
      <c r="AB93" cm="1">
        <f t="array" ref="AB93">_xlfn.XLOOKUP(Matrix[[#This Row],[TEAM]]&amp;Matrix[[#Headers],[16]],FDR[FDR]&amp;FDR[[#Headers],[16]],FDR[16],"",0,1)</f>
        <v>4</v>
      </c>
      <c r="AC93" cm="1">
        <f t="array" ref="AC93">_xlfn.XLOOKUP(Matrix[[#This Row],[TEAM]]&amp;Matrix[[#Headers],[17]],FDR[FDR]&amp;FDR[[#Headers],[17]],FDR[17],"",0,1)</f>
        <v>4</v>
      </c>
      <c r="AD93" cm="1">
        <f t="array" ref="AD93">_xlfn.XLOOKUP(Matrix[[#This Row],[TEAM]]&amp;Matrix[[#Headers],[18]],FDR[FDR]&amp;FDR[[#Headers],[18]],FDR[18],"",0,1)</f>
        <v>4</v>
      </c>
      <c r="AE93" cm="1">
        <f t="array" ref="AE93">_xlfn.XLOOKUP(Matrix[[#This Row],[TEAM]]&amp;Matrix[[#Headers],[19]],FDR[FDR]&amp;FDR[[#Headers],[19]],FDR[19],"",0,1)</f>
        <v>2</v>
      </c>
      <c r="AF93" cm="1">
        <f t="array" ref="AF93">_xlfn.XLOOKUP(Matrix[[#This Row],[TEAM]]&amp;Matrix[[#Headers],[20]],FDR[FDR]&amp;FDR[[#Headers],[20]],FDR[20],"",0,1)</f>
        <v>5</v>
      </c>
      <c r="AG93" cm="1">
        <f t="array" ref="AG93">_xlfn.XLOOKUP(Matrix[[#This Row],[TEAM]]&amp;Matrix[[#Headers],[21]],FDR[FDR]&amp;FDR[[#Headers],[21]],FDR[21],"",0,1)</f>
        <v>3</v>
      </c>
      <c r="AH93" cm="1">
        <f t="array" ref="AH93">_xlfn.XLOOKUP(Matrix[[#This Row],[TEAM]]&amp;Matrix[[#Headers],[22]],FDR[FDR]&amp;FDR[[#Headers],[22]],FDR[22],"",0,1)</f>
        <v>4</v>
      </c>
      <c r="AI93" cm="1">
        <f t="array" ref="AI93">_xlfn.XLOOKUP(Matrix[[#This Row],[TEAM]]&amp;Matrix[[#Headers],[23]],FDR[FDR]&amp;FDR[[#Headers],[23]],FDR[23],"",0,1)</f>
        <v>3</v>
      </c>
      <c r="AJ93" cm="1">
        <f t="array" ref="AJ93">_xlfn.XLOOKUP(Matrix[[#This Row],[TEAM]]&amp;Matrix[[#Headers],[24]],FDR[FDR]&amp;FDR[[#Headers],[24]],FDR[24],"",0,1)</f>
        <v>2</v>
      </c>
      <c r="AK93" cm="1">
        <f t="array" ref="AK93">_xlfn.XLOOKUP(Matrix[[#This Row],[TEAM]]&amp;Matrix[[#Headers],[25]],FDR[FDR]&amp;FDR[[#Headers],[25]],FDR[25],"",0,1)</f>
        <v>2</v>
      </c>
      <c r="AL93" cm="1">
        <f t="array" ref="AL93">_xlfn.XLOOKUP(Matrix[[#This Row],[TEAM]]&amp;Matrix[[#Headers],[26]],FDR[FDR]&amp;FDR[[#Headers],[26]],FDR[26],"",0,1)</f>
        <v>1</v>
      </c>
      <c r="AM93" cm="1">
        <f t="array" ref="AM93">_xlfn.XLOOKUP(Matrix[[#This Row],[TEAM]]&amp;Matrix[[#Headers],[27]],FDR[FDR]&amp;FDR[[#Headers],[27]],FDR[27],"",0,1)</f>
        <v>4</v>
      </c>
      <c r="AN93" cm="1">
        <f t="array" ref="AN93">_xlfn.XLOOKUP(Matrix[[#This Row],[TEAM]]&amp;Matrix[[#Headers],[28]],FDR[FDR]&amp;FDR[[#Headers],[28]],FDR[28],"",0,1)</f>
        <v>4</v>
      </c>
      <c r="AO93" cm="1">
        <f t="array" ref="AO93">_xlfn.XLOOKUP(Matrix[[#This Row],[TEAM]]&amp;Matrix[[#Headers],[29]],FDR[FDR]&amp;FDR[[#Headers],[29]],FDR[29],"",0,1)</f>
        <v>5</v>
      </c>
      <c r="AP93" cm="1">
        <f t="array" ref="AP93">_xlfn.XLOOKUP(Matrix[[#This Row],[TEAM]]&amp;Matrix[[#Headers],[30]],FDR[FDR]&amp;FDR[[#Headers],[30]],FDR[30],"",0,1)</f>
        <v>3</v>
      </c>
      <c r="AQ93" cm="1">
        <f t="array" ref="AQ93">_xlfn.XLOOKUP(Matrix[[#This Row],[TEAM]]&amp;Matrix[[#Headers],[31]],FDR[FDR]&amp;FDR[[#Headers],[31]],FDR[31],"",0,1)</f>
        <v>5</v>
      </c>
      <c r="AR93" cm="1">
        <f t="array" ref="AR93">_xlfn.XLOOKUP(Matrix[[#This Row],[TEAM]]&amp;Matrix[[#Headers],[32]],FDR[FDR]&amp;FDR[[#Headers],[32]],FDR[32],"",0,1)</f>
        <v>3</v>
      </c>
      <c r="AS93" cm="1">
        <f t="array" ref="AS93">_xlfn.XLOOKUP(Matrix[[#This Row],[TEAM]]&amp;Matrix[[#Headers],[33]],FDR[FDR]&amp;FDR[[#Headers],[33]],FDR[33],"",0,1)</f>
        <v>1</v>
      </c>
      <c r="AT93" cm="1">
        <f t="array" ref="AT93">_xlfn.XLOOKUP(Matrix[[#This Row],[TEAM]]&amp;Matrix[[#Headers],[34]],FDR[FDR]&amp;FDR[[#Headers],[34]],FDR[34],"",0,1)</f>
        <v>2</v>
      </c>
      <c r="AU93" cm="1">
        <f t="array" ref="AU93">_xlfn.XLOOKUP(Matrix[[#This Row],[TEAM]]&amp;Matrix[[#Headers],[35]],FDR[FDR]&amp;FDR[[#Headers],[35]],FDR[35],"",0,1)</f>
        <v>5</v>
      </c>
      <c r="AV93" cm="1">
        <f t="array" ref="AV93">_xlfn.XLOOKUP(Matrix[[#This Row],[TEAM]]&amp;Matrix[[#Headers],[36]],FDR[FDR]&amp;FDR[[#Headers],[36]],FDR[36],"",0,1)</f>
        <v>4</v>
      </c>
      <c r="AW93" cm="1">
        <f t="array" ref="AW93">_xlfn.XLOOKUP(Matrix[[#This Row],[TEAM]]&amp;Matrix[[#Headers],[37]],FDR[FDR]&amp;FDR[[#Headers],[37]],FDR[37],"",0,1)</f>
        <v>5</v>
      </c>
      <c r="AX93" cm="1">
        <f t="array" ref="AX93">_xlfn.XLOOKUP(Matrix[[#This Row],[TEAM]]&amp;Matrix[[#Headers],[38]],FDR[FDR]&amp;FDR[[#Headers],[38]],FDR[38],"",0,1)</f>
        <v>3</v>
      </c>
    </row>
    <row r="94" spans="1:50" ht="22" thickTop="1" thickBot="1">
      <c r="A94" s="50" t="str">
        <f>INDEX!S$4</f>
        <v>MID</v>
      </c>
      <c r="B94" s="70" t="s">
        <v>1387</v>
      </c>
      <c r="C94" s="40" t="s">
        <v>29</v>
      </c>
      <c r="D94" s="62">
        <v>0</v>
      </c>
      <c r="E94" s="60">
        <v>0.11</v>
      </c>
      <c r="F94" s="61">
        <v>0</v>
      </c>
      <c r="G94" s="63">
        <v>5.7</v>
      </c>
      <c r="H94" s="261">
        <f>IF(ISBLANK(I94),0,1)</f>
        <v>0</v>
      </c>
      <c r="I94" s="57"/>
      <c r="J94" s="58"/>
      <c r="K94" s="59" t="s">
        <v>793</v>
      </c>
      <c r="L94" s="59" t="s">
        <v>794</v>
      </c>
      <c r="M94" cm="1">
        <f t="array" ref="M94">_xlfn.XLOOKUP(Matrix[[#This Row],[TEAM]]&amp;Matrix[[#Headers],[1]],FDR[FDR]&amp;FDR[[#Headers],[1]],FDR[1],"",0,1)</f>
        <v>1</v>
      </c>
      <c r="N94" cm="1">
        <f t="array" ref="N94">_xlfn.XLOOKUP(Matrix[[#This Row],[TEAM]]&amp;Matrix[[#Headers],[2]],FDR[FDR]&amp;FDR[[#Headers],[2]],FDR[2],"",0,1)</f>
        <v>2</v>
      </c>
      <c r="O94" cm="1">
        <f t="array" ref="O94">_xlfn.XLOOKUP(Matrix[[#This Row],[TEAM]]&amp;Matrix[[#Headers],[3]],FDR[FDR]&amp;FDR[[#Headers],[3]],FDR[3],"",0,1)</f>
        <v>2</v>
      </c>
      <c r="P94" cm="1">
        <f t="array" ref="P94">_xlfn.XLOOKUP(Matrix[[#This Row],[TEAM]]&amp;Matrix[[#Headers],[4]],FDR[FDR]&amp;FDR[[#Headers],[4]],FDR[4],"",0,1)</f>
        <v>2</v>
      </c>
      <c r="Q94" cm="1">
        <f t="array" ref="Q94">_xlfn.XLOOKUP(Matrix[[#This Row],[TEAM]]&amp;Matrix[[#Headers],[5]],FDR[FDR]&amp;FDR[[#Headers],[5]],FDR[5],"",0,1)</f>
        <v>4</v>
      </c>
      <c r="R94" cm="1">
        <f t="array" ref="R94">_xlfn.XLOOKUP(Matrix[[#This Row],[TEAM]]&amp;Matrix[[#Headers],[6]],FDR[FDR]&amp;FDR[[#Headers],[6]],FDR[6],"",0,1)</f>
        <v>1</v>
      </c>
      <c r="S94" cm="1">
        <f t="array" ref="S94">_xlfn.XLOOKUP(Matrix[[#This Row],[TEAM]]&amp;Matrix[[#Headers],[7]],FDR[FDR]&amp;FDR[[#Headers],[7]],FDR[7],"",0,1)</f>
        <v>2</v>
      </c>
      <c r="T94" cm="1">
        <f t="array" ref="T94">_xlfn.XLOOKUP(Matrix[[#This Row],[TEAM]]&amp;Matrix[[#Headers],[8]],FDR[FDR]&amp;FDR[[#Headers],[8]],FDR[8],"",0,1)</f>
        <v>1</v>
      </c>
      <c r="U94" cm="1">
        <f t="array" ref="U94">_xlfn.XLOOKUP(Matrix[[#This Row],[TEAM]]&amp;Matrix[[#Headers],[9]],FDR[FDR]&amp;FDR[[#Headers],[9]],FDR[9],"",0,1)</f>
        <v>3</v>
      </c>
      <c r="V94" cm="1">
        <f t="array" ref="V94">_xlfn.XLOOKUP(Matrix[[#This Row],[TEAM]]&amp;Matrix[[#Headers],[10]],FDR[FDR]&amp;FDR[[#Headers],[10]],FDR[10],"",0,1)</f>
        <v>1</v>
      </c>
      <c r="W94" cm="1">
        <f t="array" ref="W94">_xlfn.XLOOKUP(Matrix[[#This Row],[TEAM]]&amp;Matrix[[#Headers],[11]],FDR[FDR]&amp;FDR[[#Headers],[11]],FDR[11],"",0,1)</f>
        <v>3</v>
      </c>
      <c r="X94" cm="1">
        <f t="array" ref="X94">_xlfn.XLOOKUP(Matrix[[#This Row],[TEAM]]&amp;Matrix[[#Headers],[12]],FDR[FDR]&amp;FDR[[#Headers],[12]],FDR[12],"",0,1)</f>
        <v>3</v>
      </c>
      <c r="Y94" cm="1">
        <f t="array" ref="Y94">_xlfn.XLOOKUP(Matrix[[#This Row],[TEAM]]&amp;Matrix[[#Headers],[13]],FDR[FDR]&amp;FDR[[#Headers],[13]],FDR[13],"",0,1)</f>
        <v>1</v>
      </c>
      <c r="Z94" cm="1">
        <f t="array" ref="Z94">_xlfn.XLOOKUP(Matrix[[#This Row],[TEAM]]&amp;Matrix[[#Headers],[14]],FDR[FDR]&amp;FDR[[#Headers],[14]],FDR[14],"",0,1)</f>
        <v>2</v>
      </c>
      <c r="AA94" cm="1">
        <f t="array" ref="AA94">_xlfn.XLOOKUP(Matrix[[#This Row],[TEAM]]&amp;Matrix[[#Headers],[15]],FDR[FDR]&amp;FDR[[#Headers],[15]],FDR[15],"",0,1)</f>
        <v>1</v>
      </c>
      <c r="AB94" cm="1">
        <f t="array" ref="AB94">_xlfn.XLOOKUP(Matrix[[#This Row],[TEAM]]&amp;Matrix[[#Headers],[16]],FDR[FDR]&amp;FDR[[#Headers],[16]],FDR[16],"",0,1)</f>
        <v>2</v>
      </c>
      <c r="AC94" cm="1">
        <f t="array" ref="AC94">_xlfn.XLOOKUP(Matrix[[#This Row],[TEAM]]&amp;Matrix[[#Headers],[17]],FDR[FDR]&amp;FDR[[#Headers],[17]],FDR[17],"",0,1)</f>
        <v>1</v>
      </c>
      <c r="AD94" cm="1">
        <f t="array" ref="AD94">_xlfn.XLOOKUP(Matrix[[#This Row],[TEAM]]&amp;Matrix[[#Headers],[18]],FDR[FDR]&amp;FDR[[#Headers],[18]],FDR[18],"",0,1)</f>
        <v>2</v>
      </c>
      <c r="AE94" cm="1">
        <f t="array" ref="AE94">_xlfn.XLOOKUP(Matrix[[#This Row],[TEAM]]&amp;Matrix[[#Headers],[19]],FDR[FDR]&amp;FDR[[#Headers],[19]],FDR[19],"",0,1)</f>
        <v>1</v>
      </c>
      <c r="AF94" cm="1">
        <f t="array" ref="AF94">_xlfn.XLOOKUP(Matrix[[#This Row],[TEAM]]&amp;Matrix[[#Headers],[20]],FDR[FDR]&amp;FDR[[#Headers],[20]],FDR[20],"",0,1)</f>
        <v>2</v>
      </c>
      <c r="AG94" cm="1">
        <f t="array" ref="AG94">_xlfn.XLOOKUP(Matrix[[#This Row],[TEAM]]&amp;Matrix[[#Headers],[21]],FDR[FDR]&amp;FDR[[#Headers],[21]],FDR[21],"",0,1)</f>
        <v>1</v>
      </c>
      <c r="AH94" cm="1">
        <f t="array" ref="AH94">_xlfn.XLOOKUP(Matrix[[#This Row],[TEAM]]&amp;Matrix[[#Headers],[22]],FDR[FDR]&amp;FDR[[#Headers],[22]],FDR[22],"",0,1)</f>
        <v>3</v>
      </c>
      <c r="AI94" cm="1">
        <f t="array" ref="AI94">_xlfn.XLOOKUP(Matrix[[#This Row],[TEAM]]&amp;Matrix[[#Headers],[23]],FDR[FDR]&amp;FDR[[#Headers],[23]],FDR[23],"",0,1)</f>
        <v>1</v>
      </c>
      <c r="AJ94" cm="1">
        <f t="array" ref="AJ94">_xlfn.XLOOKUP(Matrix[[#This Row],[TEAM]]&amp;Matrix[[#Headers],[24]],FDR[FDR]&amp;FDR[[#Headers],[24]],FDR[24],"",0,1)</f>
        <v>3</v>
      </c>
      <c r="AK94" cm="1">
        <f t="array" ref="AK94">_xlfn.XLOOKUP(Matrix[[#This Row],[TEAM]]&amp;Matrix[[#Headers],[25]],FDR[FDR]&amp;FDR[[#Headers],[25]],FDR[25],"",0,1)</f>
        <v>4</v>
      </c>
      <c r="AL94" cm="1">
        <f t="array" ref="AL94">_xlfn.XLOOKUP(Matrix[[#This Row],[TEAM]]&amp;Matrix[[#Headers],[26]],FDR[FDR]&amp;FDR[[#Headers],[26]],FDR[26],"",0,1)</f>
        <v>1</v>
      </c>
      <c r="AM94" cm="1">
        <f t="array" ref="AM94">_xlfn.XLOOKUP(Matrix[[#This Row],[TEAM]]&amp;Matrix[[#Headers],[27]],FDR[FDR]&amp;FDR[[#Headers],[27]],FDR[27],"",0,1)</f>
        <v>2</v>
      </c>
      <c r="AN94" cm="1">
        <f t="array" ref="AN94">_xlfn.XLOOKUP(Matrix[[#This Row],[TEAM]]&amp;Matrix[[#Headers],[28]],FDR[FDR]&amp;FDR[[#Headers],[28]],FDR[28],"",0,1)</f>
        <v>1</v>
      </c>
      <c r="AO94" cm="1">
        <f t="array" ref="AO94">_xlfn.XLOOKUP(Matrix[[#This Row],[TEAM]]&amp;Matrix[[#Headers],[29]],FDR[FDR]&amp;FDR[[#Headers],[29]],FDR[29],"",0,1)</f>
        <v>1</v>
      </c>
      <c r="AP94" cm="1">
        <f t="array" ref="AP94">_xlfn.XLOOKUP(Matrix[[#This Row],[TEAM]]&amp;Matrix[[#Headers],[30]],FDR[FDR]&amp;FDR[[#Headers],[30]],FDR[30],"",0,1)</f>
        <v>2</v>
      </c>
      <c r="AQ94" cm="1">
        <f t="array" ref="AQ94">_xlfn.XLOOKUP(Matrix[[#This Row],[TEAM]]&amp;Matrix[[#Headers],[31]],FDR[FDR]&amp;FDR[[#Headers],[31]],FDR[31],"",0,1)</f>
        <v>1</v>
      </c>
      <c r="AR94" cm="1">
        <f t="array" ref="AR94">_xlfn.XLOOKUP(Matrix[[#This Row],[TEAM]]&amp;Matrix[[#Headers],[32]],FDR[FDR]&amp;FDR[[#Headers],[32]],FDR[32],"",0,1)</f>
        <v>3</v>
      </c>
      <c r="AS94" cm="1">
        <f t="array" ref="AS94">_xlfn.XLOOKUP(Matrix[[#This Row],[TEAM]]&amp;Matrix[[#Headers],[33]],FDR[FDR]&amp;FDR[[#Headers],[33]],FDR[33],"",0,1)</f>
        <v>3</v>
      </c>
      <c r="AT94" cm="1">
        <f t="array" ref="AT94">_xlfn.XLOOKUP(Matrix[[#This Row],[TEAM]]&amp;Matrix[[#Headers],[34]],FDR[FDR]&amp;FDR[[#Headers],[34]],FDR[34],"",0,1)</f>
        <v>1</v>
      </c>
      <c r="AU94" cm="1">
        <f t="array" ref="AU94">_xlfn.XLOOKUP(Matrix[[#This Row],[TEAM]]&amp;Matrix[[#Headers],[35]],FDR[FDR]&amp;FDR[[#Headers],[35]],FDR[35],"",0,1)</f>
        <v>2</v>
      </c>
      <c r="AV94" cm="1">
        <f t="array" ref="AV94">_xlfn.XLOOKUP(Matrix[[#This Row],[TEAM]]&amp;Matrix[[#Headers],[36]],FDR[FDR]&amp;FDR[[#Headers],[36]],FDR[36],"",0,1)</f>
        <v>1</v>
      </c>
      <c r="AW94" cm="1">
        <f t="array" ref="AW94">_xlfn.XLOOKUP(Matrix[[#This Row],[TEAM]]&amp;Matrix[[#Headers],[37]],FDR[FDR]&amp;FDR[[#Headers],[37]],FDR[37],"",0,1)</f>
        <v>2</v>
      </c>
      <c r="AX94" cm="1">
        <f t="array" ref="AX94">_xlfn.XLOOKUP(Matrix[[#This Row],[TEAM]]&amp;Matrix[[#Headers],[38]],FDR[FDR]&amp;FDR[[#Headers],[38]],FDR[38],"",0,1)</f>
        <v>2</v>
      </c>
    </row>
    <row r="95" spans="1:50" ht="22" thickTop="1" thickBot="1">
      <c r="A95" s="51" t="s">
        <v>657</v>
      </c>
      <c r="B95" s="70" t="s">
        <v>1415</v>
      </c>
      <c r="C95" s="40" t="s">
        <v>20</v>
      </c>
      <c r="D95" s="62">
        <v>39</v>
      </c>
      <c r="E95" s="60">
        <v>7.0000000000000001E-3</v>
      </c>
      <c r="F95" s="61">
        <v>54.6</v>
      </c>
      <c r="G95" s="63">
        <v>5.6</v>
      </c>
      <c r="H95" s="261">
        <f>IF(ISBLANK(I95),0,1)</f>
        <v>0</v>
      </c>
      <c r="I95" s="57"/>
      <c r="J95" s="58"/>
      <c r="K95" s="65" t="s">
        <v>666</v>
      </c>
      <c r="L95" s="65" t="s">
        <v>667</v>
      </c>
      <c r="M95" cm="1">
        <f t="array" ref="M95">_xlfn.XLOOKUP(Matrix[[#This Row],[TEAM]]&amp;Matrix[[#Headers],[1]],FDR[FDR]&amp;FDR[[#Headers],[1]],FDR[1],"",0,1)</f>
        <v>3</v>
      </c>
      <c r="N95" cm="1">
        <f t="array" ref="N95">_xlfn.XLOOKUP(Matrix[[#This Row],[TEAM]]&amp;Matrix[[#Headers],[2]],FDR[FDR]&amp;FDR[[#Headers],[2]],FDR[2],"",0,1)</f>
        <v>1</v>
      </c>
      <c r="O95" cm="1">
        <f t="array" ref="O95">_xlfn.XLOOKUP(Matrix[[#This Row],[TEAM]]&amp;Matrix[[#Headers],[3]],FDR[FDR]&amp;FDR[[#Headers],[3]],FDR[3],"",0,1)</f>
        <v>4</v>
      </c>
      <c r="P95" cm="1">
        <f t="array" ref="P95">_xlfn.XLOOKUP(Matrix[[#This Row],[TEAM]]&amp;Matrix[[#Headers],[4]],FDR[FDR]&amp;FDR[[#Headers],[4]],FDR[4],"",0,1)</f>
        <v>1</v>
      </c>
      <c r="Q95" cm="1">
        <f t="array" ref="Q95">_xlfn.XLOOKUP(Matrix[[#This Row],[TEAM]]&amp;Matrix[[#Headers],[5]],FDR[FDR]&amp;FDR[[#Headers],[5]],FDR[5],"",0,1)</f>
        <v>3</v>
      </c>
      <c r="R95" cm="1">
        <f t="array" ref="R95">_xlfn.XLOOKUP(Matrix[[#This Row],[TEAM]]&amp;Matrix[[#Headers],[6]],FDR[FDR]&amp;FDR[[#Headers],[6]],FDR[6],"",0,1)</f>
        <v>3</v>
      </c>
      <c r="S95" cm="1">
        <f t="array" ref="S95">_xlfn.XLOOKUP(Matrix[[#This Row],[TEAM]]&amp;Matrix[[#Headers],[7]],FDR[FDR]&amp;FDR[[#Headers],[7]],FDR[7],"",0,1)</f>
        <v>1</v>
      </c>
      <c r="T95" cm="1">
        <f t="array" ref="T95">_xlfn.XLOOKUP(Matrix[[#This Row],[TEAM]]&amp;Matrix[[#Headers],[8]],FDR[FDR]&amp;FDR[[#Headers],[8]],FDR[8],"",0,1)</f>
        <v>2</v>
      </c>
      <c r="U95" cm="1">
        <f t="array" ref="U95">_xlfn.XLOOKUP(Matrix[[#This Row],[TEAM]]&amp;Matrix[[#Headers],[9]],FDR[FDR]&amp;FDR[[#Headers],[9]],FDR[9],"",0,1)</f>
        <v>1</v>
      </c>
      <c r="V95" cm="1">
        <f t="array" ref="V95">_xlfn.XLOOKUP(Matrix[[#This Row],[TEAM]]&amp;Matrix[[#Headers],[10]],FDR[FDR]&amp;FDR[[#Headers],[10]],FDR[10],"",0,1)</f>
        <v>1</v>
      </c>
      <c r="W95" cm="1">
        <f t="array" ref="W95">_xlfn.XLOOKUP(Matrix[[#This Row],[TEAM]]&amp;Matrix[[#Headers],[11]],FDR[FDR]&amp;FDR[[#Headers],[11]],FDR[11],"",0,1)</f>
        <v>1</v>
      </c>
      <c r="X95" cm="1">
        <f t="array" ref="X95">_xlfn.XLOOKUP(Matrix[[#This Row],[TEAM]]&amp;Matrix[[#Headers],[12]],FDR[FDR]&amp;FDR[[#Headers],[12]],FDR[12],"",0,1)</f>
        <v>2</v>
      </c>
      <c r="Y95" cm="1">
        <f t="array" ref="Y95">_xlfn.XLOOKUP(Matrix[[#This Row],[TEAM]]&amp;Matrix[[#Headers],[13]],FDR[FDR]&amp;FDR[[#Headers],[13]],FDR[13],"",0,1)</f>
        <v>3</v>
      </c>
      <c r="Z95" cm="1">
        <f t="array" ref="Z95">_xlfn.XLOOKUP(Matrix[[#This Row],[TEAM]]&amp;Matrix[[#Headers],[14]],FDR[FDR]&amp;FDR[[#Headers],[14]],FDR[14],"",0,1)</f>
        <v>1</v>
      </c>
      <c r="AA95" cm="1">
        <f t="array" ref="AA95">_xlfn.XLOOKUP(Matrix[[#This Row],[TEAM]]&amp;Matrix[[#Headers],[15]],FDR[FDR]&amp;FDR[[#Headers],[15]],FDR[15],"",0,1)</f>
        <v>3</v>
      </c>
      <c r="AB95" cm="1">
        <f t="array" ref="AB95">_xlfn.XLOOKUP(Matrix[[#This Row],[TEAM]]&amp;Matrix[[#Headers],[16]],FDR[FDR]&amp;FDR[[#Headers],[16]],FDR[16],"",0,1)</f>
        <v>1</v>
      </c>
      <c r="AC95" cm="1">
        <f t="array" ref="AC95">_xlfn.XLOOKUP(Matrix[[#This Row],[TEAM]]&amp;Matrix[[#Headers],[17]],FDR[FDR]&amp;FDR[[#Headers],[17]],FDR[17],"",0,1)</f>
        <v>2</v>
      </c>
      <c r="AD95" cm="1">
        <f t="array" ref="AD95">_xlfn.XLOOKUP(Matrix[[#This Row],[TEAM]]&amp;Matrix[[#Headers],[18]],FDR[FDR]&amp;FDR[[#Headers],[18]],FDR[18],"",0,1)</f>
        <v>1</v>
      </c>
      <c r="AE95" cm="1">
        <f t="array" ref="AE95">_xlfn.XLOOKUP(Matrix[[#This Row],[TEAM]]&amp;Matrix[[#Headers],[19]],FDR[FDR]&amp;FDR[[#Headers],[19]],FDR[19],"",0,1)</f>
        <v>2</v>
      </c>
      <c r="AF95" cm="1">
        <f t="array" ref="AF95">_xlfn.XLOOKUP(Matrix[[#This Row],[TEAM]]&amp;Matrix[[#Headers],[20]],FDR[FDR]&amp;FDR[[#Headers],[20]],FDR[20],"",0,1)</f>
        <v>2</v>
      </c>
      <c r="AG95" cm="1">
        <f t="array" ref="AG95">_xlfn.XLOOKUP(Matrix[[#This Row],[TEAM]]&amp;Matrix[[#Headers],[21]],FDR[FDR]&amp;FDR[[#Headers],[21]],FDR[21],"",0,1)</f>
        <v>3</v>
      </c>
      <c r="AH95" cm="1">
        <f t="array" ref="AH95">_xlfn.XLOOKUP(Matrix[[#This Row],[TEAM]]&amp;Matrix[[#Headers],[22]],FDR[FDR]&amp;FDR[[#Headers],[22]],FDR[22],"",0,1)</f>
        <v>2</v>
      </c>
      <c r="AI95" cm="1">
        <f t="array" ref="AI95">_xlfn.XLOOKUP(Matrix[[#This Row],[TEAM]]&amp;Matrix[[#Headers],[23]],FDR[FDR]&amp;FDR[[#Headers],[23]],FDR[23],"",0,1)</f>
        <v>2</v>
      </c>
      <c r="AJ95" cm="1">
        <f t="array" ref="AJ95">_xlfn.XLOOKUP(Matrix[[#This Row],[TEAM]]&amp;Matrix[[#Headers],[24]],FDR[FDR]&amp;FDR[[#Headers],[24]],FDR[24],"",0,1)</f>
        <v>1</v>
      </c>
      <c r="AK95" cm="1">
        <f t="array" ref="AK95">_xlfn.XLOOKUP(Matrix[[#This Row],[TEAM]]&amp;Matrix[[#Headers],[25]],FDR[FDR]&amp;FDR[[#Headers],[25]],FDR[25],"",0,1)</f>
        <v>1</v>
      </c>
      <c r="AL95" cm="1">
        <f t="array" ref="AL95">_xlfn.XLOOKUP(Matrix[[#This Row],[TEAM]]&amp;Matrix[[#Headers],[26]],FDR[FDR]&amp;FDR[[#Headers],[26]],FDR[26],"",0,1)</f>
        <v>2</v>
      </c>
      <c r="AM95" cm="1">
        <f t="array" ref="AM95">_xlfn.XLOOKUP(Matrix[[#This Row],[TEAM]]&amp;Matrix[[#Headers],[27]],FDR[FDR]&amp;FDR[[#Headers],[27]],FDR[27],"",0,1)</f>
        <v>3</v>
      </c>
      <c r="AN95" cm="1">
        <f t="array" ref="AN95">_xlfn.XLOOKUP(Matrix[[#This Row],[TEAM]]&amp;Matrix[[#Headers],[28]],FDR[FDR]&amp;FDR[[#Headers],[28]],FDR[28],"",0,1)</f>
        <v>2</v>
      </c>
      <c r="AO95" cm="1">
        <f t="array" ref="AO95">_xlfn.XLOOKUP(Matrix[[#This Row],[TEAM]]&amp;Matrix[[#Headers],[29]],FDR[FDR]&amp;FDR[[#Headers],[29]],FDR[29],"",0,1)</f>
        <v>2</v>
      </c>
      <c r="AP95" cm="1">
        <f t="array" ref="AP95">_xlfn.XLOOKUP(Matrix[[#This Row],[TEAM]]&amp;Matrix[[#Headers],[30]],FDR[FDR]&amp;FDR[[#Headers],[30]],FDR[30],"",0,1)</f>
        <v>1</v>
      </c>
      <c r="AQ95" cm="1">
        <f t="array" ref="AQ95">_xlfn.XLOOKUP(Matrix[[#This Row],[TEAM]]&amp;Matrix[[#Headers],[31]],FDR[FDR]&amp;FDR[[#Headers],[31]],FDR[31],"",0,1)</f>
        <v>1</v>
      </c>
      <c r="AR95" cm="1">
        <f t="array" ref="AR95">_xlfn.XLOOKUP(Matrix[[#This Row],[TEAM]]&amp;Matrix[[#Headers],[32]],FDR[FDR]&amp;FDR[[#Headers],[32]],FDR[32],"",0,1)</f>
        <v>1</v>
      </c>
      <c r="AS95" cm="1">
        <f t="array" ref="AS95">_xlfn.XLOOKUP(Matrix[[#This Row],[TEAM]]&amp;Matrix[[#Headers],[33]],FDR[FDR]&amp;FDR[[#Headers],[33]],FDR[33],"",0,1)</f>
        <v>3</v>
      </c>
      <c r="AT95" cm="1">
        <f t="array" ref="AT95">_xlfn.XLOOKUP(Matrix[[#This Row],[TEAM]]&amp;Matrix[[#Headers],[34]],FDR[FDR]&amp;FDR[[#Headers],[34]],FDR[34],"",0,1)</f>
        <v>2</v>
      </c>
      <c r="AU95" cm="1">
        <f t="array" ref="AU95">_xlfn.XLOOKUP(Matrix[[#This Row],[TEAM]]&amp;Matrix[[#Headers],[35]],FDR[FDR]&amp;FDR[[#Headers],[35]],FDR[35],"",0,1)</f>
        <v>1</v>
      </c>
      <c r="AV95" cm="1">
        <f t="array" ref="AV95">_xlfn.XLOOKUP(Matrix[[#This Row],[TEAM]]&amp;Matrix[[#Headers],[36]],FDR[FDR]&amp;FDR[[#Headers],[36]],FDR[36],"",0,1)</f>
        <v>2</v>
      </c>
      <c r="AW95" cm="1">
        <f t="array" ref="AW95">_xlfn.XLOOKUP(Matrix[[#This Row],[TEAM]]&amp;Matrix[[#Headers],[37]],FDR[FDR]&amp;FDR[[#Headers],[37]],FDR[37],"",0,1)</f>
        <v>1</v>
      </c>
      <c r="AX95" cm="1">
        <f t="array" ref="AX95">_xlfn.XLOOKUP(Matrix[[#This Row],[TEAM]]&amp;Matrix[[#Headers],[38]],FDR[FDR]&amp;FDR[[#Headers],[38]],FDR[38],"",0,1)</f>
        <v>2</v>
      </c>
    </row>
    <row r="96" spans="1:50" ht="22" thickTop="1" thickBot="1">
      <c r="A96" s="52" t="s">
        <v>658</v>
      </c>
      <c r="B96" s="70" t="s">
        <v>1384</v>
      </c>
      <c r="C96" s="40" t="s">
        <v>24</v>
      </c>
      <c r="D96" s="68">
        <v>158</v>
      </c>
      <c r="E96" s="60">
        <v>0.121</v>
      </c>
      <c r="F96" s="67">
        <v>107</v>
      </c>
      <c r="G96" s="63">
        <v>5.5</v>
      </c>
      <c r="H96" s="261">
        <f>IF(ISBLANK(I96),0,1)</f>
        <v>0</v>
      </c>
      <c r="I96" s="57"/>
      <c r="J96" s="58"/>
      <c r="K96" s="66" t="s">
        <v>398</v>
      </c>
      <c r="L96" s="66" t="s">
        <v>80</v>
      </c>
      <c r="M96" cm="1">
        <f t="array" ref="M96">_xlfn.XLOOKUP(Matrix[[#This Row],[TEAM]]&amp;Matrix[[#Headers],[1]],FDR[FDR]&amp;FDR[[#Headers],[1]],FDR[1],"",0,1)</f>
        <v>2</v>
      </c>
      <c r="N96" cm="1">
        <f t="array" ref="N96">_xlfn.XLOOKUP(Matrix[[#This Row],[TEAM]]&amp;Matrix[[#Headers],[2]],FDR[FDR]&amp;FDR[[#Headers],[2]],FDR[2],"",0,1)</f>
        <v>3</v>
      </c>
      <c r="O96" cm="1">
        <f t="array" ref="O96">_xlfn.XLOOKUP(Matrix[[#This Row],[TEAM]]&amp;Matrix[[#Headers],[3]],FDR[FDR]&amp;FDR[[#Headers],[3]],FDR[3],"",0,1)</f>
        <v>2</v>
      </c>
      <c r="P96" cm="1">
        <f t="array" ref="P96">_xlfn.XLOOKUP(Matrix[[#This Row],[TEAM]]&amp;Matrix[[#Headers],[4]],FDR[FDR]&amp;FDR[[#Headers],[4]],FDR[4],"",0,1)</f>
        <v>4</v>
      </c>
      <c r="Q96" cm="1">
        <f t="array" ref="Q96">_xlfn.XLOOKUP(Matrix[[#This Row],[TEAM]]&amp;Matrix[[#Headers],[5]],FDR[FDR]&amp;FDR[[#Headers],[5]],FDR[5],"",0,1)</f>
        <v>5</v>
      </c>
      <c r="R96" cm="1">
        <f t="array" ref="R96">_xlfn.XLOOKUP(Matrix[[#This Row],[TEAM]]&amp;Matrix[[#Headers],[6]],FDR[FDR]&amp;FDR[[#Headers],[6]],FDR[6],"",0,1)</f>
        <v>3</v>
      </c>
      <c r="S96" cm="1">
        <f t="array" ref="S96">_xlfn.XLOOKUP(Matrix[[#This Row],[TEAM]]&amp;Matrix[[#Headers],[7]],FDR[FDR]&amp;FDR[[#Headers],[7]],FDR[7],"",0,1)</f>
        <v>3</v>
      </c>
      <c r="T96" cm="1">
        <f t="array" ref="T96">_xlfn.XLOOKUP(Matrix[[#This Row],[TEAM]]&amp;Matrix[[#Headers],[8]],FDR[FDR]&amp;FDR[[#Headers],[8]],FDR[8],"",0,1)</f>
        <v>5</v>
      </c>
      <c r="U96" cm="1">
        <f t="array" ref="U96">_xlfn.XLOOKUP(Matrix[[#This Row],[TEAM]]&amp;Matrix[[#Headers],[9]],FDR[FDR]&amp;FDR[[#Headers],[9]],FDR[9],"",0,1)</f>
        <v>4</v>
      </c>
      <c r="V96" cm="1">
        <f t="array" ref="V96">_xlfn.XLOOKUP(Matrix[[#This Row],[TEAM]]&amp;Matrix[[#Headers],[10]],FDR[FDR]&amp;FDR[[#Headers],[10]],FDR[10],"",0,1)</f>
        <v>2</v>
      </c>
      <c r="W96" cm="1">
        <f t="array" ref="W96">_xlfn.XLOOKUP(Matrix[[#This Row],[TEAM]]&amp;Matrix[[#Headers],[11]],FDR[FDR]&amp;FDR[[#Headers],[11]],FDR[11],"",0,1)</f>
        <v>3</v>
      </c>
      <c r="X96" cm="1">
        <f t="array" ref="X96">_xlfn.XLOOKUP(Matrix[[#This Row],[TEAM]]&amp;Matrix[[#Headers],[12]],FDR[FDR]&amp;FDR[[#Headers],[12]],FDR[12],"",0,1)</f>
        <v>5</v>
      </c>
      <c r="Y96" cm="1">
        <f t="array" ref="Y96">_xlfn.XLOOKUP(Matrix[[#This Row],[TEAM]]&amp;Matrix[[#Headers],[13]],FDR[FDR]&amp;FDR[[#Headers],[13]],FDR[13],"",0,1)</f>
        <v>4</v>
      </c>
      <c r="Z96" cm="1">
        <f t="array" ref="Z96">_xlfn.XLOOKUP(Matrix[[#This Row],[TEAM]]&amp;Matrix[[#Headers],[14]],FDR[FDR]&amp;FDR[[#Headers],[14]],FDR[14],"",0,1)</f>
        <v>4</v>
      </c>
      <c r="AA96" cm="1">
        <f t="array" ref="AA96">_xlfn.XLOOKUP(Matrix[[#This Row],[TEAM]]&amp;Matrix[[#Headers],[15]],FDR[FDR]&amp;FDR[[#Headers],[15]],FDR[15],"",0,1)</f>
        <v>3</v>
      </c>
      <c r="AB96" cm="1">
        <f t="array" ref="AB96">_xlfn.XLOOKUP(Matrix[[#This Row],[TEAM]]&amp;Matrix[[#Headers],[16]],FDR[FDR]&amp;FDR[[#Headers],[16]],FDR[16],"",0,1)</f>
        <v>5</v>
      </c>
      <c r="AC96" cm="1">
        <f t="array" ref="AC96">_xlfn.XLOOKUP(Matrix[[#This Row],[TEAM]]&amp;Matrix[[#Headers],[17]],FDR[FDR]&amp;FDR[[#Headers],[17]],FDR[17],"",0,1)</f>
        <v>4</v>
      </c>
      <c r="AD96" cm="1">
        <f t="array" ref="AD96">_xlfn.XLOOKUP(Matrix[[#This Row],[TEAM]]&amp;Matrix[[#Headers],[18]],FDR[FDR]&amp;FDR[[#Headers],[18]],FDR[18],"",0,1)</f>
        <v>2</v>
      </c>
      <c r="AE96" cm="1">
        <f t="array" ref="AE96">_xlfn.XLOOKUP(Matrix[[#This Row],[TEAM]]&amp;Matrix[[#Headers],[19]],FDR[FDR]&amp;FDR[[#Headers],[19]],FDR[19],"",0,1)</f>
        <v>4</v>
      </c>
      <c r="AF96" cm="1">
        <f t="array" ref="AF96">_xlfn.XLOOKUP(Matrix[[#This Row],[TEAM]]&amp;Matrix[[#Headers],[20]],FDR[FDR]&amp;FDR[[#Headers],[20]],FDR[20],"",0,1)</f>
        <v>3</v>
      </c>
      <c r="AG96" cm="1">
        <f t="array" ref="AG96">_xlfn.XLOOKUP(Matrix[[#This Row],[TEAM]]&amp;Matrix[[#Headers],[21]],FDR[FDR]&amp;FDR[[#Headers],[21]],FDR[21],"",0,1)</f>
        <v>2</v>
      </c>
      <c r="AH96" cm="1">
        <f t="array" ref="AH96">_xlfn.XLOOKUP(Matrix[[#This Row],[TEAM]]&amp;Matrix[[#Headers],[22]],FDR[FDR]&amp;FDR[[#Headers],[22]],FDR[22],"",0,1)</f>
        <v>5</v>
      </c>
      <c r="AI96" cm="1">
        <f t="array" ref="AI96">_xlfn.XLOOKUP(Matrix[[#This Row],[TEAM]]&amp;Matrix[[#Headers],[23]],FDR[FDR]&amp;FDR[[#Headers],[23]],FDR[23],"",0,1)</f>
        <v>1</v>
      </c>
      <c r="AJ96" cm="1">
        <f t="array" ref="AJ96">_xlfn.XLOOKUP(Matrix[[#This Row],[TEAM]]&amp;Matrix[[#Headers],[24]],FDR[FDR]&amp;FDR[[#Headers],[24]],FDR[24],"",0,1)</f>
        <v>4</v>
      </c>
      <c r="AK96" cm="1">
        <f t="array" ref="AK96">_xlfn.XLOOKUP(Matrix[[#This Row],[TEAM]]&amp;Matrix[[#Headers],[25]],FDR[FDR]&amp;FDR[[#Headers],[25]],FDR[25],"",0,1)</f>
        <v>4</v>
      </c>
      <c r="AL96" cm="1">
        <f t="array" ref="AL96">_xlfn.XLOOKUP(Matrix[[#This Row],[TEAM]]&amp;Matrix[[#Headers],[26]],FDR[FDR]&amp;FDR[[#Headers],[26]],FDR[26],"",0,1)</f>
        <v>3</v>
      </c>
      <c r="AM96" cm="1">
        <f t="array" ref="AM96">_xlfn.XLOOKUP(Matrix[[#This Row],[TEAM]]&amp;Matrix[[#Headers],[27]],FDR[FDR]&amp;FDR[[#Headers],[27]],FDR[27],"",0,1)</f>
        <v>4</v>
      </c>
      <c r="AN96" cm="1">
        <f t="array" ref="AN96">_xlfn.XLOOKUP(Matrix[[#This Row],[TEAM]]&amp;Matrix[[#Headers],[28]],FDR[FDR]&amp;FDR[[#Headers],[28]],FDR[28],"",0,1)</f>
        <v>5</v>
      </c>
      <c r="AO96" cm="1">
        <f t="array" ref="AO96">_xlfn.XLOOKUP(Matrix[[#This Row],[TEAM]]&amp;Matrix[[#Headers],[29]],FDR[FDR]&amp;FDR[[#Headers],[29]],FDR[29],"",0,1)</f>
        <v>1</v>
      </c>
      <c r="AP96" cm="1">
        <f t="array" ref="AP96">_xlfn.XLOOKUP(Matrix[[#This Row],[TEAM]]&amp;Matrix[[#Headers],[30]],FDR[FDR]&amp;FDR[[#Headers],[30]],FDR[30],"",0,1)</f>
        <v>5</v>
      </c>
      <c r="AQ96" cm="1">
        <f t="array" ref="AQ96">_xlfn.XLOOKUP(Matrix[[#This Row],[TEAM]]&amp;Matrix[[#Headers],[31]],FDR[FDR]&amp;FDR[[#Headers],[31]],FDR[31],"",0,1)</f>
        <v>4</v>
      </c>
      <c r="AR96" cm="1">
        <f t="array" ref="AR96">_xlfn.XLOOKUP(Matrix[[#This Row],[TEAM]]&amp;Matrix[[#Headers],[32]],FDR[FDR]&amp;FDR[[#Headers],[32]],FDR[32],"",0,1)</f>
        <v>4</v>
      </c>
      <c r="AS96" cm="1">
        <f t="array" ref="AS96">_xlfn.XLOOKUP(Matrix[[#This Row],[TEAM]]&amp;Matrix[[#Headers],[33]],FDR[FDR]&amp;FDR[[#Headers],[33]],FDR[33],"",0,1)</f>
        <v>4</v>
      </c>
      <c r="AT96" cm="1">
        <f t="array" ref="AT96">_xlfn.XLOOKUP(Matrix[[#This Row],[TEAM]]&amp;Matrix[[#Headers],[34]],FDR[FDR]&amp;FDR[[#Headers],[34]],FDR[34],"",0,1)</f>
        <v>4</v>
      </c>
      <c r="AU96" cm="1">
        <f t="array" ref="AU96">_xlfn.XLOOKUP(Matrix[[#This Row],[TEAM]]&amp;Matrix[[#Headers],[35]],FDR[FDR]&amp;FDR[[#Headers],[35]],FDR[35],"",0,1)</f>
        <v>4</v>
      </c>
      <c r="AV96" cm="1">
        <f t="array" ref="AV96">_xlfn.XLOOKUP(Matrix[[#This Row],[TEAM]]&amp;Matrix[[#Headers],[36]],FDR[FDR]&amp;FDR[[#Headers],[36]],FDR[36],"",0,1)</f>
        <v>4</v>
      </c>
      <c r="AW96" cm="1">
        <f t="array" ref="AW96">_xlfn.XLOOKUP(Matrix[[#This Row],[TEAM]]&amp;Matrix[[#Headers],[37]],FDR[FDR]&amp;FDR[[#Headers],[37]],FDR[37],"",0,1)</f>
        <v>1</v>
      </c>
      <c r="AX96" cm="1">
        <f t="array" ref="AX96">_xlfn.XLOOKUP(Matrix[[#This Row],[TEAM]]&amp;Matrix[[#Headers],[38]],FDR[FDR]&amp;FDR[[#Headers],[38]],FDR[38],"",0,1)</f>
        <v>5</v>
      </c>
    </row>
    <row r="97" spans="1:50" ht="22" thickTop="1" thickBot="1">
      <c r="A97" s="52" t="s">
        <v>658</v>
      </c>
      <c r="B97" s="70" t="s">
        <v>1382</v>
      </c>
      <c r="C97" s="40" t="s">
        <v>20</v>
      </c>
      <c r="D97" s="68">
        <v>142</v>
      </c>
      <c r="E97" s="60">
        <v>0.17499999999999999</v>
      </c>
      <c r="F97" s="67">
        <v>76.7</v>
      </c>
      <c r="G97" s="63">
        <v>5.5</v>
      </c>
      <c r="H97" s="261">
        <f>IF(ISBLANK(I97),0,1)</f>
        <v>0</v>
      </c>
      <c r="I97" s="57"/>
      <c r="J97" s="58"/>
      <c r="K97" s="66" t="s">
        <v>360</v>
      </c>
      <c r="L97" s="66" t="s">
        <v>63</v>
      </c>
      <c r="M97" cm="1">
        <f t="array" ref="M97">_xlfn.XLOOKUP(Matrix[[#This Row],[TEAM]]&amp;Matrix[[#Headers],[1]],FDR[FDR]&amp;FDR[[#Headers],[1]],FDR[1],"",0,1)</f>
        <v>3</v>
      </c>
      <c r="N97" cm="1">
        <f t="array" ref="N97">_xlfn.XLOOKUP(Matrix[[#This Row],[TEAM]]&amp;Matrix[[#Headers],[2]],FDR[FDR]&amp;FDR[[#Headers],[2]],FDR[2],"",0,1)</f>
        <v>1</v>
      </c>
      <c r="O97" cm="1">
        <f t="array" ref="O97">_xlfn.XLOOKUP(Matrix[[#This Row],[TEAM]]&amp;Matrix[[#Headers],[3]],FDR[FDR]&amp;FDR[[#Headers],[3]],FDR[3],"",0,1)</f>
        <v>4</v>
      </c>
      <c r="P97" cm="1">
        <f t="array" ref="P97">_xlfn.XLOOKUP(Matrix[[#This Row],[TEAM]]&amp;Matrix[[#Headers],[4]],FDR[FDR]&amp;FDR[[#Headers],[4]],FDR[4],"",0,1)</f>
        <v>1</v>
      </c>
      <c r="Q97" cm="1">
        <f t="array" ref="Q97">_xlfn.XLOOKUP(Matrix[[#This Row],[TEAM]]&amp;Matrix[[#Headers],[5]],FDR[FDR]&amp;FDR[[#Headers],[5]],FDR[5],"",0,1)</f>
        <v>3</v>
      </c>
      <c r="R97" cm="1">
        <f t="array" ref="R97">_xlfn.XLOOKUP(Matrix[[#This Row],[TEAM]]&amp;Matrix[[#Headers],[6]],FDR[FDR]&amp;FDR[[#Headers],[6]],FDR[6],"",0,1)</f>
        <v>3</v>
      </c>
      <c r="S97" cm="1">
        <f t="array" ref="S97">_xlfn.XLOOKUP(Matrix[[#This Row],[TEAM]]&amp;Matrix[[#Headers],[7]],FDR[FDR]&amp;FDR[[#Headers],[7]],FDR[7],"",0,1)</f>
        <v>1</v>
      </c>
      <c r="T97" cm="1">
        <f t="array" ref="T97">_xlfn.XLOOKUP(Matrix[[#This Row],[TEAM]]&amp;Matrix[[#Headers],[8]],FDR[FDR]&amp;FDR[[#Headers],[8]],FDR[8],"",0,1)</f>
        <v>2</v>
      </c>
      <c r="U97" cm="1">
        <f t="array" ref="U97">_xlfn.XLOOKUP(Matrix[[#This Row],[TEAM]]&amp;Matrix[[#Headers],[9]],FDR[FDR]&amp;FDR[[#Headers],[9]],FDR[9],"",0,1)</f>
        <v>1</v>
      </c>
      <c r="V97" cm="1">
        <f t="array" ref="V97">_xlfn.XLOOKUP(Matrix[[#This Row],[TEAM]]&amp;Matrix[[#Headers],[10]],FDR[FDR]&amp;FDR[[#Headers],[10]],FDR[10],"",0,1)</f>
        <v>1</v>
      </c>
      <c r="W97" cm="1">
        <f t="array" ref="W97">_xlfn.XLOOKUP(Matrix[[#This Row],[TEAM]]&amp;Matrix[[#Headers],[11]],FDR[FDR]&amp;FDR[[#Headers],[11]],FDR[11],"",0,1)</f>
        <v>1</v>
      </c>
      <c r="X97" cm="1">
        <f t="array" ref="X97">_xlfn.XLOOKUP(Matrix[[#This Row],[TEAM]]&amp;Matrix[[#Headers],[12]],FDR[FDR]&amp;FDR[[#Headers],[12]],FDR[12],"",0,1)</f>
        <v>2</v>
      </c>
      <c r="Y97" cm="1">
        <f t="array" ref="Y97">_xlfn.XLOOKUP(Matrix[[#This Row],[TEAM]]&amp;Matrix[[#Headers],[13]],FDR[FDR]&amp;FDR[[#Headers],[13]],FDR[13],"",0,1)</f>
        <v>3</v>
      </c>
      <c r="Z97" cm="1">
        <f t="array" ref="Z97">_xlfn.XLOOKUP(Matrix[[#This Row],[TEAM]]&amp;Matrix[[#Headers],[14]],FDR[FDR]&amp;FDR[[#Headers],[14]],FDR[14],"",0,1)</f>
        <v>1</v>
      </c>
      <c r="AA97" cm="1">
        <f t="array" ref="AA97">_xlfn.XLOOKUP(Matrix[[#This Row],[TEAM]]&amp;Matrix[[#Headers],[15]],FDR[FDR]&amp;FDR[[#Headers],[15]],FDR[15],"",0,1)</f>
        <v>3</v>
      </c>
      <c r="AB97" cm="1">
        <f t="array" ref="AB97">_xlfn.XLOOKUP(Matrix[[#This Row],[TEAM]]&amp;Matrix[[#Headers],[16]],FDR[FDR]&amp;FDR[[#Headers],[16]],FDR[16],"",0,1)</f>
        <v>1</v>
      </c>
      <c r="AC97" cm="1">
        <f t="array" ref="AC97">_xlfn.XLOOKUP(Matrix[[#This Row],[TEAM]]&amp;Matrix[[#Headers],[17]],FDR[FDR]&amp;FDR[[#Headers],[17]],FDR[17],"",0,1)</f>
        <v>2</v>
      </c>
      <c r="AD97" cm="1">
        <f t="array" ref="AD97">_xlfn.XLOOKUP(Matrix[[#This Row],[TEAM]]&amp;Matrix[[#Headers],[18]],FDR[FDR]&amp;FDR[[#Headers],[18]],FDR[18],"",0,1)</f>
        <v>1</v>
      </c>
      <c r="AE97" cm="1">
        <f t="array" ref="AE97">_xlfn.XLOOKUP(Matrix[[#This Row],[TEAM]]&amp;Matrix[[#Headers],[19]],FDR[FDR]&amp;FDR[[#Headers],[19]],FDR[19],"",0,1)</f>
        <v>2</v>
      </c>
      <c r="AF97" cm="1">
        <f t="array" ref="AF97">_xlfn.XLOOKUP(Matrix[[#This Row],[TEAM]]&amp;Matrix[[#Headers],[20]],FDR[FDR]&amp;FDR[[#Headers],[20]],FDR[20],"",0,1)</f>
        <v>2</v>
      </c>
      <c r="AG97" cm="1">
        <f t="array" ref="AG97">_xlfn.XLOOKUP(Matrix[[#This Row],[TEAM]]&amp;Matrix[[#Headers],[21]],FDR[FDR]&amp;FDR[[#Headers],[21]],FDR[21],"",0,1)</f>
        <v>3</v>
      </c>
      <c r="AH97" cm="1">
        <f t="array" ref="AH97">_xlfn.XLOOKUP(Matrix[[#This Row],[TEAM]]&amp;Matrix[[#Headers],[22]],FDR[FDR]&amp;FDR[[#Headers],[22]],FDR[22],"",0,1)</f>
        <v>2</v>
      </c>
      <c r="AI97" cm="1">
        <f t="array" ref="AI97">_xlfn.XLOOKUP(Matrix[[#This Row],[TEAM]]&amp;Matrix[[#Headers],[23]],FDR[FDR]&amp;FDR[[#Headers],[23]],FDR[23],"",0,1)</f>
        <v>2</v>
      </c>
      <c r="AJ97" cm="1">
        <f t="array" ref="AJ97">_xlfn.XLOOKUP(Matrix[[#This Row],[TEAM]]&amp;Matrix[[#Headers],[24]],FDR[FDR]&amp;FDR[[#Headers],[24]],FDR[24],"",0,1)</f>
        <v>1</v>
      </c>
      <c r="AK97" cm="1">
        <f t="array" ref="AK97">_xlfn.XLOOKUP(Matrix[[#This Row],[TEAM]]&amp;Matrix[[#Headers],[25]],FDR[FDR]&amp;FDR[[#Headers],[25]],FDR[25],"",0,1)</f>
        <v>1</v>
      </c>
      <c r="AL97" cm="1">
        <f t="array" ref="AL97">_xlfn.XLOOKUP(Matrix[[#This Row],[TEAM]]&amp;Matrix[[#Headers],[26]],FDR[FDR]&amp;FDR[[#Headers],[26]],FDR[26],"",0,1)</f>
        <v>2</v>
      </c>
      <c r="AM97" cm="1">
        <f t="array" ref="AM97">_xlfn.XLOOKUP(Matrix[[#This Row],[TEAM]]&amp;Matrix[[#Headers],[27]],FDR[FDR]&amp;FDR[[#Headers],[27]],FDR[27],"",0,1)</f>
        <v>3</v>
      </c>
      <c r="AN97" cm="1">
        <f t="array" ref="AN97">_xlfn.XLOOKUP(Matrix[[#This Row],[TEAM]]&amp;Matrix[[#Headers],[28]],FDR[FDR]&amp;FDR[[#Headers],[28]],FDR[28],"",0,1)</f>
        <v>2</v>
      </c>
      <c r="AO97" cm="1">
        <f t="array" ref="AO97">_xlfn.XLOOKUP(Matrix[[#This Row],[TEAM]]&amp;Matrix[[#Headers],[29]],FDR[FDR]&amp;FDR[[#Headers],[29]],FDR[29],"",0,1)</f>
        <v>2</v>
      </c>
      <c r="AP97" cm="1">
        <f t="array" ref="AP97">_xlfn.XLOOKUP(Matrix[[#This Row],[TEAM]]&amp;Matrix[[#Headers],[30]],FDR[FDR]&amp;FDR[[#Headers],[30]],FDR[30],"",0,1)</f>
        <v>1</v>
      </c>
      <c r="AQ97" cm="1">
        <f t="array" ref="AQ97">_xlfn.XLOOKUP(Matrix[[#This Row],[TEAM]]&amp;Matrix[[#Headers],[31]],FDR[FDR]&amp;FDR[[#Headers],[31]],FDR[31],"",0,1)</f>
        <v>1</v>
      </c>
      <c r="AR97" cm="1">
        <f t="array" ref="AR97">_xlfn.XLOOKUP(Matrix[[#This Row],[TEAM]]&amp;Matrix[[#Headers],[32]],FDR[FDR]&amp;FDR[[#Headers],[32]],FDR[32],"",0,1)</f>
        <v>1</v>
      </c>
      <c r="AS97" cm="1">
        <f t="array" ref="AS97">_xlfn.XLOOKUP(Matrix[[#This Row],[TEAM]]&amp;Matrix[[#Headers],[33]],FDR[FDR]&amp;FDR[[#Headers],[33]],FDR[33],"",0,1)</f>
        <v>3</v>
      </c>
      <c r="AT97" cm="1">
        <f t="array" ref="AT97">_xlfn.XLOOKUP(Matrix[[#This Row],[TEAM]]&amp;Matrix[[#Headers],[34]],FDR[FDR]&amp;FDR[[#Headers],[34]],FDR[34],"",0,1)</f>
        <v>2</v>
      </c>
      <c r="AU97" cm="1">
        <f t="array" ref="AU97">_xlfn.XLOOKUP(Matrix[[#This Row],[TEAM]]&amp;Matrix[[#Headers],[35]],FDR[FDR]&amp;FDR[[#Headers],[35]],FDR[35],"",0,1)</f>
        <v>1</v>
      </c>
      <c r="AV97" cm="1">
        <f t="array" ref="AV97">_xlfn.XLOOKUP(Matrix[[#This Row],[TEAM]]&amp;Matrix[[#Headers],[36]],FDR[FDR]&amp;FDR[[#Headers],[36]],FDR[36],"",0,1)</f>
        <v>2</v>
      </c>
      <c r="AW97" cm="1">
        <f t="array" ref="AW97">_xlfn.XLOOKUP(Matrix[[#This Row],[TEAM]]&amp;Matrix[[#Headers],[37]],FDR[FDR]&amp;FDR[[#Headers],[37]],FDR[37],"",0,1)</f>
        <v>1</v>
      </c>
      <c r="AX97" cm="1">
        <f t="array" ref="AX97">_xlfn.XLOOKUP(Matrix[[#This Row],[TEAM]]&amp;Matrix[[#Headers],[38]],FDR[FDR]&amp;FDR[[#Headers],[38]],FDR[38],"",0,1)</f>
        <v>2</v>
      </c>
    </row>
    <row r="98" spans="1:50" ht="22" thickTop="1" thickBot="1">
      <c r="A98" s="52" t="s">
        <v>658</v>
      </c>
      <c r="B98" s="70" t="s">
        <v>1386</v>
      </c>
      <c r="C98" s="40" t="s">
        <v>17</v>
      </c>
      <c r="D98" s="68">
        <v>112</v>
      </c>
      <c r="E98" s="60">
        <v>0.11</v>
      </c>
      <c r="F98" s="67">
        <v>64</v>
      </c>
      <c r="G98" s="63">
        <v>5.5</v>
      </c>
      <c r="H98" s="261">
        <f>IF(ISBLANK(I98),0,1)</f>
        <v>0</v>
      </c>
      <c r="I98" s="57"/>
      <c r="J98" s="58"/>
      <c r="K98" s="66" t="s">
        <v>64</v>
      </c>
      <c r="L98" s="66" t="s">
        <v>1078</v>
      </c>
      <c r="M98" cm="1">
        <f t="array" ref="M98">_xlfn.XLOOKUP(Matrix[[#This Row],[TEAM]]&amp;Matrix[[#Headers],[1]],FDR[FDR]&amp;FDR[[#Headers],[1]],FDR[1],"",0,1)</f>
        <v>1</v>
      </c>
      <c r="N98" cm="1">
        <f t="array" ref="N98">_xlfn.XLOOKUP(Matrix[[#This Row],[TEAM]]&amp;Matrix[[#Headers],[2]],FDR[FDR]&amp;FDR[[#Headers],[2]],FDR[2],"",0,1)</f>
        <v>3</v>
      </c>
      <c r="O98" cm="1">
        <f t="array" ref="O98">_xlfn.XLOOKUP(Matrix[[#This Row],[TEAM]]&amp;Matrix[[#Headers],[3]],FDR[FDR]&amp;FDR[[#Headers],[3]],FDR[3],"",0,1)</f>
        <v>3</v>
      </c>
      <c r="P98" cm="1">
        <f t="array" ref="P98">_xlfn.XLOOKUP(Matrix[[#This Row],[TEAM]]&amp;Matrix[[#Headers],[4]],FDR[FDR]&amp;FDR[[#Headers],[4]],FDR[4],"",0,1)</f>
        <v>1</v>
      </c>
      <c r="Q98" cm="1">
        <f t="array" ref="Q98">_xlfn.XLOOKUP(Matrix[[#This Row],[TEAM]]&amp;Matrix[[#Headers],[5]],FDR[FDR]&amp;FDR[[#Headers],[5]],FDR[5],"",0,1)</f>
        <v>1</v>
      </c>
      <c r="R98" cm="1">
        <f t="array" ref="R98">_xlfn.XLOOKUP(Matrix[[#This Row],[TEAM]]&amp;Matrix[[#Headers],[6]],FDR[FDR]&amp;FDR[[#Headers],[6]],FDR[6],"",0,1)</f>
        <v>2</v>
      </c>
      <c r="S98" cm="1">
        <f t="array" ref="S98">_xlfn.XLOOKUP(Matrix[[#This Row],[TEAM]]&amp;Matrix[[#Headers],[7]],FDR[FDR]&amp;FDR[[#Headers],[7]],FDR[7],"",0,1)</f>
        <v>3</v>
      </c>
      <c r="T98" cm="1">
        <f t="array" ref="T98">_xlfn.XLOOKUP(Matrix[[#This Row],[TEAM]]&amp;Matrix[[#Headers],[8]],FDR[FDR]&amp;FDR[[#Headers],[8]],FDR[8],"",0,1)</f>
        <v>2</v>
      </c>
      <c r="U98" cm="1">
        <f t="array" ref="U98">_xlfn.XLOOKUP(Matrix[[#This Row],[TEAM]]&amp;Matrix[[#Headers],[9]],FDR[FDR]&amp;FDR[[#Headers],[9]],FDR[9],"",0,1)</f>
        <v>2</v>
      </c>
      <c r="V98" cm="1">
        <f t="array" ref="V98">_xlfn.XLOOKUP(Matrix[[#This Row],[TEAM]]&amp;Matrix[[#Headers],[10]],FDR[FDR]&amp;FDR[[#Headers],[10]],FDR[10],"",0,1)</f>
        <v>2</v>
      </c>
      <c r="W98" cm="1">
        <f t="array" ref="W98">_xlfn.XLOOKUP(Matrix[[#This Row],[TEAM]]&amp;Matrix[[#Headers],[11]],FDR[FDR]&amp;FDR[[#Headers],[11]],FDR[11],"",0,1)</f>
        <v>3</v>
      </c>
      <c r="X98" cm="1">
        <f t="array" ref="X98">_xlfn.XLOOKUP(Matrix[[#This Row],[TEAM]]&amp;Matrix[[#Headers],[12]],FDR[FDR]&amp;FDR[[#Headers],[12]],FDR[12],"",0,1)</f>
        <v>1</v>
      </c>
      <c r="Y98" cm="1">
        <f t="array" ref="Y98">_xlfn.XLOOKUP(Matrix[[#This Row],[TEAM]]&amp;Matrix[[#Headers],[13]],FDR[FDR]&amp;FDR[[#Headers],[13]],FDR[13],"",0,1)</f>
        <v>2</v>
      </c>
      <c r="Z98" cm="1">
        <f t="array" ref="Z98">_xlfn.XLOOKUP(Matrix[[#This Row],[TEAM]]&amp;Matrix[[#Headers],[14]],FDR[FDR]&amp;FDR[[#Headers],[14]],FDR[14],"",0,1)</f>
        <v>1</v>
      </c>
      <c r="AA98" cm="1">
        <f t="array" ref="AA98">_xlfn.XLOOKUP(Matrix[[#This Row],[TEAM]]&amp;Matrix[[#Headers],[15]],FDR[FDR]&amp;FDR[[#Headers],[15]],FDR[15],"",0,1)</f>
        <v>1</v>
      </c>
      <c r="AB98" cm="1">
        <f t="array" ref="AB98">_xlfn.XLOOKUP(Matrix[[#This Row],[TEAM]]&amp;Matrix[[#Headers],[16]],FDR[FDR]&amp;FDR[[#Headers],[16]],FDR[16],"",0,1)</f>
        <v>1</v>
      </c>
      <c r="AC98" cm="1">
        <f t="array" ref="AC98">_xlfn.XLOOKUP(Matrix[[#This Row],[TEAM]]&amp;Matrix[[#Headers],[17]],FDR[FDR]&amp;FDR[[#Headers],[17]],FDR[17],"",0,1)</f>
        <v>3</v>
      </c>
      <c r="AD98" cm="1">
        <f t="array" ref="AD98">_xlfn.XLOOKUP(Matrix[[#This Row],[TEAM]]&amp;Matrix[[#Headers],[18]],FDR[FDR]&amp;FDR[[#Headers],[18]],FDR[18],"",0,1)</f>
        <v>1</v>
      </c>
      <c r="AE98" cm="1">
        <f t="array" ref="AE98">_xlfn.XLOOKUP(Matrix[[#This Row],[TEAM]]&amp;Matrix[[#Headers],[19]],FDR[FDR]&amp;FDR[[#Headers],[19]],FDR[19],"",0,1)</f>
        <v>1</v>
      </c>
      <c r="AF98" cm="1">
        <f t="array" ref="AF98">_xlfn.XLOOKUP(Matrix[[#This Row],[TEAM]]&amp;Matrix[[#Headers],[20]],FDR[FDR]&amp;FDR[[#Headers],[20]],FDR[20],"",0,1)</f>
        <v>2</v>
      </c>
      <c r="AG98" cm="1">
        <f t="array" ref="AG98">_xlfn.XLOOKUP(Matrix[[#This Row],[TEAM]]&amp;Matrix[[#Headers],[21]],FDR[FDR]&amp;FDR[[#Headers],[21]],FDR[21],"",0,1)</f>
        <v>3</v>
      </c>
      <c r="AH98" cm="1">
        <f t="array" ref="AH98">_xlfn.XLOOKUP(Matrix[[#This Row],[TEAM]]&amp;Matrix[[#Headers],[22]],FDR[FDR]&amp;FDR[[#Headers],[22]],FDR[22],"",0,1)</f>
        <v>1</v>
      </c>
      <c r="AI98" cm="1">
        <f t="array" ref="AI98">_xlfn.XLOOKUP(Matrix[[#This Row],[TEAM]]&amp;Matrix[[#Headers],[23]],FDR[FDR]&amp;FDR[[#Headers],[23]],FDR[23],"",0,1)</f>
        <v>2</v>
      </c>
      <c r="AJ98" cm="1">
        <f t="array" ref="AJ98">_xlfn.XLOOKUP(Matrix[[#This Row],[TEAM]]&amp;Matrix[[#Headers],[24]],FDR[FDR]&amp;FDR[[#Headers],[24]],FDR[24],"",0,1)</f>
        <v>2</v>
      </c>
      <c r="AK98" cm="1">
        <f t="array" ref="AK98">_xlfn.XLOOKUP(Matrix[[#This Row],[TEAM]]&amp;Matrix[[#Headers],[25]],FDR[FDR]&amp;FDR[[#Headers],[25]],FDR[25],"",0,1)</f>
        <v>3</v>
      </c>
      <c r="AL98" cm="1">
        <f t="array" ref="AL98">_xlfn.XLOOKUP(Matrix[[#This Row],[TEAM]]&amp;Matrix[[#Headers],[26]],FDR[FDR]&amp;FDR[[#Headers],[26]],FDR[26],"",0,1)</f>
        <v>1</v>
      </c>
      <c r="AM98" cm="1">
        <f t="array" ref="AM98">_xlfn.XLOOKUP(Matrix[[#This Row],[TEAM]]&amp;Matrix[[#Headers],[27]],FDR[FDR]&amp;FDR[[#Headers],[27]],FDR[27],"",0,1)</f>
        <v>2</v>
      </c>
      <c r="AN98" cm="1">
        <f t="array" ref="AN98">_xlfn.XLOOKUP(Matrix[[#This Row],[TEAM]]&amp;Matrix[[#Headers],[28]],FDR[FDR]&amp;FDR[[#Headers],[28]],FDR[28],"",0,1)</f>
        <v>1</v>
      </c>
      <c r="AO98" cm="1">
        <f t="array" ref="AO98">_xlfn.XLOOKUP(Matrix[[#This Row],[TEAM]]&amp;Matrix[[#Headers],[29]],FDR[FDR]&amp;FDR[[#Headers],[29]],FDR[29],"",0,1)</f>
        <v>1</v>
      </c>
      <c r="AP98" cm="1">
        <f t="array" ref="AP98">_xlfn.XLOOKUP(Matrix[[#This Row],[TEAM]]&amp;Matrix[[#Headers],[30]],FDR[FDR]&amp;FDR[[#Headers],[30]],FDR[30],"",0,1)</f>
        <v>2</v>
      </c>
      <c r="AQ98" cm="1">
        <f t="array" ref="AQ98">_xlfn.XLOOKUP(Matrix[[#This Row],[TEAM]]&amp;Matrix[[#Headers],[31]],FDR[FDR]&amp;FDR[[#Headers],[31]],FDR[31],"",0,1)</f>
        <v>2</v>
      </c>
      <c r="AR98" cm="1">
        <f t="array" ref="AR98">_xlfn.XLOOKUP(Matrix[[#This Row],[TEAM]]&amp;Matrix[[#Headers],[32]],FDR[FDR]&amp;FDR[[#Headers],[32]],FDR[32],"",0,1)</f>
        <v>1</v>
      </c>
      <c r="AS98" cm="1">
        <f t="array" ref="AS98">_xlfn.XLOOKUP(Matrix[[#This Row],[TEAM]]&amp;Matrix[[#Headers],[33]],FDR[FDR]&amp;FDR[[#Headers],[33]],FDR[33],"",0,1)</f>
        <v>2</v>
      </c>
      <c r="AT98" cm="1">
        <f t="array" ref="AT98">_xlfn.XLOOKUP(Matrix[[#This Row],[TEAM]]&amp;Matrix[[#Headers],[34]],FDR[FDR]&amp;FDR[[#Headers],[34]],FDR[34],"",0,1)</f>
        <v>1</v>
      </c>
      <c r="AU98" cm="1">
        <f t="array" ref="AU98">_xlfn.XLOOKUP(Matrix[[#This Row],[TEAM]]&amp;Matrix[[#Headers],[35]],FDR[FDR]&amp;FDR[[#Headers],[35]],FDR[35],"",0,1)</f>
        <v>3</v>
      </c>
      <c r="AV98" cm="1">
        <f t="array" ref="AV98">_xlfn.XLOOKUP(Matrix[[#This Row],[TEAM]]&amp;Matrix[[#Headers],[36]],FDR[FDR]&amp;FDR[[#Headers],[36]],FDR[36],"",0,1)</f>
        <v>2</v>
      </c>
      <c r="AW98" cm="1">
        <f t="array" ref="AW98">_xlfn.XLOOKUP(Matrix[[#This Row],[TEAM]]&amp;Matrix[[#Headers],[37]],FDR[FDR]&amp;FDR[[#Headers],[37]],FDR[37],"",0,1)</f>
        <v>3</v>
      </c>
      <c r="AX98" cm="1">
        <f t="array" ref="AX98">_xlfn.XLOOKUP(Matrix[[#This Row],[TEAM]]&amp;Matrix[[#Headers],[38]],FDR[FDR]&amp;FDR[[#Headers],[38]],FDR[38],"",0,1)</f>
        <v>1</v>
      </c>
    </row>
    <row r="99" spans="1:50" ht="22" thickTop="1" thickBot="1">
      <c r="A99" s="51" t="s">
        <v>657</v>
      </c>
      <c r="B99" s="70" t="s">
        <v>1388</v>
      </c>
      <c r="C99" s="40" t="s">
        <v>52</v>
      </c>
      <c r="D99" s="62">
        <v>145</v>
      </c>
      <c r="E99" s="60">
        <v>9.7000000000000003E-2</v>
      </c>
      <c r="F99" s="61">
        <v>127.2</v>
      </c>
      <c r="G99" s="63">
        <v>5.5</v>
      </c>
      <c r="H99" s="261">
        <f>IF(ISBLANK(I99),0,1)</f>
        <v>0</v>
      </c>
      <c r="I99" s="57"/>
      <c r="J99" s="58"/>
      <c r="K99" s="65" t="s">
        <v>616</v>
      </c>
      <c r="L99" s="65" t="s">
        <v>795</v>
      </c>
      <c r="M99" cm="1">
        <f t="array" ref="M99">_xlfn.XLOOKUP(Matrix[[#This Row],[TEAM]]&amp;Matrix[[#Headers],[1]],FDR[FDR]&amp;FDR[[#Headers],[1]],FDR[1],"",0,1)</f>
        <v>2</v>
      </c>
      <c r="N99" cm="1">
        <f t="array" ref="N99">_xlfn.XLOOKUP(Matrix[[#This Row],[TEAM]]&amp;Matrix[[#Headers],[2]],FDR[FDR]&amp;FDR[[#Headers],[2]],FDR[2],"",0,1)</f>
        <v>3</v>
      </c>
      <c r="O99" cm="1">
        <f t="array" ref="O99">_xlfn.XLOOKUP(Matrix[[#This Row],[TEAM]]&amp;Matrix[[#Headers],[3]],FDR[FDR]&amp;FDR[[#Headers],[3]],FDR[3],"",0,1)</f>
        <v>2</v>
      </c>
      <c r="P99" cm="1">
        <f t="array" ref="P99">_xlfn.XLOOKUP(Matrix[[#This Row],[TEAM]]&amp;Matrix[[#Headers],[4]],FDR[FDR]&amp;FDR[[#Headers],[4]],FDR[4],"",0,1)</f>
        <v>5</v>
      </c>
      <c r="Q99" cm="1">
        <f t="array" ref="Q99">_xlfn.XLOOKUP(Matrix[[#This Row],[TEAM]]&amp;Matrix[[#Headers],[5]],FDR[FDR]&amp;FDR[[#Headers],[5]],FDR[5],"",0,1)</f>
        <v>2</v>
      </c>
      <c r="R99" cm="1">
        <f t="array" ref="R99">_xlfn.XLOOKUP(Matrix[[#This Row],[TEAM]]&amp;Matrix[[#Headers],[6]],FDR[FDR]&amp;FDR[[#Headers],[6]],FDR[6],"",0,1)</f>
        <v>1</v>
      </c>
      <c r="S99" cm="1">
        <f t="array" ref="S99">_xlfn.XLOOKUP(Matrix[[#This Row],[TEAM]]&amp;Matrix[[#Headers],[7]],FDR[FDR]&amp;FDR[[#Headers],[7]],FDR[7],"",0,1)</f>
        <v>5</v>
      </c>
      <c r="T99" cm="1">
        <f t="array" ref="T99">_xlfn.XLOOKUP(Matrix[[#This Row],[TEAM]]&amp;Matrix[[#Headers],[8]],FDR[FDR]&amp;FDR[[#Headers],[8]],FDR[8],"",0,1)</f>
        <v>4</v>
      </c>
      <c r="U99" cm="1">
        <f t="array" ref="U99">_xlfn.XLOOKUP(Matrix[[#This Row],[TEAM]]&amp;Matrix[[#Headers],[9]],FDR[FDR]&amp;FDR[[#Headers],[9]],FDR[9],"",0,1)</f>
        <v>4</v>
      </c>
      <c r="V99" cm="1">
        <f t="array" ref="V99">_xlfn.XLOOKUP(Matrix[[#This Row],[TEAM]]&amp;Matrix[[#Headers],[10]],FDR[FDR]&amp;FDR[[#Headers],[10]],FDR[10],"",0,1)</f>
        <v>4</v>
      </c>
      <c r="W99" cm="1">
        <f t="array" ref="W99">_xlfn.XLOOKUP(Matrix[[#This Row],[TEAM]]&amp;Matrix[[#Headers],[11]],FDR[FDR]&amp;FDR[[#Headers],[11]],FDR[11],"",0,1)</f>
        <v>1</v>
      </c>
      <c r="X99" cm="1">
        <f t="array" ref="X99">_xlfn.XLOOKUP(Matrix[[#This Row],[TEAM]]&amp;Matrix[[#Headers],[12]],FDR[FDR]&amp;FDR[[#Headers],[12]],FDR[12],"",0,1)</f>
        <v>5</v>
      </c>
      <c r="Y99" cm="1">
        <f t="array" ref="Y99">_xlfn.XLOOKUP(Matrix[[#This Row],[TEAM]]&amp;Matrix[[#Headers],[13]],FDR[FDR]&amp;FDR[[#Headers],[13]],FDR[13],"",0,1)</f>
        <v>3</v>
      </c>
      <c r="Z99" cm="1">
        <f t="array" ref="Z99">_xlfn.XLOOKUP(Matrix[[#This Row],[TEAM]]&amp;Matrix[[#Headers],[14]],FDR[FDR]&amp;FDR[[#Headers],[14]],FDR[14],"",0,1)</f>
        <v>2</v>
      </c>
      <c r="AA99" cm="1">
        <f t="array" ref="AA99">_xlfn.XLOOKUP(Matrix[[#This Row],[TEAM]]&amp;Matrix[[#Headers],[15]],FDR[FDR]&amp;FDR[[#Headers],[15]],FDR[15],"",0,1)</f>
        <v>3</v>
      </c>
      <c r="AB99" cm="1">
        <f t="array" ref="AB99">_xlfn.XLOOKUP(Matrix[[#This Row],[TEAM]]&amp;Matrix[[#Headers],[16]],FDR[FDR]&amp;FDR[[#Headers],[16]],FDR[16],"",0,1)</f>
        <v>4</v>
      </c>
      <c r="AC99" cm="1">
        <f t="array" ref="AC99">_xlfn.XLOOKUP(Matrix[[#This Row],[TEAM]]&amp;Matrix[[#Headers],[17]],FDR[FDR]&amp;FDR[[#Headers],[17]],FDR[17],"",0,1)</f>
        <v>4</v>
      </c>
      <c r="AD99" cm="1">
        <f t="array" ref="AD99">_xlfn.XLOOKUP(Matrix[[#This Row],[TEAM]]&amp;Matrix[[#Headers],[18]],FDR[FDR]&amp;FDR[[#Headers],[18]],FDR[18],"",0,1)</f>
        <v>4</v>
      </c>
      <c r="AE99" cm="1">
        <f t="array" ref="AE99">_xlfn.XLOOKUP(Matrix[[#This Row],[TEAM]]&amp;Matrix[[#Headers],[19]],FDR[FDR]&amp;FDR[[#Headers],[19]],FDR[19],"",0,1)</f>
        <v>2</v>
      </c>
      <c r="AF99" cm="1">
        <f t="array" ref="AF99">_xlfn.XLOOKUP(Matrix[[#This Row],[TEAM]]&amp;Matrix[[#Headers],[20]],FDR[FDR]&amp;FDR[[#Headers],[20]],FDR[20],"",0,1)</f>
        <v>5</v>
      </c>
      <c r="AG99" cm="1">
        <f t="array" ref="AG99">_xlfn.XLOOKUP(Matrix[[#This Row],[TEAM]]&amp;Matrix[[#Headers],[21]],FDR[FDR]&amp;FDR[[#Headers],[21]],FDR[21],"",0,1)</f>
        <v>3</v>
      </c>
      <c r="AH99" cm="1">
        <f t="array" ref="AH99">_xlfn.XLOOKUP(Matrix[[#This Row],[TEAM]]&amp;Matrix[[#Headers],[22]],FDR[FDR]&amp;FDR[[#Headers],[22]],FDR[22],"",0,1)</f>
        <v>4</v>
      </c>
      <c r="AI99" cm="1">
        <f t="array" ref="AI99">_xlfn.XLOOKUP(Matrix[[#This Row],[TEAM]]&amp;Matrix[[#Headers],[23]],FDR[FDR]&amp;FDR[[#Headers],[23]],FDR[23],"",0,1)</f>
        <v>3</v>
      </c>
      <c r="AJ99" cm="1">
        <f t="array" ref="AJ99">_xlfn.XLOOKUP(Matrix[[#This Row],[TEAM]]&amp;Matrix[[#Headers],[24]],FDR[FDR]&amp;FDR[[#Headers],[24]],FDR[24],"",0,1)</f>
        <v>2</v>
      </c>
      <c r="AK99" cm="1">
        <f t="array" ref="AK99">_xlfn.XLOOKUP(Matrix[[#This Row],[TEAM]]&amp;Matrix[[#Headers],[25]],FDR[FDR]&amp;FDR[[#Headers],[25]],FDR[25],"",0,1)</f>
        <v>2</v>
      </c>
      <c r="AL99" cm="1">
        <f t="array" ref="AL99">_xlfn.XLOOKUP(Matrix[[#This Row],[TEAM]]&amp;Matrix[[#Headers],[26]],FDR[FDR]&amp;FDR[[#Headers],[26]],FDR[26],"",0,1)</f>
        <v>1</v>
      </c>
      <c r="AM99" cm="1">
        <f t="array" ref="AM99">_xlfn.XLOOKUP(Matrix[[#This Row],[TEAM]]&amp;Matrix[[#Headers],[27]],FDR[FDR]&amp;FDR[[#Headers],[27]],FDR[27],"",0,1)</f>
        <v>4</v>
      </c>
      <c r="AN99" cm="1">
        <f t="array" ref="AN99">_xlfn.XLOOKUP(Matrix[[#This Row],[TEAM]]&amp;Matrix[[#Headers],[28]],FDR[FDR]&amp;FDR[[#Headers],[28]],FDR[28],"",0,1)</f>
        <v>4</v>
      </c>
      <c r="AO99" cm="1">
        <f t="array" ref="AO99">_xlfn.XLOOKUP(Matrix[[#This Row],[TEAM]]&amp;Matrix[[#Headers],[29]],FDR[FDR]&amp;FDR[[#Headers],[29]],FDR[29],"",0,1)</f>
        <v>5</v>
      </c>
      <c r="AP99" cm="1">
        <f t="array" ref="AP99">_xlfn.XLOOKUP(Matrix[[#This Row],[TEAM]]&amp;Matrix[[#Headers],[30]],FDR[FDR]&amp;FDR[[#Headers],[30]],FDR[30],"",0,1)</f>
        <v>3</v>
      </c>
      <c r="AQ99" cm="1">
        <f t="array" ref="AQ99">_xlfn.XLOOKUP(Matrix[[#This Row],[TEAM]]&amp;Matrix[[#Headers],[31]],FDR[FDR]&amp;FDR[[#Headers],[31]],FDR[31],"",0,1)</f>
        <v>5</v>
      </c>
      <c r="AR99" cm="1">
        <f t="array" ref="AR99">_xlfn.XLOOKUP(Matrix[[#This Row],[TEAM]]&amp;Matrix[[#Headers],[32]],FDR[FDR]&amp;FDR[[#Headers],[32]],FDR[32],"",0,1)</f>
        <v>3</v>
      </c>
      <c r="AS99" cm="1">
        <f t="array" ref="AS99">_xlfn.XLOOKUP(Matrix[[#This Row],[TEAM]]&amp;Matrix[[#Headers],[33]],FDR[FDR]&amp;FDR[[#Headers],[33]],FDR[33],"",0,1)</f>
        <v>1</v>
      </c>
      <c r="AT99" cm="1">
        <f t="array" ref="AT99">_xlfn.XLOOKUP(Matrix[[#This Row],[TEAM]]&amp;Matrix[[#Headers],[34]],FDR[FDR]&amp;FDR[[#Headers],[34]],FDR[34],"",0,1)</f>
        <v>2</v>
      </c>
      <c r="AU99" cm="1">
        <f t="array" ref="AU99">_xlfn.XLOOKUP(Matrix[[#This Row],[TEAM]]&amp;Matrix[[#Headers],[35]],FDR[FDR]&amp;FDR[[#Headers],[35]],FDR[35],"",0,1)</f>
        <v>5</v>
      </c>
      <c r="AV99" cm="1">
        <f t="array" ref="AV99">_xlfn.XLOOKUP(Matrix[[#This Row],[TEAM]]&amp;Matrix[[#Headers],[36]],FDR[FDR]&amp;FDR[[#Headers],[36]],FDR[36],"",0,1)</f>
        <v>4</v>
      </c>
      <c r="AW99" cm="1">
        <f t="array" ref="AW99">_xlfn.XLOOKUP(Matrix[[#This Row],[TEAM]]&amp;Matrix[[#Headers],[37]],FDR[FDR]&amp;FDR[[#Headers],[37]],FDR[37],"",0,1)</f>
        <v>5</v>
      </c>
      <c r="AX99" cm="1">
        <f t="array" ref="AX99">_xlfn.XLOOKUP(Matrix[[#This Row],[TEAM]]&amp;Matrix[[#Headers],[38]],FDR[FDR]&amp;FDR[[#Headers],[38]],FDR[38],"",0,1)</f>
        <v>3</v>
      </c>
    </row>
    <row r="100" spans="1:50" ht="22" thickTop="1" thickBot="1">
      <c r="A100" s="51" t="s">
        <v>657</v>
      </c>
      <c r="B100" s="70" t="s">
        <v>1389</v>
      </c>
      <c r="C100" s="40" t="s">
        <v>26</v>
      </c>
      <c r="D100" s="62">
        <v>142</v>
      </c>
      <c r="E100" s="60">
        <v>9.1999999999999998E-2</v>
      </c>
      <c r="F100" s="61">
        <v>197.6</v>
      </c>
      <c r="G100" s="63">
        <v>5.5</v>
      </c>
      <c r="H100" s="261">
        <f>IF(ISBLANK(I100),0,1)</f>
        <v>0</v>
      </c>
      <c r="I100" s="57"/>
      <c r="J100" s="58"/>
      <c r="K100" s="65" t="s">
        <v>441</v>
      </c>
      <c r="L100" s="65" t="s">
        <v>778</v>
      </c>
      <c r="M100" cm="1">
        <f t="array" ref="M100">_xlfn.XLOOKUP(Matrix[[#This Row],[TEAM]]&amp;Matrix[[#Headers],[1]],FDR[FDR]&amp;FDR[[#Headers],[1]],FDR[1],"",0,1)</f>
        <v>5</v>
      </c>
      <c r="N100" cm="1">
        <f t="array" ref="N100">_xlfn.XLOOKUP(Matrix[[#This Row],[TEAM]]&amp;Matrix[[#Headers],[2]],FDR[FDR]&amp;FDR[[#Headers],[2]],FDR[2],"",0,1)</f>
        <v>3</v>
      </c>
      <c r="O100" cm="1">
        <f t="array" ref="O100">_xlfn.XLOOKUP(Matrix[[#This Row],[TEAM]]&amp;Matrix[[#Headers],[3]],FDR[FDR]&amp;FDR[[#Headers],[3]],FDR[3],"",0,1)</f>
        <v>5</v>
      </c>
      <c r="P100" cm="1">
        <f t="array" ref="P100">_xlfn.XLOOKUP(Matrix[[#This Row],[TEAM]]&amp;Matrix[[#Headers],[4]],FDR[FDR]&amp;FDR[[#Headers],[4]],FDR[4],"",0,1)</f>
        <v>1</v>
      </c>
      <c r="Q100" cm="1">
        <f t="array" ref="Q100">_xlfn.XLOOKUP(Matrix[[#This Row],[TEAM]]&amp;Matrix[[#Headers],[5]],FDR[FDR]&amp;FDR[[#Headers],[5]],FDR[5],"",0,1)</f>
        <v>4</v>
      </c>
      <c r="R100" cm="1">
        <f t="array" ref="R100">_xlfn.XLOOKUP(Matrix[[#This Row],[TEAM]]&amp;Matrix[[#Headers],[6]],FDR[FDR]&amp;FDR[[#Headers],[6]],FDR[6],"",0,1)</f>
        <v>4</v>
      </c>
      <c r="S100" cm="1">
        <f t="array" ref="S100">_xlfn.XLOOKUP(Matrix[[#This Row],[TEAM]]&amp;Matrix[[#Headers],[7]],FDR[FDR]&amp;FDR[[#Headers],[7]],FDR[7],"",0,1)</f>
        <v>4</v>
      </c>
      <c r="T100" cm="1">
        <f t="array" ref="T100">_xlfn.XLOOKUP(Matrix[[#This Row],[TEAM]]&amp;Matrix[[#Headers],[8]],FDR[FDR]&amp;FDR[[#Headers],[8]],FDR[8],"",0,1)</f>
        <v>3</v>
      </c>
      <c r="U100" cm="1">
        <f t="array" ref="U100">_xlfn.XLOOKUP(Matrix[[#This Row],[TEAM]]&amp;Matrix[[#Headers],[9]],FDR[FDR]&amp;FDR[[#Headers],[9]],FDR[9],"",0,1)</f>
        <v>5</v>
      </c>
      <c r="V100" cm="1">
        <f t="array" ref="V100">_xlfn.XLOOKUP(Matrix[[#This Row],[TEAM]]&amp;Matrix[[#Headers],[10]],FDR[FDR]&amp;FDR[[#Headers],[10]],FDR[10],"",0,1)</f>
        <v>3</v>
      </c>
      <c r="W100" cm="1">
        <f t="array" ref="W100">_xlfn.XLOOKUP(Matrix[[#This Row],[TEAM]]&amp;Matrix[[#Headers],[11]],FDR[FDR]&amp;FDR[[#Headers],[11]],FDR[11],"",0,1)</f>
        <v>3</v>
      </c>
      <c r="X100" cm="1">
        <f t="array" ref="X100">_xlfn.XLOOKUP(Matrix[[#This Row],[TEAM]]&amp;Matrix[[#Headers],[12]],FDR[FDR]&amp;FDR[[#Headers],[12]],FDR[12],"",0,1)</f>
        <v>2</v>
      </c>
      <c r="Y100" cm="1">
        <f t="array" ref="Y100">_xlfn.XLOOKUP(Matrix[[#This Row],[TEAM]]&amp;Matrix[[#Headers],[13]],FDR[FDR]&amp;FDR[[#Headers],[13]],FDR[13],"",0,1)</f>
        <v>4</v>
      </c>
      <c r="Z100" cm="1">
        <f t="array" ref="Z100">_xlfn.XLOOKUP(Matrix[[#This Row],[TEAM]]&amp;Matrix[[#Headers],[14]],FDR[FDR]&amp;FDR[[#Headers],[14]],FDR[14],"",0,1)</f>
        <v>2</v>
      </c>
      <c r="AA100" cm="1">
        <f t="array" ref="AA100">_xlfn.XLOOKUP(Matrix[[#This Row],[TEAM]]&amp;Matrix[[#Headers],[15]],FDR[FDR]&amp;FDR[[#Headers],[15]],FDR[15],"",0,1)</f>
        <v>4</v>
      </c>
      <c r="AB100" cm="1">
        <f t="array" ref="AB100">_xlfn.XLOOKUP(Matrix[[#This Row],[TEAM]]&amp;Matrix[[#Headers],[16]],FDR[FDR]&amp;FDR[[#Headers],[16]],FDR[16],"",0,1)</f>
        <v>4</v>
      </c>
      <c r="AC100" cm="1">
        <f t="array" ref="AC100">_xlfn.XLOOKUP(Matrix[[#This Row],[TEAM]]&amp;Matrix[[#Headers],[17]],FDR[FDR]&amp;FDR[[#Headers],[17]],FDR[17],"",0,1)</f>
        <v>2</v>
      </c>
      <c r="AD100" cm="1">
        <f t="array" ref="AD100">_xlfn.XLOOKUP(Matrix[[#This Row],[TEAM]]&amp;Matrix[[#Headers],[18]],FDR[FDR]&amp;FDR[[#Headers],[18]],FDR[18],"",0,1)</f>
        <v>4</v>
      </c>
      <c r="AE100" cm="1">
        <f t="array" ref="AE100">_xlfn.XLOOKUP(Matrix[[#This Row],[TEAM]]&amp;Matrix[[#Headers],[19]],FDR[FDR]&amp;FDR[[#Headers],[19]],FDR[19],"",0,1)</f>
        <v>3</v>
      </c>
      <c r="AF100" cm="1">
        <f t="array" ref="AF100">_xlfn.XLOOKUP(Matrix[[#This Row],[TEAM]]&amp;Matrix[[#Headers],[20]],FDR[FDR]&amp;FDR[[#Headers],[20]],FDR[20],"",0,1)</f>
        <v>5</v>
      </c>
      <c r="AG100" cm="1">
        <f t="array" ref="AG100">_xlfn.XLOOKUP(Matrix[[#This Row],[TEAM]]&amp;Matrix[[#Headers],[21]],FDR[FDR]&amp;FDR[[#Headers],[21]],FDR[21],"",0,1)</f>
        <v>4</v>
      </c>
      <c r="AH100" cm="1">
        <f t="array" ref="AH100">_xlfn.XLOOKUP(Matrix[[#This Row],[TEAM]]&amp;Matrix[[#Headers],[22]],FDR[FDR]&amp;FDR[[#Headers],[22]],FDR[22],"",0,1)</f>
        <v>2</v>
      </c>
      <c r="AI100" cm="1">
        <f t="array" ref="AI100">_xlfn.XLOOKUP(Matrix[[#This Row],[TEAM]]&amp;Matrix[[#Headers],[23]],FDR[FDR]&amp;FDR[[#Headers],[23]],FDR[23],"",0,1)</f>
        <v>4</v>
      </c>
      <c r="AJ100" cm="1">
        <f t="array" ref="AJ100">_xlfn.XLOOKUP(Matrix[[#This Row],[TEAM]]&amp;Matrix[[#Headers],[24]],FDR[FDR]&amp;FDR[[#Headers],[24]],FDR[24],"",0,1)</f>
        <v>4</v>
      </c>
      <c r="AK100" cm="1">
        <f t="array" ref="AK100">_xlfn.XLOOKUP(Matrix[[#This Row],[TEAM]]&amp;Matrix[[#Headers],[25]],FDR[FDR]&amp;FDR[[#Headers],[25]],FDR[25],"",0,1)</f>
        <v>4</v>
      </c>
      <c r="AL100" cm="1">
        <f t="array" ref="AL100">_xlfn.XLOOKUP(Matrix[[#This Row],[TEAM]]&amp;Matrix[[#Headers],[26]],FDR[FDR]&amp;FDR[[#Headers],[26]],FDR[26],"",0,1)</f>
        <v>1</v>
      </c>
      <c r="AM100" cm="1">
        <f t="array" ref="AM100">_xlfn.XLOOKUP(Matrix[[#This Row],[TEAM]]&amp;Matrix[[#Headers],[27]],FDR[FDR]&amp;FDR[[#Headers],[27]],FDR[27],"",0,1)</f>
        <v>2</v>
      </c>
      <c r="AN100" cm="1">
        <f t="array" ref="AN100">_xlfn.XLOOKUP(Matrix[[#This Row],[TEAM]]&amp;Matrix[[#Headers],[28]],FDR[FDR]&amp;FDR[[#Headers],[28]],FDR[28],"",0,1)</f>
        <v>5</v>
      </c>
      <c r="AO100" cm="1">
        <f t="array" ref="AO100">_xlfn.XLOOKUP(Matrix[[#This Row],[TEAM]]&amp;Matrix[[#Headers],[29]],FDR[FDR]&amp;FDR[[#Headers],[29]],FDR[29],"",0,1)</f>
        <v>5</v>
      </c>
      <c r="AP100" cm="1">
        <f t="array" ref="AP100">_xlfn.XLOOKUP(Matrix[[#This Row],[TEAM]]&amp;Matrix[[#Headers],[30]],FDR[FDR]&amp;FDR[[#Headers],[30]],FDR[30],"",0,1)</f>
        <v>1</v>
      </c>
      <c r="AQ100" cm="1">
        <f t="array" ref="AQ100">_xlfn.XLOOKUP(Matrix[[#This Row],[TEAM]]&amp;Matrix[[#Headers],[31]],FDR[FDR]&amp;FDR[[#Headers],[31]],FDR[31],"",0,1)</f>
        <v>5</v>
      </c>
      <c r="AR100" cm="1">
        <f t="array" ref="AR100">_xlfn.XLOOKUP(Matrix[[#This Row],[TEAM]]&amp;Matrix[[#Headers],[32]],FDR[FDR]&amp;FDR[[#Headers],[32]],FDR[32],"",0,1)</f>
        <v>4</v>
      </c>
      <c r="AS100" cm="1">
        <f t="array" ref="AS100">_xlfn.XLOOKUP(Matrix[[#This Row],[TEAM]]&amp;Matrix[[#Headers],[33]],FDR[FDR]&amp;FDR[[#Headers],[33]],FDR[33],"",0,1)</f>
        <v>3</v>
      </c>
      <c r="AT100" cm="1">
        <f t="array" ref="AT100">_xlfn.XLOOKUP(Matrix[[#This Row],[TEAM]]&amp;Matrix[[#Headers],[34]],FDR[FDR]&amp;FDR[[#Headers],[34]],FDR[34],"",0,1)</f>
        <v>5</v>
      </c>
      <c r="AU100" cm="1">
        <f t="array" ref="AU100">_xlfn.XLOOKUP(Matrix[[#This Row],[TEAM]]&amp;Matrix[[#Headers],[35]],FDR[FDR]&amp;FDR[[#Headers],[35]],FDR[35],"",0,1)</f>
        <v>4</v>
      </c>
      <c r="AV100" cm="1">
        <f t="array" ref="AV100">_xlfn.XLOOKUP(Matrix[[#This Row],[TEAM]]&amp;Matrix[[#Headers],[36]],FDR[FDR]&amp;FDR[[#Headers],[36]],FDR[36],"",0,1)</f>
        <v>3</v>
      </c>
      <c r="AW100" cm="1">
        <f t="array" ref="AW100">_xlfn.XLOOKUP(Matrix[[#This Row],[TEAM]]&amp;Matrix[[#Headers],[37]],FDR[FDR]&amp;FDR[[#Headers],[37]],FDR[37],"",0,1)</f>
        <v>4</v>
      </c>
      <c r="AX100" cm="1">
        <f t="array" ref="AX100">_xlfn.XLOOKUP(Matrix[[#This Row],[TEAM]]&amp;Matrix[[#Headers],[38]],FDR[FDR]&amp;FDR[[#Headers],[38]],FDR[38],"",0,1)</f>
        <v>4</v>
      </c>
    </row>
    <row r="101" spans="1:50" ht="22" thickTop="1" thickBot="1">
      <c r="A101" s="51" t="s">
        <v>657</v>
      </c>
      <c r="B101" s="70" t="s">
        <v>1393</v>
      </c>
      <c r="C101" s="40" t="s">
        <v>52</v>
      </c>
      <c r="D101" s="62">
        <v>130</v>
      </c>
      <c r="E101" s="60">
        <v>5.3999999999999999E-2</v>
      </c>
      <c r="F101" s="61">
        <v>134</v>
      </c>
      <c r="G101" s="63">
        <v>5.5</v>
      </c>
      <c r="H101" s="261">
        <f>IF(ISBLANK(I101),0,1)</f>
        <v>0</v>
      </c>
      <c r="I101" s="57"/>
      <c r="J101" s="58"/>
      <c r="K101" s="65" t="s">
        <v>482</v>
      </c>
      <c r="L101" s="65" t="s">
        <v>796</v>
      </c>
      <c r="M101" cm="1">
        <f t="array" ref="M101">_xlfn.XLOOKUP(Matrix[[#This Row],[TEAM]]&amp;Matrix[[#Headers],[1]],FDR[FDR]&amp;FDR[[#Headers],[1]],FDR[1],"",0,1)</f>
        <v>2</v>
      </c>
      <c r="N101" cm="1">
        <f t="array" ref="N101">_xlfn.XLOOKUP(Matrix[[#This Row],[TEAM]]&amp;Matrix[[#Headers],[2]],FDR[FDR]&amp;FDR[[#Headers],[2]],FDR[2],"",0,1)</f>
        <v>3</v>
      </c>
      <c r="O101" cm="1">
        <f t="array" ref="O101">_xlfn.XLOOKUP(Matrix[[#This Row],[TEAM]]&amp;Matrix[[#Headers],[3]],FDR[FDR]&amp;FDR[[#Headers],[3]],FDR[3],"",0,1)</f>
        <v>2</v>
      </c>
      <c r="P101" cm="1">
        <f t="array" ref="P101">_xlfn.XLOOKUP(Matrix[[#This Row],[TEAM]]&amp;Matrix[[#Headers],[4]],FDR[FDR]&amp;FDR[[#Headers],[4]],FDR[4],"",0,1)</f>
        <v>5</v>
      </c>
      <c r="Q101" cm="1">
        <f t="array" ref="Q101">_xlfn.XLOOKUP(Matrix[[#This Row],[TEAM]]&amp;Matrix[[#Headers],[5]],FDR[FDR]&amp;FDR[[#Headers],[5]],FDR[5],"",0,1)</f>
        <v>2</v>
      </c>
      <c r="R101" cm="1">
        <f t="array" ref="R101">_xlfn.XLOOKUP(Matrix[[#This Row],[TEAM]]&amp;Matrix[[#Headers],[6]],FDR[FDR]&amp;FDR[[#Headers],[6]],FDR[6],"",0,1)</f>
        <v>1</v>
      </c>
      <c r="S101" cm="1">
        <f t="array" ref="S101">_xlfn.XLOOKUP(Matrix[[#This Row],[TEAM]]&amp;Matrix[[#Headers],[7]],FDR[FDR]&amp;FDR[[#Headers],[7]],FDR[7],"",0,1)</f>
        <v>5</v>
      </c>
      <c r="T101" cm="1">
        <f t="array" ref="T101">_xlfn.XLOOKUP(Matrix[[#This Row],[TEAM]]&amp;Matrix[[#Headers],[8]],FDR[FDR]&amp;FDR[[#Headers],[8]],FDR[8],"",0,1)</f>
        <v>4</v>
      </c>
      <c r="U101" cm="1">
        <f t="array" ref="U101">_xlfn.XLOOKUP(Matrix[[#This Row],[TEAM]]&amp;Matrix[[#Headers],[9]],FDR[FDR]&amp;FDR[[#Headers],[9]],FDR[9],"",0,1)</f>
        <v>4</v>
      </c>
      <c r="V101" cm="1">
        <f t="array" ref="V101">_xlfn.XLOOKUP(Matrix[[#This Row],[TEAM]]&amp;Matrix[[#Headers],[10]],FDR[FDR]&amp;FDR[[#Headers],[10]],FDR[10],"",0,1)</f>
        <v>4</v>
      </c>
      <c r="W101" cm="1">
        <f t="array" ref="W101">_xlfn.XLOOKUP(Matrix[[#This Row],[TEAM]]&amp;Matrix[[#Headers],[11]],FDR[FDR]&amp;FDR[[#Headers],[11]],FDR[11],"",0,1)</f>
        <v>1</v>
      </c>
      <c r="X101" cm="1">
        <f t="array" ref="X101">_xlfn.XLOOKUP(Matrix[[#This Row],[TEAM]]&amp;Matrix[[#Headers],[12]],FDR[FDR]&amp;FDR[[#Headers],[12]],FDR[12],"",0,1)</f>
        <v>5</v>
      </c>
      <c r="Y101" cm="1">
        <f t="array" ref="Y101">_xlfn.XLOOKUP(Matrix[[#This Row],[TEAM]]&amp;Matrix[[#Headers],[13]],FDR[FDR]&amp;FDR[[#Headers],[13]],FDR[13],"",0,1)</f>
        <v>3</v>
      </c>
      <c r="Z101" cm="1">
        <f t="array" ref="Z101">_xlfn.XLOOKUP(Matrix[[#This Row],[TEAM]]&amp;Matrix[[#Headers],[14]],FDR[FDR]&amp;FDR[[#Headers],[14]],FDR[14],"",0,1)</f>
        <v>2</v>
      </c>
      <c r="AA101" cm="1">
        <f t="array" ref="AA101">_xlfn.XLOOKUP(Matrix[[#This Row],[TEAM]]&amp;Matrix[[#Headers],[15]],FDR[FDR]&amp;FDR[[#Headers],[15]],FDR[15],"",0,1)</f>
        <v>3</v>
      </c>
      <c r="AB101" cm="1">
        <f t="array" ref="AB101">_xlfn.XLOOKUP(Matrix[[#This Row],[TEAM]]&amp;Matrix[[#Headers],[16]],FDR[FDR]&amp;FDR[[#Headers],[16]],FDR[16],"",0,1)</f>
        <v>4</v>
      </c>
      <c r="AC101" cm="1">
        <f t="array" ref="AC101">_xlfn.XLOOKUP(Matrix[[#This Row],[TEAM]]&amp;Matrix[[#Headers],[17]],FDR[FDR]&amp;FDR[[#Headers],[17]],FDR[17],"",0,1)</f>
        <v>4</v>
      </c>
      <c r="AD101" cm="1">
        <f t="array" ref="AD101">_xlfn.XLOOKUP(Matrix[[#This Row],[TEAM]]&amp;Matrix[[#Headers],[18]],FDR[FDR]&amp;FDR[[#Headers],[18]],FDR[18],"",0,1)</f>
        <v>4</v>
      </c>
      <c r="AE101" cm="1">
        <f t="array" ref="AE101">_xlfn.XLOOKUP(Matrix[[#This Row],[TEAM]]&amp;Matrix[[#Headers],[19]],FDR[FDR]&amp;FDR[[#Headers],[19]],FDR[19],"",0,1)</f>
        <v>2</v>
      </c>
      <c r="AF101" cm="1">
        <f t="array" ref="AF101">_xlfn.XLOOKUP(Matrix[[#This Row],[TEAM]]&amp;Matrix[[#Headers],[20]],FDR[FDR]&amp;FDR[[#Headers],[20]],FDR[20],"",0,1)</f>
        <v>5</v>
      </c>
      <c r="AG101" cm="1">
        <f t="array" ref="AG101">_xlfn.XLOOKUP(Matrix[[#This Row],[TEAM]]&amp;Matrix[[#Headers],[21]],FDR[FDR]&amp;FDR[[#Headers],[21]],FDR[21],"",0,1)</f>
        <v>3</v>
      </c>
      <c r="AH101" cm="1">
        <f t="array" ref="AH101">_xlfn.XLOOKUP(Matrix[[#This Row],[TEAM]]&amp;Matrix[[#Headers],[22]],FDR[FDR]&amp;FDR[[#Headers],[22]],FDR[22],"",0,1)</f>
        <v>4</v>
      </c>
      <c r="AI101" cm="1">
        <f t="array" ref="AI101">_xlfn.XLOOKUP(Matrix[[#This Row],[TEAM]]&amp;Matrix[[#Headers],[23]],FDR[FDR]&amp;FDR[[#Headers],[23]],FDR[23],"",0,1)</f>
        <v>3</v>
      </c>
      <c r="AJ101" cm="1">
        <f t="array" ref="AJ101">_xlfn.XLOOKUP(Matrix[[#This Row],[TEAM]]&amp;Matrix[[#Headers],[24]],FDR[FDR]&amp;FDR[[#Headers],[24]],FDR[24],"",0,1)</f>
        <v>2</v>
      </c>
      <c r="AK101" cm="1">
        <f t="array" ref="AK101">_xlfn.XLOOKUP(Matrix[[#This Row],[TEAM]]&amp;Matrix[[#Headers],[25]],FDR[FDR]&amp;FDR[[#Headers],[25]],FDR[25],"",0,1)</f>
        <v>2</v>
      </c>
      <c r="AL101" cm="1">
        <f t="array" ref="AL101">_xlfn.XLOOKUP(Matrix[[#This Row],[TEAM]]&amp;Matrix[[#Headers],[26]],FDR[FDR]&amp;FDR[[#Headers],[26]],FDR[26],"",0,1)</f>
        <v>1</v>
      </c>
      <c r="AM101" cm="1">
        <f t="array" ref="AM101">_xlfn.XLOOKUP(Matrix[[#This Row],[TEAM]]&amp;Matrix[[#Headers],[27]],FDR[FDR]&amp;FDR[[#Headers],[27]],FDR[27],"",0,1)</f>
        <v>4</v>
      </c>
      <c r="AN101" cm="1">
        <f t="array" ref="AN101">_xlfn.XLOOKUP(Matrix[[#This Row],[TEAM]]&amp;Matrix[[#Headers],[28]],FDR[FDR]&amp;FDR[[#Headers],[28]],FDR[28],"",0,1)</f>
        <v>4</v>
      </c>
      <c r="AO101" cm="1">
        <f t="array" ref="AO101">_xlfn.XLOOKUP(Matrix[[#This Row],[TEAM]]&amp;Matrix[[#Headers],[29]],FDR[FDR]&amp;FDR[[#Headers],[29]],FDR[29],"",0,1)</f>
        <v>5</v>
      </c>
      <c r="AP101" cm="1">
        <f t="array" ref="AP101">_xlfn.XLOOKUP(Matrix[[#This Row],[TEAM]]&amp;Matrix[[#Headers],[30]],FDR[FDR]&amp;FDR[[#Headers],[30]],FDR[30],"",0,1)</f>
        <v>3</v>
      </c>
      <c r="AQ101" cm="1">
        <f t="array" ref="AQ101">_xlfn.XLOOKUP(Matrix[[#This Row],[TEAM]]&amp;Matrix[[#Headers],[31]],FDR[FDR]&amp;FDR[[#Headers],[31]],FDR[31],"",0,1)</f>
        <v>5</v>
      </c>
      <c r="AR101" cm="1">
        <f t="array" ref="AR101">_xlfn.XLOOKUP(Matrix[[#This Row],[TEAM]]&amp;Matrix[[#Headers],[32]],FDR[FDR]&amp;FDR[[#Headers],[32]],FDR[32],"",0,1)</f>
        <v>3</v>
      </c>
      <c r="AS101" cm="1">
        <f t="array" ref="AS101">_xlfn.XLOOKUP(Matrix[[#This Row],[TEAM]]&amp;Matrix[[#Headers],[33]],FDR[FDR]&amp;FDR[[#Headers],[33]],FDR[33],"",0,1)</f>
        <v>1</v>
      </c>
      <c r="AT101" cm="1">
        <f t="array" ref="AT101">_xlfn.XLOOKUP(Matrix[[#This Row],[TEAM]]&amp;Matrix[[#Headers],[34]],FDR[FDR]&amp;FDR[[#Headers],[34]],FDR[34],"",0,1)</f>
        <v>2</v>
      </c>
      <c r="AU101" cm="1">
        <f t="array" ref="AU101">_xlfn.XLOOKUP(Matrix[[#This Row],[TEAM]]&amp;Matrix[[#Headers],[35]],FDR[FDR]&amp;FDR[[#Headers],[35]],FDR[35],"",0,1)</f>
        <v>5</v>
      </c>
      <c r="AV101" cm="1">
        <f t="array" ref="AV101">_xlfn.XLOOKUP(Matrix[[#This Row],[TEAM]]&amp;Matrix[[#Headers],[36]],FDR[FDR]&amp;FDR[[#Headers],[36]],FDR[36],"",0,1)</f>
        <v>4</v>
      </c>
      <c r="AW101" cm="1">
        <f t="array" ref="AW101">_xlfn.XLOOKUP(Matrix[[#This Row],[TEAM]]&amp;Matrix[[#Headers],[37]],FDR[FDR]&amp;FDR[[#Headers],[37]],FDR[37],"",0,1)</f>
        <v>5</v>
      </c>
      <c r="AX101" cm="1">
        <f t="array" ref="AX101">_xlfn.XLOOKUP(Matrix[[#This Row],[TEAM]]&amp;Matrix[[#Headers],[38]],FDR[FDR]&amp;FDR[[#Headers],[38]],FDR[38],"",0,1)</f>
        <v>3</v>
      </c>
    </row>
    <row r="102" spans="1:50" ht="22" thickTop="1" thickBot="1">
      <c r="A102" s="51" t="s">
        <v>657</v>
      </c>
      <c r="B102" s="70" t="s">
        <v>1402</v>
      </c>
      <c r="C102" s="40" t="s">
        <v>25</v>
      </c>
      <c r="D102" s="62">
        <v>118</v>
      </c>
      <c r="E102" s="60">
        <v>2.4E-2</v>
      </c>
      <c r="F102" s="61">
        <v>119.6</v>
      </c>
      <c r="G102" s="63">
        <v>5.5</v>
      </c>
      <c r="H102" s="261">
        <f>IF(ISBLANK(I102),0,1)</f>
        <v>0</v>
      </c>
      <c r="I102" s="57"/>
      <c r="J102" s="58"/>
      <c r="K102" s="65" t="s">
        <v>380</v>
      </c>
      <c r="L102" s="65" t="s">
        <v>337</v>
      </c>
      <c r="M102" cm="1">
        <f t="array" ref="M102">_xlfn.XLOOKUP(Matrix[[#This Row],[TEAM]]&amp;Matrix[[#Headers],[1]],FDR[FDR]&amp;FDR[[#Headers],[1]],FDR[1],"",0,1)</f>
        <v>3</v>
      </c>
      <c r="N102" cm="1">
        <f t="array" ref="N102">_xlfn.XLOOKUP(Matrix[[#This Row],[TEAM]]&amp;Matrix[[#Headers],[2]],FDR[FDR]&amp;FDR[[#Headers],[2]],FDR[2],"",0,1)</f>
        <v>3</v>
      </c>
      <c r="O102" cm="1">
        <f t="array" ref="O102">_xlfn.XLOOKUP(Matrix[[#This Row],[TEAM]]&amp;Matrix[[#Headers],[3]],FDR[FDR]&amp;FDR[[#Headers],[3]],FDR[3],"",0,1)</f>
        <v>1</v>
      </c>
      <c r="P102" cm="1">
        <f t="array" ref="P102">_xlfn.XLOOKUP(Matrix[[#This Row],[TEAM]]&amp;Matrix[[#Headers],[4]],FDR[FDR]&amp;FDR[[#Headers],[4]],FDR[4],"",0,1)</f>
        <v>1</v>
      </c>
      <c r="Q102" cm="1">
        <f t="array" ref="Q102">_xlfn.XLOOKUP(Matrix[[#This Row],[TEAM]]&amp;Matrix[[#Headers],[5]],FDR[FDR]&amp;FDR[[#Headers],[5]],FDR[5],"",0,1)</f>
        <v>2</v>
      </c>
      <c r="R102" cm="1">
        <f t="array" ref="R102">_xlfn.XLOOKUP(Matrix[[#This Row],[TEAM]]&amp;Matrix[[#Headers],[6]],FDR[FDR]&amp;FDR[[#Headers],[6]],FDR[6],"",0,1)</f>
        <v>3</v>
      </c>
      <c r="S102" cm="1">
        <f t="array" ref="S102">_xlfn.XLOOKUP(Matrix[[#This Row],[TEAM]]&amp;Matrix[[#Headers],[7]],FDR[FDR]&amp;FDR[[#Headers],[7]],FDR[7],"",0,1)</f>
        <v>2</v>
      </c>
      <c r="T102" cm="1">
        <f t="array" ref="T102">_xlfn.XLOOKUP(Matrix[[#This Row],[TEAM]]&amp;Matrix[[#Headers],[8]],FDR[FDR]&amp;FDR[[#Headers],[8]],FDR[8],"",0,1)</f>
        <v>2</v>
      </c>
      <c r="U102" cm="1">
        <f t="array" ref="U102">_xlfn.XLOOKUP(Matrix[[#This Row],[TEAM]]&amp;Matrix[[#Headers],[9]],FDR[FDR]&amp;FDR[[#Headers],[9]],FDR[9],"",0,1)</f>
        <v>2</v>
      </c>
      <c r="V102" cm="1">
        <f t="array" ref="V102">_xlfn.XLOOKUP(Matrix[[#This Row],[TEAM]]&amp;Matrix[[#Headers],[10]],FDR[FDR]&amp;FDR[[#Headers],[10]],FDR[10],"",0,1)</f>
        <v>2</v>
      </c>
      <c r="W102" cm="1">
        <f t="array" ref="W102">_xlfn.XLOOKUP(Matrix[[#This Row],[TEAM]]&amp;Matrix[[#Headers],[11]],FDR[FDR]&amp;FDR[[#Headers],[11]],FDR[11],"",0,1)</f>
        <v>2</v>
      </c>
      <c r="X102" cm="1">
        <f t="array" ref="X102">_xlfn.XLOOKUP(Matrix[[#This Row],[TEAM]]&amp;Matrix[[#Headers],[12]],FDR[FDR]&amp;FDR[[#Headers],[12]],FDR[12],"",0,1)</f>
        <v>3</v>
      </c>
      <c r="Y102" cm="1">
        <f t="array" ref="Y102">_xlfn.XLOOKUP(Matrix[[#This Row],[TEAM]]&amp;Matrix[[#Headers],[13]],FDR[FDR]&amp;FDR[[#Headers],[13]],FDR[13],"",0,1)</f>
        <v>2</v>
      </c>
      <c r="Z102" cm="1">
        <f t="array" ref="Z102">_xlfn.XLOOKUP(Matrix[[#This Row],[TEAM]]&amp;Matrix[[#Headers],[14]],FDR[FDR]&amp;FDR[[#Headers],[14]],FDR[14],"",0,1)</f>
        <v>3</v>
      </c>
      <c r="AA102" cm="1">
        <f t="array" ref="AA102">_xlfn.XLOOKUP(Matrix[[#This Row],[TEAM]]&amp;Matrix[[#Headers],[15]],FDR[FDR]&amp;FDR[[#Headers],[15]],FDR[15],"",0,1)</f>
        <v>1</v>
      </c>
      <c r="AB102" cm="1">
        <f t="array" ref="AB102">_xlfn.XLOOKUP(Matrix[[#This Row],[TEAM]]&amp;Matrix[[#Headers],[16]],FDR[FDR]&amp;FDR[[#Headers],[16]],FDR[16],"",0,1)</f>
        <v>1</v>
      </c>
      <c r="AC102" cm="1">
        <f t="array" ref="AC102">_xlfn.XLOOKUP(Matrix[[#This Row],[TEAM]]&amp;Matrix[[#Headers],[17]],FDR[FDR]&amp;FDR[[#Headers],[17]],FDR[17],"",0,1)</f>
        <v>3</v>
      </c>
      <c r="AD102" cm="1">
        <f t="array" ref="AD102">_xlfn.XLOOKUP(Matrix[[#This Row],[TEAM]]&amp;Matrix[[#Headers],[18]],FDR[FDR]&amp;FDR[[#Headers],[18]],FDR[18],"",0,1)</f>
        <v>4</v>
      </c>
      <c r="AE102" cm="1">
        <f t="array" ref="AE102">_xlfn.XLOOKUP(Matrix[[#This Row],[TEAM]]&amp;Matrix[[#Headers],[19]],FDR[FDR]&amp;FDR[[#Headers],[19]],FDR[19],"",0,1)</f>
        <v>1</v>
      </c>
      <c r="AF102" cm="1">
        <f t="array" ref="AF102">_xlfn.XLOOKUP(Matrix[[#This Row],[TEAM]]&amp;Matrix[[#Headers],[20]],FDR[FDR]&amp;FDR[[#Headers],[20]],FDR[20],"",0,1)</f>
        <v>1</v>
      </c>
      <c r="AG102" cm="1">
        <f t="array" ref="AG102">_xlfn.XLOOKUP(Matrix[[#This Row],[TEAM]]&amp;Matrix[[#Headers],[21]],FDR[FDR]&amp;FDR[[#Headers],[21]],FDR[21],"",0,1)</f>
        <v>1</v>
      </c>
      <c r="AH102" cm="1">
        <f t="array" ref="AH102">_xlfn.XLOOKUP(Matrix[[#This Row],[TEAM]]&amp;Matrix[[#Headers],[22]],FDR[FDR]&amp;FDR[[#Headers],[22]],FDR[22],"",0,1)</f>
        <v>1</v>
      </c>
      <c r="AI102" cm="1">
        <f t="array" ref="AI102">_xlfn.XLOOKUP(Matrix[[#This Row],[TEAM]]&amp;Matrix[[#Headers],[23]],FDR[FDR]&amp;FDR[[#Headers],[23]],FDR[23],"",0,1)</f>
        <v>2</v>
      </c>
      <c r="AJ102" cm="1">
        <f t="array" ref="AJ102">_xlfn.XLOOKUP(Matrix[[#This Row],[TEAM]]&amp;Matrix[[#Headers],[24]],FDR[FDR]&amp;FDR[[#Headers],[24]],FDR[24],"",0,1)</f>
        <v>4</v>
      </c>
      <c r="AK102" cm="1">
        <f t="array" ref="AK102">_xlfn.XLOOKUP(Matrix[[#This Row],[TEAM]]&amp;Matrix[[#Headers],[25]],FDR[FDR]&amp;FDR[[#Headers],[25]],FDR[25],"",0,1)</f>
        <v>1</v>
      </c>
      <c r="AL102" cm="1">
        <f t="array" ref="AL102">_xlfn.XLOOKUP(Matrix[[#This Row],[TEAM]]&amp;Matrix[[#Headers],[26]],FDR[FDR]&amp;FDR[[#Headers],[26]],FDR[26],"",0,1)</f>
        <v>4</v>
      </c>
      <c r="AM102" cm="1">
        <f t="array" ref="AM102">_xlfn.XLOOKUP(Matrix[[#This Row],[TEAM]]&amp;Matrix[[#Headers],[27]],FDR[FDR]&amp;FDR[[#Headers],[27]],FDR[27],"",0,1)</f>
        <v>4</v>
      </c>
      <c r="AN102" cm="1">
        <f t="array" ref="AN102">_xlfn.XLOOKUP(Matrix[[#This Row],[TEAM]]&amp;Matrix[[#Headers],[28]],FDR[FDR]&amp;FDR[[#Headers],[28]],FDR[28],"",0,1)</f>
        <v>1</v>
      </c>
      <c r="AO102" cm="1">
        <f t="array" ref="AO102">_xlfn.XLOOKUP(Matrix[[#This Row],[TEAM]]&amp;Matrix[[#Headers],[29]],FDR[FDR]&amp;FDR[[#Headers],[29]],FDR[29],"",0,1)</f>
        <v>3</v>
      </c>
      <c r="AP102" cm="1">
        <f t="array" ref="AP102">_xlfn.XLOOKUP(Matrix[[#This Row],[TEAM]]&amp;Matrix[[#Headers],[30]],FDR[FDR]&amp;FDR[[#Headers],[30]],FDR[30],"",0,1)</f>
        <v>4</v>
      </c>
      <c r="AQ102" cm="1">
        <f t="array" ref="AQ102">_xlfn.XLOOKUP(Matrix[[#This Row],[TEAM]]&amp;Matrix[[#Headers],[31]],FDR[FDR]&amp;FDR[[#Headers],[31]],FDR[31],"",0,1)</f>
        <v>1</v>
      </c>
      <c r="AR102" cm="1">
        <f t="array" ref="AR102">_xlfn.XLOOKUP(Matrix[[#This Row],[TEAM]]&amp;Matrix[[#Headers],[32]],FDR[FDR]&amp;FDR[[#Headers],[32]],FDR[32],"",0,1)</f>
        <v>2</v>
      </c>
      <c r="AS102" cm="1">
        <f t="array" ref="AS102">_xlfn.XLOOKUP(Matrix[[#This Row],[TEAM]]&amp;Matrix[[#Headers],[33]],FDR[FDR]&amp;FDR[[#Headers],[33]],FDR[33],"",0,1)</f>
        <v>2</v>
      </c>
      <c r="AT102" cm="1">
        <f t="array" ref="AT102">_xlfn.XLOOKUP(Matrix[[#This Row],[TEAM]]&amp;Matrix[[#Headers],[34]],FDR[FDR]&amp;FDR[[#Headers],[34]],FDR[34],"",0,1)</f>
        <v>4</v>
      </c>
      <c r="AU102" cm="1">
        <f t="array" ref="AU102">_xlfn.XLOOKUP(Matrix[[#This Row],[TEAM]]&amp;Matrix[[#Headers],[35]],FDR[FDR]&amp;FDR[[#Headers],[35]],FDR[35],"",0,1)</f>
        <v>2</v>
      </c>
      <c r="AV102" cm="1">
        <f t="array" ref="AV102">_xlfn.XLOOKUP(Matrix[[#This Row],[TEAM]]&amp;Matrix[[#Headers],[36]],FDR[FDR]&amp;FDR[[#Headers],[36]],FDR[36],"",0,1)</f>
        <v>2</v>
      </c>
      <c r="AW102" cm="1">
        <f t="array" ref="AW102">_xlfn.XLOOKUP(Matrix[[#This Row],[TEAM]]&amp;Matrix[[#Headers],[37]],FDR[FDR]&amp;FDR[[#Headers],[37]],FDR[37],"",0,1)</f>
        <v>1</v>
      </c>
      <c r="AX102" cm="1">
        <f t="array" ref="AX102">_xlfn.XLOOKUP(Matrix[[#This Row],[TEAM]]&amp;Matrix[[#Headers],[38]],FDR[FDR]&amp;FDR[[#Headers],[38]],FDR[38],"",0,1)</f>
        <v>2</v>
      </c>
    </row>
    <row r="103" spans="1:50" ht="22" thickTop="1" thickBot="1">
      <c r="A103" s="51" t="s">
        <v>657</v>
      </c>
      <c r="B103" s="70" t="s">
        <v>1403</v>
      </c>
      <c r="C103" s="40" t="s">
        <v>20</v>
      </c>
      <c r="D103" s="62">
        <v>114</v>
      </c>
      <c r="E103" s="60">
        <v>2.3E-2</v>
      </c>
      <c r="F103" s="61">
        <v>94.2</v>
      </c>
      <c r="G103" s="63">
        <v>5.5</v>
      </c>
      <c r="H103" s="261">
        <f>IF(ISBLANK(I103),0,1)</f>
        <v>0</v>
      </c>
      <c r="I103" s="57"/>
      <c r="J103" s="58"/>
      <c r="K103" s="65" t="s">
        <v>577</v>
      </c>
      <c r="L103" s="65" t="s">
        <v>578</v>
      </c>
      <c r="M103" cm="1">
        <f t="array" ref="M103">_xlfn.XLOOKUP(Matrix[[#This Row],[TEAM]]&amp;Matrix[[#Headers],[1]],FDR[FDR]&amp;FDR[[#Headers],[1]],FDR[1],"",0,1)</f>
        <v>3</v>
      </c>
      <c r="N103" cm="1">
        <f t="array" ref="N103">_xlfn.XLOOKUP(Matrix[[#This Row],[TEAM]]&amp;Matrix[[#Headers],[2]],FDR[FDR]&amp;FDR[[#Headers],[2]],FDR[2],"",0,1)</f>
        <v>1</v>
      </c>
      <c r="O103" cm="1">
        <f t="array" ref="O103">_xlfn.XLOOKUP(Matrix[[#This Row],[TEAM]]&amp;Matrix[[#Headers],[3]],FDR[FDR]&amp;FDR[[#Headers],[3]],FDR[3],"",0,1)</f>
        <v>4</v>
      </c>
      <c r="P103" cm="1">
        <f t="array" ref="P103">_xlfn.XLOOKUP(Matrix[[#This Row],[TEAM]]&amp;Matrix[[#Headers],[4]],FDR[FDR]&amp;FDR[[#Headers],[4]],FDR[4],"",0,1)</f>
        <v>1</v>
      </c>
      <c r="Q103" cm="1">
        <f t="array" ref="Q103">_xlfn.XLOOKUP(Matrix[[#This Row],[TEAM]]&amp;Matrix[[#Headers],[5]],FDR[FDR]&amp;FDR[[#Headers],[5]],FDR[5],"",0,1)</f>
        <v>3</v>
      </c>
      <c r="R103" cm="1">
        <f t="array" ref="R103">_xlfn.XLOOKUP(Matrix[[#This Row],[TEAM]]&amp;Matrix[[#Headers],[6]],FDR[FDR]&amp;FDR[[#Headers],[6]],FDR[6],"",0,1)</f>
        <v>3</v>
      </c>
      <c r="S103" cm="1">
        <f t="array" ref="S103">_xlfn.XLOOKUP(Matrix[[#This Row],[TEAM]]&amp;Matrix[[#Headers],[7]],FDR[FDR]&amp;FDR[[#Headers],[7]],FDR[7],"",0,1)</f>
        <v>1</v>
      </c>
      <c r="T103" cm="1">
        <f t="array" ref="T103">_xlfn.XLOOKUP(Matrix[[#This Row],[TEAM]]&amp;Matrix[[#Headers],[8]],FDR[FDR]&amp;FDR[[#Headers],[8]],FDR[8],"",0,1)</f>
        <v>2</v>
      </c>
      <c r="U103" cm="1">
        <f t="array" ref="U103">_xlfn.XLOOKUP(Matrix[[#This Row],[TEAM]]&amp;Matrix[[#Headers],[9]],FDR[FDR]&amp;FDR[[#Headers],[9]],FDR[9],"",0,1)</f>
        <v>1</v>
      </c>
      <c r="V103" cm="1">
        <f t="array" ref="V103">_xlfn.XLOOKUP(Matrix[[#This Row],[TEAM]]&amp;Matrix[[#Headers],[10]],FDR[FDR]&amp;FDR[[#Headers],[10]],FDR[10],"",0,1)</f>
        <v>1</v>
      </c>
      <c r="W103" cm="1">
        <f t="array" ref="W103">_xlfn.XLOOKUP(Matrix[[#This Row],[TEAM]]&amp;Matrix[[#Headers],[11]],FDR[FDR]&amp;FDR[[#Headers],[11]],FDR[11],"",0,1)</f>
        <v>1</v>
      </c>
      <c r="X103" cm="1">
        <f t="array" ref="X103">_xlfn.XLOOKUP(Matrix[[#This Row],[TEAM]]&amp;Matrix[[#Headers],[12]],FDR[FDR]&amp;FDR[[#Headers],[12]],FDR[12],"",0,1)</f>
        <v>2</v>
      </c>
      <c r="Y103" cm="1">
        <f t="array" ref="Y103">_xlfn.XLOOKUP(Matrix[[#This Row],[TEAM]]&amp;Matrix[[#Headers],[13]],FDR[FDR]&amp;FDR[[#Headers],[13]],FDR[13],"",0,1)</f>
        <v>3</v>
      </c>
      <c r="Z103" cm="1">
        <f t="array" ref="Z103">_xlfn.XLOOKUP(Matrix[[#This Row],[TEAM]]&amp;Matrix[[#Headers],[14]],FDR[FDR]&amp;FDR[[#Headers],[14]],FDR[14],"",0,1)</f>
        <v>1</v>
      </c>
      <c r="AA103" cm="1">
        <f t="array" ref="AA103">_xlfn.XLOOKUP(Matrix[[#This Row],[TEAM]]&amp;Matrix[[#Headers],[15]],FDR[FDR]&amp;FDR[[#Headers],[15]],FDR[15],"",0,1)</f>
        <v>3</v>
      </c>
      <c r="AB103" cm="1">
        <f t="array" ref="AB103">_xlfn.XLOOKUP(Matrix[[#This Row],[TEAM]]&amp;Matrix[[#Headers],[16]],FDR[FDR]&amp;FDR[[#Headers],[16]],FDR[16],"",0,1)</f>
        <v>1</v>
      </c>
      <c r="AC103" cm="1">
        <f t="array" ref="AC103">_xlfn.XLOOKUP(Matrix[[#This Row],[TEAM]]&amp;Matrix[[#Headers],[17]],FDR[FDR]&amp;FDR[[#Headers],[17]],FDR[17],"",0,1)</f>
        <v>2</v>
      </c>
      <c r="AD103" cm="1">
        <f t="array" ref="AD103">_xlfn.XLOOKUP(Matrix[[#This Row],[TEAM]]&amp;Matrix[[#Headers],[18]],FDR[FDR]&amp;FDR[[#Headers],[18]],FDR[18],"",0,1)</f>
        <v>1</v>
      </c>
      <c r="AE103" cm="1">
        <f t="array" ref="AE103">_xlfn.XLOOKUP(Matrix[[#This Row],[TEAM]]&amp;Matrix[[#Headers],[19]],FDR[FDR]&amp;FDR[[#Headers],[19]],FDR[19],"",0,1)</f>
        <v>2</v>
      </c>
      <c r="AF103" cm="1">
        <f t="array" ref="AF103">_xlfn.XLOOKUP(Matrix[[#This Row],[TEAM]]&amp;Matrix[[#Headers],[20]],FDR[FDR]&amp;FDR[[#Headers],[20]],FDR[20],"",0,1)</f>
        <v>2</v>
      </c>
      <c r="AG103" cm="1">
        <f t="array" ref="AG103">_xlfn.XLOOKUP(Matrix[[#This Row],[TEAM]]&amp;Matrix[[#Headers],[21]],FDR[FDR]&amp;FDR[[#Headers],[21]],FDR[21],"",0,1)</f>
        <v>3</v>
      </c>
      <c r="AH103" cm="1">
        <f t="array" ref="AH103">_xlfn.XLOOKUP(Matrix[[#This Row],[TEAM]]&amp;Matrix[[#Headers],[22]],FDR[FDR]&amp;FDR[[#Headers],[22]],FDR[22],"",0,1)</f>
        <v>2</v>
      </c>
      <c r="AI103" cm="1">
        <f t="array" ref="AI103">_xlfn.XLOOKUP(Matrix[[#This Row],[TEAM]]&amp;Matrix[[#Headers],[23]],FDR[FDR]&amp;FDR[[#Headers],[23]],FDR[23],"",0,1)</f>
        <v>2</v>
      </c>
      <c r="AJ103" cm="1">
        <f t="array" ref="AJ103">_xlfn.XLOOKUP(Matrix[[#This Row],[TEAM]]&amp;Matrix[[#Headers],[24]],FDR[FDR]&amp;FDR[[#Headers],[24]],FDR[24],"",0,1)</f>
        <v>1</v>
      </c>
      <c r="AK103" cm="1">
        <f t="array" ref="AK103">_xlfn.XLOOKUP(Matrix[[#This Row],[TEAM]]&amp;Matrix[[#Headers],[25]],FDR[FDR]&amp;FDR[[#Headers],[25]],FDR[25],"",0,1)</f>
        <v>1</v>
      </c>
      <c r="AL103" cm="1">
        <f t="array" ref="AL103">_xlfn.XLOOKUP(Matrix[[#This Row],[TEAM]]&amp;Matrix[[#Headers],[26]],FDR[FDR]&amp;FDR[[#Headers],[26]],FDR[26],"",0,1)</f>
        <v>2</v>
      </c>
      <c r="AM103" cm="1">
        <f t="array" ref="AM103">_xlfn.XLOOKUP(Matrix[[#This Row],[TEAM]]&amp;Matrix[[#Headers],[27]],FDR[FDR]&amp;FDR[[#Headers],[27]],FDR[27],"",0,1)</f>
        <v>3</v>
      </c>
      <c r="AN103" cm="1">
        <f t="array" ref="AN103">_xlfn.XLOOKUP(Matrix[[#This Row],[TEAM]]&amp;Matrix[[#Headers],[28]],FDR[FDR]&amp;FDR[[#Headers],[28]],FDR[28],"",0,1)</f>
        <v>2</v>
      </c>
      <c r="AO103" cm="1">
        <f t="array" ref="AO103">_xlfn.XLOOKUP(Matrix[[#This Row],[TEAM]]&amp;Matrix[[#Headers],[29]],FDR[FDR]&amp;FDR[[#Headers],[29]],FDR[29],"",0,1)</f>
        <v>2</v>
      </c>
      <c r="AP103" cm="1">
        <f t="array" ref="AP103">_xlfn.XLOOKUP(Matrix[[#This Row],[TEAM]]&amp;Matrix[[#Headers],[30]],FDR[FDR]&amp;FDR[[#Headers],[30]],FDR[30],"",0,1)</f>
        <v>1</v>
      </c>
      <c r="AQ103" cm="1">
        <f t="array" ref="AQ103">_xlfn.XLOOKUP(Matrix[[#This Row],[TEAM]]&amp;Matrix[[#Headers],[31]],FDR[FDR]&amp;FDR[[#Headers],[31]],FDR[31],"",0,1)</f>
        <v>1</v>
      </c>
      <c r="AR103" cm="1">
        <f t="array" ref="AR103">_xlfn.XLOOKUP(Matrix[[#This Row],[TEAM]]&amp;Matrix[[#Headers],[32]],FDR[FDR]&amp;FDR[[#Headers],[32]],FDR[32],"",0,1)</f>
        <v>1</v>
      </c>
      <c r="AS103" cm="1">
        <f t="array" ref="AS103">_xlfn.XLOOKUP(Matrix[[#This Row],[TEAM]]&amp;Matrix[[#Headers],[33]],FDR[FDR]&amp;FDR[[#Headers],[33]],FDR[33],"",0,1)</f>
        <v>3</v>
      </c>
      <c r="AT103" cm="1">
        <f t="array" ref="AT103">_xlfn.XLOOKUP(Matrix[[#This Row],[TEAM]]&amp;Matrix[[#Headers],[34]],FDR[FDR]&amp;FDR[[#Headers],[34]],FDR[34],"",0,1)</f>
        <v>2</v>
      </c>
      <c r="AU103" cm="1">
        <f t="array" ref="AU103">_xlfn.XLOOKUP(Matrix[[#This Row],[TEAM]]&amp;Matrix[[#Headers],[35]],FDR[FDR]&amp;FDR[[#Headers],[35]],FDR[35],"",0,1)</f>
        <v>1</v>
      </c>
      <c r="AV103" cm="1">
        <f t="array" ref="AV103">_xlfn.XLOOKUP(Matrix[[#This Row],[TEAM]]&amp;Matrix[[#Headers],[36]],FDR[FDR]&amp;FDR[[#Headers],[36]],FDR[36],"",0,1)</f>
        <v>2</v>
      </c>
      <c r="AW103" cm="1">
        <f t="array" ref="AW103">_xlfn.XLOOKUP(Matrix[[#This Row],[TEAM]]&amp;Matrix[[#Headers],[37]],FDR[FDR]&amp;FDR[[#Headers],[37]],FDR[37],"",0,1)</f>
        <v>1</v>
      </c>
      <c r="AX103" cm="1">
        <f t="array" ref="AX103">_xlfn.XLOOKUP(Matrix[[#This Row],[TEAM]]&amp;Matrix[[#Headers],[38]],FDR[FDR]&amp;FDR[[#Headers],[38]],FDR[38],"",0,1)</f>
        <v>2</v>
      </c>
    </row>
    <row r="104" spans="1:50" ht="22" thickTop="1" thickBot="1">
      <c r="A104" s="51" t="s">
        <v>657</v>
      </c>
      <c r="B104" s="70" t="s">
        <v>1397</v>
      </c>
      <c r="C104" s="40" t="s">
        <v>17</v>
      </c>
      <c r="D104" s="62">
        <v>106</v>
      </c>
      <c r="E104" s="60">
        <v>2.9000000000000001E-2</v>
      </c>
      <c r="F104" s="61">
        <v>87.6</v>
      </c>
      <c r="G104" s="63">
        <v>5.5</v>
      </c>
      <c r="H104" s="261">
        <f>IF(ISBLANK(I104),0,1)</f>
        <v>0</v>
      </c>
      <c r="I104" s="57"/>
      <c r="J104" s="58"/>
      <c r="K104" s="65" t="s">
        <v>497</v>
      </c>
      <c r="L104" s="65" t="s">
        <v>339</v>
      </c>
      <c r="M104" cm="1">
        <f t="array" ref="M104">_xlfn.XLOOKUP(Matrix[[#This Row],[TEAM]]&amp;Matrix[[#Headers],[1]],FDR[FDR]&amp;FDR[[#Headers],[1]],FDR[1],"",0,1)</f>
        <v>1</v>
      </c>
      <c r="N104" cm="1">
        <f t="array" ref="N104">_xlfn.XLOOKUP(Matrix[[#This Row],[TEAM]]&amp;Matrix[[#Headers],[2]],FDR[FDR]&amp;FDR[[#Headers],[2]],FDR[2],"",0,1)</f>
        <v>3</v>
      </c>
      <c r="O104" cm="1">
        <f t="array" ref="O104">_xlfn.XLOOKUP(Matrix[[#This Row],[TEAM]]&amp;Matrix[[#Headers],[3]],FDR[FDR]&amp;FDR[[#Headers],[3]],FDR[3],"",0,1)</f>
        <v>3</v>
      </c>
      <c r="P104" cm="1">
        <f t="array" ref="P104">_xlfn.XLOOKUP(Matrix[[#This Row],[TEAM]]&amp;Matrix[[#Headers],[4]],FDR[FDR]&amp;FDR[[#Headers],[4]],FDR[4],"",0,1)</f>
        <v>1</v>
      </c>
      <c r="Q104" cm="1">
        <f t="array" ref="Q104">_xlfn.XLOOKUP(Matrix[[#This Row],[TEAM]]&amp;Matrix[[#Headers],[5]],FDR[FDR]&amp;FDR[[#Headers],[5]],FDR[5],"",0,1)</f>
        <v>1</v>
      </c>
      <c r="R104" cm="1">
        <f t="array" ref="R104">_xlfn.XLOOKUP(Matrix[[#This Row],[TEAM]]&amp;Matrix[[#Headers],[6]],FDR[FDR]&amp;FDR[[#Headers],[6]],FDR[6],"",0,1)</f>
        <v>2</v>
      </c>
      <c r="S104" cm="1">
        <f t="array" ref="S104">_xlfn.XLOOKUP(Matrix[[#This Row],[TEAM]]&amp;Matrix[[#Headers],[7]],FDR[FDR]&amp;FDR[[#Headers],[7]],FDR[7],"",0,1)</f>
        <v>3</v>
      </c>
      <c r="T104" cm="1">
        <f t="array" ref="T104">_xlfn.XLOOKUP(Matrix[[#This Row],[TEAM]]&amp;Matrix[[#Headers],[8]],FDR[FDR]&amp;FDR[[#Headers],[8]],FDR[8],"",0,1)</f>
        <v>2</v>
      </c>
      <c r="U104" cm="1">
        <f t="array" ref="U104">_xlfn.XLOOKUP(Matrix[[#This Row],[TEAM]]&amp;Matrix[[#Headers],[9]],FDR[FDR]&amp;FDR[[#Headers],[9]],FDR[9],"",0,1)</f>
        <v>2</v>
      </c>
      <c r="V104" cm="1">
        <f t="array" ref="V104">_xlfn.XLOOKUP(Matrix[[#This Row],[TEAM]]&amp;Matrix[[#Headers],[10]],FDR[FDR]&amp;FDR[[#Headers],[10]],FDR[10],"",0,1)</f>
        <v>2</v>
      </c>
      <c r="W104" cm="1">
        <f t="array" ref="W104">_xlfn.XLOOKUP(Matrix[[#This Row],[TEAM]]&amp;Matrix[[#Headers],[11]],FDR[FDR]&amp;FDR[[#Headers],[11]],FDR[11],"",0,1)</f>
        <v>3</v>
      </c>
      <c r="X104" cm="1">
        <f t="array" ref="X104">_xlfn.XLOOKUP(Matrix[[#This Row],[TEAM]]&amp;Matrix[[#Headers],[12]],FDR[FDR]&amp;FDR[[#Headers],[12]],FDR[12],"",0,1)</f>
        <v>1</v>
      </c>
      <c r="Y104" cm="1">
        <f t="array" ref="Y104">_xlfn.XLOOKUP(Matrix[[#This Row],[TEAM]]&amp;Matrix[[#Headers],[13]],FDR[FDR]&amp;FDR[[#Headers],[13]],FDR[13],"",0,1)</f>
        <v>2</v>
      </c>
      <c r="Z104" cm="1">
        <f t="array" ref="Z104">_xlfn.XLOOKUP(Matrix[[#This Row],[TEAM]]&amp;Matrix[[#Headers],[14]],FDR[FDR]&amp;FDR[[#Headers],[14]],FDR[14],"",0,1)</f>
        <v>1</v>
      </c>
      <c r="AA104" cm="1">
        <f t="array" ref="AA104">_xlfn.XLOOKUP(Matrix[[#This Row],[TEAM]]&amp;Matrix[[#Headers],[15]],FDR[FDR]&amp;FDR[[#Headers],[15]],FDR[15],"",0,1)</f>
        <v>1</v>
      </c>
      <c r="AB104" cm="1">
        <f t="array" ref="AB104">_xlfn.XLOOKUP(Matrix[[#This Row],[TEAM]]&amp;Matrix[[#Headers],[16]],FDR[FDR]&amp;FDR[[#Headers],[16]],FDR[16],"",0,1)</f>
        <v>1</v>
      </c>
      <c r="AC104" cm="1">
        <f t="array" ref="AC104">_xlfn.XLOOKUP(Matrix[[#This Row],[TEAM]]&amp;Matrix[[#Headers],[17]],FDR[FDR]&amp;FDR[[#Headers],[17]],FDR[17],"",0,1)</f>
        <v>3</v>
      </c>
      <c r="AD104" cm="1">
        <f t="array" ref="AD104">_xlfn.XLOOKUP(Matrix[[#This Row],[TEAM]]&amp;Matrix[[#Headers],[18]],FDR[FDR]&amp;FDR[[#Headers],[18]],FDR[18],"",0,1)</f>
        <v>1</v>
      </c>
      <c r="AE104" cm="1">
        <f t="array" ref="AE104">_xlfn.XLOOKUP(Matrix[[#This Row],[TEAM]]&amp;Matrix[[#Headers],[19]],FDR[FDR]&amp;FDR[[#Headers],[19]],FDR[19],"",0,1)</f>
        <v>1</v>
      </c>
      <c r="AF104" cm="1">
        <f t="array" ref="AF104">_xlfn.XLOOKUP(Matrix[[#This Row],[TEAM]]&amp;Matrix[[#Headers],[20]],FDR[FDR]&amp;FDR[[#Headers],[20]],FDR[20],"",0,1)</f>
        <v>2</v>
      </c>
      <c r="AG104" cm="1">
        <f t="array" ref="AG104">_xlfn.XLOOKUP(Matrix[[#This Row],[TEAM]]&amp;Matrix[[#Headers],[21]],FDR[FDR]&amp;FDR[[#Headers],[21]],FDR[21],"",0,1)</f>
        <v>3</v>
      </c>
      <c r="AH104" cm="1">
        <f t="array" ref="AH104">_xlfn.XLOOKUP(Matrix[[#This Row],[TEAM]]&amp;Matrix[[#Headers],[22]],FDR[FDR]&amp;FDR[[#Headers],[22]],FDR[22],"",0,1)</f>
        <v>1</v>
      </c>
      <c r="AI104" cm="1">
        <f t="array" ref="AI104">_xlfn.XLOOKUP(Matrix[[#This Row],[TEAM]]&amp;Matrix[[#Headers],[23]],FDR[FDR]&amp;FDR[[#Headers],[23]],FDR[23],"",0,1)</f>
        <v>2</v>
      </c>
      <c r="AJ104" cm="1">
        <f t="array" ref="AJ104">_xlfn.XLOOKUP(Matrix[[#This Row],[TEAM]]&amp;Matrix[[#Headers],[24]],FDR[FDR]&amp;FDR[[#Headers],[24]],FDR[24],"",0,1)</f>
        <v>2</v>
      </c>
      <c r="AK104" cm="1">
        <f t="array" ref="AK104">_xlfn.XLOOKUP(Matrix[[#This Row],[TEAM]]&amp;Matrix[[#Headers],[25]],FDR[FDR]&amp;FDR[[#Headers],[25]],FDR[25],"",0,1)</f>
        <v>3</v>
      </c>
      <c r="AL104" cm="1">
        <f t="array" ref="AL104">_xlfn.XLOOKUP(Matrix[[#This Row],[TEAM]]&amp;Matrix[[#Headers],[26]],FDR[FDR]&amp;FDR[[#Headers],[26]],FDR[26],"",0,1)</f>
        <v>1</v>
      </c>
      <c r="AM104" cm="1">
        <f t="array" ref="AM104">_xlfn.XLOOKUP(Matrix[[#This Row],[TEAM]]&amp;Matrix[[#Headers],[27]],FDR[FDR]&amp;FDR[[#Headers],[27]],FDR[27],"",0,1)</f>
        <v>2</v>
      </c>
      <c r="AN104" cm="1">
        <f t="array" ref="AN104">_xlfn.XLOOKUP(Matrix[[#This Row],[TEAM]]&amp;Matrix[[#Headers],[28]],FDR[FDR]&amp;FDR[[#Headers],[28]],FDR[28],"",0,1)</f>
        <v>1</v>
      </c>
      <c r="AO104" cm="1">
        <f t="array" ref="AO104">_xlfn.XLOOKUP(Matrix[[#This Row],[TEAM]]&amp;Matrix[[#Headers],[29]],FDR[FDR]&amp;FDR[[#Headers],[29]],FDR[29],"",0,1)</f>
        <v>1</v>
      </c>
      <c r="AP104" cm="1">
        <f t="array" ref="AP104">_xlfn.XLOOKUP(Matrix[[#This Row],[TEAM]]&amp;Matrix[[#Headers],[30]],FDR[FDR]&amp;FDR[[#Headers],[30]],FDR[30],"",0,1)</f>
        <v>2</v>
      </c>
      <c r="AQ104" cm="1">
        <f t="array" ref="AQ104">_xlfn.XLOOKUP(Matrix[[#This Row],[TEAM]]&amp;Matrix[[#Headers],[31]],FDR[FDR]&amp;FDR[[#Headers],[31]],FDR[31],"",0,1)</f>
        <v>2</v>
      </c>
      <c r="AR104" cm="1">
        <f t="array" ref="AR104">_xlfn.XLOOKUP(Matrix[[#This Row],[TEAM]]&amp;Matrix[[#Headers],[32]],FDR[FDR]&amp;FDR[[#Headers],[32]],FDR[32],"",0,1)</f>
        <v>1</v>
      </c>
      <c r="AS104" cm="1">
        <f t="array" ref="AS104">_xlfn.XLOOKUP(Matrix[[#This Row],[TEAM]]&amp;Matrix[[#Headers],[33]],FDR[FDR]&amp;FDR[[#Headers],[33]],FDR[33],"",0,1)</f>
        <v>2</v>
      </c>
      <c r="AT104" cm="1">
        <f t="array" ref="AT104">_xlfn.XLOOKUP(Matrix[[#This Row],[TEAM]]&amp;Matrix[[#Headers],[34]],FDR[FDR]&amp;FDR[[#Headers],[34]],FDR[34],"",0,1)</f>
        <v>1</v>
      </c>
      <c r="AU104" cm="1">
        <f t="array" ref="AU104">_xlfn.XLOOKUP(Matrix[[#This Row],[TEAM]]&amp;Matrix[[#Headers],[35]],FDR[FDR]&amp;FDR[[#Headers],[35]],FDR[35],"",0,1)</f>
        <v>3</v>
      </c>
      <c r="AV104" cm="1">
        <f t="array" ref="AV104">_xlfn.XLOOKUP(Matrix[[#This Row],[TEAM]]&amp;Matrix[[#Headers],[36]],FDR[FDR]&amp;FDR[[#Headers],[36]],FDR[36],"",0,1)</f>
        <v>2</v>
      </c>
      <c r="AW104" cm="1">
        <f t="array" ref="AW104">_xlfn.XLOOKUP(Matrix[[#This Row],[TEAM]]&amp;Matrix[[#Headers],[37]],FDR[FDR]&amp;FDR[[#Headers],[37]],FDR[37],"",0,1)</f>
        <v>3</v>
      </c>
      <c r="AX104" cm="1">
        <f t="array" ref="AX104">_xlfn.XLOOKUP(Matrix[[#This Row],[TEAM]]&amp;Matrix[[#Headers],[38]],FDR[FDR]&amp;FDR[[#Headers],[38]],FDR[38],"",0,1)</f>
        <v>1</v>
      </c>
    </row>
    <row r="105" spans="1:50" ht="22" thickTop="1" thickBot="1">
      <c r="A105" s="51" t="s">
        <v>657</v>
      </c>
      <c r="B105" s="70" t="s">
        <v>1392</v>
      </c>
      <c r="C105" s="40" t="s">
        <v>24</v>
      </c>
      <c r="D105" s="62">
        <v>105</v>
      </c>
      <c r="E105" s="60">
        <v>6.0999999999999999E-2</v>
      </c>
      <c r="F105" s="61">
        <v>126.9</v>
      </c>
      <c r="G105" s="63">
        <v>5.5</v>
      </c>
      <c r="H105" s="261">
        <f>IF(ISBLANK(I105),0,1)</f>
        <v>0</v>
      </c>
      <c r="I105" s="57"/>
      <c r="J105" s="58"/>
      <c r="K105" s="65" t="s">
        <v>111</v>
      </c>
      <c r="L105" s="65" t="s">
        <v>125</v>
      </c>
      <c r="M105" cm="1">
        <f t="array" ref="M105">_xlfn.XLOOKUP(Matrix[[#This Row],[TEAM]]&amp;Matrix[[#Headers],[1]],FDR[FDR]&amp;FDR[[#Headers],[1]],FDR[1],"",0,1)</f>
        <v>2</v>
      </c>
      <c r="N105" cm="1">
        <f t="array" ref="N105">_xlfn.XLOOKUP(Matrix[[#This Row],[TEAM]]&amp;Matrix[[#Headers],[2]],FDR[FDR]&amp;FDR[[#Headers],[2]],FDR[2],"",0,1)</f>
        <v>3</v>
      </c>
      <c r="O105" cm="1">
        <f t="array" ref="O105">_xlfn.XLOOKUP(Matrix[[#This Row],[TEAM]]&amp;Matrix[[#Headers],[3]],FDR[FDR]&amp;FDR[[#Headers],[3]],FDR[3],"",0,1)</f>
        <v>2</v>
      </c>
      <c r="P105" cm="1">
        <f t="array" ref="P105">_xlfn.XLOOKUP(Matrix[[#This Row],[TEAM]]&amp;Matrix[[#Headers],[4]],FDR[FDR]&amp;FDR[[#Headers],[4]],FDR[4],"",0,1)</f>
        <v>4</v>
      </c>
      <c r="Q105" cm="1">
        <f t="array" ref="Q105">_xlfn.XLOOKUP(Matrix[[#This Row],[TEAM]]&amp;Matrix[[#Headers],[5]],FDR[FDR]&amp;FDR[[#Headers],[5]],FDR[5],"",0,1)</f>
        <v>5</v>
      </c>
      <c r="R105" cm="1">
        <f t="array" ref="R105">_xlfn.XLOOKUP(Matrix[[#This Row],[TEAM]]&amp;Matrix[[#Headers],[6]],FDR[FDR]&amp;FDR[[#Headers],[6]],FDR[6],"",0,1)</f>
        <v>3</v>
      </c>
      <c r="S105" cm="1">
        <f t="array" ref="S105">_xlfn.XLOOKUP(Matrix[[#This Row],[TEAM]]&amp;Matrix[[#Headers],[7]],FDR[FDR]&amp;FDR[[#Headers],[7]],FDR[7],"",0,1)</f>
        <v>3</v>
      </c>
      <c r="T105" cm="1">
        <f t="array" ref="T105">_xlfn.XLOOKUP(Matrix[[#This Row],[TEAM]]&amp;Matrix[[#Headers],[8]],FDR[FDR]&amp;FDR[[#Headers],[8]],FDR[8],"",0,1)</f>
        <v>5</v>
      </c>
      <c r="U105" cm="1">
        <f t="array" ref="U105">_xlfn.XLOOKUP(Matrix[[#This Row],[TEAM]]&amp;Matrix[[#Headers],[9]],FDR[FDR]&amp;FDR[[#Headers],[9]],FDR[9],"",0,1)</f>
        <v>4</v>
      </c>
      <c r="V105" cm="1">
        <f t="array" ref="V105">_xlfn.XLOOKUP(Matrix[[#This Row],[TEAM]]&amp;Matrix[[#Headers],[10]],FDR[FDR]&amp;FDR[[#Headers],[10]],FDR[10],"",0,1)</f>
        <v>2</v>
      </c>
      <c r="W105" cm="1">
        <f t="array" ref="W105">_xlfn.XLOOKUP(Matrix[[#This Row],[TEAM]]&amp;Matrix[[#Headers],[11]],FDR[FDR]&amp;FDR[[#Headers],[11]],FDR[11],"",0,1)</f>
        <v>3</v>
      </c>
      <c r="X105" cm="1">
        <f t="array" ref="X105">_xlfn.XLOOKUP(Matrix[[#This Row],[TEAM]]&amp;Matrix[[#Headers],[12]],FDR[FDR]&amp;FDR[[#Headers],[12]],FDR[12],"",0,1)</f>
        <v>5</v>
      </c>
      <c r="Y105" cm="1">
        <f t="array" ref="Y105">_xlfn.XLOOKUP(Matrix[[#This Row],[TEAM]]&amp;Matrix[[#Headers],[13]],FDR[FDR]&amp;FDR[[#Headers],[13]],FDR[13],"",0,1)</f>
        <v>4</v>
      </c>
      <c r="Z105" cm="1">
        <f t="array" ref="Z105">_xlfn.XLOOKUP(Matrix[[#This Row],[TEAM]]&amp;Matrix[[#Headers],[14]],FDR[FDR]&amp;FDR[[#Headers],[14]],FDR[14],"",0,1)</f>
        <v>4</v>
      </c>
      <c r="AA105" cm="1">
        <f t="array" ref="AA105">_xlfn.XLOOKUP(Matrix[[#This Row],[TEAM]]&amp;Matrix[[#Headers],[15]],FDR[FDR]&amp;FDR[[#Headers],[15]],FDR[15],"",0,1)</f>
        <v>3</v>
      </c>
      <c r="AB105" cm="1">
        <f t="array" ref="AB105">_xlfn.XLOOKUP(Matrix[[#This Row],[TEAM]]&amp;Matrix[[#Headers],[16]],FDR[FDR]&amp;FDR[[#Headers],[16]],FDR[16],"",0,1)</f>
        <v>5</v>
      </c>
      <c r="AC105" cm="1">
        <f t="array" ref="AC105">_xlfn.XLOOKUP(Matrix[[#This Row],[TEAM]]&amp;Matrix[[#Headers],[17]],FDR[FDR]&amp;FDR[[#Headers],[17]],FDR[17],"",0,1)</f>
        <v>4</v>
      </c>
      <c r="AD105" cm="1">
        <f t="array" ref="AD105">_xlfn.XLOOKUP(Matrix[[#This Row],[TEAM]]&amp;Matrix[[#Headers],[18]],FDR[FDR]&amp;FDR[[#Headers],[18]],FDR[18],"",0,1)</f>
        <v>2</v>
      </c>
      <c r="AE105" cm="1">
        <f t="array" ref="AE105">_xlfn.XLOOKUP(Matrix[[#This Row],[TEAM]]&amp;Matrix[[#Headers],[19]],FDR[FDR]&amp;FDR[[#Headers],[19]],FDR[19],"",0,1)</f>
        <v>4</v>
      </c>
      <c r="AF105" cm="1">
        <f t="array" ref="AF105">_xlfn.XLOOKUP(Matrix[[#This Row],[TEAM]]&amp;Matrix[[#Headers],[20]],FDR[FDR]&amp;FDR[[#Headers],[20]],FDR[20],"",0,1)</f>
        <v>3</v>
      </c>
      <c r="AG105" cm="1">
        <f t="array" ref="AG105">_xlfn.XLOOKUP(Matrix[[#This Row],[TEAM]]&amp;Matrix[[#Headers],[21]],FDR[FDR]&amp;FDR[[#Headers],[21]],FDR[21],"",0,1)</f>
        <v>2</v>
      </c>
      <c r="AH105" cm="1">
        <f t="array" ref="AH105">_xlfn.XLOOKUP(Matrix[[#This Row],[TEAM]]&amp;Matrix[[#Headers],[22]],FDR[FDR]&amp;FDR[[#Headers],[22]],FDR[22],"",0,1)</f>
        <v>5</v>
      </c>
      <c r="AI105" cm="1">
        <f t="array" ref="AI105">_xlfn.XLOOKUP(Matrix[[#This Row],[TEAM]]&amp;Matrix[[#Headers],[23]],FDR[FDR]&amp;FDR[[#Headers],[23]],FDR[23],"",0,1)</f>
        <v>1</v>
      </c>
      <c r="AJ105" cm="1">
        <f t="array" ref="AJ105">_xlfn.XLOOKUP(Matrix[[#This Row],[TEAM]]&amp;Matrix[[#Headers],[24]],FDR[FDR]&amp;FDR[[#Headers],[24]],FDR[24],"",0,1)</f>
        <v>4</v>
      </c>
      <c r="AK105" cm="1">
        <f t="array" ref="AK105">_xlfn.XLOOKUP(Matrix[[#This Row],[TEAM]]&amp;Matrix[[#Headers],[25]],FDR[FDR]&amp;FDR[[#Headers],[25]],FDR[25],"",0,1)</f>
        <v>4</v>
      </c>
      <c r="AL105" cm="1">
        <f t="array" ref="AL105">_xlfn.XLOOKUP(Matrix[[#This Row],[TEAM]]&amp;Matrix[[#Headers],[26]],FDR[FDR]&amp;FDR[[#Headers],[26]],FDR[26],"",0,1)</f>
        <v>3</v>
      </c>
      <c r="AM105" cm="1">
        <f t="array" ref="AM105">_xlfn.XLOOKUP(Matrix[[#This Row],[TEAM]]&amp;Matrix[[#Headers],[27]],FDR[FDR]&amp;FDR[[#Headers],[27]],FDR[27],"",0,1)</f>
        <v>4</v>
      </c>
      <c r="AN105" cm="1">
        <f t="array" ref="AN105">_xlfn.XLOOKUP(Matrix[[#This Row],[TEAM]]&amp;Matrix[[#Headers],[28]],FDR[FDR]&amp;FDR[[#Headers],[28]],FDR[28],"",0,1)</f>
        <v>5</v>
      </c>
      <c r="AO105" cm="1">
        <f t="array" ref="AO105">_xlfn.XLOOKUP(Matrix[[#This Row],[TEAM]]&amp;Matrix[[#Headers],[29]],FDR[FDR]&amp;FDR[[#Headers],[29]],FDR[29],"",0,1)</f>
        <v>1</v>
      </c>
      <c r="AP105" cm="1">
        <f t="array" ref="AP105">_xlfn.XLOOKUP(Matrix[[#This Row],[TEAM]]&amp;Matrix[[#Headers],[30]],FDR[FDR]&amp;FDR[[#Headers],[30]],FDR[30],"",0,1)</f>
        <v>5</v>
      </c>
      <c r="AQ105" cm="1">
        <f t="array" ref="AQ105">_xlfn.XLOOKUP(Matrix[[#This Row],[TEAM]]&amp;Matrix[[#Headers],[31]],FDR[FDR]&amp;FDR[[#Headers],[31]],FDR[31],"",0,1)</f>
        <v>4</v>
      </c>
      <c r="AR105" cm="1">
        <f t="array" ref="AR105">_xlfn.XLOOKUP(Matrix[[#This Row],[TEAM]]&amp;Matrix[[#Headers],[32]],FDR[FDR]&amp;FDR[[#Headers],[32]],FDR[32],"",0,1)</f>
        <v>4</v>
      </c>
      <c r="AS105" cm="1">
        <f t="array" ref="AS105">_xlfn.XLOOKUP(Matrix[[#This Row],[TEAM]]&amp;Matrix[[#Headers],[33]],FDR[FDR]&amp;FDR[[#Headers],[33]],FDR[33],"",0,1)</f>
        <v>4</v>
      </c>
      <c r="AT105" cm="1">
        <f t="array" ref="AT105">_xlfn.XLOOKUP(Matrix[[#This Row],[TEAM]]&amp;Matrix[[#Headers],[34]],FDR[FDR]&amp;FDR[[#Headers],[34]],FDR[34],"",0,1)</f>
        <v>4</v>
      </c>
      <c r="AU105" cm="1">
        <f t="array" ref="AU105">_xlfn.XLOOKUP(Matrix[[#This Row],[TEAM]]&amp;Matrix[[#Headers],[35]],FDR[FDR]&amp;FDR[[#Headers],[35]],FDR[35],"",0,1)</f>
        <v>4</v>
      </c>
      <c r="AV105" cm="1">
        <f t="array" ref="AV105">_xlfn.XLOOKUP(Matrix[[#This Row],[TEAM]]&amp;Matrix[[#Headers],[36]],FDR[FDR]&amp;FDR[[#Headers],[36]],FDR[36],"",0,1)</f>
        <v>4</v>
      </c>
      <c r="AW105" cm="1">
        <f t="array" ref="AW105">_xlfn.XLOOKUP(Matrix[[#This Row],[TEAM]]&amp;Matrix[[#Headers],[37]],FDR[FDR]&amp;FDR[[#Headers],[37]],FDR[37],"",0,1)</f>
        <v>1</v>
      </c>
      <c r="AX105" cm="1">
        <f t="array" ref="AX105">_xlfn.XLOOKUP(Matrix[[#This Row],[TEAM]]&amp;Matrix[[#Headers],[38]],FDR[FDR]&amp;FDR[[#Headers],[38]],FDR[38],"",0,1)</f>
        <v>5</v>
      </c>
    </row>
    <row r="106" spans="1:50" ht="22" thickTop="1" thickBot="1">
      <c r="A106" s="51" t="s">
        <v>657</v>
      </c>
      <c r="B106" s="70" t="s">
        <v>1401</v>
      </c>
      <c r="C106" s="40" t="s">
        <v>25</v>
      </c>
      <c r="D106" s="62">
        <v>102</v>
      </c>
      <c r="E106" s="60">
        <v>2.5000000000000001E-2</v>
      </c>
      <c r="F106" s="61">
        <v>125.3</v>
      </c>
      <c r="G106" s="63">
        <v>5.5</v>
      </c>
      <c r="H106" s="261">
        <f>IF(ISBLANK(I106),0,1)</f>
        <v>0</v>
      </c>
      <c r="I106" s="57"/>
      <c r="J106" s="58"/>
      <c r="K106" s="65" t="s">
        <v>407</v>
      </c>
      <c r="L106" s="65" t="s">
        <v>163</v>
      </c>
      <c r="M106" cm="1">
        <f t="array" ref="M106">_xlfn.XLOOKUP(Matrix[[#This Row],[TEAM]]&amp;Matrix[[#Headers],[1]],FDR[FDR]&amp;FDR[[#Headers],[1]],FDR[1],"",0,1)</f>
        <v>3</v>
      </c>
      <c r="N106" cm="1">
        <f t="array" ref="N106">_xlfn.XLOOKUP(Matrix[[#This Row],[TEAM]]&amp;Matrix[[#Headers],[2]],FDR[FDR]&amp;FDR[[#Headers],[2]],FDR[2],"",0,1)</f>
        <v>3</v>
      </c>
      <c r="O106" cm="1">
        <f t="array" ref="O106">_xlfn.XLOOKUP(Matrix[[#This Row],[TEAM]]&amp;Matrix[[#Headers],[3]],FDR[FDR]&amp;FDR[[#Headers],[3]],FDR[3],"",0,1)</f>
        <v>1</v>
      </c>
      <c r="P106" cm="1">
        <f t="array" ref="P106">_xlfn.XLOOKUP(Matrix[[#This Row],[TEAM]]&amp;Matrix[[#Headers],[4]],FDR[FDR]&amp;FDR[[#Headers],[4]],FDR[4],"",0,1)</f>
        <v>1</v>
      </c>
      <c r="Q106" cm="1">
        <f t="array" ref="Q106">_xlfn.XLOOKUP(Matrix[[#This Row],[TEAM]]&amp;Matrix[[#Headers],[5]],FDR[FDR]&amp;FDR[[#Headers],[5]],FDR[5],"",0,1)</f>
        <v>2</v>
      </c>
      <c r="R106" cm="1">
        <f t="array" ref="R106">_xlfn.XLOOKUP(Matrix[[#This Row],[TEAM]]&amp;Matrix[[#Headers],[6]],FDR[FDR]&amp;FDR[[#Headers],[6]],FDR[6],"",0,1)</f>
        <v>3</v>
      </c>
      <c r="S106" cm="1">
        <f t="array" ref="S106">_xlfn.XLOOKUP(Matrix[[#This Row],[TEAM]]&amp;Matrix[[#Headers],[7]],FDR[FDR]&amp;FDR[[#Headers],[7]],FDR[7],"",0,1)</f>
        <v>2</v>
      </c>
      <c r="T106" cm="1">
        <f t="array" ref="T106">_xlfn.XLOOKUP(Matrix[[#This Row],[TEAM]]&amp;Matrix[[#Headers],[8]],FDR[FDR]&amp;FDR[[#Headers],[8]],FDR[8],"",0,1)</f>
        <v>2</v>
      </c>
      <c r="U106" cm="1">
        <f t="array" ref="U106">_xlfn.XLOOKUP(Matrix[[#This Row],[TEAM]]&amp;Matrix[[#Headers],[9]],FDR[FDR]&amp;FDR[[#Headers],[9]],FDR[9],"",0,1)</f>
        <v>2</v>
      </c>
      <c r="V106" cm="1">
        <f t="array" ref="V106">_xlfn.XLOOKUP(Matrix[[#This Row],[TEAM]]&amp;Matrix[[#Headers],[10]],FDR[FDR]&amp;FDR[[#Headers],[10]],FDR[10],"",0,1)</f>
        <v>2</v>
      </c>
      <c r="W106" cm="1">
        <f t="array" ref="W106">_xlfn.XLOOKUP(Matrix[[#This Row],[TEAM]]&amp;Matrix[[#Headers],[11]],FDR[FDR]&amp;FDR[[#Headers],[11]],FDR[11],"",0,1)</f>
        <v>2</v>
      </c>
      <c r="X106" cm="1">
        <f t="array" ref="X106">_xlfn.XLOOKUP(Matrix[[#This Row],[TEAM]]&amp;Matrix[[#Headers],[12]],FDR[FDR]&amp;FDR[[#Headers],[12]],FDR[12],"",0,1)</f>
        <v>3</v>
      </c>
      <c r="Y106" cm="1">
        <f t="array" ref="Y106">_xlfn.XLOOKUP(Matrix[[#This Row],[TEAM]]&amp;Matrix[[#Headers],[13]],FDR[FDR]&amp;FDR[[#Headers],[13]],FDR[13],"",0,1)</f>
        <v>2</v>
      </c>
      <c r="Z106" cm="1">
        <f t="array" ref="Z106">_xlfn.XLOOKUP(Matrix[[#This Row],[TEAM]]&amp;Matrix[[#Headers],[14]],FDR[FDR]&amp;FDR[[#Headers],[14]],FDR[14],"",0,1)</f>
        <v>3</v>
      </c>
      <c r="AA106" cm="1">
        <f t="array" ref="AA106">_xlfn.XLOOKUP(Matrix[[#This Row],[TEAM]]&amp;Matrix[[#Headers],[15]],FDR[FDR]&amp;FDR[[#Headers],[15]],FDR[15],"",0,1)</f>
        <v>1</v>
      </c>
      <c r="AB106" cm="1">
        <f t="array" ref="AB106">_xlfn.XLOOKUP(Matrix[[#This Row],[TEAM]]&amp;Matrix[[#Headers],[16]],FDR[FDR]&amp;FDR[[#Headers],[16]],FDR[16],"",0,1)</f>
        <v>1</v>
      </c>
      <c r="AC106" cm="1">
        <f t="array" ref="AC106">_xlfn.XLOOKUP(Matrix[[#This Row],[TEAM]]&amp;Matrix[[#Headers],[17]],FDR[FDR]&amp;FDR[[#Headers],[17]],FDR[17],"",0,1)</f>
        <v>3</v>
      </c>
      <c r="AD106" cm="1">
        <f t="array" ref="AD106">_xlfn.XLOOKUP(Matrix[[#This Row],[TEAM]]&amp;Matrix[[#Headers],[18]],FDR[FDR]&amp;FDR[[#Headers],[18]],FDR[18],"",0,1)</f>
        <v>4</v>
      </c>
      <c r="AE106" cm="1">
        <f t="array" ref="AE106">_xlfn.XLOOKUP(Matrix[[#This Row],[TEAM]]&amp;Matrix[[#Headers],[19]],FDR[FDR]&amp;FDR[[#Headers],[19]],FDR[19],"",0,1)</f>
        <v>1</v>
      </c>
      <c r="AF106" cm="1">
        <f t="array" ref="AF106">_xlfn.XLOOKUP(Matrix[[#This Row],[TEAM]]&amp;Matrix[[#Headers],[20]],FDR[FDR]&amp;FDR[[#Headers],[20]],FDR[20],"",0,1)</f>
        <v>1</v>
      </c>
      <c r="AG106" cm="1">
        <f t="array" ref="AG106">_xlfn.XLOOKUP(Matrix[[#This Row],[TEAM]]&amp;Matrix[[#Headers],[21]],FDR[FDR]&amp;FDR[[#Headers],[21]],FDR[21],"",0,1)</f>
        <v>1</v>
      </c>
      <c r="AH106" cm="1">
        <f t="array" ref="AH106">_xlfn.XLOOKUP(Matrix[[#This Row],[TEAM]]&amp;Matrix[[#Headers],[22]],FDR[FDR]&amp;FDR[[#Headers],[22]],FDR[22],"",0,1)</f>
        <v>1</v>
      </c>
      <c r="AI106" cm="1">
        <f t="array" ref="AI106">_xlfn.XLOOKUP(Matrix[[#This Row],[TEAM]]&amp;Matrix[[#Headers],[23]],FDR[FDR]&amp;FDR[[#Headers],[23]],FDR[23],"",0,1)</f>
        <v>2</v>
      </c>
      <c r="AJ106" cm="1">
        <f t="array" ref="AJ106">_xlfn.XLOOKUP(Matrix[[#This Row],[TEAM]]&amp;Matrix[[#Headers],[24]],FDR[FDR]&amp;FDR[[#Headers],[24]],FDR[24],"",0,1)</f>
        <v>4</v>
      </c>
      <c r="AK106" cm="1">
        <f t="array" ref="AK106">_xlfn.XLOOKUP(Matrix[[#This Row],[TEAM]]&amp;Matrix[[#Headers],[25]],FDR[FDR]&amp;FDR[[#Headers],[25]],FDR[25],"",0,1)</f>
        <v>1</v>
      </c>
      <c r="AL106" cm="1">
        <f t="array" ref="AL106">_xlfn.XLOOKUP(Matrix[[#This Row],[TEAM]]&amp;Matrix[[#Headers],[26]],FDR[FDR]&amp;FDR[[#Headers],[26]],FDR[26],"",0,1)</f>
        <v>4</v>
      </c>
      <c r="AM106" cm="1">
        <f t="array" ref="AM106">_xlfn.XLOOKUP(Matrix[[#This Row],[TEAM]]&amp;Matrix[[#Headers],[27]],FDR[FDR]&amp;FDR[[#Headers],[27]],FDR[27],"",0,1)</f>
        <v>4</v>
      </c>
      <c r="AN106" cm="1">
        <f t="array" ref="AN106">_xlfn.XLOOKUP(Matrix[[#This Row],[TEAM]]&amp;Matrix[[#Headers],[28]],FDR[FDR]&amp;FDR[[#Headers],[28]],FDR[28],"",0,1)</f>
        <v>1</v>
      </c>
      <c r="AO106" cm="1">
        <f t="array" ref="AO106">_xlfn.XLOOKUP(Matrix[[#This Row],[TEAM]]&amp;Matrix[[#Headers],[29]],FDR[FDR]&amp;FDR[[#Headers],[29]],FDR[29],"",0,1)</f>
        <v>3</v>
      </c>
      <c r="AP106" cm="1">
        <f t="array" ref="AP106">_xlfn.XLOOKUP(Matrix[[#This Row],[TEAM]]&amp;Matrix[[#Headers],[30]],FDR[FDR]&amp;FDR[[#Headers],[30]],FDR[30],"",0,1)</f>
        <v>4</v>
      </c>
      <c r="AQ106" cm="1">
        <f t="array" ref="AQ106">_xlfn.XLOOKUP(Matrix[[#This Row],[TEAM]]&amp;Matrix[[#Headers],[31]],FDR[FDR]&amp;FDR[[#Headers],[31]],FDR[31],"",0,1)</f>
        <v>1</v>
      </c>
      <c r="AR106" cm="1">
        <f t="array" ref="AR106">_xlfn.XLOOKUP(Matrix[[#This Row],[TEAM]]&amp;Matrix[[#Headers],[32]],FDR[FDR]&amp;FDR[[#Headers],[32]],FDR[32],"",0,1)</f>
        <v>2</v>
      </c>
      <c r="AS106" cm="1">
        <f t="array" ref="AS106">_xlfn.XLOOKUP(Matrix[[#This Row],[TEAM]]&amp;Matrix[[#Headers],[33]],FDR[FDR]&amp;FDR[[#Headers],[33]],FDR[33],"",0,1)</f>
        <v>2</v>
      </c>
      <c r="AT106" cm="1">
        <f t="array" ref="AT106">_xlfn.XLOOKUP(Matrix[[#This Row],[TEAM]]&amp;Matrix[[#Headers],[34]],FDR[FDR]&amp;FDR[[#Headers],[34]],FDR[34],"",0,1)</f>
        <v>4</v>
      </c>
      <c r="AU106" cm="1">
        <f t="array" ref="AU106">_xlfn.XLOOKUP(Matrix[[#This Row],[TEAM]]&amp;Matrix[[#Headers],[35]],FDR[FDR]&amp;FDR[[#Headers],[35]],FDR[35],"",0,1)</f>
        <v>2</v>
      </c>
      <c r="AV106" cm="1">
        <f t="array" ref="AV106">_xlfn.XLOOKUP(Matrix[[#This Row],[TEAM]]&amp;Matrix[[#Headers],[36]],FDR[FDR]&amp;FDR[[#Headers],[36]],FDR[36],"",0,1)</f>
        <v>2</v>
      </c>
      <c r="AW106" cm="1">
        <f t="array" ref="AW106">_xlfn.XLOOKUP(Matrix[[#This Row],[TEAM]]&amp;Matrix[[#Headers],[37]],FDR[FDR]&amp;FDR[[#Headers],[37]],FDR[37],"",0,1)</f>
        <v>1</v>
      </c>
      <c r="AX106" cm="1">
        <f t="array" ref="AX106">_xlfn.XLOOKUP(Matrix[[#This Row],[TEAM]]&amp;Matrix[[#Headers],[38]],FDR[FDR]&amp;FDR[[#Headers],[38]],FDR[38],"",0,1)</f>
        <v>2</v>
      </c>
    </row>
    <row r="107" spans="1:50" ht="22" thickTop="1" thickBot="1">
      <c r="A107" s="51" t="s">
        <v>657</v>
      </c>
      <c r="B107" s="70" t="s">
        <v>1383</v>
      </c>
      <c r="C107" s="40" t="s">
        <v>19</v>
      </c>
      <c r="D107" s="62">
        <v>98</v>
      </c>
      <c r="E107" s="60">
        <v>0.13300000000000001</v>
      </c>
      <c r="F107" s="61">
        <v>191.2</v>
      </c>
      <c r="G107" s="63">
        <v>5.5</v>
      </c>
      <c r="H107" s="261">
        <f>IF(ISBLANK(I107),0,1)</f>
        <v>0</v>
      </c>
      <c r="I107" s="57"/>
      <c r="J107" s="58"/>
      <c r="K107" s="65" t="s">
        <v>486</v>
      </c>
      <c r="L107" s="65" t="s">
        <v>488</v>
      </c>
      <c r="M107" cm="1">
        <f t="array" ref="M107">_xlfn.XLOOKUP(Matrix[[#This Row],[TEAM]]&amp;Matrix[[#Headers],[1]],FDR[FDR]&amp;FDR[[#Headers],[1]],FDR[1],"",0,1)</f>
        <v>1</v>
      </c>
      <c r="N107" cm="1">
        <f t="array" ref="N107">_xlfn.XLOOKUP(Matrix[[#This Row],[TEAM]]&amp;Matrix[[#Headers],[2]],FDR[FDR]&amp;FDR[[#Headers],[2]],FDR[2],"",0,1)</f>
        <v>4</v>
      </c>
      <c r="O107" cm="1">
        <f t="array" ref="O107">_xlfn.XLOOKUP(Matrix[[#This Row],[TEAM]]&amp;Matrix[[#Headers],[3]],FDR[FDR]&amp;FDR[[#Headers],[3]],FDR[3],"",0,1)</f>
        <v>1</v>
      </c>
      <c r="P107" cm="1">
        <f t="array" ref="P107">_xlfn.XLOOKUP(Matrix[[#This Row],[TEAM]]&amp;Matrix[[#Headers],[4]],FDR[FDR]&amp;FDR[[#Headers],[4]],FDR[4],"",0,1)</f>
        <v>2</v>
      </c>
      <c r="Q107" cm="1">
        <f t="array" ref="Q107">_xlfn.XLOOKUP(Matrix[[#This Row],[TEAM]]&amp;Matrix[[#Headers],[5]],FDR[FDR]&amp;FDR[[#Headers],[5]],FDR[5],"",0,1)</f>
        <v>2</v>
      </c>
      <c r="R107" cm="1">
        <f t="array" ref="R107">_xlfn.XLOOKUP(Matrix[[#This Row],[TEAM]]&amp;Matrix[[#Headers],[6]],FDR[FDR]&amp;FDR[[#Headers],[6]],FDR[6],"",0,1)</f>
        <v>1</v>
      </c>
      <c r="S107" cm="1">
        <f t="array" ref="S107">_xlfn.XLOOKUP(Matrix[[#This Row],[TEAM]]&amp;Matrix[[#Headers],[7]],FDR[FDR]&amp;FDR[[#Headers],[7]],FDR[7],"",0,1)</f>
        <v>1</v>
      </c>
      <c r="T107" cm="1">
        <f t="array" ref="T107">_xlfn.XLOOKUP(Matrix[[#This Row],[TEAM]]&amp;Matrix[[#Headers],[8]],FDR[FDR]&amp;FDR[[#Headers],[8]],FDR[8],"",0,1)</f>
        <v>2</v>
      </c>
      <c r="U107" cm="1">
        <f t="array" ref="U107">_xlfn.XLOOKUP(Matrix[[#This Row],[TEAM]]&amp;Matrix[[#Headers],[9]],FDR[FDR]&amp;FDR[[#Headers],[9]],FDR[9],"",0,1)</f>
        <v>2</v>
      </c>
      <c r="V107" cm="1">
        <f t="array" ref="V107">_xlfn.XLOOKUP(Matrix[[#This Row],[TEAM]]&amp;Matrix[[#Headers],[10]],FDR[FDR]&amp;FDR[[#Headers],[10]],FDR[10],"",0,1)</f>
        <v>3</v>
      </c>
      <c r="W107" cm="1">
        <f t="array" ref="W107">_xlfn.XLOOKUP(Matrix[[#This Row],[TEAM]]&amp;Matrix[[#Headers],[11]],FDR[FDR]&amp;FDR[[#Headers],[11]],FDR[11],"",0,1)</f>
        <v>3</v>
      </c>
      <c r="X107" cm="1">
        <f t="array" ref="X107">_xlfn.XLOOKUP(Matrix[[#This Row],[TEAM]]&amp;Matrix[[#Headers],[12]],FDR[FDR]&amp;FDR[[#Headers],[12]],FDR[12],"",0,1)</f>
        <v>4</v>
      </c>
      <c r="Y107" cm="1">
        <f t="array" ref="Y107">_xlfn.XLOOKUP(Matrix[[#This Row],[TEAM]]&amp;Matrix[[#Headers],[13]],FDR[FDR]&amp;FDR[[#Headers],[13]],FDR[13],"",0,1)</f>
        <v>1</v>
      </c>
      <c r="Z107" cm="1">
        <f t="array" ref="Z107">_xlfn.XLOOKUP(Matrix[[#This Row],[TEAM]]&amp;Matrix[[#Headers],[14]],FDR[FDR]&amp;FDR[[#Headers],[14]],FDR[14],"",0,1)</f>
        <v>3</v>
      </c>
      <c r="AA107" cm="1">
        <f t="array" ref="AA107">_xlfn.XLOOKUP(Matrix[[#This Row],[TEAM]]&amp;Matrix[[#Headers],[15]],FDR[FDR]&amp;FDR[[#Headers],[15]],FDR[15],"",0,1)</f>
        <v>1</v>
      </c>
      <c r="AB107" cm="1">
        <f t="array" ref="AB107">_xlfn.XLOOKUP(Matrix[[#This Row],[TEAM]]&amp;Matrix[[#Headers],[16]],FDR[FDR]&amp;FDR[[#Headers],[16]],FDR[16],"",0,1)</f>
        <v>2</v>
      </c>
      <c r="AC107" cm="1">
        <f t="array" ref="AC107">_xlfn.XLOOKUP(Matrix[[#This Row],[TEAM]]&amp;Matrix[[#Headers],[17]],FDR[FDR]&amp;FDR[[#Headers],[17]],FDR[17],"",0,1)</f>
        <v>3</v>
      </c>
      <c r="AD107" cm="1">
        <f t="array" ref="AD107">_xlfn.XLOOKUP(Matrix[[#This Row],[TEAM]]&amp;Matrix[[#Headers],[18]],FDR[FDR]&amp;FDR[[#Headers],[18]],FDR[18],"",0,1)</f>
        <v>2</v>
      </c>
      <c r="AE107" cm="1">
        <f t="array" ref="AE107">_xlfn.XLOOKUP(Matrix[[#This Row],[TEAM]]&amp;Matrix[[#Headers],[19]],FDR[FDR]&amp;FDR[[#Headers],[19]],FDR[19],"",0,1)</f>
        <v>2</v>
      </c>
      <c r="AF107" cm="1">
        <f t="array" ref="AF107">_xlfn.XLOOKUP(Matrix[[#This Row],[TEAM]]&amp;Matrix[[#Headers],[20]],FDR[FDR]&amp;FDR[[#Headers],[20]],FDR[20],"",0,1)</f>
        <v>1</v>
      </c>
      <c r="AG107" cm="1">
        <f t="array" ref="AG107">_xlfn.XLOOKUP(Matrix[[#This Row],[TEAM]]&amp;Matrix[[#Headers],[21]],FDR[FDR]&amp;FDR[[#Headers],[21]],FDR[21],"",0,1)</f>
        <v>2</v>
      </c>
      <c r="AH107" cm="1">
        <f t="array" ref="AH107">_xlfn.XLOOKUP(Matrix[[#This Row],[TEAM]]&amp;Matrix[[#Headers],[22]],FDR[FDR]&amp;FDR[[#Headers],[22]],FDR[22],"",0,1)</f>
        <v>1</v>
      </c>
      <c r="AI107" cm="1">
        <f t="array" ref="AI107">_xlfn.XLOOKUP(Matrix[[#This Row],[TEAM]]&amp;Matrix[[#Headers],[23]],FDR[FDR]&amp;FDR[[#Headers],[23]],FDR[23],"",0,1)</f>
        <v>1</v>
      </c>
      <c r="AJ107" cm="1">
        <f t="array" ref="AJ107">_xlfn.XLOOKUP(Matrix[[#This Row],[TEAM]]&amp;Matrix[[#Headers],[24]],FDR[FDR]&amp;FDR[[#Headers],[24]],FDR[24],"",0,1)</f>
        <v>3</v>
      </c>
      <c r="AK107" cm="1">
        <f t="array" ref="AK107">_xlfn.XLOOKUP(Matrix[[#This Row],[TEAM]]&amp;Matrix[[#Headers],[25]],FDR[FDR]&amp;FDR[[#Headers],[25]],FDR[25],"",0,1)</f>
        <v>4</v>
      </c>
      <c r="AL107" cm="1">
        <f t="array" ref="AL107">_xlfn.XLOOKUP(Matrix[[#This Row],[TEAM]]&amp;Matrix[[#Headers],[26]],FDR[FDR]&amp;FDR[[#Headers],[26]],FDR[26],"",0,1)</f>
        <v>2</v>
      </c>
      <c r="AM107" cm="1">
        <f t="array" ref="AM107">_xlfn.XLOOKUP(Matrix[[#This Row],[TEAM]]&amp;Matrix[[#Headers],[27]],FDR[FDR]&amp;FDR[[#Headers],[27]],FDR[27],"",0,1)</f>
        <v>3</v>
      </c>
      <c r="AN107" cm="1">
        <f t="array" ref="AN107">_xlfn.XLOOKUP(Matrix[[#This Row],[TEAM]]&amp;Matrix[[#Headers],[28]],FDR[FDR]&amp;FDR[[#Headers],[28]],FDR[28],"",0,1)</f>
        <v>2</v>
      </c>
      <c r="AO107" cm="1">
        <f t="array" ref="AO107">_xlfn.XLOOKUP(Matrix[[#This Row],[TEAM]]&amp;Matrix[[#Headers],[29]],FDR[FDR]&amp;FDR[[#Headers],[29]],FDR[29],"",0,1)</f>
        <v>1</v>
      </c>
      <c r="AP107" cm="1">
        <f t="array" ref="AP107">_xlfn.XLOOKUP(Matrix[[#This Row],[TEAM]]&amp;Matrix[[#Headers],[30]],FDR[FDR]&amp;FDR[[#Headers],[30]],FDR[30],"",0,1)</f>
        <v>4</v>
      </c>
      <c r="AQ107" cm="1">
        <f t="array" ref="AQ107">_xlfn.XLOOKUP(Matrix[[#This Row],[TEAM]]&amp;Matrix[[#Headers],[31]],FDR[FDR]&amp;FDR[[#Headers],[31]],FDR[31],"",0,1)</f>
        <v>1</v>
      </c>
      <c r="AR107" cm="1">
        <f t="array" ref="AR107">_xlfn.XLOOKUP(Matrix[[#This Row],[TEAM]]&amp;Matrix[[#Headers],[32]],FDR[FDR]&amp;FDR[[#Headers],[32]],FDR[32],"",0,1)</f>
        <v>1</v>
      </c>
      <c r="AS107" cm="1">
        <f t="array" ref="AS107">_xlfn.XLOOKUP(Matrix[[#This Row],[TEAM]]&amp;Matrix[[#Headers],[33]],FDR[FDR]&amp;FDR[[#Headers],[33]],FDR[33],"",0,1)</f>
        <v>1</v>
      </c>
      <c r="AT107" cm="1">
        <f t="array" ref="AT107">_xlfn.XLOOKUP(Matrix[[#This Row],[TEAM]]&amp;Matrix[[#Headers],[34]],FDR[FDR]&amp;FDR[[#Headers],[34]],FDR[34],"",0,1)</f>
        <v>1</v>
      </c>
      <c r="AU107" cm="1">
        <f t="array" ref="AU107">_xlfn.XLOOKUP(Matrix[[#This Row],[TEAM]]&amp;Matrix[[#Headers],[35]],FDR[FDR]&amp;FDR[[#Headers],[35]],FDR[35],"",0,1)</f>
        <v>3</v>
      </c>
      <c r="AV107" cm="1">
        <f t="array" ref="AV107">_xlfn.XLOOKUP(Matrix[[#This Row],[TEAM]]&amp;Matrix[[#Headers],[36]],FDR[FDR]&amp;FDR[[#Headers],[36]],FDR[36],"",0,1)</f>
        <v>1</v>
      </c>
      <c r="AW107" cm="1">
        <f t="array" ref="AW107">_xlfn.XLOOKUP(Matrix[[#This Row],[TEAM]]&amp;Matrix[[#Headers],[37]],FDR[FDR]&amp;FDR[[#Headers],[37]],FDR[37],"",0,1)</f>
        <v>4</v>
      </c>
      <c r="AX107" cm="1">
        <f t="array" ref="AX107">_xlfn.XLOOKUP(Matrix[[#This Row],[TEAM]]&amp;Matrix[[#Headers],[38]],FDR[FDR]&amp;FDR[[#Headers],[38]],FDR[38],"",0,1)</f>
        <v>1</v>
      </c>
    </row>
    <row r="108" spans="1:50" ht="22" thickTop="1" thickBot="1">
      <c r="A108" s="51" t="s">
        <v>657</v>
      </c>
      <c r="B108" s="70" t="s">
        <v>1400</v>
      </c>
      <c r="C108" s="40" t="s">
        <v>29</v>
      </c>
      <c r="D108" s="62">
        <v>90</v>
      </c>
      <c r="E108" s="60">
        <v>2.5999999999999999E-2</v>
      </c>
      <c r="F108" s="61">
        <v>80.2</v>
      </c>
      <c r="G108" s="63">
        <v>5.5</v>
      </c>
      <c r="H108" s="261">
        <f>IF(ISBLANK(I108),0,1)</f>
        <v>0</v>
      </c>
      <c r="I108" s="57"/>
      <c r="J108" s="58"/>
      <c r="K108" s="65" t="s">
        <v>460</v>
      </c>
      <c r="L108" s="65" t="s">
        <v>459</v>
      </c>
      <c r="M108" cm="1">
        <f t="array" ref="M108">_xlfn.XLOOKUP(Matrix[[#This Row],[TEAM]]&amp;Matrix[[#Headers],[1]],FDR[FDR]&amp;FDR[[#Headers],[1]],FDR[1],"",0,1)</f>
        <v>1</v>
      </c>
      <c r="N108" cm="1">
        <f t="array" ref="N108">_xlfn.XLOOKUP(Matrix[[#This Row],[TEAM]]&amp;Matrix[[#Headers],[2]],FDR[FDR]&amp;FDR[[#Headers],[2]],FDR[2],"",0,1)</f>
        <v>2</v>
      </c>
      <c r="O108" cm="1">
        <f t="array" ref="O108">_xlfn.XLOOKUP(Matrix[[#This Row],[TEAM]]&amp;Matrix[[#Headers],[3]],FDR[FDR]&amp;FDR[[#Headers],[3]],FDR[3],"",0,1)</f>
        <v>2</v>
      </c>
      <c r="P108" cm="1">
        <f t="array" ref="P108">_xlfn.XLOOKUP(Matrix[[#This Row],[TEAM]]&amp;Matrix[[#Headers],[4]],FDR[FDR]&amp;FDR[[#Headers],[4]],FDR[4],"",0,1)</f>
        <v>2</v>
      </c>
      <c r="Q108" cm="1">
        <f t="array" ref="Q108">_xlfn.XLOOKUP(Matrix[[#This Row],[TEAM]]&amp;Matrix[[#Headers],[5]],FDR[FDR]&amp;FDR[[#Headers],[5]],FDR[5],"",0,1)</f>
        <v>4</v>
      </c>
      <c r="R108" cm="1">
        <f t="array" ref="R108">_xlfn.XLOOKUP(Matrix[[#This Row],[TEAM]]&amp;Matrix[[#Headers],[6]],FDR[FDR]&amp;FDR[[#Headers],[6]],FDR[6],"",0,1)</f>
        <v>1</v>
      </c>
      <c r="S108" cm="1">
        <f t="array" ref="S108">_xlfn.XLOOKUP(Matrix[[#This Row],[TEAM]]&amp;Matrix[[#Headers],[7]],FDR[FDR]&amp;FDR[[#Headers],[7]],FDR[7],"",0,1)</f>
        <v>2</v>
      </c>
      <c r="T108" cm="1">
        <f t="array" ref="T108">_xlfn.XLOOKUP(Matrix[[#This Row],[TEAM]]&amp;Matrix[[#Headers],[8]],FDR[FDR]&amp;FDR[[#Headers],[8]],FDR[8],"",0,1)</f>
        <v>1</v>
      </c>
      <c r="U108" cm="1">
        <f t="array" ref="U108">_xlfn.XLOOKUP(Matrix[[#This Row],[TEAM]]&amp;Matrix[[#Headers],[9]],FDR[FDR]&amp;FDR[[#Headers],[9]],FDR[9],"",0,1)</f>
        <v>3</v>
      </c>
      <c r="V108" cm="1">
        <f t="array" ref="V108">_xlfn.XLOOKUP(Matrix[[#This Row],[TEAM]]&amp;Matrix[[#Headers],[10]],FDR[FDR]&amp;FDR[[#Headers],[10]],FDR[10],"",0,1)</f>
        <v>1</v>
      </c>
      <c r="W108" cm="1">
        <f t="array" ref="W108">_xlfn.XLOOKUP(Matrix[[#This Row],[TEAM]]&amp;Matrix[[#Headers],[11]],FDR[FDR]&amp;FDR[[#Headers],[11]],FDR[11],"",0,1)</f>
        <v>3</v>
      </c>
      <c r="X108" cm="1">
        <f t="array" ref="X108">_xlfn.XLOOKUP(Matrix[[#This Row],[TEAM]]&amp;Matrix[[#Headers],[12]],FDR[FDR]&amp;FDR[[#Headers],[12]],FDR[12],"",0,1)</f>
        <v>3</v>
      </c>
      <c r="Y108" cm="1">
        <f t="array" ref="Y108">_xlfn.XLOOKUP(Matrix[[#This Row],[TEAM]]&amp;Matrix[[#Headers],[13]],FDR[FDR]&amp;FDR[[#Headers],[13]],FDR[13],"",0,1)</f>
        <v>1</v>
      </c>
      <c r="Z108" cm="1">
        <f t="array" ref="Z108">_xlfn.XLOOKUP(Matrix[[#This Row],[TEAM]]&amp;Matrix[[#Headers],[14]],FDR[FDR]&amp;FDR[[#Headers],[14]],FDR[14],"",0,1)</f>
        <v>2</v>
      </c>
      <c r="AA108" cm="1">
        <f t="array" ref="AA108">_xlfn.XLOOKUP(Matrix[[#This Row],[TEAM]]&amp;Matrix[[#Headers],[15]],FDR[FDR]&amp;FDR[[#Headers],[15]],FDR[15],"",0,1)</f>
        <v>1</v>
      </c>
      <c r="AB108" cm="1">
        <f t="array" ref="AB108">_xlfn.XLOOKUP(Matrix[[#This Row],[TEAM]]&amp;Matrix[[#Headers],[16]],FDR[FDR]&amp;FDR[[#Headers],[16]],FDR[16],"",0,1)</f>
        <v>2</v>
      </c>
      <c r="AC108" cm="1">
        <f t="array" ref="AC108">_xlfn.XLOOKUP(Matrix[[#This Row],[TEAM]]&amp;Matrix[[#Headers],[17]],FDR[FDR]&amp;FDR[[#Headers],[17]],FDR[17],"",0,1)</f>
        <v>1</v>
      </c>
      <c r="AD108" cm="1">
        <f t="array" ref="AD108">_xlfn.XLOOKUP(Matrix[[#This Row],[TEAM]]&amp;Matrix[[#Headers],[18]],FDR[FDR]&amp;FDR[[#Headers],[18]],FDR[18],"",0,1)</f>
        <v>2</v>
      </c>
      <c r="AE108" cm="1">
        <f t="array" ref="AE108">_xlfn.XLOOKUP(Matrix[[#This Row],[TEAM]]&amp;Matrix[[#Headers],[19]],FDR[FDR]&amp;FDR[[#Headers],[19]],FDR[19],"",0,1)</f>
        <v>1</v>
      </c>
      <c r="AF108" cm="1">
        <f t="array" ref="AF108">_xlfn.XLOOKUP(Matrix[[#This Row],[TEAM]]&amp;Matrix[[#Headers],[20]],FDR[FDR]&amp;FDR[[#Headers],[20]],FDR[20],"",0,1)</f>
        <v>2</v>
      </c>
      <c r="AG108" cm="1">
        <f t="array" ref="AG108">_xlfn.XLOOKUP(Matrix[[#This Row],[TEAM]]&amp;Matrix[[#Headers],[21]],FDR[FDR]&amp;FDR[[#Headers],[21]],FDR[21],"",0,1)</f>
        <v>1</v>
      </c>
      <c r="AH108" cm="1">
        <f t="array" ref="AH108">_xlfn.XLOOKUP(Matrix[[#This Row],[TEAM]]&amp;Matrix[[#Headers],[22]],FDR[FDR]&amp;FDR[[#Headers],[22]],FDR[22],"",0,1)</f>
        <v>3</v>
      </c>
      <c r="AI108" cm="1">
        <f t="array" ref="AI108">_xlfn.XLOOKUP(Matrix[[#This Row],[TEAM]]&amp;Matrix[[#Headers],[23]],FDR[FDR]&amp;FDR[[#Headers],[23]],FDR[23],"",0,1)</f>
        <v>1</v>
      </c>
      <c r="AJ108" cm="1">
        <f t="array" ref="AJ108">_xlfn.XLOOKUP(Matrix[[#This Row],[TEAM]]&amp;Matrix[[#Headers],[24]],FDR[FDR]&amp;FDR[[#Headers],[24]],FDR[24],"",0,1)</f>
        <v>3</v>
      </c>
      <c r="AK108" cm="1">
        <f t="array" ref="AK108">_xlfn.XLOOKUP(Matrix[[#This Row],[TEAM]]&amp;Matrix[[#Headers],[25]],FDR[FDR]&amp;FDR[[#Headers],[25]],FDR[25],"",0,1)</f>
        <v>4</v>
      </c>
      <c r="AL108" cm="1">
        <f t="array" ref="AL108">_xlfn.XLOOKUP(Matrix[[#This Row],[TEAM]]&amp;Matrix[[#Headers],[26]],FDR[FDR]&amp;FDR[[#Headers],[26]],FDR[26],"",0,1)</f>
        <v>1</v>
      </c>
      <c r="AM108" cm="1">
        <f t="array" ref="AM108">_xlfn.XLOOKUP(Matrix[[#This Row],[TEAM]]&amp;Matrix[[#Headers],[27]],FDR[FDR]&amp;FDR[[#Headers],[27]],FDR[27],"",0,1)</f>
        <v>2</v>
      </c>
      <c r="AN108" cm="1">
        <f t="array" ref="AN108">_xlfn.XLOOKUP(Matrix[[#This Row],[TEAM]]&amp;Matrix[[#Headers],[28]],FDR[FDR]&amp;FDR[[#Headers],[28]],FDR[28],"",0,1)</f>
        <v>1</v>
      </c>
      <c r="AO108" cm="1">
        <f t="array" ref="AO108">_xlfn.XLOOKUP(Matrix[[#This Row],[TEAM]]&amp;Matrix[[#Headers],[29]],FDR[FDR]&amp;FDR[[#Headers],[29]],FDR[29],"",0,1)</f>
        <v>1</v>
      </c>
      <c r="AP108" cm="1">
        <f t="array" ref="AP108">_xlfn.XLOOKUP(Matrix[[#This Row],[TEAM]]&amp;Matrix[[#Headers],[30]],FDR[FDR]&amp;FDR[[#Headers],[30]],FDR[30],"",0,1)</f>
        <v>2</v>
      </c>
      <c r="AQ108" cm="1">
        <f t="array" ref="AQ108">_xlfn.XLOOKUP(Matrix[[#This Row],[TEAM]]&amp;Matrix[[#Headers],[31]],FDR[FDR]&amp;FDR[[#Headers],[31]],FDR[31],"",0,1)</f>
        <v>1</v>
      </c>
      <c r="AR108" cm="1">
        <f t="array" ref="AR108">_xlfn.XLOOKUP(Matrix[[#This Row],[TEAM]]&amp;Matrix[[#Headers],[32]],FDR[FDR]&amp;FDR[[#Headers],[32]],FDR[32],"",0,1)</f>
        <v>3</v>
      </c>
      <c r="AS108" cm="1">
        <f t="array" ref="AS108">_xlfn.XLOOKUP(Matrix[[#This Row],[TEAM]]&amp;Matrix[[#Headers],[33]],FDR[FDR]&amp;FDR[[#Headers],[33]],FDR[33],"",0,1)</f>
        <v>3</v>
      </c>
      <c r="AT108" cm="1">
        <f t="array" ref="AT108">_xlfn.XLOOKUP(Matrix[[#This Row],[TEAM]]&amp;Matrix[[#Headers],[34]],FDR[FDR]&amp;FDR[[#Headers],[34]],FDR[34],"",0,1)</f>
        <v>1</v>
      </c>
      <c r="AU108" cm="1">
        <f t="array" ref="AU108">_xlfn.XLOOKUP(Matrix[[#This Row],[TEAM]]&amp;Matrix[[#Headers],[35]],FDR[FDR]&amp;FDR[[#Headers],[35]],FDR[35],"",0,1)</f>
        <v>2</v>
      </c>
      <c r="AV108" cm="1">
        <f t="array" ref="AV108">_xlfn.XLOOKUP(Matrix[[#This Row],[TEAM]]&amp;Matrix[[#Headers],[36]],FDR[FDR]&amp;FDR[[#Headers],[36]],FDR[36],"",0,1)</f>
        <v>1</v>
      </c>
      <c r="AW108" cm="1">
        <f t="array" ref="AW108">_xlfn.XLOOKUP(Matrix[[#This Row],[TEAM]]&amp;Matrix[[#Headers],[37]],FDR[FDR]&amp;FDR[[#Headers],[37]],FDR[37],"",0,1)</f>
        <v>2</v>
      </c>
      <c r="AX108" cm="1">
        <f t="array" ref="AX108">_xlfn.XLOOKUP(Matrix[[#This Row],[TEAM]]&amp;Matrix[[#Headers],[38]],FDR[FDR]&amp;FDR[[#Headers],[38]],FDR[38],"",0,1)</f>
        <v>2</v>
      </c>
    </row>
    <row r="109" spans="1:50" ht="22" thickTop="1" thickBot="1">
      <c r="A109" s="51" t="s">
        <v>657</v>
      </c>
      <c r="B109" s="70" t="s">
        <v>1395</v>
      </c>
      <c r="C109" s="40" t="s">
        <v>18</v>
      </c>
      <c r="D109" s="62">
        <v>54</v>
      </c>
      <c r="E109" s="60">
        <v>4.8000000000000001E-2</v>
      </c>
      <c r="F109" s="61">
        <v>46.7</v>
      </c>
      <c r="G109" s="63">
        <v>5.5</v>
      </c>
      <c r="H109" s="261">
        <f>IF(ISBLANK(I109),0,1)</f>
        <v>0</v>
      </c>
      <c r="I109" s="57"/>
      <c r="J109" s="58"/>
      <c r="K109" s="65" t="s">
        <v>504</v>
      </c>
      <c r="L109" s="65" t="s">
        <v>111</v>
      </c>
      <c r="M109" cm="1">
        <f t="array" ref="M109">_xlfn.XLOOKUP(Matrix[[#This Row],[TEAM]]&amp;Matrix[[#Headers],[1]],FDR[FDR]&amp;FDR[[#Headers],[1]],FDR[1],"",0,1)</f>
        <v>1</v>
      </c>
      <c r="N109" cm="1">
        <f t="array" ref="N109">_xlfn.XLOOKUP(Matrix[[#This Row],[TEAM]]&amp;Matrix[[#Headers],[2]],FDR[FDR]&amp;FDR[[#Headers],[2]],FDR[2],"",0,1)</f>
        <v>2</v>
      </c>
      <c r="O109" cm="1">
        <f t="array" ref="O109">_xlfn.XLOOKUP(Matrix[[#This Row],[TEAM]]&amp;Matrix[[#Headers],[3]],FDR[FDR]&amp;FDR[[#Headers],[3]],FDR[3],"",0,1)</f>
        <v>1</v>
      </c>
      <c r="P109" cm="1">
        <f t="array" ref="P109">_xlfn.XLOOKUP(Matrix[[#This Row],[TEAM]]&amp;Matrix[[#Headers],[4]],FDR[FDR]&amp;FDR[[#Headers],[4]],FDR[4],"",0,1)</f>
        <v>2</v>
      </c>
      <c r="Q109" cm="1">
        <f t="array" ref="Q109">_xlfn.XLOOKUP(Matrix[[#This Row],[TEAM]]&amp;Matrix[[#Headers],[5]],FDR[FDR]&amp;FDR[[#Headers],[5]],FDR[5],"",0,1)</f>
        <v>3</v>
      </c>
      <c r="R109" cm="1">
        <f t="array" ref="R109">_xlfn.XLOOKUP(Matrix[[#This Row],[TEAM]]&amp;Matrix[[#Headers],[6]],FDR[FDR]&amp;FDR[[#Headers],[6]],FDR[6],"",0,1)</f>
        <v>1</v>
      </c>
      <c r="S109" cm="1">
        <f t="array" ref="S109">_xlfn.XLOOKUP(Matrix[[#This Row],[TEAM]]&amp;Matrix[[#Headers],[7]],FDR[FDR]&amp;FDR[[#Headers],[7]],FDR[7],"",0,1)</f>
        <v>3</v>
      </c>
      <c r="T109" cm="1">
        <f t="array" ref="T109">_xlfn.XLOOKUP(Matrix[[#This Row],[TEAM]]&amp;Matrix[[#Headers],[8]],FDR[FDR]&amp;FDR[[#Headers],[8]],FDR[8],"",0,1)</f>
        <v>2</v>
      </c>
      <c r="U109" cm="1">
        <f t="array" ref="U109">_xlfn.XLOOKUP(Matrix[[#This Row],[TEAM]]&amp;Matrix[[#Headers],[9]],FDR[FDR]&amp;FDR[[#Headers],[9]],FDR[9],"",0,1)</f>
        <v>1</v>
      </c>
      <c r="V109" cm="1">
        <f t="array" ref="V109">_xlfn.XLOOKUP(Matrix[[#This Row],[TEAM]]&amp;Matrix[[#Headers],[10]],FDR[FDR]&amp;FDR[[#Headers],[10]],FDR[10],"",0,1)</f>
        <v>3</v>
      </c>
      <c r="W109" cm="1">
        <f t="array" ref="W109">_xlfn.XLOOKUP(Matrix[[#This Row],[TEAM]]&amp;Matrix[[#Headers],[11]],FDR[FDR]&amp;FDR[[#Headers],[11]],FDR[11],"",0,1)</f>
        <v>1</v>
      </c>
      <c r="X109" cm="1">
        <f t="array" ref="X109">_xlfn.XLOOKUP(Matrix[[#This Row],[TEAM]]&amp;Matrix[[#Headers],[12]],FDR[FDR]&amp;FDR[[#Headers],[12]],FDR[12],"",0,1)</f>
        <v>1</v>
      </c>
      <c r="Y109" cm="1">
        <f t="array" ref="Y109">_xlfn.XLOOKUP(Matrix[[#This Row],[TEAM]]&amp;Matrix[[#Headers],[13]],FDR[FDR]&amp;FDR[[#Headers],[13]],FDR[13],"",0,1)</f>
        <v>3</v>
      </c>
      <c r="Z109" cm="1">
        <f t="array" ref="Z109">_xlfn.XLOOKUP(Matrix[[#This Row],[TEAM]]&amp;Matrix[[#Headers],[14]],FDR[FDR]&amp;FDR[[#Headers],[14]],FDR[14],"",0,1)</f>
        <v>1</v>
      </c>
      <c r="AA109" cm="1">
        <f t="array" ref="AA109">_xlfn.XLOOKUP(Matrix[[#This Row],[TEAM]]&amp;Matrix[[#Headers],[15]],FDR[FDR]&amp;FDR[[#Headers],[15]],FDR[15],"",0,1)</f>
        <v>2</v>
      </c>
      <c r="AB109" cm="1">
        <f t="array" ref="AB109">_xlfn.XLOOKUP(Matrix[[#This Row],[TEAM]]&amp;Matrix[[#Headers],[16]],FDR[FDR]&amp;FDR[[#Headers],[16]],FDR[16],"",0,1)</f>
        <v>1</v>
      </c>
      <c r="AC109" cm="1">
        <f t="array" ref="AC109">_xlfn.XLOOKUP(Matrix[[#This Row],[TEAM]]&amp;Matrix[[#Headers],[17]],FDR[FDR]&amp;FDR[[#Headers],[17]],FDR[17],"",0,1)</f>
        <v>3</v>
      </c>
      <c r="AD109" cm="1">
        <f t="array" ref="AD109">_xlfn.XLOOKUP(Matrix[[#This Row],[TEAM]]&amp;Matrix[[#Headers],[18]],FDR[FDR]&amp;FDR[[#Headers],[18]],FDR[18],"",0,1)</f>
        <v>2</v>
      </c>
      <c r="AE109" cm="1">
        <f t="array" ref="AE109">_xlfn.XLOOKUP(Matrix[[#This Row],[TEAM]]&amp;Matrix[[#Headers],[19]],FDR[FDR]&amp;FDR[[#Headers],[19]],FDR[19],"",0,1)</f>
        <v>1</v>
      </c>
      <c r="AF109" cm="1">
        <f t="array" ref="AF109">_xlfn.XLOOKUP(Matrix[[#This Row],[TEAM]]&amp;Matrix[[#Headers],[20]],FDR[FDR]&amp;FDR[[#Headers],[20]],FDR[20],"",0,1)</f>
        <v>4</v>
      </c>
      <c r="AG109" cm="1">
        <f t="array" ref="AG109">_xlfn.XLOOKUP(Matrix[[#This Row],[TEAM]]&amp;Matrix[[#Headers],[21]],FDR[FDR]&amp;FDR[[#Headers],[21]],FDR[21],"",0,1)</f>
        <v>2</v>
      </c>
      <c r="AH109" cm="1">
        <f t="array" ref="AH109">_xlfn.XLOOKUP(Matrix[[#This Row],[TEAM]]&amp;Matrix[[#Headers],[22]],FDR[FDR]&amp;FDR[[#Headers],[22]],FDR[22],"",0,1)</f>
        <v>1</v>
      </c>
      <c r="AI109" cm="1">
        <f t="array" ref="AI109">_xlfn.XLOOKUP(Matrix[[#This Row],[TEAM]]&amp;Matrix[[#Headers],[23]],FDR[FDR]&amp;FDR[[#Headers],[23]],FDR[23],"",0,1)</f>
        <v>2</v>
      </c>
      <c r="AJ109" cm="1">
        <f t="array" ref="AJ109">_xlfn.XLOOKUP(Matrix[[#This Row],[TEAM]]&amp;Matrix[[#Headers],[24]],FDR[FDR]&amp;FDR[[#Headers],[24]],FDR[24],"",0,1)</f>
        <v>1</v>
      </c>
      <c r="AK109" cm="1">
        <f t="array" ref="AK109">_xlfn.XLOOKUP(Matrix[[#This Row],[TEAM]]&amp;Matrix[[#Headers],[25]],FDR[FDR]&amp;FDR[[#Headers],[25]],FDR[25],"",0,1)</f>
        <v>1</v>
      </c>
      <c r="AL109" cm="1">
        <f t="array" ref="AL109">_xlfn.XLOOKUP(Matrix[[#This Row],[TEAM]]&amp;Matrix[[#Headers],[26]],FDR[FDR]&amp;FDR[[#Headers],[26]],FDR[26],"",0,1)</f>
        <v>1</v>
      </c>
      <c r="AM109" cm="1">
        <f t="array" ref="AM109">_xlfn.XLOOKUP(Matrix[[#This Row],[TEAM]]&amp;Matrix[[#Headers],[27]],FDR[FDR]&amp;FDR[[#Headers],[27]],FDR[27],"",0,1)</f>
        <v>1</v>
      </c>
      <c r="AN109" cm="1">
        <f t="array" ref="AN109">_xlfn.XLOOKUP(Matrix[[#This Row],[TEAM]]&amp;Matrix[[#Headers],[28]],FDR[FDR]&amp;FDR[[#Headers],[28]],FDR[28],"",0,1)</f>
        <v>4</v>
      </c>
      <c r="AO109" cm="1">
        <f t="array" ref="AO109">_xlfn.XLOOKUP(Matrix[[#This Row],[TEAM]]&amp;Matrix[[#Headers],[29]],FDR[FDR]&amp;FDR[[#Headers],[29]],FDR[29],"",0,1)</f>
        <v>3</v>
      </c>
      <c r="AP109" cm="1">
        <f t="array" ref="AP109">_xlfn.XLOOKUP(Matrix[[#This Row],[TEAM]]&amp;Matrix[[#Headers],[30]],FDR[FDR]&amp;FDR[[#Headers],[30]],FDR[30],"",0,1)</f>
        <v>2</v>
      </c>
      <c r="AQ109" cm="1">
        <f t="array" ref="AQ109">_xlfn.XLOOKUP(Matrix[[#This Row],[TEAM]]&amp;Matrix[[#Headers],[31]],FDR[FDR]&amp;FDR[[#Headers],[31]],FDR[31],"",0,1)</f>
        <v>2</v>
      </c>
      <c r="AR109" cm="1">
        <f t="array" ref="AR109">_xlfn.XLOOKUP(Matrix[[#This Row],[TEAM]]&amp;Matrix[[#Headers],[32]],FDR[FDR]&amp;FDR[[#Headers],[32]],FDR[32],"",0,1)</f>
        <v>3</v>
      </c>
      <c r="AS109" cm="1">
        <f t="array" ref="AS109">_xlfn.XLOOKUP(Matrix[[#This Row],[TEAM]]&amp;Matrix[[#Headers],[33]],FDR[FDR]&amp;FDR[[#Headers],[33]],FDR[33],"",0,1)</f>
        <v>2</v>
      </c>
      <c r="AT109" cm="1">
        <f t="array" ref="AT109">_xlfn.XLOOKUP(Matrix[[#This Row],[TEAM]]&amp;Matrix[[#Headers],[34]],FDR[FDR]&amp;FDR[[#Headers],[34]],FDR[34],"",0,1)</f>
        <v>2</v>
      </c>
      <c r="AU109" cm="1">
        <f t="array" ref="AU109">_xlfn.XLOOKUP(Matrix[[#This Row],[TEAM]]&amp;Matrix[[#Headers],[35]],FDR[FDR]&amp;FDR[[#Headers],[35]],FDR[35],"",0,1)</f>
        <v>1</v>
      </c>
      <c r="AV109" cm="1">
        <f t="array" ref="AV109">_xlfn.XLOOKUP(Matrix[[#This Row],[TEAM]]&amp;Matrix[[#Headers],[36]],FDR[FDR]&amp;FDR[[#Headers],[36]],FDR[36],"",0,1)</f>
        <v>4</v>
      </c>
      <c r="AW109" cm="1">
        <f t="array" ref="AW109">_xlfn.XLOOKUP(Matrix[[#This Row],[TEAM]]&amp;Matrix[[#Headers],[37]],FDR[FDR]&amp;FDR[[#Headers],[37]],FDR[37],"",0,1)</f>
        <v>2</v>
      </c>
      <c r="AX109" cm="1">
        <f t="array" ref="AX109">_xlfn.XLOOKUP(Matrix[[#This Row],[TEAM]]&amp;Matrix[[#Headers],[38]],FDR[FDR]&amp;FDR[[#Headers],[38]],FDR[38],"",0,1)</f>
        <v>1</v>
      </c>
    </row>
    <row r="110" spans="1:50" ht="22" thickTop="1" thickBot="1">
      <c r="A110" s="51" t="s">
        <v>657</v>
      </c>
      <c r="B110" s="70" t="s">
        <v>1441</v>
      </c>
      <c r="C110" s="40" t="s">
        <v>20</v>
      </c>
      <c r="D110" s="62">
        <v>43</v>
      </c>
      <c r="E110" s="60">
        <v>1E-3</v>
      </c>
      <c r="F110" s="61">
        <v>39.200000000000003</v>
      </c>
      <c r="G110" s="63">
        <v>5.5</v>
      </c>
      <c r="H110" s="261">
        <f>IF(ISBLANK(I110),0,1)</f>
        <v>0</v>
      </c>
      <c r="I110" s="57"/>
      <c r="J110" s="58"/>
      <c r="K110" s="65" t="s">
        <v>537</v>
      </c>
      <c r="L110" s="65" t="s">
        <v>161</v>
      </c>
      <c r="M110" cm="1">
        <f t="array" ref="M110">_xlfn.XLOOKUP(Matrix[[#This Row],[TEAM]]&amp;Matrix[[#Headers],[1]],FDR[FDR]&amp;FDR[[#Headers],[1]],FDR[1],"",0,1)</f>
        <v>3</v>
      </c>
      <c r="N110" cm="1">
        <f t="array" ref="N110">_xlfn.XLOOKUP(Matrix[[#This Row],[TEAM]]&amp;Matrix[[#Headers],[2]],FDR[FDR]&amp;FDR[[#Headers],[2]],FDR[2],"",0,1)</f>
        <v>1</v>
      </c>
      <c r="O110" cm="1">
        <f t="array" ref="O110">_xlfn.XLOOKUP(Matrix[[#This Row],[TEAM]]&amp;Matrix[[#Headers],[3]],FDR[FDR]&amp;FDR[[#Headers],[3]],FDR[3],"",0,1)</f>
        <v>4</v>
      </c>
      <c r="P110" cm="1">
        <f t="array" ref="P110">_xlfn.XLOOKUP(Matrix[[#This Row],[TEAM]]&amp;Matrix[[#Headers],[4]],FDR[FDR]&amp;FDR[[#Headers],[4]],FDR[4],"",0,1)</f>
        <v>1</v>
      </c>
      <c r="Q110" cm="1">
        <f t="array" ref="Q110">_xlfn.XLOOKUP(Matrix[[#This Row],[TEAM]]&amp;Matrix[[#Headers],[5]],FDR[FDR]&amp;FDR[[#Headers],[5]],FDR[5],"",0,1)</f>
        <v>3</v>
      </c>
      <c r="R110" cm="1">
        <f t="array" ref="R110">_xlfn.XLOOKUP(Matrix[[#This Row],[TEAM]]&amp;Matrix[[#Headers],[6]],FDR[FDR]&amp;FDR[[#Headers],[6]],FDR[6],"",0,1)</f>
        <v>3</v>
      </c>
      <c r="S110" cm="1">
        <f t="array" ref="S110">_xlfn.XLOOKUP(Matrix[[#This Row],[TEAM]]&amp;Matrix[[#Headers],[7]],FDR[FDR]&amp;FDR[[#Headers],[7]],FDR[7],"",0,1)</f>
        <v>1</v>
      </c>
      <c r="T110" cm="1">
        <f t="array" ref="T110">_xlfn.XLOOKUP(Matrix[[#This Row],[TEAM]]&amp;Matrix[[#Headers],[8]],FDR[FDR]&amp;FDR[[#Headers],[8]],FDR[8],"",0,1)</f>
        <v>2</v>
      </c>
      <c r="U110" cm="1">
        <f t="array" ref="U110">_xlfn.XLOOKUP(Matrix[[#This Row],[TEAM]]&amp;Matrix[[#Headers],[9]],FDR[FDR]&amp;FDR[[#Headers],[9]],FDR[9],"",0,1)</f>
        <v>1</v>
      </c>
      <c r="V110" cm="1">
        <f t="array" ref="V110">_xlfn.XLOOKUP(Matrix[[#This Row],[TEAM]]&amp;Matrix[[#Headers],[10]],FDR[FDR]&amp;FDR[[#Headers],[10]],FDR[10],"",0,1)</f>
        <v>1</v>
      </c>
      <c r="W110" cm="1">
        <f t="array" ref="W110">_xlfn.XLOOKUP(Matrix[[#This Row],[TEAM]]&amp;Matrix[[#Headers],[11]],FDR[FDR]&amp;FDR[[#Headers],[11]],FDR[11],"",0,1)</f>
        <v>1</v>
      </c>
      <c r="X110" cm="1">
        <f t="array" ref="X110">_xlfn.XLOOKUP(Matrix[[#This Row],[TEAM]]&amp;Matrix[[#Headers],[12]],FDR[FDR]&amp;FDR[[#Headers],[12]],FDR[12],"",0,1)</f>
        <v>2</v>
      </c>
      <c r="Y110" cm="1">
        <f t="array" ref="Y110">_xlfn.XLOOKUP(Matrix[[#This Row],[TEAM]]&amp;Matrix[[#Headers],[13]],FDR[FDR]&amp;FDR[[#Headers],[13]],FDR[13],"",0,1)</f>
        <v>3</v>
      </c>
      <c r="Z110" cm="1">
        <f t="array" ref="Z110">_xlfn.XLOOKUP(Matrix[[#This Row],[TEAM]]&amp;Matrix[[#Headers],[14]],FDR[FDR]&amp;FDR[[#Headers],[14]],FDR[14],"",0,1)</f>
        <v>1</v>
      </c>
      <c r="AA110" cm="1">
        <f t="array" ref="AA110">_xlfn.XLOOKUP(Matrix[[#This Row],[TEAM]]&amp;Matrix[[#Headers],[15]],FDR[FDR]&amp;FDR[[#Headers],[15]],FDR[15],"",0,1)</f>
        <v>3</v>
      </c>
      <c r="AB110" cm="1">
        <f t="array" ref="AB110">_xlfn.XLOOKUP(Matrix[[#This Row],[TEAM]]&amp;Matrix[[#Headers],[16]],FDR[FDR]&amp;FDR[[#Headers],[16]],FDR[16],"",0,1)</f>
        <v>1</v>
      </c>
      <c r="AC110" cm="1">
        <f t="array" ref="AC110">_xlfn.XLOOKUP(Matrix[[#This Row],[TEAM]]&amp;Matrix[[#Headers],[17]],FDR[FDR]&amp;FDR[[#Headers],[17]],FDR[17],"",0,1)</f>
        <v>2</v>
      </c>
      <c r="AD110" cm="1">
        <f t="array" ref="AD110">_xlfn.XLOOKUP(Matrix[[#This Row],[TEAM]]&amp;Matrix[[#Headers],[18]],FDR[FDR]&amp;FDR[[#Headers],[18]],FDR[18],"",0,1)</f>
        <v>1</v>
      </c>
      <c r="AE110" cm="1">
        <f t="array" ref="AE110">_xlfn.XLOOKUP(Matrix[[#This Row],[TEAM]]&amp;Matrix[[#Headers],[19]],FDR[FDR]&amp;FDR[[#Headers],[19]],FDR[19],"",0,1)</f>
        <v>2</v>
      </c>
      <c r="AF110" cm="1">
        <f t="array" ref="AF110">_xlfn.XLOOKUP(Matrix[[#This Row],[TEAM]]&amp;Matrix[[#Headers],[20]],FDR[FDR]&amp;FDR[[#Headers],[20]],FDR[20],"",0,1)</f>
        <v>2</v>
      </c>
      <c r="AG110" cm="1">
        <f t="array" ref="AG110">_xlfn.XLOOKUP(Matrix[[#This Row],[TEAM]]&amp;Matrix[[#Headers],[21]],FDR[FDR]&amp;FDR[[#Headers],[21]],FDR[21],"",0,1)</f>
        <v>3</v>
      </c>
      <c r="AH110" cm="1">
        <f t="array" ref="AH110">_xlfn.XLOOKUP(Matrix[[#This Row],[TEAM]]&amp;Matrix[[#Headers],[22]],FDR[FDR]&amp;FDR[[#Headers],[22]],FDR[22],"",0,1)</f>
        <v>2</v>
      </c>
      <c r="AI110" cm="1">
        <f t="array" ref="AI110">_xlfn.XLOOKUP(Matrix[[#This Row],[TEAM]]&amp;Matrix[[#Headers],[23]],FDR[FDR]&amp;FDR[[#Headers],[23]],FDR[23],"",0,1)</f>
        <v>2</v>
      </c>
      <c r="AJ110" cm="1">
        <f t="array" ref="AJ110">_xlfn.XLOOKUP(Matrix[[#This Row],[TEAM]]&amp;Matrix[[#Headers],[24]],FDR[FDR]&amp;FDR[[#Headers],[24]],FDR[24],"",0,1)</f>
        <v>1</v>
      </c>
      <c r="AK110" cm="1">
        <f t="array" ref="AK110">_xlfn.XLOOKUP(Matrix[[#This Row],[TEAM]]&amp;Matrix[[#Headers],[25]],FDR[FDR]&amp;FDR[[#Headers],[25]],FDR[25],"",0,1)</f>
        <v>1</v>
      </c>
      <c r="AL110" cm="1">
        <f t="array" ref="AL110">_xlfn.XLOOKUP(Matrix[[#This Row],[TEAM]]&amp;Matrix[[#Headers],[26]],FDR[FDR]&amp;FDR[[#Headers],[26]],FDR[26],"",0,1)</f>
        <v>2</v>
      </c>
      <c r="AM110" cm="1">
        <f t="array" ref="AM110">_xlfn.XLOOKUP(Matrix[[#This Row],[TEAM]]&amp;Matrix[[#Headers],[27]],FDR[FDR]&amp;FDR[[#Headers],[27]],FDR[27],"",0,1)</f>
        <v>3</v>
      </c>
      <c r="AN110" cm="1">
        <f t="array" ref="AN110">_xlfn.XLOOKUP(Matrix[[#This Row],[TEAM]]&amp;Matrix[[#Headers],[28]],FDR[FDR]&amp;FDR[[#Headers],[28]],FDR[28],"",0,1)</f>
        <v>2</v>
      </c>
      <c r="AO110" cm="1">
        <f t="array" ref="AO110">_xlfn.XLOOKUP(Matrix[[#This Row],[TEAM]]&amp;Matrix[[#Headers],[29]],FDR[FDR]&amp;FDR[[#Headers],[29]],FDR[29],"",0,1)</f>
        <v>2</v>
      </c>
      <c r="AP110" cm="1">
        <f t="array" ref="AP110">_xlfn.XLOOKUP(Matrix[[#This Row],[TEAM]]&amp;Matrix[[#Headers],[30]],FDR[FDR]&amp;FDR[[#Headers],[30]],FDR[30],"",0,1)</f>
        <v>1</v>
      </c>
      <c r="AQ110" cm="1">
        <f t="array" ref="AQ110">_xlfn.XLOOKUP(Matrix[[#This Row],[TEAM]]&amp;Matrix[[#Headers],[31]],FDR[FDR]&amp;FDR[[#Headers],[31]],FDR[31],"",0,1)</f>
        <v>1</v>
      </c>
      <c r="AR110" cm="1">
        <f t="array" ref="AR110">_xlfn.XLOOKUP(Matrix[[#This Row],[TEAM]]&amp;Matrix[[#Headers],[32]],FDR[FDR]&amp;FDR[[#Headers],[32]],FDR[32],"",0,1)</f>
        <v>1</v>
      </c>
      <c r="AS110" cm="1">
        <f t="array" ref="AS110">_xlfn.XLOOKUP(Matrix[[#This Row],[TEAM]]&amp;Matrix[[#Headers],[33]],FDR[FDR]&amp;FDR[[#Headers],[33]],FDR[33],"",0,1)</f>
        <v>3</v>
      </c>
      <c r="AT110" cm="1">
        <f t="array" ref="AT110">_xlfn.XLOOKUP(Matrix[[#This Row],[TEAM]]&amp;Matrix[[#Headers],[34]],FDR[FDR]&amp;FDR[[#Headers],[34]],FDR[34],"",0,1)</f>
        <v>2</v>
      </c>
      <c r="AU110" cm="1">
        <f t="array" ref="AU110">_xlfn.XLOOKUP(Matrix[[#This Row],[TEAM]]&amp;Matrix[[#Headers],[35]],FDR[FDR]&amp;FDR[[#Headers],[35]],FDR[35],"",0,1)</f>
        <v>1</v>
      </c>
      <c r="AV110" cm="1">
        <f t="array" ref="AV110">_xlfn.XLOOKUP(Matrix[[#This Row],[TEAM]]&amp;Matrix[[#Headers],[36]],FDR[FDR]&amp;FDR[[#Headers],[36]],FDR[36],"",0,1)</f>
        <v>2</v>
      </c>
      <c r="AW110" cm="1">
        <f t="array" ref="AW110">_xlfn.XLOOKUP(Matrix[[#This Row],[TEAM]]&amp;Matrix[[#Headers],[37]],FDR[FDR]&amp;FDR[[#Headers],[37]],FDR[37],"",0,1)</f>
        <v>1</v>
      </c>
      <c r="AX110" cm="1">
        <f t="array" ref="AX110">_xlfn.XLOOKUP(Matrix[[#This Row],[TEAM]]&amp;Matrix[[#Headers],[38]],FDR[FDR]&amp;FDR[[#Headers],[38]],FDR[38],"",0,1)</f>
        <v>2</v>
      </c>
    </row>
    <row r="111" spans="1:50" ht="22" thickTop="1" thickBot="1">
      <c r="A111" s="51" t="s">
        <v>657</v>
      </c>
      <c r="B111" s="70" t="s">
        <v>1424</v>
      </c>
      <c r="C111" s="40" t="s">
        <v>29</v>
      </c>
      <c r="D111" s="62">
        <v>29</v>
      </c>
      <c r="E111" s="60">
        <v>5.0000000000000001E-3</v>
      </c>
      <c r="F111" s="61">
        <v>27.4</v>
      </c>
      <c r="G111" s="63">
        <v>5.5</v>
      </c>
      <c r="H111" s="261">
        <f>IF(ISBLANK(I111),0,1)</f>
        <v>0</v>
      </c>
      <c r="I111" s="57"/>
      <c r="J111" s="58"/>
      <c r="K111" s="65" t="s">
        <v>437</v>
      </c>
      <c r="L111" s="65" t="s">
        <v>110</v>
      </c>
      <c r="M111" cm="1">
        <f t="array" ref="M111">_xlfn.XLOOKUP(Matrix[[#This Row],[TEAM]]&amp;Matrix[[#Headers],[1]],FDR[FDR]&amp;FDR[[#Headers],[1]],FDR[1],"",0,1)</f>
        <v>1</v>
      </c>
      <c r="N111" cm="1">
        <f t="array" ref="N111">_xlfn.XLOOKUP(Matrix[[#This Row],[TEAM]]&amp;Matrix[[#Headers],[2]],FDR[FDR]&amp;FDR[[#Headers],[2]],FDR[2],"",0,1)</f>
        <v>2</v>
      </c>
      <c r="O111" cm="1">
        <f t="array" ref="O111">_xlfn.XLOOKUP(Matrix[[#This Row],[TEAM]]&amp;Matrix[[#Headers],[3]],FDR[FDR]&amp;FDR[[#Headers],[3]],FDR[3],"",0,1)</f>
        <v>2</v>
      </c>
      <c r="P111" cm="1">
        <f t="array" ref="P111">_xlfn.XLOOKUP(Matrix[[#This Row],[TEAM]]&amp;Matrix[[#Headers],[4]],FDR[FDR]&amp;FDR[[#Headers],[4]],FDR[4],"",0,1)</f>
        <v>2</v>
      </c>
      <c r="Q111" cm="1">
        <f t="array" ref="Q111">_xlfn.XLOOKUP(Matrix[[#This Row],[TEAM]]&amp;Matrix[[#Headers],[5]],FDR[FDR]&amp;FDR[[#Headers],[5]],FDR[5],"",0,1)</f>
        <v>4</v>
      </c>
      <c r="R111" cm="1">
        <f t="array" ref="R111">_xlfn.XLOOKUP(Matrix[[#This Row],[TEAM]]&amp;Matrix[[#Headers],[6]],FDR[FDR]&amp;FDR[[#Headers],[6]],FDR[6],"",0,1)</f>
        <v>1</v>
      </c>
      <c r="S111" cm="1">
        <f t="array" ref="S111">_xlfn.XLOOKUP(Matrix[[#This Row],[TEAM]]&amp;Matrix[[#Headers],[7]],FDR[FDR]&amp;FDR[[#Headers],[7]],FDR[7],"",0,1)</f>
        <v>2</v>
      </c>
      <c r="T111" cm="1">
        <f t="array" ref="T111">_xlfn.XLOOKUP(Matrix[[#This Row],[TEAM]]&amp;Matrix[[#Headers],[8]],FDR[FDR]&amp;FDR[[#Headers],[8]],FDR[8],"",0,1)</f>
        <v>1</v>
      </c>
      <c r="U111" cm="1">
        <f t="array" ref="U111">_xlfn.XLOOKUP(Matrix[[#This Row],[TEAM]]&amp;Matrix[[#Headers],[9]],FDR[FDR]&amp;FDR[[#Headers],[9]],FDR[9],"",0,1)</f>
        <v>3</v>
      </c>
      <c r="V111" cm="1">
        <f t="array" ref="V111">_xlfn.XLOOKUP(Matrix[[#This Row],[TEAM]]&amp;Matrix[[#Headers],[10]],FDR[FDR]&amp;FDR[[#Headers],[10]],FDR[10],"",0,1)</f>
        <v>1</v>
      </c>
      <c r="W111" cm="1">
        <f t="array" ref="W111">_xlfn.XLOOKUP(Matrix[[#This Row],[TEAM]]&amp;Matrix[[#Headers],[11]],FDR[FDR]&amp;FDR[[#Headers],[11]],FDR[11],"",0,1)</f>
        <v>3</v>
      </c>
      <c r="X111" cm="1">
        <f t="array" ref="X111">_xlfn.XLOOKUP(Matrix[[#This Row],[TEAM]]&amp;Matrix[[#Headers],[12]],FDR[FDR]&amp;FDR[[#Headers],[12]],FDR[12],"",0,1)</f>
        <v>3</v>
      </c>
      <c r="Y111" cm="1">
        <f t="array" ref="Y111">_xlfn.XLOOKUP(Matrix[[#This Row],[TEAM]]&amp;Matrix[[#Headers],[13]],FDR[FDR]&amp;FDR[[#Headers],[13]],FDR[13],"",0,1)</f>
        <v>1</v>
      </c>
      <c r="Z111" cm="1">
        <f t="array" ref="Z111">_xlfn.XLOOKUP(Matrix[[#This Row],[TEAM]]&amp;Matrix[[#Headers],[14]],FDR[FDR]&amp;FDR[[#Headers],[14]],FDR[14],"",0,1)</f>
        <v>2</v>
      </c>
      <c r="AA111" cm="1">
        <f t="array" ref="AA111">_xlfn.XLOOKUP(Matrix[[#This Row],[TEAM]]&amp;Matrix[[#Headers],[15]],FDR[FDR]&amp;FDR[[#Headers],[15]],FDR[15],"",0,1)</f>
        <v>1</v>
      </c>
      <c r="AB111" cm="1">
        <f t="array" ref="AB111">_xlfn.XLOOKUP(Matrix[[#This Row],[TEAM]]&amp;Matrix[[#Headers],[16]],FDR[FDR]&amp;FDR[[#Headers],[16]],FDR[16],"",0,1)</f>
        <v>2</v>
      </c>
      <c r="AC111" cm="1">
        <f t="array" ref="AC111">_xlfn.XLOOKUP(Matrix[[#This Row],[TEAM]]&amp;Matrix[[#Headers],[17]],FDR[FDR]&amp;FDR[[#Headers],[17]],FDR[17],"",0,1)</f>
        <v>1</v>
      </c>
      <c r="AD111" cm="1">
        <f t="array" ref="AD111">_xlfn.XLOOKUP(Matrix[[#This Row],[TEAM]]&amp;Matrix[[#Headers],[18]],FDR[FDR]&amp;FDR[[#Headers],[18]],FDR[18],"",0,1)</f>
        <v>2</v>
      </c>
      <c r="AE111" cm="1">
        <f t="array" ref="AE111">_xlfn.XLOOKUP(Matrix[[#This Row],[TEAM]]&amp;Matrix[[#Headers],[19]],FDR[FDR]&amp;FDR[[#Headers],[19]],FDR[19],"",0,1)</f>
        <v>1</v>
      </c>
      <c r="AF111" cm="1">
        <f t="array" ref="AF111">_xlfn.XLOOKUP(Matrix[[#This Row],[TEAM]]&amp;Matrix[[#Headers],[20]],FDR[FDR]&amp;FDR[[#Headers],[20]],FDR[20],"",0,1)</f>
        <v>2</v>
      </c>
      <c r="AG111" cm="1">
        <f t="array" ref="AG111">_xlfn.XLOOKUP(Matrix[[#This Row],[TEAM]]&amp;Matrix[[#Headers],[21]],FDR[FDR]&amp;FDR[[#Headers],[21]],FDR[21],"",0,1)</f>
        <v>1</v>
      </c>
      <c r="AH111" cm="1">
        <f t="array" ref="AH111">_xlfn.XLOOKUP(Matrix[[#This Row],[TEAM]]&amp;Matrix[[#Headers],[22]],FDR[FDR]&amp;FDR[[#Headers],[22]],FDR[22],"",0,1)</f>
        <v>3</v>
      </c>
      <c r="AI111" cm="1">
        <f t="array" ref="AI111">_xlfn.XLOOKUP(Matrix[[#This Row],[TEAM]]&amp;Matrix[[#Headers],[23]],FDR[FDR]&amp;FDR[[#Headers],[23]],FDR[23],"",0,1)</f>
        <v>1</v>
      </c>
      <c r="AJ111" cm="1">
        <f t="array" ref="AJ111">_xlfn.XLOOKUP(Matrix[[#This Row],[TEAM]]&amp;Matrix[[#Headers],[24]],FDR[FDR]&amp;FDR[[#Headers],[24]],FDR[24],"",0,1)</f>
        <v>3</v>
      </c>
      <c r="AK111" cm="1">
        <f t="array" ref="AK111">_xlfn.XLOOKUP(Matrix[[#This Row],[TEAM]]&amp;Matrix[[#Headers],[25]],FDR[FDR]&amp;FDR[[#Headers],[25]],FDR[25],"",0,1)</f>
        <v>4</v>
      </c>
      <c r="AL111" cm="1">
        <f t="array" ref="AL111">_xlfn.XLOOKUP(Matrix[[#This Row],[TEAM]]&amp;Matrix[[#Headers],[26]],FDR[FDR]&amp;FDR[[#Headers],[26]],FDR[26],"",0,1)</f>
        <v>1</v>
      </c>
      <c r="AM111" cm="1">
        <f t="array" ref="AM111">_xlfn.XLOOKUP(Matrix[[#This Row],[TEAM]]&amp;Matrix[[#Headers],[27]],FDR[FDR]&amp;FDR[[#Headers],[27]],FDR[27],"",0,1)</f>
        <v>2</v>
      </c>
      <c r="AN111" cm="1">
        <f t="array" ref="AN111">_xlfn.XLOOKUP(Matrix[[#This Row],[TEAM]]&amp;Matrix[[#Headers],[28]],FDR[FDR]&amp;FDR[[#Headers],[28]],FDR[28],"",0,1)</f>
        <v>1</v>
      </c>
      <c r="AO111" cm="1">
        <f t="array" ref="AO111">_xlfn.XLOOKUP(Matrix[[#This Row],[TEAM]]&amp;Matrix[[#Headers],[29]],FDR[FDR]&amp;FDR[[#Headers],[29]],FDR[29],"",0,1)</f>
        <v>1</v>
      </c>
      <c r="AP111" cm="1">
        <f t="array" ref="AP111">_xlfn.XLOOKUP(Matrix[[#This Row],[TEAM]]&amp;Matrix[[#Headers],[30]],FDR[FDR]&amp;FDR[[#Headers],[30]],FDR[30],"",0,1)</f>
        <v>2</v>
      </c>
      <c r="AQ111" cm="1">
        <f t="array" ref="AQ111">_xlfn.XLOOKUP(Matrix[[#This Row],[TEAM]]&amp;Matrix[[#Headers],[31]],FDR[FDR]&amp;FDR[[#Headers],[31]],FDR[31],"",0,1)</f>
        <v>1</v>
      </c>
      <c r="AR111" cm="1">
        <f t="array" ref="AR111">_xlfn.XLOOKUP(Matrix[[#This Row],[TEAM]]&amp;Matrix[[#Headers],[32]],FDR[FDR]&amp;FDR[[#Headers],[32]],FDR[32],"",0,1)</f>
        <v>3</v>
      </c>
      <c r="AS111" cm="1">
        <f t="array" ref="AS111">_xlfn.XLOOKUP(Matrix[[#This Row],[TEAM]]&amp;Matrix[[#Headers],[33]],FDR[FDR]&amp;FDR[[#Headers],[33]],FDR[33],"",0,1)</f>
        <v>3</v>
      </c>
      <c r="AT111" cm="1">
        <f t="array" ref="AT111">_xlfn.XLOOKUP(Matrix[[#This Row],[TEAM]]&amp;Matrix[[#Headers],[34]],FDR[FDR]&amp;FDR[[#Headers],[34]],FDR[34],"",0,1)</f>
        <v>1</v>
      </c>
      <c r="AU111" cm="1">
        <f t="array" ref="AU111">_xlfn.XLOOKUP(Matrix[[#This Row],[TEAM]]&amp;Matrix[[#Headers],[35]],FDR[FDR]&amp;FDR[[#Headers],[35]],FDR[35],"",0,1)</f>
        <v>2</v>
      </c>
      <c r="AV111" cm="1">
        <f t="array" ref="AV111">_xlfn.XLOOKUP(Matrix[[#This Row],[TEAM]]&amp;Matrix[[#Headers],[36]],FDR[FDR]&amp;FDR[[#Headers],[36]],FDR[36],"",0,1)</f>
        <v>1</v>
      </c>
      <c r="AW111" cm="1">
        <f t="array" ref="AW111">_xlfn.XLOOKUP(Matrix[[#This Row],[TEAM]]&amp;Matrix[[#Headers],[37]],FDR[FDR]&amp;FDR[[#Headers],[37]],FDR[37],"",0,1)</f>
        <v>2</v>
      </c>
      <c r="AX111" cm="1">
        <f t="array" ref="AX111">_xlfn.XLOOKUP(Matrix[[#This Row],[TEAM]]&amp;Matrix[[#Headers],[38]],FDR[FDR]&amp;FDR[[#Headers],[38]],FDR[38],"",0,1)</f>
        <v>2</v>
      </c>
    </row>
    <row r="112" spans="1:50" ht="22" thickTop="1" thickBot="1">
      <c r="A112" s="51" t="s">
        <v>657</v>
      </c>
      <c r="B112" s="70" t="s">
        <v>1420</v>
      </c>
      <c r="C112" s="40" t="s">
        <v>29</v>
      </c>
      <c r="D112" s="62">
        <v>25</v>
      </c>
      <c r="E112" s="60">
        <v>6.0000000000000001E-3</v>
      </c>
      <c r="F112" s="61">
        <v>15.9</v>
      </c>
      <c r="G112" s="63">
        <v>5.5</v>
      </c>
      <c r="H112" s="261">
        <f>IF(ISBLANK(I112),0,1)</f>
        <v>0</v>
      </c>
      <c r="I112" s="57"/>
      <c r="J112" s="58"/>
      <c r="K112" s="65" t="s">
        <v>442</v>
      </c>
      <c r="L112" s="65" t="s">
        <v>338</v>
      </c>
      <c r="M112" cm="1">
        <f t="array" ref="M112">_xlfn.XLOOKUP(Matrix[[#This Row],[TEAM]]&amp;Matrix[[#Headers],[1]],FDR[FDR]&amp;FDR[[#Headers],[1]],FDR[1],"",0,1)</f>
        <v>1</v>
      </c>
      <c r="N112" cm="1">
        <f t="array" ref="N112">_xlfn.XLOOKUP(Matrix[[#This Row],[TEAM]]&amp;Matrix[[#Headers],[2]],FDR[FDR]&amp;FDR[[#Headers],[2]],FDR[2],"",0,1)</f>
        <v>2</v>
      </c>
      <c r="O112" cm="1">
        <f t="array" ref="O112">_xlfn.XLOOKUP(Matrix[[#This Row],[TEAM]]&amp;Matrix[[#Headers],[3]],FDR[FDR]&amp;FDR[[#Headers],[3]],FDR[3],"",0,1)</f>
        <v>2</v>
      </c>
      <c r="P112" cm="1">
        <f t="array" ref="P112">_xlfn.XLOOKUP(Matrix[[#This Row],[TEAM]]&amp;Matrix[[#Headers],[4]],FDR[FDR]&amp;FDR[[#Headers],[4]],FDR[4],"",0,1)</f>
        <v>2</v>
      </c>
      <c r="Q112" cm="1">
        <f t="array" ref="Q112">_xlfn.XLOOKUP(Matrix[[#This Row],[TEAM]]&amp;Matrix[[#Headers],[5]],FDR[FDR]&amp;FDR[[#Headers],[5]],FDR[5],"",0,1)</f>
        <v>4</v>
      </c>
      <c r="R112" cm="1">
        <f t="array" ref="R112">_xlfn.XLOOKUP(Matrix[[#This Row],[TEAM]]&amp;Matrix[[#Headers],[6]],FDR[FDR]&amp;FDR[[#Headers],[6]],FDR[6],"",0,1)</f>
        <v>1</v>
      </c>
      <c r="S112" cm="1">
        <f t="array" ref="S112">_xlfn.XLOOKUP(Matrix[[#This Row],[TEAM]]&amp;Matrix[[#Headers],[7]],FDR[FDR]&amp;FDR[[#Headers],[7]],FDR[7],"",0,1)</f>
        <v>2</v>
      </c>
      <c r="T112" cm="1">
        <f t="array" ref="T112">_xlfn.XLOOKUP(Matrix[[#This Row],[TEAM]]&amp;Matrix[[#Headers],[8]],FDR[FDR]&amp;FDR[[#Headers],[8]],FDR[8],"",0,1)</f>
        <v>1</v>
      </c>
      <c r="U112" cm="1">
        <f t="array" ref="U112">_xlfn.XLOOKUP(Matrix[[#This Row],[TEAM]]&amp;Matrix[[#Headers],[9]],FDR[FDR]&amp;FDR[[#Headers],[9]],FDR[9],"",0,1)</f>
        <v>3</v>
      </c>
      <c r="V112" cm="1">
        <f t="array" ref="V112">_xlfn.XLOOKUP(Matrix[[#This Row],[TEAM]]&amp;Matrix[[#Headers],[10]],FDR[FDR]&amp;FDR[[#Headers],[10]],FDR[10],"",0,1)</f>
        <v>1</v>
      </c>
      <c r="W112" cm="1">
        <f t="array" ref="W112">_xlfn.XLOOKUP(Matrix[[#This Row],[TEAM]]&amp;Matrix[[#Headers],[11]],FDR[FDR]&amp;FDR[[#Headers],[11]],FDR[11],"",0,1)</f>
        <v>3</v>
      </c>
      <c r="X112" cm="1">
        <f t="array" ref="X112">_xlfn.XLOOKUP(Matrix[[#This Row],[TEAM]]&amp;Matrix[[#Headers],[12]],FDR[FDR]&amp;FDR[[#Headers],[12]],FDR[12],"",0,1)</f>
        <v>3</v>
      </c>
      <c r="Y112" cm="1">
        <f t="array" ref="Y112">_xlfn.XLOOKUP(Matrix[[#This Row],[TEAM]]&amp;Matrix[[#Headers],[13]],FDR[FDR]&amp;FDR[[#Headers],[13]],FDR[13],"",0,1)</f>
        <v>1</v>
      </c>
      <c r="Z112" cm="1">
        <f t="array" ref="Z112">_xlfn.XLOOKUP(Matrix[[#This Row],[TEAM]]&amp;Matrix[[#Headers],[14]],FDR[FDR]&amp;FDR[[#Headers],[14]],FDR[14],"",0,1)</f>
        <v>2</v>
      </c>
      <c r="AA112" cm="1">
        <f t="array" ref="AA112">_xlfn.XLOOKUP(Matrix[[#This Row],[TEAM]]&amp;Matrix[[#Headers],[15]],FDR[FDR]&amp;FDR[[#Headers],[15]],FDR[15],"",0,1)</f>
        <v>1</v>
      </c>
      <c r="AB112" cm="1">
        <f t="array" ref="AB112">_xlfn.XLOOKUP(Matrix[[#This Row],[TEAM]]&amp;Matrix[[#Headers],[16]],FDR[FDR]&amp;FDR[[#Headers],[16]],FDR[16],"",0,1)</f>
        <v>2</v>
      </c>
      <c r="AC112" cm="1">
        <f t="array" ref="AC112">_xlfn.XLOOKUP(Matrix[[#This Row],[TEAM]]&amp;Matrix[[#Headers],[17]],FDR[FDR]&amp;FDR[[#Headers],[17]],FDR[17],"",0,1)</f>
        <v>1</v>
      </c>
      <c r="AD112" cm="1">
        <f t="array" ref="AD112">_xlfn.XLOOKUP(Matrix[[#This Row],[TEAM]]&amp;Matrix[[#Headers],[18]],FDR[FDR]&amp;FDR[[#Headers],[18]],FDR[18],"",0,1)</f>
        <v>2</v>
      </c>
      <c r="AE112" cm="1">
        <f t="array" ref="AE112">_xlfn.XLOOKUP(Matrix[[#This Row],[TEAM]]&amp;Matrix[[#Headers],[19]],FDR[FDR]&amp;FDR[[#Headers],[19]],FDR[19],"",0,1)</f>
        <v>1</v>
      </c>
      <c r="AF112" cm="1">
        <f t="array" ref="AF112">_xlfn.XLOOKUP(Matrix[[#This Row],[TEAM]]&amp;Matrix[[#Headers],[20]],FDR[FDR]&amp;FDR[[#Headers],[20]],FDR[20],"",0,1)</f>
        <v>2</v>
      </c>
      <c r="AG112" cm="1">
        <f t="array" ref="AG112">_xlfn.XLOOKUP(Matrix[[#This Row],[TEAM]]&amp;Matrix[[#Headers],[21]],FDR[FDR]&amp;FDR[[#Headers],[21]],FDR[21],"",0,1)</f>
        <v>1</v>
      </c>
      <c r="AH112" cm="1">
        <f t="array" ref="AH112">_xlfn.XLOOKUP(Matrix[[#This Row],[TEAM]]&amp;Matrix[[#Headers],[22]],FDR[FDR]&amp;FDR[[#Headers],[22]],FDR[22],"",0,1)</f>
        <v>3</v>
      </c>
      <c r="AI112" cm="1">
        <f t="array" ref="AI112">_xlfn.XLOOKUP(Matrix[[#This Row],[TEAM]]&amp;Matrix[[#Headers],[23]],FDR[FDR]&amp;FDR[[#Headers],[23]],FDR[23],"",0,1)</f>
        <v>1</v>
      </c>
      <c r="AJ112" cm="1">
        <f t="array" ref="AJ112">_xlfn.XLOOKUP(Matrix[[#This Row],[TEAM]]&amp;Matrix[[#Headers],[24]],FDR[FDR]&amp;FDR[[#Headers],[24]],FDR[24],"",0,1)</f>
        <v>3</v>
      </c>
      <c r="AK112" cm="1">
        <f t="array" ref="AK112">_xlfn.XLOOKUP(Matrix[[#This Row],[TEAM]]&amp;Matrix[[#Headers],[25]],FDR[FDR]&amp;FDR[[#Headers],[25]],FDR[25],"",0,1)</f>
        <v>4</v>
      </c>
      <c r="AL112" cm="1">
        <f t="array" ref="AL112">_xlfn.XLOOKUP(Matrix[[#This Row],[TEAM]]&amp;Matrix[[#Headers],[26]],FDR[FDR]&amp;FDR[[#Headers],[26]],FDR[26],"",0,1)</f>
        <v>1</v>
      </c>
      <c r="AM112" cm="1">
        <f t="array" ref="AM112">_xlfn.XLOOKUP(Matrix[[#This Row],[TEAM]]&amp;Matrix[[#Headers],[27]],FDR[FDR]&amp;FDR[[#Headers],[27]],FDR[27],"",0,1)</f>
        <v>2</v>
      </c>
      <c r="AN112" cm="1">
        <f t="array" ref="AN112">_xlfn.XLOOKUP(Matrix[[#This Row],[TEAM]]&amp;Matrix[[#Headers],[28]],FDR[FDR]&amp;FDR[[#Headers],[28]],FDR[28],"",0,1)</f>
        <v>1</v>
      </c>
      <c r="AO112" cm="1">
        <f t="array" ref="AO112">_xlfn.XLOOKUP(Matrix[[#This Row],[TEAM]]&amp;Matrix[[#Headers],[29]],FDR[FDR]&amp;FDR[[#Headers],[29]],FDR[29],"",0,1)</f>
        <v>1</v>
      </c>
      <c r="AP112" cm="1">
        <f t="array" ref="AP112">_xlfn.XLOOKUP(Matrix[[#This Row],[TEAM]]&amp;Matrix[[#Headers],[30]],FDR[FDR]&amp;FDR[[#Headers],[30]],FDR[30],"",0,1)</f>
        <v>2</v>
      </c>
      <c r="AQ112" cm="1">
        <f t="array" ref="AQ112">_xlfn.XLOOKUP(Matrix[[#This Row],[TEAM]]&amp;Matrix[[#Headers],[31]],FDR[FDR]&amp;FDR[[#Headers],[31]],FDR[31],"",0,1)</f>
        <v>1</v>
      </c>
      <c r="AR112" cm="1">
        <f t="array" ref="AR112">_xlfn.XLOOKUP(Matrix[[#This Row],[TEAM]]&amp;Matrix[[#Headers],[32]],FDR[FDR]&amp;FDR[[#Headers],[32]],FDR[32],"",0,1)</f>
        <v>3</v>
      </c>
      <c r="AS112" cm="1">
        <f t="array" ref="AS112">_xlfn.XLOOKUP(Matrix[[#This Row],[TEAM]]&amp;Matrix[[#Headers],[33]],FDR[FDR]&amp;FDR[[#Headers],[33]],FDR[33],"",0,1)</f>
        <v>3</v>
      </c>
      <c r="AT112" cm="1">
        <f t="array" ref="AT112">_xlfn.XLOOKUP(Matrix[[#This Row],[TEAM]]&amp;Matrix[[#Headers],[34]],FDR[FDR]&amp;FDR[[#Headers],[34]],FDR[34],"",0,1)</f>
        <v>1</v>
      </c>
      <c r="AU112" cm="1">
        <f t="array" ref="AU112">_xlfn.XLOOKUP(Matrix[[#This Row],[TEAM]]&amp;Matrix[[#Headers],[35]],FDR[FDR]&amp;FDR[[#Headers],[35]],FDR[35],"",0,1)</f>
        <v>2</v>
      </c>
      <c r="AV112" cm="1">
        <f t="array" ref="AV112">_xlfn.XLOOKUP(Matrix[[#This Row],[TEAM]]&amp;Matrix[[#Headers],[36]],FDR[FDR]&amp;FDR[[#Headers],[36]],FDR[36],"",0,1)</f>
        <v>1</v>
      </c>
      <c r="AW112" cm="1">
        <f t="array" ref="AW112">_xlfn.XLOOKUP(Matrix[[#This Row],[TEAM]]&amp;Matrix[[#Headers],[37]],FDR[FDR]&amp;FDR[[#Headers],[37]],FDR[37],"",0,1)</f>
        <v>2</v>
      </c>
      <c r="AX112" cm="1">
        <f t="array" ref="AX112">_xlfn.XLOOKUP(Matrix[[#This Row],[TEAM]]&amp;Matrix[[#Headers],[38]],FDR[FDR]&amp;FDR[[#Headers],[38]],FDR[38],"",0,1)</f>
        <v>2</v>
      </c>
    </row>
    <row r="113" spans="1:50" ht="22" thickTop="1" thickBot="1">
      <c r="A113" s="51" t="s">
        <v>657</v>
      </c>
      <c r="B113" s="70" t="s">
        <v>1428</v>
      </c>
      <c r="C113" s="40" t="s">
        <v>29</v>
      </c>
      <c r="D113" s="62">
        <v>14</v>
      </c>
      <c r="E113" s="60">
        <v>4.0000000000000001E-3</v>
      </c>
      <c r="F113" s="61">
        <v>14.1</v>
      </c>
      <c r="G113" s="63">
        <v>5.5</v>
      </c>
      <c r="H113" s="261">
        <f>IF(ISBLANK(I113),0,1)</f>
        <v>0</v>
      </c>
      <c r="I113" s="57"/>
      <c r="J113" s="58"/>
      <c r="K113" s="65" t="s">
        <v>789</v>
      </c>
      <c r="L113" s="65" t="s">
        <v>790</v>
      </c>
      <c r="M113" cm="1">
        <f t="array" ref="M113">_xlfn.XLOOKUP(Matrix[[#This Row],[TEAM]]&amp;Matrix[[#Headers],[1]],FDR[FDR]&amp;FDR[[#Headers],[1]],FDR[1],"",0,1)</f>
        <v>1</v>
      </c>
      <c r="N113" cm="1">
        <f t="array" ref="N113">_xlfn.XLOOKUP(Matrix[[#This Row],[TEAM]]&amp;Matrix[[#Headers],[2]],FDR[FDR]&amp;FDR[[#Headers],[2]],FDR[2],"",0,1)</f>
        <v>2</v>
      </c>
      <c r="O113" cm="1">
        <f t="array" ref="O113">_xlfn.XLOOKUP(Matrix[[#This Row],[TEAM]]&amp;Matrix[[#Headers],[3]],FDR[FDR]&amp;FDR[[#Headers],[3]],FDR[3],"",0,1)</f>
        <v>2</v>
      </c>
      <c r="P113" cm="1">
        <f t="array" ref="P113">_xlfn.XLOOKUP(Matrix[[#This Row],[TEAM]]&amp;Matrix[[#Headers],[4]],FDR[FDR]&amp;FDR[[#Headers],[4]],FDR[4],"",0,1)</f>
        <v>2</v>
      </c>
      <c r="Q113" cm="1">
        <f t="array" ref="Q113">_xlfn.XLOOKUP(Matrix[[#This Row],[TEAM]]&amp;Matrix[[#Headers],[5]],FDR[FDR]&amp;FDR[[#Headers],[5]],FDR[5],"",0,1)</f>
        <v>4</v>
      </c>
      <c r="R113" cm="1">
        <f t="array" ref="R113">_xlfn.XLOOKUP(Matrix[[#This Row],[TEAM]]&amp;Matrix[[#Headers],[6]],FDR[FDR]&amp;FDR[[#Headers],[6]],FDR[6],"",0,1)</f>
        <v>1</v>
      </c>
      <c r="S113" cm="1">
        <f t="array" ref="S113">_xlfn.XLOOKUP(Matrix[[#This Row],[TEAM]]&amp;Matrix[[#Headers],[7]],FDR[FDR]&amp;FDR[[#Headers],[7]],FDR[7],"",0,1)</f>
        <v>2</v>
      </c>
      <c r="T113" cm="1">
        <f t="array" ref="T113">_xlfn.XLOOKUP(Matrix[[#This Row],[TEAM]]&amp;Matrix[[#Headers],[8]],FDR[FDR]&amp;FDR[[#Headers],[8]],FDR[8],"",0,1)</f>
        <v>1</v>
      </c>
      <c r="U113" cm="1">
        <f t="array" ref="U113">_xlfn.XLOOKUP(Matrix[[#This Row],[TEAM]]&amp;Matrix[[#Headers],[9]],FDR[FDR]&amp;FDR[[#Headers],[9]],FDR[9],"",0,1)</f>
        <v>3</v>
      </c>
      <c r="V113" cm="1">
        <f t="array" ref="V113">_xlfn.XLOOKUP(Matrix[[#This Row],[TEAM]]&amp;Matrix[[#Headers],[10]],FDR[FDR]&amp;FDR[[#Headers],[10]],FDR[10],"",0,1)</f>
        <v>1</v>
      </c>
      <c r="W113" cm="1">
        <f t="array" ref="W113">_xlfn.XLOOKUP(Matrix[[#This Row],[TEAM]]&amp;Matrix[[#Headers],[11]],FDR[FDR]&amp;FDR[[#Headers],[11]],FDR[11],"",0,1)</f>
        <v>3</v>
      </c>
      <c r="X113" cm="1">
        <f t="array" ref="X113">_xlfn.XLOOKUP(Matrix[[#This Row],[TEAM]]&amp;Matrix[[#Headers],[12]],FDR[FDR]&amp;FDR[[#Headers],[12]],FDR[12],"",0,1)</f>
        <v>3</v>
      </c>
      <c r="Y113" cm="1">
        <f t="array" ref="Y113">_xlfn.XLOOKUP(Matrix[[#This Row],[TEAM]]&amp;Matrix[[#Headers],[13]],FDR[FDR]&amp;FDR[[#Headers],[13]],FDR[13],"",0,1)</f>
        <v>1</v>
      </c>
      <c r="Z113" cm="1">
        <f t="array" ref="Z113">_xlfn.XLOOKUP(Matrix[[#This Row],[TEAM]]&amp;Matrix[[#Headers],[14]],FDR[FDR]&amp;FDR[[#Headers],[14]],FDR[14],"",0,1)</f>
        <v>2</v>
      </c>
      <c r="AA113" cm="1">
        <f t="array" ref="AA113">_xlfn.XLOOKUP(Matrix[[#This Row],[TEAM]]&amp;Matrix[[#Headers],[15]],FDR[FDR]&amp;FDR[[#Headers],[15]],FDR[15],"",0,1)</f>
        <v>1</v>
      </c>
      <c r="AB113" cm="1">
        <f t="array" ref="AB113">_xlfn.XLOOKUP(Matrix[[#This Row],[TEAM]]&amp;Matrix[[#Headers],[16]],FDR[FDR]&amp;FDR[[#Headers],[16]],FDR[16],"",0,1)</f>
        <v>2</v>
      </c>
      <c r="AC113" cm="1">
        <f t="array" ref="AC113">_xlfn.XLOOKUP(Matrix[[#This Row],[TEAM]]&amp;Matrix[[#Headers],[17]],FDR[FDR]&amp;FDR[[#Headers],[17]],FDR[17],"",0,1)</f>
        <v>1</v>
      </c>
      <c r="AD113" cm="1">
        <f t="array" ref="AD113">_xlfn.XLOOKUP(Matrix[[#This Row],[TEAM]]&amp;Matrix[[#Headers],[18]],FDR[FDR]&amp;FDR[[#Headers],[18]],FDR[18],"",0,1)</f>
        <v>2</v>
      </c>
      <c r="AE113" cm="1">
        <f t="array" ref="AE113">_xlfn.XLOOKUP(Matrix[[#This Row],[TEAM]]&amp;Matrix[[#Headers],[19]],FDR[FDR]&amp;FDR[[#Headers],[19]],FDR[19],"",0,1)</f>
        <v>1</v>
      </c>
      <c r="AF113" cm="1">
        <f t="array" ref="AF113">_xlfn.XLOOKUP(Matrix[[#This Row],[TEAM]]&amp;Matrix[[#Headers],[20]],FDR[FDR]&amp;FDR[[#Headers],[20]],FDR[20],"",0,1)</f>
        <v>2</v>
      </c>
      <c r="AG113" cm="1">
        <f t="array" ref="AG113">_xlfn.XLOOKUP(Matrix[[#This Row],[TEAM]]&amp;Matrix[[#Headers],[21]],FDR[FDR]&amp;FDR[[#Headers],[21]],FDR[21],"",0,1)</f>
        <v>1</v>
      </c>
      <c r="AH113" cm="1">
        <f t="array" ref="AH113">_xlfn.XLOOKUP(Matrix[[#This Row],[TEAM]]&amp;Matrix[[#Headers],[22]],FDR[FDR]&amp;FDR[[#Headers],[22]],FDR[22],"",0,1)</f>
        <v>3</v>
      </c>
      <c r="AI113" cm="1">
        <f t="array" ref="AI113">_xlfn.XLOOKUP(Matrix[[#This Row],[TEAM]]&amp;Matrix[[#Headers],[23]],FDR[FDR]&amp;FDR[[#Headers],[23]],FDR[23],"",0,1)</f>
        <v>1</v>
      </c>
      <c r="AJ113" cm="1">
        <f t="array" ref="AJ113">_xlfn.XLOOKUP(Matrix[[#This Row],[TEAM]]&amp;Matrix[[#Headers],[24]],FDR[FDR]&amp;FDR[[#Headers],[24]],FDR[24],"",0,1)</f>
        <v>3</v>
      </c>
      <c r="AK113" cm="1">
        <f t="array" ref="AK113">_xlfn.XLOOKUP(Matrix[[#This Row],[TEAM]]&amp;Matrix[[#Headers],[25]],FDR[FDR]&amp;FDR[[#Headers],[25]],FDR[25],"",0,1)</f>
        <v>4</v>
      </c>
      <c r="AL113" cm="1">
        <f t="array" ref="AL113">_xlfn.XLOOKUP(Matrix[[#This Row],[TEAM]]&amp;Matrix[[#Headers],[26]],FDR[FDR]&amp;FDR[[#Headers],[26]],FDR[26],"",0,1)</f>
        <v>1</v>
      </c>
      <c r="AM113" cm="1">
        <f t="array" ref="AM113">_xlfn.XLOOKUP(Matrix[[#This Row],[TEAM]]&amp;Matrix[[#Headers],[27]],FDR[FDR]&amp;FDR[[#Headers],[27]],FDR[27],"",0,1)</f>
        <v>2</v>
      </c>
      <c r="AN113" cm="1">
        <f t="array" ref="AN113">_xlfn.XLOOKUP(Matrix[[#This Row],[TEAM]]&amp;Matrix[[#Headers],[28]],FDR[FDR]&amp;FDR[[#Headers],[28]],FDR[28],"",0,1)</f>
        <v>1</v>
      </c>
      <c r="AO113" cm="1">
        <f t="array" ref="AO113">_xlfn.XLOOKUP(Matrix[[#This Row],[TEAM]]&amp;Matrix[[#Headers],[29]],FDR[FDR]&amp;FDR[[#Headers],[29]],FDR[29],"",0,1)</f>
        <v>1</v>
      </c>
      <c r="AP113" cm="1">
        <f t="array" ref="AP113">_xlfn.XLOOKUP(Matrix[[#This Row],[TEAM]]&amp;Matrix[[#Headers],[30]],FDR[FDR]&amp;FDR[[#Headers],[30]],FDR[30],"",0,1)</f>
        <v>2</v>
      </c>
      <c r="AQ113" cm="1">
        <f t="array" ref="AQ113">_xlfn.XLOOKUP(Matrix[[#This Row],[TEAM]]&amp;Matrix[[#Headers],[31]],FDR[FDR]&amp;FDR[[#Headers],[31]],FDR[31],"",0,1)</f>
        <v>1</v>
      </c>
      <c r="AR113" cm="1">
        <f t="array" ref="AR113">_xlfn.XLOOKUP(Matrix[[#This Row],[TEAM]]&amp;Matrix[[#Headers],[32]],FDR[FDR]&amp;FDR[[#Headers],[32]],FDR[32],"",0,1)</f>
        <v>3</v>
      </c>
      <c r="AS113" cm="1">
        <f t="array" ref="AS113">_xlfn.XLOOKUP(Matrix[[#This Row],[TEAM]]&amp;Matrix[[#Headers],[33]],FDR[FDR]&amp;FDR[[#Headers],[33]],FDR[33],"",0,1)</f>
        <v>3</v>
      </c>
      <c r="AT113" cm="1">
        <f t="array" ref="AT113">_xlfn.XLOOKUP(Matrix[[#This Row],[TEAM]]&amp;Matrix[[#Headers],[34]],FDR[FDR]&amp;FDR[[#Headers],[34]],FDR[34],"",0,1)</f>
        <v>1</v>
      </c>
      <c r="AU113" cm="1">
        <f t="array" ref="AU113">_xlfn.XLOOKUP(Matrix[[#This Row],[TEAM]]&amp;Matrix[[#Headers],[35]],FDR[FDR]&amp;FDR[[#Headers],[35]],FDR[35],"",0,1)</f>
        <v>2</v>
      </c>
      <c r="AV113" cm="1">
        <f t="array" ref="AV113">_xlfn.XLOOKUP(Matrix[[#This Row],[TEAM]]&amp;Matrix[[#Headers],[36]],FDR[FDR]&amp;FDR[[#Headers],[36]],FDR[36],"",0,1)</f>
        <v>1</v>
      </c>
      <c r="AW113" cm="1">
        <f t="array" ref="AW113">_xlfn.XLOOKUP(Matrix[[#This Row],[TEAM]]&amp;Matrix[[#Headers],[37]],FDR[FDR]&amp;FDR[[#Headers],[37]],FDR[37],"",0,1)</f>
        <v>2</v>
      </c>
      <c r="AX113" cm="1">
        <f t="array" ref="AX113">_xlfn.XLOOKUP(Matrix[[#This Row],[TEAM]]&amp;Matrix[[#Headers],[38]],FDR[FDR]&amp;FDR[[#Headers],[38]],FDR[38],"",0,1)</f>
        <v>2</v>
      </c>
    </row>
    <row r="114" spans="1:50" ht="22" thickTop="1" thickBot="1">
      <c r="A114" s="51" t="s">
        <v>657</v>
      </c>
      <c r="B114" s="70" t="s">
        <v>1442</v>
      </c>
      <c r="C114" s="40" t="s">
        <v>20</v>
      </c>
      <c r="D114" s="62">
        <v>0</v>
      </c>
      <c r="E114" s="60">
        <v>1E-3</v>
      </c>
      <c r="F114" s="61">
        <v>0</v>
      </c>
      <c r="G114" s="63">
        <v>5.5</v>
      </c>
      <c r="H114" s="261">
        <f>IF(ISBLANK(I114),0,1)</f>
        <v>0</v>
      </c>
      <c r="I114" s="57"/>
      <c r="J114" s="58"/>
      <c r="K114" s="65" t="s">
        <v>762</v>
      </c>
      <c r="L114" s="65" t="s">
        <v>763</v>
      </c>
      <c r="M114" cm="1">
        <f t="array" ref="M114">_xlfn.XLOOKUP(Matrix[[#This Row],[TEAM]]&amp;Matrix[[#Headers],[1]],FDR[FDR]&amp;FDR[[#Headers],[1]],FDR[1],"",0,1)</f>
        <v>3</v>
      </c>
      <c r="N114" cm="1">
        <f t="array" ref="N114">_xlfn.XLOOKUP(Matrix[[#This Row],[TEAM]]&amp;Matrix[[#Headers],[2]],FDR[FDR]&amp;FDR[[#Headers],[2]],FDR[2],"",0,1)</f>
        <v>1</v>
      </c>
      <c r="O114" cm="1">
        <f t="array" ref="O114">_xlfn.XLOOKUP(Matrix[[#This Row],[TEAM]]&amp;Matrix[[#Headers],[3]],FDR[FDR]&amp;FDR[[#Headers],[3]],FDR[3],"",0,1)</f>
        <v>4</v>
      </c>
      <c r="P114" cm="1">
        <f t="array" ref="P114">_xlfn.XLOOKUP(Matrix[[#This Row],[TEAM]]&amp;Matrix[[#Headers],[4]],FDR[FDR]&amp;FDR[[#Headers],[4]],FDR[4],"",0,1)</f>
        <v>1</v>
      </c>
      <c r="Q114" cm="1">
        <f t="array" ref="Q114">_xlfn.XLOOKUP(Matrix[[#This Row],[TEAM]]&amp;Matrix[[#Headers],[5]],FDR[FDR]&amp;FDR[[#Headers],[5]],FDR[5],"",0,1)</f>
        <v>3</v>
      </c>
      <c r="R114" cm="1">
        <f t="array" ref="R114">_xlfn.XLOOKUP(Matrix[[#This Row],[TEAM]]&amp;Matrix[[#Headers],[6]],FDR[FDR]&amp;FDR[[#Headers],[6]],FDR[6],"",0,1)</f>
        <v>3</v>
      </c>
      <c r="S114" cm="1">
        <f t="array" ref="S114">_xlfn.XLOOKUP(Matrix[[#This Row],[TEAM]]&amp;Matrix[[#Headers],[7]],FDR[FDR]&amp;FDR[[#Headers],[7]],FDR[7],"",0,1)</f>
        <v>1</v>
      </c>
      <c r="T114" cm="1">
        <f t="array" ref="T114">_xlfn.XLOOKUP(Matrix[[#This Row],[TEAM]]&amp;Matrix[[#Headers],[8]],FDR[FDR]&amp;FDR[[#Headers],[8]],FDR[8],"",0,1)</f>
        <v>2</v>
      </c>
      <c r="U114" cm="1">
        <f t="array" ref="U114">_xlfn.XLOOKUP(Matrix[[#This Row],[TEAM]]&amp;Matrix[[#Headers],[9]],FDR[FDR]&amp;FDR[[#Headers],[9]],FDR[9],"",0,1)</f>
        <v>1</v>
      </c>
      <c r="V114" cm="1">
        <f t="array" ref="V114">_xlfn.XLOOKUP(Matrix[[#This Row],[TEAM]]&amp;Matrix[[#Headers],[10]],FDR[FDR]&amp;FDR[[#Headers],[10]],FDR[10],"",0,1)</f>
        <v>1</v>
      </c>
      <c r="W114" cm="1">
        <f t="array" ref="W114">_xlfn.XLOOKUP(Matrix[[#This Row],[TEAM]]&amp;Matrix[[#Headers],[11]],FDR[FDR]&amp;FDR[[#Headers],[11]],FDR[11],"",0,1)</f>
        <v>1</v>
      </c>
      <c r="X114" cm="1">
        <f t="array" ref="X114">_xlfn.XLOOKUP(Matrix[[#This Row],[TEAM]]&amp;Matrix[[#Headers],[12]],FDR[FDR]&amp;FDR[[#Headers],[12]],FDR[12],"",0,1)</f>
        <v>2</v>
      </c>
      <c r="Y114" cm="1">
        <f t="array" ref="Y114">_xlfn.XLOOKUP(Matrix[[#This Row],[TEAM]]&amp;Matrix[[#Headers],[13]],FDR[FDR]&amp;FDR[[#Headers],[13]],FDR[13],"",0,1)</f>
        <v>3</v>
      </c>
      <c r="Z114" cm="1">
        <f t="array" ref="Z114">_xlfn.XLOOKUP(Matrix[[#This Row],[TEAM]]&amp;Matrix[[#Headers],[14]],FDR[FDR]&amp;FDR[[#Headers],[14]],FDR[14],"",0,1)</f>
        <v>1</v>
      </c>
      <c r="AA114" cm="1">
        <f t="array" ref="AA114">_xlfn.XLOOKUP(Matrix[[#This Row],[TEAM]]&amp;Matrix[[#Headers],[15]],FDR[FDR]&amp;FDR[[#Headers],[15]],FDR[15],"",0,1)</f>
        <v>3</v>
      </c>
      <c r="AB114" cm="1">
        <f t="array" ref="AB114">_xlfn.XLOOKUP(Matrix[[#This Row],[TEAM]]&amp;Matrix[[#Headers],[16]],FDR[FDR]&amp;FDR[[#Headers],[16]],FDR[16],"",0,1)</f>
        <v>1</v>
      </c>
      <c r="AC114" cm="1">
        <f t="array" ref="AC114">_xlfn.XLOOKUP(Matrix[[#This Row],[TEAM]]&amp;Matrix[[#Headers],[17]],FDR[FDR]&amp;FDR[[#Headers],[17]],FDR[17],"",0,1)</f>
        <v>2</v>
      </c>
      <c r="AD114" cm="1">
        <f t="array" ref="AD114">_xlfn.XLOOKUP(Matrix[[#This Row],[TEAM]]&amp;Matrix[[#Headers],[18]],FDR[FDR]&amp;FDR[[#Headers],[18]],FDR[18],"",0,1)</f>
        <v>1</v>
      </c>
      <c r="AE114" cm="1">
        <f t="array" ref="AE114">_xlfn.XLOOKUP(Matrix[[#This Row],[TEAM]]&amp;Matrix[[#Headers],[19]],FDR[FDR]&amp;FDR[[#Headers],[19]],FDR[19],"",0,1)</f>
        <v>2</v>
      </c>
      <c r="AF114" cm="1">
        <f t="array" ref="AF114">_xlfn.XLOOKUP(Matrix[[#This Row],[TEAM]]&amp;Matrix[[#Headers],[20]],FDR[FDR]&amp;FDR[[#Headers],[20]],FDR[20],"",0,1)</f>
        <v>2</v>
      </c>
      <c r="AG114" cm="1">
        <f t="array" ref="AG114">_xlfn.XLOOKUP(Matrix[[#This Row],[TEAM]]&amp;Matrix[[#Headers],[21]],FDR[FDR]&amp;FDR[[#Headers],[21]],FDR[21],"",0,1)</f>
        <v>3</v>
      </c>
      <c r="AH114" cm="1">
        <f t="array" ref="AH114">_xlfn.XLOOKUP(Matrix[[#This Row],[TEAM]]&amp;Matrix[[#Headers],[22]],FDR[FDR]&amp;FDR[[#Headers],[22]],FDR[22],"",0,1)</f>
        <v>2</v>
      </c>
      <c r="AI114" cm="1">
        <f t="array" ref="AI114">_xlfn.XLOOKUP(Matrix[[#This Row],[TEAM]]&amp;Matrix[[#Headers],[23]],FDR[FDR]&amp;FDR[[#Headers],[23]],FDR[23],"",0,1)</f>
        <v>2</v>
      </c>
      <c r="AJ114" cm="1">
        <f t="array" ref="AJ114">_xlfn.XLOOKUP(Matrix[[#This Row],[TEAM]]&amp;Matrix[[#Headers],[24]],FDR[FDR]&amp;FDR[[#Headers],[24]],FDR[24],"",0,1)</f>
        <v>1</v>
      </c>
      <c r="AK114" cm="1">
        <f t="array" ref="AK114">_xlfn.XLOOKUP(Matrix[[#This Row],[TEAM]]&amp;Matrix[[#Headers],[25]],FDR[FDR]&amp;FDR[[#Headers],[25]],FDR[25],"",0,1)</f>
        <v>1</v>
      </c>
      <c r="AL114" cm="1">
        <f t="array" ref="AL114">_xlfn.XLOOKUP(Matrix[[#This Row],[TEAM]]&amp;Matrix[[#Headers],[26]],FDR[FDR]&amp;FDR[[#Headers],[26]],FDR[26],"",0,1)</f>
        <v>2</v>
      </c>
      <c r="AM114" cm="1">
        <f t="array" ref="AM114">_xlfn.XLOOKUP(Matrix[[#This Row],[TEAM]]&amp;Matrix[[#Headers],[27]],FDR[FDR]&amp;FDR[[#Headers],[27]],FDR[27],"",0,1)</f>
        <v>3</v>
      </c>
      <c r="AN114" cm="1">
        <f t="array" ref="AN114">_xlfn.XLOOKUP(Matrix[[#This Row],[TEAM]]&amp;Matrix[[#Headers],[28]],FDR[FDR]&amp;FDR[[#Headers],[28]],FDR[28],"",0,1)</f>
        <v>2</v>
      </c>
      <c r="AO114" cm="1">
        <f t="array" ref="AO114">_xlfn.XLOOKUP(Matrix[[#This Row],[TEAM]]&amp;Matrix[[#Headers],[29]],FDR[FDR]&amp;FDR[[#Headers],[29]],FDR[29],"",0,1)</f>
        <v>2</v>
      </c>
      <c r="AP114" cm="1">
        <f t="array" ref="AP114">_xlfn.XLOOKUP(Matrix[[#This Row],[TEAM]]&amp;Matrix[[#Headers],[30]],FDR[FDR]&amp;FDR[[#Headers],[30]],FDR[30],"",0,1)</f>
        <v>1</v>
      </c>
      <c r="AQ114" cm="1">
        <f t="array" ref="AQ114">_xlfn.XLOOKUP(Matrix[[#This Row],[TEAM]]&amp;Matrix[[#Headers],[31]],FDR[FDR]&amp;FDR[[#Headers],[31]],FDR[31],"",0,1)</f>
        <v>1</v>
      </c>
      <c r="AR114" cm="1">
        <f t="array" ref="AR114">_xlfn.XLOOKUP(Matrix[[#This Row],[TEAM]]&amp;Matrix[[#Headers],[32]],FDR[FDR]&amp;FDR[[#Headers],[32]],FDR[32],"",0,1)</f>
        <v>1</v>
      </c>
      <c r="AS114" cm="1">
        <f t="array" ref="AS114">_xlfn.XLOOKUP(Matrix[[#This Row],[TEAM]]&amp;Matrix[[#Headers],[33]],FDR[FDR]&amp;FDR[[#Headers],[33]],FDR[33],"",0,1)</f>
        <v>3</v>
      </c>
      <c r="AT114" cm="1">
        <f t="array" ref="AT114">_xlfn.XLOOKUP(Matrix[[#This Row],[TEAM]]&amp;Matrix[[#Headers],[34]],FDR[FDR]&amp;FDR[[#Headers],[34]],FDR[34],"",0,1)</f>
        <v>2</v>
      </c>
      <c r="AU114" cm="1">
        <f t="array" ref="AU114">_xlfn.XLOOKUP(Matrix[[#This Row],[TEAM]]&amp;Matrix[[#Headers],[35]],FDR[FDR]&amp;FDR[[#Headers],[35]],FDR[35],"",0,1)</f>
        <v>1</v>
      </c>
      <c r="AV114" cm="1">
        <f t="array" ref="AV114">_xlfn.XLOOKUP(Matrix[[#This Row],[TEAM]]&amp;Matrix[[#Headers],[36]],FDR[FDR]&amp;FDR[[#Headers],[36]],FDR[36],"",0,1)</f>
        <v>2</v>
      </c>
      <c r="AW114" cm="1">
        <f t="array" ref="AW114">_xlfn.XLOOKUP(Matrix[[#This Row],[TEAM]]&amp;Matrix[[#Headers],[37]],FDR[FDR]&amp;FDR[[#Headers],[37]],FDR[37],"",0,1)</f>
        <v>1</v>
      </c>
      <c r="AX114" cm="1">
        <f t="array" ref="AX114">_xlfn.XLOOKUP(Matrix[[#This Row],[TEAM]]&amp;Matrix[[#Headers],[38]],FDR[FDR]&amp;FDR[[#Headers],[38]],FDR[38],"",0,1)</f>
        <v>2</v>
      </c>
    </row>
    <row r="115" spans="1:50" ht="22" thickTop="1" thickBot="1">
      <c r="A115" s="50" t="str">
        <f>INDEX!S$4</f>
        <v>MID</v>
      </c>
      <c r="B115" s="70" t="s">
        <v>1391</v>
      </c>
      <c r="C115" s="40" t="s">
        <v>52</v>
      </c>
      <c r="D115" s="62">
        <v>107</v>
      </c>
      <c r="E115" s="60">
        <v>6.2E-2</v>
      </c>
      <c r="F115" s="61">
        <v>155.6</v>
      </c>
      <c r="G115" s="63">
        <v>5.5</v>
      </c>
      <c r="H115" s="261">
        <f>IF(ISBLANK(I115),0,1)</f>
        <v>0</v>
      </c>
      <c r="I115" s="57"/>
      <c r="J115" s="58"/>
      <c r="K115" s="59" t="s">
        <v>528</v>
      </c>
      <c r="L115" s="59" t="s">
        <v>529</v>
      </c>
      <c r="M115" cm="1">
        <f t="array" ref="M115">_xlfn.XLOOKUP(Matrix[[#This Row],[TEAM]]&amp;Matrix[[#Headers],[1]],FDR[FDR]&amp;FDR[[#Headers],[1]],FDR[1],"",0,1)</f>
        <v>2</v>
      </c>
      <c r="N115" cm="1">
        <f t="array" ref="N115">_xlfn.XLOOKUP(Matrix[[#This Row],[TEAM]]&amp;Matrix[[#Headers],[2]],FDR[FDR]&amp;FDR[[#Headers],[2]],FDR[2],"",0,1)</f>
        <v>3</v>
      </c>
      <c r="O115" cm="1">
        <f t="array" ref="O115">_xlfn.XLOOKUP(Matrix[[#This Row],[TEAM]]&amp;Matrix[[#Headers],[3]],FDR[FDR]&amp;FDR[[#Headers],[3]],FDR[3],"",0,1)</f>
        <v>2</v>
      </c>
      <c r="P115" cm="1">
        <f t="array" ref="P115">_xlfn.XLOOKUP(Matrix[[#This Row],[TEAM]]&amp;Matrix[[#Headers],[4]],FDR[FDR]&amp;FDR[[#Headers],[4]],FDR[4],"",0,1)</f>
        <v>5</v>
      </c>
      <c r="Q115" cm="1">
        <f t="array" ref="Q115">_xlfn.XLOOKUP(Matrix[[#This Row],[TEAM]]&amp;Matrix[[#Headers],[5]],FDR[FDR]&amp;FDR[[#Headers],[5]],FDR[5],"",0,1)</f>
        <v>2</v>
      </c>
      <c r="R115" cm="1">
        <f t="array" ref="R115">_xlfn.XLOOKUP(Matrix[[#This Row],[TEAM]]&amp;Matrix[[#Headers],[6]],FDR[FDR]&amp;FDR[[#Headers],[6]],FDR[6],"",0,1)</f>
        <v>1</v>
      </c>
      <c r="S115" cm="1">
        <f t="array" ref="S115">_xlfn.XLOOKUP(Matrix[[#This Row],[TEAM]]&amp;Matrix[[#Headers],[7]],FDR[FDR]&amp;FDR[[#Headers],[7]],FDR[7],"",0,1)</f>
        <v>5</v>
      </c>
      <c r="T115" cm="1">
        <f t="array" ref="T115">_xlfn.XLOOKUP(Matrix[[#This Row],[TEAM]]&amp;Matrix[[#Headers],[8]],FDR[FDR]&amp;FDR[[#Headers],[8]],FDR[8],"",0,1)</f>
        <v>4</v>
      </c>
      <c r="U115" cm="1">
        <f t="array" ref="U115">_xlfn.XLOOKUP(Matrix[[#This Row],[TEAM]]&amp;Matrix[[#Headers],[9]],FDR[FDR]&amp;FDR[[#Headers],[9]],FDR[9],"",0,1)</f>
        <v>4</v>
      </c>
      <c r="V115" cm="1">
        <f t="array" ref="V115">_xlfn.XLOOKUP(Matrix[[#This Row],[TEAM]]&amp;Matrix[[#Headers],[10]],FDR[FDR]&amp;FDR[[#Headers],[10]],FDR[10],"",0,1)</f>
        <v>4</v>
      </c>
      <c r="W115" cm="1">
        <f t="array" ref="W115">_xlfn.XLOOKUP(Matrix[[#This Row],[TEAM]]&amp;Matrix[[#Headers],[11]],FDR[FDR]&amp;FDR[[#Headers],[11]],FDR[11],"",0,1)</f>
        <v>1</v>
      </c>
      <c r="X115" cm="1">
        <f t="array" ref="X115">_xlfn.XLOOKUP(Matrix[[#This Row],[TEAM]]&amp;Matrix[[#Headers],[12]],FDR[FDR]&amp;FDR[[#Headers],[12]],FDR[12],"",0,1)</f>
        <v>5</v>
      </c>
      <c r="Y115" cm="1">
        <f t="array" ref="Y115">_xlfn.XLOOKUP(Matrix[[#This Row],[TEAM]]&amp;Matrix[[#Headers],[13]],FDR[FDR]&amp;FDR[[#Headers],[13]],FDR[13],"",0,1)</f>
        <v>3</v>
      </c>
      <c r="Z115" cm="1">
        <f t="array" ref="Z115">_xlfn.XLOOKUP(Matrix[[#This Row],[TEAM]]&amp;Matrix[[#Headers],[14]],FDR[FDR]&amp;FDR[[#Headers],[14]],FDR[14],"",0,1)</f>
        <v>2</v>
      </c>
      <c r="AA115" cm="1">
        <f t="array" ref="AA115">_xlfn.XLOOKUP(Matrix[[#This Row],[TEAM]]&amp;Matrix[[#Headers],[15]],FDR[FDR]&amp;FDR[[#Headers],[15]],FDR[15],"",0,1)</f>
        <v>3</v>
      </c>
      <c r="AB115" cm="1">
        <f t="array" ref="AB115">_xlfn.XLOOKUP(Matrix[[#This Row],[TEAM]]&amp;Matrix[[#Headers],[16]],FDR[FDR]&amp;FDR[[#Headers],[16]],FDR[16],"",0,1)</f>
        <v>4</v>
      </c>
      <c r="AC115" cm="1">
        <f t="array" ref="AC115">_xlfn.XLOOKUP(Matrix[[#This Row],[TEAM]]&amp;Matrix[[#Headers],[17]],FDR[FDR]&amp;FDR[[#Headers],[17]],FDR[17],"",0,1)</f>
        <v>4</v>
      </c>
      <c r="AD115" cm="1">
        <f t="array" ref="AD115">_xlfn.XLOOKUP(Matrix[[#This Row],[TEAM]]&amp;Matrix[[#Headers],[18]],FDR[FDR]&amp;FDR[[#Headers],[18]],FDR[18],"",0,1)</f>
        <v>4</v>
      </c>
      <c r="AE115" cm="1">
        <f t="array" ref="AE115">_xlfn.XLOOKUP(Matrix[[#This Row],[TEAM]]&amp;Matrix[[#Headers],[19]],FDR[FDR]&amp;FDR[[#Headers],[19]],FDR[19],"",0,1)</f>
        <v>2</v>
      </c>
      <c r="AF115" cm="1">
        <f t="array" ref="AF115">_xlfn.XLOOKUP(Matrix[[#This Row],[TEAM]]&amp;Matrix[[#Headers],[20]],FDR[FDR]&amp;FDR[[#Headers],[20]],FDR[20],"",0,1)</f>
        <v>5</v>
      </c>
      <c r="AG115" cm="1">
        <f t="array" ref="AG115">_xlfn.XLOOKUP(Matrix[[#This Row],[TEAM]]&amp;Matrix[[#Headers],[21]],FDR[FDR]&amp;FDR[[#Headers],[21]],FDR[21],"",0,1)</f>
        <v>3</v>
      </c>
      <c r="AH115" cm="1">
        <f t="array" ref="AH115">_xlfn.XLOOKUP(Matrix[[#This Row],[TEAM]]&amp;Matrix[[#Headers],[22]],FDR[FDR]&amp;FDR[[#Headers],[22]],FDR[22],"",0,1)</f>
        <v>4</v>
      </c>
      <c r="AI115" cm="1">
        <f t="array" ref="AI115">_xlfn.XLOOKUP(Matrix[[#This Row],[TEAM]]&amp;Matrix[[#Headers],[23]],FDR[FDR]&amp;FDR[[#Headers],[23]],FDR[23],"",0,1)</f>
        <v>3</v>
      </c>
      <c r="AJ115" cm="1">
        <f t="array" ref="AJ115">_xlfn.XLOOKUP(Matrix[[#This Row],[TEAM]]&amp;Matrix[[#Headers],[24]],FDR[FDR]&amp;FDR[[#Headers],[24]],FDR[24],"",0,1)</f>
        <v>2</v>
      </c>
      <c r="AK115" cm="1">
        <f t="array" ref="AK115">_xlfn.XLOOKUP(Matrix[[#This Row],[TEAM]]&amp;Matrix[[#Headers],[25]],FDR[FDR]&amp;FDR[[#Headers],[25]],FDR[25],"",0,1)</f>
        <v>2</v>
      </c>
      <c r="AL115" cm="1">
        <f t="array" ref="AL115">_xlfn.XLOOKUP(Matrix[[#This Row],[TEAM]]&amp;Matrix[[#Headers],[26]],FDR[FDR]&amp;FDR[[#Headers],[26]],FDR[26],"",0,1)</f>
        <v>1</v>
      </c>
      <c r="AM115" cm="1">
        <f t="array" ref="AM115">_xlfn.XLOOKUP(Matrix[[#This Row],[TEAM]]&amp;Matrix[[#Headers],[27]],FDR[FDR]&amp;FDR[[#Headers],[27]],FDR[27],"",0,1)</f>
        <v>4</v>
      </c>
      <c r="AN115" cm="1">
        <f t="array" ref="AN115">_xlfn.XLOOKUP(Matrix[[#This Row],[TEAM]]&amp;Matrix[[#Headers],[28]],FDR[FDR]&amp;FDR[[#Headers],[28]],FDR[28],"",0,1)</f>
        <v>4</v>
      </c>
      <c r="AO115" cm="1">
        <f t="array" ref="AO115">_xlfn.XLOOKUP(Matrix[[#This Row],[TEAM]]&amp;Matrix[[#Headers],[29]],FDR[FDR]&amp;FDR[[#Headers],[29]],FDR[29],"",0,1)</f>
        <v>5</v>
      </c>
      <c r="AP115" cm="1">
        <f t="array" ref="AP115">_xlfn.XLOOKUP(Matrix[[#This Row],[TEAM]]&amp;Matrix[[#Headers],[30]],FDR[FDR]&amp;FDR[[#Headers],[30]],FDR[30],"",0,1)</f>
        <v>3</v>
      </c>
      <c r="AQ115" cm="1">
        <f t="array" ref="AQ115">_xlfn.XLOOKUP(Matrix[[#This Row],[TEAM]]&amp;Matrix[[#Headers],[31]],FDR[FDR]&amp;FDR[[#Headers],[31]],FDR[31],"",0,1)</f>
        <v>5</v>
      </c>
      <c r="AR115" cm="1">
        <f t="array" ref="AR115">_xlfn.XLOOKUP(Matrix[[#This Row],[TEAM]]&amp;Matrix[[#Headers],[32]],FDR[FDR]&amp;FDR[[#Headers],[32]],FDR[32],"",0,1)</f>
        <v>3</v>
      </c>
      <c r="AS115" cm="1">
        <f t="array" ref="AS115">_xlfn.XLOOKUP(Matrix[[#This Row],[TEAM]]&amp;Matrix[[#Headers],[33]],FDR[FDR]&amp;FDR[[#Headers],[33]],FDR[33],"",0,1)</f>
        <v>1</v>
      </c>
      <c r="AT115" cm="1">
        <f t="array" ref="AT115">_xlfn.XLOOKUP(Matrix[[#This Row],[TEAM]]&amp;Matrix[[#Headers],[34]],FDR[FDR]&amp;FDR[[#Headers],[34]],FDR[34],"",0,1)</f>
        <v>2</v>
      </c>
      <c r="AU115" cm="1">
        <f t="array" ref="AU115">_xlfn.XLOOKUP(Matrix[[#This Row],[TEAM]]&amp;Matrix[[#Headers],[35]],FDR[FDR]&amp;FDR[[#Headers],[35]],FDR[35],"",0,1)</f>
        <v>5</v>
      </c>
      <c r="AV115" cm="1">
        <f t="array" ref="AV115">_xlfn.XLOOKUP(Matrix[[#This Row],[TEAM]]&amp;Matrix[[#Headers],[36]],FDR[FDR]&amp;FDR[[#Headers],[36]],FDR[36],"",0,1)</f>
        <v>4</v>
      </c>
      <c r="AW115" cm="1">
        <f t="array" ref="AW115">_xlfn.XLOOKUP(Matrix[[#This Row],[TEAM]]&amp;Matrix[[#Headers],[37]],FDR[FDR]&amp;FDR[[#Headers],[37]],FDR[37],"",0,1)</f>
        <v>5</v>
      </c>
      <c r="AX115" cm="1">
        <f t="array" ref="AX115">_xlfn.XLOOKUP(Matrix[[#This Row],[TEAM]]&amp;Matrix[[#Headers],[38]],FDR[FDR]&amp;FDR[[#Headers],[38]],FDR[38],"",0,1)</f>
        <v>3</v>
      </c>
    </row>
    <row r="116" spans="1:50" ht="22" thickTop="1" thickBot="1">
      <c r="A116" s="50" t="str">
        <f>INDEX!S$4</f>
        <v>MID</v>
      </c>
      <c r="B116" s="70" t="s">
        <v>1405</v>
      </c>
      <c r="C116" s="40" t="s">
        <v>25</v>
      </c>
      <c r="D116" s="62">
        <v>106</v>
      </c>
      <c r="E116" s="60">
        <v>2.1999999999999999E-2</v>
      </c>
      <c r="F116" s="61">
        <v>133.5</v>
      </c>
      <c r="G116" s="63">
        <v>5.5</v>
      </c>
      <c r="H116" s="261">
        <f>IF(ISBLANK(I116),0,1)</f>
        <v>0</v>
      </c>
      <c r="I116" s="57"/>
      <c r="J116" s="58"/>
      <c r="K116" s="59" t="s">
        <v>603</v>
      </c>
      <c r="L116" s="59" t="s">
        <v>225</v>
      </c>
      <c r="M116" cm="1">
        <f t="array" ref="M116">_xlfn.XLOOKUP(Matrix[[#This Row],[TEAM]]&amp;Matrix[[#Headers],[1]],FDR[FDR]&amp;FDR[[#Headers],[1]],FDR[1],"",0,1)</f>
        <v>3</v>
      </c>
      <c r="N116" cm="1">
        <f t="array" ref="N116">_xlfn.XLOOKUP(Matrix[[#This Row],[TEAM]]&amp;Matrix[[#Headers],[2]],FDR[FDR]&amp;FDR[[#Headers],[2]],FDR[2],"",0,1)</f>
        <v>3</v>
      </c>
      <c r="O116" cm="1">
        <f t="array" ref="O116">_xlfn.XLOOKUP(Matrix[[#This Row],[TEAM]]&amp;Matrix[[#Headers],[3]],FDR[FDR]&amp;FDR[[#Headers],[3]],FDR[3],"",0,1)</f>
        <v>1</v>
      </c>
      <c r="P116" cm="1">
        <f t="array" ref="P116">_xlfn.XLOOKUP(Matrix[[#This Row],[TEAM]]&amp;Matrix[[#Headers],[4]],FDR[FDR]&amp;FDR[[#Headers],[4]],FDR[4],"",0,1)</f>
        <v>1</v>
      </c>
      <c r="Q116" cm="1">
        <f t="array" ref="Q116">_xlfn.XLOOKUP(Matrix[[#This Row],[TEAM]]&amp;Matrix[[#Headers],[5]],FDR[FDR]&amp;FDR[[#Headers],[5]],FDR[5],"",0,1)</f>
        <v>2</v>
      </c>
      <c r="R116" cm="1">
        <f t="array" ref="R116">_xlfn.XLOOKUP(Matrix[[#This Row],[TEAM]]&amp;Matrix[[#Headers],[6]],FDR[FDR]&amp;FDR[[#Headers],[6]],FDR[6],"",0,1)</f>
        <v>3</v>
      </c>
      <c r="S116" cm="1">
        <f t="array" ref="S116">_xlfn.XLOOKUP(Matrix[[#This Row],[TEAM]]&amp;Matrix[[#Headers],[7]],FDR[FDR]&amp;FDR[[#Headers],[7]],FDR[7],"",0,1)</f>
        <v>2</v>
      </c>
      <c r="T116" cm="1">
        <f t="array" ref="T116">_xlfn.XLOOKUP(Matrix[[#This Row],[TEAM]]&amp;Matrix[[#Headers],[8]],FDR[FDR]&amp;FDR[[#Headers],[8]],FDR[8],"",0,1)</f>
        <v>2</v>
      </c>
      <c r="U116" cm="1">
        <f t="array" ref="U116">_xlfn.XLOOKUP(Matrix[[#This Row],[TEAM]]&amp;Matrix[[#Headers],[9]],FDR[FDR]&amp;FDR[[#Headers],[9]],FDR[9],"",0,1)</f>
        <v>2</v>
      </c>
      <c r="V116" cm="1">
        <f t="array" ref="V116">_xlfn.XLOOKUP(Matrix[[#This Row],[TEAM]]&amp;Matrix[[#Headers],[10]],FDR[FDR]&amp;FDR[[#Headers],[10]],FDR[10],"",0,1)</f>
        <v>2</v>
      </c>
      <c r="W116" cm="1">
        <f t="array" ref="W116">_xlfn.XLOOKUP(Matrix[[#This Row],[TEAM]]&amp;Matrix[[#Headers],[11]],FDR[FDR]&amp;FDR[[#Headers],[11]],FDR[11],"",0,1)</f>
        <v>2</v>
      </c>
      <c r="X116" cm="1">
        <f t="array" ref="X116">_xlfn.XLOOKUP(Matrix[[#This Row],[TEAM]]&amp;Matrix[[#Headers],[12]],FDR[FDR]&amp;FDR[[#Headers],[12]],FDR[12],"",0,1)</f>
        <v>3</v>
      </c>
      <c r="Y116" cm="1">
        <f t="array" ref="Y116">_xlfn.XLOOKUP(Matrix[[#This Row],[TEAM]]&amp;Matrix[[#Headers],[13]],FDR[FDR]&amp;FDR[[#Headers],[13]],FDR[13],"",0,1)</f>
        <v>2</v>
      </c>
      <c r="Z116" cm="1">
        <f t="array" ref="Z116">_xlfn.XLOOKUP(Matrix[[#This Row],[TEAM]]&amp;Matrix[[#Headers],[14]],FDR[FDR]&amp;FDR[[#Headers],[14]],FDR[14],"",0,1)</f>
        <v>3</v>
      </c>
      <c r="AA116" cm="1">
        <f t="array" ref="AA116">_xlfn.XLOOKUP(Matrix[[#This Row],[TEAM]]&amp;Matrix[[#Headers],[15]],FDR[FDR]&amp;FDR[[#Headers],[15]],FDR[15],"",0,1)</f>
        <v>1</v>
      </c>
      <c r="AB116" cm="1">
        <f t="array" ref="AB116">_xlfn.XLOOKUP(Matrix[[#This Row],[TEAM]]&amp;Matrix[[#Headers],[16]],FDR[FDR]&amp;FDR[[#Headers],[16]],FDR[16],"",0,1)</f>
        <v>1</v>
      </c>
      <c r="AC116" cm="1">
        <f t="array" ref="AC116">_xlfn.XLOOKUP(Matrix[[#This Row],[TEAM]]&amp;Matrix[[#Headers],[17]],FDR[FDR]&amp;FDR[[#Headers],[17]],FDR[17],"",0,1)</f>
        <v>3</v>
      </c>
      <c r="AD116" cm="1">
        <f t="array" ref="AD116">_xlfn.XLOOKUP(Matrix[[#This Row],[TEAM]]&amp;Matrix[[#Headers],[18]],FDR[FDR]&amp;FDR[[#Headers],[18]],FDR[18],"",0,1)</f>
        <v>4</v>
      </c>
      <c r="AE116" cm="1">
        <f t="array" ref="AE116">_xlfn.XLOOKUP(Matrix[[#This Row],[TEAM]]&amp;Matrix[[#Headers],[19]],FDR[FDR]&amp;FDR[[#Headers],[19]],FDR[19],"",0,1)</f>
        <v>1</v>
      </c>
      <c r="AF116" cm="1">
        <f t="array" ref="AF116">_xlfn.XLOOKUP(Matrix[[#This Row],[TEAM]]&amp;Matrix[[#Headers],[20]],FDR[FDR]&amp;FDR[[#Headers],[20]],FDR[20],"",0,1)</f>
        <v>1</v>
      </c>
      <c r="AG116" cm="1">
        <f t="array" ref="AG116">_xlfn.XLOOKUP(Matrix[[#This Row],[TEAM]]&amp;Matrix[[#Headers],[21]],FDR[FDR]&amp;FDR[[#Headers],[21]],FDR[21],"",0,1)</f>
        <v>1</v>
      </c>
      <c r="AH116" cm="1">
        <f t="array" ref="AH116">_xlfn.XLOOKUP(Matrix[[#This Row],[TEAM]]&amp;Matrix[[#Headers],[22]],FDR[FDR]&amp;FDR[[#Headers],[22]],FDR[22],"",0,1)</f>
        <v>1</v>
      </c>
      <c r="AI116" cm="1">
        <f t="array" ref="AI116">_xlfn.XLOOKUP(Matrix[[#This Row],[TEAM]]&amp;Matrix[[#Headers],[23]],FDR[FDR]&amp;FDR[[#Headers],[23]],FDR[23],"",0,1)</f>
        <v>2</v>
      </c>
      <c r="AJ116" cm="1">
        <f t="array" ref="AJ116">_xlfn.XLOOKUP(Matrix[[#This Row],[TEAM]]&amp;Matrix[[#Headers],[24]],FDR[FDR]&amp;FDR[[#Headers],[24]],FDR[24],"",0,1)</f>
        <v>4</v>
      </c>
      <c r="AK116" cm="1">
        <f t="array" ref="AK116">_xlfn.XLOOKUP(Matrix[[#This Row],[TEAM]]&amp;Matrix[[#Headers],[25]],FDR[FDR]&amp;FDR[[#Headers],[25]],FDR[25],"",0,1)</f>
        <v>1</v>
      </c>
      <c r="AL116" cm="1">
        <f t="array" ref="AL116">_xlfn.XLOOKUP(Matrix[[#This Row],[TEAM]]&amp;Matrix[[#Headers],[26]],FDR[FDR]&amp;FDR[[#Headers],[26]],FDR[26],"",0,1)</f>
        <v>4</v>
      </c>
      <c r="AM116" cm="1">
        <f t="array" ref="AM116">_xlfn.XLOOKUP(Matrix[[#This Row],[TEAM]]&amp;Matrix[[#Headers],[27]],FDR[FDR]&amp;FDR[[#Headers],[27]],FDR[27],"",0,1)</f>
        <v>4</v>
      </c>
      <c r="AN116" cm="1">
        <f t="array" ref="AN116">_xlfn.XLOOKUP(Matrix[[#This Row],[TEAM]]&amp;Matrix[[#Headers],[28]],FDR[FDR]&amp;FDR[[#Headers],[28]],FDR[28],"",0,1)</f>
        <v>1</v>
      </c>
      <c r="AO116" cm="1">
        <f t="array" ref="AO116">_xlfn.XLOOKUP(Matrix[[#This Row],[TEAM]]&amp;Matrix[[#Headers],[29]],FDR[FDR]&amp;FDR[[#Headers],[29]],FDR[29],"",0,1)</f>
        <v>3</v>
      </c>
      <c r="AP116" cm="1">
        <f t="array" ref="AP116">_xlfn.XLOOKUP(Matrix[[#This Row],[TEAM]]&amp;Matrix[[#Headers],[30]],FDR[FDR]&amp;FDR[[#Headers],[30]],FDR[30],"",0,1)</f>
        <v>4</v>
      </c>
      <c r="AQ116" cm="1">
        <f t="array" ref="AQ116">_xlfn.XLOOKUP(Matrix[[#This Row],[TEAM]]&amp;Matrix[[#Headers],[31]],FDR[FDR]&amp;FDR[[#Headers],[31]],FDR[31],"",0,1)</f>
        <v>1</v>
      </c>
      <c r="AR116" cm="1">
        <f t="array" ref="AR116">_xlfn.XLOOKUP(Matrix[[#This Row],[TEAM]]&amp;Matrix[[#Headers],[32]],FDR[FDR]&amp;FDR[[#Headers],[32]],FDR[32],"",0,1)</f>
        <v>2</v>
      </c>
      <c r="AS116" cm="1">
        <f t="array" ref="AS116">_xlfn.XLOOKUP(Matrix[[#This Row],[TEAM]]&amp;Matrix[[#Headers],[33]],FDR[FDR]&amp;FDR[[#Headers],[33]],FDR[33],"",0,1)</f>
        <v>2</v>
      </c>
      <c r="AT116" cm="1">
        <f t="array" ref="AT116">_xlfn.XLOOKUP(Matrix[[#This Row],[TEAM]]&amp;Matrix[[#Headers],[34]],FDR[FDR]&amp;FDR[[#Headers],[34]],FDR[34],"",0,1)</f>
        <v>4</v>
      </c>
      <c r="AU116" cm="1">
        <f t="array" ref="AU116">_xlfn.XLOOKUP(Matrix[[#This Row],[TEAM]]&amp;Matrix[[#Headers],[35]],FDR[FDR]&amp;FDR[[#Headers],[35]],FDR[35],"",0,1)</f>
        <v>2</v>
      </c>
      <c r="AV116" cm="1">
        <f t="array" ref="AV116">_xlfn.XLOOKUP(Matrix[[#This Row],[TEAM]]&amp;Matrix[[#Headers],[36]],FDR[FDR]&amp;FDR[[#Headers],[36]],FDR[36],"",0,1)</f>
        <v>2</v>
      </c>
      <c r="AW116" cm="1">
        <f t="array" ref="AW116">_xlfn.XLOOKUP(Matrix[[#This Row],[TEAM]]&amp;Matrix[[#Headers],[37]],FDR[FDR]&amp;FDR[[#Headers],[37]],FDR[37],"",0,1)</f>
        <v>1</v>
      </c>
      <c r="AX116" cm="1">
        <f t="array" ref="AX116">_xlfn.XLOOKUP(Matrix[[#This Row],[TEAM]]&amp;Matrix[[#Headers],[38]],FDR[FDR]&amp;FDR[[#Headers],[38]],FDR[38],"",0,1)</f>
        <v>2</v>
      </c>
    </row>
    <row r="117" spans="1:50" ht="22" thickTop="1" thickBot="1">
      <c r="A117" s="50" t="str">
        <f>INDEX!S$4</f>
        <v>MID</v>
      </c>
      <c r="B117" s="70" t="s">
        <v>1390</v>
      </c>
      <c r="C117" s="40" t="s">
        <v>18</v>
      </c>
      <c r="D117" s="62">
        <v>98</v>
      </c>
      <c r="E117" s="60">
        <v>6.3E-2</v>
      </c>
      <c r="F117" s="61">
        <v>129.19999999999999</v>
      </c>
      <c r="G117" s="63">
        <v>5.5</v>
      </c>
      <c r="H117" s="261">
        <f>IF(ISBLANK(I117),0,1)</f>
        <v>0</v>
      </c>
      <c r="I117" s="57"/>
      <c r="J117" s="58"/>
      <c r="K117" s="59" t="s">
        <v>466</v>
      </c>
      <c r="L117" s="59" t="s">
        <v>229</v>
      </c>
      <c r="M117" cm="1">
        <f t="array" ref="M117">_xlfn.XLOOKUP(Matrix[[#This Row],[TEAM]]&amp;Matrix[[#Headers],[1]],FDR[FDR]&amp;FDR[[#Headers],[1]],FDR[1],"",0,1)</f>
        <v>1</v>
      </c>
      <c r="N117" cm="1">
        <f t="array" ref="N117">_xlfn.XLOOKUP(Matrix[[#This Row],[TEAM]]&amp;Matrix[[#Headers],[2]],FDR[FDR]&amp;FDR[[#Headers],[2]],FDR[2],"",0,1)</f>
        <v>2</v>
      </c>
      <c r="O117" cm="1">
        <f t="array" ref="O117">_xlfn.XLOOKUP(Matrix[[#This Row],[TEAM]]&amp;Matrix[[#Headers],[3]],FDR[FDR]&amp;FDR[[#Headers],[3]],FDR[3],"",0,1)</f>
        <v>1</v>
      </c>
      <c r="P117" cm="1">
        <f t="array" ref="P117">_xlfn.XLOOKUP(Matrix[[#This Row],[TEAM]]&amp;Matrix[[#Headers],[4]],FDR[FDR]&amp;FDR[[#Headers],[4]],FDR[4],"",0,1)</f>
        <v>2</v>
      </c>
      <c r="Q117" cm="1">
        <f t="array" ref="Q117">_xlfn.XLOOKUP(Matrix[[#This Row],[TEAM]]&amp;Matrix[[#Headers],[5]],FDR[FDR]&amp;FDR[[#Headers],[5]],FDR[5],"",0,1)</f>
        <v>3</v>
      </c>
      <c r="R117" cm="1">
        <f t="array" ref="R117">_xlfn.XLOOKUP(Matrix[[#This Row],[TEAM]]&amp;Matrix[[#Headers],[6]],FDR[FDR]&amp;FDR[[#Headers],[6]],FDR[6],"",0,1)</f>
        <v>1</v>
      </c>
      <c r="S117" cm="1">
        <f t="array" ref="S117">_xlfn.XLOOKUP(Matrix[[#This Row],[TEAM]]&amp;Matrix[[#Headers],[7]],FDR[FDR]&amp;FDR[[#Headers],[7]],FDR[7],"",0,1)</f>
        <v>3</v>
      </c>
      <c r="T117" cm="1">
        <f t="array" ref="T117">_xlfn.XLOOKUP(Matrix[[#This Row],[TEAM]]&amp;Matrix[[#Headers],[8]],FDR[FDR]&amp;FDR[[#Headers],[8]],FDR[8],"",0,1)</f>
        <v>2</v>
      </c>
      <c r="U117" cm="1">
        <f t="array" ref="U117">_xlfn.XLOOKUP(Matrix[[#This Row],[TEAM]]&amp;Matrix[[#Headers],[9]],FDR[FDR]&amp;FDR[[#Headers],[9]],FDR[9],"",0,1)</f>
        <v>1</v>
      </c>
      <c r="V117" cm="1">
        <f t="array" ref="V117">_xlfn.XLOOKUP(Matrix[[#This Row],[TEAM]]&amp;Matrix[[#Headers],[10]],FDR[FDR]&amp;FDR[[#Headers],[10]],FDR[10],"",0,1)</f>
        <v>3</v>
      </c>
      <c r="W117" cm="1">
        <f t="array" ref="W117">_xlfn.XLOOKUP(Matrix[[#This Row],[TEAM]]&amp;Matrix[[#Headers],[11]],FDR[FDR]&amp;FDR[[#Headers],[11]],FDR[11],"",0,1)</f>
        <v>1</v>
      </c>
      <c r="X117" cm="1">
        <f t="array" ref="X117">_xlfn.XLOOKUP(Matrix[[#This Row],[TEAM]]&amp;Matrix[[#Headers],[12]],FDR[FDR]&amp;FDR[[#Headers],[12]],FDR[12],"",0,1)</f>
        <v>1</v>
      </c>
      <c r="Y117" cm="1">
        <f t="array" ref="Y117">_xlfn.XLOOKUP(Matrix[[#This Row],[TEAM]]&amp;Matrix[[#Headers],[13]],FDR[FDR]&amp;FDR[[#Headers],[13]],FDR[13],"",0,1)</f>
        <v>3</v>
      </c>
      <c r="Z117" cm="1">
        <f t="array" ref="Z117">_xlfn.XLOOKUP(Matrix[[#This Row],[TEAM]]&amp;Matrix[[#Headers],[14]],FDR[FDR]&amp;FDR[[#Headers],[14]],FDR[14],"",0,1)</f>
        <v>1</v>
      </c>
      <c r="AA117" cm="1">
        <f t="array" ref="AA117">_xlfn.XLOOKUP(Matrix[[#This Row],[TEAM]]&amp;Matrix[[#Headers],[15]],FDR[FDR]&amp;FDR[[#Headers],[15]],FDR[15],"",0,1)</f>
        <v>2</v>
      </c>
      <c r="AB117" cm="1">
        <f t="array" ref="AB117">_xlfn.XLOOKUP(Matrix[[#This Row],[TEAM]]&amp;Matrix[[#Headers],[16]],FDR[FDR]&amp;FDR[[#Headers],[16]],FDR[16],"",0,1)</f>
        <v>1</v>
      </c>
      <c r="AC117" cm="1">
        <f t="array" ref="AC117">_xlfn.XLOOKUP(Matrix[[#This Row],[TEAM]]&amp;Matrix[[#Headers],[17]],FDR[FDR]&amp;FDR[[#Headers],[17]],FDR[17],"",0,1)</f>
        <v>3</v>
      </c>
      <c r="AD117" cm="1">
        <f t="array" ref="AD117">_xlfn.XLOOKUP(Matrix[[#This Row],[TEAM]]&amp;Matrix[[#Headers],[18]],FDR[FDR]&amp;FDR[[#Headers],[18]],FDR[18],"",0,1)</f>
        <v>2</v>
      </c>
      <c r="AE117" cm="1">
        <f t="array" ref="AE117">_xlfn.XLOOKUP(Matrix[[#This Row],[TEAM]]&amp;Matrix[[#Headers],[19]],FDR[FDR]&amp;FDR[[#Headers],[19]],FDR[19],"",0,1)</f>
        <v>1</v>
      </c>
      <c r="AF117" cm="1">
        <f t="array" ref="AF117">_xlfn.XLOOKUP(Matrix[[#This Row],[TEAM]]&amp;Matrix[[#Headers],[20]],FDR[FDR]&amp;FDR[[#Headers],[20]],FDR[20],"",0,1)</f>
        <v>4</v>
      </c>
      <c r="AG117" cm="1">
        <f t="array" ref="AG117">_xlfn.XLOOKUP(Matrix[[#This Row],[TEAM]]&amp;Matrix[[#Headers],[21]],FDR[FDR]&amp;FDR[[#Headers],[21]],FDR[21],"",0,1)</f>
        <v>2</v>
      </c>
      <c r="AH117" cm="1">
        <f t="array" ref="AH117">_xlfn.XLOOKUP(Matrix[[#This Row],[TEAM]]&amp;Matrix[[#Headers],[22]],FDR[FDR]&amp;FDR[[#Headers],[22]],FDR[22],"",0,1)</f>
        <v>1</v>
      </c>
      <c r="AI117" cm="1">
        <f t="array" ref="AI117">_xlfn.XLOOKUP(Matrix[[#This Row],[TEAM]]&amp;Matrix[[#Headers],[23]],FDR[FDR]&amp;FDR[[#Headers],[23]],FDR[23],"",0,1)</f>
        <v>2</v>
      </c>
      <c r="AJ117" cm="1">
        <f t="array" ref="AJ117">_xlfn.XLOOKUP(Matrix[[#This Row],[TEAM]]&amp;Matrix[[#Headers],[24]],FDR[FDR]&amp;FDR[[#Headers],[24]],FDR[24],"",0,1)</f>
        <v>1</v>
      </c>
      <c r="AK117" cm="1">
        <f t="array" ref="AK117">_xlfn.XLOOKUP(Matrix[[#This Row],[TEAM]]&amp;Matrix[[#Headers],[25]],FDR[FDR]&amp;FDR[[#Headers],[25]],FDR[25],"",0,1)</f>
        <v>1</v>
      </c>
      <c r="AL117" cm="1">
        <f t="array" ref="AL117">_xlfn.XLOOKUP(Matrix[[#This Row],[TEAM]]&amp;Matrix[[#Headers],[26]],FDR[FDR]&amp;FDR[[#Headers],[26]],FDR[26],"",0,1)</f>
        <v>1</v>
      </c>
      <c r="AM117" cm="1">
        <f t="array" ref="AM117">_xlfn.XLOOKUP(Matrix[[#This Row],[TEAM]]&amp;Matrix[[#Headers],[27]],FDR[FDR]&amp;FDR[[#Headers],[27]],FDR[27],"",0,1)</f>
        <v>1</v>
      </c>
      <c r="AN117" cm="1">
        <f t="array" ref="AN117">_xlfn.XLOOKUP(Matrix[[#This Row],[TEAM]]&amp;Matrix[[#Headers],[28]],FDR[FDR]&amp;FDR[[#Headers],[28]],FDR[28],"",0,1)</f>
        <v>4</v>
      </c>
      <c r="AO117" cm="1">
        <f t="array" ref="AO117">_xlfn.XLOOKUP(Matrix[[#This Row],[TEAM]]&amp;Matrix[[#Headers],[29]],FDR[FDR]&amp;FDR[[#Headers],[29]],FDR[29],"",0,1)</f>
        <v>3</v>
      </c>
      <c r="AP117" cm="1">
        <f t="array" ref="AP117">_xlfn.XLOOKUP(Matrix[[#This Row],[TEAM]]&amp;Matrix[[#Headers],[30]],FDR[FDR]&amp;FDR[[#Headers],[30]],FDR[30],"",0,1)</f>
        <v>2</v>
      </c>
      <c r="AQ117" cm="1">
        <f t="array" ref="AQ117">_xlfn.XLOOKUP(Matrix[[#This Row],[TEAM]]&amp;Matrix[[#Headers],[31]],FDR[FDR]&amp;FDR[[#Headers],[31]],FDR[31],"",0,1)</f>
        <v>2</v>
      </c>
      <c r="AR117" cm="1">
        <f t="array" ref="AR117">_xlfn.XLOOKUP(Matrix[[#This Row],[TEAM]]&amp;Matrix[[#Headers],[32]],FDR[FDR]&amp;FDR[[#Headers],[32]],FDR[32],"",0,1)</f>
        <v>3</v>
      </c>
      <c r="AS117" cm="1">
        <f t="array" ref="AS117">_xlfn.XLOOKUP(Matrix[[#This Row],[TEAM]]&amp;Matrix[[#Headers],[33]],FDR[FDR]&amp;FDR[[#Headers],[33]],FDR[33],"",0,1)</f>
        <v>2</v>
      </c>
      <c r="AT117" cm="1">
        <f t="array" ref="AT117">_xlfn.XLOOKUP(Matrix[[#This Row],[TEAM]]&amp;Matrix[[#Headers],[34]],FDR[FDR]&amp;FDR[[#Headers],[34]],FDR[34],"",0,1)</f>
        <v>2</v>
      </c>
      <c r="AU117" cm="1">
        <f t="array" ref="AU117">_xlfn.XLOOKUP(Matrix[[#This Row],[TEAM]]&amp;Matrix[[#Headers],[35]],FDR[FDR]&amp;FDR[[#Headers],[35]],FDR[35],"",0,1)</f>
        <v>1</v>
      </c>
      <c r="AV117" cm="1">
        <f t="array" ref="AV117">_xlfn.XLOOKUP(Matrix[[#This Row],[TEAM]]&amp;Matrix[[#Headers],[36]],FDR[FDR]&amp;FDR[[#Headers],[36]],FDR[36],"",0,1)</f>
        <v>4</v>
      </c>
      <c r="AW117" cm="1">
        <f t="array" ref="AW117">_xlfn.XLOOKUP(Matrix[[#This Row],[TEAM]]&amp;Matrix[[#Headers],[37]],FDR[FDR]&amp;FDR[[#Headers],[37]],FDR[37],"",0,1)</f>
        <v>2</v>
      </c>
      <c r="AX117" cm="1">
        <f t="array" ref="AX117">_xlfn.XLOOKUP(Matrix[[#This Row],[TEAM]]&amp;Matrix[[#Headers],[38]],FDR[FDR]&amp;FDR[[#Headers],[38]],FDR[38],"",0,1)</f>
        <v>1</v>
      </c>
    </row>
    <row r="118" spans="1:50" ht="22" thickTop="1" thickBot="1">
      <c r="A118" s="50" t="str">
        <f>INDEX!S$4</f>
        <v>MID</v>
      </c>
      <c r="B118" s="70" t="s">
        <v>1464</v>
      </c>
      <c r="C118" s="40" t="s">
        <v>51</v>
      </c>
      <c r="D118" s="62">
        <v>90</v>
      </c>
      <c r="E118" s="60">
        <v>1E-3</v>
      </c>
      <c r="F118" s="61">
        <v>97.2</v>
      </c>
      <c r="G118" s="63">
        <v>5.5</v>
      </c>
      <c r="H118" s="261">
        <f>IF(ISBLANK(I118),0,1)</f>
        <v>0</v>
      </c>
      <c r="I118" s="57"/>
      <c r="J118" s="58"/>
      <c r="K118" s="59" t="s">
        <v>808</v>
      </c>
      <c r="L118" s="59" t="s">
        <v>807</v>
      </c>
      <c r="M118" cm="1">
        <f t="array" ref="M118">_xlfn.XLOOKUP(Matrix[[#This Row],[TEAM]]&amp;Matrix[[#Headers],[1]],FDR[FDR]&amp;FDR[[#Headers],[1]],FDR[1],"",0,1)</f>
        <v>5</v>
      </c>
      <c r="N118" cm="1">
        <f t="array" ref="N118">_xlfn.XLOOKUP(Matrix[[#This Row],[TEAM]]&amp;Matrix[[#Headers],[2]],FDR[FDR]&amp;FDR[[#Headers],[2]],FDR[2],"",0,1)</f>
        <v>5</v>
      </c>
      <c r="O118" cm="1">
        <f t="array" ref="O118">_xlfn.XLOOKUP(Matrix[[#This Row],[TEAM]]&amp;Matrix[[#Headers],[3]],FDR[FDR]&amp;FDR[[#Headers],[3]],FDR[3],"",0,1)</f>
        <v>4</v>
      </c>
      <c r="P118" cm="1">
        <f t="array" ref="P118">_xlfn.XLOOKUP(Matrix[[#This Row],[TEAM]]&amp;Matrix[[#Headers],[4]],FDR[FDR]&amp;FDR[[#Headers],[4]],FDR[4],"",0,1)</f>
        <v>5</v>
      </c>
      <c r="Q118" cm="1">
        <f t="array" ref="Q118">_xlfn.XLOOKUP(Matrix[[#This Row],[TEAM]]&amp;Matrix[[#Headers],[5]],FDR[FDR]&amp;FDR[[#Headers],[5]],FDR[5],"",0,1)</f>
        <v>2</v>
      </c>
      <c r="R118" cm="1">
        <f t="array" ref="R118">_xlfn.XLOOKUP(Matrix[[#This Row],[TEAM]]&amp;Matrix[[#Headers],[6]],FDR[FDR]&amp;FDR[[#Headers],[6]],FDR[6],"",0,1)</f>
        <v>5</v>
      </c>
      <c r="S118" cm="1">
        <f t="array" ref="S118">_xlfn.XLOOKUP(Matrix[[#This Row],[TEAM]]&amp;Matrix[[#Headers],[7]],FDR[FDR]&amp;FDR[[#Headers],[7]],FDR[7],"",0,1)</f>
        <v>4</v>
      </c>
      <c r="T118" cm="1">
        <f t="array" ref="T118">_xlfn.XLOOKUP(Matrix[[#This Row],[TEAM]]&amp;Matrix[[#Headers],[8]],FDR[FDR]&amp;FDR[[#Headers],[8]],FDR[8],"",0,1)</f>
        <v>3</v>
      </c>
      <c r="U118" cm="1">
        <f t="array" ref="U118">_xlfn.XLOOKUP(Matrix[[#This Row],[TEAM]]&amp;Matrix[[#Headers],[9]],FDR[FDR]&amp;FDR[[#Headers],[9]],FDR[9],"",0,1)</f>
        <v>2</v>
      </c>
      <c r="V118" cm="1">
        <f t="array" ref="V118">_xlfn.XLOOKUP(Matrix[[#This Row],[TEAM]]&amp;Matrix[[#Headers],[10]],FDR[FDR]&amp;FDR[[#Headers],[10]],FDR[10],"",0,1)</f>
        <v>5</v>
      </c>
      <c r="W118" cm="1">
        <f t="array" ref="W118">_xlfn.XLOOKUP(Matrix[[#This Row],[TEAM]]&amp;Matrix[[#Headers],[11]],FDR[FDR]&amp;FDR[[#Headers],[11]],FDR[11],"",0,1)</f>
        <v>5</v>
      </c>
      <c r="X118" cm="1">
        <f t="array" ref="X118">_xlfn.XLOOKUP(Matrix[[#This Row],[TEAM]]&amp;Matrix[[#Headers],[12]],FDR[FDR]&amp;FDR[[#Headers],[12]],FDR[12],"",0,1)</f>
        <v>4</v>
      </c>
      <c r="Y118" cm="1">
        <f t="array" ref="Y118">_xlfn.XLOOKUP(Matrix[[#This Row],[TEAM]]&amp;Matrix[[#Headers],[13]],FDR[FDR]&amp;FDR[[#Headers],[13]],FDR[13],"",0,1)</f>
        <v>5</v>
      </c>
      <c r="Z118" cm="1">
        <f t="array" ref="Z118">_xlfn.XLOOKUP(Matrix[[#This Row],[TEAM]]&amp;Matrix[[#Headers],[14]],FDR[FDR]&amp;FDR[[#Headers],[14]],FDR[14],"",0,1)</f>
        <v>4</v>
      </c>
      <c r="AA118" cm="1">
        <f t="array" ref="AA118">_xlfn.XLOOKUP(Matrix[[#This Row],[TEAM]]&amp;Matrix[[#Headers],[15]],FDR[FDR]&amp;FDR[[#Headers],[15]],FDR[15],"",0,1)</f>
        <v>5</v>
      </c>
      <c r="AB118" cm="1">
        <f t="array" ref="AB118">_xlfn.XLOOKUP(Matrix[[#This Row],[TEAM]]&amp;Matrix[[#Headers],[16]],FDR[FDR]&amp;FDR[[#Headers],[16]],FDR[16],"",0,1)</f>
        <v>5</v>
      </c>
      <c r="AC118" cm="1">
        <f t="array" ref="AC118">_xlfn.XLOOKUP(Matrix[[#This Row],[TEAM]]&amp;Matrix[[#Headers],[17]],FDR[FDR]&amp;FDR[[#Headers],[17]],FDR[17],"",0,1)</f>
        <v>4</v>
      </c>
      <c r="AD118" cm="1">
        <f t="array" ref="AD118">_xlfn.XLOOKUP(Matrix[[#This Row],[TEAM]]&amp;Matrix[[#Headers],[18]],FDR[FDR]&amp;FDR[[#Headers],[18]],FDR[18],"",0,1)</f>
        <v>5</v>
      </c>
      <c r="AE118" cm="1">
        <f t="array" ref="AE118">_xlfn.XLOOKUP(Matrix[[#This Row],[TEAM]]&amp;Matrix[[#Headers],[19]],FDR[FDR]&amp;FDR[[#Headers],[19]],FDR[19],"",0,1)</f>
        <v>5</v>
      </c>
      <c r="AF118" cm="1">
        <f t="array" ref="AF118">_xlfn.XLOOKUP(Matrix[[#This Row],[TEAM]]&amp;Matrix[[#Headers],[20]],FDR[FDR]&amp;FDR[[#Headers],[20]],FDR[20],"",0,1)</f>
        <v>4</v>
      </c>
      <c r="AG118" cm="1">
        <f t="array" ref="AG118">_xlfn.XLOOKUP(Matrix[[#This Row],[TEAM]]&amp;Matrix[[#Headers],[21]],FDR[FDR]&amp;FDR[[#Headers],[21]],FDR[21],"",0,1)</f>
        <v>5</v>
      </c>
      <c r="AH118" cm="1">
        <f t="array" ref="AH118">_xlfn.XLOOKUP(Matrix[[#This Row],[TEAM]]&amp;Matrix[[#Headers],[22]],FDR[FDR]&amp;FDR[[#Headers],[22]],FDR[22],"",0,1)</f>
        <v>5</v>
      </c>
      <c r="AI118" cm="1">
        <f t="array" ref="AI118">_xlfn.XLOOKUP(Matrix[[#This Row],[TEAM]]&amp;Matrix[[#Headers],[23]],FDR[FDR]&amp;FDR[[#Headers],[23]],FDR[23],"",0,1)</f>
        <v>5</v>
      </c>
      <c r="AJ118" cm="1">
        <f t="array" ref="AJ118">_xlfn.XLOOKUP(Matrix[[#This Row],[TEAM]]&amp;Matrix[[#Headers],[24]],FDR[FDR]&amp;FDR[[#Headers],[24]],FDR[24],"",0,1)</f>
        <v>4</v>
      </c>
      <c r="AK118" cm="1">
        <f t="array" ref="AK118">_xlfn.XLOOKUP(Matrix[[#This Row],[TEAM]]&amp;Matrix[[#Headers],[25]],FDR[FDR]&amp;FDR[[#Headers],[25]],FDR[25],"",0,1)</f>
        <v>5</v>
      </c>
      <c r="AL118" cm="1">
        <f t="array" ref="AL118">_xlfn.XLOOKUP(Matrix[[#This Row],[TEAM]]&amp;Matrix[[#Headers],[26]],FDR[FDR]&amp;FDR[[#Headers],[26]],FDR[26],"",0,1)</f>
        <v>5</v>
      </c>
      <c r="AM118" cm="1">
        <f t="array" ref="AM118">_xlfn.XLOOKUP(Matrix[[#This Row],[TEAM]]&amp;Matrix[[#Headers],[27]],FDR[FDR]&amp;FDR[[#Headers],[27]],FDR[27],"",0,1)</f>
        <v>5</v>
      </c>
      <c r="AN118" cm="1">
        <f t="array" ref="AN118">_xlfn.XLOOKUP(Matrix[[#This Row],[TEAM]]&amp;Matrix[[#Headers],[28]],FDR[FDR]&amp;FDR[[#Headers],[28]],FDR[28],"",0,1)</f>
        <v>5</v>
      </c>
      <c r="AO118" cm="1">
        <f t="array" ref="AO118">_xlfn.XLOOKUP(Matrix[[#This Row],[TEAM]]&amp;Matrix[[#Headers],[29]],FDR[FDR]&amp;FDR[[#Headers],[29]],FDR[29],"",0,1)</f>
        <v>5</v>
      </c>
      <c r="AP118" cm="1">
        <f t="array" ref="AP118">_xlfn.XLOOKUP(Matrix[[#This Row],[TEAM]]&amp;Matrix[[#Headers],[30]],FDR[FDR]&amp;FDR[[#Headers],[30]],FDR[30],"",0,1)</f>
        <v>5</v>
      </c>
      <c r="AQ118" cm="1">
        <f t="array" ref="AQ118">_xlfn.XLOOKUP(Matrix[[#This Row],[TEAM]]&amp;Matrix[[#Headers],[31]],FDR[FDR]&amp;FDR[[#Headers],[31]],FDR[31],"",0,1)</f>
        <v>5</v>
      </c>
      <c r="AR118" cm="1">
        <f t="array" ref="AR118">_xlfn.XLOOKUP(Matrix[[#This Row],[TEAM]]&amp;Matrix[[#Headers],[32]],FDR[FDR]&amp;FDR[[#Headers],[32]],FDR[32],"",0,1)</f>
        <v>5</v>
      </c>
      <c r="AS118" cm="1">
        <f t="array" ref="AS118">_xlfn.XLOOKUP(Matrix[[#This Row],[TEAM]]&amp;Matrix[[#Headers],[33]],FDR[FDR]&amp;FDR[[#Headers],[33]],FDR[33],"",0,1)</f>
        <v>3</v>
      </c>
      <c r="AT118" cm="1">
        <f t="array" ref="AT118">_xlfn.XLOOKUP(Matrix[[#This Row],[TEAM]]&amp;Matrix[[#Headers],[34]],FDR[FDR]&amp;FDR[[#Headers],[34]],FDR[34],"",0,1)</f>
        <v>5</v>
      </c>
      <c r="AU118" cm="1">
        <f t="array" ref="AU118">_xlfn.XLOOKUP(Matrix[[#This Row],[TEAM]]&amp;Matrix[[#Headers],[35]],FDR[FDR]&amp;FDR[[#Headers],[35]],FDR[35],"",0,1)</f>
        <v>2</v>
      </c>
      <c r="AV118" cm="1">
        <f t="array" ref="AV118">_xlfn.XLOOKUP(Matrix[[#This Row],[TEAM]]&amp;Matrix[[#Headers],[36]],FDR[FDR]&amp;FDR[[#Headers],[36]],FDR[36],"",0,1)</f>
        <v>5</v>
      </c>
      <c r="AW118" cm="1">
        <f t="array" ref="AW118">_xlfn.XLOOKUP(Matrix[[#This Row],[TEAM]]&amp;Matrix[[#Headers],[37]],FDR[FDR]&amp;FDR[[#Headers],[37]],FDR[37],"",0,1)</f>
        <v>4</v>
      </c>
      <c r="AX118" cm="1">
        <f t="array" ref="AX118">_xlfn.XLOOKUP(Matrix[[#This Row],[TEAM]]&amp;Matrix[[#Headers],[38]],FDR[FDR]&amp;FDR[[#Headers],[38]],FDR[38],"",0,1)</f>
        <v>3</v>
      </c>
    </row>
    <row r="119" spans="1:50" ht="22" thickTop="1" thickBot="1">
      <c r="A119" s="50" t="str">
        <f>INDEX!S$4</f>
        <v>MID</v>
      </c>
      <c r="B119" s="70" t="s">
        <v>1451</v>
      </c>
      <c r="C119" s="40" t="s">
        <v>24</v>
      </c>
      <c r="D119" s="62">
        <v>89</v>
      </c>
      <c r="E119" s="60">
        <v>1E-3</v>
      </c>
      <c r="F119" s="61">
        <v>96.6</v>
      </c>
      <c r="G119" s="63">
        <v>5.5</v>
      </c>
      <c r="H119" s="261">
        <f>IF(ISBLANK(I119),0,1)</f>
        <v>0</v>
      </c>
      <c r="I119" s="57"/>
      <c r="J119" s="58"/>
      <c r="K119" s="59" t="s">
        <v>967</v>
      </c>
      <c r="L119" s="59" t="s">
        <v>968</v>
      </c>
      <c r="M119" cm="1">
        <f t="array" ref="M119">_xlfn.XLOOKUP(Matrix[[#This Row],[TEAM]]&amp;Matrix[[#Headers],[1]],FDR[FDR]&amp;FDR[[#Headers],[1]],FDR[1],"",0,1)</f>
        <v>2</v>
      </c>
      <c r="N119" cm="1">
        <f t="array" ref="N119">_xlfn.XLOOKUP(Matrix[[#This Row],[TEAM]]&amp;Matrix[[#Headers],[2]],FDR[FDR]&amp;FDR[[#Headers],[2]],FDR[2],"",0,1)</f>
        <v>3</v>
      </c>
      <c r="O119" cm="1">
        <f t="array" ref="O119">_xlfn.XLOOKUP(Matrix[[#This Row],[TEAM]]&amp;Matrix[[#Headers],[3]],FDR[FDR]&amp;FDR[[#Headers],[3]],FDR[3],"",0,1)</f>
        <v>2</v>
      </c>
      <c r="P119" cm="1">
        <f t="array" ref="P119">_xlfn.XLOOKUP(Matrix[[#This Row],[TEAM]]&amp;Matrix[[#Headers],[4]],FDR[FDR]&amp;FDR[[#Headers],[4]],FDR[4],"",0,1)</f>
        <v>4</v>
      </c>
      <c r="Q119" cm="1">
        <f t="array" ref="Q119">_xlfn.XLOOKUP(Matrix[[#This Row],[TEAM]]&amp;Matrix[[#Headers],[5]],FDR[FDR]&amp;FDR[[#Headers],[5]],FDR[5],"",0,1)</f>
        <v>5</v>
      </c>
      <c r="R119" cm="1">
        <f t="array" ref="R119">_xlfn.XLOOKUP(Matrix[[#This Row],[TEAM]]&amp;Matrix[[#Headers],[6]],FDR[FDR]&amp;FDR[[#Headers],[6]],FDR[6],"",0,1)</f>
        <v>3</v>
      </c>
      <c r="S119" cm="1">
        <f t="array" ref="S119">_xlfn.XLOOKUP(Matrix[[#This Row],[TEAM]]&amp;Matrix[[#Headers],[7]],FDR[FDR]&amp;FDR[[#Headers],[7]],FDR[7],"",0,1)</f>
        <v>3</v>
      </c>
      <c r="T119" cm="1">
        <f t="array" ref="T119">_xlfn.XLOOKUP(Matrix[[#This Row],[TEAM]]&amp;Matrix[[#Headers],[8]],FDR[FDR]&amp;FDR[[#Headers],[8]],FDR[8],"",0,1)</f>
        <v>5</v>
      </c>
      <c r="U119" cm="1">
        <f t="array" ref="U119">_xlfn.XLOOKUP(Matrix[[#This Row],[TEAM]]&amp;Matrix[[#Headers],[9]],FDR[FDR]&amp;FDR[[#Headers],[9]],FDR[9],"",0,1)</f>
        <v>4</v>
      </c>
      <c r="V119" cm="1">
        <f t="array" ref="V119">_xlfn.XLOOKUP(Matrix[[#This Row],[TEAM]]&amp;Matrix[[#Headers],[10]],FDR[FDR]&amp;FDR[[#Headers],[10]],FDR[10],"",0,1)</f>
        <v>2</v>
      </c>
      <c r="W119" cm="1">
        <f t="array" ref="W119">_xlfn.XLOOKUP(Matrix[[#This Row],[TEAM]]&amp;Matrix[[#Headers],[11]],FDR[FDR]&amp;FDR[[#Headers],[11]],FDR[11],"",0,1)</f>
        <v>3</v>
      </c>
      <c r="X119" cm="1">
        <f t="array" ref="X119">_xlfn.XLOOKUP(Matrix[[#This Row],[TEAM]]&amp;Matrix[[#Headers],[12]],FDR[FDR]&amp;FDR[[#Headers],[12]],FDR[12],"",0,1)</f>
        <v>5</v>
      </c>
      <c r="Y119" cm="1">
        <f t="array" ref="Y119">_xlfn.XLOOKUP(Matrix[[#This Row],[TEAM]]&amp;Matrix[[#Headers],[13]],FDR[FDR]&amp;FDR[[#Headers],[13]],FDR[13],"",0,1)</f>
        <v>4</v>
      </c>
      <c r="Z119" cm="1">
        <f t="array" ref="Z119">_xlfn.XLOOKUP(Matrix[[#This Row],[TEAM]]&amp;Matrix[[#Headers],[14]],FDR[FDR]&amp;FDR[[#Headers],[14]],FDR[14],"",0,1)</f>
        <v>4</v>
      </c>
      <c r="AA119" cm="1">
        <f t="array" ref="AA119">_xlfn.XLOOKUP(Matrix[[#This Row],[TEAM]]&amp;Matrix[[#Headers],[15]],FDR[FDR]&amp;FDR[[#Headers],[15]],FDR[15],"",0,1)</f>
        <v>3</v>
      </c>
      <c r="AB119" cm="1">
        <f t="array" ref="AB119">_xlfn.XLOOKUP(Matrix[[#This Row],[TEAM]]&amp;Matrix[[#Headers],[16]],FDR[FDR]&amp;FDR[[#Headers],[16]],FDR[16],"",0,1)</f>
        <v>5</v>
      </c>
      <c r="AC119" cm="1">
        <f t="array" ref="AC119">_xlfn.XLOOKUP(Matrix[[#This Row],[TEAM]]&amp;Matrix[[#Headers],[17]],FDR[FDR]&amp;FDR[[#Headers],[17]],FDR[17],"",0,1)</f>
        <v>4</v>
      </c>
      <c r="AD119" cm="1">
        <f t="array" ref="AD119">_xlfn.XLOOKUP(Matrix[[#This Row],[TEAM]]&amp;Matrix[[#Headers],[18]],FDR[FDR]&amp;FDR[[#Headers],[18]],FDR[18],"",0,1)</f>
        <v>2</v>
      </c>
      <c r="AE119" cm="1">
        <f t="array" ref="AE119">_xlfn.XLOOKUP(Matrix[[#This Row],[TEAM]]&amp;Matrix[[#Headers],[19]],FDR[FDR]&amp;FDR[[#Headers],[19]],FDR[19],"",0,1)</f>
        <v>4</v>
      </c>
      <c r="AF119" cm="1">
        <f t="array" ref="AF119">_xlfn.XLOOKUP(Matrix[[#This Row],[TEAM]]&amp;Matrix[[#Headers],[20]],FDR[FDR]&amp;FDR[[#Headers],[20]],FDR[20],"",0,1)</f>
        <v>3</v>
      </c>
      <c r="AG119" cm="1">
        <f t="array" ref="AG119">_xlfn.XLOOKUP(Matrix[[#This Row],[TEAM]]&amp;Matrix[[#Headers],[21]],FDR[FDR]&amp;FDR[[#Headers],[21]],FDR[21],"",0,1)</f>
        <v>2</v>
      </c>
      <c r="AH119" cm="1">
        <f t="array" ref="AH119">_xlfn.XLOOKUP(Matrix[[#This Row],[TEAM]]&amp;Matrix[[#Headers],[22]],FDR[FDR]&amp;FDR[[#Headers],[22]],FDR[22],"",0,1)</f>
        <v>5</v>
      </c>
      <c r="AI119" cm="1">
        <f t="array" ref="AI119">_xlfn.XLOOKUP(Matrix[[#This Row],[TEAM]]&amp;Matrix[[#Headers],[23]],FDR[FDR]&amp;FDR[[#Headers],[23]],FDR[23],"",0,1)</f>
        <v>1</v>
      </c>
      <c r="AJ119" cm="1">
        <f t="array" ref="AJ119">_xlfn.XLOOKUP(Matrix[[#This Row],[TEAM]]&amp;Matrix[[#Headers],[24]],FDR[FDR]&amp;FDR[[#Headers],[24]],FDR[24],"",0,1)</f>
        <v>4</v>
      </c>
      <c r="AK119" cm="1">
        <f t="array" ref="AK119">_xlfn.XLOOKUP(Matrix[[#This Row],[TEAM]]&amp;Matrix[[#Headers],[25]],FDR[FDR]&amp;FDR[[#Headers],[25]],FDR[25],"",0,1)</f>
        <v>4</v>
      </c>
      <c r="AL119" cm="1">
        <f t="array" ref="AL119">_xlfn.XLOOKUP(Matrix[[#This Row],[TEAM]]&amp;Matrix[[#Headers],[26]],FDR[FDR]&amp;FDR[[#Headers],[26]],FDR[26],"",0,1)</f>
        <v>3</v>
      </c>
      <c r="AM119" cm="1">
        <f t="array" ref="AM119">_xlfn.XLOOKUP(Matrix[[#This Row],[TEAM]]&amp;Matrix[[#Headers],[27]],FDR[FDR]&amp;FDR[[#Headers],[27]],FDR[27],"",0,1)</f>
        <v>4</v>
      </c>
      <c r="AN119" cm="1">
        <f t="array" ref="AN119">_xlfn.XLOOKUP(Matrix[[#This Row],[TEAM]]&amp;Matrix[[#Headers],[28]],FDR[FDR]&amp;FDR[[#Headers],[28]],FDR[28],"",0,1)</f>
        <v>5</v>
      </c>
      <c r="AO119" cm="1">
        <f t="array" ref="AO119">_xlfn.XLOOKUP(Matrix[[#This Row],[TEAM]]&amp;Matrix[[#Headers],[29]],FDR[FDR]&amp;FDR[[#Headers],[29]],FDR[29],"",0,1)</f>
        <v>1</v>
      </c>
      <c r="AP119" cm="1">
        <f t="array" ref="AP119">_xlfn.XLOOKUP(Matrix[[#This Row],[TEAM]]&amp;Matrix[[#Headers],[30]],FDR[FDR]&amp;FDR[[#Headers],[30]],FDR[30],"",0,1)</f>
        <v>5</v>
      </c>
      <c r="AQ119" cm="1">
        <f t="array" ref="AQ119">_xlfn.XLOOKUP(Matrix[[#This Row],[TEAM]]&amp;Matrix[[#Headers],[31]],FDR[FDR]&amp;FDR[[#Headers],[31]],FDR[31],"",0,1)</f>
        <v>4</v>
      </c>
      <c r="AR119" cm="1">
        <f t="array" ref="AR119">_xlfn.XLOOKUP(Matrix[[#This Row],[TEAM]]&amp;Matrix[[#Headers],[32]],FDR[FDR]&amp;FDR[[#Headers],[32]],FDR[32],"",0,1)</f>
        <v>4</v>
      </c>
      <c r="AS119" cm="1">
        <f t="array" ref="AS119">_xlfn.XLOOKUP(Matrix[[#This Row],[TEAM]]&amp;Matrix[[#Headers],[33]],FDR[FDR]&amp;FDR[[#Headers],[33]],FDR[33],"",0,1)</f>
        <v>4</v>
      </c>
      <c r="AT119" cm="1">
        <f t="array" ref="AT119">_xlfn.XLOOKUP(Matrix[[#This Row],[TEAM]]&amp;Matrix[[#Headers],[34]],FDR[FDR]&amp;FDR[[#Headers],[34]],FDR[34],"",0,1)</f>
        <v>4</v>
      </c>
      <c r="AU119" cm="1">
        <f t="array" ref="AU119">_xlfn.XLOOKUP(Matrix[[#This Row],[TEAM]]&amp;Matrix[[#Headers],[35]],FDR[FDR]&amp;FDR[[#Headers],[35]],FDR[35],"",0,1)</f>
        <v>4</v>
      </c>
      <c r="AV119" cm="1">
        <f t="array" ref="AV119">_xlfn.XLOOKUP(Matrix[[#This Row],[TEAM]]&amp;Matrix[[#Headers],[36]],FDR[FDR]&amp;FDR[[#Headers],[36]],FDR[36],"",0,1)</f>
        <v>4</v>
      </c>
      <c r="AW119" cm="1">
        <f t="array" ref="AW119">_xlfn.XLOOKUP(Matrix[[#This Row],[TEAM]]&amp;Matrix[[#Headers],[37]],FDR[FDR]&amp;FDR[[#Headers],[37]],FDR[37],"",0,1)</f>
        <v>1</v>
      </c>
      <c r="AX119" cm="1">
        <f t="array" ref="AX119">_xlfn.XLOOKUP(Matrix[[#This Row],[TEAM]]&amp;Matrix[[#Headers],[38]],FDR[FDR]&amp;FDR[[#Headers],[38]],FDR[38],"",0,1)</f>
        <v>5</v>
      </c>
    </row>
    <row r="120" spans="1:50" ht="22" thickTop="1" thickBot="1">
      <c r="A120" s="50" t="str">
        <f>INDEX!S$4</f>
        <v>MID</v>
      </c>
      <c r="B120" s="70" t="s">
        <v>1426</v>
      </c>
      <c r="C120" s="40" t="s">
        <v>43</v>
      </c>
      <c r="D120" s="62">
        <v>87</v>
      </c>
      <c r="E120" s="60">
        <v>4.0000000000000001E-3</v>
      </c>
      <c r="F120" s="61">
        <v>155.4</v>
      </c>
      <c r="G120" s="63">
        <v>5.5</v>
      </c>
      <c r="H120" s="261">
        <f>IF(ISBLANK(I120),0,1)</f>
        <v>0</v>
      </c>
      <c r="I120" s="57"/>
      <c r="J120" s="58"/>
      <c r="K120" s="59" t="s">
        <v>354</v>
      </c>
      <c r="L120" s="59" t="s">
        <v>211</v>
      </c>
      <c r="M120" cm="1">
        <f t="array" ref="M120">_xlfn.XLOOKUP(Matrix[[#This Row],[TEAM]]&amp;Matrix[[#Headers],[1]],FDR[FDR]&amp;FDR[[#Headers],[1]],FDR[1],"",0,1)</f>
        <v>5</v>
      </c>
      <c r="N120" cm="1">
        <f t="array" ref="N120">_xlfn.XLOOKUP(Matrix[[#This Row],[TEAM]]&amp;Matrix[[#Headers],[2]],FDR[FDR]&amp;FDR[[#Headers],[2]],FDR[2],"",0,1)</f>
        <v>1</v>
      </c>
      <c r="O120" cm="1">
        <f t="array" ref="O120">_xlfn.XLOOKUP(Matrix[[#This Row],[TEAM]]&amp;Matrix[[#Headers],[3]],FDR[FDR]&amp;FDR[[#Headers],[3]],FDR[3],"",0,1)</f>
        <v>5</v>
      </c>
      <c r="P120" cm="1">
        <f t="array" ref="P120">_xlfn.XLOOKUP(Matrix[[#This Row],[TEAM]]&amp;Matrix[[#Headers],[4]],FDR[FDR]&amp;FDR[[#Headers],[4]],FDR[4],"",0,1)</f>
        <v>3</v>
      </c>
      <c r="Q120" cm="1">
        <f t="array" ref="Q120">_xlfn.XLOOKUP(Matrix[[#This Row],[TEAM]]&amp;Matrix[[#Headers],[5]],FDR[FDR]&amp;FDR[[#Headers],[5]],FDR[5],"",0,1)</f>
        <v>4</v>
      </c>
      <c r="R120" cm="1">
        <f t="array" ref="R120">_xlfn.XLOOKUP(Matrix[[#This Row],[TEAM]]&amp;Matrix[[#Headers],[6]],FDR[FDR]&amp;FDR[[#Headers],[6]],FDR[6],"",0,1)</f>
        <v>2</v>
      </c>
      <c r="S120" cm="1">
        <f t="array" ref="S120">_xlfn.XLOOKUP(Matrix[[#This Row],[TEAM]]&amp;Matrix[[#Headers],[7]],FDR[FDR]&amp;FDR[[#Headers],[7]],FDR[7],"",0,1)</f>
        <v>3</v>
      </c>
      <c r="T120" cm="1">
        <f t="array" ref="T120">_xlfn.XLOOKUP(Matrix[[#This Row],[TEAM]]&amp;Matrix[[#Headers],[8]],FDR[FDR]&amp;FDR[[#Headers],[8]],FDR[8],"",0,1)</f>
        <v>3</v>
      </c>
      <c r="U120" cm="1">
        <f t="array" ref="U120">_xlfn.XLOOKUP(Matrix[[#This Row],[TEAM]]&amp;Matrix[[#Headers],[9]],FDR[FDR]&amp;FDR[[#Headers],[9]],FDR[9],"",0,1)</f>
        <v>3</v>
      </c>
      <c r="V120" cm="1">
        <f t="array" ref="V120">_xlfn.XLOOKUP(Matrix[[#This Row],[TEAM]]&amp;Matrix[[#Headers],[10]],FDR[FDR]&amp;FDR[[#Headers],[10]],FDR[10],"",0,1)</f>
        <v>5</v>
      </c>
      <c r="W120" cm="1">
        <f t="array" ref="W120">_xlfn.XLOOKUP(Matrix[[#This Row],[TEAM]]&amp;Matrix[[#Headers],[11]],FDR[FDR]&amp;FDR[[#Headers],[11]],FDR[11],"",0,1)</f>
        <v>5</v>
      </c>
      <c r="X120" cm="1">
        <f t="array" ref="X120">_xlfn.XLOOKUP(Matrix[[#This Row],[TEAM]]&amp;Matrix[[#Headers],[12]],FDR[FDR]&amp;FDR[[#Headers],[12]],FDR[12],"",0,1)</f>
        <v>2</v>
      </c>
      <c r="Y120" cm="1">
        <f t="array" ref="Y120">_xlfn.XLOOKUP(Matrix[[#This Row],[TEAM]]&amp;Matrix[[#Headers],[13]],FDR[FDR]&amp;FDR[[#Headers],[13]],FDR[13],"",0,1)</f>
        <v>2</v>
      </c>
      <c r="Z120" cm="1">
        <f t="array" ref="Z120">_xlfn.XLOOKUP(Matrix[[#This Row],[TEAM]]&amp;Matrix[[#Headers],[14]],FDR[FDR]&amp;FDR[[#Headers],[14]],FDR[14],"",0,1)</f>
        <v>2</v>
      </c>
      <c r="AA120" cm="1">
        <f t="array" ref="AA120">_xlfn.XLOOKUP(Matrix[[#This Row],[TEAM]]&amp;Matrix[[#Headers],[15]],FDR[FDR]&amp;FDR[[#Headers],[15]],FDR[15],"",0,1)</f>
        <v>4</v>
      </c>
      <c r="AB120" cm="1">
        <f t="array" ref="AB120">_xlfn.XLOOKUP(Matrix[[#This Row],[TEAM]]&amp;Matrix[[#Headers],[16]],FDR[FDR]&amp;FDR[[#Headers],[16]],FDR[16],"",0,1)</f>
        <v>5</v>
      </c>
      <c r="AC120" cm="1">
        <f t="array" ref="AC120">_xlfn.XLOOKUP(Matrix[[#This Row],[TEAM]]&amp;Matrix[[#Headers],[17]],FDR[FDR]&amp;FDR[[#Headers],[17]],FDR[17],"",0,1)</f>
        <v>1</v>
      </c>
      <c r="AD120" cm="1">
        <f t="array" ref="AD120">_xlfn.XLOOKUP(Matrix[[#This Row],[TEAM]]&amp;Matrix[[#Headers],[18]],FDR[FDR]&amp;FDR[[#Headers],[18]],FDR[18],"",0,1)</f>
        <v>3</v>
      </c>
      <c r="AE120" cm="1">
        <f t="array" ref="AE120">_xlfn.XLOOKUP(Matrix[[#This Row],[TEAM]]&amp;Matrix[[#Headers],[19]],FDR[FDR]&amp;FDR[[#Headers],[19]],FDR[19],"",0,1)</f>
        <v>5</v>
      </c>
      <c r="AF120" cm="1">
        <f t="array" ref="AF120">_xlfn.XLOOKUP(Matrix[[#This Row],[TEAM]]&amp;Matrix[[#Headers],[20]],FDR[FDR]&amp;FDR[[#Headers],[20]],FDR[20],"",0,1)</f>
        <v>4</v>
      </c>
      <c r="AG120" cm="1">
        <f t="array" ref="AG120">_xlfn.XLOOKUP(Matrix[[#This Row],[TEAM]]&amp;Matrix[[#Headers],[21]],FDR[FDR]&amp;FDR[[#Headers],[21]],FDR[21],"",0,1)</f>
        <v>4</v>
      </c>
      <c r="AH120" cm="1">
        <f t="array" ref="AH120">_xlfn.XLOOKUP(Matrix[[#This Row],[TEAM]]&amp;Matrix[[#Headers],[22]],FDR[FDR]&amp;FDR[[#Headers],[22]],FDR[22],"",0,1)</f>
        <v>4</v>
      </c>
      <c r="AI120" cm="1">
        <f t="array" ref="AI120">_xlfn.XLOOKUP(Matrix[[#This Row],[TEAM]]&amp;Matrix[[#Headers],[23]],FDR[FDR]&amp;FDR[[#Headers],[23]],FDR[23],"",0,1)</f>
        <v>4</v>
      </c>
      <c r="AJ120" cm="1">
        <f t="array" ref="AJ120">_xlfn.XLOOKUP(Matrix[[#This Row],[TEAM]]&amp;Matrix[[#Headers],[24]],FDR[FDR]&amp;FDR[[#Headers],[24]],FDR[24],"",0,1)</f>
        <v>2</v>
      </c>
      <c r="AK120" cm="1">
        <f t="array" ref="AK120">_xlfn.XLOOKUP(Matrix[[#This Row],[TEAM]]&amp;Matrix[[#Headers],[25]],FDR[FDR]&amp;FDR[[#Headers],[25]],FDR[25],"",0,1)</f>
        <v>3</v>
      </c>
      <c r="AL120" cm="1">
        <f t="array" ref="AL120">_xlfn.XLOOKUP(Matrix[[#This Row],[TEAM]]&amp;Matrix[[#Headers],[26]],FDR[FDR]&amp;FDR[[#Headers],[26]],FDR[26],"",0,1)</f>
        <v>3</v>
      </c>
      <c r="AM120" cm="1">
        <f t="array" ref="AM120">_xlfn.XLOOKUP(Matrix[[#This Row],[TEAM]]&amp;Matrix[[#Headers],[27]],FDR[FDR]&amp;FDR[[#Headers],[27]],FDR[27],"",0,1)</f>
        <v>3</v>
      </c>
      <c r="AN120" cm="1">
        <f t="array" ref="AN120">_xlfn.XLOOKUP(Matrix[[#This Row],[TEAM]]&amp;Matrix[[#Headers],[28]],FDR[FDR]&amp;FDR[[#Headers],[28]],FDR[28],"",0,1)</f>
        <v>1</v>
      </c>
      <c r="AO120" cm="1">
        <f t="array" ref="AO120">_xlfn.XLOOKUP(Matrix[[#This Row],[TEAM]]&amp;Matrix[[#Headers],[29]],FDR[FDR]&amp;FDR[[#Headers],[29]],FDR[29],"",0,1)</f>
        <v>2</v>
      </c>
      <c r="AP120" cm="1">
        <f t="array" ref="AP120">_xlfn.XLOOKUP(Matrix[[#This Row],[TEAM]]&amp;Matrix[[#Headers],[30]],FDR[FDR]&amp;FDR[[#Headers],[30]],FDR[30],"",0,1)</f>
        <v>2</v>
      </c>
      <c r="AQ120" cm="1">
        <f t="array" ref="AQ120">_xlfn.XLOOKUP(Matrix[[#This Row],[TEAM]]&amp;Matrix[[#Headers],[31]],FDR[FDR]&amp;FDR[[#Headers],[31]],FDR[31],"",0,1)</f>
        <v>4</v>
      </c>
      <c r="AR120" cm="1">
        <f t="array" ref="AR120">_xlfn.XLOOKUP(Matrix[[#This Row],[TEAM]]&amp;Matrix[[#Headers],[32]],FDR[FDR]&amp;FDR[[#Headers],[32]],FDR[32],"",0,1)</f>
        <v>5</v>
      </c>
      <c r="AS120" cm="1">
        <f t="array" ref="AS120">_xlfn.XLOOKUP(Matrix[[#This Row],[TEAM]]&amp;Matrix[[#Headers],[33]],FDR[FDR]&amp;FDR[[#Headers],[33]],FDR[33],"",0,1)</f>
        <v>5</v>
      </c>
      <c r="AT120" cm="1">
        <f t="array" ref="AT120">_xlfn.XLOOKUP(Matrix[[#This Row],[TEAM]]&amp;Matrix[[#Headers],[34]],FDR[FDR]&amp;FDR[[#Headers],[34]],FDR[34],"",0,1)</f>
        <v>1</v>
      </c>
      <c r="AU120" cm="1">
        <f t="array" ref="AU120">_xlfn.XLOOKUP(Matrix[[#This Row],[TEAM]]&amp;Matrix[[#Headers],[35]],FDR[FDR]&amp;FDR[[#Headers],[35]],FDR[35],"",0,1)</f>
        <v>2</v>
      </c>
      <c r="AV120" cm="1">
        <f t="array" ref="AV120">_xlfn.XLOOKUP(Matrix[[#This Row],[TEAM]]&amp;Matrix[[#Headers],[36]],FDR[FDR]&amp;FDR[[#Headers],[36]],FDR[36],"",0,1)</f>
        <v>4</v>
      </c>
      <c r="AW120" cm="1">
        <f t="array" ref="AW120">_xlfn.XLOOKUP(Matrix[[#This Row],[TEAM]]&amp;Matrix[[#Headers],[37]],FDR[FDR]&amp;FDR[[#Headers],[37]],FDR[37],"",0,1)</f>
        <v>4</v>
      </c>
      <c r="AX120" cm="1">
        <f t="array" ref="AX120">_xlfn.XLOOKUP(Matrix[[#This Row],[TEAM]]&amp;Matrix[[#Headers],[38]],FDR[FDR]&amp;FDR[[#Headers],[38]],FDR[38],"",0,1)</f>
        <v>4</v>
      </c>
    </row>
    <row r="121" spans="1:50" ht="22" thickTop="1" thickBot="1">
      <c r="A121" s="50" t="str">
        <f>INDEX!S$4</f>
        <v>MID</v>
      </c>
      <c r="B121" s="70" t="s">
        <v>1465</v>
      </c>
      <c r="C121" s="40" t="s">
        <v>51</v>
      </c>
      <c r="D121" s="62">
        <v>87</v>
      </c>
      <c r="E121" s="60">
        <v>1E-3</v>
      </c>
      <c r="F121" s="61">
        <v>117.3</v>
      </c>
      <c r="G121" s="63">
        <v>5.5</v>
      </c>
      <c r="H121" s="261">
        <f>IF(ISBLANK(I121),0,1)</f>
        <v>0</v>
      </c>
      <c r="I121" s="57"/>
      <c r="J121" s="58"/>
      <c r="K121" s="59" t="s">
        <v>450</v>
      </c>
      <c r="L121" s="59" t="s">
        <v>509</v>
      </c>
      <c r="M121" cm="1">
        <f t="array" ref="M121">_xlfn.XLOOKUP(Matrix[[#This Row],[TEAM]]&amp;Matrix[[#Headers],[1]],FDR[FDR]&amp;FDR[[#Headers],[1]],FDR[1],"",0,1)</f>
        <v>5</v>
      </c>
      <c r="N121" cm="1">
        <f t="array" ref="N121">_xlfn.XLOOKUP(Matrix[[#This Row],[TEAM]]&amp;Matrix[[#Headers],[2]],FDR[FDR]&amp;FDR[[#Headers],[2]],FDR[2],"",0,1)</f>
        <v>5</v>
      </c>
      <c r="O121" cm="1">
        <f t="array" ref="O121">_xlfn.XLOOKUP(Matrix[[#This Row],[TEAM]]&amp;Matrix[[#Headers],[3]],FDR[FDR]&amp;FDR[[#Headers],[3]],FDR[3],"",0,1)</f>
        <v>4</v>
      </c>
      <c r="P121" cm="1">
        <f t="array" ref="P121">_xlfn.XLOOKUP(Matrix[[#This Row],[TEAM]]&amp;Matrix[[#Headers],[4]],FDR[FDR]&amp;FDR[[#Headers],[4]],FDR[4],"",0,1)</f>
        <v>5</v>
      </c>
      <c r="Q121" cm="1">
        <f t="array" ref="Q121">_xlfn.XLOOKUP(Matrix[[#This Row],[TEAM]]&amp;Matrix[[#Headers],[5]],FDR[FDR]&amp;FDR[[#Headers],[5]],FDR[5],"",0,1)</f>
        <v>2</v>
      </c>
      <c r="R121" cm="1">
        <f t="array" ref="R121">_xlfn.XLOOKUP(Matrix[[#This Row],[TEAM]]&amp;Matrix[[#Headers],[6]],FDR[FDR]&amp;FDR[[#Headers],[6]],FDR[6],"",0,1)</f>
        <v>5</v>
      </c>
      <c r="S121" cm="1">
        <f t="array" ref="S121">_xlfn.XLOOKUP(Matrix[[#This Row],[TEAM]]&amp;Matrix[[#Headers],[7]],FDR[FDR]&amp;FDR[[#Headers],[7]],FDR[7],"",0,1)</f>
        <v>4</v>
      </c>
      <c r="T121" cm="1">
        <f t="array" ref="T121">_xlfn.XLOOKUP(Matrix[[#This Row],[TEAM]]&amp;Matrix[[#Headers],[8]],FDR[FDR]&amp;FDR[[#Headers],[8]],FDR[8],"",0,1)</f>
        <v>3</v>
      </c>
      <c r="U121" cm="1">
        <f t="array" ref="U121">_xlfn.XLOOKUP(Matrix[[#This Row],[TEAM]]&amp;Matrix[[#Headers],[9]],FDR[FDR]&amp;FDR[[#Headers],[9]],FDR[9],"",0,1)</f>
        <v>2</v>
      </c>
      <c r="V121" cm="1">
        <f t="array" ref="V121">_xlfn.XLOOKUP(Matrix[[#This Row],[TEAM]]&amp;Matrix[[#Headers],[10]],FDR[FDR]&amp;FDR[[#Headers],[10]],FDR[10],"",0,1)</f>
        <v>5</v>
      </c>
      <c r="W121" cm="1">
        <f t="array" ref="W121">_xlfn.XLOOKUP(Matrix[[#This Row],[TEAM]]&amp;Matrix[[#Headers],[11]],FDR[FDR]&amp;FDR[[#Headers],[11]],FDR[11],"",0,1)</f>
        <v>5</v>
      </c>
      <c r="X121" cm="1">
        <f t="array" ref="X121">_xlfn.XLOOKUP(Matrix[[#This Row],[TEAM]]&amp;Matrix[[#Headers],[12]],FDR[FDR]&amp;FDR[[#Headers],[12]],FDR[12],"",0,1)</f>
        <v>4</v>
      </c>
      <c r="Y121" cm="1">
        <f t="array" ref="Y121">_xlfn.XLOOKUP(Matrix[[#This Row],[TEAM]]&amp;Matrix[[#Headers],[13]],FDR[FDR]&amp;FDR[[#Headers],[13]],FDR[13],"",0,1)</f>
        <v>5</v>
      </c>
      <c r="Z121" cm="1">
        <f t="array" ref="Z121">_xlfn.XLOOKUP(Matrix[[#This Row],[TEAM]]&amp;Matrix[[#Headers],[14]],FDR[FDR]&amp;FDR[[#Headers],[14]],FDR[14],"",0,1)</f>
        <v>4</v>
      </c>
      <c r="AA121" cm="1">
        <f t="array" ref="AA121">_xlfn.XLOOKUP(Matrix[[#This Row],[TEAM]]&amp;Matrix[[#Headers],[15]],FDR[FDR]&amp;FDR[[#Headers],[15]],FDR[15],"",0,1)</f>
        <v>5</v>
      </c>
      <c r="AB121" cm="1">
        <f t="array" ref="AB121">_xlfn.XLOOKUP(Matrix[[#This Row],[TEAM]]&amp;Matrix[[#Headers],[16]],FDR[FDR]&amp;FDR[[#Headers],[16]],FDR[16],"",0,1)</f>
        <v>5</v>
      </c>
      <c r="AC121" cm="1">
        <f t="array" ref="AC121">_xlfn.XLOOKUP(Matrix[[#This Row],[TEAM]]&amp;Matrix[[#Headers],[17]],FDR[FDR]&amp;FDR[[#Headers],[17]],FDR[17],"",0,1)</f>
        <v>4</v>
      </c>
      <c r="AD121" cm="1">
        <f t="array" ref="AD121">_xlfn.XLOOKUP(Matrix[[#This Row],[TEAM]]&amp;Matrix[[#Headers],[18]],FDR[FDR]&amp;FDR[[#Headers],[18]],FDR[18],"",0,1)</f>
        <v>5</v>
      </c>
      <c r="AE121" cm="1">
        <f t="array" ref="AE121">_xlfn.XLOOKUP(Matrix[[#This Row],[TEAM]]&amp;Matrix[[#Headers],[19]],FDR[FDR]&amp;FDR[[#Headers],[19]],FDR[19],"",0,1)</f>
        <v>5</v>
      </c>
      <c r="AF121" cm="1">
        <f t="array" ref="AF121">_xlfn.XLOOKUP(Matrix[[#This Row],[TEAM]]&amp;Matrix[[#Headers],[20]],FDR[FDR]&amp;FDR[[#Headers],[20]],FDR[20],"",0,1)</f>
        <v>4</v>
      </c>
      <c r="AG121" cm="1">
        <f t="array" ref="AG121">_xlfn.XLOOKUP(Matrix[[#This Row],[TEAM]]&amp;Matrix[[#Headers],[21]],FDR[FDR]&amp;FDR[[#Headers],[21]],FDR[21],"",0,1)</f>
        <v>5</v>
      </c>
      <c r="AH121" cm="1">
        <f t="array" ref="AH121">_xlfn.XLOOKUP(Matrix[[#This Row],[TEAM]]&amp;Matrix[[#Headers],[22]],FDR[FDR]&amp;FDR[[#Headers],[22]],FDR[22],"",0,1)</f>
        <v>5</v>
      </c>
      <c r="AI121" cm="1">
        <f t="array" ref="AI121">_xlfn.XLOOKUP(Matrix[[#This Row],[TEAM]]&amp;Matrix[[#Headers],[23]],FDR[FDR]&amp;FDR[[#Headers],[23]],FDR[23],"",0,1)</f>
        <v>5</v>
      </c>
      <c r="AJ121" cm="1">
        <f t="array" ref="AJ121">_xlfn.XLOOKUP(Matrix[[#This Row],[TEAM]]&amp;Matrix[[#Headers],[24]],FDR[FDR]&amp;FDR[[#Headers],[24]],FDR[24],"",0,1)</f>
        <v>4</v>
      </c>
      <c r="AK121" cm="1">
        <f t="array" ref="AK121">_xlfn.XLOOKUP(Matrix[[#This Row],[TEAM]]&amp;Matrix[[#Headers],[25]],FDR[FDR]&amp;FDR[[#Headers],[25]],FDR[25],"",0,1)</f>
        <v>5</v>
      </c>
      <c r="AL121" cm="1">
        <f t="array" ref="AL121">_xlfn.XLOOKUP(Matrix[[#This Row],[TEAM]]&amp;Matrix[[#Headers],[26]],FDR[FDR]&amp;FDR[[#Headers],[26]],FDR[26],"",0,1)</f>
        <v>5</v>
      </c>
      <c r="AM121" cm="1">
        <f t="array" ref="AM121">_xlfn.XLOOKUP(Matrix[[#This Row],[TEAM]]&amp;Matrix[[#Headers],[27]],FDR[FDR]&amp;FDR[[#Headers],[27]],FDR[27],"",0,1)</f>
        <v>5</v>
      </c>
      <c r="AN121" cm="1">
        <f t="array" ref="AN121">_xlfn.XLOOKUP(Matrix[[#This Row],[TEAM]]&amp;Matrix[[#Headers],[28]],FDR[FDR]&amp;FDR[[#Headers],[28]],FDR[28],"",0,1)</f>
        <v>5</v>
      </c>
      <c r="AO121" cm="1">
        <f t="array" ref="AO121">_xlfn.XLOOKUP(Matrix[[#This Row],[TEAM]]&amp;Matrix[[#Headers],[29]],FDR[FDR]&amp;FDR[[#Headers],[29]],FDR[29],"",0,1)</f>
        <v>5</v>
      </c>
      <c r="AP121" cm="1">
        <f t="array" ref="AP121">_xlfn.XLOOKUP(Matrix[[#This Row],[TEAM]]&amp;Matrix[[#Headers],[30]],FDR[FDR]&amp;FDR[[#Headers],[30]],FDR[30],"",0,1)</f>
        <v>5</v>
      </c>
      <c r="AQ121" cm="1">
        <f t="array" ref="AQ121">_xlfn.XLOOKUP(Matrix[[#This Row],[TEAM]]&amp;Matrix[[#Headers],[31]],FDR[FDR]&amp;FDR[[#Headers],[31]],FDR[31],"",0,1)</f>
        <v>5</v>
      </c>
      <c r="AR121" cm="1">
        <f t="array" ref="AR121">_xlfn.XLOOKUP(Matrix[[#This Row],[TEAM]]&amp;Matrix[[#Headers],[32]],FDR[FDR]&amp;FDR[[#Headers],[32]],FDR[32],"",0,1)</f>
        <v>5</v>
      </c>
      <c r="AS121" cm="1">
        <f t="array" ref="AS121">_xlfn.XLOOKUP(Matrix[[#This Row],[TEAM]]&amp;Matrix[[#Headers],[33]],FDR[FDR]&amp;FDR[[#Headers],[33]],FDR[33],"",0,1)</f>
        <v>3</v>
      </c>
      <c r="AT121" cm="1">
        <f t="array" ref="AT121">_xlfn.XLOOKUP(Matrix[[#This Row],[TEAM]]&amp;Matrix[[#Headers],[34]],FDR[FDR]&amp;FDR[[#Headers],[34]],FDR[34],"",0,1)</f>
        <v>5</v>
      </c>
      <c r="AU121" cm="1">
        <f t="array" ref="AU121">_xlfn.XLOOKUP(Matrix[[#This Row],[TEAM]]&amp;Matrix[[#Headers],[35]],FDR[FDR]&amp;FDR[[#Headers],[35]],FDR[35],"",0,1)</f>
        <v>2</v>
      </c>
      <c r="AV121" cm="1">
        <f t="array" ref="AV121">_xlfn.XLOOKUP(Matrix[[#This Row],[TEAM]]&amp;Matrix[[#Headers],[36]],FDR[FDR]&amp;FDR[[#Headers],[36]],FDR[36],"",0,1)</f>
        <v>5</v>
      </c>
      <c r="AW121" cm="1">
        <f t="array" ref="AW121">_xlfn.XLOOKUP(Matrix[[#This Row],[TEAM]]&amp;Matrix[[#Headers],[37]],FDR[FDR]&amp;FDR[[#Headers],[37]],FDR[37],"",0,1)</f>
        <v>4</v>
      </c>
      <c r="AX121" cm="1">
        <f t="array" ref="AX121">_xlfn.XLOOKUP(Matrix[[#This Row],[TEAM]]&amp;Matrix[[#Headers],[38]],FDR[FDR]&amp;FDR[[#Headers],[38]],FDR[38],"",0,1)</f>
        <v>3</v>
      </c>
    </row>
    <row r="122" spans="1:50" ht="22" thickTop="1" thickBot="1">
      <c r="A122" s="50" t="str">
        <f>INDEX!S$4</f>
        <v>MID</v>
      </c>
      <c r="B122" s="70" t="s">
        <v>1418</v>
      </c>
      <c r="C122" s="40" t="s">
        <v>28</v>
      </c>
      <c r="D122" s="62">
        <v>78</v>
      </c>
      <c r="E122" s="60">
        <v>6.0000000000000001E-3</v>
      </c>
      <c r="F122" s="61">
        <v>103.7</v>
      </c>
      <c r="G122" s="63">
        <v>5.5</v>
      </c>
      <c r="H122" s="261">
        <f>IF(ISBLANK(I122),0,1)</f>
        <v>0</v>
      </c>
      <c r="I122" s="57"/>
      <c r="J122" s="58"/>
      <c r="K122" s="59" t="s">
        <v>437</v>
      </c>
      <c r="L122" s="59" t="s">
        <v>213</v>
      </c>
      <c r="M122" cm="1">
        <f t="array" ref="M122">_xlfn.XLOOKUP(Matrix[[#This Row],[TEAM]]&amp;Matrix[[#Headers],[1]],FDR[FDR]&amp;FDR[[#Headers],[1]],FDR[1],"",0,1)</f>
        <v>3</v>
      </c>
      <c r="N122" cm="1">
        <f t="array" ref="N122">_xlfn.XLOOKUP(Matrix[[#This Row],[TEAM]]&amp;Matrix[[#Headers],[2]],FDR[FDR]&amp;FDR[[#Headers],[2]],FDR[2],"",0,1)</f>
        <v>2</v>
      </c>
      <c r="O122" cm="1">
        <f t="array" ref="O122">_xlfn.XLOOKUP(Matrix[[#This Row],[TEAM]]&amp;Matrix[[#Headers],[3]],FDR[FDR]&amp;FDR[[#Headers],[3]],FDR[3],"",0,1)</f>
        <v>1</v>
      </c>
      <c r="P122" cm="1">
        <f t="array" ref="P122">_xlfn.XLOOKUP(Matrix[[#This Row],[TEAM]]&amp;Matrix[[#Headers],[4]],FDR[FDR]&amp;FDR[[#Headers],[4]],FDR[4],"",0,1)</f>
        <v>2</v>
      </c>
      <c r="Q122" cm="1">
        <f t="array" ref="Q122">_xlfn.XLOOKUP(Matrix[[#This Row],[TEAM]]&amp;Matrix[[#Headers],[5]],FDR[FDR]&amp;FDR[[#Headers],[5]],FDR[5],"",0,1)</f>
        <v>1</v>
      </c>
      <c r="R122" cm="1">
        <f t="array" ref="R122">_xlfn.XLOOKUP(Matrix[[#This Row],[TEAM]]&amp;Matrix[[#Headers],[6]],FDR[FDR]&amp;FDR[[#Headers],[6]],FDR[6],"",0,1)</f>
        <v>2</v>
      </c>
      <c r="S122" cm="1">
        <f t="array" ref="S122">_xlfn.XLOOKUP(Matrix[[#This Row],[TEAM]]&amp;Matrix[[#Headers],[7]],FDR[FDR]&amp;FDR[[#Headers],[7]],FDR[7],"",0,1)</f>
        <v>1</v>
      </c>
      <c r="T122" cm="1">
        <f t="array" ref="T122">_xlfn.XLOOKUP(Matrix[[#This Row],[TEAM]]&amp;Matrix[[#Headers],[8]],FDR[FDR]&amp;FDR[[#Headers],[8]],FDR[8],"",0,1)</f>
        <v>4</v>
      </c>
      <c r="U122" cm="1">
        <f t="array" ref="U122">_xlfn.XLOOKUP(Matrix[[#This Row],[TEAM]]&amp;Matrix[[#Headers],[9]],FDR[FDR]&amp;FDR[[#Headers],[9]],FDR[9],"",0,1)</f>
        <v>3</v>
      </c>
      <c r="V122" cm="1">
        <f t="array" ref="V122">_xlfn.XLOOKUP(Matrix[[#This Row],[TEAM]]&amp;Matrix[[#Headers],[10]],FDR[FDR]&amp;FDR[[#Headers],[10]],FDR[10],"",0,1)</f>
        <v>4</v>
      </c>
      <c r="W122" cm="1">
        <f t="array" ref="W122">_xlfn.XLOOKUP(Matrix[[#This Row],[TEAM]]&amp;Matrix[[#Headers],[11]],FDR[FDR]&amp;FDR[[#Headers],[11]],FDR[11],"",0,1)</f>
        <v>2</v>
      </c>
      <c r="X122" cm="1">
        <f t="array" ref="X122">_xlfn.XLOOKUP(Matrix[[#This Row],[TEAM]]&amp;Matrix[[#Headers],[12]],FDR[FDR]&amp;FDR[[#Headers],[12]],FDR[12],"",0,1)</f>
        <v>1</v>
      </c>
      <c r="Y122" cm="1">
        <f t="array" ref="Y122">_xlfn.XLOOKUP(Matrix[[#This Row],[TEAM]]&amp;Matrix[[#Headers],[13]],FDR[FDR]&amp;FDR[[#Headers],[13]],FDR[13],"",0,1)</f>
        <v>1</v>
      </c>
      <c r="Z122" cm="1">
        <f t="array" ref="Z122">_xlfn.XLOOKUP(Matrix[[#This Row],[TEAM]]&amp;Matrix[[#Headers],[14]],FDR[FDR]&amp;FDR[[#Headers],[14]],FDR[14],"",0,1)</f>
        <v>3</v>
      </c>
      <c r="AA122" cm="1">
        <f t="array" ref="AA122">_xlfn.XLOOKUP(Matrix[[#This Row],[TEAM]]&amp;Matrix[[#Headers],[15]],FDR[FDR]&amp;FDR[[#Headers],[15]],FDR[15],"",0,1)</f>
        <v>3</v>
      </c>
      <c r="AB122" cm="1">
        <f t="array" ref="AB122">_xlfn.XLOOKUP(Matrix[[#This Row],[TEAM]]&amp;Matrix[[#Headers],[16]],FDR[FDR]&amp;FDR[[#Headers],[16]],FDR[16],"",0,1)</f>
        <v>2</v>
      </c>
      <c r="AC122" cm="1">
        <f t="array" ref="AC122">_xlfn.XLOOKUP(Matrix[[#This Row],[TEAM]]&amp;Matrix[[#Headers],[17]],FDR[FDR]&amp;FDR[[#Headers],[17]],FDR[17],"",0,1)</f>
        <v>3</v>
      </c>
      <c r="AD122" cm="1">
        <f t="array" ref="AD122">_xlfn.XLOOKUP(Matrix[[#This Row],[TEAM]]&amp;Matrix[[#Headers],[18]],FDR[FDR]&amp;FDR[[#Headers],[18]],FDR[18],"",0,1)</f>
        <v>4</v>
      </c>
      <c r="AE122" cm="1">
        <f t="array" ref="AE122">_xlfn.XLOOKUP(Matrix[[#This Row],[TEAM]]&amp;Matrix[[#Headers],[19]],FDR[FDR]&amp;FDR[[#Headers],[19]],FDR[19],"",0,1)</f>
        <v>4</v>
      </c>
      <c r="AF122" cm="1">
        <f t="array" ref="AF122">_xlfn.XLOOKUP(Matrix[[#This Row],[TEAM]]&amp;Matrix[[#Headers],[20]],FDR[FDR]&amp;FDR[[#Headers],[20]],FDR[20],"",0,1)</f>
        <v>2</v>
      </c>
      <c r="AG122" cm="1">
        <f t="array" ref="AG122">_xlfn.XLOOKUP(Matrix[[#This Row],[TEAM]]&amp;Matrix[[#Headers],[21]],FDR[FDR]&amp;FDR[[#Headers],[21]],FDR[21],"",0,1)</f>
        <v>2</v>
      </c>
      <c r="AH122" cm="1">
        <f t="array" ref="AH122">_xlfn.XLOOKUP(Matrix[[#This Row],[TEAM]]&amp;Matrix[[#Headers],[22]],FDR[FDR]&amp;FDR[[#Headers],[22]],FDR[22],"",0,1)</f>
        <v>1</v>
      </c>
      <c r="AI122" cm="1">
        <f t="array" ref="AI122">_xlfn.XLOOKUP(Matrix[[#This Row],[TEAM]]&amp;Matrix[[#Headers],[23]],FDR[FDR]&amp;FDR[[#Headers],[23]],FDR[23],"",0,1)</f>
        <v>4</v>
      </c>
      <c r="AJ122" cm="1">
        <f t="array" ref="AJ122">_xlfn.XLOOKUP(Matrix[[#This Row],[TEAM]]&amp;Matrix[[#Headers],[24]],FDR[FDR]&amp;FDR[[#Headers],[24]],FDR[24],"",0,1)</f>
        <v>1</v>
      </c>
      <c r="AK122" cm="1">
        <f t="array" ref="AK122">_xlfn.XLOOKUP(Matrix[[#This Row],[TEAM]]&amp;Matrix[[#Headers],[25]],FDR[FDR]&amp;FDR[[#Headers],[25]],FDR[25],"",0,1)</f>
        <v>3</v>
      </c>
      <c r="AL122" cm="1">
        <f t="array" ref="AL122">_xlfn.XLOOKUP(Matrix[[#This Row],[TEAM]]&amp;Matrix[[#Headers],[26]],FDR[FDR]&amp;FDR[[#Headers],[26]],FDR[26],"",0,1)</f>
        <v>2</v>
      </c>
      <c r="AM122" cm="1">
        <f t="array" ref="AM122">_xlfn.XLOOKUP(Matrix[[#This Row],[TEAM]]&amp;Matrix[[#Headers],[27]],FDR[FDR]&amp;FDR[[#Headers],[27]],FDR[27],"",0,1)</f>
        <v>1</v>
      </c>
      <c r="AN122" cm="1">
        <f t="array" ref="AN122">_xlfn.XLOOKUP(Matrix[[#This Row],[TEAM]]&amp;Matrix[[#Headers],[28]],FDR[FDR]&amp;FDR[[#Headers],[28]],FDR[28],"",0,1)</f>
        <v>1</v>
      </c>
      <c r="AO122" cm="1">
        <f t="array" ref="AO122">_xlfn.XLOOKUP(Matrix[[#This Row],[TEAM]]&amp;Matrix[[#Headers],[29]],FDR[FDR]&amp;FDR[[#Headers],[29]],FDR[29],"",0,1)</f>
        <v>3</v>
      </c>
      <c r="AP122" cm="1">
        <f t="array" ref="AP122">_xlfn.XLOOKUP(Matrix[[#This Row],[TEAM]]&amp;Matrix[[#Headers],[30]],FDR[FDR]&amp;FDR[[#Headers],[30]],FDR[30],"",0,1)</f>
        <v>4</v>
      </c>
      <c r="AQ122" cm="1">
        <f t="array" ref="AQ122">_xlfn.XLOOKUP(Matrix[[#This Row],[TEAM]]&amp;Matrix[[#Headers],[31]],FDR[FDR]&amp;FDR[[#Headers],[31]],FDR[31],"",0,1)</f>
        <v>1</v>
      </c>
      <c r="AR122" cm="1">
        <f t="array" ref="AR122">_xlfn.XLOOKUP(Matrix[[#This Row],[TEAM]]&amp;Matrix[[#Headers],[32]],FDR[FDR]&amp;FDR[[#Headers],[32]],FDR[32],"",0,1)</f>
        <v>3</v>
      </c>
      <c r="AS122" cm="1">
        <f t="array" ref="AS122">_xlfn.XLOOKUP(Matrix[[#This Row],[TEAM]]&amp;Matrix[[#Headers],[33]],FDR[FDR]&amp;FDR[[#Headers],[33]],FDR[33],"",0,1)</f>
        <v>1</v>
      </c>
      <c r="AT122" cm="1">
        <f t="array" ref="AT122">_xlfn.XLOOKUP(Matrix[[#This Row],[TEAM]]&amp;Matrix[[#Headers],[34]],FDR[FDR]&amp;FDR[[#Headers],[34]],FDR[34],"",0,1)</f>
        <v>3</v>
      </c>
      <c r="AU122" cm="1">
        <f t="array" ref="AU122">_xlfn.XLOOKUP(Matrix[[#This Row],[TEAM]]&amp;Matrix[[#Headers],[35]],FDR[FDR]&amp;FDR[[#Headers],[35]],FDR[35],"",0,1)</f>
        <v>3</v>
      </c>
      <c r="AV122" cm="1">
        <f t="array" ref="AV122">_xlfn.XLOOKUP(Matrix[[#This Row],[TEAM]]&amp;Matrix[[#Headers],[36]],FDR[FDR]&amp;FDR[[#Headers],[36]],FDR[36],"",0,1)</f>
        <v>1</v>
      </c>
      <c r="AW122" cm="1">
        <f t="array" ref="AW122">_xlfn.XLOOKUP(Matrix[[#This Row],[TEAM]]&amp;Matrix[[#Headers],[37]],FDR[FDR]&amp;FDR[[#Headers],[37]],FDR[37],"",0,1)</f>
        <v>3</v>
      </c>
      <c r="AX122" cm="1">
        <f t="array" ref="AX122">_xlfn.XLOOKUP(Matrix[[#This Row],[TEAM]]&amp;Matrix[[#Headers],[38]],FDR[FDR]&amp;FDR[[#Headers],[38]],FDR[38],"",0,1)</f>
        <v>4</v>
      </c>
    </row>
    <row r="123" spans="1:50" ht="22" thickTop="1" thickBot="1">
      <c r="A123" s="50" t="str">
        <f>INDEX!S$4</f>
        <v>MID</v>
      </c>
      <c r="B123" s="70" t="s">
        <v>1409</v>
      </c>
      <c r="C123" s="40" t="s">
        <v>23</v>
      </c>
      <c r="D123" s="62">
        <v>78</v>
      </c>
      <c r="E123" s="60">
        <v>1.2E-2</v>
      </c>
      <c r="F123" s="61">
        <v>107.8</v>
      </c>
      <c r="G123" s="63">
        <v>5.5</v>
      </c>
      <c r="H123" s="261">
        <f>IF(ISBLANK(I123),0,1)</f>
        <v>0</v>
      </c>
      <c r="I123" s="57"/>
      <c r="J123" s="58"/>
      <c r="K123" s="59" t="s">
        <v>351</v>
      </c>
      <c r="L123" s="59" t="s">
        <v>67</v>
      </c>
      <c r="M123" cm="1">
        <f t="array" ref="M123">_xlfn.XLOOKUP(Matrix[[#This Row],[TEAM]]&amp;Matrix[[#Headers],[1]],FDR[FDR]&amp;FDR[[#Headers],[1]],FDR[1],"",0,1)</f>
        <v>4</v>
      </c>
      <c r="N123" cm="1">
        <f t="array" ref="N123">_xlfn.XLOOKUP(Matrix[[#This Row],[TEAM]]&amp;Matrix[[#Headers],[2]],FDR[FDR]&amp;FDR[[#Headers],[2]],FDR[2],"",0,1)</f>
        <v>4</v>
      </c>
      <c r="O123" cm="1">
        <f t="array" ref="O123">_xlfn.XLOOKUP(Matrix[[#This Row],[TEAM]]&amp;Matrix[[#Headers],[3]],FDR[FDR]&amp;FDR[[#Headers],[3]],FDR[3],"",0,1)</f>
        <v>5</v>
      </c>
      <c r="P123" cm="1">
        <f t="array" ref="P123">_xlfn.XLOOKUP(Matrix[[#This Row],[TEAM]]&amp;Matrix[[#Headers],[4]],FDR[FDR]&amp;FDR[[#Headers],[4]],FDR[4],"",0,1)</f>
        <v>1</v>
      </c>
      <c r="Q123" cm="1">
        <f t="array" ref="Q123">_xlfn.XLOOKUP(Matrix[[#This Row],[TEAM]]&amp;Matrix[[#Headers],[5]],FDR[FDR]&amp;FDR[[#Headers],[5]],FDR[5],"",0,1)</f>
        <v>2</v>
      </c>
      <c r="R123" cm="1">
        <f t="array" ref="R123">_xlfn.XLOOKUP(Matrix[[#This Row],[TEAM]]&amp;Matrix[[#Headers],[6]],FDR[FDR]&amp;FDR[[#Headers],[6]],FDR[6],"",0,1)</f>
        <v>5</v>
      </c>
      <c r="S123" cm="1">
        <f t="array" ref="S123">_xlfn.XLOOKUP(Matrix[[#This Row],[TEAM]]&amp;Matrix[[#Headers],[7]],FDR[FDR]&amp;FDR[[#Headers],[7]],FDR[7],"",0,1)</f>
        <v>4</v>
      </c>
      <c r="T123" cm="1">
        <f t="array" ref="T123">_xlfn.XLOOKUP(Matrix[[#This Row],[TEAM]]&amp;Matrix[[#Headers],[8]],FDR[FDR]&amp;FDR[[#Headers],[8]],FDR[8],"",0,1)</f>
        <v>4</v>
      </c>
      <c r="U123" cm="1">
        <f t="array" ref="U123">_xlfn.XLOOKUP(Matrix[[#This Row],[TEAM]]&amp;Matrix[[#Headers],[9]],FDR[FDR]&amp;FDR[[#Headers],[9]],FDR[9],"",0,1)</f>
        <v>5</v>
      </c>
      <c r="V123" cm="1">
        <f t="array" ref="V123">_xlfn.XLOOKUP(Matrix[[#This Row],[TEAM]]&amp;Matrix[[#Headers],[10]],FDR[FDR]&amp;FDR[[#Headers],[10]],FDR[10],"",0,1)</f>
        <v>1</v>
      </c>
      <c r="W123" cm="1">
        <f t="array" ref="W123">_xlfn.XLOOKUP(Matrix[[#This Row],[TEAM]]&amp;Matrix[[#Headers],[11]],FDR[FDR]&amp;FDR[[#Headers],[11]],FDR[11],"",0,1)</f>
        <v>3</v>
      </c>
      <c r="X123" cm="1">
        <f t="array" ref="X123">_xlfn.XLOOKUP(Matrix[[#This Row],[TEAM]]&amp;Matrix[[#Headers],[12]],FDR[FDR]&amp;FDR[[#Headers],[12]],FDR[12],"",0,1)</f>
        <v>1</v>
      </c>
      <c r="Y123" cm="1">
        <f t="array" ref="Y123">_xlfn.XLOOKUP(Matrix[[#This Row],[TEAM]]&amp;Matrix[[#Headers],[13]],FDR[FDR]&amp;FDR[[#Headers],[13]],FDR[13],"",0,1)</f>
        <v>5</v>
      </c>
      <c r="Z123" cm="1">
        <f t="array" ref="Z123">_xlfn.XLOOKUP(Matrix[[#This Row],[TEAM]]&amp;Matrix[[#Headers],[14]],FDR[FDR]&amp;FDR[[#Headers],[14]],FDR[14],"",0,1)</f>
        <v>4</v>
      </c>
      <c r="AA123" cm="1">
        <f t="array" ref="AA123">_xlfn.XLOOKUP(Matrix[[#This Row],[TEAM]]&amp;Matrix[[#Headers],[15]],FDR[FDR]&amp;FDR[[#Headers],[15]],FDR[15],"",0,1)</f>
        <v>2</v>
      </c>
      <c r="AB123" cm="1">
        <f t="array" ref="AB123">_xlfn.XLOOKUP(Matrix[[#This Row],[TEAM]]&amp;Matrix[[#Headers],[16]],FDR[FDR]&amp;FDR[[#Headers],[16]],FDR[16],"",0,1)</f>
        <v>2</v>
      </c>
      <c r="AC123" cm="1">
        <f t="array" ref="AC123">_xlfn.XLOOKUP(Matrix[[#This Row],[TEAM]]&amp;Matrix[[#Headers],[17]],FDR[FDR]&amp;FDR[[#Headers],[17]],FDR[17],"",0,1)</f>
        <v>3</v>
      </c>
      <c r="AD123" cm="1">
        <f t="array" ref="AD123">_xlfn.XLOOKUP(Matrix[[#This Row],[TEAM]]&amp;Matrix[[#Headers],[18]],FDR[FDR]&amp;FDR[[#Headers],[18]],FDR[18],"",0,1)</f>
        <v>3</v>
      </c>
      <c r="AE123" cm="1">
        <f t="array" ref="AE123">_xlfn.XLOOKUP(Matrix[[#This Row],[TEAM]]&amp;Matrix[[#Headers],[19]],FDR[FDR]&amp;FDR[[#Headers],[19]],FDR[19],"",0,1)</f>
        <v>3</v>
      </c>
      <c r="AF123" cm="1">
        <f t="array" ref="AF123">_xlfn.XLOOKUP(Matrix[[#This Row],[TEAM]]&amp;Matrix[[#Headers],[20]],FDR[FDR]&amp;FDR[[#Headers],[20]],FDR[20],"",0,1)</f>
        <v>4</v>
      </c>
      <c r="AG123" cm="1">
        <f t="array" ref="AG123">_xlfn.XLOOKUP(Matrix[[#This Row],[TEAM]]&amp;Matrix[[#Headers],[21]],FDR[FDR]&amp;FDR[[#Headers],[21]],FDR[21],"",0,1)</f>
        <v>4</v>
      </c>
      <c r="AH123" cm="1">
        <f t="array" ref="AH123">_xlfn.XLOOKUP(Matrix[[#This Row],[TEAM]]&amp;Matrix[[#Headers],[22]],FDR[FDR]&amp;FDR[[#Headers],[22]],FDR[22],"",0,1)</f>
        <v>2</v>
      </c>
      <c r="AI123" cm="1">
        <f t="array" ref="AI123">_xlfn.XLOOKUP(Matrix[[#This Row],[TEAM]]&amp;Matrix[[#Headers],[23]],FDR[FDR]&amp;FDR[[#Headers],[23]],FDR[23],"",0,1)</f>
        <v>3</v>
      </c>
      <c r="AJ123" cm="1">
        <f t="array" ref="AJ123">_xlfn.XLOOKUP(Matrix[[#This Row],[TEAM]]&amp;Matrix[[#Headers],[24]],FDR[FDR]&amp;FDR[[#Headers],[24]],FDR[24],"",0,1)</f>
        <v>5</v>
      </c>
      <c r="AK123" cm="1">
        <f t="array" ref="AK123">_xlfn.XLOOKUP(Matrix[[#This Row],[TEAM]]&amp;Matrix[[#Headers],[25]],FDR[FDR]&amp;FDR[[#Headers],[25]],FDR[25],"",0,1)</f>
        <v>2</v>
      </c>
      <c r="AL123" cm="1">
        <f t="array" ref="AL123">_xlfn.XLOOKUP(Matrix[[#This Row],[TEAM]]&amp;Matrix[[#Headers],[26]],FDR[FDR]&amp;FDR[[#Headers],[26]],FDR[26],"",0,1)</f>
        <v>5</v>
      </c>
      <c r="AM123" cm="1">
        <f t="array" ref="AM123">_xlfn.XLOOKUP(Matrix[[#This Row],[TEAM]]&amp;Matrix[[#Headers],[27]],FDR[FDR]&amp;FDR[[#Headers],[27]],FDR[27],"",0,1)</f>
        <v>2</v>
      </c>
      <c r="AN123" cm="1">
        <f t="array" ref="AN123">_xlfn.XLOOKUP(Matrix[[#This Row],[TEAM]]&amp;Matrix[[#Headers],[28]],FDR[FDR]&amp;FDR[[#Headers],[28]],FDR[28],"",0,1)</f>
        <v>4</v>
      </c>
      <c r="AO123" cm="1">
        <f t="array" ref="AO123">_xlfn.XLOOKUP(Matrix[[#This Row],[TEAM]]&amp;Matrix[[#Headers],[29]],FDR[FDR]&amp;FDR[[#Headers],[29]],FDR[29],"",0,1)</f>
        <v>2</v>
      </c>
      <c r="AP123" cm="1">
        <f t="array" ref="AP123">_xlfn.XLOOKUP(Matrix[[#This Row],[TEAM]]&amp;Matrix[[#Headers],[30]],FDR[FDR]&amp;FDR[[#Headers],[30]],FDR[30],"",0,1)</f>
        <v>4</v>
      </c>
      <c r="AQ123" cm="1">
        <f t="array" ref="AQ123">_xlfn.XLOOKUP(Matrix[[#This Row],[TEAM]]&amp;Matrix[[#Headers],[31]],FDR[FDR]&amp;FDR[[#Headers],[31]],FDR[31],"",0,1)</f>
        <v>1</v>
      </c>
      <c r="AR123" cm="1">
        <f t="array" ref="AR123">_xlfn.XLOOKUP(Matrix[[#This Row],[TEAM]]&amp;Matrix[[#Headers],[32]],FDR[FDR]&amp;FDR[[#Headers],[32]],FDR[32],"",0,1)</f>
        <v>5</v>
      </c>
      <c r="AS123" cm="1">
        <f t="array" ref="AS123">_xlfn.XLOOKUP(Matrix[[#This Row],[TEAM]]&amp;Matrix[[#Headers],[33]],FDR[FDR]&amp;FDR[[#Headers],[33]],FDR[33],"",0,1)</f>
        <v>3</v>
      </c>
      <c r="AT123" cm="1">
        <f t="array" ref="AT123">_xlfn.XLOOKUP(Matrix[[#This Row],[TEAM]]&amp;Matrix[[#Headers],[34]],FDR[FDR]&amp;FDR[[#Headers],[34]],FDR[34],"",0,1)</f>
        <v>3</v>
      </c>
      <c r="AU123" cm="1">
        <f t="array" ref="AU123">_xlfn.XLOOKUP(Matrix[[#This Row],[TEAM]]&amp;Matrix[[#Headers],[35]],FDR[FDR]&amp;FDR[[#Headers],[35]],FDR[35],"",0,1)</f>
        <v>5</v>
      </c>
      <c r="AV123" cm="1">
        <f t="array" ref="AV123">_xlfn.XLOOKUP(Matrix[[#This Row],[TEAM]]&amp;Matrix[[#Headers],[36]],FDR[FDR]&amp;FDR[[#Headers],[36]],FDR[36],"",0,1)</f>
        <v>3</v>
      </c>
      <c r="AW123" cm="1">
        <f t="array" ref="AW123">_xlfn.XLOOKUP(Matrix[[#This Row],[TEAM]]&amp;Matrix[[#Headers],[37]],FDR[FDR]&amp;FDR[[#Headers],[37]],FDR[37],"",0,1)</f>
        <v>2</v>
      </c>
      <c r="AX123" cm="1">
        <f t="array" ref="AX123">_xlfn.XLOOKUP(Matrix[[#This Row],[TEAM]]&amp;Matrix[[#Headers],[38]],FDR[FDR]&amp;FDR[[#Headers],[38]],FDR[38],"",0,1)</f>
        <v>4</v>
      </c>
    </row>
    <row r="124" spans="1:50" ht="22" thickTop="1" thickBot="1">
      <c r="A124" s="50" t="str">
        <f>INDEX!S$4</f>
        <v>MID</v>
      </c>
      <c r="B124" s="70" t="s">
        <v>1419</v>
      </c>
      <c r="C124" s="40" t="s">
        <v>28</v>
      </c>
      <c r="D124" s="62">
        <v>66</v>
      </c>
      <c r="E124" s="60">
        <v>6.0000000000000001E-3</v>
      </c>
      <c r="F124" s="61">
        <v>78.7</v>
      </c>
      <c r="G124" s="63">
        <v>5.5</v>
      </c>
      <c r="H124" s="261">
        <f>IF(ISBLANK(I124),0,1)</f>
        <v>0</v>
      </c>
      <c r="I124" s="57"/>
      <c r="J124" s="58"/>
      <c r="K124" s="59" t="s">
        <v>384</v>
      </c>
      <c r="L124" s="59" t="s">
        <v>987</v>
      </c>
      <c r="M124" cm="1">
        <f t="array" ref="M124">_xlfn.XLOOKUP(Matrix[[#This Row],[TEAM]]&amp;Matrix[[#Headers],[1]],FDR[FDR]&amp;FDR[[#Headers],[1]],FDR[1],"",0,1)</f>
        <v>3</v>
      </c>
      <c r="N124" cm="1">
        <f t="array" ref="N124">_xlfn.XLOOKUP(Matrix[[#This Row],[TEAM]]&amp;Matrix[[#Headers],[2]],FDR[FDR]&amp;FDR[[#Headers],[2]],FDR[2],"",0,1)</f>
        <v>2</v>
      </c>
      <c r="O124" cm="1">
        <f t="array" ref="O124">_xlfn.XLOOKUP(Matrix[[#This Row],[TEAM]]&amp;Matrix[[#Headers],[3]],FDR[FDR]&amp;FDR[[#Headers],[3]],FDR[3],"",0,1)</f>
        <v>1</v>
      </c>
      <c r="P124" cm="1">
        <f t="array" ref="P124">_xlfn.XLOOKUP(Matrix[[#This Row],[TEAM]]&amp;Matrix[[#Headers],[4]],FDR[FDR]&amp;FDR[[#Headers],[4]],FDR[4],"",0,1)</f>
        <v>2</v>
      </c>
      <c r="Q124" cm="1">
        <f t="array" ref="Q124">_xlfn.XLOOKUP(Matrix[[#This Row],[TEAM]]&amp;Matrix[[#Headers],[5]],FDR[FDR]&amp;FDR[[#Headers],[5]],FDR[5],"",0,1)</f>
        <v>1</v>
      </c>
      <c r="R124" cm="1">
        <f t="array" ref="R124">_xlfn.XLOOKUP(Matrix[[#This Row],[TEAM]]&amp;Matrix[[#Headers],[6]],FDR[FDR]&amp;FDR[[#Headers],[6]],FDR[6],"",0,1)</f>
        <v>2</v>
      </c>
      <c r="S124" cm="1">
        <f t="array" ref="S124">_xlfn.XLOOKUP(Matrix[[#This Row],[TEAM]]&amp;Matrix[[#Headers],[7]],FDR[FDR]&amp;FDR[[#Headers],[7]],FDR[7],"",0,1)</f>
        <v>1</v>
      </c>
      <c r="T124" cm="1">
        <f t="array" ref="T124">_xlfn.XLOOKUP(Matrix[[#This Row],[TEAM]]&amp;Matrix[[#Headers],[8]],FDR[FDR]&amp;FDR[[#Headers],[8]],FDR[8],"",0,1)</f>
        <v>4</v>
      </c>
      <c r="U124" cm="1">
        <f t="array" ref="U124">_xlfn.XLOOKUP(Matrix[[#This Row],[TEAM]]&amp;Matrix[[#Headers],[9]],FDR[FDR]&amp;FDR[[#Headers],[9]],FDR[9],"",0,1)</f>
        <v>3</v>
      </c>
      <c r="V124" cm="1">
        <f t="array" ref="V124">_xlfn.XLOOKUP(Matrix[[#This Row],[TEAM]]&amp;Matrix[[#Headers],[10]],FDR[FDR]&amp;FDR[[#Headers],[10]],FDR[10],"",0,1)</f>
        <v>4</v>
      </c>
      <c r="W124" cm="1">
        <f t="array" ref="W124">_xlfn.XLOOKUP(Matrix[[#This Row],[TEAM]]&amp;Matrix[[#Headers],[11]],FDR[FDR]&amp;FDR[[#Headers],[11]],FDR[11],"",0,1)</f>
        <v>2</v>
      </c>
      <c r="X124" cm="1">
        <f t="array" ref="X124">_xlfn.XLOOKUP(Matrix[[#This Row],[TEAM]]&amp;Matrix[[#Headers],[12]],FDR[FDR]&amp;FDR[[#Headers],[12]],FDR[12],"",0,1)</f>
        <v>1</v>
      </c>
      <c r="Y124" cm="1">
        <f t="array" ref="Y124">_xlfn.XLOOKUP(Matrix[[#This Row],[TEAM]]&amp;Matrix[[#Headers],[13]],FDR[FDR]&amp;FDR[[#Headers],[13]],FDR[13],"",0,1)</f>
        <v>1</v>
      </c>
      <c r="Z124" cm="1">
        <f t="array" ref="Z124">_xlfn.XLOOKUP(Matrix[[#This Row],[TEAM]]&amp;Matrix[[#Headers],[14]],FDR[FDR]&amp;FDR[[#Headers],[14]],FDR[14],"",0,1)</f>
        <v>3</v>
      </c>
      <c r="AA124" cm="1">
        <f t="array" ref="AA124">_xlfn.XLOOKUP(Matrix[[#This Row],[TEAM]]&amp;Matrix[[#Headers],[15]],FDR[FDR]&amp;FDR[[#Headers],[15]],FDR[15],"",0,1)</f>
        <v>3</v>
      </c>
      <c r="AB124" cm="1">
        <f t="array" ref="AB124">_xlfn.XLOOKUP(Matrix[[#This Row],[TEAM]]&amp;Matrix[[#Headers],[16]],FDR[FDR]&amp;FDR[[#Headers],[16]],FDR[16],"",0,1)</f>
        <v>2</v>
      </c>
      <c r="AC124" cm="1">
        <f t="array" ref="AC124">_xlfn.XLOOKUP(Matrix[[#This Row],[TEAM]]&amp;Matrix[[#Headers],[17]],FDR[FDR]&amp;FDR[[#Headers],[17]],FDR[17],"",0,1)</f>
        <v>3</v>
      </c>
      <c r="AD124" cm="1">
        <f t="array" ref="AD124">_xlfn.XLOOKUP(Matrix[[#This Row],[TEAM]]&amp;Matrix[[#Headers],[18]],FDR[FDR]&amp;FDR[[#Headers],[18]],FDR[18],"",0,1)</f>
        <v>4</v>
      </c>
      <c r="AE124" cm="1">
        <f t="array" ref="AE124">_xlfn.XLOOKUP(Matrix[[#This Row],[TEAM]]&amp;Matrix[[#Headers],[19]],FDR[FDR]&amp;FDR[[#Headers],[19]],FDR[19],"",0,1)</f>
        <v>4</v>
      </c>
      <c r="AF124" cm="1">
        <f t="array" ref="AF124">_xlfn.XLOOKUP(Matrix[[#This Row],[TEAM]]&amp;Matrix[[#Headers],[20]],FDR[FDR]&amp;FDR[[#Headers],[20]],FDR[20],"",0,1)</f>
        <v>2</v>
      </c>
      <c r="AG124" cm="1">
        <f t="array" ref="AG124">_xlfn.XLOOKUP(Matrix[[#This Row],[TEAM]]&amp;Matrix[[#Headers],[21]],FDR[FDR]&amp;FDR[[#Headers],[21]],FDR[21],"",0,1)</f>
        <v>2</v>
      </c>
      <c r="AH124" cm="1">
        <f t="array" ref="AH124">_xlfn.XLOOKUP(Matrix[[#This Row],[TEAM]]&amp;Matrix[[#Headers],[22]],FDR[FDR]&amp;FDR[[#Headers],[22]],FDR[22],"",0,1)</f>
        <v>1</v>
      </c>
      <c r="AI124" cm="1">
        <f t="array" ref="AI124">_xlfn.XLOOKUP(Matrix[[#This Row],[TEAM]]&amp;Matrix[[#Headers],[23]],FDR[FDR]&amp;FDR[[#Headers],[23]],FDR[23],"",0,1)</f>
        <v>4</v>
      </c>
      <c r="AJ124" cm="1">
        <f t="array" ref="AJ124">_xlfn.XLOOKUP(Matrix[[#This Row],[TEAM]]&amp;Matrix[[#Headers],[24]],FDR[FDR]&amp;FDR[[#Headers],[24]],FDR[24],"",0,1)</f>
        <v>1</v>
      </c>
      <c r="AK124" cm="1">
        <f t="array" ref="AK124">_xlfn.XLOOKUP(Matrix[[#This Row],[TEAM]]&amp;Matrix[[#Headers],[25]],FDR[FDR]&amp;FDR[[#Headers],[25]],FDR[25],"",0,1)</f>
        <v>3</v>
      </c>
      <c r="AL124" cm="1">
        <f t="array" ref="AL124">_xlfn.XLOOKUP(Matrix[[#This Row],[TEAM]]&amp;Matrix[[#Headers],[26]],FDR[FDR]&amp;FDR[[#Headers],[26]],FDR[26],"",0,1)</f>
        <v>2</v>
      </c>
      <c r="AM124" cm="1">
        <f t="array" ref="AM124">_xlfn.XLOOKUP(Matrix[[#This Row],[TEAM]]&amp;Matrix[[#Headers],[27]],FDR[FDR]&amp;FDR[[#Headers],[27]],FDR[27],"",0,1)</f>
        <v>1</v>
      </c>
      <c r="AN124" cm="1">
        <f t="array" ref="AN124">_xlfn.XLOOKUP(Matrix[[#This Row],[TEAM]]&amp;Matrix[[#Headers],[28]],FDR[FDR]&amp;FDR[[#Headers],[28]],FDR[28],"",0,1)</f>
        <v>1</v>
      </c>
      <c r="AO124" cm="1">
        <f t="array" ref="AO124">_xlfn.XLOOKUP(Matrix[[#This Row],[TEAM]]&amp;Matrix[[#Headers],[29]],FDR[FDR]&amp;FDR[[#Headers],[29]],FDR[29],"",0,1)</f>
        <v>3</v>
      </c>
      <c r="AP124" cm="1">
        <f t="array" ref="AP124">_xlfn.XLOOKUP(Matrix[[#This Row],[TEAM]]&amp;Matrix[[#Headers],[30]],FDR[FDR]&amp;FDR[[#Headers],[30]],FDR[30],"",0,1)</f>
        <v>4</v>
      </c>
      <c r="AQ124" cm="1">
        <f t="array" ref="AQ124">_xlfn.XLOOKUP(Matrix[[#This Row],[TEAM]]&amp;Matrix[[#Headers],[31]],FDR[FDR]&amp;FDR[[#Headers],[31]],FDR[31],"",0,1)</f>
        <v>1</v>
      </c>
      <c r="AR124" cm="1">
        <f t="array" ref="AR124">_xlfn.XLOOKUP(Matrix[[#This Row],[TEAM]]&amp;Matrix[[#Headers],[32]],FDR[FDR]&amp;FDR[[#Headers],[32]],FDR[32],"",0,1)</f>
        <v>3</v>
      </c>
      <c r="AS124" cm="1">
        <f t="array" ref="AS124">_xlfn.XLOOKUP(Matrix[[#This Row],[TEAM]]&amp;Matrix[[#Headers],[33]],FDR[FDR]&amp;FDR[[#Headers],[33]],FDR[33],"",0,1)</f>
        <v>1</v>
      </c>
      <c r="AT124" cm="1">
        <f t="array" ref="AT124">_xlfn.XLOOKUP(Matrix[[#This Row],[TEAM]]&amp;Matrix[[#Headers],[34]],FDR[FDR]&amp;FDR[[#Headers],[34]],FDR[34],"",0,1)</f>
        <v>3</v>
      </c>
      <c r="AU124" cm="1">
        <f t="array" ref="AU124">_xlfn.XLOOKUP(Matrix[[#This Row],[TEAM]]&amp;Matrix[[#Headers],[35]],FDR[FDR]&amp;FDR[[#Headers],[35]],FDR[35],"",0,1)</f>
        <v>3</v>
      </c>
      <c r="AV124" cm="1">
        <f t="array" ref="AV124">_xlfn.XLOOKUP(Matrix[[#This Row],[TEAM]]&amp;Matrix[[#Headers],[36]],FDR[FDR]&amp;FDR[[#Headers],[36]],FDR[36],"",0,1)</f>
        <v>1</v>
      </c>
      <c r="AW124" cm="1">
        <f t="array" ref="AW124">_xlfn.XLOOKUP(Matrix[[#This Row],[TEAM]]&amp;Matrix[[#Headers],[37]],FDR[FDR]&amp;FDR[[#Headers],[37]],FDR[37],"",0,1)</f>
        <v>3</v>
      </c>
      <c r="AX124" cm="1">
        <f t="array" ref="AX124">_xlfn.XLOOKUP(Matrix[[#This Row],[TEAM]]&amp;Matrix[[#Headers],[38]],FDR[FDR]&amp;FDR[[#Headers],[38]],FDR[38],"",0,1)</f>
        <v>4</v>
      </c>
    </row>
    <row r="125" spans="1:50" ht="22" thickTop="1" thickBot="1">
      <c r="A125" s="50" t="str">
        <f>INDEX!S$4</f>
        <v>MID</v>
      </c>
      <c r="B125" s="70" t="s">
        <v>1466</v>
      </c>
      <c r="C125" s="40" t="s">
        <v>51</v>
      </c>
      <c r="D125" s="62">
        <v>61</v>
      </c>
      <c r="E125" s="60">
        <v>1E-3</v>
      </c>
      <c r="F125" s="61">
        <v>69.7</v>
      </c>
      <c r="G125" s="63">
        <v>5.5</v>
      </c>
      <c r="H125" s="261">
        <f>IF(ISBLANK(I125),0,1)</f>
        <v>0</v>
      </c>
      <c r="I125" s="57"/>
      <c r="J125" s="58"/>
      <c r="K125" s="59" t="s">
        <v>81</v>
      </c>
      <c r="L125" s="59" t="s">
        <v>579</v>
      </c>
      <c r="M125" cm="1">
        <f t="array" ref="M125">_xlfn.XLOOKUP(Matrix[[#This Row],[TEAM]]&amp;Matrix[[#Headers],[1]],FDR[FDR]&amp;FDR[[#Headers],[1]],FDR[1],"",0,1)</f>
        <v>5</v>
      </c>
      <c r="N125" cm="1">
        <f t="array" ref="N125">_xlfn.XLOOKUP(Matrix[[#This Row],[TEAM]]&amp;Matrix[[#Headers],[2]],FDR[FDR]&amp;FDR[[#Headers],[2]],FDR[2],"",0,1)</f>
        <v>5</v>
      </c>
      <c r="O125" cm="1">
        <f t="array" ref="O125">_xlfn.XLOOKUP(Matrix[[#This Row],[TEAM]]&amp;Matrix[[#Headers],[3]],FDR[FDR]&amp;FDR[[#Headers],[3]],FDR[3],"",0,1)</f>
        <v>4</v>
      </c>
      <c r="P125" cm="1">
        <f t="array" ref="P125">_xlfn.XLOOKUP(Matrix[[#This Row],[TEAM]]&amp;Matrix[[#Headers],[4]],FDR[FDR]&amp;FDR[[#Headers],[4]],FDR[4],"",0,1)</f>
        <v>5</v>
      </c>
      <c r="Q125" cm="1">
        <f t="array" ref="Q125">_xlfn.XLOOKUP(Matrix[[#This Row],[TEAM]]&amp;Matrix[[#Headers],[5]],FDR[FDR]&amp;FDR[[#Headers],[5]],FDR[5],"",0,1)</f>
        <v>2</v>
      </c>
      <c r="R125" cm="1">
        <f t="array" ref="R125">_xlfn.XLOOKUP(Matrix[[#This Row],[TEAM]]&amp;Matrix[[#Headers],[6]],FDR[FDR]&amp;FDR[[#Headers],[6]],FDR[6],"",0,1)</f>
        <v>5</v>
      </c>
      <c r="S125" cm="1">
        <f t="array" ref="S125">_xlfn.XLOOKUP(Matrix[[#This Row],[TEAM]]&amp;Matrix[[#Headers],[7]],FDR[FDR]&amp;FDR[[#Headers],[7]],FDR[7],"",0,1)</f>
        <v>4</v>
      </c>
      <c r="T125" cm="1">
        <f t="array" ref="T125">_xlfn.XLOOKUP(Matrix[[#This Row],[TEAM]]&amp;Matrix[[#Headers],[8]],FDR[FDR]&amp;FDR[[#Headers],[8]],FDR[8],"",0,1)</f>
        <v>3</v>
      </c>
      <c r="U125" cm="1">
        <f t="array" ref="U125">_xlfn.XLOOKUP(Matrix[[#This Row],[TEAM]]&amp;Matrix[[#Headers],[9]],FDR[FDR]&amp;FDR[[#Headers],[9]],FDR[9],"",0,1)</f>
        <v>2</v>
      </c>
      <c r="V125" cm="1">
        <f t="array" ref="V125">_xlfn.XLOOKUP(Matrix[[#This Row],[TEAM]]&amp;Matrix[[#Headers],[10]],FDR[FDR]&amp;FDR[[#Headers],[10]],FDR[10],"",0,1)</f>
        <v>5</v>
      </c>
      <c r="W125" cm="1">
        <f t="array" ref="W125">_xlfn.XLOOKUP(Matrix[[#This Row],[TEAM]]&amp;Matrix[[#Headers],[11]],FDR[FDR]&amp;FDR[[#Headers],[11]],FDR[11],"",0,1)</f>
        <v>5</v>
      </c>
      <c r="X125" cm="1">
        <f t="array" ref="X125">_xlfn.XLOOKUP(Matrix[[#This Row],[TEAM]]&amp;Matrix[[#Headers],[12]],FDR[FDR]&amp;FDR[[#Headers],[12]],FDR[12],"",0,1)</f>
        <v>4</v>
      </c>
      <c r="Y125" cm="1">
        <f t="array" ref="Y125">_xlfn.XLOOKUP(Matrix[[#This Row],[TEAM]]&amp;Matrix[[#Headers],[13]],FDR[FDR]&amp;FDR[[#Headers],[13]],FDR[13],"",0,1)</f>
        <v>5</v>
      </c>
      <c r="Z125" cm="1">
        <f t="array" ref="Z125">_xlfn.XLOOKUP(Matrix[[#This Row],[TEAM]]&amp;Matrix[[#Headers],[14]],FDR[FDR]&amp;FDR[[#Headers],[14]],FDR[14],"",0,1)</f>
        <v>4</v>
      </c>
      <c r="AA125" cm="1">
        <f t="array" ref="AA125">_xlfn.XLOOKUP(Matrix[[#This Row],[TEAM]]&amp;Matrix[[#Headers],[15]],FDR[FDR]&amp;FDR[[#Headers],[15]],FDR[15],"",0,1)</f>
        <v>5</v>
      </c>
      <c r="AB125" cm="1">
        <f t="array" ref="AB125">_xlfn.XLOOKUP(Matrix[[#This Row],[TEAM]]&amp;Matrix[[#Headers],[16]],FDR[FDR]&amp;FDR[[#Headers],[16]],FDR[16],"",0,1)</f>
        <v>5</v>
      </c>
      <c r="AC125" cm="1">
        <f t="array" ref="AC125">_xlfn.XLOOKUP(Matrix[[#This Row],[TEAM]]&amp;Matrix[[#Headers],[17]],FDR[FDR]&amp;FDR[[#Headers],[17]],FDR[17],"",0,1)</f>
        <v>4</v>
      </c>
      <c r="AD125" cm="1">
        <f t="array" ref="AD125">_xlfn.XLOOKUP(Matrix[[#This Row],[TEAM]]&amp;Matrix[[#Headers],[18]],FDR[FDR]&amp;FDR[[#Headers],[18]],FDR[18],"",0,1)</f>
        <v>5</v>
      </c>
      <c r="AE125" cm="1">
        <f t="array" ref="AE125">_xlfn.XLOOKUP(Matrix[[#This Row],[TEAM]]&amp;Matrix[[#Headers],[19]],FDR[FDR]&amp;FDR[[#Headers],[19]],FDR[19],"",0,1)</f>
        <v>5</v>
      </c>
      <c r="AF125" cm="1">
        <f t="array" ref="AF125">_xlfn.XLOOKUP(Matrix[[#This Row],[TEAM]]&amp;Matrix[[#Headers],[20]],FDR[FDR]&amp;FDR[[#Headers],[20]],FDR[20],"",0,1)</f>
        <v>4</v>
      </c>
      <c r="AG125" cm="1">
        <f t="array" ref="AG125">_xlfn.XLOOKUP(Matrix[[#This Row],[TEAM]]&amp;Matrix[[#Headers],[21]],FDR[FDR]&amp;FDR[[#Headers],[21]],FDR[21],"",0,1)</f>
        <v>5</v>
      </c>
      <c r="AH125" cm="1">
        <f t="array" ref="AH125">_xlfn.XLOOKUP(Matrix[[#This Row],[TEAM]]&amp;Matrix[[#Headers],[22]],FDR[FDR]&amp;FDR[[#Headers],[22]],FDR[22],"",0,1)</f>
        <v>5</v>
      </c>
      <c r="AI125" cm="1">
        <f t="array" ref="AI125">_xlfn.XLOOKUP(Matrix[[#This Row],[TEAM]]&amp;Matrix[[#Headers],[23]],FDR[FDR]&amp;FDR[[#Headers],[23]],FDR[23],"",0,1)</f>
        <v>5</v>
      </c>
      <c r="AJ125" cm="1">
        <f t="array" ref="AJ125">_xlfn.XLOOKUP(Matrix[[#This Row],[TEAM]]&amp;Matrix[[#Headers],[24]],FDR[FDR]&amp;FDR[[#Headers],[24]],FDR[24],"",0,1)</f>
        <v>4</v>
      </c>
      <c r="AK125" cm="1">
        <f t="array" ref="AK125">_xlfn.XLOOKUP(Matrix[[#This Row],[TEAM]]&amp;Matrix[[#Headers],[25]],FDR[FDR]&amp;FDR[[#Headers],[25]],FDR[25],"",0,1)</f>
        <v>5</v>
      </c>
      <c r="AL125" cm="1">
        <f t="array" ref="AL125">_xlfn.XLOOKUP(Matrix[[#This Row],[TEAM]]&amp;Matrix[[#Headers],[26]],FDR[FDR]&amp;FDR[[#Headers],[26]],FDR[26],"",0,1)</f>
        <v>5</v>
      </c>
      <c r="AM125" cm="1">
        <f t="array" ref="AM125">_xlfn.XLOOKUP(Matrix[[#This Row],[TEAM]]&amp;Matrix[[#Headers],[27]],FDR[FDR]&amp;FDR[[#Headers],[27]],FDR[27],"",0,1)</f>
        <v>5</v>
      </c>
      <c r="AN125" cm="1">
        <f t="array" ref="AN125">_xlfn.XLOOKUP(Matrix[[#This Row],[TEAM]]&amp;Matrix[[#Headers],[28]],FDR[FDR]&amp;FDR[[#Headers],[28]],FDR[28],"",0,1)</f>
        <v>5</v>
      </c>
      <c r="AO125" cm="1">
        <f t="array" ref="AO125">_xlfn.XLOOKUP(Matrix[[#This Row],[TEAM]]&amp;Matrix[[#Headers],[29]],FDR[FDR]&amp;FDR[[#Headers],[29]],FDR[29],"",0,1)</f>
        <v>5</v>
      </c>
      <c r="AP125" cm="1">
        <f t="array" ref="AP125">_xlfn.XLOOKUP(Matrix[[#This Row],[TEAM]]&amp;Matrix[[#Headers],[30]],FDR[FDR]&amp;FDR[[#Headers],[30]],FDR[30],"",0,1)</f>
        <v>5</v>
      </c>
      <c r="AQ125" cm="1">
        <f t="array" ref="AQ125">_xlfn.XLOOKUP(Matrix[[#This Row],[TEAM]]&amp;Matrix[[#Headers],[31]],FDR[FDR]&amp;FDR[[#Headers],[31]],FDR[31],"",0,1)</f>
        <v>5</v>
      </c>
      <c r="AR125" cm="1">
        <f t="array" ref="AR125">_xlfn.XLOOKUP(Matrix[[#This Row],[TEAM]]&amp;Matrix[[#Headers],[32]],FDR[FDR]&amp;FDR[[#Headers],[32]],FDR[32],"",0,1)</f>
        <v>5</v>
      </c>
      <c r="AS125" cm="1">
        <f t="array" ref="AS125">_xlfn.XLOOKUP(Matrix[[#This Row],[TEAM]]&amp;Matrix[[#Headers],[33]],FDR[FDR]&amp;FDR[[#Headers],[33]],FDR[33],"",0,1)</f>
        <v>3</v>
      </c>
      <c r="AT125" cm="1">
        <f t="array" ref="AT125">_xlfn.XLOOKUP(Matrix[[#This Row],[TEAM]]&amp;Matrix[[#Headers],[34]],FDR[FDR]&amp;FDR[[#Headers],[34]],FDR[34],"",0,1)</f>
        <v>5</v>
      </c>
      <c r="AU125" cm="1">
        <f t="array" ref="AU125">_xlfn.XLOOKUP(Matrix[[#This Row],[TEAM]]&amp;Matrix[[#Headers],[35]],FDR[FDR]&amp;FDR[[#Headers],[35]],FDR[35],"",0,1)</f>
        <v>2</v>
      </c>
      <c r="AV125" cm="1">
        <f t="array" ref="AV125">_xlfn.XLOOKUP(Matrix[[#This Row],[TEAM]]&amp;Matrix[[#Headers],[36]],FDR[FDR]&amp;FDR[[#Headers],[36]],FDR[36],"",0,1)</f>
        <v>5</v>
      </c>
      <c r="AW125" cm="1">
        <f t="array" ref="AW125">_xlfn.XLOOKUP(Matrix[[#This Row],[TEAM]]&amp;Matrix[[#Headers],[37]],FDR[FDR]&amp;FDR[[#Headers],[37]],FDR[37],"",0,1)</f>
        <v>4</v>
      </c>
      <c r="AX125" cm="1">
        <f t="array" ref="AX125">_xlfn.XLOOKUP(Matrix[[#This Row],[TEAM]]&amp;Matrix[[#Headers],[38]],FDR[FDR]&amp;FDR[[#Headers],[38]],FDR[38],"",0,1)</f>
        <v>3</v>
      </c>
    </row>
    <row r="126" spans="1:50" ht="22" thickTop="1" thickBot="1">
      <c r="A126" s="50" t="str">
        <f>INDEX!S$4</f>
        <v>MID</v>
      </c>
      <c r="B126" s="70" t="s">
        <v>1406</v>
      </c>
      <c r="C126" s="40" t="s">
        <v>634</v>
      </c>
      <c r="D126" s="62">
        <v>60</v>
      </c>
      <c r="E126" s="60">
        <v>2.1000000000000001E-2</v>
      </c>
      <c r="F126" s="61">
        <v>80.900000000000006</v>
      </c>
      <c r="G126" s="63">
        <v>5.5</v>
      </c>
      <c r="H126" s="261">
        <f>IF(ISBLANK(I126),0,1)</f>
        <v>0</v>
      </c>
      <c r="I126" s="57"/>
      <c r="J126" s="58"/>
      <c r="K126" s="59" t="s">
        <v>581</v>
      </c>
      <c r="L126" s="59" t="s">
        <v>255</v>
      </c>
      <c r="M126" cm="1">
        <f t="array" ref="M126">_xlfn.XLOOKUP(Matrix[[#This Row],[TEAM]]&amp;Matrix[[#Headers],[1]],FDR[FDR]&amp;FDR[[#Headers],[1]],FDR[1],"",0,1)</f>
        <v>4</v>
      </c>
      <c r="N126" cm="1">
        <f t="array" ref="N126">_xlfn.XLOOKUP(Matrix[[#This Row],[TEAM]]&amp;Matrix[[#Headers],[2]],FDR[FDR]&amp;FDR[[#Headers],[2]],FDR[2],"",0,1)</f>
        <v>4</v>
      </c>
      <c r="O126" cm="1">
        <f t="array" ref="O126">_xlfn.XLOOKUP(Matrix[[#This Row],[TEAM]]&amp;Matrix[[#Headers],[3]],FDR[FDR]&amp;FDR[[#Headers],[3]],FDR[3],"",0,1)</f>
        <v>4</v>
      </c>
      <c r="P126" cm="1">
        <f t="array" ref="P126">_xlfn.XLOOKUP(Matrix[[#This Row],[TEAM]]&amp;Matrix[[#Headers],[4]],FDR[FDR]&amp;FDR[[#Headers],[4]],FDR[4],"",0,1)</f>
        <v>5</v>
      </c>
      <c r="Q126" cm="1">
        <f t="array" ref="Q126">_xlfn.XLOOKUP(Matrix[[#This Row],[TEAM]]&amp;Matrix[[#Headers],[5]],FDR[FDR]&amp;FDR[[#Headers],[5]],FDR[5],"",0,1)</f>
        <v>5</v>
      </c>
      <c r="R126" cm="1">
        <f t="array" ref="R126">_xlfn.XLOOKUP(Matrix[[#This Row],[TEAM]]&amp;Matrix[[#Headers],[6]],FDR[FDR]&amp;FDR[[#Headers],[6]],FDR[6],"",0,1)</f>
        <v>5</v>
      </c>
      <c r="S126" cm="1">
        <f t="array" ref="S126">_xlfn.XLOOKUP(Matrix[[#This Row],[TEAM]]&amp;Matrix[[#Headers],[7]],FDR[FDR]&amp;FDR[[#Headers],[7]],FDR[7],"",0,1)</f>
        <v>5</v>
      </c>
      <c r="T126" cm="1">
        <f t="array" ref="T126">_xlfn.XLOOKUP(Matrix[[#This Row],[TEAM]]&amp;Matrix[[#Headers],[8]],FDR[FDR]&amp;FDR[[#Headers],[8]],FDR[8],"",0,1)</f>
        <v>3</v>
      </c>
      <c r="U126" cm="1">
        <f t="array" ref="U126">_xlfn.XLOOKUP(Matrix[[#This Row],[TEAM]]&amp;Matrix[[#Headers],[9]],FDR[FDR]&amp;FDR[[#Headers],[9]],FDR[9],"",0,1)</f>
        <v>5</v>
      </c>
      <c r="V126" cm="1">
        <f t="array" ref="V126">_xlfn.XLOOKUP(Matrix[[#This Row],[TEAM]]&amp;Matrix[[#Headers],[10]],FDR[FDR]&amp;FDR[[#Headers],[10]],FDR[10],"",0,1)</f>
        <v>4</v>
      </c>
      <c r="W126" cm="1">
        <f t="array" ref="W126">_xlfn.XLOOKUP(Matrix[[#This Row],[TEAM]]&amp;Matrix[[#Headers],[11]],FDR[FDR]&amp;FDR[[#Headers],[11]],FDR[11],"",0,1)</f>
        <v>5</v>
      </c>
      <c r="X126" cm="1">
        <f t="array" ref="X126">_xlfn.XLOOKUP(Matrix[[#This Row],[TEAM]]&amp;Matrix[[#Headers],[12]],FDR[FDR]&amp;FDR[[#Headers],[12]],FDR[12],"",0,1)</f>
        <v>5</v>
      </c>
      <c r="Y126" cm="1">
        <f t="array" ref="Y126">_xlfn.XLOOKUP(Matrix[[#This Row],[TEAM]]&amp;Matrix[[#Headers],[13]],FDR[FDR]&amp;FDR[[#Headers],[13]],FDR[13],"",0,1)</f>
        <v>5</v>
      </c>
      <c r="Z126" cm="1">
        <f t="array" ref="Z126">_xlfn.XLOOKUP(Matrix[[#This Row],[TEAM]]&amp;Matrix[[#Headers],[14]],FDR[FDR]&amp;FDR[[#Headers],[14]],FDR[14],"",0,1)</f>
        <v>5</v>
      </c>
      <c r="AA126" cm="1">
        <f t="array" ref="AA126">_xlfn.XLOOKUP(Matrix[[#This Row],[TEAM]]&amp;Matrix[[#Headers],[15]],FDR[FDR]&amp;FDR[[#Headers],[15]],FDR[15],"",0,1)</f>
        <v>5</v>
      </c>
      <c r="AB126" cm="1">
        <f t="array" ref="AB126">_xlfn.XLOOKUP(Matrix[[#This Row],[TEAM]]&amp;Matrix[[#Headers],[16]],FDR[FDR]&amp;FDR[[#Headers],[16]],FDR[16],"",0,1)</f>
        <v>5</v>
      </c>
      <c r="AC126" cm="1">
        <f t="array" ref="AC126">_xlfn.XLOOKUP(Matrix[[#This Row],[TEAM]]&amp;Matrix[[#Headers],[17]],FDR[FDR]&amp;FDR[[#Headers],[17]],FDR[17],"",0,1)</f>
        <v>5</v>
      </c>
      <c r="AD126" cm="1">
        <f t="array" ref="AD126">_xlfn.XLOOKUP(Matrix[[#This Row],[TEAM]]&amp;Matrix[[#Headers],[18]],FDR[FDR]&amp;FDR[[#Headers],[18]],FDR[18],"",0,1)</f>
        <v>3</v>
      </c>
      <c r="AE126" cm="1">
        <f t="array" ref="AE126">_xlfn.XLOOKUP(Matrix[[#This Row],[TEAM]]&amp;Matrix[[#Headers],[19]],FDR[FDR]&amp;FDR[[#Headers],[19]],FDR[19],"",0,1)</f>
        <v>5</v>
      </c>
      <c r="AF126" cm="1">
        <f t="array" ref="AF126">_xlfn.XLOOKUP(Matrix[[#This Row],[TEAM]]&amp;Matrix[[#Headers],[20]],FDR[FDR]&amp;FDR[[#Headers],[20]],FDR[20],"",0,1)</f>
        <v>5</v>
      </c>
      <c r="AG126" cm="1">
        <f t="array" ref="AG126">_xlfn.XLOOKUP(Matrix[[#This Row],[TEAM]]&amp;Matrix[[#Headers],[21]],FDR[FDR]&amp;FDR[[#Headers],[21]],FDR[21],"",0,1)</f>
        <v>5</v>
      </c>
      <c r="AH126" cm="1">
        <f t="array" ref="AH126">_xlfn.XLOOKUP(Matrix[[#This Row],[TEAM]]&amp;Matrix[[#Headers],[22]],FDR[FDR]&amp;FDR[[#Headers],[22]],FDR[22],"",0,1)</f>
        <v>4</v>
      </c>
      <c r="AI126" cm="1">
        <f t="array" ref="AI126">_xlfn.XLOOKUP(Matrix[[#This Row],[TEAM]]&amp;Matrix[[#Headers],[23]],FDR[FDR]&amp;FDR[[#Headers],[23]],FDR[23],"",0,1)</f>
        <v>5</v>
      </c>
      <c r="AJ126" cm="1">
        <f t="array" ref="AJ126">_xlfn.XLOOKUP(Matrix[[#This Row],[TEAM]]&amp;Matrix[[#Headers],[24]],FDR[FDR]&amp;FDR[[#Headers],[24]],FDR[24],"",0,1)</f>
        <v>3</v>
      </c>
      <c r="AK126" cm="1">
        <f t="array" ref="AK126">_xlfn.XLOOKUP(Matrix[[#This Row],[TEAM]]&amp;Matrix[[#Headers],[25]],FDR[FDR]&amp;FDR[[#Headers],[25]],FDR[25],"",0,1)</f>
        <v>5</v>
      </c>
      <c r="AL126" cm="1">
        <f t="array" ref="AL126">_xlfn.XLOOKUP(Matrix[[#This Row],[TEAM]]&amp;Matrix[[#Headers],[26]],FDR[FDR]&amp;FDR[[#Headers],[26]],FDR[26],"",0,1)</f>
        <v>5</v>
      </c>
      <c r="AM126" cm="1">
        <f t="array" ref="AM126">_xlfn.XLOOKUP(Matrix[[#This Row],[TEAM]]&amp;Matrix[[#Headers],[27]],FDR[FDR]&amp;FDR[[#Headers],[27]],FDR[27],"",0,1)</f>
        <v>5</v>
      </c>
      <c r="AN126" cm="1">
        <f t="array" ref="AN126">_xlfn.XLOOKUP(Matrix[[#This Row],[TEAM]]&amp;Matrix[[#Headers],[28]],FDR[FDR]&amp;FDR[[#Headers],[28]],FDR[28],"",0,1)</f>
        <v>5</v>
      </c>
      <c r="AO126" cm="1">
        <f t="array" ref="AO126">_xlfn.XLOOKUP(Matrix[[#This Row],[TEAM]]&amp;Matrix[[#Headers],[29]],FDR[FDR]&amp;FDR[[#Headers],[29]],FDR[29],"",0,1)</f>
        <v>4</v>
      </c>
      <c r="AP126" cm="1">
        <f t="array" ref="AP126">_xlfn.XLOOKUP(Matrix[[#This Row],[TEAM]]&amp;Matrix[[#Headers],[30]],FDR[FDR]&amp;FDR[[#Headers],[30]],FDR[30],"",0,1)</f>
        <v>5</v>
      </c>
      <c r="AQ126" cm="1">
        <f t="array" ref="AQ126">_xlfn.XLOOKUP(Matrix[[#This Row],[TEAM]]&amp;Matrix[[#Headers],[31]],FDR[FDR]&amp;FDR[[#Headers],[31]],FDR[31],"",0,1)</f>
        <v>5</v>
      </c>
      <c r="AR126" cm="1">
        <f t="array" ref="AR126">_xlfn.XLOOKUP(Matrix[[#This Row],[TEAM]]&amp;Matrix[[#Headers],[32]],FDR[FDR]&amp;FDR[[#Headers],[32]],FDR[32],"",0,1)</f>
        <v>5</v>
      </c>
      <c r="AS126" cm="1">
        <f t="array" ref="AS126">_xlfn.XLOOKUP(Matrix[[#This Row],[TEAM]]&amp;Matrix[[#Headers],[33]],FDR[FDR]&amp;FDR[[#Headers],[33]],FDR[33],"",0,1)</f>
        <v>5</v>
      </c>
      <c r="AT126" cm="1">
        <f t="array" ref="AT126">_xlfn.XLOOKUP(Matrix[[#This Row],[TEAM]]&amp;Matrix[[#Headers],[34]],FDR[FDR]&amp;FDR[[#Headers],[34]],FDR[34],"",0,1)</f>
        <v>5</v>
      </c>
      <c r="AU126" cm="1">
        <f t="array" ref="AU126">_xlfn.XLOOKUP(Matrix[[#This Row],[TEAM]]&amp;Matrix[[#Headers],[35]],FDR[FDR]&amp;FDR[[#Headers],[35]],FDR[35],"",0,1)</f>
        <v>4</v>
      </c>
      <c r="AV126" cm="1">
        <f t="array" ref="AV126">_xlfn.XLOOKUP(Matrix[[#This Row],[TEAM]]&amp;Matrix[[#Headers],[36]],FDR[FDR]&amp;FDR[[#Headers],[36]],FDR[36],"",0,1)</f>
        <v>5</v>
      </c>
      <c r="AW126" cm="1">
        <f t="array" ref="AW126">_xlfn.XLOOKUP(Matrix[[#This Row],[TEAM]]&amp;Matrix[[#Headers],[37]],FDR[FDR]&amp;FDR[[#Headers],[37]],FDR[37],"",0,1)</f>
        <v>5</v>
      </c>
      <c r="AX126" cm="1">
        <f t="array" ref="AX126">_xlfn.XLOOKUP(Matrix[[#This Row],[TEAM]]&amp;Matrix[[#Headers],[38]],FDR[FDR]&amp;FDR[[#Headers],[38]],FDR[38],"",0,1)</f>
        <v>5</v>
      </c>
    </row>
    <row r="127" spans="1:50" ht="22" thickTop="1" thickBot="1">
      <c r="A127" s="50" t="str">
        <f>INDEX!S$4</f>
        <v>MID</v>
      </c>
      <c r="B127" s="70" t="s">
        <v>1458</v>
      </c>
      <c r="C127" s="40" t="s">
        <v>52</v>
      </c>
      <c r="D127" s="62">
        <v>52</v>
      </c>
      <c r="E127" s="60">
        <v>1E-3</v>
      </c>
      <c r="F127" s="61">
        <v>64.599999999999994</v>
      </c>
      <c r="G127" s="63">
        <v>5.5</v>
      </c>
      <c r="H127" s="261">
        <f>IF(ISBLANK(I127),0,1)</f>
        <v>0</v>
      </c>
      <c r="I127" s="57"/>
      <c r="J127" s="58"/>
      <c r="K127" s="59" t="s">
        <v>1132</v>
      </c>
      <c r="L127" s="59" t="s">
        <v>458</v>
      </c>
      <c r="M127" cm="1">
        <f t="array" ref="M127">_xlfn.XLOOKUP(Matrix[[#This Row],[TEAM]]&amp;Matrix[[#Headers],[1]],FDR[FDR]&amp;FDR[[#Headers],[1]],FDR[1],"",0,1)</f>
        <v>2</v>
      </c>
      <c r="N127" cm="1">
        <f t="array" ref="N127">_xlfn.XLOOKUP(Matrix[[#This Row],[TEAM]]&amp;Matrix[[#Headers],[2]],FDR[FDR]&amp;FDR[[#Headers],[2]],FDR[2],"",0,1)</f>
        <v>3</v>
      </c>
      <c r="O127" cm="1">
        <f t="array" ref="O127">_xlfn.XLOOKUP(Matrix[[#This Row],[TEAM]]&amp;Matrix[[#Headers],[3]],FDR[FDR]&amp;FDR[[#Headers],[3]],FDR[3],"",0,1)</f>
        <v>2</v>
      </c>
      <c r="P127" cm="1">
        <f t="array" ref="P127">_xlfn.XLOOKUP(Matrix[[#This Row],[TEAM]]&amp;Matrix[[#Headers],[4]],FDR[FDR]&amp;FDR[[#Headers],[4]],FDR[4],"",0,1)</f>
        <v>5</v>
      </c>
      <c r="Q127" cm="1">
        <f t="array" ref="Q127">_xlfn.XLOOKUP(Matrix[[#This Row],[TEAM]]&amp;Matrix[[#Headers],[5]],FDR[FDR]&amp;FDR[[#Headers],[5]],FDR[5],"",0,1)</f>
        <v>2</v>
      </c>
      <c r="R127" cm="1">
        <f t="array" ref="R127">_xlfn.XLOOKUP(Matrix[[#This Row],[TEAM]]&amp;Matrix[[#Headers],[6]],FDR[FDR]&amp;FDR[[#Headers],[6]],FDR[6],"",0,1)</f>
        <v>1</v>
      </c>
      <c r="S127" cm="1">
        <f t="array" ref="S127">_xlfn.XLOOKUP(Matrix[[#This Row],[TEAM]]&amp;Matrix[[#Headers],[7]],FDR[FDR]&amp;FDR[[#Headers],[7]],FDR[7],"",0,1)</f>
        <v>5</v>
      </c>
      <c r="T127" cm="1">
        <f t="array" ref="T127">_xlfn.XLOOKUP(Matrix[[#This Row],[TEAM]]&amp;Matrix[[#Headers],[8]],FDR[FDR]&amp;FDR[[#Headers],[8]],FDR[8],"",0,1)</f>
        <v>4</v>
      </c>
      <c r="U127" cm="1">
        <f t="array" ref="U127">_xlfn.XLOOKUP(Matrix[[#This Row],[TEAM]]&amp;Matrix[[#Headers],[9]],FDR[FDR]&amp;FDR[[#Headers],[9]],FDR[9],"",0,1)</f>
        <v>4</v>
      </c>
      <c r="V127" cm="1">
        <f t="array" ref="V127">_xlfn.XLOOKUP(Matrix[[#This Row],[TEAM]]&amp;Matrix[[#Headers],[10]],FDR[FDR]&amp;FDR[[#Headers],[10]],FDR[10],"",0,1)</f>
        <v>4</v>
      </c>
      <c r="W127" cm="1">
        <f t="array" ref="W127">_xlfn.XLOOKUP(Matrix[[#This Row],[TEAM]]&amp;Matrix[[#Headers],[11]],FDR[FDR]&amp;FDR[[#Headers],[11]],FDR[11],"",0,1)</f>
        <v>1</v>
      </c>
      <c r="X127" cm="1">
        <f t="array" ref="X127">_xlfn.XLOOKUP(Matrix[[#This Row],[TEAM]]&amp;Matrix[[#Headers],[12]],FDR[FDR]&amp;FDR[[#Headers],[12]],FDR[12],"",0,1)</f>
        <v>5</v>
      </c>
      <c r="Y127" cm="1">
        <f t="array" ref="Y127">_xlfn.XLOOKUP(Matrix[[#This Row],[TEAM]]&amp;Matrix[[#Headers],[13]],FDR[FDR]&amp;FDR[[#Headers],[13]],FDR[13],"",0,1)</f>
        <v>3</v>
      </c>
      <c r="Z127" cm="1">
        <f t="array" ref="Z127">_xlfn.XLOOKUP(Matrix[[#This Row],[TEAM]]&amp;Matrix[[#Headers],[14]],FDR[FDR]&amp;FDR[[#Headers],[14]],FDR[14],"",0,1)</f>
        <v>2</v>
      </c>
      <c r="AA127" cm="1">
        <f t="array" ref="AA127">_xlfn.XLOOKUP(Matrix[[#This Row],[TEAM]]&amp;Matrix[[#Headers],[15]],FDR[FDR]&amp;FDR[[#Headers],[15]],FDR[15],"",0,1)</f>
        <v>3</v>
      </c>
      <c r="AB127" cm="1">
        <f t="array" ref="AB127">_xlfn.XLOOKUP(Matrix[[#This Row],[TEAM]]&amp;Matrix[[#Headers],[16]],FDR[FDR]&amp;FDR[[#Headers],[16]],FDR[16],"",0,1)</f>
        <v>4</v>
      </c>
      <c r="AC127" cm="1">
        <f t="array" ref="AC127">_xlfn.XLOOKUP(Matrix[[#This Row],[TEAM]]&amp;Matrix[[#Headers],[17]],FDR[FDR]&amp;FDR[[#Headers],[17]],FDR[17],"",0,1)</f>
        <v>4</v>
      </c>
      <c r="AD127" cm="1">
        <f t="array" ref="AD127">_xlfn.XLOOKUP(Matrix[[#This Row],[TEAM]]&amp;Matrix[[#Headers],[18]],FDR[FDR]&amp;FDR[[#Headers],[18]],FDR[18],"",0,1)</f>
        <v>4</v>
      </c>
      <c r="AE127" cm="1">
        <f t="array" ref="AE127">_xlfn.XLOOKUP(Matrix[[#This Row],[TEAM]]&amp;Matrix[[#Headers],[19]],FDR[FDR]&amp;FDR[[#Headers],[19]],FDR[19],"",0,1)</f>
        <v>2</v>
      </c>
      <c r="AF127" cm="1">
        <f t="array" ref="AF127">_xlfn.XLOOKUP(Matrix[[#This Row],[TEAM]]&amp;Matrix[[#Headers],[20]],FDR[FDR]&amp;FDR[[#Headers],[20]],FDR[20],"",0,1)</f>
        <v>5</v>
      </c>
      <c r="AG127" cm="1">
        <f t="array" ref="AG127">_xlfn.XLOOKUP(Matrix[[#This Row],[TEAM]]&amp;Matrix[[#Headers],[21]],FDR[FDR]&amp;FDR[[#Headers],[21]],FDR[21],"",0,1)</f>
        <v>3</v>
      </c>
      <c r="AH127" cm="1">
        <f t="array" ref="AH127">_xlfn.XLOOKUP(Matrix[[#This Row],[TEAM]]&amp;Matrix[[#Headers],[22]],FDR[FDR]&amp;FDR[[#Headers],[22]],FDR[22],"",0,1)</f>
        <v>4</v>
      </c>
      <c r="AI127" cm="1">
        <f t="array" ref="AI127">_xlfn.XLOOKUP(Matrix[[#This Row],[TEAM]]&amp;Matrix[[#Headers],[23]],FDR[FDR]&amp;FDR[[#Headers],[23]],FDR[23],"",0,1)</f>
        <v>3</v>
      </c>
      <c r="AJ127" cm="1">
        <f t="array" ref="AJ127">_xlfn.XLOOKUP(Matrix[[#This Row],[TEAM]]&amp;Matrix[[#Headers],[24]],FDR[FDR]&amp;FDR[[#Headers],[24]],FDR[24],"",0,1)</f>
        <v>2</v>
      </c>
      <c r="AK127" cm="1">
        <f t="array" ref="AK127">_xlfn.XLOOKUP(Matrix[[#This Row],[TEAM]]&amp;Matrix[[#Headers],[25]],FDR[FDR]&amp;FDR[[#Headers],[25]],FDR[25],"",0,1)</f>
        <v>2</v>
      </c>
      <c r="AL127" cm="1">
        <f t="array" ref="AL127">_xlfn.XLOOKUP(Matrix[[#This Row],[TEAM]]&amp;Matrix[[#Headers],[26]],FDR[FDR]&amp;FDR[[#Headers],[26]],FDR[26],"",0,1)</f>
        <v>1</v>
      </c>
      <c r="AM127" cm="1">
        <f t="array" ref="AM127">_xlfn.XLOOKUP(Matrix[[#This Row],[TEAM]]&amp;Matrix[[#Headers],[27]],FDR[FDR]&amp;FDR[[#Headers],[27]],FDR[27],"",0,1)</f>
        <v>4</v>
      </c>
      <c r="AN127" cm="1">
        <f t="array" ref="AN127">_xlfn.XLOOKUP(Matrix[[#This Row],[TEAM]]&amp;Matrix[[#Headers],[28]],FDR[FDR]&amp;FDR[[#Headers],[28]],FDR[28],"",0,1)</f>
        <v>4</v>
      </c>
      <c r="AO127" cm="1">
        <f t="array" ref="AO127">_xlfn.XLOOKUP(Matrix[[#This Row],[TEAM]]&amp;Matrix[[#Headers],[29]],FDR[FDR]&amp;FDR[[#Headers],[29]],FDR[29],"",0,1)</f>
        <v>5</v>
      </c>
      <c r="AP127" cm="1">
        <f t="array" ref="AP127">_xlfn.XLOOKUP(Matrix[[#This Row],[TEAM]]&amp;Matrix[[#Headers],[30]],FDR[FDR]&amp;FDR[[#Headers],[30]],FDR[30],"",0,1)</f>
        <v>3</v>
      </c>
      <c r="AQ127" cm="1">
        <f t="array" ref="AQ127">_xlfn.XLOOKUP(Matrix[[#This Row],[TEAM]]&amp;Matrix[[#Headers],[31]],FDR[FDR]&amp;FDR[[#Headers],[31]],FDR[31],"",0,1)</f>
        <v>5</v>
      </c>
      <c r="AR127" cm="1">
        <f t="array" ref="AR127">_xlfn.XLOOKUP(Matrix[[#This Row],[TEAM]]&amp;Matrix[[#Headers],[32]],FDR[FDR]&amp;FDR[[#Headers],[32]],FDR[32],"",0,1)</f>
        <v>3</v>
      </c>
      <c r="AS127" cm="1">
        <f t="array" ref="AS127">_xlfn.XLOOKUP(Matrix[[#This Row],[TEAM]]&amp;Matrix[[#Headers],[33]],FDR[FDR]&amp;FDR[[#Headers],[33]],FDR[33],"",0,1)</f>
        <v>1</v>
      </c>
      <c r="AT127" cm="1">
        <f t="array" ref="AT127">_xlfn.XLOOKUP(Matrix[[#This Row],[TEAM]]&amp;Matrix[[#Headers],[34]],FDR[FDR]&amp;FDR[[#Headers],[34]],FDR[34],"",0,1)</f>
        <v>2</v>
      </c>
      <c r="AU127" cm="1">
        <f t="array" ref="AU127">_xlfn.XLOOKUP(Matrix[[#This Row],[TEAM]]&amp;Matrix[[#Headers],[35]],FDR[FDR]&amp;FDR[[#Headers],[35]],FDR[35],"",0,1)</f>
        <v>5</v>
      </c>
      <c r="AV127" cm="1">
        <f t="array" ref="AV127">_xlfn.XLOOKUP(Matrix[[#This Row],[TEAM]]&amp;Matrix[[#Headers],[36]],FDR[FDR]&amp;FDR[[#Headers],[36]],FDR[36],"",0,1)</f>
        <v>4</v>
      </c>
      <c r="AW127" cm="1">
        <f t="array" ref="AW127">_xlfn.XLOOKUP(Matrix[[#This Row],[TEAM]]&amp;Matrix[[#Headers],[37]],FDR[FDR]&amp;FDR[[#Headers],[37]],FDR[37],"",0,1)</f>
        <v>5</v>
      </c>
      <c r="AX127" cm="1">
        <f t="array" ref="AX127">_xlfn.XLOOKUP(Matrix[[#This Row],[TEAM]]&amp;Matrix[[#Headers],[38]],FDR[FDR]&amp;FDR[[#Headers],[38]],FDR[38],"",0,1)</f>
        <v>3</v>
      </c>
    </row>
    <row r="128" spans="1:50" ht="22" thickTop="1" thickBot="1">
      <c r="A128" s="50" t="str">
        <f>INDEX!S$4</f>
        <v>MID</v>
      </c>
      <c r="B128" s="70" t="s">
        <v>1446</v>
      </c>
      <c r="C128" s="40" t="s">
        <v>33</v>
      </c>
      <c r="D128" s="62">
        <v>50</v>
      </c>
      <c r="E128" s="60">
        <v>1E-3</v>
      </c>
      <c r="F128" s="61">
        <v>75.3</v>
      </c>
      <c r="G128" s="63">
        <v>5.5</v>
      </c>
      <c r="H128" s="261">
        <f>IF(ISBLANK(I128),0,1)</f>
        <v>0</v>
      </c>
      <c r="I128" s="57"/>
      <c r="J128" s="58"/>
      <c r="K128" s="59" t="s">
        <v>526</v>
      </c>
      <c r="L128" s="59" t="s">
        <v>773</v>
      </c>
      <c r="M128" cm="1">
        <f t="array" ref="M128">_xlfn.XLOOKUP(Matrix[[#This Row],[TEAM]]&amp;Matrix[[#Headers],[1]],FDR[FDR]&amp;FDR[[#Headers],[1]],FDR[1],"",0,1)</f>
        <v>3</v>
      </c>
      <c r="N128" cm="1">
        <f t="array" ref="N128">_xlfn.XLOOKUP(Matrix[[#This Row],[TEAM]]&amp;Matrix[[#Headers],[2]],FDR[FDR]&amp;FDR[[#Headers],[2]],FDR[2],"",0,1)</f>
        <v>3</v>
      </c>
      <c r="O128" cm="1">
        <f t="array" ref="O128">_xlfn.XLOOKUP(Matrix[[#This Row],[TEAM]]&amp;Matrix[[#Headers],[3]],FDR[FDR]&amp;FDR[[#Headers],[3]],FDR[3],"",0,1)</f>
        <v>4</v>
      </c>
      <c r="P128" cm="1">
        <f t="array" ref="P128">_xlfn.XLOOKUP(Matrix[[#This Row],[TEAM]]&amp;Matrix[[#Headers],[4]],FDR[FDR]&amp;FDR[[#Headers],[4]],FDR[4],"",0,1)</f>
        <v>4</v>
      </c>
      <c r="Q128" cm="1">
        <f t="array" ref="Q128">_xlfn.XLOOKUP(Matrix[[#This Row],[TEAM]]&amp;Matrix[[#Headers],[5]],FDR[FDR]&amp;FDR[[#Headers],[5]],FDR[5],"",0,1)</f>
        <v>4</v>
      </c>
      <c r="R128" cm="1">
        <f t="array" ref="R128">_xlfn.XLOOKUP(Matrix[[#This Row],[TEAM]]&amp;Matrix[[#Headers],[6]],FDR[FDR]&amp;FDR[[#Headers],[6]],FDR[6],"",0,1)</f>
        <v>5</v>
      </c>
      <c r="S128" cm="1">
        <f t="array" ref="S128">_xlfn.XLOOKUP(Matrix[[#This Row],[TEAM]]&amp;Matrix[[#Headers],[7]],FDR[FDR]&amp;FDR[[#Headers],[7]],FDR[7],"",0,1)</f>
        <v>2</v>
      </c>
      <c r="T128" cm="1">
        <f t="array" ref="T128">_xlfn.XLOOKUP(Matrix[[#This Row],[TEAM]]&amp;Matrix[[#Headers],[8]],FDR[FDR]&amp;FDR[[#Headers],[8]],FDR[8],"",0,1)</f>
        <v>4</v>
      </c>
      <c r="U128" cm="1">
        <f t="array" ref="U128">_xlfn.XLOOKUP(Matrix[[#This Row],[TEAM]]&amp;Matrix[[#Headers],[9]],FDR[FDR]&amp;FDR[[#Headers],[9]],FDR[9],"",0,1)</f>
        <v>5</v>
      </c>
      <c r="V128" cm="1">
        <f t="array" ref="V128">_xlfn.XLOOKUP(Matrix[[#This Row],[TEAM]]&amp;Matrix[[#Headers],[10]],FDR[FDR]&amp;FDR[[#Headers],[10]],FDR[10],"",0,1)</f>
        <v>1</v>
      </c>
      <c r="W128" cm="1">
        <f t="array" ref="W128">_xlfn.XLOOKUP(Matrix[[#This Row],[TEAM]]&amp;Matrix[[#Headers],[11]],FDR[FDR]&amp;FDR[[#Headers],[11]],FDR[11],"",0,1)</f>
        <v>3</v>
      </c>
      <c r="X128" cm="1">
        <f t="array" ref="X128">_xlfn.XLOOKUP(Matrix[[#This Row],[TEAM]]&amp;Matrix[[#Headers],[12]],FDR[FDR]&amp;FDR[[#Headers],[12]],FDR[12],"",0,1)</f>
        <v>2</v>
      </c>
      <c r="Y128" cm="1">
        <f t="array" ref="Y128">_xlfn.XLOOKUP(Matrix[[#This Row],[TEAM]]&amp;Matrix[[#Headers],[13]],FDR[FDR]&amp;FDR[[#Headers],[13]],FDR[13],"",0,1)</f>
        <v>4</v>
      </c>
      <c r="Z128" cm="1">
        <f t="array" ref="Z128">_xlfn.XLOOKUP(Matrix[[#This Row],[TEAM]]&amp;Matrix[[#Headers],[14]],FDR[FDR]&amp;FDR[[#Headers],[14]],FDR[14],"",0,1)</f>
        <v>3</v>
      </c>
      <c r="AA128" cm="1">
        <f t="array" ref="AA128">_xlfn.XLOOKUP(Matrix[[#This Row],[TEAM]]&amp;Matrix[[#Headers],[15]],FDR[FDR]&amp;FDR[[#Headers],[15]],FDR[15],"",0,1)</f>
        <v>2</v>
      </c>
      <c r="AB128" cm="1">
        <f t="array" ref="AB128">_xlfn.XLOOKUP(Matrix[[#This Row],[TEAM]]&amp;Matrix[[#Headers],[16]],FDR[FDR]&amp;FDR[[#Headers],[16]],FDR[16],"",0,1)</f>
        <v>5</v>
      </c>
      <c r="AC128" cm="1">
        <f t="array" ref="AC128">_xlfn.XLOOKUP(Matrix[[#This Row],[TEAM]]&amp;Matrix[[#Headers],[17]],FDR[FDR]&amp;FDR[[#Headers],[17]],FDR[17],"",0,1)</f>
        <v>1</v>
      </c>
      <c r="AD128" cm="1">
        <f t="array" ref="AD128">_xlfn.XLOOKUP(Matrix[[#This Row],[TEAM]]&amp;Matrix[[#Headers],[18]],FDR[FDR]&amp;FDR[[#Headers],[18]],FDR[18],"",0,1)</f>
        <v>5</v>
      </c>
      <c r="AE128" cm="1">
        <f t="array" ref="AE128">_xlfn.XLOOKUP(Matrix[[#This Row],[TEAM]]&amp;Matrix[[#Headers],[19]],FDR[FDR]&amp;FDR[[#Headers],[19]],FDR[19],"",0,1)</f>
        <v>3</v>
      </c>
      <c r="AF128" cm="1">
        <f t="array" ref="AF128">_xlfn.XLOOKUP(Matrix[[#This Row],[TEAM]]&amp;Matrix[[#Headers],[20]],FDR[FDR]&amp;FDR[[#Headers],[20]],FDR[20],"",0,1)</f>
        <v>1</v>
      </c>
      <c r="AG128" cm="1">
        <f t="array" ref="AG128">_xlfn.XLOOKUP(Matrix[[#This Row],[TEAM]]&amp;Matrix[[#Headers],[21]],FDR[FDR]&amp;FDR[[#Headers],[21]],FDR[21],"",0,1)</f>
        <v>5</v>
      </c>
      <c r="AH128" cm="1">
        <f t="array" ref="AH128">_xlfn.XLOOKUP(Matrix[[#This Row],[TEAM]]&amp;Matrix[[#Headers],[22]],FDR[FDR]&amp;FDR[[#Headers],[22]],FDR[22],"",0,1)</f>
        <v>3</v>
      </c>
      <c r="AI128" cm="1">
        <f t="array" ref="AI128">_xlfn.XLOOKUP(Matrix[[#This Row],[TEAM]]&amp;Matrix[[#Headers],[23]],FDR[FDR]&amp;FDR[[#Headers],[23]],FDR[23],"",0,1)</f>
        <v>4</v>
      </c>
      <c r="AJ128" cm="1">
        <f t="array" ref="AJ128">_xlfn.XLOOKUP(Matrix[[#This Row],[TEAM]]&amp;Matrix[[#Headers],[24]],FDR[FDR]&amp;FDR[[#Headers],[24]],FDR[24],"",0,1)</f>
        <v>2</v>
      </c>
      <c r="AK128" cm="1">
        <f t="array" ref="AK128">_xlfn.XLOOKUP(Matrix[[#This Row],[TEAM]]&amp;Matrix[[#Headers],[25]],FDR[FDR]&amp;FDR[[#Headers],[25]],FDR[25],"",0,1)</f>
        <v>2</v>
      </c>
      <c r="AL128" cm="1">
        <f t="array" ref="AL128">_xlfn.XLOOKUP(Matrix[[#This Row],[TEAM]]&amp;Matrix[[#Headers],[26]],FDR[FDR]&amp;FDR[[#Headers],[26]],FDR[26],"",0,1)</f>
        <v>5</v>
      </c>
      <c r="AM128" cm="1">
        <f t="array" ref="AM128">_xlfn.XLOOKUP(Matrix[[#This Row],[TEAM]]&amp;Matrix[[#Headers],[27]],FDR[FDR]&amp;FDR[[#Headers],[27]],FDR[27],"",0,1)</f>
        <v>3</v>
      </c>
      <c r="AN128" cm="1">
        <f t="array" ref="AN128">_xlfn.XLOOKUP(Matrix[[#This Row],[TEAM]]&amp;Matrix[[#Headers],[28]],FDR[FDR]&amp;FDR[[#Headers],[28]],FDR[28],"",0,1)</f>
        <v>3</v>
      </c>
      <c r="AO128" cm="1">
        <f t="array" ref="AO128">_xlfn.XLOOKUP(Matrix[[#This Row],[TEAM]]&amp;Matrix[[#Headers],[29]],FDR[FDR]&amp;FDR[[#Headers],[29]],FDR[29],"",0,1)</f>
        <v>4</v>
      </c>
      <c r="AP128" cm="1">
        <f t="array" ref="AP128">_xlfn.XLOOKUP(Matrix[[#This Row],[TEAM]]&amp;Matrix[[#Headers],[30]],FDR[FDR]&amp;FDR[[#Headers],[30]],FDR[30],"",0,1)</f>
        <v>2</v>
      </c>
      <c r="AQ128" cm="1">
        <f t="array" ref="AQ128">_xlfn.XLOOKUP(Matrix[[#This Row],[TEAM]]&amp;Matrix[[#Headers],[31]],FDR[FDR]&amp;FDR[[#Headers],[31]],FDR[31],"",0,1)</f>
        <v>4</v>
      </c>
      <c r="AR128" cm="1">
        <f t="array" ref="AR128">_xlfn.XLOOKUP(Matrix[[#This Row],[TEAM]]&amp;Matrix[[#Headers],[32]],FDR[FDR]&amp;FDR[[#Headers],[32]],FDR[32],"",0,1)</f>
        <v>2</v>
      </c>
      <c r="AS128" cm="1">
        <f t="array" ref="AS128">_xlfn.XLOOKUP(Matrix[[#This Row],[TEAM]]&amp;Matrix[[#Headers],[33]],FDR[FDR]&amp;FDR[[#Headers],[33]],FDR[33],"",0,1)</f>
        <v>5</v>
      </c>
      <c r="AT128" cm="1">
        <f t="array" ref="AT128">_xlfn.XLOOKUP(Matrix[[#This Row],[TEAM]]&amp;Matrix[[#Headers],[34]],FDR[FDR]&amp;FDR[[#Headers],[34]],FDR[34],"",0,1)</f>
        <v>4</v>
      </c>
      <c r="AU128" cm="1">
        <f t="array" ref="AU128">_xlfn.XLOOKUP(Matrix[[#This Row],[TEAM]]&amp;Matrix[[#Headers],[35]],FDR[FDR]&amp;FDR[[#Headers],[35]],FDR[35],"",0,1)</f>
        <v>5</v>
      </c>
      <c r="AV128" cm="1">
        <f t="array" ref="AV128">_xlfn.XLOOKUP(Matrix[[#This Row],[TEAM]]&amp;Matrix[[#Headers],[36]],FDR[FDR]&amp;FDR[[#Headers],[36]],FDR[36],"",0,1)</f>
        <v>1</v>
      </c>
      <c r="AW128" cm="1">
        <f t="array" ref="AW128">_xlfn.XLOOKUP(Matrix[[#This Row],[TEAM]]&amp;Matrix[[#Headers],[37]],FDR[FDR]&amp;FDR[[#Headers],[37]],FDR[37],"",0,1)</f>
        <v>2</v>
      </c>
      <c r="AX128" cm="1">
        <f t="array" ref="AX128">_xlfn.XLOOKUP(Matrix[[#This Row],[TEAM]]&amp;Matrix[[#Headers],[38]],FDR[FDR]&amp;FDR[[#Headers],[38]],FDR[38],"",0,1)</f>
        <v>4</v>
      </c>
    </row>
    <row r="129" spans="1:50" ht="22" thickTop="1" thickBot="1">
      <c r="A129" s="50" t="str">
        <f>INDEX!S$4</f>
        <v>MID</v>
      </c>
      <c r="B129" s="70" t="s">
        <v>1467</v>
      </c>
      <c r="C129" s="40" t="s">
        <v>51</v>
      </c>
      <c r="D129" s="62">
        <v>50</v>
      </c>
      <c r="E129" s="60">
        <v>1E-3</v>
      </c>
      <c r="F129" s="61">
        <v>52.3</v>
      </c>
      <c r="G129" s="63">
        <v>5.5</v>
      </c>
      <c r="H129" s="261">
        <f>IF(ISBLANK(I129),0,1)</f>
        <v>0</v>
      </c>
      <c r="I129" s="57"/>
      <c r="J129" s="58"/>
      <c r="K129" s="59" t="s">
        <v>810</v>
      </c>
      <c r="L129" s="59" t="s">
        <v>811</v>
      </c>
      <c r="M129" cm="1">
        <f t="array" ref="M129">_xlfn.XLOOKUP(Matrix[[#This Row],[TEAM]]&amp;Matrix[[#Headers],[1]],FDR[FDR]&amp;FDR[[#Headers],[1]],FDR[1],"",0,1)</f>
        <v>5</v>
      </c>
      <c r="N129" cm="1">
        <f t="array" ref="N129">_xlfn.XLOOKUP(Matrix[[#This Row],[TEAM]]&amp;Matrix[[#Headers],[2]],FDR[FDR]&amp;FDR[[#Headers],[2]],FDR[2],"",0,1)</f>
        <v>5</v>
      </c>
      <c r="O129" cm="1">
        <f t="array" ref="O129">_xlfn.XLOOKUP(Matrix[[#This Row],[TEAM]]&amp;Matrix[[#Headers],[3]],FDR[FDR]&amp;FDR[[#Headers],[3]],FDR[3],"",0,1)</f>
        <v>4</v>
      </c>
      <c r="P129" cm="1">
        <f t="array" ref="P129">_xlfn.XLOOKUP(Matrix[[#This Row],[TEAM]]&amp;Matrix[[#Headers],[4]],FDR[FDR]&amp;FDR[[#Headers],[4]],FDR[4],"",0,1)</f>
        <v>5</v>
      </c>
      <c r="Q129" cm="1">
        <f t="array" ref="Q129">_xlfn.XLOOKUP(Matrix[[#This Row],[TEAM]]&amp;Matrix[[#Headers],[5]],FDR[FDR]&amp;FDR[[#Headers],[5]],FDR[5],"",0,1)</f>
        <v>2</v>
      </c>
      <c r="R129" cm="1">
        <f t="array" ref="R129">_xlfn.XLOOKUP(Matrix[[#This Row],[TEAM]]&amp;Matrix[[#Headers],[6]],FDR[FDR]&amp;FDR[[#Headers],[6]],FDR[6],"",0,1)</f>
        <v>5</v>
      </c>
      <c r="S129" cm="1">
        <f t="array" ref="S129">_xlfn.XLOOKUP(Matrix[[#This Row],[TEAM]]&amp;Matrix[[#Headers],[7]],FDR[FDR]&amp;FDR[[#Headers],[7]],FDR[7],"",0,1)</f>
        <v>4</v>
      </c>
      <c r="T129" cm="1">
        <f t="array" ref="T129">_xlfn.XLOOKUP(Matrix[[#This Row],[TEAM]]&amp;Matrix[[#Headers],[8]],FDR[FDR]&amp;FDR[[#Headers],[8]],FDR[8],"",0,1)</f>
        <v>3</v>
      </c>
      <c r="U129" cm="1">
        <f t="array" ref="U129">_xlfn.XLOOKUP(Matrix[[#This Row],[TEAM]]&amp;Matrix[[#Headers],[9]],FDR[FDR]&amp;FDR[[#Headers],[9]],FDR[9],"",0,1)</f>
        <v>2</v>
      </c>
      <c r="V129" cm="1">
        <f t="array" ref="V129">_xlfn.XLOOKUP(Matrix[[#This Row],[TEAM]]&amp;Matrix[[#Headers],[10]],FDR[FDR]&amp;FDR[[#Headers],[10]],FDR[10],"",0,1)</f>
        <v>5</v>
      </c>
      <c r="W129" cm="1">
        <f t="array" ref="W129">_xlfn.XLOOKUP(Matrix[[#This Row],[TEAM]]&amp;Matrix[[#Headers],[11]],FDR[FDR]&amp;FDR[[#Headers],[11]],FDR[11],"",0,1)</f>
        <v>5</v>
      </c>
      <c r="X129" cm="1">
        <f t="array" ref="X129">_xlfn.XLOOKUP(Matrix[[#This Row],[TEAM]]&amp;Matrix[[#Headers],[12]],FDR[FDR]&amp;FDR[[#Headers],[12]],FDR[12],"",0,1)</f>
        <v>4</v>
      </c>
      <c r="Y129" cm="1">
        <f t="array" ref="Y129">_xlfn.XLOOKUP(Matrix[[#This Row],[TEAM]]&amp;Matrix[[#Headers],[13]],FDR[FDR]&amp;FDR[[#Headers],[13]],FDR[13],"",0,1)</f>
        <v>5</v>
      </c>
      <c r="Z129" cm="1">
        <f t="array" ref="Z129">_xlfn.XLOOKUP(Matrix[[#This Row],[TEAM]]&amp;Matrix[[#Headers],[14]],FDR[FDR]&amp;FDR[[#Headers],[14]],FDR[14],"",0,1)</f>
        <v>4</v>
      </c>
      <c r="AA129" cm="1">
        <f t="array" ref="AA129">_xlfn.XLOOKUP(Matrix[[#This Row],[TEAM]]&amp;Matrix[[#Headers],[15]],FDR[FDR]&amp;FDR[[#Headers],[15]],FDR[15],"",0,1)</f>
        <v>5</v>
      </c>
      <c r="AB129" cm="1">
        <f t="array" ref="AB129">_xlfn.XLOOKUP(Matrix[[#This Row],[TEAM]]&amp;Matrix[[#Headers],[16]],FDR[FDR]&amp;FDR[[#Headers],[16]],FDR[16],"",0,1)</f>
        <v>5</v>
      </c>
      <c r="AC129" cm="1">
        <f t="array" ref="AC129">_xlfn.XLOOKUP(Matrix[[#This Row],[TEAM]]&amp;Matrix[[#Headers],[17]],FDR[FDR]&amp;FDR[[#Headers],[17]],FDR[17],"",0,1)</f>
        <v>4</v>
      </c>
      <c r="AD129" cm="1">
        <f t="array" ref="AD129">_xlfn.XLOOKUP(Matrix[[#This Row],[TEAM]]&amp;Matrix[[#Headers],[18]],FDR[FDR]&amp;FDR[[#Headers],[18]],FDR[18],"",0,1)</f>
        <v>5</v>
      </c>
      <c r="AE129" cm="1">
        <f t="array" ref="AE129">_xlfn.XLOOKUP(Matrix[[#This Row],[TEAM]]&amp;Matrix[[#Headers],[19]],FDR[FDR]&amp;FDR[[#Headers],[19]],FDR[19],"",0,1)</f>
        <v>5</v>
      </c>
      <c r="AF129" cm="1">
        <f t="array" ref="AF129">_xlfn.XLOOKUP(Matrix[[#This Row],[TEAM]]&amp;Matrix[[#Headers],[20]],FDR[FDR]&amp;FDR[[#Headers],[20]],FDR[20],"",0,1)</f>
        <v>4</v>
      </c>
      <c r="AG129" cm="1">
        <f t="array" ref="AG129">_xlfn.XLOOKUP(Matrix[[#This Row],[TEAM]]&amp;Matrix[[#Headers],[21]],FDR[FDR]&amp;FDR[[#Headers],[21]],FDR[21],"",0,1)</f>
        <v>5</v>
      </c>
      <c r="AH129" cm="1">
        <f t="array" ref="AH129">_xlfn.XLOOKUP(Matrix[[#This Row],[TEAM]]&amp;Matrix[[#Headers],[22]],FDR[FDR]&amp;FDR[[#Headers],[22]],FDR[22],"",0,1)</f>
        <v>5</v>
      </c>
      <c r="AI129" cm="1">
        <f t="array" ref="AI129">_xlfn.XLOOKUP(Matrix[[#This Row],[TEAM]]&amp;Matrix[[#Headers],[23]],FDR[FDR]&amp;FDR[[#Headers],[23]],FDR[23],"",0,1)</f>
        <v>5</v>
      </c>
      <c r="AJ129" cm="1">
        <f t="array" ref="AJ129">_xlfn.XLOOKUP(Matrix[[#This Row],[TEAM]]&amp;Matrix[[#Headers],[24]],FDR[FDR]&amp;FDR[[#Headers],[24]],FDR[24],"",0,1)</f>
        <v>4</v>
      </c>
      <c r="AK129" cm="1">
        <f t="array" ref="AK129">_xlfn.XLOOKUP(Matrix[[#This Row],[TEAM]]&amp;Matrix[[#Headers],[25]],FDR[FDR]&amp;FDR[[#Headers],[25]],FDR[25],"",0,1)</f>
        <v>5</v>
      </c>
      <c r="AL129" cm="1">
        <f t="array" ref="AL129">_xlfn.XLOOKUP(Matrix[[#This Row],[TEAM]]&amp;Matrix[[#Headers],[26]],FDR[FDR]&amp;FDR[[#Headers],[26]],FDR[26],"",0,1)</f>
        <v>5</v>
      </c>
      <c r="AM129" cm="1">
        <f t="array" ref="AM129">_xlfn.XLOOKUP(Matrix[[#This Row],[TEAM]]&amp;Matrix[[#Headers],[27]],FDR[FDR]&amp;FDR[[#Headers],[27]],FDR[27],"",0,1)</f>
        <v>5</v>
      </c>
      <c r="AN129" cm="1">
        <f t="array" ref="AN129">_xlfn.XLOOKUP(Matrix[[#This Row],[TEAM]]&amp;Matrix[[#Headers],[28]],FDR[FDR]&amp;FDR[[#Headers],[28]],FDR[28],"",0,1)</f>
        <v>5</v>
      </c>
      <c r="AO129" cm="1">
        <f t="array" ref="AO129">_xlfn.XLOOKUP(Matrix[[#This Row],[TEAM]]&amp;Matrix[[#Headers],[29]],FDR[FDR]&amp;FDR[[#Headers],[29]],FDR[29],"",0,1)</f>
        <v>5</v>
      </c>
      <c r="AP129" cm="1">
        <f t="array" ref="AP129">_xlfn.XLOOKUP(Matrix[[#This Row],[TEAM]]&amp;Matrix[[#Headers],[30]],FDR[FDR]&amp;FDR[[#Headers],[30]],FDR[30],"",0,1)</f>
        <v>5</v>
      </c>
      <c r="AQ129" cm="1">
        <f t="array" ref="AQ129">_xlfn.XLOOKUP(Matrix[[#This Row],[TEAM]]&amp;Matrix[[#Headers],[31]],FDR[FDR]&amp;FDR[[#Headers],[31]],FDR[31],"",0,1)</f>
        <v>5</v>
      </c>
      <c r="AR129" cm="1">
        <f t="array" ref="AR129">_xlfn.XLOOKUP(Matrix[[#This Row],[TEAM]]&amp;Matrix[[#Headers],[32]],FDR[FDR]&amp;FDR[[#Headers],[32]],FDR[32],"",0,1)</f>
        <v>5</v>
      </c>
      <c r="AS129" cm="1">
        <f t="array" ref="AS129">_xlfn.XLOOKUP(Matrix[[#This Row],[TEAM]]&amp;Matrix[[#Headers],[33]],FDR[FDR]&amp;FDR[[#Headers],[33]],FDR[33],"",0,1)</f>
        <v>3</v>
      </c>
      <c r="AT129" cm="1">
        <f t="array" ref="AT129">_xlfn.XLOOKUP(Matrix[[#This Row],[TEAM]]&amp;Matrix[[#Headers],[34]],FDR[FDR]&amp;FDR[[#Headers],[34]],FDR[34],"",0,1)</f>
        <v>5</v>
      </c>
      <c r="AU129" cm="1">
        <f t="array" ref="AU129">_xlfn.XLOOKUP(Matrix[[#This Row],[TEAM]]&amp;Matrix[[#Headers],[35]],FDR[FDR]&amp;FDR[[#Headers],[35]],FDR[35],"",0,1)</f>
        <v>2</v>
      </c>
      <c r="AV129" cm="1">
        <f t="array" ref="AV129">_xlfn.XLOOKUP(Matrix[[#This Row],[TEAM]]&amp;Matrix[[#Headers],[36]],FDR[FDR]&amp;FDR[[#Headers],[36]],FDR[36],"",0,1)</f>
        <v>5</v>
      </c>
      <c r="AW129" cm="1">
        <f t="array" ref="AW129">_xlfn.XLOOKUP(Matrix[[#This Row],[TEAM]]&amp;Matrix[[#Headers],[37]],FDR[FDR]&amp;FDR[[#Headers],[37]],FDR[37],"",0,1)</f>
        <v>4</v>
      </c>
      <c r="AX129" cm="1">
        <f t="array" ref="AX129">_xlfn.XLOOKUP(Matrix[[#This Row],[TEAM]]&amp;Matrix[[#Headers],[38]],FDR[FDR]&amp;FDR[[#Headers],[38]],FDR[38],"",0,1)</f>
        <v>3</v>
      </c>
    </row>
    <row r="130" spans="1:50" ht="22" thickTop="1" thickBot="1">
      <c r="A130" s="50" t="str">
        <f>INDEX!S$4</f>
        <v>MID</v>
      </c>
      <c r="B130" s="70" t="s">
        <v>1462</v>
      </c>
      <c r="C130" s="40" t="s">
        <v>19</v>
      </c>
      <c r="D130" s="62">
        <v>49</v>
      </c>
      <c r="E130" s="60">
        <v>1E-3</v>
      </c>
      <c r="F130" s="61">
        <v>70.2</v>
      </c>
      <c r="G130" s="63">
        <v>5.5</v>
      </c>
      <c r="H130" s="261">
        <f>IF(ISBLANK(I130),0,1)</f>
        <v>0</v>
      </c>
      <c r="I130" s="57"/>
      <c r="J130" s="58"/>
      <c r="K130" s="59" t="s">
        <v>209</v>
      </c>
      <c r="L130" s="59" t="s">
        <v>216</v>
      </c>
      <c r="M130" cm="1">
        <f t="array" ref="M130">_xlfn.XLOOKUP(Matrix[[#This Row],[TEAM]]&amp;Matrix[[#Headers],[1]],FDR[FDR]&amp;FDR[[#Headers],[1]],FDR[1],"",0,1)</f>
        <v>1</v>
      </c>
      <c r="N130" cm="1">
        <f t="array" ref="N130">_xlfn.XLOOKUP(Matrix[[#This Row],[TEAM]]&amp;Matrix[[#Headers],[2]],FDR[FDR]&amp;FDR[[#Headers],[2]],FDR[2],"",0,1)</f>
        <v>4</v>
      </c>
      <c r="O130" cm="1">
        <f t="array" ref="O130">_xlfn.XLOOKUP(Matrix[[#This Row],[TEAM]]&amp;Matrix[[#Headers],[3]],FDR[FDR]&amp;FDR[[#Headers],[3]],FDR[3],"",0,1)</f>
        <v>1</v>
      </c>
      <c r="P130" cm="1">
        <f t="array" ref="P130">_xlfn.XLOOKUP(Matrix[[#This Row],[TEAM]]&amp;Matrix[[#Headers],[4]],FDR[FDR]&amp;FDR[[#Headers],[4]],FDR[4],"",0,1)</f>
        <v>2</v>
      </c>
      <c r="Q130" cm="1">
        <f t="array" ref="Q130">_xlfn.XLOOKUP(Matrix[[#This Row],[TEAM]]&amp;Matrix[[#Headers],[5]],FDR[FDR]&amp;FDR[[#Headers],[5]],FDR[5],"",0,1)</f>
        <v>2</v>
      </c>
      <c r="R130" cm="1">
        <f t="array" ref="R130">_xlfn.XLOOKUP(Matrix[[#This Row],[TEAM]]&amp;Matrix[[#Headers],[6]],FDR[FDR]&amp;FDR[[#Headers],[6]],FDR[6],"",0,1)</f>
        <v>1</v>
      </c>
      <c r="S130" cm="1">
        <f t="array" ref="S130">_xlfn.XLOOKUP(Matrix[[#This Row],[TEAM]]&amp;Matrix[[#Headers],[7]],FDR[FDR]&amp;FDR[[#Headers],[7]],FDR[7],"",0,1)</f>
        <v>1</v>
      </c>
      <c r="T130" cm="1">
        <f t="array" ref="T130">_xlfn.XLOOKUP(Matrix[[#This Row],[TEAM]]&amp;Matrix[[#Headers],[8]],FDR[FDR]&amp;FDR[[#Headers],[8]],FDR[8],"",0,1)</f>
        <v>2</v>
      </c>
      <c r="U130" cm="1">
        <f t="array" ref="U130">_xlfn.XLOOKUP(Matrix[[#This Row],[TEAM]]&amp;Matrix[[#Headers],[9]],FDR[FDR]&amp;FDR[[#Headers],[9]],FDR[9],"",0,1)</f>
        <v>2</v>
      </c>
      <c r="V130" cm="1">
        <f t="array" ref="V130">_xlfn.XLOOKUP(Matrix[[#This Row],[TEAM]]&amp;Matrix[[#Headers],[10]],FDR[FDR]&amp;FDR[[#Headers],[10]],FDR[10],"",0,1)</f>
        <v>3</v>
      </c>
      <c r="W130" cm="1">
        <f t="array" ref="W130">_xlfn.XLOOKUP(Matrix[[#This Row],[TEAM]]&amp;Matrix[[#Headers],[11]],FDR[FDR]&amp;FDR[[#Headers],[11]],FDR[11],"",0,1)</f>
        <v>3</v>
      </c>
      <c r="X130" cm="1">
        <f t="array" ref="X130">_xlfn.XLOOKUP(Matrix[[#This Row],[TEAM]]&amp;Matrix[[#Headers],[12]],FDR[FDR]&amp;FDR[[#Headers],[12]],FDR[12],"",0,1)</f>
        <v>4</v>
      </c>
      <c r="Y130" cm="1">
        <f t="array" ref="Y130">_xlfn.XLOOKUP(Matrix[[#This Row],[TEAM]]&amp;Matrix[[#Headers],[13]],FDR[FDR]&amp;FDR[[#Headers],[13]],FDR[13],"",0,1)</f>
        <v>1</v>
      </c>
      <c r="Z130" cm="1">
        <f t="array" ref="Z130">_xlfn.XLOOKUP(Matrix[[#This Row],[TEAM]]&amp;Matrix[[#Headers],[14]],FDR[FDR]&amp;FDR[[#Headers],[14]],FDR[14],"",0,1)</f>
        <v>3</v>
      </c>
      <c r="AA130" cm="1">
        <f t="array" ref="AA130">_xlfn.XLOOKUP(Matrix[[#This Row],[TEAM]]&amp;Matrix[[#Headers],[15]],FDR[FDR]&amp;FDR[[#Headers],[15]],FDR[15],"",0,1)</f>
        <v>1</v>
      </c>
      <c r="AB130" cm="1">
        <f t="array" ref="AB130">_xlfn.XLOOKUP(Matrix[[#This Row],[TEAM]]&amp;Matrix[[#Headers],[16]],FDR[FDR]&amp;FDR[[#Headers],[16]],FDR[16],"",0,1)</f>
        <v>2</v>
      </c>
      <c r="AC130" cm="1">
        <f t="array" ref="AC130">_xlfn.XLOOKUP(Matrix[[#This Row],[TEAM]]&amp;Matrix[[#Headers],[17]],FDR[FDR]&amp;FDR[[#Headers],[17]],FDR[17],"",0,1)</f>
        <v>3</v>
      </c>
      <c r="AD130" cm="1">
        <f t="array" ref="AD130">_xlfn.XLOOKUP(Matrix[[#This Row],[TEAM]]&amp;Matrix[[#Headers],[18]],FDR[FDR]&amp;FDR[[#Headers],[18]],FDR[18],"",0,1)</f>
        <v>2</v>
      </c>
      <c r="AE130" cm="1">
        <f t="array" ref="AE130">_xlfn.XLOOKUP(Matrix[[#This Row],[TEAM]]&amp;Matrix[[#Headers],[19]],FDR[FDR]&amp;FDR[[#Headers],[19]],FDR[19],"",0,1)</f>
        <v>2</v>
      </c>
      <c r="AF130" cm="1">
        <f t="array" ref="AF130">_xlfn.XLOOKUP(Matrix[[#This Row],[TEAM]]&amp;Matrix[[#Headers],[20]],FDR[FDR]&amp;FDR[[#Headers],[20]],FDR[20],"",0,1)</f>
        <v>1</v>
      </c>
      <c r="AG130" cm="1">
        <f t="array" ref="AG130">_xlfn.XLOOKUP(Matrix[[#This Row],[TEAM]]&amp;Matrix[[#Headers],[21]],FDR[FDR]&amp;FDR[[#Headers],[21]],FDR[21],"",0,1)</f>
        <v>2</v>
      </c>
      <c r="AH130" cm="1">
        <f t="array" ref="AH130">_xlfn.XLOOKUP(Matrix[[#This Row],[TEAM]]&amp;Matrix[[#Headers],[22]],FDR[FDR]&amp;FDR[[#Headers],[22]],FDR[22],"",0,1)</f>
        <v>1</v>
      </c>
      <c r="AI130" cm="1">
        <f t="array" ref="AI130">_xlfn.XLOOKUP(Matrix[[#This Row],[TEAM]]&amp;Matrix[[#Headers],[23]],FDR[FDR]&amp;FDR[[#Headers],[23]],FDR[23],"",0,1)</f>
        <v>1</v>
      </c>
      <c r="AJ130" cm="1">
        <f t="array" ref="AJ130">_xlfn.XLOOKUP(Matrix[[#This Row],[TEAM]]&amp;Matrix[[#Headers],[24]],FDR[FDR]&amp;FDR[[#Headers],[24]],FDR[24],"",0,1)</f>
        <v>3</v>
      </c>
      <c r="AK130" cm="1">
        <f t="array" ref="AK130">_xlfn.XLOOKUP(Matrix[[#This Row],[TEAM]]&amp;Matrix[[#Headers],[25]],FDR[FDR]&amp;FDR[[#Headers],[25]],FDR[25],"",0,1)</f>
        <v>4</v>
      </c>
      <c r="AL130" cm="1">
        <f t="array" ref="AL130">_xlfn.XLOOKUP(Matrix[[#This Row],[TEAM]]&amp;Matrix[[#Headers],[26]],FDR[FDR]&amp;FDR[[#Headers],[26]],FDR[26],"",0,1)</f>
        <v>2</v>
      </c>
      <c r="AM130" cm="1">
        <f t="array" ref="AM130">_xlfn.XLOOKUP(Matrix[[#This Row],[TEAM]]&amp;Matrix[[#Headers],[27]],FDR[FDR]&amp;FDR[[#Headers],[27]],FDR[27],"",0,1)</f>
        <v>3</v>
      </c>
      <c r="AN130" cm="1">
        <f t="array" ref="AN130">_xlfn.XLOOKUP(Matrix[[#This Row],[TEAM]]&amp;Matrix[[#Headers],[28]],FDR[FDR]&amp;FDR[[#Headers],[28]],FDR[28],"",0,1)</f>
        <v>2</v>
      </c>
      <c r="AO130" cm="1">
        <f t="array" ref="AO130">_xlfn.XLOOKUP(Matrix[[#This Row],[TEAM]]&amp;Matrix[[#Headers],[29]],FDR[FDR]&amp;FDR[[#Headers],[29]],FDR[29],"",0,1)</f>
        <v>1</v>
      </c>
      <c r="AP130" cm="1">
        <f t="array" ref="AP130">_xlfn.XLOOKUP(Matrix[[#This Row],[TEAM]]&amp;Matrix[[#Headers],[30]],FDR[FDR]&amp;FDR[[#Headers],[30]],FDR[30],"",0,1)</f>
        <v>4</v>
      </c>
      <c r="AQ130" cm="1">
        <f t="array" ref="AQ130">_xlfn.XLOOKUP(Matrix[[#This Row],[TEAM]]&amp;Matrix[[#Headers],[31]],FDR[FDR]&amp;FDR[[#Headers],[31]],FDR[31],"",0,1)</f>
        <v>1</v>
      </c>
      <c r="AR130" cm="1">
        <f t="array" ref="AR130">_xlfn.XLOOKUP(Matrix[[#This Row],[TEAM]]&amp;Matrix[[#Headers],[32]],FDR[FDR]&amp;FDR[[#Headers],[32]],FDR[32],"",0,1)</f>
        <v>1</v>
      </c>
      <c r="AS130" cm="1">
        <f t="array" ref="AS130">_xlfn.XLOOKUP(Matrix[[#This Row],[TEAM]]&amp;Matrix[[#Headers],[33]],FDR[FDR]&amp;FDR[[#Headers],[33]],FDR[33],"",0,1)</f>
        <v>1</v>
      </c>
      <c r="AT130" cm="1">
        <f t="array" ref="AT130">_xlfn.XLOOKUP(Matrix[[#This Row],[TEAM]]&amp;Matrix[[#Headers],[34]],FDR[FDR]&amp;FDR[[#Headers],[34]],FDR[34],"",0,1)</f>
        <v>1</v>
      </c>
      <c r="AU130" cm="1">
        <f t="array" ref="AU130">_xlfn.XLOOKUP(Matrix[[#This Row],[TEAM]]&amp;Matrix[[#Headers],[35]],FDR[FDR]&amp;FDR[[#Headers],[35]],FDR[35],"",0,1)</f>
        <v>3</v>
      </c>
      <c r="AV130" cm="1">
        <f t="array" ref="AV130">_xlfn.XLOOKUP(Matrix[[#This Row],[TEAM]]&amp;Matrix[[#Headers],[36]],FDR[FDR]&amp;FDR[[#Headers],[36]],FDR[36],"",0,1)</f>
        <v>1</v>
      </c>
      <c r="AW130" cm="1">
        <f t="array" ref="AW130">_xlfn.XLOOKUP(Matrix[[#This Row],[TEAM]]&amp;Matrix[[#Headers],[37]],FDR[FDR]&amp;FDR[[#Headers],[37]],FDR[37],"",0,1)</f>
        <v>4</v>
      </c>
      <c r="AX130" cm="1">
        <f t="array" ref="AX130">_xlfn.XLOOKUP(Matrix[[#This Row],[TEAM]]&amp;Matrix[[#Headers],[38]],FDR[FDR]&amp;FDR[[#Headers],[38]],FDR[38],"",0,1)</f>
        <v>1</v>
      </c>
    </row>
    <row r="131" spans="1:50" ht="22" thickTop="1" thickBot="1">
      <c r="A131" s="50" t="str">
        <f>INDEX!S$4</f>
        <v>MID</v>
      </c>
      <c r="B131" s="70" t="s">
        <v>1438</v>
      </c>
      <c r="C131" s="40" t="s">
        <v>30</v>
      </c>
      <c r="D131" s="62">
        <v>48</v>
      </c>
      <c r="E131" s="60">
        <v>2E-3</v>
      </c>
      <c r="F131" s="61">
        <v>104.8</v>
      </c>
      <c r="G131" s="63">
        <v>5.5</v>
      </c>
      <c r="H131" s="261">
        <f>IF(ISBLANK(I131),0,1)</f>
        <v>0</v>
      </c>
      <c r="I131" s="57"/>
      <c r="J131" s="58"/>
      <c r="K131" s="59" t="s">
        <v>446</v>
      </c>
      <c r="L131" s="59" t="s">
        <v>214</v>
      </c>
      <c r="M131" cm="1">
        <f t="array" ref="M131">_xlfn.XLOOKUP(Matrix[[#This Row],[TEAM]]&amp;Matrix[[#Headers],[1]],FDR[FDR]&amp;FDR[[#Headers],[1]],FDR[1],"",0,1)</f>
        <v>3</v>
      </c>
      <c r="N131" cm="1">
        <f t="array" ref="N131">_xlfn.XLOOKUP(Matrix[[#This Row],[TEAM]]&amp;Matrix[[#Headers],[2]],FDR[FDR]&amp;FDR[[#Headers],[2]],FDR[2],"",0,1)</f>
        <v>2</v>
      </c>
      <c r="O131" cm="1">
        <f t="array" ref="O131">_xlfn.XLOOKUP(Matrix[[#This Row],[TEAM]]&amp;Matrix[[#Headers],[3]],FDR[FDR]&amp;FDR[[#Headers],[3]],FDR[3],"",0,1)</f>
        <v>1</v>
      </c>
      <c r="P131" cm="1">
        <f t="array" ref="P131">_xlfn.XLOOKUP(Matrix[[#This Row],[TEAM]]&amp;Matrix[[#Headers],[4]],FDR[FDR]&amp;FDR[[#Headers],[4]],FDR[4],"",0,1)</f>
        <v>4</v>
      </c>
      <c r="Q131" cm="1">
        <f t="array" ref="Q131">_xlfn.XLOOKUP(Matrix[[#This Row],[TEAM]]&amp;Matrix[[#Headers],[5]],FDR[FDR]&amp;FDR[[#Headers],[5]],FDR[5],"",0,1)</f>
        <v>3</v>
      </c>
      <c r="R131" cm="1">
        <f t="array" ref="R131">_xlfn.XLOOKUP(Matrix[[#This Row],[TEAM]]&amp;Matrix[[#Headers],[6]],FDR[FDR]&amp;FDR[[#Headers],[6]],FDR[6],"",0,1)</f>
        <v>2</v>
      </c>
      <c r="S131" cm="1">
        <f t="array" ref="S131">_xlfn.XLOOKUP(Matrix[[#This Row],[TEAM]]&amp;Matrix[[#Headers],[7]],FDR[FDR]&amp;FDR[[#Headers],[7]],FDR[7],"",0,1)</f>
        <v>1</v>
      </c>
      <c r="T131" cm="1">
        <f t="array" ref="T131">_xlfn.XLOOKUP(Matrix[[#This Row],[TEAM]]&amp;Matrix[[#Headers],[8]],FDR[FDR]&amp;FDR[[#Headers],[8]],FDR[8],"",0,1)</f>
        <v>4</v>
      </c>
      <c r="U131" cm="1">
        <f t="array" ref="U131">_xlfn.XLOOKUP(Matrix[[#This Row],[TEAM]]&amp;Matrix[[#Headers],[9]],FDR[FDR]&amp;FDR[[#Headers],[9]],FDR[9],"",0,1)</f>
        <v>1</v>
      </c>
      <c r="V131" cm="1">
        <f t="array" ref="V131">_xlfn.XLOOKUP(Matrix[[#This Row],[TEAM]]&amp;Matrix[[#Headers],[10]],FDR[FDR]&amp;FDR[[#Headers],[10]],FDR[10],"",0,1)</f>
        <v>2</v>
      </c>
      <c r="W131" cm="1">
        <f t="array" ref="W131">_xlfn.XLOOKUP(Matrix[[#This Row],[TEAM]]&amp;Matrix[[#Headers],[11]],FDR[FDR]&amp;FDR[[#Headers],[11]],FDR[11],"",0,1)</f>
        <v>4</v>
      </c>
      <c r="X131" cm="1">
        <f t="array" ref="X131">_xlfn.XLOOKUP(Matrix[[#This Row],[TEAM]]&amp;Matrix[[#Headers],[12]],FDR[FDR]&amp;FDR[[#Headers],[12]],FDR[12],"",0,1)</f>
        <v>1</v>
      </c>
      <c r="Y131" cm="1">
        <f t="array" ref="Y131">_xlfn.XLOOKUP(Matrix[[#This Row],[TEAM]]&amp;Matrix[[#Headers],[13]],FDR[FDR]&amp;FDR[[#Headers],[13]],FDR[13],"",0,1)</f>
        <v>2</v>
      </c>
      <c r="Z131" cm="1">
        <f t="array" ref="Z131">_xlfn.XLOOKUP(Matrix[[#This Row],[TEAM]]&amp;Matrix[[#Headers],[14]],FDR[FDR]&amp;FDR[[#Headers],[14]],FDR[14],"",0,1)</f>
        <v>1</v>
      </c>
      <c r="AA131" cm="1">
        <f t="array" ref="AA131">_xlfn.XLOOKUP(Matrix[[#This Row],[TEAM]]&amp;Matrix[[#Headers],[15]],FDR[FDR]&amp;FDR[[#Headers],[15]],FDR[15],"",0,1)</f>
        <v>1</v>
      </c>
      <c r="AB131" cm="1">
        <f t="array" ref="AB131">_xlfn.XLOOKUP(Matrix[[#This Row],[TEAM]]&amp;Matrix[[#Headers],[16]],FDR[FDR]&amp;FDR[[#Headers],[16]],FDR[16],"",0,1)</f>
        <v>1</v>
      </c>
      <c r="AC131" cm="1">
        <f t="array" ref="AC131">_xlfn.XLOOKUP(Matrix[[#This Row],[TEAM]]&amp;Matrix[[#Headers],[17]],FDR[FDR]&amp;FDR[[#Headers],[17]],FDR[17],"",0,1)</f>
        <v>3</v>
      </c>
      <c r="AD131" cm="1">
        <f t="array" ref="AD131">_xlfn.XLOOKUP(Matrix[[#This Row],[TEAM]]&amp;Matrix[[#Headers],[18]],FDR[FDR]&amp;FDR[[#Headers],[18]],FDR[18],"",0,1)</f>
        <v>2</v>
      </c>
      <c r="AE131" cm="1">
        <f t="array" ref="AE131">_xlfn.XLOOKUP(Matrix[[#This Row],[TEAM]]&amp;Matrix[[#Headers],[19]],FDR[FDR]&amp;FDR[[#Headers],[19]],FDR[19],"",0,1)</f>
        <v>1</v>
      </c>
      <c r="AF131" cm="1">
        <f t="array" ref="AF131">_xlfn.XLOOKUP(Matrix[[#This Row],[TEAM]]&amp;Matrix[[#Headers],[20]],FDR[FDR]&amp;FDR[[#Headers],[20]],FDR[20],"",0,1)</f>
        <v>1</v>
      </c>
      <c r="AG131" cm="1">
        <f t="array" ref="AG131">_xlfn.XLOOKUP(Matrix[[#This Row],[TEAM]]&amp;Matrix[[#Headers],[21]],FDR[FDR]&amp;FDR[[#Headers],[21]],FDR[21],"",0,1)</f>
        <v>1</v>
      </c>
      <c r="AH131" cm="1">
        <f t="array" ref="AH131">_xlfn.XLOOKUP(Matrix[[#This Row],[TEAM]]&amp;Matrix[[#Headers],[22]],FDR[FDR]&amp;FDR[[#Headers],[22]],FDR[22],"",0,1)</f>
        <v>3</v>
      </c>
      <c r="AI131" cm="1">
        <f t="array" ref="AI131">_xlfn.XLOOKUP(Matrix[[#This Row],[TEAM]]&amp;Matrix[[#Headers],[23]],FDR[FDR]&amp;FDR[[#Headers],[23]],FDR[23],"",0,1)</f>
        <v>4</v>
      </c>
      <c r="AJ131" cm="1">
        <f t="array" ref="AJ131">_xlfn.XLOOKUP(Matrix[[#This Row],[TEAM]]&amp;Matrix[[#Headers],[24]],FDR[FDR]&amp;FDR[[#Headers],[24]],FDR[24],"",0,1)</f>
        <v>1</v>
      </c>
      <c r="AK131" cm="1">
        <f t="array" ref="AK131">_xlfn.XLOOKUP(Matrix[[#This Row],[TEAM]]&amp;Matrix[[#Headers],[25]],FDR[FDR]&amp;FDR[[#Headers],[25]],FDR[25],"",0,1)</f>
        <v>3</v>
      </c>
      <c r="AL131" cm="1">
        <f t="array" ref="AL131">_xlfn.XLOOKUP(Matrix[[#This Row],[TEAM]]&amp;Matrix[[#Headers],[26]],FDR[FDR]&amp;FDR[[#Headers],[26]],FDR[26],"",0,1)</f>
        <v>2</v>
      </c>
      <c r="AM131" cm="1">
        <f t="array" ref="AM131">_xlfn.XLOOKUP(Matrix[[#This Row],[TEAM]]&amp;Matrix[[#Headers],[27]],FDR[FDR]&amp;FDR[[#Headers],[27]],FDR[27],"",0,1)</f>
        <v>2</v>
      </c>
      <c r="AN131" cm="1">
        <f t="array" ref="AN131">_xlfn.XLOOKUP(Matrix[[#This Row],[TEAM]]&amp;Matrix[[#Headers],[28]],FDR[FDR]&amp;FDR[[#Headers],[28]],FDR[28],"",0,1)</f>
        <v>1</v>
      </c>
      <c r="AO131" cm="1">
        <f t="array" ref="AO131">_xlfn.XLOOKUP(Matrix[[#This Row],[TEAM]]&amp;Matrix[[#Headers],[29]],FDR[FDR]&amp;FDR[[#Headers],[29]],FDR[29],"",0,1)</f>
        <v>3</v>
      </c>
      <c r="AP131" cm="1">
        <f t="array" ref="AP131">_xlfn.XLOOKUP(Matrix[[#This Row],[TEAM]]&amp;Matrix[[#Headers],[30]],FDR[FDR]&amp;FDR[[#Headers],[30]],FDR[30],"",0,1)</f>
        <v>2</v>
      </c>
      <c r="AQ131" cm="1">
        <f t="array" ref="AQ131">_xlfn.XLOOKUP(Matrix[[#This Row],[TEAM]]&amp;Matrix[[#Headers],[31]],FDR[FDR]&amp;FDR[[#Headers],[31]],FDR[31],"",0,1)</f>
        <v>2</v>
      </c>
      <c r="AR131" cm="1">
        <f t="array" ref="AR131">_xlfn.XLOOKUP(Matrix[[#This Row],[TEAM]]&amp;Matrix[[#Headers],[32]],FDR[FDR]&amp;FDR[[#Headers],[32]],FDR[32],"",0,1)</f>
        <v>1</v>
      </c>
      <c r="AS131" cm="1">
        <f t="array" ref="AS131">_xlfn.XLOOKUP(Matrix[[#This Row],[TEAM]]&amp;Matrix[[#Headers],[33]],FDR[FDR]&amp;FDR[[#Headers],[33]],FDR[33],"",0,1)</f>
        <v>4</v>
      </c>
      <c r="AT131" cm="1">
        <f t="array" ref="AT131">_xlfn.XLOOKUP(Matrix[[#This Row],[TEAM]]&amp;Matrix[[#Headers],[34]],FDR[FDR]&amp;FDR[[#Headers],[34]],FDR[34],"",0,1)</f>
        <v>1</v>
      </c>
      <c r="AU131" cm="1">
        <f t="array" ref="AU131">_xlfn.XLOOKUP(Matrix[[#This Row],[TEAM]]&amp;Matrix[[#Headers],[35]],FDR[FDR]&amp;FDR[[#Headers],[35]],FDR[35],"",0,1)</f>
        <v>3</v>
      </c>
      <c r="AV131" cm="1">
        <f t="array" ref="AV131">_xlfn.XLOOKUP(Matrix[[#This Row],[TEAM]]&amp;Matrix[[#Headers],[36]],FDR[FDR]&amp;FDR[[#Headers],[36]],FDR[36],"",0,1)</f>
        <v>1</v>
      </c>
      <c r="AW131" cm="1">
        <f t="array" ref="AW131">_xlfn.XLOOKUP(Matrix[[#This Row],[TEAM]]&amp;Matrix[[#Headers],[37]],FDR[FDR]&amp;FDR[[#Headers],[37]],FDR[37],"",0,1)</f>
        <v>1</v>
      </c>
      <c r="AX131" cm="1">
        <f t="array" ref="AX131">_xlfn.XLOOKUP(Matrix[[#This Row],[TEAM]]&amp;Matrix[[#Headers],[38]],FDR[FDR]&amp;FDR[[#Headers],[38]],FDR[38],"",0,1)</f>
        <v>2</v>
      </c>
    </row>
    <row r="132" spans="1:50" ht="22" thickTop="1" thickBot="1">
      <c r="A132" s="50" t="str">
        <f>INDEX!S$4</f>
        <v>MID</v>
      </c>
      <c r="B132" s="70" t="s">
        <v>1447</v>
      </c>
      <c r="C132" s="40" t="s">
        <v>33</v>
      </c>
      <c r="D132" s="62">
        <v>45</v>
      </c>
      <c r="E132" s="60">
        <v>1E-3</v>
      </c>
      <c r="F132" s="61">
        <v>69.099999999999994</v>
      </c>
      <c r="G132" s="63">
        <v>5.5</v>
      </c>
      <c r="H132" s="261">
        <f>IF(ISBLANK(I132),0,1)</f>
        <v>0</v>
      </c>
      <c r="I132" s="57"/>
      <c r="J132" s="58"/>
      <c r="K132" s="59" t="s">
        <v>770</v>
      </c>
      <c r="L132" s="59" t="s">
        <v>771</v>
      </c>
      <c r="M132" cm="1">
        <f t="array" ref="M132">_xlfn.XLOOKUP(Matrix[[#This Row],[TEAM]]&amp;Matrix[[#Headers],[1]],FDR[FDR]&amp;FDR[[#Headers],[1]],FDR[1],"",0,1)</f>
        <v>3</v>
      </c>
      <c r="N132" cm="1">
        <f t="array" ref="N132">_xlfn.XLOOKUP(Matrix[[#This Row],[TEAM]]&amp;Matrix[[#Headers],[2]],FDR[FDR]&amp;FDR[[#Headers],[2]],FDR[2],"",0,1)</f>
        <v>3</v>
      </c>
      <c r="O132" cm="1">
        <f t="array" ref="O132">_xlfn.XLOOKUP(Matrix[[#This Row],[TEAM]]&amp;Matrix[[#Headers],[3]],FDR[FDR]&amp;FDR[[#Headers],[3]],FDR[3],"",0,1)</f>
        <v>4</v>
      </c>
      <c r="P132" cm="1">
        <f t="array" ref="P132">_xlfn.XLOOKUP(Matrix[[#This Row],[TEAM]]&amp;Matrix[[#Headers],[4]],FDR[FDR]&amp;FDR[[#Headers],[4]],FDR[4],"",0,1)</f>
        <v>4</v>
      </c>
      <c r="Q132" cm="1">
        <f t="array" ref="Q132">_xlfn.XLOOKUP(Matrix[[#This Row],[TEAM]]&amp;Matrix[[#Headers],[5]],FDR[FDR]&amp;FDR[[#Headers],[5]],FDR[5],"",0,1)</f>
        <v>4</v>
      </c>
      <c r="R132" cm="1">
        <f t="array" ref="R132">_xlfn.XLOOKUP(Matrix[[#This Row],[TEAM]]&amp;Matrix[[#Headers],[6]],FDR[FDR]&amp;FDR[[#Headers],[6]],FDR[6],"",0,1)</f>
        <v>5</v>
      </c>
      <c r="S132" cm="1">
        <f t="array" ref="S132">_xlfn.XLOOKUP(Matrix[[#This Row],[TEAM]]&amp;Matrix[[#Headers],[7]],FDR[FDR]&amp;FDR[[#Headers],[7]],FDR[7],"",0,1)</f>
        <v>2</v>
      </c>
      <c r="T132" cm="1">
        <f t="array" ref="T132">_xlfn.XLOOKUP(Matrix[[#This Row],[TEAM]]&amp;Matrix[[#Headers],[8]],FDR[FDR]&amp;FDR[[#Headers],[8]],FDR[8],"",0,1)</f>
        <v>4</v>
      </c>
      <c r="U132" cm="1">
        <f t="array" ref="U132">_xlfn.XLOOKUP(Matrix[[#This Row],[TEAM]]&amp;Matrix[[#Headers],[9]],FDR[FDR]&amp;FDR[[#Headers],[9]],FDR[9],"",0,1)</f>
        <v>5</v>
      </c>
      <c r="V132" cm="1">
        <f t="array" ref="V132">_xlfn.XLOOKUP(Matrix[[#This Row],[TEAM]]&amp;Matrix[[#Headers],[10]],FDR[FDR]&amp;FDR[[#Headers],[10]],FDR[10],"",0,1)</f>
        <v>1</v>
      </c>
      <c r="W132" cm="1">
        <f t="array" ref="W132">_xlfn.XLOOKUP(Matrix[[#This Row],[TEAM]]&amp;Matrix[[#Headers],[11]],FDR[FDR]&amp;FDR[[#Headers],[11]],FDR[11],"",0,1)</f>
        <v>3</v>
      </c>
      <c r="X132" cm="1">
        <f t="array" ref="X132">_xlfn.XLOOKUP(Matrix[[#This Row],[TEAM]]&amp;Matrix[[#Headers],[12]],FDR[FDR]&amp;FDR[[#Headers],[12]],FDR[12],"",0,1)</f>
        <v>2</v>
      </c>
      <c r="Y132" cm="1">
        <f t="array" ref="Y132">_xlfn.XLOOKUP(Matrix[[#This Row],[TEAM]]&amp;Matrix[[#Headers],[13]],FDR[FDR]&amp;FDR[[#Headers],[13]],FDR[13],"",0,1)</f>
        <v>4</v>
      </c>
      <c r="Z132" cm="1">
        <f t="array" ref="Z132">_xlfn.XLOOKUP(Matrix[[#This Row],[TEAM]]&amp;Matrix[[#Headers],[14]],FDR[FDR]&amp;FDR[[#Headers],[14]],FDR[14],"",0,1)</f>
        <v>3</v>
      </c>
      <c r="AA132" cm="1">
        <f t="array" ref="AA132">_xlfn.XLOOKUP(Matrix[[#This Row],[TEAM]]&amp;Matrix[[#Headers],[15]],FDR[FDR]&amp;FDR[[#Headers],[15]],FDR[15],"",0,1)</f>
        <v>2</v>
      </c>
      <c r="AB132" cm="1">
        <f t="array" ref="AB132">_xlfn.XLOOKUP(Matrix[[#This Row],[TEAM]]&amp;Matrix[[#Headers],[16]],FDR[FDR]&amp;FDR[[#Headers],[16]],FDR[16],"",0,1)</f>
        <v>5</v>
      </c>
      <c r="AC132" cm="1">
        <f t="array" ref="AC132">_xlfn.XLOOKUP(Matrix[[#This Row],[TEAM]]&amp;Matrix[[#Headers],[17]],FDR[FDR]&amp;FDR[[#Headers],[17]],FDR[17],"",0,1)</f>
        <v>1</v>
      </c>
      <c r="AD132" cm="1">
        <f t="array" ref="AD132">_xlfn.XLOOKUP(Matrix[[#This Row],[TEAM]]&amp;Matrix[[#Headers],[18]],FDR[FDR]&amp;FDR[[#Headers],[18]],FDR[18],"",0,1)</f>
        <v>5</v>
      </c>
      <c r="AE132" cm="1">
        <f t="array" ref="AE132">_xlfn.XLOOKUP(Matrix[[#This Row],[TEAM]]&amp;Matrix[[#Headers],[19]],FDR[FDR]&amp;FDR[[#Headers],[19]],FDR[19],"",0,1)</f>
        <v>3</v>
      </c>
      <c r="AF132" cm="1">
        <f t="array" ref="AF132">_xlfn.XLOOKUP(Matrix[[#This Row],[TEAM]]&amp;Matrix[[#Headers],[20]],FDR[FDR]&amp;FDR[[#Headers],[20]],FDR[20],"",0,1)</f>
        <v>1</v>
      </c>
      <c r="AG132" cm="1">
        <f t="array" ref="AG132">_xlfn.XLOOKUP(Matrix[[#This Row],[TEAM]]&amp;Matrix[[#Headers],[21]],FDR[FDR]&amp;FDR[[#Headers],[21]],FDR[21],"",0,1)</f>
        <v>5</v>
      </c>
      <c r="AH132" cm="1">
        <f t="array" ref="AH132">_xlfn.XLOOKUP(Matrix[[#This Row],[TEAM]]&amp;Matrix[[#Headers],[22]],FDR[FDR]&amp;FDR[[#Headers],[22]],FDR[22],"",0,1)</f>
        <v>3</v>
      </c>
      <c r="AI132" cm="1">
        <f t="array" ref="AI132">_xlfn.XLOOKUP(Matrix[[#This Row],[TEAM]]&amp;Matrix[[#Headers],[23]],FDR[FDR]&amp;FDR[[#Headers],[23]],FDR[23],"",0,1)</f>
        <v>4</v>
      </c>
      <c r="AJ132" cm="1">
        <f t="array" ref="AJ132">_xlfn.XLOOKUP(Matrix[[#This Row],[TEAM]]&amp;Matrix[[#Headers],[24]],FDR[FDR]&amp;FDR[[#Headers],[24]],FDR[24],"",0,1)</f>
        <v>2</v>
      </c>
      <c r="AK132" cm="1">
        <f t="array" ref="AK132">_xlfn.XLOOKUP(Matrix[[#This Row],[TEAM]]&amp;Matrix[[#Headers],[25]],FDR[FDR]&amp;FDR[[#Headers],[25]],FDR[25],"",0,1)</f>
        <v>2</v>
      </c>
      <c r="AL132" cm="1">
        <f t="array" ref="AL132">_xlfn.XLOOKUP(Matrix[[#This Row],[TEAM]]&amp;Matrix[[#Headers],[26]],FDR[FDR]&amp;FDR[[#Headers],[26]],FDR[26],"",0,1)</f>
        <v>5</v>
      </c>
      <c r="AM132" cm="1">
        <f t="array" ref="AM132">_xlfn.XLOOKUP(Matrix[[#This Row],[TEAM]]&amp;Matrix[[#Headers],[27]],FDR[FDR]&amp;FDR[[#Headers],[27]],FDR[27],"",0,1)</f>
        <v>3</v>
      </c>
      <c r="AN132" cm="1">
        <f t="array" ref="AN132">_xlfn.XLOOKUP(Matrix[[#This Row],[TEAM]]&amp;Matrix[[#Headers],[28]],FDR[FDR]&amp;FDR[[#Headers],[28]],FDR[28],"",0,1)</f>
        <v>3</v>
      </c>
      <c r="AO132" cm="1">
        <f t="array" ref="AO132">_xlfn.XLOOKUP(Matrix[[#This Row],[TEAM]]&amp;Matrix[[#Headers],[29]],FDR[FDR]&amp;FDR[[#Headers],[29]],FDR[29],"",0,1)</f>
        <v>4</v>
      </c>
      <c r="AP132" cm="1">
        <f t="array" ref="AP132">_xlfn.XLOOKUP(Matrix[[#This Row],[TEAM]]&amp;Matrix[[#Headers],[30]],FDR[FDR]&amp;FDR[[#Headers],[30]],FDR[30],"",0,1)</f>
        <v>2</v>
      </c>
      <c r="AQ132" cm="1">
        <f t="array" ref="AQ132">_xlfn.XLOOKUP(Matrix[[#This Row],[TEAM]]&amp;Matrix[[#Headers],[31]],FDR[FDR]&amp;FDR[[#Headers],[31]],FDR[31],"",0,1)</f>
        <v>4</v>
      </c>
      <c r="AR132" cm="1">
        <f t="array" ref="AR132">_xlfn.XLOOKUP(Matrix[[#This Row],[TEAM]]&amp;Matrix[[#Headers],[32]],FDR[FDR]&amp;FDR[[#Headers],[32]],FDR[32],"",0,1)</f>
        <v>2</v>
      </c>
      <c r="AS132" cm="1">
        <f t="array" ref="AS132">_xlfn.XLOOKUP(Matrix[[#This Row],[TEAM]]&amp;Matrix[[#Headers],[33]],FDR[FDR]&amp;FDR[[#Headers],[33]],FDR[33],"",0,1)</f>
        <v>5</v>
      </c>
      <c r="AT132" cm="1">
        <f t="array" ref="AT132">_xlfn.XLOOKUP(Matrix[[#This Row],[TEAM]]&amp;Matrix[[#Headers],[34]],FDR[FDR]&amp;FDR[[#Headers],[34]],FDR[34],"",0,1)</f>
        <v>4</v>
      </c>
      <c r="AU132" cm="1">
        <f t="array" ref="AU132">_xlfn.XLOOKUP(Matrix[[#This Row],[TEAM]]&amp;Matrix[[#Headers],[35]],FDR[FDR]&amp;FDR[[#Headers],[35]],FDR[35],"",0,1)</f>
        <v>5</v>
      </c>
      <c r="AV132" cm="1">
        <f t="array" ref="AV132">_xlfn.XLOOKUP(Matrix[[#This Row],[TEAM]]&amp;Matrix[[#Headers],[36]],FDR[FDR]&amp;FDR[[#Headers],[36]],FDR[36],"",0,1)</f>
        <v>1</v>
      </c>
      <c r="AW132" cm="1">
        <f t="array" ref="AW132">_xlfn.XLOOKUP(Matrix[[#This Row],[TEAM]]&amp;Matrix[[#Headers],[37]],FDR[FDR]&amp;FDR[[#Headers],[37]],FDR[37],"",0,1)</f>
        <v>2</v>
      </c>
      <c r="AX132" cm="1">
        <f t="array" ref="AX132">_xlfn.XLOOKUP(Matrix[[#This Row],[TEAM]]&amp;Matrix[[#Headers],[38]],FDR[FDR]&amp;FDR[[#Headers],[38]],FDR[38],"",0,1)</f>
        <v>4</v>
      </c>
    </row>
    <row r="133" spans="1:50" ht="22" thickTop="1" thickBot="1">
      <c r="A133" s="50" t="str">
        <f>INDEX!S$4</f>
        <v>MID</v>
      </c>
      <c r="B133" s="70" t="s">
        <v>1435</v>
      </c>
      <c r="C133" s="40" t="s">
        <v>24</v>
      </c>
      <c r="D133" s="62">
        <v>44</v>
      </c>
      <c r="E133" s="60">
        <v>2E-3</v>
      </c>
      <c r="F133" s="61">
        <v>65.400000000000006</v>
      </c>
      <c r="G133" s="63">
        <v>5.5</v>
      </c>
      <c r="H133" s="261">
        <f>IF(ISBLANK(I133),0,1)</f>
        <v>0</v>
      </c>
      <c r="I133" s="57"/>
      <c r="J133" s="58"/>
      <c r="K133" s="59" t="s">
        <v>446</v>
      </c>
      <c r="L133" s="59" t="s">
        <v>779</v>
      </c>
      <c r="M133" cm="1">
        <f t="array" ref="M133">_xlfn.XLOOKUP(Matrix[[#This Row],[TEAM]]&amp;Matrix[[#Headers],[1]],FDR[FDR]&amp;FDR[[#Headers],[1]],FDR[1],"",0,1)</f>
        <v>2</v>
      </c>
      <c r="N133" cm="1">
        <f t="array" ref="N133">_xlfn.XLOOKUP(Matrix[[#This Row],[TEAM]]&amp;Matrix[[#Headers],[2]],FDR[FDR]&amp;FDR[[#Headers],[2]],FDR[2],"",0,1)</f>
        <v>3</v>
      </c>
      <c r="O133" cm="1">
        <f t="array" ref="O133">_xlfn.XLOOKUP(Matrix[[#This Row],[TEAM]]&amp;Matrix[[#Headers],[3]],FDR[FDR]&amp;FDR[[#Headers],[3]],FDR[3],"",0,1)</f>
        <v>2</v>
      </c>
      <c r="P133" cm="1">
        <f t="array" ref="P133">_xlfn.XLOOKUP(Matrix[[#This Row],[TEAM]]&amp;Matrix[[#Headers],[4]],FDR[FDR]&amp;FDR[[#Headers],[4]],FDR[4],"",0,1)</f>
        <v>4</v>
      </c>
      <c r="Q133" cm="1">
        <f t="array" ref="Q133">_xlfn.XLOOKUP(Matrix[[#This Row],[TEAM]]&amp;Matrix[[#Headers],[5]],FDR[FDR]&amp;FDR[[#Headers],[5]],FDR[5],"",0,1)</f>
        <v>5</v>
      </c>
      <c r="R133" cm="1">
        <f t="array" ref="R133">_xlfn.XLOOKUP(Matrix[[#This Row],[TEAM]]&amp;Matrix[[#Headers],[6]],FDR[FDR]&amp;FDR[[#Headers],[6]],FDR[6],"",0,1)</f>
        <v>3</v>
      </c>
      <c r="S133" cm="1">
        <f t="array" ref="S133">_xlfn.XLOOKUP(Matrix[[#This Row],[TEAM]]&amp;Matrix[[#Headers],[7]],FDR[FDR]&amp;FDR[[#Headers],[7]],FDR[7],"",0,1)</f>
        <v>3</v>
      </c>
      <c r="T133" cm="1">
        <f t="array" ref="T133">_xlfn.XLOOKUP(Matrix[[#This Row],[TEAM]]&amp;Matrix[[#Headers],[8]],FDR[FDR]&amp;FDR[[#Headers],[8]],FDR[8],"",0,1)</f>
        <v>5</v>
      </c>
      <c r="U133" cm="1">
        <f t="array" ref="U133">_xlfn.XLOOKUP(Matrix[[#This Row],[TEAM]]&amp;Matrix[[#Headers],[9]],FDR[FDR]&amp;FDR[[#Headers],[9]],FDR[9],"",0,1)</f>
        <v>4</v>
      </c>
      <c r="V133" cm="1">
        <f t="array" ref="V133">_xlfn.XLOOKUP(Matrix[[#This Row],[TEAM]]&amp;Matrix[[#Headers],[10]],FDR[FDR]&amp;FDR[[#Headers],[10]],FDR[10],"",0,1)</f>
        <v>2</v>
      </c>
      <c r="W133" cm="1">
        <f t="array" ref="W133">_xlfn.XLOOKUP(Matrix[[#This Row],[TEAM]]&amp;Matrix[[#Headers],[11]],FDR[FDR]&amp;FDR[[#Headers],[11]],FDR[11],"",0,1)</f>
        <v>3</v>
      </c>
      <c r="X133" cm="1">
        <f t="array" ref="X133">_xlfn.XLOOKUP(Matrix[[#This Row],[TEAM]]&amp;Matrix[[#Headers],[12]],FDR[FDR]&amp;FDR[[#Headers],[12]],FDR[12],"",0,1)</f>
        <v>5</v>
      </c>
      <c r="Y133" cm="1">
        <f t="array" ref="Y133">_xlfn.XLOOKUP(Matrix[[#This Row],[TEAM]]&amp;Matrix[[#Headers],[13]],FDR[FDR]&amp;FDR[[#Headers],[13]],FDR[13],"",0,1)</f>
        <v>4</v>
      </c>
      <c r="Z133" cm="1">
        <f t="array" ref="Z133">_xlfn.XLOOKUP(Matrix[[#This Row],[TEAM]]&amp;Matrix[[#Headers],[14]],FDR[FDR]&amp;FDR[[#Headers],[14]],FDR[14],"",0,1)</f>
        <v>4</v>
      </c>
      <c r="AA133" cm="1">
        <f t="array" ref="AA133">_xlfn.XLOOKUP(Matrix[[#This Row],[TEAM]]&amp;Matrix[[#Headers],[15]],FDR[FDR]&amp;FDR[[#Headers],[15]],FDR[15],"",0,1)</f>
        <v>3</v>
      </c>
      <c r="AB133" cm="1">
        <f t="array" ref="AB133">_xlfn.XLOOKUP(Matrix[[#This Row],[TEAM]]&amp;Matrix[[#Headers],[16]],FDR[FDR]&amp;FDR[[#Headers],[16]],FDR[16],"",0,1)</f>
        <v>5</v>
      </c>
      <c r="AC133" cm="1">
        <f t="array" ref="AC133">_xlfn.XLOOKUP(Matrix[[#This Row],[TEAM]]&amp;Matrix[[#Headers],[17]],FDR[FDR]&amp;FDR[[#Headers],[17]],FDR[17],"",0,1)</f>
        <v>4</v>
      </c>
      <c r="AD133" cm="1">
        <f t="array" ref="AD133">_xlfn.XLOOKUP(Matrix[[#This Row],[TEAM]]&amp;Matrix[[#Headers],[18]],FDR[FDR]&amp;FDR[[#Headers],[18]],FDR[18],"",0,1)</f>
        <v>2</v>
      </c>
      <c r="AE133" cm="1">
        <f t="array" ref="AE133">_xlfn.XLOOKUP(Matrix[[#This Row],[TEAM]]&amp;Matrix[[#Headers],[19]],FDR[FDR]&amp;FDR[[#Headers],[19]],FDR[19],"",0,1)</f>
        <v>4</v>
      </c>
      <c r="AF133" cm="1">
        <f t="array" ref="AF133">_xlfn.XLOOKUP(Matrix[[#This Row],[TEAM]]&amp;Matrix[[#Headers],[20]],FDR[FDR]&amp;FDR[[#Headers],[20]],FDR[20],"",0,1)</f>
        <v>3</v>
      </c>
      <c r="AG133" cm="1">
        <f t="array" ref="AG133">_xlfn.XLOOKUP(Matrix[[#This Row],[TEAM]]&amp;Matrix[[#Headers],[21]],FDR[FDR]&amp;FDR[[#Headers],[21]],FDR[21],"",0,1)</f>
        <v>2</v>
      </c>
      <c r="AH133" cm="1">
        <f t="array" ref="AH133">_xlfn.XLOOKUP(Matrix[[#This Row],[TEAM]]&amp;Matrix[[#Headers],[22]],FDR[FDR]&amp;FDR[[#Headers],[22]],FDR[22],"",0,1)</f>
        <v>5</v>
      </c>
      <c r="AI133" cm="1">
        <f t="array" ref="AI133">_xlfn.XLOOKUP(Matrix[[#This Row],[TEAM]]&amp;Matrix[[#Headers],[23]],FDR[FDR]&amp;FDR[[#Headers],[23]],FDR[23],"",0,1)</f>
        <v>1</v>
      </c>
      <c r="AJ133" cm="1">
        <f t="array" ref="AJ133">_xlfn.XLOOKUP(Matrix[[#This Row],[TEAM]]&amp;Matrix[[#Headers],[24]],FDR[FDR]&amp;FDR[[#Headers],[24]],FDR[24],"",0,1)</f>
        <v>4</v>
      </c>
      <c r="AK133" cm="1">
        <f t="array" ref="AK133">_xlfn.XLOOKUP(Matrix[[#This Row],[TEAM]]&amp;Matrix[[#Headers],[25]],FDR[FDR]&amp;FDR[[#Headers],[25]],FDR[25],"",0,1)</f>
        <v>4</v>
      </c>
      <c r="AL133" cm="1">
        <f t="array" ref="AL133">_xlfn.XLOOKUP(Matrix[[#This Row],[TEAM]]&amp;Matrix[[#Headers],[26]],FDR[FDR]&amp;FDR[[#Headers],[26]],FDR[26],"",0,1)</f>
        <v>3</v>
      </c>
      <c r="AM133" cm="1">
        <f t="array" ref="AM133">_xlfn.XLOOKUP(Matrix[[#This Row],[TEAM]]&amp;Matrix[[#Headers],[27]],FDR[FDR]&amp;FDR[[#Headers],[27]],FDR[27],"",0,1)</f>
        <v>4</v>
      </c>
      <c r="AN133" cm="1">
        <f t="array" ref="AN133">_xlfn.XLOOKUP(Matrix[[#This Row],[TEAM]]&amp;Matrix[[#Headers],[28]],FDR[FDR]&amp;FDR[[#Headers],[28]],FDR[28],"",0,1)</f>
        <v>5</v>
      </c>
      <c r="AO133" cm="1">
        <f t="array" ref="AO133">_xlfn.XLOOKUP(Matrix[[#This Row],[TEAM]]&amp;Matrix[[#Headers],[29]],FDR[FDR]&amp;FDR[[#Headers],[29]],FDR[29],"",0,1)</f>
        <v>1</v>
      </c>
      <c r="AP133" cm="1">
        <f t="array" ref="AP133">_xlfn.XLOOKUP(Matrix[[#This Row],[TEAM]]&amp;Matrix[[#Headers],[30]],FDR[FDR]&amp;FDR[[#Headers],[30]],FDR[30],"",0,1)</f>
        <v>5</v>
      </c>
      <c r="AQ133" cm="1">
        <f t="array" ref="AQ133">_xlfn.XLOOKUP(Matrix[[#This Row],[TEAM]]&amp;Matrix[[#Headers],[31]],FDR[FDR]&amp;FDR[[#Headers],[31]],FDR[31],"",0,1)</f>
        <v>4</v>
      </c>
      <c r="AR133" cm="1">
        <f t="array" ref="AR133">_xlfn.XLOOKUP(Matrix[[#This Row],[TEAM]]&amp;Matrix[[#Headers],[32]],FDR[FDR]&amp;FDR[[#Headers],[32]],FDR[32],"",0,1)</f>
        <v>4</v>
      </c>
      <c r="AS133" cm="1">
        <f t="array" ref="AS133">_xlfn.XLOOKUP(Matrix[[#This Row],[TEAM]]&amp;Matrix[[#Headers],[33]],FDR[FDR]&amp;FDR[[#Headers],[33]],FDR[33],"",0,1)</f>
        <v>4</v>
      </c>
      <c r="AT133" cm="1">
        <f t="array" ref="AT133">_xlfn.XLOOKUP(Matrix[[#This Row],[TEAM]]&amp;Matrix[[#Headers],[34]],FDR[FDR]&amp;FDR[[#Headers],[34]],FDR[34],"",0,1)</f>
        <v>4</v>
      </c>
      <c r="AU133" cm="1">
        <f t="array" ref="AU133">_xlfn.XLOOKUP(Matrix[[#This Row],[TEAM]]&amp;Matrix[[#Headers],[35]],FDR[FDR]&amp;FDR[[#Headers],[35]],FDR[35],"",0,1)</f>
        <v>4</v>
      </c>
      <c r="AV133" cm="1">
        <f t="array" ref="AV133">_xlfn.XLOOKUP(Matrix[[#This Row],[TEAM]]&amp;Matrix[[#Headers],[36]],FDR[FDR]&amp;FDR[[#Headers],[36]],FDR[36],"",0,1)</f>
        <v>4</v>
      </c>
      <c r="AW133" cm="1">
        <f t="array" ref="AW133">_xlfn.XLOOKUP(Matrix[[#This Row],[TEAM]]&amp;Matrix[[#Headers],[37]],FDR[FDR]&amp;FDR[[#Headers],[37]],FDR[37],"",0,1)</f>
        <v>1</v>
      </c>
      <c r="AX133" cm="1">
        <f t="array" ref="AX133">_xlfn.XLOOKUP(Matrix[[#This Row],[TEAM]]&amp;Matrix[[#Headers],[38]],FDR[FDR]&amp;FDR[[#Headers],[38]],FDR[38],"",0,1)</f>
        <v>5</v>
      </c>
    </row>
    <row r="134" spans="1:50" ht="22" thickTop="1" thickBot="1">
      <c r="A134" s="50" t="str">
        <f>INDEX!S$4</f>
        <v>MID</v>
      </c>
      <c r="B134" s="70" t="s">
        <v>1440</v>
      </c>
      <c r="C134" s="40" t="s">
        <v>19</v>
      </c>
      <c r="D134" s="62">
        <v>44</v>
      </c>
      <c r="E134" s="60">
        <v>2E-3</v>
      </c>
      <c r="F134" s="61">
        <v>55</v>
      </c>
      <c r="G134" s="63">
        <v>5.5</v>
      </c>
      <c r="H134" s="261">
        <f>IF(ISBLANK(I134),0,1)</f>
        <v>0</v>
      </c>
      <c r="I134" s="57"/>
      <c r="J134" s="58"/>
      <c r="K134" s="59" t="s">
        <v>430</v>
      </c>
      <c r="L134" s="59" t="s">
        <v>803</v>
      </c>
      <c r="M134" cm="1">
        <f t="array" ref="M134">_xlfn.XLOOKUP(Matrix[[#This Row],[TEAM]]&amp;Matrix[[#Headers],[1]],FDR[FDR]&amp;FDR[[#Headers],[1]],FDR[1],"",0,1)</f>
        <v>1</v>
      </c>
      <c r="N134" cm="1">
        <f t="array" ref="N134">_xlfn.XLOOKUP(Matrix[[#This Row],[TEAM]]&amp;Matrix[[#Headers],[2]],FDR[FDR]&amp;FDR[[#Headers],[2]],FDR[2],"",0,1)</f>
        <v>4</v>
      </c>
      <c r="O134" cm="1">
        <f t="array" ref="O134">_xlfn.XLOOKUP(Matrix[[#This Row],[TEAM]]&amp;Matrix[[#Headers],[3]],FDR[FDR]&amp;FDR[[#Headers],[3]],FDR[3],"",0,1)</f>
        <v>1</v>
      </c>
      <c r="P134" cm="1">
        <f t="array" ref="P134">_xlfn.XLOOKUP(Matrix[[#This Row],[TEAM]]&amp;Matrix[[#Headers],[4]],FDR[FDR]&amp;FDR[[#Headers],[4]],FDR[4],"",0,1)</f>
        <v>2</v>
      </c>
      <c r="Q134" cm="1">
        <f t="array" ref="Q134">_xlfn.XLOOKUP(Matrix[[#This Row],[TEAM]]&amp;Matrix[[#Headers],[5]],FDR[FDR]&amp;FDR[[#Headers],[5]],FDR[5],"",0,1)</f>
        <v>2</v>
      </c>
      <c r="R134" cm="1">
        <f t="array" ref="R134">_xlfn.XLOOKUP(Matrix[[#This Row],[TEAM]]&amp;Matrix[[#Headers],[6]],FDR[FDR]&amp;FDR[[#Headers],[6]],FDR[6],"",0,1)</f>
        <v>1</v>
      </c>
      <c r="S134" cm="1">
        <f t="array" ref="S134">_xlfn.XLOOKUP(Matrix[[#This Row],[TEAM]]&amp;Matrix[[#Headers],[7]],FDR[FDR]&amp;FDR[[#Headers],[7]],FDR[7],"",0,1)</f>
        <v>1</v>
      </c>
      <c r="T134" cm="1">
        <f t="array" ref="T134">_xlfn.XLOOKUP(Matrix[[#This Row],[TEAM]]&amp;Matrix[[#Headers],[8]],FDR[FDR]&amp;FDR[[#Headers],[8]],FDR[8],"",0,1)</f>
        <v>2</v>
      </c>
      <c r="U134" cm="1">
        <f t="array" ref="U134">_xlfn.XLOOKUP(Matrix[[#This Row],[TEAM]]&amp;Matrix[[#Headers],[9]],FDR[FDR]&amp;FDR[[#Headers],[9]],FDR[9],"",0,1)</f>
        <v>2</v>
      </c>
      <c r="V134" cm="1">
        <f t="array" ref="V134">_xlfn.XLOOKUP(Matrix[[#This Row],[TEAM]]&amp;Matrix[[#Headers],[10]],FDR[FDR]&amp;FDR[[#Headers],[10]],FDR[10],"",0,1)</f>
        <v>3</v>
      </c>
      <c r="W134" cm="1">
        <f t="array" ref="W134">_xlfn.XLOOKUP(Matrix[[#This Row],[TEAM]]&amp;Matrix[[#Headers],[11]],FDR[FDR]&amp;FDR[[#Headers],[11]],FDR[11],"",0,1)</f>
        <v>3</v>
      </c>
      <c r="X134" cm="1">
        <f t="array" ref="X134">_xlfn.XLOOKUP(Matrix[[#This Row],[TEAM]]&amp;Matrix[[#Headers],[12]],FDR[FDR]&amp;FDR[[#Headers],[12]],FDR[12],"",0,1)</f>
        <v>4</v>
      </c>
      <c r="Y134" cm="1">
        <f t="array" ref="Y134">_xlfn.XLOOKUP(Matrix[[#This Row],[TEAM]]&amp;Matrix[[#Headers],[13]],FDR[FDR]&amp;FDR[[#Headers],[13]],FDR[13],"",0,1)</f>
        <v>1</v>
      </c>
      <c r="Z134" cm="1">
        <f t="array" ref="Z134">_xlfn.XLOOKUP(Matrix[[#This Row],[TEAM]]&amp;Matrix[[#Headers],[14]],FDR[FDR]&amp;FDR[[#Headers],[14]],FDR[14],"",0,1)</f>
        <v>3</v>
      </c>
      <c r="AA134" cm="1">
        <f t="array" ref="AA134">_xlfn.XLOOKUP(Matrix[[#This Row],[TEAM]]&amp;Matrix[[#Headers],[15]],FDR[FDR]&amp;FDR[[#Headers],[15]],FDR[15],"",0,1)</f>
        <v>1</v>
      </c>
      <c r="AB134" cm="1">
        <f t="array" ref="AB134">_xlfn.XLOOKUP(Matrix[[#This Row],[TEAM]]&amp;Matrix[[#Headers],[16]],FDR[FDR]&amp;FDR[[#Headers],[16]],FDR[16],"",0,1)</f>
        <v>2</v>
      </c>
      <c r="AC134" cm="1">
        <f t="array" ref="AC134">_xlfn.XLOOKUP(Matrix[[#This Row],[TEAM]]&amp;Matrix[[#Headers],[17]],FDR[FDR]&amp;FDR[[#Headers],[17]],FDR[17],"",0,1)</f>
        <v>3</v>
      </c>
      <c r="AD134" cm="1">
        <f t="array" ref="AD134">_xlfn.XLOOKUP(Matrix[[#This Row],[TEAM]]&amp;Matrix[[#Headers],[18]],FDR[FDR]&amp;FDR[[#Headers],[18]],FDR[18],"",0,1)</f>
        <v>2</v>
      </c>
      <c r="AE134" cm="1">
        <f t="array" ref="AE134">_xlfn.XLOOKUP(Matrix[[#This Row],[TEAM]]&amp;Matrix[[#Headers],[19]],FDR[FDR]&amp;FDR[[#Headers],[19]],FDR[19],"",0,1)</f>
        <v>2</v>
      </c>
      <c r="AF134" cm="1">
        <f t="array" ref="AF134">_xlfn.XLOOKUP(Matrix[[#This Row],[TEAM]]&amp;Matrix[[#Headers],[20]],FDR[FDR]&amp;FDR[[#Headers],[20]],FDR[20],"",0,1)</f>
        <v>1</v>
      </c>
      <c r="AG134" cm="1">
        <f t="array" ref="AG134">_xlfn.XLOOKUP(Matrix[[#This Row],[TEAM]]&amp;Matrix[[#Headers],[21]],FDR[FDR]&amp;FDR[[#Headers],[21]],FDR[21],"",0,1)</f>
        <v>2</v>
      </c>
      <c r="AH134" cm="1">
        <f t="array" ref="AH134">_xlfn.XLOOKUP(Matrix[[#This Row],[TEAM]]&amp;Matrix[[#Headers],[22]],FDR[FDR]&amp;FDR[[#Headers],[22]],FDR[22],"",0,1)</f>
        <v>1</v>
      </c>
      <c r="AI134" cm="1">
        <f t="array" ref="AI134">_xlfn.XLOOKUP(Matrix[[#This Row],[TEAM]]&amp;Matrix[[#Headers],[23]],FDR[FDR]&amp;FDR[[#Headers],[23]],FDR[23],"",0,1)</f>
        <v>1</v>
      </c>
      <c r="AJ134" cm="1">
        <f t="array" ref="AJ134">_xlfn.XLOOKUP(Matrix[[#This Row],[TEAM]]&amp;Matrix[[#Headers],[24]],FDR[FDR]&amp;FDR[[#Headers],[24]],FDR[24],"",0,1)</f>
        <v>3</v>
      </c>
      <c r="AK134" cm="1">
        <f t="array" ref="AK134">_xlfn.XLOOKUP(Matrix[[#This Row],[TEAM]]&amp;Matrix[[#Headers],[25]],FDR[FDR]&amp;FDR[[#Headers],[25]],FDR[25],"",0,1)</f>
        <v>4</v>
      </c>
      <c r="AL134" cm="1">
        <f t="array" ref="AL134">_xlfn.XLOOKUP(Matrix[[#This Row],[TEAM]]&amp;Matrix[[#Headers],[26]],FDR[FDR]&amp;FDR[[#Headers],[26]],FDR[26],"",0,1)</f>
        <v>2</v>
      </c>
      <c r="AM134" cm="1">
        <f t="array" ref="AM134">_xlfn.XLOOKUP(Matrix[[#This Row],[TEAM]]&amp;Matrix[[#Headers],[27]],FDR[FDR]&amp;FDR[[#Headers],[27]],FDR[27],"",0,1)</f>
        <v>3</v>
      </c>
      <c r="AN134" cm="1">
        <f t="array" ref="AN134">_xlfn.XLOOKUP(Matrix[[#This Row],[TEAM]]&amp;Matrix[[#Headers],[28]],FDR[FDR]&amp;FDR[[#Headers],[28]],FDR[28],"",0,1)</f>
        <v>2</v>
      </c>
      <c r="AO134" cm="1">
        <f t="array" ref="AO134">_xlfn.XLOOKUP(Matrix[[#This Row],[TEAM]]&amp;Matrix[[#Headers],[29]],FDR[FDR]&amp;FDR[[#Headers],[29]],FDR[29],"",0,1)</f>
        <v>1</v>
      </c>
      <c r="AP134" cm="1">
        <f t="array" ref="AP134">_xlfn.XLOOKUP(Matrix[[#This Row],[TEAM]]&amp;Matrix[[#Headers],[30]],FDR[FDR]&amp;FDR[[#Headers],[30]],FDR[30],"",0,1)</f>
        <v>4</v>
      </c>
      <c r="AQ134" cm="1">
        <f t="array" ref="AQ134">_xlfn.XLOOKUP(Matrix[[#This Row],[TEAM]]&amp;Matrix[[#Headers],[31]],FDR[FDR]&amp;FDR[[#Headers],[31]],FDR[31],"",0,1)</f>
        <v>1</v>
      </c>
      <c r="AR134" cm="1">
        <f t="array" ref="AR134">_xlfn.XLOOKUP(Matrix[[#This Row],[TEAM]]&amp;Matrix[[#Headers],[32]],FDR[FDR]&amp;FDR[[#Headers],[32]],FDR[32],"",0,1)</f>
        <v>1</v>
      </c>
      <c r="AS134" cm="1">
        <f t="array" ref="AS134">_xlfn.XLOOKUP(Matrix[[#This Row],[TEAM]]&amp;Matrix[[#Headers],[33]],FDR[FDR]&amp;FDR[[#Headers],[33]],FDR[33],"",0,1)</f>
        <v>1</v>
      </c>
      <c r="AT134" cm="1">
        <f t="array" ref="AT134">_xlfn.XLOOKUP(Matrix[[#This Row],[TEAM]]&amp;Matrix[[#Headers],[34]],FDR[FDR]&amp;FDR[[#Headers],[34]],FDR[34],"",0,1)</f>
        <v>1</v>
      </c>
      <c r="AU134" cm="1">
        <f t="array" ref="AU134">_xlfn.XLOOKUP(Matrix[[#This Row],[TEAM]]&amp;Matrix[[#Headers],[35]],FDR[FDR]&amp;FDR[[#Headers],[35]],FDR[35],"",0,1)</f>
        <v>3</v>
      </c>
      <c r="AV134" cm="1">
        <f t="array" ref="AV134">_xlfn.XLOOKUP(Matrix[[#This Row],[TEAM]]&amp;Matrix[[#Headers],[36]],FDR[FDR]&amp;FDR[[#Headers],[36]],FDR[36],"",0,1)</f>
        <v>1</v>
      </c>
      <c r="AW134" cm="1">
        <f t="array" ref="AW134">_xlfn.XLOOKUP(Matrix[[#This Row],[TEAM]]&amp;Matrix[[#Headers],[37]],FDR[FDR]&amp;FDR[[#Headers],[37]],FDR[37],"",0,1)</f>
        <v>4</v>
      </c>
      <c r="AX134" cm="1">
        <f t="array" ref="AX134">_xlfn.XLOOKUP(Matrix[[#This Row],[TEAM]]&amp;Matrix[[#Headers],[38]],FDR[FDR]&amp;FDR[[#Headers],[38]],FDR[38],"",0,1)</f>
        <v>1</v>
      </c>
    </row>
    <row r="135" spans="1:50" ht="22" thickTop="1" thickBot="1">
      <c r="A135" s="50" t="str">
        <f>INDEX!S$4</f>
        <v>MID</v>
      </c>
      <c r="B135" s="70" t="s">
        <v>1456</v>
      </c>
      <c r="C135" s="40" t="s">
        <v>29</v>
      </c>
      <c r="D135" s="62">
        <v>31</v>
      </c>
      <c r="E135" s="60">
        <v>1E-3</v>
      </c>
      <c r="F135" s="61">
        <v>30.7</v>
      </c>
      <c r="G135" s="63">
        <v>5.5</v>
      </c>
      <c r="H135" s="261">
        <f>IF(ISBLANK(I135),0,1)</f>
        <v>0</v>
      </c>
      <c r="I135" s="57"/>
      <c r="J135" s="58"/>
      <c r="K135" s="59" t="s">
        <v>111</v>
      </c>
      <c r="L135" s="59" t="s">
        <v>270</v>
      </c>
      <c r="M135" cm="1">
        <f t="array" ref="M135">_xlfn.XLOOKUP(Matrix[[#This Row],[TEAM]]&amp;Matrix[[#Headers],[1]],FDR[FDR]&amp;FDR[[#Headers],[1]],FDR[1],"",0,1)</f>
        <v>1</v>
      </c>
      <c r="N135" cm="1">
        <f t="array" ref="N135">_xlfn.XLOOKUP(Matrix[[#This Row],[TEAM]]&amp;Matrix[[#Headers],[2]],FDR[FDR]&amp;FDR[[#Headers],[2]],FDR[2],"",0,1)</f>
        <v>2</v>
      </c>
      <c r="O135" cm="1">
        <f t="array" ref="O135">_xlfn.XLOOKUP(Matrix[[#This Row],[TEAM]]&amp;Matrix[[#Headers],[3]],FDR[FDR]&amp;FDR[[#Headers],[3]],FDR[3],"",0,1)</f>
        <v>2</v>
      </c>
      <c r="P135" cm="1">
        <f t="array" ref="P135">_xlfn.XLOOKUP(Matrix[[#This Row],[TEAM]]&amp;Matrix[[#Headers],[4]],FDR[FDR]&amp;FDR[[#Headers],[4]],FDR[4],"",0,1)</f>
        <v>2</v>
      </c>
      <c r="Q135" cm="1">
        <f t="array" ref="Q135">_xlfn.XLOOKUP(Matrix[[#This Row],[TEAM]]&amp;Matrix[[#Headers],[5]],FDR[FDR]&amp;FDR[[#Headers],[5]],FDR[5],"",0,1)</f>
        <v>4</v>
      </c>
      <c r="R135" cm="1">
        <f t="array" ref="R135">_xlfn.XLOOKUP(Matrix[[#This Row],[TEAM]]&amp;Matrix[[#Headers],[6]],FDR[FDR]&amp;FDR[[#Headers],[6]],FDR[6],"",0,1)</f>
        <v>1</v>
      </c>
      <c r="S135" cm="1">
        <f t="array" ref="S135">_xlfn.XLOOKUP(Matrix[[#This Row],[TEAM]]&amp;Matrix[[#Headers],[7]],FDR[FDR]&amp;FDR[[#Headers],[7]],FDR[7],"",0,1)</f>
        <v>2</v>
      </c>
      <c r="T135" cm="1">
        <f t="array" ref="T135">_xlfn.XLOOKUP(Matrix[[#This Row],[TEAM]]&amp;Matrix[[#Headers],[8]],FDR[FDR]&amp;FDR[[#Headers],[8]],FDR[8],"",0,1)</f>
        <v>1</v>
      </c>
      <c r="U135" cm="1">
        <f t="array" ref="U135">_xlfn.XLOOKUP(Matrix[[#This Row],[TEAM]]&amp;Matrix[[#Headers],[9]],FDR[FDR]&amp;FDR[[#Headers],[9]],FDR[9],"",0,1)</f>
        <v>3</v>
      </c>
      <c r="V135" cm="1">
        <f t="array" ref="V135">_xlfn.XLOOKUP(Matrix[[#This Row],[TEAM]]&amp;Matrix[[#Headers],[10]],FDR[FDR]&amp;FDR[[#Headers],[10]],FDR[10],"",0,1)</f>
        <v>1</v>
      </c>
      <c r="W135" cm="1">
        <f t="array" ref="W135">_xlfn.XLOOKUP(Matrix[[#This Row],[TEAM]]&amp;Matrix[[#Headers],[11]],FDR[FDR]&amp;FDR[[#Headers],[11]],FDR[11],"",0,1)</f>
        <v>3</v>
      </c>
      <c r="X135" cm="1">
        <f t="array" ref="X135">_xlfn.XLOOKUP(Matrix[[#This Row],[TEAM]]&amp;Matrix[[#Headers],[12]],FDR[FDR]&amp;FDR[[#Headers],[12]],FDR[12],"",0,1)</f>
        <v>3</v>
      </c>
      <c r="Y135" cm="1">
        <f t="array" ref="Y135">_xlfn.XLOOKUP(Matrix[[#This Row],[TEAM]]&amp;Matrix[[#Headers],[13]],FDR[FDR]&amp;FDR[[#Headers],[13]],FDR[13],"",0,1)</f>
        <v>1</v>
      </c>
      <c r="Z135" cm="1">
        <f t="array" ref="Z135">_xlfn.XLOOKUP(Matrix[[#This Row],[TEAM]]&amp;Matrix[[#Headers],[14]],FDR[FDR]&amp;FDR[[#Headers],[14]],FDR[14],"",0,1)</f>
        <v>2</v>
      </c>
      <c r="AA135" cm="1">
        <f t="array" ref="AA135">_xlfn.XLOOKUP(Matrix[[#This Row],[TEAM]]&amp;Matrix[[#Headers],[15]],FDR[FDR]&amp;FDR[[#Headers],[15]],FDR[15],"",0,1)</f>
        <v>1</v>
      </c>
      <c r="AB135" cm="1">
        <f t="array" ref="AB135">_xlfn.XLOOKUP(Matrix[[#This Row],[TEAM]]&amp;Matrix[[#Headers],[16]],FDR[FDR]&amp;FDR[[#Headers],[16]],FDR[16],"",0,1)</f>
        <v>2</v>
      </c>
      <c r="AC135" cm="1">
        <f t="array" ref="AC135">_xlfn.XLOOKUP(Matrix[[#This Row],[TEAM]]&amp;Matrix[[#Headers],[17]],FDR[FDR]&amp;FDR[[#Headers],[17]],FDR[17],"",0,1)</f>
        <v>1</v>
      </c>
      <c r="AD135" cm="1">
        <f t="array" ref="AD135">_xlfn.XLOOKUP(Matrix[[#This Row],[TEAM]]&amp;Matrix[[#Headers],[18]],FDR[FDR]&amp;FDR[[#Headers],[18]],FDR[18],"",0,1)</f>
        <v>2</v>
      </c>
      <c r="AE135" cm="1">
        <f t="array" ref="AE135">_xlfn.XLOOKUP(Matrix[[#This Row],[TEAM]]&amp;Matrix[[#Headers],[19]],FDR[FDR]&amp;FDR[[#Headers],[19]],FDR[19],"",0,1)</f>
        <v>1</v>
      </c>
      <c r="AF135" cm="1">
        <f t="array" ref="AF135">_xlfn.XLOOKUP(Matrix[[#This Row],[TEAM]]&amp;Matrix[[#Headers],[20]],FDR[FDR]&amp;FDR[[#Headers],[20]],FDR[20],"",0,1)</f>
        <v>2</v>
      </c>
      <c r="AG135" cm="1">
        <f t="array" ref="AG135">_xlfn.XLOOKUP(Matrix[[#This Row],[TEAM]]&amp;Matrix[[#Headers],[21]],FDR[FDR]&amp;FDR[[#Headers],[21]],FDR[21],"",0,1)</f>
        <v>1</v>
      </c>
      <c r="AH135" cm="1">
        <f t="array" ref="AH135">_xlfn.XLOOKUP(Matrix[[#This Row],[TEAM]]&amp;Matrix[[#Headers],[22]],FDR[FDR]&amp;FDR[[#Headers],[22]],FDR[22],"",0,1)</f>
        <v>3</v>
      </c>
      <c r="AI135" cm="1">
        <f t="array" ref="AI135">_xlfn.XLOOKUP(Matrix[[#This Row],[TEAM]]&amp;Matrix[[#Headers],[23]],FDR[FDR]&amp;FDR[[#Headers],[23]],FDR[23],"",0,1)</f>
        <v>1</v>
      </c>
      <c r="AJ135" cm="1">
        <f t="array" ref="AJ135">_xlfn.XLOOKUP(Matrix[[#This Row],[TEAM]]&amp;Matrix[[#Headers],[24]],FDR[FDR]&amp;FDR[[#Headers],[24]],FDR[24],"",0,1)</f>
        <v>3</v>
      </c>
      <c r="AK135" cm="1">
        <f t="array" ref="AK135">_xlfn.XLOOKUP(Matrix[[#This Row],[TEAM]]&amp;Matrix[[#Headers],[25]],FDR[FDR]&amp;FDR[[#Headers],[25]],FDR[25],"",0,1)</f>
        <v>4</v>
      </c>
      <c r="AL135" cm="1">
        <f t="array" ref="AL135">_xlfn.XLOOKUP(Matrix[[#This Row],[TEAM]]&amp;Matrix[[#Headers],[26]],FDR[FDR]&amp;FDR[[#Headers],[26]],FDR[26],"",0,1)</f>
        <v>1</v>
      </c>
      <c r="AM135" cm="1">
        <f t="array" ref="AM135">_xlfn.XLOOKUP(Matrix[[#This Row],[TEAM]]&amp;Matrix[[#Headers],[27]],FDR[FDR]&amp;FDR[[#Headers],[27]],FDR[27],"",0,1)</f>
        <v>2</v>
      </c>
      <c r="AN135" cm="1">
        <f t="array" ref="AN135">_xlfn.XLOOKUP(Matrix[[#This Row],[TEAM]]&amp;Matrix[[#Headers],[28]],FDR[FDR]&amp;FDR[[#Headers],[28]],FDR[28],"",0,1)</f>
        <v>1</v>
      </c>
      <c r="AO135" cm="1">
        <f t="array" ref="AO135">_xlfn.XLOOKUP(Matrix[[#This Row],[TEAM]]&amp;Matrix[[#Headers],[29]],FDR[FDR]&amp;FDR[[#Headers],[29]],FDR[29],"",0,1)</f>
        <v>1</v>
      </c>
      <c r="AP135" cm="1">
        <f t="array" ref="AP135">_xlfn.XLOOKUP(Matrix[[#This Row],[TEAM]]&amp;Matrix[[#Headers],[30]],FDR[FDR]&amp;FDR[[#Headers],[30]],FDR[30],"",0,1)</f>
        <v>2</v>
      </c>
      <c r="AQ135" cm="1">
        <f t="array" ref="AQ135">_xlfn.XLOOKUP(Matrix[[#This Row],[TEAM]]&amp;Matrix[[#Headers],[31]],FDR[FDR]&amp;FDR[[#Headers],[31]],FDR[31],"",0,1)</f>
        <v>1</v>
      </c>
      <c r="AR135" cm="1">
        <f t="array" ref="AR135">_xlfn.XLOOKUP(Matrix[[#This Row],[TEAM]]&amp;Matrix[[#Headers],[32]],FDR[FDR]&amp;FDR[[#Headers],[32]],FDR[32],"",0,1)</f>
        <v>3</v>
      </c>
      <c r="AS135" cm="1">
        <f t="array" ref="AS135">_xlfn.XLOOKUP(Matrix[[#This Row],[TEAM]]&amp;Matrix[[#Headers],[33]],FDR[FDR]&amp;FDR[[#Headers],[33]],FDR[33],"",0,1)</f>
        <v>3</v>
      </c>
      <c r="AT135" cm="1">
        <f t="array" ref="AT135">_xlfn.XLOOKUP(Matrix[[#This Row],[TEAM]]&amp;Matrix[[#Headers],[34]],FDR[FDR]&amp;FDR[[#Headers],[34]],FDR[34],"",0,1)</f>
        <v>1</v>
      </c>
      <c r="AU135" cm="1">
        <f t="array" ref="AU135">_xlfn.XLOOKUP(Matrix[[#This Row],[TEAM]]&amp;Matrix[[#Headers],[35]],FDR[FDR]&amp;FDR[[#Headers],[35]],FDR[35],"",0,1)</f>
        <v>2</v>
      </c>
      <c r="AV135" cm="1">
        <f t="array" ref="AV135">_xlfn.XLOOKUP(Matrix[[#This Row],[TEAM]]&amp;Matrix[[#Headers],[36]],FDR[FDR]&amp;FDR[[#Headers],[36]],FDR[36],"",0,1)</f>
        <v>1</v>
      </c>
      <c r="AW135" cm="1">
        <f t="array" ref="AW135">_xlfn.XLOOKUP(Matrix[[#This Row],[TEAM]]&amp;Matrix[[#Headers],[37]],FDR[FDR]&amp;FDR[[#Headers],[37]],FDR[37],"",0,1)</f>
        <v>2</v>
      </c>
      <c r="AX135" cm="1">
        <f t="array" ref="AX135">_xlfn.XLOOKUP(Matrix[[#This Row],[TEAM]]&amp;Matrix[[#Headers],[38]],FDR[FDR]&amp;FDR[[#Headers],[38]],FDR[38],"",0,1)</f>
        <v>2</v>
      </c>
    </row>
    <row r="136" spans="1:50" ht="22" thickTop="1" thickBot="1">
      <c r="A136" s="50" t="str">
        <f>INDEX!S$4</f>
        <v>MID</v>
      </c>
      <c r="B136" s="70" t="s">
        <v>1457</v>
      </c>
      <c r="C136" s="40" t="s">
        <v>29</v>
      </c>
      <c r="D136" s="62">
        <v>3</v>
      </c>
      <c r="E136" s="60">
        <v>1E-3</v>
      </c>
      <c r="F136" s="61">
        <v>1.6</v>
      </c>
      <c r="G136" s="63">
        <v>5.5</v>
      </c>
      <c r="H136" s="261">
        <f>IF(ISBLANK(I136),0,1)</f>
        <v>0</v>
      </c>
      <c r="I136" s="57"/>
      <c r="J136" s="58"/>
      <c r="K136" s="59" t="s">
        <v>598</v>
      </c>
      <c r="L136" s="59" t="s">
        <v>269</v>
      </c>
      <c r="M136" cm="1">
        <f t="array" ref="M136">_xlfn.XLOOKUP(Matrix[[#This Row],[TEAM]]&amp;Matrix[[#Headers],[1]],FDR[FDR]&amp;FDR[[#Headers],[1]],FDR[1],"",0,1)</f>
        <v>1</v>
      </c>
      <c r="N136" cm="1">
        <f t="array" ref="N136">_xlfn.XLOOKUP(Matrix[[#This Row],[TEAM]]&amp;Matrix[[#Headers],[2]],FDR[FDR]&amp;FDR[[#Headers],[2]],FDR[2],"",0,1)</f>
        <v>2</v>
      </c>
      <c r="O136" cm="1">
        <f t="array" ref="O136">_xlfn.XLOOKUP(Matrix[[#This Row],[TEAM]]&amp;Matrix[[#Headers],[3]],FDR[FDR]&amp;FDR[[#Headers],[3]],FDR[3],"",0,1)</f>
        <v>2</v>
      </c>
      <c r="P136" cm="1">
        <f t="array" ref="P136">_xlfn.XLOOKUP(Matrix[[#This Row],[TEAM]]&amp;Matrix[[#Headers],[4]],FDR[FDR]&amp;FDR[[#Headers],[4]],FDR[4],"",0,1)</f>
        <v>2</v>
      </c>
      <c r="Q136" cm="1">
        <f t="array" ref="Q136">_xlfn.XLOOKUP(Matrix[[#This Row],[TEAM]]&amp;Matrix[[#Headers],[5]],FDR[FDR]&amp;FDR[[#Headers],[5]],FDR[5],"",0,1)</f>
        <v>4</v>
      </c>
      <c r="R136" cm="1">
        <f t="array" ref="R136">_xlfn.XLOOKUP(Matrix[[#This Row],[TEAM]]&amp;Matrix[[#Headers],[6]],FDR[FDR]&amp;FDR[[#Headers],[6]],FDR[6],"",0,1)</f>
        <v>1</v>
      </c>
      <c r="S136" cm="1">
        <f t="array" ref="S136">_xlfn.XLOOKUP(Matrix[[#This Row],[TEAM]]&amp;Matrix[[#Headers],[7]],FDR[FDR]&amp;FDR[[#Headers],[7]],FDR[7],"",0,1)</f>
        <v>2</v>
      </c>
      <c r="T136" cm="1">
        <f t="array" ref="T136">_xlfn.XLOOKUP(Matrix[[#This Row],[TEAM]]&amp;Matrix[[#Headers],[8]],FDR[FDR]&amp;FDR[[#Headers],[8]],FDR[8],"",0,1)</f>
        <v>1</v>
      </c>
      <c r="U136" cm="1">
        <f t="array" ref="U136">_xlfn.XLOOKUP(Matrix[[#This Row],[TEAM]]&amp;Matrix[[#Headers],[9]],FDR[FDR]&amp;FDR[[#Headers],[9]],FDR[9],"",0,1)</f>
        <v>3</v>
      </c>
      <c r="V136" cm="1">
        <f t="array" ref="V136">_xlfn.XLOOKUP(Matrix[[#This Row],[TEAM]]&amp;Matrix[[#Headers],[10]],FDR[FDR]&amp;FDR[[#Headers],[10]],FDR[10],"",0,1)</f>
        <v>1</v>
      </c>
      <c r="W136" cm="1">
        <f t="array" ref="W136">_xlfn.XLOOKUP(Matrix[[#This Row],[TEAM]]&amp;Matrix[[#Headers],[11]],FDR[FDR]&amp;FDR[[#Headers],[11]],FDR[11],"",0,1)</f>
        <v>3</v>
      </c>
      <c r="X136" cm="1">
        <f t="array" ref="X136">_xlfn.XLOOKUP(Matrix[[#This Row],[TEAM]]&amp;Matrix[[#Headers],[12]],FDR[FDR]&amp;FDR[[#Headers],[12]],FDR[12],"",0,1)</f>
        <v>3</v>
      </c>
      <c r="Y136" cm="1">
        <f t="array" ref="Y136">_xlfn.XLOOKUP(Matrix[[#This Row],[TEAM]]&amp;Matrix[[#Headers],[13]],FDR[FDR]&amp;FDR[[#Headers],[13]],FDR[13],"",0,1)</f>
        <v>1</v>
      </c>
      <c r="Z136" cm="1">
        <f t="array" ref="Z136">_xlfn.XLOOKUP(Matrix[[#This Row],[TEAM]]&amp;Matrix[[#Headers],[14]],FDR[FDR]&amp;FDR[[#Headers],[14]],FDR[14],"",0,1)</f>
        <v>2</v>
      </c>
      <c r="AA136" cm="1">
        <f t="array" ref="AA136">_xlfn.XLOOKUP(Matrix[[#This Row],[TEAM]]&amp;Matrix[[#Headers],[15]],FDR[FDR]&amp;FDR[[#Headers],[15]],FDR[15],"",0,1)</f>
        <v>1</v>
      </c>
      <c r="AB136" cm="1">
        <f t="array" ref="AB136">_xlfn.XLOOKUP(Matrix[[#This Row],[TEAM]]&amp;Matrix[[#Headers],[16]],FDR[FDR]&amp;FDR[[#Headers],[16]],FDR[16],"",0,1)</f>
        <v>2</v>
      </c>
      <c r="AC136" cm="1">
        <f t="array" ref="AC136">_xlfn.XLOOKUP(Matrix[[#This Row],[TEAM]]&amp;Matrix[[#Headers],[17]],FDR[FDR]&amp;FDR[[#Headers],[17]],FDR[17],"",0,1)</f>
        <v>1</v>
      </c>
      <c r="AD136" cm="1">
        <f t="array" ref="AD136">_xlfn.XLOOKUP(Matrix[[#This Row],[TEAM]]&amp;Matrix[[#Headers],[18]],FDR[FDR]&amp;FDR[[#Headers],[18]],FDR[18],"",0,1)</f>
        <v>2</v>
      </c>
      <c r="AE136" cm="1">
        <f t="array" ref="AE136">_xlfn.XLOOKUP(Matrix[[#This Row],[TEAM]]&amp;Matrix[[#Headers],[19]],FDR[FDR]&amp;FDR[[#Headers],[19]],FDR[19],"",0,1)</f>
        <v>1</v>
      </c>
      <c r="AF136" cm="1">
        <f t="array" ref="AF136">_xlfn.XLOOKUP(Matrix[[#This Row],[TEAM]]&amp;Matrix[[#Headers],[20]],FDR[FDR]&amp;FDR[[#Headers],[20]],FDR[20],"",0,1)</f>
        <v>2</v>
      </c>
      <c r="AG136" cm="1">
        <f t="array" ref="AG136">_xlfn.XLOOKUP(Matrix[[#This Row],[TEAM]]&amp;Matrix[[#Headers],[21]],FDR[FDR]&amp;FDR[[#Headers],[21]],FDR[21],"",0,1)</f>
        <v>1</v>
      </c>
      <c r="AH136" cm="1">
        <f t="array" ref="AH136">_xlfn.XLOOKUP(Matrix[[#This Row],[TEAM]]&amp;Matrix[[#Headers],[22]],FDR[FDR]&amp;FDR[[#Headers],[22]],FDR[22],"",0,1)</f>
        <v>3</v>
      </c>
      <c r="AI136" cm="1">
        <f t="array" ref="AI136">_xlfn.XLOOKUP(Matrix[[#This Row],[TEAM]]&amp;Matrix[[#Headers],[23]],FDR[FDR]&amp;FDR[[#Headers],[23]],FDR[23],"",0,1)</f>
        <v>1</v>
      </c>
      <c r="AJ136" cm="1">
        <f t="array" ref="AJ136">_xlfn.XLOOKUP(Matrix[[#This Row],[TEAM]]&amp;Matrix[[#Headers],[24]],FDR[FDR]&amp;FDR[[#Headers],[24]],FDR[24],"",0,1)</f>
        <v>3</v>
      </c>
      <c r="AK136" cm="1">
        <f t="array" ref="AK136">_xlfn.XLOOKUP(Matrix[[#This Row],[TEAM]]&amp;Matrix[[#Headers],[25]],FDR[FDR]&amp;FDR[[#Headers],[25]],FDR[25],"",0,1)</f>
        <v>4</v>
      </c>
      <c r="AL136" cm="1">
        <f t="array" ref="AL136">_xlfn.XLOOKUP(Matrix[[#This Row],[TEAM]]&amp;Matrix[[#Headers],[26]],FDR[FDR]&amp;FDR[[#Headers],[26]],FDR[26],"",0,1)</f>
        <v>1</v>
      </c>
      <c r="AM136" cm="1">
        <f t="array" ref="AM136">_xlfn.XLOOKUP(Matrix[[#This Row],[TEAM]]&amp;Matrix[[#Headers],[27]],FDR[FDR]&amp;FDR[[#Headers],[27]],FDR[27],"",0,1)</f>
        <v>2</v>
      </c>
      <c r="AN136" cm="1">
        <f t="array" ref="AN136">_xlfn.XLOOKUP(Matrix[[#This Row],[TEAM]]&amp;Matrix[[#Headers],[28]],FDR[FDR]&amp;FDR[[#Headers],[28]],FDR[28],"",0,1)</f>
        <v>1</v>
      </c>
      <c r="AO136" cm="1">
        <f t="array" ref="AO136">_xlfn.XLOOKUP(Matrix[[#This Row],[TEAM]]&amp;Matrix[[#Headers],[29]],FDR[FDR]&amp;FDR[[#Headers],[29]],FDR[29],"",0,1)</f>
        <v>1</v>
      </c>
      <c r="AP136" cm="1">
        <f t="array" ref="AP136">_xlfn.XLOOKUP(Matrix[[#This Row],[TEAM]]&amp;Matrix[[#Headers],[30]],FDR[FDR]&amp;FDR[[#Headers],[30]],FDR[30],"",0,1)</f>
        <v>2</v>
      </c>
      <c r="AQ136" cm="1">
        <f t="array" ref="AQ136">_xlfn.XLOOKUP(Matrix[[#This Row],[TEAM]]&amp;Matrix[[#Headers],[31]],FDR[FDR]&amp;FDR[[#Headers],[31]],FDR[31],"",0,1)</f>
        <v>1</v>
      </c>
      <c r="AR136" cm="1">
        <f t="array" ref="AR136">_xlfn.XLOOKUP(Matrix[[#This Row],[TEAM]]&amp;Matrix[[#Headers],[32]],FDR[FDR]&amp;FDR[[#Headers],[32]],FDR[32],"",0,1)</f>
        <v>3</v>
      </c>
      <c r="AS136" cm="1">
        <f t="array" ref="AS136">_xlfn.XLOOKUP(Matrix[[#This Row],[TEAM]]&amp;Matrix[[#Headers],[33]],FDR[FDR]&amp;FDR[[#Headers],[33]],FDR[33],"",0,1)</f>
        <v>3</v>
      </c>
      <c r="AT136" cm="1">
        <f t="array" ref="AT136">_xlfn.XLOOKUP(Matrix[[#This Row],[TEAM]]&amp;Matrix[[#Headers],[34]],FDR[FDR]&amp;FDR[[#Headers],[34]],FDR[34],"",0,1)</f>
        <v>1</v>
      </c>
      <c r="AU136" cm="1">
        <f t="array" ref="AU136">_xlfn.XLOOKUP(Matrix[[#This Row],[TEAM]]&amp;Matrix[[#Headers],[35]],FDR[FDR]&amp;FDR[[#Headers],[35]],FDR[35],"",0,1)</f>
        <v>2</v>
      </c>
      <c r="AV136" cm="1">
        <f t="array" ref="AV136">_xlfn.XLOOKUP(Matrix[[#This Row],[TEAM]]&amp;Matrix[[#Headers],[36]],FDR[FDR]&amp;FDR[[#Headers],[36]],FDR[36],"",0,1)</f>
        <v>1</v>
      </c>
      <c r="AW136" cm="1">
        <f t="array" ref="AW136">_xlfn.XLOOKUP(Matrix[[#This Row],[TEAM]]&amp;Matrix[[#Headers],[37]],FDR[FDR]&amp;FDR[[#Headers],[37]],FDR[37],"",0,1)</f>
        <v>2</v>
      </c>
      <c r="AX136" cm="1">
        <f t="array" ref="AX136">_xlfn.XLOOKUP(Matrix[[#This Row],[TEAM]]&amp;Matrix[[#Headers],[38]],FDR[FDR]&amp;FDR[[#Headers],[38]],FDR[38],"",0,1)</f>
        <v>2</v>
      </c>
    </row>
    <row r="137" spans="1:50" ht="22" thickTop="1" thickBot="1">
      <c r="A137" s="50" t="str">
        <f>INDEX!S$4</f>
        <v>MID</v>
      </c>
      <c r="B137" s="70" t="s">
        <v>1407</v>
      </c>
      <c r="C137" s="40" t="s">
        <v>20</v>
      </c>
      <c r="D137" s="62">
        <v>0</v>
      </c>
      <c r="E137" s="60">
        <v>0.02</v>
      </c>
      <c r="F137" s="61">
        <v>0</v>
      </c>
      <c r="G137" s="63">
        <v>5.5</v>
      </c>
      <c r="H137" s="261">
        <f>IF(ISBLANK(I137),0,1)</f>
        <v>0</v>
      </c>
      <c r="I137" s="57"/>
      <c r="J137" s="58"/>
      <c r="K137" s="59" t="s">
        <v>353</v>
      </c>
      <c r="L137" s="59" t="s">
        <v>671</v>
      </c>
      <c r="M137" cm="1">
        <f t="array" ref="M137">_xlfn.XLOOKUP(Matrix[[#This Row],[TEAM]]&amp;Matrix[[#Headers],[1]],FDR[FDR]&amp;FDR[[#Headers],[1]],FDR[1],"",0,1)</f>
        <v>3</v>
      </c>
      <c r="N137" cm="1">
        <f t="array" ref="N137">_xlfn.XLOOKUP(Matrix[[#This Row],[TEAM]]&amp;Matrix[[#Headers],[2]],FDR[FDR]&amp;FDR[[#Headers],[2]],FDR[2],"",0,1)</f>
        <v>1</v>
      </c>
      <c r="O137" cm="1">
        <f t="array" ref="O137">_xlfn.XLOOKUP(Matrix[[#This Row],[TEAM]]&amp;Matrix[[#Headers],[3]],FDR[FDR]&amp;FDR[[#Headers],[3]],FDR[3],"",0,1)</f>
        <v>4</v>
      </c>
      <c r="P137" cm="1">
        <f t="array" ref="P137">_xlfn.XLOOKUP(Matrix[[#This Row],[TEAM]]&amp;Matrix[[#Headers],[4]],FDR[FDR]&amp;FDR[[#Headers],[4]],FDR[4],"",0,1)</f>
        <v>1</v>
      </c>
      <c r="Q137" cm="1">
        <f t="array" ref="Q137">_xlfn.XLOOKUP(Matrix[[#This Row],[TEAM]]&amp;Matrix[[#Headers],[5]],FDR[FDR]&amp;FDR[[#Headers],[5]],FDR[5],"",0,1)</f>
        <v>3</v>
      </c>
      <c r="R137" cm="1">
        <f t="array" ref="R137">_xlfn.XLOOKUP(Matrix[[#This Row],[TEAM]]&amp;Matrix[[#Headers],[6]],FDR[FDR]&amp;FDR[[#Headers],[6]],FDR[6],"",0,1)</f>
        <v>3</v>
      </c>
      <c r="S137" cm="1">
        <f t="array" ref="S137">_xlfn.XLOOKUP(Matrix[[#This Row],[TEAM]]&amp;Matrix[[#Headers],[7]],FDR[FDR]&amp;FDR[[#Headers],[7]],FDR[7],"",0,1)</f>
        <v>1</v>
      </c>
      <c r="T137" cm="1">
        <f t="array" ref="T137">_xlfn.XLOOKUP(Matrix[[#This Row],[TEAM]]&amp;Matrix[[#Headers],[8]],FDR[FDR]&amp;FDR[[#Headers],[8]],FDR[8],"",0,1)</f>
        <v>2</v>
      </c>
      <c r="U137" cm="1">
        <f t="array" ref="U137">_xlfn.XLOOKUP(Matrix[[#This Row],[TEAM]]&amp;Matrix[[#Headers],[9]],FDR[FDR]&amp;FDR[[#Headers],[9]],FDR[9],"",0,1)</f>
        <v>1</v>
      </c>
      <c r="V137" cm="1">
        <f t="array" ref="V137">_xlfn.XLOOKUP(Matrix[[#This Row],[TEAM]]&amp;Matrix[[#Headers],[10]],FDR[FDR]&amp;FDR[[#Headers],[10]],FDR[10],"",0,1)</f>
        <v>1</v>
      </c>
      <c r="W137" cm="1">
        <f t="array" ref="W137">_xlfn.XLOOKUP(Matrix[[#This Row],[TEAM]]&amp;Matrix[[#Headers],[11]],FDR[FDR]&amp;FDR[[#Headers],[11]],FDR[11],"",0,1)</f>
        <v>1</v>
      </c>
      <c r="X137" cm="1">
        <f t="array" ref="X137">_xlfn.XLOOKUP(Matrix[[#This Row],[TEAM]]&amp;Matrix[[#Headers],[12]],FDR[FDR]&amp;FDR[[#Headers],[12]],FDR[12],"",0,1)</f>
        <v>2</v>
      </c>
      <c r="Y137" cm="1">
        <f t="array" ref="Y137">_xlfn.XLOOKUP(Matrix[[#This Row],[TEAM]]&amp;Matrix[[#Headers],[13]],FDR[FDR]&amp;FDR[[#Headers],[13]],FDR[13],"",0,1)</f>
        <v>3</v>
      </c>
      <c r="Z137" cm="1">
        <f t="array" ref="Z137">_xlfn.XLOOKUP(Matrix[[#This Row],[TEAM]]&amp;Matrix[[#Headers],[14]],FDR[FDR]&amp;FDR[[#Headers],[14]],FDR[14],"",0,1)</f>
        <v>1</v>
      </c>
      <c r="AA137" cm="1">
        <f t="array" ref="AA137">_xlfn.XLOOKUP(Matrix[[#This Row],[TEAM]]&amp;Matrix[[#Headers],[15]],FDR[FDR]&amp;FDR[[#Headers],[15]],FDR[15],"",0,1)</f>
        <v>3</v>
      </c>
      <c r="AB137" cm="1">
        <f t="array" ref="AB137">_xlfn.XLOOKUP(Matrix[[#This Row],[TEAM]]&amp;Matrix[[#Headers],[16]],FDR[FDR]&amp;FDR[[#Headers],[16]],FDR[16],"",0,1)</f>
        <v>1</v>
      </c>
      <c r="AC137" cm="1">
        <f t="array" ref="AC137">_xlfn.XLOOKUP(Matrix[[#This Row],[TEAM]]&amp;Matrix[[#Headers],[17]],FDR[FDR]&amp;FDR[[#Headers],[17]],FDR[17],"",0,1)</f>
        <v>2</v>
      </c>
      <c r="AD137" cm="1">
        <f t="array" ref="AD137">_xlfn.XLOOKUP(Matrix[[#This Row],[TEAM]]&amp;Matrix[[#Headers],[18]],FDR[FDR]&amp;FDR[[#Headers],[18]],FDR[18],"",0,1)</f>
        <v>1</v>
      </c>
      <c r="AE137" cm="1">
        <f t="array" ref="AE137">_xlfn.XLOOKUP(Matrix[[#This Row],[TEAM]]&amp;Matrix[[#Headers],[19]],FDR[FDR]&amp;FDR[[#Headers],[19]],FDR[19],"",0,1)</f>
        <v>2</v>
      </c>
      <c r="AF137" cm="1">
        <f t="array" ref="AF137">_xlfn.XLOOKUP(Matrix[[#This Row],[TEAM]]&amp;Matrix[[#Headers],[20]],FDR[FDR]&amp;FDR[[#Headers],[20]],FDR[20],"",0,1)</f>
        <v>2</v>
      </c>
      <c r="AG137" cm="1">
        <f t="array" ref="AG137">_xlfn.XLOOKUP(Matrix[[#This Row],[TEAM]]&amp;Matrix[[#Headers],[21]],FDR[FDR]&amp;FDR[[#Headers],[21]],FDR[21],"",0,1)</f>
        <v>3</v>
      </c>
      <c r="AH137" cm="1">
        <f t="array" ref="AH137">_xlfn.XLOOKUP(Matrix[[#This Row],[TEAM]]&amp;Matrix[[#Headers],[22]],FDR[FDR]&amp;FDR[[#Headers],[22]],FDR[22],"",0,1)</f>
        <v>2</v>
      </c>
      <c r="AI137" cm="1">
        <f t="array" ref="AI137">_xlfn.XLOOKUP(Matrix[[#This Row],[TEAM]]&amp;Matrix[[#Headers],[23]],FDR[FDR]&amp;FDR[[#Headers],[23]],FDR[23],"",0,1)</f>
        <v>2</v>
      </c>
      <c r="AJ137" cm="1">
        <f t="array" ref="AJ137">_xlfn.XLOOKUP(Matrix[[#This Row],[TEAM]]&amp;Matrix[[#Headers],[24]],FDR[FDR]&amp;FDR[[#Headers],[24]],FDR[24],"",0,1)</f>
        <v>1</v>
      </c>
      <c r="AK137" cm="1">
        <f t="array" ref="AK137">_xlfn.XLOOKUP(Matrix[[#This Row],[TEAM]]&amp;Matrix[[#Headers],[25]],FDR[FDR]&amp;FDR[[#Headers],[25]],FDR[25],"",0,1)</f>
        <v>1</v>
      </c>
      <c r="AL137" cm="1">
        <f t="array" ref="AL137">_xlfn.XLOOKUP(Matrix[[#This Row],[TEAM]]&amp;Matrix[[#Headers],[26]],FDR[FDR]&amp;FDR[[#Headers],[26]],FDR[26],"",0,1)</f>
        <v>2</v>
      </c>
      <c r="AM137" cm="1">
        <f t="array" ref="AM137">_xlfn.XLOOKUP(Matrix[[#This Row],[TEAM]]&amp;Matrix[[#Headers],[27]],FDR[FDR]&amp;FDR[[#Headers],[27]],FDR[27],"",0,1)</f>
        <v>3</v>
      </c>
      <c r="AN137" cm="1">
        <f t="array" ref="AN137">_xlfn.XLOOKUP(Matrix[[#This Row],[TEAM]]&amp;Matrix[[#Headers],[28]],FDR[FDR]&amp;FDR[[#Headers],[28]],FDR[28],"",0,1)</f>
        <v>2</v>
      </c>
      <c r="AO137" cm="1">
        <f t="array" ref="AO137">_xlfn.XLOOKUP(Matrix[[#This Row],[TEAM]]&amp;Matrix[[#Headers],[29]],FDR[FDR]&amp;FDR[[#Headers],[29]],FDR[29],"",0,1)</f>
        <v>2</v>
      </c>
      <c r="AP137" cm="1">
        <f t="array" ref="AP137">_xlfn.XLOOKUP(Matrix[[#This Row],[TEAM]]&amp;Matrix[[#Headers],[30]],FDR[FDR]&amp;FDR[[#Headers],[30]],FDR[30],"",0,1)</f>
        <v>1</v>
      </c>
      <c r="AQ137" cm="1">
        <f t="array" ref="AQ137">_xlfn.XLOOKUP(Matrix[[#This Row],[TEAM]]&amp;Matrix[[#Headers],[31]],FDR[FDR]&amp;FDR[[#Headers],[31]],FDR[31],"",0,1)</f>
        <v>1</v>
      </c>
      <c r="AR137" cm="1">
        <f t="array" ref="AR137">_xlfn.XLOOKUP(Matrix[[#This Row],[TEAM]]&amp;Matrix[[#Headers],[32]],FDR[FDR]&amp;FDR[[#Headers],[32]],FDR[32],"",0,1)</f>
        <v>1</v>
      </c>
      <c r="AS137" cm="1">
        <f t="array" ref="AS137">_xlfn.XLOOKUP(Matrix[[#This Row],[TEAM]]&amp;Matrix[[#Headers],[33]],FDR[FDR]&amp;FDR[[#Headers],[33]],FDR[33],"",0,1)</f>
        <v>3</v>
      </c>
      <c r="AT137" cm="1">
        <f t="array" ref="AT137">_xlfn.XLOOKUP(Matrix[[#This Row],[TEAM]]&amp;Matrix[[#Headers],[34]],FDR[FDR]&amp;FDR[[#Headers],[34]],FDR[34],"",0,1)</f>
        <v>2</v>
      </c>
      <c r="AU137" cm="1">
        <f t="array" ref="AU137">_xlfn.XLOOKUP(Matrix[[#This Row],[TEAM]]&amp;Matrix[[#Headers],[35]],FDR[FDR]&amp;FDR[[#Headers],[35]],FDR[35],"",0,1)</f>
        <v>1</v>
      </c>
      <c r="AV137" cm="1">
        <f t="array" ref="AV137">_xlfn.XLOOKUP(Matrix[[#This Row],[TEAM]]&amp;Matrix[[#Headers],[36]],FDR[FDR]&amp;FDR[[#Headers],[36]],FDR[36],"",0,1)</f>
        <v>2</v>
      </c>
      <c r="AW137" cm="1">
        <f t="array" ref="AW137">_xlfn.XLOOKUP(Matrix[[#This Row],[TEAM]]&amp;Matrix[[#Headers],[37]],FDR[FDR]&amp;FDR[[#Headers],[37]],FDR[37],"",0,1)</f>
        <v>1</v>
      </c>
      <c r="AX137" cm="1">
        <f t="array" ref="AX137">_xlfn.XLOOKUP(Matrix[[#This Row],[TEAM]]&amp;Matrix[[#Headers],[38]],FDR[FDR]&amp;FDR[[#Headers],[38]],FDR[38],"",0,1)</f>
        <v>2</v>
      </c>
    </row>
    <row r="138" spans="1:50" ht="22" thickTop="1" thickBot="1">
      <c r="A138" s="50" t="str">
        <f>INDEX!S$4</f>
        <v>MID</v>
      </c>
      <c r="B138" s="70" t="s">
        <v>1469</v>
      </c>
      <c r="C138" s="40" t="s">
        <v>20</v>
      </c>
      <c r="D138" s="62">
        <v>0</v>
      </c>
      <c r="E138" s="60">
        <v>0</v>
      </c>
      <c r="F138" s="61">
        <v>0</v>
      </c>
      <c r="G138" s="63">
        <v>5.5</v>
      </c>
      <c r="H138" s="261">
        <f>IF(ISBLANK(I138),0,1)</f>
        <v>0</v>
      </c>
      <c r="I138" s="57"/>
      <c r="J138" s="58"/>
      <c r="K138" s="59" t="s">
        <v>937</v>
      </c>
      <c r="L138" s="59" t="s">
        <v>936</v>
      </c>
      <c r="M138" cm="1">
        <f t="array" ref="M138">_xlfn.XLOOKUP(Matrix[[#This Row],[TEAM]]&amp;Matrix[[#Headers],[1]],FDR[FDR]&amp;FDR[[#Headers],[1]],FDR[1],"",0,1)</f>
        <v>3</v>
      </c>
      <c r="N138" cm="1">
        <f t="array" ref="N138">_xlfn.XLOOKUP(Matrix[[#This Row],[TEAM]]&amp;Matrix[[#Headers],[2]],FDR[FDR]&amp;FDR[[#Headers],[2]],FDR[2],"",0,1)</f>
        <v>1</v>
      </c>
      <c r="O138" cm="1">
        <f t="array" ref="O138">_xlfn.XLOOKUP(Matrix[[#This Row],[TEAM]]&amp;Matrix[[#Headers],[3]],FDR[FDR]&amp;FDR[[#Headers],[3]],FDR[3],"",0,1)</f>
        <v>4</v>
      </c>
      <c r="P138" cm="1">
        <f t="array" ref="P138">_xlfn.XLOOKUP(Matrix[[#This Row],[TEAM]]&amp;Matrix[[#Headers],[4]],FDR[FDR]&amp;FDR[[#Headers],[4]],FDR[4],"",0,1)</f>
        <v>1</v>
      </c>
      <c r="Q138" cm="1">
        <f t="array" ref="Q138">_xlfn.XLOOKUP(Matrix[[#This Row],[TEAM]]&amp;Matrix[[#Headers],[5]],FDR[FDR]&amp;FDR[[#Headers],[5]],FDR[5],"",0,1)</f>
        <v>3</v>
      </c>
      <c r="R138" cm="1">
        <f t="array" ref="R138">_xlfn.XLOOKUP(Matrix[[#This Row],[TEAM]]&amp;Matrix[[#Headers],[6]],FDR[FDR]&amp;FDR[[#Headers],[6]],FDR[6],"",0,1)</f>
        <v>3</v>
      </c>
      <c r="S138" cm="1">
        <f t="array" ref="S138">_xlfn.XLOOKUP(Matrix[[#This Row],[TEAM]]&amp;Matrix[[#Headers],[7]],FDR[FDR]&amp;FDR[[#Headers],[7]],FDR[7],"",0,1)</f>
        <v>1</v>
      </c>
      <c r="T138" cm="1">
        <f t="array" ref="T138">_xlfn.XLOOKUP(Matrix[[#This Row],[TEAM]]&amp;Matrix[[#Headers],[8]],FDR[FDR]&amp;FDR[[#Headers],[8]],FDR[8],"",0,1)</f>
        <v>2</v>
      </c>
      <c r="U138" cm="1">
        <f t="array" ref="U138">_xlfn.XLOOKUP(Matrix[[#This Row],[TEAM]]&amp;Matrix[[#Headers],[9]],FDR[FDR]&amp;FDR[[#Headers],[9]],FDR[9],"",0,1)</f>
        <v>1</v>
      </c>
      <c r="V138" cm="1">
        <f t="array" ref="V138">_xlfn.XLOOKUP(Matrix[[#This Row],[TEAM]]&amp;Matrix[[#Headers],[10]],FDR[FDR]&amp;FDR[[#Headers],[10]],FDR[10],"",0,1)</f>
        <v>1</v>
      </c>
      <c r="W138" cm="1">
        <f t="array" ref="W138">_xlfn.XLOOKUP(Matrix[[#This Row],[TEAM]]&amp;Matrix[[#Headers],[11]],FDR[FDR]&amp;FDR[[#Headers],[11]],FDR[11],"",0,1)</f>
        <v>1</v>
      </c>
      <c r="X138" cm="1">
        <f t="array" ref="X138">_xlfn.XLOOKUP(Matrix[[#This Row],[TEAM]]&amp;Matrix[[#Headers],[12]],FDR[FDR]&amp;FDR[[#Headers],[12]],FDR[12],"",0,1)</f>
        <v>2</v>
      </c>
      <c r="Y138" cm="1">
        <f t="array" ref="Y138">_xlfn.XLOOKUP(Matrix[[#This Row],[TEAM]]&amp;Matrix[[#Headers],[13]],FDR[FDR]&amp;FDR[[#Headers],[13]],FDR[13],"",0,1)</f>
        <v>3</v>
      </c>
      <c r="Z138" cm="1">
        <f t="array" ref="Z138">_xlfn.XLOOKUP(Matrix[[#This Row],[TEAM]]&amp;Matrix[[#Headers],[14]],FDR[FDR]&amp;FDR[[#Headers],[14]],FDR[14],"",0,1)</f>
        <v>1</v>
      </c>
      <c r="AA138" cm="1">
        <f t="array" ref="AA138">_xlfn.XLOOKUP(Matrix[[#This Row],[TEAM]]&amp;Matrix[[#Headers],[15]],FDR[FDR]&amp;FDR[[#Headers],[15]],FDR[15],"",0,1)</f>
        <v>3</v>
      </c>
      <c r="AB138" cm="1">
        <f t="array" ref="AB138">_xlfn.XLOOKUP(Matrix[[#This Row],[TEAM]]&amp;Matrix[[#Headers],[16]],FDR[FDR]&amp;FDR[[#Headers],[16]],FDR[16],"",0,1)</f>
        <v>1</v>
      </c>
      <c r="AC138" cm="1">
        <f t="array" ref="AC138">_xlfn.XLOOKUP(Matrix[[#This Row],[TEAM]]&amp;Matrix[[#Headers],[17]],FDR[FDR]&amp;FDR[[#Headers],[17]],FDR[17],"",0,1)</f>
        <v>2</v>
      </c>
      <c r="AD138" cm="1">
        <f t="array" ref="AD138">_xlfn.XLOOKUP(Matrix[[#This Row],[TEAM]]&amp;Matrix[[#Headers],[18]],FDR[FDR]&amp;FDR[[#Headers],[18]],FDR[18],"",0,1)</f>
        <v>1</v>
      </c>
      <c r="AE138" cm="1">
        <f t="array" ref="AE138">_xlfn.XLOOKUP(Matrix[[#This Row],[TEAM]]&amp;Matrix[[#Headers],[19]],FDR[FDR]&amp;FDR[[#Headers],[19]],FDR[19],"",0,1)</f>
        <v>2</v>
      </c>
      <c r="AF138" cm="1">
        <f t="array" ref="AF138">_xlfn.XLOOKUP(Matrix[[#This Row],[TEAM]]&amp;Matrix[[#Headers],[20]],FDR[FDR]&amp;FDR[[#Headers],[20]],FDR[20],"",0,1)</f>
        <v>2</v>
      </c>
      <c r="AG138" cm="1">
        <f t="array" ref="AG138">_xlfn.XLOOKUP(Matrix[[#This Row],[TEAM]]&amp;Matrix[[#Headers],[21]],FDR[FDR]&amp;FDR[[#Headers],[21]],FDR[21],"",0,1)</f>
        <v>3</v>
      </c>
      <c r="AH138" cm="1">
        <f t="array" ref="AH138">_xlfn.XLOOKUP(Matrix[[#This Row],[TEAM]]&amp;Matrix[[#Headers],[22]],FDR[FDR]&amp;FDR[[#Headers],[22]],FDR[22],"",0,1)</f>
        <v>2</v>
      </c>
      <c r="AI138" cm="1">
        <f t="array" ref="AI138">_xlfn.XLOOKUP(Matrix[[#This Row],[TEAM]]&amp;Matrix[[#Headers],[23]],FDR[FDR]&amp;FDR[[#Headers],[23]],FDR[23],"",0,1)</f>
        <v>2</v>
      </c>
      <c r="AJ138" cm="1">
        <f t="array" ref="AJ138">_xlfn.XLOOKUP(Matrix[[#This Row],[TEAM]]&amp;Matrix[[#Headers],[24]],FDR[FDR]&amp;FDR[[#Headers],[24]],FDR[24],"",0,1)</f>
        <v>1</v>
      </c>
      <c r="AK138" cm="1">
        <f t="array" ref="AK138">_xlfn.XLOOKUP(Matrix[[#This Row],[TEAM]]&amp;Matrix[[#Headers],[25]],FDR[FDR]&amp;FDR[[#Headers],[25]],FDR[25],"",0,1)</f>
        <v>1</v>
      </c>
      <c r="AL138" cm="1">
        <f t="array" ref="AL138">_xlfn.XLOOKUP(Matrix[[#This Row],[TEAM]]&amp;Matrix[[#Headers],[26]],FDR[FDR]&amp;FDR[[#Headers],[26]],FDR[26],"",0,1)</f>
        <v>2</v>
      </c>
      <c r="AM138" cm="1">
        <f t="array" ref="AM138">_xlfn.XLOOKUP(Matrix[[#This Row],[TEAM]]&amp;Matrix[[#Headers],[27]],FDR[FDR]&amp;FDR[[#Headers],[27]],FDR[27],"",0,1)</f>
        <v>3</v>
      </c>
      <c r="AN138" cm="1">
        <f t="array" ref="AN138">_xlfn.XLOOKUP(Matrix[[#This Row],[TEAM]]&amp;Matrix[[#Headers],[28]],FDR[FDR]&amp;FDR[[#Headers],[28]],FDR[28],"",0,1)</f>
        <v>2</v>
      </c>
      <c r="AO138" cm="1">
        <f t="array" ref="AO138">_xlfn.XLOOKUP(Matrix[[#This Row],[TEAM]]&amp;Matrix[[#Headers],[29]],FDR[FDR]&amp;FDR[[#Headers],[29]],FDR[29],"",0,1)</f>
        <v>2</v>
      </c>
      <c r="AP138" cm="1">
        <f t="array" ref="AP138">_xlfn.XLOOKUP(Matrix[[#This Row],[TEAM]]&amp;Matrix[[#Headers],[30]],FDR[FDR]&amp;FDR[[#Headers],[30]],FDR[30],"",0,1)</f>
        <v>1</v>
      </c>
      <c r="AQ138" cm="1">
        <f t="array" ref="AQ138">_xlfn.XLOOKUP(Matrix[[#This Row],[TEAM]]&amp;Matrix[[#Headers],[31]],FDR[FDR]&amp;FDR[[#Headers],[31]],FDR[31],"",0,1)</f>
        <v>1</v>
      </c>
      <c r="AR138" cm="1">
        <f t="array" ref="AR138">_xlfn.XLOOKUP(Matrix[[#This Row],[TEAM]]&amp;Matrix[[#Headers],[32]],FDR[FDR]&amp;FDR[[#Headers],[32]],FDR[32],"",0,1)</f>
        <v>1</v>
      </c>
      <c r="AS138" cm="1">
        <f t="array" ref="AS138">_xlfn.XLOOKUP(Matrix[[#This Row],[TEAM]]&amp;Matrix[[#Headers],[33]],FDR[FDR]&amp;FDR[[#Headers],[33]],FDR[33],"",0,1)</f>
        <v>3</v>
      </c>
      <c r="AT138" cm="1">
        <f t="array" ref="AT138">_xlfn.XLOOKUP(Matrix[[#This Row],[TEAM]]&amp;Matrix[[#Headers],[34]],FDR[FDR]&amp;FDR[[#Headers],[34]],FDR[34],"",0,1)</f>
        <v>2</v>
      </c>
      <c r="AU138" cm="1">
        <f t="array" ref="AU138">_xlfn.XLOOKUP(Matrix[[#This Row],[TEAM]]&amp;Matrix[[#Headers],[35]],FDR[FDR]&amp;FDR[[#Headers],[35]],FDR[35],"",0,1)</f>
        <v>1</v>
      </c>
      <c r="AV138" cm="1">
        <f t="array" ref="AV138">_xlfn.XLOOKUP(Matrix[[#This Row],[TEAM]]&amp;Matrix[[#Headers],[36]],FDR[FDR]&amp;FDR[[#Headers],[36]],FDR[36],"",0,1)</f>
        <v>2</v>
      </c>
      <c r="AW138" cm="1">
        <f t="array" ref="AW138">_xlfn.XLOOKUP(Matrix[[#This Row],[TEAM]]&amp;Matrix[[#Headers],[37]],FDR[FDR]&amp;FDR[[#Headers],[37]],FDR[37],"",0,1)</f>
        <v>1</v>
      </c>
      <c r="AX138" cm="1">
        <f t="array" ref="AX138">_xlfn.XLOOKUP(Matrix[[#This Row],[TEAM]]&amp;Matrix[[#Headers],[38]],FDR[FDR]&amp;FDR[[#Headers],[38]],FDR[38],"",0,1)</f>
        <v>2</v>
      </c>
    </row>
    <row r="139" spans="1:50" ht="22" thickTop="1" thickBot="1">
      <c r="A139" s="50" t="str">
        <f>INDEX!S$4</f>
        <v>MID</v>
      </c>
      <c r="B139" s="70" t="s">
        <v>1470</v>
      </c>
      <c r="C139" s="40" t="s">
        <v>28</v>
      </c>
      <c r="D139" s="62">
        <v>0</v>
      </c>
      <c r="E139" s="60">
        <v>0</v>
      </c>
      <c r="F139" s="61">
        <v>0</v>
      </c>
      <c r="G139" s="63">
        <v>5.5</v>
      </c>
      <c r="H139" s="261">
        <f>IF(ISBLANK(I139),0,1)</f>
        <v>0</v>
      </c>
      <c r="I139" s="57"/>
      <c r="J139" s="58"/>
      <c r="K139" s="59" t="s">
        <v>586</v>
      </c>
      <c r="L139" s="59" t="s">
        <v>673</v>
      </c>
      <c r="M139" cm="1">
        <f t="array" ref="M139">_xlfn.XLOOKUP(Matrix[[#This Row],[TEAM]]&amp;Matrix[[#Headers],[1]],FDR[FDR]&amp;FDR[[#Headers],[1]],FDR[1],"",0,1)</f>
        <v>3</v>
      </c>
      <c r="N139" cm="1">
        <f t="array" ref="N139">_xlfn.XLOOKUP(Matrix[[#This Row],[TEAM]]&amp;Matrix[[#Headers],[2]],FDR[FDR]&amp;FDR[[#Headers],[2]],FDR[2],"",0,1)</f>
        <v>2</v>
      </c>
      <c r="O139" cm="1">
        <f t="array" ref="O139">_xlfn.XLOOKUP(Matrix[[#This Row],[TEAM]]&amp;Matrix[[#Headers],[3]],FDR[FDR]&amp;FDR[[#Headers],[3]],FDR[3],"",0,1)</f>
        <v>1</v>
      </c>
      <c r="P139" cm="1">
        <f t="array" ref="P139">_xlfn.XLOOKUP(Matrix[[#This Row],[TEAM]]&amp;Matrix[[#Headers],[4]],FDR[FDR]&amp;FDR[[#Headers],[4]],FDR[4],"",0,1)</f>
        <v>2</v>
      </c>
      <c r="Q139" cm="1">
        <f t="array" ref="Q139">_xlfn.XLOOKUP(Matrix[[#This Row],[TEAM]]&amp;Matrix[[#Headers],[5]],FDR[FDR]&amp;FDR[[#Headers],[5]],FDR[5],"",0,1)</f>
        <v>1</v>
      </c>
      <c r="R139" cm="1">
        <f t="array" ref="R139">_xlfn.XLOOKUP(Matrix[[#This Row],[TEAM]]&amp;Matrix[[#Headers],[6]],FDR[FDR]&amp;FDR[[#Headers],[6]],FDR[6],"",0,1)</f>
        <v>2</v>
      </c>
      <c r="S139" cm="1">
        <f t="array" ref="S139">_xlfn.XLOOKUP(Matrix[[#This Row],[TEAM]]&amp;Matrix[[#Headers],[7]],FDR[FDR]&amp;FDR[[#Headers],[7]],FDR[7],"",0,1)</f>
        <v>1</v>
      </c>
      <c r="T139" cm="1">
        <f t="array" ref="T139">_xlfn.XLOOKUP(Matrix[[#This Row],[TEAM]]&amp;Matrix[[#Headers],[8]],FDR[FDR]&amp;FDR[[#Headers],[8]],FDR[8],"",0,1)</f>
        <v>4</v>
      </c>
      <c r="U139" cm="1">
        <f t="array" ref="U139">_xlfn.XLOOKUP(Matrix[[#This Row],[TEAM]]&amp;Matrix[[#Headers],[9]],FDR[FDR]&amp;FDR[[#Headers],[9]],FDR[9],"",0,1)</f>
        <v>3</v>
      </c>
      <c r="V139" cm="1">
        <f t="array" ref="V139">_xlfn.XLOOKUP(Matrix[[#This Row],[TEAM]]&amp;Matrix[[#Headers],[10]],FDR[FDR]&amp;FDR[[#Headers],[10]],FDR[10],"",0,1)</f>
        <v>4</v>
      </c>
      <c r="W139" cm="1">
        <f t="array" ref="W139">_xlfn.XLOOKUP(Matrix[[#This Row],[TEAM]]&amp;Matrix[[#Headers],[11]],FDR[FDR]&amp;FDR[[#Headers],[11]],FDR[11],"",0,1)</f>
        <v>2</v>
      </c>
      <c r="X139" cm="1">
        <f t="array" ref="X139">_xlfn.XLOOKUP(Matrix[[#This Row],[TEAM]]&amp;Matrix[[#Headers],[12]],FDR[FDR]&amp;FDR[[#Headers],[12]],FDR[12],"",0,1)</f>
        <v>1</v>
      </c>
      <c r="Y139" cm="1">
        <f t="array" ref="Y139">_xlfn.XLOOKUP(Matrix[[#This Row],[TEAM]]&amp;Matrix[[#Headers],[13]],FDR[FDR]&amp;FDR[[#Headers],[13]],FDR[13],"",0,1)</f>
        <v>1</v>
      </c>
      <c r="Z139" cm="1">
        <f t="array" ref="Z139">_xlfn.XLOOKUP(Matrix[[#This Row],[TEAM]]&amp;Matrix[[#Headers],[14]],FDR[FDR]&amp;FDR[[#Headers],[14]],FDR[14],"",0,1)</f>
        <v>3</v>
      </c>
      <c r="AA139" cm="1">
        <f t="array" ref="AA139">_xlfn.XLOOKUP(Matrix[[#This Row],[TEAM]]&amp;Matrix[[#Headers],[15]],FDR[FDR]&amp;FDR[[#Headers],[15]],FDR[15],"",0,1)</f>
        <v>3</v>
      </c>
      <c r="AB139" cm="1">
        <f t="array" ref="AB139">_xlfn.XLOOKUP(Matrix[[#This Row],[TEAM]]&amp;Matrix[[#Headers],[16]],FDR[FDR]&amp;FDR[[#Headers],[16]],FDR[16],"",0,1)</f>
        <v>2</v>
      </c>
      <c r="AC139" cm="1">
        <f t="array" ref="AC139">_xlfn.XLOOKUP(Matrix[[#This Row],[TEAM]]&amp;Matrix[[#Headers],[17]],FDR[FDR]&amp;FDR[[#Headers],[17]],FDR[17],"",0,1)</f>
        <v>3</v>
      </c>
      <c r="AD139" cm="1">
        <f t="array" ref="AD139">_xlfn.XLOOKUP(Matrix[[#This Row],[TEAM]]&amp;Matrix[[#Headers],[18]],FDR[FDR]&amp;FDR[[#Headers],[18]],FDR[18],"",0,1)</f>
        <v>4</v>
      </c>
      <c r="AE139" cm="1">
        <f t="array" ref="AE139">_xlfn.XLOOKUP(Matrix[[#This Row],[TEAM]]&amp;Matrix[[#Headers],[19]],FDR[FDR]&amp;FDR[[#Headers],[19]],FDR[19],"",0,1)</f>
        <v>4</v>
      </c>
      <c r="AF139" cm="1">
        <f t="array" ref="AF139">_xlfn.XLOOKUP(Matrix[[#This Row],[TEAM]]&amp;Matrix[[#Headers],[20]],FDR[FDR]&amp;FDR[[#Headers],[20]],FDR[20],"",0,1)</f>
        <v>2</v>
      </c>
      <c r="AG139" cm="1">
        <f t="array" ref="AG139">_xlfn.XLOOKUP(Matrix[[#This Row],[TEAM]]&amp;Matrix[[#Headers],[21]],FDR[FDR]&amp;FDR[[#Headers],[21]],FDR[21],"",0,1)</f>
        <v>2</v>
      </c>
      <c r="AH139" cm="1">
        <f t="array" ref="AH139">_xlfn.XLOOKUP(Matrix[[#This Row],[TEAM]]&amp;Matrix[[#Headers],[22]],FDR[FDR]&amp;FDR[[#Headers],[22]],FDR[22],"",0,1)</f>
        <v>1</v>
      </c>
      <c r="AI139" cm="1">
        <f t="array" ref="AI139">_xlfn.XLOOKUP(Matrix[[#This Row],[TEAM]]&amp;Matrix[[#Headers],[23]],FDR[FDR]&amp;FDR[[#Headers],[23]],FDR[23],"",0,1)</f>
        <v>4</v>
      </c>
      <c r="AJ139" cm="1">
        <f t="array" ref="AJ139">_xlfn.XLOOKUP(Matrix[[#This Row],[TEAM]]&amp;Matrix[[#Headers],[24]],FDR[FDR]&amp;FDR[[#Headers],[24]],FDR[24],"",0,1)</f>
        <v>1</v>
      </c>
      <c r="AK139" cm="1">
        <f t="array" ref="AK139">_xlfn.XLOOKUP(Matrix[[#This Row],[TEAM]]&amp;Matrix[[#Headers],[25]],FDR[FDR]&amp;FDR[[#Headers],[25]],FDR[25],"",0,1)</f>
        <v>3</v>
      </c>
      <c r="AL139" cm="1">
        <f t="array" ref="AL139">_xlfn.XLOOKUP(Matrix[[#This Row],[TEAM]]&amp;Matrix[[#Headers],[26]],FDR[FDR]&amp;FDR[[#Headers],[26]],FDR[26],"",0,1)</f>
        <v>2</v>
      </c>
      <c r="AM139" cm="1">
        <f t="array" ref="AM139">_xlfn.XLOOKUP(Matrix[[#This Row],[TEAM]]&amp;Matrix[[#Headers],[27]],FDR[FDR]&amp;FDR[[#Headers],[27]],FDR[27],"",0,1)</f>
        <v>1</v>
      </c>
      <c r="AN139" cm="1">
        <f t="array" ref="AN139">_xlfn.XLOOKUP(Matrix[[#This Row],[TEAM]]&amp;Matrix[[#Headers],[28]],FDR[FDR]&amp;FDR[[#Headers],[28]],FDR[28],"",0,1)</f>
        <v>1</v>
      </c>
      <c r="AO139" cm="1">
        <f t="array" ref="AO139">_xlfn.XLOOKUP(Matrix[[#This Row],[TEAM]]&amp;Matrix[[#Headers],[29]],FDR[FDR]&amp;FDR[[#Headers],[29]],FDR[29],"",0,1)</f>
        <v>3</v>
      </c>
      <c r="AP139" cm="1">
        <f t="array" ref="AP139">_xlfn.XLOOKUP(Matrix[[#This Row],[TEAM]]&amp;Matrix[[#Headers],[30]],FDR[FDR]&amp;FDR[[#Headers],[30]],FDR[30],"",0,1)</f>
        <v>4</v>
      </c>
      <c r="AQ139" cm="1">
        <f t="array" ref="AQ139">_xlfn.XLOOKUP(Matrix[[#This Row],[TEAM]]&amp;Matrix[[#Headers],[31]],FDR[FDR]&amp;FDR[[#Headers],[31]],FDR[31],"",0,1)</f>
        <v>1</v>
      </c>
      <c r="AR139" cm="1">
        <f t="array" ref="AR139">_xlfn.XLOOKUP(Matrix[[#This Row],[TEAM]]&amp;Matrix[[#Headers],[32]],FDR[FDR]&amp;FDR[[#Headers],[32]],FDR[32],"",0,1)</f>
        <v>3</v>
      </c>
      <c r="AS139" cm="1">
        <f t="array" ref="AS139">_xlfn.XLOOKUP(Matrix[[#This Row],[TEAM]]&amp;Matrix[[#Headers],[33]],FDR[FDR]&amp;FDR[[#Headers],[33]],FDR[33],"",0,1)</f>
        <v>1</v>
      </c>
      <c r="AT139" cm="1">
        <f t="array" ref="AT139">_xlfn.XLOOKUP(Matrix[[#This Row],[TEAM]]&amp;Matrix[[#Headers],[34]],FDR[FDR]&amp;FDR[[#Headers],[34]],FDR[34],"",0,1)</f>
        <v>3</v>
      </c>
      <c r="AU139" cm="1">
        <f t="array" ref="AU139">_xlfn.XLOOKUP(Matrix[[#This Row],[TEAM]]&amp;Matrix[[#Headers],[35]],FDR[FDR]&amp;FDR[[#Headers],[35]],FDR[35],"",0,1)</f>
        <v>3</v>
      </c>
      <c r="AV139" cm="1">
        <f t="array" ref="AV139">_xlfn.XLOOKUP(Matrix[[#This Row],[TEAM]]&amp;Matrix[[#Headers],[36]],FDR[FDR]&amp;FDR[[#Headers],[36]],FDR[36],"",0,1)</f>
        <v>1</v>
      </c>
      <c r="AW139" cm="1">
        <f t="array" ref="AW139">_xlfn.XLOOKUP(Matrix[[#This Row],[TEAM]]&amp;Matrix[[#Headers],[37]],FDR[FDR]&amp;FDR[[#Headers],[37]],FDR[37],"",0,1)</f>
        <v>3</v>
      </c>
      <c r="AX139" cm="1">
        <f t="array" ref="AX139">_xlfn.XLOOKUP(Matrix[[#This Row],[TEAM]]&amp;Matrix[[#Headers],[38]],FDR[FDR]&amp;FDR[[#Headers],[38]],FDR[38],"",0,1)</f>
        <v>4</v>
      </c>
    </row>
    <row r="140" spans="1:50" ht="22" thickTop="1" thickBot="1">
      <c r="A140" s="50" t="str">
        <f>INDEX!S$4</f>
        <v>MID</v>
      </c>
      <c r="B140" s="70" t="s">
        <v>1443</v>
      </c>
      <c r="C140" s="40" t="s">
        <v>21</v>
      </c>
      <c r="D140" s="62">
        <v>0</v>
      </c>
      <c r="E140" s="60">
        <v>1E-3</v>
      </c>
      <c r="F140" s="61">
        <v>0</v>
      </c>
      <c r="G140" s="63">
        <v>5.5</v>
      </c>
      <c r="H140" s="261">
        <f>IF(ISBLANK(I140),0,1)</f>
        <v>0</v>
      </c>
      <c r="I140" s="57"/>
      <c r="J140" s="58"/>
      <c r="K140" s="59" t="s">
        <v>768</v>
      </c>
      <c r="L140" s="59" t="s">
        <v>769</v>
      </c>
      <c r="M140" cm="1">
        <f t="array" ref="M140">_xlfn.XLOOKUP(Matrix[[#This Row],[TEAM]]&amp;Matrix[[#Headers],[1]],FDR[FDR]&amp;FDR[[#Headers],[1]],FDR[1],"",0,1)</f>
        <v>4</v>
      </c>
      <c r="N140" cm="1">
        <f t="array" ref="N140">_xlfn.XLOOKUP(Matrix[[#This Row],[TEAM]]&amp;Matrix[[#Headers],[2]],FDR[FDR]&amp;FDR[[#Headers],[2]],FDR[2],"",0,1)</f>
        <v>4</v>
      </c>
      <c r="O140" cm="1">
        <f t="array" ref="O140">_xlfn.XLOOKUP(Matrix[[#This Row],[TEAM]]&amp;Matrix[[#Headers],[3]],FDR[FDR]&amp;FDR[[#Headers],[3]],FDR[3],"",0,1)</f>
        <v>2</v>
      </c>
      <c r="P140" cm="1">
        <f t="array" ref="P140">_xlfn.XLOOKUP(Matrix[[#This Row],[TEAM]]&amp;Matrix[[#Headers],[4]],FDR[FDR]&amp;FDR[[#Headers],[4]],FDR[4],"",0,1)</f>
        <v>4</v>
      </c>
      <c r="Q140" cm="1">
        <f t="array" ref="Q140">_xlfn.XLOOKUP(Matrix[[#This Row],[TEAM]]&amp;Matrix[[#Headers],[5]],FDR[FDR]&amp;FDR[[#Headers],[5]],FDR[5],"",0,1)</f>
        <v>4</v>
      </c>
      <c r="R140" cm="1">
        <f t="array" ref="R140">_xlfn.XLOOKUP(Matrix[[#This Row],[TEAM]]&amp;Matrix[[#Headers],[6]],FDR[FDR]&amp;FDR[[#Headers],[6]],FDR[6],"",0,1)</f>
        <v>4</v>
      </c>
      <c r="S140" cm="1">
        <f t="array" ref="S140">_xlfn.XLOOKUP(Matrix[[#This Row],[TEAM]]&amp;Matrix[[#Headers],[7]],FDR[FDR]&amp;FDR[[#Headers],[7]],FDR[7],"",0,1)</f>
        <v>4</v>
      </c>
      <c r="T140" cm="1">
        <f t="array" ref="T140">_xlfn.XLOOKUP(Matrix[[#This Row],[TEAM]]&amp;Matrix[[#Headers],[8]],FDR[FDR]&amp;FDR[[#Headers],[8]],FDR[8],"",0,1)</f>
        <v>4</v>
      </c>
      <c r="U140" cm="1">
        <f t="array" ref="U140">_xlfn.XLOOKUP(Matrix[[#This Row],[TEAM]]&amp;Matrix[[#Headers],[9]],FDR[FDR]&amp;FDR[[#Headers],[9]],FDR[9],"",0,1)</f>
        <v>4</v>
      </c>
      <c r="V140" cm="1">
        <f t="array" ref="V140">_xlfn.XLOOKUP(Matrix[[#This Row],[TEAM]]&amp;Matrix[[#Headers],[10]],FDR[FDR]&amp;FDR[[#Headers],[10]],FDR[10],"",0,1)</f>
        <v>4</v>
      </c>
      <c r="W140" cm="1">
        <f t="array" ref="W140">_xlfn.XLOOKUP(Matrix[[#This Row],[TEAM]]&amp;Matrix[[#Headers],[11]],FDR[FDR]&amp;FDR[[#Headers],[11]],FDR[11],"",0,1)</f>
        <v>4</v>
      </c>
      <c r="X140" cm="1">
        <f t="array" ref="X140">_xlfn.XLOOKUP(Matrix[[#This Row],[TEAM]]&amp;Matrix[[#Headers],[12]],FDR[FDR]&amp;FDR[[#Headers],[12]],FDR[12],"",0,1)</f>
        <v>4</v>
      </c>
      <c r="Y140" cm="1">
        <f t="array" ref="Y140">_xlfn.XLOOKUP(Matrix[[#This Row],[TEAM]]&amp;Matrix[[#Headers],[13]],FDR[FDR]&amp;FDR[[#Headers],[13]],FDR[13],"",0,1)</f>
        <v>1</v>
      </c>
      <c r="Z140" cm="1">
        <f t="array" ref="Z140">_xlfn.XLOOKUP(Matrix[[#This Row],[TEAM]]&amp;Matrix[[#Headers],[14]],FDR[FDR]&amp;FDR[[#Headers],[14]],FDR[14],"",0,1)</f>
        <v>5</v>
      </c>
      <c r="AA140" cm="1">
        <f t="array" ref="AA140">_xlfn.XLOOKUP(Matrix[[#This Row],[TEAM]]&amp;Matrix[[#Headers],[15]],FDR[FDR]&amp;FDR[[#Headers],[15]],FDR[15],"",0,1)</f>
        <v>5</v>
      </c>
      <c r="AB140" cm="1">
        <f t="array" ref="AB140">_xlfn.XLOOKUP(Matrix[[#This Row],[TEAM]]&amp;Matrix[[#Headers],[16]],FDR[FDR]&amp;FDR[[#Headers],[16]],FDR[16],"",0,1)</f>
        <v>1</v>
      </c>
      <c r="AC140" cm="1">
        <f t="array" ref="AC140">_xlfn.XLOOKUP(Matrix[[#This Row],[TEAM]]&amp;Matrix[[#Headers],[17]],FDR[FDR]&amp;FDR[[#Headers],[17]],FDR[17],"",0,1)</f>
        <v>2</v>
      </c>
      <c r="AD140" cm="1">
        <f t="array" ref="AD140">_xlfn.XLOOKUP(Matrix[[#This Row],[TEAM]]&amp;Matrix[[#Headers],[18]],FDR[FDR]&amp;FDR[[#Headers],[18]],FDR[18],"",0,1)</f>
        <v>3</v>
      </c>
      <c r="AE140" cm="1">
        <f t="array" ref="AE140">_xlfn.XLOOKUP(Matrix[[#This Row],[TEAM]]&amp;Matrix[[#Headers],[19]],FDR[FDR]&amp;FDR[[#Headers],[19]],FDR[19],"",0,1)</f>
        <v>4</v>
      </c>
      <c r="AF140" cm="1">
        <f t="array" ref="AF140">_xlfn.XLOOKUP(Matrix[[#This Row],[TEAM]]&amp;Matrix[[#Headers],[20]],FDR[FDR]&amp;FDR[[#Headers],[20]],FDR[20],"",0,1)</f>
        <v>4</v>
      </c>
      <c r="AG140" cm="1">
        <f t="array" ref="AG140">_xlfn.XLOOKUP(Matrix[[#This Row],[TEAM]]&amp;Matrix[[#Headers],[21]],FDR[FDR]&amp;FDR[[#Headers],[21]],FDR[21],"",0,1)</f>
        <v>1</v>
      </c>
      <c r="AH140" cm="1">
        <f t="array" ref="AH140">_xlfn.XLOOKUP(Matrix[[#This Row],[TEAM]]&amp;Matrix[[#Headers],[22]],FDR[FDR]&amp;FDR[[#Headers],[22]],FDR[22],"",0,1)</f>
        <v>5</v>
      </c>
      <c r="AI140" cm="1">
        <f t="array" ref="AI140">_xlfn.XLOOKUP(Matrix[[#This Row],[TEAM]]&amp;Matrix[[#Headers],[23]],FDR[FDR]&amp;FDR[[#Headers],[23]],FDR[23],"",0,1)</f>
        <v>3</v>
      </c>
      <c r="AJ140" cm="1">
        <f t="array" ref="AJ140">_xlfn.XLOOKUP(Matrix[[#This Row],[TEAM]]&amp;Matrix[[#Headers],[24]],FDR[FDR]&amp;FDR[[#Headers],[24]],FDR[24],"",0,1)</f>
        <v>5</v>
      </c>
      <c r="AK140" cm="1">
        <f t="array" ref="AK140">_xlfn.XLOOKUP(Matrix[[#This Row],[TEAM]]&amp;Matrix[[#Headers],[25]],FDR[FDR]&amp;FDR[[#Headers],[25]],FDR[25],"",0,1)</f>
        <v>5</v>
      </c>
      <c r="AL140" cm="1">
        <f t="array" ref="AL140">_xlfn.XLOOKUP(Matrix[[#This Row],[TEAM]]&amp;Matrix[[#Headers],[26]],FDR[FDR]&amp;FDR[[#Headers],[26]],FDR[26],"",0,1)</f>
        <v>4</v>
      </c>
      <c r="AM140" cm="1">
        <f t="array" ref="AM140">_xlfn.XLOOKUP(Matrix[[#This Row],[TEAM]]&amp;Matrix[[#Headers],[27]],FDR[FDR]&amp;FDR[[#Headers],[27]],FDR[27],"",0,1)</f>
        <v>3</v>
      </c>
      <c r="AN140" cm="1">
        <f t="array" ref="AN140">_xlfn.XLOOKUP(Matrix[[#This Row],[TEAM]]&amp;Matrix[[#Headers],[28]],FDR[FDR]&amp;FDR[[#Headers],[28]],FDR[28],"",0,1)</f>
        <v>2</v>
      </c>
      <c r="AO140" cm="1">
        <f t="array" ref="AO140">_xlfn.XLOOKUP(Matrix[[#This Row],[TEAM]]&amp;Matrix[[#Headers],[29]],FDR[FDR]&amp;FDR[[#Headers],[29]],FDR[29],"",0,1)</f>
        <v>4</v>
      </c>
      <c r="AP140" cm="1">
        <f t="array" ref="AP140">_xlfn.XLOOKUP(Matrix[[#This Row],[TEAM]]&amp;Matrix[[#Headers],[30]],FDR[FDR]&amp;FDR[[#Headers],[30]],FDR[30],"",0,1)</f>
        <v>2</v>
      </c>
      <c r="AQ140" cm="1">
        <f t="array" ref="AQ140">_xlfn.XLOOKUP(Matrix[[#This Row],[TEAM]]&amp;Matrix[[#Headers],[31]],FDR[FDR]&amp;FDR[[#Headers],[31]],FDR[31],"",0,1)</f>
        <v>2</v>
      </c>
      <c r="AR140" cm="1">
        <f t="array" ref="AR140">_xlfn.XLOOKUP(Matrix[[#This Row],[TEAM]]&amp;Matrix[[#Headers],[32]],FDR[FDR]&amp;FDR[[#Headers],[32]],FDR[32],"",0,1)</f>
        <v>3</v>
      </c>
      <c r="AS140" cm="1">
        <f t="array" ref="AS140">_xlfn.XLOOKUP(Matrix[[#This Row],[TEAM]]&amp;Matrix[[#Headers],[33]],FDR[FDR]&amp;FDR[[#Headers],[33]],FDR[33],"",0,1)</f>
        <v>3</v>
      </c>
      <c r="AT140" cm="1">
        <f t="array" ref="AT140">_xlfn.XLOOKUP(Matrix[[#This Row],[TEAM]]&amp;Matrix[[#Headers],[34]],FDR[FDR]&amp;FDR[[#Headers],[34]],FDR[34],"",0,1)</f>
        <v>5</v>
      </c>
      <c r="AU140" cm="1">
        <f t="array" ref="AU140">_xlfn.XLOOKUP(Matrix[[#This Row],[TEAM]]&amp;Matrix[[#Headers],[35]],FDR[FDR]&amp;FDR[[#Headers],[35]],FDR[35],"",0,1)</f>
        <v>3</v>
      </c>
      <c r="AV140" cm="1">
        <f t="array" ref="AV140">_xlfn.XLOOKUP(Matrix[[#This Row],[TEAM]]&amp;Matrix[[#Headers],[36]],FDR[FDR]&amp;FDR[[#Headers],[36]],FDR[36],"",0,1)</f>
        <v>5</v>
      </c>
      <c r="AW140" cm="1">
        <f t="array" ref="AW140">_xlfn.XLOOKUP(Matrix[[#This Row],[TEAM]]&amp;Matrix[[#Headers],[37]],FDR[FDR]&amp;FDR[[#Headers],[37]],FDR[37],"",0,1)</f>
        <v>3</v>
      </c>
      <c r="AX140" cm="1">
        <f t="array" ref="AX140">_xlfn.XLOOKUP(Matrix[[#This Row],[TEAM]]&amp;Matrix[[#Headers],[38]],FDR[FDR]&amp;FDR[[#Headers],[38]],FDR[38],"",0,1)</f>
        <v>5</v>
      </c>
    </row>
    <row r="141" spans="1:50" ht="22" thickTop="1" thickBot="1">
      <c r="A141" s="50" t="str">
        <f>INDEX!S$4</f>
        <v>MID</v>
      </c>
      <c r="B141" s="70" t="s">
        <v>1472</v>
      </c>
      <c r="C141" s="40" t="s">
        <v>33</v>
      </c>
      <c r="D141" s="62">
        <v>0</v>
      </c>
      <c r="E141" s="60">
        <v>0</v>
      </c>
      <c r="F141" s="61">
        <v>0</v>
      </c>
      <c r="G141" s="63">
        <v>5.5</v>
      </c>
      <c r="H141" s="261">
        <f>IF(ISBLANK(I141),0,1)</f>
        <v>0</v>
      </c>
      <c r="I141" s="57"/>
      <c r="J141" s="58"/>
      <c r="K141" s="59" t="s">
        <v>774</v>
      </c>
      <c r="L141" s="59" t="s">
        <v>775</v>
      </c>
      <c r="M141" cm="1">
        <f t="array" ref="M141">_xlfn.XLOOKUP(Matrix[[#This Row],[TEAM]]&amp;Matrix[[#Headers],[1]],FDR[FDR]&amp;FDR[[#Headers],[1]],FDR[1],"",0,1)</f>
        <v>3</v>
      </c>
      <c r="N141" cm="1">
        <f t="array" ref="N141">_xlfn.XLOOKUP(Matrix[[#This Row],[TEAM]]&amp;Matrix[[#Headers],[2]],FDR[FDR]&amp;FDR[[#Headers],[2]],FDR[2],"",0,1)</f>
        <v>3</v>
      </c>
      <c r="O141" cm="1">
        <f t="array" ref="O141">_xlfn.XLOOKUP(Matrix[[#This Row],[TEAM]]&amp;Matrix[[#Headers],[3]],FDR[FDR]&amp;FDR[[#Headers],[3]],FDR[3],"",0,1)</f>
        <v>4</v>
      </c>
      <c r="P141" cm="1">
        <f t="array" ref="P141">_xlfn.XLOOKUP(Matrix[[#This Row],[TEAM]]&amp;Matrix[[#Headers],[4]],FDR[FDR]&amp;FDR[[#Headers],[4]],FDR[4],"",0,1)</f>
        <v>4</v>
      </c>
      <c r="Q141" cm="1">
        <f t="array" ref="Q141">_xlfn.XLOOKUP(Matrix[[#This Row],[TEAM]]&amp;Matrix[[#Headers],[5]],FDR[FDR]&amp;FDR[[#Headers],[5]],FDR[5],"",0,1)</f>
        <v>4</v>
      </c>
      <c r="R141" cm="1">
        <f t="array" ref="R141">_xlfn.XLOOKUP(Matrix[[#This Row],[TEAM]]&amp;Matrix[[#Headers],[6]],FDR[FDR]&amp;FDR[[#Headers],[6]],FDR[6],"",0,1)</f>
        <v>5</v>
      </c>
      <c r="S141" cm="1">
        <f t="array" ref="S141">_xlfn.XLOOKUP(Matrix[[#This Row],[TEAM]]&amp;Matrix[[#Headers],[7]],FDR[FDR]&amp;FDR[[#Headers],[7]],FDR[7],"",0,1)</f>
        <v>2</v>
      </c>
      <c r="T141" cm="1">
        <f t="array" ref="T141">_xlfn.XLOOKUP(Matrix[[#This Row],[TEAM]]&amp;Matrix[[#Headers],[8]],FDR[FDR]&amp;FDR[[#Headers],[8]],FDR[8],"",0,1)</f>
        <v>4</v>
      </c>
      <c r="U141" cm="1">
        <f t="array" ref="U141">_xlfn.XLOOKUP(Matrix[[#This Row],[TEAM]]&amp;Matrix[[#Headers],[9]],FDR[FDR]&amp;FDR[[#Headers],[9]],FDR[9],"",0,1)</f>
        <v>5</v>
      </c>
      <c r="V141" cm="1">
        <f t="array" ref="V141">_xlfn.XLOOKUP(Matrix[[#This Row],[TEAM]]&amp;Matrix[[#Headers],[10]],FDR[FDR]&amp;FDR[[#Headers],[10]],FDR[10],"",0,1)</f>
        <v>1</v>
      </c>
      <c r="W141" cm="1">
        <f t="array" ref="W141">_xlfn.XLOOKUP(Matrix[[#This Row],[TEAM]]&amp;Matrix[[#Headers],[11]],FDR[FDR]&amp;FDR[[#Headers],[11]],FDR[11],"",0,1)</f>
        <v>3</v>
      </c>
      <c r="X141" cm="1">
        <f t="array" ref="X141">_xlfn.XLOOKUP(Matrix[[#This Row],[TEAM]]&amp;Matrix[[#Headers],[12]],FDR[FDR]&amp;FDR[[#Headers],[12]],FDR[12],"",0,1)</f>
        <v>2</v>
      </c>
      <c r="Y141" cm="1">
        <f t="array" ref="Y141">_xlfn.XLOOKUP(Matrix[[#This Row],[TEAM]]&amp;Matrix[[#Headers],[13]],FDR[FDR]&amp;FDR[[#Headers],[13]],FDR[13],"",0,1)</f>
        <v>4</v>
      </c>
      <c r="Z141" cm="1">
        <f t="array" ref="Z141">_xlfn.XLOOKUP(Matrix[[#This Row],[TEAM]]&amp;Matrix[[#Headers],[14]],FDR[FDR]&amp;FDR[[#Headers],[14]],FDR[14],"",0,1)</f>
        <v>3</v>
      </c>
      <c r="AA141" cm="1">
        <f t="array" ref="AA141">_xlfn.XLOOKUP(Matrix[[#This Row],[TEAM]]&amp;Matrix[[#Headers],[15]],FDR[FDR]&amp;FDR[[#Headers],[15]],FDR[15],"",0,1)</f>
        <v>2</v>
      </c>
      <c r="AB141" cm="1">
        <f t="array" ref="AB141">_xlfn.XLOOKUP(Matrix[[#This Row],[TEAM]]&amp;Matrix[[#Headers],[16]],FDR[FDR]&amp;FDR[[#Headers],[16]],FDR[16],"",0,1)</f>
        <v>5</v>
      </c>
      <c r="AC141" cm="1">
        <f t="array" ref="AC141">_xlfn.XLOOKUP(Matrix[[#This Row],[TEAM]]&amp;Matrix[[#Headers],[17]],FDR[FDR]&amp;FDR[[#Headers],[17]],FDR[17],"",0,1)</f>
        <v>1</v>
      </c>
      <c r="AD141" cm="1">
        <f t="array" ref="AD141">_xlfn.XLOOKUP(Matrix[[#This Row],[TEAM]]&amp;Matrix[[#Headers],[18]],FDR[FDR]&amp;FDR[[#Headers],[18]],FDR[18],"",0,1)</f>
        <v>5</v>
      </c>
      <c r="AE141" cm="1">
        <f t="array" ref="AE141">_xlfn.XLOOKUP(Matrix[[#This Row],[TEAM]]&amp;Matrix[[#Headers],[19]],FDR[FDR]&amp;FDR[[#Headers],[19]],FDR[19],"",0,1)</f>
        <v>3</v>
      </c>
      <c r="AF141" cm="1">
        <f t="array" ref="AF141">_xlfn.XLOOKUP(Matrix[[#This Row],[TEAM]]&amp;Matrix[[#Headers],[20]],FDR[FDR]&amp;FDR[[#Headers],[20]],FDR[20],"",0,1)</f>
        <v>1</v>
      </c>
      <c r="AG141" cm="1">
        <f t="array" ref="AG141">_xlfn.XLOOKUP(Matrix[[#This Row],[TEAM]]&amp;Matrix[[#Headers],[21]],FDR[FDR]&amp;FDR[[#Headers],[21]],FDR[21],"",0,1)</f>
        <v>5</v>
      </c>
      <c r="AH141" cm="1">
        <f t="array" ref="AH141">_xlfn.XLOOKUP(Matrix[[#This Row],[TEAM]]&amp;Matrix[[#Headers],[22]],FDR[FDR]&amp;FDR[[#Headers],[22]],FDR[22],"",0,1)</f>
        <v>3</v>
      </c>
      <c r="AI141" cm="1">
        <f t="array" ref="AI141">_xlfn.XLOOKUP(Matrix[[#This Row],[TEAM]]&amp;Matrix[[#Headers],[23]],FDR[FDR]&amp;FDR[[#Headers],[23]],FDR[23],"",0,1)</f>
        <v>4</v>
      </c>
      <c r="AJ141" cm="1">
        <f t="array" ref="AJ141">_xlfn.XLOOKUP(Matrix[[#This Row],[TEAM]]&amp;Matrix[[#Headers],[24]],FDR[FDR]&amp;FDR[[#Headers],[24]],FDR[24],"",0,1)</f>
        <v>2</v>
      </c>
      <c r="AK141" cm="1">
        <f t="array" ref="AK141">_xlfn.XLOOKUP(Matrix[[#This Row],[TEAM]]&amp;Matrix[[#Headers],[25]],FDR[FDR]&amp;FDR[[#Headers],[25]],FDR[25],"",0,1)</f>
        <v>2</v>
      </c>
      <c r="AL141" cm="1">
        <f t="array" ref="AL141">_xlfn.XLOOKUP(Matrix[[#This Row],[TEAM]]&amp;Matrix[[#Headers],[26]],FDR[FDR]&amp;FDR[[#Headers],[26]],FDR[26],"",0,1)</f>
        <v>5</v>
      </c>
      <c r="AM141" cm="1">
        <f t="array" ref="AM141">_xlfn.XLOOKUP(Matrix[[#This Row],[TEAM]]&amp;Matrix[[#Headers],[27]],FDR[FDR]&amp;FDR[[#Headers],[27]],FDR[27],"",0,1)</f>
        <v>3</v>
      </c>
      <c r="AN141" cm="1">
        <f t="array" ref="AN141">_xlfn.XLOOKUP(Matrix[[#This Row],[TEAM]]&amp;Matrix[[#Headers],[28]],FDR[FDR]&amp;FDR[[#Headers],[28]],FDR[28],"",0,1)</f>
        <v>3</v>
      </c>
      <c r="AO141" cm="1">
        <f t="array" ref="AO141">_xlfn.XLOOKUP(Matrix[[#This Row],[TEAM]]&amp;Matrix[[#Headers],[29]],FDR[FDR]&amp;FDR[[#Headers],[29]],FDR[29],"",0,1)</f>
        <v>4</v>
      </c>
      <c r="AP141" cm="1">
        <f t="array" ref="AP141">_xlfn.XLOOKUP(Matrix[[#This Row],[TEAM]]&amp;Matrix[[#Headers],[30]],FDR[FDR]&amp;FDR[[#Headers],[30]],FDR[30],"",0,1)</f>
        <v>2</v>
      </c>
      <c r="AQ141" cm="1">
        <f t="array" ref="AQ141">_xlfn.XLOOKUP(Matrix[[#This Row],[TEAM]]&amp;Matrix[[#Headers],[31]],FDR[FDR]&amp;FDR[[#Headers],[31]],FDR[31],"",0,1)</f>
        <v>4</v>
      </c>
      <c r="AR141" cm="1">
        <f t="array" ref="AR141">_xlfn.XLOOKUP(Matrix[[#This Row],[TEAM]]&amp;Matrix[[#Headers],[32]],FDR[FDR]&amp;FDR[[#Headers],[32]],FDR[32],"",0,1)</f>
        <v>2</v>
      </c>
      <c r="AS141" cm="1">
        <f t="array" ref="AS141">_xlfn.XLOOKUP(Matrix[[#This Row],[TEAM]]&amp;Matrix[[#Headers],[33]],FDR[FDR]&amp;FDR[[#Headers],[33]],FDR[33],"",0,1)</f>
        <v>5</v>
      </c>
      <c r="AT141" cm="1">
        <f t="array" ref="AT141">_xlfn.XLOOKUP(Matrix[[#This Row],[TEAM]]&amp;Matrix[[#Headers],[34]],FDR[FDR]&amp;FDR[[#Headers],[34]],FDR[34],"",0,1)</f>
        <v>4</v>
      </c>
      <c r="AU141" cm="1">
        <f t="array" ref="AU141">_xlfn.XLOOKUP(Matrix[[#This Row],[TEAM]]&amp;Matrix[[#Headers],[35]],FDR[FDR]&amp;FDR[[#Headers],[35]],FDR[35],"",0,1)</f>
        <v>5</v>
      </c>
      <c r="AV141" cm="1">
        <f t="array" ref="AV141">_xlfn.XLOOKUP(Matrix[[#This Row],[TEAM]]&amp;Matrix[[#Headers],[36]],FDR[FDR]&amp;FDR[[#Headers],[36]],FDR[36],"",0,1)</f>
        <v>1</v>
      </c>
      <c r="AW141" cm="1">
        <f t="array" ref="AW141">_xlfn.XLOOKUP(Matrix[[#This Row],[TEAM]]&amp;Matrix[[#Headers],[37]],FDR[FDR]&amp;FDR[[#Headers],[37]],FDR[37],"",0,1)</f>
        <v>2</v>
      </c>
      <c r="AX141" cm="1">
        <f t="array" ref="AX141">_xlfn.XLOOKUP(Matrix[[#This Row],[TEAM]]&amp;Matrix[[#Headers],[38]],FDR[FDR]&amp;FDR[[#Headers],[38]],FDR[38],"",0,1)</f>
        <v>4</v>
      </c>
    </row>
    <row r="142" spans="1:50" ht="22" thickTop="1" thickBot="1">
      <c r="A142" s="258" t="s">
        <v>656</v>
      </c>
      <c r="B142" s="70" t="s">
        <v>1449</v>
      </c>
      <c r="C142" s="40" t="s">
        <v>22</v>
      </c>
      <c r="D142" s="62">
        <v>0</v>
      </c>
      <c r="E142" s="60">
        <v>1E-3</v>
      </c>
      <c r="F142" s="61">
        <v>0</v>
      </c>
      <c r="G142" s="63">
        <v>5.5</v>
      </c>
      <c r="H142" s="261">
        <f>IF(ISBLANK(I142),0,1)</f>
        <v>0</v>
      </c>
      <c r="I142" s="57"/>
      <c r="J142" s="58"/>
      <c r="K142" s="59" t="s">
        <v>384</v>
      </c>
      <c r="L142" s="59" t="s">
        <v>764</v>
      </c>
      <c r="M142" cm="1">
        <f t="array" ref="M142">_xlfn.XLOOKUP(Matrix[[#This Row],[TEAM]]&amp;Matrix[[#Headers],[1]],FDR[FDR]&amp;FDR[[#Headers],[1]],FDR[1],"",0,1)</f>
        <v>5</v>
      </c>
      <c r="N142" cm="1">
        <f t="array" ref="N142">_xlfn.XLOOKUP(Matrix[[#This Row],[TEAM]]&amp;Matrix[[#Headers],[2]],FDR[FDR]&amp;FDR[[#Headers],[2]],FDR[2],"",0,1)</f>
        <v>3</v>
      </c>
      <c r="O142" cm="1">
        <f t="array" ref="O142">_xlfn.XLOOKUP(Matrix[[#This Row],[TEAM]]&amp;Matrix[[#Headers],[3]],FDR[FDR]&amp;FDR[[#Headers],[3]],FDR[3],"",0,1)</f>
        <v>5</v>
      </c>
      <c r="P142" cm="1">
        <f t="array" ref="P142">_xlfn.XLOOKUP(Matrix[[#This Row],[TEAM]]&amp;Matrix[[#Headers],[4]],FDR[FDR]&amp;FDR[[#Headers],[4]],FDR[4],"",0,1)</f>
        <v>5</v>
      </c>
      <c r="Q142" cm="1">
        <f t="array" ref="Q142">_xlfn.XLOOKUP(Matrix[[#This Row],[TEAM]]&amp;Matrix[[#Headers],[5]],FDR[FDR]&amp;FDR[[#Headers],[5]],FDR[5],"",0,1)</f>
        <v>5</v>
      </c>
      <c r="R142" cm="1">
        <f t="array" ref="R142">_xlfn.XLOOKUP(Matrix[[#This Row],[TEAM]]&amp;Matrix[[#Headers],[6]],FDR[FDR]&amp;FDR[[#Headers],[6]],FDR[6],"",0,1)</f>
        <v>5</v>
      </c>
      <c r="S142" cm="1">
        <f t="array" ref="S142">_xlfn.XLOOKUP(Matrix[[#This Row],[TEAM]]&amp;Matrix[[#Headers],[7]],FDR[FDR]&amp;FDR[[#Headers],[7]],FDR[7],"",0,1)</f>
        <v>5</v>
      </c>
      <c r="T142" cm="1">
        <f t="array" ref="T142">_xlfn.XLOOKUP(Matrix[[#This Row],[TEAM]]&amp;Matrix[[#Headers],[8]],FDR[FDR]&amp;FDR[[#Headers],[8]],FDR[8],"",0,1)</f>
        <v>3</v>
      </c>
      <c r="U142" cm="1">
        <f t="array" ref="U142">_xlfn.XLOOKUP(Matrix[[#This Row],[TEAM]]&amp;Matrix[[#Headers],[9]],FDR[FDR]&amp;FDR[[#Headers],[9]],FDR[9],"",0,1)</f>
        <v>4</v>
      </c>
      <c r="V142" cm="1">
        <f t="array" ref="V142">_xlfn.XLOOKUP(Matrix[[#This Row],[TEAM]]&amp;Matrix[[#Headers],[10]],FDR[FDR]&amp;FDR[[#Headers],[10]],FDR[10],"",0,1)</f>
        <v>5</v>
      </c>
      <c r="W142" cm="1">
        <f t="array" ref="W142">_xlfn.XLOOKUP(Matrix[[#This Row],[TEAM]]&amp;Matrix[[#Headers],[11]],FDR[FDR]&amp;FDR[[#Headers],[11]],FDR[11],"",0,1)</f>
        <v>5</v>
      </c>
      <c r="X142" cm="1">
        <f t="array" ref="X142">_xlfn.XLOOKUP(Matrix[[#This Row],[TEAM]]&amp;Matrix[[#Headers],[12]],FDR[FDR]&amp;FDR[[#Headers],[12]],FDR[12],"",0,1)</f>
        <v>5</v>
      </c>
      <c r="Y142" cm="1">
        <f t="array" ref="Y142">_xlfn.XLOOKUP(Matrix[[#This Row],[TEAM]]&amp;Matrix[[#Headers],[13]],FDR[FDR]&amp;FDR[[#Headers],[13]],FDR[13],"",0,1)</f>
        <v>5</v>
      </c>
      <c r="Z142" cm="1">
        <f t="array" ref="Z142">_xlfn.XLOOKUP(Matrix[[#This Row],[TEAM]]&amp;Matrix[[#Headers],[14]],FDR[FDR]&amp;FDR[[#Headers],[14]],FDR[14],"",0,1)</f>
        <v>4</v>
      </c>
      <c r="AA142" cm="1">
        <f t="array" ref="AA142">_xlfn.XLOOKUP(Matrix[[#This Row],[TEAM]]&amp;Matrix[[#Headers],[15]],FDR[FDR]&amp;FDR[[#Headers],[15]],FDR[15],"",0,1)</f>
        <v>5</v>
      </c>
      <c r="AB142" cm="1">
        <f t="array" ref="AB142">_xlfn.XLOOKUP(Matrix[[#This Row],[TEAM]]&amp;Matrix[[#Headers],[16]],FDR[FDR]&amp;FDR[[#Headers],[16]],FDR[16],"",0,1)</f>
        <v>5</v>
      </c>
      <c r="AC142" cm="1">
        <f t="array" ref="AC142">_xlfn.XLOOKUP(Matrix[[#This Row],[TEAM]]&amp;Matrix[[#Headers],[17]],FDR[FDR]&amp;FDR[[#Headers],[17]],FDR[17],"",0,1)</f>
        <v>5</v>
      </c>
      <c r="AD142" cm="1">
        <f t="array" ref="AD142">_xlfn.XLOOKUP(Matrix[[#This Row],[TEAM]]&amp;Matrix[[#Headers],[18]],FDR[FDR]&amp;FDR[[#Headers],[18]],FDR[18],"",0,1)</f>
        <v>4</v>
      </c>
      <c r="AE142" cm="1">
        <f t="array" ref="AE142">_xlfn.XLOOKUP(Matrix[[#This Row],[TEAM]]&amp;Matrix[[#Headers],[19]],FDR[FDR]&amp;FDR[[#Headers],[19]],FDR[19],"",0,1)</f>
        <v>5</v>
      </c>
      <c r="AF142" cm="1">
        <f t="array" ref="AF142">_xlfn.XLOOKUP(Matrix[[#This Row],[TEAM]]&amp;Matrix[[#Headers],[20]],FDR[FDR]&amp;FDR[[#Headers],[20]],FDR[20],"",0,1)</f>
        <v>5</v>
      </c>
      <c r="AG142" cm="1">
        <f t="array" ref="AG142">_xlfn.XLOOKUP(Matrix[[#This Row],[TEAM]]&amp;Matrix[[#Headers],[21]],FDR[FDR]&amp;FDR[[#Headers],[21]],FDR[21],"",0,1)</f>
        <v>5</v>
      </c>
      <c r="AH142" cm="1">
        <f t="array" ref="AH142">_xlfn.XLOOKUP(Matrix[[#This Row],[TEAM]]&amp;Matrix[[#Headers],[22]],FDR[FDR]&amp;FDR[[#Headers],[22]],FDR[22],"",0,1)</f>
        <v>5</v>
      </c>
      <c r="AI142" cm="1">
        <f t="array" ref="AI142">_xlfn.XLOOKUP(Matrix[[#This Row],[TEAM]]&amp;Matrix[[#Headers],[23]],FDR[FDR]&amp;FDR[[#Headers],[23]],FDR[23],"",0,1)</f>
        <v>5</v>
      </c>
      <c r="AJ142" cm="1">
        <f t="array" ref="AJ142">_xlfn.XLOOKUP(Matrix[[#This Row],[TEAM]]&amp;Matrix[[#Headers],[24]],FDR[FDR]&amp;FDR[[#Headers],[24]],FDR[24],"",0,1)</f>
        <v>4</v>
      </c>
      <c r="AK142" cm="1">
        <f t="array" ref="AK142">_xlfn.XLOOKUP(Matrix[[#This Row],[TEAM]]&amp;Matrix[[#Headers],[25]],FDR[FDR]&amp;FDR[[#Headers],[25]],FDR[25],"",0,1)</f>
        <v>4</v>
      </c>
      <c r="AL142" cm="1">
        <f t="array" ref="AL142">_xlfn.XLOOKUP(Matrix[[#This Row],[TEAM]]&amp;Matrix[[#Headers],[26]],FDR[FDR]&amp;FDR[[#Headers],[26]],FDR[26],"",0,1)</f>
        <v>5</v>
      </c>
      <c r="AM142" cm="1">
        <f t="array" ref="AM142">_xlfn.XLOOKUP(Matrix[[#This Row],[TEAM]]&amp;Matrix[[#Headers],[27]],FDR[FDR]&amp;FDR[[#Headers],[27]],FDR[27],"",0,1)</f>
        <v>5</v>
      </c>
      <c r="AN142" cm="1">
        <f t="array" ref="AN142">_xlfn.XLOOKUP(Matrix[[#This Row],[TEAM]]&amp;Matrix[[#Headers],[28]],FDR[FDR]&amp;FDR[[#Headers],[28]],FDR[28],"",0,1)</f>
        <v>4</v>
      </c>
      <c r="AO142" cm="1">
        <f t="array" ref="AO142">_xlfn.XLOOKUP(Matrix[[#This Row],[TEAM]]&amp;Matrix[[#Headers],[29]],FDR[FDR]&amp;FDR[[#Headers],[29]],FDR[29],"",0,1)</f>
        <v>5</v>
      </c>
      <c r="AP142" cm="1">
        <f t="array" ref="AP142">_xlfn.XLOOKUP(Matrix[[#This Row],[TEAM]]&amp;Matrix[[#Headers],[30]],FDR[FDR]&amp;FDR[[#Headers],[30]],FDR[30],"",0,1)</f>
        <v>5</v>
      </c>
      <c r="AQ142" cm="1">
        <f t="array" ref="AQ142">_xlfn.XLOOKUP(Matrix[[#This Row],[TEAM]]&amp;Matrix[[#Headers],[31]],FDR[FDR]&amp;FDR[[#Headers],[31]],FDR[31],"",0,1)</f>
        <v>5</v>
      </c>
      <c r="AR142" cm="1">
        <f t="array" ref="AR142">_xlfn.XLOOKUP(Matrix[[#This Row],[TEAM]]&amp;Matrix[[#Headers],[32]],FDR[FDR]&amp;FDR[[#Headers],[32]],FDR[32],"",0,1)</f>
        <v>5</v>
      </c>
      <c r="AS142" cm="1">
        <f t="array" ref="AS142">_xlfn.XLOOKUP(Matrix[[#This Row],[TEAM]]&amp;Matrix[[#Headers],[33]],FDR[FDR]&amp;FDR[[#Headers],[33]],FDR[33],"",0,1)</f>
        <v>5</v>
      </c>
      <c r="AT142" cm="1">
        <f t="array" ref="AT142">_xlfn.XLOOKUP(Matrix[[#This Row],[TEAM]]&amp;Matrix[[#Headers],[34]],FDR[FDR]&amp;FDR[[#Headers],[34]],FDR[34],"",0,1)</f>
        <v>5</v>
      </c>
      <c r="AU142" cm="1">
        <f t="array" ref="AU142">_xlfn.XLOOKUP(Matrix[[#This Row],[TEAM]]&amp;Matrix[[#Headers],[35]],FDR[FDR]&amp;FDR[[#Headers],[35]],FDR[35],"",0,1)</f>
        <v>4</v>
      </c>
      <c r="AV142" cm="1">
        <f t="array" ref="AV142">_xlfn.XLOOKUP(Matrix[[#This Row],[TEAM]]&amp;Matrix[[#Headers],[36]],FDR[FDR]&amp;FDR[[#Headers],[36]],FDR[36],"",0,1)</f>
        <v>5</v>
      </c>
      <c r="AW142" cm="1">
        <f t="array" ref="AW142">_xlfn.XLOOKUP(Matrix[[#This Row],[TEAM]]&amp;Matrix[[#Headers],[37]],FDR[FDR]&amp;FDR[[#Headers],[37]],FDR[37],"",0,1)</f>
        <v>5</v>
      </c>
      <c r="AX142" cm="1">
        <f t="array" ref="AX142">_xlfn.XLOOKUP(Matrix[[#This Row],[TEAM]]&amp;Matrix[[#Headers],[38]],FDR[FDR]&amp;FDR[[#Headers],[38]],FDR[38],"",0,1)</f>
        <v>3</v>
      </c>
    </row>
    <row r="143" spans="1:50" ht="22" thickTop="1" thickBot="1">
      <c r="A143" s="50" t="str">
        <f>INDEX!S$4</f>
        <v>MID</v>
      </c>
      <c r="B143" s="70" t="s">
        <v>1450</v>
      </c>
      <c r="C143" s="40" t="s">
        <v>22</v>
      </c>
      <c r="D143" s="62">
        <v>0</v>
      </c>
      <c r="E143" s="60">
        <v>1E-3</v>
      </c>
      <c r="F143" s="61">
        <v>0</v>
      </c>
      <c r="G143" s="63">
        <v>5.5</v>
      </c>
      <c r="H143" s="261">
        <f>IF(ISBLANK(I143),0,1)</f>
        <v>0</v>
      </c>
      <c r="I143" s="57"/>
      <c r="J143" s="58"/>
      <c r="K143" s="59" t="s">
        <v>484</v>
      </c>
      <c r="L143" s="59" t="s">
        <v>234</v>
      </c>
      <c r="M143" cm="1">
        <f t="array" ref="M143">_xlfn.XLOOKUP(Matrix[[#This Row],[TEAM]]&amp;Matrix[[#Headers],[1]],FDR[FDR]&amp;FDR[[#Headers],[1]],FDR[1],"",0,1)</f>
        <v>5</v>
      </c>
      <c r="N143" cm="1">
        <f t="array" ref="N143">_xlfn.XLOOKUP(Matrix[[#This Row],[TEAM]]&amp;Matrix[[#Headers],[2]],FDR[FDR]&amp;FDR[[#Headers],[2]],FDR[2],"",0,1)</f>
        <v>3</v>
      </c>
      <c r="O143" cm="1">
        <f t="array" ref="O143">_xlfn.XLOOKUP(Matrix[[#This Row],[TEAM]]&amp;Matrix[[#Headers],[3]],FDR[FDR]&amp;FDR[[#Headers],[3]],FDR[3],"",0,1)</f>
        <v>5</v>
      </c>
      <c r="P143" cm="1">
        <f t="array" ref="P143">_xlfn.XLOOKUP(Matrix[[#This Row],[TEAM]]&amp;Matrix[[#Headers],[4]],FDR[FDR]&amp;FDR[[#Headers],[4]],FDR[4],"",0,1)</f>
        <v>5</v>
      </c>
      <c r="Q143" cm="1">
        <f t="array" ref="Q143">_xlfn.XLOOKUP(Matrix[[#This Row],[TEAM]]&amp;Matrix[[#Headers],[5]],FDR[FDR]&amp;FDR[[#Headers],[5]],FDR[5],"",0,1)</f>
        <v>5</v>
      </c>
      <c r="R143" cm="1">
        <f t="array" ref="R143">_xlfn.XLOOKUP(Matrix[[#This Row],[TEAM]]&amp;Matrix[[#Headers],[6]],FDR[FDR]&amp;FDR[[#Headers],[6]],FDR[6],"",0,1)</f>
        <v>5</v>
      </c>
      <c r="S143" cm="1">
        <f t="array" ref="S143">_xlfn.XLOOKUP(Matrix[[#This Row],[TEAM]]&amp;Matrix[[#Headers],[7]],FDR[FDR]&amp;FDR[[#Headers],[7]],FDR[7],"",0,1)</f>
        <v>5</v>
      </c>
      <c r="T143" cm="1">
        <f t="array" ref="T143">_xlfn.XLOOKUP(Matrix[[#This Row],[TEAM]]&amp;Matrix[[#Headers],[8]],FDR[FDR]&amp;FDR[[#Headers],[8]],FDR[8],"",0,1)</f>
        <v>3</v>
      </c>
      <c r="U143" cm="1">
        <f t="array" ref="U143">_xlfn.XLOOKUP(Matrix[[#This Row],[TEAM]]&amp;Matrix[[#Headers],[9]],FDR[FDR]&amp;FDR[[#Headers],[9]],FDR[9],"",0,1)</f>
        <v>4</v>
      </c>
      <c r="V143" cm="1">
        <f t="array" ref="V143">_xlfn.XLOOKUP(Matrix[[#This Row],[TEAM]]&amp;Matrix[[#Headers],[10]],FDR[FDR]&amp;FDR[[#Headers],[10]],FDR[10],"",0,1)</f>
        <v>5</v>
      </c>
      <c r="W143" cm="1">
        <f t="array" ref="W143">_xlfn.XLOOKUP(Matrix[[#This Row],[TEAM]]&amp;Matrix[[#Headers],[11]],FDR[FDR]&amp;FDR[[#Headers],[11]],FDR[11],"",0,1)</f>
        <v>5</v>
      </c>
      <c r="X143" cm="1">
        <f t="array" ref="X143">_xlfn.XLOOKUP(Matrix[[#This Row],[TEAM]]&amp;Matrix[[#Headers],[12]],FDR[FDR]&amp;FDR[[#Headers],[12]],FDR[12],"",0,1)</f>
        <v>5</v>
      </c>
      <c r="Y143" cm="1">
        <f t="array" ref="Y143">_xlfn.XLOOKUP(Matrix[[#This Row],[TEAM]]&amp;Matrix[[#Headers],[13]],FDR[FDR]&amp;FDR[[#Headers],[13]],FDR[13],"",0,1)</f>
        <v>5</v>
      </c>
      <c r="Z143" cm="1">
        <f t="array" ref="Z143">_xlfn.XLOOKUP(Matrix[[#This Row],[TEAM]]&amp;Matrix[[#Headers],[14]],FDR[FDR]&amp;FDR[[#Headers],[14]],FDR[14],"",0,1)</f>
        <v>4</v>
      </c>
      <c r="AA143" cm="1">
        <f t="array" ref="AA143">_xlfn.XLOOKUP(Matrix[[#This Row],[TEAM]]&amp;Matrix[[#Headers],[15]],FDR[FDR]&amp;FDR[[#Headers],[15]],FDR[15],"",0,1)</f>
        <v>5</v>
      </c>
      <c r="AB143" cm="1">
        <f t="array" ref="AB143">_xlfn.XLOOKUP(Matrix[[#This Row],[TEAM]]&amp;Matrix[[#Headers],[16]],FDR[FDR]&amp;FDR[[#Headers],[16]],FDR[16],"",0,1)</f>
        <v>5</v>
      </c>
      <c r="AC143" cm="1">
        <f t="array" ref="AC143">_xlfn.XLOOKUP(Matrix[[#This Row],[TEAM]]&amp;Matrix[[#Headers],[17]],FDR[FDR]&amp;FDR[[#Headers],[17]],FDR[17],"",0,1)</f>
        <v>5</v>
      </c>
      <c r="AD143" cm="1">
        <f t="array" ref="AD143">_xlfn.XLOOKUP(Matrix[[#This Row],[TEAM]]&amp;Matrix[[#Headers],[18]],FDR[FDR]&amp;FDR[[#Headers],[18]],FDR[18],"",0,1)</f>
        <v>4</v>
      </c>
      <c r="AE143" cm="1">
        <f t="array" ref="AE143">_xlfn.XLOOKUP(Matrix[[#This Row],[TEAM]]&amp;Matrix[[#Headers],[19]],FDR[FDR]&amp;FDR[[#Headers],[19]],FDR[19],"",0,1)</f>
        <v>5</v>
      </c>
      <c r="AF143" cm="1">
        <f t="array" ref="AF143">_xlfn.XLOOKUP(Matrix[[#This Row],[TEAM]]&amp;Matrix[[#Headers],[20]],FDR[FDR]&amp;FDR[[#Headers],[20]],FDR[20],"",0,1)</f>
        <v>5</v>
      </c>
      <c r="AG143" cm="1">
        <f t="array" ref="AG143">_xlfn.XLOOKUP(Matrix[[#This Row],[TEAM]]&amp;Matrix[[#Headers],[21]],FDR[FDR]&amp;FDR[[#Headers],[21]],FDR[21],"",0,1)</f>
        <v>5</v>
      </c>
      <c r="AH143" cm="1">
        <f t="array" ref="AH143">_xlfn.XLOOKUP(Matrix[[#This Row],[TEAM]]&amp;Matrix[[#Headers],[22]],FDR[FDR]&amp;FDR[[#Headers],[22]],FDR[22],"",0,1)</f>
        <v>5</v>
      </c>
      <c r="AI143" cm="1">
        <f t="array" ref="AI143">_xlfn.XLOOKUP(Matrix[[#This Row],[TEAM]]&amp;Matrix[[#Headers],[23]],FDR[FDR]&amp;FDR[[#Headers],[23]],FDR[23],"",0,1)</f>
        <v>5</v>
      </c>
      <c r="AJ143" cm="1">
        <f t="array" ref="AJ143">_xlfn.XLOOKUP(Matrix[[#This Row],[TEAM]]&amp;Matrix[[#Headers],[24]],FDR[FDR]&amp;FDR[[#Headers],[24]],FDR[24],"",0,1)</f>
        <v>4</v>
      </c>
      <c r="AK143" cm="1">
        <f t="array" ref="AK143">_xlfn.XLOOKUP(Matrix[[#This Row],[TEAM]]&amp;Matrix[[#Headers],[25]],FDR[FDR]&amp;FDR[[#Headers],[25]],FDR[25],"",0,1)</f>
        <v>4</v>
      </c>
      <c r="AL143" cm="1">
        <f t="array" ref="AL143">_xlfn.XLOOKUP(Matrix[[#This Row],[TEAM]]&amp;Matrix[[#Headers],[26]],FDR[FDR]&amp;FDR[[#Headers],[26]],FDR[26],"",0,1)</f>
        <v>5</v>
      </c>
      <c r="AM143" cm="1">
        <f t="array" ref="AM143">_xlfn.XLOOKUP(Matrix[[#This Row],[TEAM]]&amp;Matrix[[#Headers],[27]],FDR[FDR]&amp;FDR[[#Headers],[27]],FDR[27],"",0,1)</f>
        <v>5</v>
      </c>
      <c r="AN143" cm="1">
        <f t="array" ref="AN143">_xlfn.XLOOKUP(Matrix[[#This Row],[TEAM]]&amp;Matrix[[#Headers],[28]],FDR[FDR]&amp;FDR[[#Headers],[28]],FDR[28],"",0,1)</f>
        <v>4</v>
      </c>
      <c r="AO143" cm="1">
        <f t="array" ref="AO143">_xlfn.XLOOKUP(Matrix[[#This Row],[TEAM]]&amp;Matrix[[#Headers],[29]],FDR[FDR]&amp;FDR[[#Headers],[29]],FDR[29],"",0,1)</f>
        <v>5</v>
      </c>
      <c r="AP143" cm="1">
        <f t="array" ref="AP143">_xlfn.XLOOKUP(Matrix[[#This Row],[TEAM]]&amp;Matrix[[#Headers],[30]],FDR[FDR]&amp;FDR[[#Headers],[30]],FDR[30],"",0,1)</f>
        <v>5</v>
      </c>
      <c r="AQ143" cm="1">
        <f t="array" ref="AQ143">_xlfn.XLOOKUP(Matrix[[#This Row],[TEAM]]&amp;Matrix[[#Headers],[31]],FDR[FDR]&amp;FDR[[#Headers],[31]],FDR[31],"",0,1)</f>
        <v>5</v>
      </c>
      <c r="AR143" cm="1">
        <f t="array" ref="AR143">_xlfn.XLOOKUP(Matrix[[#This Row],[TEAM]]&amp;Matrix[[#Headers],[32]],FDR[FDR]&amp;FDR[[#Headers],[32]],FDR[32],"",0,1)</f>
        <v>5</v>
      </c>
      <c r="AS143" cm="1">
        <f t="array" ref="AS143">_xlfn.XLOOKUP(Matrix[[#This Row],[TEAM]]&amp;Matrix[[#Headers],[33]],FDR[FDR]&amp;FDR[[#Headers],[33]],FDR[33],"",0,1)</f>
        <v>5</v>
      </c>
      <c r="AT143" cm="1">
        <f t="array" ref="AT143">_xlfn.XLOOKUP(Matrix[[#This Row],[TEAM]]&amp;Matrix[[#Headers],[34]],FDR[FDR]&amp;FDR[[#Headers],[34]],FDR[34],"",0,1)</f>
        <v>5</v>
      </c>
      <c r="AU143" cm="1">
        <f t="array" ref="AU143">_xlfn.XLOOKUP(Matrix[[#This Row],[TEAM]]&amp;Matrix[[#Headers],[35]],FDR[FDR]&amp;FDR[[#Headers],[35]],FDR[35],"",0,1)</f>
        <v>4</v>
      </c>
      <c r="AV143" cm="1">
        <f t="array" ref="AV143">_xlfn.XLOOKUP(Matrix[[#This Row],[TEAM]]&amp;Matrix[[#Headers],[36]],FDR[FDR]&amp;FDR[[#Headers],[36]],FDR[36],"",0,1)</f>
        <v>5</v>
      </c>
      <c r="AW143" cm="1">
        <f t="array" ref="AW143">_xlfn.XLOOKUP(Matrix[[#This Row],[TEAM]]&amp;Matrix[[#Headers],[37]],FDR[FDR]&amp;FDR[[#Headers],[37]],FDR[37],"",0,1)</f>
        <v>5</v>
      </c>
      <c r="AX143" cm="1">
        <f t="array" ref="AX143">_xlfn.XLOOKUP(Matrix[[#This Row],[TEAM]]&amp;Matrix[[#Headers],[38]],FDR[FDR]&amp;FDR[[#Headers],[38]],FDR[38],"",0,1)</f>
        <v>3</v>
      </c>
    </row>
    <row r="144" spans="1:50" ht="22" thickTop="1" thickBot="1">
      <c r="A144" s="50" t="str">
        <f>INDEX!S$4</f>
        <v>MID</v>
      </c>
      <c r="B144" s="70" t="s">
        <v>1474</v>
      </c>
      <c r="C144" s="40" t="s">
        <v>22</v>
      </c>
      <c r="D144" s="62">
        <v>0</v>
      </c>
      <c r="E144" s="60">
        <v>0</v>
      </c>
      <c r="F144" s="61">
        <v>0</v>
      </c>
      <c r="G144" s="63">
        <v>5.5</v>
      </c>
      <c r="H144" s="261">
        <f>IF(ISBLANK(I144),0,1)</f>
        <v>0</v>
      </c>
      <c r="I144" s="57"/>
      <c r="J144" s="58"/>
      <c r="K144" s="59" t="s">
        <v>453</v>
      </c>
      <c r="L144" s="59" t="s">
        <v>224</v>
      </c>
      <c r="M144" cm="1">
        <f t="array" ref="M144">_xlfn.XLOOKUP(Matrix[[#This Row],[TEAM]]&amp;Matrix[[#Headers],[1]],FDR[FDR]&amp;FDR[[#Headers],[1]],FDR[1],"",0,1)</f>
        <v>5</v>
      </c>
      <c r="N144" cm="1">
        <f t="array" ref="N144">_xlfn.XLOOKUP(Matrix[[#This Row],[TEAM]]&amp;Matrix[[#Headers],[2]],FDR[FDR]&amp;FDR[[#Headers],[2]],FDR[2],"",0,1)</f>
        <v>3</v>
      </c>
      <c r="O144" cm="1">
        <f t="array" ref="O144">_xlfn.XLOOKUP(Matrix[[#This Row],[TEAM]]&amp;Matrix[[#Headers],[3]],FDR[FDR]&amp;FDR[[#Headers],[3]],FDR[3],"",0,1)</f>
        <v>5</v>
      </c>
      <c r="P144" cm="1">
        <f t="array" ref="P144">_xlfn.XLOOKUP(Matrix[[#This Row],[TEAM]]&amp;Matrix[[#Headers],[4]],FDR[FDR]&amp;FDR[[#Headers],[4]],FDR[4],"",0,1)</f>
        <v>5</v>
      </c>
      <c r="Q144" cm="1">
        <f t="array" ref="Q144">_xlfn.XLOOKUP(Matrix[[#This Row],[TEAM]]&amp;Matrix[[#Headers],[5]],FDR[FDR]&amp;FDR[[#Headers],[5]],FDR[5],"",0,1)</f>
        <v>5</v>
      </c>
      <c r="R144" cm="1">
        <f t="array" ref="R144">_xlfn.XLOOKUP(Matrix[[#This Row],[TEAM]]&amp;Matrix[[#Headers],[6]],FDR[FDR]&amp;FDR[[#Headers],[6]],FDR[6],"",0,1)</f>
        <v>5</v>
      </c>
      <c r="S144" cm="1">
        <f t="array" ref="S144">_xlfn.XLOOKUP(Matrix[[#This Row],[TEAM]]&amp;Matrix[[#Headers],[7]],FDR[FDR]&amp;FDR[[#Headers],[7]],FDR[7],"",0,1)</f>
        <v>5</v>
      </c>
      <c r="T144" cm="1">
        <f t="array" ref="T144">_xlfn.XLOOKUP(Matrix[[#This Row],[TEAM]]&amp;Matrix[[#Headers],[8]],FDR[FDR]&amp;FDR[[#Headers],[8]],FDR[8],"",0,1)</f>
        <v>3</v>
      </c>
      <c r="U144" cm="1">
        <f t="array" ref="U144">_xlfn.XLOOKUP(Matrix[[#This Row],[TEAM]]&amp;Matrix[[#Headers],[9]],FDR[FDR]&amp;FDR[[#Headers],[9]],FDR[9],"",0,1)</f>
        <v>4</v>
      </c>
      <c r="V144" cm="1">
        <f t="array" ref="V144">_xlfn.XLOOKUP(Matrix[[#This Row],[TEAM]]&amp;Matrix[[#Headers],[10]],FDR[FDR]&amp;FDR[[#Headers],[10]],FDR[10],"",0,1)</f>
        <v>5</v>
      </c>
      <c r="W144" cm="1">
        <f t="array" ref="W144">_xlfn.XLOOKUP(Matrix[[#This Row],[TEAM]]&amp;Matrix[[#Headers],[11]],FDR[FDR]&amp;FDR[[#Headers],[11]],FDR[11],"",0,1)</f>
        <v>5</v>
      </c>
      <c r="X144" cm="1">
        <f t="array" ref="X144">_xlfn.XLOOKUP(Matrix[[#This Row],[TEAM]]&amp;Matrix[[#Headers],[12]],FDR[FDR]&amp;FDR[[#Headers],[12]],FDR[12],"",0,1)</f>
        <v>5</v>
      </c>
      <c r="Y144" cm="1">
        <f t="array" ref="Y144">_xlfn.XLOOKUP(Matrix[[#This Row],[TEAM]]&amp;Matrix[[#Headers],[13]],FDR[FDR]&amp;FDR[[#Headers],[13]],FDR[13],"",0,1)</f>
        <v>5</v>
      </c>
      <c r="Z144" cm="1">
        <f t="array" ref="Z144">_xlfn.XLOOKUP(Matrix[[#This Row],[TEAM]]&amp;Matrix[[#Headers],[14]],FDR[FDR]&amp;FDR[[#Headers],[14]],FDR[14],"",0,1)</f>
        <v>4</v>
      </c>
      <c r="AA144" cm="1">
        <f t="array" ref="AA144">_xlfn.XLOOKUP(Matrix[[#This Row],[TEAM]]&amp;Matrix[[#Headers],[15]],FDR[FDR]&amp;FDR[[#Headers],[15]],FDR[15],"",0,1)</f>
        <v>5</v>
      </c>
      <c r="AB144" cm="1">
        <f t="array" ref="AB144">_xlfn.XLOOKUP(Matrix[[#This Row],[TEAM]]&amp;Matrix[[#Headers],[16]],FDR[FDR]&amp;FDR[[#Headers],[16]],FDR[16],"",0,1)</f>
        <v>5</v>
      </c>
      <c r="AC144" cm="1">
        <f t="array" ref="AC144">_xlfn.XLOOKUP(Matrix[[#This Row],[TEAM]]&amp;Matrix[[#Headers],[17]],FDR[FDR]&amp;FDR[[#Headers],[17]],FDR[17],"",0,1)</f>
        <v>5</v>
      </c>
      <c r="AD144" cm="1">
        <f t="array" ref="AD144">_xlfn.XLOOKUP(Matrix[[#This Row],[TEAM]]&amp;Matrix[[#Headers],[18]],FDR[FDR]&amp;FDR[[#Headers],[18]],FDR[18],"",0,1)</f>
        <v>4</v>
      </c>
      <c r="AE144" cm="1">
        <f t="array" ref="AE144">_xlfn.XLOOKUP(Matrix[[#This Row],[TEAM]]&amp;Matrix[[#Headers],[19]],FDR[FDR]&amp;FDR[[#Headers],[19]],FDR[19],"",0,1)</f>
        <v>5</v>
      </c>
      <c r="AF144" cm="1">
        <f t="array" ref="AF144">_xlfn.XLOOKUP(Matrix[[#This Row],[TEAM]]&amp;Matrix[[#Headers],[20]],FDR[FDR]&amp;FDR[[#Headers],[20]],FDR[20],"",0,1)</f>
        <v>5</v>
      </c>
      <c r="AG144" cm="1">
        <f t="array" ref="AG144">_xlfn.XLOOKUP(Matrix[[#This Row],[TEAM]]&amp;Matrix[[#Headers],[21]],FDR[FDR]&amp;FDR[[#Headers],[21]],FDR[21],"",0,1)</f>
        <v>5</v>
      </c>
      <c r="AH144" cm="1">
        <f t="array" ref="AH144">_xlfn.XLOOKUP(Matrix[[#This Row],[TEAM]]&amp;Matrix[[#Headers],[22]],FDR[FDR]&amp;FDR[[#Headers],[22]],FDR[22],"",0,1)</f>
        <v>5</v>
      </c>
      <c r="AI144" cm="1">
        <f t="array" ref="AI144">_xlfn.XLOOKUP(Matrix[[#This Row],[TEAM]]&amp;Matrix[[#Headers],[23]],FDR[FDR]&amp;FDR[[#Headers],[23]],FDR[23],"",0,1)</f>
        <v>5</v>
      </c>
      <c r="AJ144" cm="1">
        <f t="array" ref="AJ144">_xlfn.XLOOKUP(Matrix[[#This Row],[TEAM]]&amp;Matrix[[#Headers],[24]],FDR[FDR]&amp;FDR[[#Headers],[24]],FDR[24],"",0,1)</f>
        <v>4</v>
      </c>
      <c r="AK144" cm="1">
        <f t="array" ref="AK144">_xlfn.XLOOKUP(Matrix[[#This Row],[TEAM]]&amp;Matrix[[#Headers],[25]],FDR[FDR]&amp;FDR[[#Headers],[25]],FDR[25],"",0,1)</f>
        <v>4</v>
      </c>
      <c r="AL144" cm="1">
        <f t="array" ref="AL144">_xlfn.XLOOKUP(Matrix[[#This Row],[TEAM]]&amp;Matrix[[#Headers],[26]],FDR[FDR]&amp;FDR[[#Headers],[26]],FDR[26],"",0,1)</f>
        <v>5</v>
      </c>
      <c r="AM144" cm="1">
        <f t="array" ref="AM144">_xlfn.XLOOKUP(Matrix[[#This Row],[TEAM]]&amp;Matrix[[#Headers],[27]],FDR[FDR]&amp;FDR[[#Headers],[27]],FDR[27],"",0,1)</f>
        <v>5</v>
      </c>
      <c r="AN144" cm="1">
        <f t="array" ref="AN144">_xlfn.XLOOKUP(Matrix[[#This Row],[TEAM]]&amp;Matrix[[#Headers],[28]],FDR[FDR]&amp;FDR[[#Headers],[28]],FDR[28],"",0,1)</f>
        <v>4</v>
      </c>
      <c r="AO144" cm="1">
        <f t="array" ref="AO144">_xlfn.XLOOKUP(Matrix[[#This Row],[TEAM]]&amp;Matrix[[#Headers],[29]],FDR[FDR]&amp;FDR[[#Headers],[29]],FDR[29],"",0,1)</f>
        <v>5</v>
      </c>
      <c r="AP144" cm="1">
        <f t="array" ref="AP144">_xlfn.XLOOKUP(Matrix[[#This Row],[TEAM]]&amp;Matrix[[#Headers],[30]],FDR[FDR]&amp;FDR[[#Headers],[30]],FDR[30],"",0,1)</f>
        <v>5</v>
      </c>
      <c r="AQ144" cm="1">
        <f t="array" ref="AQ144">_xlfn.XLOOKUP(Matrix[[#This Row],[TEAM]]&amp;Matrix[[#Headers],[31]],FDR[FDR]&amp;FDR[[#Headers],[31]],FDR[31],"",0,1)</f>
        <v>5</v>
      </c>
      <c r="AR144" cm="1">
        <f t="array" ref="AR144">_xlfn.XLOOKUP(Matrix[[#This Row],[TEAM]]&amp;Matrix[[#Headers],[32]],FDR[FDR]&amp;FDR[[#Headers],[32]],FDR[32],"",0,1)</f>
        <v>5</v>
      </c>
      <c r="AS144" cm="1">
        <f t="array" ref="AS144">_xlfn.XLOOKUP(Matrix[[#This Row],[TEAM]]&amp;Matrix[[#Headers],[33]],FDR[FDR]&amp;FDR[[#Headers],[33]],FDR[33],"",0,1)</f>
        <v>5</v>
      </c>
      <c r="AT144" cm="1">
        <f t="array" ref="AT144">_xlfn.XLOOKUP(Matrix[[#This Row],[TEAM]]&amp;Matrix[[#Headers],[34]],FDR[FDR]&amp;FDR[[#Headers],[34]],FDR[34],"",0,1)</f>
        <v>5</v>
      </c>
      <c r="AU144" cm="1">
        <f t="array" ref="AU144">_xlfn.XLOOKUP(Matrix[[#This Row],[TEAM]]&amp;Matrix[[#Headers],[35]],FDR[FDR]&amp;FDR[[#Headers],[35]],FDR[35],"",0,1)</f>
        <v>4</v>
      </c>
      <c r="AV144" cm="1">
        <f t="array" ref="AV144">_xlfn.XLOOKUP(Matrix[[#This Row],[TEAM]]&amp;Matrix[[#Headers],[36]],FDR[FDR]&amp;FDR[[#Headers],[36]],FDR[36],"",0,1)</f>
        <v>5</v>
      </c>
      <c r="AW144" cm="1">
        <f t="array" ref="AW144">_xlfn.XLOOKUP(Matrix[[#This Row],[TEAM]]&amp;Matrix[[#Headers],[37]],FDR[FDR]&amp;FDR[[#Headers],[37]],FDR[37],"",0,1)</f>
        <v>5</v>
      </c>
      <c r="AX144" cm="1">
        <f t="array" ref="AX144">_xlfn.XLOOKUP(Matrix[[#This Row],[TEAM]]&amp;Matrix[[#Headers],[38]],FDR[FDR]&amp;FDR[[#Headers],[38]],FDR[38],"",0,1)</f>
        <v>3</v>
      </c>
    </row>
    <row r="145" spans="1:50" ht="22" thickTop="1" thickBot="1">
      <c r="A145" s="50" t="str">
        <f>INDEX!S$4</f>
        <v>MID</v>
      </c>
      <c r="B145" s="70" t="s">
        <v>1416</v>
      </c>
      <c r="C145" s="40" t="s">
        <v>633</v>
      </c>
      <c r="D145" s="62">
        <v>0</v>
      </c>
      <c r="E145" s="60">
        <v>7.0000000000000001E-3</v>
      </c>
      <c r="F145" s="61">
        <v>0</v>
      </c>
      <c r="G145" s="63">
        <v>5.5</v>
      </c>
      <c r="H145" s="261">
        <f>IF(ISBLANK(I145),0,1)</f>
        <v>0</v>
      </c>
      <c r="I145" s="57"/>
      <c r="J145" s="58"/>
      <c r="K145" s="59" t="s">
        <v>441</v>
      </c>
      <c r="L145" s="59" t="s">
        <v>111</v>
      </c>
      <c r="M145" cm="1">
        <f t="array" ref="M145">_xlfn.XLOOKUP(Matrix[[#This Row],[TEAM]]&amp;Matrix[[#Headers],[1]],FDR[FDR]&amp;FDR[[#Headers],[1]],FDR[1],"",0,1)</f>
        <v>4</v>
      </c>
      <c r="N145" cm="1">
        <f t="array" ref="N145">_xlfn.XLOOKUP(Matrix[[#This Row],[TEAM]]&amp;Matrix[[#Headers],[2]],FDR[FDR]&amp;FDR[[#Headers],[2]],FDR[2],"",0,1)</f>
        <v>5</v>
      </c>
      <c r="O145" cm="1">
        <f t="array" ref="O145">_xlfn.XLOOKUP(Matrix[[#This Row],[TEAM]]&amp;Matrix[[#Headers],[3]],FDR[FDR]&amp;FDR[[#Headers],[3]],FDR[3],"",0,1)</f>
        <v>5</v>
      </c>
      <c r="P145" cm="1">
        <f t="array" ref="P145">_xlfn.XLOOKUP(Matrix[[#This Row],[TEAM]]&amp;Matrix[[#Headers],[4]],FDR[FDR]&amp;FDR[[#Headers],[4]],FDR[4],"",0,1)</f>
        <v>5</v>
      </c>
      <c r="Q145" cm="1">
        <f t="array" ref="Q145">_xlfn.XLOOKUP(Matrix[[#This Row],[TEAM]]&amp;Matrix[[#Headers],[5]],FDR[FDR]&amp;FDR[[#Headers],[5]],FDR[5],"",0,1)</f>
        <v>4</v>
      </c>
      <c r="R145" cm="1">
        <f t="array" ref="R145">_xlfn.XLOOKUP(Matrix[[#This Row],[TEAM]]&amp;Matrix[[#Headers],[6]],FDR[FDR]&amp;FDR[[#Headers],[6]],FDR[6],"",0,1)</f>
        <v>5</v>
      </c>
      <c r="S145" cm="1">
        <f t="array" ref="S145">_xlfn.XLOOKUP(Matrix[[#This Row],[TEAM]]&amp;Matrix[[#Headers],[7]],FDR[FDR]&amp;FDR[[#Headers],[7]],FDR[7],"",0,1)</f>
        <v>5</v>
      </c>
      <c r="T145" cm="1">
        <f t="array" ref="T145">_xlfn.XLOOKUP(Matrix[[#This Row],[TEAM]]&amp;Matrix[[#Headers],[8]],FDR[FDR]&amp;FDR[[#Headers],[8]],FDR[8],"",0,1)</f>
        <v>4</v>
      </c>
      <c r="U145" cm="1">
        <f t="array" ref="U145">_xlfn.XLOOKUP(Matrix[[#This Row],[TEAM]]&amp;Matrix[[#Headers],[9]],FDR[FDR]&amp;FDR[[#Headers],[9]],FDR[9],"",0,1)</f>
        <v>4</v>
      </c>
      <c r="V145" cm="1">
        <f t="array" ref="V145">_xlfn.XLOOKUP(Matrix[[#This Row],[TEAM]]&amp;Matrix[[#Headers],[10]],FDR[FDR]&amp;FDR[[#Headers],[10]],FDR[10],"",0,1)</f>
        <v>5</v>
      </c>
      <c r="W145" cm="1">
        <f t="array" ref="W145">_xlfn.XLOOKUP(Matrix[[#This Row],[TEAM]]&amp;Matrix[[#Headers],[11]],FDR[FDR]&amp;FDR[[#Headers],[11]],FDR[11],"",0,1)</f>
        <v>5</v>
      </c>
      <c r="X145" cm="1">
        <f t="array" ref="X145">_xlfn.XLOOKUP(Matrix[[#This Row],[TEAM]]&amp;Matrix[[#Headers],[12]],FDR[FDR]&amp;FDR[[#Headers],[12]],FDR[12],"",0,1)</f>
        <v>5</v>
      </c>
      <c r="Y145" cm="1">
        <f t="array" ref="Y145">_xlfn.XLOOKUP(Matrix[[#This Row],[TEAM]]&amp;Matrix[[#Headers],[13]],FDR[FDR]&amp;FDR[[#Headers],[13]],FDR[13],"",0,1)</f>
        <v>5</v>
      </c>
      <c r="Z145" cm="1">
        <f t="array" ref="Z145">_xlfn.XLOOKUP(Matrix[[#This Row],[TEAM]]&amp;Matrix[[#Headers],[14]],FDR[FDR]&amp;FDR[[#Headers],[14]],FDR[14],"",0,1)</f>
        <v>5</v>
      </c>
      <c r="AA145" cm="1">
        <f t="array" ref="AA145">_xlfn.XLOOKUP(Matrix[[#This Row],[TEAM]]&amp;Matrix[[#Headers],[15]],FDR[FDR]&amp;FDR[[#Headers],[15]],FDR[15],"",0,1)</f>
        <v>5</v>
      </c>
      <c r="AB145" cm="1">
        <f t="array" ref="AB145">_xlfn.XLOOKUP(Matrix[[#This Row],[TEAM]]&amp;Matrix[[#Headers],[16]],FDR[FDR]&amp;FDR[[#Headers],[16]],FDR[16],"",0,1)</f>
        <v>5</v>
      </c>
      <c r="AC145" cm="1">
        <f t="array" ref="AC145">_xlfn.XLOOKUP(Matrix[[#This Row],[TEAM]]&amp;Matrix[[#Headers],[17]],FDR[FDR]&amp;FDR[[#Headers],[17]],FDR[17],"",0,1)</f>
        <v>4</v>
      </c>
      <c r="AD145" cm="1">
        <f t="array" ref="AD145">_xlfn.XLOOKUP(Matrix[[#This Row],[TEAM]]&amp;Matrix[[#Headers],[18]],FDR[FDR]&amp;FDR[[#Headers],[18]],FDR[18],"",0,1)</f>
        <v>4</v>
      </c>
      <c r="AE145" cm="1">
        <f t="array" ref="AE145">_xlfn.XLOOKUP(Matrix[[#This Row],[TEAM]]&amp;Matrix[[#Headers],[19]],FDR[FDR]&amp;FDR[[#Headers],[19]],FDR[19],"",0,1)</f>
        <v>5</v>
      </c>
      <c r="AF145" cm="1">
        <f t="array" ref="AF145">_xlfn.XLOOKUP(Matrix[[#This Row],[TEAM]]&amp;Matrix[[#Headers],[20]],FDR[FDR]&amp;FDR[[#Headers],[20]],FDR[20],"",0,1)</f>
        <v>5</v>
      </c>
      <c r="AG145" cm="1">
        <f t="array" ref="AG145">_xlfn.XLOOKUP(Matrix[[#This Row],[TEAM]]&amp;Matrix[[#Headers],[21]],FDR[FDR]&amp;FDR[[#Headers],[21]],FDR[21],"",0,1)</f>
        <v>5</v>
      </c>
      <c r="AH145" cm="1">
        <f t="array" ref="AH145">_xlfn.XLOOKUP(Matrix[[#This Row],[TEAM]]&amp;Matrix[[#Headers],[22]],FDR[FDR]&amp;FDR[[#Headers],[22]],FDR[22],"",0,1)</f>
        <v>5</v>
      </c>
      <c r="AI145" cm="1">
        <f t="array" ref="AI145">_xlfn.XLOOKUP(Matrix[[#This Row],[TEAM]]&amp;Matrix[[#Headers],[23]],FDR[FDR]&amp;FDR[[#Headers],[23]],FDR[23],"",0,1)</f>
        <v>5</v>
      </c>
      <c r="AJ145" cm="1">
        <f t="array" ref="AJ145">_xlfn.XLOOKUP(Matrix[[#This Row],[TEAM]]&amp;Matrix[[#Headers],[24]],FDR[FDR]&amp;FDR[[#Headers],[24]],FDR[24],"",0,1)</f>
        <v>5</v>
      </c>
      <c r="AK145" cm="1">
        <f t="array" ref="AK145">_xlfn.XLOOKUP(Matrix[[#This Row],[TEAM]]&amp;Matrix[[#Headers],[25]],FDR[FDR]&amp;FDR[[#Headers],[25]],FDR[25],"",0,1)</f>
        <v>5</v>
      </c>
      <c r="AL145" cm="1">
        <f t="array" ref="AL145">_xlfn.XLOOKUP(Matrix[[#This Row],[TEAM]]&amp;Matrix[[#Headers],[26]],FDR[FDR]&amp;FDR[[#Headers],[26]],FDR[26],"",0,1)</f>
        <v>5</v>
      </c>
      <c r="AM145" cm="1">
        <f t="array" ref="AM145">_xlfn.XLOOKUP(Matrix[[#This Row],[TEAM]]&amp;Matrix[[#Headers],[27]],FDR[FDR]&amp;FDR[[#Headers],[27]],FDR[27],"",0,1)</f>
        <v>5</v>
      </c>
      <c r="AN145" cm="1">
        <f t="array" ref="AN145">_xlfn.XLOOKUP(Matrix[[#This Row],[TEAM]]&amp;Matrix[[#Headers],[28]],FDR[FDR]&amp;FDR[[#Headers],[28]],FDR[28],"",0,1)</f>
        <v>5</v>
      </c>
      <c r="AO145" cm="1">
        <f t="array" ref="AO145">_xlfn.XLOOKUP(Matrix[[#This Row],[TEAM]]&amp;Matrix[[#Headers],[29]],FDR[FDR]&amp;FDR[[#Headers],[29]],FDR[29],"",0,1)</f>
        <v>3</v>
      </c>
      <c r="AP145" cm="1">
        <f t="array" ref="AP145">_xlfn.XLOOKUP(Matrix[[#This Row],[TEAM]]&amp;Matrix[[#Headers],[30]],FDR[FDR]&amp;FDR[[#Headers],[30]],FDR[30],"",0,1)</f>
        <v>5</v>
      </c>
      <c r="AQ145" cm="1">
        <f t="array" ref="AQ145">_xlfn.XLOOKUP(Matrix[[#This Row],[TEAM]]&amp;Matrix[[#Headers],[31]],FDR[FDR]&amp;FDR[[#Headers],[31]],FDR[31],"",0,1)</f>
        <v>4</v>
      </c>
      <c r="AR145" cm="1">
        <f t="array" ref="AR145">_xlfn.XLOOKUP(Matrix[[#This Row],[TEAM]]&amp;Matrix[[#Headers],[32]],FDR[FDR]&amp;FDR[[#Headers],[32]],FDR[32],"",0,1)</f>
        <v>5</v>
      </c>
      <c r="AS145" cm="1">
        <f t="array" ref="AS145">_xlfn.XLOOKUP(Matrix[[#This Row],[TEAM]]&amp;Matrix[[#Headers],[33]],FDR[FDR]&amp;FDR[[#Headers],[33]],FDR[33],"",0,1)</f>
        <v>3</v>
      </c>
      <c r="AT145" cm="1">
        <f t="array" ref="AT145">_xlfn.XLOOKUP(Matrix[[#This Row],[TEAM]]&amp;Matrix[[#Headers],[34]],FDR[FDR]&amp;FDR[[#Headers],[34]],FDR[34],"",0,1)</f>
        <v>5</v>
      </c>
      <c r="AU145" cm="1">
        <f t="array" ref="AU145">_xlfn.XLOOKUP(Matrix[[#This Row],[TEAM]]&amp;Matrix[[#Headers],[35]],FDR[FDR]&amp;FDR[[#Headers],[35]],FDR[35],"",0,1)</f>
        <v>3</v>
      </c>
      <c r="AV145" cm="1">
        <f t="array" ref="AV145">_xlfn.XLOOKUP(Matrix[[#This Row],[TEAM]]&amp;Matrix[[#Headers],[36]],FDR[FDR]&amp;FDR[[#Headers],[36]],FDR[36],"",0,1)</f>
        <v>5</v>
      </c>
      <c r="AW145" cm="1">
        <f t="array" ref="AW145">_xlfn.XLOOKUP(Matrix[[#This Row],[TEAM]]&amp;Matrix[[#Headers],[37]],FDR[FDR]&amp;FDR[[#Headers],[37]],FDR[37],"",0,1)</f>
        <v>5</v>
      </c>
      <c r="AX145" cm="1">
        <f t="array" ref="AX145">_xlfn.XLOOKUP(Matrix[[#This Row],[TEAM]]&amp;Matrix[[#Headers],[38]],FDR[FDR]&amp;FDR[[#Headers],[38]],FDR[38],"",0,1)</f>
        <v>5</v>
      </c>
    </row>
    <row r="146" spans="1:50" ht="22" thickTop="1" thickBot="1">
      <c r="A146" s="50" t="str">
        <f>INDEX!S$4</f>
        <v>MID</v>
      </c>
      <c r="B146" s="70" t="s">
        <v>1422</v>
      </c>
      <c r="C146" s="40" t="s">
        <v>633</v>
      </c>
      <c r="D146" s="62">
        <v>0</v>
      </c>
      <c r="E146" s="60">
        <v>5.0000000000000001E-3</v>
      </c>
      <c r="F146" s="61">
        <v>0</v>
      </c>
      <c r="G146" s="63">
        <v>5.5</v>
      </c>
      <c r="H146" s="261">
        <f>IF(ISBLANK(I146),0,1)</f>
        <v>0</v>
      </c>
      <c r="I146" s="57"/>
      <c r="J146" s="58"/>
      <c r="K146" s="59" t="s">
        <v>785</v>
      </c>
      <c r="L146" s="59" t="s">
        <v>786</v>
      </c>
      <c r="M146" cm="1">
        <f t="array" ref="M146">_xlfn.XLOOKUP(Matrix[[#This Row],[TEAM]]&amp;Matrix[[#Headers],[1]],FDR[FDR]&amp;FDR[[#Headers],[1]],FDR[1],"",0,1)</f>
        <v>4</v>
      </c>
      <c r="N146" cm="1">
        <f t="array" ref="N146">_xlfn.XLOOKUP(Matrix[[#This Row],[TEAM]]&amp;Matrix[[#Headers],[2]],FDR[FDR]&amp;FDR[[#Headers],[2]],FDR[2],"",0,1)</f>
        <v>5</v>
      </c>
      <c r="O146" cm="1">
        <f t="array" ref="O146">_xlfn.XLOOKUP(Matrix[[#This Row],[TEAM]]&amp;Matrix[[#Headers],[3]],FDR[FDR]&amp;FDR[[#Headers],[3]],FDR[3],"",0,1)</f>
        <v>5</v>
      </c>
      <c r="P146" cm="1">
        <f t="array" ref="P146">_xlfn.XLOOKUP(Matrix[[#This Row],[TEAM]]&amp;Matrix[[#Headers],[4]],FDR[FDR]&amp;FDR[[#Headers],[4]],FDR[4],"",0,1)</f>
        <v>5</v>
      </c>
      <c r="Q146" cm="1">
        <f t="array" ref="Q146">_xlfn.XLOOKUP(Matrix[[#This Row],[TEAM]]&amp;Matrix[[#Headers],[5]],FDR[FDR]&amp;FDR[[#Headers],[5]],FDR[5],"",0,1)</f>
        <v>4</v>
      </c>
      <c r="R146" cm="1">
        <f t="array" ref="R146">_xlfn.XLOOKUP(Matrix[[#This Row],[TEAM]]&amp;Matrix[[#Headers],[6]],FDR[FDR]&amp;FDR[[#Headers],[6]],FDR[6],"",0,1)</f>
        <v>5</v>
      </c>
      <c r="S146" cm="1">
        <f t="array" ref="S146">_xlfn.XLOOKUP(Matrix[[#This Row],[TEAM]]&amp;Matrix[[#Headers],[7]],FDR[FDR]&amp;FDR[[#Headers],[7]],FDR[7],"",0,1)</f>
        <v>5</v>
      </c>
      <c r="T146" cm="1">
        <f t="array" ref="T146">_xlfn.XLOOKUP(Matrix[[#This Row],[TEAM]]&amp;Matrix[[#Headers],[8]],FDR[FDR]&amp;FDR[[#Headers],[8]],FDR[8],"",0,1)</f>
        <v>4</v>
      </c>
      <c r="U146" cm="1">
        <f t="array" ref="U146">_xlfn.XLOOKUP(Matrix[[#This Row],[TEAM]]&amp;Matrix[[#Headers],[9]],FDR[FDR]&amp;FDR[[#Headers],[9]],FDR[9],"",0,1)</f>
        <v>4</v>
      </c>
      <c r="V146" cm="1">
        <f t="array" ref="V146">_xlfn.XLOOKUP(Matrix[[#This Row],[TEAM]]&amp;Matrix[[#Headers],[10]],FDR[FDR]&amp;FDR[[#Headers],[10]],FDR[10],"",0,1)</f>
        <v>5</v>
      </c>
      <c r="W146" cm="1">
        <f t="array" ref="W146">_xlfn.XLOOKUP(Matrix[[#This Row],[TEAM]]&amp;Matrix[[#Headers],[11]],FDR[FDR]&amp;FDR[[#Headers],[11]],FDR[11],"",0,1)</f>
        <v>5</v>
      </c>
      <c r="X146" cm="1">
        <f t="array" ref="X146">_xlfn.XLOOKUP(Matrix[[#This Row],[TEAM]]&amp;Matrix[[#Headers],[12]],FDR[FDR]&amp;FDR[[#Headers],[12]],FDR[12],"",0,1)</f>
        <v>5</v>
      </c>
      <c r="Y146" cm="1">
        <f t="array" ref="Y146">_xlfn.XLOOKUP(Matrix[[#This Row],[TEAM]]&amp;Matrix[[#Headers],[13]],FDR[FDR]&amp;FDR[[#Headers],[13]],FDR[13],"",0,1)</f>
        <v>5</v>
      </c>
      <c r="Z146" cm="1">
        <f t="array" ref="Z146">_xlfn.XLOOKUP(Matrix[[#This Row],[TEAM]]&amp;Matrix[[#Headers],[14]],FDR[FDR]&amp;FDR[[#Headers],[14]],FDR[14],"",0,1)</f>
        <v>5</v>
      </c>
      <c r="AA146" cm="1">
        <f t="array" ref="AA146">_xlfn.XLOOKUP(Matrix[[#This Row],[TEAM]]&amp;Matrix[[#Headers],[15]],FDR[FDR]&amp;FDR[[#Headers],[15]],FDR[15],"",0,1)</f>
        <v>5</v>
      </c>
      <c r="AB146" cm="1">
        <f t="array" ref="AB146">_xlfn.XLOOKUP(Matrix[[#This Row],[TEAM]]&amp;Matrix[[#Headers],[16]],FDR[FDR]&amp;FDR[[#Headers],[16]],FDR[16],"",0,1)</f>
        <v>5</v>
      </c>
      <c r="AC146" cm="1">
        <f t="array" ref="AC146">_xlfn.XLOOKUP(Matrix[[#This Row],[TEAM]]&amp;Matrix[[#Headers],[17]],FDR[FDR]&amp;FDR[[#Headers],[17]],FDR[17],"",0,1)</f>
        <v>4</v>
      </c>
      <c r="AD146" cm="1">
        <f t="array" ref="AD146">_xlfn.XLOOKUP(Matrix[[#This Row],[TEAM]]&amp;Matrix[[#Headers],[18]],FDR[FDR]&amp;FDR[[#Headers],[18]],FDR[18],"",0,1)</f>
        <v>4</v>
      </c>
      <c r="AE146" cm="1">
        <f t="array" ref="AE146">_xlfn.XLOOKUP(Matrix[[#This Row],[TEAM]]&amp;Matrix[[#Headers],[19]],FDR[FDR]&amp;FDR[[#Headers],[19]],FDR[19],"",0,1)</f>
        <v>5</v>
      </c>
      <c r="AF146" cm="1">
        <f t="array" ref="AF146">_xlfn.XLOOKUP(Matrix[[#This Row],[TEAM]]&amp;Matrix[[#Headers],[20]],FDR[FDR]&amp;FDR[[#Headers],[20]],FDR[20],"",0,1)</f>
        <v>5</v>
      </c>
      <c r="AG146" cm="1">
        <f t="array" ref="AG146">_xlfn.XLOOKUP(Matrix[[#This Row],[TEAM]]&amp;Matrix[[#Headers],[21]],FDR[FDR]&amp;FDR[[#Headers],[21]],FDR[21],"",0,1)</f>
        <v>5</v>
      </c>
      <c r="AH146" cm="1">
        <f t="array" ref="AH146">_xlfn.XLOOKUP(Matrix[[#This Row],[TEAM]]&amp;Matrix[[#Headers],[22]],FDR[FDR]&amp;FDR[[#Headers],[22]],FDR[22],"",0,1)</f>
        <v>5</v>
      </c>
      <c r="AI146" cm="1">
        <f t="array" ref="AI146">_xlfn.XLOOKUP(Matrix[[#This Row],[TEAM]]&amp;Matrix[[#Headers],[23]],FDR[FDR]&amp;FDR[[#Headers],[23]],FDR[23],"",0,1)</f>
        <v>5</v>
      </c>
      <c r="AJ146" cm="1">
        <f t="array" ref="AJ146">_xlfn.XLOOKUP(Matrix[[#This Row],[TEAM]]&amp;Matrix[[#Headers],[24]],FDR[FDR]&amp;FDR[[#Headers],[24]],FDR[24],"",0,1)</f>
        <v>5</v>
      </c>
      <c r="AK146" cm="1">
        <f t="array" ref="AK146">_xlfn.XLOOKUP(Matrix[[#This Row],[TEAM]]&amp;Matrix[[#Headers],[25]],FDR[FDR]&amp;FDR[[#Headers],[25]],FDR[25],"",0,1)</f>
        <v>5</v>
      </c>
      <c r="AL146" cm="1">
        <f t="array" ref="AL146">_xlfn.XLOOKUP(Matrix[[#This Row],[TEAM]]&amp;Matrix[[#Headers],[26]],FDR[FDR]&amp;FDR[[#Headers],[26]],FDR[26],"",0,1)</f>
        <v>5</v>
      </c>
      <c r="AM146" cm="1">
        <f t="array" ref="AM146">_xlfn.XLOOKUP(Matrix[[#This Row],[TEAM]]&amp;Matrix[[#Headers],[27]],FDR[FDR]&amp;FDR[[#Headers],[27]],FDR[27],"",0,1)</f>
        <v>5</v>
      </c>
      <c r="AN146" cm="1">
        <f t="array" ref="AN146">_xlfn.XLOOKUP(Matrix[[#This Row],[TEAM]]&amp;Matrix[[#Headers],[28]],FDR[FDR]&amp;FDR[[#Headers],[28]],FDR[28],"",0,1)</f>
        <v>5</v>
      </c>
      <c r="AO146" cm="1">
        <f t="array" ref="AO146">_xlfn.XLOOKUP(Matrix[[#This Row],[TEAM]]&amp;Matrix[[#Headers],[29]],FDR[FDR]&amp;FDR[[#Headers],[29]],FDR[29],"",0,1)</f>
        <v>3</v>
      </c>
      <c r="AP146" cm="1">
        <f t="array" ref="AP146">_xlfn.XLOOKUP(Matrix[[#This Row],[TEAM]]&amp;Matrix[[#Headers],[30]],FDR[FDR]&amp;FDR[[#Headers],[30]],FDR[30],"",0,1)</f>
        <v>5</v>
      </c>
      <c r="AQ146" cm="1">
        <f t="array" ref="AQ146">_xlfn.XLOOKUP(Matrix[[#This Row],[TEAM]]&amp;Matrix[[#Headers],[31]],FDR[FDR]&amp;FDR[[#Headers],[31]],FDR[31],"",0,1)</f>
        <v>4</v>
      </c>
      <c r="AR146" cm="1">
        <f t="array" ref="AR146">_xlfn.XLOOKUP(Matrix[[#This Row],[TEAM]]&amp;Matrix[[#Headers],[32]],FDR[FDR]&amp;FDR[[#Headers],[32]],FDR[32],"",0,1)</f>
        <v>5</v>
      </c>
      <c r="AS146" cm="1">
        <f t="array" ref="AS146">_xlfn.XLOOKUP(Matrix[[#This Row],[TEAM]]&amp;Matrix[[#Headers],[33]],FDR[FDR]&amp;FDR[[#Headers],[33]],FDR[33],"",0,1)</f>
        <v>3</v>
      </c>
      <c r="AT146" cm="1">
        <f t="array" ref="AT146">_xlfn.XLOOKUP(Matrix[[#This Row],[TEAM]]&amp;Matrix[[#Headers],[34]],FDR[FDR]&amp;FDR[[#Headers],[34]],FDR[34],"",0,1)</f>
        <v>5</v>
      </c>
      <c r="AU146" cm="1">
        <f t="array" ref="AU146">_xlfn.XLOOKUP(Matrix[[#This Row],[TEAM]]&amp;Matrix[[#Headers],[35]],FDR[FDR]&amp;FDR[[#Headers],[35]],FDR[35],"",0,1)</f>
        <v>3</v>
      </c>
      <c r="AV146" cm="1">
        <f t="array" ref="AV146">_xlfn.XLOOKUP(Matrix[[#This Row],[TEAM]]&amp;Matrix[[#Headers],[36]],FDR[FDR]&amp;FDR[[#Headers],[36]],FDR[36],"",0,1)</f>
        <v>5</v>
      </c>
      <c r="AW146" cm="1">
        <f t="array" ref="AW146">_xlfn.XLOOKUP(Matrix[[#This Row],[TEAM]]&amp;Matrix[[#Headers],[37]],FDR[FDR]&amp;FDR[[#Headers],[37]],FDR[37],"",0,1)</f>
        <v>5</v>
      </c>
      <c r="AX146" cm="1">
        <f t="array" ref="AX146">_xlfn.XLOOKUP(Matrix[[#This Row],[TEAM]]&amp;Matrix[[#Headers],[38]],FDR[FDR]&amp;FDR[[#Headers],[38]],FDR[38],"",0,1)</f>
        <v>5</v>
      </c>
    </row>
    <row r="147" spans="1:50" ht="22" thickTop="1" thickBot="1">
      <c r="A147" s="50" t="str">
        <f>INDEX!S$4</f>
        <v>MID</v>
      </c>
      <c r="B147" s="70" t="s">
        <v>1453</v>
      </c>
      <c r="C147" s="40" t="s">
        <v>633</v>
      </c>
      <c r="D147" s="62">
        <v>0</v>
      </c>
      <c r="E147" s="60">
        <v>1E-3</v>
      </c>
      <c r="F147" s="61">
        <v>0</v>
      </c>
      <c r="G147" s="63">
        <v>5.5</v>
      </c>
      <c r="H147" s="261">
        <f>IF(ISBLANK(I147),0,1)</f>
        <v>0</v>
      </c>
      <c r="I147" s="57"/>
      <c r="J147" s="58"/>
      <c r="K147" s="59" t="s">
        <v>783</v>
      </c>
      <c r="L147" s="59" t="s">
        <v>784</v>
      </c>
      <c r="M147" cm="1">
        <f t="array" ref="M147">_xlfn.XLOOKUP(Matrix[[#This Row],[TEAM]]&amp;Matrix[[#Headers],[1]],FDR[FDR]&amp;FDR[[#Headers],[1]],FDR[1],"",0,1)</f>
        <v>4</v>
      </c>
      <c r="N147" cm="1">
        <f t="array" ref="N147">_xlfn.XLOOKUP(Matrix[[#This Row],[TEAM]]&amp;Matrix[[#Headers],[2]],FDR[FDR]&amp;FDR[[#Headers],[2]],FDR[2],"",0,1)</f>
        <v>5</v>
      </c>
      <c r="O147" cm="1">
        <f t="array" ref="O147">_xlfn.XLOOKUP(Matrix[[#This Row],[TEAM]]&amp;Matrix[[#Headers],[3]],FDR[FDR]&amp;FDR[[#Headers],[3]],FDR[3],"",0,1)</f>
        <v>5</v>
      </c>
      <c r="P147" cm="1">
        <f t="array" ref="P147">_xlfn.XLOOKUP(Matrix[[#This Row],[TEAM]]&amp;Matrix[[#Headers],[4]],FDR[FDR]&amp;FDR[[#Headers],[4]],FDR[4],"",0,1)</f>
        <v>5</v>
      </c>
      <c r="Q147" cm="1">
        <f t="array" ref="Q147">_xlfn.XLOOKUP(Matrix[[#This Row],[TEAM]]&amp;Matrix[[#Headers],[5]],FDR[FDR]&amp;FDR[[#Headers],[5]],FDR[5],"",0,1)</f>
        <v>4</v>
      </c>
      <c r="R147" cm="1">
        <f t="array" ref="R147">_xlfn.XLOOKUP(Matrix[[#This Row],[TEAM]]&amp;Matrix[[#Headers],[6]],FDR[FDR]&amp;FDR[[#Headers],[6]],FDR[6],"",0,1)</f>
        <v>5</v>
      </c>
      <c r="S147" cm="1">
        <f t="array" ref="S147">_xlfn.XLOOKUP(Matrix[[#This Row],[TEAM]]&amp;Matrix[[#Headers],[7]],FDR[FDR]&amp;FDR[[#Headers],[7]],FDR[7],"",0,1)</f>
        <v>5</v>
      </c>
      <c r="T147" cm="1">
        <f t="array" ref="T147">_xlfn.XLOOKUP(Matrix[[#This Row],[TEAM]]&amp;Matrix[[#Headers],[8]],FDR[FDR]&amp;FDR[[#Headers],[8]],FDR[8],"",0,1)</f>
        <v>4</v>
      </c>
      <c r="U147" cm="1">
        <f t="array" ref="U147">_xlfn.XLOOKUP(Matrix[[#This Row],[TEAM]]&amp;Matrix[[#Headers],[9]],FDR[FDR]&amp;FDR[[#Headers],[9]],FDR[9],"",0,1)</f>
        <v>4</v>
      </c>
      <c r="V147" cm="1">
        <f t="array" ref="V147">_xlfn.XLOOKUP(Matrix[[#This Row],[TEAM]]&amp;Matrix[[#Headers],[10]],FDR[FDR]&amp;FDR[[#Headers],[10]],FDR[10],"",0,1)</f>
        <v>5</v>
      </c>
      <c r="W147" cm="1">
        <f t="array" ref="W147">_xlfn.XLOOKUP(Matrix[[#This Row],[TEAM]]&amp;Matrix[[#Headers],[11]],FDR[FDR]&amp;FDR[[#Headers],[11]],FDR[11],"",0,1)</f>
        <v>5</v>
      </c>
      <c r="X147" cm="1">
        <f t="array" ref="X147">_xlfn.XLOOKUP(Matrix[[#This Row],[TEAM]]&amp;Matrix[[#Headers],[12]],FDR[FDR]&amp;FDR[[#Headers],[12]],FDR[12],"",0,1)</f>
        <v>5</v>
      </c>
      <c r="Y147" cm="1">
        <f t="array" ref="Y147">_xlfn.XLOOKUP(Matrix[[#This Row],[TEAM]]&amp;Matrix[[#Headers],[13]],FDR[FDR]&amp;FDR[[#Headers],[13]],FDR[13],"",0,1)</f>
        <v>5</v>
      </c>
      <c r="Z147" cm="1">
        <f t="array" ref="Z147">_xlfn.XLOOKUP(Matrix[[#This Row],[TEAM]]&amp;Matrix[[#Headers],[14]],FDR[FDR]&amp;FDR[[#Headers],[14]],FDR[14],"",0,1)</f>
        <v>5</v>
      </c>
      <c r="AA147" cm="1">
        <f t="array" ref="AA147">_xlfn.XLOOKUP(Matrix[[#This Row],[TEAM]]&amp;Matrix[[#Headers],[15]],FDR[FDR]&amp;FDR[[#Headers],[15]],FDR[15],"",0,1)</f>
        <v>5</v>
      </c>
      <c r="AB147" cm="1">
        <f t="array" ref="AB147">_xlfn.XLOOKUP(Matrix[[#This Row],[TEAM]]&amp;Matrix[[#Headers],[16]],FDR[FDR]&amp;FDR[[#Headers],[16]],FDR[16],"",0,1)</f>
        <v>5</v>
      </c>
      <c r="AC147" cm="1">
        <f t="array" ref="AC147">_xlfn.XLOOKUP(Matrix[[#This Row],[TEAM]]&amp;Matrix[[#Headers],[17]],FDR[FDR]&amp;FDR[[#Headers],[17]],FDR[17],"",0,1)</f>
        <v>4</v>
      </c>
      <c r="AD147" cm="1">
        <f t="array" ref="AD147">_xlfn.XLOOKUP(Matrix[[#This Row],[TEAM]]&amp;Matrix[[#Headers],[18]],FDR[FDR]&amp;FDR[[#Headers],[18]],FDR[18],"",0,1)</f>
        <v>4</v>
      </c>
      <c r="AE147" cm="1">
        <f t="array" ref="AE147">_xlfn.XLOOKUP(Matrix[[#This Row],[TEAM]]&amp;Matrix[[#Headers],[19]],FDR[FDR]&amp;FDR[[#Headers],[19]],FDR[19],"",0,1)</f>
        <v>5</v>
      </c>
      <c r="AF147" cm="1">
        <f t="array" ref="AF147">_xlfn.XLOOKUP(Matrix[[#This Row],[TEAM]]&amp;Matrix[[#Headers],[20]],FDR[FDR]&amp;FDR[[#Headers],[20]],FDR[20],"",0,1)</f>
        <v>5</v>
      </c>
      <c r="AG147" cm="1">
        <f t="array" ref="AG147">_xlfn.XLOOKUP(Matrix[[#This Row],[TEAM]]&amp;Matrix[[#Headers],[21]],FDR[FDR]&amp;FDR[[#Headers],[21]],FDR[21],"",0,1)</f>
        <v>5</v>
      </c>
      <c r="AH147" cm="1">
        <f t="array" ref="AH147">_xlfn.XLOOKUP(Matrix[[#This Row],[TEAM]]&amp;Matrix[[#Headers],[22]],FDR[FDR]&amp;FDR[[#Headers],[22]],FDR[22],"",0,1)</f>
        <v>5</v>
      </c>
      <c r="AI147" cm="1">
        <f t="array" ref="AI147">_xlfn.XLOOKUP(Matrix[[#This Row],[TEAM]]&amp;Matrix[[#Headers],[23]],FDR[FDR]&amp;FDR[[#Headers],[23]],FDR[23],"",0,1)</f>
        <v>5</v>
      </c>
      <c r="AJ147" cm="1">
        <f t="array" ref="AJ147">_xlfn.XLOOKUP(Matrix[[#This Row],[TEAM]]&amp;Matrix[[#Headers],[24]],FDR[FDR]&amp;FDR[[#Headers],[24]],FDR[24],"",0,1)</f>
        <v>5</v>
      </c>
      <c r="AK147" cm="1">
        <f t="array" ref="AK147">_xlfn.XLOOKUP(Matrix[[#This Row],[TEAM]]&amp;Matrix[[#Headers],[25]],FDR[FDR]&amp;FDR[[#Headers],[25]],FDR[25],"",0,1)</f>
        <v>5</v>
      </c>
      <c r="AL147" cm="1">
        <f t="array" ref="AL147">_xlfn.XLOOKUP(Matrix[[#This Row],[TEAM]]&amp;Matrix[[#Headers],[26]],FDR[FDR]&amp;FDR[[#Headers],[26]],FDR[26],"",0,1)</f>
        <v>5</v>
      </c>
      <c r="AM147" cm="1">
        <f t="array" ref="AM147">_xlfn.XLOOKUP(Matrix[[#This Row],[TEAM]]&amp;Matrix[[#Headers],[27]],FDR[FDR]&amp;FDR[[#Headers],[27]],FDR[27],"",0,1)</f>
        <v>5</v>
      </c>
      <c r="AN147" cm="1">
        <f t="array" ref="AN147">_xlfn.XLOOKUP(Matrix[[#This Row],[TEAM]]&amp;Matrix[[#Headers],[28]],FDR[FDR]&amp;FDR[[#Headers],[28]],FDR[28],"",0,1)</f>
        <v>5</v>
      </c>
      <c r="AO147" cm="1">
        <f t="array" ref="AO147">_xlfn.XLOOKUP(Matrix[[#This Row],[TEAM]]&amp;Matrix[[#Headers],[29]],FDR[FDR]&amp;FDR[[#Headers],[29]],FDR[29],"",0,1)</f>
        <v>3</v>
      </c>
      <c r="AP147" cm="1">
        <f t="array" ref="AP147">_xlfn.XLOOKUP(Matrix[[#This Row],[TEAM]]&amp;Matrix[[#Headers],[30]],FDR[FDR]&amp;FDR[[#Headers],[30]],FDR[30],"",0,1)</f>
        <v>5</v>
      </c>
      <c r="AQ147" cm="1">
        <f t="array" ref="AQ147">_xlfn.XLOOKUP(Matrix[[#This Row],[TEAM]]&amp;Matrix[[#Headers],[31]],FDR[FDR]&amp;FDR[[#Headers],[31]],FDR[31],"",0,1)</f>
        <v>4</v>
      </c>
      <c r="AR147" cm="1">
        <f t="array" ref="AR147">_xlfn.XLOOKUP(Matrix[[#This Row],[TEAM]]&amp;Matrix[[#Headers],[32]],FDR[FDR]&amp;FDR[[#Headers],[32]],FDR[32],"",0,1)</f>
        <v>5</v>
      </c>
      <c r="AS147" cm="1">
        <f t="array" ref="AS147">_xlfn.XLOOKUP(Matrix[[#This Row],[TEAM]]&amp;Matrix[[#Headers],[33]],FDR[FDR]&amp;FDR[[#Headers],[33]],FDR[33],"",0,1)</f>
        <v>3</v>
      </c>
      <c r="AT147" cm="1">
        <f t="array" ref="AT147">_xlfn.XLOOKUP(Matrix[[#This Row],[TEAM]]&amp;Matrix[[#Headers],[34]],FDR[FDR]&amp;FDR[[#Headers],[34]],FDR[34],"",0,1)</f>
        <v>5</v>
      </c>
      <c r="AU147" cm="1">
        <f t="array" ref="AU147">_xlfn.XLOOKUP(Matrix[[#This Row],[TEAM]]&amp;Matrix[[#Headers],[35]],FDR[FDR]&amp;FDR[[#Headers],[35]],FDR[35],"",0,1)</f>
        <v>3</v>
      </c>
      <c r="AV147" cm="1">
        <f t="array" ref="AV147">_xlfn.XLOOKUP(Matrix[[#This Row],[TEAM]]&amp;Matrix[[#Headers],[36]],FDR[FDR]&amp;FDR[[#Headers],[36]],FDR[36],"",0,1)</f>
        <v>5</v>
      </c>
      <c r="AW147" cm="1">
        <f t="array" ref="AW147">_xlfn.XLOOKUP(Matrix[[#This Row],[TEAM]]&amp;Matrix[[#Headers],[37]],FDR[FDR]&amp;FDR[[#Headers],[37]],FDR[37],"",0,1)</f>
        <v>5</v>
      </c>
      <c r="AX147" cm="1">
        <f t="array" ref="AX147">_xlfn.XLOOKUP(Matrix[[#This Row],[TEAM]]&amp;Matrix[[#Headers],[38]],FDR[FDR]&amp;FDR[[#Headers],[38]],FDR[38],"",0,1)</f>
        <v>5</v>
      </c>
    </row>
    <row r="148" spans="1:50" ht="22" thickTop="1" thickBot="1">
      <c r="A148" s="50" t="str">
        <f>INDEX!S$4</f>
        <v>MID</v>
      </c>
      <c r="B148" s="70" t="s">
        <v>1460</v>
      </c>
      <c r="C148" s="40" t="s">
        <v>634</v>
      </c>
      <c r="D148" s="62">
        <v>0</v>
      </c>
      <c r="E148" s="60">
        <v>1E-3</v>
      </c>
      <c r="F148" s="61">
        <v>0</v>
      </c>
      <c r="G148" s="63">
        <v>5.5</v>
      </c>
      <c r="H148" s="261">
        <f>IF(ISBLANK(I148),0,1)</f>
        <v>0</v>
      </c>
      <c r="I148" s="57"/>
      <c r="J148" s="58"/>
      <c r="K148" s="59" t="s">
        <v>797</v>
      </c>
      <c r="L148" s="59" t="s">
        <v>798</v>
      </c>
      <c r="M148" cm="1">
        <f t="array" ref="M148">_xlfn.XLOOKUP(Matrix[[#This Row],[TEAM]]&amp;Matrix[[#Headers],[1]],FDR[FDR]&amp;FDR[[#Headers],[1]],FDR[1],"",0,1)</f>
        <v>4</v>
      </c>
      <c r="N148" cm="1">
        <f t="array" ref="N148">_xlfn.XLOOKUP(Matrix[[#This Row],[TEAM]]&amp;Matrix[[#Headers],[2]],FDR[FDR]&amp;FDR[[#Headers],[2]],FDR[2],"",0,1)</f>
        <v>4</v>
      </c>
      <c r="O148" cm="1">
        <f t="array" ref="O148">_xlfn.XLOOKUP(Matrix[[#This Row],[TEAM]]&amp;Matrix[[#Headers],[3]],FDR[FDR]&amp;FDR[[#Headers],[3]],FDR[3],"",0,1)</f>
        <v>4</v>
      </c>
      <c r="P148" cm="1">
        <f t="array" ref="P148">_xlfn.XLOOKUP(Matrix[[#This Row],[TEAM]]&amp;Matrix[[#Headers],[4]],FDR[FDR]&amp;FDR[[#Headers],[4]],FDR[4],"",0,1)</f>
        <v>5</v>
      </c>
      <c r="Q148" cm="1">
        <f t="array" ref="Q148">_xlfn.XLOOKUP(Matrix[[#This Row],[TEAM]]&amp;Matrix[[#Headers],[5]],FDR[FDR]&amp;FDR[[#Headers],[5]],FDR[5],"",0,1)</f>
        <v>5</v>
      </c>
      <c r="R148" cm="1">
        <f t="array" ref="R148">_xlfn.XLOOKUP(Matrix[[#This Row],[TEAM]]&amp;Matrix[[#Headers],[6]],FDR[FDR]&amp;FDR[[#Headers],[6]],FDR[6],"",0,1)</f>
        <v>5</v>
      </c>
      <c r="S148" cm="1">
        <f t="array" ref="S148">_xlfn.XLOOKUP(Matrix[[#This Row],[TEAM]]&amp;Matrix[[#Headers],[7]],FDR[FDR]&amp;FDR[[#Headers],[7]],FDR[7],"",0,1)</f>
        <v>5</v>
      </c>
      <c r="T148" cm="1">
        <f t="array" ref="T148">_xlfn.XLOOKUP(Matrix[[#This Row],[TEAM]]&amp;Matrix[[#Headers],[8]],FDR[FDR]&amp;FDR[[#Headers],[8]],FDR[8],"",0,1)</f>
        <v>3</v>
      </c>
      <c r="U148" cm="1">
        <f t="array" ref="U148">_xlfn.XLOOKUP(Matrix[[#This Row],[TEAM]]&amp;Matrix[[#Headers],[9]],FDR[FDR]&amp;FDR[[#Headers],[9]],FDR[9],"",0,1)</f>
        <v>5</v>
      </c>
      <c r="V148" cm="1">
        <f t="array" ref="V148">_xlfn.XLOOKUP(Matrix[[#This Row],[TEAM]]&amp;Matrix[[#Headers],[10]],FDR[FDR]&amp;FDR[[#Headers],[10]],FDR[10],"",0,1)</f>
        <v>4</v>
      </c>
      <c r="W148" cm="1">
        <f t="array" ref="W148">_xlfn.XLOOKUP(Matrix[[#This Row],[TEAM]]&amp;Matrix[[#Headers],[11]],FDR[FDR]&amp;FDR[[#Headers],[11]],FDR[11],"",0,1)</f>
        <v>5</v>
      </c>
      <c r="X148" cm="1">
        <f t="array" ref="X148">_xlfn.XLOOKUP(Matrix[[#This Row],[TEAM]]&amp;Matrix[[#Headers],[12]],FDR[FDR]&amp;FDR[[#Headers],[12]],FDR[12],"",0,1)</f>
        <v>5</v>
      </c>
      <c r="Y148" cm="1">
        <f t="array" ref="Y148">_xlfn.XLOOKUP(Matrix[[#This Row],[TEAM]]&amp;Matrix[[#Headers],[13]],FDR[FDR]&amp;FDR[[#Headers],[13]],FDR[13],"",0,1)</f>
        <v>5</v>
      </c>
      <c r="Z148" cm="1">
        <f t="array" ref="Z148">_xlfn.XLOOKUP(Matrix[[#This Row],[TEAM]]&amp;Matrix[[#Headers],[14]],FDR[FDR]&amp;FDR[[#Headers],[14]],FDR[14],"",0,1)</f>
        <v>5</v>
      </c>
      <c r="AA148" cm="1">
        <f t="array" ref="AA148">_xlfn.XLOOKUP(Matrix[[#This Row],[TEAM]]&amp;Matrix[[#Headers],[15]],FDR[FDR]&amp;FDR[[#Headers],[15]],FDR[15],"",0,1)</f>
        <v>5</v>
      </c>
      <c r="AB148" cm="1">
        <f t="array" ref="AB148">_xlfn.XLOOKUP(Matrix[[#This Row],[TEAM]]&amp;Matrix[[#Headers],[16]],FDR[FDR]&amp;FDR[[#Headers],[16]],FDR[16],"",0,1)</f>
        <v>5</v>
      </c>
      <c r="AC148" cm="1">
        <f t="array" ref="AC148">_xlfn.XLOOKUP(Matrix[[#This Row],[TEAM]]&amp;Matrix[[#Headers],[17]],FDR[FDR]&amp;FDR[[#Headers],[17]],FDR[17],"",0,1)</f>
        <v>5</v>
      </c>
      <c r="AD148" cm="1">
        <f t="array" ref="AD148">_xlfn.XLOOKUP(Matrix[[#This Row],[TEAM]]&amp;Matrix[[#Headers],[18]],FDR[FDR]&amp;FDR[[#Headers],[18]],FDR[18],"",0,1)</f>
        <v>3</v>
      </c>
      <c r="AE148" cm="1">
        <f t="array" ref="AE148">_xlfn.XLOOKUP(Matrix[[#This Row],[TEAM]]&amp;Matrix[[#Headers],[19]],FDR[FDR]&amp;FDR[[#Headers],[19]],FDR[19],"",0,1)</f>
        <v>5</v>
      </c>
      <c r="AF148" cm="1">
        <f t="array" ref="AF148">_xlfn.XLOOKUP(Matrix[[#This Row],[TEAM]]&amp;Matrix[[#Headers],[20]],FDR[FDR]&amp;FDR[[#Headers],[20]],FDR[20],"",0,1)</f>
        <v>5</v>
      </c>
      <c r="AG148" cm="1">
        <f t="array" ref="AG148">_xlfn.XLOOKUP(Matrix[[#This Row],[TEAM]]&amp;Matrix[[#Headers],[21]],FDR[FDR]&amp;FDR[[#Headers],[21]],FDR[21],"",0,1)</f>
        <v>5</v>
      </c>
      <c r="AH148" cm="1">
        <f t="array" ref="AH148">_xlfn.XLOOKUP(Matrix[[#This Row],[TEAM]]&amp;Matrix[[#Headers],[22]],FDR[FDR]&amp;FDR[[#Headers],[22]],FDR[22],"",0,1)</f>
        <v>4</v>
      </c>
      <c r="AI148" cm="1">
        <f t="array" ref="AI148">_xlfn.XLOOKUP(Matrix[[#This Row],[TEAM]]&amp;Matrix[[#Headers],[23]],FDR[FDR]&amp;FDR[[#Headers],[23]],FDR[23],"",0,1)</f>
        <v>5</v>
      </c>
      <c r="AJ148" cm="1">
        <f t="array" ref="AJ148">_xlfn.XLOOKUP(Matrix[[#This Row],[TEAM]]&amp;Matrix[[#Headers],[24]],FDR[FDR]&amp;FDR[[#Headers],[24]],FDR[24],"",0,1)</f>
        <v>3</v>
      </c>
      <c r="AK148" cm="1">
        <f t="array" ref="AK148">_xlfn.XLOOKUP(Matrix[[#This Row],[TEAM]]&amp;Matrix[[#Headers],[25]],FDR[FDR]&amp;FDR[[#Headers],[25]],FDR[25],"",0,1)</f>
        <v>5</v>
      </c>
      <c r="AL148" cm="1">
        <f t="array" ref="AL148">_xlfn.XLOOKUP(Matrix[[#This Row],[TEAM]]&amp;Matrix[[#Headers],[26]],FDR[FDR]&amp;FDR[[#Headers],[26]],FDR[26],"",0,1)</f>
        <v>5</v>
      </c>
      <c r="AM148" cm="1">
        <f t="array" ref="AM148">_xlfn.XLOOKUP(Matrix[[#This Row],[TEAM]]&amp;Matrix[[#Headers],[27]],FDR[FDR]&amp;FDR[[#Headers],[27]],FDR[27],"",0,1)</f>
        <v>5</v>
      </c>
      <c r="AN148" cm="1">
        <f t="array" ref="AN148">_xlfn.XLOOKUP(Matrix[[#This Row],[TEAM]]&amp;Matrix[[#Headers],[28]],FDR[FDR]&amp;FDR[[#Headers],[28]],FDR[28],"",0,1)</f>
        <v>5</v>
      </c>
      <c r="AO148" cm="1">
        <f t="array" ref="AO148">_xlfn.XLOOKUP(Matrix[[#This Row],[TEAM]]&amp;Matrix[[#Headers],[29]],FDR[FDR]&amp;FDR[[#Headers],[29]],FDR[29],"",0,1)</f>
        <v>4</v>
      </c>
      <c r="AP148" cm="1">
        <f t="array" ref="AP148">_xlfn.XLOOKUP(Matrix[[#This Row],[TEAM]]&amp;Matrix[[#Headers],[30]],FDR[FDR]&amp;FDR[[#Headers],[30]],FDR[30],"",0,1)</f>
        <v>5</v>
      </c>
      <c r="AQ148" cm="1">
        <f t="array" ref="AQ148">_xlfn.XLOOKUP(Matrix[[#This Row],[TEAM]]&amp;Matrix[[#Headers],[31]],FDR[FDR]&amp;FDR[[#Headers],[31]],FDR[31],"",0,1)</f>
        <v>5</v>
      </c>
      <c r="AR148" cm="1">
        <f t="array" ref="AR148">_xlfn.XLOOKUP(Matrix[[#This Row],[TEAM]]&amp;Matrix[[#Headers],[32]],FDR[FDR]&amp;FDR[[#Headers],[32]],FDR[32],"",0,1)</f>
        <v>5</v>
      </c>
      <c r="AS148" cm="1">
        <f t="array" ref="AS148">_xlfn.XLOOKUP(Matrix[[#This Row],[TEAM]]&amp;Matrix[[#Headers],[33]],FDR[FDR]&amp;FDR[[#Headers],[33]],FDR[33],"",0,1)</f>
        <v>5</v>
      </c>
      <c r="AT148" cm="1">
        <f t="array" ref="AT148">_xlfn.XLOOKUP(Matrix[[#This Row],[TEAM]]&amp;Matrix[[#Headers],[34]],FDR[FDR]&amp;FDR[[#Headers],[34]],FDR[34],"",0,1)</f>
        <v>5</v>
      </c>
      <c r="AU148" cm="1">
        <f t="array" ref="AU148">_xlfn.XLOOKUP(Matrix[[#This Row],[TEAM]]&amp;Matrix[[#Headers],[35]],FDR[FDR]&amp;FDR[[#Headers],[35]],FDR[35],"",0,1)</f>
        <v>4</v>
      </c>
      <c r="AV148" cm="1">
        <f t="array" ref="AV148">_xlfn.XLOOKUP(Matrix[[#This Row],[TEAM]]&amp;Matrix[[#Headers],[36]],FDR[FDR]&amp;FDR[[#Headers],[36]],FDR[36],"",0,1)</f>
        <v>5</v>
      </c>
      <c r="AW148" cm="1">
        <f t="array" ref="AW148">_xlfn.XLOOKUP(Matrix[[#This Row],[TEAM]]&amp;Matrix[[#Headers],[37]],FDR[FDR]&amp;FDR[[#Headers],[37]],FDR[37],"",0,1)</f>
        <v>5</v>
      </c>
      <c r="AX148" cm="1">
        <f t="array" ref="AX148">_xlfn.XLOOKUP(Matrix[[#This Row],[TEAM]]&amp;Matrix[[#Headers],[38]],FDR[FDR]&amp;FDR[[#Headers],[38]],FDR[38],"",0,1)</f>
        <v>5</v>
      </c>
    </row>
    <row r="149" spans="1:50" ht="22" thickTop="1" thickBot="1">
      <c r="A149" s="50" t="s">
        <v>656</v>
      </c>
      <c r="B149" s="70" t="s">
        <v>1432</v>
      </c>
      <c r="C149" s="40" t="s">
        <v>19</v>
      </c>
      <c r="D149" s="62">
        <v>0</v>
      </c>
      <c r="E149" s="60">
        <v>3.0000000000000001E-3</v>
      </c>
      <c r="F149" s="61">
        <v>0</v>
      </c>
      <c r="G149" s="63">
        <v>5.5</v>
      </c>
      <c r="H149" s="261">
        <f>IF(ISBLANK(I149),0,1)</f>
        <v>0</v>
      </c>
      <c r="I149" s="57"/>
      <c r="J149" s="58"/>
      <c r="K149" s="59" t="s">
        <v>725</v>
      </c>
      <c r="L149" s="59" t="s">
        <v>1148</v>
      </c>
      <c r="M149" cm="1">
        <f t="array" ref="M149">_xlfn.XLOOKUP(Matrix[[#This Row],[TEAM]]&amp;Matrix[[#Headers],[1]],FDR[FDR]&amp;FDR[[#Headers],[1]],FDR[1],"",0,1)</f>
        <v>1</v>
      </c>
      <c r="N149" cm="1">
        <f t="array" ref="N149">_xlfn.XLOOKUP(Matrix[[#This Row],[TEAM]]&amp;Matrix[[#Headers],[2]],FDR[FDR]&amp;FDR[[#Headers],[2]],FDR[2],"",0,1)</f>
        <v>4</v>
      </c>
      <c r="O149" cm="1">
        <f t="array" ref="O149">_xlfn.XLOOKUP(Matrix[[#This Row],[TEAM]]&amp;Matrix[[#Headers],[3]],FDR[FDR]&amp;FDR[[#Headers],[3]],FDR[3],"",0,1)</f>
        <v>1</v>
      </c>
      <c r="P149" cm="1">
        <f t="array" ref="P149">_xlfn.XLOOKUP(Matrix[[#This Row],[TEAM]]&amp;Matrix[[#Headers],[4]],FDR[FDR]&amp;FDR[[#Headers],[4]],FDR[4],"",0,1)</f>
        <v>2</v>
      </c>
      <c r="Q149" cm="1">
        <f t="array" ref="Q149">_xlfn.XLOOKUP(Matrix[[#This Row],[TEAM]]&amp;Matrix[[#Headers],[5]],FDR[FDR]&amp;FDR[[#Headers],[5]],FDR[5],"",0,1)</f>
        <v>2</v>
      </c>
      <c r="R149" cm="1">
        <f t="array" ref="R149">_xlfn.XLOOKUP(Matrix[[#This Row],[TEAM]]&amp;Matrix[[#Headers],[6]],FDR[FDR]&amp;FDR[[#Headers],[6]],FDR[6],"",0,1)</f>
        <v>1</v>
      </c>
      <c r="S149" cm="1">
        <f t="array" ref="S149">_xlfn.XLOOKUP(Matrix[[#This Row],[TEAM]]&amp;Matrix[[#Headers],[7]],FDR[FDR]&amp;FDR[[#Headers],[7]],FDR[7],"",0,1)</f>
        <v>1</v>
      </c>
      <c r="T149" cm="1">
        <f t="array" ref="T149">_xlfn.XLOOKUP(Matrix[[#This Row],[TEAM]]&amp;Matrix[[#Headers],[8]],FDR[FDR]&amp;FDR[[#Headers],[8]],FDR[8],"",0,1)</f>
        <v>2</v>
      </c>
      <c r="U149" cm="1">
        <f t="array" ref="U149">_xlfn.XLOOKUP(Matrix[[#This Row],[TEAM]]&amp;Matrix[[#Headers],[9]],FDR[FDR]&amp;FDR[[#Headers],[9]],FDR[9],"",0,1)</f>
        <v>2</v>
      </c>
      <c r="V149" cm="1">
        <f t="array" ref="V149">_xlfn.XLOOKUP(Matrix[[#This Row],[TEAM]]&amp;Matrix[[#Headers],[10]],FDR[FDR]&amp;FDR[[#Headers],[10]],FDR[10],"",0,1)</f>
        <v>3</v>
      </c>
      <c r="W149" cm="1">
        <f t="array" ref="W149">_xlfn.XLOOKUP(Matrix[[#This Row],[TEAM]]&amp;Matrix[[#Headers],[11]],FDR[FDR]&amp;FDR[[#Headers],[11]],FDR[11],"",0,1)</f>
        <v>3</v>
      </c>
      <c r="X149" cm="1">
        <f t="array" ref="X149">_xlfn.XLOOKUP(Matrix[[#This Row],[TEAM]]&amp;Matrix[[#Headers],[12]],FDR[FDR]&amp;FDR[[#Headers],[12]],FDR[12],"",0,1)</f>
        <v>4</v>
      </c>
      <c r="Y149" cm="1">
        <f t="array" ref="Y149">_xlfn.XLOOKUP(Matrix[[#This Row],[TEAM]]&amp;Matrix[[#Headers],[13]],FDR[FDR]&amp;FDR[[#Headers],[13]],FDR[13],"",0,1)</f>
        <v>1</v>
      </c>
      <c r="Z149" cm="1">
        <f t="array" ref="Z149">_xlfn.XLOOKUP(Matrix[[#This Row],[TEAM]]&amp;Matrix[[#Headers],[14]],FDR[FDR]&amp;FDR[[#Headers],[14]],FDR[14],"",0,1)</f>
        <v>3</v>
      </c>
      <c r="AA149" cm="1">
        <f t="array" ref="AA149">_xlfn.XLOOKUP(Matrix[[#This Row],[TEAM]]&amp;Matrix[[#Headers],[15]],FDR[FDR]&amp;FDR[[#Headers],[15]],FDR[15],"",0,1)</f>
        <v>1</v>
      </c>
      <c r="AB149" cm="1">
        <f t="array" ref="AB149">_xlfn.XLOOKUP(Matrix[[#This Row],[TEAM]]&amp;Matrix[[#Headers],[16]],FDR[FDR]&amp;FDR[[#Headers],[16]],FDR[16],"",0,1)</f>
        <v>2</v>
      </c>
      <c r="AC149" cm="1">
        <f t="array" ref="AC149">_xlfn.XLOOKUP(Matrix[[#This Row],[TEAM]]&amp;Matrix[[#Headers],[17]],FDR[FDR]&amp;FDR[[#Headers],[17]],FDR[17],"",0,1)</f>
        <v>3</v>
      </c>
      <c r="AD149" cm="1">
        <f t="array" ref="AD149">_xlfn.XLOOKUP(Matrix[[#This Row],[TEAM]]&amp;Matrix[[#Headers],[18]],FDR[FDR]&amp;FDR[[#Headers],[18]],FDR[18],"",0,1)</f>
        <v>2</v>
      </c>
      <c r="AE149" cm="1">
        <f t="array" ref="AE149">_xlfn.XLOOKUP(Matrix[[#This Row],[TEAM]]&amp;Matrix[[#Headers],[19]],FDR[FDR]&amp;FDR[[#Headers],[19]],FDR[19],"",0,1)</f>
        <v>2</v>
      </c>
      <c r="AF149" cm="1">
        <f t="array" ref="AF149">_xlfn.XLOOKUP(Matrix[[#This Row],[TEAM]]&amp;Matrix[[#Headers],[20]],FDR[FDR]&amp;FDR[[#Headers],[20]],FDR[20],"",0,1)</f>
        <v>1</v>
      </c>
      <c r="AG149" cm="1">
        <f t="array" ref="AG149">_xlfn.XLOOKUP(Matrix[[#This Row],[TEAM]]&amp;Matrix[[#Headers],[21]],FDR[FDR]&amp;FDR[[#Headers],[21]],FDR[21],"",0,1)</f>
        <v>2</v>
      </c>
      <c r="AH149" cm="1">
        <f t="array" ref="AH149">_xlfn.XLOOKUP(Matrix[[#This Row],[TEAM]]&amp;Matrix[[#Headers],[22]],FDR[FDR]&amp;FDR[[#Headers],[22]],FDR[22],"",0,1)</f>
        <v>1</v>
      </c>
      <c r="AI149" cm="1">
        <f t="array" ref="AI149">_xlfn.XLOOKUP(Matrix[[#This Row],[TEAM]]&amp;Matrix[[#Headers],[23]],FDR[FDR]&amp;FDR[[#Headers],[23]],FDR[23],"",0,1)</f>
        <v>1</v>
      </c>
      <c r="AJ149" cm="1">
        <f t="array" ref="AJ149">_xlfn.XLOOKUP(Matrix[[#This Row],[TEAM]]&amp;Matrix[[#Headers],[24]],FDR[FDR]&amp;FDR[[#Headers],[24]],FDR[24],"",0,1)</f>
        <v>3</v>
      </c>
      <c r="AK149" cm="1">
        <f t="array" ref="AK149">_xlfn.XLOOKUP(Matrix[[#This Row],[TEAM]]&amp;Matrix[[#Headers],[25]],FDR[FDR]&amp;FDR[[#Headers],[25]],FDR[25],"",0,1)</f>
        <v>4</v>
      </c>
      <c r="AL149" cm="1">
        <f t="array" ref="AL149">_xlfn.XLOOKUP(Matrix[[#This Row],[TEAM]]&amp;Matrix[[#Headers],[26]],FDR[FDR]&amp;FDR[[#Headers],[26]],FDR[26],"",0,1)</f>
        <v>2</v>
      </c>
      <c r="AM149" cm="1">
        <f t="array" ref="AM149">_xlfn.XLOOKUP(Matrix[[#This Row],[TEAM]]&amp;Matrix[[#Headers],[27]],FDR[FDR]&amp;FDR[[#Headers],[27]],FDR[27],"",0,1)</f>
        <v>3</v>
      </c>
      <c r="AN149" cm="1">
        <f t="array" ref="AN149">_xlfn.XLOOKUP(Matrix[[#This Row],[TEAM]]&amp;Matrix[[#Headers],[28]],FDR[FDR]&amp;FDR[[#Headers],[28]],FDR[28],"",0,1)</f>
        <v>2</v>
      </c>
      <c r="AO149" cm="1">
        <f t="array" ref="AO149">_xlfn.XLOOKUP(Matrix[[#This Row],[TEAM]]&amp;Matrix[[#Headers],[29]],FDR[FDR]&amp;FDR[[#Headers],[29]],FDR[29],"",0,1)</f>
        <v>1</v>
      </c>
      <c r="AP149" cm="1">
        <f t="array" ref="AP149">_xlfn.XLOOKUP(Matrix[[#This Row],[TEAM]]&amp;Matrix[[#Headers],[30]],FDR[FDR]&amp;FDR[[#Headers],[30]],FDR[30],"",0,1)</f>
        <v>4</v>
      </c>
      <c r="AQ149" cm="1">
        <f t="array" ref="AQ149">_xlfn.XLOOKUP(Matrix[[#This Row],[TEAM]]&amp;Matrix[[#Headers],[31]],FDR[FDR]&amp;FDR[[#Headers],[31]],FDR[31],"",0,1)</f>
        <v>1</v>
      </c>
      <c r="AR149" cm="1">
        <f t="array" ref="AR149">_xlfn.XLOOKUP(Matrix[[#This Row],[TEAM]]&amp;Matrix[[#Headers],[32]],FDR[FDR]&amp;FDR[[#Headers],[32]],FDR[32],"",0,1)</f>
        <v>1</v>
      </c>
      <c r="AS149" cm="1">
        <f t="array" ref="AS149">_xlfn.XLOOKUP(Matrix[[#This Row],[TEAM]]&amp;Matrix[[#Headers],[33]],FDR[FDR]&amp;FDR[[#Headers],[33]],FDR[33],"",0,1)</f>
        <v>1</v>
      </c>
      <c r="AT149" cm="1">
        <f t="array" ref="AT149">_xlfn.XLOOKUP(Matrix[[#This Row],[TEAM]]&amp;Matrix[[#Headers],[34]],FDR[FDR]&amp;FDR[[#Headers],[34]],FDR[34],"",0,1)</f>
        <v>1</v>
      </c>
      <c r="AU149" cm="1">
        <f t="array" ref="AU149">_xlfn.XLOOKUP(Matrix[[#This Row],[TEAM]]&amp;Matrix[[#Headers],[35]],FDR[FDR]&amp;FDR[[#Headers],[35]],FDR[35],"",0,1)</f>
        <v>3</v>
      </c>
      <c r="AV149" cm="1">
        <f t="array" ref="AV149">_xlfn.XLOOKUP(Matrix[[#This Row],[TEAM]]&amp;Matrix[[#Headers],[36]],FDR[FDR]&amp;FDR[[#Headers],[36]],FDR[36],"",0,1)</f>
        <v>1</v>
      </c>
      <c r="AW149" cm="1">
        <f t="array" ref="AW149">_xlfn.XLOOKUP(Matrix[[#This Row],[TEAM]]&amp;Matrix[[#Headers],[37]],FDR[FDR]&amp;FDR[[#Headers],[37]],FDR[37],"",0,1)</f>
        <v>4</v>
      </c>
      <c r="AX149" cm="1">
        <f t="array" ref="AX149">_xlfn.XLOOKUP(Matrix[[#This Row],[TEAM]]&amp;Matrix[[#Headers],[38]],FDR[FDR]&amp;FDR[[#Headers],[38]],FDR[38],"",0,1)</f>
        <v>1</v>
      </c>
    </row>
    <row r="150" spans="1:50" ht="22" thickTop="1" thickBot="1">
      <c r="A150" s="50" t="str">
        <f>INDEX!S$4</f>
        <v>MID</v>
      </c>
      <c r="B150" s="70" t="s">
        <v>1468</v>
      </c>
      <c r="C150" s="40" t="s">
        <v>51</v>
      </c>
      <c r="D150" s="62">
        <v>0</v>
      </c>
      <c r="E150" s="60">
        <v>1E-3</v>
      </c>
      <c r="F150" s="61">
        <v>0</v>
      </c>
      <c r="G150" s="63">
        <v>5.5</v>
      </c>
      <c r="H150" s="261">
        <f>IF(ISBLANK(I150),0,1)</f>
        <v>0</v>
      </c>
      <c r="I150" s="57"/>
      <c r="J150" s="58"/>
      <c r="K150" s="59" t="s">
        <v>755</v>
      </c>
      <c r="L150" s="59" t="s">
        <v>926</v>
      </c>
      <c r="M150" cm="1">
        <f t="array" ref="M150">_xlfn.XLOOKUP(Matrix[[#This Row],[TEAM]]&amp;Matrix[[#Headers],[1]],FDR[FDR]&amp;FDR[[#Headers],[1]],FDR[1],"",0,1)</f>
        <v>5</v>
      </c>
      <c r="N150" cm="1">
        <f t="array" ref="N150">_xlfn.XLOOKUP(Matrix[[#This Row],[TEAM]]&amp;Matrix[[#Headers],[2]],FDR[FDR]&amp;FDR[[#Headers],[2]],FDR[2],"",0,1)</f>
        <v>5</v>
      </c>
      <c r="O150" cm="1">
        <f t="array" ref="O150">_xlfn.XLOOKUP(Matrix[[#This Row],[TEAM]]&amp;Matrix[[#Headers],[3]],FDR[FDR]&amp;FDR[[#Headers],[3]],FDR[3],"",0,1)</f>
        <v>4</v>
      </c>
      <c r="P150" cm="1">
        <f t="array" ref="P150">_xlfn.XLOOKUP(Matrix[[#This Row],[TEAM]]&amp;Matrix[[#Headers],[4]],FDR[FDR]&amp;FDR[[#Headers],[4]],FDR[4],"",0,1)</f>
        <v>5</v>
      </c>
      <c r="Q150" cm="1">
        <f t="array" ref="Q150">_xlfn.XLOOKUP(Matrix[[#This Row],[TEAM]]&amp;Matrix[[#Headers],[5]],FDR[FDR]&amp;FDR[[#Headers],[5]],FDR[5],"",0,1)</f>
        <v>2</v>
      </c>
      <c r="R150" cm="1">
        <f t="array" ref="R150">_xlfn.XLOOKUP(Matrix[[#This Row],[TEAM]]&amp;Matrix[[#Headers],[6]],FDR[FDR]&amp;FDR[[#Headers],[6]],FDR[6],"",0,1)</f>
        <v>5</v>
      </c>
      <c r="S150" cm="1">
        <f t="array" ref="S150">_xlfn.XLOOKUP(Matrix[[#This Row],[TEAM]]&amp;Matrix[[#Headers],[7]],FDR[FDR]&amp;FDR[[#Headers],[7]],FDR[7],"",0,1)</f>
        <v>4</v>
      </c>
      <c r="T150" cm="1">
        <f t="array" ref="T150">_xlfn.XLOOKUP(Matrix[[#This Row],[TEAM]]&amp;Matrix[[#Headers],[8]],FDR[FDR]&amp;FDR[[#Headers],[8]],FDR[8],"",0,1)</f>
        <v>3</v>
      </c>
      <c r="U150" cm="1">
        <f t="array" ref="U150">_xlfn.XLOOKUP(Matrix[[#This Row],[TEAM]]&amp;Matrix[[#Headers],[9]],FDR[FDR]&amp;FDR[[#Headers],[9]],FDR[9],"",0,1)</f>
        <v>2</v>
      </c>
      <c r="V150" cm="1">
        <f t="array" ref="V150">_xlfn.XLOOKUP(Matrix[[#This Row],[TEAM]]&amp;Matrix[[#Headers],[10]],FDR[FDR]&amp;FDR[[#Headers],[10]],FDR[10],"",0,1)</f>
        <v>5</v>
      </c>
      <c r="W150" cm="1">
        <f t="array" ref="W150">_xlfn.XLOOKUP(Matrix[[#This Row],[TEAM]]&amp;Matrix[[#Headers],[11]],FDR[FDR]&amp;FDR[[#Headers],[11]],FDR[11],"",0,1)</f>
        <v>5</v>
      </c>
      <c r="X150" cm="1">
        <f t="array" ref="X150">_xlfn.XLOOKUP(Matrix[[#This Row],[TEAM]]&amp;Matrix[[#Headers],[12]],FDR[FDR]&amp;FDR[[#Headers],[12]],FDR[12],"",0,1)</f>
        <v>4</v>
      </c>
      <c r="Y150" cm="1">
        <f t="array" ref="Y150">_xlfn.XLOOKUP(Matrix[[#This Row],[TEAM]]&amp;Matrix[[#Headers],[13]],FDR[FDR]&amp;FDR[[#Headers],[13]],FDR[13],"",0,1)</f>
        <v>5</v>
      </c>
      <c r="Z150" cm="1">
        <f t="array" ref="Z150">_xlfn.XLOOKUP(Matrix[[#This Row],[TEAM]]&amp;Matrix[[#Headers],[14]],FDR[FDR]&amp;FDR[[#Headers],[14]],FDR[14],"",0,1)</f>
        <v>4</v>
      </c>
      <c r="AA150" cm="1">
        <f t="array" ref="AA150">_xlfn.XLOOKUP(Matrix[[#This Row],[TEAM]]&amp;Matrix[[#Headers],[15]],FDR[FDR]&amp;FDR[[#Headers],[15]],FDR[15],"",0,1)</f>
        <v>5</v>
      </c>
      <c r="AB150" cm="1">
        <f t="array" ref="AB150">_xlfn.XLOOKUP(Matrix[[#This Row],[TEAM]]&amp;Matrix[[#Headers],[16]],FDR[FDR]&amp;FDR[[#Headers],[16]],FDR[16],"",0,1)</f>
        <v>5</v>
      </c>
      <c r="AC150" cm="1">
        <f t="array" ref="AC150">_xlfn.XLOOKUP(Matrix[[#This Row],[TEAM]]&amp;Matrix[[#Headers],[17]],FDR[FDR]&amp;FDR[[#Headers],[17]],FDR[17],"",0,1)</f>
        <v>4</v>
      </c>
      <c r="AD150" cm="1">
        <f t="array" ref="AD150">_xlfn.XLOOKUP(Matrix[[#This Row],[TEAM]]&amp;Matrix[[#Headers],[18]],FDR[FDR]&amp;FDR[[#Headers],[18]],FDR[18],"",0,1)</f>
        <v>5</v>
      </c>
      <c r="AE150" cm="1">
        <f t="array" ref="AE150">_xlfn.XLOOKUP(Matrix[[#This Row],[TEAM]]&amp;Matrix[[#Headers],[19]],FDR[FDR]&amp;FDR[[#Headers],[19]],FDR[19],"",0,1)</f>
        <v>5</v>
      </c>
      <c r="AF150" cm="1">
        <f t="array" ref="AF150">_xlfn.XLOOKUP(Matrix[[#This Row],[TEAM]]&amp;Matrix[[#Headers],[20]],FDR[FDR]&amp;FDR[[#Headers],[20]],FDR[20],"",0,1)</f>
        <v>4</v>
      </c>
      <c r="AG150" cm="1">
        <f t="array" ref="AG150">_xlfn.XLOOKUP(Matrix[[#This Row],[TEAM]]&amp;Matrix[[#Headers],[21]],FDR[FDR]&amp;FDR[[#Headers],[21]],FDR[21],"",0,1)</f>
        <v>5</v>
      </c>
      <c r="AH150" cm="1">
        <f t="array" ref="AH150">_xlfn.XLOOKUP(Matrix[[#This Row],[TEAM]]&amp;Matrix[[#Headers],[22]],FDR[FDR]&amp;FDR[[#Headers],[22]],FDR[22],"",0,1)</f>
        <v>5</v>
      </c>
      <c r="AI150" cm="1">
        <f t="array" ref="AI150">_xlfn.XLOOKUP(Matrix[[#This Row],[TEAM]]&amp;Matrix[[#Headers],[23]],FDR[FDR]&amp;FDR[[#Headers],[23]],FDR[23],"",0,1)</f>
        <v>5</v>
      </c>
      <c r="AJ150" cm="1">
        <f t="array" ref="AJ150">_xlfn.XLOOKUP(Matrix[[#This Row],[TEAM]]&amp;Matrix[[#Headers],[24]],FDR[FDR]&amp;FDR[[#Headers],[24]],FDR[24],"",0,1)</f>
        <v>4</v>
      </c>
      <c r="AK150" cm="1">
        <f t="array" ref="AK150">_xlfn.XLOOKUP(Matrix[[#This Row],[TEAM]]&amp;Matrix[[#Headers],[25]],FDR[FDR]&amp;FDR[[#Headers],[25]],FDR[25],"",0,1)</f>
        <v>5</v>
      </c>
      <c r="AL150" cm="1">
        <f t="array" ref="AL150">_xlfn.XLOOKUP(Matrix[[#This Row],[TEAM]]&amp;Matrix[[#Headers],[26]],FDR[FDR]&amp;FDR[[#Headers],[26]],FDR[26],"",0,1)</f>
        <v>5</v>
      </c>
      <c r="AM150" cm="1">
        <f t="array" ref="AM150">_xlfn.XLOOKUP(Matrix[[#This Row],[TEAM]]&amp;Matrix[[#Headers],[27]],FDR[FDR]&amp;FDR[[#Headers],[27]],FDR[27],"",0,1)</f>
        <v>5</v>
      </c>
      <c r="AN150" cm="1">
        <f t="array" ref="AN150">_xlfn.XLOOKUP(Matrix[[#This Row],[TEAM]]&amp;Matrix[[#Headers],[28]],FDR[FDR]&amp;FDR[[#Headers],[28]],FDR[28],"",0,1)</f>
        <v>5</v>
      </c>
      <c r="AO150" cm="1">
        <f t="array" ref="AO150">_xlfn.XLOOKUP(Matrix[[#This Row],[TEAM]]&amp;Matrix[[#Headers],[29]],FDR[FDR]&amp;FDR[[#Headers],[29]],FDR[29],"",0,1)</f>
        <v>5</v>
      </c>
      <c r="AP150" cm="1">
        <f t="array" ref="AP150">_xlfn.XLOOKUP(Matrix[[#This Row],[TEAM]]&amp;Matrix[[#Headers],[30]],FDR[FDR]&amp;FDR[[#Headers],[30]],FDR[30],"",0,1)</f>
        <v>5</v>
      </c>
      <c r="AQ150" cm="1">
        <f t="array" ref="AQ150">_xlfn.XLOOKUP(Matrix[[#This Row],[TEAM]]&amp;Matrix[[#Headers],[31]],FDR[FDR]&amp;FDR[[#Headers],[31]],FDR[31],"",0,1)</f>
        <v>5</v>
      </c>
      <c r="AR150" cm="1">
        <f t="array" ref="AR150">_xlfn.XLOOKUP(Matrix[[#This Row],[TEAM]]&amp;Matrix[[#Headers],[32]],FDR[FDR]&amp;FDR[[#Headers],[32]],FDR[32],"",0,1)</f>
        <v>5</v>
      </c>
      <c r="AS150" cm="1">
        <f t="array" ref="AS150">_xlfn.XLOOKUP(Matrix[[#This Row],[TEAM]]&amp;Matrix[[#Headers],[33]],FDR[FDR]&amp;FDR[[#Headers],[33]],FDR[33],"",0,1)</f>
        <v>3</v>
      </c>
      <c r="AT150" cm="1">
        <f t="array" ref="AT150">_xlfn.XLOOKUP(Matrix[[#This Row],[TEAM]]&amp;Matrix[[#Headers],[34]],FDR[FDR]&amp;FDR[[#Headers],[34]],FDR[34],"",0,1)</f>
        <v>5</v>
      </c>
      <c r="AU150" cm="1">
        <f t="array" ref="AU150">_xlfn.XLOOKUP(Matrix[[#This Row],[TEAM]]&amp;Matrix[[#Headers],[35]],FDR[FDR]&amp;FDR[[#Headers],[35]],FDR[35],"",0,1)</f>
        <v>2</v>
      </c>
      <c r="AV150" cm="1">
        <f t="array" ref="AV150">_xlfn.XLOOKUP(Matrix[[#This Row],[TEAM]]&amp;Matrix[[#Headers],[36]],FDR[FDR]&amp;FDR[[#Headers],[36]],FDR[36],"",0,1)</f>
        <v>5</v>
      </c>
      <c r="AW150" cm="1">
        <f t="array" ref="AW150">_xlfn.XLOOKUP(Matrix[[#This Row],[TEAM]]&amp;Matrix[[#Headers],[37]],FDR[FDR]&amp;FDR[[#Headers],[37]],FDR[37],"",0,1)</f>
        <v>4</v>
      </c>
      <c r="AX150" cm="1">
        <f t="array" ref="AX150">_xlfn.XLOOKUP(Matrix[[#This Row],[TEAM]]&amp;Matrix[[#Headers],[38]],FDR[FDR]&amp;FDR[[#Headers],[38]],FDR[38],"",0,1)</f>
        <v>3</v>
      </c>
    </row>
    <row r="151" spans="1:50" ht="22" thickTop="1" thickBot="1">
      <c r="A151" s="49" t="str">
        <f>INDEX!S$5</f>
        <v>FWD</v>
      </c>
      <c r="B151" s="70" t="s">
        <v>1385</v>
      </c>
      <c r="C151" s="40" t="s">
        <v>24</v>
      </c>
      <c r="D151" s="62">
        <v>87</v>
      </c>
      <c r="E151" s="60">
        <v>0.113</v>
      </c>
      <c r="F151" s="61">
        <v>119.5</v>
      </c>
      <c r="G151" s="63">
        <v>5.5</v>
      </c>
      <c r="H151" s="261">
        <f>IF(ISBLANK(I151),0,1)</f>
        <v>0</v>
      </c>
      <c r="I151" s="57"/>
      <c r="J151" s="58"/>
      <c r="K151" s="64" t="s">
        <v>780</v>
      </c>
      <c r="L151" s="64" t="s">
        <v>781</v>
      </c>
      <c r="M151" cm="1">
        <f t="array" ref="M151">_xlfn.XLOOKUP(Matrix[[#This Row],[TEAM]]&amp;Matrix[[#Headers],[1]],FDR[FDR]&amp;FDR[[#Headers],[1]],FDR[1],"",0,1)</f>
        <v>2</v>
      </c>
      <c r="N151" cm="1">
        <f t="array" ref="N151">_xlfn.XLOOKUP(Matrix[[#This Row],[TEAM]]&amp;Matrix[[#Headers],[2]],FDR[FDR]&amp;FDR[[#Headers],[2]],FDR[2],"",0,1)</f>
        <v>3</v>
      </c>
      <c r="O151" cm="1">
        <f t="array" ref="O151">_xlfn.XLOOKUP(Matrix[[#This Row],[TEAM]]&amp;Matrix[[#Headers],[3]],FDR[FDR]&amp;FDR[[#Headers],[3]],FDR[3],"",0,1)</f>
        <v>2</v>
      </c>
      <c r="P151" cm="1">
        <f t="array" ref="P151">_xlfn.XLOOKUP(Matrix[[#This Row],[TEAM]]&amp;Matrix[[#Headers],[4]],FDR[FDR]&amp;FDR[[#Headers],[4]],FDR[4],"",0,1)</f>
        <v>4</v>
      </c>
      <c r="Q151" cm="1">
        <f t="array" ref="Q151">_xlfn.XLOOKUP(Matrix[[#This Row],[TEAM]]&amp;Matrix[[#Headers],[5]],FDR[FDR]&amp;FDR[[#Headers],[5]],FDR[5],"",0,1)</f>
        <v>5</v>
      </c>
      <c r="R151" cm="1">
        <f t="array" ref="R151">_xlfn.XLOOKUP(Matrix[[#This Row],[TEAM]]&amp;Matrix[[#Headers],[6]],FDR[FDR]&amp;FDR[[#Headers],[6]],FDR[6],"",0,1)</f>
        <v>3</v>
      </c>
      <c r="S151" cm="1">
        <f t="array" ref="S151">_xlfn.XLOOKUP(Matrix[[#This Row],[TEAM]]&amp;Matrix[[#Headers],[7]],FDR[FDR]&amp;FDR[[#Headers],[7]],FDR[7],"",0,1)</f>
        <v>3</v>
      </c>
      <c r="T151" cm="1">
        <f t="array" ref="T151">_xlfn.XLOOKUP(Matrix[[#This Row],[TEAM]]&amp;Matrix[[#Headers],[8]],FDR[FDR]&amp;FDR[[#Headers],[8]],FDR[8],"",0,1)</f>
        <v>5</v>
      </c>
      <c r="U151" cm="1">
        <f t="array" ref="U151">_xlfn.XLOOKUP(Matrix[[#This Row],[TEAM]]&amp;Matrix[[#Headers],[9]],FDR[FDR]&amp;FDR[[#Headers],[9]],FDR[9],"",0,1)</f>
        <v>4</v>
      </c>
      <c r="V151" cm="1">
        <f t="array" ref="V151">_xlfn.XLOOKUP(Matrix[[#This Row],[TEAM]]&amp;Matrix[[#Headers],[10]],FDR[FDR]&amp;FDR[[#Headers],[10]],FDR[10],"",0,1)</f>
        <v>2</v>
      </c>
      <c r="W151" cm="1">
        <f t="array" ref="W151">_xlfn.XLOOKUP(Matrix[[#This Row],[TEAM]]&amp;Matrix[[#Headers],[11]],FDR[FDR]&amp;FDR[[#Headers],[11]],FDR[11],"",0,1)</f>
        <v>3</v>
      </c>
      <c r="X151" cm="1">
        <f t="array" ref="X151">_xlfn.XLOOKUP(Matrix[[#This Row],[TEAM]]&amp;Matrix[[#Headers],[12]],FDR[FDR]&amp;FDR[[#Headers],[12]],FDR[12],"",0,1)</f>
        <v>5</v>
      </c>
      <c r="Y151" cm="1">
        <f t="array" ref="Y151">_xlfn.XLOOKUP(Matrix[[#This Row],[TEAM]]&amp;Matrix[[#Headers],[13]],FDR[FDR]&amp;FDR[[#Headers],[13]],FDR[13],"",0,1)</f>
        <v>4</v>
      </c>
      <c r="Z151" cm="1">
        <f t="array" ref="Z151">_xlfn.XLOOKUP(Matrix[[#This Row],[TEAM]]&amp;Matrix[[#Headers],[14]],FDR[FDR]&amp;FDR[[#Headers],[14]],FDR[14],"",0,1)</f>
        <v>4</v>
      </c>
      <c r="AA151" cm="1">
        <f t="array" ref="AA151">_xlfn.XLOOKUP(Matrix[[#This Row],[TEAM]]&amp;Matrix[[#Headers],[15]],FDR[FDR]&amp;FDR[[#Headers],[15]],FDR[15],"",0,1)</f>
        <v>3</v>
      </c>
      <c r="AB151" cm="1">
        <f t="array" ref="AB151">_xlfn.XLOOKUP(Matrix[[#This Row],[TEAM]]&amp;Matrix[[#Headers],[16]],FDR[FDR]&amp;FDR[[#Headers],[16]],FDR[16],"",0,1)</f>
        <v>5</v>
      </c>
      <c r="AC151" cm="1">
        <f t="array" ref="AC151">_xlfn.XLOOKUP(Matrix[[#This Row],[TEAM]]&amp;Matrix[[#Headers],[17]],FDR[FDR]&amp;FDR[[#Headers],[17]],FDR[17],"",0,1)</f>
        <v>4</v>
      </c>
      <c r="AD151" cm="1">
        <f t="array" ref="AD151">_xlfn.XLOOKUP(Matrix[[#This Row],[TEAM]]&amp;Matrix[[#Headers],[18]],FDR[FDR]&amp;FDR[[#Headers],[18]],FDR[18],"",0,1)</f>
        <v>2</v>
      </c>
      <c r="AE151" cm="1">
        <f t="array" ref="AE151">_xlfn.XLOOKUP(Matrix[[#This Row],[TEAM]]&amp;Matrix[[#Headers],[19]],FDR[FDR]&amp;FDR[[#Headers],[19]],FDR[19],"",0,1)</f>
        <v>4</v>
      </c>
      <c r="AF151" cm="1">
        <f t="array" ref="AF151">_xlfn.XLOOKUP(Matrix[[#This Row],[TEAM]]&amp;Matrix[[#Headers],[20]],FDR[FDR]&amp;FDR[[#Headers],[20]],FDR[20],"",0,1)</f>
        <v>3</v>
      </c>
      <c r="AG151" cm="1">
        <f t="array" ref="AG151">_xlfn.XLOOKUP(Matrix[[#This Row],[TEAM]]&amp;Matrix[[#Headers],[21]],FDR[FDR]&amp;FDR[[#Headers],[21]],FDR[21],"",0,1)</f>
        <v>2</v>
      </c>
      <c r="AH151" cm="1">
        <f t="array" ref="AH151">_xlfn.XLOOKUP(Matrix[[#This Row],[TEAM]]&amp;Matrix[[#Headers],[22]],FDR[FDR]&amp;FDR[[#Headers],[22]],FDR[22],"",0,1)</f>
        <v>5</v>
      </c>
      <c r="AI151" cm="1">
        <f t="array" ref="AI151">_xlfn.XLOOKUP(Matrix[[#This Row],[TEAM]]&amp;Matrix[[#Headers],[23]],FDR[FDR]&amp;FDR[[#Headers],[23]],FDR[23],"",0,1)</f>
        <v>1</v>
      </c>
      <c r="AJ151" cm="1">
        <f t="array" ref="AJ151">_xlfn.XLOOKUP(Matrix[[#This Row],[TEAM]]&amp;Matrix[[#Headers],[24]],FDR[FDR]&amp;FDR[[#Headers],[24]],FDR[24],"",0,1)</f>
        <v>4</v>
      </c>
      <c r="AK151" cm="1">
        <f t="array" ref="AK151">_xlfn.XLOOKUP(Matrix[[#This Row],[TEAM]]&amp;Matrix[[#Headers],[25]],FDR[FDR]&amp;FDR[[#Headers],[25]],FDR[25],"",0,1)</f>
        <v>4</v>
      </c>
      <c r="AL151" cm="1">
        <f t="array" ref="AL151">_xlfn.XLOOKUP(Matrix[[#This Row],[TEAM]]&amp;Matrix[[#Headers],[26]],FDR[FDR]&amp;FDR[[#Headers],[26]],FDR[26],"",0,1)</f>
        <v>3</v>
      </c>
      <c r="AM151" cm="1">
        <f t="array" ref="AM151">_xlfn.XLOOKUP(Matrix[[#This Row],[TEAM]]&amp;Matrix[[#Headers],[27]],FDR[FDR]&amp;FDR[[#Headers],[27]],FDR[27],"",0,1)</f>
        <v>4</v>
      </c>
      <c r="AN151" cm="1">
        <f t="array" ref="AN151">_xlfn.XLOOKUP(Matrix[[#This Row],[TEAM]]&amp;Matrix[[#Headers],[28]],FDR[FDR]&amp;FDR[[#Headers],[28]],FDR[28],"",0,1)</f>
        <v>5</v>
      </c>
      <c r="AO151" cm="1">
        <f t="array" ref="AO151">_xlfn.XLOOKUP(Matrix[[#This Row],[TEAM]]&amp;Matrix[[#Headers],[29]],FDR[FDR]&amp;FDR[[#Headers],[29]],FDR[29],"",0,1)</f>
        <v>1</v>
      </c>
      <c r="AP151" cm="1">
        <f t="array" ref="AP151">_xlfn.XLOOKUP(Matrix[[#This Row],[TEAM]]&amp;Matrix[[#Headers],[30]],FDR[FDR]&amp;FDR[[#Headers],[30]],FDR[30],"",0,1)</f>
        <v>5</v>
      </c>
      <c r="AQ151" cm="1">
        <f t="array" ref="AQ151">_xlfn.XLOOKUP(Matrix[[#This Row],[TEAM]]&amp;Matrix[[#Headers],[31]],FDR[FDR]&amp;FDR[[#Headers],[31]],FDR[31],"",0,1)</f>
        <v>4</v>
      </c>
      <c r="AR151" cm="1">
        <f t="array" ref="AR151">_xlfn.XLOOKUP(Matrix[[#This Row],[TEAM]]&amp;Matrix[[#Headers],[32]],FDR[FDR]&amp;FDR[[#Headers],[32]],FDR[32],"",0,1)</f>
        <v>4</v>
      </c>
      <c r="AS151" cm="1">
        <f t="array" ref="AS151">_xlfn.XLOOKUP(Matrix[[#This Row],[TEAM]]&amp;Matrix[[#Headers],[33]],FDR[FDR]&amp;FDR[[#Headers],[33]],FDR[33],"",0,1)</f>
        <v>4</v>
      </c>
      <c r="AT151" cm="1">
        <f t="array" ref="AT151">_xlfn.XLOOKUP(Matrix[[#This Row],[TEAM]]&amp;Matrix[[#Headers],[34]],FDR[FDR]&amp;FDR[[#Headers],[34]],FDR[34],"",0,1)</f>
        <v>4</v>
      </c>
      <c r="AU151" cm="1">
        <f t="array" ref="AU151">_xlfn.XLOOKUP(Matrix[[#This Row],[TEAM]]&amp;Matrix[[#Headers],[35]],FDR[FDR]&amp;FDR[[#Headers],[35]],FDR[35],"",0,1)</f>
        <v>4</v>
      </c>
      <c r="AV151" cm="1">
        <f t="array" ref="AV151">_xlfn.XLOOKUP(Matrix[[#This Row],[TEAM]]&amp;Matrix[[#Headers],[36]],FDR[FDR]&amp;FDR[[#Headers],[36]],FDR[36],"",0,1)</f>
        <v>4</v>
      </c>
      <c r="AW151" cm="1">
        <f t="array" ref="AW151">_xlfn.XLOOKUP(Matrix[[#This Row],[TEAM]]&amp;Matrix[[#Headers],[37]],FDR[FDR]&amp;FDR[[#Headers],[37]],FDR[37],"",0,1)</f>
        <v>1</v>
      </c>
      <c r="AX151" cm="1">
        <f t="array" ref="AX151">_xlfn.XLOOKUP(Matrix[[#This Row],[TEAM]]&amp;Matrix[[#Headers],[38]],FDR[FDR]&amp;FDR[[#Headers],[38]],FDR[38],"",0,1)</f>
        <v>5</v>
      </c>
    </row>
    <row r="152" spans="1:50" ht="22" thickTop="1" thickBot="1">
      <c r="A152" s="263" t="str">
        <f>INDEX!S$5</f>
        <v>FWD</v>
      </c>
      <c r="B152" s="70" t="s">
        <v>1404</v>
      </c>
      <c r="C152" s="40" t="s">
        <v>23</v>
      </c>
      <c r="D152" s="62">
        <v>86</v>
      </c>
      <c r="E152" s="60">
        <v>2.3E-2</v>
      </c>
      <c r="F152" s="61">
        <v>95.4</v>
      </c>
      <c r="G152" s="63">
        <v>5.5</v>
      </c>
      <c r="H152" s="261">
        <f>IF(ISBLANK(I152),0,1)</f>
        <v>0</v>
      </c>
      <c r="I152" s="57"/>
      <c r="J152" s="58"/>
      <c r="K152" s="64" t="s">
        <v>209</v>
      </c>
      <c r="L152" s="64" t="s">
        <v>294</v>
      </c>
      <c r="M152" cm="1">
        <f t="array" ref="M152">_xlfn.XLOOKUP(Matrix[[#This Row],[TEAM]]&amp;Matrix[[#Headers],[1]],FDR[FDR]&amp;FDR[[#Headers],[1]],FDR[1],"",0,1)</f>
        <v>4</v>
      </c>
      <c r="N152" cm="1">
        <f t="array" ref="N152">_xlfn.XLOOKUP(Matrix[[#This Row],[TEAM]]&amp;Matrix[[#Headers],[2]],FDR[FDR]&amp;FDR[[#Headers],[2]],FDR[2],"",0,1)</f>
        <v>4</v>
      </c>
      <c r="O152" cm="1">
        <f t="array" ref="O152">_xlfn.XLOOKUP(Matrix[[#This Row],[TEAM]]&amp;Matrix[[#Headers],[3]],FDR[FDR]&amp;FDR[[#Headers],[3]],FDR[3],"",0,1)</f>
        <v>5</v>
      </c>
      <c r="P152" cm="1">
        <f t="array" ref="P152">_xlfn.XLOOKUP(Matrix[[#This Row],[TEAM]]&amp;Matrix[[#Headers],[4]],FDR[FDR]&amp;FDR[[#Headers],[4]],FDR[4],"",0,1)</f>
        <v>1</v>
      </c>
      <c r="Q152" cm="1">
        <f t="array" ref="Q152">_xlfn.XLOOKUP(Matrix[[#This Row],[TEAM]]&amp;Matrix[[#Headers],[5]],FDR[FDR]&amp;FDR[[#Headers],[5]],FDR[5],"",0,1)</f>
        <v>2</v>
      </c>
      <c r="R152" cm="1">
        <f t="array" ref="R152">_xlfn.XLOOKUP(Matrix[[#This Row],[TEAM]]&amp;Matrix[[#Headers],[6]],FDR[FDR]&amp;FDR[[#Headers],[6]],FDR[6],"",0,1)</f>
        <v>5</v>
      </c>
      <c r="S152" cm="1">
        <f t="array" ref="S152">_xlfn.XLOOKUP(Matrix[[#This Row],[TEAM]]&amp;Matrix[[#Headers],[7]],FDR[FDR]&amp;FDR[[#Headers],[7]],FDR[7],"",0,1)</f>
        <v>4</v>
      </c>
      <c r="T152" cm="1">
        <f t="array" ref="T152">_xlfn.XLOOKUP(Matrix[[#This Row],[TEAM]]&amp;Matrix[[#Headers],[8]],FDR[FDR]&amp;FDR[[#Headers],[8]],FDR[8],"",0,1)</f>
        <v>4</v>
      </c>
      <c r="U152" cm="1">
        <f t="array" ref="U152">_xlfn.XLOOKUP(Matrix[[#This Row],[TEAM]]&amp;Matrix[[#Headers],[9]],FDR[FDR]&amp;FDR[[#Headers],[9]],FDR[9],"",0,1)</f>
        <v>5</v>
      </c>
      <c r="V152" cm="1">
        <f t="array" ref="V152">_xlfn.XLOOKUP(Matrix[[#This Row],[TEAM]]&amp;Matrix[[#Headers],[10]],FDR[FDR]&amp;FDR[[#Headers],[10]],FDR[10],"",0,1)</f>
        <v>1</v>
      </c>
      <c r="W152" cm="1">
        <f t="array" ref="W152">_xlfn.XLOOKUP(Matrix[[#This Row],[TEAM]]&amp;Matrix[[#Headers],[11]],FDR[FDR]&amp;FDR[[#Headers],[11]],FDR[11],"",0,1)</f>
        <v>3</v>
      </c>
      <c r="X152" cm="1">
        <f t="array" ref="X152">_xlfn.XLOOKUP(Matrix[[#This Row],[TEAM]]&amp;Matrix[[#Headers],[12]],FDR[FDR]&amp;FDR[[#Headers],[12]],FDR[12],"",0,1)</f>
        <v>1</v>
      </c>
      <c r="Y152" cm="1">
        <f t="array" ref="Y152">_xlfn.XLOOKUP(Matrix[[#This Row],[TEAM]]&amp;Matrix[[#Headers],[13]],FDR[FDR]&amp;FDR[[#Headers],[13]],FDR[13],"",0,1)</f>
        <v>5</v>
      </c>
      <c r="Z152" cm="1">
        <f t="array" ref="Z152">_xlfn.XLOOKUP(Matrix[[#This Row],[TEAM]]&amp;Matrix[[#Headers],[14]],FDR[FDR]&amp;FDR[[#Headers],[14]],FDR[14],"",0,1)</f>
        <v>4</v>
      </c>
      <c r="AA152" cm="1">
        <f t="array" ref="AA152">_xlfn.XLOOKUP(Matrix[[#This Row],[TEAM]]&amp;Matrix[[#Headers],[15]],FDR[FDR]&amp;FDR[[#Headers],[15]],FDR[15],"",0,1)</f>
        <v>2</v>
      </c>
      <c r="AB152" cm="1">
        <f t="array" ref="AB152">_xlfn.XLOOKUP(Matrix[[#This Row],[TEAM]]&amp;Matrix[[#Headers],[16]],FDR[FDR]&amp;FDR[[#Headers],[16]],FDR[16],"",0,1)</f>
        <v>2</v>
      </c>
      <c r="AC152" cm="1">
        <f t="array" ref="AC152">_xlfn.XLOOKUP(Matrix[[#This Row],[TEAM]]&amp;Matrix[[#Headers],[17]],FDR[FDR]&amp;FDR[[#Headers],[17]],FDR[17],"",0,1)</f>
        <v>3</v>
      </c>
      <c r="AD152" cm="1">
        <f t="array" ref="AD152">_xlfn.XLOOKUP(Matrix[[#This Row],[TEAM]]&amp;Matrix[[#Headers],[18]],FDR[FDR]&amp;FDR[[#Headers],[18]],FDR[18],"",0,1)</f>
        <v>3</v>
      </c>
      <c r="AE152" cm="1">
        <f t="array" ref="AE152">_xlfn.XLOOKUP(Matrix[[#This Row],[TEAM]]&amp;Matrix[[#Headers],[19]],FDR[FDR]&amp;FDR[[#Headers],[19]],FDR[19],"",0,1)</f>
        <v>3</v>
      </c>
      <c r="AF152" cm="1">
        <f t="array" ref="AF152">_xlfn.XLOOKUP(Matrix[[#This Row],[TEAM]]&amp;Matrix[[#Headers],[20]],FDR[FDR]&amp;FDR[[#Headers],[20]],FDR[20],"",0,1)</f>
        <v>4</v>
      </c>
      <c r="AG152" cm="1">
        <f t="array" ref="AG152">_xlfn.XLOOKUP(Matrix[[#This Row],[TEAM]]&amp;Matrix[[#Headers],[21]],FDR[FDR]&amp;FDR[[#Headers],[21]],FDR[21],"",0,1)</f>
        <v>4</v>
      </c>
      <c r="AH152" cm="1">
        <f t="array" ref="AH152">_xlfn.XLOOKUP(Matrix[[#This Row],[TEAM]]&amp;Matrix[[#Headers],[22]],FDR[FDR]&amp;FDR[[#Headers],[22]],FDR[22],"",0,1)</f>
        <v>2</v>
      </c>
      <c r="AI152" cm="1">
        <f t="array" ref="AI152">_xlfn.XLOOKUP(Matrix[[#This Row],[TEAM]]&amp;Matrix[[#Headers],[23]],FDR[FDR]&amp;FDR[[#Headers],[23]],FDR[23],"",0,1)</f>
        <v>3</v>
      </c>
      <c r="AJ152" cm="1">
        <f t="array" ref="AJ152">_xlfn.XLOOKUP(Matrix[[#This Row],[TEAM]]&amp;Matrix[[#Headers],[24]],FDR[FDR]&amp;FDR[[#Headers],[24]],FDR[24],"",0,1)</f>
        <v>5</v>
      </c>
      <c r="AK152" cm="1">
        <f t="array" ref="AK152">_xlfn.XLOOKUP(Matrix[[#This Row],[TEAM]]&amp;Matrix[[#Headers],[25]],FDR[FDR]&amp;FDR[[#Headers],[25]],FDR[25],"",0,1)</f>
        <v>2</v>
      </c>
      <c r="AL152" cm="1">
        <f t="array" ref="AL152">_xlfn.XLOOKUP(Matrix[[#This Row],[TEAM]]&amp;Matrix[[#Headers],[26]],FDR[FDR]&amp;FDR[[#Headers],[26]],FDR[26],"",0,1)</f>
        <v>5</v>
      </c>
      <c r="AM152" cm="1">
        <f t="array" ref="AM152">_xlfn.XLOOKUP(Matrix[[#This Row],[TEAM]]&amp;Matrix[[#Headers],[27]],FDR[FDR]&amp;FDR[[#Headers],[27]],FDR[27],"",0,1)</f>
        <v>2</v>
      </c>
      <c r="AN152" cm="1">
        <f t="array" ref="AN152">_xlfn.XLOOKUP(Matrix[[#This Row],[TEAM]]&amp;Matrix[[#Headers],[28]],FDR[FDR]&amp;FDR[[#Headers],[28]],FDR[28],"",0,1)</f>
        <v>4</v>
      </c>
      <c r="AO152" cm="1">
        <f t="array" ref="AO152">_xlfn.XLOOKUP(Matrix[[#This Row],[TEAM]]&amp;Matrix[[#Headers],[29]],FDR[FDR]&amp;FDR[[#Headers],[29]],FDR[29],"",0,1)</f>
        <v>2</v>
      </c>
      <c r="AP152" cm="1">
        <f t="array" ref="AP152">_xlfn.XLOOKUP(Matrix[[#This Row],[TEAM]]&amp;Matrix[[#Headers],[30]],FDR[FDR]&amp;FDR[[#Headers],[30]],FDR[30],"",0,1)</f>
        <v>4</v>
      </c>
      <c r="AQ152" cm="1">
        <f t="array" ref="AQ152">_xlfn.XLOOKUP(Matrix[[#This Row],[TEAM]]&amp;Matrix[[#Headers],[31]],FDR[FDR]&amp;FDR[[#Headers],[31]],FDR[31],"",0,1)</f>
        <v>1</v>
      </c>
      <c r="AR152" cm="1">
        <f t="array" ref="AR152">_xlfn.XLOOKUP(Matrix[[#This Row],[TEAM]]&amp;Matrix[[#Headers],[32]],FDR[FDR]&amp;FDR[[#Headers],[32]],FDR[32],"",0,1)</f>
        <v>5</v>
      </c>
      <c r="AS152" cm="1">
        <f t="array" ref="AS152">_xlfn.XLOOKUP(Matrix[[#This Row],[TEAM]]&amp;Matrix[[#Headers],[33]],FDR[FDR]&amp;FDR[[#Headers],[33]],FDR[33],"",0,1)</f>
        <v>3</v>
      </c>
      <c r="AT152" cm="1">
        <f t="array" ref="AT152">_xlfn.XLOOKUP(Matrix[[#This Row],[TEAM]]&amp;Matrix[[#Headers],[34]],FDR[FDR]&amp;FDR[[#Headers],[34]],FDR[34],"",0,1)</f>
        <v>3</v>
      </c>
      <c r="AU152" cm="1">
        <f t="array" ref="AU152">_xlfn.XLOOKUP(Matrix[[#This Row],[TEAM]]&amp;Matrix[[#Headers],[35]],FDR[FDR]&amp;FDR[[#Headers],[35]],FDR[35],"",0,1)</f>
        <v>5</v>
      </c>
      <c r="AV152" cm="1">
        <f t="array" ref="AV152">_xlfn.XLOOKUP(Matrix[[#This Row],[TEAM]]&amp;Matrix[[#Headers],[36]],FDR[FDR]&amp;FDR[[#Headers],[36]],FDR[36],"",0,1)</f>
        <v>3</v>
      </c>
      <c r="AW152" cm="1">
        <f t="array" ref="AW152">_xlfn.XLOOKUP(Matrix[[#This Row],[TEAM]]&amp;Matrix[[#Headers],[37]],FDR[FDR]&amp;FDR[[#Headers],[37]],FDR[37],"",0,1)</f>
        <v>2</v>
      </c>
      <c r="AX152" cm="1">
        <f t="array" ref="AX152">_xlfn.XLOOKUP(Matrix[[#This Row],[TEAM]]&amp;Matrix[[#Headers],[38]],FDR[FDR]&amp;FDR[[#Headers],[38]],FDR[38],"",0,1)</f>
        <v>4</v>
      </c>
    </row>
    <row r="153" spans="1:50" ht="22" thickTop="1" thickBot="1">
      <c r="A153" s="49" t="str">
        <f>INDEX!S$5</f>
        <v>FWD</v>
      </c>
      <c r="B153" s="70" t="s">
        <v>1439</v>
      </c>
      <c r="C153" s="40" t="s">
        <v>25</v>
      </c>
      <c r="D153" s="62">
        <v>19</v>
      </c>
      <c r="E153" s="60">
        <v>2E-3</v>
      </c>
      <c r="F153" s="61">
        <v>10.5</v>
      </c>
      <c r="G153" s="63">
        <v>5.5</v>
      </c>
      <c r="H153" s="261">
        <f>IF(ISBLANK(I153),0,1)</f>
        <v>0</v>
      </c>
      <c r="I153" s="57"/>
      <c r="J153" s="58"/>
      <c r="K153" s="64" t="s">
        <v>405</v>
      </c>
      <c r="L153" s="64" t="s">
        <v>295</v>
      </c>
      <c r="M153" cm="1">
        <f t="array" ref="M153">_xlfn.XLOOKUP(Matrix[[#This Row],[TEAM]]&amp;Matrix[[#Headers],[1]],FDR[FDR]&amp;FDR[[#Headers],[1]],FDR[1],"",0,1)</f>
        <v>3</v>
      </c>
      <c r="N153" cm="1">
        <f t="array" ref="N153">_xlfn.XLOOKUP(Matrix[[#This Row],[TEAM]]&amp;Matrix[[#Headers],[2]],FDR[FDR]&amp;FDR[[#Headers],[2]],FDR[2],"",0,1)</f>
        <v>3</v>
      </c>
      <c r="O153" cm="1">
        <f t="array" ref="O153">_xlfn.XLOOKUP(Matrix[[#This Row],[TEAM]]&amp;Matrix[[#Headers],[3]],FDR[FDR]&amp;FDR[[#Headers],[3]],FDR[3],"",0,1)</f>
        <v>1</v>
      </c>
      <c r="P153" cm="1">
        <f t="array" ref="P153">_xlfn.XLOOKUP(Matrix[[#This Row],[TEAM]]&amp;Matrix[[#Headers],[4]],FDR[FDR]&amp;FDR[[#Headers],[4]],FDR[4],"",0,1)</f>
        <v>1</v>
      </c>
      <c r="Q153" cm="1">
        <f t="array" ref="Q153">_xlfn.XLOOKUP(Matrix[[#This Row],[TEAM]]&amp;Matrix[[#Headers],[5]],FDR[FDR]&amp;FDR[[#Headers],[5]],FDR[5],"",0,1)</f>
        <v>2</v>
      </c>
      <c r="R153" cm="1">
        <f t="array" ref="R153">_xlfn.XLOOKUP(Matrix[[#This Row],[TEAM]]&amp;Matrix[[#Headers],[6]],FDR[FDR]&amp;FDR[[#Headers],[6]],FDR[6],"",0,1)</f>
        <v>3</v>
      </c>
      <c r="S153" cm="1">
        <f t="array" ref="S153">_xlfn.XLOOKUP(Matrix[[#This Row],[TEAM]]&amp;Matrix[[#Headers],[7]],FDR[FDR]&amp;FDR[[#Headers],[7]],FDR[7],"",0,1)</f>
        <v>2</v>
      </c>
      <c r="T153" cm="1">
        <f t="array" ref="T153">_xlfn.XLOOKUP(Matrix[[#This Row],[TEAM]]&amp;Matrix[[#Headers],[8]],FDR[FDR]&amp;FDR[[#Headers],[8]],FDR[8],"",0,1)</f>
        <v>2</v>
      </c>
      <c r="U153" cm="1">
        <f t="array" ref="U153">_xlfn.XLOOKUP(Matrix[[#This Row],[TEAM]]&amp;Matrix[[#Headers],[9]],FDR[FDR]&amp;FDR[[#Headers],[9]],FDR[9],"",0,1)</f>
        <v>2</v>
      </c>
      <c r="V153" cm="1">
        <f t="array" ref="V153">_xlfn.XLOOKUP(Matrix[[#This Row],[TEAM]]&amp;Matrix[[#Headers],[10]],FDR[FDR]&amp;FDR[[#Headers],[10]],FDR[10],"",0,1)</f>
        <v>2</v>
      </c>
      <c r="W153" cm="1">
        <f t="array" ref="W153">_xlfn.XLOOKUP(Matrix[[#This Row],[TEAM]]&amp;Matrix[[#Headers],[11]],FDR[FDR]&amp;FDR[[#Headers],[11]],FDR[11],"",0,1)</f>
        <v>2</v>
      </c>
      <c r="X153" cm="1">
        <f t="array" ref="X153">_xlfn.XLOOKUP(Matrix[[#This Row],[TEAM]]&amp;Matrix[[#Headers],[12]],FDR[FDR]&amp;FDR[[#Headers],[12]],FDR[12],"",0,1)</f>
        <v>3</v>
      </c>
      <c r="Y153" cm="1">
        <f t="array" ref="Y153">_xlfn.XLOOKUP(Matrix[[#This Row],[TEAM]]&amp;Matrix[[#Headers],[13]],FDR[FDR]&amp;FDR[[#Headers],[13]],FDR[13],"",0,1)</f>
        <v>2</v>
      </c>
      <c r="Z153" cm="1">
        <f t="array" ref="Z153">_xlfn.XLOOKUP(Matrix[[#This Row],[TEAM]]&amp;Matrix[[#Headers],[14]],FDR[FDR]&amp;FDR[[#Headers],[14]],FDR[14],"",0,1)</f>
        <v>3</v>
      </c>
      <c r="AA153" cm="1">
        <f t="array" ref="AA153">_xlfn.XLOOKUP(Matrix[[#This Row],[TEAM]]&amp;Matrix[[#Headers],[15]],FDR[FDR]&amp;FDR[[#Headers],[15]],FDR[15],"",0,1)</f>
        <v>1</v>
      </c>
      <c r="AB153" cm="1">
        <f t="array" ref="AB153">_xlfn.XLOOKUP(Matrix[[#This Row],[TEAM]]&amp;Matrix[[#Headers],[16]],FDR[FDR]&amp;FDR[[#Headers],[16]],FDR[16],"",0,1)</f>
        <v>1</v>
      </c>
      <c r="AC153" cm="1">
        <f t="array" ref="AC153">_xlfn.XLOOKUP(Matrix[[#This Row],[TEAM]]&amp;Matrix[[#Headers],[17]],FDR[FDR]&amp;FDR[[#Headers],[17]],FDR[17],"",0,1)</f>
        <v>3</v>
      </c>
      <c r="AD153" cm="1">
        <f t="array" ref="AD153">_xlfn.XLOOKUP(Matrix[[#This Row],[TEAM]]&amp;Matrix[[#Headers],[18]],FDR[FDR]&amp;FDR[[#Headers],[18]],FDR[18],"",0,1)</f>
        <v>4</v>
      </c>
      <c r="AE153" cm="1">
        <f t="array" ref="AE153">_xlfn.XLOOKUP(Matrix[[#This Row],[TEAM]]&amp;Matrix[[#Headers],[19]],FDR[FDR]&amp;FDR[[#Headers],[19]],FDR[19],"",0,1)</f>
        <v>1</v>
      </c>
      <c r="AF153" cm="1">
        <f t="array" ref="AF153">_xlfn.XLOOKUP(Matrix[[#This Row],[TEAM]]&amp;Matrix[[#Headers],[20]],FDR[FDR]&amp;FDR[[#Headers],[20]],FDR[20],"",0,1)</f>
        <v>1</v>
      </c>
      <c r="AG153" cm="1">
        <f t="array" ref="AG153">_xlfn.XLOOKUP(Matrix[[#This Row],[TEAM]]&amp;Matrix[[#Headers],[21]],FDR[FDR]&amp;FDR[[#Headers],[21]],FDR[21],"",0,1)</f>
        <v>1</v>
      </c>
      <c r="AH153" cm="1">
        <f t="array" ref="AH153">_xlfn.XLOOKUP(Matrix[[#This Row],[TEAM]]&amp;Matrix[[#Headers],[22]],FDR[FDR]&amp;FDR[[#Headers],[22]],FDR[22],"",0,1)</f>
        <v>1</v>
      </c>
      <c r="AI153" cm="1">
        <f t="array" ref="AI153">_xlfn.XLOOKUP(Matrix[[#This Row],[TEAM]]&amp;Matrix[[#Headers],[23]],FDR[FDR]&amp;FDR[[#Headers],[23]],FDR[23],"",0,1)</f>
        <v>2</v>
      </c>
      <c r="AJ153" cm="1">
        <f t="array" ref="AJ153">_xlfn.XLOOKUP(Matrix[[#This Row],[TEAM]]&amp;Matrix[[#Headers],[24]],FDR[FDR]&amp;FDR[[#Headers],[24]],FDR[24],"",0,1)</f>
        <v>4</v>
      </c>
      <c r="AK153" cm="1">
        <f t="array" ref="AK153">_xlfn.XLOOKUP(Matrix[[#This Row],[TEAM]]&amp;Matrix[[#Headers],[25]],FDR[FDR]&amp;FDR[[#Headers],[25]],FDR[25],"",0,1)</f>
        <v>1</v>
      </c>
      <c r="AL153" cm="1">
        <f t="array" ref="AL153">_xlfn.XLOOKUP(Matrix[[#This Row],[TEAM]]&amp;Matrix[[#Headers],[26]],FDR[FDR]&amp;FDR[[#Headers],[26]],FDR[26],"",0,1)</f>
        <v>4</v>
      </c>
      <c r="AM153" cm="1">
        <f t="array" ref="AM153">_xlfn.XLOOKUP(Matrix[[#This Row],[TEAM]]&amp;Matrix[[#Headers],[27]],FDR[FDR]&amp;FDR[[#Headers],[27]],FDR[27],"",0,1)</f>
        <v>4</v>
      </c>
      <c r="AN153" cm="1">
        <f t="array" ref="AN153">_xlfn.XLOOKUP(Matrix[[#This Row],[TEAM]]&amp;Matrix[[#Headers],[28]],FDR[FDR]&amp;FDR[[#Headers],[28]],FDR[28],"",0,1)</f>
        <v>1</v>
      </c>
      <c r="AO153" cm="1">
        <f t="array" ref="AO153">_xlfn.XLOOKUP(Matrix[[#This Row],[TEAM]]&amp;Matrix[[#Headers],[29]],FDR[FDR]&amp;FDR[[#Headers],[29]],FDR[29],"",0,1)</f>
        <v>3</v>
      </c>
      <c r="AP153" cm="1">
        <f t="array" ref="AP153">_xlfn.XLOOKUP(Matrix[[#This Row],[TEAM]]&amp;Matrix[[#Headers],[30]],FDR[FDR]&amp;FDR[[#Headers],[30]],FDR[30],"",0,1)</f>
        <v>4</v>
      </c>
      <c r="AQ153" cm="1">
        <f t="array" ref="AQ153">_xlfn.XLOOKUP(Matrix[[#This Row],[TEAM]]&amp;Matrix[[#Headers],[31]],FDR[FDR]&amp;FDR[[#Headers],[31]],FDR[31],"",0,1)</f>
        <v>1</v>
      </c>
      <c r="AR153" cm="1">
        <f t="array" ref="AR153">_xlfn.XLOOKUP(Matrix[[#This Row],[TEAM]]&amp;Matrix[[#Headers],[32]],FDR[FDR]&amp;FDR[[#Headers],[32]],FDR[32],"",0,1)</f>
        <v>2</v>
      </c>
      <c r="AS153" cm="1">
        <f t="array" ref="AS153">_xlfn.XLOOKUP(Matrix[[#This Row],[TEAM]]&amp;Matrix[[#Headers],[33]],FDR[FDR]&amp;FDR[[#Headers],[33]],FDR[33],"",0,1)</f>
        <v>2</v>
      </c>
      <c r="AT153" cm="1">
        <f t="array" ref="AT153">_xlfn.XLOOKUP(Matrix[[#This Row],[TEAM]]&amp;Matrix[[#Headers],[34]],FDR[FDR]&amp;FDR[[#Headers],[34]],FDR[34],"",0,1)</f>
        <v>4</v>
      </c>
      <c r="AU153" cm="1">
        <f t="array" ref="AU153">_xlfn.XLOOKUP(Matrix[[#This Row],[TEAM]]&amp;Matrix[[#Headers],[35]],FDR[FDR]&amp;FDR[[#Headers],[35]],FDR[35],"",0,1)</f>
        <v>2</v>
      </c>
      <c r="AV153" cm="1">
        <f t="array" ref="AV153">_xlfn.XLOOKUP(Matrix[[#This Row],[TEAM]]&amp;Matrix[[#Headers],[36]],FDR[FDR]&amp;FDR[[#Headers],[36]],FDR[36],"",0,1)</f>
        <v>2</v>
      </c>
      <c r="AW153" cm="1">
        <f t="array" ref="AW153">_xlfn.XLOOKUP(Matrix[[#This Row],[TEAM]]&amp;Matrix[[#Headers],[37]],FDR[FDR]&amp;FDR[[#Headers],[37]],FDR[37],"",0,1)</f>
        <v>1</v>
      </c>
      <c r="AX153" cm="1">
        <f t="array" ref="AX153">_xlfn.XLOOKUP(Matrix[[#This Row],[TEAM]]&amp;Matrix[[#Headers],[38]],FDR[FDR]&amp;FDR[[#Headers],[38]],FDR[38],"",0,1)</f>
        <v>2</v>
      </c>
    </row>
    <row r="154" spans="1:50" ht="22" thickTop="1" thickBot="1">
      <c r="A154" s="49" t="str">
        <f>INDEX!S$5</f>
        <v>FWD</v>
      </c>
      <c r="B154" s="70" t="s">
        <v>1448</v>
      </c>
      <c r="C154" s="40" t="s">
        <v>33</v>
      </c>
      <c r="D154" s="62">
        <v>0</v>
      </c>
      <c r="E154" s="60">
        <v>1E-3</v>
      </c>
      <c r="F154" s="61">
        <v>0</v>
      </c>
      <c r="G154" s="63">
        <v>5.5</v>
      </c>
      <c r="H154" s="261">
        <f>IF(ISBLANK(I154),0,1)</f>
        <v>0</v>
      </c>
      <c r="I154" s="57"/>
      <c r="J154" s="58"/>
      <c r="K154" s="64" t="s">
        <v>776</v>
      </c>
      <c r="L154" s="64" t="s">
        <v>777</v>
      </c>
      <c r="M154" cm="1">
        <f t="array" ref="M154">_xlfn.XLOOKUP(Matrix[[#This Row],[TEAM]]&amp;Matrix[[#Headers],[1]],FDR[FDR]&amp;FDR[[#Headers],[1]],FDR[1],"",0,1)</f>
        <v>3</v>
      </c>
      <c r="N154" cm="1">
        <f t="array" ref="N154">_xlfn.XLOOKUP(Matrix[[#This Row],[TEAM]]&amp;Matrix[[#Headers],[2]],FDR[FDR]&amp;FDR[[#Headers],[2]],FDR[2],"",0,1)</f>
        <v>3</v>
      </c>
      <c r="O154" cm="1">
        <f t="array" ref="O154">_xlfn.XLOOKUP(Matrix[[#This Row],[TEAM]]&amp;Matrix[[#Headers],[3]],FDR[FDR]&amp;FDR[[#Headers],[3]],FDR[3],"",0,1)</f>
        <v>4</v>
      </c>
      <c r="P154" cm="1">
        <f t="array" ref="P154">_xlfn.XLOOKUP(Matrix[[#This Row],[TEAM]]&amp;Matrix[[#Headers],[4]],FDR[FDR]&amp;FDR[[#Headers],[4]],FDR[4],"",0,1)</f>
        <v>4</v>
      </c>
      <c r="Q154" cm="1">
        <f t="array" ref="Q154">_xlfn.XLOOKUP(Matrix[[#This Row],[TEAM]]&amp;Matrix[[#Headers],[5]],FDR[FDR]&amp;FDR[[#Headers],[5]],FDR[5],"",0,1)</f>
        <v>4</v>
      </c>
      <c r="R154" cm="1">
        <f t="array" ref="R154">_xlfn.XLOOKUP(Matrix[[#This Row],[TEAM]]&amp;Matrix[[#Headers],[6]],FDR[FDR]&amp;FDR[[#Headers],[6]],FDR[6],"",0,1)</f>
        <v>5</v>
      </c>
      <c r="S154" cm="1">
        <f t="array" ref="S154">_xlfn.XLOOKUP(Matrix[[#This Row],[TEAM]]&amp;Matrix[[#Headers],[7]],FDR[FDR]&amp;FDR[[#Headers],[7]],FDR[7],"",0,1)</f>
        <v>2</v>
      </c>
      <c r="T154" cm="1">
        <f t="array" ref="T154">_xlfn.XLOOKUP(Matrix[[#This Row],[TEAM]]&amp;Matrix[[#Headers],[8]],FDR[FDR]&amp;FDR[[#Headers],[8]],FDR[8],"",0,1)</f>
        <v>4</v>
      </c>
      <c r="U154" cm="1">
        <f t="array" ref="U154">_xlfn.XLOOKUP(Matrix[[#This Row],[TEAM]]&amp;Matrix[[#Headers],[9]],FDR[FDR]&amp;FDR[[#Headers],[9]],FDR[9],"",0,1)</f>
        <v>5</v>
      </c>
      <c r="V154" cm="1">
        <f t="array" ref="V154">_xlfn.XLOOKUP(Matrix[[#This Row],[TEAM]]&amp;Matrix[[#Headers],[10]],FDR[FDR]&amp;FDR[[#Headers],[10]],FDR[10],"",0,1)</f>
        <v>1</v>
      </c>
      <c r="W154" cm="1">
        <f t="array" ref="W154">_xlfn.XLOOKUP(Matrix[[#This Row],[TEAM]]&amp;Matrix[[#Headers],[11]],FDR[FDR]&amp;FDR[[#Headers],[11]],FDR[11],"",0,1)</f>
        <v>3</v>
      </c>
      <c r="X154" cm="1">
        <f t="array" ref="X154">_xlfn.XLOOKUP(Matrix[[#This Row],[TEAM]]&amp;Matrix[[#Headers],[12]],FDR[FDR]&amp;FDR[[#Headers],[12]],FDR[12],"",0,1)</f>
        <v>2</v>
      </c>
      <c r="Y154" cm="1">
        <f t="array" ref="Y154">_xlfn.XLOOKUP(Matrix[[#This Row],[TEAM]]&amp;Matrix[[#Headers],[13]],FDR[FDR]&amp;FDR[[#Headers],[13]],FDR[13],"",0,1)</f>
        <v>4</v>
      </c>
      <c r="Z154" cm="1">
        <f t="array" ref="Z154">_xlfn.XLOOKUP(Matrix[[#This Row],[TEAM]]&amp;Matrix[[#Headers],[14]],FDR[FDR]&amp;FDR[[#Headers],[14]],FDR[14],"",0,1)</f>
        <v>3</v>
      </c>
      <c r="AA154" cm="1">
        <f t="array" ref="AA154">_xlfn.XLOOKUP(Matrix[[#This Row],[TEAM]]&amp;Matrix[[#Headers],[15]],FDR[FDR]&amp;FDR[[#Headers],[15]],FDR[15],"",0,1)</f>
        <v>2</v>
      </c>
      <c r="AB154" cm="1">
        <f t="array" ref="AB154">_xlfn.XLOOKUP(Matrix[[#This Row],[TEAM]]&amp;Matrix[[#Headers],[16]],FDR[FDR]&amp;FDR[[#Headers],[16]],FDR[16],"",0,1)</f>
        <v>5</v>
      </c>
      <c r="AC154" cm="1">
        <f t="array" ref="AC154">_xlfn.XLOOKUP(Matrix[[#This Row],[TEAM]]&amp;Matrix[[#Headers],[17]],FDR[FDR]&amp;FDR[[#Headers],[17]],FDR[17],"",0,1)</f>
        <v>1</v>
      </c>
      <c r="AD154" cm="1">
        <f t="array" ref="AD154">_xlfn.XLOOKUP(Matrix[[#This Row],[TEAM]]&amp;Matrix[[#Headers],[18]],FDR[FDR]&amp;FDR[[#Headers],[18]],FDR[18],"",0,1)</f>
        <v>5</v>
      </c>
      <c r="AE154" cm="1">
        <f t="array" ref="AE154">_xlfn.XLOOKUP(Matrix[[#This Row],[TEAM]]&amp;Matrix[[#Headers],[19]],FDR[FDR]&amp;FDR[[#Headers],[19]],FDR[19],"",0,1)</f>
        <v>3</v>
      </c>
      <c r="AF154" cm="1">
        <f t="array" ref="AF154">_xlfn.XLOOKUP(Matrix[[#This Row],[TEAM]]&amp;Matrix[[#Headers],[20]],FDR[FDR]&amp;FDR[[#Headers],[20]],FDR[20],"",0,1)</f>
        <v>1</v>
      </c>
      <c r="AG154" cm="1">
        <f t="array" ref="AG154">_xlfn.XLOOKUP(Matrix[[#This Row],[TEAM]]&amp;Matrix[[#Headers],[21]],FDR[FDR]&amp;FDR[[#Headers],[21]],FDR[21],"",0,1)</f>
        <v>5</v>
      </c>
      <c r="AH154" cm="1">
        <f t="array" ref="AH154">_xlfn.XLOOKUP(Matrix[[#This Row],[TEAM]]&amp;Matrix[[#Headers],[22]],FDR[FDR]&amp;FDR[[#Headers],[22]],FDR[22],"",0,1)</f>
        <v>3</v>
      </c>
      <c r="AI154" cm="1">
        <f t="array" ref="AI154">_xlfn.XLOOKUP(Matrix[[#This Row],[TEAM]]&amp;Matrix[[#Headers],[23]],FDR[FDR]&amp;FDR[[#Headers],[23]],FDR[23],"",0,1)</f>
        <v>4</v>
      </c>
      <c r="AJ154" cm="1">
        <f t="array" ref="AJ154">_xlfn.XLOOKUP(Matrix[[#This Row],[TEAM]]&amp;Matrix[[#Headers],[24]],FDR[FDR]&amp;FDR[[#Headers],[24]],FDR[24],"",0,1)</f>
        <v>2</v>
      </c>
      <c r="AK154" cm="1">
        <f t="array" ref="AK154">_xlfn.XLOOKUP(Matrix[[#This Row],[TEAM]]&amp;Matrix[[#Headers],[25]],FDR[FDR]&amp;FDR[[#Headers],[25]],FDR[25],"",0,1)</f>
        <v>2</v>
      </c>
      <c r="AL154" cm="1">
        <f t="array" ref="AL154">_xlfn.XLOOKUP(Matrix[[#This Row],[TEAM]]&amp;Matrix[[#Headers],[26]],FDR[FDR]&amp;FDR[[#Headers],[26]],FDR[26],"",0,1)</f>
        <v>5</v>
      </c>
      <c r="AM154" cm="1">
        <f t="array" ref="AM154">_xlfn.XLOOKUP(Matrix[[#This Row],[TEAM]]&amp;Matrix[[#Headers],[27]],FDR[FDR]&amp;FDR[[#Headers],[27]],FDR[27],"",0,1)</f>
        <v>3</v>
      </c>
      <c r="AN154" cm="1">
        <f t="array" ref="AN154">_xlfn.XLOOKUP(Matrix[[#This Row],[TEAM]]&amp;Matrix[[#Headers],[28]],FDR[FDR]&amp;FDR[[#Headers],[28]],FDR[28],"",0,1)</f>
        <v>3</v>
      </c>
      <c r="AO154" cm="1">
        <f t="array" ref="AO154">_xlfn.XLOOKUP(Matrix[[#This Row],[TEAM]]&amp;Matrix[[#Headers],[29]],FDR[FDR]&amp;FDR[[#Headers],[29]],FDR[29],"",0,1)</f>
        <v>4</v>
      </c>
      <c r="AP154" cm="1">
        <f t="array" ref="AP154">_xlfn.XLOOKUP(Matrix[[#This Row],[TEAM]]&amp;Matrix[[#Headers],[30]],FDR[FDR]&amp;FDR[[#Headers],[30]],FDR[30],"",0,1)</f>
        <v>2</v>
      </c>
      <c r="AQ154" cm="1">
        <f t="array" ref="AQ154">_xlfn.XLOOKUP(Matrix[[#This Row],[TEAM]]&amp;Matrix[[#Headers],[31]],FDR[FDR]&amp;FDR[[#Headers],[31]],FDR[31],"",0,1)</f>
        <v>4</v>
      </c>
      <c r="AR154" cm="1">
        <f t="array" ref="AR154">_xlfn.XLOOKUP(Matrix[[#This Row],[TEAM]]&amp;Matrix[[#Headers],[32]],FDR[FDR]&amp;FDR[[#Headers],[32]],FDR[32],"",0,1)</f>
        <v>2</v>
      </c>
      <c r="AS154" cm="1">
        <f t="array" ref="AS154">_xlfn.XLOOKUP(Matrix[[#This Row],[TEAM]]&amp;Matrix[[#Headers],[33]],FDR[FDR]&amp;FDR[[#Headers],[33]],FDR[33],"",0,1)</f>
        <v>5</v>
      </c>
      <c r="AT154" cm="1">
        <f t="array" ref="AT154">_xlfn.XLOOKUP(Matrix[[#This Row],[TEAM]]&amp;Matrix[[#Headers],[34]],FDR[FDR]&amp;FDR[[#Headers],[34]],FDR[34],"",0,1)</f>
        <v>4</v>
      </c>
      <c r="AU154" cm="1">
        <f t="array" ref="AU154">_xlfn.XLOOKUP(Matrix[[#This Row],[TEAM]]&amp;Matrix[[#Headers],[35]],FDR[FDR]&amp;FDR[[#Headers],[35]],FDR[35],"",0,1)</f>
        <v>5</v>
      </c>
      <c r="AV154" cm="1">
        <f t="array" ref="AV154">_xlfn.XLOOKUP(Matrix[[#This Row],[TEAM]]&amp;Matrix[[#Headers],[36]],FDR[FDR]&amp;FDR[[#Headers],[36]],FDR[36],"",0,1)</f>
        <v>1</v>
      </c>
      <c r="AW154" cm="1">
        <f t="array" ref="AW154">_xlfn.XLOOKUP(Matrix[[#This Row],[TEAM]]&amp;Matrix[[#Headers],[37]],FDR[FDR]&amp;FDR[[#Headers],[37]],FDR[37],"",0,1)</f>
        <v>2</v>
      </c>
      <c r="AX154" cm="1">
        <f t="array" ref="AX154">_xlfn.XLOOKUP(Matrix[[#This Row],[TEAM]]&amp;Matrix[[#Headers],[38]],FDR[FDR]&amp;FDR[[#Headers],[38]],FDR[38],"",0,1)</f>
        <v>4</v>
      </c>
    </row>
    <row r="155" spans="1:50" ht="22" thickTop="1" thickBot="1">
      <c r="A155" s="49" t="str">
        <f>INDEX!S$5</f>
        <v>FWD</v>
      </c>
      <c r="B155" s="70" t="s">
        <v>1434</v>
      </c>
      <c r="C155" s="40" t="s">
        <v>22</v>
      </c>
      <c r="D155" s="62">
        <v>0</v>
      </c>
      <c r="E155" s="60">
        <v>2E-3</v>
      </c>
      <c r="F155" s="61">
        <v>0</v>
      </c>
      <c r="G155" s="63">
        <v>5.5</v>
      </c>
      <c r="H155" s="261">
        <f>IF(ISBLANK(I155),0,1)</f>
        <v>0</v>
      </c>
      <c r="I155" s="57"/>
      <c r="J155" s="58"/>
      <c r="K155" s="64" t="s">
        <v>765</v>
      </c>
      <c r="L155" s="64" t="s">
        <v>766</v>
      </c>
      <c r="M155" cm="1">
        <f t="array" ref="M155">_xlfn.XLOOKUP(Matrix[[#This Row],[TEAM]]&amp;Matrix[[#Headers],[1]],FDR[FDR]&amp;FDR[[#Headers],[1]],FDR[1],"",0,1)</f>
        <v>5</v>
      </c>
      <c r="N155" cm="1">
        <f t="array" ref="N155">_xlfn.XLOOKUP(Matrix[[#This Row],[TEAM]]&amp;Matrix[[#Headers],[2]],FDR[FDR]&amp;FDR[[#Headers],[2]],FDR[2],"",0,1)</f>
        <v>3</v>
      </c>
      <c r="O155" cm="1">
        <f t="array" ref="O155">_xlfn.XLOOKUP(Matrix[[#This Row],[TEAM]]&amp;Matrix[[#Headers],[3]],FDR[FDR]&amp;FDR[[#Headers],[3]],FDR[3],"",0,1)</f>
        <v>5</v>
      </c>
      <c r="P155" cm="1">
        <f t="array" ref="P155">_xlfn.XLOOKUP(Matrix[[#This Row],[TEAM]]&amp;Matrix[[#Headers],[4]],FDR[FDR]&amp;FDR[[#Headers],[4]],FDR[4],"",0,1)</f>
        <v>5</v>
      </c>
      <c r="Q155" cm="1">
        <f t="array" ref="Q155">_xlfn.XLOOKUP(Matrix[[#This Row],[TEAM]]&amp;Matrix[[#Headers],[5]],FDR[FDR]&amp;FDR[[#Headers],[5]],FDR[5],"",0,1)</f>
        <v>5</v>
      </c>
      <c r="R155" cm="1">
        <f t="array" ref="R155">_xlfn.XLOOKUP(Matrix[[#This Row],[TEAM]]&amp;Matrix[[#Headers],[6]],FDR[FDR]&amp;FDR[[#Headers],[6]],FDR[6],"",0,1)</f>
        <v>5</v>
      </c>
      <c r="S155" cm="1">
        <f t="array" ref="S155">_xlfn.XLOOKUP(Matrix[[#This Row],[TEAM]]&amp;Matrix[[#Headers],[7]],FDR[FDR]&amp;FDR[[#Headers],[7]],FDR[7],"",0,1)</f>
        <v>5</v>
      </c>
      <c r="T155" cm="1">
        <f t="array" ref="T155">_xlfn.XLOOKUP(Matrix[[#This Row],[TEAM]]&amp;Matrix[[#Headers],[8]],FDR[FDR]&amp;FDR[[#Headers],[8]],FDR[8],"",0,1)</f>
        <v>3</v>
      </c>
      <c r="U155" cm="1">
        <f t="array" ref="U155">_xlfn.XLOOKUP(Matrix[[#This Row],[TEAM]]&amp;Matrix[[#Headers],[9]],FDR[FDR]&amp;FDR[[#Headers],[9]],FDR[9],"",0,1)</f>
        <v>4</v>
      </c>
      <c r="V155" cm="1">
        <f t="array" ref="V155">_xlfn.XLOOKUP(Matrix[[#This Row],[TEAM]]&amp;Matrix[[#Headers],[10]],FDR[FDR]&amp;FDR[[#Headers],[10]],FDR[10],"",0,1)</f>
        <v>5</v>
      </c>
      <c r="W155" cm="1">
        <f t="array" ref="W155">_xlfn.XLOOKUP(Matrix[[#This Row],[TEAM]]&amp;Matrix[[#Headers],[11]],FDR[FDR]&amp;FDR[[#Headers],[11]],FDR[11],"",0,1)</f>
        <v>5</v>
      </c>
      <c r="X155" cm="1">
        <f t="array" ref="X155">_xlfn.XLOOKUP(Matrix[[#This Row],[TEAM]]&amp;Matrix[[#Headers],[12]],FDR[FDR]&amp;FDR[[#Headers],[12]],FDR[12],"",0,1)</f>
        <v>5</v>
      </c>
      <c r="Y155" cm="1">
        <f t="array" ref="Y155">_xlfn.XLOOKUP(Matrix[[#This Row],[TEAM]]&amp;Matrix[[#Headers],[13]],FDR[FDR]&amp;FDR[[#Headers],[13]],FDR[13],"",0,1)</f>
        <v>5</v>
      </c>
      <c r="Z155" cm="1">
        <f t="array" ref="Z155">_xlfn.XLOOKUP(Matrix[[#This Row],[TEAM]]&amp;Matrix[[#Headers],[14]],FDR[FDR]&amp;FDR[[#Headers],[14]],FDR[14],"",0,1)</f>
        <v>4</v>
      </c>
      <c r="AA155" cm="1">
        <f t="array" ref="AA155">_xlfn.XLOOKUP(Matrix[[#This Row],[TEAM]]&amp;Matrix[[#Headers],[15]],FDR[FDR]&amp;FDR[[#Headers],[15]],FDR[15],"",0,1)</f>
        <v>5</v>
      </c>
      <c r="AB155" cm="1">
        <f t="array" ref="AB155">_xlfn.XLOOKUP(Matrix[[#This Row],[TEAM]]&amp;Matrix[[#Headers],[16]],FDR[FDR]&amp;FDR[[#Headers],[16]],FDR[16],"",0,1)</f>
        <v>5</v>
      </c>
      <c r="AC155" cm="1">
        <f t="array" ref="AC155">_xlfn.XLOOKUP(Matrix[[#This Row],[TEAM]]&amp;Matrix[[#Headers],[17]],FDR[FDR]&amp;FDR[[#Headers],[17]],FDR[17],"",0,1)</f>
        <v>5</v>
      </c>
      <c r="AD155" cm="1">
        <f t="array" ref="AD155">_xlfn.XLOOKUP(Matrix[[#This Row],[TEAM]]&amp;Matrix[[#Headers],[18]],FDR[FDR]&amp;FDR[[#Headers],[18]],FDR[18],"",0,1)</f>
        <v>4</v>
      </c>
      <c r="AE155" cm="1">
        <f t="array" ref="AE155">_xlfn.XLOOKUP(Matrix[[#This Row],[TEAM]]&amp;Matrix[[#Headers],[19]],FDR[FDR]&amp;FDR[[#Headers],[19]],FDR[19],"",0,1)</f>
        <v>5</v>
      </c>
      <c r="AF155" cm="1">
        <f t="array" ref="AF155">_xlfn.XLOOKUP(Matrix[[#This Row],[TEAM]]&amp;Matrix[[#Headers],[20]],FDR[FDR]&amp;FDR[[#Headers],[20]],FDR[20],"",0,1)</f>
        <v>5</v>
      </c>
      <c r="AG155" cm="1">
        <f t="array" ref="AG155">_xlfn.XLOOKUP(Matrix[[#This Row],[TEAM]]&amp;Matrix[[#Headers],[21]],FDR[FDR]&amp;FDR[[#Headers],[21]],FDR[21],"",0,1)</f>
        <v>5</v>
      </c>
      <c r="AH155" cm="1">
        <f t="array" ref="AH155">_xlfn.XLOOKUP(Matrix[[#This Row],[TEAM]]&amp;Matrix[[#Headers],[22]],FDR[FDR]&amp;FDR[[#Headers],[22]],FDR[22],"",0,1)</f>
        <v>5</v>
      </c>
      <c r="AI155" cm="1">
        <f t="array" ref="AI155">_xlfn.XLOOKUP(Matrix[[#This Row],[TEAM]]&amp;Matrix[[#Headers],[23]],FDR[FDR]&amp;FDR[[#Headers],[23]],FDR[23],"",0,1)</f>
        <v>5</v>
      </c>
      <c r="AJ155" cm="1">
        <f t="array" ref="AJ155">_xlfn.XLOOKUP(Matrix[[#This Row],[TEAM]]&amp;Matrix[[#Headers],[24]],FDR[FDR]&amp;FDR[[#Headers],[24]],FDR[24],"",0,1)</f>
        <v>4</v>
      </c>
      <c r="AK155" cm="1">
        <f t="array" ref="AK155">_xlfn.XLOOKUP(Matrix[[#This Row],[TEAM]]&amp;Matrix[[#Headers],[25]],FDR[FDR]&amp;FDR[[#Headers],[25]],FDR[25],"",0,1)</f>
        <v>4</v>
      </c>
      <c r="AL155" cm="1">
        <f t="array" ref="AL155">_xlfn.XLOOKUP(Matrix[[#This Row],[TEAM]]&amp;Matrix[[#Headers],[26]],FDR[FDR]&amp;FDR[[#Headers],[26]],FDR[26],"",0,1)</f>
        <v>5</v>
      </c>
      <c r="AM155" cm="1">
        <f t="array" ref="AM155">_xlfn.XLOOKUP(Matrix[[#This Row],[TEAM]]&amp;Matrix[[#Headers],[27]],FDR[FDR]&amp;FDR[[#Headers],[27]],FDR[27],"",0,1)</f>
        <v>5</v>
      </c>
      <c r="AN155" cm="1">
        <f t="array" ref="AN155">_xlfn.XLOOKUP(Matrix[[#This Row],[TEAM]]&amp;Matrix[[#Headers],[28]],FDR[FDR]&amp;FDR[[#Headers],[28]],FDR[28],"",0,1)</f>
        <v>4</v>
      </c>
      <c r="AO155" cm="1">
        <f t="array" ref="AO155">_xlfn.XLOOKUP(Matrix[[#This Row],[TEAM]]&amp;Matrix[[#Headers],[29]],FDR[FDR]&amp;FDR[[#Headers],[29]],FDR[29],"",0,1)</f>
        <v>5</v>
      </c>
      <c r="AP155" cm="1">
        <f t="array" ref="AP155">_xlfn.XLOOKUP(Matrix[[#This Row],[TEAM]]&amp;Matrix[[#Headers],[30]],FDR[FDR]&amp;FDR[[#Headers],[30]],FDR[30],"",0,1)</f>
        <v>5</v>
      </c>
      <c r="AQ155" cm="1">
        <f t="array" ref="AQ155">_xlfn.XLOOKUP(Matrix[[#This Row],[TEAM]]&amp;Matrix[[#Headers],[31]],FDR[FDR]&amp;FDR[[#Headers],[31]],FDR[31],"",0,1)</f>
        <v>5</v>
      </c>
      <c r="AR155" cm="1">
        <f t="array" ref="AR155">_xlfn.XLOOKUP(Matrix[[#This Row],[TEAM]]&amp;Matrix[[#Headers],[32]],FDR[FDR]&amp;FDR[[#Headers],[32]],FDR[32],"",0,1)</f>
        <v>5</v>
      </c>
      <c r="AS155" cm="1">
        <f t="array" ref="AS155">_xlfn.XLOOKUP(Matrix[[#This Row],[TEAM]]&amp;Matrix[[#Headers],[33]],FDR[FDR]&amp;FDR[[#Headers],[33]],FDR[33],"",0,1)</f>
        <v>5</v>
      </c>
      <c r="AT155" cm="1">
        <f t="array" ref="AT155">_xlfn.XLOOKUP(Matrix[[#This Row],[TEAM]]&amp;Matrix[[#Headers],[34]],FDR[FDR]&amp;FDR[[#Headers],[34]],FDR[34],"",0,1)</f>
        <v>5</v>
      </c>
      <c r="AU155" cm="1">
        <f t="array" ref="AU155">_xlfn.XLOOKUP(Matrix[[#This Row],[TEAM]]&amp;Matrix[[#Headers],[35]],FDR[FDR]&amp;FDR[[#Headers],[35]],FDR[35],"",0,1)</f>
        <v>4</v>
      </c>
      <c r="AV155" cm="1">
        <f t="array" ref="AV155">_xlfn.XLOOKUP(Matrix[[#This Row],[TEAM]]&amp;Matrix[[#Headers],[36]],FDR[FDR]&amp;FDR[[#Headers],[36]],FDR[36],"",0,1)</f>
        <v>5</v>
      </c>
      <c r="AW155" cm="1">
        <f t="array" ref="AW155">_xlfn.XLOOKUP(Matrix[[#This Row],[TEAM]]&amp;Matrix[[#Headers],[37]],FDR[FDR]&amp;FDR[[#Headers],[37]],FDR[37],"",0,1)</f>
        <v>5</v>
      </c>
      <c r="AX155" cm="1">
        <f t="array" ref="AX155">_xlfn.XLOOKUP(Matrix[[#This Row],[TEAM]]&amp;Matrix[[#Headers],[38]],FDR[FDR]&amp;FDR[[#Headers],[38]],FDR[38],"",0,1)</f>
        <v>3</v>
      </c>
    </row>
    <row r="156" spans="1:50" ht="22" thickTop="1" thickBot="1">
      <c r="A156" s="49" t="str">
        <f>INDEX!S$5</f>
        <v>FWD</v>
      </c>
      <c r="B156" s="70" t="s">
        <v>1399</v>
      </c>
      <c r="C156" s="40" t="s">
        <v>633</v>
      </c>
      <c r="D156" s="62">
        <v>0</v>
      </c>
      <c r="E156" s="60">
        <v>2.7E-2</v>
      </c>
      <c r="F156" s="61">
        <v>0</v>
      </c>
      <c r="G156" s="63">
        <v>5.5</v>
      </c>
      <c r="H156" s="261">
        <f>IF(ISBLANK(I156),0,1)</f>
        <v>0</v>
      </c>
      <c r="I156" s="57"/>
      <c r="J156" s="58"/>
      <c r="K156" s="64" t="s">
        <v>435</v>
      </c>
      <c r="L156" s="64" t="s">
        <v>787</v>
      </c>
      <c r="M156" cm="1">
        <f t="array" ref="M156">_xlfn.XLOOKUP(Matrix[[#This Row],[TEAM]]&amp;Matrix[[#Headers],[1]],FDR[FDR]&amp;FDR[[#Headers],[1]],FDR[1],"",0,1)</f>
        <v>4</v>
      </c>
      <c r="N156" cm="1">
        <f t="array" ref="N156">_xlfn.XLOOKUP(Matrix[[#This Row],[TEAM]]&amp;Matrix[[#Headers],[2]],FDR[FDR]&amp;FDR[[#Headers],[2]],FDR[2],"",0,1)</f>
        <v>5</v>
      </c>
      <c r="O156" cm="1">
        <f t="array" ref="O156">_xlfn.XLOOKUP(Matrix[[#This Row],[TEAM]]&amp;Matrix[[#Headers],[3]],FDR[FDR]&amp;FDR[[#Headers],[3]],FDR[3],"",0,1)</f>
        <v>5</v>
      </c>
      <c r="P156" cm="1">
        <f t="array" ref="P156">_xlfn.XLOOKUP(Matrix[[#This Row],[TEAM]]&amp;Matrix[[#Headers],[4]],FDR[FDR]&amp;FDR[[#Headers],[4]],FDR[4],"",0,1)</f>
        <v>5</v>
      </c>
      <c r="Q156" cm="1">
        <f t="array" ref="Q156">_xlfn.XLOOKUP(Matrix[[#This Row],[TEAM]]&amp;Matrix[[#Headers],[5]],FDR[FDR]&amp;FDR[[#Headers],[5]],FDR[5],"",0,1)</f>
        <v>4</v>
      </c>
      <c r="R156" cm="1">
        <f t="array" ref="R156">_xlfn.XLOOKUP(Matrix[[#This Row],[TEAM]]&amp;Matrix[[#Headers],[6]],FDR[FDR]&amp;FDR[[#Headers],[6]],FDR[6],"",0,1)</f>
        <v>5</v>
      </c>
      <c r="S156" cm="1">
        <f t="array" ref="S156">_xlfn.XLOOKUP(Matrix[[#This Row],[TEAM]]&amp;Matrix[[#Headers],[7]],FDR[FDR]&amp;FDR[[#Headers],[7]],FDR[7],"",0,1)</f>
        <v>5</v>
      </c>
      <c r="T156" cm="1">
        <f t="array" ref="T156">_xlfn.XLOOKUP(Matrix[[#This Row],[TEAM]]&amp;Matrix[[#Headers],[8]],FDR[FDR]&amp;FDR[[#Headers],[8]],FDR[8],"",0,1)</f>
        <v>4</v>
      </c>
      <c r="U156" cm="1">
        <f t="array" ref="U156">_xlfn.XLOOKUP(Matrix[[#This Row],[TEAM]]&amp;Matrix[[#Headers],[9]],FDR[FDR]&amp;FDR[[#Headers],[9]],FDR[9],"",0,1)</f>
        <v>4</v>
      </c>
      <c r="V156" cm="1">
        <f t="array" ref="V156">_xlfn.XLOOKUP(Matrix[[#This Row],[TEAM]]&amp;Matrix[[#Headers],[10]],FDR[FDR]&amp;FDR[[#Headers],[10]],FDR[10],"",0,1)</f>
        <v>5</v>
      </c>
      <c r="W156" cm="1">
        <f t="array" ref="W156">_xlfn.XLOOKUP(Matrix[[#This Row],[TEAM]]&amp;Matrix[[#Headers],[11]],FDR[FDR]&amp;FDR[[#Headers],[11]],FDR[11],"",0,1)</f>
        <v>5</v>
      </c>
      <c r="X156" cm="1">
        <f t="array" ref="X156">_xlfn.XLOOKUP(Matrix[[#This Row],[TEAM]]&amp;Matrix[[#Headers],[12]],FDR[FDR]&amp;FDR[[#Headers],[12]],FDR[12],"",0,1)</f>
        <v>5</v>
      </c>
      <c r="Y156" cm="1">
        <f t="array" ref="Y156">_xlfn.XLOOKUP(Matrix[[#This Row],[TEAM]]&amp;Matrix[[#Headers],[13]],FDR[FDR]&amp;FDR[[#Headers],[13]],FDR[13],"",0,1)</f>
        <v>5</v>
      </c>
      <c r="Z156" cm="1">
        <f t="array" ref="Z156">_xlfn.XLOOKUP(Matrix[[#This Row],[TEAM]]&amp;Matrix[[#Headers],[14]],FDR[FDR]&amp;FDR[[#Headers],[14]],FDR[14],"",0,1)</f>
        <v>5</v>
      </c>
      <c r="AA156" cm="1">
        <f t="array" ref="AA156">_xlfn.XLOOKUP(Matrix[[#This Row],[TEAM]]&amp;Matrix[[#Headers],[15]],FDR[FDR]&amp;FDR[[#Headers],[15]],FDR[15],"",0,1)</f>
        <v>5</v>
      </c>
      <c r="AB156" cm="1">
        <f t="array" ref="AB156">_xlfn.XLOOKUP(Matrix[[#This Row],[TEAM]]&amp;Matrix[[#Headers],[16]],FDR[FDR]&amp;FDR[[#Headers],[16]],FDR[16],"",0,1)</f>
        <v>5</v>
      </c>
      <c r="AC156" cm="1">
        <f t="array" ref="AC156">_xlfn.XLOOKUP(Matrix[[#This Row],[TEAM]]&amp;Matrix[[#Headers],[17]],FDR[FDR]&amp;FDR[[#Headers],[17]],FDR[17],"",0,1)</f>
        <v>4</v>
      </c>
      <c r="AD156" cm="1">
        <f t="array" ref="AD156">_xlfn.XLOOKUP(Matrix[[#This Row],[TEAM]]&amp;Matrix[[#Headers],[18]],FDR[FDR]&amp;FDR[[#Headers],[18]],FDR[18],"",0,1)</f>
        <v>4</v>
      </c>
      <c r="AE156" cm="1">
        <f t="array" ref="AE156">_xlfn.XLOOKUP(Matrix[[#This Row],[TEAM]]&amp;Matrix[[#Headers],[19]],FDR[FDR]&amp;FDR[[#Headers],[19]],FDR[19],"",0,1)</f>
        <v>5</v>
      </c>
      <c r="AF156" cm="1">
        <f t="array" ref="AF156">_xlfn.XLOOKUP(Matrix[[#This Row],[TEAM]]&amp;Matrix[[#Headers],[20]],FDR[FDR]&amp;FDR[[#Headers],[20]],FDR[20],"",0,1)</f>
        <v>5</v>
      </c>
      <c r="AG156" cm="1">
        <f t="array" ref="AG156">_xlfn.XLOOKUP(Matrix[[#This Row],[TEAM]]&amp;Matrix[[#Headers],[21]],FDR[FDR]&amp;FDR[[#Headers],[21]],FDR[21],"",0,1)</f>
        <v>5</v>
      </c>
      <c r="AH156" cm="1">
        <f t="array" ref="AH156">_xlfn.XLOOKUP(Matrix[[#This Row],[TEAM]]&amp;Matrix[[#Headers],[22]],FDR[FDR]&amp;FDR[[#Headers],[22]],FDR[22],"",0,1)</f>
        <v>5</v>
      </c>
      <c r="AI156" cm="1">
        <f t="array" ref="AI156">_xlfn.XLOOKUP(Matrix[[#This Row],[TEAM]]&amp;Matrix[[#Headers],[23]],FDR[FDR]&amp;FDR[[#Headers],[23]],FDR[23],"",0,1)</f>
        <v>5</v>
      </c>
      <c r="AJ156" cm="1">
        <f t="array" ref="AJ156">_xlfn.XLOOKUP(Matrix[[#This Row],[TEAM]]&amp;Matrix[[#Headers],[24]],FDR[FDR]&amp;FDR[[#Headers],[24]],FDR[24],"",0,1)</f>
        <v>5</v>
      </c>
      <c r="AK156" cm="1">
        <f t="array" ref="AK156">_xlfn.XLOOKUP(Matrix[[#This Row],[TEAM]]&amp;Matrix[[#Headers],[25]],FDR[FDR]&amp;FDR[[#Headers],[25]],FDR[25],"",0,1)</f>
        <v>5</v>
      </c>
      <c r="AL156" cm="1">
        <f t="array" ref="AL156">_xlfn.XLOOKUP(Matrix[[#This Row],[TEAM]]&amp;Matrix[[#Headers],[26]],FDR[FDR]&amp;FDR[[#Headers],[26]],FDR[26],"",0,1)</f>
        <v>5</v>
      </c>
      <c r="AM156" cm="1">
        <f t="array" ref="AM156">_xlfn.XLOOKUP(Matrix[[#This Row],[TEAM]]&amp;Matrix[[#Headers],[27]],FDR[FDR]&amp;FDR[[#Headers],[27]],FDR[27],"",0,1)</f>
        <v>5</v>
      </c>
      <c r="AN156" cm="1">
        <f t="array" ref="AN156">_xlfn.XLOOKUP(Matrix[[#This Row],[TEAM]]&amp;Matrix[[#Headers],[28]],FDR[FDR]&amp;FDR[[#Headers],[28]],FDR[28],"",0,1)</f>
        <v>5</v>
      </c>
      <c r="AO156" cm="1">
        <f t="array" ref="AO156">_xlfn.XLOOKUP(Matrix[[#This Row],[TEAM]]&amp;Matrix[[#Headers],[29]],FDR[FDR]&amp;FDR[[#Headers],[29]],FDR[29],"",0,1)</f>
        <v>3</v>
      </c>
      <c r="AP156" cm="1">
        <f t="array" ref="AP156">_xlfn.XLOOKUP(Matrix[[#This Row],[TEAM]]&amp;Matrix[[#Headers],[30]],FDR[FDR]&amp;FDR[[#Headers],[30]],FDR[30],"",0,1)</f>
        <v>5</v>
      </c>
      <c r="AQ156" cm="1">
        <f t="array" ref="AQ156">_xlfn.XLOOKUP(Matrix[[#This Row],[TEAM]]&amp;Matrix[[#Headers],[31]],FDR[FDR]&amp;FDR[[#Headers],[31]],FDR[31],"",0,1)</f>
        <v>4</v>
      </c>
      <c r="AR156" cm="1">
        <f t="array" ref="AR156">_xlfn.XLOOKUP(Matrix[[#This Row],[TEAM]]&amp;Matrix[[#Headers],[32]],FDR[FDR]&amp;FDR[[#Headers],[32]],FDR[32],"",0,1)</f>
        <v>5</v>
      </c>
      <c r="AS156" cm="1">
        <f t="array" ref="AS156">_xlfn.XLOOKUP(Matrix[[#This Row],[TEAM]]&amp;Matrix[[#Headers],[33]],FDR[FDR]&amp;FDR[[#Headers],[33]],FDR[33],"",0,1)</f>
        <v>3</v>
      </c>
      <c r="AT156" cm="1">
        <f t="array" ref="AT156">_xlfn.XLOOKUP(Matrix[[#This Row],[TEAM]]&amp;Matrix[[#Headers],[34]],FDR[FDR]&amp;FDR[[#Headers],[34]],FDR[34],"",0,1)</f>
        <v>5</v>
      </c>
      <c r="AU156" cm="1">
        <f t="array" ref="AU156">_xlfn.XLOOKUP(Matrix[[#This Row],[TEAM]]&amp;Matrix[[#Headers],[35]],FDR[FDR]&amp;FDR[[#Headers],[35]],FDR[35],"",0,1)</f>
        <v>3</v>
      </c>
      <c r="AV156" cm="1">
        <f t="array" ref="AV156">_xlfn.XLOOKUP(Matrix[[#This Row],[TEAM]]&amp;Matrix[[#Headers],[36]],FDR[FDR]&amp;FDR[[#Headers],[36]],FDR[36],"",0,1)</f>
        <v>5</v>
      </c>
      <c r="AW156" cm="1">
        <f t="array" ref="AW156">_xlfn.XLOOKUP(Matrix[[#This Row],[TEAM]]&amp;Matrix[[#Headers],[37]],FDR[FDR]&amp;FDR[[#Headers],[37]],FDR[37],"",0,1)</f>
        <v>5</v>
      </c>
      <c r="AX156" cm="1">
        <f t="array" ref="AX156">_xlfn.XLOOKUP(Matrix[[#This Row],[TEAM]]&amp;Matrix[[#Headers],[38]],FDR[FDR]&amp;FDR[[#Headers],[38]],FDR[38],"",0,1)</f>
        <v>5</v>
      </c>
    </row>
    <row r="157" spans="1:50" ht="22" thickTop="1" thickBot="1">
      <c r="A157" s="49" t="str">
        <f>INDEX!S$5</f>
        <v>FWD</v>
      </c>
      <c r="B157" s="70" t="s">
        <v>1429</v>
      </c>
      <c r="C157" s="40" t="s">
        <v>634</v>
      </c>
      <c r="D157" s="62">
        <v>0</v>
      </c>
      <c r="E157" s="60">
        <v>4.0000000000000001E-3</v>
      </c>
      <c r="F157" s="61">
        <v>0</v>
      </c>
      <c r="G157" s="63">
        <v>5.5</v>
      </c>
      <c r="H157" s="261">
        <f>IF(ISBLANK(I157),0,1)</f>
        <v>0</v>
      </c>
      <c r="I157" s="57"/>
      <c r="J157" s="58"/>
      <c r="K157" s="64" t="s">
        <v>801</v>
      </c>
      <c r="L157" s="64" t="s">
        <v>802</v>
      </c>
      <c r="M157" cm="1">
        <f t="array" ref="M157">_xlfn.XLOOKUP(Matrix[[#This Row],[TEAM]]&amp;Matrix[[#Headers],[1]],FDR[FDR]&amp;FDR[[#Headers],[1]],FDR[1],"",0,1)</f>
        <v>4</v>
      </c>
      <c r="N157" cm="1">
        <f t="array" ref="N157">_xlfn.XLOOKUP(Matrix[[#This Row],[TEAM]]&amp;Matrix[[#Headers],[2]],FDR[FDR]&amp;FDR[[#Headers],[2]],FDR[2],"",0,1)</f>
        <v>4</v>
      </c>
      <c r="O157" cm="1">
        <f t="array" ref="O157">_xlfn.XLOOKUP(Matrix[[#This Row],[TEAM]]&amp;Matrix[[#Headers],[3]],FDR[FDR]&amp;FDR[[#Headers],[3]],FDR[3],"",0,1)</f>
        <v>4</v>
      </c>
      <c r="P157" cm="1">
        <f t="array" ref="P157">_xlfn.XLOOKUP(Matrix[[#This Row],[TEAM]]&amp;Matrix[[#Headers],[4]],FDR[FDR]&amp;FDR[[#Headers],[4]],FDR[4],"",0,1)</f>
        <v>5</v>
      </c>
      <c r="Q157" cm="1">
        <f t="array" ref="Q157">_xlfn.XLOOKUP(Matrix[[#This Row],[TEAM]]&amp;Matrix[[#Headers],[5]],FDR[FDR]&amp;FDR[[#Headers],[5]],FDR[5],"",0,1)</f>
        <v>5</v>
      </c>
      <c r="R157" cm="1">
        <f t="array" ref="R157">_xlfn.XLOOKUP(Matrix[[#This Row],[TEAM]]&amp;Matrix[[#Headers],[6]],FDR[FDR]&amp;FDR[[#Headers],[6]],FDR[6],"",0,1)</f>
        <v>5</v>
      </c>
      <c r="S157" cm="1">
        <f t="array" ref="S157">_xlfn.XLOOKUP(Matrix[[#This Row],[TEAM]]&amp;Matrix[[#Headers],[7]],FDR[FDR]&amp;FDR[[#Headers],[7]],FDR[7],"",0,1)</f>
        <v>5</v>
      </c>
      <c r="T157" cm="1">
        <f t="array" ref="T157">_xlfn.XLOOKUP(Matrix[[#This Row],[TEAM]]&amp;Matrix[[#Headers],[8]],FDR[FDR]&amp;FDR[[#Headers],[8]],FDR[8],"",0,1)</f>
        <v>3</v>
      </c>
      <c r="U157" cm="1">
        <f t="array" ref="U157">_xlfn.XLOOKUP(Matrix[[#This Row],[TEAM]]&amp;Matrix[[#Headers],[9]],FDR[FDR]&amp;FDR[[#Headers],[9]],FDR[9],"",0,1)</f>
        <v>5</v>
      </c>
      <c r="V157" cm="1">
        <f t="array" ref="V157">_xlfn.XLOOKUP(Matrix[[#This Row],[TEAM]]&amp;Matrix[[#Headers],[10]],FDR[FDR]&amp;FDR[[#Headers],[10]],FDR[10],"",0,1)</f>
        <v>4</v>
      </c>
      <c r="W157" cm="1">
        <f t="array" ref="W157">_xlfn.XLOOKUP(Matrix[[#This Row],[TEAM]]&amp;Matrix[[#Headers],[11]],FDR[FDR]&amp;FDR[[#Headers],[11]],FDR[11],"",0,1)</f>
        <v>5</v>
      </c>
      <c r="X157" cm="1">
        <f t="array" ref="X157">_xlfn.XLOOKUP(Matrix[[#This Row],[TEAM]]&amp;Matrix[[#Headers],[12]],FDR[FDR]&amp;FDR[[#Headers],[12]],FDR[12],"",0,1)</f>
        <v>5</v>
      </c>
      <c r="Y157" cm="1">
        <f t="array" ref="Y157">_xlfn.XLOOKUP(Matrix[[#This Row],[TEAM]]&amp;Matrix[[#Headers],[13]],FDR[FDR]&amp;FDR[[#Headers],[13]],FDR[13],"",0,1)</f>
        <v>5</v>
      </c>
      <c r="Z157" cm="1">
        <f t="array" ref="Z157">_xlfn.XLOOKUP(Matrix[[#This Row],[TEAM]]&amp;Matrix[[#Headers],[14]],FDR[FDR]&amp;FDR[[#Headers],[14]],FDR[14],"",0,1)</f>
        <v>5</v>
      </c>
      <c r="AA157" cm="1">
        <f t="array" ref="AA157">_xlfn.XLOOKUP(Matrix[[#This Row],[TEAM]]&amp;Matrix[[#Headers],[15]],FDR[FDR]&amp;FDR[[#Headers],[15]],FDR[15],"",0,1)</f>
        <v>5</v>
      </c>
      <c r="AB157" cm="1">
        <f t="array" ref="AB157">_xlfn.XLOOKUP(Matrix[[#This Row],[TEAM]]&amp;Matrix[[#Headers],[16]],FDR[FDR]&amp;FDR[[#Headers],[16]],FDR[16],"",0,1)</f>
        <v>5</v>
      </c>
      <c r="AC157" cm="1">
        <f t="array" ref="AC157">_xlfn.XLOOKUP(Matrix[[#This Row],[TEAM]]&amp;Matrix[[#Headers],[17]],FDR[FDR]&amp;FDR[[#Headers],[17]],FDR[17],"",0,1)</f>
        <v>5</v>
      </c>
      <c r="AD157" cm="1">
        <f t="array" ref="AD157">_xlfn.XLOOKUP(Matrix[[#This Row],[TEAM]]&amp;Matrix[[#Headers],[18]],FDR[FDR]&amp;FDR[[#Headers],[18]],FDR[18],"",0,1)</f>
        <v>3</v>
      </c>
      <c r="AE157" cm="1">
        <f t="array" ref="AE157">_xlfn.XLOOKUP(Matrix[[#This Row],[TEAM]]&amp;Matrix[[#Headers],[19]],FDR[FDR]&amp;FDR[[#Headers],[19]],FDR[19],"",0,1)</f>
        <v>5</v>
      </c>
      <c r="AF157" cm="1">
        <f t="array" ref="AF157">_xlfn.XLOOKUP(Matrix[[#This Row],[TEAM]]&amp;Matrix[[#Headers],[20]],FDR[FDR]&amp;FDR[[#Headers],[20]],FDR[20],"",0,1)</f>
        <v>5</v>
      </c>
      <c r="AG157" cm="1">
        <f t="array" ref="AG157">_xlfn.XLOOKUP(Matrix[[#This Row],[TEAM]]&amp;Matrix[[#Headers],[21]],FDR[FDR]&amp;FDR[[#Headers],[21]],FDR[21],"",0,1)</f>
        <v>5</v>
      </c>
      <c r="AH157" cm="1">
        <f t="array" ref="AH157">_xlfn.XLOOKUP(Matrix[[#This Row],[TEAM]]&amp;Matrix[[#Headers],[22]],FDR[FDR]&amp;FDR[[#Headers],[22]],FDR[22],"",0,1)</f>
        <v>4</v>
      </c>
      <c r="AI157" cm="1">
        <f t="array" ref="AI157">_xlfn.XLOOKUP(Matrix[[#This Row],[TEAM]]&amp;Matrix[[#Headers],[23]],FDR[FDR]&amp;FDR[[#Headers],[23]],FDR[23],"",0,1)</f>
        <v>5</v>
      </c>
      <c r="AJ157" cm="1">
        <f t="array" ref="AJ157">_xlfn.XLOOKUP(Matrix[[#This Row],[TEAM]]&amp;Matrix[[#Headers],[24]],FDR[FDR]&amp;FDR[[#Headers],[24]],FDR[24],"",0,1)</f>
        <v>3</v>
      </c>
      <c r="AK157" cm="1">
        <f t="array" ref="AK157">_xlfn.XLOOKUP(Matrix[[#This Row],[TEAM]]&amp;Matrix[[#Headers],[25]],FDR[FDR]&amp;FDR[[#Headers],[25]],FDR[25],"",0,1)</f>
        <v>5</v>
      </c>
      <c r="AL157" cm="1">
        <f t="array" ref="AL157">_xlfn.XLOOKUP(Matrix[[#This Row],[TEAM]]&amp;Matrix[[#Headers],[26]],FDR[FDR]&amp;FDR[[#Headers],[26]],FDR[26],"",0,1)</f>
        <v>5</v>
      </c>
      <c r="AM157" cm="1">
        <f t="array" ref="AM157">_xlfn.XLOOKUP(Matrix[[#This Row],[TEAM]]&amp;Matrix[[#Headers],[27]],FDR[FDR]&amp;FDR[[#Headers],[27]],FDR[27],"",0,1)</f>
        <v>5</v>
      </c>
      <c r="AN157" cm="1">
        <f t="array" ref="AN157">_xlfn.XLOOKUP(Matrix[[#This Row],[TEAM]]&amp;Matrix[[#Headers],[28]],FDR[FDR]&amp;FDR[[#Headers],[28]],FDR[28],"",0,1)</f>
        <v>5</v>
      </c>
      <c r="AO157" cm="1">
        <f t="array" ref="AO157">_xlfn.XLOOKUP(Matrix[[#This Row],[TEAM]]&amp;Matrix[[#Headers],[29]],FDR[FDR]&amp;FDR[[#Headers],[29]],FDR[29],"",0,1)</f>
        <v>4</v>
      </c>
      <c r="AP157" cm="1">
        <f t="array" ref="AP157">_xlfn.XLOOKUP(Matrix[[#This Row],[TEAM]]&amp;Matrix[[#Headers],[30]],FDR[FDR]&amp;FDR[[#Headers],[30]],FDR[30],"",0,1)</f>
        <v>5</v>
      </c>
      <c r="AQ157" cm="1">
        <f t="array" ref="AQ157">_xlfn.XLOOKUP(Matrix[[#This Row],[TEAM]]&amp;Matrix[[#Headers],[31]],FDR[FDR]&amp;FDR[[#Headers],[31]],FDR[31],"",0,1)</f>
        <v>5</v>
      </c>
      <c r="AR157" cm="1">
        <f t="array" ref="AR157">_xlfn.XLOOKUP(Matrix[[#This Row],[TEAM]]&amp;Matrix[[#Headers],[32]],FDR[FDR]&amp;FDR[[#Headers],[32]],FDR[32],"",0,1)</f>
        <v>5</v>
      </c>
      <c r="AS157" cm="1">
        <f t="array" ref="AS157">_xlfn.XLOOKUP(Matrix[[#This Row],[TEAM]]&amp;Matrix[[#Headers],[33]],FDR[FDR]&amp;FDR[[#Headers],[33]],FDR[33],"",0,1)</f>
        <v>5</v>
      </c>
      <c r="AT157" cm="1">
        <f t="array" ref="AT157">_xlfn.XLOOKUP(Matrix[[#This Row],[TEAM]]&amp;Matrix[[#Headers],[34]],FDR[FDR]&amp;FDR[[#Headers],[34]],FDR[34],"",0,1)</f>
        <v>5</v>
      </c>
      <c r="AU157" cm="1">
        <f t="array" ref="AU157">_xlfn.XLOOKUP(Matrix[[#This Row],[TEAM]]&amp;Matrix[[#Headers],[35]],FDR[FDR]&amp;FDR[[#Headers],[35]],FDR[35],"",0,1)</f>
        <v>4</v>
      </c>
      <c r="AV157" cm="1">
        <f t="array" ref="AV157">_xlfn.XLOOKUP(Matrix[[#This Row],[TEAM]]&amp;Matrix[[#Headers],[36]],FDR[FDR]&amp;FDR[[#Headers],[36]],FDR[36],"",0,1)</f>
        <v>5</v>
      </c>
      <c r="AW157" cm="1">
        <f t="array" ref="AW157">_xlfn.XLOOKUP(Matrix[[#This Row],[TEAM]]&amp;Matrix[[#Headers],[37]],FDR[FDR]&amp;FDR[[#Headers],[37]],FDR[37],"",0,1)</f>
        <v>5</v>
      </c>
      <c r="AX157" cm="1">
        <f t="array" ref="AX157">_xlfn.XLOOKUP(Matrix[[#This Row],[TEAM]]&amp;Matrix[[#Headers],[38]],FDR[FDR]&amp;FDR[[#Headers],[38]],FDR[38],"",0,1)</f>
        <v>5</v>
      </c>
    </row>
    <row r="158" spans="1:50" ht="22" thickTop="1" thickBot="1">
      <c r="A158" s="49" t="str">
        <f>INDEX!S$5</f>
        <v>FWD</v>
      </c>
      <c r="B158" s="70" t="s">
        <v>1431</v>
      </c>
      <c r="C158" s="40" t="s">
        <v>634</v>
      </c>
      <c r="D158" s="62">
        <v>0</v>
      </c>
      <c r="E158" s="60">
        <v>3.0000000000000001E-3</v>
      </c>
      <c r="F158" s="61">
        <v>0</v>
      </c>
      <c r="G158" s="63">
        <v>5.5</v>
      </c>
      <c r="H158" s="261">
        <f>IF(ISBLANK(I158),0,1)</f>
        <v>0</v>
      </c>
      <c r="I158" s="57"/>
      <c r="J158" s="58"/>
      <c r="K158" s="64" t="s">
        <v>67</v>
      </c>
      <c r="L158" s="64" t="s">
        <v>800</v>
      </c>
      <c r="M158" cm="1">
        <f t="array" ref="M158">_xlfn.XLOOKUP(Matrix[[#This Row],[TEAM]]&amp;Matrix[[#Headers],[1]],FDR[FDR]&amp;FDR[[#Headers],[1]],FDR[1],"",0,1)</f>
        <v>4</v>
      </c>
      <c r="N158" cm="1">
        <f t="array" ref="N158">_xlfn.XLOOKUP(Matrix[[#This Row],[TEAM]]&amp;Matrix[[#Headers],[2]],FDR[FDR]&amp;FDR[[#Headers],[2]],FDR[2],"",0,1)</f>
        <v>4</v>
      </c>
      <c r="O158" cm="1">
        <f t="array" ref="O158">_xlfn.XLOOKUP(Matrix[[#This Row],[TEAM]]&amp;Matrix[[#Headers],[3]],FDR[FDR]&amp;FDR[[#Headers],[3]],FDR[3],"",0,1)</f>
        <v>4</v>
      </c>
      <c r="P158" cm="1">
        <f t="array" ref="P158">_xlfn.XLOOKUP(Matrix[[#This Row],[TEAM]]&amp;Matrix[[#Headers],[4]],FDR[FDR]&amp;FDR[[#Headers],[4]],FDR[4],"",0,1)</f>
        <v>5</v>
      </c>
      <c r="Q158" cm="1">
        <f t="array" ref="Q158">_xlfn.XLOOKUP(Matrix[[#This Row],[TEAM]]&amp;Matrix[[#Headers],[5]],FDR[FDR]&amp;FDR[[#Headers],[5]],FDR[5],"",0,1)</f>
        <v>5</v>
      </c>
      <c r="R158" cm="1">
        <f t="array" ref="R158">_xlfn.XLOOKUP(Matrix[[#This Row],[TEAM]]&amp;Matrix[[#Headers],[6]],FDR[FDR]&amp;FDR[[#Headers],[6]],FDR[6],"",0,1)</f>
        <v>5</v>
      </c>
      <c r="S158" cm="1">
        <f t="array" ref="S158">_xlfn.XLOOKUP(Matrix[[#This Row],[TEAM]]&amp;Matrix[[#Headers],[7]],FDR[FDR]&amp;FDR[[#Headers],[7]],FDR[7],"",0,1)</f>
        <v>5</v>
      </c>
      <c r="T158" cm="1">
        <f t="array" ref="T158">_xlfn.XLOOKUP(Matrix[[#This Row],[TEAM]]&amp;Matrix[[#Headers],[8]],FDR[FDR]&amp;FDR[[#Headers],[8]],FDR[8],"",0,1)</f>
        <v>3</v>
      </c>
      <c r="U158" cm="1">
        <f t="array" ref="U158">_xlfn.XLOOKUP(Matrix[[#This Row],[TEAM]]&amp;Matrix[[#Headers],[9]],FDR[FDR]&amp;FDR[[#Headers],[9]],FDR[9],"",0,1)</f>
        <v>5</v>
      </c>
      <c r="V158" cm="1">
        <f t="array" ref="V158">_xlfn.XLOOKUP(Matrix[[#This Row],[TEAM]]&amp;Matrix[[#Headers],[10]],FDR[FDR]&amp;FDR[[#Headers],[10]],FDR[10],"",0,1)</f>
        <v>4</v>
      </c>
      <c r="W158" cm="1">
        <f t="array" ref="W158">_xlfn.XLOOKUP(Matrix[[#This Row],[TEAM]]&amp;Matrix[[#Headers],[11]],FDR[FDR]&amp;FDR[[#Headers],[11]],FDR[11],"",0,1)</f>
        <v>5</v>
      </c>
      <c r="X158" cm="1">
        <f t="array" ref="X158">_xlfn.XLOOKUP(Matrix[[#This Row],[TEAM]]&amp;Matrix[[#Headers],[12]],FDR[FDR]&amp;FDR[[#Headers],[12]],FDR[12],"",0,1)</f>
        <v>5</v>
      </c>
      <c r="Y158" cm="1">
        <f t="array" ref="Y158">_xlfn.XLOOKUP(Matrix[[#This Row],[TEAM]]&amp;Matrix[[#Headers],[13]],FDR[FDR]&amp;FDR[[#Headers],[13]],FDR[13],"",0,1)</f>
        <v>5</v>
      </c>
      <c r="Z158" cm="1">
        <f t="array" ref="Z158">_xlfn.XLOOKUP(Matrix[[#This Row],[TEAM]]&amp;Matrix[[#Headers],[14]],FDR[FDR]&amp;FDR[[#Headers],[14]],FDR[14],"",0,1)</f>
        <v>5</v>
      </c>
      <c r="AA158" cm="1">
        <f t="array" ref="AA158">_xlfn.XLOOKUP(Matrix[[#This Row],[TEAM]]&amp;Matrix[[#Headers],[15]],FDR[FDR]&amp;FDR[[#Headers],[15]],FDR[15],"",0,1)</f>
        <v>5</v>
      </c>
      <c r="AB158" cm="1">
        <f t="array" ref="AB158">_xlfn.XLOOKUP(Matrix[[#This Row],[TEAM]]&amp;Matrix[[#Headers],[16]],FDR[FDR]&amp;FDR[[#Headers],[16]],FDR[16],"",0,1)</f>
        <v>5</v>
      </c>
      <c r="AC158" cm="1">
        <f t="array" ref="AC158">_xlfn.XLOOKUP(Matrix[[#This Row],[TEAM]]&amp;Matrix[[#Headers],[17]],FDR[FDR]&amp;FDR[[#Headers],[17]],FDR[17],"",0,1)</f>
        <v>5</v>
      </c>
      <c r="AD158" cm="1">
        <f t="array" ref="AD158">_xlfn.XLOOKUP(Matrix[[#This Row],[TEAM]]&amp;Matrix[[#Headers],[18]],FDR[FDR]&amp;FDR[[#Headers],[18]],FDR[18],"",0,1)</f>
        <v>3</v>
      </c>
      <c r="AE158" cm="1">
        <f t="array" ref="AE158">_xlfn.XLOOKUP(Matrix[[#This Row],[TEAM]]&amp;Matrix[[#Headers],[19]],FDR[FDR]&amp;FDR[[#Headers],[19]],FDR[19],"",0,1)</f>
        <v>5</v>
      </c>
      <c r="AF158" cm="1">
        <f t="array" ref="AF158">_xlfn.XLOOKUP(Matrix[[#This Row],[TEAM]]&amp;Matrix[[#Headers],[20]],FDR[FDR]&amp;FDR[[#Headers],[20]],FDR[20],"",0,1)</f>
        <v>5</v>
      </c>
      <c r="AG158" cm="1">
        <f t="array" ref="AG158">_xlfn.XLOOKUP(Matrix[[#This Row],[TEAM]]&amp;Matrix[[#Headers],[21]],FDR[FDR]&amp;FDR[[#Headers],[21]],FDR[21],"",0,1)</f>
        <v>5</v>
      </c>
      <c r="AH158" cm="1">
        <f t="array" ref="AH158">_xlfn.XLOOKUP(Matrix[[#This Row],[TEAM]]&amp;Matrix[[#Headers],[22]],FDR[FDR]&amp;FDR[[#Headers],[22]],FDR[22],"",0,1)</f>
        <v>4</v>
      </c>
      <c r="AI158" cm="1">
        <f t="array" ref="AI158">_xlfn.XLOOKUP(Matrix[[#This Row],[TEAM]]&amp;Matrix[[#Headers],[23]],FDR[FDR]&amp;FDR[[#Headers],[23]],FDR[23],"",0,1)</f>
        <v>5</v>
      </c>
      <c r="AJ158" cm="1">
        <f t="array" ref="AJ158">_xlfn.XLOOKUP(Matrix[[#This Row],[TEAM]]&amp;Matrix[[#Headers],[24]],FDR[FDR]&amp;FDR[[#Headers],[24]],FDR[24],"",0,1)</f>
        <v>3</v>
      </c>
      <c r="AK158" cm="1">
        <f t="array" ref="AK158">_xlfn.XLOOKUP(Matrix[[#This Row],[TEAM]]&amp;Matrix[[#Headers],[25]],FDR[FDR]&amp;FDR[[#Headers],[25]],FDR[25],"",0,1)</f>
        <v>5</v>
      </c>
      <c r="AL158" cm="1">
        <f t="array" ref="AL158">_xlfn.XLOOKUP(Matrix[[#This Row],[TEAM]]&amp;Matrix[[#Headers],[26]],FDR[FDR]&amp;FDR[[#Headers],[26]],FDR[26],"",0,1)</f>
        <v>5</v>
      </c>
      <c r="AM158" cm="1">
        <f t="array" ref="AM158">_xlfn.XLOOKUP(Matrix[[#This Row],[TEAM]]&amp;Matrix[[#Headers],[27]],FDR[FDR]&amp;FDR[[#Headers],[27]],FDR[27],"",0,1)</f>
        <v>5</v>
      </c>
      <c r="AN158" cm="1">
        <f t="array" ref="AN158">_xlfn.XLOOKUP(Matrix[[#This Row],[TEAM]]&amp;Matrix[[#Headers],[28]],FDR[FDR]&amp;FDR[[#Headers],[28]],FDR[28],"",0,1)</f>
        <v>5</v>
      </c>
      <c r="AO158" cm="1">
        <f t="array" ref="AO158">_xlfn.XLOOKUP(Matrix[[#This Row],[TEAM]]&amp;Matrix[[#Headers],[29]],FDR[FDR]&amp;FDR[[#Headers],[29]],FDR[29],"",0,1)</f>
        <v>4</v>
      </c>
      <c r="AP158" cm="1">
        <f t="array" ref="AP158">_xlfn.XLOOKUP(Matrix[[#This Row],[TEAM]]&amp;Matrix[[#Headers],[30]],FDR[FDR]&amp;FDR[[#Headers],[30]],FDR[30],"",0,1)</f>
        <v>5</v>
      </c>
      <c r="AQ158" cm="1">
        <f t="array" ref="AQ158">_xlfn.XLOOKUP(Matrix[[#This Row],[TEAM]]&amp;Matrix[[#Headers],[31]],FDR[FDR]&amp;FDR[[#Headers],[31]],FDR[31],"",0,1)</f>
        <v>5</v>
      </c>
      <c r="AR158" cm="1">
        <f t="array" ref="AR158">_xlfn.XLOOKUP(Matrix[[#This Row],[TEAM]]&amp;Matrix[[#Headers],[32]],FDR[FDR]&amp;FDR[[#Headers],[32]],FDR[32],"",0,1)</f>
        <v>5</v>
      </c>
      <c r="AS158" cm="1">
        <f t="array" ref="AS158">_xlfn.XLOOKUP(Matrix[[#This Row],[TEAM]]&amp;Matrix[[#Headers],[33]],FDR[FDR]&amp;FDR[[#Headers],[33]],FDR[33],"",0,1)</f>
        <v>5</v>
      </c>
      <c r="AT158" cm="1">
        <f t="array" ref="AT158">_xlfn.XLOOKUP(Matrix[[#This Row],[TEAM]]&amp;Matrix[[#Headers],[34]],FDR[FDR]&amp;FDR[[#Headers],[34]],FDR[34],"",0,1)</f>
        <v>5</v>
      </c>
      <c r="AU158" cm="1">
        <f t="array" ref="AU158">_xlfn.XLOOKUP(Matrix[[#This Row],[TEAM]]&amp;Matrix[[#Headers],[35]],FDR[FDR]&amp;FDR[[#Headers],[35]],FDR[35],"",0,1)</f>
        <v>4</v>
      </c>
      <c r="AV158" cm="1">
        <f t="array" ref="AV158">_xlfn.XLOOKUP(Matrix[[#This Row],[TEAM]]&amp;Matrix[[#Headers],[36]],FDR[FDR]&amp;FDR[[#Headers],[36]],FDR[36],"",0,1)</f>
        <v>5</v>
      </c>
      <c r="AW158" cm="1">
        <f t="array" ref="AW158">_xlfn.XLOOKUP(Matrix[[#This Row],[TEAM]]&amp;Matrix[[#Headers],[37]],FDR[FDR]&amp;FDR[[#Headers],[37]],FDR[37],"",0,1)</f>
        <v>5</v>
      </c>
      <c r="AX158" cm="1">
        <f t="array" ref="AX158">_xlfn.XLOOKUP(Matrix[[#This Row],[TEAM]]&amp;Matrix[[#Headers],[38]],FDR[FDR]&amp;FDR[[#Headers],[38]],FDR[38],"",0,1)</f>
        <v>5</v>
      </c>
    </row>
    <row r="159" spans="1:50" ht="22" thickTop="1" thickBot="1">
      <c r="A159" s="52" t="s">
        <v>658</v>
      </c>
      <c r="B159" s="70" t="s">
        <v>1396</v>
      </c>
      <c r="C159" s="40" t="s">
        <v>29</v>
      </c>
      <c r="D159" s="68">
        <v>111</v>
      </c>
      <c r="E159" s="60">
        <v>3.6999999999999998E-2</v>
      </c>
      <c r="F159" s="67">
        <v>60.9</v>
      </c>
      <c r="G159" s="63">
        <v>5.4</v>
      </c>
      <c r="H159" s="261">
        <f>IF(ISBLANK(I159),0,1)</f>
        <v>0</v>
      </c>
      <c r="I159" s="57"/>
      <c r="J159" s="58"/>
      <c r="K159" s="66" t="s">
        <v>403</v>
      </c>
      <c r="L159" s="66" t="s">
        <v>297</v>
      </c>
      <c r="M159" cm="1">
        <f t="array" ref="M159">_xlfn.XLOOKUP(Matrix[[#This Row],[TEAM]]&amp;Matrix[[#Headers],[1]],FDR[FDR]&amp;FDR[[#Headers],[1]],FDR[1],"",0,1)</f>
        <v>1</v>
      </c>
      <c r="N159" cm="1">
        <f t="array" ref="N159">_xlfn.XLOOKUP(Matrix[[#This Row],[TEAM]]&amp;Matrix[[#Headers],[2]],FDR[FDR]&amp;FDR[[#Headers],[2]],FDR[2],"",0,1)</f>
        <v>2</v>
      </c>
      <c r="O159" cm="1">
        <f t="array" ref="O159">_xlfn.XLOOKUP(Matrix[[#This Row],[TEAM]]&amp;Matrix[[#Headers],[3]],FDR[FDR]&amp;FDR[[#Headers],[3]],FDR[3],"",0,1)</f>
        <v>2</v>
      </c>
      <c r="P159" cm="1">
        <f t="array" ref="P159">_xlfn.XLOOKUP(Matrix[[#This Row],[TEAM]]&amp;Matrix[[#Headers],[4]],FDR[FDR]&amp;FDR[[#Headers],[4]],FDR[4],"",0,1)</f>
        <v>2</v>
      </c>
      <c r="Q159" cm="1">
        <f t="array" ref="Q159">_xlfn.XLOOKUP(Matrix[[#This Row],[TEAM]]&amp;Matrix[[#Headers],[5]],FDR[FDR]&amp;FDR[[#Headers],[5]],FDR[5],"",0,1)</f>
        <v>4</v>
      </c>
      <c r="R159" cm="1">
        <f t="array" ref="R159">_xlfn.XLOOKUP(Matrix[[#This Row],[TEAM]]&amp;Matrix[[#Headers],[6]],FDR[FDR]&amp;FDR[[#Headers],[6]],FDR[6],"",0,1)</f>
        <v>1</v>
      </c>
      <c r="S159" cm="1">
        <f t="array" ref="S159">_xlfn.XLOOKUP(Matrix[[#This Row],[TEAM]]&amp;Matrix[[#Headers],[7]],FDR[FDR]&amp;FDR[[#Headers],[7]],FDR[7],"",0,1)</f>
        <v>2</v>
      </c>
      <c r="T159" cm="1">
        <f t="array" ref="T159">_xlfn.XLOOKUP(Matrix[[#This Row],[TEAM]]&amp;Matrix[[#Headers],[8]],FDR[FDR]&amp;FDR[[#Headers],[8]],FDR[8],"",0,1)</f>
        <v>1</v>
      </c>
      <c r="U159" cm="1">
        <f t="array" ref="U159">_xlfn.XLOOKUP(Matrix[[#This Row],[TEAM]]&amp;Matrix[[#Headers],[9]],FDR[FDR]&amp;FDR[[#Headers],[9]],FDR[9],"",0,1)</f>
        <v>3</v>
      </c>
      <c r="V159" cm="1">
        <f t="array" ref="V159">_xlfn.XLOOKUP(Matrix[[#This Row],[TEAM]]&amp;Matrix[[#Headers],[10]],FDR[FDR]&amp;FDR[[#Headers],[10]],FDR[10],"",0,1)</f>
        <v>1</v>
      </c>
      <c r="W159" cm="1">
        <f t="array" ref="W159">_xlfn.XLOOKUP(Matrix[[#This Row],[TEAM]]&amp;Matrix[[#Headers],[11]],FDR[FDR]&amp;FDR[[#Headers],[11]],FDR[11],"",0,1)</f>
        <v>3</v>
      </c>
      <c r="X159" cm="1">
        <f t="array" ref="X159">_xlfn.XLOOKUP(Matrix[[#This Row],[TEAM]]&amp;Matrix[[#Headers],[12]],FDR[FDR]&amp;FDR[[#Headers],[12]],FDR[12],"",0,1)</f>
        <v>3</v>
      </c>
      <c r="Y159" cm="1">
        <f t="array" ref="Y159">_xlfn.XLOOKUP(Matrix[[#This Row],[TEAM]]&amp;Matrix[[#Headers],[13]],FDR[FDR]&amp;FDR[[#Headers],[13]],FDR[13],"",0,1)</f>
        <v>1</v>
      </c>
      <c r="Z159" cm="1">
        <f t="array" ref="Z159">_xlfn.XLOOKUP(Matrix[[#This Row],[TEAM]]&amp;Matrix[[#Headers],[14]],FDR[FDR]&amp;FDR[[#Headers],[14]],FDR[14],"",0,1)</f>
        <v>2</v>
      </c>
      <c r="AA159" cm="1">
        <f t="array" ref="AA159">_xlfn.XLOOKUP(Matrix[[#This Row],[TEAM]]&amp;Matrix[[#Headers],[15]],FDR[FDR]&amp;FDR[[#Headers],[15]],FDR[15],"",0,1)</f>
        <v>1</v>
      </c>
      <c r="AB159" cm="1">
        <f t="array" ref="AB159">_xlfn.XLOOKUP(Matrix[[#This Row],[TEAM]]&amp;Matrix[[#Headers],[16]],FDR[FDR]&amp;FDR[[#Headers],[16]],FDR[16],"",0,1)</f>
        <v>2</v>
      </c>
      <c r="AC159" cm="1">
        <f t="array" ref="AC159">_xlfn.XLOOKUP(Matrix[[#This Row],[TEAM]]&amp;Matrix[[#Headers],[17]],FDR[FDR]&amp;FDR[[#Headers],[17]],FDR[17],"",0,1)</f>
        <v>1</v>
      </c>
      <c r="AD159" cm="1">
        <f t="array" ref="AD159">_xlfn.XLOOKUP(Matrix[[#This Row],[TEAM]]&amp;Matrix[[#Headers],[18]],FDR[FDR]&amp;FDR[[#Headers],[18]],FDR[18],"",0,1)</f>
        <v>2</v>
      </c>
      <c r="AE159" cm="1">
        <f t="array" ref="AE159">_xlfn.XLOOKUP(Matrix[[#This Row],[TEAM]]&amp;Matrix[[#Headers],[19]],FDR[FDR]&amp;FDR[[#Headers],[19]],FDR[19],"",0,1)</f>
        <v>1</v>
      </c>
      <c r="AF159" cm="1">
        <f t="array" ref="AF159">_xlfn.XLOOKUP(Matrix[[#This Row],[TEAM]]&amp;Matrix[[#Headers],[20]],FDR[FDR]&amp;FDR[[#Headers],[20]],FDR[20],"",0,1)</f>
        <v>2</v>
      </c>
      <c r="AG159" cm="1">
        <f t="array" ref="AG159">_xlfn.XLOOKUP(Matrix[[#This Row],[TEAM]]&amp;Matrix[[#Headers],[21]],FDR[FDR]&amp;FDR[[#Headers],[21]],FDR[21],"",0,1)</f>
        <v>1</v>
      </c>
      <c r="AH159" cm="1">
        <f t="array" ref="AH159">_xlfn.XLOOKUP(Matrix[[#This Row],[TEAM]]&amp;Matrix[[#Headers],[22]],FDR[FDR]&amp;FDR[[#Headers],[22]],FDR[22],"",0,1)</f>
        <v>3</v>
      </c>
      <c r="AI159" cm="1">
        <f t="array" ref="AI159">_xlfn.XLOOKUP(Matrix[[#This Row],[TEAM]]&amp;Matrix[[#Headers],[23]],FDR[FDR]&amp;FDR[[#Headers],[23]],FDR[23],"",0,1)</f>
        <v>1</v>
      </c>
      <c r="AJ159" cm="1">
        <f t="array" ref="AJ159">_xlfn.XLOOKUP(Matrix[[#This Row],[TEAM]]&amp;Matrix[[#Headers],[24]],FDR[FDR]&amp;FDR[[#Headers],[24]],FDR[24],"",0,1)</f>
        <v>3</v>
      </c>
      <c r="AK159" cm="1">
        <f t="array" ref="AK159">_xlfn.XLOOKUP(Matrix[[#This Row],[TEAM]]&amp;Matrix[[#Headers],[25]],FDR[FDR]&amp;FDR[[#Headers],[25]],FDR[25],"",0,1)</f>
        <v>4</v>
      </c>
      <c r="AL159" cm="1">
        <f t="array" ref="AL159">_xlfn.XLOOKUP(Matrix[[#This Row],[TEAM]]&amp;Matrix[[#Headers],[26]],FDR[FDR]&amp;FDR[[#Headers],[26]],FDR[26],"",0,1)</f>
        <v>1</v>
      </c>
      <c r="AM159" cm="1">
        <f t="array" ref="AM159">_xlfn.XLOOKUP(Matrix[[#This Row],[TEAM]]&amp;Matrix[[#Headers],[27]],FDR[FDR]&amp;FDR[[#Headers],[27]],FDR[27],"",0,1)</f>
        <v>2</v>
      </c>
      <c r="AN159" cm="1">
        <f t="array" ref="AN159">_xlfn.XLOOKUP(Matrix[[#This Row],[TEAM]]&amp;Matrix[[#Headers],[28]],FDR[FDR]&amp;FDR[[#Headers],[28]],FDR[28],"",0,1)</f>
        <v>1</v>
      </c>
      <c r="AO159" cm="1">
        <f t="array" ref="AO159">_xlfn.XLOOKUP(Matrix[[#This Row],[TEAM]]&amp;Matrix[[#Headers],[29]],FDR[FDR]&amp;FDR[[#Headers],[29]],FDR[29],"",0,1)</f>
        <v>1</v>
      </c>
      <c r="AP159" cm="1">
        <f t="array" ref="AP159">_xlfn.XLOOKUP(Matrix[[#This Row],[TEAM]]&amp;Matrix[[#Headers],[30]],FDR[FDR]&amp;FDR[[#Headers],[30]],FDR[30],"",0,1)</f>
        <v>2</v>
      </c>
      <c r="AQ159" cm="1">
        <f t="array" ref="AQ159">_xlfn.XLOOKUP(Matrix[[#This Row],[TEAM]]&amp;Matrix[[#Headers],[31]],FDR[FDR]&amp;FDR[[#Headers],[31]],FDR[31],"",0,1)</f>
        <v>1</v>
      </c>
      <c r="AR159" cm="1">
        <f t="array" ref="AR159">_xlfn.XLOOKUP(Matrix[[#This Row],[TEAM]]&amp;Matrix[[#Headers],[32]],FDR[FDR]&amp;FDR[[#Headers],[32]],FDR[32],"",0,1)</f>
        <v>3</v>
      </c>
      <c r="AS159" cm="1">
        <f t="array" ref="AS159">_xlfn.XLOOKUP(Matrix[[#This Row],[TEAM]]&amp;Matrix[[#Headers],[33]],FDR[FDR]&amp;FDR[[#Headers],[33]],FDR[33],"",0,1)</f>
        <v>3</v>
      </c>
      <c r="AT159" cm="1">
        <f t="array" ref="AT159">_xlfn.XLOOKUP(Matrix[[#This Row],[TEAM]]&amp;Matrix[[#Headers],[34]],FDR[FDR]&amp;FDR[[#Headers],[34]],FDR[34],"",0,1)</f>
        <v>1</v>
      </c>
      <c r="AU159" cm="1">
        <f t="array" ref="AU159">_xlfn.XLOOKUP(Matrix[[#This Row],[TEAM]]&amp;Matrix[[#Headers],[35]],FDR[FDR]&amp;FDR[[#Headers],[35]],FDR[35],"",0,1)</f>
        <v>2</v>
      </c>
      <c r="AV159" cm="1">
        <f t="array" ref="AV159">_xlfn.XLOOKUP(Matrix[[#This Row],[TEAM]]&amp;Matrix[[#Headers],[36]],FDR[FDR]&amp;FDR[[#Headers],[36]],FDR[36],"",0,1)</f>
        <v>1</v>
      </c>
      <c r="AW159" cm="1">
        <f t="array" ref="AW159">_xlfn.XLOOKUP(Matrix[[#This Row],[TEAM]]&amp;Matrix[[#Headers],[37]],FDR[FDR]&amp;FDR[[#Headers],[37]],FDR[37],"",0,1)</f>
        <v>2</v>
      </c>
      <c r="AX159" cm="1">
        <f t="array" ref="AX159">_xlfn.XLOOKUP(Matrix[[#This Row],[TEAM]]&amp;Matrix[[#Headers],[38]],FDR[FDR]&amp;FDR[[#Headers],[38]],FDR[38],"",0,1)</f>
        <v>2</v>
      </c>
    </row>
    <row r="160" spans="1:50" ht="22" thickTop="1" thickBot="1">
      <c r="A160" s="51" t="s">
        <v>657</v>
      </c>
      <c r="B160" s="70" t="s">
        <v>1423</v>
      </c>
      <c r="C160" s="40" t="s">
        <v>29</v>
      </c>
      <c r="D160" s="62">
        <v>81</v>
      </c>
      <c r="E160" s="60">
        <v>5.0000000000000001E-3</v>
      </c>
      <c r="F160" s="61">
        <v>99.9</v>
      </c>
      <c r="G160" s="63">
        <v>5.4</v>
      </c>
      <c r="H160" s="261">
        <f>IF(ISBLANK(I160),0,1)</f>
        <v>0</v>
      </c>
      <c r="I160" s="57"/>
      <c r="J160" s="58"/>
      <c r="K160" s="65" t="s">
        <v>463</v>
      </c>
      <c r="L160" s="65" t="s">
        <v>462</v>
      </c>
      <c r="M160" cm="1">
        <f t="array" ref="M160">_xlfn.XLOOKUP(Matrix[[#This Row],[TEAM]]&amp;Matrix[[#Headers],[1]],FDR[FDR]&amp;FDR[[#Headers],[1]],FDR[1],"",0,1)</f>
        <v>1</v>
      </c>
      <c r="N160" cm="1">
        <f t="array" ref="N160">_xlfn.XLOOKUP(Matrix[[#This Row],[TEAM]]&amp;Matrix[[#Headers],[2]],FDR[FDR]&amp;FDR[[#Headers],[2]],FDR[2],"",0,1)</f>
        <v>2</v>
      </c>
      <c r="O160" cm="1">
        <f t="array" ref="O160">_xlfn.XLOOKUP(Matrix[[#This Row],[TEAM]]&amp;Matrix[[#Headers],[3]],FDR[FDR]&amp;FDR[[#Headers],[3]],FDR[3],"",0,1)</f>
        <v>2</v>
      </c>
      <c r="P160" cm="1">
        <f t="array" ref="P160">_xlfn.XLOOKUP(Matrix[[#This Row],[TEAM]]&amp;Matrix[[#Headers],[4]],FDR[FDR]&amp;FDR[[#Headers],[4]],FDR[4],"",0,1)</f>
        <v>2</v>
      </c>
      <c r="Q160" cm="1">
        <f t="array" ref="Q160">_xlfn.XLOOKUP(Matrix[[#This Row],[TEAM]]&amp;Matrix[[#Headers],[5]],FDR[FDR]&amp;FDR[[#Headers],[5]],FDR[5],"",0,1)</f>
        <v>4</v>
      </c>
      <c r="R160" cm="1">
        <f t="array" ref="R160">_xlfn.XLOOKUP(Matrix[[#This Row],[TEAM]]&amp;Matrix[[#Headers],[6]],FDR[FDR]&amp;FDR[[#Headers],[6]],FDR[6],"",0,1)</f>
        <v>1</v>
      </c>
      <c r="S160" cm="1">
        <f t="array" ref="S160">_xlfn.XLOOKUP(Matrix[[#This Row],[TEAM]]&amp;Matrix[[#Headers],[7]],FDR[FDR]&amp;FDR[[#Headers],[7]],FDR[7],"",0,1)</f>
        <v>2</v>
      </c>
      <c r="T160" cm="1">
        <f t="array" ref="T160">_xlfn.XLOOKUP(Matrix[[#This Row],[TEAM]]&amp;Matrix[[#Headers],[8]],FDR[FDR]&amp;FDR[[#Headers],[8]],FDR[8],"",0,1)</f>
        <v>1</v>
      </c>
      <c r="U160" cm="1">
        <f t="array" ref="U160">_xlfn.XLOOKUP(Matrix[[#This Row],[TEAM]]&amp;Matrix[[#Headers],[9]],FDR[FDR]&amp;FDR[[#Headers],[9]],FDR[9],"",0,1)</f>
        <v>3</v>
      </c>
      <c r="V160" cm="1">
        <f t="array" ref="V160">_xlfn.XLOOKUP(Matrix[[#This Row],[TEAM]]&amp;Matrix[[#Headers],[10]],FDR[FDR]&amp;FDR[[#Headers],[10]],FDR[10],"",0,1)</f>
        <v>1</v>
      </c>
      <c r="W160" cm="1">
        <f t="array" ref="W160">_xlfn.XLOOKUP(Matrix[[#This Row],[TEAM]]&amp;Matrix[[#Headers],[11]],FDR[FDR]&amp;FDR[[#Headers],[11]],FDR[11],"",0,1)</f>
        <v>3</v>
      </c>
      <c r="X160" cm="1">
        <f t="array" ref="X160">_xlfn.XLOOKUP(Matrix[[#This Row],[TEAM]]&amp;Matrix[[#Headers],[12]],FDR[FDR]&amp;FDR[[#Headers],[12]],FDR[12],"",0,1)</f>
        <v>3</v>
      </c>
      <c r="Y160" cm="1">
        <f t="array" ref="Y160">_xlfn.XLOOKUP(Matrix[[#This Row],[TEAM]]&amp;Matrix[[#Headers],[13]],FDR[FDR]&amp;FDR[[#Headers],[13]],FDR[13],"",0,1)</f>
        <v>1</v>
      </c>
      <c r="Z160" cm="1">
        <f t="array" ref="Z160">_xlfn.XLOOKUP(Matrix[[#This Row],[TEAM]]&amp;Matrix[[#Headers],[14]],FDR[FDR]&amp;FDR[[#Headers],[14]],FDR[14],"",0,1)</f>
        <v>2</v>
      </c>
      <c r="AA160" cm="1">
        <f t="array" ref="AA160">_xlfn.XLOOKUP(Matrix[[#This Row],[TEAM]]&amp;Matrix[[#Headers],[15]],FDR[FDR]&amp;FDR[[#Headers],[15]],FDR[15],"",0,1)</f>
        <v>1</v>
      </c>
      <c r="AB160" cm="1">
        <f t="array" ref="AB160">_xlfn.XLOOKUP(Matrix[[#This Row],[TEAM]]&amp;Matrix[[#Headers],[16]],FDR[FDR]&amp;FDR[[#Headers],[16]],FDR[16],"",0,1)</f>
        <v>2</v>
      </c>
      <c r="AC160" cm="1">
        <f t="array" ref="AC160">_xlfn.XLOOKUP(Matrix[[#This Row],[TEAM]]&amp;Matrix[[#Headers],[17]],FDR[FDR]&amp;FDR[[#Headers],[17]],FDR[17],"",0,1)</f>
        <v>1</v>
      </c>
      <c r="AD160" cm="1">
        <f t="array" ref="AD160">_xlfn.XLOOKUP(Matrix[[#This Row],[TEAM]]&amp;Matrix[[#Headers],[18]],FDR[FDR]&amp;FDR[[#Headers],[18]],FDR[18],"",0,1)</f>
        <v>2</v>
      </c>
      <c r="AE160" cm="1">
        <f t="array" ref="AE160">_xlfn.XLOOKUP(Matrix[[#This Row],[TEAM]]&amp;Matrix[[#Headers],[19]],FDR[FDR]&amp;FDR[[#Headers],[19]],FDR[19],"",0,1)</f>
        <v>1</v>
      </c>
      <c r="AF160" cm="1">
        <f t="array" ref="AF160">_xlfn.XLOOKUP(Matrix[[#This Row],[TEAM]]&amp;Matrix[[#Headers],[20]],FDR[FDR]&amp;FDR[[#Headers],[20]],FDR[20],"",0,1)</f>
        <v>2</v>
      </c>
      <c r="AG160" cm="1">
        <f t="array" ref="AG160">_xlfn.XLOOKUP(Matrix[[#This Row],[TEAM]]&amp;Matrix[[#Headers],[21]],FDR[FDR]&amp;FDR[[#Headers],[21]],FDR[21],"",0,1)</f>
        <v>1</v>
      </c>
      <c r="AH160" cm="1">
        <f t="array" ref="AH160">_xlfn.XLOOKUP(Matrix[[#This Row],[TEAM]]&amp;Matrix[[#Headers],[22]],FDR[FDR]&amp;FDR[[#Headers],[22]],FDR[22],"",0,1)</f>
        <v>3</v>
      </c>
      <c r="AI160" cm="1">
        <f t="array" ref="AI160">_xlfn.XLOOKUP(Matrix[[#This Row],[TEAM]]&amp;Matrix[[#Headers],[23]],FDR[FDR]&amp;FDR[[#Headers],[23]],FDR[23],"",0,1)</f>
        <v>1</v>
      </c>
      <c r="AJ160" cm="1">
        <f t="array" ref="AJ160">_xlfn.XLOOKUP(Matrix[[#This Row],[TEAM]]&amp;Matrix[[#Headers],[24]],FDR[FDR]&amp;FDR[[#Headers],[24]],FDR[24],"",0,1)</f>
        <v>3</v>
      </c>
      <c r="AK160" cm="1">
        <f t="array" ref="AK160">_xlfn.XLOOKUP(Matrix[[#This Row],[TEAM]]&amp;Matrix[[#Headers],[25]],FDR[FDR]&amp;FDR[[#Headers],[25]],FDR[25],"",0,1)</f>
        <v>4</v>
      </c>
      <c r="AL160" cm="1">
        <f t="array" ref="AL160">_xlfn.XLOOKUP(Matrix[[#This Row],[TEAM]]&amp;Matrix[[#Headers],[26]],FDR[FDR]&amp;FDR[[#Headers],[26]],FDR[26],"",0,1)</f>
        <v>1</v>
      </c>
      <c r="AM160" cm="1">
        <f t="array" ref="AM160">_xlfn.XLOOKUP(Matrix[[#This Row],[TEAM]]&amp;Matrix[[#Headers],[27]],FDR[FDR]&amp;FDR[[#Headers],[27]],FDR[27],"",0,1)</f>
        <v>2</v>
      </c>
      <c r="AN160" cm="1">
        <f t="array" ref="AN160">_xlfn.XLOOKUP(Matrix[[#This Row],[TEAM]]&amp;Matrix[[#Headers],[28]],FDR[FDR]&amp;FDR[[#Headers],[28]],FDR[28],"",0,1)</f>
        <v>1</v>
      </c>
      <c r="AO160" cm="1">
        <f t="array" ref="AO160">_xlfn.XLOOKUP(Matrix[[#This Row],[TEAM]]&amp;Matrix[[#Headers],[29]],FDR[FDR]&amp;FDR[[#Headers],[29]],FDR[29],"",0,1)</f>
        <v>1</v>
      </c>
      <c r="AP160" cm="1">
        <f t="array" ref="AP160">_xlfn.XLOOKUP(Matrix[[#This Row],[TEAM]]&amp;Matrix[[#Headers],[30]],FDR[FDR]&amp;FDR[[#Headers],[30]],FDR[30],"",0,1)</f>
        <v>2</v>
      </c>
      <c r="AQ160" cm="1">
        <f t="array" ref="AQ160">_xlfn.XLOOKUP(Matrix[[#This Row],[TEAM]]&amp;Matrix[[#Headers],[31]],FDR[FDR]&amp;FDR[[#Headers],[31]],FDR[31],"",0,1)</f>
        <v>1</v>
      </c>
      <c r="AR160" cm="1">
        <f t="array" ref="AR160">_xlfn.XLOOKUP(Matrix[[#This Row],[TEAM]]&amp;Matrix[[#Headers],[32]],FDR[FDR]&amp;FDR[[#Headers],[32]],FDR[32],"",0,1)</f>
        <v>3</v>
      </c>
      <c r="AS160" cm="1">
        <f t="array" ref="AS160">_xlfn.XLOOKUP(Matrix[[#This Row],[TEAM]]&amp;Matrix[[#Headers],[33]],FDR[FDR]&amp;FDR[[#Headers],[33]],FDR[33],"",0,1)</f>
        <v>3</v>
      </c>
      <c r="AT160" cm="1">
        <f t="array" ref="AT160">_xlfn.XLOOKUP(Matrix[[#This Row],[TEAM]]&amp;Matrix[[#Headers],[34]],FDR[FDR]&amp;FDR[[#Headers],[34]],FDR[34],"",0,1)</f>
        <v>1</v>
      </c>
      <c r="AU160" cm="1">
        <f t="array" ref="AU160">_xlfn.XLOOKUP(Matrix[[#This Row],[TEAM]]&amp;Matrix[[#Headers],[35]],FDR[FDR]&amp;FDR[[#Headers],[35]],FDR[35],"",0,1)</f>
        <v>2</v>
      </c>
      <c r="AV160" cm="1">
        <f t="array" ref="AV160">_xlfn.XLOOKUP(Matrix[[#This Row],[TEAM]]&amp;Matrix[[#Headers],[36]],FDR[FDR]&amp;FDR[[#Headers],[36]],FDR[36],"",0,1)</f>
        <v>1</v>
      </c>
      <c r="AW160" cm="1">
        <f t="array" ref="AW160">_xlfn.XLOOKUP(Matrix[[#This Row],[TEAM]]&amp;Matrix[[#Headers],[37]],FDR[FDR]&amp;FDR[[#Headers],[37]],FDR[37],"",0,1)</f>
        <v>2</v>
      </c>
      <c r="AX160" cm="1">
        <f t="array" ref="AX160">_xlfn.XLOOKUP(Matrix[[#This Row],[TEAM]]&amp;Matrix[[#Headers],[38]],FDR[FDR]&amp;FDR[[#Headers],[38]],FDR[38],"",0,1)</f>
        <v>2</v>
      </c>
    </row>
    <row r="161" spans="1:50" ht="22" thickTop="1" thickBot="1">
      <c r="A161" s="51" t="s">
        <v>657</v>
      </c>
      <c r="B161" s="70" t="s">
        <v>1417</v>
      </c>
      <c r="C161" s="40" t="s">
        <v>29</v>
      </c>
      <c r="D161" s="62">
        <v>61</v>
      </c>
      <c r="E161" s="60">
        <v>7.0000000000000001E-3</v>
      </c>
      <c r="F161" s="61">
        <v>68.900000000000006</v>
      </c>
      <c r="G161" s="63">
        <v>5.4</v>
      </c>
      <c r="H161" s="261">
        <f>IF(ISBLANK(I161),0,1)</f>
        <v>0</v>
      </c>
      <c r="I161" s="57"/>
      <c r="J161" s="58"/>
      <c r="K161" s="65" t="s">
        <v>453</v>
      </c>
      <c r="L161" s="65" t="s">
        <v>116</v>
      </c>
      <c r="M161" cm="1">
        <f t="array" ref="M161">_xlfn.XLOOKUP(Matrix[[#This Row],[TEAM]]&amp;Matrix[[#Headers],[1]],FDR[FDR]&amp;FDR[[#Headers],[1]],FDR[1],"",0,1)</f>
        <v>1</v>
      </c>
      <c r="N161" cm="1">
        <f t="array" ref="N161">_xlfn.XLOOKUP(Matrix[[#This Row],[TEAM]]&amp;Matrix[[#Headers],[2]],FDR[FDR]&amp;FDR[[#Headers],[2]],FDR[2],"",0,1)</f>
        <v>2</v>
      </c>
      <c r="O161" cm="1">
        <f t="array" ref="O161">_xlfn.XLOOKUP(Matrix[[#This Row],[TEAM]]&amp;Matrix[[#Headers],[3]],FDR[FDR]&amp;FDR[[#Headers],[3]],FDR[3],"",0,1)</f>
        <v>2</v>
      </c>
      <c r="P161" cm="1">
        <f t="array" ref="P161">_xlfn.XLOOKUP(Matrix[[#This Row],[TEAM]]&amp;Matrix[[#Headers],[4]],FDR[FDR]&amp;FDR[[#Headers],[4]],FDR[4],"",0,1)</f>
        <v>2</v>
      </c>
      <c r="Q161" cm="1">
        <f t="array" ref="Q161">_xlfn.XLOOKUP(Matrix[[#This Row],[TEAM]]&amp;Matrix[[#Headers],[5]],FDR[FDR]&amp;FDR[[#Headers],[5]],FDR[5],"",0,1)</f>
        <v>4</v>
      </c>
      <c r="R161" cm="1">
        <f t="array" ref="R161">_xlfn.XLOOKUP(Matrix[[#This Row],[TEAM]]&amp;Matrix[[#Headers],[6]],FDR[FDR]&amp;FDR[[#Headers],[6]],FDR[6],"",0,1)</f>
        <v>1</v>
      </c>
      <c r="S161" cm="1">
        <f t="array" ref="S161">_xlfn.XLOOKUP(Matrix[[#This Row],[TEAM]]&amp;Matrix[[#Headers],[7]],FDR[FDR]&amp;FDR[[#Headers],[7]],FDR[7],"",0,1)</f>
        <v>2</v>
      </c>
      <c r="T161" cm="1">
        <f t="array" ref="T161">_xlfn.XLOOKUP(Matrix[[#This Row],[TEAM]]&amp;Matrix[[#Headers],[8]],FDR[FDR]&amp;FDR[[#Headers],[8]],FDR[8],"",0,1)</f>
        <v>1</v>
      </c>
      <c r="U161" cm="1">
        <f t="array" ref="U161">_xlfn.XLOOKUP(Matrix[[#This Row],[TEAM]]&amp;Matrix[[#Headers],[9]],FDR[FDR]&amp;FDR[[#Headers],[9]],FDR[9],"",0,1)</f>
        <v>3</v>
      </c>
      <c r="V161" cm="1">
        <f t="array" ref="V161">_xlfn.XLOOKUP(Matrix[[#This Row],[TEAM]]&amp;Matrix[[#Headers],[10]],FDR[FDR]&amp;FDR[[#Headers],[10]],FDR[10],"",0,1)</f>
        <v>1</v>
      </c>
      <c r="W161" cm="1">
        <f t="array" ref="W161">_xlfn.XLOOKUP(Matrix[[#This Row],[TEAM]]&amp;Matrix[[#Headers],[11]],FDR[FDR]&amp;FDR[[#Headers],[11]],FDR[11],"",0,1)</f>
        <v>3</v>
      </c>
      <c r="X161" cm="1">
        <f t="array" ref="X161">_xlfn.XLOOKUP(Matrix[[#This Row],[TEAM]]&amp;Matrix[[#Headers],[12]],FDR[FDR]&amp;FDR[[#Headers],[12]],FDR[12],"",0,1)</f>
        <v>3</v>
      </c>
      <c r="Y161" cm="1">
        <f t="array" ref="Y161">_xlfn.XLOOKUP(Matrix[[#This Row],[TEAM]]&amp;Matrix[[#Headers],[13]],FDR[FDR]&amp;FDR[[#Headers],[13]],FDR[13],"",0,1)</f>
        <v>1</v>
      </c>
      <c r="Z161" cm="1">
        <f t="array" ref="Z161">_xlfn.XLOOKUP(Matrix[[#This Row],[TEAM]]&amp;Matrix[[#Headers],[14]],FDR[FDR]&amp;FDR[[#Headers],[14]],FDR[14],"",0,1)</f>
        <v>2</v>
      </c>
      <c r="AA161" cm="1">
        <f t="array" ref="AA161">_xlfn.XLOOKUP(Matrix[[#This Row],[TEAM]]&amp;Matrix[[#Headers],[15]],FDR[FDR]&amp;FDR[[#Headers],[15]],FDR[15],"",0,1)</f>
        <v>1</v>
      </c>
      <c r="AB161" cm="1">
        <f t="array" ref="AB161">_xlfn.XLOOKUP(Matrix[[#This Row],[TEAM]]&amp;Matrix[[#Headers],[16]],FDR[FDR]&amp;FDR[[#Headers],[16]],FDR[16],"",0,1)</f>
        <v>2</v>
      </c>
      <c r="AC161" cm="1">
        <f t="array" ref="AC161">_xlfn.XLOOKUP(Matrix[[#This Row],[TEAM]]&amp;Matrix[[#Headers],[17]],FDR[FDR]&amp;FDR[[#Headers],[17]],FDR[17],"",0,1)</f>
        <v>1</v>
      </c>
      <c r="AD161" cm="1">
        <f t="array" ref="AD161">_xlfn.XLOOKUP(Matrix[[#This Row],[TEAM]]&amp;Matrix[[#Headers],[18]],FDR[FDR]&amp;FDR[[#Headers],[18]],FDR[18],"",0,1)</f>
        <v>2</v>
      </c>
      <c r="AE161" cm="1">
        <f t="array" ref="AE161">_xlfn.XLOOKUP(Matrix[[#This Row],[TEAM]]&amp;Matrix[[#Headers],[19]],FDR[FDR]&amp;FDR[[#Headers],[19]],FDR[19],"",0,1)</f>
        <v>1</v>
      </c>
      <c r="AF161" cm="1">
        <f t="array" ref="AF161">_xlfn.XLOOKUP(Matrix[[#This Row],[TEAM]]&amp;Matrix[[#Headers],[20]],FDR[FDR]&amp;FDR[[#Headers],[20]],FDR[20],"",0,1)</f>
        <v>2</v>
      </c>
      <c r="AG161" cm="1">
        <f t="array" ref="AG161">_xlfn.XLOOKUP(Matrix[[#This Row],[TEAM]]&amp;Matrix[[#Headers],[21]],FDR[FDR]&amp;FDR[[#Headers],[21]],FDR[21],"",0,1)</f>
        <v>1</v>
      </c>
      <c r="AH161" cm="1">
        <f t="array" ref="AH161">_xlfn.XLOOKUP(Matrix[[#This Row],[TEAM]]&amp;Matrix[[#Headers],[22]],FDR[FDR]&amp;FDR[[#Headers],[22]],FDR[22],"",0,1)</f>
        <v>3</v>
      </c>
      <c r="AI161" cm="1">
        <f t="array" ref="AI161">_xlfn.XLOOKUP(Matrix[[#This Row],[TEAM]]&amp;Matrix[[#Headers],[23]],FDR[FDR]&amp;FDR[[#Headers],[23]],FDR[23],"",0,1)</f>
        <v>1</v>
      </c>
      <c r="AJ161" cm="1">
        <f t="array" ref="AJ161">_xlfn.XLOOKUP(Matrix[[#This Row],[TEAM]]&amp;Matrix[[#Headers],[24]],FDR[FDR]&amp;FDR[[#Headers],[24]],FDR[24],"",0,1)</f>
        <v>3</v>
      </c>
      <c r="AK161" cm="1">
        <f t="array" ref="AK161">_xlfn.XLOOKUP(Matrix[[#This Row],[TEAM]]&amp;Matrix[[#Headers],[25]],FDR[FDR]&amp;FDR[[#Headers],[25]],FDR[25],"",0,1)</f>
        <v>4</v>
      </c>
      <c r="AL161" cm="1">
        <f t="array" ref="AL161">_xlfn.XLOOKUP(Matrix[[#This Row],[TEAM]]&amp;Matrix[[#Headers],[26]],FDR[FDR]&amp;FDR[[#Headers],[26]],FDR[26],"",0,1)</f>
        <v>1</v>
      </c>
      <c r="AM161" cm="1">
        <f t="array" ref="AM161">_xlfn.XLOOKUP(Matrix[[#This Row],[TEAM]]&amp;Matrix[[#Headers],[27]],FDR[FDR]&amp;FDR[[#Headers],[27]],FDR[27],"",0,1)</f>
        <v>2</v>
      </c>
      <c r="AN161" cm="1">
        <f t="array" ref="AN161">_xlfn.XLOOKUP(Matrix[[#This Row],[TEAM]]&amp;Matrix[[#Headers],[28]],FDR[FDR]&amp;FDR[[#Headers],[28]],FDR[28],"",0,1)</f>
        <v>1</v>
      </c>
      <c r="AO161" cm="1">
        <f t="array" ref="AO161">_xlfn.XLOOKUP(Matrix[[#This Row],[TEAM]]&amp;Matrix[[#Headers],[29]],FDR[FDR]&amp;FDR[[#Headers],[29]],FDR[29],"",0,1)</f>
        <v>1</v>
      </c>
      <c r="AP161" cm="1">
        <f t="array" ref="AP161">_xlfn.XLOOKUP(Matrix[[#This Row],[TEAM]]&amp;Matrix[[#Headers],[30]],FDR[FDR]&amp;FDR[[#Headers],[30]],FDR[30],"",0,1)</f>
        <v>2</v>
      </c>
      <c r="AQ161" cm="1">
        <f t="array" ref="AQ161">_xlfn.XLOOKUP(Matrix[[#This Row],[TEAM]]&amp;Matrix[[#Headers],[31]],FDR[FDR]&amp;FDR[[#Headers],[31]],FDR[31],"",0,1)</f>
        <v>1</v>
      </c>
      <c r="AR161" cm="1">
        <f t="array" ref="AR161">_xlfn.XLOOKUP(Matrix[[#This Row],[TEAM]]&amp;Matrix[[#Headers],[32]],FDR[FDR]&amp;FDR[[#Headers],[32]],FDR[32],"",0,1)</f>
        <v>3</v>
      </c>
      <c r="AS161" cm="1">
        <f t="array" ref="AS161">_xlfn.XLOOKUP(Matrix[[#This Row],[TEAM]]&amp;Matrix[[#Headers],[33]],FDR[FDR]&amp;FDR[[#Headers],[33]],FDR[33],"",0,1)</f>
        <v>3</v>
      </c>
      <c r="AT161" cm="1">
        <f t="array" ref="AT161">_xlfn.XLOOKUP(Matrix[[#This Row],[TEAM]]&amp;Matrix[[#Headers],[34]],FDR[FDR]&amp;FDR[[#Headers],[34]],FDR[34],"",0,1)</f>
        <v>1</v>
      </c>
      <c r="AU161" cm="1">
        <f t="array" ref="AU161">_xlfn.XLOOKUP(Matrix[[#This Row],[TEAM]]&amp;Matrix[[#Headers],[35]],FDR[FDR]&amp;FDR[[#Headers],[35]],FDR[35],"",0,1)</f>
        <v>2</v>
      </c>
      <c r="AV161" cm="1">
        <f t="array" ref="AV161">_xlfn.XLOOKUP(Matrix[[#This Row],[TEAM]]&amp;Matrix[[#Headers],[36]],FDR[FDR]&amp;FDR[[#Headers],[36]],FDR[36],"",0,1)</f>
        <v>1</v>
      </c>
      <c r="AW161" cm="1">
        <f t="array" ref="AW161">_xlfn.XLOOKUP(Matrix[[#This Row],[TEAM]]&amp;Matrix[[#Headers],[37]],FDR[FDR]&amp;FDR[[#Headers],[37]],FDR[37],"",0,1)</f>
        <v>2</v>
      </c>
      <c r="AX161" cm="1">
        <f t="array" ref="AX161">_xlfn.XLOOKUP(Matrix[[#This Row],[TEAM]]&amp;Matrix[[#Headers],[38]],FDR[FDR]&amp;FDR[[#Headers],[38]],FDR[38],"",0,1)</f>
        <v>2</v>
      </c>
    </row>
    <row r="162" spans="1:50" ht="22" thickTop="1" thickBot="1">
      <c r="A162" s="51" t="s">
        <v>657</v>
      </c>
      <c r="B162" s="70" t="s">
        <v>1394</v>
      </c>
      <c r="C162" s="40" t="s">
        <v>20</v>
      </c>
      <c r="D162" s="62">
        <v>37</v>
      </c>
      <c r="E162" s="60">
        <v>4.8000000000000001E-2</v>
      </c>
      <c r="F162" s="61">
        <v>40</v>
      </c>
      <c r="G162" s="63">
        <v>5.4</v>
      </c>
      <c r="H162" s="261">
        <f>IF(ISBLANK(I162),0,1)</f>
        <v>0</v>
      </c>
      <c r="I162" s="57"/>
      <c r="J162" s="58"/>
      <c r="K162" s="65" t="s">
        <v>668</v>
      </c>
      <c r="L162" s="65" t="s">
        <v>669</v>
      </c>
      <c r="M162" cm="1">
        <f t="array" ref="M162">_xlfn.XLOOKUP(Matrix[[#This Row],[TEAM]]&amp;Matrix[[#Headers],[1]],FDR[FDR]&amp;FDR[[#Headers],[1]],FDR[1],"",0,1)</f>
        <v>3</v>
      </c>
      <c r="N162" cm="1">
        <f t="array" ref="N162">_xlfn.XLOOKUP(Matrix[[#This Row],[TEAM]]&amp;Matrix[[#Headers],[2]],FDR[FDR]&amp;FDR[[#Headers],[2]],FDR[2],"",0,1)</f>
        <v>1</v>
      </c>
      <c r="O162" cm="1">
        <f t="array" ref="O162">_xlfn.XLOOKUP(Matrix[[#This Row],[TEAM]]&amp;Matrix[[#Headers],[3]],FDR[FDR]&amp;FDR[[#Headers],[3]],FDR[3],"",0,1)</f>
        <v>4</v>
      </c>
      <c r="P162" cm="1">
        <f t="array" ref="P162">_xlfn.XLOOKUP(Matrix[[#This Row],[TEAM]]&amp;Matrix[[#Headers],[4]],FDR[FDR]&amp;FDR[[#Headers],[4]],FDR[4],"",0,1)</f>
        <v>1</v>
      </c>
      <c r="Q162" cm="1">
        <f t="array" ref="Q162">_xlfn.XLOOKUP(Matrix[[#This Row],[TEAM]]&amp;Matrix[[#Headers],[5]],FDR[FDR]&amp;FDR[[#Headers],[5]],FDR[5],"",0,1)</f>
        <v>3</v>
      </c>
      <c r="R162" cm="1">
        <f t="array" ref="R162">_xlfn.XLOOKUP(Matrix[[#This Row],[TEAM]]&amp;Matrix[[#Headers],[6]],FDR[FDR]&amp;FDR[[#Headers],[6]],FDR[6],"",0,1)</f>
        <v>3</v>
      </c>
      <c r="S162" cm="1">
        <f t="array" ref="S162">_xlfn.XLOOKUP(Matrix[[#This Row],[TEAM]]&amp;Matrix[[#Headers],[7]],FDR[FDR]&amp;FDR[[#Headers],[7]],FDR[7],"",0,1)</f>
        <v>1</v>
      </c>
      <c r="T162" cm="1">
        <f t="array" ref="T162">_xlfn.XLOOKUP(Matrix[[#This Row],[TEAM]]&amp;Matrix[[#Headers],[8]],FDR[FDR]&amp;FDR[[#Headers],[8]],FDR[8],"",0,1)</f>
        <v>2</v>
      </c>
      <c r="U162" cm="1">
        <f t="array" ref="U162">_xlfn.XLOOKUP(Matrix[[#This Row],[TEAM]]&amp;Matrix[[#Headers],[9]],FDR[FDR]&amp;FDR[[#Headers],[9]],FDR[9],"",0,1)</f>
        <v>1</v>
      </c>
      <c r="V162" cm="1">
        <f t="array" ref="V162">_xlfn.XLOOKUP(Matrix[[#This Row],[TEAM]]&amp;Matrix[[#Headers],[10]],FDR[FDR]&amp;FDR[[#Headers],[10]],FDR[10],"",0,1)</f>
        <v>1</v>
      </c>
      <c r="W162" cm="1">
        <f t="array" ref="W162">_xlfn.XLOOKUP(Matrix[[#This Row],[TEAM]]&amp;Matrix[[#Headers],[11]],FDR[FDR]&amp;FDR[[#Headers],[11]],FDR[11],"",0,1)</f>
        <v>1</v>
      </c>
      <c r="X162" cm="1">
        <f t="array" ref="X162">_xlfn.XLOOKUP(Matrix[[#This Row],[TEAM]]&amp;Matrix[[#Headers],[12]],FDR[FDR]&amp;FDR[[#Headers],[12]],FDR[12],"",0,1)</f>
        <v>2</v>
      </c>
      <c r="Y162" cm="1">
        <f t="array" ref="Y162">_xlfn.XLOOKUP(Matrix[[#This Row],[TEAM]]&amp;Matrix[[#Headers],[13]],FDR[FDR]&amp;FDR[[#Headers],[13]],FDR[13],"",0,1)</f>
        <v>3</v>
      </c>
      <c r="Z162" cm="1">
        <f t="array" ref="Z162">_xlfn.XLOOKUP(Matrix[[#This Row],[TEAM]]&amp;Matrix[[#Headers],[14]],FDR[FDR]&amp;FDR[[#Headers],[14]],FDR[14],"",0,1)</f>
        <v>1</v>
      </c>
      <c r="AA162" cm="1">
        <f t="array" ref="AA162">_xlfn.XLOOKUP(Matrix[[#This Row],[TEAM]]&amp;Matrix[[#Headers],[15]],FDR[FDR]&amp;FDR[[#Headers],[15]],FDR[15],"",0,1)</f>
        <v>3</v>
      </c>
      <c r="AB162" cm="1">
        <f t="array" ref="AB162">_xlfn.XLOOKUP(Matrix[[#This Row],[TEAM]]&amp;Matrix[[#Headers],[16]],FDR[FDR]&amp;FDR[[#Headers],[16]],FDR[16],"",0,1)</f>
        <v>1</v>
      </c>
      <c r="AC162" cm="1">
        <f t="array" ref="AC162">_xlfn.XLOOKUP(Matrix[[#This Row],[TEAM]]&amp;Matrix[[#Headers],[17]],FDR[FDR]&amp;FDR[[#Headers],[17]],FDR[17],"",0,1)</f>
        <v>2</v>
      </c>
      <c r="AD162" cm="1">
        <f t="array" ref="AD162">_xlfn.XLOOKUP(Matrix[[#This Row],[TEAM]]&amp;Matrix[[#Headers],[18]],FDR[FDR]&amp;FDR[[#Headers],[18]],FDR[18],"",0,1)</f>
        <v>1</v>
      </c>
      <c r="AE162" cm="1">
        <f t="array" ref="AE162">_xlfn.XLOOKUP(Matrix[[#This Row],[TEAM]]&amp;Matrix[[#Headers],[19]],FDR[FDR]&amp;FDR[[#Headers],[19]],FDR[19],"",0,1)</f>
        <v>2</v>
      </c>
      <c r="AF162" cm="1">
        <f t="array" ref="AF162">_xlfn.XLOOKUP(Matrix[[#This Row],[TEAM]]&amp;Matrix[[#Headers],[20]],FDR[FDR]&amp;FDR[[#Headers],[20]],FDR[20],"",0,1)</f>
        <v>2</v>
      </c>
      <c r="AG162" cm="1">
        <f t="array" ref="AG162">_xlfn.XLOOKUP(Matrix[[#This Row],[TEAM]]&amp;Matrix[[#Headers],[21]],FDR[FDR]&amp;FDR[[#Headers],[21]],FDR[21],"",0,1)</f>
        <v>3</v>
      </c>
      <c r="AH162" cm="1">
        <f t="array" ref="AH162">_xlfn.XLOOKUP(Matrix[[#This Row],[TEAM]]&amp;Matrix[[#Headers],[22]],FDR[FDR]&amp;FDR[[#Headers],[22]],FDR[22],"",0,1)</f>
        <v>2</v>
      </c>
      <c r="AI162" cm="1">
        <f t="array" ref="AI162">_xlfn.XLOOKUP(Matrix[[#This Row],[TEAM]]&amp;Matrix[[#Headers],[23]],FDR[FDR]&amp;FDR[[#Headers],[23]],FDR[23],"",0,1)</f>
        <v>2</v>
      </c>
      <c r="AJ162" cm="1">
        <f t="array" ref="AJ162">_xlfn.XLOOKUP(Matrix[[#This Row],[TEAM]]&amp;Matrix[[#Headers],[24]],FDR[FDR]&amp;FDR[[#Headers],[24]],FDR[24],"",0,1)</f>
        <v>1</v>
      </c>
      <c r="AK162" cm="1">
        <f t="array" ref="AK162">_xlfn.XLOOKUP(Matrix[[#This Row],[TEAM]]&amp;Matrix[[#Headers],[25]],FDR[FDR]&amp;FDR[[#Headers],[25]],FDR[25],"",0,1)</f>
        <v>1</v>
      </c>
      <c r="AL162" cm="1">
        <f t="array" ref="AL162">_xlfn.XLOOKUP(Matrix[[#This Row],[TEAM]]&amp;Matrix[[#Headers],[26]],FDR[FDR]&amp;FDR[[#Headers],[26]],FDR[26],"",0,1)</f>
        <v>2</v>
      </c>
      <c r="AM162" cm="1">
        <f t="array" ref="AM162">_xlfn.XLOOKUP(Matrix[[#This Row],[TEAM]]&amp;Matrix[[#Headers],[27]],FDR[FDR]&amp;FDR[[#Headers],[27]],FDR[27],"",0,1)</f>
        <v>3</v>
      </c>
      <c r="AN162" cm="1">
        <f t="array" ref="AN162">_xlfn.XLOOKUP(Matrix[[#This Row],[TEAM]]&amp;Matrix[[#Headers],[28]],FDR[FDR]&amp;FDR[[#Headers],[28]],FDR[28],"",0,1)</f>
        <v>2</v>
      </c>
      <c r="AO162" cm="1">
        <f t="array" ref="AO162">_xlfn.XLOOKUP(Matrix[[#This Row],[TEAM]]&amp;Matrix[[#Headers],[29]],FDR[FDR]&amp;FDR[[#Headers],[29]],FDR[29],"",0,1)</f>
        <v>2</v>
      </c>
      <c r="AP162" cm="1">
        <f t="array" ref="AP162">_xlfn.XLOOKUP(Matrix[[#This Row],[TEAM]]&amp;Matrix[[#Headers],[30]],FDR[FDR]&amp;FDR[[#Headers],[30]],FDR[30],"",0,1)</f>
        <v>1</v>
      </c>
      <c r="AQ162" cm="1">
        <f t="array" ref="AQ162">_xlfn.XLOOKUP(Matrix[[#This Row],[TEAM]]&amp;Matrix[[#Headers],[31]],FDR[FDR]&amp;FDR[[#Headers],[31]],FDR[31],"",0,1)</f>
        <v>1</v>
      </c>
      <c r="AR162" cm="1">
        <f t="array" ref="AR162">_xlfn.XLOOKUP(Matrix[[#This Row],[TEAM]]&amp;Matrix[[#Headers],[32]],FDR[FDR]&amp;FDR[[#Headers],[32]],FDR[32],"",0,1)</f>
        <v>1</v>
      </c>
      <c r="AS162" cm="1">
        <f t="array" ref="AS162">_xlfn.XLOOKUP(Matrix[[#This Row],[TEAM]]&amp;Matrix[[#Headers],[33]],FDR[FDR]&amp;FDR[[#Headers],[33]],FDR[33],"",0,1)</f>
        <v>3</v>
      </c>
      <c r="AT162" cm="1">
        <f t="array" ref="AT162">_xlfn.XLOOKUP(Matrix[[#This Row],[TEAM]]&amp;Matrix[[#Headers],[34]],FDR[FDR]&amp;FDR[[#Headers],[34]],FDR[34],"",0,1)</f>
        <v>2</v>
      </c>
      <c r="AU162" cm="1">
        <f t="array" ref="AU162">_xlfn.XLOOKUP(Matrix[[#This Row],[TEAM]]&amp;Matrix[[#Headers],[35]],FDR[FDR]&amp;FDR[[#Headers],[35]],FDR[35],"",0,1)</f>
        <v>1</v>
      </c>
      <c r="AV162" cm="1">
        <f t="array" ref="AV162">_xlfn.XLOOKUP(Matrix[[#This Row],[TEAM]]&amp;Matrix[[#Headers],[36]],FDR[FDR]&amp;FDR[[#Headers],[36]],FDR[36],"",0,1)</f>
        <v>2</v>
      </c>
      <c r="AW162" cm="1">
        <f t="array" ref="AW162">_xlfn.XLOOKUP(Matrix[[#This Row],[TEAM]]&amp;Matrix[[#Headers],[37]],FDR[FDR]&amp;FDR[[#Headers],[37]],FDR[37],"",0,1)</f>
        <v>1</v>
      </c>
      <c r="AX162" cm="1">
        <f t="array" ref="AX162">_xlfn.XLOOKUP(Matrix[[#This Row],[TEAM]]&amp;Matrix[[#Headers],[38]],FDR[FDR]&amp;FDR[[#Headers],[38]],FDR[38],"",0,1)</f>
        <v>2</v>
      </c>
    </row>
    <row r="163" spans="1:50" ht="22" thickTop="1" thickBot="1">
      <c r="A163" s="50" t="str">
        <f>INDEX!S$4</f>
        <v>MID</v>
      </c>
      <c r="B163" s="70" t="s">
        <v>1430</v>
      </c>
      <c r="C163" s="40" t="s">
        <v>23</v>
      </c>
      <c r="D163" s="62">
        <v>95</v>
      </c>
      <c r="E163" s="60">
        <v>3.0000000000000001E-3</v>
      </c>
      <c r="F163" s="61">
        <v>144.6</v>
      </c>
      <c r="G163" s="63">
        <v>5.4</v>
      </c>
      <c r="H163" s="261">
        <f>IF(ISBLANK(I163),0,1)</f>
        <v>0</v>
      </c>
      <c r="I163" s="57"/>
      <c r="J163" s="58"/>
      <c r="K163" s="59" t="s">
        <v>543</v>
      </c>
      <c r="L163" s="59" t="s">
        <v>782</v>
      </c>
      <c r="M163" cm="1">
        <f t="array" ref="M163">_xlfn.XLOOKUP(Matrix[[#This Row],[TEAM]]&amp;Matrix[[#Headers],[1]],FDR[FDR]&amp;FDR[[#Headers],[1]],FDR[1],"",0,1)</f>
        <v>4</v>
      </c>
      <c r="N163" cm="1">
        <f t="array" ref="N163">_xlfn.XLOOKUP(Matrix[[#This Row],[TEAM]]&amp;Matrix[[#Headers],[2]],FDR[FDR]&amp;FDR[[#Headers],[2]],FDR[2],"",0,1)</f>
        <v>4</v>
      </c>
      <c r="O163" cm="1">
        <f t="array" ref="O163">_xlfn.XLOOKUP(Matrix[[#This Row],[TEAM]]&amp;Matrix[[#Headers],[3]],FDR[FDR]&amp;FDR[[#Headers],[3]],FDR[3],"",0,1)</f>
        <v>5</v>
      </c>
      <c r="P163" cm="1">
        <f t="array" ref="P163">_xlfn.XLOOKUP(Matrix[[#This Row],[TEAM]]&amp;Matrix[[#Headers],[4]],FDR[FDR]&amp;FDR[[#Headers],[4]],FDR[4],"",0,1)</f>
        <v>1</v>
      </c>
      <c r="Q163" cm="1">
        <f t="array" ref="Q163">_xlfn.XLOOKUP(Matrix[[#This Row],[TEAM]]&amp;Matrix[[#Headers],[5]],FDR[FDR]&amp;FDR[[#Headers],[5]],FDR[5],"",0,1)</f>
        <v>2</v>
      </c>
      <c r="R163" cm="1">
        <f t="array" ref="R163">_xlfn.XLOOKUP(Matrix[[#This Row],[TEAM]]&amp;Matrix[[#Headers],[6]],FDR[FDR]&amp;FDR[[#Headers],[6]],FDR[6],"",0,1)</f>
        <v>5</v>
      </c>
      <c r="S163" cm="1">
        <f t="array" ref="S163">_xlfn.XLOOKUP(Matrix[[#This Row],[TEAM]]&amp;Matrix[[#Headers],[7]],FDR[FDR]&amp;FDR[[#Headers],[7]],FDR[7],"",0,1)</f>
        <v>4</v>
      </c>
      <c r="T163" cm="1">
        <f t="array" ref="T163">_xlfn.XLOOKUP(Matrix[[#This Row],[TEAM]]&amp;Matrix[[#Headers],[8]],FDR[FDR]&amp;FDR[[#Headers],[8]],FDR[8],"",0,1)</f>
        <v>4</v>
      </c>
      <c r="U163" cm="1">
        <f t="array" ref="U163">_xlfn.XLOOKUP(Matrix[[#This Row],[TEAM]]&amp;Matrix[[#Headers],[9]],FDR[FDR]&amp;FDR[[#Headers],[9]],FDR[9],"",0,1)</f>
        <v>5</v>
      </c>
      <c r="V163" cm="1">
        <f t="array" ref="V163">_xlfn.XLOOKUP(Matrix[[#This Row],[TEAM]]&amp;Matrix[[#Headers],[10]],FDR[FDR]&amp;FDR[[#Headers],[10]],FDR[10],"",0,1)</f>
        <v>1</v>
      </c>
      <c r="W163" cm="1">
        <f t="array" ref="W163">_xlfn.XLOOKUP(Matrix[[#This Row],[TEAM]]&amp;Matrix[[#Headers],[11]],FDR[FDR]&amp;FDR[[#Headers],[11]],FDR[11],"",0,1)</f>
        <v>3</v>
      </c>
      <c r="X163" cm="1">
        <f t="array" ref="X163">_xlfn.XLOOKUP(Matrix[[#This Row],[TEAM]]&amp;Matrix[[#Headers],[12]],FDR[FDR]&amp;FDR[[#Headers],[12]],FDR[12],"",0,1)</f>
        <v>1</v>
      </c>
      <c r="Y163" cm="1">
        <f t="array" ref="Y163">_xlfn.XLOOKUP(Matrix[[#This Row],[TEAM]]&amp;Matrix[[#Headers],[13]],FDR[FDR]&amp;FDR[[#Headers],[13]],FDR[13],"",0,1)</f>
        <v>5</v>
      </c>
      <c r="Z163" cm="1">
        <f t="array" ref="Z163">_xlfn.XLOOKUP(Matrix[[#This Row],[TEAM]]&amp;Matrix[[#Headers],[14]],FDR[FDR]&amp;FDR[[#Headers],[14]],FDR[14],"",0,1)</f>
        <v>4</v>
      </c>
      <c r="AA163" cm="1">
        <f t="array" ref="AA163">_xlfn.XLOOKUP(Matrix[[#This Row],[TEAM]]&amp;Matrix[[#Headers],[15]],FDR[FDR]&amp;FDR[[#Headers],[15]],FDR[15],"",0,1)</f>
        <v>2</v>
      </c>
      <c r="AB163" cm="1">
        <f t="array" ref="AB163">_xlfn.XLOOKUP(Matrix[[#This Row],[TEAM]]&amp;Matrix[[#Headers],[16]],FDR[FDR]&amp;FDR[[#Headers],[16]],FDR[16],"",0,1)</f>
        <v>2</v>
      </c>
      <c r="AC163" cm="1">
        <f t="array" ref="AC163">_xlfn.XLOOKUP(Matrix[[#This Row],[TEAM]]&amp;Matrix[[#Headers],[17]],FDR[FDR]&amp;FDR[[#Headers],[17]],FDR[17],"",0,1)</f>
        <v>3</v>
      </c>
      <c r="AD163" cm="1">
        <f t="array" ref="AD163">_xlfn.XLOOKUP(Matrix[[#This Row],[TEAM]]&amp;Matrix[[#Headers],[18]],FDR[FDR]&amp;FDR[[#Headers],[18]],FDR[18],"",0,1)</f>
        <v>3</v>
      </c>
      <c r="AE163" cm="1">
        <f t="array" ref="AE163">_xlfn.XLOOKUP(Matrix[[#This Row],[TEAM]]&amp;Matrix[[#Headers],[19]],FDR[FDR]&amp;FDR[[#Headers],[19]],FDR[19],"",0,1)</f>
        <v>3</v>
      </c>
      <c r="AF163" cm="1">
        <f t="array" ref="AF163">_xlfn.XLOOKUP(Matrix[[#This Row],[TEAM]]&amp;Matrix[[#Headers],[20]],FDR[FDR]&amp;FDR[[#Headers],[20]],FDR[20],"",0,1)</f>
        <v>4</v>
      </c>
      <c r="AG163" cm="1">
        <f t="array" ref="AG163">_xlfn.XLOOKUP(Matrix[[#This Row],[TEAM]]&amp;Matrix[[#Headers],[21]],FDR[FDR]&amp;FDR[[#Headers],[21]],FDR[21],"",0,1)</f>
        <v>4</v>
      </c>
      <c r="AH163" cm="1">
        <f t="array" ref="AH163">_xlfn.XLOOKUP(Matrix[[#This Row],[TEAM]]&amp;Matrix[[#Headers],[22]],FDR[FDR]&amp;FDR[[#Headers],[22]],FDR[22],"",0,1)</f>
        <v>2</v>
      </c>
      <c r="AI163" cm="1">
        <f t="array" ref="AI163">_xlfn.XLOOKUP(Matrix[[#This Row],[TEAM]]&amp;Matrix[[#Headers],[23]],FDR[FDR]&amp;FDR[[#Headers],[23]],FDR[23],"",0,1)</f>
        <v>3</v>
      </c>
      <c r="AJ163" cm="1">
        <f t="array" ref="AJ163">_xlfn.XLOOKUP(Matrix[[#This Row],[TEAM]]&amp;Matrix[[#Headers],[24]],FDR[FDR]&amp;FDR[[#Headers],[24]],FDR[24],"",0,1)</f>
        <v>5</v>
      </c>
      <c r="AK163" cm="1">
        <f t="array" ref="AK163">_xlfn.XLOOKUP(Matrix[[#This Row],[TEAM]]&amp;Matrix[[#Headers],[25]],FDR[FDR]&amp;FDR[[#Headers],[25]],FDR[25],"",0,1)</f>
        <v>2</v>
      </c>
      <c r="AL163" cm="1">
        <f t="array" ref="AL163">_xlfn.XLOOKUP(Matrix[[#This Row],[TEAM]]&amp;Matrix[[#Headers],[26]],FDR[FDR]&amp;FDR[[#Headers],[26]],FDR[26],"",0,1)</f>
        <v>5</v>
      </c>
      <c r="AM163" cm="1">
        <f t="array" ref="AM163">_xlfn.XLOOKUP(Matrix[[#This Row],[TEAM]]&amp;Matrix[[#Headers],[27]],FDR[FDR]&amp;FDR[[#Headers],[27]],FDR[27],"",0,1)</f>
        <v>2</v>
      </c>
      <c r="AN163" cm="1">
        <f t="array" ref="AN163">_xlfn.XLOOKUP(Matrix[[#This Row],[TEAM]]&amp;Matrix[[#Headers],[28]],FDR[FDR]&amp;FDR[[#Headers],[28]],FDR[28],"",0,1)</f>
        <v>4</v>
      </c>
      <c r="AO163" cm="1">
        <f t="array" ref="AO163">_xlfn.XLOOKUP(Matrix[[#This Row],[TEAM]]&amp;Matrix[[#Headers],[29]],FDR[FDR]&amp;FDR[[#Headers],[29]],FDR[29],"",0,1)</f>
        <v>2</v>
      </c>
      <c r="AP163" cm="1">
        <f t="array" ref="AP163">_xlfn.XLOOKUP(Matrix[[#This Row],[TEAM]]&amp;Matrix[[#Headers],[30]],FDR[FDR]&amp;FDR[[#Headers],[30]],FDR[30],"",0,1)</f>
        <v>4</v>
      </c>
      <c r="AQ163" cm="1">
        <f t="array" ref="AQ163">_xlfn.XLOOKUP(Matrix[[#This Row],[TEAM]]&amp;Matrix[[#Headers],[31]],FDR[FDR]&amp;FDR[[#Headers],[31]],FDR[31],"",0,1)</f>
        <v>1</v>
      </c>
      <c r="AR163" cm="1">
        <f t="array" ref="AR163">_xlfn.XLOOKUP(Matrix[[#This Row],[TEAM]]&amp;Matrix[[#Headers],[32]],FDR[FDR]&amp;FDR[[#Headers],[32]],FDR[32],"",0,1)</f>
        <v>5</v>
      </c>
      <c r="AS163" cm="1">
        <f t="array" ref="AS163">_xlfn.XLOOKUP(Matrix[[#This Row],[TEAM]]&amp;Matrix[[#Headers],[33]],FDR[FDR]&amp;FDR[[#Headers],[33]],FDR[33],"",0,1)</f>
        <v>3</v>
      </c>
      <c r="AT163" cm="1">
        <f t="array" ref="AT163">_xlfn.XLOOKUP(Matrix[[#This Row],[TEAM]]&amp;Matrix[[#Headers],[34]],FDR[FDR]&amp;FDR[[#Headers],[34]],FDR[34],"",0,1)</f>
        <v>3</v>
      </c>
      <c r="AU163" cm="1">
        <f t="array" ref="AU163">_xlfn.XLOOKUP(Matrix[[#This Row],[TEAM]]&amp;Matrix[[#Headers],[35]],FDR[FDR]&amp;FDR[[#Headers],[35]],FDR[35],"",0,1)</f>
        <v>5</v>
      </c>
      <c r="AV163" cm="1">
        <f t="array" ref="AV163">_xlfn.XLOOKUP(Matrix[[#This Row],[TEAM]]&amp;Matrix[[#Headers],[36]],FDR[FDR]&amp;FDR[[#Headers],[36]],FDR[36],"",0,1)</f>
        <v>3</v>
      </c>
      <c r="AW163" cm="1">
        <f t="array" ref="AW163">_xlfn.XLOOKUP(Matrix[[#This Row],[TEAM]]&amp;Matrix[[#Headers],[37]],FDR[FDR]&amp;FDR[[#Headers],[37]],FDR[37],"",0,1)</f>
        <v>2</v>
      </c>
      <c r="AX163" cm="1">
        <f t="array" ref="AX163">_xlfn.XLOOKUP(Matrix[[#This Row],[TEAM]]&amp;Matrix[[#Headers],[38]],FDR[FDR]&amp;FDR[[#Headers],[38]],FDR[38],"",0,1)</f>
        <v>4</v>
      </c>
    </row>
    <row r="164" spans="1:50" ht="22" thickTop="1" thickBot="1">
      <c r="A164" s="50" t="str">
        <f>INDEX!S$4</f>
        <v>MID</v>
      </c>
      <c r="B164" s="70" t="s">
        <v>1444</v>
      </c>
      <c r="C164" s="40" t="s">
        <v>33</v>
      </c>
      <c r="D164" s="62">
        <v>89</v>
      </c>
      <c r="E164" s="60">
        <v>1E-3</v>
      </c>
      <c r="F164" s="61">
        <v>97</v>
      </c>
      <c r="G164" s="63">
        <v>5.4</v>
      </c>
      <c r="H164" s="261">
        <f>IF(ISBLANK(I164),0,1)</f>
        <v>0</v>
      </c>
      <c r="I164" s="57"/>
      <c r="J164" s="58"/>
      <c r="K164" s="59" t="s">
        <v>401</v>
      </c>
      <c r="L164" s="59" t="s">
        <v>772</v>
      </c>
      <c r="M164" cm="1">
        <f t="array" ref="M164">_xlfn.XLOOKUP(Matrix[[#This Row],[TEAM]]&amp;Matrix[[#Headers],[1]],FDR[FDR]&amp;FDR[[#Headers],[1]],FDR[1],"",0,1)</f>
        <v>3</v>
      </c>
      <c r="N164" cm="1">
        <f t="array" ref="N164">_xlfn.XLOOKUP(Matrix[[#This Row],[TEAM]]&amp;Matrix[[#Headers],[2]],FDR[FDR]&amp;FDR[[#Headers],[2]],FDR[2],"",0,1)</f>
        <v>3</v>
      </c>
      <c r="O164" cm="1">
        <f t="array" ref="O164">_xlfn.XLOOKUP(Matrix[[#This Row],[TEAM]]&amp;Matrix[[#Headers],[3]],FDR[FDR]&amp;FDR[[#Headers],[3]],FDR[3],"",0,1)</f>
        <v>4</v>
      </c>
      <c r="P164" cm="1">
        <f t="array" ref="P164">_xlfn.XLOOKUP(Matrix[[#This Row],[TEAM]]&amp;Matrix[[#Headers],[4]],FDR[FDR]&amp;FDR[[#Headers],[4]],FDR[4],"",0,1)</f>
        <v>4</v>
      </c>
      <c r="Q164" cm="1">
        <f t="array" ref="Q164">_xlfn.XLOOKUP(Matrix[[#This Row],[TEAM]]&amp;Matrix[[#Headers],[5]],FDR[FDR]&amp;FDR[[#Headers],[5]],FDR[5],"",0,1)</f>
        <v>4</v>
      </c>
      <c r="R164" cm="1">
        <f t="array" ref="R164">_xlfn.XLOOKUP(Matrix[[#This Row],[TEAM]]&amp;Matrix[[#Headers],[6]],FDR[FDR]&amp;FDR[[#Headers],[6]],FDR[6],"",0,1)</f>
        <v>5</v>
      </c>
      <c r="S164" cm="1">
        <f t="array" ref="S164">_xlfn.XLOOKUP(Matrix[[#This Row],[TEAM]]&amp;Matrix[[#Headers],[7]],FDR[FDR]&amp;FDR[[#Headers],[7]],FDR[7],"",0,1)</f>
        <v>2</v>
      </c>
      <c r="T164" cm="1">
        <f t="array" ref="T164">_xlfn.XLOOKUP(Matrix[[#This Row],[TEAM]]&amp;Matrix[[#Headers],[8]],FDR[FDR]&amp;FDR[[#Headers],[8]],FDR[8],"",0,1)</f>
        <v>4</v>
      </c>
      <c r="U164" cm="1">
        <f t="array" ref="U164">_xlfn.XLOOKUP(Matrix[[#This Row],[TEAM]]&amp;Matrix[[#Headers],[9]],FDR[FDR]&amp;FDR[[#Headers],[9]],FDR[9],"",0,1)</f>
        <v>5</v>
      </c>
      <c r="V164" cm="1">
        <f t="array" ref="V164">_xlfn.XLOOKUP(Matrix[[#This Row],[TEAM]]&amp;Matrix[[#Headers],[10]],FDR[FDR]&amp;FDR[[#Headers],[10]],FDR[10],"",0,1)</f>
        <v>1</v>
      </c>
      <c r="W164" cm="1">
        <f t="array" ref="W164">_xlfn.XLOOKUP(Matrix[[#This Row],[TEAM]]&amp;Matrix[[#Headers],[11]],FDR[FDR]&amp;FDR[[#Headers],[11]],FDR[11],"",0,1)</f>
        <v>3</v>
      </c>
      <c r="X164" cm="1">
        <f t="array" ref="X164">_xlfn.XLOOKUP(Matrix[[#This Row],[TEAM]]&amp;Matrix[[#Headers],[12]],FDR[FDR]&amp;FDR[[#Headers],[12]],FDR[12],"",0,1)</f>
        <v>2</v>
      </c>
      <c r="Y164" cm="1">
        <f t="array" ref="Y164">_xlfn.XLOOKUP(Matrix[[#This Row],[TEAM]]&amp;Matrix[[#Headers],[13]],FDR[FDR]&amp;FDR[[#Headers],[13]],FDR[13],"",0,1)</f>
        <v>4</v>
      </c>
      <c r="Z164" cm="1">
        <f t="array" ref="Z164">_xlfn.XLOOKUP(Matrix[[#This Row],[TEAM]]&amp;Matrix[[#Headers],[14]],FDR[FDR]&amp;FDR[[#Headers],[14]],FDR[14],"",0,1)</f>
        <v>3</v>
      </c>
      <c r="AA164" cm="1">
        <f t="array" ref="AA164">_xlfn.XLOOKUP(Matrix[[#This Row],[TEAM]]&amp;Matrix[[#Headers],[15]],FDR[FDR]&amp;FDR[[#Headers],[15]],FDR[15],"",0,1)</f>
        <v>2</v>
      </c>
      <c r="AB164" cm="1">
        <f t="array" ref="AB164">_xlfn.XLOOKUP(Matrix[[#This Row],[TEAM]]&amp;Matrix[[#Headers],[16]],FDR[FDR]&amp;FDR[[#Headers],[16]],FDR[16],"",0,1)</f>
        <v>5</v>
      </c>
      <c r="AC164" cm="1">
        <f t="array" ref="AC164">_xlfn.XLOOKUP(Matrix[[#This Row],[TEAM]]&amp;Matrix[[#Headers],[17]],FDR[FDR]&amp;FDR[[#Headers],[17]],FDR[17],"",0,1)</f>
        <v>1</v>
      </c>
      <c r="AD164" cm="1">
        <f t="array" ref="AD164">_xlfn.XLOOKUP(Matrix[[#This Row],[TEAM]]&amp;Matrix[[#Headers],[18]],FDR[FDR]&amp;FDR[[#Headers],[18]],FDR[18],"",0,1)</f>
        <v>5</v>
      </c>
      <c r="AE164" cm="1">
        <f t="array" ref="AE164">_xlfn.XLOOKUP(Matrix[[#This Row],[TEAM]]&amp;Matrix[[#Headers],[19]],FDR[FDR]&amp;FDR[[#Headers],[19]],FDR[19],"",0,1)</f>
        <v>3</v>
      </c>
      <c r="AF164" cm="1">
        <f t="array" ref="AF164">_xlfn.XLOOKUP(Matrix[[#This Row],[TEAM]]&amp;Matrix[[#Headers],[20]],FDR[FDR]&amp;FDR[[#Headers],[20]],FDR[20],"",0,1)</f>
        <v>1</v>
      </c>
      <c r="AG164" cm="1">
        <f t="array" ref="AG164">_xlfn.XLOOKUP(Matrix[[#This Row],[TEAM]]&amp;Matrix[[#Headers],[21]],FDR[FDR]&amp;FDR[[#Headers],[21]],FDR[21],"",0,1)</f>
        <v>5</v>
      </c>
      <c r="AH164" cm="1">
        <f t="array" ref="AH164">_xlfn.XLOOKUP(Matrix[[#This Row],[TEAM]]&amp;Matrix[[#Headers],[22]],FDR[FDR]&amp;FDR[[#Headers],[22]],FDR[22],"",0,1)</f>
        <v>3</v>
      </c>
      <c r="AI164" cm="1">
        <f t="array" ref="AI164">_xlfn.XLOOKUP(Matrix[[#This Row],[TEAM]]&amp;Matrix[[#Headers],[23]],FDR[FDR]&amp;FDR[[#Headers],[23]],FDR[23],"",0,1)</f>
        <v>4</v>
      </c>
      <c r="AJ164" cm="1">
        <f t="array" ref="AJ164">_xlfn.XLOOKUP(Matrix[[#This Row],[TEAM]]&amp;Matrix[[#Headers],[24]],FDR[FDR]&amp;FDR[[#Headers],[24]],FDR[24],"",0,1)</f>
        <v>2</v>
      </c>
      <c r="AK164" cm="1">
        <f t="array" ref="AK164">_xlfn.XLOOKUP(Matrix[[#This Row],[TEAM]]&amp;Matrix[[#Headers],[25]],FDR[FDR]&amp;FDR[[#Headers],[25]],FDR[25],"",0,1)</f>
        <v>2</v>
      </c>
      <c r="AL164" cm="1">
        <f t="array" ref="AL164">_xlfn.XLOOKUP(Matrix[[#This Row],[TEAM]]&amp;Matrix[[#Headers],[26]],FDR[FDR]&amp;FDR[[#Headers],[26]],FDR[26],"",0,1)</f>
        <v>5</v>
      </c>
      <c r="AM164" cm="1">
        <f t="array" ref="AM164">_xlfn.XLOOKUP(Matrix[[#This Row],[TEAM]]&amp;Matrix[[#Headers],[27]],FDR[FDR]&amp;FDR[[#Headers],[27]],FDR[27],"",0,1)</f>
        <v>3</v>
      </c>
      <c r="AN164" cm="1">
        <f t="array" ref="AN164">_xlfn.XLOOKUP(Matrix[[#This Row],[TEAM]]&amp;Matrix[[#Headers],[28]],FDR[FDR]&amp;FDR[[#Headers],[28]],FDR[28],"",0,1)</f>
        <v>3</v>
      </c>
      <c r="AO164" cm="1">
        <f t="array" ref="AO164">_xlfn.XLOOKUP(Matrix[[#This Row],[TEAM]]&amp;Matrix[[#Headers],[29]],FDR[FDR]&amp;FDR[[#Headers],[29]],FDR[29],"",0,1)</f>
        <v>4</v>
      </c>
      <c r="AP164" cm="1">
        <f t="array" ref="AP164">_xlfn.XLOOKUP(Matrix[[#This Row],[TEAM]]&amp;Matrix[[#Headers],[30]],FDR[FDR]&amp;FDR[[#Headers],[30]],FDR[30],"",0,1)</f>
        <v>2</v>
      </c>
      <c r="AQ164" cm="1">
        <f t="array" ref="AQ164">_xlfn.XLOOKUP(Matrix[[#This Row],[TEAM]]&amp;Matrix[[#Headers],[31]],FDR[FDR]&amp;FDR[[#Headers],[31]],FDR[31],"",0,1)</f>
        <v>4</v>
      </c>
      <c r="AR164" cm="1">
        <f t="array" ref="AR164">_xlfn.XLOOKUP(Matrix[[#This Row],[TEAM]]&amp;Matrix[[#Headers],[32]],FDR[FDR]&amp;FDR[[#Headers],[32]],FDR[32],"",0,1)</f>
        <v>2</v>
      </c>
      <c r="AS164" cm="1">
        <f t="array" ref="AS164">_xlfn.XLOOKUP(Matrix[[#This Row],[TEAM]]&amp;Matrix[[#Headers],[33]],FDR[FDR]&amp;FDR[[#Headers],[33]],FDR[33],"",0,1)</f>
        <v>5</v>
      </c>
      <c r="AT164" cm="1">
        <f t="array" ref="AT164">_xlfn.XLOOKUP(Matrix[[#This Row],[TEAM]]&amp;Matrix[[#Headers],[34]],FDR[FDR]&amp;FDR[[#Headers],[34]],FDR[34],"",0,1)</f>
        <v>4</v>
      </c>
      <c r="AU164" cm="1">
        <f t="array" ref="AU164">_xlfn.XLOOKUP(Matrix[[#This Row],[TEAM]]&amp;Matrix[[#Headers],[35]],FDR[FDR]&amp;FDR[[#Headers],[35]],FDR[35],"",0,1)</f>
        <v>5</v>
      </c>
      <c r="AV164" cm="1">
        <f t="array" ref="AV164">_xlfn.XLOOKUP(Matrix[[#This Row],[TEAM]]&amp;Matrix[[#Headers],[36]],FDR[FDR]&amp;FDR[[#Headers],[36]],FDR[36],"",0,1)</f>
        <v>1</v>
      </c>
      <c r="AW164" cm="1">
        <f t="array" ref="AW164">_xlfn.XLOOKUP(Matrix[[#This Row],[TEAM]]&amp;Matrix[[#Headers],[37]],FDR[FDR]&amp;FDR[[#Headers],[37]],FDR[37],"",0,1)</f>
        <v>2</v>
      </c>
      <c r="AX164" cm="1">
        <f t="array" ref="AX164">_xlfn.XLOOKUP(Matrix[[#This Row],[TEAM]]&amp;Matrix[[#Headers],[38]],FDR[FDR]&amp;FDR[[#Headers],[38]],FDR[38],"",0,1)</f>
        <v>4</v>
      </c>
    </row>
    <row r="165" spans="1:50" ht="22" thickTop="1" thickBot="1">
      <c r="A165" s="50" t="str">
        <f>INDEX!S$4</f>
        <v>MID</v>
      </c>
      <c r="B165" s="70" t="s">
        <v>1455</v>
      </c>
      <c r="C165" s="40" t="s">
        <v>17</v>
      </c>
      <c r="D165" s="62">
        <v>87</v>
      </c>
      <c r="E165" s="60">
        <v>1E-3</v>
      </c>
      <c r="F165" s="61">
        <v>113.6</v>
      </c>
      <c r="G165" s="63">
        <v>5.4</v>
      </c>
      <c r="H165" s="261">
        <f>IF(ISBLANK(I165),0,1)</f>
        <v>0</v>
      </c>
      <c r="I165" s="57"/>
      <c r="J165" s="58"/>
      <c r="K165" s="59" t="s">
        <v>495</v>
      </c>
      <c r="L165" s="59" t="s">
        <v>1079</v>
      </c>
      <c r="M165" cm="1">
        <f t="array" ref="M165">_xlfn.XLOOKUP(Matrix[[#This Row],[TEAM]]&amp;Matrix[[#Headers],[1]],FDR[FDR]&amp;FDR[[#Headers],[1]],FDR[1],"",0,1)</f>
        <v>1</v>
      </c>
      <c r="N165" cm="1">
        <f t="array" ref="N165">_xlfn.XLOOKUP(Matrix[[#This Row],[TEAM]]&amp;Matrix[[#Headers],[2]],FDR[FDR]&amp;FDR[[#Headers],[2]],FDR[2],"",0,1)</f>
        <v>3</v>
      </c>
      <c r="O165" cm="1">
        <f t="array" ref="O165">_xlfn.XLOOKUP(Matrix[[#This Row],[TEAM]]&amp;Matrix[[#Headers],[3]],FDR[FDR]&amp;FDR[[#Headers],[3]],FDR[3],"",0,1)</f>
        <v>3</v>
      </c>
      <c r="P165" cm="1">
        <f t="array" ref="P165">_xlfn.XLOOKUP(Matrix[[#This Row],[TEAM]]&amp;Matrix[[#Headers],[4]],FDR[FDR]&amp;FDR[[#Headers],[4]],FDR[4],"",0,1)</f>
        <v>1</v>
      </c>
      <c r="Q165" cm="1">
        <f t="array" ref="Q165">_xlfn.XLOOKUP(Matrix[[#This Row],[TEAM]]&amp;Matrix[[#Headers],[5]],FDR[FDR]&amp;FDR[[#Headers],[5]],FDR[5],"",0,1)</f>
        <v>1</v>
      </c>
      <c r="R165" cm="1">
        <f t="array" ref="R165">_xlfn.XLOOKUP(Matrix[[#This Row],[TEAM]]&amp;Matrix[[#Headers],[6]],FDR[FDR]&amp;FDR[[#Headers],[6]],FDR[6],"",0,1)</f>
        <v>2</v>
      </c>
      <c r="S165" cm="1">
        <f t="array" ref="S165">_xlfn.XLOOKUP(Matrix[[#This Row],[TEAM]]&amp;Matrix[[#Headers],[7]],FDR[FDR]&amp;FDR[[#Headers],[7]],FDR[7],"",0,1)</f>
        <v>3</v>
      </c>
      <c r="T165" cm="1">
        <f t="array" ref="T165">_xlfn.XLOOKUP(Matrix[[#This Row],[TEAM]]&amp;Matrix[[#Headers],[8]],FDR[FDR]&amp;FDR[[#Headers],[8]],FDR[8],"",0,1)</f>
        <v>2</v>
      </c>
      <c r="U165" cm="1">
        <f t="array" ref="U165">_xlfn.XLOOKUP(Matrix[[#This Row],[TEAM]]&amp;Matrix[[#Headers],[9]],FDR[FDR]&amp;FDR[[#Headers],[9]],FDR[9],"",0,1)</f>
        <v>2</v>
      </c>
      <c r="V165" cm="1">
        <f t="array" ref="V165">_xlfn.XLOOKUP(Matrix[[#This Row],[TEAM]]&amp;Matrix[[#Headers],[10]],FDR[FDR]&amp;FDR[[#Headers],[10]],FDR[10],"",0,1)</f>
        <v>2</v>
      </c>
      <c r="W165" cm="1">
        <f t="array" ref="W165">_xlfn.XLOOKUP(Matrix[[#This Row],[TEAM]]&amp;Matrix[[#Headers],[11]],FDR[FDR]&amp;FDR[[#Headers],[11]],FDR[11],"",0,1)</f>
        <v>3</v>
      </c>
      <c r="X165" cm="1">
        <f t="array" ref="X165">_xlfn.XLOOKUP(Matrix[[#This Row],[TEAM]]&amp;Matrix[[#Headers],[12]],FDR[FDR]&amp;FDR[[#Headers],[12]],FDR[12],"",0,1)</f>
        <v>1</v>
      </c>
      <c r="Y165" cm="1">
        <f t="array" ref="Y165">_xlfn.XLOOKUP(Matrix[[#This Row],[TEAM]]&amp;Matrix[[#Headers],[13]],FDR[FDR]&amp;FDR[[#Headers],[13]],FDR[13],"",0,1)</f>
        <v>2</v>
      </c>
      <c r="Z165" cm="1">
        <f t="array" ref="Z165">_xlfn.XLOOKUP(Matrix[[#This Row],[TEAM]]&amp;Matrix[[#Headers],[14]],FDR[FDR]&amp;FDR[[#Headers],[14]],FDR[14],"",0,1)</f>
        <v>1</v>
      </c>
      <c r="AA165" cm="1">
        <f t="array" ref="AA165">_xlfn.XLOOKUP(Matrix[[#This Row],[TEAM]]&amp;Matrix[[#Headers],[15]],FDR[FDR]&amp;FDR[[#Headers],[15]],FDR[15],"",0,1)</f>
        <v>1</v>
      </c>
      <c r="AB165" cm="1">
        <f t="array" ref="AB165">_xlfn.XLOOKUP(Matrix[[#This Row],[TEAM]]&amp;Matrix[[#Headers],[16]],FDR[FDR]&amp;FDR[[#Headers],[16]],FDR[16],"",0,1)</f>
        <v>1</v>
      </c>
      <c r="AC165" cm="1">
        <f t="array" ref="AC165">_xlfn.XLOOKUP(Matrix[[#This Row],[TEAM]]&amp;Matrix[[#Headers],[17]],FDR[FDR]&amp;FDR[[#Headers],[17]],FDR[17],"",0,1)</f>
        <v>3</v>
      </c>
      <c r="AD165" cm="1">
        <f t="array" ref="AD165">_xlfn.XLOOKUP(Matrix[[#This Row],[TEAM]]&amp;Matrix[[#Headers],[18]],FDR[FDR]&amp;FDR[[#Headers],[18]],FDR[18],"",0,1)</f>
        <v>1</v>
      </c>
      <c r="AE165" cm="1">
        <f t="array" ref="AE165">_xlfn.XLOOKUP(Matrix[[#This Row],[TEAM]]&amp;Matrix[[#Headers],[19]],FDR[FDR]&amp;FDR[[#Headers],[19]],FDR[19],"",0,1)</f>
        <v>1</v>
      </c>
      <c r="AF165" cm="1">
        <f t="array" ref="AF165">_xlfn.XLOOKUP(Matrix[[#This Row],[TEAM]]&amp;Matrix[[#Headers],[20]],FDR[FDR]&amp;FDR[[#Headers],[20]],FDR[20],"",0,1)</f>
        <v>2</v>
      </c>
      <c r="AG165" cm="1">
        <f t="array" ref="AG165">_xlfn.XLOOKUP(Matrix[[#This Row],[TEAM]]&amp;Matrix[[#Headers],[21]],FDR[FDR]&amp;FDR[[#Headers],[21]],FDR[21],"",0,1)</f>
        <v>3</v>
      </c>
      <c r="AH165" cm="1">
        <f t="array" ref="AH165">_xlfn.XLOOKUP(Matrix[[#This Row],[TEAM]]&amp;Matrix[[#Headers],[22]],FDR[FDR]&amp;FDR[[#Headers],[22]],FDR[22],"",0,1)</f>
        <v>1</v>
      </c>
      <c r="AI165" cm="1">
        <f t="array" ref="AI165">_xlfn.XLOOKUP(Matrix[[#This Row],[TEAM]]&amp;Matrix[[#Headers],[23]],FDR[FDR]&amp;FDR[[#Headers],[23]],FDR[23],"",0,1)</f>
        <v>2</v>
      </c>
      <c r="AJ165" cm="1">
        <f t="array" ref="AJ165">_xlfn.XLOOKUP(Matrix[[#This Row],[TEAM]]&amp;Matrix[[#Headers],[24]],FDR[FDR]&amp;FDR[[#Headers],[24]],FDR[24],"",0,1)</f>
        <v>2</v>
      </c>
      <c r="AK165" cm="1">
        <f t="array" ref="AK165">_xlfn.XLOOKUP(Matrix[[#This Row],[TEAM]]&amp;Matrix[[#Headers],[25]],FDR[FDR]&amp;FDR[[#Headers],[25]],FDR[25],"",0,1)</f>
        <v>3</v>
      </c>
      <c r="AL165" cm="1">
        <f t="array" ref="AL165">_xlfn.XLOOKUP(Matrix[[#This Row],[TEAM]]&amp;Matrix[[#Headers],[26]],FDR[FDR]&amp;FDR[[#Headers],[26]],FDR[26],"",0,1)</f>
        <v>1</v>
      </c>
      <c r="AM165" cm="1">
        <f t="array" ref="AM165">_xlfn.XLOOKUP(Matrix[[#This Row],[TEAM]]&amp;Matrix[[#Headers],[27]],FDR[FDR]&amp;FDR[[#Headers],[27]],FDR[27],"",0,1)</f>
        <v>2</v>
      </c>
      <c r="AN165" cm="1">
        <f t="array" ref="AN165">_xlfn.XLOOKUP(Matrix[[#This Row],[TEAM]]&amp;Matrix[[#Headers],[28]],FDR[FDR]&amp;FDR[[#Headers],[28]],FDR[28],"",0,1)</f>
        <v>1</v>
      </c>
      <c r="AO165" cm="1">
        <f t="array" ref="AO165">_xlfn.XLOOKUP(Matrix[[#This Row],[TEAM]]&amp;Matrix[[#Headers],[29]],FDR[FDR]&amp;FDR[[#Headers],[29]],FDR[29],"",0,1)</f>
        <v>1</v>
      </c>
      <c r="AP165" cm="1">
        <f t="array" ref="AP165">_xlfn.XLOOKUP(Matrix[[#This Row],[TEAM]]&amp;Matrix[[#Headers],[30]],FDR[FDR]&amp;FDR[[#Headers],[30]],FDR[30],"",0,1)</f>
        <v>2</v>
      </c>
      <c r="AQ165" cm="1">
        <f t="array" ref="AQ165">_xlfn.XLOOKUP(Matrix[[#This Row],[TEAM]]&amp;Matrix[[#Headers],[31]],FDR[FDR]&amp;FDR[[#Headers],[31]],FDR[31],"",0,1)</f>
        <v>2</v>
      </c>
      <c r="AR165" cm="1">
        <f t="array" ref="AR165">_xlfn.XLOOKUP(Matrix[[#This Row],[TEAM]]&amp;Matrix[[#Headers],[32]],FDR[FDR]&amp;FDR[[#Headers],[32]],FDR[32],"",0,1)</f>
        <v>1</v>
      </c>
      <c r="AS165" cm="1">
        <f t="array" ref="AS165">_xlfn.XLOOKUP(Matrix[[#This Row],[TEAM]]&amp;Matrix[[#Headers],[33]],FDR[FDR]&amp;FDR[[#Headers],[33]],FDR[33],"",0,1)</f>
        <v>2</v>
      </c>
      <c r="AT165" cm="1">
        <f t="array" ref="AT165">_xlfn.XLOOKUP(Matrix[[#This Row],[TEAM]]&amp;Matrix[[#Headers],[34]],FDR[FDR]&amp;FDR[[#Headers],[34]],FDR[34],"",0,1)</f>
        <v>1</v>
      </c>
      <c r="AU165" cm="1">
        <f t="array" ref="AU165">_xlfn.XLOOKUP(Matrix[[#This Row],[TEAM]]&amp;Matrix[[#Headers],[35]],FDR[FDR]&amp;FDR[[#Headers],[35]],FDR[35],"",0,1)</f>
        <v>3</v>
      </c>
      <c r="AV165" cm="1">
        <f t="array" ref="AV165">_xlfn.XLOOKUP(Matrix[[#This Row],[TEAM]]&amp;Matrix[[#Headers],[36]],FDR[FDR]&amp;FDR[[#Headers],[36]],FDR[36],"",0,1)</f>
        <v>2</v>
      </c>
      <c r="AW165" cm="1">
        <f t="array" ref="AW165">_xlfn.XLOOKUP(Matrix[[#This Row],[TEAM]]&amp;Matrix[[#Headers],[37]],FDR[FDR]&amp;FDR[[#Headers],[37]],FDR[37],"",0,1)</f>
        <v>3</v>
      </c>
      <c r="AX165" cm="1">
        <f t="array" ref="AX165">_xlfn.XLOOKUP(Matrix[[#This Row],[TEAM]]&amp;Matrix[[#Headers],[38]],FDR[FDR]&amp;FDR[[#Headers],[38]],FDR[38],"",0,1)</f>
        <v>1</v>
      </c>
    </row>
    <row r="166" spans="1:50" ht="22" thickTop="1" thickBot="1">
      <c r="A166" s="50" t="str">
        <f>INDEX!S$4</f>
        <v>MID</v>
      </c>
      <c r="B166" s="70" t="s">
        <v>1427</v>
      </c>
      <c r="C166" s="40" t="s">
        <v>23</v>
      </c>
      <c r="D166" s="62">
        <v>81</v>
      </c>
      <c r="E166" s="60">
        <v>4.0000000000000001E-3</v>
      </c>
      <c r="F166" s="61">
        <v>149</v>
      </c>
      <c r="G166" s="63">
        <v>5.4</v>
      </c>
      <c r="H166" s="261">
        <f>IF(ISBLANK(I166),0,1)</f>
        <v>0</v>
      </c>
      <c r="I166" s="57"/>
      <c r="J166" s="58"/>
      <c r="K166" s="59" t="s">
        <v>267</v>
      </c>
      <c r="L166" s="59" t="s">
        <v>206</v>
      </c>
      <c r="M166" cm="1">
        <f t="array" ref="M166">_xlfn.XLOOKUP(Matrix[[#This Row],[TEAM]]&amp;Matrix[[#Headers],[1]],FDR[FDR]&amp;FDR[[#Headers],[1]],FDR[1],"",0,1)</f>
        <v>4</v>
      </c>
      <c r="N166" cm="1">
        <f t="array" ref="N166">_xlfn.XLOOKUP(Matrix[[#This Row],[TEAM]]&amp;Matrix[[#Headers],[2]],FDR[FDR]&amp;FDR[[#Headers],[2]],FDR[2],"",0,1)</f>
        <v>4</v>
      </c>
      <c r="O166" cm="1">
        <f t="array" ref="O166">_xlfn.XLOOKUP(Matrix[[#This Row],[TEAM]]&amp;Matrix[[#Headers],[3]],FDR[FDR]&amp;FDR[[#Headers],[3]],FDR[3],"",0,1)</f>
        <v>5</v>
      </c>
      <c r="P166" cm="1">
        <f t="array" ref="P166">_xlfn.XLOOKUP(Matrix[[#This Row],[TEAM]]&amp;Matrix[[#Headers],[4]],FDR[FDR]&amp;FDR[[#Headers],[4]],FDR[4],"",0,1)</f>
        <v>1</v>
      </c>
      <c r="Q166" cm="1">
        <f t="array" ref="Q166">_xlfn.XLOOKUP(Matrix[[#This Row],[TEAM]]&amp;Matrix[[#Headers],[5]],FDR[FDR]&amp;FDR[[#Headers],[5]],FDR[5],"",0,1)</f>
        <v>2</v>
      </c>
      <c r="R166" cm="1">
        <f t="array" ref="R166">_xlfn.XLOOKUP(Matrix[[#This Row],[TEAM]]&amp;Matrix[[#Headers],[6]],FDR[FDR]&amp;FDR[[#Headers],[6]],FDR[6],"",0,1)</f>
        <v>5</v>
      </c>
      <c r="S166" cm="1">
        <f t="array" ref="S166">_xlfn.XLOOKUP(Matrix[[#This Row],[TEAM]]&amp;Matrix[[#Headers],[7]],FDR[FDR]&amp;FDR[[#Headers],[7]],FDR[7],"",0,1)</f>
        <v>4</v>
      </c>
      <c r="T166" cm="1">
        <f t="array" ref="T166">_xlfn.XLOOKUP(Matrix[[#This Row],[TEAM]]&amp;Matrix[[#Headers],[8]],FDR[FDR]&amp;FDR[[#Headers],[8]],FDR[8],"",0,1)</f>
        <v>4</v>
      </c>
      <c r="U166" cm="1">
        <f t="array" ref="U166">_xlfn.XLOOKUP(Matrix[[#This Row],[TEAM]]&amp;Matrix[[#Headers],[9]],FDR[FDR]&amp;FDR[[#Headers],[9]],FDR[9],"",0,1)</f>
        <v>5</v>
      </c>
      <c r="V166" cm="1">
        <f t="array" ref="V166">_xlfn.XLOOKUP(Matrix[[#This Row],[TEAM]]&amp;Matrix[[#Headers],[10]],FDR[FDR]&amp;FDR[[#Headers],[10]],FDR[10],"",0,1)</f>
        <v>1</v>
      </c>
      <c r="W166" cm="1">
        <f t="array" ref="W166">_xlfn.XLOOKUP(Matrix[[#This Row],[TEAM]]&amp;Matrix[[#Headers],[11]],FDR[FDR]&amp;FDR[[#Headers],[11]],FDR[11],"",0,1)</f>
        <v>3</v>
      </c>
      <c r="X166" cm="1">
        <f t="array" ref="X166">_xlfn.XLOOKUP(Matrix[[#This Row],[TEAM]]&amp;Matrix[[#Headers],[12]],FDR[FDR]&amp;FDR[[#Headers],[12]],FDR[12],"",0,1)</f>
        <v>1</v>
      </c>
      <c r="Y166" cm="1">
        <f t="array" ref="Y166">_xlfn.XLOOKUP(Matrix[[#This Row],[TEAM]]&amp;Matrix[[#Headers],[13]],FDR[FDR]&amp;FDR[[#Headers],[13]],FDR[13],"",0,1)</f>
        <v>5</v>
      </c>
      <c r="Z166" cm="1">
        <f t="array" ref="Z166">_xlfn.XLOOKUP(Matrix[[#This Row],[TEAM]]&amp;Matrix[[#Headers],[14]],FDR[FDR]&amp;FDR[[#Headers],[14]],FDR[14],"",0,1)</f>
        <v>4</v>
      </c>
      <c r="AA166" cm="1">
        <f t="array" ref="AA166">_xlfn.XLOOKUP(Matrix[[#This Row],[TEAM]]&amp;Matrix[[#Headers],[15]],FDR[FDR]&amp;FDR[[#Headers],[15]],FDR[15],"",0,1)</f>
        <v>2</v>
      </c>
      <c r="AB166" cm="1">
        <f t="array" ref="AB166">_xlfn.XLOOKUP(Matrix[[#This Row],[TEAM]]&amp;Matrix[[#Headers],[16]],FDR[FDR]&amp;FDR[[#Headers],[16]],FDR[16],"",0,1)</f>
        <v>2</v>
      </c>
      <c r="AC166" cm="1">
        <f t="array" ref="AC166">_xlfn.XLOOKUP(Matrix[[#This Row],[TEAM]]&amp;Matrix[[#Headers],[17]],FDR[FDR]&amp;FDR[[#Headers],[17]],FDR[17],"",0,1)</f>
        <v>3</v>
      </c>
      <c r="AD166" cm="1">
        <f t="array" ref="AD166">_xlfn.XLOOKUP(Matrix[[#This Row],[TEAM]]&amp;Matrix[[#Headers],[18]],FDR[FDR]&amp;FDR[[#Headers],[18]],FDR[18],"",0,1)</f>
        <v>3</v>
      </c>
      <c r="AE166" cm="1">
        <f t="array" ref="AE166">_xlfn.XLOOKUP(Matrix[[#This Row],[TEAM]]&amp;Matrix[[#Headers],[19]],FDR[FDR]&amp;FDR[[#Headers],[19]],FDR[19],"",0,1)</f>
        <v>3</v>
      </c>
      <c r="AF166" cm="1">
        <f t="array" ref="AF166">_xlfn.XLOOKUP(Matrix[[#This Row],[TEAM]]&amp;Matrix[[#Headers],[20]],FDR[FDR]&amp;FDR[[#Headers],[20]],FDR[20],"",0,1)</f>
        <v>4</v>
      </c>
      <c r="AG166" cm="1">
        <f t="array" ref="AG166">_xlfn.XLOOKUP(Matrix[[#This Row],[TEAM]]&amp;Matrix[[#Headers],[21]],FDR[FDR]&amp;FDR[[#Headers],[21]],FDR[21],"",0,1)</f>
        <v>4</v>
      </c>
      <c r="AH166" cm="1">
        <f t="array" ref="AH166">_xlfn.XLOOKUP(Matrix[[#This Row],[TEAM]]&amp;Matrix[[#Headers],[22]],FDR[FDR]&amp;FDR[[#Headers],[22]],FDR[22],"",0,1)</f>
        <v>2</v>
      </c>
      <c r="AI166" cm="1">
        <f t="array" ref="AI166">_xlfn.XLOOKUP(Matrix[[#This Row],[TEAM]]&amp;Matrix[[#Headers],[23]],FDR[FDR]&amp;FDR[[#Headers],[23]],FDR[23],"",0,1)</f>
        <v>3</v>
      </c>
      <c r="AJ166" cm="1">
        <f t="array" ref="AJ166">_xlfn.XLOOKUP(Matrix[[#This Row],[TEAM]]&amp;Matrix[[#Headers],[24]],FDR[FDR]&amp;FDR[[#Headers],[24]],FDR[24],"",0,1)</f>
        <v>5</v>
      </c>
      <c r="AK166" cm="1">
        <f t="array" ref="AK166">_xlfn.XLOOKUP(Matrix[[#This Row],[TEAM]]&amp;Matrix[[#Headers],[25]],FDR[FDR]&amp;FDR[[#Headers],[25]],FDR[25],"",0,1)</f>
        <v>2</v>
      </c>
      <c r="AL166" cm="1">
        <f t="array" ref="AL166">_xlfn.XLOOKUP(Matrix[[#This Row],[TEAM]]&amp;Matrix[[#Headers],[26]],FDR[FDR]&amp;FDR[[#Headers],[26]],FDR[26],"",0,1)</f>
        <v>5</v>
      </c>
      <c r="AM166" cm="1">
        <f t="array" ref="AM166">_xlfn.XLOOKUP(Matrix[[#This Row],[TEAM]]&amp;Matrix[[#Headers],[27]],FDR[FDR]&amp;FDR[[#Headers],[27]],FDR[27],"",0,1)</f>
        <v>2</v>
      </c>
      <c r="AN166" cm="1">
        <f t="array" ref="AN166">_xlfn.XLOOKUP(Matrix[[#This Row],[TEAM]]&amp;Matrix[[#Headers],[28]],FDR[FDR]&amp;FDR[[#Headers],[28]],FDR[28],"",0,1)</f>
        <v>4</v>
      </c>
      <c r="AO166" cm="1">
        <f t="array" ref="AO166">_xlfn.XLOOKUP(Matrix[[#This Row],[TEAM]]&amp;Matrix[[#Headers],[29]],FDR[FDR]&amp;FDR[[#Headers],[29]],FDR[29],"",0,1)</f>
        <v>2</v>
      </c>
      <c r="AP166" cm="1">
        <f t="array" ref="AP166">_xlfn.XLOOKUP(Matrix[[#This Row],[TEAM]]&amp;Matrix[[#Headers],[30]],FDR[FDR]&amp;FDR[[#Headers],[30]],FDR[30],"",0,1)</f>
        <v>4</v>
      </c>
      <c r="AQ166" cm="1">
        <f t="array" ref="AQ166">_xlfn.XLOOKUP(Matrix[[#This Row],[TEAM]]&amp;Matrix[[#Headers],[31]],FDR[FDR]&amp;FDR[[#Headers],[31]],FDR[31],"",0,1)</f>
        <v>1</v>
      </c>
      <c r="AR166" cm="1">
        <f t="array" ref="AR166">_xlfn.XLOOKUP(Matrix[[#This Row],[TEAM]]&amp;Matrix[[#Headers],[32]],FDR[FDR]&amp;FDR[[#Headers],[32]],FDR[32],"",0,1)</f>
        <v>5</v>
      </c>
      <c r="AS166" cm="1">
        <f t="array" ref="AS166">_xlfn.XLOOKUP(Matrix[[#This Row],[TEAM]]&amp;Matrix[[#Headers],[33]],FDR[FDR]&amp;FDR[[#Headers],[33]],FDR[33],"",0,1)</f>
        <v>3</v>
      </c>
      <c r="AT166" cm="1">
        <f t="array" ref="AT166">_xlfn.XLOOKUP(Matrix[[#This Row],[TEAM]]&amp;Matrix[[#Headers],[34]],FDR[FDR]&amp;FDR[[#Headers],[34]],FDR[34],"",0,1)</f>
        <v>3</v>
      </c>
      <c r="AU166" cm="1">
        <f t="array" ref="AU166">_xlfn.XLOOKUP(Matrix[[#This Row],[TEAM]]&amp;Matrix[[#Headers],[35]],FDR[FDR]&amp;FDR[[#Headers],[35]],FDR[35],"",0,1)</f>
        <v>5</v>
      </c>
      <c r="AV166" cm="1">
        <f t="array" ref="AV166">_xlfn.XLOOKUP(Matrix[[#This Row],[TEAM]]&amp;Matrix[[#Headers],[36]],FDR[FDR]&amp;FDR[[#Headers],[36]],FDR[36],"",0,1)</f>
        <v>3</v>
      </c>
      <c r="AW166" cm="1">
        <f t="array" ref="AW166">_xlfn.XLOOKUP(Matrix[[#This Row],[TEAM]]&amp;Matrix[[#Headers],[37]],FDR[FDR]&amp;FDR[[#Headers],[37]],FDR[37],"",0,1)</f>
        <v>2</v>
      </c>
      <c r="AX166" cm="1">
        <f t="array" ref="AX166">_xlfn.XLOOKUP(Matrix[[#This Row],[TEAM]]&amp;Matrix[[#Headers],[38]],FDR[FDR]&amp;FDR[[#Headers],[38]],FDR[38],"",0,1)</f>
        <v>4</v>
      </c>
    </row>
    <row r="167" spans="1:50" ht="22" thickTop="1" thickBot="1">
      <c r="A167" s="50" t="str">
        <f>INDEX!S$4</f>
        <v>MID</v>
      </c>
      <c r="B167" s="70" t="s">
        <v>1436</v>
      </c>
      <c r="C167" s="40" t="s">
        <v>633</v>
      </c>
      <c r="D167" s="62">
        <v>81</v>
      </c>
      <c r="E167" s="60">
        <v>2E-3</v>
      </c>
      <c r="F167" s="61">
        <v>108.6</v>
      </c>
      <c r="G167" s="63">
        <v>5.4</v>
      </c>
      <c r="H167" s="261">
        <f>IF(ISBLANK(I167),0,1)</f>
        <v>0</v>
      </c>
      <c r="I167" s="57"/>
      <c r="J167" s="58"/>
      <c r="K167" s="59" t="s">
        <v>401</v>
      </c>
      <c r="L167" s="59" t="s">
        <v>415</v>
      </c>
      <c r="M167" cm="1">
        <f t="array" ref="M167">_xlfn.XLOOKUP(Matrix[[#This Row],[TEAM]]&amp;Matrix[[#Headers],[1]],FDR[FDR]&amp;FDR[[#Headers],[1]],FDR[1],"",0,1)</f>
        <v>4</v>
      </c>
      <c r="N167" cm="1">
        <f t="array" ref="N167">_xlfn.XLOOKUP(Matrix[[#This Row],[TEAM]]&amp;Matrix[[#Headers],[2]],FDR[FDR]&amp;FDR[[#Headers],[2]],FDR[2],"",0,1)</f>
        <v>5</v>
      </c>
      <c r="O167" cm="1">
        <f t="array" ref="O167">_xlfn.XLOOKUP(Matrix[[#This Row],[TEAM]]&amp;Matrix[[#Headers],[3]],FDR[FDR]&amp;FDR[[#Headers],[3]],FDR[3],"",0,1)</f>
        <v>5</v>
      </c>
      <c r="P167" cm="1">
        <f t="array" ref="P167">_xlfn.XLOOKUP(Matrix[[#This Row],[TEAM]]&amp;Matrix[[#Headers],[4]],FDR[FDR]&amp;FDR[[#Headers],[4]],FDR[4],"",0,1)</f>
        <v>5</v>
      </c>
      <c r="Q167" cm="1">
        <f t="array" ref="Q167">_xlfn.XLOOKUP(Matrix[[#This Row],[TEAM]]&amp;Matrix[[#Headers],[5]],FDR[FDR]&amp;FDR[[#Headers],[5]],FDR[5],"",0,1)</f>
        <v>4</v>
      </c>
      <c r="R167" cm="1">
        <f t="array" ref="R167">_xlfn.XLOOKUP(Matrix[[#This Row],[TEAM]]&amp;Matrix[[#Headers],[6]],FDR[FDR]&amp;FDR[[#Headers],[6]],FDR[6],"",0,1)</f>
        <v>5</v>
      </c>
      <c r="S167" cm="1">
        <f t="array" ref="S167">_xlfn.XLOOKUP(Matrix[[#This Row],[TEAM]]&amp;Matrix[[#Headers],[7]],FDR[FDR]&amp;FDR[[#Headers],[7]],FDR[7],"",0,1)</f>
        <v>5</v>
      </c>
      <c r="T167" cm="1">
        <f t="array" ref="T167">_xlfn.XLOOKUP(Matrix[[#This Row],[TEAM]]&amp;Matrix[[#Headers],[8]],FDR[FDR]&amp;FDR[[#Headers],[8]],FDR[8],"",0,1)</f>
        <v>4</v>
      </c>
      <c r="U167" cm="1">
        <f t="array" ref="U167">_xlfn.XLOOKUP(Matrix[[#This Row],[TEAM]]&amp;Matrix[[#Headers],[9]],FDR[FDR]&amp;FDR[[#Headers],[9]],FDR[9],"",0,1)</f>
        <v>4</v>
      </c>
      <c r="V167" cm="1">
        <f t="array" ref="V167">_xlfn.XLOOKUP(Matrix[[#This Row],[TEAM]]&amp;Matrix[[#Headers],[10]],FDR[FDR]&amp;FDR[[#Headers],[10]],FDR[10],"",0,1)</f>
        <v>5</v>
      </c>
      <c r="W167" cm="1">
        <f t="array" ref="W167">_xlfn.XLOOKUP(Matrix[[#This Row],[TEAM]]&amp;Matrix[[#Headers],[11]],FDR[FDR]&amp;FDR[[#Headers],[11]],FDR[11],"",0,1)</f>
        <v>5</v>
      </c>
      <c r="X167" cm="1">
        <f t="array" ref="X167">_xlfn.XLOOKUP(Matrix[[#This Row],[TEAM]]&amp;Matrix[[#Headers],[12]],FDR[FDR]&amp;FDR[[#Headers],[12]],FDR[12],"",0,1)</f>
        <v>5</v>
      </c>
      <c r="Y167" cm="1">
        <f t="array" ref="Y167">_xlfn.XLOOKUP(Matrix[[#This Row],[TEAM]]&amp;Matrix[[#Headers],[13]],FDR[FDR]&amp;FDR[[#Headers],[13]],FDR[13],"",0,1)</f>
        <v>5</v>
      </c>
      <c r="Z167" cm="1">
        <f t="array" ref="Z167">_xlfn.XLOOKUP(Matrix[[#This Row],[TEAM]]&amp;Matrix[[#Headers],[14]],FDR[FDR]&amp;FDR[[#Headers],[14]],FDR[14],"",0,1)</f>
        <v>5</v>
      </c>
      <c r="AA167" cm="1">
        <f t="array" ref="AA167">_xlfn.XLOOKUP(Matrix[[#This Row],[TEAM]]&amp;Matrix[[#Headers],[15]],FDR[FDR]&amp;FDR[[#Headers],[15]],FDR[15],"",0,1)</f>
        <v>5</v>
      </c>
      <c r="AB167" cm="1">
        <f t="array" ref="AB167">_xlfn.XLOOKUP(Matrix[[#This Row],[TEAM]]&amp;Matrix[[#Headers],[16]],FDR[FDR]&amp;FDR[[#Headers],[16]],FDR[16],"",0,1)</f>
        <v>5</v>
      </c>
      <c r="AC167" cm="1">
        <f t="array" ref="AC167">_xlfn.XLOOKUP(Matrix[[#This Row],[TEAM]]&amp;Matrix[[#Headers],[17]],FDR[FDR]&amp;FDR[[#Headers],[17]],FDR[17],"",0,1)</f>
        <v>4</v>
      </c>
      <c r="AD167" cm="1">
        <f t="array" ref="AD167">_xlfn.XLOOKUP(Matrix[[#This Row],[TEAM]]&amp;Matrix[[#Headers],[18]],FDR[FDR]&amp;FDR[[#Headers],[18]],FDR[18],"",0,1)</f>
        <v>4</v>
      </c>
      <c r="AE167" cm="1">
        <f t="array" ref="AE167">_xlfn.XLOOKUP(Matrix[[#This Row],[TEAM]]&amp;Matrix[[#Headers],[19]],FDR[FDR]&amp;FDR[[#Headers],[19]],FDR[19],"",0,1)</f>
        <v>5</v>
      </c>
      <c r="AF167" cm="1">
        <f t="array" ref="AF167">_xlfn.XLOOKUP(Matrix[[#This Row],[TEAM]]&amp;Matrix[[#Headers],[20]],FDR[FDR]&amp;FDR[[#Headers],[20]],FDR[20],"",0,1)</f>
        <v>5</v>
      </c>
      <c r="AG167" cm="1">
        <f t="array" ref="AG167">_xlfn.XLOOKUP(Matrix[[#This Row],[TEAM]]&amp;Matrix[[#Headers],[21]],FDR[FDR]&amp;FDR[[#Headers],[21]],FDR[21],"",0,1)</f>
        <v>5</v>
      </c>
      <c r="AH167" cm="1">
        <f t="array" ref="AH167">_xlfn.XLOOKUP(Matrix[[#This Row],[TEAM]]&amp;Matrix[[#Headers],[22]],FDR[FDR]&amp;FDR[[#Headers],[22]],FDR[22],"",0,1)</f>
        <v>5</v>
      </c>
      <c r="AI167" cm="1">
        <f t="array" ref="AI167">_xlfn.XLOOKUP(Matrix[[#This Row],[TEAM]]&amp;Matrix[[#Headers],[23]],FDR[FDR]&amp;FDR[[#Headers],[23]],FDR[23],"",0,1)</f>
        <v>5</v>
      </c>
      <c r="AJ167" cm="1">
        <f t="array" ref="AJ167">_xlfn.XLOOKUP(Matrix[[#This Row],[TEAM]]&amp;Matrix[[#Headers],[24]],FDR[FDR]&amp;FDR[[#Headers],[24]],FDR[24],"",0,1)</f>
        <v>5</v>
      </c>
      <c r="AK167" cm="1">
        <f t="array" ref="AK167">_xlfn.XLOOKUP(Matrix[[#This Row],[TEAM]]&amp;Matrix[[#Headers],[25]],FDR[FDR]&amp;FDR[[#Headers],[25]],FDR[25],"",0,1)</f>
        <v>5</v>
      </c>
      <c r="AL167" cm="1">
        <f t="array" ref="AL167">_xlfn.XLOOKUP(Matrix[[#This Row],[TEAM]]&amp;Matrix[[#Headers],[26]],FDR[FDR]&amp;FDR[[#Headers],[26]],FDR[26],"",0,1)</f>
        <v>5</v>
      </c>
      <c r="AM167" cm="1">
        <f t="array" ref="AM167">_xlfn.XLOOKUP(Matrix[[#This Row],[TEAM]]&amp;Matrix[[#Headers],[27]],FDR[FDR]&amp;FDR[[#Headers],[27]],FDR[27],"",0,1)</f>
        <v>5</v>
      </c>
      <c r="AN167" cm="1">
        <f t="array" ref="AN167">_xlfn.XLOOKUP(Matrix[[#This Row],[TEAM]]&amp;Matrix[[#Headers],[28]],FDR[FDR]&amp;FDR[[#Headers],[28]],FDR[28],"",0,1)</f>
        <v>5</v>
      </c>
      <c r="AO167" cm="1">
        <f t="array" ref="AO167">_xlfn.XLOOKUP(Matrix[[#This Row],[TEAM]]&amp;Matrix[[#Headers],[29]],FDR[FDR]&amp;FDR[[#Headers],[29]],FDR[29],"",0,1)</f>
        <v>3</v>
      </c>
      <c r="AP167" cm="1">
        <f t="array" ref="AP167">_xlfn.XLOOKUP(Matrix[[#This Row],[TEAM]]&amp;Matrix[[#Headers],[30]],FDR[FDR]&amp;FDR[[#Headers],[30]],FDR[30],"",0,1)</f>
        <v>5</v>
      </c>
      <c r="AQ167" cm="1">
        <f t="array" ref="AQ167">_xlfn.XLOOKUP(Matrix[[#This Row],[TEAM]]&amp;Matrix[[#Headers],[31]],FDR[FDR]&amp;FDR[[#Headers],[31]],FDR[31],"",0,1)</f>
        <v>4</v>
      </c>
      <c r="AR167" cm="1">
        <f t="array" ref="AR167">_xlfn.XLOOKUP(Matrix[[#This Row],[TEAM]]&amp;Matrix[[#Headers],[32]],FDR[FDR]&amp;FDR[[#Headers],[32]],FDR[32],"",0,1)</f>
        <v>5</v>
      </c>
      <c r="AS167" cm="1">
        <f t="array" ref="AS167">_xlfn.XLOOKUP(Matrix[[#This Row],[TEAM]]&amp;Matrix[[#Headers],[33]],FDR[FDR]&amp;FDR[[#Headers],[33]],FDR[33],"",0,1)</f>
        <v>3</v>
      </c>
      <c r="AT167" cm="1">
        <f t="array" ref="AT167">_xlfn.XLOOKUP(Matrix[[#This Row],[TEAM]]&amp;Matrix[[#Headers],[34]],FDR[FDR]&amp;FDR[[#Headers],[34]],FDR[34],"",0,1)</f>
        <v>5</v>
      </c>
      <c r="AU167" cm="1">
        <f t="array" ref="AU167">_xlfn.XLOOKUP(Matrix[[#This Row],[TEAM]]&amp;Matrix[[#Headers],[35]],FDR[FDR]&amp;FDR[[#Headers],[35]],FDR[35],"",0,1)</f>
        <v>3</v>
      </c>
      <c r="AV167" cm="1">
        <f t="array" ref="AV167">_xlfn.XLOOKUP(Matrix[[#This Row],[TEAM]]&amp;Matrix[[#Headers],[36]],FDR[FDR]&amp;FDR[[#Headers],[36]],FDR[36],"",0,1)</f>
        <v>5</v>
      </c>
      <c r="AW167" cm="1">
        <f t="array" ref="AW167">_xlfn.XLOOKUP(Matrix[[#This Row],[TEAM]]&amp;Matrix[[#Headers],[37]],FDR[FDR]&amp;FDR[[#Headers],[37]],FDR[37],"",0,1)</f>
        <v>5</v>
      </c>
      <c r="AX167" cm="1">
        <f t="array" ref="AX167">_xlfn.XLOOKUP(Matrix[[#This Row],[TEAM]]&amp;Matrix[[#Headers],[38]],FDR[FDR]&amp;FDR[[#Headers],[38]],FDR[38],"",0,1)</f>
        <v>5</v>
      </c>
    </row>
    <row r="168" spans="1:50" ht="22" thickTop="1" thickBot="1">
      <c r="A168" s="50" t="str">
        <f>INDEX!S$4</f>
        <v>MID</v>
      </c>
      <c r="B168" s="70" t="s">
        <v>1425</v>
      </c>
      <c r="C168" s="40" t="s">
        <v>20</v>
      </c>
      <c r="D168" s="62">
        <v>66</v>
      </c>
      <c r="E168" s="60">
        <v>4.0000000000000001E-3</v>
      </c>
      <c r="F168" s="61">
        <v>83</v>
      </c>
      <c r="G168" s="63">
        <v>5.4</v>
      </c>
      <c r="H168" s="261">
        <f>IF(ISBLANK(I168),0,1)</f>
        <v>0</v>
      </c>
      <c r="I168" s="57"/>
      <c r="J168" s="58"/>
      <c r="K168" s="59" t="s">
        <v>409</v>
      </c>
      <c r="L168" s="59" t="s">
        <v>670</v>
      </c>
      <c r="M168" cm="1">
        <f t="array" ref="M168">_xlfn.XLOOKUP(Matrix[[#This Row],[TEAM]]&amp;Matrix[[#Headers],[1]],FDR[FDR]&amp;FDR[[#Headers],[1]],FDR[1],"",0,1)</f>
        <v>3</v>
      </c>
      <c r="N168" cm="1">
        <f t="array" ref="N168">_xlfn.XLOOKUP(Matrix[[#This Row],[TEAM]]&amp;Matrix[[#Headers],[2]],FDR[FDR]&amp;FDR[[#Headers],[2]],FDR[2],"",0,1)</f>
        <v>1</v>
      </c>
      <c r="O168" cm="1">
        <f t="array" ref="O168">_xlfn.XLOOKUP(Matrix[[#This Row],[TEAM]]&amp;Matrix[[#Headers],[3]],FDR[FDR]&amp;FDR[[#Headers],[3]],FDR[3],"",0,1)</f>
        <v>4</v>
      </c>
      <c r="P168" cm="1">
        <f t="array" ref="P168">_xlfn.XLOOKUP(Matrix[[#This Row],[TEAM]]&amp;Matrix[[#Headers],[4]],FDR[FDR]&amp;FDR[[#Headers],[4]],FDR[4],"",0,1)</f>
        <v>1</v>
      </c>
      <c r="Q168" cm="1">
        <f t="array" ref="Q168">_xlfn.XLOOKUP(Matrix[[#This Row],[TEAM]]&amp;Matrix[[#Headers],[5]],FDR[FDR]&amp;FDR[[#Headers],[5]],FDR[5],"",0,1)</f>
        <v>3</v>
      </c>
      <c r="R168" cm="1">
        <f t="array" ref="R168">_xlfn.XLOOKUP(Matrix[[#This Row],[TEAM]]&amp;Matrix[[#Headers],[6]],FDR[FDR]&amp;FDR[[#Headers],[6]],FDR[6],"",0,1)</f>
        <v>3</v>
      </c>
      <c r="S168" cm="1">
        <f t="array" ref="S168">_xlfn.XLOOKUP(Matrix[[#This Row],[TEAM]]&amp;Matrix[[#Headers],[7]],FDR[FDR]&amp;FDR[[#Headers],[7]],FDR[7],"",0,1)</f>
        <v>1</v>
      </c>
      <c r="T168" cm="1">
        <f t="array" ref="T168">_xlfn.XLOOKUP(Matrix[[#This Row],[TEAM]]&amp;Matrix[[#Headers],[8]],FDR[FDR]&amp;FDR[[#Headers],[8]],FDR[8],"",0,1)</f>
        <v>2</v>
      </c>
      <c r="U168" cm="1">
        <f t="array" ref="U168">_xlfn.XLOOKUP(Matrix[[#This Row],[TEAM]]&amp;Matrix[[#Headers],[9]],FDR[FDR]&amp;FDR[[#Headers],[9]],FDR[9],"",0,1)</f>
        <v>1</v>
      </c>
      <c r="V168" cm="1">
        <f t="array" ref="V168">_xlfn.XLOOKUP(Matrix[[#This Row],[TEAM]]&amp;Matrix[[#Headers],[10]],FDR[FDR]&amp;FDR[[#Headers],[10]],FDR[10],"",0,1)</f>
        <v>1</v>
      </c>
      <c r="W168" cm="1">
        <f t="array" ref="W168">_xlfn.XLOOKUP(Matrix[[#This Row],[TEAM]]&amp;Matrix[[#Headers],[11]],FDR[FDR]&amp;FDR[[#Headers],[11]],FDR[11],"",0,1)</f>
        <v>1</v>
      </c>
      <c r="X168" cm="1">
        <f t="array" ref="X168">_xlfn.XLOOKUP(Matrix[[#This Row],[TEAM]]&amp;Matrix[[#Headers],[12]],FDR[FDR]&amp;FDR[[#Headers],[12]],FDR[12],"",0,1)</f>
        <v>2</v>
      </c>
      <c r="Y168" cm="1">
        <f t="array" ref="Y168">_xlfn.XLOOKUP(Matrix[[#This Row],[TEAM]]&amp;Matrix[[#Headers],[13]],FDR[FDR]&amp;FDR[[#Headers],[13]],FDR[13],"",0,1)</f>
        <v>3</v>
      </c>
      <c r="Z168" cm="1">
        <f t="array" ref="Z168">_xlfn.XLOOKUP(Matrix[[#This Row],[TEAM]]&amp;Matrix[[#Headers],[14]],FDR[FDR]&amp;FDR[[#Headers],[14]],FDR[14],"",0,1)</f>
        <v>1</v>
      </c>
      <c r="AA168" cm="1">
        <f t="array" ref="AA168">_xlfn.XLOOKUP(Matrix[[#This Row],[TEAM]]&amp;Matrix[[#Headers],[15]],FDR[FDR]&amp;FDR[[#Headers],[15]],FDR[15],"",0,1)</f>
        <v>3</v>
      </c>
      <c r="AB168" cm="1">
        <f t="array" ref="AB168">_xlfn.XLOOKUP(Matrix[[#This Row],[TEAM]]&amp;Matrix[[#Headers],[16]],FDR[FDR]&amp;FDR[[#Headers],[16]],FDR[16],"",0,1)</f>
        <v>1</v>
      </c>
      <c r="AC168" cm="1">
        <f t="array" ref="AC168">_xlfn.XLOOKUP(Matrix[[#This Row],[TEAM]]&amp;Matrix[[#Headers],[17]],FDR[FDR]&amp;FDR[[#Headers],[17]],FDR[17],"",0,1)</f>
        <v>2</v>
      </c>
      <c r="AD168" cm="1">
        <f t="array" ref="AD168">_xlfn.XLOOKUP(Matrix[[#This Row],[TEAM]]&amp;Matrix[[#Headers],[18]],FDR[FDR]&amp;FDR[[#Headers],[18]],FDR[18],"",0,1)</f>
        <v>1</v>
      </c>
      <c r="AE168" cm="1">
        <f t="array" ref="AE168">_xlfn.XLOOKUP(Matrix[[#This Row],[TEAM]]&amp;Matrix[[#Headers],[19]],FDR[FDR]&amp;FDR[[#Headers],[19]],FDR[19],"",0,1)</f>
        <v>2</v>
      </c>
      <c r="AF168" cm="1">
        <f t="array" ref="AF168">_xlfn.XLOOKUP(Matrix[[#This Row],[TEAM]]&amp;Matrix[[#Headers],[20]],FDR[FDR]&amp;FDR[[#Headers],[20]],FDR[20],"",0,1)</f>
        <v>2</v>
      </c>
      <c r="AG168" cm="1">
        <f t="array" ref="AG168">_xlfn.XLOOKUP(Matrix[[#This Row],[TEAM]]&amp;Matrix[[#Headers],[21]],FDR[FDR]&amp;FDR[[#Headers],[21]],FDR[21],"",0,1)</f>
        <v>3</v>
      </c>
      <c r="AH168" cm="1">
        <f t="array" ref="AH168">_xlfn.XLOOKUP(Matrix[[#This Row],[TEAM]]&amp;Matrix[[#Headers],[22]],FDR[FDR]&amp;FDR[[#Headers],[22]],FDR[22],"",0,1)</f>
        <v>2</v>
      </c>
      <c r="AI168" cm="1">
        <f t="array" ref="AI168">_xlfn.XLOOKUP(Matrix[[#This Row],[TEAM]]&amp;Matrix[[#Headers],[23]],FDR[FDR]&amp;FDR[[#Headers],[23]],FDR[23],"",0,1)</f>
        <v>2</v>
      </c>
      <c r="AJ168" cm="1">
        <f t="array" ref="AJ168">_xlfn.XLOOKUP(Matrix[[#This Row],[TEAM]]&amp;Matrix[[#Headers],[24]],FDR[FDR]&amp;FDR[[#Headers],[24]],FDR[24],"",0,1)</f>
        <v>1</v>
      </c>
      <c r="AK168" cm="1">
        <f t="array" ref="AK168">_xlfn.XLOOKUP(Matrix[[#This Row],[TEAM]]&amp;Matrix[[#Headers],[25]],FDR[FDR]&amp;FDR[[#Headers],[25]],FDR[25],"",0,1)</f>
        <v>1</v>
      </c>
      <c r="AL168" cm="1">
        <f t="array" ref="AL168">_xlfn.XLOOKUP(Matrix[[#This Row],[TEAM]]&amp;Matrix[[#Headers],[26]],FDR[FDR]&amp;FDR[[#Headers],[26]],FDR[26],"",0,1)</f>
        <v>2</v>
      </c>
      <c r="AM168" cm="1">
        <f t="array" ref="AM168">_xlfn.XLOOKUP(Matrix[[#This Row],[TEAM]]&amp;Matrix[[#Headers],[27]],FDR[FDR]&amp;FDR[[#Headers],[27]],FDR[27],"",0,1)</f>
        <v>3</v>
      </c>
      <c r="AN168" cm="1">
        <f t="array" ref="AN168">_xlfn.XLOOKUP(Matrix[[#This Row],[TEAM]]&amp;Matrix[[#Headers],[28]],FDR[FDR]&amp;FDR[[#Headers],[28]],FDR[28],"",0,1)</f>
        <v>2</v>
      </c>
      <c r="AO168" cm="1">
        <f t="array" ref="AO168">_xlfn.XLOOKUP(Matrix[[#This Row],[TEAM]]&amp;Matrix[[#Headers],[29]],FDR[FDR]&amp;FDR[[#Headers],[29]],FDR[29],"",0,1)</f>
        <v>2</v>
      </c>
      <c r="AP168" cm="1">
        <f t="array" ref="AP168">_xlfn.XLOOKUP(Matrix[[#This Row],[TEAM]]&amp;Matrix[[#Headers],[30]],FDR[FDR]&amp;FDR[[#Headers],[30]],FDR[30],"",0,1)</f>
        <v>1</v>
      </c>
      <c r="AQ168" cm="1">
        <f t="array" ref="AQ168">_xlfn.XLOOKUP(Matrix[[#This Row],[TEAM]]&amp;Matrix[[#Headers],[31]],FDR[FDR]&amp;FDR[[#Headers],[31]],FDR[31],"",0,1)</f>
        <v>1</v>
      </c>
      <c r="AR168" cm="1">
        <f t="array" ref="AR168">_xlfn.XLOOKUP(Matrix[[#This Row],[TEAM]]&amp;Matrix[[#Headers],[32]],FDR[FDR]&amp;FDR[[#Headers],[32]],FDR[32],"",0,1)</f>
        <v>1</v>
      </c>
      <c r="AS168" cm="1">
        <f t="array" ref="AS168">_xlfn.XLOOKUP(Matrix[[#This Row],[TEAM]]&amp;Matrix[[#Headers],[33]],FDR[FDR]&amp;FDR[[#Headers],[33]],FDR[33],"",0,1)</f>
        <v>3</v>
      </c>
      <c r="AT168" cm="1">
        <f t="array" ref="AT168">_xlfn.XLOOKUP(Matrix[[#This Row],[TEAM]]&amp;Matrix[[#Headers],[34]],FDR[FDR]&amp;FDR[[#Headers],[34]],FDR[34],"",0,1)</f>
        <v>2</v>
      </c>
      <c r="AU168" cm="1">
        <f t="array" ref="AU168">_xlfn.XLOOKUP(Matrix[[#This Row],[TEAM]]&amp;Matrix[[#Headers],[35]],FDR[FDR]&amp;FDR[[#Headers],[35]],FDR[35],"",0,1)</f>
        <v>1</v>
      </c>
      <c r="AV168" cm="1">
        <f t="array" ref="AV168">_xlfn.XLOOKUP(Matrix[[#This Row],[TEAM]]&amp;Matrix[[#Headers],[36]],FDR[FDR]&amp;FDR[[#Headers],[36]],FDR[36],"",0,1)</f>
        <v>2</v>
      </c>
      <c r="AW168" cm="1">
        <f t="array" ref="AW168">_xlfn.XLOOKUP(Matrix[[#This Row],[TEAM]]&amp;Matrix[[#Headers],[37]],FDR[FDR]&amp;FDR[[#Headers],[37]],FDR[37],"",0,1)</f>
        <v>1</v>
      </c>
      <c r="AX168" cm="1">
        <f t="array" ref="AX168">_xlfn.XLOOKUP(Matrix[[#This Row],[TEAM]]&amp;Matrix[[#Headers],[38]],FDR[FDR]&amp;FDR[[#Headers],[38]],FDR[38],"",0,1)</f>
        <v>2</v>
      </c>
    </row>
    <row r="169" spans="1:50" ht="22" thickTop="1" thickBot="1">
      <c r="A169" s="50" t="str">
        <f>INDEX!S$4</f>
        <v>MID</v>
      </c>
      <c r="B169" s="70" t="s">
        <v>1398</v>
      </c>
      <c r="C169" s="40" t="s">
        <v>28</v>
      </c>
      <c r="D169" s="62">
        <v>34</v>
      </c>
      <c r="E169" s="60">
        <v>2.8000000000000001E-2</v>
      </c>
      <c r="F169" s="61">
        <v>38.5</v>
      </c>
      <c r="G169" s="63">
        <v>5.4</v>
      </c>
      <c r="H169" s="261">
        <f>IF(ISBLANK(I169),0,1)</f>
        <v>0</v>
      </c>
      <c r="I169" s="57"/>
      <c r="J169" s="58"/>
      <c r="K169" s="59" t="s">
        <v>674</v>
      </c>
      <c r="L169" s="59" t="s">
        <v>675</v>
      </c>
      <c r="M169" cm="1">
        <f t="array" ref="M169">_xlfn.XLOOKUP(Matrix[[#This Row],[TEAM]]&amp;Matrix[[#Headers],[1]],FDR[FDR]&amp;FDR[[#Headers],[1]],FDR[1],"",0,1)</f>
        <v>3</v>
      </c>
      <c r="N169" cm="1">
        <f t="array" ref="N169">_xlfn.XLOOKUP(Matrix[[#This Row],[TEAM]]&amp;Matrix[[#Headers],[2]],FDR[FDR]&amp;FDR[[#Headers],[2]],FDR[2],"",0,1)</f>
        <v>2</v>
      </c>
      <c r="O169" cm="1">
        <f t="array" ref="O169">_xlfn.XLOOKUP(Matrix[[#This Row],[TEAM]]&amp;Matrix[[#Headers],[3]],FDR[FDR]&amp;FDR[[#Headers],[3]],FDR[3],"",0,1)</f>
        <v>1</v>
      </c>
      <c r="P169" cm="1">
        <f t="array" ref="P169">_xlfn.XLOOKUP(Matrix[[#This Row],[TEAM]]&amp;Matrix[[#Headers],[4]],FDR[FDR]&amp;FDR[[#Headers],[4]],FDR[4],"",0,1)</f>
        <v>2</v>
      </c>
      <c r="Q169" cm="1">
        <f t="array" ref="Q169">_xlfn.XLOOKUP(Matrix[[#This Row],[TEAM]]&amp;Matrix[[#Headers],[5]],FDR[FDR]&amp;FDR[[#Headers],[5]],FDR[5],"",0,1)</f>
        <v>1</v>
      </c>
      <c r="R169" cm="1">
        <f t="array" ref="R169">_xlfn.XLOOKUP(Matrix[[#This Row],[TEAM]]&amp;Matrix[[#Headers],[6]],FDR[FDR]&amp;FDR[[#Headers],[6]],FDR[6],"",0,1)</f>
        <v>2</v>
      </c>
      <c r="S169" cm="1">
        <f t="array" ref="S169">_xlfn.XLOOKUP(Matrix[[#This Row],[TEAM]]&amp;Matrix[[#Headers],[7]],FDR[FDR]&amp;FDR[[#Headers],[7]],FDR[7],"",0,1)</f>
        <v>1</v>
      </c>
      <c r="T169" cm="1">
        <f t="array" ref="T169">_xlfn.XLOOKUP(Matrix[[#This Row],[TEAM]]&amp;Matrix[[#Headers],[8]],FDR[FDR]&amp;FDR[[#Headers],[8]],FDR[8],"",0,1)</f>
        <v>4</v>
      </c>
      <c r="U169" cm="1">
        <f t="array" ref="U169">_xlfn.XLOOKUP(Matrix[[#This Row],[TEAM]]&amp;Matrix[[#Headers],[9]],FDR[FDR]&amp;FDR[[#Headers],[9]],FDR[9],"",0,1)</f>
        <v>3</v>
      </c>
      <c r="V169" cm="1">
        <f t="array" ref="V169">_xlfn.XLOOKUP(Matrix[[#This Row],[TEAM]]&amp;Matrix[[#Headers],[10]],FDR[FDR]&amp;FDR[[#Headers],[10]],FDR[10],"",0,1)</f>
        <v>4</v>
      </c>
      <c r="W169" cm="1">
        <f t="array" ref="W169">_xlfn.XLOOKUP(Matrix[[#This Row],[TEAM]]&amp;Matrix[[#Headers],[11]],FDR[FDR]&amp;FDR[[#Headers],[11]],FDR[11],"",0,1)</f>
        <v>2</v>
      </c>
      <c r="X169" cm="1">
        <f t="array" ref="X169">_xlfn.XLOOKUP(Matrix[[#This Row],[TEAM]]&amp;Matrix[[#Headers],[12]],FDR[FDR]&amp;FDR[[#Headers],[12]],FDR[12],"",0,1)</f>
        <v>1</v>
      </c>
      <c r="Y169" cm="1">
        <f t="array" ref="Y169">_xlfn.XLOOKUP(Matrix[[#This Row],[TEAM]]&amp;Matrix[[#Headers],[13]],FDR[FDR]&amp;FDR[[#Headers],[13]],FDR[13],"",0,1)</f>
        <v>1</v>
      </c>
      <c r="Z169" cm="1">
        <f t="array" ref="Z169">_xlfn.XLOOKUP(Matrix[[#This Row],[TEAM]]&amp;Matrix[[#Headers],[14]],FDR[FDR]&amp;FDR[[#Headers],[14]],FDR[14],"",0,1)</f>
        <v>3</v>
      </c>
      <c r="AA169" cm="1">
        <f t="array" ref="AA169">_xlfn.XLOOKUP(Matrix[[#This Row],[TEAM]]&amp;Matrix[[#Headers],[15]],FDR[FDR]&amp;FDR[[#Headers],[15]],FDR[15],"",0,1)</f>
        <v>3</v>
      </c>
      <c r="AB169" cm="1">
        <f t="array" ref="AB169">_xlfn.XLOOKUP(Matrix[[#This Row],[TEAM]]&amp;Matrix[[#Headers],[16]],FDR[FDR]&amp;FDR[[#Headers],[16]],FDR[16],"",0,1)</f>
        <v>2</v>
      </c>
      <c r="AC169" cm="1">
        <f t="array" ref="AC169">_xlfn.XLOOKUP(Matrix[[#This Row],[TEAM]]&amp;Matrix[[#Headers],[17]],FDR[FDR]&amp;FDR[[#Headers],[17]],FDR[17],"",0,1)</f>
        <v>3</v>
      </c>
      <c r="AD169" cm="1">
        <f t="array" ref="AD169">_xlfn.XLOOKUP(Matrix[[#This Row],[TEAM]]&amp;Matrix[[#Headers],[18]],FDR[FDR]&amp;FDR[[#Headers],[18]],FDR[18],"",0,1)</f>
        <v>4</v>
      </c>
      <c r="AE169" cm="1">
        <f t="array" ref="AE169">_xlfn.XLOOKUP(Matrix[[#This Row],[TEAM]]&amp;Matrix[[#Headers],[19]],FDR[FDR]&amp;FDR[[#Headers],[19]],FDR[19],"",0,1)</f>
        <v>4</v>
      </c>
      <c r="AF169" cm="1">
        <f t="array" ref="AF169">_xlfn.XLOOKUP(Matrix[[#This Row],[TEAM]]&amp;Matrix[[#Headers],[20]],FDR[FDR]&amp;FDR[[#Headers],[20]],FDR[20],"",0,1)</f>
        <v>2</v>
      </c>
      <c r="AG169" cm="1">
        <f t="array" ref="AG169">_xlfn.XLOOKUP(Matrix[[#This Row],[TEAM]]&amp;Matrix[[#Headers],[21]],FDR[FDR]&amp;FDR[[#Headers],[21]],FDR[21],"",0,1)</f>
        <v>2</v>
      </c>
      <c r="AH169" cm="1">
        <f t="array" ref="AH169">_xlfn.XLOOKUP(Matrix[[#This Row],[TEAM]]&amp;Matrix[[#Headers],[22]],FDR[FDR]&amp;FDR[[#Headers],[22]],FDR[22],"",0,1)</f>
        <v>1</v>
      </c>
      <c r="AI169" cm="1">
        <f t="array" ref="AI169">_xlfn.XLOOKUP(Matrix[[#This Row],[TEAM]]&amp;Matrix[[#Headers],[23]],FDR[FDR]&amp;FDR[[#Headers],[23]],FDR[23],"",0,1)</f>
        <v>4</v>
      </c>
      <c r="AJ169" cm="1">
        <f t="array" ref="AJ169">_xlfn.XLOOKUP(Matrix[[#This Row],[TEAM]]&amp;Matrix[[#Headers],[24]],FDR[FDR]&amp;FDR[[#Headers],[24]],FDR[24],"",0,1)</f>
        <v>1</v>
      </c>
      <c r="AK169" cm="1">
        <f t="array" ref="AK169">_xlfn.XLOOKUP(Matrix[[#This Row],[TEAM]]&amp;Matrix[[#Headers],[25]],FDR[FDR]&amp;FDR[[#Headers],[25]],FDR[25],"",0,1)</f>
        <v>3</v>
      </c>
      <c r="AL169" cm="1">
        <f t="array" ref="AL169">_xlfn.XLOOKUP(Matrix[[#This Row],[TEAM]]&amp;Matrix[[#Headers],[26]],FDR[FDR]&amp;FDR[[#Headers],[26]],FDR[26],"",0,1)</f>
        <v>2</v>
      </c>
      <c r="AM169" cm="1">
        <f t="array" ref="AM169">_xlfn.XLOOKUP(Matrix[[#This Row],[TEAM]]&amp;Matrix[[#Headers],[27]],FDR[FDR]&amp;FDR[[#Headers],[27]],FDR[27],"",0,1)</f>
        <v>1</v>
      </c>
      <c r="AN169" cm="1">
        <f t="array" ref="AN169">_xlfn.XLOOKUP(Matrix[[#This Row],[TEAM]]&amp;Matrix[[#Headers],[28]],FDR[FDR]&amp;FDR[[#Headers],[28]],FDR[28],"",0,1)</f>
        <v>1</v>
      </c>
      <c r="AO169" cm="1">
        <f t="array" ref="AO169">_xlfn.XLOOKUP(Matrix[[#This Row],[TEAM]]&amp;Matrix[[#Headers],[29]],FDR[FDR]&amp;FDR[[#Headers],[29]],FDR[29],"",0,1)</f>
        <v>3</v>
      </c>
      <c r="AP169" cm="1">
        <f t="array" ref="AP169">_xlfn.XLOOKUP(Matrix[[#This Row],[TEAM]]&amp;Matrix[[#Headers],[30]],FDR[FDR]&amp;FDR[[#Headers],[30]],FDR[30],"",0,1)</f>
        <v>4</v>
      </c>
      <c r="AQ169" cm="1">
        <f t="array" ref="AQ169">_xlfn.XLOOKUP(Matrix[[#This Row],[TEAM]]&amp;Matrix[[#Headers],[31]],FDR[FDR]&amp;FDR[[#Headers],[31]],FDR[31],"",0,1)</f>
        <v>1</v>
      </c>
      <c r="AR169" cm="1">
        <f t="array" ref="AR169">_xlfn.XLOOKUP(Matrix[[#This Row],[TEAM]]&amp;Matrix[[#Headers],[32]],FDR[FDR]&amp;FDR[[#Headers],[32]],FDR[32],"",0,1)</f>
        <v>3</v>
      </c>
      <c r="AS169" cm="1">
        <f t="array" ref="AS169">_xlfn.XLOOKUP(Matrix[[#This Row],[TEAM]]&amp;Matrix[[#Headers],[33]],FDR[FDR]&amp;FDR[[#Headers],[33]],FDR[33],"",0,1)</f>
        <v>1</v>
      </c>
      <c r="AT169" cm="1">
        <f t="array" ref="AT169">_xlfn.XLOOKUP(Matrix[[#This Row],[TEAM]]&amp;Matrix[[#Headers],[34]],FDR[FDR]&amp;FDR[[#Headers],[34]],FDR[34],"",0,1)</f>
        <v>3</v>
      </c>
      <c r="AU169" cm="1">
        <f t="array" ref="AU169">_xlfn.XLOOKUP(Matrix[[#This Row],[TEAM]]&amp;Matrix[[#Headers],[35]],FDR[FDR]&amp;FDR[[#Headers],[35]],FDR[35],"",0,1)</f>
        <v>3</v>
      </c>
      <c r="AV169" cm="1">
        <f t="array" ref="AV169">_xlfn.XLOOKUP(Matrix[[#This Row],[TEAM]]&amp;Matrix[[#Headers],[36]],FDR[FDR]&amp;FDR[[#Headers],[36]],FDR[36],"",0,1)</f>
        <v>1</v>
      </c>
      <c r="AW169" cm="1">
        <f t="array" ref="AW169">_xlfn.XLOOKUP(Matrix[[#This Row],[TEAM]]&amp;Matrix[[#Headers],[37]],FDR[FDR]&amp;FDR[[#Headers],[37]],FDR[37],"",0,1)</f>
        <v>3</v>
      </c>
      <c r="AX169" cm="1">
        <f t="array" ref="AX169">_xlfn.XLOOKUP(Matrix[[#This Row],[TEAM]]&amp;Matrix[[#Headers],[38]],FDR[FDR]&amp;FDR[[#Headers],[38]],FDR[38],"",0,1)</f>
        <v>4</v>
      </c>
    </row>
    <row r="170" spans="1:50" ht="22" thickTop="1" thickBot="1">
      <c r="A170" s="50" t="str">
        <f>INDEX!S$4</f>
        <v>MID</v>
      </c>
      <c r="B170" s="70" t="s">
        <v>1463</v>
      </c>
      <c r="C170" s="40" t="s">
        <v>19</v>
      </c>
      <c r="D170" s="62">
        <v>34</v>
      </c>
      <c r="E170" s="60">
        <v>1E-3</v>
      </c>
      <c r="F170" s="61">
        <v>36.700000000000003</v>
      </c>
      <c r="G170" s="63">
        <v>5.4</v>
      </c>
      <c r="H170" s="261">
        <f>IF(ISBLANK(I170),0,1)</f>
        <v>0</v>
      </c>
      <c r="I170" s="57"/>
      <c r="J170" s="58"/>
      <c r="K170" s="59" t="s">
        <v>67</v>
      </c>
      <c r="L170" s="59" t="s">
        <v>804</v>
      </c>
      <c r="M170" cm="1">
        <f t="array" ref="M170">_xlfn.XLOOKUP(Matrix[[#This Row],[TEAM]]&amp;Matrix[[#Headers],[1]],FDR[FDR]&amp;FDR[[#Headers],[1]],FDR[1],"",0,1)</f>
        <v>1</v>
      </c>
      <c r="N170" cm="1">
        <f t="array" ref="N170">_xlfn.XLOOKUP(Matrix[[#This Row],[TEAM]]&amp;Matrix[[#Headers],[2]],FDR[FDR]&amp;FDR[[#Headers],[2]],FDR[2],"",0,1)</f>
        <v>4</v>
      </c>
      <c r="O170" cm="1">
        <f t="array" ref="O170">_xlfn.XLOOKUP(Matrix[[#This Row],[TEAM]]&amp;Matrix[[#Headers],[3]],FDR[FDR]&amp;FDR[[#Headers],[3]],FDR[3],"",0,1)</f>
        <v>1</v>
      </c>
      <c r="P170" cm="1">
        <f t="array" ref="P170">_xlfn.XLOOKUP(Matrix[[#This Row],[TEAM]]&amp;Matrix[[#Headers],[4]],FDR[FDR]&amp;FDR[[#Headers],[4]],FDR[4],"",0,1)</f>
        <v>2</v>
      </c>
      <c r="Q170" cm="1">
        <f t="array" ref="Q170">_xlfn.XLOOKUP(Matrix[[#This Row],[TEAM]]&amp;Matrix[[#Headers],[5]],FDR[FDR]&amp;FDR[[#Headers],[5]],FDR[5],"",0,1)</f>
        <v>2</v>
      </c>
      <c r="R170" cm="1">
        <f t="array" ref="R170">_xlfn.XLOOKUP(Matrix[[#This Row],[TEAM]]&amp;Matrix[[#Headers],[6]],FDR[FDR]&amp;FDR[[#Headers],[6]],FDR[6],"",0,1)</f>
        <v>1</v>
      </c>
      <c r="S170" cm="1">
        <f t="array" ref="S170">_xlfn.XLOOKUP(Matrix[[#This Row],[TEAM]]&amp;Matrix[[#Headers],[7]],FDR[FDR]&amp;FDR[[#Headers],[7]],FDR[7],"",0,1)</f>
        <v>1</v>
      </c>
      <c r="T170" cm="1">
        <f t="array" ref="T170">_xlfn.XLOOKUP(Matrix[[#This Row],[TEAM]]&amp;Matrix[[#Headers],[8]],FDR[FDR]&amp;FDR[[#Headers],[8]],FDR[8],"",0,1)</f>
        <v>2</v>
      </c>
      <c r="U170" cm="1">
        <f t="array" ref="U170">_xlfn.XLOOKUP(Matrix[[#This Row],[TEAM]]&amp;Matrix[[#Headers],[9]],FDR[FDR]&amp;FDR[[#Headers],[9]],FDR[9],"",0,1)</f>
        <v>2</v>
      </c>
      <c r="V170" cm="1">
        <f t="array" ref="V170">_xlfn.XLOOKUP(Matrix[[#This Row],[TEAM]]&amp;Matrix[[#Headers],[10]],FDR[FDR]&amp;FDR[[#Headers],[10]],FDR[10],"",0,1)</f>
        <v>3</v>
      </c>
      <c r="W170" cm="1">
        <f t="array" ref="W170">_xlfn.XLOOKUP(Matrix[[#This Row],[TEAM]]&amp;Matrix[[#Headers],[11]],FDR[FDR]&amp;FDR[[#Headers],[11]],FDR[11],"",0,1)</f>
        <v>3</v>
      </c>
      <c r="X170" cm="1">
        <f t="array" ref="X170">_xlfn.XLOOKUP(Matrix[[#This Row],[TEAM]]&amp;Matrix[[#Headers],[12]],FDR[FDR]&amp;FDR[[#Headers],[12]],FDR[12],"",0,1)</f>
        <v>4</v>
      </c>
      <c r="Y170" cm="1">
        <f t="array" ref="Y170">_xlfn.XLOOKUP(Matrix[[#This Row],[TEAM]]&amp;Matrix[[#Headers],[13]],FDR[FDR]&amp;FDR[[#Headers],[13]],FDR[13],"",0,1)</f>
        <v>1</v>
      </c>
      <c r="Z170" cm="1">
        <f t="array" ref="Z170">_xlfn.XLOOKUP(Matrix[[#This Row],[TEAM]]&amp;Matrix[[#Headers],[14]],FDR[FDR]&amp;FDR[[#Headers],[14]],FDR[14],"",0,1)</f>
        <v>3</v>
      </c>
      <c r="AA170" cm="1">
        <f t="array" ref="AA170">_xlfn.XLOOKUP(Matrix[[#This Row],[TEAM]]&amp;Matrix[[#Headers],[15]],FDR[FDR]&amp;FDR[[#Headers],[15]],FDR[15],"",0,1)</f>
        <v>1</v>
      </c>
      <c r="AB170" cm="1">
        <f t="array" ref="AB170">_xlfn.XLOOKUP(Matrix[[#This Row],[TEAM]]&amp;Matrix[[#Headers],[16]],FDR[FDR]&amp;FDR[[#Headers],[16]],FDR[16],"",0,1)</f>
        <v>2</v>
      </c>
      <c r="AC170" cm="1">
        <f t="array" ref="AC170">_xlfn.XLOOKUP(Matrix[[#This Row],[TEAM]]&amp;Matrix[[#Headers],[17]],FDR[FDR]&amp;FDR[[#Headers],[17]],FDR[17],"",0,1)</f>
        <v>3</v>
      </c>
      <c r="AD170" cm="1">
        <f t="array" ref="AD170">_xlfn.XLOOKUP(Matrix[[#This Row],[TEAM]]&amp;Matrix[[#Headers],[18]],FDR[FDR]&amp;FDR[[#Headers],[18]],FDR[18],"",0,1)</f>
        <v>2</v>
      </c>
      <c r="AE170" cm="1">
        <f t="array" ref="AE170">_xlfn.XLOOKUP(Matrix[[#This Row],[TEAM]]&amp;Matrix[[#Headers],[19]],FDR[FDR]&amp;FDR[[#Headers],[19]],FDR[19],"",0,1)</f>
        <v>2</v>
      </c>
      <c r="AF170" cm="1">
        <f t="array" ref="AF170">_xlfn.XLOOKUP(Matrix[[#This Row],[TEAM]]&amp;Matrix[[#Headers],[20]],FDR[FDR]&amp;FDR[[#Headers],[20]],FDR[20],"",0,1)</f>
        <v>1</v>
      </c>
      <c r="AG170" cm="1">
        <f t="array" ref="AG170">_xlfn.XLOOKUP(Matrix[[#This Row],[TEAM]]&amp;Matrix[[#Headers],[21]],FDR[FDR]&amp;FDR[[#Headers],[21]],FDR[21],"",0,1)</f>
        <v>2</v>
      </c>
      <c r="AH170" cm="1">
        <f t="array" ref="AH170">_xlfn.XLOOKUP(Matrix[[#This Row],[TEAM]]&amp;Matrix[[#Headers],[22]],FDR[FDR]&amp;FDR[[#Headers],[22]],FDR[22],"",0,1)</f>
        <v>1</v>
      </c>
      <c r="AI170" cm="1">
        <f t="array" ref="AI170">_xlfn.XLOOKUP(Matrix[[#This Row],[TEAM]]&amp;Matrix[[#Headers],[23]],FDR[FDR]&amp;FDR[[#Headers],[23]],FDR[23],"",0,1)</f>
        <v>1</v>
      </c>
      <c r="AJ170" cm="1">
        <f t="array" ref="AJ170">_xlfn.XLOOKUP(Matrix[[#This Row],[TEAM]]&amp;Matrix[[#Headers],[24]],FDR[FDR]&amp;FDR[[#Headers],[24]],FDR[24],"",0,1)</f>
        <v>3</v>
      </c>
      <c r="AK170" cm="1">
        <f t="array" ref="AK170">_xlfn.XLOOKUP(Matrix[[#This Row],[TEAM]]&amp;Matrix[[#Headers],[25]],FDR[FDR]&amp;FDR[[#Headers],[25]],FDR[25],"",0,1)</f>
        <v>4</v>
      </c>
      <c r="AL170" cm="1">
        <f t="array" ref="AL170">_xlfn.XLOOKUP(Matrix[[#This Row],[TEAM]]&amp;Matrix[[#Headers],[26]],FDR[FDR]&amp;FDR[[#Headers],[26]],FDR[26],"",0,1)</f>
        <v>2</v>
      </c>
      <c r="AM170" cm="1">
        <f t="array" ref="AM170">_xlfn.XLOOKUP(Matrix[[#This Row],[TEAM]]&amp;Matrix[[#Headers],[27]],FDR[FDR]&amp;FDR[[#Headers],[27]],FDR[27],"",0,1)</f>
        <v>3</v>
      </c>
      <c r="AN170" cm="1">
        <f t="array" ref="AN170">_xlfn.XLOOKUP(Matrix[[#This Row],[TEAM]]&amp;Matrix[[#Headers],[28]],FDR[FDR]&amp;FDR[[#Headers],[28]],FDR[28],"",0,1)</f>
        <v>2</v>
      </c>
      <c r="AO170" cm="1">
        <f t="array" ref="AO170">_xlfn.XLOOKUP(Matrix[[#This Row],[TEAM]]&amp;Matrix[[#Headers],[29]],FDR[FDR]&amp;FDR[[#Headers],[29]],FDR[29],"",0,1)</f>
        <v>1</v>
      </c>
      <c r="AP170" cm="1">
        <f t="array" ref="AP170">_xlfn.XLOOKUP(Matrix[[#This Row],[TEAM]]&amp;Matrix[[#Headers],[30]],FDR[FDR]&amp;FDR[[#Headers],[30]],FDR[30],"",0,1)</f>
        <v>4</v>
      </c>
      <c r="AQ170" cm="1">
        <f t="array" ref="AQ170">_xlfn.XLOOKUP(Matrix[[#This Row],[TEAM]]&amp;Matrix[[#Headers],[31]],FDR[FDR]&amp;FDR[[#Headers],[31]],FDR[31],"",0,1)</f>
        <v>1</v>
      </c>
      <c r="AR170" cm="1">
        <f t="array" ref="AR170">_xlfn.XLOOKUP(Matrix[[#This Row],[TEAM]]&amp;Matrix[[#Headers],[32]],FDR[FDR]&amp;FDR[[#Headers],[32]],FDR[32],"",0,1)</f>
        <v>1</v>
      </c>
      <c r="AS170" cm="1">
        <f t="array" ref="AS170">_xlfn.XLOOKUP(Matrix[[#This Row],[TEAM]]&amp;Matrix[[#Headers],[33]],FDR[FDR]&amp;FDR[[#Headers],[33]],FDR[33],"",0,1)</f>
        <v>1</v>
      </c>
      <c r="AT170" cm="1">
        <f t="array" ref="AT170">_xlfn.XLOOKUP(Matrix[[#This Row],[TEAM]]&amp;Matrix[[#Headers],[34]],FDR[FDR]&amp;FDR[[#Headers],[34]],FDR[34],"",0,1)</f>
        <v>1</v>
      </c>
      <c r="AU170" cm="1">
        <f t="array" ref="AU170">_xlfn.XLOOKUP(Matrix[[#This Row],[TEAM]]&amp;Matrix[[#Headers],[35]],FDR[FDR]&amp;FDR[[#Headers],[35]],FDR[35],"",0,1)</f>
        <v>3</v>
      </c>
      <c r="AV170" cm="1">
        <f t="array" ref="AV170">_xlfn.XLOOKUP(Matrix[[#This Row],[TEAM]]&amp;Matrix[[#Headers],[36]],FDR[FDR]&amp;FDR[[#Headers],[36]],FDR[36],"",0,1)</f>
        <v>1</v>
      </c>
      <c r="AW170" cm="1">
        <f t="array" ref="AW170">_xlfn.XLOOKUP(Matrix[[#This Row],[TEAM]]&amp;Matrix[[#Headers],[37]],FDR[FDR]&amp;FDR[[#Headers],[37]],FDR[37],"",0,1)</f>
        <v>4</v>
      </c>
      <c r="AX170" cm="1">
        <f t="array" ref="AX170">_xlfn.XLOOKUP(Matrix[[#This Row],[TEAM]]&amp;Matrix[[#Headers],[38]],FDR[FDR]&amp;FDR[[#Headers],[38]],FDR[38],"",0,1)</f>
        <v>1</v>
      </c>
    </row>
    <row r="171" spans="1:50" ht="22" thickTop="1" thickBot="1">
      <c r="A171" s="50" t="str">
        <f>INDEX!S$4</f>
        <v>MID</v>
      </c>
      <c r="B171" s="70" t="s">
        <v>1437</v>
      </c>
      <c r="C171" s="40" t="s">
        <v>17</v>
      </c>
      <c r="D171" s="62">
        <v>33</v>
      </c>
      <c r="E171" s="60">
        <v>2E-3</v>
      </c>
      <c r="F171" s="61">
        <v>40.4</v>
      </c>
      <c r="G171" s="63">
        <v>5.4</v>
      </c>
      <c r="H171" s="261">
        <f>IF(ISBLANK(I171),0,1)</f>
        <v>0</v>
      </c>
      <c r="I171" s="57"/>
      <c r="J171" s="58"/>
      <c r="K171" s="59" t="s">
        <v>382</v>
      </c>
      <c r="L171" s="59" t="s">
        <v>233</v>
      </c>
      <c r="M171" cm="1">
        <f t="array" ref="M171">_xlfn.XLOOKUP(Matrix[[#This Row],[TEAM]]&amp;Matrix[[#Headers],[1]],FDR[FDR]&amp;FDR[[#Headers],[1]],FDR[1],"",0,1)</f>
        <v>1</v>
      </c>
      <c r="N171" cm="1">
        <f t="array" ref="N171">_xlfn.XLOOKUP(Matrix[[#This Row],[TEAM]]&amp;Matrix[[#Headers],[2]],FDR[FDR]&amp;FDR[[#Headers],[2]],FDR[2],"",0,1)</f>
        <v>3</v>
      </c>
      <c r="O171" cm="1">
        <f t="array" ref="O171">_xlfn.XLOOKUP(Matrix[[#This Row],[TEAM]]&amp;Matrix[[#Headers],[3]],FDR[FDR]&amp;FDR[[#Headers],[3]],FDR[3],"",0,1)</f>
        <v>3</v>
      </c>
      <c r="P171" cm="1">
        <f t="array" ref="P171">_xlfn.XLOOKUP(Matrix[[#This Row],[TEAM]]&amp;Matrix[[#Headers],[4]],FDR[FDR]&amp;FDR[[#Headers],[4]],FDR[4],"",0,1)</f>
        <v>1</v>
      </c>
      <c r="Q171" cm="1">
        <f t="array" ref="Q171">_xlfn.XLOOKUP(Matrix[[#This Row],[TEAM]]&amp;Matrix[[#Headers],[5]],FDR[FDR]&amp;FDR[[#Headers],[5]],FDR[5],"",0,1)</f>
        <v>1</v>
      </c>
      <c r="R171" cm="1">
        <f t="array" ref="R171">_xlfn.XLOOKUP(Matrix[[#This Row],[TEAM]]&amp;Matrix[[#Headers],[6]],FDR[FDR]&amp;FDR[[#Headers],[6]],FDR[6],"",0,1)</f>
        <v>2</v>
      </c>
      <c r="S171" cm="1">
        <f t="array" ref="S171">_xlfn.XLOOKUP(Matrix[[#This Row],[TEAM]]&amp;Matrix[[#Headers],[7]],FDR[FDR]&amp;FDR[[#Headers],[7]],FDR[7],"",0,1)</f>
        <v>3</v>
      </c>
      <c r="T171" cm="1">
        <f t="array" ref="T171">_xlfn.XLOOKUP(Matrix[[#This Row],[TEAM]]&amp;Matrix[[#Headers],[8]],FDR[FDR]&amp;FDR[[#Headers],[8]],FDR[8],"",0,1)</f>
        <v>2</v>
      </c>
      <c r="U171" cm="1">
        <f t="array" ref="U171">_xlfn.XLOOKUP(Matrix[[#This Row],[TEAM]]&amp;Matrix[[#Headers],[9]],FDR[FDR]&amp;FDR[[#Headers],[9]],FDR[9],"",0,1)</f>
        <v>2</v>
      </c>
      <c r="V171" cm="1">
        <f t="array" ref="V171">_xlfn.XLOOKUP(Matrix[[#This Row],[TEAM]]&amp;Matrix[[#Headers],[10]],FDR[FDR]&amp;FDR[[#Headers],[10]],FDR[10],"",0,1)</f>
        <v>2</v>
      </c>
      <c r="W171" cm="1">
        <f t="array" ref="W171">_xlfn.XLOOKUP(Matrix[[#This Row],[TEAM]]&amp;Matrix[[#Headers],[11]],FDR[FDR]&amp;FDR[[#Headers],[11]],FDR[11],"",0,1)</f>
        <v>3</v>
      </c>
      <c r="X171" cm="1">
        <f t="array" ref="X171">_xlfn.XLOOKUP(Matrix[[#This Row],[TEAM]]&amp;Matrix[[#Headers],[12]],FDR[FDR]&amp;FDR[[#Headers],[12]],FDR[12],"",0,1)</f>
        <v>1</v>
      </c>
      <c r="Y171" cm="1">
        <f t="array" ref="Y171">_xlfn.XLOOKUP(Matrix[[#This Row],[TEAM]]&amp;Matrix[[#Headers],[13]],FDR[FDR]&amp;FDR[[#Headers],[13]],FDR[13],"",0,1)</f>
        <v>2</v>
      </c>
      <c r="Z171" cm="1">
        <f t="array" ref="Z171">_xlfn.XLOOKUP(Matrix[[#This Row],[TEAM]]&amp;Matrix[[#Headers],[14]],FDR[FDR]&amp;FDR[[#Headers],[14]],FDR[14],"",0,1)</f>
        <v>1</v>
      </c>
      <c r="AA171" cm="1">
        <f t="array" ref="AA171">_xlfn.XLOOKUP(Matrix[[#This Row],[TEAM]]&amp;Matrix[[#Headers],[15]],FDR[FDR]&amp;FDR[[#Headers],[15]],FDR[15],"",0,1)</f>
        <v>1</v>
      </c>
      <c r="AB171" cm="1">
        <f t="array" ref="AB171">_xlfn.XLOOKUP(Matrix[[#This Row],[TEAM]]&amp;Matrix[[#Headers],[16]],FDR[FDR]&amp;FDR[[#Headers],[16]],FDR[16],"",0,1)</f>
        <v>1</v>
      </c>
      <c r="AC171" cm="1">
        <f t="array" ref="AC171">_xlfn.XLOOKUP(Matrix[[#This Row],[TEAM]]&amp;Matrix[[#Headers],[17]],FDR[FDR]&amp;FDR[[#Headers],[17]],FDR[17],"",0,1)</f>
        <v>3</v>
      </c>
      <c r="AD171" cm="1">
        <f t="array" ref="AD171">_xlfn.XLOOKUP(Matrix[[#This Row],[TEAM]]&amp;Matrix[[#Headers],[18]],FDR[FDR]&amp;FDR[[#Headers],[18]],FDR[18],"",0,1)</f>
        <v>1</v>
      </c>
      <c r="AE171" cm="1">
        <f t="array" ref="AE171">_xlfn.XLOOKUP(Matrix[[#This Row],[TEAM]]&amp;Matrix[[#Headers],[19]],FDR[FDR]&amp;FDR[[#Headers],[19]],FDR[19],"",0,1)</f>
        <v>1</v>
      </c>
      <c r="AF171" cm="1">
        <f t="array" ref="AF171">_xlfn.XLOOKUP(Matrix[[#This Row],[TEAM]]&amp;Matrix[[#Headers],[20]],FDR[FDR]&amp;FDR[[#Headers],[20]],FDR[20],"",0,1)</f>
        <v>2</v>
      </c>
      <c r="AG171" cm="1">
        <f t="array" ref="AG171">_xlfn.XLOOKUP(Matrix[[#This Row],[TEAM]]&amp;Matrix[[#Headers],[21]],FDR[FDR]&amp;FDR[[#Headers],[21]],FDR[21],"",0,1)</f>
        <v>3</v>
      </c>
      <c r="AH171" cm="1">
        <f t="array" ref="AH171">_xlfn.XLOOKUP(Matrix[[#This Row],[TEAM]]&amp;Matrix[[#Headers],[22]],FDR[FDR]&amp;FDR[[#Headers],[22]],FDR[22],"",0,1)</f>
        <v>1</v>
      </c>
      <c r="AI171" cm="1">
        <f t="array" ref="AI171">_xlfn.XLOOKUP(Matrix[[#This Row],[TEAM]]&amp;Matrix[[#Headers],[23]],FDR[FDR]&amp;FDR[[#Headers],[23]],FDR[23],"",0,1)</f>
        <v>2</v>
      </c>
      <c r="AJ171" cm="1">
        <f t="array" ref="AJ171">_xlfn.XLOOKUP(Matrix[[#This Row],[TEAM]]&amp;Matrix[[#Headers],[24]],FDR[FDR]&amp;FDR[[#Headers],[24]],FDR[24],"",0,1)</f>
        <v>2</v>
      </c>
      <c r="AK171" cm="1">
        <f t="array" ref="AK171">_xlfn.XLOOKUP(Matrix[[#This Row],[TEAM]]&amp;Matrix[[#Headers],[25]],FDR[FDR]&amp;FDR[[#Headers],[25]],FDR[25],"",0,1)</f>
        <v>3</v>
      </c>
      <c r="AL171" cm="1">
        <f t="array" ref="AL171">_xlfn.XLOOKUP(Matrix[[#This Row],[TEAM]]&amp;Matrix[[#Headers],[26]],FDR[FDR]&amp;FDR[[#Headers],[26]],FDR[26],"",0,1)</f>
        <v>1</v>
      </c>
      <c r="AM171" cm="1">
        <f t="array" ref="AM171">_xlfn.XLOOKUP(Matrix[[#This Row],[TEAM]]&amp;Matrix[[#Headers],[27]],FDR[FDR]&amp;FDR[[#Headers],[27]],FDR[27],"",0,1)</f>
        <v>2</v>
      </c>
      <c r="AN171" cm="1">
        <f t="array" ref="AN171">_xlfn.XLOOKUP(Matrix[[#This Row],[TEAM]]&amp;Matrix[[#Headers],[28]],FDR[FDR]&amp;FDR[[#Headers],[28]],FDR[28],"",0,1)</f>
        <v>1</v>
      </c>
      <c r="AO171" cm="1">
        <f t="array" ref="AO171">_xlfn.XLOOKUP(Matrix[[#This Row],[TEAM]]&amp;Matrix[[#Headers],[29]],FDR[FDR]&amp;FDR[[#Headers],[29]],FDR[29],"",0,1)</f>
        <v>1</v>
      </c>
      <c r="AP171" cm="1">
        <f t="array" ref="AP171">_xlfn.XLOOKUP(Matrix[[#This Row],[TEAM]]&amp;Matrix[[#Headers],[30]],FDR[FDR]&amp;FDR[[#Headers],[30]],FDR[30],"",0,1)</f>
        <v>2</v>
      </c>
      <c r="AQ171" cm="1">
        <f t="array" ref="AQ171">_xlfn.XLOOKUP(Matrix[[#This Row],[TEAM]]&amp;Matrix[[#Headers],[31]],FDR[FDR]&amp;FDR[[#Headers],[31]],FDR[31],"",0,1)</f>
        <v>2</v>
      </c>
      <c r="AR171" cm="1">
        <f t="array" ref="AR171">_xlfn.XLOOKUP(Matrix[[#This Row],[TEAM]]&amp;Matrix[[#Headers],[32]],FDR[FDR]&amp;FDR[[#Headers],[32]],FDR[32],"",0,1)</f>
        <v>1</v>
      </c>
      <c r="AS171" cm="1">
        <f t="array" ref="AS171">_xlfn.XLOOKUP(Matrix[[#This Row],[TEAM]]&amp;Matrix[[#Headers],[33]],FDR[FDR]&amp;FDR[[#Headers],[33]],FDR[33],"",0,1)</f>
        <v>2</v>
      </c>
      <c r="AT171" cm="1">
        <f t="array" ref="AT171">_xlfn.XLOOKUP(Matrix[[#This Row],[TEAM]]&amp;Matrix[[#Headers],[34]],FDR[FDR]&amp;FDR[[#Headers],[34]],FDR[34],"",0,1)</f>
        <v>1</v>
      </c>
      <c r="AU171" cm="1">
        <f t="array" ref="AU171">_xlfn.XLOOKUP(Matrix[[#This Row],[TEAM]]&amp;Matrix[[#Headers],[35]],FDR[FDR]&amp;FDR[[#Headers],[35]],FDR[35],"",0,1)</f>
        <v>3</v>
      </c>
      <c r="AV171" cm="1">
        <f t="array" ref="AV171">_xlfn.XLOOKUP(Matrix[[#This Row],[TEAM]]&amp;Matrix[[#Headers],[36]],FDR[FDR]&amp;FDR[[#Headers],[36]],FDR[36],"",0,1)</f>
        <v>2</v>
      </c>
      <c r="AW171" cm="1">
        <f t="array" ref="AW171">_xlfn.XLOOKUP(Matrix[[#This Row],[TEAM]]&amp;Matrix[[#Headers],[37]],FDR[FDR]&amp;FDR[[#Headers],[37]],FDR[37],"",0,1)</f>
        <v>3</v>
      </c>
      <c r="AX171" cm="1">
        <f t="array" ref="AX171">_xlfn.XLOOKUP(Matrix[[#This Row],[TEAM]]&amp;Matrix[[#Headers],[38]],FDR[FDR]&amp;FDR[[#Headers],[38]],FDR[38],"",0,1)</f>
        <v>1</v>
      </c>
    </row>
    <row r="172" spans="1:50" ht="22" thickTop="1" thickBot="1">
      <c r="A172" s="50" t="str">
        <f>INDEX!S$4</f>
        <v>MID</v>
      </c>
      <c r="B172" s="70" t="s">
        <v>1433</v>
      </c>
      <c r="C172" s="40" t="s">
        <v>28</v>
      </c>
      <c r="D172" s="62">
        <v>11</v>
      </c>
      <c r="E172" s="60">
        <v>2E-3</v>
      </c>
      <c r="F172" s="61">
        <v>5.2</v>
      </c>
      <c r="G172" s="63">
        <v>5.4</v>
      </c>
      <c r="H172" s="261">
        <f>IF(ISBLANK(I172),0,1)</f>
        <v>0</v>
      </c>
      <c r="I172" s="57"/>
      <c r="J172" s="58"/>
      <c r="K172" s="59" t="s">
        <v>385</v>
      </c>
      <c r="L172" s="59" t="s">
        <v>199</v>
      </c>
      <c r="M172" cm="1">
        <f t="array" ref="M172">_xlfn.XLOOKUP(Matrix[[#This Row],[TEAM]]&amp;Matrix[[#Headers],[1]],FDR[FDR]&amp;FDR[[#Headers],[1]],FDR[1],"",0,1)</f>
        <v>3</v>
      </c>
      <c r="N172" cm="1">
        <f t="array" ref="N172">_xlfn.XLOOKUP(Matrix[[#This Row],[TEAM]]&amp;Matrix[[#Headers],[2]],FDR[FDR]&amp;FDR[[#Headers],[2]],FDR[2],"",0,1)</f>
        <v>2</v>
      </c>
      <c r="O172" cm="1">
        <f t="array" ref="O172">_xlfn.XLOOKUP(Matrix[[#This Row],[TEAM]]&amp;Matrix[[#Headers],[3]],FDR[FDR]&amp;FDR[[#Headers],[3]],FDR[3],"",0,1)</f>
        <v>1</v>
      </c>
      <c r="P172" cm="1">
        <f t="array" ref="P172">_xlfn.XLOOKUP(Matrix[[#This Row],[TEAM]]&amp;Matrix[[#Headers],[4]],FDR[FDR]&amp;FDR[[#Headers],[4]],FDR[4],"",0,1)</f>
        <v>2</v>
      </c>
      <c r="Q172" cm="1">
        <f t="array" ref="Q172">_xlfn.XLOOKUP(Matrix[[#This Row],[TEAM]]&amp;Matrix[[#Headers],[5]],FDR[FDR]&amp;FDR[[#Headers],[5]],FDR[5],"",0,1)</f>
        <v>1</v>
      </c>
      <c r="R172" cm="1">
        <f t="array" ref="R172">_xlfn.XLOOKUP(Matrix[[#This Row],[TEAM]]&amp;Matrix[[#Headers],[6]],FDR[FDR]&amp;FDR[[#Headers],[6]],FDR[6],"",0,1)</f>
        <v>2</v>
      </c>
      <c r="S172" cm="1">
        <f t="array" ref="S172">_xlfn.XLOOKUP(Matrix[[#This Row],[TEAM]]&amp;Matrix[[#Headers],[7]],FDR[FDR]&amp;FDR[[#Headers],[7]],FDR[7],"",0,1)</f>
        <v>1</v>
      </c>
      <c r="T172" cm="1">
        <f t="array" ref="T172">_xlfn.XLOOKUP(Matrix[[#This Row],[TEAM]]&amp;Matrix[[#Headers],[8]],FDR[FDR]&amp;FDR[[#Headers],[8]],FDR[8],"",0,1)</f>
        <v>4</v>
      </c>
      <c r="U172" cm="1">
        <f t="array" ref="U172">_xlfn.XLOOKUP(Matrix[[#This Row],[TEAM]]&amp;Matrix[[#Headers],[9]],FDR[FDR]&amp;FDR[[#Headers],[9]],FDR[9],"",0,1)</f>
        <v>3</v>
      </c>
      <c r="V172" cm="1">
        <f t="array" ref="V172">_xlfn.XLOOKUP(Matrix[[#This Row],[TEAM]]&amp;Matrix[[#Headers],[10]],FDR[FDR]&amp;FDR[[#Headers],[10]],FDR[10],"",0,1)</f>
        <v>4</v>
      </c>
      <c r="W172" cm="1">
        <f t="array" ref="W172">_xlfn.XLOOKUP(Matrix[[#This Row],[TEAM]]&amp;Matrix[[#Headers],[11]],FDR[FDR]&amp;FDR[[#Headers],[11]],FDR[11],"",0,1)</f>
        <v>2</v>
      </c>
      <c r="X172" cm="1">
        <f t="array" ref="X172">_xlfn.XLOOKUP(Matrix[[#This Row],[TEAM]]&amp;Matrix[[#Headers],[12]],FDR[FDR]&amp;FDR[[#Headers],[12]],FDR[12],"",0,1)</f>
        <v>1</v>
      </c>
      <c r="Y172" cm="1">
        <f t="array" ref="Y172">_xlfn.XLOOKUP(Matrix[[#This Row],[TEAM]]&amp;Matrix[[#Headers],[13]],FDR[FDR]&amp;FDR[[#Headers],[13]],FDR[13],"",0,1)</f>
        <v>1</v>
      </c>
      <c r="Z172" cm="1">
        <f t="array" ref="Z172">_xlfn.XLOOKUP(Matrix[[#This Row],[TEAM]]&amp;Matrix[[#Headers],[14]],FDR[FDR]&amp;FDR[[#Headers],[14]],FDR[14],"",0,1)</f>
        <v>3</v>
      </c>
      <c r="AA172" cm="1">
        <f t="array" ref="AA172">_xlfn.XLOOKUP(Matrix[[#This Row],[TEAM]]&amp;Matrix[[#Headers],[15]],FDR[FDR]&amp;FDR[[#Headers],[15]],FDR[15],"",0,1)</f>
        <v>3</v>
      </c>
      <c r="AB172" cm="1">
        <f t="array" ref="AB172">_xlfn.XLOOKUP(Matrix[[#This Row],[TEAM]]&amp;Matrix[[#Headers],[16]],FDR[FDR]&amp;FDR[[#Headers],[16]],FDR[16],"",0,1)</f>
        <v>2</v>
      </c>
      <c r="AC172" cm="1">
        <f t="array" ref="AC172">_xlfn.XLOOKUP(Matrix[[#This Row],[TEAM]]&amp;Matrix[[#Headers],[17]],FDR[FDR]&amp;FDR[[#Headers],[17]],FDR[17],"",0,1)</f>
        <v>3</v>
      </c>
      <c r="AD172" cm="1">
        <f t="array" ref="AD172">_xlfn.XLOOKUP(Matrix[[#This Row],[TEAM]]&amp;Matrix[[#Headers],[18]],FDR[FDR]&amp;FDR[[#Headers],[18]],FDR[18],"",0,1)</f>
        <v>4</v>
      </c>
      <c r="AE172" cm="1">
        <f t="array" ref="AE172">_xlfn.XLOOKUP(Matrix[[#This Row],[TEAM]]&amp;Matrix[[#Headers],[19]],FDR[FDR]&amp;FDR[[#Headers],[19]],FDR[19],"",0,1)</f>
        <v>4</v>
      </c>
      <c r="AF172" cm="1">
        <f t="array" ref="AF172">_xlfn.XLOOKUP(Matrix[[#This Row],[TEAM]]&amp;Matrix[[#Headers],[20]],FDR[FDR]&amp;FDR[[#Headers],[20]],FDR[20],"",0,1)</f>
        <v>2</v>
      </c>
      <c r="AG172" cm="1">
        <f t="array" ref="AG172">_xlfn.XLOOKUP(Matrix[[#This Row],[TEAM]]&amp;Matrix[[#Headers],[21]],FDR[FDR]&amp;FDR[[#Headers],[21]],FDR[21],"",0,1)</f>
        <v>2</v>
      </c>
      <c r="AH172" cm="1">
        <f t="array" ref="AH172">_xlfn.XLOOKUP(Matrix[[#This Row],[TEAM]]&amp;Matrix[[#Headers],[22]],FDR[FDR]&amp;FDR[[#Headers],[22]],FDR[22],"",0,1)</f>
        <v>1</v>
      </c>
      <c r="AI172" cm="1">
        <f t="array" ref="AI172">_xlfn.XLOOKUP(Matrix[[#This Row],[TEAM]]&amp;Matrix[[#Headers],[23]],FDR[FDR]&amp;FDR[[#Headers],[23]],FDR[23],"",0,1)</f>
        <v>4</v>
      </c>
      <c r="AJ172" cm="1">
        <f t="array" ref="AJ172">_xlfn.XLOOKUP(Matrix[[#This Row],[TEAM]]&amp;Matrix[[#Headers],[24]],FDR[FDR]&amp;FDR[[#Headers],[24]],FDR[24],"",0,1)</f>
        <v>1</v>
      </c>
      <c r="AK172" cm="1">
        <f t="array" ref="AK172">_xlfn.XLOOKUP(Matrix[[#This Row],[TEAM]]&amp;Matrix[[#Headers],[25]],FDR[FDR]&amp;FDR[[#Headers],[25]],FDR[25],"",0,1)</f>
        <v>3</v>
      </c>
      <c r="AL172" cm="1">
        <f t="array" ref="AL172">_xlfn.XLOOKUP(Matrix[[#This Row],[TEAM]]&amp;Matrix[[#Headers],[26]],FDR[FDR]&amp;FDR[[#Headers],[26]],FDR[26],"",0,1)</f>
        <v>2</v>
      </c>
      <c r="AM172" cm="1">
        <f t="array" ref="AM172">_xlfn.XLOOKUP(Matrix[[#This Row],[TEAM]]&amp;Matrix[[#Headers],[27]],FDR[FDR]&amp;FDR[[#Headers],[27]],FDR[27],"",0,1)</f>
        <v>1</v>
      </c>
      <c r="AN172" cm="1">
        <f t="array" ref="AN172">_xlfn.XLOOKUP(Matrix[[#This Row],[TEAM]]&amp;Matrix[[#Headers],[28]],FDR[FDR]&amp;FDR[[#Headers],[28]],FDR[28],"",0,1)</f>
        <v>1</v>
      </c>
      <c r="AO172" cm="1">
        <f t="array" ref="AO172">_xlfn.XLOOKUP(Matrix[[#This Row],[TEAM]]&amp;Matrix[[#Headers],[29]],FDR[FDR]&amp;FDR[[#Headers],[29]],FDR[29],"",0,1)</f>
        <v>3</v>
      </c>
      <c r="AP172" cm="1">
        <f t="array" ref="AP172">_xlfn.XLOOKUP(Matrix[[#This Row],[TEAM]]&amp;Matrix[[#Headers],[30]],FDR[FDR]&amp;FDR[[#Headers],[30]],FDR[30],"",0,1)</f>
        <v>4</v>
      </c>
      <c r="AQ172" cm="1">
        <f t="array" ref="AQ172">_xlfn.XLOOKUP(Matrix[[#This Row],[TEAM]]&amp;Matrix[[#Headers],[31]],FDR[FDR]&amp;FDR[[#Headers],[31]],FDR[31],"",0,1)</f>
        <v>1</v>
      </c>
      <c r="AR172" cm="1">
        <f t="array" ref="AR172">_xlfn.XLOOKUP(Matrix[[#This Row],[TEAM]]&amp;Matrix[[#Headers],[32]],FDR[FDR]&amp;FDR[[#Headers],[32]],FDR[32],"",0,1)</f>
        <v>3</v>
      </c>
      <c r="AS172" cm="1">
        <f t="array" ref="AS172">_xlfn.XLOOKUP(Matrix[[#This Row],[TEAM]]&amp;Matrix[[#Headers],[33]],FDR[FDR]&amp;FDR[[#Headers],[33]],FDR[33],"",0,1)</f>
        <v>1</v>
      </c>
      <c r="AT172" cm="1">
        <f t="array" ref="AT172">_xlfn.XLOOKUP(Matrix[[#This Row],[TEAM]]&amp;Matrix[[#Headers],[34]],FDR[FDR]&amp;FDR[[#Headers],[34]],FDR[34],"",0,1)</f>
        <v>3</v>
      </c>
      <c r="AU172" cm="1">
        <f t="array" ref="AU172">_xlfn.XLOOKUP(Matrix[[#This Row],[TEAM]]&amp;Matrix[[#Headers],[35]],FDR[FDR]&amp;FDR[[#Headers],[35]],FDR[35],"",0,1)</f>
        <v>3</v>
      </c>
      <c r="AV172" cm="1">
        <f t="array" ref="AV172">_xlfn.XLOOKUP(Matrix[[#This Row],[TEAM]]&amp;Matrix[[#Headers],[36]],FDR[FDR]&amp;FDR[[#Headers],[36]],FDR[36],"",0,1)</f>
        <v>1</v>
      </c>
      <c r="AW172" cm="1">
        <f t="array" ref="AW172">_xlfn.XLOOKUP(Matrix[[#This Row],[TEAM]]&amp;Matrix[[#Headers],[37]],FDR[FDR]&amp;FDR[[#Headers],[37]],FDR[37],"",0,1)</f>
        <v>3</v>
      </c>
      <c r="AX172" cm="1">
        <f t="array" ref="AX172">_xlfn.XLOOKUP(Matrix[[#This Row],[TEAM]]&amp;Matrix[[#Headers],[38]],FDR[FDR]&amp;FDR[[#Headers],[38]],FDR[38],"",0,1)</f>
        <v>4</v>
      </c>
    </row>
    <row r="173" spans="1:50" ht="22" thickTop="1" thickBot="1">
      <c r="A173" s="50" t="str">
        <f>INDEX!S$4</f>
        <v>MID</v>
      </c>
      <c r="B173" s="70" t="s">
        <v>1459</v>
      </c>
      <c r="C173" s="40" t="s">
        <v>634</v>
      </c>
      <c r="D173" s="62">
        <v>0</v>
      </c>
      <c r="E173" s="60">
        <v>1E-3</v>
      </c>
      <c r="F173" s="61">
        <v>0</v>
      </c>
      <c r="G173" s="63">
        <v>5.4</v>
      </c>
      <c r="H173" s="261">
        <f>IF(ISBLANK(I173),0,1)</f>
        <v>0</v>
      </c>
      <c r="I173" s="57"/>
      <c r="J173" s="58"/>
      <c r="K173" s="59" t="s">
        <v>799</v>
      </c>
      <c r="L173" s="59" t="s">
        <v>165</v>
      </c>
      <c r="M173" cm="1">
        <f t="array" ref="M173">_xlfn.XLOOKUP(Matrix[[#This Row],[TEAM]]&amp;Matrix[[#Headers],[1]],FDR[FDR]&amp;FDR[[#Headers],[1]],FDR[1],"",0,1)</f>
        <v>4</v>
      </c>
      <c r="N173" cm="1">
        <f t="array" ref="N173">_xlfn.XLOOKUP(Matrix[[#This Row],[TEAM]]&amp;Matrix[[#Headers],[2]],FDR[FDR]&amp;FDR[[#Headers],[2]],FDR[2],"",0,1)</f>
        <v>4</v>
      </c>
      <c r="O173" cm="1">
        <f t="array" ref="O173">_xlfn.XLOOKUP(Matrix[[#This Row],[TEAM]]&amp;Matrix[[#Headers],[3]],FDR[FDR]&amp;FDR[[#Headers],[3]],FDR[3],"",0,1)</f>
        <v>4</v>
      </c>
      <c r="P173" cm="1">
        <f t="array" ref="P173">_xlfn.XLOOKUP(Matrix[[#This Row],[TEAM]]&amp;Matrix[[#Headers],[4]],FDR[FDR]&amp;FDR[[#Headers],[4]],FDR[4],"",0,1)</f>
        <v>5</v>
      </c>
      <c r="Q173" cm="1">
        <f t="array" ref="Q173">_xlfn.XLOOKUP(Matrix[[#This Row],[TEAM]]&amp;Matrix[[#Headers],[5]],FDR[FDR]&amp;FDR[[#Headers],[5]],FDR[5],"",0,1)</f>
        <v>5</v>
      </c>
      <c r="R173" cm="1">
        <f t="array" ref="R173">_xlfn.XLOOKUP(Matrix[[#This Row],[TEAM]]&amp;Matrix[[#Headers],[6]],FDR[FDR]&amp;FDR[[#Headers],[6]],FDR[6],"",0,1)</f>
        <v>5</v>
      </c>
      <c r="S173" cm="1">
        <f t="array" ref="S173">_xlfn.XLOOKUP(Matrix[[#This Row],[TEAM]]&amp;Matrix[[#Headers],[7]],FDR[FDR]&amp;FDR[[#Headers],[7]],FDR[7],"",0,1)</f>
        <v>5</v>
      </c>
      <c r="T173" cm="1">
        <f t="array" ref="T173">_xlfn.XLOOKUP(Matrix[[#This Row],[TEAM]]&amp;Matrix[[#Headers],[8]],FDR[FDR]&amp;FDR[[#Headers],[8]],FDR[8],"",0,1)</f>
        <v>3</v>
      </c>
      <c r="U173" cm="1">
        <f t="array" ref="U173">_xlfn.XLOOKUP(Matrix[[#This Row],[TEAM]]&amp;Matrix[[#Headers],[9]],FDR[FDR]&amp;FDR[[#Headers],[9]],FDR[9],"",0,1)</f>
        <v>5</v>
      </c>
      <c r="V173" cm="1">
        <f t="array" ref="V173">_xlfn.XLOOKUP(Matrix[[#This Row],[TEAM]]&amp;Matrix[[#Headers],[10]],FDR[FDR]&amp;FDR[[#Headers],[10]],FDR[10],"",0,1)</f>
        <v>4</v>
      </c>
      <c r="W173" cm="1">
        <f t="array" ref="W173">_xlfn.XLOOKUP(Matrix[[#This Row],[TEAM]]&amp;Matrix[[#Headers],[11]],FDR[FDR]&amp;FDR[[#Headers],[11]],FDR[11],"",0,1)</f>
        <v>5</v>
      </c>
      <c r="X173" cm="1">
        <f t="array" ref="X173">_xlfn.XLOOKUP(Matrix[[#This Row],[TEAM]]&amp;Matrix[[#Headers],[12]],FDR[FDR]&amp;FDR[[#Headers],[12]],FDR[12],"",0,1)</f>
        <v>5</v>
      </c>
      <c r="Y173" cm="1">
        <f t="array" ref="Y173">_xlfn.XLOOKUP(Matrix[[#This Row],[TEAM]]&amp;Matrix[[#Headers],[13]],FDR[FDR]&amp;FDR[[#Headers],[13]],FDR[13],"",0,1)</f>
        <v>5</v>
      </c>
      <c r="Z173" cm="1">
        <f t="array" ref="Z173">_xlfn.XLOOKUP(Matrix[[#This Row],[TEAM]]&amp;Matrix[[#Headers],[14]],FDR[FDR]&amp;FDR[[#Headers],[14]],FDR[14],"",0,1)</f>
        <v>5</v>
      </c>
      <c r="AA173" cm="1">
        <f t="array" ref="AA173">_xlfn.XLOOKUP(Matrix[[#This Row],[TEAM]]&amp;Matrix[[#Headers],[15]],FDR[FDR]&amp;FDR[[#Headers],[15]],FDR[15],"",0,1)</f>
        <v>5</v>
      </c>
      <c r="AB173" cm="1">
        <f t="array" ref="AB173">_xlfn.XLOOKUP(Matrix[[#This Row],[TEAM]]&amp;Matrix[[#Headers],[16]],FDR[FDR]&amp;FDR[[#Headers],[16]],FDR[16],"",0,1)</f>
        <v>5</v>
      </c>
      <c r="AC173" cm="1">
        <f t="array" ref="AC173">_xlfn.XLOOKUP(Matrix[[#This Row],[TEAM]]&amp;Matrix[[#Headers],[17]],FDR[FDR]&amp;FDR[[#Headers],[17]],FDR[17],"",0,1)</f>
        <v>5</v>
      </c>
      <c r="AD173" cm="1">
        <f t="array" ref="AD173">_xlfn.XLOOKUP(Matrix[[#This Row],[TEAM]]&amp;Matrix[[#Headers],[18]],FDR[FDR]&amp;FDR[[#Headers],[18]],FDR[18],"",0,1)</f>
        <v>3</v>
      </c>
      <c r="AE173" cm="1">
        <f t="array" ref="AE173">_xlfn.XLOOKUP(Matrix[[#This Row],[TEAM]]&amp;Matrix[[#Headers],[19]],FDR[FDR]&amp;FDR[[#Headers],[19]],FDR[19],"",0,1)</f>
        <v>5</v>
      </c>
      <c r="AF173" cm="1">
        <f t="array" ref="AF173">_xlfn.XLOOKUP(Matrix[[#This Row],[TEAM]]&amp;Matrix[[#Headers],[20]],FDR[FDR]&amp;FDR[[#Headers],[20]],FDR[20],"",0,1)</f>
        <v>5</v>
      </c>
      <c r="AG173" cm="1">
        <f t="array" ref="AG173">_xlfn.XLOOKUP(Matrix[[#This Row],[TEAM]]&amp;Matrix[[#Headers],[21]],FDR[FDR]&amp;FDR[[#Headers],[21]],FDR[21],"",0,1)</f>
        <v>5</v>
      </c>
      <c r="AH173" cm="1">
        <f t="array" ref="AH173">_xlfn.XLOOKUP(Matrix[[#This Row],[TEAM]]&amp;Matrix[[#Headers],[22]],FDR[FDR]&amp;FDR[[#Headers],[22]],FDR[22],"",0,1)</f>
        <v>4</v>
      </c>
      <c r="AI173" cm="1">
        <f t="array" ref="AI173">_xlfn.XLOOKUP(Matrix[[#This Row],[TEAM]]&amp;Matrix[[#Headers],[23]],FDR[FDR]&amp;FDR[[#Headers],[23]],FDR[23],"",0,1)</f>
        <v>5</v>
      </c>
      <c r="AJ173" cm="1">
        <f t="array" ref="AJ173">_xlfn.XLOOKUP(Matrix[[#This Row],[TEAM]]&amp;Matrix[[#Headers],[24]],FDR[FDR]&amp;FDR[[#Headers],[24]],FDR[24],"",0,1)</f>
        <v>3</v>
      </c>
      <c r="AK173" cm="1">
        <f t="array" ref="AK173">_xlfn.XLOOKUP(Matrix[[#This Row],[TEAM]]&amp;Matrix[[#Headers],[25]],FDR[FDR]&amp;FDR[[#Headers],[25]],FDR[25],"",0,1)</f>
        <v>5</v>
      </c>
      <c r="AL173" cm="1">
        <f t="array" ref="AL173">_xlfn.XLOOKUP(Matrix[[#This Row],[TEAM]]&amp;Matrix[[#Headers],[26]],FDR[FDR]&amp;FDR[[#Headers],[26]],FDR[26],"",0,1)</f>
        <v>5</v>
      </c>
      <c r="AM173" cm="1">
        <f t="array" ref="AM173">_xlfn.XLOOKUP(Matrix[[#This Row],[TEAM]]&amp;Matrix[[#Headers],[27]],FDR[FDR]&amp;FDR[[#Headers],[27]],FDR[27],"",0,1)</f>
        <v>5</v>
      </c>
      <c r="AN173" cm="1">
        <f t="array" ref="AN173">_xlfn.XLOOKUP(Matrix[[#This Row],[TEAM]]&amp;Matrix[[#Headers],[28]],FDR[FDR]&amp;FDR[[#Headers],[28]],FDR[28],"",0,1)</f>
        <v>5</v>
      </c>
      <c r="AO173" cm="1">
        <f t="array" ref="AO173">_xlfn.XLOOKUP(Matrix[[#This Row],[TEAM]]&amp;Matrix[[#Headers],[29]],FDR[FDR]&amp;FDR[[#Headers],[29]],FDR[29],"",0,1)</f>
        <v>4</v>
      </c>
      <c r="AP173" cm="1">
        <f t="array" ref="AP173">_xlfn.XLOOKUP(Matrix[[#This Row],[TEAM]]&amp;Matrix[[#Headers],[30]],FDR[FDR]&amp;FDR[[#Headers],[30]],FDR[30],"",0,1)</f>
        <v>5</v>
      </c>
      <c r="AQ173" cm="1">
        <f t="array" ref="AQ173">_xlfn.XLOOKUP(Matrix[[#This Row],[TEAM]]&amp;Matrix[[#Headers],[31]],FDR[FDR]&amp;FDR[[#Headers],[31]],FDR[31],"",0,1)</f>
        <v>5</v>
      </c>
      <c r="AR173" cm="1">
        <f t="array" ref="AR173">_xlfn.XLOOKUP(Matrix[[#This Row],[TEAM]]&amp;Matrix[[#Headers],[32]],FDR[FDR]&amp;FDR[[#Headers],[32]],FDR[32],"",0,1)</f>
        <v>5</v>
      </c>
      <c r="AS173" cm="1">
        <f t="array" ref="AS173">_xlfn.XLOOKUP(Matrix[[#This Row],[TEAM]]&amp;Matrix[[#Headers],[33]],FDR[FDR]&amp;FDR[[#Headers],[33]],FDR[33],"",0,1)</f>
        <v>5</v>
      </c>
      <c r="AT173" cm="1">
        <f t="array" ref="AT173">_xlfn.XLOOKUP(Matrix[[#This Row],[TEAM]]&amp;Matrix[[#Headers],[34]],FDR[FDR]&amp;FDR[[#Headers],[34]],FDR[34],"",0,1)</f>
        <v>5</v>
      </c>
      <c r="AU173" cm="1">
        <f t="array" ref="AU173">_xlfn.XLOOKUP(Matrix[[#This Row],[TEAM]]&amp;Matrix[[#Headers],[35]],FDR[FDR]&amp;FDR[[#Headers],[35]],FDR[35],"",0,1)</f>
        <v>4</v>
      </c>
      <c r="AV173" cm="1">
        <f t="array" ref="AV173">_xlfn.XLOOKUP(Matrix[[#This Row],[TEAM]]&amp;Matrix[[#Headers],[36]],FDR[FDR]&amp;FDR[[#Headers],[36]],FDR[36],"",0,1)</f>
        <v>5</v>
      </c>
      <c r="AW173" cm="1">
        <f t="array" ref="AW173">_xlfn.XLOOKUP(Matrix[[#This Row],[TEAM]]&amp;Matrix[[#Headers],[37]],FDR[FDR]&amp;FDR[[#Headers],[37]],FDR[37],"",0,1)</f>
        <v>5</v>
      </c>
      <c r="AX173" cm="1">
        <f t="array" ref="AX173">_xlfn.XLOOKUP(Matrix[[#This Row],[TEAM]]&amp;Matrix[[#Headers],[38]],FDR[FDR]&amp;FDR[[#Headers],[38]],FDR[38],"",0,1)</f>
        <v>5</v>
      </c>
    </row>
    <row r="174" spans="1:50" ht="22" thickTop="1" thickBot="1">
      <c r="A174" s="50" t="str">
        <f>INDEX!S$4</f>
        <v>MID</v>
      </c>
      <c r="B174" s="70" t="s">
        <v>1411</v>
      </c>
      <c r="C174" s="40" t="s">
        <v>51</v>
      </c>
      <c r="D174" s="62">
        <v>0</v>
      </c>
      <c r="E174" s="60">
        <v>0.01</v>
      </c>
      <c r="F174" s="61">
        <v>0</v>
      </c>
      <c r="G174" s="63">
        <v>5.4</v>
      </c>
      <c r="H174" s="261">
        <f>IF(ISBLANK(I174),0,1)</f>
        <v>0</v>
      </c>
      <c r="I174" s="57"/>
      <c r="J174" s="58"/>
      <c r="K174" s="59" t="s">
        <v>555</v>
      </c>
      <c r="L174" s="59" t="s">
        <v>919</v>
      </c>
      <c r="M174" cm="1">
        <f t="array" ref="M174">_xlfn.XLOOKUP(Matrix[[#This Row],[TEAM]]&amp;Matrix[[#Headers],[1]],FDR[FDR]&amp;FDR[[#Headers],[1]],FDR[1],"",0,1)</f>
        <v>5</v>
      </c>
      <c r="N174" cm="1">
        <f t="array" ref="N174">_xlfn.XLOOKUP(Matrix[[#This Row],[TEAM]]&amp;Matrix[[#Headers],[2]],FDR[FDR]&amp;FDR[[#Headers],[2]],FDR[2],"",0,1)</f>
        <v>5</v>
      </c>
      <c r="O174" cm="1">
        <f t="array" ref="O174">_xlfn.XLOOKUP(Matrix[[#This Row],[TEAM]]&amp;Matrix[[#Headers],[3]],FDR[FDR]&amp;FDR[[#Headers],[3]],FDR[3],"",0,1)</f>
        <v>4</v>
      </c>
      <c r="P174" cm="1">
        <f t="array" ref="P174">_xlfn.XLOOKUP(Matrix[[#This Row],[TEAM]]&amp;Matrix[[#Headers],[4]],FDR[FDR]&amp;FDR[[#Headers],[4]],FDR[4],"",0,1)</f>
        <v>5</v>
      </c>
      <c r="Q174" cm="1">
        <f t="array" ref="Q174">_xlfn.XLOOKUP(Matrix[[#This Row],[TEAM]]&amp;Matrix[[#Headers],[5]],FDR[FDR]&amp;FDR[[#Headers],[5]],FDR[5],"",0,1)</f>
        <v>2</v>
      </c>
      <c r="R174" cm="1">
        <f t="array" ref="R174">_xlfn.XLOOKUP(Matrix[[#This Row],[TEAM]]&amp;Matrix[[#Headers],[6]],FDR[FDR]&amp;FDR[[#Headers],[6]],FDR[6],"",0,1)</f>
        <v>5</v>
      </c>
      <c r="S174" cm="1">
        <f t="array" ref="S174">_xlfn.XLOOKUP(Matrix[[#This Row],[TEAM]]&amp;Matrix[[#Headers],[7]],FDR[FDR]&amp;FDR[[#Headers],[7]],FDR[7],"",0,1)</f>
        <v>4</v>
      </c>
      <c r="T174" cm="1">
        <f t="array" ref="T174">_xlfn.XLOOKUP(Matrix[[#This Row],[TEAM]]&amp;Matrix[[#Headers],[8]],FDR[FDR]&amp;FDR[[#Headers],[8]],FDR[8],"",0,1)</f>
        <v>3</v>
      </c>
      <c r="U174" cm="1">
        <f t="array" ref="U174">_xlfn.XLOOKUP(Matrix[[#This Row],[TEAM]]&amp;Matrix[[#Headers],[9]],FDR[FDR]&amp;FDR[[#Headers],[9]],FDR[9],"",0,1)</f>
        <v>2</v>
      </c>
      <c r="V174" cm="1">
        <f t="array" ref="V174">_xlfn.XLOOKUP(Matrix[[#This Row],[TEAM]]&amp;Matrix[[#Headers],[10]],FDR[FDR]&amp;FDR[[#Headers],[10]],FDR[10],"",0,1)</f>
        <v>5</v>
      </c>
      <c r="W174" cm="1">
        <f t="array" ref="W174">_xlfn.XLOOKUP(Matrix[[#This Row],[TEAM]]&amp;Matrix[[#Headers],[11]],FDR[FDR]&amp;FDR[[#Headers],[11]],FDR[11],"",0,1)</f>
        <v>5</v>
      </c>
      <c r="X174" cm="1">
        <f t="array" ref="X174">_xlfn.XLOOKUP(Matrix[[#This Row],[TEAM]]&amp;Matrix[[#Headers],[12]],FDR[FDR]&amp;FDR[[#Headers],[12]],FDR[12],"",0,1)</f>
        <v>4</v>
      </c>
      <c r="Y174" cm="1">
        <f t="array" ref="Y174">_xlfn.XLOOKUP(Matrix[[#This Row],[TEAM]]&amp;Matrix[[#Headers],[13]],FDR[FDR]&amp;FDR[[#Headers],[13]],FDR[13],"",0,1)</f>
        <v>5</v>
      </c>
      <c r="Z174" cm="1">
        <f t="array" ref="Z174">_xlfn.XLOOKUP(Matrix[[#This Row],[TEAM]]&amp;Matrix[[#Headers],[14]],FDR[FDR]&amp;FDR[[#Headers],[14]],FDR[14],"",0,1)</f>
        <v>4</v>
      </c>
      <c r="AA174" cm="1">
        <f t="array" ref="AA174">_xlfn.XLOOKUP(Matrix[[#This Row],[TEAM]]&amp;Matrix[[#Headers],[15]],FDR[FDR]&amp;FDR[[#Headers],[15]],FDR[15],"",0,1)</f>
        <v>5</v>
      </c>
      <c r="AB174" cm="1">
        <f t="array" ref="AB174">_xlfn.XLOOKUP(Matrix[[#This Row],[TEAM]]&amp;Matrix[[#Headers],[16]],FDR[FDR]&amp;FDR[[#Headers],[16]],FDR[16],"",0,1)</f>
        <v>5</v>
      </c>
      <c r="AC174" cm="1">
        <f t="array" ref="AC174">_xlfn.XLOOKUP(Matrix[[#This Row],[TEAM]]&amp;Matrix[[#Headers],[17]],FDR[FDR]&amp;FDR[[#Headers],[17]],FDR[17],"",0,1)</f>
        <v>4</v>
      </c>
      <c r="AD174" cm="1">
        <f t="array" ref="AD174">_xlfn.XLOOKUP(Matrix[[#This Row],[TEAM]]&amp;Matrix[[#Headers],[18]],FDR[FDR]&amp;FDR[[#Headers],[18]],FDR[18],"",0,1)</f>
        <v>5</v>
      </c>
      <c r="AE174" cm="1">
        <f t="array" ref="AE174">_xlfn.XLOOKUP(Matrix[[#This Row],[TEAM]]&amp;Matrix[[#Headers],[19]],FDR[FDR]&amp;FDR[[#Headers],[19]],FDR[19],"",0,1)</f>
        <v>5</v>
      </c>
      <c r="AF174" cm="1">
        <f t="array" ref="AF174">_xlfn.XLOOKUP(Matrix[[#This Row],[TEAM]]&amp;Matrix[[#Headers],[20]],FDR[FDR]&amp;FDR[[#Headers],[20]],FDR[20],"",0,1)</f>
        <v>4</v>
      </c>
      <c r="AG174" cm="1">
        <f t="array" ref="AG174">_xlfn.XLOOKUP(Matrix[[#This Row],[TEAM]]&amp;Matrix[[#Headers],[21]],FDR[FDR]&amp;FDR[[#Headers],[21]],FDR[21],"",0,1)</f>
        <v>5</v>
      </c>
      <c r="AH174" cm="1">
        <f t="array" ref="AH174">_xlfn.XLOOKUP(Matrix[[#This Row],[TEAM]]&amp;Matrix[[#Headers],[22]],FDR[FDR]&amp;FDR[[#Headers],[22]],FDR[22],"",0,1)</f>
        <v>5</v>
      </c>
      <c r="AI174" cm="1">
        <f t="array" ref="AI174">_xlfn.XLOOKUP(Matrix[[#This Row],[TEAM]]&amp;Matrix[[#Headers],[23]],FDR[FDR]&amp;FDR[[#Headers],[23]],FDR[23],"",0,1)</f>
        <v>5</v>
      </c>
      <c r="AJ174" cm="1">
        <f t="array" ref="AJ174">_xlfn.XLOOKUP(Matrix[[#This Row],[TEAM]]&amp;Matrix[[#Headers],[24]],FDR[FDR]&amp;FDR[[#Headers],[24]],FDR[24],"",0,1)</f>
        <v>4</v>
      </c>
      <c r="AK174" cm="1">
        <f t="array" ref="AK174">_xlfn.XLOOKUP(Matrix[[#This Row],[TEAM]]&amp;Matrix[[#Headers],[25]],FDR[FDR]&amp;FDR[[#Headers],[25]],FDR[25],"",0,1)</f>
        <v>5</v>
      </c>
      <c r="AL174" cm="1">
        <f t="array" ref="AL174">_xlfn.XLOOKUP(Matrix[[#This Row],[TEAM]]&amp;Matrix[[#Headers],[26]],FDR[FDR]&amp;FDR[[#Headers],[26]],FDR[26],"",0,1)</f>
        <v>5</v>
      </c>
      <c r="AM174" cm="1">
        <f t="array" ref="AM174">_xlfn.XLOOKUP(Matrix[[#This Row],[TEAM]]&amp;Matrix[[#Headers],[27]],FDR[FDR]&amp;FDR[[#Headers],[27]],FDR[27],"",0,1)</f>
        <v>5</v>
      </c>
      <c r="AN174" cm="1">
        <f t="array" ref="AN174">_xlfn.XLOOKUP(Matrix[[#This Row],[TEAM]]&amp;Matrix[[#Headers],[28]],FDR[FDR]&amp;FDR[[#Headers],[28]],FDR[28],"",0,1)</f>
        <v>5</v>
      </c>
      <c r="AO174" cm="1">
        <f t="array" ref="AO174">_xlfn.XLOOKUP(Matrix[[#This Row],[TEAM]]&amp;Matrix[[#Headers],[29]],FDR[FDR]&amp;FDR[[#Headers],[29]],FDR[29],"",0,1)</f>
        <v>5</v>
      </c>
      <c r="AP174" cm="1">
        <f t="array" ref="AP174">_xlfn.XLOOKUP(Matrix[[#This Row],[TEAM]]&amp;Matrix[[#Headers],[30]],FDR[FDR]&amp;FDR[[#Headers],[30]],FDR[30],"",0,1)</f>
        <v>5</v>
      </c>
      <c r="AQ174" cm="1">
        <f t="array" ref="AQ174">_xlfn.XLOOKUP(Matrix[[#This Row],[TEAM]]&amp;Matrix[[#Headers],[31]],FDR[FDR]&amp;FDR[[#Headers],[31]],FDR[31],"",0,1)</f>
        <v>5</v>
      </c>
      <c r="AR174" cm="1">
        <f t="array" ref="AR174">_xlfn.XLOOKUP(Matrix[[#This Row],[TEAM]]&amp;Matrix[[#Headers],[32]],FDR[FDR]&amp;FDR[[#Headers],[32]],FDR[32],"",0,1)</f>
        <v>5</v>
      </c>
      <c r="AS174" cm="1">
        <f t="array" ref="AS174">_xlfn.XLOOKUP(Matrix[[#This Row],[TEAM]]&amp;Matrix[[#Headers],[33]],FDR[FDR]&amp;FDR[[#Headers],[33]],FDR[33],"",0,1)</f>
        <v>3</v>
      </c>
      <c r="AT174" cm="1">
        <f t="array" ref="AT174">_xlfn.XLOOKUP(Matrix[[#This Row],[TEAM]]&amp;Matrix[[#Headers],[34]],FDR[FDR]&amp;FDR[[#Headers],[34]],FDR[34],"",0,1)</f>
        <v>5</v>
      </c>
      <c r="AU174" cm="1">
        <f t="array" ref="AU174">_xlfn.XLOOKUP(Matrix[[#This Row],[TEAM]]&amp;Matrix[[#Headers],[35]],FDR[FDR]&amp;FDR[[#Headers],[35]],FDR[35],"",0,1)</f>
        <v>2</v>
      </c>
      <c r="AV174" cm="1">
        <f t="array" ref="AV174">_xlfn.XLOOKUP(Matrix[[#This Row],[TEAM]]&amp;Matrix[[#Headers],[36]],FDR[FDR]&amp;FDR[[#Headers],[36]],FDR[36],"",0,1)</f>
        <v>5</v>
      </c>
      <c r="AW174" cm="1">
        <f t="array" ref="AW174">_xlfn.XLOOKUP(Matrix[[#This Row],[TEAM]]&amp;Matrix[[#Headers],[37]],FDR[FDR]&amp;FDR[[#Headers],[37]],FDR[37],"",0,1)</f>
        <v>4</v>
      </c>
      <c r="AX174" cm="1">
        <f t="array" ref="AX174">_xlfn.XLOOKUP(Matrix[[#This Row],[TEAM]]&amp;Matrix[[#Headers],[38]],FDR[FDR]&amp;FDR[[#Headers],[38]],FDR[38],"",0,1)</f>
        <v>3</v>
      </c>
    </row>
    <row r="175" spans="1:50" ht="22" thickTop="1" thickBot="1">
      <c r="A175" s="49" t="str">
        <f>INDEX!S$5</f>
        <v>FWD</v>
      </c>
      <c r="B175" s="70" t="s">
        <v>1413</v>
      </c>
      <c r="C175" s="40" t="s">
        <v>52</v>
      </c>
      <c r="D175" s="62">
        <v>32</v>
      </c>
      <c r="E175" s="60">
        <v>8.0000000000000002E-3</v>
      </c>
      <c r="F175" s="61">
        <v>21.9</v>
      </c>
      <c r="G175" s="63">
        <v>5.4</v>
      </c>
      <c r="H175" s="261">
        <f>IF(ISBLANK(I175),0,1)</f>
        <v>0</v>
      </c>
      <c r="I175" s="57"/>
      <c r="J175" s="58"/>
      <c r="K175" s="64" t="s">
        <v>426</v>
      </c>
      <c r="L175" s="64" t="s">
        <v>278</v>
      </c>
      <c r="M175" cm="1">
        <f t="array" ref="M175">_xlfn.XLOOKUP(Matrix[[#This Row],[TEAM]]&amp;Matrix[[#Headers],[1]],FDR[FDR]&amp;FDR[[#Headers],[1]],FDR[1],"",0,1)</f>
        <v>2</v>
      </c>
      <c r="N175" cm="1">
        <f t="array" ref="N175">_xlfn.XLOOKUP(Matrix[[#This Row],[TEAM]]&amp;Matrix[[#Headers],[2]],FDR[FDR]&amp;FDR[[#Headers],[2]],FDR[2],"",0,1)</f>
        <v>3</v>
      </c>
      <c r="O175" cm="1">
        <f t="array" ref="O175">_xlfn.XLOOKUP(Matrix[[#This Row],[TEAM]]&amp;Matrix[[#Headers],[3]],FDR[FDR]&amp;FDR[[#Headers],[3]],FDR[3],"",0,1)</f>
        <v>2</v>
      </c>
      <c r="P175" cm="1">
        <f t="array" ref="P175">_xlfn.XLOOKUP(Matrix[[#This Row],[TEAM]]&amp;Matrix[[#Headers],[4]],FDR[FDR]&amp;FDR[[#Headers],[4]],FDR[4],"",0,1)</f>
        <v>5</v>
      </c>
      <c r="Q175" cm="1">
        <f t="array" ref="Q175">_xlfn.XLOOKUP(Matrix[[#This Row],[TEAM]]&amp;Matrix[[#Headers],[5]],FDR[FDR]&amp;FDR[[#Headers],[5]],FDR[5],"",0,1)</f>
        <v>2</v>
      </c>
      <c r="R175" cm="1">
        <f t="array" ref="R175">_xlfn.XLOOKUP(Matrix[[#This Row],[TEAM]]&amp;Matrix[[#Headers],[6]],FDR[FDR]&amp;FDR[[#Headers],[6]],FDR[6],"",0,1)</f>
        <v>1</v>
      </c>
      <c r="S175" cm="1">
        <f t="array" ref="S175">_xlfn.XLOOKUP(Matrix[[#This Row],[TEAM]]&amp;Matrix[[#Headers],[7]],FDR[FDR]&amp;FDR[[#Headers],[7]],FDR[7],"",0,1)</f>
        <v>5</v>
      </c>
      <c r="T175" cm="1">
        <f t="array" ref="T175">_xlfn.XLOOKUP(Matrix[[#This Row],[TEAM]]&amp;Matrix[[#Headers],[8]],FDR[FDR]&amp;FDR[[#Headers],[8]],FDR[8],"",0,1)</f>
        <v>4</v>
      </c>
      <c r="U175" cm="1">
        <f t="array" ref="U175">_xlfn.XLOOKUP(Matrix[[#This Row],[TEAM]]&amp;Matrix[[#Headers],[9]],FDR[FDR]&amp;FDR[[#Headers],[9]],FDR[9],"",0,1)</f>
        <v>4</v>
      </c>
      <c r="V175" cm="1">
        <f t="array" ref="V175">_xlfn.XLOOKUP(Matrix[[#This Row],[TEAM]]&amp;Matrix[[#Headers],[10]],FDR[FDR]&amp;FDR[[#Headers],[10]],FDR[10],"",0,1)</f>
        <v>4</v>
      </c>
      <c r="W175" cm="1">
        <f t="array" ref="W175">_xlfn.XLOOKUP(Matrix[[#This Row],[TEAM]]&amp;Matrix[[#Headers],[11]],FDR[FDR]&amp;FDR[[#Headers],[11]],FDR[11],"",0,1)</f>
        <v>1</v>
      </c>
      <c r="X175" cm="1">
        <f t="array" ref="X175">_xlfn.XLOOKUP(Matrix[[#This Row],[TEAM]]&amp;Matrix[[#Headers],[12]],FDR[FDR]&amp;FDR[[#Headers],[12]],FDR[12],"",0,1)</f>
        <v>5</v>
      </c>
      <c r="Y175" cm="1">
        <f t="array" ref="Y175">_xlfn.XLOOKUP(Matrix[[#This Row],[TEAM]]&amp;Matrix[[#Headers],[13]],FDR[FDR]&amp;FDR[[#Headers],[13]],FDR[13],"",0,1)</f>
        <v>3</v>
      </c>
      <c r="Z175" cm="1">
        <f t="array" ref="Z175">_xlfn.XLOOKUP(Matrix[[#This Row],[TEAM]]&amp;Matrix[[#Headers],[14]],FDR[FDR]&amp;FDR[[#Headers],[14]],FDR[14],"",0,1)</f>
        <v>2</v>
      </c>
      <c r="AA175" cm="1">
        <f t="array" ref="AA175">_xlfn.XLOOKUP(Matrix[[#This Row],[TEAM]]&amp;Matrix[[#Headers],[15]],FDR[FDR]&amp;FDR[[#Headers],[15]],FDR[15],"",0,1)</f>
        <v>3</v>
      </c>
      <c r="AB175" cm="1">
        <f t="array" ref="AB175">_xlfn.XLOOKUP(Matrix[[#This Row],[TEAM]]&amp;Matrix[[#Headers],[16]],FDR[FDR]&amp;FDR[[#Headers],[16]],FDR[16],"",0,1)</f>
        <v>4</v>
      </c>
      <c r="AC175" cm="1">
        <f t="array" ref="AC175">_xlfn.XLOOKUP(Matrix[[#This Row],[TEAM]]&amp;Matrix[[#Headers],[17]],FDR[FDR]&amp;FDR[[#Headers],[17]],FDR[17],"",0,1)</f>
        <v>4</v>
      </c>
      <c r="AD175" cm="1">
        <f t="array" ref="AD175">_xlfn.XLOOKUP(Matrix[[#This Row],[TEAM]]&amp;Matrix[[#Headers],[18]],FDR[FDR]&amp;FDR[[#Headers],[18]],FDR[18],"",0,1)</f>
        <v>4</v>
      </c>
      <c r="AE175" cm="1">
        <f t="array" ref="AE175">_xlfn.XLOOKUP(Matrix[[#This Row],[TEAM]]&amp;Matrix[[#Headers],[19]],FDR[FDR]&amp;FDR[[#Headers],[19]],FDR[19],"",0,1)</f>
        <v>2</v>
      </c>
      <c r="AF175" cm="1">
        <f t="array" ref="AF175">_xlfn.XLOOKUP(Matrix[[#This Row],[TEAM]]&amp;Matrix[[#Headers],[20]],FDR[FDR]&amp;FDR[[#Headers],[20]],FDR[20],"",0,1)</f>
        <v>5</v>
      </c>
      <c r="AG175" cm="1">
        <f t="array" ref="AG175">_xlfn.XLOOKUP(Matrix[[#This Row],[TEAM]]&amp;Matrix[[#Headers],[21]],FDR[FDR]&amp;FDR[[#Headers],[21]],FDR[21],"",0,1)</f>
        <v>3</v>
      </c>
      <c r="AH175" cm="1">
        <f t="array" ref="AH175">_xlfn.XLOOKUP(Matrix[[#This Row],[TEAM]]&amp;Matrix[[#Headers],[22]],FDR[FDR]&amp;FDR[[#Headers],[22]],FDR[22],"",0,1)</f>
        <v>4</v>
      </c>
      <c r="AI175" cm="1">
        <f t="array" ref="AI175">_xlfn.XLOOKUP(Matrix[[#This Row],[TEAM]]&amp;Matrix[[#Headers],[23]],FDR[FDR]&amp;FDR[[#Headers],[23]],FDR[23],"",0,1)</f>
        <v>3</v>
      </c>
      <c r="AJ175" cm="1">
        <f t="array" ref="AJ175">_xlfn.XLOOKUP(Matrix[[#This Row],[TEAM]]&amp;Matrix[[#Headers],[24]],FDR[FDR]&amp;FDR[[#Headers],[24]],FDR[24],"",0,1)</f>
        <v>2</v>
      </c>
      <c r="AK175" cm="1">
        <f t="array" ref="AK175">_xlfn.XLOOKUP(Matrix[[#This Row],[TEAM]]&amp;Matrix[[#Headers],[25]],FDR[FDR]&amp;FDR[[#Headers],[25]],FDR[25],"",0,1)</f>
        <v>2</v>
      </c>
      <c r="AL175" cm="1">
        <f t="array" ref="AL175">_xlfn.XLOOKUP(Matrix[[#This Row],[TEAM]]&amp;Matrix[[#Headers],[26]],FDR[FDR]&amp;FDR[[#Headers],[26]],FDR[26],"",0,1)</f>
        <v>1</v>
      </c>
      <c r="AM175" cm="1">
        <f t="array" ref="AM175">_xlfn.XLOOKUP(Matrix[[#This Row],[TEAM]]&amp;Matrix[[#Headers],[27]],FDR[FDR]&amp;FDR[[#Headers],[27]],FDR[27],"",0,1)</f>
        <v>4</v>
      </c>
      <c r="AN175" cm="1">
        <f t="array" ref="AN175">_xlfn.XLOOKUP(Matrix[[#This Row],[TEAM]]&amp;Matrix[[#Headers],[28]],FDR[FDR]&amp;FDR[[#Headers],[28]],FDR[28],"",0,1)</f>
        <v>4</v>
      </c>
      <c r="AO175" cm="1">
        <f t="array" ref="AO175">_xlfn.XLOOKUP(Matrix[[#This Row],[TEAM]]&amp;Matrix[[#Headers],[29]],FDR[FDR]&amp;FDR[[#Headers],[29]],FDR[29],"",0,1)</f>
        <v>5</v>
      </c>
      <c r="AP175" cm="1">
        <f t="array" ref="AP175">_xlfn.XLOOKUP(Matrix[[#This Row],[TEAM]]&amp;Matrix[[#Headers],[30]],FDR[FDR]&amp;FDR[[#Headers],[30]],FDR[30],"",0,1)</f>
        <v>3</v>
      </c>
      <c r="AQ175" cm="1">
        <f t="array" ref="AQ175">_xlfn.XLOOKUP(Matrix[[#This Row],[TEAM]]&amp;Matrix[[#Headers],[31]],FDR[FDR]&amp;FDR[[#Headers],[31]],FDR[31],"",0,1)</f>
        <v>5</v>
      </c>
      <c r="AR175" cm="1">
        <f t="array" ref="AR175">_xlfn.XLOOKUP(Matrix[[#This Row],[TEAM]]&amp;Matrix[[#Headers],[32]],FDR[FDR]&amp;FDR[[#Headers],[32]],FDR[32],"",0,1)</f>
        <v>3</v>
      </c>
      <c r="AS175" cm="1">
        <f t="array" ref="AS175">_xlfn.XLOOKUP(Matrix[[#This Row],[TEAM]]&amp;Matrix[[#Headers],[33]],FDR[FDR]&amp;FDR[[#Headers],[33]],FDR[33],"",0,1)</f>
        <v>1</v>
      </c>
      <c r="AT175" cm="1">
        <f t="array" ref="AT175">_xlfn.XLOOKUP(Matrix[[#This Row],[TEAM]]&amp;Matrix[[#Headers],[34]],FDR[FDR]&amp;FDR[[#Headers],[34]],FDR[34],"",0,1)</f>
        <v>2</v>
      </c>
      <c r="AU175" cm="1">
        <f t="array" ref="AU175">_xlfn.XLOOKUP(Matrix[[#This Row],[TEAM]]&amp;Matrix[[#Headers],[35]],FDR[FDR]&amp;FDR[[#Headers],[35]],FDR[35],"",0,1)</f>
        <v>5</v>
      </c>
      <c r="AV175" cm="1">
        <f t="array" ref="AV175">_xlfn.XLOOKUP(Matrix[[#This Row],[TEAM]]&amp;Matrix[[#Headers],[36]],FDR[FDR]&amp;FDR[[#Headers],[36]],FDR[36],"",0,1)</f>
        <v>4</v>
      </c>
      <c r="AW175" cm="1">
        <f t="array" ref="AW175">_xlfn.XLOOKUP(Matrix[[#This Row],[TEAM]]&amp;Matrix[[#Headers],[37]],FDR[FDR]&amp;FDR[[#Headers],[37]],FDR[37],"",0,1)</f>
        <v>5</v>
      </c>
      <c r="AX175" cm="1">
        <f t="array" ref="AX175">_xlfn.XLOOKUP(Matrix[[#This Row],[TEAM]]&amp;Matrix[[#Headers],[38]],FDR[FDR]&amp;FDR[[#Headers],[38]],FDR[38],"",0,1)</f>
        <v>3</v>
      </c>
    </row>
    <row r="176" spans="1:50" ht="22" thickTop="1" thickBot="1">
      <c r="A176" s="52" t="s">
        <v>658</v>
      </c>
      <c r="B176" s="70" t="s">
        <v>1478</v>
      </c>
      <c r="C176" s="40" t="s">
        <v>52</v>
      </c>
      <c r="D176" s="62">
        <v>150</v>
      </c>
      <c r="E176" s="60">
        <v>0.19700000000000001</v>
      </c>
      <c r="F176" s="61">
        <v>96.7</v>
      </c>
      <c r="G176" s="63">
        <v>5</v>
      </c>
      <c r="H176" s="261">
        <f>IF(ISBLANK(I176),0,1)</f>
        <v>0</v>
      </c>
      <c r="I176" s="57"/>
      <c r="J176" s="58"/>
      <c r="K176" s="66" t="s">
        <v>881</v>
      </c>
      <c r="L176" s="66" t="s">
        <v>882</v>
      </c>
      <c r="M176" cm="1">
        <f t="array" ref="M176">_xlfn.XLOOKUP(Matrix[[#This Row],[TEAM]]&amp;Matrix[[#Headers],[1]],FDR[FDR]&amp;FDR[[#Headers],[1]],FDR[1],"",0,1)</f>
        <v>2</v>
      </c>
      <c r="N176" cm="1">
        <f t="array" ref="N176">_xlfn.XLOOKUP(Matrix[[#This Row],[TEAM]]&amp;Matrix[[#Headers],[2]],FDR[FDR]&amp;FDR[[#Headers],[2]],FDR[2],"",0,1)</f>
        <v>3</v>
      </c>
      <c r="O176" cm="1">
        <f t="array" ref="O176">_xlfn.XLOOKUP(Matrix[[#This Row],[TEAM]]&amp;Matrix[[#Headers],[3]],FDR[FDR]&amp;FDR[[#Headers],[3]],FDR[3],"",0,1)</f>
        <v>2</v>
      </c>
      <c r="P176" cm="1">
        <f t="array" ref="P176">_xlfn.XLOOKUP(Matrix[[#This Row],[TEAM]]&amp;Matrix[[#Headers],[4]],FDR[FDR]&amp;FDR[[#Headers],[4]],FDR[4],"",0,1)</f>
        <v>5</v>
      </c>
      <c r="Q176" cm="1">
        <f t="array" ref="Q176">_xlfn.XLOOKUP(Matrix[[#This Row],[TEAM]]&amp;Matrix[[#Headers],[5]],FDR[FDR]&amp;FDR[[#Headers],[5]],FDR[5],"",0,1)</f>
        <v>2</v>
      </c>
      <c r="R176" cm="1">
        <f t="array" ref="R176">_xlfn.XLOOKUP(Matrix[[#This Row],[TEAM]]&amp;Matrix[[#Headers],[6]],FDR[FDR]&amp;FDR[[#Headers],[6]],FDR[6],"",0,1)</f>
        <v>1</v>
      </c>
      <c r="S176" cm="1">
        <f t="array" ref="S176">_xlfn.XLOOKUP(Matrix[[#This Row],[TEAM]]&amp;Matrix[[#Headers],[7]],FDR[FDR]&amp;FDR[[#Headers],[7]],FDR[7],"",0,1)</f>
        <v>5</v>
      </c>
      <c r="T176" cm="1">
        <f t="array" ref="T176">_xlfn.XLOOKUP(Matrix[[#This Row],[TEAM]]&amp;Matrix[[#Headers],[8]],FDR[FDR]&amp;FDR[[#Headers],[8]],FDR[8],"",0,1)</f>
        <v>4</v>
      </c>
      <c r="U176" cm="1">
        <f t="array" ref="U176">_xlfn.XLOOKUP(Matrix[[#This Row],[TEAM]]&amp;Matrix[[#Headers],[9]],FDR[FDR]&amp;FDR[[#Headers],[9]],FDR[9],"",0,1)</f>
        <v>4</v>
      </c>
      <c r="V176" cm="1">
        <f t="array" ref="V176">_xlfn.XLOOKUP(Matrix[[#This Row],[TEAM]]&amp;Matrix[[#Headers],[10]],FDR[FDR]&amp;FDR[[#Headers],[10]],FDR[10],"",0,1)</f>
        <v>4</v>
      </c>
      <c r="W176" cm="1">
        <f t="array" ref="W176">_xlfn.XLOOKUP(Matrix[[#This Row],[TEAM]]&amp;Matrix[[#Headers],[11]],FDR[FDR]&amp;FDR[[#Headers],[11]],FDR[11],"",0,1)</f>
        <v>1</v>
      </c>
      <c r="X176" cm="1">
        <f t="array" ref="X176">_xlfn.XLOOKUP(Matrix[[#This Row],[TEAM]]&amp;Matrix[[#Headers],[12]],FDR[FDR]&amp;FDR[[#Headers],[12]],FDR[12],"",0,1)</f>
        <v>5</v>
      </c>
      <c r="Y176" cm="1">
        <f t="array" ref="Y176">_xlfn.XLOOKUP(Matrix[[#This Row],[TEAM]]&amp;Matrix[[#Headers],[13]],FDR[FDR]&amp;FDR[[#Headers],[13]],FDR[13],"",0,1)</f>
        <v>3</v>
      </c>
      <c r="Z176" cm="1">
        <f t="array" ref="Z176">_xlfn.XLOOKUP(Matrix[[#This Row],[TEAM]]&amp;Matrix[[#Headers],[14]],FDR[FDR]&amp;FDR[[#Headers],[14]],FDR[14],"",0,1)</f>
        <v>2</v>
      </c>
      <c r="AA176" cm="1">
        <f t="array" ref="AA176">_xlfn.XLOOKUP(Matrix[[#This Row],[TEAM]]&amp;Matrix[[#Headers],[15]],FDR[FDR]&amp;FDR[[#Headers],[15]],FDR[15],"",0,1)</f>
        <v>3</v>
      </c>
      <c r="AB176" cm="1">
        <f t="array" ref="AB176">_xlfn.XLOOKUP(Matrix[[#This Row],[TEAM]]&amp;Matrix[[#Headers],[16]],FDR[FDR]&amp;FDR[[#Headers],[16]],FDR[16],"",0,1)</f>
        <v>4</v>
      </c>
      <c r="AC176" cm="1">
        <f t="array" ref="AC176">_xlfn.XLOOKUP(Matrix[[#This Row],[TEAM]]&amp;Matrix[[#Headers],[17]],FDR[FDR]&amp;FDR[[#Headers],[17]],FDR[17],"",0,1)</f>
        <v>4</v>
      </c>
      <c r="AD176" cm="1">
        <f t="array" ref="AD176">_xlfn.XLOOKUP(Matrix[[#This Row],[TEAM]]&amp;Matrix[[#Headers],[18]],FDR[FDR]&amp;FDR[[#Headers],[18]],FDR[18],"",0,1)</f>
        <v>4</v>
      </c>
      <c r="AE176" cm="1">
        <f t="array" ref="AE176">_xlfn.XLOOKUP(Matrix[[#This Row],[TEAM]]&amp;Matrix[[#Headers],[19]],FDR[FDR]&amp;FDR[[#Headers],[19]],FDR[19],"",0,1)</f>
        <v>2</v>
      </c>
      <c r="AF176" cm="1">
        <f t="array" ref="AF176">_xlfn.XLOOKUP(Matrix[[#This Row],[TEAM]]&amp;Matrix[[#Headers],[20]],FDR[FDR]&amp;FDR[[#Headers],[20]],FDR[20],"",0,1)</f>
        <v>5</v>
      </c>
      <c r="AG176" cm="1">
        <f t="array" ref="AG176">_xlfn.XLOOKUP(Matrix[[#This Row],[TEAM]]&amp;Matrix[[#Headers],[21]],FDR[FDR]&amp;FDR[[#Headers],[21]],FDR[21],"",0,1)</f>
        <v>3</v>
      </c>
      <c r="AH176" cm="1">
        <f t="array" ref="AH176">_xlfn.XLOOKUP(Matrix[[#This Row],[TEAM]]&amp;Matrix[[#Headers],[22]],FDR[FDR]&amp;FDR[[#Headers],[22]],FDR[22],"",0,1)</f>
        <v>4</v>
      </c>
      <c r="AI176" cm="1">
        <f t="array" ref="AI176">_xlfn.XLOOKUP(Matrix[[#This Row],[TEAM]]&amp;Matrix[[#Headers],[23]],FDR[FDR]&amp;FDR[[#Headers],[23]],FDR[23],"",0,1)</f>
        <v>3</v>
      </c>
      <c r="AJ176" cm="1">
        <f t="array" ref="AJ176">_xlfn.XLOOKUP(Matrix[[#This Row],[TEAM]]&amp;Matrix[[#Headers],[24]],FDR[FDR]&amp;FDR[[#Headers],[24]],FDR[24],"",0,1)</f>
        <v>2</v>
      </c>
      <c r="AK176" cm="1">
        <f t="array" ref="AK176">_xlfn.XLOOKUP(Matrix[[#This Row],[TEAM]]&amp;Matrix[[#Headers],[25]],FDR[FDR]&amp;FDR[[#Headers],[25]],FDR[25],"",0,1)</f>
        <v>2</v>
      </c>
      <c r="AL176" cm="1">
        <f t="array" ref="AL176">_xlfn.XLOOKUP(Matrix[[#This Row],[TEAM]]&amp;Matrix[[#Headers],[26]],FDR[FDR]&amp;FDR[[#Headers],[26]],FDR[26],"",0,1)</f>
        <v>1</v>
      </c>
      <c r="AM176" cm="1">
        <f t="array" ref="AM176">_xlfn.XLOOKUP(Matrix[[#This Row],[TEAM]]&amp;Matrix[[#Headers],[27]],FDR[FDR]&amp;FDR[[#Headers],[27]],FDR[27],"",0,1)</f>
        <v>4</v>
      </c>
      <c r="AN176" cm="1">
        <f t="array" ref="AN176">_xlfn.XLOOKUP(Matrix[[#This Row],[TEAM]]&amp;Matrix[[#Headers],[28]],FDR[FDR]&amp;FDR[[#Headers],[28]],FDR[28],"",0,1)</f>
        <v>4</v>
      </c>
      <c r="AO176" cm="1">
        <f t="array" ref="AO176">_xlfn.XLOOKUP(Matrix[[#This Row],[TEAM]]&amp;Matrix[[#Headers],[29]],FDR[FDR]&amp;FDR[[#Headers],[29]],FDR[29],"",0,1)</f>
        <v>5</v>
      </c>
      <c r="AP176" cm="1">
        <f t="array" ref="AP176">_xlfn.XLOOKUP(Matrix[[#This Row],[TEAM]]&amp;Matrix[[#Headers],[30]],FDR[FDR]&amp;FDR[[#Headers],[30]],FDR[30],"",0,1)</f>
        <v>3</v>
      </c>
      <c r="AQ176" cm="1">
        <f t="array" ref="AQ176">_xlfn.XLOOKUP(Matrix[[#This Row],[TEAM]]&amp;Matrix[[#Headers],[31]],FDR[FDR]&amp;FDR[[#Headers],[31]],FDR[31],"",0,1)</f>
        <v>5</v>
      </c>
      <c r="AR176" cm="1">
        <f t="array" ref="AR176">_xlfn.XLOOKUP(Matrix[[#This Row],[TEAM]]&amp;Matrix[[#Headers],[32]],FDR[FDR]&amp;FDR[[#Headers],[32]],FDR[32],"",0,1)</f>
        <v>3</v>
      </c>
      <c r="AS176" cm="1">
        <f t="array" ref="AS176">_xlfn.XLOOKUP(Matrix[[#This Row],[TEAM]]&amp;Matrix[[#Headers],[33]],FDR[FDR]&amp;FDR[[#Headers],[33]],FDR[33],"",0,1)</f>
        <v>1</v>
      </c>
      <c r="AT176" cm="1">
        <f t="array" ref="AT176">_xlfn.XLOOKUP(Matrix[[#This Row],[TEAM]]&amp;Matrix[[#Headers],[34]],FDR[FDR]&amp;FDR[[#Headers],[34]],FDR[34],"",0,1)</f>
        <v>2</v>
      </c>
      <c r="AU176" cm="1">
        <f t="array" ref="AU176">_xlfn.XLOOKUP(Matrix[[#This Row],[TEAM]]&amp;Matrix[[#Headers],[35]],FDR[FDR]&amp;FDR[[#Headers],[35]],FDR[35],"",0,1)</f>
        <v>5</v>
      </c>
      <c r="AV176" cm="1">
        <f t="array" ref="AV176">_xlfn.XLOOKUP(Matrix[[#This Row],[TEAM]]&amp;Matrix[[#Headers],[36]],FDR[FDR]&amp;FDR[[#Headers],[36]],FDR[36],"",0,1)</f>
        <v>4</v>
      </c>
      <c r="AW176" cm="1">
        <f t="array" ref="AW176">_xlfn.XLOOKUP(Matrix[[#This Row],[TEAM]]&amp;Matrix[[#Headers],[37]],FDR[FDR]&amp;FDR[[#Headers],[37]],FDR[37],"",0,1)</f>
        <v>5</v>
      </c>
      <c r="AX176" cm="1">
        <f t="array" ref="AX176">_xlfn.XLOOKUP(Matrix[[#This Row],[TEAM]]&amp;Matrix[[#Headers],[38]],FDR[FDR]&amp;FDR[[#Headers],[38]],FDR[38],"",0,1)</f>
        <v>3</v>
      </c>
    </row>
    <row r="177" spans="1:50" ht="22" thickTop="1" thickBot="1">
      <c r="A177" s="52" t="s">
        <v>658</v>
      </c>
      <c r="B177" s="70" t="s">
        <v>1481</v>
      </c>
      <c r="C177" s="40" t="s">
        <v>26</v>
      </c>
      <c r="D177" s="68">
        <v>135</v>
      </c>
      <c r="E177" s="60">
        <v>5.6000000000000001E-2</v>
      </c>
      <c r="F177" s="67">
        <v>88.6</v>
      </c>
      <c r="G177" s="63">
        <v>5</v>
      </c>
      <c r="H177" s="261">
        <f>IF(ISBLANK(I177),0,1)</f>
        <v>0</v>
      </c>
      <c r="I177" s="57"/>
      <c r="J177" s="58"/>
      <c r="K177" s="66" t="s">
        <v>455</v>
      </c>
      <c r="L177" s="66" t="s">
        <v>83</v>
      </c>
      <c r="M177" cm="1">
        <f t="array" ref="M177">_xlfn.XLOOKUP(Matrix[[#This Row],[TEAM]]&amp;Matrix[[#Headers],[1]],FDR[FDR]&amp;FDR[[#Headers],[1]],FDR[1],"",0,1)</f>
        <v>5</v>
      </c>
      <c r="N177" cm="1">
        <f t="array" ref="N177">_xlfn.XLOOKUP(Matrix[[#This Row],[TEAM]]&amp;Matrix[[#Headers],[2]],FDR[FDR]&amp;FDR[[#Headers],[2]],FDR[2],"",0,1)</f>
        <v>3</v>
      </c>
      <c r="O177" cm="1">
        <f t="array" ref="O177">_xlfn.XLOOKUP(Matrix[[#This Row],[TEAM]]&amp;Matrix[[#Headers],[3]],FDR[FDR]&amp;FDR[[#Headers],[3]],FDR[3],"",0,1)</f>
        <v>5</v>
      </c>
      <c r="P177" cm="1">
        <f t="array" ref="P177">_xlfn.XLOOKUP(Matrix[[#This Row],[TEAM]]&amp;Matrix[[#Headers],[4]],FDR[FDR]&amp;FDR[[#Headers],[4]],FDR[4],"",0,1)</f>
        <v>1</v>
      </c>
      <c r="Q177" cm="1">
        <f t="array" ref="Q177">_xlfn.XLOOKUP(Matrix[[#This Row],[TEAM]]&amp;Matrix[[#Headers],[5]],FDR[FDR]&amp;FDR[[#Headers],[5]],FDR[5],"",0,1)</f>
        <v>4</v>
      </c>
      <c r="R177" cm="1">
        <f t="array" ref="R177">_xlfn.XLOOKUP(Matrix[[#This Row],[TEAM]]&amp;Matrix[[#Headers],[6]],FDR[FDR]&amp;FDR[[#Headers],[6]],FDR[6],"",0,1)</f>
        <v>4</v>
      </c>
      <c r="S177" cm="1">
        <f t="array" ref="S177">_xlfn.XLOOKUP(Matrix[[#This Row],[TEAM]]&amp;Matrix[[#Headers],[7]],FDR[FDR]&amp;FDR[[#Headers],[7]],FDR[7],"",0,1)</f>
        <v>4</v>
      </c>
      <c r="T177" cm="1">
        <f t="array" ref="T177">_xlfn.XLOOKUP(Matrix[[#This Row],[TEAM]]&amp;Matrix[[#Headers],[8]],FDR[FDR]&amp;FDR[[#Headers],[8]],FDR[8],"",0,1)</f>
        <v>3</v>
      </c>
      <c r="U177" cm="1">
        <f t="array" ref="U177">_xlfn.XLOOKUP(Matrix[[#This Row],[TEAM]]&amp;Matrix[[#Headers],[9]],FDR[FDR]&amp;FDR[[#Headers],[9]],FDR[9],"",0,1)</f>
        <v>5</v>
      </c>
      <c r="V177" cm="1">
        <f t="array" ref="V177">_xlfn.XLOOKUP(Matrix[[#This Row],[TEAM]]&amp;Matrix[[#Headers],[10]],FDR[FDR]&amp;FDR[[#Headers],[10]],FDR[10],"",0,1)</f>
        <v>3</v>
      </c>
      <c r="W177" cm="1">
        <f t="array" ref="W177">_xlfn.XLOOKUP(Matrix[[#This Row],[TEAM]]&amp;Matrix[[#Headers],[11]],FDR[FDR]&amp;FDR[[#Headers],[11]],FDR[11],"",0,1)</f>
        <v>3</v>
      </c>
      <c r="X177" cm="1">
        <f t="array" ref="X177">_xlfn.XLOOKUP(Matrix[[#This Row],[TEAM]]&amp;Matrix[[#Headers],[12]],FDR[FDR]&amp;FDR[[#Headers],[12]],FDR[12],"",0,1)</f>
        <v>2</v>
      </c>
      <c r="Y177" cm="1">
        <f t="array" ref="Y177">_xlfn.XLOOKUP(Matrix[[#This Row],[TEAM]]&amp;Matrix[[#Headers],[13]],FDR[FDR]&amp;FDR[[#Headers],[13]],FDR[13],"",0,1)</f>
        <v>4</v>
      </c>
      <c r="Z177" cm="1">
        <f t="array" ref="Z177">_xlfn.XLOOKUP(Matrix[[#This Row],[TEAM]]&amp;Matrix[[#Headers],[14]],FDR[FDR]&amp;FDR[[#Headers],[14]],FDR[14],"",0,1)</f>
        <v>2</v>
      </c>
      <c r="AA177" cm="1">
        <f t="array" ref="AA177">_xlfn.XLOOKUP(Matrix[[#This Row],[TEAM]]&amp;Matrix[[#Headers],[15]],FDR[FDR]&amp;FDR[[#Headers],[15]],FDR[15],"",0,1)</f>
        <v>4</v>
      </c>
      <c r="AB177" cm="1">
        <f t="array" ref="AB177">_xlfn.XLOOKUP(Matrix[[#This Row],[TEAM]]&amp;Matrix[[#Headers],[16]],FDR[FDR]&amp;FDR[[#Headers],[16]],FDR[16],"",0,1)</f>
        <v>4</v>
      </c>
      <c r="AC177" cm="1">
        <f t="array" ref="AC177">_xlfn.XLOOKUP(Matrix[[#This Row],[TEAM]]&amp;Matrix[[#Headers],[17]],FDR[FDR]&amp;FDR[[#Headers],[17]],FDR[17],"",0,1)</f>
        <v>2</v>
      </c>
      <c r="AD177" cm="1">
        <f t="array" ref="AD177">_xlfn.XLOOKUP(Matrix[[#This Row],[TEAM]]&amp;Matrix[[#Headers],[18]],FDR[FDR]&amp;FDR[[#Headers],[18]],FDR[18],"",0,1)</f>
        <v>4</v>
      </c>
      <c r="AE177" cm="1">
        <f t="array" ref="AE177">_xlfn.XLOOKUP(Matrix[[#This Row],[TEAM]]&amp;Matrix[[#Headers],[19]],FDR[FDR]&amp;FDR[[#Headers],[19]],FDR[19],"",0,1)</f>
        <v>3</v>
      </c>
      <c r="AF177" cm="1">
        <f t="array" ref="AF177">_xlfn.XLOOKUP(Matrix[[#This Row],[TEAM]]&amp;Matrix[[#Headers],[20]],FDR[FDR]&amp;FDR[[#Headers],[20]],FDR[20],"",0,1)</f>
        <v>5</v>
      </c>
      <c r="AG177" cm="1">
        <f t="array" ref="AG177">_xlfn.XLOOKUP(Matrix[[#This Row],[TEAM]]&amp;Matrix[[#Headers],[21]],FDR[FDR]&amp;FDR[[#Headers],[21]],FDR[21],"",0,1)</f>
        <v>4</v>
      </c>
      <c r="AH177" cm="1">
        <f t="array" ref="AH177">_xlfn.XLOOKUP(Matrix[[#This Row],[TEAM]]&amp;Matrix[[#Headers],[22]],FDR[FDR]&amp;FDR[[#Headers],[22]],FDR[22],"",0,1)</f>
        <v>2</v>
      </c>
      <c r="AI177" cm="1">
        <f t="array" ref="AI177">_xlfn.XLOOKUP(Matrix[[#This Row],[TEAM]]&amp;Matrix[[#Headers],[23]],FDR[FDR]&amp;FDR[[#Headers],[23]],FDR[23],"",0,1)</f>
        <v>4</v>
      </c>
      <c r="AJ177" cm="1">
        <f t="array" ref="AJ177">_xlfn.XLOOKUP(Matrix[[#This Row],[TEAM]]&amp;Matrix[[#Headers],[24]],FDR[FDR]&amp;FDR[[#Headers],[24]],FDR[24],"",0,1)</f>
        <v>4</v>
      </c>
      <c r="AK177" cm="1">
        <f t="array" ref="AK177">_xlfn.XLOOKUP(Matrix[[#This Row],[TEAM]]&amp;Matrix[[#Headers],[25]],FDR[FDR]&amp;FDR[[#Headers],[25]],FDR[25],"",0,1)</f>
        <v>4</v>
      </c>
      <c r="AL177" cm="1">
        <f t="array" ref="AL177">_xlfn.XLOOKUP(Matrix[[#This Row],[TEAM]]&amp;Matrix[[#Headers],[26]],FDR[FDR]&amp;FDR[[#Headers],[26]],FDR[26],"",0,1)</f>
        <v>1</v>
      </c>
      <c r="AM177" cm="1">
        <f t="array" ref="AM177">_xlfn.XLOOKUP(Matrix[[#This Row],[TEAM]]&amp;Matrix[[#Headers],[27]],FDR[FDR]&amp;FDR[[#Headers],[27]],FDR[27],"",0,1)</f>
        <v>2</v>
      </c>
      <c r="AN177" cm="1">
        <f t="array" ref="AN177">_xlfn.XLOOKUP(Matrix[[#This Row],[TEAM]]&amp;Matrix[[#Headers],[28]],FDR[FDR]&amp;FDR[[#Headers],[28]],FDR[28],"",0,1)</f>
        <v>5</v>
      </c>
      <c r="AO177" cm="1">
        <f t="array" ref="AO177">_xlfn.XLOOKUP(Matrix[[#This Row],[TEAM]]&amp;Matrix[[#Headers],[29]],FDR[FDR]&amp;FDR[[#Headers],[29]],FDR[29],"",0,1)</f>
        <v>5</v>
      </c>
      <c r="AP177" cm="1">
        <f t="array" ref="AP177">_xlfn.XLOOKUP(Matrix[[#This Row],[TEAM]]&amp;Matrix[[#Headers],[30]],FDR[FDR]&amp;FDR[[#Headers],[30]],FDR[30],"",0,1)</f>
        <v>1</v>
      </c>
      <c r="AQ177" cm="1">
        <f t="array" ref="AQ177">_xlfn.XLOOKUP(Matrix[[#This Row],[TEAM]]&amp;Matrix[[#Headers],[31]],FDR[FDR]&amp;FDR[[#Headers],[31]],FDR[31],"",0,1)</f>
        <v>5</v>
      </c>
      <c r="AR177" cm="1">
        <f t="array" ref="AR177">_xlfn.XLOOKUP(Matrix[[#This Row],[TEAM]]&amp;Matrix[[#Headers],[32]],FDR[FDR]&amp;FDR[[#Headers],[32]],FDR[32],"",0,1)</f>
        <v>4</v>
      </c>
      <c r="AS177" cm="1">
        <f t="array" ref="AS177">_xlfn.XLOOKUP(Matrix[[#This Row],[TEAM]]&amp;Matrix[[#Headers],[33]],FDR[FDR]&amp;FDR[[#Headers],[33]],FDR[33],"",0,1)</f>
        <v>3</v>
      </c>
      <c r="AT177" cm="1">
        <f t="array" ref="AT177">_xlfn.XLOOKUP(Matrix[[#This Row],[TEAM]]&amp;Matrix[[#Headers],[34]],FDR[FDR]&amp;FDR[[#Headers],[34]],FDR[34],"",0,1)</f>
        <v>5</v>
      </c>
      <c r="AU177" cm="1">
        <f t="array" ref="AU177">_xlfn.XLOOKUP(Matrix[[#This Row],[TEAM]]&amp;Matrix[[#Headers],[35]],FDR[FDR]&amp;FDR[[#Headers],[35]],FDR[35],"",0,1)</f>
        <v>4</v>
      </c>
      <c r="AV177" cm="1">
        <f t="array" ref="AV177">_xlfn.XLOOKUP(Matrix[[#This Row],[TEAM]]&amp;Matrix[[#Headers],[36]],FDR[FDR]&amp;FDR[[#Headers],[36]],FDR[36],"",0,1)</f>
        <v>3</v>
      </c>
      <c r="AW177" cm="1">
        <f t="array" ref="AW177">_xlfn.XLOOKUP(Matrix[[#This Row],[TEAM]]&amp;Matrix[[#Headers],[37]],FDR[FDR]&amp;FDR[[#Headers],[37]],FDR[37],"",0,1)</f>
        <v>4</v>
      </c>
      <c r="AX177" cm="1">
        <f t="array" ref="AX177">_xlfn.XLOOKUP(Matrix[[#This Row],[TEAM]]&amp;Matrix[[#Headers],[38]],FDR[FDR]&amp;FDR[[#Headers],[38]],FDR[38],"",0,1)</f>
        <v>4</v>
      </c>
    </row>
    <row r="178" spans="1:50" ht="22" thickTop="1" thickBot="1">
      <c r="A178" s="52" t="s">
        <v>658</v>
      </c>
      <c r="B178" s="70" t="s">
        <v>1479</v>
      </c>
      <c r="C178" s="40" t="s">
        <v>18</v>
      </c>
      <c r="D178" s="68">
        <v>126</v>
      </c>
      <c r="E178" s="60">
        <v>0.192</v>
      </c>
      <c r="F178" s="67">
        <v>77.5</v>
      </c>
      <c r="G178" s="63">
        <v>5</v>
      </c>
      <c r="H178" s="261">
        <f>IF(ISBLANK(I178),0,1)</f>
        <v>0</v>
      </c>
      <c r="I178" s="57"/>
      <c r="J178" s="58"/>
      <c r="K178" s="66" t="s">
        <v>454</v>
      </c>
      <c r="L178" s="66" t="s">
        <v>82</v>
      </c>
      <c r="M178" cm="1">
        <f t="array" ref="M178">_xlfn.XLOOKUP(Matrix[[#This Row],[TEAM]]&amp;Matrix[[#Headers],[1]],FDR[FDR]&amp;FDR[[#Headers],[1]],FDR[1],"",0,1)</f>
        <v>1</v>
      </c>
      <c r="N178" cm="1">
        <f t="array" ref="N178">_xlfn.XLOOKUP(Matrix[[#This Row],[TEAM]]&amp;Matrix[[#Headers],[2]],FDR[FDR]&amp;FDR[[#Headers],[2]],FDR[2],"",0,1)</f>
        <v>2</v>
      </c>
      <c r="O178" cm="1">
        <f t="array" ref="O178">_xlfn.XLOOKUP(Matrix[[#This Row],[TEAM]]&amp;Matrix[[#Headers],[3]],FDR[FDR]&amp;FDR[[#Headers],[3]],FDR[3],"",0,1)</f>
        <v>1</v>
      </c>
      <c r="P178" cm="1">
        <f t="array" ref="P178">_xlfn.XLOOKUP(Matrix[[#This Row],[TEAM]]&amp;Matrix[[#Headers],[4]],FDR[FDR]&amp;FDR[[#Headers],[4]],FDR[4],"",0,1)</f>
        <v>2</v>
      </c>
      <c r="Q178" cm="1">
        <f t="array" ref="Q178">_xlfn.XLOOKUP(Matrix[[#This Row],[TEAM]]&amp;Matrix[[#Headers],[5]],FDR[FDR]&amp;FDR[[#Headers],[5]],FDR[5],"",0,1)</f>
        <v>3</v>
      </c>
      <c r="R178" cm="1">
        <f t="array" ref="R178">_xlfn.XLOOKUP(Matrix[[#This Row],[TEAM]]&amp;Matrix[[#Headers],[6]],FDR[FDR]&amp;FDR[[#Headers],[6]],FDR[6],"",0,1)</f>
        <v>1</v>
      </c>
      <c r="S178" cm="1">
        <f t="array" ref="S178">_xlfn.XLOOKUP(Matrix[[#This Row],[TEAM]]&amp;Matrix[[#Headers],[7]],FDR[FDR]&amp;FDR[[#Headers],[7]],FDR[7],"",0,1)</f>
        <v>3</v>
      </c>
      <c r="T178" cm="1">
        <f t="array" ref="T178">_xlfn.XLOOKUP(Matrix[[#This Row],[TEAM]]&amp;Matrix[[#Headers],[8]],FDR[FDR]&amp;FDR[[#Headers],[8]],FDR[8],"",0,1)</f>
        <v>2</v>
      </c>
      <c r="U178" cm="1">
        <f t="array" ref="U178">_xlfn.XLOOKUP(Matrix[[#This Row],[TEAM]]&amp;Matrix[[#Headers],[9]],FDR[FDR]&amp;FDR[[#Headers],[9]],FDR[9],"",0,1)</f>
        <v>1</v>
      </c>
      <c r="V178" cm="1">
        <f t="array" ref="V178">_xlfn.XLOOKUP(Matrix[[#This Row],[TEAM]]&amp;Matrix[[#Headers],[10]],FDR[FDR]&amp;FDR[[#Headers],[10]],FDR[10],"",0,1)</f>
        <v>3</v>
      </c>
      <c r="W178" cm="1">
        <f t="array" ref="W178">_xlfn.XLOOKUP(Matrix[[#This Row],[TEAM]]&amp;Matrix[[#Headers],[11]],FDR[FDR]&amp;FDR[[#Headers],[11]],FDR[11],"",0,1)</f>
        <v>1</v>
      </c>
      <c r="X178" cm="1">
        <f t="array" ref="X178">_xlfn.XLOOKUP(Matrix[[#This Row],[TEAM]]&amp;Matrix[[#Headers],[12]],FDR[FDR]&amp;FDR[[#Headers],[12]],FDR[12],"",0,1)</f>
        <v>1</v>
      </c>
      <c r="Y178" cm="1">
        <f t="array" ref="Y178">_xlfn.XLOOKUP(Matrix[[#This Row],[TEAM]]&amp;Matrix[[#Headers],[13]],FDR[FDR]&amp;FDR[[#Headers],[13]],FDR[13],"",0,1)</f>
        <v>3</v>
      </c>
      <c r="Z178" cm="1">
        <f t="array" ref="Z178">_xlfn.XLOOKUP(Matrix[[#This Row],[TEAM]]&amp;Matrix[[#Headers],[14]],FDR[FDR]&amp;FDR[[#Headers],[14]],FDR[14],"",0,1)</f>
        <v>1</v>
      </c>
      <c r="AA178" cm="1">
        <f t="array" ref="AA178">_xlfn.XLOOKUP(Matrix[[#This Row],[TEAM]]&amp;Matrix[[#Headers],[15]],FDR[FDR]&amp;FDR[[#Headers],[15]],FDR[15],"",0,1)</f>
        <v>2</v>
      </c>
      <c r="AB178" cm="1">
        <f t="array" ref="AB178">_xlfn.XLOOKUP(Matrix[[#This Row],[TEAM]]&amp;Matrix[[#Headers],[16]],FDR[FDR]&amp;FDR[[#Headers],[16]],FDR[16],"",0,1)</f>
        <v>1</v>
      </c>
      <c r="AC178" cm="1">
        <f t="array" ref="AC178">_xlfn.XLOOKUP(Matrix[[#This Row],[TEAM]]&amp;Matrix[[#Headers],[17]],FDR[FDR]&amp;FDR[[#Headers],[17]],FDR[17],"",0,1)</f>
        <v>3</v>
      </c>
      <c r="AD178" cm="1">
        <f t="array" ref="AD178">_xlfn.XLOOKUP(Matrix[[#This Row],[TEAM]]&amp;Matrix[[#Headers],[18]],FDR[FDR]&amp;FDR[[#Headers],[18]],FDR[18],"",0,1)</f>
        <v>2</v>
      </c>
      <c r="AE178" cm="1">
        <f t="array" ref="AE178">_xlfn.XLOOKUP(Matrix[[#This Row],[TEAM]]&amp;Matrix[[#Headers],[19]],FDR[FDR]&amp;FDR[[#Headers],[19]],FDR[19],"",0,1)</f>
        <v>1</v>
      </c>
      <c r="AF178" cm="1">
        <f t="array" ref="AF178">_xlfn.XLOOKUP(Matrix[[#This Row],[TEAM]]&amp;Matrix[[#Headers],[20]],FDR[FDR]&amp;FDR[[#Headers],[20]],FDR[20],"",0,1)</f>
        <v>4</v>
      </c>
      <c r="AG178" cm="1">
        <f t="array" ref="AG178">_xlfn.XLOOKUP(Matrix[[#This Row],[TEAM]]&amp;Matrix[[#Headers],[21]],FDR[FDR]&amp;FDR[[#Headers],[21]],FDR[21],"",0,1)</f>
        <v>2</v>
      </c>
      <c r="AH178" cm="1">
        <f t="array" ref="AH178">_xlfn.XLOOKUP(Matrix[[#This Row],[TEAM]]&amp;Matrix[[#Headers],[22]],FDR[FDR]&amp;FDR[[#Headers],[22]],FDR[22],"",0,1)</f>
        <v>1</v>
      </c>
      <c r="AI178" cm="1">
        <f t="array" ref="AI178">_xlfn.XLOOKUP(Matrix[[#This Row],[TEAM]]&amp;Matrix[[#Headers],[23]],FDR[FDR]&amp;FDR[[#Headers],[23]],FDR[23],"",0,1)</f>
        <v>2</v>
      </c>
      <c r="AJ178" cm="1">
        <f t="array" ref="AJ178">_xlfn.XLOOKUP(Matrix[[#This Row],[TEAM]]&amp;Matrix[[#Headers],[24]],FDR[FDR]&amp;FDR[[#Headers],[24]],FDR[24],"",0,1)</f>
        <v>1</v>
      </c>
      <c r="AK178" cm="1">
        <f t="array" ref="AK178">_xlfn.XLOOKUP(Matrix[[#This Row],[TEAM]]&amp;Matrix[[#Headers],[25]],FDR[FDR]&amp;FDR[[#Headers],[25]],FDR[25],"",0,1)</f>
        <v>1</v>
      </c>
      <c r="AL178" cm="1">
        <f t="array" ref="AL178">_xlfn.XLOOKUP(Matrix[[#This Row],[TEAM]]&amp;Matrix[[#Headers],[26]],FDR[FDR]&amp;FDR[[#Headers],[26]],FDR[26],"",0,1)</f>
        <v>1</v>
      </c>
      <c r="AM178" cm="1">
        <f t="array" ref="AM178">_xlfn.XLOOKUP(Matrix[[#This Row],[TEAM]]&amp;Matrix[[#Headers],[27]],FDR[FDR]&amp;FDR[[#Headers],[27]],FDR[27],"",0,1)</f>
        <v>1</v>
      </c>
      <c r="AN178" cm="1">
        <f t="array" ref="AN178">_xlfn.XLOOKUP(Matrix[[#This Row],[TEAM]]&amp;Matrix[[#Headers],[28]],FDR[FDR]&amp;FDR[[#Headers],[28]],FDR[28],"",0,1)</f>
        <v>4</v>
      </c>
      <c r="AO178" cm="1">
        <f t="array" ref="AO178">_xlfn.XLOOKUP(Matrix[[#This Row],[TEAM]]&amp;Matrix[[#Headers],[29]],FDR[FDR]&amp;FDR[[#Headers],[29]],FDR[29],"",0,1)</f>
        <v>3</v>
      </c>
      <c r="AP178" cm="1">
        <f t="array" ref="AP178">_xlfn.XLOOKUP(Matrix[[#This Row],[TEAM]]&amp;Matrix[[#Headers],[30]],FDR[FDR]&amp;FDR[[#Headers],[30]],FDR[30],"",0,1)</f>
        <v>2</v>
      </c>
      <c r="AQ178" cm="1">
        <f t="array" ref="AQ178">_xlfn.XLOOKUP(Matrix[[#This Row],[TEAM]]&amp;Matrix[[#Headers],[31]],FDR[FDR]&amp;FDR[[#Headers],[31]],FDR[31],"",0,1)</f>
        <v>2</v>
      </c>
      <c r="AR178" cm="1">
        <f t="array" ref="AR178">_xlfn.XLOOKUP(Matrix[[#This Row],[TEAM]]&amp;Matrix[[#Headers],[32]],FDR[FDR]&amp;FDR[[#Headers],[32]],FDR[32],"",0,1)</f>
        <v>3</v>
      </c>
      <c r="AS178" cm="1">
        <f t="array" ref="AS178">_xlfn.XLOOKUP(Matrix[[#This Row],[TEAM]]&amp;Matrix[[#Headers],[33]],FDR[FDR]&amp;FDR[[#Headers],[33]],FDR[33],"",0,1)</f>
        <v>2</v>
      </c>
      <c r="AT178" cm="1">
        <f t="array" ref="AT178">_xlfn.XLOOKUP(Matrix[[#This Row],[TEAM]]&amp;Matrix[[#Headers],[34]],FDR[FDR]&amp;FDR[[#Headers],[34]],FDR[34],"",0,1)</f>
        <v>2</v>
      </c>
      <c r="AU178" cm="1">
        <f t="array" ref="AU178">_xlfn.XLOOKUP(Matrix[[#This Row],[TEAM]]&amp;Matrix[[#Headers],[35]],FDR[FDR]&amp;FDR[[#Headers],[35]],FDR[35],"",0,1)</f>
        <v>1</v>
      </c>
      <c r="AV178" cm="1">
        <f t="array" ref="AV178">_xlfn.XLOOKUP(Matrix[[#This Row],[TEAM]]&amp;Matrix[[#Headers],[36]],FDR[FDR]&amp;FDR[[#Headers],[36]],FDR[36],"",0,1)</f>
        <v>4</v>
      </c>
      <c r="AW178" cm="1">
        <f t="array" ref="AW178">_xlfn.XLOOKUP(Matrix[[#This Row],[TEAM]]&amp;Matrix[[#Headers],[37]],FDR[FDR]&amp;FDR[[#Headers],[37]],FDR[37],"",0,1)</f>
        <v>2</v>
      </c>
      <c r="AX178" cm="1">
        <f t="array" ref="AX178">_xlfn.XLOOKUP(Matrix[[#This Row],[TEAM]]&amp;Matrix[[#Headers],[38]],FDR[FDR]&amp;FDR[[#Headers],[38]],FDR[38],"",0,1)</f>
        <v>1</v>
      </c>
    </row>
    <row r="179" spans="1:50" ht="22" thickTop="1" thickBot="1">
      <c r="A179" s="52" t="s">
        <v>658</v>
      </c>
      <c r="B179" s="70" t="s">
        <v>1496</v>
      </c>
      <c r="C179" s="40" t="s">
        <v>23</v>
      </c>
      <c r="D179" s="68">
        <v>115</v>
      </c>
      <c r="E179" s="60">
        <v>1.7000000000000001E-2</v>
      </c>
      <c r="F179" s="67">
        <v>98.6</v>
      </c>
      <c r="G179" s="63">
        <v>5</v>
      </c>
      <c r="H179" s="261">
        <f>IF(ISBLANK(I179),0,1)</f>
        <v>0</v>
      </c>
      <c r="I179" s="57"/>
      <c r="J179" s="58"/>
      <c r="K179" s="66" t="s">
        <v>378</v>
      </c>
      <c r="L179" s="66" t="s">
        <v>79</v>
      </c>
      <c r="M179" cm="1">
        <f t="array" ref="M179">_xlfn.XLOOKUP(Matrix[[#This Row],[TEAM]]&amp;Matrix[[#Headers],[1]],FDR[FDR]&amp;FDR[[#Headers],[1]],FDR[1],"",0,1)</f>
        <v>4</v>
      </c>
      <c r="N179" cm="1">
        <f t="array" ref="N179">_xlfn.XLOOKUP(Matrix[[#This Row],[TEAM]]&amp;Matrix[[#Headers],[2]],FDR[FDR]&amp;FDR[[#Headers],[2]],FDR[2],"",0,1)</f>
        <v>4</v>
      </c>
      <c r="O179" cm="1">
        <f t="array" ref="O179">_xlfn.XLOOKUP(Matrix[[#This Row],[TEAM]]&amp;Matrix[[#Headers],[3]],FDR[FDR]&amp;FDR[[#Headers],[3]],FDR[3],"",0,1)</f>
        <v>5</v>
      </c>
      <c r="P179" cm="1">
        <f t="array" ref="P179">_xlfn.XLOOKUP(Matrix[[#This Row],[TEAM]]&amp;Matrix[[#Headers],[4]],FDR[FDR]&amp;FDR[[#Headers],[4]],FDR[4],"",0,1)</f>
        <v>1</v>
      </c>
      <c r="Q179" cm="1">
        <f t="array" ref="Q179">_xlfn.XLOOKUP(Matrix[[#This Row],[TEAM]]&amp;Matrix[[#Headers],[5]],FDR[FDR]&amp;FDR[[#Headers],[5]],FDR[5],"",0,1)</f>
        <v>2</v>
      </c>
      <c r="R179" cm="1">
        <f t="array" ref="R179">_xlfn.XLOOKUP(Matrix[[#This Row],[TEAM]]&amp;Matrix[[#Headers],[6]],FDR[FDR]&amp;FDR[[#Headers],[6]],FDR[6],"",0,1)</f>
        <v>5</v>
      </c>
      <c r="S179" cm="1">
        <f t="array" ref="S179">_xlfn.XLOOKUP(Matrix[[#This Row],[TEAM]]&amp;Matrix[[#Headers],[7]],FDR[FDR]&amp;FDR[[#Headers],[7]],FDR[7],"",0,1)</f>
        <v>4</v>
      </c>
      <c r="T179" cm="1">
        <f t="array" ref="T179">_xlfn.XLOOKUP(Matrix[[#This Row],[TEAM]]&amp;Matrix[[#Headers],[8]],FDR[FDR]&amp;FDR[[#Headers],[8]],FDR[8],"",0,1)</f>
        <v>4</v>
      </c>
      <c r="U179" cm="1">
        <f t="array" ref="U179">_xlfn.XLOOKUP(Matrix[[#This Row],[TEAM]]&amp;Matrix[[#Headers],[9]],FDR[FDR]&amp;FDR[[#Headers],[9]],FDR[9],"",0,1)</f>
        <v>5</v>
      </c>
      <c r="V179" cm="1">
        <f t="array" ref="V179">_xlfn.XLOOKUP(Matrix[[#This Row],[TEAM]]&amp;Matrix[[#Headers],[10]],FDR[FDR]&amp;FDR[[#Headers],[10]],FDR[10],"",0,1)</f>
        <v>1</v>
      </c>
      <c r="W179" cm="1">
        <f t="array" ref="W179">_xlfn.XLOOKUP(Matrix[[#This Row],[TEAM]]&amp;Matrix[[#Headers],[11]],FDR[FDR]&amp;FDR[[#Headers],[11]],FDR[11],"",0,1)</f>
        <v>3</v>
      </c>
      <c r="X179" cm="1">
        <f t="array" ref="X179">_xlfn.XLOOKUP(Matrix[[#This Row],[TEAM]]&amp;Matrix[[#Headers],[12]],FDR[FDR]&amp;FDR[[#Headers],[12]],FDR[12],"",0,1)</f>
        <v>1</v>
      </c>
      <c r="Y179" cm="1">
        <f t="array" ref="Y179">_xlfn.XLOOKUP(Matrix[[#This Row],[TEAM]]&amp;Matrix[[#Headers],[13]],FDR[FDR]&amp;FDR[[#Headers],[13]],FDR[13],"",0,1)</f>
        <v>5</v>
      </c>
      <c r="Z179" cm="1">
        <f t="array" ref="Z179">_xlfn.XLOOKUP(Matrix[[#This Row],[TEAM]]&amp;Matrix[[#Headers],[14]],FDR[FDR]&amp;FDR[[#Headers],[14]],FDR[14],"",0,1)</f>
        <v>4</v>
      </c>
      <c r="AA179" cm="1">
        <f t="array" ref="AA179">_xlfn.XLOOKUP(Matrix[[#This Row],[TEAM]]&amp;Matrix[[#Headers],[15]],FDR[FDR]&amp;FDR[[#Headers],[15]],FDR[15],"",0,1)</f>
        <v>2</v>
      </c>
      <c r="AB179" cm="1">
        <f t="array" ref="AB179">_xlfn.XLOOKUP(Matrix[[#This Row],[TEAM]]&amp;Matrix[[#Headers],[16]],FDR[FDR]&amp;FDR[[#Headers],[16]],FDR[16],"",0,1)</f>
        <v>2</v>
      </c>
      <c r="AC179" cm="1">
        <f t="array" ref="AC179">_xlfn.XLOOKUP(Matrix[[#This Row],[TEAM]]&amp;Matrix[[#Headers],[17]],FDR[FDR]&amp;FDR[[#Headers],[17]],FDR[17],"",0,1)</f>
        <v>3</v>
      </c>
      <c r="AD179" cm="1">
        <f t="array" ref="AD179">_xlfn.XLOOKUP(Matrix[[#This Row],[TEAM]]&amp;Matrix[[#Headers],[18]],FDR[FDR]&amp;FDR[[#Headers],[18]],FDR[18],"",0,1)</f>
        <v>3</v>
      </c>
      <c r="AE179" cm="1">
        <f t="array" ref="AE179">_xlfn.XLOOKUP(Matrix[[#This Row],[TEAM]]&amp;Matrix[[#Headers],[19]],FDR[FDR]&amp;FDR[[#Headers],[19]],FDR[19],"",0,1)</f>
        <v>3</v>
      </c>
      <c r="AF179" cm="1">
        <f t="array" ref="AF179">_xlfn.XLOOKUP(Matrix[[#This Row],[TEAM]]&amp;Matrix[[#Headers],[20]],FDR[FDR]&amp;FDR[[#Headers],[20]],FDR[20],"",0,1)</f>
        <v>4</v>
      </c>
      <c r="AG179" cm="1">
        <f t="array" ref="AG179">_xlfn.XLOOKUP(Matrix[[#This Row],[TEAM]]&amp;Matrix[[#Headers],[21]],FDR[FDR]&amp;FDR[[#Headers],[21]],FDR[21],"",0,1)</f>
        <v>4</v>
      </c>
      <c r="AH179" cm="1">
        <f t="array" ref="AH179">_xlfn.XLOOKUP(Matrix[[#This Row],[TEAM]]&amp;Matrix[[#Headers],[22]],FDR[FDR]&amp;FDR[[#Headers],[22]],FDR[22],"",0,1)</f>
        <v>2</v>
      </c>
      <c r="AI179" cm="1">
        <f t="array" ref="AI179">_xlfn.XLOOKUP(Matrix[[#This Row],[TEAM]]&amp;Matrix[[#Headers],[23]],FDR[FDR]&amp;FDR[[#Headers],[23]],FDR[23],"",0,1)</f>
        <v>3</v>
      </c>
      <c r="AJ179" cm="1">
        <f t="array" ref="AJ179">_xlfn.XLOOKUP(Matrix[[#This Row],[TEAM]]&amp;Matrix[[#Headers],[24]],FDR[FDR]&amp;FDR[[#Headers],[24]],FDR[24],"",0,1)</f>
        <v>5</v>
      </c>
      <c r="AK179" cm="1">
        <f t="array" ref="AK179">_xlfn.XLOOKUP(Matrix[[#This Row],[TEAM]]&amp;Matrix[[#Headers],[25]],FDR[FDR]&amp;FDR[[#Headers],[25]],FDR[25],"",0,1)</f>
        <v>2</v>
      </c>
      <c r="AL179" cm="1">
        <f t="array" ref="AL179">_xlfn.XLOOKUP(Matrix[[#This Row],[TEAM]]&amp;Matrix[[#Headers],[26]],FDR[FDR]&amp;FDR[[#Headers],[26]],FDR[26],"",0,1)</f>
        <v>5</v>
      </c>
      <c r="AM179" cm="1">
        <f t="array" ref="AM179">_xlfn.XLOOKUP(Matrix[[#This Row],[TEAM]]&amp;Matrix[[#Headers],[27]],FDR[FDR]&amp;FDR[[#Headers],[27]],FDR[27],"",0,1)</f>
        <v>2</v>
      </c>
      <c r="AN179" cm="1">
        <f t="array" ref="AN179">_xlfn.XLOOKUP(Matrix[[#This Row],[TEAM]]&amp;Matrix[[#Headers],[28]],FDR[FDR]&amp;FDR[[#Headers],[28]],FDR[28],"",0,1)</f>
        <v>4</v>
      </c>
      <c r="AO179" cm="1">
        <f t="array" ref="AO179">_xlfn.XLOOKUP(Matrix[[#This Row],[TEAM]]&amp;Matrix[[#Headers],[29]],FDR[FDR]&amp;FDR[[#Headers],[29]],FDR[29],"",0,1)</f>
        <v>2</v>
      </c>
      <c r="AP179" cm="1">
        <f t="array" ref="AP179">_xlfn.XLOOKUP(Matrix[[#This Row],[TEAM]]&amp;Matrix[[#Headers],[30]],FDR[FDR]&amp;FDR[[#Headers],[30]],FDR[30],"",0,1)</f>
        <v>4</v>
      </c>
      <c r="AQ179" cm="1">
        <f t="array" ref="AQ179">_xlfn.XLOOKUP(Matrix[[#This Row],[TEAM]]&amp;Matrix[[#Headers],[31]],FDR[FDR]&amp;FDR[[#Headers],[31]],FDR[31],"",0,1)</f>
        <v>1</v>
      </c>
      <c r="AR179" cm="1">
        <f t="array" ref="AR179">_xlfn.XLOOKUP(Matrix[[#This Row],[TEAM]]&amp;Matrix[[#Headers],[32]],FDR[FDR]&amp;FDR[[#Headers],[32]],FDR[32],"",0,1)</f>
        <v>5</v>
      </c>
      <c r="AS179" cm="1">
        <f t="array" ref="AS179">_xlfn.XLOOKUP(Matrix[[#This Row],[TEAM]]&amp;Matrix[[#Headers],[33]],FDR[FDR]&amp;FDR[[#Headers],[33]],FDR[33],"",0,1)</f>
        <v>3</v>
      </c>
      <c r="AT179" cm="1">
        <f t="array" ref="AT179">_xlfn.XLOOKUP(Matrix[[#This Row],[TEAM]]&amp;Matrix[[#Headers],[34]],FDR[FDR]&amp;FDR[[#Headers],[34]],FDR[34],"",0,1)</f>
        <v>3</v>
      </c>
      <c r="AU179" cm="1">
        <f t="array" ref="AU179">_xlfn.XLOOKUP(Matrix[[#This Row],[TEAM]]&amp;Matrix[[#Headers],[35]],FDR[FDR]&amp;FDR[[#Headers],[35]],FDR[35],"",0,1)</f>
        <v>5</v>
      </c>
      <c r="AV179" cm="1">
        <f t="array" ref="AV179">_xlfn.XLOOKUP(Matrix[[#This Row],[TEAM]]&amp;Matrix[[#Headers],[36]],FDR[FDR]&amp;FDR[[#Headers],[36]],FDR[36],"",0,1)</f>
        <v>3</v>
      </c>
      <c r="AW179" cm="1">
        <f t="array" ref="AW179">_xlfn.XLOOKUP(Matrix[[#This Row],[TEAM]]&amp;Matrix[[#Headers],[37]],FDR[FDR]&amp;FDR[[#Headers],[37]],FDR[37],"",0,1)</f>
        <v>2</v>
      </c>
      <c r="AX179" cm="1">
        <f t="array" ref="AX179">_xlfn.XLOOKUP(Matrix[[#This Row],[TEAM]]&amp;Matrix[[#Headers],[38]],FDR[FDR]&amp;FDR[[#Headers],[38]],FDR[38],"",0,1)</f>
        <v>4</v>
      </c>
    </row>
    <row r="180" spans="1:50" ht="22" thickTop="1" thickBot="1">
      <c r="A180" s="52" t="s">
        <v>658</v>
      </c>
      <c r="B180" s="70" t="s">
        <v>1485</v>
      </c>
      <c r="C180" s="40" t="s">
        <v>25</v>
      </c>
      <c r="D180" s="68">
        <v>102</v>
      </c>
      <c r="E180" s="60">
        <v>3.5999999999999997E-2</v>
      </c>
      <c r="F180" s="67">
        <v>67.400000000000006</v>
      </c>
      <c r="G180" s="63">
        <v>5</v>
      </c>
      <c r="H180" s="261">
        <f>IF(ISBLANK(I180),0,1)</f>
        <v>0</v>
      </c>
      <c r="I180" s="57"/>
      <c r="J180" s="58"/>
      <c r="K180" s="66" t="s">
        <v>365</v>
      </c>
      <c r="L180" s="66" t="s">
        <v>66</v>
      </c>
      <c r="M180" cm="1">
        <f t="array" ref="M180">_xlfn.XLOOKUP(Matrix[[#This Row],[TEAM]]&amp;Matrix[[#Headers],[1]],FDR[FDR]&amp;FDR[[#Headers],[1]],FDR[1],"",0,1)</f>
        <v>3</v>
      </c>
      <c r="N180" cm="1">
        <f t="array" ref="N180">_xlfn.XLOOKUP(Matrix[[#This Row],[TEAM]]&amp;Matrix[[#Headers],[2]],FDR[FDR]&amp;FDR[[#Headers],[2]],FDR[2],"",0,1)</f>
        <v>3</v>
      </c>
      <c r="O180" cm="1">
        <f t="array" ref="O180">_xlfn.XLOOKUP(Matrix[[#This Row],[TEAM]]&amp;Matrix[[#Headers],[3]],FDR[FDR]&amp;FDR[[#Headers],[3]],FDR[3],"",0,1)</f>
        <v>1</v>
      </c>
      <c r="P180" cm="1">
        <f t="array" ref="P180">_xlfn.XLOOKUP(Matrix[[#This Row],[TEAM]]&amp;Matrix[[#Headers],[4]],FDR[FDR]&amp;FDR[[#Headers],[4]],FDR[4],"",0,1)</f>
        <v>1</v>
      </c>
      <c r="Q180" cm="1">
        <f t="array" ref="Q180">_xlfn.XLOOKUP(Matrix[[#This Row],[TEAM]]&amp;Matrix[[#Headers],[5]],FDR[FDR]&amp;FDR[[#Headers],[5]],FDR[5],"",0,1)</f>
        <v>2</v>
      </c>
      <c r="R180" cm="1">
        <f t="array" ref="R180">_xlfn.XLOOKUP(Matrix[[#This Row],[TEAM]]&amp;Matrix[[#Headers],[6]],FDR[FDR]&amp;FDR[[#Headers],[6]],FDR[6],"",0,1)</f>
        <v>3</v>
      </c>
      <c r="S180" cm="1">
        <f t="array" ref="S180">_xlfn.XLOOKUP(Matrix[[#This Row],[TEAM]]&amp;Matrix[[#Headers],[7]],FDR[FDR]&amp;FDR[[#Headers],[7]],FDR[7],"",0,1)</f>
        <v>2</v>
      </c>
      <c r="T180" cm="1">
        <f t="array" ref="T180">_xlfn.XLOOKUP(Matrix[[#This Row],[TEAM]]&amp;Matrix[[#Headers],[8]],FDR[FDR]&amp;FDR[[#Headers],[8]],FDR[8],"",0,1)</f>
        <v>2</v>
      </c>
      <c r="U180" cm="1">
        <f t="array" ref="U180">_xlfn.XLOOKUP(Matrix[[#This Row],[TEAM]]&amp;Matrix[[#Headers],[9]],FDR[FDR]&amp;FDR[[#Headers],[9]],FDR[9],"",0,1)</f>
        <v>2</v>
      </c>
      <c r="V180" cm="1">
        <f t="array" ref="V180">_xlfn.XLOOKUP(Matrix[[#This Row],[TEAM]]&amp;Matrix[[#Headers],[10]],FDR[FDR]&amp;FDR[[#Headers],[10]],FDR[10],"",0,1)</f>
        <v>2</v>
      </c>
      <c r="W180" cm="1">
        <f t="array" ref="W180">_xlfn.XLOOKUP(Matrix[[#This Row],[TEAM]]&amp;Matrix[[#Headers],[11]],FDR[FDR]&amp;FDR[[#Headers],[11]],FDR[11],"",0,1)</f>
        <v>2</v>
      </c>
      <c r="X180" cm="1">
        <f t="array" ref="X180">_xlfn.XLOOKUP(Matrix[[#This Row],[TEAM]]&amp;Matrix[[#Headers],[12]],FDR[FDR]&amp;FDR[[#Headers],[12]],FDR[12],"",0,1)</f>
        <v>3</v>
      </c>
      <c r="Y180" cm="1">
        <f t="array" ref="Y180">_xlfn.XLOOKUP(Matrix[[#This Row],[TEAM]]&amp;Matrix[[#Headers],[13]],FDR[FDR]&amp;FDR[[#Headers],[13]],FDR[13],"",0,1)</f>
        <v>2</v>
      </c>
      <c r="Z180" cm="1">
        <f t="array" ref="Z180">_xlfn.XLOOKUP(Matrix[[#This Row],[TEAM]]&amp;Matrix[[#Headers],[14]],FDR[FDR]&amp;FDR[[#Headers],[14]],FDR[14],"",0,1)</f>
        <v>3</v>
      </c>
      <c r="AA180" cm="1">
        <f t="array" ref="AA180">_xlfn.XLOOKUP(Matrix[[#This Row],[TEAM]]&amp;Matrix[[#Headers],[15]],FDR[FDR]&amp;FDR[[#Headers],[15]],FDR[15],"",0,1)</f>
        <v>1</v>
      </c>
      <c r="AB180" cm="1">
        <f t="array" ref="AB180">_xlfn.XLOOKUP(Matrix[[#This Row],[TEAM]]&amp;Matrix[[#Headers],[16]],FDR[FDR]&amp;FDR[[#Headers],[16]],FDR[16],"",0,1)</f>
        <v>1</v>
      </c>
      <c r="AC180" cm="1">
        <f t="array" ref="AC180">_xlfn.XLOOKUP(Matrix[[#This Row],[TEAM]]&amp;Matrix[[#Headers],[17]],FDR[FDR]&amp;FDR[[#Headers],[17]],FDR[17],"",0,1)</f>
        <v>3</v>
      </c>
      <c r="AD180" cm="1">
        <f t="array" ref="AD180">_xlfn.XLOOKUP(Matrix[[#This Row],[TEAM]]&amp;Matrix[[#Headers],[18]],FDR[FDR]&amp;FDR[[#Headers],[18]],FDR[18],"",0,1)</f>
        <v>4</v>
      </c>
      <c r="AE180" cm="1">
        <f t="array" ref="AE180">_xlfn.XLOOKUP(Matrix[[#This Row],[TEAM]]&amp;Matrix[[#Headers],[19]],FDR[FDR]&amp;FDR[[#Headers],[19]],FDR[19],"",0,1)</f>
        <v>1</v>
      </c>
      <c r="AF180" cm="1">
        <f t="array" ref="AF180">_xlfn.XLOOKUP(Matrix[[#This Row],[TEAM]]&amp;Matrix[[#Headers],[20]],FDR[FDR]&amp;FDR[[#Headers],[20]],FDR[20],"",0,1)</f>
        <v>1</v>
      </c>
      <c r="AG180" cm="1">
        <f t="array" ref="AG180">_xlfn.XLOOKUP(Matrix[[#This Row],[TEAM]]&amp;Matrix[[#Headers],[21]],FDR[FDR]&amp;FDR[[#Headers],[21]],FDR[21],"",0,1)</f>
        <v>1</v>
      </c>
      <c r="AH180" cm="1">
        <f t="array" ref="AH180">_xlfn.XLOOKUP(Matrix[[#This Row],[TEAM]]&amp;Matrix[[#Headers],[22]],FDR[FDR]&amp;FDR[[#Headers],[22]],FDR[22],"",0,1)</f>
        <v>1</v>
      </c>
      <c r="AI180" cm="1">
        <f t="array" ref="AI180">_xlfn.XLOOKUP(Matrix[[#This Row],[TEAM]]&amp;Matrix[[#Headers],[23]],FDR[FDR]&amp;FDR[[#Headers],[23]],FDR[23],"",0,1)</f>
        <v>2</v>
      </c>
      <c r="AJ180" cm="1">
        <f t="array" ref="AJ180">_xlfn.XLOOKUP(Matrix[[#This Row],[TEAM]]&amp;Matrix[[#Headers],[24]],FDR[FDR]&amp;FDR[[#Headers],[24]],FDR[24],"",0,1)</f>
        <v>4</v>
      </c>
      <c r="AK180" cm="1">
        <f t="array" ref="AK180">_xlfn.XLOOKUP(Matrix[[#This Row],[TEAM]]&amp;Matrix[[#Headers],[25]],FDR[FDR]&amp;FDR[[#Headers],[25]],FDR[25],"",0,1)</f>
        <v>1</v>
      </c>
      <c r="AL180" cm="1">
        <f t="array" ref="AL180">_xlfn.XLOOKUP(Matrix[[#This Row],[TEAM]]&amp;Matrix[[#Headers],[26]],FDR[FDR]&amp;FDR[[#Headers],[26]],FDR[26],"",0,1)</f>
        <v>4</v>
      </c>
      <c r="AM180" cm="1">
        <f t="array" ref="AM180">_xlfn.XLOOKUP(Matrix[[#This Row],[TEAM]]&amp;Matrix[[#Headers],[27]],FDR[FDR]&amp;FDR[[#Headers],[27]],FDR[27],"",0,1)</f>
        <v>4</v>
      </c>
      <c r="AN180" cm="1">
        <f t="array" ref="AN180">_xlfn.XLOOKUP(Matrix[[#This Row],[TEAM]]&amp;Matrix[[#Headers],[28]],FDR[FDR]&amp;FDR[[#Headers],[28]],FDR[28],"",0,1)</f>
        <v>1</v>
      </c>
      <c r="AO180" cm="1">
        <f t="array" ref="AO180">_xlfn.XLOOKUP(Matrix[[#This Row],[TEAM]]&amp;Matrix[[#Headers],[29]],FDR[FDR]&amp;FDR[[#Headers],[29]],FDR[29],"",0,1)</f>
        <v>3</v>
      </c>
      <c r="AP180" cm="1">
        <f t="array" ref="AP180">_xlfn.XLOOKUP(Matrix[[#This Row],[TEAM]]&amp;Matrix[[#Headers],[30]],FDR[FDR]&amp;FDR[[#Headers],[30]],FDR[30],"",0,1)</f>
        <v>4</v>
      </c>
      <c r="AQ180" cm="1">
        <f t="array" ref="AQ180">_xlfn.XLOOKUP(Matrix[[#This Row],[TEAM]]&amp;Matrix[[#Headers],[31]],FDR[FDR]&amp;FDR[[#Headers],[31]],FDR[31],"",0,1)</f>
        <v>1</v>
      </c>
      <c r="AR180" cm="1">
        <f t="array" ref="AR180">_xlfn.XLOOKUP(Matrix[[#This Row],[TEAM]]&amp;Matrix[[#Headers],[32]],FDR[FDR]&amp;FDR[[#Headers],[32]],FDR[32],"",0,1)</f>
        <v>2</v>
      </c>
      <c r="AS180" cm="1">
        <f t="array" ref="AS180">_xlfn.XLOOKUP(Matrix[[#This Row],[TEAM]]&amp;Matrix[[#Headers],[33]],FDR[FDR]&amp;FDR[[#Headers],[33]],FDR[33],"",0,1)</f>
        <v>2</v>
      </c>
      <c r="AT180" cm="1">
        <f t="array" ref="AT180">_xlfn.XLOOKUP(Matrix[[#This Row],[TEAM]]&amp;Matrix[[#Headers],[34]],FDR[FDR]&amp;FDR[[#Headers],[34]],FDR[34],"",0,1)</f>
        <v>4</v>
      </c>
      <c r="AU180" cm="1">
        <f t="array" ref="AU180">_xlfn.XLOOKUP(Matrix[[#This Row],[TEAM]]&amp;Matrix[[#Headers],[35]],FDR[FDR]&amp;FDR[[#Headers],[35]],FDR[35],"",0,1)</f>
        <v>2</v>
      </c>
      <c r="AV180" cm="1">
        <f t="array" ref="AV180">_xlfn.XLOOKUP(Matrix[[#This Row],[TEAM]]&amp;Matrix[[#Headers],[36]],FDR[FDR]&amp;FDR[[#Headers],[36]],FDR[36],"",0,1)</f>
        <v>2</v>
      </c>
      <c r="AW180" cm="1">
        <f t="array" ref="AW180">_xlfn.XLOOKUP(Matrix[[#This Row],[TEAM]]&amp;Matrix[[#Headers],[37]],FDR[FDR]&amp;FDR[[#Headers],[37]],FDR[37],"",0,1)</f>
        <v>1</v>
      </c>
      <c r="AX180" cm="1">
        <f t="array" ref="AX180">_xlfn.XLOOKUP(Matrix[[#This Row],[TEAM]]&amp;Matrix[[#Headers],[38]],FDR[FDR]&amp;FDR[[#Headers],[38]],FDR[38],"",0,1)</f>
        <v>2</v>
      </c>
    </row>
    <row r="181" spans="1:50" ht="22" thickTop="1" thickBot="1">
      <c r="A181" s="52" t="s">
        <v>658</v>
      </c>
      <c r="B181" s="70" t="s">
        <v>1486</v>
      </c>
      <c r="C181" s="40" t="s">
        <v>19</v>
      </c>
      <c r="D181" s="68">
        <v>66</v>
      </c>
      <c r="E181" s="60">
        <v>3.5000000000000003E-2</v>
      </c>
      <c r="F181" s="67">
        <v>58.5</v>
      </c>
      <c r="G181" s="63">
        <v>5</v>
      </c>
      <c r="H181" s="261">
        <f>IF(ISBLANK(I181),0,1)</f>
        <v>0</v>
      </c>
      <c r="I181" s="57"/>
      <c r="J181" s="58"/>
      <c r="K181" s="66" t="s">
        <v>614</v>
      </c>
      <c r="L181" s="66" t="s">
        <v>78</v>
      </c>
      <c r="M181" cm="1">
        <f t="array" ref="M181">_xlfn.XLOOKUP(Matrix[[#This Row],[TEAM]]&amp;Matrix[[#Headers],[1]],FDR[FDR]&amp;FDR[[#Headers],[1]],FDR[1],"",0,1)</f>
        <v>1</v>
      </c>
      <c r="N181" cm="1">
        <f t="array" ref="N181">_xlfn.XLOOKUP(Matrix[[#This Row],[TEAM]]&amp;Matrix[[#Headers],[2]],FDR[FDR]&amp;FDR[[#Headers],[2]],FDR[2],"",0,1)</f>
        <v>4</v>
      </c>
      <c r="O181" cm="1">
        <f t="array" ref="O181">_xlfn.XLOOKUP(Matrix[[#This Row],[TEAM]]&amp;Matrix[[#Headers],[3]],FDR[FDR]&amp;FDR[[#Headers],[3]],FDR[3],"",0,1)</f>
        <v>1</v>
      </c>
      <c r="P181" cm="1">
        <f t="array" ref="P181">_xlfn.XLOOKUP(Matrix[[#This Row],[TEAM]]&amp;Matrix[[#Headers],[4]],FDR[FDR]&amp;FDR[[#Headers],[4]],FDR[4],"",0,1)</f>
        <v>2</v>
      </c>
      <c r="Q181" cm="1">
        <f t="array" ref="Q181">_xlfn.XLOOKUP(Matrix[[#This Row],[TEAM]]&amp;Matrix[[#Headers],[5]],FDR[FDR]&amp;FDR[[#Headers],[5]],FDR[5],"",0,1)</f>
        <v>2</v>
      </c>
      <c r="R181" cm="1">
        <f t="array" ref="R181">_xlfn.XLOOKUP(Matrix[[#This Row],[TEAM]]&amp;Matrix[[#Headers],[6]],FDR[FDR]&amp;FDR[[#Headers],[6]],FDR[6],"",0,1)</f>
        <v>1</v>
      </c>
      <c r="S181" cm="1">
        <f t="array" ref="S181">_xlfn.XLOOKUP(Matrix[[#This Row],[TEAM]]&amp;Matrix[[#Headers],[7]],FDR[FDR]&amp;FDR[[#Headers],[7]],FDR[7],"",0,1)</f>
        <v>1</v>
      </c>
      <c r="T181" cm="1">
        <f t="array" ref="T181">_xlfn.XLOOKUP(Matrix[[#This Row],[TEAM]]&amp;Matrix[[#Headers],[8]],FDR[FDR]&amp;FDR[[#Headers],[8]],FDR[8],"",0,1)</f>
        <v>2</v>
      </c>
      <c r="U181" cm="1">
        <f t="array" ref="U181">_xlfn.XLOOKUP(Matrix[[#This Row],[TEAM]]&amp;Matrix[[#Headers],[9]],FDR[FDR]&amp;FDR[[#Headers],[9]],FDR[9],"",0,1)</f>
        <v>2</v>
      </c>
      <c r="V181" cm="1">
        <f t="array" ref="V181">_xlfn.XLOOKUP(Matrix[[#This Row],[TEAM]]&amp;Matrix[[#Headers],[10]],FDR[FDR]&amp;FDR[[#Headers],[10]],FDR[10],"",0,1)</f>
        <v>3</v>
      </c>
      <c r="W181" cm="1">
        <f t="array" ref="W181">_xlfn.XLOOKUP(Matrix[[#This Row],[TEAM]]&amp;Matrix[[#Headers],[11]],FDR[FDR]&amp;FDR[[#Headers],[11]],FDR[11],"",0,1)</f>
        <v>3</v>
      </c>
      <c r="X181" cm="1">
        <f t="array" ref="X181">_xlfn.XLOOKUP(Matrix[[#This Row],[TEAM]]&amp;Matrix[[#Headers],[12]],FDR[FDR]&amp;FDR[[#Headers],[12]],FDR[12],"",0,1)</f>
        <v>4</v>
      </c>
      <c r="Y181" cm="1">
        <f t="array" ref="Y181">_xlfn.XLOOKUP(Matrix[[#This Row],[TEAM]]&amp;Matrix[[#Headers],[13]],FDR[FDR]&amp;FDR[[#Headers],[13]],FDR[13],"",0,1)</f>
        <v>1</v>
      </c>
      <c r="Z181" cm="1">
        <f t="array" ref="Z181">_xlfn.XLOOKUP(Matrix[[#This Row],[TEAM]]&amp;Matrix[[#Headers],[14]],FDR[FDR]&amp;FDR[[#Headers],[14]],FDR[14],"",0,1)</f>
        <v>3</v>
      </c>
      <c r="AA181" cm="1">
        <f t="array" ref="AA181">_xlfn.XLOOKUP(Matrix[[#This Row],[TEAM]]&amp;Matrix[[#Headers],[15]],FDR[FDR]&amp;FDR[[#Headers],[15]],FDR[15],"",0,1)</f>
        <v>1</v>
      </c>
      <c r="AB181" cm="1">
        <f t="array" ref="AB181">_xlfn.XLOOKUP(Matrix[[#This Row],[TEAM]]&amp;Matrix[[#Headers],[16]],FDR[FDR]&amp;FDR[[#Headers],[16]],FDR[16],"",0,1)</f>
        <v>2</v>
      </c>
      <c r="AC181" cm="1">
        <f t="array" ref="AC181">_xlfn.XLOOKUP(Matrix[[#This Row],[TEAM]]&amp;Matrix[[#Headers],[17]],FDR[FDR]&amp;FDR[[#Headers],[17]],FDR[17],"",0,1)</f>
        <v>3</v>
      </c>
      <c r="AD181" cm="1">
        <f t="array" ref="AD181">_xlfn.XLOOKUP(Matrix[[#This Row],[TEAM]]&amp;Matrix[[#Headers],[18]],FDR[FDR]&amp;FDR[[#Headers],[18]],FDR[18],"",0,1)</f>
        <v>2</v>
      </c>
      <c r="AE181" cm="1">
        <f t="array" ref="AE181">_xlfn.XLOOKUP(Matrix[[#This Row],[TEAM]]&amp;Matrix[[#Headers],[19]],FDR[FDR]&amp;FDR[[#Headers],[19]],FDR[19],"",0,1)</f>
        <v>2</v>
      </c>
      <c r="AF181" cm="1">
        <f t="array" ref="AF181">_xlfn.XLOOKUP(Matrix[[#This Row],[TEAM]]&amp;Matrix[[#Headers],[20]],FDR[FDR]&amp;FDR[[#Headers],[20]],FDR[20],"",0,1)</f>
        <v>1</v>
      </c>
      <c r="AG181" cm="1">
        <f t="array" ref="AG181">_xlfn.XLOOKUP(Matrix[[#This Row],[TEAM]]&amp;Matrix[[#Headers],[21]],FDR[FDR]&amp;FDR[[#Headers],[21]],FDR[21],"",0,1)</f>
        <v>2</v>
      </c>
      <c r="AH181" cm="1">
        <f t="array" ref="AH181">_xlfn.XLOOKUP(Matrix[[#This Row],[TEAM]]&amp;Matrix[[#Headers],[22]],FDR[FDR]&amp;FDR[[#Headers],[22]],FDR[22],"",0,1)</f>
        <v>1</v>
      </c>
      <c r="AI181" cm="1">
        <f t="array" ref="AI181">_xlfn.XLOOKUP(Matrix[[#This Row],[TEAM]]&amp;Matrix[[#Headers],[23]],FDR[FDR]&amp;FDR[[#Headers],[23]],FDR[23],"",0,1)</f>
        <v>1</v>
      </c>
      <c r="AJ181" cm="1">
        <f t="array" ref="AJ181">_xlfn.XLOOKUP(Matrix[[#This Row],[TEAM]]&amp;Matrix[[#Headers],[24]],FDR[FDR]&amp;FDR[[#Headers],[24]],FDR[24],"",0,1)</f>
        <v>3</v>
      </c>
      <c r="AK181" cm="1">
        <f t="array" ref="AK181">_xlfn.XLOOKUP(Matrix[[#This Row],[TEAM]]&amp;Matrix[[#Headers],[25]],FDR[FDR]&amp;FDR[[#Headers],[25]],FDR[25],"",0,1)</f>
        <v>4</v>
      </c>
      <c r="AL181" cm="1">
        <f t="array" ref="AL181">_xlfn.XLOOKUP(Matrix[[#This Row],[TEAM]]&amp;Matrix[[#Headers],[26]],FDR[FDR]&amp;FDR[[#Headers],[26]],FDR[26],"",0,1)</f>
        <v>2</v>
      </c>
      <c r="AM181" cm="1">
        <f t="array" ref="AM181">_xlfn.XLOOKUP(Matrix[[#This Row],[TEAM]]&amp;Matrix[[#Headers],[27]],FDR[FDR]&amp;FDR[[#Headers],[27]],FDR[27],"",0,1)</f>
        <v>3</v>
      </c>
      <c r="AN181" cm="1">
        <f t="array" ref="AN181">_xlfn.XLOOKUP(Matrix[[#This Row],[TEAM]]&amp;Matrix[[#Headers],[28]],FDR[FDR]&amp;FDR[[#Headers],[28]],FDR[28],"",0,1)</f>
        <v>2</v>
      </c>
      <c r="AO181" cm="1">
        <f t="array" ref="AO181">_xlfn.XLOOKUP(Matrix[[#This Row],[TEAM]]&amp;Matrix[[#Headers],[29]],FDR[FDR]&amp;FDR[[#Headers],[29]],FDR[29],"",0,1)</f>
        <v>1</v>
      </c>
      <c r="AP181" cm="1">
        <f t="array" ref="AP181">_xlfn.XLOOKUP(Matrix[[#This Row],[TEAM]]&amp;Matrix[[#Headers],[30]],FDR[FDR]&amp;FDR[[#Headers],[30]],FDR[30],"",0,1)</f>
        <v>4</v>
      </c>
      <c r="AQ181" cm="1">
        <f t="array" ref="AQ181">_xlfn.XLOOKUP(Matrix[[#This Row],[TEAM]]&amp;Matrix[[#Headers],[31]],FDR[FDR]&amp;FDR[[#Headers],[31]],FDR[31],"",0,1)</f>
        <v>1</v>
      </c>
      <c r="AR181" cm="1">
        <f t="array" ref="AR181">_xlfn.XLOOKUP(Matrix[[#This Row],[TEAM]]&amp;Matrix[[#Headers],[32]],FDR[FDR]&amp;FDR[[#Headers],[32]],FDR[32],"",0,1)</f>
        <v>1</v>
      </c>
      <c r="AS181" cm="1">
        <f t="array" ref="AS181">_xlfn.XLOOKUP(Matrix[[#This Row],[TEAM]]&amp;Matrix[[#Headers],[33]],FDR[FDR]&amp;FDR[[#Headers],[33]],FDR[33],"",0,1)</f>
        <v>1</v>
      </c>
      <c r="AT181" cm="1">
        <f t="array" ref="AT181">_xlfn.XLOOKUP(Matrix[[#This Row],[TEAM]]&amp;Matrix[[#Headers],[34]],FDR[FDR]&amp;FDR[[#Headers],[34]],FDR[34],"",0,1)</f>
        <v>1</v>
      </c>
      <c r="AU181" cm="1">
        <f t="array" ref="AU181">_xlfn.XLOOKUP(Matrix[[#This Row],[TEAM]]&amp;Matrix[[#Headers],[35]],FDR[FDR]&amp;FDR[[#Headers],[35]],FDR[35],"",0,1)</f>
        <v>3</v>
      </c>
      <c r="AV181" cm="1">
        <f t="array" ref="AV181">_xlfn.XLOOKUP(Matrix[[#This Row],[TEAM]]&amp;Matrix[[#Headers],[36]],FDR[FDR]&amp;FDR[[#Headers],[36]],FDR[36],"",0,1)</f>
        <v>1</v>
      </c>
      <c r="AW181" cm="1">
        <f t="array" ref="AW181">_xlfn.XLOOKUP(Matrix[[#This Row],[TEAM]]&amp;Matrix[[#Headers],[37]],FDR[FDR]&amp;FDR[[#Headers],[37]],FDR[37],"",0,1)</f>
        <v>4</v>
      </c>
      <c r="AX181" cm="1">
        <f t="array" ref="AX181">_xlfn.XLOOKUP(Matrix[[#This Row],[TEAM]]&amp;Matrix[[#Headers],[38]],FDR[FDR]&amp;FDR[[#Headers],[38]],FDR[38],"",0,1)</f>
        <v>1</v>
      </c>
    </row>
    <row r="182" spans="1:50" ht="22" thickTop="1" thickBot="1">
      <c r="A182" s="52" t="s">
        <v>658</v>
      </c>
      <c r="B182" s="70" t="s">
        <v>1521</v>
      </c>
      <c r="C182" s="40" t="s">
        <v>29</v>
      </c>
      <c r="D182" s="68">
        <v>35</v>
      </c>
      <c r="E182" s="60">
        <v>4.0000000000000001E-3</v>
      </c>
      <c r="F182" s="67">
        <v>29.4</v>
      </c>
      <c r="G182" s="63">
        <v>5</v>
      </c>
      <c r="H182" s="261">
        <f>IF(ISBLANK(I182),0,1)</f>
        <v>0</v>
      </c>
      <c r="I182" s="57"/>
      <c r="J182" s="58"/>
      <c r="K182" s="66" t="s">
        <v>541</v>
      </c>
      <c r="L182" s="66" t="s">
        <v>1100</v>
      </c>
      <c r="M182" cm="1">
        <f t="array" ref="M182">_xlfn.XLOOKUP(Matrix[[#This Row],[TEAM]]&amp;Matrix[[#Headers],[1]],FDR[FDR]&amp;FDR[[#Headers],[1]],FDR[1],"",0,1)</f>
        <v>1</v>
      </c>
      <c r="N182" cm="1">
        <f t="array" ref="N182">_xlfn.XLOOKUP(Matrix[[#This Row],[TEAM]]&amp;Matrix[[#Headers],[2]],FDR[FDR]&amp;FDR[[#Headers],[2]],FDR[2],"",0,1)</f>
        <v>2</v>
      </c>
      <c r="O182" cm="1">
        <f t="array" ref="O182">_xlfn.XLOOKUP(Matrix[[#This Row],[TEAM]]&amp;Matrix[[#Headers],[3]],FDR[FDR]&amp;FDR[[#Headers],[3]],FDR[3],"",0,1)</f>
        <v>2</v>
      </c>
      <c r="P182" cm="1">
        <f t="array" ref="P182">_xlfn.XLOOKUP(Matrix[[#This Row],[TEAM]]&amp;Matrix[[#Headers],[4]],FDR[FDR]&amp;FDR[[#Headers],[4]],FDR[4],"",0,1)</f>
        <v>2</v>
      </c>
      <c r="Q182" cm="1">
        <f t="array" ref="Q182">_xlfn.XLOOKUP(Matrix[[#This Row],[TEAM]]&amp;Matrix[[#Headers],[5]],FDR[FDR]&amp;FDR[[#Headers],[5]],FDR[5],"",0,1)</f>
        <v>4</v>
      </c>
      <c r="R182" cm="1">
        <f t="array" ref="R182">_xlfn.XLOOKUP(Matrix[[#This Row],[TEAM]]&amp;Matrix[[#Headers],[6]],FDR[FDR]&amp;FDR[[#Headers],[6]],FDR[6],"",0,1)</f>
        <v>1</v>
      </c>
      <c r="S182" cm="1">
        <f t="array" ref="S182">_xlfn.XLOOKUP(Matrix[[#This Row],[TEAM]]&amp;Matrix[[#Headers],[7]],FDR[FDR]&amp;FDR[[#Headers],[7]],FDR[7],"",0,1)</f>
        <v>2</v>
      </c>
      <c r="T182" cm="1">
        <f t="array" ref="T182">_xlfn.XLOOKUP(Matrix[[#This Row],[TEAM]]&amp;Matrix[[#Headers],[8]],FDR[FDR]&amp;FDR[[#Headers],[8]],FDR[8],"",0,1)</f>
        <v>1</v>
      </c>
      <c r="U182" cm="1">
        <f t="array" ref="U182">_xlfn.XLOOKUP(Matrix[[#This Row],[TEAM]]&amp;Matrix[[#Headers],[9]],FDR[FDR]&amp;FDR[[#Headers],[9]],FDR[9],"",0,1)</f>
        <v>3</v>
      </c>
      <c r="V182" cm="1">
        <f t="array" ref="V182">_xlfn.XLOOKUP(Matrix[[#This Row],[TEAM]]&amp;Matrix[[#Headers],[10]],FDR[FDR]&amp;FDR[[#Headers],[10]],FDR[10],"",0,1)</f>
        <v>1</v>
      </c>
      <c r="W182" cm="1">
        <f t="array" ref="W182">_xlfn.XLOOKUP(Matrix[[#This Row],[TEAM]]&amp;Matrix[[#Headers],[11]],FDR[FDR]&amp;FDR[[#Headers],[11]],FDR[11],"",0,1)</f>
        <v>3</v>
      </c>
      <c r="X182" cm="1">
        <f t="array" ref="X182">_xlfn.XLOOKUP(Matrix[[#This Row],[TEAM]]&amp;Matrix[[#Headers],[12]],FDR[FDR]&amp;FDR[[#Headers],[12]],FDR[12],"",0,1)</f>
        <v>3</v>
      </c>
      <c r="Y182" cm="1">
        <f t="array" ref="Y182">_xlfn.XLOOKUP(Matrix[[#This Row],[TEAM]]&amp;Matrix[[#Headers],[13]],FDR[FDR]&amp;FDR[[#Headers],[13]],FDR[13],"",0,1)</f>
        <v>1</v>
      </c>
      <c r="Z182" cm="1">
        <f t="array" ref="Z182">_xlfn.XLOOKUP(Matrix[[#This Row],[TEAM]]&amp;Matrix[[#Headers],[14]],FDR[FDR]&amp;FDR[[#Headers],[14]],FDR[14],"",0,1)</f>
        <v>2</v>
      </c>
      <c r="AA182" cm="1">
        <f t="array" ref="AA182">_xlfn.XLOOKUP(Matrix[[#This Row],[TEAM]]&amp;Matrix[[#Headers],[15]],FDR[FDR]&amp;FDR[[#Headers],[15]],FDR[15],"",0,1)</f>
        <v>1</v>
      </c>
      <c r="AB182" cm="1">
        <f t="array" ref="AB182">_xlfn.XLOOKUP(Matrix[[#This Row],[TEAM]]&amp;Matrix[[#Headers],[16]],FDR[FDR]&amp;FDR[[#Headers],[16]],FDR[16],"",0,1)</f>
        <v>2</v>
      </c>
      <c r="AC182" cm="1">
        <f t="array" ref="AC182">_xlfn.XLOOKUP(Matrix[[#This Row],[TEAM]]&amp;Matrix[[#Headers],[17]],FDR[FDR]&amp;FDR[[#Headers],[17]],FDR[17],"",0,1)</f>
        <v>1</v>
      </c>
      <c r="AD182" cm="1">
        <f t="array" ref="AD182">_xlfn.XLOOKUP(Matrix[[#This Row],[TEAM]]&amp;Matrix[[#Headers],[18]],FDR[FDR]&amp;FDR[[#Headers],[18]],FDR[18],"",0,1)</f>
        <v>2</v>
      </c>
      <c r="AE182" cm="1">
        <f t="array" ref="AE182">_xlfn.XLOOKUP(Matrix[[#This Row],[TEAM]]&amp;Matrix[[#Headers],[19]],FDR[FDR]&amp;FDR[[#Headers],[19]],FDR[19],"",0,1)</f>
        <v>1</v>
      </c>
      <c r="AF182" cm="1">
        <f t="array" ref="AF182">_xlfn.XLOOKUP(Matrix[[#This Row],[TEAM]]&amp;Matrix[[#Headers],[20]],FDR[FDR]&amp;FDR[[#Headers],[20]],FDR[20],"",0,1)</f>
        <v>2</v>
      </c>
      <c r="AG182" cm="1">
        <f t="array" ref="AG182">_xlfn.XLOOKUP(Matrix[[#This Row],[TEAM]]&amp;Matrix[[#Headers],[21]],FDR[FDR]&amp;FDR[[#Headers],[21]],FDR[21],"",0,1)</f>
        <v>1</v>
      </c>
      <c r="AH182" cm="1">
        <f t="array" ref="AH182">_xlfn.XLOOKUP(Matrix[[#This Row],[TEAM]]&amp;Matrix[[#Headers],[22]],FDR[FDR]&amp;FDR[[#Headers],[22]],FDR[22],"",0,1)</f>
        <v>3</v>
      </c>
      <c r="AI182" cm="1">
        <f t="array" ref="AI182">_xlfn.XLOOKUP(Matrix[[#This Row],[TEAM]]&amp;Matrix[[#Headers],[23]],FDR[FDR]&amp;FDR[[#Headers],[23]],FDR[23],"",0,1)</f>
        <v>1</v>
      </c>
      <c r="AJ182" cm="1">
        <f t="array" ref="AJ182">_xlfn.XLOOKUP(Matrix[[#This Row],[TEAM]]&amp;Matrix[[#Headers],[24]],FDR[FDR]&amp;FDR[[#Headers],[24]],FDR[24],"",0,1)</f>
        <v>3</v>
      </c>
      <c r="AK182" cm="1">
        <f t="array" ref="AK182">_xlfn.XLOOKUP(Matrix[[#This Row],[TEAM]]&amp;Matrix[[#Headers],[25]],FDR[FDR]&amp;FDR[[#Headers],[25]],FDR[25],"",0,1)</f>
        <v>4</v>
      </c>
      <c r="AL182" cm="1">
        <f t="array" ref="AL182">_xlfn.XLOOKUP(Matrix[[#This Row],[TEAM]]&amp;Matrix[[#Headers],[26]],FDR[FDR]&amp;FDR[[#Headers],[26]],FDR[26],"",0,1)</f>
        <v>1</v>
      </c>
      <c r="AM182" cm="1">
        <f t="array" ref="AM182">_xlfn.XLOOKUP(Matrix[[#This Row],[TEAM]]&amp;Matrix[[#Headers],[27]],FDR[FDR]&amp;FDR[[#Headers],[27]],FDR[27],"",0,1)</f>
        <v>2</v>
      </c>
      <c r="AN182" cm="1">
        <f t="array" ref="AN182">_xlfn.XLOOKUP(Matrix[[#This Row],[TEAM]]&amp;Matrix[[#Headers],[28]],FDR[FDR]&amp;FDR[[#Headers],[28]],FDR[28],"",0,1)</f>
        <v>1</v>
      </c>
      <c r="AO182" cm="1">
        <f t="array" ref="AO182">_xlfn.XLOOKUP(Matrix[[#This Row],[TEAM]]&amp;Matrix[[#Headers],[29]],FDR[FDR]&amp;FDR[[#Headers],[29]],FDR[29],"",0,1)</f>
        <v>1</v>
      </c>
      <c r="AP182" cm="1">
        <f t="array" ref="AP182">_xlfn.XLOOKUP(Matrix[[#This Row],[TEAM]]&amp;Matrix[[#Headers],[30]],FDR[FDR]&amp;FDR[[#Headers],[30]],FDR[30],"",0,1)</f>
        <v>2</v>
      </c>
      <c r="AQ182" cm="1">
        <f t="array" ref="AQ182">_xlfn.XLOOKUP(Matrix[[#This Row],[TEAM]]&amp;Matrix[[#Headers],[31]],FDR[FDR]&amp;FDR[[#Headers],[31]],FDR[31],"",0,1)</f>
        <v>1</v>
      </c>
      <c r="AR182" cm="1">
        <f t="array" ref="AR182">_xlfn.XLOOKUP(Matrix[[#This Row],[TEAM]]&amp;Matrix[[#Headers],[32]],FDR[FDR]&amp;FDR[[#Headers],[32]],FDR[32],"",0,1)</f>
        <v>3</v>
      </c>
      <c r="AS182" cm="1">
        <f t="array" ref="AS182">_xlfn.XLOOKUP(Matrix[[#This Row],[TEAM]]&amp;Matrix[[#Headers],[33]],FDR[FDR]&amp;FDR[[#Headers],[33]],FDR[33],"",0,1)</f>
        <v>3</v>
      </c>
      <c r="AT182" cm="1">
        <f t="array" ref="AT182">_xlfn.XLOOKUP(Matrix[[#This Row],[TEAM]]&amp;Matrix[[#Headers],[34]],FDR[FDR]&amp;FDR[[#Headers],[34]],FDR[34],"",0,1)</f>
        <v>1</v>
      </c>
      <c r="AU182" cm="1">
        <f t="array" ref="AU182">_xlfn.XLOOKUP(Matrix[[#This Row],[TEAM]]&amp;Matrix[[#Headers],[35]],FDR[FDR]&amp;FDR[[#Headers],[35]],FDR[35],"",0,1)</f>
        <v>2</v>
      </c>
      <c r="AV182" cm="1">
        <f t="array" ref="AV182">_xlfn.XLOOKUP(Matrix[[#This Row],[TEAM]]&amp;Matrix[[#Headers],[36]],FDR[FDR]&amp;FDR[[#Headers],[36]],FDR[36],"",0,1)</f>
        <v>1</v>
      </c>
      <c r="AW182" cm="1">
        <f t="array" ref="AW182">_xlfn.XLOOKUP(Matrix[[#This Row],[TEAM]]&amp;Matrix[[#Headers],[37]],FDR[FDR]&amp;FDR[[#Headers],[37]],FDR[37],"",0,1)</f>
        <v>2</v>
      </c>
      <c r="AX182" cm="1">
        <f t="array" ref="AX182">_xlfn.XLOOKUP(Matrix[[#This Row],[TEAM]]&amp;Matrix[[#Headers],[38]],FDR[FDR]&amp;FDR[[#Headers],[38]],FDR[38],"",0,1)</f>
        <v>2</v>
      </c>
    </row>
    <row r="183" spans="1:50" ht="22" thickTop="1" thickBot="1">
      <c r="A183" s="52" t="s">
        <v>658</v>
      </c>
      <c r="B183" s="70" t="s">
        <v>1491</v>
      </c>
      <c r="C183" s="40" t="s">
        <v>29</v>
      </c>
      <c r="D183" s="62">
        <v>0</v>
      </c>
      <c r="E183" s="60">
        <v>2.5999999999999999E-2</v>
      </c>
      <c r="F183" s="61">
        <v>0</v>
      </c>
      <c r="G183" s="63">
        <v>5</v>
      </c>
      <c r="H183" s="261">
        <f>IF(ISBLANK(I183),0,1)</f>
        <v>0</v>
      </c>
      <c r="I183" s="57"/>
      <c r="J183" s="58"/>
      <c r="K183" s="66" t="s">
        <v>111</v>
      </c>
      <c r="L183" s="66" t="s">
        <v>573</v>
      </c>
      <c r="M183" cm="1">
        <f t="array" ref="M183">_xlfn.XLOOKUP(Matrix[[#This Row],[TEAM]]&amp;Matrix[[#Headers],[1]],FDR[FDR]&amp;FDR[[#Headers],[1]],FDR[1],"",0,1)</f>
        <v>1</v>
      </c>
      <c r="N183" cm="1">
        <f t="array" ref="N183">_xlfn.XLOOKUP(Matrix[[#This Row],[TEAM]]&amp;Matrix[[#Headers],[2]],FDR[FDR]&amp;FDR[[#Headers],[2]],FDR[2],"",0,1)</f>
        <v>2</v>
      </c>
      <c r="O183" cm="1">
        <f t="array" ref="O183">_xlfn.XLOOKUP(Matrix[[#This Row],[TEAM]]&amp;Matrix[[#Headers],[3]],FDR[FDR]&amp;FDR[[#Headers],[3]],FDR[3],"",0,1)</f>
        <v>2</v>
      </c>
      <c r="P183" cm="1">
        <f t="array" ref="P183">_xlfn.XLOOKUP(Matrix[[#This Row],[TEAM]]&amp;Matrix[[#Headers],[4]],FDR[FDR]&amp;FDR[[#Headers],[4]],FDR[4],"",0,1)</f>
        <v>2</v>
      </c>
      <c r="Q183" cm="1">
        <f t="array" ref="Q183">_xlfn.XLOOKUP(Matrix[[#This Row],[TEAM]]&amp;Matrix[[#Headers],[5]],FDR[FDR]&amp;FDR[[#Headers],[5]],FDR[5],"",0,1)</f>
        <v>4</v>
      </c>
      <c r="R183" cm="1">
        <f t="array" ref="R183">_xlfn.XLOOKUP(Matrix[[#This Row],[TEAM]]&amp;Matrix[[#Headers],[6]],FDR[FDR]&amp;FDR[[#Headers],[6]],FDR[6],"",0,1)</f>
        <v>1</v>
      </c>
      <c r="S183" cm="1">
        <f t="array" ref="S183">_xlfn.XLOOKUP(Matrix[[#This Row],[TEAM]]&amp;Matrix[[#Headers],[7]],FDR[FDR]&amp;FDR[[#Headers],[7]],FDR[7],"",0,1)</f>
        <v>2</v>
      </c>
      <c r="T183" cm="1">
        <f t="array" ref="T183">_xlfn.XLOOKUP(Matrix[[#This Row],[TEAM]]&amp;Matrix[[#Headers],[8]],FDR[FDR]&amp;FDR[[#Headers],[8]],FDR[8],"",0,1)</f>
        <v>1</v>
      </c>
      <c r="U183" cm="1">
        <f t="array" ref="U183">_xlfn.XLOOKUP(Matrix[[#This Row],[TEAM]]&amp;Matrix[[#Headers],[9]],FDR[FDR]&amp;FDR[[#Headers],[9]],FDR[9],"",0,1)</f>
        <v>3</v>
      </c>
      <c r="V183" cm="1">
        <f t="array" ref="V183">_xlfn.XLOOKUP(Matrix[[#This Row],[TEAM]]&amp;Matrix[[#Headers],[10]],FDR[FDR]&amp;FDR[[#Headers],[10]],FDR[10],"",0,1)</f>
        <v>1</v>
      </c>
      <c r="W183" cm="1">
        <f t="array" ref="W183">_xlfn.XLOOKUP(Matrix[[#This Row],[TEAM]]&amp;Matrix[[#Headers],[11]],FDR[FDR]&amp;FDR[[#Headers],[11]],FDR[11],"",0,1)</f>
        <v>3</v>
      </c>
      <c r="X183" cm="1">
        <f t="array" ref="X183">_xlfn.XLOOKUP(Matrix[[#This Row],[TEAM]]&amp;Matrix[[#Headers],[12]],FDR[FDR]&amp;FDR[[#Headers],[12]],FDR[12],"",0,1)</f>
        <v>3</v>
      </c>
      <c r="Y183" cm="1">
        <f t="array" ref="Y183">_xlfn.XLOOKUP(Matrix[[#This Row],[TEAM]]&amp;Matrix[[#Headers],[13]],FDR[FDR]&amp;FDR[[#Headers],[13]],FDR[13],"",0,1)</f>
        <v>1</v>
      </c>
      <c r="Z183" cm="1">
        <f t="array" ref="Z183">_xlfn.XLOOKUP(Matrix[[#This Row],[TEAM]]&amp;Matrix[[#Headers],[14]],FDR[FDR]&amp;FDR[[#Headers],[14]],FDR[14],"",0,1)</f>
        <v>2</v>
      </c>
      <c r="AA183" cm="1">
        <f t="array" ref="AA183">_xlfn.XLOOKUP(Matrix[[#This Row],[TEAM]]&amp;Matrix[[#Headers],[15]],FDR[FDR]&amp;FDR[[#Headers],[15]],FDR[15],"",0,1)</f>
        <v>1</v>
      </c>
      <c r="AB183" cm="1">
        <f t="array" ref="AB183">_xlfn.XLOOKUP(Matrix[[#This Row],[TEAM]]&amp;Matrix[[#Headers],[16]],FDR[FDR]&amp;FDR[[#Headers],[16]],FDR[16],"",0,1)</f>
        <v>2</v>
      </c>
      <c r="AC183" cm="1">
        <f t="array" ref="AC183">_xlfn.XLOOKUP(Matrix[[#This Row],[TEAM]]&amp;Matrix[[#Headers],[17]],FDR[FDR]&amp;FDR[[#Headers],[17]],FDR[17],"",0,1)</f>
        <v>1</v>
      </c>
      <c r="AD183" cm="1">
        <f t="array" ref="AD183">_xlfn.XLOOKUP(Matrix[[#This Row],[TEAM]]&amp;Matrix[[#Headers],[18]],FDR[FDR]&amp;FDR[[#Headers],[18]],FDR[18],"",0,1)</f>
        <v>2</v>
      </c>
      <c r="AE183" cm="1">
        <f t="array" ref="AE183">_xlfn.XLOOKUP(Matrix[[#This Row],[TEAM]]&amp;Matrix[[#Headers],[19]],FDR[FDR]&amp;FDR[[#Headers],[19]],FDR[19],"",0,1)</f>
        <v>1</v>
      </c>
      <c r="AF183" cm="1">
        <f t="array" ref="AF183">_xlfn.XLOOKUP(Matrix[[#This Row],[TEAM]]&amp;Matrix[[#Headers],[20]],FDR[FDR]&amp;FDR[[#Headers],[20]],FDR[20],"",0,1)</f>
        <v>2</v>
      </c>
      <c r="AG183" cm="1">
        <f t="array" ref="AG183">_xlfn.XLOOKUP(Matrix[[#This Row],[TEAM]]&amp;Matrix[[#Headers],[21]],FDR[FDR]&amp;FDR[[#Headers],[21]],FDR[21],"",0,1)</f>
        <v>1</v>
      </c>
      <c r="AH183" cm="1">
        <f t="array" ref="AH183">_xlfn.XLOOKUP(Matrix[[#This Row],[TEAM]]&amp;Matrix[[#Headers],[22]],FDR[FDR]&amp;FDR[[#Headers],[22]],FDR[22],"",0,1)</f>
        <v>3</v>
      </c>
      <c r="AI183" cm="1">
        <f t="array" ref="AI183">_xlfn.XLOOKUP(Matrix[[#This Row],[TEAM]]&amp;Matrix[[#Headers],[23]],FDR[FDR]&amp;FDR[[#Headers],[23]],FDR[23],"",0,1)</f>
        <v>1</v>
      </c>
      <c r="AJ183" cm="1">
        <f t="array" ref="AJ183">_xlfn.XLOOKUP(Matrix[[#This Row],[TEAM]]&amp;Matrix[[#Headers],[24]],FDR[FDR]&amp;FDR[[#Headers],[24]],FDR[24],"",0,1)</f>
        <v>3</v>
      </c>
      <c r="AK183" cm="1">
        <f t="array" ref="AK183">_xlfn.XLOOKUP(Matrix[[#This Row],[TEAM]]&amp;Matrix[[#Headers],[25]],FDR[FDR]&amp;FDR[[#Headers],[25]],FDR[25],"",0,1)</f>
        <v>4</v>
      </c>
      <c r="AL183" cm="1">
        <f t="array" ref="AL183">_xlfn.XLOOKUP(Matrix[[#This Row],[TEAM]]&amp;Matrix[[#Headers],[26]],FDR[FDR]&amp;FDR[[#Headers],[26]],FDR[26],"",0,1)</f>
        <v>1</v>
      </c>
      <c r="AM183" cm="1">
        <f t="array" ref="AM183">_xlfn.XLOOKUP(Matrix[[#This Row],[TEAM]]&amp;Matrix[[#Headers],[27]],FDR[FDR]&amp;FDR[[#Headers],[27]],FDR[27],"",0,1)</f>
        <v>2</v>
      </c>
      <c r="AN183" cm="1">
        <f t="array" ref="AN183">_xlfn.XLOOKUP(Matrix[[#This Row],[TEAM]]&amp;Matrix[[#Headers],[28]],FDR[FDR]&amp;FDR[[#Headers],[28]],FDR[28],"",0,1)</f>
        <v>1</v>
      </c>
      <c r="AO183" cm="1">
        <f t="array" ref="AO183">_xlfn.XLOOKUP(Matrix[[#This Row],[TEAM]]&amp;Matrix[[#Headers],[29]],FDR[FDR]&amp;FDR[[#Headers],[29]],FDR[29],"",0,1)</f>
        <v>1</v>
      </c>
      <c r="AP183" cm="1">
        <f t="array" ref="AP183">_xlfn.XLOOKUP(Matrix[[#This Row],[TEAM]]&amp;Matrix[[#Headers],[30]],FDR[FDR]&amp;FDR[[#Headers],[30]],FDR[30],"",0,1)</f>
        <v>2</v>
      </c>
      <c r="AQ183" cm="1">
        <f t="array" ref="AQ183">_xlfn.XLOOKUP(Matrix[[#This Row],[TEAM]]&amp;Matrix[[#Headers],[31]],FDR[FDR]&amp;FDR[[#Headers],[31]],FDR[31],"",0,1)</f>
        <v>1</v>
      </c>
      <c r="AR183" cm="1">
        <f t="array" ref="AR183">_xlfn.XLOOKUP(Matrix[[#This Row],[TEAM]]&amp;Matrix[[#Headers],[32]],FDR[FDR]&amp;FDR[[#Headers],[32]],FDR[32],"",0,1)</f>
        <v>3</v>
      </c>
      <c r="AS183" cm="1">
        <f t="array" ref="AS183">_xlfn.XLOOKUP(Matrix[[#This Row],[TEAM]]&amp;Matrix[[#Headers],[33]],FDR[FDR]&amp;FDR[[#Headers],[33]],FDR[33],"",0,1)</f>
        <v>3</v>
      </c>
      <c r="AT183" cm="1">
        <f t="array" ref="AT183">_xlfn.XLOOKUP(Matrix[[#This Row],[TEAM]]&amp;Matrix[[#Headers],[34]],FDR[FDR]&amp;FDR[[#Headers],[34]],FDR[34],"",0,1)</f>
        <v>1</v>
      </c>
      <c r="AU183" cm="1">
        <f t="array" ref="AU183">_xlfn.XLOOKUP(Matrix[[#This Row],[TEAM]]&amp;Matrix[[#Headers],[35]],FDR[FDR]&amp;FDR[[#Headers],[35]],FDR[35],"",0,1)</f>
        <v>2</v>
      </c>
      <c r="AV183" cm="1">
        <f t="array" ref="AV183">_xlfn.XLOOKUP(Matrix[[#This Row],[TEAM]]&amp;Matrix[[#Headers],[36]],FDR[FDR]&amp;FDR[[#Headers],[36]],FDR[36],"",0,1)</f>
        <v>1</v>
      </c>
      <c r="AW183" cm="1">
        <f t="array" ref="AW183">_xlfn.XLOOKUP(Matrix[[#This Row],[TEAM]]&amp;Matrix[[#Headers],[37]],FDR[FDR]&amp;FDR[[#Headers],[37]],FDR[37],"",0,1)</f>
        <v>2</v>
      </c>
      <c r="AX183" cm="1">
        <f t="array" ref="AX183">_xlfn.XLOOKUP(Matrix[[#This Row],[TEAM]]&amp;Matrix[[#Headers],[38]],FDR[FDR]&amp;FDR[[#Headers],[38]],FDR[38],"",0,1)</f>
        <v>2</v>
      </c>
    </row>
    <row r="184" spans="1:50" ht="22" thickTop="1" thickBot="1">
      <c r="A184" s="52" t="s">
        <v>658</v>
      </c>
      <c r="B184" s="70" t="s">
        <v>1508</v>
      </c>
      <c r="C184" s="40" t="s">
        <v>25</v>
      </c>
      <c r="D184" s="62">
        <v>0</v>
      </c>
      <c r="E184" s="60">
        <v>7.0000000000000001E-3</v>
      </c>
      <c r="F184" s="61">
        <v>0</v>
      </c>
      <c r="G184" s="63">
        <v>5</v>
      </c>
      <c r="H184" s="261">
        <f>IF(ISBLANK(I184),0,1)</f>
        <v>0</v>
      </c>
      <c r="I184" s="57"/>
      <c r="J184" s="58"/>
      <c r="K184" s="66" t="s">
        <v>374</v>
      </c>
      <c r="L184" s="66" t="s">
        <v>75</v>
      </c>
      <c r="M184" cm="1">
        <f t="array" ref="M184">_xlfn.XLOOKUP(Matrix[[#This Row],[TEAM]]&amp;Matrix[[#Headers],[1]],FDR[FDR]&amp;FDR[[#Headers],[1]],FDR[1],"",0,1)</f>
        <v>3</v>
      </c>
      <c r="N184" cm="1">
        <f t="array" ref="N184">_xlfn.XLOOKUP(Matrix[[#This Row],[TEAM]]&amp;Matrix[[#Headers],[2]],FDR[FDR]&amp;FDR[[#Headers],[2]],FDR[2],"",0,1)</f>
        <v>3</v>
      </c>
      <c r="O184" cm="1">
        <f t="array" ref="O184">_xlfn.XLOOKUP(Matrix[[#This Row],[TEAM]]&amp;Matrix[[#Headers],[3]],FDR[FDR]&amp;FDR[[#Headers],[3]],FDR[3],"",0,1)</f>
        <v>1</v>
      </c>
      <c r="P184" cm="1">
        <f t="array" ref="P184">_xlfn.XLOOKUP(Matrix[[#This Row],[TEAM]]&amp;Matrix[[#Headers],[4]],FDR[FDR]&amp;FDR[[#Headers],[4]],FDR[4],"",0,1)</f>
        <v>1</v>
      </c>
      <c r="Q184" cm="1">
        <f t="array" ref="Q184">_xlfn.XLOOKUP(Matrix[[#This Row],[TEAM]]&amp;Matrix[[#Headers],[5]],FDR[FDR]&amp;FDR[[#Headers],[5]],FDR[5],"",0,1)</f>
        <v>2</v>
      </c>
      <c r="R184" cm="1">
        <f t="array" ref="R184">_xlfn.XLOOKUP(Matrix[[#This Row],[TEAM]]&amp;Matrix[[#Headers],[6]],FDR[FDR]&amp;FDR[[#Headers],[6]],FDR[6],"",0,1)</f>
        <v>3</v>
      </c>
      <c r="S184" cm="1">
        <f t="array" ref="S184">_xlfn.XLOOKUP(Matrix[[#This Row],[TEAM]]&amp;Matrix[[#Headers],[7]],FDR[FDR]&amp;FDR[[#Headers],[7]],FDR[7],"",0,1)</f>
        <v>2</v>
      </c>
      <c r="T184" cm="1">
        <f t="array" ref="T184">_xlfn.XLOOKUP(Matrix[[#This Row],[TEAM]]&amp;Matrix[[#Headers],[8]],FDR[FDR]&amp;FDR[[#Headers],[8]],FDR[8],"",0,1)</f>
        <v>2</v>
      </c>
      <c r="U184" cm="1">
        <f t="array" ref="U184">_xlfn.XLOOKUP(Matrix[[#This Row],[TEAM]]&amp;Matrix[[#Headers],[9]],FDR[FDR]&amp;FDR[[#Headers],[9]],FDR[9],"",0,1)</f>
        <v>2</v>
      </c>
      <c r="V184" cm="1">
        <f t="array" ref="V184">_xlfn.XLOOKUP(Matrix[[#This Row],[TEAM]]&amp;Matrix[[#Headers],[10]],FDR[FDR]&amp;FDR[[#Headers],[10]],FDR[10],"",0,1)</f>
        <v>2</v>
      </c>
      <c r="W184" cm="1">
        <f t="array" ref="W184">_xlfn.XLOOKUP(Matrix[[#This Row],[TEAM]]&amp;Matrix[[#Headers],[11]],FDR[FDR]&amp;FDR[[#Headers],[11]],FDR[11],"",0,1)</f>
        <v>2</v>
      </c>
      <c r="X184" cm="1">
        <f t="array" ref="X184">_xlfn.XLOOKUP(Matrix[[#This Row],[TEAM]]&amp;Matrix[[#Headers],[12]],FDR[FDR]&amp;FDR[[#Headers],[12]],FDR[12],"",0,1)</f>
        <v>3</v>
      </c>
      <c r="Y184" cm="1">
        <f t="array" ref="Y184">_xlfn.XLOOKUP(Matrix[[#This Row],[TEAM]]&amp;Matrix[[#Headers],[13]],FDR[FDR]&amp;FDR[[#Headers],[13]],FDR[13],"",0,1)</f>
        <v>2</v>
      </c>
      <c r="Z184" cm="1">
        <f t="array" ref="Z184">_xlfn.XLOOKUP(Matrix[[#This Row],[TEAM]]&amp;Matrix[[#Headers],[14]],FDR[FDR]&amp;FDR[[#Headers],[14]],FDR[14],"",0,1)</f>
        <v>3</v>
      </c>
      <c r="AA184" cm="1">
        <f t="array" ref="AA184">_xlfn.XLOOKUP(Matrix[[#This Row],[TEAM]]&amp;Matrix[[#Headers],[15]],FDR[FDR]&amp;FDR[[#Headers],[15]],FDR[15],"",0,1)</f>
        <v>1</v>
      </c>
      <c r="AB184" cm="1">
        <f t="array" ref="AB184">_xlfn.XLOOKUP(Matrix[[#This Row],[TEAM]]&amp;Matrix[[#Headers],[16]],FDR[FDR]&amp;FDR[[#Headers],[16]],FDR[16],"",0,1)</f>
        <v>1</v>
      </c>
      <c r="AC184" cm="1">
        <f t="array" ref="AC184">_xlfn.XLOOKUP(Matrix[[#This Row],[TEAM]]&amp;Matrix[[#Headers],[17]],FDR[FDR]&amp;FDR[[#Headers],[17]],FDR[17],"",0,1)</f>
        <v>3</v>
      </c>
      <c r="AD184" cm="1">
        <f t="array" ref="AD184">_xlfn.XLOOKUP(Matrix[[#This Row],[TEAM]]&amp;Matrix[[#Headers],[18]],FDR[FDR]&amp;FDR[[#Headers],[18]],FDR[18],"",0,1)</f>
        <v>4</v>
      </c>
      <c r="AE184" cm="1">
        <f t="array" ref="AE184">_xlfn.XLOOKUP(Matrix[[#This Row],[TEAM]]&amp;Matrix[[#Headers],[19]],FDR[FDR]&amp;FDR[[#Headers],[19]],FDR[19],"",0,1)</f>
        <v>1</v>
      </c>
      <c r="AF184" cm="1">
        <f t="array" ref="AF184">_xlfn.XLOOKUP(Matrix[[#This Row],[TEAM]]&amp;Matrix[[#Headers],[20]],FDR[FDR]&amp;FDR[[#Headers],[20]],FDR[20],"",0,1)</f>
        <v>1</v>
      </c>
      <c r="AG184" cm="1">
        <f t="array" ref="AG184">_xlfn.XLOOKUP(Matrix[[#This Row],[TEAM]]&amp;Matrix[[#Headers],[21]],FDR[FDR]&amp;FDR[[#Headers],[21]],FDR[21],"",0,1)</f>
        <v>1</v>
      </c>
      <c r="AH184" cm="1">
        <f t="array" ref="AH184">_xlfn.XLOOKUP(Matrix[[#This Row],[TEAM]]&amp;Matrix[[#Headers],[22]],FDR[FDR]&amp;FDR[[#Headers],[22]],FDR[22],"",0,1)</f>
        <v>1</v>
      </c>
      <c r="AI184" cm="1">
        <f t="array" ref="AI184">_xlfn.XLOOKUP(Matrix[[#This Row],[TEAM]]&amp;Matrix[[#Headers],[23]],FDR[FDR]&amp;FDR[[#Headers],[23]],FDR[23],"",0,1)</f>
        <v>2</v>
      </c>
      <c r="AJ184" cm="1">
        <f t="array" ref="AJ184">_xlfn.XLOOKUP(Matrix[[#This Row],[TEAM]]&amp;Matrix[[#Headers],[24]],FDR[FDR]&amp;FDR[[#Headers],[24]],FDR[24],"",0,1)</f>
        <v>4</v>
      </c>
      <c r="AK184" cm="1">
        <f t="array" ref="AK184">_xlfn.XLOOKUP(Matrix[[#This Row],[TEAM]]&amp;Matrix[[#Headers],[25]],FDR[FDR]&amp;FDR[[#Headers],[25]],FDR[25],"",0,1)</f>
        <v>1</v>
      </c>
      <c r="AL184" cm="1">
        <f t="array" ref="AL184">_xlfn.XLOOKUP(Matrix[[#This Row],[TEAM]]&amp;Matrix[[#Headers],[26]],FDR[FDR]&amp;FDR[[#Headers],[26]],FDR[26],"",0,1)</f>
        <v>4</v>
      </c>
      <c r="AM184" cm="1">
        <f t="array" ref="AM184">_xlfn.XLOOKUP(Matrix[[#This Row],[TEAM]]&amp;Matrix[[#Headers],[27]],FDR[FDR]&amp;FDR[[#Headers],[27]],FDR[27],"",0,1)</f>
        <v>4</v>
      </c>
      <c r="AN184" cm="1">
        <f t="array" ref="AN184">_xlfn.XLOOKUP(Matrix[[#This Row],[TEAM]]&amp;Matrix[[#Headers],[28]],FDR[FDR]&amp;FDR[[#Headers],[28]],FDR[28],"",0,1)</f>
        <v>1</v>
      </c>
      <c r="AO184" cm="1">
        <f t="array" ref="AO184">_xlfn.XLOOKUP(Matrix[[#This Row],[TEAM]]&amp;Matrix[[#Headers],[29]],FDR[FDR]&amp;FDR[[#Headers],[29]],FDR[29],"",0,1)</f>
        <v>3</v>
      </c>
      <c r="AP184" cm="1">
        <f t="array" ref="AP184">_xlfn.XLOOKUP(Matrix[[#This Row],[TEAM]]&amp;Matrix[[#Headers],[30]],FDR[FDR]&amp;FDR[[#Headers],[30]],FDR[30],"",0,1)</f>
        <v>4</v>
      </c>
      <c r="AQ184" cm="1">
        <f t="array" ref="AQ184">_xlfn.XLOOKUP(Matrix[[#This Row],[TEAM]]&amp;Matrix[[#Headers],[31]],FDR[FDR]&amp;FDR[[#Headers],[31]],FDR[31],"",0,1)</f>
        <v>1</v>
      </c>
      <c r="AR184" cm="1">
        <f t="array" ref="AR184">_xlfn.XLOOKUP(Matrix[[#This Row],[TEAM]]&amp;Matrix[[#Headers],[32]],FDR[FDR]&amp;FDR[[#Headers],[32]],FDR[32],"",0,1)</f>
        <v>2</v>
      </c>
      <c r="AS184" cm="1">
        <f t="array" ref="AS184">_xlfn.XLOOKUP(Matrix[[#This Row],[TEAM]]&amp;Matrix[[#Headers],[33]],FDR[FDR]&amp;FDR[[#Headers],[33]],FDR[33],"",0,1)</f>
        <v>2</v>
      </c>
      <c r="AT184" cm="1">
        <f t="array" ref="AT184">_xlfn.XLOOKUP(Matrix[[#This Row],[TEAM]]&amp;Matrix[[#Headers],[34]],FDR[FDR]&amp;FDR[[#Headers],[34]],FDR[34],"",0,1)</f>
        <v>4</v>
      </c>
      <c r="AU184" cm="1">
        <f t="array" ref="AU184">_xlfn.XLOOKUP(Matrix[[#This Row],[TEAM]]&amp;Matrix[[#Headers],[35]],FDR[FDR]&amp;FDR[[#Headers],[35]],FDR[35],"",0,1)</f>
        <v>2</v>
      </c>
      <c r="AV184" cm="1">
        <f t="array" ref="AV184">_xlfn.XLOOKUP(Matrix[[#This Row],[TEAM]]&amp;Matrix[[#Headers],[36]],FDR[FDR]&amp;FDR[[#Headers],[36]],FDR[36],"",0,1)</f>
        <v>2</v>
      </c>
      <c r="AW184" cm="1">
        <f t="array" ref="AW184">_xlfn.XLOOKUP(Matrix[[#This Row],[TEAM]]&amp;Matrix[[#Headers],[37]],FDR[FDR]&amp;FDR[[#Headers],[37]],FDR[37],"",0,1)</f>
        <v>1</v>
      </c>
      <c r="AX184" cm="1">
        <f t="array" ref="AX184">_xlfn.XLOOKUP(Matrix[[#This Row],[TEAM]]&amp;Matrix[[#Headers],[38]],FDR[FDR]&amp;FDR[[#Headers],[38]],FDR[38],"",0,1)</f>
        <v>2</v>
      </c>
    </row>
    <row r="185" spans="1:50" ht="22" thickTop="1" thickBot="1">
      <c r="A185" s="51" t="s">
        <v>657</v>
      </c>
      <c r="B185" s="70" t="s">
        <v>1902</v>
      </c>
      <c r="C185" s="40" t="s">
        <v>52</v>
      </c>
      <c r="D185" s="62">
        <v>128</v>
      </c>
      <c r="E185" s="60">
        <v>0.17</v>
      </c>
      <c r="F185" s="61">
        <v>94.1</v>
      </c>
      <c r="G185" s="63">
        <v>5</v>
      </c>
      <c r="H185" s="261">
        <f>IF(ISBLANK(I185),0,1)</f>
        <v>0</v>
      </c>
      <c r="I185" s="57"/>
      <c r="J185" s="58"/>
      <c r="K185" s="65" t="s">
        <v>1903</v>
      </c>
      <c r="L185" s="65" t="s">
        <v>572</v>
      </c>
      <c r="M185" cm="1">
        <f t="array" ref="M185">_xlfn.XLOOKUP(Matrix[[#This Row],[TEAM]]&amp;Matrix[[#Headers],[1]],FDR[FDR]&amp;FDR[[#Headers],[1]],FDR[1],"",0,1)</f>
        <v>2</v>
      </c>
      <c r="N185" cm="1">
        <f t="array" ref="N185">_xlfn.XLOOKUP(Matrix[[#This Row],[TEAM]]&amp;Matrix[[#Headers],[2]],FDR[FDR]&amp;FDR[[#Headers],[2]],FDR[2],"",0,1)</f>
        <v>3</v>
      </c>
      <c r="O185" cm="1">
        <f t="array" ref="O185">_xlfn.XLOOKUP(Matrix[[#This Row],[TEAM]]&amp;Matrix[[#Headers],[3]],FDR[FDR]&amp;FDR[[#Headers],[3]],FDR[3],"",0,1)</f>
        <v>2</v>
      </c>
      <c r="P185" cm="1">
        <f t="array" ref="P185">_xlfn.XLOOKUP(Matrix[[#This Row],[TEAM]]&amp;Matrix[[#Headers],[4]],FDR[FDR]&amp;FDR[[#Headers],[4]],FDR[4],"",0,1)</f>
        <v>5</v>
      </c>
      <c r="Q185" cm="1">
        <f t="array" ref="Q185">_xlfn.XLOOKUP(Matrix[[#This Row],[TEAM]]&amp;Matrix[[#Headers],[5]],FDR[FDR]&amp;FDR[[#Headers],[5]],FDR[5],"",0,1)</f>
        <v>2</v>
      </c>
      <c r="R185" cm="1">
        <f t="array" ref="R185">_xlfn.XLOOKUP(Matrix[[#This Row],[TEAM]]&amp;Matrix[[#Headers],[6]],FDR[FDR]&amp;FDR[[#Headers],[6]],FDR[6],"",0,1)</f>
        <v>1</v>
      </c>
      <c r="S185" cm="1">
        <f t="array" ref="S185">_xlfn.XLOOKUP(Matrix[[#This Row],[TEAM]]&amp;Matrix[[#Headers],[7]],FDR[FDR]&amp;FDR[[#Headers],[7]],FDR[7],"",0,1)</f>
        <v>5</v>
      </c>
      <c r="T185" cm="1">
        <f t="array" ref="T185">_xlfn.XLOOKUP(Matrix[[#This Row],[TEAM]]&amp;Matrix[[#Headers],[8]],FDR[FDR]&amp;FDR[[#Headers],[8]],FDR[8],"",0,1)</f>
        <v>4</v>
      </c>
      <c r="U185" cm="1">
        <f t="array" ref="U185">_xlfn.XLOOKUP(Matrix[[#This Row],[TEAM]]&amp;Matrix[[#Headers],[9]],FDR[FDR]&amp;FDR[[#Headers],[9]],FDR[9],"",0,1)</f>
        <v>4</v>
      </c>
      <c r="V185" cm="1">
        <f t="array" ref="V185">_xlfn.XLOOKUP(Matrix[[#This Row],[TEAM]]&amp;Matrix[[#Headers],[10]],FDR[FDR]&amp;FDR[[#Headers],[10]],FDR[10],"",0,1)</f>
        <v>4</v>
      </c>
      <c r="W185" cm="1">
        <f t="array" ref="W185">_xlfn.XLOOKUP(Matrix[[#This Row],[TEAM]]&amp;Matrix[[#Headers],[11]],FDR[FDR]&amp;FDR[[#Headers],[11]],FDR[11],"",0,1)</f>
        <v>1</v>
      </c>
      <c r="X185" cm="1">
        <f t="array" ref="X185">_xlfn.XLOOKUP(Matrix[[#This Row],[TEAM]]&amp;Matrix[[#Headers],[12]],FDR[FDR]&amp;FDR[[#Headers],[12]],FDR[12],"",0,1)</f>
        <v>5</v>
      </c>
      <c r="Y185" cm="1">
        <f t="array" ref="Y185">_xlfn.XLOOKUP(Matrix[[#This Row],[TEAM]]&amp;Matrix[[#Headers],[13]],FDR[FDR]&amp;FDR[[#Headers],[13]],FDR[13],"",0,1)</f>
        <v>3</v>
      </c>
      <c r="Z185" cm="1">
        <f t="array" ref="Z185">_xlfn.XLOOKUP(Matrix[[#This Row],[TEAM]]&amp;Matrix[[#Headers],[14]],FDR[FDR]&amp;FDR[[#Headers],[14]],FDR[14],"",0,1)</f>
        <v>2</v>
      </c>
      <c r="AA185" cm="1">
        <f t="array" ref="AA185">_xlfn.XLOOKUP(Matrix[[#This Row],[TEAM]]&amp;Matrix[[#Headers],[15]],FDR[FDR]&amp;FDR[[#Headers],[15]],FDR[15],"",0,1)</f>
        <v>3</v>
      </c>
      <c r="AB185" cm="1">
        <f t="array" ref="AB185">_xlfn.XLOOKUP(Matrix[[#This Row],[TEAM]]&amp;Matrix[[#Headers],[16]],FDR[FDR]&amp;FDR[[#Headers],[16]],FDR[16],"",0,1)</f>
        <v>4</v>
      </c>
      <c r="AC185" cm="1">
        <f t="array" ref="AC185">_xlfn.XLOOKUP(Matrix[[#This Row],[TEAM]]&amp;Matrix[[#Headers],[17]],FDR[FDR]&amp;FDR[[#Headers],[17]],FDR[17],"",0,1)</f>
        <v>4</v>
      </c>
      <c r="AD185" cm="1">
        <f t="array" ref="AD185">_xlfn.XLOOKUP(Matrix[[#This Row],[TEAM]]&amp;Matrix[[#Headers],[18]],FDR[FDR]&amp;FDR[[#Headers],[18]],FDR[18],"",0,1)</f>
        <v>4</v>
      </c>
      <c r="AE185" cm="1">
        <f t="array" ref="AE185">_xlfn.XLOOKUP(Matrix[[#This Row],[TEAM]]&amp;Matrix[[#Headers],[19]],FDR[FDR]&amp;FDR[[#Headers],[19]],FDR[19],"",0,1)</f>
        <v>2</v>
      </c>
      <c r="AF185" cm="1">
        <f t="array" ref="AF185">_xlfn.XLOOKUP(Matrix[[#This Row],[TEAM]]&amp;Matrix[[#Headers],[20]],FDR[FDR]&amp;FDR[[#Headers],[20]],FDR[20],"",0,1)</f>
        <v>5</v>
      </c>
      <c r="AG185" cm="1">
        <f t="array" ref="AG185">_xlfn.XLOOKUP(Matrix[[#This Row],[TEAM]]&amp;Matrix[[#Headers],[21]],FDR[FDR]&amp;FDR[[#Headers],[21]],FDR[21],"",0,1)</f>
        <v>3</v>
      </c>
      <c r="AH185" cm="1">
        <f t="array" ref="AH185">_xlfn.XLOOKUP(Matrix[[#This Row],[TEAM]]&amp;Matrix[[#Headers],[22]],FDR[FDR]&amp;FDR[[#Headers],[22]],FDR[22],"",0,1)</f>
        <v>4</v>
      </c>
      <c r="AI185" cm="1">
        <f t="array" ref="AI185">_xlfn.XLOOKUP(Matrix[[#This Row],[TEAM]]&amp;Matrix[[#Headers],[23]],FDR[FDR]&amp;FDR[[#Headers],[23]],FDR[23],"",0,1)</f>
        <v>3</v>
      </c>
      <c r="AJ185" cm="1">
        <f t="array" ref="AJ185">_xlfn.XLOOKUP(Matrix[[#This Row],[TEAM]]&amp;Matrix[[#Headers],[24]],FDR[FDR]&amp;FDR[[#Headers],[24]],FDR[24],"",0,1)</f>
        <v>2</v>
      </c>
      <c r="AK185" cm="1">
        <f t="array" ref="AK185">_xlfn.XLOOKUP(Matrix[[#This Row],[TEAM]]&amp;Matrix[[#Headers],[25]],FDR[FDR]&amp;FDR[[#Headers],[25]],FDR[25],"",0,1)</f>
        <v>2</v>
      </c>
      <c r="AL185" cm="1">
        <f t="array" ref="AL185">_xlfn.XLOOKUP(Matrix[[#This Row],[TEAM]]&amp;Matrix[[#Headers],[26]],FDR[FDR]&amp;FDR[[#Headers],[26]],FDR[26],"",0,1)</f>
        <v>1</v>
      </c>
      <c r="AM185" cm="1">
        <f t="array" ref="AM185">_xlfn.XLOOKUP(Matrix[[#This Row],[TEAM]]&amp;Matrix[[#Headers],[27]],FDR[FDR]&amp;FDR[[#Headers],[27]],FDR[27],"",0,1)</f>
        <v>4</v>
      </c>
      <c r="AN185" cm="1">
        <f t="array" ref="AN185">_xlfn.XLOOKUP(Matrix[[#This Row],[TEAM]]&amp;Matrix[[#Headers],[28]],FDR[FDR]&amp;FDR[[#Headers],[28]],FDR[28],"",0,1)</f>
        <v>4</v>
      </c>
      <c r="AO185" cm="1">
        <f t="array" ref="AO185">_xlfn.XLOOKUP(Matrix[[#This Row],[TEAM]]&amp;Matrix[[#Headers],[29]],FDR[FDR]&amp;FDR[[#Headers],[29]],FDR[29],"",0,1)</f>
        <v>5</v>
      </c>
      <c r="AP185" cm="1">
        <f t="array" ref="AP185">_xlfn.XLOOKUP(Matrix[[#This Row],[TEAM]]&amp;Matrix[[#Headers],[30]],FDR[FDR]&amp;FDR[[#Headers],[30]],FDR[30],"",0,1)</f>
        <v>3</v>
      </c>
      <c r="AQ185" cm="1">
        <f t="array" ref="AQ185">_xlfn.XLOOKUP(Matrix[[#This Row],[TEAM]]&amp;Matrix[[#Headers],[31]],FDR[FDR]&amp;FDR[[#Headers],[31]],FDR[31],"",0,1)</f>
        <v>5</v>
      </c>
      <c r="AR185" cm="1">
        <f t="array" ref="AR185">_xlfn.XLOOKUP(Matrix[[#This Row],[TEAM]]&amp;Matrix[[#Headers],[32]],FDR[FDR]&amp;FDR[[#Headers],[32]],FDR[32],"",0,1)</f>
        <v>3</v>
      </c>
      <c r="AS185" cm="1">
        <f t="array" ref="AS185">_xlfn.XLOOKUP(Matrix[[#This Row],[TEAM]]&amp;Matrix[[#Headers],[33]],FDR[FDR]&amp;FDR[[#Headers],[33]],FDR[33],"",0,1)</f>
        <v>1</v>
      </c>
      <c r="AT185" cm="1">
        <f t="array" ref="AT185">_xlfn.XLOOKUP(Matrix[[#This Row],[TEAM]]&amp;Matrix[[#Headers],[34]],FDR[FDR]&amp;FDR[[#Headers],[34]],FDR[34],"",0,1)</f>
        <v>2</v>
      </c>
      <c r="AU185" cm="1">
        <f t="array" ref="AU185">_xlfn.XLOOKUP(Matrix[[#This Row],[TEAM]]&amp;Matrix[[#Headers],[35]],FDR[FDR]&amp;FDR[[#Headers],[35]],FDR[35],"",0,1)</f>
        <v>5</v>
      </c>
      <c r="AV185" cm="1">
        <f t="array" ref="AV185">_xlfn.XLOOKUP(Matrix[[#This Row],[TEAM]]&amp;Matrix[[#Headers],[36]],FDR[FDR]&amp;FDR[[#Headers],[36]],FDR[36],"",0,1)</f>
        <v>4</v>
      </c>
      <c r="AW185" cm="1">
        <f t="array" ref="AW185">_xlfn.XLOOKUP(Matrix[[#This Row],[TEAM]]&amp;Matrix[[#Headers],[37]],FDR[FDR]&amp;FDR[[#Headers],[37]],FDR[37],"",0,1)</f>
        <v>5</v>
      </c>
      <c r="AX185" cm="1">
        <f t="array" ref="AX185">_xlfn.XLOOKUP(Matrix[[#This Row],[TEAM]]&amp;Matrix[[#Headers],[38]],FDR[FDR]&amp;FDR[[#Headers],[38]],FDR[38],"",0,1)</f>
        <v>3</v>
      </c>
    </row>
    <row r="186" spans="1:50" ht="22" thickTop="1" thickBot="1">
      <c r="A186" s="51" t="s">
        <v>657</v>
      </c>
      <c r="B186" s="70" t="s">
        <v>1495</v>
      </c>
      <c r="C186" s="40" t="s">
        <v>21</v>
      </c>
      <c r="D186" s="62">
        <v>127</v>
      </c>
      <c r="E186" s="60">
        <v>1.9E-2</v>
      </c>
      <c r="F186" s="61">
        <v>149.6</v>
      </c>
      <c r="G186" s="63">
        <v>5</v>
      </c>
      <c r="H186" s="261">
        <f>IF(ISBLANK(I186),0,1)</f>
        <v>0</v>
      </c>
      <c r="I186" s="57"/>
      <c r="J186" s="58"/>
      <c r="K186" s="65" t="s">
        <v>442</v>
      </c>
      <c r="L186" s="65" t="s">
        <v>144</v>
      </c>
      <c r="M186" cm="1">
        <f t="array" ref="M186">_xlfn.XLOOKUP(Matrix[[#This Row],[TEAM]]&amp;Matrix[[#Headers],[1]],FDR[FDR]&amp;FDR[[#Headers],[1]],FDR[1],"",0,1)</f>
        <v>4</v>
      </c>
      <c r="N186" cm="1">
        <f t="array" ref="N186">_xlfn.XLOOKUP(Matrix[[#This Row],[TEAM]]&amp;Matrix[[#Headers],[2]],FDR[FDR]&amp;FDR[[#Headers],[2]],FDR[2],"",0,1)</f>
        <v>4</v>
      </c>
      <c r="O186" cm="1">
        <f t="array" ref="O186">_xlfn.XLOOKUP(Matrix[[#This Row],[TEAM]]&amp;Matrix[[#Headers],[3]],FDR[FDR]&amp;FDR[[#Headers],[3]],FDR[3],"",0,1)</f>
        <v>2</v>
      </c>
      <c r="P186" cm="1">
        <f t="array" ref="P186">_xlfn.XLOOKUP(Matrix[[#This Row],[TEAM]]&amp;Matrix[[#Headers],[4]],FDR[FDR]&amp;FDR[[#Headers],[4]],FDR[4],"",0,1)</f>
        <v>4</v>
      </c>
      <c r="Q186" cm="1">
        <f t="array" ref="Q186">_xlfn.XLOOKUP(Matrix[[#This Row],[TEAM]]&amp;Matrix[[#Headers],[5]],FDR[FDR]&amp;FDR[[#Headers],[5]],FDR[5],"",0,1)</f>
        <v>4</v>
      </c>
      <c r="R186" cm="1">
        <f t="array" ref="R186">_xlfn.XLOOKUP(Matrix[[#This Row],[TEAM]]&amp;Matrix[[#Headers],[6]],FDR[FDR]&amp;FDR[[#Headers],[6]],FDR[6],"",0,1)</f>
        <v>4</v>
      </c>
      <c r="S186" cm="1">
        <f t="array" ref="S186">_xlfn.XLOOKUP(Matrix[[#This Row],[TEAM]]&amp;Matrix[[#Headers],[7]],FDR[FDR]&amp;FDR[[#Headers],[7]],FDR[7],"",0,1)</f>
        <v>4</v>
      </c>
      <c r="T186" cm="1">
        <f t="array" ref="T186">_xlfn.XLOOKUP(Matrix[[#This Row],[TEAM]]&amp;Matrix[[#Headers],[8]],FDR[FDR]&amp;FDR[[#Headers],[8]],FDR[8],"",0,1)</f>
        <v>4</v>
      </c>
      <c r="U186" cm="1">
        <f t="array" ref="U186">_xlfn.XLOOKUP(Matrix[[#This Row],[TEAM]]&amp;Matrix[[#Headers],[9]],FDR[FDR]&amp;FDR[[#Headers],[9]],FDR[9],"",0,1)</f>
        <v>4</v>
      </c>
      <c r="V186" cm="1">
        <f t="array" ref="V186">_xlfn.XLOOKUP(Matrix[[#This Row],[TEAM]]&amp;Matrix[[#Headers],[10]],FDR[FDR]&amp;FDR[[#Headers],[10]],FDR[10],"",0,1)</f>
        <v>4</v>
      </c>
      <c r="W186" cm="1">
        <f t="array" ref="W186">_xlfn.XLOOKUP(Matrix[[#This Row],[TEAM]]&amp;Matrix[[#Headers],[11]],FDR[FDR]&amp;FDR[[#Headers],[11]],FDR[11],"",0,1)</f>
        <v>4</v>
      </c>
      <c r="X186" cm="1">
        <f t="array" ref="X186">_xlfn.XLOOKUP(Matrix[[#This Row],[TEAM]]&amp;Matrix[[#Headers],[12]],FDR[FDR]&amp;FDR[[#Headers],[12]],FDR[12],"",0,1)</f>
        <v>4</v>
      </c>
      <c r="Y186" cm="1">
        <f t="array" ref="Y186">_xlfn.XLOOKUP(Matrix[[#This Row],[TEAM]]&amp;Matrix[[#Headers],[13]],FDR[FDR]&amp;FDR[[#Headers],[13]],FDR[13],"",0,1)</f>
        <v>1</v>
      </c>
      <c r="Z186" cm="1">
        <f t="array" ref="Z186">_xlfn.XLOOKUP(Matrix[[#This Row],[TEAM]]&amp;Matrix[[#Headers],[14]],FDR[FDR]&amp;FDR[[#Headers],[14]],FDR[14],"",0,1)</f>
        <v>5</v>
      </c>
      <c r="AA186" cm="1">
        <f t="array" ref="AA186">_xlfn.XLOOKUP(Matrix[[#This Row],[TEAM]]&amp;Matrix[[#Headers],[15]],FDR[FDR]&amp;FDR[[#Headers],[15]],FDR[15],"",0,1)</f>
        <v>5</v>
      </c>
      <c r="AB186" cm="1">
        <f t="array" ref="AB186">_xlfn.XLOOKUP(Matrix[[#This Row],[TEAM]]&amp;Matrix[[#Headers],[16]],FDR[FDR]&amp;FDR[[#Headers],[16]],FDR[16],"",0,1)</f>
        <v>1</v>
      </c>
      <c r="AC186" cm="1">
        <f t="array" ref="AC186">_xlfn.XLOOKUP(Matrix[[#This Row],[TEAM]]&amp;Matrix[[#Headers],[17]],FDR[FDR]&amp;FDR[[#Headers],[17]],FDR[17],"",0,1)</f>
        <v>2</v>
      </c>
      <c r="AD186" cm="1">
        <f t="array" ref="AD186">_xlfn.XLOOKUP(Matrix[[#This Row],[TEAM]]&amp;Matrix[[#Headers],[18]],FDR[FDR]&amp;FDR[[#Headers],[18]],FDR[18],"",0,1)</f>
        <v>3</v>
      </c>
      <c r="AE186" cm="1">
        <f t="array" ref="AE186">_xlfn.XLOOKUP(Matrix[[#This Row],[TEAM]]&amp;Matrix[[#Headers],[19]],FDR[FDR]&amp;FDR[[#Headers],[19]],FDR[19],"",0,1)</f>
        <v>4</v>
      </c>
      <c r="AF186" cm="1">
        <f t="array" ref="AF186">_xlfn.XLOOKUP(Matrix[[#This Row],[TEAM]]&amp;Matrix[[#Headers],[20]],FDR[FDR]&amp;FDR[[#Headers],[20]],FDR[20],"",0,1)</f>
        <v>4</v>
      </c>
      <c r="AG186" cm="1">
        <f t="array" ref="AG186">_xlfn.XLOOKUP(Matrix[[#This Row],[TEAM]]&amp;Matrix[[#Headers],[21]],FDR[FDR]&amp;FDR[[#Headers],[21]],FDR[21],"",0,1)</f>
        <v>1</v>
      </c>
      <c r="AH186" cm="1">
        <f t="array" ref="AH186">_xlfn.XLOOKUP(Matrix[[#This Row],[TEAM]]&amp;Matrix[[#Headers],[22]],FDR[FDR]&amp;FDR[[#Headers],[22]],FDR[22],"",0,1)</f>
        <v>5</v>
      </c>
      <c r="AI186" cm="1">
        <f t="array" ref="AI186">_xlfn.XLOOKUP(Matrix[[#This Row],[TEAM]]&amp;Matrix[[#Headers],[23]],FDR[FDR]&amp;FDR[[#Headers],[23]],FDR[23],"",0,1)</f>
        <v>3</v>
      </c>
      <c r="AJ186" cm="1">
        <f t="array" ref="AJ186">_xlfn.XLOOKUP(Matrix[[#This Row],[TEAM]]&amp;Matrix[[#Headers],[24]],FDR[FDR]&amp;FDR[[#Headers],[24]],FDR[24],"",0,1)</f>
        <v>5</v>
      </c>
      <c r="AK186" cm="1">
        <f t="array" ref="AK186">_xlfn.XLOOKUP(Matrix[[#This Row],[TEAM]]&amp;Matrix[[#Headers],[25]],FDR[FDR]&amp;FDR[[#Headers],[25]],FDR[25],"",0,1)</f>
        <v>5</v>
      </c>
      <c r="AL186" cm="1">
        <f t="array" ref="AL186">_xlfn.XLOOKUP(Matrix[[#This Row],[TEAM]]&amp;Matrix[[#Headers],[26]],FDR[FDR]&amp;FDR[[#Headers],[26]],FDR[26],"",0,1)</f>
        <v>4</v>
      </c>
      <c r="AM186" cm="1">
        <f t="array" ref="AM186">_xlfn.XLOOKUP(Matrix[[#This Row],[TEAM]]&amp;Matrix[[#Headers],[27]],FDR[FDR]&amp;FDR[[#Headers],[27]],FDR[27],"",0,1)</f>
        <v>3</v>
      </c>
      <c r="AN186" cm="1">
        <f t="array" ref="AN186">_xlfn.XLOOKUP(Matrix[[#This Row],[TEAM]]&amp;Matrix[[#Headers],[28]],FDR[FDR]&amp;FDR[[#Headers],[28]],FDR[28],"",0,1)</f>
        <v>2</v>
      </c>
      <c r="AO186" cm="1">
        <f t="array" ref="AO186">_xlfn.XLOOKUP(Matrix[[#This Row],[TEAM]]&amp;Matrix[[#Headers],[29]],FDR[FDR]&amp;FDR[[#Headers],[29]],FDR[29],"",0,1)</f>
        <v>4</v>
      </c>
      <c r="AP186" cm="1">
        <f t="array" ref="AP186">_xlfn.XLOOKUP(Matrix[[#This Row],[TEAM]]&amp;Matrix[[#Headers],[30]],FDR[FDR]&amp;FDR[[#Headers],[30]],FDR[30],"",0,1)</f>
        <v>2</v>
      </c>
      <c r="AQ186" cm="1">
        <f t="array" ref="AQ186">_xlfn.XLOOKUP(Matrix[[#This Row],[TEAM]]&amp;Matrix[[#Headers],[31]],FDR[FDR]&amp;FDR[[#Headers],[31]],FDR[31],"",0,1)</f>
        <v>2</v>
      </c>
      <c r="AR186" cm="1">
        <f t="array" ref="AR186">_xlfn.XLOOKUP(Matrix[[#This Row],[TEAM]]&amp;Matrix[[#Headers],[32]],FDR[FDR]&amp;FDR[[#Headers],[32]],FDR[32],"",0,1)</f>
        <v>3</v>
      </c>
      <c r="AS186" cm="1">
        <f t="array" ref="AS186">_xlfn.XLOOKUP(Matrix[[#This Row],[TEAM]]&amp;Matrix[[#Headers],[33]],FDR[FDR]&amp;FDR[[#Headers],[33]],FDR[33],"",0,1)</f>
        <v>3</v>
      </c>
      <c r="AT186" cm="1">
        <f t="array" ref="AT186">_xlfn.XLOOKUP(Matrix[[#This Row],[TEAM]]&amp;Matrix[[#Headers],[34]],FDR[FDR]&amp;FDR[[#Headers],[34]],FDR[34],"",0,1)</f>
        <v>5</v>
      </c>
      <c r="AU186" cm="1">
        <f t="array" ref="AU186">_xlfn.XLOOKUP(Matrix[[#This Row],[TEAM]]&amp;Matrix[[#Headers],[35]],FDR[FDR]&amp;FDR[[#Headers],[35]],FDR[35],"",0,1)</f>
        <v>3</v>
      </c>
      <c r="AV186" cm="1">
        <f t="array" ref="AV186">_xlfn.XLOOKUP(Matrix[[#This Row],[TEAM]]&amp;Matrix[[#Headers],[36]],FDR[FDR]&amp;FDR[[#Headers],[36]],FDR[36],"",0,1)</f>
        <v>5</v>
      </c>
      <c r="AW186" cm="1">
        <f t="array" ref="AW186">_xlfn.XLOOKUP(Matrix[[#This Row],[TEAM]]&amp;Matrix[[#Headers],[37]],FDR[FDR]&amp;FDR[[#Headers],[37]],FDR[37],"",0,1)</f>
        <v>3</v>
      </c>
      <c r="AX186" cm="1">
        <f t="array" ref="AX186">_xlfn.XLOOKUP(Matrix[[#This Row],[TEAM]]&amp;Matrix[[#Headers],[38]],FDR[FDR]&amp;FDR[[#Headers],[38]],FDR[38],"",0,1)</f>
        <v>5</v>
      </c>
    </row>
    <row r="187" spans="1:50" ht="22" thickTop="1" thickBot="1">
      <c r="A187" s="51" t="s">
        <v>657</v>
      </c>
      <c r="B187" s="70" t="s">
        <v>1501</v>
      </c>
      <c r="C187" s="40" t="s">
        <v>26</v>
      </c>
      <c r="D187" s="62">
        <v>123</v>
      </c>
      <c r="E187" s="60">
        <v>1.0999999999999999E-2</v>
      </c>
      <c r="F187" s="61">
        <v>136.19999999999999</v>
      </c>
      <c r="G187" s="63">
        <v>5</v>
      </c>
      <c r="H187" s="261">
        <f>IF(ISBLANK(I187),0,1)</f>
        <v>0</v>
      </c>
      <c r="I187" s="57"/>
      <c r="J187" s="58"/>
      <c r="K187" s="65" t="s">
        <v>439</v>
      </c>
      <c r="L187" s="65" t="s">
        <v>127</v>
      </c>
      <c r="M187" cm="1">
        <f t="array" ref="M187">_xlfn.XLOOKUP(Matrix[[#This Row],[TEAM]]&amp;Matrix[[#Headers],[1]],FDR[FDR]&amp;FDR[[#Headers],[1]],FDR[1],"",0,1)</f>
        <v>5</v>
      </c>
      <c r="N187" cm="1">
        <f t="array" ref="N187">_xlfn.XLOOKUP(Matrix[[#This Row],[TEAM]]&amp;Matrix[[#Headers],[2]],FDR[FDR]&amp;FDR[[#Headers],[2]],FDR[2],"",0,1)</f>
        <v>3</v>
      </c>
      <c r="O187" cm="1">
        <f t="array" ref="O187">_xlfn.XLOOKUP(Matrix[[#This Row],[TEAM]]&amp;Matrix[[#Headers],[3]],FDR[FDR]&amp;FDR[[#Headers],[3]],FDR[3],"",0,1)</f>
        <v>5</v>
      </c>
      <c r="P187" cm="1">
        <f t="array" ref="P187">_xlfn.XLOOKUP(Matrix[[#This Row],[TEAM]]&amp;Matrix[[#Headers],[4]],FDR[FDR]&amp;FDR[[#Headers],[4]],FDR[4],"",0,1)</f>
        <v>1</v>
      </c>
      <c r="Q187" cm="1">
        <f t="array" ref="Q187">_xlfn.XLOOKUP(Matrix[[#This Row],[TEAM]]&amp;Matrix[[#Headers],[5]],FDR[FDR]&amp;FDR[[#Headers],[5]],FDR[5],"",0,1)</f>
        <v>4</v>
      </c>
      <c r="R187" cm="1">
        <f t="array" ref="R187">_xlfn.XLOOKUP(Matrix[[#This Row],[TEAM]]&amp;Matrix[[#Headers],[6]],FDR[FDR]&amp;FDR[[#Headers],[6]],FDR[6],"",0,1)</f>
        <v>4</v>
      </c>
      <c r="S187" cm="1">
        <f t="array" ref="S187">_xlfn.XLOOKUP(Matrix[[#This Row],[TEAM]]&amp;Matrix[[#Headers],[7]],FDR[FDR]&amp;FDR[[#Headers],[7]],FDR[7],"",0,1)</f>
        <v>4</v>
      </c>
      <c r="T187" cm="1">
        <f t="array" ref="T187">_xlfn.XLOOKUP(Matrix[[#This Row],[TEAM]]&amp;Matrix[[#Headers],[8]],FDR[FDR]&amp;FDR[[#Headers],[8]],FDR[8],"",0,1)</f>
        <v>3</v>
      </c>
      <c r="U187" cm="1">
        <f t="array" ref="U187">_xlfn.XLOOKUP(Matrix[[#This Row],[TEAM]]&amp;Matrix[[#Headers],[9]],FDR[FDR]&amp;FDR[[#Headers],[9]],FDR[9],"",0,1)</f>
        <v>5</v>
      </c>
      <c r="V187" cm="1">
        <f t="array" ref="V187">_xlfn.XLOOKUP(Matrix[[#This Row],[TEAM]]&amp;Matrix[[#Headers],[10]],FDR[FDR]&amp;FDR[[#Headers],[10]],FDR[10],"",0,1)</f>
        <v>3</v>
      </c>
      <c r="W187" cm="1">
        <f t="array" ref="W187">_xlfn.XLOOKUP(Matrix[[#This Row],[TEAM]]&amp;Matrix[[#Headers],[11]],FDR[FDR]&amp;FDR[[#Headers],[11]],FDR[11],"",0,1)</f>
        <v>3</v>
      </c>
      <c r="X187" cm="1">
        <f t="array" ref="X187">_xlfn.XLOOKUP(Matrix[[#This Row],[TEAM]]&amp;Matrix[[#Headers],[12]],FDR[FDR]&amp;FDR[[#Headers],[12]],FDR[12],"",0,1)</f>
        <v>2</v>
      </c>
      <c r="Y187" cm="1">
        <f t="array" ref="Y187">_xlfn.XLOOKUP(Matrix[[#This Row],[TEAM]]&amp;Matrix[[#Headers],[13]],FDR[FDR]&amp;FDR[[#Headers],[13]],FDR[13],"",0,1)</f>
        <v>4</v>
      </c>
      <c r="Z187" cm="1">
        <f t="array" ref="Z187">_xlfn.XLOOKUP(Matrix[[#This Row],[TEAM]]&amp;Matrix[[#Headers],[14]],FDR[FDR]&amp;FDR[[#Headers],[14]],FDR[14],"",0,1)</f>
        <v>2</v>
      </c>
      <c r="AA187" cm="1">
        <f t="array" ref="AA187">_xlfn.XLOOKUP(Matrix[[#This Row],[TEAM]]&amp;Matrix[[#Headers],[15]],FDR[FDR]&amp;FDR[[#Headers],[15]],FDR[15],"",0,1)</f>
        <v>4</v>
      </c>
      <c r="AB187" cm="1">
        <f t="array" ref="AB187">_xlfn.XLOOKUP(Matrix[[#This Row],[TEAM]]&amp;Matrix[[#Headers],[16]],FDR[FDR]&amp;FDR[[#Headers],[16]],FDR[16],"",0,1)</f>
        <v>4</v>
      </c>
      <c r="AC187" cm="1">
        <f t="array" ref="AC187">_xlfn.XLOOKUP(Matrix[[#This Row],[TEAM]]&amp;Matrix[[#Headers],[17]],FDR[FDR]&amp;FDR[[#Headers],[17]],FDR[17],"",0,1)</f>
        <v>2</v>
      </c>
      <c r="AD187" cm="1">
        <f t="array" ref="AD187">_xlfn.XLOOKUP(Matrix[[#This Row],[TEAM]]&amp;Matrix[[#Headers],[18]],FDR[FDR]&amp;FDR[[#Headers],[18]],FDR[18],"",0,1)</f>
        <v>4</v>
      </c>
      <c r="AE187" cm="1">
        <f t="array" ref="AE187">_xlfn.XLOOKUP(Matrix[[#This Row],[TEAM]]&amp;Matrix[[#Headers],[19]],FDR[FDR]&amp;FDR[[#Headers],[19]],FDR[19],"",0,1)</f>
        <v>3</v>
      </c>
      <c r="AF187" cm="1">
        <f t="array" ref="AF187">_xlfn.XLOOKUP(Matrix[[#This Row],[TEAM]]&amp;Matrix[[#Headers],[20]],FDR[FDR]&amp;FDR[[#Headers],[20]],FDR[20],"",0,1)</f>
        <v>5</v>
      </c>
      <c r="AG187" cm="1">
        <f t="array" ref="AG187">_xlfn.XLOOKUP(Matrix[[#This Row],[TEAM]]&amp;Matrix[[#Headers],[21]],FDR[FDR]&amp;FDR[[#Headers],[21]],FDR[21],"",0,1)</f>
        <v>4</v>
      </c>
      <c r="AH187" cm="1">
        <f t="array" ref="AH187">_xlfn.XLOOKUP(Matrix[[#This Row],[TEAM]]&amp;Matrix[[#Headers],[22]],FDR[FDR]&amp;FDR[[#Headers],[22]],FDR[22],"",0,1)</f>
        <v>2</v>
      </c>
      <c r="AI187" cm="1">
        <f t="array" ref="AI187">_xlfn.XLOOKUP(Matrix[[#This Row],[TEAM]]&amp;Matrix[[#Headers],[23]],FDR[FDR]&amp;FDR[[#Headers],[23]],FDR[23],"",0,1)</f>
        <v>4</v>
      </c>
      <c r="AJ187" cm="1">
        <f t="array" ref="AJ187">_xlfn.XLOOKUP(Matrix[[#This Row],[TEAM]]&amp;Matrix[[#Headers],[24]],FDR[FDR]&amp;FDR[[#Headers],[24]],FDR[24],"",0,1)</f>
        <v>4</v>
      </c>
      <c r="AK187" cm="1">
        <f t="array" ref="AK187">_xlfn.XLOOKUP(Matrix[[#This Row],[TEAM]]&amp;Matrix[[#Headers],[25]],FDR[FDR]&amp;FDR[[#Headers],[25]],FDR[25],"",0,1)</f>
        <v>4</v>
      </c>
      <c r="AL187" cm="1">
        <f t="array" ref="AL187">_xlfn.XLOOKUP(Matrix[[#This Row],[TEAM]]&amp;Matrix[[#Headers],[26]],FDR[FDR]&amp;FDR[[#Headers],[26]],FDR[26],"",0,1)</f>
        <v>1</v>
      </c>
      <c r="AM187" cm="1">
        <f t="array" ref="AM187">_xlfn.XLOOKUP(Matrix[[#This Row],[TEAM]]&amp;Matrix[[#Headers],[27]],FDR[FDR]&amp;FDR[[#Headers],[27]],FDR[27],"",0,1)</f>
        <v>2</v>
      </c>
      <c r="AN187" cm="1">
        <f t="array" ref="AN187">_xlfn.XLOOKUP(Matrix[[#This Row],[TEAM]]&amp;Matrix[[#Headers],[28]],FDR[FDR]&amp;FDR[[#Headers],[28]],FDR[28],"",0,1)</f>
        <v>5</v>
      </c>
      <c r="AO187" cm="1">
        <f t="array" ref="AO187">_xlfn.XLOOKUP(Matrix[[#This Row],[TEAM]]&amp;Matrix[[#Headers],[29]],FDR[FDR]&amp;FDR[[#Headers],[29]],FDR[29],"",0,1)</f>
        <v>5</v>
      </c>
      <c r="AP187" cm="1">
        <f t="array" ref="AP187">_xlfn.XLOOKUP(Matrix[[#This Row],[TEAM]]&amp;Matrix[[#Headers],[30]],FDR[FDR]&amp;FDR[[#Headers],[30]],FDR[30],"",0,1)</f>
        <v>1</v>
      </c>
      <c r="AQ187" cm="1">
        <f t="array" ref="AQ187">_xlfn.XLOOKUP(Matrix[[#This Row],[TEAM]]&amp;Matrix[[#Headers],[31]],FDR[FDR]&amp;FDR[[#Headers],[31]],FDR[31],"",0,1)</f>
        <v>5</v>
      </c>
      <c r="AR187" cm="1">
        <f t="array" ref="AR187">_xlfn.XLOOKUP(Matrix[[#This Row],[TEAM]]&amp;Matrix[[#Headers],[32]],FDR[FDR]&amp;FDR[[#Headers],[32]],FDR[32],"",0,1)</f>
        <v>4</v>
      </c>
      <c r="AS187" cm="1">
        <f t="array" ref="AS187">_xlfn.XLOOKUP(Matrix[[#This Row],[TEAM]]&amp;Matrix[[#Headers],[33]],FDR[FDR]&amp;FDR[[#Headers],[33]],FDR[33],"",0,1)</f>
        <v>3</v>
      </c>
      <c r="AT187" cm="1">
        <f t="array" ref="AT187">_xlfn.XLOOKUP(Matrix[[#This Row],[TEAM]]&amp;Matrix[[#Headers],[34]],FDR[FDR]&amp;FDR[[#Headers],[34]],FDR[34],"",0,1)</f>
        <v>5</v>
      </c>
      <c r="AU187" cm="1">
        <f t="array" ref="AU187">_xlfn.XLOOKUP(Matrix[[#This Row],[TEAM]]&amp;Matrix[[#Headers],[35]],FDR[FDR]&amp;FDR[[#Headers],[35]],FDR[35],"",0,1)</f>
        <v>4</v>
      </c>
      <c r="AV187" cm="1">
        <f t="array" ref="AV187">_xlfn.XLOOKUP(Matrix[[#This Row],[TEAM]]&amp;Matrix[[#Headers],[36]],FDR[FDR]&amp;FDR[[#Headers],[36]],FDR[36],"",0,1)</f>
        <v>3</v>
      </c>
      <c r="AW187" cm="1">
        <f t="array" ref="AW187">_xlfn.XLOOKUP(Matrix[[#This Row],[TEAM]]&amp;Matrix[[#Headers],[37]],FDR[FDR]&amp;FDR[[#Headers],[37]],FDR[37],"",0,1)</f>
        <v>4</v>
      </c>
      <c r="AX187" cm="1">
        <f t="array" ref="AX187">_xlfn.XLOOKUP(Matrix[[#This Row],[TEAM]]&amp;Matrix[[#Headers],[38]],FDR[FDR]&amp;FDR[[#Headers],[38]],FDR[38],"",0,1)</f>
        <v>4</v>
      </c>
    </row>
    <row r="188" spans="1:50" ht="22" thickTop="1" thickBot="1">
      <c r="A188" s="51" t="s">
        <v>657</v>
      </c>
      <c r="B188" s="70" t="s">
        <v>1487</v>
      </c>
      <c r="C188" s="40" t="s">
        <v>25</v>
      </c>
      <c r="D188" s="62">
        <v>115</v>
      </c>
      <c r="E188" s="60">
        <v>3.3000000000000002E-2</v>
      </c>
      <c r="F188" s="61">
        <v>115.8</v>
      </c>
      <c r="G188" s="63">
        <v>5</v>
      </c>
      <c r="H188" s="261">
        <f>IF(ISBLANK(I188),0,1)</f>
        <v>0</v>
      </c>
      <c r="I188" s="57"/>
      <c r="J188" s="58"/>
      <c r="K188" s="65" t="s">
        <v>391</v>
      </c>
      <c r="L188" s="65" t="s">
        <v>120</v>
      </c>
      <c r="M188" cm="1">
        <f t="array" ref="M188">_xlfn.XLOOKUP(Matrix[[#This Row],[TEAM]]&amp;Matrix[[#Headers],[1]],FDR[FDR]&amp;FDR[[#Headers],[1]],FDR[1],"",0,1)</f>
        <v>3</v>
      </c>
      <c r="N188" cm="1">
        <f t="array" ref="N188">_xlfn.XLOOKUP(Matrix[[#This Row],[TEAM]]&amp;Matrix[[#Headers],[2]],FDR[FDR]&amp;FDR[[#Headers],[2]],FDR[2],"",0,1)</f>
        <v>3</v>
      </c>
      <c r="O188" cm="1">
        <f t="array" ref="O188">_xlfn.XLOOKUP(Matrix[[#This Row],[TEAM]]&amp;Matrix[[#Headers],[3]],FDR[FDR]&amp;FDR[[#Headers],[3]],FDR[3],"",0,1)</f>
        <v>1</v>
      </c>
      <c r="P188" cm="1">
        <f t="array" ref="P188">_xlfn.XLOOKUP(Matrix[[#This Row],[TEAM]]&amp;Matrix[[#Headers],[4]],FDR[FDR]&amp;FDR[[#Headers],[4]],FDR[4],"",0,1)</f>
        <v>1</v>
      </c>
      <c r="Q188" cm="1">
        <f t="array" ref="Q188">_xlfn.XLOOKUP(Matrix[[#This Row],[TEAM]]&amp;Matrix[[#Headers],[5]],FDR[FDR]&amp;FDR[[#Headers],[5]],FDR[5],"",0,1)</f>
        <v>2</v>
      </c>
      <c r="R188" cm="1">
        <f t="array" ref="R188">_xlfn.XLOOKUP(Matrix[[#This Row],[TEAM]]&amp;Matrix[[#Headers],[6]],FDR[FDR]&amp;FDR[[#Headers],[6]],FDR[6],"",0,1)</f>
        <v>3</v>
      </c>
      <c r="S188" cm="1">
        <f t="array" ref="S188">_xlfn.XLOOKUP(Matrix[[#This Row],[TEAM]]&amp;Matrix[[#Headers],[7]],FDR[FDR]&amp;FDR[[#Headers],[7]],FDR[7],"",0,1)</f>
        <v>2</v>
      </c>
      <c r="T188" cm="1">
        <f t="array" ref="T188">_xlfn.XLOOKUP(Matrix[[#This Row],[TEAM]]&amp;Matrix[[#Headers],[8]],FDR[FDR]&amp;FDR[[#Headers],[8]],FDR[8],"",0,1)</f>
        <v>2</v>
      </c>
      <c r="U188" cm="1">
        <f t="array" ref="U188">_xlfn.XLOOKUP(Matrix[[#This Row],[TEAM]]&amp;Matrix[[#Headers],[9]],FDR[FDR]&amp;FDR[[#Headers],[9]],FDR[9],"",0,1)</f>
        <v>2</v>
      </c>
      <c r="V188" cm="1">
        <f t="array" ref="V188">_xlfn.XLOOKUP(Matrix[[#This Row],[TEAM]]&amp;Matrix[[#Headers],[10]],FDR[FDR]&amp;FDR[[#Headers],[10]],FDR[10],"",0,1)</f>
        <v>2</v>
      </c>
      <c r="W188" cm="1">
        <f t="array" ref="W188">_xlfn.XLOOKUP(Matrix[[#This Row],[TEAM]]&amp;Matrix[[#Headers],[11]],FDR[FDR]&amp;FDR[[#Headers],[11]],FDR[11],"",0,1)</f>
        <v>2</v>
      </c>
      <c r="X188" cm="1">
        <f t="array" ref="X188">_xlfn.XLOOKUP(Matrix[[#This Row],[TEAM]]&amp;Matrix[[#Headers],[12]],FDR[FDR]&amp;FDR[[#Headers],[12]],FDR[12],"",0,1)</f>
        <v>3</v>
      </c>
      <c r="Y188" cm="1">
        <f t="array" ref="Y188">_xlfn.XLOOKUP(Matrix[[#This Row],[TEAM]]&amp;Matrix[[#Headers],[13]],FDR[FDR]&amp;FDR[[#Headers],[13]],FDR[13],"",0,1)</f>
        <v>2</v>
      </c>
      <c r="Z188" cm="1">
        <f t="array" ref="Z188">_xlfn.XLOOKUP(Matrix[[#This Row],[TEAM]]&amp;Matrix[[#Headers],[14]],FDR[FDR]&amp;FDR[[#Headers],[14]],FDR[14],"",0,1)</f>
        <v>3</v>
      </c>
      <c r="AA188" cm="1">
        <f t="array" ref="AA188">_xlfn.XLOOKUP(Matrix[[#This Row],[TEAM]]&amp;Matrix[[#Headers],[15]],FDR[FDR]&amp;FDR[[#Headers],[15]],FDR[15],"",0,1)</f>
        <v>1</v>
      </c>
      <c r="AB188" cm="1">
        <f t="array" ref="AB188">_xlfn.XLOOKUP(Matrix[[#This Row],[TEAM]]&amp;Matrix[[#Headers],[16]],FDR[FDR]&amp;FDR[[#Headers],[16]],FDR[16],"",0,1)</f>
        <v>1</v>
      </c>
      <c r="AC188" cm="1">
        <f t="array" ref="AC188">_xlfn.XLOOKUP(Matrix[[#This Row],[TEAM]]&amp;Matrix[[#Headers],[17]],FDR[FDR]&amp;FDR[[#Headers],[17]],FDR[17],"",0,1)</f>
        <v>3</v>
      </c>
      <c r="AD188" cm="1">
        <f t="array" ref="AD188">_xlfn.XLOOKUP(Matrix[[#This Row],[TEAM]]&amp;Matrix[[#Headers],[18]],FDR[FDR]&amp;FDR[[#Headers],[18]],FDR[18],"",0,1)</f>
        <v>4</v>
      </c>
      <c r="AE188" cm="1">
        <f t="array" ref="AE188">_xlfn.XLOOKUP(Matrix[[#This Row],[TEAM]]&amp;Matrix[[#Headers],[19]],FDR[FDR]&amp;FDR[[#Headers],[19]],FDR[19],"",0,1)</f>
        <v>1</v>
      </c>
      <c r="AF188" cm="1">
        <f t="array" ref="AF188">_xlfn.XLOOKUP(Matrix[[#This Row],[TEAM]]&amp;Matrix[[#Headers],[20]],FDR[FDR]&amp;FDR[[#Headers],[20]],FDR[20],"",0,1)</f>
        <v>1</v>
      </c>
      <c r="AG188" cm="1">
        <f t="array" ref="AG188">_xlfn.XLOOKUP(Matrix[[#This Row],[TEAM]]&amp;Matrix[[#Headers],[21]],FDR[FDR]&amp;FDR[[#Headers],[21]],FDR[21],"",0,1)</f>
        <v>1</v>
      </c>
      <c r="AH188" cm="1">
        <f t="array" ref="AH188">_xlfn.XLOOKUP(Matrix[[#This Row],[TEAM]]&amp;Matrix[[#Headers],[22]],FDR[FDR]&amp;FDR[[#Headers],[22]],FDR[22],"",0,1)</f>
        <v>1</v>
      </c>
      <c r="AI188" cm="1">
        <f t="array" ref="AI188">_xlfn.XLOOKUP(Matrix[[#This Row],[TEAM]]&amp;Matrix[[#Headers],[23]],FDR[FDR]&amp;FDR[[#Headers],[23]],FDR[23],"",0,1)</f>
        <v>2</v>
      </c>
      <c r="AJ188" cm="1">
        <f t="array" ref="AJ188">_xlfn.XLOOKUP(Matrix[[#This Row],[TEAM]]&amp;Matrix[[#Headers],[24]],FDR[FDR]&amp;FDR[[#Headers],[24]],FDR[24],"",0,1)</f>
        <v>4</v>
      </c>
      <c r="AK188" cm="1">
        <f t="array" ref="AK188">_xlfn.XLOOKUP(Matrix[[#This Row],[TEAM]]&amp;Matrix[[#Headers],[25]],FDR[FDR]&amp;FDR[[#Headers],[25]],FDR[25],"",0,1)</f>
        <v>1</v>
      </c>
      <c r="AL188" cm="1">
        <f t="array" ref="AL188">_xlfn.XLOOKUP(Matrix[[#This Row],[TEAM]]&amp;Matrix[[#Headers],[26]],FDR[FDR]&amp;FDR[[#Headers],[26]],FDR[26],"",0,1)</f>
        <v>4</v>
      </c>
      <c r="AM188" cm="1">
        <f t="array" ref="AM188">_xlfn.XLOOKUP(Matrix[[#This Row],[TEAM]]&amp;Matrix[[#Headers],[27]],FDR[FDR]&amp;FDR[[#Headers],[27]],FDR[27],"",0,1)</f>
        <v>4</v>
      </c>
      <c r="AN188" cm="1">
        <f t="array" ref="AN188">_xlfn.XLOOKUP(Matrix[[#This Row],[TEAM]]&amp;Matrix[[#Headers],[28]],FDR[FDR]&amp;FDR[[#Headers],[28]],FDR[28],"",0,1)</f>
        <v>1</v>
      </c>
      <c r="AO188" cm="1">
        <f t="array" ref="AO188">_xlfn.XLOOKUP(Matrix[[#This Row],[TEAM]]&amp;Matrix[[#Headers],[29]],FDR[FDR]&amp;FDR[[#Headers],[29]],FDR[29],"",0,1)</f>
        <v>3</v>
      </c>
      <c r="AP188" cm="1">
        <f t="array" ref="AP188">_xlfn.XLOOKUP(Matrix[[#This Row],[TEAM]]&amp;Matrix[[#Headers],[30]],FDR[FDR]&amp;FDR[[#Headers],[30]],FDR[30],"",0,1)</f>
        <v>4</v>
      </c>
      <c r="AQ188" cm="1">
        <f t="array" ref="AQ188">_xlfn.XLOOKUP(Matrix[[#This Row],[TEAM]]&amp;Matrix[[#Headers],[31]],FDR[FDR]&amp;FDR[[#Headers],[31]],FDR[31],"",0,1)</f>
        <v>1</v>
      </c>
      <c r="AR188" cm="1">
        <f t="array" ref="AR188">_xlfn.XLOOKUP(Matrix[[#This Row],[TEAM]]&amp;Matrix[[#Headers],[32]],FDR[FDR]&amp;FDR[[#Headers],[32]],FDR[32],"",0,1)</f>
        <v>2</v>
      </c>
      <c r="AS188" cm="1">
        <f t="array" ref="AS188">_xlfn.XLOOKUP(Matrix[[#This Row],[TEAM]]&amp;Matrix[[#Headers],[33]],FDR[FDR]&amp;FDR[[#Headers],[33]],FDR[33],"",0,1)</f>
        <v>2</v>
      </c>
      <c r="AT188" cm="1">
        <f t="array" ref="AT188">_xlfn.XLOOKUP(Matrix[[#This Row],[TEAM]]&amp;Matrix[[#Headers],[34]],FDR[FDR]&amp;FDR[[#Headers],[34]],FDR[34],"",0,1)</f>
        <v>4</v>
      </c>
      <c r="AU188" cm="1">
        <f t="array" ref="AU188">_xlfn.XLOOKUP(Matrix[[#This Row],[TEAM]]&amp;Matrix[[#Headers],[35]],FDR[FDR]&amp;FDR[[#Headers],[35]],FDR[35],"",0,1)</f>
        <v>2</v>
      </c>
      <c r="AV188" cm="1">
        <f t="array" ref="AV188">_xlfn.XLOOKUP(Matrix[[#This Row],[TEAM]]&amp;Matrix[[#Headers],[36]],FDR[FDR]&amp;FDR[[#Headers],[36]],FDR[36],"",0,1)</f>
        <v>2</v>
      </c>
      <c r="AW188" cm="1">
        <f t="array" ref="AW188">_xlfn.XLOOKUP(Matrix[[#This Row],[TEAM]]&amp;Matrix[[#Headers],[37]],FDR[FDR]&amp;FDR[[#Headers],[37]],FDR[37],"",0,1)</f>
        <v>1</v>
      </c>
      <c r="AX188" cm="1">
        <f t="array" ref="AX188">_xlfn.XLOOKUP(Matrix[[#This Row],[TEAM]]&amp;Matrix[[#Headers],[38]],FDR[FDR]&amp;FDR[[#Headers],[38]],FDR[38],"",0,1)</f>
        <v>2</v>
      </c>
    </row>
    <row r="189" spans="1:50" ht="22" thickTop="1" thickBot="1">
      <c r="A189" s="51" t="s">
        <v>657</v>
      </c>
      <c r="B189" s="70" t="s">
        <v>1502</v>
      </c>
      <c r="C189" s="40" t="s">
        <v>26</v>
      </c>
      <c r="D189" s="62">
        <v>114</v>
      </c>
      <c r="E189" s="60">
        <v>1.0999999999999999E-2</v>
      </c>
      <c r="F189" s="61">
        <v>111.4</v>
      </c>
      <c r="G189" s="63">
        <v>5</v>
      </c>
      <c r="H189" s="261">
        <f>IF(ISBLANK(I189),0,1)</f>
        <v>0</v>
      </c>
      <c r="I189" s="57"/>
      <c r="J189" s="58"/>
      <c r="K189" s="65" t="s">
        <v>843</v>
      </c>
      <c r="L189" s="65" t="s">
        <v>844</v>
      </c>
      <c r="M189" cm="1">
        <f t="array" ref="M189">_xlfn.XLOOKUP(Matrix[[#This Row],[TEAM]]&amp;Matrix[[#Headers],[1]],FDR[FDR]&amp;FDR[[#Headers],[1]],FDR[1],"",0,1)</f>
        <v>5</v>
      </c>
      <c r="N189" cm="1">
        <f t="array" ref="N189">_xlfn.XLOOKUP(Matrix[[#This Row],[TEAM]]&amp;Matrix[[#Headers],[2]],FDR[FDR]&amp;FDR[[#Headers],[2]],FDR[2],"",0,1)</f>
        <v>3</v>
      </c>
      <c r="O189" cm="1">
        <f t="array" ref="O189">_xlfn.XLOOKUP(Matrix[[#This Row],[TEAM]]&amp;Matrix[[#Headers],[3]],FDR[FDR]&amp;FDR[[#Headers],[3]],FDR[3],"",0,1)</f>
        <v>5</v>
      </c>
      <c r="P189" cm="1">
        <f t="array" ref="P189">_xlfn.XLOOKUP(Matrix[[#This Row],[TEAM]]&amp;Matrix[[#Headers],[4]],FDR[FDR]&amp;FDR[[#Headers],[4]],FDR[4],"",0,1)</f>
        <v>1</v>
      </c>
      <c r="Q189" cm="1">
        <f t="array" ref="Q189">_xlfn.XLOOKUP(Matrix[[#This Row],[TEAM]]&amp;Matrix[[#Headers],[5]],FDR[FDR]&amp;FDR[[#Headers],[5]],FDR[5],"",0,1)</f>
        <v>4</v>
      </c>
      <c r="R189" cm="1">
        <f t="array" ref="R189">_xlfn.XLOOKUP(Matrix[[#This Row],[TEAM]]&amp;Matrix[[#Headers],[6]],FDR[FDR]&amp;FDR[[#Headers],[6]],FDR[6],"",0,1)</f>
        <v>4</v>
      </c>
      <c r="S189" cm="1">
        <f t="array" ref="S189">_xlfn.XLOOKUP(Matrix[[#This Row],[TEAM]]&amp;Matrix[[#Headers],[7]],FDR[FDR]&amp;FDR[[#Headers],[7]],FDR[7],"",0,1)</f>
        <v>4</v>
      </c>
      <c r="T189" cm="1">
        <f t="array" ref="T189">_xlfn.XLOOKUP(Matrix[[#This Row],[TEAM]]&amp;Matrix[[#Headers],[8]],FDR[FDR]&amp;FDR[[#Headers],[8]],FDR[8],"",0,1)</f>
        <v>3</v>
      </c>
      <c r="U189" cm="1">
        <f t="array" ref="U189">_xlfn.XLOOKUP(Matrix[[#This Row],[TEAM]]&amp;Matrix[[#Headers],[9]],FDR[FDR]&amp;FDR[[#Headers],[9]],FDR[9],"",0,1)</f>
        <v>5</v>
      </c>
      <c r="V189" cm="1">
        <f t="array" ref="V189">_xlfn.XLOOKUP(Matrix[[#This Row],[TEAM]]&amp;Matrix[[#Headers],[10]],FDR[FDR]&amp;FDR[[#Headers],[10]],FDR[10],"",0,1)</f>
        <v>3</v>
      </c>
      <c r="W189" cm="1">
        <f t="array" ref="W189">_xlfn.XLOOKUP(Matrix[[#This Row],[TEAM]]&amp;Matrix[[#Headers],[11]],FDR[FDR]&amp;FDR[[#Headers],[11]],FDR[11],"",0,1)</f>
        <v>3</v>
      </c>
      <c r="X189" cm="1">
        <f t="array" ref="X189">_xlfn.XLOOKUP(Matrix[[#This Row],[TEAM]]&amp;Matrix[[#Headers],[12]],FDR[FDR]&amp;FDR[[#Headers],[12]],FDR[12],"",0,1)</f>
        <v>2</v>
      </c>
      <c r="Y189" cm="1">
        <f t="array" ref="Y189">_xlfn.XLOOKUP(Matrix[[#This Row],[TEAM]]&amp;Matrix[[#Headers],[13]],FDR[FDR]&amp;FDR[[#Headers],[13]],FDR[13],"",0,1)</f>
        <v>4</v>
      </c>
      <c r="Z189" cm="1">
        <f t="array" ref="Z189">_xlfn.XLOOKUP(Matrix[[#This Row],[TEAM]]&amp;Matrix[[#Headers],[14]],FDR[FDR]&amp;FDR[[#Headers],[14]],FDR[14],"",0,1)</f>
        <v>2</v>
      </c>
      <c r="AA189" cm="1">
        <f t="array" ref="AA189">_xlfn.XLOOKUP(Matrix[[#This Row],[TEAM]]&amp;Matrix[[#Headers],[15]],FDR[FDR]&amp;FDR[[#Headers],[15]],FDR[15],"",0,1)</f>
        <v>4</v>
      </c>
      <c r="AB189" cm="1">
        <f t="array" ref="AB189">_xlfn.XLOOKUP(Matrix[[#This Row],[TEAM]]&amp;Matrix[[#Headers],[16]],FDR[FDR]&amp;FDR[[#Headers],[16]],FDR[16],"",0,1)</f>
        <v>4</v>
      </c>
      <c r="AC189" cm="1">
        <f t="array" ref="AC189">_xlfn.XLOOKUP(Matrix[[#This Row],[TEAM]]&amp;Matrix[[#Headers],[17]],FDR[FDR]&amp;FDR[[#Headers],[17]],FDR[17],"",0,1)</f>
        <v>2</v>
      </c>
      <c r="AD189" cm="1">
        <f t="array" ref="AD189">_xlfn.XLOOKUP(Matrix[[#This Row],[TEAM]]&amp;Matrix[[#Headers],[18]],FDR[FDR]&amp;FDR[[#Headers],[18]],FDR[18],"",0,1)</f>
        <v>4</v>
      </c>
      <c r="AE189" cm="1">
        <f t="array" ref="AE189">_xlfn.XLOOKUP(Matrix[[#This Row],[TEAM]]&amp;Matrix[[#Headers],[19]],FDR[FDR]&amp;FDR[[#Headers],[19]],FDR[19],"",0,1)</f>
        <v>3</v>
      </c>
      <c r="AF189" cm="1">
        <f t="array" ref="AF189">_xlfn.XLOOKUP(Matrix[[#This Row],[TEAM]]&amp;Matrix[[#Headers],[20]],FDR[FDR]&amp;FDR[[#Headers],[20]],FDR[20],"",0,1)</f>
        <v>5</v>
      </c>
      <c r="AG189" cm="1">
        <f t="array" ref="AG189">_xlfn.XLOOKUP(Matrix[[#This Row],[TEAM]]&amp;Matrix[[#Headers],[21]],FDR[FDR]&amp;FDR[[#Headers],[21]],FDR[21],"",0,1)</f>
        <v>4</v>
      </c>
      <c r="AH189" cm="1">
        <f t="array" ref="AH189">_xlfn.XLOOKUP(Matrix[[#This Row],[TEAM]]&amp;Matrix[[#Headers],[22]],FDR[FDR]&amp;FDR[[#Headers],[22]],FDR[22],"",0,1)</f>
        <v>2</v>
      </c>
      <c r="AI189" cm="1">
        <f t="array" ref="AI189">_xlfn.XLOOKUP(Matrix[[#This Row],[TEAM]]&amp;Matrix[[#Headers],[23]],FDR[FDR]&amp;FDR[[#Headers],[23]],FDR[23],"",0,1)</f>
        <v>4</v>
      </c>
      <c r="AJ189" cm="1">
        <f t="array" ref="AJ189">_xlfn.XLOOKUP(Matrix[[#This Row],[TEAM]]&amp;Matrix[[#Headers],[24]],FDR[FDR]&amp;FDR[[#Headers],[24]],FDR[24],"",0,1)</f>
        <v>4</v>
      </c>
      <c r="AK189" cm="1">
        <f t="array" ref="AK189">_xlfn.XLOOKUP(Matrix[[#This Row],[TEAM]]&amp;Matrix[[#Headers],[25]],FDR[FDR]&amp;FDR[[#Headers],[25]],FDR[25],"",0,1)</f>
        <v>4</v>
      </c>
      <c r="AL189" cm="1">
        <f t="array" ref="AL189">_xlfn.XLOOKUP(Matrix[[#This Row],[TEAM]]&amp;Matrix[[#Headers],[26]],FDR[FDR]&amp;FDR[[#Headers],[26]],FDR[26],"",0,1)</f>
        <v>1</v>
      </c>
      <c r="AM189" cm="1">
        <f t="array" ref="AM189">_xlfn.XLOOKUP(Matrix[[#This Row],[TEAM]]&amp;Matrix[[#Headers],[27]],FDR[FDR]&amp;FDR[[#Headers],[27]],FDR[27],"",0,1)</f>
        <v>2</v>
      </c>
      <c r="AN189" cm="1">
        <f t="array" ref="AN189">_xlfn.XLOOKUP(Matrix[[#This Row],[TEAM]]&amp;Matrix[[#Headers],[28]],FDR[FDR]&amp;FDR[[#Headers],[28]],FDR[28],"",0,1)</f>
        <v>5</v>
      </c>
      <c r="AO189" cm="1">
        <f t="array" ref="AO189">_xlfn.XLOOKUP(Matrix[[#This Row],[TEAM]]&amp;Matrix[[#Headers],[29]],FDR[FDR]&amp;FDR[[#Headers],[29]],FDR[29],"",0,1)</f>
        <v>5</v>
      </c>
      <c r="AP189" cm="1">
        <f t="array" ref="AP189">_xlfn.XLOOKUP(Matrix[[#This Row],[TEAM]]&amp;Matrix[[#Headers],[30]],FDR[FDR]&amp;FDR[[#Headers],[30]],FDR[30],"",0,1)</f>
        <v>1</v>
      </c>
      <c r="AQ189" cm="1">
        <f t="array" ref="AQ189">_xlfn.XLOOKUP(Matrix[[#This Row],[TEAM]]&amp;Matrix[[#Headers],[31]],FDR[FDR]&amp;FDR[[#Headers],[31]],FDR[31],"",0,1)</f>
        <v>5</v>
      </c>
      <c r="AR189" cm="1">
        <f t="array" ref="AR189">_xlfn.XLOOKUP(Matrix[[#This Row],[TEAM]]&amp;Matrix[[#Headers],[32]],FDR[FDR]&amp;FDR[[#Headers],[32]],FDR[32],"",0,1)</f>
        <v>4</v>
      </c>
      <c r="AS189" cm="1">
        <f t="array" ref="AS189">_xlfn.XLOOKUP(Matrix[[#This Row],[TEAM]]&amp;Matrix[[#Headers],[33]],FDR[FDR]&amp;FDR[[#Headers],[33]],FDR[33],"",0,1)</f>
        <v>3</v>
      </c>
      <c r="AT189" cm="1">
        <f t="array" ref="AT189">_xlfn.XLOOKUP(Matrix[[#This Row],[TEAM]]&amp;Matrix[[#Headers],[34]],FDR[FDR]&amp;FDR[[#Headers],[34]],FDR[34],"",0,1)</f>
        <v>5</v>
      </c>
      <c r="AU189" cm="1">
        <f t="array" ref="AU189">_xlfn.XLOOKUP(Matrix[[#This Row],[TEAM]]&amp;Matrix[[#Headers],[35]],FDR[FDR]&amp;FDR[[#Headers],[35]],FDR[35],"",0,1)</f>
        <v>4</v>
      </c>
      <c r="AV189" cm="1">
        <f t="array" ref="AV189">_xlfn.XLOOKUP(Matrix[[#This Row],[TEAM]]&amp;Matrix[[#Headers],[36]],FDR[FDR]&amp;FDR[[#Headers],[36]],FDR[36],"",0,1)</f>
        <v>3</v>
      </c>
      <c r="AW189" cm="1">
        <f t="array" ref="AW189">_xlfn.XLOOKUP(Matrix[[#This Row],[TEAM]]&amp;Matrix[[#Headers],[37]],FDR[FDR]&amp;FDR[[#Headers],[37]],FDR[37],"",0,1)</f>
        <v>4</v>
      </c>
      <c r="AX189" cm="1">
        <f t="array" ref="AX189">_xlfn.XLOOKUP(Matrix[[#This Row],[TEAM]]&amp;Matrix[[#Headers],[38]],FDR[FDR]&amp;FDR[[#Headers],[38]],FDR[38],"",0,1)</f>
        <v>4</v>
      </c>
    </row>
    <row r="190" spans="1:50" ht="22" thickTop="1" thickBot="1">
      <c r="A190" s="51" t="s">
        <v>657</v>
      </c>
      <c r="B190" s="70" t="s">
        <v>1480</v>
      </c>
      <c r="C190" s="40" t="s">
        <v>52</v>
      </c>
      <c r="D190" s="62">
        <v>109</v>
      </c>
      <c r="E190" s="60">
        <v>7.4999999999999997E-2</v>
      </c>
      <c r="F190" s="61">
        <v>118</v>
      </c>
      <c r="G190" s="63">
        <v>5</v>
      </c>
      <c r="H190" s="261">
        <f>IF(ISBLANK(I190),0,1)</f>
        <v>0</v>
      </c>
      <c r="I190" s="57"/>
      <c r="J190" s="58"/>
      <c r="K190" s="65" t="s">
        <v>491</v>
      </c>
      <c r="L190" s="65" t="s">
        <v>1133</v>
      </c>
      <c r="M190" cm="1">
        <f t="array" ref="M190">_xlfn.XLOOKUP(Matrix[[#This Row],[TEAM]]&amp;Matrix[[#Headers],[1]],FDR[FDR]&amp;FDR[[#Headers],[1]],FDR[1],"",0,1)</f>
        <v>2</v>
      </c>
      <c r="N190" cm="1">
        <f t="array" ref="N190">_xlfn.XLOOKUP(Matrix[[#This Row],[TEAM]]&amp;Matrix[[#Headers],[2]],FDR[FDR]&amp;FDR[[#Headers],[2]],FDR[2],"",0,1)</f>
        <v>3</v>
      </c>
      <c r="O190" cm="1">
        <f t="array" ref="O190">_xlfn.XLOOKUP(Matrix[[#This Row],[TEAM]]&amp;Matrix[[#Headers],[3]],FDR[FDR]&amp;FDR[[#Headers],[3]],FDR[3],"",0,1)</f>
        <v>2</v>
      </c>
      <c r="P190" cm="1">
        <f t="array" ref="P190">_xlfn.XLOOKUP(Matrix[[#This Row],[TEAM]]&amp;Matrix[[#Headers],[4]],FDR[FDR]&amp;FDR[[#Headers],[4]],FDR[4],"",0,1)</f>
        <v>5</v>
      </c>
      <c r="Q190" cm="1">
        <f t="array" ref="Q190">_xlfn.XLOOKUP(Matrix[[#This Row],[TEAM]]&amp;Matrix[[#Headers],[5]],FDR[FDR]&amp;FDR[[#Headers],[5]],FDR[5],"",0,1)</f>
        <v>2</v>
      </c>
      <c r="R190" cm="1">
        <f t="array" ref="R190">_xlfn.XLOOKUP(Matrix[[#This Row],[TEAM]]&amp;Matrix[[#Headers],[6]],FDR[FDR]&amp;FDR[[#Headers],[6]],FDR[6],"",0,1)</f>
        <v>1</v>
      </c>
      <c r="S190" cm="1">
        <f t="array" ref="S190">_xlfn.XLOOKUP(Matrix[[#This Row],[TEAM]]&amp;Matrix[[#Headers],[7]],FDR[FDR]&amp;FDR[[#Headers],[7]],FDR[7],"",0,1)</f>
        <v>5</v>
      </c>
      <c r="T190" cm="1">
        <f t="array" ref="T190">_xlfn.XLOOKUP(Matrix[[#This Row],[TEAM]]&amp;Matrix[[#Headers],[8]],FDR[FDR]&amp;FDR[[#Headers],[8]],FDR[8],"",0,1)</f>
        <v>4</v>
      </c>
      <c r="U190" cm="1">
        <f t="array" ref="U190">_xlfn.XLOOKUP(Matrix[[#This Row],[TEAM]]&amp;Matrix[[#Headers],[9]],FDR[FDR]&amp;FDR[[#Headers],[9]],FDR[9],"",0,1)</f>
        <v>4</v>
      </c>
      <c r="V190" cm="1">
        <f t="array" ref="V190">_xlfn.XLOOKUP(Matrix[[#This Row],[TEAM]]&amp;Matrix[[#Headers],[10]],FDR[FDR]&amp;FDR[[#Headers],[10]],FDR[10],"",0,1)</f>
        <v>4</v>
      </c>
      <c r="W190" cm="1">
        <f t="array" ref="W190">_xlfn.XLOOKUP(Matrix[[#This Row],[TEAM]]&amp;Matrix[[#Headers],[11]],FDR[FDR]&amp;FDR[[#Headers],[11]],FDR[11],"",0,1)</f>
        <v>1</v>
      </c>
      <c r="X190" cm="1">
        <f t="array" ref="X190">_xlfn.XLOOKUP(Matrix[[#This Row],[TEAM]]&amp;Matrix[[#Headers],[12]],FDR[FDR]&amp;FDR[[#Headers],[12]],FDR[12],"",0,1)</f>
        <v>5</v>
      </c>
      <c r="Y190" cm="1">
        <f t="array" ref="Y190">_xlfn.XLOOKUP(Matrix[[#This Row],[TEAM]]&amp;Matrix[[#Headers],[13]],FDR[FDR]&amp;FDR[[#Headers],[13]],FDR[13],"",0,1)</f>
        <v>3</v>
      </c>
      <c r="Z190" cm="1">
        <f t="array" ref="Z190">_xlfn.XLOOKUP(Matrix[[#This Row],[TEAM]]&amp;Matrix[[#Headers],[14]],FDR[FDR]&amp;FDR[[#Headers],[14]],FDR[14],"",0,1)</f>
        <v>2</v>
      </c>
      <c r="AA190" cm="1">
        <f t="array" ref="AA190">_xlfn.XLOOKUP(Matrix[[#This Row],[TEAM]]&amp;Matrix[[#Headers],[15]],FDR[FDR]&amp;FDR[[#Headers],[15]],FDR[15],"",0,1)</f>
        <v>3</v>
      </c>
      <c r="AB190" cm="1">
        <f t="array" ref="AB190">_xlfn.XLOOKUP(Matrix[[#This Row],[TEAM]]&amp;Matrix[[#Headers],[16]],FDR[FDR]&amp;FDR[[#Headers],[16]],FDR[16],"",0,1)</f>
        <v>4</v>
      </c>
      <c r="AC190" cm="1">
        <f t="array" ref="AC190">_xlfn.XLOOKUP(Matrix[[#This Row],[TEAM]]&amp;Matrix[[#Headers],[17]],FDR[FDR]&amp;FDR[[#Headers],[17]],FDR[17],"",0,1)</f>
        <v>4</v>
      </c>
      <c r="AD190" cm="1">
        <f t="array" ref="AD190">_xlfn.XLOOKUP(Matrix[[#This Row],[TEAM]]&amp;Matrix[[#Headers],[18]],FDR[FDR]&amp;FDR[[#Headers],[18]],FDR[18],"",0,1)</f>
        <v>4</v>
      </c>
      <c r="AE190" cm="1">
        <f t="array" ref="AE190">_xlfn.XLOOKUP(Matrix[[#This Row],[TEAM]]&amp;Matrix[[#Headers],[19]],FDR[FDR]&amp;FDR[[#Headers],[19]],FDR[19],"",0,1)</f>
        <v>2</v>
      </c>
      <c r="AF190" cm="1">
        <f t="array" ref="AF190">_xlfn.XLOOKUP(Matrix[[#This Row],[TEAM]]&amp;Matrix[[#Headers],[20]],FDR[FDR]&amp;FDR[[#Headers],[20]],FDR[20],"",0,1)</f>
        <v>5</v>
      </c>
      <c r="AG190" cm="1">
        <f t="array" ref="AG190">_xlfn.XLOOKUP(Matrix[[#This Row],[TEAM]]&amp;Matrix[[#Headers],[21]],FDR[FDR]&amp;FDR[[#Headers],[21]],FDR[21],"",0,1)</f>
        <v>3</v>
      </c>
      <c r="AH190" cm="1">
        <f t="array" ref="AH190">_xlfn.XLOOKUP(Matrix[[#This Row],[TEAM]]&amp;Matrix[[#Headers],[22]],FDR[FDR]&amp;FDR[[#Headers],[22]],FDR[22],"",0,1)</f>
        <v>4</v>
      </c>
      <c r="AI190" cm="1">
        <f t="array" ref="AI190">_xlfn.XLOOKUP(Matrix[[#This Row],[TEAM]]&amp;Matrix[[#Headers],[23]],FDR[FDR]&amp;FDR[[#Headers],[23]],FDR[23],"",0,1)</f>
        <v>3</v>
      </c>
      <c r="AJ190" cm="1">
        <f t="array" ref="AJ190">_xlfn.XLOOKUP(Matrix[[#This Row],[TEAM]]&amp;Matrix[[#Headers],[24]],FDR[FDR]&amp;FDR[[#Headers],[24]],FDR[24],"",0,1)</f>
        <v>2</v>
      </c>
      <c r="AK190" cm="1">
        <f t="array" ref="AK190">_xlfn.XLOOKUP(Matrix[[#This Row],[TEAM]]&amp;Matrix[[#Headers],[25]],FDR[FDR]&amp;FDR[[#Headers],[25]],FDR[25],"",0,1)</f>
        <v>2</v>
      </c>
      <c r="AL190" cm="1">
        <f t="array" ref="AL190">_xlfn.XLOOKUP(Matrix[[#This Row],[TEAM]]&amp;Matrix[[#Headers],[26]],FDR[FDR]&amp;FDR[[#Headers],[26]],FDR[26],"",0,1)</f>
        <v>1</v>
      </c>
      <c r="AM190" cm="1">
        <f t="array" ref="AM190">_xlfn.XLOOKUP(Matrix[[#This Row],[TEAM]]&amp;Matrix[[#Headers],[27]],FDR[FDR]&amp;FDR[[#Headers],[27]],FDR[27],"",0,1)</f>
        <v>4</v>
      </c>
      <c r="AN190" cm="1">
        <f t="array" ref="AN190">_xlfn.XLOOKUP(Matrix[[#This Row],[TEAM]]&amp;Matrix[[#Headers],[28]],FDR[FDR]&amp;FDR[[#Headers],[28]],FDR[28],"",0,1)</f>
        <v>4</v>
      </c>
      <c r="AO190" cm="1">
        <f t="array" ref="AO190">_xlfn.XLOOKUP(Matrix[[#This Row],[TEAM]]&amp;Matrix[[#Headers],[29]],FDR[FDR]&amp;FDR[[#Headers],[29]],FDR[29],"",0,1)</f>
        <v>5</v>
      </c>
      <c r="AP190" cm="1">
        <f t="array" ref="AP190">_xlfn.XLOOKUP(Matrix[[#This Row],[TEAM]]&amp;Matrix[[#Headers],[30]],FDR[FDR]&amp;FDR[[#Headers],[30]],FDR[30],"",0,1)</f>
        <v>3</v>
      </c>
      <c r="AQ190" cm="1">
        <f t="array" ref="AQ190">_xlfn.XLOOKUP(Matrix[[#This Row],[TEAM]]&amp;Matrix[[#Headers],[31]],FDR[FDR]&amp;FDR[[#Headers],[31]],FDR[31],"",0,1)</f>
        <v>5</v>
      </c>
      <c r="AR190" cm="1">
        <f t="array" ref="AR190">_xlfn.XLOOKUP(Matrix[[#This Row],[TEAM]]&amp;Matrix[[#Headers],[32]],FDR[FDR]&amp;FDR[[#Headers],[32]],FDR[32],"",0,1)</f>
        <v>3</v>
      </c>
      <c r="AS190" cm="1">
        <f t="array" ref="AS190">_xlfn.XLOOKUP(Matrix[[#This Row],[TEAM]]&amp;Matrix[[#Headers],[33]],FDR[FDR]&amp;FDR[[#Headers],[33]],FDR[33],"",0,1)</f>
        <v>1</v>
      </c>
      <c r="AT190" cm="1">
        <f t="array" ref="AT190">_xlfn.XLOOKUP(Matrix[[#This Row],[TEAM]]&amp;Matrix[[#Headers],[34]],FDR[FDR]&amp;FDR[[#Headers],[34]],FDR[34],"",0,1)</f>
        <v>2</v>
      </c>
      <c r="AU190" cm="1">
        <f t="array" ref="AU190">_xlfn.XLOOKUP(Matrix[[#This Row],[TEAM]]&amp;Matrix[[#Headers],[35]],FDR[FDR]&amp;FDR[[#Headers],[35]],FDR[35],"",0,1)</f>
        <v>5</v>
      </c>
      <c r="AV190" cm="1">
        <f t="array" ref="AV190">_xlfn.XLOOKUP(Matrix[[#This Row],[TEAM]]&amp;Matrix[[#Headers],[36]],FDR[FDR]&amp;FDR[[#Headers],[36]],FDR[36],"",0,1)</f>
        <v>4</v>
      </c>
      <c r="AW190" cm="1">
        <f t="array" ref="AW190">_xlfn.XLOOKUP(Matrix[[#This Row],[TEAM]]&amp;Matrix[[#Headers],[37]],FDR[FDR]&amp;FDR[[#Headers],[37]],FDR[37],"",0,1)</f>
        <v>5</v>
      </c>
      <c r="AX190" cm="1">
        <f t="array" ref="AX190">_xlfn.XLOOKUP(Matrix[[#This Row],[TEAM]]&amp;Matrix[[#Headers],[38]],FDR[FDR]&amp;FDR[[#Headers],[38]],FDR[38],"",0,1)</f>
        <v>3</v>
      </c>
    </row>
    <row r="191" spans="1:50" ht="22" thickTop="1" thickBot="1">
      <c r="A191" s="51" t="s">
        <v>657</v>
      </c>
      <c r="B191" s="70" t="s">
        <v>1483</v>
      </c>
      <c r="C191" s="40" t="s">
        <v>25</v>
      </c>
      <c r="D191" s="62">
        <v>105</v>
      </c>
      <c r="E191" s="60">
        <v>0.04</v>
      </c>
      <c r="F191" s="61">
        <v>110.1</v>
      </c>
      <c r="G191" s="63">
        <v>5</v>
      </c>
      <c r="H191" s="261">
        <f>IF(ISBLANK(I191),0,1)</f>
        <v>0</v>
      </c>
      <c r="I191" s="57"/>
      <c r="J191" s="58"/>
      <c r="K191" s="65" t="s">
        <v>878</v>
      </c>
      <c r="L191" s="65" t="s">
        <v>879</v>
      </c>
      <c r="M191" cm="1">
        <f t="array" ref="M191">_xlfn.XLOOKUP(Matrix[[#This Row],[TEAM]]&amp;Matrix[[#Headers],[1]],FDR[FDR]&amp;FDR[[#Headers],[1]],FDR[1],"",0,1)</f>
        <v>3</v>
      </c>
      <c r="N191" cm="1">
        <f t="array" ref="N191">_xlfn.XLOOKUP(Matrix[[#This Row],[TEAM]]&amp;Matrix[[#Headers],[2]],FDR[FDR]&amp;FDR[[#Headers],[2]],FDR[2],"",0,1)</f>
        <v>3</v>
      </c>
      <c r="O191" cm="1">
        <f t="array" ref="O191">_xlfn.XLOOKUP(Matrix[[#This Row],[TEAM]]&amp;Matrix[[#Headers],[3]],FDR[FDR]&amp;FDR[[#Headers],[3]],FDR[3],"",0,1)</f>
        <v>1</v>
      </c>
      <c r="P191" cm="1">
        <f t="array" ref="P191">_xlfn.XLOOKUP(Matrix[[#This Row],[TEAM]]&amp;Matrix[[#Headers],[4]],FDR[FDR]&amp;FDR[[#Headers],[4]],FDR[4],"",0,1)</f>
        <v>1</v>
      </c>
      <c r="Q191" cm="1">
        <f t="array" ref="Q191">_xlfn.XLOOKUP(Matrix[[#This Row],[TEAM]]&amp;Matrix[[#Headers],[5]],FDR[FDR]&amp;FDR[[#Headers],[5]],FDR[5],"",0,1)</f>
        <v>2</v>
      </c>
      <c r="R191" cm="1">
        <f t="array" ref="R191">_xlfn.XLOOKUP(Matrix[[#This Row],[TEAM]]&amp;Matrix[[#Headers],[6]],FDR[FDR]&amp;FDR[[#Headers],[6]],FDR[6],"",0,1)</f>
        <v>3</v>
      </c>
      <c r="S191" cm="1">
        <f t="array" ref="S191">_xlfn.XLOOKUP(Matrix[[#This Row],[TEAM]]&amp;Matrix[[#Headers],[7]],FDR[FDR]&amp;FDR[[#Headers],[7]],FDR[7],"",0,1)</f>
        <v>2</v>
      </c>
      <c r="T191" cm="1">
        <f t="array" ref="T191">_xlfn.XLOOKUP(Matrix[[#This Row],[TEAM]]&amp;Matrix[[#Headers],[8]],FDR[FDR]&amp;FDR[[#Headers],[8]],FDR[8],"",0,1)</f>
        <v>2</v>
      </c>
      <c r="U191" cm="1">
        <f t="array" ref="U191">_xlfn.XLOOKUP(Matrix[[#This Row],[TEAM]]&amp;Matrix[[#Headers],[9]],FDR[FDR]&amp;FDR[[#Headers],[9]],FDR[9],"",0,1)</f>
        <v>2</v>
      </c>
      <c r="V191" cm="1">
        <f t="array" ref="V191">_xlfn.XLOOKUP(Matrix[[#This Row],[TEAM]]&amp;Matrix[[#Headers],[10]],FDR[FDR]&amp;FDR[[#Headers],[10]],FDR[10],"",0,1)</f>
        <v>2</v>
      </c>
      <c r="W191" cm="1">
        <f t="array" ref="W191">_xlfn.XLOOKUP(Matrix[[#This Row],[TEAM]]&amp;Matrix[[#Headers],[11]],FDR[FDR]&amp;FDR[[#Headers],[11]],FDR[11],"",0,1)</f>
        <v>2</v>
      </c>
      <c r="X191" cm="1">
        <f t="array" ref="X191">_xlfn.XLOOKUP(Matrix[[#This Row],[TEAM]]&amp;Matrix[[#Headers],[12]],FDR[FDR]&amp;FDR[[#Headers],[12]],FDR[12],"",0,1)</f>
        <v>3</v>
      </c>
      <c r="Y191" cm="1">
        <f t="array" ref="Y191">_xlfn.XLOOKUP(Matrix[[#This Row],[TEAM]]&amp;Matrix[[#Headers],[13]],FDR[FDR]&amp;FDR[[#Headers],[13]],FDR[13],"",0,1)</f>
        <v>2</v>
      </c>
      <c r="Z191" cm="1">
        <f t="array" ref="Z191">_xlfn.XLOOKUP(Matrix[[#This Row],[TEAM]]&amp;Matrix[[#Headers],[14]],FDR[FDR]&amp;FDR[[#Headers],[14]],FDR[14],"",0,1)</f>
        <v>3</v>
      </c>
      <c r="AA191" cm="1">
        <f t="array" ref="AA191">_xlfn.XLOOKUP(Matrix[[#This Row],[TEAM]]&amp;Matrix[[#Headers],[15]],FDR[FDR]&amp;FDR[[#Headers],[15]],FDR[15],"",0,1)</f>
        <v>1</v>
      </c>
      <c r="AB191" cm="1">
        <f t="array" ref="AB191">_xlfn.XLOOKUP(Matrix[[#This Row],[TEAM]]&amp;Matrix[[#Headers],[16]],FDR[FDR]&amp;FDR[[#Headers],[16]],FDR[16],"",0,1)</f>
        <v>1</v>
      </c>
      <c r="AC191" cm="1">
        <f t="array" ref="AC191">_xlfn.XLOOKUP(Matrix[[#This Row],[TEAM]]&amp;Matrix[[#Headers],[17]],FDR[FDR]&amp;FDR[[#Headers],[17]],FDR[17],"",0,1)</f>
        <v>3</v>
      </c>
      <c r="AD191" cm="1">
        <f t="array" ref="AD191">_xlfn.XLOOKUP(Matrix[[#This Row],[TEAM]]&amp;Matrix[[#Headers],[18]],FDR[FDR]&amp;FDR[[#Headers],[18]],FDR[18],"",0,1)</f>
        <v>4</v>
      </c>
      <c r="AE191" cm="1">
        <f t="array" ref="AE191">_xlfn.XLOOKUP(Matrix[[#This Row],[TEAM]]&amp;Matrix[[#Headers],[19]],FDR[FDR]&amp;FDR[[#Headers],[19]],FDR[19],"",0,1)</f>
        <v>1</v>
      </c>
      <c r="AF191" cm="1">
        <f t="array" ref="AF191">_xlfn.XLOOKUP(Matrix[[#This Row],[TEAM]]&amp;Matrix[[#Headers],[20]],FDR[FDR]&amp;FDR[[#Headers],[20]],FDR[20],"",0,1)</f>
        <v>1</v>
      </c>
      <c r="AG191" cm="1">
        <f t="array" ref="AG191">_xlfn.XLOOKUP(Matrix[[#This Row],[TEAM]]&amp;Matrix[[#Headers],[21]],FDR[FDR]&amp;FDR[[#Headers],[21]],FDR[21],"",0,1)</f>
        <v>1</v>
      </c>
      <c r="AH191" cm="1">
        <f t="array" ref="AH191">_xlfn.XLOOKUP(Matrix[[#This Row],[TEAM]]&amp;Matrix[[#Headers],[22]],FDR[FDR]&amp;FDR[[#Headers],[22]],FDR[22],"",0,1)</f>
        <v>1</v>
      </c>
      <c r="AI191" cm="1">
        <f t="array" ref="AI191">_xlfn.XLOOKUP(Matrix[[#This Row],[TEAM]]&amp;Matrix[[#Headers],[23]],FDR[FDR]&amp;FDR[[#Headers],[23]],FDR[23],"",0,1)</f>
        <v>2</v>
      </c>
      <c r="AJ191" cm="1">
        <f t="array" ref="AJ191">_xlfn.XLOOKUP(Matrix[[#This Row],[TEAM]]&amp;Matrix[[#Headers],[24]],FDR[FDR]&amp;FDR[[#Headers],[24]],FDR[24],"",0,1)</f>
        <v>4</v>
      </c>
      <c r="AK191" cm="1">
        <f t="array" ref="AK191">_xlfn.XLOOKUP(Matrix[[#This Row],[TEAM]]&amp;Matrix[[#Headers],[25]],FDR[FDR]&amp;FDR[[#Headers],[25]],FDR[25],"",0,1)</f>
        <v>1</v>
      </c>
      <c r="AL191" cm="1">
        <f t="array" ref="AL191">_xlfn.XLOOKUP(Matrix[[#This Row],[TEAM]]&amp;Matrix[[#Headers],[26]],FDR[FDR]&amp;FDR[[#Headers],[26]],FDR[26],"",0,1)</f>
        <v>4</v>
      </c>
      <c r="AM191" cm="1">
        <f t="array" ref="AM191">_xlfn.XLOOKUP(Matrix[[#This Row],[TEAM]]&amp;Matrix[[#Headers],[27]],FDR[FDR]&amp;FDR[[#Headers],[27]],FDR[27],"",0,1)</f>
        <v>4</v>
      </c>
      <c r="AN191" cm="1">
        <f t="array" ref="AN191">_xlfn.XLOOKUP(Matrix[[#This Row],[TEAM]]&amp;Matrix[[#Headers],[28]],FDR[FDR]&amp;FDR[[#Headers],[28]],FDR[28],"",0,1)</f>
        <v>1</v>
      </c>
      <c r="AO191" cm="1">
        <f t="array" ref="AO191">_xlfn.XLOOKUP(Matrix[[#This Row],[TEAM]]&amp;Matrix[[#Headers],[29]],FDR[FDR]&amp;FDR[[#Headers],[29]],FDR[29],"",0,1)</f>
        <v>3</v>
      </c>
      <c r="AP191" cm="1">
        <f t="array" ref="AP191">_xlfn.XLOOKUP(Matrix[[#This Row],[TEAM]]&amp;Matrix[[#Headers],[30]],FDR[FDR]&amp;FDR[[#Headers],[30]],FDR[30],"",0,1)</f>
        <v>4</v>
      </c>
      <c r="AQ191" cm="1">
        <f t="array" ref="AQ191">_xlfn.XLOOKUP(Matrix[[#This Row],[TEAM]]&amp;Matrix[[#Headers],[31]],FDR[FDR]&amp;FDR[[#Headers],[31]],FDR[31],"",0,1)</f>
        <v>1</v>
      </c>
      <c r="AR191" cm="1">
        <f t="array" ref="AR191">_xlfn.XLOOKUP(Matrix[[#This Row],[TEAM]]&amp;Matrix[[#Headers],[32]],FDR[FDR]&amp;FDR[[#Headers],[32]],FDR[32],"",0,1)</f>
        <v>2</v>
      </c>
      <c r="AS191" cm="1">
        <f t="array" ref="AS191">_xlfn.XLOOKUP(Matrix[[#This Row],[TEAM]]&amp;Matrix[[#Headers],[33]],FDR[FDR]&amp;FDR[[#Headers],[33]],FDR[33],"",0,1)</f>
        <v>2</v>
      </c>
      <c r="AT191" cm="1">
        <f t="array" ref="AT191">_xlfn.XLOOKUP(Matrix[[#This Row],[TEAM]]&amp;Matrix[[#Headers],[34]],FDR[FDR]&amp;FDR[[#Headers],[34]],FDR[34],"",0,1)</f>
        <v>4</v>
      </c>
      <c r="AU191" cm="1">
        <f t="array" ref="AU191">_xlfn.XLOOKUP(Matrix[[#This Row],[TEAM]]&amp;Matrix[[#Headers],[35]],FDR[FDR]&amp;FDR[[#Headers],[35]],FDR[35],"",0,1)</f>
        <v>2</v>
      </c>
      <c r="AV191" cm="1">
        <f t="array" ref="AV191">_xlfn.XLOOKUP(Matrix[[#This Row],[TEAM]]&amp;Matrix[[#Headers],[36]],FDR[FDR]&amp;FDR[[#Headers],[36]],FDR[36],"",0,1)</f>
        <v>2</v>
      </c>
      <c r="AW191" cm="1">
        <f t="array" ref="AW191">_xlfn.XLOOKUP(Matrix[[#This Row],[TEAM]]&amp;Matrix[[#Headers],[37]],FDR[FDR]&amp;FDR[[#Headers],[37]],FDR[37],"",0,1)</f>
        <v>1</v>
      </c>
      <c r="AX191" cm="1">
        <f t="array" ref="AX191">_xlfn.XLOOKUP(Matrix[[#This Row],[TEAM]]&amp;Matrix[[#Headers],[38]],FDR[FDR]&amp;FDR[[#Headers],[38]],FDR[38],"",0,1)</f>
        <v>2</v>
      </c>
    </row>
    <row r="192" spans="1:50" ht="22" thickTop="1" thickBot="1">
      <c r="A192" s="51" t="s">
        <v>657</v>
      </c>
      <c r="B192" s="70" t="s">
        <v>1513</v>
      </c>
      <c r="C192" s="40" t="s">
        <v>21</v>
      </c>
      <c r="D192" s="62">
        <v>94</v>
      </c>
      <c r="E192" s="60">
        <v>5.0000000000000001E-3</v>
      </c>
      <c r="F192" s="61">
        <v>139.9</v>
      </c>
      <c r="G192" s="63">
        <v>5</v>
      </c>
      <c r="H192" s="261">
        <f>IF(ISBLANK(I192),0,1)</f>
        <v>0</v>
      </c>
      <c r="I192" s="57"/>
      <c r="J192" s="58"/>
      <c r="K192" s="65" t="s">
        <v>152</v>
      </c>
      <c r="L192" s="65" t="s">
        <v>345</v>
      </c>
      <c r="M192" cm="1">
        <f t="array" ref="M192">_xlfn.XLOOKUP(Matrix[[#This Row],[TEAM]]&amp;Matrix[[#Headers],[1]],FDR[FDR]&amp;FDR[[#Headers],[1]],FDR[1],"",0,1)</f>
        <v>4</v>
      </c>
      <c r="N192" cm="1">
        <f t="array" ref="N192">_xlfn.XLOOKUP(Matrix[[#This Row],[TEAM]]&amp;Matrix[[#Headers],[2]],FDR[FDR]&amp;FDR[[#Headers],[2]],FDR[2],"",0,1)</f>
        <v>4</v>
      </c>
      <c r="O192" cm="1">
        <f t="array" ref="O192">_xlfn.XLOOKUP(Matrix[[#This Row],[TEAM]]&amp;Matrix[[#Headers],[3]],FDR[FDR]&amp;FDR[[#Headers],[3]],FDR[3],"",0,1)</f>
        <v>2</v>
      </c>
      <c r="P192" cm="1">
        <f t="array" ref="P192">_xlfn.XLOOKUP(Matrix[[#This Row],[TEAM]]&amp;Matrix[[#Headers],[4]],FDR[FDR]&amp;FDR[[#Headers],[4]],FDR[4],"",0,1)</f>
        <v>4</v>
      </c>
      <c r="Q192" cm="1">
        <f t="array" ref="Q192">_xlfn.XLOOKUP(Matrix[[#This Row],[TEAM]]&amp;Matrix[[#Headers],[5]],FDR[FDR]&amp;FDR[[#Headers],[5]],FDR[5],"",0,1)</f>
        <v>4</v>
      </c>
      <c r="R192" cm="1">
        <f t="array" ref="R192">_xlfn.XLOOKUP(Matrix[[#This Row],[TEAM]]&amp;Matrix[[#Headers],[6]],FDR[FDR]&amp;FDR[[#Headers],[6]],FDR[6],"",0,1)</f>
        <v>4</v>
      </c>
      <c r="S192" cm="1">
        <f t="array" ref="S192">_xlfn.XLOOKUP(Matrix[[#This Row],[TEAM]]&amp;Matrix[[#Headers],[7]],FDR[FDR]&amp;FDR[[#Headers],[7]],FDR[7],"",0,1)</f>
        <v>4</v>
      </c>
      <c r="T192" cm="1">
        <f t="array" ref="T192">_xlfn.XLOOKUP(Matrix[[#This Row],[TEAM]]&amp;Matrix[[#Headers],[8]],FDR[FDR]&amp;FDR[[#Headers],[8]],FDR[8],"",0,1)</f>
        <v>4</v>
      </c>
      <c r="U192" cm="1">
        <f t="array" ref="U192">_xlfn.XLOOKUP(Matrix[[#This Row],[TEAM]]&amp;Matrix[[#Headers],[9]],FDR[FDR]&amp;FDR[[#Headers],[9]],FDR[9],"",0,1)</f>
        <v>4</v>
      </c>
      <c r="V192" cm="1">
        <f t="array" ref="V192">_xlfn.XLOOKUP(Matrix[[#This Row],[TEAM]]&amp;Matrix[[#Headers],[10]],FDR[FDR]&amp;FDR[[#Headers],[10]],FDR[10],"",0,1)</f>
        <v>4</v>
      </c>
      <c r="W192" cm="1">
        <f t="array" ref="W192">_xlfn.XLOOKUP(Matrix[[#This Row],[TEAM]]&amp;Matrix[[#Headers],[11]],FDR[FDR]&amp;FDR[[#Headers],[11]],FDR[11],"",0,1)</f>
        <v>4</v>
      </c>
      <c r="X192" cm="1">
        <f t="array" ref="X192">_xlfn.XLOOKUP(Matrix[[#This Row],[TEAM]]&amp;Matrix[[#Headers],[12]],FDR[FDR]&amp;FDR[[#Headers],[12]],FDR[12],"",0,1)</f>
        <v>4</v>
      </c>
      <c r="Y192" cm="1">
        <f t="array" ref="Y192">_xlfn.XLOOKUP(Matrix[[#This Row],[TEAM]]&amp;Matrix[[#Headers],[13]],FDR[FDR]&amp;FDR[[#Headers],[13]],FDR[13],"",0,1)</f>
        <v>1</v>
      </c>
      <c r="Z192" cm="1">
        <f t="array" ref="Z192">_xlfn.XLOOKUP(Matrix[[#This Row],[TEAM]]&amp;Matrix[[#Headers],[14]],FDR[FDR]&amp;FDR[[#Headers],[14]],FDR[14],"",0,1)</f>
        <v>5</v>
      </c>
      <c r="AA192" cm="1">
        <f t="array" ref="AA192">_xlfn.XLOOKUP(Matrix[[#This Row],[TEAM]]&amp;Matrix[[#Headers],[15]],FDR[FDR]&amp;FDR[[#Headers],[15]],FDR[15],"",0,1)</f>
        <v>5</v>
      </c>
      <c r="AB192" cm="1">
        <f t="array" ref="AB192">_xlfn.XLOOKUP(Matrix[[#This Row],[TEAM]]&amp;Matrix[[#Headers],[16]],FDR[FDR]&amp;FDR[[#Headers],[16]],FDR[16],"",0,1)</f>
        <v>1</v>
      </c>
      <c r="AC192" cm="1">
        <f t="array" ref="AC192">_xlfn.XLOOKUP(Matrix[[#This Row],[TEAM]]&amp;Matrix[[#Headers],[17]],FDR[FDR]&amp;FDR[[#Headers],[17]],FDR[17],"",0,1)</f>
        <v>2</v>
      </c>
      <c r="AD192" cm="1">
        <f t="array" ref="AD192">_xlfn.XLOOKUP(Matrix[[#This Row],[TEAM]]&amp;Matrix[[#Headers],[18]],FDR[FDR]&amp;FDR[[#Headers],[18]],FDR[18],"",0,1)</f>
        <v>3</v>
      </c>
      <c r="AE192" cm="1">
        <f t="array" ref="AE192">_xlfn.XLOOKUP(Matrix[[#This Row],[TEAM]]&amp;Matrix[[#Headers],[19]],FDR[FDR]&amp;FDR[[#Headers],[19]],FDR[19],"",0,1)</f>
        <v>4</v>
      </c>
      <c r="AF192" cm="1">
        <f t="array" ref="AF192">_xlfn.XLOOKUP(Matrix[[#This Row],[TEAM]]&amp;Matrix[[#Headers],[20]],FDR[FDR]&amp;FDR[[#Headers],[20]],FDR[20],"",0,1)</f>
        <v>4</v>
      </c>
      <c r="AG192" cm="1">
        <f t="array" ref="AG192">_xlfn.XLOOKUP(Matrix[[#This Row],[TEAM]]&amp;Matrix[[#Headers],[21]],FDR[FDR]&amp;FDR[[#Headers],[21]],FDR[21],"",0,1)</f>
        <v>1</v>
      </c>
      <c r="AH192" cm="1">
        <f t="array" ref="AH192">_xlfn.XLOOKUP(Matrix[[#This Row],[TEAM]]&amp;Matrix[[#Headers],[22]],FDR[FDR]&amp;FDR[[#Headers],[22]],FDR[22],"",0,1)</f>
        <v>5</v>
      </c>
      <c r="AI192" cm="1">
        <f t="array" ref="AI192">_xlfn.XLOOKUP(Matrix[[#This Row],[TEAM]]&amp;Matrix[[#Headers],[23]],FDR[FDR]&amp;FDR[[#Headers],[23]],FDR[23],"",0,1)</f>
        <v>3</v>
      </c>
      <c r="AJ192" cm="1">
        <f t="array" ref="AJ192">_xlfn.XLOOKUP(Matrix[[#This Row],[TEAM]]&amp;Matrix[[#Headers],[24]],FDR[FDR]&amp;FDR[[#Headers],[24]],FDR[24],"",0,1)</f>
        <v>5</v>
      </c>
      <c r="AK192" cm="1">
        <f t="array" ref="AK192">_xlfn.XLOOKUP(Matrix[[#This Row],[TEAM]]&amp;Matrix[[#Headers],[25]],FDR[FDR]&amp;FDR[[#Headers],[25]],FDR[25],"",0,1)</f>
        <v>5</v>
      </c>
      <c r="AL192" cm="1">
        <f t="array" ref="AL192">_xlfn.XLOOKUP(Matrix[[#This Row],[TEAM]]&amp;Matrix[[#Headers],[26]],FDR[FDR]&amp;FDR[[#Headers],[26]],FDR[26],"",0,1)</f>
        <v>4</v>
      </c>
      <c r="AM192" cm="1">
        <f t="array" ref="AM192">_xlfn.XLOOKUP(Matrix[[#This Row],[TEAM]]&amp;Matrix[[#Headers],[27]],FDR[FDR]&amp;FDR[[#Headers],[27]],FDR[27],"",0,1)</f>
        <v>3</v>
      </c>
      <c r="AN192" cm="1">
        <f t="array" ref="AN192">_xlfn.XLOOKUP(Matrix[[#This Row],[TEAM]]&amp;Matrix[[#Headers],[28]],FDR[FDR]&amp;FDR[[#Headers],[28]],FDR[28],"",0,1)</f>
        <v>2</v>
      </c>
      <c r="AO192" cm="1">
        <f t="array" ref="AO192">_xlfn.XLOOKUP(Matrix[[#This Row],[TEAM]]&amp;Matrix[[#Headers],[29]],FDR[FDR]&amp;FDR[[#Headers],[29]],FDR[29],"",0,1)</f>
        <v>4</v>
      </c>
      <c r="AP192" cm="1">
        <f t="array" ref="AP192">_xlfn.XLOOKUP(Matrix[[#This Row],[TEAM]]&amp;Matrix[[#Headers],[30]],FDR[FDR]&amp;FDR[[#Headers],[30]],FDR[30],"",0,1)</f>
        <v>2</v>
      </c>
      <c r="AQ192" cm="1">
        <f t="array" ref="AQ192">_xlfn.XLOOKUP(Matrix[[#This Row],[TEAM]]&amp;Matrix[[#Headers],[31]],FDR[FDR]&amp;FDR[[#Headers],[31]],FDR[31],"",0,1)</f>
        <v>2</v>
      </c>
      <c r="AR192" cm="1">
        <f t="array" ref="AR192">_xlfn.XLOOKUP(Matrix[[#This Row],[TEAM]]&amp;Matrix[[#Headers],[32]],FDR[FDR]&amp;FDR[[#Headers],[32]],FDR[32],"",0,1)</f>
        <v>3</v>
      </c>
      <c r="AS192" cm="1">
        <f t="array" ref="AS192">_xlfn.XLOOKUP(Matrix[[#This Row],[TEAM]]&amp;Matrix[[#Headers],[33]],FDR[FDR]&amp;FDR[[#Headers],[33]],FDR[33],"",0,1)</f>
        <v>3</v>
      </c>
      <c r="AT192" cm="1">
        <f t="array" ref="AT192">_xlfn.XLOOKUP(Matrix[[#This Row],[TEAM]]&amp;Matrix[[#Headers],[34]],FDR[FDR]&amp;FDR[[#Headers],[34]],FDR[34],"",0,1)</f>
        <v>5</v>
      </c>
      <c r="AU192" cm="1">
        <f t="array" ref="AU192">_xlfn.XLOOKUP(Matrix[[#This Row],[TEAM]]&amp;Matrix[[#Headers],[35]],FDR[FDR]&amp;FDR[[#Headers],[35]],FDR[35],"",0,1)</f>
        <v>3</v>
      </c>
      <c r="AV192" cm="1">
        <f t="array" ref="AV192">_xlfn.XLOOKUP(Matrix[[#This Row],[TEAM]]&amp;Matrix[[#Headers],[36]],FDR[FDR]&amp;FDR[[#Headers],[36]],FDR[36],"",0,1)</f>
        <v>5</v>
      </c>
      <c r="AW192" cm="1">
        <f t="array" ref="AW192">_xlfn.XLOOKUP(Matrix[[#This Row],[TEAM]]&amp;Matrix[[#Headers],[37]],FDR[FDR]&amp;FDR[[#Headers],[37]],FDR[37],"",0,1)</f>
        <v>3</v>
      </c>
      <c r="AX192" cm="1">
        <f t="array" ref="AX192">_xlfn.XLOOKUP(Matrix[[#This Row],[TEAM]]&amp;Matrix[[#Headers],[38]],FDR[FDR]&amp;FDR[[#Headers],[38]],FDR[38],"",0,1)</f>
        <v>5</v>
      </c>
    </row>
    <row r="193" spans="1:50" ht="22" thickTop="1" thickBot="1">
      <c r="A193" s="51" t="s">
        <v>657</v>
      </c>
      <c r="B193" s="70" t="s">
        <v>1504</v>
      </c>
      <c r="C193" s="40" t="s">
        <v>18</v>
      </c>
      <c r="D193" s="62">
        <v>93</v>
      </c>
      <c r="E193" s="60">
        <v>8.9999999999999993E-3</v>
      </c>
      <c r="F193" s="61">
        <v>84.6</v>
      </c>
      <c r="G193" s="63">
        <v>5</v>
      </c>
      <c r="H193" s="261">
        <f>IF(ISBLANK(I193),0,1)</f>
        <v>0</v>
      </c>
      <c r="I193" s="57"/>
      <c r="J193" s="58"/>
      <c r="K193" s="65" t="s">
        <v>498</v>
      </c>
      <c r="L193" s="65" t="s">
        <v>145</v>
      </c>
      <c r="M193" cm="1">
        <f t="array" ref="M193">_xlfn.XLOOKUP(Matrix[[#This Row],[TEAM]]&amp;Matrix[[#Headers],[1]],FDR[FDR]&amp;FDR[[#Headers],[1]],FDR[1],"",0,1)</f>
        <v>1</v>
      </c>
      <c r="N193" cm="1">
        <f t="array" ref="N193">_xlfn.XLOOKUP(Matrix[[#This Row],[TEAM]]&amp;Matrix[[#Headers],[2]],FDR[FDR]&amp;FDR[[#Headers],[2]],FDR[2],"",0,1)</f>
        <v>2</v>
      </c>
      <c r="O193" cm="1">
        <f t="array" ref="O193">_xlfn.XLOOKUP(Matrix[[#This Row],[TEAM]]&amp;Matrix[[#Headers],[3]],FDR[FDR]&amp;FDR[[#Headers],[3]],FDR[3],"",0,1)</f>
        <v>1</v>
      </c>
      <c r="P193" cm="1">
        <f t="array" ref="P193">_xlfn.XLOOKUP(Matrix[[#This Row],[TEAM]]&amp;Matrix[[#Headers],[4]],FDR[FDR]&amp;FDR[[#Headers],[4]],FDR[4],"",0,1)</f>
        <v>2</v>
      </c>
      <c r="Q193" cm="1">
        <f t="array" ref="Q193">_xlfn.XLOOKUP(Matrix[[#This Row],[TEAM]]&amp;Matrix[[#Headers],[5]],FDR[FDR]&amp;FDR[[#Headers],[5]],FDR[5],"",0,1)</f>
        <v>3</v>
      </c>
      <c r="R193" cm="1">
        <f t="array" ref="R193">_xlfn.XLOOKUP(Matrix[[#This Row],[TEAM]]&amp;Matrix[[#Headers],[6]],FDR[FDR]&amp;FDR[[#Headers],[6]],FDR[6],"",0,1)</f>
        <v>1</v>
      </c>
      <c r="S193" cm="1">
        <f t="array" ref="S193">_xlfn.XLOOKUP(Matrix[[#This Row],[TEAM]]&amp;Matrix[[#Headers],[7]],FDR[FDR]&amp;FDR[[#Headers],[7]],FDR[7],"",0,1)</f>
        <v>3</v>
      </c>
      <c r="T193" cm="1">
        <f t="array" ref="T193">_xlfn.XLOOKUP(Matrix[[#This Row],[TEAM]]&amp;Matrix[[#Headers],[8]],FDR[FDR]&amp;FDR[[#Headers],[8]],FDR[8],"",0,1)</f>
        <v>2</v>
      </c>
      <c r="U193" cm="1">
        <f t="array" ref="U193">_xlfn.XLOOKUP(Matrix[[#This Row],[TEAM]]&amp;Matrix[[#Headers],[9]],FDR[FDR]&amp;FDR[[#Headers],[9]],FDR[9],"",0,1)</f>
        <v>1</v>
      </c>
      <c r="V193" cm="1">
        <f t="array" ref="V193">_xlfn.XLOOKUP(Matrix[[#This Row],[TEAM]]&amp;Matrix[[#Headers],[10]],FDR[FDR]&amp;FDR[[#Headers],[10]],FDR[10],"",0,1)</f>
        <v>3</v>
      </c>
      <c r="W193" cm="1">
        <f t="array" ref="W193">_xlfn.XLOOKUP(Matrix[[#This Row],[TEAM]]&amp;Matrix[[#Headers],[11]],FDR[FDR]&amp;FDR[[#Headers],[11]],FDR[11],"",0,1)</f>
        <v>1</v>
      </c>
      <c r="X193" cm="1">
        <f t="array" ref="X193">_xlfn.XLOOKUP(Matrix[[#This Row],[TEAM]]&amp;Matrix[[#Headers],[12]],FDR[FDR]&amp;FDR[[#Headers],[12]],FDR[12],"",0,1)</f>
        <v>1</v>
      </c>
      <c r="Y193" cm="1">
        <f t="array" ref="Y193">_xlfn.XLOOKUP(Matrix[[#This Row],[TEAM]]&amp;Matrix[[#Headers],[13]],FDR[FDR]&amp;FDR[[#Headers],[13]],FDR[13],"",0,1)</f>
        <v>3</v>
      </c>
      <c r="Z193" cm="1">
        <f t="array" ref="Z193">_xlfn.XLOOKUP(Matrix[[#This Row],[TEAM]]&amp;Matrix[[#Headers],[14]],FDR[FDR]&amp;FDR[[#Headers],[14]],FDR[14],"",0,1)</f>
        <v>1</v>
      </c>
      <c r="AA193" cm="1">
        <f t="array" ref="AA193">_xlfn.XLOOKUP(Matrix[[#This Row],[TEAM]]&amp;Matrix[[#Headers],[15]],FDR[FDR]&amp;FDR[[#Headers],[15]],FDR[15],"",0,1)</f>
        <v>2</v>
      </c>
      <c r="AB193" cm="1">
        <f t="array" ref="AB193">_xlfn.XLOOKUP(Matrix[[#This Row],[TEAM]]&amp;Matrix[[#Headers],[16]],FDR[FDR]&amp;FDR[[#Headers],[16]],FDR[16],"",0,1)</f>
        <v>1</v>
      </c>
      <c r="AC193" cm="1">
        <f t="array" ref="AC193">_xlfn.XLOOKUP(Matrix[[#This Row],[TEAM]]&amp;Matrix[[#Headers],[17]],FDR[FDR]&amp;FDR[[#Headers],[17]],FDR[17],"",0,1)</f>
        <v>3</v>
      </c>
      <c r="AD193" cm="1">
        <f t="array" ref="AD193">_xlfn.XLOOKUP(Matrix[[#This Row],[TEAM]]&amp;Matrix[[#Headers],[18]],FDR[FDR]&amp;FDR[[#Headers],[18]],FDR[18],"",0,1)</f>
        <v>2</v>
      </c>
      <c r="AE193" cm="1">
        <f t="array" ref="AE193">_xlfn.XLOOKUP(Matrix[[#This Row],[TEAM]]&amp;Matrix[[#Headers],[19]],FDR[FDR]&amp;FDR[[#Headers],[19]],FDR[19],"",0,1)</f>
        <v>1</v>
      </c>
      <c r="AF193" cm="1">
        <f t="array" ref="AF193">_xlfn.XLOOKUP(Matrix[[#This Row],[TEAM]]&amp;Matrix[[#Headers],[20]],FDR[FDR]&amp;FDR[[#Headers],[20]],FDR[20],"",0,1)</f>
        <v>4</v>
      </c>
      <c r="AG193" cm="1">
        <f t="array" ref="AG193">_xlfn.XLOOKUP(Matrix[[#This Row],[TEAM]]&amp;Matrix[[#Headers],[21]],FDR[FDR]&amp;FDR[[#Headers],[21]],FDR[21],"",0,1)</f>
        <v>2</v>
      </c>
      <c r="AH193" cm="1">
        <f t="array" ref="AH193">_xlfn.XLOOKUP(Matrix[[#This Row],[TEAM]]&amp;Matrix[[#Headers],[22]],FDR[FDR]&amp;FDR[[#Headers],[22]],FDR[22],"",0,1)</f>
        <v>1</v>
      </c>
      <c r="AI193" cm="1">
        <f t="array" ref="AI193">_xlfn.XLOOKUP(Matrix[[#This Row],[TEAM]]&amp;Matrix[[#Headers],[23]],FDR[FDR]&amp;FDR[[#Headers],[23]],FDR[23],"",0,1)</f>
        <v>2</v>
      </c>
      <c r="AJ193" cm="1">
        <f t="array" ref="AJ193">_xlfn.XLOOKUP(Matrix[[#This Row],[TEAM]]&amp;Matrix[[#Headers],[24]],FDR[FDR]&amp;FDR[[#Headers],[24]],FDR[24],"",0,1)</f>
        <v>1</v>
      </c>
      <c r="AK193" cm="1">
        <f t="array" ref="AK193">_xlfn.XLOOKUP(Matrix[[#This Row],[TEAM]]&amp;Matrix[[#Headers],[25]],FDR[FDR]&amp;FDR[[#Headers],[25]],FDR[25],"",0,1)</f>
        <v>1</v>
      </c>
      <c r="AL193" cm="1">
        <f t="array" ref="AL193">_xlfn.XLOOKUP(Matrix[[#This Row],[TEAM]]&amp;Matrix[[#Headers],[26]],FDR[FDR]&amp;FDR[[#Headers],[26]],FDR[26],"",0,1)</f>
        <v>1</v>
      </c>
      <c r="AM193" cm="1">
        <f t="array" ref="AM193">_xlfn.XLOOKUP(Matrix[[#This Row],[TEAM]]&amp;Matrix[[#Headers],[27]],FDR[FDR]&amp;FDR[[#Headers],[27]],FDR[27],"",0,1)</f>
        <v>1</v>
      </c>
      <c r="AN193" cm="1">
        <f t="array" ref="AN193">_xlfn.XLOOKUP(Matrix[[#This Row],[TEAM]]&amp;Matrix[[#Headers],[28]],FDR[FDR]&amp;FDR[[#Headers],[28]],FDR[28],"",0,1)</f>
        <v>4</v>
      </c>
      <c r="AO193" cm="1">
        <f t="array" ref="AO193">_xlfn.XLOOKUP(Matrix[[#This Row],[TEAM]]&amp;Matrix[[#Headers],[29]],FDR[FDR]&amp;FDR[[#Headers],[29]],FDR[29],"",0,1)</f>
        <v>3</v>
      </c>
      <c r="AP193" cm="1">
        <f t="array" ref="AP193">_xlfn.XLOOKUP(Matrix[[#This Row],[TEAM]]&amp;Matrix[[#Headers],[30]],FDR[FDR]&amp;FDR[[#Headers],[30]],FDR[30],"",0,1)</f>
        <v>2</v>
      </c>
      <c r="AQ193" cm="1">
        <f t="array" ref="AQ193">_xlfn.XLOOKUP(Matrix[[#This Row],[TEAM]]&amp;Matrix[[#Headers],[31]],FDR[FDR]&amp;FDR[[#Headers],[31]],FDR[31],"",0,1)</f>
        <v>2</v>
      </c>
      <c r="AR193" cm="1">
        <f t="array" ref="AR193">_xlfn.XLOOKUP(Matrix[[#This Row],[TEAM]]&amp;Matrix[[#Headers],[32]],FDR[FDR]&amp;FDR[[#Headers],[32]],FDR[32],"",0,1)</f>
        <v>3</v>
      </c>
      <c r="AS193" cm="1">
        <f t="array" ref="AS193">_xlfn.XLOOKUP(Matrix[[#This Row],[TEAM]]&amp;Matrix[[#Headers],[33]],FDR[FDR]&amp;FDR[[#Headers],[33]],FDR[33],"",0,1)</f>
        <v>2</v>
      </c>
      <c r="AT193" cm="1">
        <f t="array" ref="AT193">_xlfn.XLOOKUP(Matrix[[#This Row],[TEAM]]&amp;Matrix[[#Headers],[34]],FDR[FDR]&amp;FDR[[#Headers],[34]],FDR[34],"",0,1)</f>
        <v>2</v>
      </c>
      <c r="AU193" cm="1">
        <f t="array" ref="AU193">_xlfn.XLOOKUP(Matrix[[#This Row],[TEAM]]&amp;Matrix[[#Headers],[35]],FDR[FDR]&amp;FDR[[#Headers],[35]],FDR[35],"",0,1)</f>
        <v>1</v>
      </c>
      <c r="AV193" cm="1">
        <f t="array" ref="AV193">_xlfn.XLOOKUP(Matrix[[#This Row],[TEAM]]&amp;Matrix[[#Headers],[36]],FDR[FDR]&amp;FDR[[#Headers],[36]],FDR[36],"",0,1)</f>
        <v>4</v>
      </c>
      <c r="AW193" cm="1">
        <f t="array" ref="AW193">_xlfn.XLOOKUP(Matrix[[#This Row],[TEAM]]&amp;Matrix[[#Headers],[37]],FDR[FDR]&amp;FDR[[#Headers],[37]],FDR[37],"",0,1)</f>
        <v>2</v>
      </c>
      <c r="AX193" cm="1">
        <f t="array" ref="AX193">_xlfn.XLOOKUP(Matrix[[#This Row],[TEAM]]&amp;Matrix[[#Headers],[38]],FDR[FDR]&amp;FDR[[#Headers],[38]],FDR[38],"",0,1)</f>
        <v>1</v>
      </c>
    </row>
    <row r="194" spans="1:50" ht="22" thickTop="1" thickBot="1">
      <c r="A194" s="51" t="s">
        <v>657</v>
      </c>
      <c r="B194" s="70" t="s">
        <v>1497</v>
      </c>
      <c r="C194" s="40" t="s">
        <v>25</v>
      </c>
      <c r="D194" s="62">
        <v>72</v>
      </c>
      <c r="E194" s="60">
        <v>1.7000000000000001E-2</v>
      </c>
      <c r="F194" s="61">
        <v>76.099999999999994</v>
      </c>
      <c r="G194" s="63">
        <v>5</v>
      </c>
      <c r="H194" s="261">
        <f>IF(ISBLANK(I194),0,1)</f>
        <v>0</v>
      </c>
      <c r="I194" s="57"/>
      <c r="J194" s="58"/>
      <c r="K194" s="65" t="s">
        <v>356</v>
      </c>
      <c r="L194" s="65" t="s">
        <v>61</v>
      </c>
      <c r="M194" cm="1">
        <f t="array" ref="M194">_xlfn.XLOOKUP(Matrix[[#This Row],[TEAM]]&amp;Matrix[[#Headers],[1]],FDR[FDR]&amp;FDR[[#Headers],[1]],FDR[1],"",0,1)</f>
        <v>3</v>
      </c>
      <c r="N194" cm="1">
        <f t="array" ref="N194">_xlfn.XLOOKUP(Matrix[[#This Row],[TEAM]]&amp;Matrix[[#Headers],[2]],FDR[FDR]&amp;FDR[[#Headers],[2]],FDR[2],"",0,1)</f>
        <v>3</v>
      </c>
      <c r="O194" cm="1">
        <f t="array" ref="O194">_xlfn.XLOOKUP(Matrix[[#This Row],[TEAM]]&amp;Matrix[[#Headers],[3]],FDR[FDR]&amp;FDR[[#Headers],[3]],FDR[3],"",0,1)</f>
        <v>1</v>
      </c>
      <c r="P194" cm="1">
        <f t="array" ref="P194">_xlfn.XLOOKUP(Matrix[[#This Row],[TEAM]]&amp;Matrix[[#Headers],[4]],FDR[FDR]&amp;FDR[[#Headers],[4]],FDR[4],"",0,1)</f>
        <v>1</v>
      </c>
      <c r="Q194" cm="1">
        <f t="array" ref="Q194">_xlfn.XLOOKUP(Matrix[[#This Row],[TEAM]]&amp;Matrix[[#Headers],[5]],FDR[FDR]&amp;FDR[[#Headers],[5]],FDR[5],"",0,1)</f>
        <v>2</v>
      </c>
      <c r="R194" cm="1">
        <f t="array" ref="R194">_xlfn.XLOOKUP(Matrix[[#This Row],[TEAM]]&amp;Matrix[[#Headers],[6]],FDR[FDR]&amp;FDR[[#Headers],[6]],FDR[6],"",0,1)</f>
        <v>3</v>
      </c>
      <c r="S194" cm="1">
        <f t="array" ref="S194">_xlfn.XLOOKUP(Matrix[[#This Row],[TEAM]]&amp;Matrix[[#Headers],[7]],FDR[FDR]&amp;FDR[[#Headers],[7]],FDR[7],"",0,1)</f>
        <v>2</v>
      </c>
      <c r="T194" cm="1">
        <f t="array" ref="T194">_xlfn.XLOOKUP(Matrix[[#This Row],[TEAM]]&amp;Matrix[[#Headers],[8]],FDR[FDR]&amp;FDR[[#Headers],[8]],FDR[8],"",0,1)</f>
        <v>2</v>
      </c>
      <c r="U194" cm="1">
        <f t="array" ref="U194">_xlfn.XLOOKUP(Matrix[[#This Row],[TEAM]]&amp;Matrix[[#Headers],[9]],FDR[FDR]&amp;FDR[[#Headers],[9]],FDR[9],"",0,1)</f>
        <v>2</v>
      </c>
      <c r="V194" cm="1">
        <f t="array" ref="V194">_xlfn.XLOOKUP(Matrix[[#This Row],[TEAM]]&amp;Matrix[[#Headers],[10]],FDR[FDR]&amp;FDR[[#Headers],[10]],FDR[10],"",0,1)</f>
        <v>2</v>
      </c>
      <c r="W194" cm="1">
        <f t="array" ref="W194">_xlfn.XLOOKUP(Matrix[[#This Row],[TEAM]]&amp;Matrix[[#Headers],[11]],FDR[FDR]&amp;FDR[[#Headers],[11]],FDR[11],"",0,1)</f>
        <v>2</v>
      </c>
      <c r="X194" cm="1">
        <f t="array" ref="X194">_xlfn.XLOOKUP(Matrix[[#This Row],[TEAM]]&amp;Matrix[[#Headers],[12]],FDR[FDR]&amp;FDR[[#Headers],[12]],FDR[12],"",0,1)</f>
        <v>3</v>
      </c>
      <c r="Y194" cm="1">
        <f t="array" ref="Y194">_xlfn.XLOOKUP(Matrix[[#This Row],[TEAM]]&amp;Matrix[[#Headers],[13]],FDR[FDR]&amp;FDR[[#Headers],[13]],FDR[13],"",0,1)</f>
        <v>2</v>
      </c>
      <c r="Z194" cm="1">
        <f t="array" ref="Z194">_xlfn.XLOOKUP(Matrix[[#This Row],[TEAM]]&amp;Matrix[[#Headers],[14]],FDR[FDR]&amp;FDR[[#Headers],[14]],FDR[14],"",0,1)</f>
        <v>3</v>
      </c>
      <c r="AA194" cm="1">
        <f t="array" ref="AA194">_xlfn.XLOOKUP(Matrix[[#This Row],[TEAM]]&amp;Matrix[[#Headers],[15]],FDR[FDR]&amp;FDR[[#Headers],[15]],FDR[15],"",0,1)</f>
        <v>1</v>
      </c>
      <c r="AB194" cm="1">
        <f t="array" ref="AB194">_xlfn.XLOOKUP(Matrix[[#This Row],[TEAM]]&amp;Matrix[[#Headers],[16]],FDR[FDR]&amp;FDR[[#Headers],[16]],FDR[16],"",0,1)</f>
        <v>1</v>
      </c>
      <c r="AC194" cm="1">
        <f t="array" ref="AC194">_xlfn.XLOOKUP(Matrix[[#This Row],[TEAM]]&amp;Matrix[[#Headers],[17]],FDR[FDR]&amp;FDR[[#Headers],[17]],FDR[17],"",0,1)</f>
        <v>3</v>
      </c>
      <c r="AD194" cm="1">
        <f t="array" ref="AD194">_xlfn.XLOOKUP(Matrix[[#This Row],[TEAM]]&amp;Matrix[[#Headers],[18]],FDR[FDR]&amp;FDR[[#Headers],[18]],FDR[18],"",0,1)</f>
        <v>4</v>
      </c>
      <c r="AE194" cm="1">
        <f t="array" ref="AE194">_xlfn.XLOOKUP(Matrix[[#This Row],[TEAM]]&amp;Matrix[[#Headers],[19]],FDR[FDR]&amp;FDR[[#Headers],[19]],FDR[19],"",0,1)</f>
        <v>1</v>
      </c>
      <c r="AF194" cm="1">
        <f t="array" ref="AF194">_xlfn.XLOOKUP(Matrix[[#This Row],[TEAM]]&amp;Matrix[[#Headers],[20]],FDR[FDR]&amp;FDR[[#Headers],[20]],FDR[20],"",0,1)</f>
        <v>1</v>
      </c>
      <c r="AG194" cm="1">
        <f t="array" ref="AG194">_xlfn.XLOOKUP(Matrix[[#This Row],[TEAM]]&amp;Matrix[[#Headers],[21]],FDR[FDR]&amp;FDR[[#Headers],[21]],FDR[21],"",0,1)</f>
        <v>1</v>
      </c>
      <c r="AH194" cm="1">
        <f t="array" ref="AH194">_xlfn.XLOOKUP(Matrix[[#This Row],[TEAM]]&amp;Matrix[[#Headers],[22]],FDR[FDR]&amp;FDR[[#Headers],[22]],FDR[22],"",0,1)</f>
        <v>1</v>
      </c>
      <c r="AI194" cm="1">
        <f t="array" ref="AI194">_xlfn.XLOOKUP(Matrix[[#This Row],[TEAM]]&amp;Matrix[[#Headers],[23]],FDR[FDR]&amp;FDR[[#Headers],[23]],FDR[23],"",0,1)</f>
        <v>2</v>
      </c>
      <c r="AJ194" cm="1">
        <f t="array" ref="AJ194">_xlfn.XLOOKUP(Matrix[[#This Row],[TEAM]]&amp;Matrix[[#Headers],[24]],FDR[FDR]&amp;FDR[[#Headers],[24]],FDR[24],"",0,1)</f>
        <v>4</v>
      </c>
      <c r="AK194" cm="1">
        <f t="array" ref="AK194">_xlfn.XLOOKUP(Matrix[[#This Row],[TEAM]]&amp;Matrix[[#Headers],[25]],FDR[FDR]&amp;FDR[[#Headers],[25]],FDR[25],"",0,1)</f>
        <v>1</v>
      </c>
      <c r="AL194" cm="1">
        <f t="array" ref="AL194">_xlfn.XLOOKUP(Matrix[[#This Row],[TEAM]]&amp;Matrix[[#Headers],[26]],FDR[FDR]&amp;FDR[[#Headers],[26]],FDR[26],"",0,1)</f>
        <v>4</v>
      </c>
      <c r="AM194" cm="1">
        <f t="array" ref="AM194">_xlfn.XLOOKUP(Matrix[[#This Row],[TEAM]]&amp;Matrix[[#Headers],[27]],FDR[FDR]&amp;FDR[[#Headers],[27]],FDR[27],"",0,1)</f>
        <v>4</v>
      </c>
      <c r="AN194" cm="1">
        <f t="array" ref="AN194">_xlfn.XLOOKUP(Matrix[[#This Row],[TEAM]]&amp;Matrix[[#Headers],[28]],FDR[FDR]&amp;FDR[[#Headers],[28]],FDR[28],"",0,1)</f>
        <v>1</v>
      </c>
      <c r="AO194" cm="1">
        <f t="array" ref="AO194">_xlfn.XLOOKUP(Matrix[[#This Row],[TEAM]]&amp;Matrix[[#Headers],[29]],FDR[FDR]&amp;FDR[[#Headers],[29]],FDR[29],"",0,1)</f>
        <v>3</v>
      </c>
      <c r="AP194" cm="1">
        <f t="array" ref="AP194">_xlfn.XLOOKUP(Matrix[[#This Row],[TEAM]]&amp;Matrix[[#Headers],[30]],FDR[FDR]&amp;FDR[[#Headers],[30]],FDR[30],"",0,1)</f>
        <v>4</v>
      </c>
      <c r="AQ194" cm="1">
        <f t="array" ref="AQ194">_xlfn.XLOOKUP(Matrix[[#This Row],[TEAM]]&amp;Matrix[[#Headers],[31]],FDR[FDR]&amp;FDR[[#Headers],[31]],FDR[31],"",0,1)</f>
        <v>1</v>
      </c>
      <c r="AR194" cm="1">
        <f t="array" ref="AR194">_xlfn.XLOOKUP(Matrix[[#This Row],[TEAM]]&amp;Matrix[[#Headers],[32]],FDR[FDR]&amp;FDR[[#Headers],[32]],FDR[32],"",0,1)</f>
        <v>2</v>
      </c>
      <c r="AS194" cm="1">
        <f t="array" ref="AS194">_xlfn.XLOOKUP(Matrix[[#This Row],[TEAM]]&amp;Matrix[[#Headers],[33]],FDR[FDR]&amp;FDR[[#Headers],[33]],FDR[33],"",0,1)</f>
        <v>2</v>
      </c>
      <c r="AT194" cm="1">
        <f t="array" ref="AT194">_xlfn.XLOOKUP(Matrix[[#This Row],[TEAM]]&amp;Matrix[[#Headers],[34]],FDR[FDR]&amp;FDR[[#Headers],[34]],FDR[34],"",0,1)</f>
        <v>4</v>
      </c>
      <c r="AU194" cm="1">
        <f t="array" ref="AU194">_xlfn.XLOOKUP(Matrix[[#This Row],[TEAM]]&amp;Matrix[[#Headers],[35]],FDR[FDR]&amp;FDR[[#Headers],[35]],FDR[35],"",0,1)</f>
        <v>2</v>
      </c>
      <c r="AV194" cm="1">
        <f t="array" ref="AV194">_xlfn.XLOOKUP(Matrix[[#This Row],[TEAM]]&amp;Matrix[[#Headers],[36]],FDR[FDR]&amp;FDR[[#Headers],[36]],FDR[36],"",0,1)</f>
        <v>2</v>
      </c>
      <c r="AW194" cm="1">
        <f t="array" ref="AW194">_xlfn.XLOOKUP(Matrix[[#This Row],[TEAM]]&amp;Matrix[[#Headers],[37]],FDR[FDR]&amp;FDR[[#Headers],[37]],FDR[37],"",0,1)</f>
        <v>1</v>
      </c>
      <c r="AX194" cm="1">
        <f t="array" ref="AX194">_xlfn.XLOOKUP(Matrix[[#This Row],[TEAM]]&amp;Matrix[[#Headers],[38]],FDR[FDR]&amp;FDR[[#Headers],[38]],FDR[38],"",0,1)</f>
        <v>2</v>
      </c>
    </row>
    <row r="195" spans="1:50" ht="22" thickTop="1" thickBot="1">
      <c r="A195" s="51" t="s">
        <v>657</v>
      </c>
      <c r="B195" s="70" t="s">
        <v>1500</v>
      </c>
      <c r="C195" s="40" t="s">
        <v>30</v>
      </c>
      <c r="D195" s="62">
        <v>68</v>
      </c>
      <c r="E195" s="60">
        <v>1.2E-2</v>
      </c>
      <c r="F195" s="61">
        <v>91.5</v>
      </c>
      <c r="G195" s="63">
        <v>5</v>
      </c>
      <c r="H195" s="261">
        <f>IF(ISBLANK(I195),0,1)</f>
        <v>0</v>
      </c>
      <c r="I195" s="57"/>
      <c r="J195" s="58"/>
      <c r="K195" s="65" t="s">
        <v>873</v>
      </c>
      <c r="L195" s="65" t="s">
        <v>874</v>
      </c>
      <c r="M195" cm="1">
        <f t="array" ref="M195">_xlfn.XLOOKUP(Matrix[[#This Row],[TEAM]]&amp;Matrix[[#Headers],[1]],FDR[FDR]&amp;FDR[[#Headers],[1]],FDR[1],"",0,1)</f>
        <v>3</v>
      </c>
      <c r="N195" cm="1">
        <f t="array" ref="N195">_xlfn.XLOOKUP(Matrix[[#This Row],[TEAM]]&amp;Matrix[[#Headers],[2]],FDR[FDR]&amp;FDR[[#Headers],[2]],FDR[2],"",0,1)</f>
        <v>2</v>
      </c>
      <c r="O195" cm="1">
        <f t="array" ref="O195">_xlfn.XLOOKUP(Matrix[[#This Row],[TEAM]]&amp;Matrix[[#Headers],[3]],FDR[FDR]&amp;FDR[[#Headers],[3]],FDR[3],"",0,1)</f>
        <v>1</v>
      </c>
      <c r="P195" cm="1">
        <f t="array" ref="P195">_xlfn.XLOOKUP(Matrix[[#This Row],[TEAM]]&amp;Matrix[[#Headers],[4]],FDR[FDR]&amp;FDR[[#Headers],[4]],FDR[4],"",0,1)</f>
        <v>4</v>
      </c>
      <c r="Q195" cm="1">
        <f t="array" ref="Q195">_xlfn.XLOOKUP(Matrix[[#This Row],[TEAM]]&amp;Matrix[[#Headers],[5]],FDR[FDR]&amp;FDR[[#Headers],[5]],FDR[5],"",0,1)</f>
        <v>3</v>
      </c>
      <c r="R195" cm="1">
        <f t="array" ref="R195">_xlfn.XLOOKUP(Matrix[[#This Row],[TEAM]]&amp;Matrix[[#Headers],[6]],FDR[FDR]&amp;FDR[[#Headers],[6]],FDR[6],"",0,1)</f>
        <v>2</v>
      </c>
      <c r="S195" cm="1">
        <f t="array" ref="S195">_xlfn.XLOOKUP(Matrix[[#This Row],[TEAM]]&amp;Matrix[[#Headers],[7]],FDR[FDR]&amp;FDR[[#Headers],[7]],FDR[7],"",0,1)</f>
        <v>1</v>
      </c>
      <c r="T195" cm="1">
        <f t="array" ref="T195">_xlfn.XLOOKUP(Matrix[[#This Row],[TEAM]]&amp;Matrix[[#Headers],[8]],FDR[FDR]&amp;FDR[[#Headers],[8]],FDR[8],"",0,1)</f>
        <v>4</v>
      </c>
      <c r="U195" cm="1">
        <f t="array" ref="U195">_xlfn.XLOOKUP(Matrix[[#This Row],[TEAM]]&amp;Matrix[[#Headers],[9]],FDR[FDR]&amp;FDR[[#Headers],[9]],FDR[9],"",0,1)</f>
        <v>1</v>
      </c>
      <c r="V195" cm="1">
        <f t="array" ref="V195">_xlfn.XLOOKUP(Matrix[[#This Row],[TEAM]]&amp;Matrix[[#Headers],[10]],FDR[FDR]&amp;FDR[[#Headers],[10]],FDR[10],"",0,1)</f>
        <v>2</v>
      </c>
      <c r="W195" cm="1">
        <f t="array" ref="W195">_xlfn.XLOOKUP(Matrix[[#This Row],[TEAM]]&amp;Matrix[[#Headers],[11]],FDR[FDR]&amp;FDR[[#Headers],[11]],FDR[11],"",0,1)</f>
        <v>4</v>
      </c>
      <c r="X195" cm="1">
        <f t="array" ref="X195">_xlfn.XLOOKUP(Matrix[[#This Row],[TEAM]]&amp;Matrix[[#Headers],[12]],FDR[FDR]&amp;FDR[[#Headers],[12]],FDR[12],"",0,1)</f>
        <v>1</v>
      </c>
      <c r="Y195" cm="1">
        <f t="array" ref="Y195">_xlfn.XLOOKUP(Matrix[[#This Row],[TEAM]]&amp;Matrix[[#Headers],[13]],FDR[FDR]&amp;FDR[[#Headers],[13]],FDR[13],"",0,1)</f>
        <v>2</v>
      </c>
      <c r="Z195" cm="1">
        <f t="array" ref="Z195">_xlfn.XLOOKUP(Matrix[[#This Row],[TEAM]]&amp;Matrix[[#Headers],[14]],FDR[FDR]&amp;FDR[[#Headers],[14]],FDR[14],"",0,1)</f>
        <v>1</v>
      </c>
      <c r="AA195" cm="1">
        <f t="array" ref="AA195">_xlfn.XLOOKUP(Matrix[[#This Row],[TEAM]]&amp;Matrix[[#Headers],[15]],FDR[FDR]&amp;FDR[[#Headers],[15]],FDR[15],"",0,1)</f>
        <v>1</v>
      </c>
      <c r="AB195" cm="1">
        <f t="array" ref="AB195">_xlfn.XLOOKUP(Matrix[[#This Row],[TEAM]]&amp;Matrix[[#Headers],[16]],FDR[FDR]&amp;FDR[[#Headers],[16]],FDR[16],"",0,1)</f>
        <v>1</v>
      </c>
      <c r="AC195" cm="1">
        <f t="array" ref="AC195">_xlfn.XLOOKUP(Matrix[[#This Row],[TEAM]]&amp;Matrix[[#Headers],[17]],FDR[FDR]&amp;FDR[[#Headers],[17]],FDR[17],"",0,1)</f>
        <v>3</v>
      </c>
      <c r="AD195" cm="1">
        <f t="array" ref="AD195">_xlfn.XLOOKUP(Matrix[[#This Row],[TEAM]]&amp;Matrix[[#Headers],[18]],FDR[FDR]&amp;FDR[[#Headers],[18]],FDR[18],"",0,1)</f>
        <v>2</v>
      </c>
      <c r="AE195" cm="1">
        <f t="array" ref="AE195">_xlfn.XLOOKUP(Matrix[[#This Row],[TEAM]]&amp;Matrix[[#Headers],[19]],FDR[FDR]&amp;FDR[[#Headers],[19]],FDR[19],"",0,1)</f>
        <v>1</v>
      </c>
      <c r="AF195" cm="1">
        <f t="array" ref="AF195">_xlfn.XLOOKUP(Matrix[[#This Row],[TEAM]]&amp;Matrix[[#Headers],[20]],FDR[FDR]&amp;FDR[[#Headers],[20]],FDR[20],"",0,1)</f>
        <v>1</v>
      </c>
      <c r="AG195" cm="1">
        <f t="array" ref="AG195">_xlfn.XLOOKUP(Matrix[[#This Row],[TEAM]]&amp;Matrix[[#Headers],[21]],FDR[FDR]&amp;FDR[[#Headers],[21]],FDR[21],"",0,1)</f>
        <v>1</v>
      </c>
      <c r="AH195" cm="1">
        <f t="array" ref="AH195">_xlfn.XLOOKUP(Matrix[[#This Row],[TEAM]]&amp;Matrix[[#Headers],[22]],FDR[FDR]&amp;FDR[[#Headers],[22]],FDR[22],"",0,1)</f>
        <v>3</v>
      </c>
      <c r="AI195" cm="1">
        <f t="array" ref="AI195">_xlfn.XLOOKUP(Matrix[[#This Row],[TEAM]]&amp;Matrix[[#Headers],[23]],FDR[FDR]&amp;FDR[[#Headers],[23]],FDR[23],"",0,1)</f>
        <v>4</v>
      </c>
      <c r="AJ195" cm="1">
        <f t="array" ref="AJ195">_xlfn.XLOOKUP(Matrix[[#This Row],[TEAM]]&amp;Matrix[[#Headers],[24]],FDR[FDR]&amp;FDR[[#Headers],[24]],FDR[24],"",0,1)</f>
        <v>1</v>
      </c>
      <c r="AK195" cm="1">
        <f t="array" ref="AK195">_xlfn.XLOOKUP(Matrix[[#This Row],[TEAM]]&amp;Matrix[[#Headers],[25]],FDR[FDR]&amp;FDR[[#Headers],[25]],FDR[25],"",0,1)</f>
        <v>3</v>
      </c>
      <c r="AL195" cm="1">
        <f t="array" ref="AL195">_xlfn.XLOOKUP(Matrix[[#This Row],[TEAM]]&amp;Matrix[[#Headers],[26]],FDR[FDR]&amp;FDR[[#Headers],[26]],FDR[26],"",0,1)</f>
        <v>2</v>
      </c>
      <c r="AM195" cm="1">
        <f t="array" ref="AM195">_xlfn.XLOOKUP(Matrix[[#This Row],[TEAM]]&amp;Matrix[[#Headers],[27]],FDR[FDR]&amp;FDR[[#Headers],[27]],FDR[27],"",0,1)</f>
        <v>2</v>
      </c>
      <c r="AN195" cm="1">
        <f t="array" ref="AN195">_xlfn.XLOOKUP(Matrix[[#This Row],[TEAM]]&amp;Matrix[[#Headers],[28]],FDR[FDR]&amp;FDR[[#Headers],[28]],FDR[28],"",0,1)</f>
        <v>1</v>
      </c>
      <c r="AO195" cm="1">
        <f t="array" ref="AO195">_xlfn.XLOOKUP(Matrix[[#This Row],[TEAM]]&amp;Matrix[[#Headers],[29]],FDR[FDR]&amp;FDR[[#Headers],[29]],FDR[29],"",0,1)</f>
        <v>3</v>
      </c>
      <c r="AP195" cm="1">
        <f t="array" ref="AP195">_xlfn.XLOOKUP(Matrix[[#This Row],[TEAM]]&amp;Matrix[[#Headers],[30]],FDR[FDR]&amp;FDR[[#Headers],[30]],FDR[30],"",0,1)</f>
        <v>2</v>
      </c>
      <c r="AQ195" cm="1">
        <f t="array" ref="AQ195">_xlfn.XLOOKUP(Matrix[[#This Row],[TEAM]]&amp;Matrix[[#Headers],[31]],FDR[FDR]&amp;FDR[[#Headers],[31]],FDR[31],"",0,1)</f>
        <v>2</v>
      </c>
      <c r="AR195" cm="1">
        <f t="array" ref="AR195">_xlfn.XLOOKUP(Matrix[[#This Row],[TEAM]]&amp;Matrix[[#Headers],[32]],FDR[FDR]&amp;FDR[[#Headers],[32]],FDR[32],"",0,1)</f>
        <v>1</v>
      </c>
      <c r="AS195" cm="1">
        <f t="array" ref="AS195">_xlfn.XLOOKUP(Matrix[[#This Row],[TEAM]]&amp;Matrix[[#Headers],[33]],FDR[FDR]&amp;FDR[[#Headers],[33]],FDR[33],"",0,1)</f>
        <v>4</v>
      </c>
      <c r="AT195" cm="1">
        <f t="array" ref="AT195">_xlfn.XLOOKUP(Matrix[[#This Row],[TEAM]]&amp;Matrix[[#Headers],[34]],FDR[FDR]&amp;FDR[[#Headers],[34]],FDR[34],"",0,1)</f>
        <v>1</v>
      </c>
      <c r="AU195" cm="1">
        <f t="array" ref="AU195">_xlfn.XLOOKUP(Matrix[[#This Row],[TEAM]]&amp;Matrix[[#Headers],[35]],FDR[FDR]&amp;FDR[[#Headers],[35]],FDR[35],"",0,1)</f>
        <v>3</v>
      </c>
      <c r="AV195" cm="1">
        <f t="array" ref="AV195">_xlfn.XLOOKUP(Matrix[[#This Row],[TEAM]]&amp;Matrix[[#Headers],[36]],FDR[FDR]&amp;FDR[[#Headers],[36]],FDR[36],"",0,1)</f>
        <v>1</v>
      </c>
      <c r="AW195" cm="1">
        <f t="array" ref="AW195">_xlfn.XLOOKUP(Matrix[[#This Row],[TEAM]]&amp;Matrix[[#Headers],[37]],FDR[FDR]&amp;FDR[[#Headers],[37]],FDR[37],"",0,1)</f>
        <v>1</v>
      </c>
      <c r="AX195" cm="1">
        <f t="array" ref="AX195">_xlfn.XLOOKUP(Matrix[[#This Row],[TEAM]]&amp;Matrix[[#Headers],[38]],FDR[FDR]&amp;FDR[[#Headers],[38]],FDR[38],"",0,1)</f>
        <v>2</v>
      </c>
    </row>
    <row r="196" spans="1:50" ht="22" thickTop="1" thickBot="1">
      <c r="A196" s="51" t="s">
        <v>657</v>
      </c>
      <c r="B196" s="70" t="s">
        <v>1507</v>
      </c>
      <c r="C196" s="40" t="s">
        <v>29</v>
      </c>
      <c r="D196" s="62">
        <v>66</v>
      </c>
      <c r="E196" s="60">
        <v>7.0000000000000001E-3</v>
      </c>
      <c r="F196" s="61">
        <v>65</v>
      </c>
      <c r="G196" s="63">
        <v>5</v>
      </c>
      <c r="H196" s="261">
        <f>IF(ISBLANK(I196),0,1)</f>
        <v>0</v>
      </c>
      <c r="I196" s="57"/>
      <c r="J196" s="58"/>
      <c r="K196" s="65" t="s">
        <v>408</v>
      </c>
      <c r="L196" s="65" t="s">
        <v>407</v>
      </c>
      <c r="M196" cm="1">
        <f t="array" ref="M196">_xlfn.XLOOKUP(Matrix[[#This Row],[TEAM]]&amp;Matrix[[#Headers],[1]],FDR[FDR]&amp;FDR[[#Headers],[1]],FDR[1],"",0,1)</f>
        <v>1</v>
      </c>
      <c r="N196" cm="1">
        <f t="array" ref="N196">_xlfn.XLOOKUP(Matrix[[#This Row],[TEAM]]&amp;Matrix[[#Headers],[2]],FDR[FDR]&amp;FDR[[#Headers],[2]],FDR[2],"",0,1)</f>
        <v>2</v>
      </c>
      <c r="O196" cm="1">
        <f t="array" ref="O196">_xlfn.XLOOKUP(Matrix[[#This Row],[TEAM]]&amp;Matrix[[#Headers],[3]],FDR[FDR]&amp;FDR[[#Headers],[3]],FDR[3],"",0,1)</f>
        <v>2</v>
      </c>
      <c r="P196" cm="1">
        <f t="array" ref="P196">_xlfn.XLOOKUP(Matrix[[#This Row],[TEAM]]&amp;Matrix[[#Headers],[4]],FDR[FDR]&amp;FDR[[#Headers],[4]],FDR[4],"",0,1)</f>
        <v>2</v>
      </c>
      <c r="Q196" cm="1">
        <f t="array" ref="Q196">_xlfn.XLOOKUP(Matrix[[#This Row],[TEAM]]&amp;Matrix[[#Headers],[5]],FDR[FDR]&amp;FDR[[#Headers],[5]],FDR[5],"",0,1)</f>
        <v>4</v>
      </c>
      <c r="R196" cm="1">
        <f t="array" ref="R196">_xlfn.XLOOKUP(Matrix[[#This Row],[TEAM]]&amp;Matrix[[#Headers],[6]],FDR[FDR]&amp;FDR[[#Headers],[6]],FDR[6],"",0,1)</f>
        <v>1</v>
      </c>
      <c r="S196" cm="1">
        <f t="array" ref="S196">_xlfn.XLOOKUP(Matrix[[#This Row],[TEAM]]&amp;Matrix[[#Headers],[7]],FDR[FDR]&amp;FDR[[#Headers],[7]],FDR[7],"",0,1)</f>
        <v>2</v>
      </c>
      <c r="T196" cm="1">
        <f t="array" ref="T196">_xlfn.XLOOKUP(Matrix[[#This Row],[TEAM]]&amp;Matrix[[#Headers],[8]],FDR[FDR]&amp;FDR[[#Headers],[8]],FDR[8],"",0,1)</f>
        <v>1</v>
      </c>
      <c r="U196" cm="1">
        <f t="array" ref="U196">_xlfn.XLOOKUP(Matrix[[#This Row],[TEAM]]&amp;Matrix[[#Headers],[9]],FDR[FDR]&amp;FDR[[#Headers],[9]],FDR[9],"",0,1)</f>
        <v>3</v>
      </c>
      <c r="V196" cm="1">
        <f t="array" ref="V196">_xlfn.XLOOKUP(Matrix[[#This Row],[TEAM]]&amp;Matrix[[#Headers],[10]],FDR[FDR]&amp;FDR[[#Headers],[10]],FDR[10],"",0,1)</f>
        <v>1</v>
      </c>
      <c r="W196" cm="1">
        <f t="array" ref="W196">_xlfn.XLOOKUP(Matrix[[#This Row],[TEAM]]&amp;Matrix[[#Headers],[11]],FDR[FDR]&amp;FDR[[#Headers],[11]],FDR[11],"",0,1)</f>
        <v>3</v>
      </c>
      <c r="X196" cm="1">
        <f t="array" ref="X196">_xlfn.XLOOKUP(Matrix[[#This Row],[TEAM]]&amp;Matrix[[#Headers],[12]],FDR[FDR]&amp;FDR[[#Headers],[12]],FDR[12],"",0,1)</f>
        <v>3</v>
      </c>
      <c r="Y196" cm="1">
        <f t="array" ref="Y196">_xlfn.XLOOKUP(Matrix[[#This Row],[TEAM]]&amp;Matrix[[#Headers],[13]],FDR[FDR]&amp;FDR[[#Headers],[13]],FDR[13],"",0,1)</f>
        <v>1</v>
      </c>
      <c r="Z196" cm="1">
        <f t="array" ref="Z196">_xlfn.XLOOKUP(Matrix[[#This Row],[TEAM]]&amp;Matrix[[#Headers],[14]],FDR[FDR]&amp;FDR[[#Headers],[14]],FDR[14],"",0,1)</f>
        <v>2</v>
      </c>
      <c r="AA196" cm="1">
        <f t="array" ref="AA196">_xlfn.XLOOKUP(Matrix[[#This Row],[TEAM]]&amp;Matrix[[#Headers],[15]],FDR[FDR]&amp;FDR[[#Headers],[15]],FDR[15],"",0,1)</f>
        <v>1</v>
      </c>
      <c r="AB196" cm="1">
        <f t="array" ref="AB196">_xlfn.XLOOKUP(Matrix[[#This Row],[TEAM]]&amp;Matrix[[#Headers],[16]],FDR[FDR]&amp;FDR[[#Headers],[16]],FDR[16],"",0,1)</f>
        <v>2</v>
      </c>
      <c r="AC196" cm="1">
        <f t="array" ref="AC196">_xlfn.XLOOKUP(Matrix[[#This Row],[TEAM]]&amp;Matrix[[#Headers],[17]],FDR[FDR]&amp;FDR[[#Headers],[17]],FDR[17],"",0,1)</f>
        <v>1</v>
      </c>
      <c r="AD196" cm="1">
        <f t="array" ref="AD196">_xlfn.XLOOKUP(Matrix[[#This Row],[TEAM]]&amp;Matrix[[#Headers],[18]],FDR[FDR]&amp;FDR[[#Headers],[18]],FDR[18],"",0,1)</f>
        <v>2</v>
      </c>
      <c r="AE196" cm="1">
        <f t="array" ref="AE196">_xlfn.XLOOKUP(Matrix[[#This Row],[TEAM]]&amp;Matrix[[#Headers],[19]],FDR[FDR]&amp;FDR[[#Headers],[19]],FDR[19],"",0,1)</f>
        <v>1</v>
      </c>
      <c r="AF196" cm="1">
        <f t="array" ref="AF196">_xlfn.XLOOKUP(Matrix[[#This Row],[TEAM]]&amp;Matrix[[#Headers],[20]],FDR[FDR]&amp;FDR[[#Headers],[20]],FDR[20],"",0,1)</f>
        <v>2</v>
      </c>
      <c r="AG196" cm="1">
        <f t="array" ref="AG196">_xlfn.XLOOKUP(Matrix[[#This Row],[TEAM]]&amp;Matrix[[#Headers],[21]],FDR[FDR]&amp;FDR[[#Headers],[21]],FDR[21],"",0,1)</f>
        <v>1</v>
      </c>
      <c r="AH196" cm="1">
        <f t="array" ref="AH196">_xlfn.XLOOKUP(Matrix[[#This Row],[TEAM]]&amp;Matrix[[#Headers],[22]],FDR[FDR]&amp;FDR[[#Headers],[22]],FDR[22],"",0,1)</f>
        <v>3</v>
      </c>
      <c r="AI196" cm="1">
        <f t="array" ref="AI196">_xlfn.XLOOKUP(Matrix[[#This Row],[TEAM]]&amp;Matrix[[#Headers],[23]],FDR[FDR]&amp;FDR[[#Headers],[23]],FDR[23],"",0,1)</f>
        <v>1</v>
      </c>
      <c r="AJ196" cm="1">
        <f t="array" ref="AJ196">_xlfn.XLOOKUP(Matrix[[#This Row],[TEAM]]&amp;Matrix[[#Headers],[24]],FDR[FDR]&amp;FDR[[#Headers],[24]],FDR[24],"",0,1)</f>
        <v>3</v>
      </c>
      <c r="AK196" cm="1">
        <f t="array" ref="AK196">_xlfn.XLOOKUP(Matrix[[#This Row],[TEAM]]&amp;Matrix[[#Headers],[25]],FDR[FDR]&amp;FDR[[#Headers],[25]],FDR[25],"",0,1)</f>
        <v>4</v>
      </c>
      <c r="AL196" cm="1">
        <f t="array" ref="AL196">_xlfn.XLOOKUP(Matrix[[#This Row],[TEAM]]&amp;Matrix[[#Headers],[26]],FDR[FDR]&amp;FDR[[#Headers],[26]],FDR[26],"",0,1)</f>
        <v>1</v>
      </c>
      <c r="AM196" cm="1">
        <f t="array" ref="AM196">_xlfn.XLOOKUP(Matrix[[#This Row],[TEAM]]&amp;Matrix[[#Headers],[27]],FDR[FDR]&amp;FDR[[#Headers],[27]],FDR[27],"",0,1)</f>
        <v>2</v>
      </c>
      <c r="AN196" cm="1">
        <f t="array" ref="AN196">_xlfn.XLOOKUP(Matrix[[#This Row],[TEAM]]&amp;Matrix[[#Headers],[28]],FDR[FDR]&amp;FDR[[#Headers],[28]],FDR[28],"",0,1)</f>
        <v>1</v>
      </c>
      <c r="AO196" cm="1">
        <f t="array" ref="AO196">_xlfn.XLOOKUP(Matrix[[#This Row],[TEAM]]&amp;Matrix[[#Headers],[29]],FDR[FDR]&amp;FDR[[#Headers],[29]],FDR[29],"",0,1)</f>
        <v>1</v>
      </c>
      <c r="AP196" cm="1">
        <f t="array" ref="AP196">_xlfn.XLOOKUP(Matrix[[#This Row],[TEAM]]&amp;Matrix[[#Headers],[30]],FDR[FDR]&amp;FDR[[#Headers],[30]],FDR[30],"",0,1)</f>
        <v>2</v>
      </c>
      <c r="AQ196" cm="1">
        <f t="array" ref="AQ196">_xlfn.XLOOKUP(Matrix[[#This Row],[TEAM]]&amp;Matrix[[#Headers],[31]],FDR[FDR]&amp;FDR[[#Headers],[31]],FDR[31],"",0,1)</f>
        <v>1</v>
      </c>
      <c r="AR196" cm="1">
        <f t="array" ref="AR196">_xlfn.XLOOKUP(Matrix[[#This Row],[TEAM]]&amp;Matrix[[#Headers],[32]],FDR[FDR]&amp;FDR[[#Headers],[32]],FDR[32],"",0,1)</f>
        <v>3</v>
      </c>
      <c r="AS196" cm="1">
        <f t="array" ref="AS196">_xlfn.XLOOKUP(Matrix[[#This Row],[TEAM]]&amp;Matrix[[#Headers],[33]],FDR[FDR]&amp;FDR[[#Headers],[33]],FDR[33],"",0,1)</f>
        <v>3</v>
      </c>
      <c r="AT196" cm="1">
        <f t="array" ref="AT196">_xlfn.XLOOKUP(Matrix[[#This Row],[TEAM]]&amp;Matrix[[#Headers],[34]],FDR[FDR]&amp;FDR[[#Headers],[34]],FDR[34],"",0,1)</f>
        <v>1</v>
      </c>
      <c r="AU196" cm="1">
        <f t="array" ref="AU196">_xlfn.XLOOKUP(Matrix[[#This Row],[TEAM]]&amp;Matrix[[#Headers],[35]],FDR[FDR]&amp;FDR[[#Headers],[35]],FDR[35],"",0,1)</f>
        <v>2</v>
      </c>
      <c r="AV196" cm="1">
        <f t="array" ref="AV196">_xlfn.XLOOKUP(Matrix[[#This Row],[TEAM]]&amp;Matrix[[#Headers],[36]],FDR[FDR]&amp;FDR[[#Headers],[36]],FDR[36],"",0,1)</f>
        <v>1</v>
      </c>
      <c r="AW196" cm="1">
        <f t="array" ref="AW196">_xlfn.XLOOKUP(Matrix[[#This Row],[TEAM]]&amp;Matrix[[#Headers],[37]],FDR[FDR]&amp;FDR[[#Headers],[37]],FDR[37],"",0,1)</f>
        <v>2</v>
      </c>
      <c r="AX196" cm="1">
        <f t="array" ref="AX196">_xlfn.XLOOKUP(Matrix[[#This Row],[TEAM]]&amp;Matrix[[#Headers],[38]],FDR[FDR]&amp;FDR[[#Headers],[38]],FDR[38],"",0,1)</f>
        <v>2</v>
      </c>
    </row>
    <row r="197" spans="1:50" ht="22" thickTop="1" thickBot="1">
      <c r="A197" s="50" t="str">
        <f>INDEX!S$4</f>
        <v>MID</v>
      </c>
      <c r="B197" s="70" t="s">
        <v>2006</v>
      </c>
      <c r="C197" s="40" t="s">
        <v>633</v>
      </c>
      <c r="D197" s="62">
        <v>1</v>
      </c>
      <c r="E197" s="60">
        <v>0</v>
      </c>
      <c r="F197" s="61">
        <v>0.5</v>
      </c>
      <c r="G197" s="63">
        <v>5.5</v>
      </c>
      <c r="H197" s="57">
        <f>IF(ISBLANK(I197),0,1)</f>
        <v>0</v>
      </c>
      <c r="I197" s="58"/>
      <c r="J197" s="59"/>
      <c r="K197" s="59" t="s">
        <v>910</v>
      </c>
      <c r="L197" s="59" t="s">
        <v>2007</v>
      </c>
      <c r="M197" cm="1">
        <f t="array" ref="M197">_xlfn.XLOOKUP(Matrix[[#This Row],[TEAM]]&amp;Matrix[[#Headers],[1]],FDR[FDR]&amp;FDR[[#Headers],[1]],FDR[1],"",0,1)</f>
        <v>4</v>
      </c>
      <c r="N197" cm="1">
        <f t="array" ref="N197">_xlfn.XLOOKUP(Matrix[[#This Row],[TEAM]]&amp;Matrix[[#Headers],[2]],FDR[FDR]&amp;FDR[[#Headers],[2]],FDR[2],"",0,1)</f>
        <v>5</v>
      </c>
      <c r="O197" cm="1">
        <f t="array" ref="O197">_xlfn.XLOOKUP(Matrix[[#This Row],[TEAM]]&amp;Matrix[[#Headers],[3]],FDR[FDR]&amp;FDR[[#Headers],[3]],FDR[3],"",0,1)</f>
        <v>5</v>
      </c>
      <c r="P197" cm="1">
        <f t="array" ref="P197">_xlfn.XLOOKUP(Matrix[[#This Row],[TEAM]]&amp;Matrix[[#Headers],[4]],FDR[FDR]&amp;FDR[[#Headers],[4]],FDR[4],"",0,1)</f>
        <v>5</v>
      </c>
      <c r="Q197" cm="1">
        <f t="array" ref="Q197">_xlfn.XLOOKUP(Matrix[[#This Row],[TEAM]]&amp;Matrix[[#Headers],[5]],FDR[FDR]&amp;FDR[[#Headers],[5]],FDR[5],"",0,1)</f>
        <v>4</v>
      </c>
      <c r="R197" cm="1">
        <f t="array" ref="R197">_xlfn.XLOOKUP(Matrix[[#This Row],[TEAM]]&amp;Matrix[[#Headers],[6]],FDR[FDR]&amp;FDR[[#Headers],[6]],FDR[6],"",0,1)</f>
        <v>5</v>
      </c>
      <c r="S197" cm="1">
        <f t="array" ref="S197">_xlfn.XLOOKUP(Matrix[[#This Row],[TEAM]]&amp;Matrix[[#Headers],[7]],FDR[FDR]&amp;FDR[[#Headers],[7]],FDR[7],"",0,1)</f>
        <v>5</v>
      </c>
      <c r="T197" cm="1">
        <f t="array" ref="T197">_xlfn.XLOOKUP(Matrix[[#This Row],[TEAM]]&amp;Matrix[[#Headers],[8]],FDR[FDR]&amp;FDR[[#Headers],[8]],FDR[8],"",0,1)</f>
        <v>4</v>
      </c>
      <c r="U197" cm="1">
        <f t="array" ref="U197">_xlfn.XLOOKUP(Matrix[[#This Row],[TEAM]]&amp;Matrix[[#Headers],[9]],FDR[FDR]&amp;FDR[[#Headers],[9]],FDR[9],"",0,1)</f>
        <v>4</v>
      </c>
      <c r="V197" cm="1">
        <f t="array" ref="V197">_xlfn.XLOOKUP(Matrix[[#This Row],[TEAM]]&amp;Matrix[[#Headers],[10]],FDR[FDR]&amp;FDR[[#Headers],[10]],FDR[10],"",0,1)</f>
        <v>5</v>
      </c>
      <c r="W197" cm="1">
        <f t="array" ref="W197">_xlfn.XLOOKUP(Matrix[[#This Row],[TEAM]]&amp;Matrix[[#Headers],[11]],FDR[FDR]&amp;FDR[[#Headers],[11]],FDR[11],"",0,1)</f>
        <v>5</v>
      </c>
      <c r="X197" cm="1">
        <f t="array" ref="X197">_xlfn.XLOOKUP(Matrix[[#This Row],[TEAM]]&amp;Matrix[[#Headers],[12]],FDR[FDR]&amp;FDR[[#Headers],[12]],FDR[12],"",0,1)</f>
        <v>5</v>
      </c>
      <c r="Y197" cm="1">
        <f t="array" ref="Y197">_xlfn.XLOOKUP(Matrix[[#This Row],[TEAM]]&amp;Matrix[[#Headers],[13]],FDR[FDR]&amp;FDR[[#Headers],[13]],FDR[13],"",0,1)</f>
        <v>5</v>
      </c>
      <c r="Z197" cm="1">
        <f t="array" ref="Z197">_xlfn.XLOOKUP(Matrix[[#This Row],[TEAM]]&amp;Matrix[[#Headers],[14]],FDR[FDR]&amp;FDR[[#Headers],[14]],FDR[14],"",0,1)</f>
        <v>5</v>
      </c>
      <c r="AA197" cm="1">
        <f t="array" ref="AA197">_xlfn.XLOOKUP(Matrix[[#This Row],[TEAM]]&amp;Matrix[[#Headers],[15]],FDR[FDR]&amp;FDR[[#Headers],[15]],FDR[15],"",0,1)</f>
        <v>5</v>
      </c>
      <c r="AB197" cm="1">
        <f t="array" ref="AB197">_xlfn.XLOOKUP(Matrix[[#This Row],[TEAM]]&amp;Matrix[[#Headers],[16]],FDR[FDR]&amp;FDR[[#Headers],[16]],FDR[16],"",0,1)</f>
        <v>5</v>
      </c>
      <c r="AC197" cm="1">
        <f t="array" ref="AC197">_xlfn.XLOOKUP(Matrix[[#This Row],[TEAM]]&amp;Matrix[[#Headers],[17]],FDR[FDR]&amp;FDR[[#Headers],[17]],FDR[17],"",0,1)</f>
        <v>4</v>
      </c>
      <c r="AD197" cm="1">
        <f t="array" ref="AD197">_xlfn.XLOOKUP(Matrix[[#This Row],[TEAM]]&amp;Matrix[[#Headers],[18]],FDR[FDR]&amp;FDR[[#Headers],[18]],FDR[18],"",0,1)</f>
        <v>4</v>
      </c>
      <c r="AE197" cm="1">
        <f t="array" ref="AE197">_xlfn.XLOOKUP(Matrix[[#This Row],[TEAM]]&amp;Matrix[[#Headers],[19]],FDR[FDR]&amp;FDR[[#Headers],[19]],FDR[19],"",0,1)</f>
        <v>5</v>
      </c>
      <c r="AF197" cm="1">
        <f t="array" ref="AF197">_xlfn.XLOOKUP(Matrix[[#This Row],[TEAM]]&amp;Matrix[[#Headers],[20]],FDR[FDR]&amp;FDR[[#Headers],[20]],FDR[20],"",0,1)</f>
        <v>5</v>
      </c>
      <c r="AG197" cm="1">
        <f t="array" ref="AG197">_xlfn.XLOOKUP(Matrix[[#This Row],[TEAM]]&amp;Matrix[[#Headers],[21]],FDR[FDR]&amp;FDR[[#Headers],[21]],FDR[21],"",0,1)</f>
        <v>5</v>
      </c>
      <c r="AH197" cm="1">
        <f t="array" ref="AH197">_xlfn.XLOOKUP(Matrix[[#This Row],[TEAM]]&amp;Matrix[[#Headers],[22]],FDR[FDR]&amp;FDR[[#Headers],[22]],FDR[22],"",0,1)</f>
        <v>5</v>
      </c>
      <c r="AI197" cm="1">
        <f t="array" ref="AI197">_xlfn.XLOOKUP(Matrix[[#This Row],[TEAM]]&amp;Matrix[[#Headers],[23]],FDR[FDR]&amp;FDR[[#Headers],[23]],FDR[23],"",0,1)</f>
        <v>5</v>
      </c>
      <c r="AJ197" cm="1">
        <f t="array" ref="AJ197">_xlfn.XLOOKUP(Matrix[[#This Row],[TEAM]]&amp;Matrix[[#Headers],[24]],FDR[FDR]&amp;FDR[[#Headers],[24]],FDR[24],"",0,1)</f>
        <v>5</v>
      </c>
      <c r="AK197" cm="1">
        <f t="array" ref="AK197">_xlfn.XLOOKUP(Matrix[[#This Row],[TEAM]]&amp;Matrix[[#Headers],[25]],FDR[FDR]&amp;FDR[[#Headers],[25]],FDR[25],"",0,1)</f>
        <v>5</v>
      </c>
      <c r="AL197" cm="1">
        <f t="array" ref="AL197">_xlfn.XLOOKUP(Matrix[[#This Row],[TEAM]]&amp;Matrix[[#Headers],[26]],FDR[FDR]&amp;FDR[[#Headers],[26]],FDR[26],"",0,1)</f>
        <v>5</v>
      </c>
      <c r="AM197" cm="1">
        <f t="array" ref="AM197">_xlfn.XLOOKUP(Matrix[[#This Row],[TEAM]]&amp;Matrix[[#Headers],[27]],FDR[FDR]&amp;FDR[[#Headers],[27]],FDR[27],"",0,1)</f>
        <v>5</v>
      </c>
      <c r="AN197" cm="1">
        <f t="array" ref="AN197">_xlfn.XLOOKUP(Matrix[[#This Row],[TEAM]]&amp;Matrix[[#Headers],[28]],FDR[FDR]&amp;FDR[[#Headers],[28]],FDR[28],"",0,1)</f>
        <v>5</v>
      </c>
      <c r="AO197" cm="1">
        <f t="array" ref="AO197">_xlfn.XLOOKUP(Matrix[[#This Row],[TEAM]]&amp;Matrix[[#Headers],[29]],FDR[FDR]&amp;FDR[[#Headers],[29]],FDR[29],"",0,1)</f>
        <v>3</v>
      </c>
      <c r="AP197" cm="1">
        <f t="array" ref="AP197">_xlfn.XLOOKUP(Matrix[[#This Row],[TEAM]]&amp;Matrix[[#Headers],[30]],FDR[FDR]&amp;FDR[[#Headers],[30]],FDR[30],"",0,1)</f>
        <v>5</v>
      </c>
      <c r="AQ197" cm="1">
        <f t="array" ref="AQ197">_xlfn.XLOOKUP(Matrix[[#This Row],[TEAM]]&amp;Matrix[[#Headers],[31]],FDR[FDR]&amp;FDR[[#Headers],[31]],FDR[31],"",0,1)</f>
        <v>4</v>
      </c>
      <c r="AR197" cm="1">
        <f t="array" ref="AR197">_xlfn.XLOOKUP(Matrix[[#This Row],[TEAM]]&amp;Matrix[[#Headers],[32]],FDR[FDR]&amp;FDR[[#Headers],[32]],FDR[32],"",0,1)</f>
        <v>5</v>
      </c>
      <c r="AS197" cm="1">
        <f t="array" ref="AS197">_xlfn.XLOOKUP(Matrix[[#This Row],[TEAM]]&amp;Matrix[[#Headers],[33]],FDR[FDR]&amp;FDR[[#Headers],[33]],FDR[33],"",0,1)</f>
        <v>3</v>
      </c>
      <c r="AT197" cm="1">
        <f t="array" ref="AT197">_xlfn.XLOOKUP(Matrix[[#This Row],[TEAM]]&amp;Matrix[[#Headers],[34]],FDR[FDR]&amp;FDR[[#Headers],[34]],FDR[34],"",0,1)</f>
        <v>5</v>
      </c>
      <c r="AU197" cm="1">
        <f t="array" ref="AU197">_xlfn.XLOOKUP(Matrix[[#This Row],[TEAM]]&amp;Matrix[[#Headers],[35]],FDR[FDR]&amp;FDR[[#Headers],[35]],FDR[35],"",0,1)</f>
        <v>3</v>
      </c>
      <c r="AV197" cm="1">
        <f t="array" ref="AV197">_xlfn.XLOOKUP(Matrix[[#This Row],[TEAM]]&amp;Matrix[[#Headers],[36]],FDR[FDR]&amp;FDR[[#Headers],[36]],FDR[36],"",0,1)</f>
        <v>5</v>
      </c>
      <c r="AW197" cm="1">
        <f t="array" ref="AW197">_xlfn.XLOOKUP(Matrix[[#This Row],[TEAM]]&amp;Matrix[[#Headers],[37]],FDR[FDR]&amp;FDR[[#Headers],[37]],FDR[37],"",0,1)</f>
        <v>5</v>
      </c>
      <c r="AX197" cm="1">
        <f t="array" ref="AX197">_xlfn.XLOOKUP(Matrix[[#This Row],[TEAM]]&amp;Matrix[[#Headers],[38]],FDR[FDR]&amp;FDR[[#Headers],[38]],FDR[38],"",0,1)</f>
        <v>5</v>
      </c>
    </row>
    <row r="198" spans="1:50" ht="22" thickTop="1" thickBot="1">
      <c r="A198" s="51" t="s">
        <v>657</v>
      </c>
      <c r="B198" s="70" t="s">
        <v>1515</v>
      </c>
      <c r="C198" s="40" t="s">
        <v>24</v>
      </c>
      <c r="D198" s="62">
        <v>65</v>
      </c>
      <c r="E198" s="60">
        <v>5.0000000000000001E-3</v>
      </c>
      <c r="F198" s="61">
        <v>56</v>
      </c>
      <c r="G198" s="63">
        <v>5</v>
      </c>
      <c r="H198" s="261">
        <f>IF(ISBLANK(I198),0,1)</f>
        <v>0</v>
      </c>
      <c r="I198" s="57"/>
      <c r="J198" s="58"/>
      <c r="K198" s="65" t="s">
        <v>592</v>
      </c>
      <c r="L198" s="65" t="s">
        <v>178</v>
      </c>
      <c r="M198" cm="1">
        <f t="array" ref="M198">_xlfn.XLOOKUP(Matrix[[#This Row],[TEAM]]&amp;Matrix[[#Headers],[1]],FDR[FDR]&amp;FDR[[#Headers],[1]],FDR[1],"",0,1)</f>
        <v>2</v>
      </c>
      <c r="N198" cm="1">
        <f t="array" ref="N198">_xlfn.XLOOKUP(Matrix[[#This Row],[TEAM]]&amp;Matrix[[#Headers],[2]],FDR[FDR]&amp;FDR[[#Headers],[2]],FDR[2],"",0,1)</f>
        <v>3</v>
      </c>
      <c r="O198" cm="1">
        <f t="array" ref="O198">_xlfn.XLOOKUP(Matrix[[#This Row],[TEAM]]&amp;Matrix[[#Headers],[3]],FDR[FDR]&amp;FDR[[#Headers],[3]],FDR[3],"",0,1)</f>
        <v>2</v>
      </c>
      <c r="P198" cm="1">
        <f t="array" ref="P198">_xlfn.XLOOKUP(Matrix[[#This Row],[TEAM]]&amp;Matrix[[#Headers],[4]],FDR[FDR]&amp;FDR[[#Headers],[4]],FDR[4],"",0,1)</f>
        <v>4</v>
      </c>
      <c r="Q198" cm="1">
        <f t="array" ref="Q198">_xlfn.XLOOKUP(Matrix[[#This Row],[TEAM]]&amp;Matrix[[#Headers],[5]],FDR[FDR]&amp;FDR[[#Headers],[5]],FDR[5],"",0,1)</f>
        <v>5</v>
      </c>
      <c r="R198" cm="1">
        <f t="array" ref="R198">_xlfn.XLOOKUP(Matrix[[#This Row],[TEAM]]&amp;Matrix[[#Headers],[6]],FDR[FDR]&amp;FDR[[#Headers],[6]],FDR[6],"",0,1)</f>
        <v>3</v>
      </c>
      <c r="S198" cm="1">
        <f t="array" ref="S198">_xlfn.XLOOKUP(Matrix[[#This Row],[TEAM]]&amp;Matrix[[#Headers],[7]],FDR[FDR]&amp;FDR[[#Headers],[7]],FDR[7],"",0,1)</f>
        <v>3</v>
      </c>
      <c r="T198" cm="1">
        <f t="array" ref="T198">_xlfn.XLOOKUP(Matrix[[#This Row],[TEAM]]&amp;Matrix[[#Headers],[8]],FDR[FDR]&amp;FDR[[#Headers],[8]],FDR[8],"",0,1)</f>
        <v>5</v>
      </c>
      <c r="U198" cm="1">
        <f t="array" ref="U198">_xlfn.XLOOKUP(Matrix[[#This Row],[TEAM]]&amp;Matrix[[#Headers],[9]],FDR[FDR]&amp;FDR[[#Headers],[9]],FDR[9],"",0,1)</f>
        <v>4</v>
      </c>
      <c r="V198" cm="1">
        <f t="array" ref="V198">_xlfn.XLOOKUP(Matrix[[#This Row],[TEAM]]&amp;Matrix[[#Headers],[10]],FDR[FDR]&amp;FDR[[#Headers],[10]],FDR[10],"",0,1)</f>
        <v>2</v>
      </c>
      <c r="W198" cm="1">
        <f t="array" ref="W198">_xlfn.XLOOKUP(Matrix[[#This Row],[TEAM]]&amp;Matrix[[#Headers],[11]],FDR[FDR]&amp;FDR[[#Headers],[11]],FDR[11],"",0,1)</f>
        <v>3</v>
      </c>
      <c r="X198" cm="1">
        <f t="array" ref="X198">_xlfn.XLOOKUP(Matrix[[#This Row],[TEAM]]&amp;Matrix[[#Headers],[12]],FDR[FDR]&amp;FDR[[#Headers],[12]],FDR[12],"",0,1)</f>
        <v>5</v>
      </c>
      <c r="Y198" cm="1">
        <f t="array" ref="Y198">_xlfn.XLOOKUP(Matrix[[#This Row],[TEAM]]&amp;Matrix[[#Headers],[13]],FDR[FDR]&amp;FDR[[#Headers],[13]],FDR[13],"",0,1)</f>
        <v>4</v>
      </c>
      <c r="Z198" cm="1">
        <f t="array" ref="Z198">_xlfn.XLOOKUP(Matrix[[#This Row],[TEAM]]&amp;Matrix[[#Headers],[14]],FDR[FDR]&amp;FDR[[#Headers],[14]],FDR[14],"",0,1)</f>
        <v>4</v>
      </c>
      <c r="AA198" cm="1">
        <f t="array" ref="AA198">_xlfn.XLOOKUP(Matrix[[#This Row],[TEAM]]&amp;Matrix[[#Headers],[15]],FDR[FDR]&amp;FDR[[#Headers],[15]],FDR[15],"",0,1)</f>
        <v>3</v>
      </c>
      <c r="AB198" cm="1">
        <f t="array" ref="AB198">_xlfn.XLOOKUP(Matrix[[#This Row],[TEAM]]&amp;Matrix[[#Headers],[16]],FDR[FDR]&amp;FDR[[#Headers],[16]],FDR[16],"",0,1)</f>
        <v>5</v>
      </c>
      <c r="AC198" cm="1">
        <f t="array" ref="AC198">_xlfn.XLOOKUP(Matrix[[#This Row],[TEAM]]&amp;Matrix[[#Headers],[17]],FDR[FDR]&amp;FDR[[#Headers],[17]],FDR[17],"",0,1)</f>
        <v>4</v>
      </c>
      <c r="AD198" cm="1">
        <f t="array" ref="AD198">_xlfn.XLOOKUP(Matrix[[#This Row],[TEAM]]&amp;Matrix[[#Headers],[18]],FDR[FDR]&amp;FDR[[#Headers],[18]],FDR[18],"",0,1)</f>
        <v>2</v>
      </c>
      <c r="AE198" cm="1">
        <f t="array" ref="AE198">_xlfn.XLOOKUP(Matrix[[#This Row],[TEAM]]&amp;Matrix[[#Headers],[19]],FDR[FDR]&amp;FDR[[#Headers],[19]],FDR[19],"",0,1)</f>
        <v>4</v>
      </c>
      <c r="AF198" cm="1">
        <f t="array" ref="AF198">_xlfn.XLOOKUP(Matrix[[#This Row],[TEAM]]&amp;Matrix[[#Headers],[20]],FDR[FDR]&amp;FDR[[#Headers],[20]],FDR[20],"",0,1)</f>
        <v>3</v>
      </c>
      <c r="AG198" cm="1">
        <f t="array" ref="AG198">_xlfn.XLOOKUP(Matrix[[#This Row],[TEAM]]&amp;Matrix[[#Headers],[21]],FDR[FDR]&amp;FDR[[#Headers],[21]],FDR[21],"",0,1)</f>
        <v>2</v>
      </c>
      <c r="AH198" cm="1">
        <f t="array" ref="AH198">_xlfn.XLOOKUP(Matrix[[#This Row],[TEAM]]&amp;Matrix[[#Headers],[22]],FDR[FDR]&amp;FDR[[#Headers],[22]],FDR[22],"",0,1)</f>
        <v>5</v>
      </c>
      <c r="AI198" cm="1">
        <f t="array" ref="AI198">_xlfn.XLOOKUP(Matrix[[#This Row],[TEAM]]&amp;Matrix[[#Headers],[23]],FDR[FDR]&amp;FDR[[#Headers],[23]],FDR[23],"",0,1)</f>
        <v>1</v>
      </c>
      <c r="AJ198" cm="1">
        <f t="array" ref="AJ198">_xlfn.XLOOKUP(Matrix[[#This Row],[TEAM]]&amp;Matrix[[#Headers],[24]],FDR[FDR]&amp;FDR[[#Headers],[24]],FDR[24],"",0,1)</f>
        <v>4</v>
      </c>
      <c r="AK198" cm="1">
        <f t="array" ref="AK198">_xlfn.XLOOKUP(Matrix[[#This Row],[TEAM]]&amp;Matrix[[#Headers],[25]],FDR[FDR]&amp;FDR[[#Headers],[25]],FDR[25],"",0,1)</f>
        <v>4</v>
      </c>
      <c r="AL198" cm="1">
        <f t="array" ref="AL198">_xlfn.XLOOKUP(Matrix[[#This Row],[TEAM]]&amp;Matrix[[#Headers],[26]],FDR[FDR]&amp;FDR[[#Headers],[26]],FDR[26],"",0,1)</f>
        <v>3</v>
      </c>
      <c r="AM198" cm="1">
        <f t="array" ref="AM198">_xlfn.XLOOKUP(Matrix[[#This Row],[TEAM]]&amp;Matrix[[#Headers],[27]],FDR[FDR]&amp;FDR[[#Headers],[27]],FDR[27],"",0,1)</f>
        <v>4</v>
      </c>
      <c r="AN198" cm="1">
        <f t="array" ref="AN198">_xlfn.XLOOKUP(Matrix[[#This Row],[TEAM]]&amp;Matrix[[#Headers],[28]],FDR[FDR]&amp;FDR[[#Headers],[28]],FDR[28],"",0,1)</f>
        <v>5</v>
      </c>
      <c r="AO198" cm="1">
        <f t="array" ref="AO198">_xlfn.XLOOKUP(Matrix[[#This Row],[TEAM]]&amp;Matrix[[#Headers],[29]],FDR[FDR]&amp;FDR[[#Headers],[29]],FDR[29],"",0,1)</f>
        <v>1</v>
      </c>
      <c r="AP198" cm="1">
        <f t="array" ref="AP198">_xlfn.XLOOKUP(Matrix[[#This Row],[TEAM]]&amp;Matrix[[#Headers],[30]],FDR[FDR]&amp;FDR[[#Headers],[30]],FDR[30],"",0,1)</f>
        <v>5</v>
      </c>
      <c r="AQ198" cm="1">
        <f t="array" ref="AQ198">_xlfn.XLOOKUP(Matrix[[#This Row],[TEAM]]&amp;Matrix[[#Headers],[31]],FDR[FDR]&amp;FDR[[#Headers],[31]],FDR[31],"",0,1)</f>
        <v>4</v>
      </c>
      <c r="AR198" cm="1">
        <f t="array" ref="AR198">_xlfn.XLOOKUP(Matrix[[#This Row],[TEAM]]&amp;Matrix[[#Headers],[32]],FDR[FDR]&amp;FDR[[#Headers],[32]],FDR[32],"",0,1)</f>
        <v>4</v>
      </c>
      <c r="AS198" cm="1">
        <f t="array" ref="AS198">_xlfn.XLOOKUP(Matrix[[#This Row],[TEAM]]&amp;Matrix[[#Headers],[33]],FDR[FDR]&amp;FDR[[#Headers],[33]],FDR[33],"",0,1)</f>
        <v>4</v>
      </c>
      <c r="AT198" cm="1">
        <f t="array" ref="AT198">_xlfn.XLOOKUP(Matrix[[#This Row],[TEAM]]&amp;Matrix[[#Headers],[34]],FDR[FDR]&amp;FDR[[#Headers],[34]],FDR[34],"",0,1)</f>
        <v>4</v>
      </c>
      <c r="AU198" cm="1">
        <f t="array" ref="AU198">_xlfn.XLOOKUP(Matrix[[#This Row],[TEAM]]&amp;Matrix[[#Headers],[35]],FDR[FDR]&amp;FDR[[#Headers],[35]],FDR[35],"",0,1)</f>
        <v>4</v>
      </c>
      <c r="AV198" cm="1">
        <f t="array" ref="AV198">_xlfn.XLOOKUP(Matrix[[#This Row],[TEAM]]&amp;Matrix[[#Headers],[36]],FDR[FDR]&amp;FDR[[#Headers],[36]],FDR[36],"",0,1)</f>
        <v>4</v>
      </c>
      <c r="AW198" cm="1">
        <f t="array" ref="AW198">_xlfn.XLOOKUP(Matrix[[#This Row],[TEAM]]&amp;Matrix[[#Headers],[37]],FDR[FDR]&amp;FDR[[#Headers],[37]],FDR[37],"",0,1)</f>
        <v>1</v>
      </c>
      <c r="AX198" cm="1">
        <f t="array" ref="AX198">_xlfn.XLOOKUP(Matrix[[#This Row],[TEAM]]&amp;Matrix[[#Headers],[38]],FDR[FDR]&amp;FDR[[#Headers],[38]],FDR[38],"",0,1)</f>
        <v>5</v>
      </c>
    </row>
    <row r="199" spans="1:50" ht="22" thickTop="1" thickBot="1">
      <c r="A199" s="51" t="s">
        <v>657</v>
      </c>
      <c r="B199" s="70" t="s">
        <v>1494</v>
      </c>
      <c r="C199" s="40" t="s">
        <v>18</v>
      </c>
      <c r="D199" s="62">
        <v>60</v>
      </c>
      <c r="E199" s="60">
        <v>0.02</v>
      </c>
      <c r="F199" s="61">
        <v>87.9</v>
      </c>
      <c r="G199" s="63">
        <v>5</v>
      </c>
      <c r="H199" s="261">
        <f>IF(ISBLANK(I199),0,1)</f>
        <v>0</v>
      </c>
      <c r="I199" s="57"/>
      <c r="J199" s="58"/>
      <c r="K199" s="65" t="s">
        <v>589</v>
      </c>
      <c r="L199" s="65" t="s">
        <v>177</v>
      </c>
      <c r="M199" cm="1">
        <f t="array" ref="M199">_xlfn.XLOOKUP(Matrix[[#This Row],[TEAM]]&amp;Matrix[[#Headers],[1]],FDR[FDR]&amp;FDR[[#Headers],[1]],FDR[1],"",0,1)</f>
        <v>1</v>
      </c>
      <c r="N199" cm="1">
        <f t="array" ref="N199">_xlfn.XLOOKUP(Matrix[[#This Row],[TEAM]]&amp;Matrix[[#Headers],[2]],FDR[FDR]&amp;FDR[[#Headers],[2]],FDR[2],"",0,1)</f>
        <v>2</v>
      </c>
      <c r="O199" cm="1">
        <f t="array" ref="O199">_xlfn.XLOOKUP(Matrix[[#This Row],[TEAM]]&amp;Matrix[[#Headers],[3]],FDR[FDR]&amp;FDR[[#Headers],[3]],FDR[3],"",0,1)</f>
        <v>1</v>
      </c>
      <c r="P199" cm="1">
        <f t="array" ref="P199">_xlfn.XLOOKUP(Matrix[[#This Row],[TEAM]]&amp;Matrix[[#Headers],[4]],FDR[FDR]&amp;FDR[[#Headers],[4]],FDR[4],"",0,1)</f>
        <v>2</v>
      </c>
      <c r="Q199" cm="1">
        <f t="array" ref="Q199">_xlfn.XLOOKUP(Matrix[[#This Row],[TEAM]]&amp;Matrix[[#Headers],[5]],FDR[FDR]&amp;FDR[[#Headers],[5]],FDR[5],"",0,1)</f>
        <v>3</v>
      </c>
      <c r="R199" cm="1">
        <f t="array" ref="R199">_xlfn.XLOOKUP(Matrix[[#This Row],[TEAM]]&amp;Matrix[[#Headers],[6]],FDR[FDR]&amp;FDR[[#Headers],[6]],FDR[6],"",0,1)</f>
        <v>1</v>
      </c>
      <c r="S199" cm="1">
        <f t="array" ref="S199">_xlfn.XLOOKUP(Matrix[[#This Row],[TEAM]]&amp;Matrix[[#Headers],[7]],FDR[FDR]&amp;FDR[[#Headers],[7]],FDR[7],"",0,1)</f>
        <v>3</v>
      </c>
      <c r="T199" cm="1">
        <f t="array" ref="T199">_xlfn.XLOOKUP(Matrix[[#This Row],[TEAM]]&amp;Matrix[[#Headers],[8]],FDR[FDR]&amp;FDR[[#Headers],[8]],FDR[8],"",0,1)</f>
        <v>2</v>
      </c>
      <c r="U199" cm="1">
        <f t="array" ref="U199">_xlfn.XLOOKUP(Matrix[[#This Row],[TEAM]]&amp;Matrix[[#Headers],[9]],FDR[FDR]&amp;FDR[[#Headers],[9]],FDR[9],"",0,1)</f>
        <v>1</v>
      </c>
      <c r="V199" cm="1">
        <f t="array" ref="V199">_xlfn.XLOOKUP(Matrix[[#This Row],[TEAM]]&amp;Matrix[[#Headers],[10]],FDR[FDR]&amp;FDR[[#Headers],[10]],FDR[10],"",0,1)</f>
        <v>3</v>
      </c>
      <c r="W199" cm="1">
        <f t="array" ref="W199">_xlfn.XLOOKUP(Matrix[[#This Row],[TEAM]]&amp;Matrix[[#Headers],[11]],FDR[FDR]&amp;FDR[[#Headers],[11]],FDR[11],"",0,1)</f>
        <v>1</v>
      </c>
      <c r="X199" cm="1">
        <f t="array" ref="X199">_xlfn.XLOOKUP(Matrix[[#This Row],[TEAM]]&amp;Matrix[[#Headers],[12]],FDR[FDR]&amp;FDR[[#Headers],[12]],FDR[12],"",0,1)</f>
        <v>1</v>
      </c>
      <c r="Y199" cm="1">
        <f t="array" ref="Y199">_xlfn.XLOOKUP(Matrix[[#This Row],[TEAM]]&amp;Matrix[[#Headers],[13]],FDR[FDR]&amp;FDR[[#Headers],[13]],FDR[13],"",0,1)</f>
        <v>3</v>
      </c>
      <c r="Z199" cm="1">
        <f t="array" ref="Z199">_xlfn.XLOOKUP(Matrix[[#This Row],[TEAM]]&amp;Matrix[[#Headers],[14]],FDR[FDR]&amp;FDR[[#Headers],[14]],FDR[14],"",0,1)</f>
        <v>1</v>
      </c>
      <c r="AA199" cm="1">
        <f t="array" ref="AA199">_xlfn.XLOOKUP(Matrix[[#This Row],[TEAM]]&amp;Matrix[[#Headers],[15]],FDR[FDR]&amp;FDR[[#Headers],[15]],FDR[15],"",0,1)</f>
        <v>2</v>
      </c>
      <c r="AB199" cm="1">
        <f t="array" ref="AB199">_xlfn.XLOOKUP(Matrix[[#This Row],[TEAM]]&amp;Matrix[[#Headers],[16]],FDR[FDR]&amp;FDR[[#Headers],[16]],FDR[16],"",0,1)</f>
        <v>1</v>
      </c>
      <c r="AC199" cm="1">
        <f t="array" ref="AC199">_xlfn.XLOOKUP(Matrix[[#This Row],[TEAM]]&amp;Matrix[[#Headers],[17]],FDR[FDR]&amp;FDR[[#Headers],[17]],FDR[17],"",0,1)</f>
        <v>3</v>
      </c>
      <c r="AD199" cm="1">
        <f t="array" ref="AD199">_xlfn.XLOOKUP(Matrix[[#This Row],[TEAM]]&amp;Matrix[[#Headers],[18]],FDR[FDR]&amp;FDR[[#Headers],[18]],FDR[18],"",0,1)</f>
        <v>2</v>
      </c>
      <c r="AE199" cm="1">
        <f t="array" ref="AE199">_xlfn.XLOOKUP(Matrix[[#This Row],[TEAM]]&amp;Matrix[[#Headers],[19]],FDR[FDR]&amp;FDR[[#Headers],[19]],FDR[19],"",0,1)</f>
        <v>1</v>
      </c>
      <c r="AF199" cm="1">
        <f t="array" ref="AF199">_xlfn.XLOOKUP(Matrix[[#This Row],[TEAM]]&amp;Matrix[[#Headers],[20]],FDR[FDR]&amp;FDR[[#Headers],[20]],FDR[20],"",0,1)</f>
        <v>4</v>
      </c>
      <c r="AG199" cm="1">
        <f t="array" ref="AG199">_xlfn.XLOOKUP(Matrix[[#This Row],[TEAM]]&amp;Matrix[[#Headers],[21]],FDR[FDR]&amp;FDR[[#Headers],[21]],FDR[21],"",0,1)</f>
        <v>2</v>
      </c>
      <c r="AH199" cm="1">
        <f t="array" ref="AH199">_xlfn.XLOOKUP(Matrix[[#This Row],[TEAM]]&amp;Matrix[[#Headers],[22]],FDR[FDR]&amp;FDR[[#Headers],[22]],FDR[22],"",0,1)</f>
        <v>1</v>
      </c>
      <c r="AI199" cm="1">
        <f t="array" ref="AI199">_xlfn.XLOOKUP(Matrix[[#This Row],[TEAM]]&amp;Matrix[[#Headers],[23]],FDR[FDR]&amp;FDR[[#Headers],[23]],FDR[23],"",0,1)</f>
        <v>2</v>
      </c>
      <c r="AJ199" cm="1">
        <f t="array" ref="AJ199">_xlfn.XLOOKUP(Matrix[[#This Row],[TEAM]]&amp;Matrix[[#Headers],[24]],FDR[FDR]&amp;FDR[[#Headers],[24]],FDR[24],"",0,1)</f>
        <v>1</v>
      </c>
      <c r="AK199" cm="1">
        <f t="array" ref="AK199">_xlfn.XLOOKUP(Matrix[[#This Row],[TEAM]]&amp;Matrix[[#Headers],[25]],FDR[FDR]&amp;FDR[[#Headers],[25]],FDR[25],"",0,1)</f>
        <v>1</v>
      </c>
      <c r="AL199" cm="1">
        <f t="array" ref="AL199">_xlfn.XLOOKUP(Matrix[[#This Row],[TEAM]]&amp;Matrix[[#Headers],[26]],FDR[FDR]&amp;FDR[[#Headers],[26]],FDR[26],"",0,1)</f>
        <v>1</v>
      </c>
      <c r="AM199" cm="1">
        <f t="array" ref="AM199">_xlfn.XLOOKUP(Matrix[[#This Row],[TEAM]]&amp;Matrix[[#Headers],[27]],FDR[FDR]&amp;FDR[[#Headers],[27]],FDR[27],"",0,1)</f>
        <v>1</v>
      </c>
      <c r="AN199" cm="1">
        <f t="array" ref="AN199">_xlfn.XLOOKUP(Matrix[[#This Row],[TEAM]]&amp;Matrix[[#Headers],[28]],FDR[FDR]&amp;FDR[[#Headers],[28]],FDR[28],"",0,1)</f>
        <v>4</v>
      </c>
      <c r="AO199" cm="1">
        <f t="array" ref="AO199">_xlfn.XLOOKUP(Matrix[[#This Row],[TEAM]]&amp;Matrix[[#Headers],[29]],FDR[FDR]&amp;FDR[[#Headers],[29]],FDR[29],"",0,1)</f>
        <v>3</v>
      </c>
      <c r="AP199" cm="1">
        <f t="array" ref="AP199">_xlfn.XLOOKUP(Matrix[[#This Row],[TEAM]]&amp;Matrix[[#Headers],[30]],FDR[FDR]&amp;FDR[[#Headers],[30]],FDR[30],"",0,1)</f>
        <v>2</v>
      </c>
      <c r="AQ199" cm="1">
        <f t="array" ref="AQ199">_xlfn.XLOOKUP(Matrix[[#This Row],[TEAM]]&amp;Matrix[[#Headers],[31]],FDR[FDR]&amp;FDR[[#Headers],[31]],FDR[31],"",0,1)</f>
        <v>2</v>
      </c>
      <c r="AR199" cm="1">
        <f t="array" ref="AR199">_xlfn.XLOOKUP(Matrix[[#This Row],[TEAM]]&amp;Matrix[[#Headers],[32]],FDR[FDR]&amp;FDR[[#Headers],[32]],FDR[32],"",0,1)</f>
        <v>3</v>
      </c>
      <c r="AS199" cm="1">
        <f t="array" ref="AS199">_xlfn.XLOOKUP(Matrix[[#This Row],[TEAM]]&amp;Matrix[[#Headers],[33]],FDR[FDR]&amp;FDR[[#Headers],[33]],FDR[33],"",0,1)</f>
        <v>2</v>
      </c>
      <c r="AT199" cm="1">
        <f t="array" ref="AT199">_xlfn.XLOOKUP(Matrix[[#This Row],[TEAM]]&amp;Matrix[[#Headers],[34]],FDR[FDR]&amp;FDR[[#Headers],[34]],FDR[34],"",0,1)</f>
        <v>2</v>
      </c>
      <c r="AU199" cm="1">
        <f t="array" ref="AU199">_xlfn.XLOOKUP(Matrix[[#This Row],[TEAM]]&amp;Matrix[[#Headers],[35]],FDR[FDR]&amp;FDR[[#Headers],[35]],FDR[35],"",0,1)</f>
        <v>1</v>
      </c>
      <c r="AV199" cm="1">
        <f t="array" ref="AV199">_xlfn.XLOOKUP(Matrix[[#This Row],[TEAM]]&amp;Matrix[[#Headers],[36]],FDR[FDR]&amp;FDR[[#Headers],[36]],FDR[36],"",0,1)</f>
        <v>4</v>
      </c>
      <c r="AW199" cm="1">
        <f t="array" ref="AW199">_xlfn.XLOOKUP(Matrix[[#This Row],[TEAM]]&amp;Matrix[[#Headers],[37]],FDR[FDR]&amp;FDR[[#Headers],[37]],FDR[37],"",0,1)</f>
        <v>2</v>
      </c>
      <c r="AX199" cm="1">
        <f t="array" ref="AX199">_xlfn.XLOOKUP(Matrix[[#This Row],[TEAM]]&amp;Matrix[[#Headers],[38]],FDR[FDR]&amp;FDR[[#Headers],[38]],FDR[38],"",0,1)</f>
        <v>1</v>
      </c>
    </row>
    <row r="200" spans="1:50" ht="22" thickTop="1" thickBot="1">
      <c r="A200" s="51" t="s">
        <v>657</v>
      </c>
      <c r="B200" s="70" t="s">
        <v>2013</v>
      </c>
      <c r="C200" s="40" t="s">
        <v>19</v>
      </c>
      <c r="D200" s="62">
        <v>49</v>
      </c>
      <c r="E200" s="60">
        <v>0.02</v>
      </c>
      <c r="F200" s="61">
        <v>69</v>
      </c>
      <c r="G200" s="63">
        <v>5</v>
      </c>
      <c r="H200" s="261">
        <f>IF(ISBLANK(I200),0,1)</f>
        <v>0</v>
      </c>
      <c r="I200" s="57"/>
      <c r="J200" s="58"/>
      <c r="K200" s="65" t="s">
        <v>2014</v>
      </c>
      <c r="L200" s="65" t="s">
        <v>137</v>
      </c>
      <c r="M200" cm="1">
        <f t="array" ref="M200">_xlfn.XLOOKUP(Matrix[[#This Row],[TEAM]]&amp;Matrix[[#Headers],[1]],FDR[FDR]&amp;FDR[[#Headers],[1]],FDR[1],"",0,1)</f>
        <v>1</v>
      </c>
      <c r="N200" cm="1">
        <f t="array" ref="N200">_xlfn.XLOOKUP(Matrix[[#This Row],[TEAM]]&amp;Matrix[[#Headers],[2]],FDR[FDR]&amp;FDR[[#Headers],[2]],FDR[2],"",0,1)</f>
        <v>4</v>
      </c>
      <c r="O200" cm="1">
        <f t="array" ref="O200">_xlfn.XLOOKUP(Matrix[[#This Row],[TEAM]]&amp;Matrix[[#Headers],[3]],FDR[FDR]&amp;FDR[[#Headers],[3]],FDR[3],"",0,1)</f>
        <v>1</v>
      </c>
      <c r="P200" cm="1">
        <f t="array" ref="P200">_xlfn.XLOOKUP(Matrix[[#This Row],[TEAM]]&amp;Matrix[[#Headers],[4]],FDR[FDR]&amp;FDR[[#Headers],[4]],FDR[4],"",0,1)</f>
        <v>2</v>
      </c>
      <c r="Q200" cm="1">
        <f t="array" ref="Q200">_xlfn.XLOOKUP(Matrix[[#This Row],[TEAM]]&amp;Matrix[[#Headers],[5]],FDR[FDR]&amp;FDR[[#Headers],[5]],FDR[5],"",0,1)</f>
        <v>2</v>
      </c>
      <c r="R200" cm="1">
        <f t="array" ref="R200">_xlfn.XLOOKUP(Matrix[[#This Row],[TEAM]]&amp;Matrix[[#Headers],[6]],FDR[FDR]&amp;FDR[[#Headers],[6]],FDR[6],"",0,1)</f>
        <v>1</v>
      </c>
      <c r="S200" cm="1">
        <f t="array" ref="S200">_xlfn.XLOOKUP(Matrix[[#This Row],[TEAM]]&amp;Matrix[[#Headers],[7]],FDR[FDR]&amp;FDR[[#Headers],[7]],FDR[7],"",0,1)</f>
        <v>1</v>
      </c>
      <c r="T200" cm="1">
        <f t="array" ref="T200">_xlfn.XLOOKUP(Matrix[[#This Row],[TEAM]]&amp;Matrix[[#Headers],[8]],FDR[FDR]&amp;FDR[[#Headers],[8]],FDR[8],"",0,1)</f>
        <v>2</v>
      </c>
      <c r="U200" cm="1">
        <f t="array" ref="U200">_xlfn.XLOOKUP(Matrix[[#This Row],[TEAM]]&amp;Matrix[[#Headers],[9]],FDR[FDR]&amp;FDR[[#Headers],[9]],FDR[9],"",0,1)</f>
        <v>2</v>
      </c>
      <c r="V200" cm="1">
        <f t="array" ref="V200">_xlfn.XLOOKUP(Matrix[[#This Row],[TEAM]]&amp;Matrix[[#Headers],[10]],FDR[FDR]&amp;FDR[[#Headers],[10]],FDR[10],"",0,1)</f>
        <v>3</v>
      </c>
      <c r="W200" cm="1">
        <f t="array" ref="W200">_xlfn.XLOOKUP(Matrix[[#This Row],[TEAM]]&amp;Matrix[[#Headers],[11]],FDR[FDR]&amp;FDR[[#Headers],[11]],FDR[11],"",0,1)</f>
        <v>3</v>
      </c>
      <c r="X200" cm="1">
        <f t="array" ref="X200">_xlfn.XLOOKUP(Matrix[[#This Row],[TEAM]]&amp;Matrix[[#Headers],[12]],FDR[FDR]&amp;FDR[[#Headers],[12]],FDR[12],"",0,1)</f>
        <v>4</v>
      </c>
      <c r="Y200" cm="1">
        <f t="array" ref="Y200">_xlfn.XLOOKUP(Matrix[[#This Row],[TEAM]]&amp;Matrix[[#Headers],[13]],FDR[FDR]&amp;FDR[[#Headers],[13]],FDR[13],"",0,1)</f>
        <v>1</v>
      </c>
      <c r="Z200" cm="1">
        <f t="array" ref="Z200">_xlfn.XLOOKUP(Matrix[[#This Row],[TEAM]]&amp;Matrix[[#Headers],[14]],FDR[FDR]&amp;FDR[[#Headers],[14]],FDR[14],"",0,1)</f>
        <v>3</v>
      </c>
      <c r="AA200" cm="1">
        <f t="array" ref="AA200">_xlfn.XLOOKUP(Matrix[[#This Row],[TEAM]]&amp;Matrix[[#Headers],[15]],FDR[FDR]&amp;FDR[[#Headers],[15]],FDR[15],"",0,1)</f>
        <v>1</v>
      </c>
      <c r="AB200" cm="1">
        <f t="array" ref="AB200">_xlfn.XLOOKUP(Matrix[[#This Row],[TEAM]]&amp;Matrix[[#Headers],[16]],FDR[FDR]&amp;FDR[[#Headers],[16]],FDR[16],"",0,1)</f>
        <v>2</v>
      </c>
      <c r="AC200" cm="1">
        <f t="array" ref="AC200">_xlfn.XLOOKUP(Matrix[[#This Row],[TEAM]]&amp;Matrix[[#Headers],[17]],FDR[FDR]&amp;FDR[[#Headers],[17]],FDR[17],"",0,1)</f>
        <v>3</v>
      </c>
      <c r="AD200" cm="1">
        <f t="array" ref="AD200">_xlfn.XLOOKUP(Matrix[[#This Row],[TEAM]]&amp;Matrix[[#Headers],[18]],FDR[FDR]&amp;FDR[[#Headers],[18]],FDR[18],"",0,1)</f>
        <v>2</v>
      </c>
      <c r="AE200" cm="1">
        <f t="array" ref="AE200">_xlfn.XLOOKUP(Matrix[[#This Row],[TEAM]]&amp;Matrix[[#Headers],[19]],FDR[FDR]&amp;FDR[[#Headers],[19]],FDR[19],"",0,1)</f>
        <v>2</v>
      </c>
      <c r="AF200" cm="1">
        <f t="array" ref="AF200">_xlfn.XLOOKUP(Matrix[[#This Row],[TEAM]]&amp;Matrix[[#Headers],[20]],FDR[FDR]&amp;FDR[[#Headers],[20]],FDR[20],"",0,1)</f>
        <v>1</v>
      </c>
      <c r="AG200" cm="1">
        <f t="array" ref="AG200">_xlfn.XLOOKUP(Matrix[[#This Row],[TEAM]]&amp;Matrix[[#Headers],[21]],FDR[FDR]&amp;FDR[[#Headers],[21]],FDR[21],"",0,1)</f>
        <v>2</v>
      </c>
      <c r="AH200" cm="1">
        <f t="array" ref="AH200">_xlfn.XLOOKUP(Matrix[[#This Row],[TEAM]]&amp;Matrix[[#Headers],[22]],FDR[FDR]&amp;FDR[[#Headers],[22]],FDR[22],"",0,1)</f>
        <v>1</v>
      </c>
      <c r="AI200" cm="1">
        <f t="array" ref="AI200">_xlfn.XLOOKUP(Matrix[[#This Row],[TEAM]]&amp;Matrix[[#Headers],[23]],FDR[FDR]&amp;FDR[[#Headers],[23]],FDR[23],"",0,1)</f>
        <v>1</v>
      </c>
      <c r="AJ200" cm="1">
        <f t="array" ref="AJ200">_xlfn.XLOOKUP(Matrix[[#This Row],[TEAM]]&amp;Matrix[[#Headers],[24]],FDR[FDR]&amp;FDR[[#Headers],[24]],FDR[24],"",0,1)</f>
        <v>3</v>
      </c>
      <c r="AK200" cm="1">
        <f t="array" ref="AK200">_xlfn.XLOOKUP(Matrix[[#This Row],[TEAM]]&amp;Matrix[[#Headers],[25]],FDR[FDR]&amp;FDR[[#Headers],[25]],FDR[25],"",0,1)</f>
        <v>4</v>
      </c>
      <c r="AL200" cm="1">
        <f t="array" ref="AL200">_xlfn.XLOOKUP(Matrix[[#This Row],[TEAM]]&amp;Matrix[[#Headers],[26]],FDR[FDR]&amp;FDR[[#Headers],[26]],FDR[26],"",0,1)</f>
        <v>2</v>
      </c>
      <c r="AM200" cm="1">
        <f t="array" ref="AM200">_xlfn.XLOOKUP(Matrix[[#This Row],[TEAM]]&amp;Matrix[[#Headers],[27]],FDR[FDR]&amp;FDR[[#Headers],[27]],FDR[27],"",0,1)</f>
        <v>3</v>
      </c>
      <c r="AN200" cm="1">
        <f t="array" ref="AN200">_xlfn.XLOOKUP(Matrix[[#This Row],[TEAM]]&amp;Matrix[[#Headers],[28]],FDR[FDR]&amp;FDR[[#Headers],[28]],FDR[28],"",0,1)</f>
        <v>2</v>
      </c>
      <c r="AO200" cm="1">
        <f t="array" ref="AO200">_xlfn.XLOOKUP(Matrix[[#This Row],[TEAM]]&amp;Matrix[[#Headers],[29]],FDR[FDR]&amp;FDR[[#Headers],[29]],FDR[29],"",0,1)</f>
        <v>1</v>
      </c>
      <c r="AP200" cm="1">
        <f t="array" ref="AP200">_xlfn.XLOOKUP(Matrix[[#This Row],[TEAM]]&amp;Matrix[[#Headers],[30]],FDR[FDR]&amp;FDR[[#Headers],[30]],FDR[30],"",0,1)</f>
        <v>4</v>
      </c>
      <c r="AQ200" cm="1">
        <f t="array" ref="AQ200">_xlfn.XLOOKUP(Matrix[[#This Row],[TEAM]]&amp;Matrix[[#Headers],[31]],FDR[FDR]&amp;FDR[[#Headers],[31]],FDR[31],"",0,1)</f>
        <v>1</v>
      </c>
      <c r="AR200" cm="1">
        <f t="array" ref="AR200">_xlfn.XLOOKUP(Matrix[[#This Row],[TEAM]]&amp;Matrix[[#Headers],[32]],FDR[FDR]&amp;FDR[[#Headers],[32]],FDR[32],"",0,1)</f>
        <v>1</v>
      </c>
      <c r="AS200" cm="1">
        <f t="array" ref="AS200">_xlfn.XLOOKUP(Matrix[[#This Row],[TEAM]]&amp;Matrix[[#Headers],[33]],FDR[FDR]&amp;FDR[[#Headers],[33]],FDR[33],"",0,1)</f>
        <v>1</v>
      </c>
      <c r="AT200" cm="1">
        <f t="array" ref="AT200">_xlfn.XLOOKUP(Matrix[[#This Row],[TEAM]]&amp;Matrix[[#Headers],[34]],FDR[FDR]&amp;FDR[[#Headers],[34]],FDR[34],"",0,1)</f>
        <v>1</v>
      </c>
      <c r="AU200" cm="1">
        <f t="array" ref="AU200">_xlfn.XLOOKUP(Matrix[[#This Row],[TEAM]]&amp;Matrix[[#Headers],[35]],FDR[FDR]&amp;FDR[[#Headers],[35]],FDR[35],"",0,1)</f>
        <v>3</v>
      </c>
      <c r="AV200" cm="1">
        <f t="array" ref="AV200">_xlfn.XLOOKUP(Matrix[[#This Row],[TEAM]]&amp;Matrix[[#Headers],[36]],FDR[FDR]&amp;FDR[[#Headers],[36]],FDR[36],"",0,1)</f>
        <v>1</v>
      </c>
      <c r="AW200" cm="1">
        <f t="array" ref="AW200">_xlfn.XLOOKUP(Matrix[[#This Row],[TEAM]]&amp;Matrix[[#Headers],[37]],FDR[FDR]&amp;FDR[[#Headers],[37]],FDR[37],"",0,1)</f>
        <v>4</v>
      </c>
      <c r="AX200" cm="1">
        <f t="array" ref="AX200">_xlfn.XLOOKUP(Matrix[[#This Row],[TEAM]]&amp;Matrix[[#Headers],[38]],FDR[FDR]&amp;FDR[[#Headers],[38]],FDR[38],"",0,1)</f>
        <v>1</v>
      </c>
    </row>
    <row r="201" spans="1:50" ht="22" thickTop="1" thickBot="1">
      <c r="A201" s="51" t="s">
        <v>657</v>
      </c>
      <c r="B201" s="70" t="s">
        <v>1579</v>
      </c>
      <c r="C201" s="40" t="s">
        <v>17</v>
      </c>
      <c r="D201" s="62">
        <v>43</v>
      </c>
      <c r="E201" s="60">
        <v>1E-3</v>
      </c>
      <c r="F201" s="61">
        <v>52.5</v>
      </c>
      <c r="G201" s="63">
        <v>5</v>
      </c>
      <c r="H201" s="261">
        <f>IF(ISBLANK(I201),0,1)</f>
        <v>0</v>
      </c>
      <c r="I201" s="57"/>
      <c r="J201" s="58"/>
      <c r="K201" s="65" t="s">
        <v>501</v>
      </c>
      <c r="L201" s="65" t="s">
        <v>147</v>
      </c>
      <c r="M201" cm="1">
        <f t="array" ref="M201">_xlfn.XLOOKUP(Matrix[[#This Row],[TEAM]]&amp;Matrix[[#Headers],[1]],FDR[FDR]&amp;FDR[[#Headers],[1]],FDR[1],"",0,1)</f>
        <v>1</v>
      </c>
      <c r="N201" cm="1">
        <f t="array" ref="N201">_xlfn.XLOOKUP(Matrix[[#This Row],[TEAM]]&amp;Matrix[[#Headers],[2]],FDR[FDR]&amp;FDR[[#Headers],[2]],FDR[2],"",0,1)</f>
        <v>3</v>
      </c>
      <c r="O201" cm="1">
        <f t="array" ref="O201">_xlfn.XLOOKUP(Matrix[[#This Row],[TEAM]]&amp;Matrix[[#Headers],[3]],FDR[FDR]&amp;FDR[[#Headers],[3]],FDR[3],"",0,1)</f>
        <v>3</v>
      </c>
      <c r="P201" cm="1">
        <f t="array" ref="P201">_xlfn.XLOOKUP(Matrix[[#This Row],[TEAM]]&amp;Matrix[[#Headers],[4]],FDR[FDR]&amp;FDR[[#Headers],[4]],FDR[4],"",0,1)</f>
        <v>1</v>
      </c>
      <c r="Q201" cm="1">
        <f t="array" ref="Q201">_xlfn.XLOOKUP(Matrix[[#This Row],[TEAM]]&amp;Matrix[[#Headers],[5]],FDR[FDR]&amp;FDR[[#Headers],[5]],FDR[5],"",0,1)</f>
        <v>1</v>
      </c>
      <c r="R201" cm="1">
        <f t="array" ref="R201">_xlfn.XLOOKUP(Matrix[[#This Row],[TEAM]]&amp;Matrix[[#Headers],[6]],FDR[FDR]&amp;FDR[[#Headers],[6]],FDR[6],"",0,1)</f>
        <v>2</v>
      </c>
      <c r="S201" cm="1">
        <f t="array" ref="S201">_xlfn.XLOOKUP(Matrix[[#This Row],[TEAM]]&amp;Matrix[[#Headers],[7]],FDR[FDR]&amp;FDR[[#Headers],[7]],FDR[7],"",0,1)</f>
        <v>3</v>
      </c>
      <c r="T201" cm="1">
        <f t="array" ref="T201">_xlfn.XLOOKUP(Matrix[[#This Row],[TEAM]]&amp;Matrix[[#Headers],[8]],FDR[FDR]&amp;FDR[[#Headers],[8]],FDR[8],"",0,1)</f>
        <v>2</v>
      </c>
      <c r="U201" cm="1">
        <f t="array" ref="U201">_xlfn.XLOOKUP(Matrix[[#This Row],[TEAM]]&amp;Matrix[[#Headers],[9]],FDR[FDR]&amp;FDR[[#Headers],[9]],FDR[9],"",0,1)</f>
        <v>2</v>
      </c>
      <c r="V201" cm="1">
        <f t="array" ref="V201">_xlfn.XLOOKUP(Matrix[[#This Row],[TEAM]]&amp;Matrix[[#Headers],[10]],FDR[FDR]&amp;FDR[[#Headers],[10]],FDR[10],"",0,1)</f>
        <v>2</v>
      </c>
      <c r="W201" cm="1">
        <f t="array" ref="W201">_xlfn.XLOOKUP(Matrix[[#This Row],[TEAM]]&amp;Matrix[[#Headers],[11]],FDR[FDR]&amp;FDR[[#Headers],[11]],FDR[11],"",0,1)</f>
        <v>3</v>
      </c>
      <c r="X201" cm="1">
        <f t="array" ref="X201">_xlfn.XLOOKUP(Matrix[[#This Row],[TEAM]]&amp;Matrix[[#Headers],[12]],FDR[FDR]&amp;FDR[[#Headers],[12]],FDR[12],"",0,1)</f>
        <v>1</v>
      </c>
      <c r="Y201" cm="1">
        <f t="array" ref="Y201">_xlfn.XLOOKUP(Matrix[[#This Row],[TEAM]]&amp;Matrix[[#Headers],[13]],FDR[FDR]&amp;FDR[[#Headers],[13]],FDR[13],"",0,1)</f>
        <v>2</v>
      </c>
      <c r="Z201" cm="1">
        <f t="array" ref="Z201">_xlfn.XLOOKUP(Matrix[[#This Row],[TEAM]]&amp;Matrix[[#Headers],[14]],FDR[FDR]&amp;FDR[[#Headers],[14]],FDR[14],"",0,1)</f>
        <v>1</v>
      </c>
      <c r="AA201" cm="1">
        <f t="array" ref="AA201">_xlfn.XLOOKUP(Matrix[[#This Row],[TEAM]]&amp;Matrix[[#Headers],[15]],FDR[FDR]&amp;FDR[[#Headers],[15]],FDR[15],"",0,1)</f>
        <v>1</v>
      </c>
      <c r="AB201" cm="1">
        <f t="array" ref="AB201">_xlfn.XLOOKUP(Matrix[[#This Row],[TEAM]]&amp;Matrix[[#Headers],[16]],FDR[FDR]&amp;FDR[[#Headers],[16]],FDR[16],"",0,1)</f>
        <v>1</v>
      </c>
      <c r="AC201" cm="1">
        <f t="array" ref="AC201">_xlfn.XLOOKUP(Matrix[[#This Row],[TEAM]]&amp;Matrix[[#Headers],[17]],FDR[FDR]&amp;FDR[[#Headers],[17]],FDR[17],"",0,1)</f>
        <v>3</v>
      </c>
      <c r="AD201" cm="1">
        <f t="array" ref="AD201">_xlfn.XLOOKUP(Matrix[[#This Row],[TEAM]]&amp;Matrix[[#Headers],[18]],FDR[FDR]&amp;FDR[[#Headers],[18]],FDR[18],"",0,1)</f>
        <v>1</v>
      </c>
      <c r="AE201" cm="1">
        <f t="array" ref="AE201">_xlfn.XLOOKUP(Matrix[[#This Row],[TEAM]]&amp;Matrix[[#Headers],[19]],FDR[FDR]&amp;FDR[[#Headers],[19]],FDR[19],"",0,1)</f>
        <v>1</v>
      </c>
      <c r="AF201" cm="1">
        <f t="array" ref="AF201">_xlfn.XLOOKUP(Matrix[[#This Row],[TEAM]]&amp;Matrix[[#Headers],[20]],FDR[FDR]&amp;FDR[[#Headers],[20]],FDR[20],"",0,1)</f>
        <v>2</v>
      </c>
      <c r="AG201" cm="1">
        <f t="array" ref="AG201">_xlfn.XLOOKUP(Matrix[[#This Row],[TEAM]]&amp;Matrix[[#Headers],[21]],FDR[FDR]&amp;FDR[[#Headers],[21]],FDR[21],"",0,1)</f>
        <v>3</v>
      </c>
      <c r="AH201" cm="1">
        <f t="array" ref="AH201">_xlfn.XLOOKUP(Matrix[[#This Row],[TEAM]]&amp;Matrix[[#Headers],[22]],FDR[FDR]&amp;FDR[[#Headers],[22]],FDR[22],"",0,1)</f>
        <v>1</v>
      </c>
      <c r="AI201" cm="1">
        <f t="array" ref="AI201">_xlfn.XLOOKUP(Matrix[[#This Row],[TEAM]]&amp;Matrix[[#Headers],[23]],FDR[FDR]&amp;FDR[[#Headers],[23]],FDR[23],"",0,1)</f>
        <v>2</v>
      </c>
      <c r="AJ201" cm="1">
        <f t="array" ref="AJ201">_xlfn.XLOOKUP(Matrix[[#This Row],[TEAM]]&amp;Matrix[[#Headers],[24]],FDR[FDR]&amp;FDR[[#Headers],[24]],FDR[24],"",0,1)</f>
        <v>2</v>
      </c>
      <c r="AK201" cm="1">
        <f t="array" ref="AK201">_xlfn.XLOOKUP(Matrix[[#This Row],[TEAM]]&amp;Matrix[[#Headers],[25]],FDR[FDR]&amp;FDR[[#Headers],[25]],FDR[25],"",0,1)</f>
        <v>3</v>
      </c>
      <c r="AL201" cm="1">
        <f t="array" ref="AL201">_xlfn.XLOOKUP(Matrix[[#This Row],[TEAM]]&amp;Matrix[[#Headers],[26]],FDR[FDR]&amp;FDR[[#Headers],[26]],FDR[26],"",0,1)</f>
        <v>1</v>
      </c>
      <c r="AM201" cm="1">
        <f t="array" ref="AM201">_xlfn.XLOOKUP(Matrix[[#This Row],[TEAM]]&amp;Matrix[[#Headers],[27]],FDR[FDR]&amp;FDR[[#Headers],[27]],FDR[27],"",0,1)</f>
        <v>2</v>
      </c>
      <c r="AN201" cm="1">
        <f t="array" ref="AN201">_xlfn.XLOOKUP(Matrix[[#This Row],[TEAM]]&amp;Matrix[[#Headers],[28]],FDR[FDR]&amp;FDR[[#Headers],[28]],FDR[28],"",0,1)</f>
        <v>1</v>
      </c>
      <c r="AO201" cm="1">
        <f t="array" ref="AO201">_xlfn.XLOOKUP(Matrix[[#This Row],[TEAM]]&amp;Matrix[[#Headers],[29]],FDR[FDR]&amp;FDR[[#Headers],[29]],FDR[29],"",0,1)</f>
        <v>1</v>
      </c>
      <c r="AP201" cm="1">
        <f t="array" ref="AP201">_xlfn.XLOOKUP(Matrix[[#This Row],[TEAM]]&amp;Matrix[[#Headers],[30]],FDR[FDR]&amp;FDR[[#Headers],[30]],FDR[30],"",0,1)</f>
        <v>2</v>
      </c>
      <c r="AQ201" cm="1">
        <f t="array" ref="AQ201">_xlfn.XLOOKUP(Matrix[[#This Row],[TEAM]]&amp;Matrix[[#Headers],[31]],FDR[FDR]&amp;FDR[[#Headers],[31]],FDR[31],"",0,1)</f>
        <v>2</v>
      </c>
      <c r="AR201" cm="1">
        <f t="array" ref="AR201">_xlfn.XLOOKUP(Matrix[[#This Row],[TEAM]]&amp;Matrix[[#Headers],[32]],FDR[FDR]&amp;FDR[[#Headers],[32]],FDR[32],"",0,1)</f>
        <v>1</v>
      </c>
      <c r="AS201" cm="1">
        <f t="array" ref="AS201">_xlfn.XLOOKUP(Matrix[[#This Row],[TEAM]]&amp;Matrix[[#Headers],[33]],FDR[FDR]&amp;FDR[[#Headers],[33]],FDR[33],"",0,1)</f>
        <v>2</v>
      </c>
      <c r="AT201" cm="1">
        <f t="array" ref="AT201">_xlfn.XLOOKUP(Matrix[[#This Row],[TEAM]]&amp;Matrix[[#Headers],[34]],FDR[FDR]&amp;FDR[[#Headers],[34]],FDR[34],"",0,1)</f>
        <v>1</v>
      </c>
      <c r="AU201" cm="1">
        <f t="array" ref="AU201">_xlfn.XLOOKUP(Matrix[[#This Row],[TEAM]]&amp;Matrix[[#Headers],[35]],FDR[FDR]&amp;FDR[[#Headers],[35]],FDR[35],"",0,1)</f>
        <v>3</v>
      </c>
      <c r="AV201" cm="1">
        <f t="array" ref="AV201">_xlfn.XLOOKUP(Matrix[[#This Row],[TEAM]]&amp;Matrix[[#Headers],[36]],FDR[FDR]&amp;FDR[[#Headers],[36]],FDR[36],"",0,1)</f>
        <v>2</v>
      </c>
      <c r="AW201" cm="1">
        <f t="array" ref="AW201">_xlfn.XLOOKUP(Matrix[[#This Row],[TEAM]]&amp;Matrix[[#Headers],[37]],FDR[FDR]&amp;FDR[[#Headers],[37]],FDR[37],"",0,1)</f>
        <v>3</v>
      </c>
      <c r="AX201" cm="1">
        <f t="array" ref="AX201">_xlfn.XLOOKUP(Matrix[[#This Row],[TEAM]]&amp;Matrix[[#Headers],[38]],FDR[FDR]&amp;FDR[[#Headers],[38]],FDR[38],"",0,1)</f>
        <v>1</v>
      </c>
    </row>
    <row r="202" spans="1:50" ht="22" thickTop="1" thickBot="1">
      <c r="A202" s="51" t="s">
        <v>657</v>
      </c>
      <c r="B202" s="70" t="s">
        <v>1522</v>
      </c>
      <c r="C202" s="40" t="s">
        <v>20</v>
      </c>
      <c r="D202" s="62">
        <v>40</v>
      </c>
      <c r="E202" s="60">
        <v>3.0000000000000001E-3</v>
      </c>
      <c r="F202" s="61">
        <v>24.1</v>
      </c>
      <c r="G202" s="63">
        <v>5</v>
      </c>
      <c r="H202" s="261">
        <f>IF(ISBLANK(I202),0,1)</f>
        <v>0</v>
      </c>
      <c r="I202" s="57"/>
      <c r="J202" s="58"/>
      <c r="K202" s="65" t="s">
        <v>429</v>
      </c>
      <c r="L202" s="65" t="s">
        <v>115</v>
      </c>
      <c r="M202" cm="1">
        <f t="array" ref="M202">_xlfn.XLOOKUP(Matrix[[#This Row],[TEAM]]&amp;Matrix[[#Headers],[1]],FDR[FDR]&amp;FDR[[#Headers],[1]],FDR[1],"",0,1)</f>
        <v>3</v>
      </c>
      <c r="N202" cm="1">
        <f t="array" ref="N202">_xlfn.XLOOKUP(Matrix[[#This Row],[TEAM]]&amp;Matrix[[#Headers],[2]],FDR[FDR]&amp;FDR[[#Headers],[2]],FDR[2],"",0,1)</f>
        <v>1</v>
      </c>
      <c r="O202" cm="1">
        <f t="array" ref="O202">_xlfn.XLOOKUP(Matrix[[#This Row],[TEAM]]&amp;Matrix[[#Headers],[3]],FDR[FDR]&amp;FDR[[#Headers],[3]],FDR[3],"",0,1)</f>
        <v>4</v>
      </c>
      <c r="P202" cm="1">
        <f t="array" ref="P202">_xlfn.XLOOKUP(Matrix[[#This Row],[TEAM]]&amp;Matrix[[#Headers],[4]],FDR[FDR]&amp;FDR[[#Headers],[4]],FDR[4],"",0,1)</f>
        <v>1</v>
      </c>
      <c r="Q202" cm="1">
        <f t="array" ref="Q202">_xlfn.XLOOKUP(Matrix[[#This Row],[TEAM]]&amp;Matrix[[#Headers],[5]],FDR[FDR]&amp;FDR[[#Headers],[5]],FDR[5],"",0,1)</f>
        <v>3</v>
      </c>
      <c r="R202" cm="1">
        <f t="array" ref="R202">_xlfn.XLOOKUP(Matrix[[#This Row],[TEAM]]&amp;Matrix[[#Headers],[6]],FDR[FDR]&amp;FDR[[#Headers],[6]],FDR[6],"",0,1)</f>
        <v>3</v>
      </c>
      <c r="S202" cm="1">
        <f t="array" ref="S202">_xlfn.XLOOKUP(Matrix[[#This Row],[TEAM]]&amp;Matrix[[#Headers],[7]],FDR[FDR]&amp;FDR[[#Headers],[7]],FDR[7],"",0,1)</f>
        <v>1</v>
      </c>
      <c r="T202" cm="1">
        <f t="array" ref="T202">_xlfn.XLOOKUP(Matrix[[#This Row],[TEAM]]&amp;Matrix[[#Headers],[8]],FDR[FDR]&amp;FDR[[#Headers],[8]],FDR[8],"",0,1)</f>
        <v>2</v>
      </c>
      <c r="U202" cm="1">
        <f t="array" ref="U202">_xlfn.XLOOKUP(Matrix[[#This Row],[TEAM]]&amp;Matrix[[#Headers],[9]],FDR[FDR]&amp;FDR[[#Headers],[9]],FDR[9],"",0,1)</f>
        <v>1</v>
      </c>
      <c r="V202" cm="1">
        <f t="array" ref="V202">_xlfn.XLOOKUP(Matrix[[#This Row],[TEAM]]&amp;Matrix[[#Headers],[10]],FDR[FDR]&amp;FDR[[#Headers],[10]],FDR[10],"",0,1)</f>
        <v>1</v>
      </c>
      <c r="W202" cm="1">
        <f t="array" ref="W202">_xlfn.XLOOKUP(Matrix[[#This Row],[TEAM]]&amp;Matrix[[#Headers],[11]],FDR[FDR]&amp;FDR[[#Headers],[11]],FDR[11],"",0,1)</f>
        <v>1</v>
      </c>
      <c r="X202" cm="1">
        <f t="array" ref="X202">_xlfn.XLOOKUP(Matrix[[#This Row],[TEAM]]&amp;Matrix[[#Headers],[12]],FDR[FDR]&amp;FDR[[#Headers],[12]],FDR[12],"",0,1)</f>
        <v>2</v>
      </c>
      <c r="Y202" cm="1">
        <f t="array" ref="Y202">_xlfn.XLOOKUP(Matrix[[#This Row],[TEAM]]&amp;Matrix[[#Headers],[13]],FDR[FDR]&amp;FDR[[#Headers],[13]],FDR[13],"",0,1)</f>
        <v>3</v>
      </c>
      <c r="Z202" cm="1">
        <f t="array" ref="Z202">_xlfn.XLOOKUP(Matrix[[#This Row],[TEAM]]&amp;Matrix[[#Headers],[14]],FDR[FDR]&amp;FDR[[#Headers],[14]],FDR[14],"",0,1)</f>
        <v>1</v>
      </c>
      <c r="AA202" cm="1">
        <f t="array" ref="AA202">_xlfn.XLOOKUP(Matrix[[#This Row],[TEAM]]&amp;Matrix[[#Headers],[15]],FDR[FDR]&amp;FDR[[#Headers],[15]],FDR[15],"",0,1)</f>
        <v>3</v>
      </c>
      <c r="AB202" cm="1">
        <f t="array" ref="AB202">_xlfn.XLOOKUP(Matrix[[#This Row],[TEAM]]&amp;Matrix[[#Headers],[16]],FDR[FDR]&amp;FDR[[#Headers],[16]],FDR[16],"",0,1)</f>
        <v>1</v>
      </c>
      <c r="AC202" cm="1">
        <f t="array" ref="AC202">_xlfn.XLOOKUP(Matrix[[#This Row],[TEAM]]&amp;Matrix[[#Headers],[17]],FDR[FDR]&amp;FDR[[#Headers],[17]],FDR[17],"",0,1)</f>
        <v>2</v>
      </c>
      <c r="AD202" cm="1">
        <f t="array" ref="AD202">_xlfn.XLOOKUP(Matrix[[#This Row],[TEAM]]&amp;Matrix[[#Headers],[18]],FDR[FDR]&amp;FDR[[#Headers],[18]],FDR[18],"",0,1)</f>
        <v>1</v>
      </c>
      <c r="AE202" cm="1">
        <f t="array" ref="AE202">_xlfn.XLOOKUP(Matrix[[#This Row],[TEAM]]&amp;Matrix[[#Headers],[19]],FDR[FDR]&amp;FDR[[#Headers],[19]],FDR[19],"",0,1)</f>
        <v>2</v>
      </c>
      <c r="AF202" cm="1">
        <f t="array" ref="AF202">_xlfn.XLOOKUP(Matrix[[#This Row],[TEAM]]&amp;Matrix[[#Headers],[20]],FDR[FDR]&amp;FDR[[#Headers],[20]],FDR[20],"",0,1)</f>
        <v>2</v>
      </c>
      <c r="AG202" cm="1">
        <f t="array" ref="AG202">_xlfn.XLOOKUP(Matrix[[#This Row],[TEAM]]&amp;Matrix[[#Headers],[21]],FDR[FDR]&amp;FDR[[#Headers],[21]],FDR[21],"",0,1)</f>
        <v>3</v>
      </c>
      <c r="AH202" cm="1">
        <f t="array" ref="AH202">_xlfn.XLOOKUP(Matrix[[#This Row],[TEAM]]&amp;Matrix[[#Headers],[22]],FDR[FDR]&amp;FDR[[#Headers],[22]],FDR[22],"",0,1)</f>
        <v>2</v>
      </c>
      <c r="AI202" cm="1">
        <f t="array" ref="AI202">_xlfn.XLOOKUP(Matrix[[#This Row],[TEAM]]&amp;Matrix[[#Headers],[23]],FDR[FDR]&amp;FDR[[#Headers],[23]],FDR[23],"",0,1)</f>
        <v>2</v>
      </c>
      <c r="AJ202" cm="1">
        <f t="array" ref="AJ202">_xlfn.XLOOKUP(Matrix[[#This Row],[TEAM]]&amp;Matrix[[#Headers],[24]],FDR[FDR]&amp;FDR[[#Headers],[24]],FDR[24],"",0,1)</f>
        <v>1</v>
      </c>
      <c r="AK202" cm="1">
        <f t="array" ref="AK202">_xlfn.XLOOKUP(Matrix[[#This Row],[TEAM]]&amp;Matrix[[#Headers],[25]],FDR[FDR]&amp;FDR[[#Headers],[25]],FDR[25],"",0,1)</f>
        <v>1</v>
      </c>
      <c r="AL202" cm="1">
        <f t="array" ref="AL202">_xlfn.XLOOKUP(Matrix[[#This Row],[TEAM]]&amp;Matrix[[#Headers],[26]],FDR[FDR]&amp;FDR[[#Headers],[26]],FDR[26],"",0,1)</f>
        <v>2</v>
      </c>
      <c r="AM202" cm="1">
        <f t="array" ref="AM202">_xlfn.XLOOKUP(Matrix[[#This Row],[TEAM]]&amp;Matrix[[#Headers],[27]],FDR[FDR]&amp;FDR[[#Headers],[27]],FDR[27],"",0,1)</f>
        <v>3</v>
      </c>
      <c r="AN202" cm="1">
        <f t="array" ref="AN202">_xlfn.XLOOKUP(Matrix[[#This Row],[TEAM]]&amp;Matrix[[#Headers],[28]],FDR[FDR]&amp;FDR[[#Headers],[28]],FDR[28],"",0,1)</f>
        <v>2</v>
      </c>
      <c r="AO202" cm="1">
        <f t="array" ref="AO202">_xlfn.XLOOKUP(Matrix[[#This Row],[TEAM]]&amp;Matrix[[#Headers],[29]],FDR[FDR]&amp;FDR[[#Headers],[29]],FDR[29],"",0,1)</f>
        <v>2</v>
      </c>
      <c r="AP202" cm="1">
        <f t="array" ref="AP202">_xlfn.XLOOKUP(Matrix[[#This Row],[TEAM]]&amp;Matrix[[#Headers],[30]],FDR[FDR]&amp;FDR[[#Headers],[30]],FDR[30],"",0,1)</f>
        <v>1</v>
      </c>
      <c r="AQ202" cm="1">
        <f t="array" ref="AQ202">_xlfn.XLOOKUP(Matrix[[#This Row],[TEAM]]&amp;Matrix[[#Headers],[31]],FDR[FDR]&amp;FDR[[#Headers],[31]],FDR[31],"",0,1)</f>
        <v>1</v>
      </c>
      <c r="AR202" cm="1">
        <f t="array" ref="AR202">_xlfn.XLOOKUP(Matrix[[#This Row],[TEAM]]&amp;Matrix[[#Headers],[32]],FDR[FDR]&amp;FDR[[#Headers],[32]],FDR[32],"",0,1)</f>
        <v>1</v>
      </c>
      <c r="AS202" cm="1">
        <f t="array" ref="AS202">_xlfn.XLOOKUP(Matrix[[#This Row],[TEAM]]&amp;Matrix[[#Headers],[33]],FDR[FDR]&amp;FDR[[#Headers],[33]],FDR[33],"",0,1)</f>
        <v>3</v>
      </c>
      <c r="AT202" cm="1">
        <f t="array" ref="AT202">_xlfn.XLOOKUP(Matrix[[#This Row],[TEAM]]&amp;Matrix[[#Headers],[34]],FDR[FDR]&amp;FDR[[#Headers],[34]],FDR[34],"",0,1)</f>
        <v>2</v>
      </c>
      <c r="AU202" cm="1">
        <f t="array" ref="AU202">_xlfn.XLOOKUP(Matrix[[#This Row],[TEAM]]&amp;Matrix[[#Headers],[35]],FDR[FDR]&amp;FDR[[#Headers],[35]],FDR[35],"",0,1)</f>
        <v>1</v>
      </c>
      <c r="AV202" cm="1">
        <f t="array" ref="AV202">_xlfn.XLOOKUP(Matrix[[#This Row],[TEAM]]&amp;Matrix[[#Headers],[36]],FDR[FDR]&amp;FDR[[#Headers],[36]],FDR[36],"",0,1)</f>
        <v>2</v>
      </c>
      <c r="AW202" cm="1">
        <f t="array" ref="AW202">_xlfn.XLOOKUP(Matrix[[#This Row],[TEAM]]&amp;Matrix[[#Headers],[37]],FDR[FDR]&amp;FDR[[#Headers],[37]],FDR[37],"",0,1)</f>
        <v>1</v>
      </c>
      <c r="AX202" cm="1">
        <f t="array" ref="AX202">_xlfn.XLOOKUP(Matrix[[#This Row],[TEAM]]&amp;Matrix[[#Headers],[38]],FDR[FDR]&amp;FDR[[#Headers],[38]],FDR[38],"",0,1)</f>
        <v>2</v>
      </c>
    </row>
    <row r="203" spans="1:50" ht="22" thickTop="1" thickBot="1">
      <c r="A203" s="51" t="s">
        <v>657</v>
      </c>
      <c r="B203" s="70" t="s">
        <v>1542</v>
      </c>
      <c r="C203" s="40" t="s">
        <v>29</v>
      </c>
      <c r="D203" s="62">
        <v>31</v>
      </c>
      <c r="E203" s="60">
        <v>2E-3</v>
      </c>
      <c r="F203" s="61">
        <v>32.200000000000003</v>
      </c>
      <c r="G203" s="63">
        <v>5</v>
      </c>
      <c r="H203" s="261">
        <f>IF(ISBLANK(I203),0,1)</f>
        <v>0</v>
      </c>
      <c r="I203" s="57"/>
      <c r="J203" s="58"/>
      <c r="K203" s="65" t="s">
        <v>754</v>
      </c>
      <c r="L203" s="65" t="s">
        <v>870</v>
      </c>
      <c r="M203" cm="1">
        <f t="array" ref="M203">_xlfn.XLOOKUP(Matrix[[#This Row],[TEAM]]&amp;Matrix[[#Headers],[1]],FDR[FDR]&amp;FDR[[#Headers],[1]],FDR[1],"",0,1)</f>
        <v>1</v>
      </c>
      <c r="N203" cm="1">
        <f t="array" ref="N203">_xlfn.XLOOKUP(Matrix[[#This Row],[TEAM]]&amp;Matrix[[#Headers],[2]],FDR[FDR]&amp;FDR[[#Headers],[2]],FDR[2],"",0,1)</f>
        <v>2</v>
      </c>
      <c r="O203" cm="1">
        <f t="array" ref="O203">_xlfn.XLOOKUP(Matrix[[#This Row],[TEAM]]&amp;Matrix[[#Headers],[3]],FDR[FDR]&amp;FDR[[#Headers],[3]],FDR[3],"",0,1)</f>
        <v>2</v>
      </c>
      <c r="P203" cm="1">
        <f t="array" ref="P203">_xlfn.XLOOKUP(Matrix[[#This Row],[TEAM]]&amp;Matrix[[#Headers],[4]],FDR[FDR]&amp;FDR[[#Headers],[4]],FDR[4],"",0,1)</f>
        <v>2</v>
      </c>
      <c r="Q203" cm="1">
        <f t="array" ref="Q203">_xlfn.XLOOKUP(Matrix[[#This Row],[TEAM]]&amp;Matrix[[#Headers],[5]],FDR[FDR]&amp;FDR[[#Headers],[5]],FDR[5],"",0,1)</f>
        <v>4</v>
      </c>
      <c r="R203" cm="1">
        <f t="array" ref="R203">_xlfn.XLOOKUP(Matrix[[#This Row],[TEAM]]&amp;Matrix[[#Headers],[6]],FDR[FDR]&amp;FDR[[#Headers],[6]],FDR[6],"",0,1)</f>
        <v>1</v>
      </c>
      <c r="S203" cm="1">
        <f t="array" ref="S203">_xlfn.XLOOKUP(Matrix[[#This Row],[TEAM]]&amp;Matrix[[#Headers],[7]],FDR[FDR]&amp;FDR[[#Headers],[7]],FDR[7],"",0,1)</f>
        <v>2</v>
      </c>
      <c r="T203" cm="1">
        <f t="array" ref="T203">_xlfn.XLOOKUP(Matrix[[#This Row],[TEAM]]&amp;Matrix[[#Headers],[8]],FDR[FDR]&amp;FDR[[#Headers],[8]],FDR[8],"",0,1)</f>
        <v>1</v>
      </c>
      <c r="U203" cm="1">
        <f t="array" ref="U203">_xlfn.XLOOKUP(Matrix[[#This Row],[TEAM]]&amp;Matrix[[#Headers],[9]],FDR[FDR]&amp;FDR[[#Headers],[9]],FDR[9],"",0,1)</f>
        <v>3</v>
      </c>
      <c r="V203" cm="1">
        <f t="array" ref="V203">_xlfn.XLOOKUP(Matrix[[#This Row],[TEAM]]&amp;Matrix[[#Headers],[10]],FDR[FDR]&amp;FDR[[#Headers],[10]],FDR[10],"",0,1)</f>
        <v>1</v>
      </c>
      <c r="W203" cm="1">
        <f t="array" ref="W203">_xlfn.XLOOKUP(Matrix[[#This Row],[TEAM]]&amp;Matrix[[#Headers],[11]],FDR[FDR]&amp;FDR[[#Headers],[11]],FDR[11],"",0,1)</f>
        <v>3</v>
      </c>
      <c r="X203" cm="1">
        <f t="array" ref="X203">_xlfn.XLOOKUP(Matrix[[#This Row],[TEAM]]&amp;Matrix[[#Headers],[12]],FDR[FDR]&amp;FDR[[#Headers],[12]],FDR[12],"",0,1)</f>
        <v>3</v>
      </c>
      <c r="Y203" cm="1">
        <f t="array" ref="Y203">_xlfn.XLOOKUP(Matrix[[#This Row],[TEAM]]&amp;Matrix[[#Headers],[13]],FDR[FDR]&amp;FDR[[#Headers],[13]],FDR[13],"",0,1)</f>
        <v>1</v>
      </c>
      <c r="Z203" cm="1">
        <f t="array" ref="Z203">_xlfn.XLOOKUP(Matrix[[#This Row],[TEAM]]&amp;Matrix[[#Headers],[14]],FDR[FDR]&amp;FDR[[#Headers],[14]],FDR[14],"",0,1)</f>
        <v>2</v>
      </c>
      <c r="AA203" cm="1">
        <f t="array" ref="AA203">_xlfn.XLOOKUP(Matrix[[#This Row],[TEAM]]&amp;Matrix[[#Headers],[15]],FDR[FDR]&amp;FDR[[#Headers],[15]],FDR[15],"",0,1)</f>
        <v>1</v>
      </c>
      <c r="AB203" cm="1">
        <f t="array" ref="AB203">_xlfn.XLOOKUP(Matrix[[#This Row],[TEAM]]&amp;Matrix[[#Headers],[16]],FDR[FDR]&amp;FDR[[#Headers],[16]],FDR[16],"",0,1)</f>
        <v>2</v>
      </c>
      <c r="AC203" cm="1">
        <f t="array" ref="AC203">_xlfn.XLOOKUP(Matrix[[#This Row],[TEAM]]&amp;Matrix[[#Headers],[17]],FDR[FDR]&amp;FDR[[#Headers],[17]],FDR[17],"",0,1)</f>
        <v>1</v>
      </c>
      <c r="AD203" cm="1">
        <f t="array" ref="AD203">_xlfn.XLOOKUP(Matrix[[#This Row],[TEAM]]&amp;Matrix[[#Headers],[18]],FDR[FDR]&amp;FDR[[#Headers],[18]],FDR[18],"",0,1)</f>
        <v>2</v>
      </c>
      <c r="AE203" cm="1">
        <f t="array" ref="AE203">_xlfn.XLOOKUP(Matrix[[#This Row],[TEAM]]&amp;Matrix[[#Headers],[19]],FDR[FDR]&amp;FDR[[#Headers],[19]],FDR[19],"",0,1)</f>
        <v>1</v>
      </c>
      <c r="AF203" cm="1">
        <f t="array" ref="AF203">_xlfn.XLOOKUP(Matrix[[#This Row],[TEAM]]&amp;Matrix[[#Headers],[20]],FDR[FDR]&amp;FDR[[#Headers],[20]],FDR[20],"",0,1)</f>
        <v>2</v>
      </c>
      <c r="AG203" cm="1">
        <f t="array" ref="AG203">_xlfn.XLOOKUP(Matrix[[#This Row],[TEAM]]&amp;Matrix[[#Headers],[21]],FDR[FDR]&amp;FDR[[#Headers],[21]],FDR[21],"",0,1)</f>
        <v>1</v>
      </c>
      <c r="AH203" cm="1">
        <f t="array" ref="AH203">_xlfn.XLOOKUP(Matrix[[#This Row],[TEAM]]&amp;Matrix[[#Headers],[22]],FDR[FDR]&amp;FDR[[#Headers],[22]],FDR[22],"",0,1)</f>
        <v>3</v>
      </c>
      <c r="AI203" cm="1">
        <f t="array" ref="AI203">_xlfn.XLOOKUP(Matrix[[#This Row],[TEAM]]&amp;Matrix[[#Headers],[23]],FDR[FDR]&amp;FDR[[#Headers],[23]],FDR[23],"",0,1)</f>
        <v>1</v>
      </c>
      <c r="AJ203" cm="1">
        <f t="array" ref="AJ203">_xlfn.XLOOKUP(Matrix[[#This Row],[TEAM]]&amp;Matrix[[#Headers],[24]],FDR[FDR]&amp;FDR[[#Headers],[24]],FDR[24],"",0,1)</f>
        <v>3</v>
      </c>
      <c r="AK203" cm="1">
        <f t="array" ref="AK203">_xlfn.XLOOKUP(Matrix[[#This Row],[TEAM]]&amp;Matrix[[#Headers],[25]],FDR[FDR]&amp;FDR[[#Headers],[25]],FDR[25],"",0,1)</f>
        <v>4</v>
      </c>
      <c r="AL203" cm="1">
        <f t="array" ref="AL203">_xlfn.XLOOKUP(Matrix[[#This Row],[TEAM]]&amp;Matrix[[#Headers],[26]],FDR[FDR]&amp;FDR[[#Headers],[26]],FDR[26],"",0,1)</f>
        <v>1</v>
      </c>
      <c r="AM203" cm="1">
        <f t="array" ref="AM203">_xlfn.XLOOKUP(Matrix[[#This Row],[TEAM]]&amp;Matrix[[#Headers],[27]],FDR[FDR]&amp;FDR[[#Headers],[27]],FDR[27],"",0,1)</f>
        <v>2</v>
      </c>
      <c r="AN203" cm="1">
        <f t="array" ref="AN203">_xlfn.XLOOKUP(Matrix[[#This Row],[TEAM]]&amp;Matrix[[#Headers],[28]],FDR[FDR]&amp;FDR[[#Headers],[28]],FDR[28],"",0,1)</f>
        <v>1</v>
      </c>
      <c r="AO203" cm="1">
        <f t="array" ref="AO203">_xlfn.XLOOKUP(Matrix[[#This Row],[TEAM]]&amp;Matrix[[#Headers],[29]],FDR[FDR]&amp;FDR[[#Headers],[29]],FDR[29],"",0,1)</f>
        <v>1</v>
      </c>
      <c r="AP203" cm="1">
        <f t="array" ref="AP203">_xlfn.XLOOKUP(Matrix[[#This Row],[TEAM]]&amp;Matrix[[#Headers],[30]],FDR[FDR]&amp;FDR[[#Headers],[30]],FDR[30],"",0,1)</f>
        <v>2</v>
      </c>
      <c r="AQ203" cm="1">
        <f t="array" ref="AQ203">_xlfn.XLOOKUP(Matrix[[#This Row],[TEAM]]&amp;Matrix[[#Headers],[31]],FDR[FDR]&amp;FDR[[#Headers],[31]],FDR[31],"",0,1)</f>
        <v>1</v>
      </c>
      <c r="AR203" cm="1">
        <f t="array" ref="AR203">_xlfn.XLOOKUP(Matrix[[#This Row],[TEAM]]&amp;Matrix[[#Headers],[32]],FDR[FDR]&amp;FDR[[#Headers],[32]],FDR[32],"",0,1)</f>
        <v>3</v>
      </c>
      <c r="AS203" cm="1">
        <f t="array" ref="AS203">_xlfn.XLOOKUP(Matrix[[#This Row],[TEAM]]&amp;Matrix[[#Headers],[33]],FDR[FDR]&amp;FDR[[#Headers],[33]],FDR[33],"",0,1)</f>
        <v>3</v>
      </c>
      <c r="AT203" cm="1">
        <f t="array" ref="AT203">_xlfn.XLOOKUP(Matrix[[#This Row],[TEAM]]&amp;Matrix[[#Headers],[34]],FDR[FDR]&amp;FDR[[#Headers],[34]],FDR[34],"",0,1)</f>
        <v>1</v>
      </c>
      <c r="AU203" cm="1">
        <f t="array" ref="AU203">_xlfn.XLOOKUP(Matrix[[#This Row],[TEAM]]&amp;Matrix[[#Headers],[35]],FDR[FDR]&amp;FDR[[#Headers],[35]],FDR[35],"",0,1)</f>
        <v>2</v>
      </c>
      <c r="AV203" cm="1">
        <f t="array" ref="AV203">_xlfn.XLOOKUP(Matrix[[#This Row],[TEAM]]&amp;Matrix[[#Headers],[36]],FDR[FDR]&amp;FDR[[#Headers],[36]],FDR[36],"",0,1)</f>
        <v>1</v>
      </c>
      <c r="AW203" cm="1">
        <f t="array" ref="AW203">_xlfn.XLOOKUP(Matrix[[#This Row],[TEAM]]&amp;Matrix[[#Headers],[37]],FDR[FDR]&amp;FDR[[#Headers],[37]],FDR[37],"",0,1)</f>
        <v>2</v>
      </c>
      <c r="AX203" cm="1">
        <f t="array" ref="AX203">_xlfn.XLOOKUP(Matrix[[#This Row],[TEAM]]&amp;Matrix[[#Headers],[38]],FDR[FDR]&amp;FDR[[#Headers],[38]],FDR[38],"",0,1)</f>
        <v>2</v>
      </c>
    </row>
    <row r="204" spans="1:50" ht="22" thickTop="1" thickBot="1">
      <c r="A204" s="51" t="s">
        <v>657</v>
      </c>
      <c r="B204" s="70" t="s">
        <v>1519</v>
      </c>
      <c r="C204" s="40" t="s">
        <v>25</v>
      </c>
      <c r="D204" s="62">
        <v>18</v>
      </c>
      <c r="E204" s="60">
        <v>5.0000000000000001E-3</v>
      </c>
      <c r="F204" s="61">
        <v>23.6</v>
      </c>
      <c r="G204" s="63">
        <v>5</v>
      </c>
      <c r="H204" s="261">
        <f>IF(ISBLANK(I204),0,1)</f>
        <v>0</v>
      </c>
      <c r="I204" s="57"/>
      <c r="J204" s="58"/>
      <c r="K204" s="65" t="s">
        <v>390</v>
      </c>
      <c r="L204" s="65" t="s">
        <v>119</v>
      </c>
      <c r="M204" cm="1">
        <f t="array" ref="M204">_xlfn.XLOOKUP(Matrix[[#This Row],[TEAM]]&amp;Matrix[[#Headers],[1]],FDR[FDR]&amp;FDR[[#Headers],[1]],FDR[1],"",0,1)</f>
        <v>3</v>
      </c>
      <c r="N204" cm="1">
        <f t="array" ref="N204">_xlfn.XLOOKUP(Matrix[[#This Row],[TEAM]]&amp;Matrix[[#Headers],[2]],FDR[FDR]&amp;FDR[[#Headers],[2]],FDR[2],"",0,1)</f>
        <v>3</v>
      </c>
      <c r="O204" cm="1">
        <f t="array" ref="O204">_xlfn.XLOOKUP(Matrix[[#This Row],[TEAM]]&amp;Matrix[[#Headers],[3]],FDR[FDR]&amp;FDR[[#Headers],[3]],FDR[3],"",0,1)</f>
        <v>1</v>
      </c>
      <c r="P204" cm="1">
        <f t="array" ref="P204">_xlfn.XLOOKUP(Matrix[[#This Row],[TEAM]]&amp;Matrix[[#Headers],[4]],FDR[FDR]&amp;FDR[[#Headers],[4]],FDR[4],"",0,1)</f>
        <v>1</v>
      </c>
      <c r="Q204" cm="1">
        <f t="array" ref="Q204">_xlfn.XLOOKUP(Matrix[[#This Row],[TEAM]]&amp;Matrix[[#Headers],[5]],FDR[FDR]&amp;FDR[[#Headers],[5]],FDR[5],"",0,1)</f>
        <v>2</v>
      </c>
      <c r="R204" cm="1">
        <f t="array" ref="R204">_xlfn.XLOOKUP(Matrix[[#This Row],[TEAM]]&amp;Matrix[[#Headers],[6]],FDR[FDR]&amp;FDR[[#Headers],[6]],FDR[6],"",0,1)</f>
        <v>3</v>
      </c>
      <c r="S204" cm="1">
        <f t="array" ref="S204">_xlfn.XLOOKUP(Matrix[[#This Row],[TEAM]]&amp;Matrix[[#Headers],[7]],FDR[FDR]&amp;FDR[[#Headers],[7]],FDR[7],"",0,1)</f>
        <v>2</v>
      </c>
      <c r="T204" cm="1">
        <f t="array" ref="T204">_xlfn.XLOOKUP(Matrix[[#This Row],[TEAM]]&amp;Matrix[[#Headers],[8]],FDR[FDR]&amp;FDR[[#Headers],[8]],FDR[8],"",0,1)</f>
        <v>2</v>
      </c>
      <c r="U204" cm="1">
        <f t="array" ref="U204">_xlfn.XLOOKUP(Matrix[[#This Row],[TEAM]]&amp;Matrix[[#Headers],[9]],FDR[FDR]&amp;FDR[[#Headers],[9]],FDR[9],"",0,1)</f>
        <v>2</v>
      </c>
      <c r="V204" cm="1">
        <f t="array" ref="V204">_xlfn.XLOOKUP(Matrix[[#This Row],[TEAM]]&amp;Matrix[[#Headers],[10]],FDR[FDR]&amp;FDR[[#Headers],[10]],FDR[10],"",0,1)</f>
        <v>2</v>
      </c>
      <c r="W204" cm="1">
        <f t="array" ref="W204">_xlfn.XLOOKUP(Matrix[[#This Row],[TEAM]]&amp;Matrix[[#Headers],[11]],FDR[FDR]&amp;FDR[[#Headers],[11]],FDR[11],"",0,1)</f>
        <v>2</v>
      </c>
      <c r="X204" cm="1">
        <f t="array" ref="X204">_xlfn.XLOOKUP(Matrix[[#This Row],[TEAM]]&amp;Matrix[[#Headers],[12]],FDR[FDR]&amp;FDR[[#Headers],[12]],FDR[12],"",0,1)</f>
        <v>3</v>
      </c>
      <c r="Y204" cm="1">
        <f t="array" ref="Y204">_xlfn.XLOOKUP(Matrix[[#This Row],[TEAM]]&amp;Matrix[[#Headers],[13]],FDR[FDR]&amp;FDR[[#Headers],[13]],FDR[13],"",0,1)</f>
        <v>2</v>
      </c>
      <c r="Z204" cm="1">
        <f t="array" ref="Z204">_xlfn.XLOOKUP(Matrix[[#This Row],[TEAM]]&amp;Matrix[[#Headers],[14]],FDR[FDR]&amp;FDR[[#Headers],[14]],FDR[14],"",0,1)</f>
        <v>3</v>
      </c>
      <c r="AA204" cm="1">
        <f t="array" ref="AA204">_xlfn.XLOOKUP(Matrix[[#This Row],[TEAM]]&amp;Matrix[[#Headers],[15]],FDR[FDR]&amp;FDR[[#Headers],[15]],FDR[15],"",0,1)</f>
        <v>1</v>
      </c>
      <c r="AB204" cm="1">
        <f t="array" ref="AB204">_xlfn.XLOOKUP(Matrix[[#This Row],[TEAM]]&amp;Matrix[[#Headers],[16]],FDR[FDR]&amp;FDR[[#Headers],[16]],FDR[16],"",0,1)</f>
        <v>1</v>
      </c>
      <c r="AC204" cm="1">
        <f t="array" ref="AC204">_xlfn.XLOOKUP(Matrix[[#This Row],[TEAM]]&amp;Matrix[[#Headers],[17]],FDR[FDR]&amp;FDR[[#Headers],[17]],FDR[17],"",0,1)</f>
        <v>3</v>
      </c>
      <c r="AD204" cm="1">
        <f t="array" ref="AD204">_xlfn.XLOOKUP(Matrix[[#This Row],[TEAM]]&amp;Matrix[[#Headers],[18]],FDR[FDR]&amp;FDR[[#Headers],[18]],FDR[18],"",0,1)</f>
        <v>4</v>
      </c>
      <c r="AE204" cm="1">
        <f t="array" ref="AE204">_xlfn.XLOOKUP(Matrix[[#This Row],[TEAM]]&amp;Matrix[[#Headers],[19]],FDR[FDR]&amp;FDR[[#Headers],[19]],FDR[19],"",0,1)</f>
        <v>1</v>
      </c>
      <c r="AF204" cm="1">
        <f t="array" ref="AF204">_xlfn.XLOOKUP(Matrix[[#This Row],[TEAM]]&amp;Matrix[[#Headers],[20]],FDR[FDR]&amp;FDR[[#Headers],[20]],FDR[20],"",0,1)</f>
        <v>1</v>
      </c>
      <c r="AG204" cm="1">
        <f t="array" ref="AG204">_xlfn.XLOOKUP(Matrix[[#This Row],[TEAM]]&amp;Matrix[[#Headers],[21]],FDR[FDR]&amp;FDR[[#Headers],[21]],FDR[21],"",0,1)</f>
        <v>1</v>
      </c>
      <c r="AH204" cm="1">
        <f t="array" ref="AH204">_xlfn.XLOOKUP(Matrix[[#This Row],[TEAM]]&amp;Matrix[[#Headers],[22]],FDR[FDR]&amp;FDR[[#Headers],[22]],FDR[22],"",0,1)</f>
        <v>1</v>
      </c>
      <c r="AI204" cm="1">
        <f t="array" ref="AI204">_xlfn.XLOOKUP(Matrix[[#This Row],[TEAM]]&amp;Matrix[[#Headers],[23]],FDR[FDR]&amp;FDR[[#Headers],[23]],FDR[23],"",0,1)</f>
        <v>2</v>
      </c>
      <c r="AJ204" cm="1">
        <f t="array" ref="AJ204">_xlfn.XLOOKUP(Matrix[[#This Row],[TEAM]]&amp;Matrix[[#Headers],[24]],FDR[FDR]&amp;FDR[[#Headers],[24]],FDR[24],"",0,1)</f>
        <v>4</v>
      </c>
      <c r="AK204" cm="1">
        <f t="array" ref="AK204">_xlfn.XLOOKUP(Matrix[[#This Row],[TEAM]]&amp;Matrix[[#Headers],[25]],FDR[FDR]&amp;FDR[[#Headers],[25]],FDR[25],"",0,1)</f>
        <v>1</v>
      </c>
      <c r="AL204" cm="1">
        <f t="array" ref="AL204">_xlfn.XLOOKUP(Matrix[[#This Row],[TEAM]]&amp;Matrix[[#Headers],[26]],FDR[FDR]&amp;FDR[[#Headers],[26]],FDR[26],"",0,1)</f>
        <v>4</v>
      </c>
      <c r="AM204" cm="1">
        <f t="array" ref="AM204">_xlfn.XLOOKUP(Matrix[[#This Row],[TEAM]]&amp;Matrix[[#Headers],[27]],FDR[FDR]&amp;FDR[[#Headers],[27]],FDR[27],"",0,1)</f>
        <v>4</v>
      </c>
      <c r="AN204" cm="1">
        <f t="array" ref="AN204">_xlfn.XLOOKUP(Matrix[[#This Row],[TEAM]]&amp;Matrix[[#Headers],[28]],FDR[FDR]&amp;FDR[[#Headers],[28]],FDR[28],"",0,1)</f>
        <v>1</v>
      </c>
      <c r="AO204" cm="1">
        <f t="array" ref="AO204">_xlfn.XLOOKUP(Matrix[[#This Row],[TEAM]]&amp;Matrix[[#Headers],[29]],FDR[FDR]&amp;FDR[[#Headers],[29]],FDR[29],"",0,1)</f>
        <v>3</v>
      </c>
      <c r="AP204" cm="1">
        <f t="array" ref="AP204">_xlfn.XLOOKUP(Matrix[[#This Row],[TEAM]]&amp;Matrix[[#Headers],[30]],FDR[FDR]&amp;FDR[[#Headers],[30]],FDR[30],"",0,1)</f>
        <v>4</v>
      </c>
      <c r="AQ204" cm="1">
        <f t="array" ref="AQ204">_xlfn.XLOOKUP(Matrix[[#This Row],[TEAM]]&amp;Matrix[[#Headers],[31]],FDR[FDR]&amp;FDR[[#Headers],[31]],FDR[31],"",0,1)</f>
        <v>1</v>
      </c>
      <c r="AR204" cm="1">
        <f t="array" ref="AR204">_xlfn.XLOOKUP(Matrix[[#This Row],[TEAM]]&amp;Matrix[[#Headers],[32]],FDR[FDR]&amp;FDR[[#Headers],[32]],FDR[32],"",0,1)</f>
        <v>2</v>
      </c>
      <c r="AS204" cm="1">
        <f t="array" ref="AS204">_xlfn.XLOOKUP(Matrix[[#This Row],[TEAM]]&amp;Matrix[[#Headers],[33]],FDR[FDR]&amp;FDR[[#Headers],[33]],FDR[33],"",0,1)</f>
        <v>2</v>
      </c>
      <c r="AT204" cm="1">
        <f t="array" ref="AT204">_xlfn.XLOOKUP(Matrix[[#This Row],[TEAM]]&amp;Matrix[[#Headers],[34]],FDR[FDR]&amp;FDR[[#Headers],[34]],FDR[34],"",0,1)</f>
        <v>4</v>
      </c>
      <c r="AU204" cm="1">
        <f t="array" ref="AU204">_xlfn.XLOOKUP(Matrix[[#This Row],[TEAM]]&amp;Matrix[[#Headers],[35]],FDR[FDR]&amp;FDR[[#Headers],[35]],FDR[35],"",0,1)</f>
        <v>2</v>
      </c>
      <c r="AV204" cm="1">
        <f t="array" ref="AV204">_xlfn.XLOOKUP(Matrix[[#This Row],[TEAM]]&amp;Matrix[[#Headers],[36]],FDR[FDR]&amp;FDR[[#Headers],[36]],FDR[36],"",0,1)</f>
        <v>2</v>
      </c>
      <c r="AW204" cm="1">
        <f t="array" ref="AW204">_xlfn.XLOOKUP(Matrix[[#This Row],[TEAM]]&amp;Matrix[[#Headers],[37]],FDR[FDR]&amp;FDR[[#Headers],[37]],FDR[37],"",0,1)</f>
        <v>1</v>
      </c>
      <c r="AX204" cm="1">
        <f t="array" ref="AX204">_xlfn.XLOOKUP(Matrix[[#This Row],[TEAM]]&amp;Matrix[[#Headers],[38]],FDR[FDR]&amp;FDR[[#Headers],[38]],FDR[38],"",0,1)</f>
        <v>2</v>
      </c>
    </row>
    <row r="205" spans="1:50" ht="22" thickTop="1" thickBot="1">
      <c r="A205" s="51" t="s">
        <v>657</v>
      </c>
      <c r="B205" s="70" t="s">
        <v>1570</v>
      </c>
      <c r="C205" s="40" t="s">
        <v>26</v>
      </c>
      <c r="D205" s="62">
        <v>0</v>
      </c>
      <c r="E205" s="60">
        <v>1E-3</v>
      </c>
      <c r="F205" s="61">
        <v>0</v>
      </c>
      <c r="G205" s="63">
        <v>5</v>
      </c>
      <c r="H205" s="261">
        <f>IF(ISBLANK(I205),0,1)</f>
        <v>0</v>
      </c>
      <c r="I205" s="57"/>
      <c r="J205" s="58"/>
      <c r="K205" s="65" t="s">
        <v>845</v>
      </c>
      <c r="L205" s="65" t="s">
        <v>846</v>
      </c>
      <c r="M205" cm="1">
        <f t="array" ref="M205">_xlfn.XLOOKUP(Matrix[[#This Row],[TEAM]]&amp;Matrix[[#Headers],[1]],FDR[FDR]&amp;FDR[[#Headers],[1]],FDR[1],"",0,1)</f>
        <v>5</v>
      </c>
      <c r="N205" cm="1">
        <f t="array" ref="N205">_xlfn.XLOOKUP(Matrix[[#This Row],[TEAM]]&amp;Matrix[[#Headers],[2]],FDR[FDR]&amp;FDR[[#Headers],[2]],FDR[2],"",0,1)</f>
        <v>3</v>
      </c>
      <c r="O205" cm="1">
        <f t="array" ref="O205">_xlfn.XLOOKUP(Matrix[[#This Row],[TEAM]]&amp;Matrix[[#Headers],[3]],FDR[FDR]&amp;FDR[[#Headers],[3]],FDR[3],"",0,1)</f>
        <v>5</v>
      </c>
      <c r="P205" cm="1">
        <f t="array" ref="P205">_xlfn.XLOOKUP(Matrix[[#This Row],[TEAM]]&amp;Matrix[[#Headers],[4]],FDR[FDR]&amp;FDR[[#Headers],[4]],FDR[4],"",0,1)</f>
        <v>1</v>
      </c>
      <c r="Q205" cm="1">
        <f t="array" ref="Q205">_xlfn.XLOOKUP(Matrix[[#This Row],[TEAM]]&amp;Matrix[[#Headers],[5]],FDR[FDR]&amp;FDR[[#Headers],[5]],FDR[5],"",0,1)</f>
        <v>4</v>
      </c>
      <c r="R205" cm="1">
        <f t="array" ref="R205">_xlfn.XLOOKUP(Matrix[[#This Row],[TEAM]]&amp;Matrix[[#Headers],[6]],FDR[FDR]&amp;FDR[[#Headers],[6]],FDR[6],"",0,1)</f>
        <v>4</v>
      </c>
      <c r="S205" cm="1">
        <f t="array" ref="S205">_xlfn.XLOOKUP(Matrix[[#This Row],[TEAM]]&amp;Matrix[[#Headers],[7]],FDR[FDR]&amp;FDR[[#Headers],[7]],FDR[7],"",0,1)</f>
        <v>4</v>
      </c>
      <c r="T205" cm="1">
        <f t="array" ref="T205">_xlfn.XLOOKUP(Matrix[[#This Row],[TEAM]]&amp;Matrix[[#Headers],[8]],FDR[FDR]&amp;FDR[[#Headers],[8]],FDR[8],"",0,1)</f>
        <v>3</v>
      </c>
      <c r="U205" cm="1">
        <f t="array" ref="U205">_xlfn.XLOOKUP(Matrix[[#This Row],[TEAM]]&amp;Matrix[[#Headers],[9]],FDR[FDR]&amp;FDR[[#Headers],[9]],FDR[9],"",0,1)</f>
        <v>5</v>
      </c>
      <c r="V205" cm="1">
        <f t="array" ref="V205">_xlfn.XLOOKUP(Matrix[[#This Row],[TEAM]]&amp;Matrix[[#Headers],[10]],FDR[FDR]&amp;FDR[[#Headers],[10]],FDR[10],"",0,1)</f>
        <v>3</v>
      </c>
      <c r="W205" cm="1">
        <f t="array" ref="W205">_xlfn.XLOOKUP(Matrix[[#This Row],[TEAM]]&amp;Matrix[[#Headers],[11]],FDR[FDR]&amp;FDR[[#Headers],[11]],FDR[11],"",0,1)</f>
        <v>3</v>
      </c>
      <c r="X205" cm="1">
        <f t="array" ref="X205">_xlfn.XLOOKUP(Matrix[[#This Row],[TEAM]]&amp;Matrix[[#Headers],[12]],FDR[FDR]&amp;FDR[[#Headers],[12]],FDR[12],"",0,1)</f>
        <v>2</v>
      </c>
      <c r="Y205" cm="1">
        <f t="array" ref="Y205">_xlfn.XLOOKUP(Matrix[[#This Row],[TEAM]]&amp;Matrix[[#Headers],[13]],FDR[FDR]&amp;FDR[[#Headers],[13]],FDR[13],"",0,1)</f>
        <v>4</v>
      </c>
      <c r="Z205" cm="1">
        <f t="array" ref="Z205">_xlfn.XLOOKUP(Matrix[[#This Row],[TEAM]]&amp;Matrix[[#Headers],[14]],FDR[FDR]&amp;FDR[[#Headers],[14]],FDR[14],"",0,1)</f>
        <v>2</v>
      </c>
      <c r="AA205" cm="1">
        <f t="array" ref="AA205">_xlfn.XLOOKUP(Matrix[[#This Row],[TEAM]]&amp;Matrix[[#Headers],[15]],FDR[FDR]&amp;FDR[[#Headers],[15]],FDR[15],"",0,1)</f>
        <v>4</v>
      </c>
      <c r="AB205" cm="1">
        <f t="array" ref="AB205">_xlfn.XLOOKUP(Matrix[[#This Row],[TEAM]]&amp;Matrix[[#Headers],[16]],FDR[FDR]&amp;FDR[[#Headers],[16]],FDR[16],"",0,1)</f>
        <v>4</v>
      </c>
      <c r="AC205" cm="1">
        <f t="array" ref="AC205">_xlfn.XLOOKUP(Matrix[[#This Row],[TEAM]]&amp;Matrix[[#Headers],[17]],FDR[FDR]&amp;FDR[[#Headers],[17]],FDR[17],"",0,1)</f>
        <v>2</v>
      </c>
      <c r="AD205" cm="1">
        <f t="array" ref="AD205">_xlfn.XLOOKUP(Matrix[[#This Row],[TEAM]]&amp;Matrix[[#Headers],[18]],FDR[FDR]&amp;FDR[[#Headers],[18]],FDR[18],"",0,1)</f>
        <v>4</v>
      </c>
      <c r="AE205" cm="1">
        <f t="array" ref="AE205">_xlfn.XLOOKUP(Matrix[[#This Row],[TEAM]]&amp;Matrix[[#Headers],[19]],FDR[FDR]&amp;FDR[[#Headers],[19]],FDR[19],"",0,1)</f>
        <v>3</v>
      </c>
      <c r="AF205" cm="1">
        <f t="array" ref="AF205">_xlfn.XLOOKUP(Matrix[[#This Row],[TEAM]]&amp;Matrix[[#Headers],[20]],FDR[FDR]&amp;FDR[[#Headers],[20]],FDR[20],"",0,1)</f>
        <v>5</v>
      </c>
      <c r="AG205" cm="1">
        <f t="array" ref="AG205">_xlfn.XLOOKUP(Matrix[[#This Row],[TEAM]]&amp;Matrix[[#Headers],[21]],FDR[FDR]&amp;FDR[[#Headers],[21]],FDR[21],"",0,1)</f>
        <v>4</v>
      </c>
      <c r="AH205" cm="1">
        <f t="array" ref="AH205">_xlfn.XLOOKUP(Matrix[[#This Row],[TEAM]]&amp;Matrix[[#Headers],[22]],FDR[FDR]&amp;FDR[[#Headers],[22]],FDR[22],"",0,1)</f>
        <v>2</v>
      </c>
      <c r="AI205" cm="1">
        <f t="array" ref="AI205">_xlfn.XLOOKUP(Matrix[[#This Row],[TEAM]]&amp;Matrix[[#Headers],[23]],FDR[FDR]&amp;FDR[[#Headers],[23]],FDR[23],"",0,1)</f>
        <v>4</v>
      </c>
      <c r="AJ205" cm="1">
        <f t="array" ref="AJ205">_xlfn.XLOOKUP(Matrix[[#This Row],[TEAM]]&amp;Matrix[[#Headers],[24]],FDR[FDR]&amp;FDR[[#Headers],[24]],FDR[24],"",0,1)</f>
        <v>4</v>
      </c>
      <c r="AK205" cm="1">
        <f t="array" ref="AK205">_xlfn.XLOOKUP(Matrix[[#This Row],[TEAM]]&amp;Matrix[[#Headers],[25]],FDR[FDR]&amp;FDR[[#Headers],[25]],FDR[25],"",0,1)</f>
        <v>4</v>
      </c>
      <c r="AL205" cm="1">
        <f t="array" ref="AL205">_xlfn.XLOOKUP(Matrix[[#This Row],[TEAM]]&amp;Matrix[[#Headers],[26]],FDR[FDR]&amp;FDR[[#Headers],[26]],FDR[26],"",0,1)</f>
        <v>1</v>
      </c>
      <c r="AM205" cm="1">
        <f t="array" ref="AM205">_xlfn.XLOOKUP(Matrix[[#This Row],[TEAM]]&amp;Matrix[[#Headers],[27]],FDR[FDR]&amp;FDR[[#Headers],[27]],FDR[27],"",0,1)</f>
        <v>2</v>
      </c>
      <c r="AN205" cm="1">
        <f t="array" ref="AN205">_xlfn.XLOOKUP(Matrix[[#This Row],[TEAM]]&amp;Matrix[[#Headers],[28]],FDR[FDR]&amp;FDR[[#Headers],[28]],FDR[28],"",0,1)</f>
        <v>5</v>
      </c>
      <c r="AO205" cm="1">
        <f t="array" ref="AO205">_xlfn.XLOOKUP(Matrix[[#This Row],[TEAM]]&amp;Matrix[[#Headers],[29]],FDR[FDR]&amp;FDR[[#Headers],[29]],FDR[29],"",0,1)</f>
        <v>5</v>
      </c>
      <c r="AP205" cm="1">
        <f t="array" ref="AP205">_xlfn.XLOOKUP(Matrix[[#This Row],[TEAM]]&amp;Matrix[[#Headers],[30]],FDR[FDR]&amp;FDR[[#Headers],[30]],FDR[30],"",0,1)</f>
        <v>1</v>
      </c>
      <c r="AQ205" cm="1">
        <f t="array" ref="AQ205">_xlfn.XLOOKUP(Matrix[[#This Row],[TEAM]]&amp;Matrix[[#Headers],[31]],FDR[FDR]&amp;FDR[[#Headers],[31]],FDR[31],"",0,1)</f>
        <v>5</v>
      </c>
      <c r="AR205" cm="1">
        <f t="array" ref="AR205">_xlfn.XLOOKUP(Matrix[[#This Row],[TEAM]]&amp;Matrix[[#Headers],[32]],FDR[FDR]&amp;FDR[[#Headers],[32]],FDR[32],"",0,1)</f>
        <v>4</v>
      </c>
      <c r="AS205" cm="1">
        <f t="array" ref="AS205">_xlfn.XLOOKUP(Matrix[[#This Row],[TEAM]]&amp;Matrix[[#Headers],[33]],FDR[FDR]&amp;FDR[[#Headers],[33]],FDR[33],"",0,1)</f>
        <v>3</v>
      </c>
      <c r="AT205" cm="1">
        <f t="array" ref="AT205">_xlfn.XLOOKUP(Matrix[[#This Row],[TEAM]]&amp;Matrix[[#Headers],[34]],FDR[FDR]&amp;FDR[[#Headers],[34]],FDR[34],"",0,1)</f>
        <v>5</v>
      </c>
      <c r="AU205" cm="1">
        <f t="array" ref="AU205">_xlfn.XLOOKUP(Matrix[[#This Row],[TEAM]]&amp;Matrix[[#Headers],[35]],FDR[FDR]&amp;FDR[[#Headers],[35]],FDR[35],"",0,1)</f>
        <v>4</v>
      </c>
      <c r="AV205" cm="1">
        <f t="array" ref="AV205">_xlfn.XLOOKUP(Matrix[[#This Row],[TEAM]]&amp;Matrix[[#Headers],[36]],FDR[FDR]&amp;FDR[[#Headers],[36]],FDR[36],"",0,1)</f>
        <v>3</v>
      </c>
      <c r="AW205" cm="1">
        <f t="array" ref="AW205">_xlfn.XLOOKUP(Matrix[[#This Row],[TEAM]]&amp;Matrix[[#Headers],[37]],FDR[FDR]&amp;FDR[[#Headers],[37]],FDR[37],"",0,1)</f>
        <v>4</v>
      </c>
      <c r="AX205" cm="1">
        <f t="array" ref="AX205">_xlfn.XLOOKUP(Matrix[[#This Row],[TEAM]]&amp;Matrix[[#Headers],[38]],FDR[FDR]&amp;FDR[[#Headers],[38]],FDR[38],"",0,1)</f>
        <v>4</v>
      </c>
    </row>
    <row r="206" spans="1:50" ht="22" thickTop="1" thickBot="1">
      <c r="A206" s="50" t="str">
        <f>INDEX!S$4</f>
        <v>MID</v>
      </c>
      <c r="B206" s="70" t="s">
        <v>1482</v>
      </c>
      <c r="C206" s="40" t="s">
        <v>33</v>
      </c>
      <c r="D206" s="62">
        <v>87</v>
      </c>
      <c r="E206" s="60">
        <v>5.0999999999999997E-2</v>
      </c>
      <c r="F206" s="61">
        <v>105.2</v>
      </c>
      <c r="G206" s="63">
        <v>5</v>
      </c>
      <c r="H206" s="261">
        <f>IF(ISBLANK(I206),0,1)</f>
        <v>0</v>
      </c>
      <c r="I206" s="57"/>
      <c r="J206" s="58"/>
      <c r="K206" s="59" t="s">
        <v>446</v>
      </c>
      <c r="L206" s="59" t="s">
        <v>829</v>
      </c>
      <c r="M206" cm="1">
        <f t="array" ref="M206">_xlfn.XLOOKUP(Matrix[[#This Row],[TEAM]]&amp;Matrix[[#Headers],[1]],FDR[FDR]&amp;FDR[[#Headers],[1]],FDR[1],"",0,1)</f>
        <v>3</v>
      </c>
      <c r="N206" cm="1">
        <f t="array" ref="N206">_xlfn.XLOOKUP(Matrix[[#This Row],[TEAM]]&amp;Matrix[[#Headers],[2]],FDR[FDR]&amp;FDR[[#Headers],[2]],FDR[2],"",0,1)</f>
        <v>3</v>
      </c>
      <c r="O206" cm="1">
        <f t="array" ref="O206">_xlfn.XLOOKUP(Matrix[[#This Row],[TEAM]]&amp;Matrix[[#Headers],[3]],FDR[FDR]&amp;FDR[[#Headers],[3]],FDR[3],"",0,1)</f>
        <v>4</v>
      </c>
      <c r="P206" cm="1">
        <f t="array" ref="P206">_xlfn.XLOOKUP(Matrix[[#This Row],[TEAM]]&amp;Matrix[[#Headers],[4]],FDR[FDR]&amp;FDR[[#Headers],[4]],FDR[4],"",0,1)</f>
        <v>4</v>
      </c>
      <c r="Q206" cm="1">
        <f t="array" ref="Q206">_xlfn.XLOOKUP(Matrix[[#This Row],[TEAM]]&amp;Matrix[[#Headers],[5]],FDR[FDR]&amp;FDR[[#Headers],[5]],FDR[5],"",0,1)</f>
        <v>4</v>
      </c>
      <c r="R206" cm="1">
        <f t="array" ref="R206">_xlfn.XLOOKUP(Matrix[[#This Row],[TEAM]]&amp;Matrix[[#Headers],[6]],FDR[FDR]&amp;FDR[[#Headers],[6]],FDR[6],"",0,1)</f>
        <v>5</v>
      </c>
      <c r="S206" cm="1">
        <f t="array" ref="S206">_xlfn.XLOOKUP(Matrix[[#This Row],[TEAM]]&amp;Matrix[[#Headers],[7]],FDR[FDR]&amp;FDR[[#Headers],[7]],FDR[7],"",0,1)</f>
        <v>2</v>
      </c>
      <c r="T206" cm="1">
        <f t="array" ref="T206">_xlfn.XLOOKUP(Matrix[[#This Row],[TEAM]]&amp;Matrix[[#Headers],[8]],FDR[FDR]&amp;FDR[[#Headers],[8]],FDR[8],"",0,1)</f>
        <v>4</v>
      </c>
      <c r="U206" cm="1">
        <f t="array" ref="U206">_xlfn.XLOOKUP(Matrix[[#This Row],[TEAM]]&amp;Matrix[[#Headers],[9]],FDR[FDR]&amp;FDR[[#Headers],[9]],FDR[9],"",0,1)</f>
        <v>5</v>
      </c>
      <c r="V206" cm="1">
        <f t="array" ref="V206">_xlfn.XLOOKUP(Matrix[[#This Row],[TEAM]]&amp;Matrix[[#Headers],[10]],FDR[FDR]&amp;FDR[[#Headers],[10]],FDR[10],"",0,1)</f>
        <v>1</v>
      </c>
      <c r="W206" cm="1">
        <f t="array" ref="W206">_xlfn.XLOOKUP(Matrix[[#This Row],[TEAM]]&amp;Matrix[[#Headers],[11]],FDR[FDR]&amp;FDR[[#Headers],[11]],FDR[11],"",0,1)</f>
        <v>3</v>
      </c>
      <c r="X206" cm="1">
        <f t="array" ref="X206">_xlfn.XLOOKUP(Matrix[[#This Row],[TEAM]]&amp;Matrix[[#Headers],[12]],FDR[FDR]&amp;FDR[[#Headers],[12]],FDR[12],"",0,1)</f>
        <v>2</v>
      </c>
      <c r="Y206" cm="1">
        <f t="array" ref="Y206">_xlfn.XLOOKUP(Matrix[[#This Row],[TEAM]]&amp;Matrix[[#Headers],[13]],FDR[FDR]&amp;FDR[[#Headers],[13]],FDR[13],"",0,1)</f>
        <v>4</v>
      </c>
      <c r="Z206" cm="1">
        <f t="array" ref="Z206">_xlfn.XLOOKUP(Matrix[[#This Row],[TEAM]]&amp;Matrix[[#Headers],[14]],FDR[FDR]&amp;FDR[[#Headers],[14]],FDR[14],"",0,1)</f>
        <v>3</v>
      </c>
      <c r="AA206" cm="1">
        <f t="array" ref="AA206">_xlfn.XLOOKUP(Matrix[[#This Row],[TEAM]]&amp;Matrix[[#Headers],[15]],FDR[FDR]&amp;FDR[[#Headers],[15]],FDR[15],"",0,1)</f>
        <v>2</v>
      </c>
      <c r="AB206" cm="1">
        <f t="array" ref="AB206">_xlfn.XLOOKUP(Matrix[[#This Row],[TEAM]]&amp;Matrix[[#Headers],[16]],FDR[FDR]&amp;FDR[[#Headers],[16]],FDR[16],"",0,1)</f>
        <v>5</v>
      </c>
      <c r="AC206" cm="1">
        <f t="array" ref="AC206">_xlfn.XLOOKUP(Matrix[[#This Row],[TEAM]]&amp;Matrix[[#Headers],[17]],FDR[FDR]&amp;FDR[[#Headers],[17]],FDR[17],"",0,1)</f>
        <v>1</v>
      </c>
      <c r="AD206" cm="1">
        <f t="array" ref="AD206">_xlfn.XLOOKUP(Matrix[[#This Row],[TEAM]]&amp;Matrix[[#Headers],[18]],FDR[FDR]&amp;FDR[[#Headers],[18]],FDR[18],"",0,1)</f>
        <v>5</v>
      </c>
      <c r="AE206" cm="1">
        <f t="array" ref="AE206">_xlfn.XLOOKUP(Matrix[[#This Row],[TEAM]]&amp;Matrix[[#Headers],[19]],FDR[FDR]&amp;FDR[[#Headers],[19]],FDR[19],"",0,1)</f>
        <v>3</v>
      </c>
      <c r="AF206" cm="1">
        <f t="array" ref="AF206">_xlfn.XLOOKUP(Matrix[[#This Row],[TEAM]]&amp;Matrix[[#Headers],[20]],FDR[FDR]&amp;FDR[[#Headers],[20]],FDR[20],"",0,1)</f>
        <v>1</v>
      </c>
      <c r="AG206" cm="1">
        <f t="array" ref="AG206">_xlfn.XLOOKUP(Matrix[[#This Row],[TEAM]]&amp;Matrix[[#Headers],[21]],FDR[FDR]&amp;FDR[[#Headers],[21]],FDR[21],"",0,1)</f>
        <v>5</v>
      </c>
      <c r="AH206" cm="1">
        <f t="array" ref="AH206">_xlfn.XLOOKUP(Matrix[[#This Row],[TEAM]]&amp;Matrix[[#Headers],[22]],FDR[FDR]&amp;FDR[[#Headers],[22]],FDR[22],"",0,1)</f>
        <v>3</v>
      </c>
      <c r="AI206" cm="1">
        <f t="array" ref="AI206">_xlfn.XLOOKUP(Matrix[[#This Row],[TEAM]]&amp;Matrix[[#Headers],[23]],FDR[FDR]&amp;FDR[[#Headers],[23]],FDR[23],"",0,1)</f>
        <v>4</v>
      </c>
      <c r="AJ206" cm="1">
        <f t="array" ref="AJ206">_xlfn.XLOOKUP(Matrix[[#This Row],[TEAM]]&amp;Matrix[[#Headers],[24]],FDR[FDR]&amp;FDR[[#Headers],[24]],FDR[24],"",0,1)</f>
        <v>2</v>
      </c>
      <c r="AK206" cm="1">
        <f t="array" ref="AK206">_xlfn.XLOOKUP(Matrix[[#This Row],[TEAM]]&amp;Matrix[[#Headers],[25]],FDR[FDR]&amp;FDR[[#Headers],[25]],FDR[25],"",0,1)</f>
        <v>2</v>
      </c>
      <c r="AL206" cm="1">
        <f t="array" ref="AL206">_xlfn.XLOOKUP(Matrix[[#This Row],[TEAM]]&amp;Matrix[[#Headers],[26]],FDR[FDR]&amp;FDR[[#Headers],[26]],FDR[26],"",0,1)</f>
        <v>5</v>
      </c>
      <c r="AM206" cm="1">
        <f t="array" ref="AM206">_xlfn.XLOOKUP(Matrix[[#This Row],[TEAM]]&amp;Matrix[[#Headers],[27]],FDR[FDR]&amp;FDR[[#Headers],[27]],FDR[27],"",0,1)</f>
        <v>3</v>
      </c>
      <c r="AN206" cm="1">
        <f t="array" ref="AN206">_xlfn.XLOOKUP(Matrix[[#This Row],[TEAM]]&amp;Matrix[[#Headers],[28]],FDR[FDR]&amp;FDR[[#Headers],[28]],FDR[28],"",0,1)</f>
        <v>3</v>
      </c>
      <c r="AO206" cm="1">
        <f t="array" ref="AO206">_xlfn.XLOOKUP(Matrix[[#This Row],[TEAM]]&amp;Matrix[[#Headers],[29]],FDR[FDR]&amp;FDR[[#Headers],[29]],FDR[29],"",0,1)</f>
        <v>4</v>
      </c>
      <c r="AP206" cm="1">
        <f t="array" ref="AP206">_xlfn.XLOOKUP(Matrix[[#This Row],[TEAM]]&amp;Matrix[[#Headers],[30]],FDR[FDR]&amp;FDR[[#Headers],[30]],FDR[30],"",0,1)</f>
        <v>2</v>
      </c>
      <c r="AQ206" cm="1">
        <f t="array" ref="AQ206">_xlfn.XLOOKUP(Matrix[[#This Row],[TEAM]]&amp;Matrix[[#Headers],[31]],FDR[FDR]&amp;FDR[[#Headers],[31]],FDR[31],"",0,1)</f>
        <v>4</v>
      </c>
      <c r="AR206" cm="1">
        <f t="array" ref="AR206">_xlfn.XLOOKUP(Matrix[[#This Row],[TEAM]]&amp;Matrix[[#Headers],[32]],FDR[FDR]&amp;FDR[[#Headers],[32]],FDR[32],"",0,1)</f>
        <v>2</v>
      </c>
      <c r="AS206" cm="1">
        <f t="array" ref="AS206">_xlfn.XLOOKUP(Matrix[[#This Row],[TEAM]]&amp;Matrix[[#Headers],[33]],FDR[FDR]&amp;FDR[[#Headers],[33]],FDR[33],"",0,1)</f>
        <v>5</v>
      </c>
      <c r="AT206" cm="1">
        <f t="array" ref="AT206">_xlfn.XLOOKUP(Matrix[[#This Row],[TEAM]]&amp;Matrix[[#Headers],[34]],FDR[FDR]&amp;FDR[[#Headers],[34]],FDR[34],"",0,1)</f>
        <v>4</v>
      </c>
      <c r="AU206" cm="1">
        <f t="array" ref="AU206">_xlfn.XLOOKUP(Matrix[[#This Row],[TEAM]]&amp;Matrix[[#Headers],[35]],FDR[FDR]&amp;FDR[[#Headers],[35]],FDR[35],"",0,1)</f>
        <v>5</v>
      </c>
      <c r="AV206" cm="1">
        <f t="array" ref="AV206">_xlfn.XLOOKUP(Matrix[[#This Row],[TEAM]]&amp;Matrix[[#Headers],[36]],FDR[FDR]&amp;FDR[[#Headers],[36]],FDR[36],"",0,1)</f>
        <v>1</v>
      </c>
      <c r="AW206" cm="1">
        <f t="array" ref="AW206">_xlfn.XLOOKUP(Matrix[[#This Row],[TEAM]]&amp;Matrix[[#Headers],[37]],FDR[FDR]&amp;FDR[[#Headers],[37]],FDR[37],"",0,1)</f>
        <v>2</v>
      </c>
      <c r="AX206" cm="1">
        <f t="array" ref="AX206">_xlfn.XLOOKUP(Matrix[[#This Row],[TEAM]]&amp;Matrix[[#Headers],[38]],FDR[FDR]&amp;FDR[[#Headers],[38]],FDR[38],"",0,1)</f>
        <v>4</v>
      </c>
    </row>
    <row r="207" spans="1:50" ht="22" thickTop="1" thickBot="1">
      <c r="A207" s="50" t="str">
        <f>INDEX!S$4</f>
        <v>MID</v>
      </c>
      <c r="B207" s="70" t="s">
        <v>1536</v>
      </c>
      <c r="C207" s="40" t="s">
        <v>33</v>
      </c>
      <c r="D207" s="62">
        <v>74</v>
      </c>
      <c r="E207" s="60">
        <v>2E-3</v>
      </c>
      <c r="F207" s="61">
        <v>111.7</v>
      </c>
      <c r="G207" s="63">
        <v>5</v>
      </c>
      <c r="H207" s="261">
        <f>IF(ISBLANK(I207),0,1)</f>
        <v>0</v>
      </c>
      <c r="I207" s="57"/>
      <c r="J207" s="58"/>
      <c r="K207" s="59" t="s">
        <v>563</v>
      </c>
      <c r="L207" s="59" t="s">
        <v>263</v>
      </c>
      <c r="M207" cm="1">
        <f t="array" ref="M207">_xlfn.XLOOKUP(Matrix[[#This Row],[TEAM]]&amp;Matrix[[#Headers],[1]],FDR[FDR]&amp;FDR[[#Headers],[1]],FDR[1],"",0,1)</f>
        <v>3</v>
      </c>
      <c r="N207" cm="1">
        <f t="array" ref="N207">_xlfn.XLOOKUP(Matrix[[#This Row],[TEAM]]&amp;Matrix[[#Headers],[2]],FDR[FDR]&amp;FDR[[#Headers],[2]],FDR[2],"",0,1)</f>
        <v>3</v>
      </c>
      <c r="O207" cm="1">
        <f t="array" ref="O207">_xlfn.XLOOKUP(Matrix[[#This Row],[TEAM]]&amp;Matrix[[#Headers],[3]],FDR[FDR]&amp;FDR[[#Headers],[3]],FDR[3],"",0,1)</f>
        <v>4</v>
      </c>
      <c r="P207" cm="1">
        <f t="array" ref="P207">_xlfn.XLOOKUP(Matrix[[#This Row],[TEAM]]&amp;Matrix[[#Headers],[4]],FDR[FDR]&amp;FDR[[#Headers],[4]],FDR[4],"",0,1)</f>
        <v>4</v>
      </c>
      <c r="Q207" cm="1">
        <f t="array" ref="Q207">_xlfn.XLOOKUP(Matrix[[#This Row],[TEAM]]&amp;Matrix[[#Headers],[5]],FDR[FDR]&amp;FDR[[#Headers],[5]],FDR[5],"",0,1)</f>
        <v>4</v>
      </c>
      <c r="R207" cm="1">
        <f t="array" ref="R207">_xlfn.XLOOKUP(Matrix[[#This Row],[TEAM]]&amp;Matrix[[#Headers],[6]],FDR[FDR]&amp;FDR[[#Headers],[6]],FDR[6],"",0,1)</f>
        <v>5</v>
      </c>
      <c r="S207" cm="1">
        <f t="array" ref="S207">_xlfn.XLOOKUP(Matrix[[#This Row],[TEAM]]&amp;Matrix[[#Headers],[7]],FDR[FDR]&amp;FDR[[#Headers],[7]],FDR[7],"",0,1)</f>
        <v>2</v>
      </c>
      <c r="T207" cm="1">
        <f t="array" ref="T207">_xlfn.XLOOKUP(Matrix[[#This Row],[TEAM]]&amp;Matrix[[#Headers],[8]],FDR[FDR]&amp;FDR[[#Headers],[8]],FDR[8],"",0,1)</f>
        <v>4</v>
      </c>
      <c r="U207" cm="1">
        <f t="array" ref="U207">_xlfn.XLOOKUP(Matrix[[#This Row],[TEAM]]&amp;Matrix[[#Headers],[9]],FDR[FDR]&amp;FDR[[#Headers],[9]],FDR[9],"",0,1)</f>
        <v>5</v>
      </c>
      <c r="V207" cm="1">
        <f t="array" ref="V207">_xlfn.XLOOKUP(Matrix[[#This Row],[TEAM]]&amp;Matrix[[#Headers],[10]],FDR[FDR]&amp;FDR[[#Headers],[10]],FDR[10],"",0,1)</f>
        <v>1</v>
      </c>
      <c r="W207" cm="1">
        <f t="array" ref="W207">_xlfn.XLOOKUP(Matrix[[#This Row],[TEAM]]&amp;Matrix[[#Headers],[11]],FDR[FDR]&amp;FDR[[#Headers],[11]],FDR[11],"",0,1)</f>
        <v>3</v>
      </c>
      <c r="X207" cm="1">
        <f t="array" ref="X207">_xlfn.XLOOKUP(Matrix[[#This Row],[TEAM]]&amp;Matrix[[#Headers],[12]],FDR[FDR]&amp;FDR[[#Headers],[12]],FDR[12],"",0,1)</f>
        <v>2</v>
      </c>
      <c r="Y207" cm="1">
        <f t="array" ref="Y207">_xlfn.XLOOKUP(Matrix[[#This Row],[TEAM]]&amp;Matrix[[#Headers],[13]],FDR[FDR]&amp;FDR[[#Headers],[13]],FDR[13],"",0,1)</f>
        <v>4</v>
      </c>
      <c r="Z207" cm="1">
        <f t="array" ref="Z207">_xlfn.XLOOKUP(Matrix[[#This Row],[TEAM]]&amp;Matrix[[#Headers],[14]],FDR[FDR]&amp;FDR[[#Headers],[14]],FDR[14],"",0,1)</f>
        <v>3</v>
      </c>
      <c r="AA207" cm="1">
        <f t="array" ref="AA207">_xlfn.XLOOKUP(Matrix[[#This Row],[TEAM]]&amp;Matrix[[#Headers],[15]],FDR[FDR]&amp;FDR[[#Headers],[15]],FDR[15],"",0,1)</f>
        <v>2</v>
      </c>
      <c r="AB207" cm="1">
        <f t="array" ref="AB207">_xlfn.XLOOKUP(Matrix[[#This Row],[TEAM]]&amp;Matrix[[#Headers],[16]],FDR[FDR]&amp;FDR[[#Headers],[16]],FDR[16],"",0,1)</f>
        <v>5</v>
      </c>
      <c r="AC207" cm="1">
        <f t="array" ref="AC207">_xlfn.XLOOKUP(Matrix[[#This Row],[TEAM]]&amp;Matrix[[#Headers],[17]],FDR[FDR]&amp;FDR[[#Headers],[17]],FDR[17],"",0,1)</f>
        <v>1</v>
      </c>
      <c r="AD207" cm="1">
        <f t="array" ref="AD207">_xlfn.XLOOKUP(Matrix[[#This Row],[TEAM]]&amp;Matrix[[#Headers],[18]],FDR[FDR]&amp;FDR[[#Headers],[18]],FDR[18],"",0,1)</f>
        <v>5</v>
      </c>
      <c r="AE207" cm="1">
        <f t="array" ref="AE207">_xlfn.XLOOKUP(Matrix[[#This Row],[TEAM]]&amp;Matrix[[#Headers],[19]],FDR[FDR]&amp;FDR[[#Headers],[19]],FDR[19],"",0,1)</f>
        <v>3</v>
      </c>
      <c r="AF207" cm="1">
        <f t="array" ref="AF207">_xlfn.XLOOKUP(Matrix[[#This Row],[TEAM]]&amp;Matrix[[#Headers],[20]],FDR[FDR]&amp;FDR[[#Headers],[20]],FDR[20],"",0,1)</f>
        <v>1</v>
      </c>
      <c r="AG207" cm="1">
        <f t="array" ref="AG207">_xlfn.XLOOKUP(Matrix[[#This Row],[TEAM]]&amp;Matrix[[#Headers],[21]],FDR[FDR]&amp;FDR[[#Headers],[21]],FDR[21],"",0,1)</f>
        <v>5</v>
      </c>
      <c r="AH207" cm="1">
        <f t="array" ref="AH207">_xlfn.XLOOKUP(Matrix[[#This Row],[TEAM]]&amp;Matrix[[#Headers],[22]],FDR[FDR]&amp;FDR[[#Headers],[22]],FDR[22],"",0,1)</f>
        <v>3</v>
      </c>
      <c r="AI207" cm="1">
        <f t="array" ref="AI207">_xlfn.XLOOKUP(Matrix[[#This Row],[TEAM]]&amp;Matrix[[#Headers],[23]],FDR[FDR]&amp;FDR[[#Headers],[23]],FDR[23],"",0,1)</f>
        <v>4</v>
      </c>
      <c r="AJ207" cm="1">
        <f t="array" ref="AJ207">_xlfn.XLOOKUP(Matrix[[#This Row],[TEAM]]&amp;Matrix[[#Headers],[24]],FDR[FDR]&amp;FDR[[#Headers],[24]],FDR[24],"",0,1)</f>
        <v>2</v>
      </c>
      <c r="AK207" cm="1">
        <f t="array" ref="AK207">_xlfn.XLOOKUP(Matrix[[#This Row],[TEAM]]&amp;Matrix[[#Headers],[25]],FDR[FDR]&amp;FDR[[#Headers],[25]],FDR[25],"",0,1)</f>
        <v>2</v>
      </c>
      <c r="AL207" cm="1">
        <f t="array" ref="AL207">_xlfn.XLOOKUP(Matrix[[#This Row],[TEAM]]&amp;Matrix[[#Headers],[26]],FDR[FDR]&amp;FDR[[#Headers],[26]],FDR[26],"",0,1)</f>
        <v>5</v>
      </c>
      <c r="AM207" cm="1">
        <f t="array" ref="AM207">_xlfn.XLOOKUP(Matrix[[#This Row],[TEAM]]&amp;Matrix[[#Headers],[27]],FDR[FDR]&amp;FDR[[#Headers],[27]],FDR[27],"",0,1)</f>
        <v>3</v>
      </c>
      <c r="AN207" cm="1">
        <f t="array" ref="AN207">_xlfn.XLOOKUP(Matrix[[#This Row],[TEAM]]&amp;Matrix[[#Headers],[28]],FDR[FDR]&amp;FDR[[#Headers],[28]],FDR[28],"",0,1)</f>
        <v>3</v>
      </c>
      <c r="AO207" cm="1">
        <f t="array" ref="AO207">_xlfn.XLOOKUP(Matrix[[#This Row],[TEAM]]&amp;Matrix[[#Headers],[29]],FDR[FDR]&amp;FDR[[#Headers],[29]],FDR[29],"",0,1)</f>
        <v>4</v>
      </c>
      <c r="AP207" cm="1">
        <f t="array" ref="AP207">_xlfn.XLOOKUP(Matrix[[#This Row],[TEAM]]&amp;Matrix[[#Headers],[30]],FDR[FDR]&amp;FDR[[#Headers],[30]],FDR[30],"",0,1)</f>
        <v>2</v>
      </c>
      <c r="AQ207" cm="1">
        <f t="array" ref="AQ207">_xlfn.XLOOKUP(Matrix[[#This Row],[TEAM]]&amp;Matrix[[#Headers],[31]],FDR[FDR]&amp;FDR[[#Headers],[31]],FDR[31],"",0,1)</f>
        <v>4</v>
      </c>
      <c r="AR207" cm="1">
        <f t="array" ref="AR207">_xlfn.XLOOKUP(Matrix[[#This Row],[TEAM]]&amp;Matrix[[#Headers],[32]],FDR[FDR]&amp;FDR[[#Headers],[32]],FDR[32],"",0,1)</f>
        <v>2</v>
      </c>
      <c r="AS207" cm="1">
        <f t="array" ref="AS207">_xlfn.XLOOKUP(Matrix[[#This Row],[TEAM]]&amp;Matrix[[#Headers],[33]],FDR[FDR]&amp;FDR[[#Headers],[33]],FDR[33],"",0,1)</f>
        <v>5</v>
      </c>
      <c r="AT207" cm="1">
        <f t="array" ref="AT207">_xlfn.XLOOKUP(Matrix[[#This Row],[TEAM]]&amp;Matrix[[#Headers],[34]],FDR[FDR]&amp;FDR[[#Headers],[34]],FDR[34],"",0,1)</f>
        <v>4</v>
      </c>
      <c r="AU207" cm="1">
        <f t="array" ref="AU207">_xlfn.XLOOKUP(Matrix[[#This Row],[TEAM]]&amp;Matrix[[#Headers],[35]],FDR[FDR]&amp;FDR[[#Headers],[35]],FDR[35],"",0,1)</f>
        <v>5</v>
      </c>
      <c r="AV207" cm="1">
        <f t="array" ref="AV207">_xlfn.XLOOKUP(Matrix[[#This Row],[TEAM]]&amp;Matrix[[#Headers],[36]],FDR[FDR]&amp;FDR[[#Headers],[36]],FDR[36],"",0,1)</f>
        <v>1</v>
      </c>
      <c r="AW207" cm="1">
        <f t="array" ref="AW207">_xlfn.XLOOKUP(Matrix[[#This Row],[TEAM]]&amp;Matrix[[#Headers],[37]],FDR[FDR]&amp;FDR[[#Headers],[37]],FDR[37],"",0,1)</f>
        <v>2</v>
      </c>
      <c r="AX207" cm="1">
        <f t="array" ref="AX207">_xlfn.XLOOKUP(Matrix[[#This Row],[TEAM]]&amp;Matrix[[#Headers],[38]],FDR[FDR]&amp;FDR[[#Headers],[38]],FDR[38],"",0,1)</f>
        <v>4</v>
      </c>
    </row>
    <row r="208" spans="1:50" ht="22" thickTop="1" thickBot="1">
      <c r="A208" s="50" t="str">
        <f>INDEX!S$4</f>
        <v>MID</v>
      </c>
      <c r="B208" s="70" t="s">
        <v>1493</v>
      </c>
      <c r="C208" s="40" t="s">
        <v>19</v>
      </c>
      <c r="D208" s="62">
        <v>71</v>
      </c>
      <c r="E208" s="60">
        <v>2.1999999999999999E-2</v>
      </c>
      <c r="F208" s="61">
        <v>87.2</v>
      </c>
      <c r="G208" s="63">
        <v>5</v>
      </c>
      <c r="H208" s="261">
        <f>IF(ISBLANK(I208),0,1)</f>
        <v>0</v>
      </c>
      <c r="I208" s="57"/>
      <c r="J208" s="58"/>
      <c r="K208" s="59" t="s">
        <v>552</v>
      </c>
      <c r="L208" s="59" t="s">
        <v>1149</v>
      </c>
      <c r="M208" cm="1">
        <f t="array" ref="M208">_xlfn.XLOOKUP(Matrix[[#This Row],[TEAM]]&amp;Matrix[[#Headers],[1]],FDR[FDR]&amp;FDR[[#Headers],[1]],FDR[1],"",0,1)</f>
        <v>1</v>
      </c>
      <c r="N208" cm="1">
        <f t="array" ref="N208">_xlfn.XLOOKUP(Matrix[[#This Row],[TEAM]]&amp;Matrix[[#Headers],[2]],FDR[FDR]&amp;FDR[[#Headers],[2]],FDR[2],"",0,1)</f>
        <v>4</v>
      </c>
      <c r="O208" cm="1">
        <f t="array" ref="O208">_xlfn.XLOOKUP(Matrix[[#This Row],[TEAM]]&amp;Matrix[[#Headers],[3]],FDR[FDR]&amp;FDR[[#Headers],[3]],FDR[3],"",0,1)</f>
        <v>1</v>
      </c>
      <c r="P208" cm="1">
        <f t="array" ref="P208">_xlfn.XLOOKUP(Matrix[[#This Row],[TEAM]]&amp;Matrix[[#Headers],[4]],FDR[FDR]&amp;FDR[[#Headers],[4]],FDR[4],"",0,1)</f>
        <v>2</v>
      </c>
      <c r="Q208" cm="1">
        <f t="array" ref="Q208">_xlfn.XLOOKUP(Matrix[[#This Row],[TEAM]]&amp;Matrix[[#Headers],[5]],FDR[FDR]&amp;FDR[[#Headers],[5]],FDR[5],"",0,1)</f>
        <v>2</v>
      </c>
      <c r="R208" cm="1">
        <f t="array" ref="R208">_xlfn.XLOOKUP(Matrix[[#This Row],[TEAM]]&amp;Matrix[[#Headers],[6]],FDR[FDR]&amp;FDR[[#Headers],[6]],FDR[6],"",0,1)</f>
        <v>1</v>
      </c>
      <c r="S208" cm="1">
        <f t="array" ref="S208">_xlfn.XLOOKUP(Matrix[[#This Row],[TEAM]]&amp;Matrix[[#Headers],[7]],FDR[FDR]&amp;FDR[[#Headers],[7]],FDR[7],"",0,1)</f>
        <v>1</v>
      </c>
      <c r="T208" cm="1">
        <f t="array" ref="T208">_xlfn.XLOOKUP(Matrix[[#This Row],[TEAM]]&amp;Matrix[[#Headers],[8]],FDR[FDR]&amp;FDR[[#Headers],[8]],FDR[8],"",0,1)</f>
        <v>2</v>
      </c>
      <c r="U208" cm="1">
        <f t="array" ref="U208">_xlfn.XLOOKUP(Matrix[[#This Row],[TEAM]]&amp;Matrix[[#Headers],[9]],FDR[FDR]&amp;FDR[[#Headers],[9]],FDR[9],"",0,1)</f>
        <v>2</v>
      </c>
      <c r="V208" cm="1">
        <f t="array" ref="V208">_xlfn.XLOOKUP(Matrix[[#This Row],[TEAM]]&amp;Matrix[[#Headers],[10]],FDR[FDR]&amp;FDR[[#Headers],[10]],FDR[10],"",0,1)</f>
        <v>3</v>
      </c>
      <c r="W208" cm="1">
        <f t="array" ref="W208">_xlfn.XLOOKUP(Matrix[[#This Row],[TEAM]]&amp;Matrix[[#Headers],[11]],FDR[FDR]&amp;FDR[[#Headers],[11]],FDR[11],"",0,1)</f>
        <v>3</v>
      </c>
      <c r="X208" cm="1">
        <f t="array" ref="X208">_xlfn.XLOOKUP(Matrix[[#This Row],[TEAM]]&amp;Matrix[[#Headers],[12]],FDR[FDR]&amp;FDR[[#Headers],[12]],FDR[12],"",0,1)</f>
        <v>4</v>
      </c>
      <c r="Y208" cm="1">
        <f t="array" ref="Y208">_xlfn.XLOOKUP(Matrix[[#This Row],[TEAM]]&amp;Matrix[[#Headers],[13]],FDR[FDR]&amp;FDR[[#Headers],[13]],FDR[13],"",0,1)</f>
        <v>1</v>
      </c>
      <c r="Z208" cm="1">
        <f t="array" ref="Z208">_xlfn.XLOOKUP(Matrix[[#This Row],[TEAM]]&amp;Matrix[[#Headers],[14]],FDR[FDR]&amp;FDR[[#Headers],[14]],FDR[14],"",0,1)</f>
        <v>3</v>
      </c>
      <c r="AA208" cm="1">
        <f t="array" ref="AA208">_xlfn.XLOOKUP(Matrix[[#This Row],[TEAM]]&amp;Matrix[[#Headers],[15]],FDR[FDR]&amp;FDR[[#Headers],[15]],FDR[15],"",0,1)</f>
        <v>1</v>
      </c>
      <c r="AB208" cm="1">
        <f t="array" ref="AB208">_xlfn.XLOOKUP(Matrix[[#This Row],[TEAM]]&amp;Matrix[[#Headers],[16]],FDR[FDR]&amp;FDR[[#Headers],[16]],FDR[16],"",0,1)</f>
        <v>2</v>
      </c>
      <c r="AC208" cm="1">
        <f t="array" ref="AC208">_xlfn.XLOOKUP(Matrix[[#This Row],[TEAM]]&amp;Matrix[[#Headers],[17]],FDR[FDR]&amp;FDR[[#Headers],[17]],FDR[17],"",0,1)</f>
        <v>3</v>
      </c>
      <c r="AD208" cm="1">
        <f t="array" ref="AD208">_xlfn.XLOOKUP(Matrix[[#This Row],[TEAM]]&amp;Matrix[[#Headers],[18]],FDR[FDR]&amp;FDR[[#Headers],[18]],FDR[18],"",0,1)</f>
        <v>2</v>
      </c>
      <c r="AE208" cm="1">
        <f t="array" ref="AE208">_xlfn.XLOOKUP(Matrix[[#This Row],[TEAM]]&amp;Matrix[[#Headers],[19]],FDR[FDR]&amp;FDR[[#Headers],[19]],FDR[19],"",0,1)</f>
        <v>2</v>
      </c>
      <c r="AF208" cm="1">
        <f t="array" ref="AF208">_xlfn.XLOOKUP(Matrix[[#This Row],[TEAM]]&amp;Matrix[[#Headers],[20]],FDR[FDR]&amp;FDR[[#Headers],[20]],FDR[20],"",0,1)</f>
        <v>1</v>
      </c>
      <c r="AG208" cm="1">
        <f t="array" ref="AG208">_xlfn.XLOOKUP(Matrix[[#This Row],[TEAM]]&amp;Matrix[[#Headers],[21]],FDR[FDR]&amp;FDR[[#Headers],[21]],FDR[21],"",0,1)</f>
        <v>2</v>
      </c>
      <c r="AH208" cm="1">
        <f t="array" ref="AH208">_xlfn.XLOOKUP(Matrix[[#This Row],[TEAM]]&amp;Matrix[[#Headers],[22]],FDR[FDR]&amp;FDR[[#Headers],[22]],FDR[22],"",0,1)</f>
        <v>1</v>
      </c>
      <c r="AI208" cm="1">
        <f t="array" ref="AI208">_xlfn.XLOOKUP(Matrix[[#This Row],[TEAM]]&amp;Matrix[[#Headers],[23]],FDR[FDR]&amp;FDR[[#Headers],[23]],FDR[23],"",0,1)</f>
        <v>1</v>
      </c>
      <c r="AJ208" cm="1">
        <f t="array" ref="AJ208">_xlfn.XLOOKUP(Matrix[[#This Row],[TEAM]]&amp;Matrix[[#Headers],[24]],FDR[FDR]&amp;FDR[[#Headers],[24]],FDR[24],"",0,1)</f>
        <v>3</v>
      </c>
      <c r="AK208" cm="1">
        <f t="array" ref="AK208">_xlfn.XLOOKUP(Matrix[[#This Row],[TEAM]]&amp;Matrix[[#Headers],[25]],FDR[FDR]&amp;FDR[[#Headers],[25]],FDR[25],"",0,1)</f>
        <v>4</v>
      </c>
      <c r="AL208" cm="1">
        <f t="array" ref="AL208">_xlfn.XLOOKUP(Matrix[[#This Row],[TEAM]]&amp;Matrix[[#Headers],[26]],FDR[FDR]&amp;FDR[[#Headers],[26]],FDR[26],"",0,1)</f>
        <v>2</v>
      </c>
      <c r="AM208" cm="1">
        <f t="array" ref="AM208">_xlfn.XLOOKUP(Matrix[[#This Row],[TEAM]]&amp;Matrix[[#Headers],[27]],FDR[FDR]&amp;FDR[[#Headers],[27]],FDR[27],"",0,1)</f>
        <v>3</v>
      </c>
      <c r="AN208" cm="1">
        <f t="array" ref="AN208">_xlfn.XLOOKUP(Matrix[[#This Row],[TEAM]]&amp;Matrix[[#Headers],[28]],FDR[FDR]&amp;FDR[[#Headers],[28]],FDR[28],"",0,1)</f>
        <v>2</v>
      </c>
      <c r="AO208" cm="1">
        <f t="array" ref="AO208">_xlfn.XLOOKUP(Matrix[[#This Row],[TEAM]]&amp;Matrix[[#Headers],[29]],FDR[FDR]&amp;FDR[[#Headers],[29]],FDR[29],"",0,1)</f>
        <v>1</v>
      </c>
      <c r="AP208" cm="1">
        <f t="array" ref="AP208">_xlfn.XLOOKUP(Matrix[[#This Row],[TEAM]]&amp;Matrix[[#Headers],[30]],FDR[FDR]&amp;FDR[[#Headers],[30]],FDR[30],"",0,1)</f>
        <v>4</v>
      </c>
      <c r="AQ208" cm="1">
        <f t="array" ref="AQ208">_xlfn.XLOOKUP(Matrix[[#This Row],[TEAM]]&amp;Matrix[[#Headers],[31]],FDR[FDR]&amp;FDR[[#Headers],[31]],FDR[31],"",0,1)</f>
        <v>1</v>
      </c>
      <c r="AR208" cm="1">
        <f t="array" ref="AR208">_xlfn.XLOOKUP(Matrix[[#This Row],[TEAM]]&amp;Matrix[[#Headers],[32]],FDR[FDR]&amp;FDR[[#Headers],[32]],FDR[32],"",0,1)</f>
        <v>1</v>
      </c>
      <c r="AS208" cm="1">
        <f t="array" ref="AS208">_xlfn.XLOOKUP(Matrix[[#This Row],[TEAM]]&amp;Matrix[[#Headers],[33]],FDR[FDR]&amp;FDR[[#Headers],[33]],FDR[33],"",0,1)</f>
        <v>1</v>
      </c>
      <c r="AT208" cm="1">
        <f t="array" ref="AT208">_xlfn.XLOOKUP(Matrix[[#This Row],[TEAM]]&amp;Matrix[[#Headers],[34]],FDR[FDR]&amp;FDR[[#Headers],[34]],FDR[34],"",0,1)</f>
        <v>1</v>
      </c>
      <c r="AU208" cm="1">
        <f t="array" ref="AU208">_xlfn.XLOOKUP(Matrix[[#This Row],[TEAM]]&amp;Matrix[[#Headers],[35]],FDR[FDR]&amp;FDR[[#Headers],[35]],FDR[35],"",0,1)</f>
        <v>3</v>
      </c>
      <c r="AV208" cm="1">
        <f t="array" ref="AV208">_xlfn.XLOOKUP(Matrix[[#This Row],[TEAM]]&amp;Matrix[[#Headers],[36]],FDR[FDR]&amp;FDR[[#Headers],[36]],FDR[36],"",0,1)</f>
        <v>1</v>
      </c>
      <c r="AW208" cm="1">
        <f t="array" ref="AW208">_xlfn.XLOOKUP(Matrix[[#This Row],[TEAM]]&amp;Matrix[[#Headers],[37]],FDR[FDR]&amp;FDR[[#Headers],[37]],FDR[37],"",0,1)</f>
        <v>4</v>
      </c>
      <c r="AX208" cm="1">
        <f t="array" ref="AX208">_xlfn.XLOOKUP(Matrix[[#This Row],[TEAM]]&amp;Matrix[[#Headers],[38]],FDR[FDR]&amp;FDR[[#Headers],[38]],FDR[38],"",0,1)</f>
        <v>1</v>
      </c>
    </row>
    <row r="209" spans="1:50" ht="22" thickTop="1" thickBot="1">
      <c r="A209" s="50" t="str">
        <f>INDEX!S$4</f>
        <v>MID</v>
      </c>
      <c r="B209" s="70" t="s">
        <v>1567</v>
      </c>
      <c r="C209" s="40" t="s">
        <v>26</v>
      </c>
      <c r="D209" s="62">
        <v>67</v>
      </c>
      <c r="E209" s="60">
        <v>1E-3</v>
      </c>
      <c r="F209" s="61">
        <v>87.5</v>
      </c>
      <c r="G209" s="63">
        <v>5</v>
      </c>
      <c r="H209" s="261">
        <f>IF(ISBLANK(I209),0,1)</f>
        <v>0</v>
      </c>
      <c r="I209" s="57"/>
      <c r="J209" s="58"/>
      <c r="K209" s="59" t="s">
        <v>514</v>
      </c>
      <c r="L209" s="59" t="s">
        <v>240</v>
      </c>
      <c r="M209" cm="1">
        <f t="array" ref="M209">_xlfn.XLOOKUP(Matrix[[#This Row],[TEAM]]&amp;Matrix[[#Headers],[1]],FDR[FDR]&amp;FDR[[#Headers],[1]],FDR[1],"",0,1)</f>
        <v>5</v>
      </c>
      <c r="N209" cm="1">
        <f t="array" ref="N209">_xlfn.XLOOKUP(Matrix[[#This Row],[TEAM]]&amp;Matrix[[#Headers],[2]],FDR[FDR]&amp;FDR[[#Headers],[2]],FDR[2],"",0,1)</f>
        <v>3</v>
      </c>
      <c r="O209" cm="1">
        <f t="array" ref="O209">_xlfn.XLOOKUP(Matrix[[#This Row],[TEAM]]&amp;Matrix[[#Headers],[3]],FDR[FDR]&amp;FDR[[#Headers],[3]],FDR[3],"",0,1)</f>
        <v>5</v>
      </c>
      <c r="P209" cm="1">
        <f t="array" ref="P209">_xlfn.XLOOKUP(Matrix[[#This Row],[TEAM]]&amp;Matrix[[#Headers],[4]],FDR[FDR]&amp;FDR[[#Headers],[4]],FDR[4],"",0,1)</f>
        <v>1</v>
      </c>
      <c r="Q209" cm="1">
        <f t="array" ref="Q209">_xlfn.XLOOKUP(Matrix[[#This Row],[TEAM]]&amp;Matrix[[#Headers],[5]],FDR[FDR]&amp;FDR[[#Headers],[5]],FDR[5],"",0,1)</f>
        <v>4</v>
      </c>
      <c r="R209" cm="1">
        <f t="array" ref="R209">_xlfn.XLOOKUP(Matrix[[#This Row],[TEAM]]&amp;Matrix[[#Headers],[6]],FDR[FDR]&amp;FDR[[#Headers],[6]],FDR[6],"",0,1)</f>
        <v>4</v>
      </c>
      <c r="S209" cm="1">
        <f t="array" ref="S209">_xlfn.XLOOKUP(Matrix[[#This Row],[TEAM]]&amp;Matrix[[#Headers],[7]],FDR[FDR]&amp;FDR[[#Headers],[7]],FDR[7],"",0,1)</f>
        <v>4</v>
      </c>
      <c r="T209" cm="1">
        <f t="array" ref="T209">_xlfn.XLOOKUP(Matrix[[#This Row],[TEAM]]&amp;Matrix[[#Headers],[8]],FDR[FDR]&amp;FDR[[#Headers],[8]],FDR[8],"",0,1)</f>
        <v>3</v>
      </c>
      <c r="U209" cm="1">
        <f t="array" ref="U209">_xlfn.XLOOKUP(Matrix[[#This Row],[TEAM]]&amp;Matrix[[#Headers],[9]],FDR[FDR]&amp;FDR[[#Headers],[9]],FDR[9],"",0,1)</f>
        <v>5</v>
      </c>
      <c r="V209" cm="1">
        <f t="array" ref="V209">_xlfn.XLOOKUP(Matrix[[#This Row],[TEAM]]&amp;Matrix[[#Headers],[10]],FDR[FDR]&amp;FDR[[#Headers],[10]],FDR[10],"",0,1)</f>
        <v>3</v>
      </c>
      <c r="W209" cm="1">
        <f t="array" ref="W209">_xlfn.XLOOKUP(Matrix[[#This Row],[TEAM]]&amp;Matrix[[#Headers],[11]],FDR[FDR]&amp;FDR[[#Headers],[11]],FDR[11],"",0,1)</f>
        <v>3</v>
      </c>
      <c r="X209" cm="1">
        <f t="array" ref="X209">_xlfn.XLOOKUP(Matrix[[#This Row],[TEAM]]&amp;Matrix[[#Headers],[12]],FDR[FDR]&amp;FDR[[#Headers],[12]],FDR[12],"",0,1)</f>
        <v>2</v>
      </c>
      <c r="Y209" cm="1">
        <f t="array" ref="Y209">_xlfn.XLOOKUP(Matrix[[#This Row],[TEAM]]&amp;Matrix[[#Headers],[13]],FDR[FDR]&amp;FDR[[#Headers],[13]],FDR[13],"",0,1)</f>
        <v>4</v>
      </c>
      <c r="Z209" cm="1">
        <f t="array" ref="Z209">_xlfn.XLOOKUP(Matrix[[#This Row],[TEAM]]&amp;Matrix[[#Headers],[14]],FDR[FDR]&amp;FDR[[#Headers],[14]],FDR[14],"",0,1)</f>
        <v>2</v>
      </c>
      <c r="AA209" cm="1">
        <f t="array" ref="AA209">_xlfn.XLOOKUP(Matrix[[#This Row],[TEAM]]&amp;Matrix[[#Headers],[15]],FDR[FDR]&amp;FDR[[#Headers],[15]],FDR[15],"",0,1)</f>
        <v>4</v>
      </c>
      <c r="AB209" cm="1">
        <f t="array" ref="AB209">_xlfn.XLOOKUP(Matrix[[#This Row],[TEAM]]&amp;Matrix[[#Headers],[16]],FDR[FDR]&amp;FDR[[#Headers],[16]],FDR[16],"",0,1)</f>
        <v>4</v>
      </c>
      <c r="AC209" cm="1">
        <f t="array" ref="AC209">_xlfn.XLOOKUP(Matrix[[#This Row],[TEAM]]&amp;Matrix[[#Headers],[17]],FDR[FDR]&amp;FDR[[#Headers],[17]],FDR[17],"",0,1)</f>
        <v>2</v>
      </c>
      <c r="AD209" cm="1">
        <f t="array" ref="AD209">_xlfn.XLOOKUP(Matrix[[#This Row],[TEAM]]&amp;Matrix[[#Headers],[18]],FDR[FDR]&amp;FDR[[#Headers],[18]],FDR[18],"",0,1)</f>
        <v>4</v>
      </c>
      <c r="AE209" cm="1">
        <f t="array" ref="AE209">_xlfn.XLOOKUP(Matrix[[#This Row],[TEAM]]&amp;Matrix[[#Headers],[19]],FDR[FDR]&amp;FDR[[#Headers],[19]],FDR[19],"",0,1)</f>
        <v>3</v>
      </c>
      <c r="AF209" cm="1">
        <f t="array" ref="AF209">_xlfn.XLOOKUP(Matrix[[#This Row],[TEAM]]&amp;Matrix[[#Headers],[20]],FDR[FDR]&amp;FDR[[#Headers],[20]],FDR[20],"",0,1)</f>
        <v>5</v>
      </c>
      <c r="AG209" cm="1">
        <f t="array" ref="AG209">_xlfn.XLOOKUP(Matrix[[#This Row],[TEAM]]&amp;Matrix[[#Headers],[21]],FDR[FDR]&amp;FDR[[#Headers],[21]],FDR[21],"",0,1)</f>
        <v>4</v>
      </c>
      <c r="AH209" cm="1">
        <f t="array" ref="AH209">_xlfn.XLOOKUP(Matrix[[#This Row],[TEAM]]&amp;Matrix[[#Headers],[22]],FDR[FDR]&amp;FDR[[#Headers],[22]],FDR[22],"",0,1)</f>
        <v>2</v>
      </c>
      <c r="AI209" cm="1">
        <f t="array" ref="AI209">_xlfn.XLOOKUP(Matrix[[#This Row],[TEAM]]&amp;Matrix[[#Headers],[23]],FDR[FDR]&amp;FDR[[#Headers],[23]],FDR[23],"",0,1)</f>
        <v>4</v>
      </c>
      <c r="AJ209" cm="1">
        <f t="array" ref="AJ209">_xlfn.XLOOKUP(Matrix[[#This Row],[TEAM]]&amp;Matrix[[#Headers],[24]],FDR[FDR]&amp;FDR[[#Headers],[24]],FDR[24],"",0,1)</f>
        <v>4</v>
      </c>
      <c r="AK209" cm="1">
        <f t="array" ref="AK209">_xlfn.XLOOKUP(Matrix[[#This Row],[TEAM]]&amp;Matrix[[#Headers],[25]],FDR[FDR]&amp;FDR[[#Headers],[25]],FDR[25],"",0,1)</f>
        <v>4</v>
      </c>
      <c r="AL209" cm="1">
        <f t="array" ref="AL209">_xlfn.XLOOKUP(Matrix[[#This Row],[TEAM]]&amp;Matrix[[#Headers],[26]],FDR[FDR]&amp;FDR[[#Headers],[26]],FDR[26],"",0,1)</f>
        <v>1</v>
      </c>
      <c r="AM209" cm="1">
        <f t="array" ref="AM209">_xlfn.XLOOKUP(Matrix[[#This Row],[TEAM]]&amp;Matrix[[#Headers],[27]],FDR[FDR]&amp;FDR[[#Headers],[27]],FDR[27],"",0,1)</f>
        <v>2</v>
      </c>
      <c r="AN209" cm="1">
        <f t="array" ref="AN209">_xlfn.XLOOKUP(Matrix[[#This Row],[TEAM]]&amp;Matrix[[#Headers],[28]],FDR[FDR]&amp;FDR[[#Headers],[28]],FDR[28],"",0,1)</f>
        <v>5</v>
      </c>
      <c r="AO209" cm="1">
        <f t="array" ref="AO209">_xlfn.XLOOKUP(Matrix[[#This Row],[TEAM]]&amp;Matrix[[#Headers],[29]],FDR[FDR]&amp;FDR[[#Headers],[29]],FDR[29],"",0,1)</f>
        <v>5</v>
      </c>
      <c r="AP209" cm="1">
        <f t="array" ref="AP209">_xlfn.XLOOKUP(Matrix[[#This Row],[TEAM]]&amp;Matrix[[#Headers],[30]],FDR[FDR]&amp;FDR[[#Headers],[30]],FDR[30],"",0,1)</f>
        <v>1</v>
      </c>
      <c r="AQ209" cm="1">
        <f t="array" ref="AQ209">_xlfn.XLOOKUP(Matrix[[#This Row],[TEAM]]&amp;Matrix[[#Headers],[31]],FDR[FDR]&amp;FDR[[#Headers],[31]],FDR[31],"",0,1)</f>
        <v>5</v>
      </c>
      <c r="AR209" cm="1">
        <f t="array" ref="AR209">_xlfn.XLOOKUP(Matrix[[#This Row],[TEAM]]&amp;Matrix[[#Headers],[32]],FDR[FDR]&amp;FDR[[#Headers],[32]],FDR[32],"",0,1)</f>
        <v>4</v>
      </c>
      <c r="AS209" cm="1">
        <f t="array" ref="AS209">_xlfn.XLOOKUP(Matrix[[#This Row],[TEAM]]&amp;Matrix[[#Headers],[33]],FDR[FDR]&amp;FDR[[#Headers],[33]],FDR[33],"",0,1)</f>
        <v>3</v>
      </c>
      <c r="AT209" cm="1">
        <f t="array" ref="AT209">_xlfn.XLOOKUP(Matrix[[#This Row],[TEAM]]&amp;Matrix[[#Headers],[34]],FDR[FDR]&amp;FDR[[#Headers],[34]],FDR[34],"",0,1)</f>
        <v>5</v>
      </c>
      <c r="AU209" cm="1">
        <f t="array" ref="AU209">_xlfn.XLOOKUP(Matrix[[#This Row],[TEAM]]&amp;Matrix[[#Headers],[35]],FDR[FDR]&amp;FDR[[#Headers],[35]],FDR[35],"",0,1)</f>
        <v>4</v>
      </c>
      <c r="AV209" cm="1">
        <f t="array" ref="AV209">_xlfn.XLOOKUP(Matrix[[#This Row],[TEAM]]&amp;Matrix[[#Headers],[36]],FDR[FDR]&amp;FDR[[#Headers],[36]],FDR[36],"",0,1)</f>
        <v>3</v>
      </c>
      <c r="AW209" cm="1">
        <f t="array" ref="AW209">_xlfn.XLOOKUP(Matrix[[#This Row],[TEAM]]&amp;Matrix[[#Headers],[37]],FDR[FDR]&amp;FDR[[#Headers],[37]],FDR[37],"",0,1)</f>
        <v>4</v>
      </c>
      <c r="AX209" cm="1">
        <f t="array" ref="AX209">_xlfn.XLOOKUP(Matrix[[#This Row],[TEAM]]&amp;Matrix[[#Headers],[38]],FDR[FDR]&amp;FDR[[#Headers],[38]],FDR[38],"",0,1)</f>
        <v>4</v>
      </c>
    </row>
    <row r="210" spans="1:50" ht="22" thickTop="1" thickBot="1">
      <c r="A210" s="50" t="str">
        <f>INDEX!S$4</f>
        <v>MID</v>
      </c>
      <c r="B210" s="70" t="s">
        <v>1544</v>
      </c>
      <c r="C210" s="40" t="s">
        <v>52</v>
      </c>
      <c r="D210" s="62">
        <v>67</v>
      </c>
      <c r="E210" s="60">
        <v>2E-3</v>
      </c>
      <c r="F210" s="61">
        <v>85.4</v>
      </c>
      <c r="G210" s="63">
        <v>5</v>
      </c>
      <c r="H210" s="261">
        <f>IF(ISBLANK(I210),0,1)</f>
        <v>0</v>
      </c>
      <c r="I210" s="57"/>
      <c r="J210" s="58"/>
      <c r="K210" s="59" t="s">
        <v>478</v>
      </c>
      <c r="L210" s="59" t="s">
        <v>236</v>
      </c>
      <c r="M210" cm="1">
        <f t="array" ref="M210">_xlfn.XLOOKUP(Matrix[[#This Row],[TEAM]]&amp;Matrix[[#Headers],[1]],FDR[FDR]&amp;FDR[[#Headers],[1]],FDR[1],"",0,1)</f>
        <v>2</v>
      </c>
      <c r="N210" cm="1">
        <f t="array" ref="N210">_xlfn.XLOOKUP(Matrix[[#This Row],[TEAM]]&amp;Matrix[[#Headers],[2]],FDR[FDR]&amp;FDR[[#Headers],[2]],FDR[2],"",0,1)</f>
        <v>3</v>
      </c>
      <c r="O210" cm="1">
        <f t="array" ref="O210">_xlfn.XLOOKUP(Matrix[[#This Row],[TEAM]]&amp;Matrix[[#Headers],[3]],FDR[FDR]&amp;FDR[[#Headers],[3]],FDR[3],"",0,1)</f>
        <v>2</v>
      </c>
      <c r="P210" cm="1">
        <f t="array" ref="P210">_xlfn.XLOOKUP(Matrix[[#This Row],[TEAM]]&amp;Matrix[[#Headers],[4]],FDR[FDR]&amp;FDR[[#Headers],[4]],FDR[4],"",0,1)</f>
        <v>5</v>
      </c>
      <c r="Q210" cm="1">
        <f t="array" ref="Q210">_xlfn.XLOOKUP(Matrix[[#This Row],[TEAM]]&amp;Matrix[[#Headers],[5]],FDR[FDR]&amp;FDR[[#Headers],[5]],FDR[5],"",0,1)</f>
        <v>2</v>
      </c>
      <c r="R210" cm="1">
        <f t="array" ref="R210">_xlfn.XLOOKUP(Matrix[[#This Row],[TEAM]]&amp;Matrix[[#Headers],[6]],FDR[FDR]&amp;FDR[[#Headers],[6]],FDR[6],"",0,1)</f>
        <v>1</v>
      </c>
      <c r="S210" cm="1">
        <f t="array" ref="S210">_xlfn.XLOOKUP(Matrix[[#This Row],[TEAM]]&amp;Matrix[[#Headers],[7]],FDR[FDR]&amp;FDR[[#Headers],[7]],FDR[7],"",0,1)</f>
        <v>5</v>
      </c>
      <c r="T210" cm="1">
        <f t="array" ref="T210">_xlfn.XLOOKUP(Matrix[[#This Row],[TEAM]]&amp;Matrix[[#Headers],[8]],FDR[FDR]&amp;FDR[[#Headers],[8]],FDR[8],"",0,1)</f>
        <v>4</v>
      </c>
      <c r="U210" cm="1">
        <f t="array" ref="U210">_xlfn.XLOOKUP(Matrix[[#This Row],[TEAM]]&amp;Matrix[[#Headers],[9]],FDR[FDR]&amp;FDR[[#Headers],[9]],FDR[9],"",0,1)</f>
        <v>4</v>
      </c>
      <c r="V210" cm="1">
        <f t="array" ref="V210">_xlfn.XLOOKUP(Matrix[[#This Row],[TEAM]]&amp;Matrix[[#Headers],[10]],FDR[FDR]&amp;FDR[[#Headers],[10]],FDR[10],"",0,1)</f>
        <v>4</v>
      </c>
      <c r="W210" cm="1">
        <f t="array" ref="W210">_xlfn.XLOOKUP(Matrix[[#This Row],[TEAM]]&amp;Matrix[[#Headers],[11]],FDR[FDR]&amp;FDR[[#Headers],[11]],FDR[11],"",0,1)</f>
        <v>1</v>
      </c>
      <c r="X210" cm="1">
        <f t="array" ref="X210">_xlfn.XLOOKUP(Matrix[[#This Row],[TEAM]]&amp;Matrix[[#Headers],[12]],FDR[FDR]&amp;FDR[[#Headers],[12]],FDR[12],"",0,1)</f>
        <v>5</v>
      </c>
      <c r="Y210" cm="1">
        <f t="array" ref="Y210">_xlfn.XLOOKUP(Matrix[[#This Row],[TEAM]]&amp;Matrix[[#Headers],[13]],FDR[FDR]&amp;FDR[[#Headers],[13]],FDR[13],"",0,1)</f>
        <v>3</v>
      </c>
      <c r="Z210" cm="1">
        <f t="array" ref="Z210">_xlfn.XLOOKUP(Matrix[[#This Row],[TEAM]]&amp;Matrix[[#Headers],[14]],FDR[FDR]&amp;FDR[[#Headers],[14]],FDR[14],"",0,1)</f>
        <v>2</v>
      </c>
      <c r="AA210" cm="1">
        <f t="array" ref="AA210">_xlfn.XLOOKUP(Matrix[[#This Row],[TEAM]]&amp;Matrix[[#Headers],[15]],FDR[FDR]&amp;FDR[[#Headers],[15]],FDR[15],"",0,1)</f>
        <v>3</v>
      </c>
      <c r="AB210" cm="1">
        <f t="array" ref="AB210">_xlfn.XLOOKUP(Matrix[[#This Row],[TEAM]]&amp;Matrix[[#Headers],[16]],FDR[FDR]&amp;FDR[[#Headers],[16]],FDR[16],"",0,1)</f>
        <v>4</v>
      </c>
      <c r="AC210" cm="1">
        <f t="array" ref="AC210">_xlfn.XLOOKUP(Matrix[[#This Row],[TEAM]]&amp;Matrix[[#Headers],[17]],FDR[FDR]&amp;FDR[[#Headers],[17]],FDR[17],"",0,1)</f>
        <v>4</v>
      </c>
      <c r="AD210" cm="1">
        <f t="array" ref="AD210">_xlfn.XLOOKUP(Matrix[[#This Row],[TEAM]]&amp;Matrix[[#Headers],[18]],FDR[FDR]&amp;FDR[[#Headers],[18]],FDR[18],"",0,1)</f>
        <v>4</v>
      </c>
      <c r="AE210" cm="1">
        <f t="array" ref="AE210">_xlfn.XLOOKUP(Matrix[[#This Row],[TEAM]]&amp;Matrix[[#Headers],[19]],FDR[FDR]&amp;FDR[[#Headers],[19]],FDR[19],"",0,1)</f>
        <v>2</v>
      </c>
      <c r="AF210" cm="1">
        <f t="array" ref="AF210">_xlfn.XLOOKUP(Matrix[[#This Row],[TEAM]]&amp;Matrix[[#Headers],[20]],FDR[FDR]&amp;FDR[[#Headers],[20]],FDR[20],"",0,1)</f>
        <v>5</v>
      </c>
      <c r="AG210" cm="1">
        <f t="array" ref="AG210">_xlfn.XLOOKUP(Matrix[[#This Row],[TEAM]]&amp;Matrix[[#Headers],[21]],FDR[FDR]&amp;FDR[[#Headers],[21]],FDR[21],"",0,1)</f>
        <v>3</v>
      </c>
      <c r="AH210" cm="1">
        <f t="array" ref="AH210">_xlfn.XLOOKUP(Matrix[[#This Row],[TEAM]]&amp;Matrix[[#Headers],[22]],FDR[FDR]&amp;FDR[[#Headers],[22]],FDR[22],"",0,1)</f>
        <v>4</v>
      </c>
      <c r="AI210" cm="1">
        <f t="array" ref="AI210">_xlfn.XLOOKUP(Matrix[[#This Row],[TEAM]]&amp;Matrix[[#Headers],[23]],FDR[FDR]&amp;FDR[[#Headers],[23]],FDR[23],"",0,1)</f>
        <v>3</v>
      </c>
      <c r="AJ210" cm="1">
        <f t="array" ref="AJ210">_xlfn.XLOOKUP(Matrix[[#This Row],[TEAM]]&amp;Matrix[[#Headers],[24]],FDR[FDR]&amp;FDR[[#Headers],[24]],FDR[24],"",0,1)</f>
        <v>2</v>
      </c>
      <c r="AK210" cm="1">
        <f t="array" ref="AK210">_xlfn.XLOOKUP(Matrix[[#This Row],[TEAM]]&amp;Matrix[[#Headers],[25]],FDR[FDR]&amp;FDR[[#Headers],[25]],FDR[25],"",0,1)</f>
        <v>2</v>
      </c>
      <c r="AL210" cm="1">
        <f t="array" ref="AL210">_xlfn.XLOOKUP(Matrix[[#This Row],[TEAM]]&amp;Matrix[[#Headers],[26]],FDR[FDR]&amp;FDR[[#Headers],[26]],FDR[26],"",0,1)</f>
        <v>1</v>
      </c>
      <c r="AM210" cm="1">
        <f t="array" ref="AM210">_xlfn.XLOOKUP(Matrix[[#This Row],[TEAM]]&amp;Matrix[[#Headers],[27]],FDR[FDR]&amp;FDR[[#Headers],[27]],FDR[27],"",0,1)</f>
        <v>4</v>
      </c>
      <c r="AN210" cm="1">
        <f t="array" ref="AN210">_xlfn.XLOOKUP(Matrix[[#This Row],[TEAM]]&amp;Matrix[[#Headers],[28]],FDR[FDR]&amp;FDR[[#Headers],[28]],FDR[28],"",0,1)</f>
        <v>4</v>
      </c>
      <c r="AO210" cm="1">
        <f t="array" ref="AO210">_xlfn.XLOOKUP(Matrix[[#This Row],[TEAM]]&amp;Matrix[[#Headers],[29]],FDR[FDR]&amp;FDR[[#Headers],[29]],FDR[29],"",0,1)</f>
        <v>5</v>
      </c>
      <c r="AP210" cm="1">
        <f t="array" ref="AP210">_xlfn.XLOOKUP(Matrix[[#This Row],[TEAM]]&amp;Matrix[[#Headers],[30]],FDR[FDR]&amp;FDR[[#Headers],[30]],FDR[30],"",0,1)</f>
        <v>3</v>
      </c>
      <c r="AQ210" cm="1">
        <f t="array" ref="AQ210">_xlfn.XLOOKUP(Matrix[[#This Row],[TEAM]]&amp;Matrix[[#Headers],[31]],FDR[FDR]&amp;FDR[[#Headers],[31]],FDR[31],"",0,1)</f>
        <v>5</v>
      </c>
      <c r="AR210" cm="1">
        <f t="array" ref="AR210">_xlfn.XLOOKUP(Matrix[[#This Row],[TEAM]]&amp;Matrix[[#Headers],[32]],FDR[FDR]&amp;FDR[[#Headers],[32]],FDR[32],"",0,1)</f>
        <v>3</v>
      </c>
      <c r="AS210" cm="1">
        <f t="array" ref="AS210">_xlfn.XLOOKUP(Matrix[[#This Row],[TEAM]]&amp;Matrix[[#Headers],[33]],FDR[FDR]&amp;FDR[[#Headers],[33]],FDR[33],"",0,1)</f>
        <v>1</v>
      </c>
      <c r="AT210" cm="1">
        <f t="array" ref="AT210">_xlfn.XLOOKUP(Matrix[[#This Row],[TEAM]]&amp;Matrix[[#Headers],[34]],FDR[FDR]&amp;FDR[[#Headers],[34]],FDR[34],"",0,1)</f>
        <v>2</v>
      </c>
      <c r="AU210" cm="1">
        <f t="array" ref="AU210">_xlfn.XLOOKUP(Matrix[[#This Row],[TEAM]]&amp;Matrix[[#Headers],[35]],FDR[FDR]&amp;FDR[[#Headers],[35]],FDR[35],"",0,1)</f>
        <v>5</v>
      </c>
      <c r="AV210" cm="1">
        <f t="array" ref="AV210">_xlfn.XLOOKUP(Matrix[[#This Row],[TEAM]]&amp;Matrix[[#Headers],[36]],FDR[FDR]&amp;FDR[[#Headers],[36]],FDR[36],"",0,1)</f>
        <v>4</v>
      </c>
      <c r="AW210" cm="1">
        <f t="array" ref="AW210">_xlfn.XLOOKUP(Matrix[[#This Row],[TEAM]]&amp;Matrix[[#Headers],[37]],FDR[FDR]&amp;FDR[[#Headers],[37]],FDR[37],"",0,1)</f>
        <v>5</v>
      </c>
      <c r="AX210" cm="1">
        <f t="array" ref="AX210">_xlfn.XLOOKUP(Matrix[[#This Row],[TEAM]]&amp;Matrix[[#Headers],[38]],FDR[FDR]&amp;FDR[[#Headers],[38]],FDR[38],"",0,1)</f>
        <v>3</v>
      </c>
    </row>
    <row r="211" spans="1:50" ht="22" thickTop="1" thickBot="1">
      <c r="A211" s="50" t="str">
        <f>INDEX!S$4</f>
        <v>MID</v>
      </c>
      <c r="B211" s="70" t="s">
        <v>1498</v>
      </c>
      <c r="C211" s="40" t="s">
        <v>28</v>
      </c>
      <c r="D211" s="62">
        <v>65</v>
      </c>
      <c r="E211" s="60">
        <v>1.6E-2</v>
      </c>
      <c r="F211" s="61">
        <v>77</v>
      </c>
      <c r="G211" s="63">
        <v>5</v>
      </c>
      <c r="H211" s="261">
        <f>IF(ISBLANK(I211),0,1)</f>
        <v>0</v>
      </c>
      <c r="I211" s="57"/>
      <c r="J211" s="58"/>
      <c r="K211" s="59" t="s">
        <v>468</v>
      </c>
      <c r="L211" s="59" t="s">
        <v>231</v>
      </c>
      <c r="M211" cm="1">
        <f t="array" ref="M211">_xlfn.XLOOKUP(Matrix[[#This Row],[TEAM]]&amp;Matrix[[#Headers],[1]],FDR[FDR]&amp;FDR[[#Headers],[1]],FDR[1],"",0,1)</f>
        <v>3</v>
      </c>
      <c r="N211" cm="1">
        <f t="array" ref="N211">_xlfn.XLOOKUP(Matrix[[#This Row],[TEAM]]&amp;Matrix[[#Headers],[2]],FDR[FDR]&amp;FDR[[#Headers],[2]],FDR[2],"",0,1)</f>
        <v>2</v>
      </c>
      <c r="O211" cm="1">
        <f t="array" ref="O211">_xlfn.XLOOKUP(Matrix[[#This Row],[TEAM]]&amp;Matrix[[#Headers],[3]],FDR[FDR]&amp;FDR[[#Headers],[3]],FDR[3],"",0,1)</f>
        <v>1</v>
      </c>
      <c r="P211" cm="1">
        <f t="array" ref="P211">_xlfn.XLOOKUP(Matrix[[#This Row],[TEAM]]&amp;Matrix[[#Headers],[4]],FDR[FDR]&amp;FDR[[#Headers],[4]],FDR[4],"",0,1)</f>
        <v>2</v>
      </c>
      <c r="Q211" cm="1">
        <f t="array" ref="Q211">_xlfn.XLOOKUP(Matrix[[#This Row],[TEAM]]&amp;Matrix[[#Headers],[5]],FDR[FDR]&amp;FDR[[#Headers],[5]],FDR[5],"",0,1)</f>
        <v>1</v>
      </c>
      <c r="R211" cm="1">
        <f t="array" ref="R211">_xlfn.XLOOKUP(Matrix[[#This Row],[TEAM]]&amp;Matrix[[#Headers],[6]],FDR[FDR]&amp;FDR[[#Headers],[6]],FDR[6],"",0,1)</f>
        <v>2</v>
      </c>
      <c r="S211" cm="1">
        <f t="array" ref="S211">_xlfn.XLOOKUP(Matrix[[#This Row],[TEAM]]&amp;Matrix[[#Headers],[7]],FDR[FDR]&amp;FDR[[#Headers],[7]],FDR[7],"",0,1)</f>
        <v>1</v>
      </c>
      <c r="T211" cm="1">
        <f t="array" ref="T211">_xlfn.XLOOKUP(Matrix[[#This Row],[TEAM]]&amp;Matrix[[#Headers],[8]],FDR[FDR]&amp;FDR[[#Headers],[8]],FDR[8],"",0,1)</f>
        <v>4</v>
      </c>
      <c r="U211" cm="1">
        <f t="array" ref="U211">_xlfn.XLOOKUP(Matrix[[#This Row],[TEAM]]&amp;Matrix[[#Headers],[9]],FDR[FDR]&amp;FDR[[#Headers],[9]],FDR[9],"",0,1)</f>
        <v>3</v>
      </c>
      <c r="V211" cm="1">
        <f t="array" ref="V211">_xlfn.XLOOKUP(Matrix[[#This Row],[TEAM]]&amp;Matrix[[#Headers],[10]],FDR[FDR]&amp;FDR[[#Headers],[10]],FDR[10],"",0,1)</f>
        <v>4</v>
      </c>
      <c r="W211" cm="1">
        <f t="array" ref="W211">_xlfn.XLOOKUP(Matrix[[#This Row],[TEAM]]&amp;Matrix[[#Headers],[11]],FDR[FDR]&amp;FDR[[#Headers],[11]],FDR[11],"",0,1)</f>
        <v>2</v>
      </c>
      <c r="X211" cm="1">
        <f t="array" ref="X211">_xlfn.XLOOKUP(Matrix[[#This Row],[TEAM]]&amp;Matrix[[#Headers],[12]],FDR[FDR]&amp;FDR[[#Headers],[12]],FDR[12],"",0,1)</f>
        <v>1</v>
      </c>
      <c r="Y211" cm="1">
        <f t="array" ref="Y211">_xlfn.XLOOKUP(Matrix[[#This Row],[TEAM]]&amp;Matrix[[#Headers],[13]],FDR[FDR]&amp;FDR[[#Headers],[13]],FDR[13],"",0,1)</f>
        <v>1</v>
      </c>
      <c r="Z211" cm="1">
        <f t="array" ref="Z211">_xlfn.XLOOKUP(Matrix[[#This Row],[TEAM]]&amp;Matrix[[#Headers],[14]],FDR[FDR]&amp;FDR[[#Headers],[14]],FDR[14],"",0,1)</f>
        <v>3</v>
      </c>
      <c r="AA211" cm="1">
        <f t="array" ref="AA211">_xlfn.XLOOKUP(Matrix[[#This Row],[TEAM]]&amp;Matrix[[#Headers],[15]],FDR[FDR]&amp;FDR[[#Headers],[15]],FDR[15],"",0,1)</f>
        <v>3</v>
      </c>
      <c r="AB211" cm="1">
        <f t="array" ref="AB211">_xlfn.XLOOKUP(Matrix[[#This Row],[TEAM]]&amp;Matrix[[#Headers],[16]],FDR[FDR]&amp;FDR[[#Headers],[16]],FDR[16],"",0,1)</f>
        <v>2</v>
      </c>
      <c r="AC211" cm="1">
        <f t="array" ref="AC211">_xlfn.XLOOKUP(Matrix[[#This Row],[TEAM]]&amp;Matrix[[#Headers],[17]],FDR[FDR]&amp;FDR[[#Headers],[17]],FDR[17],"",0,1)</f>
        <v>3</v>
      </c>
      <c r="AD211" cm="1">
        <f t="array" ref="AD211">_xlfn.XLOOKUP(Matrix[[#This Row],[TEAM]]&amp;Matrix[[#Headers],[18]],FDR[FDR]&amp;FDR[[#Headers],[18]],FDR[18],"",0,1)</f>
        <v>4</v>
      </c>
      <c r="AE211" cm="1">
        <f t="array" ref="AE211">_xlfn.XLOOKUP(Matrix[[#This Row],[TEAM]]&amp;Matrix[[#Headers],[19]],FDR[FDR]&amp;FDR[[#Headers],[19]],FDR[19],"",0,1)</f>
        <v>4</v>
      </c>
      <c r="AF211" cm="1">
        <f t="array" ref="AF211">_xlfn.XLOOKUP(Matrix[[#This Row],[TEAM]]&amp;Matrix[[#Headers],[20]],FDR[FDR]&amp;FDR[[#Headers],[20]],FDR[20],"",0,1)</f>
        <v>2</v>
      </c>
      <c r="AG211" cm="1">
        <f t="array" ref="AG211">_xlfn.XLOOKUP(Matrix[[#This Row],[TEAM]]&amp;Matrix[[#Headers],[21]],FDR[FDR]&amp;FDR[[#Headers],[21]],FDR[21],"",0,1)</f>
        <v>2</v>
      </c>
      <c r="AH211" cm="1">
        <f t="array" ref="AH211">_xlfn.XLOOKUP(Matrix[[#This Row],[TEAM]]&amp;Matrix[[#Headers],[22]],FDR[FDR]&amp;FDR[[#Headers],[22]],FDR[22],"",0,1)</f>
        <v>1</v>
      </c>
      <c r="AI211" cm="1">
        <f t="array" ref="AI211">_xlfn.XLOOKUP(Matrix[[#This Row],[TEAM]]&amp;Matrix[[#Headers],[23]],FDR[FDR]&amp;FDR[[#Headers],[23]],FDR[23],"",0,1)</f>
        <v>4</v>
      </c>
      <c r="AJ211" cm="1">
        <f t="array" ref="AJ211">_xlfn.XLOOKUP(Matrix[[#This Row],[TEAM]]&amp;Matrix[[#Headers],[24]],FDR[FDR]&amp;FDR[[#Headers],[24]],FDR[24],"",0,1)</f>
        <v>1</v>
      </c>
      <c r="AK211" cm="1">
        <f t="array" ref="AK211">_xlfn.XLOOKUP(Matrix[[#This Row],[TEAM]]&amp;Matrix[[#Headers],[25]],FDR[FDR]&amp;FDR[[#Headers],[25]],FDR[25],"",0,1)</f>
        <v>3</v>
      </c>
      <c r="AL211" cm="1">
        <f t="array" ref="AL211">_xlfn.XLOOKUP(Matrix[[#This Row],[TEAM]]&amp;Matrix[[#Headers],[26]],FDR[FDR]&amp;FDR[[#Headers],[26]],FDR[26],"",0,1)</f>
        <v>2</v>
      </c>
      <c r="AM211" cm="1">
        <f t="array" ref="AM211">_xlfn.XLOOKUP(Matrix[[#This Row],[TEAM]]&amp;Matrix[[#Headers],[27]],FDR[FDR]&amp;FDR[[#Headers],[27]],FDR[27],"",0,1)</f>
        <v>1</v>
      </c>
      <c r="AN211" cm="1">
        <f t="array" ref="AN211">_xlfn.XLOOKUP(Matrix[[#This Row],[TEAM]]&amp;Matrix[[#Headers],[28]],FDR[FDR]&amp;FDR[[#Headers],[28]],FDR[28],"",0,1)</f>
        <v>1</v>
      </c>
      <c r="AO211" cm="1">
        <f t="array" ref="AO211">_xlfn.XLOOKUP(Matrix[[#This Row],[TEAM]]&amp;Matrix[[#Headers],[29]],FDR[FDR]&amp;FDR[[#Headers],[29]],FDR[29],"",0,1)</f>
        <v>3</v>
      </c>
      <c r="AP211" cm="1">
        <f t="array" ref="AP211">_xlfn.XLOOKUP(Matrix[[#This Row],[TEAM]]&amp;Matrix[[#Headers],[30]],FDR[FDR]&amp;FDR[[#Headers],[30]],FDR[30],"",0,1)</f>
        <v>4</v>
      </c>
      <c r="AQ211" cm="1">
        <f t="array" ref="AQ211">_xlfn.XLOOKUP(Matrix[[#This Row],[TEAM]]&amp;Matrix[[#Headers],[31]],FDR[FDR]&amp;FDR[[#Headers],[31]],FDR[31],"",0,1)</f>
        <v>1</v>
      </c>
      <c r="AR211" cm="1">
        <f t="array" ref="AR211">_xlfn.XLOOKUP(Matrix[[#This Row],[TEAM]]&amp;Matrix[[#Headers],[32]],FDR[FDR]&amp;FDR[[#Headers],[32]],FDR[32],"",0,1)</f>
        <v>3</v>
      </c>
      <c r="AS211" cm="1">
        <f t="array" ref="AS211">_xlfn.XLOOKUP(Matrix[[#This Row],[TEAM]]&amp;Matrix[[#Headers],[33]],FDR[FDR]&amp;FDR[[#Headers],[33]],FDR[33],"",0,1)</f>
        <v>1</v>
      </c>
      <c r="AT211" cm="1">
        <f t="array" ref="AT211">_xlfn.XLOOKUP(Matrix[[#This Row],[TEAM]]&amp;Matrix[[#Headers],[34]],FDR[FDR]&amp;FDR[[#Headers],[34]],FDR[34],"",0,1)</f>
        <v>3</v>
      </c>
      <c r="AU211" cm="1">
        <f t="array" ref="AU211">_xlfn.XLOOKUP(Matrix[[#This Row],[TEAM]]&amp;Matrix[[#Headers],[35]],FDR[FDR]&amp;FDR[[#Headers],[35]],FDR[35],"",0,1)</f>
        <v>3</v>
      </c>
      <c r="AV211" cm="1">
        <f t="array" ref="AV211">_xlfn.XLOOKUP(Matrix[[#This Row],[TEAM]]&amp;Matrix[[#Headers],[36]],FDR[FDR]&amp;FDR[[#Headers],[36]],FDR[36],"",0,1)</f>
        <v>1</v>
      </c>
      <c r="AW211" cm="1">
        <f t="array" ref="AW211">_xlfn.XLOOKUP(Matrix[[#This Row],[TEAM]]&amp;Matrix[[#Headers],[37]],FDR[FDR]&amp;FDR[[#Headers],[37]],FDR[37],"",0,1)</f>
        <v>3</v>
      </c>
      <c r="AX211" cm="1">
        <f t="array" ref="AX211">_xlfn.XLOOKUP(Matrix[[#This Row],[TEAM]]&amp;Matrix[[#Headers],[38]],FDR[FDR]&amp;FDR[[#Headers],[38]],FDR[38],"",0,1)</f>
        <v>4</v>
      </c>
    </row>
    <row r="212" spans="1:50" ht="22" thickTop="1" thickBot="1">
      <c r="A212" s="50" t="str">
        <f>INDEX!S$4</f>
        <v>MID</v>
      </c>
      <c r="B212" s="70" t="s">
        <v>1535</v>
      </c>
      <c r="C212" s="40" t="s">
        <v>43</v>
      </c>
      <c r="D212" s="62">
        <v>58</v>
      </c>
      <c r="E212" s="60">
        <v>2E-3</v>
      </c>
      <c r="F212" s="61">
        <v>75.900000000000006</v>
      </c>
      <c r="G212" s="63">
        <v>5</v>
      </c>
      <c r="H212" s="261">
        <f>IF(ISBLANK(I212),0,1)</f>
        <v>0</v>
      </c>
      <c r="I212" s="57"/>
      <c r="J212" s="58"/>
      <c r="K212" s="59" t="s">
        <v>823</v>
      </c>
      <c r="L212" s="59" t="s">
        <v>824</v>
      </c>
      <c r="M212" cm="1">
        <f t="array" ref="M212">_xlfn.XLOOKUP(Matrix[[#This Row],[TEAM]]&amp;Matrix[[#Headers],[1]],FDR[FDR]&amp;FDR[[#Headers],[1]],FDR[1],"",0,1)</f>
        <v>5</v>
      </c>
      <c r="N212" cm="1">
        <f t="array" ref="N212">_xlfn.XLOOKUP(Matrix[[#This Row],[TEAM]]&amp;Matrix[[#Headers],[2]],FDR[FDR]&amp;FDR[[#Headers],[2]],FDR[2],"",0,1)</f>
        <v>1</v>
      </c>
      <c r="O212" cm="1">
        <f t="array" ref="O212">_xlfn.XLOOKUP(Matrix[[#This Row],[TEAM]]&amp;Matrix[[#Headers],[3]],FDR[FDR]&amp;FDR[[#Headers],[3]],FDR[3],"",0,1)</f>
        <v>5</v>
      </c>
      <c r="P212" cm="1">
        <f t="array" ref="P212">_xlfn.XLOOKUP(Matrix[[#This Row],[TEAM]]&amp;Matrix[[#Headers],[4]],FDR[FDR]&amp;FDR[[#Headers],[4]],FDR[4],"",0,1)</f>
        <v>3</v>
      </c>
      <c r="Q212" cm="1">
        <f t="array" ref="Q212">_xlfn.XLOOKUP(Matrix[[#This Row],[TEAM]]&amp;Matrix[[#Headers],[5]],FDR[FDR]&amp;FDR[[#Headers],[5]],FDR[5],"",0,1)</f>
        <v>4</v>
      </c>
      <c r="R212" cm="1">
        <f t="array" ref="R212">_xlfn.XLOOKUP(Matrix[[#This Row],[TEAM]]&amp;Matrix[[#Headers],[6]],FDR[FDR]&amp;FDR[[#Headers],[6]],FDR[6],"",0,1)</f>
        <v>2</v>
      </c>
      <c r="S212" cm="1">
        <f t="array" ref="S212">_xlfn.XLOOKUP(Matrix[[#This Row],[TEAM]]&amp;Matrix[[#Headers],[7]],FDR[FDR]&amp;FDR[[#Headers],[7]],FDR[7],"",0,1)</f>
        <v>3</v>
      </c>
      <c r="T212" cm="1">
        <f t="array" ref="T212">_xlfn.XLOOKUP(Matrix[[#This Row],[TEAM]]&amp;Matrix[[#Headers],[8]],FDR[FDR]&amp;FDR[[#Headers],[8]],FDR[8],"",0,1)</f>
        <v>3</v>
      </c>
      <c r="U212" cm="1">
        <f t="array" ref="U212">_xlfn.XLOOKUP(Matrix[[#This Row],[TEAM]]&amp;Matrix[[#Headers],[9]],FDR[FDR]&amp;FDR[[#Headers],[9]],FDR[9],"",0,1)</f>
        <v>3</v>
      </c>
      <c r="V212" cm="1">
        <f t="array" ref="V212">_xlfn.XLOOKUP(Matrix[[#This Row],[TEAM]]&amp;Matrix[[#Headers],[10]],FDR[FDR]&amp;FDR[[#Headers],[10]],FDR[10],"",0,1)</f>
        <v>5</v>
      </c>
      <c r="W212" cm="1">
        <f t="array" ref="W212">_xlfn.XLOOKUP(Matrix[[#This Row],[TEAM]]&amp;Matrix[[#Headers],[11]],FDR[FDR]&amp;FDR[[#Headers],[11]],FDR[11],"",0,1)</f>
        <v>5</v>
      </c>
      <c r="X212" cm="1">
        <f t="array" ref="X212">_xlfn.XLOOKUP(Matrix[[#This Row],[TEAM]]&amp;Matrix[[#Headers],[12]],FDR[FDR]&amp;FDR[[#Headers],[12]],FDR[12],"",0,1)</f>
        <v>2</v>
      </c>
      <c r="Y212" cm="1">
        <f t="array" ref="Y212">_xlfn.XLOOKUP(Matrix[[#This Row],[TEAM]]&amp;Matrix[[#Headers],[13]],FDR[FDR]&amp;FDR[[#Headers],[13]],FDR[13],"",0,1)</f>
        <v>2</v>
      </c>
      <c r="Z212" cm="1">
        <f t="array" ref="Z212">_xlfn.XLOOKUP(Matrix[[#This Row],[TEAM]]&amp;Matrix[[#Headers],[14]],FDR[FDR]&amp;FDR[[#Headers],[14]],FDR[14],"",0,1)</f>
        <v>2</v>
      </c>
      <c r="AA212" cm="1">
        <f t="array" ref="AA212">_xlfn.XLOOKUP(Matrix[[#This Row],[TEAM]]&amp;Matrix[[#Headers],[15]],FDR[FDR]&amp;FDR[[#Headers],[15]],FDR[15],"",0,1)</f>
        <v>4</v>
      </c>
      <c r="AB212" cm="1">
        <f t="array" ref="AB212">_xlfn.XLOOKUP(Matrix[[#This Row],[TEAM]]&amp;Matrix[[#Headers],[16]],FDR[FDR]&amp;FDR[[#Headers],[16]],FDR[16],"",0,1)</f>
        <v>5</v>
      </c>
      <c r="AC212" cm="1">
        <f t="array" ref="AC212">_xlfn.XLOOKUP(Matrix[[#This Row],[TEAM]]&amp;Matrix[[#Headers],[17]],FDR[FDR]&amp;FDR[[#Headers],[17]],FDR[17],"",0,1)</f>
        <v>1</v>
      </c>
      <c r="AD212" cm="1">
        <f t="array" ref="AD212">_xlfn.XLOOKUP(Matrix[[#This Row],[TEAM]]&amp;Matrix[[#Headers],[18]],FDR[FDR]&amp;FDR[[#Headers],[18]],FDR[18],"",0,1)</f>
        <v>3</v>
      </c>
      <c r="AE212" cm="1">
        <f t="array" ref="AE212">_xlfn.XLOOKUP(Matrix[[#This Row],[TEAM]]&amp;Matrix[[#Headers],[19]],FDR[FDR]&amp;FDR[[#Headers],[19]],FDR[19],"",0,1)</f>
        <v>5</v>
      </c>
      <c r="AF212" cm="1">
        <f t="array" ref="AF212">_xlfn.XLOOKUP(Matrix[[#This Row],[TEAM]]&amp;Matrix[[#Headers],[20]],FDR[FDR]&amp;FDR[[#Headers],[20]],FDR[20],"",0,1)</f>
        <v>4</v>
      </c>
      <c r="AG212" cm="1">
        <f t="array" ref="AG212">_xlfn.XLOOKUP(Matrix[[#This Row],[TEAM]]&amp;Matrix[[#Headers],[21]],FDR[FDR]&amp;FDR[[#Headers],[21]],FDR[21],"",0,1)</f>
        <v>4</v>
      </c>
      <c r="AH212" cm="1">
        <f t="array" ref="AH212">_xlfn.XLOOKUP(Matrix[[#This Row],[TEAM]]&amp;Matrix[[#Headers],[22]],FDR[FDR]&amp;FDR[[#Headers],[22]],FDR[22],"",0,1)</f>
        <v>4</v>
      </c>
      <c r="AI212" cm="1">
        <f t="array" ref="AI212">_xlfn.XLOOKUP(Matrix[[#This Row],[TEAM]]&amp;Matrix[[#Headers],[23]],FDR[FDR]&amp;FDR[[#Headers],[23]],FDR[23],"",0,1)</f>
        <v>4</v>
      </c>
      <c r="AJ212" cm="1">
        <f t="array" ref="AJ212">_xlfn.XLOOKUP(Matrix[[#This Row],[TEAM]]&amp;Matrix[[#Headers],[24]],FDR[FDR]&amp;FDR[[#Headers],[24]],FDR[24],"",0,1)</f>
        <v>2</v>
      </c>
      <c r="AK212" cm="1">
        <f t="array" ref="AK212">_xlfn.XLOOKUP(Matrix[[#This Row],[TEAM]]&amp;Matrix[[#Headers],[25]],FDR[FDR]&amp;FDR[[#Headers],[25]],FDR[25],"",0,1)</f>
        <v>3</v>
      </c>
      <c r="AL212" cm="1">
        <f t="array" ref="AL212">_xlfn.XLOOKUP(Matrix[[#This Row],[TEAM]]&amp;Matrix[[#Headers],[26]],FDR[FDR]&amp;FDR[[#Headers],[26]],FDR[26],"",0,1)</f>
        <v>3</v>
      </c>
      <c r="AM212" cm="1">
        <f t="array" ref="AM212">_xlfn.XLOOKUP(Matrix[[#This Row],[TEAM]]&amp;Matrix[[#Headers],[27]],FDR[FDR]&amp;FDR[[#Headers],[27]],FDR[27],"",0,1)</f>
        <v>3</v>
      </c>
      <c r="AN212" cm="1">
        <f t="array" ref="AN212">_xlfn.XLOOKUP(Matrix[[#This Row],[TEAM]]&amp;Matrix[[#Headers],[28]],FDR[FDR]&amp;FDR[[#Headers],[28]],FDR[28],"",0,1)</f>
        <v>1</v>
      </c>
      <c r="AO212" cm="1">
        <f t="array" ref="AO212">_xlfn.XLOOKUP(Matrix[[#This Row],[TEAM]]&amp;Matrix[[#Headers],[29]],FDR[FDR]&amp;FDR[[#Headers],[29]],FDR[29],"",0,1)</f>
        <v>2</v>
      </c>
      <c r="AP212" cm="1">
        <f t="array" ref="AP212">_xlfn.XLOOKUP(Matrix[[#This Row],[TEAM]]&amp;Matrix[[#Headers],[30]],FDR[FDR]&amp;FDR[[#Headers],[30]],FDR[30],"",0,1)</f>
        <v>2</v>
      </c>
      <c r="AQ212" cm="1">
        <f t="array" ref="AQ212">_xlfn.XLOOKUP(Matrix[[#This Row],[TEAM]]&amp;Matrix[[#Headers],[31]],FDR[FDR]&amp;FDR[[#Headers],[31]],FDR[31],"",0,1)</f>
        <v>4</v>
      </c>
      <c r="AR212" cm="1">
        <f t="array" ref="AR212">_xlfn.XLOOKUP(Matrix[[#This Row],[TEAM]]&amp;Matrix[[#Headers],[32]],FDR[FDR]&amp;FDR[[#Headers],[32]],FDR[32],"",0,1)</f>
        <v>5</v>
      </c>
      <c r="AS212" cm="1">
        <f t="array" ref="AS212">_xlfn.XLOOKUP(Matrix[[#This Row],[TEAM]]&amp;Matrix[[#Headers],[33]],FDR[FDR]&amp;FDR[[#Headers],[33]],FDR[33],"",0,1)</f>
        <v>5</v>
      </c>
      <c r="AT212" cm="1">
        <f t="array" ref="AT212">_xlfn.XLOOKUP(Matrix[[#This Row],[TEAM]]&amp;Matrix[[#Headers],[34]],FDR[FDR]&amp;FDR[[#Headers],[34]],FDR[34],"",0,1)</f>
        <v>1</v>
      </c>
      <c r="AU212" cm="1">
        <f t="array" ref="AU212">_xlfn.XLOOKUP(Matrix[[#This Row],[TEAM]]&amp;Matrix[[#Headers],[35]],FDR[FDR]&amp;FDR[[#Headers],[35]],FDR[35],"",0,1)</f>
        <v>2</v>
      </c>
      <c r="AV212" cm="1">
        <f t="array" ref="AV212">_xlfn.XLOOKUP(Matrix[[#This Row],[TEAM]]&amp;Matrix[[#Headers],[36]],FDR[FDR]&amp;FDR[[#Headers],[36]],FDR[36],"",0,1)</f>
        <v>4</v>
      </c>
      <c r="AW212" cm="1">
        <f t="array" ref="AW212">_xlfn.XLOOKUP(Matrix[[#This Row],[TEAM]]&amp;Matrix[[#Headers],[37]],FDR[FDR]&amp;FDR[[#Headers],[37]],FDR[37],"",0,1)</f>
        <v>4</v>
      </c>
      <c r="AX212" cm="1">
        <f t="array" ref="AX212">_xlfn.XLOOKUP(Matrix[[#This Row],[TEAM]]&amp;Matrix[[#Headers],[38]],FDR[FDR]&amp;FDR[[#Headers],[38]],FDR[38],"",0,1)</f>
        <v>4</v>
      </c>
    </row>
    <row r="213" spans="1:50" ht="22" thickTop="1" thickBot="1">
      <c r="A213" s="50" t="str">
        <f>INDEX!S$4</f>
        <v>MID</v>
      </c>
      <c r="B213" s="70" t="s">
        <v>1568</v>
      </c>
      <c r="C213" s="40" t="s">
        <v>26</v>
      </c>
      <c r="D213" s="62">
        <v>58</v>
      </c>
      <c r="E213" s="60">
        <v>1E-3</v>
      </c>
      <c r="F213" s="61">
        <v>78.7</v>
      </c>
      <c r="G213" s="63">
        <v>5</v>
      </c>
      <c r="H213" s="261">
        <f>IF(ISBLANK(I213),0,1)</f>
        <v>0</v>
      </c>
      <c r="I213" s="57"/>
      <c r="J213" s="58"/>
      <c r="K213" s="59" t="s">
        <v>424</v>
      </c>
      <c r="L213" s="59" t="s">
        <v>227</v>
      </c>
      <c r="M213" cm="1">
        <f t="array" ref="M213">_xlfn.XLOOKUP(Matrix[[#This Row],[TEAM]]&amp;Matrix[[#Headers],[1]],FDR[FDR]&amp;FDR[[#Headers],[1]],FDR[1],"",0,1)</f>
        <v>5</v>
      </c>
      <c r="N213" cm="1">
        <f t="array" ref="N213">_xlfn.XLOOKUP(Matrix[[#This Row],[TEAM]]&amp;Matrix[[#Headers],[2]],FDR[FDR]&amp;FDR[[#Headers],[2]],FDR[2],"",0,1)</f>
        <v>3</v>
      </c>
      <c r="O213" cm="1">
        <f t="array" ref="O213">_xlfn.XLOOKUP(Matrix[[#This Row],[TEAM]]&amp;Matrix[[#Headers],[3]],FDR[FDR]&amp;FDR[[#Headers],[3]],FDR[3],"",0,1)</f>
        <v>5</v>
      </c>
      <c r="P213" cm="1">
        <f t="array" ref="P213">_xlfn.XLOOKUP(Matrix[[#This Row],[TEAM]]&amp;Matrix[[#Headers],[4]],FDR[FDR]&amp;FDR[[#Headers],[4]],FDR[4],"",0,1)</f>
        <v>1</v>
      </c>
      <c r="Q213" cm="1">
        <f t="array" ref="Q213">_xlfn.XLOOKUP(Matrix[[#This Row],[TEAM]]&amp;Matrix[[#Headers],[5]],FDR[FDR]&amp;FDR[[#Headers],[5]],FDR[5],"",0,1)</f>
        <v>4</v>
      </c>
      <c r="R213" cm="1">
        <f t="array" ref="R213">_xlfn.XLOOKUP(Matrix[[#This Row],[TEAM]]&amp;Matrix[[#Headers],[6]],FDR[FDR]&amp;FDR[[#Headers],[6]],FDR[6],"",0,1)</f>
        <v>4</v>
      </c>
      <c r="S213" cm="1">
        <f t="array" ref="S213">_xlfn.XLOOKUP(Matrix[[#This Row],[TEAM]]&amp;Matrix[[#Headers],[7]],FDR[FDR]&amp;FDR[[#Headers],[7]],FDR[7],"",0,1)</f>
        <v>4</v>
      </c>
      <c r="T213" cm="1">
        <f t="array" ref="T213">_xlfn.XLOOKUP(Matrix[[#This Row],[TEAM]]&amp;Matrix[[#Headers],[8]],FDR[FDR]&amp;FDR[[#Headers],[8]],FDR[8],"",0,1)</f>
        <v>3</v>
      </c>
      <c r="U213" cm="1">
        <f t="array" ref="U213">_xlfn.XLOOKUP(Matrix[[#This Row],[TEAM]]&amp;Matrix[[#Headers],[9]],FDR[FDR]&amp;FDR[[#Headers],[9]],FDR[9],"",0,1)</f>
        <v>5</v>
      </c>
      <c r="V213" cm="1">
        <f t="array" ref="V213">_xlfn.XLOOKUP(Matrix[[#This Row],[TEAM]]&amp;Matrix[[#Headers],[10]],FDR[FDR]&amp;FDR[[#Headers],[10]],FDR[10],"",0,1)</f>
        <v>3</v>
      </c>
      <c r="W213" cm="1">
        <f t="array" ref="W213">_xlfn.XLOOKUP(Matrix[[#This Row],[TEAM]]&amp;Matrix[[#Headers],[11]],FDR[FDR]&amp;FDR[[#Headers],[11]],FDR[11],"",0,1)</f>
        <v>3</v>
      </c>
      <c r="X213" cm="1">
        <f t="array" ref="X213">_xlfn.XLOOKUP(Matrix[[#This Row],[TEAM]]&amp;Matrix[[#Headers],[12]],FDR[FDR]&amp;FDR[[#Headers],[12]],FDR[12],"",0,1)</f>
        <v>2</v>
      </c>
      <c r="Y213" cm="1">
        <f t="array" ref="Y213">_xlfn.XLOOKUP(Matrix[[#This Row],[TEAM]]&amp;Matrix[[#Headers],[13]],FDR[FDR]&amp;FDR[[#Headers],[13]],FDR[13],"",0,1)</f>
        <v>4</v>
      </c>
      <c r="Z213" cm="1">
        <f t="array" ref="Z213">_xlfn.XLOOKUP(Matrix[[#This Row],[TEAM]]&amp;Matrix[[#Headers],[14]],FDR[FDR]&amp;FDR[[#Headers],[14]],FDR[14],"",0,1)</f>
        <v>2</v>
      </c>
      <c r="AA213" cm="1">
        <f t="array" ref="AA213">_xlfn.XLOOKUP(Matrix[[#This Row],[TEAM]]&amp;Matrix[[#Headers],[15]],FDR[FDR]&amp;FDR[[#Headers],[15]],FDR[15],"",0,1)</f>
        <v>4</v>
      </c>
      <c r="AB213" cm="1">
        <f t="array" ref="AB213">_xlfn.XLOOKUP(Matrix[[#This Row],[TEAM]]&amp;Matrix[[#Headers],[16]],FDR[FDR]&amp;FDR[[#Headers],[16]],FDR[16],"",0,1)</f>
        <v>4</v>
      </c>
      <c r="AC213" cm="1">
        <f t="array" ref="AC213">_xlfn.XLOOKUP(Matrix[[#This Row],[TEAM]]&amp;Matrix[[#Headers],[17]],FDR[FDR]&amp;FDR[[#Headers],[17]],FDR[17],"",0,1)</f>
        <v>2</v>
      </c>
      <c r="AD213" cm="1">
        <f t="array" ref="AD213">_xlfn.XLOOKUP(Matrix[[#This Row],[TEAM]]&amp;Matrix[[#Headers],[18]],FDR[FDR]&amp;FDR[[#Headers],[18]],FDR[18],"",0,1)</f>
        <v>4</v>
      </c>
      <c r="AE213" cm="1">
        <f t="array" ref="AE213">_xlfn.XLOOKUP(Matrix[[#This Row],[TEAM]]&amp;Matrix[[#Headers],[19]],FDR[FDR]&amp;FDR[[#Headers],[19]],FDR[19],"",0,1)</f>
        <v>3</v>
      </c>
      <c r="AF213" cm="1">
        <f t="array" ref="AF213">_xlfn.XLOOKUP(Matrix[[#This Row],[TEAM]]&amp;Matrix[[#Headers],[20]],FDR[FDR]&amp;FDR[[#Headers],[20]],FDR[20],"",0,1)</f>
        <v>5</v>
      </c>
      <c r="AG213" cm="1">
        <f t="array" ref="AG213">_xlfn.XLOOKUP(Matrix[[#This Row],[TEAM]]&amp;Matrix[[#Headers],[21]],FDR[FDR]&amp;FDR[[#Headers],[21]],FDR[21],"",0,1)</f>
        <v>4</v>
      </c>
      <c r="AH213" cm="1">
        <f t="array" ref="AH213">_xlfn.XLOOKUP(Matrix[[#This Row],[TEAM]]&amp;Matrix[[#Headers],[22]],FDR[FDR]&amp;FDR[[#Headers],[22]],FDR[22],"",0,1)</f>
        <v>2</v>
      </c>
      <c r="AI213" cm="1">
        <f t="array" ref="AI213">_xlfn.XLOOKUP(Matrix[[#This Row],[TEAM]]&amp;Matrix[[#Headers],[23]],FDR[FDR]&amp;FDR[[#Headers],[23]],FDR[23],"",0,1)</f>
        <v>4</v>
      </c>
      <c r="AJ213" cm="1">
        <f t="array" ref="AJ213">_xlfn.XLOOKUP(Matrix[[#This Row],[TEAM]]&amp;Matrix[[#Headers],[24]],FDR[FDR]&amp;FDR[[#Headers],[24]],FDR[24],"",0,1)</f>
        <v>4</v>
      </c>
      <c r="AK213" cm="1">
        <f t="array" ref="AK213">_xlfn.XLOOKUP(Matrix[[#This Row],[TEAM]]&amp;Matrix[[#Headers],[25]],FDR[FDR]&amp;FDR[[#Headers],[25]],FDR[25],"",0,1)</f>
        <v>4</v>
      </c>
      <c r="AL213" cm="1">
        <f t="array" ref="AL213">_xlfn.XLOOKUP(Matrix[[#This Row],[TEAM]]&amp;Matrix[[#Headers],[26]],FDR[FDR]&amp;FDR[[#Headers],[26]],FDR[26],"",0,1)</f>
        <v>1</v>
      </c>
      <c r="AM213" cm="1">
        <f t="array" ref="AM213">_xlfn.XLOOKUP(Matrix[[#This Row],[TEAM]]&amp;Matrix[[#Headers],[27]],FDR[FDR]&amp;FDR[[#Headers],[27]],FDR[27],"",0,1)</f>
        <v>2</v>
      </c>
      <c r="AN213" cm="1">
        <f t="array" ref="AN213">_xlfn.XLOOKUP(Matrix[[#This Row],[TEAM]]&amp;Matrix[[#Headers],[28]],FDR[FDR]&amp;FDR[[#Headers],[28]],FDR[28],"",0,1)</f>
        <v>5</v>
      </c>
      <c r="AO213" cm="1">
        <f t="array" ref="AO213">_xlfn.XLOOKUP(Matrix[[#This Row],[TEAM]]&amp;Matrix[[#Headers],[29]],FDR[FDR]&amp;FDR[[#Headers],[29]],FDR[29],"",0,1)</f>
        <v>5</v>
      </c>
      <c r="AP213" cm="1">
        <f t="array" ref="AP213">_xlfn.XLOOKUP(Matrix[[#This Row],[TEAM]]&amp;Matrix[[#Headers],[30]],FDR[FDR]&amp;FDR[[#Headers],[30]],FDR[30],"",0,1)</f>
        <v>1</v>
      </c>
      <c r="AQ213" cm="1">
        <f t="array" ref="AQ213">_xlfn.XLOOKUP(Matrix[[#This Row],[TEAM]]&amp;Matrix[[#Headers],[31]],FDR[FDR]&amp;FDR[[#Headers],[31]],FDR[31],"",0,1)</f>
        <v>5</v>
      </c>
      <c r="AR213" cm="1">
        <f t="array" ref="AR213">_xlfn.XLOOKUP(Matrix[[#This Row],[TEAM]]&amp;Matrix[[#Headers],[32]],FDR[FDR]&amp;FDR[[#Headers],[32]],FDR[32],"",0,1)</f>
        <v>4</v>
      </c>
      <c r="AS213" cm="1">
        <f t="array" ref="AS213">_xlfn.XLOOKUP(Matrix[[#This Row],[TEAM]]&amp;Matrix[[#Headers],[33]],FDR[FDR]&amp;FDR[[#Headers],[33]],FDR[33],"",0,1)</f>
        <v>3</v>
      </c>
      <c r="AT213" cm="1">
        <f t="array" ref="AT213">_xlfn.XLOOKUP(Matrix[[#This Row],[TEAM]]&amp;Matrix[[#Headers],[34]],FDR[FDR]&amp;FDR[[#Headers],[34]],FDR[34],"",0,1)</f>
        <v>5</v>
      </c>
      <c r="AU213" cm="1">
        <f t="array" ref="AU213">_xlfn.XLOOKUP(Matrix[[#This Row],[TEAM]]&amp;Matrix[[#Headers],[35]],FDR[FDR]&amp;FDR[[#Headers],[35]],FDR[35],"",0,1)</f>
        <v>4</v>
      </c>
      <c r="AV213" cm="1">
        <f t="array" ref="AV213">_xlfn.XLOOKUP(Matrix[[#This Row],[TEAM]]&amp;Matrix[[#Headers],[36]],FDR[FDR]&amp;FDR[[#Headers],[36]],FDR[36],"",0,1)</f>
        <v>3</v>
      </c>
      <c r="AW213" cm="1">
        <f t="array" ref="AW213">_xlfn.XLOOKUP(Matrix[[#This Row],[TEAM]]&amp;Matrix[[#Headers],[37]],FDR[FDR]&amp;FDR[[#Headers],[37]],FDR[37],"",0,1)</f>
        <v>4</v>
      </c>
      <c r="AX213" cm="1">
        <f t="array" ref="AX213">_xlfn.XLOOKUP(Matrix[[#This Row],[TEAM]]&amp;Matrix[[#Headers],[38]],FDR[FDR]&amp;FDR[[#Headers],[38]],FDR[38],"",0,1)</f>
        <v>4</v>
      </c>
    </row>
    <row r="214" spans="1:50" ht="22" thickTop="1" thickBot="1">
      <c r="A214" s="50" t="str">
        <f>INDEX!S$4</f>
        <v>MID</v>
      </c>
      <c r="B214" s="70" t="s">
        <v>1572</v>
      </c>
      <c r="C214" s="40" t="s">
        <v>23</v>
      </c>
      <c r="D214" s="62">
        <v>56</v>
      </c>
      <c r="E214" s="60">
        <v>1E-3</v>
      </c>
      <c r="F214" s="61">
        <v>91</v>
      </c>
      <c r="G214" s="63">
        <v>5</v>
      </c>
      <c r="H214" s="261">
        <f>IF(ISBLANK(I214),0,1)</f>
        <v>0</v>
      </c>
      <c r="I214" s="57"/>
      <c r="J214" s="58"/>
      <c r="K214" s="59" t="s">
        <v>548</v>
      </c>
      <c r="L214" s="59" t="s">
        <v>346</v>
      </c>
      <c r="M214" cm="1">
        <f t="array" ref="M214">_xlfn.XLOOKUP(Matrix[[#This Row],[TEAM]]&amp;Matrix[[#Headers],[1]],FDR[FDR]&amp;FDR[[#Headers],[1]],FDR[1],"",0,1)</f>
        <v>4</v>
      </c>
      <c r="N214" cm="1">
        <f t="array" ref="N214">_xlfn.XLOOKUP(Matrix[[#This Row],[TEAM]]&amp;Matrix[[#Headers],[2]],FDR[FDR]&amp;FDR[[#Headers],[2]],FDR[2],"",0,1)</f>
        <v>4</v>
      </c>
      <c r="O214" cm="1">
        <f t="array" ref="O214">_xlfn.XLOOKUP(Matrix[[#This Row],[TEAM]]&amp;Matrix[[#Headers],[3]],FDR[FDR]&amp;FDR[[#Headers],[3]],FDR[3],"",0,1)</f>
        <v>5</v>
      </c>
      <c r="P214" cm="1">
        <f t="array" ref="P214">_xlfn.XLOOKUP(Matrix[[#This Row],[TEAM]]&amp;Matrix[[#Headers],[4]],FDR[FDR]&amp;FDR[[#Headers],[4]],FDR[4],"",0,1)</f>
        <v>1</v>
      </c>
      <c r="Q214" cm="1">
        <f t="array" ref="Q214">_xlfn.XLOOKUP(Matrix[[#This Row],[TEAM]]&amp;Matrix[[#Headers],[5]],FDR[FDR]&amp;FDR[[#Headers],[5]],FDR[5],"",0,1)</f>
        <v>2</v>
      </c>
      <c r="R214" cm="1">
        <f t="array" ref="R214">_xlfn.XLOOKUP(Matrix[[#This Row],[TEAM]]&amp;Matrix[[#Headers],[6]],FDR[FDR]&amp;FDR[[#Headers],[6]],FDR[6],"",0,1)</f>
        <v>5</v>
      </c>
      <c r="S214" cm="1">
        <f t="array" ref="S214">_xlfn.XLOOKUP(Matrix[[#This Row],[TEAM]]&amp;Matrix[[#Headers],[7]],FDR[FDR]&amp;FDR[[#Headers],[7]],FDR[7],"",0,1)</f>
        <v>4</v>
      </c>
      <c r="T214" cm="1">
        <f t="array" ref="T214">_xlfn.XLOOKUP(Matrix[[#This Row],[TEAM]]&amp;Matrix[[#Headers],[8]],FDR[FDR]&amp;FDR[[#Headers],[8]],FDR[8],"",0,1)</f>
        <v>4</v>
      </c>
      <c r="U214" cm="1">
        <f t="array" ref="U214">_xlfn.XLOOKUP(Matrix[[#This Row],[TEAM]]&amp;Matrix[[#Headers],[9]],FDR[FDR]&amp;FDR[[#Headers],[9]],FDR[9],"",0,1)</f>
        <v>5</v>
      </c>
      <c r="V214" cm="1">
        <f t="array" ref="V214">_xlfn.XLOOKUP(Matrix[[#This Row],[TEAM]]&amp;Matrix[[#Headers],[10]],FDR[FDR]&amp;FDR[[#Headers],[10]],FDR[10],"",0,1)</f>
        <v>1</v>
      </c>
      <c r="W214" cm="1">
        <f t="array" ref="W214">_xlfn.XLOOKUP(Matrix[[#This Row],[TEAM]]&amp;Matrix[[#Headers],[11]],FDR[FDR]&amp;FDR[[#Headers],[11]],FDR[11],"",0,1)</f>
        <v>3</v>
      </c>
      <c r="X214" cm="1">
        <f t="array" ref="X214">_xlfn.XLOOKUP(Matrix[[#This Row],[TEAM]]&amp;Matrix[[#Headers],[12]],FDR[FDR]&amp;FDR[[#Headers],[12]],FDR[12],"",0,1)</f>
        <v>1</v>
      </c>
      <c r="Y214" cm="1">
        <f t="array" ref="Y214">_xlfn.XLOOKUP(Matrix[[#This Row],[TEAM]]&amp;Matrix[[#Headers],[13]],FDR[FDR]&amp;FDR[[#Headers],[13]],FDR[13],"",0,1)</f>
        <v>5</v>
      </c>
      <c r="Z214" cm="1">
        <f t="array" ref="Z214">_xlfn.XLOOKUP(Matrix[[#This Row],[TEAM]]&amp;Matrix[[#Headers],[14]],FDR[FDR]&amp;FDR[[#Headers],[14]],FDR[14],"",0,1)</f>
        <v>4</v>
      </c>
      <c r="AA214" cm="1">
        <f t="array" ref="AA214">_xlfn.XLOOKUP(Matrix[[#This Row],[TEAM]]&amp;Matrix[[#Headers],[15]],FDR[FDR]&amp;FDR[[#Headers],[15]],FDR[15],"",0,1)</f>
        <v>2</v>
      </c>
      <c r="AB214" cm="1">
        <f t="array" ref="AB214">_xlfn.XLOOKUP(Matrix[[#This Row],[TEAM]]&amp;Matrix[[#Headers],[16]],FDR[FDR]&amp;FDR[[#Headers],[16]],FDR[16],"",0,1)</f>
        <v>2</v>
      </c>
      <c r="AC214" cm="1">
        <f t="array" ref="AC214">_xlfn.XLOOKUP(Matrix[[#This Row],[TEAM]]&amp;Matrix[[#Headers],[17]],FDR[FDR]&amp;FDR[[#Headers],[17]],FDR[17],"",0,1)</f>
        <v>3</v>
      </c>
      <c r="AD214" cm="1">
        <f t="array" ref="AD214">_xlfn.XLOOKUP(Matrix[[#This Row],[TEAM]]&amp;Matrix[[#Headers],[18]],FDR[FDR]&amp;FDR[[#Headers],[18]],FDR[18],"",0,1)</f>
        <v>3</v>
      </c>
      <c r="AE214" cm="1">
        <f t="array" ref="AE214">_xlfn.XLOOKUP(Matrix[[#This Row],[TEAM]]&amp;Matrix[[#Headers],[19]],FDR[FDR]&amp;FDR[[#Headers],[19]],FDR[19],"",0,1)</f>
        <v>3</v>
      </c>
      <c r="AF214" cm="1">
        <f t="array" ref="AF214">_xlfn.XLOOKUP(Matrix[[#This Row],[TEAM]]&amp;Matrix[[#Headers],[20]],FDR[FDR]&amp;FDR[[#Headers],[20]],FDR[20],"",0,1)</f>
        <v>4</v>
      </c>
      <c r="AG214" cm="1">
        <f t="array" ref="AG214">_xlfn.XLOOKUP(Matrix[[#This Row],[TEAM]]&amp;Matrix[[#Headers],[21]],FDR[FDR]&amp;FDR[[#Headers],[21]],FDR[21],"",0,1)</f>
        <v>4</v>
      </c>
      <c r="AH214" cm="1">
        <f t="array" ref="AH214">_xlfn.XLOOKUP(Matrix[[#This Row],[TEAM]]&amp;Matrix[[#Headers],[22]],FDR[FDR]&amp;FDR[[#Headers],[22]],FDR[22],"",0,1)</f>
        <v>2</v>
      </c>
      <c r="AI214" cm="1">
        <f t="array" ref="AI214">_xlfn.XLOOKUP(Matrix[[#This Row],[TEAM]]&amp;Matrix[[#Headers],[23]],FDR[FDR]&amp;FDR[[#Headers],[23]],FDR[23],"",0,1)</f>
        <v>3</v>
      </c>
      <c r="AJ214" cm="1">
        <f t="array" ref="AJ214">_xlfn.XLOOKUP(Matrix[[#This Row],[TEAM]]&amp;Matrix[[#Headers],[24]],FDR[FDR]&amp;FDR[[#Headers],[24]],FDR[24],"",0,1)</f>
        <v>5</v>
      </c>
      <c r="AK214" cm="1">
        <f t="array" ref="AK214">_xlfn.XLOOKUP(Matrix[[#This Row],[TEAM]]&amp;Matrix[[#Headers],[25]],FDR[FDR]&amp;FDR[[#Headers],[25]],FDR[25],"",0,1)</f>
        <v>2</v>
      </c>
      <c r="AL214" cm="1">
        <f t="array" ref="AL214">_xlfn.XLOOKUP(Matrix[[#This Row],[TEAM]]&amp;Matrix[[#Headers],[26]],FDR[FDR]&amp;FDR[[#Headers],[26]],FDR[26],"",0,1)</f>
        <v>5</v>
      </c>
      <c r="AM214" cm="1">
        <f t="array" ref="AM214">_xlfn.XLOOKUP(Matrix[[#This Row],[TEAM]]&amp;Matrix[[#Headers],[27]],FDR[FDR]&amp;FDR[[#Headers],[27]],FDR[27],"",0,1)</f>
        <v>2</v>
      </c>
      <c r="AN214" cm="1">
        <f t="array" ref="AN214">_xlfn.XLOOKUP(Matrix[[#This Row],[TEAM]]&amp;Matrix[[#Headers],[28]],FDR[FDR]&amp;FDR[[#Headers],[28]],FDR[28],"",0,1)</f>
        <v>4</v>
      </c>
      <c r="AO214" cm="1">
        <f t="array" ref="AO214">_xlfn.XLOOKUP(Matrix[[#This Row],[TEAM]]&amp;Matrix[[#Headers],[29]],FDR[FDR]&amp;FDR[[#Headers],[29]],FDR[29],"",0,1)</f>
        <v>2</v>
      </c>
      <c r="AP214" cm="1">
        <f t="array" ref="AP214">_xlfn.XLOOKUP(Matrix[[#This Row],[TEAM]]&amp;Matrix[[#Headers],[30]],FDR[FDR]&amp;FDR[[#Headers],[30]],FDR[30],"",0,1)</f>
        <v>4</v>
      </c>
      <c r="AQ214" cm="1">
        <f t="array" ref="AQ214">_xlfn.XLOOKUP(Matrix[[#This Row],[TEAM]]&amp;Matrix[[#Headers],[31]],FDR[FDR]&amp;FDR[[#Headers],[31]],FDR[31],"",0,1)</f>
        <v>1</v>
      </c>
      <c r="AR214" cm="1">
        <f t="array" ref="AR214">_xlfn.XLOOKUP(Matrix[[#This Row],[TEAM]]&amp;Matrix[[#Headers],[32]],FDR[FDR]&amp;FDR[[#Headers],[32]],FDR[32],"",0,1)</f>
        <v>5</v>
      </c>
      <c r="AS214" cm="1">
        <f t="array" ref="AS214">_xlfn.XLOOKUP(Matrix[[#This Row],[TEAM]]&amp;Matrix[[#Headers],[33]],FDR[FDR]&amp;FDR[[#Headers],[33]],FDR[33],"",0,1)</f>
        <v>3</v>
      </c>
      <c r="AT214" cm="1">
        <f t="array" ref="AT214">_xlfn.XLOOKUP(Matrix[[#This Row],[TEAM]]&amp;Matrix[[#Headers],[34]],FDR[FDR]&amp;FDR[[#Headers],[34]],FDR[34],"",0,1)</f>
        <v>3</v>
      </c>
      <c r="AU214" cm="1">
        <f t="array" ref="AU214">_xlfn.XLOOKUP(Matrix[[#This Row],[TEAM]]&amp;Matrix[[#Headers],[35]],FDR[FDR]&amp;FDR[[#Headers],[35]],FDR[35],"",0,1)</f>
        <v>5</v>
      </c>
      <c r="AV214" cm="1">
        <f t="array" ref="AV214">_xlfn.XLOOKUP(Matrix[[#This Row],[TEAM]]&amp;Matrix[[#Headers],[36]],FDR[FDR]&amp;FDR[[#Headers],[36]],FDR[36],"",0,1)</f>
        <v>3</v>
      </c>
      <c r="AW214" cm="1">
        <f t="array" ref="AW214">_xlfn.XLOOKUP(Matrix[[#This Row],[TEAM]]&amp;Matrix[[#Headers],[37]],FDR[FDR]&amp;FDR[[#Headers],[37]],FDR[37],"",0,1)</f>
        <v>2</v>
      </c>
      <c r="AX214" cm="1">
        <f t="array" ref="AX214">_xlfn.XLOOKUP(Matrix[[#This Row],[TEAM]]&amp;Matrix[[#Headers],[38]],FDR[FDR]&amp;FDR[[#Headers],[38]],FDR[38],"",0,1)</f>
        <v>4</v>
      </c>
    </row>
    <row r="215" spans="1:50" ht="22" thickTop="1" thickBot="1">
      <c r="A215" s="50" t="str">
        <f>INDEX!S$4</f>
        <v>MID</v>
      </c>
      <c r="B215" s="70" t="s">
        <v>1573</v>
      </c>
      <c r="C215" s="40" t="s">
        <v>23</v>
      </c>
      <c r="D215" s="62">
        <v>53</v>
      </c>
      <c r="E215" s="60">
        <v>1E-3</v>
      </c>
      <c r="F215" s="61">
        <v>65.099999999999994</v>
      </c>
      <c r="G215" s="63">
        <v>5</v>
      </c>
      <c r="H215" s="261">
        <f>IF(ISBLANK(I215),0,1)</f>
        <v>0</v>
      </c>
      <c r="I215" s="57"/>
      <c r="J215" s="58"/>
      <c r="K215" s="59" t="s">
        <v>611</v>
      </c>
      <c r="L215" s="59" t="s">
        <v>259</v>
      </c>
      <c r="M215" cm="1">
        <f t="array" ref="M215">_xlfn.XLOOKUP(Matrix[[#This Row],[TEAM]]&amp;Matrix[[#Headers],[1]],FDR[FDR]&amp;FDR[[#Headers],[1]],FDR[1],"",0,1)</f>
        <v>4</v>
      </c>
      <c r="N215" cm="1">
        <f t="array" ref="N215">_xlfn.XLOOKUP(Matrix[[#This Row],[TEAM]]&amp;Matrix[[#Headers],[2]],FDR[FDR]&amp;FDR[[#Headers],[2]],FDR[2],"",0,1)</f>
        <v>4</v>
      </c>
      <c r="O215" cm="1">
        <f t="array" ref="O215">_xlfn.XLOOKUP(Matrix[[#This Row],[TEAM]]&amp;Matrix[[#Headers],[3]],FDR[FDR]&amp;FDR[[#Headers],[3]],FDR[3],"",0,1)</f>
        <v>5</v>
      </c>
      <c r="P215" cm="1">
        <f t="array" ref="P215">_xlfn.XLOOKUP(Matrix[[#This Row],[TEAM]]&amp;Matrix[[#Headers],[4]],FDR[FDR]&amp;FDR[[#Headers],[4]],FDR[4],"",0,1)</f>
        <v>1</v>
      </c>
      <c r="Q215" cm="1">
        <f t="array" ref="Q215">_xlfn.XLOOKUP(Matrix[[#This Row],[TEAM]]&amp;Matrix[[#Headers],[5]],FDR[FDR]&amp;FDR[[#Headers],[5]],FDR[5],"",0,1)</f>
        <v>2</v>
      </c>
      <c r="R215" cm="1">
        <f t="array" ref="R215">_xlfn.XLOOKUP(Matrix[[#This Row],[TEAM]]&amp;Matrix[[#Headers],[6]],FDR[FDR]&amp;FDR[[#Headers],[6]],FDR[6],"",0,1)</f>
        <v>5</v>
      </c>
      <c r="S215" cm="1">
        <f t="array" ref="S215">_xlfn.XLOOKUP(Matrix[[#This Row],[TEAM]]&amp;Matrix[[#Headers],[7]],FDR[FDR]&amp;FDR[[#Headers],[7]],FDR[7],"",0,1)</f>
        <v>4</v>
      </c>
      <c r="T215" cm="1">
        <f t="array" ref="T215">_xlfn.XLOOKUP(Matrix[[#This Row],[TEAM]]&amp;Matrix[[#Headers],[8]],FDR[FDR]&amp;FDR[[#Headers],[8]],FDR[8],"",0,1)</f>
        <v>4</v>
      </c>
      <c r="U215" cm="1">
        <f t="array" ref="U215">_xlfn.XLOOKUP(Matrix[[#This Row],[TEAM]]&amp;Matrix[[#Headers],[9]],FDR[FDR]&amp;FDR[[#Headers],[9]],FDR[9],"",0,1)</f>
        <v>5</v>
      </c>
      <c r="V215" cm="1">
        <f t="array" ref="V215">_xlfn.XLOOKUP(Matrix[[#This Row],[TEAM]]&amp;Matrix[[#Headers],[10]],FDR[FDR]&amp;FDR[[#Headers],[10]],FDR[10],"",0,1)</f>
        <v>1</v>
      </c>
      <c r="W215" cm="1">
        <f t="array" ref="W215">_xlfn.XLOOKUP(Matrix[[#This Row],[TEAM]]&amp;Matrix[[#Headers],[11]],FDR[FDR]&amp;FDR[[#Headers],[11]],FDR[11],"",0,1)</f>
        <v>3</v>
      </c>
      <c r="X215" cm="1">
        <f t="array" ref="X215">_xlfn.XLOOKUP(Matrix[[#This Row],[TEAM]]&amp;Matrix[[#Headers],[12]],FDR[FDR]&amp;FDR[[#Headers],[12]],FDR[12],"",0,1)</f>
        <v>1</v>
      </c>
      <c r="Y215" cm="1">
        <f t="array" ref="Y215">_xlfn.XLOOKUP(Matrix[[#This Row],[TEAM]]&amp;Matrix[[#Headers],[13]],FDR[FDR]&amp;FDR[[#Headers],[13]],FDR[13],"",0,1)</f>
        <v>5</v>
      </c>
      <c r="Z215" cm="1">
        <f t="array" ref="Z215">_xlfn.XLOOKUP(Matrix[[#This Row],[TEAM]]&amp;Matrix[[#Headers],[14]],FDR[FDR]&amp;FDR[[#Headers],[14]],FDR[14],"",0,1)</f>
        <v>4</v>
      </c>
      <c r="AA215" cm="1">
        <f t="array" ref="AA215">_xlfn.XLOOKUP(Matrix[[#This Row],[TEAM]]&amp;Matrix[[#Headers],[15]],FDR[FDR]&amp;FDR[[#Headers],[15]],FDR[15],"",0,1)</f>
        <v>2</v>
      </c>
      <c r="AB215" cm="1">
        <f t="array" ref="AB215">_xlfn.XLOOKUP(Matrix[[#This Row],[TEAM]]&amp;Matrix[[#Headers],[16]],FDR[FDR]&amp;FDR[[#Headers],[16]],FDR[16],"",0,1)</f>
        <v>2</v>
      </c>
      <c r="AC215" cm="1">
        <f t="array" ref="AC215">_xlfn.XLOOKUP(Matrix[[#This Row],[TEAM]]&amp;Matrix[[#Headers],[17]],FDR[FDR]&amp;FDR[[#Headers],[17]],FDR[17],"",0,1)</f>
        <v>3</v>
      </c>
      <c r="AD215" cm="1">
        <f t="array" ref="AD215">_xlfn.XLOOKUP(Matrix[[#This Row],[TEAM]]&amp;Matrix[[#Headers],[18]],FDR[FDR]&amp;FDR[[#Headers],[18]],FDR[18],"",0,1)</f>
        <v>3</v>
      </c>
      <c r="AE215" cm="1">
        <f t="array" ref="AE215">_xlfn.XLOOKUP(Matrix[[#This Row],[TEAM]]&amp;Matrix[[#Headers],[19]],FDR[FDR]&amp;FDR[[#Headers],[19]],FDR[19],"",0,1)</f>
        <v>3</v>
      </c>
      <c r="AF215" cm="1">
        <f t="array" ref="AF215">_xlfn.XLOOKUP(Matrix[[#This Row],[TEAM]]&amp;Matrix[[#Headers],[20]],FDR[FDR]&amp;FDR[[#Headers],[20]],FDR[20],"",0,1)</f>
        <v>4</v>
      </c>
      <c r="AG215" cm="1">
        <f t="array" ref="AG215">_xlfn.XLOOKUP(Matrix[[#This Row],[TEAM]]&amp;Matrix[[#Headers],[21]],FDR[FDR]&amp;FDR[[#Headers],[21]],FDR[21],"",0,1)</f>
        <v>4</v>
      </c>
      <c r="AH215" cm="1">
        <f t="array" ref="AH215">_xlfn.XLOOKUP(Matrix[[#This Row],[TEAM]]&amp;Matrix[[#Headers],[22]],FDR[FDR]&amp;FDR[[#Headers],[22]],FDR[22],"",0,1)</f>
        <v>2</v>
      </c>
      <c r="AI215" cm="1">
        <f t="array" ref="AI215">_xlfn.XLOOKUP(Matrix[[#This Row],[TEAM]]&amp;Matrix[[#Headers],[23]],FDR[FDR]&amp;FDR[[#Headers],[23]],FDR[23],"",0,1)</f>
        <v>3</v>
      </c>
      <c r="AJ215" cm="1">
        <f t="array" ref="AJ215">_xlfn.XLOOKUP(Matrix[[#This Row],[TEAM]]&amp;Matrix[[#Headers],[24]],FDR[FDR]&amp;FDR[[#Headers],[24]],FDR[24],"",0,1)</f>
        <v>5</v>
      </c>
      <c r="AK215" cm="1">
        <f t="array" ref="AK215">_xlfn.XLOOKUP(Matrix[[#This Row],[TEAM]]&amp;Matrix[[#Headers],[25]],FDR[FDR]&amp;FDR[[#Headers],[25]],FDR[25],"",0,1)</f>
        <v>2</v>
      </c>
      <c r="AL215" cm="1">
        <f t="array" ref="AL215">_xlfn.XLOOKUP(Matrix[[#This Row],[TEAM]]&amp;Matrix[[#Headers],[26]],FDR[FDR]&amp;FDR[[#Headers],[26]],FDR[26],"",0,1)</f>
        <v>5</v>
      </c>
      <c r="AM215" cm="1">
        <f t="array" ref="AM215">_xlfn.XLOOKUP(Matrix[[#This Row],[TEAM]]&amp;Matrix[[#Headers],[27]],FDR[FDR]&amp;FDR[[#Headers],[27]],FDR[27],"",0,1)</f>
        <v>2</v>
      </c>
      <c r="AN215" cm="1">
        <f t="array" ref="AN215">_xlfn.XLOOKUP(Matrix[[#This Row],[TEAM]]&amp;Matrix[[#Headers],[28]],FDR[FDR]&amp;FDR[[#Headers],[28]],FDR[28],"",0,1)</f>
        <v>4</v>
      </c>
      <c r="AO215" cm="1">
        <f t="array" ref="AO215">_xlfn.XLOOKUP(Matrix[[#This Row],[TEAM]]&amp;Matrix[[#Headers],[29]],FDR[FDR]&amp;FDR[[#Headers],[29]],FDR[29],"",0,1)</f>
        <v>2</v>
      </c>
      <c r="AP215" cm="1">
        <f t="array" ref="AP215">_xlfn.XLOOKUP(Matrix[[#This Row],[TEAM]]&amp;Matrix[[#Headers],[30]],FDR[FDR]&amp;FDR[[#Headers],[30]],FDR[30],"",0,1)</f>
        <v>4</v>
      </c>
      <c r="AQ215" cm="1">
        <f t="array" ref="AQ215">_xlfn.XLOOKUP(Matrix[[#This Row],[TEAM]]&amp;Matrix[[#Headers],[31]],FDR[FDR]&amp;FDR[[#Headers],[31]],FDR[31],"",0,1)</f>
        <v>1</v>
      </c>
      <c r="AR215" cm="1">
        <f t="array" ref="AR215">_xlfn.XLOOKUP(Matrix[[#This Row],[TEAM]]&amp;Matrix[[#Headers],[32]],FDR[FDR]&amp;FDR[[#Headers],[32]],FDR[32],"",0,1)</f>
        <v>5</v>
      </c>
      <c r="AS215" cm="1">
        <f t="array" ref="AS215">_xlfn.XLOOKUP(Matrix[[#This Row],[TEAM]]&amp;Matrix[[#Headers],[33]],FDR[FDR]&amp;FDR[[#Headers],[33]],FDR[33],"",0,1)</f>
        <v>3</v>
      </c>
      <c r="AT215" cm="1">
        <f t="array" ref="AT215">_xlfn.XLOOKUP(Matrix[[#This Row],[TEAM]]&amp;Matrix[[#Headers],[34]],FDR[FDR]&amp;FDR[[#Headers],[34]],FDR[34],"",0,1)</f>
        <v>3</v>
      </c>
      <c r="AU215" cm="1">
        <f t="array" ref="AU215">_xlfn.XLOOKUP(Matrix[[#This Row],[TEAM]]&amp;Matrix[[#Headers],[35]],FDR[FDR]&amp;FDR[[#Headers],[35]],FDR[35],"",0,1)</f>
        <v>5</v>
      </c>
      <c r="AV215" cm="1">
        <f t="array" ref="AV215">_xlfn.XLOOKUP(Matrix[[#This Row],[TEAM]]&amp;Matrix[[#Headers],[36]],FDR[FDR]&amp;FDR[[#Headers],[36]],FDR[36],"",0,1)</f>
        <v>3</v>
      </c>
      <c r="AW215" cm="1">
        <f t="array" ref="AW215">_xlfn.XLOOKUP(Matrix[[#This Row],[TEAM]]&amp;Matrix[[#Headers],[37]],FDR[FDR]&amp;FDR[[#Headers],[37]],FDR[37],"",0,1)</f>
        <v>2</v>
      </c>
      <c r="AX215" cm="1">
        <f t="array" ref="AX215">_xlfn.XLOOKUP(Matrix[[#This Row],[TEAM]]&amp;Matrix[[#Headers],[38]],FDR[FDR]&amp;FDR[[#Headers],[38]],FDR[38],"",0,1)</f>
        <v>4</v>
      </c>
    </row>
    <row r="216" spans="1:50" ht="22" thickTop="1" thickBot="1">
      <c r="A216" s="50" t="str">
        <f>INDEX!S$4</f>
        <v>MID</v>
      </c>
      <c r="B216" s="70" t="s">
        <v>1550</v>
      </c>
      <c r="C216" s="40" t="s">
        <v>43</v>
      </c>
      <c r="D216" s="62">
        <v>52</v>
      </c>
      <c r="E216" s="60">
        <v>1E-3</v>
      </c>
      <c r="F216" s="61">
        <v>80.400000000000006</v>
      </c>
      <c r="G216" s="63">
        <v>5</v>
      </c>
      <c r="H216" s="261">
        <f>IF(ISBLANK(I216),0,1)</f>
        <v>0</v>
      </c>
      <c r="I216" s="57"/>
      <c r="J216" s="58"/>
      <c r="K216" s="59" t="s">
        <v>360</v>
      </c>
      <c r="L216" s="59" t="s">
        <v>253</v>
      </c>
      <c r="M216" cm="1">
        <f t="array" ref="M216">_xlfn.XLOOKUP(Matrix[[#This Row],[TEAM]]&amp;Matrix[[#Headers],[1]],FDR[FDR]&amp;FDR[[#Headers],[1]],FDR[1],"",0,1)</f>
        <v>5</v>
      </c>
      <c r="N216" cm="1">
        <f t="array" ref="N216">_xlfn.XLOOKUP(Matrix[[#This Row],[TEAM]]&amp;Matrix[[#Headers],[2]],FDR[FDR]&amp;FDR[[#Headers],[2]],FDR[2],"",0,1)</f>
        <v>1</v>
      </c>
      <c r="O216" cm="1">
        <f t="array" ref="O216">_xlfn.XLOOKUP(Matrix[[#This Row],[TEAM]]&amp;Matrix[[#Headers],[3]],FDR[FDR]&amp;FDR[[#Headers],[3]],FDR[3],"",0,1)</f>
        <v>5</v>
      </c>
      <c r="P216" cm="1">
        <f t="array" ref="P216">_xlfn.XLOOKUP(Matrix[[#This Row],[TEAM]]&amp;Matrix[[#Headers],[4]],FDR[FDR]&amp;FDR[[#Headers],[4]],FDR[4],"",0,1)</f>
        <v>3</v>
      </c>
      <c r="Q216" cm="1">
        <f t="array" ref="Q216">_xlfn.XLOOKUP(Matrix[[#This Row],[TEAM]]&amp;Matrix[[#Headers],[5]],FDR[FDR]&amp;FDR[[#Headers],[5]],FDR[5],"",0,1)</f>
        <v>4</v>
      </c>
      <c r="R216" cm="1">
        <f t="array" ref="R216">_xlfn.XLOOKUP(Matrix[[#This Row],[TEAM]]&amp;Matrix[[#Headers],[6]],FDR[FDR]&amp;FDR[[#Headers],[6]],FDR[6],"",0,1)</f>
        <v>2</v>
      </c>
      <c r="S216" cm="1">
        <f t="array" ref="S216">_xlfn.XLOOKUP(Matrix[[#This Row],[TEAM]]&amp;Matrix[[#Headers],[7]],FDR[FDR]&amp;FDR[[#Headers],[7]],FDR[7],"",0,1)</f>
        <v>3</v>
      </c>
      <c r="T216" cm="1">
        <f t="array" ref="T216">_xlfn.XLOOKUP(Matrix[[#This Row],[TEAM]]&amp;Matrix[[#Headers],[8]],FDR[FDR]&amp;FDR[[#Headers],[8]],FDR[8],"",0,1)</f>
        <v>3</v>
      </c>
      <c r="U216" cm="1">
        <f t="array" ref="U216">_xlfn.XLOOKUP(Matrix[[#This Row],[TEAM]]&amp;Matrix[[#Headers],[9]],FDR[FDR]&amp;FDR[[#Headers],[9]],FDR[9],"",0,1)</f>
        <v>3</v>
      </c>
      <c r="V216" cm="1">
        <f t="array" ref="V216">_xlfn.XLOOKUP(Matrix[[#This Row],[TEAM]]&amp;Matrix[[#Headers],[10]],FDR[FDR]&amp;FDR[[#Headers],[10]],FDR[10],"",0,1)</f>
        <v>5</v>
      </c>
      <c r="W216" cm="1">
        <f t="array" ref="W216">_xlfn.XLOOKUP(Matrix[[#This Row],[TEAM]]&amp;Matrix[[#Headers],[11]],FDR[FDR]&amp;FDR[[#Headers],[11]],FDR[11],"",0,1)</f>
        <v>5</v>
      </c>
      <c r="X216" cm="1">
        <f t="array" ref="X216">_xlfn.XLOOKUP(Matrix[[#This Row],[TEAM]]&amp;Matrix[[#Headers],[12]],FDR[FDR]&amp;FDR[[#Headers],[12]],FDR[12],"",0,1)</f>
        <v>2</v>
      </c>
      <c r="Y216" cm="1">
        <f t="array" ref="Y216">_xlfn.XLOOKUP(Matrix[[#This Row],[TEAM]]&amp;Matrix[[#Headers],[13]],FDR[FDR]&amp;FDR[[#Headers],[13]],FDR[13],"",0,1)</f>
        <v>2</v>
      </c>
      <c r="Z216" cm="1">
        <f t="array" ref="Z216">_xlfn.XLOOKUP(Matrix[[#This Row],[TEAM]]&amp;Matrix[[#Headers],[14]],FDR[FDR]&amp;FDR[[#Headers],[14]],FDR[14],"",0,1)</f>
        <v>2</v>
      </c>
      <c r="AA216" cm="1">
        <f t="array" ref="AA216">_xlfn.XLOOKUP(Matrix[[#This Row],[TEAM]]&amp;Matrix[[#Headers],[15]],FDR[FDR]&amp;FDR[[#Headers],[15]],FDR[15],"",0,1)</f>
        <v>4</v>
      </c>
      <c r="AB216" cm="1">
        <f t="array" ref="AB216">_xlfn.XLOOKUP(Matrix[[#This Row],[TEAM]]&amp;Matrix[[#Headers],[16]],FDR[FDR]&amp;FDR[[#Headers],[16]],FDR[16],"",0,1)</f>
        <v>5</v>
      </c>
      <c r="AC216" cm="1">
        <f t="array" ref="AC216">_xlfn.XLOOKUP(Matrix[[#This Row],[TEAM]]&amp;Matrix[[#Headers],[17]],FDR[FDR]&amp;FDR[[#Headers],[17]],FDR[17],"",0,1)</f>
        <v>1</v>
      </c>
      <c r="AD216" cm="1">
        <f t="array" ref="AD216">_xlfn.XLOOKUP(Matrix[[#This Row],[TEAM]]&amp;Matrix[[#Headers],[18]],FDR[FDR]&amp;FDR[[#Headers],[18]],FDR[18],"",0,1)</f>
        <v>3</v>
      </c>
      <c r="AE216" cm="1">
        <f t="array" ref="AE216">_xlfn.XLOOKUP(Matrix[[#This Row],[TEAM]]&amp;Matrix[[#Headers],[19]],FDR[FDR]&amp;FDR[[#Headers],[19]],FDR[19],"",0,1)</f>
        <v>5</v>
      </c>
      <c r="AF216" cm="1">
        <f t="array" ref="AF216">_xlfn.XLOOKUP(Matrix[[#This Row],[TEAM]]&amp;Matrix[[#Headers],[20]],FDR[FDR]&amp;FDR[[#Headers],[20]],FDR[20],"",0,1)</f>
        <v>4</v>
      </c>
      <c r="AG216" cm="1">
        <f t="array" ref="AG216">_xlfn.XLOOKUP(Matrix[[#This Row],[TEAM]]&amp;Matrix[[#Headers],[21]],FDR[FDR]&amp;FDR[[#Headers],[21]],FDR[21],"",0,1)</f>
        <v>4</v>
      </c>
      <c r="AH216" cm="1">
        <f t="array" ref="AH216">_xlfn.XLOOKUP(Matrix[[#This Row],[TEAM]]&amp;Matrix[[#Headers],[22]],FDR[FDR]&amp;FDR[[#Headers],[22]],FDR[22],"",0,1)</f>
        <v>4</v>
      </c>
      <c r="AI216" cm="1">
        <f t="array" ref="AI216">_xlfn.XLOOKUP(Matrix[[#This Row],[TEAM]]&amp;Matrix[[#Headers],[23]],FDR[FDR]&amp;FDR[[#Headers],[23]],FDR[23],"",0,1)</f>
        <v>4</v>
      </c>
      <c r="AJ216" cm="1">
        <f t="array" ref="AJ216">_xlfn.XLOOKUP(Matrix[[#This Row],[TEAM]]&amp;Matrix[[#Headers],[24]],FDR[FDR]&amp;FDR[[#Headers],[24]],FDR[24],"",0,1)</f>
        <v>2</v>
      </c>
      <c r="AK216" cm="1">
        <f t="array" ref="AK216">_xlfn.XLOOKUP(Matrix[[#This Row],[TEAM]]&amp;Matrix[[#Headers],[25]],FDR[FDR]&amp;FDR[[#Headers],[25]],FDR[25],"",0,1)</f>
        <v>3</v>
      </c>
      <c r="AL216" cm="1">
        <f t="array" ref="AL216">_xlfn.XLOOKUP(Matrix[[#This Row],[TEAM]]&amp;Matrix[[#Headers],[26]],FDR[FDR]&amp;FDR[[#Headers],[26]],FDR[26],"",0,1)</f>
        <v>3</v>
      </c>
      <c r="AM216" cm="1">
        <f t="array" ref="AM216">_xlfn.XLOOKUP(Matrix[[#This Row],[TEAM]]&amp;Matrix[[#Headers],[27]],FDR[FDR]&amp;FDR[[#Headers],[27]],FDR[27],"",0,1)</f>
        <v>3</v>
      </c>
      <c r="AN216" cm="1">
        <f t="array" ref="AN216">_xlfn.XLOOKUP(Matrix[[#This Row],[TEAM]]&amp;Matrix[[#Headers],[28]],FDR[FDR]&amp;FDR[[#Headers],[28]],FDR[28],"",0,1)</f>
        <v>1</v>
      </c>
      <c r="AO216" cm="1">
        <f t="array" ref="AO216">_xlfn.XLOOKUP(Matrix[[#This Row],[TEAM]]&amp;Matrix[[#Headers],[29]],FDR[FDR]&amp;FDR[[#Headers],[29]],FDR[29],"",0,1)</f>
        <v>2</v>
      </c>
      <c r="AP216" cm="1">
        <f t="array" ref="AP216">_xlfn.XLOOKUP(Matrix[[#This Row],[TEAM]]&amp;Matrix[[#Headers],[30]],FDR[FDR]&amp;FDR[[#Headers],[30]],FDR[30],"",0,1)</f>
        <v>2</v>
      </c>
      <c r="AQ216" cm="1">
        <f t="array" ref="AQ216">_xlfn.XLOOKUP(Matrix[[#This Row],[TEAM]]&amp;Matrix[[#Headers],[31]],FDR[FDR]&amp;FDR[[#Headers],[31]],FDR[31],"",0,1)</f>
        <v>4</v>
      </c>
      <c r="AR216" cm="1">
        <f t="array" ref="AR216">_xlfn.XLOOKUP(Matrix[[#This Row],[TEAM]]&amp;Matrix[[#Headers],[32]],FDR[FDR]&amp;FDR[[#Headers],[32]],FDR[32],"",0,1)</f>
        <v>5</v>
      </c>
      <c r="AS216" cm="1">
        <f t="array" ref="AS216">_xlfn.XLOOKUP(Matrix[[#This Row],[TEAM]]&amp;Matrix[[#Headers],[33]],FDR[FDR]&amp;FDR[[#Headers],[33]],FDR[33],"",0,1)</f>
        <v>5</v>
      </c>
      <c r="AT216" cm="1">
        <f t="array" ref="AT216">_xlfn.XLOOKUP(Matrix[[#This Row],[TEAM]]&amp;Matrix[[#Headers],[34]],FDR[FDR]&amp;FDR[[#Headers],[34]],FDR[34],"",0,1)</f>
        <v>1</v>
      </c>
      <c r="AU216" cm="1">
        <f t="array" ref="AU216">_xlfn.XLOOKUP(Matrix[[#This Row],[TEAM]]&amp;Matrix[[#Headers],[35]],FDR[FDR]&amp;FDR[[#Headers],[35]],FDR[35],"",0,1)</f>
        <v>2</v>
      </c>
      <c r="AV216" cm="1">
        <f t="array" ref="AV216">_xlfn.XLOOKUP(Matrix[[#This Row],[TEAM]]&amp;Matrix[[#Headers],[36]],FDR[FDR]&amp;FDR[[#Headers],[36]],FDR[36],"",0,1)</f>
        <v>4</v>
      </c>
      <c r="AW216" cm="1">
        <f t="array" ref="AW216">_xlfn.XLOOKUP(Matrix[[#This Row],[TEAM]]&amp;Matrix[[#Headers],[37]],FDR[FDR]&amp;FDR[[#Headers],[37]],FDR[37],"",0,1)</f>
        <v>4</v>
      </c>
      <c r="AX216" cm="1">
        <f t="array" ref="AX216">_xlfn.XLOOKUP(Matrix[[#This Row],[TEAM]]&amp;Matrix[[#Headers],[38]],FDR[FDR]&amp;FDR[[#Headers],[38]],FDR[38],"",0,1)</f>
        <v>4</v>
      </c>
    </row>
    <row r="217" spans="1:50" ht="22" thickTop="1" thickBot="1">
      <c r="A217" s="50" t="str">
        <f>INDEX!S$4</f>
        <v>MID</v>
      </c>
      <c r="B217" s="70" t="s">
        <v>1558</v>
      </c>
      <c r="C217" s="40" t="s">
        <v>33</v>
      </c>
      <c r="D217" s="62">
        <v>52</v>
      </c>
      <c r="E217" s="60">
        <v>1E-3</v>
      </c>
      <c r="F217" s="61">
        <v>68.5</v>
      </c>
      <c r="G217" s="63">
        <v>5</v>
      </c>
      <c r="H217" s="261">
        <f>IF(ISBLANK(I217),0,1)</f>
        <v>0</v>
      </c>
      <c r="I217" s="57"/>
      <c r="J217" s="58"/>
      <c r="K217" s="59" t="s">
        <v>831</v>
      </c>
      <c r="L217" s="59" t="s">
        <v>832</v>
      </c>
      <c r="M217" cm="1">
        <f t="array" ref="M217">_xlfn.XLOOKUP(Matrix[[#This Row],[TEAM]]&amp;Matrix[[#Headers],[1]],FDR[FDR]&amp;FDR[[#Headers],[1]],FDR[1],"",0,1)</f>
        <v>3</v>
      </c>
      <c r="N217" cm="1">
        <f t="array" ref="N217">_xlfn.XLOOKUP(Matrix[[#This Row],[TEAM]]&amp;Matrix[[#Headers],[2]],FDR[FDR]&amp;FDR[[#Headers],[2]],FDR[2],"",0,1)</f>
        <v>3</v>
      </c>
      <c r="O217" cm="1">
        <f t="array" ref="O217">_xlfn.XLOOKUP(Matrix[[#This Row],[TEAM]]&amp;Matrix[[#Headers],[3]],FDR[FDR]&amp;FDR[[#Headers],[3]],FDR[3],"",0,1)</f>
        <v>4</v>
      </c>
      <c r="P217" cm="1">
        <f t="array" ref="P217">_xlfn.XLOOKUP(Matrix[[#This Row],[TEAM]]&amp;Matrix[[#Headers],[4]],FDR[FDR]&amp;FDR[[#Headers],[4]],FDR[4],"",0,1)</f>
        <v>4</v>
      </c>
      <c r="Q217" cm="1">
        <f t="array" ref="Q217">_xlfn.XLOOKUP(Matrix[[#This Row],[TEAM]]&amp;Matrix[[#Headers],[5]],FDR[FDR]&amp;FDR[[#Headers],[5]],FDR[5],"",0,1)</f>
        <v>4</v>
      </c>
      <c r="R217" cm="1">
        <f t="array" ref="R217">_xlfn.XLOOKUP(Matrix[[#This Row],[TEAM]]&amp;Matrix[[#Headers],[6]],FDR[FDR]&amp;FDR[[#Headers],[6]],FDR[6],"",0,1)</f>
        <v>5</v>
      </c>
      <c r="S217" cm="1">
        <f t="array" ref="S217">_xlfn.XLOOKUP(Matrix[[#This Row],[TEAM]]&amp;Matrix[[#Headers],[7]],FDR[FDR]&amp;FDR[[#Headers],[7]],FDR[7],"",0,1)</f>
        <v>2</v>
      </c>
      <c r="T217" cm="1">
        <f t="array" ref="T217">_xlfn.XLOOKUP(Matrix[[#This Row],[TEAM]]&amp;Matrix[[#Headers],[8]],FDR[FDR]&amp;FDR[[#Headers],[8]],FDR[8],"",0,1)</f>
        <v>4</v>
      </c>
      <c r="U217" cm="1">
        <f t="array" ref="U217">_xlfn.XLOOKUP(Matrix[[#This Row],[TEAM]]&amp;Matrix[[#Headers],[9]],FDR[FDR]&amp;FDR[[#Headers],[9]],FDR[9],"",0,1)</f>
        <v>5</v>
      </c>
      <c r="V217" cm="1">
        <f t="array" ref="V217">_xlfn.XLOOKUP(Matrix[[#This Row],[TEAM]]&amp;Matrix[[#Headers],[10]],FDR[FDR]&amp;FDR[[#Headers],[10]],FDR[10],"",0,1)</f>
        <v>1</v>
      </c>
      <c r="W217" cm="1">
        <f t="array" ref="W217">_xlfn.XLOOKUP(Matrix[[#This Row],[TEAM]]&amp;Matrix[[#Headers],[11]],FDR[FDR]&amp;FDR[[#Headers],[11]],FDR[11],"",0,1)</f>
        <v>3</v>
      </c>
      <c r="X217" cm="1">
        <f t="array" ref="X217">_xlfn.XLOOKUP(Matrix[[#This Row],[TEAM]]&amp;Matrix[[#Headers],[12]],FDR[FDR]&amp;FDR[[#Headers],[12]],FDR[12],"",0,1)</f>
        <v>2</v>
      </c>
      <c r="Y217" cm="1">
        <f t="array" ref="Y217">_xlfn.XLOOKUP(Matrix[[#This Row],[TEAM]]&amp;Matrix[[#Headers],[13]],FDR[FDR]&amp;FDR[[#Headers],[13]],FDR[13],"",0,1)</f>
        <v>4</v>
      </c>
      <c r="Z217" cm="1">
        <f t="array" ref="Z217">_xlfn.XLOOKUP(Matrix[[#This Row],[TEAM]]&amp;Matrix[[#Headers],[14]],FDR[FDR]&amp;FDR[[#Headers],[14]],FDR[14],"",0,1)</f>
        <v>3</v>
      </c>
      <c r="AA217" cm="1">
        <f t="array" ref="AA217">_xlfn.XLOOKUP(Matrix[[#This Row],[TEAM]]&amp;Matrix[[#Headers],[15]],FDR[FDR]&amp;FDR[[#Headers],[15]],FDR[15],"",0,1)</f>
        <v>2</v>
      </c>
      <c r="AB217" cm="1">
        <f t="array" ref="AB217">_xlfn.XLOOKUP(Matrix[[#This Row],[TEAM]]&amp;Matrix[[#Headers],[16]],FDR[FDR]&amp;FDR[[#Headers],[16]],FDR[16],"",0,1)</f>
        <v>5</v>
      </c>
      <c r="AC217" cm="1">
        <f t="array" ref="AC217">_xlfn.XLOOKUP(Matrix[[#This Row],[TEAM]]&amp;Matrix[[#Headers],[17]],FDR[FDR]&amp;FDR[[#Headers],[17]],FDR[17],"",0,1)</f>
        <v>1</v>
      </c>
      <c r="AD217" cm="1">
        <f t="array" ref="AD217">_xlfn.XLOOKUP(Matrix[[#This Row],[TEAM]]&amp;Matrix[[#Headers],[18]],FDR[FDR]&amp;FDR[[#Headers],[18]],FDR[18],"",0,1)</f>
        <v>5</v>
      </c>
      <c r="AE217" cm="1">
        <f t="array" ref="AE217">_xlfn.XLOOKUP(Matrix[[#This Row],[TEAM]]&amp;Matrix[[#Headers],[19]],FDR[FDR]&amp;FDR[[#Headers],[19]],FDR[19],"",0,1)</f>
        <v>3</v>
      </c>
      <c r="AF217" cm="1">
        <f t="array" ref="AF217">_xlfn.XLOOKUP(Matrix[[#This Row],[TEAM]]&amp;Matrix[[#Headers],[20]],FDR[FDR]&amp;FDR[[#Headers],[20]],FDR[20],"",0,1)</f>
        <v>1</v>
      </c>
      <c r="AG217" cm="1">
        <f t="array" ref="AG217">_xlfn.XLOOKUP(Matrix[[#This Row],[TEAM]]&amp;Matrix[[#Headers],[21]],FDR[FDR]&amp;FDR[[#Headers],[21]],FDR[21],"",0,1)</f>
        <v>5</v>
      </c>
      <c r="AH217" cm="1">
        <f t="array" ref="AH217">_xlfn.XLOOKUP(Matrix[[#This Row],[TEAM]]&amp;Matrix[[#Headers],[22]],FDR[FDR]&amp;FDR[[#Headers],[22]],FDR[22],"",0,1)</f>
        <v>3</v>
      </c>
      <c r="AI217" cm="1">
        <f t="array" ref="AI217">_xlfn.XLOOKUP(Matrix[[#This Row],[TEAM]]&amp;Matrix[[#Headers],[23]],FDR[FDR]&amp;FDR[[#Headers],[23]],FDR[23],"",0,1)</f>
        <v>4</v>
      </c>
      <c r="AJ217" cm="1">
        <f t="array" ref="AJ217">_xlfn.XLOOKUP(Matrix[[#This Row],[TEAM]]&amp;Matrix[[#Headers],[24]],FDR[FDR]&amp;FDR[[#Headers],[24]],FDR[24],"",0,1)</f>
        <v>2</v>
      </c>
      <c r="AK217" cm="1">
        <f t="array" ref="AK217">_xlfn.XLOOKUP(Matrix[[#This Row],[TEAM]]&amp;Matrix[[#Headers],[25]],FDR[FDR]&amp;FDR[[#Headers],[25]],FDR[25],"",0,1)</f>
        <v>2</v>
      </c>
      <c r="AL217" cm="1">
        <f t="array" ref="AL217">_xlfn.XLOOKUP(Matrix[[#This Row],[TEAM]]&amp;Matrix[[#Headers],[26]],FDR[FDR]&amp;FDR[[#Headers],[26]],FDR[26],"",0,1)</f>
        <v>5</v>
      </c>
      <c r="AM217" cm="1">
        <f t="array" ref="AM217">_xlfn.XLOOKUP(Matrix[[#This Row],[TEAM]]&amp;Matrix[[#Headers],[27]],FDR[FDR]&amp;FDR[[#Headers],[27]],FDR[27],"",0,1)</f>
        <v>3</v>
      </c>
      <c r="AN217" cm="1">
        <f t="array" ref="AN217">_xlfn.XLOOKUP(Matrix[[#This Row],[TEAM]]&amp;Matrix[[#Headers],[28]],FDR[FDR]&amp;FDR[[#Headers],[28]],FDR[28],"",0,1)</f>
        <v>3</v>
      </c>
      <c r="AO217" cm="1">
        <f t="array" ref="AO217">_xlfn.XLOOKUP(Matrix[[#This Row],[TEAM]]&amp;Matrix[[#Headers],[29]],FDR[FDR]&amp;FDR[[#Headers],[29]],FDR[29],"",0,1)</f>
        <v>4</v>
      </c>
      <c r="AP217" cm="1">
        <f t="array" ref="AP217">_xlfn.XLOOKUP(Matrix[[#This Row],[TEAM]]&amp;Matrix[[#Headers],[30]],FDR[FDR]&amp;FDR[[#Headers],[30]],FDR[30],"",0,1)</f>
        <v>2</v>
      </c>
      <c r="AQ217" cm="1">
        <f t="array" ref="AQ217">_xlfn.XLOOKUP(Matrix[[#This Row],[TEAM]]&amp;Matrix[[#Headers],[31]],FDR[FDR]&amp;FDR[[#Headers],[31]],FDR[31],"",0,1)</f>
        <v>4</v>
      </c>
      <c r="AR217" cm="1">
        <f t="array" ref="AR217">_xlfn.XLOOKUP(Matrix[[#This Row],[TEAM]]&amp;Matrix[[#Headers],[32]],FDR[FDR]&amp;FDR[[#Headers],[32]],FDR[32],"",0,1)</f>
        <v>2</v>
      </c>
      <c r="AS217" cm="1">
        <f t="array" ref="AS217">_xlfn.XLOOKUP(Matrix[[#This Row],[TEAM]]&amp;Matrix[[#Headers],[33]],FDR[FDR]&amp;FDR[[#Headers],[33]],FDR[33],"",0,1)</f>
        <v>5</v>
      </c>
      <c r="AT217" cm="1">
        <f t="array" ref="AT217">_xlfn.XLOOKUP(Matrix[[#This Row],[TEAM]]&amp;Matrix[[#Headers],[34]],FDR[FDR]&amp;FDR[[#Headers],[34]],FDR[34],"",0,1)</f>
        <v>4</v>
      </c>
      <c r="AU217" cm="1">
        <f t="array" ref="AU217">_xlfn.XLOOKUP(Matrix[[#This Row],[TEAM]]&amp;Matrix[[#Headers],[35]],FDR[FDR]&amp;FDR[[#Headers],[35]],FDR[35],"",0,1)</f>
        <v>5</v>
      </c>
      <c r="AV217" cm="1">
        <f t="array" ref="AV217">_xlfn.XLOOKUP(Matrix[[#This Row],[TEAM]]&amp;Matrix[[#Headers],[36]],FDR[FDR]&amp;FDR[[#Headers],[36]],FDR[36],"",0,1)</f>
        <v>1</v>
      </c>
      <c r="AW217" cm="1">
        <f t="array" ref="AW217">_xlfn.XLOOKUP(Matrix[[#This Row],[TEAM]]&amp;Matrix[[#Headers],[37]],FDR[FDR]&amp;FDR[[#Headers],[37]],FDR[37],"",0,1)</f>
        <v>2</v>
      </c>
      <c r="AX217" cm="1">
        <f t="array" ref="AX217">_xlfn.XLOOKUP(Matrix[[#This Row],[TEAM]]&amp;Matrix[[#Headers],[38]],FDR[FDR]&amp;FDR[[#Headers],[38]],FDR[38],"",0,1)</f>
        <v>4</v>
      </c>
    </row>
    <row r="218" spans="1:50" ht="22" thickTop="1" thickBot="1">
      <c r="A218" s="50" t="str">
        <f>INDEX!S$4</f>
        <v>MID</v>
      </c>
      <c r="B218" s="70" t="s">
        <v>1543</v>
      </c>
      <c r="C218" s="40" t="s">
        <v>30</v>
      </c>
      <c r="D218" s="62">
        <v>49</v>
      </c>
      <c r="E218" s="60">
        <v>2E-3</v>
      </c>
      <c r="F218" s="61">
        <v>62.1</v>
      </c>
      <c r="G218" s="63">
        <v>5</v>
      </c>
      <c r="H218" s="261">
        <f>IF(ISBLANK(I218),0,1)</f>
        <v>0</v>
      </c>
      <c r="I218" s="57"/>
      <c r="J218" s="58"/>
      <c r="K218" s="59" t="s">
        <v>453</v>
      </c>
      <c r="L218" s="59" t="s">
        <v>877</v>
      </c>
      <c r="M218" cm="1">
        <f t="array" ref="M218">_xlfn.XLOOKUP(Matrix[[#This Row],[TEAM]]&amp;Matrix[[#Headers],[1]],FDR[FDR]&amp;FDR[[#Headers],[1]],FDR[1],"",0,1)</f>
        <v>3</v>
      </c>
      <c r="N218" cm="1">
        <f t="array" ref="N218">_xlfn.XLOOKUP(Matrix[[#This Row],[TEAM]]&amp;Matrix[[#Headers],[2]],FDR[FDR]&amp;FDR[[#Headers],[2]],FDR[2],"",0,1)</f>
        <v>2</v>
      </c>
      <c r="O218" cm="1">
        <f t="array" ref="O218">_xlfn.XLOOKUP(Matrix[[#This Row],[TEAM]]&amp;Matrix[[#Headers],[3]],FDR[FDR]&amp;FDR[[#Headers],[3]],FDR[3],"",0,1)</f>
        <v>1</v>
      </c>
      <c r="P218" cm="1">
        <f t="array" ref="P218">_xlfn.XLOOKUP(Matrix[[#This Row],[TEAM]]&amp;Matrix[[#Headers],[4]],FDR[FDR]&amp;FDR[[#Headers],[4]],FDR[4],"",0,1)</f>
        <v>4</v>
      </c>
      <c r="Q218" cm="1">
        <f t="array" ref="Q218">_xlfn.XLOOKUP(Matrix[[#This Row],[TEAM]]&amp;Matrix[[#Headers],[5]],FDR[FDR]&amp;FDR[[#Headers],[5]],FDR[5],"",0,1)</f>
        <v>3</v>
      </c>
      <c r="R218" cm="1">
        <f t="array" ref="R218">_xlfn.XLOOKUP(Matrix[[#This Row],[TEAM]]&amp;Matrix[[#Headers],[6]],FDR[FDR]&amp;FDR[[#Headers],[6]],FDR[6],"",0,1)</f>
        <v>2</v>
      </c>
      <c r="S218" cm="1">
        <f t="array" ref="S218">_xlfn.XLOOKUP(Matrix[[#This Row],[TEAM]]&amp;Matrix[[#Headers],[7]],FDR[FDR]&amp;FDR[[#Headers],[7]],FDR[7],"",0,1)</f>
        <v>1</v>
      </c>
      <c r="T218" cm="1">
        <f t="array" ref="T218">_xlfn.XLOOKUP(Matrix[[#This Row],[TEAM]]&amp;Matrix[[#Headers],[8]],FDR[FDR]&amp;FDR[[#Headers],[8]],FDR[8],"",0,1)</f>
        <v>4</v>
      </c>
      <c r="U218" cm="1">
        <f t="array" ref="U218">_xlfn.XLOOKUP(Matrix[[#This Row],[TEAM]]&amp;Matrix[[#Headers],[9]],FDR[FDR]&amp;FDR[[#Headers],[9]],FDR[9],"",0,1)</f>
        <v>1</v>
      </c>
      <c r="V218" cm="1">
        <f t="array" ref="V218">_xlfn.XLOOKUP(Matrix[[#This Row],[TEAM]]&amp;Matrix[[#Headers],[10]],FDR[FDR]&amp;FDR[[#Headers],[10]],FDR[10],"",0,1)</f>
        <v>2</v>
      </c>
      <c r="W218" cm="1">
        <f t="array" ref="W218">_xlfn.XLOOKUP(Matrix[[#This Row],[TEAM]]&amp;Matrix[[#Headers],[11]],FDR[FDR]&amp;FDR[[#Headers],[11]],FDR[11],"",0,1)</f>
        <v>4</v>
      </c>
      <c r="X218" cm="1">
        <f t="array" ref="X218">_xlfn.XLOOKUP(Matrix[[#This Row],[TEAM]]&amp;Matrix[[#Headers],[12]],FDR[FDR]&amp;FDR[[#Headers],[12]],FDR[12],"",0,1)</f>
        <v>1</v>
      </c>
      <c r="Y218" cm="1">
        <f t="array" ref="Y218">_xlfn.XLOOKUP(Matrix[[#This Row],[TEAM]]&amp;Matrix[[#Headers],[13]],FDR[FDR]&amp;FDR[[#Headers],[13]],FDR[13],"",0,1)</f>
        <v>2</v>
      </c>
      <c r="Z218" cm="1">
        <f t="array" ref="Z218">_xlfn.XLOOKUP(Matrix[[#This Row],[TEAM]]&amp;Matrix[[#Headers],[14]],FDR[FDR]&amp;FDR[[#Headers],[14]],FDR[14],"",0,1)</f>
        <v>1</v>
      </c>
      <c r="AA218" cm="1">
        <f t="array" ref="AA218">_xlfn.XLOOKUP(Matrix[[#This Row],[TEAM]]&amp;Matrix[[#Headers],[15]],FDR[FDR]&amp;FDR[[#Headers],[15]],FDR[15],"",0,1)</f>
        <v>1</v>
      </c>
      <c r="AB218" cm="1">
        <f t="array" ref="AB218">_xlfn.XLOOKUP(Matrix[[#This Row],[TEAM]]&amp;Matrix[[#Headers],[16]],FDR[FDR]&amp;FDR[[#Headers],[16]],FDR[16],"",0,1)</f>
        <v>1</v>
      </c>
      <c r="AC218" cm="1">
        <f t="array" ref="AC218">_xlfn.XLOOKUP(Matrix[[#This Row],[TEAM]]&amp;Matrix[[#Headers],[17]],FDR[FDR]&amp;FDR[[#Headers],[17]],FDR[17],"",0,1)</f>
        <v>3</v>
      </c>
      <c r="AD218" cm="1">
        <f t="array" ref="AD218">_xlfn.XLOOKUP(Matrix[[#This Row],[TEAM]]&amp;Matrix[[#Headers],[18]],FDR[FDR]&amp;FDR[[#Headers],[18]],FDR[18],"",0,1)</f>
        <v>2</v>
      </c>
      <c r="AE218" cm="1">
        <f t="array" ref="AE218">_xlfn.XLOOKUP(Matrix[[#This Row],[TEAM]]&amp;Matrix[[#Headers],[19]],FDR[FDR]&amp;FDR[[#Headers],[19]],FDR[19],"",0,1)</f>
        <v>1</v>
      </c>
      <c r="AF218" cm="1">
        <f t="array" ref="AF218">_xlfn.XLOOKUP(Matrix[[#This Row],[TEAM]]&amp;Matrix[[#Headers],[20]],FDR[FDR]&amp;FDR[[#Headers],[20]],FDR[20],"",0,1)</f>
        <v>1</v>
      </c>
      <c r="AG218" cm="1">
        <f t="array" ref="AG218">_xlfn.XLOOKUP(Matrix[[#This Row],[TEAM]]&amp;Matrix[[#Headers],[21]],FDR[FDR]&amp;FDR[[#Headers],[21]],FDR[21],"",0,1)</f>
        <v>1</v>
      </c>
      <c r="AH218" cm="1">
        <f t="array" ref="AH218">_xlfn.XLOOKUP(Matrix[[#This Row],[TEAM]]&amp;Matrix[[#Headers],[22]],FDR[FDR]&amp;FDR[[#Headers],[22]],FDR[22],"",0,1)</f>
        <v>3</v>
      </c>
      <c r="AI218" cm="1">
        <f t="array" ref="AI218">_xlfn.XLOOKUP(Matrix[[#This Row],[TEAM]]&amp;Matrix[[#Headers],[23]],FDR[FDR]&amp;FDR[[#Headers],[23]],FDR[23],"",0,1)</f>
        <v>4</v>
      </c>
      <c r="AJ218" cm="1">
        <f t="array" ref="AJ218">_xlfn.XLOOKUP(Matrix[[#This Row],[TEAM]]&amp;Matrix[[#Headers],[24]],FDR[FDR]&amp;FDR[[#Headers],[24]],FDR[24],"",0,1)</f>
        <v>1</v>
      </c>
      <c r="AK218" cm="1">
        <f t="array" ref="AK218">_xlfn.XLOOKUP(Matrix[[#This Row],[TEAM]]&amp;Matrix[[#Headers],[25]],FDR[FDR]&amp;FDR[[#Headers],[25]],FDR[25],"",0,1)</f>
        <v>3</v>
      </c>
      <c r="AL218" cm="1">
        <f t="array" ref="AL218">_xlfn.XLOOKUP(Matrix[[#This Row],[TEAM]]&amp;Matrix[[#Headers],[26]],FDR[FDR]&amp;FDR[[#Headers],[26]],FDR[26],"",0,1)</f>
        <v>2</v>
      </c>
      <c r="AM218" cm="1">
        <f t="array" ref="AM218">_xlfn.XLOOKUP(Matrix[[#This Row],[TEAM]]&amp;Matrix[[#Headers],[27]],FDR[FDR]&amp;FDR[[#Headers],[27]],FDR[27],"",0,1)</f>
        <v>2</v>
      </c>
      <c r="AN218" cm="1">
        <f t="array" ref="AN218">_xlfn.XLOOKUP(Matrix[[#This Row],[TEAM]]&amp;Matrix[[#Headers],[28]],FDR[FDR]&amp;FDR[[#Headers],[28]],FDR[28],"",0,1)</f>
        <v>1</v>
      </c>
      <c r="AO218" cm="1">
        <f t="array" ref="AO218">_xlfn.XLOOKUP(Matrix[[#This Row],[TEAM]]&amp;Matrix[[#Headers],[29]],FDR[FDR]&amp;FDR[[#Headers],[29]],FDR[29],"",0,1)</f>
        <v>3</v>
      </c>
      <c r="AP218" cm="1">
        <f t="array" ref="AP218">_xlfn.XLOOKUP(Matrix[[#This Row],[TEAM]]&amp;Matrix[[#Headers],[30]],FDR[FDR]&amp;FDR[[#Headers],[30]],FDR[30],"",0,1)</f>
        <v>2</v>
      </c>
      <c r="AQ218" cm="1">
        <f t="array" ref="AQ218">_xlfn.XLOOKUP(Matrix[[#This Row],[TEAM]]&amp;Matrix[[#Headers],[31]],FDR[FDR]&amp;FDR[[#Headers],[31]],FDR[31],"",0,1)</f>
        <v>2</v>
      </c>
      <c r="AR218" cm="1">
        <f t="array" ref="AR218">_xlfn.XLOOKUP(Matrix[[#This Row],[TEAM]]&amp;Matrix[[#Headers],[32]],FDR[FDR]&amp;FDR[[#Headers],[32]],FDR[32],"",0,1)</f>
        <v>1</v>
      </c>
      <c r="AS218" cm="1">
        <f t="array" ref="AS218">_xlfn.XLOOKUP(Matrix[[#This Row],[TEAM]]&amp;Matrix[[#Headers],[33]],FDR[FDR]&amp;FDR[[#Headers],[33]],FDR[33],"",0,1)</f>
        <v>4</v>
      </c>
      <c r="AT218" cm="1">
        <f t="array" ref="AT218">_xlfn.XLOOKUP(Matrix[[#This Row],[TEAM]]&amp;Matrix[[#Headers],[34]],FDR[FDR]&amp;FDR[[#Headers],[34]],FDR[34],"",0,1)</f>
        <v>1</v>
      </c>
      <c r="AU218" cm="1">
        <f t="array" ref="AU218">_xlfn.XLOOKUP(Matrix[[#This Row],[TEAM]]&amp;Matrix[[#Headers],[35]],FDR[FDR]&amp;FDR[[#Headers],[35]],FDR[35],"",0,1)</f>
        <v>3</v>
      </c>
      <c r="AV218" cm="1">
        <f t="array" ref="AV218">_xlfn.XLOOKUP(Matrix[[#This Row],[TEAM]]&amp;Matrix[[#Headers],[36]],FDR[FDR]&amp;FDR[[#Headers],[36]],FDR[36],"",0,1)</f>
        <v>1</v>
      </c>
      <c r="AW218" cm="1">
        <f t="array" ref="AW218">_xlfn.XLOOKUP(Matrix[[#This Row],[TEAM]]&amp;Matrix[[#Headers],[37]],FDR[FDR]&amp;FDR[[#Headers],[37]],FDR[37],"",0,1)</f>
        <v>1</v>
      </c>
      <c r="AX218" cm="1">
        <f t="array" ref="AX218">_xlfn.XLOOKUP(Matrix[[#This Row],[TEAM]]&amp;Matrix[[#Headers],[38]],FDR[FDR]&amp;FDR[[#Headers],[38]],FDR[38],"",0,1)</f>
        <v>2</v>
      </c>
    </row>
    <row r="219" spans="1:50" ht="22" thickTop="1" thickBot="1">
      <c r="A219" s="50" t="str">
        <f>INDEX!S$4</f>
        <v>MID</v>
      </c>
      <c r="B219" s="70" t="s">
        <v>1546</v>
      </c>
      <c r="C219" s="40" t="s">
        <v>19</v>
      </c>
      <c r="D219" s="62">
        <v>45</v>
      </c>
      <c r="E219" s="60">
        <v>2E-3</v>
      </c>
      <c r="F219" s="61">
        <v>34.299999999999997</v>
      </c>
      <c r="G219" s="63">
        <v>5</v>
      </c>
      <c r="H219" s="261">
        <f>IF(ISBLANK(I219),0,1)</f>
        <v>0</v>
      </c>
      <c r="I219" s="57"/>
      <c r="J219" s="58"/>
      <c r="K219" s="59" t="s">
        <v>896</v>
      </c>
      <c r="L219" s="59" t="s">
        <v>212</v>
      </c>
      <c r="M219" cm="1">
        <f t="array" ref="M219">_xlfn.XLOOKUP(Matrix[[#This Row],[TEAM]]&amp;Matrix[[#Headers],[1]],FDR[FDR]&amp;FDR[[#Headers],[1]],FDR[1],"",0,1)</f>
        <v>1</v>
      </c>
      <c r="N219" cm="1">
        <f t="array" ref="N219">_xlfn.XLOOKUP(Matrix[[#This Row],[TEAM]]&amp;Matrix[[#Headers],[2]],FDR[FDR]&amp;FDR[[#Headers],[2]],FDR[2],"",0,1)</f>
        <v>4</v>
      </c>
      <c r="O219" cm="1">
        <f t="array" ref="O219">_xlfn.XLOOKUP(Matrix[[#This Row],[TEAM]]&amp;Matrix[[#Headers],[3]],FDR[FDR]&amp;FDR[[#Headers],[3]],FDR[3],"",0,1)</f>
        <v>1</v>
      </c>
      <c r="P219" cm="1">
        <f t="array" ref="P219">_xlfn.XLOOKUP(Matrix[[#This Row],[TEAM]]&amp;Matrix[[#Headers],[4]],FDR[FDR]&amp;FDR[[#Headers],[4]],FDR[4],"",0,1)</f>
        <v>2</v>
      </c>
      <c r="Q219" cm="1">
        <f t="array" ref="Q219">_xlfn.XLOOKUP(Matrix[[#This Row],[TEAM]]&amp;Matrix[[#Headers],[5]],FDR[FDR]&amp;FDR[[#Headers],[5]],FDR[5],"",0,1)</f>
        <v>2</v>
      </c>
      <c r="R219" cm="1">
        <f t="array" ref="R219">_xlfn.XLOOKUP(Matrix[[#This Row],[TEAM]]&amp;Matrix[[#Headers],[6]],FDR[FDR]&amp;FDR[[#Headers],[6]],FDR[6],"",0,1)</f>
        <v>1</v>
      </c>
      <c r="S219" cm="1">
        <f t="array" ref="S219">_xlfn.XLOOKUP(Matrix[[#This Row],[TEAM]]&amp;Matrix[[#Headers],[7]],FDR[FDR]&amp;FDR[[#Headers],[7]],FDR[7],"",0,1)</f>
        <v>1</v>
      </c>
      <c r="T219" cm="1">
        <f t="array" ref="T219">_xlfn.XLOOKUP(Matrix[[#This Row],[TEAM]]&amp;Matrix[[#Headers],[8]],FDR[FDR]&amp;FDR[[#Headers],[8]],FDR[8],"",0,1)</f>
        <v>2</v>
      </c>
      <c r="U219" cm="1">
        <f t="array" ref="U219">_xlfn.XLOOKUP(Matrix[[#This Row],[TEAM]]&amp;Matrix[[#Headers],[9]],FDR[FDR]&amp;FDR[[#Headers],[9]],FDR[9],"",0,1)</f>
        <v>2</v>
      </c>
      <c r="V219" cm="1">
        <f t="array" ref="V219">_xlfn.XLOOKUP(Matrix[[#This Row],[TEAM]]&amp;Matrix[[#Headers],[10]],FDR[FDR]&amp;FDR[[#Headers],[10]],FDR[10],"",0,1)</f>
        <v>3</v>
      </c>
      <c r="W219" cm="1">
        <f t="array" ref="W219">_xlfn.XLOOKUP(Matrix[[#This Row],[TEAM]]&amp;Matrix[[#Headers],[11]],FDR[FDR]&amp;FDR[[#Headers],[11]],FDR[11],"",0,1)</f>
        <v>3</v>
      </c>
      <c r="X219" cm="1">
        <f t="array" ref="X219">_xlfn.XLOOKUP(Matrix[[#This Row],[TEAM]]&amp;Matrix[[#Headers],[12]],FDR[FDR]&amp;FDR[[#Headers],[12]],FDR[12],"",0,1)</f>
        <v>4</v>
      </c>
      <c r="Y219" cm="1">
        <f t="array" ref="Y219">_xlfn.XLOOKUP(Matrix[[#This Row],[TEAM]]&amp;Matrix[[#Headers],[13]],FDR[FDR]&amp;FDR[[#Headers],[13]],FDR[13],"",0,1)</f>
        <v>1</v>
      </c>
      <c r="Z219" cm="1">
        <f t="array" ref="Z219">_xlfn.XLOOKUP(Matrix[[#This Row],[TEAM]]&amp;Matrix[[#Headers],[14]],FDR[FDR]&amp;FDR[[#Headers],[14]],FDR[14],"",0,1)</f>
        <v>3</v>
      </c>
      <c r="AA219" cm="1">
        <f t="array" ref="AA219">_xlfn.XLOOKUP(Matrix[[#This Row],[TEAM]]&amp;Matrix[[#Headers],[15]],FDR[FDR]&amp;FDR[[#Headers],[15]],FDR[15],"",0,1)</f>
        <v>1</v>
      </c>
      <c r="AB219" cm="1">
        <f t="array" ref="AB219">_xlfn.XLOOKUP(Matrix[[#This Row],[TEAM]]&amp;Matrix[[#Headers],[16]],FDR[FDR]&amp;FDR[[#Headers],[16]],FDR[16],"",0,1)</f>
        <v>2</v>
      </c>
      <c r="AC219" cm="1">
        <f t="array" ref="AC219">_xlfn.XLOOKUP(Matrix[[#This Row],[TEAM]]&amp;Matrix[[#Headers],[17]],FDR[FDR]&amp;FDR[[#Headers],[17]],FDR[17],"",0,1)</f>
        <v>3</v>
      </c>
      <c r="AD219" cm="1">
        <f t="array" ref="AD219">_xlfn.XLOOKUP(Matrix[[#This Row],[TEAM]]&amp;Matrix[[#Headers],[18]],FDR[FDR]&amp;FDR[[#Headers],[18]],FDR[18],"",0,1)</f>
        <v>2</v>
      </c>
      <c r="AE219" cm="1">
        <f t="array" ref="AE219">_xlfn.XLOOKUP(Matrix[[#This Row],[TEAM]]&amp;Matrix[[#Headers],[19]],FDR[FDR]&amp;FDR[[#Headers],[19]],FDR[19],"",0,1)</f>
        <v>2</v>
      </c>
      <c r="AF219" cm="1">
        <f t="array" ref="AF219">_xlfn.XLOOKUP(Matrix[[#This Row],[TEAM]]&amp;Matrix[[#Headers],[20]],FDR[FDR]&amp;FDR[[#Headers],[20]],FDR[20],"",0,1)</f>
        <v>1</v>
      </c>
      <c r="AG219" cm="1">
        <f t="array" ref="AG219">_xlfn.XLOOKUP(Matrix[[#This Row],[TEAM]]&amp;Matrix[[#Headers],[21]],FDR[FDR]&amp;FDR[[#Headers],[21]],FDR[21],"",0,1)</f>
        <v>2</v>
      </c>
      <c r="AH219" cm="1">
        <f t="array" ref="AH219">_xlfn.XLOOKUP(Matrix[[#This Row],[TEAM]]&amp;Matrix[[#Headers],[22]],FDR[FDR]&amp;FDR[[#Headers],[22]],FDR[22],"",0,1)</f>
        <v>1</v>
      </c>
      <c r="AI219" cm="1">
        <f t="array" ref="AI219">_xlfn.XLOOKUP(Matrix[[#This Row],[TEAM]]&amp;Matrix[[#Headers],[23]],FDR[FDR]&amp;FDR[[#Headers],[23]],FDR[23],"",0,1)</f>
        <v>1</v>
      </c>
      <c r="AJ219" cm="1">
        <f t="array" ref="AJ219">_xlfn.XLOOKUP(Matrix[[#This Row],[TEAM]]&amp;Matrix[[#Headers],[24]],FDR[FDR]&amp;FDR[[#Headers],[24]],FDR[24],"",0,1)</f>
        <v>3</v>
      </c>
      <c r="AK219" cm="1">
        <f t="array" ref="AK219">_xlfn.XLOOKUP(Matrix[[#This Row],[TEAM]]&amp;Matrix[[#Headers],[25]],FDR[FDR]&amp;FDR[[#Headers],[25]],FDR[25],"",0,1)</f>
        <v>4</v>
      </c>
      <c r="AL219" cm="1">
        <f t="array" ref="AL219">_xlfn.XLOOKUP(Matrix[[#This Row],[TEAM]]&amp;Matrix[[#Headers],[26]],FDR[FDR]&amp;FDR[[#Headers],[26]],FDR[26],"",0,1)</f>
        <v>2</v>
      </c>
      <c r="AM219" cm="1">
        <f t="array" ref="AM219">_xlfn.XLOOKUP(Matrix[[#This Row],[TEAM]]&amp;Matrix[[#Headers],[27]],FDR[FDR]&amp;FDR[[#Headers],[27]],FDR[27],"",0,1)</f>
        <v>3</v>
      </c>
      <c r="AN219" cm="1">
        <f t="array" ref="AN219">_xlfn.XLOOKUP(Matrix[[#This Row],[TEAM]]&amp;Matrix[[#Headers],[28]],FDR[FDR]&amp;FDR[[#Headers],[28]],FDR[28],"",0,1)</f>
        <v>2</v>
      </c>
      <c r="AO219" cm="1">
        <f t="array" ref="AO219">_xlfn.XLOOKUP(Matrix[[#This Row],[TEAM]]&amp;Matrix[[#Headers],[29]],FDR[FDR]&amp;FDR[[#Headers],[29]],FDR[29],"",0,1)</f>
        <v>1</v>
      </c>
      <c r="AP219" cm="1">
        <f t="array" ref="AP219">_xlfn.XLOOKUP(Matrix[[#This Row],[TEAM]]&amp;Matrix[[#Headers],[30]],FDR[FDR]&amp;FDR[[#Headers],[30]],FDR[30],"",0,1)</f>
        <v>4</v>
      </c>
      <c r="AQ219" cm="1">
        <f t="array" ref="AQ219">_xlfn.XLOOKUP(Matrix[[#This Row],[TEAM]]&amp;Matrix[[#Headers],[31]],FDR[FDR]&amp;FDR[[#Headers],[31]],FDR[31],"",0,1)</f>
        <v>1</v>
      </c>
      <c r="AR219" cm="1">
        <f t="array" ref="AR219">_xlfn.XLOOKUP(Matrix[[#This Row],[TEAM]]&amp;Matrix[[#Headers],[32]],FDR[FDR]&amp;FDR[[#Headers],[32]],FDR[32],"",0,1)</f>
        <v>1</v>
      </c>
      <c r="AS219" cm="1">
        <f t="array" ref="AS219">_xlfn.XLOOKUP(Matrix[[#This Row],[TEAM]]&amp;Matrix[[#Headers],[33]],FDR[FDR]&amp;FDR[[#Headers],[33]],FDR[33],"",0,1)</f>
        <v>1</v>
      </c>
      <c r="AT219" cm="1">
        <f t="array" ref="AT219">_xlfn.XLOOKUP(Matrix[[#This Row],[TEAM]]&amp;Matrix[[#Headers],[34]],FDR[FDR]&amp;FDR[[#Headers],[34]],FDR[34],"",0,1)</f>
        <v>1</v>
      </c>
      <c r="AU219" cm="1">
        <f t="array" ref="AU219">_xlfn.XLOOKUP(Matrix[[#This Row],[TEAM]]&amp;Matrix[[#Headers],[35]],FDR[FDR]&amp;FDR[[#Headers],[35]],FDR[35],"",0,1)</f>
        <v>3</v>
      </c>
      <c r="AV219" cm="1">
        <f t="array" ref="AV219">_xlfn.XLOOKUP(Matrix[[#This Row],[TEAM]]&amp;Matrix[[#Headers],[36]],FDR[FDR]&amp;FDR[[#Headers],[36]],FDR[36],"",0,1)</f>
        <v>1</v>
      </c>
      <c r="AW219" cm="1">
        <f t="array" ref="AW219">_xlfn.XLOOKUP(Matrix[[#This Row],[TEAM]]&amp;Matrix[[#Headers],[37]],FDR[FDR]&amp;FDR[[#Headers],[37]],FDR[37],"",0,1)</f>
        <v>4</v>
      </c>
      <c r="AX219" cm="1">
        <f t="array" ref="AX219">_xlfn.XLOOKUP(Matrix[[#This Row],[TEAM]]&amp;Matrix[[#Headers],[38]],FDR[FDR]&amp;FDR[[#Headers],[38]],FDR[38],"",0,1)</f>
        <v>1</v>
      </c>
    </row>
    <row r="220" spans="1:50" ht="22" thickTop="1" thickBot="1">
      <c r="A220" s="50" t="str">
        <f>INDEX!S$4</f>
        <v>MID</v>
      </c>
      <c r="B220" s="70" t="s">
        <v>1555</v>
      </c>
      <c r="C220" s="40" t="s">
        <v>21</v>
      </c>
      <c r="D220" s="62">
        <v>43</v>
      </c>
      <c r="E220" s="60">
        <v>1E-3</v>
      </c>
      <c r="F220" s="61">
        <v>54.4</v>
      </c>
      <c r="G220" s="63">
        <v>5</v>
      </c>
      <c r="H220" s="261">
        <f>IF(ISBLANK(I220),0,1)</f>
        <v>0</v>
      </c>
      <c r="I220" s="57"/>
      <c r="J220" s="58"/>
      <c r="K220" s="59" t="s">
        <v>827</v>
      </c>
      <c r="L220" s="59" t="s">
        <v>828</v>
      </c>
      <c r="M220" cm="1">
        <f t="array" ref="M220">_xlfn.XLOOKUP(Matrix[[#This Row],[TEAM]]&amp;Matrix[[#Headers],[1]],FDR[FDR]&amp;FDR[[#Headers],[1]],FDR[1],"",0,1)</f>
        <v>4</v>
      </c>
      <c r="N220" cm="1">
        <f t="array" ref="N220">_xlfn.XLOOKUP(Matrix[[#This Row],[TEAM]]&amp;Matrix[[#Headers],[2]],FDR[FDR]&amp;FDR[[#Headers],[2]],FDR[2],"",0,1)</f>
        <v>4</v>
      </c>
      <c r="O220" cm="1">
        <f t="array" ref="O220">_xlfn.XLOOKUP(Matrix[[#This Row],[TEAM]]&amp;Matrix[[#Headers],[3]],FDR[FDR]&amp;FDR[[#Headers],[3]],FDR[3],"",0,1)</f>
        <v>2</v>
      </c>
      <c r="P220" cm="1">
        <f t="array" ref="P220">_xlfn.XLOOKUP(Matrix[[#This Row],[TEAM]]&amp;Matrix[[#Headers],[4]],FDR[FDR]&amp;FDR[[#Headers],[4]],FDR[4],"",0,1)</f>
        <v>4</v>
      </c>
      <c r="Q220" cm="1">
        <f t="array" ref="Q220">_xlfn.XLOOKUP(Matrix[[#This Row],[TEAM]]&amp;Matrix[[#Headers],[5]],FDR[FDR]&amp;FDR[[#Headers],[5]],FDR[5],"",0,1)</f>
        <v>4</v>
      </c>
      <c r="R220" cm="1">
        <f t="array" ref="R220">_xlfn.XLOOKUP(Matrix[[#This Row],[TEAM]]&amp;Matrix[[#Headers],[6]],FDR[FDR]&amp;FDR[[#Headers],[6]],FDR[6],"",0,1)</f>
        <v>4</v>
      </c>
      <c r="S220" cm="1">
        <f t="array" ref="S220">_xlfn.XLOOKUP(Matrix[[#This Row],[TEAM]]&amp;Matrix[[#Headers],[7]],FDR[FDR]&amp;FDR[[#Headers],[7]],FDR[7],"",0,1)</f>
        <v>4</v>
      </c>
      <c r="T220" cm="1">
        <f t="array" ref="T220">_xlfn.XLOOKUP(Matrix[[#This Row],[TEAM]]&amp;Matrix[[#Headers],[8]],FDR[FDR]&amp;FDR[[#Headers],[8]],FDR[8],"",0,1)</f>
        <v>4</v>
      </c>
      <c r="U220" cm="1">
        <f t="array" ref="U220">_xlfn.XLOOKUP(Matrix[[#This Row],[TEAM]]&amp;Matrix[[#Headers],[9]],FDR[FDR]&amp;FDR[[#Headers],[9]],FDR[9],"",0,1)</f>
        <v>4</v>
      </c>
      <c r="V220" cm="1">
        <f t="array" ref="V220">_xlfn.XLOOKUP(Matrix[[#This Row],[TEAM]]&amp;Matrix[[#Headers],[10]],FDR[FDR]&amp;FDR[[#Headers],[10]],FDR[10],"",0,1)</f>
        <v>4</v>
      </c>
      <c r="W220" cm="1">
        <f t="array" ref="W220">_xlfn.XLOOKUP(Matrix[[#This Row],[TEAM]]&amp;Matrix[[#Headers],[11]],FDR[FDR]&amp;FDR[[#Headers],[11]],FDR[11],"",0,1)</f>
        <v>4</v>
      </c>
      <c r="X220" cm="1">
        <f t="array" ref="X220">_xlfn.XLOOKUP(Matrix[[#This Row],[TEAM]]&amp;Matrix[[#Headers],[12]],FDR[FDR]&amp;FDR[[#Headers],[12]],FDR[12],"",0,1)</f>
        <v>4</v>
      </c>
      <c r="Y220" cm="1">
        <f t="array" ref="Y220">_xlfn.XLOOKUP(Matrix[[#This Row],[TEAM]]&amp;Matrix[[#Headers],[13]],FDR[FDR]&amp;FDR[[#Headers],[13]],FDR[13],"",0,1)</f>
        <v>1</v>
      </c>
      <c r="Z220" cm="1">
        <f t="array" ref="Z220">_xlfn.XLOOKUP(Matrix[[#This Row],[TEAM]]&amp;Matrix[[#Headers],[14]],FDR[FDR]&amp;FDR[[#Headers],[14]],FDR[14],"",0,1)</f>
        <v>5</v>
      </c>
      <c r="AA220" cm="1">
        <f t="array" ref="AA220">_xlfn.XLOOKUP(Matrix[[#This Row],[TEAM]]&amp;Matrix[[#Headers],[15]],FDR[FDR]&amp;FDR[[#Headers],[15]],FDR[15],"",0,1)</f>
        <v>5</v>
      </c>
      <c r="AB220" cm="1">
        <f t="array" ref="AB220">_xlfn.XLOOKUP(Matrix[[#This Row],[TEAM]]&amp;Matrix[[#Headers],[16]],FDR[FDR]&amp;FDR[[#Headers],[16]],FDR[16],"",0,1)</f>
        <v>1</v>
      </c>
      <c r="AC220" cm="1">
        <f t="array" ref="AC220">_xlfn.XLOOKUP(Matrix[[#This Row],[TEAM]]&amp;Matrix[[#Headers],[17]],FDR[FDR]&amp;FDR[[#Headers],[17]],FDR[17],"",0,1)</f>
        <v>2</v>
      </c>
      <c r="AD220" cm="1">
        <f t="array" ref="AD220">_xlfn.XLOOKUP(Matrix[[#This Row],[TEAM]]&amp;Matrix[[#Headers],[18]],FDR[FDR]&amp;FDR[[#Headers],[18]],FDR[18],"",0,1)</f>
        <v>3</v>
      </c>
      <c r="AE220" cm="1">
        <f t="array" ref="AE220">_xlfn.XLOOKUP(Matrix[[#This Row],[TEAM]]&amp;Matrix[[#Headers],[19]],FDR[FDR]&amp;FDR[[#Headers],[19]],FDR[19],"",0,1)</f>
        <v>4</v>
      </c>
      <c r="AF220" cm="1">
        <f t="array" ref="AF220">_xlfn.XLOOKUP(Matrix[[#This Row],[TEAM]]&amp;Matrix[[#Headers],[20]],FDR[FDR]&amp;FDR[[#Headers],[20]],FDR[20],"",0,1)</f>
        <v>4</v>
      </c>
      <c r="AG220" cm="1">
        <f t="array" ref="AG220">_xlfn.XLOOKUP(Matrix[[#This Row],[TEAM]]&amp;Matrix[[#Headers],[21]],FDR[FDR]&amp;FDR[[#Headers],[21]],FDR[21],"",0,1)</f>
        <v>1</v>
      </c>
      <c r="AH220" cm="1">
        <f t="array" ref="AH220">_xlfn.XLOOKUP(Matrix[[#This Row],[TEAM]]&amp;Matrix[[#Headers],[22]],FDR[FDR]&amp;FDR[[#Headers],[22]],FDR[22],"",0,1)</f>
        <v>5</v>
      </c>
      <c r="AI220" cm="1">
        <f t="array" ref="AI220">_xlfn.XLOOKUP(Matrix[[#This Row],[TEAM]]&amp;Matrix[[#Headers],[23]],FDR[FDR]&amp;FDR[[#Headers],[23]],FDR[23],"",0,1)</f>
        <v>3</v>
      </c>
      <c r="AJ220" cm="1">
        <f t="array" ref="AJ220">_xlfn.XLOOKUP(Matrix[[#This Row],[TEAM]]&amp;Matrix[[#Headers],[24]],FDR[FDR]&amp;FDR[[#Headers],[24]],FDR[24],"",0,1)</f>
        <v>5</v>
      </c>
      <c r="AK220" cm="1">
        <f t="array" ref="AK220">_xlfn.XLOOKUP(Matrix[[#This Row],[TEAM]]&amp;Matrix[[#Headers],[25]],FDR[FDR]&amp;FDR[[#Headers],[25]],FDR[25],"",0,1)</f>
        <v>5</v>
      </c>
      <c r="AL220" cm="1">
        <f t="array" ref="AL220">_xlfn.XLOOKUP(Matrix[[#This Row],[TEAM]]&amp;Matrix[[#Headers],[26]],FDR[FDR]&amp;FDR[[#Headers],[26]],FDR[26],"",0,1)</f>
        <v>4</v>
      </c>
      <c r="AM220" cm="1">
        <f t="array" ref="AM220">_xlfn.XLOOKUP(Matrix[[#This Row],[TEAM]]&amp;Matrix[[#Headers],[27]],FDR[FDR]&amp;FDR[[#Headers],[27]],FDR[27],"",0,1)</f>
        <v>3</v>
      </c>
      <c r="AN220" cm="1">
        <f t="array" ref="AN220">_xlfn.XLOOKUP(Matrix[[#This Row],[TEAM]]&amp;Matrix[[#Headers],[28]],FDR[FDR]&amp;FDR[[#Headers],[28]],FDR[28],"",0,1)</f>
        <v>2</v>
      </c>
      <c r="AO220" cm="1">
        <f t="array" ref="AO220">_xlfn.XLOOKUP(Matrix[[#This Row],[TEAM]]&amp;Matrix[[#Headers],[29]],FDR[FDR]&amp;FDR[[#Headers],[29]],FDR[29],"",0,1)</f>
        <v>4</v>
      </c>
      <c r="AP220" cm="1">
        <f t="array" ref="AP220">_xlfn.XLOOKUP(Matrix[[#This Row],[TEAM]]&amp;Matrix[[#Headers],[30]],FDR[FDR]&amp;FDR[[#Headers],[30]],FDR[30],"",0,1)</f>
        <v>2</v>
      </c>
      <c r="AQ220" cm="1">
        <f t="array" ref="AQ220">_xlfn.XLOOKUP(Matrix[[#This Row],[TEAM]]&amp;Matrix[[#Headers],[31]],FDR[FDR]&amp;FDR[[#Headers],[31]],FDR[31],"",0,1)</f>
        <v>2</v>
      </c>
      <c r="AR220" cm="1">
        <f t="array" ref="AR220">_xlfn.XLOOKUP(Matrix[[#This Row],[TEAM]]&amp;Matrix[[#Headers],[32]],FDR[FDR]&amp;FDR[[#Headers],[32]],FDR[32],"",0,1)</f>
        <v>3</v>
      </c>
      <c r="AS220" cm="1">
        <f t="array" ref="AS220">_xlfn.XLOOKUP(Matrix[[#This Row],[TEAM]]&amp;Matrix[[#Headers],[33]],FDR[FDR]&amp;FDR[[#Headers],[33]],FDR[33],"",0,1)</f>
        <v>3</v>
      </c>
      <c r="AT220" cm="1">
        <f t="array" ref="AT220">_xlfn.XLOOKUP(Matrix[[#This Row],[TEAM]]&amp;Matrix[[#Headers],[34]],FDR[FDR]&amp;FDR[[#Headers],[34]],FDR[34],"",0,1)</f>
        <v>5</v>
      </c>
      <c r="AU220" cm="1">
        <f t="array" ref="AU220">_xlfn.XLOOKUP(Matrix[[#This Row],[TEAM]]&amp;Matrix[[#Headers],[35]],FDR[FDR]&amp;FDR[[#Headers],[35]],FDR[35],"",0,1)</f>
        <v>3</v>
      </c>
      <c r="AV220" cm="1">
        <f t="array" ref="AV220">_xlfn.XLOOKUP(Matrix[[#This Row],[TEAM]]&amp;Matrix[[#Headers],[36]],FDR[FDR]&amp;FDR[[#Headers],[36]],FDR[36],"",0,1)</f>
        <v>5</v>
      </c>
      <c r="AW220" cm="1">
        <f t="array" ref="AW220">_xlfn.XLOOKUP(Matrix[[#This Row],[TEAM]]&amp;Matrix[[#Headers],[37]],FDR[FDR]&amp;FDR[[#Headers],[37]],FDR[37],"",0,1)</f>
        <v>3</v>
      </c>
      <c r="AX220" cm="1">
        <f t="array" ref="AX220">_xlfn.XLOOKUP(Matrix[[#This Row],[TEAM]]&amp;Matrix[[#Headers],[38]],FDR[FDR]&amp;FDR[[#Headers],[38]],FDR[38],"",0,1)</f>
        <v>5</v>
      </c>
    </row>
    <row r="221" spans="1:50" ht="22" thickTop="1" thickBot="1">
      <c r="A221" s="50" t="str">
        <f>INDEX!S$4</f>
        <v>MID</v>
      </c>
      <c r="B221" s="70" t="s">
        <v>1510</v>
      </c>
      <c r="C221" s="40" t="s">
        <v>26</v>
      </c>
      <c r="D221" s="62">
        <v>42</v>
      </c>
      <c r="E221" s="60">
        <v>6.0000000000000001E-3</v>
      </c>
      <c r="F221" s="61">
        <v>71.2</v>
      </c>
      <c r="G221" s="63">
        <v>5</v>
      </c>
      <c r="H221" s="261">
        <f>IF(ISBLANK(I221),0,1)</f>
        <v>0</v>
      </c>
      <c r="I221" s="57"/>
      <c r="J221" s="58"/>
      <c r="K221" s="59" t="s">
        <v>470</v>
      </c>
      <c r="L221" s="59" t="s">
        <v>851</v>
      </c>
      <c r="M221" cm="1">
        <f t="array" ref="M221">_xlfn.XLOOKUP(Matrix[[#This Row],[TEAM]]&amp;Matrix[[#Headers],[1]],FDR[FDR]&amp;FDR[[#Headers],[1]],FDR[1],"",0,1)</f>
        <v>5</v>
      </c>
      <c r="N221" cm="1">
        <f t="array" ref="N221">_xlfn.XLOOKUP(Matrix[[#This Row],[TEAM]]&amp;Matrix[[#Headers],[2]],FDR[FDR]&amp;FDR[[#Headers],[2]],FDR[2],"",0,1)</f>
        <v>3</v>
      </c>
      <c r="O221" cm="1">
        <f t="array" ref="O221">_xlfn.XLOOKUP(Matrix[[#This Row],[TEAM]]&amp;Matrix[[#Headers],[3]],FDR[FDR]&amp;FDR[[#Headers],[3]],FDR[3],"",0,1)</f>
        <v>5</v>
      </c>
      <c r="P221" cm="1">
        <f t="array" ref="P221">_xlfn.XLOOKUP(Matrix[[#This Row],[TEAM]]&amp;Matrix[[#Headers],[4]],FDR[FDR]&amp;FDR[[#Headers],[4]],FDR[4],"",0,1)</f>
        <v>1</v>
      </c>
      <c r="Q221" cm="1">
        <f t="array" ref="Q221">_xlfn.XLOOKUP(Matrix[[#This Row],[TEAM]]&amp;Matrix[[#Headers],[5]],FDR[FDR]&amp;FDR[[#Headers],[5]],FDR[5],"",0,1)</f>
        <v>4</v>
      </c>
      <c r="R221" cm="1">
        <f t="array" ref="R221">_xlfn.XLOOKUP(Matrix[[#This Row],[TEAM]]&amp;Matrix[[#Headers],[6]],FDR[FDR]&amp;FDR[[#Headers],[6]],FDR[6],"",0,1)</f>
        <v>4</v>
      </c>
      <c r="S221" cm="1">
        <f t="array" ref="S221">_xlfn.XLOOKUP(Matrix[[#This Row],[TEAM]]&amp;Matrix[[#Headers],[7]],FDR[FDR]&amp;FDR[[#Headers],[7]],FDR[7],"",0,1)</f>
        <v>4</v>
      </c>
      <c r="T221" cm="1">
        <f t="array" ref="T221">_xlfn.XLOOKUP(Matrix[[#This Row],[TEAM]]&amp;Matrix[[#Headers],[8]],FDR[FDR]&amp;FDR[[#Headers],[8]],FDR[8],"",0,1)</f>
        <v>3</v>
      </c>
      <c r="U221" cm="1">
        <f t="array" ref="U221">_xlfn.XLOOKUP(Matrix[[#This Row],[TEAM]]&amp;Matrix[[#Headers],[9]],FDR[FDR]&amp;FDR[[#Headers],[9]],FDR[9],"",0,1)</f>
        <v>5</v>
      </c>
      <c r="V221" cm="1">
        <f t="array" ref="V221">_xlfn.XLOOKUP(Matrix[[#This Row],[TEAM]]&amp;Matrix[[#Headers],[10]],FDR[FDR]&amp;FDR[[#Headers],[10]],FDR[10],"",0,1)</f>
        <v>3</v>
      </c>
      <c r="W221" cm="1">
        <f t="array" ref="W221">_xlfn.XLOOKUP(Matrix[[#This Row],[TEAM]]&amp;Matrix[[#Headers],[11]],FDR[FDR]&amp;FDR[[#Headers],[11]],FDR[11],"",0,1)</f>
        <v>3</v>
      </c>
      <c r="X221" cm="1">
        <f t="array" ref="X221">_xlfn.XLOOKUP(Matrix[[#This Row],[TEAM]]&amp;Matrix[[#Headers],[12]],FDR[FDR]&amp;FDR[[#Headers],[12]],FDR[12],"",0,1)</f>
        <v>2</v>
      </c>
      <c r="Y221" cm="1">
        <f t="array" ref="Y221">_xlfn.XLOOKUP(Matrix[[#This Row],[TEAM]]&amp;Matrix[[#Headers],[13]],FDR[FDR]&amp;FDR[[#Headers],[13]],FDR[13],"",0,1)</f>
        <v>4</v>
      </c>
      <c r="Z221" cm="1">
        <f t="array" ref="Z221">_xlfn.XLOOKUP(Matrix[[#This Row],[TEAM]]&amp;Matrix[[#Headers],[14]],FDR[FDR]&amp;FDR[[#Headers],[14]],FDR[14],"",0,1)</f>
        <v>2</v>
      </c>
      <c r="AA221" cm="1">
        <f t="array" ref="AA221">_xlfn.XLOOKUP(Matrix[[#This Row],[TEAM]]&amp;Matrix[[#Headers],[15]],FDR[FDR]&amp;FDR[[#Headers],[15]],FDR[15],"",0,1)</f>
        <v>4</v>
      </c>
      <c r="AB221" cm="1">
        <f t="array" ref="AB221">_xlfn.XLOOKUP(Matrix[[#This Row],[TEAM]]&amp;Matrix[[#Headers],[16]],FDR[FDR]&amp;FDR[[#Headers],[16]],FDR[16],"",0,1)</f>
        <v>4</v>
      </c>
      <c r="AC221" cm="1">
        <f t="array" ref="AC221">_xlfn.XLOOKUP(Matrix[[#This Row],[TEAM]]&amp;Matrix[[#Headers],[17]],FDR[FDR]&amp;FDR[[#Headers],[17]],FDR[17],"",0,1)</f>
        <v>2</v>
      </c>
      <c r="AD221" cm="1">
        <f t="array" ref="AD221">_xlfn.XLOOKUP(Matrix[[#This Row],[TEAM]]&amp;Matrix[[#Headers],[18]],FDR[FDR]&amp;FDR[[#Headers],[18]],FDR[18],"",0,1)</f>
        <v>4</v>
      </c>
      <c r="AE221" cm="1">
        <f t="array" ref="AE221">_xlfn.XLOOKUP(Matrix[[#This Row],[TEAM]]&amp;Matrix[[#Headers],[19]],FDR[FDR]&amp;FDR[[#Headers],[19]],FDR[19],"",0,1)</f>
        <v>3</v>
      </c>
      <c r="AF221" cm="1">
        <f t="array" ref="AF221">_xlfn.XLOOKUP(Matrix[[#This Row],[TEAM]]&amp;Matrix[[#Headers],[20]],FDR[FDR]&amp;FDR[[#Headers],[20]],FDR[20],"",0,1)</f>
        <v>5</v>
      </c>
      <c r="AG221" cm="1">
        <f t="array" ref="AG221">_xlfn.XLOOKUP(Matrix[[#This Row],[TEAM]]&amp;Matrix[[#Headers],[21]],FDR[FDR]&amp;FDR[[#Headers],[21]],FDR[21],"",0,1)</f>
        <v>4</v>
      </c>
      <c r="AH221" cm="1">
        <f t="array" ref="AH221">_xlfn.XLOOKUP(Matrix[[#This Row],[TEAM]]&amp;Matrix[[#Headers],[22]],FDR[FDR]&amp;FDR[[#Headers],[22]],FDR[22],"",0,1)</f>
        <v>2</v>
      </c>
      <c r="AI221" cm="1">
        <f t="array" ref="AI221">_xlfn.XLOOKUP(Matrix[[#This Row],[TEAM]]&amp;Matrix[[#Headers],[23]],FDR[FDR]&amp;FDR[[#Headers],[23]],FDR[23],"",0,1)</f>
        <v>4</v>
      </c>
      <c r="AJ221" cm="1">
        <f t="array" ref="AJ221">_xlfn.XLOOKUP(Matrix[[#This Row],[TEAM]]&amp;Matrix[[#Headers],[24]],FDR[FDR]&amp;FDR[[#Headers],[24]],FDR[24],"",0,1)</f>
        <v>4</v>
      </c>
      <c r="AK221" cm="1">
        <f t="array" ref="AK221">_xlfn.XLOOKUP(Matrix[[#This Row],[TEAM]]&amp;Matrix[[#Headers],[25]],FDR[FDR]&amp;FDR[[#Headers],[25]],FDR[25],"",0,1)</f>
        <v>4</v>
      </c>
      <c r="AL221" cm="1">
        <f t="array" ref="AL221">_xlfn.XLOOKUP(Matrix[[#This Row],[TEAM]]&amp;Matrix[[#Headers],[26]],FDR[FDR]&amp;FDR[[#Headers],[26]],FDR[26],"",0,1)</f>
        <v>1</v>
      </c>
      <c r="AM221" cm="1">
        <f t="array" ref="AM221">_xlfn.XLOOKUP(Matrix[[#This Row],[TEAM]]&amp;Matrix[[#Headers],[27]],FDR[FDR]&amp;FDR[[#Headers],[27]],FDR[27],"",0,1)</f>
        <v>2</v>
      </c>
      <c r="AN221" cm="1">
        <f t="array" ref="AN221">_xlfn.XLOOKUP(Matrix[[#This Row],[TEAM]]&amp;Matrix[[#Headers],[28]],FDR[FDR]&amp;FDR[[#Headers],[28]],FDR[28],"",0,1)</f>
        <v>5</v>
      </c>
      <c r="AO221" cm="1">
        <f t="array" ref="AO221">_xlfn.XLOOKUP(Matrix[[#This Row],[TEAM]]&amp;Matrix[[#Headers],[29]],FDR[FDR]&amp;FDR[[#Headers],[29]],FDR[29],"",0,1)</f>
        <v>5</v>
      </c>
      <c r="AP221" cm="1">
        <f t="array" ref="AP221">_xlfn.XLOOKUP(Matrix[[#This Row],[TEAM]]&amp;Matrix[[#Headers],[30]],FDR[FDR]&amp;FDR[[#Headers],[30]],FDR[30],"",0,1)</f>
        <v>1</v>
      </c>
      <c r="AQ221" cm="1">
        <f t="array" ref="AQ221">_xlfn.XLOOKUP(Matrix[[#This Row],[TEAM]]&amp;Matrix[[#Headers],[31]],FDR[FDR]&amp;FDR[[#Headers],[31]],FDR[31],"",0,1)</f>
        <v>5</v>
      </c>
      <c r="AR221" cm="1">
        <f t="array" ref="AR221">_xlfn.XLOOKUP(Matrix[[#This Row],[TEAM]]&amp;Matrix[[#Headers],[32]],FDR[FDR]&amp;FDR[[#Headers],[32]],FDR[32],"",0,1)</f>
        <v>4</v>
      </c>
      <c r="AS221" cm="1">
        <f t="array" ref="AS221">_xlfn.XLOOKUP(Matrix[[#This Row],[TEAM]]&amp;Matrix[[#Headers],[33]],FDR[FDR]&amp;FDR[[#Headers],[33]],FDR[33],"",0,1)</f>
        <v>3</v>
      </c>
      <c r="AT221" cm="1">
        <f t="array" ref="AT221">_xlfn.XLOOKUP(Matrix[[#This Row],[TEAM]]&amp;Matrix[[#Headers],[34]],FDR[FDR]&amp;FDR[[#Headers],[34]],FDR[34],"",0,1)</f>
        <v>5</v>
      </c>
      <c r="AU221" cm="1">
        <f t="array" ref="AU221">_xlfn.XLOOKUP(Matrix[[#This Row],[TEAM]]&amp;Matrix[[#Headers],[35]],FDR[FDR]&amp;FDR[[#Headers],[35]],FDR[35],"",0,1)</f>
        <v>4</v>
      </c>
      <c r="AV221" cm="1">
        <f t="array" ref="AV221">_xlfn.XLOOKUP(Matrix[[#This Row],[TEAM]]&amp;Matrix[[#Headers],[36]],FDR[FDR]&amp;FDR[[#Headers],[36]],FDR[36],"",0,1)</f>
        <v>3</v>
      </c>
      <c r="AW221" cm="1">
        <f t="array" ref="AW221">_xlfn.XLOOKUP(Matrix[[#This Row],[TEAM]]&amp;Matrix[[#Headers],[37]],FDR[FDR]&amp;FDR[[#Headers],[37]],FDR[37],"",0,1)</f>
        <v>4</v>
      </c>
      <c r="AX221" cm="1">
        <f t="array" ref="AX221">_xlfn.XLOOKUP(Matrix[[#This Row],[TEAM]]&amp;Matrix[[#Headers],[38]],FDR[FDR]&amp;FDR[[#Headers],[38]],FDR[38],"",0,1)</f>
        <v>4</v>
      </c>
    </row>
    <row r="222" spans="1:50" ht="22" thickTop="1" thickBot="1">
      <c r="A222" s="50" t="str">
        <f>INDEX!S$4</f>
        <v>MID</v>
      </c>
      <c r="B222" s="70" t="s">
        <v>1571</v>
      </c>
      <c r="C222" s="40" t="s">
        <v>24</v>
      </c>
      <c r="D222" s="62">
        <v>42</v>
      </c>
      <c r="E222" s="60">
        <v>1E-3</v>
      </c>
      <c r="F222" s="61">
        <v>60.4</v>
      </c>
      <c r="G222" s="63">
        <v>5</v>
      </c>
      <c r="H222" s="261">
        <f>IF(ISBLANK(I222),0,1)</f>
        <v>0</v>
      </c>
      <c r="I222" s="57"/>
      <c r="J222" s="58"/>
      <c r="K222" s="59" t="s">
        <v>111</v>
      </c>
      <c r="L222" s="59" t="s">
        <v>246</v>
      </c>
      <c r="M222" cm="1">
        <f t="array" ref="M222">_xlfn.XLOOKUP(Matrix[[#This Row],[TEAM]]&amp;Matrix[[#Headers],[1]],FDR[FDR]&amp;FDR[[#Headers],[1]],FDR[1],"",0,1)</f>
        <v>2</v>
      </c>
      <c r="N222" cm="1">
        <f t="array" ref="N222">_xlfn.XLOOKUP(Matrix[[#This Row],[TEAM]]&amp;Matrix[[#Headers],[2]],FDR[FDR]&amp;FDR[[#Headers],[2]],FDR[2],"",0,1)</f>
        <v>3</v>
      </c>
      <c r="O222" cm="1">
        <f t="array" ref="O222">_xlfn.XLOOKUP(Matrix[[#This Row],[TEAM]]&amp;Matrix[[#Headers],[3]],FDR[FDR]&amp;FDR[[#Headers],[3]],FDR[3],"",0,1)</f>
        <v>2</v>
      </c>
      <c r="P222" cm="1">
        <f t="array" ref="P222">_xlfn.XLOOKUP(Matrix[[#This Row],[TEAM]]&amp;Matrix[[#Headers],[4]],FDR[FDR]&amp;FDR[[#Headers],[4]],FDR[4],"",0,1)</f>
        <v>4</v>
      </c>
      <c r="Q222" cm="1">
        <f t="array" ref="Q222">_xlfn.XLOOKUP(Matrix[[#This Row],[TEAM]]&amp;Matrix[[#Headers],[5]],FDR[FDR]&amp;FDR[[#Headers],[5]],FDR[5],"",0,1)</f>
        <v>5</v>
      </c>
      <c r="R222" cm="1">
        <f t="array" ref="R222">_xlfn.XLOOKUP(Matrix[[#This Row],[TEAM]]&amp;Matrix[[#Headers],[6]],FDR[FDR]&amp;FDR[[#Headers],[6]],FDR[6],"",0,1)</f>
        <v>3</v>
      </c>
      <c r="S222" cm="1">
        <f t="array" ref="S222">_xlfn.XLOOKUP(Matrix[[#This Row],[TEAM]]&amp;Matrix[[#Headers],[7]],FDR[FDR]&amp;FDR[[#Headers],[7]],FDR[7],"",0,1)</f>
        <v>3</v>
      </c>
      <c r="T222" cm="1">
        <f t="array" ref="T222">_xlfn.XLOOKUP(Matrix[[#This Row],[TEAM]]&amp;Matrix[[#Headers],[8]],FDR[FDR]&amp;FDR[[#Headers],[8]],FDR[8],"",0,1)</f>
        <v>5</v>
      </c>
      <c r="U222" cm="1">
        <f t="array" ref="U222">_xlfn.XLOOKUP(Matrix[[#This Row],[TEAM]]&amp;Matrix[[#Headers],[9]],FDR[FDR]&amp;FDR[[#Headers],[9]],FDR[9],"",0,1)</f>
        <v>4</v>
      </c>
      <c r="V222" cm="1">
        <f t="array" ref="V222">_xlfn.XLOOKUP(Matrix[[#This Row],[TEAM]]&amp;Matrix[[#Headers],[10]],FDR[FDR]&amp;FDR[[#Headers],[10]],FDR[10],"",0,1)</f>
        <v>2</v>
      </c>
      <c r="W222" cm="1">
        <f t="array" ref="W222">_xlfn.XLOOKUP(Matrix[[#This Row],[TEAM]]&amp;Matrix[[#Headers],[11]],FDR[FDR]&amp;FDR[[#Headers],[11]],FDR[11],"",0,1)</f>
        <v>3</v>
      </c>
      <c r="X222" cm="1">
        <f t="array" ref="X222">_xlfn.XLOOKUP(Matrix[[#This Row],[TEAM]]&amp;Matrix[[#Headers],[12]],FDR[FDR]&amp;FDR[[#Headers],[12]],FDR[12],"",0,1)</f>
        <v>5</v>
      </c>
      <c r="Y222" cm="1">
        <f t="array" ref="Y222">_xlfn.XLOOKUP(Matrix[[#This Row],[TEAM]]&amp;Matrix[[#Headers],[13]],FDR[FDR]&amp;FDR[[#Headers],[13]],FDR[13],"",0,1)</f>
        <v>4</v>
      </c>
      <c r="Z222" cm="1">
        <f t="array" ref="Z222">_xlfn.XLOOKUP(Matrix[[#This Row],[TEAM]]&amp;Matrix[[#Headers],[14]],FDR[FDR]&amp;FDR[[#Headers],[14]],FDR[14],"",0,1)</f>
        <v>4</v>
      </c>
      <c r="AA222" cm="1">
        <f t="array" ref="AA222">_xlfn.XLOOKUP(Matrix[[#This Row],[TEAM]]&amp;Matrix[[#Headers],[15]],FDR[FDR]&amp;FDR[[#Headers],[15]],FDR[15],"",0,1)</f>
        <v>3</v>
      </c>
      <c r="AB222" cm="1">
        <f t="array" ref="AB222">_xlfn.XLOOKUP(Matrix[[#This Row],[TEAM]]&amp;Matrix[[#Headers],[16]],FDR[FDR]&amp;FDR[[#Headers],[16]],FDR[16],"",0,1)</f>
        <v>5</v>
      </c>
      <c r="AC222" cm="1">
        <f t="array" ref="AC222">_xlfn.XLOOKUP(Matrix[[#This Row],[TEAM]]&amp;Matrix[[#Headers],[17]],FDR[FDR]&amp;FDR[[#Headers],[17]],FDR[17],"",0,1)</f>
        <v>4</v>
      </c>
      <c r="AD222" cm="1">
        <f t="array" ref="AD222">_xlfn.XLOOKUP(Matrix[[#This Row],[TEAM]]&amp;Matrix[[#Headers],[18]],FDR[FDR]&amp;FDR[[#Headers],[18]],FDR[18],"",0,1)</f>
        <v>2</v>
      </c>
      <c r="AE222" cm="1">
        <f t="array" ref="AE222">_xlfn.XLOOKUP(Matrix[[#This Row],[TEAM]]&amp;Matrix[[#Headers],[19]],FDR[FDR]&amp;FDR[[#Headers],[19]],FDR[19],"",0,1)</f>
        <v>4</v>
      </c>
      <c r="AF222" cm="1">
        <f t="array" ref="AF222">_xlfn.XLOOKUP(Matrix[[#This Row],[TEAM]]&amp;Matrix[[#Headers],[20]],FDR[FDR]&amp;FDR[[#Headers],[20]],FDR[20],"",0,1)</f>
        <v>3</v>
      </c>
      <c r="AG222" cm="1">
        <f t="array" ref="AG222">_xlfn.XLOOKUP(Matrix[[#This Row],[TEAM]]&amp;Matrix[[#Headers],[21]],FDR[FDR]&amp;FDR[[#Headers],[21]],FDR[21],"",0,1)</f>
        <v>2</v>
      </c>
      <c r="AH222" cm="1">
        <f t="array" ref="AH222">_xlfn.XLOOKUP(Matrix[[#This Row],[TEAM]]&amp;Matrix[[#Headers],[22]],FDR[FDR]&amp;FDR[[#Headers],[22]],FDR[22],"",0,1)</f>
        <v>5</v>
      </c>
      <c r="AI222" cm="1">
        <f t="array" ref="AI222">_xlfn.XLOOKUP(Matrix[[#This Row],[TEAM]]&amp;Matrix[[#Headers],[23]],FDR[FDR]&amp;FDR[[#Headers],[23]],FDR[23],"",0,1)</f>
        <v>1</v>
      </c>
      <c r="AJ222" cm="1">
        <f t="array" ref="AJ222">_xlfn.XLOOKUP(Matrix[[#This Row],[TEAM]]&amp;Matrix[[#Headers],[24]],FDR[FDR]&amp;FDR[[#Headers],[24]],FDR[24],"",0,1)</f>
        <v>4</v>
      </c>
      <c r="AK222" cm="1">
        <f t="array" ref="AK222">_xlfn.XLOOKUP(Matrix[[#This Row],[TEAM]]&amp;Matrix[[#Headers],[25]],FDR[FDR]&amp;FDR[[#Headers],[25]],FDR[25],"",0,1)</f>
        <v>4</v>
      </c>
      <c r="AL222" cm="1">
        <f t="array" ref="AL222">_xlfn.XLOOKUP(Matrix[[#This Row],[TEAM]]&amp;Matrix[[#Headers],[26]],FDR[FDR]&amp;FDR[[#Headers],[26]],FDR[26],"",0,1)</f>
        <v>3</v>
      </c>
      <c r="AM222" cm="1">
        <f t="array" ref="AM222">_xlfn.XLOOKUP(Matrix[[#This Row],[TEAM]]&amp;Matrix[[#Headers],[27]],FDR[FDR]&amp;FDR[[#Headers],[27]],FDR[27],"",0,1)</f>
        <v>4</v>
      </c>
      <c r="AN222" cm="1">
        <f t="array" ref="AN222">_xlfn.XLOOKUP(Matrix[[#This Row],[TEAM]]&amp;Matrix[[#Headers],[28]],FDR[FDR]&amp;FDR[[#Headers],[28]],FDR[28],"",0,1)</f>
        <v>5</v>
      </c>
      <c r="AO222" cm="1">
        <f t="array" ref="AO222">_xlfn.XLOOKUP(Matrix[[#This Row],[TEAM]]&amp;Matrix[[#Headers],[29]],FDR[FDR]&amp;FDR[[#Headers],[29]],FDR[29],"",0,1)</f>
        <v>1</v>
      </c>
      <c r="AP222" cm="1">
        <f t="array" ref="AP222">_xlfn.XLOOKUP(Matrix[[#This Row],[TEAM]]&amp;Matrix[[#Headers],[30]],FDR[FDR]&amp;FDR[[#Headers],[30]],FDR[30],"",0,1)</f>
        <v>5</v>
      </c>
      <c r="AQ222" cm="1">
        <f t="array" ref="AQ222">_xlfn.XLOOKUP(Matrix[[#This Row],[TEAM]]&amp;Matrix[[#Headers],[31]],FDR[FDR]&amp;FDR[[#Headers],[31]],FDR[31],"",0,1)</f>
        <v>4</v>
      </c>
      <c r="AR222" cm="1">
        <f t="array" ref="AR222">_xlfn.XLOOKUP(Matrix[[#This Row],[TEAM]]&amp;Matrix[[#Headers],[32]],FDR[FDR]&amp;FDR[[#Headers],[32]],FDR[32],"",0,1)</f>
        <v>4</v>
      </c>
      <c r="AS222" cm="1">
        <f t="array" ref="AS222">_xlfn.XLOOKUP(Matrix[[#This Row],[TEAM]]&amp;Matrix[[#Headers],[33]],FDR[FDR]&amp;FDR[[#Headers],[33]],FDR[33],"",0,1)</f>
        <v>4</v>
      </c>
      <c r="AT222" cm="1">
        <f t="array" ref="AT222">_xlfn.XLOOKUP(Matrix[[#This Row],[TEAM]]&amp;Matrix[[#Headers],[34]],FDR[FDR]&amp;FDR[[#Headers],[34]],FDR[34],"",0,1)</f>
        <v>4</v>
      </c>
      <c r="AU222" cm="1">
        <f t="array" ref="AU222">_xlfn.XLOOKUP(Matrix[[#This Row],[TEAM]]&amp;Matrix[[#Headers],[35]],FDR[FDR]&amp;FDR[[#Headers],[35]],FDR[35],"",0,1)</f>
        <v>4</v>
      </c>
      <c r="AV222" cm="1">
        <f t="array" ref="AV222">_xlfn.XLOOKUP(Matrix[[#This Row],[TEAM]]&amp;Matrix[[#Headers],[36]],FDR[FDR]&amp;FDR[[#Headers],[36]],FDR[36],"",0,1)</f>
        <v>4</v>
      </c>
      <c r="AW222" cm="1">
        <f t="array" ref="AW222">_xlfn.XLOOKUP(Matrix[[#This Row],[TEAM]]&amp;Matrix[[#Headers],[37]],FDR[FDR]&amp;FDR[[#Headers],[37]],FDR[37],"",0,1)</f>
        <v>1</v>
      </c>
      <c r="AX222" cm="1">
        <f t="array" ref="AX222">_xlfn.XLOOKUP(Matrix[[#This Row],[TEAM]]&amp;Matrix[[#Headers],[38]],FDR[FDR]&amp;FDR[[#Headers],[38]],FDR[38],"",0,1)</f>
        <v>5</v>
      </c>
    </row>
    <row r="223" spans="1:50" ht="22" thickTop="1" thickBot="1">
      <c r="A223" s="50" t="str">
        <f>INDEX!S$4</f>
        <v>MID</v>
      </c>
      <c r="B223" s="70" t="s">
        <v>1505</v>
      </c>
      <c r="C223" s="40" t="s">
        <v>30</v>
      </c>
      <c r="D223" s="62">
        <v>42</v>
      </c>
      <c r="E223" s="60">
        <v>8.9999999999999993E-3</v>
      </c>
      <c r="F223" s="61">
        <v>58.8</v>
      </c>
      <c r="G223" s="63">
        <v>5</v>
      </c>
      <c r="H223" s="261">
        <f>IF(ISBLANK(I223),0,1)</f>
        <v>0</v>
      </c>
      <c r="I223" s="57"/>
      <c r="J223" s="58"/>
      <c r="K223" s="59" t="s">
        <v>566</v>
      </c>
      <c r="L223" s="59" t="s">
        <v>264</v>
      </c>
      <c r="M223" cm="1">
        <f t="array" ref="M223">_xlfn.XLOOKUP(Matrix[[#This Row],[TEAM]]&amp;Matrix[[#Headers],[1]],FDR[FDR]&amp;FDR[[#Headers],[1]],FDR[1],"",0,1)</f>
        <v>3</v>
      </c>
      <c r="N223" cm="1">
        <f t="array" ref="N223">_xlfn.XLOOKUP(Matrix[[#This Row],[TEAM]]&amp;Matrix[[#Headers],[2]],FDR[FDR]&amp;FDR[[#Headers],[2]],FDR[2],"",0,1)</f>
        <v>2</v>
      </c>
      <c r="O223" cm="1">
        <f t="array" ref="O223">_xlfn.XLOOKUP(Matrix[[#This Row],[TEAM]]&amp;Matrix[[#Headers],[3]],FDR[FDR]&amp;FDR[[#Headers],[3]],FDR[3],"",0,1)</f>
        <v>1</v>
      </c>
      <c r="P223" cm="1">
        <f t="array" ref="P223">_xlfn.XLOOKUP(Matrix[[#This Row],[TEAM]]&amp;Matrix[[#Headers],[4]],FDR[FDR]&amp;FDR[[#Headers],[4]],FDR[4],"",0,1)</f>
        <v>4</v>
      </c>
      <c r="Q223" cm="1">
        <f t="array" ref="Q223">_xlfn.XLOOKUP(Matrix[[#This Row],[TEAM]]&amp;Matrix[[#Headers],[5]],FDR[FDR]&amp;FDR[[#Headers],[5]],FDR[5],"",0,1)</f>
        <v>3</v>
      </c>
      <c r="R223" cm="1">
        <f t="array" ref="R223">_xlfn.XLOOKUP(Matrix[[#This Row],[TEAM]]&amp;Matrix[[#Headers],[6]],FDR[FDR]&amp;FDR[[#Headers],[6]],FDR[6],"",0,1)</f>
        <v>2</v>
      </c>
      <c r="S223" cm="1">
        <f t="array" ref="S223">_xlfn.XLOOKUP(Matrix[[#This Row],[TEAM]]&amp;Matrix[[#Headers],[7]],FDR[FDR]&amp;FDR[[#Headers],[7]],FDR[7],"",0,1)</f>
        <v>1</v>
      </c>
      <c r="T223" cm="1">
        <f t="array" ref="T223">_xlfn.XLOOKUP(Matrix[[#This Row],[TEAM]]&amp;Matrix[[#Headers],[8]],FDR[FDR]&amp;FDR[[#Headers],[8]],FDR[8],"",0,1)</f>
        <v>4</v>
      </c>
      <c r="U223" cm="1">
        <f t="array" ref="U223">_xlfn.XLOOKUP(Matrix[[#This Row],[TEAM]]&amp;Matrix[[#Headers],[9]],FDR[FDR]&amp;FDR[[#Headers],[9]],FDR[9],"",0,1)</f>
        <v>1</v>
      </c>
      <c r="V223" cm="1">
        <f t="array" ref="V223">_xlfn.XLOOKUP(Matrix[[#This Row],[TEAM]]&amp;Matrix[[#Headers],[10]],FDR[FDR]&amp;FDR[[#Headers],[10]],FDR[10],"",0,1)</f>
        <v>2</v>
      </c>
      <c r="W223" cm="1">
        <f t="array" ref="W223">_xlfn.XLOOKUP(Matrix[[#This Row],[TEAM]]&amp;Matrix[[#Headers],[11]],FDR[FDR]&amp;FDR[[#Headers],[11]],FDR[11],"",0,1)</f>
        <v>4</v>
      </c>
      <c r="X223" cm="1">
        <f t="array" ref="X223">_xlfn.XLOOKUP(Matrix[[#This Row],[TEAM]]&amp;Matrix[[#Headers],[12]],FDR[FDR]&amp;FDR[[#Headers],[12]],FDR[12],"",0,1)</f>
        <v>1</v>
      </c>
      <c r="Y223" cm="1">
        <f t="array" ref="Y223">_xlfn.XLOOKUP(Matrix[[#This Row],[TEAM]]&amp;Matrix[[#Headers],[13]],FDR[FDR]&amp;FDR[[#Headers],[13]],FDR[13],"",0,1)</f>
        <v>2</v>
      </c>
      <c r="Z223" cm="1">
        <f t="array" ref="Z223">_xlfn.XLOOKUP(Matrix[[#This Row],[TEAM]]&amp;Matrix[[#Headers],[14]],FDR[FDR]&amp;FDR[[#Headers],[14]],FDR[14],"",0,1)</f>
        <v>1</v>
      </c>
      <c r="AA223" cm="1">
        <f t="array" ref="AA223">_xlfn.XLOOKUP(Matrix[[#This Row],[TEAM]]&amp;Matrix[[#Headers],[15]],FDR[FDR]&amp;FDR[[#Headers],[15]],FDR[15],"",0,1)</f>
        <v>1</v>
      </c>
      <c r="AB223" cm="1">
        <f t="array" ref="AB223">_xlfn.XLOOKUP(Matrix[[#This Row],[TEAM]]&amp;Matrix[[#Headers],[16]],FDR[FDR]&amp;FDR[[#Headers],[16]],FDR[16],"",0,1)</f>
        <v>1</v>
      </c>
      <c r="AC223" cm="1">
        <f t="array" ref="AC223">_xlfn.XLOOKUP(Matrix[[#This Row],[TEAM]]&amp;Matrix[[#Headers],[17]],FDR[FDR]&amp;FDR[[#Headers],[17]],FDR[17],"",0,1)</f>
        <v>3</v>
      </c>
      <c r="AD223" cm="1">
        <f t="array" ref="AD223">_xlfn.XLOOKUP(Matrix[[#This Row],[TEAM]]&amp;Matrix[[#Headers],[18]],FDR[FDR]&amp;FDR[[#Headers],[18]],FDR[18],"",0,1)</f>
        <v>2</v>
      </c>
      <c r="AE223" cm="1">
        <f t="array" ref="AE223">_xlfn.XLOOKUP(Matrix[[#This Row],[TEAM]]&amp;Matrix[[#Headers],[19]],FDR[FDR]&amp;FDR[[#Headers],[19]],FDR[19],"",0,1)</f>
        <v>1</v>
      </c>
      <c r="AF223" cm="1">
        <f t="array" ref="AF223">_xlfn.XLOOKUP(Matrix[[#This Row],[TEAM]]&amp;Matrix[[#Headers],[20]],FDR[FDR]&amp;FDR[[#Headers],[20]],FDR[20],"",0,1)</f>
        <v>1</v>
      </c>
      <c r="AG223" cm="1">
        <f t="array" ref="AG223">_xlfn.XLOOKUP(Matrix[[#This Row],[TEAM]]&amp;Matrix[[#Headers],[21]],FDR[FDR]&amp;FDR[[#Headers],[21]],FDR[21],"",0,1)</f>
        <v>1</v>
      </c>
      <c r="AH223" cm="1">
        <f t="array" ref="AH223">_xlfn.XLOOKUP(Matrix[[#This Row],[TEAM]]&amp;Matrix[[#Headers],[22]],FDR[FDR]&amp;FDR[[#Headers],[22]],FDR[22],"",0,1)</f>
        <v>3</v>
      </c>
      <c r="AI223" cm="1">
        <f t="array" ref="AI223">_xlfn.XLOOKUP(Matrix[[#This Row],[TEAM]]&amp;Matrix[[#Headers],[23]],FDR[FDR]&amp;FDR[[#Headers],[23]],FDR[23],"",0,1)</f>
        <v>4</v>
      </c>
      <c r="AJ223" cm="1">
        <f t="array" ref="AJ223">_xlfn.XLOOKUP(Matrix[[#This Row],[TEAM]]&amp;Matrix[[#Headers],[24]],FDR[FDR]&amp;FDR[[#Headers],[24]],FDR[24],"",0,1)</f>
        <v>1</v>
      </c>
      <c r="AK223" cm="1">
        <f t="array" ref="AK223">_xlfn.XLOOKUP(Matrix[[#This Row],[TEAM]]&amp;Matrix[[#Headers],[25]],FDR[FDR]&amp;FDR[[#Headers],[25]],FDR[25],"",0,1)</f>
        <v>3</v>
      </c>
      <c r="AL223" cm="1">
        <f t="array" ref="AL223">_xlfn.XLOOKUP(Matrix[[#This Row],[TEAM]]&amp;Matrix[[#Headers],[26]],FDR[FDR]&amp;FDR[[#Headers],[26]],FDR[26],"",0,1)</f>
        <v>2</v>
      </c>
      <c r="AM223" cm="1">
        <f t="array" ref="AM223">_xlfn.XLOOKUP(Matrix[[#This Row],[TEAM]]&amp;Matrix[[#Headers],[27]],FDR[FDR]&amp;FDR[[#Headers],[27]],FDR[27],"",0,1)</f>
        <v>2</v>
      </c>
      <c r="AN223" cm="1">
        <f t="array" ref="AN223">_xlfn.XLOOKUP(Matrix[[#This Row],[TEAM]]&amp;Matrix[[#Headers],[28]],FDR[FDR]&amp;FDR[[#Headers],[28]],FDR[28],"",0,1)</f>
        <v>1</v>
      </c>
      <c r="AO223" cm="1">
        <f t="array" ref="AO223">_xlfn.XLOOKUP(Matrix[[#This Row],[TEAM]]&amp;Matrix[[#Headers],[29]],FDR[FDR]&amp;FDR[[#Headers],[29]],FDR[29],"",0,1)</f>
        <v>3</v>
      </c>
      <c r="AP223" cm="1">
        <f t="array" ref="AP223">_xlfn.XLOOKUP(Matrix[[#This Row],[TEAM]]&amp;Matrix[[#Headers],[30]],FDR[FDR]&amp;FDR[[#Headers],[30]],FDR[30],"",0,1)</f>
        <v>2</v>
      </c>
      <c r="AQ223" cm="1">
        <f t="array" ref="AQ223">_xlfn.XLOOKUP(Matrix[[#This Row],[TEAM]]&amp;Matrix[[#Headers],[31]],FDR[FDR]&amp;FDR[[#Headers],[31]],FDR[31],"",0,1)</f>
        <v>2</v>
      </c>
      <c r="AR223" cm="1">
        <f t="array" ref="AR223">_xlfn.XLOOKUP(Matrix[[#This Row],[TEAM]]&amp;Matrix[[#Headers],[32]],FDR[FDR]&amp;FDR[[#Headers],[32]],FDR[32],"",0,1)</f>
        <v>1</v>
      </c>
      <c r="AS223" cm="1">
        <f t="array" ref="AS223">_xlfn.XLOOKUP(Matrix[[#This Row],[TEAM]]&amp;Matrix[[#Headers],[33]],FDR[FDR]&amp;FDR[[#Headers],[33]],FDR[33],"",0,1)</f>
        <v>4</v>
      </c>
      <c r="AT223" cm="1">
        <f t="array" ref="AT223">_xlfn.XLOOKUP(Matrix[[#This Row],[TEAM]]&amp;Matrix[[#Headers],[34]],FDR[FDR]&amp;FDR[[#Headers],[34]],FDR[34],"",0,1)</f>
        <v>1</v>
      </c>
      <c r="AU223" cm="1">
        <f t="array" ref="AU223">_xlfn.XLOOKUP(Matrix[[#This Row],[TEAM]]&amp;Matrix[[#Headers],[35]],FDR[FDR]&amp;FDR[[#Headers],[35]],FDR[35],"",0,1)</f>
        <v>3</v>
      </c>
      <c r="AV223" cm="1">
        <f t="array" ref="AV223">_xlfn.XLOOKUP(Matrix[[#This Row],[TEAM]]&amp;Matrix[[#Headers],[36]],FDR[FDR]&amp;FDR[[#Headers],[36]],FDR[36],"",0,1)</f>
        <v>1</v>
      </c>
      <c r="AW223" cm="1">
        <f t="array" ref="AW223">_xlfn.XLOOKUP(Matrix[[#This Row],[TEAM]]&amp;Matrix[[#Headers],[37]],FDR[FDR]&amp;FDR[[#Headers],[37]],FDR[37],"",0,1)</f>
        <v>1</v>
      </c>
      <c r="AX223" cm="1">
        <f t="array" ref="AX223">_xlfn.XLOOKUP(Matrix[[#This Row],[TEAM]]&amp;Matrix[[#Headers],[38]],FDR[FDR]&amp;FDR[[#Headers],[38]],FDR[38],"",0,1)</f>
        <v>2</v>
      </c>
    </row>
    <row r="224" spans="1:50" ht="22" thickTop="1" thickBot="1">
      <c r="A224" s="50" t="str">
        <f>INDEX!S$4</f>
        <v>MID</v>
      </c>
      <c r="B224" s="70" t="s">
        <v>1556</v>
      </c>
      <c r="C224" s="40" t="s">
        <v>21</v>
      </c>
      <c r="D224" s="62">
        <v>38</v>
      </c>
      <c r="E224" s="60">
        <v>1E-3</v>
      </c>
      <c r="F224" s="61">
        <v>43.8</v>
      </c>
      <c r="G224" s="63">
        <v>5</v>
      </c>
      <c r="H224" s="261">
        <f>IF(ISBLANK(I224),0,1)</f>
        <v>0</v>
      </c>
      <c r="I224" s="57"/>
      <c r="J224" s="58"/>
      <c r="K224" s="59" t="s">
        <v>387</v>
      </c>
      <c r="L224" s="59" t="s">
        <v>202</v>
      </c>
      <c r="M224" cm="1">
        <f t="array" ref="M224">_xlfn.XLOOKUP(Matrix[[#This Row],[TEAM]]&amp;Matrix[[#Headers],[1]],FDR[FDR]&amp;FDR[[#Headers],[1]],FDR[1],"",0,1)</f>
        <v>4</v>
      </c>
      <c r="N224" cm="1">
        <f t="array" ref="N224">_xlfn.XLOOKUP(Matrix[[#This Row],[TEAM]]&amp;Matrix[[#Headers],[2]],FDR[FDR]&amp;FDR[[#Headers],[2]],FDR[2],"",0,1)</f>
        <v>4</v>
      </c>
      <c r="O224" cm="1">
        <f t="array" ref="O224">_xlfn.XLOOKUP(Matrix[[#This Row],[TEAM]]&amp;Matrix[[#Headers],[3]],FDR[FDR]&amp;FDR[[#Headers],[3]],FDR[3],"",0,1)</f>
        <v>2</v>
      </c>
      <c r="P224" cm="1">
        <f t="array" ref="P224">_xlfn.XLOOKUP(Matrix[[#This Row],[TEAM]]&amp;Matrix[[#Headers],[4]],FDR[FDR]&amp;FDR[[#Headers],[4]],FDR[4],"",0,1)</f>
        <v>4</v>
      </c>
      <c r="Q224" cm="1">
        <f t="array" ref="Q224">_xlfn.XLOOKUP(Matrix[[#This Row],[TEAM]]&amp;Matrix[[#Headers],[5]],FDR[FDR]&amp;FDR[[#Headers],[5]],FDR[5],"",0,1)</f>
        <v>4</v>
      </c>
      <c r="R224" cm="1">
        <f t="array" ref="R224">_xlfn.XLOOKUP(Matrix[[#This Row],[TEAM]]&amp;Matrix[[#Headers],[6]],FDR[FDR]&amp;FDR[[#Headers],[6]],FDR[6],"",0,1)</f>
        <v>4</v>
      </c>
      <c r="S224" cm="1">
        <f t="array" ref="S224">_xlfn.XLOOKUP(Matrix[[#This Row],[TEAM]]&amp;Matrix[[#Headers],[7]],FDR[FDR]&amp;FDR[[#Headers],[7]],FDR[7],"",0,1)</f>
        <v>4</v>
      </c>
      <c r="T224" cm="1">
        <f t="array" ref="T224">_xlfn.XLOOKUP(Matrix[[#This Row],[TEAM]]&amp;Matrix[[#Headers],[8]],FDR[FDR]&amp;FDR[[#Headers],[8]],FDR[8],"",0,1)</f>
        <v>4</v>
      </c>
      <c r="U224" cm="1">
        <f t="array" ref="U224">_xlfn.XLOOKUP(Matrix[[#This Row],[TEAM]]&amp;Matrix[[#Headers],[9]],FDR[FDR]&amp;FDR[[#Headers],[9]],FDR[9],"",0,1)</f>
        <v>4</v>
      </c>
      <c r="V224" cm="1">
        <f t="array" ref="V224">_xlfn.XLOOKUP(Matrix[[#This Row],[TEAM]]&amp;Matrix[[#Headers],[10]],FDR[FDR]&amp;FDR[[#Headers],[10]],FDR[10],"",0,1)</f>
        <v>4</v>
      </c>
      <c r="W224" cm="1">
        <f t="array" ref="W224">_xlfn.XLOOKUP(Matrix[[#This Row],[TEAM]]&amp;Matrix[[#Headers],[11]],FDR[FDR]&amp;FDR[[#Headers],[11]],FDR[11],"",0,1)</f>
        <v>4</v>
      </c>
      <c r="X224" cm="1">
        <f t="array" ref="X224">_xlfn.XLOOKUP(Matrix[[#This Row],[TEAM]]&amp;Matrix[[#Headers],[12]],FDR[FDR]&amp;FDR[[#Headers],[12]],FDR[12],"",0,1)</f>
        <v>4</v>
      </c>
      <c r="Y224" cm="1">
        <f t="array" ref="Y224">_xlfn.XLOOKUP(Matrix[[#This Row],[TEAM]]&amp;Matrix[[#Headers],[13]],FDR[FDR]&amp;FDR[[#Headers],[13]],FDR[13],"",0,1)</f>
        <v>1</v>
      </c>
      <c r="Z224" cm="1">
        <f t="array" ref="Z224">_xlfn.XLOOKUP(Matrix[[#This Row],[TEAM]]&amp;Matrix[[#Headers],[14]],FDR[FDR]&amp;FDR[[#Headers],[14]],FDR[14],"",0,1)</f>
        <v>5</v>
      </c>
      <c r="AA224" cm="1">
        <f t="array" ref="AA224">_xlfn.XLOOKUP(Matrix[[#This Row],[TEAM]]&amp;Matrix[[#Headers],[15]],FDR[FDR]&amp;FDR[[#Headers],[15]],FDR[15],"",0,1)</f>
        <v>5</v>
      </c>
      <c r="AB224" cm="1">
        <f t="array" ref="AB224">_xlfn.XLOOKUP(Matrix[[#This Row],[TEAM]]&amp;Matrix[[#Headers],[16]],FDR[FDR]&amp;FDR[[#Headers],[16]],FDR[16],"",0,1)</f>
        <v>1</v>
      </c>
      <c r="AC224" cm="1">
        <f t="array" ref="AC224">_xlfn.XLOOKUP(Matrix[[#This Row],[TEAM]]&amp;Matrix[[#Headers],[17]],FDR[FDR]&amp;FDR[[#Headers],[17]],FDR[17],"",0,1)</f>
        <v>2</v>
      </c>
      <c r="AD224" cm="1">
        <f t="array" ref="AD224">_xlfn.XLOOKUP(Matrix[[#This Row],[TEAM]]&amp;Matrix[[#Headers],[18]],FDR[FDR]&amp;FDR[[#Headers],[18]],FDR[18],"",0,1)</f>
        <v>3</v>
      </c>
      <c r="AE224" cm="1">
        <f t="array" ref="AE224">_xlfn.XLOOKUP(Matrix[[#This Row],[TEAM]]&amp;Matrix[[#Headers],[19]],FDR[FDR]&amp;FDR[[#Headers],[19]],FDR[19],"",0,1)</f>
        <v>4</v>
      </c>
      <c r="AF224" cm="1">
        <f t="array" ref="AF224">_xlfn.XLOOKUP(Matrix[[#This Row],[TEAM]]&amp;Matrix[[#Headers],[20]],FDR[FDR]&amp;FDR[[#Headers],[20]],FDR[20],"",0,1)</f>
        <v>4</v>
      </c>
      <c r="AG224" cm="1">
        <f t="array" ref="AG224">_xlfn.XLOOKUP(Matrix[[#This Row],[TEAM]]&amp;Matrix[[#Headers],[21]],FDR[FDR]&amp;FDR[[#Headers],[21]],FDR[21],"",0,1)</f>
        <v>1</v>
      </c>
      <c r="AH224" cm="1">
        <f t="array" ref="AH224">_xlfn.XLOOKUP(Matrix[[#This Row],[TEAM]]&amp;Matrix[[#Headers],[22]],FDR[FDR]&amp;FDR[[#Headers],[22]],FDR[22],"",0,1)</f>
        <v>5</v>
      </c>
      <c r="AI224" cm="1">
        <f t="array" ref="AI224">_xlfn.XLOOKUP(Matrix[[#This Row],[TEAM]]&amp;Matrix[[#Headers],[23]],FDR[FDR]&amp;FDR[[#Headers],[23]],FDR[23],"",0,1)</f>
        <v>3</v>
      </c>
      <c r="AJ224" cm="1">
        <f t="array" ref="AJ224">_xlfn.XLOOKUP(Matrix[[#This Row],[TEAM]]&amp;Matrix[[#Headers],[24]],FDR[FDR]&amp;FDR[[#Headers],[24]],FDR[24],"",0,1)</f>
        <v>5</v>
      </c>
      <c r="AK224" cm="1">
        <f t="array" ref="AK224">_xlfn.XLOOKUP(Matrix[[#This Row],[TEAM]]&amp;Matrix[[#Headers],[25]],FDR[FDR]&amp;FDR[[#Headers],[25]],FDR[25],"",0,1)</f>
        <v>5</v>
      </c>
      <c r="AL224" cm="1">
        <f t="array" ref="AL224">_xlfn.XLOOKUP(Matrix[[#This Row],[TEAM]]&amp;Matrix[[#Headers],[26]],FDR[FDR]&amp;FDR[[#Headers],[26]],FDR[26],"",0,1)</f>
        <v>4</v>
      </c>
      <c r="AM224" cm="1">
        <f t="array" ref="AM224">_xlfn.XLOOKUP(Matrix[[#This Row],[TEAM]]&amp;Matrix[[#Headers],[27]],FDR[FDR]&amp;FDR[[#Headers],[27]],FDR[27],"",0,1)</f>
        <v>3</v>
      </c>
      <c r="AN224" cm="1">
        <f t="array" ref="AN224">_xlfn.XLOOKUP(Matrix[[#This Row],[TEAM]]&amp;Matrix[[#Headers],[28]],FDR[FDR]&amp;FDR[[#Headers],[28]],FDR[28],"",0,1)</f>
        <v>2</v>
      </c>
      <c r="AO224" cm="1">
        <f t="array" ref="AO224">_xlfn.XLOOKUP(Matrix[[#This Row],[TEAM]]&amp;Matrix[[#Headers],[29]],FDR[FDR]&amp;FDR[[#Headers],[29]],FDR[29],"",0,1)</f>
        <v>4</v>
      </c>
      <c r="AP224" cm="1">
        <f t="array" ref="AP224">_xlfn.XLOOKUP(Matrix[[#This Row],[TEAM]]&amp;Matrix[[#Headers],[30]],FDR[FDR]&amp;FDR[[#Headers],[30]],FDR[30],"",0,1)</f>
        <v>2</v>
      </c>
      <c r="AQ224" cm="1">
        <f t="array" ref="AQ224">_xlfn.XLOOKUP(Matrix[[#This Row],[TEAM]]&amp;Matrix[[#Headers],[31]],FDR[FDR]&amp;FDR[[#Headers],[31]],FDR[31],"",0,1)</f>
        <v>2</v>
      </c>
      <c r="AR224" cm="1">
        <f t="array" ref="AR224">_xlfn.XLOOKUP(Matrix[[#This Row],[TEAM]]&amp;Matrix[[#Headers],[32]],FDR[FDR]&amp;FDR[[#Headers],[32]],FDR[32],"",0,1)</f>
        <v>3</v>
      </c>
      <c r="AS224" cm="1">
        <f t="array" ref="AS224">_xlfn.XLOOKUP(Matrix[[#This Row],[TEAM]]&amp;Matrix[[#Headers],[33]],FDR[FDR]&amp;FDR[[#Headers],[33]],FDR[33],"",0,1)</f>
        <v>3</v>
      </c>
      <c r="AT224" cm="1">
        <f t="array" ref="AT224">_xlfn.XLOOKUP(Matrix[[#This Row],[TEAM]]&amp;Matrix[[#Headers],[34]],FDR[FDR]&amp;FDR[[#Headers],[34]],FDR[34],"",0,1)</f>
        <v>5</v>
      </c>
      <c r="AU224" cm="1">
        <f t="array" ref="AU224">_xlfn.XLOOKUP(Matrix[[#This Row],[TEAM]]&amp;Matrix[[#Headers],[35]],FDR[FDR]&amp;FDR[[#Headers],[35]],FDR[35],"",0,1)</f>
        <v>3</v>
      </c>
      <c r="AV224" cm="1">
        <f t="array" ref="AV224">_xlfn.XLOOKUP(Matrix[[#This Row],[TEAM]]&amp;Matrix[[#Headers],[36]],FDR[FDR]&amp;FDR[[#Headers],[36]],FDR[36],"",0,1)</f>
        <v>5</v>
      </c>
      <c r="AW224" cm="1">
        <f t="array" ref="AW224">_xlfn.XLOOKUP(Matrix[[#This Row],[TEAM]]&amp;Matrix[[#Headers],[37]],FDR[FDR]&amp;FDR[[#Headers],[37]],FDR[37],"",0,1)</f>
        <v>3</v>
      </c>
      <c r="AX224" cm="1">
        <f t="array" ref="AX224">_xlfn.XLOOKUP(Matrix[[#This Row],[TEAM]]&amp;Matrix[[#Headers],[38]],FDR[FDR]&amp;FDR[[#Headers],[38]],FDR[38],"",0,1)</f>
        <v>5</v>
      </c>
    </row>
    <row r="225" spans="1:50" ht="22" thickTop="1" thickBot="1">
      <c r="A225" s="50" t="str">
        <f>INDEX!S$4</f>
        <v>MID</v>
      </c>
      <c r="B225" s="70" t="s">
        <v>1593</v>
      </c>
      <c r="C225" s="40" t="s">
        <v>27</v>
      </c>
      <c r="D225" s="62">
        <v>36</v>
      </c>
      <c r="E225" s="60">
        <v>1E-3</v>
      </c>
      <c r="F225" s="61">
        <v>31.5</v>
      </c>
      <c r="G225" s="63">
        <v>5</v>
      </c>
      <c r="H225" s="261">
        <f>IF(ISBLANK(I225),0,1)</f>
        <v>0</v>
      </c>
      <c r="I225" s="57"/>
      <c r="J225" s="58"/>
      <c r="K225" s="59" t="s">
        <v>915</v>
      </c>
      <c r="L225" s="59" t="s">
        <v>1201</v>
      </c>
      <c r="M225" cm="1">
        <f t="array" ref="M225">_xlfn.XLOOKUP(Matrix[[#This Row],[TEAM]]&amp;Matrix[[#Headers],[1]],FDR[FDR]&amp;FDR[[#Headers],[1]],FDR[1],"",0,1)</f>
        <v>2</v>
      </c>
      <c r="N225" cm="1">
        <f t="array" ref="N225">_xlfn.XLOOKUP(Matrix[[#This Row],[TEAM]]&amp;Matrix[[#Headers],[2]],FDR[FDR]&amp;FDR[[#Headers],[2]],FDR[2],"",0,1)</f>
        <v>4</v>
      </c>
      <c r="O225" cm="1">
        <f t="array" ref="O225">_xlfn.XLOOKUP(Matrix[[#This Row],[TEAM]]&amp;Matrix[[#Headers],[3]],FDR[FDR]&amp;FDR[[#Headers],[3]],FDR[3],"",0,1)</f>
        <v>4</v>
      </c>
      <c r="P225" cm="1">
        <f t="array" ref="P225">_xlfn.XLOOKUP(Matrix[[#This Row],[TEAM]]&amp;Matrix[[#Headers],[4]],FDR[FDR]&amp;FDR[[#Headers],[4]],FDR[4],"",0,1)</f>
        <v>4</v>
      </c>
      <c r="Q225" cm="1">
        <f t="array" ref="Q225">_xlfn.XLOOKUP(Matrix[[#This Row],[TEAM]]&amp;Matrix[[#Headers],[5]],FDR[FDR]&amp;FDR[[#Headers],[5]],FDR[5],"",0,1)</f>
        <v>3</v>
      </c>
      <c r="R225" cm="1">
        <f t="array" ref="R225">_xlfn.XLOOKUP(Matrix[[#This Row],[TEAM]]&amp;Matrix[[#Headers],[6]],FDR[FDR]&amp;FDR[[#Headers],[6]],FDR[6],"",0,1)</f>
        <v>4</v>
      </c>
      <c r="S225" cm="1">
        <f t="array" ref="S225">_xlfn.XLOOKUP(Matrix[[#This Row],[TEAM]]&amp;Matrix[[#Headers],[7]],FDR[FDR]&amp;FDR[[#Headers],[7]],FDR[7],"",0,1)</f>
        <v>5</v>
      </c>
      <c r="T225" cm="1">
        <f t="array" ref="T225">_xlfn.XLOOKUP(Matrix[[#This Row],[TEAM]]&amp;Matrix[[#Headers],[8]],FDR[FDR]&amp;FDR[[#Headers],[8]],FDR[8],"",0,1)</f>
        <v>3</v>
      </c>
      <c r="U225" cm="1">
        <f t="array" ref="U225">_xlfn.XLOOKUP(Matrix[[#This Row],[TEAM]]&amp;Matrix[[#Headers],[9]],FDR[FDR]&amp;FDR[[#Headers],[9]],FDR[9],"",0,1)</f>
        <v>2</v>
      </c>
      <c r="V225" cm="1">
        <f t="array" ref="V225">_xlfn.XLOOKUP(Matrix[[#This Row],[TEAM]]&amp;Matrix[[#Headers],[10]],FDR[FDR]&amp;FDR[[#Headers],[10]],FDR[10],"",0,1)</f>
        <v>4</v>
      </c>
      <c r="W225" cm="1">
        <f t="array" ref="W225">_xlfn.XLOOKUP(Matrix[[#This Row],[TEAM]]&amp;Matrix[[#Headers],[11]],FDR[FDR]&amp;FDR[[#Headers],[11]],FDR[11],"",0,1)</f>
        <v>1</v>
      </c>
      <c r="X225" cm="1">
        <f t="array" ref="X225">_xlfn.XLOOKUP(Matrix[[#This Row],[TEAM]]&amp;Matrix[[#Headers],[12]],FDR[FDR]&amp;FDR[[#Headers],[12]],FDR[12],"",0,1)</f>
        <v>4</v>
      </c>
      <c r="Y225" cm="1">
        <f t="array" ref="Y225">_xlfn.XLOOKUP(Matrix[[#This Row],[TEAM]]&amp;Matrix[[#Headers],[13]],FDR[FDR]&amp;FDR[[#Headers],[13]],FDR[13],"",0,1)</f>
        <v>4</v>
      </c>
      <c r="Z225" cm="1">
        <f t="array" ref="Z225">_xlfn.XLOOKUP(Matrix[[#This Row],[TEAM]]&amp;Matrix[[#Headers],[14]],FDR[FDR]&amp;FDR[[#Headers],[14]],FDR[14],"",0,1)</f>
        <v>5</v>
      </c>
      <c r="AA225" cm="1">
        <f t="array" ref="AA225">_xlfn.XLOOKUP(Matrix[[#This Row],[TEAM]]&amp;Matrix[[#Headers],[15]],FDR[FDR]&amp;FDR[[#Headers],[15]],FDR[15],"",0,1)</f>
        <v>4</v>
      </c>
      <c r="AB225" cm="1">
        <f t="array" ref="AB225">_xlfn.XLOOKUP(Matrix[[#This Row],[TEAM]]&amp;Matrix[[#Headers],[16]],FDR[FDR]&amp;FDR[[#Headers],[16]],FDR[16],"",0,1)</f>
        <v>4</v>
      </c>
      <c r="AC225" cm="1">
        <f t="array" ref="AC225">_xlfn.XLOOKUP(Matrix[[#This Row],[TEAM]]&amp;Matrix[[#Headers],[17]],FDR[FDR]&amp;FDR[[#Headers],[17]],FDR[17],"",0,1)</f>
        <v>5</v>
      </c>
      <c r="AD225" cm="1">
        <f t="array" ref="AD225">_xlfn.XLOOKUP(Matrix[[#This Row],[TEAM]]&amp;Matrix[[#Headers],[18]],FDR[FDR]&amp;FDR[[#Headers],[18]],FDR[18],"",0,1)</f>
        <v>3</v>
      </c>
      <c r="AE225" cm="1">
        <f t="array" ref="AE225">_xlfn.XLOOKUP(Matrix[[#This Row],[TEAM]]&amp;Matrix[[#Headers],[19]],FDR[FDR]&amp;FDR[[#Headers],[19]],FDR[19],"",0,1)</f>
        <v>3</v>
      </c>
      <c r="AF225" cm="1">
        <f t="array" ref="AF225">_xlfn.XLOOKUP(Matrix[[#This Row],[TEAM]]&amp;Matrix[[#Headers],[20]],FDR[FDR]&amp;FDR[[#Headers],[20]],FDR[20],"",0,1)</f>
        <v>2</v>
      </c>
      <c r="AG225" cm="1">
        <f t="array" ref="AG225">_xlfn.XLOOKUP(Matrix[[#This Row],[TEAM]]&amp;Matrix[[#Headers],[21]],FDR[FDR]&amp;FDR[[#Headers],[21]],FDR[21],"",0,1)</f>
        <v>3</v>
      </c>
      <c r="AH225" cm="1">
        <f t="array" ref="AH225">_xlfn.XLOOKUP(Matrix[[#This Row],[TEAM]]&amp;Matrix[[#Headers],[22]],FDR[FDR]&amp;FDR[[#Headers],[22]],FDR[22],"",0,1)</f>
        <v>5</v>
      </c>
      <c r="AI225" cm="1">
        <f t="array" ref="AI225">_xlfn.XLOOKUP(Matrix[[#This Row],[TEAM]]&amp;Matrix[[#Headers],[23]],FDR[FDR]&amp;FDR[[#Headers],[23]],FDR[23],"",0,1)</f>
        <v>1</v>
      </c>
      <c r="AJ225" cm="1">
        <f t="array" ref="AJ225">_xlfn.XLOOKUP(Matrix[[#This Row],[TEAM]]&amp;Matrix[[#Headers],[24]],FDR[FDR]&amp;FDR[[#Headers],[24]],FDR[24],"",0,1)</f>
        <v>5</v>
      </c>
      <c r="AK225" cm="1">
        <f t="array" ref="AK225">_xlfn.XLOOKUP(Matrix[[#This Row],[TEAM]]&amp;Matrix[[#Headers],[25]],FDR[FDR]&amp;FDR[[#Headers],[25]],FDR[25],"",0,1)</f>
        <v>2</v>
      </c>
      <c r="AL225" cm="1">
        <f t="array" ref="AL225">_xlfn.XLOOKUP(Matrix[[#This Row],[TEAM]]&amp;Matrix[[#Headers],[26]],FDR[FDR]&amp;FDR[[#Headers],[26]],FDR[26],"",0,1)</f>
        <v>4</v>
      </c>
      <c r="AM225" cm="1">
        <f t="array" ref="AM225">_xlfn.XLOOKUP(Matrix[[#This Row],[TEAM]]&amp;Matrix[[#Headers],[27]],FDR[FDR]&amp;FDR[[#Headers],[27]],FDR[27],"",0,1)</f>
        <v>3</v>
      </c>
      <c r="AN225" cm="1">
        <f t="array" ref="AN225">_xlfn.XLOOKUP(Matrix[[#This Row],[TEAM]]&amp;Matrix[[#Headers],[28]],FDR[FDR]&amp;FDR[[#Headers],[28]],FDR[28],"",0,1)</f>
        <v>5</v>
      </c>
      <c r="AO225" cm="1">
        <f t="array" ref="AO225">_xlfn.XLOOKUP(Matrix[[#This Row],[TEAM]]&amp;Matrix[[#Headers],[29]],FDR[FDR]&amp;FDR[[#Headers],[29]],FDR[29],"",0,1)</f>
        <v>4</v>
      </c>
      <c r="AP225" cm="1">
        <f t="array" ref="AP225">_xlfn.XLOOKUP(Matrix[[#This Row],[TEAM]]&amp;Matrix[[#Headers],[30]],FDR[FDR]&amp;FDR[[#Headers],[30]],FDR[30],"",0,1)</f>
        <v>4</v>
      </c>
      <c r="AQ225" cm="1">
        <f t="array" ref="AQ225">_xlfn.XLOOKUP(Matrix[[#This Row],[TEAM]]&amp;Matrix[[#Headers],[31]],FDR[FDR]&amp;FDR[[#Headers],[31]],FDR[31],"",0,1)</f>
        <v>5</v>
      </c>
      <c r="AR225" cm="1">
        <f t="array" ref="AR225">_xlfn.XLOOKUP(Matrix[[#This Row],[TEAM]]&amp;Matrix[[#Headers],[32]],FDR[FDR]&amp;FDR[[#Headers],[32]],FDR[32],"",0,1)</f>
        <v>2</v>
      </c>
      <c r="AS225" cm="1">
        <f t="array" ref="AS225">_xlfn.XLOOKUP(Matrix[[#This Row],[TEAM]]&amp;Matrix[[#Headers],[33]],FDR[FDR]&amp;FDR[[#Headers],[33]],FDR[33],"",0,1)</f>
        <v>4</v>
      </c>
      <c r="AT225" cm="1">
        <f t="array" ref="AT225">_xlfn.XLOOKUP(Matrix[[#This Row],[TEAM]]&amp;Matrix[[#Headers],[34]],FDR[FDR]&amp;FDR[[#Headers],[34]],FDR[34],"",0,1)</f>
        <v>3</v>
      </c>
      <c r="AU225" cm="1">
        <f t="array" ref="AU225">_xlfn.XLOOKUP(Matrix[[#This Row],[TEAM]]&amp;Matrix[[#Headers],[35]],FDR[FDR]&amp;FDR[[#Headers],[35]],FDR[35],"",0,1)</f>
        <v>4</v>
      </c>
      <c r="AV225" cm="1">
        <f t="array" ref="AV225">_xlfn.XLOOKUP(Matrix[[#This Row],[TEAM]]&amp;Matrix[[#Headers],[36]],FDR[FDR]&amp;FDR[[#Headers],[36]],FDR[36],"",0,1)</f>
        <v>4</v>
      </c>
      <c r="AW225" cm="1">
        <f t="array" ref="AW225">_xlfn.XLOOKUP(Matrix[[#This Row],[TEAM]]&amp;Matrix[[#Headers],[37]],FDR[FDR]&amp;FDR[[#Headers],[37]],FDR[37],"",0,1)</f>
        <v>5</v>
      </c>
      <c r="AX225" cm="1">
        <f t="array" ref="AX225">_xlfn.XLOOKUP(Matrix[[#This Row],[TEAM]]&amp;Matrix[[#Headers],[38]],FDR[FDR]&amp;FDR[[#Headers],[38]],FDR[38],"",0,1)</f>
        <v>1</v>
      </c>
    </row>
    <row r="226" spans="1:50" ht="22" thickTop="1" thickBot="1">
      <c r="A226" s="50" t="str">
        <f>INDEX!S$4</f>
        <v>MID</v>
      </c>
      <c r="B226" s="70" t="s">
        <v>1524</v>
      </c>
      <c r="C226" s="40" t="s">
        <v>21</v>
      </c>
      <c r="D226" s="62">
        <v>35</v>
      </c>
      <c r="E226" s="60">
        <v>3.0000000000000001E-3</v>
      </c>
      <c r="F226" s="61">
        <v>36.299999999999997</v>
      </c>
      <c r="G226" s="63">
        <v>5</v>
      </c>
      <c r="H226" s="261">
        <f>IF(ISBLANK(I226),0,1)</f>
        <v>0</v>
      </c>
      <c r="I226" s="57"/>
      <c r="J226" s="58"/>
      <c r="K226" s="59" t="s">
        <v>517</v>
      </c>
      <c r="L226" s="59" t="s">
        <v>826</v>
      </c>
      <c r="M226" cm="1">
        <f t="array" ref="M226">_xlfn.XLOOKUP(Matrix[[#This Row],[TEAM]]&amp;Matrix[[#Headers],[1]],FDR[FDR]&amp;FDR[[#Headers],[1]],FDR[1],"",0,1)</f>
        <v>4</v>
      </c>
      <c r="N226" cm="1">
        <f t="array" ref="N226">_xlfn.XLOOKUP(Matrix[[#This Row],[TEAM]]&amp;Matrix[[#Headers],[2]],FDR[FDR]&amp;FDR[[#Headers],[2]],FDR[2],"",0,1)</f>
        <v>4</v>
      </c>
      <c r="O226" cm="1">
        <f t="array" ref="O226">_xlfn.XLOOKUP(Matrix[[#This Row],[TEAM]]&amp;Matrix[[#Headers],[3]],FDR[FDR]&amp;FDR[[#Headers],[3]],FDR[3],"",0,1)</f>
        <v>2</v>
      </c>
      <c r="P226" cm="1">
        <f t="array" ref="P226">_xlfn.XLOOKUP(Matrix[[#This Row],[TEAM]]&amp;Matrix[[#Headers],[4]],FDR[FDR]&amp;FDR[[#Headers],[4]],FDR[4],"",0,1)</f>
        <v>4</v>
      </c>
      <c r="Q226" cm="1">
        <f t="array" ref="Q226">_xlfn.XLOOKUP(Matrix[[#This Row],[TEAM]]&amp;Matrix[[#Headers],[5]],FDR[FDR]&amp;FDR[[#Headers],[5]],FDR[5],"",0,1)</f>
        <v>4</v>
      </c>
      <c r="R226" cm="1">
        <f t="array" ref="R226">_xlfn.XLOOKUP(Matrix[[#This Row],[TEAM]]&amp;Matrix[[#Headers],[6]],FDR[FDR]&amp;FDR[[#Headers],[6]],FDR[6],"",0,1)</f>
        <v>4</v>
      </c>
      <c r="S226" cm="1">
        <f t="array" ref="S226">_xlfn.XLOOKUP(Matrix[[#This Row],[TEAM]]&amp;Matrix[[#Headers],[7]],FDR[FDR]&amp;FDR[[#Headers],[7]],FDR[7],"",0,1)</f>
        <v>4</v>
      </c>
      <c r="T226" cm="1">
        <f t="array" ref="T226">_xlfn.XLOOKUP(Matrix[[#This Row],[TEAM]]&amp;Matrix[[#Headers],[8]],FDR[FDR]&amp;FDR[[#Headers],[8]],FDR[8],"",0,1)</f>
        <v>4</v>
      </c>
      <c r="U226" cm="1">
        <f t="array" ref="U226">_xlfn.XLOOKUP(Matrix[[#This Row],[TEAM]]&amp;Matrix[[#Headers],[9]],FDR[FDR]&amp;FDR[[#Headers],[9]],FDR[9],"",0,1)</f>
        <v>4</v>
      </c>
      <c r="V226" cm="1">
        <f t="array" ref="V226">_xlfn.XLOOKUP(Matrix[[#This Row],[TEAM]]&amp;Matrix[[#Headers],[10]],FDR[FDR]&amp;FDR[[#Headers],[10]],FDR[10],"",0,1)</f>
        <v>4</v>
      </c>
      <c r="W226" cm="1">
        <f t="array" ref="W226">_xlfn.XLOOKUP(Matrix[[#This Row],[TEAM]]&amp;Matrix[[#Headers],[11]],FDR[FDR]&amp;FDR[[#Headers],[11]],FDR[11],"",0,1)</f>
        <v>4</v>
      </c>
      <c r="X226" cm="1">
        <f t="array" ref="X226">_xlfn.XLOOKUP(Matrix[[#This Row],[TEAM]]&amp;Matrix[[#Headers],[12]],FDR[FDR]&amp;FDR[[#Headers],[12]],FDR[12],"",0,1)</f>
        <v>4</v>
      </c>
      <c r="Y226" cm="1">
        <f t="array" ref="Y226">_xlfn.XLOOKUP(Matrix[[#This Row],[TEAM]]&amp;Matrix[[#Headers],[13]],FDR[FDR]&amp;FDR[[#Headers],[13]],FDR[13],"",0,1)</f>
        <v>1</v>
      </c>
      <c r="Z226" cm="1">
        <f t="array" ref="Z226">_xlfn.XLOOKUP(Matrix[[#This Row],[TEAM]]&amp;Matrix[[#Headers],[14]],FDR[FDR]&amp;FDR[[#Headers],[14]],FDR[14],"",0,1)</f>
        <v>5</v>
      </c>
      <c r="AA226" cm="1">
        <f t="array" ref="AA226">_xlfn.XLOOKUP(Matrix[[#This Row],[TEAM]]&amp;Matrix[[#Headers],[15]],FDR[FDR]&amp;FDR[[#Headers],[15]],FDR[15],"",0,1)</f>
        <v>5</v>
      </c>
      <c r="AB226" cm="1">
        <f t="array" ref="AB226">_xlfn.XLOOKUP(Matrix[[#This Row],[TEAM]]&amp;Matrix[[#Headers],[16]],FDR[FDR]&amp;FDR[[#Headers],[16]],FDR[16],"",0,1)</f>
        <v>1</v>
      </c>
      <c r="AC226" cm="1">
        <f t="array" ref="AC226">_xlfn.XLOOKUP(Matrix[[#This Row],[TEAM]]&amp;Matrix[[#Headers],[17]],FDR[FDR]&amp;FDR[[#Headers],[17]],FDR[17],"",0,1)</f>
        <v>2</v>
      </c>
      <c r="AD226" cm="1">
        <f t="array" ref="AD226">_xlfn.XLOOKUP(Matrix[[#This Row],[TEAM]]&amp;Matrix[[#Headers],[18]],FDR[FDR]&amp;FDR[[#Headers],[18]],FDR[18],"",0,1)</f>
        <v>3</v>
      </c>
      <c r="AE226" cm="1">
        <f t="array" ref="AE226">_xlfn.XLOOKUP(Matrix[[#This Row],[TEAM]]&amp;Matrix[[#Headers],[19]],FDR[FDR]&amp;FDR[[#Headers],[19]],FDR[19],"",0,1)</f>
        <v>4</v>
      </c>
      <c r="AF226" cm="1">
        <f t="array" ref="AF226">_xlfn.XLOOKUP(Matrix[[#This Row],[TEAM]]&amp;Matrix[[#Headers],[20]],FDR[FDR]&amp;FDR[[#Headers],[20]],FDR[20],"",0,1)</f>
        <v>4</v>
      </c>
      <c r="AG226" cm="1">
        <f t="array" ref="AG226">_xlfn.XLOOKUP(Matrix[[#This Row],[TEAM]]&amp;Matrix[[#Headers],[21]],FDR[FDR]&amp;FDR[[#Headers],[21]],FDR[21],"",0,1)</f>
        <v>1</v>
      </c>
      <c r="AH226" cm="1">
        <f t="array" ref="AH226">_xlfn.XLOOKUP(Matrix[[#This Row],[TEAM]]&amp;Matrix[[#Headers],[22]],FDR[FDR]&amp;FDR[[#Headers],[22]],FDR[22],"",0,1)</f>
        <v>5</v>
      </c>
      <c r="AI226" cm="1">
        <f t="array" ref="AI226">_xlfn.XLOOKUP(Matrix[[#This Row],[TEAM]]&amp;Matrix[[#Headers],[23]],FDR[FDR]&amp;FDR[[#Headers],[23]],FDR[23],"",0,1)</f>
        <v>3</v>
      </c>
      <c r="AJ226" cm="1">
        <f t="array" ref="AJ226">_xlfn.XLOOKUP(Matrix[[#This Row],[TEAM]]&amp;Matrix[[#Headers],[24]],FDR[FDR]&amp;FDR[[#Headers],[24]],FDR[24],"",0,1)</f>
        <v>5</v>
      </c>
      <c r="AK226" cm="1">
        <f t="array" ref="AK226">_xlfn.XLOOKUP(Matrix[[#This Row],[TEAM]]&amp;Matrix[[#Headers],[25]],FDR[FDR]&amp;FDR[[#Headers],[25]],FDR[25],"",0,1)</f>
        <v>5</v>
      </c>
      <c r="AL226" cm="1">
        <f t="array" ref="AL226">_xlfn.XLOOKUP(Matrix[[#This Row],[TEAM]]&amp;Matrix[[#Headers],[26]],FDR[FDR]&amp;FDR[[#Headers],[26]],FDR[26],"",0,1)</f>
        <v>4</v>
      </c>
      <c r="AM226" cm="1">
        <f t="array" ref="AM226">_xlfn.XLOOKUP(Matrix[[#This Row],[TEAM]]&amp;Matrix[[#Headers],[27]],FDR[FDR]&amp;FDR[[#Headers],[27]],FDR[27],"",0,1)</f>
        <v>3</v>
      </c>
      <c r="AN226" cm="1">
        <f t="array" ref="AN226">_xlfn.XLOOKUP(Matrix[[#This Row],[TEAM]]&amp;Matrix[[#Headers],[28]],FDR[FDR]&amp;FDR[[#Headers],[28]],FDR[28],"",0,1)</f>
        <v>2</v>
      </c>
      <c r="AO226" cm="1">
        <f t="array" ref="AO226">_xlfn.XLOOKUP(Matrix[[#This Row],[TEAM]]&amp;Matrix[[#Headers],[29]],FDR[FDR]&amp;FDR[[#Headers],[29]],FDR[29],"",0,1)</f>
        <v>4</v>
      </c>
      <c r="AP226" cm="1">
        <f t="array" ref="AP226">_xlfn.XLOOKUP(Matrix[[#This Row],[TEAM]]&amp;Matrix[[#Headers],[30]],FDR[FDR]&amp;FDR[[#Headers],[30]],FDR[30],"",0,1)</f>
        <v>2</v>
      </c>
      <c r="AQ226" cm="1">
        <f t="array" ref="AQ226">_xlfn.XLOOKUP(Matrix[[#This Row],[TEAM]]&amp;Matrix[[#Headers],[31]],FDR[FDR]&amp;FDR[[#Headers],[31]],FDR[31],"",0,1)</f>
        <v>2</v>
      </c>
      <c r="AR226" cm="1">
        <f t="array" ref="AR226">_xlfn.XLOOKUP(Matrix[[#This Row],[TEAM]]&amp;Matrix[[#Headers],[32]],FDR[FDR]&amp;FDR[[#Headers],[32]],FDR[32],"",0,1)</f>
        <v>3</v>
      </c>
      <c r="AS226" cm="1">
        <f t="array" ref="AS226">_xlfn.XLOOKUP(Matrix[[#This Row],[TEAM]]&amp;Matrix[[#Headers],[33]],FDR[FDR]&amp;FDR[[#Headers],[33]],FDR[33],"",0,1)</f>
        <v>3</v>
      </c>
      <c r="AT226" cm="1">
        <f t="array" ref="AT226">_xlfn.XLOOKUP(Matrix[[#This Row],[TEAM]]&amp;Matrix[[#Headers],[34]],FDR[FDR]&amp;FDR[[#Headers],[34]],FDR[34],"",0,1)</f>
        <v>5</v>
      </c>
      <c r="AU226" cm="1">
        <f t="array" ref="AU226">_xlfn.XLOOKUP(Matrix[[#This Row],[TEAM]]&amp;Matrix[[#Headers],[35]],FDR[FDR]&amp;FDR[[#Headers],[35]],FDR[35],"",0,1)</f>
        <v>3</v>
      </c>
      <c r="AV226" cm="1">
        <f t="array" ref="AV226">_xlfn.XLOOKUP(Matrix[[#This Row],[TEAM]]&amp;Matrix[[#Headers],[36]],FDR[FDR]&amp;FDR[[#Headers],[36]],FDR[36],"",0,1)</f>
        <v>5</v>
      </c>
      <c r="AW226" cm="1">
        <f t="array" ref="AW226">_xlfn.XLOOKUP(Matrix[[#This Row],[TEAM]]&amp;Matrix[[#Headers],[37]],FDR[FDR]&amp;FDR[[#Headers],[37]],FDR[37],"",0,1)</f>
        <v>3</v>
      </c>
      <c r="AX226" cm="1">
        <f t="array" ref="AX226">_xlfn.XLOOKUP(Matrix[[#This Row],[TEAM]]&amp;Matrix[[#Headers],[38]],FDR[FDR]&amp;FDR[[#Headers],[38]],FDR[38],"",0,1)</f>
        <v>5</v>
      </c>
    </row>
    <row r="227" spans="1:50" ht="22" thickTop="1" thickBot="1">
      <c r="A227" s="50" t="str">
        <f>INDEX!S$4</f>
        <v>MID</v>
      </c>
      <c r="B227" s="70" t="s">
        <v>1529</v>
      </c>
      <c r="C227" s="40" t="s">
        <v>633</v>
      </c>
      <c r="D227" s="62">
        <v>34</v>
      </c>
      <c r="E227" s="60">
        <v>3.0000000000000001E-3</v>
      </c>
      <c r="F227" s="61">
        <v>27.3</v>
      </c>
      <c r="G227" s="63">
        <v>5</v>
      </c>
      <c r="H227" s="261">
        <f>IF(ISBLANK(I227),0,1)</f>
        <v>0</v>
      </c>
      <c r="I227" s="57"/>
      <c r="J227" s="58"/>
      <c r="K227" s="59" t="s">
        <v>438</v>
      </c>
      <c r="L227" s="59" t="s">
        <v>228</v>
      </c>
      <c r="M227" cm="1">
        <f t="array" ref="M227">_xlfn.XLOOKUP(Matrix[[#This Row],[TEAM]]&amp;Matrix[[#Headers],[1]],FDR[FDR]&amp;FDR[[#Headers],[1]],FDR[1],"",0,1)</f>
        <v>4</v>
      </c>
      <c r="N227" cm="1">
        <f t="array" ref="N227">_xlfn.XLOOKUP(Matrix[[#This Row],[TEAM]]&amp;Matrix[[#Headers],[2]],FDR[FDR]&amp;FDR[[#Headers],[2]],FDR[2],"",0,1)</f>
        <v>5</v>
      </c>
      <c r="O227" cm="1">
        <f t="array" ref="O227">_xlfn.XLOOKUP(Matrix[[#This Row],[TEAM]]&amp;Matrix[[#Headers],[3]],FDR[FDR]&amp;FDR[[#Headers],[3]],FDR[3],"",0,1)</f>
        <v>5</v>
      </c>
      <c r="P227" cm="1">
        <f t="array" ref="P227">_xlfn.XLOOKUP(Matrix[[#This Row],[TEAM]]&amp;Matrix[[#Headers],[4]],FDR[FDR]&amp;FDR[[#Headers],[4]],FDR[4],"",0,1)</f>
        <v>5</v>
      </c>
      <c r="Q227" cm="1">
        <f t="array" ref="Q227">_xlfn.XLOOKUP(Matrix[[#This Row],[TEAM]]&amp;Matrix[[#Headers],[5]],FDR[FDR]&amp;FDR[[#Headers],[5]],FDR[5],"",0,1)</f>
        <v>4</v>
      </c>
      <c r="R227" cm="1">
        <f t="array" ref="R227">_xlfn.XLOOKUP(Matrix[[#This Row],[TEAM]]&amp;Matrix[[#Headers],[6]],FDR[FDR]&amp;FDR[[#Headers],[6]],FDR[6],"",0,1)</f>
        <v>5</v>
      </c>
      <c r="S227" cm="1">
        <f t="array" ref="S227">_xlfn.XLOOKUP(Matrix[[#This Row],[TEAM]]&amp;Matrix[[#Headers],[7]],FDR[FDR]&amp;FDR[[#Headers],[7]],FDR[7],"",0,1)</f>
        <v>5</v>
      </c>
      <c r="T227" cm="1">
        <f t="array" ref="T227">_xlfn.XLOOKUP(Matrix[[#This Row],[TEAM]]&amp;Matrix[[#Headers],[8]],FDR[FDR]&amp;FDR[[#Headers],[8]],FDR[8],"",0,1)</f>
        <v>4</v>
      </c>
      <c r="U227" cm="1">
        <f t="array" ref="U227">_xlfn.XLOOKUP(Matrix[[#This Row],[TEAM]]&amp;Matrix[[#Headers],[9]],FDR[FDR]&amp;FDR[[#Headers],[9]],FDR[9],"",0,1)</f>
        <v>4</v>
      </c>
      <c r="V227" cm="1">
        <f t="array" ref="V227">_xlfn.XLOOKUP(Matrix[[#This Row],[TEAM]]&amp;Matrix[[#Headers],[10]],FDR[FDR]&amp;FDR[[#Headers],[10]],FDR[10],"",0,1)</f>
        <v>5</v>
      </c>
      <c r="W227" cm="1">
        <f t="array" ref="W227">_xlfn.XLOOKUP(Matrix[[#This Row],[TEAM]]&amp;Matrix[[#Headers],[11]],FDR[FDR]&amp;FDR[[#Headers],[11]],FDR[11],"",0,1)</f>
        <v>5</v>
      </c>
      <c r="X227" cm="1">
        <f t="array" ref="X227">_xlfn.XLOOKUP(Matrix[[#This Row],[TEAM]]&amp;Matrix[[#Headers],[12]],FDR[FDR]&amp;FDR[[#Headers],[12]],FDR[12],"",0,1)</f>
        <v>5</v>
      </c>
      <c r="Y227" cm="1">
        <f t="array" ref="Y227">_xlfn.XLOOKUP(Matrix[[#This Row],[TEAM]]&amp;Matrix[[#Headers],[13]],FDR[FDR]&amp;FDR[[#Headers],[13]],FDR[13],"",0,1)</f>
        <v>5</v>
      </c>
      <c r="Z227" cm="1">
        <f t="array" ref="Z227">_xlfn.XLOOKUP(Matrix[[#This Row],[TEAM]]&amp;Matrix[[#Headers],[14]],FDR[FDR]&amp;FDR[[#Headers],[14]],FDR[14],"",0,1)</f>
        <v>5</v>
      </c>
      <c r="AA227" cm="1">
        <f t="array" ref="AA227">_xlfn.XLOOKUP(Matrix[[#This Row],[TEAM]]&amp;Matrix[[#Headers],[15]],FDR[FDR]&amp;FDR[[#Headers],[15]],FDR[15],"",0,1)</f>
        <v>5</v>
      </c>
      <c r="AB227" cm="1">
        <f t="array" ref="AB227">_xlfn.XLOOKUP(Matrix[[#This Row],[TEAM]]&amp;Matrix[[#Headers],[16]],FDR[FDR]&amp;FDR[[#Headers],[16]],FDR[16],"",0,1)</f>
        <v>5</v>
      </c>
      <c r="AC227" cm="1">
        <f t="array" ref="AC227">_xlfn.XLOOKUP(Matrix[[#This Row],[TEAM]]&amp;Matrix[[#Headers],[17]],FDR[FDR]&amp;FDR[[#Headers],[17]],FDR[17],"",0,1)</f>
        <v>4</v>
      </c>
      <c r="AD227" cm="1">
        <f t="array" ref="AD227">_xlfn.XLOOKUP(Matrix[[#This Row],[TEAM]]&amp;Matrix[[#Headers],[18]],FDR[FDR]&amp;FDR[[#Headers],[18]],FDR[18],"",0,1)</f>
        <v>4</v>
      </c>
      <c r="AE227" cm="1">
        <f t="array" ref="AE227">_xlfn.XLOOKUP(Matrix[[#This Row],[TEAM]]&amp;Matrix[[#Headers],[19]],FDR[FDR]&amp;FDR[[#Headers],[19]],FDR[19],"",0,1)</f>
        <v>5</v>
      </c>
      <c r="AF227" cm="1">
        <f t="array" ref="AF227">_xlfn.XLOOKUP(Matrix[[#This Row],[TEAM]]&amp;Matrix[[#Headers],[20]],FDR[FDR]&amp;FDR[[#Headers],[20]],FDR[20],"",0,1)</f>
        <v>5</v>
      </c>
      <c r="AG227" cm="1">
        <f t="array" ref="AG227">_xlfn.XLOOKUP(Matrix[[#This Row],[TEAM]]&amp;Matrix[[#Headers],[21]],FDR[FDR]&amp;FDR[[#Headers],[21]],FDR[21],"",0,1)</f>
        <v>5</v>
      </c>
      <c r="AH227" cm="1">
        <f t="array" ref="AH227">_xlfn.XLOOKUP(Matrix[[#This Row],[TEAM]]&amp;Matrix[[#Headers],[22]],FDR[FDR]&amp;FDR[[#Headers],[22]],FDR[22],"",0,1)</f>
        <v>5</v>
      </c>
      <c r="AI227" cm="1">
        <f t="array" ref="AI227">_xlfn.XLOOKUP(Matrix[[#This Row],[TEAM]]&amp;Matrix[[#Headers],[23]],FDR[FDR]&amp;FDR[[#Headers],[23]],FDR[23],"",0,1)</f>
        <v>5</v>
      </c>
      <c r="AJ227" cm="1">
        <f t="array" ref="AJ227">_xlfn.XLOOKUP(Matrix[[#This Row],[TEAM]]&amp;Matrix[[#Headers],[24]],FDR[FDR]&amp;FDR[[#Headers],[24]],FDR[24],"",0,1)</f>
        <v>5</v>
      </c>
      <c r="AK227" cm="1">
        <f t="array" ref="AK227">_xlfn.XLOOKUP(Matrix[[#This Row],[TEAM]]&amp;Matrix[[#Headers],[25]],FDR[FDR]&amp;FDR[[#Headers],[25]],FDR[25],"",0,1)</f>
        <v>5</v>
      </c>
      <c r="AL227" cm="1">
        <f t="array" ref="AL227">_xlfn.XLOOKUP(Matrix[[#This Row],[TEAM]]&amp;Matrix[[#Headers],[26]],FDR[FDR]&amp;FDR[[#Headers],[26]],FDR[26],"",0,1)</f>
        <v>5</v>
      </c>
      <c r="AM227" cm="1">
        <f t="array" ref="AM227">_xlfn.XLOOKUP(Matrix[[#This Row],[TEAM]]&amp;Matrix[[#Headers],[27]],FDR[FDR]&amp;FDR[[#Headers],[27]],FDR[27],"",0,1)</f>
        <v>5</v>
      </c>
      <c r="AN227" cm="1">
        <f t="array" ref="AN227">_xlfn.XLOOKUP(Matrix[[#This Row],[TEAM]]&amp;Matrix[[#Headers],[28]],FDR[FDR]&amp;FDR[[#Headers],[28]],FDR[28],"",0,1)</f>
        <v>5</v>
      </c>
      <c r="AO227" cm="1">
        <f t="array" ref="AO227">_xlfn.XLOOKUP(Matrix[[#This Row],[TEAM]]&amp;Matrix[[#Headers],[29]],FDR[FDR]&amp;FDR[[#Headers],[29]],FDR[29],"",0,1)</f>
        <v>3</v>
      </c>
      <c r="AP227" cm="1">
        <f t="array" ref="AP227">_xlfn.XLOOKUP(Matrix[[#This Row],[TEAM]]&amp;Matrix[[#Headers],[30]],FDR[FDR]&amp;FDR[[#Headers],[30]],FDR[30],"",0,1)</f>
        <v>5</v>
      </c>
      <c r="AQ227" cm="1">
        <f t="array" ref="AQ227">_xlfn.XLOOKUP(Matrix[[#This Row],[TEAM]]&amp;Matrix[[#Headers],[31]],FDR[FDR]&amp;FDR[[#Headers],[31]],FDR[31],"",0,1)</f>
        <v>4</v>
      </c>
      <c r="AR227" cm="1">
        <f t="array" ref="AR227">_xlfn.XLOOKUP(Matrix[[#This Row],[TEAM]]&amp;Matrix[[#Headers],[32]],FDR[FDR]&amp;FDR[[#Headers],[32]],FDR[32],"",0,1)</f>
        <v>5</v>
      </c>
      <c r="AS227" cm="1">
        <f t="array" ref="AS227">_xlfn.XLOOKUP(Matrix[[#This Row],[TEAM]]&amp;Matrix[[#Headers],[33]],FDR[FDR]&amp;FDR[[#Headers],[33]],FDR[33],"",0,1)</f>
        <v>3</v>
      </c>
      <c r="AT227" cm="1">
        <f t="array" ref="AT227">_xlfn.XLOOKUP(Matrix[[#This Row],[TEAM]]&amp;Matrix[[#Headers],[34]],FDR[FDR]&amp;FDR[[#Headers],[34]],FDR[34],"",0,1)</f>
        <v>5</v>
      </c>
      <c r="AU227" cm="1">
        <f t="array" ref="AU227">_xlfn.XLOOKUP(Matrix[[#This Row],[TEAM]]&amp;Matrix[[#Headers],[35]],FDR[FDR]&amp;FDR[[#Headers],[35]],FDR[35],"",0,1)</f>
        <v>3</v>
      </c>
      <c r="AV227" cm="1">
        <f t="array" ref="AV227">_xlfn.XLOOKUP(Matrix[[#This Row],[TEAM]]&amp;Matrix[[#Headers],[36]],FDR[FDR]&amp;FDR[[#Headers],[36]],FDR[36],"",0,1)</f>
        <v>5</v>
      </c>
      <c r="AW227" cm="1">
        <f t="array" ref="AW227">_xlfn.XLOOKUP(Matrix[[#This Row],[TEAM]]&amp;Matrix[[#Headers],[37]],FDR[FDR]&amp;FDR[[#Headers],[37]],FDR[37],"",0,1)</f>
        <v>5</v>
      </c>
      <c r="AX227" cm="1">
        <f t="array" ref="AX227">_xlfn.XLOOKUP(Matrix[[#This Row],[TEAM]]&amp;Matrix[[#Headers],[38]],FDR[FDR]&amp;FDR[[#Headers],[38]],FDR[38],"",0,1)</f>
        <v>5</v>
      </c>
    </row>
    <row r="228" spans="1:50" ht="22" thickTop="1" thickBot="1">
      <c r="A228" s="50" t="str">
        <f>INDEX!S$4</f>
        <v>MID</v>
      </c>
      <c r="B228" s="70" t="s">
        <v>1574</v>
      </c>
      <c r="C228" s="40" t="s">
        <v>23</v>
      </c>
      <c r="D228" s="62">
        <v>33</v>
      </c>
      <c r="E228" s="60">
        <v>1E-3</v>
      </c>
      <c r="F228" s="61">
        <v>47.2</v>
      </c>
      <c r="G228" s="63">
        <v>5</v>
      </c>
      <c r="H228" s="261">
        <f>IF(ISBLANK(I228),0,1)</f>
        <v>0</v>
      </c>
      <c r="I228" s="57"/>
      <c r="J228" s="58"/>
      <c r="K228" s="59" t="s">
        <v>492</v>
      </c>
      <c r="L228" s="59" t="s">
        <v>235</v>
      </c>
      <c r="M228" cm="1">
        <f t="array" ref="M228">_xlfn.XLOOKUP(Matrix[[#This Row],[TEAM]]&amp;Matrix[[#Headers],[1]],FDR[FDR]&amp;FDR[[#Headers],[1]],FDR[1],"",0,1)</f>
        <v>4</v>
      </c>
      <c r="N228" cm="1">
        <f t="array" ref="N228">_xlfn.XLOOKUP(Matrix[[#This Row],[TEAM]]&amp;Matrix[[#Headers],[2]],FDR[FDR]&amp;FDR[[#Headers],[2]],FDR[2],"",0,1)</f>
        <v>4</v>
      </c>
      <c r="O228" cm="1">
        <f t="array" ref="O228">_xlfn.XLOOKUP(Matrix[[#This Row],[TEAM]]&amp;Matrix[[#Headers],[3]],FDR[FDR]&amp;FDR[[#Headers],[3]],FDR[3],"",0,1)</f>
        <v>5</v>
      </c>
      <c r="P228" cm="1">
        <f t="array" ref="P228">_xlfn.XLOOKUP(Matrix[[#This Row],[TEAM]]&amp;Matrix[[#Headers],[4]],FDR[FDR]&amp;FDR[[#Headers],[4]],FDR[4],"",0,1)</f>
        <v>1</v>
      </c>
      <c r="Q228" cm="1">
        <f t="array" ref="Q228">_xlfn.XLOOKUP(Matrix[[#This Row],[TEAM]]&amp;Matrix[[#Headers],[5]],FDR[FDR]&amp;FDR[[#Headers],[5]],FDR[5],"",0,1)</f>
        <v>2</v>
      </c>
      <c r="R228" cm="1">
        <f t="array" ref="R228">_xlfn.XLOOKUP(Matrix[[#This Row],[TEAM]]&amp;Matrix[[#Headers],[6]],FDR[FDR]&amp;FDR[[#Headers],[6]],FDR[6],"",0,1)</f>
        <v>5</v>
      </c>
      <c r="S228" cm="1">
        <f t="array" ref="S228">_xlfn.XLOOKUP(Matrix[[#This Row],[TEAM]]&amp;Matrix[[#Headers],[7]],FDR[FDR]&amp;FDR[[#Headers],[7]],FDR[7],"",0,1)</f>
        <v>4</v>
      </c>
      <c r="T228" cm="1">
        <f t="array" ref="T228">_xlfn.XLOOKUP(Matrix[[#This Row],[TEAM]]&amp;Matrix[[#Headers],[8]],FDR[FDR]&amp;FDR[[#Headers],[8]],FDR[8],"",0,1)</f>
        <v>4</v>
      </c>
      <c r="U228" cm="1">
        <f t="array" ref="U228">_xlfn.XLOOKUP(Matrix[[#This Row],[TEAM]]&amp;Matrix[[#Headers],[9]],FDR[FDR]&amp;FDR[[#Headers],[9]],FDR[9],"",0,1)</f>
        <v>5</v>
      </c>
      <c r="V228" cm="1">
        <f t="array" ref="V228">_xlfn.XLOOKUP(Matrix[[#This Row],[TEAM]]&amp;Matrix[[#Headers],[10]],FDR[FDR]&amp;FDR[[#Headers],[10]],FDR[10],"",0,1)</f>
        <v>1</v>
      </c>
      <c r="W228" cm="1">
        <f t="array" ref="W228">_xlfn.XLOOKUP(Matrix[[#This Row],[TEAM]]&amp;Matrix[[#Headers],[11]],FDR[FDR]&amp;FDR[[#Headers],[11]],FDR[11],"",0,1)</f>
        <v>3</v>
      </c>
      <c r="X228" cm="1">
        <f t="array" ref="X228">_xlfn.XLOOKUP(Matrix[[#This Row],[TEAM]]&amp;Matrix[[#Headers],[12]],FDR[FDR]&amp;FDR[[#Headers],[12]],FDR[12],"",0,1)</f>
        <v>1</v>
      </c>
      <c r="Y228" cm="1">
        <f t="array" ref="Y228">_xlfn.XLOOKUP(Matrix[[#This Row],[TEAM]]&amp;Matrix[[#Headers],[13]],FDR[FDR]&amp;FDR[[#Headers],[13]],FDR[13],"",0,1)</f>
        <v>5</v>
      </c>
      <c r="Z228" cm="1">
        <f t="array" ref="Z228">_xlfn.XLOOKUP(Matrix[[#This Row],[TEAM]]&amp;Matrix[[#Headers],[14]],FDR[FDR]&amp;FDR[[#Headers],[14]],FDR[14],"",0,1)</f>
        <v>4</v>
      </c>
      <c r="AA228" cm="1">
        <f t="array" ref="AA228">_xlfn.XLOOKUP(Matrix[[#This Row],[TEAM]]&amp;Matrix[[#Headers],[15]],FDR[FDR]&amp;FDR[[#Headers],[15]],FDR[15],"",0,1)</f>
        <v>2</v>
      </c>
      <c r="AB228" cm="1">
        <f t="array" ref="AB228">_xlfn.XLOOKUP(Matrix[[#This Row],[TEAM]]&amp;Matrix[[#Headers],[16]],FDR[FDR]&amp;FDR[[#Headers],[16]],FDR[16],"",0,1)</f>
        <v>2</v>
      </c>
      <c r="AC228" cm="1">
        <f t="array" ref="AC228">_xlfn.XLOOKUP(Matrix[[#This Row],[TEAM]]&amp;Matrix[[#Headers],[17]],FDR[FDR]&amp;FDR[[#Headers],[17]],FDR[17],"",0,1)</f>
        <v>3</v>
      </c>
      <c r="AD228" cm="1">
        <f t="array" ref="AD228">_xlfn.XLOOKUP(Matrix[[#This Row],[TEAM]]&amp;Matrix[[#Headers],[18]],FDR[FDR]&amp;FDR[[#Headers],[18]],FDR[18],"",0,1)</f>
        <v>3</v>
      </c>
      <c r="AE228" cm="1">
        <f t="array" ref="AE228">_xlfn.XLOOKUP(Matrix[[#This Row],[TEAM]]&amp;Matrix[[#Headers],[19]],FDR[FDR]&amp;FDR[[#Headers],[19]],FDR[19],"",0,1)</f>
        <v>3</v>
      </c>
      <c r="AF228" cm="1">
        <f t="array" ref="AF228">_xlfn.XLOOKUP(Matrix[[#This Row],[TEAM]]&amp;Matrix[[#Headers],[20]],FDR[FDR]&amp;FDR[[#Headers],[20]],FDR[20],"",0,1)</f>
        <v>4</v>
      </c>
      <c r="AG228" cm="1">
        <f t="array" ref="AG228">_xlfn.XLOOKUP(Matrix[[#This Row],[TEAM]]&amp;Matrix[[#Headers],[21]],FDR[FDR]&amp;FDR[[#Headers],[21]],FDR[21],"",0,1)</f>
        <v>4</v>
      </c>
      <c r="AH228" cm="1">
        <f t="array" ref="AH228">_xlfn.XLOOKUP(Matrix[[#This Row],[TEAM]]&amp;Matrix[[#Headers],[22]],FDR[FDR]&amp;FDR[[#Headers],[22]],FDR[22],"",0,1)</f>
        <v>2</v>
      </c>
      <c r="AI228" cm="1">
        <f t="array" ref="AI228">_xlfn.XLOOKUP(Matrix[[#This Row],[TEAM]]&amp;Matrix[[#Headers],[23]],FDR[FDR]&amp;FDR[[#Headers],[23]],FDR[23],"",0,1)</f>
        <v>3</v>
      </c>
      <c r="AJ228" cm="1">
        <f t="array" ref="AJ228">_xlfn.XLOOKUP(Matrix[[#This Row],[TEAM]]&amp;Matrix[[#Headers],[24]],FDR[FDR]&amp;FDR[[#Headers],[24]],FDR[24],"",0,1)</f>
        <v>5</v>
      </c>
      <c r="AK228" cm="1">
        <f t="array" ref="AK228">_xlfn.XLOOKUP(Matrix[[#This Row],[TEAM]]&amp;Matrix[[#Headers],[25]],FDR[FDR]&amp;FDR[[#Headers],[25]],FDR[25],"",0,1)</f>
        <v>2</v>
      </c>
      <c r="AL228" cm="1">
        <f t="array" ref="AL228">_xlfn.XLOOKUP(Matrix[[#This Row],[TEAM]]&amp;Matrix[[#Headers],[26]],FDR[FDR]&amp;FDR[[#Headers],[26]],FDR[26],"",0,1)</f>
        <v>5</v>
      </c>
      <c r="AM228" cm="1">
        <f t="array" ref="AM228">_xlfn.XLOOKUP(Matrix[[#This Row],[TEAM]]&amp;Matrix[[#Headers],[27]],FDR[FDR]&amp;FDR[[#Headers],[27]],FDR[27],"",0,1)</f>
        <v>2</v>
      </c>
      <c r="AN228" cm="1">
        <f t="array" ref="AN228">_xlfn.XLOOKUP(Matrix[[#This Row],[TEAM]]&amp;Matrix[[#Headers],[28]],FDR[FDR]&amp;FDR[[#Headers],[28]],FDR[28],"",0,1)</f>
        <v>4</v>
      </c>
      <c r="AO228" cm="1">
        <f t="array" ref="AO228">_xlfn.XLOOKUP(Matrix[[#This Row],[TEAM]]&amp;Matrix[[#Headers],[29]],FDR[FDR]&amp;FDR[[#Headers],[29]],FDR[29],"",0,1)</f>
        <v>2</v>
      </c>
      <c r="AP228" cm="1">
        <f t="array" ref="AP228">_xlfn.XLOOKUP(Matrix[[#This Row],[TEAM]]&amp;Matrix[[#Headers],[30]],FDR[FDR]&amp;FDR[[#Headers],[30]],FDR[30],"",0,1)</f>
        <v>4</v>
      </c>
      <c r="AQ228" cm="1">
        <f t="array" ref="AQ228">_xlfn.XLOOKUP(Matrix[[#This Row],[TEAM]]&amp;Matrix[[#Headers],[31]],FDR[FDR]&amp;FDR[[#Headers],[31]],FDR[31],"",0,1)</f>
        <v>1</v>
      </c>
      <c r="AR228" cm="1">
        <f t="array" ref="AR228">_xlfn.XLOOKUP(Matrix[[#This Row],[TEAM]]&amp;Matrix[[#Headers],[32]],FDR[FDR]&amp;FDR[[#Headers],[32]],FDR[32],"",0,1)</f>
        <v>5</v>
      </c>
      <c r="AS228" cm="1">
        <f t="array" ref="AS228">_xlfn.XLOOKUP(Matrix[[#This Row],[TEAM]]&amp;Matrix[[#Headers],[33]],FDR[FDR]&amp;FDR[[#Headers],[33]],FDR[33],"",0,1)</f>
        <v>3</v>
      </c>
      <c r="AT228" cm="1">
        <f t="array" ref="AT228">_xlfn.XLOOKUP(Matrix[[#This Row],[TEAM]]&amp;Matrix[[#Headers],[34]],FDR[FDR]&amp;FDR[[#Headers],[34]],FDR[34],"",0,1)</f>
        <v>3</v>
      </c>
      <c r="AU228" cm="1">
        <f t="array" ref="AU228">_xlfn.XLOOKUP(Matrix[[#This Row],[TEAM]]&amp;Matrix[[#Headers],[35]],FDR[FDR]&amp;FDR[[#Headers],[35]],FDR[35],"",0,1)</f>
        <v>5</v>
      </c>
      <c r="AV228" cm="1">
        <f t="array" ref="AV228">_xlfn.XLOOKUP(Matrix[[#This Row],[TEAM]]&amp;Matrix[[#Headers],[36]],FDR[FDR]&amp;FDR[[#Headers],[36]],FDR[36],"",0,1)</f>
        <v>3</v>
      </c>
      <c r="AW228" cm="1">
        <f t="array" ref="AW228">_xlfn.XLOOKUP(Matrix[[#This Row],[TEAM]]&amp;Matrix[[#Headers],[37]],FDR[FDR]&amp;FDR[[#Headers],[37]],FDR[37],"",0,1)</f>
        <v>2</v>
      </c>
      <c r="AX228" cm="1">
        <f t="array" ref="AX228">_xlfn.XLOOKUP(Matrix[[#This Row],[TEAM]]&amp;Matrix[[#Headers],[38]],FDR[FDR]&amp;FDR[[#Headers],[38]],FDR[38],"",0,1)</f>
        <v>4</v>
      </c>
    </row>
    <row r="229" spans="1:50" ht="22" thickTop="1" thickBot="1">
      <c r="A229" s="50" t="str">
        <f>INDEX!S$4</f>
        <v>MID</v>
      </c>
      <c r="B229" s="70" t="s">
        <v>1559</v>
      </c>
      <c r="C229" s="40" t="s">
        <v>33</v>
      </c>
      <c r="D229" s="62">
        <v>30</v>
      </c>
      <c r="E229" s="60">
        <v>1E-3</v>
      </c>
      <c r="F229" s="61">
        <v>33.6</v>
      </c>
      <c r="G229" s="63">
        <v>5</v>
      </c>
      <c r="H229" s="261">
        <f>IF(ISBLANK(I229),0,1)</f>
        <v>0</v>
      </c>
      <c r="I229" s="57"/>
      <c r="J229" s="58"/>
      <c r="K229" s="59" t="s">
        <v>830</v>
      </c>
      <c r="L229" s="59" t="s">
        <v>135</v>
      </c>
      <c r="M229" cm="1">
        <f t="array" ref="M229">_xlfn.XLOOKUP(Matrix[[#This Row],[TEAM]]&amp;Matrix[[#Headers],[1]],FDR[FDR]&amp;FDR[[#Headers],[1]],FDR[1],"",0,1)</f>
        <v>3</v>
      </c>
      <c r="N229" cm="1">
        <f t="array" ref="N229">_xlfn.XLOOKUP(Matrix[[#This Row],[TEAM]]&amp;Matrix[[#Headers],[2]],FDR[FDR]&amp;FDR[[#Headers],[2]],FDR[2],"",0,1)</f>
        <v>3</v>
      </c>
      <c r="O229" cm="1">
        <f t="array" ref="O229">_xlfn.XLOOKUP(Matrix[[#This Row],[TEAM]]&amp;Matrix[[#Headers],[3]],FDR[FDR]&amp;FDR[[#Headers],[3]],FDR[3],"",0,1)</f>
        <v>4</v>
      </c>
      <c r="P229" cm="1">
        <f t="array" ref="P229">_xlfn.XLOOKUP(Matrix[[#This Row],[TEAM]]&amp;Matrix[[#Headers],[4]],FDR[FDR]&amp;FDR[[#Headers],[4]],FDR[4],"",0,1)</f>
        <v>4</v>
      </c>
      <c r="Q229" cm="1">
        <f t="array" ref="Q229">_xlfn.XLOOKUP(Matrix[[#This Row],[TEAM]]&amp;Matrix[[#Headers],[5]],FDR[FDR]&amp;FDR[[#Headers],[5]],FDR[5],"",0,1)</f>
        <v>4</v>
      </c>
      <c r="R229" cm="1">
        <f t="array" ref="R229">_xlfn.XLOOKUP(Matrix[[#This Row],[TEAM]]&amp;Matrix[[#Headers],[6]],FDR[FDR]&amp;FDR[[#Headers],[6]],FDR[6],"",0,1)</f>
        <v>5</v>
      </c>
      <c r="S229" cm="1">
        <f t="array" ref="S229">_xlfn.XLOOKUP(Matrix[[#This Row],[TEAM]]&amp;Matrix[[#Headers],[7]],FDR[FDR]&amp;FDR[[#Headers],[7]],FDR[7],"",0,1)</f>
        <v>2</v>
      </c>
      <c r="T229" cm="1">
        <f t="array" ref="T229">_xlfn.XLOOKUP(Matrix[[#This Row],[TEAM]]&amp;Matrix[[#Headers],[8]],FDR[FDR]&amp;FDR[[#Headers],[8]],FDR[8],"",0,1)</f>
        <v>4</v>
      </c>
      <c r="U229" cm="1">
        <f t="array" ref="U229">_xlfn.XLOOKUP(Matrix[[#This Row],[TEAM]]&amp;Matrix[[#Headers],[9]],FDR[FDR]&amp;FDR[[#Headers],[9]],FDR[9],"",0,1)</f>
        <v>5</v>
      </c>
      <c r="V229" cm="1">
        <f t="array" ref="V229">_xlfn.XLOOKUP(Matrix[[#This Row],[TEAM]]&amp;Matrix[[#Headers],[10]],FDR[FDR]&amp;FDR[[#Headers],[10]],FDR[10],"",0,1)</f>
        <v>1</v>
      </c>
      <c r="W229" cm="1">
        <f t="array" ref="W229">_xlfn.XLOOKUP(Matrix[[#This Row],[TEAM]]&amp;Matrix[[#Headers],[11]],FDR[FDR]&amp;FDR[[#Headers],[11]],FDR[11],"",0,1)</f>
        <v>3</v>
      </c>
      <c r="X229" cm="1">
        <f t="array" ref="X229">_xlfn.XLOOKUP(Matrix[[#This Row],[TEAM]]&amp;Matrix[[#Headers],[12]],FDR[FDR]&amp;FDR[[#Headers],[12]],FDR[12],"",0,1)</f>
        <v>2</v>
      </c>
      <c r="Y229" cm="1">
        <f t="array" ref="Y229">_xlfn.XLOOKUP(Matrix[[#This Row],[TEAM]]&amp;Matrix[[#Headers],[13]],FDR[FDR]&amp;FDR[[#Headers],[13]],FDR[13],"",0,1)</f>
        <v>4</v>
      </c>
      <c r="Z229" cm="1">
        <f t="array" ref="Z229">_xlfn.XLOOKUP(Matrix[[#This Row],[TEAM]]&amp;Matrix[[#Headers],[14]],FDR[FDR]&amp;FDR[[#Headers],[14]],FDR[14],"",0,1)</f>
        <v>3</v>
      </c>
      <c r="AA229" cm="1">
        <f t="array" ref="AA229">_xlfn.XLOOKUP(Matrix[[#This Row],[TEAM]]&amp;Matrix[[#Headers],[15]],FDR[FDR]&amp;FDR[[#Headers],[15]],FDR[15],"",0,1)</f>
        <v>2</v>
      </c>
      <c r="AB229" cm="1">
        <f t="array" ref="AB229">_xlfn.XLOOKUP(Matrix[[#This Row],[TEAM]]&amp;Matrix[[#Headers],[16]],FDR[FDR]&amp;FDR[[#Headers],[16]],FDR[16],"",0,1)</f>
        <v>5</v>
      </c>
      <c r="AC229" cm="1">
        <f t="array" ref="AC229">_xlfn.XLOOKUP(Matrix[[#This Row],[TEAM]]&amp;Matrix[[#Headers],[17]],FDR[FDR]&amp;FDR[[#Headers],[17]],FDR[17],"",0,1)</f>
        <v>1</v>
      </c>
      <c r="AD229" cm="1">
        <f t="array" ref="AD229">_xlfn.XLOOKUP(Matrix[[#This Row],[TEAM]]&amp;Matrix[[#Headers],[18]],FDR[FDR]&amp;FDR[[#Headers],[18]],FDR[18],"",0,1)</f>
        <v>5</v>
      </c>
      <c r="AE229" cm="1">
        <f t="array" ref="AE229">_xlfn.XLOOKUP(Matrix[[#This Row],[TEAM]]&amp;Matrix[[#Headers],[19]],FDR[FDR]&amp;FDR[[#Headers],[19]],FDR[19],"",0,1)</f>
        <v>3</v>
      </c>
      <c r="AF229" cm="1">
        <f t="array" ref="AF229">_xlfn.XLOOKUP(Matrix[[#This Row],[TEAM]]&amp;Matrix[[#Headers],[20]],FDR[FDR]&amp;FDR[[#Headers],[20]],FDR[20],"",0,1)</f>
        <v>1</v>
      </c>
      <c r="AG229" cm="1">
        <f t="array" ref="AG229">_xlfn.XLOOKUP(Matrix[[#This Row],[TEAM]]&amp;Matrix[[#Headers],[21]],FDR[FDR]&amp;FDR[[#Headers],[21]],FDR[21],"",0,1)</f>
        <v>5</v>
      </c>
      <c r="AH229" cm="1">
        <f t="array" ref="AH229">_xlfn.XLOOKUP(Matrix[[#This Row],[TEAM]]&amp;Matrix[[#Headers],[22]],FDR[FDR]&amp;FDR[[#Headers],[22]],FDR[22],"",0,1)</f>
        <v>3</v>
      </c>
      <c r="AI229" cm="1">
        <f t="array" ref="AI229">_xlfn.XLOOKUP(Matrix[[#This Row],[TEAM]]&amp;Matrix[[#Headers],[23]],FDR[FDR]&amp;FDR[[#Headers],[23]],FDR[23],"",0,1)</f>
        <v>4</v>
      </c>
      <c r="AJ229" cm="1">
        <f t="array" ref="AJ229">_xlfn.XLOOKUP(Matrix[[#This Row],[TEAM]]&amp;Matrix[[#Headers],[24]],FDR[FDR]&amp;FDR[[#Headers],[24]],FDR[24],"",0,1)</f>
        <v>2</v>
      </c>
      <c r="AK229" cm="1">
        <f t="array" ref="AK229">_xlfn.XLOOKUP(Matrix[[#This Row],[TEAM]]&amp;Matrix[[#Headers],[25]],FDR[FDR]&amp;FDR[[#Headers],[25]],FDR[25],"",0,1)</f>
        <v>2</v>
      </c>
      <c r="AL229" cm="1">
        <f t="array" ref="AL229">_xlfn.XLOOKUP(Matrix[[#This Row],[TEAM]]&amp;Matrix[[#Headers],[26]],FDR[FDR]&amp;FDR[[#Headers],[26]],FDR[26],"",0,1)</f>
        <v>5</v>
      </c>
      <c r="AM229" cm="1">
        <f t="array" ref="AM229">_xlfn.XLOOKUP(Matrix[[#This Row],[TEAM]]&amp;Matrix[[#Headers],[27]],FDR[FDR]&amp;FDR[[#Headers],[27]],FDR[27],"",0,1)</f>
        <v>3</v>
      </c>
      <c r="AN229" cm="1">
        <f t="array" ref="AN229">_xlfn.XLOOKUP(Matrix[[#This Row],[TEAM]]&amp;Matrix[[#Headers],[28]],FDR[FDR]&amp;FDR[[#Headers],[28]],FDR[28],"",0,1)</f>
        <v>3</v>
      </c>
      <c r="AO229" cm="1">
        <f t="array" ref="AO229">_xlfn.XLOOKUP(Matrix[[#This Row],[TEAM]]&amp;Matrix[[#Headers],[29]],FDR[FDR]&amp;FDR[[#Headers],[29]],FDR[29],"",0,1)</f>
        <v>4</v>
      </c>
      <c r="AP229" cm="1">
        <f t="array" ref="AP229">_xlfn.XLOOKUP(Matrix[[#This Row],[TEAM]]&amp;Matrix[[#Headers],[30]],FDR[FDR]&amp;FDR[[#Headers],[30]],FDR[30],"",0,1)</f>
        <v>2</v>
      </c>
      <c r="AQ229" cm="1">
        <f t="array" ref="AQ229">_xlfn.XLOOKUP(Matrix[[#This Row],[TEAM]]&amp;Matrix[[#Headers],[31]],FDR[FDR]&amp;FDR[[#Headers],[31]],FDR[31],"",0,1)</f>
        <v>4</v>
      </c>
      <c r="AR229" cm="1">
        <f t="array" ref="AR229">_xlfn.XLOOKUP(Matrix[[#This Row],[TEAM]]&amp;Matrix[[#Headers],[32]],FDR[FDR]&amp;FDR[[#Headers],[32]],FDR[32],"",0,1)</f>
        <v>2</v>
      </c>
      <c r="AS229" cm="1">
        <f t="array" ref="AS229">_xlfn.XLOOKUP(Matrix[[#This Row],[TEAM]]&amp;Matrix[[#Headers],[33]],FDR[FDR]&amp;FDR[[#Headers],[33]],FDR[33],"",0,1)</f>
        <v>5</v>
      </c>
      <c r="AT229" cm="1">
        <f t="array" ref="AT229">_xlfn.XLOOKUP(Matrix[[#This Row],[TEAM]]&amp;Matrix[[#Headers],[34]],FDR[FDR]&amp;FDR[[#Headers],[34]],FDR[34],"",0,1)</f>
        <v>4</v>
      </c>
      <c r="AU229" cm="1">
        <f t="array" ref="AU229">_xlfn.XLOOKUP(Matrix[[#This Row],[TEAM]]&amp;Matrix[[#Headers],[35]],FDR[FDR]&amp;FDR[[#Headers],[35]],FDR[35],"",0,1)</f>
        <v>5</v>
      </c>
      <c r="AV229" cm="1">
        <f t="array" ref="AV229">_xlfn.XLOOKUP(Matrix[[#This Row],[TEAM]]&amp;Matrix[[#Headers],[36]],FDR[FDR]&amp;FDR[[#Headers],[36]],FDR[36],"",0,1)</f>
        <v>1</v>
      </c>
      <c r="AW229" cm="1">
        <f t="array" ref="AW229">_xlfn.XLOOKUP(Matrix[[#This Row],[TEAM]]&amp;Matrix[[#Headers],[37]],FDR[FDR]&amp;FDR[[#Headers],[37]],FDR[37],"",0,1)</f>
        <v>2</v>
      </c>
      <c r="AX229" cm="1">
        <f t="array" ref="AX229">_xlfn.XLOOKUP(Matrix[[#This Row],[TEAM]]&amp;Matrix[[#Headers],[38]],FDR[FDR]&amp;FDR[[#Headers],[38]],FDR[38],"",0,1)</f>
        <v>4</v>
      </c>
    </row>
    <row r="230" spans="1:50" ht="22" thickTop="1" thickBot="1">
      <c r="A230" s="50" t="str">
        <f>INDEX!S$4</f>
        <v>MID</v>
      </c>
      <c r="B230" s="70" t="s">
        <v>1532</v>
      </c>
      <c r="C230" s="40" t="s">
        <v>20</v>
      </c>
      <c r="D230" s="62">
        <v>27</v>
      </c>
      <c r="E230" s="60">
        <v>2E-3</v>
      </c>
      <c r="F230" s="61">
        <v>55.1</v>
      </c>
      <c r="G230" s="63">
        <v>5</v>
      </c>
      <c r="H230" s="261">
        <f>IF(ISBLANK(I230),0,1)</f>
        <v>0</v>
      </c>
      <c r="I230" s="57"/>
      <c r="J230" s="58"/>
      <c r="K230" s="59" t="s">
        <v>513</v>
      </c>
      <c r="L230" s="59" t="s">
        <v>260</v>
      </c>
      <c r="M230" cm="1">
        <f t="array" ref="M230">_xlfn.XLOOKUP(Matrix[[#This Row],[TEAM]]&amp;Matrix[[#Headers],[1]],FDR[FDR]&amp;FDR[[#Headers],[1]],FDR[1],"",0,1)</f>
        <v>3</v>
      </c>
      <c r="N230" cm="1">
        <f t="array" ref="N230">_xlfn.XLOOKUP(Matrix[[#This Row],[TEAM]]&amp;Matrix[[#Headers],[2]],FDR[FDR]&amp;FDR[[#Headers],[2]],FDR[2],"",0,1)</f>
        <v>1</v>
      </c>
      <c r="O230" cm="1">
        <f t="array" ref="O230">_xlfn.XLOOKUP(Matrix[[#This Row],[TEAM]]&amp;Matrix[[#Headers],[3]],FDR[FDR]&amp;FDR[[#Headers],[3]],FDR[3],"",0,1)</f>
        <v>4</v>
      </c>
      <c r="P230" cm="1">
        <f t="array" ref="P230">_xlfn.XLOOKUP(Matrix[[#This Row],[TEAM]]&amp;Matrix[[#Headers],[4]],FDR[FDR]&amp;FDR[[#Headers],[4]],FDR[4],"",0,1)</f>
        <v>1</v>
      </c>
      <c r="Q230" cm="1">
        <f t="array" ref="Q230">_xlfn.XLOOKUP(Matrix[[#This Row],[TEAM]]&amp;Matrix[[#Headers],[5]],FDR[FDR]&amp;FDR[[#Headers],[5]],FDR[5],"",0,1)</f>
        <v>3</v>
      </c>
      <c r="R230" cm="1">
        <f t="array" ref="R230">_xlfn.XLOOKUP(Matrix[[#This Row],[TEAM]]&amp;Matrix[[#Headers],[6]],FDR[FDR]&amp;FDR[[#Headers],[6]],FDR[6],"",0,1)</f>
        <v>3</v>
      </c>
      <c r="S230" cm="1">
        <f t="array" ref="S230">_xlfn.XLOOKUP(Matrix[[#This Row],[TEAM]]&amp;Matrix[[#Headers],[7]],FDR[FDR]&amp;FDR[[#Headers],[7]],FDR[7],"",0,1)</f>
        <v>1</v>
      </c>
      <c r="T230" cm="1">
        <f t="array" ref="T230">_xlfn.XLOOKUP(Matrix[[#This Row],[TEAM]]&amp;Matrix[[#Headers],[8]],FDR[FDR]&amp;FDR[[#Headers],[8]],FDR[8],"",0,1)</f>
        <v>2</v>
      </c>
      <c r="U230" cm="1">
        <f t="array" ref="U230">_xlfn.XLOOKUP(Matrix[[#This Row],[TEAM]]&amp;Matrix[[#Headers],[9]],FDR[FDR]&amp;FDR[[#Headers],[9]],FDR[9],"",0,1)</f>
        <v>1</v>
      </c>
      <c r="V230" cm="1">
        <f t="array" ref="V230">_xlfn.XLOOKUP(Matrix[[#This Row],[TEAM]]&amp;Matrix[[#Headers],[10]],FDR[FDR]&amp;FDR[[#Headers],[10]],FDR[10],"",0,1)</f>
        <v>1</v>
      </c>
      <c r="W230" cm="1">
        <f t="array" ref="W230">_xlfn.XLOOKUP(Matrix[[#This Row],[TEAM]]&amp;Matrix[[#Headers],[11]],FDR[FDR]&amp;FDR[[#Headers],[11]],FDR[11],"",0,1)</f>
        <v>1</v>
      </c>
      <c r="X230" cm="1">
        <f t="array" ref="X230">_xlfn.XLOOKUP(Matrix[[#This Row],[TEAM]]&amp;Matrix[[#Headers],[12]],FDR[FDR]&amp;FDR[[#Headers],[12]],FDR[12],"",0,1)</f>
        <v>2</v>
      </c>
      <c r="Y230" cm="1">
        <f t="array" ref="Y230">_xlfn.XLOOKUP(Matrix[[#This Row],[TEAM]]&amp;Matrix[[#Headers],[13]],FDR[FDR]&amp;FDR[[#Headers],[13]],FDR[13],"",0,1)</f>
        <v>3</v>
      </c>
      <c r="Z230" cm="1">
        <f t="array" ref="Z230">_xlfn.XLOOKUP(Matrix[[#This Row],[TEAM]]&amp;Matrix[[#Headers],[14]],FDR[FDR]&amp;FDR[[#Headers],[14]],FDR[14],"",0,1)</f>
        <v>1</v>
      </c>
      <c r="AA230" cm="1">
        <f t="array" ref="AA230">_xlfn.XLOOKUP(Matrix[[#This Row],[TEAM]]&amp;Matrix[[#Headers],[15]],FDR[FDR]&amp;FDR[[#Headers],[15]],FDR[15],"",0,1)</f>
        <v>3</v>
      </c>
      <c r="AB230" cm="1">
        <f t="array" ref="AB230">_xlfn.XLOOKUP(Matrix[[#This Row],[TEAM]]&amp;Matrix[[#Headers],[16]],FDR[FDR]&amp;FDR[[#Headers],[16]],FDR[16],"",0,1)</f>
        <v>1</v>
      </c>
      <c r="AC230" cm="1">
        <f t="array" ref="AC230">_xlfn.XLOOKUP(Matrix[[#This Row],[TEAM]]&amp;Matrix[[#Headers],[17]],FDR[FDR]&amp;FDR[[#Headers],[17]],FDR[17],"",0,1)</f>
        <v>2</v>
      </c>
      <c r="AD230" cm="1">
        <f t="array" ref="AD230">_xlfn.XLOOKUP(Matrix[[#This Row],[TEAM]]&amp;Matrix[[#Headers],[18]],FDR[FDR]&amp;FDR[[#Headers],[18]],FDR[18],"",0,1)</f>
        <v>1</v>
      </c>
      <c r="AE230" cm="1">
        <f t="array" ref="AE230">_xlfn.XLOOKUP(Matrix[[#This Row],[TEAM]]&amp;Matrix[[#Headers],[19]],FDR[FDR]&amp;FDR[[#Headers],[19]],FDR[19],"",0,1)</f>
        <v>2</v>
      </c>
      <c r="AF230" cm="1">
        <f t="array" ref="AF230">_xlfn.XLOOKUP(Matrix[[#This Row],[TEAM]]&amp;Matrix[[#Headers],[20]],FDR[FDR]&amp;FDR[[#Headers],[20]],FDR[20],"",0,1)</f>
        <v>2</v>
      </c>
      <c r="AG230" cm="1">
        <f t="array" ref="AG230">_xlfn.XLOOKUP(Matrix[[#This Row],[TEAM]]&amp;Matrix[[#Headers],[21]],FDR[FDR]&amp;FDR[[#Headers],[21]],FDR[21],"",0,1)</f>
        <v>3</v>
      </c>
      <c r="AH230" cm="1">
        <f t="array" ref="AH230">_xlfn.XLOOKUP(Matrix[[#This Row],[TEAM]]&amp;Matrix[[#Headers],[22]],FDR[FDR]&amp;FDR[[#Headers],[22]],FDR[22],"",0,1)</f>
        <v>2</v>
      </c>
      <c r="AI230" cm="1">
        <f t="array" ref="AI230">_xlfn.XLOOKUP(Matrix[[#This Row],[TEAM]]&amp;Matrix[[#Headers],[23]],FDR[FDR]&amp;FDR[[#Headers],[23]],FDR[23],"",0,1)</f>
        <v>2</v>
      </c>
      <c r="AJ230" cm="1">
        <f t="array" ref="AJ230">_xlfn.XLOOKUP(Matrix[[#This Row],[TEAM]]&amp;Matrix[[#Headers],[24]],FDR[FDR]&amp;FDR[[#Headers],[24]],FDR[24],"",0,1)</f>
        <v>1</v>
      </c>
      <c r="AK230" cm="1">
        <f t="array" ref="AK230">_xlfn.XLOOKUP(Matrix[[#This Row],[TEAM]]&amp;Matrix[[#Headers],[25]],FDR[FDR]&amp;FDR[[#Headers],[25]],FDR[25],"",0,1)</f>
        <v>1</v>
      </c>
      <c r="AL230" cm="1">
        <f t="array" ref="AL230">_xlfn.XLOOKUP(Matrix[[#This Row],[TEAM]]&amp;Matrix[[#Headers],[26]],FDR[FDR]&amp;FDR[[#Headers],[26]],FDR[26],"",0,1)</f>
        <v>2</v>
      </c>
      <c r="AM230" cm="1">
        <f t="array" ref="AM230">_xlfn.XLOOKUP(Matrix[[#This Row],[TEAM]]&amp;Matrix[[#Headers],[27]],FDR[FDR]&amp;FDR[[#Headers],[27]],FDR[27],"",0,1)</f>
        <v>3</v>
      </c>
      <c r="AN230" cm="1">
        <f t="array" ref="AN230">_xlfn.XLOOKUP(Matrix[[#This Row],[TEAM]]&amp;Matrix[[#Headers],[28]],FDR[FDR]&amp;FDR[[#Headers],[28]],FDR[28],"",0,1)</f>
        <v>2</v>
      </c>
      <c r="AO230" cm="1">
        <f t="array" ref="AO230">_xlfn.XLOOKUP(Matrix[[#This Row],[TEAM]]&amp;Matrix[[#Headers],[29]],FDR[FDR]&amp;FDR[[#Headers],[29]],FDR[29],"",0,1)</f>
        <v>2</v>
      </c>
      <c r="AP230" cm="1">
        <f t="array" ref="AP230">_xlfn.XLOOKUP(Matrix[[#This Row],[TEAM]]&amp;Matrix[[#Headers],[30]],FDR[FDR]&amp;FDR[[#Headers],[30]],FDR[30],"",0,1)</f>
        <v>1</v>
      </c>
      <c r="AQ230" cm="1">
        <f t="array" ref="AQ230">_xlfn.XLOOKUP(Matrix[[#This Row],[TEAM]]&amp;Matrix[[#Headers],[31]],FDR[FDR]&amp;FDR[[#Headers],[31]],FDR[31],"",0,1)</f>
        <v>1</v>
      </c>
      <c r="AR230" cm="1">
        <f t="array" ref="AR230">_xlfn.XLOOKUP(Matrix[[#This Row],[TEAM]]&amp;Matrix[[#Headers],[32]],FDR[FDR]&amp;FDR[[#Headers],[32]],FDR[32],"",0,1)</f>
        <v>1</v>
      </c>
      <c r="AS230" cm="1">
        <f t="array" ref="AS230">_xlfn.XLOOKUP(Matrix[[#This Row],[TEAM]]&amp;Matrix[[#Headers],[33]],FDR[FDR]&amp;FDR[[#Headers],[33]],FDR[33],"",0,1)</f>
        <v>3</v>
      </c>
      <c r="AT230" cm="1">
        <f t="array" ref="AT230">_xlfn.XLOOKUP(Matrix[[#This Row],[TEAM]]&amp;Matrix[[#Headers],[34]],FDR[FDR]&amp;FDR[[#Headers],[34]],FDR[34],"",0,1)</f>
        <v>2</v>
      </c>
      <c r="AU230" cm="1">
        <f t="array" ref="AU230">_xlfn.XLOOKUP(Matrix[[#This Row],[TEAM]]&amp;Matrix[[#Headers],[35]],FDR[FDR]&amp;FDR[[#Headers],[35]],FDR[35],"",0,1)</f>
        <v>1</v>
      </c>
      <c r="AV230" cm="1">
        <f t="array" ref="AV230">_xlfn.XLOOKUP(Matrix[[#This Row],[TEAM]]&amp;Matrix[[#Headers],[36]],FDR[FDR]&amp;FDR[[#Headers],[36]],FDR[36],"",0,1)</f>
        <v>2</v>
      </c>
      <c r="AW230" cm="1">
        <f t="array" ref="AW230">_xlfn.XLOOKUP(Matrix[[#This Row],[TEAM]]&amp;Matrix[[#Headers],[37]],FDR[FDR]&amp;FDR[[#Headers],[37]],FDR[37],"",0,1)</f>
        <v>1</v>
      </c>
      <c r="AX230" cm="1">
        <f t="array" ref="AX230">_xlfn.XLOOKUP(Matrix[[#This Row],[TEAM]]&amp;Matrix[[#Headers],[38]],FDR[FDR]&amp;FDR[[#Headers],[38]],FDR[38],"",0,1)</f>
        <v>2</v>
      </c>
    </row>
    <row r="231" spans="1:50" ht="22" thickTop="1" thickBot="1">
      <c r="A231" s="50" t="str">
        <f>INDEX!S$4</f>
        <v>MID</v>
      </c>
      <c r="B231" s="70" t="s">
        <v>1582</v>
      </c>
      <c r="C231" s="40" t="s">
        <v>29</v>
      </c>
      <c r="D231" s="62">
        <v>27</v>
      </c>
      <c r="E231" s="60">
        <v>1E-3</v>
      </c>
      <c r="F231" s="61">
        <v>33.799999999999997</v>
      </c>
      <c r="G231" s="63">
        <v>5</v>
      </c>
      <c r="H231" s="261">
        <f>IF(ISBLANK(I231),0,1)</f>
        <v>0</v>
      </c>
      <c r="I231" s="57"/>
      <c r="J231" s="58"/>
      <c r="K231" s="59" t="s">
        <v>551</v>
      </c>
      <c r="L231" s="59" t="s">
        <v>171</v>
      </c>
      <c r="M231" cm="1">
        <f t="array" ref="M231">_xlfn.XLOOKUP(Matrix[[#This Row],[TEAM]]&amp;Matrix[[#Headers],[1]],FDR[FDR]&amp;FDR[[#Headers],[1]],FDR[1],"",0,1)</f>
        <v>1</v>
      </c>
      <c r="N231" cm="1">
        <f t="array" ref="N231">_xlfn.XLOOKUP(Matrix[[#This Row],[TEAM]]&amp;Matrix[[#Headers],[2]],FDR[FDR]&amp;FDR[[#Headers],[2]],FDR[2],"",0,1)</f>
        <v>2</v>
      </c>
      <c r="O231" cm="1">
        <f t="array" ref="O231">_xlfn.XLOOKUP(Matrix[[#This Row],[TEAM]]&amp;Matrix[[#Headers],[3]],FDR[FDR]&amp;FDR[[#Headers],[3]],FDR[3],"",0,1)</f>
        <v>2</v>
      </c>
      <c r="P231" cm="1">
        <f t="array" ref="P231">_xlfn.XLOOKUP(Matrix[[#This Row],[TEAM]]&amp;Matrix[[#Headers],[4]],FDR[FDR]&amp;FDR[[#Headers],[4]],FDR[4],"",0,1)</f>
        <v>2</v>
      </c>
      <c r="Q231" cm="1">
        <f t="array" ref="Q231">_xlfn.XLOOKUP(Matrix[[#This Row],[TEAM]]&amp;Matrix[[#Headers],[5]],FDR[FDR]&amp;FDR[[#Headers],[5]],FDR[5],"",0,1)</f>
        <v>4</v>
      </c>
      <c r="R231" cm="1">
        <f t="array" ref="R231">_xlfn.XLOOKUP(Matrix[[#This Row],[TEAM]]&amp;Matrix[[#Headers],[6]],FDR[FDR]&amp;FDR[[#Headers],[6]],FDR[6],"",0,1)</f>
        <v>1</v>
      </c>
      <c r="S231" cm="1">
        <f t="array" ref="S231">_xlfn.XLOOKUP(Matrix[[#This Row],[TEAM]]&amp;Matrix[[#Headers],[7]],FDR[FDR]&amp;FDR[[#Headers],[7]],FDR[7],"",0,1)</f>
        <v>2</v>
      </c>
      <c r="T231" cm="1">
        <f t="array" ref="T231">_xlfn.XLOOKUP(Matrix[[#This Row],[TEAM]]&amp;Matrix[[#Headers],[8]],FDR[FDR]&amp;FDR[[#Headers],[8]],FDR[8],"",0,1)</f>
        <v>1</v>
      </c>
      <c r="U231" cm="1">
        <f t="array" ref="U231">_xlfn.XLOOKUP(Matrix[[#This Row],[TEAM]]&amp;Matrix[[#Headers],[9]],FDR[FDR]&amp;FDR[[#Headers],[9]],FDR[9],"",0,1)</f>
        <v>3</v>
      </c>
      <c r="V231" cm="1">
        <f t="array" ref="V231">_xlfn.XLOOKUP(Matrix[[#This Row],[TEAM]]&amp;Matrix[[#Headers],[10]],FDR[FDR]&amp;FDR[[#Headers],[10]],FDR[10],"",0,1)</f>
        <v>1</v>
      </c>
      <c r="W231" cm="1">
        <f t="array" ref="W231">_xlfn.XLOOKUP(Matrix[[#This Row],[TEAM]]&amp;Matrix[[#Headers],[11]],FDR[FDR]&amp;FDR[[#Headers],[11]],FDR[11],"",0,1)</f>
        <v>3</v>
      </c>
      <c r="X231" cm="1">
        <f t="array" ref="X231">_xlfn.XLOOKUP(Matrix[[#This Row],[TEAM]]&amp;Matrix[[#Headers],[12]],FDR[FDR]&amp;FDR[[#Headers],[12]],FDR[12],"",0,1)</f>
        <v>3</v>
      </c>
      <c r="Y231" cm="1">
        <f t="array" ref="Y231">_xlfn.XLOOKUP(Matrix[[#This Row],[TEAM]]&amp;Matrix[[#Headers],[13]],FDR[FDR]&amp;FDR[[#Headers],[13]],FDR[13],"",0,1)</f>
        <v>1</v>
      </c>
      <c r="Z231" cm="1">
        <f t="array" ref="Z231">_xlfn.XLOOKUP(Matrix[[#This Row],[TEAM]]&amp;Matrix[[#Headers],[14]],FDR[FDR]&amp;FDR[[#Headers],[14]],FDR[14],"",0,1)</f>
        <v>2</v>
      </c>
      <c r="AA231" cm="1">
        <f t="array" ref="AA231">_xlfn.XLOOKUP(Matrix[[#This Row],[TEAM]]&amp;Matrix[[#Headers],[15]],FDR[FDR]&amp;FDR[[#Headers],[15]],FDR[15],"",0,1)</f>
        <v>1</v>
      </c>
      <c r="AB231" cm="1">
        <f t="array" ref="AB231">_xlfn.XLOOKUP(Matrix[[#This Row],[TEAM]]&amp;Matrix[[#Headers],[16]],FDR[FDR]&amp;FDR[[#Headers],[16]],FDR[16],"",0,1)</f>
        <v>2</v>
      </c>
      <c r="AC231" cm="1">
        <f t="array" ref="AC231">_xlfn.XLOOKUP(Matrix[[#This Row],[TEAM]]&amp;Matrix[[#Headers],[17]],FDR[FDR]&amp;FDR[[#Headers],[17]],FDR[17],"",0,1)</f>
        <v>1</v>
      </c>
      <c r="AD231" cm="1">
        <f t="array" ref="AD231">_xlfn.XLOOKUP(Matrix[[#This Row],[TEAM]]&amp;Matrix[[#Headers],[18]],FDR[FDR]&amp;FDR[[#Headers],[18]],FDR[18],"",0,1)</f>
        <v>2</v>
      </c>
      <c r="AE231" cm="1">
        <f t="array" ref="AE231">_xlfn.XLOOKUP(Matrix[[#This Row],[TEAM]]&amp;Matrix[[#Headers],[19]],FDR[FDR]&amp;FDR[[#Headers],[19]],FDR[19],"",0,1)</f>
        <v>1</v>
      </c>
      <c r="AF231" cm="1">
        <f t="array" ref="AF231">_xlfn.XLOOKUP(Matrix[[#This Row],[TEAM]]&amp;Matrix[[#Headers],[20]],FDR[FDR]&amp;FDR[[#Headers],[20]],FDR[20],"",0,1)</f>
        <v>2</v>
      </c>
      <c r="AG231" cm="1">
        <f t="array" ref="AG231">_xlfn.XLOOKUP(Matrix[[#This Row],[TEAM]]&amp;Matrix[[#Headers],[21]],FDR[FDR]&amp;FDR[[#Headers],[21]],FDR[21],"",0,1)</f>
        <v>1</v>
      </c>
      <c r="AH231" cm="1">
        <f t="array" ref="AH231">_xlfn.XLOOKUP(Matrix[[#This Row],[TEAM]]&amp;Matrix[[#Headers],[22]],FDR[FDR]&amp;FDR[[#Headers],[22]],FDR[22],"",0,1)</f>
        <v>3</v>
      </c>
      <c r="AI231" cm="1">
        <f t="array" ref="AI231">_xlfn.XLOOKUP(Matrix[[#This Row],[TEAM]]&amp;Matrix[[#Headers],[23]],FDR[FDR]&amp;FDR[[#Headers],[23]],FDR[23],"",0,1)</f>
        <v>1</v>
      </c>
      <c r="AJ231" cm="1">
        <f t="array" ref="AJ231">_xlfn.XLOOKUP(Matrix[[#This Row],[TEAM]]&amp;Matrix[[#Headers],[24]],FDR[FDR]&amp;FDR[[#Headers],[24]],FDR[24],"",0,1)</f>
        <v>3</v>
      </c>
      <c r="AK231" cm="1">
        <f t="array" ref="AK231">_xlfn.XLOOKUP(Matrix[[#This Row],[TEAM]]&amp;Matrix[[#Headers],[25]],FDR[FDR]&amp;FDR[[#Headers],[25]],FDR[25],"",0,1)</f>
        <v>4</v>
      </c>
      <c r="AL231" cm="1">
        <f t="array" ref="AL231">_xlfn.XLOOKUP(Matrix[[#This Row],[TEAM]]&amp;Matrix[[#Headers],[26]],FDR[FDR]&amp;FDR[[#Headers],[26]],FDR[26],"",0,1)</f>
        <v>1</v>
      </c>
      <c r="AM231" cm="1">
        <f t="array" ref="AM231">_xlfn.XLOOKUP(Matrix[[#This Row],[TEAM]]&amp;Matrix[[#Headers],[27]],FDR[FDR]&amp;FDR[[#Headers],[27]],FDR[27],"",0,1)</f>
        <v>2</v>
      </c>
      <c r="AN231" cm="1">
        <f t="array" ref="AN231">_xlfn.XLOOKUP(Matrix[[#This Row],[TEAM]]&amp;Matrix[[#Headers],[28]],FDR[FDR]&amp;FDR[[#Headers],[28]],FDR[28],"",0,1)</f>
        <v>1</v>
      </c>
      <c r="AO231" cm="1">
        <f t="array" ref="AO231">_xlfn.XLOOKUP(Matrix[[#This Row],[TEAM]]&amp;Matrix[[#Headers],[29]],FDR[FDR]&amp;FDR[[#Headers],[29]],FDR[29],"",0,1)</f>
        <v>1</v>
      </c>
      <c r="AP231" cm="1">
        <f t="array" ref="AP231">_xlfn.XLOOKUP(Matrix[[#This Row],[TEAM]]&amp;Matrix[[#Headers],[30]],FDR[FDR]&amp;FDR[[#Headers],[30]],FDR[30],"",0,1)</f>
        <v>2</v>
      </c>
      <c r="AQ231" cm="1">
        <f t="array" ref="AQ231">_xlfn.XLOOKUP(Matrix[[#This Row],[TEAM]]&amp;Matrix[[#Headers],[31]],FDR[FDR]&amp;FDR[[#Headers],[31]],FDR[31],"",0,1)</f>
        <v>1</v>
      </c>
      <c r="AR231" cm="1">
        <f t="array" ref="AR231">_xlfn.XLOOKUP(Matrix[[#This Row],[TEAM]]&amp;Matrix[[#Headers],[32]],FDR[FDR]&amp;FDR[[#Headers],[32]],FDR[32],"",0,1)</f>
        <v>3</v>
      </c>
      <c r="AS231" cm="1">
        <f t="array" ref="AS231">_xlfn.XLOOKUP(Matrix[[#This Row],[TEAM]]&amp;Matrix[[#Headers],[33]],FDR[FDR]&amp;FDR[[#Headers],[33]],FDR[33],"",0,1)</f>
        <v>3</v>
      </c>
      <c r="AT231" cm="1">
        <f t="array" ref="AT231">_xlfn.XLOOKUP(Matrix[[#This Row],[TEAM]]&amp;Matrix[[#Headers],[34]],FDR[FDR]&amp;FDR[[#Headers],[34]],FDR[34],"",0,1)</f>
        <v>1</v>
      </c>
      <c r="AU231" cm="1">
        <f t="array" ref="AU231">_xlfn.XLOOKUP(Matrix[[#This Row],[TEAM]]&amp;Matrix[[#Headers],[35]],FDR[FDR]&amp;FDR[[#Headers],[35]],FDR[35],"",0,1)</f>
        <v>2</v>
      </c>
      <c r="AV231" cm="1">
        <f t="array" ref="AV231">_xlfn.XLOOKUP(Matrix[[#This Row],[TEAM]]&amp;Matrix[[#Headers],[36]],FDR[FDR]&amp;FDR[[#Headers],[36]],FDR[36],"",0,1)</f>
        <v>1</v>
      </c>
      <c r="AW231" cm="1">
        <f t="array" ref="AW231">_xlfn.XLOOKUP(Matrix[[#This Row],[TEAM]]&amp;Matrix[[#Headers],[37]],FDR[FDR]&amp;FDR[[#Headers],[37]],FDR[37],"",0,1)</f>
        <v>2</v>
      </c>
      <c r="AX231" cm="1">
        <f t="array" ref="AX231">_xlfn.XLOOKUP(Matrix[[#This Row],[TEAM]]&amp;Matrix[[#Headers],[38]],FDR[FDR]&amp;FDR[[#Headers],[38]],FDR[38],"",0,1)</f>
        <v>2</v>
      </c>
    </row>
    <row r="232" spans="1:50" ht="22" thickTop="1" thickBot="1">
      <c r="A232" s="50" t="str">
        <f>INDEX!S$4</f>
        <v>MID</v>
      </c>
      <c r="B232" s="70" t="s">
        <v>1551</v>
      </c>
      <c r="C232" s="40" t="s">
        <v>43</v>
      </c>
      <c r="D232" s="62">
        <v>26</v>
      </c>
      <c r="E232" s="60">
        <v>1E-3</v>
      </c>
      <c r="F232" s="61">
        <v>43.2</v>
      </c>
      <c r="G232" s="63">
        <v>5</v>
      </c>
      <c r="H232" s="261">
        <f>IF(ISBLANK(I232),0,1)</f>
        <v>0</v>
      </c>
      <c r="I232" s="57"/>
      <c r="J232" s="58"/>
      <c r="K232" s="59" t="s">
        <v>395</v>
      </c>
      <c r="L232" s="59" t="s">
        <v>519</v>
      </c>
      <c r="M232" cm="1">
        <f t="array" ref="M232">_xlfn.XLOOKUP(Matrix[[#This Row],[TEAM]]&amp;Matrix[[#Headers],[1]],FDR[FDR]&amp;FDR[[#Headers],[1]],FDR[1],"",0,1)</f>
        <v>5</v>
      </c>
      <c r="N232" cm="1">
        <f t="array" ref="N232">_xlfn.XLOOKUP(Matrix[[#This Row],[TEAM]]&amp;Matrix[[#Headers],[2]],FDR[FDR]&amp;FDR[[#Headers],[2]],FDR[2],"",0,1)</f>
        <v>1</v>
      </c>
      <c r="O232" cm="1">
        <f t="array" ref="O232">_xlfn.XLOOKUP(Matrix[[#This Row],[TEAM]]&amp;Matrix[[#Headers],[3]],FDR[FDR]&amp;FDR[[#Headers],[3]],FDR[3],"",0,1)</f>
        <v>5</v>
      </c>
      <c r="P232" cm="1">
        <f t="array" ref="P232">_xlfn.XLOOKUP(Matrix[[#This Row],[TEAM]]&amp;Matrix[[#Headers],[4]],FDR[FDR]&amp;FDR[[#Headers],[4]],FDR[4],"",0,1)</f>
        <v>3</v>
      </c>
      <c r="Q232" cm="1">
        <f t="array" ref="Q232">_xlfn.XLOOKUP(Matrix[[#This Row],[TEAM]]&amp;Matrix[[#Headers],[5]],FDR[FDR]&amp;FDR[[#Headers],[5]],FDR[5],"",0,1)</f>
        <v>4</v>
      </c>
      <c r="R232" cm="1">
        <f t="array" ref="R232">_xlfn.XLOOKUP(Matrix[[#This Row],[TEAM]]&amp;Matrix[[#Headers],[6]],FDR[FDR]&amp;FDR[[#Headers],[6]],FDR[6],"",0,1)</f>
        <v>2</v>
      </c>
      <c r="S232" cm="1">
        <f t="array" ref="S232">_xlfn.XLOOKUP(Matrix[[#This Row],[TEAM]]&amp;Matrix[[#Headers],[7]],FDR[FDR]&amp;FDR[[#Headers],[7]],FDR[7],"",0,1)</f>
        <v>3</v>
      </c>
      <c r="T232" cm="1">
        <f t="array" ref="T232">_xlfn.XLOOKUP(Matrix[[#This Row],[TEAM]]&amp;Matrix[[#Headers],[8]],FDR[FDR]&amp;FDR[[#Headers],[8]],FDR[8],"",0,1)</f>
        <v>3</v>
      </c>
      <c r="U232" cm="1">
        <f t="array" ref="U232">_xlfn.XLOOKUP(Matrix[[#This Row],[TEAM]]&amp;Matrix[[#Headers],[9]],FDR[FDR]&amp;FDR[[#Headers],[9]],FDR[9],"",0,1)</f>
        <v>3</v>
      </c>
      <c r="V232" cm="1">
        <f t="array" ref="V232">_xlfn.XLOOKUP(Matrix[[#This Row],[TEAM]]&amp;Matrix[[#Headers],[10]],FDR[FDR]&amp;FDR[[#Headers],[10]],FDR[10],"",0,1)</f>
        <v>5</v>
      </c>
      <c r="W232" cm="1">
        <f t="array" ref="W232">_xlfn.XLOOKUP(Matrix[[#This Row],[TEAM]]&amp;Matrix[[#Headers],[11]],FDR[FDR]&amp;FDR[[#Headers],[11]],FDR[11],"",0,1)</f>
        <v>5</v>
      </c>
      <c r="X232" cm="1">
        <f t="array" ref="X232">_xlfn.XLOOKUP(Matrix[[#This Row],[TEAM]]&amp;Matrix[[#Headers],[12]],FDR[FDR]&amp;FDR[[#Headers],[12]],FDR[12],"",0,1)</f>
        <v>2</v>
      </c>
      <c r="Y232" cm="1">
        <f t="array" ref="Y232">_xlfn.XLOOKUP(Matrix[[#This Row],[TEAM]]&amp;Matrix[[#Headers],[13]],FDR[FDR]&amp;FDR[[#Headers],[13]],FDR[13],"",0,1)</f>
        <v>2</v>
      </c>
      <c r="Z232" cm="1">
        <f t="array" ref="Z232">_xlfn.XLOOKUP(Matrix[[#This Row],[TEAM]]&amp;Matrix[[#Headers],[14]],FDR[FDR]&amp;FDR[[#Headers],[14]],FDR[14],"",0,1)</f>
        <v>2</v>
      </c>
      <c r="AA232" cm="1">
        <f t="array" ref="AA232">_xlfn.XLOOKUP(Matrix[[#This Row],[TEAM]]&amp;Matrix[[#Headers],[15]],FDR[FDR]&amp;FDR[[#Headers],[15]],FDR[15],"",0,1)</f>
        <v>4</v>
      </c>
      <c r="AB232" cm="1">
        <f t="array" ref="AB232">_xlfn.XLOOKUP(Matrix[[#This Row],[TEAM]]&amp;Matrix[[#Headers],[16]],FDR[FDR]&amp;FDR[[#Headers],[16]],FDR[16],"",0,1)</f>
        <v>5</v>
      </c>
      <c r="AC232" cm="1">
        <f t="array" ref="AC232">_xlfn.XLOOKUP(Matrix[[#This Row],[TEAM]]&amp;Matrix[[#Headers],[17]],FDR[FDR]&amp;FDR[[#Headers],[17]],FDR[17],"",0,1)</f>
        <v>1</v>
      </c>
      <c r="AD232" cm="1">
        <f t="array" ref="AD232">_xlfn.XLOOKUP(Matrix[[#This Row],[TEAM]]&amp;Matrix[[#Headers],[18]],FDR[FDR]&amp;FDR[[#Headers],[18]],FDR[18],"",0,1)</f>
        <v>3</v>
      </c>
      <c r="AE232" cm="1">
        <f t="array" ref="AE232">_xlfn.XLOOKUP(Matrix[[#This Row],[TEAM]]&amp;Matrix[[#Headers],[19]],FDR[FDR]&amp;FDR[[#Headers],[19]],FDR[19],"",0,1)</f>
        <v>5</v>
      </c>
      <c r="AF232" cm="1">
        <f t="array" ref="AF232">_xlfn.XLOOKUP(Matrix[[#This Row],[TEAM]]&amp;Matrix[[#Headers],[20]],FDR[FDR]&amp;FDR[[#Headers],[20]],FDR[20],"",0,1)</f>
        <v>4</v>
      </c>
      <c r="AG232" cm="1">
        <f t="array" ref="AG232">_xlfn.XLOOKUP(Matrix[[#This Row],[TEAM]]&amp;Matrix[[#Headers],[21]],FDR[FDR]&amp;FDR[[#Headers],[21]],FDR[21],"",0,1)</f>
        <v>4</v>
      </c>
      <c r="AH232" cm="1">
        <f t="array" ref="AH232">_xlfn.XLOOKUP(Matrix[[#This Row],[TEAM]]&amp;Matrix[[#Headers],[22]],FDR[FDR]&amp;FDR[[#Headers],[22]],FDR[22],"",0,1)</f>
        <v>4</v>
      </c>
      <c r="AI232" cm="1">
        <f t="array" ref="AI232">_xlfn.XLOOKUP(Matrix[[#This Row],[TEAM]]&amp;Matrix[[#Headers],[23]],FDR[FDR]&amp;FDR[[#Headers],[23]],FDR[23],"",0,1)</f>
        <v>4</v>
      </c>
      <c r="AJ232" cm="1">
        <f t="array" ref="AJ232">_xlfn.XLOOKUP(Matrix[[#This Row],[TEAM]]&amp;Matrix[[#Headers],[24]],FDR[FDR]&amp;FDR[[#Headers],[24]],FDR[24],"",0,1)</f>
        <v>2</v>
      </c>
      <c r="AK232" cm="1">
        <f t="array" ref="AK232">_xlfn.XLOOKUP(Matrix[[#This Row],[TEAM]]&amp;Matrix[[#Headers],[25]],FDR[FDR]&amp;FDR[[#Headers],[25]],FDR[25],"",0,1)</f>
        <v>3</v>
      </c>
      <c r="AL232" cm="1">
        <f t="array" ref="AL232">_xlfn.XLOOKUP(Matrix[[#This Row],[TEAM]]&amp;Matrix[[#Headers],[26]],FDR[FDR]&amp;FDR[[#Headers],[26]],FDR[26],"",0,1)</f>
        <v>3</v>
      </c>
      <c r="AM232" cm="1">
        <f t="array" ref="AM232">_xlfn.XLOOKUP(Matrix[[#This Row],[TEAM]]&amp;Matrix[[#Headers],[27]],FDR[FDR]&amp;FDR[[#Headers],[27]],FDR[27],"",0,1)</f>
        <v>3</v>
      </c>
      <c r="AN232" cm="1">
        <f t="array" ref="AN232">_xlfn.XLOOKUP(Matrix[[#This Row],[TEAM]]&amp;Matrix[[#Headers],[28]],FDR[FDR]&amp;FDR[[#Headers],[28]],FDR[28],"",0,1)</f>
        <v>1</v>
      </c>
      <c r="AO232" cm="1">
        <f t="array" ref="AO232">_xlfn.XLOOKUP(Matrix[[#This Row],[TEAM]]&amp;Matrix[[#Headers],[29]],FDR[FDR]&amp;FDR[[#Headers],[29]],FDR[29],"",0,1)</f>
        <v>2</v>
      </c>
      <c r="AP232" cm="1">
        <f t="array" ref="AP232">_xlfn.XLOOKUP(Matrix[[#This Row],[TEAM]]&amp;Matrix[[#Headers],[30]],FDR[FDR]&amp;FDR[[#Headers],[30]],FDR[30],"",0,1)</f>
        <v>2</v>
      </c>
      <c r="AQ232" cm="1">
        <f t="array" ref="AQ232">_xlfn.XLOOKUP(Matrix[[#This Row],[TEAM]]&amp;Matrix[[#Headers],[31]],FDR[FDR]&amp;FDR[[#Headers],[31]],FDR[31],"",0,1)</f>
        <v>4</v>
      </c>
      <c r="AR232" cm="1">
        <f t="array" ref="AR232">_xlfn.XLOOKUP(Matrix[[#This Row],[TEAM]]&amp;Matrix[[#Headers],[32]],FDR[FDR]&amp;FDR[[#Headers],[32]],FDR[32],"",0,1)</f>
        <v>5</v>
      </c>
      <c r="AS232" cm="1">
        <f t="array" ref="AS232">_xlfn.XLOOKUP(Matrix[[#This Row],[TEAM]]&amp;Matrix[[#Headers],[33]],FDR[FDR]&amp;FDR[[#Headers],[33]],FDR[33],"",0,1)</f>
        <v>5</v>
      </c>
      <c r="AT232" cm="1">
        <f t="array" ref="AT232">_xlfn.XLOOKUP(Matrix[[#This Row],[TEAM]]&amp;Matrix[[#Headers],[34]],FDR[FDR]&amp;FDR[[#Headers],[34]],FDR[34],"",0,1)</f>
        <v>1</v>
      </c>
      <c r="AU232" cm="1">
        <f t="array" ref="AU232">_xlfn.XLOOKUP(Matrix[[#This Row],[TEAM]]&amp;Matrix[[#Headers],[35]],FDR[FDR]&amp;FDR[[#Headers],[35]],FDR[35],"",0,1)</f>
        <v>2</v>
      </c>
      <c r="AV232" cm="1">
        <f t="array" ref="AV232">_xlfn.XLOOKUP(Matrix[[#This Row],[TEAM]]&amp;Matrix[[#Headers],[36]],FDR[FDR]&amp;FDR[[#Headers],[36]],FDR[36],"",0,1)</f>
        <v>4</v>
      </c>
      <c r="AW232" cm="1">
        <f t="array" ref="AW232">_xlfn.XLOOKUP(Matrix[[#This Row],[TEAM]]&amp;Matrix[[#Headers],[37]],FDR[FDR]&amp;FDR[[#Headers],[37]],FDR[37],"",0,1)</f>
        <v>4</v>
      </c>
      <c r="AX232" cm="1">
        <f t="array" ref="AX232">_xlfn.XLOOKUP(Matrix[[#This Row],[TEAM]]&amp;Matrix[[#Headers],[38]],FDR[FDR]&amp;FDR[[#Headers],[38]],FDR[38],"",0,1)</f>
        <v>4</v>
      </c>
    </row>
    <row r="233" spans="1:50" ht="22" thickTop="1" thickBot="1">
      <c r="A233" s="50" t="str">
        <f>INDEX!S$4</f>
        <v>MID</v>
      </c>
      <c r="B233" s="70" t="s">
        <v>1540</v>
      </c>
      <c r="C233" s="40" t="s">
        <v>26</v>
      </c>
      <c r="D233" s="62">
        <v>22</v>
      </c>
      <c r="E233" s="60">
        <v>2E-3</v>
      </c>
      <c r="F233" s="61">
        <v>16.399999999999999</v>
      </c>
      <c r="G233" s="63">
        <v>5</v>
      </c>
      <c r="H233" s="261">
        <f>IF(ISBLANK(I233),0,1)</f>
        <v>0</v>
      </c>
      <c r="I233" s="57"/>
      <c r="J233" s="58"/>
      <c r="K233" s="59" t="s">
        <v>847</v>
      </c>
      <c r="L233" s="59" t="s">
        <v>848</v>
      </c>
      <c r="M233" cm="1">
        <f t="array" ref="M233">_xlfn.XLOOKUP(Matrix[[#This Row],[TEAM]]&amp;Matrix[[#Headers],[1]],FDR[FDR]&amp;FDR[[#Headers],[1]],FDR[1],"",0,1)</f>
        <v>5</v>
      </c>
      <c r="N233" cm="1">
        <f t="array" ref="N233">_xlfn.XLOOKUP(Matrix[[#This Row],[TEAM]]&amp;Matrix[[#Headers],[2]],FDR[FDR]&amp;FDR[[#Headers],[2]],FDR[2],"",0,1)</f>
        <v>3</v>
      </c>
      <c r="O233" cm="1">
        <f t="array" ref="O233">_xlfn.XLOOKUP(Matrix[[#This Row],[TEAM]]&amp;Matrix[[#Headers],[3]],FDR[FDR]&amp;FDR[[#Headers],[3]],FDR[3],"",0,1)</f>
        <v>5</v>
      </c>
      <c r="P233" cm="1">
        <f t="array" ref="P233">_xlfn.XLOOKUP(Matrix[[#This Row],[TEAM]]&amp;Matrix[[#Headers],[4]],FDR[FDR]&amp;FDR[[#Headers],[4]],FDR[4],"",0,1)</f>
        <v>1</v>
      </c>
      <c r="Q233" cm="1">
        <f t="array" ref="Q233">_xlfn.XLOOKUP(Matrix[[#This Row],[TEAM]]&amp;Matrix[[#Headers],[5]],FDR[FDR]&amp;FDR[[#Headers],[5]],FDR[5],"",0,1)</f>
        <v>4</v>
      </c>
      <c r="R233" cm="1">
        <f t="array" ref="R233">_xlfn.XLOOKUP(Matrix[[#This Row],[TEAM]]&amp;Matrix[[#Headers],[6]],FDR[FDR]&amp;FDR[[#Headers],[6]],FDR[6],"",0,1)</f>
        <v>4</v>
      </c>
      <c r="S233" cm="1">
        <f t="array" ref="S233">_xlfn.XLOOKUP(Matrix[[#This Row],[TEAM]]&amp;Matrix[[#Headers],[7]],FDR[FDR]&amp;FDR[[#Headers],[7]],FDR[7],"",0,1)</f>
        <v>4</v>
      </c>
      <c r="T233" cm="1">
        <f t="array" ref="T233">_xlfn.XLOOKUP(Matrix[[#This Row],[TEAM]]&amp;Matrix[[#Headers],[8]],FDR[FDR]&amp;FDR[[#Headers],[8]],FDR[8],"",0,1)</f>
        <v>3</v>
      </c>
      <c r="U233" cm="1">
        <f t="array" ref="U233">_xlfn.XLOOKUP(Matrix[[#This Row],[TEAM]]&amp;Matrix[[#Headers],[9]],FDR[FDR]&amp;FDR[[#Headers],[9]],FDR[9],"",0,1)</f>
        <v>5</v>
      </c>
      <c r="V233" cm="1">
        <f t="array" ref="V233">_xlfn.XLOOKUP(Matrix[[#This Row],[TEAM]]&amp;Matrix[[#Headers],[10]],FDR[FDR]&amp;FDR[[#Headers],[10]],FDR[10],"",0,1)</f>
        <v>3</v>
      </c>
      <c r="W233" cm="1">
        <f t="array" ref="W233">_xlfn.XLOOKUP(Matrix[[#This Row],[TEAM]]&amp;Matrix[[#Headers],[11]],FDR[FDR]&amp;FDR[[#Headers],[11]],FDR[11],"",0,1)</f>
        <v>3</v>
      </c>
      <c r="X233" cm="1">
        <f t="array" ref="X233">_xlfn.XLOOKUP(Matrix[[#This Row],[TEAM]]&amp;Matrix[[#Headers],[12]],FDR[FDR]&amp;FDR[[#Headers],[12]],FDR[12],"",0,1)</f>
        <v>2</v>
      </c>
      <c r="Y233" cm="1">
        <f t="array" ref="Y233">_xlfn.XLOOKUP(Matrix[[#This Row],[TEAM]]&amp;Matrix[[#Headers],[13]],FDR[FDR]&amp;FDR[[#Headers],[13]],FDR[13],"",0,1)</f>
        <v>4</v>
      </c>
      <c r="Z233" cm="1">
        <f t="array" ref="Z233">_xlfn.XLOOKUP(Matrix[[#This Row],[TEAM]]&amp;Matrix[[#Headers],[14]],FDR[FDR]&amp;FDR[[#Headers],[14]],FDR[14],"",0,1)</f>
        <v>2</v>
      </c>
      <c r="AA233" cm="1">
        <f t="array" ref="AA233">_xlfn.XLOOKUP(Matrix[[#This Row],[TEAM]]&amp;Matrix[[#Headers],[15]],FDR[FDR]&amp;FDR[[#Headers],[15]],FDR[15],"",0,1)</f>
        <v>4</v>
      </c>
      <c r="AB233" cm="1">
        <f t="array" ref="AB233">_xlfn.XLOOKUP(Matrix[[#This Row],[TEAM]]&amp;Matrix[[#Headers],[16]],FDR[FDR]&amp;FDR[[#Headers],[16]],FDR[16],"",0,1)</f>
        <v>4</v>
      </c>
      <c r="AC233" cm="1">
        <f t="array" ref="AC233">_xlfn.XLOOKUP(Matrix[[#This Row],[TEAM]]&amp;Matrix[[#Headers],[17]],FDR[FDR]&amp;FDR[[#Headers],[17]],FDR[17],"",0,1)</f>
        <v>2</v>
      </c>
      <c r="AD233" cm="1">
        <f t="array" ref="AD233">_xlfn.XLOOKUP(Matrix[[#This Row],[TEAM]]&amp;Matrix[[#Headers],[18]],FDR[FDR]&amp;FDR[[#Headers],[18]],FDR[18],"",0,1)</f>
        <v>4</v>
      </c>
      <c r="AE233" cm="1">
        <f t="array" ref="AE233">_xlfn.XLOOKUP(Matrix[[#This Row],[TEAM]]&amp;Matrix[[#Headers],[19]],FDR[FDR]&amp;FDR[[#Headers],[19]],FDR[19],"",0,1)</f>
        <v>3</v>
      </c>
      <c r="AF233" cm="1">
        <f t="array" ref="AF233">_xlfn.XLOOKUP(Matrix[[#This Row],[TEAM]]&amp;Matrix[[#Headers],[20]],FDR[FDR]&amp;FDR[[#Headers],[20]],FDR[20],"",0,1)</f>
        <v>5</v>
      </c>
      <c r="AG233" cm="1">
        <f t="array" ref="AG233">_xlfn.XLOOKUP(Matrix[[#This Row],[TEAM]]&amp;Matrix[[#Headers],[21]],FDR[FDR]&amp;FDR[[#Headers],[21]],FDR[21],"",0,1)</f>
        <v>4</v>
      </c>
      <c r="AH233" cm="1">
        <f t="array" ref="AH233">_xlfn.XLOOKUP(Matrix[[#This Row],[TEAM]]&amp;Matrix[[#Headers],[22]],FDR[FDR]&amp;FDR[[#Headers],[22]],FDR[22],"",0,1)</f>
        <v>2</v>
      </c>
      <c r="AI233" cm="1">
        <f t="array" ref="AI233">_xlfn.XLOOKUP(Matrix[[#This Row],[TEAM]]&amp;Matrix[[#Headers],[23]],FDR[FDR]&amp;FDR[[#Headers],[23]],FDR[23],"",0,1)</f>
        <v>4</v>
      </c>
      <c r="AJ233" cm="1">
        <f t="array" ref="AJ233">_xlfn.XLOOKUP(Matrix[[#This Row],[TEAM]]&amp;Matrix[[#Headers],[24]],FDR[FDR]&amp;FDR[[#Headers],[24]],FDR[24],"",0,1)</f>
        <v>4</v>
      </c>
      <c r="AK233" cm="1">
        <f t="array" ref="AK233">_xlfn.XLOOKUP(Matrix[[#This Row],[TEAM]]&amp;Matrix[[#Headers],[25]],FDR[FDR]&amp;FDR[[#Headers],[25]],FDR[25],"",0,1)</f>
        <v>4</v>
      </c>
      <c r="AL233" cm="1">
        <f t="array" ref="AL233">_xlfn.XLOOKUP(Matrix[[#This Row],[TEAM]]&amp;Matrix[[#Headers],[26]],FDR[FDR]&amp;FDR[[#Headers],[26]],FDR[26],"",0,1)</f>
        <v>1</v>
      </c>
      <c r="AM233" cm="1">
        <f t="array" ref="AM233">_xlfn.XLOOKUP(Matrix[[#This Row],[TEAM]]&amp;Matrix[[#Headers],[27]],FDR[FDR]&amp;FDR[[#Headers],[27]],FDR[27],"",0,1)</f>
        <v>2</v>
      </c>
      <c r="AN233" cm="1">
        <f t="array" ref="AN233">_xlfn.XLOOKUP(Matrix[[#This Row],[TEAM]]&amp;Matrix[[#Headers],[28]],FDR[FDR]&amp;FDR[[#Headers],[28]],FDR[28],"",0,1)</f>
        <v>5</v>
      </c>
      <c r="AO233" cm="1">
        <f t="array" ref="AO233">_xlfn.XLOOKUP(Matrix[[#This Row],[TEAM]]&amp;Matrix[[#Headers],[29]],FDR[FDR]&amp;FDR[[#Headers],[29]],FDR[29],"",0,1)</f>
        <v>5</v>
      </c>
      <c r="AP233" cm="1">
        <f t="array" ref="AP233">_xlfn.XLOOKUP(Matrix[[#This Row],[TEAM]]&amp;Matrix[[#Headers],[30]],FDR[FDR]&amp;FDR[[#Headers],[30]],FDR[30],"",0,1)</f>
        <v>1</v>
      </c>
      <c r="AQ233" cm="1">
        <f t="array" ref="AQ233">_xlfn.XLOOKUP(Matrix[[#This Row],[TEAM]]&amp;Matrix[[#Headers],[31]],FDR[FDR]&amp;FDR[[#Headers],[31]],FDR[31],"",0,1)</f>
        <v>5</v>
      </c>
      <c r="AR233" cm="1">
        <f t="array" ref="AR233">_xlfn.XLOOKUP(Matrix[[#This Row],[TEAM]]&amp;Matrix[[#Headers],[32]],FDR[FDR]&amp;FDR[[#Headers],[32]],FDR[32],"",0,1)</f>
        <v>4</v>
      </c>
      <c r="AS233" cm="1">
        <f t="array" ref="AS233">_xlfn.XLOOKUP(Matrix[[#This Row],[TEAM]]&amp;Matrix[[#Headers],[33]],FDR[FDR]&amp;FDR[[#Headers],[33]],FDR[33],"",0,1)</f>
        <v>3</v>
      </c>
      <c r="AT233" cm="1">
        <f t="array" ref="AT233">_xlfn.XLOOKUP(Matrix[[#This Row],[TEAM]]&amp;Matrix[[#Headers],[34]],FDR[FDR]&amp;FDR[[#Headers],[34]],FDR[34],"",0,1)</f>
        <v>5</v>
      </c>
      <c r="AU233" cm="1">
        <f t="array" ref="AU233">_xlfn.XLOOKUP(Matrix[[#This Row],[TEAM]]&amp;Matrix[[#Headers],[35]],FDR[FDR]&amp;FDR[[#Headers],[35]],FDR[35],"",0,1)</f>
        <v>4</v>
      </c>
      <c r="AV233" cm="1">
        <f t="array" ref="AV233">_xlfn.XLOOKUP(Matrix[[#This Row],[TEAM]]&amp;Matrix[[#Headers],[36]],FDR[FDR]&amp;FDR[[#Headers],[36]],FDR[36],"",0,1)</f>
        <v>3</v>
      </c>
      <c r="AW233" cm="1">
        <f t="array" ref="AW233">_xlfn.XLOOKUP(Matrix[[#This Row],[TEAM]]&amp;Matrix[[#Headers],[37]],FDR[FDR]&amp;FDR[[#Headers],[37]],FDR[37],"",0,1)</f>
        <v>4</v>
      </c>
      <c r="AX233" cm="1">
        <f t="array" ref="AX233">_xlfn.XLOOKUP(Matrix[[#This Row],[TEAM]]&amp;Matrix[[#Headers],[38]],FDR[FDR]&amp;FDR[[#Headers],[38]],FDR[38],"",0,1)</f>
        <v>4</v>
      </c>
    </row>
    <row r="234" spans="1:50" ht="22" thickTop="1" thickBot="1">
      <c r="A234" s="50" t="str">
        <f>INDEX!S$4</f>
        <v>MID</v>
      </c>
      <c r="B234" s="70" t="s">
        <v>1606</v>
      </c>
      <c r="C234" s="40" t="s">
        <v>24</v>
      </c>
      <c r="D234" s="62">
        <v>22</v>
      </c>
      <c r="E234" s="60">
        <v>0</v>
      </c>
      <c r="F234" s="61">
        <v>19.600000000000001</v>
      </c>
      <c r="G234" s="63">
        <v>5</v>
      </c>
      <c r="H234" s="261">
        <f>IF(ISBLANK(I234),0,1)</f>
        <v>0</v>
      </c>
      <c r="I234" s="57"/>
      <c r="J234" s="58"/>
      <c r="K234" s="59" t="s">
        <v>431</v>
      </c>
      <c r="L234" s="59" t="s">
        <v>265</v>
      </c>
      <c r="M234" cm="1">
        <f t="array" ref="M234">_xlfn.XLOOKUP(Matrix[[#This Row],[TEAM]]&amp;Matrix[[#Headers],[1]],FDR[FDR]&amp;FDR[[#Headers],[1]],FDR[1],"",0,1)</f>
        <v>2</v>
      </c>
      <c r="N234" cm="1">
        <f t="array" ref="N234">_xlfn.XLOOKUP(Matrix[[#This Row],[TEAM]]&amp;Matrix[[#Headers],[2]],FDR[FDR]&amp;FDR[[#Headers],[2]],FDR[2],"",0,1)</f>
        <v>3</v>
      </c>
      <c r="O234" cm="1">
        <f t="array" ref="O234">_xlfn.XLOOKUP(Matrix[[#This Row],[TEAM]]&amp;Matrix[[#Headers],[3]],FDR[FDR]&amp;FDR[[#Headers],[3]],FDR[3],"",0,1)</f>
        <v>2</v>
      </c>
      <c r="P234" cm="1">
        <f t="array" ref="P234">_xlfn.XLOOKUP(Matrix[[#This Row],[TEAM]]&amp;Matrix[[#Headers],[4]],FDR[FDR]&amp;FDR[[#Headers],[4]],FDR[4],"",0,1)</f>
        <v>4</v>
      </c>
      <c r="Q234" cm="1">
        <f t="array" ref="Q234">_xlfn.XLOOKUP(Matrix[[#This Row],[TEAM]]&amp;Matrix[[#Headers],[5]],FDR[FDR]&amp;FDR[[#Headers],[5]],FDR[5],"",0,1)</f>
        <v>5</v>
      </c>
      <c r="R234" cm="1">
        <f t="array" ref="R234">_xlfn.XLOOKUP(Matrix[[#This Row],[TEAM]]&amp;Matrix[[#Headers],[6]],FDR[FDR]&amp;FDR[[#Headers],[6]],FDR[6],"",0,1)</f>
        <v>3</v>
      </c>
      <c r="S234" cm="1">
        <f t="array" ref="S234">_xlfn.XLOOKUP(Matrix[[#This Row],[TEAM]]&amp;Matrix[[#Headers],[7]],FDR[FDR]&amp;FDR[[#Headers],[7]],FDR[7],"",0,1)</f>
        <v>3</v>
      </c>
      <c r="T234" cm="1">
        <f t="array" ref="T234">_xlfn.XLOOKUP(Matrix[[#This Row],[TEAM]]&amp;Matrix[[#Headers],[8]],FDR[FDR]&amp;FDR[[#Headers],[8]],FDR[8],"",0,1)</f>
        <v>5</v>
      </c>
      <c r="U234" cm="1">
        <f t="array" ref="U234">_xlfn.XLOOKUP(Matrix[[#This Row],[TEAM]]&amp;Matrix[[#Headers],[9]],FDR[FDR]&amp;FDR[[#Headers],[9]],FDR[9],"",0,1)</f>
        <v>4</v>
      </c>
      <c r="V234" cm="1">
        <f t="array" ref="V234">_xlfn.XLOOKUP(Matrix[[#This Row],[TEAM]]&amp;Matrix[[#Headers],[10]],FDR[FDR]&amp;FDR[[#Headers],[10]],FDR[10],"",0,1)</f>
        <v>2</v>
      </c>
      <c r="W234" cm="1">
        <f t="array" ref="W234">_xlfn.XLOOKUP(Matrix[[#This Row],[TEAM]]&amp;Matrix[[#Headers],[11]],FDR[FDR]&amp;FDR[[#Headers],[11]],FDR[11],"",0,1)</f>
        <v>3</v>
      </c>
      <c r="X234" cm="1">
        <f t="array" ref="X234">_xlfn.XLOOKUP(Matrix[[#This Row],[TEAM]]&amp;Matrix[[#Headers],[12]],FDR[FDR]&amp;FDR[[#Headers],[12]],FDR[12],"",0,1)</f>
        <v>5</v>
      </c>
      <c r="Y234" cm="1">
        <f t="array" ref="Y234">_xlfn.XLOOKUP(Matrix[[#This Row],[TEAM]]&amp;Matrix[[#Headers],[13]],FDR[FDR]&amp;FDR[[#Headers],[13]],FDR[13],"",0,1)</f>
        <v>4</v>
      </c>
      <c r="Z234" cm="1">
        <f t="array" ref="Z234">_xlfn.XLOOKUP(Matrix[[#This Row],[TEAM]]&amp;Matrix[[#Headers],[14]],FDR[FDR]&amp;FDR[[#Headers],[14]],FDR[14],"",0,1)</f>
        <v>4</v>
      </c>
      <c r="AA234" cm="1">
        <f t="array" ref="AA234">_xlfn.XLOOKUP(Matrix[[#This Row],[TEAM]]&amp;Matrix[[#Headers],[15]],FDR[FDR]&amp;FDR[[#Headers],[15]],FDR[15],"",0,1)</f>
        <v>3</v>
      </c>
      <c r="AB234" cm="1">
        <f t="array" ref="AB234">_xlfn.XLOOKUP(Matrix[[#This Row],[TEAM]]&amp;Matrix[[#Headers],[16]],FDR[FDR]&amp;FDR[[#Headers],[16]],FDR[16],"",0,1)</f>
        <v>5</v>
      </c>
      <c r="AC234" cm="1">
        <f t="array" ref="AC234">_xlfn.XLOOKUP(Matrix[[#This Row],[TEAM]]&amp;Matrix[[#Headers],[17]],FDR[FDR]&amp;FDR[[#Headers],[17]],FDR[17],"",0,1)</f>
        <v>4</v>
      </c>
      <c r="AD234" cm="1">
        <f t="array" ref="AD234">_xlfn.XLOOKUP(Matrix[[#This Row],[TEAM]]&amp;Matrix[[#Headers],[18]],FDR[FDR]&amp;FDR[[#Headers],[18]],FDR[18],"",0,1)</f>
        <v>2</v>
      </c>
      <c r="AE234" cm="1">
        <f t="array" ref="AE234">_xlfn.XLOOKUP(Matrix[[#This Row],[TEAM]]&amp;Matrix[[#Headers],[19]],FDR[FDR]&amp;FDR[[#Headers],[19]],FDR[19],"",0,1)</f>
        <v>4</v>
      </c>
      <c r="AF234" cm="1">
        <f t="array" ref="AF234">_xlfn.XLOOKUP(Matrix[[#This Row],[TEAM]]&amp;Matrix[[#Headers],[20]],FDR[FDR]&amp;FDR[[#Headers],[20]],FDR[20],"",0,1)</f>
        <v>3</v>
      </c>
      <c r="AG234" cm="1">
        <f t="array" ref="AG234">_xlfn.XLOOKUP(Matrix[[#This Row],[TEAM]]&amp;Matrix[[#Headers],[21]],FDR[FDR]&amp;FDR[[#Headers],[21]],FDR[21],"",0,1)</f>
        <v>2</v>
      </c>
      <c r="AH234" cm="1">
        <f t="array" ref="AH234">_xlfn.XLOOKUP(Matrix[[#This Row],[TEAM]]&amp;Matrix[[#Headers],[22]],FDR[FDR]&amp;FDR[[#Headers],[22]],FDR[22],"",0,1)</f>
        <v>5</v>
      </c>
      <c r="AI234" cm="1">
        <f t="array" ref="AI234">_xlfn.XLOOKUP(Matrix[[#This Row],[TEAM]]&amp;Matrix[[#Headers],[23]],FDR[FDR]&amp;FDR[[#Headers],[23]],FDR[23],"",0,1)</f>
        <v>1</v>
      </c>
      <c r="AJ234" cm="1">
        <f t="array" ref="AJ234">_xlfn.XLOOKUP(Matrix[[#This Row],[TEAM]]&amp;Matrix[[#Headers],[24]],FDR[FDR]&amp;FDR[[#Headers],[24]],FDR[24],"",0,1)</f>
        <v>4</v>
      </c>
      <c r="AK234" cm="1">
        <f t="array" ref="AK234">_xlfn.XLOOKUP(Matrix[[#This Row],[TEAM]]&amp;Matrix[[#Headers],[25]],FDR[FDR]&amp;FDR[[#Headers],[25]],FDR[25],"",0,1)</f>
        <v>4</v>
      </c>
      <c r="AL234" cm="1">
        <f t="array" ref="AL234">_xlfn.XLOOKUP(Matrix[[#This Row],[TEAM]]&amp;Matrix[[#Headers],[26]],FDR[FDR]&amp;FDR[[#Headers],[26]],FDR[26],"",0,1)</f>
        <v>3</v>
      </c>
      <c r="AM234" cm="1">
        <f t="array" ref="AM234">_xlfn.XLOOKUP(Matrix[[#This Row],[TEAM]]&amp;Matrix[[#Headers],[27]],FDR[FDR]&amp;FDR[[#Headers],[27]],FDR[27],"",0,1)</f>
        <v>4</v>
      </c>
      <c r="AN234" cm="1">
        <f t="array" ref="AN234">_xlfn.XLOOKUP(Matrix[[#This Row],[TEAM]]&amp;Matrix[[#Headers],[28]],FDR[FDR]&amp;FDR[[#Headers],[28]],FDR[28],"",0,1)</f>
        <v>5</v>
      </c>
      <c r="AO234" cm="1">
        <f t="array" ref="AO234">_xlfn.XLOOKUP(Matrix[[#This Row],[TEAM]]&amp;Matrix[[#Headers],[29]],FDR[FDR]&amp;FDR[[#Headers],[29]],FDR[29],"",0,1)</f>
        <v>1</v>
      </c>
      <c r="AP234" cm="1">
        <f t="array" ref="AP234">_xlfn.XLOOKUP(Matrix[[#This Row],[TEAM]]&amp;Matrix[[#Headers],[30]],FDR[FDR]&amp;FDR[[#Headers],[30]],FDR[30],"",0,1)</f>
        <v>5</v>
      </c>
      <c r="AQ234" cm="1">
        <f t="array" ref="AQ234">_xlfn.XLOOKUP(Matrix[[#This Row],[TEAM]]&amp;Matrix[[#Headers],[31]],FDR[FDR]&amp;FDR[[#Headers],[31]],FDR[31],"",0,1)</f>
        <v>4</v>
      </c>
      <c r="AR234" cm="1">
        <f t="array" ref="AR234">_xlfn.XLOOKUP(Matrix[[#This Row],[TEAM]]&amp;Matrix[[#Headers],[32]],FDR[FDR]&amp;FDR[[#Headers],[32]],FDR[32],"",0,1)</f>
        <v>4</v>
      </c>
      <c r="AS234" cm="1">
        <f t="array" ref="AS234">_xlfn.XLOOKUP(Matrix[[#This Row],[TEAM]]&amp;Matrix[[#Headers],[33]],FDR[FDR]&amp;FDR[[#Headers],[33]],FDR[33],"",0,1)</f>
        <v>4</v>
      </c>
      <c r="AT234" cm="1">
        <f t="array" ref="AT234">_xlfn.XLOOKUP(Matrix[[#This Row],[TEAM]]&amp;Matrix[[#Headers],[34]],FDR[FDR]&amp;FDR[[#Headers],[34]],FDR[34],"",0,1)</f>
        <v>4</v>
      </c>
      <c r="AU234" cm="1">
        <f t="array" ref="AU234">_xlfn.XLOOKUP(Matrix[[#This Row],[TEAM]]&amp;Matrix[[#Headers],[35]],FDR[FDR]&amp;FDR[[#Headers],[35]],FDR[35],"",0,1)</f>
        <v>4</v>
      </c>
      <c r="AV234" cm="1">
        <f t="array" ref="AV234">_xlfn.XLOOKUP(Matrix[[#This Row],[TEAM]]&amp;Matrix[[#Headers],[36]],FDR[FDR]&amp;FDR[[#Headers],[36]],FDR[36],"",0,1)</f>
        <v>4</v>
      </c>
      <c r="AW234" cm="1">
        <f t="array" ref="AW234">_xlfn.XLOOKUP(Matrix[[#This Row],[TEAM]]&amp;Matrix[[#Headers],[37]],FDR[FDR]&amp;FDR[[#Headers],[37]],FDR[37],"",0,1)</f>
        <v>1</v>
      </c>
      <c r="AX234" cm="1">
        <f t="array" ref="AX234">_xlfn.XLOOKUP(Matrix[[#This Row],[TEAM]]&amp;Matrix[[#Headers],[38]],FDR[FDR]&amp;FDR[[#Headers],[38]],FDR[38],"",0,1)</f>
        <v>5</v>
      </c>
    </row>
    <row r="235" spans="1:50" ht="22" thickTop="1" thickBot="1">
      <c r="A235" s="50" t="str">
        <f>INDEX!S$4</f>
        <v>MID</v>
      </c>
      <c r="B235" s="70" t="s">
        <v>1580</v>
      </c>
      <c r="C235" s="40" t="s">
        <v>17</v>
      </c>
      <c r="D235" s="62">
        <v>21</v>
      </c>
      <c r="E235" s="60">
        <v>1E-3</v>
      </c>
      <c r="F235" s="61">
        <v>10</v>
      </c>
      <c r="G235" s="63">
        <v>5</v>
      </c>
      <c r="H235" s="261">
        <f>IF(ISBLANK(I235),0,1)</f>
        <v>0</v>
      </c>
      <c r="I235" s="57"/>
      <c r="J235" s="58"/>
      <c r="K235" s="59" t="s">
        <v>869</v>
      </c>
      <c r="L235" s="59" t="s">
        <v>868</v>
      </c>
      <c r="M235" cm="1">
        <f t="array" ref="M235">_xlfn.XLOOKUP(Matrix[[#This Row],[TEAM]]&amp;Matrix[[#Headers],[1]],FDR[FDR]&amp;FDR[[#Headers],[1]],FDR[1],"",0,1)</f>
        <v>1</v>
      </c>
      <c r="N235" cm="1">
        <f t="array" ref="N235">_xlfn.XLOOKUP(Matrix[[#This Row],[TEAM]]&amp;Matrix[[#Headers],[2]],FDR[FDR]&amp;FDR[[#Headers],[2]],FDR[2],"",0,1)</f>
        <v>3</v>
      </c>
      <c r="O235" cm="1">
        <f t="array" ref="O235">_xlfn.XLOOKUP(Matrix[[#This Row],[TEAM]]&amp;Matrix[[#Headers],[3]],FDR[FDR]&amp;FDR[[#Headers],[3]],FDR[3],"",0,1)</f>
        <v>3</v>
      </c>
      <c r="P235" cm="1">
        <f t="array" ref="P235">_xlfn.XLOOKUP(Matrix[[#This Row],[TEAM]]&amp;Matrix[[#Headers],[4]],FDR[FDR]&amp;FDR[[#Headers],[4]],FDR[4],"",0,1)</f>
        <v>1</v>
      </c>
      <c r="Q235" cm="1">
        <f t="array" ref="Q235">_xlfn.XLOOKUP(Matrix[[#This Row],[TEAM]]&amp;Matrix[[#Headers],[5]],FDR[FDR]&amp;FDR[[#Headers],[5]],FDR[5],"",0,1)</f>
        <v>1</v>
      </c>
      <c r="R235" cm="1">
        <f t="array" ref="R235">_xlfn.XLOOKUP(Matrix[[#This Row],[TEAM]]&amp;Matrix[[#Headers],[6]],FDR[FDR]&amp;FDR[[#Headers],[6]],FDR[6],"",0,1)</f>
        <v>2</v>
      </c>
      <c r="S235" cm="1">
        <f t="array" ref="S235">_xlfn.XLOOKUP(Matrix[[#This Row],[TEAM]]&amp;Matrix[[#Headers],[7]],FDR[FDR]&amp;FDR[[#Headers],[7]],FDR[7],"",0,1)</f>
        <v>3</v>
      </c>
      <c r="T235" cm="1">
        <f t="array" ref="T235">_xlfn.XLOOKUP(Matrix[[#This Row],[TEAM]]&amp;Matrix[[#Headers],[8]],FDR[FDR]&amp;FDR[[#Headers],[8]],FDR[8],"",0,1)</f>
        <v>2</v>
      </c>
      <c r="U235" cm="1">
        <f t="array" ref="U235">_xlfn.XLOOKUP(Matrix[[#This Row],[TEAM]]&amp;Matrix[[#Headers],[9]],FDR[FDR]&amp;FDR[[#Headers],[9]],FDR[9],"",0,1)</f>
        <v>2</v>
      </c>
      <c r="V235" cm="1">
        <f t="array" ref="V235">_xlfn.XLOOKUP(Matrix[[#This Row],[TEAM]]&amp;Matrix[[#Headers],[10]],FDR[FDR]&amp;FDR[[#Headers],[10]],FDR[10],"",0,1)</f>
        <v>2</v>
      </c>
      <c r="W235" cm="1">
        <f t="array" ref="W235">_xlfn.XLOOKUP(Matrix[[#This Row],[TEAM]]&amp;Matrix[[#Headers],[11]],FDR[FDR]&amp;FDR[[#Headers],[11]],FDR[11],"",0,1)</f>
        <v>3</v>
      </c>
      <c r="X235" cm="1">
        <f t="array" ref="X235">_xlfn.XLOOKUP(Matrix[[#This Row],[TEAM]]&amp;Matrix[[#Headers],[12]],FDR[FDR]&amp;FDR[[#Headers],[12]],FDR[12],"",0,1)</f>
        <v>1</v>
      </c>
      <c r="Y235" cm="1">
        <f t="array" ref="Y235">_xlfn.XLOOKUP(Matrix[[#This Row],[TEAM]]&amp;Matrix[[#Headers],[13]],FDR[FDR]&amp;FDR[[#Headers],[13]],FDR[13],"",0,1)</f>
        <v>2</v>
      </c>
      <c r="Z235" cm="1">
        <f t="array" ref="Z235">_xlfn.XLOOKUP(Matrix[[#This Row],[TEAM]]&amp;Matrix[[#Headers],[14]],FDR[FDR]&amp;FDR[[#Headers],[14]],FDR[14],"",0,1)</f>
        <v>1</v>
      </c>
      <c r="AA235" cm="1">
        <f t="array" ref="AA235">_xlfn.XLOOKUP(Matrix[[#This Row],[TEAM]]&amp;Matrix[[#Headers],[15]],FDR[FDR]&amp;FDR[[#Headers],[15]],FDR[15],"",0,1)</f>
        <v>1</v>
      </c>
      <c r="AB235" cm="1">
        <f t="array" ref="AB235">_xlfn.XLOOKUP(Matrix[[#This Row],[TEAM]]&amp;Matrix[[#Headers],[16]],FDR[FDR]&amp;FDR[[#Headers],[16]],FDR[16],"",0,1)</f>
        <v>1</v>
      </c>
      <c r="AC235" cm="1">
        <f t="array" ref="AC235">_xlfn.XLOOKUP(Matrix[[#This Row],[TEAM]]&amp;Matrix[[#Headers],[17]],FDR[FDR]&amp;FDR[[#Headers],[17]],FDR[17],"",0,1)</f>
        <v>3</v>
      </c>
      <c r="AD235" cm="1">
        <f t="array" ref="AD235">_xlfn.XLOOKUP(Matrix[[#This Row],[TEAM]]&amp;Matrix[[#Headers],[18]],FDR[FDR]&amp;FDR[[#Headers],[18]],FDR[18],"",0,1)</f>
        <v>1</v>
      </c>
      <c r="AE235" cm="1">
        <f t="array" ref="AE235">_xlfn.XLOOKUP(Matrix[[#This Row],[TEAM]]&amp;Matrix[[#Headers],[19]],FDR[FDR]&amp;FDR[[#Headers],[19]],FDR[19],"",0,1)</f>
        <v>1</v>
      </c>
      <c r="AF235" cm="1">
        <f t="array" ref="AF235">_xlfn.XLOOKUP(Matrix[[#This Row],[TEAM]]&amp;Matrix[[#Headers],[20]],FDR[FDR]&amp;FDR[[#Headers],[20]],FDR[20],"",0,1)</f>
        <v>2</v>
      </c>
      <c r="AG235" cm="1">
        <f t="array" ref="AG235">_xlfn.XLOOKUP(Matrix[[#This Row],[TEAM]]&amp;Matrix[[#Headers],[21]],FDR[FDR]&amp;FDR[[#Headers],[21]],FDR[21],"",0,1)</f>
        <v>3</v>
      </c>
      <c r="AH235" cm="1">
        <f t="array" ref="AH235">_xlfn.XLOOKUP(Matrix[[#This Row],[TEAM]]&amp;Matrix[[#Headers],[22]],FDR[FDR]&amp;FDR[[#Headers],[22]],FDR[22],"",0,1)</f>
        <v>1</v>
      </c>
      <c r="AI235" cm="1">
        <f t="array" ref="AI235">_xlfn.XLOOKUP(Matrix[[#This Row],[TEAM]]&amp;Matrix[[#Headers],[23]],FDR[FDR]&amp;FDR[[#Headers],[23]],FDR[23],"",0,1)</f>
        <v>2</v>
      </c>
      <c r="AJ235" cm="1">
        <f t="array" ref="AJ235">_xlfn.XLOOKUP(Matrix[[#This Row],[TEAM]]&amp;Matrix[[#Headers],[24]],FDR[FDR]&amp;FDR[[#Headers],[24]],FDR[24],"",0,1)</f>
        <v>2</v>
      </c>
      <c r="AK235" cm="1">
        <f t="array" ref="AK235">_xlfn.XLOOKUP(Matrix[[#This Row],[TEAM]]&amp;Matrix[[#Headers],[25]],FDR[FDR]&amp;FDR[[#Headers],[25]],FDR[25],"",0,1)</f>
        <v>3</v>
      </c>
      <c r="AL235" cm="1">
        <f t="array" ref="AL235">_xlfn.XLOOKUP(Matrix[[#This Row],[TEAM]]&amp;Matrix[[#Headers],[26]],FDR[FDR]&amp;FDR[[#Headers],[26]],FDR[26],"",0,1)</f>
        <v>1</v>
      </c>
      <c r="AM235" cm="1">
        <f t="array" ref="AM235">_xlfn.XLOOKUP(Matrix[[#This Row],[TEAM]]&amp;Matrix[[#Headers],[27]],FDR[FDR]&amp;FDR[[#Headers],[27]],FDR[27],"",0,1)</f>
        <v>2</v>
      </c>
      <c r="AN235" cm="1">
        <f t="array" ref="AN235">_xlfn.XLOOKUP(Matrix[[#This Row],[TEAM]]&amp;Matrix[[#Headers],[28]],FDR[FDR]&amp;FDR[[#Headers],[28]],FDR[28],"",0,1)</f>
        <v>1</v>
      </c>
      <c r="AO235" cm="1">
        <f t="array" ref="AO235">_xlfn.XLOOKUP(Matrix[[#This Row],[TEAM]]&amp;Matrix[[#Headers],[29]],FDR[FDR]&amp;FDR[[#Headers],[29]],FDR[29],"",0,1)</f>
        <v>1</v>
      </c>
      <c r="AP235" cm="1">
        <f t="array" ref="AP235">_xlfn.XLOOKUP(Matrix[[#This Row],[TEAM]]&amp;Matrix[[#Headers],[30]],FDR[FDR]&amp;FDR[[#Headers],[30]],FDR[30],"",0,1)</f>
        <v>2</v>
      </c>
      <c r="AQ235" cm="1">
        <f t="array" ref="AQ235">_xlfn.XLOOKUP(Matrix[[#This Row],[TEAM]]&amp;Matrix[[#Headers],[31]],FDR[FDR]&amp;FDR[[#Headers],[31]],FDR[31],"",0,1)</f>
        <v>2</v>
      </c>
      <c r="AR235" cm="1">
        <f t="array" ref="AR235">_xlfn.XLOOKUP(Matrix[[#This Row],[TEAM]]&amp;Matrix[[#Headers],[32]],FDR[FDR]&amp;FDR[[#Headers],[32]],FDR[32],"",0,1)</f>
        <v>1</v>
      </c>
      <c r="AS235" cm="1">
        <f t="array" ref="AS235">_xlfn.XLOOKUP(Matrix[[#This Row],[TEAM]]&amp;Matrix[[#Headers],[33]],FDR[FDR]&amp;FDR[[#Headers],[33]],FDR[33],"",0,1)</f>
        <v>2</v>
      </c>
      <c r="AT235" cm="1">
        <f t="array" ref="AT235">_xlfn.XLOOKUP(Matrix[[#This Row],[TEAM]]&amp;Matrix[[#Headers],[34]],FDR[FDR]&amp;FDR[[#Headers],[34]],FDR[34],"",0,1)</f>
        <v>1</v>
      </c>
      <c r="AU235" cm="1">
        <f t="array" ref="AU235">_xlfn.XLOOKUP(Matrix[[#This Row],[TEAM]]&amp;Matrix[[#Headers],[35]],FDR[FDR]&amp;FDR[[#Headers],[35]],FDR[35],"",0,1)</f>
        <v>3</v>
      </c>
      <c r="AV235" cm="1">
        <f t="array" ref="AV235">_xlfn.XLOOKUP(Matrix[[#This Row],[TEAM]]&amp;Matrix[[#Headers],[36]],FDR[FDR]&amp;FDR[[#Headers],[36]],FDR[36],"",0,1)</f>
        <v>2</v>
      </c>
      <c r="AW235" cm="1">
        <f t="array" ref="AW235">_xlfn.XLOOKUP(Matrix[[#This Row],[TEAM]]&amp;Matrix[[#Headers],[37]],FDR[FDR]&amp;FDR[[#Headers],[37]],FDR[37],"",0,1)</f>
        <v>3</v>
      </c>
      <c r="AX235" cm="1">
        <f t="array" ref="AX235">_xlfn.XLOOKUP(Matrix[[#This Row],[TEAM]]&amp;Matrix[[#Headers],[38]],FDR[FDR]&amp;FDR[[#Headers],[38]],FDR[38],"",0,1)</f>
        <v>1</v>
      </c>
    </row>
    <row r="236" spans="1:50" ht="22" thickTop="1" thickBot="1">
      <c r="A236" s="50" t="str">
        <f>INDEX!S$4</f>
        <v>MID</v>
      </c>
      <c r="B236" s="70" t="s">
        <v>1587</v>
      </c>
      <c r="C236" s="40" t="s">
        <v>52</v>
      </c>
      <c r="D236" s="62">
        <v>20</v>
      </c>
      <c r="E236" s="60">
        <v>1E-3</v>
      </c>
      <c r="F236" s="61">
        <v>23.2</v>
      </c>
      <c r="G236" s="63">
        <v>5</v>
      </c>
      <c r="H236" s="261">
        <f>IF(ISBLANK(I236),0,1)</f>
        <v>0</v>
      </c>
      <c r="I236" s="57"/>
      <c r="J236" s="58"/>
      <c r="K236" s="59" t="s">
        <v>884</v>
      </c>
      <c r="L236" s="59" t="s">
        <v>885</v>
      </c>
      <c r="M236" cm="1">
        <f t="array" ref="M236">_xlfn.XLOOKUP(Matrix[[#This Row],[TEAM]]&amp;Matrix[[#Headers],[1]],FDR[FDR]&amp;FDR[[#Headers],[1]],FDR[1],"",0,1)</f>
        <v>2</v>
      </c>
      <c r="N236" cm="1">
        <f t="array" ref="N236">_xlfn.XLOOKUP(Matrix[[#This Row],[TEAM]]&amp;Matrix[[#Headers],[2]],FDR[FDR]&amp;FDR[[#Headers],[2]],FDR[2],"",0,1)</f>
        <v>3</v>
      </c>
      <c r="O236" cm="1">
        <f t="array" ref="O236">_xlfn.XLOOKUP(Matrix[[#This Row],[TEAM]]&amp;Matrix[[#Headers],[3]],FDR[FDR]&amp;FDR[[#Headers],[3]],FDR[3],"",0,1)</f>
        <v>2</v>
      </c>
      <c r="P236" cm="1">
        <f t="array" ref="P236">_xlfn.XLOOKUP(Matrix[[#This Row],[TEAM]]&amp;Matrix[[#Headers],[4]],FDR[FDR]&amp;FDR[[#Headers],[4]],FDR[4],"",0,1)</f>
        <v>5</v>
      </c>
      <c r="Q236" cm="1">
        <f t="array" ref="Q236">_xlfn.XLOOKUP(Matrix[[#This Row],[TEAM]]&amp;Matrix[[#Headers],[5]],FDR[FDR]&amp;FDR[[#Headers],[5]],FDR[5],"",0,1)</f>
        <v>2</v>
      </c>
      <c r="R236" cm="1">
        <f t="array" ref="R236">_xlfn.XLOOKUP(Matrix[[#This Row],[TEAM]]&amp;Matrix[[#Headers],[6]],FDR[FDR]&amp;FDR[[#Headers],[6]],FDR[6],"",0,1)</f>
        <v>1</v>
      </c>
      <c r="S236" cm="1">
        <f t="array" ref="S236">_xlfn.XLOOKUP(Matrix[[#This Row],[TEAM]]&amp;Matrix[[#Headers],[7]],FDR[FDR]&amp;FDR[[#Headers],[7]],FDR[7],"",0,1)</f>
        <v>5</v>
      </c>
      <c r="T236" cm="1">
        <f t="array" ref="T236">_xlfn.XLOOKUP(Matrix[[#This Row],[TEAM]]&amp;Matrix[[#Headers],[8]],FDR[FDR]&amp;FDR[[#Headers],[8]],FDR[8],"",0,1)</f>
        <v>4</v>
      </c>
      <c r="U236" cm="1">
        <f t="array" ref="U236">_xlfn.XLOOKUP(Matrix[[#This Row],[TEAM]]&amp;Matrix[[#Headers],[9]],FDR[FDR]&amp;FDR[[#Headers],[9]],FDR[9],"",0,1)</f>
        <v>4</v>
      </c>
      <c r="V236" cm="1">
        <f t="array" ref="V236">_xlfn.XLOOKUP(Matrix[[#This Row],[TEAM]]&amp;Matrix[[#Headers],[10]],FDR[FDR]&amp;FDR[[#Headers],[10]],FDR[10],"",0,1)</f>
        <v>4</v>
      </c>
      <c r="W236" cm="1">
        <f t="array" ref="W236">_xlfn.XLOOKUP(Matrix[[#This Row],[TEAM]]&amp;Matrix[[#Headers],[11]],FDR[FDR]&amp;FDR[[#Headers],[11]],FDR[11],"",0,1)</f>
        <v>1</v>
      </c>
      <c r="X236" cm="1">
        <f t="array" ref="X236">_xlfn.XLOOKUP(Matrix[[#This Row],[TEAM]]&amp;Matrix[[#Headers],[12]],FDR[FDR]&amp;FDR[[#Headers],[12]],FDR[12],"",0,1)</f>
        <v>5</v>
      </c>
      <c r="Y236" cm="1">
        <f t="array" ref="Y236">_xlfn.XLOOKUP(Matrix[[#This Row],[TEAM]]&amp;Matrix[[#Headers],[13]],FDR[FDR]&amp;FDR[[#Headers],[13]],FDR[13],"",0,1)</f>
        <v>3</v>
      </c>
      <c r="Z236" cm="1">
        <f t="array" ref="Z236">_xlfn.XLOOKUP(Matrix[[#This Row],[TEAM]]&amp;Matrix[[#Headers],[14]],FDR[FDR]&amp;FDR[[#Headers],[14]],FDR[14],"",0,1)</f>
        <v>2</v>
      </c>
      <c r="AA236" cm="1">
        <f t="array" ref="AA236">_xlfn.XLOOKUP(Matrix[[#This Row],[TEAM]]&amp;Matrix[[#Headers],[15]],FDR[FDR]&amp;FDR[[#Headers],[15]],FDR[15],"",0,1)</f>
        <v>3</v>
      </c>
      <c r="AB236" cm="1">
        <f t="array" ref="AB236">_xlfn.XLOOKUP(Matrix[[#This Row],[TEAM]]&amp;Matrix[[#Headers],[16]],FDR[FDR]&amp;FDR[[#Headers],[16]],FDR[16],"",0,1)</f>
        <v>4</v>
      </c>
      <c r="AC236" cm="1">
        <f t="array" ref="AC236">_xlfn.XLOOKUP(Matrix[[#This Row],[TEAM]]&amp;Matrix[[#Headers],[17]],FDR[FDR]&amp;FDR[[#Headers],[17]],FDR[17],"",0,1)</f>
        <v>4</v>
      </c>
      <c r="AD236" cm="1">
        <f t="array" ref="AD236">_xlfn.XLOOKUP(Matrix[[#This Row],[TEAM]]&amp;Matrix[[#Headers],[18]],FDR[FDR]&amp;FDR[[#Headers],[18]],FDR[18],"",0,1)</f>
        <v>4</v>
      </c>
      <c r="AE236" cm="1">
        <f t="array" ref="AE236">_xlfn.XLOOKUP(Matrix[[#This Row],[TEAM]]&amp;Matrix[[#Headers],[19]],FDR[FDR]&amp;FDR[[#Headers],[19]],FDR[19],"",0,1)</f>
        <v>2</v>
      </c>
      <c r="AF236" cm="1">
        <f t="array" ref="AF236">_xlfn.XLOOKUP(Matrix[[#This Row],[TEAM]]&amp;Matrix[[#Headers],[20]],FDR[FDR]&amp;FDR[[#Headers],[20]],FDR[20],"",0,1)</f>
        <v>5</v>
      </c>
      <c r="AG236" cm="1">
        <f t="array" ref="AG236">_xlfn.XLOOKUP(Matrix[[#This Row],[TEAM]]&amp;Matrix[[#Headers],[21]],FDR[FDR]&amp;FDR[[#Headers],[21]],FDR[21],"",0,1)</f>
        <v>3</v>
      </c>
      <c r="AH236" cm="1">
        <f t="array" ref="AH236">_xlfn.XLOOKUP(Matrix[[#This Row],[TEAM]]&amp;Matrix[[#Headers],[22]],FDR[FDR]&amp;FDR[[#Headers],[22]],FDR[22],"",0,1)</f>
        <v>4</v>
      </c>
      <c r="AI236" cm="1">
        <f t="array" ref="AI236">_xlfn.XLOOKUP(Matrix[[#This Row],[TEAM]]&amp;Matrix[[#Headers],[23]],FDR[FDR]&amp;FDR[[#Headers],[23]],FDR[23],"",0,1)</f>
        <v>3</v>
      </c>
      <c r="AJ236" cm="1">
        <f t="array" ref="AJ236">_xlfn.XLOOKUP(Matrix[[#This Row],[TEAM]]&amp;Matrix[[#Headers],[24]],FDR[FDR]&amp;FDR[[#Headers],[24]],FDR[24],"",0,1)</f>
        <v>2</v>
      </c>
      <c r="AK236" cm="1">
        <f t="array" ref="AK236">_xlfn.XLOOKUP(Matrix[[#This Row],[TEAM]]&amp;Matrix[[#Headers],[25]],FDR[FDR]&amp;FDR[[#Headers],[25]],FDR[25],"",0,1)</f>
        <v>2</v>
      </c>
      <c r="AL236" cm="1">
        <f t="array" ref="AL236">_xlfn.XLOOKUP(Matrix[[#This Row],[TEAM]]&amp;Matrix[[#Headers],[26]],FDR[FDR]&amp;FDR[[#Headers],[26]],FDR[26],"",0,1)</f>
        <v>1</v>
      </c>
      <c r="AM236" cm="1">
        <f t="array" ref="AM236">_xlfn.XLOOKUP(Matrix[[#This Row],[TEAM]]&amp;Matrix[[#Headers],[27]],FDR[FDR]&amp;FDR[[#Headers],[27]],FDR[27],"",0,1)</f>
        <v>4</v>
      </c>
      <c r="AN236" cm="1">
        <f t="array" ref="AN236">_xlfn.XLOOKUP(Matrix[[#This Row],[TEAM]]&amp;Matrix[[#Headers],[28]],FDR[FDR]&amp;FDR[[#Headers],[28]],FDR[28],"",0,1)</f>
        <v>4</v>
      </c>
      <c r="AO236" cm="1">
        <f t="array" ref="AO236">_xlfn.XLOOKUP(Matrix[[#This Row],[TEAM]]&amp;Matrix[[#Headers],[29]],FDR[FDR]&amp;FDR[[#Headers],[29]],FDR[29],"",0,1)</f>
        <v>5</v>
      </c>
      <c r="AP236" cm="1">
        <f t="array" ref="AP236">_xlfn.XLOOKUP(Matrix[[#This Row],[TEAM]]&amp;Matrix[[#Headers],[30]],FDR[FDR]&amp;FDR[[#Headers],[30]],FDR[30],"",0,1)</f>
        <v>3</v>
      </c>
      <c r="AQ236" cm="1">
        <f t="array" ref="AQ236">_xlfn.XLOOKUP(Matrix[[#This Row],[TEAM]]&amp;Matrix[[#Headers],[31]],FDR[FDR]&amp;FDR[[#Headers],[31]],FDR[31],"",0,1)</f>
        <v>5</v>
      </c>
      <c r="AR236" cm="1">
        <f t="array" ref="AR236">_xlfn.XLOOKUP(Matrix[[#This Row],[TEAM]]&amp;Matrix[[#Headers],[32]],FDR[FDR]&amp;FDR[[#Headers],[32]],FDR[32],"",0,1)</f>
        <v>3</v>
      </c>
      <c r="AS236" cm="1">
        <f t="array" ref="AS236">_xlfn.XLOOKUP(Matrix[[#This Row],[TEAM]]&amp;Matrix[[#Headers],[33]],FDR[FDR]&amp;FDR[[#Headers],[33]],FDR[33],"",0,1)</f>
        <v>1</v>
      </c>
      <c r="AT236" cm="1">
        <f t="array" ref="AT236">_xlfn.XLOOKUP(Matrix[[#This Row],[TEAM]]&amp;Matrix[[#Headers],[34]],FDR[FDR]&amp;FDR[[#Headers],[34]],FDR[34],"",0,1)</f>
        <v>2</v>
      </c>
      <c r="AU236" cm="1">
        <f t="array" ref="AU236">_xlfn.XLOOKUP(Matrix[[#This Row],[TEAM]]&amp;Matrix[[#Headers],[35]],FDR[FDR]&amp;FDR[[#Headers],[35]],FDR[35],"",0,1)</f>
        <v>5</v>
      </c>
      <c r="AV236" cm="1">
        <f t="array" ref="AV236">_xlfn.XLOOKUP(Matrix[[#This Row],[TEAM]]&amp;Matrix[[#Headers],[36]],FDR[FDR]&amp;FDR[[#Headers],[36]],FDR[36],"",0,1)</f>
        <v>4</v>
      </c>
      <c r="AW236" cm="1">
        <f t="array" ref="AW236">_xlfn.XLOOKUP(Matrix[[#This Row],[TEAM]]&amp;Matrix[[#Headers],[37]],FDR[FDR]&amp;FDR[[#Headers],[37]],FDR[37],"",0,1)</f>
        <v>5</v>
      </c>
      <c r="AX236" cm="1">
        <f t="array" ref="AX236">_xlfn.XLOOKUP(Matrix[[#This Row],[TEAM]]&amp;Matrix[[#Headers],[38]],FDR[FDR]&amp;FDR[[#Headers],[38]],FDR[38],"",0,1)</f>
        <v>3</v>
      </c>
    </row>
    <row r="237" spans="1:50" ht="22" thickTop="1" thickBot="1">
      <c r="A237" s="50" t="str">
        <f>INDEX!S$4</f>
        <v>MID</v>
      </c>
      <c r="B237" s="70" t="s">
        <v>1489</v>
      </c>
      <c r="C237" s="40" t="s">
        <v>24</v>
      </c>
      <c r="D237" s="62">
        <v>18</v>
      </c>
      <c r="E237" s="60">
        <v>2.8000000000000001E-2</v>
      </c>
      <c r="F237" s="61">
        <v>12.6</v>
      </c>
      <c r="G237" s="63">
        <v>5</v>
      </c>
      <c r="H237" s="261">
        <f>IF(ISBLANK(I237),0,1)</f>
        <v>0</v>
      </c>
      <c r="I237" s="57"/>
      <c r="J237" s="58"/>
      <c r="K237" s="59" t="s">
        <v>852</v>
      </c>
      <c r="L237" s="59" t="s">
        <v>853</v>
      </c>
      <c r="M237" cm="1">
        <f t="array" ref="M237">_xlfn.XLOOKUP(Matrix[[#This Row],[TEAM]]&amp;Matrix[[#Headers],[1]],FDR[FDR]&amp;FDR[[#Headers],[1]],FDR[1],"",0,1)</f>
        <v>2</v>
      </c>
      <c r="N237" cm="1">
        <f t="array" ref="N237">_xlfn.XLOOKUP(Matrix[[#This Row],[TEAM]]&amp;Matrix[[#Headers],[2]],FDR[FDR]&amp;FDR[[#Headers],[2]],FDR[2],"",0,1)</f>
        <v>3</v>
      </c>
      <c r="O237" cm="1">
        <f t="array" ref="O237">_xlfn.XLOOKUP(Matrix[[#This Row],[TEAM]]&amp;Matrix[[#Headers],[3]],FDR[FDR]&amp;FDR[[#Headers],[3]],FDR[3],"",0,1)</f>
        <v>2</v>
      </c>
      <c r="P237" cm="1">
        <f t="array" ref="P237">_xlfn.XLOOKUP(Matrix[[#This Row],[TEAM]]&amp;Matrix[[#Headers],[4]],FDR[FDR]&amp;FDR[[#Headers],[4]],FDR[4],"",0,1)</f>
        <v>4</v>
      </c>
      <c r="Q237" cm="1">
        <f t="array" ref="Q237">_xlfn.XLOOKUP(Matrix[[#This Row],[TEAM]]&amp;Matrix[[#Headers],[5]],FDR[FDR]&amp;FDR[[#Headers],[5]],FDR[5],"",0,1)</f>
        <v>5</v>
      </c>
      <c r="R237" cm="1">
        <f t="array" ref="R237">_xlfn.XLOOKUP(Matrix[[#This Row],[TEAM]]&amp;Matrix[[#Headers],[6]],FDR[FDR]&amp;FDR[[#Headers],[6]],FDR[6],"",0,1)</f>
        <v>3</v>
      </c>
      <c r="S237" cm="1">
        <f t="array" ref="S237">_xlfn.XLOOKUP(Matrix[[#This Row],[TEAM]]&amp;Matrix[[#Headers],[7]],FDR[FDR]&amp;FDR[[#Headers],[7]],FDR[7],"",0,1)</f>
        <v>3</v>
      </c>
      <c r="T237" cm="1">
        <f t="array" ref="T237">_xlfn.XLOOKUP(Matrix[[#This Row],[TEAM]]&amp;Matrix[[#Headers],[8]],FDR[FDR]&amp;FDR[[#Headers],[8]],FDR[8],"",0,1)</f>
        <v>5</v>
      </c>
      <c r="U237" cm="1">
        <f t="array" ref="U237">_xlfn.XLOOKUP(Matrix[[#This Row],[TEAM]]&amp;Matrix[[#Headers],[9]],FDR[FDR]&amp;FDR[[#Headers],[9]],FDR[9],"",0,1)</f>
        <v>4</v>
      </c>
      <c r="V237" cm="1">
        <f t="array" ref="V237">_xlfn.XLOOKUP(Matrix[[#This Row],[TEAM]]&amp;Matrix[[#Headers],[10]],FDR[FDR]&amp;FDR[[#Headers],[10]],FDR[10],"",0,1)</f>
        <v>2</v>
      </c>
      <c r="W237" cm="1">
        <f t="array" ref="W237">_xlfn.XLOOKUP(Matrix[[#This Row],[TEAM]]&amp;Matrix[[#Headers],[11]],FDR[FDR]&amp;FDR[[#Headers],[11]],FDR[11],"",0,1)</f>
        <v>3</v>
      </c>
      <c r="X237" cm="1">
        <f t="array" ref="X237">_xlfn.XLOOKUP(Matrix[[#This Row],[TEAM]]&amp;Matrix[[#Headers],[12]],FDR[FDR]&amp;FDR[[#Headers],[12]],FDR[12],"",0,1)</f>
        <v>5</v>
      </c>
      <c r="Y237" cm="1">
        <f t="array" ref="Y237">_xlfn.XLOOKUP(Matrix[[#This Row],[TEAM]]&amp;Matrix[[#Headers],[13]],FDR[FDR]&amp;FDR[[#Headers],[13]],FDR[13],"",0,1)</f>
        <v>4</v>
      </c>
      <c r="Z237" cm="1">
        <f t="array" ref="Z237">_xlfn.XLOOKUP(Matrix[[#This Row],[TEAM]]&amp;Matrix[[#Headers],[14]],FDR[FDR]&amp;FDR[[#Headers],[14]],FDR[14],"",0,1)</f>
        <v>4</v>
      </c>
      <c r="AA237" cm="1">
        <f t="array" ref="AA237">_xlfn.XLOOKUP(Matrix[[#This Row],[TEAM]]&amp;Matrix[[#Headers],[15]],FDR[FDR]&amp;FDR[[#Headers],[15]],FDR[15],"",0,1)</f>
        <v>3</v>
      </c>
      <c r="AB237" cm="1">
        <f t="array" ref="AB237">_xlfn.XLOOKUP(Matrix[[#This Row],[TEAM]]&amp;Matrix[[#Headers],[16]],FDR[FDR]&amp;FDR[[#Headers],[16]],FDR[16],"",0,1)</f>
        <v>5</v>
      </c>
      <c r="AC237" cm="1">
        <f t="array" ref="AC237">_xlfn.XLOOKUP(Matrix[[#This Row],[TEAM]]&amp;Matrix[[#Headers],[17]],FDR[FDR]&amp;FDR[[#Headers],[17]],FDR[17],"",0,1)</f>
        <v>4</v>
      </c>
      <c r="AD237" cm="1">
        <f t="array" ref="AD237">_xlfn.XLOOKUP(Matrix[[#This Row],[TEAM]]&amp;Matrix[[#Headers],[18]],FDR[FDR]&amp;FDR[[#Headers],[18]],FDR[18],"",0,1)</f>
        <v>2</v>
      </c>
      <c r="AE237" cm="1">
        <f t="array" ref="AE237">_xlfn.XLOOKUP(Matrix[[#This Row],[TEAM]]&amp;Matrix[[#Headers],[19]],FDR[FDR]&amp;FDR[[#Headers],[19]],FDR[19],"",0,1)</f>
        <v>4</v>
      </c>
      <c r="AF237" cm="1">
        <f t="array" ref="AF237">_xlfn.XLOOKUP(Matrix[[#This Row],[TEAM]]&amp;Matrix[[#Headers],[20]],FDR[FDR]&amp;FDR[[#Headers],[20]],FDR[20],"",0,1)</f>
        <v>3</v>
      </c>
      <c r="AG237" cm="1">
        <f t="array" ref="AG237">_xlfn.XLOOKUP(Matrix[[#This Row],[TEAM]]&amp;Matrix[[#Headers],[21]],FDR[FDR]&amp;FDR[[#Headers],[21]],FDR[21],"",0,1)</f>
        <v>2</v>
      </c>
      <c r="AH237" cm="1">
        <f t="array" ref="AH237">_xlfn.XLOOKUP(Matrix[[#This Row],[TEAM]]&amp;Matrix[[#Headers],[22]],FDR[FDR]&amp;FDR[[#Headers],[22]],FDR[22],"",0,1)</f>
        <v>5</v>
      </c>
      <c r="AI237" cm="1">
        <f t="array" ref="AI237">_xlfn.XLOOKUP(Matrix[[#This Row],[TEAM]]&amp;Matrix[[#Headers],[23]],FDR[FDR]&amp;FDR[[#Headers],[23]],FDR[23],"",0,1)</f>
        <v>1</v>
      </c>
      <c r="AJ237" cm="1">
        <f t="array" ref="AJ237">_xlfn.XLOOKUP(Matrix[[#This Row],[TEAM]]&amp;Matrix[[#Headers],[24]],FDR[FDR]&amp;FDR[[#Headers],[24]],FDR[24],"",0,1)</f>
        <v>4</v>
      </c>
      <c r="AK237" cm="1">
        <f t="array" ref="AK237">_xlfn.XLOOKUP(Matrix[[#This Row],[TEAM]]&amp;Matrix[[#Headers],[25]],FDR[FDR]&amp;FDR[[#Headers],[25]],FDR[25],"",0,1)</f>
        <v>4</v>
      </c>
      <c r="AL237" cm="1">
        <f t="array" ref="AL237">_xlfn.XLOOKUP(Matrix[[#This Row],[TEAM]]&amp;Matrix[[#Headers],[26]],FDR[FDR]&amp;FDR[[#Headers],[26]],FDR[26],"",0,1)</f>
        <v>3</v>
      </c>
      <c r="AM237" cm="1">
        <f t="array" ref="AM237">_xlfn.XLOOKUP(Matrix[[#This Row],[TEAM]]&amp;Matrix[[#Headers],[27]],FDR[FDR]&amp;FDR[[#Headers],[27]],FDR[27],"",0,1)</f>
        <v>4</v>
      </c>
      <c r="AN237" cm="1">
        <f t="array" ref="AN237">_xlfn.XLOOKUP(Matrix[[#This Row],[TEAM]]&amp;Matrix[[#Headers],[28]],FDR[FDR]&amp;FDR[[#Headers],[28]],FDR[28],"",0,1)</f>
        <v>5</v>
      </c>
      <c r="AO237" cm="1">
        <f t="array" ref="AO237">_xlfn.XLOOKUP(Matrix[[#This Row],[TEAM]]&amp;Matrix[[#Headers],[29]],FDR[FDR]&amp;FDR[[#Headers],[29]],FDR[29],"",0,1)</f>
        <v>1</v>
      </c>
      <c r="AP237" cm="1">
        <f t="array" ref="AP237">_xlfn.XLOOKUP(Matrix[[#This Row],[TEAM]]&amp;Matrix[[#Headers],[30]],FDR[FDR]&amp;FDR[[#Headers],[30]],FDR[30],"",0,1)</f>
        <v>5</v>
      </c>
      <c r="AQ237" cm="1">
        <f t="array" ref="AQ237">_xlfn.XLOOKUP(Matrix[[#This Row],[TEAM]]&amp;Matrix[[#Headers],[31]],FDR[FDR]&amp;FDR[[#Headers],[31]],FDR[31],"",0,1)</f>
        <v>4</v>
      </c>
      <c r="AR237" cm="1">
        <f t="array" ref="AR237">_xlfn.XLOOKUP(Matrix[[#This Row],[TEAM]]&amp;Matrix[[#Headers],[32]],FDR[FDR]&amp;FDR[[#Headers],[32]],FDR[32],"",0,1)</f>
        <v>4</v>
      </c>
      <c r="AS237" cm="1">
        <f t="array" ref="AS237">_xlfn.XLOOKUP(Matrix[[#This Row],[TEAM]]&amp;Matrix[[#Headers],[33]],FDR[FDR]&amp;FDR[[#Headers],[33]],FDR[33],"",0,1)</f>
        <v>4</v>
      </c>
      <c r="AT237" cm="1">
        <f t="array" ref="AT237">_xlfn.XLOOKUP(Matrix[[#This Row],[TEAM]]&amp;Matrix[[#Headers],[34]],FDR[FDR]&amp;FDR[[#Headers],[34]],FDR[34],"",0,1)</f>
        <v>4</v>
      </c>
      <c r="AU237" cm="1">
        <f t="array" ref="AU237">_xlfn.XLOOKUP(Matrix[[#This Row],[TEAM]]&amp;Matrix[[#Headers],[35]],FDR[FDR]&amp;FDR[[#Headers],[35]],FDR[35],"",0,1)</f>
        <v>4</v>
      </c>
      <c r="AV237" cm="1">
        <f t="array" ref="AV237">_xlfn.XLOOKUP(Matrix[[#This Row],[TEAM]]&amp;Matrix[[#Headers],[36]],FDR[FDR]&amp;FDR[[#Headers],[36]],FDR[36],"",0,1)</f>
        <v>4</v>
      </c>
      <c r="AW237" cm="1">
        <f t="array" ref="AW237">_xlfn.XLOOKUP(Matrix[[#This Row],[TEAM]]&amp;Matrix[[#Headers],[37]],FDR[FDR]&amp;FDR[[#Headers],[37]],FDR[37],"",0,1)</f>
        <v>1</v>
      </c>
      <c r="AX237" cm="1">
        <f t="array" ref="AX237">_xlfn.XLOOKUP(Matrix[[#This Row],[TEAM]]&amp;Matrix[[#Headers],[38]],FDR[FDR]&amp;FDR[[#Headers],[38]],FDR[38],"",0,1)</f>
        <v>5</v>
      </c>
    </row>
    <row r="238" spans="1:50" ht="22" thickTop="1" thickBot="1">
      <c r="A238" s="50" t="str">
        <f>INDEX!S$4</f>
        <v>MID</v>
      </c>
      <c r="B238" s="70" t="s">
        <v>1566</v>
      </c>
      <c r="C238" s="40" t="s">
        <v>18</v>
      </c>
      <c r="D238" s="62">
        <v>17</v>
      </c>
      <c r="E238" s="60">
        <v>1E-3</v>
      </c>
      <c r="F238" s="61">
        <v>17.100000000000001</v>
      </c>
      <c r="G238" s="63">
        <v>5</v>
      </c>
      <c r="H238" s="261">
        <f>IF(ISBLANK(I238),0,1)</f>
        <v>0</v>
      </c>
      <c r="I238" s="57"/>
      <c r="J238" s="58"/>
      <c r="K238" s="59" t="s">
        <v>840</v>
      </c>
      <c r="L238" s="59" t="s">
        <v>609</v>
      </c>
      <c r="M238" cm="1">
        <f t="array" ref="M238">_xlfn.XLOOKUP(Matrix[[#This Row],[TEAM]]&amp;Matrix[[#Headers],[1]],FDR[FDR]&amp;FDR[[#Headers],[1]],FDR[1],"",0,1)</f>
        <v>1</v>
      </c>
      <c r="N238" cm="1">
        <f t="array" ref="N238">_xlfn.XLOOKUP(Matrix[[#This Row],[TEAM]]&amp;Matrix[[#Headers],[2]],FDR[FDR]&amp;FDR[[#Headers],[2]],FDR[2],"",0,1)</f>
        <v>2</v>
      </c>
      <c r="O238" cm="1">
        <f t="array" ref="O238">_xlfn.XLOOKUP(Matrix[[#This Row],[TEAM]]&amp;Matrix[[#Headers],[3]],FDR[FDR]&amp;FDR[[#Headers],[3]],FDR[3],"",0,1)</f>
        <v>1</v>
      </c>
      <c r="P238" cm="1">
        <f t="array" ref="P238">_xlfn.XLOOKUP(Matrix[[#This Row],[TEAM]]&amp;Matrix[[#Headers],[4]],FDR[FDR]&amp;FDR[[#Headers],[4]],FDR[4],"",0,1)</f>
        <v>2</v>
      </c>
      <c r="Q238" cm="1">
        <f t="array" ref="Q238">_xlfn.XLOOKUP(Matrix[[#This Row],[TEAM]]&amp;Matrix[[#Headers],[5]],FDR[FDR]&amp;FDR[[#Headers],[5]],FDR[5],"",0,1)</f>
        <v>3</v>
      </c>
      <c r="R238" cm="1">
        <f t="array" ref="R238">_xlfn.XLOOKUP(Matrix[[#This Row],[TEAM]]&amp;Matrix[[#Headers],[6]],FDR[FDR]&amp;FDR[[#Headers],[6]],FDR[6],"",0,1)</f>
        <v>1</v>
      </c>
      <c r="S238" cm="1">
        <f t="array" ref="S238">_xlfn.XLOOKUP(Matrix[[#This Row],[TEAM]]&amp;Matrix[[#Headers],[7]],FDR[FDR]&amp;FDR[[#Headers],[7]],FDR[7],"",0,1)</f>
        <v>3</v>
      </c>
      <c r="T238" cm="1">
        <f t="array" ref="T238">_xlfn.XLOOKUP(Matrix[[#This Row],[TEAM]]&amp;Matrix[[#Headers],[8]],FDR[FDR]&amp;FDR[[#Headers],[8]],FDR[8],"",0,1)</f>
        <v>2</v>
      </c>
      <c r="U238" cm="1">
        <f t="array" ref="U238">_xlfn.XLOOKUP(Matrix[[#This Row],[TEAM]]&amp;Matrix[[#Headers],[9]],FDR[FDR]&amp;FDR[[#Headers],[9]],FDR[9],"",0,1)</f>
        <v>1</v>
      </c>
      <c r="V238" cm="1">
        <f t="array" ref="V238">_xlfn.XLOOKUP(Matrix[[#This Row],[TEAM]]&amp;Matrix[[#Headers],[10]],FDR[FDR]&amp;FDR[[#Headers],[10]],FDR[10],"",0,1)</f>
        <v>3</v>
      </c>
      <c r="W238" cm="1">
        <f t="array" ref="W238">_xlfn.XLOOKUP(Matrix[[#This Row],[TEAM]]&amp;Matrix[[#Headers],[11]],FDR[FDR]&amp;FDR[[#Headers],[11]],FDR[11],"",0,1)</f>
        <v>1</v>
      </c>
      <c r="X238" cm="1">
        <f t="array" ref="X238">_xlfn.XLOOKUP(Matrix[[#This Row],[TEAM]]&amp;Matrix[[#Headers],[12]],FDR[FDR]&amp;FDR[[#Headers],[12]],FDR[12],"",0,1)</f>
        <v>1</v>
      </c>
      <c r="Y238" cm="1">
        <f t="array" ref="Y238">_xlfn.XLOOKUP(Matrix[[#This Row],[TEAM]]&amp;Matrix[[#Headers],[13]],FDR[FDR]&amp;FDR[[#Headers],[13]],FDR[13],"",0,1)</f>
        <v>3</v>
      </c>
      <c r="Z238" cm="1">
        <f t="array" ref="Z238">_xlfn.XLOOKUP(Matrix[[#This Row],[TEAM]]&amp;Matrix[[#Headers],[14]],FDR[FDR]&amp;FDR[[#Headers],[14]],FDR[14],"",0,1)</f>
        <v>1</v>
      </c>
      <c r="AA238" cm="1">
        <f t="array" ref="AA238">_xlfn.XLOOKUP(Matrix[[#This Row],[TEAM]]&amp;Matrix[[#Headers],[15]],FDR[FDR]&amp;FDR[[#Headers],[15]],FDR[15],"",0,1)</f>
        <v>2</v>
      </c>
      <c r="AB238" cm="1">
        <f t="array" ref="AB238">_xlfn.XLOOKUP(Matrix[[#This Row],[TEAM]]&amp;Matrix[[#Headers],[16]],FDR[FDR]&amp;FDR[[#Headers],[16]],FDR[16],"",0,1)</f>
        <v>1</v>
      </c>
      <c r="AC238" cm="1">
        <f t="array" ref="AC238">_xlfn.XLOOKUP(Matrix[[#This Row],[TEAM]]&amp;Matrix[[#Headers],[17]],FDR[FDR]&amp;FDR[[#Headers],[17]],FDR[17],"",0,1)</f>
        <v>3</v>
      </c>
      <c r="AD238" cm="1">
        <f t="array" ref="AD238">_xlfn.XLOOKUP(Matrix[[#This Row],[TEAM]]&amp;Matrix[[#Headers],[18]],FDR[FDR]&amp;FDR[[#Headers],[18]],FDR[18],"",0,1)</f>
        <v>2</v>
      </c>
      <c r="AE238" cm="1">
        <f t="array" ref="AE238">_xlfn.XLOOKUP(Matrix[[#This Row],[TEAM]]&amp;Matrix[[#Headers],[19]],FDR[FDR]&amp;FDR[[#Headers],[19]],FDR[19],"",0,1)</f>
        <v>1</v>
      </c>
      <c r="AF238" cm="1">
        <f t="array" ref="AF238">_xlfn.XLOOKUP(Matrix[[#This Row],[TEAM]]&amp;Matrix[[#Headers],[20]],FDR[FDR]&amp;FDR[[#Headers],[20]],FDR[20],"",0,1)</f>
        <v>4</v>
      </c>
      <c r="AG238" cm="1">
        <f t="array" ref="AG238">_xlfn.XLOOKUP(Matrix[[#This Row],[TEAM]]&amp;Matrix[[#Headers],[21]],FDR[FDR]&amp;FDR[[#Headers],[21]],FDR[21],"",0,1)</f>
        <v>2</v>
      </c>
      <c r="AH238" cm="1">
        <f t="array" ref="AH238">_xlfn.XLOOKUP(Matrix[[#This Row],[TEAM]]&amp;Matrix[[#Headers],[22]],FDR[FDR]&amp;FDR[[#Headers],[22]],FDR[22],"",0,1)</f>
        <v>1</v>
      </c>
      <c r="AI238" cm="1">
        <f t="array" ref="AI238">_xlfn.XLOOKUP(Matrix[[#This Row],[TEAM]]&amp;Matrix[[#Headers],[23]],FDR[FDR]&amp;FDR[[#Headers],[23]],FDR[23],"",0,1)</f>
        <v>2</v>
      </c>
      <c r="AJ238" cm="1">
        <f t="array" ref="AJ238">_xlfn.XLOOKUP(Matrix[[#This Row],[TEAM]]&amp;Matrix[[#Headers],[24]],FDR[FDR]&amp;FDR[[#Headers],[24]],FDR[24],"",0,1)</f>
        <v>1</v>
      </c>
      <c r="AK238" cm="1">
        <f t="array" ref="AK238">_xlfn.XLOOKUP(Matrix[[#This Row],[TEAM]]&amp;Matrix[[#Headers],[25]],FDR[FDR]&amp;FDR[[#Headers],[25]],FDR[25],"",0,1)</f>
        <v>1</v>
      </c>
      <c r="AL238" cm="1">
        <f t="array" ref="AL238">_xlfn.XLOOKUP(Matrix[[#This Row],[TEAM]]&amp;Matrix[[#Headers],[26]],FDR[FDR]&amp;FDR[[#Headers],[26]],FDR[26],"",0,1)</f>
        <v>1</v>
      </c>
      <c r="AM238" cm="1">
        <f t="array" ref="AM238">_xlfn.XLOOKUP(Matrix[[#This Row],[TEAM]]&amp;Matrix[[#Headers],[27]],FDR[FDR]&amp;FDR[[#Headers],[27]],FDR[27],"",0,1)</f>
        <v>1</v>
      </c>
      <c r="AN238" cm="1">
        <f t="array" ref="AN238">_xlfn.XLOOKUP(Matrix[[#This Row],[TEAM]]&amp;Matrix[[#Headers],[28]],FDR[FDR]&amp;FDR[[#Headers],[28]],FDR[28],"",0,1)</f>
        <v>4</v>
      </c>
      <c r="AO238" cm="1">
        <f t="array" ref="AO238">_xlfn.XLOOKUP(Matrix[[#This Row],[TEAM]]&amp;Matrix[[#Headers],[29]],FDR[FDR]&amp;FDR[[#Headers],[29]],FDR[29],"",0,1)</f>
        <v>3</v>
      </c>
      <c r="AP238" cm="1">
        <f t="array" ref="AP238">_xlfn.XLOOKUP(Matrix[[#This Row],[TEAM]]&amp;Matrix[[#Headers],[30]],FDR[FDR]&amp;FDR[[#Headers],[30]],FDR[30],"",0,1)</f>
        <v>2</v>
      </c>
      <c r="AQ238" cm="1">
        <f t="array" ref="AQ238">_xlfn.XLOOKUP(Matrix[[#This Row],[TEAM]]&amp;Matrix[[#Headers],[31]],FDR[FDR]&amp;FDR[[#Headers],[31]],FDR[31],"",0,1)</f>
        <v>2</v>
      </c>
      <c r="AR238" cm="1">
        <f t="array" ref="AR238">_xlfn.XLOOKUP(Matrix[[#This Row],[TEAM]]&amp;Matrix[[#Headers],[32]],FDR[FDR]&amp;FDR[[#Headers],[32]],FDR[32],"",0,1)</f>
        <v>3</v>
      </c>
      <c r="AS238" cm="1">
        <f t="array" ref="AS238">_xlfn.XLOOKUP(Matrix[[#This Row],[TEAM]]&amp;Matrix[[#Headers],[33]],FDR[FDR]&amp;FDR[[#Headers],[33]],FDR[33],"",0,1)</f>
        <v>2</v>
      </c>
      <c r="AT238" cm="1">
        <f t="array" ref="AT238">_xlfn.XLOOKUP(Matrix[[#This Row],[TEAM]]&amp;Matrix[[#Headers],[34]],FDR[FDR]&amp;FDR[[#Headers],[34]],FDR[34],"",0,1)</f>
        <v>2</v>
      </c>
      <c r="AU238" cm="1">
        <f t="array" ref="AU238">_xlfn.XLOOKUP(Matrix[[#This Row],[TEAM]]&amp;Matrix[[#Headers],[35]],FDR[FDR]&amp;FDR[[#Headers],[35]],FDR[35],"",0,1)</f>
        <v>1</v>
      </c>
      <c r="AV238" cm="1">
        <f t="array" ref="AV238">_xlfn.XLOOKUP(Matrix[[#This Row],[TEAM]]&amp;Matrix[[#Headers],[36]],FDR[FDR]&amp;FDR[[#Headers],[36]],FDR[36],"",0,1)</f>
        <v>4</v>
      </c>
      <c r="AW238" cm="1">
        <f t="array" ref="AW238">_xlfn.XLOOKUP(Matrix[[#This Row],[TEAM]]&amp;Matrix[[#Headers],[37]],FDR[FDR]&amp;FDR[[#Headers],[37]],FDR[37],"",0,1)</f>
        <v>2</v>
      </c>
      <c r="AX238" cm="1">
        <f t="array" ref="AX238">_xlfn.XLOOKUP(Matrix[[#This Row],[TEAM]]&amp;Matrix[[#Headers],[38]],FDR[FDR]&amp;FDR[[#Headers],[38]],FDR[38],"",0,1)</f>
        <v>1</v>
      </c>
    </row>
    <row r="239" spans="1:50" ht="22" thickTop="1" thickBot="1">
      <c r="A239" s="50" t="str">
        <f>INDEX!S$4</f>
        <v>MID</v>
      </c>
      <c r="B239" s="70" t="s">
        <v>1553</v>
      </c>
      <c r="C239" s="40" t="s">
        <v>43</v>
      </c>
      <c r="D239" s="62">
        <v>10</v>
      </c>
      <c r="E239" s="60">
        <v>1E-3</v>
      </c>
      <c r="F239" s="61">
        <v>20.399999999999999</v>
      </c>
      <c r="G239" s="63">
        <v>5</v>
      </c>
      <c r="H239" s="261">
        <f>IF(ISBLANK(I239),0,1)</f>
        <v>1</v>
      </c>
      <c r="I239" s="57" t="s">
        <v>2004</v>
      </c>
      <c r="J239" s="58" t="s">
        <v>2005</v>
      </c>
      <c r="K239" s="59" t="s">
        <v>203</v>
      </c>
      <c r="L239" s="59" t="s">
        <v>394</v>
      </c>
      <c r="M239" cm="1">
        <f t="array" ref="M239">_xlfn.XLOOKUP(Matrix[[#This Row],[TEAM]]&amp;Matrix[[#Headers],[1]],FDR[FDR]&amp;FDR[[#Headers],[1]],FDR[1],"",0,1)</f>
        <v>5</v>
      </c>
      <c r="N239" cm="1">
        <f t="array" ref="N239">_xlfn.XLOOKUP(Matrix[[#This Row],[TEAM]]&amp;Matrix[[#Headers],[2]],FDR[FDR]&amp;FDR[[#Headers],[2]],FDR[2],"",0,1)</f>
        <v>1</v>
      </c>
      <c r="O239" cm="1">
        <f t="array" ref="O239">_xlfn.XLOOKUP(Matrix[[#This Row],[TEAM]]&amp;Matrix[[#Headers],[3]],FDR[FDR]&amp;FDR[[#Headers],[3]],FDR[3],"",0,1)</f>
        <v>5</v>
      </c>
      <c r="P239" cm="1">
        <f t="array" ref="P239">_xlfn.XLOOKUP(Matrix[[#This Row],[TEAM]]&amp;Matrix[[#Headers],[4]],FDR[FDR]&amp;FDR[[#Headers],[4]],FDR[4],"",0,1)</f>
        <v>3</v>
      </c>
      <c r="Q239" cm="1">
        <f t="array" ref="Q239">_xlfn.XLOOKUP(Matrix[[#This Row],[TEAM]]&amp;Matrix[[#Headers],[5]],FDR[FDR]&amp;FDR[[#Headers],[5]],FDR[5],"",0,1)</f>
        <v>4</v>
      </c>
      <c r="R239" cm="1">
        <f t="array" ref="R239">_xlfn.XLOOKUP(Matrix[[#This Row],[TEAM]]&amp;Matrix[[#Headers],[6]],FDR[FDR]&amp;FDR[[#Headers],[6]],FDR[6],"",0,1)</f>
        <v>2</v>
      </c>
      <c r="S239" cm="1">
        <f t="array" ref="S239">_xlfn.XLOOKUP(Matrix[[#This Row],[TEAM]]&amp;Matrix[[#Headers],[7]],FDR[FDR]&amp;FDR[[#Headers],[7]],FDR[7],"",0,1)</f>
        <v>3</v>
      </c>
      <c r="T239" cm="1">
        <f t="array" ref="T239">_xlfn.XLOOKUP(Matrix[[#This Row],[TEAM]]&amp;Matrix[[#Headers],[8]],FDR[FDR]&amp;FDR[[#Headers],[8]],FDR[8],"",0,1)</f>
        <v>3</v>
      </c>
      <c r="U239" cm="1">
        <f t="array" ref="U239">_xlfn.XLOOKUP(Matrix[[#This Row],[TEAM]]&amp;Matrix[[#Headers],[9]],FDR[FDR]&amp;FDR[[#Headers],[9]],FDR[9],"",0,1)</f>
        <v>3</v>
      </c>
      <c r="V239" cm="1">
        <f t="array" ref="V239">_xlfn.XLOOKUP(Matrix[[#This Row],[TEAM]]&amp;Matrix[[#Headers],[10]],FDR[FDR]&amp;FDR[[#Headers],[10]],FDR[10],"",0,1)</f>
        <v>5</v>
      </c>
      <c r="W239" cm="1">
        <f t="array" ref="W239">_xlfn.XLOOKUP(Matrix[[#This Row],[TEAM]]&amp;Matrix[[#Headers],[11]],FDR[FDR]&amp;FDR[[#Headers],[11]],FDR[11],"",0,1)</f>
        <v>5</v>
      </c>
      <c r="X239" cm="1">
        <f t="array" ref="X239">_xlfn.XLOOKUP(Matrix[[#This Row],[TEAM]]&amp;Matrix[[#Headers],[12]],FDR[FDR]&amp;FDR[[#Headers],[12]],FDR[12],"",0,1)</f>
        <v>2</v>
      </c>
      <c r="Y239" cm="1">
        <f t="array" ref="Y239">_xlfn.XLOOKUP(Matrix[[#This Row],[TEAM]]&amp;Matrix[[#Headers],[13]],FDR[FDR]&amp;FDR[[#Headers],[13]],FDR[13],"",0,1)</f>
        <v>2</v>
      </c>
      <c r="Z239" cm="1">
        <f t="array" ref="Z239">_xlfn.XLOOKUP(Matrix[[#This Row],[TEAM]]&amp;Matrix[[#Headers],[14]],FDR[FDR]&amp;FDR[[#Headers],[14]],FDR[14],"",0,1)</f>
        <v>2</v>
      </c>
      <c r="AA239" cm="1">
        <f t="array" ref="AA239">_xlfn.XLOOKUP(Matrix[[#This Row],[TEAM]]&amp;Matrix[[#Headers],[15]],FDR[FDR]&amp;FDR[[#Headers],[15]],FDR[15],"",0,1)</f>
        <v>4</v>
      </c>
      <c r="AB239" cm="1">
        <f t="array" ref="AB239">_xlfn.XLOOKUP(Matrix[[#This Row],[TEAM]]&amp;Matrix[[#Headers],[16]],FDR[FDR]&amp;FDR[[#Headers],[16]],FDR[16],"",0,1)</f>
        <v>5</v>
      </c>
      <c r="AC239" cm="1">
        <f t="array" ref="AC239">_xlfn.XLOOKUP(Matrix[[#This Row],[TEAM]]&amp;Matrix[[#Headers],[17]],FDR[FDR]&amp;FDR[[#Headers],[17]],FDR[17],"",0,1)</f>
        <v>1</v>
      </c>
      <c r="AD239" cm="1">
        <f t="array" ref="AD239">_xlfn.XLOOKUP(Matrix[[#This Row],[TEAM]]&amp;Matrix[[#Headers],[18]],FDR[FDR]&amp;FDR[[#Headers],[18]],FDR[18],"",0,1)</f>
        <v>3</v>
      </c>
      <c r="AE239" cm="1">
        <f t="array" ref="AE239">_xlfn.XLOOKUP(Matrix[[#This Row],[TEAM]]&amp;Matrix[[#Headers],[19]],FDR[FDR]&amp;FDR[[#Headers],[19]],FDR[19],"",0,1)</f>
        <v>5</v>
      </c>
      <c r="AF239" cm="1">
        <f t="array" ref="AF239">_xlfn.XLOOKUP(Matrix[[#This Row],[TEAM]]&amp;Matrix[[#Headers],[20]],FDR[FDR]&amp;FDR[[#Headers],[20]],FDR[20],"",0,1)</f>
        <v>4</v>
      </c>
      <c r="AG239" cm="1">
        <f t="array" ref="AG239">_xlfn.XLOOKUP(Matrix[[#This Row],[TEAM]]&amp;Matrix[[#Headers],[21]],FDR[FDR]&amp;FDR[[#Headers],[21]],FDR[21],"",0,1)</f>
        <v>4</v>
      </c>
      <c r="AH239" cm="1">
        <f t="array" ref="AH239">_xlfn.XLOOKUP(Matrix[[#This Row],[TEAM]]&amp;Matrix[[#Headers],[22]],FDR[FDR]&amp;FDR[[#Headers],[22]],FDR[22],"",0,1)</f>
        <v>4</v>
      </c>
      <c r="AI239" cm="1">
        <f t="array" ref="AI239">_xlfn.XLOOKUP(Matrix[[#This Row],[TEAM]]&amp;Matrix[[#Headers],[23]],FDR[FDR]&amp;FDR[[#Headers],[23]],FDR[23],"",0,1)</f>
        <v>4</v>
      </c>
      <c r="AJ239" cm="1">
        <f t="array" ref="AJ239">_xlfn.XLOOKUP(Matrix[[#This Row],[TEAM]]&amp;Matrix[[#Headers],[24]],FDR[FDR]&amp;FDR[[#Headers],[24]],FDR[24],"",0,1)</f>
        <v>2</v>
      </c>
      <c r="AK239" cm="1">
        <f t="array" ref="AK239">_xlfn.XLOOKUP(Matrix[[#This Row],[TEAM]]&amp;Matrix[[#Headers],[25]],FDR[FDR]&amp;FDR[[#Headers],[25]],FDR[25],"",0,1)</f>
        <v>3</v>
      </c>
      <c r="AL239" cm="1">
        <f t="array" ref="AL239">_xlfn.XLOOKUP(Matrix[[#This Row],[TEAM]]&amp;Matrix[[#Headers],[26]],FDR[FDR]&amp;FDR[[#Headers],[26]],FDR[26],"",0,1)</f>
        <v>3</v>
      </c>
      <c r="AM239" cm="1">
        <f t="array" ref="AM239">_xlfn.XLOOKUP(Matrix[[#This Row],[TEAM]]&amp;Matrix[[#Headers],[27]],FDR[FDR]&amp;FDR[[#Headers],[27]],FDR[27],"",0,1)</f>
        <v>3</v>
      </c>
      <c r="AN239" cm="1">
        <f t="array" ref="AN239">_xlfn.XLOOKUP(Matrix[[#This Row],[TEAM]]&amp;Matrix[[#Headers],[28]],FDR[FDR]&amp;FDR[[#Headers],[28]],FDR[28],"",0,1)</f>
        <v>1</v>
      </c>
      <c r="AO239" cm="1">
        <f t="array" ref="AO239">_xlfn.XLOOKUP(Matrix[[#This Row],[TEAM]]&amp;Matrix[[#Headers],[29]],FDR[FDR]&amp;FDR[[#Headers],[29]],FDR[29],"",0,1)</f>
        <v>2</v>
      </c>
      <c r="AP239" cm="1">
        <f t="array" ref="AP239">_xlfn.XLOOKUP(Matrix[[#This Row],[TEAM]]&amp;Matrix[[#Headers],[30]],FDR[FDR]&amp;FDR[[#Headers],[30]],FDR[30],"",0,1)</f>
        <v>2</v>
      </c>
      <c r="AQ239" cm="1">
        <f t="array" ref="AQ239">_xlfn.XLOOKUP(Matrix[[#This Row],[TEAM]]&amp;Matrix[[#Headers],[31]],FDR[FDR]&amp;FDR[[#Headers],[31]],FDR[31],"",0,1)</f>
        <v>4</v>
      </c>
      <c r="AR239" cm="1">
        <f t="array" ref="AR239">_xlfn.XLOOKUP(Matrix[[#This Row],[TEAM]]&amp;Matrix[[#Headers],[32]],FDR[FDR]&amp;FDR[[#Headers],[32]],FDR[32],"",0,1)</f>
        <v>5</v>
      </c>
      <c r="AS239" cm="1">
        <f t="array" ref="AS239">_xlfn.XLOOKUP(Matrix[[#This Row],[TEAM]]&amp;Matrix[[#Headers],[33]],FDR[FDR]&amp;FDR[[#Headers],[33]],FDR[33],"",0,1)</f>
        <v>5</v>
      </c>
      <c r="AT239" cm="1">
        <f t="array" ref="AT239">_xlfn.XLOOKUP(Matrix[[#This Row],[TEAM]]&amp;Matrix[[#Headers],[34]],FDR[FDR]&amp;FDR[[#Headers],[34]],FDR[34],"",0,1)</f>
        <v>1</v>
      </c>
      <c r="AU239" cm="1">
        <f t="array" ref="AU239">_xlfn.XLOOKUP(Matrix[[#This Row],[TEAM]]&amp;Matrix[[#Headers],[35]],FDR[FDR]&amp;FDR[[#Headers],[35]],FDR[35],"",0,1)</f>
        <v>2</v>
      </c>
      <c r="AV239" cm="1">
        <f t="array" ref="AV239">_xlfn.XLOOKUP(Matrix[[#This Row],[TEAM]]&amp;Matrix[[#Headers],[36]],FDR[FDR]&amp;FDR[[#Headers],[36]],FDR[36],"",0,1)</f>
        <v>4</v>
      </c>
      <c r="AW239" cm="1">
        <f t="array" ref="AW239">_xlfn.XLOOKUP(Matrix[[#This Row],[TEAM]]&amp;Matrix[[#Headers],[37]],FDR[FDR]&amp;FDR[[#Headers],[37]],FDR[37],"",0,1)</f>
        <v>4</v>
      </c>
      <c r="AX239" cm="1">
        <f t="array" ref="AX239">_xlfn.XLOOKUP(Matrix[[#This Row],[TEAM]]&amp;Matrix[[#Headers],[38]],FDR[FDR]&amp;FDR[[#Headers],[38]],FDR[38],"",0,1)</f>
        <v>4</v>
      </c>
    </row>
    <row r="240" spans="1:50" ht="22" thickTop="1" thickBot="1">
      <c r="A240" s="50" t="str">
        <f>INDEX!S$4</f>
        <v>MID</v>
      </c>
      <c r="B240" s="70" t="s">
        <v>1592</v>
      </c>
      <c r="C240" s="40" t="s">
        <v>19</v>
      </c>
      <c r="D240" s="62">
        <v>9</v>
      </c>
      <c r="E240" s="60">
        <v>1E-3</v>
      </c>
      <c r="F240" s="61">
        <v>0</v>
      </c>
      <c r="G240" s="63">
        <v>5</v>
      </c>
      <c r="H240" s="261">
        <f>IF(ISBLANK(I240),0,1)</f>
        <v>0</v>
      </c>
      <c r="I240" s="57"/>
      <c r="J240" s="58"/>
      <c r="K240" s="59" t="s">
        <v>895</v>
      </c>
      <c r="L240" s="59" t="s">
        <v>252</v>
      </c>
      <c r="M240" cm="1">
        <f t="array" ref="M240">_xlfn.XLOOKUP(Matrix[[#This Row],[TEAM]]&amp;Matrix[[#Headers],[1]],FDR[FDR]&amp;FDR[[#Headers],[1]],FDR[1],"",0,1)</f>
        <v>1</v>
      </c>
      <c r="N240" cm="1">
        <f t="array" ref="N240">_xlfn.XLOOKUP(Matrix[[#This Row],[TEAM]]&amp;Matrix[[#Headers],[2]],FDR[FDR]&amp;FDR[[#Headers],[2]],FDR[2],"",0,1)</f>
        <v>4</v>
      </c>
      <c r="O240" cm="1">
        <f t="array" ref="O240">_xlfn.XLOOKUP(Matrix[[#This Row],[TEAM]]&amp;Matrix[[#Headers],[3]],FDR[FDR]&amp;FDR[[#Headers],[3]],FDR[3],"",0,1)</f>
        <v>1</v>
      </c>
      <c r="P240" cm="1">
        <f t="array" ref="P240">_xlfn.XLOOKUP(Matrix[[#This Row],[TEAM]]&amp;Matrix[[#Headers],[4]],FDR[FDR]&amp;FDR[[#Headers],[4]],FDR[4],"",0,1)</f>
        <v>2</v>
      </c>
      <c r="Q240" cm="1">
        <f t="array" ref="Q240">_xlfn.XLOOKUP(Matrix[[#This Row],[TEAM]]&amp;Matrix[[#Headers],[5]],FDR[FDR]&amp;FDR[[#Headers],[5]],FDR[5],"",0,1)</f>
        <v>2</v>
      </c>
      <c r="R240" cm="1">
        <f t="array" ref="R240">_xlfn.XLOOKUP(Matrix[[#This Row],[TEAM]]&amp;Matrix[[#Headers],[6]],FDR[FDR]&amp;FDR[[#Headers],[6]],FDR[6],"",0,1)</f>
        <v>1</v>
      </c>
      <c r="S240" cm="1">
        <f t="array" ref="S240">_xlfn.XLOOKUP(Matrix[[#This Row],[TEAM]]&amp;Matrix[[#Headers],[7]],FDR[FDR]&amp;FDR[[#Headers],[7]],FDR[7],"",0,1)</f>
        <v>1</v>
      </c>
      <c r="T240" cm="1">
        <f t="array" ref="T240">_xlfn.XLOOKUP(Matrix[[#This Row],[TEAM]]&amp;Matrix[[#Headers],[8]],FDR[FDR]&amp;FDR[[#Headers],[8]],FDR[8],"",0,1)</f>
        <v>2</v>
      </c>
      <c r="U240" cm="1">
        <f t="array" ref="U240">_xlfn.XLOOKUP(Matrix[[#This Row],[TEAM]]&amp;Matrix[[#Headers],[9]],FDR[FDR]&amp;FDR[[#Headers],[9]],FDR[9],"",0,1)</f>
        <v>2</v>
      </c>
      <c r="V240" cm="1">
        <f t="array" ref="V240">_xlfn.XLOOKUP(Matrix[[#This Row],[TEAM]]&amp;Matrix[[#Headers],[10]],FDR[FDR]&amp;FDR[[#Headers],[10]],FDR[10],"",0,1)</f>
        <v>3</v>
      </c>
      <c r="W240" cm="1">
        <f t="array" ref="W240">_xlfn.XLOOKUP(Matrix[[#This Row],[TEAM]]&amp;Matrix[[#Headers],[11]],FDR[FDR]&amp;FDR[[#Headers],[11]],FDR[11],"",0,1)</f>
        <v>3</v>
      </c>
      <c r="X240" cm="1">
        <f t="array" ref="X240">_xlfn.XLOOKUP(Matrix[[#This Row],[TEAM]]&amp;Matrix[[#Headers],[12]],FDR[FDR]&amp;FDR[[#Headers],[12]],FDR[12],"",0,1)</f>
        <v>4</v>
      </c>
      <c r="Y240" cm="1">
        <f t="array" ref="Y240">_xlfn.XLOOKUP(Matrix[[#This Row],[TEAM]]&amp;Matrix[[#Headers],[13]],FDR[FDR]&amp;FDR[[#Headers],[13]],FDR[13],"",0,1)</f>
        <v>1</v>
      </c>
      <c r="Z240" cm="1">
        <f t="array" ref="Z240">_xlfn.XLOOKUP(Matrix[[#This Row],[TEAM]]&amp;Matrix[[#Headers],[14]],FDR[FDR]&amp;FDR[[#Headers],[14]],FDR[14],"",0,1)</f>
        <v>3</v>
      </c>
      <c r="AA240" cm="1">
        <f t="array" ref="AA240">_xlfn.XLOOKUP(Matrix[[#This Row],[TEAM]]&amp;Matrix[[#Headers],[15]],FDR[FDR]&amp;FDR[[#Headers],[15]],FDR[15],"",0,1)</f>
        <v>1</v>
      </c>
      <c r="AB240" cm="1">
        <f t="array" ref="AB240">_xlfn.XLOOKUP(Matrix[[#This Row],[TEAM]]&amp;Matrix[[#Headers],[16]],FDR[FDR]&amp;FDR[[#Headers],[16]],FDR[16],"",0,1)</f>
        <v>2</v>
      </c>
      <c r="AC240" cm="1">
        <f t="array" ref="AC240">_xlfn.XLOOKUP(Matrix[[#This Row],[TEAM]]&amp;Matrix[[#Headers],[17]],FDR[FDR]&amp;FDR[[#Headers],[17]],FDR[17],"",0,1)</f>
        <v>3</v>
      </c>
      <c r="AD240" cm="1">
        <f t="array" ref="AD240">_xlfn.XLOOKUP(Matrix[[#This Row],[TEAM]]&amp;Matrix[[#Headers],[18]],FDR[FDR]&amp;FDR[[#Headers],[18]],FDR[18],"",0,1)</f>
        <v>2</v>
      </c>
      <c r="AE240" cm="1">
        <f t="array" ref="AE240">_xlfn.XLOOKUP(Matrix[[#This Row],[TEAM]]&amp;Matrix[[#Headers],[19]],FDR[FDR]&amp;FDR[[#Headers],[19]],FDR[19],"",0,1)</f>
        <v>2</v>
      </c>
      <c r="AF240" cm="1">
        <f t="array" ref="AF240">_xlfn.XLOOKUP(Matrix[[#This Row],[TEAM]]&amp;Matrix[[#Headers],[20]],FDR[FDR]&amp;FDR[[#Headers],[20]],FDR[20],"",0,1)</f>
        <v>1</v>
      </c>
      <c r="AG240" cm="1">
        <f t="array" ref="AG240">_xlfn.XLOOKUP(Matrix[[#This Row],[TEAM]]&amp;Matrix[[#Headers],[21]],FDR[FDR]&amp;FDR[[#Headers],[21]],FDR[21],"",0,1)</f>
        <v>2</v>
      </c>
      <c r="AH240" cm="1">
        <f t="array" ref="AH240">_xlfn.XLOOKUP(Matrix[[#This Row],[TEAM]]&amp;Matrix[[#Headers],[22]],FDR[FDR]&amp;FDR[[#Headers],[22]],FDR[22],"",0,1)</f>
        <v>1</v>
      </c>
      <c r="AI240" cm="1">
        <f t="array" ref="AI240">_xlfn.XLOOKUP(Matrix[[#This Row],[TEAM]]&amp;Matrix[[#Headers],[23]],FDR[FDR]&amp;FDR[[#Headers],[23]],FDR[23],"",0,1)</f>
        <v>1</v>
      </c>
      <c r="AJ240" cm="1">
        <f t="array" ref="AJ240">_xlfn.XLOOKUP(Matrix[[#This Row],[TEAM]]&amp;Matrix[[#Headers],[24]],FDR[FDR]&amp;FDR[[#Headers],[24]],FDR[24],"",0,1)</f>
        <v>3</v>
      </c>
      <c r="AK240" cm="1">
        <f t="array" ref="AK240">_xlfn.XLOOKUP(Matrix[[#This Row],[TEAM]]&amp;Matrix[[#Headers],[25]],FDR[FDR]&amp;FDR[[#Headers],[25]],FDR[25],"",0,1)</f>
        <v>4</v>
      </c>
      <c r="AL240" cm="1">
        <f t="array" ref="AL240">_xlfn.XLOOKUP(Matrix[[#This Row],[TEAM]]&amp;Matrix[[#Headers],[26]],FDR[FDR]&amp;FDR[[#Headers],[26]],FDR[26],"",0,1)</f>
        <v>2</v>
      </c>
      <c r="AM240" cm="1">
        <f t="array" ref="AM240">_xlfn.XLOOKUP(Matrix[[#This Row],[TEAM]]&amp;Matrix[[#Headers],[27]],FDR[FDR]&amp;FDR[[#Headers],[27]],FDR[27],"",0,1)</f>
        <v>3</v>
      </c>
      <c r="AN240" cm="1">
        <f t="array" ref="AN240">_xlfn.XLOOKUP(Matrix[[#This Row],[TEAM]]&amp;Matrix[[#Headers],[28]],FDR[FDR]&amp;FDR[[#Headers],[28]],FDR[28],"",0,1)</f>
        <v>2</v>
      </c>
      <c r="AO240" cm="1">
        <f t="array" ref="AO240">_xlfn.XLOOKUP(Matrix[[#This Row],[TEAM]]&amp;Matrix[[#Headers],[29]],FDR[FDR]&amp;FDR[[#Headers],[29]],FDR[29],"",0,1)</f>
        <v>1</v>
      </c>
      <c r="AP240" cm="1">
        <f t="array" ref="AP240">_xlfn.XLOOKUP(Matrix[[#This Row],[TEAM]]&amp;Matrix[[#Headers],[30]],FDR[FDR]&amp;FDR[[#Headers],[30]],FDR[30],"",0,1)</f>
        <v>4</v>
      </c>
      <c r="AQ240" cm="1">
        <f t="array" ref="AQ240">_xlfn.XLOOKUP(Matrix[[#This Row],[TEAM]]&amp;Matrix[[#Headers],[31]],FDR[FDR]&amp;FDR[[#Headers],[31]],FDR[31],"",0,1)</f>
        <v>1</v>
      </c>
      <c r="AR240" cm="1">
        <f t="array" ref="AR240">_xlfn.XLOOKUP(Matrix[[#This Row],[TEAM]]&amp;Matrix[[#Headers],[32]],FDR[FDR]&amp;FDR[[#Headers],[32]],FDR[32],"",0,1)</f>
        <v>1</v>
      </c>
      <c r="AS240" cm="1">
        <f t="array" ref="AS240">_xlfn.XLOOKUP(Matrix[[#This Row],[TEAM]]&amp;Matrix[[#Headers],[33]],FDR[FDR]&amp;FDR[[#Headers],[33]],FDR[33],"",0,1)</f>
        <v>1</v>
      </c>
      <c r="AT240" cm="1">
        <f t="array" ref="AT240">_xlfn.XLOOKUP(Matrix[[#This Row],[TEAM]]&amp;Matrix[[#Headers],[34]],FDR[FDR]&amp;FDR[[#Headers],[34]],FDR[34],"",0,1)</f>
        <v>1</v>
      </c>
      <c r="AU240" cm="1">
        <f t="array" ref="AU240">_xlfn.XLOOKUP(Matrix[[#This Row],[TEAM]]&amp;Matrix[[#Headers],[35]],FDR[FDR]&amp;FDR[[#Headers],[35]],FDR[35],"",0,1)</f>
        <v>3</v>
      </c>
      <c r="AV240" cm="1">
        <f t="array" ref="AV240">_xlfn.XLOOKUP(Matrix[[#This Row],[TEAM]]&amp;Matrix[[#Headers],[36]],FDR[FDR]&amp;FDR[[#Headers],[36]],FDR[36],"",0,1)</f>
        <v>1</v>
      </c>
      <c r="AW240" cm="1">
        <f t="array" ref="AW240">_xlfn.XLOOKUP(Matrix[[#This Row],[TEAM]]&amp;Matrix[[#Headers],[37]],FDR[FDR]&amp;FDR[[#Headers],[37]],FDR[37],"",0,1)</f>
        <v>4</v>
      </c>
      <c r="AX240" cm="1">
        <f t="array" ref="AX240">_xlfn.XLOOKUP(Matrix[[#This Row],[TEAM]]&amp;Matrix[[#Headers],[38]],FDR[FDR]&amp;FDR[[#Headers],[38]],FDR[38],"",0,1)</f>
        <v>1</v>
      </c>
    </row>
    <row r="241" spans="1:50" ht="22" thickTop="1" thickBot="1">
      <c r="A241" s="50" t="str">
        <f>INDEX!S$4</f>
        <v>MID</v>
      </c>
      <c r="B241" s="70" t="s">
        <v>1560</v>
      </c>
      <c r="C241" s="40" t="s">
        <v>33</v>
      </c>
      <c r="D241" s="62">
        <v>6</v>
      </c>
      <c r="E241" s="60">
        <v>1E-3</v>
      </c>
      <c r="F241" s="61">
        <v>10.7</v>
      </c>
      <c r="G241" s="63">
        <v>5</v>
      </c>
      <c r="H241" s="261">
        <f>IF(ISBLANK(I241),0,1)</f>
        <v>0</v>
      </c>
      <c r="I241" s="57"/>
      <c r="J241" s="58"/>
      <c r="K241" s="59" t="s">
        <v>111</v>
      </c>
      <c r="L241" s="59" t="s">
        <v>238</v>
      </c>
      <c r="M241" cm="1">
        <f t="array" ref="M241">_xlfn.XLOOKUP(Matrix[[#This Row],[TEAM]]&amp;Matrix[[#Headers],[1]],FDR[FDR]&amp;FDR[[#Headers],[1]],FDR[1],"",0,1)</f>
        <v>3</v>
      </c>
      <c r="N241" cm="1">
        <f t="array" ref="N241">_xlfn.XLOOKUP(Matrix[[#This Row],[TEAM]]&amp;Matrix[[#Headers],[2]],FDR[FDR]&amp;FDR[[#Headers],[2]],FDR[2],"",0,1)</f>
        <v>3</v>
      </c>
      <c r="O241" cm="1">
        <f t="array" ref="O241">_xlfn.XLOOKUP(Matrix[[#This Row],[TEAM]]&amp;Matrix[[#Headers],[3]],FDR[FDR]&amp;FDR[[#Headers],[3]],FDR[3],"",0,1)</f>
        <v>4</v>
      </c>
      <c r="P241" cm="1">
        <f t="array" ref="P241">_xlfn.XLOOKUP(Matrix[[#This Row],[TEAM]]&amp;Matrix[[#Headers],[4]],FDR[FDR]&amp;FDR[[#Headers],[4]],FDR[4],"",0,1)</f>
        <v>4</v>
      </c>
      <c r="Q241" cm="1">
        <f t="array" ref="Q241">_xlfn.XLOOKUP(Matrix[[#This Row],[TEAM]]&amp;Matrix[[#Headers],[5]],FDR[FDR]&amp;FDR[[#Headers],[5]],FDR[5],"",0,1)</f>
        <v>4</v>
      </c>
      <c r="R241" cm="1">
        <f t="array" ref="R241">_xlfn.XLOOKUP(Matrix[[#This Row],[TEAM]]&amp;Matrix[[#Headers],[6]],FDR[FDR]&amp;FDR[[#Headers],[6]],FDR[6],"",0,1)</f>
        <v>5</v>
      </c>
      <c r="S241" cm="1">
        <f t="array" ref="S241">_xlfn.XLOOKUP(Matrix[[#This Row],[TEAM]]&amp;Matrix[[#Headers],[7]],FDR[FDR]&amp;FDR[[#Headers],[7]],FDR[7],"",0,1)</f>
        <v>2</v>
      </c>
      <c r="T241" cm="1">
        <f t="array" ref="T241">_xlfn.XLOOKUP(Matrix[[#This Row],[TEAM]]&amp;Matrix[[#Headers],[8]],FDR[FDR]&amp;FDR[[#Headers],[8]],FDR[8],"",0,1)</f>
        <v>4</v>
      </c>
      <c r="U241" cm="1">
        <f t="array" ref="U241">_xlfn.XLOOKUP(Matrix[[#This Row],[TEAM]]&amp;Matrix[[#Headers],[9]],FDR[FDR]&amp;FDR[[#Headers],[9]],FDR[9],"",0,1)</f>
        <v>5</v>
      </c>
      <c r="V241" cm="1">
        <f t="array" ref="V241">_xlfn.XLOOKUP(Matrix[[#This Row],[TEAM]]&amp;Matrix[[#Headers],[10]],FDR[FDR]&amp;FDR[[#Headers],[10]],FDR[10],"",0,1)</f>
        <v>1</v>
      </c>
      <c r="W241" cm="1">
        <f t="array" ref="W241">_xlfn.XLOOKUP(Matrix[[#This Row],[TEAM]]&amp;Matrix[[#Headers],[11]],FDR[FDR]&amp;FDR[[#Headers],[11]],FDR[11],"",0,1)</f>
        <v>3</v>
      </c>
      <c r="X241" cm="1">
        <f t="array" ref="X241">_xlfn.XLOOKUP(Matrix[[#This Row],[TEAM]]&amp;Matrix[[#Headers],[12]],FDR[FDR]&amp;FDR[[#Headers],[12]],FDR[12],"",0,1)</f>
        <v>2</v>
      </c>
      <c r="Y241" cm="1">
        <f t="array" ref="Y241">_xlfn.XLOOKUP(Matrix[[#This Row],[TEAM]]&amp;Matrix[[#Headers],[13]],FDR[FDR]&amp;FDR[[#Headers],[13]],FDR[13],"",0,1)</f>
        <v>4</v>
      </c>
      <c r="Z241" cm="1">
        <f t="array" ref="Z241">_xlfn.XLOOKUP(Matrix[[#This Row],[TEAM]]&amp;Matrix[[#Headers],[14]],FDR[FDR]&amp;FDR[[#Headers],[14]],FDR[14],"",0,1)</f>
        <v>3</v>
      </c>
      <c r="AA241" cm="1">
        <f t="array" ref="AA241">_xlfn.XLOOKUP(Matrix[[#This Row],[TEAM]]&amp;Matrix[[#Headers],[15]],FDR[FDR]&amp;FDR[[#Headers],[15]],FDR[15],"",0,1)</f>
        <v>2</v>
      </c>
      <c r="AB241" cm="1">
        <f t="array" ref="AB241">_xlfn.XLOOKUP(Matrix[[#This Row],[TEAM]]&amp;Matrix[[#Headers],[16]],FDR[FDR]&amp;FDR[[#Headers],[16]],FDR[16],"",0,1)</f>
        <v>5</v>
      </c>
      <c r="AC241" cm="1">
        <f t="array" ref="AC241">_xlfn.XLOOKUP(Matrix[[#This Row],[TEAM]]&amp;Matrix[[#Headers],[17]],FDR[FDR]&amp;FDR[[#Headers],[17]],FDR[17],"",0,1)</f>
        <v>1</v>
      </c>
      <c r="AD241" cm="1">
        <f t="array" ref="AD241">_xlfn.XLOOKUP(Matrix[[#This Row],[TEAM]]&amp;Matrix[[#Headers],[18]],FDR[FDR]&amp;FDR[[#Headers],[18]],FDR[18],"",0,1)</f>
        <v>5</v>
      </c>
      <c r="AE241" cm="1">
        <f t="array" ref="AE241">_xlfn.XLOOKUP(Matrix[[#This Row],[TEAM]]&amp;Matrix[[#Headers],[19]],FDR[FDR]&amp;FDR[[#Headers],[19]],FDR[19],"",0,1)</f>
        <v>3</v>
      </c>
      <c r="AF241" cm="1">
        <f t="array" ref="AF241">_xlfn.XLOOKUP(Matrix[[#This Row],[TEAM]]&amp;Matrix[[#Headers],[20]],FDR[FDR]&amp;FDR[[#Headers],[20]],FDR[20],"",0,1)</f>
        <v>1</v>
      </c>
      <c r="AG241" cm="1">
        <f t="array" ref="AG241">_xlfn.XLOOKUP(Matrix[[#This Row],[TEAM]]&amp;Matrix[[#Headers],[21]],FDR[FDR]&amp;FDR[[#Headers],[21]],FDR[21],"",0,1)</f>
        <v>5</v>
      </c>
      <c r="AH241" cm="1">
        <f t="array" ref="AH241">_xlfn.XLOOKUP(Matrix[[#This Row],[TEAM]]&amp;Matrix[[#Headers],[22]],FDR[FDR]&amp;FDR[[#Headers],[22]],FDR[22],"",0,1)</f>
        <v>3</v>
      </c>
      <c r="AI241" cm="1">
        <f t="array" ref="AI241">_xlfn.XLOOKUP(Matrix[[#This Row],[TEAM]]&amp;Matrix[[#Headers],[23]],FDR[FDR]&amp;FDR[[#Headers],[23]],FDR[23],"",0,1)</f>
        <v>4</v>
      </c>
      <c r="AJ241" cm="1">
        <f t="array" ref="AJ241">_xlfn.XLOOKUP(Matrix[[#This Row],[TEAM]]&amp;Matrix[[#Headers],[24]],FDR[FDR]&amp;FDR[[#Headers],[24]],FDR[24],"",0,1)</f>
        <v>2</v>
      </c>
      <c r="AK241" cm="1">
        <f t="array" ref="AK241">_xlfn.XLOOKUP(Matrix[[#This Row],[TEAM]]&amp;Matrix[[#Headers],[25]],FDR[FDR]&amp;FDR[[#Headers],[25]],FDR[25],"",0,1)</f>
        <v>2</v>
      </c>
      <c r="AL241" cm="1">
        <f t="array" ref="AL241">_xlfn.XLOOKUP(Matrix[[#This Row],[TEAM]]&amp;Matrix[[#Headers],[26]],FDR[FDR]&amp;FDR[[#Headers],[26]],FDR[26],"",0,1)</f>
        <v>5</v>
      </c>
      <c r="AM241" cm="1">
        <f t="array" ref="AM241">_xlfn.XLOOKUP(Matrix[[#This Row],[TEAM]]&amp;Matrix[[#Headers],[27]],FDR[FDR]&amp;FDR[[#Headers],[27]],FDR[27],"",0,1)</f>
        <v>3</v>
      </c>
      <c r="AN241" cm="1">
        <f t="array" ref="AN241">_xlfn.XLOOKUP(Matrix[[#This Row],[TEAM]]&amp;Matrix[[#Headers],[28]],FDR[FDR]&amp;FDR[[#Headers],[28]],FDR[28],"",0,1)</f>
        <v>3</v>
      </c>
      <c r="AO241" cm="1">
        <f t="array" ref="AO241">_xlfn.XLOOKUP(Matrix[[#This Row],[TEAM]]&amp;Matrix[[#Headers],[29]],FDR[FDR]&amp;FDR[[#Headers],[29]],FDR[29],"",0,1)</f>
        <v>4</v>
      </c>
      <c r="AP241" cm="1">
        <f t="array" ref="AP241">_xlfn.XLOOKUP(Matrix[[#This Row],[TEAM]]&amp;Matrix[[#Headers],[30]],FDR[FDR]&amp;FDR[[#Headers],[30]],FDR[30],"",0,1)</f>
        <v>2</v>
      </c>
      <c r="AQ241" cm="1">
        <f t="array" ref="AQ241">_xlfn.XLOOKUP(Matrix[[#This Row],[TEAM]]&amp;Matrix[[#Headers],[31]],FDR[FDR]&amp;FDR[[#Headers],[31]],FDR[31],"",0,1)</f>
        <v>4</v>
      </c>
      <c r="AR241" cm="1">
        <f t="array" ref="AR241">_xlfn.XLOOKUP(Matrix[[#This Row],[TEAM]]&amp;Matrix[[#Headers],[32]],FDR[FDR]&amp;FDR[[#Headers],[32]],FDR[32],"",0,1)</f>
        <v>2</v>
      </c>
      <c r="AS241" cm="1">
        <f t="array" ref="AS241">_xlfn.XLOOKUP(Matrix[[#This Row],[TEAM]]&amp;Matrix[[#Headers],[33]],FDR[FDR]&amp;FDR[[#Headers],[33]],FDR[33],"",0,1)</f>
        <v>5</v>
      </c>
      <c r="AT241" cm="1">
        <f t="array" ref="AT241">_xlfn.XLOOKUP(Matrix[[#This Row],[TEAM]]&amp;Matrix[[#Headers],[34]],FDR[FDR]&amp;FDR[[#Headers],[34]],FDR[34],"",0,1)</f>
        <v>4</v>
      </c>
      <c r="AU241" cm="1">
        <f t="array" ref="AU241">_xlfn.XLOOKUP(Matrix[[#This Row],[TEAM]]&amp;Matrix[[#Headers],[35]],FDR[FDR]&amp;FDR[[#Headers],[35]],FDR[35],"",0,1)</f>
        <v>5</v>
      </c>
      <c r="AV241" cm="1">
        <f t="array" ref="AV241">_xlfn.XLOOKUP(Matrix[[#This Row],[TEAM]]&amp;Matrix[[#Headers],[36]],FDR[FDR]&amp;FDR[[#Headers],[36]],FDR[36],"",0,1)</f>
        <v>1</v>
      </c>
      <c r="AW241" cm="1">
        <f t="array" ref="AW241">_xlfn.XLOOKUP(Matrix[[#This Row],[TEAM]]&amp;Matrix[[#Headers],[37]],FDR[FDR]&amp;FDR[[#Headers],[37]],FDR[37],"",0,1)</f>
        <v>2</v>
      </c>
      <c r="AX241" cm="1">
        <f t="array" ref="AX241">_xlfn.XLOOKUP(Matrix[[#This Row],[TEAM]]&amp;Matrix[[#Headers],[38]],FDR[FDR]&amp;FDR[[#Headers],[38]],FDR[38],"",0,1)</f>
        <v>4</v>
      </c>
    </row>
    <row r="242" spans="1:50" ht="22" thickTop="1" thickBot="1">
      <c r="A242" s="50" t="str">
        <f>INDEX!S$4</f>
        <v>MID</v>
      </c>
      <c r="B242" s="70" t="s">
        <v>1557</v>
      </c>
      <c r="C242" s="40" t="s">
        <v>21</v>
      </c>
      <c r="D242" s="62">
        <v>2</v>
      </c>
      <c r="E242" s="60">
        <v>1E-3</v>
      </c>
      <c r="F242" s="61">
        <v>0</v>
      </c>
      <c r="G242" s="63">
        <v>5</v>
      </c>
      <c r="H242" s="261">
        <f>IF(ISBLANK(I242),0,1)</f>
        <v>0</v>
      </c>
      <c r="I242" s="57"/>
      <c r="J242" s="58"/>
      <c r="K242" s="59" t="s">
        <v>522</v>
      </c>
      <c r="L242" s="59" t="s">
        <v>242</v>
      </c>
      <c r="M242" cm="1">
        <f t="array" ref="M242">_xlfn.XLOOKUP(Matrix[[#This Row],[TEAM]]&amp;Matrix[[#Headers],[1]],FDR[FDR]&amp;FDR[[#Headers],[1]],FDR[1],"",0,1)</f>
        <v>4</v>
      </c>
      <c r="N242" cm="1">
        <f t="array" ref="N242">_xlfn.XLOOKUP(Matrix[[#This Row],[TEAM]]&amp;Matrix[[#Headers],[2]],FDR[FDR]&amp;FDR[[#Headers],[2]],FDR[2],"",0,1)</f>
        <v>4</v>
      </c>
      <c r="O242" cm="1">
        <f t="array" ref="O242">_xlfn.XLOOKUP(Matrix[[#This Row],[TEAM]]&amp;Matrix[[#Headers],[3]],FDR[FDR]&amp;FDR[[#Headers],[3]],FDR[3],"",0,1)</f>
        <v>2</v>
      </c>
      <c r="P242" cm="1">
        <f t="array" ref="P242">_xlfn.XLOOKUP(Matrix[[#This Row],[TEAM]]&amp;Matrix[[#Headers],[4]],FDR[FDR]&amp;FDR[[#Headers],[4]],FDR[4],"",0,1)</f>
        <v>4</v>
      </c>
      <c r="Q242" cm="1">
        <f t="array" ref="Q242">_xlfn.XLOOKUP(Matrix[[#This Row],[TEAM]]&amp;Matrix[[#Headers],[5]],FDR[FDR]&amp;FDR[[#Headers],[5]],FDR[5],"",0,1)</f>
        <v>4</v>
      </c>
      <c r="R242" cm="1">
        <f t="array" ref="R242">_xlfn.XLOOKUP(Matrix[[#This Row],[TEAM]]&amp;Matrix[[#Headers],[6]],FDR[FDR]&amp;FDR[[#Headers],[6]],FDR[6],"",0,1)</f>
        <v>4</v>
      </c>
      <c r="S242" cm="1">
        <f t="array" ref="S242">_xlfn.XLOOKUP(Matrix[[#This Row],[TEAM]]&amp;Matrix[[#Headers],[7]],FDR[FDR]&amp;FDR[[#Headers],[7]],FDR[7],"",0,1)</f>
        <v>4</v>
      </c>
      <c r="T242" cm="1">
        <f t="array" ref="T242">_xlfn.XLOOKUP(Matrix[[#This Row],[TEAM]]&amp;Matrix[[#Headers],[8]],FDR[FDR]&amp;FDR[[#Headers],[8]],FDR[8],"",0,1)</f>
        <v>4</v>
      </c>
      <c r="U242" cm="1">
        <f t="array" ref="U242">_xlfn.XLOOKUP(Matrix[[#This Row],[TEAM]]&amp;Matrix[[#Headers],[9]],FDR[FDR]&amp;FDR[[#Headers],[9]],FDR[9],"",0,1)</f>
        <v>4</v>
      </c>
      <c r="V242" cm="1">
        <f t="array" ref="V242">_xlfn.XLOOKUP(Matrix[[#This Row],[TEAM]]&amp;Matrix[[#Headers],[10]],FDR[FDR]&amp;FDR[[#Headers],[10]],FDR[10],"",0,1)</f>
        <v>4</v>
      </c>
      <c r="W242" cm="1">
        <f t="array" ref="W242">_xlfn.XLOOKUP(Matrix[[#This Row],[TEAM]]&amp;Matrix[[#Headers],[11]],FDR[FDR]&amp;FDR[[#Headers],[11]],FDR[11],"",0,1)</f>
        <v>4</v>
      </c>
      <c r="X242" cm="1">
        <f t="array" ref="X242">_xlfn.XLOOKUP(Matrix[[#This Row],[TEAM]]&amp;Matrix[[#Headers],[12]],FDR[FDR]&amp;FDR[[#Headers],[12]],FDR[12],"",0,1)</f>
        <v>4</v>
      </c>
      <c r="Y242" cm="1">
        <f t="array" ref="Y242">_xlfn.XLOOKUP(Matrix[[#This Row],[TEAM]]&amp;Matrix[[#Headers],[13]],FDR[FDR]&amp;FDR[[#Headers],[13]],FDR[13],"",0,1)</f>
        <v>1</v>
      </c>
      <c r="Z242" cm="1">
        <f t="array" ref="Z242">_xlfn.XLOOKUP(Matrix[[#This Row],[TEAM]]&amp;Matrix[[#Headers],[14]],FDR[FDR]&amp;FDR[[#Headers],[14]],FDR[14],"",0,1)</f>
        <v>5</v>
      </c>
      <c r="AA242" cm="1">
        <f t="array" ref="AA242">_xlfn.XLOOKUP(Matrix[[#This Row],[TEAM]]&amp;Matrix[[#Headers],[15]],FDR[FDR]&amp;FDR[[#Headers],[15]],FDR[15],"",0,1)</f>
        <v>5</v>
      </c>
      <c r="AB242" cm="1">
        <f t="array" ref="AB242">_xlfn.XLOOKUP(Matrix[[#This Row],[TEAM]]&amp;Matrix[[#Headers],[16]],FDR[FDR]&amp;FDR[[#Headers],[16]],FDR[16],"",0,1)</f>
        <v>1</v>
      </c>
      <c r="AC242" cm="1">
        <f t="array" ref="AC242">_xlfn.XLOOKUP(Matrix[[#This Row],[TEAM]]&amp;Matrix[[#Headers],[17]],FDR[FDR]&amp;FDR[[#Headers],[17]],FDR[17],"",0,1)</f>
        <v>2</v>
      </c>
      <c r="AD242" cm="1">
        <f t="array" ref="AD242">_xlfn.XLOOKUP(Matrix[[#This Row],[TEAM]]&amp;Matrix[[#Headers],[18]],FDR[FDR]&amp;FDR[[#Headers],[18]],FDR[18],"",0,1)</f>
        <v>3</v>
      </c>
      <c r="AE242" cm="1">
        <f t="array" ref="AE242">_xlfn.XLOOKUP(Matrix[[#This Row],[TEAM]]&amp;Matrix[[#Headers],[19]],FDR[FDR]&amp;FDR[[#Headers],[19]],FDR[19],"",0,1)</f>
        <v>4</v>
      </c>
      <c r="AF242" cm="1">
        <f t="array" ref="AF242">_xlfn.XLOOKUP(Matrix[[#This Row],[TEAM]]&amp;Matrix[[#Headers],[20]],FDR[FDR]&amp;FDR[[#Headers],[20]],FDR[20],"",0,1)</f>
        <v>4</v>
      </c>
      <c r="AG242" cm="1">
        <f t="array" ref="AG242">_xlfn.XLOOKUP(Matrix[[#This Row],[TEAM]]&amp;Matrix[[#Headers],[21]],FDR[FDR]&amp;FDR[[#Headers],[21]],FDR[21],"",0,1)</f>
        <v>1</v>
      </c>
      <c r="AH242" cm="1">
        <f t="array" ref="AH242">_xlfn.XLOOKUP(Matrix[[#This Row],[TEAM]]&amp;Matrix[[#Headers],[22]],FDR[FDR]&amp;FDR[[#Headers],[22]],FDR[22],"",0,1)</f>
        <v>5</v>
      </c>
      <c r="AI242" cm="1">
        <f t="array" ref="AI242">_xlfn.XLOOKUP(Matrix[[#This Row],[TEAM]]&amp;Matrix[[#Headers],[23]],FDR[FDR]&amp;FDR[[#Headers],[23]],FDR[23],"",0,1)</f>
        <v>3</v>
      </c>
      <c r="AJ242" cm="1">
        <f t="array" ref="AJ242">_xlfn.XLOOKUP(Matrix[[#This Row],[TEAM]]&amp;Matrix[[#Headers],[24]],FDR[FDR]&amp;FDR[[#Headers],[24]],FDR[24],"",0,1)</f>
        <v>5</v>
      </c>
      <c r="AK242" cm="1">
        <f t="array" ref="AK242">_xlfn.XLOOKUP(Matrix[[#This Row],[TEAM]]&amp;Matrix[[#Headers],[25]],FDR[FDR]&amp;FDR[[#Headers],[25]],FDR[25],"",0,1)</f>
        <v>5</v>
      </c>
      <c r="AL242" cm="1">
        <f t="array" ref="AL242">_xlfn.XLOOKUP(Matrix[[#This Row],[TEAM]]&amp;Matrix[[#Headers],[26]],FDR[FDR]&amp;FDR[[#Headers],[26]],FDR[26],"",0,1)</f>
        <v>4</v>
      </c>
      <c r="AM242" cm="1">
        <f t="array" ref="AM242">_xlfn.XLOOKUP(Matrix[[#This Row],[TEAM]]&amp;Matrix[[#Headers],[27]],FDR[FDR]&amp;FDR[[#Headers],[27]],FDR[27],"",0,1)</f>
        <v>3</v>
      </c>
      <c r="AN242" cm="1">
        <f t="array" ref="AN242">_xlfn.XLOOKUP(Matrix[[#This Row],[TEAM]]&amp;Matrix[[#Headers],[28]],FDR[FDR]&amp;FDR[[#Headers],[28]],FDR[28],"",0,1)</f>
        <v>2</v>
      </c>
      <c r="AO242" cm="1">
        <f t="array" ref="AO242">_xlfn.XLOOKUP(Matrix[[#This Row],[TEAM]]&amp;Matrix[[#Headers],[29]],FDR[FDR]&amp;FDR[[#Headers],[29]],FDR[29],"",0,1)</f>
        <v>4</v>
      </c>
      <c r="AP242" cm="1">
        <f t="array" ref="AP242">_xlfn.XLOOKUP(Matrix[[#This Row],[TEAM]]&amp;Matrix[[#Headers],[30]],FDR[FDR]&amp;FDR[[#Headers],[30]],FDR[30],"",0,1)</f>
        <v>2</v>
      </c>
      <c r="AQ242" cm="1">
        <f t="array" ref="AQ242">_xlfn.XLOOKUP(Matrix[[#This Row],[TEAM]]&amp;Matrix[[#Headers],[31]],FDR[FDR]&amp;FDR[[#Headers],[31]],FDR[31],"",0,1)</f>
        <v>2</v>
      </c>
      <c r="AR242" cm="1">
        <f t="array" ref="AR242">_xlfn.XLOOKUP(Matrix[[#This Row],[TEAM]]&amp;Matrix[[#Headers],[32]],FDR[FDR]&amp;FDR[[#Headers],[32]],FDR[32],"",0,1)</f>
        <v>3</v>
      </c>
      <c r="AS242" cm="1">
        <f t="array" ref="AS242">_xlfn.XLOOKUP(Matrix[[#This Row],[TEAM]]&amp;Matrix[[#Headers],[33]],FDR[FDR]&amp;FDR[[#Headers],[33]],FDR[33],"",0,1)</f>
        <v>3</v>
      </c>
      <c r="AT242" cm="1">
        <f t="array" ref="AT242">_xlfn.XLOOKUP(Matrix[[#This Row],[TEAM]]&amp;Matrix[[#Headers],[34]],FDR[FDR]&amp;FDR[[#Headers],[34]],FDR[34],"",0,1)</f>
        <v>5</v>
      </c>
      <c r="AU242" cm="1">
        <f t="array" ref="AU242">_xlfn.XLOOKUP(Matrix[[#This Row],[TEAM]]&amp;Matrix[[#Headers],[35]],FDR[FDR]&amp;FDR[[#Headers],[35]],FDR[35],"",0,1)</f>
        <v>3</v>
      </c>
      <c r="AV242" cm="1">
        <f t="array" ref="AV242">_xlfn.XLOOKUP(Matrix[[#This Row],[TEAM]]&amp;Matrix[[#Headers],[36]],FDR[FDR]&amp;FDR[[#Headers],[36]],FDR[36],"",0,1)</f>
        <v>5</v>
      </c>
      <c r="AW242" cm="1">
        <f t="array" ref="AW242">_xlfn.XLOOKUP(Matrix[[#This Row],[TEAM]]&amp;Matrix[[#Headers],[37]],FDR[FDR]&amp;FDR[[#Headers],[37]],FDR[37],"",0,1)</f>
        <v>3</v>
      </c>
      <c r="AX242" cm="1">
        <f t="array" ref="AX242">_xlfn.XLOOKUP(Matrix[[#This Row],[TEAM]]&amp;Matrix[[#Headers],[38]],FDR[FDR]&amp;FDR[[#Headers],[38]],FDR[38],"",0,1)</f>
        <v>5</v>
      </c>
    </row>
    <row r="243" spans="1:50" ht="22" thickTop="1" thickBot="1">
      <c r="A243" s="50" t="str">
        <f>INDEX!S$4</f>
        <v>MID</v>
      </c>
      <c r="B243" s="70" t="s">
        <v>1561</v>
      </c>
      <c r="C243" s="40" t="s">
        <v>33</v>
      </c>
      <c r="D243" s="62">
        <v>1</v>
      </c>
      <c r="E243" s="60">
        <v>1E-3</v>
      </c>
      <c r="F243" s="61">
        <v>0.1</v>
      </c>
      <c r="G243" s="63">
        <v>5</v>
      </c>
      <c r="H243" s="261">
        <f>IF(ISBLANK(I243),0,1)</f>
        <v>0</v>
      </c>
      <c r="I243" s="57"/>
      <c r="J243" s="58"/>
      <c r="K243" s="59" t="s">
        <v>547</v>
      </c>
      <c r="L243" s="59" t="s">
        <v>261</v>
      </c>
      <c r="M243" cm="1">
        <f t="array" ref="M243">_xlfn.XLOOKUP(Matrix[[#This Row],[TEAM]]&amp;Matrix[[#Headers],[1]],FDR[FDR]&amp;FDR[[#Headers],[1]],FDR[1],"",0,1)</f>
        <v>3</v>
      </c>
      <c r="N243" cm="1">
        <f t="array" ref="N243">_xlfn.XLOOKUP(Matrix[[#This Row],[TEAM]]&amp;Matrix[[#Headers],[2]],FDR[FDR]&amp;FDR[[#Headers],[2]],FDR[2],"",0,1)</f>
        <v>3</v>
      </c>
      <c r="O243" cm="1">
        <f t="array" ref="O243">_xlfn.XLOOKUP(Matrix[[#This Row],[TEAM]]&amp;Matrix[[#Headers],[3]],FDR[FDR]&amp;FDR[[#Headers],[3]],FDR[3],"",0,1)</f>
        <v>4</v>
      </c>
      <c r="P243" cm="1">
        <f t="array" ref="P243">_xlfn.XLOOKUP(Matrix[[#This Row],[TEAM]]&amp;Matrix[[#Headers],[4]],FDR[FDR]&amp;FDR[[#Headers],[4]],FDR[4],"",0,1)</f>
        <v>4</v>
      </c>
      <c r="Q243" cm="1">
        <f t="array" ref="Q243">_xlfn.XLOOKUP(Matrix[[#This Row],[TEAM]]&amp;Matrix[[#Headers],[5]],FDR[FDR]&amp;FDR[[#Headers],[5]],FDR[5],"",0,1)</f>
        <v>4</v>
      </c>
      <c r="R243" cm="1">
        <f t="array" ref="R243">_xlfn.XLOOKUP(Matrix[[#This Row],[TEAM]]&amp;Matrix[[#Headers],[6]],FDR[FDR]&amp;FDR[[#Headers],[6]],FDR[6],"",0,1)</f>
        <v>5</v>
      </c>
      <c r="S243" cm="1">
        <f t="array" ref="S243">_xlfn.XLOOKUP(Matrix[[#This Row],[TEAM]]&amp;Matrix[[#Headers],[7]],FDR[FDR]&amp;FDR[[#Headers],[7]],FDR[7],"",0,1)</f>
        <v>2</v>
      </c>
      <c r="T243" cm="1">
        <f t="array" ref="T243">_xlfn.XLOOKUP(Matrix[[#This Row],[TEAM]]&amp;Matrix[[#Headers],[8]],FDR[FDR]&amp;FDR[[#Headers],[8]],FDR[8],"",0,1)</f>
        <v>4</v>
      </c>
      <c r="U243" cm="1">
        <f t="array" ref="U243">_xlfn.XLOOKUP(Matrix[[#This Row],[TEAM]]&amp;Matrix[[#Headers],[9]],FDR[FDR]&amp;FDR[[#Headers],[9]],FDR[9],"",0,1)</f>
        <v>5</v>
      </c>
      <c r="V243" cm="1">
        <f t="array" ref="V243">_xlfn.XLOOKUP(Matrix[[#This Row],[TEAM]]&amp;Matrix[[#Headers],[10]],FDR[FDR]&amp;FDR[[#Headers],[10]],FDR[10],"",0,1)</f>
        <v>1</v>
      </c>
      <c r="W243" cm="1">
        <f t="array" ref="W243">_xlfn.XLOOKUP(Matrix[[#This Row],[TEAM]]&amp;Matrix[[#Headers],[11]],FDR[FDR]&amp;FDR[[#Headers],[11]],FDR[11],"",0,1)</f>
        <v>3</v>
      </c>
      <c r="X243" cm="1">
        <f t="array" ref="X243">_xlfn.XLOOKUP(Matrix[[#This Row],[TEAM]]&amp;Matrix[[#Headers],[12]],FDR[FDR]&amp;FDR[[#Headers],[12]],FDR[12],"",0,1)</f>
        <v>2</v>
      </c>
      <c r="Y243" cm="1">
        <f t="array" ref="Y243">_xlfn.XLOOKUP(Matrix[[#This Row],[TEAM]]&amp;Matrix[[#Headers],[13]],FDR[FDR]&amp;FDR[[#Headers],[13]],FDR[13],"",0,1)</f>
        <v>4</v>
      </c>
      <c r="Z243" cm="1">
        <f t="array" ref="Z243">_xlfn.XLOOKUP(Matrix[[#This Row],[TEAM]]&amp;Matrix[[#Headers],[14]],FDR[FDR]&amp;FDR[[#Headers],[14]],FDR[14],"",0,1)</f>
        <v>3</v>
      </c>
      <c r="AA243" cm="1">
        <f t="array" ref="AA243">_xlfn.XLOOKUP(Matrix[[#This Row],[TEAM]]&amp;Matrix[[#Headers],[15]],FDR[FDR]&amp;FDR[[#Headers],[15]],FDR[15],"",0,1)</f>
        <v>2</v>
      </c>
      <c r="AB243" cm="1">
        <f t="array" ref="AB243">_xlfn.XLOOKUP(Matrix[[#This Row],[TEAM]]&amp;Matrix[[#Headers],[16]],FDR[FDR]&amp;FDR[[#Headers],[16]],FDR[16],"",0,1)</f>
        <v>5</v>
      </c>
      <c r="AC243" cm="1">
        <f t="array" ref="AC243">_xlfn.XLOOKUP(Matrix[[#This Row],[TEAM]]&amp;Matrix[[#Headers],[17]],FDR[FDR]&amp;FDR[[#Headers],[17]],FDR[17],"",0,1)</f>
        <v>1</v>
      </c>
      <c r="AD243" cm="1">
        <f t="array" ref="AD243">_xlfn.XLOOKUP(Matrix[[#This Row],[TEAM]]&amp;Matrix[[#Headers],[18]],FDR[FDR]&amp;FDR[[#Headers],[18]],FDR[18],"",0,1)</f>
        <v>5</v>
      </c>
      <c r="AE243" cm="1">
        <f t="array" ref="AE243">_xlfn.XLOOKUP(Matrix[[#This Row],[TEAM]]&amp;Matrix[[#Headers],[19]],FDR[FDR]&amp;FDR[[#Headers],[19]],FDR[19],"",0,1)</f>
        <v>3</v>
      </c>
      <c r="AF243" cm="1">
        <f t="array" ref="AF243">_xlfn.XLOOKUP(Matrix[[#This Row],[TEAM]]&amp;Matrix[[#Headers],[20]],FDR[FDR]&amp;FDR[[#Headers],[20]],FDR[20],"",0,1)</f>
        <v>1</v>
      </c>
      <c r="AG243" cm="1">
        <f t="array" ref="AG243">_xlfn.XLOOKUP(Matrix[[#This Row],[TEAM]]&amp;Matrix[[#Headers],[21]],FDR[FDR]&amp;FDR[[#Headers],[21]],FDR[21],"",0,1)</f>
        <v>5</v>
      </c>
      <c r="AH243" cm="1">
        <f t="array" ref="AH243">_xlfn.XLOOKUP(Matrix[[#This Row],[TEAM]]&amp;Matrix[[#Headers],[22]],FDR[FDR]&amp;FDR[[#Headers],[22]],FDR[22],"",0,1)</f>
        <v>3</v>
      </c>
      <c r="AI243" cm="1">
        <f t="array" ref="AI243">_xlfn.XLOOKUP(Matrix[[#This Row],[TEAM]]&amp;Matrix[[#Headers],[23]],FDR[FDR]&amp;FDR[[#Headers],[23]],FDR[23],"",0,1)</f>
        <v>4</v>
      </c>
      <c r="AJ243" cm="1">
        <f t="array" ref="AJ243">_xlfn.XLOOKUP(Matrix[[#This Row],[TEAM]]&amp;Matrix[[#Headers],[24]],FDR[FDR]&amp;FDR[[#Headers],[24]],FDR[24],"",0,1)</f>
        <v>2</v>
      </c>
      <c r="AK243" cm="1">
        <f t="array" ref="AK243">_xlfn.XLOOKUP(Matrix[[#This Row],[TEAM]]&amp;Matrix[[#Headers],[25]],FDR[FDR]&amp;FDR[[#Headers],[25]],FDR[25],"",0,1)</f>
        <v>2</v>
      </c>
      <c r="AL243" cm="1">
        <f t="array" ref="AL243">_xlfn.XLOOKUP(Matrix[[#This Row],[TEAM]]&amp;Matrix[[#Headers],[26]],FDR[FDR]&amp;FDR[[#Headers],[26]],FDR[26],"",0,1)</f>
        <v>5</v>
      </c>
      <c r="AM243" cm="1">
        <f t="array" ref="AM243">_xlfn.XLOOKUP(Matrix[[#This Row],[TEAM]]&amp;Matrix[[#Headers],[27]],FDR[FDR]&amp;FDR[[#Headers],[27]],FDR[27],"",0,1)</f>
        <v>3</v>
      </c>
      <c r="AN243" cm="1">
        <f t="array" ref="AN243">_xlfn.XLOOKUP(Matrix[[#This Row],[TEAM]]&amp;Matrix[[#Headers],[28]],FDR[FDR]&amp;FDR[[#Headers],[28]],FDR[28],"",0,1)</f>
        <v>3</v>
      </c>
      <c r="AO243" cm="1">
        <f t="array" ref="AO243">_xlfn.XLOOKUP(Matrix[[#This Row],[TEAM]]&amp;Matrix[[#Headers],[29]],FDR[FDR]&amp;FDR[[#Headers],[29]],FDR[29],"",0,1)</f>
        <v>4</v>
      </c>
      <c r="AP243" cm="1">
        <f t="array" ref="AP243">_xlfn.XLOOKUP(Matrix[[#This Row],[TEAM]]&amp;Matrix[[#Headers],[30]],FDR[FDR]&amp;FDR[[#Headers],[30]],FDR[30],"",0,1)</f>
        <v>2</v>
      </c>
      <c r="AQ243" cm="1">
        <f t="array" ref="AQ243">_xlfn.XLOOKUP(Matrix[[#This Row],[TEAM]]&amp;Matrix[[#Headers],[31]],FDR[FDR]&amp;FDR[[#Headers],[31]],FDR[31],"",0,1)</f>
        <v>4</v>
      </c>
      <c r="AR243" cm="1">
        <f t="array" ref="AR243">_xlfn.XLOOKUP(Matrix[[#This Row],[TEAM]]&amp;Matrix[[#Headers],[32]],FDR[FDR]&amp;FDR[[#Headers],[32]],FDR[32],"",0,1)</f>
        <v>2</v>
      </c>
      <c r="AS243" cm="1">
        <f t="array" ref="AS243">_xlfn.XLOOKUP(Matrix[[#This Row],[TEAM]]&amp;Matrix[[#Headers],[33]],FDR[FDR]&amp;FDR[[#Headers],[33]],FDR[33],"",0,1)</f>
        <v>5</v>
      </c>
      <c r="AT243" cm="1">
        <f t="array" ref="AT243">_xlfn.XLOOKUP(Matrix[[#This Row],[TEAM]]&amp;Matrix[[#Headers],[34]],FDR[FDR]&amp;FDR[[#Headers],[34]],FDR[34],"",0,1)</f>
        <v>4</v>
      </c>
      <c r="AU243" cm="1">
        <f t="array" ref="AU243">_xlfn.XLOOKUP(Matrix[[#This Row],[TEAM]]&amp;Matrix[[#Headers],[35]],FDR[FDR]&amp;FDR[[#Headers],[35]],FDR[35],"",0,1)</f>
        <v>5</v>
      </c>
      <c r="AV243" cm="1">
        <f t="array" ref="AV243">_xlfn.XLOOKUP(Matrix[[#This Row],[TEAM]]&amp;Matrix[[#Headers],[36]],FDR[FDR]&amp;FDR[[#Headers],[36]],FDR[36],"",0,1)</f>
        <v>1</v>
      </c>
      <c r="AW243" cm="1">
        <f t="array" ref="AW243">_xlfn.XLOOKUP(Matrix[[#This Row],[TEAM]]&amp;Matrix[[#Headers],[37]],FDR[FDR]&amp;FDR[[#Headers],[37]],FDR[37],"",0,1)</f>
        <v>2</v>
      </c>
      <c r="AX243" cm="1">
        <f t="array" ref="AX243">_xlfn.XLOOKUP(Matrix[[#This Row],[TEAM]]&amp;Matrix[[#Headers],[38]],FDR[FDR]&amp;FDR[[#Headers],[38]],FDR[38],"",0,1)</f>
        <v>4</v>
      </c>
    </row>
    <row r="244" spans="1:50" ht="22" thickTop="1" thickBot="1">
      <c r="A244" s="50" t="str">
        <f>INDEX!S$4</f>
        <v>MID</v>
      </c>
      <c r="B244" s="70" t="s">
        <v>1595</v>
      </c>
      <c r="C244" s="40" t="s">
        <v>27</v>
      </c>
      <c r="D244" s="62">
        <v>1</v>
      </c>
      <c r="E244" s="60">
        <v>1E-3</v>
      </c>
      <c r="F244" s="61">
        <v>2.2000000000000002</v>
      </c>
      <c r="G244" s="63">
        <v>5</v>
      </c>
      <c r="H244" s="261">
        <f>IF(ISBLANK(I244),0,1)</f>
        <v>0</v>
      </c>
      <c r="I244" s="57"/>
      <c r="J244" s="58"/>
      <c r="K244" s="59" t="s">
        <v>549</v>
      </c>
      <c r="L244" s="59" t="s">
        <v>223</v>
      </c>
      <c r="M244" cm="1">
        <f t="array" ref="M244">_xlfn.XLOOKUP(Matrix[[#This Row],[TEAM]]&amp;Matrix[[#Headers],[1]],FDR[FDR]&amp;FDR[[#Headers],[1]],FDR[1],"",0,1)</f>
        <v>2</v>
      </c>
      <c r="N244" cm="1">
        <f t="array" ref="N244">_xlfn.XLOOKUP(Matrix[[#This Row],[TEAM]]&amp;Matrix[[#Headers],[2]],FDR[FDR]&amp;FDR[[#Headers],[2]],FDR[2],"",0,1)</f>
        <v>4</v>
      </c>
      <c r="O244" cm="1">
        <f t="array" ref="O244">_xlfn.XLOOKUP(Matrix[[#This Row],[TEAM]]&amp;Matrix[[#Headers],[3]],FDR[FDR]&amp;FDR[[#Headers],[3]],FDR[3],"",0,1)</f>
        <v>4</v>
      </c>
      <c r="P244" cm="1">
        <f t="array" ref="P244">_xlfn.XLOOKUP(Matrix[[#This Row],[TEAM]]&amp;Matrix[[#Headers],[4]],FDR[FDR]&amp;FDR[[#Headers],[4]],FDR[4],"",0,1)</f>
        <v>4</v>
      </c>
      <c r="Q244" cm="1">
        <f t="array" ref="Q244">_xlfn.XLOOKUP(Matrix[[#This Row],[TEAM]]&amp;Matrix[[#Headers],[5]],FDR[FDR]&amp;FDR[[#Headers],[5]],FDR[5],"",0,1)</f>
        <v>3</v>
      </c>
      <c r="R244" cm="1">
        <f t="array" ref="R244">_xlfn.XLOOKUP(Matrix[[#This Row],[TEAM]]&amp;Matrix[[#Headers],[6]],FDR[FDR]&amp;FDR[[#Headers],[6]],FDR[6],"",0,1)</f>
        <v>4</v>
      </c>
      <c r="S244" cm="1">
        <f t="array" ref="S244">_xlfn.XLOOKUP(Matrix[[#This Row],[TEAM]]&amp;Matrix[[#Headers],[7]],FDR[FDR]&amp;FDR[[#Headers],[7]],FDR[7],"",0,1)</f>
        <v>5</v>
      </c>
      <c r="T244" cm="1">
        <f t="array" ref="T244">_xlfn.XLOOKUP(Matrix[[#This Row],[TEAM]]&amp;Matrix[[#Headers],[8]],FDR[FDR]&amp;FDR[[#Headers],[8]],FDR[8],"",0,1)</f>
        <v>3</v>
      </c>
      <c r="U244" cm="1">
        <f t="array" ref="U244">_xlfn.XLOOKUP(Matrix[[#This Row],[TEAM]]&amp;Matrix[[#Headers],[9]],FDR[FDR]&amp;FDR[[#Headers],[9]],FDR[9],"",0,1)</f>
        <v>2</v>
      </c>
      <c r="V244" cm="1">
        <f t="array" ref="V244">_xlfn.XLOOKUP(Matrix[[#This Row],[TEAM]]&amp;Matrix[[#Headers],[10]],FDR[FDR]&amp;FDR[[#Headers],[10]],FDR[10],"",0,1)</f>
        <v>4</v>
      </c>
      <c r="W244" cm="1">
        <f t="array" ref="W244">_xlfn.XLOOKUP(Matrix[[#This Row],[TEAM]]&amp;Matrix[[#Headers],[11]],FDR[FDR]&amp;FDR[[#Headers],[11]],FDR[11],"",0,1)</f>
        <v>1</v>
      </c>
      <c r="X244" cm="1">
        <f t="array" ref="X244">_xlfn.XLOOKUP(Matrix[[#This Row],[TEAM]]&amp;Matrix[[#Headers],[12]],FDR[FDR]&amp;FDR[[#Headers],[12]],FDR[12],"",0,1)</f>
        <v>4</v>
      </c>
      <c r="Y244" cm="1">
        <f t="array" ref="Y244">_xlfn.XLOOKUP(Matrix[[#This Row],[TEAM]]&amp;Matrix[[#Headers],[13]],FDR[FDR]&amp;FDR[[#Headers],[13]],FDR[13],"",0,1)</f>
        <v>4</v>
      </c>
      <c r="Z244" cm="1">
        <f t="array" ref="Z244">_xlfn.XLOOKUP(Matrix[[#This Row],[TEAM]]&amp;Matrix[[#Headers],[14]],FDR[FDR]&amp;FDR[[#Headers],[14]],FDR[14],"",0,1)</f>
        <v>5</v>
      </c>
      <c r="AA244" cm="1">
        <f t="array" ref="AA244">_xlfn.XLOOKUP(Matrix[[#This Row],[TEAM]]&amp;Matrix[[#Headers],[15]],FDR[FDR]&amp;FDR[[#Headers],[15]],FDR[15],"",0,1)</f>
        <v>4</v>
      </c>
      <c r="AB244" cm="1">
        <f t="array" ref="AB244">_xlfn.XLOOKUP(Matrix[[#This Row],[TEAM]]&amp;Matrix[[#Headers],[16]],FDR[FDR]&amp;FDR[[#Headers],[16]],FDR[16],"",0,1)</f>
        <v>4</v>
      </c>
      <c r="AC244" cm="1">
        <f t="array" ref="AC244">_xlfn.XLOOKUP(Matrix[[#This Row],[TEAM]]&amp;Matrix[[#Headers],[17]],FDR[FDR]&amp;FDR[[#Headers],[17]],FDR[17],"",0,1)</f>
        <v>5</v>
      </c>
      <c r="AD244" cm="1">
        <f t="array" ref="AD244">_xlfn.XLOOKUP(Matrix[[#This Row],[TEAM]]&amp;Matrix[[#Headers],[18]],FDR[FDR]&amp;FDR[[#Headers],[18]],FDR[18],"",0,1)</f>
        <v>3</v>
      </c>
      <c r="AE244" cm="1">
        <f t="array" ref="AE244">_xlfn.XLOOKUP(Matrix[[#This Row],[TEAM]]&amp;Matrix[[#Headers],[19]],FDR[FDR]&amp;FDR[[#Headers],[19]],FDR[19],"",0,1)</f>
        <v>3</v>
      </c>
      <c r="AF244" cm="1">
        <f t="array" ref="AF244">_xlfn.XLOOKUP(Matrix[[#This Row],[TEAM]]&amp;Matrix[[#Headers],[20]],FDR[FDR]&amp;FDR[[#Headers],[20]],FDR[20],"",0,1)</f>
        <v>2</v>
      </c>
      <c r="AG244" cm="1">
        <f t="array" ref="AG244">_xlfn.XLOOKUP(Matrix[[#This Row],[TEAM]]&amp;Matrix[[#Headers],[21]],FDR[FDR]&amp;FDR[[#Headers],[21]],FDR[21],"",0,1)</f>
        <v>3</v>
      </c>
      <c r="AH244" cm="1">
        <f t="array" ref="AH244">_xlfn.XLOOKUP(Matrix[[#This Row],[TEAM]]&amp;Matrix[[#Headers],[22]],FDR[FDR]&amp;FDR[[#Headers],[22]],FDR[22],"",0,1)</f>
        <v>5</v>
      </c>
      <c r="AI244" cm="1">
        <f t="array" ref="AI244">_xlfn.XLOOKUP(Matrix[[#This Row],[TEAM]]&amp;Matrix[[#Headers],[23]],FDR[FDR]&amp;FDR[[#Headers],[23]],FDR[23],"",0,1)</f>
        <v>1</v>
      </c>
      <c r="AJ244" cm="1">
        <f t="array" ref="AJ244">_xlfn.XLOOKUP(Matrix[[#This Row],[TEAM]]&amp;Matrix[[#Headers],[24]],FDR[FDR]&amp;FDR[[#Headers],[24]],FDR[24],"",0,1)</f>
        <v>5</v>
      </c>
      <c r="AK244" cm="1">
        <f t="array" ref="AK244">_xlfn.XLOOKUP(Matrix[[#This Row],[TEAM]]&amp;Matrix[[#Headers],[25]],FDR[FDR]&amp;FDR[[#Headers],[25]],FDR[25],"",0,1)</f>
        <v>2</v>
      </c>
      <c r="AL244" cm="1">
        <f t="array" ref="AL244">_xlfn.XLOOKUP(Matrix[[#This Row],[TEAM]]&amp;Matrix[[#Headers],[26]],FDR[FDR]&amp;FDR[[#Headers],[26]],FDR[26],"",0,1)</f>
        <v>4</v>
      </c>
      <c r="AM244" cm="1">
        <f t="array" ref="AM244">_xlfn.XLOOKUP(Matrix[[#This Row],[TEAM]]&amp;Matrix[[#Headers],[27]],FDR[FDR]&amp;FDR[[#Headers],[27]],FDR[27],"",0,1)</f>
        <v>3</v>
      </c>
      <c r="AN244" cm="1">
        <f t="array" ref="AN244">_xlfn.XLOOKUP(Matrix[[#This Row],[TEAM]]&amp;Matrix[[#Headers],[28]],FDR[FDR]&amp;FDR[[#Headers],[28]],FDR[28],"",0,1)</f>
        <v>5</v>
      </c>
      <c r="AO244" cm="1">
        <f t="array" ref="AO244">_xlfn.XLOOKUP(Matrix[[#This Row],[TEAM]]&amp;Matrix[[#Headers],[29]],FDR[FDR]&amp;FDR[[#Headers],[29]],FDR[29],"",0,1)</f>
        <v>4</v>
      </c>
      <c r="AP244" cm="1">
        <f t="array" ref="AP244">_xlfn.XLOOKUP(Matrix[[#This Row],[TEAM]]&amp;Matrix[[#Headers],[30]],FDR[FDR]&amp;FDR[[#Headers],[30]],FDR[30],"",0,1)</f>
        <v>4</v>
      </c>
      <c r="AQ244" cm="1">
        <f t="array" ref="AQ244">_xlfn.XLOOKUP(Matrix[[#This Row],[TEAM]]&amp;Matrix[[#Headers],[31]],FDR[FDR]&amp;FDR[[#Headers],[31]],FDR[31],"",0,1)</f>
        <v>5</v>
      </c>
      <c r="AR244" cm="1">
        <f t="array" ref="AR244">_xlfn.XLOOKUP(Matrix[[#This Row],[TEAM]]&amp;Matrix[[#Headers],[32]],FDR[FDR]&amp;FDR[[#Headers],[32]],FDR[32],"",0,1)</f>
        <v>2</v>
      </c>
      <c r="AS244" cm="1">
        <f t="array" ref="AS244">_xlfn.XLOOKUP(Matrix[[#This Row],[TEAM]]&amp;Matrix[[#Headers],[33]],FDR[FDR]&amp;FDR[[#Headers],[33]],FDR[33],"",0,1)</f>
        <v>4</v>
      </c>
      <c r="AT244" cm="1">
        <f t="array" ref="AT244">_xlfn.XLOOKUP(Matrix[[#This Row],[TEAM]]&amp;Matrix[[#Headers],[34]],FDR[FDR]&amp;FDR[[#Headers],[34]],FDR[34],"",0,1)</f>
        <v>3</v>
      </c>
      <c r="AU244" cm="1">
        <f t="array" ref="AU244">_xlfn.XLOOKUP(Matrix[[#This Row],[TEAM]]&amp;Matrix[[#Headers],[35]],FDR[FDR]&amp;FDR[[#Headers],[35]],FDR[35],"",0,1)</f>
        <v>4</v>
      </c>
      <c r="AV244" cm="1">
        <f t="array" ref="AV244">_xlfn.XLOOKUP(Matrix[[#This Row],[TEAM]]&amp;Matrix[[#Headers],[36]],FDR[FDR]&amp;FDR[[#Headers],[36]],FDR[36],"",0,1)</f>
        <v>4</v>
      </c>
      <c r="AW244" cm="1">
        <f t="array" ref="AW244">_xlfn.XLOOKUP(Matrix[[#This Row],[TEAM]]&amp;Matrix[[#Headers],[37]],FDR[FDR]&amp;FDR[[#Headers],[37]],FDR[37],"",0,1)</f>
        <v>5</v>
      </c>
      <c r="AX244" cm="1">
        <f t="array" ref="AX244">_xlfn.XLOOKUP(Matrix[[#This Row],[TEAM]]&amp;Matrix[[#Headers],[38]],FDR[FDR]&amp;FDR[[#Headers],[38]],FDR[38],"",0,1)</f>
        <v>1</v>
      </c>
    </row>
    <row r="245" spans="1:50" ht="22" thickTop="1" thickBot="1">
      <c r="A245" s="50" t="str">
        <f>INDEX!S$4</f>
        <v>MID</v>
      </c>
      <c r="B245" s="70" t="s">
        <v>1549</v>
      </c>
      <c r="C245" s="40" t="s">
        <v>28</v>
      </c>
      <c r="D245" s="62">
        <v>0</v>
      </c>
      <c r="E245" s="60">
        <v>1E-3</v>
      </c>
      <c r="F245" s="61">
        <v>0</v>
      </c>
      <c r="G245" s="63">
        <v>5</v>
      </c>
      <c r="H245" s="261">
        <f>IF(ISBLANK(I245),0,1)</f>
        <v>0</v>
      </c>
      <c r="I245" s="57"/>
      <c r="J245" s="58"/>
      <c r="K245" s="59" t="s">
        <v>407</v>
      </c>
      <c r="L245" s="59" t="s">
        <v>814</v>
      </c>
      <c r="M245" cm="1">
        <f t="array" ref="M245">_xlfn.XLOOKUP(Matrix[[#This Row],[TEAM]]&amp;Matrix[[#Headers],[1]],FDR[FDR]&amp;FDR[[#Headers],[1]],FDR[1],"",0,1)</f>
        <v>3</v>
      </c>
      <c r="N245" cm="1">
        <f t="array" ref="N245">_xlfn.XLOOKUP(Matrix[[#This Row],[TEAM]]&amp;Matrix[[#Headers],[2]],FDR[FDR]&amp;FDR[[#Headers],[2]],FDR[2],"",0,1)</f>
        <v>2</v>
      </c>
      <c r="O245" cm="1">
        <f t="array" ref="O245">_xlfn.XLOOKUP(Matrix[[#This Row],[TEAM]]&amp;Matrix[[#Headers],[3]],FDR[FDR]&amp;FDR[[#Headers],[3]],FDR[3],"",0,1)</f>
        <v>1</v>
      </c>
      <c r="P245" cm="1">
        <f t="array" ref="P245">_xlfn.XLOOKUP(Matrix[[#This Row],[TEAM]]&amp;Matrix[[#Headers],[4]],FDR[FDR]&amp;FDR[[#Headers],[4]],FDR[4],"",0,1)</f>
        <v>2</v>
      </c>
      <c r="Q245" cm="1">
        <f t="array" ref="Q245">_xlfn.XLOOKUP(Matrix[[#This Row],[TEAM]]&amp;Matrix[[#Headers],[5]],FDR[FDR]&amp;FDR[[#Headers],[5]],FDR[5],"",0,1)</f>
        <v>1</v>
      </c>
      <c r="R245" cm="1">
        <f t="array" ref="R245">_xlfn.XLOOKUP(Matrix[[#This Row],[TEAM]]&amp;Matrix[[#Headers],[6]],FDR[FDR]&amp;FDR[[#Headers],[6]],FDR[6],"",0,1)</f>
        <v>2</v>
      </c>
      <c r="S245" cm="1">
        <f t="array" ref="S245">_xlfn.XLOOKUP(Matrix[[#This Row],[TEAM]]&amp;Matrix[[#Headers],[7]],FDR[FDR]&amp;FDR[[#Headers],[7]],FDR[7],"",0,1)</f>
        <v>1</v>
      </c>
      <c r="T245" cm="1">
        <f t="array" ref="T245">_xlfn.XLOOKUP(Matrix[[#This Row],[TEAM]]&amp;Matrix[[#Headers],[8]],FDR[FDR]&amp;FDR[[#Headers],[8]],FDR[8],"",0,1)</f>
        <v>4</v>
      </c>
      <c r="U245" cm="1">
        <f t="array" ref="U245">_xlfn.XLOOKUP(Matrix[[#This Row],[TEAM]]&amp;Matrix[[#Headers],[9]],FDR[FDR]&amp;FDR[[#Headers],[9]],FDR[9],"",0,1)</f>
        <v>3</v>
      </c>
      <c r="V245" cm="1">
        <f t="array" ref="V245">_xlfn.XLOOKUP(Matrix[[#This Row],[TEAM]]&amp;Matrix[[#Headers],[10]],FDR[FDR]&amp;FDR[[#Headers],[10]],FDR[10],"",0,1)</f>
        <v>4</v>
      </c>
      <c r="W245" cm="1">
        <f t="array" ref="W245">_xlfn.XLOOKUP(Matrix[[#This Row],[TEAM]]&amp;Matrix[[#Headers],[11]],FDR[FDR]&amp;FDR[[#Headers],[11]],FDR[11],"",0,1)</f>
        <v>2</v>
      </c>
      <c r="X245" cm="1">
        <f t="array" ref="X245">_xlfn.XLOOKUP(Matrix[[#This Row],[TEAM]]&amp;Matrix[[#Headers],[12]],FDR[FDR]&amp;FDR[[#Headers],[12]],FDR[12],"",0,1)</f>
        <v>1</v>
      </c>
      <c r="Y245" cm="1">
        <f t="array" ref="Y245">_xlfn.XLOOKUP(Matrix[[#This Row],[TEAM]]&amp;Matrix[[#Headers],[13]],FDR[FDR]&amp;FDR[[#Headers],[13]],FDR[13],"",0,1)</f>
        <v>1</v>
      </c>
      <c r="Z245" cm="1">
        <f t="array" ref="Z245">_xlfn.XLOOKUP(Matrix[[#This Row],[TEAM]]&amp;Matrix[[#Headers],[14]],FDR[FDR]&amp;FDR[[#Headers],[14]],FDR[14],"",0,1)</f>
        <v>3</v>
      </c>
      <c r="AA245" cm="1">
        <f t="array" ref="AA245">_xlfn.XLOOKUP(Matrix[[#This Row],[TEAM]]&amp;Matrix[[#Headers],[15]],FDR[FDR]&amp;FDR[[#Headers],[15]],FDR[15],"",0,1)</f>
        <v>3</v>
      </c>
      <c r="AB245" cm="1">
        <f t="array" ref="AB245">_xlfn.XLOOKUP(Matrix[[#This Row],[TEAM]]&amp;Matrix[[#Headers],[16]],FDR[FDR]&amp;FDR[[#Headers],[16]],FDR[16],"",0,1)</f>
        <v>2</v>
      </c>
      <c r="AC245" cm="1">
        <f t="array" ref="AC245">_xlfn.XLOOKUP(Matrix[[#This Row],[TEAM]]&amp;Matrix[[#Headers],[17]],FDR[FDR]&amp;FDR[[#Headers],[17]],FDR[17],"",0,1)</f>
        <v>3</v>
      </c>
      <c r="AD245" cm="1">
        <f t="array" ref="AD245">_xlfn.XLOOKUP(Matrix[[#This Row],[TEAM]]&amp;Matrix[[#Headers],[18]],FDR[FDR]&amp;FDR[[#Headers],[18]],FDR[18],"",0,1)</f>
        <v>4</v>
      </c>
      <c r="AE245" cm="1">
        <f t="array" ref="AE245">_xlfn.XLOOKUP(Matrix[[#This Row],[TEAM]]&amp;Matrix[[#Headers],[19]],FDR[FDR]&amp;FDR[[#Headers],[19]],FDR[19],"",0,1)</f>
        <v>4</v>
      </c>
      <c r="AF245" cm="1">
        <f t="array" ref="AF245">_xlfn.XLOOKUP(Matrix[[#This Row],[TEAM]]&amp;Matrix[[#Headers],[20]],FDR[FDR]&amp;FDR[[#Headers],[20]],FDR[20],"",0,1)</f>
        <v>2</v>
      </c>
      <c r="AG245" cm="1">
        <f t="array" ref="AG245">_xlfn.XLOOKUP(Matrix[[#This Row],[TEAM]]&amp;Matrix[[#Headers],[21]],FDR[FDR]&amp;FDR[[#Headers],[21]],FDR[21],"",0,1)</f>
        <v>2</v>
      </c>
      <c r="AH245" cm="1">
        <f t="array" ref="AH245">_xlfn.XLOOKUP(Matrix[[#This Row],[TEAM]]&amp;Matrix[[#Headers],[22]],FDR[FDR]&amp;FDR[[#Headers],[22]],FDR[22],"",0,1)</f>
        <v>1</v>
      </c>
      <c r="AI245" cm="1">
        <f t="array" ref="AI245">_xlfn.XLOOKUP(Matrix[[#This Row],[TEAM]]&amp;Matrix[[#Headers],[23]],FDR[FDR]&amp;FDR[[#Headers],[23]],FDR[23],"",0,1)</f>
        <v>4</v>
      </c>
      <c r="AJ245" cm="1">
        <f t="array" ref="AJ245">_xlfn.XLOOKUP(Matrix[[#This Row],[TEAM]]&amp;Matrix[[#Headers],[24]],FDR[FDR]&amp;FDR[[#Headers],[24]],FDR[24],"",0,1)</f>
        <v>1</v>
      </c>
      <c r="AK245" cm="1">
        <f t="array" ref="AK245">_xlfn.XLOOKUP(Matrix[[#This Row],[TEAM]]&amp;Matrix[[#Headers],[25]],FDR[FDR]&amp;FDR[[#Headers],[25]],FDR[25],"",0,1)</f>
        <v>3</v>
      </c>
      <c r="AL245" cm="1">
        <f t="array" ref="AL245">_xlfn.XLOOKUP(Matrix[[#This Row],[TEAM]]&amp;Matrix[[#Headers],[26]],FDR[FDR]&amp;FDR[[#Headers],[26]],FDR[26],"",0,1)</f>
        <v>2</v>
      </c>
      <c r="AM245" cm="1">
        <f t="array" ref="AM245">_xlfn.XLOOKUP(Matrix[[#This Row],[TEAM]]&amp;Matrix[[#Headers],[27]],FDR[FDR]&amp;FDR[[#Headers],[27]],FDR[27],"",0,1)</f>
        <v>1</v>
      </c>
      <c r="AN245" cm="1">
        <f t="array" ref="AN245">_xlfn.XLOOKUP(Matrix[[#This Row],[TEAM]]&amp;Matrix[[#Headers],[28]],FDR[FDR]&amp;FDR[[#Headers],[28]],FDR[28],"",0,1)</f>
        <v>1</v>
      </c>
      <c r="AO245" cm="1">
        <f t="array" ref="AO245">_xlfn.XLOOKUP(Matrix[[#This Row],[TEAM]]&amp;Matrix[[#Headers],[29]],FDR[FDR]&amp;FDR[[#Headers],[29]],FDR[29],"",0,1)</f>
        <v>3</v>
      </c>
      <c r="AP245" cm="1">
        <f t="array" ref="AP245">_xlfn.XLOOKUP(Matrix[[#This Row],[TEAM]]&amp;Matrix[[#Headers],[30]],FDR[FDR]&amp;FDR[[#Headers],[30]],FDR[30],"",0,1)</f>
        <v>4</v>
      </c>
      <c r="AQ245" cm="1">
        <f t="array" ref="AQ245">_xlfn.XLOOKUP(Matrix[[#This Row],[TEAM]]&amp;Matrix[[#Headers],[31]],FDR[FDR]&amp;FDR[[#Headers],[31]],FDR[31],"",0,1)</f>
        <v>1</v>
      </c>
      <c r="AR245" cm="1">
        <f t="array" ref="AR245">_xlfn.XLOOKUP(Matrix[[#This Row],[TEAM]]&amp;Matrix[[#Headers],[32]],FDR[FDR]&amp;FDR[[#Headers],[32]],FDR[32],"",0,1)</f>
        <v>3</v>
      </c>
      <c r="AS245" cm="1">
        <f t="array" ref="AS245">_xlfn.XLOOKUP(Matrix[[#This Row],[TEAM]]&amp;Matrix[[#Headers],[33]],FDR[FDR]&amp;FDR[[#Headers],[33]],FDR[33],"",0,1)</f>
        <v>1</v>
      </c>
      <c r="AT245" cm="1">
        <f t="array" ref="AT245">_xlfn.XLOOKUP(Matrix[[#This Row],[TEAM]]&amp;Matrix[[#Headers],[34]],FDR[FDR]&amp;FDR[[#Headers],[34]],FDR[34],"",0,1)</f>
        <v>3</v>
      </c>
      <c r="AU245" cm="1">
        <f t="array" ref="AU245">_xlfn.XLOOKUP(Matrix[[#This Row],[TEAM]]&amp;Matrix[[#Headers],[35]],FDR[FDR]&amp;FDR[[#Headers],[35]],FDR[35],"",0,1)</f>
        <v>3</v>
      </c>
      <c r="AV245" cm="1">
        <f t="array" ref="AV245">_xlfn.XLOOKUP(Matrix[[#This Row],[TEAM]]&amp;Matrix[[#Headers],[36]],FDR[FDR]&amp;FDR[[#Headers],[36]],FDR[36],"",0,1)</f>
        <v>1</v>
      </c>
      <c r="AW245" cm="1">
        <f t="array" ref="AW245">_xlfn.XLOOKUP(Matrix[[#This Row],[TEAM]]&amp;Matrix[[#Headers],[37]],FDR[FDR]&amp;FDR[[#Headers],[37]],FDR[37],"",0,1)</f>
        <v>3</v>
      </c>
      <c r="AX245" cm="1">
        <f t="array" ref="AX245">_xlfn.XLOOKUP(Matrix[[#This Row],[TEAM]]&amp;Matrix[[#Headers],[38]],FDR[FDR]&amp;FDR[[#Headers],[38]],FDR[38],"",0,1)</f>
        <v>4</v>
      </c>
    </row>
    <row r="246" spans="1:50" ht="22" thickTop="1" thickBot="1">
      <c r="A246" s="50" t="str">
        <f>INDEX!S$4</f>
        <v>MID</v>
      </c>
      <c r="B246" s="70" t="s">
        <v>1525</v>
      </c>
      <c r="C246" s="40" t="s">
        <v>21</v>
      </c>
      <c r="D246" s="62">
        <v>0</v>
      </c>
      <c r="E246" s="60">
        <v>3.0000000000000001E-3</v>
      </c>
      <c r="F246" s="61">
        <v>0</v>
      </c>
      <c r="G246" s="63">
        <v>5</v>
      </c>
      <c r="H246" s="261">
        <f>IF(ISBLANK(I246),0,1)</f>
        <v>0</v>
      </c>
      <c r="I246" s="57"/>
      <c r="J246" s="58"/>
      <c r="K246" s="59" t="s">
        <v>398</v>
      </c>
      <c r="L246" s="59" t="s">
        <v>83</v>
      </c>
      <c r="M246" cm="1">
        <f t="array" ref="M246">_xlfn.XLOOKUP(Matrix[[#This Row],[TEAM]]&amp;Matrix[[#Headers],[1]],FDR[FDR]&amp;FDR[[#Headers],[1]],FDR[1],"",0,1)</f>
        <v>4</v>
      </c>
      <c r="N246" cm="1">
        <f t="array" ref="N246">_xlfn.XLOOKUP(Matrix[[#This Row],[TEAM]]&amp;Matrix[[#Headers],[2]],FDR[FDR]&amp;FDR[[#Headers],[2]],FDR[2],"",0,1)</f>
        <v>4</v>
      </c>
      <c r="O246" cm="1">
        <f t="array" ref="O246">_xlfn.XLOOKUP(Matrix[[#This Row],[TEAM]]&amp;Matrix[[#Headers],[3]],FDR[FDR]&amp;FDR[[#Headers],[3]],FDR[3],"",0,1)</f>
        <v>2</v>
      </c>
      <c r="P246" cm="1">
        <f t="array" ref="P246">_xlfn.XLOOKUP(Matrix[[#This Row],[TEAM]]&amp;Matrix[[#Headers],[4]],FDR[FDR]&amp;FDR[[#Headers],[4]],FDR[4],"",0,1)</f>
        <v>4</v>
      </c>
      <c r="Q246" cm="1">
        <f t="array" ref="Q246">_xlfn.XLOOKUP(Matrix[[#This Row],[TEAM]]&amp;Matrix[[#Headers],[5]],FDR[FDR]&amp;FDR[[#Headers],[5]],FDR[5],"",0,1)</f>
        <v>4</v>
      </c>
      <c r="R246" cm="1">
        <f t="array" ref="R246">_xlfn.XLOOKUP(Matrix[[#This Row],[TEAM]]&amp;Matrix[[#Headers],[6]],FDR[FDR]&amp;FDR[[#Headers],[6]],FDR[6],"",0,1)</f>
        <v>4</v>
      </c>
      <c r="S246" cm="1">
        <f t="array" ref="S246">_xlfn.XLOOKUP(Matrix[[#This Row],[TEAM]]&amp;Matrix[[#Headers],[7]],FDR[FDR]&amp;FDR[[#Headers],[7]],FDR[7],"",0,1)</f>
        <v>4</v>
      </c>
      <c r="T246" cm="1">
        <f t="array" ref="T246">_xlfn.XLOOKUP(Matrix[[#This Row],[TEAM]]&amp;Matrix[[#Headers],[8]],FDR[FDR]&amp;FDR[[#Headers],[8]],FDR[8],"",0,1)</f>
        <v>4</v>
      </c>
      <c r="U246" cm="1">
        <f t="array" ref="U246">_xlfn.XLOOKUP(Matrix[[#This Row],[TEAM]]&amp;Matrix[[#Headers],[9]],FDR[FDR]&amp;FDR[[#Headers],[9]],FDR[9],"",0,1)</f>
        <v>4</v>
      </c>
      <c r="V246" cm="1">
        <f t="array" ref="V246">_xlfn.XLOOKUP(Matrix[[#This Row],[TEAM]]&amp;Matrix[[#Headers],[10]],FDR[FDR]&amp;FDR[[#Headers],[10]],FDR[10],"",0,1)</f>
        <v>4</v>
      </c>
      <c r="W246" cm="1">
        <f t="array" ref="W246">_xlfn.XLOOKUP(Matrix[[#This Row],[TEAM]]&amp;Matrix[[#Headers],[11]],FDR[FDR]&amp;FDR[[#Headers],[11]],FDR[11],"",0,1)</f>
        <v>4</v>
      </c>
      <c r="X246" cm="1">
        <f t="array" ref="X246">_xlfn.XLOOKUP(Matrix[[#This Row],[TEAM]]&amp;Matrix[[#Headers],[12]],FDR[FDR]&amp;FDR[[#Headers],[12]],FDR[12],"",0,1)</f>
        <v>4</v>
      </c>
      <c r="Y246" cm="1">
        <f t="array" ref="Y246">_xlfn.XLOOKUP(Matrix[[#This Row],[TEAM]]&amp;Matrix[[#Headers],[13]],FDR[FDR]&amp;FDR[[#Headers],[13]],FDR[13],"",0,1)</f>
        <v>1</v>
      </c>
      <c r="Z246" cm="1">
        <f t="array" ref="Z246">_xlfn.XLOOKUP(Matrix[[#This Row],[TEAM]]&amp;Matrix[[#Headers],[14]],FDR[FDR]&amp;FDR[[#Headers],[14]],FDR[14],"",0,1)</f>
        <v>5</v>
      </c>
      <c r="AA246" cm="1">
        <f t="array" ref="AA246">_xlfn.XLOOKUP(Matrix[[#This Row],[TEAM]]&amp;Matrix[[#Headers],[15]],FDR[FDR]&amp;FDR[[#Headers],[15]],FDR[15],"",0,1)</f>
        <v>5</v>
      </c>
      <c r="AB246" cm="1">
        <f t="array" ref="AB246">_xlfn.XLOOKUP(Matrix[[#This Row],[TEAM]]&amp;Matrix[[#Headers],[16]],FDR[FDR]&amp;FDR[[#Headers],[16]],FDR[16],"",0,1)</f>
        <v>1</v>
      </c>
      <c r="AC246" cm="1">
        <f t="array" ref="AC246">_xlfn.XLOOKUP(Matrix[[#This Row],[TEAM]]&amp;Matrix[[#Headers],[17]],FDR[FDR]&amp;FDR[[#Headers],[17]],FDR[17],"",0,1)</f>
        <v>2</v>
      </c>
      <c r="AD246" cm="1">
        <f t="array" ref="AD246">_xlfn.XLOOKUP(Matrix[[#This Row],[TEAM]]&amp;Matrix[[#Headers],[18]],FDR[FDR]&amp;FDR[[#Headers],[18]],FDR[18],"",0,1)</f>
        <v>3</v>
      </c>
      <c r="AE246" cm="1">
        <f t="array" ref="AE246">_xlfn.XLOOKUP(Matrix[[#This Row],[TEAM]]&amp;Matrix[[#Headers],[19]],FDR[FDR]&amp;FDR[[#Headers],[19]],FDR[19],"",0,1)</f>
        <v>4</v>
      </c>
      <c r="AF246" cm="1">
        <f t="array" ref="AF246">_xlfn.XLOOKUP(Matrix[[#This Row],[TEAM]]&amp;Matrix[[#Headers],[20]],FDR[FDR]&amp;FDR[[#Headers],[20]],FDR[20],"",0,1)</f>
        <v>4</v>
      </c>
      <c r="AG246" cm="1">
        <f t="array" ref="AG246">_xlfn.XLOOKUP(Matrix[[#This Row],[TEAM]]&amp;Matrix[[#Headers],[21]],FDR[FDR]&amp;FDR[[#Headers],[21]],FDR[21],"",0,1)</f>
        <v>1</v>
      </c>
      <c r="AH246" cm="1">
        <f t="array" ref="AH246">_xlfn.XLOOKUP(Matrix[[#This Row],[TEAM]]&amp;Matrix[[#Headers],[22]],FDR[FDR]&amp;FDR[[#Headers],[22]],FDR[22],"",0,1)</f>
        <v>5</v>
      </c>
      <c r="AI246" cm="1">
        <f t="array" ref="AI246">_xlfn.XLOOKUP(Matrix[[#This Row],[TEAM]]&amp;Matrix[[#Headers],[23]],FDR[FDR]&amp;FDR[[#Headers],[23]],FDR[23],"",0,1)</f>
        <v>3</v>
      </c>
      <c r="AJ246" cm="1">
        <f t="array" ref="AJ246">_xlfn.XLOOKUP(Matrix[[#This Row],[TEAM]]&amp;Matrix[[#Headers],[24]],FDR[FDR]&amp;FDR[[#Headers],[24]],FDR[24],"",0,1)</f>
        <v>5</v>
      </c>
      <c r="AK246" cm="1">
        <f t="array" ref="AK246">_xlfn.XLOOKUP(Matrix[[#This Row],[TEAM]]&amp;Matrix[[#Headers],[25]],FDR[FDR]&amp;FDR[[#Headers],[25]],FDR[25],"",0,1)</f>
        <v>5</v>
      </c>
      <c r="AL246" cm="1">
        <f t="array" ref="AL246">_xlfn.XLOOKUP(Matrix[[#This Row],[TEAM]]&amp;Matrix[[#Headers],[26]],FDR[FDR]&amp;FDR[[#Headers],[26]],FDR[26],"",0,1)</f>
        <v>4</v>
      </c>
      <c r="AM246" cm="1">
        <f t="array" ref="AM246">_xlfn.XLOOKUP(Matrix[[#This Row],[TEAM]]&amp;Matrix[[#Headers],[27]],FDR[FDR]&amp;FDR[[#Headers],[27]],FDR[27],"",0,1)</f>
        <v>3</v>
      </c>
      <c r="AN246" cm="1">
        <f t="array" ref="AN246">_xlfn.XLOOKUP(Matrix[[#This Row],[TEAM]]&amp;Matrix[[#Headers],[28]],FDR[FDR]&amp;FDR[[#Headers],[28]],FDR[28],"",0,1)</f>
        <v>2</v>
      </c>
      <c r="AO246" cm="1">
        <f t="array" ref="AO246">_xlfn.XLOOKUP(Matrix[[#This Row],[TEAM]]&amp;Matrix[[#Headers],[29]],FDR[FDR]&amp;FDR[[#Headers],[29]],FDR[29],"",0,1)</f>
        <v>4</v>
      </c>
      <c r="AP246" cm="1">
        <f t="array" ref="AP246">_xlfn.XLOOKUP(Matrix[[#This Row],[TEAM]]&amp;Matrix[[#Headers],[30]],FDR[FDR]&amp;FDR[[#Headers],[30]],FDR[30],"",0,1)</f>
        <v>2</v>
      </c>
      <c r="AQ246" cm="1">
        <f t="array" ref="AQ246">_xlfn.XLOOKUP(Matrix[[#This Row],[TEAM]]&amp;Matrix[[#Headers],[31]],FDR[FDR]&amp;FDR[[#Headers],[31]],FDR[31],"",0,1)</f>
        <v>2</v>
      </c>
      <c r="AR246" cm="1">
        <f t="array" ref="AR246">_xlfn.XLOOKUP(Matrix[[#This Row],[TEAM]]&amp;Matrix[[#Headers],[32]],FDR[FDR]&amp;FDR[[#Headers],[32]],FDR[32],"",0,1)</f>
        <v>3</v>
      </c>
      <c r="AS246" cm="1">
        <f t="array" ref="AS246">_xlfn.XLOOKUP(Matrix[[#This Row],[TEAM]]&amp;Matrix[[#Headers],[33]],FDR[FDR]&amp;FDR[[#Headers],[33]],FDR[33],"",0,1)</f>
        <v>3</v>
      </c>
      <c r="AT246" cm="1">
        <f t="array" ref="AT246">_xlfn.XLOOKUP(Matrix[[#This Row],[TEAM]]&amp;Matrix[[#Headers],[34]],FDR[FDR]&amp;FDR[[#Headers],[34]],FDR[34],"",0,1)</f>
        <v>5</v>
      </c>
      <c r="AU246" cm="1">
        <f t="array" ref="AU246">_xlfn.XLOOKUP(Matrix[[#This Row],[TEAM]]&amp;Matrix[[#Headers],[35]],FDR[FDR]&amp;FDR[[#Headers],[35]],FDR[35],"",0,1)</f>
        <v>3</v>
      </c>
      <c r="AV246" cm="1">
        <f t="array" ref="AV246">_xlfn.XLOOKUP(Matrix[[#This Row],[TEAM]]&amp;Matrix[[#Headers],[36]],FDR[FDR]&amp;FDR[[#Headers],[36]],FDR[36],"",0,1)</f>
        <v>5</v>
      </c>
      <c r="AW246" cm="1">
        <f t="array" ref="AW246">_xlfn.XLOOKUP(Matrix[[#This Row],[TEAM]]&amp;Matrix[[#Headers],[37]],FDR[FDR]&amp;FDR[[#Headers],[37]],FDR[37],"",0,1)</f>
        <v>3</v>
      </c>
      <c r="AX246" cm="1">
        <f t="array" ref="AX246">_xlfn.XLOOKUP(Matrix[[#This Row],[TEAM]]&amp;Matrix[[#Headers],[38]],FDR[FDR]&amp;FDR[[#Headers],[38]],FDR[38],"",0,1)</f>
        <v>5</v>
      </c>
    </row>
    <row r="247" spans="1:50" ht="22" thickTop="1" thickBot="1">
      <c r="A247" s="50" t="str">
        <f>INDEX!S$4</f>
        <v>MID</v>
      </c>
      <c r="B247" s="70" t="s">
        <v>1538</v>
      </c>
      <c r="C247" s="40" t="s">
        <v>22</v>
      </c>
      <c r="D247" s="62">
        <v>0</v>
      </c>
      <c r="E247" s="60">
        <v>2E-3</v>
      </c>
      <c r="F247" s="61">
        <v>0</v>
      </c>
      <c r="G247" s="63">
        <v>5</v>
      </c>
      <c r="H247" s="261">
        <f>IF(ISBLANK(I247),0,1)</f>
        <v>0</v>
      </c>
      <c r="I247" s="57"/>
      <c r="J247" s="58"/>
      <c r="K247" s="59" t="s">
        <v>354</v>
      </c>
      <c r="L247" s="59" t="s">
        <v>815</v>
      </c>
      <c r="M247" cm="1">
        <f t="array" ref="M247">_xlfn.XLOOKUP(Matrix[[#This Row],[TEAM]]&amp;Matrix[[#Headers],[1]],FDR[FDR]&amp;FDR[[#Headers],[1]],FDR[1],"",0,1)</f>
        <v>5</v>
      </c>
      <c r="N247" cm="1">
        <f t="array" ref="N247">_xlfn.XLOOKUP(Matrix[[#This Row],[TEAM]]&amp;Matrix[[#Headers],[2]],FDR[FDR]&amp;FDR[[#Headers],[2]],FDR[2],"",0,1)</f>
        <v>3</v>
      </c>
      <c r="O247" cm="1">
        <f t="array" ref="O247">_xlfn.XLOOKUP(Matrix[[#This Row],[TEAM]]&amp;Matrix[[#Headers],[3]],FDR[FDR]&amp;FDR[[#Headers],[3]],FDR[3],"",0,1)</f>
        <v>5</v>
      </c>
      <c r="P247" cm="1">
        <f t="array" ref="P247">_xlfn.XLOOKUP(Matrix[[#This Row],[TEAM]]&amp;Matrix[[#Headers],[4]],FDR[FDR]&amp;FDR[[#Headers],[4]],FDR[4],"",0,1)</f>
        <v>5</v>
      </c>
      <c r="Q247" cm="1">
        <f t="array" ref="Q247">_xlfn.XLOOKUP(Matrix[[#This Row],[TEAM]]&amp;Matrix[[#Headers],[5]],FDR[FDR]&amp;FDR[[#Headers],[5]],FDR[5],"",0,1)</f>
        <v>5</v>
      </c>
      <c r="R247" cm="1">
        <f t="array" ref="R247">_xlfn.XLOOKUP(Matrix[[#This Row],[TEAM]]&amp;Matrix[[#Headers],[6]],FDR[FDR]&amp;FDR[[#Headers],[6]],FDR[6],"",0,1)</f>
        <v>5</v>
      </c>
      <c r="S247" cm="1">
        <f t="array" ref="S247">_xlfn.XLOOKUP(Matrix[[#This Row],[TEAM]]&amp;Matrix[[#Headers],[7]],FDR[FDR]&amp;FDR[[#Headers],[7]],FDR[7],"",0,1)</f>
        <v>5</v>
      </c>
      <c r="T247" cm="1">
        <f t="array" ref="T247">_xlfn.XLOOKUP(Matrix[[#This Row],[TEAM]]&amp;Matrix[[#Headers],[8]],FDR[FDR]&amp;FDR[[#Headers],[8]],FDR[8],"",0,1)</f>
        <v>3</v>
      </c>
      <c r="U247" cm="1">
        <f t="array" ref="U247">_xlfn.XLOOKUP(Matrix[[#This Row],[TEAM]]&amp;Matrix[[#Headers],[9]],FDR[FDR]&amp;FDR[[#Headers],[9]],FDR[9],"",0,1)</f>
        <v>4</v>
      </c>
      <c r="V247" cm="1">
        <f t="array" ref="V247">_xlfn.XLOOKUP(Matrix[[#This Row],[TEAM]]&amp;Matrix[[#Headers],[10]],FDR[FDR]&amp;FDR[[#Headers],[10]],FDR[10],"",0,1)</f>
        <v>5</v>
      </c>
      <c r="W247" cm="1">
        <f t="array" ref="W247">_xlfn.XLOOKUP(Matrix[[#This Row],[TEAM]]&amp;Matrix[[#Headers],[11]],FDR[FDR]&amp;FDR[[#Headers],[11]],FDR[11],"",0,1)</f>
        <v>5</v>
      </c>
      <c r="X247" cm="1">
        <f t="array" ref="X247">_xlfn.XLOOKUP(Matrix[[#This Row],[TEAM]]&amp;Matrix[[#Headers],[12]],FDR[FDR]&amp;FDR[[#Headers],[12]],FDR[12],"",0,1)</f>
        <v>5</v>
      </c>
      <c r="Y247" cm="1">
        <f t="array" ref="Y247">_xlfn.XLOOKUP(Matrix[[#This Row],[TEAM]]&amp;Matrix[[#Headers],[13]],FDR[FDR]&amp;FDR[[#Headers],[13]],FDR[13],"",0,1)</f>
        <v>5</v>
      </c>
      <c r="Z247" cm="1">
        <f t="array" ref="Z247">_xlfn.XLOOKUP(Matrix[[#This Row],[TEAM]]&amp;Matrix[[#Headers],[14]],FDR[FDR]&amp;FDR[[#Headers],[14]],FDR[14],"",0,1)</f>
        <v>4</v>
      </c>
      <c r="AA247" cm="1">
        <f t="array" ref="AA247">_xlfn.XLOOKUP(Matrix[[#This Row],[TEAM]]&amp;Matrix[[#Headers],[15]],FDR[FDR]&amp;FDR[[#Headers],[15]],FDR[15],"",0,1)</f>
        <v>5</v>
      </c>
      <c r="AB247" cm="1">
        <f t="array" ref="AB247">_xlfn.XLOOKUP(Matrix[[#This Row],[TEAM]]&amp;Matrix[[#Headers],[16]],FDR[FDR]&amp;FDR[[#Headers],[16]],FDR[16],"",0,1)</f>
        <v>5</v>
      </c>
      <c r="AC247" cm="1">
        <f t="array" ref="AC247">_xlfn.XLOOKUP(Matrix[[#This Row],[TEAM]]&amp;Matrix[[#Headers],[17]],FDR[FDR]&amp;FDR[[#Headers],[17]],FDR[17],"",0,1)</f>
        <v>5</v>
      </c>
      <c r="AD247" cm="1">
        <f t="array" ref="AD247">_xlfn.XLOOKUP(Matrix[[#This Row],[TEAM]]&amp;Matrix[[#Headers],[18]],FDR[FDR]&amp;FDR[[#Headers],[18]],FDR[18],"",0,1)</f>
        <v>4</v>
      </c>
      <c r="AE247" cm="1">
        <f t="array" ref="AE247">_xlfn.XLOOKUP(Matrix[[#This Row],[TEAM]]&amp;Matrix[[#Headers],[19]],FDR[FDR]&amp;FDR[[#Headers],[19]],FDR[19],"",0,1)</f>
        <v>5</v>
      </c>
      <c r="AF247" cm="1">
        <f t="array" ref="AF247">_xlfn.XLOOKUP(Matrix[[#This Row],[TEAM]]&amp;Matrix[[#Headers],[20]],FDR[FDR]&amp;FDR[[#Headers],[20]],FDR[20],"",0,1)</f>
        <v>5</v>
      </c>
      <c r="AG247" cm="1">
        <f t="array" ref="AG247">_xlfn.XLOOKUP(Matrix[[#This Row],[TEAM]]&amp;Matrix[[#Headers],[21]],FDR[FDR]&amp;FDR[[#Headers],[21]],FDR[21],"",0,1)</f>
        <v>5</v>
      </c>
      <c r="AH247" cm="1">
        <f t="array" ref="AH247">_xlfn.XLOOKUP(Matrix[[#This Row],[TEAM]]&amp;Matrix[[#Headers],[22]],FDR[FDR]&amp;FDR[[#Headers],[22]],FDR[22],"",0,1)</f>
        <v>5</v>
      </c>
      <c r="AI247" cm="1">
        <f t="array" ref="AI247">_xlfn.XLOOKUP(Matrix[[#This Row],[TEAM]]&amp;Matrix[[#Headers],[23]],FDR[FDR]&amp;FDR[[#Headers],[23]],FDR[23],"",0,1)</f>
        <v>5</v>
      </c>
      <c r="AJ247" cm="1">
        <f t="array" ref="AJ247">_xlfn.XLOOKUP(Matrix[[#This Row],[TEAM]]&amp;Matrix[[#Headers],[24]],FDR[FDR]&amp;FDR[[#Headers],[24]],FDR[24],"",0,1)</f>
        <v>4</v>
      </c>
      <c r="AK247" cm="1">
        <f t="array" ref="AK247">_xlfn.XLOOKUP(Matrix[[#This Row],[TEAM]]&amp;Matrix[[#Headers],[25]],FDR[FDR]&amp;FDR[[#Headers],[25]],FDR[25],"",0,1)</f>
        <v>4</v>
      </c>
      <c r="AL247" cm="1">
        <f t="array" ref="AL247">_xlfn.XLOOKUP(Matrix[[#This Row],[TEAM]]&amp;Matrix[[#Headers],[26]],FDR[FDR]&amp;FDR[[#Headers],[26]],FDR[26],"",0,1)</f>
        <v>5</v>
      </c>
      <c r="AM247" cm="1">
        <f t="array" ref="AM247">_xlfn.XLOOKUP(Matrix[[#This Row],[TEAM]]&amp;Matrix[[#Headers],[27]],FDR[FDR]&amp;FDR[[#Headers],[27]],FDR[27],"",0,1)</f>
        <v>5</v>
      </c>
      <c r="AN247" cm="1">
        <f t="array" ref="AN247">_xlfn.XLOOKUP(Matrix[[#This Row],[TEAM]]&amp;Matrix[[#Headers],[28]],FDR[FDR]&amp;FDR[[#Headers],[28]],FDR[28],"",0,1)</f>
        <v>4</v>
      </c>
      <c r="AO247" cm="1">
        <f t="array" ref="AO247">_xlfn.XLOOKUP(Matrix[[#This Row],[TEAM]]&amp;Matrix[[#Headers],[29]],FDR[FDR]&amp;FDR[[#Headers],[29]],FDR[29],"",0,1)</f>
        <v>5</v>
      </c>
      <c r="AP247" cm="1">
        <f t="array" ref="AP247">_xlfn.XLOOKUP(Matrix[[#This Row],[TEAM]]&amp;Matrix[[#Headers],[30]],FDR[FDR]&amp;FDR[[#Headers],[30]],FDR[30],"",0,1)</f>
        <v>5</v>
      </c>
      <c r="AQ247" cm="1">
        <f t="array" ref="AQ247">_xlfn.XLOOKUP(Matrix[[#This Row],[TEAM]]&amp;Matrix[[#Headers],[31]],FDR[FDR]&amp;FDR[[#Headers],[31]],FDR[31],"",0,1)</f>
        <v>5</v>
      </c>
      <c r="AR247" cm="1">
        <f t="array" ref="AR247">_xlfn.XLOOKUP(Matrix[[#This Row],[TEAM]]&amp;Matrix[[#Headers],[32]],FDR[FDR]&amp;FDR[[#Headers],[32]],FDR[32],"",0,1)</f>
        <v>5</v>
      </c>
      <c r="AS247" cm="1">
        <f t="array" ref="AS247">_xlfn.XLOOKUP(Matrix[[#This Row],[TEAM]]&amp;Matrix[[#Headers],[33]],FDR[FDR]&amp;FDR[[#Headers],[33]],FDR[33],"",0,1)</f>
        <v>5</v>
      </c>
      <c r="AT247" cm="1">
        <f t="array" ref="AT247">_xlfn.XLOOKUP(Matrix[[#This Row],[TEAM]]&amp;Matrix[[#Headers],[34]],FDR[FDR]&amp;FDR[[#Headers],[34]],FDR[34],"",0,1)</f>
        <v>5</v>
      </c>
      <c r="AU247" cm="1">
        <f t="array" ref="AU247">_xlfn.XLOOKUP(Matrix[[#This Row],[TEAM]]&amp;Matrix[[#Headers],[35]],FDR[FDR]&amp;FDR[[#Headers],[35]],FDR[35],"",0,1)</f>
        <v>4</v>
      </c>
      <c r="AV247" cm="1">
        <f t="array" ref="AV247">_xlfn.XLOOKUP(Matrix[[#This Row],[TEAM]]&amp;Matrix[[#Headers],[36]],FDR[FDR]&amp;FDR[[#Headers],[36]],FDR[36],"",0,1)</f>
        <v>5</v>
      </c>
      <c r="AW247" cm="1">
        <f t="array" ref="AW247">_xlfn.XLOOKUP(Matrix[[#This Row],[TEAM]]&amp;Matrix[[#Headers],[37]],FDR[FDR]&amp;FDR[[#Headers],[37]],FDR[37],"",0,1)</f>
        <v>5</v>
      </c>
      <c r="AX247" cm="1">
        <f t="array" ref="AX247">_xlfn.XLOOKUP(Matrix[[#This Row],[TEAM]]&amp;Matrix[[#Headers],[38]],FDR[FDR]&amp;FDR[[#Headers],[38]],FDR[38],"",0,1)</f>
        <v>3</v>
      </c>
    </row>
    <row r="248" spans="1:50" ht="22" thickTop="1" thickBot="1">
      <c r="A248" s="50" t="str">
        <f>INDEX!S$4</f>
        <v>MID</v>
      </c>
      <c r="B248" s="70" t="s">
        <v>1537</v>
      </c>
      <c r="C248" s="40" t="s">
        <v>22</v>
      </c>
      <c r="D248" s="62">
        <v>0</v>
      </c>
      <c r="E248" s="60">
        <v>2E-3</v>
      </c>
      <c r="F248" s="61">
        <v>0</v>
      </c>
      <c r="G248" s="63">
        <v>5</v>
      </c>
      <c r="H248" s="261">
        <f>IF(ISBLANK(I248),0,1)</f>
        <v>0</v>
      </c>
      <c r="I248" s="57"/>
      <c r="J248" s="58"/>
      <c r="K248" s="59" t="s">
        <v>600</v>
      </c>
      <c r="L248" s="59" t="s">
        <v>272</v>
      </c>
      <c r="M248" cm="1">
        <f t="array" ref="M248">_xlfn.XLOOKUP(Matrix[[#This Row],[TEAM]]&amp;Matrix[[#Headers],[1]],FDR[FDR]&amp;FDR[[#Headers],[1]],FDR[1],"",0,1)</f>
        <v>5</v>
      </c>
      <c r="N248" cm="1">
        <f t="array" ref="N248">_xlfn.XLOOKUP(Matrix[[#This Row],[TEAM]]&amp;Matrix[[#Headers],[2]],FDR[FDR]&amp;FDR[[#Headers],[2]],FDR[2],"",0,1)</f>
        <v>3</v>
      </c>
      <c r="O248" cm="1">
        <f t="array" ref="O248">_xlfn.XLOOKUP(Matrix[[#This Row],[TEAM]]&amp;Matrix[[#Headers],[3]],FDR[FDR]&amp;FDR[[#Headers],[3]],FDR[3],"",0,1)</f>
        <v>5</v>
      </c>
      <c r="P248" cm="1">
        <f t="array" ref="P248">_xlfn.XLOOKUP(Matrix[[#This Row],[TEAM]]&amp;Matrix[[#Headers],[4]],FDR[FDR]&amp;FDR[[#Headers],[4]],FDR[4],"",0,1)</f>
        <v>5</v>
      </c>
      <c r="Q248" cm="1">
        <f t="array" ref="Q248">_xlfn.XLOOKUP(Matrix[[#This Row],[TEAM]]&amp;Matrix[[#Headers],[5]],FDR[FDR]&amp;FDR[[#Headers],[5]],FDR[5],"",0,1)</f>
        <v>5</v>
      </c>
      <c r="R248" cm="1">
        <f t="array" ref="R248">_xlfn.XLOOKUP(Matrix[[#This Row],[TEAM]]&amp;Matrix[[#Headers],[6]],FDR[FDR]&amp;FDR[[#Headers],[6]],FDR[6],"",0,1)</f>
        <v>5</v>
      </c>
      <c r="S248" cm="1">
        <f t="array" ref="S248">_xlfn.XLOOKUP(Matrix[[#This Row],[TEAM]]&amp;Matrix[[#Headers],[7]],FDR[FDR]&amp;FDR[[#Headers],[7]],FDR[7],"",0,1)</f>
        <v>5</v>
      </c>
      <c r="T248" cm="1">
        <f t="array" ref="T248">_xlfn.XLOOKUP(Matrix[[#This Row],[TEAM]]&amp;Matrix[[#Headers],[8]],FDR[FDR]&amp;FDR[[#Headers],[8]],FDR[8],"",0,1)</f>
        <v>3</v>
      </c>
      <c r="U248" cm="1">
        <f t="array" ref="U248">_xlfn.XLOOKUP(Matrix[[#This Row],[TEAM]]&amp;Matrix[[#Headers],[9]],FDR[FDR]&amp;FDR[[#Headers],[9]],FDR[9],"",0,1)</f>
        <v>4</v>
      </c>
      <c r="V248" cm="1">
        <f t="array" ref="V248">_xlfn.XLOOKUP(Matrix[[#This Row],[TEAM]]&amp;Matrix[[#Headers],[10]],FDR[FDR]&amp;FDR[[#Headers],[10]],FDR[10],"",0,1)</f>
        <v>5</v>
      </c>
      <c r="W248" cm="1">
        <f t="array" ref="W248">_xlfn.XLOOKUP(Matrix[[#This Row],[TEAM]]&amp;Matrix[[#Headers],[11]],FDR[FDR]&amp;FDR[[#Headers],[11]],FDR[11],"",0,1)</f>
        <v>5</v>
      </c>
      <c r="X248" cm="1">
        <f t="array" ref="X248">_xlfn.XLOOKUP(Matrix[[#This Row],[TEAM]]&amp;Matrix[[#Headers],[12]],FDR[FDR]&amp;FDR[[#Headers],[12]],FDR[12],"",0,1)</f>
        <v>5</v>
      </c>
      <c r="Y248" cm="1">
        <f t="array" ref="Y248">_xlfn.XLOOKUP(Matrix[[#This Row],[TEAM]]&amp;Matrix[[#Headers],[13]],FDR[FDR]&amp;FDR[[#Headers],[13]],FDR[13],"",0,1)</f>
        <v>5</v>
      </c>
      <c r="Z248" cm="1">
        <f t="array" ref="Z248">_xlfn.XLOOKUP(Matrix[[#This Row],[TEAM]]&amp;Matrix[[#Headers],[14]],FDR[FDR]&amp;FDR[[#Headers],[14]],FDR[14],"",0,1)</f>
        <v>4</v>
      </c>
      <c r="AA248" cm="1">
        <f t="array" ref="AA248">_xlfn.XLOOKUP(Matrix[[#This Row],[TEAM]]&amp;Matrix[[#Headers],[15]],FDR[FDR]&amp;FDR[[#Headers],[15]],FDR[15],"",0,1)</f>
        <v>5</v>
      </c>
      <c r="AB248" cm="1">
        <f t="array" ref="AB248">_xlfn.XLOOKUP(Matrix[[#This Row],[TEAM]]&amp;Matrix[[#Headers],[16]],FDR[FDR]&amp;FDR[[#Headers],[16]],FDR[16],"",0,1)</f>
        <v>5</v>
      </c>
      <c r="AC248" cm="1">
        <f t="array" ref="AC248">_xlfn.XLOOKUP(Matrix[[#This Row],[TEAM]]&amp;Matrix[[#Headers],[17]],FDR[FDR]&amp;FDR[[#Headers],[17]],FDR[17],"",0,1)</f>
        <v>5</v>
      </c>
      <c r="AD248" cm="1">
        <f t="array" ref="AD248">_xlfn.XLOOKUP(Matrix[[#This Row],[TEAM]]&amp;Matrix[[#Headers],[18]],FDR[FDR]&amp;FDR[[#Headers],[18]],FDR[18],"",0,1)</f>
        <v>4</v>
      </c>
      <c r="AE248" cm="1">
        <f t="array" ref="AE248">_xlfn.XLOOKUP(Matrix[[#This Row],[TEAM]]&amp;Matrix[[#Headers],[19]],FDR[FDR]&amp;FDR[[#Headers],[19]],FDR[19],"",0,1)</f>
        <v>5</v>
      </c>
      <c r="AF248" cm="1">
        <f t="array" ref="AF248">_xlfn.XLOOKUP(Matrix[[#This Row],[TEAM]]&amp;Matrix[[#Headers],[20]],FDR[FDR]&amp;FDR[[#Headers],[20]],FDR[20],"",0,1)</f>
        <v>5</v>
      </c>
      <c r="AG248" cm="1">
        <f t="array" ref="AG248">_xlfn.XLOOKUP(Matrix[[#This Row],[TEAM]]&amp;Matrix[[#Headers],[21]],FDR[FDR]&amp;FDR[[#Headers],[21]],FDR[21],"",0,1)</f>
        <v>5</v>
      </c>
      <c r="AH248" cm="1">
        <f t="array" ref="AH248">_xlfn.XLOOKUP(Matrix[[#This Row],[TEAM]]&amp;Matrix[[#Headers],[22]],FDR[FDR]&amp;FDR[[#Headers],[22]],FDR[22],"",0,1)</f>
        <v>5</v>
      </c>
      <c r="AI248" cm="1">
        <f t="array" ref="AI248">_xlfn.XLOOKUP(Matrix[[#This Row],[TEAM]]&amp;Matrix[[#Headers],[23]],FDR[FDR]&amp;FDR[[#Headers],[23]],FDR[23],"",0,1)</f>
        <v>5</v>
      </c>
      <c r="AJ248" cm="1">
        <f t="array" ref="AJ248">_xlfn.XLOOKUP(Matrix[[#This Row],[TEAM]]&amp;Matrix[[#Headers],[24]],FDR[FDR]&amp;FDR[[#Headers],[24]],FDR[24],"",0,1)</f>
        <v>4</v>
      </c>
      <c r="AK248" cm="1">
        <f t="array" ref="AK248">_xlfn.XLOOKUP(Matrix[[#This Row],[TEAM]]&amp;Matrix[[#Headers],[25]],FDR[FDR]&amp;FDR[[#Headers],[25]],FDR[25],"",0,1)</f>
        <v>4</v>
      </c>
      <c r="AL248" cm="1">
        <f t="array" ref="AL248">_xlfn.XLOOKUP(Matrix[[#This Row],[TEAM]]&amp;Matrix[[#Headers],[26]],FDR[FDR]&amp;FDR[[#Headers],[26]],FDR[26],"",0,1)</f>
        <v>5</v>
      </c>
      <c r="AM248" cm="1">
        <f t="array" ref="AM248">_xlfn.XLOOKUP(Matrix[[#This Row],[TEAM]]&amp;Matrix[[#Headers],[27]],FDR[FDR]&amp;FDR[[#Headers],[27]],FDR[27],"",0,1)</f>
        <v>5</v>
      </c>
      <c r="AN248" cm="1">
        <f t="array" ref="AN248">_xlfn.XLOOKUP(Matrix[[#This Row],[TEAM]]&amp;Matrix[[#Headers],[28]],FDR[FDR]&amp;FDR[[#Headers],[28]],FDR[28],"",0,1)</f>
        <v>4</v>
      </c>
      <c r="AO248" cm="1">
        <f t="array" ref="AO248">_xlfn.XLOOKUP(Matrix[[#This Row],[TEAM]]&amp;Matrix[[#Headers],[29]],FDR[FDR]&amp;FDR[[#Headers],[29]],FDR[29],"",0,1)</f>
        <v>5</v>
      </c>
      <c r="AP248" cm="1">
        <f t="array" ref="AP248">_xlfn.XLOOKUP(Matrix[[#This Row],[TEAM]]&amp;Matrix[[#Headers],[30]],FDR[FDR]&amp;FDR[[#Headers],[30]],FDR[30],"",0,1)</f>
        <v>5</v>
      </c>
      <c r="AQ248" cm="1">
        <f t="array" ref="AQ248">_xlfn.XLOOKUP(Matrix[[#This Row],[TEAM]]&amp;Matrix[[#Headers],[31]],FDR[FDR]&amp;FDR[[#Headers],[31]],FDR[31],"",0,1)</f>
        <v>5</v>
      </c>
      <c r="AR248" cm="1">
        <f t="array" ref="AR248">_xlfn.XLOOKUP(Matrix[[#This Row],[TEAM]]&amp;Matrix[[#Headers],[32]],FDR[FDR]&amp;FDR[[#Headers],[32]],FDR[32],"",0,1)</f>
        <v>5</v>
      </c>
      <c r="AS248" cm="1">
        <f t="array" ref="AS248">_xlfn.XLOOKUP(Matrix[[#This Row],[TEAM]]&amp;Matrix[[#Headers],[33]],FDR[FDR]&amp;FDR[[#Headers],[33]],FDR[33],"",0,1)</f>
        <v>5</v>
      </c>
      <c r="AT248" cm="1">
        <f t="array" ref="AT248">_xlfn.XLOOKUP(Matrix[[#This Row],[TEAM]]&amp;Matrix[[#Headers],[34]],FDR[FDR]&amp;FDR[[#Headers],[34]],FDR[34],"",0,1)</f>
        <v>5</v>
      </c>
      <c r="AU248" cm="1">
        <f t="array" ref="AU248">_xlfn.XLOOKUP(Matrix[[#This Row],[TEAM]]&amp;Matrix[[#Headers],[35]],FDR[FDR]&amp;FDR[[#Headers],[35]],FDR[35],"",0,1)</f>
        <v>4</v>
      </c>
      <c r="AV248" cm="1">
        <f t="array" ref="AV248">_xlfn.XLOOKUP(Matrix[[#This Row],[TEAM]]&amp;Matrix[[#Headers],[36]],FDR[FDR]&amp;FDR[[#Headers],[36]],FDR[36],"",0,1)</f>
        <v>5</v>
      </c>
      <c r="AW248" cm="1">
        <f t="array" ref="AW248">_xlfn.XLOOKUP(Matrix[[#This Row],[TEAM]]&amp;Matrix[[#Headers],[37]],FDR[FDR]&amp;FDR[[#Headers],[37]],FDR[37],"",0,1)</f>
        <v>5</v>
      </c>
      <c r="AX248" cm="1">
        <f t="array" ref="AX248">_xlfn.XLOOKUP(Matrix[[#This Row],[TEAM]]&amp;Matrix[[#Headers],[38]],FDR[FDR]&amp;FDR[[#Headers],[38]],FDR[38],"",0,1)</f>
        <v>3</v>
      </c>
    </row>
    <row r="249" spans="1:50" ht="22" thickTop="1" thickBot="1">
      <c r="A249" s="50" t="str">
        <f>INDEX!S$4</f>
        <v>MID</v>
      </c>
      <c r="B249" s="70" t="s">
        <v>1564</v>
      </c>
      <c r="C249" s="40" t="s">
        <v>22</v>
      </c>
      <c r="D249" s="62">
        <v>0</v>
      </c>
      <c r="E249" s="60">
        <v>1E-3</v>
      </c>
      <c r="F249" s="61">
        <v>0</v>
      </c>
      <c r="G249" s="63">
        <v>5</v>
      </c>
      <c r="H249" s="261">
        <f>IF(ISBLANK(I249),0,1)</f>
        <v>0</v>
      </c>
      <c r="I249" s="57"/>
      <c r="J249" s="58"/>
      <c r="K249" s="59" t="s">
        <v>1029</v>
      </c>
      <c r="L249" s="59" t="s">
        <v>1030</v>
      </c>
      <c r="M249" cm="1">
        <f t="array" ref="M249">_xlfn.XLOOKUP(Matrix[[#This Row],[TEAM]]&amp;Matrix[[#Headers],[1]],FDR[FDR]&amp;FDR[[#Headers],[1]],FDR[1],"",0,1)</f>
        <v>5</v>
      </c>
      <c r="N249" cm="1">
        <f t="array" ref="N249">_xlfn.XLOOKUP(Matrix[[#This Row],[TEAM]]&amp;Matrix[[#Headers],[2]],FDR[FDR]&amp;FDR[[#Headers],[2]],FDR[2],"",0,1)</f>
        <v>3</v>
      </c>
      <c r="O249" cm="1">
        <f t="array" ref="O249">_xlfn.XLOOKUP(Matrix[[#This Row],[TEAM]]&amp;Matrix[[#Headers],[3]],FDR[FDR]&amp;FDR[[#Headers],[3]],FDR[3],"",0,1)</f>
        <v>5</v>
      </c>
      <c r="P249" cm="1">
        <f t="array" ref="P249">_xlfn.XLOOKUP(Matrix[[#This Row],[TEAM]]&amp;Matrix[[#Headers],[4]],FDR[FDR]&amp;FDR[[#Headers],[4]],FDR[4],"",0,1)</f>
        <v>5</v>
      </c>
      <c r="Q249" cm="1">
        <f t="array" ref="Q249">_xlfn.XLOOKUP(Matrix[[#This Row],[TEAM]]&amp;Matrix[[#Headers],[5]],FDR[FDR]&amp;FDR[[#Headers],[5]],FDR[5],"",0,1)</f>
        <v>5</v>
      </c>
      <c r="R249" cm="1">
        <f t="array" ref="R249">_xlfn.XLOOKUP(Matrix[[#This Row],[TEAM]]&amp;Matrix[[#Headers],[6]],FDR[FDR]&amp;FDR[[#Headers],[6]],FDR[6],"",0,1)</f>
        <v>5</v>
      </c>
      <c r="S249" cm="1">
        <f t="array" ref="S249">_xlfn.XLOOKUP(Matrix[[#This Row],[TEAM]]&amp;Matrix[[#Headers],[7]],FDR[FDR]&amp;FDR[[#Headers],[7]],FDR[7],"",0,1)</f>
        <v>5</v>
      </c>
      <c r="T249" cm="1">
        <f t="array" ref="T249">_xlfn.XLOOKUP(Matrix[[#This Row],[TEAM]]&amp;Matrix[[#Headers],[8]],FDR[FDR]&amp;FDR[[#Headers],[8]],FDR[8],"",0,1)</f>
        <v>3</v>
      </c>
      <c r="U249" cm="1">
        <f t="array" ref="U249">_xlfn.XLOOKUP(Matrix[[#This Row],[TEAM]]&amp;Matrix[[#Headers],[9]],FDR[FDR]&amp;FDR[[#Headers],[9]],FDR[9],"",0,1)</f>
        <v>4</v>
      </c>
      <c r="V249" cm="1">
        <f t="array" ref="V249">_xlfn.XLOOKUP(Matrix[[#This Row],[TEAM]]&amp;Matrix[[#Headers],[10]],FDR[FDR]&amp;FDR[[#Headers],[10]],FDR[10],"",0,1)</f>
        <v>5</v>
      </c>
      <c r="W249" cm="1">
        <f t="array" ref="W249">_xlfn.XLOOKUP(Matrix[[#This Row],[TEAM]]&amp;Matrix[[#Headers],[11]],FDR[FDR]&amp;FDR[[#Headers],[11]],FDR[11],"",0,1)</f>
        <v>5</v>
      </c>
      <c r="X249" cm="1">
        <f t="array" ref="X249">_xlfn.XLOOKUP(Matrix[[#This Row],[TEAM]]&amp;Matrix[[#Headers],[12]],FDR[FDR]&amp;FDR[[#Headers],[12]],FDR[12],"",0,1)</f>
        <v>5</v>
      </c>
      <c r="Y249" cm="1">
        <f t="array" ref="Y249">_xlfn.XLOOKUP(Matrix[[#This Row],[TEAM]]&amp;Matrix[[#Headers],[13]],FDR[FDR]&amp;FDR[[#Headers],[13]],FDR[13],"",0,1)</f>
        <v>5</v>
      </c>
      <c r="Z249" cm="1">
        <f t="array" ref="Z249">_xlfn.XLOOKUP(Matrix[[#This Row],[TEAM]]&amp;Matrix[[#Headers],[14]],FDR[FDR]&amp;FDR[[#Headers],[14]],FDR[14],"",0,1)</f>
        <v>4</v>
      </c>
      <c r="AA249" cm="1">
        <f t="array" ref="AA249">_xlfn.XLOOKUP(Matrix[[#This Row],[TEAM]]&amp;Matrix[[#Headers],[15]],FDR[FDR]&amp;FDR[[#Headers],[15]],FDR[15],"",0,1)</f>
        <v>5</v>
      </c>
      <c r="AB249" cm="1">
        <f t="array" ref="AB249">_xlfn.XLOOKUP(Matrix[[#This Row],[TEAM]]&amp;Matrix[[#Headers],[16]],FDR[FDR]&amp;FDR[[#Headers],[16]],FDR[16],"",0,1)</f>
        <v>5</v>
      </c>
      <c r="AC249" cm="1">
        <f t="array" ref="AC249">_xlfn.XLOOKUP(Matrix[[#This Row],[TEAM]]&amp;Matrix[[#Headers],[17]],FDR[FDR]&amp;FDR[[#Headers],[17]],FDR[17],"",0,1)</f>
        <v>5</v>
      </c>
      <c r="AD249" cm="1">
        <f t="array" ref="AD249">_xlfn.XLOOKUP(Matrix[[#This Row],[TEAM]]&amp;Matrix[[#Headers],[18]],FDR[FDR]&amp;FDR[[#Headers],[18]],FDR[18],"",0,1)</f>
        <v>4</v>
      </c>
      <c r="AE249" cm="1">
        <f t="array" ref="AE249">_xlfn.XLOOKUP(Matrix[[#This Row],[TEAM]]&amp;Matrix[[#Headers],[19]],FDR[FDR]&amp;FDR[[#Headers],[19]],FDR[19],"",0,1)</f>
        <v>5</v>
      </c>
      <c r="AF249" cm="1">
        <f t="array" ref="AF249">_xlfn.XLOOKUP(Matrix[[#This Row],[TEAM]]&amp;Matrix[[#Headers],[20]],FDR[FDR]&amp;FDR[[#Headers],[20]],FDR[20],"",0,1)</f>
        <v>5</v>
      </c>
      <c r="AG249" cm="1">
        <f t="array" ref="AG249">_xlfn.XLOOKUP(Matrix[[#This Row],[TEAM]]&amp;Matrix[[#Headers],[21]],FDR[FDR]&amp;FDR[[#Headers],[21]],FDR[21],"",0,1)</f>
        <v>5</v>
      </c>
      <c r="AH249" cm="1">
        <f t="array" ref="AH249">_xlfn.XLOOKUP(Matrix[[#This Row],[TEAM]]&amp;Matrix[[#Headers],[22]],FDR[FDR]&amp;FDR[[#Headers],[22]],FDR[22],"",0,1)</f>
        <v>5</v>
      </c>
      <c r="AI249" cm="1">
        <f t="array" ref="AI249">_xlfn.XLOOKUP(Matrix[[#This Row],[TEAM]]&amp;Matrix[[#Headers],[23]],FDR[FDR]&amp;FDR[[#Headers],[23]],FDR[23],"",0,1)</f>
        <v>5</v>
      </c>
      <c r="AJ249" cm="1">
        <f t="array" ref="AJ249">_xlfn.XLOOKUP(Matrix[[#This Row],[TEAM]]&amp;Matrix[[#Headers],[24]],FDR[FDR]&amp;FDR[[#Headers],[24]],FDR[24],"",0,1)</f>
        <v>4</v>
      </c>
      <c r="AK249" cm="1">
        <f t="array" ref="AK249">_xlfn.XLOOKUP(Matrix[[#This Row],[TEAM]]&amp;Matrix[[#Headers],[25]],FDR[FDR]&amp;FDR[[#Headers],[25]],FDR[25],"",0,1)</f>
        <v>4</v>
      </c>
      <c r="AL249" cm="1">
        <f t="array" ref="AL249">_xlfn.XLOOKUP(Matrix[[#This Row],[TEAM]]&amp;Matrix[[#Headers],[26]],FDR[FDR]&amp;FDR[[#Headers],[26]],FDR[26],"",0,1)</f>
        <v>5</v>
      </c>
      <c r="AM249" cm="1">
        <f t="array" ref="AM249">_xlfn.XLOOKUP(Matrix[[#This Row],[TEAM]]&amp;Matrix[[#Headers],[27]],FDR[FDR]&amp;FDR[[#Headers],[27]],FDR[27],"",0,1)</f>
        <v>5</v>
      </c>
      <c r="AN249" cm="1">
        <f t="array" ref="AN249">_xlfn.XLOOKUP(Matrix[[#This Row],[TEAM]]&amp;Matrix[[#Headers],[28]],FDR[FDR]&amp;FDR[[#Headers],[28]],FDR[28],"",0,1)</f>
        <v>4</v>
      </c>
      <c r="AO249" cm="1">
        <f t="array" ref="AO249">_xlfn.XLOOKUP(Matrix[[#This Row],[TEAM]]&amp;Matrix[[#Headers],[29]],FDR[FDR]&amp;FDR[[#Headers],[29]],FDR[29],"",0,1)</f>
        <v>5</v>
      </c>
      <c r="AP249" cm="1">
        <f t="array" ref="AP249">_xlfn.XLOOKUP(Matrix[[#This Row],[TEAM]]&amp;Matrix[[#Headers],[30]],FDR[FDR]&amp;FDR[[#Headers],[30]],FDR[30],"",0,1)</f>
        <v>5</v>
      </c>
      <c r="AQ249" cm="1">
        <f t="array" ref="AQ249">_xlfn.XLOOKUP(Matrix[[#This Row],[TEAM]]&amp;Matrix[[#Headers],[31]],FDR[FDR]&amp;FDR[[#Headers],[31]],FDR[31],"",0,1)</f>
        <v>5</v>
      </c>
      <c r="AR249" cm="1">
        <f t="array" ref="AR249">_xlfn.XLOOKUP(Matrix[[#This Row],[TEAM]]&amp;Matrix[[#Headers],[32]],FDR[FDR]&amp;FDR[[#Headers],[32]],FDR[32],"",0,1)</f>
        <v>5</v>
      </c>
      <c r="AS249" cm="1">
        <f t="array" ref="AS249">_xlfn.XLOOKUP(Matrix[[#This Row],[TEAM]]&amp;Matrix[[#Headers],[33]],FDR[FDR]&amp;FDR[[#Headers],[33]],FDR[33],"",0,1)</f>
        <v>5</v>
      </c>
      <c r="AT249" cm="1">
        <f t="array" ref="AT249">_xlfn.XLOOKUP(Matrix[[#This Row],[TEAM]]&amp;Matrix[[#Headers],[34]],FDR[FDR]&amp;FDR[[#Headers],[34]],FDR[34],"",0,1)</f>
        <v>5</v>
      </c>
      <c r="AU249" cm="1">
        <f t="array" ref="AU249">_xlfn.XLOOKUP(Matrix[[#This Row],[TEAM]]&amp;Matrix[[#Headers],[35]],FDR[FDR]&amp;FDR[[#Headers],[35]],FDR[35],"",0,1)</f>
        <v>4</v>
      </c>
      <c r="AV249" cm="1">
        <f t="array" ref="AV249">_xlfn.XLOOKUP(Matrix[[#This Row],[TEAM]]&amp;Matrix[[#Headers],[36]],FDR[FDR]&amp;FDR[[#Headers],[36]],FDR[36],"",0,1)</f>
        <v>5</v>
      </c>
      <c r="AW249" cm="1">
        <f t="array" ref="AW249">_xlfn.XLOOKUP(Matrix[[#This Row],[TEAM]]&amp;Matrix[[#Headers],[37]],FDR[FDR]&amp;FDR[[#Headers],[37]],FDR[37],"",0,1)</f>
        <v>5</v>
      </c>
      <c r="AX249" cm="1">
        <f t="array" ref="AX249">_xlfn.XLOOKUP(Matrix[[#This Row],[TEAM]]&amp;Matrix[[#Headers],[38]],FDR[FDR]&amp;FDR[[#Headers],[38]],FDR[38],"",0,1)</f>
        <v>3</v>
      </c>
    </row>
    <row r="250" spans="1:50" ht="22" thickTop="1" thickBot="1">
      <c r="A250" s="50" t="str">
        <f>INDEX!S$4</f>
        <v>MID</v>
      </c>
      <c r="B250" s="70" t="s">
        <v>1563</v>
      </c>
      <c r="C250" s="40" t="s">
        <v>22</v>
      </c>
      <c r="D250" s="62">
        <v>0</v>
      </c>
      <c r="E250" s="60">
        <v>1E-3</v>
      </c>
      <c r="F250" s="61">
        <v>0</v>
      </c>
      <c r="G250" s="63">
        <v>5</v>
      </c>
      <c r="H250" s="261">
        <f>IF(ISBLANK(I250),0,1)</f>
        <v>0</v>
      </c>
      <c r="I250" s="57"/>
      <c r="J250" s="58"/>
      <c r="K250" s="59" t="s">
        <v>456</v>
      </c>
      <c r="L250" s="59" t="s">
        <v>256</v>
      </c>
      <c r="M250" cm="1">
        <f t="array" ref="M250">_xlfn.XLOOKUP(Matrix[[#This Row],[TEAM]]&amp;Matrix[[#Headers],[1]],FDR[FDR]&amp;FDR[[#Headers],[1]],FDR[1],"",0,1)</f>
        <v>5</v>
      </c>
      <c r="N250" cm="1">
        <f t="array" ref="N250">_xlfn.XLOOKUP(Matrix[[#This Row],[TEAM]]&amp;Matrix[[#Headers],[2]],FDR[FDR]&amp;FDR[[#Headers],[2]],FDR[2],"",0,1)</f>
        <v>3</v>
      </c>
      <c r="O250" cm="1">
        <f t="array" ref="O250">_xlfn.XLOOKUP(Matrix[[#This Row],[TEAM]]&amp;Matrix[[#Headers],[3]],FDR[FDR]&amp;FDR[[#Headers],[3]],FDR[3],"",0,1)</f>
        <v>5</v>
      </c>
      <c r="P250" cm="1">
        <f t="array" ref="P250">_xlfn.XLOOKUP(Matrix[[#This Row],[TEAM]]&amp;Matrix[[#Headers],[4]],FDR[FDR]&amp;FDR[[#Headers],[4]],FDR[4],"",0,1)</f>
        <v>5</v>
      </c>
      <c r="Q250" cm="1">
        <f t="array" ref="Q250">_xlfn.XLOOKUP(Matrix[[#This Row],[TEAM]]&amp;Matrix[[#Headers],[5]],FDR[FDR]&amp;FDR[[#Headers],[5]],FDR[5],"",0,1)</f>
        <v>5</v>
      </c>
      <c r="R250" cm="1">
        <f t="array" ref="R250">_xlfn.XLOOKUP(Matrix[[#This Row],[TEAM]]&amp;Matrix[[#Headers],[6]],FDR[FDR]&amp;FDR[[#Headers],[6]],FDR[6],"",0,1)</f>
        <v>5</v>
      </c>
      <c r="S250" cm="1">
        <f t="array" ref="S250">_xlfn.XLOOKUP(Matrix[[#This Row],[TEAM]]&amp;Matrix[[#Headers],[7]],FDR[FDR]&amp;FDR[[#Headers],[7]],FDR[7],"",0,1)</f>
        <v>5</v>
      </c>
      <c r="T250" cm="1">
        <f t="array" ref="T250">_xlfn.XLOOKUP(Matrix[[#This Row],[TEAM]]&amp;Matrix[[#Headers],[8]],FDR[FDR]&amp;FDR[[#Headers],[8]],FDR[8],"",0,1)</f>
        <v>3</v>
      </c>
      <c r="U250" cm="1">
        <f t="array" ref="U250">_xlfn.XLOOKUP(Matrix[[#This Row],[TEAM]]&amp;Matrix[[#Headers],[9]],FDR[FDR]&amp;FDR[[#Headers],[9]],FDR[9],"",0,1)</f>
        <v>4</v>
      </c>
      <c r="V250" cm="1">
        <f t="array" ref="V250">_xlfn.XLOOKUP(Matrix[[#This Row],[TEAM]]&amp;Matrix[[#Headers],[10]],FDR[FDR]&amp;FDR[[#Headers],[10]],FDR[10],"",0,1)</f>
        <v>5</v>
      </c>
      <c r="W250" cm="1">
        <f t="array" ref="W250">_xlfn.XLOOKUP(Matrix[[#This Row],[TEAM]]&amp;Matrix[[#Headers],[11]],FDR[FDR]&amp;FDR[[#Headers],[11]],FDR[11],"",0,1)</f>
        <v>5</v>
      </c>
      <c r="X250" cm="1">
        <f t="array" ref="X250">_xlfn.XLOOKUP(Matrix[[#This Row],[TEAM]]&amp;Matrix[[#Headers],[12]],FDR[FDR]&amp;FDR[[#Headers],[12]],FDR[12],"",0,1)</f>
        <v>5</v>
      </c>
      <c r="Y250" cm="1">
        <f t="array" ref="Y250">_xlfn.XLOOKUP(Matrix[[#This Row],[TEAM]]&amp;Matrix[[#Headers],[13]],FDR[FDR]&amp;FDR[[#Headers],[13]],FDR[13],"",0,1)</f>
        <v>5</v>
      </c>
      <c r="Z250" cm="1">
        <f t="array" ref="Z250">_xlfn.XLOOKUP(Matrix[[#This Row],[TEAM]]&amp;Matrix[[#Headers],[14]],FDR[FDR]&amp;FDR[[#Headers],[14]],FDR[14],"",0,1)</f>
        <v>4</v>
      </c>
      <c r="AA250" cm="1">
        <f t="array" ref="AA250">_xlfn.XLOOKUP(Matrix[[#This Row],[TEAM]]&amp;Matrix[[#Headers],[15]],FDR[FDR]&amp;FDR[[#Headers],[15]],FDR[15],"",0,1)</f>
        <v>5</v>
      </c>
      <c r="AB250" cm="1">
        <f t="array" ref="AB250">_xlfn.XLOOKUP(Matrix[[#This Row],[TEAM]]&amp;Matrix[[#Headers],[16]],FDR[FDR]&amp;FDR[[#Headers],[16]],FDR[16],"",0,1)</f>
        <v>5</v>
      </c>
      <c r="AC250" cm="1">
        <f t="array" ref="AC250">_xlfn.XLOOKUP(Matrix[[#This Row],[TEAM]]&amp;Matrix[[#Headers],[17]],FDR[FDR]&amp;FDR[[#Headers],[17]],FDR[17],"",0,1)</f>
        <v>5</v>
      </c>
      <c r="AD250" cm="1">
        <f t="array" ref="AD250">_xlfn.XLOOKUP(Matrix[[#This Row],[TEAM]]&amp;Matrix[[#Headers],[18]],FDR[FDR]&amp;FDR[[#Headers],[18]],FDR[18],"",0,1)</f>
        <v>4</v>
      </c>
      <c r="AE250" cm="1">
        <f t="array" ref="AE250">_xlfn.XLOOKUP(Matrix[[#This Row],[TEAM]]&amp;Matrix[[#Headers],[19]],FDR[FDR]&amp;FDR[[#Headers],[19]],FDR[19],"",0,1)</f>
        <v>5</v>
      </c>
      <c r="AF250" cm="1">
        <f t="array" ref="AF250">_xlfn.XLOOKUP(Matrix[[#This Row],[TEAM]]&amp;Matrix[[#Headers],[20]],FDR[FDR]&amp;FDR[[#Headers],[20]],FDR[20],"",0,1)</f>
        <v>5</v>
      </c>
      <c r="AG250" cm="1">
        <f t="array" ref="AG250">_xlfn.XLOOKUP(Matrix[[#This Row],[TEAM]]&amp;Matrix[[#Headers],[21]],FDR[FDR]&amp;FDR[[#Headers],[21]],FDR[21],"",0,1)</f>
        <v>5</v>
      </c>
      <c r="AH250" cm="1">
        <f t="array" ref="AH250">_xlfn.XLOOKUP(Matrix[[#This Row],[TEAM]]&amp;Matrix[[#Headers],[22]],FDR[FDR]&amp;FDR[[#Headers],[22]],FDR[22],"",0,1)</f>
        <v>5</v>
      </c>
      <c r="AI250" cm="1">
        <f t="array" ref="AI250">_xlfn.XLOOKUP(Matrix[[#This Row],[TEAM]]&amp;Matrix[[#Headers],[23]],FDR[FDR]&amp;FDR[[#Headers],[23]],FDR[23],"",0,1)</f>
        <v>5</v>
      </c>
      <c r="AJ250" cm="1">
        <f t="array" ref="AJ250">_xlfn.XLOOKUP(Matrix[[#This Row],[TEAM]]&amp;Matrix[[#Headers],[24]],FDR[FDR]&amp;FDR[[#Headers],[24]],FDR[24],"",0,1)</f>
        <v>4</v>
      </c>
      <c r="AK250" cm="1">
        <f t="array" ref="AK250">_xlfn.XLOOKUP(Matrix[[#This Row],[TEAM]]&amp;Matrix[[#Headers],[25]],FDR[FDR]&amp;FDR[[#Headers],[25]],FDR[25],"",0,1)</f>
        <v>4</v>
      </c>
      <c r="AL250" cm="1">
        <f t="array" ref="AL250">_xlfn.XLOOKUP(Matrix[[#This Row],[TEAM]]&amp;Matrix[[#Headers],[26]],FDR[FDR]&amp;FDR[[#Headers],[26]],FDR[26],"",0,1)</f>
        <v>5</v>
      </c>
      <c r="AM250" cm="1">
        <f t="array" ref="AM250">_xlfn.XLOOKUP(Matrix[[#This Row],[TEAM]]&amp;Matrix[[#Headers],[27]],FDR[FDR]&amp;FDR[[#Headers],[27]],FDR[27],"",0,1)</f>
        <v>5</v>
      </c>
      <c r="AN250" cm="1">
        <f t="array" ref="AN250">_xlfn.XLOOKUP(Matrix[[#This Row],[TEAM]]&amp;Matrix[[#Headers],[28]],FDR[FDR]&amp;FDR[[#Headers],[28]],FDR[28],"",0,1)</f>
        <v>4</v>
      </c>
      <c r="AO250" cm="1">
        <f t="array" ref="AO250">_xlfn.XLOOKUP(Matrix[[#This Row],[TEAM]]&amp;Matrix[[#Headers],[29]],FDR[FDR]&amp;FDR[[#Headers],[29]],FDR[29],"",0,1)</f>
        <v>5</v>
      </c>
      <c r="AP250" cm="1">
        <f t="array" ref="AP250">_xlfn.XLOOKUP(Matrix[[#This Row],[TEAM]]&amp;Matrix[[#Headers],[30]],FDR[FDR]&amp;FDR[[#Headers],[30]],FDR[30],"",0,1)</f>
        <v>5</v>
      </c>
      <c r="AQ250" cm="1">
        <f t="array" ref="AQ250">_xlfn.XLOOKUP(Matrix[[#This Row],[TEAM]]&amp;Matrix[[#Headers],[31]],FDR[FDR]&amp;FDR[[#Headers],[31]],FDR[31],"",0,1)</f>
        <v>5</v>
      </c>
      <c r="AR250" cm="1">
        <f t="array" ref="AR250">_xlfn.XLOOKUP(Matrix[[#This Row],[TEAM]]&amp;Matrix[[#Headers],[32]],FDR[FDR]&amp;FDR[[#Headers],[32]],FDR[32],"",0,1)</f>
        <v>5</v>
      </c>
      <c r="AS250" cm="1">
        <f t="array" ref="AS250">_xlfn.XLOOKUP(Matrix[[#This Row],[TEAM]]&amp;Matrix[[#Headers],[33]],FDR[FDR]&amp;FDR[[#Headers],[33]],FDR[33],"",0,1)</f>
        <v>5</v>
      </c>
      <c r="AT250" cm="1">
        <f t="array" ref="AT250">_xlfn.XLOOKUP(Matrix[[#This Row],[TEAM]]&amp;Matrix[[#Headers],[34]],FDR[FDR]&amp;FDR[[#Headers],[34]],FDR[34],"",0,1)</f>
        <v>5</v>
      </c>
      <c r="AU250" cm="1">
        <f t="array" ref="AU250">_xlfn.XLOOKUP(Matrix[[#This Row],[TEAM]]&amp;Matrix[[#Headers],[35]],FDR[FDR]&amp;FDR[[#Headers],[35]],FDR[35],"",0,1)</f>
        <v>4</v>
      </c>
      <c r="AV250" cm="1">
        <f t="array" ref="AV250">_xlfn.XLOOKUP(Matrix[[#This Row],[TEAM]]&amp;Matrix[[#Headers],[36]],FDR[FDR]&amp;FDR[[#Headers],[36]],FDR[36],"",0,1)</f>
        <v>5</v>
      </c>
      <c r="AW250" cm="1">
        <f t="array" ref="AW250">_xlfn.XLOOKUP(Matrix[[#This Row],[TEAM]]&amp;Matrix[[#Headers],[37]],FDR[FDR]&amp;FDR[[#Headers],[37]],FDR[37],"",0,1)</f>
        <v>5</v>
      </c>
      <c r="AX250" cm="1">
        <f t="array" ref="AX250">_xlfn.XLOOKUP(Matrix[[#This Row],[TEAM]]&amp;Matrix[[#Headers],[38]],FDR[FDR]&amp;FDR[[#Headers],[38]],FDR[38],"",0,1)</f>
        <v>3</v>
      </c>
    </row>
    <row r="251" spans="1:50" ht="22" thickTop="1" thickBot="1">
      <c r="A251" s="50" t="str">
        <f>INDEX!S$4</f>
        <v>MID</v>
      </c>
      <c r="B251" s="70" t="s">
        <v>1603</v>
      </c>
      <c r="C251" s="40" t="s">
        <v>22</v>
      </c>
      <c r="D251" s="62">
        <v>0</v>
      </c>
      <c r="E251" s="60">
        <v>0</v>
      </c>
      <c r="F251" s="61">
        <v>0</v>
      </c>
      <c r="G251" s="63">
        <v>5</v>
      </c>
      <c r="H251" s="261">
        <f>IF(ISBLANK(I251),0,1)</f>
        <v>0</v>
      </c>
      <c r="I251" s="57"/>
      <c r="J251" s="58"/>
      <c r="K251" s="59" t="s">
        <v>588</v>
      </c>
      <c r="L251" s="59" t="s">
        <v>266</v>
      </c>
      <c r="M251" cm="1">
        <f t="array" ref="M251">_xlfn.XLOOKUP(Matrix[[#This Row],[TEAM]]&amp;Matrix[[#Headers],[1]],FDR[FDR]&amp;FDR[[#Headers],[1]],FDR[1],"",0,1)</f>
        <v>5</v>
      </c>
      <c r="N251" cm="1">
        <f t="array" ref="N251">_xlfn.XLOOKUP(Matrix[[#This Row],[TEAM]]&amp;Matrix[[#Headers],[2]],FDR[FDR]&amp;FDR[[#Headers],[2]],FDR[2],"",0,1)</f>
        <v>3</v>
      </c>
      <c r="O251" cm="1">
        <f t="array" ref="O251">_xlfn.XLOOKUP(Matrix[[#This Row],[TEAM]]&amp;Matrix[[#Headers],[3]],FDR[FDR]&amp;FDR[[#Headers],[3]],FDR[3],"",0,1)</f>
        <v>5</v>
      </c>
      <c r="P251" cm="1">
        <f t="array" ref="P251">_xlfn.XLOOKUP(Matrix[[#This Row],[TEAM]]&amp;Matrix[[#Headers],[4]],FDR[FDR]&amp;FDR[[#Headers],[4]],FDR[4],"",0,1)</f>
        <v>5</v>
      </c>
      <c r="Q251" cm="1">
        <f t="array" ref="Q251">_xlfn.XLOOKUP(Matrix[[#This Row],[TEAM]]&amp;Matrix[[#Headers],[5]],FDR[FDR]&amp;FDR[[#Headers],[5]],FDR[5],"",0,1)</f>
        <v>5</v>
      </c>
      <c r="R251" cm="1">
        <f t="array" ref="R251">_xlfn.XLOOKUP(Matrix[[#This Row],[TEAM]]&amp;Matrix[[#Headers],[6]],FDR[FDR]&amp;FDR[[#Headers],[6]],FDR[6],"",0,1)</f>
        <v>5</v>
      </c>
      <c r="S251" cm="1">
        <f t="array" ref="S251">_xlfn.XLOOKUP(Matrix[[#This Row],[TEAM]]&amp;Matrix[[#Headers],[7]],FDR[FDR]&amp;FDR[[#Headers],[7]],FDR[7],"",0,1)</f>
        <v>5</v>
      </c>
      <c r="T251" cm="1">
        <f t="array" ref="T251">_xlfn.XLOOKUP(Matrix[[#This Row],[TEAM]]&amp;Matrix[[#Headers],[8]],FDR[FDR]&amp;FDR[[#Headers],[8]],FDR[8],"",0,1)</f>
        <v>3</v>
      </c>
      <c r="U251" cm="1">
        <f t="array" ref="U251">_xlfn.XLOOKUP(Matrix[[#This Row],[TEAM]]&amp;Matrix[[#Headers],[9]],FDR[FDR]&amp;FDR[[#Headers],[9]],FDR[9],"",0,1)</f>
        <v>4</v>
      </c>
      <c r="V251" cm="1">
        <f t="array" ref="V251">_xlfn.XLOOKUP(Matrix[[#This Row],[TEAM]]&amp;Matrix[[#Headers],[10]],FDR[FDR]&amp;FDR[[#Headers],[10]],FDR[10],"",0,1)</f>
        <v>5</v>
      </c>
      <c r="W251" cm="1">
        <f t="array" ref="W251">_xlfn.XLOOKUP(Matrix[[#This Row],[TEAM]]&amp;Matrix[[#Headers],[11]],FDR[FDR]&amp;FDR[[#Headers],[11]],FDR[11],"",0,1)</f>
        <v>5</v>
      </c>
      <c r="X251" cm="1">
        <f t="array" ref="X251">_xlfn.XLOOKUP(Matrix[[#This Row],[TEAM]]&amp;Matrix[[#Headers],[12]],FDR[FDR]&amp;FDR[[#Headers],[12]],FDR[12],"",0,1)</f>
        <v>5</v>
      </c>
      <c r="Y251" cm="1">
        <f t="array" ref="Y251">_xlfn.XLOOKUP(Matrix[[#This Row],[TEAM]]&amp;Matrix[[#Headers],[13]],FDR[FDR]&amp;FDR[[#Headers],[13]],FDR[13],"",0,1)</f>
        <v>5</v>
      </c>
      <c r="Z251" cm="1">
        <f t="array" ref="Z251">_xlfn.XLOOKUP(Matrix[[#This Row],[TEAM]]&amp;Matrix[[#Headers],[14]],FDR[FDR]&amp;FDR[[#Headers],[14]],FDR[14],"",0,1)</f>
        <v>4</v>
      </c>
      <c r="AA251" cm="1">
        <f t="array" ref="AA251">_xlfn.XLOOKUP(Matrix[[#This Row],[TEAM]]&amp;Matrix[[#Headers],[15]],FDR[FDR]&amp;FDR[[#Headers],[15]],FDR[15],"",0,1)</f>
        <v>5</v>
      </c>
      <c r="AB251" cm="1">
        <f t="array" ref="AB251">_xlfn.XLOOKUP(Matrix[[#This Row],[TEAM]]&amp;Matrix[[#Headers],[16]],FDR[FDR]&amp;FDR[[#Headers],[16]],FDR[16],"",0,1)</f>
        <v>5</v>
      </c>
      <c r="AC251" cm="1">
        <f t="array" ref="AC251">_xlfn.XLOOKUP(Matrix[[#This Row],[TEAM]]&amp;Matrix[[#Headers],[17]],FDR[FDR]&amp;FDR[[#Headers],[17]],FDR[17],"",0,1)</f>
        <v>5</v>
      </c>
      <c r="AD251" cm="1">
        <f t="array" ref="AD251">_xlfn.XLOOKUP(Matrix[[#This Row],[TEAM]]&amp;Matrix[[#Headers],[18]],FDR[FDR]&amp;FDR[[#Headers],[18]],FDR[18],"",0,1)</f>
        <v>4</v>
      </c>
      <c r="AE251" cm="1">
        <f t="array" ref="AE251">_xlfn.XLOOKUP(Matrix[[#This Row],[TEAM]]&amp;Matrix[[#Headers],[19]],FDR[FDR]&amp;FDR[[#Headers],[19]],FDR[19],"",0,1)</f>
        <v>5</v>
      </c>
      <c r="AF251" cm="1">
        <f t="array" ref="AF251">_xlfn.XLOOKUP(Matrix[[#This Row],[TEAM]]&amp;Matrix[[#Headers],[20]],FDR[FDR]&amp;FDR[[#Headers],[20]],FDR[20],"",0,1)</f>
        <v>5</v>
      </c>
      <c r="AG251" cm="1">
        <f t="array" ref="AG251">_xlfn.XLOOKUP(Matrix[[#This Row],[TEAM]]&amp;Matrix[[#Headers],[21]],FDR[FDR]&amp;FDR[[#Headers],[21]],FDR[21],"",0,1)</f>
        <v>5</v>
      </c>
      <c r="AH251" cm="1">
        <f t="array" ref="AH251">_xlfn.XLOOKUP(Matrix[[#This Row],[TEAM]]&amp;Matrix[[#Headers],[22]],FDR[FDR]&amp;FDR[[#Headers],[22]],FDR[22],"",0,1)</f>
        <v>5</v>
      </c>
      <c r="AI251" cm="1">
        <f t="array" ref="AI251">_xlfn.XLOOKUP(Matrix[[#This Row],[TEAM]]&amp;Matrix[[#Headers],[23]],FDR[FDR]&amp;FDR[[#Headers],[23]],FDR[23],"",0,1)</f>
        <v>5</v>
      </c>
      <c r="AJ251" cm="1">
        <f t="array" ref="AJ251">_xlfn.XLOOKUP(Matrix[[#This Row],[TEAM]]&amp;Matrix[[#Headers],[24]],FDR[FDR]&amp;FDR[[#Headers],[24]],FDR[24],"",0,1)</f>
        <v>4</v>
      </c>
      <c r="AK251" cm="1">
        <f t="array" ref="AK251">_xlfn.XLOOKUP(Matrix[[#This Row],[TEAM]]&amp;Matrix[[#Headers],[25]],FDR[FDR]&amp;FDR[[#Headers],[25]],FDR[25],"",0,1)</f>
        <v>4</v>
      </c>
      <c r="AL251" cm="1">
        <f t="array" ref="AL251">_xlfn.XLOOKUP(Matrix[[#This Row],[TEAM]]&amp;Matrix[[#Headers],[26]],FDR[FDR]&amp;FDR[[#Headers],[26]],FDR[26],"",0,1)</f>
        <v>5</v>
      </c>
      <c r="AM251" cm="1">
        <f t="array" ref="AM251">_xlfn.XLOOKUP(Matrix[[#This Row],[TEAM]]&amp;Matrix[[#Headers],[27]],FDR[FDR]&amp;FDR[[#Headers],[27]],FDR[27],"",0,1)</f>
        <v>5</v>
      </c>
      <c r="AN251" cm="1">
        <f t="array" ref="AN251">_xlfn.XLOOKUP(Matrix[[#This Row],[TEAM]]&amp;Matrix[[#Headers],[28]],FDR[FDR]&amp;FDR[[#Headers],[28]],FDR[28],"",0,1)</f>
        <v>4</v>
      </c>
      <c r="AO251" cm="1">
        <f t="array" ref="AO251">_xlfn.XLOOKUP(Matrix[[#This Row],[TEAM]]&amp;Matrix[[#Headers],[29]],FDR[FDR]&amp;FDR[[#Headers],[29]],FDR[29],"",0,1)</f>
        <v>5</v>
      </c>
      <c r="AP251" cm="1">
        <f t="array" ref="AP251">_xlfn.XLOOKUP(Matrix[[#This Row],[TEAM]]&amp;Matrix[[#Headers],[30]],FDR[FDR]&amp;FDR[[#Headers],[30]],FDR[30],"",0,1)</f>
        <v>5</v>
      </c>
      <c r="AQ251" cm="1">
        <f t="array" ref="AQ251">_xlfn.XLOOKUP(Matrix[[#This Row],[TEAM]]&amp;Matrix[[#Headers],[31]],FDR[FDR]&amp;FDR[[#Headers],[31]],FDR[31],"",0,1)</f>
        <v>5</v>
      </c>
      <c r="AR251" cm="1">
        <f t="array" ref="AR251">_xlfn.XLOOKUP(Matrix[[#This Row],[TEAM]]&amp;Matrix[[#Headers],[32]],FDR[FDR]&amp;FDR[[#Headers],[32]],FDR[32],"",0,1)</f>
        <v>5</v>
      </c>
      <c r="AS251" cm="1">
        <f t="array" ref="AS251">_xlfn.XLOOKUP(Matrix[[#This Row],[TEAM]]&amp;Matrix[[#Headers],[33]],FDR[FDR]&amp;FDR[[#Headers],[33]],FDR[33],"",0,1)</f>
        <v>5</v>
      </c>
      <c r="AT251" cm="1">
        <f t="array" ref="AT251">_xlfn.XLOOKUP(Matrix[[#This Row],[TEAM]]&amp;Matrix[[#Headers],[34]],FDR[FDR]&amp;FDR[[#Headers],[34]],FDR[34],"",0,1)</f>
        <v>5</v>
      </c>
      <c r="AU251" cm="1">
        <f t="array" ref="AU251">_xlfn.XLOOKUP(Matrix[[#This Row],[TEAM]]&amp;Matrix[[#Headers],[35]],FDR[FDR]&amp;FDR[[#Headers],[35]],FDR[35],"",0,1)</f>
        <v>4</v>
      </c>
      <c r="AV251" cm="1">
        <f t="array" ref="AV251">_xlfn.XLOOKUP(Matrix[[#This Row],[TEAM]]&amp;Matrix[[#Headers],[36]],FDR[FDR]&amp;FDR[[#Headers],[36]],FDR[36],"",0,1)</f>
        <v>5</v>
      </c>
      <c r="AW251" cm="1">
        <f t="array" ref="AW251">_xlfn.XLOOKUP(Matrix[[#This Row],[TEAM]]&amp;Matrix[[#Headers],[37]],FDR[FDR]&amp;FDR[[#Headers],[37]],FDR[37],"",0,1)</f>
        <v>5</v>
      </c>
      <c r="AX251" cm="1">
        <f t="array" ref="AX251">_xlfn.XLOOKUP(Matrix[[#This Row],[TEAM]]&amp;Matrix[[#Headers],[38]],FDR[FDR]&amp;FDR[[#Headers],[38]],FDR[38],"",0,1)</f>
        <v>3</v>
      </c>
    </row>
    <row r="252" spans="1:50" ht="22" thickTop="1" thickBot="1">
      <c r="A252" s="50" t="str">
        <f>INDEX!S$4</f>
        <v>MID</v>
      </c>
      <c r="B252" s="70" t="s">
        <v>1602</v>
      </c>
      <c r="C252" s="40" t="s">
        <v>22</v>
      </c>
      <c r="D252" s="62">
        <v>0</v>
      </c>
      <c r="E252" s="60">
        <v>0</v>
      </c>
      <c r="F252" s="61">
        <v>0</v>
      </c>
      <c r="G252" s="63">
        <v>5</v>
      </c>
      <c r="H252" s="261">
        <f>IF(ISBLANK(I252),0,1)</f>
        <v>0</v>
      </c>
      <c r="I252" s="57"/>
      <c r="J252" s="58"/>
      <c r="K252" s="59" t="s">
        <v>456</v>
      </c>
      <c r="L252" s="59" t="s">
        <v>818</v>
      </c>
      <c r="M252" cm="1">
        <f t="array" ref="M252">_xlfn.XLOOKUP(Matrix[[#This Row],[TEAM]]&amp;Matrix[[#Headers],[1]],FDR[FDR]&amp;FDR[[#Headers],[1]],FDR[1],"",0,1)</f>
        <v>5</v>
      </c>
      <c r="N252" cm="1">
        <f t="array" ref="N252">_xlfn.XLOOKUP(Matrix[[#This Row],[TEAM]]&amp;Matrix[[#Headers],[2]],FDR[FDR]&amp;FDR[[#Headers],[2]],FDR[2],"",0,1)</f>
        <v>3</v>
      </c>
      <c r="O252" cm="1">
        <f t="array" ref="O252">_xlfn.XLOOKUP(Matrix[[#This Row],[TEAM]]&amp;Matrix[[#Headers],[3]],FDR[FDR]&amp;FDR[[#Headers],[3]],FDR[3],"",0,1)</f>
        <v>5</v>
      </c>
      <c r="P252" cm="1">
        <f t="array" ref="P252">_xlfn.XLOOKUP(Matrix[[#This Row],[TEAM]]&amp;Matrix[[#Headers],[4]],FDR[FDR]&amp;FDR[[#Headers],[4]],FDR[4],"",0,1)</f>
        <v>5</v>
      </c>
      <c r="Q252" cm="1">
        <f t="array" ref="Q252">_xlfn.XLOOKUP(Matrix[[#This Row],[TEAM]]&amp;Matrix[[#Headers],[5]],FDR[FDR]&amp;FDR[[#Headers],[5]],FDR[5],"",0,1)</f>
        <v>5</v>
      </c>
      <c r="R252" cm="1">
        <f t="array" ref="R252">_xlfn.XLOOKUP(Matrix[[#This Row],[TEAM]]&amp;Matrix[[#Headers],[6]],FDR[FDR]&amp;FDR[[#Headers],[6]],FDR[6],"",0,1)</f>
        <v>5</v>
      </c>
      <c r="S252" cm="1">
        <f t="array" ref="S252">_xlfn.XLOOKUP(Matrix[[#This Row],[TEAM]]&amp;Matrix[[#Headers],[7]],FDR[FDR]&amp;FDR[[#Headers],[7]],FDR[7],"",0,1)</f>
        <v>5</v>
      </c>
      <c r="T252" cm="1">
        <f t="array" ref="T252">_xlfn.XLOOKUP(Matrix[[#This Row],[TEAM]]&amp;Matrix[[#Headers],[8]],FDR[FDR]&amp;FDR[[#Headers],[8]],FDR[8],"",0,1)</f>
        <v>3</v>
      </c>
      <c r="U252" cm="1">
        <f t="array" ref="U252">_xlfn.XLOOKUP(Matrix[[#This Row],[TEAM]]&amp;Matrix[[#Headers],[9]],FDR[FDR]&amp;FDR[[#Headers],[9]],FDR[9],"",0,1)</f>
        <v>4</v>
      </c>
      <c r="V252" cm="1">
        <f t="array" ref="V252">_xlfn.XLOOKUP(Matrix[[#This Row],[TEAM]]&amp;Matrix[[#Headers],[10]],FDR[FDR]&amp;FDR[[#Headers],[10]],FDR[10],"",0,1)</f>
        <v>5</v>
      </c>
      <c r="W252" cm="1">
        <f t="array" ref="W252">_xlfn.XLOOKUP(Matrix[[#This Row],[TEAM]]&amp;Matrix[[#Headers],[11]],FDR[FDR]&amp;FDR[[#Headers],[11]],FDR[11],"",0,1)</f>
        <v>5</v>
      </c>
      <c r="X252" cm="1">
        <f t="array" ref="X252">_xlfn.XLOOKUP(Matrix[[#This Row],[TEAM]]&amp;Matrix[[#Headers],[12]],FDR[FDR]&amp;FDR[[#Headers],[12]],FDR[12],"",0,1)</f>
        <v>5</v>
      </c>
      <c r="Y252" cm="1">
        <f t="array" ref="Y252">_xlfn.XLOOKUP(Matrix[[#This Row],[TEAM]]&amp;Matrix[[#Headers],[13]],FDR[FDR]&amp;FDR[[#Headers],[13]],FDR[13],"",0,1)</f>
        <v>5</v>
      </c>
      <c r="Z252" cm="1">
        <f t="array" ref="Z252">_xlfn.XLOOKUP(Matrix[[#This Row],[TEAM]]&amp;Matrix[[#Headers],[14]],FDR[FDR]&amp;FDR[[#Headers],[14]],FDR[14],"",0,1)</f>
        <v>4</v>
      </c>
      <c r="AA252" cm="1">
        <f t="array" ref="AA252">_xlfn.XLOOKUP(Matrix[[#This Row],[TEAM]]&amp;Matrix[[#Headers],[15]],FDR[FDR]&amp;FDR[[#Headers],[15]],FDR[15],"",0,1)</f>
        <v>5</v>
      </c>
      <c r="AB252" cm="1">
        <f t="array" ref="AB252">_xlfn.XLOOKUP(Matrix[[#This Row],[TEAM]]&amp;Matrix[[#Headers],[16]],FDR[FDR]&amp;FDR[[#Headers],[16]],FDR[16],"",0,1)</f>
        <v>5</v>
      </c>
      <c r="AC252" cm="1">
        <f t="array" ref="AC252">_xlfn.XLOOKUP(Matrix[[#This Row],[TEAM]]&amp;Matrix[[#Headers],[17]],FDR[FDR]&amp;FDR[[#Headers],[17]],FDR[17],"",0,1)</f>
        <v>5</v>
      </c>
      <c r="AD252" cm="1">
        <f t="array" ref="AD252">_xlfn.XLOOKUP(Matrix[[#This Row],[TEAM]]&amp;Matrix[[#Headers],[18]],FDR[FDR]&amp;FDR[[#Headers],[18]],FDR[18],"",0,1)</f>
        <v>4</v>
      </c>
      <c r="AE252" cm="1">
        <f t="array" ref="AE252">_xlfn.XLOOKUP(Matrix[[#This Row],[TEAM]]&amp;Matrix[[#Headers],[19]],FDR[FDR]&amp;FDR[[#Headers],[19]],FDR[19],"",0,1)</f>
        <v>5</v>
      </c>
      <c r="AF252" cm="1">
        <f t="array" ref="AF252">_xlfn.XLOOKUP(Matrix[[#This Row],[TEAM]]&amp;Matrix[[#Headers],[20]],FDR[FDR]&amp;FDR[[#Headers],[20]],FDR[20],"",0,1)</f>
        <v>5</v>
      </c>
      <c r="AG252" cm="1">
        <f t="array" ref="AG252">_xlfn.XLOOKUP(Matrix[[#This Row],[TEAM]]&amp;Matrix[[#Headers],[21]],FDR[FDR]&amp;FDR[[#Headers],[21]],FDR[21],"",0,1)</f>
        <v>5</v>
      </c>
      <c r="AH252" cm="1">
        <f t="array" ref="AH252">_xlfn.XLOOKUP(Matrix[[#This Row],[TEAM]]&amp;Matrix[[#Headers],[22]],FDR[FDR]&amp;FDR[[#Headers],[22]],FDR[22],"",0,1)</f>
        <v>5</v>
      </c>
      <c r="AI252" cm="1">
        <f t="array" ref="AI252">_xlfn.XLOOKUP(Matrix[[#This Row],[TEAM]]&amp;Matrix[[#Headers],[23]],FDR[FDR]&amp;FDR[[#Headers],[23]],FDR[23],"",0,1)</f>
        <v>5</v>
      </c>
      <c r="AJ252" cm="1">
        <f t="array" ref="AJ252">_xlfn.XLOOKUP(Matrix[[#This Row],[TEAM]]&amp;Matrix[[#Headers],[24]],FDR[FDR]&amp;FDR[[#Headers],[24]],FDR[24],"",0,1)</f>
        <v>4</v>
      </c>
      <c r="AK252" cm="1">
        <f t="array" ref="AK252">_xlfn.XLOOKUP(Matrix[[#This Row],[TEAM]]&amp;Matrix[[#Headers],[25]],FDR[FDR]&amp;FDR[[#Headers],[25]],FDR[25],"",0,1)</f>
        <v>4</v>
      </c>
      <c r="AL252" cm="1">
        <f t="array" ref="AL252">_xlfn.XLOOKUP(Matrix[[#This Row],[TEAM]]&amp;Matrix[[#Headers],[26]],FDR[FDR]&amp;FDR[[#Headers],[26]],FDR[26],"",0,1)</f>
        <v>5</v>
      </c>
      <c r="AM252" cm="1">
        <f t="array" ref="AM252">_xlfn.XLOOKUP(Matrix[[#This Row],[TEAM]]&amp;Matrix[[#Headers],[27]],FDR[FDR]&amp;FDR[[#Headers],[27]],FDR[27],"",0,1)</f>
        <v>5</v>
      </c>
      <c r="AN252" cm="1">
        <f t="array" ref="AN252">_xlfn.XLOOKUP(Matrix[[#This Row],[TEAM]]&amp;Matrix[[#Headers],[28]],FDR[FDR]&amp;FDR[[#Headers],[28]],FDR[28],"",0,1)</f>
        <v>4</v>
      </c>
      <c r="AO252" cm="1">
        <f t="array" ref="AO252">_xlfn.XLOOKUP(Matrix[[#This Row],[TEAM]]&amp;Matrix[[#Headers],[29]],FDR[FDR]&amp;FDR[[#Headers],[29]],FDR[29],"",0,1)</f>
        <v>5</v>
      </c>
      <c r="AP252" cm="1">
        <f t="array" ref="AP252">_xlfn.XLOOKUP(Matrix[[#This Row],[TEAM]]&amp;Matrix[[#Headers],[30]],FDR[FDR]&amp;FDR[[#Headers],[30]],FDR[30],"",0,1)</f>
        <v>5</v>
      </c>
      <c r="AQ252" cm="1">
        <f t="array" ref="AQ252">_xlfn.XLOOKUP(Matrix[[#This Row],[TEAM]]&amp;Matrix[[#Headers],[31]],FDR[FDR]&amp;FDR[[#Headers],[31]],FDR[31],"",0,1)</f>
        <v>5</v>
      </c>
      <c r="AR252" cm="1">
        <f t="array" ref="AR252">_xlfn.XLOOKUP(Matrix[[#This Row],[TEAM]]&amp;Matrix[[#Headers],[32]],FDR[FDR]&amp;FDR[[#Headers],[32]],FDR[32],"",0,1)</f>
        <v>5</v>
      </c>
      <c r="AS252" cm="1">
        <f t="array" ref="AS252">_xlfn.XLOOKUP(Matrix[[#This Row],[TEAM]]&amp;Matrix[[#Headers],[33]],FDR[FDR]&amp;FDR[[#Headers],[33]],FDR[33],"",0,1)</f>
        <v>5</v>
      </c>
      <c r="AT252" cm="1">
        <f t="array" ref="AT252">_xlfn.XLOOKUP(Matrix[[#This Row],[TEAM]]&amp;Matrix[[#Headers],[34]],FDR[FDR]&amp;FDR[[#Headers],[34]],FDR[34],"",0,1)</f>
        <v>5</v>
      </c>
      <c r="AU252" cm="1">
        <f t="array" ref="AU252">_xlfn.XLOOKUP(Matrix[[#This Row],[TEAM]]&amp;Matrix[[#Headers],[35]],FDR[FDR]&amp;FDR[[#Headers],[35]],FDR[35],"",0,1)</f>
        <v>4</v>
      </c>
      <c r="AV252" cm="1">
        <f t="array" ref="AV252">_xlfn.XLOOKUP(Matrix[[#This Row],[TEAM]]&amp;Matrix[[#Headers],[36]],FDR[FDR]&amp;FDR[[#Headers],[36]],FDR[36],"",0,1)</f>
        <v>5</v>
      </c>
      <c r="AW252" cm="1">
        <f t="array" ref="AW252">_xlfn.XLOOKUP(Matrix[[#This Row],[TEAM]]&amp;Matrix[[#Headers],[37]],FDR[FDR]&amp;FDR[[#Headers],[37]],FDR[37],"",0,1)</f>
        <v>5</v>
      </c>
      <c r="AX252" cm="1">
        <f t="array" ref="AX252">_xlfn.XLOOKUP(Matrix[[#This Row],[TEAM]]&amp;Matrix[[#Headers],[38]],FDR[FDR]&amp;FDR[[#Headers],[38]],FDR[38],"",0,1)</f>
        <v>3</v>
      </c>
    </row>
    <row r="253" spans="1:50" ht="22" thickTop="1" thickBot="1">
      <c r="A253" s="50" t="str">
        <f>INDEX!S$4</f>
        <v>MID</v>
      </c>
      <c r="B253" s="70" t="s">
        <v>1601</v>
      </c>
      <c r="C253" s="40" t="s">
        <v>22</v>
      </c>
      <c r="D253" s="62">
        <v>0</v>
      </c>
      <c r="E253" s="60">
        <v>0</v>
      </c>
      <c r="F253" s="61">
        <v>0</v>
      </c>
      <c r="G253" s="63">
        <v>5</v>
      </c>
      <c r="H253" s="261">
        <f>IF(ISBLANK(I253),0,1)</f>
        <v>0</v>
      </c>
      <c r="I253" s="57"/>
      <c r="J253" s="58"/>
      <c r="K253" s="59" t="s">
        <v>819</v>
      </c>
      <c r="L253" s="59" t="s">
        <v>820</v>
      </c>
      <c r="M253" cm="1">
        <f t="array" ref="M253">_xlfn.XLOOKUP(Matrix[[#This Row],[TEAM]]&amp;Matrix[[#Headers],[1]],FDR[FDR]&amp;FDR[[#Headers],[1]],FDR[1],"",0,1)</f>
        <v>5</v>
      </c>
      <c r="N253" cm="1">
        <f t="array" ref="N253">_xlfn.XLOOKUP(Matrix[[#This Row],[TEAM]]&amp;Matrix[[#Headers],[2]],FDR[FDR]&amp;FDR[[#Headers],[2]],FDR[2],"",0,1)</f>
        <v>3</v>
      </c>
      <c r="O253" cm="1">
        <f t="array" ref="O253">_xlfn.XLOOKUP(Matrix[[#This Row],[TEAM]]&amp;Matrix[[#Headers],[3]],FDR[FDR]&amp;FDR[[#Headers],[3]],FDR[3],"",0,1)</f>
        <v>5</v>
      </c>
      <c r="P253" cm="1">
        <f t="array" ref="P253">_xlfn.XLOOKUP(Matrix[[#This Row],[TEAM]]&amp;Matrix[[#Headers],[4]],FDR[FDR]&amp;FDR[[#Headers],[4]],FDR[4],"",0,1)</f>
        <v>5</v>
      </c>
      <c r="Q253" cm="1">
        <f t="array" ref="Q253">_xlfn.XLOOKUP(Matrix[[#This Row],[TEAM]]&amp;Matrix[[#Headers],[5]],FDR[FDR]&amp;FDR[[#Headers],[5]],FDR[5],"",0,1)</f>
        <v>5</v>
      </c>
      <c r="R253" cm="1">
        <f t="array" ref="R253">_xlfn.XLOOKUP(Matrix[[#This Row],[TEAM]]&amp;Matrix[[#Headers],[6]],FDR[FDR]&amp;FDR[[#Headers],[6]],FDR[6],"",0,1)</f>
        <v>5</v>
      </c>
      <c r="S253" cm="1">
        <f t="array" ref="S253">_xlfn.XLOOKUP(Matrix[[#This Row],[TEAM]]&amp;Matrix[[#Headers],[7]],FDR[FDR]&amp;FDR[[#Headers],[7]],FDR[7],"",0,1)</f>
        <v>5</v>
      </c>
      <c r="T253" cm="1">
        <f t="array" ref="T253">_xlfn.XLOOKUP(Matrix[[#This Row],[TEAM]]&amp;Matrix[[#Headers],[8]],FDR[FDR]&amp;FDR[[#Headers],[8]],FDR[8],"",0,1)</f>
        <v>3</v>
      </c>
      <c r="U253" cm="1">
        <f t="array" ref="U253">_xlfn.XLOOKUP(Matrix[[#This Row],[TEAM]]&amp;Matrix[[#Headers],[9]],FDR[FDR]&amp;FDR[[#Headers],[9]],FDR[9],"",0,1)</f>
        <v>4</v>
      </c>
      <c r="V253" cm="1">
        <f t="array" ref="V253">_xlfn.XLOOKUP(Matrix[[#This Row],[TEAM]]&amp;Matrix[[#Headers],[10]],FDR[FDR]&amp;FDR[[#Headers],[10]],FDR[10],"",0,1)</f>
        <v>5</v>
      </c>
      <c r="W253" cm="1">
        <f t="array" ref="W253">_xlfn.XLOOKUP(Matrix[[#This Row],[TEAM]]&amp;Matrix[[#Headers],[11]],FDR[FDR]&amp;FDR[[#Headers],[11]],FDR[11],"",0,1)</f>
        <v>5</v>
      </c>
      <c r="X253" cm="1">
        <f t="array" ref="X253">_xlfn.XLOOKUP(Matrix[[#This Row],[TEAM]]&amp;Matrix[[#Headers],[12]],FDR[FDR]&amp;FDR[[#Headers],[12]],FDR[12],"",0,1)</f>
        <v>5</v>
      </c>
      <c r="Y253" cm="1">
        <f t="array" ref="Y253">_xlfn.XLOOKUP(Matrix[[#This Row],[TEAM]]&amp;Matrix[[#Headers],[13]],FDR[FDR]&amp;FDR[[#Headers],[13]],FDR[13],"",0,1)</f>
        <v>5</v>
      </c>
      <c r="Z253" cm="1">
        <f t="array" ref="Z253">_xlfn.XLOOKUP(Matrix[[#This Row],[TEAM]]&amp;Matrix[[#Headers],[14]],FDR[FDR]&amp;FDR[[#Headers],[14]],FDR[14],"",0,1)</f>
        <v>4</v>
      </c>
      <c r="AA253" cm="1">
        <f t="array" ref="AA253">_xlfn.XLOOKUP(Matrix[[#This Row],[TEAM]]&amp;Matrix[[#Headers],[15]],FDR[FDR]&amp;FDR[[#Headers],[15]],FDR[15],"",0,1)</f>
        <v>5</v>
      </c>
      <c r="AB253" cm="1">
        <f t="array" ref="AB253">_xlfn.XLOOKUP(Matrix[[#This Row],[TEAM]]&amp;Matrix[[#Headers],[16]],FDR[FDR]&amp;FDR[[#Headers],[16]],FDR[16],"",0,1)</f>
        <v>5</v>
      </c>
      <c r="AC253" cm="1">
        <f t="array" ref="AC253">_xlfn.XLOOKUP(Matrix[[#This Row],[TEAM]]&amp;Matrix[[#Headers],[17]],FDR[FDR]&amp;FDR[[#Headers],[17]],FDR[17],"",0,1)</f>
        <v>5</v>
      </c>
      <c r="AD253" cm="1">
        <f t="array" ref="AD253">_xlfn.XLOOKUP(Matrix[[#This Row],[TEAM]]&amp;Matrix[[#Headers],[18]],FDR[FDR]&amp;FDR[[#Headers],[18]],FDR[18],"",0,1)</f>
        <v>4</v>
      </c>
      <c r="AE253" cm="1">
        <f t="array" ref="AE253">_xlfn.XLOOKUP(Matrix[[#This Row],[TEAM]]&amp;Matrix[[#Headers],[19]],FDR[FDR]&amp;FDR[[#Headers],[19]],FDR[19],"",0,1)</f>
        <v>5</v>
      </c>
      <c r="AF253" cm="1">
        <f t="array" ref="AF253">_xlfn.XLOOKUP(Matrix[[#This Row],[TEAM]]&amp;Matrix[[#Headers],[20]],FDR[FDR]&amp;FDR[[#Headers],[20]],FDR[20],"",0,1)</f>
        <v>5</v>
      </c>
      <c r="AG253" cm="1">
        <f t="array" ref="AG253">_xlfn.XLOOKUP(Matrix[[#This Row],[TEAM]]&amp;Matrix[[#Headers],[21]],FDR[FDR]&amp;FDR[[#Headers],[21]],FDR[21],"",0,1)</f>
        <v>5</v>
      </c>
      <c r="AH253" cm="1">
        <f t="array" ref="AH253">_xlfn.XLOOKUP(Matrix[[#This Row],[TEAM]]&amp;Matrix[[#Headers],[22]],FDR[FDR]&amp;FDR[[#Headers],[22]],FDR[22],"",0,1)</f>
        <v>5</v>
      </c>
      <c r="AI253" cm="1">
        <f t="array" ref="AI253">_xlfn.XLOOKUP(Matrix[[#This Row],[TEAM]]&amp;Matrix[[#Headers],[23]],FDR[FDR]&amp;FDR[[#Headers],[23]],FDR[23],"",0,1)</f>
        <v>5</v>
      </c>
      <c r="AJ253" cm="1">
        <f t="array" ref="AJ253">_xlfn.XLOOKUP(Matrix[[#This Row],[TEAM]]&amp;Matrix[[#Headers],[24]],FDR[FDR]&amp;FDR[[#Headers],[24]],FDR[24],"",0,1)</f>
        <v>4</v>
      </c>
      <c r="AK253" cm="1">
        <f t="array" ref="AK253">_xlfn.XLOOKUP(Matrix[[#This Row],[TEAM]]&amp;Matrix[[#Headers],[25]],FDR[FDR]&amp;FDR[[#Headers],[25]],FDR[25],"",0,1)</f>
        <v>4</v>
      </c>
      <c r="AL253" cm="1">
        <f t="array" ref="AL253">_xlfn.XLOOKUP(Matrix[[#This Row],[TEAM]]&amp;Matrix[[#Headers],[26]],FDR[FDR]&amp;FDR[[#Headers],[26]],FDR[26],"",0,1)</f>
        <v>5</v>
      </c>
      <c r="AM253" cm="1">
        <f t="array" ref="AM253">_xlfn.XLOOKUP(Matrix[[#This Row],[TEAM]]&amp;Matrix[[#Headers],[27]],FDR[FDR]&amp;FDR[[#Headers],[27]],FDR[27],"",0,1)</f>
        <v>5</v>
      </c>
      <c r="AN253" cm="1">
        <f t="array" ref="AN253">_xlfn.XLOOKUP(Matrix[[#This Row],[TEAM]]&amp;Matrix[[#Headers],[28]],FDR[FDR]&amp;FDR[[#Headers],[28]],FDR[28],"",0,1)</f>
        <v>4</v>
      </c>
      <c r="AO253" cm="1">
        <f t="array" ref="AO253">_xlfn.XLOOKUP(Matrix[[#This Row],[TEAM]]&amp;Matrix[[#Headers],[29]],FDR[FDR]&amp;FDR[[#Headers],[29]],FDR[29],"",0,1)</f>
        <v>5</v>
      </c>
      <c r="AP253" cm="1">
        <f t="array" ref="AP253">_xlfn.XLOOKUP(Matrix[[#This Row],[TEAM]]&amp;Matrix[[#Headers],[30]],FDR[FDR]&amp;FDR[[#Headers],[30]],FDR[30],"",0,1)</f>
        <v>5</v>
      </c>
      <c r="AQ253" cm="1">
        <f t="array" ref="AQ253">_xlfn.XLOOKUP(Matrix[[#This Row],[TEAM]]&amp;Matrix[[#Headers],[31]],FDR[FDR]&amp;FDR[[#Headers],[31]],FDR[31],"",0,1)</f>
        <v>5</v>
      </c>
      <c r="AR253" cm="1">
        <f t="array" ref="AR253">_xlfn.XLOOKUP(Matrix[[#This Row],[TEAM]]&amp;Matrix[[#Headers],[32]],FDR[FDR]&amp;FDR[[#Headers],[32]],FDR[32],"",0,1)</f>
        <v>5</v>
      </c>
      <c r="AS253" cm="1">
        <f t="array" ref="AS253">_xlfn.XLOOKUP(Matrix[[#This Row],[TEAM]]&amp;Matrix[[#Headers],[33]],FDR[FDR]&amp;FDR[[#Headers],[33]],FDR[33],"",0,1)</f>
        <v>5</v>
      </c>
      <c r="AT253" cm="1">
        <f t="array" ref="AT253">_xlfn.XLOOKUP(Matrix[[#This Row],[TEAM]]&amp;Matrix[[#Headers],[34]],FDR[FDR]&amp;FDR[[#Headers],[34]],FDR[34],"",0,1)</f>
        <v>5</v>
      </c>
      <c r="AU253" cm="1">
        <f t="array" ref="AU253">_xlfn.XLOOKUP(Matrix[[#This Row],[TEAM]]&amp;Matrix[[#Headers],[35]],FDR[FDR]&amp;FDR[[#Headers],[35]],FDR[35],"",0,1)</f>
        <v>4</v>
      </c>
      <c r="AV253" cm="1">
        <f t="array" ref="AV253">_xlfn.XLOOKUP(Matrix[[#This Row],[TEAM]]&amp;Matrix[[#Headers],[36]],FDR[FDR]&amp;FDR[[#Headers],[36]],FDR[36],"",0,1)</f>
        <v>5</v>
      </c>
      <c r="AW253" cm="1">
        <f t="array" ref="AW253">_xlfn.XLOOKUP(Matrix[[#This Row],[TEAM]]&amp;Matrix[[#Headers],[37]],FDR[FDR]&amp;FDR[[#Headers],[37]],FDR[37],"",0,1)</f>
        <v>5</v>
      </c>
      <c r="AX253" cm="1">
        <f t="array" ref="AX253">_xlfn.XLOOKUP(Matrix[[#This Row],[TEAM]]&amp;Matrix[[#Headers],[38]],FDR[FDR]&amp;FDR[[#Headers],[38]],FDR[38],"",0,1)</f>
        <v>3</v>
      </c>
    </row>
    <row r="254" spans="1:50" ht="22" thickTop="1" thickBot="1">
      <c r="A254" s="50" t="str">
        <f>INDEX!S$4</f>
        <v>MID</v>
      </c>
      <c r="B254" s="70" t="s">
        <v>1531</v>
      </c>
      <c r="C254" s="40" t="s">
        <v>633</v>
      </c>
      <c r="D254" s="62">
        <v>0</v>
      </c>
      <c r="E254" s="60">
        <v>3.0000000000000001E-3</v>
      </c>
      <c r="F254" s="61">
        <v>0</v>
      </c>
      <c r="G254" s="63">
        <v>5</v>
      </c>
      <c r="H254" s="261">
        <f>IF(ISBLANK(I254),0,1)</f>
        <v>0</v>
      </c>
      <c r="I254" s="57"/>
      <c r="J254" s="58"/>
      <c r="K254" s="59" t="s">
        <v>861</v>
      </c>
      <c r="L254" s="59" t="s">
        <v>862</v>
      </c>
      <c r="M254" cm="1">
        <f t="array" ref="M254">_xlfn.XLOOKUP(Matrix[[#This Row],[TEAM]]&amp;Matrix[[#Headers],[1]],FDR[FDR]&amp;FDR[[#Headers],[1]],FDR[1],"",0,1)</f>
        <v>4</v>
      </c>
      <c r="N254" cm="1">
        <f t="array" ref="N254">_xlfn.XLOOKUP(Matrix[[#This Row],[TEAM]]&amp;Matrix[[#Headers],[2]],FDR[FDR]&amp;FDR[[#Headers],[2]],FDR[2],"",0,1)</f>
        <v>5</v>
      </c>
      <c r="O254" cm="1">
        <f t="array" ref="O254">_xlfn.XLOOKUP(Matrix[[#This Row],[TEAM]]&amp;Matrix[[#Headers],[3]],FDR[FDR]&amp;FDR[[#Headers],[3]],FDR[3],"",0,1)</f>
        <v>5</v>
      </c>
      <c r="P254" cm="1">
        <f t="array" ref="P254">_xlfn.XLOOKUP(Matrix[[#This Row],[TEAM]]&amp;Matrix[[#Headers],[4]],FDR[FDR]&amp;FDR[[#Headers],[4]],FDR[4],"",0,1)</f>
        <v>5</v>
      </c>
      <c r="Q254" cm="1">
        <f t="array" ref="Q254">_xlfn.XLOOKUP(Matrix[[#This Row],[TEAM]]&amp;Matrix[[#Headers],[5]],FDR[FDR]&amp;FDR[[#Headers],[5]],FDR[5],"",0,1)</f>
        <v>4</v>
      </c>
      <c r="R254" cm="1">
        <f t="array" ref="R254">_xlfn.XLOOKUP(Matrix[[#This Row],[TEAM]]&amp;Matrix[[#Headers],[6]],FDR[FDR]&amp;FDR[[#Headers],[6]],FDR[6],"",0,1)</f>
        <v>5</v>
      </c>
      <c r="S254" cm="1">
        <f t="array" ref="S254">_xlfn.XLOOKUP(Matrix[[#This Row],[TEAM]]&amp;Matrix[[#Headers],[7]],FDR[FDR]&amp;FDR[[#Headers],[7]],FDR[7],"",0,1)</f>
        <v>5</v>
      </c>
      <c r="T254" cm="1">
        <f t="array" ref="T254">_xlfn.XLOOKUP(Matrix[[#This Row],[TEAM]]&amp;Matrix[[#Headers],[8]],FDR[FDR]&amp;FDR[[#Headers],[8]],FDR[8],"",0,1)</f>
        <v>4</v>
      </c>
      <c r="U254" cm="1">
        <f t="array" ref="U254">_xlfn.XLOOKUP(Matrix[[#This Row],[TEAM]]&amp;Matrix[[#Headers],[9]],FDR[FDR]&amp;FDR[[#Headers],[9]],FDR[9],"",0,1)</f>
        <v>4</v>
      </c>
      <c r="V254" cm="1">
        <f t="array" ref="V254">_xlfn.XLOOKUP(Matrix[[#This Row],[TEAM]]&amp;Matrix[[#Headers],[10]],FDR[FDR]&amp;FDR[[#Headers],[10]],FDR[10],"",0,1)</f>
        <v>5</v>
      </c>
      <c r="W254" cm="1">
        <f t="array" ref="W254">_xlfn.XLOOKUP(Matrix[[#This Row],[TEAM]]&amp;Matrix[[#Headers],[11]],FDR[FDR]&amp;FDR[[#Headers],[11]],FDR[11],"",0,1)</f>
        <v>5</v>
      </c>
      <c r="X254" cm="1">
        <f t="array" ref="X254">_xlfn.XLOOKUP(Matrix[[#This Row],[TEAM]]&amp;Matrix[[#Headers],[12]],FDR[FDR]&amp;FDR[[#Headers],[12]],FDR[12],"",0,1)</f>
        <v>5</v>
      </c>
      <c r="Y254" cm="1">
        <f t="array" ref="Y254">_xlfn.XLOOKUP(Matrix[[#This Row],[TEAM]]&amp;Matrix[[#Headers],[13]],FDR[FDR]&amp;FDR[[#Headers],[13]],FDR[13],"",0,1)</f>
        <v>5</v>
      </c>
      <c r="Z254" cm="1">
        <f t="array" ref="Z254">_xlfn.XLOOKUP(Matrix[[#This Row],[TEAM]]&amp;Matrix[[#Headers],[14]],FDR[FDR]&amp;FDR[[#Headers],[14]],FDR[14],"",0,1)</f>
        <v>5</v>
      </c>
      <c r="AA254" cm="1">
        <f t="array" ref="AA254">_xlfn.XLOOKUP(Matrix[[#This Row],[TEAM]]&amp;Matrix[[#Headers],[15]],FDR[FDR]&amp;FDR[[#Headers],[15]],FDR[15],"",0,1)</f>
        <v>5</v>
      </c>
      <c r="AB254" cm="1">
        <f t="array" ref="AB254">_xlfn.XLOOKUP(Matrix[[#This Row],[TEAM]]&amp;Matrix[[#Headers],[16]],FDR[FDR]&amp;FDR[[#Headers],[16]],FDR[16],"",0,1)</f>
        <v>5</v>
      </c>
      <c r="AC254" cm="1">
        <f t="array" ref="AC254">_xlfn.XLOOKUP(Matrix[[#This Row],[TEAM]]&amp;Matrix[[#Headers],[17]],FDR[FDR]&amp;FDR[[#Headers],[17]],FDR[17],"",0,1)</f>
        <v>4</v>
      </c>
      <c r="AD254" cm="1">
        <f t="array" ref="AD254">_xlfn.XLOOKUP(Matrix[[#This Row],[TEAM]]&amp;Matrix[[#Headers],[18]],FDR[FDR]&amp;FDR[[#Headers],[18]],FDR[18],"",0,1)</f>
        <v>4</v>
      </c>
      <c r="AE254" cm="1">
        <f t="array" ref="AE254">_xlfn.XLOOKUP(Matrix[[#This Row],[TEAM]]&amp;Matrix[[#Headers],[19]],FDR[FDR]&amp;FDR[[#Headers],[19]],FDR[19],"",0,1)</f>
        <v>5</v>
      </c>
      <c r="AF254" cm="1">
        <f t="array" ref="AF254">_xlfn.XLOOKUP(Matrix[[#This Row],[TEAM]]&amp;Matrix[[#Headers],[20]],FDR[FDR]&amp;FDR[[#Headers],[20]],FDR[20],"",0,1)</f>
        <v>5</v>
      </c>
      <c r="AG254" cm="1">
        <f t="array" ref="AG254">_xlfn.XLOOKUP(Matrix[[#This Row],[TEAM]]&amp;Matrix[[#Headers],[21]],FDR[FDR]&amp;FDR[[#Headers],[21]],FDR[21],"",0,1)</f>
        <v>5</v>
      </c>
      <c r="AH254" cm="1">
        <f t="array" ref="AH254">_xlfn.XLOOKUP(Matrix[[#This Row],[TEAM]]&amp;Matrix[[#Headers],[22]],FDR[FDR]&amp;FDR[[#Headers],[22]],FDR[22],"",0,1)</f>
        <v>5</v>
      </c>
      <c r="AI254" cm="1">
        <f t="array" ref="AI254">_xlfn.XLOOKUP(Matrix[[#This Row],[TEAM]]&amp;Matrix[[#Headers],[23]],FDR[FDR]&amp;FDR[[#Headers],[23]],FDR[23],"",0,1)</f>
        <v>5</v>
      </c>
      <c r="AJ254" cm="1">
        <f t="array" ref="AJ254">_xlfn.XLOOKUP(Matrix[[#This Row],[TEAM]]&amp;Matrix[[#Headers],[24]],FDR[FDR]&amp;FDR[[#Headers],[24]],FDR[24],"",0,1)</f>
        <v>5</v>
      </c>
      <c r="AK254" cm="1">
        <f t="array" ref="AK254">_xlfn.XLOOKUP(Matrix[[#This Row],[TEAM]]&amp;Matrix[[#Headers],[25]],FDR[FDR]&amp;FDR[[#Headers],[25]],FDR[25],"",0,1)</f>
        <v>5</v>
      </c>
      <c r="AL254" cm="1">
        <f t="array" ref="AL254">_xlfn.XLOOKUP(Matrix[[#This Row],[TEAM]]&amp;Matrix[[#Headers],[26]],FDR[FDR]&amp;FDR[[#Headers],[26]],FDR[26],"",0,1)</f>
        <v>5</v>
      </c>
      <c r="AM254" cm="1">
        <f t="array" ref="AM254">_xlfn.XLOOKUP(Matrix[[#This Row],[TEAM]]&amp;Matrix[[#Headers],[27]],FDR[FDR]&amp;FDR[[#Headers],[27]],FDR[27],"",0,1)</f>
        <v>5</v>
      </c>
      <c r="AN254" cm="1">
        <f t="array" ref="AN254">_xlfn.XLOOKUP(Matrix[[#This Row],[TEAM]]&amp;Matrix[[#Headers],[28]],FDR[FDR]&amp;FDR[[#Headers],[28]],FDR[28],"",0,1)</f>
        <v>5</v>
      </c>
      <c r="AO254" cm="1">
        <f t="array" ref="AO254">_xlfn.XLOOKUP(Matrix[[#This Row],[TEAM]]&amp;Matrix[[#Headers],[29]],FDR[FDR]&amp;FDR[[#Headers],[29]],FDR[29],"",0,1)</f>
        <v>3</v>
      </c>
      <c r="AP254" cm="1">
        <f t="array" ref="AP254">_xlfn.XLOOKUP(Matrix[[#This Row],[TEAM]]&amp;Matrix[[#Headers],[30]],FDR[FDR]&amp;FDR[[#Headers],[30]],FDR[30],"",0,1)</f>
        <v>5</v>
      </c>
      <c r="AQ254" cm="1">
        <f t="array" ref="AQ254">_xlfn.XLOOKUP(Matrix[[#This Row],[TEAM]]&amp;Matrix[[#Headers],[31]],FDR[FDR]&amp;FDR[[#Headers],[31]],FDR[31],"",0,1)</f>
        <v>4</v>
      </c>
      <c r="AR254" cm="1">
        <f t="array" ref="AR254">_xlfn.XLOOKUP(Matrix[[#This Row],[TEAM]]&amp;Matrix[[#Headers],[32]],FDR[FDR]&amp;FDR[[#Headers],[32]],FDR[32],"",0,1)</f>
        <v>5</v>
      </c>
      <c r="AS254" cm="1">
        <f t="array" ref="AS254">_xlfn.XLOOKUP(Matrix[[#This Row],[TEAM]]&amp;Matrix[[#Headers],[33]],FDR[FDR]&amp;FDR[[#Headers],[33]],FDR[33],"",0,1)</f>
        <v>3</v>
      </c>
      <c r="AT254" cm="1">
        <f t="array" ref="AT254">_xlfn.XLOOKUP(Matrix[[#This Row],[TEAM]]&amp;Matrix[[#Headers],[34]],FDR[FDR]&amp;FDR[[#Headers],[34]],FDR[34],"",0,1)</f>
        <v>5</v>
      </c>
      <c r="AU254" cm="1">
        <f t="array" ref="AU254">_xlfn.XLOOKUP(Matrix[[#This Row],[TEAM]]&amp;Matrix[[#Headers],[35]],FDR[FDR]&amp;FDR[[#Headers],[35]],FDR[35],"",0,1)</f>
        <v>3</v>
      </c>
      <c r="AV254" cm="1">
        <f t="array" ref="AV254">_xlfn.XLOOKUP(Matrix[[#This Row],[TEAM]]&amp;Matrix[[#Headers],[36]],FDR[FDR]&amp;FDR[[#Headers],[36]],FDR[36],"",0,1)</f>
        <v>5</v>
      </c>
      <c r="AW254" cm="1">
        <f t="array" ref="AW254">_xlfn.XLOOKUP(Matrix[[#This Row],[TEAM]]&amp;Matrix[[#Headers],[37]],FDR[FDR]&amp;FDR[[#Headers],[37]],FDR[37],"",0,1)</f>
        <v>5</v>
      </c>
      <c r="AX254" cm="1">
        <f t="array" ref="AX254">_xlfn.XLOOKUP(Matrix[[#This Row],[TEAM]]&amp;Matrix[[#Headers],[38]],FDR[FDR]&amp;FDR[[#Headers],[38]],FDR[38],"",0,1)</f>
        <v>5</v>
      </c>
    </row>
    <row r="255" spans="1:50" ht="22" thickTop="1" thickBot="1">
      <c r="A255" s="50" t="str">
        <f>INDEX!S$4</f>
        <v>MID</v>
      </c>
      <c r="B255" s="70" t="s">
        <v>1576</v>
      </c>
      <c r="C255" s="40" t="s">
        <v>633</v>
      </c>
      <c r="D255" s="62">
        <v>0</v>
      </c>
      <c r="E255" s="60">
        <v>1E-3</v>
      </c>
      <c r="F255" s="61">
        <v>0</v>
      </c>
      <c r="G255" s="63">
        <v>5</v>
      </c>
      <c r="H255" s="261">
        <f>IF(ISBLANK(I255),0,1)</f>
        <v>0</v>
      </c>
      <c r="I255" s="57"/>
      <c r="J255" s="58"/>
      <c r="K255" s="59" t="s">
        <v>855</v>
      </c>
      <c r="L255" s="59" t="s">
        <v>856</v>
      </c>
      <c r="M255" cm="1">
        <f t="array" ref="M255">_xlfn.XLOOKUP(Matrix[[#This Row],[TEAM]]&amp;Matrix[[#Headers],[1]],FDR[FDR]&amp;FDR[[#Headers],[1]],FDR[1],"",0,1)</f>
        <v>4</v>
      </c>
      <c r="N255" cm="1">
        <f t="array" ref="N255">_xlfn.XLOOKUP(Matrix[[#This Row],[TEAM]]&amp;Matrix[[#Headers],[2]],FDR[FDR]&amp;FDR[[#Headers],[2]],FDR[2],"",0,1)</f>
        <v>5</v>
      </c>
      <c r="O255" cm="1">
        <f t="array" ref="O255">_xlfn.XLOOKUP(Matrix[[#This Row],[TEAM]]&amp;Matrix[[#Headers],[3]],FDR[FDR]&amp;FDR[[#Headers],[3]],FDR[3],"",0,1)</f>
        <v>5</v>
      </c>
      <c r="P255" cm="1">
        <f t="array" ref="P255">_xlfn.XLOOKUP(Matrix[[#This Row],[TEAM]]&amp;Matrix[[#Headers],[4]],FDR[FDR]&amp;FDR[[#Headers],[4]],FDR[4],"",0,1)</f>
        <v>5</v>
      </c>
      <c r="Q255" cm="1">
        <f t="array" ref="Q255">_xlfn.XLOOKUP(Matrix[[#This Row],[TEAM]]&amp;Matrix[[#Headers],[5]],FDR[FDR]&amp;FDR[[#Headers],[5]],FDR[5],"",0,1)</f>
        <v>4</v>
      </c>
      <c r="R255" cm="1">
        <f t="array" ref="R255">_xlfn.XLOOKUP(Matrix[[#This Row],[TEAM]]&amp;Matrix[[#Headers],[6]],FDR[FDR]&amp;FDR[[#Headers],[6]],FDR[6],"",0,1)</f>
        <v>5</v>
      </c>
      <c r="S255" cm="1">
        <f t="array" ref="S255">_xlfn.XLOOKUP(Matrix[[#This Row],[TEAM]]&amp;Matrix[[#Headers],[7]],FDR[FDR]&amp;FDR[[#Headers],[7]],FDR[7],"",0,1)</f>
        <v>5</v>
      </c>
      <c r="T255" cm="1">
        <f t="array" ref="T255">_xlfn.XLOOKUP(Matrix[[#This Row],[TEAM]]&amp;Matrix[[#Headers],[8]],FDR[FDR]&amp;FDR[[#Headers],[8]],FDR[8],"",0,1)</f>
        <v>4</v>
      </c>
      <c r="U255" cm="1">
        <f t="array" ref="U255">_xlfn.XLOOKUP(Matrix[[#This Row],[TEAM]]&amp;Matrix[[#Headers],[9]],FDR[FDR]&amp;FDR[[#Headers],[9]],FDR[9],"",0,1)</f>
        <v>4</v>
      </c>
      <c r="V255" cm="1">
        <f t="array" ref="V255">_xlfn.XLOOKUP(Matrix[[#This Row],[TEAM]]&amp;Matrix[[#Headers],[10]],FDR[FDR]&amp;FDR[[#Headers],[10]],FDR[10],"",0,1)</f>
        <v>5</v>
      </c>
      <c r="W255" cm="1">
        <f t="array" ref="W255">_xlfn.XLOOKUP(Matrix[[#This Row],[TEAM]]&amp;Matrix[[#Headers],[11]],FDR[FDR]&amp;FDR[[#Headers],[11]],FDR[11],"",0,1)</f>
        <v>5</v>
      </c>
      <c r="X255" cm="1">
        <f t="array" ref="X255">_xlfn.XLOOKUP(Matrix[[#This Row],[TEAM]]&amp;Matrix[[#Headers],[12]],FDR[FDR]&amp;FDR[[#Headers],[12]],FDR[12],"",0,1)</f>
        <v>5</v>
      </c>
      <c r="Y255" cm="1">
        <f t="array" ref="Y255">_xlfn.XLOOKUP(Matrix[[#This Row],[TEAM]]&amp;Matrix[[#Headers],[13]],FDR[FDR]&amp;FDR[[#Headers],[13]],FDR[13],"",0,1)</f>
        <v>5</v>
      </c>
      <c r="Z255" cm="1">
        <f t="array" ref="Z255">_xlfn.XLOOKUP(Matrix[[#This Row],[TEAM]]&amp;Matrix[[#Headers],[14]],FDR[FDR]&amp;FDR[[#Headers],[14]],FDR[14],"",0,1)</f>
        <v>5</v>
      </c>
      <c r="AA255" cm="1">
        <f t="array" ref="AA255">_xlfn.XLOOKUP(Matrix[[#This Row],[TEAM]]&amp;Matrix[[#Headers],[15]],FDR[FDR]&amp;FDR[[#Headers],[15]],FDR[15],"",0,1)</f>
        <v>5</v>
      </c>
      <c r="AB255" cm="1">
        <f t="array" ref="AB255">_xlfn.XLOOKUP(Matrix[[#This Row],[TEAM]]&amp;Matrix[[#Headers],[16]],FDR[FDR]&amp;FDR[[#Headers],[16]],FDR[16],"",0,1)</f>
        <v>5</v>
      </c>
      <c r="AC255" cm="1">
        <f t="array" ref="AC255">_xlfn.XLOOKUP(Matrix[[#This Row],[TEAM]]&amp;Matrix[[#Headers],[17]],FDR[FDR]&amp;FDR[[#Headers],[17]],FDR[17],"",0,1)</f>
        <v>4</v>
      </c>
      <c r="AD255" cm="1">
        <f t="array" ref="AD255">_xlfn.XLOOKUP(Matrix[[#This Row],[TEAM]]&amp;Matrix[[#Headers],[18]],FDR[FDR]&amp;FDR[[#Headers],[18]],FDR[18],"",0,1)</f>
        <v>4</v>
      </c>
      <c r="AE255" cm="1">
        <f t="array" ref="AE255">_xlfn.XLOOKUP(Matrix[[#This Row],[TEAM]]&amp;Matrix[[#Headers],[19]],FDR[FDR]&amp;FDR[[#Headers],[19]],FDR[19],"",0,1)</f>
        <v>5</v>
      </c>
      <c r="AF255" cm="1">
        <f t="array" ref="AF255">_xlfn.XLOOKUP(Matrix[[#This Row],[TEAM]]&amp;Matrix[[#Headers],[20]],FDR[FDR]&amp;FDR[[#Headers],[20]],FDR[20],"",0,1)</f>
        <v>5</v>
      </c>
      <c r="AG255" cm="1">
        <f t="array" ref="AG255">_xlfn.XLOOKUP(Matrix[[#This Row],[TEAM]]&amp;Matrix[[#Headers],[21]],FDR[FDR]&amp;FDR[[#Headers],[21]],FDR[21],"",0,1)</f>
        <v>5</v>
      </c>
      <c r="AH255" cm="1">
        <f t="array" ref="AH255">_xlfn.XLOOKUP(Matrix[[#This Row],[TEAM]]&amp;Matrix[[#Headers],[22]],FDR[FDR]&amp;FDR[[#Headers],[22]],FDR[22],"",0,1)</f>
        <v>5</v>
      </c>
      <c r="AI255" cm="1">
        <f t="array" ref="AI255">_xlfn.XLOOKUP(Matrix[[#This Row],[TEAM]]&amp;Matrix[[#Headers],[23]],FDR[FDR]&amp;FDR[[#Headers],[23]],FDR[23],"",0,1)</f>
        <v>5</v>
      </c>
      <c r="AJ255" cm="1">
        <f t="array" ref="AJ255">_xlfn.XLOOKUP(Matrix[[#This Row],[TEAM]]&amp;Matrix[[#Headers],[24]],FDR[FDR]&amp;FDR[[#Headers],[24]],FDR[24],"",0,1)</f>
        <v>5</v>
      </c>
      <c r="AK255" cm="1">
        <f t="array" ref="AK255">_xlfn.XLOOKUP(Matrix[[#This Row],[TEAM]]&amp;Matrix[[#Headers],[25]],FDR[FDR]&amp;FDR[[#Headers],[25]],FDR[25],"",0,1)</f>
        <v>5</v>
      </c>
      <c r="AL255" cm="1">
        <f t="array" ref="AL255">_xlfn.XLOOKUP(Matrix[[#This Row],[TEAM]]&amp;Matrix[[#Headers],[26]],FDR[FDR]&amp;FDR[[#Headers],[26]],FDR[26],"",0,1)</f>
        <v>5</v>
      </c>
      <c r="AM255" cm="1">
        <f t="array" ref="AM255">_xlfn.XLOOKUP(Matrix[[#This Row],[TEAM]]&amp;Matrix[[#Headers],[27]],FDR[FDR]&amp;FDR[[#Headers],[27]],FDR[27],"",0,1)</f>
        <v>5</v>
      </c>
      <c r="AN255" cm="1">
        <f t="array" ref="AN255">_xlfn.XLOOKUP(Matrix[[#This Row],[TEAM]]&amp;Matrix[[#Headers],[28]],FDR[FDR]&amp;FDR[[#Headers],[28]],FDR[28],"",0,1)</f>
        <v>5</v>
      </c>
      <c r="AO255" cm="1">
        <f t="array" ref="AO255">_xlfn.XLOOKUP(Matrix[[#This Row],[TEAM]]&amp;Matrix[[#Headers],[29]],FDR[FDR]&amp;FDR[[#Headers],[29]],FDR[29],"",0,1)</f>
        <v>3</v>
      </c>
      <c r="AP255" cm="1">
        <f t="array" ref="AP255">_xlfn.XLOOKUP(Matrix[[#This Row],[TEAM]]&amp;Matrix[[#Headers],[30]],FDR[FDR]&amp;FDR[[#Headers],[30]],FDR[30],"",0,1)</f>
        <v>5</v>
      </c>
      <c r="AQ255" cm="1">
        <f t="array" ref="AQ255">_xlfn.XLOOKUP(Matrix[[#This Row],[TEAM]]&amp;Matrix[[#Headers],[31]],FDR[FDR]&amp;FDR[[#Headers],[31]],FDR[31],"",0,1)</f>
        <v>4</v>
      </c>
      <c r="AR255" cm="1">
        <f t="array" ref="AR255">_xlfn.XLOOKUP(Matrix[[#This Row],[TEAM]]&amp;Matrix[[#Headers],[32]],FDR[FDR]&amp;FDR[[#Headers],[32]],FDR[32],"",0,1)</f>
        <v>5</v>
      </c>
      <c r="AS255" cm="1">
        <f t="array" ref="AS255">_xlfn.XLOOKUP(Matrix[[#This Row],[TEAM]]&amp;Matrix[[#Headers],[33]],FDR[FDR]&amp;FDR[[#Headers],[33]],FDR[33],"",0,1)</f>
        <v>3</v>
      </c>
      <c r="AT255" cm="1">
        <f t="array" ref="AT255">_xlfn.XLOOKUP(Matrix[[#This Row],[TEAM]]&amp;Matrix[[#Headers],[34]],FDR[FDR]&amp;FDR[[#Headers],[34]],FDR[34],"",0,1)</f>
        <v>5</v>
      </c>
      <c r="AU255" cm="1">
        <f t="array" ref="AU255">_xlfn.XLOOKUP(Matrix[[#This Row],[TEAM]]&amp;Matrix[[#Headers],[35]],FDR[FDR]&amp;FDR[[#Headers],[35]],FDR[35],"",0,1)</f>
        <v>3</v>
      </c>
      <c r="AV255" cm="1">
        <f t="array" ref="AV255">_xlfn.XLOOKUP(Matrix[[#This Row],[TEAM]]&amp;Matrix[[#Headers],[36]],FDR[FDR]&amp;FDR[[#Headers],[36]],FDR[36],"",0,1)</f>
        <v>5</v>
      </c>
      <c r="AW255" cm="1">
        <f t="array" ref="AW255">_xlfn.XLOOKUP(Matrix[[#This Row],[TEAM]]&amp;Matrix[[#Headers],[37]],FDR[FDR]&amp;FDR[[#Headers],[37]],FDR[37],"",0,1)</f>
        <v>5</v>
      </c>
      <c r="AX255" cm="1">
        <f t="array" ref="AX255">_xlfn.XLOOKUP(Matrix[[#This Row],[TEAM]]&amp;Matrix[[#Headers],[38]],FDR[FDR]&amp;FDR[[#Headers],[38]],FDR[38],"",0,1)</f>
        <v>5</v>
      </c>
    </row>
    <row r="256" spans="1:50" ht="22" thickTop="1" thickBot="1">
      <c r="A256" s="50" t="str">
        <f>INDEX!S$4</f>
        <v>MID</v>
      </c>
      <c r="B256" s="70" t="s">
        <v>1607</v>
      </c>
      <c r="C256" s="40" t="s">
        <v>17</v>
      </c>
      <c r="D256" s="62">
        <v>0</v>
      </c>
      <c r="E256" s="60">
        <v>0</v>
      </c>
      <c r="F256" s="61">
        <v>0</v>
      </c>
      <c r="G256" s="63">
        <v>5</v>
      </c>
      <c r="H256" s="261">
        <f>IF(ISBLANK(I256),0,1)</f>
        <v>0</v>
      </c>
      <c r="I256" s="57"/>
      <c r="J256" s="58"/>
      <c r="K256" s="59" t="s">
        <v>375</v>
      </c>
      <c r="L256" s="59" t="s">
        <v>867</v>
      </c>
      <c r="M256" cm="1">
        <f t="array" ref="M256">_xlfn.XLOOKUP(Matrix[[#This Row],[TEAM]]&amp;Matrix[[#Headers],[1]],FDR[FDR]&amp;FDR[[#Headers],[1]],FDR[1],"",0,1)</f>
        <v>1</v>
      </c>
      <c r="N256" cm="1">
        <f t="array" ref="N256">_xlfn.XLOOKUP(Matrix[[#This Row],[TEAM]]&amp;Matrix[[#Headers],[2]],FDR[FDR]&amp;FDR[[#Headers],[2]],FDR[2],"",0,1)</f>
        <v>3</v>
      </c>
      <c r="O256" cm="1">
        <f t="array" ref="O256">_xlfn.XLOOKUP(Matrix[[#This Row],[TEAM]]&amp;Matrix[[#Headers],[3]],FDR[FDR]&amp;FDR[[#Headers],[3]],FDR[3],"",0,1)</f>
        <v>3</v>
      </c>
      <c r="P256" cm="1">
        <f t="array" ref="P256">_xlfn.XLOOKUP(Matrix[[#This Row],[TEAM]]&amp;Matrix[[#Headers],[4]],FDR[FDR]&amp;FDR[[#Headers],[4]],FDR[4],"",0,1)</f>
        <v>1</v>
      </c>
      <c r="Q256" cm="1">
        <f t="array" ref="Q256">_xlfn.XLOOKUP(Matrix[[#This Row],[TEAM]]&amp;Matrix[[#Headers],[5]],FDR[FDR]&amp;FDR[[#Headers],[5]],FDR[5],"",0,1)</f>
        <v>1</v>
      </c>
      <c r="R256" cm="1">
        <f t="array" ref="R256">_xlfn.XLOOKUP(Matrix[[#This Row],[TEAM]]&amp;Matrix[[#Headers],[6]],FDR[FDR]&amp;FDR[[#Headers],[6]],FDR[6],"",0,1)</f>
        <v>2</v>
      </c>
      <c r="S256" cm="1">
        <f t="array" ref="S256">_xlfn.XLOOKUP(Matrix[[#This Row],[TEAM]]&amp;Matrix[[#Headers],[7]],FDR[FDR]&amp;FDR[[#Headers],[7]],FDR[7],"",0,1)</f>
        <v>3</v>
      </c>
      <c r="T256" cm="1">
        <f t="array" ref="T256">_xlfn.XLOOKUP(Matrix[[#This Row],[TEAM]]&amp;Matrix[[#Headers],[8]],FDR[FDR]&amp;FDR[[#Headers],[8]],FDR[8],"",0,1)</f>
        <v>2</v>
      </c>
      <c r="U256" cm="1">
        <f t="array" ref="U256">_xlfn.XLOOKUP(Matrix[[#This Row],[TEAM]]&amp;Matrix[[#Headers],[9]],FDR[FDR]&amp;FDR[[#Headers],[9]],FDR[9],"",0,1)</f>
        <v>2</v>
      </c>
      <c r="V256" cm="1">
        <f t="array" ref="V256">_xlfn.XLOOKUP(Matrix[[#This Row],[TEAM]]&amp;Matrix[[#Headers],[10]],FDR[FDR]&amp;FDR[[#Headers],[10]],FDR[10],"",0,1)</f>
        <v>2</v>
      </c>
      <c r="W256" cm="1">
        <f t="array" ref="W256">_xlfn.XLOOKUP(Matrix[[#This Row],[TEAM]]&amp;Matrix[[#Headers],[11]],FDR[FDR]&amp;FDR[[#Headers],[11]],FDR[11],"",0,1)</f>
        <v>3</v>
      </c>
      <c r="X256" cm="1">
        <f t="array" ref="X256">_xlfn.XLOOKUP(Matrix[[#This Row],[TEAM]]&amp;Matrix[[#Headers],[12]],FDR[FDR]&amp;FDR[[#Headers],[12]],FDR[12],"",0,1)</f>
        <v>1</v>
      </c>
      <c r="Y256" cm="1">
        <f t="array" ref="Y256">_xlfn.XLOOKUP(Matrix[[#This Row],[TEAM]]&amp;Matrix[[#Headers],[13]],FDR[FDR]&amp;FDR[[#Headers],[13]],FDR[13],"",0,1)</f>
        <v>2</v>
      </c>
      <c r="Z256" cm="1">
        <f t="array" ref="Z256">_xlfn.XLOOKUP(Matrix[[#This Row],[TEAM]]&amp;Matrix[[#Headers],[14]],FDR[FDR]&amp;FDR[[#Headers],[14]],FDR[14],"",0,1)</f>
        <v>1</v>
      </c>
      <c r="AA256" cm="1">
        <f t="array" ref="AA256">_xlfn.XLOOKUP(Matrix[[#This Row],[TEAM]]&amp;Matrix[[#Headers],[15]],FDR[FDR]&amp;FDR[[#Headers],[15]],FDR[15],"",0,1)</f>
        <v>1</v>
      </c>
      <c r="AB256" cm="1">
        <f t="array" ref="AB256">_xlfn.XLOOKUP(Matrix[[#This Row],[TEAM]]&amp;Matrix[[#Headers],[16]],FDR[FDR]&amp;FDR[[#Headers],[16]],FDR[16],"",0,1)</f>
        <v>1</v>
      </c>
      <c r="AC256" cm="1">
        <f t="array" ref="AC256">_xlfn.XLOOKUP(Matrix[[#This Row],[TEAM]]&amp;Matrix[[#Headers],[17]],FDR[FDR]&amp;FDR[[#Headers],[17]],FDR[17],"",0,1)</f>
        <v>3</v>
      </c>
      <c r="AD256" cm="1">
        <f t="array" ref="AD256">_xlfn.XLOOKUP(Matrix[[#This Row],[TEAM]]&amp;Matrix[[#Headers],[18]],FDR[FDR]&amp;FDR[[#Headers],[18]],FDR[18],"",0,1)</f>
        <v>1</v>
      </c>
      <c r="AE256" cm="1">
        <f t="array" ref="AE256">_xlfn.XLOOKUP(Matrix[[#This Row],[TEAM]]&amp;Matrix[[#Headers],[19]],FDR[FDR]&amp;FDR[[#Headers],[19]],FDR[19],"",0,1)</f>
        <v>1</v>
      </c>
      <c r="AF256" cm="1">
        <f t="array" ref="AF256">_xlfn.XLOOKUP(Matrix[[#This Row],[TEAM]]&amp;Matrix[[#Headers],[20]],FDR[FDR]&amp;FDR[[#Headers],[20]],FDR[20],"",0,1)</f>
        <v>2</v>
      </c>
      <c r="AG256" cm="1">
        <f t="array" ref="AG256">_xlfn.XLOOKUP(Matrix[[#This Row],[TEAM]]&amp;Matrix[[#Headers],[21]],FDR[FDR]&amp;FDR[[#Headers],[21]],FDR[21],"",0,1)</f>
        <v>3</v>
      </c>
      <c r="AH256" cm="1">
        <f t="array" ref="AH256">_xlfn.XLOOKUP(Matrix[[#This Row],[TEAM]]&amp;Matrix[[#Headers],[22]],FDR[FDR]&amp;FDR[[#Headers],[22]],FDR[22],"",0,1)</f>
        <v>1</v>
      </c>
      <c r="AI256" cm="1">
        <f t="array" ref="AI256">_xlfn.XLOOKUP(Matrix[[#This Row],[TEAM]]&amp;Matrix[[#Headers],[23]],FDR[FDR]&amp;FDR[[#Headers],[23]],FDR[23],"",0,1)</f>
        <v>2</v>
      </c>
      <c r="AJ256" cm="1">
        <f t="array" ref="AJ256">_xlfn.XLOOKUP(Matrix[[#This Row],[TEAM]]&amp;Matrix[[#Headers],[24]],FDR[FDR]&amp;FDR[[#Headers],[24]],FDR[24],"",0,1)</f>
        <v>2</v>
      </c>
      <c r="AK256" cm="1">
        <f t="array" ref="AK256">_xlfn.XLOOKUP(Matrix[[#This Row],[TEAM]]&amp;Matrix[[#Headers],[25]],FDR[FDR]&amp;FDR[[#Headers],[25]],FDR[25],"",0,1)</f>
        <v>3</v>
      </c>
      <c r="AL256" cm="1">
        <f t="array" ref="AL256">_xlfn.XLOOKUP(Matrix[[#This Row],[TEAM]]&amp;Matrix[[#Headers],[26]],FDR[FDR]&amp;FDR[[#Headers],[26]],FDR[26],"",0,1)</f>
        <v>1</v>
      </c>
      <c r="AM256" cm="1">
        <f t="array" ref="AM256">_xlfn.XLOOKUP(Matrix[[#This Row],[TEAM]]&amp;Matrix[[#Headers],[27]],FDR[FDR]&amp;FDR[[#Headers],[27]],FDR[27],"",0,1)</f>
        <v>2</v>
      </c>
      <c r="AN256" cm="1">
        <f t="array" ref="AN256">_xlfn.XLOOKUP(Matrix[[#This Row],[TEAM]]&amp;Matrix[[#Headers],[28]],FDR[FDR]&amp;FDR[[#Headers],[28]],FDR[28],"",0,1)</f>
        <v>1</v>
      </c>
      <c r="AO256" cm="1">
        <f t="array" ref="AO256">_xlfn.XLOOKUP(Matrix[[#This Row],[TEAM]]&amp;Matrix[[#Headers],[29]],FDR[FDR]&amp;FDR[[#Headers],[29]],FDR[29],"",0,1)</f>
        <v>1</v>
      </c>
      <c r="AP256" cm="1">
        <f t="array" ref="AP256">_xlfn.XLOOKUP(Matrix[[#This Row],[TEAM]]&amp;Matrix[[#Headers],[30]],FDR[FDR]&amp;FDR[[#Headers],[30]],FDR[30],"",0,1)</f>
        <v>2</v>
      </c>
      <c r="AQ256" cm="1">
        <f t="array" ref="AQ256">_xlfn.XLOOKUP(Matrix[[#This Row],[TEAM]]&amp;Matrix[[#Headers],[31]],FDR[FDR]&amp;FDR[[#Headers],[31]],FDR[31],"",0,1)</f>
        <v>2</v>
      </c>
      <c r="AR256" cm="1">
        <f t="array" ref="AR256">_xlfn.XLOOKUP(Matrix[[#This Row],[TEAM]]&amp;Matrix[[#Headers],[32]],FDR[FDR]&amp;FDR[[#Headers],[32]],FDR[32],"",0,1)</f>
        <v>1</v>
      </c>
      <c r="AS256" cm="1">
        <f t="array" ref="AS256">_xlfn.XLOOKUP(Matrix[[#This Row],[TEAM]]&amp;Matrix[[#Headers],[33]],FDR[FDR]&amp;FDR[[#Headers],[33]],FDR[33],"",0,1)</f>
        <v>2</v>
      </c>
      <c r="AT256" cm="1">
        <f t="array" ref="AT256">_xlfn.XLOOKUP(Matrix[[#This Row],[TEAM]]&amp;Matrix[[#Headers],[34]],FDR[FDR]&amp;FDR[[#Headers],[34]],FDR[34],"",0,1)</f>
        <v>1</v>
      </c>
      <c r="AU256" cm="1">
        <f t="array" ref="AU256">_xlfn.XLOOKUP(Matrix[[#This Row],[TEAM]]&amp;Matrix[[#Headers],[35]],FDR[FDR]&amp;FDR[[#Headers],[35]],FDR[35],"",0,1)</f>
        <v>3</v>
      </c>
      <c r="AV256" cm="1">
        <f t="array" ref="AV256">_xlfn.XLOOKUP(Matrix[[#This Row],[TEAM]]&amp;Matrix[[#Headers],[36]],FDR[FDR]&amp;FDR[[#Headers],[36]],FDR[36],"",0,1)</f>
        <v>2</v>
      </c>
      <c r="AW256" cm="1">
        <f t="array" ref="AW256">_xlfn.XLOOKUP(Matrix[[#This Row],[TEAM]]&amp;Matrix[[#Headers],[37]],FDR[FDR]&amp;FDR[[#Headers],[37]],FDR[37],"",0,1)</f>
        <v>3</v>
      </c>
      <c r="AX256" cm="1">
        <f t="array" ref="AX256">_xlfn.XLOOKUP(Matrix[[#This Row],[TEAM]]&amp;Matrix[[#Headers],[38]],FDR[FDR]&amp;FDR[[#Headers],[38]],FDR[38],"",0,1)</f>
        <v>1</v>
      </c>
    </row>
    <row r="257" spans="1:50" ht="22" thickTop="1" thickBot="1">
      <c r="A257" s="50" t="str">
        <f>INDEX!S$4</f>
        <v>MID</v>
      </c>
      <c r="B257" s="70" t="s">
        <v>1586</v>
      </c>
      <c r="C257" s="40" t="s">
        <v>25</v>
      </c>
      <c r="D257" s="62">
        <v>0</v>
      </c>
      <c r="E257" s="60">
        <v>1E-3</v>
      </c>
      <c r="F257" s="61">
        <v>0</v>
      </c>
      <c r="G257" s="63">
        <v>5</v>
      </c>
      <c r="H257" s="261">
        <f>IF(ISBLANK(I257),0,1)</f>
        <v>0</v>
      </c>
      <c r="I257" s="57"/>
      <c r="J257" s="58"/>
      <c r="K257" s="59" t="s">
        <v>880</v>
      </c>
      <c r="L257" s="59" t="s">
        <v>1125</v>
      </c>
      <c r="M257" cm="1">
        <f t="array" ref="M257">_xlfn.XLOOKUP(Matrix[[#This Row],[TEAM]]&amp;Matrix[[#Headers],[1]],FDR[FDR]&amp;FDR[[#Headers],[1]],FDR[1],"",0,1)</f>
        <v>3</v>
      </c>
      <c r="N257" cm="1">
        <f t="array" ref="N257">_xlfn.XLOOKUP(Matrix[[#This Row],[TEAM]]&amp;Matrix[[#Headers],[2]],FDR[FDR]&amp;FDR[[#Headers],[2]],FDR[2],"",0,1)</f>
        <v>3</v>
      </c>
      <c r="O257" cm="1">
        <f t="array" ref="O257">_xlfn.XLOOKUP(Matrix[[#This Row],[TEAM]]&amp;Matrix[[#Headers],[3]],FDR[FDR]&amp;FDR[[#Headers],[3]],FDR[3],"",0,1)</f>
        <v>1</v>
      </c>
      <c r="P257" cm="1">
        <f t="array" ref="P257">_xlfn.XLOOKUP(Matrix[[#This Row],[TEAM]]&amp;Matrix[[#Headers],[4]],FDR[FDR]&amp;FDR[[#Headers],[4]],FDR[4],"",0,1)</f>
        <v>1</v>
      </c>
      <c r="Q257" cm="1">
        <f t="array" ref="Q257">_xlfn.XLOOKUP(Matrix[[#This Row],[TEAM]]&amp;Matrix[[#Headers],[5]],FDR[FDR]&amp;FDR[[#Headers],[5]],FDR[5],"",0,1)</f>
        <v>2</v>
      </c>
      <c r="R257" cm="1">
        <f t="array" ref="R257">_xlfn.XLOOKUP(Matrix[[#This Row],[TEAM]]&amp;Matrix[[#Headers],[6]],FDR[FDR]&amp;FDR[[#Headers],[6]],FDR[6],"",0,1)</f>
        <v>3</v>
      </c>
      <c r="S257" cm="1">
        <f t="array" ref="S257">_xlfn.XLOOKUP(Matrix[[#This Row],[TEAM]]&amp;Matrix[[#Headers],[7]],FDR[FDR]&amp;FDR[[#Headers],[7]],FDR[7],"",0,1)</f>
        <v>2</v>
      </c>
      <c r="T257" cm="1">
        <f t="array" ref="T257">_xlfn.XLOOKUP(Matrix[[#This Row],[TEAM]]&amp;Matrix[[#Headers],[8]],FDR[FDR]&amp;FDR[[#Headers],[8]],FDR[8],"",0,1)</f>
        <v>2</v>
      </c>
      <c r="U257" cm="1">
        <f t="array" ref="U257">_xlfn.XLOOKUP(Matrix[[#This Row],[TEAM]]&amp;Matrix[[#Headers],[9]],FDR[FDR]&amp;FDR[[#Headers],[9]],FDR[9],"",0,1)</f>
        <v>2</v>
      </c>
      <c r="V257" cm="1">
        <f t="array" ref="V257">_xlfn.XLOOKUP(Matrix[[#This Row],[TEAM]]&amp;Matrix[[#Headers],[10]],FDR[FDR]&amp;FDR[[#Headers],[10]],FDR[10],"",0,1)</f>
        <v>2</v>
      </c>
      <c r="W257" cm="1">
        <f t="array" ref="W257">_xlfn.XLOOKUP(Matrix[[#This Row],[TEAM]]&amp;Matrix[[#Headers],[11]],FDR[FDR]&amp;FDR[[#Headers],[11]],FDR[11],"",0,1)</f>
        <v>2</v>
      </c>
      <c r="X257" cm="1">
        <f t="array" ref="X257">_xlfn.XLOOKUP(Matrix[[#This Row],[TEAM]]&amp;Matrix[[#Headers],[12]],FDR[FDR]&amp;FDR[[#Headers],[12]],FDR[12],"",0,1)</f>
        <v>3</v>
      </c>
      <c r="Y257" cm="1">
        <f t="array" ref="Y257">_xlfn.XLOOKUP(Matrix[[#This Row],[TEAM]]&amp;Matrix[[#Headers],[13]],FDR[FDR]&amp;FDR[[#Headers],[13]],FDR[13],"",0,1)</f>
        <v>2</v>
      </c>
      <c r="Z257" cm="1">
        <f t="array" ref="Z257">_xlfn.XLOOKUP(Matrix[[#This Row],[TEAM]]&amp;Matrix[[#Headers],[14]],FDR[FDR]&amp;FDR[[#Headers],[14]],FDR[14],"",0,1)</f>
        <v>3</v>
      </c>
      <c r="AA257" cm="1">
        <f t="array" ref="AA257">_xlfn.XLOOKUP(Matrix[[#This Row],[TEAM]]&amp;Matrix[[#Headers],[15]],FDR[FDR]&amp;FDR[[#Headers],[15]],FDR[15],"",0,1)</f>
        <v>1</v>
      </c>
      <c r="AB257" cm="1">
        <f t="array" ref="AB257">_xlfn.XLOOKUP(Matrix[[#This Row],[TEAM]]&amp;Matrix[[#Headers],[16]],FDR[FDR]&amp;FDR[[#Headers],[16]],FDR[16],"",0,1)</f>
        <v>1</v>
      </c>
      <c r="AC257" cm="1">
        <f t="array" ref="AC257">_xlfn.XLOOKUP(Matrix[[#This Row],[TEAM]]&amp;Matrix[[#Headers],[17]],FDR[FDR]&amp;FDR[[#Headers],[17]],FDR[17],"",0,1)</f>
        <v>3</v>
      </c>
      <c r="AD257" cm="1">
        <f t="array" ref="AD257">_xlfn.XLOOKUP(Matrix[[#This Row],[TEAM]]&amp;Matrix[[#Headers],[18]],FDR[FDR]&amp;FDR[[#Headers],[18]],FDR[18],"",0,1)</f>
        <v>4</v>
      </c>
      <c r="AE257" cm="1">
        <f t="array" ref="AE257">_xlfn.XLOOKUP(Matrix[[#This Row],[TEAM]]&amp;Matrix[[#Headers],[19]],FDR[FDR]&amp;FDR[[#Headers],[19]],FDR[19],"",0,1)</f>
        <v>1</v>
      </c>
      <c r="AF257" cm="1">
        <f t="array" ref="AF257">_xlfn.XLOOKUP(Matrix[[#This Row],[TEAM]]&amp;Matrix[[#Headers],[20]],FDR[FDR]&amp;FDR[[#Headers],[20]],FDR[20],"",0,1)</f>
        <v>1</v>
      </c>
      <c r="AG257" cm="1">
        <f t="array" ref="AG257">_xlfn.XLOOKUP(Matrix[[#This Row],[TEAM]]&amp;Matrix[[#Headers],[21]],FDR[FDR]&amp;FDR[[#Headers],[21]],FDR[21],"",0,1)</f>
        <v>1</v>
      </c>
      <c r="AH257" cm="1">
        <f t="array" ref="AH257">_xlfn.XLOOKUP(Matrix[[#This Row],[TEAM]]&amp;Matrix[[#Headers],[22]],FDR[FDR]&amp;FDR[[#Headers],[22]],FDR[22],"",0,1)</f>
        <v>1</v>
      </c>
      <c r="AI257" cm="1">
        <f t="array" ref="AI257">_xlfn.XLOOKUP(Matrix[[#This Row],[TEAM]]&amp;Matrix[[#Headers],[23]],FDR[FDR]&amp;FDR[[#Headers],[23]],FDR[23],"",0,1)</f>
        <v>2</v>
      </c>
      <c r="AJ257" cm="1">
        <f t="array" ref="AJ257">_xlfn.XLOOKUP(Matrix[[#This Row],[TEAM]]&amp;Matrix[[#Headers],[24]],FDR[FDR]&amp;FDR[[#Headers],[24]],FDR[24],"",0,1)</f>
        <v>4</v>
      </c>
      <c r="AK257" cm="1">
        <f t="array" ref="AK257">_xlfn.XLOOKUP(Matrix[[#This Row],[TEAM]]&amp;Matrix[[#Headers],[25]],FDR[FDR]&amp;FDR[[#Headers],[25]],FDR[25],"",0,1)</f>
        <v>1</v>
      </c>
      <c r="AL257" cm="1">
        <f t="array" ref="AL257">_xlfn.XLOOKUP(Matrix[[#This Row],[TEAM]]&amp;Matrix[[#Headers],[26]],FDR[FDR]&amp;FDR[[#Headers],[26]],FDR[26],"",0,1)</f>
        <v>4</v>
      </c>
      <c r="AM257" cm="1">
        <f t="array" ref="AM257">_xlfn.XLOOKUP(Matrix[[#This Row],[TEAM]]&amp;Matrix[[#Headers],[27]],FDR[FDR]&amp;FDR[[#Headers],[27]],FDR[27],"",0,1)</f>
        <v>4</v>
      </c>
      <c r="AN257" cm="1">
        <f t="array" ref="AN257">_xlfn.XLOOKUP(Matrix[[#This Row],[TEAM]]&amp;Matrix[[#Headers],[28]],FDR[FDR]&amp;FDR[[#Headers],[28]],FDR[28],"",0,1)</f>
        <v>1</v>
      </c>
      <c r="AO257" cm="1">
        <f t="array" ref="AO257">_xlfn.XLOOKUP(Matrix[[#This Row],[TEAM]]&amp;Matrix[[#Headers],[29]],FDR[FDR]&amp;FDR[[#Headers],[29]],FDR[29],"",0,1)</f>
        <v>3</v>
      </c>
      <c r="AP257" cm="1">
        <f t="array" ref="AP257">_xlfn.XLOOKUP(Matrix[[#This Row],[TEAM]]&amp;Matrix[[#Headers],[30]],FDR[FDR]&amp;FDR[[#Headers],[30]],FDR[30],"",0,1)</f>
        <v>4</v>
      </c>
      <c r="AQ257" cm="1">
        <f t="array" ref="AQ257">_xlfn.XLOOKUP(Matrix[[#This Row],[TEAM]]&amp;Matrix[[#Headers],[31]],FDR[FDR]&amp;FDR[[#Headers],[31]],FDR[31],"",0,1)</f>
        <v>1</v>
      </c>
      <c r="AR257" cm="1">
        <f t="array" ref="AR257">_xlfn.XLOOKUP(Matrix[[#This Row],[TEAM]]&amp;Matrix[[#Headers],[32]],FDR[FDR]&amp;FDR[[#Headers],[32]],FDR[32],"",0,1)</f>
        <v>2</v>
      </c>
      <c r="AS257" cm="1">
        <f t="array" ref="AS257">_xlfn.XLOOKUP(Matrix[[#This Row],[TEAM]]&amp;Matrix[[#Headers],[33]],FDR[FDR]&amp;FDR[[#Headers],[33]],FDR[33],"",0,1)</f>
        <v>2</v>
      </c>
      <c r="AT257" cm="1">
        <f t="array" ref="AT257">_xlfn.XLOOKUP(Matrix[[#This Row],[TEAM]]&amp;Matrix[[#Headers],[34]],FDR[FDR]&amp;FDR[[#Headers],[34]],FDR[34],"",0,1)</f>
        <v>4</v>
      </c>
      <c r="AU257" cm="1">
        <f t="array" ref="AU257">_xlfn.XLOOKUP(Matrix[[#This Row],[TEAM]]&amp;Matrix[[#Headers],[35]],FDR[FDR]&amp;FDR[[#Headers],[35]],FDR[35],"",0,1)</f>
        <v>2</v>
      </c>
      <c r="AV257" cm="1">
        <f t="array" ref="AV257">_xlfn.XLOOKUP(Matrix[[#This Row],[TEAM]]&amp;Matrix[[#Headers],[36]],FDR[FDR]&amp;FDR[[#Headers],[36]],FDR[36],"",0,1)</f>
        <v>2</v>
      </c>
      <c r="AW257" cm="1">
        <f t="array" ref="AW257">_xlfn.XLOOKUP(Matrix[[#This Row],[TEAM]]&amp;Matrix[[#Headers],[37]],FDR[FDR]&amp;FDR[[#Headers],[37]],FDR[37],"",0,1)</f>
        <v>1</v>
      </c>
      <c r="AX257" cm="1">
        <f t="array" ref="AX257">_xlfn.XLOOKUP(Matrix[[#This Row],[TEAM]]&amp;Matrix[[#Headers],[38]],FDR[FDR]&amp;FDR[[#Headers],[38]],FDR[38],"",0,1)</f>
        <v>2</v>
      </c>
    </row>
    <row r="258" spans="1:50" ht="22" thickTop="1" thickBot="1">
      <c r="A258" s="50" t="str">
        <f>INDEX!S$4</f>
        <v>MID</v>
      </c>
      <c r="B258" s="70" t="s">
        <v>1492</v>
      </c>
      <c r="C258" s="40" t="s">
        <v>634</v>
      </c>
      <c r="D258" s="62">
        <v>0</v>
      </c>
      <c r="E258" s="60">
        <v>2.5999999999999999E-2</v>
      </c>
      <c r="F258" s="61">
        <v>0</v>
      </c>
      <c r="G258" s="63">
        <v>5</v>
      </c>
      <c r="H258" s="261">
        <f>IF(ISBLANK(I258),0,1)</f>
        <v>0</v>
      </c>
      <c r="I258" s="57"/>
      <c r="J258" s="58"/>
      <c r="K258" s="59" t="s">
        <v>369</v>
      </c>
      <c r="L258" s="59" t="s">
        <v>69</v>
      </c>
      <c r="M258" cm="1">
        <f t="array" ref="M258">_xlfn.XLOOKUP(Matrix[[#This Row],[TEAM]]&amp;Matrix[[#Headers],[1]],FDR[FDR]&amp;FDR[[#Headers],[1]],FDR[1],"",0,1)</f>
        <v>4</v>
      </c>
      <c r="N258" cm="1">
        <f t="array" ref="N258">_xlfn.XLOOKUP(Matrix[[#This Row],[TEAM]]&amp;Matrix[[#Headers],[2]],FDR[FDR]&amp;FDR[[#Headers],[2]],FDR[2],"",0,1)</f>
        <v>4</v>
      </c>
      <c r="O258" cm="1">
        <f t="array" ref="O258">_xlfn.XLOOKUP(Matrix[[#This Row],[TEAM]]&amp;Matrix[[#Headers],[3]],FDR[FDR]&amp;FDR[[#Headers],[3]],FDR[3],"",0,1)</f>
        <v>4</v>
      </c>
      <c r="P258" cm="1">
        <f t="array" ref="P258">_xlfn.XLOOKUP(Matrix[[#This Row],[TEAM]]&amp;Matrix[[#Headers],[4]],FDR[FDR]&amp;FDR[[#Headers],[4]],FDR[4],"",0,1)</f>
        <v>5</v>
      </c>
      <c r="Q258" cm="1">
        <f t="array" ref="Q258">_xlfn.XLOOKUP(Matrix[[#This Row],[TEAM]]&amp;Matrix[[#Headers],[5]],FDR[FDR]&amp;FDR[[#Headers],[5]],FDR[5],"",0,1)</f>
        <v>5</v>
      </c>
      <c r="R258" cm="1">
        <f t="array" ref="R258">_xlfn.XLOOKUP(Matrix[[#This Row],[TEAM]]&amp;Matrix[[#Headers],[6]],FDR[FDR]&amp;FDR[[#Headers],[6]],FDR[6],"",0,1)</f>
        <v>5</v>
      </c>
      <c r="S258" cm="1">
        <f t="array" ref="S258">_xlfn.XLOOKUP(Matrix[[#This Row],[TEAM]]&amp;Matrix[[#Headers],[7]],FDR[FDR]&amp;FDR[[#Headers],[7]],FDR[7],"",0,1)</f>
        <v>5</v>
      </c>
      <c r="T258" cm="1">
        <f t="array" ref="T258">_xlfn.XLOOKUP(Matrix[[#This Row],[TEAM]]&amp;Matrix[[#Headers],[8]],FDR[FDR]&amp;FDR[[#Headers],[8]],FDR[8],"",0,1)</f>
        <v>3</v>
      </c>
      <c r="U258" cm="1">
        <f t="array" ref="U258">_xlfn.XLOOKUP(Matrix[[#This Row],[TEAM]]&amp;Matrix[[#Headers],[9]],FDR[FDR]&amp;FDR[[#Headers],[9]],FDR[9],"",0,1)</f>
        <v>5</v>
      </c>
      <c r="V258" cm="1">
        <f t="array" ref="V258">_xlfn.XLOOKUP(Matrix[[#This Row],[TEAM]]&amp;Matrix[[#Headers],[10]],FDR[FDR]&amp;FDR[[#Headers],[10]],FDR[10],"",0,1)</f>
        <v>4</v>
      </c>
      <c r="W258" cm="1">
        <f t="array" ref="W258">_xlfn.XLOOKUP(Matrix[[#This Row],[TEAM]]&amp;Matrix[[#Headers],[11]],FDR[FDR]&amp;FDR[[#Headers],[11]],FDR[11],"",0,1)</f>
        <v>5</v>
      </c>
      <c r="X258" cm="1">
        <f t="array" ref="X258">_xlfn.XLOOKUP(Matrix[[#This Row],[TEAM]]&amp;Matrix[[#Headers],[12]],FDR[FDR]&amp;FDR[[#Headers],[12]],FDR[12],"",0,1)</f>
        <v>5</v>
      </c>
      <c r="Y258" cm="1">
        <f t="array" ref="Y258">_xlfn.XLOOKUP(Matrix[[#This Row],[TEAM]]&amp;Matrix[[#Headers],[13]],FDR[FDR]&amp;FDR[[#Headers],[13]],FDR[13],"",0,1)</f>
        <v>5</v>
      </c>
      <c r="Z258" cm="1">
        <f t="array" ref="Z258">_xlfn.XLOOKUP(Matrix[[#This Row],[TEAM]]&amp;Matrix[[#Headers],[14]],FDR[FDR]&amp;FDR[[#Headers],[14]],FDR[14],"",0,1)</f>
        <v>5</v>
      </c>
      <c r="AA258" cm="1">
        <f t="array" ref="AA258">_xlfn.XLOOKUP(Matrix[[#This Row],[TEAM]]&amp;Matrix[[#Headers],[15]],FDR[FDR]&amp;FDR[[#Headers],[15]],FDR[15],"",0,1)</f>
        <v>5</v>
      </c>
      <c r="AB258" cm="1">
        <f t="array" ref="AB258">_xlfn.XLOOKUP(Matrix[[#This Row],[TEAM]]&amp;Matrix[[#Headers],[16]],FDR[FDR]&amp;FDR[[#Headers],[16]],FDR[16],"",0,1)</f>
        <v>5</v>
      </c>
      <c r="AC258" cm="1">
        <f t="array" ref="AC258">_xlfn.XLOOKUP(Matrix[[#This Row],[TEAM]]&amp;Matrix[[#Headers],[17]],FDR[FDR]&amp;FDR[[#Headers],[17]],FDR[17],"",0,1)</f>
        <v>5</v>
      </c>
      <c r="AD258" cm="1">
        <f t="array" ref="AD258">_xlfn.XLOOKUP(Matrix[[#This Row],[TEAM]]&amp;Matrix[[#Headers],[18]],FDR[FDR]&amp;FDR[[#Headers],[18]],FDR[18],"",0,1)</f>
        <v>3</v>
      </c>
      <c r="AE258" cm="1">
        <f t="array" ref="AE258">_xlfn.XLOOKUP(Matrix[[#This Row],[TEAM]]&amp;Matrix[[#Headers],[19]],FDR[FDR]&amp;FDR[[#Headers],[19]],FDR[19],"",0,1)</f>
        <v>5</v>
      </c>
      <c r="AF258" cm="1">
        <f t="array" ref="AF258">_xlfn.XLOOKUP(Matrix[[#This Row],[TEAM]]&amp;Matrix[[#Headers],[20]],FDR[FDR]&amp;FDR[[#Headers],[20]],FDR[20],"",0,1)</f>
        <v>5</v>
      </c>
      <c r="AG258" cm="1">
        <f t="array" ref="AG258">_xlfn.XLOOKUP(Matrix[[#This Row],[TEAM]]&amp;Matrix[[#Headers],[21]],FDR[FDR]&amp;FDR[[#Headers],[21]],FDR[21],"",0,1)</f>
        <v>5</v>
      </c>
      <c r="AH258" cm="1">
        <f t="array" ref="AH258">_xlfn.XLOOKUP(Matrix[[#This Row],[TEAM]]&amp;Matrix[[#Headers],[22]],FDR[FDR]&amp;FDR[[#Headers],[22]],FDR[22],"",0,1)</f>
        <v>4</v>
      </c>
      <c r="AI258" cm="1">
        <f t="array" ref="AI258">_xlfn.XLOOKUP(Matrix[[#This Row],[TEAM]]&amp;Matrix[[#Headers],[23]],FDR[FDR]&amp;FDR[[#Headers],[23]],FDR[23],"",0,1)</f>
        <v>5</v>
      </c>
      <c r="AJ258" cm="1">
        <f t="array" ref="AJ258">_xlfn.XLOOKUP(Matrix[[#This Row],[TEAM]]&amp;Matrix[[#Headers],[24]],FDR[FDR]&amp;FDR[[#Headers],[24]],FDR[24],"",0,1)</f>
        <v>3</v>
      </c>
      <c r="AK258" cm="1">
        <f t="array" ref="AK258">_xlfn.XLOOKUP(Matrix[[#This Row],[TEAM]]&amp;Matrix[[#Headers],[25]],FDR[FDR]&amp;FDR[[#Headers],[25]],FDR[25],"",0,1)</f>
        <v>5</v>
      </c>
      <c r="AL258" cm="1">
        <f t="array" ref="AL258">_xlfn.XLOOKUP(Matrix[[#This Row],[TEAM]]&amp;Matrix[[#Headers],[26]],FDR[FDR]&amp;FDR[[#Headers],[26]],FDR[26],"",0,1)</f>
        <v>5</v>
      </c>
      <c r="AM258" cm="1">
        <f t="array" ref="AM258">_xlfn.XLOOKUP(Matrix[[#This Row],[TEAM]]&amp;Matrix[[#Headers],[27]],FDR[FDR]&amp;FDR[[#Headers],[27]],FDR[27],"",0,1)</f>
        <v>5</v>
      </c>
      <c r="AN258" cm="1">
        <f t="array" ref="AN258">_xlfn.XLOOKUP(Matrix[[#This Row],[TEAM]]&amp;Matrix[[#Headers],[28]],FDR[FDR]&amp;FDR[[#Headers],[28]],FDR[28],"",0,1)</f>
        <v>5</v>
      </c>
      <c r="AO258" cm="1">
        <f t="array" ref="AO258">_xlfn.XLOOKUP(Matrix[[#This Row],[TEAM]]&amp;Matrix[[#Headers],[29]],FDR[FDR]&amp;FDR[[#Headers],[29]],FDR[29],"",0,1)</f>
        <v>4</v>
      </c>
      <c r="AP258" cm="1">
        <f t="array" ref="AP258">_xlfn.XLOOKUP(Matrix[[#This Row],[TEAM]]&amp;Matrix[[#Headers],[30]],FDR[FDR]&amp;FDR[[#Headers],[30]],FDR[30],"",0,1)</f>
        <v>5</v>
      </c>
      <c r="AQ258" cm="1">
        <f t="array" ref="AQ258">_xlfn.XLOOKUP(Matrix[[#This Row],[TEAM]]&amp;Matrix[[#Headers],[31]],FDR[FDR]&amp;FDR[[#Headers],[31]],FDR[31],"",0,1)</f>
        <v>5</v>
      </c>
      <c r="AR258" cm="1">
        <f t="array" ref="AR258">_xlfn.XLOOKUP(Matrix[[#This Row],[TEAM]]&amp;Matrix[[#Headers],[32]],FDR[FDR]&amp;FDR[[#Headers],[32]],FDR[32],"",0,1)</f>
        <v>5</v>
      </c>
      <c r="AS258" cm="1">
        <f t="array" ref="AS258">_xlfn.XLOOKUP(Matrix[[#This Row],[TEAM]]&amp;Matrix[[#Headers],[33]],FDR[FDR]&amp;FDR[[#Headers],[33]],FDR[33],"",0,1)</f>
        <v>5</v>
      </c>
      <c r="AT258" cm="1">
        <f t="array" ref="AT258">_xlfn.XLOOKUP(Matrix[[#This Row],[TEAM]]&amp;Matrix[[#Headers],[34]],FDR[FDR]&amp;FDR[[#Headers],[34]],FDR[34],"",0,1)</f>
        <v>5</v>
      </c>
      <c r="AU258" cm="1">
        <f t="array" ref="AU258">_xlfn.XLOOKUP(Matrix[[#This Row],[TEAM]]&amp;Matrix[[#Headers],[35]],FDR[FDR]&amp;FDR[[#Headers],[35]],FDR[35],"",0,1)</f>
        <v>4</v>
      </c>
      <c r="AV258" cm="1">
        <f t="array" ref="AV258">_xlfn.XLOOKUP(Matrix[[#This Row],[TEAM]]&amp;Matrix[[#Headers],[36]],FDR[FDR]&amp;FDR[[#Headers],[36]],FDR[36],"",0,1)</f>
        <v>5</v>
      </c>
      <c r="AW258" cm="1">
        <f t="array" ref="AW258">_xlfn.XLOOKUP(Matrix[[#This Row],[TEAM]]&amp;Matrix[[#Headers],[37]],FDR[FDR]&amp;FDR[[#Headers],[37]],FDR[37],"",0,1)</f>
        <v>5</v>
      </c>
      <c r="AX258" cm="1">
        <f t="array" ref="AX258">_xlfn.XLOOKUP(Matrix[[#This Row],[TEAM]]&amp;Matrix[[#Headers],[38]],FDR[FDR]&amp;FDR[[#Headers],[38]],FDR[38],"",0,1)</f>
        <v>5</v>
      </c>
    </row>
    <row r="259" spans="1:50" ht="22" thickTop="1" thickBot="1">
      <c r="A259" s="50" t="str">
        <f>INDEX!S$4</f>
        <v>MID</v>
      </c>
      <c r="B259" s="70" t="s">
        <v>1545</v>
      </c>
      <c r="C259" s="40" t="s">
        <v>634</v>
      </c>
      <c r="D259" s="62">
        <v>0</v>
      </c>
      <c r="E259" s="60">
        <v>2E-3</v>
      </c>
      <c r="F259" s="61">
        <v>0</v>
      </c>
      <c r="G259" s="63">
        <v>5</v>
      </c>
      <c r="H259" s="261">
        <f>IF(ISBLANK(I259),0,1)</f>
        <v>0</v>
      </c>
      <c r="I259" s="57"/>
      <c r="J259" s="58"/>
      <c r="K259" s="59" t="s">
        <v>912</v>
      </c>
      <c r="L259" s="59" t="s">
        <v>913</v>
      </c>
      <c r="M259" cm="1">
        <f t="array" ref="M259">_xlfn.XLOOKUP(Matrix[[#This Row],[TEAM]]&amp;Matrix[[#Headers],[1]],FDR[FDR]&amp;FDR[[#Headers],[1]],FDR[1],"",0,1)</f>
        <v>4</v>
      </c>
      <c r="N259" cm="1">
        <f t="array" ref="N259">_xlfn.XLOOKUP(Matrix[[#This Row],[TEAM]]&amp;Matrix[[#Headers],[2]],FDR[FDR]&amp;FDR[[#Headers],[2]],FDR[2],"",0,1)</f>
        <v>4</v>
      </c>
      <c r="O259" cm="1">
        <f t="array" ref="O259">_xlfn.XLOOKUP(Matrix[[#This Row],[TEAM]]&amp;Matrix[[#Headers],[3]],FDR[FDR]&amp;FDR[[#Headers],[3]],FDR[3],"",0,1)</f>
        <v>4</v>
      </c>
      <c r="P259" cm="1">
        <f t="array" ref="P259">_xlfn.XLOOKUP(Matrix[[#This Row],[TEAM]]&amp;Matrix[[#Headers],[4]],FDR[FDR]&amp;FDR[[#Headers],[4]],FDR[4],"",0,1)</f>
        <v>5</v>
      </c>
      <c r="Q259" cm="1">
        <f t="array" ref="Q259">_xlfn.XLOOKUP(Matrix[[#This Row],[TEAM]]&amp;Matrix[[#Headers],[5]],FDR[FDR]&amp;FDR[[#Headers],[5]],FDR[5],"",0,1)</f>
        <v>5</v>
      </c>
      <c r="R259" cm="1">
        <f t="array" ref="R259">_xlfn.XLOOKUP(Matrix[[#This Row],[TEAM]]&amp;Matrix[[#Headers],[6]],FDR[FDR]&amp;FDR[[#Headers],[6]],FDR[6],"",0,1)</f>
        <v>5</v>
      </c>
      <c r="S259" cm="1">
        <f t="array" ref="S259">_xlfn.XLOOKUP(Matrix[[#This Row],[TEAM]]&amp;Matrix[[#Headers],[7]],FDR[FDR]&amp;FDR[[#Headers],[7]],FDR[7],"",0,1)</f>
        <v>5</v>
      </c>
      <c r="T259" cm="1">
        <f t="array" ref="T259">_xlfn.XLOOKUP(Matrix[[#This Row],[TEAM]]&amp;Matrix[[#Headers],[8]],FDR[FDR]&amp;FDR[[#Headers],[8]],FDR[8],"",0,1)</f>
        <v>3</v>
      </c>
      <c r="U259" cm="1">
        <f t="array" ref="U259">_xlfn.XLOOKUP(Matrix[[#This Row],[TEAM]]&amp;Matrix[[#Headers],[9]],FDR[FDR]&amp;FDR[[#Headers],[9]],FDR[9],"",0,1)</f>
        <v>5</v>
      </c>
      <c r="V259" cm="1">
        <f t="array" ref="V259">_xlfn.XLOOKUP(Matrix[[#This Row],[TEAM]]&amp;Matrix[[#Headers],[10]],FDR[FDR]&amp;FDR[[#Headers],[10]],FDR[10],"",0,1)</f>
        <v>4</v>
      </c>
      <c r="W259" cm="1">
        <f t="array" ref="W259">_xlfn.XLOOKUP(Matrix[[#This Row],[TEAM]]&amp;Matrix[[#Headers],[11]],FDR[FDR]&amp;FDR[[#Headers],[11]],FDR[11],"",0,1)</f>
        <v>5</v>
      </c>
      <c r="X259" cm="1">
        <f t="array" ref="X259">_xlfn.XLOOKUP(Matrix[[#This Row],[TEAM]]&amp;Matrix[[#Headers],[12]],FDR[FDR]&amp;FDR[[#Headers],[12]],FDR[12],"",0,1)</f>
        <v>5</v>
      </c>
      <c r="Y259" cm="1">
        <f t="array" ref="Y259">_xlfn.XLOOKUP(Matrix[[#This Row],[TEAM]]&amp;Matrix[[#Headers],[13]],FDR[FDR]&amp;FDR[[#Headers],[13]],FDR[13],"",0,1)</f>
        <v>5</v>
      </c>
      <c r="Z259" cm="1">
        <f t="array" ref="Z259">_xlfn.XLOOKUP(Matrix[[#This Row],[TEAM]]&amp;Matrix[[#Headers],[14]],FDR[FDR]&amp;FDR[[#Headers],[14]],FDR[14],"",0,1)</f>
        <v>5</v>
      </c>
      <c r="AA259" cm="1">
        <f t="array" ref="AA259">_xlfn.XLOOKUP(Matrix[[#This Row],[TEAM]]&amp;Matrix[[#Headers],[15]],FDR[FDR]&amp;FDR[[#Headers],[15]],FDR[15],"",0,1)</f>
        <v>5</v>
      </c>
      <c r="AB259" cm="1">
        <f t="array" ref="AB259">_xlfn.XLOOKUP(Matrix[[#This Row],[TEAM]]&amp;Matrix[[#Headers],[16]],FDR[FDR]&amp;FDR[[#Headers],[16]],FDR[16],"",0,1)</f>
        <v>5</v>
      </c>
      <c r="AC259" cm="1">
        <f t="array" ref="AC259">_xlfn.XLOOKUP(Matrix[[#This Row],[TEAM]]&amp;Matrix[[#Headers],[17]],FDR[FDR]&amp;FDR[[#Headers],[17]],FDR[17],"",0,1)</f>
        <v>5</v>
      </c>
      <c r="AD259" cm="1">
        <f t="array" ref="AD259">_xlfn.XLOOKUP(Matrix[[#This Row],[TEAM]]&amp;Matrix[[#Headers],[18]],FDR[FDR]&amp;FDR[[#Headers],[18]],FDR[18],"",0,1)</f>
        <v>3</v>
      </c>
      <c r="AE259" cm="1">
        <f t="array" ref="AE259">_xlfn.XLOOKUP(Matrix[[#This Row],[TEAM]]&amp;Matrix[[#Headers],[19]],FDR[FDR]&amp;FDR[[#Headers],[19]],FDR[19],"",0,1)</f>
        <v>5</v>
      </c>
      <c r="AF259" cm="1">
        <f t="array" ref="AF259">_xlfn.XLOOKUP(Matrix[[#This Row],[TEAM]]&amp;Matrix[[#Headers],[20]],FDR[FDR]&amp;FDR[[#Headers],[20]],FDR[20],"",0,1)</f>
        <v>5</v>
      </c>
      <c r="AG259" cm="1">
        <f t="array" ref="AG259">_xlfn.XLOOKUP(Matrix[[#This Row],[TEAM]]&amp;Matrix[[#Headers],[21]],FDR[FDR]&amp;FDR[[#Headers],[21]],FDR[21],"",0,1)</f>
        <v>5</v>
      </c>
      <c r="AH259" cm="1">
        <f t="array" ref="AH259">_xlfn.XLOOKUP(Matrix[[#This Row],[TEAM]]&amp;Matrix[[#Headers],[22]],FDR[FDR]&amp;FDR[[#Headers],[22]],FDR[22],"",0,1)</f>
        <v>4</v>
      </c>
      <c r="AI259" cm="1">
        <f t="array" ref="AI259">_xlfn.XLOOKUP(Matrix[[#This Row],[TEAM]]&amp;Matrix[[#Headers],[23]],FDR[FDR]&amp;FDR[[#Headers],[23]],FDR[23],"",0,1)</f>
        <v>5</v>
      </c>
      <c r="AJ259" cm="1">
        <f t="array" ref="AJ259">_xlfn.XLOOKUP(Matrix[[#This Row],[TEAM]]&amp;Matrix[[#Headers],[24]],FDR[FDR]&amp;FDR[[#Headers],[24]],FDR[24],"",0,1)</f>
        <v>3</v>
      </c>
      <c r="AK259" cm="1">
        <f t="array" ref="AK259">_xlfn.XLOOKUP(Matrix[[#This Row],[TEAM]]&amp;Matrix[[#Headers],[25]],FDR[FDR]&amp;FDR[[#Headers],[25]],FDR[25],"",0,1)</f>
        <v>5</v>
      </c>
      <c r="AL259" cm="1">
        <f t="array" ref="AL259">_xlfn.XLOOKUP(Matrix[[#This Row],[TEAM]]&amp;Matrix[[#Headers],[26]],FDR[FDR]&amp;FDR[[#Headers],[26]],FDR[26],"",0,1)</f>
        <v>5</v>
      </c>
      <c r="AM259" cm="1">
        <f t="array" ref="AM259">_xlfn.XLOOKUP(Matrix[[#This Row],[TEAM]]&amp;Matrix[[#Headers],[27]],FDR[FDR]&amp;FDR[[#Headers],[27]],FDR[27],"",0,1)</f>
        <v>5</v>
      </c>
      <c r="AN259" cm="1">
        <f t="array" ref="AN259">_xlfn.XLOOKUP(Matrix[[#This Row],[TEAM]]&amp;Matrix[[#Headers],[28]],FDR[FDR]&amp;FDR[[#Headers],[28]],FDR[28],"",0,1)</f>
        <v>5</v>
      </c>
      <c r="AO259" cm="1">
        <f t="array" ref="AO259">_xlfn.XLOOKUP(Matrix[[#This Row],[TEAM]]&amp;Matrix[[#Headers],[29]],FDR[FDR]&amp;FDR[[#Headers],[29]],FDR[29],"",0,1)</f>
        <v>4</v>
      </c>
      <c r="AP259" cm="1">
        <f t="array" ref="AP259">_xlfn.XLOOKUP(Matrix[[#This Row],[TEAM]]&amp;Matrix[[#Headers],[30]],FDR[FDR]&amp;FDR[[#Headers],[30]],FDR[30],"",0,1)</f>
        <v>5</v>
      </c>
      <c r="AQ259" cm="1">
        <f t="array" ref="AQ259">_xlfn.XLOOKUP(Matrix[[#This Row],[TEAM]]&amp;Matrix[[#Headers],[31]],FDR[FDR]&amp;FDR[[#Headers],[31]],FDR[31],"",0,1)</f>
        <v>5</v>
      </c>
      <c r="AR259" cm="1">
        <f t="array" ref="AR259">_xlfn.XLOOKUP(Matrix[[#This Row],[TEAM]]&amp;Matrix[[#Headers],[32]],FDR[FDR]&amp;FDR[[#Headers],[32]],FDR[32],"",0,1)</f>
        <v>5</v>
      </c>
      <c r="AS259" cm="1">
        <f t="array" ref="AS259">_xlfn.XLOOKUP(Matrix[[#This Row],[TEAM]]&amp;Matrix[[#Headers],[33]],FDR[FDR]&amp;FDR[[#Headers],[33]],FDR[33],"",0,1)</f>
        <v>5</v>
      </c>
      <c r="AT259" cm="1">
        <f t="array" ref="AT259">_xlfn.XLOOKUP(Matrix[[#This Row],[TEAM]]&amp;Matrix[[#Headers],[34]],FDR[FDR]&amp;FDR[[#Headers],[34]],FDR[34],"",0,1)</f>
        <v>5</v>
      </c>
      <c r="AU259" cm="1">
        <f t="array" ref="AU259">_xlfn.XLOOKUP(Matrix[[#This Row],[TEAM]]&amp;Matrix[[#Headers],[35]],FDR[FDR]&amp;FDR[[#Headers],[35]],FDR[35],"",0,1)</f>
        <v>4</v>
      </c>
      <c r="AV259" cm="1">
        <f t="array" ref="AV259">_xlfn.XLOOKUP(Matrix[[#This Row],[TEAM]]&amp;Matrix[[#Headers],[36]],FDR[FDR]&amp;FDR[[#Headers],[36]],FDR[36],"",0,1)</f>
        <v>5</v>
      </c>
      <c r="AW259" cm="1">
        <f t="array" ref="AW259">_xlfn.XLOOKUP(Matrix[[#This Row],[TEAM]]&amp;Matrix[[#Headers],[37]],FDR[FDR]&amp;FDR[[#Headers],[37]],FDR[37],"",0,1)</f>
        <v>5</v>
      </c>
      <c r="AX259" cm="1">
        <f t="array" ref="AX259">_xlfn.XLOOKUP(Matrix[[#This Row],[TEAM]]&amp;Matrix[[#Headers],[38]],FDR[FDR]&amp;FDR[[#Headers],[38]],FDR[38],"",0,1)</f>
        <v>5</v>
      </c>
    </row>
    <row r="260" spans="1:50" ht="22" thickTop="1" thickBot="1">
      <c r="A260" s="50" t="str">
        <f>INDEX!S$4</f>
        <v>MID</v>
      </c>
      <c r="B260" s="70" t="s">
        <v>1589</v>
      </c>
      <c r="C260" s="40" t="s">
        <v>634</v>
      </c>
      <c r="D260" s="62">
        <v>0</v>
      </c>
      <c r="E260" s="60">
        <v>1E-3</v>
      </c>
      <c r="F260" s="61">
        <v>0</v>
      </c>
      <c r="G260" s="63">
        <v>5</v>
      </c>
      <c r="H260" s="261">
        <f>IF(ISBLANK(I260),0,1)</f>
        <v>0</v>
      </c>
      <c r="I260" s="57"/>
      <c r="J260" s="58"/>
      <c r="K260" s="59" t="s">
        <v>494</v>
      </c>
      <c r="L260" s="59" t="s">
        <v>909</v>
      </c>
      <c r="M260" cm="1">
        <f t="array" ref="M260">_xlfn.XLOOKUP(Matrix[[#This Row],[TEAM]]&amp;Matrix[[#Headers],[1]],FDR[FDR]&amp;FDR[[#Headers],[1]],FDR[1],"",0,1)</f>
        <v>4</v>
      </c>
      <c r="N260" cm="1">
        <f t="array" ref="N260">_xlfn.XLOOKUP(Matrix[[#This Row],[TEAM]]&amp;Matrix[[#Headers],[2]],FDR[FDR]&amp;FDR[[#Headers],[2]],FDR[2],"",0,1)</f>
        <v>4</v>
      </c>
      <c r="O260" cm="1">
        <f t="array" ref="O260">_xlfn.XLOOKUP(Matrix[[#This Row],[TEAM]]&amp;Matrix[[#Headers],[3]],FDR[FDR]&amp;FDR[[#Headers],[3]],FDR[3],"",0,1)</f>
        <v>4</v>
      </c>
      <c r="P260" cm="1">
        <f t="array" ref="P260">_xlfn.XLOOKUP(Matrix[[#This Row],[TEAM]]&amp;Matrix[[#Headers],[4]],FDR[FDR]&amp;FDR[[#Headers],[4]],FDR[4],"",0,1)</f>
        <v>5</v>
      </c>
      <c r="Q260" cm="1">
        <f t="array" ref="Q260">_xlfn.XLOOKUP(Matrix[[#This Row],[TEAM]]&amp;Matrix[[#Headers],[5]],FDR[FDR]&amp;FDR[[#Headers],[5]],FDR[5],"",0,1)</f>
        <v>5</v>
      </c>
      <c r="R260" cm="1">
        <f t="array" ref="R260">_xlfn.XLOOKUP(Matrix[[#This Row],[TEAM]]&amp;Matrix[[#Headers],[6]],FDR[FDR]&amp;FDR[[#Headers],[6]],FDR[6],"",0,1)</f>
        <v>5</v>
      </c>
      <c r="S260" cm="1">
        <f t="array" ref="S260">_xlfn.XLOOKUP(Matrix[[#This Row],[TEAM]]&amp;Matrix[[#Headers],[7]],FDR[FDR]&amp;FDR[[#Headers],[7]],FDR[7],"",0,1)</f>
        <v>5</v>
      </c>
      <c r="T260" cm="1">
        <f t="array" ref="T260">_xlfn.XLOOKUP(Matrix[[#This Row],[TEAM]]&amp;Matrix[[#Headers],[8]],FDR[FDR]&amp;FDR[[#Headers],[8]],FDR[8],"",0,1)</f>
        <v>3</v>
      </c>
      <c r="U260" cm="1">
        <f t="array" ref="U260">_xlfn.XLOOKUP(Matrix[[#This Row],[TEAM]]&amp;Matrix[[#Headers],[9]],FDR[FDR]&amp;FDR[[#Headers],[9]],FDR[9],"",0,1)</f>
        <v>5</v>
      </c>
      <c r="V260" cm="1">
        <f t="array" ref="V260">_xlfn.XLOOKUP(Matrix[[#This Row],[TEAM]]&amp;Matrix[[#Headers],[10]],FDR[FDR]&amp;FDR[[#Headers],[10]],FDR[10],"",0,1)</f>
        <v>4</v>
      </c>
      <c r="W260" cm="1">
        <f t="array" ref="W260">_xlfn.XLOOKUP(Matrix[[#This Row],[TEAM]]&amp;Matrix[[#Headers],[11]],FDR[FDR]&amp;FDR[[#Headers],[11]],FDR[11],"",0,1)</f>
        <v>5</v>
      </c>
      <c r="X260" cm="1">
        <f t="array" ref="X260">_xlfn.XLOOKUP(Matrix[[#This Row],[TEAM]]&amp;Matrix[[#Headers],[12]],FDR[FDR]&amp;FDR[[#Headers],[12]],FDR[12],"",0,1)</f>
        <v>5</v>
      </c>
      <c r="Y260" cm="1">
        <f t="array" ref="Y260">_xlfn.XLOOKUP(Matrix[[#This Row],[TEAM]]&amp;Matrix[[#Headers],[13]],FDR[FDR]&amp;FDR[[#Headers],[13]],FDR[13],"",0,1)</f>
        <v>5</v>
      </c>
      <c r="Z260" cm="1">
        <f t="array" ref="Z260">_xlfn.XLOOKUP(Matrix[[#This Row],[TEAM]]&amp;Matrix[[#Headers],[14]],FDR[FDR]&amp;FDR[[#Headers],[14]],FDR[14],"",0,1)</f>
        <v>5</v>
      </c>
      <c r="AA260" cm="1">
        <f t="array" ref="AA260">_xlfn.XLOOKUP(Matrix[[#This Row],[TEAM]]&amp;Matrix[[#Headers],[15]],FDR[FDR]&amp;FDR[[#Headers],[15]],FDR[15],"",0,1)</f>
        <v>5</v>
      </c>
      <c r="AB260" cm="1">
        <f t="array" ref="AB260">_xlfn.XLOOKUP(Matrix[[#This Row],[TEAM]]&amp;Matrix[[#Headers],[16]],FDR[FDR]&amp;FDR[[#Headers],[16]],FDR[16],"",0,1)</f>
        <v>5</v>
      </c>
      <c r="AC260" cm="1">
        <f t="array" ref="AC260">_xlfn.XLOOKUP(Matrix[[#This Row],[TEAM]]&amp;Matrix[[#Headers],[17]],FDR[FDR]&amp;FDR[[#Headers],[17]],FDR[17],"",0,1)</f>
        <v>5</v>
      </c>
      <c r="AD260" cm="1">
        <f t="array" ref="AD260">_xlfn.XLOOKUP(Matrix[[#This Row],[TEAM]]&amp;Matrix[[#Headers],[18]],FDR[FDR]&amp;FDR[[#Headers],[18]],FDR[18],"",0,1)</f>
        <v>3</v>
      </c>
      <c r="AE260" cm="1">
        <f t="array" ref="AE260">_xlfn.XLOOKUP(Matrix[[#This Row],[TEAM]]&amp;Matrix[[#Headers],[19]],FDR[FDR]&amp;FDR[[#Headers],[19]],FDR[19],"",0,1)</f>
        <v>5</v>
      </c>
      <c r="AF260" cm="1">
        <f t="array" ref="AF260">_xlfn.XLOOKUP(Matrix[[#This Row],[TEAM]]&amp;Matrix[[#Headers],[20]],FDR[FDR]&amp;FDR[[#Headers],[20]],FDR[20],"",0,1)</f>
        <v>5</v>
      </c>
      <c r="AG260" cm="1">
        <f t="array" ref="AG260">_xlfn.XLOOKUP(Matrix[[#This Row],[TEAM]]&amp;Matrix[[#Headers],[21]],FDR[FDR]&amp;FDR[[#Headers],[21]],FDR[21],"",0,1)</f>
        <v>5</v>
      </c>
      <c r="AH260" cm="1">
        <f t="array" ref="AH260">_xlfn.XLOOKUP(Matrix[[#This Row],[TEAM]]&amp;Matrix[[#Headers],[22]],FDR[FDR]&amp;FDR[[#Headers],[22]],FDR[22],"",0,1)</f>
        <v>4</v>
      </c>
      <c r="AI260" cm="1">
        <f t="array" ref="AI260">_xlfn.XLOOKUP(Matrix[[#This Row],[TEAM]]&amp;Matrix[[#Headers],[23]],FDR[FDR]&amp;FDR[[#Headers],[23]],FDR[23],"",0,1)</f>
        <v>5</v>
      </c>
      <c r="AJ260" cm="1">
        <f t="array" ref="AJ260">_xlfn.XLOOKUP(Matrix[[#This Row],[TEAM]]&amp;Matrix[[#Headers],[24]],FDR[FDR]&amp;FDR[[#Headers],[24]],FDR[24],"",0,1)</f>
        <v>3</v>
      </c>
      <c r="AK260" cm="1">
        <f t="array" ref="AK260">_xlfn.XLOOKUP(Matrix[[#This Row],[TEAM]]&amp;Matrix[[#Headers],[25]],FDR[FDR]&amp;FDR[[#Headers],[25]],FDR[25],"",0,1)</f>
        <v>5</v>
      </c>
      <c r="AL260" cm="1">
        <f t="array" ref="AL260">_xlfn.XLOOKUP(Matrix[[#This Row],[TEAM]]&amp;Matrix[[#Headers],[26]],FDR[FDR]&amp;FDR[[#Headers],[26]],FDR[26],"",0,1)</f>
        <v>5</v>
      </c>
      <c r="AM260" cm="1">
        <f t="array" ref="AM260">_xlfn.XLOOKUP(Matrix[[#This Row],[TEAM]]&amp;Matrix[[#Headers],[27]],FDR[FDR]&amp;FDR[[#Headers],[27]],FDR[27],"",0,1)</f>
        <v>5</v>
      </c>
      <c r="AN260" cm="1">
        <f t="array" ref="AN260">_xlfn.XLOOKUP(Matrix[[#This Row],[TEAM]]&amp;Matrix[[#Headers],[28]],FDR[FDR]&amp;FDR[[#Headers],[28]],FDR[28],"",0,1)</f>
        <v>5</v>
      </c>
      <c r="AO260" cm="1">
        <f t="array" ref="AO260">_xlfn.XLOOKUP(Matrix[[#This Row],[TEAM]]&amp;Matrix[[#Headers],[29]],FDR[FDR]&amp;FDR[[#Headers],[29]],FDR[29],"",0,1)</f>
        <v>4</v>
      </c>
      <c r="AP260" cm="1">
        <f t="array" ref="AP260">_xlfn.XLOOKUP(Matrix[[#This Row],[TEAM]]&amp;Matrix[[#Headers],[30]],FDR[FDR]&amp;FDR[[#Headers],[30]],FDR[30],"",0,1)</f>
        <v>5</v>
      </c>
      <c r="AQ260" cm="1">
        <f t="array" ref="AQ260">_xlfn.XLOOKUP(Matrix[[#This Row],[TEAM]]&amp;Matrix[[#Headers],[31]],FDR[FDR]&amp;FDR[[#Headers],[31]],FDR[31],"",0,1)</f>
        <v>5</v>
      </c>
      <c r="AR260" cm="1">
        <f t="array" ref="AR260">_xlfn.XLOOKUP(Matrix[[#This Row],[TEAM]]&amp;Matrix[[#Headers],[32]],FDR[FDR]&amp;FDR[[#Headers],[32]],FDR[32],"",0,1)</f>
        <v>5</v>
      </c>
      <c r="AS260" cm="1">
        <f t="array" ref="AS260">_xlfn.XLOOKUP(Matrix[[#This Row],[TEAM]]&amp;Matrix[[#Headers],[33]],FDR[FDR]&amp;FDR[[#Headers],[33]],FDR[33],"",0,1)</f>
        <v>5</v>
      </c>
      <c r="AT260" cm="1">
        <f t="array" ref="AT260">_xlfn.XLOOKUP(Matrix[[#This Row],[TEAM]]&amp;Matrix[[#Headers],[34]],FDR[FDR]&amp;FDR[[#Headers],[34]],FDR[34],"",0,1)</f>
        <v>5</v>
      </c>
      <c r="AU260" cm="1">
        <f t="array" ref="AU260">_xlfn.XLOOKUP(Matrix[[#This Row],[TEAM]]&amp;Matrix[[#Headers],[35]],FDR[FDR]&amp;FDR[[#Headers],[35]],FDR[35],"",0,1)</f>
        <v>4</v>
      </c>
      <c r="AV260" cm="1">
        <f t="array" ref="AV260">_xlfn.XLOOKUP(Matrix[[#This Row],[TEAM]]&amp;Matrix[[#Headers],[36]],FDR[FDR]&amp;FDR[[#Headers],[36]],FDR[36],"",0,1)</f>
        <v>5</v>
      </c>
      <c r="AW260" cm="1">
        <f t="array" ref="AW260">_xlfn.XLOOKUP(Matrix[[#This Row],[TEAM]]&amp;Matrix[[#Headers],[37]],FDR[FDR]&amp;FDR[[#Headers],[37]],FDR[37],"",0,1)</f>
        <v>5</v>
      </c>
      <c r="AX260" cm="1">
        <f t="array" ref="AX260">_xlfn.XLOOKUP(Matrix[[#This Row],[TEAM]]&amp;Matrix[[#Headers],[38]],FDR[FDR]&amp;FDR[[#Headers],[38]],FDR[38],"",0,1)</f>
        <v>5</v>
      </c>
    </row>
    <row r="261" spans="1:50" ht="22" thickTop="1" thickBot="1">
      <c r="A261" s="50" t="str">
        <f>INDEX!S$4</f>
        <v>MID</v>
      </c>
      <c r="B261" s="70" t="s">
        <v>1590</v>
      </c>
      <c r="C261" s="40" t="s">
        <v>634</v>
      </c>
      <c r="D261" s="62">
        <v>0</v>
      </c>
      <c r="E261" s="60">
        <v>1E-3</v>
      </c>
      <c r="F261" s="61">
        <v>0</v>
      </c>
      <c r="G261" s="63">
        <v>5</v>
      </c>
      <c r="H261" s="261">
        <f>IF(ISBLANK(I261),0,1)</f>
        <v>0</v>
      </c>
      <c r="I261" s="57"/>
      <c r="J261" s="58"/>
      <c r="K261" s="59" t="s">
        <v>391</v>
      </c>
      <c r="L261" s="59" t="s">
        <v>890</v>
      </c>
      <c r="M261" cm="1">
        <f t="array" ref="M261">_xlfn.XLOOKUP(Matrix[[#This Row],[TEAM]]&amp;Matrix[[#Headers],[1]],FDR[FDR]&amp;FDR[[#Headers],[1]],FDR[1],"",0,1)</f>
        <v>4</v>
      </c>
      <c r="N261" cm="1">
        <f t="array" ref="N261">_xlfn.XLOOKUP(Matrix[[#This Row],[TEAM]]&amp;Matrix[[#Headers],[2]],FDR[FDR]&amp;FDR[[#Headers],[2]],FDR[2],"",0,1)</f>
        <v>4</v>
      </c>
      <c r="O261" cm="1">
        <f t="array" ref="O261">_xlfn.XLOOKUP(Matrix[[#This Row],[TEAM]]&amp;Matrix[[#Headers],[3]],FDR[FDR]&amp;FDR[[#Headers],[3]],FDR[3],"",0,1)</f>
        <v>4</v>
      </c>
      <c r="P261" cm="1">
        <f t="array" ref="P261">_xlfn.XLOOKUP(Matrix[[#This Row],[TEAM]]&amp;Matrix[[#Headers],[4]],FDR[FDR]&amp;FDR[[#Headers],[4]],FDR[4],"",0,1)</f>
        <v>5</v>
      </c>
      <c r="Q261" cm="1">
        <f t="array" ref="Q261">_xlfn.XLOOKUP(Matrix[[#This Row],[TEAM]]&amp;Matrix[[#Headers],[5]],FDR[FDR]&amp;FDR[[#Headers],[5]],FDR[5],"",0,1)</f>
        <v>5</v>
      </c>
      <c r="R261" cm="1">
        <f t="array" ref="R261">_xlfn.XLOOKUP(Matrix[[#This Row],[TEAM]]&amp;Matrix[[#Headers],[6]],FDR[FDR]&amp;FDR[[#Headers],[6]],FDR[6],"",0,1)</f>
        <v>5</v>
      </c>
      <c r="S261" cm="1">
        <f t="array" ref="S261">_xlfn.XLOOKUP(Matrix[[#This Row],[TEAM]]&amp;Matrix[[#Headers],[7]],FDR[FDR]&amp;FDR[[#Headers],[7]],FDR[7],"",0,1)</f>
        <v>5</v>
      </c>
      <c r="T261" cm="1">
        <f t="array" ref="T261">_xlfn.XLOOKUP(Matrix[[#This Row],[TEAM]]&amp;Matrix[[#Headers],[8]],FDR[FDR]&amp;FDR[[#Headers],[8]],FDR[8],"",0,1)</f>
        <v>3</v>
      </c>
      <c r="U261" cm="1">
        <f t="array" ref="U261">_xlfn.XLOOKUP(Matrix[[#This Row],[TEAM]]&amp;Matrix[[#Headers],[9]],FDR[FDR]&amp;FDR[[#Headers],[9]],FDR[9],"",0,1)</f>
        <v>5</v>
      </c>
      <c r="V261" cm="1">
        <f t="array" ref="V261">_xlfn.XLOOKUP(Matrix[[#This Row],[TEAM]]&amp;Matrix[[#Headers],[10]],FDR[FDR]&amp;FDR[[#Headers],[10]],FDR[10],"",0,1)</f>
        <v>4</v>
      </c>
      <c r="W261" cm="1">
        <f t="array" ref="W261">_xlfn.XLOOKUP(Matrix[[#This Row],[TEAM]]&amp;Matrix[[#Headers],[11]],FDR[FDR]&amp;FDR[[#Headers],[11]],FDR[11],"",0,1)</f>
        <v>5</v>
      </c>
      <c r="X261" cm="1">
        <f t="array" ref="X261">_xlfn.XLOOKUP(Matrix[[#This Row],[TEAM]]&amp;Matrix[[#Headers],[12]],FDR[FDR]&amp;FDR[[#Headers],[12]],FDR[12],"",0,1)</f>
        <v>5</v>
      </c>
      <c r="Y261" cm="1">
        <f t="array" ref="Y261">_xlfn.XLOOKUP(Matrix[[#This Row],[TEAM]]&amp;Matrix[[#Headers],[13]],FDR[FDR]&amp;FDR[[#Headers],[13]],FDR[13],"",0,1)</f>
        <v>5</v>
      </c>
      <c r="Z261" cm="1">
        <f t="array" ref="Z261">_xlfn.XLOOKUP(Matrix[[#This Row],[TEAM]]&amp;Matrix[[#Headers],[14]],FDR[FDR]&amp;FDR[[#Headers],[14]],FDR[14],"",0,1)</f>
        <v>5</v>
      </c>
      <c r="AA261" cm="1">
        <f t="array" ref="AA261">_xlfn.XLOOKUP(Matrix[[#This Row],[TEAM]]&amp;Matrix[[#Headers],[15]],FDR[FDR]&amp;FDR[[#Headers],[15]],FDR[15],"",0,1)</f>
        <v>5</v>
      </c>
      <c r="AB261" cm="1">
        <f t="array" ref="AB261">_xlfn.XLOOKUP(Matrix[[#This Row],[TEAM]]&amp;Matrix[[#Headers],[16]],FDR[FDR]&amp;FDR[[#Headers],[16]],FDR[16],"",0,1)</f>
        <v>5</v>
      </c>
      <c r="AC261" cm="1">
        <f t="array" ref="AC261">_xlfn.XLOOKUP(Matrix[[#This Row],[TEAM]]&amp;Matrix[[#Headers],[17]],FDR[FDR]&amp;FDR[[#Headers],[17]],FDR[17],"",0,1)</f>
        <v>5</v>
      </c>
      <c r="AD261" cm="1">
        <f t="array" ref="AD261">_xlfn.XLOOKUP(Matrix[[#This Row],[TEAM]]&amp;Matrix[[#Headers],[18]],FDR[FDR]&amp;FDR[[#Headers],[18]],FDR[18],"",0,1)</f>
        <v>3</v>
      </c>
      <c r="AE261" cm="1">
        <f t="array" ref="AE261">_xlfn.XLOOKUP(Matrix[[#This Row],[TEAM]]&amp;Matrix[[#Headers],[19]],FDR[FDR]&amp;FDR[[#Headers],[19]],FDR[19],"",0,1)</f>
        <v>5</v>
      </c>
      <c r="AF261" cm="1">
        <f t="array" ref="AF261">_xlfn.XLOOKUP(Matrix[[#This Row],[TEAM]]&amp;Matrix[[#Headers],[20]],FDR[FDR]&amp;FDR[[#Headers],[20]],FDR[20],"",0,1)</f>
        <v>5</v>
      </c>
      <c r="AG261" cm="1">
        <f t="array" ref="AG261">_xlfn.XLOOKUP(Matrix[[#This Row],[TEAM]]&amp;Matrix[[#Headers],[21]],FDR[FDR]&amp;FDR[[#Headers],[21]],FDR[21],"",0,1)</f>
        <v>5</v>
      </c>
      <c r="AH261" cm="1">
        <f t="array" ref="AH261">_xlfn.XLOOKUP(Matrix[[#This Row],[TEAM]]&amp;Matrix[[#Headers],[22]],FDR[FDR]&amp;FDR[[#Headers],[22]],FDR[22],"",0,1)</f>
        <v>4</v>
      </c>
      <c r="AI261" cm="1">
        <f t="array" ref="AI261">_xlfn.XLOOKUP(Matrix[[#This Row],[TEAM]]&amp;Matrix[[#Headers],[23]],FDR[FDR]&amp;FDR[[#Headers],[23]],FDR[23],"",0,1)</f>
        <v>5</v>
      </c>
      <c r="AJ261" cm="1">
        <f t="array" ref="AJ261">_xlfn.XLOOKUP(Matrix[[#This Row],[TEAM]]&amp;Matrix[[#Headers],[24]],FDR[FDR]&amp;FDR[[#Headers],[24]],FDR[24],"",0,1)</f>
        <v>3</v>
      </c>
      <c r="AK261" cm="1">
        <f t="array" ref="AK261">_xlfn.XLOOKUP(Matrix[[#This Row],[TEAM]]&amp;Matrix[[#Headers],[25]],FDR[FDR]&amp;FDR[[#Headers],[25]],FDR[25],"",0,1)</f>
        <v>5</v>
      </c>
      <c r="AL261" cm="1">
        <f t="array" ref="AL261">_xlfn.XLOOKUP(Matrix[[#This Row],[TEAM]]&amp;Matrix[[#Headers],[26]],FDR[FDR]&amp;FDR[[#Headers],[26]],FDR[26],"",0,1)</f>
        <v>5</v>
      </c>
      <c r="AM261" cm="1">
        <f t="array" ref="AM261">_xlfn.XLOOKUP(Matrix[[#This Row],[TEAM]]&amp;Matrix[[#Headers],[27]],FDR[FDR]&amp;FDR[[#Headers],[27]],FDR[27],"",0,1)</f>
        <v>5</v>
      </c>
      <c r="AN261" cm="1">
        <f t="array" ref="AN261">_xlfn.XLOOKUP(Matrix[[#This Row],[TEAM]]&amp;Matrix[[#Headers],[28]],FDR[FDR]&amp;FDR[[#Headers],[28]],FDR[28],"",0,1)</f>
        <v>5</v>
      </c>
      <c r="AO261" cm="1">
        <f t="array" ref="AO261">_xlfn.XLOOKUP(Matrix[[#This Row],[TEAM]]&amp;Matrix[[#Headers],[29]],FDR[FDR]&amp;FDR[[#Headers],[29]],FDR[29],"",0,1)</f>
        <v>4</v>
      </c>
      <c r="AP261" cm="1">
        <f t="array" ref="AP261">_xlfn.XLOOKUP(Matrix[[#This Row],[TEAM]]&amp;Matrix[[#Headers],[30]],FDR[FDR]&amp;FDR[[#Headers],[30]],FDR[30],"",0,1)</f>
        <v>5</v>
      </c>
      <c r="AQ261" cm="1">
        <f t="array" ref="AQ261">_xlfn.XLOOKUP(Matrix[[#This Row],[TEAM]]&amp;Matrix[[#Headers],[31]],FDR[FDR]&amp;FDR[[#Headers],[31]],FDR[31],"",0,1)</f>
        <v>5</v>
      </c>
      <c r="AR261" cm="1">
        <f t="array" ref="AR261">_xlfn.XLOOKUP(Matrix[[#This Row],[TEAM]]&amp;Matrix[[#Headers],[32]],FDR[FDR]&amp;FDR[[#Headers],[32]],FDR[32],"",0,1)</f>
        <v>5</v>
      </c>
      <c r="AS261" cm="1">
        <f t="array" ref="AS261">_xlfn.XLOOKUP(Matrix[[#This Row],[TEAM]]&amp;Matrix[[#Headers],[33]],FDR[FDR]&amp;FDR[[#Headers],[33]],FDR[33],"",0,1)</f>
        <v>5</v>
      </c>
      <c r="AT261" cm="1">
        <f t="array" ref="AT261">_xlfn.XLOOKUP(Matrix[[#This Row],[TEAM]]&amp;Matrix[[#Headers],[34]],FDR[FDR]&amp;FDR[[#Headers],[34]],FDR[34],"",0,1)</f>
        <v>5</v>
      </c>
      <c r="AU261" cm="1">
        <f t="array" ref="AU261">_xlfn.XLOOKUP(Matrix[[#This Row],[TEAM]]&amp;Matrix[[#Headers],[35]],FDR[FDR]&amp;FDR[[#Headers],[35]],FDR[35],"",0,1)</f>
        <v>4</v>
      </c>
      <c r="AV261" cm="1">
        <f t="array" ref="AV261">_xlfn.XLOOKUP(Matrix[[#This Row],[TEAM]]&amp;Matrix[[#Headers],[36]],FDR[FDR]&amp;FDR[[#Headers],[36]],FDR[36],"",0,1)</f>
        <v>5</v>
      </c>
      <c r="AW261" cm="1">
        <f t="array" ref="AW261">_xlfn.XLOOKUP(Matrix[[#This Row],[TEAM]]&amp;Matrix[[#Headers],[37]],FDR[FDR]&amp;FDR[[#Headers],[37]],FDR[37],"",0,1)</f>
        <v>5</v>
      </c>
      <c r="AX261" cm="1">
        <f t="array" ref="AX261">_xlfn.XLOOKUP(Matrix[[#This Row],[TEAM]]&amp;Matrix[[#Headers],[38]],FDR[FDR]&amp;FDR[[#Headers],[38]],FDR[38],"",0,1)</f>
        <v>5</v>
      </c>
    </row>
    <row r="262" spans="1:50" ht="22" thickTop="1" thickBot="1">
      <c r="A262" s="50" t="str">
        <f>INDEX!S$4</f>
        <v>MID</v>
      </c>
      <c r="B262" s="70" t="s">
        <v>1591</v>
      </c>
      <c r="C262" s="40" t="s">
        <v>634</v>
      </c>
      <c r="D262" s="62">
        <v>0</v>
      </c>
      <c r="E262" s="60">
        <v>1E-3</v>
      </c>
      <c r="F262" s="61">
        <v>0</v>
      </c>
      <c r="G262" s="63">
        <v>5</v>
      </c>
      <c r="H262" s="261">
        <f>IF(ISBLANK(I262),0,1)</f>
        <v>0</v>
      </c>
      <c r="I262" s="57"/>
      <c r="J262" s="58"/>
      <c r="K262" s="59" t="s">
        <v>886</v>
      </c>
      <c r="L262" s="59" t="s">
        <v>887</v>
      </c>
      <c r="M262" cm="1">
        <f t="array" ref="M262">_xlfn.XLOOKUP(Matrix[[#This Row],[TEAM]]&amp;Matrix[[#Headers],[1]],FDR[FDR]&amp;FDR[[#Headers],[1]],FDR[1],"",0,1)</f>
        <v>4</v>
      </c>
      <c r="N262" cm="1">
        <f t="array" ref="N262">_xlfn.XLOOKUP(Matrix[[#This Row],[TEAM]]&amp;Matrix[[#Headers],[2]],FDR[FDR]&amp;FDR[[#Headers],[2]],FDR[2],"",0,1)</f>
        <v>4</v>
      </c>
      <c r="O262" cm="1">
        <f t="array" ref="O262">_xlfn.XLOOKUP(Matrix[[#This Row],[TEAM]]&amp;Matrix[[#Headers],[3]],FDR[FDR]&amp;FDR[[#Headers],[3]],FDR[3],"",0,1)</f>
        <v>4</v>
      </c>
      <c r="P262" cm="1">
        <f t="array" ref="P262">_xlfn.XLOOKUP(Matrix[[#This Row],[TEAM]]&amp;Matrix[[#Headers],[4]],FDR[FDR]&amp;FDR[[#Headers],[4]],FDR[4],"",0,1)</f>
        <v>5</v>
      </c>
      <c r="Q262" cm="1">
        <f t="array" ref="Q262">_xlfn.XLOOKUP(Matrix[[#This Row],[TEAM]]&amp;Matrix[[#Headers],[5]],FDR[FDR]&amp;FDR[[#Headers],[5]],FDR[5],"",0,1)</f>
        <v>5</v>
      </c>
      <c r="R262" cm="1">
        <f t="array" ref="R262">_xlfn.XLOOKUP(Matrix[[#This Row],[TEAM]]&amp;Matrix[[#Headers],[6]],FDR[FDR]&amp;FDR[[#Headers],[6]],FDR[6],"",0,1)</f>
        <v>5</v>
      </c>
      <c r="S262" cm="1">
        <f t="array" ref="S262">_xlfn.XLOOKUP(Matrix[[#This Row],[TEAM]]&amp;Matrix[[#Headers],[7]],FDR[FDR]&amp;FDR[[#Headers],[7]],FDR[7],"",0,1)</f>
        <v>5</v>
      </c>
      <c r="T262" cm="1">
        <f t="array" ref="T262">_xlfn.XLOOKUP(Matrix[[#This Row],[TEAM]]&amp;Matrix[[#Headers],[8]],FDR[FDR]&amp;FDR[[#Headers],[8]],FDR[8],"",0,1)</f>
        <v>3</v>
      </c>
      <c r="U262" cm="1">
        <f t="array" ref="U262">_xlfn.XLOOKUP(Matrix[[#This Row],[TEAM]]&amp;Matrix[[#Headers],[9]],FDR[FDR]&amp;FDR[[#Headers],[9]],FDR[9],"",0,1)</f>
        <v>5</v>
      </c>
      <c r="V262" cm="1">
        <f t="array" ref="V262">_xlfn.XLOOKUP(Matrix[[#This Row],[TEAM]]&amp;Matrix[[#Headers],[10]],FDR[FDR]&amp;FDR[[#Headers],[10]],FDR[10],"",0,1)</f>
        <v>4</v>
      </c>
      <c r="W262" cm="1">
        <f t="array" ref="W262">_xlfn.XLOOKUP(Matrix[[#This Row],[TEAM]]&amp;Matrix[[#Headers],[11]],FDR[FDR]&amp;FDR[[#Headers],[11]],FDR[11],"",0,1)</f>
        <v>5</v>
      </c>
      <c r="X262" cm="1">
        <f t="array" ref="X262">_xlfn.XLOOKUP(Matrix[[#This Row],[TEAM]]&amp;Matrix[[#Headers],[12]],FDR[FDR]&amp;FDR[[#Headers],[12]],FDR[12],"",0,1)</f>
        <v>5</v>
      </c>
      <c r="Y262" cm="1">
        <f t="array" ref="Y262">_xlfn.XLOOKUP(Matrix[[#This Row],[TEAM]]&amp;Matrix[[#Headers],[13]],FDR[FDR]&amp;FDR[[#Headers],[13]],FDR[13],"",0,1)</f>
        <v>5</v>
      </c>
      <c r="Z262" cm="1">
        <f t="array" ref="Z262">_xlfn.XLOOKUP(Matrix[[#This Row],[TEAM]]&amp;Matrix[[#Headers],[14]],FDR[FDR]&amp;FDR[[#Headers],[14]],FDR[14],"",0,1)</f>
        <v>5</v>
      </c>
      <c r="AA262" cm="1">
        <f t="array" ref="AA262">_xlfn.XLOOKUP(Matrix[[#This Row],[TEAM]]&amp;Matrix[[#Headers],[15]],FDR[FDR]&amp;FDR[[#Headers],[15]],FDR[15],"",0,1)</f>
        <v>5</v>
      </c>
      <c r="AB262" cm="1">
        <f t="array" ref="AB262">_xlfn.XLOOKUP(Matrix[[#This Row],[TEAM]]&amp;Matrix[[#Headers],[16]],FDR[FDR]&amp;FDR[[#Headers],[16]],FDR[16],"",0,1)</f>
        <v>5</v>
      </c>
      <c r="AC262" cm="1">
        <f t="array" ref="AC262">_xlfn.XLOOKUP(Matrix[[#This Row],[TEAM]]&amp;Matrix[[#Headers],[17]],FDR[FDR]&amp;FDR[[#Headers],[17]],FDR[17],"",0,1)</f>
        <v>5</v>
      </c>
      <c r="AD262" cm="1">
        <f t="array" ref="AD262">_xlfn.XLOOKUP(Matrix[[#This Row],[TEAM]]&amp;Matrix[[#Headers],[18]],FDR[FDR]&amp;FDR[[#Headers],[18]],FDR[18],"",0,1)</f>
        <v>3</v>
      </c>
      <c r="AE262" cm="1">
        <f t="array" ref="AE262">_xlfn.XLOOKUP(Matrix[[#This Row],[TEAM]]&amp;Matrix[[#Headers],[19]],FDR[FDR]&amp;FDR[[#Headers],[19]],FDR[19],"",0,1)</f>
        <v>5</v>
      </c>
      <c r="AF262" cm="1">
        <f t="array" ref="AF262">_xlfn.XLOOKUP(Matrix[[#This Row],[TEAM]]&amp;Matrix[[#Headers],[20]],FDR[FDR]&amp;FDR[[#Headers],[20]],FDR[20],"",0,1)</f>
        <v>5</v>
      </c>
      <c r="AG262" cm="1">
        <f t="array" ref="AG262">_xlfn.XLOOKUP(Matrix[[#This Row],[TEAM]]&amp;Matrix[[#Headers],[21]],FDR[FDR]&amp;FDR[[#Headers],[21]],FDR[21],"",0,1)</f>
        <v>5</v>
      </c>
      <c r="AH262" cm="1">
        <f t="array" ref="AH262">_xlfn.XLOOKUP(Matrix[[#This Row],[TEAM]]&amp;Matrix[[#Headers],[22]],FDR[FDR]&amp;FDR[[#Headers],[22]],FDR[22],"",0,1)</f>
        <v>4</v>
      </c>
      <c r="AI262" cm="1">
        <f t="array" ref="AI262">_xlfn.XLOOKUP(Matrix[[#This Row],[TEAM]]&amp;Matrix[[#Headers],[23]],FDR[FDR]&amp;FDR[[#Headers],[23]],FDR[23],"",0,1)</f>
        <v>5</v>
      </c>
      <c r="AJ262" cm="1">
        <f t="array" ref="AJ262">_xlfn.XLOOKUP(Matrix[[#This Row],[TEAM]]&amp;Matrix[[#Headers],[24]],FDR[FDR]&amp;FDR[[#Headers],[24]],FDR[24],"",0,1)</f>
        <v>3</v>
      </c>
      <c r="AK262" cm="1">
        <f t="array" ref="AK262">_xlfn.XLOOKUP(Matrix[[#This Row],[TEAM]]&amp;Matrix[[#Headers],[25]],FDR[FDR]&amp;FDR[[#Headers],[25]],FDR[25],"",0,1)</f>
        <v>5</v>
      </c>
      <c r="AL262" cm="1">
        <f t="array" ref="AL262">_xlfn.XLOOKUP(Matrix[[#This Row],[TEAM]]&amp;Matrix[[#Headers],[26]],FDR[FDR]&amp;FDR[[#Headers],[26]],FDR[26],"",0,1)</f>
        <v>5</v>
      </c>
      <c r="AM262" cm="1">
        <f t="array" ref="AM262">_xlfn.XLOOKUP(Matrix[[#This Row],[TEAM]]&amp;Matrix[[#Headers],[27]],FDR[FDR]&amp;FDR[[#Headers],[27]],FDR[27],"",0,1)</f>
        <v>5</v>
      </c>
      <c r="AN262" cm="1">
        <f t="array" ref="AN262">_xlfn.XLOOKUP(Matrix[[#This Row],[TEAM]]&amp;Matrix[[#Headers],[28]],FDR[FDR]&amp;FDR[[#Headers],[28]],FDR[28],"",0,1)</f>
        <v>5</v>
      </c>
      <c r="AO262" cm="1">
        <f t="array" ref="AO262">_xlfn.XLOOKUP(Matrix[[#This Row],[TEAM]]&amp;Matrix[[#Headers],[29]],FDR[FDR]&amp;FDR[[#Headers],[29]],FDR[29],"",0,1)</f>
        <v>4</v>
      </c>
      <c r="AP262" cm="1">
        <f t="array" ref="AP262">_xlfn.XLOOKUP(Matrix[[#This Row],[TEAM]]&amp;Matrix[[#Headers],[30]],FDR[FDR]&amp;FDR[[#Headers],[30]],FDR[30],"",0,1)</f>
        <v>5</v>
      </c>
      <c r="AQ262" cm="1">
        <f t="array" ref="AQ262">_xlfn.XLOOKUP(Matrix[[#This Row],[TEAM]]&amp;Matrix[[#Headers],[31]],FDR[FDR]&amp;FDR[[#Headers],[31]],FDR[31],"",0,1)</f>
        <v>5</v>
      </c>
      <c r="AR262" cm="1">
        <f t="array" ref="AR262">_xlfn.XLOOKUP(Matrix[[#This Row],[TEAM]]&amp;Matrix[[#Headers],[32]],FDR[FDR]&amp;FDR[[#Headers],[32]],FDR[32],"",0,1)</f>
        <v>5</v>
      </c>
      <c r="AS262" cm="1">
        <f t="array" ref="AS262">_xlfn.XLOOKUP(Matrix[[#This Row],[TEAM]]&amp;Matrix[[#Headers],[33]],FDR[FDR]&amp;FDR[[#Headers],[33]],FDR[33],"",0,1)</f>
        <v>5</v>
      </c>
      <c r="AT262" cm="1">
        <f t="array" ref="AT262">_xlfn.XLOOKUP(Matrix[[#This Row],[TEAM]]&amp;Matrix[[#Headers],[34]],FDR[FDR]&amp;FDR[[#Headers],[34]],FDR[34],"",0,1)</f>
        <v>5</v>
      </c>
      <c r="AU262" cm="1">
        <f t="array" ref="AU262">_xlfn.XLOOKUP(Matrix[[#This Row],[TEAM]]&amp;Matrix[[#Headers],[35]],FDR[FDR]&amp;FDR[[#Headers],[35]],FDR[35],"",0,1)</f>
        <v>4</v>
      </c>
      <c r="AV262" cm="1">
        <f t="array" ref="AV262">_xlfn.XLOOKUP(Matrix[[#This Row],[TEAM]]&amp;Matrix[[#Headers],[36]],FDR[FDR]&amp;FDR[[#Headers],[36]],FDR[36],"",0,1)</f>
        <v>5</v>
      </c>
      <c r="AW262" cm="1">
        <f t="array" ref="AW262">_xlfn.XLOOKUP(Matrix[[#This Row],[TEAM]]&amp;Matrix[[#Headers],[37]],FDR[FDR]&amp;FDR[[#Headers],[37]],FDR[37],"",0,1)</f>
        <v>5</v>
      </c>
      <c r="AX262" cm="1">
        <f t="array" ref="AX262">_xlfn.XLOOKUP(Matrix[[#This Row],[TEAM]]&amp;Matrix[[#Headers],[38]],FDR[FDR]&amp;FDR[[#Headers],[38]],FDR[38],"",0,1)</f>
        <v>5</v>
      </c>
    </row>
    <row r="263" spans="1:50" ht="22" thickTop="1" thickBot="1">
      <c r="A263" s="50" t="str">
        <f>INDEX!S$4</f>
        <v>MID</v>
      </c>
      <c r="B263" s="70" t="s">
        <v>1588</v>
      </c>
      <c r="C263" s="40" t="s">
        <v>634</v>
      </c>
      <c r="D263" s="62">
        <v>0</v>
      </c>
      <c r="E263" s="60">
        <v>1E-3</v>
      </c>
      <c r="F263" s="61">
        <v>0</v>
      </c>
      <c r="G263" s="63">
        <v>5</v>
      </c>
      <c r="H263" s="261">
        <f>IF(ISBLANK(I263),0,1)</f>
        <v>0</v>
      </c>
      <c r="I263" s="57"/>
      <c r="J263" s="58"/>
      <c r="K263" s="59" t="s">
        <v>910</v>
      </c>
      <c r="L263" s="59" t="s">
        <v>911</v>
      </c>
      <c r="M263" cm="1">
        <f t="array" ref="M263">_xlfn.XLOOKUP(Matrix[[#This Row],[TEAM]]&amp;Matrix[[#Headers],[1]],FDR[FDR]&amp;FDR[[#Headers],[1]],FDR[1],"",0,1)</f>
        <v>4</v>
      </c>
      <c r="N263" cm="1">
        <f t="array" ref="N263">_xlfn.XLOOKUP(Matrix[[#This Row],[TEAM]]&amp;Matrix[[#Headers],[2]],FDR[FDR]&amp;FDR[[#Headers],[2]],FDR[2],"",0,1)</f>
        <v>4</v>
      </c>
      <c r="O263" cm="1">
        <f t="array" ref="O263">_xlfn.XLOOKUP(Matrix[[#This Row],[TEAM]]&amp;Matrix[[#Headers],[3]],FDR[FDR]&amp;FDR[[#Headers],[3]],FDR[3],"",0,1)</f>
        <v>4</v>
      </c>
      <c r="P263" cm="1">
        <f t="array" ref="P263">_xlfn.XLOOKUP(Matrix[[#This Row],[TEAM]]&amp;Matrix[[#Headers],[4]],FDR[FDR]&amp;FDR[[#Headers],[4]],FDR[4],"",0,1)</f>
        <v>5</v>
      </c>
      <c r="Q263" cm="1">
        <f t="array" ref="Q263">_xlfn.XLOOKUP(Matrix[[#This Row],[TEAM]]&amp;Matrix[[#Headers],[5]],FDR[FDR]&amp;FDR[[#Headers],[5]],FDR[5],"",0,1)</f>
        <v>5</v>
      </c>
      <c r="R263" cm="1">
        <f t="array" ref="R263">_xlfn.XLOOKUP(Matrix[[#This Row],[TEAM]]&amp;Matrix[[#Headers],[6]],FDR[FDR]&amp;FDR[[#Headers],[6]],FDR[6],"",0,1)</f>
        <v>5</v>
      </c>
      <c r="S263" cm="1">
        <f t="array" ref="S263">_xlfn.XLOOKUP(Matrix[[#This Row],[TEAM]]&amp;Matrix[[#Headers],[7]],FDR[FDR]&amp;FDR[[#Headers],[7]],FDR[7],"",0,1)</f>
        <v>5</v>
      </c>
      <c r="T263" cm="1">
        <f t="array" ref="T263">_xlfn.XLOOKUP(Matrix[[#This Row],[TEAM]]&amp;Matrix[[#Headers],[8]],FDR[FDR]&amp;FDR[[#Headers],[8]],FDR[8],"",0,1)</f>
        <v>3</v>
      </c>
      <c r="U263" cm="1">
        <f t="array" ref="U263">_xlfn.XLOOKUP(Matrix[[#This Row],[TEAM]]&amp;Matrix[[#Headers],[9]],FDR[FDR]&amp;FDR[[#Headers],[9]],FDR[9],"",0,1)</f>
        <v>5</v>
      </c>
      <c r="V263" cm="1">
        <f t="array" ref="V263">_xlfn.XLOOKUP(Matrix[[#This Row],[TEAM]]&amp;Matrix[[#Headers],[10]],FDR[FDR]&amp;FDR[[#Headers],[10]],FDR[10],"",0,1)</f>
        <v>4</v>
      </c>
      <c r="W263" cm="1">
        <f t="array" ref="W263">_xlfn.XLOOKUP(Matrix[[#This Row],[TEAM]]&amp;Matrix[[#Headers],[11]],FDR[FDR]&amp;FDR[[#Headers],[11]],FDR[11],"",0,1)</f>
        <v>5</v>
      </c>
      <c r="X263" cm="1">
        <f t="array" ref="X263">_xlfn.XLOOKUP(Matrix[[#This Row],[TEAM]]&amp;Matrix[[#Headers],[12]],FDR[FDR]&amp;FDR[[#Headers],[12]],FDR[12],"",0,1)</f>
        <v>5</v>
      </c>
      <c r="Y263" cm="1">
        <f t="array" ref="Y263">_xlfn.XLOOKUP(Matrix[[#This Row],[TEAM]]&amp;Matrix[[#Headers],[13]],FDR[FDR]&amp;FDR[[#Headers],[13]],FDR[13],"",0,1)</f>
        <v>5</v>
      </c>
      <c r="Z263" cm="1">
        <f t="array" ref="Z263">_xlfn.XLOOKUP(Matrix[[#This Row],[TEAM]]&amp;Matrix[[#Headers],[14]],FDR[FDR]&amp;FDR[[#Headers],[14]],FDR[14],"",0,1)</f>
        <v>5</v>
      </c>
      <c r="AA263" cm="1">
        <f t="array" ref="AA263">_xlfn.XLOOKUP(Matrix[[#This Row],[TEAM]]&amp;Matrix[[#Headers],[15]],FDR[FDR]&amp;FDR[[#Headers],[15]],FDR[15],"",0,1)</f>
        <v>5</v>
      </c>
      <c r="AB263" cm="1">
        <f t="array" ref="AB263">_xlfn.XLOOKUP(Matrix[[#This Row],[TEAM]]&amp;Matrix[[#Headers],[16]],FDR[FDR]&amp;FDR[[#Headers],[16]],FDR[16],"",0,1)</f>
        <v>5</v>
      </c>
      <c r="AC263" cm="1">
        <f t="array" ref="AC263">_xlfn.XLOOKUP(Matrix[[#This Row],[TEAM]]&amp;Matrix[[#Headers],[17]],FDR[FDR]&amp;FDR[[#Headers],[17]],FDR[17],"",0,1)</f>
        <v>5</v>
      </c>
      <c r="AD263" cm="1">
        <f t="array" ref="AD263">_xlfn.XLOOKUP(Matrix[[#This Row],[TEAM]]&amp;Matrix[[#Headers],[18]],FDR[FDR]&amp;FDR[[#Headers],[18]],FDR[18],"",0,1)</f>
        <v>3</v>
      </c>
      <c r="AE263" cm="1">
        <f t="array" ref="AE263">_xlfn.XLOOKUP(Matrix[[#This Row],[TEAM]]&amp;Matrix[[#Headers],[19]],FDR[FDR]&amp;FDR[[#Headers],[19]],FDR[19],"",0,1)</f>
        <v>5</v>
      </c>
      <c r="AF263" cm="1">
        <f t="array" ref="AF263">_xlfn.XLOOKUP(Matrix[[#This Row],[TEAM]]&amp;Matrix[[#Headers],[20]],FDR[FDR]&amp;FDR[[#Headers],[20]],FDR[20],"",0,1)</f>
        <v>5</v>
      </c>
      <c r="AG263" cm="1">
        <f t="array" ref="AG263">_xlfn.XLOOKUP(Matrix[[#This Row],[TEAM]]&amp;Matrix[[#Headers],[21]],FDR[FDR]&amp;FDR[[#Headers],[21]],FDR[21],"",0,1)</f>
        <v>5</v>
      </c>
      <c r="AH263" cm="1">
        <f t="array" ref="AH263">_xlfn.XLOOKUP(Matrix[[#This Row],[TEAM]]&amp;Matrix[[#Headers],[22]],FDR[FDR]&amp;FDR[[#Headers],[22]],FDR[22],"",0,1)</f>
        <v>4</v>
      </c>
      <c r="AI263" cm="1">
        <f t="array" ref="AI263">_xlfn.XLOOKUP(Matrix[[#This Row],[TEAM]]&amp;Matrix[[#Headers],[23]],FDR[FDR]&amp;FDR[[#Headers],[23]],FDR[23],"",0,1)</f>
        <v>5</v>
      </c>
      <c r="AJ263" cm="1">
        <f t="array" ref="AJ263">_xlfn.XLOOKUP(Matrix[[#This Row],[TEAM]]&amp;Matrix[[#Headers],[24]],FDR[FDR]&amp;FDR[[#Headers],[24]],FDR[24],"",0,1)</f>
        <v>3</v>
      </c>
      <c r="AK263" cm="1">
        <f t="array" ref="AK263">_xlfn.XLOOKUP(Matrix[[#This Row],[TEAM]]&amp;Matrix[[#Headers],[25]],FDR[FDR]&amp;FDR[[#Headers],[25]],FDR[25],"",0,1)</f>
        <v>5</v>
      </c>
      <c r="AL263" cm="1">
        <f t="array" ref="AL263">_xlfn.XLOOKUP(Matrix[[#This Row],[TEAM]]&amp;Matrix[[#Headers],[26]],FDR[FDR]&amp;FDR[[#Headers],[26]],FDR[26],"",0,1)</f>
        <v>5</v>
      </c>
      <c r="AM263" cm="1">
        <f t="array" ref="AM263">_xlfn.XLOOKUP(Matrix[[#This Row],[TEAM]]&amp;Matrix[[#Headers],[27]],FDR[FDR]&amp;FDR[[#Headers],[27]],FDR[27],"",0,1)</f>
        <v>5</v>
      </c>
      <c r="AN263" cm="1">
        <f t="array" ref="AN263">_xlfn.XLOOKUP(Matrix[[#This Row],[TEAM]]&amp;Matrix[[#Headers],[28]],FDR[FDR]&amp;FDR[[#Headers],[28]],FDR[28],"",0,1)</f>
        <v>5</v>
      </c>
      <c r="AO263" cm="1">
        <f t="array" ref="AO263">_xlfn.XLOOKUP(Matrix[[#This Row],[TEAM]]&amp;Matrix[[#Headers],[29]],FDR[FDR]&amp;FDR[[#Headers],[29]],FDR[29],"",0,1)</f>
        <v>4</v>
      </c>
      <c r="AP263" cm="1">
        <f t="array" ref="AP263">_xlfn.XLOOKUP(Matrix[[#This Row],[TEAM]]&amp;Matrix[[#Headers],[30]],FDR[FDR]&amp;FDR[[#Headers],[30]],FDR[30],"",0,1)</f>
        <v>5</v>
      </c>
      <c r="AQ263" cm="1">
        <f t="array" ref="AQ263">_xlfn.XLOOKUP(Matrix[[#This Row],[TEAM]]&amp;Matrix[[#Headers],[31]],FDR[FDR]&amp;FDR[[#Headers],[31]],FDR[31],"",0,1)</f>
        <v>5</v>
      </c>
      <c r="AR263" cm="1">
        <f t="array" ref="AR263">_xlfn.XLOOKUP(Matrix[[#This Row],[TEAM]]&amp;Matrix[[#Headers],[32]],FDR[FDR]&amp;FDR[[#Headers],[32]],FDR[32],"",0,1)</f>
        <v>5</v>
      </c>
      <c r="AS263" cm="1">
        <f t="array" ref="AS263">_xlfn.XLOOKUP(Matrix[[#This Row],[TEAM]]&amp;Matrix[[#Headers],[33]],FDR[FDR]&amp;FDR[[#Headers],[33]],FDR[33],"",0,1)</f>
        <v>5</v>
      </c>
      <c r="AT263" cm="1">
        <f t="array" ref="AT263">_xlfn.XLOOKUP(Matrix[[#This Row],[TEAM]]&amp;Matrix[[#Headers],[34]],FDR[FDR]&amp;FDR[[#Headers],[34]],FDR[34],"",0,1)</f>
        <v>5</v>
      </c>
      <c r="AU263" cm="1">
        <f t="array" ref="AU263">_xlfn.XLOOKUP(Matrix[[#This Row],[TEAM]]&amp;Matrix[[#Headers],[35]],FDR[FDR]&amp;FDR[[#Headers],[35]],FDR[35],"",0,1)</f>
        <v>4</v>
      </c>
      <c r="AV263" cm="1">
        <f t="array" ref="AV263">_xlfn.XLOOKUP(Matrix[[#This Row],[TEAM]]&amp;Matrix[[#Headers],[36]],FDR[FDR]&amp;FDR[[#Headers],[36]],FDR[36],"",0,1)</f>
        <v>5</v>
      </c>
      <c r="AW263" cm="1">
        <f t="array" ref="AW263">_xlfn.XLOOKUP(Matrix[[#This Row],[TEAM]]&amp;Matrix[[#Headers],[37]],FDR[FDR]&amp;FDR[[#Headers],[37]],FDR[37],"",0,1)</f>
        <v>5</v>
      </c>
      <c r="AX263" cm="1">
        <f t="array" ref="AX263">_xlfn.XLOOKUP(Matrix[[#This Row],[TEAM]]&amp;Matrix[[#Headers],[38]],FDR[FDR]&amp;FDR[[#Headers],[38]],FDR[38],"",0,1)</f>
        <v>5</v>
      </c>
    </row>
    <row r="264" spans="1:50" ht="22" thickTop="1" thickBot="1">
      <c r="A264" s="50" t="str">
        <f>INDEX!S$4</f>
        <v>MID</v>
      </c>
      <c r="B264" s="70" t="s">
        <v>1609</v>
      </c>
      <c r="C264" s="40" t="s">
        <v>634</v>
      </c>
      <c r="D264" s="62">
        <v>0</v>
      </c>
      <c r="E264" s="60">
        <v>0</v>
      </c>
      <c r="F264" s="61">
        <v>0</v>
      </c>
      <c r="G264" s="63">
        <v>5</v>
      </c>
      <c r="H264" s="261">
        <f>IF(ISBLANK(I264),0,1)</f>
        <v>0</v>
      </c>
      <c r="I264" s="57"/>
      <c r="J264" s="58"/>
      <c r="K264" s="59" t="s">
        <v>693</v>
      </c>
      <c r="L264" s="59" t="s">
        <v>908</v>
      </c>
      <c r="M264" cm="1">
        <f t="array" ref="M264">_xlfn.XLOOKUP(Matrix[[#This Row],[TEAM]]&amp;Matrix[[#Headers],[1]],FDR[FDR]&amp;FDR[[#Headers],[1]],FDR[1],"",0,1)</f>
        <v>4</v>
      </c>
      <c r="N264" cm="1">
        <f t="array" ref="N264">_xlfn.XLOOKUP(Matrix[[#This Row],[TEAM]]&amp;Matrix[[#Headers],[2]],FDR[FDR]&amp;FDR[[#Headers],[2]],FDR[2],"",0,1)</f>
        <v>4</v>
      </c>
      <c r="O264" cm="1">
        <f t="array" ref="O264">_xlfn.XLOOKUP(Matrix[[#This Row],[TEAM]]&amp;Matrix[[#Headers],[3]],FDR[FDR]&amp;FDR[[#Headers],[3]],FDR[3],"",0,1)</f>
        <v>4</v>
      </c>
      <c r="P264" cm="1">
        <f t="array" ref="P264">_xlfn.XLOOKUP(Matrix[[#This Row],[TEAM]]&amp;Matrix[[#Headers],[4]],FDR[FDR]&amp;FDR[[#Headers],[4]],FDR[4],"",0,1)</f>
        <v>5</v>
      </c>
      <c r="Q264" cm="1">
        <f t="array" ref="Q264">_xlfn.XLOOKUP(Matrix[[#This Row],[TEAM]]&amp;Matrix[[#Headers],[5]],FDR[FDR]&amp;FDR[[#Headers],[5]],FDR[5],"",0,1)</f>
        <v>5</v>
      </c>
      <c r="R264" cm="1">
        <f t="array" ref="R264">_xlfn.XLOOKUP(Matrix[[#This Row],[TEAM]]&amp;Matrix[[#Headers],[6]],FDR[FDR]&amp;FDR[[#Headers],[6]],FDR[6],"",0,1)</f>
        <v>5</v>
      </c>
      <c r="S264" cm="1">
        <f t="array" ref="S264">_xlfn.XLOOKUP(Matrix[[#This Row],[TEAM]]&amp;Matrix[[#Headers],[7]],FDR[FDR]&amp;FDR[[#Headers],[7]],FDR[7],"",0,1)</f>
        <v>5</v>
      </c>
      <c r="T264" cm="1">
        <f t="array" ref="T264">_xlfn.XLOOKUP(Matrix[[#This Row],[TEAM]]&amp;Matrix[[#Headers],[8]],FDR[FDR]&amp;FDR[[#Headers],[8]],FDR[8],"",0,1)</f>
        <v>3</v>
      </c>
      <c r="U264" cm="1">
        <f t="array" ref="U264">_xlfn.XLOOKUP(Matrix[[#This Row],[TEAM]]&amp;Matrix[[#Headers],[9]],FDR[FDR]&amp;FDR[[#Headers],[9]],FDR[9],"",0,1)</f>
        <v>5</v>
      </c>
      <c r="V264" cm="1">
        <f t="array" ref="V264">_xlfn.XLOOKUP(Matrix[[#This Row],[TEAM]]&amp;Matrix[[#Headers],[10]],FDR[FDR]&amp;FDR[[#Headers],[10]],FDR[10],"",0,1)</f>
        <v>4</v>
      </c>
      <c r="W264" cm="1">
        <f t="array" ref="W264">_xlfn.XLOOKUP(Matrix[[#This Row],[TEAM]]&amp;Matrix[[#Headers],[11]],FDR[FDR]&amp;FDR[[#Headers],[11]],FDR[11],"",0,1)</f>
        <v>5</v>
      </c>
      <c r="X264" cm="1">
        <f t="array" ref="X264">_xlfn.XLOOKUP(Matrix[[#This Row],[TEAM]]&amp;Matrix[[#Headers],[12]],FDR[FDR]&amp;FDR[[#Headers],[12]],FDR[12],"",0,1)</f>
        <v>5</v>
      </c>
      <c r="Y264" cm="1">
        <f t="array" ref="Y264">_xlfn.XLOOKUP(Matrix[[#This Row],[TEAM]]&amp;Matrix[[#Headers],[13]],FDR[FDR]&amp;FDR[[#Headers],[13]],FDR[13],"",0,1)</f>
        <v>5</v>
      </c>
      <c r="Z264" cm="1">
        <f t="array" ref="Z264">_xlfn.XLOOKUP(Matrix[[#This Row],[TEAM]]&amp;Matrix[[#Headers],[14]],FDR[FDR]&amp;FDR[[#Headers],[14]],FDR[14],"",0,1)</f>
        <v>5</v>
      </c>
      <c r="AA264" cm="1">
        <f t="array" ref="AA264">_xlfn.XLOOKUP(Matrix[[#This Row],[TEAM]]&amp;Matrix[[#Headers],[15]],FDR[FDR]&amp;FDR[[#Headers],[15]],FDR[15],"",0,1)</f>
        <v>5</v>
      </c>
      <c r="AB264" cm="1">
        <f t="array" ref="AB264">_xlfn.XLOOKUP(Matrix[[#This Row],[TEAM]]&amp;Matrix[[#Headers],[16]],FDR[FDR]&amp;FDR[[#Headers],[16]],FDR[16],"",0,1)</f>
        <v>5</v>
      </c>
      <c r="AC264" cm="1">
        <f t="array" ref="AC264">_xlfn.XLOOKUP(Matrix[[#This Row],[TEAM]]&amp;Matrix[[#Headers],[17]],FDR[FDR]&amp;FDR[[#Headers],[17]],FDR[17],"",0,1)</f>
        <v>5</v>
      </c>
      <c r="AD264" cm="1">
        <f t="array" ref="AD264">_xlfn.XLOOKUP(Matrix[[#This Row],[TEAM]]&amp;Matrix[[#Headers],[18]],FDR[FDR]&amp;FDR[[#Headers],[18]],FDR[18],"",0,1)</f>
        <v>3</v>
      </c>
      <c r="AE264" cm="1">
        <f t="array" ref="AE264">_xlfn.XLOOKUP(Matrix[[#This Row],[TEAM]]&amp;Matrix[[#Headers],[19]],FDR[FDR]&amp;FDR[[#Headers],[19]],FDR[19],"",0,1)</f>
        <v>5</v>
      </c>
      <c r="AF264" cm="1">
        <f t="array" ref="AF264">_xlfn.XLOOKUP(Matrix[[#This Row],[TEAM]]&amp;Matrix[[#Headers],[20]],FDR[FDR]&amp;FDR[[#Headers],[20]],FDR[20],"",0,1)</f>
        <v>5</v>
      </c>
      <c r="AG264" cm="1">
        <f t="array" ref="AG264">_xlfn.XLOOKUP(Matrix[[#This Row],[TEAM]]&amp;Matrix[[#Headers],[21]],FDR[FDR]&amp;FDR[[#Headers],[21]],FDR[21],"",0,1)</f>
        <v>5</v>
      </c>
      <c r="AH264" cm="1">
        <f t="array" ref="AH264">_xlfn.XLOOKUP(Matrix[[#This Row],[TEAM]]&amp;Matrix[[#Headers],[22]],FDR[FDR]&amp;FDR[[#Headers],[22]],FDR[22],"",0,1)</f>
        <v>4</v>
      </c>
      <c r="AI264" cm="1">
        <f t="array" ref="AI264">_xlfn.XLOOKUP(Matrix[[#This Row],[TEAM]]&amp;Matrix[[#Headers],[23]],FDR[FDR]&amp;FDR[[#Headers],[23]],FDR[23],"",0,1)</f>
        <v>5</v>
      </c>
      <c r="AJ264" cm="1">
        <f t="array" ref="AJ264">_xlfn.XLOOKUP(Matrix[[#This Row],[TEAM]]&amp;Matrix[[#Headers],[24]],FDR[FDR]&amp;FDR[[#Headers],[24]],FDR[24],"",0,1)</f>
        <v>3</v>
      </c>
      <c r="AK264" cm="1">
        <f t="array" ref="AK264">_xlfn.XLOOKUP(Matrix[[#This Row],[TEAM]]&amp;Matrix[[#Headers],[25]],FDR[FDR]&amp;FDR[[#Headers],[25]],FDR[25],"",0,1)</f>
        <v>5</v>
      </c>
      <c r="AL264" cm="1">
        <f t="array" ref="AL264">_xlfn.XLOOKUP(Matrix[[#This Row],[TEAM]]&amp;Matrix[[#Headers],[26]],FDR[FDR]&amp;FDR[[#Headers],[26]],FDR[26],"",0,1)</f>
        <v>5</v>
      </c>
      <c r="AM264" cm="1">
        <f t="array" ref="AM264">_xlfn.XLOOKUP(Matrix[[#This Row],[TEAM]]&amp;Matrix[[#Headers],[27]],FDR[FDR]&amp;FDR[[#Headers],[27]],FDR[27],"",0,1)</f>
        <v>5</v>
      </c>
      <c r="AN264" cm="1">
        <f t="array" ref="AN264">_xlfn.XLOOKUP(Matrix[[#This Row],[TEAM]]&amp;Matrix[[#Headers],[28]],FDR[FDR]&amp;FDR[[#Headers],[28]],FDR[28],"",0,1)</f>
        <v>5</v>
      </c>
      <c r="AO264" cm="1">
        <f t="array" ref="AO264">_xlfn.XLOOKUP(Matrix[[#This Row],[TEAM]]&amp;Matrix[[#Headers],[29]],FDR[FDR]&amp;FDR[[#Headers],[29]],FDR[29],"",0,1)</f>
        <v>4</v>
      </c>
      <c r="AP264" cm="1">
        <f t="array" ref="AP264">_xlfn.XLOOKUP(Matrix[[#This Row],[TEAM]]&amp;Matrix[[#Headers],[30]],FDR[FDR]&amp;FDR[[#Headers],[30]],FDR[30],"",0,1)</f>
        <v>5</v>
      </c>
      <c r="AQ264" cm="1">
        <f t="array" ref="AQ264">_xlfn.XLOOKUP(Matrix[[#This Row],[TEAM]]&amp;Matrix[[#Headers],[31]],FDR[FDR]&amp;FDR[[#Headers],[31]],FDR[31],"",0,1)</f>
        <v>5</v>
      </c>
      <c r="AR264" cm="1">
        <f t="array" ref="AR264">_xlfn.XLOOKUP(Matrix[[#This Row],[TEAM]]&amp;Matrix[[#Headers],[32]],FDR[FDR]&amp;FDR[[#Headers],[32]],FDR[32],"",0,1)</f>
        <v>5</v>
      </c>
      <c r="AS264" cm="1">
        <f t="array" ref="AS264">_xlfn.XLOOKUP(Matrix[[#This Row],[TEAM]]&amp;Matrix[[#Headers],[33]],FDR[FDR]&amp;FDR[[#Headers],[33]],FDR[33],"",0,1)</f>
        <v>5</v>
      </c>
      <c r="AT264" cm="1">
        <f t="array" ref="AT264">_xlfn.XLOOKUP(Matrix[[#This Row],[TEAM]]&amp;Matrix[[#Headers],[34]],FDR[FDR]&amp;FDR[[#Headers],[34]],FDR[34],"",0,1)</f>
        <v>5</v>
      </c>
      <c r="AU264" cm="1">
        <f t="array" ref="AU264">_xlfn.XLOOKUP(Matrix[[#This Row],[TEAM]]&amp;Matrix[[#Headers],[35]],FDR[FDR]&amp;FDR[[#Headers],[35]],FDR[35],"",0,1)</f>
        <v>4</v>
      </c>
      <c r="AV264" cm="1">
        <f t="array" ref="AV264">_xlfn.XLOOKUP(Matrix[[#This Row],[TEAM]]&amp;Matrix[[#Headers],[36]],FDR[FDR]&amp;FDR[[#Headers],[36]],FDR[36],"",0,1)</f>
        <v>5</v>
      </c>
      <c r="AW264" cm="1">
        <f t="array" ref="AW264">_xlfn.XLOOKUP(Matrix[[#This Row],[TEAM]]&amp;Matrix[[#Headers],[37]],FDR[FDR]&amp;FDR[[#Headers],[37]],FDR[37],"",0,1)</f>
        <v>5</v>
      </c>
      <c r="AX264" cm="1">
        <f t="array" ref="AX264">_xlfn.XLOOKUP(Matrix[[#This Row],[TEAM]]&amp;Matrix[[#Headers],[38]],FDR[FDR]&amp;FDR[[#Headers],[38]],FDR[38],"",0,1)</f>
        <v>5</v>
      </c>
    </row>
    <row r="265" spans="1:50" ht="22" thickTop="1" thickBot="1">
      <c r="A265" s="49" t="str">
        <f>INDEX!S$5</f>
        <v>FWD</v>
      </c>
      <c r="B265" s="70" t="s">
        <v>1503</v>
      </c>
      <c r="C265" s="40" t="s">
        <v>26</v>
      </c>
      <c r="D265" s="62">
        <v>7</v>
      </c>
      <c r="E265" s="60">
        <v>0.01</v>
      </c>
      <c r="F265" s="61">
        <v>8</v>
      </c>
      <c r="G265" s="63">
        <v>5</v>
      </c>
      <c r="H265" s="261">
        <f>IF(ISBLANK(I265),0,1)</f>
        <v>0</v>
      </c>
      <c r="I265" s="57"/>
      <c r="J265" s="58"/>
      <c r="K265" s="64" t="s">
        <v>452</v>
      </c>
      <c r="L265" s="64" t="s">
        <v>282</v>
      </c>
      <c r="M265" cm="1">
        <f t="array" ref="M265">_xlfn.XLOOKUP(Matrix[[#This Row],[TEAM]]&amp;Matrix[[#Headers],[1]],FDR[FDR]&amp;FDR[[#Headers],[1]],FDR[1],"",0,1)</f>
        <v>5</v>
      </c>
      <c r="N265" cm="1">
        <f t="array" ref="N265">_xlfn.XLOOKUP(Matrix[[#This Row],[TEAM]]&amp;Matrix[[#Headers],[2]],FDR[FDR]&amp;FDR[[#Headers],[2]],FDR[2],"",0,1)</f>
        <v>3</v>
      </c>
      <c r="O265" cm="1">
        <f t="array" ref="O265">_xlfn.XLOOKUP(Matrix[[#This Row],[TEAM]]&amp;Matrix[[#Headers],[3]],FDR[FDR]&amp;FDR[[#Headers],[3]],FDR[3],"",0,1)</f>
        <v>5</v>
      </c>
      <c r="P265" cm="1">
        <f t="array" ref="P265">_xlfn.XLOOKUP(Matrix[[#This Row],[TEAM]]&amp;Matrix[[#Headers],[4]],FDR[FDR]&amp;FDR[[#Headers],[4]],FDR[4],"",0,1)</f>
        <v>1</v>
      </c>
      <c r="Q265" cm="1">
        <f t="array" ref="Q265">_xlfn.XLOOKUP(Matrix[[#This Row],[TEAM]]&amp;Matrix[[#Headers],[5]],FDR[FDR]&amp;FDR[[#Headers],[5]],FDR[5],"",0,1)</f>
        <v>4</v>
      </c>
      <c r="R265" cm="1">
        <f t="array" ref="R265">_xlfn.XLOOKUP(Matrix[[#This Row],[TEAM]]&amp;Matrix[[#Headers],[6]],FDR[FDR]&amp;FDR[[#Headers],[6]],FDR[6],"",0,1)</f>
        <v>4</v>
      </c>
      <c r="S265" cm="1">
        <f t="array" ref="S265">_xlfn.XLOOKUP(Matrix[[#This Row],[TEAM]]&amp;Matrix[[#Headers],[7]],FDR[FDR]&amp;FDR[[#Headers],[7]],FDR[7],"",0,1)</f>
        <v>4</v>
      </c>
      <c r="T265" cm="1">
        <f t="array" ref="T265">_xlfn.XLOOKUP(Matrix[[#This Row],[TEAM]]&amp;Matrix[[#Headers],[8]],FDR[FDR]&amp;FDR[[#Headers],[8]],FDR[8],"",0,1)</f>
        <v>3</v>
      </c>
      <c r="U265" cm="1">
        <f t="array" ref="U265">_xlfn.XLOOKUP(Matrix[[#This Row],[TEAM]]&amp;Matrix[[#Headers],[9]],FDR[FDR]&amp;FDR[[#Headers],[9]],FDR[9],"",0,1)</f>
        <v>5</v>
      </c>
      <c r="V265" cm="1">
        <f t="array" ref="V265">_xlfn.XLOOKUP(Matrix[[#This Row],[TEAM]]&amp;Matrix[[#Headers],[10]],FDR[FDR]&amp;FDR[[#Headers],[10]],FDR[10],"",0,1)</f>
        <v>3</v>
      </c>
      <c r="W265" cm="1">
        <f t="array" ref="W265">_xlfn.XLOOKUP(Matrix[[#This Row],[TEAM]]&amp;Matrix[[#Headers],[11]],FDR[FDR]&amp;FDR[[#Headers],[11]],FDR[11],"",0,1)</f>
        <v>3</v>
      </c>
      <c r="X265" cm="1">
        <f t="array" ref="X265">_xlfn.XLOOKUP(Matrix[[#This Row],[TEAM]]&amp;Matrix[[#Headers],[12]],FDR[FDR]&amp;FDR[[#Headers],[12]],FDR[12],"",0,1)</f>
        <v>2</v>
      </c>
      <c r="Y265" cm="1">
        <f t="array" ref="Y265">_xlfn.XLOOKUP(Matrix[[#This Row],[TEAM]]&amp;Matrix[[#Headers],[13]],FDR[FDR]&amp;FDR[[#Headers],[13]],FDR[13],"",0,1)</f>
        <v>4</v>
      </c>
      <c r="Z265" cm="1">
        <f t="array" ref="Z265">_xlfn.XLOOKUP(Matrix[[#This Row],[TEAM]]&amp;Matrix[[#Headers],[14]],FDR[FDR]&amp;FDR[[#Headers],[14]],FDR[14],"",0,1)</f>
        <v>2</v>
      </c>
      <c r="AA265" cm="1">
        <f t="array" ref="AA265">_xlfn.XLOOKUP(Matrix[[#This Row],[TEAM]]&amp;Matrix[[#Headers],[15]],FDR[FDR]&amp;FDR[[#Headers],[15]],FDR[15],"",0,1)</f>
        <v>4</v>
      </c>
      <c r="AB265" cm="1">
        <f t="array" ref="AB265">_xlfn.XLOOKUP(Matrix[[#This Row],[TEAM]]&amp;Matrix[[#Headers],[16]],FDR[FDR]&amp;FDR[[#Headers],[16]],FDR[16],"",0,1)</f>
        <v>4</v>
      </c>
      <c r="AC265" cm="1">
        <f t="array" ref="AC265">_xlfn.XLOOKUP(Matrix[[#This Row],[TEAM]]&amp;Matrix[[#Headers],[17]],FDR[FDR]&amp;FDR[[#Headers],[17]],FDR[17],"",0,1)</f>
        <v>2</v>
      </c>
      <c r="AD265" cm="1">
        <f t="array" ref="AD265">_xlfn.XLOOKUP(Matrix[[#This Row],[TEAM]]&amp;Matrix[[#Headers],[18]],FDR[FDR]&amp;FDR[[#Headers],[18]],FDR[18],"",0,1)</f>
        <v>4</v>
      </c>
      <c r="AE265" cm="1">
        <f t="array" ref="AE265">_xlfn.XLOOKUP(Matrix[[#This Row],[TEAM]]&amp;Matrix[[#Headers],[19]],FDR[FDR]&amp;FDR[[#Headers],[19]],FDR[19],"",0,1)</f>
        <v>3</v>
      </c>
      <c r="AF265" cm="1">
        <f t="array" ref="AF265">_xlfn.XLOOKUP(Matrix[[#This Row],[TEAM]]&amp;Matrix[[#Headers],[20]],FDR[FDR]&amp;FDR[[#Headers],[20]],FDR[20],"",0,1)</f>
        <v>5</v>
      </c>
      <c r="AG265" cm="1">
        <f t="array" ref="AG265">_xlfn.XLOOKUP(Matrix[[#This Row],[TEAM]]&amp;Matrix[[#Headers],[21]],FDR[FDR]&amp;FDR[[#Headers],[21]],FDR[21],"",0,1)</f>
        <v>4</v>
      </c>
      <c r="AH265" cm="1">
        <f t="array" ref="AH265">_xlfn.XLOOKUP(Matrix[[#This Row],[TEAM]]&amp;Matrix[[#Headers],[22]],FDR[FDR]&amp;FDR[[#Headers],[22]],FDR[22],"",0,1)</f>
        <v>2</v>
      </c>
      <c r="AI265" cm="1">
        <f t="array" ref="AI265">_xlfn.XLOOKUP(Matrix[[#This Row],[TEAM]]&amp;Matrix[[#Headers],[23]],FDR[FDR]&amp;FDR[[#Headers],[23]],FDR[23],"",0,1)</f>
        <v>4</v>
      </c>
      <c r="AJ265" cm="1">
        <f t="array" ref="AJ265">_xlfn.XLOOKUP(Matrix[[#This Row],[TEAM]]&amp;Matrix[[#Headers],[24]],FDR[FDR]&amp;FDR[[#Headers],[24]],FDR[24],"",0,1)</f>
        <v>4</v>
      </c>
      <c r="AK265" cm="1">
        <f t="array" ref="AK265">_xlfn.XLOOKUP(Matrix[[#This Row],[TEAM]]&amp;Matrix[[#Headers],[25]],FDR[FDR]&amp;FDR[[#Headers],[25]],FDR[25],"",0,1)</f>
        <v>4</v>
      </c>
      <c r="AL265" cm="1">
        <f t="array" ref="AL265">_xlfn.XLOOKUP(Matrix[[#This Row],[TEAM]]&amp;Matrix[[#Headers],[26]],FDR[FDR]&amp;FDR[[#Headers],[26]],FDR[26],"",0,1)</f>
        <v>1</v>
      </c>
      <c r="AM265" cm="1">
        <f t="array" ref="AM265">_xlfn.XLOOKUP(Matrix[[#This Row],[TEAM]]&amp;Matrix[[#Headers],[27]],FDR[FDR]&amp;FDR[[#Headers],[27]],FDR[27],"",0,1)</f>
        <v>2</v>
      </c>
      <c r="AN265" cm="1">
        <f t="array" ref="AN265">_xlfn.XLOOKUP(Matrix[[#This Row],[TEAM]]&amp;Matrix[[#Headers],[28]],FDR[FDR]&amp;FDR[[#Headers],[28]],FDR[28],"",0,1)</f>
        <v>5</v>
      </c>
      <c r="AO265" cm="1">
        <f t="array" ref="AO265">_xlfn.XLOOKUP(Matrix[[#This Row],[TEAM]]&amp;Matrix[[#Headers],[29]],FDR[FDR]&amp;FDR[[#Headers],[29]],FDR[29],"",0,1)</f>
        <v>5</v>
      </c>
      <c r="AP265" cm="1">
        <f t="array" ref="AP265">_xlfn.XLOOKUP(Matrix[[#This Row],[TEAM]]&amp;Matrix[[#Headers],[30]],FDR[FDR]&amp;FDR[[#Headers],[30]],FDR[30],"",0,1)</f>
        <v>1</v>
      </c>
      <c r="AQ265" cm="1">
        <f t="array" ref="AQ265">_xlfn.XLOOKUP(Matrix[[#This Row],[TEAM]]&amp;Matrix[[#Headers],[31]],FDR[FDR]&amp;FDR[[#Headers],[31]],FDR[31],"",0,1)</f>
        <v>5</v>
      </c>
      <c r="AR265" cm="1">
        <f t="array" ref="AR265">_xlfn.XLOOKUP(Matrix[[#This Row],[TEAM]]&amp;Matrix[[#Headers],[32]],FDR[FDR]&amp;FDR[[#Headers],[32]],FDR[32],"",0,1)</f>
        <v>4</v>
      </c>
      <c r="AS265" cm="1">
        <f t="array" ref="AS265">_xlfn.XLOOKUP(Matrix[[#This Row],[TEAM]]&amp;Matrix[[#Headers],[33]],FDR[FDR]&amp;FDR[[#Headers],[33]],FDR[33],"",0,1)</f>
        <v>3</v>
      </c>
      <c r="AT265" cm="1">
        <f t="array" ref="AT265">_xlfn.XLOOKUP(Matrix[[#This Row],[TEAM]]&amp;Matrix[[#Headers],[34]],FDR[FDR]&amp;FDR[[#Headers],[34]],FDR[34],"",0,1)</f>
        <v>5</v>
      </c>
      <c r="AU265" cm="1">
        <f t="array" ref="AU265">_xlfn.XLOOKUP(Matrix[[#This Row],[TEAM]]&amp;Matrix[[#Headers],[35]],FDR[FDR]&amp;FDR[[#Headers],[35]],FDR[35],"",0,1)</f>
        <v>4</v>
      </c>
      <c r="AV265" cm="1">
        <f t="array" ref="AV265">_xlfn.XLOOKUP(Matrix[[#This Row],[TEAM]]&amp;Matrix[[#Headers],[36]],FDR[FDR]&amp;FDR[[#Headers],[36]],FDR[36],"",0,1)</f>
        <v>3</v>
      </c>
      <c r="AW265" cm="1">
        <f t="array" ref="AW265">_xlfn.XLOOKUP(Matrix[[#This Row],[TEAM]]&amp;Matrix[[#Headers],[37]],FDR[FDR]&amp;FDR[[#Headers],[37]],FDR[37],"",0,1)</f>
        <v>4</v>
      </c>
      <c r="AX265" cm="1">
        <f t="array" ref="AX265">_xlfn.XLOOKUP(Matrix[[#This Row],[TEAM]]&amp;Matrix[[#Headers],[38]],FDR[FDR]&amp;FDR[[#Headers],[38]],FDR[38],"",0,1)</f>
        <v>4</v>
      </c>
    </row>
    <row r="266" spans="1:50" ht="22" thickTop="1" thickBot="1">
      <c r="A266" s="49" t="str">
        <f>INDEX!S$5</f>
        <v>FWD</v>
      </c>
      <c r="B266" s="70" t="s">
        <v>1541</v>
      </c>
      <c r="C266" s="40" t="s">
        <v>24</v>
      </c>
      <c r="D266" s="62">
        <v>3</v>
      </c>
      <c r="E266" s="60">
        <v>2E-3</v>
      </c>
      <c r="F266" s="61">
        <v>3</v>
      </c>
      <c r="G266" s="63">
        <v>5</v>
      </c>
      <c r="H266" s="261">
        <f>IF(ISBLANK(I266),0,1)</f>
        <v>0</v>
      </c>
      <c r="I266" s="57"/>
      <c r="J266" s="58"/>
      <c r="K266" s="64" t="s">
        <v>969</v>
      </c>
      <c r="L266" s="64" t="s">
        <v>970</v>
      </c>
      <c r="M266" cm="1">
        <f t="array" ref="M266">_xlfn.XLOOKUP(Matrix[[#This Row],[TEAM]]&amp;Matrix[[#Headers],[1]],FDR[FDR]&amp;FDR[[#Headers],[1]],FDR[1],"",0,1)</f>
        <v>2</v>
      </c>
      <c r="N266" cm="1">
        <f t="array" ref="N266">_xlfn.XLOOKUP(Matrix[[#This Row],[TEAM]]&amp;Matrix[[#Headers],[2]],FDR[FDR]&amp;FDR[[#Headers],[2]],FDR[2],"",0,1)</f>
        <v>3</v>
      </c>
      <c r="O266" cm="1">
        <f t="array" ref="O266">_xlfn.XLOOKUP(Matrix[[#This Row],[TEAM]]&amp;Matrix[[#Headers],[3]],FDR[FDR]&amp;FDR[[#Headers],[3]],FDR[3],"",0,1)</f>
        <v>2</v>
      </c>
      <c r="P266" cm="1">
        <f t="array" ref="P266">_xlfn.XLOOKUP(Matrix[[#This Row],[TEAM]]&amp;Matrix[[#Headers],[4]],FDR[FDR]&amp;FDR[[#Headers],[4]],FDR[4],"",0,1)</f>
        <v>4</v>
      </c>
      <c r="Q266" cm="1">
        <f t="array" ref="Q266">_xlfn.XLOOKUP(Matrix[[#This Row],[TEAM]]&amp;Matrix[[#Headers],[5]],FDR[FDR]&amp;FDR[[#Headers],[5]],FDR[5],"",0,1)</f>
        <v>5</v>
      </c>
      <c r="R266" cm="1">
        <f t="array" ref="R266">_xlfn.XLOOKUP(Matrix[[#This Row],[TEAM]]&amp;Matrix[[#Headers],[6]],FDR[FDR]&amp;FDR[[#Headers],[6]],FDR[6],"",0,1)</f>
        <v>3</v>
      </c>
      <c r="S266" cm="1">
        <f t="array" ref="S266">_xlfn.XLOOKUP(Matrix[[#This Row],[TEAM]]&amp;Matrix[[#Headers],[7]],FDR[FDR]&amp;FDR[[#Headers],[7]],FDR[7],"",0,1)</f>
        <v>3</v>
      </c>
      <c r="T266" cm="1">
        <f t="array" ref="T266">_xlfn.XLOOKUP(Matrix[[#This Row],[TEAM]]&amp;Matrix[[#Headers],[8]],FDR[FDR]&amp;FDR[[#Headers],[8]],FDR[8],"",0,1)</f>
        <v>5</v>
      </c>
      <c r="U266" cm="1">
        <f t="array" ref="U266">_xlfn.XLOOKUP(Matrix[[#This Row],[TEAM]]&amp;Matrix[[#Headers],[9]],FDR[FDR]&amp;FDR[[#Headers],[9]],FDR[9],"",0,1)</f>
        <v>4</v>
      </c>
      <c r="V266" cm="1">
        <f t="array" ref="V266">_xlfn.XLOOKUP(Matrix[[#This Row],[TEAM]]&amp;Matrix[[#Headers],[10]],FDR[FDR]&amp;FDR[[#Headers],[10]],FDR[10],"",0,1)</f>
        <v>2</v>
      </c>
      <c r="W266" cm="1">
        <f t="array" ref="W266">_xlfn.XLOOKUP(Matrix[[#This Row],[TEAM]]&amp;Matrix[[#Headers],[11]],FDR[FDR]&amp;FDR[[#Headers],[11]],FDR[11],"",0,1)</f>
        <v>3</v>
      </c>
      <c r="X266" cm="1">
        <f t="array" ref="X266">_xlfn.XLOOKUP(Matrix[[#This Row],[TEAM]]&amp;Matrix[[#Headers],[12]],FDR[FDR]&amp;FDR[[#Headers],[12]],FDR[12],"",0,1)</f>
        <v>5</v>
      </c>
      <c r="Y266" cm="1">
        <f t="array" ref="Y266">_xlfn.XLOOKUP(Matrix[[#This Row],[TEAM]]&amp;Matrix[[#Headers],[13]],FDR[FDR]&amp;FDR[[#Headers],[13]],FDR[13],"",0,1)</f>
        <v>4</v>
      </c>
      <c r="Z266" cm="1">
        <f t="array" ref="Z266">_xlfn.XLOOKUP(Matrix[[#This Row],[TEAM]]&amp;Matrix[[#Headers],[14]],FDR[FDR]&amp;FDR[[#Headers],[14]],FDR[14],"",0,1)</f>
        <v>4</v>
      </c>
      <c r="AA266" cm="1">
        <f t="array" ref="AA266">_xlfn.XLOOKUP(Matrix[[#This Row],[TEAM]]&amp;Matrix[[#Headers],[15]],FDR[FDR]&amp;FDR[[#Headers],[15]],FDR[15],"",0,1)</f>
        <v>3</v>
      </c>
      <c r="AB266" cm="1">
        <f t="array" ref="AB266">_xlfn.XLOOKUP(Matrix[[#This Row],[TEAM]]&amp;Matrix[[#Headers],[16]],FDR[FDR]&amp;FDR[[#Headers],[16]],FDR[16],"",0,1)</f>
        <v>5</v>
      </c>
      <c r="AC266" cm="1">
        <f t="array" ref="AC266">_xlfn.XLOOKUP(Matrix[[#This Row],[TEAM]]&amp;Matrix[[#Headers],[17]],FDR[FDR]&amp;FDR[[#Headers],[17]],FDR[17],"",0,1)</f>
        <v>4</v>
      </c>
      <c r="AD266" cm="1">
        <f t="array" ref="AD266">_xlfn.XLOOKUP(Matrix[[#This Row],[TEAM]]&amp;Matrix[[#Headers],[18]],FDR[FDR]&amp;FDR[[#Headers],[18]],FDR[18],"",0,1)</f>
        <v>2</v>
      </c>
      <c r="AE266" cm="1">
        <f t="array" ref="AE266">_xlfn.XLOOKUP(Matrix[[#This Row],[TEAM]]&amp;Matrix[[#Headers],[19]],FDR[FDR]&amp;FDR[[#Headers],[19]],FDR[19],"",0,1)</f>
        <v>4</v>
      </c>
      <c r="AF266" cm="1">
        <f t="array" ref="AF266">_xlfn.XLOOKUP(Matrix[[#This Row],[TEAM]]&amp;Matrix[[#Headers],[20]],FDR[FDR]&amp;FDR[[#Headers],[20]],FDR[20],"",0,1)</f>
        <v>3</v>
      </c>
      <c r="AG266" cm="1">
        <f t="array" ref="AG266">_xlfn.XLOOKUP(Matrix[[#This Row],[TEAM]]&amp;Matrix[[#Headers],[21]],FDR[FDR]&amp;FDR[[#Headers],[21]],FDR[21],"",0,1)</f>
        <v>2</v>
      </c>
      <c r="AH266" cm="1">
        <f t="array" ref="AH266">_xlfn.XLOOKUP(Matrix[[#This Row],[TEAM]]&amp;Matrix[[#Headers],[22]],FDR[FDR]&amp;FDR[[#Headers],[22]],FDR[22],"",0,1)</f>
        <v>5</v>
      </c>
      <c r="AI266" cm="1">
        <f t="array" ref="AI266">_xlfn.XLOOKUP(Matrix[[#This Row],[TEAM]]&amp;Matrix[[#Headers],[23]],FDR[FDR]&amp;FDR[[#Headers],[23]],FDR[23],"",0,1)</f>
        <v>1</v>
      </c>
      <c r="AJ266" cm="1">
        <f t="array" ref="AJ266">_xlfn.XLOOKUP(Matrix[[#This Row],[TEAM]]&amp;Matrix[[#Headers],[24]],FDR[FDR]&amp;FDR[[#Headers],[24]],FDR[24],"",0,1)</f>
        <v>4</v>
      </c>
      <c r="AK266" cm="1">
        <f t="array" ref="AK266">_xlfn.XLOOKUP(Matrix[[#This Row],[TEAM]]&amp;Matrix[[#Headers],[25]],FDR[FDR]&amp;FDR[[#Headers],[25]],FDR[25],"",0,1)</f>
        <v>4</v>
      </c>
      <c r="AL266" cm="1">
        <f t="array" ref="AL266">_xlfn.XLOOKUP(Matrix[[#This Row],[TEAM]]&amp;Matrix[[#Headers],[26]],FDR[FDR]&amp;FDR[[#Headers],[26]],FDR[26],"",0,1)</f>
        <v>3</v>
      </c>
      <c r="AM266" cm="1">
        <f t="array" ref="AM266">_xlfn.XLOOKUP(Matrix[[#This Row],[TEAM]]&amp;Matrix[[#Headers],[27]],FDR[FDR]&amp;FDR[[#Headers],[27]],FDR[27],"",0,1)</f>
        <v>4</v>
      </c>
      <c r="AN266" cm="1">
        <f t="array" ref="AN266">_xlfn.XLOOKUP(Matrix[[#This Row],[TEAM]]&amp;Matrix[[#Headers],[28]],FDR[FDR]&amp;FDR[[#Headers],[28]],FDR[28],"",0,1)</f>
        <v>5</v>
      </c>
      <c r="AO266" cm="1">
        <f t="array" ref="AO266">_xlfn.XLOOKUP(Matrix[[#This Row],[TEAM]]&amp;Matrix[[#Headers],[29]],FDR[FDR]&amp;FDR[[#Headers],[29]],FDR[29],"",0,1)</f>
        <v>1</v>
      </c>
      <c r="AP266" cm="1">
        <f t="array" ref="AP266">_xlfn.XLOOKUP(Matrix[[#This Row],[TEAM]]&amp;Matrix[[#Headers],[30]],FDR[FDR]&amp;FDR[[#Headers],[30]],FDR[30],"",0,1)</f>
        <v>5</v>
      </c>
      <c r="AQ266" cm="1">
        <f t="array" ref="AQ266">_xlfn.XLOOKUP(Matrix[[#This Row],[TEAM]]&amp;Matrix[[#Headers],[31]],FDR[FDR]&amp;FDR[[#Headers],[31]],FDR[31],"",0,1)</f>
        <v>4</v>
      </c>
      <c r="AR266" cm="1">
        <f t="array" ref="AR266">_xlfn.XLOOKUP(Matrix[[#This Row],[TEAM]]&amp;Matrix[[#Headers],[32]],FDR[FDR]&amp;FDR[[#Headers],[32]],FDR[32],"",0,1)</f>
        <v>4</v>
      </c>
      <c r="AS266" cm="1">
        <f t="array" ref="AS266">_xlfn.XLOOKUP(Matrix[[#This Row],[TEAM]]&amp;Matrix[[#Headers],[33]],FDR[FDR]&amp;FDR[[#Headers],[33]],FDR[33],"",0,1)</f>
        <v>4</v>
      </c>
      <c r="AT266" cm="1">
        <f t="array" ref="AT266">_xlfn.XLOOKUP(Matrix[[#This Row],[TEAM]]&amp;Matrix[[#Headers],[34]],FDR[FDR]&amp;FDR[[#Headers],[34]],FDR[34],"",0,1)</f>
        <v>4</v>
      </c>
      <c r="AU266" cm="1">
        <f t="array" ref="AU266">_xlfn.XLOOKUP(Matrix[[#This Row],[TEAM]]&amp;Matrix[[#Headers],[35]],FDR[FDR]&amp;FDR[[#Headers],[35]],FDR[35],"",0,1)</f>
        <v>4</v>
      </c>
      <c r="AV266" cm="1">
        <f t="array" ref="AV266">_xlfn.XLOOKUP(Matrix[[#This Row],[TEAM]]&amp;Matrix[[#Headers],[36]],FDR[FDR]&amp;FDR[[#Headers],[36]],FDR[36],"",0,1)</f>
        <v>4</v>
      </c>
      <c r="AW266" cm="1">
        <f t="array" ref="AW266">_xlfn.XLOOKUP(Matrix[[#This Row],[TEAM]]&amp;Matrix[[#Headers],[37]],FDR[FDR]&amp;FDR[[#Headers],[37]],FDR[37],"",0,1)</f>
        <v>1</v>
      </c>
      <c r="AX266" cm="1">
        <f t="array" ref="AX266">_xlfn.XLOOKUP(Matrix[[#This Row],[TEAM]]&amp;Matrix[[#Headers],[38]],FDR[FDR]&amp;FDR[[#Headers],[38]],FDR[38],"",0,1)</f>
        <v>5</v>
      </c>
    </row>
    <row r="267" spans="1:50" ht="22" thickTop="1" thickBot="1">
      <c r="A267" s="49" t="str">
        <f>INDEX!S$5</f>
        <v>FWD</v>
      </c>
      <c r="B267" s="70" t="s">
        <v>1514</v>
      </c>
      <c r="C267" s="40" t="s">
        <v>33</v>
      </c>
      <c r="D267" s="62">
        <v>0</v>
      </c>
      <c r="E267" s="60">
        <v>5.0000000000000001E-3</v>
      </c>
      <c r="F267" s="61">
        <v>0</v>
      </c>
      <c r="G267" s="63">
        <v>5</v>
      </c>
      <c r="H267" s="261">
        <f>IF(ISBLANK(I267),0,1)</f>
        <v>0</v>
      </c>
      <c r="I267" s="57"/>
      <c r="J267" s="58"/>
      <c r="K267" s="64" t="s">
        <v>835</v>
      </c>
      <c r="L267" s="64" t="s">
        <v>836</v>
      </c>
      <c r="M267" cm="1">
        <f t="array" ref="M267">_xlfn.XLOOKUP(Matrix[[#This Row],[TEAM]]&amp;Matrix[[#Headers],[1]],FDR[FDR]&amp;FDR[[#Headers],[1]],FDR[1],"",0,1)</f>
        <v>3</v>
      </c>
      <c r="N267" cm="1">
        <f t="array" ref="N267">_xlfn.XLOOKUP(Matrix[[#This Row],[TEAM]]&amp;Matrix[[#Headers],[2]],FDR[FDR]&amp;FDR[[#Headers],[2]],FDR[2],"",0,1)</f>
        <v>3</v>
      </c>
      <c r="O267" cm="1">
        <f t="array" ref="O267">_xlfn.XLOOKUP(Matrix[[#This Row],[TEAM]]&amp;Matrix[[#Headers],[3]],FDR[FDR]&amp;FDR[[#Headers],[3]],FDR[3],"",0,1)</f>
        <v>4</v>
      </c>
      <c r="P267" cm="1">
        <f t="array" ref="P267">_xlfn.XLOOKUP(Matrix[[#This Row],[TEAM]]&amp;Matrix[[#Headers],[4]],FDR[FDR]&amp;FDR[[#Headers],[4]],FDR[4],"",0,1)</f>
        <v>4</v>
      </c>
      <c r="Q267" cm="1">
        <f t="array" ref="Q267">_xlfn.XLOOKUP(Matrix[[#This Row],[TEAM]]&amp;Matrix[[#Headers],[5]],FDR[FDR]&amp;FDR[[#Headers],[5]],FDR[5],"",0,1)</f>
        <v>4</v>
      </c>
      <c r="R267" cm="1">
        <f t="array" ref="R267">_xlfn.XLOOKUP(Matrix[[#This Row],[TEAM]]&amp;Matrix[[#Headers],[6]],FDR[FDR]&amp;FDR[[#Headers],[6]],FDR[6],"",0,1)</f>
        <v>5</v>
      </c>
      <c r="S267" cm="1">
        <f t="array" ref="S267">_xlfn.XLOOKUP(Matrix[[#This Row],[TEAM]]&amp;Matrix[[#Headers],[7]],FDR[FDR]&amp;FDR[[#Headers],[7]],FDR[7],"",0,1)</f>
        <v>2</v>
      </c>
      <c r="T267" cm="1">
        <f t="array" ref="T267">_xlfn.XLOOKUP(Matrix[[#This Row],[TEAM]]&amp;Matrix[[#Headers],[8]],FDR[FDR]&amp;FDR[[#Headers],[8]],FDR[8],"",0,1)</f>
        <v>4</v>
      </c>
      <c r="U267" cm="1">
        <f t="array" ref="U267">_xlfn.XLOOKUP(Matrix[[#This Row],[TEAM]]&amp;Matrix[[#Headers],[9]],FDR[FDR]&amp;FDR[[#Headers],[9]],FDR[9],"",0,1)</f>
        <v>5</v>
      </c>
      <c r="V267" cm="1">
        <f t="array" ref="V267">_xlfn.XLOOKUP(Matrix[[#This Row],[TEAM]]&amp;Matrix[[#Headers],[10]],FDR[FDR]&amp;FDR[[#Headers],[10]],FDR[10],"",0,1)</f>
        <v>1</v>
      </c>
      <c r="W267" cm="1">
        <f t="array" ref="W267">_xlfn.XLOOKUP(Matrix[[#This Row],[TEAM]]&amp;Matrix[[#Headers],[11]],FDR[FDR]&amp;FDR[[#Headers],[11]],FDR[11],"",0,1)</f>
        <v>3</v>
      </c>
      <c r="X267" cm="1">
        <f t="array" ref="X267">_xlfn.XLOOKUP(Matrix[[#This Row],[TEAM]]&amp;Matrix[[#Headers],[12]],FDR[FDR]&amp;FDR[[#Headers],[12]],FDR[12],"",0,1)</f>
        <v>2</v>
      </c>
      <c r="Y267" cm="1">
        <f t="array" ref="Y267">_xlfn.XLOOKUP(Matrix[[#This Row],[TEAM]]&amp;Matrix[[#Headers],[13]],FDR[FDR]&amp;FDR[[#Headers],[13]],FDR[13],"",0,1)</f>
        <v>4</v>
      </c>
      <c r="Z267" cm="1">
        <f t="array" ref="Z267">_xlfn.XLOOKUP(Matrix[[#This Row],[TEAM]]&amp;Matrix[[#Headers],[14]],FDR[FDR]&amp;FDR[[#Headers],[14]],FDR[14],"",0,1)</f>
        <v>3</v>
      </c>
      <c r="AA267" cm="1">
        <f t="array" ref="AA267">_xlfn.XLOOKUP(Matrix[[#This Row],[TEAM]]&amp;Matrix[[#Headers],[15]],FDR[FDR]&amp;FDR[[#Headers],[15]],FDR[15],"",0,1)</f>
        <v>2</v>
      </c>
      <c r="AB267" cm="1">
        <f t="array" ref="AB267">_xlfn.XLOOKUP(Matrix[[#This Row],[TEAM]]&amp;Matrix[[#Headers],[16]],FDR[FDR]&amp;FDR[[#Headers],[16]],FDR[16],"",0,1)</f>
        <v>5</v>
      </c>
      <c r="AC267" cm="1">
        <f t="array" ref="AC267">_xlfn.XLOOKUP(Matrix[[#This Row],[TEAM]]&amp;Matrix[[#Headers],[17]],FDR[FDR]&amp;FDR[[#Headers],[17]],FDR[17],"",0,1)</f>
        <v>1</v>
      </c>
      <c r="AD267" cm="1">
        <f t="array" ref="AD267">_xlfn.XLOOKUP(Matrix[[#This Row],[TEAM]]&amp;Matrix[[#Headers],[18]],FDR[FDR]&amp;FDR[[#Headers],[18]],FDR[18],"",0,1)</f>
        <v>5</v>
      </c>
      <c r="AE267" cm="1">
        <f t="array" ref="AE267">_xlfn.XLOOKUP(Matrix[[#This Row],[TEAM]]&amp;Matrix[[#Headers],[19]],FDR[FDR]&amp;FDR[[#Headers],[19]],FDR[19],"",0,1)</f>
        <v>3</v>
      </c>
      <c r="AF267" cm="1">
        <f t="array" ref="AF267">_xlfn.XLOOKUP(Matrix[[#This Row],[TEAM]]&amp;Matrix[[#Headers],[20]],FDR[FDR]&amp;FDR[[#Headers],[20]],FDR[20],"",0,1)</f>
        <v>1</v>
      </c>
      <c r="AG267" cm="1">
        <f t="array" ref="AG267">_xlfn.XLOOKUP(Matrix[[#This Row],[TEAM]]&amp;Matrix[[#Headers],[21]],FDR[FDR]&amp;FDR[[#Headers],[21]],FDR[21],"",0,1)</f>
        <v>5</v>
      </c>
      <c r="AH267" cm="1">
        <f t="array" ref="AH267">_xlfn.XLOOKUP(Matrix[[#This Row],[TEAM]]&amp;Matrix[[#Headers],[22]],FDR[FDR]&amp;FDR[[#Headers],[22]],FDR[22],"",0,1)</f>
        <v>3</v>
      </c>
      <c r="AI267" cm="1">
        <f t="array" ref="AI267">_xlfn.XLOOKUP(Matrix[[#This Row],[TEAM]]&amp;Matrix[[#Headers],[23]],FDR[FDR]&amp;FDR[[#Headers],[23]],FDR[23],"",0,1)</f>
        <v>4</v>
      </c>
      <c r="AJ267" cm="1">
        <f t="array" ref="AJ267">_xlfn.XLOOKUP(Matrix[[#This Row],[TEAM]]&amp;Matrix[[#Headers],[24]],FDR[FDR]&amp;FDR[[#Headers],[24]],FDR[24],"",0,1)</f>
        <v>2</v>
      </c>
      <c r="AK267" cm="1">
        <f t="array" ref="AK267">_xlfn.XLOOKUP(Matrix[[#This Row],[TEAM]]&amp;Matrix[[#Headers],[25]],FDR[FDR]&amp;FDR[[#Headers],[25]],FDR[25],"",0,1)</f>
        <v>2</v>
      </c>
      <c r="AL267" cm="1">
        <f t="array" ref="AL267">_xlfn.XLOOKUP(Matrix[[#This Row],[TEAM]]&amp;Matrix[[#Headers],[26]],FDR[FDR]&amp;FDR[[#Headers],[26]],FDR[26],"",0,1)</f>
        <v>5</v>
      </c>
      <c r="AM267" cm="1">
        <f t="array" ref="AM267">_xlfn.XLOOKUP(Matrix[[#This Row],[TEAM]]&amp;Matrix[[#Headers],[27]],FDR[FDR]&amp;FDR[[#Headers],[27]],FDR[27],"",0,1)</f>
        <v>3</v>
      </c>
      <c r="AN267" cm="1">
        <f t="array" ref="AN267">_xlfn.XLOOKUP(Matrix[[#This Row],[TEAM]]&amp;Matrix[[#Headers],[28]],FDR[FDR]&amp;FDR[[#Headers],[28]],FDR[28],"",0,1)</f>
        <v>3</v>
      </c>
      <c r="AO267" cm="1">
        <f t="array" ref="AO267">_xlfn.XLOOKUP(Matrix[[#This Row],[TEAM]]&amp;Matrix[[#Headers],[29]],FDR[FDR]&amp;FDR[[#Headers],[29]],FDR[29],"",0,1)</f>
        <v>4</v>
      </c>
      <c r="AP267" cm="1">
        <f t="array" ref="AP267">_xlfn.XLOOKUP(Matrix[[#This Row],[TEAM]]&amp;Matrix[[#Headers],[30]],FDR[FDR]&amp;FDR[[#Headers],[30]],FDR[30],"",0,1)</f>
        <v>2</v>
      </c>
      <c r="AQ267" cm="1">
        <f t="array" ref="AQ267">_xlfn.XLOOKUP(Matrix[[#This Row],[TEAM]]&amp;Matrix[[#Headers],[31]],FDR[FDR]&amp;FDR[[#Headers],[31]],FDR[31],"",0,1)</f>
        <v>4</v>
      </c>
      <c r="AR267" cm="1">
        <f t="array" ref="AR267">_xlfn.XLOOKUP(Matrix[[#This Row],[TEAM]]&amp;Matrix[[#Headers],[32]],FDR[FDR]&amp;FDR[[#Headers],[32]],FDR[32],"",0,1)</f>
        <v>2</v>
      </c>
      <c r="AS267" cm="1">
        <f t="array" ref="AS267">_xlfn.XLOOKUP(Matrix[[#This Row],[TEAM]]&amp;Matrix[[#Headers],[33]],FDR[FDR]&amp;FDR[[#Headers],[33]],FDR[33],"",0,1)</f>
        <v>5</v>
      </c>
      <c r="AT267" cm="1">
        <f t="array" ref="AT267">_xlfn.XLOOKUP(Matrix[[#This Row],[TEAM]]&amp;Matrix[[#Headers],[34]],FDR[FDR]&amp;FDR[[#Headers],[34]],FDR[34],"",0,1)</f>
        <v>4</v>
      </c>
      <c r="AU267" cm="1">
        <f t="array" ref="AU267">_xlfn.XLOOKUP(Matrix[[#This Row],[TEAM]]&amp;Matrix[[#Headers],[35]],FDR[FDR]&amp;FDR[[#Headers],[35]],FDR[35],"",0,1)</f>
        <v>5</v>
      </c>
      <c r="AV267" cm="1">
        <f t="array" ref="AV267">_xlfn.XLOOKUP(Matrix[[#This Row],[TEAM]]&amp;Matrix[[#Headers],[36]],FDR[FDR]&amp;FDR[[#Headers],[36]],FDR[36],"",0,1)</f>
        <v>1</v>
      </c>
      <c r="AW267" cm="1">
        <f t="array" ref="AW267">_xlfn.XLOOKUP(Matrix[[#This Row],[TEAM]]&amp;Matrix[[#Headers],[37]],FDR[FDR]&amp;FDR[[#Headers],[37]],FDR[37],"",0,1)</f>
        <v>2</v>
      </c>
      <c r="AX267" cm="1">
        <f t="array" ref="AX267">_xlfn.XLOOKUP(Matrix[[#This Row],[TEAM]]&amp;Matrix[[#Headers],[38]],FDR[FDR]&amp;FDR[[#Headers],[38]],FDR[38],"",0,1)</f>
        <v>4</v>
      </c>
    </row>
    <row r="268" spans="1:50" ht="22" thickTop="1" thickBot="1">
      <c r="A268" s="49" t="str">
        <f>INDEX!S$5</f>
        <v>FWD</v>
      </c>
      <c r="B268" s="70" t="s">
        <v>1527</v>
      </c>
      <c r="C268" s="40" t="s">
        <v>22</v>
      </c>
      <c r="D268" s="62">
        <v>0</v>
      </c>
      <c r="E268" s="60">
        <v>3.0000000000000001E-3</v>
      </c>
      <c r="F268" s="61">
        <v>0</v>
      </c>
      <c r="G268" s="63">
        <v>5</v>
      </c>
      <c r="H268" s="261">
        <f>IF(ISBLANK(I268),0,1)</f>
        <v>0</v>
      </c>
      <c r="I268" s="57"/>
      <c r="J268" s="58"/>
      <c r="K268" s="64" t="s">
        <v>587</v>
      </c>
      <c r="L268" s="64" t="s">
        <v>291</v>
      </c>
      <c r="M268" cm="1">
        <f t="array" ref="M268">_xlfn.XLOOKUP(Matrix[[#This Row],[TEAM]]&amp;Matrix[[#Headers],[1]],FDR[FDR]&amp;FDR[[#Headers],[1]],FDR[1],"",0,1)</f>
        <v>5</v>
      </c>
      <c r="N268" cm="1">
        <f t="array" ref="N268">_xlfn.XLOOKUP(Matrix[[#This Row],[TEAM]]&amp;Matrix[[#Headers],[2]],FDR[FDR]&amp;FDR[[#Headers],[2]],FDR[2],"",0,1)</f>
        <v>3</v>
      </c>
      <c r="O268" cm="1">
        <f t="array" ref="O268">_xlfn.XLOOKUP(Matrix[[#This Row],[TEAM]]&amp;Matrix[[#Headers],[3]],FDR[FDR]&amp;FDR[[#Headers],[3]],FDR[3],"",0,1)</f>
        <v>5</v>
      </c>
      <c r="P268" cm="1">
        <f t="array" ref="P268">_xlfn.XLOOKUP(Matrix[[#This Row],[TEAM]]&amp;Matrix[[#Headers],[4]],FDR[FDR]&amp;FDR[[#Headers],[4]],FDR[4],"",0,1)</f>
        <v>5</v>
      </c>
      <c r="Q268" cm="1">
        <f t="array" ref="Q268">_xlfn.XLOOKUP(Matrix[[#This Row],[TEAM]]&amp;Matrix[[#Headers],[5]],FDR[FDR]&amp;FDR[[#Headers],[5]],FDR[5],"",0,1)</f>
        <v>5</v>
      </c>
      <c r="R268" cm="1">
        <f t="array" ref="R268">_xlfn.XLOOKUP(Matrix[[#This Row],[TEAM]]&amp;Matrix[[#Headers],[6]],FDR[FDR]&amp;FDR[[#Headers],[6]],FDR[6],"",0,1)</f>
        <v>5</v>
      </c>
      <c r="S268" cm="1">
        <f t="array" ref="S268">_xlfn.XLOOKUP(Matrix[[#This Row],[TEAM]]&amp;Matrix[[#Headers],[7]],FDR[FDR]&amp;FDR[[#Headers],[7]],FDR[7],"",0,1)</f>
        <v>5</v>
      </c>
      <c r="T268" cm="1">
        <f t="array" ref="T268">_xlfn.XLOOKUP(Matrix[[#This Row],[TEAM]]&amp;Matrix[[#Headers],[8]],FDR[FDR]&amp;FDR[[#Headers],[8]],FDR[8],"",0,1)</f>
        <v>3</v>
      </c>
      <c r="U268" cm="1">
        <f t="array" ref="U268">_xlfn.XLOOKUP(Matrix[[#This Row],[TEAM]]&amp;Matrix[[#Headers],[9]],FDR[FDR]&amp;FDR[[#Headers],[9]],FDR[9],"",0,1)</f>
        <v>4</v>
      </c>
      <c r="V268" cm="1">
        <f t="array" ref="V268">_xlfn.XLOOKUP(Matrix[[#This Row],[TEAM]]&amp;Matrix[[#Headers],[10]],FDR[FDR]&amp;FDR[[#Headers],[10]],FDR[10],"",0,1)</f>
        <v>5</v>
      </c>
      <c r="W268" cm="1">
        <f t="array" ref="W268">_xlfn.XLOOKUP(Matrix[[#This Row],[TEAM]]&amp;Matrix[[#Headers],[11]],FDR[FDR]&amp;FDR[[#Headers],[11]],FDR[11],"",0,1)</f>
        <v>5</v>
      </c>
      <c r="X268" cm="1">
        <f t="array" ref="X268">_xlfn.XLOOKUP(Matrix[[#This Row],[TEAM]]&amp;Matrix[[#Headers],[12]],FDR[FDR]&amp;FDR[[#Headers],[12]],FDR[12],"",0,1)</f>
        <v>5</v>
      </c>
      <c r="Y268" cm="1">
        <f t="array" ref="Y268">_xlfn.XLOOKUP(Matrix[[#This Row],[TEAM]]&amp;Matrix[[#Headers],[13]],FDR[FDR]&amp;FDR[[#Headers],[13]],FDR[13],"",0,1)</f>
        <v>5</v>
      </c>
      <c r="Z268" cm="1">
        <f t="array" ref="Z268">_xlfn.XLOOKUP(Matrix[[#This Row],[TEAM]]&amp;Matrix[[#Headers],[14]],FDR[FDR]&amp;FDR[[#Headers],[14]],FDR[14],"",0,1)</f>
        <v>4</v>
      </c>
      <c r="AA268" cm="1">
        <f t="array" ref="AA268">_xlfn.XLOOKUP(Matrix[[#This Row],[TEAM]]&amp;Matrix[[#Headers],[15]],FDR[FDR]&amp;FDR[[#Headers],[15]],FDR[15],"",0,1)</f>
        <v>5</v>
      </c>
      <c r="AB268" cm="1">
        <f t="array" ref="AB268">_xlfn.XLOOKUP(Matrix[[#This Row],[TEAM]]&amp;Matrix[[#Headers],[16]],FDR[FDR]&amp;FDR[[#Headers],[16]],FDR[16],"",0,1)</f>
        <v>5</v>
      </c>
      <c r="AC268" cm="1">
        <f t="array" ref="AC268">_xlfn.XLOOKUP(Matrix[[#This Row],[TEAM]]&amp;Matrix[[#Headers],[17]],FDR[FDR]&amp;FDR[[#Headers],[17]],FDR[17],"",0,1)</f>
        <v>5</v>
      </c>
      <c r="AD268" cm="1">
        <f t="array" ref="AD268">_xlfn.XLOOKUP(Matrix[[#This Row],[TEAM]]&amp;Matrix[[#Headers],[18]],FDR[FDR]&amp;FDR[[#Headers],[18]],FDR[18],"",0,1)</f>
        <v>4</v>
      </c>
      <c r="AE268" cm="1">
        <f t="array" ref="AE268">_xlfn.XLOOKUP(Matrix[[#This Row],[TEAM]]&amp;Matrix[[#Headers],[19]],FDR[FDR]&amp;FDR[[#Headers],[19]],FDR[19],"",0,1)</f>
        <v>5</v>
      </c>
      <c r="AF268" cm="1">
        <f t="array" ref="AF268">_xlfn.XLOOKUP(Matrix[[#This Row],[TEAM]]&amp;Matrix[[#Headers],[20]],FDR[FDR]&amp;FDR[[#Headers],[20]],FDR[20],"",0,1)</f>
        <v>5</v>
      </c>
      <c r="AG268" cm="1">
        <f t="array" ref="AG268">_xlfn.XLOOKUP(Matrix[[#This Row],[TEAM]]&amp;Matrix[[#Headers],[21]],FDR[FDR]&amp;FDR[[#Headers],[21]],FDR[21],"",0,1)</f>
        <v>5</v>
      </c>
      <c r="AH268" cm="1">
        <f t="array" ref="AH268">_xlfn.XLOOKUP(Matrix[[#This Row],[TEAM]]&amp;Matrix[[#Headers],[22]],FDR[FDR]&amp;FDR[[#Headers],[22]],FDR[22],"",0,1)</f>
        <v>5</v>
      </c>
      <c r="AI268" cm="1">
        <f t="array" ref="AI268">_xlfn.XLOOKUP(Matrix[[#This Row],[TEAM]]&amp;Matrix[[#Headers],[23]],FDR[FDR]&amp;FDR[[#Headers],[23]],FDR[23],"",0,1)</f>
        <v>5</v>
      </c>
      <c r="AJ268" cm="1">
        <f t="array" ref="AJ268">_xlfn.XLOOKUP(Matrix[[#This Row],[TEAM]]&amp;Matrix[[#Headers],[24]],FDR[FDR]&amp;FDR[[#Headers],[24]],FDR[24],"",0,1)</f>
        <v>4</v>
      </c>
      <c r="AK268" cm="1">
        <f t="array" ref="AK268">_xlfn.XLOOKUP(Matrix[[#This Row],[TEAM]]&amp;Matrix[[#Headers],[25]],FDR[FDR]&amp;FDR[[#Headers],[25]],FDR[25],"",0,1)</f>
        <v>4</v>
      </c>
      <c r="AL268" cm="1">
        <f t="array" ref="AL268">_xlfn.XLOOKUP(Matrix[[#This Row],[TEAM]]&amp;Matrix[[#Headers],[26]],FDR[FDR]&amp;FDR[[#Headers],[26]],FDR[26],"",0,1)</f>
        <v>5</v>
      </c>
      <c r="AM268" cm="1">
        <f t="array" ref="AM268">_xlfn.XLOOKUP(Matrix[[#This Row],[TEAM]]&amp;Matrix[[#Headers],[27]],FDR[FDR]&amp;FDR[[#Headers],[27]],FDR[27],"",0,1)</f>
        <v>5</v>
      </c>
      <c r="AN268" cm="1">
        <f t="array" ref="AN268">_xlfn.XLOOKUP(Matrix[[#This Row],[TEAM]]&amp;Matrix[[#Headers],[28]],FDR[FDR]&amp;FDR[[#Headers],[28]],FDR[28],"",0,1)</f>
        <v>4</v>
      </c>
      <c r="AO268" cm="1">
        <f t="array" ref="AO268">_xlfn.XLOOKUP(Matrix[[#This Row],[TEAM]]&amp;Matrix[[#Headers],[29]],FDR[FDR]&amp;FDR[[#Headers],[29]],FDR[29],"",0,1)</f>
        <v>5</v>
      </c>
      <c r="AP268" cm="1">
        <f t="array" ref="AP268">_xlfn.XLOOKUP(Matrix[[#This Row],[TEAM]]&amp;Matrix[[#Headers],[30]],FDR[FDR]&amp;FDR[[#Headers],[30]],FDR[30],"",0,1)</f>
        <v>5</v>
      </c>
      <c r="AQ268" cm="1">
        <f t="array" ref="AQ268">_xlfn.XLOOKUP(Matrix[[#This Row],[TEAM]]&amp;Matrix[[#Headers],[31]],FDR[FDR]&amp;FDR[[#Headers],[31]],FDR[31],"",0,1)</f>
        <v>5</v>
      </c>
      <c r="AR268" cm="1">
        <f t="array" ref="AR268">_xlfn.XLOOKUP(Matrix[[#This Row],[TEAM]]&amp;Matrix[[#Headers],[32]],FDR[FDR]&amp;FDR[[#Headers],[32]],FDR[32],"",0,1)</f>
        <v>5</v>
      </c>
      <c r="AS268" cm="1">
        <f t="array" ref="AS268">_xlfn.XLOOKUP(Matrix[[#This Row],[TEAM]]&amp;Matrix[[#Headers],[33]],FDR[FDR]&amp;FDR[[#Headers],[33]],FDR[33],"",0,1)</f>
        <v>5</v>
      </c>
      <c r="AT268" cm="1">
        <f t="array" ref="AT268">_xlfn.XLOOKUP(Matrix[[#This Row],[TEAM]]&amp;Matrix[[#Headers],[34]],FDR[FDR]&amp;FDR[[#Headers],[34]],FDR[34],"",0,1)</f>
        <v>5</v>
      </c>
      <c r="AU268" cm="1">
        <f t="array" ref="AU268">_xlfn.XLOOKUP(Matrix[[#This Row],[TEAM]]&amp;Matrix[[#Headers],[35]],FDR[FDR]&amp;FDR[[#Headers],[35]],FDR[35],"",0,1)</f>
        <v>4</v>
      </c>
      <c r="AV268" cm="1">
        <f t="array" ref="AV268">_xlfn.XLOOKUP(Matrix[[#This Row],[TEAM]]&amp;Matrix[[#Headers],[36]],FDR[FDR]&amp;FDR[[#Headers],[36]],FDR[36],"",0,1)</f>
        <v>5</v>
      </c>
      <c r="AW268" cm="1">
        <f t="array" ref="AW268">_xlfn.XLOOKUP(Matrix[[#This Row],[TEAM]]&amp;Matrix[[#Headers],[37]],FDR[FDR]&amp;FDR[[#Headers],[37]],FDR[37],"",0,1)</f>
        <v>5</v>
      </c>
      <c r="AX268" cm="1">
        <f t="array" ref="AX268">_xlfn.XLOOKUP(Matrix[[#This Row],[TEAM]]&amp;Matrix[[#Headers],[38]],FDR[FDR]&amp;FDR[[#Headers],[38]],FDR[38],"",0,1)</f>
        <v>3</v>
      </c>
    </row>
    <row r="269" spans="1:50" ht="22" thickTop="1" thickBot="1">
      <c r="A269" s="49" t="str">
        <f>INDEX!S$5</f>
        <v>FWD</v>
      </c>
      <c r="B269" s="70" t="s">
        <v>1516</v>
      </c>
      <c r="C269" s="40" t="s">
        <v>633</v>
      </c>
      <c r="D269" s="62">
        <v>0</v>
      </c>
      <c r="E269" s="60">
        <v>5.0000000000000001E-3</v>
      </c>
      <c r="F269" s="61">
        <v>0</v>
      </c>
      <c r="G269" s="63">
        <v>5</v>
      </c>
      <c r="H269" s="261">
        <f>IF(ISBLANK(I269),0,1)</f>
        <v>0</v>
      </c>
      <c r="I269" s="57"/>
      <c r="J269" s="58"/>
      <c r="K269" s="64" t="s">
        <v>864</v>
      </c>
      <c r="L269" s="64" t="s">
        <v>865</v>
      </c>
      <c r="M269" cm="1">
        <f t="array" ref="M269">_xlfn.XLOOKUP(Matrix[[#This Row],[TEAM]]&amp;Matrix[[#Headers],[1]],FDR[FDR]&amp;FDR[[#Headers],[1]],FDR[1],"",0,1)</f>
        <v>4</v>
      </c>
      <c r="N269" cm="1">
        <f t="array" ref="N269">_xlfn.XLOOKUP(Matrix[[#This Row],[TEAM]]&amp;Matrix[[#Headers],[2]],FDR[FDR]&amp;FDR[[#Headers],[2]],FDR[2],"",0,1)</f>
        <v>5</v>
      </c>
      <c r="O269" cm="1">
        <f t="array" ref="O269">_xlfn.XLOOKUP(Matrix[[#This Row],[TEAM]]&amp;Matrix[[#Headers],[3]],FDR[FDR]&amp;FDR[[#Headers],[3]],FDR[3],"",0,1)</f>
        <v>5</v>
      </c>
      <c r="P269" cm="1">
        <f t="array" ref="P269">_xlfn.XLOOKUP(Matrix[[#This Row],[TEAM]]&amp;Matrix[[#Headers],[4]],FDR[FDR]&amp;FDR[[#Headers],[4]],FDR[4],"",0,1)</f>
        <v>5</v>
      </c>
      <c r="Q269" cm="1">
        <f t="array" ref="Q269">_xlfn.XLOOKUP(Matrix[[#This Row],[TEAM]]&amp;Matrix[[#Headers],[5]],FDR[FDR]&amp;FDR[[#Headers],[5]],FDR[5],"",0,1)</f>
        <v>4</v>
      </c>
      <c r="R269" cm="1">
        <f t="array" ref="R269">_xlfn.XLOOKUP(Matrix[[#This Row],[TEAM]]&amp;Matrix[[#Headers],[6]],FDR[FDR]&amp;FDR[[#Headers],[6]],FDR[6],"",0,1)</f>
        <v>5</v>
      </c>
      <c r="S269" cm="1">
        <f t="array" ref="S269">_xlfn.XLOOKUP(Matrix[[#This Row],[TEAM]]&amp;Matrix[[#Headers],[7]],FDR[FDR]&amp;FDR[[#Headers],[7]],FDR[7],"",0,1)</f>
        <v>5</v>
      </c>
      <c r="T269" cm="1">
        <f t="array" ref="T269">_xlfn.XLOOKUP(Matrix[[#This Row],[TEAM]]&amp;Matrix[[#Headers],[8]],FDR[FDR]&amp;FDR[[#Headers],[8]],FDR[8],"",0,1)</f>
        <v>4</v>
      </c>
      <c r="U269" cm="1">
        <f t="array" ref="U269">_xlfn.XLOOKUP(Matrix[[#This Row],[TEAM]]&amp;Matrix[[#Headers],[9]],FDR[FDR]&amp;FDR[[#Headers],[9]],FDR[9],"",0,1)</f>
        <v>4</v>
      </c>
      <c r="V269" cm="1">
        <f t="array" ref="V269">_xlfn.XLOOKUP(Matrix[[#This Row],[TEAM]]&amp;Matrix[[#Headers],[10]],FDR[FDR]&amp;FDR[[#Headers],[10]],FDR[10],"",0,1)</f>
        <v>5</v>
      </c>
      <c r="W269" cm="1">
        <f t="array" ref="W269">_xlfn.XLOOKUP(Matrix[[#This Row],[TEAM]]&amp;Matrix[[#Headers],[11]],FDR[FDR]&amp;FDR[[#Headers],[11]],FDR[11],"",0,1)</f>
        <v>5</v>
      </c>
      <c r="X269" cm="1">
        <f t="array" ref="X269">_xlfn.XLOOKUP(Matrix[[#This Row],[TEAM]]&amp;Matrix[[#Headers],[12]],FDR[FDR]&amp;FDR[[#Headers],[12]],FDR[12],"",0,1)</f>
        <v>5</v>
      </c>
      <c r="Y269" cm="1">
        <f t="array" ref="Y269">_xlfn.XLOOKUP(Matrix[[#This Row],[TEAM]]&amp;Matrix[[#Headers],[13]],FDR[FDR]&amp;FDR[[#Headers],[13]],FDR[13],"",0,1)</f>
        <v>5</v>
      </c>
      <c r="Z269" cm="1">
        <f t="array" ref="Z269">_xlfn.XLOOKUP(Matrix[[#This Row],[TEAM]]&amp;Matrix[[#Headers],[14]],FDR[FDR]&amp;FDR[[#Headers],[14]],FDR[14],"",0,1)</f>
        <v>5</v>
      </c>
      <c r="AA269" cm="1">
        <f t="array" ref="AA269">_xlfn.XLOOKUP(Matrix[[#This Row],[TEAM]]&amp;Matrix[[#Headers],[15]],FDR[FDR]&amp;FDR[[#Headers],[15]],FDR[15],"",0,1)</f>
        <v>5</v>
      </c>
      <c r="AB269" cm="1">
        <f t="array" ref="AB269">_xlfn.XLOOKUP(Matrix[[#This Row],[TEAM]]&amp;Matrix[[#Headers],[16]],FDR[FDR]&amp;FDR[[#Headers],[16]],FDR[16],"",0,1)</f>
        <v>5</v>
      </c>
      <c r="AC269" cm="1">
        <f t="array" ref="AC269">_xlfn.XLOOKUP(Matrix[[#This Row],[TEAM]]&amp;Matrix[[#Headers],[17]],FDR[FDR]&amp;FDR[[#Headers],[17]],FDR[17],"",0,1)</f>
        <v>4</v>
      </c>
      <c r="AD269" cm="1">
        <f t="array" ref="AD269">_xlfn.XLOOKUP(Matrix[[#This Row],[TEAM]]&amp;Matrix[[#Headers],[18]],FDR[FDR]&amp;FDR[[#Headers],[18]],FDR[18],"",0,1)</f>
        <v>4</v>
      </c>
      <c r="AE269" cm="1">
        <f t="array" ref="AE269">_xlfn.XLOOKUP(Matrix[[#This Row],[TEAM]]&amp;Matrix[[#Headers],[19]],FDR[FDR]&amp;FDR[[#Headers],[19]],FDR[19],"",0,1)</f>
        <v>5</v>
      </c>
      <c r="AF269" cm="1">
        <f t="array" ref="AF269">_xlfn.XLOOKUP(Matrix[[#This Row],[TEAM]]&amp;Matrix[[#Headers],[20]],FDR[FDR]&amp;FDR[[#Headers],[20]],FDR[20],"",0,1)</f>
        <v>5</v>
      </c>
      <c r="AG269" cm="1">
        <f t="array" ref="AG269">_xlfn.XLOOKUP(Matrix[[#This Row],[TEAM]]&amp;Matrix[[#Headers],[21]],FDR[FDR]&amp;FDR[[#Headers],[21]],FDR[21],"",0,1)</f>
        <v>5</v>
      </c>
      <c r="AH269" cm="1">
        <f t="array" ref="AH269">_xlfn.XLOOKUP(Matrix[[#This Row],[TEAM]]&amp;Matrix[[#Headers],[22]],FDR[FDR]&amp;FDR[[#Headers],[22]],FDR[22],"",0,1)</f>
        <v>5</v>
      </c>
      <c r="AI269" cm="1">
        <f t="array" ref="AI269">_xlfn.XLOOKUP(Matrix[[#This Row],[TEAM]]&amp;Matrix[[#Headers],[23]],FDR[FDR]&amp;FDR[[#Headers],[23]],FDR[23],"",0,1)</f>
        <v>5</v>
      </c>
      <c r="AJ269" cm="1">
        <f t="array" ref="AJ269">_xlfn.XLOOKUP(Matrix[[#This Row],[TEAM]]&amp;Matrix[[#Headers],[24]],FDR[FDR]&amp;FDR[[#Headers],[24]],FDR[24],"",0,1)</f>
        <v>5</v>
      </c>
      <c r="AK269" cm="1">
        <f t="array" ref="AK269">_xlfn.XLOOKUP(Matrix[[#This Row],[TEAM]]&amp;Matrix[[#Headers],[25]],FDR[FDR]&amp;FDR[[#Headers],[25]],FDR[25],"",0,1)</f>
        <v>5</v>
      </c>
      <c r="AL269" cm="1">
        <f t="array" ref="AL269">_xlfn.XLOOKUP(Matrix[[#This Row],[TEAM]]&amp;Matrix[[#Headers],[26]],FDR[FDR]&amp;FDR[[#Headers],[26]],FDR[26],"",0,1)</f>
        <v>5</v>
      </c>
      <c r="AM269" cm="1">
        <f t="array" ref="AM269">_xlfn.XLOOKUP(Matrix[[#This Row],[TEAM]]&amp;Matrix[[#Headers],[27]],FDR[FDR]&amp;FDR[[#Headers],[27]],FDR[27],"",0,1)</f>
        <v>5</v>
      </c>
      <c r="AN269" cm="1">
        <f t="array" ref="AN269">_xlfn.XLOOKUP(Matrix[[#This Row],[TEAM]]&amp;Matrix[[#Headers],[28]],FDR[FDR]&amp;FDR[[#Headers],[28]],FDR[28],"",0,1)</f>
        <v>5</v>
      </c>
      <c r="AO269" cm="1">
        <f t="array" ref="AO269">_xlfn.XLOOKUP(Matrix[[#This Row],[TEAM]]&amp;Matrix[[#Headers],[29]],FDR[FDR]&amp;FDR[[#Headers],[29]],FDR[29],"",0,1)</f>
        <v>3</v>
      </c>
      <c r="AP269" cm="1">
        <f t="array" ref="AP269">_xlfn.XLOOKUP(Matrix[[#This Row],[TEAM]]&amp;Matrix[[#Headers],[30]],FDR[FDR]&amp;FDR[[#Headers],[30]],FDR[30],"",0,1)</f>
        <v>5</v>
      </c>
      <c r="AQ269" cm="1">
        <f t="array" ref="AQ269">_xlfn.XLOOKUP(Matrix[[#This Row],[TEAM]]&amp;Matrix[[#Headers],[31]],FDR[FDR]&amp;FDR[[#Headers],[31]],FDR[31],"",0,1)</f>
        <v>4</v>
      </c>
      <c r="AR269" cm="1">
        <f t="array" ref="AR269">_xlfn.XLOOKUP(Matrix[[#This Row],[TEAM]]&amp;Matrix[[#Headers],[32]],FDR[FDR]&amp;FDR[[#Headers],[32]],FDR[32],"",0,1)</f>
        <v>5</v>
      </c>
      <c r="AS269" cm="1">
        <f t="array" ref="AS269">_xlfn.XLOOKUP(Matrix[[#This Row],[TEAM]]&amp;Matrix[[#Headers],[33]],FDR[FDR]&amp;FDR[[#Headers],[33]],FDR[33],"",0,1)</f>
        <v>3</v>
      </c>
      <c r="AT269" cm="1">
        <f t="array" ref="AT269">_xlfn.XLOOKUP(Matrix[[#This Row],[TEAM]]&amp;Matrix[[#Headers],[34]],FDR[FDR]&amp;FDR[[#Headers],[34]],FDR[34],"",0,1)</f>
        <v>5</v>
      </c>
      <c r="AU269" cm="1">
        <f t="array" ref="AU269">_xlfn.XLOOKUP(Matrix[[#This Row],[TEAM]]&amp;Matrix[[#Headers],[35]],FDR[FDR]&amp;FDR[[#Headers],[35]],FDR[35],"",0,1)</f>
        <v>3</v>
      </c>
      <c r="AV269" cm="1">
        <f t="array" ref="AV269">_xlfn.XLOOKUP(Matrix[[#This Row],[TEAM]]&amp;Matrix[[#Headers],[36]],FDR[FDR]&amp;FDR[[#Headers],[36]],FDR[36],"",0,1)</f>
        <v>5</v>
      </c>
      <c r="AW269" cm="1">
        <f t="array" ref="AW269">_xlfn.XLOOKUP(Matrix[[#This Row],[TEAM]]&amp;Matrix[[#Headers],[37]],FDR[FDR]&amp;FDR[[#Headers],[37]],FDR[37],"",0,1)</f>
        <v>5</v>
      </c>
      <c r="AX269" cm="1">
        <f t="array" ref="AX269">_xlfn.XLOOKUP(Matrix[[#This Row],[TEAM]]&amp;Matrix[[#Headers],[38]],FDR[FDR]&amp;FDR[[#Headers],[38]],FDR[38],"",0,1)</f>
        <v>5</v>
      </c>
    </row>
    <row r="270" spans="1:50" ht="22" thickTop="1" thickBot="1">
      <c r="A270" s="49" t="str">
        <f>INDEX!S$5</f>
        <v>FWD</v>
      </c>
      <c r="B270" s="70" t="s">
        <v>1511</v>
      </c>
      <c r="C270" s="40" t="s">
        <v>51</v>
      </c>
      <c r="D270" s="62">
        <v>0</v>
      </c>
      <c r="E270" s="60">
        <v>6.0000000000000001E-3</v>
      </c>
      <c r="F270" s="61">
        <v>0</v>
      </c>
      <c r="G270" s="63">
        <v>5</v>
      </c>
      <c r="H270" s="261">
        <f>IF(ISBLANK(I270),0,1)</f>
        <v>0</v>
      </c>
      <c r="I270" s="57"/>
      <c r="J270" s="58"/>
      <c r="K270" s="64" t="s">
        <v>556</v>
      </c>
      <c r="L270" s="64" t="s">
        <v>920</v>
      </c>
      <c r="M270" cm="1">
        <f t="array" ref="M270">_xlfn.XLOOKUP(Matrix[[#This Row],[TEAM]]&amp;Matrix[[#Headers],[1]],FDR[FDR]&amp;FDR[[#Headers],[1]],FDR[1],"",0,1)</f>
        <v>5</v>
      </c>
      <c r="N270" cm="1">
        <f t="array" ref="N270">_xlfn.XLOOKUP(Matrix[[#This Row],[TEAM]]&amp;Matrix[[#Headers],[2]],FDR[FDR]&amp;FDR[[#Headers],[2]],FDR[2],"",0,1)</f>
        <v>5</v>
      </c>
      <c r="O270" cm="1">
        <f t="array" ref="O270">_xlfn.XLOOKUP(Matrix[[#This Row],[TEAM]]&amp;Matrix[[#Headers],[3]],FDR[FDR]&amp;FDR[[#Headers],[3]],FDR[3],"",0,1)</f>
        <v>4</v>
      </c>
      <c r="P270" cm="1">
        <f t="array" ref="P270">_xlfn.XLOOKUP(Matrix[[#This Row],[TEAM]]&amp;Matrix[[#Headers],[4]],FDR[FDR]&amp;FDR[[#Headers],[4]],FDR[4],"",0,1)</f>
        <v>5</v>
      </c>
      <c r="Q270" cm="1">
        <f t="array" ref="Q270">_xlfn.XLOOKUP(Matrix[[#This Row],[TEAM]]&amp;Matrix[[#Headers],[5]],FDR[FDR]&amp;FDR[[#Headers],[5]],FDR[5],"",0,1)</f>
        <v>2</v>
      </c>
      <c r="R270" cm="1">
        <f t="array" ref="R270">_xlfn.XLOOKUP(Matrix[[#This Row],[TEAM]]&amp;Matrix[[#Headers],[6]],FDR[FDR]&amp;FDR[[#Headers],[6]],FDR[6],"",0,1)</f>
        <v>5</v>
      </c>
      <c r="S270" cm="1">
        <f t="array" ref="S270">_xlfn.XLOOKUP(Matrix[[#This Row],[TEAM]]&amp;Matrix[[#Headers],[7]],FDR[FDR]&amp;FDR[[#Headers],[7]],FDR[7],"",0,1)</f>
        <v>4</v>
      </c>
      <c r="T270" cm="1">
        <f t="array" ref="T270">_xlfn.XLOOKUP(Matrix[[#This Row],[TEAM]]&amp;Matrix[[#Headers],[8]],FDR[FDR]&amp;FDR[[#Headers],[8]],FDR[8],"",0,1)</f>
        <v>3</v>
      </c>
      <c r="U270" cm="1">
        <f t="array" ref="U270">_xlfn.XLOOKUP(Matrix[[#This Row],[TEAM]]&amp;Matrix[[#Headers],[9]],FDR[FDR]&amp;FDR[[#Headers],[9]],FDR[9],"",0,1)</f>
        <v>2</v>
      </c>
      <c r="V270" cm="1">
        <f t="array" ref="V270">_xlfn.XLOOKUP(Matrix[[#This Row],[TEAM]]&amp;Matrix[[#Headers],[10]],FDR[FDR]&amp;FDR[[#Headers],[10]],FDR[10],"",0,1)</f>
        <v>5</v>
      </c>
      <c r="W270" cm="1">
        <f t="array" ref="W270">_xlfn.XLOOKUP(Matrix[[#This Row],[TEAM]]&amp;Matrix[[#Headers],[11]],FDR[FDR]&amp;FDR[[#Headers],[11]],FDR[11],"",0,1)</f>
        <v>5</v>
      </c>
      <c r="X270" cm="1">
        <f t="array" ref="X270">_xlfn.XLOOKUP(Matrix[[#This Row],[TEAM]]&amp;Matrix[[#Headers],[12]],FDR[FDR]&amp;FDR[[#Headers],[12]],FDR[12],"",0,1)</f>
        <v>4</v>
      </c>
      <c r="Y270" cm="1">
        <f t="array" ref="Y270">_xlfn.XLOOKUP(Matrix[[#This Row],[TEAM]]&amp;Matrix[[#Headers],[13]],FDR[FDR]&amp;FDR[[#Headers],[13]],FDR[13],"",0,1)</f>
        <v>5</v>
      </c>
      <c r="Z270" cm="1">
        <f t="array" ref="Z270">_xlfn.XLOOKUP(Matrix[[#This Row],[TEAM]]&amp;Matrix[[#Headers],[14]],FDR[FDR]&amp;FDR[[#Headers],[14]],FDR[14],"",0,1)</f>
        <v>4</v>
      </c>
      <c r="AA270" cm="1">
        <f t="array" ref="AA270">_xlfn.XLOOKUP(Matrix[[#This Row],[TEAM]]&amp;Matrix[[#Headers],[15]],FDR[FDR]&amp;FDR[[#Headers],[15]],FDR[15],"",0,1)</f>
        <v>5</v>
      </c>
      <c r="AB270" cm="1">
        <f t="array" ref="AB270">_xlfn.XLOOKUP(Matrix[[#This Row],[TEAM]]&amp;Matrix[[#Headers],[16]],FDR[FDR]&amp;FDR[[#Headers],[16]],FDR[16],"",0,1)</f>
        <v>5</v>
      </c>
      <c r="AC270" cm="1">
        <f t="array" ref="AC270">_xlfn.XLOOKUP(Matrix[[#This Row],[TEAM]]&amp;Matrix[[#Headers],[17]],FDR[FDR]&amp;FDR[[#Headers],[17]],FDR[17],"",0,1)</f>
        <v>4</v>
      </c>
      <c r="AD270" cm="1">
        <f t="array" ref="AD270">_xlfn.XLOOKUP(Matrix[[#This Row],[TEAM]]&amp;Matrix[[#Headers],[18]],FDR[FDR]&amp;FDR[[#Headers],[18]],FDR[18],"",0,1)</f>
        <v>5</v>
      </c>
      <c r="AE270" cm="1">
        <f t="array" ref="AE270">_xlfn.XLOOKUP(Matrix[[#This Row],[TEAM]]&amp;Matrix[[#Headers],[19]],FDR[FDR]&amp;FDR[[#Headers],[19]],FDR[19],"",0,1)</f>
        <v>5</v>
      </c>
      <c r="AF270" cm="1">
        <f t="array" ref="AF270">_xlfn.XLOOKUP(Matrix[[#This Row],[TEAM]]&amp;Matrix[[#Headers],[20]],FDR[FDR]&amp;FDR[[#Headers],[20]],FDR[20],"",0,1)</f>
        <v>4</v>
      </c>
      <c r="AG270" cm="1">
        <f t="array" ref="AG270">_xlfn.XLOOKUP(Matrix[[#This Row],[TEAM]]&amp;Matrix[[#Headers],[21]],FDR[FDR]&amp;FDR[[#Headers],[21]],FDR[21],"",0,1)</f>
        <v>5</v>
      </c>
      <c r="AH270" cm="1">
        <f t="array" ref="AH270">_xlfn.XLOOKUP(Matrix[[#This Row],[TEAM]]&amp;Matrix[[#Headers],[22]],FDR[FDR]&amp;FDR[[#Headers],[22]],FDR[22],"",0,1)</f>
        <v>5</v>
      </c>
      <c r="AI270" cm="1">
        <f t="array" ref="AI270">_xlfn.XLOOKUP(Matrix[[#This Row],[TEAM]]&amp;Matrix[[#Headers],[23]],FDR[FDR]&amp;FDR[[#Headers],[23]],FDR[23],"",0,1)</f>
        <v>5</v>
      </c>
      <c r="AJ270" cm="1">
        <f t="array" ref="AJ270">_xlfn.XLOOKUP(Matrix[[#This Row],[TEAM]]&amp;Matrix[[#Headers],[24]],FDR[FDR]&amp;FDR[[#Headers],[24]],FDR[24],"",0,1)</f>
        <v>4</v>
      </c>
      <c r="AK270" cm="1">
        <f t="array" ref="AK270">_xlfn.XLOOKUP(Matrix[[#This Row],[TEAM]]&amp;Matrix[[#Headers],[25]],FDR[FDR]&amp;FDR[[#Headers],[25]],FDR[25],"",0,1)</f>
        <v>5</v>
      </c>
      <c r="AL270" cm="1">
        <f t="array" ref="AL270">_xlfn.XLOOKUP(Matrix[[#This Row],[TEAM]]&amp;Matrix[[#Headers],[26]],FDR[FDR]&amp;FDR[[#Headers],[26]],FDR[26],"",0,1)</f>
        <v>5</v>
      </c>
      <c r="AM270" cm="1">
        <f t="array" ref="AM270">_xlfn.XLOOKUP(Matrix[[#This Row],[TEAM]]&amp;Matrix[[#Headers],[27]],FDR[FDR]&amp;FDR[[#Headers],[27]],FDR[27],"",0,1)</f>
        <v>5</v>
      </c>
      <c r="AN270" cm="1">
        <f t="array" ref="AN270">_xlfn.XLOOKUP(Matrix[[#This Row],[TEAM]]&amp;Matrix[[#Headers],[28]],FDR[FDR]&amp;FDR[[#Headers],[28]],FDR[28],"",0,1)</f>
        <v>5</v>
      </c>
      <c r="AO270" cm="1">
        <f t="array" ref="AO270">_xlfn.XLOOKUP(Matrix[[#This Row],[TEAM]]&amp;Matrix[[#Headers],[29]],FDR[FDR]&amp;FDR[[#Headers],[29]],FDR[29],"",0,1)</f>
        <v>5</v>
      </c>
      <c r="AP270" cm="1">
        <f t="array" ref="AP270">_xlfn.XLOOKUP(Matrix[[#This Row],[TEAM]]&amp;Matrix[[#Headers],[30]],FDR[FDR]&amp;FDR[[#Headers],[30]],FDR[30],"",0,1)</f>
        <v>5</v>
      </c>
      <c r="AQ270" cm="1">
        <f t="array" ref="AQ270">_xlfn.XLOOKUP(Matrix[[#This Row],[TEAM]]&amp;Matrix[[#Headers],[31]],FDR[FDR]&amp;FDR[[#Headers],[31]],FDR[31],"",0,1)</f>
        <v>5</v>
      </c>
      <c r="AR270" cm="1">
        <f t="array" ref="AR270">_xlfn.XLOOKUP(Matrix[[#This Row],[TEAM]]&amp;Matrix[[#Headers],[32]],FDR[FDR]&amp;FDR[[#Headers],[32]],FDR[32],"",0,1)</f>
        <v>5</v>
      </c>
      <c r="AS270" cm="1">
        <f t="array" ref="AS270">_xlfn.XLOOKUP(Matrix[[#This Row],[TEAM]]&amp;Matrix[[#Headers],[33]],FDR[FDR]&amp;FDR[[#Headers],[33]],FDR[33],"",0,1)</f>
        <v>3</v>
      </c>
      <c r="AT270" cm="1">
        <f t="array" ref="AT270">_xlfn.XLOOKUP(Matrix[[#This Row],[TEAM]]&amp;Matrix[[#Headers],[34]],FDR[FDR]&amp;FDR[[#Headers],[34]],FDR[34],"",0,1)</f>
        <v>5</v>
      </c>
      <c r="AU270" cm="1">
        <f t="array" ref="AU270">_xlfn.XLOOKUP(Matrix[[#This Row],[TEAM]]&amp;Matrix[[#Headers],[35]],FDR[FDR]&amp;FDR[[#Headers],[35]],FDR[35],"",0,1)</f>
        <v>2</v>
      </c>
      <c r="AV270" cm="1">
        <f t="array" ref="AV270">_xlfn.XLOOKUP(Matrix[[#This Row],[TEAM]]&amp;Matrix[[#Headers],[36]],FDR[FDR]&amp;FDR[[#Headers],[36]],FDR[36],"",0,1)</f>
        <v>5</v>
      </c>
      <c r="AW270" cm="1">
        <f t="array" ref="AW270">_xlfn.XLOOKUP(Matrix[[#This Row],[TEAM]]&amp;Matrix[[#Headers],[37]],FDR[FDR]&amp;FDR[[#Headers],[37]],FDR[37],"",0,1)</f>
        <v>4</v>
      </c>
      <c r="AX270" cm="1">
        <f t="array" ref="AX270">_xlfn.XLOOKUP(Matrix[[#This Row],[TEAM]]&amp;Matrix[[#Headers],[38]],FDR[FDR]&amp;FDR[[#Headers],[38]],FDR[38],"",0,1)</f>
        <v>3</v>
      </c>
    </row>
    <row r="271" spans="1:50" ht="22" thickTop="1" thickBot="1">
      <c r="A271" s="49" t="str">
        <f>INDEX!S$5</f>
        <v>FWD</v>
      </c>
      <c r="B271" s="70" t="s">
        <v>1548</v>
      </c>
      <c r="C271" s="40" t="s">
        <v>51</v>
      </c>
      <c r="D271" s="62">
        <v>0</v>
      </c>
      <c r="E271" s="60">
        <v>2E-3</v>
      </c>
      <c r="F271" s="61">
        <v>0</v>
      </c>
      <c r="G271" s="63">
        <v>5</v>
      </c>
      <c r="H271" s="261">
        <f>IF(ISBLANK(I271),0,1)</f>
        <v>0</v>
      </c>
      <c r="I271" s="57"/>
      <c r="J271" s="58"/>
      <c r="K271" s="64" t="s">
        <v>548</v>
      </c>
      <c r="L271" s="64" t="s">
        <v>347</v>
      </c>
      <c r="M271" cm="1">
        <f t="array" ref="M271">_xlfn.XLOOKUP(Matrix[[#This Row],[TEAM]]&amp;Matrix[[#Headers],[1]],FDR[FDR]&amp;FDR[[#Headers],[1]],FDR[1],"",0,1)</f>
        <v>5</v>
      </c>
      <c r="N271" cm="1">
        <f t="array" ref="N271">_xlfn.XLOOKUP(Matrix[[#This Row],[TEAM]]&amp;Matrix[[#Headers],[2]],FDR[FDR]&amp;FDR[[#Headers],[2]],FDR[2],"",0,1)</f>
        <v>5</v>
      </c>
      <c r="O271" cm="1">
        <f t="array" ref="O271">_xlfn.XLOOKUP(Matrix[[#This Row],[TEAM]]&amp;Matrix[[#Headers],[3]],FDR[FDR]&amp;FDR[[#Headers],[3]],FDR[3],"",0,1)</f>
        <v>4</v>
      </c>
      <c r="P271" cm="1">
        <f t="array" ref="P271">_xlfn.XLOOKUP(Matrix[[#This Row],[TEAM]]&amp;Matrix[[#Headers],[4]],FDR[FDR]&amp;FDR[[#Headers],[4]],FDR[4],"",0,1)</f>
        <v>5</v>
      </c>
      <c r="Q271" cm="1">
        <f t="array" ref="Q271">_xlfn.XLOOKUP(Matrix[[#This Row],[TEAM]]&amp;Matrix[[#Headers],[5]],FDR[FDR]&amp;FDR[[#Headers],[5]],FDR[5],"",0,1)</f>
        <v>2</v>
      </c>
      <c r="R271" cm="1">
        <f t="array" ref="R271">_xlfn.XLOOKUP(Matrix[[#This Row],[TEAM]]&amp;Matrix[[#Headers],[6]],FDR[FDR]&amp;FDR[[#Headers],[6]],FDR[6],"",0,1)</f>
        <v>5</v>
      </c>
      <c r="S271" cm="1">
        <f t="array" ref="S271">_xlfn.XLOOKUP(Matrix[[#This Row],[TEAM]]&amp;Matrix[[#Headers],[7]],FDR[FDR]&amp;FDR[[#Headers],[7]],FDR[7],"",0,1)</f>
        <v>4</v>
      </c>
      <c r="T271" cm="1">
        <f t="array" ref="T271">_xlfn.XLOOKUP(Matrix[[#This Row],[TEAM]]&amp;Matrix[[#Headers],[8]],FDR[FDR]&amp;FDR[[#Headers],[8]],FDR[8],"",0,1)</f>
        <v>3</v>
      </c>
      <c r="U271" cm="1">
        <f t="array" ref="U271">_xlfn.XLOOKUP(Matrix[[#This Row],[TEAM]]&amp;Matrix[[#Headers],[9]],FDR[FDR]&amp;FDR[[#Headers],[9]],FDR[9],"",0,1)</f>
        <v>2</v>
      </c>
      <c r="V271" cm="1">
        <f t="array" ref="V271">_xlfn.XLOOKUP(Matrix[[#This Row],[TEAM]]&amp;Matrix[[#Headers],[10]],FDR[FDR]&amp;FDR[[#Headers],[10]],FDR[10],"",0,1)</f>
        <v>5</v>
      </c>
      <c r="W271" cm="1">
        <f t="array" ref="W271">_xlfn.XLOOKUP(Matrix[[#This Row],[TEAM]]&amp;Matrix[[#Headers],[11]],FDR[FDR]&amp;FDR[[#Headers],[11]],FDR[11],"",0,1)</f>
        <v>5</v>
      </c>
      <c r="X271" cm="1">
        <f t="array" ref="X271">_xlfn.XLOOKUP(Matrix[[#This Row],[TEAM]]&amp;Matrix[[#Headers],[12]],FDR[FDR]&amp;FDR[[#Headers],[12]],FDR[12],"",0,1)</f>
        <v>4</v>
      </c>
      <c r="Y271" cm="1">
        <f t="array" ref="Y271">_xlfn.XLOOKUP(Matrix[[#This Row],[TEAM]]&amp;Matrix[[#Headers],[13]],FDR[FDR]&amp;FDR[[#Headers],[13]],FDR[13],"",0,1)</f>
        <v>5</v>
      </c>
      <c r="Z271" cm="1">
        <f t="array" ref="Z271">_xlfn.XLOOKUP(Matrix[[#This Row],[TEAM]]&amp;Matrix[[#Headers],[14]],FDR[FDR]&amp;FDR[[#Headers],[14]],FDR[14],"",0,1)</f>
        <v>4</v>
      </c>
      <c r="AA271" cm="1">
        <f t="array" ref="AA271">_xlfn.XLOOKUP(Matrix[[#This Row],[TEAM]]&amp;Matrix[[#Headers],[15]],FDR[FDR]&amp;FDR[[#Headers],[15]],FDR[15],"",0,1)</f>
        <v>5</v>
      </c>
      <c r="AB271" cm="1">
        <f t="array" ref="AB271">_xlfn.XLOOKUP(Matrix[[#This Row],[TEAM]]&amp;Matrix[[#Headers],[16]],FDR[FDR]&amp;FDR[[#Headers],[16]],FDR[16],"",0,1)</f>
        <v>5</v>
      </c>
      <c r="AC271" cm="1">
        <f t="array" ref="AC271">_xlfn.XLOOKUP(Matrix[[#This Row],[TEAM]]&amp;Matrix[[#Headers],[17]],FDR[FDR]&amp;FDR[[#Headers],[17]],FDR[17],"",0,1)</f>
        <v>4</v>
      </c>
      <c r="AD271" cm="1">
        <f t="array" ref="AD271">_xlfn.XLOOKUP(Matrix[[#This Row],[TEAM]]&amp;Matrix[[#Headers],[18]],FDR[FDR]&amp;FDR[[#Headers],[18]],FDR[18],"",0,1)</f>
        <v>5</v>
      </c>
      <c r="AE271" cm="1">
        <f t="array" ref="AE271">_xlfn.XLOOKUP(Matrix[[#This Row],[TEAM]]&amp;Matrix[[#Headers],[19]],FDR[FDR]&amp;FDR[[#Headers],[19]],FDR[19],"",0,1)</f>
        <v>5</v>
      </c>
      <c r="AF271" cm="1">
        <f t="array" ref="AF271">_xlfn.XLOOKUP(Matrix[[#This Row],[TEAM]]&amp;Matrix[[#Headers],[20]],FDR[FDR]&amp;FDR[[#Headers],[20]],FDR[20],"",0,1)</f>
        <v>4</v>
      </c>
      <c r="AG271" cm="1">
        <f t="array" ref="AG271">_xlfn.XLOOKUP(Matrix[[#This Row],[TEAM]]&amp;Matrix[[#Headers],[21]],FDR[FDR]&amp;FDR[[#Headers],[21]],FDR[21],"",0,1)</f>
        <v>5</v>
      </c>
      <c r="AH271" cm="1">
        <f t="array" ref="AH271">_xlfn.XLOOKUP(Matrix[[#This Row],[TEAM]]&amp;Matrix[[#Headers],[22]],FDR[FDR]&amp;FDR[[#Headers],[22]],FDR[22],"",0,1)</f>
        <v>5</v>
      </c>
      <c r="AI271" cm="1">
        <f t="array" ref="AI271">_xlfn.XLOOKUP(Matrix[[#This Row],[TEAM]]&amp;Matrix[[#Headers],[23]],FDR[FDR]&amp;FDR[[#Headers],[23]],FDR[23],"",0,1)</f>
        <v>5</v>
      </c>
      <c r="AJ271" cm="1">
        <f t="array" ref="AJ271">_xlfn.XLOOKUP(Matrix[[#This Row],[TEAM]]&amp;Matrix[[#Headers],[24]],FDR[FDR]&amp;FDR[[#Headers],[24]],FDR[24],"",0,1)</f>
        <v>4</v>
      </c>
      <c r="AK271" cm="1">
        <f t="array" ref="AK271">_xlfn.XLOOKUP(Matrix[[#This Row],[TEAM]]&amp;Matrix[[#Headers],[25]],FDR[FDR]&amp;FDR[[#Headers],[25]],FDR[25],"",0,1)</f>
        <v>5</v>
      </c>
      <c r="AL271" cm="1">
        <f t="array" ref="AL271">_xlfn.XLOOKUP(Matrix[[#This Row],[TEAM]]&amp;Matrix[[#Headers],[26]],FDR[FDR]&amp;FDR[[#Headers],[26]],FDR[26],"",0,1)</f>
        <v>5</v>
      </c>
      <c r="AM271" cm="1">
        <f t="array" ref="AM271">_xlfn.XLOOKUP(Matrix[[#This Row],[TEAM]]&amp;Matrix[[#Headers],[27]],FDR[FDR]&amp;FDR[[#Headers],[27]],FDR[27],"",0,1)</f>
        <v>5</v>
      </c>
      <c r="AN271" cm="1">
        <f t="array" ref="AN271">_xlfn.XLOOKUP(Matrix[[#This Row],[TEAM]]&amp;Matrix[[#Headers],[28]],FDR[FDR]&amp;FDR[[#Headers],[28]],FDR[28],"",0,1)</f>
        <v>5</v>
      </c>
      <c r="AO271" cm="1">
        <f t="array" ref="AO271">_xlfn.XLOOKUP(Matrix[[#This Row],[TEAM]]&amp;Matrix[[#Headers],[29]],FDR[FDR]&amp;FDR[[#Headers],[29]],FDR[29],"",0,1)</f>
        <v>5</v>
      </c>
      <c r="AP271" cm="1">
        <f t="array" ref="AP271">_xlfn.XLOOKUP(Matrix[[#This Row],[TEAM]]&amp;Matrix[[#Headers],[30]],FDR[FDR]&amp;FDR[[#Headers],[30]],FDR[30],"",0,1)</f>
        <v>5</v>
      </c>
      <c r="AQ271" cm="1">
        <f t="array" ref="AQ271">_xlfn.XLOOKUP(Matrix[[#This Row],[TEAM]]&amp;Matrix[[#Headers],[31]],FDR[FDR]&amp;FDR[[#Headers],[31]],FDR[31],"",0,1)</f>
        <v>5</v>
      </c>
      <c r="AR271" cm="1">
        <f t="array" ref="AR271">_xlfn.XLOOKUP(Matrix[[#This Row],[TEAM]]&amp;Matrix[[#Headers],[32]],FDR[FDR]&amp;FDR[[#Headers],[32]],FDR[32],"",0,1)</f>
        <v>5</v>
      </c>
      <c r="AS271" cm="1">
        <f t="array" ref="AS271">_xlfn.XLOOKUP(Matrix[[#This Row],[TEAM]]&amp;Matrix[[#Headers],[33]],FDR[FDR]&amp;FDR[[#Headers],[33]],FDR[33],"",0,1)</f>
        <v>3</v>
      </c>
      <c r="AT271" cm="1">
        <f t="array" ref="AT271">_xlfn.XLOOKUP(Matrix[[#This Row],[TEAM]]&amp;Matrix[[#Headers],[34]],FDR[FDR]&amp;FDR[[#Headers],[34]],FDR[34],"",0,1)</f>
        <v>5</v>
      </c>
      <c r="AU271" cm="1">
        <f t="array" ref="AU271">_xlfn.XLOOKUP(Matrix[[#This Row],[TEAM]]&amp;Matrix[[#Headers],[35]],FDR[FDR]&amp;FDR[[#Headers],[35]],FDR[35],"",0,1)</f>
        <v>2</v>
      </c>
      <c r="AV271" cm="1">
        <f t="array" ref="AV271">_xlfn.XLOOKUP(Matrix[[#This Row],[TEAM]]&amp;Matrix[[#Headers],[36]],FDR[FDR]&amp;FDR[[#Headers],[36]],FDR[36],"",0,1)</f>
        <v>5</v>
      </c>
      <c r="AW271" cm="1">
        <f t="array" ref="AW271">_xlfn.XLOOKUP(Matrix[[#This Row],[TEAM]]&amp;Matrix[[#Headers],[37]],FDR[FDR]&amp;FDR[[#Headers],[37]],FDR[37],"",0,1)</f>
        <v>4</v>
      </c>
      <c r="AX271" cm="1">
        <f t="array" ref="AX271">_xlfn.XLOOKUP(Matrix[[#This Row],[TEAM]]&amp;Matrix[[#Headers],[38]],FDR[FDR]&amp;FDR[[#Headers],[38]],FDR[38],"",0,1)</f>
        <v>3</v>
      </c>
    </row>
    <row r="272" spans="1:50" ht="22" thickTop="1" thickBot="1">
      <c r="A272" s="52" t="s">
        <v>659</v>
      </c>
      <c r="B272" s="70" t="s">
        <v>1518</v>
      </c>
      <c r="C272" s="40" t="s">
        <v>30</v>
      </c>
      <c r="D272" s="62">
        <v>8</v>
      </c>
      <c r="E272" s="60">
        <v>5.0000000000000001E-3</v>
      </c>
      <c r="F272" s="61">
        <v>7.9</v>
      </c>
      <c r="G272" s="63">
        <v>5</v>
      </c>
      <c r="H272" s="261">
        <f>IF(ISBLANK(I272),0,1)</f>
        <v>0</v>
      </c>
      <c r="I272" s="57"/>
      <c r="J272" s="58"/>
      <c r="K272" s="66" t="s">
        <v>871</v>
      </c>
      <c r="L272" s="66" t="s">
        <v>872</v>
      </c>
      <c r="M272" cm="1">
        <f t="array" ref="M272">_xlfn.XLOOKUP(Matrix[[#This Row],[TEAM]]&amp;Matrix[[#Headers],[1]],FDR[FDR]&amp;FDR[[#Headers],[1]],FDR[1],"",0,1)</f>
        <v>3</v>
      </c>
      <c r="N272" cm="1">
        <f t="array" ref="N272">_xlfn.XLOOKUP(Matrix[[#This Row],[TEAM]]&amp;Matrix[[#Headers],[2]],FDR[FDR]&amp;FDR[[#Headers],[2]],FDR[2],"",0,1)</f>
        <v>2</v>
      </c>
      <c r="O272" cm="1">
        <f t="array" ref="O272">_xlfn.XLOOKUP(Matrix[[#This Row],[TEAM]]&amp;Matrix[[#Headers],[3]],FDR[FDR]&amp;FDR[[#Headers],[3]],FDR[3],"",0,1)</f>
        <v>1</v>
      </c>
      <c r="P272" cm="1">
        <f t="array" ref="P272">_xlfn.XLOOKUP(Matrix[[#This Row],[TEAM]]&amp;Matrix[[#Headers],[4]],FDR[FDR]&amp;FDR[[#Headers],[4]],FDR[4],"",0,1)</f>
        <v>4</v>
      </c>
      <c r="Q272" cm="1">
        <f t="array" ref="Q272">_xlfn.XLOOKUP(Matrix[[#This Row],[TEAM]]&amp;Matrix[[#Headers],[5]],FDR[FDR]&amp;FDR[[#Headers],[5]],FDR[5],"",0,1)</f>
        <v>3</v>
      </c>
      <c r="R272" cm="1">
        <f t="array" ref="R272">_xlfn.XLOOKUP(Matrix[[#This Row],[TEAM]]&amp;Matrix[[#Headers],[6]],FDR[FDR]&amp;FDR[[#Headers],[6]],FDR[6],"",0,1)</f>
        <v>2</v>
      </c>
      <c r="S272" cm="1">
        <f t="array" ref="S272">_xlfn.XLOOKUP(Matrix[[#This Row],[TEAM]]&amp;Matrix[[#Headers],[7]],FDR[FDR]&amp;FDR[[#Headers],[7]],FDR[7],"",0,1)</f>
        <v>1</v>
      </c>
      <c r="T272" cm="1">
        <f t="array" ref="T272">_xlfn.XLOOKUP(Matrix[[#This Row],[TEAM]]&amp;Matrix[[#Headers],[8]],FDR[FDR]&amp;FDR[[#Headers],[8]],FDR[8],"",0,1)</f>
        <v>4</v>
      </c>
      <c r="U272" cm="1">
        <f t="array" ref="U272">_xlfn.XLOOKUP(Matrix[[#This Row],[TEAM]]&amp;Matrix[[#Headers],[9]],FDR[FDR]&amp;FDR[[#Headers],[9]],FDR[9],"",0,1)</f>
        <v>1</v>
      </c>
      <c r="V272" cm="1">
        <f t="array" ref="V272">_xlfn.XLOOKUP(Matrix[[#This Row],[TEAM]]&amp;Matrix[[#Headers],[10]],FDR[FDR]&amp;FDR[[#Headers],[10]],FDR[10],"",0,1)</f>
        <v>2</v>
      </c>
      <c r="W272" cm="1">
        <f t="array" ref="W272">_xlfn.XLOOKUP(Matrix[[#This Row],[TEAM]]&amp;Matrix[[#Headers],[11]],FDR[FDR]&amp;FDR[[#Headers],[11]],FDR[11],"",0,1)</f>
        <v>4</v>
      </c>
      <c r="X272" cm="1">
        <f t="array" ref="X272">_xlfn.XLOOKUP(Matrix[[#This Row],[TEAM]]&amp;Matrix[[#Headers],[12]],FDR[FDR]&amp;FDR[[#Headers],[12]],FDR[12],"",0,1)</f>
        <v>1</v>
      </c>
      <c r="Y272" cm="1">
        <f t="array" ref="Y272">_xlfn.XLOOKUP(Matrix[[#This Row],[TEAM]]&amp;Matrix[[#Headers],[13]],FDR[FDR]&amp;FDR[[#Headers],[13]],FDR[13],"",0,1)</f>
        <v>2</v>
      </c>
      <c r="Z272" cm="1">
        <f t="array" ref="Z272">_xlfn.XLOOKUP(Matrix[[#This Row],[TEAM]]&amp;Matrix[[#Headers],[14]],FDR[FDR]&amp;FDR[[#Headers],[14]],FDR[14],"",0,1)</f>
        <v>1</v>
      </c>
      <c r="AA272" cm="1">
        <f t="array" ref="AA272">_xlfn.XLOOKUP(Matrix[[#This Row],[TEAM]]&amp;Matrix[[#Headers],[15]],FDR[FDR]&amp;FDR[[#Headers],[15]],FDR[15],"",0,1)</f>
        <v>1</v>
      </c>
      <c r="AB272" cm="1">
        <f t="array" ref="AB272">_xlfn.XLOOKUP(Matrix[[#This Row],[TEAM]]&amp;Matrix[[#Headers],[16]],FDR[FDR]&amp;FDR[[#Headers],[16]],FDR[16],"",0,1)</f>
        <v>1</v>
      </c>
      <c r="AC272" cm="1">
        <f t="array" ref="AC272">_xlfn.XLOOKUP(Matrix[[#This Row],[TEAM]]&amp;Matrix[[#Headers],[17]],FDR[FDR]&amp;FDR[[#Headers],[17]],FDR[17],"",0,1)</f>
        <v>3</v>
      </c>
      <c r="AD272" cm="1">
        <f t="array" ref="AD272">_xlfn.XLOOKUP(Matrix[[#This Row],[TEAM]]&amp;Matrix[[#Headers],[18]],FDR[FDR]&amp;FDR[[#Headers],[18]],FDR[18],"",0,1)</f>
        <v>2</v>
      </c>
      <c r="AE272" cm="1">
        <f t="array" ref="AE272">_xlfn.XLOOKUP(Matrix[[#This Row],[TEAM]]&amp;Matrix[[#Headers],[19]],FDR[FDR]&amp;FDR[[#Headers],[19]],FDR[19],"",0,1)</f>
        <v>1</v>
      </c>
      <c r="AF272" cm="1">
        <f t="array" ref="AF272">_xlfn.XLOOKUP(Matrix[[#This Row],[TEAM]]&amp;Matrix[[#Headers],[20]],FDR[FDR]&amp;FDR[[#Headers],[20]],FDR[20],"",0,1)</f>
        <v>1</v>
      </c>
      <c r="AG272" cm="1">
        <f t="array" ref="AG272">_xlfn.XLOOKUP(Matrix[[#This Row],[TEAM]]&amp;Matrix[[#Headers],[21]],FDR[FDR]&amp;FDR[[#Headers],[21]],FDR[21],"",0,1)</f>
        <v>1</v>
      </c>
      <c r="AH272" cm="1">
        <f t="array" ref="AH272">_xlfn.XLOOKUP(Matrix[[#This Row],[TEAM]]&amp;Matrix[[#Headers],[22]],FDR[FDR]&amp;FDR[[#Headers],[22]],FDR[22],"",0,1)</f>
        <v>3</v>
      </c>
      <c r="AI272" cm="1">
        <f t="array" ref="AI272">_xlfn.XLOOKUP(Matrix[[#This Row],[TEAM]]&amp;Matrix[[#Headers],[23]],FDR[FDR]&amp;FDR[[#Headers],[23]],FDR[23],"",0,1)</f>
        <v>4</v>
      </c>
      <c r="AJ272" cm="1">
        <f t="array" ref="AJ272">_xlfn.XLOOKUP(Matrix[[#This Row],[TEAM]]&amp;Matrix[[#Headers],[24]],FDR[FDR]&amp;FDR[[#Headers],[24]],FDR[24],"",0,1)</f>
        <v>1</v>
      </c>
      <c r="AK272" cm="1">
        <f t="array" ref="AK272">_xlfn.XLOOKUP(Matrix[[#This Row],[TEAM]]&amp;Matrix[[#Headers],[25]],FDR[FDR]&amp;FDR[[#Headers],[25]],FDR[25],"",0,1)</f>
        <v>3</v>
      </c>
      <c r="AL272" cm="1">
        <f t="array" ref="AL272">_xlfn.XLOOKUP(Matrix[[#This Row],[TEAM]]&amp;Matrix[[#Headers],[26]],FDR[FDR]&amp;FDR[[#Headers],[26]],FDR[26],"",0,1)</f>
        <v>2</v>
      </c>
      <c r="AM272" cm="1">
        <f t="array" ref="AM272">_xlfn.XLOOKUP(Matrix[[#This Row],[TEAM]]&amp;Matrix[[#Headers],[27]],FDR[FDR]&amp;FDR[[#Headers],[27]],FDR[27],"",0,1)</f>
        <v>2</v>
      </c>
      <c r="AN272" cm="1">
        <f t="array" ref="AN272">_xlfn.XLOOKUP(Matrix[[#This Row],[TEAM]]&amp;Matrix[[#Headers],[28]],FDR[FDR]&amp;FDR[[#Headers],[28]],FDR[28],"",0,1)</f>
        <v>1</v>
      </c>
      <c r="AO272" cm="1">
        <f t="array" ref="AO272">_xlfn.XLOOKUP(Matrix[[#This Row],[TEAM]]&amp;Matrix[[#Headers],[29]],FDR[FDR]&amp;FDR[[#Headers],[29]],FDR[29],"",0,1)</f>
        <v>3</v>
      </c>
      <c r="AP272" cm="1">
        <f t="array" ref="AP272">_xlfn.XLOOKUP(Matrix[[#This Row],[TEAM]]&amp;Matrix[[#Headers],[30]],FDR[FDR]&amp;FDR[[#Headers],[30]],FDR[30],"",0,1)</f>
        <v>2</v>
      </c>
      <c r="AQ272" cm="1">
        <f t="array" ref="AQ272">_xlfn.XLOOKUP(Matrix[[#This Row],[TEAM]]&amp;Matrix[[#Headers],[31]],FDR[FDR]&amp;FDR[[#Headers],[31]],FDR[31],"",0,1)</f>
        <v>2</v>
      </c>
      <c r="AR272" cm="1">
        <f t="array" ref="AR272">_xlfn.XLOOKUP(Matrix[[#This Row],[TEAM]]&amp;Matrix[[#Headers],[32]],FDR[FDR]&amp;FDR[[#Headers],[32]],FDR[32],"",0,1)</f>
        <v>1</v>
      </c>
      <c r="AS272" cm="1">
        <f t="array" ref="AS272">_xlfn.XLOOKUP(Matrix[[#This Row],[TEAM]]&amp;Matrix[[#Headers],[33]],FDR[FDR]&amp;FDR[[#Headers],[33]],FDR[33],"",0,1)</f>
        <v>4</v>
      </c>
      <c r="AT272" cm="1">
        <f t="array" ref="AT272">_xlfn.XLOOKUP(Matrix[[#This Row],[TEAM]]&amp;Matrix[[#Headers],[34]],FDR[FDR]&amp;FDR[[#Headers],[34]],FDR[34],"",0,1)</f>
        <v>1</v>
      </c>
      <c r="AU272" cm="1">
        <f t="array" ref="AU272">_xlfn.XLOOKUP(Matrix[[#This Row],[TEAM]]&amp;Matrix[[#Headers],[35]],FDR[FDR]&amp;FDR[[#Headers],[35]],FDR[35],"",0,1)</f>
        <v>3</v>
      </c>
      <c r="AV272" cm="1">
        <f t="array" ref="AV272">_xlfn.XLOOKUP(Matrix[[#This Row],[TEAM]]&amp;Matrix[[#Headers],[36]],FDR[FDR]&amp;FDR[[#Headers],[36]],FDR[36],"",0,1)</f>
        <v>1</v>
      </c>
      <c r="AW272" cm="1">
        <f t="array" ref="AW272">_xlfn.XLOOKUP(Matrix[[#This Row],[TEAM]]&amp;Matrix[[#Headers],[37]],FDR[FDR]&amp;FDR[[#Headers],[37]],FDR[37],"",0,1)</f>
        <v>1</v>
      </c>
      <c r="AX272" cm="1">
        <f t="array" ref="AX272">_xlfn.XLOOKUP(Matrix[[#This Row],[TEAM]]&amp;Matrix[[#Headers],[38]],FDR[FDR]&amp;FDR[[#Headers],[38]],FDR[38],"",0,1)</f>
        <v>2</v>
      </c>
    </row>
    <row r="273" spans="1:50" ht="22" thickTop="1" thickBot="1">
      <c r="A273" s="51" t="s">
        <v>657</v>
      </c>
      <c r="B273" s="70" t="s">
        <v>1528</v>
      </c>
      <c r="C273" s="40" t="s">
        <v>18</v>
      </c>
      <c r="D273" s="62">
        <v>0</v>
      </c>
      <c r="E273" s="60">
        <v>3.0000000000000001E-3</v>
      </c>
      <c r="F273" s="61">
        <v>0</v>
      </c>
      <c r="G273" s="63">
        <v>4.9000000000000004</v>
      </c>
      <c r="H273" s="261">
        <f>IF(ISBLANK(I273),0,1)</f>
        <v>0</v>
      </c>
      <c r="I273" s="57"/>
      <c r="J273" s="58"/>
      <c r="K273" s="65" t="s">
        <v>838</v>
      </c>
      <c r="L273" s="65" t="s">
        <v>839</v>
      </c>
      <c r="M273" cm="1">
        <f t="array" ref="M273">_xlfn.XLOOKUP(Matrix[[#This Row],[TEAM]]&amp;Matrix[[#Headers],[1]],FDR[FDR]&amp;FDR[[#Headers],[1]],FDR[1],"",0,1)</f>
        <v>1</v>
      </c>
      <c r="N273" cm="1">
        <f t="array" ref="N273">_xlfn.XLOOKUP(Matrix[[#This Row],[TEAM]]&amp;Matrix[[#Headers],[2]],FDR[FDR]&amp;FDR[[#Headers],[2]],FDR[2],"",0,1)</f>
        <v>2</v>
      </c>
      <c r="O273" cm="1">
        <f t="array" ref="O273">_xlfn.XLOOKUP(Matrix[[#This Row],[TEAM]]&amp;Matrix[[#Headers],[3]],FDR[FDR]&amp;FDR[[#Headers],[3]],FDR[3],"",0,1)</f>
        <v>1</v>
      </c>
      <c r="P273" cm="1">
        <f t="array" ref="P273">_xlfn.XLOOKUP(Matrix[[#This Row],[TEAM]]&amp;Matrix[[#Headers],[4]],FDR[FDR]&amp;FDR[[#Headers],[4]],FDR[4],"",0,1)</f>
        <v>2</v>
      </c>
      <c r="Q273" cm="1">
        <f t="array" ref="Q273">_xlfn.XLOOKUP(Matrix[[#This Row],[TEAM]]&amp;Matrix[[#Headers],[5]],FDR[FDR]&amp;FDR[[#Headers],[5]],FDR[5],"",0,1)</f>
        <v>3</v>
      </c>
      <c r="R273" cm="1">
        <f t="array" ref="R273">_xlfn.XLOOKUP(Matrix[[#This Row],[TEAM]]&amp;Matrix[[#Headers],[6]],FDR[FDR]&amp;FDR[[#Headers],[6]],FDR[6],"",0,1)</f>
        <v>1</v>
      </c>
      <c r="S273" cm="1">
        <f t="array" ref="S273">_xlfn.XLOOKUP(Matrix[[#This Row],[TEAM]]&amp;Matrix[[#Headers],[7]],FDR[FDR]&amp;FDR[[#Headers],[7]],FDR[7],"",0,1)</f>
        <v>3</v>
      </c>
      <c r="T273" cm="1">
        <f t="array" ref="T273">_xlfn.XLOOKUP(Matrix[[#This Row],[TEAM]]&amp;Matrix[[#Headers],[8]],FDR[FDR]&amp;FDR[[#Headers],[8]],FDR[8],"",0,1)</f>
        <v>2</v>
      </c>
      <c r="U273" cm="1">
        <f t="array" ref="U273">_xlfn.XLOOKUP(Matrix[[#This Row],[TEAM]]&amp;Matrix[[#Headers],[9]],FDR[FDR]&amp;FDR[[#Headers],[9]],FDR[9],"",0,1)</f>
        <v>1</v>
      </c>
      <c r="V273" cm="1">
        <f t="array" ref="V273">_xlfn.XLOOKUP(Matrix[[#This Row],[TEAM]]&amp;Matrix[[#Headers],[10]],FDR[FDR]&amp;FDR[[#Headers],[10]],FDR[10],"",0,1)</f>
        <v>3</v>
      </c>
      <c r="W273" cm="1">
        <f t="array" ref="W273">_xlfn.XLOOKUP(Matrix[[#This Row],[TEAM]]&amp;Matrix[[#Headers],[11]],FDR[FDR]&amp;FDR[[#Headers],[11]],FDR[11],"",0,1)</f>
        <v>1</v>
      </c>
      <c r="X273" cm="1">
        <f t="array" ref="X273">_xlfn.XLOOKUP(Matrix[[#This Row],[TEAM]]&amp;Matrix[[#Headers],[12]],FDR[FDR]&amp;FDR[[#Headers],[12]],FDR[12],"",0,1)</f>
        <v>1</v>
      </c>
      <c r="Y273" cm="1">
        <f t="array" ref="Y273">_xlfn.XLOOKUP(Matrix[[#This Row],[TEAM]]&amp;Matrix[[#Headers],[13]],FDR[FDR]&amp;FDR[[#Headers],[13]],FDR[13],"",0,1)</f>
        <v>3</v>
      </c>
      <c r="Z273" cm="1">
        <f t="array" ref="Z273">_xlfn.XLOOKUP(Matrix[[#This Row],[TEAM]]&amp;Matrix[[#Headers],[14]],FDR[FDR]&amp;FDR[[#Headers],[14]],FDR[14],"",0,1)</f>
        <v>1</v>
      </c>
      <c r="AA273" cm="1">
        <f t="array" ref="AA273">_xlfn.XLOOKUP(Matrix[[#This Row],[TEAM]]&amp;Matrix[[#Headers],[15]],FDR[FDR]&amp;FDR[[#Headers],[15]],FDR[15],"",0,1)</f>
        <v>2</v>
      </c>
      <c r="AB273" cm="1">
        <f t="array" ref="AB273">_xlfn.XLOOKUP(Matrix[[#This Row],[TEAM]]&amp;Matrix[[#Headers],[16]],FDR[FDR]&amp;FDR[[#Headers],[16]],FDR[16],"",0,1)</f>
        <v>1</v>
      </c>
      <c r="AC273" cm="1">
        <f t="array" ref="AC273">_xlfn.XLOOKUP(Matrix[[#This Row],[TEAM]]&amp;Matrix[[#Headers],[17]],FDR[FDR]&amp;FDR[[#Headers],[17]],FDR[17],"",0,1)</f>
        <v>3</v>
      </c>
      <c r="AD273" cm="1">
        <f t="array" ref="AD273">_xlfn.XLOOKUP(Matrix[[#This Row],[TEAM]]&amp;Matrix[[#Headers],[18]],FDR[FDR]&amp;FDR[[#Headers],[18]],FDR[18],"",0,1)</f>
        <v>2</v>
      </c>
      <c r="AE273" cm="1">
        <f t="array" ref="AE273">_xlfn.XLOOKUP(Matrix[[#This Row],[TEAM]]&amp;Matrix[[#Headers],[19]],FDR[FDR]&amp;FDR[[#Headers],[19]],FDR[19],"",0,1)</f>
        <v>1</v>
      </c>
      <c r="AF273" cm="1">
        <f t="array" ref="AF273">_xlfn.XLOOKUP(Matrix[[#This Row],[TEAM]]&amp;Matrix[[#Headers],[20]],FDR[FDR]&amp;FDR[[#Headers],[20]],FDR[20],"",0,1)</f>
        <v>4</v>
      </c>
      <c r="AG273" cm="1">
        <f t="array" ref="AG273">_xlfn.XLOOKUP(Matrix[[#This Row],[TEAM]]&amp;Matrix[[#Headers],[21]],FDR[FDR]&amp;FDR[[#Headers],[21]],FDR[21],"",0,1)</f>
        <v>2</v>
      </c>
      <c r="AH273" cm="1">
        <f t="array" ref="AH273">_xlfn.XLOOKUP(Matrix[[#This Row],[TEAM]]&amp;Matrix[[#Headers],[22]],FDR[FDR]&amp;FDR[[#Headers],[22]],FDR[22],"",0,1)</f>
        <v>1</v>
      </c>
      <c r="AI273" cm="1">
        <f t="array" ref="AI273">_xlfn.XLOOKUP(Matrix[[#This Row],[TEAM]]&amp;Matrix[[#Headers],[23]],FDR[FDR]&amp;FDR[[#Headers],[23]],FDR[23],"",0,1)</f>
        <v>2</v>
      </c>
      <c r="AJ273" cm="1">
        <f t="array" ref="AJ273">_xlfn.XLOOKUP(Matrix[[#This Row],[TEAM]]&amp;Matrix[[#Headers],[24]],FDR[FDR]&amp;FDR[[#Headers],[24]],FDR[24],"",0,1)</f>
        <v>1</v>
      </c>
      <c r="AK273" cm="1">
        <f t="array" ref="AK273">_xlfn.XLOOKUP(Matrix[[#This Row],[TEAM]]&amp;Matrix[[#Headers],[25]],FDR[FDR]&amp;FDR[[#Headers],[25]],FDR[25],"",0,1)</f>
        <v>1</v>
      </c>
      <c r="AL273" cm="1">
        <f t="array" ref="AL273">_xlfn.XLOOKUP(Matrix[[#This Row],[TEAM]]&amp;Matrix[[#Headers],[26]],FDR[FDR]&amp;FDR[[#Headers],[26]],FDR[26],"",0,1)</f>
        <v>1</v>
      </c>
      <c r="AM273" cm="1">
        <f t="array" ref="AM273">_xlfn.XLOOKUP(Matrix[[#This Row],[TEAM]]&amp;Matrix[[#Headers],[27]],FDR[FDR]&amp;FDR[[#Headers],[27]],FDR[27],"",0,1)</f>
        <v>1</v>
      </c>
      <c r="AN273" cm="1">
        <f t="array" ref="AN273">_xlfn.XLOOKUP(Matrix[[#This Row],[TEAM]]&amp;Matrix[[#Headers],[28]],FDR[FDR]&amp;FDR[[#Headers],[28]],FDR[28],"",0,1)</f>
        <v>4</v>
      </c>
      <c r="AO273" cm="1">
        <f t="array" ref="AO273">_xlfn.XLOOKUP(Matrix[[#This Row],[TEAM]]&amp;Matrix[[#Headers],[29]],FDR[FDR]&amp;FDR[[#Headers],[29]],FDR[29],"",0,1)</f>
        <v>3</v>
      </c>
      <c r="AP273" cm="1">
        <f t="array" ref="AP273">_xlfn.XLOOKUP(Matrix[[#This Row],[TEAM]]&amp;Matrix[[#Headers],[30]],FDR[FDR]&amp;FDR[[#Headers],[30]],FDR[30],"",0,1)</f>
        <v>2</v>
      </c>
      <c r="AQ273" cm="1">
        <f t="array" ref="AQ273">_xlfn.XLOOKUP(Matrix[[#This Row],[TEAM]]&amp;Matrix[[#Headers],[31]],FDR[FDR]&amp;FDR[[#Headers],[31]],FDR[31],"",0,1)</f>
        <v>2</v>
      </c>
      <c r="AR273" cm="1">
        <f t="array" ref="AR273">_xlfn.XLOOKUP(Matrix[[#This Row],[TEAM]]&amp;Matrix[[#Headers],[32]],FDR[FDR]&amp;FDR[[#Headers],[32]],FDR[32],"",0,1)</f>
        <v>3</v>
      </c>
      <c r="AS273" cm="1">
        <f t="array" ref="AS273">_xlfn.XLOOKUP(Matrix[[#This Row],[TEAM]]&amp;Matrix[[#Headers],[33]],FDR[FDR]&amp;FDR[[#Headers],[33]],FDR[33],"",0,1)</f>
        <v>2</v>
      </c>
      <c r="AT273" cm="1">
        <f t="array" ref="AT273">_xlfn.XLOOKUP(Matrix[[#This Row],[TEAM]]&amp;Matrix[[#Headers],[34]],FDR[FDR]&amp;FDR[[#Headers],[34]],FDR[34],"",0,1)</f>
        <v>2</v>
      </c>
      <c r="AU273" cm="1">
        <f t="array" ref="AU273">_xlfn.XLOOKUP(Matrix[[#This Row],[TEAM]]&amp;Matrix[[#Headers],[35]],FDR[FDR]&amp;FDR[[#Headers],[35]],FDR[35],"",0,1)</f>
        <v>1</v>
      </c>
      <c r="AV273" cm="1">
        <f t="array" ref="AV273">_xlfn.XLOOKUP(Matrix[[#This Row],[TEAM]]&amp;Matrix[[#Headers],[36]],FDR[FDR]&amp;FDR[[#Headers],[36]],FDR[36],"",0,1)</f>
        <v>4</v>
      </c>
      <c r="AW273" cm="1">
        <f t="array" ref="AW273">_xlfn.XLOOKUP(Matrix[[#This Row],[TEAM]]&amp;Matrix[[#Headers],[37]],FDR[FDR]&amp;FDR[[#Headers],[37]],FDR[37],"",0,1)</f>
        <v>2</v>
      </c>
      <c r="AX273" cm="1">
        <f t="array" ref="AX273">_xlfn.XLOOKUP(Matrix[[#This Row],[TEAM]]&amp;Matrix[[#Headers],[38]],FDR[FDR]&amp;FDR[[#Headers],[38]],FDR[38],"",0,1)</f>
        <v>1</v>
      </c>
    </row>
    <row r="274" spans="1:50" ht="22" thickTop="1" thickBot="1">
      <c r="A274" s="50" t="str">
        <f>INDEX!S$4</f>
        <v>MID</v>
      </c>
      <c r="B274" s="70" t="s">
        <v>1526</v>
      </c>
      <c r="C274" s="40" t="s">
        <v>33</v>
      </c>
      <c r="D274" s="62">
        <v>75</v>
      </c>
      <c r="E274" s="60">
        <v>3.0000000000000001E-3</v>
      </c>
      <c r="F274" s="61">
        <v>114.7</v>
      </c>
      <c r="G274" s="63">
        <v>4.9000000000000004</v>
      </c>
      <c r="H274" s="261">
        <f>IF(ISBLANK(I274),0,1)</f>
        <v>0</v>
      </c>
      <c r="I274" s="57"/>
      <c r="J274" s="58"/>
      <c r="K274" s="59" t="s">
        <v>536</v>
      </c>
      <c r="L274" s="59" t="s">
        <v>245</v>
      </c>
      <c r="M274" cm="1">
        <f t="array" ref="M274">_xlfn.XLOOKUP(Matrix[[#This Row],[TEAM]]&amp;Matrix[[#Headers],[1]],FDR[FDR]&amp;FDR[[#Headers],[1]],FDR[1],"",0,1)</f>
        <v>3</v>
      </c>
      <c r="N274" cm="1">
        <f t="array" ref="N274">_xlfn.XLOOKUP(Matrix[[#This Row],[TEAM]]&amp;Matrix[[#Headers],[2]],FDR[FDR]&amp;FDR[[#Headers],[2]],FDR[2],"",0,1)</f>
        <v>3</v>
      </c>
      <c r="O274" cm="1">
        <f t="array" ref="O274">_xlfn.XLOOKUP(Matrix[[#This Row],[TEAM]]&amp;Matrix[[#Headers],[3]],FDR[FDR]&amp;FDR[[#Headers],[3]],FDR[3],"",0,1)</f>
        <v>4</v>
      </c>
      <c r="P274" cm="1">
        <f t="array" ref="P274">_xlfn.XLOOKUP(Matrix[[#This Row],[TEAM]]&amp;Matrix[[#Headers],[4]],FDR[FDR]&amp;FDR[[#Headers],[4]],FDR[4],"",0,1)</f>
        <v>4</v>
      </c>
      <c r="Q274" cm="1">
        <f t="array" ref="Q274">_xlfn.XLOOKUP(Matrix[[#This Row],[TEAM]]&amp;Matrix[[#Headers],[5]],FDR[FDR]&amp;FDR[[#Headers],[5]],FDR[5],"",0,1)</f>
        <v>4</v>
      </c>
      <c r="R274" cm="1">
        <f t="array" ref="R274">_xlfn.XLOOKUP(Matrix[[#This Row],[TEAM]]&amp;Matrix[[#Headers],[6]],FDR[FDR]&amp;FDR[[#Headers],[6]],FDR[6],"",0,1)</f>
        <v>5</v>
      </c>
      <c r="S274" cm="1">
        <f t="array" ref="S274">_xlfn.XLOOKUP(Matrix[[#This Row],[TEAM]]&amp;Matrix[[#Headers],[7]],FDR[FDR]&amp;FDR[[#Headers],[7]],FDR[7],"",0,1)</f>
        <v>2</v>
      </c>
      <c r="T274" cm="1">
        <f t="array" ref="T274">_xlfn.XLOOKUP(Matrix[[#This Row],[TEAM]]&amp;Matrix[[#Headers],[8]],FDR[FDR]&amp;FDR[[#Headers],[8]],FDR[8],"",0,1)</f>
        <v>4</v>
      </c>
      <c r="U274" cm="1">
        <f t="array" ref="U274">_xlfn.XLOOKUP(Matrix[[#This Row],[TEAM]]&amp;Matrix[[#Headers],[9]],FDR[FDR]&amp;FDR[[#Headers],[9]],FDR[9],"",0,1)</f>
        <v>5</v>
      </c>
      <c r="V274" cm="1">
        <f t="array" ref="V274">_xlfn.XLOOKUP(Matrix[[#This Row],[TEAM]]&amp;Matrix[[#Headers],[10]],FDR[FDR]&amp;FDR[[#Headers],[10]],FDR[10],"",0,1)</f>
        <v>1</v>
      </c>
      <c r="W274" cm="1">
        <f t="array" ref="W274">_xlfn.XLOOKUP(Matrix[[#This Row],[TEAM]]&amp;Matrix[[#Headers],[11]],FDR[FDR]&amp;FDR[[#Headers],[11]],FDR[11],"",0,1)</f>
        <v>3</v>
      </c>
      <c r="X274" cm="1">
        <f t="array" ref="X274">_xlfn.XLOOKUP(Matrix[[#This Row],[TEAM]]&amp;Matrix[[#Headers],[12]],FDR[FDR]&amp;FDR[[#Headers],[12]],FDR[12],"",0,1)</f>
        <v>2</v>
      </c>
      <c r="Y274" cm="1">
        <f t="array" ref="Y274">_xlfn.XLOOKUP(Matrix[[#This Row],[TEAM]]&amp;Matrix[[#Headers],[13]],FDR[FDR]&amp;FDR[[#Headers],[13]],FDR[13],"",0,1)</f>
        <v>4</v>
      </c>
      <c r="Z274" cm="1">
        <f t="array" ref="Z274">_xlfn.XLOOKUP(Matrix[[#This Row],[TEAM]]&amp;Matrix[[#Headers],[14]],FDR[FDR]&amp;FDR[[#Headers],[14]],FDR[14],"",0,1)</f>
        <v>3</v>
      </c>
      <c r="AA274" cm="1">
        <f t="array" ref="AA274">_xlfn.XLOOKUP(Matrix[[#This Row],[TEAM]]&amp;Matrix[[#Headers],[15]],FDR[FDR]&amp;FDR[[#Headers],[15]],FDR[15],"",0,1)</f>
        <v>2</v>
      </c>
      <c r="AB274" cm="1">
        <f t="array" ref="AB274">_xlfn.XLOOKUP(Matrix[[#This Row],[TEAM]]&amp;Matrix[[#Headers],[16]],FDR[FDR]&amp;FDR[[#Headers],[16]],FDR[16],"",0,1)</f>
        <v>5</v>
      </c>
      <c r="AC274" cm="1">
        <f t="array" ref="AC274">_xlfn.XLOOKUP(Matrix[[#This Row],[TEAM]]&amp;Matrix[[#Headers],[17]],FDR[FDR]&amp;FDR[[#Headers],[17]],FDR[17],"",0,1)</f>
        <v>1</v>
      </c>
      <c r="AD274" cm="1">
        <f t="array" ref="AD274">_xlfn.XLOOKUP(Matrix[[#This Row],[TEAM]]&amp;Matrix[[#Headers],[18]],FDR[FDR]&amp;FDR[[#Headers],[18]],FDR[18],"",0,1)</f>
        <v>5</v>
      </c>
      <c r="AE274" cm="1">
        <f t="array" ref="AE274">_xlfn.XLOOKUP(Matrix[[#This Row],[TEAM]]&amp;Matrix[[#Headers],[19]],FDR[FDR]&amp;FDR[[#Headers],[19]],FDR[19],"",0,1)</f>
        <v>3</v>
      </c>
      <c r="AF274" cm="1">
        <f t="array" ref="AF274">_xlfn.XLOOKUP(Matrix[[#This Row],[TEAM]]&amp;Matrix[[#Headers],[20]],FDR[FDR]&amp;FDR[[#Headers],[20]],FDR[20],"",0,1)</f>
        <v>1</v>
      </c>
      <c r="AG274" cm="1">
        <f t="array" ref="AG274">_xlfn.XLOOKUP(Matrix[[#This Row],[TEAM]]&amp;Matrix[[#Headers],[21]],FDR[FDR]&amp;FDR[[#Headers],[21]],FDR[21],"",0,1)</f>
        <v>5</v>
      </c>
      <c r="AH274" cm="1">
        <f t="array" ref="AH274">_xlfn.XLOOKUP(Matrix[[#This Row],[TEAM]]&amp;Matrix[[#Headers],[22]],FDR[FDR]&amp;FDR[[#Headers],[22]],FDR[22],"",0,1)</f>
        <v>3</v>
      </c>
      <c r="AI274" cm="1">
        <f t="array" ref="AI274">_xlfn.XLOOKUP(Matrix[[#This Row],[TEAM]]&amp;Matrix[[#Headers],[23]],FDR[FDR]&amp;FDR[[#Headers],[23]],FDR[23],"",0,1)</f>
        <v>4</v>
      </c>
      <c r="AJ274" cm="1">
        <f t="array" ref="AJ274">_xlfn.XLOOKUP(Matrix[[#This Row],[TEAM]]&amp;Matrix[[#Headers],[24]],FDR[FDR]&amp;FDR[[#Headers],[24]],FDR[24],"",0,1)</f>
        <v>2</v>
      </c>
      <c r="AK274" cm="1">
        <f t="array" ref="AK274">_xlfn.XLOOKUP(Matrix[[#This Row],[TEAM]]&amp;Matrix[[#Headers],[25]],FDR[FDR]&amp;FDR[[#Headers],[25]],FDR[25],"",0,1)</f>
        <v>2</v>
      </c>
      <c r="AL274" cm="1">
        <f t="array" ref="AL274">_xlfn.XLOOKUP(Matrix[[#This Row],[TEAM]]&amp;Matrix[[#Headers],[26]],FDR[FDR]&amp;FDR[[#Headers],[26]],FDR[26],"",0,1)</f>
        <v>5</v>
      </c>
      <c r="AM274" cm="1">
        <f t="array" ref="AM274">_xlfn.XLOOKUP(Matrix[[#This Row],[TEAM]]&amp;Matrix[[#Headers],[27]],FDR[FDR]&amp;FDR[[#Headers],[27]],FDR[27],"",0,1)</f>
        <v>3</v>
      </c>
      <c r="AN274" cm="1">
        <f t="array" ref="AN274">_xlfn.XLOOKUP(Matrix[[#This Row],[TEAM]]&amp;Matrix[[#Headers],[28]],FDR[FDR]&amp;FDR[[#Headers],[28]],FDR[28],"",0,1)</f>
        <v>3</v>
      </c>
      <c r="AO274" cm="1">
        <f t="array" ref="AO274">_xlfn.XLOOKUP(Matrix[[#This Row],[TEAM]]&amp;Matrix[[#Headers],[29]],FDR[FDR]&amp;FDR[[#Headers],[29]],FDR[29],"",0,1)</f>
        <v>4</v>
      </c>
      <c r="AP274" cm="1">
        <f t="array" ref="AP274">_xlfn.XLOOKUP(Matrix[[#This Row],[TEAM]]&amp;Matrix[[#Headers],[30]],FDR[FDR]&amp;FDR[[#Headers],[30]],FDR[30],"",0,1)</f>
        <v>2</v>
      </c>
      <c r="AQ274" cm="1">
        <f t="array" ref="AQ274">_xlfn.XLOOKUP(Matrix[[#This Row],[TEAM]]&amp;Matrix[[#Headers],[31]],FDR[FDR]&amp;FDR[[#Headers],[31]],FDR[31],"",0,1)</f>
        <v>4</v>
      </c>
      <c r="AR274" cm="1">
        <f t="array" ref="AR274">_xlfn.XLOOKUP(Matrix[[#This Row],[TEAM]]&amp;Matrix[[#Headers],[32]],FDR[FDR]&amp;FDR[[#Headers],[32]],FDR[32],"",0,1)</f>
        <v>2</v>
      </c>
      <c r="AS274" cm="1">
        <f t="array" ref="AS274">_xlfn.XLOOKUP(Matrix[[#This Row],[TEAM]]&amp;Matrix[[#Headers],[33]],FDR[FDR]&amp;FDR[[#Headers],[33]],FDR[33],"",0,1)</f>
        <v>5</v>
      </c>
      <c r="AT274" cm="1">
        <f t="array" ref="AT274">_xlfn.XLOOKUP(Matrix[[#This Row],[TEAM]]&amp;Matrix[[#Headers],[34]],FDR[FDR]&amp;FDR[[#Headers],[34]],FDR[34],"",0,1)</f>
        <v>4</v>
      </c>
      <c r="AU274" cm="1">
        <f t="array" ref="AU274">_xlfn.XLOOKUP(Matrix[[#This Row],[TEAM]]&amp;Matrix[[#Headers],[35]],FDR[FDR]&amp;FDR[[#Headers],[35]],FDR[35],"",0,1)</f>
        <v>5</v>
      </c>
      <c r="AV274" cm="1">
        <f t="array" ref="AV274">_xlfn.XLOOKUP(Matrix[[#This Row],[TEAM]]&amp;Matrix[[#Headers],[36]],FDR[FDR]&amp;FDR[[#Headers],[36]],FDR[36],"",0,1)</f>
        <v>1</v>
      </c>
      <c r="AW274" cm="1">
        <f t="array" ref="AW274">_xlfn.XLOOKUP(Matrix[[#This Row],[TEAM]]&amp;Matrix[[#Headers],[37]],FDR[FDR]&amp;FDR[[#Headers],[37]],FDR[37],"",0,1)</f>
        <v>2</v>
      </c>
      <c r="AX274" cm="1">
        <f t="array" ref="AX274">_xlfn.XLOOKUP(Matrix[[#This Row],[TEAM]]&amp;Matrix[[#Headers],[38]],FDR[FDR]&amp;FDR[[#Headers],[38]],FDR[38],"",0,1)</f>
        <v>4</v>
      </c>
    </row>
    <row r="275" spans="1:50" ht="22" thickTop="1" thickBot="1">
      <c r="A275" s="50" t="str">
        <f>INDEX!S$4</f>
        <v>MID</v>
      </c>
      <c r="B275" s="70" t="s">
        <v>1547</v>
      </c>
      <c r="C275" s="40" t="s">
        <v>27</v>
      </c>
      <c r="D275" s="62">
        <v>40</v>
      </c>
      <c r="E275" s="60">
        <v>2E-3</v>
      </c>
      <c r="F275" s="61">
        <v>54.7</v>
      </c>
      <c r="G275" s="63">
        <v>4.9000000000000004</v>
      </c>
      <c r="H275" s="261">
        <f>IF(ISBLANK(I275),0,1)</f>
        <v>0</v>
      </c>
      <c r="I275" s="57"/>
      <c r="J275" s="58"/>
      <c r="K275" s="59" t="s">
        <v>914</v>
      </c>
      <c r="L275" s="59" t="s">
        <v>419</v>
      </c>
      <c r="M275" cm="1">
        <f t="array" ref="M275">_xlfn.XLOOKUP(Matrix[[#This Row],[TEAM]]&amp;Matrix[[#Headers],[1]],FDR[FDR]&amp;FDR[[#Headers],[1]],FDR[1],"",0,1)</f>
        <v>2</v>
      </c>
      <c r="N275" cm="1">
        <f t="array" ref="N275">_xlfn.XLOOKUP(Matrix[[#This Row],[TEAM]]&amp;Matrix[[#Headers],[2]],FDR[FDR]&amp;FDR[[#Headers],[2]],FDR[2],"",0,1)</f>
        <v>4</v>
      </c>
      <c r="O275" cm="1">
        <f t="array" ref="O275">_xlfn.XLOOKUP(Matrix[[#This Row],[TEAM]]&amp;Matrix[[#Headers],[3]],FDR[FDR]&amp;FDR[[#Headers],[3]],FDR[3],"",0,1)</f>
        <v>4</v>
      </c>
      <c r="P275" cm="1">
        <f t="array" ref="P275">_xlfn.XLOOKUP(Matrix[[#This Row],[TEAM]]&amp;Matrix[[#Headers],[4]],FDR[FDR]&amp;FDR[[#Headers],[4]],FDR[4],"",0,1)</f>
        <v>4</v>
      </c>
      <c r="Q275" cm="1">
        <f t="array" ref="Q275">_xlfn.XLOOKUP(Matrix[[#This Row],[TEAM]]&amp;Matrix[[#Headers],[5]],FDR[FDR]&amp;FDR[[#Headers],[5]],FDR[5],"",0,1)</f>
        <v>3</v>
      </c>
      <c r="R275" cm="1">
        <f t="array" ref="R275">_xlfn.XLOOKUP(Matrix[[#This Row],[TEAM]]&amp;Matrix[[#Headers],[6]],FDR[FDR]&amp;FDR[[#Headers],[6]],FDR[6],"",0,1)</f>
        <v>4</v>
      </c>
      <c r="S275" cm="1">
        <f t="array" ref="S275">_xlfn.XLOOKUP(Matrix[[#This Row],[TEAM]]&amp;Matrix[[#Headers],[7]],FDR[FDR]&amp;FDR[[#Headers],[7]],FDR[7],"",0,1)</f>
        <v>5</v>
      </c>
      <c r="T275" cm="1">
        <f t="array" ref="T275">_xlfn.XLOOKUP(Matrix[[#This Row],[TEAM]]&amp;Matrix[[#Headers],[8]],FDR[FDR]&amp;FDR[[#Headers],[8]],FDR[8],"",0,1)</f>
        <v>3</v>
      </c>
      <c r="U275" cm="1">
        <f t="array" ref="U275">_xlfn.XLOOKUP(Matrix[[#This Row],[TEAM]]&amp;Matrix[[#Headers],[9]],FDR[FDR]&amp;FDR[[#Headers],[9]],FDR[9],"",0,1)</f>
        <v>2</v>
      </c>
      <c r="V275" cm="1">
        <f t="array" ref="V275">_xlfn.XLOOKUP(Matrix[[#This Row],[TEAM]]&amp;Matrix[[#Headers],[10]],FDR[FDR]&amp;FDR[[#Headers],[10]],FDR[10],"",0,1)</f>
        <v>4</v>
      </c>
      <c r="W275" cm="1">
        <f t="array" ref="W275">_xlfn.XLOOKUP(Matrix[[#This Row],[TEAM]]&amp;Matrix[[#Headers],[11]],FDR[FDR]&amp;FDR[[#Headers],[11]],FDR[11],"",0,1)</f>
        <v>1</v>
      </c>
      <c r="X275" cm="1">
        <f t="array" ref="X275">_xlfn.XLOOKUP(Matrix[[#This Row],[TEAM]]&amp;Matrix[[#Headers],[12]],FDR[FDR]&amp;FDR[[#Headers],[12]],FDR[12],"",0,1)</f>
        <v>4</v>
      </c>
      <c r="Y275" cm="1">
        <f t="array" ref="Y275">_xlfn.XLOOKUP(Matrix[[#This Row],[TEAM]]&amp;Matrix[[#Headers],[13]],FDR[FDR]&amp;FDR[[#Headers],[13]],FDR[13],"",0,1)</f>
        <v>4</v>
      </c>
      <c r="Z275" cm="1">
        <f t="array" ref="Z275">_xlfn.XLOOKUP(Matrix[[#This Row],[TEAM]]&amp;Matrix[[#Headers],[14]],FDR[FDR]&amp;FDR[[#Headers],[14]],FDR[14],"",0,1)</f>
        <v>5</v>
      </c>
      <c r="AA275" cm="1">
        <f t="array" ref="AA275">_xlfn.XLOOKUP(Matrix[[#This Row],[TEAM]]&amp;Matrix[[#Headers],[15]],FDR[FDR]&amp;FDR[[#Headers],[15]],FDR[15],"",0,1)</f>
        <v>4</v>
      </c>
      <c r="AB275" cm="1">
        <f t="array" ref="AB275">_xlfn.XLOOKUP(Matrix[[#This Row],[TEAM]]&amp;Matrix[[#Headers],[16]],FDR[FDR]&amp;FDR[[#Headers],[16]],FDR[16],"",0,1)</f>
        <v>4</v>
      </c>
      <c r="AC275" cm="1">
        <f t="array" ref="AC275">_xlfn.XLOOKUP(Matrix[[#This Row],[TEAM]]&amp;Matrix[[#Headers],[17]],FDR[FDR]&amp;FDR[[#Headers],[17]],FDR[17],"",0,1)</f>
        <v>5</v>
      </c>
      <c r="AD275" cm="1">
        <f t="array" ref="AD275">_xlfn.XLOOKUP(Matrix[[#This Row],[TEAM]]&amp;Matrix[[#Headers],[18]],FDR[FDR]&amp;FDR[[#Headers],[18]],FDR[18],"",0,1)</f>
        <v>3</v>
      </c>
      <c r="AE275" cm="1">
        <f t="array" ref="AE275">_xlfn.XLOOKUP(Matrix[[#This Row],[TEAM]]&amp;Matrix[[#Headers],[19]],FDR[FDR]&amp;FDR[[#Headers],[19]],FDR[19],"",0,1)</f>
        <v>3</v>
      </c>
      <c r="AF275" cm="1">
        <f t="array" ref="AF275">_xlfn.XLOOKUP(Matrix[[#This Row],[TEAM]]&amp;Matrix[[#Headers],[20]],FDR[FDR]&amp;FDR[[#Headers],[20]],FDR[20],"",0,1)</f>
        <v>2</v>
      </c>
      <c r="AG275" cm="1">
        <f t="array" ref="AG275">_xlfn.XLOOKUP(Matrix[[#This Row],[TEAM]]&amp;Matrix[[#Headers],[21]],FDR[FDR]&amp;FDR[[#Headers],[21]],FDR[21],"",0,1)</f>
        <v>3</v>
      </c>
      <c r="AH275" cm="1">
        <f t="array" ref="AH275">_xlfn.XLOOKUP(Matrix[[#This Row],[TEAM]]&amp;Matrix[[#Headers],[22]],FDR[FDR]&amp;FDR[[#Headers],[22]],FDR[22],"",0,1)</f>
        <v>5</v>
      </c>
      <c r="AI275" cm="1">
        <f t="array" ref="AI275">_xlfn.XLOOKUP(Matrix[[#This Row],[TEAM]]&amp;Matrix[[#Headers],[23]],FDR[FDR]&amp;FDR[[#Headers],[23]],FDR[23],"",0,1)</f>
        <v>1</v>
      </c>
      <c r="AJ275" cm="1">
        <f t="array" ref="AJ275">_xlfn.XLOOKUP(Matrix[[#This Row],[TEAM]]&amp;Matrix[[#Headers],[24]],FDR[FDR]&amp;FDR[[#Headers],[24]],FDR[24],"",0,1)</f>
        <v>5</v>
      </c>
      <c r="AK275" cm="1">
        <f t="array" ref="AK275">_xlfn.XLOOKUP(Matrix[[#This Row],[TEAM]]&amp;Matrix[[#Headers],[25]],FDR[FDR]&amp;FDR[[#Headers],[25]],FDR[25],"",0,1)</f>
        <v>2</v>
      </c>
      <c r="AL275" cm="1">
        <f t="array" ref="AL275">_xlfn.XLOOKUP(Matrix[[#This Row],[TEAM]]&amp;Matrix[[#Headers],[26]],FDR[FDR]&amp;FDR[[#Headers],[26]],FDR[26],"",0,1)</f>
        <v>4</v>
      </c>
      <c r="AM275" cm="1">
        <f t="array" ref="AM275">_xlfn.XLOOKUP(Matrix[[#This Row],[TEAM]]&amp;Matrix[[#Headers],[27]],FDR[FDR]&amp;FDR[[#Headers],[27]],FDR[27],"",0,1)</f>
        <v>3</v>
      </c>
      <c r="AN275" cm="1">
        <f t="array" ref="AN275">_xlfn.XLOOKUP(Matrix[[#This Row],[TEAM]]&amp;Matrix[[#Headers],[28]],FDR[FDR]&amp;FDR[[#Headers],[28]],FDR[28],"",0,1)</f>
        <v>5</v>
      </c>
      <c r="AO275" cm="1">
        <f t="array" ref="AO275">_xlfn.XLOOKUP(Matrix[[#This Row],[TEAM]]&amp;Matrix[[#Headers],[29]],FDR[FDR]&amp;FDR[[#Headers],[29]],FDR[29],"",0,1)</f>
        <v>4</v>
      </c>
      <c r="AP275" cm="1">
        <f t="array" ref="AP275">_xlfn.XLOOKUP(Matrix[[#This Row],[TEAM]]&amp;Matrix[[#Headers],[30]],FDR[FDR]&amp;FDR[[#Headers],[30]],FDR[30],"",0,1)</f>
        <v>4</v>
      </c>
      <c r="AQ275" cm="1">
        <f t="array" ref="AQ275">_xlfn.XLOOKUP(Matrix[[#This Row],[TEAM]]&amp;Matrix[[#Headers],[31]],FDR[FDR]&amp;FDR[[#Headers],[31]],FDR[31],"",0,1)</f>
        <v>5</v>
      </c>
      <c r="AR275" cm="1">
        <f t="array" ref="AR275">_xlfn.XLOOKUP(Matrix[[#This Row],[TEAM]]&amp;Matrix[[#Headers],[32]],FDR[FDR]&amp;FDR[[#Headers],[32]],FDR[32],"",0,1)</f>
        <v>2</v>
      </c>
      <c r="AS275" cm="1">
        <f t="array" ref="AS275">_xlfn.XLOOKUP(Matrix[[#This Row],[TEAM]]&amp;Matrix[[#Headers],[33]],FDR[FDR]&amp;FDR[[#Headers],[33]],FDR[33],"",0,1)</f>
        <v>4</v>
      </c>
      <c r="AT275" cm="1">
        <f t="array" ref="AT275">_xlfn.XLOOKUP(Matrix[[#This Row],[TEAM]]&amp;Matrix[[#Headers],[34]],FDR[FDR]&amp;FDR[[#Headers],[34]],FDR[34],"",0,1)</f>
        <v>3</v>
      </c>
      <c r="AU275" cm="1">
        <f t="array" ref="AU275">_xlfn.XLOOKUP(Matrix[[#This Row],[TEAM]]&amp;Matrix[[#Headers],[35]],FDR[FDR]&amp;FDR[[#Headers],[35]],FDR[35],"",0,1)</f>
        <v>4</v>
      </c>
      <c r="AV275" cm="1">
        <f t="array" ref="AV275">_xlfn.XLOOKUP(Matrix[[#This Row],[TEAM]]&amp;Matrix[[#Headers],[36]],FDR[FDR]&amp;FDR[[#Headers],[36]],FDR[36],"",0,1)</f>
        <v>4</v>
      </c>
      <c r="AW275" cm="1">
        <f t="array" ref="AW275">_xlfn.XLOOKUP(Matrix[[#This Row],[TEAM]]&amp;Matrix[[#Headers],[37]],FDR[FDR]&amp;FDR[[#Headers],[37]],FDR[37],"",0,1)</f>
        <v>5</v>
      </c>
      <c r="AX275" cm="1">
        <f t="array" ref="AX275">_xlfn.XLOOKUP(Matrix[[#This Row],[TEAM]]&amp;Matrix[[#Headers],[38]],FDR[FDR]&amp;FDR[[#Headers],[38]],FDR[38],"",0,1)</f>
        <v>1</v>
      </c>
    </row>
    <row r="276" spans="1:50" ht="22" thickTop="1" thickBot="1">
      <c r="A276" s="50" t="str">
        <f>INDEX!S$4</f>
        <v>MID</v>
      </c>
      <c r="B276" s="70" t="s">
        <v>1575</v>
      </c>
      <c r="C276" s="40" t="s">
        <v>633</v>
      </c>
      <c r="D276" s="62">
        <v>0</v>
      </c>
      <c r="E276" s="60">
        <v>1E-3</v>
      </c>
      <c r="F276" s="61">
        <v>0</v>
      </c>
      <c r="G276" s="63">
        <v>4.9000000000000004</v>
      </c>
      <c r="H276" s="261">
        <f>IF(ISBLANK(I276),0,1)</f>
        <v>0</v>
      </c>
      <c r="I276" s="57"/>
      <c r="J276" s="58"/>
      <c r="K276" s="59" t="s">
        <v>857</v>
      </c>
      <c r="L276" s="59" t="s">
        <v>858</v>
      </c>
      <c r="M276" cm="1">
        <f t="array" ref="M276">_xlfn.XLOOKUP(Matrix[[#This Row],[TEAM]]&amp;Matrix[[#Headers],[1]],FDR[FDR]&amp;FDR[[#Headers],[1]],FDR[1],"",0,1)</f>
        <v>4</v>
      </c>
      <c r="N276" cm="1">
        <f t="array" ref="N276">_xlfn.XLOOKUP(Matrix[[#This Row],[TEAM]]&amp;Matrix[[#Headers],[2]],FDR[FDR]&amp;FDR[[#Headers],[2]],FDR[2],"",0,1)</f>
        <v>5</v>
      </c>
      <c r="O276" cm="1">
        <f t="array" ref="O276">_xlfn.XLOOKUP(Matrix[[#This Row],[TEAM]]&amp;Matrix[[#Headers],[3]],FDR[FDR]&amp;FDR[[#Headers],[3]],FDR[3],"",0,1)</f>
        <v>5</v>
      </c>
      <c r="P276" cm="1">
        <f t="array" ref="P276">_xlfn.XLOOKUP(Matrix[[#This Row],[TEAM]]&amp;Matrix[[#Headers],[4]],FDR[FDR]&amp;FDR[[#Headers],[4]],FDR[4],"",0,1)</f>
        <v>5</v>
      </c>
      <c r="Q276" cm="1">
        <f t="array" ref="Q276">_xlfn.XLOOKUP(Matrix[[#This Row],[TEAM]]&amp;Matrix[[#Headers],[5]],FDR[FDR]&amp;FDR[[#Headers],[5]],FDR[5],"",0,1)</f>
        <v>4</v>
      </c>
      <c r="R276" cm="1">
        <f t="array" ref="R276">_xlfn.XLOOKUP(Matrix[[#This Row],[TEAM]]&amp;Matrix[[#Headers],[6]],FDR[FDR]&amp;FDR[[#Headers],[6]],FDR[6],"",0,1)</f>
        <v>5</v>
      </c>
      <c r="S276" cm="1">
        <f t="array" ref="S276">_xlfn.XLOOKUP(Matrix[[#This Row],[TEAM]]&amp;Matrix[[#Headers],[7]],FDR[FDR]&amp;FDR[[#Headers],[7]],FDR[7],"",0,1)</f>
        <v>5</v>
      </c>
      <c r="T276" cm="1">
        <f t="array" ref="T276">_xlfn.XLOOKUP(Matrix[[#This Row],[TEAM]]&amp;Matrix[[#Headers],[8]],FDR[FDR]&amp;FDR[[#Headers],[8]],FDR[8],"",0,1)</f>
        <v>4</v>
      </c>
      <c r="U276" cm="1">
        <f t="array" ref="U276">_xlfn.XLOOKUP(Matrix[[#This Row],[TEAM]]&amp;Matrix[[#Headers],[9]],FDR[FDR]&amp;FDR[[#Headers],[9]],FDR[9],"",0,1)</f>
        <v>4</v>
      </c>
      <c r="V276" cm="1">
        <f t="array" ref="V276">_xlfn.XLOOKUP(Matrix[[#This Row],[TEAM]]&amp;Matrix[[#Headers],[10]],FDR[FDR]&amp;FDR[[#Headers],[10]],FDR[10],"",0,1)</f>
        <v>5</v>
      </c>
      <c r="W276" cm="1">
        <f t="array" ref="W276">_xlfn.XLOOKUP(Matrix[[#This Row],[TEAM]]&amp;Matrix[[#Headers],[11]],FDR[FDR]&amp;FDR[[#Headers],[11]],FDR[11],"",0,1)</f>
        <v>5</v>
      </c>
      <c r="X276" cm="1">
        <f t="array" ref="X276">_xlfn.XLOOKUP(Matrix[[#This Row],[TEAM]]&amp;Matrix[[#Headers],[12]],FDR[FDR]&amp;FDR[[#Headers],[12]],FDR[12],"",0,1)</f>
        <v>5</v>
      </c>
      <c r="Y276" cm="1">
        <f t="array" ref="Y276">_xlfn.XLOOKUP(Matrix[[#This Row],[TEAM]]&amp;Matrix[[#Headers],[13]],FDR[FDR]&amp;FDR[[#Headers],[13]],FDR[13],"",0,1)</f>
        <v>5</v>
      </c>
      <c r="Z276" cm="1">
        <f t="array" ref="Z276">_xlfn.XLOOKUP(Matrix[[#This Row],[TEAM]]&amp;Matrix[[#Headers],[14]],FDR[FDR]&amp;FDR[[#Headers],[14]],FDR[14],"",0,1)</f>
        <v>5</v>
      </c>
      <c r="AA276" cm="1">
        <f t="array" ref="AA276">_xlfn.XLOOKUP(Matrix[[#This Row],[TEAM]]&amp;Matrix[[#Headers],[15]],FDR[FDR]&amp;FDR[[#Headers],[15]],FDR[15],"",0,1)</f>
        <v>5</v>
      </c>
      <c r="AB276" cm="1">
        <f t="array" ref="AB276">_xlfn.XLOOKUP(Matrix[[#This Row],[TEAM]]&amp;Matrix[[#Headers],[16]],FDR[FDR]&amp;FDR[[#Headers],[16]],FDR[16],"",0,1)</f>
        <v>5</v>
      </c>
      <c r="AC276" cm="1">
        <f t="array" ref="AC276">_xlfn.XLOOKUP(Matrix[[#This Row],[TEAM]]&amp;Matrix[[#Headers],[17]],FDR[FDR]&amp;FDR[[#Headers],[17]],FDR[17],"",0,1)</f>
        <v>4</v>
      </c>
      <c r="AD276" cm="1">
        <f t="array" ref="AD276">_xlfn.XLOOKUP(Matrix[[#This Row],[TEAM]]&amp;Matrix[[#Headers],[18]],FDR[FDR]&amp;FDR[[#Headers],[18]],FDR[18],"",0,1)</f>
        <v>4</v>
      </c>
      <c r="AE276" cm="1">
        <f t="array" ref="AE276">_xlfn.XLOOKUP(Matrix[[#This Row],[TEAM]]&amp;Matrix[[#Headers],[19]],FDR[FDR]&amp;FDR[[#Headers],[19]],FDR[19],"",0,1)</f>
        <v>5</v>
      </c>
      <c r="AF276" cm="1">
        <f t="array" ref="AF276">_xlfn.XLOOKUP(Matrix[[#This Row],[TEAM]]&amp;Matrix[[#Headers],[20]],FDR[FDR]&amp;FDR[[#Headers],[20]],FDR[20],"",0,1)</f>
        <v>5</v>
      </c>
      <c r="AG276" cm="1">
        <f t="array" ref="AG276">_xlfn.XLOOKUP(Matrix[[#This Row],[TEAM]]&amp;Matrix[[#Headers],[21]],FDR[FDR]&amp;FDR[[#Headers],[21]],FDR[21],"",0,1)</f>
        <v>5</v>
      </c>
      <c r="AH276" cm="1">
        <f t="array" ref="AH276">_xlfn.XLOOKUP(Matrix[[#This Row],[TEAM]]&amp;Matrix[[#Headers],[22]],FDR[FDR]&amp;FDR[[#Headers],[22]],FDR[22],"",0,1)</f>
        <v>5</v>
      </c>
      <c r="AI276" cm="1">
        <f t="array" ref="AI276">_xlfn.XLOOKUP(Matrix[[#This Row],[TEAM]]&amp;Matrix[[#Headers],[23]],FDR[FDR]&amp;FDR[[#Headers],[23]],FDR[23],"",0,1)</f>
        <v>5</v>
      </c>
      <c r="AJ276" cm="1">
        <f t="array" ref="AJ276">_xlfn.XLOOKUP(Matrix[[#This Row],[TEAM]]&amp;Matrix[[#Headers],[24]],FDR[FDR]&amp;FDR[[#Headers],[24]],FDR[24],"",0,1)</f>
        <v>5</v>
      </c>
      <c r="AK276" cm="1">
        <f t="array" ref="AK276">_xlfn.XLOOKUP(Matrix[[#This Row],[TEAM]]&amp;Matrix[[#Headers],[25]],FDR[FDR]&amp;FDR[[#Headers],[25]],FDR[25],"",0,1)</f>
        <v>5</v>
      </c>
      <c r="AL276" cm="1">
        <f t="array" ref="AL276">_xlfn.XLOOKUP(Matrix[[#This Row],[TEAM]]&amp;Matrix[[#Headers],[26]],FDR[FDR]&amp;FDR[[#Headers],[26]],FDR[26],"",0,1)</f>
        <v>5</v>
      </c>
      <c r="AM276" cm="1">
        <f t="array" ref="AM276">_xlfn.XLOOKUP(Matrix[[#This Row],[TEAM]]&amp;Matrix[[#Headers],[27]],FDR[FDR]&amp;FDR[[#Headers],[27]],FDR[27],"",0,1)</f>
        <v>5</v>
      </c>
      <c r="AN276" cm="1">
        <f t="array" ref="AN276">_xlfn.XLOOKUP(Matrix[[#This Row],[TEAM]]&amp;Matrix[[#Headers],[28]],FDR[FDR]&amp;FDR[[#Headers],[28]],FDR[28],"",0,1)</f>
        <v>5</v>
      </c>
      <c r="AO276" cm="1">
        <f t="array" ref="AO276">_xlfn.XLOOKUP(Matrix[[#This Row],[TEAM]]&amp;Matrix[[#Headers],[29]],FDR[FDR]&amp;FDR[[#Headers],[29]],FDR[29],"",0,1)</f>
        <v>3</v>
      </c>
      <c r="AP276" cm="1">
        <f t="array" ref="AP276">_xlfn.XLOOKUP(Matrix[[#This Row],[TEAM]]&amp;Matrix[[#Headers],[30]],FDR[FDR]&amp;FDR[[#Headers],[30]],FDR[30],"",0,1)</f>
        <v>5</v>
      </c>
      <c r="AQ276" cm="1">
        <f t="array" ref="AQ276">_xlfn.XLOOKUP(Matrix[[#This Row],[TEAM]]&amp;Matrix[[#Headers],[31]],FDR[FDR]&amp;FDR[[#Headers],[31]],FDR[31],"",0,1)</f>
        <v>4</v>
      </c>
      <c r="AR276" cm="1">
        <f t="array" ref="AR276">_xlfn.XLOOKUP(Matrix[[#This Row],[TEAM]]&amp;Matrix[[#Headers],[32]],FDR[FDR]&amp;FDR[[#Headers],[32]],FDR[32],"",0,1)</f>
        <v>5</v>
      </c>
      <c r="AS276" cm="1">
        <f t="array" ref="AS276">_xlfn.XLOOKUP(Matrix[[#This Row],[TEAM]]&amp;Matrix[[#Headers],[33]],FDR[FDR]&amp;FDR[[#Headers],[33]],FDR[33],"",0,1)</f>
        <v>3</v>
      </c>
      <c r="AT276" cm="1">
        <f t="array" ref="AT276">_xlfn.XLOOKUP(Matrix[[#This Row],[TEAM]]&amp;Matrix[[#Headers],[34]],FDR[FDR]&amp;FDR[[#Headers],[34]],FDR[34],"",0,1)</f>
        <v>5</v>
      </c>
      <c r="AU276" cm="1">
        <f t="array" ref="AU276">_xlfn.XLOOKUP(Matrix[[#This Row],[TEAM]]&amp;Matrix[[#Headers],[35]],FDR[FDR]&amp;FDR[[#Headers],[35]],FDR[35],"",0,1)</f>
        <v>3</v>
      </c>
      <c r="AV276" cm="1">
        <f t="array" ref="AV276">_xlfn.XLOOKUP(Matrix[[#This Row],[TEAM]]&amp;Matrix[[#Headers],[36]],FDR[FDR]&amp;FDR[[#Headers],[36]],FDR[36],"",0,1)</f>
        <v>5</v>
      </c>
      <c r="AW276" cm="1">
        <f t="array" ref="AW276">_xlfn.XLOOKUP(Matrix[[#This Row],[TEAM]]&amp;Matrix[[#Headers],[37]],FDR[FDR]&amp;FDR[[#Headers],[37]],FDR[37],"",0,1)</f>
        <v>5</v>
      </c>
      <c r="AX276" cm="1">
        <f t="array" ref="AX276">_xlfn.XLOOKUP(Matrix[[#This Row],[TEAM]]&amp;Matrix[[#Headers],[38]],FDR[FDR]&amp;FDR[[#Headers],[38]],FDR[38],"",0,1)</f>
        <v>5</v>
      </c>
    </row>
    <row r="277" spans="1:50" ht="22" thickTop="1" thickBot="1">
      <c r="A277" s="50" t="str">
        <f>INDEX!S$4</f>
        <v>MID</v>
      </c>
      <c r="B277" s="70" t="s">
        <v>1577</v>
      </c>
      <c r="C277" s="40" t="s">
        <v>633</v>
      </c>
      <c r="D277" s="62">
        <v>0</v>
      </c>
      <c r="E277" s="60">
        <v>1E-3</v>
      </c>
      <c r="F277" s="61">
        <v>0</v>
      </c>
      <c r="G277" s="63">
        <v>4.9000000000000004</v>
      </c>
      <c r="H277" s="261">
        <f>IF(ISBLANK(I277),0,1)</f>
        <v>0</v>
      </c>
      <c r="I277" s="57"/>
      <c r="J277" s="58"/>
      <c r="K277" s="59" t="s">
        <v>525</v>
      </c>
      <c r="L277" s="59" t="s">
        <v>854</v>
      </c>
      <c r="M277" cm="1">
        <f t="array" ref="M277">_xlfn.XLOOKUP(Matrix[[#This Row],[TEAM]]&amp;Matrix[[#Headers],[1]],FDR[FDR]&amp;FDR[[#Headers],[1]],FDR[1],"",0,1)</f>
        <v>4</v>
      </c>
      <c r="N277" cm="1">
        <f t="array" ref="N277">_xlfn.XLOOKUP(Matrix[[#This Row],[TEAM]]&amp;Matrix[[#Headers],[2]],FDR[FDR]&amp;FDR[[#Headers],[2]],FDR[2],"",0,1)</f>
        <v>5</v>
      </c>
      <c r="O277" cm="1">
        <f t="array" ref="O277">_xlfn.XLOOKUP(Matrix[[#This Row],[TEAM]]&amp;Matrix[[#Headers],[3]],FDR[FDR]&amp;FDR[[#Headers],[3]],FDR[3],"",0,1)</f>
        <v>5</v>
      </c>
      <c r="P277" cm="1">
        <f t="array" ref="P277">_xlfn.XLOOKUP(Matrix[[#This Row],[TEAM]]&amp;Matrix[[#Headers],[4]],FDR[FDR]&amp;FDR[[#Headers],[4]],FDR[4],"",0,1)</f>
        <v>5</v>
      </c>
      <c r="Q277" cm="1">
        <f t="array" ref="Q277">_xlfn.XLOOKUP(Matrix[[#This Row],[TEAM]]&amp;Matrix[[#Headers],[5]],FDR[FDR]&amp;FDR[[#Headers],[5]],FDR[5],"",0,1)</f>
        <v>4</v>
      </c>
      <c r="R277" cm="1">
        <f t="array" ref="R277">_xlfn.XLOOKUP(Matrix[[#This Row],[TEAM]]&amp;Matrix[[#Headers],[6]],FDR[FDR]&amp;FDR[[#Headers],[6]],FDR[6],"",0,1)</f>
        <v>5</v>
      </c>
      <c r="S277" cm="1">
        <f t="array" ref="S277">_xlfn.XLOOKUP(Matrix[[#This Row],[TEAM]]&amp;Matrix[[#Headers],[7]],FDR[FDR]&amp;FDR[[#Headers],[7]],FDR[7],"",0,1)</f>
        <v>5</v>
      </c>
      <c r="T277" cm="1">
        <f t="array" ref="T277">_xlfn.XLOOKUP(Matrix[[#This Row],[TEAM]]&amp;Matrix[[#Headers],[8]],FDR[FDR]&amp;FDR[[#Headers],[8]],FDR[8],"",0,1)</f>
        <v>4</v>
      </c>
      <c r="U277" cm="1">
        <f t="array" ref="U277">_xlfn.XLOOKUP(Matrix[[#This Row],[TEAM]]&amp;Matrix[[#Headers],[9]],FDR[FDR]&amp;FDR[[#Headers],[9]],FDR[9],"",0,1)</f>
        <v>4</v>
      </c>
      <c r="V277" cm="1">
        <f t="array" ref="V277">_xlfn.XLOOKUP(Matrix[[#This Row],[TEAM]]&amp;Matrix[[#Headers],[10]],FDR[FDR]&amp;FDR[[#Headers],[10]],FDR[10],"",0,1)</f>
        <v>5</v>
      </c>
      <c r="W277" cm="1">
        <f t="array" ref="W277">_xlfn.XLOOKUP(Matrix[[#This Row],[TEAM]]&amp;Matrix[[#Headers],[11]],FDR[FDR]&amp;FDR[[#Headers],[11]],FDR[11],"",0,1)</f>
        <v>5</v>
      </c>
      <c r="X277" cm="1">
        <f t="array" ref="X277">_xlfn.XLOOKUP(Matrix[[#This Row],[TEAM]]&amp;Matrix[[#Headers],[12]],FDR[FDR]&amp;FDR[[#Headers],[12]],FDR[12],"",0,1)</f>
        <v>5</v>
      </c>
      <c r="Y277" cm="1">
        <f t="array" ref="Y277">_xlfn.XLOOKUP(Matrix[[#This Row],[TEAM]]&amp;Matrix[[#Headers],[13]],FDR[FDR]&amp;FDR[[#Headers],[13]],FDR[13],"",0,1)</f>
        <v>5</v>
      </c>
      <c r="Z277" cm="1">
        <f t="array" ref="Z277">_xlfn.XLOOKUP(Matrix[[#This Row],[TEAM]]&amp;Matrix[[#Headers],[14]],FDR[FDR]&amp;FDR[[#Headers],[14]],FDR[14],"",0,1)</f>
        <v>5</v>
      </c>
      <c r="AA277" cm="1">
        <f t="array" ref="AA277">_xlfn.XLOOKUP(Matrix[[#This Row],[TEAM]]&amp;Matrix[[#Headers],[15]],FDR[FDR]&amp;FDR[[#Headers],[15]],FDR[15],"",0,1)</f>
        <v>5</v>
      </c>
      <c r="AB277" cm="1">
        <f t="array" ref="AB277">_xlfn.XLOOKUP(Matrix[[#This Row],[TEAM]]&amp;Matrix[[#Headers],[16]],FDR[FDR]&amp;FDR[[#Headers],[16]],FDR[16],"",0,1)</f>
        <v>5</v>
      </c>
      <c r="AC277" cm="1">
        <f t="array" ref="AC277">_xlfn.XLOOKUP(Matrix[[#This Row],[TEAM]]&amp;Matrix[[#Headers],[17]],FDR[FDR]&amp;FDR[[#Headers],[17]],FDR[17],"",0,1)</f>
        <v>4</v>
      </c>
      <c r="AD277" cm="1">
        <f t="array" ref="AD277">_xlfn.XLOOKUP(Matrix[[#This Row],[TEAM]]&amp;Matrix[[#Headers],[18]],FDR[FDR]&amp;FDR[[#Headers],[18]],FDR[18],"",0,1)</f>
        <v>4</v>
      </c>
      <c r="AE277" cm="1">
        <f t="array" ref="AE277">_xlfn.XLOOKUP(Matrix[[#This Row],[TEAM]]&amp;Matrix[[#Headers],[19]],FDR[FDR]&amp;FDR[[#Headers],[19]],FDR[19],"",0,1)</f>
        <v>5</v>
      </c>
      <c r="AF277" cm="1">
        <f t="array" ref="AF277">_xlfn.XLOOKUP(Matrix[[#This Row],[TEAM]]&amp;Matrix[[#Headers],[20]],FDR[FDR]&amp;FDR[[#Headers],[20]],FDR[20],"",0,1)</f>
        <v>5</v>
      </c>
      <c r="AG277" cm="1">
        <f t="array" ref="AG277">_xlfn.XLOOKUP(Matrix[[#This Row],[TEAM]]&amp;Matrix[[#Headers],[21]],FDR[FDR]&amp;FDR[[#Headers],[21]],FDR[21],"",0,1)</f>
        <v>5</v>
      </c>
      <c r="AH277" cm="1">
        <f t="array" ref="AH277">_xlfn.XLOOKUP(Matrix[[#This Row],[TEAM]]&amp;Matrix[[#Headers],[22]],FDR[FDR]&amp;FDR[[#Headers],[22]],FDR[22],"",0,1)</f>
        <v>5</v>
      </c>
      <c r="AI277" cm="1">
        <f t="array" ref="AI277">_xlfn.XLOOKUP(Matrix[[#This Row],[TEAM]]&amp;Matrix[[#Headers],[23]],FDR[FDR]&amp;FDR[[#Headers],[23]],FDR[23],"",0,1)</f>
        <v>5</v>
      </c>
      <c r="AJ277" cm="1">
        <f t="array" ref="AJ277">_xlfn.XLOOKUP(Matrix[[#This Row],[TEAM]]&amp;Matrix[[#Headers],[24]],FDR[FDR]&amp;FDR[[#Headers],[24]],FDR[24],"",0,1)</f>
        <v>5</v>
      </c>
      <c r="AK277" cm="1">
        <f t="array" ref="AK277">_xlfn.XLOOKUP(Matrix[[#This Row],[TEAM]]&amp;Matrix[[#Headers],[25]],FDR[FDR]&amp;FDR[[#Headers],[25]],FDR[25],"",0,1)</f>
        <v>5</v>
      </c>
      <c r="AL277" cm="1">
        <f t="array" ref="AL277">_xlfn.XLOOKUP(Matrix[[#This Row],[TEAM]]&amp;Matrix[[#Headers],[26]],FDR[FDR]&amp;FDR[[#Headers],[26]],FDR[26],"",0,1)</f>
        <v>5</v>
      </c>
      <c r="AM277" cm="1">
        <f t="array" ref="AM277">_xlfn.XLOOKUP(Matrix[[#This Row],[TEAM]]&amp;Matrix[[#Headers],[27]],FDR[FDR]&amp;FDR[[#Headers],[27]],FDR[27],"",0,1)</f>
        <v>5</v>
      </c>
      <c r="AN277" cm="1">
        <f t="array" ref="AN277">_xlfn.XLOOKUP(Matrix[[#This Row],[TEAM]]&amp;Matrix[[#Headers],[28]],FDR[FDR]&amp;FDR[[#Headers],[28]],FDR[28],"",0,1)</f>
        <v>5</v>
      </c>
      <c r="AO277" cm="1">
        <f t="array" ref="AO277">_xlfn.XLOOKUP(Matrix[[#This Row],[TEAM]]&amp;Matrix[[#Headers],[29]],FDR[FDR]&amp;FDR[[#Headers],[29]],FDR[29],"",0,1)</f>
        <v>3</v>
      </c>
      <c r="AP277" cm="1">
        <f t="array" ref="AP277">_xlfn.XLOOKUP(Matrix[[#This Row],[TEAM]]&amp;Matrix[[#Headers],[30]],FDR[FDR]&amp;FDR[[#Headers],[30]],FDR[30],"",0,1)</f>
        <v>5</v>
      </c>
      <c r="AQ277" cm="1">
        <f t="array" ref="AQ277">_xlfn.XLOOKUP(Matrix[[#This Row],[TEAM]]&amp;Matrix[[#Headers],[31]],FDR[FDR]&amp;FDR[[#Headers],[31]],FDR[31],"",0,1)</f>
        <v>4</v>
      </c>
      <c r="AR277" cm="1">
        <f t="array" ref="AR277">_xlfn.XLOOKUP(Matrix[[#This Row],[TEAM]]&amp;Matrix[[#Headers],[32]],FDR[FDR]&amp;FDR[[#Headers],[32]],FDR[32],"",0,1)</f>
        <v>5</v>
      </c>
      <c r="AS277" cm="1">
        <f t="array" ref="AS277">_xlfn.XLOOKUP(Matrix[[#This Row],[TEAM]]&amp;Matrix[[#Headers],[33]],FDR[FDR]&amp;FDR[[#Headers],[33]],FDR[33],"",0,1)</f>
        <v>3</v>
      </c>
      <c r="AT277" cm="1">
        <f t="array" ref="AT277">_xlfn.XLOOKUP(Matrix[[#This Row],[TEAM]]&amp;Matrix[[#Headers],[34]],FDR[FDR]&amp;FDR[[#Headers],[34]],FDR[34],"",0,1)</f>
        <v>5</v>
      </c>
      <c r="AU277" cm="1">
        <f t="array" ref="AU277">_xlfn.XLOOKUP(Matrix[[#This Row],[TEAM]]&amp;Matrix[[#Headers],[35]],FDR[FDR]&amp;FDR[[#Headers],[35]],FDR[35],"",0,1)</f>
        <v>3</v>
      </c>
      <c r="AV277" cm="1">
        <f t="array" ref="AV277">_xlfn.XLOOKUP(Matrix[[#This Row],[TEAM]]&amp;Matrix[[#Headers],[36]],FDR[FDR]&amp;FDR[[#Headers],[36]],FDR[36],"",0,1)</f>
        <v>5</v>
      </c>
      <c r="AW277" cm="1">
        <f t="array" ref="AW277">_xlfn.XLOOKUP(Matrix[[#This Row],[TEAM]]&amp;Matrix[[#Headers],[37]],FDR[FDR]&amp;FDR[[#Headers],[37]],FDR[37],"",0,1)</f>
        <v>5</v>
      </c>
      <c r="AX277" cm="1">
        <f t="array" ref="AX277">_xlfn.XLOOKUP(Matrix[[#This Row],[TEAM]]&amp;Matrix[[#Headers],[38]],FDR[FDR]&amp;FDR[[#Headers],[38]],FDR[38],"",0,1)</f>
        <v>5</v>
      </c>
    </row>
    <row r="278" spans="1:50" ht="22" thickTop="1" thickBot="1">
      <c r="A278" s="50" t="str">
        <f>INDEX!S$4</f>
        <v>MID</v>
      </c>
      <c r="B278" s="70" t="s">
        <v>1509</v>
      </c>
      <c r="C278" s="40" t="s">
        <v>634</v>
      </c>
      <c r="D278" s="62">
        <v>0</v>
      </c>
      <c r="E278" s="60">
        <v>7.0000000000000001E-3</v>
      </c>
      <c r="F278" s="61">
        <v>0</v>
      </c>
      <c r="G278" s="63">
        <v>4.9000000000000004</v>
      </c>
      <c r="H278" s="261">
        <f>IF(ISBLANK(I278),0,1)</f>
        <v>0</v>
      </c>
      <c r="I278" s="57"/>
      <c r="J278" s="58"/>
      <c r="K278" s="59" t="s">
        <v>239</v>
      </c>
      <c r="L278" s="59" t="s">
        <v>1158</v>
      </c>
      <c r="M278" cm="1">
        <f t="array" ref="M278">_xlfn.XLOOKUP(Matrix[[#This Row],[TEAM]]&amp;Matrix[[#Headers],[1]],FDR[FDR]&amp;FDR[[#Headers],[1]],FDR[1],"",0,1)</f>
        <v>4</v>
      </c>
      <c r="N278" cm="1">
        <f t="array" ref="N278">_xlfn.XLOOKUP(Matrix[[#This Row],[TEAM]]&amp;Matrix[[#Headers],[2]],FDR[FDR]&amp;FDR[[#Headers],[2]],FDR[2],"",0,1)</f>
        <v>4</v>
      </c>
      <c r="O278" cm="1">
        <f t="array" ref="O278">_xlfn.XLOOKUP(Matrix[[#This Row],[TEAM]]&amp;Matrix[[#Headers],[3]],FDR[FDR]&amp;FDR[[#Headers],[3]],FDR[3],"",0,1)</f>
        <v>4</v>
      </c>
      <c r="P278" cm="1">
        <f t="array" ref="P278">_xlfn.XLOOKUP(Matrix[[#This Row],[TEAM]]&amp;Matrix[[#Headers],[4]],FDR[FDR]&amp;FDR[[#Headers],[4]],FDR[4],"",0,1)</f>
        <v>5</v>
      </c>
      <c r="Q278" cm="1">
        <f t="array" ref="Q278">_xlfn.XLOOKUP(Matrix[[#This Row],[TEAM]]&amp;Matrix[[#Headers],[5]],FDR[FDR]&amp;FDR[[#Headers],[5]],FDR[5],"",0,1)</f>
        <v>5</v>
      </c>
      <c r="R278" cm="1">
        <f t="array" ref="R278">_xlfn.XLOOKUP(Matrix[[#This Row],[TEAM]]&amp;Matrix[[#Headers],[6]],FDR[FDR]&amp;FDR[[#Headers],[6]],FDR[6],"",0,1)</f>
        <v>5</v>
      </c>
      <c r="S278" cm="1">
        <f t="array" ref="S278">_xlfn.XLOOKUP(Matrix[[#This Row],[TEAM]]&amp;Matrix[[#Headers],[7]],FDR[FDR]&amp;FDR[[#Headers],[7]],FDR[7],"",0,1)</f>
        <v>5</v>
      </c>
      <c r="T278" cm="1">
        <f t="array" ref="T278">_xlfn.XLOOKUP(Matrix[[#This Row],[TEAM]]&amp;Matrix[[#Headers],[8]],FDR[FDR]&amp;FDR[[#Headers],[8]],FDR[8],"",0,1)</f>
        <v>3</v>
      </c>
      <c r="U278" cm="1">
        <f t="array" ref="U278">_xlfn.XLOOKUP(Matrix[[#This Row],[TEAM]]&amp;Matrix[[#Headers],[9]],FDR[FDR]&amp;FDR[[#Headers],[9]],FDR[9],"",0,1)</f>
        <v>5</v>
      </c>
      <c r="V278" cm="1">
        <f t="array" ref="V278">_xlfn.XLOOKUP(Matrix[[#This Row],[TEAM]]&amp;Matrix[[#Headers],[10]],FDR[FDR]&amp;FDR[[#Headers],[10]],FDR[10],"",0,1)</f>
        <v>4</v>
      </c>
      <c r="W278" cm="1">
        <f t="array" ref="W278">_xlfn.XLOOKUP(Matrix[[#This Row],[TEAM]]&amp;Matrix[[#Headers],[11]],FDR[FDR]&amp;FDR[[#Headers],[11]],FDR[11],"",0,1)</f>
        <v>5</v>
      </c>
      <c r="X278" cm="1">
        <f t="array" ref="X278">_xlfn.XLOOKUP(Matrix[[#This Row],[TEAM]]&amp;Matrix[[#Headers],[12]],FDR[FDR]&amp;FDR[[#Headers],[12]],FDR[12],"",0,1)</f>
        <v>5</v>
      </c>
      <c r="Y278" cm="1">
        <f t="array" ref="Y278">_xlfn.XLOOKUP(Matrix[[#This Row],[TEAM]]&amp;Matrix[[#Headers],[13]],FDR[FDR]&amp;FDR[[#Headers],[13]],FDR[13],"",0,1)</f>
        <v>5</v>
      </c>
      <c r="Z278" cm="1">
        <f t="array" ref="Z278">_xlfn.XLOOKUP(Matrix[[#This Row],[TEAM]]&amp;Matrix[[#Headers],[14]],FDR[FDR]&amp;FDR[[#Headers],[14]],FDR[14],"",0,1)</f>
        <v>5</v>
      </c>
      <c r="AA278" cm="1">
        <f t="array" ref="AA278">_xlfn.XLOOKUP(Matrix[[#This Row],[TEAM]]&amp;Matrix[[#Headers],[15]],FDR[FDR]&amp;FDR[[#Headers],[15]],FDR[15],"",0,1)</f>
        <v>5</v>
      </c>
      <c r="AB278" cm="1">
        <f t="array" ref="AB278">_xlfn.XLOOKUP(Matrix[[#This Row],[TEAM]]&amp;Matrix[[#Headers],[16]],FDR[FDR]&amp;FDR[[#Headers],[16]],FDR[16],"",0,1)</f>
        <v>5</v>
      </c>
      <c r="AC278" cm="1">
        <f t="array" ref="AC278">_xlfn.XLOOKUP(Matrix[[#This Row],[TEAM]]&amp;Matrix[[#Headers],[17]],FDR[FDR]&amp;FDR[[#Headers],[17]],FDR[17],"",0,1)</f>
        <v>5</v>
      </c>
      <c r="AD278" cm="1">
        <f t="array" ref="AD278">_xlfn.XLOOKUP(Matrix[[#This Row],[TEAM]]&amp;Matrix[[#Headers],[18]],FDR[FDR]&amp;FDR[[#Headers],[18]],FDR[18],"",0,1)</f>
        <v>3</v>
      </c>
      <c r="AE278" cm="1">
        <f t="array" ref="AE278">_xlfn.XLOOKUP(Matrix[[#This Row],[TEAM]]&amp;Matrix[[#Headers],[19]],FDR[FDR]&amp;FDR[[#Headers],[19]],FDR[19],"",0,1)</f>
        <v>5</v>
      </c>
      <c r="AF278" cm="1">
        <f t="array" ref="AF278">_xlfn.XLOOKUP(Matrix[[#This Row],[TEAM]]&amp;Matrix[[#Headers],[20]],FDR[FDR]&amp;FDR[[#Headers],[20]],FDR[20],"",0,1)</f>
        <v>5</v>
      </c>
      <c r="AG278" cm="1">
        <f t="array" ref="AG278">_xlfn.XLOOKUP(Matrix[[#This Row],[TEAM]]&amp;Matrix[[#Headers],[21]],FDR[FDR]&amp;FDR[[#Headers],[21]],FDR[21],"",0,1)</f>
        <v>5</v>
      </c>
      <c r="AH278" cm="1">
        <f t="array" ref="AH278">_xlfn.XLOOKUP(Matrix[[#This Row],[TEAM]]&amp;Matrix[[#Headers],[22]],FDR[FDR]&amp;FDR[[#Headers],[22]],FDR[22],"",0,1)</f>
        <v>4</v>
      </c>
      <c r="AI278" cm="1">
        <f t="array" ref="AI278">_xlfn.XLOOKUP(Matrix[[#This Row],[TEAM]]&amp;Matrix[[#Headers],[23]],FDR[FDR]&amp;FDR[[#Headers],[23]],FDR[23],"",0,1)</f>
        <v>5</v>
      </c>
      <c r="AJ278" cm="1">
        <f t="array" ref="AJ278">_xlfn.XLOOKUP(Matrix[[#This Row],[TEAM]]&amp;Matrix[[#Headers],[24]],FDR[FDR]&amp;FDR[[#Headers],[24]],FDR[24],"",0,1)</f>
        <v>3</v>
      </c>
      <c r="AK278" cm="1">
        <f t="array" ref="AK278">_xlfn.XLOOKUP(Matrix[[#This Row],[TEAM]]&amp;Matrix[[#Headers],[25]],FDR[FDR]&amp;FDR[[#Headers],[25]],FDR[25],"",0,1)</f>
        <v>5</v>
      </c>
      <c r="AL278" cm="1">
        <f t="array" ref="AL278">_xlfn.XLOOKUP(Matrix[[#This Row],[TEAM]]&amp;Matrix[[#Headers],[26]],FDR[FDR]&amp;FDR[[#Headers],[26]],FDR[26],"",0,1)</f>
        <v>5</v>
      </c>
      <c r="AM278" cm="1">
        <f t="array" ref="AM278">_xlfn.XLOOKUP(Matrix[[#This Row],[TEAM]]&amp;Matrix[[#Headers],[27]],FDR[FDR]&amp;FDR[[#Headers],[27]],FDR[27],"",0,1)</f>
        <v>5</v>
      </c>
      <c r="AN278" cm="1">
        <f t="array" ref="AN278">_xlfn.XLOOKUP(Matrix[[#This Row],[TEAM]]&amp;Matrix[[#Headers],[28]],FDR[FDR]&amp;FDR[[#Headers],[28]],FDR[28],"",0,1)</f>
        <v>5</v>
      </c>
      <c r="AO278" cm="1">
        <f t="array" ref="AO278">_xlfn.XLOOKUP(Matrix[[#This Row],[TEAM]]&amp;Matrix[[#Headers],[29]],FDR[FDR]&amp;FDR[[#Headers],[29]],FDR[29],"",0,1)</f>
        <v>4</v>
      </c>
      <c r="AP278" cm="1">
        <f t="array" ref="AP278">_xlfn.XLOOKUP(Matrix[[#This Row],[TEAM]]&amp;Matrix[[#Headers],[30]],FDR[FDR]&amp;FDR[[#Headers],[30]],FDR[30],"",0,1)</f>
        <v>5</v>
      </c>
      <c r="AQ278" cm="1">
        <f t="array" ref="AQ278">_xlfn.XLOOKUP(Matrix[[#This Row],[TEAM]]&amp;Matrix[[#Headers],[31]],FDR[FDR]&amp;FDR[[#Headers],[31]],FDR[31],"",0,1)</f>
        <v>5</v>
      </c>
      <c r="AR278" cm="1">
        <f t="array" ref="AR278">_xlfn.XLOOKUP(Matrix[[#This Row],[TEAM]]&amp;Matrix[[#Headers],[32]],FDR[FDR]&amp;FDR[[#Headers],[32]],FDR[32],"",0,1)</f>
        <v>5</v>
      </c>
      <c r="AS278" cm="1">
        <f t="array" ref="AS278">_xlfn.XLOOKUP(Matrix[[#This Row],[TEAM]]&amp;Matrix[[#Headers],[33]],FDR[FDR]&amp;FDR[[#Headers],[33]],FDR[33],"",0,1)</f>
        <v>5</v>
      </c>
      <c r="AT278" cm="1">
        <f t="array" ref="AT278">_xlfn.XLOOKUP(Matrix[[#This Row],[TEAM]]&amp;Matrix[[#Headers],[34]],FDR[FDR]&amp;FDR[[#Headers],[34]],FDR[34],"",0,1)</f>
        <v>5</v>
      </c>
      <c r="AU278" cm="1">
        <f t="array" ref="AU278">_xlfn.XLOOKUP(Matrix[[#This Row],[TEAM]]&amp;Matrix[[#Headers],[35]],FDR[FDR]&amp;FDR[[#Headers],[35]],FDR[35],"",0,1)</f>
        <v>4</v>
      </c>
      <c r="AV278" cm="1">
        <f t="array" ref="AV278">_xlfn.XLOOKUP(Matrix[[#This Row],[TEAM]]&amp;Matrix[[#Headers],[36]],FDR[FDR]&amp;FDR[[#Headers],[36]],FDR[36],"",0,1)</f>
        <v>5</v>
      </c>
      <c r="AW278" cm="1">
        <f t="array" ref="AW278">_xlfn.XLOOKUP(Matrix[[#This Row],[TEAM]]&amp;Matrix[[#Headers],[37]],FDR[FDR]&amp;FDR[[#Headers],[37]],FDR[37],"",0,1)</f>
        <v>5</v>
      </c>
      <c r="AX278" cm="1">
        <f t="array" ref="AX278">_xlfn.XLOOKUP(Matrix[[#This Row],[TEAM]]&amp;Matrix[[#Headers],[38]],FDR[FDR]&amp;FDR[[#Headers],[38]],FDR[38],"",0,1)</f>
        <v>5</v>
      </c>
    </row>
    <row r="279" spans="1:50" ht="22" thickTop="1" thickBot="1">
      <c r="A279" s="49" t="str">
        <f>INDEX!S$5</f>
        <v>FWD</v>
      </c>
      <c r="B279" s="70" t="s">
        <v>1490</v>
      </c>
      <c r="C279" s="40" t="s">
        <v>633</v>
      </c>
      <c r="D279" s="62">
        <v>0</v>
      </c>
      <c r="E279" s="60">
        <v>2.5999999999999999E-2</v>
      </c>
      <c r="F279" s="61">
        <v>0</v>
      </c>
      <c r="G279" s="63">
        <v>4.9000000000000004</v>
      </c>
      <c r="H279" s="261">
        <f>IF(ISBLANK(I279),0,1)</f>
        <v>0</v>
      </c>
      <c r="I279" s="57"/>
      <c r="J279" s="58"/>
      <c r="K279" s="64" t="s">
        <v>799</v>
      </c>
      <c r="L279" s="64" t="s">
        <v>863</v>
      </c>
      <c r="M279" cm="1">
        <f t="array" ref="M279">_xlfn.XLOOKUP(Matrix[[#This Row],[TEAM]]&amp;Matrix[[#Headers],[1]],FDR[FDR]&amp;FDR[[#Headers],[1]],FDR[1],"",0,1)</f>
        <v>4</v>
      </c>
      <c r="N279" cm="1">
        <f t="array" ref="N279">_xlfn.XLOOKUP(Matrix[[#This Row],[TEAM]]&amp;Matrix[[#Headers],[2]],FDR[FDR]&amp;FDR[[#Headers],[2]],FDR[2],"",0,1)</f>
        <v>5</v>
      </c>
      <c r="O279" cm="1">
        <f t="array" ref="O279">_xlfn.XLOOKUP(Matrix[[#This Row],[TEAM]]&amp;Matrix[[#Headers],[3]],FDR[FDR]&amp;FDR[[#Headers],[3]],FDR[3],"",0,1)</f>
        <v>5</v>
      </c>
      <c r="P279" cm="1">
        <f t="array" ref="P279">_xlfn.XLOOKUP(Matrix[[#This Row],[TEAM]]&amp;Matrix[[#Headers],[4]],FDR[FDR]&amp;FDR[[#Headers],[4]],FDR[4],"",0,1)</f>
        <v>5</v>
      </c>
      <c r="Q279" cm="1">
        <f t="array" ref="Q279">_xlfn.XLOOKUP(Matrix[[#This Row],[TEAM]]&amp;Matrix[[#Headers],[5]],FDR[FDR]&amp;FDR[[#Headers],[5]],FDR[5],"",0,1)</f>
        <v>4</v>
      </c>
      <c r="R279" cm="1">
        <f t="array" ref="R279">_xlfn.XLOOKUP(Matrix[[#This Row],[TEAM]]&amp;Matrix[[#Headers],[6]],FDR[FDR]&amp;FDR[[#Headers],[6]],FDR[6],"",0,1)</f>
        <v>5</v>
      </c>
      <c r="S279" cm="1">
        <f t="array" ref="S279">_xlfn.XLOOKUP(Matrix[[#This Row],[TEAM]]&amp;Matrix[[#Headers],[7]],FDR[FDR]&amp;FDR[[#Headers],[7]],FDR[7],"",0,1)</f>
        <v>5</v>
      </c>
      <c r="T279" cm="1">
        <f t="array" ref="T279">_xlfn.XLOOKUP(Matrix[[#This Row],[TEAM]]&amp;Matrix[[#Headers],[8]],FDR[FDR]&amp;FDR[[#Headers],[8]],FDR[8],"",0,1)</f>
        <v>4</v>
      </c>
      <c r="U279" cm="1">
        <f t="array" ref="U279">_xlfn.XLOOKUP(Matrix[[#This Row],[TEAM]]&amp;Matrix[[#Headers],[9]],FDR[FDR]&amp;FDR[[#Headers],[9]],FDR[9],"",0,1)</f>
        <v>4</v>
      </c>
      <c r="V279" cm="1">
        <f t="array" ref="V279">_xlfn.XLOOKUP(Matrix[[#This Row],[TEAM]]&amp;Matrix[[#Headers],[10]],FDR[FDR]&amp;FDR[[#Headers],[10]],FDR[10],"",0,1)</f>
        <v>5</v>
      </c>
      <c r="W279" cm="1">
        <f t="array" ref="W279">_xlfn.XLOOKUP(Matrix[[#This Row],[TEAM]]&amp;Matrix[[#Headers],[11]],FDR[FDR]&amp;FDR[[#Headers],[11]],FDR[11],"",0,1)</f>
        <v>5</v>
      </c>
      <c r="X279" cm="1">
        <f t="array" ref="X279">_xlfn.XLOOKUP(Matrix[[#This Row],[TEAM]]&amp;Matrix[[#Headers],[12]],FDR[FDR]&amp;FDR[[#Headers],[12]],FDR[12],"",0,1)</f>
        <v>5</v>
      </c>
      <c r="Y279" cm="1">
        <f t="array" ref="Y279">_xlfn.XLOOKUP(Matrix[[#This Row],[TEAM]]&amp;Matrix[[#Headers],[13]],FDR[FDR]&amp;FDR[[#Headers],[13]],FDR[13],"",0,1)</f>
        <v>5</v>
      </c>
      <c r="Z279" cm="1">
        <f t="array" ref="Z279">_xlfn.XLOOKUP(Matrix[[#This Row],[TEAM]]&amp;Matrix[[#Headers],[14]],FDR[FDR]&amp;FDR[[#Headers],[14]],FDR[14],"",0,1)</f>
        <v>5</v>
      </c>
      <c r="AA279" cm="1">
        <f t="array" ref="AA279">_xlfn.XLOOKUP(Matrix[[#This Row],[TEAM]]&amp;Matrix[[#Headers],[15]],FDR[FDR]&amp;FDR[[#Headers],[15]],FDR[15],"",0,1)</f>
        <v>5</v>
      </c>
      <c r="AB279" cm="1">
        <f t="array" ref="AB279">_xlfn.XLOOKUP(Matrix[[#This Row],[TEAM]]&amp;Matrix[[#Headers],[16]],FDR[FDR]&amp;FDR[[#Headers],[16]],FDR[16],"",0,1)</f>
        <v>5</v>
      </c>
      <c r="AC279" cm="1">
        <f t="array" ref="AC279">_xlfn.XLOOKUP(Matrix[[#This Row],[TEAM]]&amp;Matrix[[#Headers],[17]],FDR[FDR]&amp;FDR[[#Headers],[17]],FDR[17],"",0,1)</f>
        <v>4</v>
      </c>
      <c r="AD279" cm="1">
        <f t="array" ref="AD279">_xlfn.XLOOKUP(Matrix[[#This Row],[TEAM]]&amp;Matrix[[#Headers],[18]],FDR[FDR]&amp;FDR[[#Headers],[18]],FDR[18],"",0,1)</f>
        <v>4</v>
      </c>
      <c r="AE279" cm="1">
        <f t="array" ref="AE279">_xlfn.XLOOKUP(Matrix[[#This Row],[TEAM]]&amp;Matrix[[#Headers],[19]],FDR[FDR]&amp;FDR[[#Headers],[19]],FDR[19],"",0,1)</f>
        <v>5</v>
      </c>
      <c r="AF279" cm="1">
        <f t="array" ref="AF279">_xlfn.XLOOKUP(Matrix[[#This Row],[TEAM]]&amp;Matrix[[#Headers],[20]],FDR[FDR]&amp;FDR[[#Headers],[20]],FDR[20],"",0,1)</f>
        <v>5</v>
      </c>
      <c r="AG279" cm="1">
        <f t="array" ref="AG279">_xlfn.XLOOKUP(Matrix[[#This Row],[TEAM]]&amp;Matrix[[#Headers],[21]],FDR[FDR]&amp;FDR[[#Headers],[21]],FDR[21],"",0,1)</f>
        <v>5</v>
      </c>
      <c r="AH279" cm="1">
        <f t="array" ref="AH279">_xlfn.XLOOKUP(Matrix[[#This Row],[TEAM]]&amp;Matrix[[#Headers],[22]],FDR[FDR]&amp;FDR[[#Headers],[22]],FDR[22],"",0,1)</f>
        <v>5</v>
      </c>
      <c r="AI279" cm="1">
        <f t="array" ref="AI279">_xlfn.XLOOKUP(Matrix[[#This Row],[TEAM]]&amp;Matrix[[#Headers],[23]],FDR[FDR]&amp;FDR[[#Headers],[23]],FDR[23],"",0,1)</f>
        <v>5</v>
      </c>
      <c r="AJ279" cm="1">
        <f t="array" ref="AJ279">_xlfn.XLOOKUP(Matrix[[#This Row],[TEAM]]&amp;Matrix[[#Headers],[24]],FDR[FDR]&amp;FDR[[#Headers],[24]],FDR[24],"",0,1)</f>
        <v>5</v>
      </c>
      <c r="AK279" cm="1">
        <f t="array" ref="AK279">_xlfn.XLOOKUP(Matrix[[#This Row],[TEAM]]&amp;Matrix[[#Headers],[25]],FDR[FDR]&amp;FDR[[#Headers],[25]],FDR[25],"",0,1)</f>
        <v>5</v>
      </c>
      <c r="AL279" cm="1">
        <f t="array" ref="AL279">_xlfn.XLOOKUP(Matrix[[#This Row],[TEAM]]&amp;Matrix[[#Headers],[26]],FDR[FDR]&amp;FDR[[#Headers],[26]],FDR[26],"",0,1)</f>
        <v>5</v>
      </c>
      <c r="AM279" cm="1">
        <f t="array" ref="AM279">_xlfn.XLOOKUP(Matrix[[#This Row],[TEAM]]&amp;Matrix[[#Headers],[27]],FDR[FDR]&amp;FDR[[#Headers],[27]],FDR[27],"",0,1)</f>
        <v>5</v>
      </c>
      <c r="AN279" cm="1">
        <f t="array" ref="AN279">_xlfn.XLOOKUP(Matrix[[#This Row],[TEAM]]&amp;Matrix[[#Headers],[28]],FDR[FDR]&amp;FDR[[#Headers],[28]],FDR[28],"",0,1)</f>
        <v>5</v>
      </c>
      <c r="AO279" cm="1">
        <f t="array" ref="AO279">_xlfn.XLOOKUP(Matrix[[#This Row],[TEAM]]&amp;Matrix[[#Headers],[29]],FDR[FDR]&amp;FDR[[#Headers],[29]],FDR[29],"",0,1)</f>
        <v>3</v>
      </c>
      <c r="AP279" cm="1">
        <f t="array" ref="AP279">_xlfn.XLOOKUP(Matrix[[#This Row],[TEAM]]&amp;Matrix[[#Headers],[30]],FDR[FDR]&amp;FDR[[#Headers],[30]],FDR[30],"",0,1)</f>
        <v>5</v>
      </c>
      <c r="AQ279" cm="1">
        <f t="array" ref="AQ279">_xlfn.XLOOKUP(Matrix[[#This Row],[TEAM]]&amp;Matrix[[#Headers],[31]],FDR[FDR]&amp;FDR[[#Headers],[31]],FDR[31],"",0,1)</f>
        <v>4</v>
      </c>
      <c r="AR279" cm="1">
        <f t="array" ref="AR279">_xlfn.XLOOKUP(Matrix[[#This Row],[TEAM]]&amp;Matrix[[#Headers],[32]],FDR[FDR]&amp;FDR[[#Headers],[32]],FDR[32],"",0,1)</f>
        <v>5</v>
      </c>
      <c r="AS279" cm="1">
        <f t="array" ref="AS279">_xlfn.XLOOKUP(Matrix[[#This Row],[TEAM]]&amp;Matrix[[#Headers],[33]],FDR[FDR]&amp;FDR[[#Headers],[33]],FDR[33],"",0,1)</f>
        <v>3</v>
      </c>
      <c r="AT279" cm="1">
        <f t="array" ref="AT279">_xlfn.XLOOKUP(Matrix[[#This Row],[TEAM]]&amp;Matrix[[#Headers],[34]],FDR[FDR]&amp;FDR[[#Headers],[34]],FDR[34],"",0,1)</f>
        <v>5</v>
      </c>
      <c r="AU279" cm="1">
        <f t="array" ref="AU279">_xlfn.XLOOKUP(Matrix[[#This Row],[TEAM]]&amp;Matrix[[#Headers],[35]],FDR[FDR]&amp;FDR[[#Headers],[35]],FDR[35],"",0,1)</f>
        <v>3</v>
      </c>
      <c r="AV279" cm="1">
        <f t="array" ref="AV279">_xlfn.XLOOKUP(Matrix[[#This Row],[TEAM]]&amp;Matrix[[#Headers],[36]],FDR[FDR]&amp;FDR[[#Headers],[36]],FDR[36],"",0,1)</f>
        <v>5</v>
      </c>
      <c r="AW279" cm="1">
        <f t="array" ref="AW279">_xlfn.XLOOKUP(Matrix[[#This Row],[TEAM]]&amp;Matrix[[#Headers],[37]],FDR[FDR]&amp;FDR[[#Headers],[37]],FDR[37],"",0,1)</f>
        <v>5</v>
      </c>
      <c r="AX279" cm="1">
        <f t="array" ref="AX279">_xlfn.XLOOKUP(Matrix[[#This Row],[TEAM]]&amp;Matrix[[#Headers],[38]],FDR[FDR]&amp;FDR[[#Headers],[38]],FDR[38],"",0,1)</f>
        <v>5</v>
      </c>
    </row>
    <row r="280" spans="1:50" ht="22" thickTop="1" thickBot="1">
      <c r="A280" s="52" t="s">
        <v>658</v>
      </c>
      <c r="B280" s="70" t="s">
        <v>1642</v>
      </c>
      <c r="C280" s="40" t="s">
        <v>20</v>
      </c>
      <c r="D280" s="68">
        <v>106</v>
      </c>
      <c r="E280" s="60">
        <v>0.01</v>
      </c>
      <c r="F280" s="67">
        <v>75.8</v>
      </c>
      <c r="G280" s="63">
        <v>4.5</v>
      </c>
      <c r="H280" s="261">
        <f>IF(ISBLANK(I280),0,1)</f>
        <v>0</v>
      </c>
      <c r="I280" s="57"/>
      <c r="J280" s="58"/>
      <c r="K280" s="66" t="s">
        <v>404</v>
      </c>
      <c r="L280" s="66" t="s">
        <v>77</v>
      </c>
      <c r="M280" cm="1">
        <f t="array" ref="M280">_xlfn.XLOOKUP(Matrix[[#This Row],[TEAM]]&amp;Matrix[[#Headers],[1]],FDR[FDR]&amp;FDR[[#Headers],[1]],FDR[1],"",0,1)</f>
        <v>3</v>
      </c>
      <c r="N280" cm="1">
        <f t="array" ref="N280">_xlfn.XLOOKUP(Matrix[[#This Row],[TEAM]]&amp;Matrix[[#Headers],[2]],FDR[FDR]&amp;FDR[[#Headers],[2]],FDR[2],"",0,1)</f>
        <v>1</v>
      </c>
      <c r="O280" cm="1">
        <f t="array" ref="O280">_xlfn.XLOOKUP(Matrix[[#This Row],[TEAM]]&amp;Matrix[[#Headers],[3]],FDR[FDR]&amp;FDR[[#Headers],[3]],FDR[3],"",0,1)</f>
        <v>4</v>
      </c>
      <c r="P280" cm="1">
        <f t="array" ref="P280">_xlfn.XLOOKUP(Matrix[[#This Row],[TEAM]]&amp;Matrix[[#Headers],[4]],FDR[FDR]&amp;FDR[[#Headers],[4]],FDR[4],"",0,1)</f>
        <v>1</v>
      </c>
      <c r="Q280" cm="1">
        <f t="array" ref="Q280">_xlfn.XLOOKUP(Matrix[[#This Row],[TEAM]]&amp;Matrix[[#Headers],[5]],FDR[FDR]&amp;FDR[[#Headers],[5]],FDR[5],"",0,1)</f>
        <v>3</v>
      </c>
      <c r="R280" cm="1">
        <f t="array" ref="R280">_xlfn.XLOOKUP(Matrix[[#This Row],[TEAM]]&amp;Matrix[[#Headers],[6]],FDR[FDR]&amp;FDR[[#Headers],[6]],FDR[6],"",0,1)</f>
        <v>3</v>
      </c>
      <c r="S280" cm="1">
        <f t="array" ref="S280">_xlfn.XLOOKUP(Matrix[[#This Row],[TEAM]]&amp;Matrix[[#Headers],[7]],FDR[FDR]&amp;FDR[[#Headers],[7]],FDR[7],"",0,1)</f>
        <v>1</v>
      </c>
      <c r="T280" cm="1">
        <f t="array" ref="T280">_xlfn.XLOOKUP(Matrix[[#This Row],[TEAM]]&amp;Matrix[[#Headers],[8]],FDR[FDR]&amp;FDR[[#Headers],[8]],FDR[8],"",0,1)</f>
        <v>2</v>
      </c>
      <c r="U280" cm="1">
        <f t="array" ref="U280">_xlfn.XLOOKUP(Matrix[[#This Row],[TEAM]]&amp;Matrix[[#Headers],[9]],FDR[FDR]&amp;FDR[[#Headers],[9]],FDR[9],"",0,1)</f>
        <v>1</v>
      </c>
      <c r="V280" cm="1">
        <f t="array" ref="V280">_xlfn.XLOOKUP(Matrix[[#This Row],[TEAM]]&amp;Matrix[[#Headers],[10]],FDR[FDR]&amp;FDR[[#Headers],[10]],FDR[10],"",0,1)</f>
        <v>1</v>
      </c>
      <c r="W280" cm="1">
        <f t="array" ref="W280">_xlfn.XLOOKUP(Matrix[[#This Row],[TEAM]]&amp;Matrix[[#Headers],[11]],FDR[FDR]&amp;FDR[[#Headers],[11]],FDR[11],"",0,1)</f>
        <v>1</v>
      </c>
      <c r="X280" cm="1">
        <f t="array" ref="X280">_xlfn.XLOOKUP(Matrix[[#This Row],[TEAM]]&amp;Matrix[[#Headers],[12]],FDR[FDR]&amp;FDR[[#Headers],[12]],FDR[12],"",0,1)</f>
        <v>2</v>
      </c>
      <c r="Y280" cm="1">
        <f t="array" ref="Y280">_xlfn.XLOOKUP(Matrix[[#This Row],[TEAM]]&amp;Matrix[[#Headers],[13]],FDR[FDR]&amp;FDR[[#Headers],[13]],FDR[13],"",0,1)</f>
        <v>3</v>
      </c>
      <c r="Z280" cm="1">
        <f t="array" ref="Z280">_xlfn.XLOOKUP(Matrix[[#This Row],[TEAM]]&amp;Matrix[[#Headers],[14]],FDR[FDR]&amp;FDR[[#Headers],[14]],FDR[14],"",0,1)</f>
        <v>1</v>
      </c>
      <c r="AA280" cm="1">
        <f t="array" ref="AA280">_xlfn.XLOOKUP(Matrix[[#This Row],[TEAM]]&amp;Matrix[[#Headers],[15]],FDR[FDR]&amp;FDR[[#Headers],[15]],FDR[15],"",0,1)</f>
        <v>3</v>
      </c>
      <c r="AB280" cm="1">
        <f t="array" ref="AB280">_xlfn.XLOOKUP(Matrix[[#This Row],[TEAM]]&amp;Matrix[[#Headers],[16]],FDR[FDR]&amp;FDR[[#Headers],[16]],FDR[16],"",0,1)</f>
        <v>1</v>
      </c>
      <c r="AC280" cm="1">
        <f t="array" ref="AC280">_xlfn.XLOOKUP(Matrix[[#This Row],[TEAM]]&amp;Matrix[[#Headers],[17]],FDR[FDR]&amp;FDR[[#Headers],[17]],FDR[17],"",0,1)</f>
        <v>2</v>
      </c>
      <c r="AD280" cm="1">
        <f t="array" ref="AD280">_xlfn.XLOOKUP(Matrix[[#This Row],[TEAM]]&amp;Matrix[[#Headers],[18]],FDR[FDR]&amp;FDR[[#Headers],[18]],FDR[18],"",0,1)</f>
        <v>1</v>
      </c>
      <c r="AE280" cm="1">
        <f t="array" ref="AE280">_xlfn.XLOOKUP(Matrix[[#This Row],[TEAM]]&amp;Matrix[[#Headers],[19]],FDR[FDR]&amp;FDR[[#Headers],[19]],FDR[19],"",0,1)</f>
        <v>2</v>
      </c>
      <c r="AF280" cm="1">
        <f t="array" ref="AF280">_xlfn.XLOOKUP(Matrix[[#This Row],[TEAM]]&amp;Matrix[[#Headers],[20]],FDR[FDR]&amp;FDR[[#Headers],[20]],FDR[20],"",0,1)</f>
        <v>2</v>
      </c>
      <c r="AG280" cm="1">
        <f t="array" ref="AG280">_xlfn.XLOOKUP(Matrix[[#This Row],[TEAM]]&amp;Matrix[[#Headers],[21]],FDR[FDR]&amp;FDR[[#Headers],[21]],FDR[21],"",0,1)</f>
        <v>3</v>
      </c>
      <c r="AH280" cm="1">
        <f t="array" ref="AH280">_xlfn.XLOOKUP(Matrix[[#This Row],[TEAM]]&amp;Matrix[[#Headers],[22]],FDR[FDR]&amp;FDR[[#Headers],[22]],FDR[22],"",0,1)</f>
        <v>2</v>
      </c>
      <c r="AI280" cm="1">
        <f t="array" ref="AI280">_xlfn.XLOOKUP(Matrix[[#This Row],[TEAM]]&amp;Matrix[[#Headers],[23]],FDR[FDR]&amp;FDR[[#Headers],[23]],FDR[23],"",0,1)</f>
        <v>2</v>
      </c>
      <c r="AJ280" cm="1">
        <f t="array" ref="AJ280">_xlfn.XLOOKUP(Matrix[[#This Row],[TEAM]]&amp;Matrix[[#Headers],[24]],FDR[FDR]&amp;FDR[[#Headers],[24]],FDR[24],"",0,1)</f>
        <v>1</v>
      </c>
      <c r="AK280" cm="1">
        <f t="array" ref="AK280">_xlfn.XLOOKUP(Matrix[[#This Row],[TEAM]]&amp;Matrix[[#Headers],[25]],FDR[FDR]&amp;FDR[[#Headers],[25]],FDR[25],"",0,1)</f>
        <v>1</v>
      </c>
      <c r="AL280" cm="1">
        <f t="array" ref="AL280">_xlfn.XLOOKUP(Matrix[[#This Row],[TEAM]]&amp;Matrix[[#Headers],[26]],FDR[FDR]&amp;FDR[[#Headers],[26]],FDR[26],"",0,1)</f>
        <v>2</v>
      </c>
      <c r="AM280" cm="1">
        <f t="array" ref="AM280">_xlfn.XLOOKUP(Matrix[[#This Row],[TEAM]]&amp;Matrix[[#Headers],[27]],FDR[FDR]&amp;FDR[[#Headers],[27]],FDR[27],"",0,1)</f>
        <v>3</v>
      </c>
      <c r="AN280" cm="1">
        <f t="array" ref="AN280">_xlfn.XLOOKUP(Matrix[[#This Row],[TEAM]]&amp;Matrix[[#Headers],[28]],FDR[FDR]&amp;FDR[[#Headers],[28]],FDR[28],"",0,1)</f>
        <v>2</v>
      </c>
      <c r="AO280" cm="1">
        <f t="array" ref="AO280">_xlfn.XLOOKUP(Matrix[[#This Row],[TEAM]]&amp;Matrix[[#Headers],[29]],FDR[FDR]&amp;FDR[[#Headers],[29]],FDR[29],"",0,1)</f>
        <v>2</v>
      </c>
      <c r="AP280" cm="1">
        <f t="array" ref="AP280">_xlfn.XLOOKUP(Matrix[[#This Row],[TEAM]]&amp;Matrix[[#Headers],[30]],FDR[FDR]&amp;FDR[[#Headers],[30]],FDR[30],"",0,1)</f>
        <v>1</v>
      </c>
      <c r="AQ280" cm="1">
        <f t="array" ref="AQ280">_xlfn.XLOOKUP(Matrix[[#This Row],[TEAM]]&amp;Matrix[[#Headers],[31]],FDR[FDR]&amp;FDR[[#Headers],[31]],FDR[31],"",0,1)</f>
        <v>1</v>
      </c>
      <c r="AR280" cm="1">
        <f t="array" ref="AR280">_xlfn.XLOOKUP(Matrix[[#This Row],[TEAM]]&amp;Matrix[[#Headers],[32]],FDR[FDR]&amp;FDR[[#Headers],[32]],FDR[32],"",0,1)</f>
        <v>1</v>
      </c>
      <c r="AS280" cm="1">
        <f t="array" ref="AS280">_xlfn.XLOOKUP(Matrix[[#This Row],[TEAM]]&amp;Matrix[[#Headers],[33]],FDR[FDR]&amp;FDR[[#Headers],[33]],FDR[33],"",0,1)</f>
        <v>3</v>
      </c>
      <c r="AT280" cm="1">
        <f t="array" ref="AT280">_xlfn.XLOOKUP(Matrix[[#This Row],[TEAM]]&amp;Matrix[[#Headers],[34]],FDR[FDR]&amp;FDR[[#Headers],[34]],FDR[34],"",0,1)</f>
        <v>2</v>
      </c>
      <c r="AU280" cm="1">
        <f t="array" ref="AU280">_xlfn.XLOOKUP(Matrix[[#This Row],[TEAM]]&amp;Matrix[[#Headers],[35]],FDR[FDR]&amp;FDR[[#Headers],[35]],FDR[35],"",0,1)</f>
        <v>1</v>
      </c>
      <c r="AV280" cm="1">
        <f t="array" ref="AV280">_xlfn.XLOOKUP(Matrix[[#This Row],[TEAM]]&amp;Matrix[[#Headers],[36]],FDR[FDR]&amp;FDR[[#Headers],[36]],FDR[36],"",0,1)</f>
        <v>2</v>
      </c>
      <c r="AW280" cm="1">
        <f t="array" ref="AW280">_xlfn.XLOOKUP(Matrix[[#This Row],[TEAM]]&amp;Matrix[[#Headers],[37]],FDR[FDR]&amp;FDR[[#Headers],[37]],FDR[37],"",0,1)</f>
        <v>1</v>
      </c>
      <c r="AX280" cm="1">
        <f t="array" ref="AX280">_xlfn.XLOOKUP(Matrix[[#This Row],[TEAM]]&amp;Matrix[[#Headers],[38]],FDR[FDR]&amp;FDR[[#Headers],[38]],FDR[38],"",0,1)</f>
        <v>2</v>
      </c>
    </row>
    <row r="281" spans="1:50" ht="22" thickTop="1" thickBot="1">
      <c r="A281" s="52" t="s">
        <v>658</v>
      </c>
      <c r="B281" s="70" t="s">
        <v>1618</v>
      </c>
      <c r="C281" s="40" t="s">
        <v>33</v>
      </c>
      <c r="D281" s="68">
        <v>103</v>
      </c>
      <c r="E281" s="60">
        <v>7.6999999999999999E-2</v>
      </c>
      <c r="F281" s="67">
        <v>85.8</v>
      </c>
      <c r="G281" s="63">
        <v>4.5</v>
      </c>
      <c r="H281" s="261">
        <f>IF(ISBLANK(I281),0,1)</f>
        <v>0</v>
      </c>
      <c r="I281" s="57"/>
      <c r="J281" s="58"/>
      <c r="K281" s="66" t="s">
        <v>582</v>
      </c>
      <c r="L281" s="66" t="s">
        <v>87</v>
      </c>
      <c r="M281" cm="1">
        <f t="array" ref="M281">_xlfn.XLOOKUP(Matrix[[#This Row],[TEAM]]&amp;Matrix[[#Headers],[1]],FDR[FDR]&amp;FDR[[#Headers],[1]],FDR[1],"",0,1)</f>
        <v>3</v>
      </c>
      <c r="N281" cm="1">
        <f t="array" ref="N281">_xlfn.XLOOKUP(Matrix[[#This Row],[TEAM]]&amp;Matrix[[#Headers],[2]],FDR[FDR]&amp;FDR[[#Headers],[2]],FDR[2],"",0,1)</f>
        <v>3</v>
      </c>
      <c r="O281" cm="1">
        <f t="array" ref="O281">_xlfn.XLOOKUP(Matrix[[#This Row],[TEAM]]&amp;Matrix[[#Headers],[3]],FDR[FDR]&amp;FDR[[#Headers],[3]],FDR[3],"",0,1)</f>
        <v>4</v>
      </c>
      <c r="P281" cm="1">
        <f t="array" ref="P281">_xlfn.XLOOKUP(Matrix[[#This Row],[TEAM]]&amp;Matrix[[#Headers],[4]],FDR[FDR]&amp;FDR[[#Headers],[4]],FDR[4],"",0,1)</f>
        <v>4</v>
      </c>
      <c r="Q281" cm="1">
        <f t="array" ref="Q281">_xlfn.XLOOKUP(Matrix[[#This Row],[TEAM]]&amp;Matrix[[#Headers],[5]],FDR[FDR]&amp;FDR[[#Headers],[5]],FDR[5],"",0,1)</f>
        <v>4</v>
      </c>
      <c r="R281" cm="1">
        <f t="array" ref="R281">_xlfn.XLOOKUP(Matrix[[#This Row],[TEAM]]&amp;Matrix[[#Headers],[6]],FDR[FDR]&amp;FDR[[#Headers],[6]],FDR[6],"",0,1)</f>
        <v>5</v>
      </c>
      <c r="S281" cm="1">
        <f t="array" ref="S281">_xlfn.XLOOKUP(Matrix[[#This Row],[TEAM]]&amp;Matrix[[#Headers],[7]],FDR[FDR]&amp;FDR[[#Headers],[7]],FDR[7],"",0,1)</f>
        <v>2</v>
      </c>
      <c r="T281" cm="1">
        <f t="array" ref="T281">_xlfn.XLOOKUP(Matrix[[#This Row],[TEAM]]&amp;Matrix[[#Headers],[8]],FDR[FDR]&amp;FDR[[#Headers],[8]],FDR[8],"",0,1)</f>
        <v>4</v>
      </c>
      <c r="U281" cm="1">
        <f t="array" ref="U281">_xlfn.XLOOKUP(Matrix[[#This Row],[TEAM]]&amp;Matrix[[#Headers],[9]],FDR[FDR]&amp;FDR[[#Headers],[9]],FDR[9],"",0,1)</f>
        <v>5</v>
      </c>
      <c r="V281" cm="1">
        <f t="array" ref="V281">_xlfn.XLOOKUP(Matrix[[#This Row],[TEAM]]&amp;Matrix[[#Headers],[10]],FDR[FDR]&amp;FDR[[#Headers],[10]],FDR[10],"",0,1)</f>
        <v>1</v>
      </c>
      <c r="W281" cm="1">
        <f t="array" ref="W281">_xlfn.XLOOKUP(Matrix[[#This Row],[TEAM]]&amp;Matrix[[#Headers],[11]],FDR[FDR]&amp;FDR[[#Headers],[11]],FDR[11],"",0,1)</f>
        <v>3</v>
      </c>
      <c r="X281" cm="1">
        <f t="array" ref="X281">_xlfn.XLOOKUP(Matrix[[#This Row],[TEAM]]&amp;Matrix[[#Headers],[12]],FDR[FDR]&amp;FDR[[#Headers],[12]],FDR[12],"",0,1)</f>
        <v>2</v>
      </c>
      <c r="Y281" cm="1">
        <f t="array" ref="Y281">_xlfn.XLOOKUP(Matrix[[#This Row],[TEAM]]&amp;Matrix[[#Headers],[13]],FDR[FDR]&amp;FDR[[#Headers],[13]],FDR[13],"",0,1)</f>
        <v>4</v>
      </c>
      <c r="Z281" cm="1">
        <f t="array" ref="Z281">_xlfn.XLOOKUP(Matrix[[#This Row],[TEAM]]&amp;Matrix[[#Headers],[14]],FDR[FDR]&amp;FDR[[#Headers],[14]],FDR[14],"",0,1)</f>
        <v>3</v>
      </c>
      <c r="AA281" cm="1">
        <f t="array" ref="AA281">_xlfn.XLOOKUP(Matrix[[#This Row],[TEAM]]&amp;Matrix[[#Headers],[15]],FDR[FDR]&amp;FDR[[#Headers],[15]],FDR[15],"",0,1)</f>
        <v>2</v>
      </c>
      <c r="AB281" cm="1">
        <f t="array" ref="AB281">_xlfn.XLOOKUP(Matrix[[#This Row],[TEAM]]&amp;Matrix[[#Headers],[16]],FDR[FDR]&amp;FDR[[#Headers],[16]],FDR[16],"",0,1)</f>
        <v>5</v>
      </c>
      <c r="AC281" cm="1">
        <f t="array" ref="AC281">_xlfn.XLOOKUP(Matrix[[#This Row],[TEAM]]&amp;Matrix[[#Headers],[17]],FDR[FDR]&amp;FDR[[#Headers],[17]],FDR[17],"",0,1)</f>
        <v>1</v>
      </c>
      <c r="AD281" cm="1">
        <f t="array" ref="AD281">_xlfn.XLOOKUP(Matrix[[#This Row],[TEAM]]&amp;Matrix[[#Headers],[18]],FDR[FDR]&amp;FDR[[#Headers],[18]],FDR[18],"",0,1)</f>
        <v>5</v>
      </c>
      <c r="AE281" cm="1">
        <f t="array" ref="AE281">_xlfn.XLOOKUP(Matrix[[#This Row],[TEAM]]&amp;Matrix[[#Headers],[19]],FDR[FDR]&amp;FDR[[#Headers],[19]],FDR[19],"",0,1)</f>
        <v>3</v>
      </c>
      <c r="AF281" cm="1">
        <f t="array" ref="AF281">_xlfn.XLOOKUP(Matrix[[#This Row],[TEAM]]&amp;Matrix[[#Headers],[20]],FDR[FDR]&amp;FDR[[#Headers],[20]],FDR[20],"",0,1)</f>
        <v>1</v>
      </c>
      <c r="AG281" cm="1">
        <f t="array" ref="AG281">_xlfn.XLOOKUP(Matrix[[#This Row],[TEAM]]&amp;Matrix[[#Headers],[21]],FDR[FDR]&amp;FDR[[#Headers],[21]],FDR[21],"",0,1)</f>
        <v>5</v>
      </c>
      <c r="AH281" cm="1">
        <f t="array" ref="AH281">_xlfn.XLOOKUP(Matrix[[#This Row],[TEAM]]&amp;Matrix[[#Headers],[22]],FDR[FDR]&amp;FDR[[#Headers],[22]],FDR[22],"",0,1)</f>
        <v>3</v>
      </c>
      <c r="AI281" cm="1">
        <f t="array" ref="AI281">_xlfn.XLOOKUP(Matrix[[#This Row],[TEAM]]&amp;Matrix[[#Headers],[23]],FDR[FDR]&amp;FDR[[#Headers],[23]],FDR[23],"",0,1)</f>
        <v>4</v>
      </c>
      <c r="AJ281" cm="1">
        <f t="array" ref="AJ281">_xlfn.XLOOKUP(Matrix[[#This Row],[TEAM]]&amp;Matrix[[#Headers],[24]],FDR[FDR]&amp;FDR[[#Headers],[24]],FDR[24],"",0,1)</f>
        <v>2</v>
      </c>
      <c r="AK281" cm="1">
        <f t="array" ref="AK281">_xlfn.XLOOKUP(Matrix[[#This Row],[TEAM]]&amp;Matrix[[#Headers],[25]],FDR[FDR]&amp;FDR[[#Headers],[25]],FDR[25],"",0,1)</f>
        <v>2</v>
      </c>
      <c r="AL281" cm="1">
        <f t="array" ref="AL281">_xlfn.XLOOKUP(Matrix[[#This Row],[TEAM]]&amp;Matrix[[#Headers],[26]],FDR[FDR]&amp;FDR[[#Headers],[26]],FDR[26],"",0,1)</f>
        <v>5</v>
      </c>
      <c r="AM281" cm="1">
        <f t="array" ref="AM281">_xlfn.XLOOKUP(Matrix[[#This Row],[TEAM]]&amp;Matrix[[#Headers],[27]],FDR[FDR]&amp;FDR[[#Headers],[27]],FDR[27],"",0,1)</f>
        <v>3</v>
      </c>
      <c r="AN281" cm="1">
        <f t="array" ref="AN281">_xlfn.XLOOKUP(Matrix[[#This Row],[TEAM]]&amp;Matrix[[#Headers],[28]],FDR[FDR]&amp;FDR[[#Headers],[28]],FDR[28],"",0,1)</f>
        <v>3</v>
      </c>
      <c r="AO281" cm="1">
        <f t="array" ref="AO281">_xlfn.XLOOKUP(Matrix[[#This Row],[TEAM]]&amp;Matrix[[#Headers],[29]],FDR[FDR]&amp;FDR[[#Headers],[29]],FDR[29],"",0,1)</f>
        <v>4</v>
      </c>
      <c r="AP281" cm="1">
        <f t="array" ref="AP281">_xlfn.XLOOKUP(Matrix[[#This Row],[TEAM]]&amp;Matrix[[#Headers],[30]],FDR[FDR]&amp;FDR[[#Headers],[30]],FDR[30],"",0,1)</f>
        <v>2</v>
      </c>
      <c r="AQ281" cm="1">
        <f t="array" ref="AQ281">_xlfn.XLOOKUP(Matrix[[#This Row],[TEAM]]&amp;Matrix[[#Headers],[31]],FDR[FDR]&amp;FDR[[#Headers],[31]],FDR[31],"",0,1)</f>
        <v>4</v>
      </c>
      <c r="AR281" cm="1">
        <f t="array" ref="AR281">_xlfn.XLOOKUP(Matrix[[#This Row],[TEAM]]&amp;Matrix[[#Headers],[32]],FDR[FDR]&amp;FDR[[#Headers],[32]],FDR[32],"",0,1)</f>
        <v>2</v>
      </c>
      <c r="AS281" cm="1">
        <f t="array" ref="AS281">_xlfn.XLOOKUP(Matrix[[#This Row],[TEAM]]&amp;Matrix[[#Headers],[33]],FDR[FDR]&amp;FDR[[#Headers],[33]],FDR[33],"",0,1)</f>
        <v>5</v>
      </c>
      <c r="AT281" cm="1">
        <f t="array" ref="AT281">_xlfn.XLOOKUP(Matrix[[#This Row],[TEAM]]&amp;Matrix[[#Headers],[34]],FDR[FDR]&amp;FDR[[#Headers],[34]],FDR[34],"",0,1)</f>
        <v>4</v>
      </c>
      <c r="AU281" cm="1">
        <f t="array" ref="AU281">_xlfn.XLOOKUP(Matrix[[#This Row],[TEAM]]&amp;Matrix[[#Headers],[35]],FDR[FDR]&amp;FDR[[#Headers],[35]],FDR[35],"",0,1)</f>
        <v>5</v>
      </c>
      <c r="AV281" cm="1">
        <f t="array" ref="AV281">_xlfn.XLOOKUP(Matrix[[#This Row],[TEAM]]&amp;Matrix[[#Headers],[36]],FDR[FDR]&amp;FDR[[#Headers],[36]],FDR[36],"",0,1)</f>
        <v>1</v>
      </c>
      <c r="AW281" cm="1">
        <f t="array" ref="AW281">_xlfn.XLOOKUP(Matrix[[#This Row],[TEAM]]&amp;Matrix[[#Headers],[37]],FDR[FDR]&amp;FDR[[#Headers],[37]],FDR[37],"",0,1)</f>
        <v>2</v>
      </c>
      <c r="AX281" cm="1">
        <f t="array" ref="AX281">_xlfn.XLOOKUP(Matrix[[#This Row],[TEAM]]&amp;Matrix[[#Headers],[38]],FDR[FDR]&amp;FDR[[#Headers],[38]],FDR[38],"",0,1)</f>
        <v>4</v>
      </c>
    </row>
    <row r="282" spans="1:50" ht="22" thickTop="1" thickBot="1">
      <c r="A282" s="52" t="s">
        <v>658</v>
      </c>
      <c r="B282" s="70" t="s">
        <v>1630</v>
      </c>
      <c r="C282" s="40" t="s">
        <v>51</v>
      </c>
      <c r="D282" s="68">
        <v>93</v>
      </c>
      <c r="E282" s="60">
        <v>2.3E-2</v>
      </c>
      <c r="F282" s="67">
        <v>63.4</v>
      </c>
      <c r="G282" s="63">
        <v>4.5</v>
      </c>
      <c r="H282" s="261">
        <f>IF(ISBLANK(I282),0,1)</f>
        <v>0</v>
      </c>
      <c r="I282" s="57"/>
      <c r="J282" s="58"/>
      <c r="K282" s="66" t="s">
        <v>928</v>
      </c>
      <c r="L282" s="66" t="s">
        <v>927</v>
      </c>
      <c r="M282" cm="1">
        <f t="array" ref="M282">_xlfn.XLOOKUP(Matrix[[#This Row],[TEAM]]&amp;Matrix[[#Headers],[1]],FDR[FDR]&amp;FDR[[#Headers],[1]],FDR[1],"",0,1)</f>
        <v>5</v>
      </c>
      <c r="N282" cm="1">
        <f t="array" ref="N282">_xlfn.XLOOKUP(Matrix[[#This Row],[TEAM]]&amp;Matrix[[#Headers],[2]],FDR[FDR]&amp;FDR[[#Headers],[2]],FDR[2],"",0,1)</f>
        <v>5</v>
      </c>
      <c r="O282" cm="1">
        <f t="array" ref="O282">_xlfn.XLOOKUP(Matrix[[#This Row],[TEAM]]&amp;Matrix[[#Headers],[3]],FDR[FDR]&amp;FDR[[#Headers],[3]],FDR[3],"",0,1)</f>
        <v>4</v>
      </c>
      <c r="P282" cm="1">
        <f t="array" ref="P282">_xlfn.XLOOKUP(Matrix[[#This Row],[TEAM]]&amp;Matrix[[#Headers],[4]],FDR[FDR]&amp;FDR[[#Headers],[4]],FDR[4],"",0,1)</f>
        <v>5</v>
      </c>
      <c r="Q282" cm="1">
        <f t="array" ref="Q282">_xlfn.XLOOKUP(Matrix[[#This Row],[TEAM]]&amp;Matrix[[#Headers],[5]],FDR[FDR]&amp;FDR[[#Headers],[5]],FDR[5],"",0,1)</f>
        <v>2</v>
      </c>
      <c r="R282" cm="1">
        <f t="array" ref="R282">_xlfn.XLOOKUP(Matrix[[#This Row],[TEAM]]&amp;Matrix[[#Headers],[6]],FDR[FDR]&amp;FDR[[#Headers],[6]],FDR[6],"",0,1)</f>
        <v>5</v>
      </c>
      <c r="S282" cm="1">
        <f t="array" ref="S282">_xlfn.XLOOKUP(Matrix[[#This Row],[TEAM]]&amp;Matrix[[#Headers],[7]],FDR[FDR]&amp;FDR[[#Headers],[7]],FDR[7],"",0,1)</f>
        <v>4</v>
      </c>
      <c r="T282" cm="1">
        <f t="array" ref="T282">_xlfn.XLOOKUP(Matrix[[#This Row],[TEAM]]&amp;Matrix[[#Headers],[8]],FDR[FDR]&amp;FDR[[#Headers],[8]],FDR[8],"",0,1)</f>
        <v>3</v>
      </c>
      <c r="U282" cm="1">
        <f t="array" ref="U282">_xlfn.XLOOKUP(Matrix[[#This Row],[TEAM]]&amp;Matrix[[#Headers],[9]],FDR[FDR]&amp;FDR[[#Headers],[9]],FDR[9],"",0,1)</f>
        <v>2</v>
      </c>
      <c r="V282" cm="1">
        <f t="array" ref="V282">_xlfn.XLOOKUP(Matrix[[#This Row],[TEAM]]&amp;Matrix[[#Headers],[10]],FDR[FDR]&amp;FDR[[#Headers],[10]],FDR[10],"",0,1)</f>
        <v>5</v>
      </c>
      <c r="W282" cm="1">
        <f t="array" ref="W282">_xlfn.XLOOKUP(Matrix[[#This Row],[TEAM]]&amp;Matrix[[#Headers],[11]],FDR[FDR]&amp;FDR[[#Headers],[11]],FDR[11],"",0,1)</f>
        <v>5</v>
      </c>
      <c r="X282" cm="1">
        <f t="array" ref="X282">_xlfn.XLOOKUP(Matrix[[#This Row],[TEAM]]&amp;Matrix[[#Headers],[12]],FDR[FDR]&amp;FDR[[#Headers],[12]],FDR[12],"",0,1)</f>
        <v>4</v>
      </c>
      <c r="Y282" cm="1">
        <f t="array" ref="Y282">_xlfn.XLOOKUP(Matrix[[#This Row],[TEAM]]&amp;Matrix[[#Headers],[13]],FDR[FDR]&amp;FDR[[#Headers],[13]],FDR[13],"",0,1)</f>
        <v>5</v>
      </c>
      <c r="Z282" cm="1">
        <f t="array" ref="Z282">_xlfn.XLOOKUP(Matrix[[#This Row],[TEAM]]&amp;Matrix[[#Headers],[14]],FDR[FDR]&amp;FDR[[#Headers],[14]],FDR[14],"",0,1)</f>
        <v>4</v>
      </c>
      <c r="AA282" cm="1">
        <f t="array" ref="AA282">_xlfn.XLOOKUP(Matrix[[#This Row],[TEAM]]&amp;Matrix[[#Headers],[15]],FDR[FDR]&amp;FDR[[#Headers],[15]],FDR[15],"",0,1)</f>
        <v>5</v>
      </c>
      <c r="AB282" cm="1">
        <f t="array" ref="AB282">_xlfn.XLOOKUP(Matrix[[#This Row],[TEAM]]&amp;Matrix[[#Headers],[16]],FDR[FDR]&amp;FDR[[#Headers],[16]],FDR[16],"",0,1)</f>
        <v>5</v>
      </c>
      <c r="AC282" cm="1">
        <f t="array" ref="AC282">_xlfn.XLOOKUP(Matrix[[#This Row],[TEAM]]&amp;Matrix[[#Headers],[17]],FDR[FDR]&amp;FDR[[#Headers],[17]],FDR[17],"",0,1)</f>
        <v>4</v>
      </c>
      <c r="AD282" cm="1">
        <f t="array" ref="AD282">_xlfn.XLOOKUP(Matrix[[#This Row],[TEAM]]&amp;Matrix[[#Headers],[18]],FDR[FDR]&amp;FDR[[#Headers],[18]],FDR[18],"",0,1)</f>
        <v>5</v>
      </c>
      <c r="AE282" cm="1">
        <f t="array" ref="AE282">_xlfn.XLOOKUP(Matrix[[#This Row],[TEAM]]&amp;Matrix[[#Headers],[19]],FDR[FDR]&amp;FDR[[#Headers],[19]],FDR[19],"",0,1)</f>
        <v>5</v>
      </c>
      <c r="AF282" cm="1">
        <f t="array" ref="AF282">_xlfn.XLOOKUP(Matrix[[#This Row],[TEAM]]&amp;Matrix[[#Headers],[20]],FDR[FDR]&amp;FDR[[#Headers],[20]],FDR[20],"",0,1)</f>
        <v>4</v>
      </c>
      <c r="AG282" cm="1">
        <f t="array" ref="AG282">_xlfn.XLOOKUP(Matrix[[#This Row],[TEAM]]&amp;Matrix[[#Headers],[21]],FDR[FDR]&amp;FDR[[#Headers],[21]],FDR[21],"",0,1)</f>
        <v>5</v>
      </c>
      <c r="AH282" cm="1">
        <f t="array" ref="AH282">_xlfn.XLOOKUP(Matrix[[#This Row],[TEAM]]&amp;Matrix[[#Headers],[22]],FDR[FDR]&amp;FDR[[#Headers],[22]],FDR[22],"",0,1)</f>
        <v>5</v>
      </c>
      <c r="AI282" cm="1">
        <f t="array" ref="AI282">_xlfn.XLOOKUP(Matrix[[#This Row],[TEAM]]&amp;Matrix[[#Headers],[23]],FDR[FDR]&amp;FDR[[#Headers],[23]],FDR[23],"",0,1)</f>
        <v>5</v>
      </c>
      <c r="AJ282" cm="1">
        <f t="array" ref="AJ282">_xlfn.XLOOKUP(Matrix[[#This Row],[TEAM]]&amp;Matrix[[#Headers],[24]],FDR[FDR]&amp;FDR[[#Headers],[24]],FDR[24],"",0,1)</f>
        <v>4</v>
      </c>
      <c r="AK282" cm="1">
        <f t="array" ref="AK282">_xlfn.XLOOKUP(Matrix[[#This Row],[TEAM]]&amp;Matrix[[#Headers],[25]],FDR[FDR]&amp;FDR[[#Headers],[25]],FDR[25],"",0,1)</f>
        <v>5</v>
      </c>
      <c r="AL282" cm="1">
        <f t="array" ref="AL282">_xlfn.XLOOKUP(Matrix[[#This Row],[TEAM]]&amp;Matrix[[#Headers],[26]],FDR[FDR]&amp;FDR[[#Headers],[26]],FDR[26],"",0,1)</f>
        <v>5</v>
      </c>
      <c r="AM282" cm="1">
        <f t="array" ref="AM282">_xlfn.XLOOKUP(Matrix[[#This Row],[TEAM]]&amp;Matrix[[#Headers],[27]],FDR[FDR]&amp;FDR[[#Headers],[27]],FDR[27],"",0,1)</f>
        <v>5</v>
      </c>
      <c r="AN282" cm="1">
        <f t="array" ref="AN282">_xlfn.XLOOKUP(Matrix[[#This Row],[TEAM]]&amp;Matrix[[#Headers],[28]],FDR[FDR]&amp;FDR[[#Headers],[28]],FDR[28],"",0,1)</f>
        <v>5</v>
      </c>
      <c r="AO282" cm="1">
        <f t="array" ref="AO282">_xlfn.XLOOKUP(Matrix[[#This Row],[TEAM]]&amp;Matrix[[#Headers],[29]],FDR[FDR]&amp;FDR[[#Headers],[29]],FDR[29],"",0,1)</f>
        <v>5</v>
      </c>
      <c r="AP282" cm="1">
        <f t="array" ref="AP282">_xlfn.XLOOKUP(Matrix[[#This Row],[TEAM]]&amp;Matrix[[#Headers],[30]],FDR[FDR]&amp;FDR[[#Headers],[30]],FDR[30],"",0,1)</f>
        <v>5</v>
      </c>
      <c r="AQ282" cm="1">
        <f t="array" ref="AQ282">_xlfn.XLOOKUP(Matrix[[#This Row],[TEAM]]&amp;Matrix[[#Headers],[31]],FDR[FDR]&amp;FDR[[#Headers],[31]],FDR[31],"",0,1)</f>
        <v>5</v>
      </c>
      <c r="AR282" cm="1">
        <f t="array" ref="AR282">_xlfn.XLOOKUP(Matrix[[#This Row],[TEAM]]&amp;Matrix[[#Headers],[32]],FDR[FDR]&amp;FDR[[#Headers],[32]],FDR[32],"",0,1)</f>
        <v>5</v>
      </c>
      <c r="AS282" cm="1">
        <f t="array" ref="AS282">_xlfn.XLOOKUP(Matrix[[#This Row],[TEAM]]&amp;Matrix[[#Headers],[33]],FDR[FDR]&amp;FDR[[#Headers],[33]],FDR[33],"",0,1)</f>
        <v>3</v>
      </c>
      <c r="AT282" cm="1">
        <f t="array" ref="AT282">_xlfn.XLOOKUP(Matrix[[#This Row],[TEAM]]&amp;Matrix[[#Headers],[34]],FDR[FDR]&amp;FDR[[#Headers],[34]],FDR[34],"",0,1)</f>
        <v>5</v>
      </c>
      <c r="AU282" cm="1">
        <f t="array" ref="AU282">_xlfn.XLOOKUP(Matrix[[#This Row],[TEAM]]&amp;Matrix[[#Headers],[35]],FDR[FDR]&amp;FDR[[#Headers],[35]],FDR[35],"",0,1)</f>
        <v>2</v>
      </c>
      <c r="AV282" cm="1">
        <f t="array" ref="AV282">_xlfn.XLOOKUP(Matrix[[#This Row],[TEAM]]&amp;Matrix[[#Headers],[36]],FDR[FDR]&amp;FDR[[#Headers],[36]],FDR[36],"",0,1)</f>
        <v>5</v>
      </c>
      <c r="AW282" cm="1">
        <f t="array" ref="AW282">_xlfn.XLOOKUP(Matrix[[#This Row],[TEAM]]&amp;Matrix[[#Headers],[37]],FDR[FDR]&amp;FDR[[#Headers],[37]],FDR[37],"",0,1)</f>
        <v>4</v>
      </c>
      <c r="AX282" cm="1">
        <f t="array" ref="AX282">_xlfn.XLOOKUP(Matrix[[#This Row],[TEAM]]&amp;Matrix[[#Headers],[38]],FDR[FDR]&amp;FDR[[#Headers],[38]],FDR[38],"",0,1)</f>
        <v>3</v>
      </c>
    </row>
    <row r="283" spans="1:50" ht="22" thickTop="1" thickBot="1">
      <c r="A283" s="52" t="s">
        <v>658</v>
      </c>
      <c r="B283" s="70" t="s">
        <v>1622</v>
      </c>
      <c r="C283" s="40" t="s">
        <v>27</v>
      </c>
      <c r="D283" s="68">
        <v>69</v>
      </c>
      <c r="E283" s="60">
        <v>5.2999999999999999E-2</v>
      </c>
      <c r="F283" s="67">
        <v>62.1</v>
      </c>
      <c r="G283" s="63">
        <v>4.5</v>
      </c>
      <c r="H283" s="261">
        <f>IF(ISBLANK(I283),0,1)</f>
        <v>0</v>
      </c>
      <c r="I283" s="57"/>
      <c r="J283" s="58"/>
      <c r="K283" s="66" t="s">
        <v>559</v>
      </c>
      <c r="L283" s="66" t="s">
        <v>92</v>
      </c>
      <c r="M283" cm="1">
        <f t="array" ref="M283">_xlfn.XLOOKUP(Matrix[[#This Row],[TEAM]]&amp;Matrix[[#Headers],[1]],FDR[FDR]&amp;FDR[[#Headers],[1]],FDR[1],"",0,1)</f>
        <v>2</v>
      </c>
      <c r="N283" cm="1">
        <f t="array" ref="N283">_xlfn.XLOOKUP(Matrix[[#This Row],[TEAM]]&amp;Matrix[[#Headers],[2]],FDR[FDR]&amp;FDR[[#Headers],[2]],FDR[2],"",0,1)</f>
        <v>4</v>
      </c>
      <c r="O283" cm="1">
        <f t="array" ref="O283">_xlfn.XLOOKUP(Matrix[[#This Row],[TEAM]]&amp;Matrix[[#Headers],[3]],FDR[FDR]&amp;FDR[[#Headers],[3]],FDR[3],"",0,1)</f>
        <v>4</v>
      </c>
      <c r="P283" cm="1">
        <f t="array" ref="P283">_xlfn.XLOOKUP(Matrix[[#This Row],[TEAM]]&amp;Matrix[[#Headers],[4]],FDR[FDR]&amp;FDR[[#Headers],[4]],FDR[4],"",0,1)</f>
        <v>4</v>
      </c>
      <c r="Q283" cm="1">
        <f t="array" ref="Q283">_xlfn.XLOOKUP(Matrix[[#This Row],[TEAM]]&amp;Matrix[[#Headers],[5]],FDR[FDR]&amp;FDR[[#Headers],[5]],FDR[5],"",0,1)</f>
        <v>3</v>
      </c>
      <c r="R283" cm="1">
        <f t="array" ref="R283">_xlfn.XLOOKUP(Matrix[[#This Row],[TEAM]]&amp;Matrix[[#Headers],[6]],FDR[FDR]&amp;FDR[[#Headers],[6]],FDR[6],"",0,1)</f>
        <v>4</v>
      </c>
      <c r="S283" cm="1">
        <f t="array" ref="S283">_xlfn.XLOOKUP(Matrix[[#This Row],[TEAM]]&amp;Matrix[[#Headers],[7]],FDR[FDR]&amp;FDR[[#Headers],[7]],FDR[7],"",0,1)</f>
        <v>5</v>
      </c>
      <c r="T283" cm="1">
        <f t="array" ref="T283">_xlfn.XLOOKUP(Matrix[[#This Row],[TEAM]]&amp;Matrix[[#Headers],[8]],FDR[FDR]&amp;FDR[[#Headers],[8]],FDR[8],"",0,1)</f>
        <v>3</v>
      </c>
      <c r="U283" cm="1">
        <f t="array" ref="U283">_xlfn.XLOOKUP(Matrix[[#This Row],[TEAM]]&amp;Matrix[[#Headers],[9]],FDR[FDR]&amp;FDR[[#Headers],[9]],FDR[9],"",0,1)</f>
        <v>2</v>
      </c>
      <c r="V283" cm="1">
        <f t="array" ref="V283">_xlfn.XLOOKUP(Matrix[[#This Row],[TEAM]]&amp;Matrix[[#Headers],[10]],FDR[FDR]&amp;FDR[[#Headers],[10]],FDR[10],"",0,1)</f>
        <v>4</v>
      </c>
      <c r="W283" cm="1">
        <f t="array" ref="W283">_xlfn.XLOOKUP(Matrix[[#This Row],[TEAM]]&amp;Matrix[[#Headers],[11]],FDR[FDR]&amp;FDR[[#Headers],[11]],FDR[11],"",0,1)</f>
        <v>1</v>
      </c>
      <c r="X283" cm="1">
        <f t="array" ref="X283">_xlfn.XLOOKUP(Matrix[[#This Row],[TEAM]]&amp;Matrix[[#Headers],[12]],FDR[FDR]&amp;FDR[[#Headers],[12]],FDR[12],"",0,1)</f>
        <v>4</v>
      </c>
      <c r="Y283" cm="1">
        <f t="array" ref="Y283">_xlfn.XLOOKUP(Matrix[[#This Row],[TEAM]]&amp;Matrix[[#Headers],[13]],FDR[FDR]&amp;FDR[[#Headers],[13]],FDR[13],"",0,1)</f>
        <v>4</v>
      </c>
      <c r="Z283" cm="1">
        <f t="array" ref="Z283">_xlfn.XLOOKUP(Matrix[[#This Row],[TEAM]]&amp;Matrix[[#Headers],[14]],FDR[FDR]&amp;FDR[[#Headers],[14]],FDR[14],"",0,1)</f>
        <v>5</v>
      </c>
      <c r="AA283" cm="1">
        <f t="array" ref="AA283">_xlfn.XLOOKUP(Matrix[[#This Row],[TEAM]]&amp;Matrix[[#Headers],[15]],FDR[FDR]&amp;FDR[[#Headers],[15]],FDR[15],"",0,1)</f>
        <v>4</v>
      </c>
      <c r="AB283" cm="1">
        <f t="array" ref="AB283">_xlfn.XLOOKUP(Matrix[[#This Row],[TEAM]]&amp;Matrix[[#Headers],[16]],FDR[FDR]&amp;FDR[[#Headers],[16]],FDR[16],"",0,1)</f>
        <v>4</v>
      </c>
      <c r="AC283" cm="1">
        <f t="array" ref="AC283">_xlfn.XLOOKUP(Matrix[[#This Row],[TEAM]]&amp;Matrix[[#Headers],[17]],FDR[FDR]&amp;FDR[[#Headers],[17]],FDR[17],"",0,1)</f>
        <v>5</v>
      </c>
      <c r="AD283" cm="1">
        <f t="array" ref="AD283">_xlfn.XLOOKUP(Matrix[[#This Row],[TEAM]]&amp;Matrix[[#Headers],[18]],FDR[FDR]&amp;FDR[[#Headers],[18]],FDR[18],"",0,1)</f>
        <v>3</v>
      </c>
      <c r="AE283" cm="1">
        <f t="array" ref="AE283">_xlfn.XLOOKUP(Matrix[[#This Row],[TEAM]]&amp;Matrix[[#Headers],[19]],FDR[FDR]&amp;FDR[[#Headers],[19]],FDR[19],"",0,1)</f>
        <v>3</v>
      </c>
      <c r="AF283" cm="1">
        <f t="array" ref="AF283">_xlfn.XLOOKUP(Matrix[[#This Row],[TEAM]]&amp;Matrix[[#Headers],[20]],FDR[FDR]&amp;FDR[[#Headers],[20]],FDR[20],"",0,1)</f>
        <v>2</v>
      </c>
      <c r="AG283" cm="1">
        <f t="array" ref="AG283">_xlfn.XLOOKUP(Matrix[[#This Row],[TEAM]]&amp;Matrix[[#Headers],[21]],FDR[FDR]&amp;FDR[[#Headers],[21]],FDR[21],"",0,1)</f>
        <v>3</v>
      </c>
      <c r="AH283" cm="1">
        <f t="array" ref="AH283">_xlfn.XLOOKUP(Matrix[[#This Row],[TEAM]]&amp;Matrix[[#Headers],[22]],FDR[FDR]&amp;FDR[[#Headers],[22]],FDR[22],"",0,1)</f>
        <v>5</v>
      </c>
      <c r="AI283" cm="1">
        <f t="array" ref="AI283">_xlfn.XLOOKUP(Matrix[[#This Row],[TEAM]]&amp;Matrix[[#Headers],[23]],FDR[FDR]&amp;FDR[[#Headers],[23]],FDR[23],"",0,1)</f>
        <v>1</v>
      </c>
      <c r="AJ283" cm="1">
        <f t="array" ref="AJ283">_xlfn.XLOOKUP(Matrix[[#This Row],[TEAM]]&amp;Matrix[[#Headers],[24]],FDR[FDR]&amp;FDR[[#Headers],[24]],FDR[24],"",0,1)</f>
        <v>5</v>
      </c>
      <c r="AK283" cm="1">
        <f t="array" ref="AK283">_xlfn.XLOOKUP(Matrix[[#This Row],[TEAM]]&amp;Matrix[[#Headers],[25]],FDR[FDR]&amp;FDR[[#Headers],[25]],FDR[25],"",0,1)</f>
        <v>2</v>
      </c>
      <c r="AL283" cm="1">
        <f t="array" ref="AL283">_xlfn.XLOOKUP(Matrix[[#This Row],[TEAM]]&amp;Matrix[[#Headers],[26]],FDR[FDR]&amp;FDR[[#Headers],[26]],FDR[26],"",0,1)</f>
        <v>4</v>
      </c>
      <c r="AM283" cm="1">
        <f t="array" ref="AM283">_xlfn.XLOOKUP(Matrix[[#This Row],[TEAM]]&amp;Matrix[[#Headers],[27]],FDR[FDR]&amp;FDR[[#Headers],[27]],FDR[27],"",0,1)</f>
        <v>3</v>
      </c>
      <c r="AN283" cm="1">
        <f t="array" ref="AN283">_xlfn.XLOOKUP(Matrix[[#This Row],[TEAM]]&amp;Matrix[[#Headers],[28]],FDR[FDR]&amp;FDR[[#Headers],[28]],FDR[28],"",0,1)</f>
        <v>5</v>
      </c>
      <c r="AO283" cm="1">
        <f t="array" ref="AO283">_xlfn.XLOOKUP(Matrix[[#This Row],[TEAM]]&amp;Matrix[[#Headers],[29]],FDR[FDR]&amp;FDR[[#Headers],[29]],FDR[29],"",0,1)</f>
        <v>4</v>
      </c>
      <c r="AP283" cm="1">
        <f t="array" ref="AP283">_xlfn.XLOOKUP(Matrix[[#This Row],[TEAM]]&amp;Matrix[[#Headers],[30]],FDR[FDR]&amp;FDR[[#Headers],[30]],FDR[30],"",0,1)</f>
        <v>4</v>
      </c>
      <c r="AQ283" cm="1">
        <f t="array" ref="AQ283">_xlfn.XLOOKUP(Matrix[[#This Row],[TEAM]]&amp;Matrix[[#Headers],[31]],FDR[FDR]&amp;FDR[[#Headers],[31]],FDR[31],"",0,1)</f>
        <v>5</v>
      </c>
      <c r="AR283" cm="1">
        <f t="array" ref="AR283">_xlfn.XLOOKUP(Matrix[[#This Row],[TEAM]]&amp;Matrix[[#Headers],[32]],FDR[FDR]&amp;FDR[[#Headers],[32]],FDR[32],"",0,1)</f>
        <v>2</v>
      </c>
      <c r="AS283" cm="1">
        <f t="array" ref="AS283">_xlfn.XLOOKUP(Matrix[[#This Row],[TEAM]]&amp;Matrix[[#Headers],[33]],FDR[FDR]&amp;FDR[[#Headers],[33]],FDR[33],"",0,1)</f>
        <v>4</v>
      </c>
      <c r="AT283" cm="1">
        <f t="array" ref="AT283">_xlfn.XLOOKUP(Matrix[[#This Row],[TEAM]]&amp;Matrix[[#Headers],[34]],FDR[FDR]&amp;FDR[[#Headers],[34]],FDR[34],"",0,1)</f>
        <v>3</v>
      </c>
      <c r="AU283" cm="1">
        <f t="array" ref="AU283">_xlfn.XLOOKUP(Matrix[[#This Row],[TEAM]]&amp;Matrix[[#Headers],[35]],FDR[FDR]&amp;FDR[[#Headers],[35]],FDR[35],"",0,1)</f>
        <v>4</v>
      </c>
      <c r="AV283" cm="1">
        <f t="array" ref="AV283">_xlfn.XLOOKUP(Matrix[[#This Row],[TEAM]]&amp;Matrix[[#Headers],[36]],FDR[FDR]&amp;FDR[[#Headers],[36]],FDR[36],"",0,1)</f>
        <v>4</v>
      </c>
      <c r="AW283" cm="1">
        <f t="array" ref="AW283">_xlfn.XLOOKUP(Matrix[[#This Row],[TEAM]]&amp;Matrix[[#Headers],[37]],FDR[FDR]&amp;FDR[[#Headers],[37]],FDR[37],"",0,1)</f>
        <v>5</v>
      </c>
      <c r="AX283" cm="1">
        <f t="array" ref="AX283">_xlfn.XLOOKUP(Matrix[[#This Row],[TEAM]]&amp;Matrix[[#Headers],[38]],FDR[FDR]&amp;FDR[[#Headers],[38]],FDR[38],"",0,1)</f>
        <v>1</v>
      </c>
    </row>
    <row r="284" spans="1:50" ht="22" thickTop="1" thickBot="1">
      <c r="A284" s="52" t="s">
        <v>658</v>
      </c>
      <c r="B284" s="70" t="s">
        <v>1703</v>
      </c>
      <c r="C284" s="40" t="s">
        <v>24</v>
      </c>
      <c r="D284" s="68">
        <v>19</v>
      </c>
      <c r="E284" s="60">
        <v>2E-3</v>
      </c>
      <c r="F284" s="67">
        <v>14.6</v>
      </c>
      <c r="G284" s="63">
        <v>4.5</v>
      </c>
      <c r="H284" s="261">
        <f>IF(ISBLANK(I284),0,1)</f>
        <v>0</v>
      </c>
      <c r="I284" s="57"/>
      <c r="J284" s="58"/>
      <c r="K284" s="66" t="s">
        <v>533</v>
      </c>
      <c r="L284" s="66" t="s">
        <v>90</v>
      </c>
      <c r="M284" cm="1">
        <f t="array" ref="M284">_xlfn.XLOOKUP(Matrix[[#This Row],[TEAM]]&amp;Matrix[[#Headers],[1]],FDR[FDR]&amp;FDR[[#Headers],[1]],FDR[1],"",0,1)</f>
        <v>2</v>
      </c>
      <c r="N284" cm="1">
        <f t="array" ref="N284">_xlfn.XLOOKUP(Matrix[[#This Row],[TEAM]]&amp;Matrix[[#Headers],[2]],FDR[FDR]&amp;FDR[[#Headers],[2]],FDR[2],"",0,1)</f>
        <v>3</v>
      </c>
      <c r="O284" cm="1">
        <f t="array" ref="O284">_xlfn.XLOOKUP(Matrix[[#This Row],[TEAM]]&amp;Matrix[[#Headers],[3]],FDR[FDR]&amp;FDR[[#Headers],[3]],FDR[3],"",0,1)</f>
        <v>2</v>
      </c>
      <c r="P284" cm="1">
        <f t="array" ref="P284">_xlfn.XLOOKUP(Matrix[[#This Row],[TEAM]]&amp;Matrix[[#Headers],[4]],FDR[FDR]&amp;FDR[[#Headers],[4]],FDR[4],"",0,1)</f>
        <v>4</v>
      </c>
      <c r="Q284" cm="1">
        <f t="array" ref="Q284">_xlfn.XLOOKUP(Matrix[[#This Row],[TEAM]]&amp;Matrix[[#Headers],[5]],FDR[FDR]&amp;FDR[[#Headers],[5]],FDR[5],"",0,1)</f>
        <v>5</v>
      </c>
      <c r="R284" cm="1">
        <f t="array" ref="R284">_xlfn.XLOOKUP(Matrix[[#This Row],[TEAM]]&amp;Matrix[[#Headers],[6]],FDR[FDR]&amp;FDR[[#Headers],[6]],FDR[6],"",0,1)</f>
        <v>3</v>
      </c>
      <c r="S284" cm="1">
        <f t="array" ref="S284">_xlfn.XLOOKUP(Matrix[[#This Row],[TEAM]]&amp;Matrix[[#Headers],[7]],FDR[FDR]&amp;FDR[[#Headers],[7]],FDR[7],"",0,1)</f>
        <v>3</v>
      </c>
      <c r="T284" cm="1">
        <f t="array" ref="T284">_xlfn.XLOOKUP(Matrix[[#This Row],[TEAM]]&amp;Matrix[[#Headers],[8]],FDR[FDR]&amp;FDR[[#Headers],[8]],FDR[8],"",0,1)</f>
        <v>5</v>
      </c>
      <c r="U284" cm="1">
        <f t="array" ref="U284">_xlfn.XLOOKUP(Matrix[[#This Row],[TEAM]]&amp;Matrix[[#Headers],[9]],FDR[FDR]&amp;FDR[[#Headers],[9]],FDR[9],"",0,1)</f>
        <v>4</v>
      </c>
      <c r="V284" cm="1">
        <f t="array" ref="V284">_xlfn.XLOOKUP(Matrix[[#This Row],[TEAM]]&amp;Matrix[[#Headers],[10]],FDR[FDR]&amp;FDR[[#Headers],[10]],FDR[10],"",0,1)</f>
        <v>2</v>
      </c>
      <c r="W284" cm="1">
        <f t="array" ref="W284">_xlfn.XLOOKUP(Matrix[[#This Row],[TEAM]]&amp;Matrix[[#Headers],[11]],FDR[FDR]&amp;FDR[[#Headers],[11]],FDR[11],"",0,1)</f>
        <v>3</v>
      </c>
      <c r="X284" cm="1">
        <f t="array" ref="X284">_xlfn.XLOOKUP(Matrix[[#This Row],[TEAM]]&amp;Matrix[[#Headers],[12]],FDR[FDR]&amp;FDR[[#Headers],[12]],FDR[12],"",0,1)</f>
        <v>5</v>
      </c>
      <c r="Y284" cm="1">
        <f t="array" ref="Y284">_xlfn.XLOOKUP(Matrix[[#This Row],[TEAM]]&amp;Matrix[[#Headers],[13]],FDR[FDR]&amp;FDR[[#Headers],[13]],FDR[13],"",0,1)</f>
        <v>4</v>
      </c>
      <c r="Z284" cm="1">
        <f t="array" ref="Z284">_xlfn.XLOOKUP(Matrix[[#This Row],[TEAM]]&amp;Matrix[[#Headers],[14]],FDR[FDR]&amp;FDR[[#Headers],[14]],FDR[14],"",0,1)</f>
        <v>4</v>
      </c>
      <c r="AA284" cm="1">
        <f t="array" ref="AA284">_xlfn.XLOOKUP(Matrix[[#This Row],[TEAM]]&amp;Matrix[[#Headers],[15]],FDR[FDR]&amp;FDR[[#Headers],[15]],FDR[15],"",0,1)</f>
        <v>3</v>
      </c>
      <c r="AB284" cm="1">
        <f t="array" ref="AB284">_xlfn.XLOOKUP(Matrix[[#This Row],[TEAM]]&amp;Matrix[[#Headers],[16]],FDR[FDR]&amp;FDR[[#Headers],[16]],FDR[16],"",0,1)</f>
        <v>5</v>
      </c>
      <c r="AC284" cm="1">
        <f t="array" ref="AC284">_xlfn.XLOOKUP(Matrix[[#This Row],[TEAM]]&amp;Matrix[[#Headers],[17]],FDR[FDR]&amp;FDR[[#Headers],[17]],FDR[17],"",0,1)</f>
        <v>4</v>
      </c>
      <c r="AD284" cm="1">
        <f t="array" ref="AD284">_xlfn.XLOOKUP(Matrix[[#This Row],[TEAM]]&amp;Matrix[[#Headers],[18]],FDR[FDR]&amp;FDR[[#Headers],[18]],FDR[18],"",0,1)</f>
        <v>2</v>
      </c>
      <c r="AE284" cm="1">
        <f t="array" ref="AE284">_xlfn.XLOOKUP(Matrix[[#This Row],[TEAM]]&amp;Matrix[[#Headers],[19]],FDR[FDR]&amp;FDR[[#Headers],[19]],FDR[19],"",0,1)</f>
        <v>4</v>
      </c>
      <c r="AF284" cm="1">
        <f t="array" ref="AF284">_xlfn.XLOOKUP(Matrix[[#This Row],[TEAM]]&amp;Matrix[[#Headers],[20]],FDR[FDR]&amp;FDR[[#Headers],[20]],FDR[20],"",0,1)</f>
        <v>3</v>
      </c>
      <c r="AG284" cm="1">
        <f t="array" ref="AG284">_xlfn.XLOOKUP(Matrix[[#This Row],[TEAM]]&amp;Matrix[[#Headers],[21]],FDR[FDR]&amp;FDR[[#Headers],[21]],FDR[21],"",0,1)</f>
        <v>2</v>
      </c>
      <c r="AH284" cm="1">
        <f t="array" ref="AH284">_xlfn.XLOOKUP(Matrix[[#This Row],[TEAM]]&amp;Matrix[[#Headers],[22]],FDR[FDR]&amp;FDR[[#Headers],[22]],FDR[22],"",0,1)</f>
        <v>5</v>
      </c>
      <c r="AI284" cm="1">
        <f t="array" ref="AI284">_xlfn.XLOOKUP(Matrix[[#This Row],[TEAM]]&amp;Matrix[[#Headers],[23]],FDR[FDR]&amp;FDR[[#Headers],[23]],FDR[23],"",0,1)</f>
        <v>1</v>
      </c>
      <c r="AJ284" cm="1">
        <f t="array" ref="AJ284">_xlfn.XLOOKUP(Matrix[[#This Row],[TEAM]]&amp;Matrix[[#Headers],[24]],FDR[FDR]&amp;FDR[[#Headers],[24]],FDR[24],"",0,1)</f>
        <v>4</v>
      </c>
      <c r="AK284" cm="1">
        <f t="array" ref="AK284">_xlfn.XLOOKUP(Matrix[[#This Row],[TEAM]]&amp;Matrix[[#Headers],[25]],FDR[FDR]&amp;FDR[[#Headers],[25]],FDR[25],"",0,1)</f>
        <v>4</v>
      </c>
      <c r="AL284" cm="1">
        <f t="array" ref="AL284">_xlfn.XLOOKUP(Matrix[[#This Row],[TEAM]]&amp;Matrix[[#Headers],[26]],FDR[FDR]&amp;FDR[[#Headers],[26]],FDR[26],"",0,1)</f>
        <v>3</v>
      </c>
      <c r="AM284" cm="1">
        <f t="array" ref="AM284">_xlfn.XLOOKUP(Matrix[[#This Row],[TEAM]]&amp;Matrix[[#Headers],[27]],FDR[FDR]&amp;FDR[[#Headers],[27]],FDR[27],"",0,1)</f>
        <v>4</v>
      </c>
      <c r="AN284" cm="1">
        <f t="array" ref="AN284">_xlfn.XLOOKUP(Matrix[[#This Row],[TEAM]]&amp;Matrix[[#Headers],[28]],FDR[FDR]&amp;FDR[[#Headers],[28]],FDR[28],"",0,1)</f>
        <v>5</v>
      </c>
      <c r="AO284" cm="1">
        <f t="array" ref="AO284">_xlfn.XLOOKUP(Matrix[[#This Row],[TEAM]]&amp;Matrix[[#Headers],[29]],FDR[FDR]&amp;FDR[[#Headers],[29]],FDR[29],"",0,1)</f>
        <v>1</v>
      </c>
      <c r="AP284" cm="1">
        <f t="array" ref="AP284">_xlfn.XLOOKUP(Matrix[[#This Row],[TEAM]]&amp;Matrix[[#Headers],[30]],FDR[FDR]&amp;FDR[[#Headers],[30]],FDR[30],"",0,1)</f>
        <v>5</v>
      </c>
      <c r="AQ284" cm="1">
        <f t="array" ref="AQ284">_xlfn.XLOOKUP(Matrix[[#This Row],[TEAM]]&amp;Matrix[[#Headers],[31]],FDR[FDR]&amp;FDR[[#Headers],[31]],FDR[31],"",0,1)</f>
        <v>4</v>
      </c>
      <c r="AR284" cm="1">
        <f t="array" ref="AR284">_xlfn.XLOOKUP(Matrix[[#This Row],[TEAM]]&amp;Matrix[[#Headers],[32]],FDR[FDR]&amp;FDR[[#Headers],[32]],FDR[32],"",0,1)</f>
        <v>4</v>
      </c>
      <c r="AS284" cm="1">
        <f t="array" ref="AS284">_xlfn.XLOOKUP(Matrix[[#This Row],[TEAM]]&amp;Matrix[[#Headers],[33]],FDR[FDR]&amp;FDR[[#Headers],[33]],FDR[33],"",0,1)</f>
        <v>4</v>
      </c>
      <c r="AT284" cm="1">
        <f t="array" ref="AT284">_xlfn.XLOOKUP(Matrix[[#This Row],[TEAM]]&amp;Matrix[[#Headers],[34]],FDR[FDR]&amp;FDR[[#Headers],[34]],FDR[34],"",0,1)</f>
        <v>4</v>
      </c>
      <c r="AU284" cm="1">
        <f t="array" ref="AU284">_xlfn.XLOOKUP(Matrix[[#This Row],[TEAM]]&amp;Matrix[[#Headers],[35]],FDR[FDR]&amp;FDR[[#Headers],[35]],FDR[35],"",0,1)</f>
        <v>4</v>
      </c>
      <c r="AV284" cm="1">
        <f t="array" ref="AV284">_xlfn.XLOOKUP(Matrix[[#This Row],[TEAM]]&amp;Matrix[[#Headers],[36]],FDR[FDR]&amp;FDR[[#Headers],[36]],FDR[36],"",0,1)</f>
        <v>4</v>
      </c>
      <c r="AW284" cm="1">
        <f t="array" ref="AW284">_xlfn.XLOOKUP(Matrix[[#This Row],[TEAM]]&amp;Matrix[[#Headers],[37]],FDR[FDR]&amp;FDR[[#Headers],[37]],FDR[37],"",0,1)</f>
        <v>1</v>
      </c>
      <c r="AX284" cm="1">
        <f t="array" ref="AX284">_xlfn.XLOOKUP(Matrix[[#This Row],[TEAM]]&amp;Matrix[[#Headers],[38]],FDR[FDR]&amp;FDR[[#Headers],[38]],FDR[38],"",0,1)</f>
        <v>5</v>
      </c>
    </row>
    <row r="285" spans="1:50" ht="22" thickTop="1" thickBot="1">
      <c r="A285" s="52" t="s">
        <v>658</v>
      </c>
      <c r="B285" s="70" t="s">
        <v>1702</v>
      </c>
      <c r="C285" s="40" t="s">
        <v>18</v>
      </c>
      <c r="D285" s="62">
        <v>18</v>
      </c>
      <c r="E285" s="60">
        <v>2E-3</v>
      </c>
      <c r="F285" s="61">
        <v>15.9</v>
      </c>
      <c r="G285" s="63">
        <v>4.5</v>
      </c>
      <c r="H285" s="261">
        <f>IF(ISBLANK(I285),0,1)</f>
        <v>0</v>
      </c>
      <c r="I285" s="57"/>
      <c r="J285" s="58"/>
      <c r="K285" s="66" t="s">
        <v>686</v>
      </c>
      <c r="L285" s="66" t="s">
        <v>503</v>
      </c>
      <c r="M285" cm="1">
        <f t="array" ref="M285">_xlfn.XLOOKUP(Matrix[[#This Row],[TEAM]]&amp;Matrix[[#Headers],[1]],FDR[FDR]&amp;FDR[[#Headers],[1]],FDR[1],"",0,1)</f>
        <v>1</v>
      </c>
      <c r="N285" cm="1">
        <f t="array" ref="N285">_xlfn.XLOOKUP(Matrix[[#This Row],[TEAM]]&amp;Matrix[[#Headers],[2]],FDR[FDR]&amp;FDR[[#Headers],[2]],FDR[2],"",0,1)</f>
        <v>2</v>
      </c>
      <c r="O285" cm="1">
        <f t="array" ref="O285">_xlfn.XLOOKUP(Matrix[[#This Row],[TEAM]]&amp;Matrix[[#Headers],[3]],FDR[FDR]&amp;FDR[[#Headers],[3]],FDR[3],"",0,1)</f>
        <v>1</v>
      </c>
      <c r="P285" cm="1">
        <f t="array" ref="P285">_xlfn.XLOOKUP(Matrix[[#This Row],[TEAM]]&amp;Matrix[[#Headers],[4]],FDR[FDR]&amp;FDR[[#Headers],[4]],FDR[4],"",0,1)</f>
        <v>2</v>
      </c>
      <c r="Q285" cm="1">
        <f t="array" ref="Q285">_xlfn.XLOOKUP(Matrix[[#This Row],[TEAM]]&amp;Matrix[[#Headers],[5]],FDR[FDR]&amp;FDR[[#Headers],[5]],FDR[5],"",0,1)</f>
        <v>3</v>
      </c>
      <c r="R285" cm="1">
        <f t="array" ref="R285">_xlfn.XLOOKUP(Matrix[[#This Row],[TEAM]]&amp;Matrix[[#Headers],[6]],FDR[FDR]&amp;FDR[[#Headers],[6]],FDR[6],"",0,1)</f>
        <v>1</v>
      </c>
      <c r="S285" cm="1">
        <f t="array" ref="S285">_xlfn.XLOOKUP(Matrix[[#This Row],[TEAM]]&amp;Matrix[[#Headers],[7]],FDR[FDR]&amp;FDR[[#Headers],[7]],FDR[7],"",0,1)</f>
        <v>3</v>
      </c>
      <c r="T285" cm="1">
        <f t="array" ref="T285">_xlfn.XLOOKUP(Matrix[[#This Row],[TEAM]]&amp;Matrix[[#Headers],[8]],FDR[FDR]&amp;FDR[[#Headers],[8]],FDR[8],"",0,1)</f>
        <v>2</v>
      </c>
      <c r="U285" cm="1">
        <f t="array" ref="U285">_xlfn.XLOOKUP(Matrix[[#This Row],[TEAM]]&amp;Matrix[[#Headers],[9]],FDR[FDR]&amp;FDR[[#Headers],[9]],FDR[9],"",0,1)</f>
        <v>1</v>
      </c>
      <c r="V285" cm="1">
        <f t="array" ref="V285">_xlfn.XLOOKUP(Matrix[[#This Row],[TEAM]]&amp;Matrix[[#Headers],[10]],FDR[FDR]&amp;FDR[[#Headers],[10]],FDR[10],"",0,1)</f>
        <v>3</v>
      </c>
      <c r="W285" cm="1">
        <f t="array" ref="W285">_xlfn.XLOOKUP(Matrix[[#This Row],[TEAM]]&amp;Matrix[[#Headers],[11]],FDR[FDR]&amp;FDR[[#Headers],[11]],FDR[11],"",0,1)</f>
        <v>1</v>
      </c>
      <c r="X285" cm="1">
        <f t="array" ref="X285">_xlfn.XLOOKUP(Matrix[[#This Row],[TEAM]]&amp;Matrix[[#Headers],[12]],FDR[FDR]&amp;FDR[[#Headers],[12]],FDR[12],"",0,1)</f>
        <v>1</v>
      </c>
      <c r="Y285" cm="1">
        <f t="array" ref="Y285">_xlfn.XLOOKUP(Matrix[[#This Row],[TEAM]]&amp;Matrix[[#Headers],[13]],FDR[FDR]&amp;FDR[[#Headers],[13]],FDR[13],"",0,1)</f>
        <v>3</v>
      </c>
      <c r="Z285" cm="1">
        <f t="array" ref="Z285">_xlfn.XLOOKUP(Matrix[[#This Row],[TEAM]]&amp;Matrix[[#Headers],[14]],FDR[FDR]&amp;FDR[[#Headers],[14]],FDR[14],"",0,1)</f>
        <v>1</v>
      </c>
      <c r="AA285" cm="1">
        <f t="array" ref="AA285">_xlfn.XLOOKUP(Matrix[[#This Row],[TEAM]]&amp;Matrix[[#Headers],[15]],FDR[FDR]&amp;FDR[[#Headers],[15]],FDR[15],"",0,1)</f>
        <v>2</v>
      </c>
      <c r="AB285" cm="1">
        <f t="array" ref="AB285">_xlfn.XLOOKUP(Matrix[[#This Row],[TEAM]]&amp;Matrix[[#Headers],[16]],FDR[FDR]&amp;FDR[[#Headers],[16]],FDR[16],"",0,1)</f>
        <v>1</v>
      </c>
      <c r="AC285" cm="1">
        <f t="array" ref="AC285">_xlfn.XLOOKUP(Matrix[[#This Row],[TEAM]]&amp;Matrix[[#Headers],[17]],FDR[FDR]&amp;FDR[[#Headers],[17]],FDR[17],"",0,1)</f>
        <v>3</v>
      </c>
      <c r="AD285" cm="1">
        <f t="array" ref="AD285">_xlfn.XLOOKUP(Matrix[[#This Row],[TEAM]]&amp;Matrix[[#Headers],[18]],FDR[FDR]&amp;FDR[[#Headers],[18]],FDR[18],"",0,1)</f>
        <v>2</v>
      </c>
      <c r="AE285" cm="1">
        <f t="array" ref="AE285">_xlfn.XLOOKUP(Matrix[[#This Row],[TEAM]]&amp;Matrix[[#Headers],[19]],FDR[FDR]&amp;FDR[[#Headers],[19]],FDR[19],"",0,1)</f>
        <v>1</v>
      </c>
      <c r="AF285" cm="1">
        <f t="array" ref="AF285">_xlfn.XLOOKUP(Matrix[[#This Row],[TEAM]]&amp;Matrix[[#Headers],[20]],FDR[FDR]&amp;FDR[[#Headers],[20]],FDR[20],"",0,1)</f>
        <v>4</v>
      </c>
      <c r="AG285" cm="1">
        <f t="array" ref="AG285">_xlfn.XLOOKUP(Matrix[[#This Row],[TEAM]]&amp;Matrix[[#Headers],[21]],FDR[FDR]&amp;FDR[[#Headers],[21]],FDR[21],"",0,1)</f>
        <v>2</v>
      </c>
      <c r="AH285" cm="1">
        <f t="array" ref="AH285">_xlfn.XLOOKUP(Matrix[[#This Row],[TEAM]]&amp;Matrix[[#Headers],[22]],FDR[FDR]&amp;FDR[[#Headers],[22]],FDR[22],"",0,1)</f>
        <v>1</v>
      </c>
      <c r="AI285" cm="1">
        <f t="array" ref="AI285">_xlfn.XLOOKUP(Matrix[[#This Row],[TEAM]]&amp;Matrix[[#Headers],[23]],FDR[FDR]&amp;FDR[[#Headers],[23]],FDR[23],"",0,1)</f>
        <v>2</v>
      </c>
      <c r="AJ285" cm="1">
        <f t="array" ref="AJ285">_xlfn.XLOOKUP(Matrix[[#This Row],[TEAM]]&amp;Matrix[[#Headers],[24]],FDR[FDR]&amp;FDR[[#Headers],[24]],FDR[24],"",0,1)</f>
        <v>1</v>
      </c>
      <c r="AK285" cm="1">
        <f t="array" ref="AK285">_xlfn.XLOOKUP(Matrix[[#This Row],[TEAM]]&amp;Matrix[[#Headers],[25]],FDR[FDR]&amp;FDR[[#Headers],[25]],FDR[25],"",0,1)</f>
        <v>1</v>
      </c>
      <c r="AL285" cm="1">
        <f t="array" ref="AL285">_xlfn.XLOOKUP(Matrix[[#This Row],[TEAM]]&amp;Matrix[[#Headers],[26]],FDR[FDR]&amp;FDR[[#Headers],[26]],FDR[26],"",0,1)</f>
        <v>1</v>
      </c>
      <c r="AM285" cm="1">
        <f t="array" ref="AM285">_xlfn.XLOOKUP(Matrix[[#This Row],[TEAM]]&amp;Matrix[[#Headers],[27]],FDR[FDR]&amp;FDR[[#Headers],[27]],FDR[27],"",0,1)</f>
        <v>1</v>
      </c>
      <c r="AN285" cm="1">
        <f t="array" ref="AN285">_xlfn.XLOOKUP(Matrix[[#This Row],[TEAM]]&amp;Matrix[[#Headers],[28]],FDR[FDR]&amp;FDR[[#Headers],[28]],FDR[28],"",0,1)</f>
        <v>4</v>
      </c>
      <c r="AO285" cm="1">
        <f t="array" ref="AO285">_xlfn.XLOOKUP(Matrix[[#This Row],[TEAM]]&amp;Matrix[[#Headers],[29]],FDR[FDR]&amp;FDR[[#Headers],[29]],FDR[29],"",0,1)</f>
        <v>3</v>
      </c>
      <c r="AP285" cm="1">
        <f t="array" ref="AP285">_xlfn.XLOOKUP(Matrix[[#This Row],[TEAM]]&amp;Matrix[[#Headers],[30]],FDR[FDR]&amp;FDR[[#Headers],[30]],FDR[30],"",0,1)</f>
        <v>2</v>
      </c>
      <c r="AQ285" cm="1">
        <f t="array" ref="AQ285">_xlfn.XLOOKUP(Matrix[[#This Row],[TEAM]]&amp;Matrix[[#Headers],[31]],FDR[FDR]&amp;FDR[[#Headers],[31]],FDR[31],"",0,1)</f>
        <v>2</v>
      </c>
      <c r="AR285" cm="1">
        <f t="array" ref="AR285">_xlfn.XLOOKUP(Matrix[[#This Row],[TEAM]]&amp;Matrix[[#Headers],[32]],FDR[FDR]&amp;FDR[[#Headers],[32]],FDR[32],"",0,1)</f>
        <v>3</v>
      </c>
      <c r="AS285" cm="1">
        <f t="array" ref="AS285">_xlfn.XLOOKUP(Matrix[[#This Row],[TEAM]]&amp;Matrix[[#Headers],[33]],FDR[FDR]&amp;FDR[[#Headers],[33]],FDR[33],"",0,1)</f>
        <v>2</v>
      </c>
      <c r="AT285" cm="1">
        <f t="array" ref="AT285">_xlfn.XLOOKUP(Matrix[[#This Row],[TEAM]]&amp;Matrix[[#Headers],[34]],FDR[FDR]&amp;FDR[[#Headers],[34]],FDR[34],"",0,1)</f>
        <v>2</v>
      </c>
      <c r="AU285" cm="1">
        <f t="array" ref="AU285">_xlfn.XLOOKUP(Matrix[[#This Row],[TEAM]]&amp;Matrix[[#Headers],[35]],FDR[FDR]&amp;FDR[[#Headers],[35]],FDR[35],"",0,1)</f>
        <v>1</v>
      </c>
      <c r="AV285" cm="1">
        <f t="array" ref="AV285">_xlfn.XLOOKUP(Matrix[[#This Row],[TEAM]]&amp;Matrix[[#Headers],[36]],FDR[FDR]&amp;FDR[[#Headers],[36]],FDR[36],"",0,1)</f>
        <v>4</v>
      </c>
      <c r="AW285" cm="1">
        <f t="array" ref="AW285">_xlfn.XLOOKUP(Matrix[[#This Row],[TEAM]]&amp;Matrix[[#Headers],[37]],FDR[FDR]&amp;FDR[[#Headers],[37]],FDR[37],"",0,1)</f>
        <v>2</v>
      </c>
      <c r="AX285" cm="1">
        <f t="array" ref="AX285">_xlfn.XLOOKUP(Matrix[[#This Row],[TEAM]]&amp;Matrix[[#Headers],[38]],FDR[FDR]&amp;FDR[[#Headers],[38]],FDR[38],"",0,1)</f>
        <v>1</v>
      </c>
    </row>
    <row r="286" spans="1:50" ht="22" thickTop="1" thickBot="1">
      <c r="A286" s="52" t="s">
        <v>658</v>
      </c>
      <c r="B286" s="70" t="s">
        <v>1721</v>
      </c>
      <c r="C286" s="40" t="s">
        <v>51</v>
      </c>
      <c r="D286" s="68">
        <v>12</v>
      </c>
      <c r="E286" s="60">
        <v>2E-3</v>
      </c>
      <c r="F286" s="67">
        <v>20.399999999999999</v>
      </c>
      <c r="G286" s="63">
        <v>4.5</v>
      </c>
      <c r="H286" s="261">
        <f>IF(ISBLANK(I286),0,1)</f>
        <v>0</v>
      </c>
      <c r="I286" s="57"/>
      <c r="J286" s="58"/>
      <c r="K286" s="66" t="s">
        <v>525</v>
      </c>
      <c r="L286" s="66" t="s">
        <v>86</v>
      </c>
      <c r="M286" cm="1">
        <f t="array" ref="M286">_xlfn.XLOOKUP(Matrix[[#This Row],[TEAM]]&amp;Matrix[[#Headers],[1]],FDR[FDR]&amp;FDR[[#Headers],[1]],FDR[1],"",0,1)</f>
        <v>5</v>
      </c>
      <c r="N286" cm="1">
        <f t="array" ref="N286">_xlfn.XLOOKUP(Matrix[[#This Row],[TEAM]]&amp;Matrix[[#Headers],[2]],FDR[FDR]&amp;FDR[[#Headers],[2]],FDR[2],"",0,1)</f>
        <v>5</v>
      </c>
      <c r="O286" cm="1">
        <f t="array" ref="O286">_xlfn.XLOOKUP(Matrix[[#This Row],[TEAM]]&amp;Matrix[[#Headers],[3]],FDR[FDR]&amp;FDR[[#Headers],[3]],FDR[3],"",0,1)</f>
        <v>4</v>
      </c>
      <c r="P286" cm="1">
        <f t="array" ref="P286">_xlfn.XLOOKUP(Matrix[[#This Row],[TEAM]]&amp;Matrix[[#Headers],[4]],FDR[FDR]&amp;FDR[[#Headers],[4]],FDR[4],"",0,1)</f>
        <v>5</v>
      </c>
      <c r="Q286" cm="1">
        <f t="array" ref="Q286">_xlfn.XLOOKUP(Matrix[[#This Row],[TEAM]]&amp;Matrix[[#Headers],[5]],FDR[FDR]&amp;FDR[[#Headers],[5]],FDR[5],"",0,1)</f>
        <v>2</v>
      </c>
      <c r="R286" cm="1">
        <f t="array" ref="R286">_xlfn.XLOOKUP(Matrix[[#This Row],[TEAM]]&amp;Matrix[[#Headers],[6]],FDR[FDR]&amp;FDR[[#Headers],[6]],FDR[6],"",0,1)</f>
        <v>5</v>
      </c>
      <c r="S286" cm="1">
        <f t="array" ref="S286">_xlfn.XLOOKUP(Matrix[[#This Row],[TEAM]]&amp;Matrix[[#Headers],[7]],FDR[FDR]&amp;FDR[[#Headers],[7]],FDR[7],"",0,1)</f>
        <v>4</v>
      </c>
      <c r="T286" cm="1">
        <f t="array" ref="T286">_xlfn.XLOOKUP(Matrix[[#This Row],[TEAM]]&amp;Matrix[[#Headers],[8]],FDR[FDR]&amp;FDR[[#Headers],[8]],FDR[8],"",0,1)</f>
        <v>3</v>
      </c>
      <c r="U286" cm="1">
        <f t="array" ref="U286">_xlfn.XLOOKUP(Matrix[[#This Row],[TEAM]]&amp;Matrix[[#Headers],[9]],FDR[FDR]&amp;FDR[[#Headers],[9]],FDR[9],"",0,1)</f>
        <v>2</v>
      </c>
      <c r="V286" cm="1">
        <f t="array" ref="V286">_xlfn.XLOOKUP(Matrix[[#This Row],[TEAM]]&amp;Matrix[[#Headers],[10]],FDR[FDR]&amp;FDR[[#Headers],[10]],FDR[10],"",0,1)</f>
        <v>5</v>
      </c>
      <c r="W286" cm="1">
        <f t="array" ref="W286">_xlfn.XLOOKUP(Matrix[[#This Row],[TEAM]]&amp;Matrix[[#Headers],[11]],FDR[FDR]&amp;FDR[[#Headers],[11]],FDR[11],"",0,1)</f>
        <v>5</v>
      </c>
      <c r="X286" cm="1">
        <f t="array" ref="X286">_xlfn.XLOOKUP(Matrix[[#This Row],[TEAM]]&amp;Matrix[[#Headers],[12]],FDR[FDR]&amp;FDR[[#Headers],[12]],FDR[12],"",0,1)</f>
        <v>4</v>
      </c>
      <c r="Y286" cm="1">
        <f t="array" ref="Y286">_xlfn.XLOOKUP(Matrix[[#This Row],[TEAM]]&amp;Matrix[[#Headers],[13]],FDR[FDR]&amp;FDR[[#Headers],[13]],FDR[13],"",0,1)</f>
        <v>5</v>
      </c>
      <c r="Z286" cm="1">
        <f t="array" ref="Z286">_xlfn.XLOOKUP(Matrix[[#This Row],[TEAM]]&amp;Matrix[[#Headers],[14]],FDR[FDR]&amp;FDR[[#Headers],[14]],FDR[14],"",0,1)</f>
        <v>4</v>
      </c>
      <c r="AA286" cm="1">
        <f t="array" ref="AA286">_xlfn.XLOOKUP(Matrix[[#This Row],[TEAM]]&amp;Matrix[[#Headers],[15]],FDR[FDR]&amp;FDR[[#Headers],[15]],FDR[15],"",0,1)</f>
        <v>5</v>
      </c>
      <c r="AB286" cm="1">
        <f t="array" ref="AB286">_xlfn.XLOOKUP(Matrix[[#This Row],[TEAM]]&amp;Matrix[[#Headers],[16]],FDR[FDR]&amp;FDR[[#Headers],[16]],FDR[16],"",0,1)</f>
        <v>5</v>
      </c>
      <c r="AC286" cm="1">
        <f t="array" ref="AC286">_xlfn.XLOOKUP(Matrix[[#This Row],[TEAM]]&amp;Matrix[[#Headers],[17]],FDR[FDR]&amp;FDR[[#Headers],[17]],FDR[17],"",0,1)</f>
        <v>4</v>
      </c>
      <c r="AD286" cm="1">
        <f t="array" ref="AD286">_xlfn.XLOOKUP(Matrix[[#This Row],[TEAM]]&amp;Matrix[[#Headers],[18]],FDR[FDR]&amp;FDR[[#Headers],[18]],FDR[18],"",0,1)</f>
        <v>5</v>
      </c>
      <c r="AE286" cm="1">
        <f t="array" ref="AE286">_xlfn.XLOOKUP(Matrix[[#This Row],[TEAM]]&amp;Matrix[[#Headers],[19]],FDR[FDR]&amp;FDR[[#Headers],[19]],FDR[19],"",0,1)</f>
        <v>5</v>
      </c>
      <c r="AF286" cm="1">
        <f t="array" ref="AF286">_xlfn.XLOOKUP(Matrix[[#This Row],[TEAM]]&amp;Matrix[[#Headers],[20]],FDR[FDR]&amp;FDR[[#Headers],[20]],FDR[20],"",0,1)</f>
        <v>4</v>
      </c>
      <c r="AG286" cm="1">
        <f t="array" ref="AG286">_xlfn.XLOOKUP(Matrix[[#This Row],[TEAM]]&amp;Matrix[[#Headers],[21]],FDR[FDR]&amp;FDR[[#Headers],[21]],FDR[21],"",0,1)</f>
        <v>5</v>
      </c>
      <c r="AH286" cm="1">
        <f t="array" ref="AH286">_xlfn.XLOOKUP(Matrix[[#This Row],[TEAM]]&amp;Matrix[[#Headers],[22]],FDR[FDR]&amp;FDR[[#Headers],[22]],FDR[22],"",0,1)</f>
        <v>5</v>
      </c>
      <c r="AI286" cm="1">
        <f t="array" ref="AI286">_xlfn.XLOOKUP(Matrix[[#This Row],[TEAM]]&amp;Matrix[[#Headers],[23]],FDR[FDR]&amp;FDR[[#Headers],[23]],FDR[23],"",0,1)</f>
        <v>5</v>
      </c>
      <c r="AJ286" cm="1">
        <f t="array" ref="AJ286">_xlfn.XLOOKUP(Matrix[[#This Row],[TEAM]]&amp;Matrix[[#Headers],[24]],FDR[FDR]&amp;FDR[[#Headers],[24]],FDR[24],"",0,1)</f>
        <v>4</v>
      </c>
      <c r="AK286" cm="1">
        <f t="array" ref="AK286">_xlfn.XLOOKUP(Matrix[[#This Row],[TEAM]]&amp;Matrix[[#Headers],[25]],FDR[FDR]&amp;FDR[[#Headers],[25]],FDR[25],"",0,1)</f>
        <v>5</v>
      </c>
      <c r="AL286" cm="1">
        <f t="array" ref="AL286">_xlfn.XLOOKUP(Matrix[[#This Row],[TEAM]]&amp;Matrix[[#Headers],[26]],FDR[FDR]&amp;FDR[[#Headers],[26]],FDR[26],"",0,1)</f>
        <v>5</v>
      </c>
      <c r="AM286" cm="1">
        <f t="array" ref="AM286">_xlfn.XLOOKUP(Matrix[[#This Row],[TEAM]]&amp;Matrix[[#Headers],[27]],FDR[FDR]&amp;FDR[[#Headers],[27]],FDR[27],"",0,1)</f>
        <v>5</v>
      </c>
      <c r="AN286" cm="1">
        <f t="array" ref="AN286">_xlfn.XLOOKUP(Matrix[[#This Row],[TEAM]]&amp;Matrix[[#Headers],[28]],FDR[FDR]&amp;FDR[[#Headers],[28]],FDR[28],"",0,1)</f>
        <v>5</v>
      </c>
      <c r="AO286" cm="1">
        <f t="array" ref="AO286">_xlfn.XLOOKUP(Matrix[[#This Row],[TEAM]]&amp;Matrix[[#Headers],[29]],FDR[FDR]&amp;FDR[[#Headers],[29]],FDR[29],"",0,1)</f>
        <v>5</v>
      </c>
      <c r="AP286" cm="1">
        <f t="array" ref="AP286">_xlfn.XLOOKUP(Matrix[[#This Row],[TEAM]]&amp;Matrix[[#Headers],[30]],FDR[FDR]&amp;FDR[[#Headers],[30]],FDR[30],"",0,1)</f>
        <v>5</v>
      </c>
      <c r="AQ286" cm="1">
        <f t="array" ref="AQ286">_xlfn.XLOOKUP(Matrix[[#This Row],[TEAM]]&amp;Matrix[[#Headers],[31]],FDR[FDR]&amp;FDR[[#Headers],[31]],FDR[31],"",0,1)</f>
        <v>5</v>
      </c>
      <c r="AR286" cm="1">
        <f t="array" ref="AR286">_xlfn.XLOOKUP(Matrix[[#This Row],[TEAM]]&amp;Matrix[[#Headers],[32]],FDR[FDR]&amp;FDR[[#Headers],[32]],FDR[32],"",0,1)</f>
        <v>5</v>
      </c>
      <c r="AS286" cm="1">
        <f t="array" ref="AS286">_xlfn.XLOOKUP(Matrix[[#This Row],[TEAM]]&amp;Matrix[[#Headers],[33]],FDR[FDR]&amp;FDR[[#Headers],[33]],FDR[33],"",0,1)</f>
        <v>3</v>
      </c>
      <c r="AT286" cm="1">
        <f t="array" ref="AT286">_xlfn.XLOOKUP(Matrix[[#This Row],[TEAM]]&amp;Matrix[[#Headers],[34]],FDR[FDR]&amp;FDR[[#Headers],[34]],FDR[34],"",0,1)</f>
        <v>5</v>
      </c>
      <c r="AU286" cm="1">
        <f t="array" ref="AU286">_xlfn.XLOOKUP(Matrix[[#This Row],[TEAM]]&amp;Matrix[[#Headers],[35]],FDR[FDR]&amp;FDR[[#Headers],[35]],FDR[35],"",0,1)</f>
        <v>2</v>
      </c>
      <c r="AV286" cm="1">
        <f t="array" ref="AV286">_xlfn.XLOOKUP(Matrix[[#This Row],[TEAM]]&amp;Matrix[[#Headers],[36]],FDR[FDR]&amp;FDR[[#Headers],[36]],FDR[36],"",0,1)</f>
        <v>5</v>
      </c>
      <c r="AW286" cm="1">
        <f t="array" ref="AW286">_xlfn.XLOOKUP(Matrix[[#This Row],[TEAM]]&amp;Matrix[[#Headers],[37]],FDR[FDR]&amp;FDR[[#Headers],[37]],FDR[37],"",0,1)</f>
        <v>4</v>
      </c>
      <c r="AX286" cm="1">
        <f t="array" ref="AX286">_xlfn.XLOOKUP(Matrix[[#This Row],[TEAM]]&amp;Matrix[[#Headers],[38]],FDR[FDR]&amp;FDR[[#Headers],[38]],FDR[38],"",0,1)</f>
        <v>3</v>
      </c>
    </row>
    <row r="287" spans="1:50" ht="22" thickTop="1" thickBot="1">
      <c r="A287" s="52" t="s">
        <v>658</v>
      </c>
      <c r="B287" s="70" t="s">
        <v>1662</v>
      </c>
      <c r="C287" s="40" t="s">
        <v>33</v>
      </c>
      <c r="D287" s="68">
        <v>9</v>
      </c>
      <c r="E287" s="60">
        <v>5.0000000000000001E-3</v>
      </c>
      <c r="F287" s="67">
        <v>4.0999999999999996</v>
      </c>
      <c r="G287" s="63">
        <v>4.5</v>
      </c>
      <c r="H287" s="261">
        <f>IF(ISBLANK(I287),0,1)</f>
        <v>0</v>
      </c>
      <c r="I287" s="57"/>
      <c r="J287" s="58"/>
      <c r="K287" s="66" t="s">
        <v>477</v>
      </c>
      <c r="L287" s="66" t="s">
        <v>85</v>
      </c>
      <c r="M287" cm="1">
        <f t="array" ref="M287">_xlfn.XLOOKUP(Matrix[[#This Row],[TEAM]]&amp;Matrix[[#Headers],[1]],FDR[FDR]&amp;FDR[[#Headers],[1]],FDR[1],"",0,1)</f>
        <v>3</v>
      </c>
      <c r="N287" cm="1">
        <f t="array" ref="N287">_xlfn.XLOOKUP(Matrix[[#This Row],[TEAM]]&amp;Matrix[[#Headers],[2]],FDR[FDR]&amp;FDR[[#Headers],[2]],FDR[2],"",0,1)</f>
        <v>3</v>
      </c>
      <c r="O287" cm="1">
        <f t="array" ref="O287">_xlfn.XLOOKUP(Matrix[[#This Row],[TEAM]]&amp;Matrix[[#Headers],[3]],FDR[FDR]&amp;FDR[[#Headers],[3]],FDR[3],"",0,1)</f>
        <v>4</v>
      </c>
      <c r="P287" cm="1">
        <f t="array" ref="P287">_xlfn.XLOOKUP(Matrix[[#This Row],[TEAM]]&amp;Matrix[[#Headers],[4]],FDR[FDR]&amp;FDR[[#Headers],[4]],FDR[4],"",0,1)</f>
        <v>4</v>
      </c>
      <c r="Q287" cm="1">
        <f t="array" ref="Q287">_xlfn.XLOOKUP(Matrix[[#This Row],[TEAM]]&amp;Matrix[[#Headers],[5]],FDR[FDR]&amp;FDR[[#Headers],[5]],FDR[5],"",0,1)</f>
        <v>4</v>
      </c>
      <c r="R287" cm="1">
        <f t="array" ref="R287">_xlfn.XLOOKUP(Matrix[[#This Row],[TEAM]]&amp;Matrix[[#Headers],[6]],FDR[FDR]&amp;FDR[[#Headers],[6]],FDR[6],"",0,1)</f>
        <v>5</v>
      </c>
      <c r="S287" cm="1">
        <f t="array" ref="S287">_xlfn.XLOOKUP(Matrix[[#This Row],[TEAM]]&amp;Matrix[[#Headers],[7]],FDR[FDR]&amp;FDR[[#Headers],[7]],FDR[7],"",0,1)</f>
        <v>2</v>
      </c>
      <c r="T287" cm="1">
        <f t="array" ref="T287">_xlfn.XLOOKUP(Matrix[[#This Row],[TEAM]]&amp;Matrix[[#Headers],[8]],FDR[FDR]&amp;FDR[[#Headers],[8]],FDR[8],"",0,1)</f>
        <v>4</v>
      </c>
      <c r="U287" cm="1">
        <f t="array" ref="U287">_xlfn.XLOOKUP(Matrix[[#This Row],[TEAM]]&amp;Matrix[[#Headers],[9]],FDR[FDR]&amp;FDR[[#Headers],[9]],FDR[9],"",0,1)</f>
        <v>5</v>
      </c>
      <c r="V287" cm="1">
        <f t="array" ref="V287">_xlfn.XLOOKUP(Matrix[[#This Row],[TEAM]]&amp;Matrix[[#Headers],[10]],FDR[FDR]&amp;FDR[[#Headers],[10]],FDR[10],"",0,1)</f>
        <v>1</v>
      </c>
      <c r="W287" cm="1">
        <f t="array" ref="W287">_xlfn.XLOOKUP(Matrix[[#This Row],[TEAM]]&amp;Matrix[[#Headers],[11]],FDR[FDR]&amp;FDR[[#Headers],[11]],FDR[11],"",0,1)</f>
        <v>3</v>
      </c>
      <c r="X287" cm="1">
        <f t="array" ref="X287">_xlfn.XLOOKUP(Matrix[[#This Row],[TEAM]]&amp;Matrix[[#Headers],[12]],FDR[FDR]&amp;FDR[[#Headers],[12]],FDR[12],"",0,1)</f>
        <v>2</v>
      </c>
      <c r="Y287" cm="1">
        <f t="array" ref="Y287">_xlfn.XLOOKUP(Matrix[[#This Row],[TEAM]]&amp;Matrix[[#Headers],[13]],FDR[FDR]&amp;FDR[[#Headers],[13]],FDR[13],"",0,1)</f>
        <v>4</v>
      </c>
      <c r="Z287" cm="1">
        <f t="array" ref="Z287">_xlfn.XLOOKUP(Matrix[[#This Row],[TEAM]]&amp;Matrix[[#Headers],[14]],FDR[FDR]&amp;FDR[[#Headers],[14]],FDR[14],"",0,1)</f>
        <v>3</v>
      </c>
      <c r="AA287" cm="1">
        <f t="array" ref="AA287">_xlfn.XLOOKUP(Matrix[[#This Row],[TEAM]]&amp;Matrix[[#Headers],[15]],FDR[FDR]&amp;FDR[[#Headers],[15]],FDR[15],"",0,1)</f>
        <v>2</v>
      </c>
      <c r="AB287" cm="1">
        <f t="array" ref="AB287">_xlfn.XLOOKUP(Matrix[[#This Row],[TEAM]]&amp;Matrix[[#Headers],[16]],FDR[FDR]&amp;FDR[[#Headers],[16]],FDR[16],"",0,1)</f>
        <v>5</v>
      </c>
      <c r="AC287" cm="1">
        <f t="array" ref="AC287">_xlfn.XLOOKUP(Matrix[[#This Row],[TEAM]]&amp;Matrix[[#Headers],[17]],FDR[FDR]&amp;FDR[[#Headers],[17]],FDR[17],"",0,1)</f>
        <v>1</v>
      </c>
      <c r="AD287" cm="1">
        <f t="array" ref="AD287">_xlfn.XLOOKUP(Matrix[[#This Row],[TEAM]]&amp;Matrix[[#Headers],[18]],FDR[FDR]&amp;FDR[[#Headers],[18]],FDR[18],"",0,1)</f>
        <v>5</v>
      </c>
      <c r="AE287" cm="1">
        <f t="array" ref="AE287">_xlfn.XLOOKUP(Matrix[[#This Row],[TEAM]]&amp;Matrix[[#Headers],[19]],FDR[FDR]&amp;FDR[[#Headers],[19]],FDR[19],"",0,1)</f>
        <v>3</v>
      </c>
      <c r="AF287" cm="1">
        <f t="array" ref="AF287">_xlfn.XLOOKUP(Matrix[[#This Row],[TEAM]]&amp;Matrix[[#Headers],[20]],FDR[FDR]&amp;FDR[[#Headers],[20]],FDR[20],"",0,1)</f>
        <v>1</v>
      </c>
      <c r="AG287" cm="1">
        <f t="array" ref="AG287">_xlfn.XLOOKUP(Matrix[[#This Row],[TEAM]]&amp;Matrix[[#Headers],[21]],FDR[FDR]&amp;FDR[[#Headers],[21]],FDR[21],"",0,1)</f>
        <v>5</v>
      </c>
      <c r="AH287" cm="1">
        <f t="array" ref="AH287">_xlfn.XLOOKUP(Matrix[[#This Row],[TEAM]]&amp;Matrix[[#Headers],[22]],FDR[FDR]&amp;FDR[[#Headers],[22]],FDR[22],"",0,1)</f>
        <v>3</v>
      </c>
      <c r="AI287" cm="1">
        <f t="array" ref="AI287">_xlfn.XLOOKUP(Matrix[[#This Row],[TEAM]]&amp;Matrix[[#Headers],[23]],FDR[FDR]&amp;FDR[[#Headers],[23]],FDR[23],"",0,1)</f>
        <v>4</v>
      </c>
      <c r="AJ287" cm="1">
        <f t="array" ref="AJ287">_xlfn.XLOOKUP(Matrix[[#This Row],[TEAM]]&amp;Matrix[[#Headers],[24]],FDR[FDR]&amp;FDR[[#Headers],[24]],FDR[24],"",0,1)</f>
        <v>2</v>
      </c>
      <c r="AK287" cm="1">
        <f t="array" ref="AK287">_xlfn.XLOOKUP(Matrix[[#This Row],[TEAM]]&amp;Matrix[[#Headers],[25]],FDR[FDR]&amp;FDR[[#Headers],[25]],FDR[25],"",0,1)</f>
        <v>2</v>
      </c>
      <c r="AL287" cm="1">
        <f t="array" ref="AL287">_xlfn.XLOOKUP(Matrix[[#This Row],[TEAM]]&amp;Matrix[[#Headers],[26]],FDR[FDR]&amp;FDR[[#Headers],[26]],FDR[26],"",0,1)</f>
        <v>5</v>
      </c>
      <c r="AM287" cm="1">
        <f t="array" ref="AM287">_xlfn.XLOOKUP(Matrix[[#This Row],[TEAM]]&amp;Matrix[[#Headers],[27]],FDR[FDR]&amp;FDR[[#Headers],[27]],FDR[27],"",0,1)</f>
        <v>3</v>
      </c>
      <c r="AN287" cm="1">
        <f t="array" ref="AN287">_xlfn.XLOOKUP(Matrix[[#This Row],[TEAM]]&amp;Matrix[[#Headers],[28]],FDR[FDR]&amp;FDR[[#Headers],[28]],FDR[28],"",0,1)</f>
        <v>3</v>
      </c>
      <c r="AO287" cm="1">
        <f t="array" ref="AO287">_xlfn.XLOOKUP(Matrix[[#This Row],[TEAM]]&amp;Matrix[[#Headers],[29]],FDR[FDR]&amp;FDR[[#Headers],[29]],FDR[29],"",0,1)</f>
        <v>4</v>
      </c>
      <c r="AP287" cm="1">
        <f t="array" ref="AP287">_xlfn.XLOOKUP(Matrix[[#This Row],[TEAM]]&amp;Matrix[[#Headers],[30]],FDR[FDR]&amp;FDR[[#Headers],[30]],FDR[30],"",0,1)</f>
        <v>2</v>
      </c>
      <c r="AQ287" cm="1">
        <f t="array" ref="AQ287">_xlfn.XLOOKUP(Matrix[[#This Row],[TEAM]]&amp;Matrix[[#Headers],[31]],FDR[FDR]&amp;FDR[[#Headers],[31]],FDR[31],"",0,1)</f>
        <v>4</v>
      </c>
      <c r="AR287" cm="1">
        <f t="array" ref="AR287">_xlfn.XLOOKUP(Matrix[[#This Row],[TEAM]]&amp;Matrix[[#Headers],[32]],FDR[FDR]&amp;FDR[[#Headers],[32]],FDR[32],"",0,1)</f>
        <v>2</v>
      </c>
      <c r="AS287" cm="1">
        <f t="array" ref="AS287">_xlfn.XLOOKUP(Matrix[[#This Row],[TEAM]]&amp;Matrix[[#Headers],[33]],FDR[FDR]&amp;FDR[[#Headers],[33]],FDR[33],"",0,1)</f>
        <v>5</v>
      </c>
      <c r="AT287" cm="1">
        <f t="array" ref="AT287">_xlfn.XLOOKUP(Matrix[[#This Row],[TEAM]]&amp;Matrix[[#Headers],[34]],FDR[FDR]&amp;FDR[[#Headers],[34]],FDR[34],"",0,1)</f>
        <v>4</v>
      </c>
      <c r="AU287" cm="1">
        <f t="array" ref="AU287">_xlfn.XLOOKUP(Matrix[[#This Row],[TEAM]]&amp;Matrix[[#Headers],[35]],FDR[FDR]&amp;FDR[[#Headers],[35]],FDR[35],"",0,1)</f>
        <v>5</v>
      </c>
      <c r="AV287" cm="1">
        <f t="array" ref="AV287">_xlfn.XLOOKUP(Matrix[[#This Row],[TEAM]]&amp;Matrix[[#Headers],[36]],FDR[FDR]&amp;FDR[[#Headers],[36]],FDR[36],"",0,1)</f>
        <v>1</v>
      </c>
      <c r="AW287" cm="1">
        <f t="array" ref="AW287">_xlfn.XLOOKUP(Matrix[[#This Row],[TEAM]]&amp;Matrix[[#Headers],[37]],FDR[FDR]&amp;FDR[[#Headers],[37]],FDR[37],"",0,1)</f>
        <v>2</v>
      </c>
      <c r="AX287" cm="1">
        <f t="array" ref="AX287">_xlfn.XLOOKUP(Matrix[[#This Row],[TEAM]]&amp;Matrix[[#Headers],[38]],FDR[FDR]&amp;FDR[[#Headers],[38]],FDR[38],"",0,1)</f>
        <v>4</v>
      </c>
    </row>
    <row r="288" spans="1:50" ht="22" thickTop="1" thickBot="1">
      <c r="A288" s="52" t="s">
        <v>658</v>
      </c>
      <c r="B288" s="70" t="s">
        <v>1675</v>
      </c>
      <c r="C288" s="40" t="s">
        <v>28</v>
      </c>
      <c r="D288" s="62">
        <v>0</v>
      </c>
      <c r="E288" s="60">
        <v>3.0000000000000001E-3</v>
      </c>
      <c r="F288" s="61">
        <v>0</v>
      </c>
      <c r="G288" s="63">
        <v>4.5</v>
      </c>
      <c r="H288" s="261">
        <f>IF(ISBLANK(I288),0,1)</f>
        <v>0</v>
      </c>
      <c r="I288" s="57"/>
      <c r="J288" s="58"/>
      <c r="K288" s="66" t="s">
        <v>681</v>
      </c>
      <c r="L288" s="66" t="s">
        <v>986</v>
      </c>
      <c r="M288" cm="1">
        <f t="array" ref="M288">_xlfn.XLOOKUP(Matrix[[#This Row],[TEAM]]&amp;Matrix[[#Headers],[1]],FDR[FDR]&amp;FDR[[#Headers],[1]],FDR[1],"",0,1)</f>
        <v>3</v>
      </c>
      <c r="N288" cm="1">
        <f t="array" ref="N288">_xlfn.XLOOKUP(Matrix[[#This Row],[TEAM]]&amp;Matrix[[#Headers],[2]],FDR[FDR]&amp;FDR[[#Headers],[2]],FDR[2],"",0,1)</f>
        <v>2</v>
      </c>
      <c r="O288" cm="1">
        <f t="array" ref="O288">_xlfn.XLOOKUP(Matrix[[#This Row],[TEAM]]&amp;Matrix[[#Headers],[3]],FDR[FDR]&amp;FDR[[#Headers],[3]],FDR[3],"",0,1)</f>
        <v>1</v>
      </c>
      <c r="P288" cm="1">
        <f t="array" ref="P288">_xlfn.XLOOKUP(Matrix[[#This Row],[TEAM]]&amp;Matrix[[#Headers],[4]],FDR[FDR]&amp;FDR[[#Headers],[4]],FDR[4],"",0,1)</f>
        <v>2</v>
      </c>
      <c r="Q288" cm="1">
        <f t="array" ref="Q288">_xlfn.XLOOKUP(Matrix[[#This Row],[TEAM]]&amp;Matrix[[#Headers],[5]],FDR[FDR]&amp;FDR[[#Headers],[5]],FDR[5],"",0,1)</f>
        <v>1</v>
      </c>
      <c r="R288" cm="1">
        <f t="array" ref="R288">_xlfn.XLOOKUP(Matrix[[#This Row],[TEAM]]&amp;Matrix[[#Headers],[6]],FDR[FDR]&amp;FDR[[#Headers],[6]],FDR[6],"",0,1)</f>
        <v>2</v>
      </c>
      <c r="S288" cm="1">
        <f t="array" ref="S288">_xlfn.XLOOKUP(Matrix[[#This Row],[TEAM]]&amp;Matrix[[#Headers],[7]],FDR[FDR]&amp;FDR[[#Headers],[7]],FDR[7],"",0,1)</f>
        <v>1</v>
      </c>
      <c r="T288" cm="1">
        <f t="array" ref="T288">_xlfn.XLOOKUP(Matrix[[#This Row],[TEAM]]&amp;Matrix[[#Headers],[8]],FDR[FDR]&amp;FDR[[#Headers],[8]],FDR[8],"",0,1)</f>
        <v>4</v>
      </c>
      <c r="U288" cm="1">
        <f t="array" ref="U288">_xlfn.XLOOKUP(Matrix[[#This Row],[TEAM]]&amp;Matrix[[#Headers],[9]],FDR[FDR]&amp;FDR[[#Headers],[9]],FDR[9],"",0,1)</f>
        <v>3</v>
      </c>
      <c r="V288" cm="1">
        <f t="array" ref="V288">_xlfn.XLOOKUP(Matrix[[#This Row],[TEAM]]&amp;Matrix[[#Headers],[10]],FDR[FDR]&amp;FDR[[#Headers],[10]],FDR[10],"",0,1)</f>
        <v>4</v>
      </c>
      <c r="W288" cm="1">
        <f t="array" ref="W288">_xlfn.XLOOKUP(Matrix[[#This Row],[TEAM]]&amp;Matrix[[#Headers],[11]],FDR[FDR]&amp;FDR[[#Headers],[11]],FDR[11],"",0,1)</f>
        <v>2</v>
      </c>
      <c r="X288" cm="1">
        <f t="array" ref="X288">_xlfn.XLOOKUP(Matrix[[#This Row],[TEAM]]&amp;Matrix[[#Headers],[12]],FDR[FDR]&amp;FDR[[#Headers],[12]],FDR[12],"",0,1)</f>
        <v>1</v>
      </c>
      <c r="Y288" cm="1">
        <f t="array" ref="Y288">_xlfn.XLOOKUP(Matrix[[#This Row],[TEAM]]&amp;Matrix[[#Headers],[13]],FDR[FDR]&amp;FDR[[#Headers],[13]],FDR[13],"",0,1)</f>
        <v>1</v>
      </c>
      <c r="Z288" cm="1">
        <f t="array" ref="Z288">_xlfn.XLOOKUP(Matrix[[#This Row],[TEAM]]&amp;Matrix[[#Headers],[14]],FDR[FDR]&amp;FDR[[#Headers],[14]],FDR[14],"",0,1)</f>
        <v>3</v>
      </c>
      <c r="AA288" cm="1">
        <f t="array" ref="AA288">_xlfn.XLOOKUP(Matrix[[#This Row],[TEAM]]&amp;Matrix[[#Headers],[15]],FDR[FDR]&amp;FDR[[#Headers],[15]],FDR[15],"",0,1)</f>
        <v>3</v>
      </c>
      <c r="AB288" cm="1">
        <f t="array" ref="AB288">_xlfn.XLOOKUP(Matrix[[#This Row],[TEAM]]&amp;Matrix[[#Headers],[16]],FDR[FDR]&amp;FDR[[#Headers],[16]],FDR[16],"",0,1)</f>
        <v>2</v>
      </c>
      <c r="AC288" cm="1">
        <f t="array" ref="AC288">_xlfn.XLOOKUP(Matrix[[#This Row],[TEAM]]&amp;Matrix[[#Headers],[17]],FDR[FDR]&amp;FDR[[#Headers],[17]],FDR[17],"",0,1)</f>
        <v>3</v>
      </c>
      <c r="AD288" cm="1">
        <f t="array" ref="AD288">_xlfn.XLOOKUP(Matrix[[#This Row],[TEAM]]&amp;Matrix[[#Headers],[18]],FDR[FDR]&amp;FDR[[#Headers],[18]],FDR[18],"",0,1)</f>
        <v>4</v>
      </c>
      <c r="AE288" cm="1">
        <f t="array" ref="AE288">_xlfn.XLOOKUP(Matrix[[#This Row],[TEAM]]&amp;Matrix[[#Headers],[19]],FDR[FDR]&amp;FDR[[#Headers],[19]],FDR[19],"",0,1)</f>
        <v>4</v>
      </c>
      <c r="AF288" cm="1">
        <f t="array" ref="AF288">_xlfn.XLOOKUP(Matrix[[#This Row],[TEAM]]&amp;Matrix[[#Headers],[20]],FDR[FDR]&amp;FDR[[#Headers],[20]],FDR[20],"",0,1)</f>
        <v>2</v>
      </c>
      <c r="AG288" cm="1">
        <f t="array" ref="AG288">_xlfn.XLOOKUP(Matrix[[#This Row],[TEAM]]&amp;Matrix[[#Headers],[21]],FDR[FDR]&amp;FDR[[#Headers],[21]],FDR[21],"",0,1)</f>
        <v>2</v>
      </c>
      <c r="AH288" cm="1">
        <f t="array" ref="AH288">_xlfn.XLOOKUP(Matrix[[#This Row],[TEAM]]&amp;Matrix[[#Headers],[22]],FDR[FDR]&amp;FDR[[#Headers],[22]],FDR[22],"",0,1)</f>
        <v>1</v>
      </c>
      <c r="AI288" cm="1">
        <f t="array" ref="AI288">_xlfn.XLOOKUP(Matrix[[#This Row],[TEAM]]&amp;Matrix[[#Headers],[23]],FDR[FDR]&amp;FDR[[#Headers],[23]],FDR[23],"",0,1)</f>
        <v>4</v>
      </c>
      <c r="AJ288" cm="1">
        <f t="array" ref="AJ288">_xlfn.XLOOKUP(Matrix[[#This Row],[TEAM]]&amp;Matrix[[#Headers],[24]],FDR[FDR]&amp;FDR[[#Headers],[24]],FDR[24],"",0,1)</f>
        <v>1</v>
      </c>
      <c r="AK288" cm="1">
        <f t="array" ref="AK288">_xlfn.XLOOKUP(Matrix[[#This Row],[TEAM]]&amp;Matrix[[#Headers],[25]],FDR[FDR]&amp;FDR[[#Headers],[25]],FDR[25],"",0,1)</f>
        <v>3</v>
      </c>
      <c r="AL288" cm="1">
        <f t="array" ref="AL288">_xlfn.XLOOKUP(Matrix[[#This Row],[TEAM]]&amp;Matrix[[#Headers],[26]],FDR[FDR]&amp;FDR[[#Headers],[26]],FDR[26],"",0,1)</f>
        <v>2</v>
      </c>
      <c r="AM288" cm="1">
        <f t="array" ref="AM288">_xlfn.XLOOKUP(Matrix[[#This Row],[TEAM]]&amp;Matrix[[#Headers],[27]],FDR[FDR]&amp;FDR[[#Headers],[27]],FDR[27],"",0,1)</f>
        <v>1</v>
      </c>
      <c r="AN288" cm="1">
        <f t="array" ref="AN288">_xlfn.XLOOKUP(Matrix[[#This Row],[TEAM]]&amp;Matrix[[#Headers],[28]],FDR[FDR]&amp;FDR[[#Headers],[28]],FDR[28],"",0,1)</f>
        <v>1</v>
      </c>
      <c r="AO288" cm="1">
        <f t="array" ref="AO288">_xlfn.XLOOKUP(Matrix[[#This Row],[TEAM]]&amp;Matrix[[#Headers],[29]],FDR[FDR]&amp;FDR[[#Headers],[29]],FDR[29],"",0,1)</f>
        <v>3</v>
      </c>
      <c r="AP288" cm="1">
        <f t="array" ref="AP288">_xlfn.XLOOKUP(Matrix[[#This Row],[TEAM]]&amp;Matrix[[#Headers],[30]],FDR[FDR]&amp;FDR[[#Headers],[30]],FDR[30],"",0,1)</f>
        <v>4</v>
      </c>
      <c r="AQ288" cm="1">
        <f t="array" ref="AQ288">_xlfn.XLOOKUP(Matrix[[#This Row],[TEAM]]&amp;Matrix[[#Headers],[31]],FDR[FDR]&amp;FDR[[#Headers],[31]],FDR[31],"",0,1)</f>
        <v>1</v>
      </c>
      <c r="AR288" cm="1">
        <f t="array" ref="AR288">_xlfn.XLOOKUP(Matrix[[#This Row],[TEAM]]&amp;Matrix[[#Headers],[32]],FDR[FDR]&amp;FDR[[#Headers],[32]],FDR[32],"",0,1)</f>
        <v>3</v>
      </c>
      <c r="AS288" cm="1">
        <f t="array" ref="AS288">_xlfn.XLOOKUP(Matrix[[#This Row],[TEAM]]&amp;Matrix[[#Headers],[33]],FDR[FDR]&amp;FDR[[#Headers],[33]],FDR[33],"",0,1)</f>
        <v>1</v>
      </c>
      <c r="AT288" cm="1">
        <f t="array" ref="AT288">_xlfn.XLOOKUP(Matrix[[#This Row],[TEAM]]&amp;Matrix[[#Headers],[34]],FDR[FDR]&amp;FDR[[#Headers],[34]],FDR[34],"",0,1)</f>
        <v>3</v>
      </c>
      <c r="AU288" cm="1">
        <f t="array" ref="AU288">_xlfn.XLOOKUP(Matrix[[#This Row],[TEAM]]&amp;Matrix[[#Headers],[35]],FDR[FDR]&amp;FDR[[#Headers],[35]],FDR[35],"",0,1)</f>
        <v>3</v>
      </c>
      <c r="AV288" cm="1">
        <f t="array" ref="AV288">_xlfn.XLOOKUP(Matrix[[#This Row],[TEAM]]&amp;Matrix[[#Headers],[36]],FDR[FDR]&amp;FDR[[#Headers],[36]],FDR[36],"",0,1)</f>
        <v>1</v>
      </c>
      <c r="AW288" cm="1">
        <f t="array" ref="AW288">_xlfn.XLOOKUP(Matrix[[#This Row],[TEAM]]&amp;Matrix[[#Headers],[37]],FDR[FDR]&amp;FDR[[#Headers],[37]],FDR[37],"",0,1)</f>
        <v>3</v>
      </c>
      <c r="AX288" cm="1">
        <f t="array" ref="AX288">_xlfn.XLOOKUP(Matrix[[#This Row],[TEAM]]&amp;Matrix[[#Headers],[38]],FDR[FDR]&amp;FDR[[#Headers],[38]],FDR[38],"",0,1)</f>
        <v>4</v>
      </c>
    </row>
    <row r="289" spans="1:50" ht="22" thickTop="1" thickBot="1">
      <c r="A289" s="52" t="s">
        <v>658</v>
      </c>
      <c r="B289" s="70" t="s">
        <v>1624</v>
      </c>
      <c r="C289" s="40" t="s">
        <v>43</v>
      </c>
      <c r="D289" s="62">
        <v>0</v>
      </c>
      <c r="E289" s="60">
        <v>3.6999999999999998E-2</v>
      </c>
      <c r="F289" s="61">
        <v>0</v>
      </c>
      <c r="G289" s="63">
        <v>4.5</v>
      </c>
      <c r="H289" s="261">
        <f>IF(ISBLANK(I289),0,1)</f>
        <v>0</v>
      </c>
      <c r="I289" s="57"/>
      <c r="J289" s="58"/>
      <c r="K289" s="66" t="s">
        <v>682</v>
      </c>
      <c r="L289" s="66" t="s">
        <v>683</v>
      </c>
      <c r="M289" cm="1">
        <f t="array" ref="M289">_xlfn.XLOOKUP(Matrix[[#This Row],[TEAM]]&amp;Matrix[[#Headers],[1]],FDR[FDR]&amp;FDR[[#Headers],[1]],FDR[1],"",0,1)</f>
        <v>5</v>
      </c>
      <c r="N289" cm="1">
        <f t="array" ref="N289">_xlfn.XLOOKUP(Matrix[[#This Row],[TEAM]]&amp;Matrix[[#Headers],[2]],FDR[FDR]&amp;FDR[[#Headers],[2]],FDR[2],"",0,1)</f>
        <v>1</v>
      </c>
      <c r="O289" cm="1">
        <f t="array" ref="O289">_xlfn.XLOOKUP(Matrix[[#This Row],[TEAM]]&amp;Matrix[[#Headers],[3]],FDR[FDR]&amp;FDR[[#Headers],[3]],FDR[3],"",0,1)</f>
        <v>5</v>
      </c>
      <c r="P289" cm="1">
        <f t="array" ref="P289">_xlfn.XLOOKUP(Matrix[[#This Row],[TEAM]]&amp;Matrix[[#Headers],[4]],FDR[FDR]&amp;FDR[[#Headers],[4]],FDR[4],"",0,1)</f>
        <v>3</v>
      </c>
      <c r="Q289" cm="1">
        <f t="array" ref="Q289">_xlfn.XLOOKUP(Matrix[[#This Row],[TEAM]]&amp;Matrix[[#Headers],[5]],FDR[FDR]&amp;FDR[[#Headers],[5]],FDR[5],"",0,1)</f>
        <v>4</v>
      </c>
      <c r="R289" cm="1">
        <f t="array" ref="R289">_xlfn.XLOOKUP(Matrix[[#This Row],[TEAM]]&amp;Matrix[[#Headers],[6]],FDR[FDR]&amp;FDR[[#Headers],[6]],FDR[6],"",0,1)</f>
        <v>2</v>
      </c>
      <c r="S289" cm="1">
        <f t="array" ref="S289">_xlfn.XLOOKUP(Matrix[[#This Row],[TEAM]]&amp;Matrix[[#Headers],[7]],FDR[FDR]&amp;FDR[[#Headers],[7]],FDR[7],"",0,1)</f>
        <v>3</v>
      </c>
      <c r="T289" cm="1">
        <f t="array" ref="T289">_xlfn.XLOOKUP(Matrix[[#This Row],[TEAM]]&amp;Matrix[[#Headers],[8]],FDR[FDR]&amp;FDR[[#Headers],[8]],FDR[8],"",0,1)</f>
        <v>3</v>
      </c>
      <c r="U289" cm="1">
        <f t="array" ref="U289">_xlfn.XLOOKUP(Matrix[[#This Row],[TEAM]]&amp;Matrix[[#Headers],[9]],FDR[FDR]&amp;FDR[[#Headers],[9]],FDR[9],"",0,1)</f>
        <v>3</v>
      </c>
      <c r="V289" cm="1">
        <f t="array" ref="V289">_xlfn.XLOOKUP(Matrix[[#This Row],[TEAM]]&amp;Matrix[[#Headers],[10]],FDR[FDR]&amp;FDR[[#Headers],[10]],FDR[10],"",0,1)</f>
        <v>5</v>
      </c>
      <c r="W289" cm="1">
        <f t="array" ref="W289">_xlfn.XLOOKUP(Matrix[[#This Row],[TEAM]]&amp;Matrix[[#Headers],[11]],FDR[FDR]&amp;FDR[[#Headers],[11]],FDR[11],"",0,1)</f>
        <v>5</v>
      </c>
      <c r="X289" cm="1">
        <f t="array" ref="X289">_xlfn.XLOOKUP(Matrix[[#This Row],[TEAM]]&amp;Matrix[[#Headers],[12]],FDR[FDR]&amp;FDR[[#Headers],[12]],FDR[12],"",0,1)</f>
        <v>2</v>
      </c>
      <c r="Y289" cm="1">
        <f t="array" ref="Y289">_xlfn.XLOOKUP(Matrix[[#This Row],[TEAM]]&amp;Matrix[[#Headers],[13]],FDR[FDR]&amp;FDR[[#Headers],[13]],FDR[13],"",0,1)</f>
        <v>2</v>
      </c>
      <c r="Z289" cm="1">
        <f t="array" ref="Z289">_xlfn.XLOOKUP(Matrix[[#This Row],[TEAM]]&amp;Matrix[[#Headers],[14]],FDR[FDR]&amp;FDR[[#Headers],[14]],FDR[14],"",0,1)</f>
        <v>2</v>
      </c>
      <c r="AA289" cm="1">
        <f t="array" ref="AA289">_xlfn.XLOOKUP(Matrix[[#This Row],[TEAM]]&amp;Matrix[[#Headers],[15]],FDR[FDR]&amp;FDR[[#Headers],[15]],FDR[15],"",0,1)</f>
        <v>4</v>
      </c>
      <c r="AB289" cm="1">
        <f t="array" ref="AB289">_xlfn.XLOOKUP(Matrix[[#This Row],[TEAM]]&amp;Matrix[[#Headers],[16]],FDR[FDR]&amp;FDR[[#Headers],[16]],FDR[16],"",0,1)</f>
        <v>5</v>
      </c>
      <c r="AC289" cm="1">
        <f t="array" ref="AC289">_xlfn.XLOOKUP(Matrix[[#This Row],[TEAM]]&amp;Matrix[[#Headers],[17]],FDR[FDR]&amp;FDR[[#Headers],[17]],FDR[17],"",0,1)</f>
        <v>1</v>
      </c>
      <c r="AD289" cm="1">
        <f t="array" ref="AD289">_xlfn.XLOOKUP(Matrix[[#This Row],[TEAM]]&amp;Matrix[[#Headers],[18]],FDR[FDR]&amp;FDR[[#Headers],[18]],FDR[18],"",0,1)</f>
        <v>3</v>
      </c>
      <c r="AE289" cm="1">
        <f t="array" ref="AE289">_xlfn.XLOOKUP(Matrix[[#This Row],[TEAM]]&amp;Matrix[[#Headers],[19]],FDR[FDR]&amp;FDR[[#Headers],[19]],FDR[19],"",0,1)</f>
        <v>5</v>
      </c>
      <c r="AF289" cm="1">
        <f t="array" ref="AF289">_xlfn.XLOOKUP(Matrix[[#This Row],[TEAM]]&amp;Matrix[[#Headers],[20]],FDR[FDR]&amp;FDR[[#Headers],[20]],FDR[20],"",0,1)</f>
        <v>4</v>
      </c>
      <c r="AG289" cm="1">
        <f t="array" ref="AG289">_xlfn.XLOOKUP(Matrix[[#This Row],[TEAM]]&amp;Matrix[[#Headers],[21]],FDR[FDR]&amp;FDR[[#Headers],[21]],FDR[21],"",0,1)</f>
        <v>4</v>
      </c>
      <c r="AH289" cm="1">
        <f t="array" ref="AH289">_xlfn.XLOOKUP(Matrix[[#This Row],[TEAM]]&amp;Matrix[[#Headers],[22]],FDR[FDR]&amp;FDR[[#Headers],[22]],FDR[22],"",0,1)</f>
        <v>4</v>
      </c>
      <c r="AI289" cm="1">
        <f t="array" ref="AI289">_xlfn.XLOOKUP(Matrix[[#This Row],[TEAM]]&amp;Matrix[[#Headers],[23]],FDR[FDR]&amp;FDR[[#Headers],[23]],FDR[23],"",0,1)</f>
        <v>4</v>
      </c>
      <c r="AJ289" cm="1">
        <f t="array" ref="AJ289">_xlfn.XLOOKUP(Matrix[[#This Row],[TEAM]]&amp;Matrix[[#Headers],[24]],FDR[FDR]&amp;FDR[[#Headers],[24]],FDR[24],"",0,1)</f>
        <v>2</v>
      </c>
      <c r="AK289" cm="1">
        <f t="array" ref="AK289">_xlfn.XLOOKUP(Matrix[[#This Row],[TEAM]]&amp;Matrix[[#Headers],[25]],FDR[FDR]&amp;FDR[[#Headers],[25]],FDR[25],"",0,1)</f>
        <v>3</v>
      </c>
      <c r="AL289" cm="1">
        <f t="array" ref="AL289">_xlfn.XLOOKUP(Matrix[[#This Row],[TEAM]]&amp;Matrix[[#Headers],[26]],FDR[FDR]&amp;FDR[[#Headers],[26]],FDR[26],"",0,1)</f>
        <v>3</v>
      </c>
      <c r="AM289" cm="1">
        <f t="array" ref="AM289">_xlfn.XLOOKUP(Matrix[[#This Row],[TEAM]]&amp;Matrix[[#Headers],[27]],FDR[FDR]&amp;FDR[[#Headers],[27]],FDR[27],"",0,1)</f>
        <v>3</v>
      </c>
      <c r="AN289" cm="1">
        <f t="array" ref="AN289">_xlfn.XLOOKUP(Matrix[[#This Row],[TEAM]]&amp;Matrix[[#Headers],[28]],FDR[FDR]&amp;FDR[[#Headers],[28]],FDR[28],"",0,1)</f>
        <v>1</v>
      </c>
      <c r="AO289" cm="1">
        <f t="array" ref="AO289">_xlfn.XLOOKUP(Matrix[[#This Row],[TEAM]]&amp;Matrix[[#Headers],[29]],FDR[FDR]&amp;FDR[[#Headers],[29]],FDR[29],"",0,1)</f>
        <v>2</v>
      </c>
      <c r="AP289" cm="1">
        <f t="array" ref="AP289">_xlfn.XLOOKUP(Matrix[[#This Row],[TEAM]]&amp;Matrix[[#Headers],[30]],FDR[FDR]&amp;FDR[[#Headers],[30]],FDR[30],"",0,1)</f>
        <v>2</v>
      </c>
      <c r="AQ289" cm="1">
        <f t="array" ref="AQ289">_xlfn.XLOOKUP(Matrix[[#This Row],[TEAM]]&amp;Matrix[[#Headers],[31]],FDR[FDR]&amp;FDR[[#Headers],[31]],FDR[31],"",0,1)</f>
        <v>4</v>
      </c>
      <c r="AR289" cm="1">
        <f t="array" ref="AR289">_xlfn.XLOOKUP(Matrix[[#This Row],[TEAM]]&amp;Matrix[[#Headers],[32]],FDR[FDR]&amp;FDR[[#Headers],[32]],FDR[32],"",0,1)</f>
        <v>5</v>
      </c>
      <c r="AS289" cm="1">
        <f t="array" ref="AS289">_xlfn.XLOOKUP(Matrix[[#This Row],[TEAM]]&amp;Matrix[[#Headers],[33]],FDR[FDR]&amp;FDR[[#Headers],[33]],FDR[33],"",0,1)</f>
        <v>5</v>
      </c>
      <c r="AT289" cm="1">
        <f t="array" ref="AT289">_xlfn.XLOOKUP(Matrix[[#This Row],[TEAM]]&amp;Matrix[[#Headers],[34]],FDR[FDR]&amp;FDR[[#Headers],[34]],FDR[34],"",0,1)</f>
        <v>1</v>
      </c>
      <c r="AU289" cm="1">
        <f t="array" ref="AU289">_xlfn.XLOOKUP(Matrix[[#This Row],[TEAM]]&amp;Matrix[[#Headers],[35]],FDR[FDR]&amp;FDR[[#Headers],[35]],FDR[35],"",0,1)</f>
        <v>2</v>
      </c>
      <c r="AV289" cm="1">
        <f t="array" ref="AV289">_xlfn.XLOOKUP(Matrix[[#This Row],[TEAM]]&amp;Matrix[[#Headers],[36]],FDR[FDR]&amp;FDR[[#Headers],[36]],FDR[36],"",0,1)</f>
        <v>4</v>
      </c>
      <c r="AW289" cm="1">
        <f t="array" ref="AW289">_xlfn.XLOOKUP(Matrix[[#This Row],[TEAM]]&amp;Matrix[[#Headers],[37]],FDR[FDR]&amp;FDR[[#Headers],[37]],FDR[37],"",0,1)</f>
        <v>4</v>
      </c>
      <c r="AX289" cm="1">
        <f t="array" ref="AX289">_xlfn.XLOOKUP(Matrix[[#This Row],[TEAM]]&amp;Matrix[[#Headers],[38]],FDR[FDR]&amp;FDR[[#Headers],[38]],FDR[38],"",0,1)</f>
        <v>4</v>
      </c>
    </row>
    <row r="290" spans="1:50" ht="22" thickTop="1" thickBot="1">
      <c r="A290" s="52" t="s">
        <v>658</v>
      </c>
      <c r="B290" s="70" t="s">
        <v>1701</v>
      </c>
      <c r="C290" s="40" t="s">
        <v>22</v>
      </c>
      <c r="D290" s="68">
        <v>0</v>
      </c>
      <c r="E290" s="60">
        <v>2E-3</v>
      </c>
      <c r="F290" s="67">
        <v>0</v>
      </c>
      <c r="G290" s="63">
        <v>4.5</v>
      </c>
      <c r="H290" s="261">
        <f>IF(ISBLANK(I290),0,1)</f>
        <v>0</v>
      </c>
      <c r="I290" s="57"/>
      <c r="J290" s="58"/>
      <c r="K290" s="66" t="s">
        <v>412</v>
      </c>
      <c r="L290" s="66" t="s">
        <v>676</v>
      </c>
      <c r="M290" cm="1">
        <f t="array" ref="M290">_xlfn.XLOOKUP(Matrix[[#This Row],[TEAM]]&amp;Matrix[[#Headers],[1]],FDR[FDR]&amp;FDR[[#Headers],[1]],FDR[1],"",0,1)</f>
        <v>5</v>
      </c>
      <c r="N290" cm="1">
        <f t="array" ref="N290">_xlfn.XLOOKUP(Matrix[[#This Row],[TEAM]]&amp;Matrix[[#Headers],[2]],FDR[FDR]&amp;FDR[[#Headers],[2]],FDR[2],"",0,1)</f>
        <v>3</v>
      </c>
      <c r="O290" cm="1">
        <f t="array" ref="O290">_xlfn.XLOOKUP(Matrix[[#This Row],[TEAM]]&amp;Matrix[[#Headers],[3]],FDR[FDR]&amp;FDR[[#Headers],[3]],FDR[3],"",0,1)</f>
        <v>5</v>
      </c>
      <c r="P290" cm="1">
        <f t="array" ref="P290">_xlfn.XLOOKUP(Matrix[[#This Row],[TEAM]]&amp;Matrix[[#Headers],[4]],FDR[FDR]&amp;FDR[[#Headers],[4]],FDR[4],"",0,1)</f>
        <v>5</v>
      </c>
      <c r="Q290" cm="1">
        <f t="array" ref="Q290">_xlfn.XLOOKUP(Matrix[[#This Row],[TEAM]]&amp;Matrix[[#Headers],[5]],FDR[FDR]&amp;FDR[[#Headers],[5]],FDR[5],"",0,1)</f>
        <v>5</v>
      </c>
      <c r="R290" cm="1">
        <f t="array" ref="R290">_xlfn.XLOOKUP(Matrix[[#This Row],[TEAM]]&amp;Matrix[[#Headers],[6]],FDR[FDR]&amp;FDR[[#Headers],[6]],FDR[6],"",0,1)</f>
        <v>5</v>
      </c>
      <c r="S290" cm="1">
        <f t="array" ref="S290">_xlfn.XLOOKUP(Matrix[[#This Row],[TEAM]]&amp;Matrix[[#Headers],[7]],FDR[FDR]&amp;FDR[[#Headers],[7]],FDR[7],"",0,1)</f>
        <v>5</v>
      </c>
      <c r="T290" cm="1">
        <f t="array" ref="T290">_xlfn.XLOOKUP(Matrix[[#This Row],[TEAM]]&amp;Matrix[[#Headers],[8]],FDR[FDR]&amp;FDR[[#Headers],[8]],FDR[8],"",0,1)</f>
        <v>3</v>
      </c>
      <c r="U290" cm="1">
        <f t="array" ref="U290">_xlfn.XLOOKUP(Matrix[[#This Row],[TEAM]]&amp;Matrix[[#Headers],[9]],FDR[FDR]&amp;FDR[[#Headers],[9]],FDR[9],"",0,1)</f>
        <v>4</v>
      </c>
      <c r="V290" cm="1">
        <f t="array" ref="V290">_xlfn.XLOOKUP(Matrix[[#This Row],[TEAM]]&amp;Matrix[[#Headers],[10]],FDR[FDR]&amp;FDR[[#Headers],[10]],FDR[10],"",0,1)</f>
        <v>5</v>
      </c>
      <c r="W290" cm="1">
        <f t="array" ref="W290">_xlfn.XLOOKUP(Matrix[[#This Row],[TEAM]]&amp;Matrix[[#Headers],[11]],FDR[FDR]&amp;FDR[[#Headers],[11]],FDR[11],"",0,1)</f>
        <v>5</v>
      </c>
      <c r="X290" cm="1">
        <f t="array" ref="X290">_xlfn.XLOOKUP(Matrix[[#This Row],[TEAM]]&amp;Matrix[[#Headers],[12]],FDR[FDR]&amp;FDR[[#Headers],[12]],FDR[12],"",0,1)</f>
        <v>5</v>
      </c>
      <c r="Y290" cm="1">
        <f t="array" ref="Y290">_xlfn.XLOOKUP(Matrix[[#This Row],[TEAM]]&amp;Matrix[[#Headers],[13]],FDR[FDR]&amp;FDR[[#Headers],[13]],FDR[13],"",0,1)</f>
        <v>5</v>
      </c>
      <c r="Z290" cm="1">
        <f t="array" ref="Z290">_xlfn.XLOOKUP(Matrix[[#This Row],[TEAM]]&amp;Matrix[[#Headers],[14]],FDR[FDR]&amp;FDR[[#Headers],[14]],FDR[14],"",0,1)</f>
        <v>4</v>
      </c>
      <c r="AA290" cm="1">
        <f t="array" ref="AA290">_xlfn.XLOOKUP(Matrix[[#This Row],[TEAM]]&amp;Matrix[[#Headers],[15]],FDR[FDR]&amp;FDR[[#Headers],[15]],FDR[15],"",0,1)</f>
        <v>5</v>
      </c>
      <c r="AB290" cm="1">
        <f t="array" ref="AB290">_xlfn.XLOOKUP(Matrix[[#This Row],[TEAM]]&amp;Matrix[[#Headers],[16]],FDR[FDR]&amp;FDR[[#Headers],[16]],FDR[16],"",0,1)</f>
        <v>5</v>
      </c>
      <c r="AC290" cm="1">
        <f t="array" ref="AC290">_xlfn.XLOOKUP(Matrix[[#This Row],[TEAM]]&amp;Matrix[[#Headers],[17]],FDR[FDR]&amp;FDR[[#Headers],[17]],FDR[17],"",0,1)</f>
        <v>5</v>
      </c>
      <c r="AD290" cm="1">
        <f t="array" ref="AD290">_xlfn.XLOOKUP(Matrix[[#This Row],[TEAM]]&amp;Matrix[[#Headers],[18]],FDR[FDR]&amp;FDR[[#Headers],[18]],FDR[18],"",0,1)</f>
        <v>4</v>
      </c>
      <c r="AE290" cm="1">
        <f t="array" ref="AE290">_xlfn.XLOOKUP(Matrix[[#This Row],[TEAM]]&amp;Matrix[[#Headers],[19]],FDR[FDR]&amp;FDR[[#Headers],[19]],FDR[19],"",0,1)</f>
        <v>5</v>
      </c>
      <c r="AF290" cm="1">
        <f t="array" ref="AF290">_xlfn.XLOOKUP(Matrix[[#This Row],[TEAM]]&amp;Matrix[[#Headers],[20]],FDR[FDR]&amp;FDR[[#Headers],[20]],FDR[20],"",0,1)</f>
        <v>5</v>
      </c>
      <c r="AG290" cm="1">
        <f t="array" ref="AG290">_xlfn.XLOOKUP(Matrix[[#This Row],[TEAM]]&amp;Matrix[[#Headers],[21]],FDR[FDR]&amp;FDR[[#Headers],[21]],FDR[21],"",0,1)</f>
        <v>5</v>
      </c>
      <c r="AH290" cm="1">
        <f t="array" ref="AH290">_xlfn.XLOOKUP(Matrix[[#This Row],[TEAM]]&amp;Matrix[[#Headers],[22]],FDR[FDR]&amp;FDR[[#Headers],[22]],FDR[22],"",0,1)</f>
        <v>5</v>
      </c>
      <c r="AI290" cm="1">
        <f t="array" ref="AI290">_xlfn.XLOOKUP(Matrix[[#This Row],[TEAM]]&amp;Matrix[[#Headers],[23]],FDR[FDR]&amp;FDR[[#Headers],[23]],FDR[23],"",0,1)</f>
        <v>5</v>
      </c>
      <c r="AJ290" cm="1">
        <f t="array" ref="AJ290">_xlfn.XLOOKUP(Matrix[[#This Row],[TEAM]]&amp;Matrix[[#Headers],[24]],FDR[FDR]&amp;FDR[[#Headers],[24]],FDR[24],"",0,1)</f>
        <v>4</v>
      </c>
      <c r="AK290" cm="1">
        <f t="array" ref="AK290">_xlfn.XLOOKUP(Matrix[[#This Row],[TEAM]]&amp;Matrix[[#Headers],[25]],FDR[FDR]&amp;FDR[[#Headers],[25]],FDR[25],"",0,1)</f>
        <v>4</v>
      </c>
      <c r="AL290" cm="1">
        <f t="array" ref="AL290">_xlfn.XLOOKUP(Matrix[[#This Row],[TEAM]]&amp;Matrix[[#Headers],[26]],FDR[FDR]&amp;FDR[[#Headers],[26]],FDR[26],"",0,1)</f>
        <v>5</v>
      </c>
      <c r="AM290" cm="1">
        <f t="array" ref="AM290">_xlfn.XLOOKUP(Matrix[[#This Row],[TEAM]]&amp;Matrix[[#Headers],[27]],FDR[FDR]&amp;FDR[[#Headers],[27]],FDR[27],"",0,1)</f>
        <v>5</v>
      </c>
      <c r="AN290" cm="1">
        <f t="array" ref="AN290">_xlfn.XLOOKUP(Matrix[[#This Row],[TEAM]]&amp;Matrix[[#Headers],[28]],FDR[FDR]&amp;FDR[[#Headers],[28]],FDR[28],"",0,1)</f>
        <v>4</v>
      </c>
      <c r="AO290" cm="1">
        <f t="array" ref="AO290">_xlfn.XLOOKUP(Matrix[[#This Row],[TEAM]]&amp;Matrix[[#Headers],[29]],FDR[FDR]&amp;FDR[[#Headers],[29]],FDR[29],"",0,1)</f>
        <v>5</v>
      </c>
      <c r="AP290" cm="1">
        <f t="array" ref="AP290">_xlfn.XLOOKUP(Matrix[[#This Row],[TEAM]]&amp;Matrix[[#Headers],[30]],FDR[FDR]&amp;FDR[[#Headers],[30]],FDR[30],"",0,1)</f>
        <v>5</v>
      </c>
      <c r="AQ290" cm="1">
        <f t="array" ref="AQ290">_xlfn.XLOOKUP(Matrix[[#This Row],[TEAM]]&amp;Matrix[[#Headers],[31]],FDR[FDR]&amp;FDR[[#Headers],[31]],FDR[31],"",0,1)</f>
        <v>5</v>
      </c>
      <c r="AR290" cm="1">
        <f t="array" ref="AR290">_xlfn.XLOOKUP(Matrix[[#This Row],[TEAM]]&amp;Matrix[[#Headers],[32]],FDR[FDR]&amp;FDR[[#Headers],[32]],FDR[32],"",0,1)</f>
        <v>5</v>
      </c>
      <c r="AS290" cm="1">
        <f t="array" ref="AS290">_xlfn.XLOOKUP(Matrix[[#This Row],[TEAM]]&amp;Matrix[[#Headers],[33]],FDR[FDR]&amp;FDR[[#Headers],[33]],FDR[33],"",0,1)</f>
        <v>5</v>
      </c>
      <c r="AT290" cm="1">
        <f t="array" ref="AT290">_xlfn.XLOOKUP(Matrix[[#This Row],[TEAM]]&amp;Matrix[[#Headers],[34]],FDR[FDR]&amp;FDR[[#Headers],[34]],FDR[34],"",0,1)</f>
        <v>5</v>
      </c>
      <c r="AU290" cm="1">
        <f t="array" ref="AU290">_xlfn.XLOOKUP(Matrix[[#This Row],[TEAM]]&amp;Matrix[[#Headers],[35]],FDR[FDR]&amp;FDR[[#Headers],[35]],FDR[35],"",0,1)</f>
        <v>4</v>
      </c>
      <c r="AV290" cm="1">
        <f t="array" ref="AV290">_xlfn.XLOOKUP(Matrix[[#This Row],[TEAM]]&amp;Matrix[[#Headers],[36]],FDR[FDR]&amp;FDR[[#Headers],[36]],FDR[36],"",0,1)</f>
        <v>5</v>
      </c>
      <c r="AW290" cm="1">
        <f t="array" ref="AW290">_xlfn.XLOOKUP(Matrix[[#This Row],[TEAM]]&amp;Matrix[[#Headers],[37]],FDR[FDR]&amp;FDR[[#Headers],[37]],FDR[37],"",0,1)</f>
        <v>5</v>
      </c>
      <c r="AX290" cm="1">
        <f t="array" ref="AX290">_xlfn.XLOOKUP(Matrix[[#This Row],[TEAM]]&amp;Matrix[[#Headers],[38]],FDR[FDR]&amp;FDR[[#Headers],[38]],FDR[38],"",0,1)</f>
        <v>3</v>
      </c>
    </row>
    <row r="291" spans="1:50" ht="22" thickTop="1" thickBot="1">
      <c r="A291" s="52" t="s">
        <v>658</v>
      </c>
      <c r="B291" s="70" t="s">
        <v>1644</v>
      </c>
      <c r="C291" s="40" t="s">
        <v>633</v>
      </c>
      <c r="D291" s="62">
        <v>0</v>
      </c>
      <c r="E291" s="60">
        <v>0.01</v>
      </c>
      <c r="F291" s="61">
        <v>0</v>
      </c>
      <c r="G291" s="63">
        <v>4.5</v>
      </c>
      <c r="H291" s="261">
        <f>IF(ISBLANK(I291),0,1)</f>
        <v>0</v>
      </c>
      <c r="I291" s="57"/>
      <c r="J291" s="58"/>
      <c r="K291" s="66" t="s">
        <v>691</v>
      </c>
      <c r="L291" s="66" t="s">
        <v>692</v>
      </c>
      <c r="M291" cm="1">
        <f t="array" ref="M291">_xlfn.XLOOKUP(Matrix[[#This Row],[TEAM]]&amp;Matrix[[#Headers],[1]],FDR[FDR]&amp;FDR[[#Headers],[1]],FDR[1],"",0,1)</f>
        <v>4</v>
      </c>
      <c r="N291" cm="1">
        <f t="array" ref="N291">_xlfn.XLOOKUP(Matrix[[#This Row],[TEAM]]&amp;Matrix[[#Headers],[2]],FDR[FDR]&amp;FDR[[#Headers],[2]],FDR[2],"",0,1)</f>
        <v>5</v>
      </c>
      <c r="O291" cm="1">
        <f t="array" ref="O291">_xlfn.XLOOKUP(Matrix[[#This Row],[TEAM]]&amp;Matrix[[#Headers],[3]],FDR[FDR]&amp;FDR[[#Headers],[3]],FDR[3],"",0,1)</f>
        <v>5</v>
      </c>
      <c r="P291" cm="1">
        <f t="array" ref="P291">_xlfn.XLOOKUP(Matrix[[#This Row],[TEAM]]&amp;Matrix[[#Headers],[4]],FDR[FDR]&amp;FDR[[#Headers],[4]],FDR[4],"",0,1)</f>
        <v>5</v>
      </c>
      <c r="Q291" cm="1">
        <f t="array" ref="Q291">_xlfn.XLOOKUP(Matrix[[#This Row],[TEAM]]&amp;Matrix[[#Headers],[5]],FDR[FDR]&amp;FDR[[#Headers],[5]],FDR[5],"",0,1)</f>
        <v>4</v>
      </c>
      <c r="R291" cm="1">
        <f t="array" ref="R291">_xlfn.XLOOKUP(Matrix[[#This Row],[TEAM]]&amp;Matrix[[#Headers],[6]],FDR[FDR]&amp;FDR[[#Headers],[6]],FDR[6],"",0,1)</f>
        <v>5</v>
      </c>
      <c r="S291" cm="1">
        <f t="array" ref="S291">_xlfn.XLOOKUP(Matrix[[#This Row],[TEAM]]&amp;Matrix[[#Headers],[7]],FDR[FDR]&amp;FDR[[#Headers],[7]],FDR[7],"",0,1)</f>
        <v>5</v>
      </c>
      <c r="T291" cm="1">
        <f t="array" ref="T291">_xlfn.XLOOKUP(Matrix[[#This Row],[TEAM]]&amp;Matrix[[#Headers],[8]],FDR[FDR]&amp;FDR[[#Headers],[8]],FDR[8],"",0,1)</f>
        <v>4</v>
      </c>
      <c r="U291" cm="1">
        <f t="array" ref="U291">_xlfn.XLOOKUP(Matrix[[#This Row],[TEAM]]&amp;Matrix[[#Headers],[9]],FDR[FDR]&amp;FDR[[#Headers],[9]],FDR[9],"",0,1)</f>
        <v>4</v>
      </c>
      <c r="V291" cm="1">
        <f t="array" ref="V291">_xlfn.XLOOKUP(Matrix[[#This Row],[TEAM]]&amp;Matrix[[#Headers],[10]],FDR[FDR]&amp;FDR[[#Headers],[10]],FDR[10],"",0,1)</f>
        <v>5</v>
      </c>
      <c r="W291" cm="1">
        <f t="array" ref="W291">_xlfn.XLOOKUP(Matrix[[#This Row],[TEAM]]&amp;Matrix[[#Headers],[11]],FDR[FDR]&amp;FDR[[#Headers],[11]],FDR[11],"",0,1)</f>
        <v>5</v>
      </c>
      <c r="X291" cm="1">
        <f t="array" ref="X291">_xlfn.XLOOKUP(Matrix[[#This Row],[TEAM]]&amp;Matrix[[#Headers],[12]],FDR[FDR]&amp;FDR[[#Headers],[12]],FDR[12],"",0,1)</f>
        <v>5</v>
      </c>
      <c r="Y291" cm="1">
        <f t="array" ref="Y291">_xlfn.XLOOKUP(Matrix[[#This Row],[TEAM]]&amp;Matrix[[#Headers],[13]],FDR[FDR]&amp;FDR[[#Headers],[13]],FDR[13],"",0,1)</f>
        <v>5</v>
      </c>
      <c r="Z291" cm="1">
        <f t="array" ref="Z291">_xlfn.XLOOKUP(Matrix[[#This Row],[TEAM]]&amp;Matrix[[#Headers],[14]],FDR[FDR]&amp;FDR[[#Headers],[14]],FDR[14],"",0,1)</f>
        <v>5</v>
      </c>
      <c r="AA291" cm="1">
        <f t="array" ref="AA291">_xlfn.XLOOKUP(Matrix[[#This Row],[TEAM]]&amp;Matrix[[#Headers],[15]],FDR[FDR]&amp;FDR[[#Headers],[15]],FDR[15],"",0,1)</f>
        <v>5</v>
      </c>
      <c r="AB291" cm="1">
        <f t="array" ref="AB291">_xlfn.XLOOKUP(Matrix[[#This Row],[TEAM]]&amp;Matrix[[#Headers],[16]],FDR[FDR]&amp;FDR[[#Headers],[16]],FDR[16],"",0,1)</f>
        <v>5</v>
      </c>
      <c r="AC291" cm="1">
        <f t="array" ref="AC291">_xlfn.XLOOKUP(Matrix[[#This Row],[TEAM]]&amp;Matrix[[#Headers],[17]],FDR[FDR]&amp;FDR[[#Headers],[17]],FDR[17],"",0,1)</f>
        <v>4</v>
      </c>
      <c r="AD291" cm="1">
        <f t="array" ref="AD291">_xlfn.XLOOKUP(Matrix[[#This Row],[TEAM]]&amp;Matrix[[#Headers],[18]],FDR[FDR]&amp;FDR[[#Headers],[18]],FDR[18],"",0,1)</f>
        <v>4</v>
      </c>
      <c r="AE291" cm="1">
        <f t="array" ref="AE291">_xlfn.XLOOKUP(Matrix[[#This Row],[TEAM]]&amp;Matrix[[#Headers],[19]],FDR[FDR]&amp;FDR[[#Headers],[19]],FDR[19],"",0,1)</f>
        <v>5</v>
      </c>
      <c r="AF291" cm="1">
        <f t="array" ref="AF291">_xlfn.XLOOKUP(Matrix[[#This Row],[TEAM]]&amp;Matrix[[#Headers],[20]],FDR[FDR]&amp;FDR[[#Headers],[20]],FDR[20],"",0,1)</f>
        <v>5</v>
      </c>
      <c r="AG291" cm="1">
        <f t="array" ref="AG291">_xlfn.XLOOKUP(Matrix[[#This Row],[TEAM]]&amp;Matrix[[#Headers],[21]],FDR[FDR]&amp;FDR[[#Headers],[21]],FDR[21],"",0,1)</f>
        <v>5</v>
      </c>
      <c r="AH291" cm="1">
        <f t="array" ref="AH291">_xlfn.XLOOKUP(Matrix[[#This Row],[TEAM]]&amp;Matrix[[#Headers],[22]],FDR[FDR]&amp;FDR[[#Headers],[22]],FDR[22],"",0,1)</f>
        <v>5</v>
      </c>
      <c r="AI291" cm="1">
        <f t="array" ref="AI291">_xlfn.XLOOKUP(Matrix[[#This Row],[TEAM]]&amp;Matrix[[#Headers],[23]],FDR[FDR]&amp;FDR[[#Headers],[23]],FDR[23],"",0,1)</f>
        <v>5</v>
      </c>
      <c r="AJ291" cm="1">
        <f t="array" ref="AJ291">_xlfn.XLOOKUP(Matrix[[#This Row],[TEAM]]&amp;Matrix[[#Headers],[24]],FDR[FDR]&amp;FDR[[#Headers],[24]],FDR[24],"",0,1)</f>
        <v>5</v>
      </c>
      <c r="AK291" cm="1">
        <f t="array" ref="AK291">_xlfn.XLOOKUP(Matrix[[#This Row],[TEAM]]&amp;Matrix[[#Headers],[25]],FDR[FDR]&amp;FDR[[#Headers],[25]],FDR[25],"",0,1)</f>
        <v>5</v>
      </c>
      <c r="AL291" cm="1">
        <f t="array" ref="AL291">_xlfn.XLOOKUP(Matrix[[#This Row],[TEAM]]&amp;Matrix[[#Headers],[26]],FDR[FDR]&amp;FDR[[#Headers],[26]],FDR[26],"",0,1)</f>
        <v>5</v>
      </c>
      <c r="AM291" cm="1">
        <f t="array" ref="AM291">_xlfn.XLOOKUP(Matrix[[#This Row],[TEAM]]&amp;Matrix[[#Headers],[27]],FDR[FDR]&amp;FDR[[#Headers],[27]],FDR[27],"",0,1)</f>
        <v>5</v>
      </c>
      <c r="AN291" cm="1">
        <f t="array" ref="AN291">_xlfn.XLOOKUP(Matrix[[#This Row],[TEAM]]&amp;Matrix[[#Headers],[28]],FDR[FDR]&amp;FDR[[#Headers],[28]],FDR[28],"",0,1)</f>
        <v>5</v>
      </c>
      <c r="AO291" cm="1">
        <f t="array" ref="AO291">_xlfn.XLOOKUP(Matrix[[#This Row],[TEAM]]&amp;Matrix[[#Headers],[29]],FDR[FDR]&amp;FDR[[#Headers],[29]],FDR[29],"",0,1)</f>
        <v>3</v>
      </c>
      <c r="AP291" cm="1">
        <f t="array" ref="AP291">_xlfn.XLOOKUP(Matrix[[#This Row],[TEAM]]&amp;Matrix[[#Headers],[30]],FDR[FDR]&amp;FDR[[#Headers],[30]],FDR[30],"",0,1)</f>
        <v>5</v>
      </c>
      <c r="AQ291" cm="1">
        <f t="array" ref="AQ291">_xlfn.XLOOKUP(Matrix[[#This Row],[TEAM]]&amp;Matrix[[#Headers],[31]],FDR[FDR]&amp;FDR[[#Headers],[31]],FDR[31],"",0,1)</f>
        <v>4</v>
      </c>
      <c r="AR291" cm="1">
        <f t="array" ref="AR291">_xlfn.XLOOKUP(Matrix[[#This Row],[TEAM]]&amp;Matrix[[#Headers],[32]],FDR[FDR]&amp;FDR[[#Headers],[32]],FDR[32],"",0,1)</f>
        <v>5</v>
      </c>
      <c r="AS291" cm="1">
        <f t="array" ref="AS291">_xlfn.XLOOKUP(Matrix[[#This Row],[TEAM]]&amp;Matrix[[#Headers],[33]],FDR[FDR]&amp;FDR[[#Headers],[33]],FDR[33],"",0,1)</f>
        <v>3</v>
      </c>
      <c r="AT291" cm="1">
        <f t="array" ref="AT291">_xlfn.XLOOKUP(Matrix[[#This Row],[TEAM]]&amp;Matrix[[#Headers],[34]],FDR[FDR]&amp;FDR[[#Headers],[34]],FDR[34],"",0,1)</f>
        <v>5</v>
      </c>
      <c r="AU291" cm="1">
        <f t="array" ref="AU291">_xlfn.XLOOKUP(Matrix[[#This Row],[TEAM]]&amp;Matrix[[#Headers],[35]],FDR[FDR]&amp;FDR[[#Headers],[35]],FDR[35],"",0,1)</f>
        <v>3</v>
      </c>
      <c r="AV291" cm="1">
        <f t="array" ref="AV291">_xlfn.XLOOKUP(Matrix[[#This Row],[TEAM]]&amp;Matrix[[#Headers],[36]],FDR[FDR]&amp;FDR[[#Headers],[36]],FDR[36],"",0,1)</f>
        <v>5</v>
      </c>
      <c r="AW291" cm="1">
        <f t="array" ref="AW291">_xlfn.XLOOKUP(Matrix[[#This Row],[TEAM]]&amp;Matrix[[#Headers],[37]],FDR[FDR]&amp;FDR[[#Headers],[37]],FDR[37],"",0,1)</f>
        <v>5</v>
      </c>
      <c r="AX291" cm="1">
        <f t="array" ref="AX291">_xlfn.XLOOKUP(Matrix[[#This Row],[TEAM]]&amp;Matrix[[#Headers],[38]],FDR[FDR]&amp;FDR[[#Headers],[38]],FDR[38],"",0,1)</f>
        <v>5</v>
      </c>
    </row>
    <row r="292" spans="1:50" ht="22" thickTop="1" thickBot="1">
      <c r="A292" s="52" t="s">
        <v>658</v>
      </c>
      <c r="B292" s="70" t="s">
        <v>1686</v>
      </c>
      <c r="C292" s="40" t="s">
        <v>633</v>
      </c>
      <c r="D292" s="62">
        <v>0</v>
      </c>
      <c r="E292" s="60">
        <v>3.0000000000000001E-3</v>
      </c>
      <c r="F292" s="61">
        <v>0</v>
      </c>
      <c r="G292" s="63">
        <v>4.5</v>
      </c>
      <c r="H292" s="261">
        <f>IF(ISBLANK(I292),0,1)</f>
        <v>0</v>
      </c>
      <c r="I292" s="57"/>
      <c r="J292" s="58"/>
      <c r="K292" s="66" t="s">
        <v>1067</v>
      </c>
      <c r="L292" s="66" t="s">
        <v>1068</v>
      </c>
      <c r="M292" cm="1">
        <f t="array" ref="M292">_xlfn.XLOOKUP(Matrix[[#This Row],[TEAM]]&amp;Matrix[[#Headers],[1]],FDR[FDR]&amp;FDR[[#Headers],[1]],FDR[1],"",0,1)</f>
        <v>4</v>
      </c>
      <c r="N292" cm="1">
        <f t="array" ref="N292">_xlfn.XLOOKUP(Matrix[[#This Row],[TEAM]]&amp;Matrix[[#Headers],[2]],FDR[FDR]&amp;FDR[[#Headers],[2]],FDR[2],"",0,1)</f>
        <v>5</v>
      </c>
      <c r="O292" cm="1">
        <f t="array" ref="O292">_xlfn.XLOOKUP(Matrix[[#This Row],[TEAM]]&amp;Matrix[[#Headers],[3]],FDR[FDR]&amp;FDR[[#Headers],[3]],FDR[3],"",0,1)</f>
        <v>5</v>
      </c>
      <c r="P292" cm="1">
        <f t="array" ref="P292">_xlfn.XLOOKUP(Matrix[[#This Row],[TEAM]]&amp;Matrix[[#Headers],[4]],FDR[FDR]&amp;FDR[[#Headers],[4]],FDR[4],"",0,1)</f>
        <v>5</v>
      </c>
      <c r="Q292" cm="1">
        <f t="array" ref="Q292">_xlfn.XLOOKUP(Matrix[[#This Row],[TEAM]]&amp;Matrix[[#Headers],[5]],FDR[FDR]&amp;FDR[[#Headers],[5]],FDR[5],"",0,1)</f>
        <v>4</v>
      </c>
      <c r="R292" cm="1">
        <f t="array" ref="R292">_xlfn.XLOOKUP(Matrix[[#This Row],[TEAM]]&amp;Matrix[[#Headers],[6]],FDR[FDR]&amp;FDR[[#Headers],[6]],FDR[6],"",0,1)</f>
        <v>5</v>
      </c>
      <c r="S292" cm="1">
        <f t="array" ref="S292">_xlfn.XLOOKUP(Matrix[[#This Row],[TEAM]]&amp;Matrix[[#Headers],[7]],FDR[FDR]&amp;FDR[[#Headers],[7]],FDR[7],"",0,1)</f>
        <v>5</v>
      </c>
      <c r="T292" cm="1">
        <f t="array" ref="T292">_xlfn.XLOOKUP(Matrix[[#This Row],[TEAM]]&amp;Matrix[[#Headers],[8]],FDR[FDR]&amp;FDR[[#Headers],[8]],FDR[8],"",0,1)</f>
        <v>4</v>
      </c>
      <c r="U292" cm="1">
        <f t="array" ref="U292">_xlfn.XLOOKUP(Matrix[[#This Row],[TEAM]]&amp;Matrix[[#Headers],[9]],FDR[FDR]&amp;FDR[[#Headers],[9]],FDR[9],"",0,1)</f>
        <v>4</v>
      </c>
      <c r="V292" cm="1">
        <f t="array" ref="V292">_xlfn.XLOOKUP(Matrix[[#This Row],[TEAM]]&amp;Matrix[[#Headers],[10]],FDR[FDR]&amp;FDR[[#Headers],[10]],FDR[10],"",0,1)</f>
        <v>5</v>
      </c>
      <c r="W292" cm="1">
        <f t="array" ref="W292">_xlfn.XLOOKUP(Matrix[[#This Row],[TEAM]]&amp;Matrix[[#Headers],[11]],FDR[FDR]&amp;FDR[[#Headers],[11]],FDR[11],"",0,1)</f>
        <v>5</v>
      </c>
      <c r="X292" cm="1">
        <f t="array" ref="X292">_xlfn.XLOOKUP(Matrix[[#This Row],[TEAM]]&amp;Matrix[[#Headers],[12]],FDR[FDR]&amp;FDR[[#Headers],[12]],FDR[12],"",0,1)</f>
        <v>5</v>
      </c>
      <c r="Y292" cm="1">
        <f t="array" ref="Y292">_xlfn.XLOOKUP(Matrix[[#This Row],[TEAM]]&amp;Matrix[[#Headers],[13]],FDR[FDR]&amp;FDR[[#Headers],[13]],FDR[13],"",0,1)</f>
        <v>5</v>
      </c>
      <c r="Z292" cm="1">
        <f t="array" ref="Z292">_xlfn.XLOOKUP(Matrix[[#This Row],[TEAM]]&amp;Matrix[[#Headers],[14]],FDR[FDR]&amp;FDR[[#Headers],[14]],FDR[14],"",0,1)</f>
        <v>5</v>
      </c>
      <c r="AA292" cm="1">
        <f t="array" ref="AA292">_xlfn.XLOOKUP(Matrix[[#This Row],[TEAM]]&amp;Matrix[[#Headers],[15]],FDR[FDR]&amp;FDR[[#Headers],[15]],FDR[15],"",0,1)</f>
        <v>5</v>
      </c>
      <c r="AB292" cm="1">
        <f t="array" ref="AB292">_xlfn.XLOOKUP(Matrix[[#This Row],[TEAM]]&amp;Matrix[[#Headers],[16]],FDR[FDR]&amp;FDR[[#Headers],[16]],FDR[16],"",0,1)</f>
        <v>5</v>
      </c>
      <c r="AC292" cm="1">
        <f t="array" ref="AC292">_xlfn.XLOOKUP(Matrix[[#This Row],[TEAM]]&amp;Matrix[[#Headers],[17]],FDR[FDR]&amp;FDR[[#Headers],[17]],FDR[17],"",0,1)</f>
        <v>4</v>
      </c>
      <c r="AD292" cm="1">
        <f t="array" ref="AD292">_xlfn.XLOOKUP(Matrix[[#This Row],[TEAM]]&amp;Matrix[[#Headers],[18]],FDR[FDR]&amp;FDR[[#Headers],[18]],FDR[18],"",0,1)</f>
        <v>4</v>
      </c>
      <c r="AE292" cm="1">
        <f t="array" ref="AE292">_xlfn.XLOOKUP(Matrix[[#This Row],[TEAM]]&amp;Matrix[[#Headers],[19]],FDR[FDR]&amp;FDR[[#Headers],[19]],FDR[19],"",0,1)</f>
        <v>5</v>
      </c>
      <c r="AF292" cm="1">
        <f t="array" ref="AF292">_xlfn.XLOOKUP(Matrix[[#This Row],[TEAM]]&amp;Matrix[[#Headers],[20]],FDR[FDR]&amp;FDR[[#Headers],[20]],FDR[20],"",0,1)</f>
        <v>5</v>
      </c>
      <c r="AG292" cm="1">
        <f t="array" ref="AG292">_xlfn.XLOOKUP(Matrix[[#This Row],[TEAM]]&amp;Matrix[[#Headers],[21]],FDR[FDR]&amp;FDR[[#Headers],[21]],FDR[21],"",0,1)</f>
        <v>5</v>
      </c>
      <c r="AH292" cm="1">
        <f t="array" ref="AH292">_xlfn.XLOOKUP(Matrix[[#This Row],[TEAM]]&amp;Matrix[[#Headers],[22]],FDR[FDR]&amp;FDR[[#Headers],[22]],FDR[22],"",0,1)</f>
        <v>5</v>
      </c>
      <c r="AI292" cm="1">
        <f t="array" ref="AI292">_xlfn.XLOOKUP(Matrix[[#This Row],[TEAM]]&amp;Matrix[[#Headers],[23]],FDR[FDR]&amp;FDR[[#Headers],[23]],FDR[23],"",0,1)</f>
        <v>5</v>
      </c>
      <c r="AJ292" cm="1">
        <f t="array" ref="AJ292">_xlfn.XLOOKUP(Matrix[[#This Row],[TEAM]]&amp;Matrix[[#Headers],[24]],FDR[FDR]&amp;FDR[[#Headers],[24]],FDR[24],"",0,1)</f>
        <v>5</v>
      </c>
      <c r="AK292" cm="1">
        <f t="array" ref="AK292">_xlfn.XLOOKUP(Matrix[[#This Row],[TEAM]]&amp;Matrix[[#Headers],[25]],FDR[FDR]&amp;FDR[[#Headers],[25]],FDR[25],"",0,1)</f>
        <v>5</v>
      </c>
      <c r="AL292" cm="1">
        <f t="array" ref="AL292">_xlfn.XLOOKUP(Matrix[[#This Row],[TEAM]]&amp;Matrix[[#Headers],[26]],FDR[FDR]&amp;FDR[[#Headers],[26]],FDR[26],"",0,1)</f>
        <v>5</v>
      </c>
      <c r="AM292" cm="1">
        <f t="array" ref="AM292">_xlfn.XLOOKUP(Matrix[[#This Row],[TEAM]]&amp;Matrix[[#Headers],[27]],FDR[FDR]&amp;FDR[[#Headers],[27]],FDR[27],"",0,1)</f>
        <v>5</v>
      </c>
      <c r="AN292" cm="1">
        <f t="array" ref="AN292">_xlfn.XLOOKUP(Matrix[[#This Row],[TEAM]]&amp;Matrix[[#Headers],[28]],FDR[FDR]&amp;FDR[[#Headers],[28]],FDR[28],"",0,1)</f>
        <v>5</v>
      </c>
      <c r="AO292" cm="1">
        <f t="array" ref="AO292">_xlfn.XLOOKUP(Matrix[[#This Row],[TEAM]]&amp;Matrix[[#Headers],[29]],FDR[FDR]&amp;FDR[[#Headers],[29]],FDR[29],"",0,1)</f>
        <v>3</v>
      </c>
      <c r="AP292" cm="1">
        <f t="array" ref="AP292">_xlfn.XLOOKUP(Matrix[[#This Row],[TEAM]]&amp;Matrix[[#Headers],[30]],FDR[FDR]&amp;FDR[[#Headers],[30]],FDR[30],"",0,1)</f>
        <v>5</v>
      </c>
      <c r="AQ292" cm="1">
        <f t="array" ref="AQ292">_xlfn.XLOOKUP(Matrix[[#This Row],[TEAM]]&amp;Matrix[[#Headers],[31]],FDR[FDR]&amp;FDR[[#Headers],[31]],FDR[31],"",0,1)</f>
        <v>4</v>
      </c>
      <c r="AR292" cm="1">
        <f t="array" ref="AR292">_xlfn.XLOOKUP(Matrix[[#This Row],[TEAM]]&amp;Matrix[[#Headers],[32]],FDR[FDR]&amp;FDR[[#Headers],[32]],FDR[32],"",0,1)</f>
        <v>5</v>
      </c>
      <c r="AS292" cm="1">
        <f t="array" ref="AS292">_xlfn.XLOOKUP(Matrix[[#This Row],[TEAM]]&amp;Matrix[[#Headers],[33]],FDR[FDR]&amp;FDR[[#Headers],[33]],FDR[33],"",0,1)</f>
        <v>3</v>
      </c>
      <c r="AT292" cm="1">
        <f t="array" ref="AT292">_xlfn.XLOOKUP(Matrix[[#This Row],[TEAM]]&amp;Matrix[[#Headers],[34]],FDR[FDR]&amp;FDR[[#Headers],[34]],FDR[34],"",0,1)</f>
        <v>5</v>
      </c>
      <c r="AU292" cm="1">
        <f t="array" ref="AU292">_xlfn.XLOOKUP(Matrix[[#This Row],[TEAM]]&amp;Matrix[[#Headers],[35]],FDR[FDR]&amp;FDR[[#Headers],[35]],FDR[35],"",0,1)</f>
        <v>3</v>
      </c>
      <c r="AV292" cm="1">
        <f t="array" ref="AV292">_xlfn.XLOOKUP(Matrix[[#This Row],[TEAM]]&amp;Matrix[[#Headers],[36]],FDR[FDR]&amp;FDR[[#Headers],[36]],FDR[36],"",0,1)</f>
        <v>5</v>
      </c>
      <c r="AW292" cm="1">
        <f t="array" ref="AW292">_xlfn.XLOOKUP(Matrix[[#This Row],[TEAM]]&amp;Matrix[[#Headers],[37]],FDR[FDR]&amp;FDR[[#Headers],[37]],FDR[37],"",0,1)</f>
        <v>5</v>
      </c>
      <c r="AX292" cm="1">
        <f t="array" ref="AX292">_xlfn.XLOOKUP(Matrix[[#This Row],[TEAM]]&amp;Matrix[[#Headers],[38]],FDR[FDR]&amp;FDR[[#Headers],[38]],FDR[38],"",0,1)</f>
        <v>5</v>
      </c>
    </row>
    <row r="293" spans="1:50" ht="22" thickTop="1" thickBot="1">
      <c r="A293" s="52" t="s">
        <v>658</v>
      </c>
      <c r="B293" s="70" t="s">
        <v>1671</v>
      </c>
      <c r="C293" s="40" t="s">
        <v>634</v>
      </c>
      <c r="D293" s="62">
        <v>0</v>
      </c>
      <c r="E293" s="60">
        <v>4.0000000000000001E-3</v>
      </c>
      <c r="F293" s="61">
        <v>0</v>
      </c>
      <c r="G293" s="63">
        <v>4.5</v>
      </c>
      <c r="H293" s="261">
        <f>IF(ISBLANK(I293),0,1)</f>
        <v>0</v>
      </c>
      <c r="I293" s="57"/>
      <c r="J293" s="58"/>
      <c r="K293" s="66" t="s">
        <v>234</v>
      </c>
      <c r="L293" s="66" t="s">
        <v>158</v>
      </c>
      <c r="M293" cm="1">
        <f t="array" ref="M293">_xlfn.XLOOKUP(Matrix[[#This Row],[TEAM]]&amp;Matrix[[#Headers],[1]],FDR[FDR]&amp;FDR[[#Headers],[1]],FDR[1],"",0,1)</f>
        <v>4</v>
      </c>
      <c r="N293" cm="1">
        <f t="array" ref="N293">_xlfn.XLOOKUP(Matrix[[#This Row],[TEAM]]&amp;Matrix[[#Headers],[2]],FDR[FDR]&amp;FDR[[#Headers],[2]],FDR[2],"",0,1)</f>
        <v>4</v>
      </c>
      <c r="O293" cm="1">
        <f t="array" ref="O293">_xlfn.XLOOKUP(Matrix[[#This Row],[TEAM]]&amp;Matrix[[#Headers],[3]],FDR[FDR]&amp;FDR[[#Headers],[3]],FDR[3],"",0,1)</f>
        <v>4</v>
      </c>
      <c r="P293" cm="1">
        <f t="array" ref="P293">_xlfn.XLOOKUP(Matrix[[#This Row],[TEAM]]&amp;Matrix[[#Headers],[4]],FDR[FDR]&amp;FDR[[#Headers],[4]],FDR[4],"",0,1)</f>
        <v>5</v>
      </c>
      <c r="Q293" cm="1">
        <f t="array" ref="Q293">_xlfn.XLOOKUP(Matrix[[#This Row],[TEAM]]&amp;Matrix[[#Headers],[5]],FDR[FDR]&amp;FDR[[#Headers],[5]],FDR[5],"",0,1)</f>
        <v>5</v>
      </c>
      <c r="R293" cm="1">
        <f t="array" ref="R293">_xlfn.XLOOKUP(Matrix[[#This Row],[TEAM]]&amp;Matrix[[#Headers],[6]],FDR[FDR]&amp;FDR[[#Headers],[6]],FDR[6],"",0,1)</f>
        <v>5</v>
      </c>
      <c r="S293" cm="1">
        <f t="array" ref="S293">_xlfn.XLOOKUP(Matrix[[#This Row],[TEAM]]&amp;Matrix[[#Headers],[7]],FDR[FDR]&amp;FDR[[#Headers],[7]],FDR[7],"",0,1)</f>
        <v>5</v>
      </c>
      <c r="T293" cm="1">
        <f t="array" ref="T293">_xlfn.XLOOKUP(Matrix[[#This Row],[TEAM]]&amp;Matrix[[#Headers],[8]],FDR[FDR]&amp;FDR[[#Headers],[8]],FDR[8],"",0,1)</f>
        <v>3</v>
      </c>
      <c r="U293" cm="1">
        <f t="array" ref="U293">_xlfn.XLOOKUP(Matrix[[#This Row],[TEAM]]&amp;Matrix[[#Headers],[9]],FDR[FDR]&amp;FDR[[#Headers],[9]],FDR[9],"",0,1)</f>
        <v>5</v>
      </c>
      <c r="V293" cm="1">
        <f t="array" ref="V293">_xlfn.XLOOKUP(Matrix[[#This Row],[TEAM]]&amp;Matrix[[#Headers],[10]],FDR[FDR]&amp;FDR[[#Headers],[10]],FDR[10],"",0,1)</f>
        <v>4</v>
      </c>
      <c r="W293" cm="1">
        <f t="array" ref="W293">_xlfn.XLOOKUP(Matrix[[#This Row],[TEAM]]&amp;Matrix[[#Headers],[11]],FDR[FDR]&amp;FDR[[#Headers],[11]],FDR[11],"",0,1)</f>
        <v>5</v>
      </c>
      <c r="X293" cm="1">
        <f t="array" ref="X293">_xlfn.XLOOKUP(Matrix[[#This Row],[TEAM]]&amp;Matrix[[#Headers],[12]],FDR[FDR]&amp;FDR[[#Headers],[12]],FDR[12],"",0,1)</f>
        <v>5</v>
      </c>
      <c r="Y293" cm="1">
        <f t="array" ref="Y293">_xlfn.XLOOKUP(Matrix[[#This Row],[TEAM]]&amp;Matrix[[#Headers],[13]],FDR[FDR]&amp;FDR[[#Headers],[13]],FDR[13],"",0,1)</f>
        <v>5</v>
      </c>
      <c r="Z293" cm="1">
        <f t="array" ref="Z293">_xlfn.XLOOKUP(Matrix[[#This Row],[TEAM]]&amp;Matrix[[#Headers],[14]],FDR[FDR]&amp;FDR[[#Headers],[14]],FDR[14],"",0,1)</f>
        <v>5</v>
      </c>
      <c r="AA293" cm="1">
        <f t="array" ref="AA293">_xlfn.XLOOKUP(Matrix[[#This Row],[TEAM]]&amp;Matrix[[#Headers],[15]],FDR[FDR]&amp;FDR[[#Headers],[15]],FDR[15],"",0,1)</f>
        <v>5</v>
      </c>
      <c r="AB293" cm="1">
        <f t="array" ref="AB293">_xlfn.XLOOKUP(Matrix[[#This Row],[TEAM]]&amp;Matrix[[#Headers],[16]],FDR[FDR]&amp;FDR[[#Headers],[16]],FDR[16],"",0,1)</f>
        <v>5</v>
      </c>
      <c r="AC293" cm="1">
        <f t="array" ref="AC293">_xlfn.XLOOKUP(Matrix[[#This Row],[TEAM]]&amp;Matrix[[#Headers],[17]],FDR[FDR]&amp;FDR[[#Headers],[17]],FDR[17],"",0,1)</f>
        <v>5</v>
      </c>
      <c r="AD293" cm="1">
        <f t="array" ref="AD293">_xlfn.XLOOKUP(Matrix[[#This Row],[TEAM]]&amp;Matrix[[#Headers],[18]],FDR[FDR]&amp;FDR[[#Headers],[18]],FDR[18],"",0,1)</f>
        <v>3</v>
      </c>
      <c r="AE293" cm="1">
        <f t="array" ref="AE293">_xlfn.XLOOKUP(Matrix[[#This Row],[TEAM]]&amp;Matrix[[#Headers],[19]],FDR[FDR]&amp;FDR[[#Headers],[19]],FDR[19],"",0,1)</f>
        <v>5</v>
      </c>
      <c r="AF293" cm="1">
        <f t="array" ref="AF293">_xlfn.XLOOKUP(Matrix[[#This Row],[TEAM]]&amp;Matrix[[#Headers],[20]],FDR[FDR]&amp;FDR[[#Headers],[20]],FDR[20],"",0,1)</f>
        <v>5</v>
      </c>
      <c r="AG293" cm="1">
        <f t="array" ref="AG293">_xlfn.XLOOKUP(Matrix[[#This Row],[TEAM]]&amp;Matrix[[#Headers],[21]],FDR[FDR]&amp;FDR[[#Headers],[21]],FDR[21],"",0,1)</f>
        <v>5</v>
      </c>
      <c r="AH293" cm="1">
        <f t="array" ref="AH293">_xlfn.XLOOKUP(Matrix[[#This Row],[TEAM]]&amp;Matrix[[#Headers],[22]],FDR[FDR]&amp;FDR[[#Headers],[22]],FDR[22],"",0,1)</f>
        <v>4</v>
      </c>
      <c r="AI293" cm="1">
        <f t="array" ref="AI293">_xlfn.XLOOKUP(Matrix[[#This Row],[TEAM]]&amp;Matrix[[#Headers],[23]],FDR[FDR]&amp;FDR[[#Headers],[23]],FDR[23],"",0,1)</f>
        <v>5</v>
      </c>
      <c r="AJ293" cm="1">
        <f t="array" ref="AJ293">_xlfn.XLOOKUP(Matrix[[#This Row],[TEAM]]&amp;Matrix[[#Headers],[24]],FDR[FDR]&amp;FDR[[#Headers],[24]],FDR[24],"",0,1)</f>
        <v>3</v>
      </c>
      <c r="AK293" cm="1">
        <f t="array" ref="AK293">_xlfn.XLOOKUP(Matrix[[#This Row],[TEAM]]&amp;Matrix[[#Headers],[25]],FDR[FDR]&amp;FDR[[#Headers],[25]],FDR[25],"",0,1)</f>
        <v>5</v>
      </c>
      <c r="AL293" cm="1">
        <f t="array" ref="AL293">_xlfn.XLOOKUP(Matrix[[#This Row],[TEAM]]&amp;Matrix[[#Headers],[26]],FDR[FDR]&amp;FDR[[#Headers],[26]],FDR[26],"",0,1)</f>
        <v>5</v>
      </c>
      <c r="AM293" cm="1">
        <f t="array" ref="AM293">_xlfn.XLOOKUP(Matrix[[#This Row],[TEAM]]&amp;Matrix[[#Headers],[27]],FDR[FDR]&amp;FDR[[#Headers],[27]],FDR[27],"",0,1)</f>
        <v>5</v>
      </c>
      <c r="AN293" cm="1">
        <f t="array" ref="AN293">_xlfn.XLOOKUP(Matrix[[#This Row],[TEAM]]&amp;Matrix[[#Headers],[28]],FDR[FDR]&amp;FDR[[#Headers],[28]],FDR[28],"",0,1)</f>
        <v>5</v>
      </c>
      <c r="AO293" cm="1">
        <f t="array" ref="AO293">_xlfn.XLOOKUP(Matrix[[#This Row],[TEAM]]&amp;Matrix[[#Headers],[29]],FDR[FDR]&amp;FDR[[#Headers],[29]],FDR[29],"",0,1)</f>
        <v>4</v>
      </c>
      <c r="AP293" cm="1">
        <f t="array" ref="AP293">_xlfn.XLOOKUP(Matrix[[#This Row],[TEAM]]&amp;Matrix[[#Headers],[30]],FDR[FDR]&amp;FDR[[#Headers],[30]],FDR[30],"",0,1)</f>
        <v>5</v>
      </c>
      <c r="AQ293" cm="1">
        <f t="array" ref="AQ293">_xlfn.XLOOKUP(Matrix[[#This Row],[TEAM]]&amp;Matrix[[#Headers],[31]],FDR[FDR]&amp;FDR[[#Headers],[31]],FDR[31],"",0,1)</f>
        <v>5</v>
      </c>
      <c r="AR293" cm="1">
        <f t="array" ref="AR293">_xlfn.XLOOKUP(Matrix[[#This Row],[TEAM]]&amp;Matrix[[#Headers],[32]],FDR[FDR]&amp;FDR[[#Headers],[32]],FDR[32],"",0,1)</f>
        <v>5</v>
      </c>
      <c r="AS293" cm="1">
        <f t="array" ref="AS293">_xlfn.XLOOKUP(Matrix[[#This Row],[TEAM]]&amp;Matrix[[#Headers],[33]],FDR[FDR]&amp;FDR[[#Headers],[33]],FDR[33],"",0,1)</f>
        <v>5</v>
      </c>
      <c r="AT293" cm="1">
        <f t="array" ref="AT293">_xlfn.XLOOKUP(Matrix[[#This Row],[TEAM]]&amp;Matrix[[#Headers],[34]],FDR[FDR]&amp;FDR[[#Headers],[34]],FDR[34],"",0,1)</f>
        <v>5</v>
      </c>
      <c r="AU293" cm="1">
        <f t="array" ref="AU293">_xlfn.XLOOKUP(Matrix[[#This Row],[TEAM]]&amp;Matrix[[#Headers],[35]],FDR[FDR]&amp;FDR[[#Headers],[35]],FDR[35],"",0,1)</f>
        <v>4</v>
      </c>
      <c r="AV293" cm="1">
        <f t="array" ref="AV293">_xlfn.XLOOKUP(Matrix[[#This Row],[TEAM]]&amp;Matrix[[#Headers],[36]],FDR[FDR]&amp;FDR[[#Headers],[36]],FDR[36],"",0,1)</f>
        <v>5</v>
      </c>
      <c r="AW293" cm="1">
        <f t="array" ref="AW293">_xlfn.XLOOKUP(Matrix[[#This Row],[TEAM]]&amp;Matrix[[#Headers],[37]],FDR[FDR]&amp;FDR[[#Headers],[37]],FDR[37],"",0,1)</f>
        <v>5</v>
      </c>
      <c r="AX293" cm="1">
        <f t="array" ref="AX293">_xlfn.XLOOKUP(Matrix[[#This Row],[TEAM]]&amp;Matrix[[#Headers],[38]],FDR[FDR]&amp;FDR[[#Headers],[38]],FDR[38],"",0,1)</f>
        <v>5</v>
      </c>
    </row>
    <row r="294" spans="1:50" ht="22" thickTop="1" thickBot="1">
      <c r="A294" s="52" t="s">
        <v>658</v>
      </c>
      <c r="B294" s="70" t="s">
        <v>1712</v>
      </c>
      <c r="C294" s="40" t="s">
        <v>634</v>
      </c>
      <c r="D294" s="62">
        <v>0</v>
      </c>
      <c r="E294" s="60">
        <v>2E-3</v>
      </c>
      <c r="F294" s="61">
        <v>0</v>
      </c>
      <c r="G294" s="63">
        <v>4.5</v>
      </c>
      <c r="H294" s="261">
        <f>IF(ISBLANK(I294),0,1)</f>
        <v>0</v>
      </c>
      <c r="I294" s="57"/>
      <c r="J294" s="58"/>
      <c r="K294" s="66" t="s">
        <v>557</v>
      </c>
      <c r="L294" s="66" t="s">
        <v>1172</v>
      </c>
      <c r="M294" cm="1">
        <f t="array" ref="M294">_xlfn.XLOOKUP(Matrix[[#This Row],[TEAM]]&amp;Matrix[[#Headers],[1]],FDR[FDR]&amp;FDR[[#Headers],[1]],FDR[1],"",0,1)</f>
        <v>4</v>
      </c>
      <c r="N294" cm="1">
        <f t="array" ref="N294">_xlfn.XLOOKUP(Matrix[[#This Row],[TEAM]]&amp;Matrix[[#Headers],[2]],FDR[FDR]&amp;FDR[[#Headers],[2]],FDR[2],"",0,1)</f>
        <v>4</v>
      </c>
      <c r="O294" cm="1">
        <f t="array" ref="O294">_xlfn.XLOOKUP(Matrix[[#This Row],[TEAM]]&amp;Matrix[[#Headers],[3]],FDR[FDR]&amp;FDR[[#Headers],[3]],FDR[3],"",0,1)</f>
        <v>4</v>
      </c>
      <c r="P294" cm="1">
        <f t="array" ref="P294">_xlfn.XLOOKUP(Matrix[[#This Row],[TEAM]]&amp;Matrix[[#Headers],[4]],FDR[FDR]&amp;FDR[[#Headers],[4]],FDR[4],"",0,1)</f>
        <v>5</v>
      </c>
      <c r="Q294" cm="1">
        <f t="array" ref="Q294">_xlfn.XLOOKUP(Matrix[[#This Row],[TEAM]]&amp;Matrix[[#Headers],[5]],FDR[FDR]&amp;FDR[[#Headers],[5]],FDR[5],"",0,1)</f>
        <v>5</v>
      </c>
      <c r="R294" cm="1">
        <f t="array" ref="R294">_xlfn.XLOOKUP(Matrix[[#This Row],[TEAM]]&amp;Matrix[[#Headers],[6]],FDR[FDR]&amp;FDR[[#Headers],[6]],FDR[6],"",0,1)</f>
        <v>5</v>
      </c>
      <c r="S294" cm="1">
        <f t="array" ref="S294">_xlfn.XLOOKUP(Matrix[[#This Row],[TEAM]]&amp;Matrix[[#Headers],[7]],FDR[FDR]&amp;FDR[[#Headers],[7]],FDR[7],"",0,1)</f>
        <v>5</v>
      </c>
      <c r="T294" cm="1">
        <f t="array" ref="T294">_xlfn.XLOOKUP(Matrix[[#This Row],[TEAM]]&amp;Matrix[[#Headers],[8]],FDR[FDR]&amp;FDR[[#Headers],[8]],FDR[8],"",0,1)</f>
        <v>3</v>
      </c>
      <c r="U294" cm="1">
        <f t="array" ref="U294">_xlfn.XLOOKUP(Matrix[[#This Row],[TEAM]]&amp;Matrix[[#Headers],[9]],FDR[FDR]&amp;FDR[[#Headers],[9]],FDR[9],"",0,1)</f>
        <v>5</v>
      </c>
      <c r="V294" cm="1">
        <f t="array" ref="V294">_xlfn.XLOOKUP(Matrix[[#This Row],[TEAM]]&amp;Matrix[[#Headers],[10]],FDR[FDR]&amp;FDR[[#Headers],[10]],FDR[10],"",0,1)</f>
        <v>4</v>
      </c>
      <c r="W294" cm="1">
        <f t="array" ref="W294">_xlfn.XLOOKUP(Matrix[[#This Row],[TEAM]]&amp;Matrix[[#Headers],[11]],FDR[FDR]&amp;FDR[[#Headers],[11]],FDR[11],"",0,1)</f>
        <v>5</v>
      </c>
      <c r="X294" cm="1">
        <f t="array" ref="X294">_xlfn.XLOOKUP(Matrix[[#This Row],[TEAM]]&amp;Matrix[[#Headers],[12]],FDR[FDR]&amp;FDR[[#Headers],[12]],FDR[12],"",0,1)</f>
        <v>5</v>
      </c>
      <c r="Y294" cm="1">
        <f t="array" ref="Y294">_xlfn.XLOOKUP(Matrix[[#This Row],[TEAM]]&amp;Matrix[[#Headers],[13]],FDR[FDR]&amp;FDR[[#Headers],[13]],FDR[13],"",0,1)</f>
        <v>5</v>
      </c>
      <c r="Z294" cm="1">
        <f t="array" ref="Z294">_xlfn.XLOOKUP(Matrix[[#This Row],[TEAM]]&amp;Matrix[[#Headers],[14]],FDR[FDR]&amp;FDR[[#Headers],[14]],FDR[14],"",0,1)</f>
        <v>5</v>
      </c>
      <c r="AA294" cm="1">
        <f t="array" ref="AA294">_xlfn.XLOOKUP(Matrix[[#This Row],[TEAM]]&amp;Matrix[[#Headers],[15]],FDR[FDR]&amp;FDR[[#Headers],[15]],FDR[15],"",0,1)</f>
        <v>5</v>
      </c>
      <c r="AB294" cm="1">
        <f t="array" ref="AB294">_xlfn.XLOOKUP(Matrix[[#This Row],[TEAM]]&amp;Matrix[[#Headers],[16]],FDR[FDR]&amp;FDR[[#Headers],[16]],FDR[16],"",0,1)</f>
        <v>5</v>
      </c>
      <c r="AC294" cm="1">
        <f t="array" ref="AC294">_xlfn.XLOOKUP(Matrix[[#This Row],[TEAM]]&amp;Matrix[[#Headers],[17]],FDR[FDR]&amp;FDR[[#Headers],[17]],FDR[17],"",0,1)</f>
        <v>5</v>
      </c>
      <c r="AD294" cm="1">
        <f t="array" ref="AD294">_xlfn.XLOOKUP(Matrix[[#This Row],[TEAM]]&amp;Matrix[[#Headers],[18]],FDR[FDR]&amp;FDR[[#Headers],[18]],FDR[18],"",0,1)</f>
        <v>3</v>
      </c>
      <c r="AE294" cm="1">
        <f t="array" ref="AE294">_xlfn.XLOOKUP(Matrix[[#This Row],[TEAM]]&amp;Matrix[[#Headers],[19]],FDR[FDR]&amp;FDR[[#Headers],[19]],FDR[19],"",0,1)</f>
        <v>5</v>
      </c>
      <c r="AF294" cm="1">
        <f t="array" ref="AF294">_xlfn.XLOOKUP(Matrix[[#This Row],[TEAM]]&amp;Matrix[[#Headers],[20]],FDR[FDR]&amp;FDR[[#Headers],[20]],FDR[20],"",0,1)</f>
        <v>5</v>
      </c>
      <c r="AG294" cm="1">
        <f t="array" ref="AG294">_xlfn.XLOOKUP(Matrix[[#This Row],[TEAM]]&amp;Matrix[[#Headers],[21]],FDR[FDR]&amp;FDR[[#Headers],[21]],FDR[21],"",0,1)</f>
        <v>5</v>
      </c>
      <c r="AH294" cm="1">
        <f t="array" ref="AH294">_xlfn.XLOOKUP(Matrix[[#This Row],[TEAM]]&amp;Matrix[[#Headers],[22]],FDR[FDR]&amp;FDR[[#Headers],[22]],FDR[22],"",0,1)</f>
        <v>4</v>
      </c>
      <c r="AI294" cm="1">
        <f t="array" ref="AI294">_xlfn.XLOOKUP(Matrix[[#This Row],[TEAM]]&amp;Matrix[[#Headers],[23]],FDR[FDR]&amp;FDR[[#Headers],[23]],FDR[23],"",0,1)</f>
        <v>5</v>
      </c>
      <c r="AJ294" cm="1">
        <f t="array" ref="AJ294">_xlfn.XLOOKUP(Matrix[[#This Row],[TEAM]]&amp;Matrix[[#Headers],[24]],FDR[FDR]&amp;FDR[[#Headers],[24]],FDR[24],"",0,1)</f>
        <v>3</v>
      </c>
      <c r="AK294" cm="1">
        <f t="array" ref="AK294">_xlfn.XLOOKUP(Matrix[[#This Row],[TEAM]]&amp;Matrix[[#Headers],[25]],FDR[FDR]&amp;FDR[[#Headers],[25]],FDR[25],"",0,1)</f>
        <v>5</v>
      </c>
      <c r="AL294" cm="1">
        <f t="array" ref="AL294">_xlfn.XLOOKUP(Matrix[[#This Row],[TEAM]]&amp;Matrix[[#Headers],[26]],FDR[FDR]&amp;FDR[[#Headers],[26]],FDR[26],"",0,1)</f>
        <v>5</v>
      </c>
      <c r="AM294" cm="1">
        <f t="array" ref="AM294">_xlfn.XLOOKUP(Matrix[[#This Row],[TEAM]]&amp;Matrix[[#Headers],[27]],FDR[FDR]&amp;FDR[[#Headers],[27]],FDR[27],"",0,1)</f>
        <v>5</v>
      </c>
      <c r="AN294" cm="1">
        <f t="array" ref="AN294">_xlfn.XLOOKUP(Matrix[[#This Row],[TEAM]]&amp;Matrix[[#Headers],[28]],FDR[FDR]&amp;FDR[[#Headers],[28]],FDR[28],"",0,1)</f>
        <v>5</v>
      </c>
      <c r="AO294" cm="1">
        <f t="array" ref="AO294">_xlfn.XLOOKUP(Matrix[[#This Row],[TEAM]]&amp;Matrix[[#Headers],[29]],FDR[FDR]&amp;FDR[[#Headers],[29]],FDR[29],"",0,1)</f>
        <v>4</v>
      </c>
      <c r="AP294" cm="1">
        <f t="array" ref="AP294">_xlfn.XLOOKUP(Matrix[[#This Row],[TEAM]]&amp;Matrix[[#Headers],[30]],FDR[FDR]&amp;FDR[[#Headers],[30]],FDR[30],"",0,1)</f>
        <v>5</v>
      </c>
      <c r="AQ294" cm="1">
        <f t="array" ref="AQ294">_xlfn.XLOOKUP(Matrix[[#This Row],[TEAM]]&amp;Matrix[[#Headers],[31]],FDR[FDR]&amp;FDR[[#Headers],[31]],FDR[31],"",0,1)</f>
        <v>5</v>
      </c>
      <c r="AR294" cm="1">
        <f t="array" ref="AR294">_xlfn.XLOOKUP(Matrix[[#This Row],[TEAM]]&amp;Matrix[[#Headers],[32]],FDR[FDR]&amp;FDR[[#Headers],[32]],FDR[32],"",0,1)</f>
        <v>5</v>
      </c>
      <c r="AS294" cm="1">
        <f t="array" ref="AS294">_xlfn.XLOOKUP(Matrix[[#This Row],[TEAM]]&amp;Matrix[[#Headers],[33]],FDR[FDR]&amp;FDR[[#Headers],[33]],FDR[33],"",0,1)</f>
        <v>5</v>
      </c>
      <c r="AT294" cm="1">
        <f t="array" ref="AT294">_xlfn.XLOOKUP(Matrix[[#This Row],[TEAM]]&amp;Matrix[[#Headers],[34]],FDR[FDR]&amp;FDR[[#Headers],[34]],FDR[34],"",0,1)</f>
        <v>5</v>
      </c>
      <c r="AU294" cm="1">
        <f t="array" ref="AU294">_xlfn.XLOOKUP(Matrix[[#This Row],[TEAM]]&amp;Matrix[[#Headers],[35]],FDR[FDR]&amp;FDR[[#Headers],[35]],FDR[35],"",0,1)</f>
        <v>4</v>
      </c>
      <c r="AV294" cm="1">
        <f t="array" ref="AV294">_xlfn.XLOOKUP(Matrix[[#This Row],[TEAM]]&amp;Matrix[[#Headers],[36]],FDR[FDR]&amp;FDR[[#Headers],[36]],FDR[36],"",0,1)</f>
        <v>5</v>
      </c>
      <c r="AW294" cm="1">
        <f t="array" ref="AW294">_xlfn.XLOOKUP(Matrix[[#This Row],[TEAM]]&amp;Matrix[[#Headers],[37]],FDR[FDR]&amp;FDR[[#Headers],[37]],FDR[37],"",0,1)</f>
        <v>5</v>
      </c>
      <c r="AX294" cm="1">
        <f t="array" ref="AX294">_xlfn.XLOOKUP(Matrix[[#This Row],[TEAM]]&amp;Matrix[[#Headers],[38]],FDR[FDR]&amp;FDR[[#Headers],[38]],FDR[38],"",0,1)</f>
        <v>5</v>
      </c>
    </row>
    <row r="295" spans="1:50" ht="22" thickTop="1" thickBot="1">
      <c r="A295" s="52" t="s">
        <v>658</v>
      </c>
      <c r="B295" s="70" t="s">
        <v>1767</v>
      </c>
      <c r="C295" s="40" t="s">
        <v>27</v>
      </c>
      <c r="D295" s="68">
        <v>0</v>
      </c>
      <c r="E295" s="60">
        <v>1E-3</v>
      </c>
      <c r="F295" s="67">
        <v>0</v>
      </c>
      <c r="G295" s="63">
        <v>4.5</v>
      </c>
      <c r="H295" s="261">
        <f>IF(ISBLANK(I295),0,1)</f>
        <v>0</v>
      </c>
      <c r="I295" s="57"/>
      <c r="J295" s="58"/>
      <c r="K295" s="66" t="s">
        <v>500</v>
      </c>
      <c r="L295" s="66" t="s">
        <v>1212</v>
      </c>
      <c r="M295" cm="1">
        <f t="array" ref="M295">_xlfn.XLOOKUP(Matrix[[#This Row],[TEAM]]&amp;Matrix[[#Headers],[1]],FDR[FDR]&amp;FDR[[#Headers],[1]],FDR[1],"",0,1)</f>
        <v>2</v>
      </c>
      <c r="N295" cm="1">
        <f t="array" ref="N295">_xlfn.XLOOKUP(Matrix[[#This Row],[TEAM]]&amp;Matrix[[#Headers],[2]],FDR[FDR]&amp;FDR[[#Headers],[2]],FDR[2],"",0,1)</f>
        <v>4</v>
      </c>
      <c r="O295" cm="1">
        <f t="array" ref="O295">_xlfn.XLOOKUP(Matrix[[#This Row],[TEAM]]&amp;Matrix[[#Headers],[3]],FDR[FDR]&amp;FDR[[#Headers],[3]],FDR[3],"",0,1)</f>
        <v>4</v>
      </c>
      <c r="P295" cm="1">
        <f t="array" ref="P295">_xlfn.XLOOKUP(Matrix[[#This Row],[TEAM]]&amp;Matrix[[#Headers],[4]],FDR[FDR]&amp;FDR[[#Headers],[4]],FDR[4],"",0,1)</f>
        <v>4</v>
      </c>
      <c r="Q295" cm="1">
        <f t="array" ref="Q295">_xlfn.XLOOKUP(Matrix[[#This Row],[TEAM]]&amp;Matrix[[#Headers],[5]],FDR[FDR]&amp;FDR[[#Headers],[5]],FDR[5],"",0,1)</f>
        <v>3</v>
      </c>
      <c r="R295" cm="1">
        <f t="array" ref="R295">_xlfn.XLOOKUP(Matrix[[#This Row],[TEAM]]&amp;Matrix[[#Headers],[6]],FDR[FDR]&amp;FDR[[#Headers],[6]],FDR[6],"",0,1)</f>
        <v>4</v>
      </c>
      <c r="S295" cm="1">
        <f t="array" ref="S295">_xlfn.XLOOKUP(Matrix[[#This Row],[TEAM]]&amp;Matrix[[#Headers],[7]],FDR[FDR]&amp;FDR[[#Headers],[7]],FDR[7],"",0,1)</f>
        <v>5</v>
      </c>
      <c r="T295" cm="1">
        <f t="array" ref="T295">_xlfn.XLOOKUP(Matrix[[#This Row],[TEAM]]&amp;Matrix[[#Headers],[8]],FDR[FDR]&amp;FDR[[#Headers],[8]],FDR[8],"",0,1)</f>
        <v>3</v>
      </c>
      <c r="U295" cm="1">
        <f t="array" ref="U295">_xlfn.XLOOKUP(Matrix[[#This Row],[TEAM]]&amp;Matrix[[#Headers],[9]],FDR[FDR]&amp;FDR[[#Headers],[9]],FDR[9],"",0,1)</f>
        <v>2</v>
      </c>
      <c r="V295" cm="1">
        <f t="array" ref="V295">_xlfn.XLOOKUP(Matrix[[#This Row],[TEAM]]&amp;Matrix[[#Headers],[10]],FDR[FDR]&amp;FDR[[#Headers],[10]],FDR[10],"",0,1)</f>
        <v>4</v>
      </c>
      <c r="W295" cm="1">
        <f t="array" ref="W295">_xlfn.XLOOKUP(Matrix[[#This Row],[TEAM]]&amp;Matrix[[#Headers],[11]],FDR[FDR]&amp;FDR[[#Headers],[11]],FDR[11],"",0,1)</f>
        <v>1</v>
      </c>
      <c r="X295" cm="1">
        <f t="array" ref="X295">_xlfn.XLOOKUP(Matrix[[#This Row],[TEAM]]&amp;Matrix[[#Headers],[12]],FDR[FDR]&amp;FDR[[#Headers],[12]],FDR[12],"",0,1)</f>
        <v>4</v>
      </c>
      <c r="Y295" cm="1">
        <f t="array" ref="Y295">_xlfn.XLOOKUP(Matrix[[#This Row],[TEAM]]&amp;Matrix[[#Headers],[13]],FDR[FDR]&amp;FDR[[#Headers],[13]],FDR[13],"",0,1)</f>
        <v>4</v>
      </c>
      <c r="Z295" cm="1">
        <f t="array" ref="Z295">_xlfn.XLOOKUP(Matrix[[#This Row],[TEAM]]&amp;Matrix[[#Headers],[14]],FDR[FDR]&amp;FDR[[#Headers],[14]],FDR[14],"",0,1)</f>
        <v>5</v>
      </c>
      <c r="AA295" cm="1">
        <f t="array" ref="AA295">_xlfn.XLOOKUP(Matrix[[#This Row],[TEAM]]&amp;Matrix[[#Headers],[15]],FDR[FDR]&amp;FDR[[#Headers],[15]],FDR[15],"",0,1)</f>
        <v>4</v>
      </c>
      <c r="AB295" cm="1">
        <f t="array" ref="AB295">_xlfn.XLOOKUP(Matrix[[#This Row],[TEAM]]&amp;Matrix[[#Headers],[16]],FDR[FDR]&amp;FDR[[#Headers],[16]],FDR[16],"",0,1)</f>
        <v>4</v>
      </c>
      <c r="AC295" cm="1">
        <f t="array" ref="AC295">_xlfn.XLOOKUP(Matrix[[#This Row],[TEAM]]&amp;Matrix[[#Headers],[17]],FDR[FDR]&amp;FDR[[#Headers],[17]],FDR[17],"",0,1)</f>
        <v>5</v>
      </c>
      <c r="AD295" cm="1">
        <f t="array" ref="AD295">_xlfn.XLOOKUP(Matrix[[#This Row],[TEAM]]&amp;Matrix[[#Headers],[18]],FDR[FDR]&amp;FDR[[#Headers],[18]],FDR[18],"",0,1)</f>
        <v>3</v>
      </c>
      <c r="AE295" cm="1">
        <f t="array" ref="AE295">_xlfn.XLOOKUP(Matrix[[#This Row],[TEAM]]&amp;Matrix[[#Headers],[19]],FDR[FDR]&amp;FDR[[#Headers],[19]],FDR[19],"",0,1)</f>
        <v>3</v>
      </c>
      <c r="AF295" cm="1">
        <f t="array" ref="AF295">_xlfn.XLOOKUP(Matrix[[#This Row],[TEAM]]&amp;Matrix[[#Headers],[20]],FDR[FDR]&amp;FDR[[#Headers],[20]],FDR[20],"",0,1)</f>
        <v>2</v>
      </c>
      <c r="AG295" cm="1">
        <f t="array" ref="AG295">_xlfn.XLOOKUP(Matrix[[#This Row],[TEAM]]&amp;Matrix[[#Headers],[21]],FDR[FDR]&amp;FDR[[#Headers],[21]],FDR[21],"",0,1)</f>
        <v>3</v>
      </c>
      <c r="AH295" cm="1">
        <f t="array" ref="AH295">_xlfn.XLOOKUP(Matrix[[#This Row],[TEAM]]&amp;Matrix[[#Headers],[22]],FDR[FDR]&amp;FDR[[#Headers],[22]],FDR[22],"",0,1)</f>
        <v>5</v>
      </c>
      <c r="AI295" cm="1">
        <f t="array" ref="AI295">_xlfn.XLOOKUP(Matrix[[#This Row],[TEAM]]&amp;Matrix[[#Headers],[23]],FDR[FDR]&amp;FDR[[#Headers],[23]],FDR[23],"",0,1)</f>
        <v>1</v>
      </c>
      <c r="AJ295" cm="1">
        <f t="array" ref="AJ295">_xlfn.XLOOKUP(Matrix[[#This Row],[TEAM]]&amp;Matrix[[#Headers],[24]],FDR[FDR]&amp;FDR[[#Headers],[24]],FDR[24],"",0,1)</f>
        <v>5</v>
      </c>
      <c r="AK295" cm="1">
        <f t="array" ref="AK295">_xlfn.XLOOKUP(Matrix[[#This Row],[TEAM]]&amp;Matrix[[#Headers],[25]],FDR[FDR]&amp;FDR[[#Headers],[25]],FDR[25],"",0,1)</f>
        <v>2</v>
      </c>
      <c r="AL295" cm="1">
        <f t="array" ref="AL295">_xlfn.XLOOKUP(Matrix[[#This Row],[TEAM]]&amp;Matrix[[#Headers],[26]],FDR[FDR]&amp;FDR[[#Headers],[26]],FDR[26],"",0,1)</f>
        <v>4</v>
      </c>
      <c r="AM295" cm="1">
        <f t="array" ref="AM295">_xlfn.XLOOKUP(Matrix[[#This Row],[TEAM]]&amp;Matrix[[#Headers],[27]],FDR[FDR]&amp;FDR[[#Headers],[27]],FDR[27],"",0,1)</f>
        <v>3</v>
      </c>
      <c r="AN295" cm="1">
        <f t="array" ref="AN295">_xlfn.XLOOKUP(Matrix[[#This Row],[TEAM]]&amp;Matrix[[#Headers],[28]],FDR[FDR]&amp;FDR[[#Headers],[28]],FDR[28],"",0,1)</f>
        <v>5</v>
      </c>
      <c r="AO295" cm="1">
        <f t="array" ref="AO295">_xlfn.XLOOKUP(Matrix[[#This Row],[TEAM]]&amp;Matrix[[#Headers],[29]],FDR[FDR]&amp;FDR[[#Headers],[29]],FDR[29],"",0,1)</f>
        <v>4</v>
      </c>
      <c r="AP295" cm="1">
        <f t="array" ref="AP295">_xlfn.XLOOKUP(Matrix[[#This Row],[TEAM]]&amp;Matrix[[#Headers],[30]],FDR[FDR]&amp;FDR[[#Headers],[30]],FDR[30],"",0,1)</f>
        <v>4</v>
      </c>
      <c r="AQ295" cm="1">
        <f t="array" ref="AQ295">_xlfn.XLOOKUP(Matrix[[#This Row],[TEAM]]&amp;Matrix[[#Headers],[31]],FDR[FDR]&amp;FDR[[#Headers],[31]],FDR[31],"",0,1)</f>
        <v>5</v>
      </c>
      <c r="AR295" cm="1">
        <f t="array" ref="AR295">_xlfn.XLOOKUP(Matrix[[#This Row],[TEAM]]&amp;Matrix[[#Headers],[32]],FDR[FDR]&amp;FDR[[#Headers],[32]],FDR[32],"",0,1)</f>
        <v>2</v>
      </c>
      <c r="AS295" cm="1">
        <f t="array" ref="AS295">_xlfn.XLOOKUP(Matrix[[#This Row],[TEAM]]&amp;Matrix[[#Headers],[33]],FDR[FDR]&amp;FDR[[#Headers],[33]],FDR[33],"",0,1)</f>
        <v>4</v>
      </c>
      <c r="AT295" cm="1">
        <f t="array" ref="AT295">_xlfn.XLOOKUP(Matrix[[#This Row],[TEAM]]&amp;Matrix[[#Headers],[34]],FDR[FDR]&amp;FDR[[#Headers],[34]],FDR[34],"",0,1)</f>
        <v>3</v>
      </c>
      <c r="AU295" cm="1">
        <f t="array" ref="AU295">_xlfn.XLOOKUP(Matrix[[#This Row],[TEAM]]&amp;Matrix[[#Headers],[35]],FDR[FDR]&amp;FDR[[#Headers],[35]],FDR[35],"",0,1)</f>
        <v>4</v>
      </c>
      <c r="AV295" cm="1">
        <f t="array" ref="AV295">_xlfn.XLOOKUP(Matrix[[#This Row],[TEAM]]&amp;Matrix[[#Headers],[36]],FDR[FDR]&amp;FDR[[#Headers],[36]],FDR[36],"",0,1)</f>
        <v>4</v>
      </c>
      <c r="AW295" cm="1">
        <f t="array" ref="AW295">_xlfn.XLOOKUP(Matrix[[#This Row],[TEAM]]&amp;Matrix[[#Headers],[37]],FDR[FDR]&amp;FDR[[#Headers],[37]],FDR[37],"",0,1)</f>
        <v>5</v>
      </c>
      <c r="AX295" cm="1">
        <f t="array" ref="AX295">_xlfn.XLOOKUP(Matrix[[#This Row],[TEAM]]&amp;Matrix[[#Headers],[38]],FDR[FDR]&amp;FDR[[#Headers],[38]],FDR[38],"",0,1)</f>
        <v>1</v>
      </c>
    </row>
    <row r="296" spans="1:50" ht="22" thickTop="1" thickBot="1">
      <c r="A296" s="51" t="s">
        <v>657</v>
      </c>
      <c r="B296" s="70" t="s">
        <v>1611</v>
      </c>
      <c r="C296" s="40" t="s">
        <v>27</v>
      </c>
      <c r="D296" s="62">
        <v>118</v>
      </c>
      <c r="E296" s="60">
        <v>0.29799999999999999</v>
      </c>
      <c r="F296" s="61">
        <v>152.69999999999999</v>
      </c>
      <c r="G296" s="63">
        <v>4.5</v>
      </c>
      <c r="H296" s="261">
        <f>IF(ISBLANK(I296),0,1)</f>
        <v>0</v>
      </c>
      <c r="I296" s="57"/>
      <c r="J296" s="58"/>
      <c r="K296" s="65" t="s">
        <v>374</v>
      </c>
      <c r="L296" s="65" t="s">
        <v>136</v>
      </c>
      <c r="M296" cm="1">
        <f t="array" ref="M296">_xlfn.XLOOKUP(Matrix[[#This Row],[TEAM]]&amp;Matrix[[#Headers],[1]],FDR[FDR]&amp;FDR[[#Headers],[1]],FDR[1],"",0,1)</f>
        <v>2</v>
      </c>
      <c r="N296" cm="1">
        <f t="array" ref="N296">_xlfn.XLOOKUP(Matrix[[#This Row],[TEAM]]&amp;Matrix[[#Headers],[2]],FDR[FDR]&amp;FDR[[#Headers],[2]],FDR[2],"",0,1)</f>
        <v>4</v>
      </c>
      <c r="O296" cm="1">
        <f t="array" ref="O296">_xlfn.XLOOKUP(Matrix[[#This Row],[TEAM]]&amp;Matrix[[#Headers],[3]],FDR[FDR]&amp;FDR[[#Headers],[3]],FDR[3],"",0,1)</f>
        <v>4</v>
      </c>
      <c r="P296" cm="1">
        <f t="array" ref="P296">_xlfn.XLOOKUP(Matrix[[#This Row],[TEAM]]&amp;Matrix[[#Headers],[4]],FDR[FDR]&amp;FDR[[#Headers],[4]],FDR[4],"",0,1)</f>
        <v>4</v>
      </c>
      <c r="Q296" cm="1">
        <f t="array" ref="Q296">_xlfn.XLOOKUP(Matrix[[#This Row],[TEAM]]&amp;Matrix[[#Headers],[5]],FDR[FDR]&amp;FDR[[#Headers],[5]],FDR[5],"",0,1)</f>
        <v>3</v>
      </c>
      <c r="R296" cm="1">
        <f t="array" ref="R296">_xlfn.XLOOKUP(Matrix[[#This Row],[TEAM]]&amp;Matrix[[#Headers],[6]],FDR[FDR]&amp;FDR[[#Headers],[6]],FDR[6],"",0,1)</f>
        <v>4</v>
      </c>
      <c r="S296" cm="1">
        <f t="array" ref="S296">_xlfn.XLOOKUP(Matrix[[#This Row],[TEAM]]&amp;Matrix[[#Headers],[7]],FDR[FDR]&amp;FDR[[#Headers],[7]],FDR[7],"",0,1)</f>
        <v>5</v>
      </c>
      <c r="T296" cm="1">
        <f t="array" ref="T296">_xlfn.XLOOKUP(Matrix[[#This Row],[TEAM]]&amp;Matrix[[#Headers],[8]],FDR[FDR]&amp;FDR[[#Headers],[8]],FDR[8],"",0,1)</f>
        <v>3</v>
      </c>
      <c r="U296" cm="1">
        <f t="array" ref="U296">_xlfn.XLOOKUP(Matrix[[#This Row],[TEAM]]&amp;Matrix[[#Headers],[9]],FDR[FDR]&amp;FDR[[#Headers],[9]],FDR[9],"",0,1)</f>
        <v>2</v>
      </c>
      <c r="V296" cm="1">
        <f t="array" ref="V296">_xlfn.XLOOKUP(Matrix[[#This Row],[TEAM]]&amp;Matrix[[#Headers],[10]],FDR[FDR]&amp;FDR[[#Headers],[10]],FDR[10],"",0,1)</f>
        <v>4</v>
      </c>
      <c r="W296" cm="1">
        <f t="array" ref="W296">_xlfn.XLOOKUP(Matrix[[#This Row],[TEAM]]&amp;Matrix[[#Headers],[11]],FDR[FDR]&amp;FDR[[#Headers],[11]],FDR[11],"",0,1)</f>
        <v>1</v>
      </c>
      <c r="X296" cm="1">
        <f t="array" ref="X296">_xlfn.XLOOKUP(Matrix[[#This Row],[TEAM]]&amp;Matrix[[#Headers],[12]],FDR[FDR]&amp;FDR[[#Headers],[12]],FDR[12],"",0,1)</f>
        <v>4</v>
      </c>
      <c r="Y296" cm="1">
        <f t="array" ref="Y296">_xlfn.XLOOKUP(Matrix[[#This Row],[TEAM]]&amp;Matrix[[#Headers],[13]],FDR[FDR]&amp;FDR[[#Headers],[13]],FDR[13],"",0,1)</f>
        <v>4</v>
      </c>
      <c r="Z296" cm="1">
        <f t="array" ref="Z296">_xlfn.XLOOKUP(Matrix[[#This Row],[TEAM]]&amp;Matrix[[#Headers],[14]],FDR[FDR]&amp;FDR[[#Headers],[14]],FDR[14],"",0,1)</f>
        <v>5</v>
      </c>
      <c r="AA296" cm="1">
        <f t="array" ref="AA296">_xlfn.XLOOKUP(Matrix[[#This Row],[TEAM]]&amp;Matrix[[#Headers],[15]],FDR[FDR]&amp;FDR[[#Headers],[15]],FDR[15],"",0,1)</f>
        <v>4</v>
      </c>
      <c r="AB296" cm="1">
        <f t="array" ref="AB296">_xlfn.XLOOKUP(Matrix[[#This Row],[TEAM]]&amp;Matrix[[#Headers],[16]],FDR[FDR]&amp;FDR[[#Headers],[16]],FDR[16],"",0,1)</f>
        <v>4</v>
      </c>
      <c r="AC296" cm="1">
        <f t="array" ref="AC296">_xlfn.XLOOKUP(Matrix[[#This Row],[TEAM]]&amp;Matrix[[#Headers],[17]],FDR[FDR]&amp;FDR[[#Headers],[17]],FDR[17],"",0,1)</f>
        <v>5</v>
      </c>
      <c r="AD296" cm="1">
        <f t="array" ref="AD296">_xlfn.XLOOKUP(Matrix[[#This Row],[TEAM]]&amp;Matrix[[#Headers],[18]],FDR[FDR]&amp;FDR[[#Headers],[18]],FDR[18],"",0,1)</f>
        <v>3</v>
      </c>
      <c r="AE296" cm="1">
        <f t="array" ref="AE296">_xlfn.XLOOKUP(Matrix[[#This Row],[TEAM]]&amp;Matrix[[#Headers],[19]],FDR[FDR]&amp;FDR[[#Headers],[19]],FDR[19],"",0,1)</f>
        <v>3</v>
      </c>
      <c r="AF296" cm="1">
        <f t="array" ref="AF296">_xlfn.XLOOKUP(Matrix[[#This Row],[TEAM]]&amp;Matrix[[#Headers],[20]],FDR[FDR]&amp;FDR[[#Headers],[20]],FDR[20],"",0,1)</f>
        <v>2</v>
      </c>
      <c r="AG296" cm="1">
        <f t="array" ref="AG296">_xlfn.XLOOKUP(Matrix[[#This Row],[TEAM]]&amp;Matrix[[#Headers],[21]],FDR[FDR]&amp;FDR[[#Headers],[21]],FDR[21],"",0,1)</f>
        <v>3</v>
      </c>
      <c r="AH296" cm="1">
        <f t="array" ref="AH296">_xlfn.XLOOKUP(Matrix[[#This Row],[TEAM]]&amp;Matrix[[#Headers],[22]],FDR[FDR]&amp;FDR[[#Headers],[22]],FDR[22],"",0,1)</f>
        <v>5</v>
      </c>
      <c r="AI296" cm="1">
        <f t="array" ref="AI296">_xlfn.XLOOKUP(Matrix[[#This Row],[TEAM]]&amp;Matrix[[#Headers],[23]],FDR[FDR]&amp;FDR[[#Headers],[23]],FDR[23],"",0,1)</f>
        <v>1</v>
      </c>
      <c r="AJ296" cm="1">
        <f t="array" ref="AJ296">_xlfn.XLOOKUP(Matrix[[#This Row],[TEAM]]&amp;Matrix[[#Headers],[24]],FDR[FDR]&amp;FDR[[#Headers],[24]],FDR[24],"",0,1)</f>
        <v>5</v>
      </c>
      <c r="AK296" cm="1">
        <f t="array" ref="AK296">_xlfn.XLOOKUP(Matrix[[#This Row],[TEAM]]&amp;Matrix[[#Headers],[25]],FDR[FDR]&amp;FDR[[#Headers],[25]],FDR[25],"",0,1)</f>
        <v>2</v>
      </c>
      <c r="AL296" cm="1">
        <f t="array" ref="AL296">_xlfn.XLOOKUP(Matrix[[#This Row],[TEAM]]&amp;Matrix[[#Headers],[26]],FDR[FDR]&amp;FDR[[#Headers],[26]],FDR[26],"",0,1)</f>
        <v>4</v>
      </c>
      <c r="AM296" cm="1">
        <f t="array" ref="AM296">_xlfn.XLOOKUP(Matrix[[#This Row],[TEAM]]&amp;Matrix[[#Headers],[27]],FDR[FDR]&amp;FDR[[#Headers],[27]],FDR[27],"",0,1)</f>
        <v>3</v>
      </c>
      <c r="AN296" cm="1">
        <f t="array" ref="AN296">_xlfn.XLOOKUP(Matrix[[#This Row],[TEAM]]&amp;Matrix[[#Headers],[28]],FDR[FDR]&amp;FDR[[#Headers],[28]],FDR[28],"",0,1)</f>
        <v>5</v>
      </c>
      <c r="AO296" cm="1">
        <f t="array" ref="AO296">_xlfn.XLOOKUP(Matrix[[#This Row],[TEAM]]&amp;Matrix[[#Headers],[29]],FDR[FDR]&amp;FDR[[#Headers],[29]],FDR[29],"",0,1)</f>
        <v>4</v>
      </c>
      <c r="AP296" cm="1">
        <f t="array" ref="AP296">_xlfn.XLOOKUP(Matrix[[#This Row],[TEAM]]&amp;Matrix[[#Headers],[30]],FDR[FDR]&amp;FDR[[#Headers],[30]],FDR[30],"",0,1)</f>
        <v>4</v>
      </c>
      <c r="AQ296" cm="1">
        <f t="array" ref="AQ296">_xlfn.XLOOKUP(Matrix[[#This Row],[TEAM]]&amp;Matrix[[#Headers],[31]],FDR[FDR]&amp;FDR[[#Headers],[31]],FDR[31],"",0,1)</f>
        <v>5</v>
      </c>
      <c r="AR296" cm="1">
        <f t="array" ref="AR296">_xlfn.XLOOKUP(Matrix[[#This Row],[TEAM]]&amp;Matrix[[#Headers],[32]],FDR[FDR]&amp;FDR[[#Headers],[32]],FDR[32],"",0,1)</f>
        <v>2</v>
      </c>
      <c r="AS296" cm="1">
        <f t="array" ref="AS296">_xlfn.XLOOKUP(Matrix[[#This Row],[TEAM]]&amp;Matrix[[#Headers],[33]],FDR[FDR]&amp;FDR[[#Headers],[33]],FDR[33],"",0,1)</f>
        <v>4</v>
      </c>
      <c r="AT296" cm="1">
        <f t="array" ref="AT296">_xlfn.XLOOKUP(Matrix[[#This Row],[TEAM]]&amp;Matrix[[#Headers],[34]],FDR[FDR]&amp;FDR[[#Headers],[34]],FDR[34],"",0,1)</f>
        <v>3</v>
      </c>
      <c r="AU296" cm="1">
        <f t="array" ref="AU296">_xlfn.XLOOKUP(Matrix[[#This Row],[TEAM]]&amp;Matrix[[#Headers],[35]],FDR[FDR]&amp;FDR[[#Headers],[35]],FDR[35],"",0,1)</f>
        <v>4</v>
      </c>
      <c r="AV296" cm="1">
        <f t="array" ref="AV296">_xlfn.XLOOKUP(Matrix[[#This Row],[TEAM]]&amp;Matrix[[#Headers],[36]],FDR[FDR]&amp;FDR[[#Headers],[36]],FDR[36],"",0,1)</f>
        <v>4</v>
      </c>
      <c r="AW296" cm="1">
        <f t="array" ref="AW296">_xlfn.XLOOKUP(Matrix[[#This Row],[TEAM]]&amp;Matrix[[#Headers],[37]],FDR[FDR]&amp;FDR[[#Headers],[37]],FDR[37],"",0,1)</f>
        <v>5</v>
      </c>
      <c r="AX296" cm="1">
        <f t="array" ref="AX296">_xlfn.XLOOKUP(Matrix[[#This Row],[TEAM]]&amp;Matrix[[#Headers],[38]],FDR[FDR]&amp;FDR[[#Headers],[38]],FDR[38],"",0,1)</f>
        <v>1</v>
      </c>
    </row>
    <row r="297" spans="1:50" ht="22" thickTop="1" thickBot="1">
      <c r="A297" s="51" t="s">
        <v>657</v>
      </c>
      <c r="B297" s="70" t="s">
        <v>1615</v>
      </c>
      <c r="C297" s="40" t="s">
        <v>26</v>
      </c>
      <c r="D297" s="62">
        <v>116</v>
      </c>
      <c r="E297" s="60">
        <v>0.13300000000000001</v>
      </c>
      <c r="F297" s="61">
        <v>131</v>
      </c>
      <c r="G297" s="63">
        <v>4.5</v>
      </c>
      <c r="H297" s="261">
        <f>IF(ISBLANK(I297),0,1)</f>
        <v>0</v>
      </c>
      <c r="I297" s="57"/>
      <c r="J297" s="58"/>
      <c r="K297" s="65" t="s">
        <v>436</v>
      </c>
      <c r="L297" s="65" t="s">
        <v>340</v>
      </c>
      <c r="M297" cm="1">
        <f t="array" ref="M297">_xlfn.XLOOKUP(Matrix[[#This Row],[TEAM]]&amp;Matrix[[#Headers],[1]],FDR[FDR]&amp;FDR[[#Headers],[1]],FDR[1],"",0,1)</f>
        <v>5</v>
      </c>
      <c r="N297" cm="1">
        <f t="array" ref="N297">_xlfn.XLOOKUP(Matrix[[#This Row],[TEAM]]&amp;Matrix[[#Headers],[2]],FDR[FDR]&amp;FDR[[#Headers],[2]],FDR[2],"",0,1)</f>
        <v>3</v>
      </c>
      <c r="O297" cm="1">
        <f t="array" ref="O297">_xlfn.XLOOKUP(Matrix[[#This Row],[TEAM]]&amp;Matrix[[#Headers],[3]],FDR[FDR]&amp;FDR[[#Headers],[3]],FDR[3],"",0,1)</f>
        <v>5</v>
      </c>
      <c r="P297" cm="1">
        <f t="array" ref="P297">_xlfn.XLOOKUP(Matrix[[#This Row],[TEAM]]&amp;Matrix[[#Headers],[4]],FDR[FDR]&amp;FDR[[#Headers],[4]],FDR[4],"",0,1)</f>
        <v>1</v>
      </c>
      <c r="Q297" cm="1">
        <f t="array" ref="Q297">_xlfn.XLOOKUP(Matrix[[#This Row],[TEAM]]&amp;Matrix[[#Headers],[5]],FDR[FDR]&amp;FDR[[#Headers],[5]],FDR[5],"",0,1)</f>
        <v>4</v>
      </c>
      <c r="R297" cm="1">
        <f t="array" ref="R297">_xlfn.XLOOKUP(Matrix[[#This Row],[TEAM]]&amp;Matrix[[#Headers],[6]],FDR[FDR]&amp;FDR[[#Headers],[6]],FDR[6],"",0,1)</f>
        <v>4</v>
      </c>
      <c r="S297" cm="1">
        <f t="array" ref="S297">_xlfn.XLOOKUP(Matrix[[#This Row],[TEAM]]&amp;Matrix[[#Headers],[7]],FDR[FDR]&amp;FDR[[#Headers],[7]],FDR[7],"",0,1)</f>
        <v>4</v>
      </c>
      <c r="T297" cm="1">
        <f t="array" ref="T297">_xlfn.XLOOKUP(Matrix[[#This Row],[TEAM]]&amp;Matrix[[#Headers],[8]],FDR[FDR]&amp;FDR[[#Headers],[8]],FDR[8],"",0,1)</f>
        <v>3</v>
      </c>
      <c r="U297" cm="1">
        <f t="array" ref="U297">_xlfn.XLOOKUP(Matrix[[#This Row],[TEAM]]&amp;Matrix[[#Headers],[9]],FDR[FDR]&amp;FDR[[#Headers],[9]],FDR[9],"",0,1)</f>
        <v>5</v>
      </c>
      <c r="V297" cm="1">
        <f t="array" ref="V297">_xlfn.XLOOKUP(Matrix[[#This Row],[TEAM]]&amp;Matrix[[#Headers],[10]],FDR[FDR]&amp;FDR[[#Headers],[10]],FDR[10],"",0,1)</f>
        <v>3</v>
      </c>
      <c r="W297" cm="1">
        <f t="array" ref="W297">_xlfn.XLOOKUP(Matrix[[#This Row],[TEAM]]&amp;Matrix[[#Headers],[11]],FDR[FDR]&amp;FDR[[#Headers],[11]],FDR[11],"",0,1)</f>
        <v>3</v>
      </c>
      <c r="X297" cm="1">
        <f t="array" ref="X297">_xlfn.XLOOKUP(Matrix[[#This Row],[TEAM]]&amp;Matrix[[#Headers],[12]],FDR[FDR]&amp;FDR[[#Headers],[12]],FDR[12],"",0,1)</f>
        <v>2</v>
      </c>
      <c r="Y297" cm="1">
        <f t="array" ref="Y297">_xlfn.XLOOKUP(Matrix[[#This Row],[TEAM]]&amp;Matrix[[#Headers],[13]],FDR[FDR]&amp;FDR[[#Headers],[13]],FDR[13],"",0,1)</f>
        <v>4</v>
      </c>
      <c r="Z297" cm="1">
        <f t="array" ref="Z297">_xlfn.XLOOKUP(Matrix[[#This Row],[TEAM]]&amp;Matrix[[#Headers],[14]],FDR[FDR]&amp;FDR[[#Headers],[14]],FDR[14],"",0,1)</f>
        <v>2</v>
      </c>
      <c r="AA297" cm="1">
        <f t="array" ref="AA297">_xlfn.XLOOKUP(Matrix[[#This Row],[TEAM]]&amp;Matrix[[#Headers],[15]],FDR[FDR]&amp;FDR[[#Headers],[15]],FDR[15],"",0,1)</f>
        <v>4</v>
      </c>
      <c r="AB297" cm="1">
        <f t="array" ref="AB297">_xlfn.XLOOKUP(Matrix[[#This Row],[TEAM]]&amp;Matrix[[#Headers],[16]],FDR[FDR]&amp;FDR[[#Headers],[16]],FDR[16],"",0,1)</f>
        <v>4</v>
      </c>
      <c r="AC297" cm="1">
        <f t="array" ref="AC297">_xlfn.XLOOKUP(Matrix[[#This Row],[TEAM]]&amp;Matrix[[#Headers],[17]],FDR[FDR]&amp;FDR[[#Headers],[17]],FDR[17],"",0,1)</f>
        <v>2</v>
      </c>
      <c r="AD297" cm="1">
        <f t="array" ref="AD297">_xlfn.XLOOKUP(Matrix[[#This Row],[TEAM]]&amp;Matrix[[#Headers],[18]],FDR[FDR]&amp;FDR[[#Headers],[18]],FDR[18],"",0,1)</f>
        <v>4</v>
      </c>
      <c r="AE297" cm="1">
        <f t="array" ref="AE297">_xlfn.XLOOKUP(Matrix[[#This Row],[TEAM]]&amp;Matrix[[#Headers],[19]],FDR[FDR]&amp;FDR[[#Headers],[19]],FDR[19],"",0,1)</f>
        <v>3</v>
      </c>
      <c r="AF297" cm="1">
        <f t="array" ref="AF297">_xlfn.XLOOKUP(Matrix[[#This Row],[TEAM]]&amp;Matrix[[#Headers],[20]],FDR[FDR]&amp;FDR[[#Headers],[20]],FDR[20],"",0,1)</f>
        <v>5</v>
      </c>
      <c r="AG297" cm="1">
        <f t="array" ref="AG297">_xlfn.XLOOKUP(Matrix[[#This Row],[TEAM]]&amp;Matrix[[#Headers],[21]],FDR[FDR]&amp;FDR[[#Headers],[21]],FDR[21],"",0,1)</f>
        <v>4</v>
      </c>
      <c r="AH297" cm="1">
        <f t="array" ref="AH297">_xlfn.XLOOKUP(Matrix[[#This Row],[TEAM]]&amp;Matrix[[#Headers],[22]],FDR[FDR]&amp;FDR[[#Headers],[22]],FDR[22],"",0,1)</f>
        <v>2</v>
      </c>
      <c r="AI297" cm="1">
        <f t="array" ref="AI297">_xlfn.XLOOKUP(Matrix[[#This Row],[TEAM]]&amp;Matrix[[#Headers],[23]],FDR[FDR]&amp;FDR[[#Headers],[23]],FDR[23],"",0,1)</f>
        <v>4</v>
      </c>
      <c r="AJ297" cm="1">
        <f t="array" ref="AJ297">_xlfn.XLOOKUP(Matrix[[#This Row],[TEAM]]&amp;Matrix[[#Headers],[24]],FDR[FDR]&amp;FDR[[#Headers],[24]],FDR[24],"",0,1)</f>
        <v>4</v>
      </c>
      <c r="AK297" cm="1">
        <f t="array" ref="AK297">_xlfn.XLOOKUP(Matrix[[#This Row],[TEAM]]&amp;Matrix[[#Headers],[25]],FDR[FDR]&amp;FDR[[#Headers],[25]],FDR[25],"",0,1)</f>
        <v>4</v>
      </c>
      <c r="AL297" cm="1">
        <f t="array" ref="AL297">_xlfn.XLOOKUP(Matrix[[#This Row],[TEAM]]&amp;Matrix[[#Headers],[26]],FDR[FDR]&amp;FDR[[#Headers],[26]],FDR[26],"",0,1)</f>
        <v>1</v>
      </c>
      <c r="AM297" cm="1">
        <f t="array" ref="AM297">_xlfn.XLOOKUP(Matrix[[#This Row],[TEAM]]&amp;Matrix[[#Headers],[27]],FDR[FDR]&amp;FDR[[#Headers],[27]],FDR[27],"",0,1)</f>
        <v>2</v>
      </c>
      <c r="AN297" cm="1">
        <f t="array" ref="AN297">_xlfn.XLOOKUP(Matrix[[#This Row],[TEAM]]&amp;Matrix[[#Headers],[28]],FDR[FDR]&amp;FDR[[#Headers],[28]],FDR[28],"",0,1)</f>
        <v>5</v>
      </c>
      <c r="AO297" cm="1">
        <f t="array" ref="AO297">_xlfn.XLOOKUP(Matrix[[#This Row],[TEAM]]&amp;Matrix[[#Headers],[29]],FDR[FDR]&amp;FDR[[#Headers],[29]],FDR[29],"",0,1)</f>
        <v>5</v>
      </c>
      <c r="AP297" cm="1">
        <f t="array" ref="AP297">_xlfn.XLOOKUP(Matrix[[#This Row],[TEAM]]&amp;Matrix[[#Headers],[30]],FDR[FDR]&amp;FDR[[#Headers],[30]],FDR[30],"",0,1)</f>
        <v>1</v>
      </c>
      <c r="AQ297" cm="1">
        <f t="array" ref="AQ297">_xlfn.XLOOKUP(Matrix[[#This Row],[TEAM]]&amp;Matrix[[#Headers],[31]],FDR[FDR]&amp;FDR[[#Headers],[31]],FDR[31],"",0,1)</f>
        <v>5</v>
      </c>
      <c r="AR297" cm="1">
        <f t="array" ref="AR297">_xlfn.XLOOKUP(Matrix[[#This Row],[TEAM]]&amp;Matrix[[#Headers],[32]],FDR[FDR]&amp;FDR[[#Headers],[32]],FDR[32],"",0,1)</f>
        <v>4</v>
      </c>
      <c r="AS297" cm="1">
        <f t="array" ref="AS297">_xlfn.XLOOKUP(Matrix[[#This Row],[TEAM]]&amp;Matrix[[#Headers],[33]],FDR[FDR]&amp;FDR[[#Headers],[33]],FDR[33],"",0,1)</f>
        <v>3</v>
      </c>
      <c r="AT297" cm="1">
        <f t="array" ref="AT297">_xlfn.XLOOKUP(Matrix[[#This Row],[TEAM]]&amp;Matrix[[#Headers],[34]],FDR[FDR]&amp;FDR[[#Headers],[34]],FDR[34],"",0,1)</f>
        <v>5</v>
      </c>
      <c r="AU297" cm="1">
        <f t="array" ref="AU297">_xlfn.XLOOKUP(Matrix[[#This Row],[TEAM]]&amp;Matrix[[#Headers],[35]],FDR[FDR]&amp;FDR[[#Headers],[35]],FDR[35],"",0,1)</f>
        <v>4</v>
      </c>
      <c r="AV297" cm="1">
        <f t="array" ref="AV297">_xlfn.XLOOKUP(Matrix[[#This Row],[TEAM]]&amp;Matrix[[#Headers],[36]],FDR[FDR]&amp;FDR[[#Headers],[36]],FDR[36],"",0,1)</f>
        <v>3</v>
      </c>
      <c r="AW297" cm="1">
        <f t="array" ref="AW297">_xlfn.XLOOKUP(Matrix[[#This Row],[TEAM]]&amp;Matrix[[#Headers],[37]],FDR[FDR]&amp;FDR[[#Headers],[37]],FDR[37],"",0,1)</f>
        <v>4</v>
      </c>
      <c r="AX297" cm="1">
        <f t="array" ref="AX297">_xlfn.XLOOKUP(Matrix[[#This Row],[TEAM]]&amp;Matrix[[#Headers],[38]],FDR[FDR]&amp;FDR[[#Headers],[38]],FDR[38],"",0,1)</f>
        <v>4</v>
      </c>
    </row>
    <row r="298" spans="1:50" ht="22" thickTop="1" thickBot="1">
      <c r="A298" s="51" t="s">
        <v>657</v>
      </c>
      <c r="B298" s="70" t="s">
        <v>1612</v>
      </c>
      <c r="C298" s="40" t="s">
        <v>28</v>
      </c>
      <c r="D298" s="62">
        <v>103</v>
      </c>
      <c r="E298" s="60">
        <v>0.24099999999999999</v>
      </c>
      <c r="F298" s="61">
        <v>82.4</v>
      </c>
      <c r="G298" s="63">
        <v>4.5</v>
      </c>
      <c r="H298" s="261">
        <f>IF(ISBLANK(I298),0,1)</f>
        <v>0</v>
      </c>
      <c r="I298" s="57"/>
      <c r="J298" s="58"/>
      <c r="K298" s="65" t="s">
        <v>411</v>
      </c>
      <c r="L298" s="65" t="s">
        <v>123</v>
      </c>
      <c r="M298" cm="1">
        <f t="array" ref="M298">_xlfn.XLOOKUP(Matrix[[#This Row],[TEAM]]&amp;Matrix[[#Headers],[1]],FDR[FDR]&amp;FDR[[#Headers],[1]],FDR[1],"",0,1)</f>
        <v>3</v>
      </c>
      <c r="N298" cm="1">
        <f t="array" ref="N298">_xlfn.XLOOKUP(Matrix[[#This Row],[TEAM]]&amp;Matrix[[#Headers],[2]],FDR[FDR]&amp;FDR[[#Headers],[2]],FDR[2],"",0,1)</f>
        <v>2</v>
      </c>
      <c r="O298" cm="1">
        <f t="array" ref="O298">_xlfn.XLOOKUP(Matrix[[#This Row],[TEAM]]&amp;Matrix[[#Headers],[3]],FDR[FDR]&amp;FDR[[#Headers],[3]],FDR[3],"",0,1)</f>
        <v>1</v>
      </c>
      <c r="P298" cm="1">
        <f t="array" ref="P298">_xlfn.XLOOKUP(Matrix[[#This Row],[TEAM]]&amp;Matrix[[#Headers],[4]],FDR[FDR]&amp;FDR[[#Headers],[4]],FDR[4],"",0,1)</f>
        <v>2</v>
      </c>
      <c r="Q298" cm="1">
        <f t="array" ref="Q298">_xlfn.XLOOKUP(Matrix[[#This Row],[TEAM]]&amp;Matrix[[#Headers],[5]],FDR[FDR]&amp;FDR[[#Headers],[5]],FDR[5],"",0,1)</f>
        <v>1</v>
      </c>
      <c r="R298" cm="1">
        <f t="array" ref="R298">_xlfn.XLOOKUP(Matrix[[#This Row],[TEAM]]&amp;Matrix[[#Headers],[6]],FDR[FDR]&amp;FDR[[#Headers],[6]],FDR[6],"",0,1)</f>
        <v>2</v>
      </c>
      <c r="S298" cm="1">
        <f t="array" ref="S298">_xlfn.XLOOKUP(Matrix[[#This Row],[TEAM]]&amp;Matrix[[#Headers],[7]],FDR[FDR]&amp;FDR[[#Headers],[7]],FDR[7],"",0,1)</f>
        <v>1</v>
      </c>
      <c r="T298" cm="1">
        <f t="array" ref="T298">_xlfn.XLOOKUP(Matrix[[#This Row],[TEAM]]&amp;Matrix[[#Headers],[8]],FDR[FDR]&amp;FDR[[#Headers],[8]],FDR[8],"",0,1)</f>
        <v>4</v>
      </c>
      <c r="U298" cm="1">
        <f t="array" ref="U298">_xlfn.XLOOKUP(Matrix[[#This Row],[TEAM]]&amp;Matrix[[#Headers],[9]],FDR[FDR]&amp;FDR[[#Headers],[9]],FDR[9],"",0,1)</f>
        <v>3</v>
      </c>
      <c r="V298" cm="1">
        <f t="array" ref="V298">_xlfn.XLOOKUP(Matrix[[#This Row],[TEAM]]&amp;Matrix[[#Headers],[10]],FDR[FDR]&amp;FDR[[#Headers],[10]],FDR[10],"",0,1)</f>
        <v>4</v>
      </c>
      <c r="W298" cm="1">
        <f t="array" ref="W298">_xlfn.XLOOKUP(Matrix[[#This Row],[TEAM]]&amp;Matrix[[#Headers],[11]],FDR[FDR]&amp;FDR[[#Headers],[11]],FDR[11],"",0,1)</f>
        <v>2</v>
      </c>
      <c r="X298" cm="1">
        <f t="array" ref="X298">_xlfn.XLOOKUP(Matrix[[#This Row],[TEAM]]&amp;Matrix[[#Headers],[12]],FDR[FDR]&amp;FDR[[#Headers],[12]],FDR[12],"",0,1)</f>
        <v>1</v>
      </c>
      <c r="Y298" cm="1">
        <f t="array" ref="Y298">_xlfn.XLOOKUP(Matrix[[#This Row],[TEAM]]&amp;Matrix[[#Headers],[13]],FDR[FDR]&amp;FDR[[#Headers],[13]],FDR[13],"",0,1)</f>
        <v>1</v>
      </c>
      <c r="Z298" cm="1">
        <f t="array" ref="Z298">_xlfn.XLOOKUP(Matrix[[#This Row],[TEAM]]&amp;Matrix[[#Headers],[14]],FDR[FDR]&amp;FDR[[#Headers],[14]],FDR[14],"",0,1)</f>
        <v>3</v>
      </c>
      <c r="AA298" cm="1">
        <f t="array" ref="AA298">_xlfn.XLOOKUP(Matrix[[#This Row],[TEAM]]&amp;Matrix[[#Headers],[15]],FDR[FDR]&amp;FDR[[#Headers],[15]],FDR[15],"",0,1)</f>
        <v>3</v>
      </c>
      <c r="AB298" cm="1">
        <f t="array" ref="AB298">_xlfn.XLOOKUP(Matrix[[#This Row],[TEAM]]&amp;Matrix[[#Headers],[16]],FDR[FDR]&amp;FDR[[#Headers],[16]],FDR[16],"",0,1)</f>
        <v>2</v>
      </c>
      <c r="AC298" cm="1">
        <f t="array" ref="AC298">_xlfn.XLOOKUP(Matrix[[#This Row],[TEAM]]&amp;Matrix[[#Headers],[17]],FDR[FDR]&amp;FDR[[#Headers],[17]],FDR[17],"",0,1)</f>
        <v>3</v>
      </c>
      <c r="AD298" cm="1">
        <f t="array" ref="AD298">_xlfn.XLOOKUP(Matrix[[#This Row],[TEAM]]&amp;Matrix[[#Headers],[18]],FDR[FDR]&amp;FDR[[#Headers],[18]],FDR[18],"",0,1)</f>
        <v>4</v>
      </c>
      <c r="AE298" cm="1">
        <f t="array" ref="AE298">_xlfn.XLOOKUP(Matrix[[#This Row],[TEAM]]&amp;Matrix[[#Headers],[19]],FDR[FDR]&amp;FDR[[#Headers],[19]],FDR[19],"",0,1)</f>
        <v>4</v>
      </c>
      <c r="AF298" cm="1">
        <f t="array" ref="AF298">_xlfn.XLOOKUP(Matrix[[#This Row],[TEAM]]&amp;Matrix[[#Headers],[20]],FDR[FDR]&amp;FDR[[#Headers],[20]],FDR[20],"",0,1)</f>
        <v>2</v>
      </c>
      <c r="AG298" cm="1">
        <f t="array" ref="AG298">_xlfn.XLOOKUP(Matrix[[#This Row],[TEAM]]&amp;Matrix[[#Headers],[21]],FDR[FDR]&amp;FDR[[#Headers],[21]],FDR[21],"",0,1)</f>
        <v>2</v>
      </c>
      <c r="AH298" cm="1">
        <f t="array" ref="AH298">_xlfn.XLOOKUP(Matrix[[#This Row],[TEAM]]&amp;Matrix[[#Headers],[22]],FDR[FDR]&amp;FDR[[#Headers],[22]],FDR[22],"",0,1)</f>
        <v>1</v>
      </c>
      <c r="AI298" cm="1">
        <f t="array" ref="AI298">_xlfn.XLOOKUP(Matrix[[#This Row],[TEAM]]&amp;Matrix[[#Headers],[23]],FDR[FDR]&amp;FDR[[#Headers],[23]],FDR[23],"",0,1)</f>
        <v>4</v>
      </c>
      <c r="AJ298" cm="1">
        <f t="array" ref="AJ298">_xlfn.XLOOKUP(Matrix[[#This Row],[TEAM]]&amp;Matrix[[#Headers],[24]],FDR[FDR]&amp;FDR[[#Headers],[24]],FDR[24],"",0,1)</f>
        <v>1</v>
      </c>
      <c r="AK298" cm="1">
        <f t="array" ref="AK298">_xlfn.XLOOKUP(Matrix[[#This Row],[TEAM]]&amp;Matrix[[#Headers],[25]],FDR[FDR]&amp;FDR[[#Headers],[25]],FDR[25],"",0,1)</f>
        <v>3</v>
      </c>
      <c r="AL298" cm="1">
        <f t="array" ref="AL298">_xlfn.XLOOKUP(Matrix[[#This Row],[TEAM]]&amp;Matrix[[#Headers],[26]],FDR[FDR]&amp;FDR[[#Headers],[26]],FDR[26],"",0,1)</f>
        <v>2</v>
      </c>
      <c r="AM298" cm="1">
        <f t="array" ref="AM298">_xlfn.XLOOKUP(Matrix[[#This Row],[TEAM]]&amp;Matrix[[#Headers],[27]],FDR[FDR]&amp;FDR[[#Headers],[27]],FDR[27],"",0,1)</f>
        <v>1</v>
      </c>
      <c r="AN298" cm="1">
        <f t="array" ref="AN298">_xlfn.XLOOKUP(Matrix[[#This Row],[TEAM]]&amp;Matrix[[#Headers],[28]],FDR[FDR]&amp;FDR[[#Headers],[28]],FDR[28],"",0,1)</f>
        <v>1</v>
      </c>
      <c r="AO298" cm="1">
        <f t="array" ref="AO298">_xlfn.XLOOKUP(Matrix[[#This Row],[TEAM]]&amp;Matrix[[#Headers],[29]],FDR[FDR]&amp;FDR[[#Headers],[29]],FDR[29],"",0,1)</f>
        <v>3</v>
      </c>
      <c r="AP298" cm="1">
        <f t="array" ref="AP298">_xlfn.XLOOKUP(Matrix[[#This Row],[TEAM]]&amp;Matrix[[#Headers],[30]],FDR[FDR]&amp;FDR[[#Headers],[30]],FDR[30],"",0,1)</f>
        <v>4</v>
      </c>
      <c r="AQ298" cm="1">
        <f t="array" ref="AQ298">_xlfn.XLOOKUP(Matrix[[#This Row],[TEAM]]&amp;Matrix[[#Headers],[31]],FDR[FDR]&amp;FDR[[#Headers],[31]],FDR[31],"",0,1)</f>
        <v>1</v>
      </c>
      <c r="AR298" cm="1">
        <f t="array" ref="AR298">_xlfn.XLOOKUP(Matrix[[#This Row],[TEAM]]&amp;Matrix[[#Headers],[32]],FDR[FDR]&amp;FDR[[#Headers],[32]],FDR[32],"",0,1)</f>
        <v>3</v>
      </c>
      <c r="AS298" cm="1">
        <f t="array" ref="AS298">_xlfn.XLOOKUP(Matrix[[#This Row],[TEAM]]&amp;Matrix[[#Headers],[33]],FDR[FDR]&amp;FDR[[#Headers],[33]],FDR[33],"",0,1)</f>
        <v>1</v>
      </c>
      <c r="AT298" cm="1">
        <f t="array" ref="AT298">_xlfn.XLOOKUP(Matrix[[#This Row],[TEAM]]&amp;Matrix[[#Headers],[34]],FDR[FDR]&amp;FDR[[#Headers],[34]],FDR[34],"",0,1)</f>
        <v>3</v>
      </c>
      <c r="AU298" cm="1">
        <f t="array" ref="AU298">_xlfn.XLOOKUP(Matrix[[#This Row],[TEAM]]&amp;Matrix[[#Headers],[35]],FDR[FDR]&amp;FDR[[#Headers],[35]],FDR[35],"",0,1)</f>
        <v>3</v>
      </c>
      <c r="AV298" cm="1">
        <f t="array" ref="AV298">_xlfn.XLOOKUP(Matrix[[#This Row],[TEAM]]&amp;Matrix[[#Headers],[36]],FDR[FDR]&amp;FDR[[#Headers],[36]],FDR[36],"",0,1)</f>
        <v>1</v>
      </c>
      <c r="AW298" cm="1">
        <f t="array" ref="AW298">_xlfn.XLOOKUP(Matrix[[#This Row],[TEAM]]&amp;Matrix[[#Headers],[37]],FDR[FDR]&amp;FDR[[#Headers],[37]],FDR[37],"",0,1)</f>
        <v>3</v>
      </c>
      <c r="AX298" cm="1">
        <f t="array" ref="AX298">_xlfn.XLOOKUP(Matrix[[#This Row],[TEAM]]&amp;Matrix[[#Headers],[38]],FDR[FDR]&amp;FDR[[#Headers],[38]],FDR[38],"",0,1)</f>
        <v>4</v>
      </c>
    </row>
    <row r="299" spans="1:50" ht="22" thickTop="1" thickBot="1">
      <c r="A299" s="51" t="s">
        <v>657</v>
      </c>
      <c r="B299" s="70" t="s">
        <v>1628</v>
      </c>
      <c r="C299" s="40" t="s">
        <v>30</v>
      </c>
      <c r="D299" s="62">
        <v>95</v>
      </c>
      <c r="E299" s="60">
        <v>2.5000000000000001E-2</v>
      </c>
      <c r="F299" s="61">
        <v>118.6</v>
      </c>
      <c r="G299" s="63">
        <v>4.5</v>
      </c>
      <c r="H299" s="261">
        <f>IF(ISBLANK(I299),0,1)</f>
        <v>0</v>
      </c>
      <c r="I299" s="57"/>
      <c r="J299" s="58"/>
      <c r="K299" s="65" t="s">
        <v>423</v>
      </c>
      <c r="L299" s="65" t="s">
        <v>114</v>
      </c>
      <c r="M299" cm="1">
        <f t="array" ref="M299">_xlfn.XLOOKUP(Matrix[[#This Row],[TEAM]]&amp;Matrix[[#Headers],[1]],FDR[FDR]&amp;FDR[[#Headers],[1]],FDR[1],"",0,1)</f>
        <v>3</v>
      </c>
      <c r="N299" cm="1">
        <f t="array" ref="N299">_xlfn.XLOOKUP(Matrix[[#This Row],[TEAM]]&amp;Matrix[[#Headers],[2]],FDR[FDR]&amp;FDR[[#Headers],[2]],FDR[2],"",0,1)</f>
        <v>2</v>
      </c>
      <c r="O299" cm="1">
        <f t="array" ref="O299">_xlfn.XLOOKUP(Matrix[[#This Row],[TEAM]]&amp;Matrix[[#Headers],[3]],FDR[FDR]&amp;FDR[[#Headers],[3]],FDR[3],"",0,1)</f>
        <v>1</v>
      </c>
      <c r="P299" cm="1">
        <f t="array" ref="P299">_xlfn.XLOOKUP(Matrix[[#This Row],[TEAM]]&amp;Matrix[[#Headers],[4]],FDR[FDR]&amp;FDR[[#Headers],[4]],FDR[4],"",0,1)</f>
        <v>4</v>
      </c>
      <c r="Q299" cm="1">
        <f t="array" ref="Q299">_xlfn.XLOOKUP(Matrix[[#This Row],[TEAM]]&amp;Matrix[[#Headers],[5]],FDR[FDR]&amp;FDR[[#Headers],[5]],FDR[5],"",0,1)</f>
        <v>3</v>
      </c>
      <c r="R299" cm="1">
        <f t="array" ref="R299">_xlfn.XLOOKUP(Matrix[[#This Row],[TEAM]]&amp;Matrix[[#Headers],[6]],FDR[FDR]&amp;FDR[[#Headers],[6]],FDR[6],"",0,1)</f>
        <v>2</v>
      </c>
      <c r="S299" cm="1">
        <f t="array" ref="S299">_xlfn.XLOOKUP(Matrix[[#This Row],[TEAM]]&amp;Matrix[[#Headers],[7]],FDR[FDR]&amp;FDR[[#Headers],[7]],FDR[7],"",0,1)</f>
        <v>1</v>
      </c>
      <c r="T299" cm="1">
        <f t="array" ref="T299">_xlfn.XLOOKUP(Matrix[[#This Row],[TEAM]]&amp;Matrix[[#Headers],[8]],FDR[FDR]&amp;FDR[[#Headers],[8]],FDR[8],"",0,1)</f>
        <v>4</v>
      </c>
      <c r="U299" cm="1">
        <f t="array" ref="U299">_xlfn.XLOOKUP(Matrix[[#This Row],[TEAM]]&amp;Matrix[[#Headers],[9]],FDR[FDR]&amp;FDR[[#Headers],[9]],FDR[9],"",0,1)</f>
        <v>1</v>
      </c>
      <c r="V299" cm="1">
        <f t="array" ref="V299">_xlfn.XLOOKUP(Matrix[[#This Row],[TEAM]]&amp;Matrix[[#Headers],[10]],FDR[FDR]&amp;FDR[[#Headers],[10]],FDR[10],"",0,1)</f>
        <v>2</v>
      </c>
      <c r="W299" cm="1">
        <f t="array" ref="W299">_xlfn.XLOOKUP(Matrix[[#This Row],[TEAM]]&amp;Matrix[[#Headers],[11]],FDR[FDR]&amp;FDR[[#Headers],[11]],FDR[11],"",0,1)</f>
        <v>4</v>
      </c>
      <c r="X299" cm="1">
        <f t="array" ref="X299">_xlfn.XLOOKUP(Matrix[[#This Row],[TEAM]]&amp;Matrix[[#Headers],[12]],FDR[FDR]&amp;FDR[[#Headers],[12]],FDR[12],"",0,1)</f>
        <v>1</v>
      </c>
      <c r="Y299" cm="1">
        <f t="array" ref="Y299">_xlfn.XLOOKUP(Matrix[[#This Row],[TEAM]]&amp;Matrix[[#Headers],[13]],FDR[FDR]&amp;FDR[[#Headers],[13]],FDR[13],"",0,1)</f>
        <v>2</v>
      </c>
      <c r="Z299" cm="1">
        <f t="array" ref="Z299">_xlfn.XLOOKUP(Matrix[[#This Row],[TEAM]]&amp;Matrix[[#Headers],[14]],FDR[FDR]&amp;FDR[[#Headers],[14]],FDR[14],"",0,1)</f>
        <v>1</v>
      </c>
      <c r="AA299" cm="1">
        <f t="array" ref="AA299">_xlfn.XLOOKUP(Matrix[[#This Row],[TEAM]]&amp;Matrix[[#Headers],[15]],FDR[FDR]&amp;FDR[[#Headers],[15]],FDR[15],"",0,1)</f>
        <v>1</v>
      </c>
      <c r="AB299" cm="1">
        <f t="array" ref="AB299">_xlfn.XLOOKUP(Matrix[[#This Row],[TEAM]]&amp;Matrix[[#Headers],[16]],FDR[FDR]&amp;FDR[[#Headers],[16]],FDR[16],"",0,1)</f>
        <v>1</v>
      </c>
      <c r="AC299" cm="1">
        <f t="array" ref="AC299">_xlfn.XLOOKUP(Matrix[[#This Row],[TEAM]]&amp;Matrix[[#Headers],[17]],FDR[FDR]&amp;FDR[[#Headers],[17]],FDR[17],"",0,1)</f>
        <v>3</v>
      </c>
      <c r="AD299" cm="1">
        <f t="array" ref="AD299">_xlfn.XLOOKUP(Matrix[[#This Row],[TEAM]]&amp;Matrix[[#Headers],[18]],FDR[FDR]&amp;FDR[[#Headers],[18]],FDR[18],"",0,1)</f>
        <v>2</v>
      </c>
      <c r="AE299" cm="1">
        <f t="array" ref="AE299">_xlfn.XLOOKUP(Matrix[[#This Row],[TEAM]]&amp;Matrix[[#Headers],[19]],FDR[FDR]&amp;FDR[[#Headers],[19]],FDR[19],"",0,1)</f>
        <v>1</v>
      </c>
      <c r="AF299" cm="1">
        <f t="array" ref="AF299">_xlfn.XLOOKUP(Matrix[[#This Row],[TEAM]]&amp;Matrix[[#Headers],[20]],FDR[FDR]&amp;FDR[[#Headers],[20]],FDR[20],"",0,1)</f>
        <v>1</v>
      </c>
      <c r="AG299" cm="1">
        <f t="array" ref="AG299">_xlfn.XLOOKUP(Matrix[[#This Row],[TEAM]]&amp;Matrix[[#Headers],[21]],FDR[FDR]&amp;FDR[[#Headers],[21]],FDR[21],"",0,1)</f>
        <v>1</v>
      </c>
      <c r="AH299" cm="1">
        <f t="array" ref="AH299">_xlfn.XLOOKUP(Matrix[[#This Row],[TEAM]]&amp;Matrix[[#Headers],[22]],FDR[FDR]&amp;FDR[[#Headers],[22]],FDR[22],"",0,1)</f>
        <v>3</v>
      </c>
      <c r="AI299" cm="1">
        <f t="array" ref="AI299">_xlfn.XLOOKUP(Matrix[[#This Row],[TEAM]]&amp;Matrix[[#Headers],[23]],FDR[FDR]&amp;FDR[[#Headers],[23]],FDR[23],"",0,1)</f>
        <v>4</v>
      </c>
      <c r="AJ299" cm="1">
        <f t="array" ref="AJ299">_xlfn.XLOOKUP(Matrix[[#This Row],[TEAM]]&amp;Matrix[[#Headers],[24]],FDR[FDR]&amp;FDR[[#Headers],[24]],FDR[24],"",0,1)</f>
        <v>1</v>
      </c>
      <c r="AK299" cm="1">
        <f t="array" ref="AK299">_xlfn.XLOOKUP(Matrix[[#This Row],[TEAM]]&amp;Matrix[[#Headers],[25]],FDR[FDR]&amp;FDR[[#Headers],[25]],FDR[25],"",0,1)</f>
        <v>3</v>
      </c>
      <c r="AL299" cm="1">
        <f t="array" ref="AL299">_xlfn.XLOOKUP(Matrix[[#This Row],[TEAM]]&amp;Matrix[[#Headers],[26]],FDR[FDR]&amp;FDR[[#Headers],[26]],FDR[26],"",0,1)</f>
        <v>2</v>
      </c>
      <c r="AM299" cm="1">
        <f t="array" ref="AM299">_xlfn.XLOOKUP(Matrix[[#This Row],[TEAM]]&amp;Matrix[[#Headers],[27]],FDR[FDR]&amp;FDR[[#Headers],[27]],FDR[27],"",0,1)</f>
        <v>2</v>
      </c>
      <c r="AN299" cm="1">
        <f t="array" ref="AN299">_xlfn.XLOOKUP(Matrix[[#This Row],[TEAM]]&amp;Matrix[[#Headers],[28]],FDR[FDR]&amp;FDR[[#Headers],[28]],FDR[28],"",0,1)</f>
        <v>1</v>
      </c>
      <c r="AO299" cm="1">
        <f t="array" ref="AO299">_xlfn.XLOOKUP(Matrix[[#This Row],[TEAM]]&amp;Matrix[[#Headers],[29]],FDR[FDR]&amp;FDR[[#Headers],[29]],FDR[29],"",0,1)</f>
        <v>3</v>
      </c>
      <c r="AP299" cm="1">
        <f t="array" ref="AP299">_xlfn.XLOOKUP(Matrix[[#This Row],[TEAM]]&amp;Matrix[[#Headers],[30]],FDR[FDR]&amp;FDR[[#Headers],[30]],FDR[30],"",0,1)</f>
        <v>2</v>
      </c>
      <c r="AQ299" cm="1">
        <f t="array" ref="AQ299">_xlfn.XLOOKUP(Matrix[[#This Row],[TEAM]]&amp;Matrix[[#Headers],[31]],FDR[FDR]&amp;FDR[[#Headers],[31]],FDR[31],"",0,1)</f>
        <v>2</v>
      </c>
      <c r="AR299" cm="1">
        <f t="array" ref="AR299">_xlfn.XLOOKUP(Matrix[[#This Row],[TEAM]]&amp;Matrix[[#Headers],[32]],FDR[FDR]&amp;FDR[[#Headers],[32]],FDR[32],"",0,1)</f>
        <v>1</v>
      </c>
      <c r="AS299" cm="1">
        <f t="array" ref="AS299">_xlfn.XLOOKUP(Matrix[[#This Row],[TEAM]]&amp;Matrix[[#Headers],[33]],FDR[FDR]&amp;FDR[[#Headers],[33]],FDR[33],"",0,1)</f>
        <v>4</v>
      </c>
      <c r="AT299" cm="1">
        <f t="array" ref="AT299">_xlfn.XLOOKUP(Matrix[[#This Row],[TEAM]]&amp;Matrix[[#Headers],[34]],FDR[FDR]&amp;FDR[[#Headers],[34]],FDR[34],"",0,1)</f>
        <v>1</v>
      </c>
      <c r="AU299" cm="1">
        <f t="array" ref="AU299">_xlfn.XLOOKUP(Matrix[[#This Row],[TEAM]]&amp;Matrix[[#Headers],[35]],FDR[FDR]&amp;FDR[[#Headers],[35]],FDR[35],"",0,1)</f>
        <v>3</v>
      </c>
      <c r="AV299" cm="1">
        <f t="array" ref="AV299">_xlfn.XLOOKUP(Matrix[[#This Row],[TEAM]]&amp;Matrix[[#Headers],[36]],FDR[FDR]&amp;FDR[[#Headers],[36]],FDR[36],"",0,1)</f>
        <v>1</v>
      </c>
      <c r="AW299" cm="1">
        <f t="array" ref="AW299">_xlfn.XLOOKUP(Matrix[[#This Row],[TEAM]]&amp;Matrix[[#Headers],[37]],FDR[FDR]&amp;FDR[[#Headers],[37]],FDR[37],"",0,1)</f>
        <v>1</v>
      </c>
      <c r="AX299" cm="1">
        <f t="array" ref="AX299">_xlfn.XLOOKUP(Matrix[[#This Row],[TEAM]]&amp;Matrix[[#Headers],[38]],FDR[FDR]&amp;FDR[[#Headers],[38]],FDR[38],"",0,1)</f>
        <v>2</v>
      </c>
    </row>
    <row r="300" spans="1:50" ht="22" thickTop="1" thickBot="1">
      <c r="A300" s="51" t="s">
        <v>657</v>
      </c>
      <c r="B300" s="70" t="s">
        <v>1632</v>
      </c>
      <c r="C300" s="40" t="s">
        <v>28</v>
      </c>
      <c r="D300" s="62">
        <v>89</v>
      </c>
      <c r="E300" s="60">
        <v>1.9E-2</v>
      </c>
      <c r="F300" s="61">
        <v>120.7</v>
      </c>
      <c r="G300" s="63">
        <v>4.5</v>
      </c>
      <c r="H300" s="261">
        <f>IF(ISBLANK(I300),0,1)</f>
        <v>0</v>
      </c>
      <c r="I300" s="57"/>
      <c r="J300" s="58"/>
      <c r="K300" s="65" t="s">
        <v>430</v>
      </c>
      <c r="L300" s="65" t="s">
        <v>143</v>
      </c>
      <c r="M300" cm="1">
        <f t="array" ref="M300">_xlfn.XLOOKUP(Matrix[[#This Row],[TEAM]]&amp;Matrix[[#Headers],[1]],FDR[FDR]&amp;FDR[[#Headers],[1]],FDR[1],"",0,1)</f>
        <v>3</v>
      </c>
      <c r="N300" cm="1">
        <f t="array" ref="N300">_xlfn.XLOOKUP(Matrix[[#This Row],[TEAM]]&amp;Matrix[[#Headers],[2]],FDR[FDR]&amp;FDR[[#Headers],[2]],FDR[2],"",0,1)</f>
        <v>2</v>
      </c>
      <c r="O300" cm="1">
        <f t="array" ref="O300">_xlfn.XLOOKUP(Matrix[[#This Row],[TEAM]]&amp;Matrix[[#Headers],[3]],FDR[FDR]&amp;FDR[[#Headers],[3]],FDR[3],"",0,1)</f>
        <v>1</v>
      </c>
      <c r="P300" cm="1">
        <f t="array" ref="P300">_xlfn.XLOOKUP(Matrix[[#This Row],[TEAM]]&amp;Matrix[[#Headers],[4]],FDR[FDR]&amp;FDR[[#Headers],[4]],FDR[4],"",0,1)</f>
        <v>2</v>
      </c>
      <c r="Q300" cm="1">
        <f t="array" ref="Q300">_xlfn.XLOOKUP(Matrix[[#This Row],[TEAM]]&amp;Matrix[[#Headers],[5]],FDR[FDR]&amp;FDR[[#Headers],[5]],FDR[5],"",0,1)</f>
        <v>1</v>
      </c>
      <c r="R300" cm="1">
        <f t="array" ref="R300">_xlfn.XLOOKUP(Matrix[[#This Row],[TEAM]]&amp;Matrix[[#Headers],[6]],FDR[FDR]&amp;FDR[[#Headers],[6]],FDR[6],"",0,1)</f>
        <v>2</v>
      </c>
      <c r="S300" cm="1">
        <f t="array" ref="S300">_xlfn.XLOOKUP(Matrix[[#This Row],[TEAM]]&amp;Matrix[[#Headers],[7]],FDR[FDR]&amp;FDR[[#Headers],[7]],FDR[7],"",0,1)</f>
        <v>1</v>
      </c>
      <c r="T300" cm="1">
        <f t="array" ref="T300">_xlfn.XLOOKUP(Matrix[[#This Row],[TEAM]]&amp;Matrix[[#Headers],[8]],FDR[FDR]&amp;FDR[[#Headers],[8]],FDR[8],"",0,1)</f>
        <v>4</v>
      </c>
      <c r="U300" cm="1">
        <f t="array" ref="U300">_xlfn.XLOOKUP(Matrix[[#This Row],[TEAM]]&amp;Matrix[[#Headers],[9]],FDR[FDR]&amp;FDR[[#Headers],[9]],FDR[9],"",0,1)</f>
        <v>3</v>
      </c>
      <c r="V300" cm="1">
        <f t="array" ref="V300">_xlfn.XLOOKUP(Matrix[[#This Row],[TEAM]]&amp;Matrix[[#Headers],[10]],FDR[FDR]&amp;FDR[[#Headers],[10]],FDR[10],"",0,1)</f>
        <v>4</v>
      </c>
      <c r="W300" cm="1">
        <f t="array" ref="W300">_xlfn.XLOOKUP(Matrix[[#This Row],[TEAM]]&amp;Matrix[[#Headers],[11]],FDR[FDR]&amp;FDR[[#Headers],[11]],FDR[11],"",0,1)</f>
        <v>2</v>
      </c>
      <c r="X300" cm="1">
        <f t="array" ref="X300">_xlfn.XLOOKUP(Matrix[[#This Row],[TEAM]]&amp;Matrix[[#Headers],[12]],FDR[FDR]&amp;FDR[[#Headers],[12]],FDR[12],"",0,1)</f>
        <v>1</v>
      </c>
      <c r="Y300" cm="1">
        <f t="array" ref="Y300">_xlfn.XLOOKUP(Matrix[[#This Row],[TEAM]]&amp;Matrix[[#Headers],[13]],FDR[FDR]&amp;FDR[[#Headers],[13]],FDR[13],"",0,1)</f>
        <v>1</v>
      </c>
      <c r="Z300" cm="1">
        <f t="array" ref="Z300">_xlfn.XLOOKUP(Matrix[[#This Row],[TEAM]]&amp;Matrix[[#Headers],[14]],FDR[FDR]&amp;FDR[[#Headers],[14]],FDR[14],"",0,1)</f>
        <v>3</v>
      </c>
      <c r="AA300" cm="1">
        <f t="array" ref="AA300">_xlfn.XLOOKUP(Matrix[[#This Row],[TEAM]]&amp;Matrix[[#Headers],[15]],FDR[FDR]&amp;FDR[[#Headers],[15]],FDR[15],"",0,1)</f>
        <v>3</v>
      </c>
      <c r="AB300" cm="1">
        <f t="array" ref="AB300">_xlfn.XLOOKUP(Matrix[[#This Row],[TEAM]]&amp;Matrix[[#Headers],[16]],FDR[FDR]&amp;FDR[[#Headers],[16]],FDR[16],"",0,1)</f>
        <v>2</v>
      </c>
      <c r="AC300" cm="1">
        <f t="array" ref="AC300">_xlfn.XLOOKUP(Matrix[[#This Row],[TEAM]]&amp;Matrix[[#Headers],[17]],FDR[FDR]&amp;FDR[[#Headers],[17]],FDR[17],"",0,1)</f>
        <v>3</v>
      </c>
      <c r="AD300" cm="1">
        <f t="array" ref="AD300">_xlfn.XLOOKUP(Matrix[[#This Row],[TEAM]]&amp;Matrix[[#Headers],[18]],FDR[FDR]&amp;FDR[[#Headers],[18]],FDR[18],"",0,1)</f>
        <v>4</v>
      </c>
      <c r="AE300" cm="1">
        <f t="array" ref="AE300">_xlfn.XLOOKUP(Matrix[[#This Row],[TEAM]]&amp;Matrix[[#Headers],[19]],FDR[FDR]&amp;FDR[[#Headers],[19]],FDR[19],"",0,1)</f>
        <v>4</v>
      </c>
      <c r="AF300" cm="1">
        <f t="array" ref="AF300">_xlfn.XLOOKUP(Matrix[[#This Row],[TEAM]]&amp;Matrix[[#Headers],[20]],FDR[FDR]&amp;FDR[[#Headers],[20]],FDR[20],"",0,1)</f>
        <v>2</v>
      </c>
      <c r="AG300" cm="1">
        <f t="array" ref="AG300">_xlfn.XLOOKUP(Matrix[[#This Row],[TEAM]]&amp;Matrix[[#Headers],[21]],FDR[FDR]&amp;FDR[[#Headers],[21]],FDR[21],"",0,1)</f>
        <v>2</v>
      </c>
      <c r="AH300" cm="1">
        <f t="array" ref="AH300">_xlfn.XLOOKUP(Matrix[[#This Row],[TEAM]]&amp;Matrix[[#Headers],[22]],FDR[FDR]&amp;FDR[[#Headers],[22]],FDR[22],"",0,1)</f>
        <v>1</v>
      </c>
      <c r="AI300" cm="1">
        <f t="array" ref="AI300">_xlfn.XLOOKUP(Matrix[[#This Row],[TEAM]]&amp;Matrix[[#Headers],[23]],FDR[FDR]&amp;FDR[[#Headers],[23]],FDR[23],"",0,1)</f>
        <v>4</v>
      </c>
      <c r="AJ300" cm="1">
        <f t="array" ref="AJ300">_xlfn.XLOOKUP(Matrix[[#This Row],[TEAM]]&amp;Matrix[[#Headers],[24]],FDR[FDR]&amp;FDR[[#Headers],[24]],FDR[24],"",0,1)</f>
        <v>1</v>
      </c>
      <c r="AK300" cm="1">
        <f t="array" ref="AK300">_xlfn.XLOOKUP(Matrix[[#This Row],[TEAM]]&amp;Matrix[[#Headers],[25]],FDR[FDR]&amp;FDR[[#Headers],[25]],FDR[25],"",0,1)</f>
        <v>3</v>
      </c>
      <c r="AL300" cm="1">
        <f t="array" ref="AL300">_xlfn.XLOOKUP(Matrix[[#This Row],[TEAM]]&amp;Matrix[[#Headers],[26]],FDR[FDR]&amp;FDR[[#Headers],[26]],FDR[26],"",0,1)</f>
        <v>2</v>
      </c>
      <c r="AM300" cm="1">
        <f t="array" ref="AM300">_xlfn.XLOOKUP(Matrix[[#This Row],[TEAM]]&amp;Matrix[[#Headers],[27]],FDR[FDR]&amp;FDR[[#Headers],[27]],FDR[27],"",0,1)</f>
        <v>1</v>
      </c>
      <c r="AN300" cm="1">
        <f t="array" ref="AN300">_xlfn.XLOOKUP(Matrix[[#This Row],[TEAM]]&amp;Matrix[[#Headers],[28]],FDR[FDR]&amp;FDR[[#Headers],[28]],FDR[28],"",0,1)</f>
        <v>1</v>
      </c>
      <c r="AO300" cm="1">
        <f t="array" ref="AO300">_xlfn.XLOOKUP(Matrix[[#This Row],[TEAM]]&amp;Matrix[[#Headers],[29]],FDR[FDR]&amp;FDR[[#Headers],[29]],FDR[29],"",0,1)</f>
        <v>3</v>
      </c>
      <c r="AP300" cm="1">
        <f t="array" ref="AP300">_xlfn.XLOOKUP(Matrix[[#This Row],[TEAM]]&amp;Matrix[[#Headers],[30]],FDR[FDR]&amp;FDR[[#Headers],[30]],FDR[30],"",0,1)</f>
        <v>4</v>
      </c>
      <c r="AQ300" cm="1">
        <f t="array" ref="AQ300">_xlfn.XLOOKUP(Matrix[[#This Row],[TEAM]]&amp;Matrix[[#Headers],[31]],FDR[FDR]&amp;FDR[[#Headers],[31]],FDR[31],"",0,1)</f>
        <v>1</v>
      </c>
      <c r="AR300" cm="1">
        <f t="array" ref="AR300">_xlfn.XLOOKUP(Matrix[[#This Row],[TEAM]]&amp;Matrix[[#Headers],[32]],FDR[FDR]&amp;FDR[[#Headers],[32]],FDR[32],"",0,1)</f>
        <v>3</v>
      </c>
      <c r="AS300" cm="1">
        <f t="array" ref="AS300">_xlfn.XLOOKUP(Matrix[[#This Row],[TEAM]]&amp;Matrix[[#Headers],[33]],FDR[FDR]&amp;FDR[[#Headers],[33]],FDR[33],"",0,1)</f>
        <v>1</v>
      </c>
      <c r="AT300" cm="1">
        <f t="array" ref="AT300">_xlfn.XLOOKUP(Matrix[[#This Row],[TEAM]]&amp;Matrix[[#Headers],[34]],FDR[FDR]&amp;FDR[[#Headers],[34]],FDR[34],"",0,1)</f>
        <v>3</v>
      </c>
      <c r="AU300" cm="1">
        <f t="array" ref="AU300">_xlfn.XLOOKUP(Matrix[[#This Row],[TEAM]]&amp;Matrix[[#Headers],[35]],FDR[FDR]&amp;FDR[[#Headers],[35]],FDR[35],"",0,1)</f>
        <v>3</v>
      </c>
      <c r="AV300" cm="1">
        <f t="array" ref="AV300">_xlfn.XLOOKUP(Matrix[[#This Row],[TEAM]]&amp;Matrix[[#Headers],[36]],FDR[FDR]&amp;FDR[[#Headers],[36]],FDR[36],"",0,1)</f>
        <v>1</v>
      </c>
      <c r="AW300" cm="1">
        <f t="array" ref="AW300">_xlfn.XLOOKUP(Matrix[[#This Row],[TEAM]]&amp;Matrix[[#Headers],[37]],FDR[FDR]&amp;FDR[[#Headers],[37]],FDR[37],"",0,1)</f>
        <v>3</v>
      </c>
      <c r="AX300" cm="1">
        <f t="array" ref="AX300">_xlfn.XLOOKUP(Matrix[[#This Row],[TEAM]]&amp;Matrix[[#Headers],[38]],FDR[FDR]&amp;FDR[[#Headers],[38]],FDR[38],"",0,1)</f>
        <v>4</v>
      </c>
    </row>
    <row r="301" spans="1:50" ht="22" thickTop="1" thickBot="1">
      <c r="A301" s="51" t="s">
        <v>657</v>
      </c>
      <c r="B301" s="70" t="s">
        <v>1639</v>
      </c>
      <c r="C301" s="40" t="s">
        <v>33</v>
      </c>
      <c r="D301" s="62">
        <v>87</v>
      </c>
      <c r="E301" s="60">
        <v>1.2E-2</v>
      </c>
      <c r="F301" s="61">
        <v>118.3</v>
      </c>
      <c r="G301" s="63">
        <v>4.5</v>
      </c>
      <c r="H301" s="261">
        <f>IF(ISBLANK(I301),0,1)</f>
        <v>0</v>
      </c>
      <c r="I301" s="57"/>
      <c r="J301" s="58"/>
      <c r="K301" s="65" t="s">
        <v>560</v>
      </c>
      <c r="L301" s="65" t="s">
        <v>169</v>
      </c>
      <c r="M301" cm="1">
        <f t="array" ref="M301">_xlfn.XLOOKUP(Matrix[[#This Row],[TEAM]]&amp;Matrix[[#Headers],[1]],FDR[FDR]&amp;FDR[[#Headers],[1]],FDR[1],"",0,1)</f>
        <v>3</v>
      </c>
      <c r="N301" cm="1">
        <f t="array" ref="N301">_xlfn.XLOOKUP(Matrix[[#This Row],[TEAM]]&amp;Matrix[[#Headers],[2]],FDR[FDR]&amp;FDR[[#Headers],[2]],FDR[2],"",0,1)</f>
        <v>3</v>
      </c>
      <c r="O301" cm="1">
        <f t="array" ref="O301">_xlfn.XLOOKUP(Matrix[[#This Row],[TEAM]]&amp;Matrix[[#Headers],[3]],FDR[FDR]&amp;FDR[[#Headers],[3]],FDR[3],"",0,1)</f>
        <v>4</v>
      </c>
      <c r="P301" cm="1">
        <f t="array" ref="P301">_xlfn.XLOOKUP(Matrix[[#This Row],[TEAM]]&amp;Matrix[[#Headers],[4]],FDR[FDR]&amp;FDR[[#Headers],[4]],FDR[4],"",0,1)</f>
        <v>4</v>
      </c>
      <c r="Q301" cm="1">
        <f t="array" ref="Q301">_xlfn.XLOOKUP(Matrix[[#This Row],[TEAM]]&amp;Matrix[[#Headers],[5]],FDR[FDR]&amp;FDR[[#Headers],[5]],FDR[5],"",0,1)</f>
        <v>4</v>
      </c>
      <c r="R301" cm="1">
        <f t="array" ref="R301">_xlfn.XLOOKUP(Matrix[[#This Row],[TEAM]]&amp;Matrix[[#Headers],[6]],FDR[FDR]&amp;FDR[[#Headers],[6]],FDR[6],"",0,1)</f>
        <v>5</v>
      </c>
      <c r="S301" cm="1">
        <f t="array" ref="S301">_xlfn.XLOOKUP(Matrix[[#This Row],[TEAM]]&amp;Matrix[[#Headers],[7]],FDR[FDR]&amp;FDR[[#Headers],[7]],FDR[7],"",0,1)</f>
        <v>2</v>
      </c>
      <c r="T301" cm="1">
        <f t="array" ref="T301">_xlfn.XLOOKUP(Matrix[[#This Row],[TEAM]]&amp;Matrix[[#Headers],[8]],FDR[FDR]&amp;FDR[[#Headers],[8]],FDR[8],"",0,1)</f>
        <v>4</v>
      </c>
      <c r="U301" cm="1">
        <f t="array" ref="U301">_xlfn.XLOOKUP(Matrix[[#This Row],[TEAM]]&amp;Matrix[[#Headers],[9]],FDR[FDR]&amp;FDR[[#Headers],[9]],FDR[9],"",0,1)</f>
        <v>5</v>
      </c>
      <c r="V301" cm="1">
        <f t="array" ref="V301">_xlfn.XLOOKUP(Matrix[[#This Row],[TEAM]]&amp;Matrix[[#Headers],[10]],FDR[FDR]&amp;FDR[[#Headers],[10]],FDR[10],"",0,1)</f>
        <v>1</v>
      </c>
      <c r="W301" cm="1">
        <f t="array" ref="W301">_xlfn.XLOOKUP(Matrix[[#This Row],[TEAM]]&amp;Matrix[[#Headers],[11]],FDR[FDR]&amp;FDR[[#Headers],[11]],FDR[11],"",0,1)</f>
        <v>3</v>
      </c>
      <c r="X301" cm="1">
        <f t="array" ref="X301">_xlfn.XLOOKUP(Matrix[[#This Row],[TEAM]]&amp;Matrix[[#Headers],[12]],FDR[FDR]&amp;FDR[[#Headers],[12]],FDR[12],"",0,1)</f>
        <v>2</v>
      </c>
      <c r="Y301" cm="1">
        <f t="array" ref="Y301">_xlfn.XLOOKUP(Matrix[[#This Row],[TEAM]]&amp;Matrix[[#Headers],[13]],FDR[FDR]&amp;FDR[[#Headers],[13]],FDR[13],"",0,1)</f>
        <v>4</v>
      </c>
      <c r="Z301" cm="1">
        <f t="array" ref="Z301">_xlfn.XLOOKUP(Matrix[[#This Row],[TEAM]]&amp;Matrix[[#Headers],[14]],FDR[FDR]&amp;FDR[[#Headers],[14]],FDR[14],"",0,1)</f>
        <v>3</v>
      </c>
      <c r="AA301" cm="1">
        <f t="array" ref="AA301">_xlfn.XLOOKUP(Matrix[[#This Row],[TEAM]]&amp;Matrix[[#Headers],[15]],FDR[FDR]&amp;FDR[[#Headers],[15]],FDR[15],"",0,1)</f>
        <v>2</v>
      </c>
      <c r="AB301" cm="1">
        <f t="array" ref="AB301">_xlfn.XLOOKUP(Matrix[[#This Row],[TEAM]]&amp;Matrix[[#Headers],[16]],FDR[FDR]&amp;FDR[[#Headers],[16]],FDR[16],"",0,1)</f>
        <v>5</v>
      </c>
      <c r="AC301" cm="1">
        <f t="array" ref="AC301">_xlfn.XLOOKUP(Matrix[[#This Row],[TEAM]]&amp;Matrix[[#Headers],[17]],FDR[FDR]&amp;FDR[[#Headers],[17]],FDR[17],"",0,1)</f>
        <v>1</v>
      </c>
      <c r="AD301" cm="1">
        <f t="array" ref="AD301">_xlfn.XLOOKUP(Matrix[[#This Row],[TEAM]]&amp;Matrix[[#Headers],[18]],FDR[FDR]&amp;FDR[[#Headers],[18]],FDR[18],"",0,1)</f>
        <v>5</v>
      </c>
      <c r="AE301" cm="1">
        <f t="array" ref="AE301">_xlfn.XLOOKUP(Matrix[[#This Row],[TEAM]]&amp;Matrix[[#Headers],[19]],FDR[FDR]&amp;FDR[[#Headers],[19]],FDR[19],"",0,1)</f>
        <v>3</v>
      </c>
      <c r="AF301" cm="1">
        <f t="array" ref="AF301">_xlfn.XLOOKUP(Matrix[[#This Row],[TEAM]]&amp;Matrix[[#Headers],[20]],FDR[FDR]&amp;FDR[[#Headers],[20]],FDR[20],"",0,1)</f>
        <v>1</v>
      </c>
      <c r="AG301" cm="1">
        <f t="array" ref="AG301">_xlfn.XLOOKUP(Matrix[[#This Row],[TEAM]]&amp;Matrix[[#Headers],[21]],FDR[FDR]&amp;FDR[[#Headers],[21]],FDR[21],"",0,1)</f>
        <v>5</v>
      </c>
      <c r="AH301" cm="1">
        <f t="array" ref="AH301">_xlfn.XLOOKUP(Matrix[[#This Row],[TEAM]]&amp;Matrix[[#Headers],[22]],FDR[FDR]&amp;FDR[[#Headers],[22]],FDR[22],"",0,1)</f>
        <v>3</v>
      </c>
      <c r="AI301" cm="1">
        <f t="array" ref="AI301">_xlfn.XLOOKUP(Matrix[[#This Row],[TEAM]]&amp;Matrix[[#Headers],[23]],FDR[FDR]&amp;FDR[[#Headers],[23]],FDR[23],"",0,1)</f>
        <v>4</v>
      </c>
      <c r="AJ301" cm="1">
        <f t="array" ref="AJ301">_xlfn.XLOOKUP(Matrix[[#This Row],[TEAM]]&amp;Matrix[[#Headers],[24]],FDR[FDR]&amp;FDR[[#Headers],[24]],FDR[24],"",0,1)</f>
        <v>2</v>
      </c>
      <c r="AK301" cm="1">
        <f t="array" ref="AK301">_xlfn.XLOOKUP(Matrix[[#This Row],[TEAM]]&amp;Matrix[[#Headers],[25]],FDR[FDR]&amp;FDR[[#Headers],[25]],FDR[25],"",0,1)</f>
        <v>2</v>
      </c>
      <c r="AL301" cm="1">
        <f t="array" ref="AL301">_xlfn.XLOOKUP(Matrix[[#This Row],[TEAM]]&amp;Matrix[[#Headers],[26]],FDR[FDR]&amp;FDR[[#Headers],[26]],FDR[26],"",0,1)</f>
        <v>5</v>
      </c>
      <c r="AM301" cm="1">
        <f t="array" ref="AM301">_xlfn.XLOOKUP(Matrix[[#This Row],[TEAM]]&amp;Matrix[[#Headers],[27]],FDR[FDR]&amp;FDR[[#Headers],[27]],FDR[27],"",0,1)</f>
        <v>3</v>
      </c>
      <c r="AN301" cm="1">
        <f t="array" ref="AN301">_xlfn.XLOOKUP(Matrix[[#This Row],[TEAM]]&amp;Matrix[[#Headers],[28]],FDR[FDR]&amp;FDR[[#Headers],[28]],FDR[28],"",0,1)</f>
        <v>3</v>
      </c>
      <c r="AO301" cm="1">
        <f t="array" ref="AO301">_xlfn.XLOOKUP(Matrix[[#This Row],[TEAM]]&amp;Matrix[[#Headers],[29]],FDR[FDR]&amp;FDR[[#Headers],[29]],FDR[29],"",0,1)</f>
        <v>4</v>
      </c>
      <c r="AP301" cm="1">
        <f t="array" ref="AP301">_xlfn.XLOOKUP(Matrix[[#This Row],[TEAM]]&amp;Matrix[[#Headers],[30]],FDR[FDR]&amp;FDR[[#Headers],[30]],FDR[30],"",0,1)</f>
        <v>2</v>
      </c>
      <c r="AQ301" cm="1">
        <f t="array" ref="AQ301">_xlfn.XLOOKUP(Matrix[[#This Row],[TEAM]]&amp;Matrix[[#Headers],[31]],FDR[FDR]&amp;FDR[[#Headers],[31]],FDR[31],"",0,1)</f>
        <v>4</v>
      </c>
      <c r="AR301" cm="1">
        <f t="array" ref="AR301">_xlfn.XLOOKUP(Matrix[[#This Row],[TEAM]]&amp;Matrix[[#Headers],[32]],FDR[FDR]&amp;FDR[[#Headers],[32]],FDR[32],"",0,1)</f>
        <v>2</v>
      </c>
      <c r="AS301" cm="1">
        <f t="array" ref="AS301">_xlfn.XLOOKUP(Matrix[[#This Row],[TEAM]]&amp;Matrix[[#Headers],[33]],FDR[FDR]&amp;FDR[[#Headers],[33]],FDR[33],"",0,1)</f>
        <v>5</v>
      </c>
      <c r="AT301" cm="1">
        <f t="array" ref="AT301">_xlfn.XLOOKUP(Matrix[[#This Row],[TEAM]]&amp;Matrix[[#Headers],[34]],FDR[FDR]&amp;FDR[[#Headers],[34]],FDR[34],"",0,1)</f>
        <v>4</v>
      </c>
      <c r="AU301" cm="1">
        <f t="array" ref="AU301">_xlfn.XLOOKUP(Matrix[[#This Row],[TEAM]]&amp;Matrix[[#Headers],[35]],FDR[FDR]&amp;FDR[[#Headers],[35]],FDR[35],"",0,1)</f>
        <v>5</v>
      </c>
      <c r="AV301" cm="1">
        <f t="array" ref="AV301">_xlfn.XLOOKUP(Matrix[[#This Row],[TEAM]]&amp;Matrix[[#Headers],[36]],FDR[FDR]&amp;FDR[[#Headers],[36]],FDR[36],"",0,1)</f>
        <v>1</v>
      </c>
      <c r="AW301" cm="1">
        <f t="array" ref="AW301">_xlfn.XLOOKUP(Matrix[[#This Row],[TEAM]]&amp;Matrix[[#Headers],[37]],FDR[FDR]&amp;FDR[[#Headers],[37]],FDR[37],"",0,1)</f>
        <v>2</v>
      </c>
      <c r="AX301" cm="1">
        <f t="array" ref="AX301">_xlfn.XLOOKUP(Matrix[[#This Row],[TEAM]]&amp;Matrix[[#Headers],[38]],FDR[FDR]&amp;FDR[[#Headers],[38]],FDR[38],"",0,1)</f>
        <v>4</v>
      </c>
    </row>
    <row r="302" spans="1:50" ht="22" thickTop="1" thickBot="1">
      <c r="A302" s="51" t="s">
        <v>657</v>
      </c>
      <c r="B302" s="70" t="s">
        <v>1720</v>
      </c>
      <c r="C302" s="40" t="s">
        <v>51</v>
      </c>
      <c r="D302" s="62">
        <v>79</v>
      </c>
      <c r="E302" s="60">
        <v>2E-3</v>
      </c>
      <c r="F302" s="61">
        <v>86.5</v>
      </c>
      <c r="G302" s="63">
        <v>4.5</v>
      </c>
      <c r="H302" s="261">
        <f>IF(ISBLANK(I302),0,1)</f>
        <v>0</v>
      </c>
      <c r="I302" s="57"/>
      <c r="J302" s="58"/>
      <c r="K302" s="65" t="s">
        <v>509</v>
      </c>
      <c r="L302" s="65" t="s">
        <v>151</v>
      </c>
      <c r="M302" cm="1">
        <f t="array" ref="M302">_xlfn.XLOOKUP(Matrix[[#This Row],[TEAM]]&amp;Matrix[[#Headers],[1]],FDR[FDR]&amp;FDR[[#Headers],[1]],FDR[1],"",0,1)</f>
        <v>5</v>
      </c>
      <c r="N302" cm="1">
        <f t="array" ref="N302">_xlfn.XLOOKUP(Matrix[[#This Row],[TEAM]]&amp;Matrix[[#Headers],[2]],FDR[FDR]&amp;FDR[[#Headers],[2]],FDR[2],"",0,1)</f>
        <v>5</v>
      </c>
      <c r="O302" cm="1">
        <f t="array" ref="O302">_xlfn.XLOOKUP(Matrix[[#This Row],[TEAM]]&amp;Matrix[[#Headers],[3]],FDR[FDR]&amp;FDR[[#Headers],[3]],FDR[3],"",0,1)</f>
        <v>4</v>
      </c>
      <c r="P302" cm="1">
        <f t="array" ref="P302">_xlfn.XLOOKUP(Matrix[[#This Row],[TEAM]]&amp;Matrix[[#Headers],[4]],FDR[FDR]&amp;FDR[[#Headers],[4]],FDR[4],"",0,1)</f>
        <v>5</v>
      </c>
      <c r="Q302" cm="1">
        <f t="array" ref="Q302">_xlfn.XLOOKUP(Matrix[[#This Row],[TEAM]]&amp;Matrix[[#Headers],[5]],FDR[FDR]&amp;FDR[[#Headers],[5]],FDR[5],"",0,1)</f>
        <v>2</v>
      </c>
      <c r="R302" cm="1">
        <f t="array" ref="R302">_xlfn.XLOOKUP(Matrix[[#This Row],[TEAM]]&amp;Matrix[[#Headers],[6]],FDR[FDR]&amp;FDR[[#Headers],[6]],FDR[6],"",0,1)</f>
        <v>5</v>
      </c>
      <c r="S302" cm="1">
        <f t="array" ref="S302">_xlfn.XLOOKUP(Matrix[[#This Row],[TEAM]]&amp;Matrix[[#Headers],[7]],FDR[FDR]&amp;FDR[[#Headers],[7]],FDR[7],"",0,1)</f>
        <v>4</v>
      </c>
      <c r="T302" cm="1">
        <f t="array" ref="T302">_xlfn.XLOOKUP(Matrix[[#This Row],[TEAM]]&amp;Matrix[[#Headers],[8]],FDR[FDR]&amp;FDR[[#Headers],[8]],FDR[8],"",0,1)</f>
        <v>3</v>
      </c>
      <c r="U302" cm="1">
        <f t="array" ref="U302">_xlfn.XLOOKUP(Matrix[[#This Row],[TEAM]]&amp;Matrix[[#Headers],[9]],FDR[FDR]&amp;FDR[[#Headers],[9]],FDR[9],"",0,1)</f>
        <v>2</v>
      </c>
      <c r="V302" cm="1">
        <f t="array" ref="V302">_xlfn.XLOOKUP(Matrix[[#This Row],[TEAM]]&amp;Matrix[[#Headers],[10]],FDR[FDR]&amp;FDR[[#Headers],[10]],FDR[10],"",0,1)</f>
        <v>5</v>
      </c>
      <c r="W302" cm="1">
        <f t="array" ref="W302">_xlfn.XLOOKUP(Matrix[[#This Row],[TEAM]]&amp;Matrix[[#Headers],[11]],FDR[FDR]&amp;FDR[[#Headers],[11]],FDR[11],"",0,1)</f>
        <v>5</v>
      </c>
      <c r="X302" cm="1">
        <f t="array" ref="X302">_xlfn.XLOOKUP(Matrix[[#This Row],[TEAM]]&amp;Matrix[[#Headers],[12]],FDR[FDR]&amp;FDR[[#Headers],[12]],FDR[12],"",0,1)</f>
        <v>4</v>
      </c>
      <c r="Y302" cm="1">
        <f t="array" ref="Y302">_xlfn.XLOOKUP(Matrix[[#This Row],[TEAM]]&amp;Matrix[[#Headers],[13]],FDR[FDR]&amp;FDR[[#Headers],[13]],FDR[13],"",0,1)</f>
        <v>5</v>
      </c>
      <c r="Z302" cm="1">
        <f t="array" ref="Z302">_xlfn.XLOOKUP(Matrix[[#This Row],[TEAM]]&amp;Matrix[[#Headers],[14]],FDR[FDR]&amp;FDR[[#Headers],[14]],FDR[14],"",0,1)</f>
        <v>4</v>
      </c>
      <c r="AA302" cm="1">
        <f t="array" ref="AA302">_xlfn.XLOOKUP(Matrix[[#This Row],[TEAM]]&amp;Matrix[[#Headers],[15]],FDR[FDR]&amp;FDR[[#Headers],[15]],FDR[15],"",0,1)</f>
        <v>5</v>
      </c>
      <c r="AB302" cm="1">
        <f t="array" ref="AB302">_xlfn.XLOOKUP(Matrix[[#This Row],[TEAM]]&amp;Matrix[[#Headers],[16]],FDR[FDR]&amp;FDR[[#Headers],[16]],FDR[16],"",0,1)</f>
        <v>5</v>
      </c>
      <c r="AC302" cm="1">
        <f t="array" ref="AC302">_xlfn.XLOOKUP(Matrix[[#This Row],[TEAM]]&amp;Matrix[[#Headers],[17]],FDR[FDR]&amp;FDR[[#Headers],[17]],FDR[17],"",0,1)</f>
        <v>4</v>
      </c>
      <c r="AD302" cm="1">
        <f t="array" ref="AD302">_xlfn.XLOOKUP(Matrix[[#This Row],[TEAM]]&amp;Matrix[[#Headers],[18]],FDR[FDR]&amp;FDR[[#Headers],[18]],FDR[18],"",0,1)</f>
        <v>5</v>
      </c>
      <c r="AE302" cm="1">
        <f t="array" ref="AE302">_xlfn.XLOOKUP(Matrix[[#This Row],[TEAM]]&amp;Matrix[[#Headers],[19]],FDR[FDR]&amp;FDR[[#Headers],[19]],FDR[19],"",0,1)</f>
        <v>5</v>
      </c>
      <c r="AF302" cm="1">
        <f t="array" ref="AF302">_xlfn.XLOOKUP(Matrix[[#This Row],[TEAM]]&amp;Matrix[[#Headers],[20]],FDR[FDR]&amp;FDR[[#Headers],[20]],FDR[20],"",0,1)</f>
        <v>4</v>
      </c>
      <c r="AG302" cm="1">
        <f t="array" ref="AG302">_xlfn.XLOOKUP(Matrix[[#This Row],[TEAM]]&amp;Matrix[[#Headers],[21]],FDR[FDR]&amp;FDR[[#Headers],[21]],FDR[21],"",0,1)</f>
        <v>5</v>
      </c>
      <c r="AH302" cm="1">
        <f t="array" ref="AH302">_xlfn.XLOOKUP(Matrix[[#This Row],[TEAM]]&amp;Matrix[[#Headers],[22]],FDR[FDR]&amp;FDR[[#Headers],[22]],FDR[22],"",0,1)</f>
        <v>5</v>
      </c>
      <c r="AI302" cm="1">
        <f t="array" ref="AI302">_xlfn.XLOOKUP(Matrix[[#This Row],[TEAM]]&amp;Matrix[[#Headers],[23]],FDR[FDR]&amp;FDR[[#Headers],[23]],FDR[23],"",0,1)</f>
        <v>5</v>
      </c>
      <c r="AJ302" cm="1">
        <f t="array" ref="AJ302">_xlfn.XLOOKUP(Matrix[[#This Row],[TEAM]]&amp;Matrix[[#Headers],[24]],FDR[FDR]&amp;FDR[[#Headers],[24]],FDR[24],"",0,1)</f>
        <v>4</v>
      </c>
      <c r="AK302" cm="1">
        <f t="array" ref="AK302">_xlfn.XLOOKUP(Matrix[[#This Row],[TEAM]]&amp;Matrix[[#Headers],[25]],FDR[FDR]&amp;FDR[[#Headers],[25]],FDR[25],"",0,1)</f>
        <v>5</v>
      </c>
      <c r="AL302" cm="1">
        <f t="array" ref="AL302">_xlfn.XLOOKUP(Matrix[[#This Row],[TEAM]]&amp;Matrix[[#Headers],[26]],FDR[FDR]&amp;FDR[[#Headers],[26]],FDR[26],"",0,1)</f>
        <v>5</v>
      </c>
      <c r="AM302" cm="1">
        <f t="array" ref="AM302">_xlfn.XLOOKUP(Matrix[[#This Row],[TEAM]]&amp;Matrix[[#Headers],[27]],FDR[FDR]&amp;FDR[[#Headers],[27]],FDR[27],"",0,1)</f>
        <v>5</v>
      </c>
      <c r="AN302" cm="1">
        <f t="array" ref="AN302">_xlfn.XLOOKUP(Matrix[[#This Row],[TEAM]]&amp;Matrix[[#Headers],[28]],FDR[FDR]&amp;FDR[[#Headers],[28]],FDR[28],"",0,1)</f>
        <v>5</v>
      </c>
      <c r="AO302" cm="1">
        <f t="array" ref="AO302">_xlfn.XLOOKUP(Matrix[[#This Row],[TEAM]]&amp;Matrix[[#Headers],[29]],FDR[FDR]&amp;FDR[[#Headers],[29]],FDR[29],"",0,1)</f>
        <v>5</v>
      </c>
      <c r="AP302" cm="1">
        <f t="array" ref="AP302">_xlfn.XLOOKUP(Matrix[[#This Row],[TEAM]]&amp;Matrix[[#Headers],[30]],FDR[FDR]&amp;FDR[[#Headers],[30]],FDR[30],"",0,1)</f>
        <v>5</v>
      </c>
      <c r="AQ302" cm="1">
        <f t="array" ref="AQ302">_xlfn.XLOOKUP(Matrix[[#This Row],[TEAM]]&amp;Matrix[[#Headers],[31]],FDR[FDR]&amp;FDR[[#Headers],[31]],FDR[31],"",0,1)</f>
        <v>5</v>
      </c>
      <c r="AR302" cm="1">
        <f t="array" ref="AR302">_xlfn.XLOOKUP(Matrix[[#This Row],[TEAM]]&amp;Matrix[[#Headers],[32]],FDR[FDR]&amp;FDR[[#Headers],[32]],FDR[32],"",0,1)</f>
        <v>5</v>
      </c>
      <c r="AS302" cm="1">
        <f t="array" ref="AS302">_xlfn.XLOOKUP(Matrix[[#This Row],[TEAM]]&amp;Matrix[[#Headers],[33]],FDR[FDR]&amp;FDR[[#Headers],[33]],FDR[33],"",0,1)</f>
        <v>3</v>
      </c>
      <c r="AT302" cm="1">
        <f t="array" ref="AT302">_xlfn.XLOOKUP(Matrix[[#This Row],[TEAM]]&amp;Matrix[[#Headers],[34]],FDR[FDR]&amp;FDR[[#Headers],[34]],FDR[34],"",0,1)</f>
        <v>5</v>
      </c>
      <c r="AU302" cm="1">
        <f t="array" ref="AU302">_xlfn.XLOOKUP(Matrix[[#This Row],[TEAM]]&amp;Matrix[[#Headers],[35]],FDR[FDR]&amp;FDR[[#Headers],[35]],FDR[35],"",0,1)</f>
        <v>2</v>
      </c>
      <c r="AV302" cm="1">
        <f t="array" ref="AV302">_xlfn.XLOOKUP(Matrix[[#This Row],[TEAM]]&amp;Matrix[[#Headers],[36]],FDR[FDR]&amp;FDR[[#Headers],[36]],FDR[36],"",0,1)</f>
        <v>5</v>
      </c>
      <c r="AW302" cm="1">
        <f t="array" ref="AW302">_xlfn.XLOOKUP(Matrix[[#This Row],[TEAM]]&amp;Matrix[[#Headers],[37]],FDR[FDR]&amp;FDR[[#Headers],[37]],FDR[37],"",0,1)</f>
        <v>4</v>
      </c>
      <c r="AX302" cm="1">
        <f t="array" ref="AX302">_xlfn.XLOOKUP(Matrix[[#This Row],[TEAM]]&amp;Matrix[[#Headers],[38]],FDR[FDR]&amp;FDR[[#Headers],[38]],FDR[38],"",0,1)</f>
        <v>3</v>
      </c>
    </row>
    <row r="303" spans="1:50" ht="22" thickTop="1" thickBot="1">
      <c r="A303" s="51" t="s">
        <v>657</v>
      </c>
      <c r="B303" s="70" t="s">
        <v>1634</v>
      </c>
      <c r="C303" s="40" t="s">
        <v>28</v>
      </c>
      <c r="D303" s="62">
        <v>76</v>
      </c>
      <c r="E303" s="60">
        <v>1.7999999999999999E-2</v>
      </c>
      <c r="F303" s="61">
        <v>71.3</v>
      </c>
      <c r="G303" s="63">
        <v>4.5</v>
      </c>
      <c r="H303" s="261">
        <f>IF(ISBLANK(I303),0,1)</f>
        <v>0</v>
      </c>
      <c r="I303" s="57"/>
      <c r="J303" s="58"/>
      <c r="K303" s="65" t="s">
        <v>490</v>
      </c>
      <c r="L303" s="65" t="s">
        <v>142</v>
      </c>
      <c r="M303" cm="1">
        <f t="array" ref="M303">_xlfn.XLOOKUP(Matrix[[#This Row],[TEAM]]&amp;Matrix[[#Headers],[1]],FDR[FDR]&amp;FDR[[#Headers],[1]],FDR[1],"",0,1)</f>
        <v>3</v>
      </c>
      <c r="N303" cm="1">
        <f t="array" ref="N303">_xlfn.XLOOKUP(Matrix[[#This Row],[TEAM]]&amp;Matrix[[#Headers],[2]],FDR[FDR]&amp;FDR[[#Headers],[2]],FDR[2],"",0,1)</f>
        <v>2</v>
      </c>
      <c r="O303" cm="1">
        <f t="array" ref="O303">_xlfn.XLOOKUP(Matrix[[#This Row],[TEAM]]&amp;Matrix[[#Headers],[3]],FDR[FDR]&amp;FDR[[#Headers],[3]],FDR[3],"",0,1)</f>
        <v>1</v>
      </c>
      <c r="P303" cm="1">
        <f t="array" ref="P303">_xlfn.XLOOKUP(Matrix[[#This Row],[TEAM]]&amp;Matrix[[#Headers],[4]],FDR[FDR]&amp;FDR[[#Headers],[4]],FDR[4],"",0,1)</f>
        <v>2</v>
      </c>
      <c r="Q303" cm="1">
        <f t="array" ref="Q303">_xlfn.XLOOKUP(Matrix[[#This Row],[TEAM]]&amp;Matrix[[#Headers],[5]],FDR[FDR]&amp;FDR[[#Headers],[5]],FDR[5],"",0,1)</f>
        <v>1</v>
      </c>
      <c r="R303" cm="1">
        <f t="array" ref="R303">_xlfn.XLOOKUP(Matrix[[#This Row],[TEAM]]&amp;Matrix[[#Headers],[6]],FDR[FDR]&amp;FDR[[#Headers],[6]],FDR[6],"",0,1)</f>
        <v>2</v>
      </c>
      <c r="S303" cm="1">
        <f t="array" ref="S303">_xlfn.XLOOKUP(Matrix[[#This Row],[TEAM]]&amp;Matrix[[#Headers],[7]],FDR[FDR]&amp;FDR[[#Headers],[7]],FDR[7],"",0,1)</f>
        <v>1</v>
      </c>
      <c r="T303" cm="1">
        <f t="array" ref="T303">_xlfn.XLOOKUP(Matrix[[#This Row],[TEAM]]&amp;Matrix[[#Headers],[8]],FDR[FDR]&amp;FDR[[#Headers],[8]],FDR[8],"",0,1)</f>
        <v>4</v>
      </c>
      <c r="U303" cm="1">
        <f t="array" ref="U303">_xlfn.XLOOKUP(Matrix[[#This Row],[TEAM]]&amp;Matrix[[#Headers],[9]],FDR[FDR]&amp;FDR[[#Headers],[9]],FDR[9],"",0,1)</f>
        <v>3</v>
      </c>
      <c r="V303" cm="1">
        <f t="array" ref="V303">_xlfn.XLOOKUP(Matrix[[#This Row],[TEAM]]&amp;Matrix[[#Headers],[10]],FDR[FDR]&amp;FDR[[#Headers],[10]],FDR[10],"",0,1)</f>
        <v>4</v>
      </c>
      <c r="W303" cm="1">
        <f t="array" ref="W303">_xlfn.XLOOKUP(Matrix[[#This Row],[TEAM]]&amp;Matrix[[#Headers],[11]],FDR[FDR]&amp;FDR[[#Headers],[11]],FDR[11],"",0,1)</f>
        <v>2</v>
      </c>
      <c r="X303" cm="1">
        <f t="array" ref="X303">_xlfn.XLOOKUP(Matrix[[#This Row],[TEAM]]&amp;Matrix[[#Headers],[12]],FDR[FDR]&amp;FDR[[#Headers],[12]],FDR[12],"",0,1)</f>
        <v>1</v>
      </c>
      <c r="Y303" cm="1">
        <f t="array" ref="Y303">_xlfn.XLOOKUP(Matrix[[#This Row],[TEAM]]&amp;Matrix[[#Headers],[13]],FDR[FDR]&amp;FDR[[#Headers],[13]],FDR[13],"",0,1)</f>
        <v>1</v>
      </c>
      <c r="Z303" cm="1">
        <f t="array" ref="Z303">_xlfn.XLOOKUP(Matrix[[#This Row],[TEAM]]&amp;Matrix[[#Headers],[14]],FDR[FDR]&amp;FDR[[#Headers],[14]],FDR[14],"",0,1)</f>
        <v>3</v>
      </c>
      <c r="AA303" cm="1">
        <f t="array" ref="AA303">_xlfn.XLOOKUP(Matrix[[#This Row],[TEAM]]&amp;Matrix[[#Headers],[15]],FDR[FDR]&amp;FDR[[#Headers],[15]],FDR[15],"",0,1)</f>
        <v>3</v>
      </c>
      <c r="AB303" cm="1">
        <f t="array" ref="AB303">_xlfn.XLOOKUP(Matrix[[#This Row],[TEAM]]&amp;Matrix[[#Headers],[16]],FDR[FDR]&amp;FDR[[#Headers],[16]],FDR[16],"",0,1)</f>
        <v>2</v>
      </c>
      <c r="AC303" cm="1">
        <f t="array" ref="AC303">_xlfn.XLOOKUP(Matrix[[#This Row],[TEAM]]&amp;Matrix[[#Headers],[17]],FDR[FDR]&amp;FDR[[#Headers],[17]],FDR[17],"",0,1)</f>
        <v>3</v>
      </c>
      <c r="AD303" cm="1">
        <f t="array" ref="AD303">_xlfn.XLOOKUP(Matrix[[#This Row],[TEAM]]&amp;Matrix[[#Headers],[18]],FDR[FDR]&amp;FDR[[#Headers],[18]],FDR[18],"",0,1)</f>
        <v>4</v>
      </c>
      <c r="AE303" cm="1">
        <f t="array" ref="AE303">_xlfn.XLOOKUP(Matrix[[#This Row],[TEAM]]&amp;Matrix[[#Headers],[19]],FDR[FDR]&amp;FDR[[#Headers],[19]],FDR[19],"",0,1)</f>
        <v>4</v>
      </c>
      <c r="AF303" cm="1">
        <f t="array" ref="AF303">_xlfn.XLOOKUP(Matrix[[#This Row],[TEAM]]&amp;Matrix[[#Headers],[20]],FDR[FDR]&amp;FDR[[#Headers],[20]],FDR[20],"",0,1)</f>
        <v>2</v>
      </c>
      <c r="AG303" cm="1">
        <f t="array" ref="AG303">_xlfn.XLOOKUP(Matrix[[#This Row],[TEAM]]&amp;Matrix[[#Headers],[21]],FDR[FDR]&amp;FDR[[#Headers],[21]],FDR[21],"",0,1)</f>
        <v>2</v>
      </c>
      <c r="AH303" cm="1">
        <f t="array" ref="AH303">_xlfn.XLOOKUP(Matrix[[#This Row],[TEAM]]&amp;Matrix[[#Headers],[22]],FDR[FDR]&amp;FDR[[#Headers],[22]],FDR[22],"",0,1)</f>
        <v>1</v>
      </c>
      <c r="AI303" cm="1">
        <f t="array" ref="AI303">_xlfn.XLOOKUP(Matrix[[#This Row],[TEAM]]&amp;Matrix[[#Headers],[23]],FDR[FDR]&amp;FDR[[#Headers],[23]],FDR[23],"",0,1)</f>
        <v>4</v>
      </c>
      <c r="AJ303" cm="1">
        <f t="array" ref="AJ303">_xlfn.XLOOKUP(Matrix[[#This Row],[TEAM]]&amp;Matrix[[#Headers],[24]],FDR[FDR]&amp;FDR[[#Headers],[24]],FDR[24],"",0,1)</f>
        <v>1</v>
      </c>
      <c r="AK303" cm="1">
        <f t="array" ref="AK303">_xlfn.XLOOKUP(Matrix[[#This Row],[TEAM]]&amp;Matrix[[#Headers],[25]],FDR[FDR]&amp;FDR[[#Headers],[25]],FDR[25],"",0,1)</f>
        <v>3</v>
      </c>
      <c r="AL303" cm="1">
        <f t="array" ref="AL303">_xlfn.XLOOKUP(Matrix[[#This Row],[TEAM]]&amp;Matrix[[#Headers],[26]],FDR[FDR]&amp;FDR[[#Headers],[26]],FDR[26],"",0,1)</f>
        <v>2</v>
      </c>
      <c r="AM303" cm="1">
        <f t="array" ref="AM303">_xlfn.XLOOKUP(Matrix[[#This Row],[TEAM]]&amp;Matrix[[#Headers],[27]],FDR[FDR]&amp;FDR[[#Headers],[27]],FDR[27],"",0,1)</f>
        <v>1</v>
      </c>
      <c r="AN303" cm="1">
        <f t="array" ref="AN303">_xlfn.XLOOKUP(Matrix[[#This Row],[TEAM]]&amp;Matrix[[#Headers],[28]],FDR[FDR]&amp;FDR[[#Headers],[28]],FDR[28],"",0,1)</f>
        <v>1</v>
      </c>
      <c r="AO303" cm="1">
        <f t="array" ref="AO303">_xlfn.XLOOKUP(Matrix[[#This Row],[TEAM]]&amp;Matrix[[#Headers],[29]],FDR[FDR]&amp;FDR[[#Headers],[29]],FDR[29],"",0,1)</f>
        <v>3</v>
      </c>
      <c r="AP303" cm="1">
        <f t="array" ref="AP303">_xlfn.XLOOKUP(Matrix[[#This Row],[TEAM]]&amp;Matrix[[#Headers],[30]],FDR[FDR]&amp;FDR[[#Headers],[30]],FDR[30],"",0,1)</f>
        <v>4</v>
      </c>
      <c r="AQ303" cm="1">
        <f t="array" ref="AQ303">_xlfn.XLOOKUP(Matrix[[#This Row],[TEAM]]&amp;Matrix[[#Headers],[31]],FDR[FDR]&amp;FDR[[#Headers],[31]],FDR[31],"",0,1)</f>
        <v>1</v>
      </c>
      <c r="AR303" cm="1">
        <f t="array" ref="AR303">_xlfn.XLOOKUP(Matrix[[#This Row],[TEAM]]&amp;Matrix[[#Headers],[32]],FDR[FDR]&amp;FDR[[#Headers],[32]],FDR[32],"",0,1)</f>
        <v>3</v>
      </c>
      <c r="AS303" cm="1">
        <f t="array" ref="AS303">_xlfn.XLOOKUP(Matrix[[#This Row],[TEAM]]&amp;Matrix[[#Headers],[33]],FDR[FDR]&amp;FDR[[#Headers],[33]],FDR[33],"",0,1)</f>
        <v>1</v>
      </c>
      <c r="AT303" cm="1">
        <f t="array" ref="AT303">_xlfn.XLOOKUP(Matrix[[#This Row],[TEAM]]&amp;Matrix[[#Headers],[34]],FDR[FDR]&amp;FDR[[#Headers],[34]],FDR[34],"",0,1)</f>
        <v>3</v>
      </c>
      <c r="AU303" cm="1">
        <f t="array" ref="AU303">_xlfn.XLOOKUP(Matrix[[#This Row],[TEAM]]&amp;Matrix[[#Headers],[35]],FDR[FDR]&amp;FDR[[#Headers],[35]],FDR[35],"",0,1)</f>
        <v>3</v>
      </c>
      <c r="AV303" cm="1">
        <f t="array" ref="AV303">_xlfn.XLOOKUP(Matrix[[#This Row],[TEAM]]&amp;Matrix[[#Headers],[36]],FDR[FDR]&amp;FDR[[#Headers],[36]],FDR[36],"",0,1)</f>
        <v>1</v>
      </c>
      <c r="AW303" cm="1">
        <f t="array" ref="AW303">_xlfn.XLOOKUP(Matrix[[#This Row],[TEAM]]&amp;Matrix[[#Headers],[37]],FDR[FDR]&amp;FDR[[#Headers],[37]],FDR[37],"",0,1)</f>
        <v>3</v>
      </c>
      <c r="AX303" cm="1">
        <f t="array" ref="AX303">_xlfn.XLOOKUP(Matrix[[#This Row],[TEAM]]&amp;Matrix[[#Headers],[38]],FDR[FDR]&amp;FDR[[#Headers],[38]],FDR[38],"",0,1)</f>
        <v>4</v>
      </c>
    </row>
    <row r="304" spans="1:50" ht="22" thickTop="1" thickBot="1">
      <c r="A304" s="51" t="s">
        <v>657</v>
      </c>
      <c r="B304" s="70" t="s">
        <v>1663</v>
      </c>
      <c r="C304" s="40" t="s">
        <v>23</v>
      </c>
      <c r="D304" s="62">
        <v>75</v>
      </c>
      <c r="E304" s="60">
        <v>5.0000000000000001E-3</v>
      </c>
      <c r="F304" s="61">
        <v>84.1</v>
      </c>
      <c r="G304" s="63">
        <v>4.5</v>
      </c>
      <c r="H304" s="261">
        <f>IF(ISBLANK(I304),0,1)</f>
        <v>0</v>
      </c>
      <c r="I304" s="57"/>
      <c r="J304" s="58"/>
      <c r="K304" s="65" t="s">
        <v>1057</v>
      </c>
      <c r="L304" s="65" t="s">
        <v>1058</v>
      </c>
      <c r="M304" cm="1">
        <f t="array" ref="M304">_xlfn.XLOOKUP(Matrix[[#This Row],[TEAM]]&amp;Matrix[[#Headers],[1]],FDR[FDR]&amp;FDR[[#Headers],[1]],FDR[1],"",0,1)</f>
        <v>4</v>
      </c>
      <c r="N304" cm="1">
        <f t="array" ref="N304">_xlfn.XLOOKUP(Matrix[[#This Row],[TEAM]]&amp;Matrix[[#Headers],[2]],FDR[FDR]&amp;FDR[[#Headers],[2]],FDR[2],"",0,1)</f>
        <v>4</v>
      </c>
      <c r="O304" cm="1">
        <f t="array" ref="O304">_xlfn.XLOOKUP(Matrix[[#This Row],[TEAM]]&amp;Matrix[[#Headers],[3]],FDR[FDR]&amp;FDR[[#Headers],[3]],FDR[3],"",0,1)</f>
        <v>5</v>
      </c>
      <c r="P304" cm="1">
        <f t="array" ref="P304">_xlfn.XLOOKUP(Matrix[[#This Row],[TEAM]]&amp;Matrix[[#Headers],[4]],FDR[FDR]&amp;FDR[[#Headers],[4]],FDR[4],"",0,1)</f>
        <v>1</v>
      </c>
      <c r="Q304" cm="1">
        <f t="array" ref="Q304">_xlfn.XLOOKUP(Matrix[[#This Row],[TEAM]]&amp;Matrix[[#Headers],[5]],FDR[FDR]&amp;FDR[[#Headers],[5]],FDR[5],"",0,1)</f>
        <v>2</v>
      </c>
      <c r="R304" cm="1">
        <f t="array" ref="R304">_xlfn.XLOOKUP(Matrix[[#This Row],[TEAM]]&amp;Matrix[[#Headers],[6]],FDR[FDR]&amp;FDR[[#Headers],[6]],FDR[6],"",0,1)</f>
        <v>5</v>
      </c>
      <c r="S304" cm="1">
        <f t="array" ref="S304">_xlfn.XLOOKUP(Matrix[[#This Row],[TEAM]]&amp;Matrix[[#Headers],[7]],FDR[FDR]&amp;FDR[[#Headers],[7]],FDR[7],"",0,1)</f>
        <v>4</v>
      </c>
      <c r="T304" cm="1">
        <f t="array" ref="T304">_xlfn.XLOOKUP(Matrix[[#This Row],[TEAM]]&amp;Matrix[[#Headers],[8]],FDR[FDR]&amp;FDR[[#Headers],[8]],FDR[8],"",0,1)</f>
        <v>4</v>
      </c>
      <c r="U304" cm="1">
        <f t="array" ref="U304">_xlfn.XLOOKUP(Matrix[[#This Row],[TEAM]]&amp;Matrix[[#Headers],[9]],FDR[FDR]&amp;FDR[[#Headers],[9]],FDR[9],"",0,1)</f>
        <v>5</v>
      </c>
      <c r="V304" cm="1">
        <f t="array" ref="V304">_xlfn.XLOOKUP(Matrix[[#This Row],[TEAM]]&amp;Matrix[[#Headers],[10]],FDR[FDR]&amp;FDR[[#Headers],[10]],FDR[10],"",0,1)</f>
        <v>1</v>
      </c>
      <c r="W304" cm="1">
        <f t="array" ref="W304">_xlfn.XLOOKUP(Matrix[[#This Row],[TEAM]]&amp;Matrix[[#Headers],[11]],FDR[FDR]&amp;FDR[[#Headers],[11]],FDR[11],"",0,1)</f>
        <v>3</v>
      </c>
      <c r="X304" cm="1">
        <f t="array" ref="X304">_xlfn.XLOOKUP(Matrix[[#This Row],[TEAM]]&amp;Matrix[[#Headers],[12]],FDR[FDR]&amp;FDR[[#Headers],[12]],FDR[12],"",0,1)</f>
        <v>1</v>
      </c>
      <c r="Y304" cm="1">
        <f t="array" ref="Y304">_xlfn.XLOOKUP(Matrix[[#This Row],[TEAM]]&amp;Matrix[[#Headers],[13]],FDR[FDR]&amp;FDR[[#Headers],[13]],FDR[13],"",0,1)</f>
        <v>5</v>
      </c>
      <c r="Z304" cm="1">
        <f t="array" ref="Z304">_xlfn.XLOOKUP(Matrix[[#This Row],[TEAM]]&amp;Matrix[[#Headers],[14]],FDR[FDR]&amp;FDR[[#Headers],[14]],FDR[14],"",0,1)</f>
        <v>4</v>
      </c>
      <c r="AA304" cm="1">
        <f t="array" ref="AA304">_xlfn.XLOOKUP(Matrix[[#This Row],[TEAM]]&amp;Matrix[[#Headers],[15]],FDR[FDR]&amp;FDR[[#Headers],[15]],FDR[15],"",0,1)</f>
        <v>2</v>
      </c>
      <c r="AB304" cm="1">
        <f t="array" ref="AB304">_xlfn.XLOOKUP(Matrix[[#This Row],[TEAM]]&amp;Matrix[[#Headers],[16]],FDR[FDR]&amp;FDR[[#Headers],[16]],FDR[16],"",0,1)</f>
        <v>2</v>
      </c>
      <c r="AC304" cm="1">
        <f t="array" ref="AC304">_xlfn.XLOOKUP(Matrix[[#This Row],[TEAM]]&amp;Matrix[[#Headers],[17]],FDR[FDR]&amp;FDR[[#Headers],[17]],FDR[17],"",0,1)</f>
        <v>3</v>
      </c>
      <c r="AD304" cm="1">
        <f t="array" ref="AD304">_xlfn.XLOOKUP(Matrix[[#This Row],[TEAM]]&amp;Matrix[[#Headers],[18]],FDR[FDR]&amp;FDR[[#Headers],[18]],FDR[18],"",0,1)</f>
        <v>3</v>
      </c>
      <c r="AE304" cm="1">
        <f t="array" ref="AE304">_xlfn.XLOOKUP(Matrix[[#This Row],[TEAM]]&amp;Matrix[[#Headers],[19]],FDR[FDR]&amp;FDR[[#Headers],[19]],FDR[19],"",0,1)</f>
        <v>3</v>
      </c>
      <c r="AF304" cm="1">
        <f t="array" ref="AF304">_xlfn.XLOOKUP(Matrix[[#This Row],[TEAM]]&amp;Matrix[[#Headers],[20]],FDR[FDR]&amp;FDR[[#Headers],[20]],FDR[20],"",0,1)</f>
        <v>4</v>
      </c>
      <c r="AG304" cm="1">
        <f t="array" ref="AG304">_xlfn.XLOOKUP(Matrix[[#This Row],[TEAM]]&amp;Matrix[[#Headers],[21]],FDR[FDR]&amp;FDR[[#Headers],[21]],FDR[21],"",0,1)</f>
        <v>4</v>
      </c>
      <c r="AH304" cm="1">
        <f t="array" ref="AH304">_xlfn.XLOOKUP(Matrix[[#This Row],[TEAM]]&amp;Matrix[[#Headers],[22]],FDR[FDR]&amp;FDR[[#Headers],[22]],FDR[22],"",0,1)</f>
        <v>2</v>
      </c>
      <c r="AI304" cm="1">
        <f t="array" ref="AI304">_xlfn.XLOOKUP(Matrix[[#This Row],[TEAM]]&amp;Matrix[[#Headers],[23]],FDR[FDR]&amp;FDR[[#Headers],[23]],FDR[23],"",0,1)</f>
        <v>3</v>
      </c>
      <c r="AJ304" cm="1">
        <f t="array" ref="AJ304">_xlfn.XLOOKUP(Matrix[[#This Row],[TEAM]]&amp;Matrix[[#Headers],[24]],FDR[FDR]&amp;FDR[[#Headers],[24]],FDR[24],"",0,1)</f>
        <v>5</v>
      </c>
      <c r="AK304" cm="1">
        <f t="array" ref="AK304">_xlfn.XLOOKUP(Matrix[[#This Row],[TEAM]]&amp;Matrix[[#Headers],[25]],FDR[FDR]&amp;FDR[[#Headers],[25]],FDR[25],"",0,1)</f>
        <v>2</v>
      </c>
      <c r="AL304" cm="1">
        <f t="array" ref="AL304">_xlfn.XLOOKUP(Matrix[[#This Row],[TEAM]]&amp;Matrix[[#Headers],[26]],FDR[FDR]&amp;FDR[[#Headers],[26]],FDR[26],"",0,1)</f>
        <v>5</v>
      </c>
      <c r="AM304" cm="1">
        <f t="array" ref="AM304">_xlfn.XLOOKUP(Matrix[[#This Row],[TEAM]]&amp;Matrix[[#Headers],[27]],FDR[FDR]&amp;FDR[[#Headers],[27]],FDR[27],"",0,1)</f>
        <v>2</v>
      </c>
      <c r="AN304" cm="1">
        <f t="array" ref="AN304">_xlfn.XLOOKUP(Matrix[[#This Row],[TEAM]]&amp;Matrix[[#Headers],[28]],FDR[FDR]&amp;FDR[[#Headers],[28]],FDR[28],"",0,1)</f>
        <v>4</v>
      </c>
      <c r="AO304" cm="1">
        <f t="array" ref="AO304">_xlfn.XLOOKUP(Matrix[[#This Row],[TEAM]]&amp;Matrix[[#Headers],[29]],FDR[FDR]&amp;FDR[[#Headers],[29]],FDR[29],"",0,1)</f>
        <v>2</v>
      </c>
      <c r="AP304" cm="1">
        <f t="array" ref="AP304">_xlfn.XLOOKUP(Matrix[[#This Row],[TEAM]]&amp;Matrix[[#Headers],[30]],FDR[FDR]&amp;FDR[[#Headers],[30]],FDR[30],"",0,1)</f>
        <v>4</v>
      </c>
      <c r="AQ304" cm="1">
        <f t="array" ref="AQ304">_xlfn.XLOOKUP(Matrix[[#This Row],[TEAM]]&amp;Matrix[[#Headers],[31]],FDR[FDR]&amp;FDR[[#Headers],[31]],FDR[31],"",0,1)</f>
        <v>1</v>
      </c>
      <c r="AR304" cm="1">
        <f t="array" ref="AR304">_xlfn.XLOOKUP(Matrix[[#This Row],[TEAM]]&amp;Matrix[[#Headers],[32]],FDR[FDR]&amp;FDR[[#Headers],[32]],FDR[32],"",0,1)</f>
        <v>5</v>
      </c>
      <c r="AS304" cm="1">
        <f t="array" ref="AS304">_xlfn.XLOOKUP(Matrix[[#This Row],[TEAM]]&amp;Matrix[[#Headers],[33]],FDR[FDR]&amp;FDR[[#Headers],[33]],FDR[33],"",0,1)</f>
        <v>3</v>
      </c>
      <c r="AT304" cm="1">
        <f t="array" ref="AT304">_xlfn.XLOOKUP(Matrix[[#This Row],[TEAM]]&amp;Matrix[[#Headers],[34]],FDR[FDR]&amp;FDR[[#Headers],[34]],FDR[34],"",0,1)</f>
        <v>3</v>
      </c>
      <c r="AU304" cm="1">
        <f t="array" ref="AU304">_xlfn.XLOOKUP(Matrix[[#This Row],[TEAM]]&amp;Matrix[[#Headers],[35]],FDR[FDR]&amp;FDR[[#Headers],[35]],FDR[35],"",0,1)</f>
        <v>5</v>
      </c>
      <c r="AV304" cm="1">
        <f t="array" ref="AV304">_xlfn.XLOOKUP(Matrix[[#This Row],[TEAM]]&amp;Matrix[[#Headers],[36]],FDR[FDR]&amp;FDR[[#Headers],[36]],FDR[36],"",0,1)</f>
        <v>3</v>
      </c>
      <c r="AW304" cm="1">
        <f t="array" ref="AW304">_xlfn.XLOOKUP(Matrix[[#This Row],[TEAM]]&amp;Matrix[[#Headers],[37]],FDR[FDR]&amp;FDR[[#Headers],[37]],FDR[37],"",0,1)</f>
        <v>2</v>
      </c>
      <c r="AX304" cm="1">
        <f t="array" ref="AX304">_xlfn.XLOOKUP(Matrix[[#This Row],[TEAM]]&amp;Matrix[[#Headers],[38]],FDR[FDR]&amp;FDR[[#Headers],[38]],FDR[38],"",0,1)</f>
        <v>4</v>
      </c>
    </row>
    <row r="305" spans="1:50" ht="22" thickTop="1" thickBot="1">
      <c r="A305" s="51" t="s">
        <v>657</v>
      </c>
      <c r="B305" s="70" t="s">
        <v>349</v>
      </c>
      <c r="C305" s="40" t="s">
        <v>51</v>
      </c>
      <c r="D305" s="62">
        <v>75</v>
      </c>
      <c r="E305" s="60">
        <v>2E-3</v>
      </c>
      <c r="F305" s="61">
        <v>81.8</v>
      </c>
      <c r="G305" s="63">
        <v>4.5</v>
      </c>
      <c r="H305" s="261">
        <f>IF(ISBLANK(I305),0,1)</f>
        <v>0</v>
      </c>
      <c r="I305" s="57"/>
      <c r="J305" s="58"/>
      <c r="K305" s="65" t="s">
        <v>526</v>
      </c>
      <c r="L305" s="65" t="s">
        <v>916</v>
      </c>
      <c r="M305" cm="1">
        <f t="array" ref="M305">_xlfn.XLOOKUP(Matrix[[#This Row],[TEAM]]&amp;Matrix[[#Headers],[1]],FDR[FDR]&amp;FDR[[#Headers],[1]],FDR[1],"",0,1)</f>
        <v>5</v>
      </c>
      <c r="N305" cm="1">
        <f t="array" ref="N305">_xlfn.XLOOKUP(Matrix[[#This Row],[TEAM]]&amp;Matrix[[#Headers],[2]],FDR[FDR]&amp;FDR[[#Headers],[2]],FDR[2],"",0,1)</f>
        <v>5</v>
      </c>
      <c r="O305" cm="1">
        <f t="array" ref="O305">_xlfn.XLOOKUP(Matrix[[#This Row],[TEAM]]&amp;Matrix[[#Headers],[3]],FDR[FDR]&amp;FDR[[#Headers],[3]],FDR[3],"",0,1)</f>
        <v>4</v>
      </c>
      <c r="P305" cm="1">
        <f t="array" ref="P305">_xlfn.XLOOKUP(Matrix[[#This Row],[TEAM]]&amp;Matrix[[#Headers],[4]],FDR[FDR]&amp;FDR[[#Headers],[4]],FDR[4],"",0,1)</f>
        <v>5</v>
      </c>
      <c r="Q305" cm="1">
        <f t="array" ref="Q305">_xlfn.XLOOKUP(Matrix[[#This Row],[TEAM]]&amp;Matrix[[#Headers],[5]],FDR[FDR]&amp;FDR[[#Headers],[5]],FDR[5],"",0,1)</f>
        <v>2</v>
      </c>
      <c r="R305" cm="1">
        <f t="array" ref="R305">_xlfn.XLOOKUP(Matrix[[#This Row],[TEAM]]&amp;Matrix[[#Headers],[6]],FDR[FDR]&amp;FDR[[#Headers],[6]],FDR[6],"",0,1)</f>
        <v>5</v>
      </c>
      <c r="S305" cm="1">
        <f t="array" ref="S305">_xlfn.XLOOKUP(Matrix[[#This Row],[TEAM]]&amp;Matrix[[#Headers],[7]],FDR[FDR]&amp;FDR[[#Headers],[7]],FDR[7],"",0,1)</f>
        <v>4</v>
      </c>
      <c r="T305" cm="1">
        <f t="array" ref="T305">_xlfn.XLOOKUP(Matrix[[#This Row],[TEAM]]&amp;Matrix[[#Headers],[8]],FDR[FDR]&amp;FDR[[#Headers],[8]],FDR[8],"",0,1)</f>
        <v>3</v>
      </c>
      <c r="U305" cm="1">
        <f t="array" ref="U305">_xlfn.XLOOKUP(Matrix[[#This Row],[TEAM]]&amp;Matrix[[#Headers],[9]],FDR[FDR]&amp;FDR[[#Headers],[9]],FDR[9],"",0,1)</f>
        <v>2</v>
      </c>
      <c r="V305" cm="1">
        <f t="array" ref="V305">_xlfn.XLOOKUP(Matrix[[#This Row],[TEAM]]&amp;Matrix[[#Headers],[10]],FDR[FDR]&amp;FDR[[#Headers],[10]],FDR[10],"",0,1)</f>
        <v>5</v>
      </c>
      <c r="W305" cm="1">
        <f t="array" ref="W305">_xlfn.XLOOKUP(Matrix[[#This Row],[TEAM]]&amp;Matrix[[#Headers],[11]],FDR[FDR]&amp;FDR[[#Headers],[11]],FDR[11],"",0,1)</f>
        <v>5</v>
      </c>
      <c r="X305" cm="1">
        <f t="array" ref="X305">_xlfn.XLOOKUP(Matrix[[#This Row],[TEAM]]&amp;Matrix[[#Headers],[12]],FDR[FDR]&amp;FDR[[#Headers],[12]],FDR[12],"",0,1)</f>
        <v>4</v>
      </c>
      <c r="Y305" cm="1">
        <f t="array" ref="Y305">_xlfn.XLOOKUP(Matrix[[#This Row],[TEAM]]&amp;Matrix[[#Headers],[13]],FDR[FDR]&amp;FDR[[#Headers],[13]],FDR[13],"",0,1)</f>
        <v>5</v>
      </c>
      <c r="Z305" cm="1">
        <f t="array" ref="Z305">_xlfn.XLOOKUP(Matrix[[#This Row],[TEAM]]&amp;Matrix[[#Headers],[14]],FDR[FDR]&amp;FDR[[#Headers],[14]],FDR[14],"",0,1)</f>
        <v>4</v>
      </c>
      <c r="AA305" cm="1">
        <f t="array" ref="AA305">_xlfn.XLOOKUP(Matrix[[#This Row],[TEAM]]&amp;Matrix[[#Headers],[15]],FDR[FDR]&amp;FDR[[#Headers],[15]],FDR[15],"",0,1)</f>
        <v>5</v>
      </c>
      <c r="AB305" cm="1">
        <f t="array" ref="AB305">_xlfn.XLOOKUP(Matrix[[#This Row],[TEAM]]&amp;Matrix[[#Headers],[16]],FDR[FDR]&amp;FDR[[#Headers],[16]],FDR[16],"",0,1)</f>
        <v>5</v>
      </c>
      <c r="AC305" cm="1">
        <f t="array" ref="AC305">_xlfn.XLOOKUP(Matrix[[#This Row],[TEAM]]&amp;Matrix[[#Headers],[17]],FDR[FDR]&amp;FDR[[#Headers],[17]],FDR[17],"",0,1)</f>
        <v>4</v>
      </c>
      <c r="AD305" cm="1">
        <f t="array" ref="AD305">_xlfn.XLOOKUP(Matrix[[#This Row],[TEAM]]&amp;Matrix[[#Headers],[18]],FDR[FDR]&amp;FDR[[#Headers],[18]],FDR[18],"",0,1)</f>
        <v>5</v>
      </c>
      <c r="AE305" cm="1">
        <f t="array" ref="AE305">_xlfn.XLOOKUP(Matrix[[#This Row],[TEAM]]&amp;Matrix[[#Headers],[19]],FDR[FDR]&amp;FDR[[#Headers],[19]],FDR[19],"",0,1)</f>
        <v>5</v>
      </c>
      <c r="AF305" cm="1">
        <f t="array" ref="AF305">_xlfn.XLOOKUP(Matrix[[#This Row],[TEAM]]&amp;Matrix[[#Headers],[20]],FDR[FDR]&amp;FDR[[#Headers],[20]],FDR[20],"",0,1)</f>
        <v>4</v>
      </c>
      <c r="AG305" cm="1">
        <f t="array" ref="AG305">_xlfn.XLOOKUP(Matrix[[#This Row],[TEAM]]&amp;Matrix[[#Headers],[21]],FDR[FDR]&amp;FDR[[#Headers],[21]],FDR[21],"",0,1)</f>
        <v>5</v>
      </c>
      <c r="AH305" cm="1">
        <f t="array" ref="AH305">_xlfn.XLOOKUP(Matrix[[#This Row],[TEAM]]&amp;Matrix[[#Headers],[22]],FDR[FDR]&amp;FDR[[#Headers],[22]],FDR[22],"",0,1)</f>
        <v>5</v>
      </c>
      <c r="AI305" cm="1">
        <f t="array" ref="AI305">_xlfn.XLOOKUP(Matrix[[#This Row],[TEAM]]&amp;Matrix[[#Headers],[23]],FDR[FDR]&amp;FDR[[#Headers],[23]],FDR[23],"",0,1)</f>
        <v>5</v>
      </c>
      <c r="AJ305" cm="1">
        <f t="array" ref="AJ305">_xlfn.XLOOKUP(Matrix[[#This Row],[TEAM]]&amp;Matrix[[#Headers],[24]],FDR[FDR]&amp;FDR[[#Headers],[24]],FDR[24],"",0,1)</f>
        <v>4</v>
      </c>
      <c r="AK305" cm="1">
        <f t="array" ref="AK305">_xlfn.XLOOKUP(Matrix[[#This Row],[TEAM]]&amp;Matrix[[#Headers],[25]],FDR[FDR]&amp;FDR[[#Headers],[25]],FDR[25],"",0,1)</f>
        <v>5</v>
      </c>
      <c r="AL305" cm="1">
        <f t="array" ref="AL305">_xlfn.XLOOKUP(Matrix[[#This Row],[TEAM]]&amp;Matrix[[#Headers],[26]],FDR[FDR]&amp;FDR[[#Headers],[26]],FDR[26],"",0,1)</f>
        <v>5</v>
      </c>
      <c r="AM305" cm="1">
        <f t="array" ref="AM305">_xlfn.XLOOKUP(Matrix[[#This Row],[TEAM]]&amp;Matrix[[#Headers],[27]],FDR[FDR]&amp;FDR[[#Headers],[27]],FDR[27],"",0,1)</f>
        <v>5</v>
      </c>
      <c r="AN305" cm="1">
        <f t="array" ref="AN305">_xlfn.XLOOKUP(Matrix[[#This Row],[TEAM]]&amp;Matrix[[#Headers],[28]],FDR[FDR]&amp;FDR[[#Headers],[28]],FDR[28],"",0,1)</f>
        <v>5</v>
      </c>
      <c r="AO305" cm="1">
        <f t="array" ref="AO305">_xlfn.XLOOKUP(Matrix[[#This Row],[TEAM]]&amp;Matrix[[#Headers],[29]],FDR[FDR]&amp;FDR[[#Headers],[29]],FDR[29],"",0,1)</f>
        <v>5</v>
      </c>
      <c r="AP305" cm="1">
        <f t="array" ref="AP305">_xlfn.XLOOKUP(Matrix[[#This Row],[TEAM]]&amp;Matrix[[#Headers],[30]],FDR[FDR]&amp;FDR[[#Headers],[30]],FDR[30],"",0,1)</f>
        <v>5</v>
      </c>
      <c r="AQ305" cm="1">
        <f t="array" ref="AQ305">_xlfn.XLOOKUP(Matrix[[#This Row],[TEAM]]&amp;Matrix[[#Headers],[31]],FDR[FDR]&amp;FDR[[#Headers],[31]],FDR[31],"",0,1)</f>
        <v>5</v>
      </c>
      <c r="AR305" cm="1">
        <f t="array" ref="AR305">_xlfn.XLOOKUP(Matrix[[#This Row],[TEAM]]&amp;Matrix[[#Headers],[32]],FDR[FDR]&amp;FDR[[#Headers],[32]],FDR[32],"",0,1)</f>
        <v>5</v>
      </c>
      <c r="AS305" cm="1">
        <f t="array" ref="AS305">_xlfn.XLOOKUP(Matrix[[#This Row],[TEAM]]&amp;Matrix[[#Headers],[33]],FDR[FDR]&amp;FDR[[#Headers],[33]],FDR[33],"",0,1)</f>
        <v>3</v>
      </c>
      <c r="AT305" cm="1">
        <f t="array" ref="AT305">_xlfn.XLOOKUP(Matrix[[#This Row],[TEAM]]&amp;Matrix[[#Headers],[34]],FDR[FDR]&amp;FDR[[#Headers],[34]],FDR[34],"",0,1)</f>
        <v>5</v>
      </c>
      <c r="AU305" cm="1">
        <f t="array" ref="AU305">_xlfn.XLOOKUP(Matrix[[#This Row],[TEAM]]&amp;Matrix[[#Headers],[35]],FDR[FDR]&amp;FDR[[#Headers],[35]],FDR[35],"",0,1)</f>
        <v>2</v>
      </c>
      <c r="AV305" cm="1">
        <f t="array" ref="AV305">_xlfn.XLOOKUP(Matrix[[#This Row],[TEAM]]&amp;Matrix[[#Headers],[36]],FDR[FDR]&amp;FDR[[#Headers],[36]],FDR[36],"",0,1)</f>
        <v>5</v>
      </c>
      <c r="AW305" cm="1">
        <f t="array" ref="AW305">_xlfn.XLOOKUP(Matrix[[#This Row],[TEAM]]&amp;Matrix[[#Headers],[37]],FDR[FDR]&amp;FDR[[#Headers],[37]],FDR[37],"",0,1)</f>
        <v>4</v>
      </c>
      <c r="AX305" cm="1">
        <f t="array" ref="AX305">_xlfn.XLOOKUP(Matrix[[#This Row],[TEAM]]&amp;Matrix[[#Headers],[38]],FDR[FDR]&amp;FDR[[#Headers],[38]],FDR[38],"",0,1)</f>
        <v>3</v>
      </c>
    </row>
    <row r="306" spans="1:50" ht="22" thickTop="1" thickBot="1">
      <c r="A306" s="51" t="s">
        <v>657</v>
      </c>
      <c r="B306" s="70" t="s">
        <v>1651</v>
      </c>
      <c r="C306" s="40" t="s">
        <v>18</v>
      </c>
      <c r="D306" s="62">
        <v>71</v>
      </c>
      <c r="E306" s="60">
        <v>7.0000000000000001E-3</v>
      </c>
      <c r="F306" s="61">
        <v>49.6</v>
      </c>
      <c r="G306" s="63">
        <v>4.5</v>
      </c>
      <c r="H306" s="261">
        <f>IF(ISBLANK(I306),0,1)</f>
        <v>0</v>
      </c>
      <c r="I306" s="57"/>
      <c r="J306" s="58"/>
      <c r="K306" s="65" t="s">
        <v>499</v>
      </c>
      <c r="L306" s="65" t="s">
        <v>146</v>
      </c>
      <c r="M306" cm="1">
        <f t="array" ref="M306">_xlfn.XLOOKUP(Matrix[[#This Row],[TEAM]]&amp;Matrix[[#Headers],[1]],FDR[FDR]&amp;FDR[[#Headers],[1]],FDR[1],"",0,1)</f>
        <v>1</v>
      </c>
      <c r="N306" cm="1">
        <f t="array" ref="N306">_xlfn.XLOOKUP(Matrix[[#This Row],[TEAM]]&amp;Matrix[[#Headers],[2]],FDR[FDR]&amp;FDR[[#Headers],[2]],FDR[2],"",0,1)</f>
        <v>2</v>
      </c>
      <c r="O306" cm="1">
        <f t="array" ref="O306">_xlfn.XLOOKUP(Matrix[[#This Row],[TEAM]]&amp;Matrix[[#Headers],[3]],FDR[FDR]&amp;FDR[[#Headers],[3]],FDR[3],"",0,1)</f>
        <v>1</v>
      </c>
      <c r="P306" cm="1">
        <f t="array" ref="P306">_xlfn.XLOOKUP(Matrix[[#This Row],[TEAM]]&amp;Matrix[[#Headers],[4]],FDR[FDR]&amp;FDR[[#Headers],[4]],FDR[4],"",0,1)</f>
        <v>2</v>
      </c>
      <c r="Q306" cm="1">
        <f t="array" ref="Q306">_xlfn.XLOOKUP(Matrix[[#This Row],[TEAM]]&amp;Matrix[[#Headers],[5]],FDR[FDR]&amp;FDR[[#Headers],[5]],FDR[5],"",0,1)</f>
        <v>3</v>
      </c>
      <c r="R306" cm="1">
        <f t="array" ref="R306">_xlfn.XLOOKUP(Matrix[[#This Row],[TEAM]]&amp;Matrix[[#Headers],[6]],FDR[FDR]&amp;FDR[[#Headers],[6]],FDR[6],"",0,1)</f>
        <v>1</v>
      </c>
      <c r="S306" cm="1">
        <f t="array" ref="S306">_xlfn.XLOOKUP(Matrix[[#This Row],[TEAM]]&amp;Matrix[[#Headers],[7]],FDR[FDR]&amp;FDR[[#Headers],[7]],FDR[7],"",0,1)</f>
        <v>3</v>
      </c>
      <c r="T306" cm="1">
        <f t="array" ref="T306">_xlfn.XLOOKUP(Matrix[[#This Row],[TEAM]]&amp;Matrix[[#Headers],[8]],FDR[FDR]&amp;FDR[[#Headers],[8]],FDR[8],"",0,1)</f>
        <v>2</v>
      </c>
      <c r="U306" cm="1">
        <f t="array" ref="U306">_xlfn.XLOOKUP(Matrix[[#This Row],[TEAM]]&amp;Matrix[[#Headers],[9]],FDR[FDR]&amp;FDR[[#Headers],[9]],FDR[9],"",0,1)</f>
        <v>1</v>
      </c>
      <c r="V306" cm="1">
        <f t="array" ref="V306">_xlfn.XLOOKUP(Matrix[[#This Row],[TEAM]]&amp;Matrix[[#Headers],[10]],FDR[FDR]&amp;FDR[[#Headers],[10]],FDR[10],"",0,1)</f>
        <v>3</v>
      </c>
      <c r="W306" cm="1">
        <f t="array" ref="W306">_xlfn.XLOOKUP(Matrix[[#This Row],[TEAM]]&amp;Matrix[[#Headers],[11]],FDR[FDR]&amp;FDR[[#Headers],[11]],FDR[11],"",0,1)</f>
        <v>1</v>
      </c>
      <c r="X306" cm="1">
        <f t="array" ref="X306">_xlfn.XLOOKUP(Matrix[[#This Row],[TEAM]]&amp;Matrix[[#Headers],[12]],FDR[FDR]&amp;FDR[[#Headers],[12]],FDR[12],"",0,1)</f>
        <v>1</v>
      </c>
      <c r="Y306" cm="1">
        <f t="array" ref="Y306">_xlfn.XLOOKUP(Matrix[[#This Row],[TEAM]]&amp;Matrix[[#Headers],[13]],FDR[FDR]&amp;FDR[[#Headers],[13]],FDR[13],"",0,1)</f>
        <v>3</v>
      </c>
      <c r="Z306" cm="1">
        <f t="array" ref="Z306">_xlfn.XLOOKUP(Matrix[[#This Row],[TEAM]]&amp;Matrix[[#Headers],[14]],FDR[FDR]&amp;FDR[[#Headers],[14]],FDR[14],"",0,1)</f>
        <v>1</v>
      </c>
      <c r="AA306" cm="1">
        <f t="array" ref="AA306">_xlfn.XLOOKUP(Matrix[[#This Row],[TEAM]]&amp;Matrix[[#Headers],[15]],FDR[FDR]&amp;FDR[[#Headers],[15]],FDR[15],"",0,1)</f>
        <v>2</v>
      </c>
      <c r="AB306" cm="1">
        <f t="array" ref="AB306">_xlfn.XLOOKUP(Matrix[[#This Row],[TEAM]]&amp;Matrix[[#Headers],[16]],FDR[FDR]&amp;FDR[[#Headers],[16]],FDR[16],"",0,1)</f>
        <v>1</v>
      </c>
      <c r="AC306" cm="1">
        <f t="array" ref="AC306">_xlfn.XLOOKUP(Matrix[[#This Row],[TEAM]]&amp;Matrix[[#Headers],[17]],FDR[FDR]&amp;FDR[[#Headers],[17]],FDR[17],"",0,1)</f>
        <v>3</v>
      </c>
      <c r="AD306" cm="1">
        <f t="array" ref="AD306">_xlfn.XLOOKUP(Matrix[[#This Row],[TEAM]]&amp;Matrix[[#Headers],[18]],FDR[FDR]&amp;FDR[[#Headers],[18]],FDR[18],"",0,1)</f>
        <v>2</v>
      </c>
      <c r="AE306" cm="1">
        <f t="array" ref="AE306">_xlfn.XLOOKUP(Matrix[[#This Row],[TEAM]]&amp;Matrix[[#Headers],[19]],FDR[FDR]&amp;FDR[[#Headers],[19]],FDR[19],"",0,1)</f>
        <v>1</v>
      </c>
      <c r="AF306" cm="1">
        <f t="array" ref="AF306">_xlfn.XLOOKUP(Matrix[[#This Row],[TEAM]]&amp;Matrix[[#Headers],[20]],FDR[FDR]&amp;FDR[[#Headers],[20]],FDR[20],"",0,1)</f>
        <v>4</v>
      </c>
      <c r="AG306" cm="1">
        <f t="array" ref="AG306">_xlfn.XLOOKUP(Matrix[[#This Row],[TEAM]]&amp;Matrix[[#Headers],[21]],FDR[FDR]&amp;FDR[[#Headers],[21]],FDR[21],"",0,1)</f>
        <v>2</v>
      </c>
      <c r="AH306" cm="1">
        <f t="array" ref="AH306">_xlfn.XLOOKUP(Matrix[[#This Row],[TEAM]]&amp;Matrix[[#Headers],[22]],FDR[FDR]&amp;FDR[[#Headers],[22]],FDR[22],"",0,1)</f>
        <v>1</v>
      </c>
      <c r="AI306" cm="1">
        <f t="array" ref="AI306">_xlfn.XLOOKUP(Matrix[[#This Row],[TEAM]]&amp;Matrix[[#Headers],[23]],FDR[FDR]&amp;FDR[[#Headers],[23]],FDR[23],"",0,1)</f>
        <v>2</v>
      </c>
      <c r="AJ306" cm="1">
        <f t="array" ref="AJ306">_xlfn.XLOOKUP(Matrix[[#This Row],[TEAM]]&amp;Matrix[[#Headers],[24]],FDR[FDR]&amp;FDR[[#Headers],[24]],FDR[24],"",0,1)</f>
        <v>1</v>
      </c>
      <c r="AK306" cm="1">
        <f t="array" ref="AK306">_xlfn.XLOOKUP(Matrix[[#This Row],[TEAM]]&amp;Matrix[[#Headers],[25]],FDR[FDR]&amp;FDR[[#Headers],[25]],FDR[25],"",0,1)</f>
        <v>1</v>
      </c>
      <c r="AL306" cm="1">
        <f t="array" ref="AL306">_xlfn.XLOOKUP(Matrix[[#This Row],[TEAM]]&amp;Matrix[[#Headers],[26]],FDR[FDR]&amp;FDR[[#Headers],[26]],FDR[26],"",0,1)</f>
        <v>1</v>
      </c>
      <c r="AM306" cm="1">
        <f t="array" ref="AM306">_xlfn.XLOOKUP(Matrix[[#This Row],[TEAM]]&amp;Matrix[[#Headers],[27]],FDR[FDR]&amp;FDR[[#Headers],[27]],FDR[27],"",0,1)</f>
        <v>1</v>
      </c>
      <c r="AN306" cm="1">
        <f t="array" ref="AN306">_xlfn.XLOOKUP(Matrix[[#This Row],[TEAM]]&amp;Matrix[[#Headers],[28]],FDR[FDR]&amp;FDR[[#Headers],[28]],FDR[28],"",0,1)</f>
        <v>4</v>
      </c>
      <c r="AO306" cm="1">
        <f t="array" ref="AO306">_xlfn.XLOOKUP(Matrix[[#This Row],[TEAM]]&amp;Matrix[[#Headers],[29]],FDR[FDR]&amp;FDR[[#Headers],[29]],FDR[29],"",0,1)</f>
        <v>3</v>
      </c>
      <c r="AP306" cm="1">
        <f t="array" ref="AP306">_xlfn.XLOOKUP(Matrix[[#This Row],[TEAM]]&amp;Matrix[[#Headers],[30]],FDR[FDR]&amp;FDR[[#Headers],[30]],FDR[30],"",0,1)</f>
        <v>2</v>
      </c>
      <c r="AQ306" cm="1">
        <f t="array" ref="AQ306">_xlfn.XLOOKUP(Matrix[[#This Row],[TEAM]]&amp;Matrix[[#Headers],[31]],FDR[FDR]&amp;FDR[[#Headers],[31]],FDR[31],"",0,1)</f>
        <v>2</v>
      </c>
      <c r="AR306" cm="1">
        <f t="array" ref="AR306">_xlfn.XLOOKUP(Matrix[[#This Row],[TEAM]]&amp;Matrix[[#Headers],[32]],FDR[FDR]&amp;FDR[[#Headers],[32]],FDR[32],"",0,1)</f>
        <v>3</v>
      </c>
      <c r="AS306" cm="1">
        <f t="array" ref="AS306">_xlfn.XLOOKUP(Matrix[[#This Row],[TEAM]]&amp;Matrix[[#Headers],[33]],FDR[FDR]&amp;FDR[[#Headers],[33]],FDR[33],"",0,1)</f>
        <v>2</v>
      </c>
      <c r="AT306" cm="1">
        <f t="array" ref="AT306">_xlfn.XLOOKUP(Matrix[[#This Row],[TEAM]]&amp;Matrix[[#Headers],[34]],FDR[FDR]&amp;FDR[[#Headers],[34]],FDR[34],"",0,1)</f>
        <v>2</v>
      </c>
      <c r="AU306" cm="1">
        <f t="array" ref="AU306">_xlfn.XLOOKUP(Matrix[[#This Row],[TEAM]]&amp;Matrix[[#Headers],[35]],FDR[FDR]&amp;FDR[[#Headers],[35]],FDR[35],"",0,1)</f>
        <v>1</v>
      </c>
      <c r="AV306" cm="1">
        <f t="array" ref="AV306">_xlfn.XLOOKUP(Matrix[[#This Row],[TEAM]]&amp;Matrix[[#Headers],[36]],FDR[FDR]&amp;FDR[[#Headers],[36]],FDR[36],"",0,1)</f>
        <v>4</v>
      </c>
      <c r="AW306" cm="1">
        <f t="array" ref="AW306">_xlfn.XLOOKUP(Matrix[[#This Row],[TEAM]]&amp;Matrix[[#Headers],[37]],FDR[FDR]&amp;FDR[[#Headers],[37]],FDR[37],"",0,1)</f>
        <v>2</v>
      </c>
      <c r="AX306" cm="1">
        <f t="array" ref="AX306">_xlfn.XLOOKUP(Matrix[[#This Row],[TEAM]]&amp;Matrix[[#Headers],[38]],FDR[FDR]&amp;FDR[[#Headers],[38]],FDR[38],"",0,1)</f>
        <v>1</v>
      </c>
    </row>
    <row r="307" spans="1:50" ht="22" thickTop="1" thickBot="1">
      <c r="A307" s="51" t="s">
        <v>657</v>
      </c>
      <c r="B307" s="70" t="s">
        <v>1637</v>
      </c>
      <c r="C307" s="40" t="s">
        <v>26</v>
      </c>
      <c r="D307" s="62">
        <v>68</v>
      </c>
      <c r="E307" s="60">
        <v>1.4E-2</v>
      </c>
      <c r="F307" s="61">
        <v>69.599999999999994</v>
      </c>
      <c r="G307" s="63">
        <v>4.5</v>
      </c>
      <c r="H307" s="261">
        <f>IF(ISBLANK(I307),0,1)</f>
        <v>0</v>
      </c>
      <c r="I307" s="57"/>
      <c r="J307" s="58"/>
      <c r="K307" s="65" t="s">
        <v>494</v>
      </c>
      <c r="L307" s="65" t="s">
        <v>554</v>
      </c>
      <c r="M307" cm="1">
        <f t="array" ref="M307">_xlfn.XLOOKUP(Matrix[[#This Row],[TEAM]]&amp;Matrix[[#Headers],[1]],FDR[FDR]&amp;FDR[[#Headers],[1]],FDR[1],"",0,1)</f>
        <v>5</v>
      </c>
      <c r="N307" cm="1">
        <f t="array" ref="N307">_xlfn.XLOOKUP(Matrix[[#This Row],[TEAM]]&amp;Matrix[[#Headers],[2]],FDR[FDR]&amp;FDR[[#Headers],[2]],FDR[2],"",0,1)</f>
        <v>3</v>
      </c>
      <c r="O307" cm="1">
        <f t="array" ref="O307">_xlfn.XLOOKUP(Matrix[[#This Row],[TEAM]]&amp;Matrix[[#Headers],[3]],FDR[FDR]&amp;FDR[[#Headers],[3]],FDR[3],"",0,1)</f>
        <v>5</v>
      </c>
      <c r="P307" cm="1">
        <f t="array" ref="P307">_xlfn.XLOOKUP(Matrix[[#This Row],[TEAM]]&amp;Matrix[[#Headers],[4]],FDR[FDR]&amp;FDR[[#Headers],[4]],FDR[4],"",0,1)</f>
        <v>1</v>
      </c>
      <c r="Q307" cm="1">
        <f t="array" ref="Q307">_xlfn.XLOOKUP(Matrix[[#This Row],[TEAM]]&amp;Matrix[[#Headers],[5]],FDR[FDR]&amp;FDR[[#Headers],[5]],FDR[5],"",0,1)</f>
        <v>4</v>
      </c>
      <c r="R307" cm="1">
        <f t="array" ref="R307">_xlfn.XLOOKUP(Matrix[[#This Row],[TEAM]]&amp;Matrix[[#Headers],[6]],FDR[FDR]&amp;FDR[[#Headers],[6]],FDR[6],"",0,1)</f>
        <v>4</v>
      </c>
      <c r="S307" cm="1">
        <f t="array" ref="S307">_xlfn.XLOOKUP(Matrix[[#This Row],[TEAM]]&amp;Matrix[[#Headers],[7]],FDR[FDR]&amp;FDR[[#Headers],[7]],FDR[7],"",0,1)</f>
        <v>4</v>
      </c>
      <c r="T307" cm="1">
        <f t="array" ref="T307">_xlfn.XLOOKUP(Matrix[[#This Row],[TEAM]]&amp;Matrix[[#Headers],[8]],FDR[FDR]&amp;FDR[[#Headers],[8]],FDR[8],"",0,1)</f>
        <v>3</v>
      </c>
      <c r="U307" cm="1">
        <f t="array" ref="U307">_xlfn.XLOOKUP(Matrix[[#This Row],[TEAM]]&amp;Matrix[[#Headers],[9]],FDR[FDR]&amp;FDR[[#Headers],[9]],FDR[9],"",0,1)</f>
        <v>5</v>
      </c>
      <c r="V307" cm="1">
        <f t="array" ref="V307">_xlfn.XLOOKUP(Matrix[[#This Row],[TEAM]]&amp;Matrix[[#Headers],[10]],FDR[FDR]&amp;FDR[[#Headers],[10]],FDR[10],"",0,1)</f>
        <v>3</v>
      </c>
      <c r="W307" cm="1">
        <f t="array" ref="W307">_xlfn.XLOOKUP(Matrix[[#This Row],[TEAM]]&amp;Matrix[[#Headers],[11]],FDR[FDR]&amp;FDR[[#Headers],[11]],FDR[11],"",0,1)</f>
        <v>3</v>
      </c>
      <c r="X307" cm="1">
        <f t="array" ref="X307">_xlfn.XLOOKUP(Matrix[[#This Row],[TEAM]]&amp;Matrix[[#Headers],[12]],FDR[FDR]&amp;FDR[[#Headers],[12]],FDR[12],"",0,1)</f>
        <v>2</v>
      </c>
      <c r="Y307" cm="1">
        <f t="array" ref="Y307">_xlfn.XLOOKUP(Matrix[[#This Row],[TEAM]]&amp;Matrix[[#Headers],[13]],FDR[FDR]&amp;FDR[[#Headers],[13]],FDR[13],"",0,1)</f>
        <v>4</v>
      </c>
      <c r="Z307" cm="1">
        <f t="array" ref="Z307">_xlfn.XLOOKUP(Matrix[[#This Row],[TEAM]]&amp;Matrix[[#Headers],[14]],FDR[FDR]&amp;FDR[[#Headers],[14]],FDR[14],"",0,1)</f>
        <v>2</v>
      </c>
      <c r="AA307" cm="1">
        <f t="array" ref="AA307">_xlfn.XLOOKUP(Matrix[[#This Row],[TEAM]]&amp;Matrix[[#Headers],[15]],FDR[FDR]&amp;FDR[[#Headers],[15]],FDR[15],"",0,1)</f>
        <v>4</v>
      </c>
      <c r="AB307" cm="1">
        <f t="array" ref="AB307">_xlfn.XLOOKUP(Matrix[[#This Row],[TEAM]]&amp;Matrix[[#Headers],[16]],FDR[FDR]&amp;FDR[[#Headers],[16]],FDR[16],"",0,1)</f>
        <v>4</v>
      </c>
      <c r="AC307" cm="1">
        <f t="array" ref="AC307">_xlfn.XLOOKUP(Matrix[[#This Row],[TEAM]]&amp;Matrix[[#Headers],[17]],FDR[FDR]&amp;FDR[[#Headers],[17]],FDR[17],"",0,1)</f>
        <v>2</v>
      </c>
      <c r="AD307" cm="1">
        <f t="array" ref="AD307">_xlfn.XLOOKUP(Matrix[[#This Row],[TEAM]]&amp;Matrix[[#Headers],[18]],FDR[FDR]&amp;FDR[[#Headers],[18]],FDR[18],"",0,1)</f>
        <v>4</v>
      </c>
      <c r="AE307" cm="1">
        <f t="array" ref="AE307">_xlfn.XLOOKUP(Matrix[[#This Row],[TEAM]]&amp;Matrix[[#Headers],[19]],FDR[FDR]&amp;FDR[[#Headers],[19]],FDR[19],"",0,1)</f>
        <v>3</v>
      </c>
      <c r="AF307" cm="1">
        <f t="array" ref="AF307">_xlfn.XLOOKUP(Matrix[[#This Row],[TEAM]]&amp;Matrix[[#Headers],[20]],FDR[FDR]&amp;FDR[[#Headers],[20]],FDR[20],"",0,1)</f>
        <v>5</v>
      </c>
      <c r="AG307" cm="1">
        <f t="array" ref="AG307">_xlfn.XLOOKUP(Matrix[[#This Row],[TEAM]]&amp;Matrix[[#Headers],[21]],FDR[FDR]&amp;FDR[[#Headers],[21]],FDR[21],"",0,1)</f>
        <v>4</v>
      </c>
      <c r="AH307" cm="1">
        <f t="array" ref="AH307">_xlfn.XLOOKUP(Matrix[[#This Row],[TEAM]]&amp;Matrix[[#Headers],[22]],FDR[FDR]&amp;FDR[[#Headers],[22]],FDR[22],"",0,1)</f>
        <v>2</v>
      </c>
      <c r="AI307" cm="1">
        <f t="array" ref="AI307">_xlfn.XLOOKUP(Matrix[[#This Row],[TEAM]]&amp;Matrix[[#Headers],[23]],FDR[FDR]&amp;FDR[[#Headers],[23]],FDR[23],"",0,1)</f>
        <v>4</v>
      </c>
      <c r="AJ307" cm="1">
        <f t="array" ref="AJ307">_xlfn.XLOOKUP(Matrix[[#This Row],[TEAM]]&amp;Matrix[[#Headers],[24]],FDR[FDR]&amp;FDR[[#Headers],[24]],FDR[24],"",0,1)</f>
        <v>4</v>
      </c>
      <c r="AK307" cm="1">
        <f t="array" ref="AK307">_xlfn.XLOOKUP(Matrix[[#This Row],[TEAM]]&amp;Matrix[[#Headers],[25]],FDR[FDR]&amp;FDR[[#Headers],[25]],FDR[25],"",0,1)</f>
        <v>4</v>
      </c>
      <c r="AL307" cm="1">
        <f t="array" ref="AL307">_xlfn.XLOOKUP(Matrix[[#This Row],[TEAM]]&amp;Matrix[[#Headers],[26]],FDR[FDR]&amp;FDR[[#Headers],[26]],FDR[26],"",0,1)</f>
        <v>1</v>
      </c>
      <c r="AM307" cm="1">
        <f t="array" ref="AM307">_xlfn.XLOOKUP(Matrix[[#This Row],[TEAM]]&amp;Matrix[[#Headers],[27]],FDR[FDR]&amp;FDR[[#Headers],[27]],FDR[27],"",0,1)</f>
        <v>2</v>
      </c>
      <c r="AN307" cm="1">
        <f t="array" ref="AN307">_xlfn.XLOOKUP(Matrix[[#This Row],[TEAM]]&amp;Matrix[[#Headers],[28]],FDR[FDR]&amp;FDR[[#Headers],[28]],FDR[28],"",0,1)</f>
        <v>5</v>
      </c>
      <c r="AO307" cm="1">
        <f t="array" ref="AO307">_xlfn.XLOOKUP(Matrix[[#This Row],[TEAM]]&amp;Matrix[[#Headers],[29]],FDR[FDR]&amp;FDR[[#Headers],[29]],FDR[29],"",0,1)</f>
        <v>5</v>
      </c>
      <c r="AP307" cm="1">
        <f t="array" ref="AP307">_xlfn.XLOOKUP(Matrix[[#This Row],[TEAM]]&amp;Matrix[[#Headers],[30]],FDR[FDR]&amp;FDR[[#Headers],[30]],FDR[30],"",0,1)</f>
        <v>1</v>
      </c>
      <c r="AQ307" cm="1">
        <f t="array" ref="AQ307">_xlfn.XLOOKUP(Matrix[[#This Row],[TEAM]]&amp;Matrix[[#Headers],[31]],FDR[FDR]&amp;FDR[[#Headers],[31]],FDR[31],"",0,1)</f>
        <v>5</v>
      </c>
      <c r="AR307" cm="1">
        <f t="array" ref="AR307">_xlfn.XLOOKUP(Matrix[[#This Row],[TEAM]]&amp;Matrix[[#Headers],[32]],FDR[FDR]&amp;FDR[[#Headers],[32]],FDR[32],"",0,1)</f>
        <v>4</v>
      </c>
      <c r="AS307" cm="1">
        <f t="array" ref="AS307">_xlfn.XLOOKUP(Matrix[[#This Row],[TEAM]]&amp;Matrix[[#Headers],[33]],FDR[FDR]&amp;FDR[[#Headers],[33]],FDR[33],"",0,1)</f>
        <v>3</v>
      </c>
      <c r="AT307" cm="1">
        <f t="array" ref="AT307">_xlfn.XLOOKUP(Matrix[[#This Row],[TEAM]]&amp;Matrix[[#Headers],[34]],FDR[FDR]&amp;FDR[[#Headers],[34]],FDR[34],"",0,1)</f>
        <v>5</v>
      </c>
      <c r="AU307" cm="1">
        <f t="array" ref="AU307">_xlfn.XLOOKUP(Matrix[[#This Row],[TEAM]]&amp;Matrix[[#Headers],[35]],FDR[FDR]&amp;FDR[[#Headers],[35]],FDR[35],"",0,1)</f>
        <v>4</v>
      </c>
      <c r="AV307" cm="1">
        <f t="array" ref="AV307">_xlfn.XLOOKUP(Matrix[[#This Row],[TEAM]]&amp;Matrix[[#Headers],[36]],FDR[FDR]&amp;FDR[[#Headers],[36]],FDR[36],"",0,1)</f>
        <v>3</v>
      </c>
      <c r="AW307" cm="1">
        <f t="array" ref="AW307">_xlfn.XLOOKUP(Matrix[[#This Row],[TEAM]]&amp;Matrix[[#Headers],[37]],FDR[FDR]&amp;FDR[[#Headers],[37]],FDR[37],"",0,1)</f>
        <v>4</v>
      </c>
      <c r="AX307" cm="1">
        <f t="array" ref="AX307">_xlfn.XLOOKUP(Matrix[[#This Row],[TEAM]]&amp;Matrix[[#Headers],[38]],FDR[FDR]&amp;FDR[[#Headers],[38]],FDR[38],"",0,1)</f>
        <v>4</v>
      </c>
    </row>
    <row r="308" spans="1:50" ht="22" thickTop="1" thickBot="1">
      <c r="A308" s="51" t="s">
        <v>657</v>
      </c>
      <c r="B308" s="70" t="s">
        <v>1666</v>
      </c>
      <c r="C308" s="40" t="s">
        <v>21</v>
      </c>
      <c r="D308" s="62">
        <v>62</v>
      </c>
      <c r="E308" s="60">
        <v>4.0000000000000001E-3</v>
      </c>
      <c r="F308" s="61">
        <v>92.3</v>
      </c>
      <c r="G308" s="63">
        <v>4.5</v>
      </c>
      <c r="H308" s="261">
        <f>IF(ISBLANK(I308),0,1)</f>
        <v>0</v>
      </c>
      <c r="I308" s="57"/>
      <c r="J308" s="58"/>
      <c r="K308" s="65" t="s">
        <v>596</v>
      </c>
      <c r="L308" s="65" t="s">
        <v>180</v>
      </c>
      <c r="M308" cm="1">
        <f t="array" ref="M308">_xlfn.XLOOKUP(Matrix[[#This Row],[TEAM]]&amp;Matrix[[#Headers],[1]],FDR[FDR]&amp;FDR[[#Headers],[1]],FDR[1],"",0,1)</f>
        <v>4</v>
      </c>
      <c r="N308" cm="1">
        <f t="array" ref="N308">_xlfn.XLOOKUP(Matrix[[#This Row],[TEAM]]&amp;Matrix[[#Headers],[2]],FDR[FDR]&amp;FDR[[#Headers],[2]],FDR[2],"",0,1)</f>
        <v>4</v>
      </c>
      <c r="O308" cm="1">
        <f t="array" ref="O308">_xlfn.XLOOKUP(Matrix[[#This Row],[TEAM]]&amp;Matrix[[#Headers],[3]],FDR[FDR]&amp;FDR[[#Headers],[3]],FDR[3],"",0,1)</f>
        <v>2</v>
      </c>
      <c r="P308" cm="1">
        <f t="array" ref="P308">_xlfn.XLOOKUP(Matrix[[#This Row],[TEAM]]&amp;Matrix[[#Headers],[4]],FDR[FDR]&amp;FDR[[#Headers],[4]],FDR[4],"",0,1)</f>
        <v>4</v>
      </c>
      <c r="Q308" cm="1">
        <f t="array" ref="Q308">_xlfn.XLOOKUP(Matrix[[#This Row],[TEAM]]&amp;Matrix[[#Headers],[5]],FDR[FDR]&amp;FDR[[#Headers],[5]],FDR[5],"",0,1)</f>
        <v>4</v>
      </c>
      <c r="R308" cm="1">
        <f t="array" ref="R308">_xlfn.XLOOKUP(Matrix[[#This Row],[TEAM]]&amp;Matrix[[#Headers],[6]],FDR[FDR]&amp;FDR[[#Headers],[6]],FDR[6],"",0,1)</f>
        <v>4</v>
      </c>
      <c r="S308" cm="1">
        <f t="array" ref="S308">_xlfn.XLOOKUP(Matrix[[#This Row],[TEAM]]&amp;Matrix[[#Headers],[7]],FDR[FDR]&amp;FDR[[#Headers],[7]],FDR[7],"",0,1)</f>
        <v>4</v>
      </c>
      <c r="T308" cm="1">
        <f t="array" ref="T308">_xlfn.XLOOKUP(Matrix[[#This Row],[TEAM]]&amp;Matrix[[#Headers],[8]],FDR[FDR]&amp;FDR[[#Headers],[8]],FDR[8],"",0,1)</f>
        <v>4</v>
      </c>
      <c r="U308" cm="1">
        <f t="array" ref="U308">_xlfn.XLOOKUP(Matrix[[#This Row],[TEAM]]&amp;Matrix[[#Headers],[9]],FDR[FDR]&amp;FDR[[#Headers],[9]],FDR[9],"",0,1)</f>
        <v>4</v>
      </c>
      <c r="V308" cm="1">
        <f t="array" ref="V308">_xlfn.XLOOKUP(Matrix[[#This Row],[TEAM]]&amp;Matrix[[#Headers],[10]],FDR[FDR]&amp;FDR[[#Headers],[10]],FDR[10],"",0,1)</f>
        <v>4</v>
      </c>
      <c r="W308" cm="1">
        <f t="array" ref="W308">_xlfn.XLOOKUP(Matrix[[#This Row],[TEAM]]&amp;Matrix[[#Headers],[11]],FDR[FDR]&amp;FDR[[#Headers],[11]],FDR[11],"",0,1)</f>
        <v>4</v>
      </c>
      <c r="X308" cm="1">
        <f t="array" ref="X308">_xlfn.XLOOKUP(Matrix[[#This Row],[TEAM]]&amp;Matrix[[#Headers],[12]],FDR[FDR]&amp;FDR[[#Headers],[12]],FDR[12],"",0,1)</f>
        <v>4</v>
      </c>
      <c r="Y308" cm="1">
        <f t="array" ref="Y308">_xlfn.XLOOKUP(Matrix[[#This Row],[TEAM]]&amp;Matrix[[#Headers],[13]],FDR[FDR]&amp;FDR[[#Headers],[13]],FDR[13],"",0,1)</f>
        <v>1</v>
      </c>
      <c r="Z308" cm="1">
        <f t="array" ref="Z308">_xlfn.XLOOKUP(Matrix[[#This Row],[TEAM]]&amp;Matrix[[#Headers],[14]],FDR[FDR]&amp;FDR[[#Headers],[14]],FDR[14],"",0,1)</f>
        <v>5</v>
      </c>
      <c r="AA308" cm="1">
        <f t="array" ref="AA308">_xlfn.XLOOKUP(Matrix[[#This Row],[TEAM]]&amp;Matrix[[#Headers],[15]],FDR[FDR]&amp;FDR[[#Headers],[15]],FDR[15],"",0,1)</f>
        <v>5</v>
      </c>
      <c r="AB308" cm="1">
        <f t="array" ref="AB308">_xlfn.XLOOKUP(Matrix[[#This Row],[TEAM]]&amp;Matrix[[#Headers],[16]],FDR[FDR]&amp;FDR[[#Headers],[16]],FDR[16],"",0,1)</f>
        <v>1</v>
      </c>
      <c r="AC308" cm="1">
        <f t="array" ref="AC308">_xlfn.XLOOKUP(Matrix[[#This Row],[TEAM]]&amp;Matrix[[#Headers],[17]],FDR[FDR]&amp;FDR[[#Headers],[17]],FDR[17],"",0,1)</f>
        <v>2</v>
      </c>
      <c r="AD308" cm="1">
        <f t="array" ref="AD308">_xlfn.XLOOKUP(Matrix[[#This Row],[TEAM]]&amp;Matrix[[#Headers],[18]],FDR[FDR]&amp;FDR[[#Headers],[18]],FDR[18],"",0,1)</f>
        <v>3</v>
      </c>
      <c r="AE308" cm="1">
        <f t="array" ref="AE308">_xlfn.XLOOKUP(Matrix[[#This Row],[TEAM]]&amp;Matrix[[#Headers],[19]],FDR[FDR]&amp;FDR[[#Headers],[19]],FDR[19],"",0,1)</f>
        <v>4</v>
      </c>
      <c r="AF308" cm="1">
        <f t="array" ref="AF308">_xlfn.XLOOKUP(Matrix[[#This Row],[TEAM]]&amp;Matrix[[#Headers],[20]],FDR[FDR]&amp;FDR[[#Headers],[20]],FDR[20],"",0,1)</f>
        <v>4</v>
      </c>
      <c r="AG308" cm="1">
        <f t="array" ref="AG308">_xlfn.XLOOKUP(Matrix[[#This Row],[TEAM]]&amp;Matrix[[#Headers],[21]],FDR[FDR]&amp;FDR[[#Headers],[21]],FDR[21],"",0,1)</f>
        <v>1</v>
      </c>
      <c r="AH308" cm="1">
        <f t="array" ref="AH308">_xlfn.XLOOKUP(Matrix[[#This Row],[TEAM]]&amp;Matrix[[#Headers],[22]],FDR[FDR]&amp;FDR[[#Headers],[22]],FDR[22],"",0,1)</f>
        <v>5</v>
      </c>
      <c r="AI308" cm="1">
        <f t="array" ref="AI308">_xlfn.XLOOKUP(Matrix[[#This Row],[TEAM]]&amp;Matrix[[#Headers],[23]],FDR[FDR]&amp;FDR[[#Headers],[23]],FDR[23],"",0,1)</f>
        <v>3</v>
      </c>
      <c r="AJ308" cm="1">
        <f t="array" ref="AJ308">_xlfn.XLOOKUP(Matrix[[#This Row],[TEAM]]&amp;Matrix[[#Headers],[24]],FDR[FDR]&amp;FDR[[#Headers],[24]],FDR[24],"",0,1)</f>
        <v>5</v>
      </c>
      <c r="AK308" cm="1">
        <f t="array" ref="AK308">_xlfn.XLOOKUP(Matrix[[#This Row],[TEAM]]&amp;Matrix[[#Headers],[25]],FDR[FDR]&amp;FDR[[#Headers],[25]],FDR[25],"",0,1)</f>
        <v>5</v>
      </c>
      <c r="AL308" cm="1">
        <f t="array" ref="AL308">_xlfn.XLOOKUP(Matrix[[#This Row],[TEAM]]&amp;Matrix[[#Headers],[26]],FDR[FDR]&amp;FDR[[#Headers],[26]],FDR[26],"",0,1)</f>
        <v>4</v>
      </c>
      <c r="AM308" cm="1">
        <f t="array" ref="AM308">_xlfn.XLOOKUP(Matrix[[#This Row],[TEAM]]&amp;Matrix[[#Headers],[27]],FDR[FDR]&amp;FDR[[#Headers],[27]],FDR[27],"",0,1)</f>
        <v>3</v>
      </c>
      <c r="AN308" cm="1">
        <f t="array" ref="AN308">_xlfn.XLOOKUP(Matrix[[#This Row],[TEAM]]&amp;Matrix[[#Headers],[28]],FDR[FDR]&amp;FDR[[#Headers],[28]],FDR[28],"",0,1)</f>
        <v>2</v>
      </c>
      <c r="AO308" cm="1">
        <f t="array" ref="AO308">_xlfn.XLOOKUP(Matrix[[#This Row],[TEAM]]&amp;Matrix[[#Headers],[29]],FDR[FDR]&amp;FDR[[#Headers],[29]],FDR[29],"",0,1)</f>
        <v>4</v>
      </c>
      <c r="AP308" cm="1">
        <f t="array" ref="AP308">_xlfn.XLOOKUP(Matrix[[#This Row],[TEAM]]&amp;Matrix[[#Headers],[30]],FDR[FDR]&amp;FDR[[#Headers],[30]],FDR[30],"",0,1)</f>
        <v>2</v>
      </c>
      <c r="AQ308" cm="1">
        <f t="array" ref="AQ308">_xlfn.XLOOKUP(Matrix[[#This Row],[TEAM]]&amp;Matrix[[#Headers],[31]],FDR[FDR]&amp;FDR[[#Headers],[31]],FDR[31],"",0,1)</f>
        <v>2</v>
      </c>
      <c r="AR308" cm="1">
        <f t="array" ref="AR308">_xlfn.XLOOKUP(Matrix[[#This Row],[TEAM]]&amp;Matrix[[#Headers],[32]],FDR[FDR]&amp;FDR[[#Headers],[32]],FDR[32],"",0,1)</f>
        <v>3</v>
      </c>
      <c r="AS308" cm="1">
        <f t="array" ref="AS308">_xlfn.XLOOKUP(Matrix[[#This Row],[TEAM]]&amp;Matrix[[#Headers],[33]],FDR[FDR]&amp;FDR[[#Headers],[33]],FDR[33],"",0,1)</f>
        <v>3</v>
      </c>
      <c r="AT308" cm="1">
        <f t="array" ref="AT308">_xlfn.XLOOKUP(Matrix[[#This Row],[TEAM]]&amp;Matrix[[#Headers],[34]],FDR[FDR]&amp;FDR[[#Headers],[34]],FDR[34],"",0,1)</f>
        <v>5</v>
      </c>
      <c r="AU308" cm="1">
        <f t="array" ref="AU308">_xlfn.XLOOKUP(Matrix[[#This Row],[TEAM]]&amp;Matrix[[#Headers],[35]],FDR[FDR]&amp;FDR[[#Headers],[35]],FDR[35],"",0,1)</f>
        <v>3</v>
      </c>
      <c r="AV308" cm="1">
        <f t="array" ref="AV308">_xlfn.XLOOKUP(Matrix[[#This Row],[TEAM]]&amp;Matrix[[#Headers],[36]],FDR[FDR]&amp;FDR[[#Headers],[36]],FDR[36],"",0,1)</f>
        <v>5</v>
      </c>
      <c r="AW308" cm="1">
        <f t="array" ref="AW308">_xlfn.XLOOKUP(Matrix[[#This Row],[TEAM]]&amp;Matrix[[#Headers],[37]],FDR[FDR]&amp;FDR[[#Headers],[37]],FDR[37],"",0,1)</f>
        <v>3</v>
      </c>
      <c r="AX308" cm="1">
        <f t="array" ref="AX308">_xlfn.XLOOKUP(Matrix[[#This Row],[TEAM]]&amp;Matrix[[#Headers],[38]],FDR[FDR]&amp;FDR[[#Headers],[38]],FDR[38],"",0,1)</f>
        <v>5</v>
      </c>
    </row>
    <row r="309" spans="1:50" ht="22" thickTop="1" thickBot="1">
      <c r="A309" s="51" t="s">
        <v>657</v>
      </c>
      <c r="B309" s="70" t="s">
        <v>1679</v>
      </c>
      <c r="C309" s="40" t="s">
        <v>33</v>
      </c>
      <c r="D309" s="62">
        <v>59</v>
      </c>
      <c r="E309" s="60">
        <v>3.0000000000000001E-3</v>
      </c>
      <c r="F309" s="61">
        <v>48.1</v>
      </c>
      <c r="G309" s="63">
        <v>4.5</v>
      </c>
      <c r="H309" s="261">
        <f>IF(ISBLANK(I309),0,1)</f>
        <v>0</v>
      </c>
      <c r="I309" s="57"/>
      <c r="J309" s="58"/>
      <c r="K309" s="65" t="s">
        <v>435</v>
      </c>
      <c r="L309" s="65" t="s">
        <v>126</v>
      </c>
      <c r="M309" cm="1">
        <f t="array" ref="M309">_xlfn.XLOOKUP(Matrix[[#This Row],[TEAM]]&amp;Matrix[[#Headers],[1]],FDR[FDR]&amp;FDR[[#Headers],[1]],FDR[1],"",0,1)</f>
        <v>3</v>
      </c>
      <c r="N309" cm="1">
        <f t="array" ref="N309">_xlfn.XLOOKUP(Matrix[[#This Row],[TEAM]]&amp;Matrix[[#Headers],[2]],FDR[FDR]&amp;FDR[[#Headers],[2]],FDR[2],"",0,1)</f>
        <v>3</v>
      </c>
      <c r="O309" cm="1">
        <f t="array" ref="O309">_xlfn.XLOOKUP(Matrix[[#This Row],[TEAM]]&amp;Matrix[[#Headers],[3]],FDR[FDR]&amp;FDR[[#Headers],[3]],FDR[3],"",0,1)</f>
        <v>4</v>
      </c>
      <c r="P309" cm="1">
        <f t="array" ref="P309">_xlfn.XLOOKUP(Matrix[[#This Row],[TEAM]]&amp;Matrix[[#Headers],[4]],FDR[FDR]&amp;FDR[[#Headers],[4]],FDR[4],"",0,1)</f>
        <v>4</v>
      </c>
      <c r="Q309" cm="1">
        <f t="array" ref="Q309">_xlfn.XLOOKUP(Matrix[[#This Row],[TEAM]]&amp;Matrix[[#Headers],[5]],FDR[FDR]&amp;FDR[[#Headers],[5]],FDR[5],"",0,1)</f>
        <v>4</v>
      </c>
      <c r="R309" cm="1">
        <f t="array" ref="R309">_xlfn.XLOOKUP(Matrix[[#This Row],[TEAM]]&amp;Matrix[[#Headers],[6]],FDR[FDR]&amp;FDR[[#Headers],[6]],FDR[6],"",0,1)</f>
        <v>5</v>
      </c>
      <c r="S309" cm="1">
        <f t="array" ref="S309">_xlfn.XLOOKUP(Matrix[[#This Row],[TEAM]]&amp;Matrix[[#Headers],[7]],FDR[FDR]&amp;FDR[[#Headers],[7]],FDR[7],"",0,1)</f>
        <v>2</v>
      </c>
      <c r="T309" cm="1">
        <f t="array" ref="T309">_xlfn.XLOOKUP(Matrix[[#This Row],[TEAM]]&amp;Matrix[[#Headers],[8]],FDR[FDR]&amp;FDR[[#Headers],[8]],FDR[8],"",0,1)</f>
        <v>4</v>
      </c>
      <c r="U309" cm="1">
        <f t="array" ref="U309">_xlfn.XLOOKUP(Matrix[[#This Row],[TEAM]]&amp;Matrix[[#Headers],[9]],FDR[FDR]&amp;FDR[[#Headers],[9]],FDR[9],"",0,1)</f>
        <v>5</v>
      </c>
      <c r="V309" cm="1">
        <f t="array" ref="V309">_xlfn.XLOOKUP(Matrix[[#This Row],[TEAM]]&amp;Matrix[[#Headers],[10]],FDR[FDR]&amp;FDR[[#Headers],[10]],FDR[10],"",0,1)</f>
        <v>1</v>
      </c>
      <c r="W309" cm="1">
        <f t="array" ref="W309">_xlfn.XLOOKUP(Matrix[[#This Row],[TEAM]]&amp;Matrix[[#Headers],[11]],FDR[FDR]&amp;FDR[[#Headers],[11]],FDR[11],"",0,1)</f>
        <v>3</v>
      </c>
      <c r="X309" cm="1">
        <f t="array" ref="X309">_xlfn.XLOOKUP(Matrix[[#This Row],[TEAM]]&amp;Matrix[[#Headers],[12]],FDR[FDR]&amp;FDR[[#Headers],[12]],FDR[12],"",0,1)</f>
        <v>2</v>
      </c>
      <c r="Y309" cm="1">
        <f t="array" ref="Y309">_xlfn.XLOOKUP(Matrix[[#This Row],[TEAM]]&amp;Matrix[[#Headers],[13]],FDR[FDR]&amp;FDR[[#Headers],[13]],FDR[13],"",0,1)</f>
        <v>4</v>
      </c>
      <c r="Z309" cm="1">
        <f t="array" ref="Z309">_xlfn.XLOOKUP(Matrix[[#This Row],[TEAM]]&amp;Matrix[[#Headers],[14]],FDR[FDR]&amp;FDR[[#Headers],[14]],FDR[14],"",0,1)</f>
        <v>3</v>
      </c>
      <c r="AA309" cm="1">
        <f t="array" ref="AA309">_xlfn.XLOOKUP(Matrix[[#This Row],[TEAM]]&amp;Matrix[[#Headers],[15]],FDR[FDR]&amp;FDR[[#Headers],[15]],FDR[15],"",0,1)</f>
        <v>2</v>
      </c>
      <c r="AB309" cm="1">
        <f t="array" ref="AB309">_xlfn.XLOOKUP(Matrix[[#This Row],[TEAM]]&amp;Matrix[[#Headers],[16]],FDR[FDR]&amp;FDR[[#Headers],[16]],FDR[16],"",0,1)</f>
        <v>5</v>
      </c>
      <c r="AC309" cm="1">
        <f t="array" ref="AC309">_xlfn.XLOOKUP(Matrix[[#This Row],[TEAM]]&amp;Matrix[[#Headers],[17]],FDR[FDR]&amp;FDR[[#Headers],[17]],FDR[17],"",0,1)</f>
        <v>1</v>
      </c>
      <c r="AD309" cm="1">
        <f t="array" ref="AD309">_xlfn.XLOOKUP(Matrix[[#This Row],[TEAM]]&amp;Matrix[[#Headers],[18]],FDR[FDR]&amp;FDR[[#Headers],[18]],FDR[18],"",0,1)</f>
        <v>5</v>
      </c>
      <c r="AE309" cm="1">
        <f t="array" ref="AE309">_xlfn.XLOOKUP(Matrix[[#This Row],[TEAM]]&amp;Matrix[[#Headers],[19]],FDR[FDR]&amp;FDR[[#Headers],[19]],FDR[19],"",0,1)</f>
        <v>3</v>
      </c>
      <c r="AF309" cm="1">
        <f t="array" ref="AF309">_xlfn.XLOOKUP(Matrix[[#This Row],[TEAM]]&amp;Matrix[[#Headers],[20]],FDR[FDR]&amp;FDR[[#Headers],[20]],FDR[20],"",0,1)</f>
        <v>1</v>
      </c>
      <c r="AG309" cm="1">
        <f t="array" ref="AG309">_xlfn.XLOOKUP(Matrix[[#This Row],[TEAM]]&amp;Matrix[[#Headers],[21]],FDR[FDR]&amp;FDR[[#Headers],[21]],FDR[21],"",0,1)</f>
        <v>5</v>
      </c>
      <c r="AH309" cm="1">
        <f t="array" ref="AH309">_xlfn.XLOOKUP(Matrix[[#This Row],[TEAM]]&amp;Matrix[[#Headers],[22]],FDR[FDR]&amp;FDR[[#Headers],[22]],FDR[22],"",0,1)</f>
        <v>3</v>
      </c>
      <c r="AI309" cm="1">
        <f t="array" ref="AI309">_xlfn.XLOOKUP(Matrix[[#This Row],[TEAM]]&amp;Matrix[[#Headers],[23]],FDR[FDR]&amp;FDR[[#Headers],[23]],FDR[23],"",0,1)</f>
        <v>4</v>
      </c>
      <c r="AJ309" cm="1">
        <f t="array" ref="AJ309">_xlfn.XLOOKUP(Matrix[[#This Row],[TEAM]]&amp;Matrix[[#Headers],[24]],FDR[FDR]&amp;FDR[[#Headers],[24]],FDR[24],"",0,1)</f>
        <v>2</v>
      </c>
      <c r="AK309" cm="1">
        <f t="array" ref="AK309">_xlfn.XLOOKUP(Matrix[[#This Row],[TEAM]]&amp;Matrix[[#Headers],[25]],FDR[FDR]&amp;FDR[[#Headers],[25]],FDR[25],"",0,1)</f>
        <v>2</v>
      </c>
      <c r="AL309" cm="1">
        <f t="array" ref="AL309">_xlfn.XLOOKUP(Matrix[[#This Row],[TEAM]]&amp;Matrix[[#Headers],[26]],FDR[FDR]&amp;FDR[[#Headers],[26]],FDR[26],"",0,1)</f>
        <v>5</v>
      </c>
      <c r="AM309" cm="1">
        <f t="array" ref="AM309">_xlfn.XLOOKUP(Matrix[[#This Row],[TEAM]]&amp;Matrix[[#Headers],[27]],FDR[FDR]&amp;FDR[[#Headers],[27]],FDR[27],"",0,1)</f>
        <v>3</v>
      </c>
      <c r="AN309" cm="1">
        <f t="array" ref="AN309">_xlfn.XLOOKUP(Matrix[[#This Row],[TEAM]]&amp;Matrix[[#Headers],[28]],FDR[FDR]&amp;FDR[[#Headers],[28]],FDR[28],"",0,1)</f>
        <v>3</v>
      </c>
      <c r="AO309" cm="1">
        <f t="array" ref="AO309">_xlfn.XLOOKUP(Matrix[[#This Row],[TEAM]]&amp;Matrix[[#Headers],[29]],FDR[FDR]&amp;FDR[[#Headers],[29]],FDR[29],"",0,1)</f>
        <v>4</v>
      </c>
      <c r="AP309" cm="1">
        <f t="array" ref="AP309">_xlfn.XLOOKUP(Matrix[[#This Row],[TEAM]]&amp;Matrix[[#Headers],[30]],FDR[FDR]&amp;FDR[[#Headers],[30]],FDR[30],"",0,1)</f>
        <v>2</v>
      </c>
      <c r="AQ309" cm="1">
        <f t="array" ref="AQ309">_xlfn.XLOOKUP(Matrix[[#This Row],[TEAM]]&amp;Matrix[[#Headers],[31]],FDR[FDR]&amp;FDR[[#Headers],[31]],FDR[31],"",0,1)</f>
        <v>4</v>
      </c>
      <c r="AR309" cm="1">
        <f t="array" ref="AR309">_xlfn.XLOOKUP(Matrix[[#This Row],[TEAM]]&amp;Matrix[[#Headers],[32]],FDR[FDR]&amp;FDR[[#Headers],[32]],FDR[32],"",0,1)</f>
        <v>2</v>
      </c>
      <c r="AS309" cm="1">
        <f t="array" ref="AS309">_xlfn.XLOOKUP(Matrix[[#This Row],[TEAM]]&amp;Matrix[[#Headers],[33]],FDR[FDR]&amp;FDR[[#Headers],[33]],FDR[33],"",0,1)</f>
        <v>5</v>
      </c>
      <c r="AT309" cm="1">
        <f t="array" ref="AT309">_xlfn.XLOOKUP(Matrix[[#This Row],[TEAM]]&amp;Matrix[[#Headers],[34]],FDR[FDR]&amp;FDR[[#Headers],[34]],FDR[34],"",0,1)</f>
        <v>4</v>
      </c>
      <c r="AU309" cm="1">
        <f t="array" ref="AU309">_xlfn.XLOOKUP(Matrix[[#This Row],[TEAM]]&amp;Matrix[[#Headers],[35]],FDR[FDR]&amp;FDR[[#Headers],[35]],FDR[35],"",0,1)</f>
        <v>5</v>
      </c>
      <c r="AV309" cm="1">
        <f t="array" ref="AV309">_xlfn.XLOOKUP(Matrix[[#This Row],[TEAM]]&amp;Matrix[[#Headers],[36]],FDR[FDR]&amp;FDR[[#Headers],[36]],FDR[36],"",0,1)</f>
        <v>1</v>
      </c>
      <c r="AW309" cm="1">
        <f t="array" ref="AW309">_xlfn.XLOOKUP(Matrix[[#This Row],[TEAM]]&amp;Matrix[[#Headers],[37]],FDR[FDR]&amp;FDR[[#Headers],[37]],FDR[37],"",0,1)</f>
        <v>2</v>
      </c>
      <c r="AX309" cm="1">
        <f t="array" ref="AX309">_xlfn.XLOOKUP(Matrix[[#This Row],[TEAM]]&amp;Matrix[[#Headers],[38]],FDR[FDR]&amp;FDR[[#Headers],[38]],FDR[38],"",0,1)</f>
        <v>4</v>
      </c>
    </row>
    <row r="310" spans="1:50" ht="22" thickTop="1" thickBot="1">
      <c r="A310" s="51" t="s">
        <v>657</v>
      </c>
      <c r="B310" s="70" t="s">
        <v>1645</v>
      </c>
      <c r="C310" s="40" t="s">
        <v>28</v>
      </c>
      <c r="D310" s="62">
        <v>57</v>
      </c>
      <c r="E310" s="60">
        <v>8.9999999999999993E-3</v>
      </c>
      <c r="F310" s="61">
        <v>74.3</v>
      </c>
      <c r="G310" s="63">
        <v>4.5</v>
      </c>
      <c r="H310" s="261">
        <f>IF(ISBLANK(I310),0,1)</f>
        <v>0</v>
      </c>
      <c r="I310" s="57"/>
      <c r="J310" s="58"/>
      <c r="K310" s="65" t="s">
        <v>693</v>
      </c>
      <c r="L310" s="65" t="s">
        <v>694</v>
      </c>
      <c r="M310" cm="1">
        <f t="array" ref="M310">_xlfn.XLOOKUP(Matrix[[#This Row],[TEAM]]&amp;Matrix[[#Headers],[1]],FDR[FDR]&amp;FDR[[#Headers],[1]],FDR[1],"",0,1)</f>
        <v>3</v>
      </c>
      <c r="N310" cm="1">
        <f t="array" ref="N310">_xlfn.XLOOKUP(Matrix[[#This Row],[TEAM]]&amp;Matrix[[#Headers],[2]],FDR[FDR]&amp;FDR[[#Headers],[2]],FDR[2],"",0,1)</f>
        <v>2</v>
      </c>
      <c r="O310" cm="1">
        <f t="array" ref="O310">_xlfn.XLOOKUP(Matrix[[#This Row],[TEAM]]&amp;Matrix[[#Headers],[3]],FDR[FDR]&amp;FDR[[#Headers],[3]],FDR[3],"",0,1)</f>
        <v>1</v>
      </c>
      <c r="P310" cm="1">
        <f t="array" ref="P310">_xlfn.XLOOKUP(Matrix[[#This Row],[TEAM]]&amp;Matrix[[#Headers],[4]],FDR[FDR]&amp;FDR[[#Headers],[4]],FDR[4],"",0,1)</f>
        <v>2</v>
      </c>
      <c r="Q310" cm="1">
        <f t="array" ref="Q310">_xlfn.XLOOKUP(Matrix[[#This Row],[TEAM]]&amp;Matrix[[#Headers],[5]],FDR[FDR]&amp;FDR[[#Headers],[5]],FDR[5],"",0,1)</f>
        <v>1</v>
      </c>
      <c r="R310" cm="1">
        <f t="array" ref="R310">_xlfn.XLOOKUP(Matrix[[#This Row],[TEAM]]&amp;Matrix[[#Headers],[6]],FDR[FDR]&amp;FDR[[#Headers],[6]],FDR[6],"",0,1)</f>
        <v>2</v>
      </c>
      <c r="S310" cm="1">
        <f t="array" ref="S310">_xlfn.XLOOKUP(Matrix[[#This Row],[TEAM]]&amp;Matrix[[#Headers],[7]],FDR[FDR]&amp;FDR[[#Headers],[7]],FDR[7],"",0,1)</f>
        <v>1</v>
      </c>
      <c r="T310" cm="1">
        <f t="array" ref="T310">_xlfn.XLOOKUP(Matrix[[#This Row],[TEAM]]&amp;Matrix[[#Headers],[8]],FDR[FDR]&amp;FDR[[#Headers],[8]],FDR[8],"",0,1)</f>
        <v>4</v>
      </c>
      <c r="U310" cm="1">
        <f t="array" ref="U310">_xlfn.XLOOKUP(Matrix[[#This Row],[TEAM]]&amp;Matrix[[#Headers],[9]],FDR[FDR]&amp;FDR[[#Headers],[9]],FDR[9],"",0,1)</f>
        <v>3</v>
      </c>
      <c r="V310" cm="1">
        <f t="array" ref="V310">_xlfn.XLOOKUP(Matrix[[#This Row],[TEAM]]&amp;Matrix[[#Headers],[10]],FDR[FDR]&amp;FDR[[#Headers],[10]],FDR[10],"",0,1)</f>
        <v>4</v>
      </c>
      <c r="W310" cm="1">
        <f t="array" ref="W310">_xlfn.XLOOKUP(Matrix[[#This Row],[TEAM]]&amp;Matrix[[#Headers],[11]],FDR[FDR]&amp;FDR[[#Headers],[11]],FDR[11],"",0,1)</f>
        <v>2</v>
      </c>
      <c r="X310" cm="1">
        <f t="array" ref="X310">_xlfn.XLOOKUP(Matrix[[#This Row],[TEAM]]&amp;Matrix[[#Headers],[12]],FDR[FDR]&amp;FDR[[#Headers],[12]],FDR[12],"",0,1)</f>
        <v>1</v>
      </c>
      <c r="Y310" cm="1">
        <f t="array" ref="Y310">_xlfn.XLOOKUP(Matrix[[#This Row],[TEAM]]&amp;Matrix[[#Headers],[13]],FDR[FDR]&amp;FDR[[#Headers],[13]],FDR[13],"",0,1)</f>
        <v>1</v>
      </c>
      <c r="Z310" cm="1">
        <f t="array" ref="Z310">_xlfn.XLOOKUP(Matrix[[#This Row],[TEAM]]&amp;Matrix[[#Headers],[14]],FDR[FDR]&amp;FDR[[#Headers],[14]],FDR[14],"",0,1)</f>
        <v>3</v>
      </c>
      <c r="AA310" cm="1">
        <f t="array" ref="AA310">_xlfn.XLOOKUP(Matrix[[#This Row],[TEAM]]&amp;Matrix[[#Headers],[15]],FDR[FDR]&amp;FDR[[#Headers],[15]],FDR[15],"",0,1)</f>
        <v>3</v>
      </c>
      <c r="AB310" cm="1">
        <f t="array" ref="AB310">_xlfn.XLOOKUP(Matrix[[#This Row],[TEAM]]&amp;Matrix[[#Headers],[16]],FDR[FDR]&amp;FDR[[#Headers],[16]],FDR[16],"",0,1)</f>
        <v>2</v>
      </c>
      <c r="AC310" cm="1">
        <f t="array" ref="AC310">_xlfn.XLOOKUP(Matrix[[#This Row],[TEAM]]&amp;Matrix[[#Headers],[17]],FDR[FDR]&amp;FDR[[#Headers],[17]],FDR[17],"",0,1)</f>
        <v>3</v>
      </c>
      <c r="AD310" cm="1">
        <f t="array" ref="AD310">_xlfn.XLOOKUP(Matrix[[#This Row],[TEAM]]&amp;Matrix[[#Headers],[18]],FDR[FDR]&amp;FDR[[#Headers],[18]],FDR[18],"",0,1)</f>
        <v>4</v>
      </c>
      <c r="AE310" cm="1">
        <f t="array" ref="AE310">_xlfn.XLOOKUP(Matrix[[#This Row],[TEAM]]&amp;Matrix[[#Headers],[19]],FDR[FDR]&amp;FDR[[#Headers],[19]],FDR[19],"",0,1)</f>
        <v>4</v>
      </c>
      <c r="AF310" cm="1">
        <f t="array" ref="AF310">_xlfn.XLOOKUP(Matrix[[#This Row],[TEAM]]&amp;Matrix[[#Headers],[20]],FDR[FDR]&amp;FDR[[#Headers],[20]],FDR[20],"",0,1)</f>
        <v>2</v>
      </c>
      <c r="AG310" cm="1">
        <f t="array" ref="AG310">_xlfn.XLOOKUP(Matrix[[#This Row],[TEAM]]&amp;Matrix[[#Headers],[21]],FDR[FDR]&amp;FDR[[#Headers],[21]],FDR[21],"",0,1)</f>
        <v>2</v>
      </c>
      <c r="AH310" cm="1">
        <f t="array" ref="AH310">_xlfn.XLOOKUP(Matrix[[#This Row],[TEAM]]&amp;Matrix[[#Headers],[22]],FDR[FDR]&amp;FDR[[#Headers],[22]],FDR[22],"",0,1)</f>
        <v>1</v>
      </c>
      <c r="AI310" cm="1">
        <f t="array" ref="AI310">_xlfn.XLOOKUP(Matrix[[#This Row],[TEAM]]&amp;Matrix[[#Headers],[23]],FDR[FDR]&amp;FDR[[#Headers],[23]],FDR[23],"",0,1)</f>
        <v>4</v>
      </c>
      <c r="AJ310" cm="1">
        <f t="array" ref="AJ310">_xlfn.XLOOKUP(Matrix[[#This Row],[TEAM]]&amp;Matrix[[#Headers],[24]],FDR[FDR]&amp;FDR[[#Headers],[24]],FDR[24],"",0,1)</f>
        <v>1</v>
      </c>
      <c r="AK310" cm="1">
        <f t="array" ref="AK310">_xlfn.XLOOKUP(Matrix[[#This Row],[TEAM]]&amp;Matrix[[#Headers],[25]],FDR[FDR]&amp;FDR[[#Headers],[25]],FDR[25],"",0,1)</f>
        <v>3</v>
      </c>
      <c r="AL310" cm="1">
        <f t="array" ref="AL310">_xlfn.XLOOKUP(Matrix[[#This Row],[TEAM]]&amp;Matrix[[#Headers],[26]],FDR[FDR]&amp;FDR[[#Headers],[26]],FDR[26],"",0,1)</f>
        <v>2</v>
      </c>
      <c r="AM310" cm="1">
        <f t="array" ref="AM310">_xlfn.XLOOKUP(Matrix[[#This Row],[TEAM]]&amp;Matrix[[#Headers],[27]],FDR[FDR]&amp;FDR[[#Headers],[27]],FDR[27],"",0,1)</f>
        <v>1</v>
      </c>
      <c r="AN310" cm="1">
        <f t="array" ref="AN310">_xlfn.XLOOKUP(Matrix[[#This Row],[TEAM]]&amp;Matrix[[#Headers],[28]],FDR[FDR]&amp;FDR[[#Headers],[28]],FDR[28],"",0,1)</f>
        <v>1</v>
      </c>
      <c r="AO310" cm="1">
        <f t="array" ref="AO310">_xlfn.XLOOKUP(Matrix[[#This Row],[TEAM]]&amp;Matrix[[#Headers],[29]],FDR[FDR]&amp;FDR[[#Headers],[29]],FDR[29],"",0,1)</f>
        <v>3</v>
      </c>
      <c r="AP310" cm="1">
        <f t="array" ref="AP310">_xlfn.XLOOKUP(Matrix[[#This Row],[TEAM]]&amp;Matrix[[#Headers],[30]],FDR[FDR]&amp;FDR[[#Headers],[30]],FDR[30],"",0,1)</f>
        <v>4</v>
      </c>
      <c r="AQ310" cm="1">
        <f t="array" ref="AQ310">_xlfn.XLOOKUP(Matrix[[#This Row],[TEAM]]&amp;Matrix[[#Headers],[31]],FDR[FDR]&amp;FDR[[#Headers],[31]],FDR[31],"",0,1)</f>
        <v>1</v>
      </c>
      <c r="AR310" cm="1">
        <f t="array" ref="AR310">_xlfn.XLOOKUP(Matrix[[#This Row],[TEAM]]&amp;Matrix[[#Headers],[32]],FDR[FDR]&amp;FDR[[#Headers],[32]],FDR[32],"",0,1)</f>
        <v>3</v>
      </c>
      <c r="AS310" cm="1">
        <f t="array" ref="AS310">_xlfn.XLOOKUP(Matrix[[#This Row],[TEAM]]&amp;Matrix[[#Headers],[33]],FDR[FDR]&amp;FDR[[#Headers],[33]],FDR[33],"",0,1)</f>
        <v>1</v>
      </c>
      <c r="AT310" cm="1">
        <f t="array" ref="AT310">_xlfn.XLOOKUP(Matrix[[#This Row],[TEAM]]&amp;Matrix[[#Headers],[34]],FDR[FDR]&amp;FDR[[#Headers],[34]],FDR[34],"",0,1)</f>
        <v>3</v>
      </c>
      <c r="AU310" cm="1">
        <f t="array" ref="AU310">_xlfn.XLOOKUP(Matrix[[#This Row],[TEAM]]&amp;Matrix[[#Headers],[35]],FDR[FDR]&amp;FDR[[#Headers],[35]],FDR[35],"",0,1)</f>
        <v>3</v>
      </c>
      <c r="AV310" cm="1">
        <f t="array" ref="AV310">_xlfn.XLOOKUP(Matrix[[#This Row],[TEAM]]&amp;Matrix[[#Headers],[36]],FDR[FDR]&amp;FDR[[#Headers],[36]],FDR[36],"",0,1)</f>
        <v>1</v>
      </c>
      <c r="AW310" cm="1">
        <f t="array" ref="AW310">_xlfn.XLOOKUP(Matrix[[#This Row],[TEAM]]&amp;Matrix[[#Headers],[37]],FDR[FDR]&amp;FDR[[#Headers],[37]],FDR[37],"",0,1)</f>
        <v>3</v>
      </c>
      <c r="AX310" cm="1">
        <f t="array" ref="AX310">_xlfn.XLOOKUP(Matrix[[#This Row],[TEAM]]&amp;Matrix[[#Headers],[38]],FDR[FDR]&amp;FDR[[#Headers],[38]],FDR[38],"",0,1)</f>
        <v>4</v>
      </c>
    </row>
    <row r="311" spans="1:50" ht="22" thickTop="1" thickBot="1">
      <c r="A311" s="51" t="s">
        <v>657</v>
      </c>
      <c r="B311" s="70" t="s">
        <v>1694</v>
      </c>
      <c r="C311" s="40" t="s">
        <v>43</v>
      </c>
      <c r="D311" s="62">
        <v>57</v>
      </c>
      <c r="E311" s="60">
        <v>2E-3</v>
      </c>
      <c r="F311" s="61">
        <v>35</v>
      </c>
      <c r="G311" s="63">
        <v>4.5</v>
      </c>
      <c r="H311" s="261">
        <f>IF(ISBLANK(I311),0,1)</f>
        <v>0</v>
      </c>
      <c r="I311" s="57"/>
      <c r="J311" s="58"/>
      <c r="K311" s="65" t="s">
        <v>470</v>
      </c>
      <c r="L311" s="65" t="s">
        <v>133</v>
      </c>
      <c r="M311" cm="1">
        <f t="array" ref="M311">_xlfn.XLOOKUP(Matrix[[#This Row],[TEAM]]&amp;Matrix[[#Headers],[1]],FDR[FDR]&amp;FDR[[#Headers],[1]],FDR[1],"",0,1)</f>
        <v>5</v>
      </c>
      <c r="N311" cm="1">
        <f t="array" ref="N311">_xlfn.XLOOKUP(Matrix[[#This Row],[TEAM]]&amp;Matrix[[#Headers],[2]],FDR[FDR]&amp;FDR[[#Headers],[2]],FDR[2],"",0,1)</f>
        <v>1</v>
      </c>
      <c r="O311" cm="1">
        <f t="array" ref="O311">_xlfn.XLOOKUP(Matrix[[#This Row],[TEAM]]&amp;Matrix[[#Headers],[3]],FDR[FDR]&amp;FDR[[#Headers],[3]],FDR[3],"",0,1)</f>
        <v>5</v>
      </c>
      <c r="P311" cm="1">
        <f t="array" ref="P311">_xlfn.XLOOKUP(Matrix[[#This Row],[TEAM]]&amp;Matrix[[#Headers],[4]],FDR[FDR]&amp;FDR[[#Headers],[4]],FDR[4],"",0,1)</f>
        <v>3</v>
      </c>
      <c r="Q311" cm="1">
        <f t="array" ref="Q311">_xlfn.XLOOKUP(Matrix[[#This Row],[TEAM]]&amp;Matrix[[#Headers],[5]],FDR[FDR]&amp;FDR[[#Headers],[5]],FDR[5],"",0,1)</f>
        <v>4</v>
      </c>
      <c r="R311" cm="1">
        <f t="array" ref="R311">_xlfn.XLOOKUP(Matrix[[#This Row],[TEAM]]&amp;Matrix[[#Headers],[6]],FDR[FDR]&amp;FDR[[#Headers],[6]],FDR[6],"",0,1)</f>
        <v>2</v>
      </c>
      <c r="S311" cm="1">
        <f t="array" ref="S311">_xlfn.XLOOKUP(Matrix[[#This Row],[TEAM]]&amp;Matrix[[#Headers],[7]],FDR[FDR]&amp;FDR[[#Headers],[7]],FDR[7],"",0,1)</f>
        <v>3</v>
      </c>
      <c r="T311" cm="1">
        <f t="array" ref="T311">_xlfn.XLOOKUP(Matrix[[#This Row],[TEAM]]&amp;Matrix[[#Headers],[8]],FDR[FDR]&amp;FDR[[#Headers],[8]],FDR[8],"",0,1)</f>
        <v>3</v>
      </c>
      <c r="U311" cm="1">
        <f t="array" ref="U311">_xlfn.XLOOKUP(Matrix[[#This Row],[TEAM]]&amp;Matrix[[#Headers],[9]],FDR[FDR]&amp;FDR[[#Headers],[9]],FDR[9],"",0,1)</f>
        <v>3</v>
      </c>
      <c r="V311" cm="1">
        <f t="array" ref="V311">_xlfn.XLOOKUP(Matrix[[#This Row],[TEAM]]&amp;Matrix[[#Headers],[10]],FDR[FDR]&amp;FDR[[#Headers],[10]],FDR[10],"",0,1)</f>
        <v>5</v>
      </c>
      <c r="W311" cm="1">
        <f t="array" ref="W311">_xlfn.XLOOKUP(Matrix[[#This Row],[TEAM]]&amp;Matrix[[#Headers],[11]],FDR[FDR]&amp;FDR[[#Headers],[11]],FDR[11],"",0,1)</f>
        <v>5</v>
      </c>
      <c r="X311" cm="1">
        <f t="array" ref="X311">_xlfn.XLOOKUP(Matrix[[#This Row],[TEAM]]&amp;Matrix[[#Headers],[12]],FDR[FDR]&amp;FDR[[#Headers],[12]],FDR[12],"",0,1)</f>
        <v>2</v>
      </c>
      <c r="Y311" cm="1">
        <f t="array" ref="Y311">_xlfn.XLOOKUP(Matrix[[#This Row],[TEAM]]&amp;Matrix[[#Headers],[13]],FDR[FDR]&amp;FDR[[#Headers],[13]],FDR[13],"",0,1)</f>
        <v>2</v>
      </c>
      <c r="Z311" cm="1">
        <f t="array" ref="Z311">_xlfn.XLOOKUP(Matrix[[#This Row],[TEAM]]&amp;Matrix[[#Headers],[14]],FDR[FDR]&amp;FDR[[#Headers],[14]],FDR[14],"",0,1)</f>
        <v>2</v>
      </c>
      <c r="AA311" cm="1">
        <f t="array" ref="AA311">_xlfn.XLOOKUP(Matrix[[#This Row],[TEAM]]&amp;Matrix[[#Headers],[15]],FDR[FDR]&amp;FDR[[#Headers],[15]],FDR[15],"",0,1)</f>
        <v>4</v>
      </c>
      <c r="AB311" cm="1">
        <f t="array" ref="AB311">_xlfn.XLOOKUP(Matrix[[#This Row],[TEAM]]&amp;Matrix[[#Headers],[16]],FDR[FDR]&amp;FDR[[#Headers],[16]],FDR[16],"",0,1)</f>
        <v>5</v>
      </c>
      <c r="AC311" cm="1">
        <f t="array" ref="AC311">_xlfn.XLOOKUP(Matrix[[#This Row],[TEAM]]&amp;Matrix[[#Headers],[17]],FDR[FDR]&amp;FDR[[#Headers],[17]],FDR[17],"",0,1)</f>
        <v>1</v>
      </c>
      <c r="AD311" cm="1">
        <f t="array" ref="AD311">_xlfn.XLOOKUP(Matrix[[#This Row],[TEAM]]&amp;Matrix[[#Headers],[18]],FDR[FDR]&amp;FDR[[#Headers],[18]],FDR[18],"",0,1)</f>
        <v>3</v>
      </c>
      <c r="AE311" cm="1">
        <f t="array" ref="AE311">_xlfn.XLOOKUP(Matrix[[#This Row],[TEAM]]&amp;Matrix[[#Headers],[19]],FDR[FDR]&amp;FDR[[#Headers],[19]],FDR[19],"",0,1)</f>
        <v>5</v>
      </c>
      <c r="AF311" cm="1">
        <f t="array" ref="AF311">_xlfn.XLOOKUP(Matrix[[#This Row],[TEAM]]&amp;Matrix[[#Headers],[20]],FDR[FDR]&amp;FDR[[#Headers],[20]],FDR[20],"",0,1)</f>
        <v>4</v>
      </c>
      <c r="AG311" cm="1">
        <f t="array" ref="AG311">_xlfn.XLOOKUP(Matrix[[#This Row],[TEAM]]&amp;Matrix[[#Headers],[21]],FDR[FDR]&amp;FDR[[#Headers],[21]],FDR[21],"",0,1)</f>
        <v>4</v>
      </c>
      <c r="AH311" cm="1">
        <f t="array" ref="AH311">_xlfn.XLOOKUP(Matrix[[#This Row],[TEAM]]&amp;Matrix[[#Headers],[22]],FDR[FDR]&amp;FDR[[#Headers],[22]],FDR[22],"",0,1)</f>
        <v>4</v>
      </c>
      <c r="AI311" cm="1">
        <f t="array" ref="AI311">_xlfn.XLOOKUP(Matrix[[#This Row],[TEAM]]&amp;Matrix[[#Headers],[23]],FDR[FDR]&amp;FDR[[#Headers],[23]],FDR[23],"",0,1)</f>
        <v>4</v>
      </c>
      <c r="AJ311" cm="1">
        <f t="array" ref="AJ311">_xlfn.XLOOKUP(Matrix[[#This Row],[TEAM]]&amp;Matrix[[#Headers],[24]],FDR[FDR]&amp;FDR[[#Headers],[24]],FDR[24],"",0,1)</f>
        <v>2</v>
      </c>
      <c r="AK311" cm="1">
        <f t="array" ref="AK311">_xlfn.XLOOKUP(Matrix[[#This Row],[TEAM]]&amp;Matrix[[#Headers],[25]],FDR[FDR]&amp;FDR[[#Headers],[25]],FDR[25],"",0,1)</f>
        <v>3</v>
      </c>
      <c r="AL311" cm="1">
        <f t="array" ref="AL311">_xlfn.XLOOKUP(Matrix[[#This Row],[TEAM]]&amp;Matrix[[#Headers],[26]],FDR[FDR]&amp;FDR[[#Headers],[26]],FDR[26],"",0,1)</f>
        <v>3</v>
      </c>
      <c r="AM311" cm="1">
        <f t="array" ref="AM311">_xlfn.XLOOKUP(Matrix[[#This Row],[TEAM]]&amp;Matrix[[#Headers],[27]],FDR[FDR]&amp;FDR[[#Headers],[27]],FDR[27],"",0,1)</f>
        <v>3</v>
      </c>
      <c r="AN311" cm="1">
        <f t="array" ref="AN311">_xlfn.XLOOKUP(Matrix[[#This Row],[TEAM]]&amp;Matrix[[#Headers],[28]],FDR[FDR]&amp;FDR[[#Headers],[28]],FDR[28],"",0,1)</f>
        <v>1</v>
      </c>
      <c r="AO311" cm="1">
        <f t="array" ref="AO311">_xlfn.XLOOKUP(Matrix[[#This Row],[TEAM]]&amp;Matrix[[#Headers],[29]],FDR[FDR]&amp;FDR[[#Headers],[29]],FDR[29],"",0,1)</f>
        <v>2</v>
      </c>
      <c r="AP311" cm="1">
        <f t="array" ref="AP311">_xlfn.XLOOKUP(Matrix[[#This Row],[TEAM]]&amp;Matrix[[#Headers],[30]],FDR[FDR]&amp;FDR[[#Headers],[30]],FDR[30],"",0,1)</f>
        <v>2</v>
      </c>
      <c r="AQ311" cm="1">
        <f t="array" ref="AQ311">_xlfn.XLOOKUP(Matrix[[#This Row],[TEAM]]&amp;Matrix[[#Headers],[31]],FDR[FDR]&amp;FDR[[#Headers],[31]],FDR[31],"",0,1)</f>
        <v>4</v>
      </c>
      <c r="AR311" cm="1">
        <f t="array" ref="AR311">_xlfn.XLOOKUP(Matrix[[#This Row],[TEAM]]&amp;Matrix[[#Headers],[32]],FDR[FDR]&amp;FDR[[#Headers],[32]],FDR[32],"",0,1)</f>
        <v>5</v>
      </c>
      <c r="AS311" cm="1">
        <f t="array" ref="AS311">_xlfn.XLOOKUP(Matrix[[#This Row],[TEAM]]&amp;Matrix[[#Headers],[33]],FDR[FDR]&amp;FDR[[#Headers],[33]],FDR[33],"",0,1)</f>
        <v>5</v>
      </c>
      <c r="AT311" cm="1">
        <f t="array" ref="AT311">_xlfn.XLOOKUP(Matrix[[#This Row],[TEAM]]&amp;Matrix[[#Headers],[34]],FDR[FDR]&amp;FDR[[#Headers],[34]],FDR[34],"",0,1)</f>
        <v>1</v>
      </c>
      <c r="AU311" cm="1">
        <f t="array" ref="AU311">_xlfn.XLOOKUP(Matrix[[#This Row],[TEAM]]&amp;Matrix[[#Headers],[35]],FDR[FDR]&amp;FDR[[#Headers],[35]],FDR[35],"",0,1)</f>
        <v>2</v>
      </c>
      <c r="AV311" cm="1">
        <f t="array" ref="AV311">_xlfn.XLOOKUP(Matrix[[#This Row],[TEAM]]&amp;Matrix[[#Headers],[36]],FDR[FDR]&amp;FDR[[#Headers],[36]],FDR[36],"",0,1)</f>
        <v>4</v>
      </c>
      <c r="AW311" cm="1">
        <f t="array" ref="AW311">_xlfn.XLOOKUP(Matrix[[#This Row],[TEAM]]&amp;Matrix[[#Headers],[37]],FDR[FDR]&amp;FDR[[#Headers],[37]],FDR[37],"",0,1)</f>
        <v>4</v>
      </c>
      <c r="AX311" cm="1">
        <f t="array" ref="AX311">_xlfn.XLOOKUP(Matrix[[#This Row],[TEAM]]&amp;Matrix[[#Headers],[38]],FDR[FDR]&amp;FDR[[#Headers],[38]],FDR[38],"",0,1)</f>
        <v>4</v>
      </c>
    </row>
    <row r="312" spans="1:50" ht="22" thickTop="1" thickBot="1">
      <c r="A312" s="51" t="s">
        <v>657</v>
      </c>
      <c r="B312" s="70" t="s">
        <v>1660</v>
      </c>
      <c r="C312" s="40" t="s">
        <v>28</v>
      </c>
      <c r="D312" s="62">
        <v>55</v>
      </c>
      <c r="E312" s="60">
        <v>5.0000000000000001E-3</v>
      </c>
      <c r="F312" s="61">
        <v>54</v>
      </c>
      <c r="G312" s="63">
        <v>4.5</v>
      </c>
      <c r="H312" s="261">
        <f>IF(ISBLANK(I312),0,1)</f>
        <v>0</v>
      </c>
      <c r="I312" s="57"/>
      <c r="J312" s="58"/>
      <c r="K312" s="65" t="s">
        <v>570</v>
      </c>
      <c r="L312" s="65" t="s">
        <v>348</v>
      </c>
      <c r="M312" cm="1">
        <f t="array" ref="M312">_xlfn.XLOOKUP(Matrix[[#This Row],[TEAM]]&amp;Matrix[[#Headers],[1]],FDR[FDR]&amp;FDR[[#Headers],[1]],FDR[1],"",0,1)</f>
        <v>3</v>
      </c>
      <c r="N312" cm="1">
        <f t="array" ref="N312">_xlfn.XLOOKUP(Matrix[[#This Row],[TEAM]]&amp;Matrix[[#Headers],[2]],FDR[FDR]&amp;FDR[[#Headers],[2]],FDR[2],"",0,1)</f>
        <v>2</v>
      </c>
      <c r="O312" cm="1">
        <f t="array" ref="O312">_xlfn.XLOOKUP(Matrix[[#This Row],[TEAM]]&amp;Matrix[[#Headers],[3]],FDR[FDR]&amp;FDR[[#Headers],[3]],FDR[3],"",0,1)</f>
        <v>1</v>
      </c>
      <c r="P312" cm="1">
        <f t="array" ref="P312">_xlfn.XLOOKUP(Matrix[[#This Row],[TEAM]]&amp;Matrix[[#Headers],[4]],FDR[FDR]&amp;FDR[[#Headers],[4]],FDR[4],"",0,1)</f>
        <v>2</v>
      </c>
      <c r="Q312" cm="1">
        <f t="array" ref="Q312">_xlfn.XLOOKUP(Matrix[[#This Row],[TEAM]]&amp;Matrix[[#Headers],[5]],FDR[FDR]&amp;FDR[[#Headers],[5]],FDR[5],"",0,1)</f>
        <v>1</v>
      </c>
      <c r="R312" cm="1">
        <f t="array" ref="R312">_xlfn.XLOOKUP(Matrix[[#This Row],[TEAM]]&amp;Matrix[[#Headers],[6]],FDR[FDR]&amp;FDR[[#Headers],[6]],FDR[6],"",0,1)</f>
        <v>2</v>
      </c>
      <c r="S312" cm="1">
        <f t="array" ref="S312">_xlfn.XLOOKUP(Matrix[[#This Row],[TEAM]]&amp;Matrix[[#Headers],[7]],FDR[FDR]&amp;FDR[[#Headers],[7]],FDR[7],"",0,1)</f>
        <v>1</v>
      </c>
      <c r="T312" cm="1">
        <f t="array" ref="T312">_xlfn.XLOOKUP(Matrix[[#This Row],[TEAM]]&amp;Matrix[[#Headers],[8]],FDR[FDR]&amp;FDR[[#Headers],[8]],FDR[8],"",0,1)</f>
        <v>4</v>
      </c>
      <c r="U312" cm="1">
        <f t="array" ref="U312">_xlfn.XLOOKUP(Matrix[[#This Row],[TEAM]]&amp;Matrix[[#Headers],[9]],FDR[FDR]&amp;FDR[[#Headers],[9]],FDR[9],"",0,1)</f>
        <v>3</v>
      </c>
      <c r="V312" cm="1">
        <f t="array" ref="V312">_xlfn.XLOOKUP(Matrix[[#This Row],[TEAM]]&amp;Matrix[[#Headers],[10]],FDR[FDR]&amp;FDR[[#Headers],[10]],FDR[10],"",0,1)</f>
        <v>4</v>
      </c>
      <c r="W312" cm="1">
        <f t="array" ref="W312">_xlfn.XLOOKUP(Matrix[[#This Row],[TEAM]]&amp;Matrix[[#Headers],[11]],FDR[FDR]&amp;FDR[[#Headers],[11]],FDR[11],"",0,1)</f>
        <v>2</v>
      </c>
      <c r="X312" cm="1">
        <f t="array" ref="X312">_xlfn.XLOOKUP(Matrix[[#This Row],[TEAM]]&amp;Matrix[[#Headers],[12]],FDR[FDR]&amp;FDR[[#Headers],[12]],FDR[12],"",0,1)</f>
        <v>1</v>
      </c>
      <c r="Y312" cm="1">
        <f t="array" ref="Y312">_xlfn.XLOOKUP(Matrix[[#This Row],[TEAM]]&amp;Matrix[[#Headers],[13]],FDR[FDR]&amp;FDR[[#Headers],[13]],FDR[13],"",0,1)</f>
        <v>1</v>
      </c>
      <c r="Z312" cm="1">
        <f t="array" ref="Z312">_xlfn.XLOOKUP(Matrix[[#This Row],[TEAM]]&amp;Matrix[[#Headers],[14]],FDR[FDR]&amp;FDR[[#Headers],[14]],FDR[14],"",0,1)</f>
        <v>3</v>
      </c>
      <c r="AA312" cm="1">
        <f t="array" ref="AA312">_xlfn.XLOOKUP(Matrix[[#This Row],[TEAM]]&amp;Matrix[[#Headers],[15]],FDR[FDR]&amp;FDR[[#Headers],[15]],FDR[15],"",0,1)</f>
        <v>3</v>
      </c>
      <c r="AB312" cm="1">
        <f t="array" ref="AB312">_xlfn.XLOOKUP(Matrix[[#This Row],[TEAM]]&amp;Matrix[[#Headers],[16]],FDR[FDR]&amp;FDR[[#Headers],[16]],FDR[16],"",0,1)</f>
        <v>2</v>
      </c>
      <c r="AC312" cm="1">
        <f t="array" ref="AC312">_xlfn.XLOOKUP(Matrix[[#This Row],[TEAM]]&amp;Matrix[[#Headers],[17]],FDR[FDR]&amp;FDR[[#Headers],[17]],FDR[17],"",0,1)</f>
        <v>3</v>
      </c>
      <c r="AD312" cm="1">
        <f t="array" ref="AD312">_xlfn.XLOOKUP(Matrix[[#This Row],[TEAM]]&amp;Matrix[[#Headers],[18]],FDR[FDR]&amp;FDR[[#Headers],[18]],FDR[18],"",0,1)</f>
        <v>4</v>
      </c>
      <c r="AE312" cm="1">
        <f t="array" ref="AE312">_xlfn.XLOOKUP(Matrix[[#This Row],[TEAM]]&amp;Matrix[[#Headers],[19]],FDR[FDR]&amp;FDR[[#Headers],[19]],FDR[19],"",0,1)</f>
        <v>4</v>
      </c>
      <c r="AF312" cm="1">
        <f t="array" ref="AF312">_xlfn.XLOOKUP(Matrix[[#This Row],[TEAM]]&amp;Matrix[[#Headers],[20]],FDR[FDR]&amp;FDR[[#Headers],[20]],FDR[20],"",0,1)</f>
        <v>2</v>
      </c>
      <c r="AG312" cm="1">
        <f t="array" ref="AG312">_xlfn.XLOOKUP(Matrix[[#This Row],[TEAM]]&amp;Matrix[[#Headers],[21]],FDR[FDR]&amp;FDR[[#Headers],[21]],FDR[21],"",0,1)</f>
        <v>2</v>
      </c>
      <c r="AH312" cm="1">
        <f t="array" ref="AH312">_xlfn.XLOOKUP(Matrix[[#This Row],[TEAM]]&amp;Matrix[[#Headers],[22]],FDR[FDR]&amp;FDR[[#Headers],[22]],FDR[22],"",0,1)</f>
        <v>1</v>
      </c>
      <c r="AI312" cm="1">
        <f t="array" ref="AI312">_xlfn.XLOOKUP(Matrix[[#This Row],[TEAM]]&amp;Matrix[[#Headers],[23]],FDR[FDR]&amp;FDR[[#Headers],[23]],FDR[23],"",0,1)</f>
        <v>4</v>
      </c>
      <c r="AJ312" cm="1">
        <f t="array" ref="AJ312">_xlfn.XLOOKUP(Matrix[[#This Row],[TEAM]]&amp;Matrix[[#Headers],[24]],FDR[FDR]&amp;FDR[[#Headers],[24]],FDR[24],"",0,1)</f>
        <v>1</v>
      </c>
      <c r="AK312" cm="1">
        <f t="array" ref="AK312">_xlfn.XLOOKUP(Matrix[[#This Row],[TEAM]]&amp;Matrix[[#Headers],[25]],FDR[FDR]&amp;FDR[[#Headers],[25]],FDR[25],"",0,1)</f>
        <v>3</v>
      </c>
      <c r="AL312" cm="1">
        <f t="array" ref="AL312">_xlfn.XLOOKUP(Matrix[[#This Row],[TEAM]]&amp;Matrix[[#Headers],[26]],FDR[FDR]&amp;FDR[[#Headers],[26]],FDR[26],"",0,1)</f>
        <v>2</v>
      </c>
      <c r="AM312" cm="1">
        <f t="array" ref="AM312">_xlfn.XLOOKUP(Matrix[[#This Row],[TEAM]]&amp;Matrix[[#Headers],[27]],FDR[FDR]&amp;FDR[[#Headers],[27]],FDR[27],"",0,1)</f>
        <v>1</v>
      </c>
      <c r="AN312" cm="1">
        <f t="array" ref="AN312">_xlfn.XLOOKUP(Matrix[[#This Row],[TEAM]]&amp;Matrix[[#Headers],[28]],FDR[FDR]&amp;FDR[[#Headers],[28]],FDR[28],"",0,1)</f>
        <v>1</v>
      </c>
      <c r="AO312" cm="1">
        <f t="array" ref="AO312">_xlfn.XLOOKUP(Matrix[[#This Row],[TEAM]]&amp;Matrix[[#Headers],[29]],FDR[FDR]&amp;FDR[[#Headers],[29]],FDR[29],"",0,1)</f>
        <v>3</v>
      </c>
      <c r="AP312" cm="1">
        <f t="array" ref="AP312">_xlfn.XLOOKUP(Matrix[[#This Row],[TEAM]]&amp;Matrix[[#Headers],[30]],FDR[FDR]&amp;FDR[[#Headers],[30]],FDR[30],"",0,1)</f>
        <v>4</v>
      </c>
      <c r="AQ312" cm="1">
        <f t="array" ref="AQ312">_xlfn.XLOOKUP(Matrix[[#This Row],[TEAM]]&amp;Matrix[[#Headers],[31]],FDR[FDR]&amp;FDR[[#Headers],[31]],FDR[31],"",0,1)</f>
        <v>1</v>
      </c>
      <c r="AR312" cm="1">
        <f t="array" ref="AR312">_xlfn.XLOOKUP(Matrix[[#This Row],[TEAM]]&amp;Matrix[[#Headers],[32]],FDR[FDR]&amp;FDR[[#Headers],[32]],FDR[32],"",0,1)</f>
        <v>3</v>
      </c>
      <c r="AS312" cm="1">
        <f t="array" ref="AS312">_xlfn.XLOOKUP(Matrix[[#This Row],[TEAM]]&amp;Matrix[[#Headers],[33]],FDR[FDR]&amp;FDR[[#Headers],[33]],FDR[33],"",0,1)</f>
        <v>1</v>
      </c>
      <c r="AT312" cm="1">
        <f t="array" ref="AT312">_xlfn.XLOOKUP(Matrix[[#This Row],[TEAM]]&amp;Matrix[[#Headers],[34]],FDR[FDR]&amp;FDR[[#Headers],[34]],FDR[34],"",0,1)</f>
        <v>3</v>
      </c>
      <c r="AU312" cm="1">
        <f t="array" ref="AU312">_xlfn.XLOOKUP(Matrix[[#This Row],[TEAM]]&amp;Matrix[[#Headers],[35]],FDR[FDR]&amp;FDR[[#Headers],[35]],FDR[35],"",0,1)</f>
        <v>3</v>
      </c>
      <c r="AV312" cm="1">
        <f t="array" ref="AV312">_xlfn.XLOOKUP(Matrix[[#This Row],[TEAM]]&amp;Matrix[[#Headers],[36]],FDR[FDR]&amp;FDR[[#Headers],[36]],FDR[36],"",0,1)</f>
        <v>1</v>
      </c>
      <c r="AW312" cm="1">
        <f t="array" ref="AW312">_xlfn.XLOOKUP(Matrix[[#This Row],[TEAM]]&amp;Matrix[[#Headers],[37]],FDR[FDR]&amp;FDR[[#Headers],[37]],FDR[37],"",0,1)</f>
        <v>3</v>
      </c>
      <c r="AX312" cm="1">
        <f t="array" ref="AX312">_xlfn.XLOOKUP(Matrix[[#This Row],[TEAM]]&amp;Matrix[[#Headers],[38]],FDR[FDR]&amp;FDR[[#Headers],[38]],FDR[38],"",0,1)</f>
        <v>4</v>
      </c>
    </row>
    <row r="313" spans="1:50" ht="22" thickTop="1" thickBot="1">
      <c r="A313" s="51" t="s">
        <v>657</v>
      </c>
      <c r="B313" s="70" t="s">
        <v>1765</v>
      </c>
      <c r="C313" s="40" t="s">
        <v>27</v>
      </c>
      <c r="D313" s="62">
        <v>54</v>
      </c>
      <c r="E313" s="60">
        <v>1E-3</v>
      </c>
      <c r="F313" s="61">
        <v>44.5</v>
      </c>
      <c r="G313" s="63">
        <v>4.5</v>
      </c>
      <c r="H313" s="261">
        <f>IF(ISBLANK(I313),0,1)</f>
        <v>0</v>
      </c>
      <c r="I313" s="57"/>
      <c r="J313" s="58"/>
      <c r="K313" s="65" t="s">
        <v>1208</v>
      </c>
      <c r="L313" s="65" t="s">
        <v>1207</v>
      </c>
      <c r="M313" cm="1">
        <f t="array" ref="M313">_xlfn.XLOOKUP(Matrix[[#This Row],[TEAM]]&amp;Matrix[[#Headers],[1]],FDR[FDR]&amp;FDR[[#Headers],[1]],FDR[1],"",0,1)</f>
        <v>2</v>
      </c>
      <c r="N313" cm="1">
        <f t="array" ref="N313">_xlfn.XLOOKUP(Matrix[[#This Row],[TEAM]]&amp;Matrix[[#Headers],[2]],FDR[FDR]&amp;FDR[[#Headers],[2]],FDR[2],"",0,1)</f>
        <v>4</v>
      </c>
      <c r="O313" cm="1">
        <f t="array" ref="O313">_xlfn.XLOOKUP(Matrix[[#This Row],[TEAM]]&amp;Matrix[[#Headers],[3]],FDR[FDR]&amp;FDR[[#Headers],[3]],FDR[3],"",0,1)</f>
        <v>4</v>
      </c>
      <c r="P313" cm="1">
        <f t="array" ref="P313">_xlfn.XLOOKUP(Matrix[[#This Row],[TEAM]]&amp;Matrix[[#Headers],[4]],FDR[FDR]&amp;FDR[[#Headers],[4]],FDR[4],"",0,1)</f>
        <v>4</v>
      </c>
      <c r="Q313" cm="1">
        <f t="array" ref="Q313">_xlfn.XLOOKUP(Matrix[[#This Row],[TEAM]]&amp;Matrix[[#Headers],[5]],FDR[FDR]&amp;FDR[[#Headers],[5]],FDR[5],"",0,1)</f>
        <v>3</v>
      </c>
      <c r="R313" cm="1">
        <f t="array" ref="R313">_xlfn.XLOOKUP(Matrix[[#This Row],[TEAM]]&amp;Matrix[[#Headers],[6]],FDR[FDR]&amp;FDR[[#Headers],[6]],FDR[6],"",0,1)</f>
        <v>4</v>
      </c>
      <c r="S313" cm="1">
        <f t="array" ref="S313">_xlfn.XLOOKUP(Matrix[[#This Row],[TEAM]]&amp;Matrix[[#Headers],[7]],FDR[FDR]&amp;FDR[[#Headers],[7]],FDR[7],"",0,1)</f>
        <v>5</v>
      </c>
      <c r="T313" cm="1">
        <f t="array" ref="T313">_xlfn.XLOOKUP(Matrix[[#This Row],[TEAM]]&amp;Matrix[[#Headers],[8]],FDR[FDR]&amp;FDR[[#Headers],[8]],FDR[8],"",0,1)</f>
        <v>3</v>
      </c>
      <c r="U313" cm="1">
        <f t="array" ref="U313">_xlfn.XLOOKUP(Matrix[[#This Row],[TEAM]]&amp;Matrix[[#Headers],[9]],FDR[FDR]&amp;FDR[[#Headers],[9]],FDR[9],"",0,1)</f>
        <v>2</v>
      </c>
      <c r="V313" cm="1">
        <f t="array" ref="V313">_xlfn.XLOOKUP(Matrix[[#This Row],[TEAM]]&amp;Matrix[[#Headers],[10]],FDR[FDR]&amp;FDR[[#Headers],[10]],FDR[10],"",0,1)</f>
        <v>4</v>
      </c>
      <c r="W313" cm="1">
        <f t="array" ref="W313">_xlfn.XLOOKUP(Matrix[[#This Row],[TEAM]]&amp;Matrix[[#Headers],[11]],FDR[FDR]&amp;FDR[[#Headers],[11]],FDR[11],"",0,1)</f>
        <v>1</v>
      </c>
      <c r="X313" cm="1">
        <f t="array" ref="X313">_xlfn.XLOOKUP(Matrix[[#This Row],[TEAM]]&amp;Matrix[[#Headers],[12]],FDR[FDR]&amp;FDR[[#Headers],[12]],FDR[12],"",0,1)</f>
        <v>4</v>
      </c>
      <c r="Y313" cm="1">
        <f t="array" ref="Y313">_xlfn.XLOOKUP(Matrix[[#This Row],[TEAM]]&amp;Matrix[[#Headers],[13]],FDR[FDR]&amp;FDR[[#Headers],[13]],FDR[13],"",0,1)</f>
        <v>4</v>
      </c>
      <c r="Z313" cm="1">
        <f t="array" ref="Z313">_xlfn.XLOOKUP(Matrix[[#This Row],[TEAM]]&amp;Matrix[[#Headers],[14]],FDR[FDR]&amp;FDR[[#Headers],[14]],FDR[14],"",0,1)</f>
        <v>5</v>
      </c>
      <c r="AA313" cm="1">
        <f t="array" ref="AA313">_xlfn.XLOOKUP(Matrix[[#This Row],[TEAM]]&amp;Matrix[[#Headers],[15]],FDR[FDR]&amp;FDR[[#Headers],[15]],FDR[15],"",0,1)</f>
        <v>4</v>
      </c>
      <c r="AB313" cm="1">
        <f t="array" ref="AB313">_xlfn.XLOOKUP(Matrix[[#This Row],[TEAM]]&amp;Matrix[[#Headers],[16]],FDR[FDR]&amp;FDR[[#Headers],[16]],FDR[16],"",0,1)</f>
        <v>4</v>
      </c>
      <c r="AC313" cm="1">
        <f t="array" ref="AC313">_xlfn.XLOOKUP(Matrix[[#This Row],[TEAM]]&amp;Matrix[[#Headers],[17]],FDR[FDR]&amp;FDR[[#Headers],[17]],FDR[17],"",0,1)</f>
        <v>5</v>
      </c>
      <c r="AD313" cm="1">
        <f t="array" ref="AD313">_xlfn.XLOOKUP(Matrix[[#This Row],[TEAM]]&amp;Matrix[[#Headers],[18]],FDR[FDR]&amp;FDR[[#Headers],[18]],FDR[18],"",0,1)</f>
        <v>3</v>
      </c>
      <c r="AE313" cm="1">
        <f t="array" ref="AE313">_xlfn.XLOOKUP(Matrix[[#This Row],[TEAM]]&amp;Matrix[[#Headers],[19]],FDR[FDR]&amp;FDR[[#Headers],[19]],FDR[19],"",0,1)</f>
        <v>3</v>
      </c>
      <c r="AF313" cm="1">
        <f t="array" ref="AF313">_xlfn.XLOOKUP(Matrix[[#This Row],[TEAM]]&amp;Matrix[[#Headers],[20]],FDR[FDR]&amp;FDR[[#Headers],[20]],FDR[20],"",0,1)</f>
        <v>2</v>
      </c>
      <c r="AG313" cm="1">
        <f t="array" ref="AG313">_xlfn.XLOOKUP(Matrix[[#This Row],[TEAM]]&amp;Matrix[[#Headers],[21]],FDR[FDR]&amp;FDR[[#Headers],[21]],FDR[21],"",0,1)</f>
        <v>3</v>
      </c>
      <c r="AH313" cm="1">
        <f t="array" ref="AH313">_xlfn.XLOOKUP(Matrix[[#This Row],[TEAM]]&amp;Matrix[[#Headers],[22]],FDR[FDR]&amp;FDR[[#Headers],[22]],FDR[22],"",0,1)</f>
        <v>5</v>
      </c>
      <c r="AI313" cm="1">
        <f t="array" ref="AI313">_xlfn.XLOOKUP(Matrix[[#This Row],[TEAM]]&amp;Matrix[[#Headers],[23]],FDR[FDR]&amp;FDR[[#Headers],[23]],FDR[23],"",0,1)</f>
        <v>1</v>
      </c>
      <c r="AJ313" cm="1">
        <f t="array" ref="AJ313">_xlfn.XLOOKUP(Matrix[[#This Row],[TEAM]]&amp;Matrix[[#Headers],[24]],FDR[FDR]&amp;FDR[[#Headers],[24]],FDR[24],"",0,1)</f>
        <v>5</v>
      </c>
      <c r="AK313" cm="1">
        <f t="array" ref="AK313">_xlfn.XLOOKUP(Matrix[[#This Row],[TEAM]]&amp;Matrix[[#Headers],[25]],FDR[FDR]&amp;FDR[[#Headers],[25]],FDR[25],"",0,1)</f>
        <v>2</v>
      </c>
      <c r="AL313" cm="1">
        <f t="array" ref="AL313">_xlfn.XLOOKUP(Matrix[[#This Row],[TEAM]]&amp;Matrix[[#Headers],[26]],FDR[FDR]&amp;FDR[[#Headers],[26]],FDR[26],"",0,1)</f>
        <v>4</v>
      </c>
      <c r="AM313" cm="1">
        <f t="array" ref="AM313">_xlfn.XLOOKUP(Matrix[[#This Row],[TEAM]]&amp;Matrix[[#Headers],[27]],FDR[FDR]&amp;FDR[[#Headers],[27]],FDR[27],"",0,1)</f>
        <v>3</v>
      </c>
      <c r="AN313" cm="1">
        <f t="array" ref="AN313">_xlfn.XLOOKUP(Matrix[[#This Row],[TEAM]]&amp;Matrix[[#Headers],[28]],FDR[FDR]&amp;FDR[[#Headers],[28]],FDR[28],"",0,1)</f>
        <v>5</v>
      </c>
      <c r="AO313" cm="1">
        <f t="array" ref="AO313">_xlfn.XLOOKUP(Matrix[[#This Row],[TEAM]]&amp;Matrix[[#Headers],[29]],FDR[FDR]&amp;FDR[[#Headers],[29]],FDR[29],"",0,1)</f>
        <v>4</v>
      </c>
      <c r="AP313" cm="1">
        <f t="array" ref="AP313">_xlfn.XLOOKUP(Matrix[[#This Row],[TEAM]]&amp;Matrix[[#Headers],[30]],FDR[FDR]&amp;FDR[[#Headers],[30]],FDR[30],"",0,1)</f>
        <v>4</v>
      </c>
      <c r="AQ313" cm="1">
        <f t="array" ref="AQ313">_xlfn.XLOOKUP(Matrix[[#This Row],[TEAM]]&amp;Matrix[[#Headers],[31]],FDR[FDR]&amp;FDR[[#Headers],[31]],FDR[31],"",0,1)</f>
        <v>5</v>
      </c>
      <c r="AR313" cm="1">
        <f t="array" ref="AR313">_xlfn.XLOOKUP(Matrix[[#This Row],[TEAM]]&amp;Matrix[[#Headers],[32]],FDR[FDR]&amp;FDR[[#Headers],[32]],FDR[32],"",0,1)</f>
        <v>2</v>
      </c>
      <c r="AS313" cm="1">
        <f t="array" ref="AS313">_xlfn.XLOOKUP(Matrix[[#This Row],[TEAM]]&amp;Matrix[[#Headers],[33]],FDR[FDR]&amp;FDR[[#Headers],[33]],FDR[33],"",0,1)</f>
        <v>4</v>
      </c>
      <c r="AT313" cm="1">
        <f t="array" ref="AT313">_xlfn.XLOOKUP(Matrix[[#This Row],[TEAM]]&amp;Matrix[[#Headers],[34]],FDR[FDR]&amp;FDR[[#Headers],[34]],FDR[34],"",0,1)</f>
        <v>3</v>
      </c>
      <c r="AU313" cm="1">
        <f t="array" ref="AU313">_xlfn.XLOOKUP(Matrix[[#This Row],[TEAM]]&amp;Matrix[[#Headers],[35]],FDR[FDR]&amp;FDR[[#Headers],[35]],FDR[35],"",0,1)</f>
        <v>4</v>
      </c>
      <c r="AV313" cm="1">
        <f t="array" ref="AV313">_xlfn.XLOOKUP(Matrix[[#This Row],[TEAM]]&amp;Matrix[[#Headers],[36]],FDR[FDR]&amp;FDR[[#Headers],[36]],FDR[36],"",0,1)</f>
        <v>4</v>
      </c>
      <c r="AW313" cm="1">
        <f t="array" ref="AW313">_xlfn.XLOOKUP(Matrix[[#This Row],[TEAM]]&amp;Matrix[[#Headers],[37]],FDR[FDR]&amp;FDR[[#Headers],[37]],FDR[37],"",0,1)</f>
        <v>5</v>
      </c>
      <c r="AX313" cm="1">
        <f t="array" ref="AX313">_xlfn.XLOOKUP(Matrix[[#This Row],[TEAM]]&amp;Matrix[[#Headers],[38]],FDR[FDR]&amp;FDR[[#Headers],[38]],FDR[38],"",0,1)</f>
        <v>1</v>
      </c>
    </row>
    <row r="314" spans="1:50" ht="22" thickTop="1" thickBot="1">
      <c r="A314" s="51" t="s">
        <v>657</v>
      </c>
      <c r="B314" s="70" t="s">
        <v>1769</v>
      </c>
      <c r="C314" s="40" t="s">
        <v>51</v>
      </c>
      <c r="D314" s="62">
        <v>52</v>
      </c>
      <c r="E314" s="60">
        <v>1E-3</v>
      </c>
      <c r="F314" s="61">
        <v>44.2</v>
      </c>
      <c r="G314" s="63">
        <v>4.5</v>
      </c>
      <c r="H314" s="261">
        <f>IF(ISBLANK(I314),0,1)</f>
        <v>0</v>
      </c>
      <c r="I314" s="57"/>
      <c r="J314" s="58"/>
      <c r="K314" s="65" t="s">
        <v>924</v>
      </c>
      <c r="L314" s="65" t="s">
        <v>925</v>
      </c>
      <c r="M314" cm="1">
        <f t="array" ref="M314">_xlfn.XLOOKUP(Matrix[[#This Row],[TEAM]]&amp;Matrix[[#Headers],[1]],FDR[FDR]&amp;FDR[[#Headers],[1]],FDR[1],"",0,1)</f>
        <v>5</v>
      </c>
      <c r="N314" cm="1">
        <f t="array" ref="N314">_xlfn.XLOOKUP(Matrix[[#This Row],[TEAM]]&amp;Matrix[[#Headers],[2]],FDR[FDR]&amp;FDR[[#Headers],[2]],FDR[2],"",0,1)</f>
        <v>5</v>
      </c>
      <c r="O314" cm="1">
        <f t="array" ref="O314">_xlfn.XLOOKUP(Matrix[[#This Row],[TEAM]]&amp;Matrix[[#Headers],[3]],FDR[FDR]&amp;FDR[[#Headers],[3]],FDR[3],"",0,1)</f>
        <v>4</v>
      </c>
      <c r="P314" cm="1">
        <f t="array" ref="P314">_xlfn.XLOOKUP(Matrix[[#This Row],[TEAM]]&amp;Matrix[[#Headers],[4]],FDR[FDR]&amp;FDR[[#Headers],[4]],FDR[4],"",0,1)</f>
        <v>5</v>
      </c>
      <c r="Q314" cm="1">
        <f t="array" ref="Q314">_xlfn.XLOOKUP(Matrix[[#This Row],[TEAM]]&amp;Matrix[[#Headers],[5]],FDR[FDR]&amp;FDR[[#Headers],[5]],FDR[5],"",0,1)</f>
        <v>2</v>
      </c>
      <c r="R314" cm="1">
        <f t="array" ref="R314">_xlfn.XLOOKUP(Matrix[[#This Row],[TEAM]]&amp;Matrix[[#Headers],[6]],FDR[FDR]&amp;FDR[[#Headers],[6]],FDR[6],"",0,1)</f>
        <v>5</v>
      </c>
      <c r="S314" cm="1">
        <f t="array" ref="S314">_xlfn.XLOOKUP(Matrix[[#This Row],[TEAM]]&amp;Matrix[[#Headers],[7]],FDR[FDR]&amp;FDR[[#Headers],[7]],FDR[7],"",0,1)</f>
        <v>4</v>
      </c>
      <c r="T314" cm="1">
        <f t="array" ref="T314">_xlfn.XLOOKUP(Matrix[[#This Row],[TEAM]]&amp;Matrix[[#Headers],[8]],FDR[FDR]&amp;FDR[[#Headers],[8]],FDR[8],"",0,1)</f>
        <v>3</v>
      </c>
      <c r="U314" cm="1">
        <f t="array" ref="U314">_xlfn.XLOOKUP(Matrix[[#This Row],[TEAM]]&amp;Matrix[[#Headers],[9]],FDR[FDR]&amp;FDR[[#Headers],[9]],FDR[9],"",0,1)</f>
        <v>2</v>
      </c>
      <c r="V314" cm="1">
        <f t="array" ref="V314">_xlfn.XLOOKUP(Matrix[[#This Row],[TEAM]]&amp;Matrix[[#Headers],[10]],FDR[FDR]&amp;FDR[[#Headers],[10]],FDR[10],"",0,1)</f>
        <v>5</v>
      </c>
      <c r="W314" cm="1">
        <f t="array" ref="W314">_xlfn.XLOOKUP(Matrix[[#This Row],[TEAM]]&amp;Matrix[[#Headers],[11]],FDR[FDR]&amp;FDR[[#Headers],[11]],FDR[11],"",0,1)</f>
        <v>5</v>
      </c>
      <c r="X314" cm="1">
        <f t="array" ref="X314">_xlfn.XLOOKUP(Matrix[[#This Row],[TEAM]]&amp;Matrix[[#Headers],[12]],FDR[FDR]&amp;FDR[[#Headers],[12]],FDR[12],"",0,1)</f>
        <v>4</v>
      </c>
      <c r="Y314" cm="1">
        <f t="array" ref="Y314">_xlfn.XLOOKUP(Matrix[[#This Row],[TEAM]]&amp;Matrix[[#Headers],[13]],FDR[FDR]&amp;FDR[[#Headers],[13]],FDR[13],"",0,1)</f>
        <v>5</v>
      </c>
      <c r="Z314" cm="1">
        <f t="array" ref="Z314">_xlfn.XLOOKUP(Matrix[[#This Row],[TEAM]]&amp;Matrix[[#Headers],[14]],FDR[FDR]&amp;FDR[[#Headers],[14]],FDR[14],"",0,1)</f>
        <v>4</v>
      </c>
      <c r="AA314" cm="1">
        <f t="array" ref="AA314">_xlfn.XLOOKUP(Matrix[[#This Row],[TEAM]]&amp;Matrix[[#Headers],[15]],FDR[FDR]&amp;FDR[[#Headers],[15]],FDR[15],"",0,1)</f>
        <v>5</v>
      </c>
      <c r="AB314" cm="1">
        <f t="array" ref="AB314">_xlfn.XLOOKUP(Matrix[[#This Row],[TEAM]]&amp;Matrix[[#Headers],[16]],FDR[FDR]&amp;FDR[[#Headers],[16]],FDR[16],"",0,1)</f>
        <v>5</v>
      </c>
      <c r="AC314" cm="1">
        <f t="array" ref="AC314">_xlfn.XLOOKUP(Matrix[[#This Row],[TEAM]]&amp;Matrix[[#Headers],[17]],FDR[FDR]&amp;FDR[[#Headers],[17]],FDR[17],"",0,1)</f>
        <v>4</v>
      </c>
      <c r="AD314" cm="1">
        <f t="array" ref="AD314">_xlfn.XLOOKUP(Matrix[[#This Row],[TEAM]]&amp;Matrix[[#Headers],[18]],FDR[FDR]&amp;FDR[[#Headers],[18]],FDR[18],"",0,1)</f>
        <v>5</v>
      </c>
      <c r="AE314" cm="1">
        <f t="array" ref="AE314">_xlfn.XLOOKUP(Matrix[[#This Row],[TEAM]]&amp;Matrix[[#Headers],[19]],FDR[FDR]&amp;FDR[[#Headers],[19]],FDR[19],"",0,1)</f>
        <v>5</v>
      </c>
      <c r="AF314" cm="1">
        <f t="array" ref="AF314">_xlfn.XLOOKUP(Matrix[[#This Row],[TEAM]]&amp;Matrix[[#Headers],[20]],FDR[FDR]&amp;FDR[[#Headers],[20]],FDR[20],"",0,1)</f>
        <v>4</v>
      </c>
      <c r="AG314" cm="1">
        <f t="array" ref="AG314">_xlfn.XLOOKUP(Matrix[[#This Row],[TEAM]]&amp;Matrix[[#Headers],[21]],FDR[FDR]&amp;FDR[[#Headers],[21]],FDR[21],"",0,1)</f>
        <v>5</v>
      </c>
      <c r="AH314" cm="1">
        <f t="array" ref="AH314">_xlfn.XLOOKUP(Matrix[[#This Row],[TEAM]]&amp;Matrix[[#Headers],[22]],FDR[FDR]&amp;FDR[[#Headers],[22]],FDR[22],"",0,1)</f>
        <v>5</v>
      </c>
      <c r="AI314" cm="1">
        <f t="array" ref="AI314">_xlfn.XLOOKUP(Matrix[[#This Row],[TEAM]]&amp;Matrix[[#Headers],[23]],FDR[FDR]&amp;FDR[[#Headers],[23]],FDR[23],"",0,1)</f>
        <v>5</v>
      </c>
      <c r="AJ314" cm="1">
        <f t="array" ref="AJ314">_xlfn.XLOOKUP(Matrix[[#This Row],[TEAM]]&amp;Matrix[[#Headers],[24]],FDR[FDR]&amp;FDR[[#Headers],[24]],FDR[24],"",0,1)</f>
        <v>4</v>
      </c>
      <c r="AK314" cm="1">
        <f t="array" ref="AK314">_xlfn.XLOOKUP(Matrix[[#This Row],[TEAM]]&amp;Matrix[[#Headers],[25]],FDR[FDR]&amp;FDR[[#Headers],[25]],FDR[25],"",0,1)</f>
        <v>5</v>
      </c>
      <c r="AL314" cm="1">
        <f t="array" ref="AL314">_xlfn.XLOOKUP(Matrix[[#This Row],[TEAM]]&amp;Matrix[[#Headers],[26]],FDR[FDR]&amp;FDR[[#Headers],[26]],FDR[26],"",0,1)</f>
        <v>5</v>
      </c>
      <c r="AM314" cm="1">
        <f t="array" ref="AM314">_xlfn.XLOOKUP(Matrix[[#This Row],[TEAM]]&amp;Matrix[[#Headers],[27]],FDR[FDR]&amp;FDR[[#Headers],[27]],FDR[27],"",0,1)</f>
        <v>5</v>
      </c>
      <c r="AN314" cm="1">
        <f t="array" ref="AN314">_xlfn.XLOOKUP(Matrix[[#This Row],[TEAM]]&amp;Matrix[[#Headers],[28]],FDR[FDR]&amp;FDR[[#Headers],[28]],FDR[28],"",0,1)</f>
        <v>5</v>
      </c>
      <c r="AO314" cm="1">
        <f t="array" ref="AO314">_xlfn.XLOOKUP(Matrix[[#This Row],[TEAM]]&amp;Matrix[[#Headers],[29]],FDR[FDR]&amp;FDR[[#Headers],[29]],FDR[29],"",0,1)</f>
        <v>5</v>
      </c>
      <c r="AP314" cm="1">
        <f t="array" ref="AP314">_xlfn.XLOOKUP(Matrix[[#This Row],[TEAM]]&amp;Matrix[[#Headers],[30]],FDR[FDR]&amp;FDR[[#Headers],[30]],FDR[30],"",0,1)</f>
        <v>5</v>
      </c>
      <c r="AQ314" cm="1">
        <f t="array" ref="AQ314">_xlfn.XLOOKUP(Matrix[[#This Row],[TEAM]]&amp;Matrix[[#Headers],[31]],FDR[FDR]&amp;FDR[[#Headers],[31]],FDR[31],"",0,1)</f>
        <v>5</v>
      </c>
      <c r="AR314" cm="1">
        <f t="array" ref="AR314">_xlfn.XLOOKUP(Matrix[[#This Row],[TEAM]]&amp;Matrix[[#Headers],[32]],FDR[FDR]&amp;FDR[[#Headers],[32]],FDR[32],"",0,1)</f>
        <v>5</v>
      </c>
      <c r="AS314" cm="1">
        <f t="array" ref="AS314">_xlfn.XLOOKUP(Matrix[[#This Row],[TEAM]]&amp;Matrix[[#Headers],[33]],FDR[FDR]&amp;FDR[[#Headers],[33]],FDR[33],"",0,1)</f>
        <v>3</v>
      </c>
      <c r="AT314" cm="1">
        <f t="array" ref="AT314">_xlfn.XLOOKUP(Matrix[[#This Row],[TEAM]]&amp;Matrix[[#Headers],[34]],FDR[FDR]&amp;FDR[[#Headers],[34]],FDR[34],"",0,1)</f>
        <v>5</v>
      </c>
      <c r="AU314" cm="1">
        <f t="array" ref="AU314">_xlfn.XLOOKUP(Matrix[[#This Row],[TEAM]]&amp;Matrix[[#Headers],[35]],FDR[FDR]&amp;FDR[[#Headers],[35]],FDR[35],"",0,1)</f>
        <v>2</v>
      </c>
      <c r="AV314" cm="1">
        <f t="array" ref="AV314">_xlfn.XLOOKUP(Matrix[[#This Row],[TEAM]]&amp;Matrix[[#Headers],[36]],FDR[FDR]&amp;FDR[[#Headers],[36]],FDR[36],"",0,1)</f>
        <v>5</v>
      </c>
      <c r="AW314" cm="1">
        <f t="array" ref="AW314">_xlfn.XLOOKUP(Matrix[[#This Row],[TEAM]]&amp;Matrix[[#Headers],[37]],FDR[FDR]&amp;FDR[[#Headers],[37]],FDR[37],"",0,1)</f>
        <v>4</v>
      </c>
      <c r="AX314" cm="1">
        <f t="array" ref="AX314">_xlfn.XLOOKUP(Matrix[[#This Row],[TEAM]]&amp;Matrix[[#Headers],[38]],FDR[FDR]&amp;FDR[[#Headers],[38]],FDR[38],"",0,1)</f>
        <v>3</v>
      </c>
    </row>
    <row r="315" spans="1:50" ht="22" thickTop="1" thickBot="1">
      <c r="A315" s="51" t="s">
        <v>657</v>
      </c>
      <c r="B315" s="70" t="s">
        <v>1635</v>
      </c>
      <c r="C315" s="40" t="s">
        <v>23</v>
      </c>
      <c r="D315" s="62">
        <v>51</v>
      </c>
      <c r="E315" s="60">
        <v>1.6E-2</v>
      </c>
      <c r="F315" s="61">
        <v>95</v>
      </c>
      <c r="G315" s="63">
        <v>4.5</v>
      </c>
      <c r="H315" s="261">
        <f>IF(ISBLANK(I315),0,1)</f>
        <v>0</v>
      </c>
      <c r="I315" s="57"/>
      <c r="J315" s="58"/>
      <c r="K315" s="65" t="s">
        <v>464</v>
      </c>
      <c r="L315" s="65" t="s">
        <v>465</v>
      </c>
      <c r="M315" cm="1">
        <f t="array" ref="M315">_xlfn.XLOOKUP(Matrix[[#This Row],[TEAM]]&amp;Matrix[[#Headers],[1]],FDR[FDR]&amp;FDR[[#Headers],[1]],FDR[1],"",0,1)</f>
        <v>4</v>
      </c>
      <c r="N315" cm="1">
        <f t="array" ref="N315">_xlfn.XLOOKUP(Matrix[[#This Row],[TEAM]]&amp;Matrix[[#Headers],[2]],FDR[FDR]&amp;FDR[[#Headers],[2]],FDR[2],"",0,1)</f>
        <v>4</v>
      </c>
      <c r="O315" cm="1">
        <f t="array" ref="O315">_xlfn.XLOOKUP(Matrix[[#This Row],[TEAM]]&amp;Matrix[[#Headers],[3]],FDR[FDR]&amp;FDR[[#Headers],[3]],FDR[3],"",0,1)</f>
        <v>5</v>
      </c>
      <c r="P315" cm="1">
        <f t="array" ref="P315">_xlfn.XLOOKUP(Matrix[[#This Row],[TEAM]]&amp;Matrix[[#Headers],[4]],FDR[FDR]&amp;FDR[[#Headers],[4]],FDR[4],"",0,1)</f>
        <v>1</v>
      </c>
      <c r="Q315" cm="1">
        <f t="array" ref="Q315">_xlfn.XLOOKUP(Matrix[[#This Row],[TEAM]]&amp;Matrix[[#Headers],[5]],FDR[FDR]&amp;FDR[[#Headers],[5]],FDR[5],"",0,1)</f>
        <v>2</v>
      </c>
      <c r="R315" cm="1">
        <f t="array" ref="R315">_xlfn.XLOOKUP(Matrix[[#This Row],[TEAM]]&amp;Matrix[[#Headers],[6]],FDR[FDR]&amp;FDR[[#Headers],[6]],FDR[6],"",0,1)</f>
        <v>5</v>
      </c>
      <c r="S315" cm="1">
        <f t="array" ref="S315">_xlfn.XLOOKUP(Matrix[[#This Row],[TEAM]]&amp;Matrix[[#Headers],[7]],FDR[FDR]&amp;FDR[[#Headers],[7]],FDR[7],"",0,1)</f>
        <v>4</v>
      </c>
      <c r="T315" cm="1">
        <f t="array" ref="T315">_xlfn.XLOOKUP(Matrix[[#This Row],[TEAM]]&amp;Matrix[[#Headers],[8]],FDR[FDR]&amp;FDR[[#Headers],[8]],FDR[8],"",0,1)</f>
        <v>4</v>
      </c>
      <c r="U315" cm="1">
        <f t="array" ref="U315">_xlfn.XLOOKUP(Matrix[[#This Row],[TEAM]]&amp;Matrix[[#Headers],[9]],FDR[FDR]&amp;FDR[[#Headers],[9]],FDR[9],"",0,1)</f>
        <v>5</v>
      </c>
      <c r="V315" cm="1">
        <f t="array" ref="V315">_xlfn.XLOOKUP(Matrix[[#This Row],[TEAM]]&amp;Matrix[[#Headers],[10]],FDR[FDR]&amp;FDR[[#Headers],[10]],FDR[10],"",0,1)</f>
        <v>1</v>
      </c>
      <c r="W315" cm="1">
        <f t="array" ref="W315">_xlfn.XLOOKUP(Matrix[[#This Row],[TEAM]]&amp;Matrix[[#Headers],[11]],FDR[FDR]&amp;FDR[[#Headers],[11]],FDR[11],"",0,1)</f>
        <v>3</v>
      </c>
      <c r="X315" cm="1">
        <f t="array" ref="X315">_xlfn.XLOOKUP(Matrix[[#This Row],[TEAM]]&amp;Matrix[[#Headers],[12]],FDR[FDR]&amp;FDR[[#Headers],[12]],FDR[12],"",0,1)</f>
        <v>1</v>
      </c>
      <c r="Y315" cm="1">
        <f t="array" ref="Y315">_xlfn.XLOOKUP(Matrix[[#This Row],[TEAM]]&amp;Matrix[[#Headers],[13]],FDR[FDR]&amp;FDR[[#Headers],[13]],FDR[13],"",0,1)</f>
        <v>5</v>
      </c>
      <c r="Z315" cm="1">
        <f t="array" ref="Z315">_xlfn.XLOOKUP(Matrix[[#This Row],[TEAM]]&amp;Matrix[[#Headers],[14]],FDR[FDR]&amp;FDR[[#Headers],[14]],FDR[14],"",0,1)</f>
        <v>4</v>
      </c>
      <c r="AA315" cm="1">
        <f t="array" ref="AA315">_xlfn.XLOOKUP(Matrix[[#This Row],[TEAM]]&amp;Matrix[[#Headers],[15]],FDR[FDR]&amp;FDR[[#Headers],[15]],FDR[15],"",0,1)</f>
        <v>2</v>
      </c>
      <c r="AB315" cm="1">
        <f t="array" ref="AB315">_xlfn.XLOOKUP(Matrix[[#This Row],[TEAM]]&amp;Matrix[[#Headers],[16]],FDR[FDR]&amp;FDR[[#Headers],[16]],FDR[16],"",0,1)</f>
        <v>2</v>
      </c>
      <c r="AC315" cm="1">
        <f t="array" ref="AC315">_xlfn.XLOOKUP(Matrix[[#This Row],[TEAM]]&amp;Matrix[[#Headers],[17]],FDR[FDR]&amp;FDR[[#Headers],[17]],FDR[17],"",0,1)</f>
        <v>3</v>
      </c>
      <c r="AD315" cm="1">
        <f t="array" ref="AD315">_xlfn.XLOOKUP(Matrix[[#This Row],[TEAM]]&amp;Matrix[[#Headers],[18]],FDR[FDR]&amp;FDR[[#Headers],[18]],FDR[18],"",0,1)</f>
        <v>3</v>
      </c>
      <c r="AE315" cm="1">
        <f t="array" ref="AE315">_xlfn.XLOOKUP(Matrix[[#This Row],[TEAM]]&amp;Matrix[[#Headers],[19]],FDR[FDR]&amp;FDR[[#Headers],[19]],FDR[19],"",0,1)</f>
        <v>3</v>
      </c>
      <c r="AF315" cm="1">
        <f t="array" ref="AF315">_xlfn.XLOOKUP(Matrix[[#This Row],[TEAM]]&amp;Matrix[[#Headers],[20]],FDR[FDR]&amp;FDR[[#Headers],[20]],FDR[20],"",0,1)</f>
        <v>4</v>
      </c>
      <c r="AG315" cm="1">
        <f t="array" ref="AG315">_xlfn.XLOOKUP(Matrix[[#This Row],[TEAM]]&amp;Matrix[[#Headers],[21]],FDR[FDR]&amp;FDR[[#Headers],[21]],FDR[21],"",0,1)</f>
        <v>4</v>
      </c>
      <c r="AH315" cm="1">
        <f t="array" ref="AH315">_xlfn.XLOOKUP(Matrix[[#This Row],[TEAM]]&amp;Matrix[[#Headers],[22]],FDR[FDR]&amp;FDR[[#Headers],[22]],FDR[22],"",0,1)</f>
        <v>2</v>
      </c>
      <c r="AI315" cm="1">
        <f t="array" ref="AI315">_xlfn.XLOOKUP(Matrix[[#This Row],[TEAM]]&amp;Matrix[[#Headers],[23]],FDR[FDR]&amp;FDR[[#Headers],[23]],FDR[23],"",0,1)</f>
        <v>3</v>
      </c>
      <c r="AJ315" cm="1">
        <f t="array" ref="AJ315">_xlfn.XLOOKUP(Matrix[[#This Row],[TEAM]]&amp;Matrix[[#Headers],[24]],FDR[FDR]&amp;FDR[[#Headers],[24]],FDR[24],"",0,1)</f>
        <v>5</v>
      </c>
      <c r="AK315" cm="1">
        <f t="array" ref="AK315">_xlfn.XLOOKUP(Matrix[[#This Row],[TEAM]]&amp;Matrix[[#Headers],[25]],FDR[FDR]&amp;FDR[[#Headers],[25]],FDR[25],"",0,1)</f>
        <v>2</v>
      </c>
      <c r="AL315" cm="1">
        <f t="array" ref="AL315">_xlfn.XLOOKUP(Matrix[[#This Row],[TEAM]]&amp;Matrix[[#Headers],[26]],FDR[FDR]&amp;FDR[[#Headers],[26]],FDR[26],"",0,1)</f>
        <v>5</v>
      </c>
      <c r="AM315" cm="1">
        <f t="array" ref="AM315">_xlfn.XLOOKUP(Matrix[[#This Row],[TEAM]]&amp;Matrix[[#Headers],[27]],FDR[FDR]&amp;FDR[[#Headers],[27]],FDR[27],"",0,1)</f>
        <v>2</v>
      </c>
      <c r="AN315" cm="1">
        <f t="array" ref="AN315">_xlfn.XLOOKUP(Matrix[[#This Row],[TEAM]]&amp;Matrix[[#Headers],[28]],FDR[FDR]&amp;FDR[[#Headers],[28]],FDR[28],"",0,1)</f>
        <v>4</v>
      </c>
      <c r="AO315" cm="1">
        <f t="array" ref="AO315">_xlfn.XLOOKUP(Matrix[[#This Row],[TEAM]]&amp;Matrix[[#Headers],[29]],FDR[FDR]&amp;FDR[[#Headers],[29]],FDR[29],"",0,1)</f>
        <v>2</v>
      </c>
      <c r="AP315" cm="1">
        <f t="array" ref="AP315">_xlfn.XLOOKUP(Matrix[[#This Row],[TEAM]]&amp;Matrix[[#Headers],[30]],FDR[FDR]&amp;FDR[[#Headers],[30]],FDR[30],"",0,1)</f>
        <v>4</v>
      </c>
      <c r="AQ315" cm="1">
        <f t="array" ref="AQ315">_xlfn.XLOOKUP(Matrix[[#This Row],[TEAM]]&amp;Matrix[[#Headers],[31]],FDR[FDR]&amp;FDR[[#Headers],[31]],FDR[31],"",0,1)</f>
        <v>1</v>
      </c>
      <c r="AR315" cm="1">
        <f t="array" ref="AR315">_xlfn.XLOOKUP(Matrix[[#This Row],[TEAM]]&amp;Matrix[[#Headers],[32]],FDR[FDR]&amp;FDR[[#Headers],[32]],FDR[32],"",0,1)</f>
        <v>5</v>
      </c>
      <c r="AS315" cm="1">
        <f t="array" ref="AS315">_xlfn.XLOOKUP(Matrix[[#This Row],[TEAM]]&amp;Matrix[[#Headers],[33]],FDR[FDR]&amp;FDR[[#Headers],[33]],FDR[33],"",0,1)</f>
        <v>3</v>
      </c>
      <c r="AT315" cm="1">
        <f t="array" ref="AT315">_xlfn.XLOOKUP(Matrix[[#This Row],[TEAM]]&amp;Matrix[[#Headers],[34]],FDR[FDR]&amp;FDR[[#Headers],[34]],FDR[34],"",0,1)</f>
        <v>3</v>
      </c>
      <c r="AU315" cm="1">
        <f t="array" ref="AU315">_xlfn.XLOOKUP(Matrix[[#This Row],[TEAM]]&amp;Matrix[[#Headers],[35]],FDR[FDR]&amp;FDR[[#Headers],[35]],FDR[35],"",0,1)</f>
        <v>5</v>
      </c>
      <c r="AV315" cm="1">
        <f t="array" ref="AV315">_xlfn.XLOOKUP(Matrix[[#This Row],[TEAM]]&amp;Matrix[[#Headers],[36]],FDR[FDR]&amp;FDR[[#Headers],[36]],FDR[36],"",0,1)</f>
        <v>3</v>
      </c>
      <c r="AW315" cm="1">
        <f t="array" ref="AW315">_xlfn.XLOOKUP(Matrix[[#This Row],[TEAM]]&amp;Matrix[[#Headers],[37]],FDR[FDR]&amp;FDR[[#Headers],[37]],FDR[37],"",0,1)</f>
        <v>2</v>
      </c>
      <c r="AX315" cm="1">
        <f t="array" ref="AX315">_xlfn.XLOOKUP(Matrix[[#This Row],[TEAM]]&amp;Matrix[[#Headers],[38]],FDR[FDR]&amp;FDR[[#Headers],[38]],FDR[38],"",0,1)</f>
        <v>4</v>
      </c>
    </row>
    <row r="316" spans="1:50" ht="22" thickTop="1" thickBot="1">
      <c r="A316" s="51" t="s">
        <v>657</v>
      </c>
      <c r="B316" s="70" t="s">
        <v>1659</v>
      </c>
      <c r="C316" s="40" t="s">
        <v>19</v>
      </c>
      <c r="D316" s="62">
        <v>51</v>
      </c>
      <c r="E316" s="60">
        <v>6.0000000000000001E-3</v>
      </c>
      <c r="F316" s="61">
        <v>76.099999999999994</v>
      </c>
      <c r="G316" s="63">
        <v>4.5</v>
      </c>
      <c r="H316" s="261">
        <f>IF(ISBLANK(I316),0,1)</f>
        <v>0</v>
      </c>
      <c r="I316" s="57"/>
      <c r="J316" s="58"/>
      <c r="K316" s="65" t="s">
        <v>562</v>
      </c>
      <c r="L316" s="65" t="s">
        <v>170</v>
      </c>
      <c r="M316" cm="1">
        <f t="array" ref="M316">_xlfn.XLOOKUP(Matrix[[#This Row],[TEAM]]&amp;Matrix[[#Headers],[1]],FDR[FDR]&amp;FDR[[#Headers],[1]],FDR[1],"",0,1)</f>
        <v>1</v>
      </c>
      <c r="N316" cm="1">
        <f t="array" ref="N316">_xlfn.XLOOKUP(Matrix[[#This Row],[TEAM]]&amp;Matrix[[#Headers],[2]],FDR[FDR]&amp;FDR[[#Headers],[2]],FDR[2],"",0,1)</f>
        <v>4</v>
      </c>
      <c r="O316" cm="1">
        <f t="array" ref="O316">_xlfn.XLOOKUP(Matrix[[#This Row],[TEAM]]&amp;Matrix[[#Headers],[3]],FDR[FDR]&amp;FDR[[#Headers],[3]],FDR[3],"",0,1)</f>
        <v>1</v>
      </c>
      <c r="P316" cm="1">
        <f t="array" ref="P316">_xlfn.XLOOKUP(Matrix[[#This Row],[TEAM]]&amp;Matrix[[#Headers],[4]],FDR[FDR]&amp;FDR[[#Headers],[4]],FDR[4],"",0,1)</f>
        <v>2</v>
      </c>
      <c r="Q316" cm="1">
        <f t="array" ref="Q316">_xlfn.XLOOKUP(Matrix[[#This Row],[TEAM]]&amp;Matrix[[#Headers],[5]],FDR[FDR]&amp;FDR[[#Headers],[5]],FDR[5],"",0,1)</f>
        <v>2</v>
      </c>
      <c r="R316" cm="1">
        <f t="array" ref="R316">_xlfn.XLOOKUP(Matrix[[#This Row],[TEAM]]&amp;Matrix[[#Headers],[6]],FDR[FDR]&amp;FDR[[#Headers],[6]],FDR[6],"",0,1)</f>
        <v>1</v>
      </c>
      <c r="S316" cm="1">
        <f t="array" ref="S316">_xlfn.XLOOKUP(Matrix[[#This Row],[TEAM]]&amp;Matrix[[#Headers],[7]],FDR[FDR]&amp;FDR[[#Headers],[7]],FDR[7],"",0,1)</f>
        <v>1</v>
      </c>
      <c r="T316" cm="1">
        <f t="array" ref="T316">_xlfn.XLOOKUP(Matrix[[#This Row],[TEAM]]&amp;Matrix[[#Headers],[8]],FDR[FDR]&amp;FDR[[#Headers],[8]],FDR[8],"",0,1)</f>
        <v>2</v>
      </c>
      <c r="U316" cm="1">
        <f t="array" ref="U316">_xlfn.XLOOKUP(Matrix[[#This Row],[TEAM]]&amp;Matrix[[#Headers],[9]],FDR[FDR]&amp;FDR[[#Headers],[9]],FDR[9],"",0,1)</f>
        <v>2</v>
      </c>
      <c r="V316" cm="1">
        <f t="array" ref="V316">_xlfn.XLOOKUP(Matrix[[#This Row],[TEAM]]&amp;Matrix[[#Headers],[10]],FDR[FDR]&amp;FDR[[#Headers],[10]],FDR[10],"",0,1)</f>
        <v>3</v>
      </c>
      <c r="W316" cm="1">
        <f t="array" ref="W316">_xlfn.XLOOKUP(Matrix[[#This Row],[TEAM]]&amp;Matrix[[#Headers],[11]],FDR[FDR]&amp;FDR[[#Headers],[11]],FDR[11],"",0,1)</f>
        <v>3</v>
      </c>
      <c r="X316" cm="1">
        <f t="array" ref="X316">_xlfn.XLOOKUP(Matrix[[#This Row],[TEAM]]&amp;Matrix[[#Headers],[12]],FDR[FDR]&amp;FDR[[#Headers],[12]],FDR[12],"",0,1)</f>
        <v>4</v>
      </c>
      <c r="Y316" cm="1">
        <f t="array" ref="Y316">_xlfn.XLOOKUP(Matrix[[#This Row],[TEAM]]&amp;Matrix[[#Headers],[13]],FDR[FDR]&amp;FDR[[#Headers],[13]],FDR[13],"",0,1)</f>
        <v>1</v>
      </c>
      <c r="Z316" cm="1">
        <f t="array" ref="Z316">_xlfn.XLOOKUP(Matrix[[#This Row],[TEAM]]&amp;Matrix[[#Headers],[14]],FDR[FDR]&amp;FDR[[#Headers],[14]],FDR[14],"",0,1)</f>
        <v>3</v>
      </c>
      <c r="AA316" cm="1">
        <f t="array" ref="AA316">_xlfn.XLOOKUP(Matrix[[#This Row],[TEAM]]&amp;Matrix[[#Headers],[15]],FDR[FDR]&amp;FDR[[#Headers],[15]],FDR[15],"",0,1)</f>
        <v>1</v>
      </c>
      <c r="AB316" cm="1">
        <f t="array" ref="AB316">_xlfn.XLOOKUP(Matrix[[#This Row],[TEAM]]&amp;Matrix[[#Headers],[16]],FDR[FDR]&amp;FDR[[#Headers],[16]],FDR[16],"",0,1)</f>
        <v>2</v>
      </c>
      <c r="AC316" cm="1">
        <f t="array" ref="AC316">_xlfn.XLOOKUP(Matrix[[#This Row],[TEAM]]&amp;Matrix[[#Headers],[17]],FDR[FDR]&amp;FDR[[#Headers],[17]],FDR[17],"",0,1)</f>
        <v>3</v>
      </c>
      <c r="AD316" cm="1">
        <f t="array" ref="AD316">_xlfn.XLOOKUP(Matrix[[#This Row],[TEAM]]&amp;Matrix[[#Headers],[18]],FDR[FDR]&amp;FDR[[#Headers],[18]],FDR[18],"",0,1)</f>
        <v>2</v>
      </c>
      <c r="AE316" cm="1">
        <f t="array" ref="AE316">_xlfn.XLOOKUP(Matrix[[#This Row],[TEAM]]&amp;Matrix[[#Headers],[19]],FDR[FDR]&amp;FDR[[#Headers],[19]],FDR[19],"",0,1)</f>
        <v>2</v>
      </c>
      <c r="AF316" cm="1">
        <f t="array" ref="AF316">_xlfn.XLOOKUP(Matrix[[#This Row],[TEAM]]&amp;Matrix[[#Headers],[20]],FDR[FDR]&amp;FDR[[#Headers],[20]],FDR[20],"",0,1)</f>
        <v>1</v>
      </c>
      <c r="AG316" cm="1">
        <f t="array" ref="AG316">_xlfn.XLOOKUP(Matrix[[#This Row],[TEAM]]&amp;Matrix[[#Headers],[21]],FDR[FDR]&amp;FDR[[#Headers],[21]],FDR[21],"",0,1)</f>
        <v>2</v>
      </c>
      <c r="AH316" cm="1">
        <f t="array" ref="AH316">_xlfn.XLOOKUP(Matrix[[#This Row],[TEAM]]&amp;Matrix[[#Headers],[22]],FDR[FDR]&amp;FDR[[#Headers],[22]],FDR[22],"",0,1)</f>
        <v>1</v>
      </c>
      <c r="AI316" cm="1">
        <f t="array" ref="AI316">_xlfn.XLOOKUP(Matrix[[#This Row],[TEAM]]&amp;Matrix[[#Headers],[23]],FDR[FDR]&amp;FDR[[#Headers],[23]],FDR[23],"",0,1)</f>
        <v>1</v>
      </c>
      <c r="AJ316" cm="1">
        <f t="array" ref="AJ316">_xlfn.XLOOKUP(Matrix[[#This Row],[TEAM]]&amp;Matrix[[#Headers],[24]],FDR[FDR]&amp;FDR[[#Headers],[24]],FDR[24],"",0,1)</f>
        <v>3</v>
      </c>
      <c r="AK316" cm="1">
        <f t="array" ref="AK316">_xlfn.XLOOKUP(Matrix[[#This Row],[TEAM]]&amp;Matrix[[#Headers],[25]],FDR[FDR]&amp;FDR[[#Headers],[25]],FDR[25],"",0,1)</f>
        <v>4</v>
      </c>
      <c r="AL316" cm="1">
        <f t="array" ref="AL316">_xlfn.XLOOKUP(Matrix[[#This Row],[TEAM]]&amp;Matrix[[#Headers],[26]],FDR[FDR]&amp;FDR[[#Headers],[26]],FDR[26],"",0,1)</f>
        <v>2</v>
      </c>
      <c r="AM316" cm="1">
        <f t="array" ref="AM316">_xlfn.XLOOKUP(Matrix[[#This Row],[TEAM]]&amp;Matrix[[#Headers],[27]],FDR[FDR]&amp;FDR[[#Headers],[27]],FDR[27],"",0,1)</f>
        <v>3</v>
      </c>
      <c r="AN316" cm="1">
        <f t="array" ref="AN316">_xlfn.XLOOKUP(Matrix[[#This Row],[TEAM]]&amp;Matrix[[#Headers],[28]],FDR[FDR]&amp;FDR[[#Headers],[28]],FDR[28],"",0,1)</f>
        <v>2</v>
      </c>
      <c r="AO316" cm="1">
        <f t="array" ref="AO316">_xlfn.XLOOKUP(Matrix[[#This Row],[TEAM]]&amp;Matrix[[#Headers],[29]],FDR[FDR]&amp;FDR[[#Headers],[29]],FDR[29],"",0,1)</f>
        <v>1</v>
      </c>
      <c r="AP316" cm="1">
        <f t="array" ref="AP316">_xlfn.XLOOKUP(Matrix[[#This Row],[TEAM]]&amp;Matrix[[#Headers],[30]],FDR[FDR]&amp;FDR[[#Headers],[30]],FDR[30],"",0,1)</f>
        <v>4</v>
      </c>
      <c r="AQ316" cm="1">
        <f t="array" ref="AQ316">_xlfn.XLOOKUP(Matrix[[#This Row],[TEAM]]&amp;Matrix[[#Headers],[31]],FDR[FDR]&amp;FDR[[#Headers],[31]],FDR[31],"",0,1)</f>
        <v>1</v>
      </c>
      <c r="AR316" cm="1">
        <f t="array" ref="AR316">_xlfn.XLOOKUP(Matrix[[#This Row],[TEAM]]&amp;Matrix[[#Headers],[32]],FDR[FDR]&amp;FDR[[#Headers],[32]],FDR[32],"",0,1)</f>
        <v>1</v>
      </c>
      <c r="AS316" cm="1">
        <f t="array" ref="AS316">_xlfn.XLOOKUP(Matrix[[#This Row],[TEAM]]&amp;Matrix[[#Headers],[33]],FDR[FDR]&amp;FDR[[#Headers],[33]],FDR[33],"",0,1)</f>
        <v>1</v>
      </c>
      <c r="AT316" cm="1">
        <f t="array" ref="AT316">_xlfn.XLOOKUP(Matrix[[#This Row],[TEAM]]&amp;Matrix[[#Headers],[34]],FDR[FDR]&amp;FDR[[#Headers],[34]],FDR[34],"",0,1)</f>
        <v>1</v>
      </c>
      <c r="AU316" cm="1">
        <f t="array" ref="AU316">_xlfn.XLOOKUP(Matrix[[#This Row],[TEAM]]&amp;Matrix[[#Headers],[35]],FDR[FDR]&amp;FDR[[#Headers],[35]],FDR[35],"",0,1)</f>
        <v>3</v>
      </c>
      <c r="AV316" cm="1">
        <f t="array" ref="AV316">_xlfn.XLOOKUP(Matrix[[#This Row],[TEAM]]&amp;Matrix[[#Headers],[36]],FDR[FDR]&amp;FDR[[#Headers],[36]],FDR[36],"",0,1)</f>
        <v>1</v>
      </c>
      <c r="AW316" cm="1">
        <f t="array" ref="AW316">_xlfn.XLOOKUP(Matrix[[#This Row],[TEAM]]&amp;Matrix[[#Headers],[37]],FDR[FDR]&amp;FDR[[#Headers],[37]],FDR[37],"",0,1)</f>
        <v>4</v>
      </c>
      <c r="AX316" cm="1">
        <f t="array" ref="AX316">_xlfn.XLOOKUP(Matrix[[#This Row],[TEAM]]&amp;Matrix[[#Headers],[38]],FDR[FDR]&amp;FDR[[#Headers],[38]],FDR[38],"",0,1)</f>
        <v>1</v>
      </c>
    </row>
    <row r="317" spans="1:50" ht="22" thickTop="1" thickBot="1">
      <c r="A317" s="51" t="s">
        <v>657</v>
      </c>
      <c r="B317" s="70" t="s">
        <v>1705</v>
      </c>
      <c r="C317" s="40" t="s">
        <v>23</v>
      </c>
      <c r="D317" s="62">
        <v>49</v>
      </c>
      <c r="E317" s="60">
        <v>2E-3</v>
      </c>
      <c r="F317" s="61">
        <v>73.099999999999994</v>
      </c>
      <c r="G317" s="63">
        <v>4.5</v>
      </c>
      <c r="H317" s="261">
        <f>IF(ISBLANK(I317),0,1)</f>
        <v>0</v>
      </c>
      <c r="I317" s="57"/>
      <c r="J317" s="58"/>
      <c r="K317" s="65" t="s">
        <v>443</v>
      </c>
      <c r="L317" s="65" t="s">
        <v>129</v>
      </c>
      <c r="M317" cm="1">
        <f t="array" ref="M317">_xlfn.XLOOKUP(Matrix[[#This Row],[TEAM]]&amp;Matrix[[#Headers],[1]],FDR[FDR]&amp;FDR[[#Headers],[1]],FDR[1],"",0,1)</f>
        <v>4</v>
      </c>
      <c r="N317" cm="1">
        <f t="array" ref="N317">_xlfn.XLOOKUP(Matrix[[#This Row],[TEAM]]&amp;Matrix[[#Headers],[2]],FDR[FDR]&amp;FDR[[#Headers],[2]],FDR[2],"",0,1)</f>
        <v>4</v>
      </c>
      <c r="O317" cm="1">
        <f t="array" ref="O317">_xlfn.XLOOKUP(Matrix[[#This Row],[TEAM]]&amp;Matrix[[#Headers],[3]],FDR[FDR]&amp;FDR[[#Headers],[3]],FDR[3],"",0,1)</f>
        <v>5</v>
      </c>
      <c r="P317" cm="1">
        <f t="array" ref="P317">_xlfn.XLOOKUP(Matrix[[#This Row],[TEAM]]&amp;Matrix[[#Headers],[4]],FDR[FDR]&amp;FDR[[#Headers],[4]],FDR[4],"",0,1)</f>
        <v>1</v>
      </c>
      <c r="Q317" cm="1">
        <f t="array" ref="Q317">_xlfn.XLOOKUP(Matrix[[#This Row],[TEAM]]&amp;Matrix[[#Headers],[5]],FDR[FDR]&amp;FDR[[#Headers],[5]],FDR[5],"",0,1)</f>
        <v>2</v>
      </c>
      <c r="R317" cm="1">
        <f t="array" ref="R317">_xlfn.XLOOKUP(Matrix[[#This Row],[TEAM]]&amp;Matrix[[#Headers],[6]],FDR[FDR]&amp;FDR[[#Headers],[6]],FDR[6],"",0,1)</f>
        <v>5</v>
      </c>
      <c r="S317" cm="1">
        <f t="array" ref="S317">_xlfn.XLOOKUP(Matrix[[#This Row],[TEAM]]&amp;Matrix[[#Headers],[7]],FDR[FDR]&amp;FDR[[#Headers],[7]],FDR[7],"",0,1)</f>
        <v>4</v>
      </c>
      <c r="T317" cm="1">
        <f t="array" ref="T317">_xlfn.XLOOKUP(Matrix[[#This Row],[TEAM]]&amp;Matrix[[#Headers],[8]],FDR[FDR]&amp;FDR[[#Headers],[8]],FDR[8],"",0,1)</f>
        <v>4</v>
      </c>
      <c r="U317" cm="1">
        <f t="array" ref="U317">_xlfn.XLOOKUP(Matrix[[#This Row],[TEAM]]&amp;Matrix[[#Headers],[9]],FDR[FDR]&amp;FDR[[#Headers],[9]],FDR[9],"",0,1)</f>
        <v>5</v>
      </c>
      <c r="V317" cm="1">
        <f t="array" ref="V317">_xlfn.XLOOKUP(Matrix[[#This Row],[TEAM]]&amp;Matrix[[#Headers],[10]],FDR[FDR]&amp;FDR[[#Headers],[10]],FDR[10],"",0,1)</f>
        <v>1</v>
      </c>
      <c r="W317" cm="1">
        <f t="array" ref="W317">_xlfn.XLOOKUP(Matrix[[#This Row],[TEAM]]&amp;Matrix[[#Headers],[11]],FDR[FDR]&amp;FDR[[#Headers],[11]],FDR[11],"",0,1)</f>
        <v>3</v>
      </c>
      <c r="X317" cm="1">
        <f t="array" ref="X317">_xlfn.XLOOKUP(Matrix[[#This Row],[TEAM]]&amp;Matrix[[#Headers],[12]],FDR[FDR]&amp;FDR[[#Headers],[12]],FDR[12],"",0,1)</f>
        <v>1</v>
      </c>
      <c r="Y317" cm="1">
        <f t="array" ref="Y317">_xlfn.XLOOKUP(Matrix[[#This Row],[TEAM]]&amp;Matrix[[#Headers],[13]],FDR[FDR]&amp;FDR[[#Headers],[13]],FDR[13],"",0,1)</f>
        <v>5</v>
      </c>
      <c r="Z317" cm="1">
        <f t="array" ref="Z317">_xlfn.XLOOKUP(Matrix[[#This Row],[TEAM]]&amp;Matrix[[#Headers],[14]],FDR[FDR]&amp;FDR[[#Headers],[14]],FDR[14],"",0,1)</f>
        <v>4</v>
      </c>
      <c r="AA317" cm="1">
        <f t="array" ref="AA317">_xlfn.XLOOKUP(Matrix[[#This Row],[TEAM]]&amp;Matrix[[#Headers],[15]],FDR[FDR]&amp;FDR[[#Headers],[15]],FDR[15],"",0,1)</f>
        <v>2</v>
      </c>
      <c r="AB317" cm="1">
        <f t="array" ref="AB317">_xlfn.XLOOKUP(Matrix[[#This Row],[TEAM]]&amp;Matrix[[#Headers],[16]],FDR[FDR]&amp;FDR[[#Headers],[16]],FDR[16],"",0,1)</f>
        <v>2</v>
      </c>
      <c r="AC317" cm="1">
        <f t="array" ref="AC317">_xlfn.XLOOKUP(Matrix[[#This Row],[TEAM]]&amp;Matrix[[#Headers],[17]],FDR[FDR]&amp;FDR[[#Headers],[17]],FDR[17],"",0,1)</f>
        <v>3</v>
      </c>
      <c r="AD317" cm="1">
        <f t="array" ref="AD317">_xlfn.XLOOKUP(Matrix[[#This Row],[TEAM]]&amp;Matrix[[#Headers],[18]],FDR[FDR]&amp;FDR[[#Headers],[18]],FDR[18],"",0,1)</f>
        <v>3</v>
      </c>
      <c r="AE317" cm="1">
        <f t="array" ref="AE317">_xlfn.XLOOKUP(Matrix[[#This Row],[TEAM]]&amp;Matrix[[#Headers],[19]],FDR[FDR]&amp;FDR[[#Headers],[19]],FDR[19],"",0,1)</f>
        <v>3</v>
      </c>
      <c r="AF317" cm="1">
        <f t="array" ref="AF317">_xlfn.XLOOKUP(Matrix[[#This Row],[TEAM]]&amp;Matrix[[#Headers],[20]],FDR[FDR]&amp;FDR[[#Headers],[20]],FDR[20],"",0,1)</f>
        <v>4</v>
      </c>
      <c r="AG317" cm="1">
        <f t="array" ref="AG317">_xlfn.XLOOKUP(Matrix[[#This Row],[TEAM]]&amp;Matrix[[#Headers],[21]],FDR[FDR]&amp;FDR[[#Headers],[21]],FDR[21],"",0,1)</f>
        <v>4</v>
      </c>
      <c r="AH317" cm="1">
        <f t="array" ref="AH317">_xlfn.XLOOKUP(Matrix[[#This Row],[TEAM]]&amp;Matrix[[#Headers],[22]],FDR[FDR]&amp;FDR[[#Headers],[22]],FDR[22],"",0,1)</f>
        <v>2</v>
      </c>
      <c r="AI317" cm="1">
        <f t="array" ref="AI317">_xlfn.XLOOKUP(Matrix[[#This Row],[TEAM]]&amp;Matrix[[#Headers],[23]],FDR[FDR]&amp;FDR[[#Headers],[23]],FDR[23],"",0,1)</f>
        <v>3</v>
      </c>
      <c r="AJ317" cm="1">
        <f t="array" ref="AJ317">_xlfn.XLOOKUP(Matrix[[#This Row],[TEAM]]&amp;Matrix[[#Headers],[24]],FDR[FDR]&amp;FDR[[#Headers],[24]],FDR[24],"",0,1)</f>
        <v>5</v>
      </c>
      <c r="AK317" cm="1">
        <f t="array" ref="AK317">_xlfn.XLOOKUP(Matrix[[#This Row],[TEAM]]&amp;Matrix[[#Headers],[25]],FDR[FDR]&amp;FDR[[#Headers],[25]],FDR[25],"",0,1)</f>
        <v>2</v>
      </c>
      <c r="AL317" cm="1">
        <f t="array" ref="AL317">_xlfn.XLOOKUP(Matrix[[#This Row],[TEAM]]&amp;Matrix[[#Headers],[26]],FDR[FDR]&amp;FDR[[#Headers],[26]],FDR[26],"",0,1)</f>
        <v>5</v>
      </c>
      <c r="AM317" cm="1">
        <f t="array" ref="AM317">_xlfn.XLOOKUP(Matrix[[#This Row],[TEAM]]&amp;Matrix[[#Headers],[27]],FDR[FDR]&amp;FDR[[#Headers],[27]],FDR[27],"",0,1)</f>
        <v>2</v>
      </c>
      <c r="AN317" cm="1">
        <f t="array" ref="AN317">_xlfn.XLOOKUP(Matrix[[#This Row],[TEAM]]&amp;Matrix[[#Headers],[28]],FDR[FDR]&amp;FDR[[#Headers],[28]],FDR[28],"",0,1)</f>
        <v>4</v>
      </c>
      <c r="AO317" cm="1">
        <f t="array" ref="AO317">_xlfn.XLOOKUP(Matrix[[#This Row],[TEAM]]&amp;Matrix[[#Headers],[29]],FDR[FDR]&amp;FDR[[#Headers],[29]],FDR[29],"",0,1)</f>
        <v>2</v>
      </c>
      <c r="AP317" cm="1">
        <f t="array" ref="AP317">_xlfn.XLOOKUP(Matrix[[#This Row],[TEAM]]&amp;Matrix[[#Headers],[30]],FDR[FDR]&amp;FDR[[#Headers],[30]],FDR[30],"",0,1)</f>
        <v>4</v>
      </c>
      <c r="AQ317" cm="1">
        <f t="array" ref="AQ317">_xlfn.XLOOKUP(Matrix[[#This Row],[TEAM]]&amp;Matrix[[#Headers],[31]],FDR[FDR]&amp;FDR[[#Headers],[31]],FDR[31],"",0,1)</f>
        <v>1</v>
      </c>
      <c r="AR317" cm="1">
        <f t="array" ref="AR317">_xlfn.XLOOKUP(Matrix[[#This Row],[TEAM]]&amp;Matrix[[#Headers],[32]],FDR[FDR]&amp;FDR[[#Headers],[32]],FDR[32],"",0,1)</f>
        <v>5</v>
      </c>
      <c r="AS317" cm="1">
        <f t="array" ref="AS317">_xlfn.XLOOKUP(Matrix[[#This Row],[TEAM]]&amp;Matrix[[#Headers],[33]],FDR[FDR]&amp;FDR[[#Headers],[33]],FDR[33],"",0,1)</f>
        <v>3</v>
      </c>
      <c r="AT317" cm="1">
        <f t="array" ref="AT317">_xlfn.XLOOKUP(Matrix[[#This Row],[TEAM]]&amp;Matrix[[#Headers],[34]],FDR[FDR]&amp;FDR[[#Headers],[34]],FDR[34],"",0,1)</f>
        <v>3</v>
      </c>
      <c r="AU317" cm="1">
        <f t="array" ref="AU317">_xlfn.XLOOKUP(Matrix[[#This Row],[TEAM]]&amp;Matrix[[#Headers],[35]],FDR[FDR]&amp;FDR[[#Headers],[35]],FDR[35],"",0,1)</f>
        <v>5</v>
      </c>
      <c r="AV317" cm="1">
        <f t="array" ref="AV317">_xlfn.XLOOKUP(Matrix[[#This Row],[TEAM]]&amp;Matrix[[#Headers],[36]],FDR[FDR]&amp;FDR[[#Headers],[36]],FDR[36],"",0,1)</f>
        <v>3</v>
      </c>
      <c r="AW317" cm="1">
        <f t="array" ref="AW317">_xlfn.XLOOKUP(Matrix[[#This Row],[TEAM]]&amp;Matrix[[#Headers],[37]],FDR[FDR]&amp;FDR[[#Headers],[37]],FDR[37],"",0,1)</f>
        <v>2</v>
      </c>
      <c r="AX317" cm="1">
        <f t="array" ref="AX317">_xlfn.XLOOKUP(Matrix[[#This Row],[TEAM]]&amp;Matrix[[#Headers],[38]],FDR[FDR]&amp;FDR[[#Headers],[38]],FDR[38],"",0,1)</f>
        <v>4</v>
      </c>
    </row>
    <row r="318" spans="1:50" ht="22" thickTop="1" thickBot="1">
      <c r="A318" s="51" t="s">
        <v>657</v>
      </c>
      <c r="B318" s="70" t="s">
        <v>1682</v>
      </c>
      <c r="C318" s="40" t="s">
        <v>24</v>
      </c>
      <c r="D318" s="62">
        <v>48</v>
      </c>
      <c r="E318" s="60">
        <v>3.0000000000000001E-3</v>
      </c>
      <c r="F318" s="61">
        <v>45.4</v>
      </c>
      <c r="G318" s="63">
        <v>4.5</v>
      </c>
      <c r="H318" s="261">
        <f>IF(ISBLANK(I318),0,1)</f>
        <v>0</v>
      </c>
      <c r="I318" s="57"/>
      <c r="J318" s="58"/>
      <c r="K318" s="65" t="s">
        <v>386</v>
      </c>
      <c r="L318" s="65" t="s">
        <v>152</v>
      </c>
      <c r="M318" cm="1">
        <f t="array" ref="M318">_xlfn.XLOOKUP(Matrix[[#This Row],[TEAM]]&amp;Matrix[[#Headers],[1]],FDR[FDR]&amp;FDR[[#Headers],[1]],FDR[1],"",0,1)</f>
        <v>2</v>
      </c>
      <c r="N318" cm="1">
        <f t="array" ref="N318">_xlfn.XLOOKUP(Matrix[[#This Row],[TEAM]]&amp;Matrix[[#Headers],[2]],FDR[FDR]&amp;FDR[[#Headers],[2]],FDR[2],"",0,1)</f>
        <v>3</v>
      </c>
      <c r="O318" cm="1">
        <f t="array" ref="O318">_xlfn.XLOOKUP(Matrix[[#This Row],[TEAM]]&amp;Matrix[[#Headers],[3]],FDR[FDR]&amp;FDR[[#Headers],[3]],FDR[3],"",0,1)</f>
        <v>2</v>
      </c>
      <c r="P318" cm="1">
        <f t="array" ref="P318">_xlfn.XLOOKUP(Matrix[[#This Row],[TEAM]]&amp;Matrix[[#Headers],[4]],FDR[FDR]&amp;FDR[[#Headers],[4]],FDR[4],"",0,1)</f>
        <v>4</v>
      </c>
      <c r="Q318" cm="1">
        <f t="array" ref="Q318">_xlfn.XLOOKUP(Matrix[[#This Row],[TEAM]]&amp;Matrix[[#Headers],[5]],FDR[FDR]&amp;FDR[[#Headers],[5]],FDR[5],"",0,1)</f>
        <v>5</v>
      </c>
      <c r="R318" cm="1">
        <f t="array" ref="R318">_xlfn.XLOOKUP(Matrix[[#This Row],[TEAM]]&amp;Matrix[[#Headers],[6]],FDR[FDR]&amp;FDR[[#Headers],[6]],FDR[6],"",0,1)</f>
        <v>3</v>
      </c>
      <c r="S318" cm="1">
        <f t="array" ref="S318">_xlfn.XLOOKUP(Matrix[[#This Row],[TEAM]]&amp;Matrix[[#Headers],[7]],FDR[FDR]&amp;FDR[[#Headers],[7]],FDR[7],"",0,1)</f>
        <v>3</v>
      </c>
      <c r="T318" cm="1">
        <f t="array" ref="T318">_xlfn.XLOOKUP(Matrix[[#This Row],[TEAM]]&amp;Matrix[[#Headers],[8]],FDR[FDR]&amp;FDR[[#Headers],[8]],FDR[8],"",0,1)</f>
        <v>5</v>
      </c>
      <c r="U318" cm="1">
        <f t="array" ref="U318">_xlfn.XLOOKUP(Matrix[[#This Row],[TEAM]]&amp;Matrix[[#Headers],[9]],FDR[FDR]&amp;FDR[[#Headers],[9]],FDR[9],"",0,1)</f>
        <v>4</v>
      </c>
      <c r="V318" cm="1">
        <f t="array" ref="V318">_xlfn.XLOOKUP(Matrix[[#This Row],[TEAM]]&amp;Matrix[[#Headers],[10]],FDR[FDR]&amp;FDR[[#Headers],[10]],FDR[10],"",0,1)</f>
        <v>2</v>
      </c>
      <c r="W318" cm="1">
        <f t="array" ref="W318">_xlfn.XLOOKUP(Matrix[[#This Row],[TEAM]]&amp;Matrix[[#Headers],[11]],FDR[FDR]&amp;FDR[[#Headers],[11]],FDR[11],"",0,1)</f>
        <v>3</v>
      </c>
      <c r="X318" cm="1">
        <f t="array" ref="X318">_xlfn.XLOOKUP(Matrix[[#This Row],[TEAM]]&amp;Matrix[[#Headers],[12]],FDR[FDR]&amp;FDR[[#Headers],[12]],FDR[12],"",0,1)</f>
        <v>5</v>
      </c>
      <c r="Y318" cm="1">
        <f t="array" ref="Y318">_xlfn.XLOOKUP(Matrix[[#This Row],[TEAM]]&amp;Matrix[[#Headers],[13]],FDR[FDR]&amp;FDR[[#Headers],[13]],FDR[13],"",0,1)</f>
        <v>4</v>
      </c>
      <c r="Z318" cm="1">
        <f t="array" ref="Z318">_xlfn.XLOOKUP(Matrix[[#This Row],[TEAM]]&amp;Matrix[[#Headers],[14]],FDR[FDR]&amp;FDR[[#Headers],[14]],FDR[14],"",0,1)</f>
        <v>4</v>
      </c>
      <c r="AA318" cm="1">
        <f t="array" ref="AA318">_xlfn.XLOOKUP(Matrix[[#This Row],[TEAM]]&amp;Matrix[[#Headers],[15]],FDR[FDR]&amp;FDR[[#Headers],[15]],FDR[15],"",0,1)</f>
        <v>3</v>
      </c>
      <c r="AB318" cm="1">
        <f t="array" ref="AB318">_xlfn.XLOOKUP(Matrix[[#This Row],[TEAM]]&amp;Matrix[[#Headers],[16]],FDR[FDR]&amp;FDR[[#Headers],[16]],FDR[16],"",0,1)</f>
        <v>5</v>
      </c>
      <c r="AC318" cm="1">
        <f t="array" ref="AC318">_xlfn.XLOOKUP(Matrix[[#This Row],[TEAM]]&amp;Matrix[[#Headers],[17]],FDR[FDR]&amp;FDR[[#Headers],[17]],FDR[17],"",0,1)</f>
        <v>4</v>
      </c>
      <c r="AD318" cm="1">
        <f t="array" ref="AD318">_xlfn.XLOOKUP(Matrix[[#This Row],[TEAM]]&amp;Matrix[[#Headers],[18]],FDR[FDR]&amp;FDR[[#Headers],[18]],FDR[18],"",0,1)</f>
        <v>2</v>
      </c>
      <c r="AE318" cm="1">
        <f t="array" ref="AE318">_xlfn.XLOOKUP(Matrix[[#This Row],[TEAM]]&amp;Matrix[[#Headers],[19]],FDR[FDR]&amp;FDR[[#Headers],[19]],FDR[19],"",0,1)</f>
        <v>4</v>
      </c>
      <c r="AF318" cm="1">
        <f t="array" ref="AF318">_xlfn.XLOOKUP(Matrix[[#This Row],[TEAM]]&amp;Matrix[[#Headers],[20]],FDR[FDR]&amp;FDR[[#Headers],[20]],FDR[20],"",0,1)</f>
        <v>3</v>
      </c>
      <c r="AG318" cm="1">
        <f t="array" ref="AG318">_xlfn.XLOOKUP(Matrix[[#This Row],[TEAM]]&amp;Matrix[[#Headers],[21]],FDR[FDR]&amp;FDR[[#Headers],[21]],FDR[21],"",0,1)</f>
        <v>2</v>
      </c>
      <c r="AH318" cm="1">
        <f t="array" ref="AH318">_xlfn.XLOOKUP(Matrix[[#This Row],[TEAM]]&amp;Matrix[[#Headers],[22]],FDR[FDR]&amp;FDR[[#Headers],[22]],FDR[22],"",0,1)</f>
        <v>5</v>
      </c>
      <c r="AI318" cm="1">
        <f t="array" ref="AI318">_xlfn.XLOOKUP(Matrix[[#This Row],[TEAM]]&amp;Matrix[[#Headers],[23]],FDR[FDR]&amp;FDR[[#Headers],[23]],FDR[23],"",0,1)</f>
        <v>1</v>
      </c>
      <c r="AJ318" cm="1">
        <f t="array" ref="AJ318">_xlfn.XLOOKUP(Matrix[[#This Row],[TEAM]]&amp;Matrix[[#Headers],[24]],FDR[FDR]&amp;FDR[[#Headers],[24]],FDR[24],"",0,1)</f>
        <v>4</v>
      </c>
      <c r="AK318" cm="1">
        <f t="array" ref="AK318">_xlfn.XLOOKUP(Matrix[[#This Row],[TEAM]]&amp;Matrix[[#Headers],[25]],FDR[FDR]&amp;FDR[[#Headers],[25]],FDR[25],"",0,1)</f>
        <v>4</v>
      </c>
      <c r="AL318" cm="1">
        <f t="array" ref="AL318">_xlfn.XLOOKUP(Matrix[[#This Row],[TEAM]]&amp;Matrix[[#Headers],[26]],FDR[FDR]&amp;FDR[[#Headers],[26]],FDR[26],"",0,1)</f>
        <v>3</v>
      </c>
      <c r="AM318" cm="1">
        <f t="array" ref="AM318">_xlfn.XLOOKUP(Matrix[[#This Row],[TEAM]]&amp;Matrix[[#Headers],[27]],FDR[FDR]&amp;FDR[[#Headers],[27]],FDR[27],"",0,1)</f>
        <v>4</v>
      </c>
      <c r="AN318" cm="1">
        <f t="array" ref="AN318">_xlfn.XLOOKUP(Matrix[[#This Row],[TEAM]]&amp;Matrix[[#Headers],[28]],FDR[FDR]&amp;FDR[[#Headers],[28]],FDR[28],"",0,1)</f>
        <v>5</v>
      </c>
      <c r="AO318" cm="1">
        <f t="array" ref="AO318">_xlfn.XLOOKUP(Matrix[[#This Row],[TEAM]]&amp;Matrix[[#Headers],[29]],FDR[FDR]&amp;FDR[[#Headers],[29]],FDR[29],"",0,1)</f>
        <v>1</v>
      </c>
      <c r="AP318" cm="1">
        <f t="array" ref="AP318">_xlfn.XLOOKUP(Matrix[[#This Row],[TEAM]]&amp;Matrix[[#Headers],[30]],FDR[FDR]&amp;FDR[[#Headers],[30]],FDR[30],"",0,1)</f>
        <v>5</v>
      </c>
      <c r="AQ318" cm="1">
        <f t="array" ref="AQ318">_xlfn.XLOOKUP(Matrix[[#This Row],[TEAM]]&amp;Matrix[[#Headers],[31]],FDR[FDR]&amp;FDR[[#Headers],[31]],FDR[31],"",0,1)</f>
        <v>4</v>
      </c>
      <c r="AR318" cm="1">
        <f t="array" ref="AR318">_xlfn.XLOOKUP(Matrix[[#This Row],[TEAM]]&amp;Matrix[[#Headers],[32]],FDR[FDR]&amp;FDR[[#Headers],[32]],FDR[32],"",0,1)</f>
        <v>4</v>
      </c>
      <c r="AS318" cm="1">
        <f t="array" ref="AS318">_xlfn.XLOOKUP(Matrix[[#This Row],[TEAM]]&amp;Matrix[[#Headers],[33]],FDR[FDR]&amp;FDR[[#Headers],[33]],FDR[33],"",0,1)</f>
        <v>4</v>
      </c>
      <c r="AT318" cm="1">
        <f t="array" ref="AT318">_xlfn.XLOOKUP(Matrix[[#This Row],[TEAM]]&amp;Matrix[[#Headers],[34]],FDR[FDR]&amp;FDR[[#Headers],[34]],FDR[34],"",0,1)</f>
        <v>4</v>
      </c>
      <c r="AU318" cm="1">
        <f t="array" ref="AU318">_xlfn.XLOOKUP(Matrix[[#This Row],[TEAM]]&amp;Matrix[[#Headers],[35]],FDR[FDR]&amp;FDR[[#Headers],[35]],FDR[35],"",0,1)</f>
        <v>4</v>
      </c>
      <c r="AV318" cm="1">
        <f t="array" ref="AV318">_xlfn.XLOOKUP(Matrix[[#This Row],[TEAM]]&amp;Matrix[[#Headers],[36]],FDR[FDR]&amp;FDR[[#Headers],[36]],FDR[36],"",0,1)</f>
        <v>4</v>
      </c>
      <c r="AW318" cm="1">
        <f t="array" ref="AW318">_xlfn.XLOOKUP(Matrix[[#This Row],[TEAM]]&amp;Matrix[[#Headers],[37]],FDR[FDR]&amp;FDR[[#Headers],[37]],FDR[37],"",0,1)</f>
        <v>1</v>
      </c>
      <c r="AX318" cm="1">
        <f t="array" ref="AX318">_xlfn.XLOOKUP(Matrix[[#This Row],[TEAM]]&amp;Matrix[[#Headers],[38]],FDR[FDR]&amp;FDR[[#Headers],[38]],FDR[38],"",0,1)</f>
        <v>5</v>
      </c>
    </row>
    <row r="319" spans="1:50" ht="22" thickTop="1" thickBot="1">
      <c r="A319" s="51" t="s">
        <v>657</v>
      </c>
      <c r="B319" s="70" t="s">
        <v>1653</v>
      </c>
      <c r="C319" s="40" t="s">
        <v>28</v>
      </c>
      <c r="D319" s="62">
        <v>47</v>
      </c>
      <c r="E319" s="60">
        <v>6.0000000000000001E-3</v>
      </c>
      <c r="F319" s="61">
        <v>34.6</v>
      </c>
      <c r="G319" s="63">
        <v>4.5</v>
      </c>
      <c r="H319" s="261">
        <f>IF(ISBLANK(I319),0,1)</f>
        <v>0</v>
      </c>
      <c r="I319" s="57"/>
      <c r="J319" s="58"/>
      <c r="K319" s="65" t="s">
        <v>389</v>
      </c>
      <c r="L319" s="65" t="s">
        <v>118</v>
      </c>
      <c r="M319" cm="1">
        <f t="array" ref="M319">_xlfn.XLOOKUP(Matrix[[#This Row],[TEAM]]&amp;Matrix[[#Headers],[1]],FDR[FDR]&amp;FDR[[#Headers],[1]],FDR[1],"",0,1)</f>
        <v>3</v>
      </c>
      <c r="N319" cm="1">
        <f t="array" ref="N319">_xlfn.XLOOKUP(Matrix[[#This Row],[TEAM]]&amp;Matrix[[#Headers],[2]],FDR[FDR]&amp;FDR[[#Headers],[2]],FDR[2],"",0,1)</f>
        <v>2</v>
      </c>
      <c r="O319" cm="1">
        <f t="array" ref="O319">_xlfn.XLOOKUP(Matrix[[#This Row],[TEAM]]&amp;Matrix[[#Headers],[3]],FDR[FDR]&amp;FDR[[#Headers],[3]],FDR[3],"",0,1)</f>
        <v>1</v>
      </c>
      <c r="P319" cm="1">
        <f t="array" ref="P319">_xlfn.XLOOKUP(Matrix[[#This Row],[TEAM]]&amp;Matrix[[#Headers],[4]],FDR[FDR]&amp;FDR[[#Headers],[4]],FDR[4],"",0,1)</f>
        <v>2</v>
      </c>
      <c r="Q319" cm="1">
        <f t="array" ref="Q319">_xlfn.XLOOKUP(Matrix[[#This Row],[TEAM]]&amp;Matrix[[#Headers],[5]],FDR[FDR]&amp;FDR[[#Headers],[5]],FDR[5],"",0,1)</f>
        <v>1</v>
      </c>
      <c r="R319" cm="1">
        <f t="array" ref="R319">_xlfn.XLOOKUP(Matrix[[#This Row],[TEAM]]&amp;Matrix[[#Headers],[6]],FDR[FDR]&amp;FDR[[#Headers],[6]],FDR[6],"",0,1)</f>
        <v>2</v>
      </c>
      <c r="S319" cm="1">
        <f t="array" ref="S319">_xlfn.XLOOKUP(Matrix[[#This Row],[TEAM]]&amp;Matrix[[#Headers],[7]],FDR[FDR]&amp;FDR[[#Headers],[7]],FDR[7],"",0,1)</f>
        <v>1</v>
      </c>
      <c r="T319" cm="1">
        <f t="array" ref="T319">_xlfn.XLOOKUP(Matrix[[#This Row],[TEAM]]&amp;Matrix[[#Headers],[8]],FDR[FDR]&amp;FDR[[#Headers],[8]],FDR[8],"",0,1)</f>
        <v>4</v>
      </c>
      <c r="U319" cm="1">
        <f t="array" ref="U319">_xlfn.XLOOKUP(Matrix[[#This Row],[TEAM]]&amp;Matrix[[#Headers],[9]],FDR[FDR]&amp;FDR[[#Headers],[9]],FDR[9],"",0,1)</f>
        <v>3</v>
      </c>
      <c r="V319" cm="1">
        <f t="array" ref="V319">_xlfn.XLOOKUP(Matrix[[#This Row],[TEAM]]&amp;Matrix[[#Headers],[10]],FDR[FDR]&amp;FDR[[#Headers],[10]],FDR[10],"",0,1)</f>
        <v>4</v>
      </c>
      <c r="W319" cm="1">
        <f t="array" ref="W319">_xlfn.XLOOKUP(Matrix[[#This Row],[TEAM]]&amp;Matrix[[#Headers],[11]],FDR[FDR]&amp;FDR[[#Headers],[11]],FDR[11],"",0,1)</f>
        <v>2</v>
      </c>
      <c r="X319" cm="1">
        <f t="array" ref="X319">_xlfn.XLOOKUP(Matrix[[#This Row],[TEAM]]&amp;Matrix[[#Headers],[12]],FDR[FDR]&amp;FDR[[#Headers],[12]],FDR[12],"",0,1)</f>
        <v>1</v>
      </c>
      <c r="Y319" cm="1">
        <f t="array" ref="Y319">_xlfn.XLOOKUP(Matrix[[#This Row],[TEAM]]&amp;Matrix[[#Headers],[13]],FDR[FDR]&amp;FDR[[#Headers],[13]],FDR[13],"",0,1)</f>
        <v>1</v>
      </c>
      <c r="Z319" cm="1">
        <f t="array" ref="Z319">_xlfn.XLOOKUP(Matrix[[#This Row],[TEAM]]&amp;Matrix[[#Headers],[14]],FDR[FDR]&amp;FDR[[#Headers],[14]],FDR[14],"",0,1)</f>
        <v>3</v>
      </c>
      <c r="AA319" cm="1">
        <f t="array" ref="AA319">_xlfn.XLOOKUP(Matrix[[#This Row],[TEAM]]&amp;Matrix[[#Headers],[15]],FDR[FDR]&amp;FDR[[#Headers],[15]],FDR[15],"",0,1)</f>
        <v>3</v>
      </c>
      <c r="AB319" cm="1">
        <f t="array" ref="AB319">_xlfn.XLOOKUP(Matrix[[#This Row],[TEAM]]&amp;Matrix[[#Headers],[16]],FDR[FDR]&amp;FDR[[#Headers],[16]],FDR[16],"",0,1)</f>
        <v>2</v>
      </c>
      <c r="AC319" cm="1">
        <f t="array" ref="AC319">_xlfn.XLOOKUP(Matrix[[#This Row],[TEAM]]&amp;Matrix[[#Headers],[17]],FDR[FDR]&amp;FDR[[#Headers],[17]],FDR[17],"",0,1)</f>
        <v>3</v>
      </c>
      <c r="AD319" cm="1">
        <f t="array" ref="AD319">_xlfn.XLOOKUP(Matrix[[#This Row],[TEAM]]&amp;Matrix[[#Headers],[18]],FDR[FDR]&amp;FDR[[#Headers],[18]],FDR[18],"",0,1)</f>
        <v>4</v>
      </c>
      <c r="AE319" cm="1">
        <f t="array" ref="AE319">_xlfn.XLOOKUP(Matrix[[#This Row],[TEAM]]&amp;Matrix[[#Headers],[19]],FDR[FDR]&amp;FDR[[#Headers],[19]],FDR[19],"",0,1)</f>
        <v>4</v>
      </c>
      <c r="AF319" cm="1">
        <f t="array" ref="AF319">_xlfn.XLOOKUP(Matrix[[#This Row],[TEAM]]&amp;Matrix[[#Headers],[20]],FDR[FDR]&amp;FDR[[#Headers],[20]],FDR[20],"",0,1)</f>
        <v>2</v>
      </c>
      <c r="AG319" cm="1">
        <f t="array" ref="AG319">_xlfn.XLOOKUP(Matrix[[#This Row],[TEAM]]&amp;Matrix[[#Headers],[21]],FDR[FDR]&amp;FDR[[#Headers],[21]],FDR[21],"",0,1)</f>
        <v>2</v>
      </c>
      <c r="AH319" cm="1">
        <f t="array" ref="AH319">_xlfn.XLOOKUP(Matrix[[#This Row],[TEAM]]&amp;Matrix[[#Headers],[22]],FDR[FDR]&amp;FDR[[#Headers],[22]],FDR[22],"",0,1)</f>
        <v>1</v>
      </c>
      <c r="AI319" cm="1">
        <f t="array" ref="AI319">_xlfn.XLOOKUP(Matrix[[#This Row],[TEAM]]&amp;Matrix[[#Headers],[23]],FDR[FDR]&amp;FDR[[#Headers],[23]],FDR[23],"",0,1)</f>
        <v>4</v>
      </c>
      <c r="AJ319" cm="1">
        <f t="array" ref="AJ319">_xlfn.XLOOKUP(Matrix[[#This Row],[TEAM]]&amp;Matrix[[#Headers],[24]],FDR[FDR]&amp;FDR[[#Headers],[24]],FDR[24],"",0,1)</f>
        <v>1</v>
      </c>
      <c r="AK319" cm="1">
        <f t="array" ref="AK319">_xlfn.XLOOKUP(Matrix[[#This Row],[TEAM]]&amp;Matrix[[#Headers],[25]],FDR[FDR]&amp;FDR[[#Headers],[25]],FDR[25],"",0,1)</f>
        <v>3</v>
      </c>
      <c r="AL319" cm="1">
        <f t="array" ref="AL319">_xlfn.XLOOKUP(Matrix[[#This Row],[TEAM]]&amp;Matrix[[#Headers],[26]],FDR[FDR]&amp;FDR[[#Headers],[26]],FDR[26],"",0,1)</f>
        <v>2</v>
      </c>
      <c r="AM319" cm="1">
        <f t="array" ref="AM319">_xlfn.XLOOKUP(Matrix[[#This Row],[TEAM]]&amp;Matrix[[#Headers],[27]],FDR[FDR]&amp;FDR[[#Headers],[27]],FDR[27],"",0,1)</f>
        <v>1</v>
      </c>
      <c r="AN319" cm="1">
        <f t="array" ref="AN319">_xlfn.XLOOKUP(Matrix[[#This Row],[TEAM]]&amp;Matrix[[#Headers],[28]],FDR[FDR]&amp;FDR[[#Headers],[28]],FDR[28],"",0,1)</f>
        <v>1</v>
      </c>
      <c r="AO319" cm="1">
        <f t="array" ref="AO319">_xlfn.XLOOKUP(Matrix[[#This Row],[TEAM]]&amp;Matrix[[#Headers],[29]],FDR[FDR]&amp;FDR[[#Headers],[29]],FDR[29],"",0,1)</f>
        <v>3</v>
      </c>
      <c r="AP319" cm="1">
        <f t="array" ref="AP319">_xlfn.XLOOKUP(Matrix[[#This Row],[TEAM]]&amp;Matrix[[#Headers],[30]],FDR[FDR]&amp;FDR[[#Headers],[30]],FDR[30],"",0,1)</f>
        <v>4</v>
      </c>
      <c r="AQ319" cm="1">
        <f t="array" ref="AQ319">_xlfn.XLOOKUP(Matrix[[#This Row],[TEAM]]&amp;Matrix[[#Headers],[31]],FDR[FDR]&amp;FDR[[#Headers],[31]],FDR[31],"",0,1)</f>
        <v>1</v>
      </c>
      <c r="AR319" cm="1">
        <f t="array" ref="AR319">_xlfn.XLOOKUP(Matrix[[#This Row],[TEAM]]&amp;Matrix[[#Headers],[32]],FDR[FDR]&amp;FDR[[#Headers],[32]],FDR[32],"",0,1)</f>
        <v>3</v>
      </c>
      <c r="AS319" cm="1">
        <f t="array" ref="AS319">_xlfn.XLOOKUP(Matrix[[#This Row],[TEAM]]&amp;Matrix[[#Headers],[33]],FDR[FDR]&amp;FDR[[#Headers],[33]],FDR[33],"",0,1)</f>
        <v>1</v>
      </c>
      <c r="AT319" cm="1">
        <f t="array" ref="AT319">_xlfn.XLOOKUP(Matrix[[#This Row],[TEAM]]&amp;Matrix[[#Headers],[34]],FDR[FDR]&amp;FDR[[#Headers],[34]],FDR[34],"",0,1)</f>
        <v>3</v>
      </c>
      <c r="AU319" cm="1">
        <f t="array" ref="AU319">_xlfn.XLOOKUP(Matrix[[#This Row],[TEAM]]&amp;Matrix[[#Headers],[35]],FDR[FDR]&amp;FDR[[#Headers],[35]],FDR[35],"",0,1)</f>
        <v>3</v>
      </c>
      <c r="AV319" cm="1">
        <f t="array" ref="AV319">_xlfn.XLOOKUP(Matrix[[#This Row],[TEAM]]&amp;Matrix[[#Headers],[36]],FDR[FDR]&amp;FDR[[#Headers],[36]],FDR[36],"",0,1)</f>
        <v>1</v>
      </c>
      <c r="AW319" cm="1">
        <f t="array" ref="AW319">_xlfn.XLOOKUP(Matrix[[#This Row],[TEAM]]&amp;Matrix[[#Headers],[37]],FDR[FDR]&amp;FDR[[#Headers],[37]],FDR[37],"",0,1)</f>
        <v>3</v>
      </c>
      <c r="AX319" cm="1">
        <f t="array" ref="AX319">_xlfn.XLOOKUP(Matrix[[#This Row],[TEAM]]&amp;Matrix[[#Headers],[38]],FDR[FDR]&amp;FDR[[#Headers],[38]],FDR[38],"",0,1)</f>
        <v>4</v>
      </c>
    </row>
    <row r="320" spans="1:50" ht="22" thickTop="1" thickBot="1">
      <c r="A320" s="51" t="s">
        <v>657</v>
      </c>
      <c r="B320" s="70" t="s">
        <v>1706</v>
      </c>
      <c r="C320" s="40" t="s">
        <v>23</v>
      </c>
      <c r="D320" s="62">
        <v>46</v>
      </c>
      <c r="E320" s="60">
        <v>2E-3</v>
      </c>
      <c r="F320" s="61">
        <v>64.900000000000006</v>
      </c>
      <c r="G320" s="63">
        <v>4.5</v>
      </c>
      <c r="H320" s="261">
        <f>IF(ISBLANK(I320),0,1)</f>
        <v>0</v>
      </c>
      <c r="I320" s="57"/>
      <c r="J320" s="58"/>
      <c r="K320" s="65" t="s">
        <v>1059</v>
      </c>
      <c r="L320" s="65" t="s">
        <v>1060</v>
      </c>
      <c r="M320" cm="1">
        <f t="array" ref="M320">_xlfn.XLOOKUP(Matrix[[#This Row],[TEAM]]&amp;Matrix[[#Headers],[1]],FDR[FDR]&amp;FDR[[#Headers],[1]],FDR[1],"",0,1)</f>
        <v>4</v>
      </c>
      <c r="N320" cm="1">
        <f t="array" ref="N320">_xlfn.XLOOKUP(Matrix[[#This Row],[TEAM]]&amp;Matrix[[#Headers],[2]],FDR[FDR]&amp;FDR[[#Headers],[2]],FDR[2],"",0,1)</f>
        <v>4</v>
      </c>
      <c r="O320" cm="1">
        <f t="array" ref="O320">_xlfn.XLOOKUP(Matrix[[#This Row],[TEAM]]&amp;Matrix[[#Headers],[3]],FDR[FDR]&amp;FDR[[#Headers],[3]],FDR[3],"",0,1)</f>
        <v>5</v>
      </c>
      <c r="P320" cm="1">
        <f t="array" ref="P320">_xlfn.XLOOKUP(Matrix[[#This Row],[TEAM]]&amp;Matrix[[#Headers],[4]],FDR[FDR]&amp;FDR[[#Headers],[4]],FDR[4],"",0,1)</f>
        <v>1</v>
      </c>
      <c r="Q320" cm="1">
        <f t="array" ref="Q320">_xlfn.XLOOKUP(Matrix[[#This Row],[TEAM]]&amp;Matrix[[#Headers],[5]],FDR[FDR]&amp;FDR[[#Headers],[5]],FDR[5],"",0,1)</f>
        <v>2</v>
      </c>
      <c r="R320" cm="1">
        <f t="array" ref="R320">_xlfn.XLOOKUP(Matrix[[#This Row],[TEAM]]&amp;Matrix[[#Headers],[6]],FDR[FDR]&amp;FDR[[#Headers],[6]],FDR[6],"",0,1)</f>
        <v>5</v>
      </c>
      <c r="S320" cm="1">
        <f t="array" ref="S320">_xlfn.XLOOKUP(Matrix[[#This Row],[TEAM]]&amp;Matrix[[#Headers],[7]],FDR[FDR]&amp;FDR[[#Headers],[7]],FDR[7],"",0,1)</f>
        <v>4</v>
      </c>
      <c r="T320" cm="1">
        <f t="array" ref="T320">_xlfn.XLOOKUP(Matrix[[#This Row],[TEAM]]&amp;Matrix[[#Headers],[8]],FDR[FDR]&amp;FDR[[#Headers],[8]],FDR[8],"",0,1)</f>
        <v>4</v>
      </c>
      <c r="U320" cm="1">
        <f t="array" ref="U320">_xlfn.XLOOKUP(Matrix[[#This Row],[TEAM]]&amp;Matrix[[#Headers],[9]],FDR[FDR]&amp;FDR[[#Headers],[9]],FDR[9],"",0,1)</f>
        <v>5</v>
      </c>
      <c r="V320" cm="1">
        <f t="array" ref="V320">_xlfn.XLOOKUP(Matrix[[#This Row],[TEAM]]&amp;Matrix[[#Headers],[10]],FDR[FDR]&amp;FDR[[#Headers],[10]],FDR[10],"",0,1)</f>
        <v>1</v>
      </c>
      <c r="W320" cm="1">
        <f t="array" ref="W320">_xlfn.XLOOKUP(Matrix[[#This Row],[TEAM]]&amp;Matrix[[#Headers],[11]],FDR[FDR]&amp;FDR[[#Headers],[11]],FDR[11],"",0,1)</f>
        <v>3</v>
      </c>
      <c r="X320" cm="1">
        <f t="array" ref="X320">_xlfn.XLOOKUP(Matrix[[#This Row],[TEAM]]&amp;Matrix[[#Headers],[12]],FDR[FDR]&amp;FDR[[#Headers],[12]],FDR[12],"",0,1)</f>
        <v>1</v>
      </c>
      <c r="Y320" cm="1">
        <f t="array" ref="Y320">_xlfn.XLOOKUP(Matrix[[#This Row],[TEAM]]&amp;Matrix[[#Headers],[13]],FDR[FDR]&amp;FDR[[#Headers],[13]],FDR[13],"",0,1)</f>
        <v>5</v>
      </c>
      <c r="Z320" cm="1">
        <f t="array" ref="Z320">_xlfn.XLOOKUP(Matrix[[#This Row],[TEAM]]&amp;Matrix[[#Headers],[14]],FDR[FDR]&amp;FDR[[#Headers],[14]],FDR[14],"",0,1)</f>
        <v>4</v>
      </c>
      <c r="AA320" cm="1">
        <f t="array" ref="AA320">_xlfn.XLOOKUP(Matrix[[#This Row],[TEAM]]&amp;Matrix[[#Headers],[15]],FDR[FDR]&amp;FDR[[#Headers],[15]],FDR[15],"",0,1)</f>
        <v>2</v>
      </c>
      <c r="AB320" cm="1">
        <f t="array" ref="AB320">_xlfn.XLOOKUP(Matrix[[#This Row],[TEAM]]&amp;Matrix[[#Headers],[16]],FDR[FDR]&amp;FDR[[#Headers],[16]],FDR[16],"",0,1)</f>
        <v>2</v>
      </c>
      <c r="AC320" cm="1">
        <f t="array" ref="AC320">_xlfn.XLOOKUP(Matrix[[#This Row],[TEAM]]&amp;Matrix[[#Headers],[17]],FDR[FDR]&amp;FDR[[#Headers],[17]],FDR[17],"",0,1)</f>
        <v>3</v>
      </c>
      <c r="AD320" cm="1">
        <f t="array" ref="AD320">_xlfn.XLOOKUP(Matrix[[#This Row],[TEAM]]&amp;Matrix[[#Headers],[18]],FDR[FDR]&amp;FDR[[#Headers],[18]],FDR[18],"",0,1)</f>
        <v>3</v>
      </c>
      <c r="AE320" cm="1">
        <f t="array" ref="AE320">_xlfn.XLOOKUP(Matrix[[#This Row],[TEAM]]&amp;Matrix[[#Headers],[19]],FDR[FDR]&amp;FDR[[#Headers],[19]],FDR[19],"",0,1)</f>
        <v>3</v>
      </c>
      <c r="AF320" cm="1">
        <f t="array" ref="AF320">_xlfn.XLOOKUP(Matrix[[#This Row],[TEAM]]&amp;Matrix[[#Headers],[20]],FDR[FDR]&amp;FDR[[#Headers],[20]],FDR[20],"",0,1)</f>
        <v>4</v>
      </c>
      <c r="AG320" cm="1">
        <f t="array" ref="AG320">_xlfn.XLOOKUP(Matrix[[#This Row],[TEAM]]&amp;Matrix[[#Headers],[21]],FDR[FDR]&amp;FDR[[#Headers],[21]],FDR[21],"",0,1)</f>
        <v>4</v>
      </c>
      <c r="AH320" cm="1">
        <f t="array" ref="AH320">_xlfn.XLOOKUP(Matrix[[#This Row],[TEAM]]&amp;Matrix[[#Headers],[22]],FDR[FDR]&amp;FDR[[#Headers],[22]],FDR[22],"",0,1)</f>
        <v>2</v>
      </c>
      <c r="AI320" cm="1">
        <f t="array" ref="AI320">_xlfn.XLOOKUP(Matrix[[#This Row],[TEAM]]&amp;Matrix[[#Headers],[23]],FDR[FDR]&amp;FDR[[#Headers],[23]],FDR[23],"",0,1)</f>
        <v>3</v>
      </c>
      <c r="AJ320" cm="1">
        <f t="array" ref="AJ320">_xlfn.XLOOKUP(Matrix[[#This Row],[TEAM]]&amp;Matrix[[#Headers],[24]],FDR[FDR]&amp;FDR[[#Headers],[24]],FDR[24],"",0,1)</f>
        <v>5</v>
      </c>
      <c r="AK320" cm="1">
        <f t="array" ref="AK320">_xlfn.XLOOKUP(Matrix[[#This Row],[TEAM]]&amp;Matrix[[#Headers],[25]],FDR[FDR]&amp;FDR[[#Headers],[25]],FDR[25],"",0,1)</f>
        <v>2</v>
      </c>
      <c r="AL320" cm="1">
        <f t="array" ref="AL320">_xlfn.XLOOKUP(Matrix[[#This Row],[TEAM]]&amp;Matrix[[#Headers],[26]],FDR[FDR]&amp;FDR[[#Headers],[26]],FDR[26],"",0,1)</f>
        <v>5</v>
      </c>
      <c r="AM320" cm="1">
        <f t="array" ref="AM320">_xlfn.XLOOKUP(Matrix[[#This Row],[TEAM]]&amp;Matrix[[#Headers],[27]],FDR[FDR]&amp;FDR[[#Headers],[27]],FDR[27],"",0,1)</f>
        <v>2</v>
      </c>
      <c r="AN320" cm="1">
        <f t="array" ref="AN320">_xlfn.XLOOKUP(Matrix[[#This Row],[TEAM]]&amp;Matrix[[#Headers],[28]],FDR[FDR]&amp;FDR[[#Headers],[28]],FDR[28],"",0,1)</f>
        <v>4</v>
      </c>
      <c r="AO320" cm="1">
        <f t="array" ref="AO320">_xlfn.XLOOKUP(Matrix[[#This Row],[TEAM]]&amp;Matrix[[#Headers],[29]],FDR[FDR]&amp;FDR[[#Headers],[29]],FDR[29],"",0,1)</f>
        <v>2</v>
      </c>
      <c r="AP320" cm="1">
        <f t="array" ref="AP320">_xlfn.XLOOKUP(Matrix[[#This Row],[TEAM]]&amp;Matrix[[#Headers],[30]],FDR[FDR]&amp;FDR[[#Headers],[30]],FDR[30],"",0,1)</f>
        <v>4</v>
      </c>
      <c r="AQ320" cm="1">
        <f t="array" ref="AQ320">_xlfn.XLOOKUP(Matrix[[#This Row],[TEAM]]&amp;Matrix[[#Headers],[31]],FDR[FDR]&amp;FDR[[#Headers],[31]],FDR[31],"",0,1)</f>
        <v>1</v>
      </c>
      <c r="AR320" cm="1">
        <f t="array" ref="AR320">_xlfn.XLOOKUP(Matrix[[#This Row],[TEAM]]&amp;Matrix[[#Headers],[32]],FDR[FDR]&amp;FDR[[#Headers],[32]],FDR[32],"",0,1)</f>
        <v>5</v>
      </c>
      <c r="AS320" cm="1">
        <f t="array" ref="AS320">_xlfn.XLOOKUP(Matrix[[#This Row],[TEAM]]&amp;Matrix[[#Headers],[33]],FDR[FDR]&amp;FDR[[#Headers],[33]],FDR[33],"",0,1)</f>
        <v>3</v>
      </c>
      <c r="AT320" cm="1">
        <f t="array" ref="AT320">_xlfn.XLOOKUP(Matrix[[#This Row],[TEAM]]&amp;Matrix[[#Headers],[34]],FDR[FDR]&amp;FDR[[#Headers],[34]],FDR[34],"",0,1)</f>
        <v>3</v>
      </c>
      <c r="AU320" cm="1">
        <f t="array" ref="AU320">_xlfn.XLOOKUP(Matrix[[#This Row],[TEAM]]&amp;Matrix[[#Headers],[35]],FDR[FDR]&amp;FDR[[#Headers],[35]],FDR[35],"",0,1)</f>
        <v>5</v>
      </c>
      <c r="AV320" cm="1">
        <f t="array" ref="AV320">_xlfn.XLOOKUP(Matrix[[#This Row],[TEAM]]&amp;Matrix[[#Headers],[36]],FDR[FDR]&amp;FDR[[#Headers],[36]],FDR[36],"",0,1)</f>
        <v>3</v>
      </c>
      <c r="AW320" cm="1">
        <f t="array" ref="AW320">_xlfn.XLOOKUP(Matrix[[#This Row],[TEAM]]&amp;Matrix[[#Headers],[37]],FDR[FDR]&amp;FDR[[#Headers],[37]],FDR[37],"",0,1)</f>
        <v>2</v>
      </c>
      <c r="AX320" cm="1">
        <f t="array" ref="AX320">_xlfn.XLOOKUP(Matrix[[#This Row],[TEAM]]&amp;Matrix[[#Headers],[38]],FDR[FDR]&amp;FDR[[#Headers],[38]],FDR[38],"",0,1)</f>
        <v>4</v>
      </c>
    </row>
    <row r="321" spans="1:50" ht="22" thickTop="1" thickBot="1">
      <c r="A321" s="51" t="s">
        <v>657</v>
      </c>
      <c r="B321" s="70" t="s">
        <v>1766</v>
      </c>
      <c r="C321" s="40" t="s">
        <v>27</v>
      </c>
      <c r="D321" s="62">
        <v>45</v>
      </c>
      <c r="E321" s="60">
        <v>1E-3</v>
      </c>
      <c r="F321" s="61">
        <v>73.2</v>
      </c>
      <c r="G321" s="63">
        <v>4.5</v>
      </c>
      <c r="H321" s="261">
        <f>IF(ISBLANK(I321),0,1)</f>
        <v>0</v>
      </c>
      <c r="I321" s="57"/>
      <c r="J321" s="58"/>
      <c r="K321" s="65" t="s">
        <v>501</v>
      </c>
      <c r="L321" s="65" t="s">
        <v>1204</v>
      </c>
      <c r="M321" cm="1">
        <f t="array" ref="M321">_xlfn.XLOOKUP(Matrix[[#This Row],[TEAM]]&amp;Matrix[[#Headers],[1]],FDR[FDR]&amp;FDR[[#Headers],[1]],FDR[1],"",0,1)</f>
        <v>2</v>
      </c>
      <c r="N321" cm="1">
        <f t="array" ref="N321">_xlfn.XLOOKUP(Matrix[[#This Row],[TEAM]]&amp;Matrix[[#Headers],[2]],FDR[FDR]&amp;FDR[[#Headers],[2]],FDR[2],"",0,1)</f>
        <v>4</v>
      </c>
      <c r="O321" cm="1">
        <f t="array" ref="O321">_xlfn.XLOOKUP(Matrix[[#This Row],[TEAM]]&amp;Matrix[[#Headers],[3]],FDR[FDR]&amp;FDR[[#Headers],[3]],FDR[3],"",0,1)</f>
        <v>4</v>
      </c>
      <c r="P321" cm="1">
        <f t="array" ref="P321">_xlfn.XLOOKUP(Matrix[[#This Row],[TEAM]]&amp;Matrix[[#Headers],[4]],FDR[FDR]&amp;FDR[[#Headers],[4]],FDR[4],"",0,1)</f>
        <v>4</v>
      </c>
      <c r="Q321" cm="1">
        <f t="array" ref="Q321">_xlfn.XLOOKUP(Matrix[[#This Row],[TEAM]]&amp;Matrix[[#Headers],[5]],FDR[FDR]&amp;FDR[[#Headers],[5]],FDR[5],"",0,1)</f>
        <v>3</v>
      </c>
      <c r="R321" cm="1">
        <f t="array" ref="R321">_xlfn.XLOOKUP(Matrix[[#This Row],[TEAM]]&amp;Matrix[[#Headers],[6]],FDR[FDR]&amp;FDR[[#Headers],[6]],FDR[6],"",0,1)</f>
        <v>4</v>
      </c>
      <c r="S321" cm="1">
        <f t="array" ref="S321">_xlfn.XLOOKUP(Matrix[[#This Row],[TEAM]]&amp;Matrix[[#Headers],[7]],FDR[FDR]&amp;FDR[[#Headers],[7]],FDR[7],"",0,1)</f>
        <v>5</v>
      </c>
      <c r="T321" cm="1">
        <f t="array" ref="T321">_xlfn.XLOOKUP(Matrix[[#This Row],[TEAM]]&amp;Matrix[[#Headers],[8]],FDR[FDR]&amp;FDR[[#Headers],[8]],FDR[8],"",0,1)</f>
        <v>3</v>
      </c>
      <c r="U321" cm="1">
        <f t="array" ref="U321">_xlfn.XLOOKUP(Matrix[[#This Row],[TEAM]]&amp;Matrix[[#Headers],[9]],FDR[FDR]&amp;FDR[[#Headers],[9]],FDR[9],"",0,1)</f>
        <v>2</v>
      </c>
      <c r="V321" cm="1">
        <f t="array" ref="V321">_xlfn.XLOOKUP(Matrix[[#This Row],[TEAM]]&amp;Matrix[[#Headers],[10]],FDR[FDR]&amp;FDR[[#Headers],[10]],FDR[10],"",0,1)</f>
        <v>4</v>
      </c>
      <c r="W321" cm="1">
        <f t="array" ref="W321">_xlfn.XLOOKUP(Matrix[[#This Row],[TEAM]]&amp;Matrix[[#Headers],[11]],FDR[FDR]&amp;FDR[[#Headers],[11]],FDR[11],"",0,1)</f>
        <v>1</v>
      </c>
      <c r="X321" cm="1">
        <f t="array" ref="X321">_xlfn.XLOOKUP(Matrix[[#This Row],[TEAM]]&amp;Matrix[[#Headers],[12]],FDR[FDR]&amp;FDR[[#Headers],[12]],FDR[12],"",0,1)</f>
        <v>4</v>
      </c>
      <c r="Y321" cm="1">
        <f t="array" ref="Y321">_xlfn.XLOOKUP(Matrix[[#This Row],[TEAM]]&amp;Matrix[[#Headers],[13]],FDR[FDR]&amp;FDR[[#Headers],[13]],FDR[13],"",0,1)</f>
        <v>4</v>
      </c>
      <c r="Z321" cm="1">
        <f t="array" ref="Z321">_xlfn.XLOOKUP(Matrix[[#This Row],[TEAM]]&amp;Matrix[[#Headers],[14]],FDR[FDR]&amp;FDR[[#Headers],[14]],FDR[14],"",0,1)</f>
        <v>5</v>
      </c>
      <c r="AA321" cm="1">
        <f t="array" ref="AA321">_xlfn.XLOOKUP(Matrix[[#This Row],[TEAM]]&amp;Matrix[[#Headers],[15]],FDR[FDR]&amp;FDR[[#Headers],[15]],FDR[15],"",0,1)</f>
        <v>4</v>
      </c>
      <c r="AB321" cm="1">
        <f t="array" ref="AB321">_xlfn.XLOOKUP(Matrix[[#This Row],[TEAM]]&amp;Matrix[[#Headers],[16]],FDR[FDR]&amp;FDR[[#Headers],[16]],FDR[16],"",0,1)</f>
        <v>4</v>
      </c>
      <c r="AC321" cm="1">
        <f t="array" ref="AC321">_xlfn.XLOOKUP(Matrix[[#This Row],[TEAM]]&amp;Matrix[[#Headers],[17]],FDR[FDR]&amp;FDR[[#Headers],[17]],FDR[17],"",0,1)</f>
        <v>5</v>
      </c>
      <c r="AD321" cm="1">
        <f t="array" ref="AD321">_xlfn.XLOOKUP(Matrix[[#This Row],[TEAM]]&amp;Matrix[[#Headers],[18]],FDR[FDR]&amp;FDR[[#Headers],[18]],FDR[18],"",0,1)</f>
        <v>3</v>
      </c>
      <c r="AE321" cm="1">
        <f t="array" ref="AE321">_xlfn.XLOOKUP(Matrix[[#This Row],[TEAM]]&amp;Matrix[[#Headers],[19]],FDR[FDR]&amp;FDR[[#Headers],[19]],FDR[19],"",0,1)</f>
        <v>3</v>
      </c>
      <c r="AF321" cm="1">
        <f t="array" ref="AF321">_xlfn.XLOOKUP(Matrix[[#This Row],[TEAM]]&amp;Matrix[[#Headers],[20]],FDR[FDR]&amp;FDR[[#Headers],[20]],FDR[20],"",0,1)</f>
        <v>2</v>
      </c>
      <c r="AG321" cm="1">
        <f t="array" ref="AG321">_xlfn.XLOOKUP(Matrix[[#This Row],[TEAM]]&amp;Matrix[[#Headers],[21]],FDR[FDR]&amp;FDR[[#Headers],[21]],FDR[21],"",0,1)</f>
        <v>3</v>
      </c>
      <c r="AH321" cm="1">
        <f t="array" ref="AH321">_xlfn.XLOOKUP(Matrix[[#This Row],[TEAM]]&amp;Matrix[[#Headers],[22]],FDR[FDR]&amp;FDR[[#Headers],[22]],FDR[22],"",0,1)</f>
        <v>5</v>
      </c>
      <c r="AI321" cm="1">
        <f t="array" ref="AI321">_xlfn.XLOOKUP(Matrix[[#This Row],[TEAM]]&amp;Matrix[[#Headers],[23]],FDR[FDR]&amp;FDR[[#Headers],[23]],FDR[23],"",0,1)</f>
        <v>1</v>
      </c>
      <c r="AJ321" cm="1">
        <f t="array" ref="AJ321">_xlfn.XLOOKUP(Matrix[[#This Row],[TEAM]]&amp;Matrix[[#Headers],[24]],FDR[FDR]&amp;FDR[[#Headers],[24]],FDR[24],"",0,1)</f>
        <v>5</v>
      </c>
      <c r="AK321" cm="1">
        <f t="array" ref="AK321">_xlfn.XLOOKUP(Matrix[[#This Row],[TEAM]]&amp;Matrix[[#Headers],[25]],FDR[FDR]&amp;FDR[[#Headers],[25]],FDR[25],"",0,1)</f>
        <v>2</v>
      </c>
      <c r="AL321" cm="1">
        <f t="array" ref="AL321">_xlfn.XLOOKUP(Matrix[[#This Row],[TEAM]]&amp;Matrix[[#Headers],[26]],FDR[FDR]&amp;FDR[[#Headers],[26]],FDR[26],"",0,1)</f>
        <v>4</v>
      </c>
      <c r="AM321" cm="1">
        <f t="array" ref="AM321">_xlfn.XLOOKUP(Matrix[[#This Row],[TEAM]]&amp;Matrix[[#Headers],[27]],FDR[FDR]&amp;FDR[[#Headers],[27]],FDR[27],"",0,1)</f>
        <v>3</v>
      </c>
      <c r="AN321" cm="1">
        <f t="array" ref="AN321">_xlfn.XLOOKUP(Matrix[[#This Row],[TEAM]]&amp;Matrix[[#Headers],[28]],FDR[FDR]&amp;FDR[[#Headers],[28]],FDR[28],"",0,1)</f>
        <v>5</v>
      </c>
      <c r="AO321" cm="1">
        <f t="array" ref="AO321">_xlfn.XLOOKUP(Matrix[[#This Row],[TEAM]]&amp;Matrix[[#Headers],[29]],FDR[FDR]&amp;FDR[[#Headers],[29]],FDR[29],"",0,1)</f>
        <v>4</v>
      </c>
      <c r="AP321" cm="1">
        <f t="array" ref="AP321">_xlfn.XLOOKUP(Matrix[[#This Row],[TEAM]]&amp;Matrix[[#Headers],[30]],FDR[FDR]&amp;FDR[[#Headers],[30]],FDR[30],"",0,1)</f>
        <v>4</v>
      </c>
      <c r="AQ321" cm="1">
        <f t="array" ref="AQ321">_xlfn.XLOOKUP(Matrix[[#This Row],[TEAM]]&amp;Matrix[[#Headers],[31]],FDR[FDR]&amp;FDR[[#Headers],[31]],FDR[31],"",0,1)</f>
        <v>5</v>
      </c>
      <c r="AR321" cm="1">
        <f t="array" ref="AR321">_xlfn.XLOOKUP(Matrix[[#This Row],[TEAM]]&amp;Matrix[[#Headers],[32]],FDR[FDR]&amp;FDR[[#Headers],[32]],FDR[32],"",0,1)</f>
        <v>2</v>
      </c>
      <c r="AS321" cm="1">
        <f t="array" ref="AS321">_xlfn.XLOOKUP(Matrix[[#This Row],[TEAM]]&amp;Matrix[[#Headers],[33]],FDR[FDR]&amp;FDR[[#Headers],[33]],FDR[33],"",0,1)</f>
        <v>4</v>
      </c>
      <c r="AT321" cm="1">
        <f t="array" ref="AT321">_xlfn.XLOOKUP(Matrix[[#This Row],[TEAM]]&amp;Matrix[[#Headers],[34]],FDR[FDR]&amp;FDR[[#Headers],[34]],FDR[34],"",0,1)</f>
        <v>3</v>
      </c>
      <c r="AU321" cm="1">
        <f t="array" ref="AU321">_xlfn.XLOOKUP(Matrix[[#This Row],[TEAM]]&amp;Matrix[[#Headers],[35]],FDR[FDR]&amp;FDR[[#Headers],[35]],FDR[35],"",0,1)</f>
        <v>4</v>
      </c>
      <c r="AV321" cm="1">
        <f t="array" ref="AV321">_xlfn.XLOOKUP(Matrix[[#This Row],[TEAM]]&amp;Matrix[[#Headers],[36]],FDR[FDR]&amp;FDR[[#Headers],[36]],FDR[36],"",0,1)</f>
        <v>4</v>
      </c>
      <c r="AW321" cm="1">
        <f t="array" ref="AW321">_xlfn.XLOOKUP(Matrix[[#This Row],[TEAM]]&amp;Matrix[[#Headers],[37]],FDR[FDR]&amp;FDR[[#Headers],[37]],FDR[37],"",0,1)</f>
        <v>5</v>
      </c>
      <c r="AX321" cm="1">
        <f t="array" ref="AX321">_xlfn.XLOOKUP(Matrix[[#This Row],[TEAM]]&amp;Matrix[[#Headers],[38]],FDR[FDR]&amp;FDR[[#Headers],[38]],FDR[38],"",0,1)</f>
        <v>1</v>
      </c>
    </row>
    <row r="322" spans="1:50" ht="22" thickTop="1" thickBot="1">
      <c r="A322" s="51" t="s">
        <v>657</v>
      </c>
      <c r="B322" s="70" t="s">
        <v>1692</v>
      </c>
      <c r="C322" s="40" t="s">
        <v>51</v>
      </c>
      <c r="D322" s="62">
        <v>45</v>
      </c>
      <c r="E322" s="60">
        <v>3.0000000000000001E-3</v>
      </c>
      <c r="F322" s="61">
        <v>52</v>
      </c>
      <c r="G322" s="63">
        <v>4.5</v>
      </c>
      <c r="H322" s="261">
        <f>IF(ISBLANK(I322),0,1)</f>
        <v>0</v>
      </c>
      <c r="I322" s="57"/>
      <c r="J322" s="58"/>
      <c r="K322" s="65" t="s">
        <v>521</v>
      </c>
      <c r="L322" s="65" t="s">
        <v>917</v>
      </c>
      <c r="M322" cm="1">
        <f t="array" ref="M322">_xlfn.XLOOKUP(Matrix[[#This Row],[TEAM]]&amp;Matrix[[#Headers],[1]],FDR[FDR]&amp;FDR[[#Headers],[1]],FDR[1],"",0,1)</f>
        <v>5</v>
      </c>
      <c r="N322" cm="1">
        <f t="array" ref="N322">_xlfn.XLOOKUP(Matrix[[#This Row],[TEAM]]&amp;Matrix[[#Headers],[2]],FDR[FDR]&amp;FDR[[#Headers],[2]],FDR[2],"",0,1)</f>
        <v>5</v>
      </c>
      <c r="O322" cm="1">
        <f t="array" ref="O322">_xlfn.XLOOKUP(Matrix[[#This Row],[TEAM]]&amp;Matrix[[#Headers],[3]],FDR[FDR]&amp;FDR[[#Headers],[3]],FDR[3],"",0,1)</f>
        <v>4</v>
      </c>
      <c r="P322" cm="1">
        <f t="array" ref="P322">_xlfn.XLOOKUP(Matrix[[#This Row],[TEAM]]&amp;Matrix[[#Headers],[4]],FDR[FDR]&amp;FDR[[#Headers],[4]],FDR[4],"",0,1)</f>
        <v>5</v>
      </c>
      <c r="Q322" cm="1">
        <f t="array" ref="Q322">_xlfn.XLOOKUP(Matrix[[#This Row],[TEAM]]&amp;Matrix[[#Headers],[5]],FDR[FDR]&amp;FDR[[#Headers],[5]],FDR[5],"",0,1)</f>
        <v>2</v>
      </c>
      <c r="R322" cm="1">
        <f t="array" ref="R322">_xlfn.XLOOKUP(Matrix[[#This Row],[TEAM]]&amp;Matrix[[#Headers],[6]],FDR[FDR]&amp;FDR[[#Headers],[6]],FDR[6],"",0,1)</f>
        <v>5</v>
      </c>
      <c r="S322" cm="1">
        <f t="array" ref="S322">_xlfn.XLOOKUP(Matrix[[#This Row],[TEAM]]&amp;Matrix[[#Headers],[7]],FDR[FDR]&amp;FDR[[#Headers],[7]],FDR[7],"",0,1)</f>
        <v>4</v>
      </c>
      <c r="T322" cm="1">
        <f t="array" ref="T322">_xlfn.XLOOKUP(Matrix[[#This Row],[TEAM]]&amp;Matrix[[#Headers],[8]],FDR[FDR]&amp;FDR[[#Headers],[8]],FDR[8],"",0,1)</f>
        <v>3</v>
      </c>
      <c r="U322" cm="1">
        <f t="array" ref="U322">_xlfn.XLOOKUP(Matrix[[#This Row],[TEAM]]&amp;Matrix[[#Headers],[9]],FDR[FDR]&amp;FDR[[#Headers],[9]],FDR[9],"",0,1)</f>
        <v>2</v>
      </c>
      <c r="V322" cm="1">
        <f t="array" ref="V322">_xlfn.XLOOKUP(Matrix[[#This Row],[TEAM]]&amp;Matrix[[#Headers],[10]],FDR[FDR]&amp;FDR[[#Headers],[10]],FDR[10],"",0,1)</f>
        <v>5</v>
      </c>
      <c r="W322" cm="1">
        <f t="array" ref="W322">_xlfn.XLOOKUP(Matrix[[#This Row],[TEAM]]&amp;Matrix[[#Headers],[11]],FDR[FDR]&amp;FDR[[#Headers],[11]],FDR[11],"",0,1)</f>
        <v>5</v>
      </c>
      <c r="X322" cm="1">
        <f t="array" ref="X322">_xlfn.XLOOKUP(Matrix[[#This Row],[TEAM]]&amp;Matrix[[#Headers],[12]],FDR[FDR]&amp;FDR[[#Headers],[12]],FDR[12],"",0,1)</f>
        <v>4</v>
      </c>
      <c r="Y322" cm="1">
        <f t="array" ref="Y322">_xlfn.XLOOKUP(Matrix[[#This Row],[TEAM]]&amp;Matrix[[#Headers],[13]],FDR[FDR]&amp;FDR[[#Headers],[13]],FDR[13],"",0,1)</f>
        <v>5</v>
      </c>
      <c r="Z322" cm="1">
        <f t="array" ref="Z322">_xlfn.XLOOKUP(Matrix[[#This Row],[TEAM]]&amp;Matrix[[#Headers],[14]],FDR[FDR]&amp;FDR[[#Headers],[14]],FDR[14],"",0,1)</f>
        <v>4</v>
      </c>
      <c r="AA322" cm="1">
        <f t="array" ref="AA322">_xlfn.XLOOKUP(Matrix[[#This Row],[TEAM]]&amp;Matrix[[#Headers],[15]],FDR[FDR]&amp;FDR[[#Headers],[15]],FDR[15],"",0,1)</f>
        <v>5</v>
      </c>
      <c r="AB322" cm="1">
        <f t="array" ref="AB322">_xlfn.XLOOKUP(Matrix[[#This Row],[TEAM]]&amp;Matrix[[#Headers],[16]],FDR[FDR]&amp;FDR[[#Headers],[16]],FDR[16],"",0,1)</f>
        <v>5</v>
      </c>
      <c r="AC322" cm="1">
        <f t="array" ref="AC322">_xlfn.XLOOKUP(Matrix[[#This Row],[TEAM]]&amp;Matrix[[#Headers],[17]],FDR[FDR]&amp;FDR[[#Headers],[17]],FDR[17],"",0,1)</f>
        <v>4</v>
      </c>
      <c r="AD322" cm="1">
        <f t="array" ref="AD322">_xlfn.XLOOKUP(Matrix[[#This Row],[TEAM]]&amp;Matrix[[#Headers],[18]],FDR[FDR]&amp;FDR[[#Headers],[18]],FDR[18],"",0,1)</f>
        <v>5</v>
      </c>
      <c r="AE322" cm="1">
        <f t="array" ref="AE322">_xlfn.XLOOKUP(Matrix[[#This Row],[TEAM]]&amp;Matrix[[#Headers],[19]],FDR[FDR]&amp;FDR[[#Headers],[19]],FDR[19],"",0,1)</f>
        <v>5</v>
      </c>
      <c r="AF322" cm="1">
        <f t="array" ref="AF322">_xlfn.XLOOKUP(Matrix[[#This Row],[TEAM]]&amp;Matrix[[#Headers],[20]],FDR[FDR]&amp;FDR[[#Headers],[20]],FDR[20],"",0,1)</f>
        <v>4</v>
      </c>
      <c r="AG322" cm="1">
        <f t="array" ref="AG322">_xlfn.XLOOKUP(Matrix[[#This Row],[TEAM]]&amp;Matrix[[#Headers],[21]],FDR[FDR]&amp;FDR[[#Headers],[21]],FDR[21],"",0,1)</f>
        <v>5</v>
      </c>
      <c r="AH322" cm="1">
        <f t="array" ref="AH322">_xlfn.XLOOKUP(Matrix[[#This Row],[TEAM]]&amp;Matrix[[#Headers],[22]],FDR[FDR]&amp;FDR[[#Headers],[22]],FDR[22],"",0,1)</f>
        <v>5</v>
      </c>
      <c r="AI322" cm="1">
        <f t="array" ref="AI322">_xlfn.XLOOKUP(Matrix[[#This Row],[TEAM]]&amp;Matrix[[#Headers],[23]],FDR[FDR]&amp;FDR[[#Headers],[23]],FDR[23],"",0,1)</f>
        <v>5</v>
      </c>
      <c r="AJ322" cm="1">
        <f t="array" ref="AJ322">_xlfn.XLOOKUP(Matrix[[#This Row],[TEAM]]&amp;Matrix[[#Headers],[24]],FDR[FDR]&amp;FDR[[#Headers],[24]],FDR[24],"",0,1)</f>
        <v>4</v>
      </c>
      <c r="AK322" cm="1">
        <f t="array" ref="AK322">_xlfn.XLOOKUP(Matrix[[#This Row],[TEAM]]&amp;Matrix[[#Headers],[25]],FDR[FDR]&amp;FDR[[#Headers],[25]],FDR[25],"",0,1)</f>
        <v>5</v>
      </c>
      <c r="AL322" cm="1">
        <f t="array" ref="AL322">_xlfn.XLOOKUP(Matrix[[#This Row],[TEAM]]&amp;Matrix[[#Headers],[26]],FDR[FDR]&amp;FDR[[#Headers],[26]],FDR[26],"",0,1)</f>
        <v>5</v>
      </c>
      <c r="AM322" cm="1">
        <f t="array" ref="AM322">_xlfn.XLOOKUP(Matrix[[#This Row],[TEAM]]&amp;Matrix[[#Headers],[27]],FDR[FDR]&amp;FDR[[#Headers],[27]],FDR[27],"",0,1)</f>
        <v>5</v>
      </c>
      <c r="AN322" cm="1">
        <f t="array" ref="AN322">_xlfn.XLOOKUP(Matrix[[#This Row],[TEAM]]&amp;Matrix[[#Headers],[28]],FDR[FDR]&amp;FDR[[#Headers],[28]],FDR[28],"",0,1)</f>
        <v>5</v>
      </c>
      <c r="AO322" cm="1">
        <f t="array" ref="AO322">_xlfn.XLOOKUP(Matrix[[#This Row],[TEAM]]&amp;Matrix[[#Headers],[29]],FDR[FDR]&amp;FDR[[#Headers],[29]],FDR[29],"",0,1)</f>
        <v>5</v>
      </c>
      <c r="AP322" cm="1">
        <f t="array" ref="AP322">_xlfn.XLOOKUP(Matrix[[#This Row],[TEAM]]&amp;Matrix[[#Headers],[30]],FDR[FDR]&amp;FDR[[#Headers],[30]],FDR[30],"",0,1)</f>
        <v>5</v>
      </c>
      <c r="AQ322" cm="1">
        <f t="array" ref="AQ322">_xlfn.XLOOKUP(Matrix[[#This Row],[TEAM]]&amp;Matrix[[#Headers],[31]],FDR[FDR]&amp;FDR[[#Headers],[31]],FDR[31],"",0,1)</f>
        <v>5</v>
      </c>
      <c r="AR322" cm="1">
        <f t="array" ref="AR322">_xlfn.XLOOKUP(Matrix[[#This Row],[TEAM]]&amp;Matrix[[#Headers],[32]],FDR[FDR]&amp;FDR[[#Headers],[32]],FDR[32],"",0,1)</f>
        <v>5</v>
      </c>
      <c r="AS322" cm="1">
        <f t="array" ref="AS322">_xlfn.XLOOKUP(Matrix[[#This Row],[TEAM]]&amp;Matrix[[#Headers],[33]],FDR[FDR]&amp;FDR[[#Headers],[33]],FDR[33],"",0,1)</f>
        <v>3</v>
      </c>
      <c r="AT322" cm="1">
        <f t="array" ref="AT322">_xlfn.XLOOKUP(Matrix[[#This Row],[TEAM]]&amp;Matrix[[#Headers],[34]],FDR[FDR]&amp;FDR[[#Headers],[34]],FDR[34],"",0,1)</f>
        <v>5</v>
      </c>
      <c r="AU322" cm="1">
        <f t="array" ref="AU322">_xlfn.XLOOKUP(Matrix[[#This Row],[TEAM]]&amp;Matrix[[#Headers],[35]],FDR[FDR]&amp;FDR[[#Headers],[35]],FDR[35],"",0,1)</f>
        <v>2</v>
      </c>
      <c r="AV322" cm="1">
        <f t="array" ref="AV322">_xlfn.XLOOKUP(Matrix[[#This Row],[TEAM]]&amp;Matrix[[#Headers],[36]],FDR[FDR]&amp;FDR[[#Headers],[36]],FDR[36],"",0,1)</f>
        <v>5</v>
      </c>
      <c r="AW322" cm="1">
        <f t="array" ref="AW322">_xlfn.XLOOKUP(Matrix[[#This Row],[TEAM]]&amp;Matrix[[#Headers],[37]],FDR[FDR]&amp;FDR[[#Headers],[37]],FDR[37],"",0,1)</f>
        <v>4</v>
      </c>
      <c r="AX322" cm="1">
        <f t="array" ref="AX322">_xlfn.XLOOKUP(Matrix[[#This Row],[TEAM]]&amp;Matrix[[#Headers],[38]],FDR[FDR]&amp;FDR[[#Headers],[38]],FDR[38],"",0,1)</f>
        <v>3</v>
      </c>
    </row>
    <row r="323" spans="1:50" ht="22" thickTop="1" thickBot="1">
      <c r="A323" s="51" t="s">
        <v>657</v>
      </c>
      <c r="B323" s="70" t="s">
        <v>1641</v>
      </c>
      <c r="C323" s="40" t="s">
        <v>33</v>
      </c>
      <c r="D323" s="62">
        <v>44</v>
      </c>
      <c r="E323" s="60">
        <v>1.0999999999999999E-2</v>
      </c>
      <c r="F323" s="61">
        <v>66.900000000000006</v>
      </c>
      <c r="G323" s="63">
        <v>4.5</v>
      </c>
      <c r="H323" s="261">
        <f>IF(ISBLANK(I323),0,1)</f>
        <v>0</v>
      </c>
      <c r="I323" s="57"/>
      <c r="J323" s="58"/>
      <c r="K323" s="65" t="s">
        <v>407</v>
      </c>
      <c r="L323" s="65" t="s">
        <v>113</v>
      </c>
      <c r="M323" cm="1">
        <f t="array" ref="M323">_xlfn.XLOOKUP(Matrix[[#This Row],[TEAM]]&amp;Matrix[[#Headers],[1]],FDR[FDR]&amp;FDR[[#Headers],[1]],FDR[1],"",0,1)</f>
        <v>3</v>
      </c>
      <c r="N323" cm="1">
        <f t="array" ref="N323">_xlfn.XLOOKUP(Matrix[[#This Row],[TEAM]]&amp;Matrix[[#Headers],[2]],FDR[FDR]&amp;FDR[[#Headers],[2]],FDR[2],"",0,1)</f>
        <v>3</v>
      </c>
      <c r="O323" cm="1">
        <f t="array" ref="O323">_xlfn.XLOOKUP(Matrix[[#This Row],[TEAM]]&amp;Matrix[[#Headers],[3]],FDR[FDR]&amp;FDR[[#Headers],[3]],FDR[3],"",0,1)</f>
        <v>4</v>
      </c>
      <c r="P323" cm="1">
        <f t="array" ref="P323">_xlfn.XLOOKUP(Matrix[[#This Row],[TEAM]]&amp;Matrix[[#Headers],[4]],FDR[FDR]&amp;FDR[[#Headers],[4]],FDR[4],"",0,1)</f>
        <v>4</v>
      </c>
      <c r="Q323" cm="1">
        <f t="array" ref="Q323">_xlfn.XLOOKUP(Matrix[[#This Row],[TEAM]]&amp;Matrix[[#Headers],[5]],FDR[FDR]&amp;FDR[[#Headers],[5]],FDR[5],"",0,1)</f>
        <v>4</v>
      </c>
      <c r="R323" cm="1">
        <f t="array" ref="R323">_xlfn.XLOOKUP(Matrix[[#This Row],[TEAM]]&amp;Matrix[[#Headers],[6]],FDR[FDR]&amp;FDR[[#Headers],[6]],FDR[6],"",0,1)</f>
        <v>5</v>
      </c>
      <c r="S323" cm="1">
        <f t="array" ref="S323">_xlfn.XLOOKUP(Matrix[[#This Row],[TEAM]]&amp;Matrix[[#Headers],[7]],FDR[FDR]&amp;FDR[[#Headers],[7]],FDR[7],"",0,1)</f>
        <v>2</v>
      </c>
      <c r="T323" cm="1">
        <f t="array" ref="T323">_xlfn.XLOOKUP(Matrix[[#This Row],[TEAM]]&amp;Matrix[[#Headers],[8]],FDR[FDR]&amp;FDR[[#Headers],[8]],FDR[8],"",0,1)</f>
        <v>4</v>
      </c>
      <c r="U323" cm="1">
        <f t="array" ref="U323">_xlfn.XLOOKUP(Matrix[[#This Row],[TEAM]]&amp;Matrix[[#Headers],[9]],FDR[FDR]&amp;FDR[[#Headers],[9]],FDR[9],"",0,1)</f>
        <v>5</v>
      </c>
      <c r="V323" cm="1">
        <f t="array" ref="V323">_xlfn.XLOOKUP(Matrix[[#This Row],[TEAM]]&amp;Matrix[[#Headers],[10]],FDR[FDR]&amp;FDR[[#Headers],[10]],FDR[10],"",0,1)</f>
        <v>1</v>
      </c>
      <c r="W323" cm="1">
        <f t="array" ref="W323">_xlfn.XLOOKUP(Matrix[[#This Row],[TEAM]]&amp;Matrix[[#Headers],[11]],FDR[FDR]&amp;FDR[[#Headers],[11]],FDR[11],"",0,1)</f>
        <v>3</v>
      </c>
      <c r="X323" cm="1">
        <f t="array" ref="X323">_xlfn.XLOOKUP(Matrix[[#This Row],[TEAM]]&amp;Matrix[[#Headers],[12]],FDR[FDR]&amp;FDR[[#Headers],[12]],FDR[12],"",0,1)</f>
        <v>2</v>
      </c>
      <c r="Y323" cm="1">
        <f t="array" ref="Y323">_xlfn.XLOOKUP(Matrix[[#This Row],[TEAM]]&amp;Matrix[[#Headers],[13]],FDR[FDR]&amp;FDR[[#Headers],[13]],FDR[13],"",0,1)</f>
        <v>4</v>
      </c>
      <c r="Z323" cm="1">
        <f t="array" ref="Z323">_xlfn.XLOOKUP(Matrix[[#This Row],[TEAM]]&amp;Matrix[[#Headers],[14]],FDR[FDR]&amp;FDR[[#Headers],[14]],FDR[14],"",0,1)</f>
        <v>3</v>
      </c>
      <c r="AA323" cm="1">
        <f t="array" ref="AA323">_xlfn.XLOOKUP(Matrix[[#This Row],[TEAM]]&amp;Matrix[[#Headers],[15]],FDR[FDR]&amp;FDR[[#Headers],[15]],FDR[15],"",0,1)</f>
        <v>2</v>
      </c>
      <c r="AB323" cm="1">
        <f t="array" ref="AB323">_xlfn.XLOOKUP(Matrix[[#This Row],[TEAM]]&amp;Matrix[[#Headers],[16]],FDR[FDR]&amp;FDR[[#Headers],[16]],FDR[16],"",0,1)</f>
        <v>5</v>
      </c>
      <c r="AC323" cm="1">
        <f t="array" ref="AC323">_xlfn.XLOOKUP(Matrix[[#This Row],[TEAM]]&amp;Matrix[[#Headers],[17]],FDR[FDR]&amp;FDR[[#Headers],[17]],FDR[17],"",0,1)</f>
        <v>1</v>
      </c>
      <c r="AD323" cm="1">
        <f t="array" ref="AD323">_xlfn.XLOOKUP(Matrix[[#This Row],[TEAM]]&amp;Matrix[[#Headers],[18]],FDR[FDR]&amp;FDR[[#Headers],[18]],FDR[18],"",0,1)</f>
        <v>5</v>
      </c>
      <c r="AE323" cm="1">
        <f t="array" ref="AE323">_xlfn.XLOOKUP(Matrix[[#This Row],[TEAM]]&amp;Matrix[[#Headers],[19]],FDR[FDR]&amp;FDR[[#Headers],[19]],FDR[19],"",0,1)</f>
        <v>3</v>
      </c>
      <c r="AF323" cm="1">
        <f t="array" ref="AF323">_xlfn.XLOOKUP(Matrix[[#This Row],[TEAM]]&amp;Matrix[[#Headers],[20]],FDR[FDR]&amp;FDR[[#Headers],[20]],FDR[20],"",0,1)</f>
        <v>1</v>
      </c>
      <c r="AG323" cm="1">
        <f t="array" ref="AG323">_xlfn.XLOOKUP(Matrix[[#This Row],[TEAM]]&amp;Matrix[[#Headers],[21]],FDR[FDR]&amp;FDR[[#Headers],[21]],FDR[21],"",0,1)</f>
        <v>5</v>
      </c>
      <c r="AH323" cm="1">
        <f t="array" ref="AH323">_xlfn.XLOOKUP(Matrix[[#This Row],[TEAM]]&amp;Matrix[[#Headers],[22]],FDR[FDR]&amp;FDR[[#Headers],[22]],FDR[22],"",0,1)</f>
        <v>3</v>
      </c>
      <c r="AI323" cm="1">
        <f t="array" ref="AI323">_xlfn.XLOOKUP(Matrix[[#This Row],[TEAM]]&amp;Matrix[[#Headers],[23]],FDR[FDR]&amp;FDR[[#Headers],[23]],FDR[23],"",0,1)</f>
        <v>4</v>
      </c>
      <c r="AJ323" cm="1">
        <f t="array" ref="AJ323">_xlfn.XLOOKUP(Matrix[[#This Row],[TEAM]]&amp;Matrix[[#Headers],[24]],FDR[FDR]&amp;FDR[[#Headers],[24]],FDR[24],"",0,1)</f>
        <v>2</v>
      </c>
      <c r="AK323" cm="1">
        <f t="array" ref="AK323">_xlfn.XLOOKUP(Matrix[[#This Row],[TEAM]]&amp;Matrix[[#Headers],[25]],FDR[FDR]&amp;FDR[[#Headers],[25]],FDR[25],"",0,1)</f>
        <v>2</v>
      </c>
      <c r="AL323" cm="1">
        <f t="array" ref="AL323">_xlfn.XLOOKUP(Matrix[[#This Row],[TEAM]]&amp;Matrix[[#Headers],[26]],FDR[FDR]&amp;FDR[[#Headers],[26]],FDR[26],"",0,1)</f>
        <v>5</v>
      </c>
      <c r="AM323" cm="1">
        <f t="array" ref="AM323">_xlfn.XLOOKUP(Matrix[[#This Row],[TEAM]]&amp;Matrix[[#Headers],[27]],FDR[FDR]&amp;FDR[[#Headers],[27]],FDR[27],"",0,1)</f>
        <v>3</v>
      </c>
      <c r="AN323" cm="1">
        <f t="array" ref="AN323">_xlfn.XLOOKUP(Matrix[[#This Row],[TEAM]]&amp;Matrix[[#Headers],[28]],FDR[FDR]&amp;FDR[[#Headers],[28]],FDR[28],"",0,1)</f>
        <v>3</v>
      </c>
      <c r="AO323" cm="1">
        <f t="array" ref="AO323">_xlfn.XLOOKUP(Matrix[[#This Row],[TEAM]]&amp;Matrix[[#Headers],[29]],FDR[FDR]&amp;FDR[[#Headers],[29]],FDR[29],"",0,1)</f>
        <v>4</v>
      </c>
      <c r="AP323" cm="1">
        <f t="array" ref="AP323">_xlfn.XLOOKUP(Matrix[[#This Row],[TEAM]]&amp;Matrix[[#Headers],[30]],FDR[FDR]&amp;FDR[[#Headers],[30]],FDR[30],"",0,1)</f>
        <v>2</v>
      </c>
      <c r="AQ323" cm="1">
        <f t="array" ref="AQ323">_xlfn.XLOOKUP(Matrix[[#This Row],[TEAM]]&amp;Matrix[[#Headers],[31]],FDR[FDR]&amp;FDR[[#Headers],[31]],FDR[31],"",0,1)</f>
        <v>4</v>
      </c>
      <c r="AR323" cm="1">
        <f t="array" ref="AR323">_xlfn.XLOOKUP(Matrix[[#This Row],[TEAM]]&amp;Matrix[[#Headers],[32]],FDR[FDR]&amp;FDR[[#Headers],[32]],FDR[32],"",0,1)</f>
        <v>2</v>
      </c>
      <c r="AS323" cm="1">
        <f t="array" ref="AS323">_xlfn.XLOOKUP(Matrix[[#This Row],[TEAM]]&amp;Matrix[[#Headers],[33]],FDR[FDR]&amp;FDR[[#Headers],[33]],FDR[33],"",0,1)</f>
        <v>5</v>
      </c>
      <c r="AT323" cm="1">
        <f t="array" ref="AT323">_xlfn.XLOOKUP(Matrix[[#This Row],[TEAM]]&amp;Matrix[[#Headers],[34]],FDR[FDR]&amp;FDR[[#Headers],[34]],FDR[34],"",0,1)</f>
        <v>4</v>
      </c>
      <c r="AU323" cm="1">
        <f t="array" ref="AU323">_xlfn.XLOOKUP(Matrix[[#This Row],[TEAM]]&amp;Matrix[[#Headers],[35]],FDR[FDR]&amp;FDR[[#Headers],[35]],FDR[35],"",0,1)</f>
        <v>5</v>
      </c>
      <c r="AV323" cm="1">
        <f t="array" ref="AV323">_xlfn.XLOOKUP(Matrix[[#This Row],[TEAM]]&amp;Matrix[[#Headers],[36]],FDR[FDR]&amp;FDR[[#Headers],[36]],FDR[36],"",0,1)</f>
        <v>1</v>
      </c>
      <c r="AW323" cm="1">
        <f t="array" ref="AW323">_xlfn.XLOOKUP(Matrix[[#This Row],[TEAM]]&amp;Matrix[[#Headers],[37]],FDR[FDR]&amp;FDR[[#Headers],[37]],FDR[37],"",0,1)</f>
        <v>2</v>
      </c>
      <c r="AX323" cm="1">
        <f t="array" ref="AX323">_xlfn.XLOOKUP(Matrix[[#This Row],[TEAM]]&amp;Matrix[[#Headers],[38]],FDR[FDR]&amp;FDR[[#Headers],[38]],FDR[38],"",0,1)</f>
        <v>4</v>
      </c>
    </row>
    <row r="324" spans="1:50" ht="22" thickTop="1" thickBot="1">
      <c r="A324" s="51" t="s">
        <v>657</v>
      </c>
      <c r="B324" s="70" t="s">
        <v>1667</v>
      </c>
      <c r="C324" s="40" t="s">
        <v>33</v>
      </c>
      <c r="D324" s="62">
        <v>42</v>
      </c>
      <c r="E324" s="60">
        <v>4.0000000000000001E-3</v>
      </c>
      <c r="F324" s="61">
        <v>36.799999999999997</v>
      </c>
      <c r="G324" s="63">
        <v>4.5</v>
      </c>
      <c r="H324" s="261">
        <f>IF(ISBLANK(I324),0,1)</f>
        <v>0</v>
      </c>
      <c r="I324" s="57"/>
      <c r="J324" s="58"/>
      <c r="K324" s="65" t="s">
        <v>540</v>
      </c>
      <c r="L324" s="65" t="s">
        <v>168</v>
      </c>
      <c r="M324" cm="1">
        <f t="array" ref="M324">_xlfn.XLOOKUP(Matrix[[#This Row],[TEAM]]&amp;Matrix[[#Headers],[1]],FDR[FDR]&amp;FDR[[#Headers],[1]],FDR[1],"",0,1)</f>
        <v>3</v>
      </c>
      <c r="N324" cm="1">
        <f t="array" ref="N324">_xlfn.XLOOKUP(Matrix[[#This Row],[TEAM]]&amp;Matrix[[#Headers],[2]],FDR[FDR]&amp;FDR[[#Headers],[2]],FDR[2],"",0,1)</f>
        <v>3</v>
      </c>
      <c r="O324" cm="1">
        <f t="array" ref="O324">_xlfn.XLOOKUP(Matrix[[#This Row],[TEAM]]&amp;Matrix[[#Headers],[3]],FDR[FDR]&amp;FDR[[#Headers],[3]],FDR[3],"",0,1)</f>
        <v>4</v>
      </c>
      <c r="P324" cm="1">
        <f t="array" ref="P324">_xlfn.XLOOKUP(Matrix[[#This Row],[TEAM]]&amp;Matrix[[#Headers],[4]],FDR[FDR]&amp;FDR[[#Headers],[4]],FDR[4],"",0,1)</f>
        <v>4</v>
      </c>
      <c r="Q324" cm="1">
        <f t="array" ref="Q324">_xlfn.XLOOKUP(Matrix[[#This Row],[TEAM]]&amp;Matrix[[#Headers],[5]],FDR[FDR]&amp;FDR[[#Headers],[5]],FDR[5],"",0,1)</f>
        <v>4</v>
      </c>
      <c r="R324" cm="1">
        <f t="array" ref="R324">_xlfn.XLOOKUP(Matrix[[#This Row],[TEAM]]&amp;Matrix[[#Headers],[6]],FDR[FDR]&amp;FDR[[#Headers],[6]],FDR[6],"",0,1)</f>
        <v>5</v>
      </c>
      <c r="S324" cm="1">
        <f t="array" ref="S324">_xlfn.XLOOKUP(Matrix[[#This Row],[TEAM]]&amp;Matrix[[#Headers],[7]],FDR[FDR]&amp;FDR[[#Headers],[7]],FDR[7],"",0,1)</f>
        <v>2</v>
      </c>
      <c r="T324" cm="1">
        <f t="array" ref="T324">_xlfn.XLOOKUP(Matrix[[#This Row],[TEAM]]&amp;Matrix[[#Headers],[8]],FDR[FDR]&amp;FDR[[#Headers],[8]],FDR[8],"",0,1)</f>
        <v>4</v>
      </c>
      <c r="U324" cm="1">
        <f t="array" ref="U324">_xlfn.XLOOKUP(Matrix[[#This Row],[TEAM]]&amp;Matrix[[#Headers],[9]],FDR[FDR]&amp;FDR[[#Headers],[9]],FDR[9],"",0,1)</f>
        <v>5</v>
      </c>
      <c r="V324" cm="1">
        <f t="array" ref="V324">_xlfn.XLOOKUP(Matrix[[#This Row],[TEAM]]&amp;Matrix[[#Headers],[10]],FDR[FDR]&amp;FDR[[#Headers],[10]],FDR[10],"",0,1)</f>
        <v>1</v>
      </c>
      <c r="W324" cm="1">
        <f t="array" ref="W324">_xlfn.XLOOKUP(Matrix[[#This Row],[TEAM]]&amp;Matrix[[#Headers],[11]],FDR[FDR]&amp;FDR[[#Headers],[11]],FDR[11],"",0,1)</f>
        <v>3</v>
      </c>
      <c r="X324" cm="1">
        <f t="array" ref="X324">_xlfn.XLOOKUP(Matrix[[#This Row],[TEAM]]&amp;Matrix[[#Headers],[12]],FDR[FDR]&amp;FDR[[#Headers],[12]],FDR[12],"",0,1)</f>
        <v>2</v>
      </c>
      <c r="Y324" cm="1">
        <f t="array" ref="Y324">_xlfn.XLOOKUP(Matrix[[#This Row],[TEAM]]&amp;Matrix[[#Headers],[13]],FDR[FDR]&amp;FDR[[#Headers],[13]],FDR[13],"",0,1)</f>
        <v>4</v>
      </c>
      <c r="Z324" cm="1">
        <f t="array" ref="Z324">_xlfn.XLOOKUP(Matrix[[#This Row],[TEAM]]&amp;Matrix[[#Headers],[14]],FDR[FDR]&amp;FDR[[#Headers],[14]],FDR[14],"",0,1)</f>
        <v>3</v>
      </c>
      <c r="AA324" cm="1">
        <f t="array" ref="AA324">_xlfn.XLOOKUP(Matrix[[#This Row],[TEAM]]&amp;Matrix[[#Headers],[15]],FDR[FDR]&amp;FDR[[#Headers],[15]],FDR[15],"",0,1)</f>
        <v>2</v>
      </c>
      <c r="AB324" cm="1">
        <f t="array" ref="AB324">_xlfn.XLOOKUP(Matrix[[#This Row],[TEAM]]&amp;Matrix[[#Headers],[16]],FDR[FDR]&amp;FDR[[#Headers],[16]],FDR[16],"",0,1)</f>
        <v>5</v>
      </c>
      <c r="AC324" cm="1">
        <f t="array" ref="AC324">_xlfn.XLOOKUP(Matrix[[#This Row],[TEAM]]&amp;Matrix[[#Headers],[17]],FDR[FDR]&amp;FDR[[#Headers],[17]],FDR[17],"",0,1)</f>
        <v>1</v>
      </c>
      <c r="AD324" cm="1">
        <f t="array" ref="AD324">_xlfn.XLOOKUP(Matrix[[#This Row],[TEAM]]&amp;Matrix[[#Headers],[18]],FDR[FDR]&amp;FDR[[#Headers],[18]],FDR[18],"",0,1)</f>
        <v>5</v>
      </c>
      <c r="AE324" cm="1">
        <f t="array" ref="AE324">_xlfn.XLOOKUP(Matrix[[#This Row],[TEAM]]&amp;Matrix[[#Headers],[19]],FDR[FDR]&amp;FDR[[#Headers],[19]],FDR[19],"",0,1)</f>
        <v>3</v>
      </c>
      <c r="AF324" cm="1">
        <f t="array" ref="AF324">_xlfn.XLOOKUP(Matrix[[#This Row],[TEAM]]&amp;Matrix[[#Headers],[20]],FDR[FDR]&amp;FDR[[#Headers],[20]],FDR[20],"",0,1)</f>
        <v>1</v>
      </c>
      <c r="AG324" cm="1">
        <f t="array" ref="AG324">_xlfn.XLOOKUP(Matrix[[#This Row],[TEAM]]&amp;Matrix[[#Headers],[21]],FDR[FDR]&amp;FDR[[#Headers],[21]],FDR[21],"",0,1)</f>
        <v>5</v>
      </c>
      <c r="AH324" cm="1">
        <f t="array" ref="AH324">_xlfn.XLOOKUP(Matrix[[#This Row],[TEAM]]&amp;Matrix[[#Headers],[22]],FDR[FDR]&amp;FDR[[#Headers],[22]],FDR[22],"",0,1)</f>
        <v>3</v>
      </c>
      <c r="AI324" cm="1">
        <f t="array" ref="AI324">_xlfn.XLOOKUP(Matrix[[#This Row],[TEAM]]&amp;Matrix[[#Headers],[23]],FDR[FDR]&amp;FDR[[#Headers],[23]],FDR[23],"",0,1)</f>
        <v>4</v>
      </c>
      <c r="AJ324" cm="1">
        <f t="array" ref="AJ324">_xlfn.XLOOKUP(Matrix[[#This Row],[TEAM]]&amp;Matrix[[#Headers],[24]],FDR[FDR]&amp;FDR[[#Headers],[24]],FDR[24],"",0,1)</f>
        <v>2</v>
      </c>
      <c r="AK324" cm="1">
        <f t="array" ref="AK324">_xlfn.XLOOKUP(Matrix[[#This Row],[TEAM]]&amp;Matrix[[#Headers],[25]],FDR[FDR]&amp;FDR[[#Headers],[25]],FDR[25],"",0,1)</f>
        <v>2</v>
      </c>
      <c r="AL324" cm="1">
        <f t="array" ref="AL324">_xlfn.XLOOKUP(Matrix[[#This Row],[TEAM]]&amp;Matrix[[#Headers],[26]],FDR[FDR]&amp;FDR[[#Headers],[26]],FDR[26],"",0,1)</f>
        <v>5</v>
      </c>
      <c r="AM324" cm="1">
        <f t="array" ref="AM324">_xlfn.XLOOKUP(Matrix[[#This Row],[TEAM]]&amp;Matrix[[#Headers],[27]],FDR[FDR]&amp;FDR[[#Headers],[27]],FDR[27],"",0,1)</f>
        <v>3</v>
      </c>
      <c r="AN324" cm="1">
        <f t="array" ref="AN324">_xlfn.XLOOKUP(Matrix[[#This Row],[TEAM]]&amp;Matrix[[#Headers],[28]],FDR[FDR]&amp;FDR[[#Headers],[28]],FDR[28],"",0,1)</f>
        <v>3</v>
      </c>
      <c r="AO324" cm="1">
        <f t="array" ref="AO324">_xlfn.XLOOKUP(Matrix[[#This Row],[TEAM]]&amp;Matrix[[#Headers],[29]],FDR[FDR]&amp;FDR[[#Headers],[29]],FDR[29],"",0,1)</f>
        <v>4</v>
      </c>
      <c r="AP324" cm="1">
        <f t="array" ref="AP324">_xlfn.XLOOKUP(Matrix[[#This Row],[TEAM]]&amp;Matrix[[#Headers],[30]],FDR[FDR]&amp;FDR[[#Headers],[30]],FDR[30],"",0,1)</f>
        <v>2</v>
      </c>
      <c r="AQ324" cm="1">
        <f t="array" ref="AQ324">_xlfn.XLOOKUP(Matrix[[#This Row],[TEAM]]&amp;Matrix[[#Headers],[31]],FDR[FDR]&amp;FDR[[#Headers],[31]],FDR[31],"",0,1)</f>
        <v>4</v>
      </c>
      <c r="AR324" cm="1">
        <f t="array" ref="AR324">_xlfn.XLOOKUP(Matrix[[#This Row],[TEAM]]&amp;Matrix[[#Headers],[32]],FDR[FDR]&amp;FDR[[#Headers],[32]],FDR[32],"",0,1)</f>
        <v>2</v>
      </c>
      <c r="AS324" cm="1">
        <f t="array" ref="AS324">_xlfn.XLOOKUP(Matrix[[#This Row],[TEAM]]&amp;Matrix[[#Headers],[33]],FDR[FDR]&amp;FDR[[#Headers],[33]],FDR[33],"",0,1)</f>
        <v>5</v>
      </c>
      <c r="AT324" cm="1">
        <f t="array" ref="AT324">_xlfn.XLOOKUP(Matrix[[#This Row],[TEAM]]&amp;Matrix[[#Headers],[34]],FDR[FDR]&amp;FDR[[#Headers],[34]],FDR[34],"",0,1)</f>
        <v>4</v>
      </c>
      <c r="AU324" cm="1">
        <f t="array" ref="AU324">_xlfn.XLOOKUP(Matrix[[#This Row],[TEAM]]&amp;Matrix[[#Headers],[35]],FDR[FDR]&amp;FDR[[#Headers],[35]],FDR[35],"",0,1)</f>
        <v>5</v>
      </c>
      <c r="AV324" cm="1">
        <f t="array" ref="AV324">_xlfn.XLOOKUP(Matrix[[#This Row],[TEAM]]&amp;Matrix[[#Headers],[36]],FDR[FDR]&amp;FDR[[#Headers],[36]],FDR[36],"",0,1)</f>
        <v>1</v>
      </c>
      <c r="AW324" cm="1">
        <f t="array" ref="AW324">_xlfn.XLOOKUP(Matrix[[#This Row],[TEAM]]&amp;Matrix[[#Headers],[37]],FDR[FDR]&amp;FDR[[#Headers],[37]],FDR[37],"",0,1)</f>
        <v>2</v>
      </c>
      <c r="AX324" cm="1">
        <f t="array" ref="AX324">_xlfn.XLOOKUP(Matrix[[#This Row],[TEAM]]&amp;Matrix[[#Headers],[38]],FDR[FDR]&amp;FDR[[#Headers],[38]],FDR[38],"",0,1)</f>
        <v>4</v>
      </c>
    </row>
    <row r="325" spans="1:50" ht="22" thickTop="1" thickBot="1">
      <c r="A325" s="51" t="s">
        <v>657</v>
      </c>
      <c r="B325" s="70" t="s">
        <v>1770</v>
      </c>
      <c r="C325" s="40" t="s">
        <v>51</v>
      </c>
      <c r="D325" s="62">
        <v>42</v>
      </c>
      <c r="E325" s="60">
        <v>1E-3</v>
      </c>
      <c r="F325" s="61">
        <v>47.6</v>
      </c>
      <c r="G325" s="63">
        <v>4.5</v>
      </c>
      <c r="H325" s="261">
        <f>IF(ISBLANK(I325),0,1)</f>
        <v>0</v>
      </c>
      <c r="I325" s="57"/>
      <c r="J325" s="58"/>
      <c r="K325" s="65" t="s">
        <v>922</v>
      </c>
      <c r="L325" s="65" t="s">
        <v>921</v>
      </c>
      <c r="M325" cm="1">
        <f t="array" ref="M325">_xlfn.XLOOKUP(Matrix[[#This Row],[TEAM]]&amp;Matrix[[#Headers],[1]],FDR[FDR]&amp;FDR[[#Headers],[1]],FDR[1],"",0,1)</f>
        <v>5</v>
      </c>
      <c r="N325" cm="1">
        <f t="array" ref="N325">_xlfn.XLOOKUP(Matrix[[#This Row],[TEAM]]&amp;Matrix[[#Headers],[2]],FDR[FDR]&amp;FDR[[#Headers],[2]],FDR[2],"",0,1)</f>
        <v>5</v>
      </c>
      <c r="O325" cm="1">
        <f t="array" ref="O325">_xlfn.XLOOKUP(Matrix[[#This Row],[TEAM]]&amp;Matrix[[#Headers],[3]],FDR[FDR]&amp;FDR[[#Headers],[3]],FDR[3],"",0,1)</f>
        <v>4</v>
      </c>
      <c r="P325" cm="1">
        <f t="array" ref="P325">_xlfn.XLOOKUP(Matrix[[#This Row],[TEAM]]&amp;Matrix[[#Headers],[4]],FDR[FDR]&amp;FDR[[#Headers],[4]],FDR[4],"",0,1)</f>
        <v>5</v>
      </c>
      <c r="Q325" cm="1">
        <f t="array" ref="Q325">_xlfn.XLOOKUP(Matrix[[#This Row],[TEAM]]&amp;Matrix[[#Headers],[5]],FDR[FDR]&amp;FDR[[#Headers],[5]],FDR[5],"",0,1)</f>
        <v>2</v>
      </c>
      <c r="R325" cm="1">
        <f t="array" ref="R325">_xlfn.XLOOKUP(Matrix[[#This Row],[TEAM]]&amp;Matrix[[#Headers],[6]],FDR[FDR]&amp;FDR[[#Headers],[6]],FDR[6],"",0,1)</f>
        <v>5</v>
      </c>
      <c r="S325" cm="1">
        <f t="array" ref="S325">_xlfn.XLOOKUP(Matrix[[#This Row],[TEAM]]&amp;Matrix[[#Headers],[7]],FDR[FDR]&amp;FDR[[#Headers],[7]],FDR[7],"",0,1)</f>
        <v>4</v>
      </c>
      <c r="T325" cm="1">
        <f t="array" ref="T325">_xlfn.XLOOKUP(Matrix[[#This Row],[TEAM]]&amp;Matrix[[#Headers],[8]],FDR[FDR]&amp;FDR[[#Headers],[8]],FDR[8],"",0,1)</f>
        <v>3</v>
      </c>
      <c r="U325" cm="1">
        <f t="array" ref="U325">_xlfn.XLOOKUP(Matrix[[#This Row],[TEAM]]&amp;Matrix[[#Headers],[9]],FDR[FDR]&amp;FDR[[#Headers],[9]],FDR[9],"",0,1)</f>
        <v>2</v>
      </c>
      <c r="V325" cm="1">
        <f t="array" ref="V325">_xlfn.XLOOKUP(Matrix[[#This Row],[TEAM]]&amp;Matrix[[#Headers],[10]],FDR[FDR]&amp;FDR[[#Headers],[10]],FDR[10],"",0,1)</f>
        <v>5</v>
      </c>
      <c r="W325" cm="1">
        <f t="array" ref="W325">_xlfn.XLOOKUP(Matrix[[#This Row],[TEAM]]&amp;Matrix[[#Headers],[11]],FDR[FDR]&amp;FDR[[#Headers],[11]],FDR[11],"",0,1)</f>
        <v>5</v>
      </c>
      <c r="X325" cm="1">
        <f t="array" ref="X325">_xlfn.XLOOKUP(Matrix[[#This Row],[TEAM]]&amp;Matrix[[#Headers],[12]],FDR[FDR]&amp;FDR[[#Headers],[12]],FDR[12],"",0,1)</f>
        <v>4</v>
      </c>
      <c r="Y325" cm="1">
        <f t="array" ref="Y325">_xlfn.XLOOKUP(Matrix[[#This Row],[TEAM]]&amp;Matrix[[#Headers],[13]],FDR[FDR]&amp;FDR[[#Headers],[13]],FDR[13],"",0,1)</f>
        <v>5</v>
      </c>
      <c r="Z325" cm="1">
        <f t="array" ref="Z325">_xlfn.XLOOKUP(Matrix[[#This Row],[TEAM]]&amp;Matrix[[#Headers],[14]],FDR[FDR]&amp;FDR[[#Headers],[14]],FDR[14],"",0,1)</f>
        <v>4</v>
      </c>
      <c r="AA325" cm="1">
        <f t="array" ref="AA325">_xlfn.XLOOKUP(Matrix[[#This Row],[TEAM]]&amp;Matrix[[#Headers],[15]],FDR[FDR]&amp;FDR[[#Headers],[15]],FDR[15],"",0,1)</f>
        <v>5</v>
      </c>
      <c r="AB325" cm="1">
        <f t="array" ref="AB325">_xlfn.XLOOKUP(Matrix[[#This Row],[TEAM]]&amp;Matrix[[#Headers],[16]],FDR[FDR]&amp;FDR[[#Headers],[16]],FDR[16],"",0,1)</f>
        <v>5</v>
      </c>
      <c r="AC325" cm="1">
        <f t="array" ref="AC325">_xlfn.XLOOKUP(Matrix[[#This Row],[TEAM]]&amp;Matrix[[#Headers],[17]],FDR[FDR]&amp;FDR[[#Headers],[17]],FDR[17],"",0,1)</f>
        <v>4</v>
      </c>
      <c r="AD325" cm="1">
        <f t="array" ref="AD325">_xlfn.XLOOKUP(Matrix[[#This Row],[TEAM]]&amp;Matrix[[#Headers],[18]],FDR[FDR]&amp;FDR[[#Headers],[18]],FDR[18],"",0,1)</f>
        <v>5</v>
      </c>
      <c r="AE325" cm="1">
        <f t="array" ref="AE325">_xlfn.XLOOKUP(Matrix[[#This Row],[TEAM]]&amp;Matrix[[#Headers],[19]],FDR[FDR]&amp;FDR[[#Headers],[19]],FDR[19],"",0,1)</f>
        <v>5</v>
      </c>
      <c r="AF325" cm="1">
        <f t="array" ref="AF325">_xlfn.XLOOKUP(Matrix[[#This Row],[TEAM]]&amp;Matrix[[#Headers],[20]],FDR[FDR]&amp;FDR[[#Headers],[20]],FDR[20],"",0,1)</f>
        <v>4</v>
      </c>
      <c r="AG325" cm="1">
        <f t="array" ref="AG325">_xlfn.XLOOKUP(Matrix[[#This Row],[TEAM]]&amp;Matrix[[#Headers],[21]],FDR[FDR]&amp;FDR[[#Headers],[21]],FDR[21],"",0,1)</f>
        <v>5</v>
      </c>
      <c r="AH325" cm="1">
        <f t="array" ref="AH325">_xlfn.XLOOKUP(Matrix[[#This Row],[TEAM]]&amp;Matrix[[#Headers],[22]],FDR[FDR]&amp;FDR[[#Headers],[22]],FDR[22],"",0,1)</f>
        <v>5</v>
      </c>
      <c r="AI325" cm="1">
        <f t="array" ref="AI325">_xlfn.XLOOKUP(Matrix[[#This Row],[TEAM]]&amp;Matrix[[#Headers],[23]],FDR[FDR]&amp;FDR[[#Headers],[23]],FDR[23],"",0,1)</f>
        <v>5</v>
      </c>
      <c r="AJ325" cm="1">
        <f t="array" ref="AJ325">_xlfn.XLOOKUP(Matrix[[#This Row],[TEAM]]&amp;Matrix[[#Headers],[24]],FDR[FDR]&amp;FDR[[#Headers],[24]],FDR[24],"",0,1)</f>
        <v>4</v>
      </c>
      <c r="AK325" cm="1">
        <f t="array" ref="AK325">_xlfn.XLOOKUP(Matrix[[#This Row],[TEAM]]&amp;Matrix[[#Headers],[25]],FDR[FDR]&amp;FDR[[#Headers],[25]],FDR[25],"",0,1)</f>
        <v>5</v>
      </c>
      <c r="AL325" cm="1">
        <f t="array" ref="AL325">_xlfn.XLOOKUP(Matrix[[#This Row],[TEAM]]&amp;Matrix[[#Headers],[26]],FDR[FDR]&amp;FDR[[#Headers],[26]],FDR[26],"",0,1)</f>
        <v>5</v>
      </c>
      <c r="AM325" cm="1">
        <f t="array" ref="AM325">_xlfn.XLOOKUP(Matrix[[#This Row],[TEAM]]&amp;Matrix[[#Headers],[27]],FDR[FDR]&amp;FDR[[#Headers],[27]],FDR[27],"",0,1)</f>
        <v>5</v>
      </c>
      <c r="AN325" cm="1">
        <f t="array" ref="AN325">_xlfn.XLOOKUP(Matrix[[#This Row],[TEAM]]&amp;Matrix[[#Headers],[28]],FDR[FDR]&amp;FDR[[#Headers],[28]],FDR[28],"",0,1)</f>
        <v>5</v>
      </c>
      <c r="AO325" cm="1">
        <f t="array" ref="AO325">_xlfn.XLOOKUP(Matrix[[#This Row],[TEAM]]&amp;Matrix[[#Headers],[29]],FDR[FDR]&amp;FDR[[#Headers],[29]],FDR[29],"",0,1)</f>
        <v>5</v>
      </c>
      <c r="AP325" cm="1">
        <f t="array" ref="AP325">_xlfn.XLOOKUP(Matrix[[#This Row],[TEAM]]&amp;Matrix[[#Headers],[30]],FDR[FDR]&amp;FDR[[#Headers],[30]],FDR[30],"",0,1)</f>
        <v>5</v>
      </c>
      <c r="AQ325" cm="1">
        <f t="array" ref="AQ325">_xlfn.XLOOKUP(Matrix[[#This Row],[TEAM]]&amp;Matrix[[#Headers],[31]],FDR[FDR]&amp;FDR[[#Headers],[31]],FDR[31],"",0,1)</f>
        <v>5</v>
      </c>
      <c r="AR325" cm="1">
        <f t="array" ref="AR325">_xlfn.XLOOKUP(Matrix[[#This Row],[TEAM]]&amp;Matrix[[#Headers],[32]],FDR[FDR]&amp;FDR[[#Headers],[32]],FDR[32],"",0,1)</f>
        <v>5</v>
      </c>
      <c r="AS325" cm="1">
        <f t="array" ref="AS325">_xlfn.XLOOKUP(Matrix[[#This Row],[TEAM]]&amp;Matrix[[#Headers],[33]],FDR[FDR]&amp;FDR[[#Headers],[33]],FDR[33],"",0,1)</f>
        <v>3</v>
      </c>
      <c r="AT325" cm="1">
        <f t="array" ref="AT325">_xlfn.XLOOKUP(Matrix[[#This Row],[TEAM]]&amp;Matrix[[#Headers],[34]],FDR[FDR]&amp;FDR[[#Headers],[34]],FDR[34],"",0,1)</f>
        <v>5</v>
      </c>
      <c r="AU325" cm="1">
        <f t="array" ref="AU325">_xlfn.XLOOKUP(Matrix[[#This Row],[TEAM]]&amp;Matrix[[#Headers],[35]],FDR[FDR]&amp;FDR[[#Headers],[35]],FDR[35],"",0,1)</f>
        <v>2</v>
      </c>
      <c r="AV325" cm="1">
        <f t="array" ref="AV325">_xlfn.XLOOKUP(Matrix[[#This Row],[TEAM]]&amp;Matrix[[#Headers],[36]],FDR[FDR]&amp;FDR[[#Headers],[36]],FDR[36],"",0,1)</f>
        <v>5</v>
      </c>
      <c r="AW325" cm="1">
        <f t="array" ref="AW325">_xlfn.XLOOKUP(Matrix[[#This Row],[TEAM]]&amp;Matrix[[#Headers],[37]],FDR[FDR]&amp;FDR[[#Headers],[37]],FDR[37],"",0,1)</f>
        <v>4</v>
      </c>
      <c r="AX325" cm="1">
        <f t="array" ref="AX325">_xlfn.XLOOKUP(Matrix[[#This Row],[TEAM]]&amp;Matrix[[#Headers],[38]],FDR[FDR]&amp;FDR[[#Headers],[38]],FDR[38],"",0,1)</f>
        <v>3</v>
      </c>
    </row>
    <row r="326" spans="1:50" ht="22" thickTop="1" thickBot="1">
      <c r="A326" s="51" t="s">
        <v>657</v>
      </c>
      <c r="B326" s="70" t="s">
        <v>1696</v>
      </c>
      <c r="C326" s="40" t="s">
        <v>21</v>
      </c>
      <c r="D326" s="62">
        <v>39</v>
      </c>
      <c r="E326" s="60">
        <v>2E-3</v>
      </c>
      <c r="F326" s="61">
        <v>48.5</v>
      </c>
      <c r="G326" s="63">
        <v>4.5</v>
      </c>
      <c r="H326" s="261">
        <f>IF(ISBLANK(I326),0,1)</f>
        <v>0</v>
      </c>
      <c r="I326" s="57"/>
      <c r="J326" s="58"/>
      <c r="K326" s="65" t="s">
        <v>532</v>
      </c>
      <c r="L326" s="65" t="s">
        <v>159</v>
      </c>
      <c r="M326" cm="1">
        <f t="array" ref="M326">_xlfn.XLOOKUP(Matrix[[#This Row],[TEAM]]&amp;Matrix[[#Headers],[1]],FDR[FDR]&amp;FDR[[#Headers],[1]],FDR[1],"",0,1)</f>
        <v>4</v>
      </c>
      <c r="N326" cm="1">
        <f t="array" ref="N326">_xlfn.XLOOKUP(Matrix[[#This Row],[TEAM]]&amp;Matrix[[#Headers],[2]],FDR[FDR]&amp;FDR[[#Headers],[2]],FDR[2],"",0,1)</f>
        <v>4</v>
      </c>
      <c r="O326" cm="1">
        <f t="array" ref="O326">_xlfn.XLOOKUP(Matrix[[#This Row],[TEAM]]&amp;Matrix[[#Headers],[3]],FDR[FDR]&amp;FDR[[#Headers],[3]],FDR[3],"",0,1)</f>
        <v>2</v>
      </c>
      <c r="P326" cm="1">
        <f t="array" ref="P326">_xlfn.XLOOKUP(Matrix[[#This Row],[TEAM]]&amp;Matrix[[#Headers],[4]],FDR[FDR]&amp;FDR[[#Headers],[4]],FDR[4],"",0,1)</f>
        <v>4</v>
      </c>
      <c r="Q326" cm="1">
        <f t="array" ref="Q326">_xlfn.XLOOKUP(Matrix[[#This Row],[TEAM]]&amp;Matrix[[#Headers],[5]],FDR[FDR]&amp;FDR[[#Headers],[5]],FDR[5],"",0,1)</f>
        <v>4</v>
      </c>
      <c r="R326" cm="1">
        <f t="array" ref="R326">_xlfn.XLOOKUP(Matrix[[#This Row],[TEAM]]&amp;Matrix[[#Headers],[6]],FDR[FDR]&amp;FDR[[#Headers],[6]],FDR[6],"",0,1)</f>
        <v>4</v>
      </c>
      <c r="S326" cm="1">
        <f t="array" ref="S326">_xlfn.XLOOKUP(Matrix[[#This Row],[TEAM]]&amp;Matrix[[#Headers],[7]],FDR[FDR]&amp;FDR[[#Headers],[7]],FDR[7],"",0,1)</f>
        <v>4</v>
      </c>
      <c r="T326" cm="1">
        <f t="array" ref="T326">_xlfn.XLOOKUP(Matrix[[#This Row],[TEAM]]&amp;Matrix[[#Headers],[8]],FDR[FDR]&amp;FDR[[#Headers],[8]],FDR[8],"",0,1)</f>
        <v>4</v>
      </c>
      <c r="U326" cm="1">
        <f t="array" ref="U326">_xlfn.XLOOKUP(Matrix[[#This Row],[TEAM]]&amp;Matrix[[#Headers],[9]],FDR[FDR]&amp;FDR[[#Headers],[9]],FDR[9],"",0,1)</f>
        <v>4</v>
      </c>
      <c r="V326" cm="1">
        <f t="array" ref="V326">_xlfn.XLOOKUP(Matrix[[#This Row],[TEAM]]&amp;Matrix[[#Headers],[10]],FDR[FDR]&amp;FDR[[#Headers],[10]],FDR[10],"",0,1)</f>
        <v>4</v>
      </c>
      <c r="W326" cm="1">
        <f t="array" ref="W326">_xlfn.XLOOKUP(Matrix[[#This Row],[TEAM]]&amp;Matrix[[#Headers],[11]],FDR[FDR]&amp;FDR[[#Headers],[11]],FDR[11],"",0,1)</f>
        <v>4</v>
      </c>
      <c r="X326" cm="1">
        <f t="array" ref="X326">_xlfn.XLOOKUP(Matrix[[#This Row],[TEAM]]&amp;Matrix[[#Headers],[12]],FDR[FDR]&amp;FDR[[#Headers],[12]],FDR[12],"",0,1)</f>
        <v>4</v>
      </c>
      <c r="Y326" cm="1">
        <f t="array" ref="Y326">_xlfn.XLOOKUP(Matrix[[#This Row],[TEAM]]&amp;Matrix[[#Headers],[13]],FDR[FDR]&amp;FDR[[#Headers],[13]],FDR[13],"",0,1)</f>
        <v>1</v>
      </c>
      <c r="Z326" cm="1">
        <f t="array" ref="Z326">_xlfn.XLOOKUP(Matrix[[#This Row],[TEAM]]&amp;Matrix[[#Headers],[14]],FDR[FDR]&amp;FDR[[#Headers],[14]],FDR[14],"",0,1)</f>
        <v>5</v>
      </c>
      <c r="AA326" cm="1">
        <f t="array" ref="AA326">_xlfn.XLOOKUP(Matrix[[#This Row],[TEAM]]&amp;Matrix[[#Headers],[15]],FDR[FDR]&amp;FDR[[#Headers],[15]],FDR[15],"",0,1)</f>
        <v>5</v>
      </c>
      <c r="AB326" cm="1">
        <f t="array" ref="AB326">_xlfn.XLOOKUP(Matrix[[#This Row],[TEAM]]&amp;Matrix[[#Headers],[16]],FDR[FDR]&amp;FDR[[#Headers],[16]],FDR[16],"",0,1)</f>
        <v>1</v>
      </c>
      <c r="AC326" cm="1">
        <f t="array" ref="AC326">_xlfn.XLOOKUP(Matrix[[#This Row],[TEAM]]&amp;Matrix[[#Headers],[17]],FDR[FDR]&amp;FDR[[#Headers],[17]],FDR[17],"",0,1)</f>
        <v>2</v>
      </c>
      <c r="AD326" cm="1">
        <f t="array" ref="AD326">_xlfn.XLOOKUP(Matrix[[#This Row],[TEAM]]&amp;Matrix[[#Headers],[18]],FDR[FDR]&amp;FDR[[#Headers],[18]],FDR[18],"",0,1)</f>
        <v>3</v>
      </c>
      <c r="AE326" cm="1">
        <f t="array" ref="AE326">_xlfn.XLOOKUP(Matrix[[#This Row],[TEAM]]&amp;Matrix[[#Headers],[19]],FDR[FDR]&amp;FDR[[#Headers],[19]],FDR[19],"",0,1)</f>
        <v>4</v>
      </c>
      <c r="AF326" cm="1">
        <f t="array" ref="AF326">_xlfn.XLOOKUP(Matrix[[#This Row],[TEAM]]&amp;Matrix[[#Headers],[20]],FDR[FDR]&amp;FDR[[#Headers],[20]],FDR[20],"",0,1)</f>
        <v>4</v>
      </c>
      <c r="AG326" cm="1">
        <f t="array" ref="AG326">_xlfn.XLOOKUP(Matrix[[#This Row],[TEAM]]&amp;Matrix[[#Headers],[21]],FDR[FDR]&amp;FDR[[#Headers],[21]],FDR[21],"",0,1)</f>
        <v>1</v>
      </c>
      <c r="AH326" cm="1">
        <f t="array" ref="AH326">_xlfn.XLOOKUP(Matrix[[#This Row],[TEAM]]&amp;Matrix[[#Headers],[22]],FDR[FDR]&amp;FDR[[#Headers],[22]],FDR[22],"",0,1)</f>
        <v>5</v>
      </c>
      <c r="AI326" cm="1">
        <f t="array" ref="AI326">_xlfn.XLOOKUP(Matrix[[#This Row],[TEAM]]&amp;Matrix[[#Headers],[23]],FDR[FDR]&amp;FDR[[#Headers],[23]],FDR[23],"",0,1)</f>
        <v>3</v>
      </c>
      <c r="AJ326" cm="1">
        <f t="array" ref="AJ326">_xlfn.XLOOKUP(Matrix[[#This Row],[TEAM]]&amp;Matrix[[#Headers],[24]],FDR[FDR]&amp;FDR[[#Headers],[24]],FDR[24],"",0,1)</f>
        <v>5</v>
      </c>
      <c r="AK326" cm="1">
        <f t="array" ref="AK326">_xlfn.XLOOKUP(Matrix[[#This Row],[TEAM]]&amp;Matrix[[#Headers],[25]],FDR[FDR]&amp;FDR[[#Headers],[25]],FDR[25],"",0,1)</f>
        <v>5</v>
      </c>
      <c r="AL326" cm="1">
        <f t="array" ref="AL326">_xlfn.XLOOKUP(Matrix[[#This Row],[TEAM]]&amp;Matrix[[#Headers],[26]],FDR[FDR]&amp;FDR[[#Headers],[26]],FDR[26],"",0,1)</f>
        <v>4</v>
      </c>
      <c r="AM326" cm="1">
        <f t="array" ref="AM326">_xlfn.XLOOKUP(Matrix[[#This Row],[TEAM]]&amp;Matrix[[#Headers],[27]],FDR[FDR]&amp;FDR[[#Headers],[27]],FDR[27],"",0,1)</f>
        <v>3</v>
      </c>
      <c r="AN326" cm="1">
        <f t="array" ref="AN326">_xlfn.XLOOKUP(Matrix[[#This Row],[TEAM]]&amp;Matrix[[#Headers],[28]],FDR[FDR]&amp;FDR[[#Headers],[28]],FDR[28],"",0,1)</f>
        <v>2</v>
      </c>
      <c r="AO326" cm="1">
        <f t="array" ref="AO326">_xlfn.XLOOKUP(Matrix[[#This Row],[TEAM]]&amp;Matrix[[#Headers],[29]],FDR[FDR]&amp;FDR[[#Headers],[29]],FDR[29],"",0,1)</f>
        <v>4</v>
      </c>
      <c r="AP326" cm="1">
        <f t="array" ref="AP326">_xlfn.XLOOKUP(Matrix[[#This Row],[TEAM]]&amp;Matrix[[#Headers],[30]],FDR[FDR]&amp;FDR[[#Headers],[30]],FDR[30],"",0,1)</f>
        <v>2</v>
      </c>
      <c r="AQ326" cm="1">
        <f t="array" ref="AQ326">_xlfn.XLOOKUP(Matrix[[#This Row],[TEAM]]&amp;Matrix[[#Headers],[31]],FDR[FDR]&amp;FDR[[#Headers],[31]],FDR[31],"",0,1)</f>
        <v>2</v>
      </c>
      <c r="AR326" cm="1">
        <f t="array" ref="AR326">_xlfn.XLOOKUP(Matrix[[#This Row],[TEAM]]&amp;Matrix[[#Headers],[32]],FDR[FDR]&amp;FDR[[#Headers],[32]],FDR[32],"",0,1)</f>
        <v>3</v>
      </c>
      <c r="AS326" cm="1">
        <f t="array" ref="AS326">_xlfn.XLOOKUP(Matrix[[#This Row],[TEAM]]&amp;Matrix[[#Headers],[33]],FDR[FDR]&amp;FDR[[#Headers],[33]],FDR[33],"",0,1)</f>
        <v>3</v>
      </c>
      <c r="AT326" cm="1">
        <f t="array" ref="AT326">_xlfn.XLOOKUP(Matrix[[#This Row],[TEAM]]&amp;Matrix[[#Headers],[34]],FDR[FDR]&amp;FDR[[#Headers],[34]],FDR[34],"",0,1)</f>
        <v>5</v>
      </c>
      <c r="AU326" cm="1">
        <f t="array" ref="AU326">_xlfn.XLOOKUP(Matrix[[#This Row],[TEAM]]&amp;Matrix[[#Headers],[35]],FDR[FDR]&amp;FDR[[#Headers],[35]],FDR[35],"",0,1)</f>
        <v>3</v>
      </c>
      <c r="AV326" cm="1">
        <f t="array" ref="AV326">_xlfn.XLOOKUP(Matrix[[#This Row],[TEAM]]&amp;Matrix[[#Headers],[36]],FDR[FDR]&amp;FDR[[#Headers],[36]],FDR[36],"",0,1)</f>
        <v>5</v>
      </c>
      <c r="AW326" cm="1">
        <f t="array" ref="AW326">_xlfn.XLOOKUP(Matrix[[#This Row],[TEAM]]&amp;Matrix[[#Headers],[37]],FDR[FDR]&amp;FDR[[#Headers],[37]],FDR[37],"",0,1)</f>
        <v>3</v>
      </c>
      <c r="AX326" cm="1">
        <f t="array" ref="AX326">_xlfn.XLOOKUP(Matrix[[#This Row],[TEAM]]&amp;Matrix[[#Headers],[38]],FDR[FDR]&amp;FDR[[#Headers],[38]],FDR[38],"",0,1)</f>
        <v>5</v>
      </c>
    </row>
    <row r="327" spans="1:50" ht="22" thickTop="1" thickBot="1">
      <c r="A327" s="51" t="s">
        <v>657</v>
      </c>
      <c r="B327" s="70" t="s">
        <v>1652</v>
      </c>
      <c r="C327" s="40" t="s">
        <v>30</v>
      </c>
      <c r="D327" s="62">
        <v>39</v>
      </c>
      <c r="E327" s="60">
        <v>7.0000000000000001E-3</v>
      </c>
      <c r="F327" s="61">
        <v>76.099999999999994</v>
      </c>
      <c r="G327" s="63">
        <v>4.5</v>
      </c>
      <c r="H327" s="261">
        <f>IF(ISBLANK(I327),0,1)</f>
        <v>0</v>
      </c>
      <c r="I327" s="57"/>
      <c r="J327" s="58"/>
      <c r="K327" s="65" t="s">
        <v>351</v>
      </c>
      <c r="L327" s="65" t="s">
        <v>153</v>
      </c>
      <c r="M327" cm="1">
        <f t="array" ref="M327">_xlfn.XLOOKUP(Matrix[[#This Row],[TEAM]]&amp;Matrix[[#Headers],[1]],FDR[FDR]&amp;FDR[[#Headers],[1]],FDR[1],"",0,1)</f>
        <v>3</v>
      </c>
      <c r="N327" cm="1">
        <f t="array" ref="N327">_xlfn.XLOOKUP(Matrix[[#This Row],[TEAM]]&amp;Matrix[[#Headers],[2]],FDR[FDR]&amp;FDR[[#Headers],[2]],FDR[2],"",0,1)</f>
        <v>2</v>
      </c>
      <c r="O327" cm="1">
        <f t="array" ref="O327">_xlfn.XLOOKUP(Matrix[[#This Row],[TEAM]]&amp;Matrix[[#Headers],[3]],FDR[FDR]&amp;FDR[[#Headers],[3]],FDR[3],"",0,1)</f>
        <v>1</v>
      </c>
      <c r="P327" cm="1">
        <f t="array" ref="P327">_xlfn.XLOOKUP(Matrix[[#This Row],[TEAM]]&amp;Matrix[[#Headers],[4]],FDR[FDR]&amp;FDR[[#Headers],[4]],FDR[4],"",0,1)</f>
        <v>4</v>
      </c>
      <c r="Q327" cm="1">
        <f t="array" ref="Q327">_xlfn.XLOOKUP(Matrix[[#This Row],[TEAM]]&amp;Matrix[[#Headers],[5]],FDR[FDR]&amp;FDR[[#Headers],[5]],FDR[5],"",0,1)</f>
        <v>3</v>
      </c>
      <c r="R327" cm="1">
        <f t="array" ref="R327">_xlfn.XLOOKUP(Matrix[[#This Row],[TEAM]]&amp;Matrix[[#Headers],[6]],FDR[FDR]&amp;FDR[[#Headers],[6]],FDR[6],"",0,1)</f>
        <v>2</v>
      </c>
      <c r="S327" cm="1">
        <f t="array" ref="S327">_xlfn.XLOOKUP(Matrix[[#This Row],[TEAM]]&amp;Matrix[[#Headers],[7]],FDR[FDR]&amp;FDR[[#Headers],[7]],FDR[7],"",0,1)</f>
        <v>1</v>
      </c>
      <c r="T327" cm="1">
        <f t="array" ref="T327">_xlfn.XLOOKUP(Matrix[[#This Row],[TEAM]]&amp;Matrix[[#Headers],[8]],FDR[FDR]&amp;FDR[[#Headers],[8]],FDR[8],"",0,1)</f>
        <v>4</v>
      </c>
      <c r="U327" cm="1">
        <f t="array" ref="U327">_xlfn.XLOOKUP(Matrix[[#This Row],[TEAM]]&amp;Matrix[[#Headers],[9]],FDR[FDR]&amp;FDR[[#Headers],[9]],FDR[9],"",0,1)</f>
        <v>1</v>
      </c>
      <c r="V327" cm="1">
        <f t="array" ref="V327">_xlfn.XLOOKUP(Matrix[[#This Row],[TEAM]]&amp;Matrix[[#Headers],[10]],FDR[FDR]&amp;FDR[[#Headers],[10]],FDR[10],"",0,1)</f>
        <v>2</v>
      </c>
      <c r="W327" cm="1">
        <f t="array" ref="W327">_xlfn.XLOOKUP(Matrix[[#This Row],[TEAM]]&amp;Matrix[[#Headers],[11]],FDR[FDR]&amp;FDR[[#Headers],[11]],FDR[11],"",0,1)</f>
        <v>4</v>
      </c>
      <c r="X327" cm="1">
        <f t="array" ref="X327">_xlfn.XLOOKUP(Matrix[[#This Row],[TEAM]]&amp;Matrix[[#Headers],[12]],FDR[FDR]&amp;FDR[[#Headers],[12]],FDR[12],"",0,1)</f>
        <v>1</v>
      </c>
      <c r="Y327" cm="1">
        <f t="array" ref="Y327">_xlfn.XLOOKUP(Matrix[[#This Row],[TEAM]]&amp;Matrix[[#Headers],[13]],FDR[FDR]&amp;FDR[[#Headers],[13]],FDR[13],"",0,1)</f>
        <v>2</v>
      </c>
      <c r="Z327" cm="1">
        <f t="array" ref="Z327">_xlfn.XLOOKUP(Matrix[[#This Row],[TEAM]]&amp;Matrix[[#Headers],[14]],FDR[FDR]&amp;FDR[[#Headers],[14]],FDR[14],"",0,1)</f>
        <v>1</v>
      </c>
      <c r="AA327" cm="1">
        <f t="array" ref="AA327">_xlfn.XLOOKUP(Matrix[[#This Row],[TEAM]]&amp;Matrix[[#Headers],[15]],FDR[FDR]&amp;FDR[[#Headers],[15]],FDR[15],"",0,1)</f>
        <v>1</v>
      </c>
      <c r="AB327" cm="1">
        <f t="array" ref="AB327">_xlfn.XLOOKUP(Matrix[[#This Row],[TEAM]]&amp;Matrix[[#Headers],[16]],FDR[FDR]&amp;FDR[[#Headers],[16]],FDR[16],"",0,1)</f>
        <v>1</v>
      </c>
      <c r="AC327" cm="1">
        <f t="array" ref="AC327">_xlfn.XLOOKUP(Matrix[[#This Row],[TEAM]]&amp;Matrix[[#Headers],[17]],FDR[FDR]&amp;FDR[[#Headers],[17]],FDR[17],"",0,1)</f>
        <v>3</v>
      </c>
      <c r="AD327" cm="1">
        <f t="array" ref="AD327">_xlfn.XLOOKUP(Matrix[[#This Row],[TEAM]]&amp;Matrix[[#Headers],[18]],FDR[FDR]&amp;FDR[[#Headers],[18]],FDR[18],"",0,1)</f>
        <v>2</v>
      </c>
      <c r="AE327" cm="1">
        <f t="array" ref="AE327">_xlfn.XLOOKUP(Matrix[[#This Row],[TEAM]]&amp;Matrix[[#Headers],[19]],FDR[FDR]&amp;FDR[[#Headers],[19]],FDR[19],"",0,1)</f>
        <v>1</v>
      </c>
      <c r="AF327" cm="1">
        <f t="array" ref="AF327">_xlfn.XLOOKUP(Matrix[[#This Row],[TEAM]]&amp;Matrix[[#Headers],[20]],FDR[FDR]&amp;FDR[[#Headers],[20]],FDR[20],"",0,1)</f>
        <v>1</v>
      </c>
      <c r="AG327" cm="1">
        <f t="array" ref="AG327">_xlfn.XLOOKUP(Matrix[[#This Row],[TEAM]]&amp;Matrix[[#Headers],[21]],FDR[FDR]&amp;FDR[[#Headers],[21]],FDR[21],"",0,1)</f>
        <v>1</v>
      </c>
      <c r="AH327" cm="1">
        <f t="array" ref="AH327">_xlfn.XLOOKUP(Matrix[[#This Row],[TEAM]]&amp;Matrix[[#Headers],[22]],FDR[FDR]&amp;FDR[[#Headers],[22]],FDR[22],"",0,1)</f>
        <v>3</v>
      </c>
      <c r="AI327" cm="1">
        <f t="array" ref="AI327">_xlfn.XLOOKUP(Matrix[[#This Row],[TEAM]]&amp;Matrix[[#Headers],[23]],FDR[FDR]&amp;FDR[[#Headers],[23]],FDR[23],"",0,1)</f>
        <v>4</v>
      </c>
      <c r="AJ327" cm="1">
        <f t="array" ref="AJ327">_xlfn.XLOOKUP(Matrix[[#This Row],[TEAM]]&amp;Matrix[[#Headers],[24]],FDR[FDR]&amp;FDR[[#Headers],[24]],FDR[24],"",0,1)</f>
        <v>1</v>
      </c>
      <c r="AK327" cm="1">
        <f t="array" ref="AK327">_xlfn.XLOOKUP(Matrix[[#This Row],[TEAM]]&amp;Matrix[[#Headers],[25]],FDR[FDR]&amp;FDR[[#Headers],[25]],FDR[25],"",0,1)</f>
        <v>3</v>
      </c>
      <c r="AL327" cm="1">
        <f t="array" ref="AL327">_xlfn.XLOOKUP(Matrix[[#This Row],[TEAM]]&amp;Matrix[[#Headers],[26]],FDR[FDR]&amp;FDR[[#Headers],[26]],FDR[26],"",0,1)</f>
        <v>2</v>
      </c>
      <c r="AM327" cm="1">
        <f t="array" ref="AM327">_xlfn.XLOOKUP(Matrix[[#This Row],[TEAM]]&amp;Matrix[[#Headers],[27]],FDR[FDR]&amp;FDR[[#Headers],[27]],FDR[27],"",0,1)</f>
        <v>2</v>
      </c>
      <c r="AN327" cm="1">
        <f t="array" ref="AN327">_xlfn.XLOOKUP(Matrix[[#This Row],[TEAM]]&amp;Matrix[[#Headers],[28]],FDR[FDR]&amp;FDR[[#Headers],[28]],FDR[28],"",0,1)</f>
        <v>1</v>
      </c>
      <c r="AO327" cm="1">
        <f t="array" ref="AO327">_xlfn.XLOOKUP(Matrix[[#This Row],[TEAM]]&amp;Matrix[[#Headers],[29]],FDR[FDR]&amp;FDR[[#Headers],[29]],FDR[29],"",0,1)</f>
        <v>3</v>
      </c>
      <c r="AP327" cm="1">
        <f t="array" ref="AP327">_xlfn.XLOOKUP(Matrix[[#This Row],[TEAM]]&amp;Matrix[[#Headers],[30]],FDR[FDR]&amp;FDR[[#Headers],[30]],FDR[30],"",0,1)</f>
        <v>2</v>
      </c>
      <c r="AQ327" cm="1">
        <f t="array" ref="AQ327">_xlfn.XLOOKUP(Matrix[[#This Row],[TEAM]]&amp;Matrix[[#Headers],[31]],FDR[FDR]&amp;FDR[[#Headers],[31]],FDR[31],"",0,1)</f>
        <v>2</v>
      </c>
      <c r="AR327" cm="1">
        <f t="array" ref="AR327">_xlfn.XLOOKUP(Matrix[[#This Row],[TEAM]]&amp;Matrix[[#Headers],[32]],FDR[FDR]&amp;FDR[[#Headers],[32]],FDR[32],"",0,1)</f>
        <v>1</v>
      </c>
      <c r="AS327" cm="1">
        <f t="array" ref="AS327">_xlfn.XLOOKUP(Matrix[[#This Row],[TEAM]]&amp;Matrix[[#Headers],[33]],FDR[FDR]&amp;FDR[[#Headers],[33]],FDR[33],"",0,1)</f>
        <v>4</v>
      </c>
      <c r="AT327" cm="1">
        <f t="array" ref="AT327">_xlfn.XLOOKUP(Matrix[[#This Row],[TEAM]]&amp;Matrix[[#Headers],[34]],FDR[FDR]&amp;FDR[[#Headers],[34]],FDR[34],"",0,1)</f>
        <v>1</v>
      </c>
      <c r="AU327" cm="1">
        <f t="array" ref="AU327">_xlfn.XLOOKUP(Matrix[[#This Row],[TEAM]]&amp;Matrix[[#Headers],[35]],FDR[FDR]&amp;FDR[[#Headers],[35]],FDR[35],"",0,1)</f>
        <v>3</v>
      </c>
      <c r="AV327" cm="1">
        <f t="array" ref="AV327">_xlfn.XLOOKUP(Matrix[[#This Row],[TEAM]]&amp;Matrix[[#Headers],[36]],FDR[FDR]&amp;FDR[[#Headers],[36]],FDR[36],"",0,1)</f>
        <v>1</v>
      </c>
      <c r="AW327" cm="1">
        <f t="array" ref="AW327">_xlfn.XLOOKUP(Matrix[[#This Row],[TEAM]]&amp;Matrix[[#Headers],[37]],FDR[FDR]&amp;FDR[[#Headers],[37]],FDR[37],"",0,1)</f>
        <v>1</v>
      </c>
      <c r="AX327" cm="1">
        <f t="array" ref="AX327">_xlfn.XLOOKUP(Matrix[[#This Row],[TEAM]]&amp;Matrix[[#Headers],[38]],FDR[FDR]&amp;FDR[[#Headers],[38]],FDR[38],"",0,1)</f>
        <v>2</v>
      </c>
    </row>
    <row r="328" spans="1:50" ht="22" thickTop="1" thickBot="1">
      <c r="A328" s="51" t="s">
        <v>657</v>
      </c>
      <c r="B328" s="70" t="s">
        <v>1680</v>
      </c>
      <c r="C328" s="40" t="s">
        <v>18</v>
      </c>
      <c r="D328" s="62">
        <v>37</v>
      </c>
      <c r="E328" s="60">
        <v>3.0000000000000001E-3</v>
      </c>
      <c r="F328" s="61">
        <v>31.9</v>
      </c>
      <c r="G328" s="63">
        <v>4.5</v>
      </c>
      <c r="H328" s="261">
        <f>IF(ISBLANK(I328),0,1)</f>
        <v>0</v>
      </c>
      <c r="I328" s="57"/>
      <c r="J328" s="58"/>
      <c r="K328" s="65" t="s">
        <v>290</v>
      </c>
      <c r="L328" s="65" t="s">
        <v>523</v>
      </c>
      <c r="M328" cm="1">
        <f t="array" ref="M328">_xlfn.XLOOKUP(Matrix[[#This Row],[TEAM]]&amp;Matrix[[#Headers],[1]],FDR[FDR]&amp;FDR[[#Headers],[1]],FDR[1],"",0,1)</f>
        <v>1</v>
      </c>
      <c r="N328" cm="1">
        <f t="array" ref="N328">_xlfn.XLOOKUP(Matrix[[#This Row],[TEAM]]&amp;Matrix[[#Headers],[2]],FDR[FDR]&amp;FDR[[#Headers],[2]],FDR[2],"",0,1)</f>
        <v>2</v>
      </c>
      <c r="O328" cm="1">
        <f t="array" ref="O328">_xlfn.XLOOKUP(Matrix[[#This Row],[TEAM]]&amp;Matrix[[#Headers],[3]],FDR[FDR]&amp;FDR[[#Headers],[3]],FDR[3],"",0,1)</f>
        <v>1</v>
      </c>
      <c r="P328" cm="1">
        <f t="array" ref="P328">_xlfn.XLOOKUP(Matrix[[#This Row],[TEAM]]&amp;Matrix[[#Headers],[4]],FDR[FDR]&amp;FDR[[#Headers],[4]],FDR[4],"",0,1)</f>
        <v>2</v>
      </c>
      <c r="Q328" cm="1">
        <f t="array" ref="Q328">_xlfn.XLOOKUP(Matrix[[#This Row],[TEAM]]&amp;Matrix[[#Headers],[5]],FDR[FDR]&amp;FDR[[#Headers],[5]],FDR[5],"",0,1)</f>
        <v>3</v>
      </c>
      <c r="R328" cm="1">
        <f t="array" ref="R328">_xlfn.XLOOKUP(Matrix[[#This Row],[TEAM]]&amp;Matrix[[#Headers],[6]],FDR[FDR]&amp;FDR[[#Headers],[6]],FDR[6],"",0,1)</f>
        <v>1</v>
      </c>
      <c r="S328" cm="1">
        <f t="array" ref="S328">_xlfn.XLOOKUP(Matrix[[#This Row],[TEAM]]&amp;Matrix[[#Headers],[7]],FDR[FDR]&amp;FDR[[#Headers],[7]],FDR[7],"",0,1)</f>
        <v>3</v>
      </c>
      <c r="T328" cm="1">
        <f t="array" ref="T328">_xlfn.XLOOKUP(Matrix[[#This Row],[TEAM]]&amp;Matrix[[#Headers],[8]],FDR[FDR]&amp;FDR[[#Headers],[8]],FDR[8],"",0,1)</f>
        <v>2</v>
      </c>
      <c r="U328" cm="1">
        <f t="array" ref="U328">_xlfn.XLOOKUP(Matrix[[#This Row],[TEAM]]&amp;Matrix[[#Headers],[9]],FDR[FDR]&amp;FDR[[#Headers],[9]],FDR[9],"",0,1)</f>
        <v>1</v>
      </c>
      <c r="V328" cm="1">
        <f t="array" ref="V328">_xlfn.XLOOKUP(Matrix[[#This Row],[TEAM]]&amp;Matrix[[#Headers],[10]],FDR[FDR]&amp;FDR[[#Headers],[10]],FDR[10],"",0,1)</f>
        <v>3</v>
      </c>
      <c r="W328" cm="1">
        <f t="array" ref="W328">_xlfn.XLOOKUP(Matrix[[#This Row],[TEAM]]&amp;Matrix[[#Headers],[11]],FDR[FDR]&amp;FDR[[#Headers],[11]],FDR[11],"",0,1)</f>
        <v>1</v>
      </c>
      <c r="X328" cm="1">
        <f t="array" ref="X328">_xlfn.XLOOKUP(Matrix[[#This Row],[TEAM]]&amp;Matrix[[#Headers],[12]],FDR[FDR]&amp;FDR[[#Headers],[12]],FDR[12],"",0,1)</f>
        <v>1</v>
      </c>
      <c r="Y328" cm="1">
        <f t="array" ref="Y328">_xlfn.XLOOKUP(Matrix[[#This Row],[TEAM]]&amp;Matrix[[#Headers],[13]],FDR[FDR]&amp;FDR[[#Headers],[13]],FDR[13],"",0,1)</f>
        <v>3</v>
      </c>
      <c r="Z328" cm="1">
        <f t="array" ref="Z328">_xlfn.XLOOKUP(Matrix[[#This Row],[TEAM]]&amp;Matrix[[#Headers],[14]],FDR[FDR]&amp;FDR[[#Headers],[14]],FDR[14],"",0,1)</f>
        <v>1</v>
      </c>
      <c r="AA328" cm="1">
        <f t="array" ref="AA328">_xlfn.XLOOKUP(Matrix[[#This Row],[TEAM]]&amp;Matrix[[#Headers],[15]],FDR[FDR]&amp;FDR[[#Headers],[15]],FDR[15],"",0,1)</f>
        <v>2</v>
      </c>
      <c r="AB328" cm="1">
        <f t="array" ref="AB328">_xlfn.XLOOKUP(Matrix[[#This Row],[TEAM]]&amp;Matrix[[#Headers],[16]],FDR[FDR]&amp;FDR[[#Headers],[16]],FDR[16],"",0,1)</f>
        <v>1</v>
      </c>
      <c r="AC328" cm="1">
        <f t="array" ref="AC328">_xlfn.XLOOKUP(Matrix[[#This Row],[TEAM]]&amp;Matrix[[#Headers],[17]],FDR[FDR]&amp;FDR[[#Headers],[17]],FDR[17],"",0,1)</f>
        <v>3</v>
      </c>
      <c r="AD328" cm="1">
        <f t="array" ref="AD328">_xlfn.XLOOKUP(Matrix[[#This Row],[TEAM]]&amp;Matrix[[#Headers],[18]],FDR[FDR]&amp;FDR[[#Headers],[18]],FDR[18],"",0,1)</f>
        <v>2</v>
      </c>
      <c r="AE328" cm="1">
        <f t="array" ref="AE328">_xlfn.XLOOKUP(Matrix[[#This Row],[TEAM]]&amp;Matrix[[#Headers],[19]],FDR[FDR]&amp;FDR[[#Headers],[19]],FDR[19],"",0,1)</f>
        <v>1</v>
      </c>
      <c r="AF328" cm="1">
        <f t="array" ref="AF328">_xlfn.XLOOKUP(Matrix[[#This Row],[TEAM]]&amp;Matrix[[#Headers],[20]],FDR[FDR]&amp;FDR[[#Headers],[20]],FDR[20],"",0,1)</f>
        <v>4</v>
      </c>
      <c r="AG328" cm="1">
        <f t="array" ref="AG328">_xlfn.XLOOKUP(Matrix[[#This Row],[TEAM]]&amp;Matrix[[#Headers],[21]],FDR[FDR]&amp;FDR[[#Headers],[21]],FDR[21],"",0,1)</f>
        <v>2</v>
      </c>
      <c r="AH328" cm="1">
        <f t="array" ref="AH328">_xlfn.XLOOKUP(Matrix[[#This Row],[TEAM]]&amp;Matrix[[#Headers],[22]],FDR[FDR]&amp;FDR[[#Headers],[22]],FDR[22],"",0,1)</f>
        <v>1</v>
      </c>
      <c r="AI328" cm="1">
        <f t="array" ref="AI328">_xlfn.XLOOKUP(Matrix[[#This Row],[TEAM]]&amp;Matrix[[#Headers],[23]],FDR[FDR]&amp;FDR[[#Headers],[23]],FDR[23],"",0,1)</f>
        <v>2</v>
      </c>
      <c r="AJ328" cm="1">
        <f t="array" ref="AJ328">_xlfn.XLOOKUP(Matrix[[#This Row],[TEAM]]&amp;Matrix[[#Headers],[24]],FDR[FDR]&amp;FDR[[#Headers],[24]],FDR[24],"",0,1)</f>
        <v>1</v>
      </c>
      <c r="AK328" cm="1">
        <f t="array" ref="AK328">_xlfn.XLOOKUP(Matrix[[#This Row],[TEAM]]&amp;Matrix[[#Headers],[25]],FDR[FDR]&amp;FDR[[#Headers],[25]],FDR[25],"",0,1)</f>
        <v>1</v>
      </c>
      <c r="AL328" cm="1">
        <f t="array" ref="AL328">_xlfn.XLOOKUP(Matrix[[#This Row],[TEAM]]&amp;Matrix[[#Headers],[26]],FDR[FDR]&amp;FDR[[#Headers],[26]],FDR[26],"",0,1)</f>
        <v>1</v>
      </c>
      <c r="AM328" cm="1">
        <f t="array" ref="AM328">_xlfn.XLOOKUP(Matrix[[#This Row],[TEAM]]&amp;Matrix[[#Headers],[27]],FDR[FDR]&amp;FDR[[#Headers],[27]],FDR[27],"",0,1)</f>
        <v>1</v>
      </c>
      <c r="AN328" cm="1">
        <f t="array" ref="AN328">_xlfn.XLOOKUP(Matrix[[#This Row],[TEAM]]&amp;Matrix[[#Headers],[28]],FDR[FDR]&amp;FDR[[#Headers],[28]],FDR[28],"",0,1)</f>
        <v>4</v>
      </c>
      <c r="AO328" cm="1">
        <f t="array" ref="AO328">_xlfn.XLOOKUP(Matrix[[#This Row],[TEAM]]&amp;Matrix[[#Headers],[29]],FDR[FDR]&amp;FDR[[#Headers],[29]],FDR[29],"",0,1)</f>
        <v>3</v>
      </c>
      <c r="AP328" cm="1">
        <f t="array" ref="AP328">_xlfn.XLOOKUP(Matrix[[#This Row],[TEAM]]&amp;Matrix[[#Headers],[30]],FDR[FDR]&amp;FDR[[#Headers],[30]],FDR[30],"",0,1)</f>
        <v>2</v>
      </c>
      <c r="AQ328" cm="1">
        <f t="array" ref="AQ328">_xlfn.XLOOKUP(Matrix[[#This Row],[TEAM]]&amp;Matrix[[#Headers],[31]],FDR[FDR]&amp;FDR[[#Headers],[31]],FDR[31],"",0,1)</f>
        <v>2</v>
      </c>
      <c r="AR328" cm="1">
        <f t="array" ref="AR328">_xlfn.XLOOKUP(Matrix[[#This Row],[TEAM]]&amp;Matrix[[#Headers],[32]],FDR[FDR]&amp;FDR[[#Headers],[32]],FDR[32],"",0,1)</f>
        <v>3</v>
      </c>
      <c r="AS328" cm="1">
        <f t="array" ref="AS328">_xlfn.XLOOKUP(Matrix[[#This Row],[TEAM]]&amp;Matrix[[#Headers],[33]],FDR[FDR]&amp;FDR[[#Headers],[33]],FDR[33],"",0,1)</f>
        <v>2</v>
      </c>
      <c r="AT328" cm="1">
        <f t="array" ref="AT328">_xlfn.XLOOKUP(Matrix[[#This Row],[TEAM]]&amp;Matrix[[#Headers],[34]],FDR[FDR]&amp;FDR[[#Headers],[34]],FDR[34],"",0,1)</f>
        <v>2</v>
      </c>
      <c r="AU328" cm="1">
        <f t="array" ref="AU328">_xlfn.XLOOKUP(Matrix[[#This Row],[TEAM]]&amp;Matrix[[#Headers],[35]],FDR[FDR]&amp;FDR[[#Headers],[35]],FDR[35],"",0,1)</f>
        <v>1</v>
      </c>
      <c r="AV328" cm="1">
        <f t="array" ref="AV328">_xlfn.XLOOKUP(Matrix[[#This Row],[TEAM]]&amp;Matrix[[#Headers],[36]],FDR[FDR]&amp;FDR[[#Headers],[36]],FDR[36],"",0,1)</f>
        <v>4</v>
      </c>
      <c r="AW328" cm="1">
        <f t="array" ref="AW328">_xlfn.XLOOKUP(Matrix[[#This Row],[TEAM]]&amp;Matrix[[#Headers],[37]],FDR[FDR]&amp;FDR[[#Headers],[37]],FDR[37],"",0,1)</f>
        <v>2</v>
      </c>
      <c r="AX328" cm="1">
        <f t="array" ref="AX328">_xlfn.XLOOKUP(Matrix[[#This Row],[TEAM]]&amp;Matrix[[#Headers],[38]],FDR[FDR]&amp;FDR[[#Headers],[38]],FDR[38],"",0,1)</f>
        <v>1</v>
      </c>
    </row>
    <row r="329" spans="1:50" ht="42" thickTop="1" thickBot="1">
      <c r="A329" s="51" t="s">
        <v>657</v>
      </c>
      <c r="B329" s="70" t="s">
        <v>1755</v>
      </c>
      <c r="C329" s="40" t="s">
        <v>52</v>
      </c>
      <c r="D329" s="62">
        <v>36</v>
      </c>
      <c r="E329" s="60">
        <v>1E-3</v>
      </c>
      <c r="F329" s="61">
        <v>24</v>
      </c>
      <c r="G329" s="63">
        <v>4.5</v>
      </c>
      <c r="H329" s="261">
        <f>IF(ISBLANK(I329),0,1)</f>
        <v>0</v>
      </c>
      <c r="I329" s="57"/>
      <c r="J329" s="58"/>
      <c r="K329" s="65" t="s">
        <v>1140</v>
      </c>
      <c r="L329" s="65" t="s">
        <v>1141</v>
      </c>
      <c r="M329" cm="1">
        <f t="array" ref="M329">_xlfn.XLOOKUP(Matrix[[#This Row],[TEAM]]&amp;Matrix[[#Headers],[1]],FDR[FDR]&amp;FDR[[#Headers],[1]],FDR[1],"",0,1)</f>
        <v>2</v>
      </c>
      <c r="N329" cm="1">
        <f t="array" ref="N329">_xlfn.XLOOKUP(Matrix[[#This Row],[TEAM]]&amp;Matrix[[#Headers],[2]],FDR[FDR]&amp;FDR[[#Headers],[2]],FDR[2],"",0,1)</f>
        <v>3</v>
      </c>
      <c r="O329" cm="1">
        <f t="array" ref="O329">_xlfn.XLOOKUP(Matrix[[#This Row],[TEAM]]&amp;Matrix[[#Headers],[3]],FDR[FDR]&amp;FDR[[#Headers],[3]],FDR[3],"",0,1)</f>
        <v>2</v>
      </c>
      <c r="P329" cm="1">
        <f t="array" ref="P329">_xlfn.XLOOKUP(Matrix[[#This Row],[TEAM]]&amp;Matrix[[#Headers],[4]],FDR[FDR]&amp;FDR[[#Headers],[4]],FDR[4],"",0,1)</f>
        <v>5</v>
      </c>
      <c r="Q329" cm="1">
        <f t="array" ref="Q329">_xlfn.XLOOKUP(Matrix[[#This Row],[TEAM]]&amp;Matrix[[#Headers],[5]],FDR[FDR]&amp;FDR[[#Headers],[5]],FDR[5],"",0,1)</f>
        <v>2</v>
      </c>
      <c r="R329" cm="1">
        <f t="array" ref="R329">_xlfn.XLOOKUP(Matrix[[#This Row],[TEAM]]&amp;Matrix[[#Headers],[6]],FDR[FDR]&amp;FDR[[#Headers],[6]],FDR[6],"",0,1)</f>
        <v>1</v>
      </c>
      <c r="S329" cm="1">
        <f t="array" ref="S329">_xlfn.XLOOKUP(Matrix[[#This Row],[TEAM]]&amp;Matrix[[#Headers],[7]],FDR[FDR]&amp;FDR[[#Headers],[7]],FDR[7],"",0,1)</f>
        <v>5</v>
      </c>
      <c r="T329" cm="1">
        <f t="array" ref="T329">_xlfn.XLOOKUP(Matrix[[#This Row],[TEAM]]&amp;Matrix[[#Headers],[8]],FDR[FDR]&amp;FDR[[#Headers],[8]],FDR[8],"",0,1)</f>
        <v>4</v>
      </c>
      <c r="U329" cm="1">
        <f t="array" ref="U329">_xlfn.XLOOKUP(Matrix[[#This Row],[TEAM]]&amp;Matrix[[#Headers],[9]],FDR[FDR]&amp;FDR[[#Headers],[9]],FDR[9],"",0,1)</f>
        <v>4</v>
      </c>
      <c r="V329" cm="1">
        <f t="array" ref="V329">_xlfn.XLOOKUP(Matrix[[#This Row],[TEAM]]&amp;Matrix[[#Headers],[10]],FDR[FDR]&amp;FDR[[#Headers],[10]],FDR[10],"",0,1)</f>
        <v>4</v>
      </c>
      <c r="W329" cm="1">
        <f t="array" ref="W329">_xlfn.XLOOKUP(Matrix[[#This Row],[TEAM]]&amp;Matrix[[#Headers],[11]],FDR[FDR]&amp;FDR[[#Headers],[11]],FDR[11],"",0,1)</f>
        <v>1</v>
      </c>
      <c r="X329" cm="1">
        <f t="array" ref="X329">_xlfn.XLOOKUP(Matrix[[#This Row],[TEAM]]&amp;Matrix[[#Headers],[12]],FDR[FDR]&amp;FDR[[#Headers],[12]],FDR[12],"",0,1)</f>
        <v>5</v>
      </c>
      <c r="Y329" cm="1">
        <f t="array" ref="Y329">_xlfn.XLOOKUP(Matrix[[#This Row],[TEAM]]&amp;Matrix[[#Headers],[13]],FDR[FDR]&amp;FDR[[#Headers],[13]],FDR[13],"",0,1)</f>
        <v>3</v>
      </c>
      <c r="Z329" cm="1">
        <f t="array" ref="Z329">_xlfn.XLOOKUP(Matrix[[#This Row],[TEAM]]&amp;Matrix[[#Headers],[14]],FDR[FDR]&amp;FDR[[#Headers],[14]],FDR[14],"",0,1)</f>
        <v>2</v>
      </c>
      <c r="AA329" cm="1">
        <f t="array" ref="AA329">_xlfn.XLOOKUP(Matrix[[#This Row],[TEAM]]&amp;Matrix[[#Headers],[15]],FDR[FDR]&amp;FDR[[#Headers],[15]],FDR[15],"",0,1)</f>
        <v>3</v>
      </c>
      <c r="AB329" cm="1">
        <f t="array" ref="AB329">_xlfn.XLOOKUP(Matrix[[#This Row],[TEAM]]&amp;Matrix[[#Headers],[16]],FDR[FDR]&amp;FDR[[#Headers],[16]],FDR[16],"",0,1)</f>
        <v>4</v>
      </c>
      <c r="AC329" cm="1">
        <f t="array" ref="AC329">_xlfn.XLOOKUP(Matrix[[#This Row],[TEAM]]&amp;Matrix[[#Headers],[17]],FDR[FDR]&amp;FDR[[#Headers],[17]],FDR[17],"",0,1)</f>
        <v>4</v>
      </c>
      <c r="AD329" cm="1">
        <f t="array" ref="AD329">_xlfn.XLOOKUP(Matrix[[#This Row],[TEAM]]&amp;Matrix[[#Headers],[18]],FDR[FDR]&amp;FDR[[#Headers],[18]],FDR[18],"",0,1)</f>
        <v>4</v>
      </c>
      <c r="AE329" cm="1">
        <f t="array" ref="AE329">_xlfn.XLOOKUP(Matrix[[#This Row],[TEAM]]&amp;Matrix[[#Headers],[19]],FDR[FDR]&amp;FDR[[#Headers],[19]],FDR[19],"",0,1)</f>
        <v>2</v>
      </c>
      <c r="AF329" cm="1">
        <f t="array" ref="AF329">_xlfn.XLOOKUP(Matrix[[#This Row],[TEAM]]&amp;Matrix[[#Headers],[20]],FDR[FDR]&amp;FDR[[#Headers],[20]],FDR[20],"",0,1)</f>
        <v>5</v>
      </c>
      <c r="AG329" cm="1">
        <f t="array" ref="AG329">_xlfn.XLOOKUP(Matrix[[#This Row],[TEAM]]&amp;Matrix[[#Headers],[21]],FDR[FDR]&amp;FDR[[#Headers],[21]],FDR[21],"",0,1)</f>
        <v>3</v>
      </c>
      <c r="AH329" cm="1">
        <f t="array" ref="AH329">_xlfn.XLOOKUP(Matrix[[#This Row],[TEAM]]&amp;Matrix[[#Headers],[22]],FDR[FDR]&amp;FDR[[#Headers],[22]],FDR[22],"",0,1)</f>
        <v>4</v>
      </c>
      <c r="AI329" cm="1">
        <f t="array" ref="AI329">_xlfn.XLOOKUP(Matrix[[#This Row],[TEAM]]&amp;Matrix[[#Headers],[23]],FDR[FDR]&amp;FDR[[#Headers],[23]],FDR[23],"",0,1)</f>
        <v>3</v>
      </c>
      <c r="AJ329" cm="1">
        <f t="array" ref="AJ329">_xlfn.XLOOKUP(Matrix[[#This Row],[TEAM]]&amp;Matrix[[#Headers],[24]],FDR[FDR]&amp;FDR[[#Headers],[24]],FDR[24],"",0,1)</f>
        <v>2</v>
      </c>
      <c r="AK329" cm="1">
        <f t="array" ref="AK329">_xlfn.XLOOKUP(Matrix[[#This Row],[TEAM]]&amp;Matrix[[#Headers],[25]],FDR[FDR]&amp;FDR[[#Headers],[25]],FDR[25],"",0,1)</f>
        <v>2</v>
      </c>
      <c r="AL329" cm="1">
        <f t="array" ref="AL329">_xlfn.XLOOKUP(Matrix[[#This Row],[TEAM]]&amp;Matrix[[#Headers],[26]],FDR[FDR]&amp;FDR[[#Headers],[26]],FDR[26],"",0,1)</f>
        <v>1</v>
      </c>
      <c r="AM329" cm="1">
        <f t="array" ref="AM329">_xlfn.XLOOKUP(Matrix[[#This Row],[TEAM]]&amp;Matrix[[#Headers],[27]],FDR[FDR]&amp;FDR[[#Headers],[27]],FDR[27],"",0,1)</f>
        <v>4</v>
      </c>
      <c r="AN329" cm="1">
        <f t="array" ref="AN329">_xlfn.XLOOKUP(Matrix[[#This Row],[TEAM]]&amp;Matrix[[#Headers],[28]],FDR[FDR]&amp;FDR[[#Headers],[28]],FDR[28],"",0,1)</f>
        <v>4</v>
      </c>
      <c r="AO329" cm="1">
        <f t="array" ref="AO329">_xlfn.XLOOKUP(Matrix[[#This Row],[TEAM]]&amp;Matrix[[#Headers],[29]],FDR[FDR]&amp;FDR[[#Headers],[29]],FDR[29],"",0,1)</f>
        <v>5</v>
      </c>
      <c r="AP329" cm="1">
        <f t="array" ref="AP329">_xlfn.XLOOKUP(Matrix[[#This Row],[TEAM]]&amp;Matrix[[#Headers],[30]],FDR[FDR]&amp;FDR[[#Headers],[30]],FDR[30],"",0,1)</f>
        <v>3</v>
      </c>
      <c r="AQ329" cm="1">
        <f t="array" ref="AQ329">_xlfn.XLOOKUP(Matrix[[#This Row],[TEAM]]&amp;Matrix[[#Headers],[31]],FDR[FDR]&amp;FDR[[#Headers],[31]],FDR[31],"",0,1)</f>
        <v>5</v>
      </c>
      <c r="AR329" cm="1">
        <f t="array" ref="AR329">_xlfn.XLOOKUP(Matrix[[#This Row],[TEAM]]&amp;Matrix[[#Headers],[32]],FDR[FDR]&amp;FDR[[#Headers],[32]],FDR[32],"",0,1)</f>
        <v>3</v>
      </c>
      <c r="AS329" cm="1">
        <f t="array" ref="AS329">_xlfn.XLOOKUP(Matrix[[#This Row],[TEAM]]&amp;Matrix[[#Headers],[33]],FDR[FDR]&amp;FDR[[#Headers],[33]],FDR[33],"",0,1)</f>
        <v>1</v>
      </c>
      <c r="AT329" cm="1">
        <f t="array" ref="AT329">_xlfn.XLOOKUP(Matrix[[#This Row],[TEAM]]&amp;Matrix[[#Headers],[34]],FDR[FDR]&amp;FDR[[#Headers],[34]],FDR[34],"",0,1)</f>
        <v>2</v>
      </c>
      <c r="AU329" cm="1">
        <f t="array" ref="AU329">_xlfn.XLOOKUP(Matrix[[#This Row],[TEAM]]&amp;Matrix[[#Headers],[35]],FDR[FDR]&amp;FDR[[#Headers],[35]],FDR[35],"",0,1)</f>
        <v>5</v>
      </c>
      <c r="AV329" cm="1">
        <f t="array" ref="AV329">_xlfn.XLOOKUP(Matrix[[#This Row],[TEAM]]&amp;Matrix[[#Headers],[36]],FDR[FDR]&amp;FDR[[#Headers],[36]],FDR[36],"",0,1)</f>
        <v>4</v>
      </c>
      <c r="AW329" cm="1">
        <f t="array" ref="AW329">_xlfn.XLOOKUP(Matrix[[#This Row],[TEAM]]&amp;Matrix[[#Headers],[37]],FDR[FDR]&amp;FDR[[#Headers],[37]],FDR[37],"",0,1)</f>
        <v>5</v>
      </c>
      <c r="AX329" cm="1">
        <f t="array" ref="AX329">_xlfn.XLOOKUP(Matrix[[#This Row],[TEAM]]&amp;Matrix[[#Headers],[38]],FDR[FDR]&amp;FDR[[#Headers],[38]],FDR[38],"",0,1)</f>
        <v>3</v>
      </c>
    </row>
    <row r="330" spans="1:50" ht="22" thickTop="1" thickBot="1">
      <c r="A330" s="51" t="s">
        <v>657</v>
      </c>
      <c r="B330" s="70" t="s">
        <v>1613</v>
      </c>
      <c r="C330" s="40" t="s">
        <v>19</v>
      </c>
      <c r="D330" s="62">
        <v>32</v>
      </c>
      <c r="E330" s="60">
        <v>0.216</v>
      </c>
      <c r="F330" s="61">
        <v>30.9</v>
      </c>
      <c r="G330" s="63">
        <v>4.5</v>
      </c>
      <c r="H330" s="261">
        <f>IF(ISBLANK(I330),0,1)</f>
        <v>0</v>
      </c>
      <c r="I330" s="57"/>
      <c r="J330" s="58"/>
      <c r="K330" s="65" t="s">
        <v>900</v>
      </c>
      <c r="L330" s="65" t="s">
        <v>901</v>
      </c>
      <c r="M330" cm="1">
        <f t="array" ref="M330">_xlfn.XLOOKUP(Matrix[[#This Row],[TEAM]]&amp;Matrix[[#Headers],[1]],FDR[FDR]&amp;FDR[[#Headers],[1]],FDR[1],"",0,1)</f>
        <v>1</v>
      </c>
      <c r="N330" cm="1">
        <f t="array" ref="N330">_xlfn.XLOOKUP(Matrix[[#This Row],[TEAM]]&amp;Matrix[[#Headers],[2]],FDR[FDR]&amp;FDR[[#Headers],[2]],FDR[2],"",0,1)</f>
        <v>4</v>
      </c>
      <c r="O330" cm="1">
        <f t="array" ref="O330">_xlfn.XLOOKUP(Matrix[[#This Row],[TEAM]]&amp;Matrix[[#Headers],[3]],FDR[FDR]&amp;FDR[[#Headers],[3]],FDR[3],"",0,1)</f>
        <v>1</v>
      </c>
      <c r="P330" cm="1">
        <f t="array" ref="P330">_xlfn.XLOOKUP(Matrix[[#This Row],[TEAM]]&amp;Matrix[[#Headers],[4]],FDR[FDR]&amp;FDR[[#Headers],[4]],FDR[4],"",0,1)</f>
        <v>2</v>
      </c>
      <c r="Q330" cm="1">
        <f t="array" ref="Q330">_xlfn.XLOOKUP(Matrix[[#This Row],[TEAM]]&amp;Matrix[[#Headers],[5]],FDR[FDR]&amp;FDR[[#Headers],[5]],FDR[5],"",0,1)</f>
        <v>2</v>
      </c>
      <c r="R330" cm="1">
        <f t="array" ref="R330">_xlfn.XLOOKUP(Matrix[[#This Row],[TEAM]]&amp;Matrix[[#Headers],[6]],FDR[FDR]&amp;FDR[[#Headers],[6]],FDR[6],"",0,1)</f>
        <v>1</v>
      </c>
      <c r="S330" cm="1">
        <f t="array" ref="S330">_xlfn.XLOOKUP(Matrix[[#This Row],[TEAM]]&amp;Matrix[[#Headers],[7]],FDR[FDR]&amp;FDR[[#Headers],[7]],FDR[7],"",0,1)</f>
        <v>1</v>
      </c>
      <c r="T330" cm="1">
        <f t="array" ref="T330">_xlfn.XLOOKUP(Matrix[[#This Row],[TEAM]]&amp;Matrix[[#Headers],[8]],FDR[FDR]&amp;FDR[[#Headers],[8]],FDR[8],"",0,1)</f>
        <v>2</v>
      </c>
      <c r="U330" cm="1">
        <f t="array" ref="U330">_xlfn.XLOOKUP(Matrix[[#This Row],[TEAM]]&amp;Matrix[[#Headers],[9]],FDR[FDR]&amp;FDR[[#Headers],[9]],FDR[9],"",0,1)</f>
        <v>2</v>
      </c>
      <c r="V330" cm="1">
        <f t="array" ref="V330">_xlfn.XLOOKUP(Matrix[[#This Row],[TEAM]]&amp;Matrix[[#Headers],[10]],FDR[FDR]&amp;FDR[[#Headers],[10]],FDR[10],"",0,1)</f>
        <v>3</v>
      </c>
      <c r="W330" cm="1">
        <f t="array" ref="W330">_xlfn.XLOOKUP(Matrix[[#This Row],[TEAM]]&amp;Matrix[[#Headers],[11]],FDR[FDR]&amp;FDR[[#Headers],[11]],FDR[11],"",0,1)</f>
        <v>3</v>
      </c>
      <c r="X330" cm="1">
        <f t="array" ref="X330">_xlfn.XLOOKUP(Matrix[[#This Row],[TEAM]]&amp;Matrix[[#Headers],[12]],FDR[FDR]&amp;FDR[[#Headers],[12]],FDR[12],"",0,1)</f>
        <v>4</v>
      </c>
      <c r="Y330" cm="1">
        <f t="array" ref="Y330">_xlfn.XLOOKUP(Matrix[[#This Row],[TEAM]]&amp;Matrix[[#Headers],[13]],FDR[FDR]&amp;FDR[[#Headers],[13]],FDR[13],"",0,1)</f>
        <v>1</v>
      </c>
      <c r="Z330" cm="1">
        <f t="array" ref="Z330">_xlfn.XLOOKUP(Matrix[[#This Row],[TEAM]]&amp;Matrix[[#Headers],[14]],FDR[FDR]&amp;FDR[[#Headers],[14]],FDR[14],"",0,1)</f>
        <v>3</v>
      </c>
      <c r="AA330" cm="1">
        <f t="array" ref="AA330">_xlfn.XLOOKUP(Matrix[[#This Row],[TEAM]]&amp;Matrix[[#Headers],[15]],FDR[FDR]&amp;FDR[[#Headers],[15]],FDR[15],"",0,1)</f>
        <v>1</v>
      </c>
      <c r="AB330" cm="1">
        <f t="array" ref="AB330">_xlfn.XLOOKUP(Matrix[[#This Row],[TEAM]]&amp;Matrix[[#Headers],[16]],FDR[FDR]&amp;FDR[[#Headers],[16]],FDR[16],"",0,1)</f>
        <v>2</v>
      </c>
      <c r="AC330" cm="1">
        <f t="array" ref="AC330">_xlfn.XLOOKUP(Matrix[[#This Row],[TEAM]]&amp;Matrix[[#Headers],[17]],FDR[FDR]&amp;FDR[[#Headers],[17]],FDR[17],"",0,1)</f>
        <v>3</v>
      </c>
      <c r="AD330" cm="1">
        <f t="array" ref="AD330">_xlfn.XLOOKUP(Matrix[[#This Row],[TEAM]]&amp;Matrix[[#Headers],[18]],FDR[FDR]&amp;FDR[[#Headers],[18]],FDR[18],"",0,1)</f>
        <v>2</v>
      </c>
      <c r="AE330" cm="1">
        <f t="array" ref="AE330">_xlfn.XLOOKUP(Matrix[[#This Row],[TEAM]]&amp;Matrix[[#Headers],[19]],FDR[FDR]&amp;FDR[[#Headers],[19]],FDR[19],"",0,1)</f>
        <v>2</v>
      </c>
      <c r="AF330" cm="1">
        <f t="array" ref="AF330">_xlfn.XLOOKUP(Matrix[[#This Row],[TEAM]]&amp;Matrix[[#Headers],[20]],FDR[FDR]&amp;FDR[[#Headers],[20]],FDR[20],"",0,1)</f>
        <v>1</v>
      </c>
      <c r="AG330" cm="1">
        <f t="array" ref="AG330">_xlfn.XLOOKUP(Matrix[[#This Row],[TEAM]]&amp;Matrix[[#Headers],[21]],FDR[FDR]&amp;FDR[[#Headers],[21]],FDR[21],"",0,1)</f>
        <v>2</v>
      </c>
      <c r="AH330" cm="1">
        <f t="array" ref="AH330">_xlfn.XLOOKUP(Matrix[[#This Row],[TEAM]]&amp;Matrix[[#Headers],[22]],FDR[FDR]&amp;FDR[[#Headers],[22]],FDR[22],"",0,1)</f>
        <v>1</v>
      </c>
      <c r="AI330" cm="1">
        <f t="array" ref="AI330">_xlfn.XLOOKUP(Matrix[[#This Row],[TEAM]]&amp;Matrix[[#Headers],[23]],FDR[FDR]&amp;FDR[[#Headers],[23]],FDR[23],"",0,1)</f>
        <v>1</v>
      </c>
      <c r="AJ330" cm="1">
        <f t="array" ref="AJ330">_xlfn.XLOOKUP(Matrix[[#This Row],[TEAM]]&amp;Matrix[[#Headers],[24]],FDR[FDR]&amp;FDR[[#Headers],[24]],FDR[24],"",0,1)</f>
        <v>3</v>
      </c>
      <c r="AK330" cm="1">
        <f t="array" ref="AK330">_xlfn.XLOOKUP(Matrix[[#This Row],[TEAM]]&amp;Matrix[[#Headers],[25]],FDR[FDR]&amp;FDR[[#Headers],[25]],FDR[25],"",0,1)</f>
        <v>4</v>
      </c>
      <c r="AL330" cm="1">
        <f t="array" ref="AL330">_xlfn.XLOOKUP(Matrix[[#This Row],[TEAM]]&amp;Matrix[[#Headers],[26]],FDR[FDR]&amp;FDR[[#Headers],[26]],FDR[26],"",0,1)</f>
        <v>2</v>
      </c>
      <c r="AM330" cm="1">
        <f t="array" ref="AM330">_xlfn.XLOOKUP(Matrix[[#This Row],[TEAM]]&amp;Matrix[[#Headers],[27]],FDR[FDR]&amp;FDR[[#Headers],[27]],FDR[27],"",0,1)</f>
        <v>3</v>
      </c>
      <c r="AN330" cm="1">
        <f t="array" ref="AN330">_xlfn.XLOOKUP(Matrix[[#This Row],[TEAM]]&amp;Matrix[[#Headers],[28]],FDR[FDR]&amp;FDR[[#Headers],[28]],FDR[28],"",0,1)</f>
        <v>2</v>
      </c>
      <c r="AO330" cm="1">
        <f t="array" ref="AO330">_xlfn.XLOOKUP(Matrix[[#This Row],[TEAM]]&amp;Matrix[[#Headers],[29]],FDR[FDR]&amp;FDR[[#Headers],[29]],FDR[29],"",0,1)</f>
        <v>1</v>
      </c>
      <c r="AP330" cm="1">
        <f t="array" ref="AP330">_xlfn.XLOOKUP(Matrix[[#This Row],[TEAM]]&amp;Matrix[[#Headers],[30]],FDR[FDR]&amp;FDR[[#Headers],[30]],FDR[30],"",0,1)</f>
        <v>4</v>
      </c>
      <c r="AQ330" cm="1">
        <f t="array" ref="AQ330">_xlfn.XLOOKUP(Matrix[[#This Row],[TEAM]]&amp;Matrix[[#Headers],[31]],FDR[FDR]&amp;FDR[[#Headers],[31]],FDR[31],"",0,1)</f>
        <v>1</v>
      </c>
      <c r="AR330" cm="1">
        <f t="array" ref="AR330">_xlfn.XLOOKUP(Matrix[[#This Row],[TEAM]]&amp;Matrix[[#Headers],[32]],FDR[FDR]&amp;FDR[[#Headers],[32]],FDR[32],"",0,1)</f>
        <v>1</v>
      </c>
      <c r="AS330" cm="1">
        <f t="array" ref="AS330">_xlfn.XLOOKUP(Matrix[[#This Row],[TEAM]]&amp;Matrix[[#Headers],[33]],FDR[FDR]&amp;FDR[[#Headers],[33]],FDR[33],"",0,1)</f>
        <v>1</v>
      </c>
      <c r="AT330" cm="1">
        <f t="array" ref="AT330">_xlfn.XLOOKUP(Matrix[[#This Row],[TEAM]]&amp;Matrix[[#Headers],[34]],FDR[FDR]&amp;FDR[[#Headers],[34]],FDR[34],"",0,1)</f>
        <v>1</v>
      </c>
      <c r="AU330" cm="1">
        <f t="array" ref="AU330">_xlfn.XLOOKUP(Matrix[[#This Row],[TEAM]]&amp;Matrix[[#Headers],[35]],FDR[FDR]&amp;FDR[[#Headers],[35]],FDR[35],"",0,1)</f>
        <v>3</v>
      </c>
      <c r="AV330" cm="1">
        <f t="array" ref="AV330">_xlfn.XLOOKUP(Matrix[[#This Row],[TEAM]]&amp;Matrix[[#Headers],[36]],FDR[FDR]&amp;FDR[[#Headers],[36]],FDR[36],"",0,1)</f>
        <v>1</v>
      </c>
      <c r="AW330" cm="1">
        <f t="array" ref="AW330">_xlfn.XLOOKUP(Matrix[[#This Row],[TEAM]]&amp;Matrix[[#Headers],[37]],FDR[FDR]&amp;FDR[[#Headers],[37]],FDR[37],"",0,1)</f>
        <v>4</v>
      </c>
      <c r="AX330" cm="1">
        <f t="array" ref="AX330">_xlfn.XLOOKUP(Matrix[[#This Row],[TEAM]]&amp;Matrix[[#Headers],[38]],FDR[FDR]&amp;FDR[[#Headers],[38]],FDR[38],"",0,1)</f>
        <v>1</v>
      </c>
    </row>
    <row r="331" spans="1:50" ht="22" thickTop="1" thickBot="1">
      <c r="A331" s="51" t="s">
        <v>657</v>
      </c>
      <c r="B331" s="70" t="s">
        <v>1655</v>
      </c>
      <c r="C331" s="40" t="s">
        <v>43</v>
      </c>
      <c r="D331" s="62">
        <v>31</v>
      </c>
      <c r="E331" s="60">
        <v>6.0000000000000001E-3</v>
      </c>
      <c r="F331" s="61">
        <v>39.6</v>
      </c>
      <c r="G331" s="63">
        <v>4.5</v>
      </c>
      <c r="H331" s="261">
        <f>IF(ISBLANK(I331),0,1)</f>
        <v>0</v>
      </c>
      <c r="I331" s="57"/>
      <c r="J331" s="58"/>
      <c r="K331" s="65" t="s">
        <v>475</v>
      </c>
      <c r="L331" s="65" t="s">
        <v>134</v>
      </c>
      <c r="M331" cm="1">
        <f t="array" ref="M331">_xlfn.XLOOKUP(Matrix[[#This Row],[TEAM]]&amp;Matrix[[#Headers],[1]],FDR[FDR]&amp;FDR[[#Headers],[1]],FDR[1],"",0,1)</f>
        <v>5</v>
      </c>
      <c r="N331" cm="1">
        <f t="array" ref="N331">_xlfn.XLOOKUP(Matrix[[#This Row],[TEAM]]&amp;Matrix[[#Headers],[2]],FDR[FDR]&amp;FDR[[#Headers],[2]],FDR[2],"",0,1)</f>
        <v>1</v>
      </c>
      <c r="O331" cm="1">
        <f t="array" ref="O331">_xlfn.XLOOKUP(Matrix[[#This Row],[TEAM]]&amp;Matrix[[#Headers],[3]],FDR[FDR]&amp;FDR[[#Headers],[3]],FDR[3],"",0,1)</f>
        <v>5</v>
      </c>
      <c r="P331" cm="1">
        <f t="array" ref="P331">_xlfn.XLOOKUP(Matrix[[#This Row],[TEAM]]&amp;Matrix[[#Headers],[4]],FDR[FDR]&amp;FDR[[#Headers],[4]],FDR[4],"",0,1)</f>
        <v>3</v>
      </c>
      <c r="Q331" cm="1">
        <f t="array" ref="Q331">_xlfn.XLOOKUP(Matrix[[#This Row],[TEAM]]&amp;Matrix[[#Headers],[5]],FDR[FDR]&amp;FDR[[#Headers],[5]],FDR[5],"",0,1)</f>
        <v>4</v>
      </c>
      <c r="R331" cm="1">
        <f t="array" ref="R331">_xlfn.XLOOKUP(Matrix[[#This Row],[TEAM]]&amp;Matrix[[#Headers],[6]],FDR[FDR]&amp;FDR[[#Headers],[6]],FDR[6],"",0,1)</f>
        <v>2</v>
      </c>
      <c r="S331" cm="1">
        <f t="array" ref="S331">_xlfn.XLOOKUP(Matrix[[#This Row],[TEAM]]&amp;Matrix[[#Headers],[7]],FDR[FDR]&amp;FDR[[#Headers],[7]],FDR[7],"",0,1)</f>
        <v>3</v>
      </c>
      <c r="T331" cm="1">
        <f t="array" ref="T331">_xlfn.XLOOKUP(Matrix[[#This Row],[TEAM]]&amp;Matrix[[#Headers],[8]],FDR[FDR]&amp;FDR[[#Headers],[8]],FDR[8],"",0,1)</f>
        <v>3</v>
      </c>
      <c r="U331" cm="1">
        <f t="array" ref="U331">_xlfn.XLOOKUP(Matrix[[#This Row],[TEAM]]&amp;Matrix[[#Headers],[9]],FDR[FDR]&amp;FDR[[#Headers],[9]],FDR[9],"",0,1)</f>
        <v>3</v>
      </c>
      <c r="V331" cm="1">
        <f t="array" ref="V331">_xlfn.XLOOKUP(Matrix[[#This Row],[TEAM]]&amp;Matrix[[#Headers],[10]],FDR[FDR]&amp;FDR[[#Headers],[10]],FDR[10],"",0,1)</f>
        <v>5</v>
      </c>
      <c r="W331" cm="1">
        <f t="array" ref="W331">_xlfn.XLOOKUP(Matrix[[#This Row],[TEAM]]&amp;Matrix[[#Headers],[11]],FDR[FDR]&amp;FDR[[#Headers],[11]],FDR[11],"",0,1)</f>
        <v>5</v>
      </c>
      <c r="X331" cm="1">
        <f t="array" ref="X331">_xlfn.XLOOKUP(Matrix[[#This Row],[TEAM]]&amp;Matrix[[#Headers],[12]],FDR[FDR]&amp;FDR[[#Headers],[12]],FDR[12],"",0,1)</f>
        <v>2</v>
      </c>
      <c r="Y331" cm="1">
        <f t="array" ref="Y331">_xlfn.XLOOKUP(Matrix[[#This Row],[TEAM]]&amp;Matrix[[#Headers],[13]],FDR[FDR]&amp;FDR[[#Headers],[13]],FDR[13],"",0,1)</f>
        <v>2</v>
      </c>
      <c r="Z331" cm="1">
        <f t="array" ref="Z331">_xlfn.XLOOKUP(Matrix[[#This Row],[TEAM]]&amp;Matrix[[#Headers],[14]],FDR[FDR]&amp;FDR[[#Headers],[14]],FDR[14],"",0,1)</f>
        <v>2</v>
      </c>
      <c r="AA331" cm="1">
        <f t="array" ref="AA331">_xlfn.XLOOKUP(Matrix[[#This Row],[TEAM]]&amp;Matrix[[#Headers],[15]],FDR[FDR]&amp;FDR[[#Headers],[15]],FDR[15],"",0,1)</f>
        <v>4</v>
      </c>
      <c r="AB331" cm="1">
        <f t="array" ref="AB331">_xlfn.XLOOKUP(Matrix[[#This Row],[TEAM]]&amp;Matrix[[#Headers],[16]],FDR[FDR]&amp;FDR[[#Headers],[16]],FDR[16],"",0,1)</f>
        <v>5</v>
      </c>
      <c r="AC331" cm="1">
        <f t="array" ref="AC331">_xlfn.XLOOKUP(Matrix[[#This Row],[TEAM]]&amp;Matrix[[#Headers],[17]],FDR[FDR]&amp;FDR[[#Headers],[17]],FDR[17],"",0,1)</f>
        <v>1</v>
      </c>
      <c r="AD331" cm="1">
        <f t="array" ref="AD331">_xlfn.XLOOKUP(Matrix[[#This Row],[TEAM]]&amp;Matrix[[#Headers],[18]],FDR[FDR]&amp;FDR[[#Headers],[18]],FDR[18],"",0,1)</f>
        <v>3</v>
      </c>
      <c r="AE331" cm="1">
        <f t="array" ref="AE331">_xlfn.XLOOKUP(Matrix[[#This Row],[TEAM]]&amp;Matrix[[#Headers],[19]],FDR[FDR]&amp;FDR[[#Headers],[19]],FDR[19],"",0,1)</f>
        <v>5</v>
      </c>
      <c r="AF331" cm="1">
        <f t="array" ref="AF331">_xlfn.XLOOKUP(Matrix[[#This Row],[TEAM]]&amp;Matrix[[#Headers],[20]],FDR[FDR]&amp;FDR[[#Headers],[20]],FDR[20],"",0,1)</f>
        <v>4</v>
      </c>
      <c r="AG331" cm="1">
        <f t="array" ref="AG331">_xlfn.XLOOKUP(Matrix[[#This Row],[TEAM]]&amp;Matrix[[#Headers],[21]],FDR[FDR]&amp;FDR[[#Headers],[21]],FDR[21],"",0,1)</f>
        <v>4</v>
      </c>
      <c r="AH331" cm="1">
        <f t="array" ref="AH331">_xlfn.XLOOKUP(Matrix[[#This Row],[TEAM]]&amp;Matrix[[#Headers],[22]],FDR[FDR]&amp;FDR[[#Headers],[22]],FDR[22],"",0,1)</f>
        <v>4</v>
      </c>
      <c r="AI331" cm="1">
        <f t="array" ref="AI331">_xlfn.XLOOKUP(Matrix[[#This Row],[TEAM]]&amp;Matrix[[#Headers],[23]],FDR[FDR]&amp;FDR[[#Headers],[23]],FDR[23],"",0,1)</f>
        <v>4</v>
      </c>
      <c r="AJ331" cm="1">
        <f t="array" ref="AJ331">_xlfn.XLOOKUP(Matrix[[#This Row],[TEAM]]&amp;Matrix[[#Headers],[24]],FDR[FDR]&amp;FDR[[#Headers],[24]],FDR[24],"",0,1)</f>
        <v>2</v>
      </c>
      <c r="AK331" cm="1">
        <f t="array" ref="AK331">_xlfn.XLOOKUP(Matrix[[#This Row],[TEAM]]&amp;Matrix[[#Headers],[25]],FDR[FDR]&amp;FDR[[#Headers],[25]],FDR[25],"",0,1)</f>
        <v>3</v>
      </c>
      <c r="AL331" cm="1">
        <f t="array" ref="AL331">_xlfn.XLOOKUP(Matrix[[#This Row],[TEAM]]&amp;Matrix[[#Headers],[26]],FDR[FDR]&amp;FDR[[#Headers],[26]],FDR[26],"",0,1)</f>
        <v>3</v>
      </c>
      <c r="AM331" cm="1">
        <f t="array" ref="AM331">_xlfn.XLOOKUP(Matrix[[#This Row],[TEAM]]&amp;Matrix[[#Headers],[27]],FDR[FDR]&amp;FDR[[#Headers],[27]],FDR[27],"",0,1)</f>
        <v>3</v>
      </c>
      <c r="AN331" cm="1">
        <f t="array" ref="AN331">_xlfn.XLOOKUP(Matrix[[#This Row],[TEAM]]&amp;Matrix[[#Headers],[28]],FDR[FDR]&amp;FDR[[#Headers],[28]],FDR[28],"",0,1)</f>
        <v>1</v>
      </c>
      <c r="AO331" cm="1">
        <f t="array" ref="AO331">_xlfn.XLOOKUP(Matrix[[#This Row],[TEAM]]&amp;Matrix[[#Headers],[29]],FDR[FDR]&amp;FDR[[#Headers],[29]],FDR[29],"",0,1)</f>
        <v>2</v>
      </c>
      <c r="AP331" cm="1">
        <f t="array" ref="AP331">_xlfn.XLOOKUP(Matrix[[#This Row],[TEAM]]&amp;Matrix[[#Headers],[30]],FDR[FDR]&amp;FDR[[#Headers],[30]],FDR[30],"",0,1)</f>
        <v>2</v>
      </c>
      <c r="AQ331" cm="1">
        <f t="array" ref="AQ331">_xlfn.XLOOKUP(Matrix[[#This Row],[TEAM]]&amp;Matrix[[#Headers],[31]],FDR[FDR]&amp;FDR[[#Headers],[31]],FDR[31],"",0,1)</f>
        <v>4</v>
      </c>
      <c r="AR331" cm="1">
        <f t="array" ref="AR331">_xlfn.XLOOKUP(Matrix[[#This Row],[TEAM]]&amp;Matrix[[#Headers],[32]],FDR[FDR]&amp;FDR[[#Headers],[32]],FDR[32],"",0,1)</f>
        <v>5</v>
      </c>
      <c r="AS331" cm="1">
        <f t="array" ref="AS331">_xlfn.XLOOKUP(Matrix[[#This Row],[TEAM]]&amp;Matrix[[#Headers],[33]],FDR[FDR]&amp;FDR[[#Headers],[33]],FDR[33],"",0,1)</f>
        <v>5</v>
      </c>
      <c r="AT331" cm="1">
        <f t="array" ref="AT331">_xlfn.XLOOKUP(Matrix[[#This Row],[TEAM]]&amp;Matrix[[#Headers],[34]],FDR[FDR]&amp;FDR[[#Headers],[34]],FDR[34],"",0,1)</f>
        <v>1</v>
      </c>
      <c r="AU331" cm="1">
        <f t="array" ref="AU331">_xlfn.XLOOKUP(Matrix[[#This Row],[TEAM]]&amp;Matrix[[#Headers],[35]],FDR[FDR]&amp;FDR[[#Headers],[35]],FDR[35],"",0,1)</f>
        <v>2</v>
      </c>
      <c r="AV331" cm="1">
        <f t="array" ref="AV331">_xlfn.XLOOKUP(Matrix[[#This Row],[TEAM]]&amp;Matrix[[#Headers],[36]],FDR[FDR]&amp;FDR[[#Headers],[36]],FDR[36],"",0,1)</f>
        <v>4</v>
      </c>
      <c r="AW331" cm="1">
        <f t="array" ref="AW331">_xlfn.XLOOKUP(Matrix[[#This Row],[TEAM]]&amp;Matrix[[#Headers],[37]],FDR[FDR]&amp;FDR[[#Headers],[37]],FDR[37],"",0,1)</f>
        <v>4</v>
      </c>
      <c r="AX331" cm="1">
        <f t="array" ref="AX331">_xlfn.XLOOKUP(Matrix[[#This Row],[TEAM]]&amp;Matrix[[#Headers],[38]],FDR[FDR]&amp;FDR[[#Headers],[38]],FDR[38],"",0,1)</f>
        <v>4</v>
      </c>
    </row>
    <row r="332" spans="1:50" ht="22" thickTop="1" thickBot="1">
      <c r="A332" s="51" t="s">
        <v>657</v>
      </c>
      <c r="B332" s="70" t="s">
        <v>1744</v>
      </c>
      <c r="C332" s="40" t="s">
        <v>23</v>
      </c>
      <c r="D332" s="62">
        <v>31</v>
      </c>
      <c r="E332" s="60">
        <v>1E-3</v>
      </c>
      <c r="F332" s="61">
        <v>38.299999999999997</v>
      </c>
      <c r="G332" s="63">
        <v>4.5</v>
      </c>
      <c r="H332" s="261">
        <f>IF(ISBLANK(I332),0,1)</f>
        <v>0</v>
      </c>
      <c r="I332" s="57"/>
      <c r="J332" s="58"/>
      <c r="K332" s="65" t="s">
        <v>467</v>
      </c>
      <c r="L332" s="65" t="s">
        <v>130</v>
      </c>
      <c r="M332" cm="1">
        <f t="array" ref="M332">_xlfn.XLOOKUP(Matrix[[#This Row],[TEAM]]&amp;Matrix[[#Headers],[1]],FDR[FDR]&amp;FDR[[#Headers],[1]],FDR[1],"",0,1)</f>
        <v>4</v>
      </c>
      <c r="N332" cm="1">
        <f t="array" ref="N332">_xlfn.XLOOKUP(Matrix[[#This Row],[TEAM]]&amp;Matrix[[#Headers],[2]],FDR[FDR]&amp;FDR[[#Headers],[2]],FDR[2],"",0,1)</f>
        <v>4</v>
      </c>
      <c r="O332" cm="1">
        <f t="array" ref="O332">_xlfn.XLOOKUP(Matrix[[#This Row],[TEAM]]&amp;Matrix[[#Headers],[3]],FDR[FDR]&amp;FDR[[#Headers],[3]],FDR[3],"",0,1)</f>
        <v>5</v>
      </c>
      <c r="P332" cm="1">
        <f t="array" ref="P332">_xlfn.XLOOKUP(Matrix[[#This Row],[TEAM]]&amp;Matrix[[#Headers],[4]],FDR[FDR]&amp;FDR[[#Headers],[4]],FDR[4],"",0,1)</f>
        <v>1</v>
      </c>
      <c r="Q332" cm="1">
        <f t="array" ref="Q332">_xlfn.XLOOKUP(Matrix[[#This Row],[TEAM]]&amp;Matrix[[#Headers],[5]],FDR[FDR]&amp;FDR[[#Headers],[5]],FDR[5],"",0,1)</f>
        <v>2</v>
      </c>
      <c r="R332" cm="1">
        <f t="array" ref="R332">_xlfn.XLOOKUP(Matrix[[#This Row],[TEAM]]&amp;Matrix[[#Headers],[6]],FDR[FDR]&amp;FDR[[#Headers],[6]],FDR[6],"",0,1)</f>
        <v>5</v>
      </c>
      <c r="S332" cm="1">
        <f t="array" ref="S332">_xlfn.XLOOKUP(Matrix[[#This Row],[TEAM]]&amp;Matrix[[#Headers],[7]],FDR[FDR]&amp;FDR[[#Headers],[7]],FDR[7],"",0,1)</f>
        <v>4</v>
      </c>
      <c r="T332" cm="1">
        <f t="array" ref="T332">_xlfn.XLOOKUP(Matrix[[#This Row],[TEAM]]&amp;Matrix[[#Headers],[8]],FDR[FDR]&amp;FDR[[#Headers],[8]],FDR[8],"",0,1)</f>
        <v>4</v>
      </c>
      <c r="U332" cm="1">
        <f t="array" ref="U332">_xlfn.XLOOKUP(Matrix[[#This Row],[TEAM]]&amp;Matrix[[#Headers],[9]],FDR[FDR]&amp;FDR[[#Headers],[9]],FDR[9],"",0,1)</f>
        <v>5</v>
      </c>
      <c r="V332" cm="1">
        <f t="array" ref="V332">_xlfn.XLOOKUP(Matrix[[#This Row],[TEAM]]&amp;Matrix[[#Headers],[10]],FDR[FDR]&amp;FDR[[#Headers],[10]],FDR[10],"",0,1)</f>
        <v>1</v>
      </c>
      <c r="W332" cm="1">
        <f t="array" ref="W332">_xlfn.XLOOKUP(Matrix[[#This Row],[TEAM]]&amp;Matrix[[#Headers],[11]],FDR[FDR]&amp;FDR[[#Headers],[11]],FDR[11],"",0,1)</f>
        <v>3</v>
      </c>
      <c r="X332" cm="1">
        <f t="array" ref="X332">_xlfn.XLOOKUP(Matrix[[#This Row],[TEAM]]&amp;Matrix[[#Headers],[12]],FDR[FDR]&amp;FDR[[#Headers],[12]],FDR[12],"",0,1)</f>
        <v>1</v>
      </c>
      <c r="Y332" cm="1">
        <f t="array" ref="Y332">_xlfn.XLOOKUP(Matrix[[#This Row],[TEAM]]&amp;Matrix[[#Headers],[13]],FDR[FDR]&amp;FDR[[#Headers],[13]],FDR[13],"",0,1)</f>
        <v>5</v>
      </c>
      <c r="Z332" cm="1">
        <f t="array" ref="Z332">_xlfn.XLOOKUP(Matrix[[#This Row],[TEAM]]&amp;Matrix[[#Headers],[14]],FDR[FDR]&amp;FDR[[#Headers],[14]],FDR[14],"",0,1)</f>
        <v>4</v>
      </c>
      <c r="AA332" cm="1">
        <f t="array" ref="AA332">_xlfn.XLOOKUP(Matrix[[#This Row],[TEAM]]&amp;Matrix[[#Headers],[15]],FDR[FDR]&amp;FDR[[#Headers],[15]],FDR[15],"",0,1)</f>
        <v>2</v>
      </c>
      <c r="AB332" cm="1">
        <f t="array" ref="AB332">_xlfn.XLOOKUP(Matrix[[#This Row],[TEAM]]&amp;Matrix[[#Headers],[16]],FDR[FDR]&amp;FDR[[#Headers],[16]],FDR[16],"",0,1)</f>
        <v>2</v>
      </c>
      <c r="AC332" cm="1">
        <f t="array" ref="AC332">_xlfn.XLOOKUP(Matrix[[#This Row],[TEAM]]&amp;Matrix[[#Headers],[17]],FDR[FDR]&amp;FDR[[#Headers],[17]],FDR[17],"",0,1)</f>
        <v>3</v>
      </c>
      <c r="AD332" cm="1">
        <f t="array" ref="AD332">_xlfn.XLOOKUP(Matrix[[#This Row],[TEAM]]&amp;Matrix[[#Headers],[18]],FDR[FDR]&amp;FDR[[#Headers],[18]],FDR[18],"",0,1)</f>
        <v>3</v>
      </c>
      <c r="AE332" cm="1">
        <f t="array" ref="AE332">_xlfn.XLOOKUP(Matrix[[#This Row],[TEAM]]&amp;Matrix[[#Headers],[19]],FDR[FDR]&amp;FDR[[#Headers],[19]],FDR[19],"",0,1)</f>
        <v>3</v>
      </c>
      <c r="AF332" cm="1">
        <f t="array" ref="AF332">_xlfn.XLOOKUP(Matrix[[#This Row],[TEAM]]&amp;Matrix[[#Headers],[20]],FDR[FDR]&amp;FDR[[#Headers],[20]],FDR[20],"",0,1)</f>
        <v>4</v>
      </c>
      <c r="AG332" cm="1">
        <f t="array" ref="AG332">_xlfn.XLOOKUP(Matrix[[#This Row],[TEAM]]&amp;Matrix[[#Headers],[21]],FDR[FDR]&amp;FDR[[#Headers],[21]],FDR[21],"",0,1)</f>
        <v>4</v>
      </c>
      <c r="AH332" cm="1">
        <f t="array" ref="AH332">_xlfn.XLOOKUP(Matrix[[#This Row],[TEAM]]&amp;Matrix[[#Headers],[22]],FDR[FDR]&amp;FDR[[#Headers],[22]],FDR[22],"",0,1)</f>
        <v>2</v>
      </c>
      <c r="AI332" cm="1">
        <f t="array" ref="AI332">_xlfn.XLOOKUP(Matrix[[#This Row],[TEAM]]&amp;Matrix[[#Headers],[23]],FDR[FDR]&amp;FDR[[#Headers],[23]],FDR[23],"",0,1)</f>
        <v>3</v>
      </c>
      <c r="AJ332" cm="1">
        <f t="array" ref="AJ332">_xlfn.XLOOKUP(Matrix[[#This Row],[TEAM]]&amp;Matrix[[#Headers],[24]],FDR[FDR]&amp;FDR[[#Headers],[24]],FDR[24],"",0,1)</f>
        <v>5</v>
      </c>
      <c r="AK332" cm="1">
        <f t="array" ref="AK332">_xlfn.XLOOKUP(Matrix[[#This Row],[TEAM]]&amp;Matrix[[#Headers],[25]],FDR[FDR]&amp;FDR[[#Headers],[25]],FDR[25],"",0,1)</f>
        <v>2</v>
      </c>
      <c r="AL332" cm="1">
        <f t="array" ref="AL332">_xlfn.XLOOKUP(Matrix[[#This Row],[TEAM]]&amp;Matrix[[#Headers],[26]],FDR[FDR]&amp;FDR[[#Headers],[26]],FDR[26],"",0,1)</f>
        <v>5</v>
      </c>
      <c r="AM332" cm="1">
        <f t="array" ref="AM332">_xlfn.XLOOKUP(Matrix[[#This Row],[TEAM]]&amp;Matrix[[#Headers],[27]],FDR[FDR]&amp;FDR[[#Headers],[27]],FDR[27],"",0,1)</f>
        <v>2</v>
      </c>
      <c r="AN332" cm="1">
        <f t="array" ref="AN332">_xlfn.XLOOKUP(Matrix[[#This Row],[TEAM]]&amp;Matrix[[#Headers],[28]],FDR[FDR]&amp;FDR[[#Headers],[28]],FDR[28],"",0,1)</f>
        <v>4</v>
      </c>
      <c r="AO332" cm="1">
        <f t="array" ref="AO332">_xlfn.XLOOKUP(Matrix[[#This Row],[TEAM]]&amp;Matrix[[#Headers],[29]],FDR[FDR]&amp;FDR[[#Headers],[29]],FDR[29],"",0,1)</f>
        <v>2</v>
      </c>
      <c r="AP332" cm="1">
        <f t="array" ref="AP332">_xlfn.XLOOKUP(Matrix[[#This Row],[TEAM]]&amp;Matrix[[#Headers],[30]],FDR[FDR]&amp;FDR[[#Headers],[30]],FDR[30],"",0,1)</f>
        <v>4</v>
      </c>
      <c r="AQ332" cm="1">
        <f t="array" ref="AQ332">_xlfn.XLOOKUP(Matrix[[#This Row],[TEAM]]&amp;Matrix[[#Headers],[31]],FDR[FDR]&amp;FDR[[#Headers],[31]],FDR[31],"",0,1)</f>
        <v>1</v>
      </c>
      <c r="AR332" cm="1">
        <f t="array" ref="AR332">_xlfn.XLOOKUP(Matrix[[#This Row],[TEAM]]&amp;Matrix[[#Headers],[32]],FDR[FDR]&amp;FDR[[#Headers],[32]],FDR[32],"",0,1)</f>
        <v>5</v>
      </c>
      <c r="AS332" cm="1">
        <f t="array" ref="AS332">_xlfn.XLOOKUP(Matrix[[#This Row],[TEAM]]&amp;Matrix[[#Headers],[33]],FDR[FDR]&amp;FDR[[#Headers],[33]],FDR[33],"",0,1)</f>
        <v>3</v>
      </c>
      <c r="AT332" cm="1">
        <f t="array" ref="AT332">_xlfn.XLOOKUP(Matrix[[#This Row],[TEAM]]&amp;Matrix[[#Headers],[34]],FDR[FDR]&amp;FDR[[#Headers],[34]],FDR[34],"",0,1)</f>
        <v>3</v>
      </c>
      <c r="AU332" cm="1">
        <f t="array" ref="AU332">_xlfn.XLOOKUP(Matrix[[#This Row],[TEAM]]&amp;Matrix[[#Headers],[35]],FDR[FDR]&amp;FDR[[#Headers],[35]],FDR[35],"",0,1)</f>
        <v>5</v>
      </c>
      <c r="AV332" cm="1">
        <f t="array" ref="AV332">_xlfn.XLOOKUP(Matrix[[#This Row],[TEAM]]&amp;Matrix[[#Headers],[36]],FDR[FDR]&amp;FDR[[#Headers],[36]],FDR[36],"",0,1)</f>
        <v>3</v>
      </c>
      <c r="AW332" cm="1">
        <f t="array" ref="AW332">_xlfn.XLOOKUP(Matrix[[#This Row],[TEAM]]&amp;Matrix[[#Headers],[37]],FDR[FDR]&amp;FDR[[#Headers],[37]],FDR[37],"",0,1)</f>
        <v>2</v>
      </c>
      <c r="AX332" cm="1">
        <f t="array" ref="AX332">_xlfn.XLOOKUP(Matrix[[#This Row],[TEAM]]&amp;Matrix[[#Headers],[38]],FDR[FDR]&amp;FDR[[#Headers],[38]],FDR[38],"",0,1)</f>
        <v>4</v>
      </c>
    </row>
    <row r="333" spans="1:50" ht="22" thickTop="1" thickBot="1">
      <c r="A333" s="264" t="s">
        <v>657</v>
      </c>
      <c r="B333" s="70" t="s">
        <v>1788</v>
      </c>
      <c r="C333" s="40" t="s">
        <v>27</v>
      </c>
      <c r="D333" s="62">
        <v>29</v>
      </c>
      <c r="E333" s="60">
        <v>0</v>
      </c>
      <c r="F333" s="61">
        <v>18.600000000000001</v>
      </c>
      <c r="G333" s="63">
        <v>4.5</v>
      </c>
      <c r="H333" s="261">
        <f>IF(ISBLANK(I333),0,1)</f>
        <v>0</v>
      </c>
      <c r="I333" s="57"/>
      <c r="J333" s="58"/>
      <c r="K333" s="65" t="s">
        <v>359</v>
      </c>
      <c r="L333" s="65" t="s">
        <v>1206</v>
      </c>
      <c r="M333" cm="1">
        <f t="array" ref="M333">_xlfn.XLOOKUP(Matrix[[#This Row],[TEAM]]&amp;Matrix[[#Headers],[1]],FDR[FDR]&amp;FDR[[#Headers],[1]],FDR[1],"",0,1)</f>
        <v>2</v>
      </c>
      <c r="N333" cm="1">
        <f t="array" ref="N333">_xlfn.XLOOKUP(Matrix[[#This Row],[TEAM]]&amp;Matrix[[#Headers],[2]],FDR[FDR]&amp;FDR[[#Headers],[2]],FDR[2],"",0,1)</f>
        <v>4</v>
      </c>
      <c r="O333" cm="1">
        <f t="array" ref="O333">_xlfn.XLOOKUP(Matrix[[#This Row],[TEAM]]&amp;Matrix[[#Headers],[3]],FDR[FDR]&amp;FDR[[#Headers],[3]],FDR[3],"",0,1)</f>
        <v>4</v>
      </c>
      <c r="P333" cm="1">
        <f t="array" ref="P333">_xlfn.XLOOKUP(Matrix[[#This Row],[TEAM]]&amp;Matrix[[#Headers],[4]],FDR[FDR]&amp;FDR[[#Headers],[4]],FDR[4],"",0,1)</f>
        <v>4</v>
      </c>
      <c r="Q333" cm="1">
        <f t="array" ref="Q333">_xlfn.XLOOKUP(Matrix[[#This Row],[TEAM]]&amp;Matrix[[#Headers],[5]],FDR[FDR]&amp;FDR[[#Headers],[5]],FDR[5],"",0,1)</f>
        <v>3</v>
      </c>
      <c r="R333" cm="1">
        <f t="array" ref="R333">_xlfn.XLOOKUP(Matrix[[#This Row],[TEAM]]&amp;Matrix[[#Headers],[6]],FDR[FDR]&amp;FDR[[#Headers],[6]],FDR[6],"",0,1)</f>
        <v>4</v>
      </c>
      <c r="S333" cm="1">
        <f t="array" ref="S333">_xlfn.XLOOKUP(Matrix[[#This Row],[TEAM]]&amp;Matrix[[#Headers],[7]],FDR[FDR]&amp;FDR[[#Headers],[7]],FDR[7],"",0,1)</f>
        <v>5</v>
      </c>
      <c r="T333" cm="1">
        <f t="array" ref="T333">_xlfn.XLOOKUP(Matrix[[#This Row],[TEAM]]&amp;Matrix[[#Headers],[8]],FDR[FDR]&amp;FDR[[#Headers],[8]],FDR[8],"",0,1)</f>
        <v>3</v>
      </c>
      <c r="U333" cm="1">
        <f t="array" ref="U333">_xlfn.XLOOKUP(Matrix[[#This Row],[TEAM]]&amp;Matrix[[#Headers],[9]],FDR[FDR]&amp;FDR[[#Headers],[9]],FDR[9],"",0,1)</f>
        <v>2</v>
      </c>
      <c r="V333" cm="1">
        <f t="array" ref="V333">_xlfn.XLOOKUP(Matrix[[#This Row],[TEAM]]&amp;Matrix[[#Headers],[10]],FDR[FDR]&amp;FDR[[#Headers],[10]],FDR[10],"",0,1)</f>
        <v>4</v>
      </c>
      <c r="W333" cm="1">
        <f t="array" ref="W333">_xlfn.XLOOKUP(Matrix[[#This Row],[TEAM]]&amp;Matrix[[#Headers],[11]],FDR[FDR]&amp;FDR[[#Headers],[11]],FDR[11],"",0,1)</f>
        <v>1</v>
      </c>
      <c r="X333" cm="1">
        <f t="array" ref="X333">_xlfn.XLOOKUP(Matrix[[#This Row],[TEAM]]&amp;Matrix[[#Headers],[12]],FDR[FDR]&amp;FDR[[#Headers],[12]],FDR[12],"",0,1)</f>
        <v>4</v>
      </c>
      <c r="Y333" cm="1">
        <f t="array" ref="Y333">_xlfn.XLOOKUP(Matrix[[#This Row],[TEAM]]&amp;Matrix[[#Headers],[13]],FDR[FDR]&amp;FDR[[#Headers],[13]],FDR[13],"",0,1)</f>
        <v>4</v>
      </c>
      <c r="Z333" cm="1">
        <f t="array" ref="Z333">_xlfn.XLOOKUP(Matrix[[#This Row],[TEAM]]&amp;Matrix[[#Headers],[14]],FDR[FDR]&amp;FDR[[#Headers],[14]],FDR[14],"",0,1)</f>
        <v>5</v>
      </c>
      <c r="AA333" cm="1">
        <f t="array" ref="AA333">_xlfn.XLOOKUP(Matrix[[#This Row],[TEAM]]&amp;Matrix[[#Headers],[15]],FDR[FDR]&amp;FDR[[#Headers],[15]],FDR[15],"",0,1)</f>
        <v>4</v>
      </c>
      <c r="AB333" cm="1">
        <f t="array" ref="AB333">_xlfn.XLOOKUP(Matrix[[#This Row],[TEAM]]&amp;Matrix[[#Headers],[16]],FDR[FDR]&amp;FDR[[#Headers],[16]],FDR[16],"",0,1)</f>
        <v>4</v>
      </c>
      <c r="AC333" cm="1">
        <f t="array" ref="AC333">_xlfn.XLOOKUP(Matrix[[#This Row],[TEAM]]&amp;Matrix[[#Headers],[17]],FDR[FDR]&amp;FDR[[#Headers],[17]],FDR[17],"",0,1)</f>
        <v>5</v>
      </c>
      <c r="AD333" cm="1">
        <f t="array" ref="AD333">_xlfn.XLOOKUP(Matrix[[#This Row],[TEAM]]&amp;Matrix[[#Headers],[18]],FDR[FDR]&amp;FDR[[#Headers],[18]],FDR[18],"",0,1)</f>
        <v>3</v>
      </c>
      <c r="AE333" cm="1">
        <f t="array" ref="AE333">_xlfn.XLOOKUP(Matrix[[#This Row],[TEAM]]&amp;Matrix[[#Headers],[19]],FDR[FDR]&amp;FDR[[#Headers],[19]],FDR[19],"",0,1)</f>
        <v>3</v>
      </c>
      <c r="AF333" cm="1">
        <f t="array" ref="AF333">_xlfn.XLOOKUP(Matrix[[#This Row],[TEAM]]&amp;Matrix[[#Headers],[20]],FDR[FDR]&amp;FDR[[#Headers],[20]],FDR[20],"",0,1)</f>
        <v>2</v>
      </c>
      <c r="AG333" cm="1">
        <f t="array" ref="AG333">_xlfn.XLOOKUP(Matrix[[#This Row],[TEAM]]&amp;Matrix[[#Headers],[21]],FDR[FDR]&amp;FDR[[#Headers],[21]],FDR[21],"",0,1)</f>
        <v>3</v>
      </c>
      <c r="AH333" cm="1">
        <f t="array" ref="AH333">_xlfn.XLOOKUP(Matrix[[#This Row],[TEAM]]&amp;Matrix[[#Headers],[22]],FDR[FDR]&amp;FDR[[#Headers],[22]],FDR[22],"",0,1)</f>
        <v>5</v>
      </c>
      <c r="AI333" cm="1">
        <f t="array" ref="AI333">_xlfn.XLOOKUP(Matrix[[#This Row],[TEAM]]&amp;Matrix[[#Headers],[23]],FDR[FDR]&amp;FDR[[#Headers],[23]],FDR[23],"",0,1)</f>
        <v>1</v>
      </c>
      <c r="AJ333" cm="1">
        <f t="array" ref="AJ333">_xlfn.XLOOKUP(Matrix[[#This Row],[TEAM]]&amp;Matrix[[#Headers],[24]],FDR[FDR]&amp;FDR[[#Headers],[24]],FDR[24],"",0,1)</f>
        <v>5</v>
      </c>
      <c r="AK333" cm="1">
        <f t="array" ref="AK333">_xlfn.XLOOKUP(Matrix[[#This Row],[TEAM]]&amp;Matrix[[#Headers],[25]],FDR[FDR]&amp;FDR[[#Headers],[25]],FDR[25],"",0,1)</f>
        <v>2</v>
      </c>
      <c r="AL333" cm="1">
        <f t="array" ref="AL333">_xlfn.XLOOKUP(Matrix[[#This Row],[TEAM]]&amp;Matrix[[#Headers],[26]],FDR[FDR]&amp;FDR[[#Headers],[26]],FDR[26],"",0,1)</f>
        <v>4</v>
      </c>
      <c r="AM333" cm="1">
        <f t="array" ref="AM333">_xlfn.XLOOKUP(Matrix[[#This Row],[TEAM]]&amp;Matrix[[#Headers],[27]],FDR[FDR]&amp;FDR[[#Headers],[27]],FDR[27],"",0,1)</f>
        <v>3</v>
      </c>
      <c r="AN333" cm="1">
        <f t="array" ref="AN333">_xlfn.XLOOKUP(Matrix[[#This Row],[TEAM]]&amp;Matrix[[#Headers],[28]],FDR[FDR]&amp;FDR[[#Headers],[28]],FDR[28],"",0,1)</f>
        <v>5</v>
      </c>
      <c r="AO333" cm="1">
        <f t="array" ref="AO333">_xlfn.XLOOKUP(Matrix[[#This Row],[TEAM]]&amp;Matrix[[#Headers],[29]],FDR[FDR]&amp;FDR[[#Headers],[29]],FDR[29],"",0,1)</f>
        <v>4</v>
      </c>
      <c r="AP333" cm="1">
        <f t="array" ref="AP333">_xlfn.XLOOKUP(Matrix[[#This Row],[TEAM]]&amp;Matrix[[#Headers],[30]],FDR[FDR]&amp;FDR[[#Headers],[30]],FDR[30],"",0,1)</f>
        <v>4</v>
      </c>
      <c r="AQ333" cm="1">
        <f t="array" ref="AQ333">_xlfn.XLOOKUP(Matrix[[#This Row],[TEAM]]&amp;Matrix[[#Headers],[31]],FDR[FDR]&amp;FDR[[#Headers],[31]],FDR[31],"",0,1)</f>
        <v>5</v>
      </c>
      <c r="AR333" cm="1">
        <f t="array" ref="AR333">_xlfn.XLOOKUP(Matrix[[#This Row],[TEAM]]&amp;Matrix[[#Headers],[32]],FDR[FDR]&amp;FDR[[#Headers],[32]],FDR[32],"",0,1)</f>
        <v>2</v>
      </c>
      <c r="AS333" cm="1">
        <f t="array" ref="AS333">_xlfn.XLOOKUP(Matrix[[#This Row],[TEAM]]&amp;Matrix[[#Headers],[33]],FDR[FDR]&amp;FDR[[#Headers],[33]],FDR[33],"",0,1)</f>
        <v>4</v>
      </c>
      <c r="AT333" cm="1">
        <f t="array" ref="AT333">_xlfn.XLOOKUP(Matrix[[#This Row],[TEAM]]&amp;Matrix[[#Headers],[34]],FDR[FDR]&amp;FDR[[#Headers],[34]],FDR[34],"",0,1)</f>
        <v>3</v>
      </c>
      <c r="AU333" cm="1">
        <f t="array" ref="AU333">_xlfn.XLOOKUP(Matrix[[#This Row],[TEAM]]&amp;Matrix[[#Headers],[35]],FDR[FDR]&amp;FDR[[#Headers],[35]],FDR[35],"",0,1)</f>
        <v>4</v>
      </c>
      <c r="AV333" cm="1">
        <f t="array" ref="AV333">_xlfn.XLOOKUP(Matrix[[#This Row],[TEAM]]&amp;Matrix[[#Headers],[36]],FDR[FDR]&amp;FDR[[#Headers],[36]],FDR[36],"",0,1)</f>
        <v>4</v>
      </c>
      <c r="AW333" cm="1">
        <f t="array" ref="AW333">_xlfn.XLOOKUP(Matrix[[#This Row],[TEAM]]&amp;Matrix[[#Headers],[37]],FDR[FDR]&amp;FDR[[#Headers],[37]],FDR[37],"",0,1)</f>
        <v>5</v>
      </c>
      <c r="AX333" cm="1">
        <f t="array" ref="AX333">_xlfn.XLOOKUP(Matrix[[#This Row],[TEAM]]&amp;Matrix[[#Headers],[38]],FDR[FDR]&amp;FDR[[#Headers],[38]],FDR[38],"",0,1)</f>
        <v>1</v>
      </c>
    </row>
    <row r="334" spans="1:50" ht="22" thickTop="1" thickBot="1">
      <c r="A334" s="54" t="s">
        <v>657</v>
      </c>
      <c r="B334" s="70" t="s">
        <v>1763</v>
      </c>
      <c r="C334" s="40" t="s">
        <v>19</v>
      </c>
      <c r="D334" s="62">
        <v>28</v>
      </c>
      <c r="E334" s="60">
        <v>1E-3</v>
      </c>
      <c r="F334" s="61">
        <v>43.7</v>
      </c>
      <c r="G334" s="63">
        <v>4.5</v>
      </c>
      <c r="H334" s="261">
        <f>IF(ISBLANK(I334),0,1)</f>
        <v>0</v>
      </c>
      <c r="I334" s="57"/>
      <c r="J334" s="58"/>
      <c r="K334" s="65" t="s">
        <v>375</v>
      </c>
      <c r="L334" s="65" t="s">
        <v>105</v>
      </c>
      <c r="M334" cm="1">
        <f t="array" ref="M334">_xlfn.XLOOKUP(Matrix[[#This Row],[TEAM]]&amp;Matrix[[#Headers],[1]],FDR[FDR]&amp;FDR[[#Headers],[1]],FDR[1],"",0,1)</f>
        <v>1</v>
      </c>
      <c r="N334" cm="1">
        <f t="array" ref="N334">_xlfn.XLOOKUP(Matrix[[#This Row],[TEAM]]&amp;Matrix[[#Headers],[2]],FDR[FDR]&amp;FDR[[#Headers],[2]],FDR[2],"",0,1)</f>
        <v>4</v>
      </c>
      <c r="O334" cm="1">
        <f t="array" ref="O334">_xlfn.XLOOKUP(Matrix[[#This Row],[TEAM]]&amp;Matrix[[#Headers],[3]],FDR[FDR]&amp;FDR[[#Headers],[3]],FDR[3],"",0,1)</f>
        <v>1</v>
      </c>
      <c r="P334" cm="1">
        <f t="array" ref="P334">_xlfn.XLOOKUP(Matrix[[#This Row],[TEAM]]&amp;Matrix[[#Headers],[4]],FDR[FDR]&amp;FDR[[#Headers],[4]],FDR[4],"",0,1)</f>
        <v>2</v>
      </c>
      <c r="Q334" cm="1">
        <f t="array" ref="Q334">_xlfn.XLOOKUP(Matrix[[#This Row],[TEAM]]&amp;Matrix[[#Headers],[5]],FDR[FDR]&amp;FDR[[#Headers],[5]],FDR[5],"",0,1)</f>
        <v>2</v>
      </c>
      <c r="R334" cm="1">
        <f t="array" ref="R334">_xlfn.XLOOKUP(Matrix[[#This Row],[TEAM]]&amp;Matrix[[#Headers],[6]],FDR[FDR]&amp;FDR[[#Headers],[6]],FDR[6],"",0,1)</f>
        <v>1</v>
      </c>
      <c r="S334" cm="1">
        <f t="array" ref="S334">_xlfn.XLOOKUP(Matrix[[#This Row],[TEAM]]&amp;Matrix[[#Headers],[7]],FDR[FDR]&amp;FDR[[#Headers],[7]],FDR[7],"",0,1)</f>
        <v>1</v>
      </c>
      <c r="T334" cm="1">
        <f t="array" ref="T334">_xlfn.XLOOKUP(Matrix[[#This Row],[TEAM]]&amp;Matrix[[#Headers],[8]],FDR[FDR]&amp;FDR[[#Headers],[8]],FDR[8],"",0,1)</f>
        <v>2</v>
      </c>
      <c r="U334" cm="1">
        <f t="array" ref="U334">_xlfn.XLOOKUP(Matrix[[#This Row],[TEAM]]&amp;Matrix[[#Headers],[9]],FDR[FDR]&amp;FDR[[#Headers],[9]],FDR[9],"",0,1)</f>
        <v>2</v>
      </c>
      <c r="V334" cm="1">
        <f t="array" ref="V334">_xlfn.XLOOKUP(Matrix[[#This Row],[TEAM]]&amp;Matrix[[#Headers],[10]],FDR[FDR]&amp;FDR[[#Headers],[10]],FDR[10],"",0,1)</f>
        <v>3</v>
      </c>
      <c r="W334" cm="1">
        <f t="array" ref="W334">_xlfn.XLOOKUP(Matrix[[#This Row],[TEAM]]&amp;Matrix[[#Headers],[11]],FDR[FDR]&amp;FDR[[#Headers],[11]],FDR[11],"",0,1)</f>
        <v>3</v>
      </c>
      <c r="X334" cm="1">
        <f t="array" ref="X334">_xlfn.XLOOKUP(Matrix[[#This Row],[TEAM]]&amp;Matrix[[#Headers],[12]],FDR[FDR]&amp;FDR[[#Headers],[12]],FDR[12],"",0,1)</f>
        <v>4</v>
      </c>
      <c r="Y334" cm="1">
        <f t="array" ref="Y334">_xlfn.XLOOKUP(Matrix[[#This Row],[TEAM]]&amp;Matrix[[#Headers],[13]],FDR[FDR]&amp;FDR[[#Headers],[13]],FDR[13],"",0,1)</f>
        <v>1</v>
      </c>
      <c r="Z334" cm="1">
        <f t="array" ref="Z334">_xlfn.XLOOKUP(Matrix[[#This Row],[TEAM]]&amp;Matrix[[#Headers],[14]],FDR[FDR]&amp;FDR[[#Headers],[14]],FDR[14],"",0,1)</f>
        <v>3</v>
      </c>
      <c r="AA334" cm="1">
        <f t="array" ref="AA334">_xlfn.XLOOKUP(Matrix[[#This Row],[TEAM]]&amp;Matrix[[#Headers],[15]],FDR[FDR]&amp;FDR[[#Headers],[15]],FDR[15],"",0,1)</f>
        <v>1</v>
      </c>
      <c r="AB334" cm="1">
        <f t="array" ref="AB334">_xlfn.XLOOKUP(Matrix[[#This Row],[TEAM]]&amp;Matrix[[#Headers],[16]],FDR[FDR]&amp;FDR[[#Headers],[16]],FDR[16],"",0,1)</f>
        <v>2</v>
      </c>
      <c r="AC334" cm="1">
        <f t="array" ref="AC334">_xlfn.XLOOKUP(Matrix[[#This Row],[TEAM]]&amp;Matrix[[#Headers],[17]],FDR[FDR]&amp;FDR[[#Headers],[17]],FDR[17],"",0,1)</f>
        <v>3</v>
      </c>
      <c r="AD334" cm="1">
        <f t="array" ref="AD334">_xlfn.XLOOKUP(Matrix[[#This Row],[TEAM]]&amp;Matrix[[#Headers],[18]],FDR[FDR]&amp;FDR[[#Headers],[18]],FDR[18],"",0,1)</f>
        <v>2</v>
      </c>
      <c r="AE334" cm="1">
        <f t="array" ref="AE334">_xlfn.XLOOKUP(Matrix[[#This Row],[TEAM]]&amp;Matrix[[#Headers],[19]],FDR[FDR]&amp;FDR[[#Headers],[19]],FDR[19],"",0,1)</f>
        <v>2</v>
      </c>
      <c r="AF334" cm="1">
        <f t="array" ref="AF334">_xlfn.XLOOKUP(Matrix[[#This Row],[TEAM]]&amp;Matrix[[#Headers],[20]],FDR[FDR]&amp;FDR[[#Headers],[20]],FDR[20],"",0,1)</f>
        <v>1</v>
      </c>
      <c r="AG334" cm="1">
        <f t="array" ref="AG334">_xlfn.XLOOKUP(Matrix[[#This Row],[TEAM]]&amp;Matrix[[#Headers],[21]],FDR[FDR]&amp;FDR[[#Headers],[21]],FDR[21],"",0,1)</f>
        <v>2</v>
      </c>
      <c r="AH334" cm="1">
        <f t="array" ref="AH334">_xlfn.XLOOKUP(Matrix[[#This Row],[TEAM]]&amp;Matrix[[#Headers],[22]],FDR[FDR]&amp;FDR[[#Headers],[22]],FDR[22],"",0,1)</f>
        <v>1</v>
      </c>
      <c r="AI334" cm="1">
        <f t="array" ref="AI334">_xlfn.XLOOKUP(Matrix[[#This Row],[TEAM]]&amp;Matrix[[#Headers],[23]],FDR[FDR]&amp;FDR[[#Headers],[23]],FDR[23],"",0,1)</f>
        <v>1</v>
      </c>
      <c r="AJ334" cm="1">
        <f t="array" ref="AJ334">_xlfn.XLOOKUP(Matrix[[#This Row],[TEAM]]&amp;Matrix[[#Headers],[24]],FDR[FDR]&amp;FDR[[#Headers],[24]],FDR[24],"",0,1)</f>
        <v>3</v>
      </c>
      <c r="AK334" cm="1">
        <f t="array" ref="AK334">_xlfn.XLOOKUP(Matrix[[#This Row],[TEAM]]&amp;Matrix[[#Headers],[25]],FDR[FDR]&amp;FDR[[#Headers],[25]],FDR[25],"",0,1)</f>
        <v>4</v>
      </c>
      <c r="AL334" cm="1">
        <f t="array" ref="AL334">_xlfn.XLOOKUP(Matrix[[#This Row],[TEAM]]&amp;Matrix[[#Headers],[26]],FDR[FDR]&amp;FDR[[#Headers],[26]],FDR[26],"",0,1)</f>
        <v>2</v>
      </c>
      <c r="AM334" cm="1">
        <f t="array" ref="AM334">_xlfn.XLOOKUP(Matrix[[#This Row],[TEAM]]&amp;Matrix[[#Headers],[27]],FDR[FDR]&amp;FDR[[#Headers],[27]],FDR[27],"",0,1)</f>
        <v>3</v>
      </c>
      <c r="AN334" cm="1">
        <f t="array" ref="AN334">_xlfn.XLOOKUP(Matrix[[#This Row],[TEAM]]&amp;Matrix[[#Headers],[28]],FDR[FDR]&amp;FDR[[#Headers],[28]],FDR[28],"",0,1)</f>
        <v>2</v>
      </c>
      <c r="AO334" cm="1">
        <f t="array" ref="AO334">_xlfn.XLOOKUP(Matrix[[#This Row],[TEAM]]&amp;Matrix[[#Headers],[29]],FDR[FDR]&amp;FDR[[#Headers],[29]],FDR[29],"",0,1)</f>
        <v>1</v>
      </c>
      <c r="AP334" cm="1">
        <f t="array" ref="AP334">_xlfn.XLOOKUP(Matrix[[#This Row],[TEAM]]&amp;Matrix[[#Headers],[30]],FDR[FDR]&amp;FDR[[#Headers],[30]],FDR[30],"",0,1)</f>
        <v>4</v>
      </c>
      <c r="AQ334" cm="1">
        <f t="array" ref="AQ334">_xlfn.XLOOKUP(Matrix[[#This Row],[TEAM]]&amp;Matrix[[#Headers],[31]],FDR[FDR]&amp;FDR[[#Headers],[31]],FDR[31],"",0,1)</f>
        <v>1</v>
      </c>
      <c r="AR334" cm="1">
        <f t="array" ref="AR334">_xlfn.XLOOKUP(Matrix[[#This Row],[TEAM]]&amp;Matrix[[#Headers],[32]],FDR[FDR]&amp;FDR[[#Headers],[32]],FDR[32],"",0,1)</f>
        <v>1</v>
      </c>
      <c r="AS334" cm="1">
        <f t="array" ref="AS334">_xlfn.XLOOKUP(Matrix[[#This Row],[TEAM]]&amp;Matrix[[#Headers],[33]],FDR[FDR]&amp;FDR[[#Headers],[33]],FDR[33],"",0,1)</f>
        <v>1</v>
      </c>
      <c r="AT334" cm="1">
        <f t="array" ref="AT334">_xlfn.XLOOKUP(Matrix[[#This Row],[TEAM]]&amp;Matrix[[#Headers],[34]],FDR[FDR]&amp;FDR[[#Headers],[34]],FDR[34],"",0,1)</f>
        <v>1</v>
      </c>
      <c r="AU334" cm="1">
        <f t="array" ref="AU334">_xlfn.XLOOKUP(Matrix[[#This Row],[TEAM]]&amp;Matrix[[#Headers],[35]],FDR[FDR]&amp;FDR[[#Headers],[35]],FDR[35],"",0,1)</f>
        <v>3</v>
      </c>
      <c r="AV334" cm="1">
        <f t="array" ref="AV334">_xlfn.XLOOKUP(Matrix[[#This Row],[TEAM]]&amp;Matrix[[#Headers],[36]],FDR[FDR]&amp;FDR[[#Headers],[36]],FDR[36],"",0,1)</f>
        <v>1</v>
      </c>
      <c r="AW334" cm="1">
        <f t="array" ref="AW334">_xlfn.XLOOKUP(Matrix[[#This Row],[TEAM]]&amp;Matrix[[#Headers],[37]],FDR[FDR]&amp;FDR[[#Headers],[37]],FDR[37],"",0,1)</f>
        <v>4</v>
      </c>
      <c r="AX334" cm="1">
        <f t="array" ref="AX334">_xlfn.XLOOKUP(Matrix[[#This Row],[TEAM]]&amp;Matrix[[#Headers],[38]],FDR[FDR]&amp;FDR[[#Headers],[38]],FDR[38],"",0,1)</f>
        <v>1</v>
      </c>
    </row>
    <row r="335" spans="1:50" ht="22" thickTop="1" thickBot="1">
      <c r="A335" s="54" t="s">
        <v>657</v>
      </c>
      <c r="B335" s="70" t="s">
        <v>1697</v>
      </c>
      <c r="C335" s="40" t="s">
        <v>21</v>
      </c>
      <c r="D335" s="62">
        <v>27</v>
      </c>
      <c r="E335" s="60">
        <v>2E-3</v>
      </c>
      <c r="F335" s="61">
        <v>24.2</v>
      </c>
      <c r="G335" s="63">
        <v>4.5</v>
      </c>
      <c r="H335" s="261">
        <f>IF(ISBLANK(I335),0,1)</f>
        <v>0</v>
      </c>
      <c r="I335" s="57"/>
      <c r="J335" s="58"/>
      <c r="K335" s="65" t="s">
        <v>386</v>
      </c>
      <c r="L335" s="65" t="s">
        <v>704</v>
      </c>
      <c r="M335" cm="1">
        <f t="array" ref="M335">_xlfn.XLOOKUP(Matrix[[#This Row],[TEAM]]&amp;Matrix[[#Headers],[1]],FDR[FDR]&amp;FDR[[#Headers],[1]],FDR[1],"",0,1)</f>
        <v>4</v>
      </c>
      <c r="N335" cm="1">
        <f t="array" ref="N335">_xlfn.XLOOKUP(Matrix[[#This Row],[TEAM]]&amp;Matrix[[#Headers],[2]],FDR[FDR]&amp;FDR[[#Headers],[2]],FDR[2],"",0,1)</f>
        <v>4</v>
      </c>
      <c r="O335" cm="1">
        <f t="array" ref="O335">_xlfn.XLOOKUP(Matrix[[#This Row],[TEAM]]&amp;Matrix[[#Headers],[3]],FDR[FDR]&amp;FDR[[#Headers],[3]],FDR[3],"",0,1)</f>
        <v>2</v>
      </c>
      <c r="P335" cm="1">
        <f t="array" ref="P335">_xlfn.XLOOKUP(Matrix[[#This Row],[TEAM]]&amp;Matrix[[#Headers],[4]],FDR[FDR]&amp;FDR[[#Headers],[4]],FDR[4],"",0,1)</f>
        <v>4</v>
      </c>
      <c r="Q335" cm="1">
        <f t="array" ref="Q335">_xlfn.XLOOKUP(Matrix[[#This Row],[TEAM]]&amp;Matrix[[#Headers],[5]],FDR[FDR]&amp;FDR[[#Headers],[5]],FDR[5],"",0,1)</f>
        <v>4</v>
      </c>
      <c r="R335" cm="1">
        <f t="array" ref="R335">_xlfn.XLOOKUP(Matrix[[#This Row],[TEAM]]&amp;Matrix[[#Headers],[6]],FDR[FDR]&amp;FDR[[#Headers],[6]],FDR[6],"",0,1)</f>
        <v>4</v>
      </c>
      <c r="S335" cm="1">
        <f t="array" ref="S335">_xlfn.XLOOKUP(Matrix[[#This Row],[TEAM]]&amp;Matrix[[#Headers],[7]],FDR[FDR]&amp;FDR[[#Headers],[7]],FDR[7],"",0,1)</f>
        <v>4</v>
      </c>
      <c r="T335" cm="1">
        <f t="array" ref="T335">_xlfn.XLOOKUP(Matrix[[#This Row],[TEAM]]&amp;Matrix[[#Headers],[8]],FDR[FDR]&amp;FDR[[#Headers],[8]],FDR[8],"",0,1)</f>
        <v>4</v>
      </c>
      <c r="U335" cm="1">
        <f t="array" ref="U335">_xlfn.XLOOKUP(Matrix[[#This Row],[TEAM]]&amp;Matrix[[#Headers],[9]],FDR[FDR]&amp;FDR[[#Headers],[9]],FDR[9],"",0,1)</f>
        <v>4</v>
      </c>
      <c r="V335" cm="1">
        <f t="array" ref="V335">_xlfn.XLOOKUP(Matrix[[#This Row],[TEAM]]&amp;Matrix[[#Headers],[10]],FDR[FDR]&amp;FDR[[#Headers],[10]],FDR[10],"",0,1)</f>
        <v>4</v>
      </c>
      <c r="W335" cm="1">
        <f t="array" ref="W335">_xlfn.XLOOKUP(Matrix[[#This Row],[TEAM]]&amp;Matrix[[#Headers],[11]],FDR[FDR]&amp;FDR[[#Headers],[11]],FDR[11],"",0,1)</f>
        <v>4</v>
      </c>
      <c r="X335" cm="1">
        <f t="array" ref="X335">_xlfn.XLOOKUP(Matrix[[#This Row],[TEAM]]&amp;Matrix[[#Headers],[12]],FDR[FDR]&amp;FDR[[#Headers],[12]],FDR[12],"",0,1)</f>
        <v>4</v>
      </c>
      <c r="Y335" cm="1">
        <f t="array" ref="Y335">_xlfn.XLOOKUP(Matrix[[#This Row],[TEAM]]&amp;Matrix[[#Headers],[13]],FDR[FDR]&amp;FDR[[#Headers],[13]],FDR[13],"",0,1)</f>
        <v>1</v>
      </c>
      <c r="Z335" cm="1">
        <f t="array" ref="Z335">_xlfn.XLOOKUP(Matrix[[#This Row],[TEAM]]&amp;Matrix[[#Headers],[14]],FDR[FDR]&amp;FDR[[#Headers],[14]],FDR[14],"",0,1)</f>
        <v>5</v>
      </c>
      <c r="AA335" cm="1">
        <f t="array" ref="AA335">_xlfn.XLOOKUP(Matrix[[#This Row],[TEAM]]&amp;Matrix[[#Headers],[15]],FDR[FDR]&amp;FDR[[#Headers],[15]],FDR[15],"",0,1)</f>
        <v>5</v>
      </c>
      <c r="AB335" cm="1">
        <f t="array" ref="AB335">_xlfn.XLOOKUP(Matrix[[#This Row],[TEAM]]&amp;Matrix[[#Headers],[16]],FDR[FDR]&amp;FDR[[#Headers],[16]],FDR[16],"",0,1)</f>
        <v>1</v>
      </c>
      <c r="AC335" cm="1">
        <f t="array" ref="AC335">_xlfn.XLOOKUP(Matrix[[#This Row],[TEAM]]&amp;Matrix[[#Headers],[17]],FDR[FDR]&amp;FDR[[#Headers],[17]],FDR[17],"",0,1)</f>
        <v>2</v>
      </c>
      <c r="AD335" cm="1">
        <f t="array" ref="AD335">_xlfn.XLOOKUP(Matrix[[#This Row],[TEAM]]&amp;Matrix[[#Headers],[18]],FDR[FDR]&amp;FDR[[#Headers],[18]],FDR[18],"",0,1)</f>
        <v>3</v>
      </c>
      <c r="AE335" cm="1">
        <f t="array" ref="AE335">_xlfn.XLOOKUP(Matrix[[#This Row],[TEAM]]&amp;Matrix[[#Headers],[19]],FDR[FDR]&amp;FDR[[#Headers],[19]],FDR[19],"",0,1)</f>
        <v>4</v>
      </c>
      <c r="AF335" cm="1">
        <f t="array" ref="AF335">_xlfn.XLOOKUP(Matrix[[#This Row],[TEAM]]&amp;Matrix[[#Headers],[20]],FDR[FDR]&amp;FDR[[#Headers],[20]],FDR[20],"",0,1)</f>
        <v>4</v>
      </c>
      <c r="AG335" cm="1">
        <f t="array" ref="AG335">_xlfn.XLOOKUP(Matrix[[#This Row],[TEAM]]&amp;Matrix[[#Headers],[21]],FDR[FDR]&amp;FDR[[#Headers],[21]],FDR[21],"",0,1)</f>
        <v>1</v>
      </c>
      <c r="AH335" cm="1">
        <f t="array" ref="AH335">_xlfn.XLOOKUP(Matrix[[#This Row],[TEAM]]&amp;Matrix[[#Headers],[22]],FDR[FDR]&amp;FDR[[#Headers],[22]],FDR[22],"",0,1)</f>
        <v>5</v>
      </c>
      <c r="AI335" cm="1">
        <f t="array" ref="AI335">_xlfn.XLOOKUP(Matrix[[#This Row],[TEAM]]&amp;Matrix[[#Headers],[23]],FDR[FDR]&amp;FDR[[#Headers],[23]],FDR[23],"",0,1)</f>
        <v>3</v>
      </c>
      <c r="AJ335" cm="1">
        <f t="array" ref="AJ335">_xlfn.XLOOKUP(Matrix[[#This Row],[TEAM]]&amp;Matrix[[#Headers],[24]],FDR[FDR]&amp;FDR[[#Headers],[24]],FDR[24],"",0,1)</f>
        <v>5</v>
      </c>
      <c r="AK335" cm="1">
        <f t="array" ref="AK335">_xlfn.XLOOKUP(Matrix[[#This Row],[TEAM]]&amp;Matrix[[#Headers],[25]],FDR[FDR]&amp;FDR[[#Headers],[25]],FDR[25],"",0,1)</f>
        <v>5</v>
      </c>
      <c r="AL335" cm="1">
        <f t="array" ref="AL335">_xlfn.XLOOKUP(Matrix[[#This Row],[TEAM]]&amp;Matrix[[#Headers],[26]],FDR[FDR]&amp;FDR[[#Headers],[26]],FDR[26],"",0,1)</f>
        <v>4</v>
      </c>
      <c r="AM335" cm="1">
        <f t="array" ref="AM335">_xlfn.XLOOKUP(Matrix[[#This Row],[TEAM]]&amp;Matrix[[#Headers],[27]],FDR[FDR]&amp;FDR[[#Headers],[27]],FDR[27],"",0,1)</f>
        <v>3</v>
      </c>
      <c r="AN335" cm="1">
        <f t="array" ref="AN335">_xlfn.XLOOKUP(Matrix[[#This Row],[TEAM]]&amp;Matrix[[#Headers],[28]],FDR[FDR]&amp;FDR[[#Headers],[28]],FDR[28],"",0,1)</f>
        <v>2</v>
      </c>
      <c r="AO335" cm="1">
        <f t="array" ref="AO335">_xlfn.XLOOKUP(Matrix[[#This Row],[TEAM]]&amp;Matrix[[#Headers],[29]],FDR[FDR]&amp;FDR[[#Headers],[29]],FDR[29],"",0,1)</f>
        <v>4</v>
      </c>
      <c r="AP335" cm="1">
        <f t="array" ref="AP335">_xlfn.XLOOKUP(Matrix[[#This Row],[TEAM]]&amp;Matrix[[#Headers],[30]],FDR[FDR]&amp;FDR[[#Headers],[30]],FDR[30],"",0,1)</f>
        <v>2</v>
      </c>
      <c r="AQ335" cm="1">
        <f t="array" ref="AQ335">_xlfn.XLOOKUP(Matrix[[#This Row],[TEAM]]&amp;Matrix[[#Headers],[31]],FDR[FDR]&amp;FDR[[#Headers],[31]],FDR[31],"",0,1)</f>
        <v>2</v>
      </c>
      <c r="AR335" cm="1">
        <f t="array" ref="AR335">_xlfn.XLOOKUP(Matrix[[#This Row],[TEAM]]&amp;Matrix[[#Headers],[32]],FDR[FDR]&amp;FDR[[#Headers],[32]],FDR[32],"",0,1)</f>
        <v>3</v>
      </c>
      <c r="AS335" cm="1">
        <f t="array" ref="AS335">_xlfn.XLOOKUP(Matrix[[#This Row],[TEAM]]&amp;Matrix[[#Headers],[33]],FDR[FDR]&amp;FDR[[#Headers],[33]],FDR[33],"",0,1)</f>
        <v>3</v>
      </c>
      <c r="AT335" cm="1">
        <f t="array" ref="AT335">_xlfn.XLOOKUP(Matrix[[#This Row],[TEAM]]&amp;Matrix[[#Headers],[34]],FDR[FDR]&amp;FDR[[#Headers],[34]],FDR[34],"",0,1)</f>
        <v>5</v>
      </c>
      <c r="AU335" cm="1">
        <f t="array" ref="AU335">_xlfn.XLOOKUP(Matrix[[#This Row],[TEAM]]&amp;Matrix[[#Headers],[35]],FDR[FDR]&amp;FDR[[#Headers],[35]],FDR[35],"",0,1)</f>
        <v>3</v>
      </c>
      <c r="AV335" cm="1">
        <f t="array" ref="AV335">_xlfn.XLOOKUP(Matrix[[#This Row],[TEAM]]&amp;Matrix[[#Headers],[36]],FDR[FDR]&amp;FDR[[#Headers],[36]],FDR[36],"",0,1)</f>
        <v>5</v>
      </c>
      <c r="AW335" cm="1">
        <f t="array" ref="AW335">_xlfn.XLOOKUP(Matrix[[#This Row],[TEAM]]&amp;Matrix[[#Headers],[37]],FDR[FDR]&amp;FDR[[#Headers],[37]],FDR[37],"",0,1)</f>
        <v>3</v>
      </c>
      <c r="AX335" cm="1">
        <f t="array" ref="AX335">_xlfn.XLOOKUP(Matrix[[#This Row],[TEAM]]&amp;Matrix[[#Headers],[38]],FDR[FDR]&amp;FDR[[#Headers],[38]],FDR[38],"",0,1)</f>
        <v>5</v>
      </c>
    </row>
    <row r="336" spans="1:50" ht="22" thickTop="1" thickBot="1">
      <c r="A336" s="51" t="s">
        <v>657</v>
      </c>
      <c r="B336" s="70" t="s">
        <v>1638</v>
      </c>
      <c r="C336" s="40" t="s">
        <v>30</v>
      </c>
      <c r="D336" s="62">
        <v>22</v>
      </c>
      <c r="E336" s="60">
        <v>1.2999999999999999E-2</v>
      </c>
      <c r="F336" s="61">
        <v>31.8</v>
      </c>
      <c r="G336" s="63">
        <v>4.5</v>
      </c>
      <c r="H336" s="261">
        <f>IF(ISBLANK(I336),0,1)</f>
        <v>0</v>
      </c>
      <c r="I336" s="57"/>
      <c r="J336" s="58"/>
      <c r="K336" s="65" t="s">
        <v>1105</v>
      </c>
      <c r="L336" s="65" t="s">
        <v>1106</v>
      </c>
      <c r="M336" cm="1">
        <f t="array" ref="M336">_xlfn.XLOOKUP(Matrix[[#This Row],[TEAM]]&amp;Matrix[[#Headers],[1]],FDR[FDR]&amp;FDR[[#Headers],[1]],FDR[1],"",0,1)</f>
        <v>3</v>
      </c>
      <c r="N336" cm="1">
        <f t="array" ref="N336">_xlfn.XLOOKUP(Matrix[[#This Row],[TEAM]]&amp;Matrix[[#Headers],[2]],FDR[FDR]&amp;FDR[[#Headers],[2]],FDR[2],"",0,1)</f>
        <v>2</v>
      </c>
      <c r="O336" cm="1">
        <f t="array" ref="O336">_xlfn.XLOOKUP(Matrix[[#This Row],[TEAM]]&amp;Matrix[[#Headers],[3]],FDR[FDR]&amp;FDR[[#Headers],[3]],FDR[3],"",0,1)</f>
        <v>1</v>
      </c>
      <c r="P336" cm="1">
        <f t="array" ref="P336">_xlfn.XLOOKUP(Matrix[[#This Row],[TEAM]]&amp;Matrix[[#Headers],[4]],FDR[FDR]&amp;FDR[[#Headers],[4]],FDR[4],"",0,1)</f>
        <v>4</v>
      </c>
      <c r="Q336" cm="1">
        <f t="array" ref="Q336">_xlfn.XLOOKUP(Matrix[[#This Row],[TEAM]]&amp;Matrix[[#Headers],[5]],FDR[FDR]&amp;FDR[[#Headers],[5]],FDR[5],"",0,1)</f>
        <v>3</v>
      </c>
      <c r="R336" cm="1">
        <f t="array" ref="R336">_xlfn.XLOOKUP(Matrix[[#This Row],[TEAM]]&amp;Matrix[[#Headers],[6]],FDR[FDR]&amp;FDR[[#Headers],[6]],FDR[6],"",0,1)</f>
        <v>2</v>
      </c>
      <c r="S336" cm="1">
        <f t="array" ref="S336">_xlfn.XLOOKUP(Matrix[[#This Row],[TEAM]]&amp;Matrix[[#Headers],[7]],FDR[FDR]&amp;FDR[[#Headers],[7]],FDR[7],"",0,1)</f>
        <v>1</v>
      </c>
      <c r="T336" cm="1">
        <f t="array" ref="T336">_xlfn.XLOOKUP(Matrix[[#This Row],[TEAM]]&amp;Matrix[[#Headers],[8]],FDR[FDR]&amp;FDR[[#Headers],[8]],FDR[8],"",0,1)</f>
        <v>4</v>
      </c>
      <c r="U336" cm="1">
        <f t="array" ref="U336">_xlfn.XLOOKUP(Matrix[[#This Row],[TEAM]]&amp;Matrix[[#Headers],[9]],FDR[FDR]&amp;FDR[[#Headers],[9]],FDR[9],"",0,1)</f>
        <v>1</v>
      </c>
      <c r="V336" cm="1">
        <f t="array" ref="V336">_xlfn.XLOOKUP(Matrix[[#This Row],[TEAM]]&amp;Matrix[[#Headers],[10]],FDR[FDR]&amp;FDR[[#Headers],[10]],FDR[10],"",0,1)</f>
        <v>2</v>
      </c>
      <c r="W336" cm="1">
        <f t="array" ref="W336">_xlfn.XLOOKUP(Matrix[[#This Row],[TEAM]]&amp;Matrix[[#Headers],[11]],FDR[FDR]&amp;FDR[[#Headers],[11]],FDR[11],"",0,1)</f>
        <v>4</v>
      </c>
      <c r="X336" cm="1">
        <f t="array" ref="X336">_xlfn.XLOOKUP(Matrix[[#This Row],[TEAM]]&amp;Matrix[[#Headers],[12]],FDR[FDR]&amp;FDR[[#Headers],[12]],FDR[12],"",0,1)</f>
        <v>1</v>
      </c>
      <c r="Y336" cm="1">
        <f t="array" ref="Y336">_xlfn.XLOOKUP(Matrix[[#This Row],[TEAM]]&amp;Matrix[[#Headers],[13]],FDR[FDR]&amp;FDR[[#Headers],[13]],FDR[13],"",0,1)</f>
        <v>2</v>
      </c>
      <c r="Z336" cm="1">
        <f t="array" ref="Z336">_xlfn.XLOOKUP(Matrix[[#This Row],[TEAM]]&amp;Matrix[[#Headers],[14]],FDR[FDR]&amp;FDR[[#Headers],[14]],FDR[14],"",0,1)</f>
        <v>1</v>
      </c>
      <c r="AA336" cm="1">
        <f t="array" ref="AA336">_xlfn.XLOOKUP(Matrix[[#This Row],[TEAM]]&amp;Matrix[[#Headers],[15]],FDR[FDR]&amp;FDR[[#Headers],[15]],FDR[15],"",0,1)</f>
        <v>1</v>
      </c>
      <c r="AB336" cm="1">
        <f t="array" ref="AB336">_xlfn.XLOOKUP(Matrix[[#This Row],[TEAM]]&amp;Matrix[[#Headers],[16]],FDR[FDR]&amp;FDR[[#Headers],[16]],FDR[16],"",0,1)</f>
        <v>1</v>
      </c>
      <c r="AC336" cm="1">
        <f t="array" ref="AC336">_xlfn.XLOOKUP(Matrix[[#This Row],[TEAM]]&amp;Matrix[[#Headers],[17]],FDR[FDR]&amp;FDR[[#Headers],[17]],FDR[17],"",0,1)</f>
        <v>3</v>
      </c>
      <c r="AD336" cm="1">
        <f t="array" ref="AD336">_xlfn.XLOOKUP(Matrix[[#This Row],[TEAM]]&amp;Matrix[[#Headers],[18]],FDR[FDR]&amp;FDR[[#Headers],[18]],FDR[18],"",0,1)</f>
        <v>2</v>
      </c>
      <c r="AE336" cm="1">
        <f t="array" ref="AE336">_xlfn.XLOOKUP(Matrix[[#This Row],[TEAM]]&amp;Matrix[[#Headers],[19]],FDR[FDR]&amp;FDR[[#Headers],[19]],FDR[19],"",0,1)</f>
        <v>1</v>
      </c>
      <c r="AF336" cm="1">
        <f t="array" ref="AF336">_xlfn.XLOOKUP(Matrix[[#This Row],[TEAM]]&amp;Matrix[[#Headers],[20]],FDR[FDR]&amp;FDR[[#Headers],[20]],FDR[20],"",0,1)</f>
        <v>1</v>
      </c>
      <c r="AG336" cm="1">
        <f t="array" ref="AG336">_xlfn.XLOOKUP(Matrix[[#This Row],[TEAM]]&amp;Matrix[[#Headers],[21]],FDR[FDR]&amp;FDR[[#Headers],[21]],FDR[21],"",0,1)</f>
        <v>1</v>
      </c>
      <c r="AH336" cm="1">
        <f t="array" ref="AH336">_xlfn.XLOOKUP(Matrix[[#This Row],[TEAM]]&amp;Matrix[[#Headers],[22]],FDR[FDR]&amp;FDR[[#Headers],[22]],FDR[22],"",0,1)</f>
        <v>3</v>
      </c>
      <c r="AI336" cm="1">
        <f t="array" ref="AI336">_xlfn.XLOOKUP(Matrix[[#This Row],[TEAM]]&amp;Matrix[[#Headers],[23]],FDR[FDR]&amp;FDR[[#Headers],[23]],FDR[23],"",0,1)</f>
        <v>4</v>
      </c>
      <c r="AJ336" cm="1">
        <f t="array" ref="AJ336">_xlfn.XLOOKUP(Matrix[[#This Row],[TEAM]]&amp;Matrix[[#Headers],[24]],FDR[FDR]&amp;FDR[[#Headers],[24]],FDR[24],"",0,1)</f>
        <v>1</v>
      </c>
      <c r="AK336" cm="1">
        <f t="array" ref="AK336">_xlfn.XLOOKUP(Matrix[[#This Row],[TEAM]]&amp;Matrix[[#Headers],[25]],FDR[FDR]&amp;FDR[[#Headers],[25]],FDR[25],"",0,1)</f>
        <v>3</v>
      </c>
      <c r="AL336" cm="1">
        <f t="array" ref="AL336">_xlfn.XLOOKUP(Matrix[[#This Row],[TEAM]]&amp;Matrix[[#Headers],[26]],FDR[FDR]&amp;FDR[[#Headers],[26]],FDR[26],"",0,1)</f>
        <v>2</v>
      </c>
      <c r="AM336" cm="1">
        <f t="array" ref="AM336">_xlfn.XLOOKUP(Matrix[[#This Row],[TEAM]]&amp;Matrix[[#Headers],[27]],FDR[FDR]&amp;FDR[[#Headers],[27]],FDR[27],"",0,1)</f>
        <v>2</v>
      </c>
      <c r="AN336" cm="1">
        <f t="array" ref="AN336">_xlfn.XLOOKUP(Matrix[[#This Row],[TEAM]]&amp;Matrix[[#Headers],[28]],FDR[FDR]&amp;FDR[[#Headers],[28]],FDR[28],"",0,1)</f>
        <v>1</v>
      </c>
      <c r="AO336" cm="1">
        <f t="array" ref="AO336">_xlfn.XLOOKUP(Matrix[[#This Row],[TEAM]]&amp;Matrix[[#Headers],[29]],FDR[FDR]&amp;FDR[[#Headers],[29]],FDR[29],"",0,1)</f>
        <v>3</v>
      </c>
      <c r="AP336" cm="1">
        <f t="array" ref="AP336">_xlfn.XLOOKUP(Matrix[[#This Row],[TEAM]]&amp;Matrix[[#Headers],[30]],FDR[FDR]&amp;FDR[[#Headers],[30]],FDR[30],"",0,1)</f>
        <v>2</v>
      </c>
      <c r="AQ336" cm="1">
        <f t="array" ref="AQ336">_xlfn.XLOOKUP(Matrix[[#This Row],[TEAM]]&amp;Matrix[[#Headers],[31]],FDR[FDR]&amp;FDR[[#Headers],[31]],FDR[31],"",0,1)</f>
        <v>2</v>
      </c>
      <c r="AR336" cm="1">
        <f t="array" ref="AR336">_xlfn.XLOOKUP(Matrix[[#This Row],[TEAM]]&amp;Matrix[[#Headers],[32]],FDR[FDR]&amp;FDR[[#Headers],[32]],FDR[32],"",0,1)</f>
        <v>1</v>
      </c>
      <c r="AS336" cm="1">
        <f t="array" ref="AS336">_xlfn.XLOOKUP(Matrix[[#This Row],[TEAM]]&amp;Matrix[[#Headers],[33]],FDR[FDR]&amp;FDR[[#Headers],[33]],FDR[33],"",0,1)</f>
        <v>4</v>
      </c>
      <c r="AT336" cm="1">
        <f t="array" ref="AT336">_xlfn.XLOOKUP(Matrix[[#This Row],[TEAM]]&amp;Matrix[[#Headers],[34]],FDR[FDR]&amp;FDR[[#Headers],[34]],FDR[34],"",0,1)</f>
        <v>1</v>
      </c>
      <c r="AU336" cm="1">
        <f t="array" ref="AU336">_xlfn.XLOOKUP(Matrix[[#This Row],[TEAM]]&amp;Matrix[[#Headers],[35]],FDR[FDR]&amp;FDR[[#Headers],[35]],FDR[35],"",0,1)</f>
        <v>3</v>
      </c>
      <c r="AV336" cm="1">
        <f t="array" ref="AV336">_xlfn.XLOOKUP(Matrix[[#This Row],[TEAM]]&amp;Matrix[[#Headers],[36]],FDR[FDR]&amp;FDR[[#Headers],[36]],FDR[36],"",0,1)</f>
        <v>1</v>
      </c>
      <c r="AW336" cm="1">
        <f t="array" ref="AW336">_xlfn.XLOOKUP(Matrix[[#This Row],[TEAM]]&amp;Matrix[[#Headers],[37]],FDR[FDR]&amp;FDR[[#Headers],[37]],FDR[37],"",0,1)</f>
        <v>1</v>
      </c>
      <c r="AX336" cm="1">
        <f t="array" ref="AX336">_xlfn.XLOOKUP(Matrix[[#This Row],[TEAM]]&amp;Matrix[[#Headers],[38]],FDR[FDR]&amp;FDR[[#Headers],[38]],FDR[38],"",0,1)</f>
        <v>2</v>
      </c>
    </row>
    <row r="337" spans="1:50" ht="22" thickTop="1" thickBot="1">
      <c r="A337" s="54" t="s">
        <v>657</v>
      </c>
      <c r="B337" s="70" t="s">
        <v>1700</v>
      </c>
      <c r="C337" s="40" t="s">
        <v>33</v>
      </c>
      <c r="D337" s="62">
        <v>19</v>
      </c>
      <c r="E337" s="60">
        <v>2E-3</v>
      </c>
      <c r="F337" s="61">
        <v>24</v>
      </c>
      <c r="G337" s="63">
        <v>4.5</v>
      </c>
      <c r="H337" s="261">
        <f>IF(ISBLANK(I337),0,1)</f>
        <v>0</v>
      </c>
      <c r="I337" s="57"/>
      <c r="J337" s="58"/>
      <c r="K337" s="65" t="s">
        <v>710</v>
      </c>
      <c r="L337" s="65" t="s">
        <v>1028</v>
      </c>
      <c r="M337" cm="1">
        <f t="array" ref="M337">_xlfn.XLOOKUP(Matrix[[#This Row],[TEAM]]&amp;Matrix[[#Headers],[1]],FDR[FDR]&amp;FDR[[#Headers],[1]],FDR[1],"",0,1)</f>
        <v>3</v>
      </c>
      <c r="N337" cm="1">
        <f t="array" ref="N337">_xlfn.XLOOKUP(Matrix[[#This Row],[TEAM]]&amp;Matrix[[#Headers],[2]],FDR[FDR]&amp;FDR[[#Headers],[2]],FDR[2],"",0,1)</f>
        <v>3</v>
      </c>
      <c r="O337" cm="1">
        <f t="array" ref="O337">_xlfn.XLOOKUP(Matrix[[#This Row],[TEAM]]&amp;Matrix[[#Headers],[3]],FDR[FDR]&amp;FDR[[#Headers],[3]],FDR[3],"",0,1)</f>
        <v>4</v>
      </c>
      <c r="P337" cm="1">
        <f t="array" ref="P337">_xlfn.XLOOKUP(Matrix[[#This Row],[TEAM]]&amp;Matrix[[#Headers],[4]],FDR[FDR]&amp;FDR[[#Headers],[4]],FDR[4],"",0,1)</f>
        <v>4</v>
      </c>
      <c r="Q337" cm="1">
        <f t="array" ref="Q337">_xlfn.XLOOKUP(Matrix[[#This Row],[TEAM]]&amp;Matrix[[#Headers],[5]],FDR[FDR]&amp;FDR[[#Headers],[5]],FDR[5],"",0,1)</f>
        <v>4</v>
      </c>
      <c r="R337" cm="1">
        <f t="array" ref="R337">_xlfn.XLOOKUP(Matrix[[#This Row],[TEAM]]&amp;Matrix[[#Headers],[6]],FDR[FDR]&amp;FDR[[#Headers],[6]],FDR[6],"",0,1)</f>
        <v>5</v>
      </c>
      <c r="S337" cm="1">
        <f t="array" ref="S337">_xlfn.XLOOKUP(Matrix[[#This Row],[TEAM]]&amp;Matrix[[#Headers],[7]],FDR[FDR]&amp;FDR[[#Headers],[7]],FDR[7],"",0,1)</f>
        <v>2</v>
      </c>
      <c r="T337" cm="1">
        <f t="array" ref="T337">_xlfn.XLOOKUP(Matrix[[#This Row],[TEAM]]&amp;Matrix[[#Headers],[8]],FDR[FDR]&amp;FDR[[#Headers],[8]],FDR[8],"",0,1)</f>
        <v>4</v>
      </c>
      <c r="U337" cm="1">
        <f t="array" ref="U337">_xlfn.XLOOKUP(Matrix[[#This Row],[TEAM]]&amp;Matrix[[#Headers],[9]],FDR[FDR]&amp;FDR[[#Headers],[9]],FDR[9],"",0,1)</f>
        <v>5</v>
      </c>
      <c r="V337" cm="1">
        <f t="array" ref="V337">_xlfn.XLOOKUP(Matrix[[#This Row],[TEAM]]&amp;Matrix[[#Headers],[10]],FDR[FDR]&amp;FDR[[#Headers],[10]],FDR[10],"",0,1)</f>
        <v>1</v>
      </c>
      <c r="W337" cm="1">
        <f t="array" ref="W337">_xlfn.XLOOKUP(Matrix[[#This Row],[TEAM]]&amp;Matrix[[#Headers],[11]],FDR[FDR]&amp;FDR[[#Headers],[11]],FDR[11],"",0,1)</f>
        <v>3</v>
      </c>
      <c r="X337" cm="1">
        <f t="array" ref="X337">_xlfn.XLOOKUP(Matrix[[#This Row],[TEAM]]&amp;Matrix[[#Headers],[12]],FDR[FDR]&amp;FDR[[#Headers],[12]],FDR[12],"",0,1)</f>
        <v>2</v>
      </c>
      <c r="Y337" cm="1">
        <f t="array" ref="Y337">_xlfn.XLOOKUP(Matrix[[#This Row],[TEAM]]&amp;Matrix[[#Headers],[13]],FDR[FDR]&amp;FDR[[#Headers],[13]],FDR[13],"",0,1)</f>
        <v>4</v>
      </c>
      <c r="Z337" cm="1">
        <f t="array" ref="Z337">_xlfn.XLOOKUP(Matrix[[#This Row],[TEAM]]&amp;Matrix[[#Headers],[14]],FDR[FDR]&amp;FDR[[#Headers],[14]],FDR[14],"",0,1)</f>
        <v>3</v>
      </c>
      <c r="AA337" cm="1">
        <f t="array" ref="AA337">_xlfn.XLOOKUP(Matrix[[#This Row],[TEAM]]&amp;Matrix[[#Headers],[15]],FDR[FDR]&amp;FDR[[#Headers],[15]],FDR[15],"",0,1)</f>
        <v>2</v>
      </c>
      <c r="AB337" cm="1">
        <f t="array" ref="AB337">_xlfn.XLOOKUP(Matrix[[#This Row],[TEAM]]&amp;Matrix[[#Headers],[16]],FDR[FDR]&amp;FDR[[#Headers],[16]],FDR[16],"",0,1)</f>
        <v>5</v>
      </c>
      <c r="AC337" cm="1">
        <f t="array" ref="AC337">_xlfn.XLOOKUP(Matrix[[#This Row],[TEAM]]&amp;Matrix[[#Headers],[17]],FDR[FDR]&amp;FDR[[#Headers],[17]],FDR[17],"",0,1)</f>
        <v>1</v>
      </c>
      <c r="AD337" cm="1">
        <f t="array" ref="AD337">_xlfn.XLOOKUP(Matrix[[#This Row],[TEAM]]&amp;Matrix[[#Headers],[18]],FDR[FDR]&amp;FDR[[#Headers],[18]],FDR[18],"",0,1)</f>
        <v>5</v>
      </c>
      <c r="AE337" cm="1">
        <f t="array" ref="AE337">_xlfn.XLOOKUP(Matrix[[#This Row],[TEAM]]&amp;Matrix[[#Headers],[19]],FDR[FDR]&amp;FDR[[#Headers],[19]],FDR[19],"",0,1)</f>
        <v>3</v>
      </c>
      <c r="AF337" cm="1">
        <f t="array" ref="AF337">_xlfn.XLOOKUP(Matrix[[#This Row],[TEAM]]&amp;Matrix[[#Headers],[20]],FDR[FDR]&amp;FDR[[#Headers],[20]],FDR[20],"",0,1)</f>
        <v>1</v>
      </c>
      <c r="AG337" cm="1">
        <f t="array" ref="AG337">_xlfn.XLOOKUP(Matrix[[#This Row],[TEAM]]&amp;Matrix[[#Headers],[21]],FDR[FDR]&amp;FDR[[#Headers],[21]],FDR[21],"",0,1)</f>
        <v>5</v>
      </c>
      <c r="AH337" cm="1">
        <f t="array" ref="AH337">_xlfn.XLOOKUP(Matrix[[#This Row],[TEAM]]&amp;Matrix[[#Headers],[22]],FDR[FDR]&amp;FDR[[#Headers],[22]],FDR[22],"",0,1)</f>
        <v>3</v>
      </c>
      <c r="AI337" cm="1">
        <f t="array" ref="AI337">_xlfn.XLOOKUP(Matrix[[#This Row],[TEAM]]&amp;Matrix[[#Headers],[23]],FDR[FDR]&amp;FDR[[#Headers],[23]],FDR[23],"",0,1)</f>
        <v>4</v>
      </c>
      <c r="AJ337" cm="1">
        <f t="array" ref="AJ337">_xlfn.XLOOKUP(Matrix[[#This Row],[TEAM]]&amp;Matrix[[#Headers],[24]],FDR[FDR]&amp;FDR[[#Headers],[24]],FDR[24],"",0,1)</f>
        <v>2</v>
      </c>
      <c r="AK337" cm="1">
        <f t="array" ref="AK337">_xlfn.XLOOKUP(Matrix[[#This Row],[TEAM]]&amp;Matrix[[#Headers],[25]],FDR[FDR]&amp;FDR[[#Headers],[25]],FDR[25],"",0,1)</f>
        <v>2</v>
      </c>
      <c r="AL337" cm="1">
        <f t="array" ref="AL337">_xlfn.XLOOKUP(Matrix[[#This Row],[TEAM]]&amp;Matrix[[#Headers],[26]],FDR[FDR]&amp;FDR[[#Headers],[26]],FDR[26],"",0,1)</f>
        <v>5</v>
      </c>
      <c r="AM337" cm="1">
        <f t="array" ref="AM337">_xlfn.XLOOKUP(Matrix[[#This Row],[TEAM]]&amp;Matrix[[#Headers],[27]],FDR[FDR]&amp;FDR[[#Headers],[27]],FDR[27],"",0,1)</f>
        <v>3</v>
      </c>
      <c r="AN337" cm="1">
        <f t="array" ref="AN337">_xlfn.XLOOKUP(Matrix[[#This Row],[TEAM]]&amp;Matrix[[#Headers],[28]],FDR[FDR]&amp;FDR[[#Headers],[28]],FDR[28],"",0,1)</f>
        <v>3</v>
      </c>
      <c r="AO337" cm="1">
        <f t="array" ref="AO337">_xlfn.XLOOKUP(Matrix[[#This Row],[TEAM]]&amp;Matrix[[#Headers],[29]],FDR[FDR]&amp;FDR[[#Headers],[29]],FDR[29],"",0,1)</f>
        <v>4</v>
      </c>
      <c r="AP337" cm="1">
        <f t="array" ref="AP337">_xlfn.XLOOKUP(Matrix[[#This Row],[TEAM]]&amp;Matrix[[#Headers],[30]],FDR[FDR]&amp;FDR[[#Headers],[30]],FDR[30],"",0,1)</f>
        <v>2</v>
      </c>
      <c r="AQ337" cm="1">
        <f t="array" ref="AQ337">_xlfn.XLOOKUP(Matrix[[#This Row],[TEAM]]&amp;Matrix[[#Headers],[31]],FDR[FDR]&amp;FDR[[#Headers],[31]],FDR[31],"",0,1)</f>
        <v>4</v>
      </c>
      <c r="AR337" cm="1">
        <f t="array" ref="AR337">_xlfn.XLOOKUP(Matrix[[#This Row],[TEAM]]&amp;Matrix[[#Headers],[32]],FDR[FDR]&amp;FDR[[#Headers],[32]],FDR[32],"",0,1)</f>
        <v>2</v>
      </c>
      <c r="AS337" cm="1">
        <f t="array" ref="AS337">_xlfn.XLOOKUP(Matrix[[#This Row],[TEAM]]&amp;Matrix[[#Headers],[33]],FDR[FDR]&amp;FDR[[#Headers],[33]],FDR[33],"",0,1)</f>
        <v>5</v>
      </c>
      <c r="AT337" cm="1">
        <f t="array" ref="AT337">_xlfn.XLOOKUP(Matrix[[#This Row],[TEAM]]&amp;Matrix[[#Headers],[34]],FDR[FDR]&amp;FDR[[#Headers],[34]],FDR[34],"",0,1)</f>
        <v>4</v>
      </c>
      <c r="AU337" cm="1">
        <f t="array" ref="AU337">_xlfn.XLOOKUP(Matrix[[#This Row],[TEAM]]&amp;Matrix[[#Headers],[35]],FDR[FDR]&amp;FDR[[#Headers],[35]],FDR[35],"",0,1)</f>
        <v>5</v>
      </c>
      <c r="AV337" cm="1">
        <f t="array" ref="AV337">_xlfn.XLOOKUP(Matrix[[#This Row],[TEAM]]&amp;Matrix[[#Headers],[36]],FDR[FDR]&amp;FDR[[#Headers],[36]],FDR[36],"",0,1)</f>
        <v>1</v>
      </c>
      <c r="AW337" cm="1">
        <f t="array" ref="AW337">_xlfn.XLOOKUP(Matrix[[#This Row],[TEAM]]&amp;Matrix[[#Headers],[37]],FDR[FDR]&amp;FDR[[#Headers],[37]],FDR[37],"",0,1)</f>
        <v>2</v>
      </c>
      <c r="AX337" cm="1">
        <f t="array" ref="AX337">_xlfn.XLOOKUP(Matrix[[#This Row],[TEAM]]&amp;Matrix[[#Headers],[38]],FDR[FDR]&amp;FDR[[#Headers],[38]],FDR[38],"",0,1)</f>
        <v>4</v>
      </c>
    </row>
    <row r="338" spans="1:50" ht="22" thickTop="1" thickBot="1">
      <c r="A338" s="54" t="s">
        <v>657</v>
      </c>
      <c r="B338" s="70" t="s">
        <v>1620</v>
      </c>
      <c r="C338" s="40" t="s">
        <v>30</v>
      </c>
      <c r="D338" s="62">
        <v>18</v>
      </c>
      <c r="E338" s="60">
        <v>6.4000000000000001E-2</v>
      </c>
      <c r="F338" s="61">
        <v>39.4</v>
      </c>
      <c r="G338" s="63">
        <v>4.5</v>
      </c>
      <c r="H338" s="261">
        <f>IF(ISBLANK(I338),0,1)</f>
        <v>0</v>
      </c>
      <c r="I338" s="57"/>
      <c r="J338" s="58"/>
      <c r="K338" s="65" t="s">
        <v>799</v>
      </c>
      <c r="L338" s="65" t="s">
        <v>1104</v>
      </c>
      <c r="M338" cm="1">
        <f t="array" ref="M338">_xlfn.XLOOKUP(Matrix[[#This Row],[TEAM]]&amp;Matrix[[#Headers],[1]],FDR[FDR]&amp;FDR[[#Headers],[1]],FDR[1],"",0,1)</f>
        <v>3</v>
      </c>
      <c r="N338" cm="1">
        <f t="array" ref="N338">_xlfn.XLOOKUP(Matrix[[#This Row],[TEAM]]&amp;Matrix[[#Headers],[2]],FDR[FDR]&amp;FDR[[#Headers],[2]],FDR[2],"",0,1)</f>
        <v>2</v>
      </c>
      <c r="O338" cm="1">
        <f t="array" ref="O338">_xlfn.XLOOKUP(Matrix[[#This Row],[TEAM]]&amp;Matrix[[#Headers],[3]],FDR[FDR]&amp;FDR[[#Headers],[3]],FDR[3],"",0,1)</f>
        <v>1</v>
      </c>
      <c r="P338" cm="1">
        <f t="array" ref="P338">_xlfn.XLOOKUP(Matrix[[#This Row],[TEAM]]&amp;Matrix[[#Headers],[4]],FDR[FDR]&amp;FDR[[#Headers],[4]],FDR[4],"",0,1)</f>
        <v>4</v>
      </c>
      <c r="Q338" cm="1">
        <f t="array" ref="Q338">_xlfn.XLOOKUP(Matrix[[#This Row],[TEAM]]&amp;Matrix[[#Headers],[5]],FDR[FDR]&amp;FDR[[#Headers],[5]],FDR[5],"",0,1)</f>
        <v>3</v>
      </c>
      <c r="R338" cm="1">
        <f t="array" ref="R338">_xlfn.XLOOKUP(Matrix[[#This Row],[TEAM]]&amp;Matrix[[#Headers],[6]],FDR[FDR]&amp;FDR[[#Headers],[6]],FDR[6],"",0,1)</f>
        <v>2</v>
      </c>
      <c r="S338" cm="1">
        <f t="array" ref="S338">_xlfn.XLOOKUP(Matrix[[#This Row],[TEAM]]&amp;Matrix[[#Headers],[7]],FDR[FDR]&amp;FDR[[#Headers],[7]],FDR[7],"",0,1)</f>
        <v>1</v>
      </c>
      <c r="T338" cm="1">
        <f t="array" ref="T338">_xlfn.XLOOKUP(Matrix[[#This Row],[TEAM]]&amp;Matrix[[#Headers],[8]],FDR[FDR]&amp;FDR[[#Headers],[8]],FDR[8],"",0,1)</f>
        <v>4</v>
      </c>
      <c r="U338" cm="1">
        <f t="array" ref="U338">_xlfn.XLOOKUP(Matrix[[#This Row],[TEAM]]&amp;Matrix[[#Headers],[9]],FDR[FDR]&amp;FDR[[#Headers],[9]],FDR[9],"",0,1)</f>
        <v>1</v>
      </c>
      <c r="V338" cm="1">
        <f t="array" ref="V338">_xlfn.XLOOKUP(Matrix[[#This Row],[TEAM]]&amp;Matrix[[#Headers],[10]],FDR[FDR]&amp;FDR[[#Headers],[10]],FDR[10],"",0,1)</f>
        <v>2</v>
      </c>
      <c r="W338" cm="1">
        <f t="array" ref="W338">_xlfn.XLOOKUP(Matrix[[#This Row],[TEAM]]&amp;Matrix[[#Headers],[11]],FDR[FDR]&amp;FDR[[#Headers],[11]],FDR[11],"",0,1)</f>
        <v>4</v>
      </c>
      <c r="X338" cm="1">
        <f t="array" ref="X338">_xlfn.XLOOKUP(Matrix[[#This Row],[TEAM]]&amp;Matrix[[#Headers],[12]],FDR[FDR]&amp;FDR[[#Headers],[12]],FDR[12],"",0,1)</f>
        <v>1</v>
      </c>
      <c r="Y338" cm="1">
        <f t="array" ref="Y338">_xlfn.XLOOKUP(Matrix[[#This Row],[TEAM]]&amp;Matrix[[#Headers],[13]],FDR[FDR]&amp;FDR[[#Headers],[13]],FDR[13],"",0,1)</f>
        <v>2</v>
      </c>
      <c r="Z338" cm="1">
        <f t="array" ref="Z338">_xlfn.XLOOKUP(Matrix[[#This Row],[TEAM]]&amp;Matrix[[#Headers],[14]],FDR[FDR]&amp;FDR[[#Headers],[14]],FDR[14],"",0,1)</f>
        <v>1</v>
      </c>
      <c r="AA338" cm="1">
        <f t="array" ref="AA338">_xlfn.XLOOKUP(Matrix[[#This Row],[TEAM]]&amp;Matrix[[#Headers],[15]],FDR[FDR]&amp;FDR[[#Headers],[15]],FDR[15],"",0,1)</f>
        <v>1</v>
      </c>
      <c r="AB338" cm="1">
        <f t="array" ref="AB338">_xlfn.XLOOKUP(Matrix[[#This Row],[TEAM]]&amp;Matrix[[#Headers],[16]],FDR[FDR]&amp;FDR[[#Headers],[16]],FDR[16],"",0,1)</f>
        <v>1</v>
      </c>
      <c r="AC338" cm="1">
        <f t="array" ref="AC338">_xlfn.XLOOKUP(Matrix[[#This Row],[TEAM]]&amp;Matrix[[#Headers],[17]],FDR[FDR]&amp;FDR[[#Headers],[17]],FDR[17],"",0,1)</f>
        <v>3</v>
      </c>
      <c r="AD338" cm="1">
        <f t="array" ref="AD338">_xlfn.XLOOKUP(Matrix[[#This Row],[TEAM]]&amp;Matrix[[#Headers],[18]],FDR[FDR]&amp;FDR[[#Headers],[18]],FDR[18],"",0,1)</f>
        <v>2</v>
      </c>
      <c r="AE338" cm="1">
        <f t="array" ref="AE338">_xlfn.XLOOKUP(Matrix[[#This Row],[TEAM]]&amp;Matrix[[#Headers],[19]],FDR[FDR]&amp;FDR[[#Headers],[19]],FDR[19],"",0,1)</f>
        <v>1</v>
      </c>
      <c r="AF338" cm="1">
        <f t="array" ref="AF338">_xlfn.XLOOKUP(Matrix[[#This Row],[TEAM]]&amp;Matrix[[#Headers],[20]],FDR[FDR]&amp;FDR[[#Headers],[20]],FDR[20],"",0,1)</f>
        <v>1</v>
      </c>
      <c r="AG338" cm="1">
        <f t="array" ref="AG338">_xlfn.XLOOKUP(Matrix[[#This Row],[TEAM]]&amp;Matrix[[#Headers],[21]],FDR[FDR]&amp;FDR[[#Headers],[21]],FDR[21],"",0,1)</f>
        <v>1</v>
      </c>
      <c r="AH338" cm="1">
        <f t="array" ref="AH338">_xlfn.XLOOKUP(Matrix[[#This Row],[TEAM]]&amp;Matrix[[#Headers],[22]],FDR[FDR]&amp;FDR[[#Headers],[22]],FDR[22],"",0,1)</f>
        <v>3</v>
      </c>
      <c r="AI338" cm="1">
        <f t="array" ref="AI338">_xlfn.XLOOKUP(Matrix[[#This Row],[TEAM]]&amp;Matrix[[#Headers],[23]],FDR[FDR]&amp;FDR[[#Headers],[23]],FDR[23],"",0,1)</f>
        <v>4</v>
      </c>
      <c r="AJ338" cm="1">
        <f t="array" ref="AJ338">_xlfn.XLOOKUP(Matrix[[#This Row],[TEAM]]&amp;Matrix[[#Headers],[24]],FDR[FDR]&amp;FDR[[#Headers],[24]],FDR[24],"",0,1)</f>
        <v>1</v>
      </c>
      <c r="AK338" cm="1">
        <f t="array" ref="AK338">_xlfn.XLOOKUP(Matrix[[#This Row],[TEAM]]&amp;Matrix[[#Headers],[25]],FDR[FDR]&amp;FDR[[#Headers],[25]],FDR[25],"",0,1)</f>
        <v>3</v>
      </c>
      <c r="AL338" cm="1">
        <f t="array" ref="AL338">_xlfn.XLOOKUP(Matrix[[#This Row],[TEAM]]&amp;Matrix[[#Headers],[26]],FDR[FDR]&amp;FDR[[#Headers],[26]],FDR[26],"",0,1)</f>
        <v>2</v>
      </c>
      <c r="AM338" cm="1">
        <f t="array" ref="AM338">_xlfn.XLOOKUP(Matrix[[#This Row],[TEAM]]&amp;Matrix[[#Headers],[27]],FDR[FDR]&amp;FDR[[#Headers],[27]],FDR[27],"",0,1)</f>
        <v>2</v>
      </c>
      <c r="AN338" cm="1">
        <f t="array" ref="AN338">_xlfn.XLOOKUP(Matrix[[#This Row],[TEAM]]&amp;Matrix[[#Headers],[28]],FDR[FDR]&amp;FDR[[#Headers],[28]],FDR[28],"",0,1)</f>
        <v>1</v>
      </c>
      <c r="AO338" cm="1">
        <f t="array" ref="AO338">_xlfn.XLOOKUP(Matrix[[#This Row],[TEAM]]&amp;Matrix[[#Headers],[29]],FDR[FDR]&amp;FDR[[#Headers],[29]],FDR[29],"",0,1)</f>
        <v>3</v>
      </c>
      <c r="AP338" cm="1">
        <f t="array" ref="AP338">_xlfn.XLOOKUP(Matrix[[#This Row],[TEAM]]&amp;Matrix[[#Headers],[30]],FDR[FDR]&amp;FDR[[#Headers],[30]],FDR[30],"",0,1)</f>
        <v>2</v>
      </c>
      <c r="AQ338" cm="1">
        <f t="array" ref="AQ338">_xlfn.XLOOKUP(Matrix[[#This Row],[TEAM]]&amp;Matrix[[#Headers],[31]],FDR[FDR]&amp;FDR[[#Headers],[31]],FDR[31],"",0,1)</f>
        <v>2</v>
      </c>
      <c r="AR338" cm="1">
        <f t="array" ref="AR338">_xlfn.XLOOKUP(Matrix[[#This Row],[TEAM]]&amp;Matrix[[#Headers],[32]],FDR[FDR]&amp;FDR[[#Headers],[32]],FDR[32],"",0,1)</f>
        <v>1</v>
      </c>
      <c r="AS338" cm="1">
        <f t="array" ref="AS338">_xlfn.XLOOKUP(Matrix[[#This Row],[TEAM]]&amp;Matrix[[#Headers],[33]],FDR[FDR]&amp;FDR[[#Headers],[33]],FDR[33],"",0,1)</f>
        <v>4</v>
      </c>
      <c r="AT338" cm="1">
        <f t="array" ref="AT338">_xlfn.XLOOKUP(Matrix[[#This Row],[TEAM]]&amp;Matrix[[#Headers],[34]],FDR[FDR]&amp;FDR[[#Headers],[34]],FDR[34],"",0,1)</f>
        <v>1</v>
      </c>
      <c r="AU338" cm="1">
        <f t="array" ref="AU338">_xlfn.XLOOKUP(Matrix[[#This Row],[TEAM]]&amp;Matrix[[#Headers],[35]],FDR[FDR]&amp;FDR[[#Headers],[35]],FDR[35],"",0,1)</f>
        <v>3</v>
      </c>
      <c r="AV338" cm="1">
        <f t="array" ref="AV338">_xlfn.XLOOKUP(Matrix[[#This Row],[TEAM]]&amp;Matrix[[#Headers],[36]],FDR[FDR]&amp;FDR[[#Headers],[36]],FDR[36],"",0,1)</f>
        <v>1</v>
      </c>
      <c r="AW338" cm="1">
        <f t="array" ref="AW338">_xlfn.XLOOKUP(Matrix[[#This Row],[TEAM]]&amp;Matrix[[#Headers],[37]],FDR[FDR]&amp;FDR[[#Headers],[37]],FDR[37],"",0,1)</f>
        <v>1</v>
      </c>
      <c r="AX338" cm="1">
        <f t="array" ref="AX338">_xlfn.XLOOKUP(Matrix[[#This Row],[TEAM]]&amp;Matrix[[#Headers],[38]],FDR[FDR]&amp;FDR[[#Headers],[38]],FDR[38],"",0,1)</f>
        <v>2</v>
      </c>
    </row>
    <row r="339" spans="1:50" ht="22" thickTop="1" thickBot="1">
      <c r="A339" s="54" t="s">
        <v>657</v>
      </c>
      <c r="B339" s="70" t="s">
        <v>1631</v>
      </c>
      <c r="C339" s="40" t="s">
        <v>22</v>
      </c>
      <c r="D339" s="62">
        <v>13</v>
      </c>
      <c r="E339" s="60">
        <v>2.1000000000000001E-2</v>
      </c>
      <c r="F339" s="61">
        <v>33.5</v>
      </c>
      <c r="G339" s="63">
        <v>4.5</v>
      </c>
      <c r="H339" s="261">
        <f>IF(ISBLANK(I339),0,1)</f>
        <v>0</v>
      </c>
      <c r="I339" s="57"/>
      <c r="J339" s="58"/>
      <c r="K339" s="65" t="s">
        <v>473</v>
      </c>
      <c r="L339" s="65" t="s">
        <v>474</v>
      </c>
      <c r="M339" cm="1">
        <f t="array" ref="M339">_xlfn.XLOOKUP(Matrix[[#This Row],[TEAM]]&amp;Matrix[[#Headers],[1]],FDR[FDR]&amp;FDR[[#Headers],[1]],FDR[1],"",0,1)</f>
        <v>5</v>
      </c>
      <c r="N339" cm="1">
        <f t="array" ref="N339">_xlfn.XLOOKUP(Matrix[[#This Row],[TEAM]]&amp;Matrix[[#Headers],[2]],FDR[FDR]&amp;FDR[[#Headers],[2]],FDR[2],"",0,1)</f>
        <v>3</v>
      </c>
      <c r="O339" cm="1">
        <f t="array" ref="O339">_xlfn.XLOOKUP(Matrix[[#This Row],[TEAM]]&amp;Matrix[[#Headers],[3]],FDR[FDR]&amp;FDR[[#Headers],[3]],FDR[3],"",0,1)</f>
        <v>5</v>
      </c>
      <c r="P339" cm="1">
        <f t="array" ref="P339">_xlfn.XLOOKUP(Matrix[[#This Row],[TEAM]]&amp;Matrix[[#Headers],[4]],FDR[FDR]&amp;FDR[[#Headers],[4]],FDR[4],"",0,1)</f>
        <v>5</v>
      </c>
      <c r="Q339" cm="1">
        <f t="array" ref="Q339">_xlfn.XLOOKUP(Matrix[[#This Row],[TEAM]]&amp;Matrix[[#Headers],[5]],FDR[FDR]&amp;FDR[[#Headers],[5]],FDR[5],"",0,1)</f>
        <v>5</v>
      </c>
      <c r="R339" cm="1">
        <f t="array" ref="R339">_xlfn.XLOOKUP(Matrix[[#This Row],[TEAM]]&amp;Matrix[[#Headers],[6]],FDR[FDR]&amp;FDR[[#Headers],[6]],FDR[6],"",0,1)</f>
        <v>5</v>
      </c>
      <c r="S339" cm="1">
        <f t="array" ref="S339">_xlfn.XLOOKUP(Matrix[[#This Row],[TEAM]]&amp;Matrix[[#Headers],[7]],FDR[FDR]&amp;FDR[[#Headers],[7]],FDR[7],"",0,1)</f>
        <v>5</v>
      </c>
      <c r="T339" cm="1">
        <f t="array" ref="T339">_xlfn.XLOOKUP(Matrix[[#This Row],[TEAM]]&amp;Matrix[[#Headers],[8]],FDR[FDR]&amp;FDR[[#Headers],[8]],FDR[8],"",0,1)</f>
        <v>3</v>
      </c>
      <c r="U339" cm="1">
        <f t="array" ref="U339">_xlfn.XLOOKUP(Matrix[[#This Row],[TEAM]]&amp;Matrix[[#Headers],[9]],FDR[FDR]&amp;FDR[[#Headers],[9]],FDR[9],"",0,1)</f>
        <v>4</v>
      </c>
      <c r="V339" cm="1">
        <f t="array" ref="V339">_xlfn.XLOOKUP(Matrix[[#This Row],[TEAM]]&amp;Matrix[[#Headers],[10]],FDR[FDR]&amp;FDR[[#Headers],[10]],FDR[10],"",0,1)</f>
        <v>5</v>
      </c>
      <c r="W339" cm="1">
        <f t="array" ref="W339">_xlfn.XLOOKUP(Matrix[[#This Row],[TEAM]]&amp;Matrix[[#Headers],[11]],FDR[FDR]&amp;FDR[[#Headers],[11]],FDR[11],"",0,1)</f>
        <v>5</v>
      </c>
      <c r="X339" cm="1">
        <f t="array" ref="X339">_xlfn.XLOOKUP(Matrix[[#This Row],[TEAM]]&amp;Matrix[[#Headers],[12]],FDR[FDR]&amp;FDR[[#Headers],[12]],FDR[12],"",0,1)</f>
        <v>5</v>
      </c>
      <c r="Y339" cm="1">
        <f t="array" ref="Y339">_xlfn.XLOOKUP(Matrix[[#This Row],[TEAM]]&amp;Matrix[[#Headers],[13]],FDR[FDR]&amp;FDR[[#Headers],[13]],FDR[13],"",0,1)</f>
        <v>5</v>
      </c>
      <c r="Z339" cm="1">
        <f t="array" ref="Z339">_xlfn.XLOOKUP(Matrix[[#This Row],[TEAM]]&amp;Matrix[[#Headers],[14]],FDR[FDR]&amp;FDR[[#Headers],[14]],FDR[14],"",0,1)</f>
        <v>4</v>
      </c>
      <c r="AA339" cm="1">
        <f t="array" ref="AA339">_xlfn.XLOOKUP(Matrix[[#This Row],[TEAM]]&amp;Matrix[[#Headers],[15]],FDR[FDR]&amp;FDR[[#Headers],[15]],FDR[15],"",0,1)</f>
        <v>5</v>
      </c>
      <c r="AB339" cm="1">
        <f t="array" ref="AB339">_xlfn.XLOOKUP(Matrix[[#This Row],[TEAM]]&amp;Matrix[[#Headers],[16]],FDR[FDR]&amp;FDR[[#Headers],[16]],FDR[16],"",0,1)</f>
        <v>5</v>
      </c>
      <c r="AC339" cm="1">
        <f t="array" ref="AC339">_xlfn.XLOOKUP(Matrix[[#This Row],[TEAM]]&amp;Matrix[[#Headers],[17]],FDR[FDR]&amp;FDR[[#Headers],[17]],FDR[17],"",0,1)</f>
        <v>5</v>
      </c>
      <c r="AD339" cm="1">
        <f t="array" ref="AD339">_xlfn.XLOOKUP(Matrix[[#This Row],[TEAM]]&amp;Matrix[[#Headers],[18]],FDR[FDR]&amp;FDR[[#Headers],[18]],FDR[18],"",0,1)</f>
        <v>4</v>
      </c>
      <c r="AE339" cm="1">
        <f t="array" ref="AE339">_xlfn.XLOOKUP(Matrix[[#This Row],[TEAM]]&amp;Matrix[[#Headers],[19]],FDR[FDR]&amp;FDR[[#Headers],[19]],FDR[19],"",0,1)</f>
        <v>5</v>
      </c>
      <c r="AF339" cm="1">
        <f t="array" ref="AF339">_xlfn.XLOOKUP(Matrix[[#This Row],[TEAM]]&amp;Matrix[[#Headers],[20]],FDR[FDR]&amp;FDR[[#Headers],[20]],FDR[20],"",0,1)</f>
        <v>5</v>
      </c>
      <c r="AG339" cm="1">
        <f t="array" ref="AG339">_xlfn.XLOOKUP(Matrix[[#This Row],[TEAM]]&amp;Matrix[[#Headers],[21]],FDR[FDR]&amp;FDR[[#Headers],[21]],FDR[21],"",0,1)</f>
        <v>5</v>
      </c>
      <c r="AH339" cm="1">
        <f t="array" ref="AH339">_xlfn.XLOOKUP(Matrix[[#This Row],[TEAM]]&amp;Matrix[[#Headers],[22]],FDR[FDR]&amp;FDR[[#Headers],[22]],FDR[22],"",0,1)</f>
        <v>5</v>
      </c>
      <c r="AI339" cm="1">
        <f t="array" ref="AI339">_xlfn.XLOOKUP(Matrix[[#This Row],[TEAM]]&amp;Matrix[[#Headers],[23]],FDR[FDR]&amp;FDR[[#Headers],[23]],FDR[23],"",0,1)</f>
        <v>5</v>
      </c>
      <c r="AJ339" cm="1">
        <f t="array" ref="AJ339">_xlfn.XLOOKUP(Matrix[[#This Row],[TEAM]]&amp;Matrix[[#Headers],[24]],FDR[FDR]&amp;FDR[[#Headers],[24]],FDR[24],"",0,1)</f>
        <v>4</v>
      </c>
      <c r="AK339" cm="1">
        <f t="array" ref="AK339">_xlfn.XLOOKUP(Matrix[[#This Row],[TEAM]]&amp;Matrix[[#Headers],[25]],FDR[FDR]&amp;FDR[[#Headers],[25]],FDR[25],"",0,1)</f>
        <v>4</v>
      </c>
      <c r="AL339" cm="1">
        <f t="array" ref="AL339">_xlfn.XLOOKUP(Matrix[[#This Row],[TEAM]]&amp;Matrix[[#Headers],[26]],FDR[FDR]&amp;FDR[[#Headers],[26]],FDR[26],"",0,1)</f>
        <v>5</v>
      </c>
      <c r="AM339" cm="1">
        <f t="array" ref="AM339">_xlfn.XLOOKUP(Matrix[[#This Row],[TEAM]]&amp;Matrix[[#Headers],[27]],FDR[FDR]&amp;FDR[[#Headers],[27]],FDR[27],"",0,1)</f>
        <v>5</v>
      </c>
      <c r="AN339" cm="1">
        <f t="array" ref="AN339">_xlfn.XLOOKUP(Matrix[[#This Row],[TEAM]]&amp;Matrix[[#Headers],[28]],FDR[FDR]&amp;FDR[[#Headers],[28]],FDR[28],"",0,1)</f>
        <v>4</v>
      </c>
      <c r="AO339" cm="1">
        <f t="array" ref="AO339">_xlfn.XLOOKUP(Matrix[[#This Row],[TEAM]]&amp;Matrix[[#Headers],[29]],FDR[FDR]&amp;FDR[[#Headers],[29]],FDR[29],"",0,1)</f>
        <v>5</v>
      </c>
      <c r="AP339" cm="1">
        <f t="array" ref="AP339">_xlfn.XLOOKUP(Matrix[[#This Row],[TEAM]]&amp;Matrix[[#Headers],[30]],FDR[FDR]&amp;FDR[[#Headers],[30]],FDR[30],"",0,1)</f>
        <v>5</v>
      </c>
      <c r="AQ339" cm="1">
        <f t="array" ref="AQ339">_xlfn.XLOOKUP(Matrix[[#This Row],[TEAM]]&amp;Matrix[[#Headers],[31]],FDR[FDR]&amp;FDR[[#Headers],[31]],FDR[31],"",0,1)</f>
        <v>5</v>
      </c>
      <c r="AR339" cm="1">
        <f t="array" ref="AR339">_xlfn.XLOOKUP(Matrix[[#This Row],[TEAM]]&amp;Matrix[[#Headers],[32]],FDR[FDR]&amp;FDR[[#Headers],[32]],FDR[32],"",0,1)</f>
        <v>5</v>
      </c>
      <c r="AS339" cm="1">
        <f t="array" ref="AS339">_xlfn.XLOOKUP(Matrix[[#This Row],[TEAM]]&amp;Matrix[[#Headers],[33]],FDR[FDR]&amp;FDR[[#Headers],[33]],FDR[33],"",0,1)</f>
        <v>5</v>
      </c>
      <c r="AT339" cm="1">
        <f t="array" ref="AT339">_xlfn.XLOOKUP(Matrix[[#This Row],[TEAM]]&amp;Matrix[[#Headers],[34]],FDR[FDR]&amp;FDR[[#Headers],[34]],FDR[34],"",0,1)</f>
        <v>5</v>
      </c>
      <c r="AU339" cm="1">
        <f t="array" ref="AU339">_xlfn.XLOOKUP(Matrix[[#This Row],[TEAM]]&amp;Matrix[[#Headers],[35]],FDR[FDR]&amp;FDR[[#Headers],[35]],FDR[35],"",0,1)</f>
        <v>4</v>
      </c>
      <c r="AV339" cm="1">
        <f t="array" ref="AV339">_xlfn.XLOOKUP(Matrix[[#This Row],[TEAM]]&amp;Matrix[[#Headers],[36]],FDR[FDR]&amp;FDR[[#Headers],[36]],FDR[36],"",0,1)</f>
        <v>5</v>
      </c>
      <c r="AW339" cm="1">
        <f t="array" ref="AW339">_xlfn.XLOOKUP(Matrix[[#This Row],[TEAM]]&amp;Matrix[[#Headers],[37]],FDR[FDR]&amp;FDR[[#Headers],[37]],FDR[37],"",0,1)</f>
        <v>5</v>
      </c>
      <c r="AX339" cm="1">
        <f t="array" ref="AX339">_xlfn.XLOOKUP(Matrix[[#This Row],[TEAM]]&amp;Matrix[[#Headers],[38]],FDR[FDR]&amp;FDR[[#Headers],[38]],FDR[38],"",0,1)</f>
        <v>3</v>
      </c>
    </row>
    <row r="340" spans="1:50" ht="22" thickTop="1" thickBot="1">
      <c r="A340" s="54" t="s">
        <v>657</v>
      </c>
      <c r="B340" s="70" t="s">
        <v>1745</v>
      </c>
      <c r="C340" s="40" t="s">
        <v>23</v>
      </c>
      <c r="D340" s="62">
        <v>9</v>
      </c>
      <c r="E340" s="60">
        <v>1E-3</v>
      </c>
      <c r="F340" s="61">
        <v>8.6</v>
      </c>
      <c r="G340" s="63">
        <v>4.5</v>
      </c>
      <c r="H340" s="261">
        <f>IF(ISBLANK(I340),0,1)</f>
        <v>0</v>
      </c>
      <c r="I340" s="57"/>
      <c r="J340" s="58"/>
      <c r="K340" s="65" t="s">
        <v>1061</v>
      </c>
      <c r="L340" s="65" t="s">
        <v>1062</v>
      </c>
      <c r="M340" cm="1">
        <f t="array" ref="M340">_xlfn.XLOOKUP(Matrix[[#This Row],[TEAM]]&amp;Matrix[[#Headers],[1]],FDR[FDR]&amp;FDR[[#Headers],[1]],FDR[1],"",0,1)</f>
        <v>4</v>
      </c>
      <c r="N340" cm="1">
        <f t="array" ref="N340">_xlfn.XLOOKUP(Matrix[[#This Row],[TEAM]]&amp;Matrix[[#Headers],[2]],FDR[FDR]&amp;FDR[[#Headers],[2]],FDR[2],"",0,1)</f>
        <v>4</v>
      </c>
      <c r="O340" cm="1">
        <f t="array" ref="O340">_xlfn.XLOOKUP(Matrix[[#This Row],[TEAM]]&amp;Matrix[[#Headers],[3]],FDR[FDR]&amp;FDR[[#Headers],[3]],FDR[3],"",0,1)</f>
        <v>5</v>
      </c>
      <c r="P340" cm="1">
        <f t="array" ref="P340">_xlfn.XLOOKUP(Matrix[[#This Row],[TEAM]]&amp;Matrix[[#Headers],[4]],FDR[FDR]&amp;FDR[[#Headers],[4]],FDR[4],"",0,1)</f>
        <v>1</v>
      </c>
      <c r="Q340" cm="1">
        <f t="array" ref="Q340">_xlfn.XLOOKUP(Matrix[[#This Row],[TEAM]]&amp;Matrix[[#Headers],[5]],FDR[FDR]&amp;FDR[[#Headers],[5]],FDR[5],"",0,1)</f>
        <v>2</v>
      </c>
      <c r="R340" cm="1">
        <f t="array" ref="R340">_xlfn.XLOOKUP(Matrix[[#This Row],[TEAM]]&amp;Matrix[[#Headers],[6]],FDR[FDR]&amp;FDR[[#Headers],[6]],FDR[6],"",0,1)</f>
        <v>5</v>
      </c>
      <c r="S340" cm="1">
        <f t="array" ref="S340">_xlfn.XLOOKUP(Matrix[[#This Row],[TEAM]]&amp;Matrix[[#Headers],[7]],FDR[FDR]&amp;FDR[[#Headers],[7]],FDR[7],"",0,1)</f>
        <v>4</v>
      </c>
      <c r="T340" cm="1">
        <f t="array" ref="T340">_xlfn.XLOOKUP(Matrix[[#This Row],[TEAM]]&amp;Matrix[[#Headers],[8]],FDR[FDR]&amp;FDR[[#Headers],[8]],FDR[8],"",0,1)</f>
        <v>4</v>
      </c>
      <c r="U340" cm="1">
        <f t="array" ref="U340">_xlfn.XLOOKUP(Matrix[[#This Row],[TEAM]]&amp;Matrix[[#Headers],[9]],FDR[FDR]&amp;FDR[[#Headers],[9]],FDR[9],"",0,1)</f>
        <v>5</v>
      </c>
      <c r="V340" cm="1">
        <f t="array" ref="V340">_xlfn.XLOOKUP(Matrix[[#This Row],[TEAM]]&amp;Matrix[[#Headers],[10]],FDR[FDR]&amp;FDR[[#Headers],[10]],FDR[10],"",0,1)</f>
        <v>1</v>
      </c>
      <c r="W340" cm="1">
        <f t="array" ref="W340">_xlfn.XLOOKUP(Matrix[[#This Row],[TEAM]]&amp;Matrix[[#Headers],[11]],FDR[FDR]&amp;FDR[[#Headers],[11]],FDR[11],"",0,1)</f>
        <v>3</v>
      </c>
      <c r="X340" cm="1">
        <f t="array" ref="X340">_xlfn.XLOOKUP(Matrix[[#This Row],[TEAM]]&amp;Matrix[[#Headers],[12]],FDR[FDR]&amp;FDR[[#Headers],[12]],FDR[12],"",0,1)</f>
        <v>1</v>
      </c>
      <c r="Y340" cm="1">
        <f t="array" ref="Y340">_xlfn.XLOOKUP(Matrix[[#This Row],[TEAM]]&amp;Matrix[[#Headers],[13]],FDR[FDR]&amp;FDR[[#Headers],[13]],FDR[13],"",0,1)</f>
        <v>5</v>
      </c>
      <c r="Z340" cm="1">
        <f t="array" ref="Z340">_xlfn.XLOOKUP(Matrix[[#This Row],[TEAM]]&amp;Matrix[[#Headers],[14]],FDR[FDR]&amp;FDR[[#Headers],[14]],FDR[14],"",0,1)</f>
        <v>4</v>
      </c>
      <c r="AA340" cm="1">
        <f t="array" ref="AA340">_xlfn.XLOOKUP(Matrix[[#This Row],[TEAM]]&amp;Matrix[[#Headers],[15]],FDR[FDR]&amp;FDR[[#Headers],[15]],FDR[15],"",0,1)</f>
        <v>2</v>
      </c>
      <c r="AB340" cm="1">
        <f t="array" ref="AB340">_xlfn.XLOOKUP(Matrix[[#This Row],[TEAM]]&amp;Matrix[[#Headers],[16]],FDR[FDR]&amp;FDR[[#Headers],[16]],FDR[16],"",0,1)</f>
        <v>2</v>
      </c>
      <c r="AC340" cm="1">
        <f t="array" ref="AC340">_xlfn.XLOOKUP(Matrix[[#This Row],[TEAM]]&amp;Matrix[[#Headers],[17]],FDR[FDR]&amp;FDR[[#Headers],[17]],FDR[17],"",0,1)</f>
        <v>3</v>
      </c>
      <c r="AD340" cm="1">
        <f t="array" ref="AD340">_xlfn.XLOOKUP(Matrix[[#This Row],[TEAM]]&amp;Matrix[[#Headers],[18]],FDR[FDR]&amp;FDR[[#Headers],[18]],FDR[18],"",0,1)</f>
        <v>3</v>
      </c>
      <c r="AE340" cm="1">
        <f t="array" ref="AE340">_xlfn.XLOOKUP(Matrix[[#This Row],[TEAM]]&amp;Matrix[[#Headers],[19]],FDR[FDR]&amp;FDR[[#Headers],[19]],FDR[19],"",0,1)</f>
        <v>3</v>
      </c>
      <c r="AF340" cm="1">
        <f t="array" ref="AF340">_xlfn.XLOOKUP(Matrix[[#This Row],[TEAM]]&amp;Matrix[[#Headers],[20]],FDR[FDR]&amp;FDR[[#Headers],[20]],FDR[20],"",0,1)</f>
        <v>4</v>
      </c>
      <c r="AG340" cm="1">
        <f t="array" ref="AG340">_xlfn.XLOOKUP(Matrix[[#This Row],[TEAM]]&amp;Matrix[[#Headers],[21]],FDR[FDR]&amp;FDR[[#Headers],[21]],FDR[21],"",0,1)</f>
        <v>4</v>
      </c>
      <c r="AH340" cm="1">
        <f t="array" ref="AH340">_xlfn.XLOOKUP(Matrix[[#This Row],[TEAM]]&amp;Matrix[[#Headers],[22]],FDR[FDR]&amp;FDR[[#Headers],[22]],FDR[22],"",0,1)</f>
        <v>2</v>
      </c>
      <c r="AI340" cm="1">
        <f t="array" ref="AI340">_xlfn.XLOOKUP(Matrix[[#This Row],[TEAM]]&amp;Matrix[[#Headers],[23]],FDR[FDR]&amp;FDR[[#Headers],[23]],FDR[23],"",0,1)</f>
        <v>3</v>
      </c>
      <c r="AJ340" cm="1">
        <f t="array" ref="AJ340">_xlfn.XLOOKUP(Matrix[[#This Row],[TEAM]]&amp;Matrix[[#Headers],[24]],FDR[FDR]&amp;FDR[[#Headers],[24]],FDR[24],"",0,1)</f>
        <v>5</v>
      </c>
      <c r="AK340" cm="1">
        <f t="array" ref="AK340">_xlfn.XLOOKUP(Matrix[[#This Row],[TEAM]]&amp;Matrix[[#Headers],[25]],FDR[FDR]&amp;FDR[[#Headers],[25]],FDR[25],"",0,1)</f>
        <v>2</v>
      </c>
      <c r="AL340" cm="1">
        <f t="array" ref="AL340">_xlfn.XLOOKUP(Matrix[[#This Row],[TEAM]]&amp;Matrix[[#Headers],[26]],FDR[FDR]&amp;FDR[[#Headers],[26]],FDR[26],"",0,1)</f>
        <v>5</v>
      </c>
      <c r="AM340" cm="1">
        <f t="array" ref="AM340">_xlfn.XLOOKUP(Matrix[[#This Row],[TEAM]]&amp;Matrix[[#Headers],[27]],FDR[FDR]&amp;FDR[[#Headers],[27]],FDR[27],"",0,1)</f>
        <v>2</v>
      </c>
      <c r="AN340" cm="1">
        <f t="array" ref="AN340">_xlfn.XLOOKUP(Matrix[[#This Row],[TEAM]]&amp;Matrix[[#Headers],[28]],FDR[FDR]&amp;FDR[[#Headers],[28]],FDR[28],"",0,1)</f>
        <v>4</v>
      </c>
      <c r="AO340" cm="1">
        <f t="array" ref="AO340">_xlfn.XLOOKUP(Matrix[[#This Row],[TEAM]]&amp;Matrix[[#Headers],[29]],FDR[FDR]&amp;FDR[[#Headers],[29]],FDR[29],"",0,1)</f>
        <v>2</v>
      </c>
      <c r="AP340" cm="1">
        <f t="array" ref="AP340">_xlfn.XLOOKUP(Matrix[[#This Row],[TEAM]]&amp;Matrix[[#Headers],[30]],FDR[FDR]&amp;FDR[[#Headers],[30]],FDR[30],"",0,1)</f>
        <v>4</v>
      </c>
      <c r="AQ340" cm="1">
        <f t="array" ref="AQ340">_xlfn.XLOOKUP(Matrix[[#This Row],[TEAM]]&amp;Matrix[[#Headers],[31]],FDR[FDR]&amp;FDR[[#Headers],[31]],FDR[31],"",0,1)</f>
        <v>1</v>
      </c>
      <c r="AR340" cm="1">
        <f t="array" ref="AR340">_xlfn.XLOOKUP(Matrix[[#This Row],[TEAM]]&amp;Matrix[[#Headers],[32]],FDR[FDR]&amp;FDR[[#Headers],[32]],FDR[32],"",0,1)</f>
        <v>5</v>
      </c>
      <c r="AS340" cm="1">
        <f t="array" ref="AS340">_xlfn.XLOOKUP(Matrix[[#This Row],[TEAM]]&amp;Matrix[[#Headers],[33]],FDR[FDR]&amp;FDR[[#Headers],[33]],FDR[33],"",0,1)</f>
        <v>3</v>
      </c>
      <c r="AT340" cm="1">
        <f t="array" ref="AT340">_xlfn.XLOOKUP(Matrix[[#This Row],[TEAM]]&amp;Matrix[[#Headers],[34]],FDR[FDR]&amp;FDR[[#Headers],[34]],FDR[34],"",0,1)</f>
        <v>3</v>
      </c>
      <c r="AU340" cm="1">
        <f t="array" ref="AU340">_xlfn.XLOOKUP(Matrix[[#This Row],[TEAM]]&amp;Matrix[[#Headers],[35]],FDR[FDR]&amp;FDR[[#Headers],[35]],FDR[35],"",0,1)</f>
        <v>5</v>
      </c>
      <c r="AV340" cm="1">
        <f t="array" ref="AV340">_xlfn.XLOOKUP(Matrix[[#This Row],[TEAM]]&amp;Matrix[[#Headers],[36]],FDR[FDR]&amp;FDR[[#Headers],[36]],FDR[36],"",0,1)</f>
        <v>3</v>
      </c>
      <c r="AW340" cm="1">
        <f t="array" ref="AW340">_xlfn.XLOOKUP(Matrix[[#This Row],[TEAM]]&amp;Matrix[[#Headers],[37]],FDR[FDR]&amp;FDR[[#Headers],[37]],FDR[37],"",0,1)</f>
        <v>2</v>
      </c>
      <c r="AX340" cm="1">
        <f t="array" ref="AX340">_xlfn.XLOOKUP(Matrix[[#This Row],[TEAM]]&amp;Matrix[[#Headers],[38]],FDR[FDR]&amp;FDR[[#Headers],[38]],FDR[38],"",0,1)</f>
        <v>4</v>
      </c>
    </row>
    <row r="341" spans="1:50" ht="22" thickTop="1" thickBot="1">
      <c r="A341" s="54" t="s">
        <v>657</v>
      </c>
      <c r="B341" s="70" t="s">
        <v>1704</v>
      </c>
      <c r="C341" s="40" t="s">
        <v>24</v>
      </c>
      <c r="D341" s="62">
        <v>5</v>
      </c>
      <c r="E341" s="60">
        <v>2E-3</v>
      </c>
      <c r="F341" s="61">
        <v>7.1</v>
      </c>
      <c r="G341" s="63">
        <v>4.5</v>
      </c>
      <c r="H341" s="261">
        <f>IF(ISBLANK(I341),0,1)</f>
        <v>0</v>
      </c>
      <c r="I341" s="57"/>
      <c r="J341" s="58"/>
      <c r="K341" s="65" t="s">
        <v>480</v>
      </c>
      <c r="L341" s="65" t="s">
        <v>139</v>
      </c>
      <c r="M341" cm="1">
        <f t="array" ref="M341">_xlfn.XLOOKUP(Matrix[[#This Row],[TEAM]]&amp;Matrix[[#Headers],[1]],FDR[FDR]&amp;FDR[[#Headers],[1]],FDR[1],"",0,1)</f>
        <v>2</v>
      </c>
      <c r="N341" cm="1">
        <f t="array" ref="N341">_xlfn.XLOOKUP(Matrix[[#This Row],[TEAM]]&amp;Matrix[[#Headers],[2]],FDR[FDR]&amp;FDR[[#Headers],[2]],FDR[2],"",0,1)</f>
        <v>3</v>
      </c>
      <c r="O341" cm="1">
        <f t="array" ref="O341">_xlfn.XLOOKUP(Matrix[[#This Row],[TEAM]]&amp;Matrix[[#Headers],[3]],FDR[FDR]&amp;FDR[[#Headers],[3]],FDR[3],"",0,1)</f>
        <v>2</v>
      </c>
      <c r="P341" cm="1">
        <f t="array" ref="P341">_xlfn.XLOOKUP(Matrix[[#This Row],[TEAM]]&amp;Matrix[[#Headers],[4]],FDR[FDR]&amp;FDR[[#Headers],[4]],FDR[4],"",0,1)</f>
        <v>4</v>
      </c>
      <c r="Q341" cm="1">
        <f t="array" ref="Q341">_xlfn.XLOOKUP(Matrix[[#This Row],[TEAM]]&amp;Matrix[[#Headers],[5]],FDR[FDR]&amp;FDR[[#Headers],[5]],FDR[5],"",0,1)</f>
        <v>5</v>
      </c>
      <c r="R341" cm="1">
        <f t="array" ref="R341">_xlfn.XLOOKUP(Matrix[[#This Row],[TEAM]]&amp;Matrix[[#Headers],[6]],FDR[FDR]&amp;FDR[[#Headers],[6]],FDR[6],"",0,1)</f>
        <v>3</v>
      </c>
      <c r="S341" cm="1">
        <f t="array" ref="S341">_xlfn.XLOOKUP(Matrix[[#This Row],[TEAM]]&amp;Matrix[[#Headers],[7]],FDR[FDR]&amp;FDR[[#Headers],[7]],FDR[7],"",0,1)</f>
        <v>3</v>
      </c>
      <c r="T341" cm="1">
        <f t="array" ref="T341">_xlfn.XLOOKUP(Matrix[[#This Row],[TEAM]]&amp;Matrix[[#Headers],[8]],FDR[FDR]&amp;FDR[[#Headers],[8]],FDR[8],"",0,1)</f>
        <v>5</v>
      </c>
      <c r="U341" cm="1">
        <f t="array" ref="U341">_xlfn.XLOOKUP(Matrix[[#This Row],[TEAM]]&amp;Matrix[[#Headers],[9]],FDR[FDR]&amp;FDR[[#Headers],[9]],FDR[9],"",0,1)</f>
        <v>4</v>
      </c>
      <c r="V341" cm="1">
        <f t="array" ref="V341">_xlfn.XLOOKUP(Matrix[[#This Row],[TEAM]]&amp;Matrix[[#Headers],[10]],FDR[FDR]&amp;FDR[[#Headers],[10]],FDR[10],"",0,1)</f>
        <v>2</v>
      </c>
      <c r="W341" cm="1">
        <f t="array" ref="W341">_xlfn.XLOOKUP(Matrix[[#This Row],[TEAM]]&amp;Matrix[[#Headers],[11]],FDR[FDR]&amp;FDR[[#Headers],[11]],FDR[11],"",0,1)</f>
        <v>3</v>
      </c>
      <c r="X341" cm="1">
        <f t="array" ref="X341">_xlfn.XLOOKUP(Matrix[[#This Row],[TEAM]]&amp;Matrix[[#Headers],[12]],FDR[FDR]&amp;FDR[[#Headers],[12]],FDR[12],"",0,1)</f>
        <v>5</v>
      </c>
      <c r="Y341" cm="1">
        <f t="array" ref="Y341">_xlfn.XLOOKUP(Matrix[[#This Row],[TEAM]]&amp;Matrix[[#Headers],[13]],FDR[FDR]&amp;FDR[[#Headers],[13]],FDR[13],"",0,1)</f>
        <v>4</v>
      </c>
      <c r="Z341" cm="1">
        <f t="array" ref="Z341">_xlfn.XLOOKUP(Matrix[[#This Row],[TEAM]]&amp;Matrix[[#Headers],[14]],FDR[FDR]&amp;FDR[[#Headers],[14]],FDR[14],"",0,1)</f>
        <v>4</v>
      </c>
      <c r="AA341" cm="1">
        <f t="array" ref="AA341">_xlfn.XLOOKUP(Matrix[[#This Row],[TEAM]]&amp;Matrix[[#Headers],[15]],FDR[FDR]&amp;FDR[[#Headers],[15]],FDR[15],"",0,1)</f>
        <v>3</v>
      </c>
      <c r="AB341" cm="1">
        <f t="array" ref="AB341">_xlfn.XLOOKUP(Matrix[[#This Row],[TEAM]]&amp;Matrix[[#Headers],[16]],FDR[FDR]&amp;FDR[[#Headers],[16]],FDR[16],"",0,1)</f>
        <v>5</v>
      </c>
      <c r="AC341" cm="1">
        <f t="array" ref="AC341">_xlfn.XLOOKUP(Matrix[[#This Row],[TEAM]]&amp;Matrix[[#Headers],[17]],FDR[FDR]&amp;FDR[[#Headers],[17]],FDR[17],"",0,1)</f>
        <v>4</v>
      </c>
      <c r="AD341" cm="1">
        <f t="array" ref="AD341">_xlfn.XLOOKUP(Matrix[[#This Row],[TEAM]]&amp;Matrix[[#Headers],[18]],FDR[FDR]&amp;FDR[[#Headers],[18]],FDR[18],"",0,1)</f>
        <v>2</v>
      </c>
      <c r="AE341" cm="1">
        <f t="array" ref="AE341">_xlfn.XLOOKUP(Matrix[[#This Row],[TEAM]]&amp;Matrix[[#Headers],[19]],FDR[FDR]&amp;FDR[[#Headers],[19]],FDR[19],"",0,1)</f>
        <v>4</v>
      </c>
      <c r="AF341" cm="1">
        <f t="array" ref="AF341">_xlfn.XLOOKUP(Matrix[[#This Row],[TEAM]]&amp;Matrix[[#Headers],[20]],FDR[FDR]&amp;FDR[[#Headers],[20]],FDR[20],"",0,1)</f>
        <v>3</v>
      </c>
      <c r="AG341" cm="1">
        <f t="array" ref="AG341">_xlfn.XLOOKUP(Matrix[[#This Row],[TEAM]]&amp;Matrix[[#Headers],[21]],FDR[FDR]&amp;FDR[[#Headers],[21]],FDR[21],"",0,1)</f>
        <v>2</v>
      </c>
      <c r="AH341" cm="1">
        <f t="array" ref="AH341">_xlfn.XLOOKUP(Matrix[[#This Row],[TEAM]]&amp;Matrix[[#Headers],[22]],FDR[FDR]&amp;FDR[[#Headers],[22]],FDR[22],"",0,1)</f>
        <v>5</v>
      </c>
      <c r="AI341" cm="1">
        <f t="array" ref="AI341">_xlfn.XLOOKUP(Matrix[[#This Row],[TEAM]]&amp;Matrix[[#Headers],[23]],FDR[FDR]&amp;FDR[[#Headers],[23]],FDR[23],"",0,1)</f>
        <v>1</v>
      </c>
      <c r="AJ341" cm="1">
        <f t="array" ref="AJ341">_xlfn.XLOOKUP(Matrix[[#This Row],[TEAM]]&amp;Matrix[[#Headers],[24]],FDR[FDR]&amp;FDR[[#Headers],[24]],FDR[24],"",0,1)</f>
        <v>4</v>
      </c>
      <c r="AK341" cm="1">
        <f t="array" ref="AK341">_xlfn.XLOOKUP(Matrix[[#This Row],[TEAM]]&amp;Matrix[[#Headers],[25]],FDR[FDR]&amp;FDR[[#Headers],[25]],FDR[25],"",0,1)</f>
        <v>4</v>
      </c>
      <c r="AL341" cm="1">
        <f t="array" ref="AL341">_xlfn.XLOOKUP(Matrix[[#This Row],[TEAM]]&amp;Matrix[[#Headers],[26]],FDR[FDR]&amp;FDR[[#Headers],[26]],FDR[26],"",0,1)</f>
        <v>3</v>
      </c>
      <c r="AM341" cm="1">
        <f t="array" ref="AM341">_xlfn.XLOOKUP(Matrix[[#This Row],[TEAM]]&amp;Matrix[[#Headers],[27]],FDR[FDR]&amp;FDR[[#Headers],[27]],FDR[27],"",0,1)</f>
        <v>4</v>
      </c>
      <c r="AN341" cm="1">
        <f t="array" ref="AN341">_xlfn.XLOOKUP(Matrix[[#This Row],[TEAM]]&amp;Matrix[[#Headers],[28]],FDR[FDR]&amp;FDR[[#Headers],[28]],FDR[28],"",0,1)</f>
        <v>5</v>
      </c>
      <c r="AO341" cm="1">
        <f t="array" ref="AO341">_xlfn.XLOOKUP(Matrix[[#This Row],[TEAM]]&amp;Matrix[[#Headers],[29]],FDR[FDR]&amp;FDR[[#Headers],[29]],FDR[29],"",0,1)</f>
        <v>1</v>
      </c>
      <c r="AP341" cm="1">
        <f t="array" ref="AP341">_xlfn.XLOOKUP(Matrix[[#This Row],[TEAM]]&amp;Matrix[[#Headers],[30]],FDR[FDR]&amp;FDR[[#Headers],[30]],FDR[30],"",0,1)</f>
        <v>5</v>
      </c>
      <c r="AQ341" cm="1">
        <f t="array" ref="AQ341">_xlfn.XLOOKUP(Matrix[[#This Row],[TEAM]]&amp;Matrix[[#Headers],[31]],FDR[FDR]&amp;FDR[[#Headers],[31]],FDR[31],"",0,1)</f>
        <v>4</v>
      </c>
      <c r="AR341" cm="1">
        <f t="array" ref="AR341">_xlfn.XLOOKUP(Matrix[[#This Row],[TEAM]]&amp;Matrix[[#Headers],[32]],FDR[FDR]&amp;FDR[[#Headers],[32]],FDR[32],"",0,1)</f>
        <v>4</v>
      </c>
      <c r="AS341" cm="1">
        <f t="array" ref="AS341">_xlfn.XLOOKUP(Matrix[[#This Row],[TEAM]]&amp;Matrix[[#Headers],[33]],FDR[FDR]&amp;FDR[[#Headers],[33]],FDR[33],"",0,1)</f>
        <v>4</v>
      </c>
      <c r="AT341" cm="1">
        <f t="array" ref="AT341">_xlfn.XLOOKUP(Matrix[[#This Row],[TEAM]]&amp;Matrix[[#Headers],[34]],FDR[FDR]&amp;FDR[[#Headers],[34]],FDR[34],"",0,1)</f>
        <v>4</v>
      </c>
      <c r="AU341" cm="1">
        <f t="array" ref="AU341">_xlfn.XLOOKUP(Matrix[[#This Row],[TEAM]]&amp;Matrix[[#Headers],[35]],FDR[FDR]&amp;FDR[[#Headers],[35]],FDR[35],"",0,1)</f>
        <v>4</v>
      </c>
      <c r="AV341" cm="1">
        <f t="array" ref="AV341">_xlfn.XLOOKUP(Matrix[[#This Row],[TEAM]]&amp;Matrix[[#Headers],[36]],FDR[FDR]&amp;FDR[[#Headers],[36]],FDR[36],"",0,1)</f>
        <v>4</v>
      </c>
      <c r="AW341" cm="1">
        <f t="array" ref="AW341">_xlfn.XLOOKUP(Matrix[[#This Row],[TEAM]]&amp;Matrix[[#Headers],[37]],FDR[FDR]&amp;FDR[[#Headers],[37]],FDR[37],"",0,1)</f>
        <v>1</v>
      </c>
      <c r="AX341" cm="1">
        <f t="array" ref="AX341">_xlfn.XLOOKUP(Matrix[[#This Row],[TEAM]]&amp;Matrix[[#Headers],[38]],FDR[FDR]&amp;FDR[[#Headers],[38]],FDR[38],"",0,1)</f>
        <v>5</v>
      </c>
    </row>
    <row r="342" spans="1:50" ht="22" thickTop="1" thickBot="1">
      <c r="A342" s="54" t="s">
        <v>657</v>
      </c>
      <c r="B342" s="70" t="s">
        <v>1709</v>
      </c>
      <c r="C342" s="40" t="s">
        <v>30</v>
      </c>
      <c r="D342" s="62">
        <v>5</v>
      </c>
      <c r="E342" s="60">
        <v>2E-3</v>
      </c>
      <c r="F342" s="61">
        <v>12.7</v>
      </c>
      <c r="G342" s="63">
        <v>4.5</v>
      </c>
      <c r="H342" s="261">
        <f>IF(ISBLANK(I342),0,1)</f>
        <v>0</v>
      </c>
      <c r="I342" s="57"/>
      <c r="J342" s="58"/>
      <c r="K342" s="65" t="s">
        <v>397</v>
      </c>
      <c r="L342" s="65" t="s">
        <v>109</v>
      </c>
      <c r="M342" cm="1">
        <f t="array" ref="M342">_xlfn.XLOOKUP(Matrix[[#This Row],[TEAM]]&amp;Matrix[[#Headers],[1]],FDR[FDR]&amp;FDR[[#Headers],[1]],FDR[1],"",0,1)</f>
        <v>3</v>
      </c>
      <c r="N342" cm="1">
        <f t="array" ref="N342">_xlfn.XLOOKUP(Matrix[[#This Row],[TEAM]]&amp;Matrix[[#Headers],[2]],FDR[FDR]&amp;FDR[[#Headers],[2]],FDR[2],"",0,1)</f>
        <v>2</v>
      </c>
      <c r="O342" cm="1">
        <f t="array" ref="O342">_xlfn.XLOOKUP(Matrix[[#This Row],[TEAM]]&amp;Matrix[[#Headers],[3]],FDR[FDR]&amp;FDR[[#Headers],[3]],FDR[3],"",0,1)</f>
        <v>1</v>
      </c>
      <c r="P342" cm="1">
        <f t="array" ref="P342">_xlfn.XLOOKUP(Matrix[[#This Row],[TEAM]]&amp;Matrix[[#Headers],[4]],FDR[FDR]&amp;FDR[[#Headers],[4]],FDR[4],"",0,1)</f>
        <v>4</v>
      </c>
      <c r="Q342" cm="1">
        <f t="array" ref="Q342">_xlfn.XLOOKUP(Matrix[[#This Row],[TEAM]]&amp;Matrix[[#Headers],[5]],FDR[FDR]&amp;FDR[[#Headers],[5]],FDR[5],"",0,1)</f>
        <v>3</v>
      </c>
      <c r="R342" cm="1">
        <f t="array" ref="R342">_xlfn.XLOOKUP(Matrix[[#This Row],[TEAM]]&amp;Matrix[[#Headers],[6]],FDR[FDR]&amp;FDR[[#Headers],[6]],FDR[6],"",0,1)</f>
        <v>2</v>
      </c>
      <c r="S342" cm="1">
        <f t="array" ref="S342">_xlfn.XLOOKUP(Matrix[[#This Row],[TEAM]]&amp;Matrix[[#Headers],[7]],FDR[FDR]&amp;FDR[[#Headers],[7]],FDR[7],"",0,1)</f>
        <v>1</v>
      </c>
      <c r="T342" cm="1">
        <f t="array" ref="T342">_xlfn.XLOOKUP(Matrix[[#This Row],[TEAM]]&amp;Matrix[[#Headers],[8]],FDR[FDR]&amp;FDR[[#Headers],[8]],FDR[8],"",0,1)</f>
        <v>4</v>
      </c>
      <c r="U342" cm="1">
        <f t="array" ref="U342">_xlfn.XLOOKUP(Matrix[[#This Row],[TEAM]]&amp;Matrix[[#Headers],[9]],FDR[FDR]&amp;FDR[[#Headers],[9]],FDR[9],"",0,1)</f>
        <v>1</v>
      </c>
      <c r="V342" cm="1">
        <f t="array" ref="V342">_xlfn.XLOOKUP(Matrix[[#This Row],[TEAM]]&amp;Matrix[[#Headers],[10]],FDR[FDR]&amp;FDR[[#Headers],[10]],FDR[10],"",0,1)</f>
        <v>2</v>
      </c>
      <c r="W342" cm="1">
        <f t="array" ref="W342">_xlfn.XLOOKUP(Matrix[[#This Row],[TEAM]]&amp;Matrix[[#Headers],[11]],FDR[FDR]&amp;FDR[[#Headers],[11]],FDR[11],"",0,1)</f>
        <v>4</v>
      </c>
      <c r="X342" cm="1">
        <f t="array" ref="X342">_xlfn.XLOOKUP(Matrix[[#This Row],[TEAM]]&amp;Matrix[[#Headers],[12]],FDR[FDR]&amp;FDR[[#Headers],[12]],FDR[12],"",0,1)</f>
        <v>1</v>
      </c>
      <c r="Y342" cm="1">
        <f t="array" ref="Y342">_xlfn.XLOOKUP(Matrix[[#This Row],[TEAM]]&amp;Matrix[[#Headers],[13]],FDR[FDR]&amp;FDR[[#Headers],[13]],FDR[13],"",0,1)</f>
        <v>2</v>
      </c>
      <c r="Z342" cm="1">
        <f t="array" ref="Z342">_xlfn.XLOOKUP(Matrix[[#This Row],[TEAM]]&amp;Matrix[[#Headers],[14]],FDR[FDR]&amp;FDR[[#Headers],[14]],FDR[14],"",0,1)</f>
        <v>1</v>
      </c>
      <c r="AA342" cm="1">
        <f t="array" ref="AA342">_xlfn.XLOOKUP(Matrix[[#This Row],[TEAM]]&amp;Matrix[[#Headers],[15]],FDR[FDR]&amp;FDR[[#Headers],[15]],FDR[15],"",0,1)</f>
        <v>1</v>
      </c>
      <c r="AB342" cm="1">
        <f t="array" ref="AB342">_xlfn.XLOOKUP(Matrix[[#This Row],[TEAM]]&amp;Matrix[[#Headers],[16]],FDR[FDR]&amp;FDR[[#Headers],[16]],FDR[16],"",0,1)</f>
        <v>1</v>
      </c>
      <c r="AC342" cm="1">
        <f t="array" ref="AC342">_xlfn.XLOOKUP(Matrix[[#This Row],[TEAM]]&amp;Matrix[[#Headers],[17]],FDR[FDR]&amp;FDR[[#Headers],[17]],FDR[17],"",0,1)</f>
        <v>3</v>
      </c>
      <c r="AD342" cm="1">
        <f t="array" ref="AD342">_xlfn.XLOOKUP(Matrix[[#This Row],[TEAM]]&amp;Matrix[[#Headers],[18]],FDR[FDR]&amp;FDR[[#Headers],[18]],FDR[18],"",0,1)</f>
        <v>2</v>
      </c>
      <c r="AE342" cm="1">
        <f t="array" ref="AE342">_xlfn.XLOOKUP(Matrix[[#This Row],[TEAM]]&amp;Matrix[[#Headers],[19]],FDR[FDR]&amp;FDR[[#Headers],[19]],FDR[19],"",0,1)</f>
        <v>1</v>
      </c>
      <c r="AF342" cm="1">
        <f t="array" ref="AF342">_xlfn.XLOOKUP(Matrix[[#This Row],[TEAM]]&amp;Matrix[[#Headers],[20]],FDR[FDR]&amp;FDR[[#Headers],[20]],FDR[20],"",0,1)</f>
        <v>1</v>
      </c>
      <c r="AG342" cm="1">
        <f t="array" ref="AG342">_xlfn.XLOOKUP(Matrix[[#This Row],[TEAM]]&amp;Matrix[[#Headers],[21]],FDR[FDR]&amp;FDR[[#Headers],[21]],FDR[21],"",0,1)</f>
        <v>1</v>
      </c>
      <c r="AH342" cm="1">
        <f t="array" ref="AH342">_xlfn.XLOOKUP(Matrix[[#This Row],[TEAM]]&amp;Matrix[[#Headers],[22]],FDR[FDR]&amp;FDR[[#Headers],[22]],FDR[22],"",0,1)</f>
        <v>3</v>
      </c>
      <c r="AI342" cm="1">
        <f t="array" ref="AI342">_xlfn.XLOOKUP(Matrix[[#This Row],[TEAM]]&amp;Matrix[[#Headers],[23]],FDR[FDR]&amp;FDR[[#Headers],[23]],FDR[23],"",0,1)</f>
        <v>4</v>
      </c>
      <c r="AJ342" cm="1">
        <f t="array" ref="AJ342">_xlfn.XLOOKUP(Matrix[[#This Row],[TEAM]]&amp;Matrix[[#Headers],[24]],FDR[FDR]&amp;FDR[[#Headers],[24]],FDR[24],"",0,1)</f>
        <v>1</v>
      </c>
      <c r="AK342" cm="1">
        <f t="array" ref="AK342">_xlfn.XLOOKUP(Matrix[[#This Row],[TEAM]]&amp;Matrix[[#Headers],[25]],FDR[FDR]&amp;FDR[[#Headers],[25]],FDR[25],"",0,1)</f>
        <v>3</v>
      </c>
      <c r="AL342" cm="1">
        <f t="array" ref="AL342">_xlfn.XLOOKUP(Matrix[[#This Row],[TEAM]]&amp;Matrix[[#Headers],[26]],FDR[FDR]&amp;FDR[[#Headers],[26]],FDR[26],"",0,1)</f>
        <v>2</v>
      </c>
      <c r="AM342" cm="1">
        <f t="array" ref="AM342">_xlfn.XLOOKUP(Matrix[[#This Row],[TEAM]]&amp;Matrix[[#Headers],[27]],FDR[FDR]&amp;FDR[[#Headers],[27]],FDR[27],"",0,1)</f>
        <v>2</v>
      </c>
      <c r="AN342" cm="1">
        <f t="array" ref="AN342">_xlfn.XLOOKUP(Matrix[[#This Row],[TEAM]]&amp;Matrix[[#Headers],[28]],FDR[FDR]&amp;FDR[[#Headers],[28]],FDR[28],"",0,1)</f>
        <v>1</v>
      </c>
      <c r="AO342" cm="1">
        <f t="array" ref="AO342">_xlfn.XLOOKUP(Matrix[[#This Row],[TEAM]]&amp;Matrix[[#Headers],[29]],FDR[FDR]&amp;FDR[[#Headers],[29]],FDR[29],"",0,1)</f>
        <v>3</v>
      </c>
      <c r="AP342" cm="1">
        <f t="array" ref="AP342">_xlfn.XLOOKUP(Matrix[[#This Row],[TEAM]]&amp;Matrix[[#Headers],[30]],FDR[FDR]&amp;FDR[[#Headers],[30]],FDR[30],"",0,1)</f>
        <v>2</v>
      </c>
      <c r="AQ342" cm="1">
        <f t="array" ref="AQ342">_xlfn.XLOOKUP(Matrix[[#This Row],[TEAM]]&amp;Matrix[[#Headers],[31]],FDR[FDR]&amp;FDR[[#Headers],[31]],FDR[31],"",0,1)</f>
        <v>2</v>
      </c>
      <c r="AR342" cm="1">
        <f t="array" ref="AR342">_xlfn.XLOOKUP(Matrix[[#This Row],[TEAM]]&amp;Matrix[[#Headers],[32]],FDR[FDR]&amp;FDR[[#Headers],[32]],FDR[32],"",0,1)</f>
        <v>1</v>
      </c>
      <c r="AS342" cm="1">
        <f t="array" ref="AS342">_xlfn.XLOOKUP(Matrix[[#This Row],[TEAM]]&amp;Matrix[[#Headers],[33]],FDR[FDR]&amp;FDR[[#Headers],[33]],FDR[33],"",0,1)</f>
        <v>4</v>
      </c>
      <c r="AT342" cm="1">
        <f t="array" ref="AT342">_xlfn.XLOOKUP(Matrix[[#This Row],[TEAM]]&amp;Matrix[[#Headers],[34]],FDR[FDR]&amp;FDR[[#Headers],[34]],FDR[34],"",0,1)</f>
        <v>1</v>
      </c>
      <c r="AU342" cm="1">
        <f t="array" ref="AU342">_xlfn.XLOOKUP(Matrix[[#This Row],[TEAM]]&amp;Matrix[[#Headers],[35]],FDR[FDR]&amp;FDR[[#Headers],[35]],FDR[35],"",0,1)</f>
        <v>3</v>
      </c>
      <c r="AV342" cm="1">
        <f t="array" ref="AV342">_xlfn.XLOOKUP(Matrix[[#This Row],[TEAM]]&amp;Matrix[[#Headers],[36]],FDR[FDR]&amp;FDR[[#Headers],[36]],FDR[36],"",0,1)</f>
        <v>1</v>
      </c>
      <c r="AW342" cm="1">
        <f t="array" ref="AW342">_xlfn.XLOOKUP(Matrix[[#This Row],[TEAM]]&amp;Matrix[[#Headers],[37]],FDR[FDR]&amp;FDR[[#Headers],[37]],FDR[37],"",0,1)</f>
        <v>1</v>
      </c>
      <c r="AX342" cm="1">
        <f t="array" ref="AX342">_xlfn.XLOOKUP(Matrix[[#This Row],[TEAM]]&amp;Matrix[[#Headers],[38]],FDR[FDR]&amp;FDR[[#Headers],[38]],FDR[38],"",0,1)</f>
        <v>2</v>
      </c>
    </row>
    <row r="343" spans="1:50" ht="22" thickTop="1" thickBot="1">
      <c r="A343" s="54" t="s">
        <v>657</v>
      </c>
      <c r="B343" s="70" t="s">
        <v>1699</v>
      </c>
      <c r="C343" s="40" t="s">
        <v>21</v>
      </c>
      <c r="D343" s="62">
        <v>4</v>
      </c>
      <c r="E343" s="60">
        <v>2E-3</v>
      </c>
      <c r="F343" s="61">
        <v>1.7</v>
      </c>
      <c r="G343" s="63">
        <v>4.5</v>
      </c>
      <c r="H343" s="261">
        <f>IF(ISBLANK(I343),0,1)</f>
        <v>0</v>
      </c>
      <c r="I343" s="57"/>
      <c r="J343" s="58"/>
      <c r="K343" s="65" t="s">
        <v>408</v>
      </c>
      <c r="L343" s="65" t="s">
        <v>121</v>
      </c>
      <c r="M343" cm="1">
        <f t="array" ref="M343">_xlfn.XLOOKUP(Matrix[[#This Row],[TEAM]]&amp;Matrix[[#Headers],[1]],FDR[FDR]&amp;FDR[[#Headers],[1]],FDR[1],"",0,1)</f>
        <v>4</v>
      </c>
      <c r="N343" cm="1">
        <f t="array" ref="N343">_xlfn.XLOOKUP(Matrix[[#This Row],[TEAM]]&amp;Matrix[[#Headers],[2]],FDR[FDR]&amp;FDR[[#Headers],[2]],FDR[2],"",0,1)</f>
        <v>4</v>
      </c>
      <c r="O343" cm="1">
        <f t="array" ref="O343">_xlfn.XLOOKUP(Matrix[[#This Row],[TEAM]]&amp;Matrix[[#Headers],[3]],FDR[FDR]&amp;FDR[[#Headers],[3]],FDR[3],"",0,1)</f>
        <v>2</v>
      </c>
      <c r="P343" cm="1">
        <f t="array" ref="P343">_xlfn.XLOOKUP(Matrix[[#This Row],[TEAM]]&amp;Matrix[[#Headers],[4]],FDR[FDR]&amp;FDR[[#Headers],[4]],FDR[4],"",0,1)</f>
        <v>4</v>
      </c>
      <c r="Q343" cm="1">
        <f t="array" ref="Q343">_xlfn.XLOOKUP(Matrix[[#This Row],[TEAM]]&amp;Matrix[[#Headers],[5]],FDR[FDR]&amp;FDR[[#Headers],[5]],FDR[5],"",0,1)</f>
        <v>4</v>
      </c>
      <c r="R343" cm="1">
        <f t="array" ref="R343">_xlfn.XLOOKUP(Matrix[[#This Row],[TEAM]]&amp;Matrix[[#Headers],[6]],FDR[FDR]&amp;FDR[[#Headers],[6]],FDR[6],"",0,1)</f>
        <v>4</v>
      </c>
      <c r="S343" cm="1">
        <f t="array" ref="S343">_xlfn.XLOOKUP(Matrix[[#This Row],[TEAM]]&amp;Matrix[[#Headers],[7]],FDR[FDR]&amp;FDR[[#Headers],[7]],FDR[7],"",0,1)</f>
        <v>4</v>
      </c>
      <c r="T343" cm="1">
        <f t="array" ref="T343">_xlfn.XLOOKUP(Matrix[[#This Row],[TEAM]]&amp;Matrix[[#Headers],[8]],FDR[FDR]&amp;FDR[[#Headers],[8]],FDR[8],"",0,1)</f>
        <v>4</v>
      </c>
      <c r="U343" cm="1">
        <f t="array" ref="U343">_xlfn.XLOOKUP(Matrix[[#This Row],[TEAM]]&amp;Matrix[[#Headers],[9]],FDR[FDR]&amp;FDR[[#Headers],[9]],FDR[9],"",0,1)</f>
        <v>4</v>
      </c>
      <c r="V343" cm="1">
        <f t="array" ref="V343">_xlfn.XLOOKUP(Matrix[[#This Row],[TEAM]]&amp;Matrix[[#Headers],[10]],FDR[FDR]&amp;FDR[[#Headers],[10]],FDR[10],"",0,1)</f>
        <v>4</v>
      </c>
      <c r="W343" cm="1">
        <f t="array" ref="W343">_xlfn.XLOOKUP(Matrix[[#This Row],[TEAM]]&amp;Matrix[[#Headers],[11]],FDR[FDR]&amp;FDR[[#Headers],[11]],FDR[11],"",0,1)</f>
        <v>4</v>
      </c>
      <c r="X343" cm="1">
        <f t="array" ref="X343">_xlfn.XLOOKUP(Matrix[[#This Row],[TEAM]]&amp;Matrix[[#Headers],[12]],FDR[FDR]&amp;FDR[[#Headers],[12]],FDR[12],"",0,1)</f>
        <v>4</v>
      </c>
      <c r="Y343" cm="1">
        <f t="array" ref="Y343">_xlfn.XLOOKUP(Matrix[[#This Row],[TEAM]]&amp;Matrix[[#Headers],[13]],FDR[FDR]&amp;FDR[[#Headers],[13]],FDR[13],"",0,1)</f>
        <v>1</v>
      </c>
      <c r="Z343" cm="1">
        <f t="array" ref="Z343">_xlfn.XLOOKUP(Matrix[[#This Row],[TEAM]]&amp;Matrix[[#Headers],[14]],FDR[FDR]&amp;FDR[[#Headers],[14]],FDR[14],"",0,1)</f>
        <v>5</v>
      </c>
      <c r="AA343" cm="1">
        <f t="array" ref="AA343">_xlfn.XLOOKUP(Matrix[[#This Row],[TEAM]]&amp;Matrix[[#Headers],[15]],FDR[FDR]&amp;FDR[[#Headers],[15]],FDR[15],"",0,1)</f>
        <v>5</v>
      </c>
      <c r="AB343" cm="1">
        <f t="array" ref="AB343">_xlfn.XLOOKUP(Matrix[[#This Row],[TEAM]]&amp;Matrix[[#Headers],[16]],FDR[FDR]&amp;FDR[[#Headers],[16]],FDR[16],"",0,1)</f>
        <v>1</v>
      </c>
      <c r="AC343" cm="1">
        <f t="array" ref="AC343">_xlfn.XLOOKUP(Matrix[[#This Row],[TEAM]]&amp;Matrix[[#Headers],[17]],FDR[FDR]&amp;FDR[[#Headers],[17]],FDR[17],"",0,1)</f>
        <v>2</v>
      </c>
      <c r="AD343" cm="1">
        <f t="array" ref="AD343">_xlfn.XLOOKUP(Matrix[[#This Row],[TEAM]]&amp;Matrix[[#Headers],[18]],FDR[FDR]&amp;FDR[[#Headers],[18]],FDR[18],"",0,1)</f>
        <v>3</v>
      </c>
      <c r="AE343" cm="1">
        <f t="array" ref="AE343">_xlfn.XLOOKUP(Matrix[[#This Row],[TEAM]]&amp;Matrix[[#Headers],[19]],FDR[FDR]&amp;FDR[[#Headers],[19]],FDR[19],"",0,1)</f>
        <v>4</v>
      </c>
      <c r="AF343" cm="1">
        <f t="array" ref="AF343">_xlfn.XLOOKUP(Matrix[[#This Row],[TEAM]]&amp;Matrix[[#Headers],[20]],FDR[FDR]&amp;FDR[[#Headers],[20]],FDR[20],"",0,1)</f>
        <v>4</v>
      </c>
      <c r="AG343" cm="1">
        <f t="array" ref="AG343">_xlfn.XLOOKUP(Matrix[[#This Row],[TEAM]]&amp;Matrix[[#Headers],[21]],FDR[FDR]&amp;FDR[[#Headers],[21]],FDR[21],"",0,1)</f>
        <v>1</v>
      </c>
      <c r="AH343" cm="1">
        <f t="array" ref="AH343">_xlfn.XLOOKUP(Matrix[[#This Row],[TEAM]]&amp;Matrix[[#Headers],[22]],FDR[FDR]&amp;FDR[[#Headers],[22]],FDR[22],"",0,1)</f>
        <v>5</v>
      </c>
      <c r="AI343" cm="1">
        <f t="array" ref="AI343">_xlfn.XLOOKUP(Matrix[[#This Row],[TEAM]]&amp;Matrix[[#Headers],[23]],FDR[FDR]&amp;FDR[[#Headers],[23]],FDR[23],"",0,1)</f>
        <v>3</v>
      </c>
      <c r="AJ343" cm="1">
        <f t="array" ref="AJ343">_xlfn.XLOOKUP(Matrix[[#This Row],[TEAM]]&amp;Matrix[[#Headers],[24]],FDR[FDR]&amp;FDR[[#Headers],[24]],FDR[24],"",0,1)</f>
        <v>5</v>
      </c>
      <c r="AK343" cm="1">
        <f t="array" ref="AK343">_xlfn.XLOOKUP(Matrix[[#This Row],[TEAM]]&amp;Matrix[[#Headers],[25]],FDR[FDR]&amp;FDR[[#Headers],[25]],FDR[25],"",0,1)</f>
        <v>5</v>
      </c>
      <c r="AL343" cm="1">
        <f t="array" ref="AL343">_xlfn.XLOOKUP(Matrix[[#This Row],[TEAM]]&amp;Matrix[[#Headers],[26]],FDR[FDR]&amp;FDR[[#Headers],[26]],FDR[26],"",0,1)</f>
        <v>4</v>
      </c>
      <c r="AM343" cm="1">
        <f t="array" ref="AM343">_xlfn.XLOOKUP(Matrix[[#This Row],[TEAM]]&amp;Matrix[[#Headers],[27]],FDR[FDR]&amp;FDR[[#Headers],[27]],FDR[27],"",0,1)</f>
        <v>3</v>
      </c>
      <c r="AN343" cm="1">
        <f t="array" ref="AN343">_xlfn.XLOOKUP(Matrix[[#This Row],[TEAM]]&amp;Matrix[[#Headers],[28]],FDR[FDR]&amp;FDR[[#Headers],[28]],FDR[28],"",0,1)</f>
        <v>2</v>
      </c>
      <c r="AO343" cm="1">
        <f t="array" ref="AO343">_xlfn.XLOOKUP(Matrix[[#This Row],[TEAM]]&amp;Matrix[[#Headers],[29]],FDR[FDR]&amp;FDR[[#Headers],[29]],FDR[29],"",0,1)</f>
        <v>4</v>
      </c>
      <c r="AP343" cm="1">
        <f t="array" ref="AP343">_xlfn.XLOOKUP(Matrix[[#This Row],[TEAM]]&amp;Matrix[[#Headers],[30]],FDR[FDR]&amp;FDR[[#Headers],[30]],FDR[30],"",0,1)</f>
        <v>2</v>
      </c>
      <c r="AQ343" cm="1">
        <f t="array" ref="AQ343">_xlfn.XLOOKUP(Matrix[[#This Row],[TEAM]]&amp;Matrix[[#Headers],[31]],FDR[FDR]&amp;FDR[[#Headers],[31]],FDR[31],"",0,1)</f>
        <v>2</v>
      </c>
      <c r="AR343" cm="1">
        <f t="array" ref="AR343">_xlfn.XLOOKUP(Matrix[[#This Row],[TEAM]]&amp;Matrix[[#Headers],[32]],FDR[FDR]&amp;FDR[[#Headers],[32]],FDR[32],"",0,1)</f>
        <v>3</v>
      </c>
      <c r="AS343" cm="1">
        <f t="array" ref="AS343">_xlfn.XLOOKUP(Matrix[[#This Row],[TEAM]]&amp;Matrix[[#Headers],[33]],FDR[FDR]&amp;FDR[[#Headers],[33]],FDR[33],"",0,1)</f>
        <v>3</v>
      </c>
      <c r="AT343" cm="1">
        <f t="array" ref="AT343">_xlfn.XLOOKUP(Matrix[[#This Row],[TEAM]]&amp;Matrix[[#Headers],[34]],FDR[FDR]&amp;FDR[[#Headers],[34]],FDR[34],"",0,1)</f>
        <v>5</v>
      </c>
      <c r="AU343" cm="1">
        <f t="array" ref="AU343">_xlfn.XLOOKUP(Matrix[[#This Row],[TEAM]]&amp;Matrix[[#Headers],[35]],FDR[FDR]&amp;FDR[[#Headers],[35]],FDR[35],"",0,1)</f>
        <v>3</v>
      </c>
      <c r="AV343" cm="1">
        <f t="array" ref="AV343">_xlfn.XLOOKUP(Matrix[[#This Row],[TEAM]]&amp;Matrix[[#Headers],[36]],FDR[FDR]&amp;FDR[[#Headers],[36]],FDR[36],"",0,1)</f>
        <v>5</v>
      </c>
      <c r="AW343" cm="1">
        <f t="array" ref="AW343">_xlfn.XLOOKUP(Matrix[[#This Row],[TEAM]]&amp;Matrix[[#Headers],[37]],FDR[FDR]&amp;FDR[[#Headers],[37]],FDR[37],"",0,1)</f>
        <v>3</v>
      </c>
      <c r="AX343" cm="1">
        <f t="array" ref="AX343">_xlfn.XLOOKUP(Matrix[[#This Row],[TEAM]]&amp;Matrix[[#Headers],[38]],FDR[FDR]&amp;FDR[[#Headers],[38]],FDR[38],"",0,1)</f>
        <v>5</v>
      </c>
    </row>
    <row r="344" spans="1:50" ht="22" thickTop="1" thickBot="1">
      <c r="A344" s="54" t="s">
        <v>657</v>
      </c>
      <c r="B344" s="70" t="s">
        <v>1752</v>
      </c>
      <c r="C344" s="40" t="s">
        <v>25</v>
      </c>
      <c r="D344" s="62">
        <v>3</v>
      </c>
      <c r="E344" s="60">
        <v>1E-3</v>
      </c>
      <c r="F344" s="61">
        <v>0</v>
      </c>
      <c r="G344" s="63">
        <v>4.5</v>
      </c>
      <c r="H344" s="261">
        <f>IF(ISBLANK(I344),0,1)</f>
        <v>0</v>
      </c>
      <c r="I344" s="57"/>
      <c r="J344" s="58"/>
      <c r="K344" s="65" t="s">
        <v>564</v>
      </c>
      <c r="L344" s="65" t="s">
        <v>172</v>
      </c>
      <c r="M344" cm="1">
        <f t="array" ref="M344">_xlfn.XLOOKUP(Matrix[[#This Row],[TEAM]]&amp;Matrix[[#Headers],[1]],FDR[FDR]&amp;FDR[[#Headers],[1]],FDR[1],"",0,1)</f>
        <v>3</v>
      </c>
      <c r="N344" cm="1">
        <f t="array" ref="N344">_xlfn.XLOOKUP(Matrix[[#This Row],[TEAM]]&amp;Matrix[[#Headers],[2]],FDR[FDR]&amp;FDR[[#Headers],[2]],FDR[2],"",0,1)</f>
        <v>3</v>
      </c>
      <c r="O344" cm="1">
        <f t="array" ref="O344">_xlfn.XLOOKUP(Matrix[[#This Row],[TEAM]]&amp;Matrix[[#Headers],[3]],FDR[FDR]&amp;FDR[[#Headers],[3]],FDR[3],"",0,1)</f>
        <v>1</v>
      </c>
      <c r="P344" cm="1">
        <f t="array" ref="P344">_xlfn.XLOOKUP(Matrix[[#This Row],[TEAM]]&amp;Matrix[[#Headers],[4]],FDR[FDR]&amp;FDR[[#Headers],[4]],FDR[4],"",0,1)</f>
        <v>1</v>
      </c>
      <c r="Q344" cm="1">
        <f t="array" ref="Q344">_xlfn.XLOOKUP(Matrix[[#This Row],[TEAM]]&amp;Matrix[[#Headers],[5]],FDR[FDR]&amp;FDR[[#Headers],[5]],FDR[5],"",0,1)</f>
        <v>2</v>
      </c>
      <c r="R344" cm="1">
        <f t="array" ref="R344">_xlfn.XLOOKUP(Matrix[[#This Row],[TEAM]]&amp;Matrix[[#Headers],[6]],FDR[FDR]&amp;FDR[[#Headers],[6]],FDR[6],"",0,1)</f>
        <v>3</v>
      </c>
      <c r="S344" cm="1">
        <f t="array" ref="S344">_xlfn.XLOOKUP(Matrix[[#This Row],[TEAM]]&amp;Matrix[[#Headers],[7]],FDR[FDR]&amp;FDR[[#Headers],[7]],FDR[7],"",0,1)</f>
        <v>2</v>
      </c>
      <c r="T344" cm="1">
        <f t="array" ref="T344">_xlfn.XLOOKUP(Matrix[[#This Row],[TEAM]]&amp;Matrix[[#Headers],[8]],FDR[FDR]&amp;FDR[[#Headers],[8]],FDR[8],"",0,1)</f>
        <v>2</v>
      </c>
      <c r="U344" cm="1">
        <f t="array" ref="U344">_xlfn.XLOOKUP(Matrix[[#This Row],[TEAM]]&amp;Matrix[[#Headers],[9]],FDR[FDR]&amp;FDR[[#Headers],[9]],FDR[9],"",0,1)</f>
        <v>2</v>
      </c>
      <c r="V344" cm="1">
        <f t="array" ref="V344">_xlfn.XLOOKUP(Matrix[[#This Row],[TEAM]]&amp;Matrix[[#Headers],[10]],FDR[FDR]&amp;FDR[[#Headers],[10]],FDR[10],"",0,1)</f>
        <v>2</v>
      </c>
      <c r="W344" cm="1">
        <f t="array" ref="W344">_xlfn.XLOOKUP(Matrix[[#This Row],[TEAM]]&amp;Matrix[[#Headers],[11]],FDR[FDR]&amp;FDR[[#Headers],[11]],FDR[11],"",0,1)</f>
        <v>2</v>
      </c>
      <c r="X344" cm="1">
        <f t="array" ref="X344">_xlfn.XLOOKUP(Matrix[[#This Row],[TEAM]]&amp;Matrix[[#Headers],[12]],FDR[FDR]&amp;FDR[[#Headers],[12]],FDR[12],"",0,1)</f>
        <v>3</v>
      </c>
      <c r="Y344" cm="1">
        <f t="array" ref="Y344">_xlfn.XLOOKUP(Matrix[[#This Row],[TEAM]]&amp;Matrix[[#Headers],[13]],FDR[FDR]&amp;FDR[[#Headers],[13]],FDR[13],"",0,1)</f>
        <v>2</v>
      </c>
      <c r="Z344" cm="1">
        <f t="array" ref="Z344">_xlfn.XLOOKUP(Matrix[[#This Row],[TEAM]]&amp;Matrix[[#Headers],[14]],FDR[FDR]&amp;FDR[[#Headers],[14]],FDR[14],"",0,1)</f>
        <v>3</v>
      </c>
      <c r="AA344" cm="1">
        <f t="array" ref="AA344">_xlfn.XLOOKUP(Matrix[[#This Row],[TEAM]]&amp;Matrix[[#Headers],[15]],FDR[FDR]&amp;FDR[[#Headers],[15]],FDR[15],"",0,1)</f>
        <v>1</v>
      </c>
      <c r="AB344" cm="1">
        <f t="array" ref="AB344">_xlfn.XLOOKUP(Matrix[[#This Row],[TEAM]]&amp;Matrix[[#Headers],[16]],FDR[FDR]&amp;FDR[[#Headers],[16]],FDR[16],"",0,1)</f>
        <v>1</v>
      </c>
      <c r="AC344" cm="1">
        <f t="array" ref="AC344">_xlfn.XLOOKUP(Matrix[[#This Row],[TEAM]]&amp;Matrix[[#Headers],[17]],FDR[FDR]&amp;FDR[[#Headers],[17]],FDR[17],"",0,1)</f>
        <v>3</v>
      </c>
      <c r="AD344" cm="1">
        <f t="array" ref="AD344">_xlfn.XLOOKUP(Matrix[[#This Row],[TEAM]]&amp;Matrix[[#Headers],[18]],FDR[FDR]&amp;FDR[[#Headers],[18]],FDR[18],"",0,1)</f>
        <v>4</v>
      </c>
      <c r="AE344" cm="1">
        <f t="array" ref="AE344">_xlfn.XLOOKUP(Matrix[[#This Row],[TEAM]]&amp;Matrix[[#Headers],[19]],FDR[FDR]&amp;FDR[[#Headers],[19]],FDR[19],"",0,1)</f>
        <v>1</v>
      </c>
      <c r="AF344" cm="1">
        <f t="array" ref="AF344">_xlfn.XLOOKUP(Matrix[[#This Row],[TEAM]]&amp;Matrix[[#Headers],[20]],FDR[FDR]&amp;FDR[[#Headers],[20]],FDR[20],"",0,1)</f>
        <v>1</v>
      </c>
      <c r="AG344" cm="1">
        <f t="array" ref="AG344">_xlfn.XLOOKUP(Matrix[[#This Row],[TEAM]]&amp;Matrix[[#Headers],[21]],FDR[FDR]&amp;FDR[[#Headers],[21]],FDR[21],"",0,1)</f>
        <v>1</v>
      </c>
      <c r="AH344" cm="1">
        <f t="array" ref="AH344">_xlfn.XLOOKUP(Matrix[[#This Row],[TEAM]]&amp;Matrix[[#Headers],[22]],FDR[FDR]&amp;FDR[[#Headers],[22]],FDR[22],"",0,1)</f>
        <v>1</v>
      </c>
      <c r="AI344" cm="1">
        <f t="array" ref="AI344">_xlfn.XLOOKUP(Matrix[[#This Row],[TEAM]]&amp;Matrix[[#Headers],[23]],FDR[FDR]&amp;FDR[[#Headers],[23]],FDR[23],"",0,1)</f>
        <v>2</v>
      </c>
      <c r="AJ344" cm="1">
        <f t="array" ref="AJ344">_xlfn.XLOOKUP(Matrix[[#This Row],[TEAM]]&amp;Matrix[[#Headers],[24]],FDR[FDR]&amp;FDR[[#Headers],[24]],FDR[24],"",0,1)</f>
        <v>4</v>
      </c>
      <c r="AK344" cm="1">
        <f t="array" ref="AK344">_xlfn.XLOOKUP(Matrix[[#This Row],[TEAM]]&amp;Matrix[[#Headers],[25]],FDR[FDR]&amp;FDR[[#Headers],[25]],FDR[25],"",0,1)</f>
        <v>1</v>
      </c>
      <c r="AL344" cm="1">
        <f t="array" ref="AL344">_xlfn.XLOOKUP(Matrix[[#This Row],[TEAM]]&amp;Matrix[[#Headers],[26]],FDR[FDR]&amp;FDR[[#Headers],[26]],FDR[26],"",0,1)</f>
        <v>4</v>
      </c>
      <c r="AM344" cm="1">
        <f t="array" ref="AM344">_xlfn.XLOOKUP(Matrix[[#This Row],[TEAM]]&amp;Matrix[[#Headers],[27]],FDR[FDR]&amp;FDR[[#Headers],[27]],FDR[27],"",0,1)</f>
        <v>4</v>
      </c>
      <c r="AN344" cm="1">
        <f t="array" ref="AN344">_xlfn.XLOOKUP(Matrix[[#This Row],[TEAM]]&amp;Matrix[[#Headers],[28]],FDR[FDR]&amp;FDR[[#Headers],[28]],FDR[28],"",0,1)</f>
        <v>1</v>
      </c>
      <c r="AO344" cm="1">
        <f t="array" ref="AO344">_xlfn.XLOOKUP(Matrix[[#This Row],[TEAM]]&amp;Matrix[[#Headers],[29]],FDR[FDR]&amp;FDR[[#Headers],[29]],FDR[29],"",0,1)</f>
        <v>3</v>
      </c>
      <c r="AP344" cm="1">
        <f t="array" ref="AP344">_xlfn.XLOOKUP(Matrix[[#This Row],[TEAM]]&amp;Matrix[[#Headers],[30]],FDR[FDR]&amp;FDR[[#Headers],[30]],FDR[30],"",0,1)</f>
        <v>4</v>
      </c>
      <c r="AQ344" cm="1">
        <f t="array" ref="AQ344">_xlfn.XLOOKUP(Matrix[[#This Row],[TEAM]]&amp;Matrix[[#Headers],[31]],FDR[FDR]&amp;FDR[[#Headers],[31]],FDR[31],"",0,1)</f>
        <v>1</v>
      </c>
      <c r="AR344" cm="1">
        <f t="array" ref="AR344">_xlfn.XLOOKUP(Matrix[[#This Row],[TEAM]]&amp;Matrix[[#Headers],[32]],FDR[FDR]&amp;FDR[[#Headers],[32]],FDR[32],"",0,1)</f>
        <v>2</v>
      </c>
      <c r="AS344" cm="1">
        <f t="array" ref="AS344">_xlfn.XLOOKUP(Matrix[[#This Row],[TEAM]]&amp;Matrix[[#Headers],[33]],FDR[FDR]&amp;FDR[[#Headers],[33]],FDR[33],"",0,1)</f>
        <v>2</v>
      </c>
      <c r="AT344" cm="1">
        <f t="array" ref="AT344">_xlfn.XLOOKUP(Matrix[[#This Row],[TEAM]]&amp;Matrix[[#Headers],[34]],FDR[FDR]&amp;FDR[[#Headers],[34]],FDR[34],"",0,1)</f>
        <v>4</v>
      </c>
      <c r="AU344" cm="1">
        <f t="array" ref="AU344">_xlfn.XLOOKUP(Matrix[[#This Row],[TEAM]]&amp;Matrix[[#Headers],[35]],FDR[FDR]&amp;FDR[[#Headers],[35]],FDR[35],"",0,1)</f>
        <v>2</v>
      </c>
      <c r="AV344" cm="1">
        <f t="array" ref="AV344">_xlfn.XLOOKUP(Matrix[[#This Row],[TEAM]]&amp;Matrix[[#Headers],[36]],FDR[FDR]&amp;FDR[[#Headers],[36]],FDR[36],"",0,1)</f>
        <v>2</v>
      </c>
      <c r="AW344" cm="1">
        <f t="array" ref="AW344">_xlfn.XLOOKUP(Matrix[[#This Row],[TEAM]]&amp;Matrix[[#Headers],[37]],FDR[FDR]&amp;FDR[[#Headers],[37]],FDR[37],"",0,1)</f>
        <v>1</v>
      </c>
      <c r="AX344" cm="1">
        <f t="array" ref="AX344">_xlfn.XLOOKUP(Matrix[[#This Row],[TEAM]]&amp;Matrix[[#Headers],[38]],FDR[FDR]&amp;FDR[[#Headers],[38]],FDR[38],"",0,1)</f>
        <v>2</v>
      </c>
    </row>
    <row r="345" spans="1:50" ht="22" thickTop="1" thickBot="1">
      <c r="A345" s="54" t="s">
        <v>657</v>
      </c>
      <c r="B345" s="70" t="s">
        <v>1771</v>
      </c>
      <c r="C345" s="40" t="s">
        <v>51</v>
      </c>
      <c r="D345" s="62">
        <v>3</v>
      </c>
      <c r="E345" s="60">
        <v>1E-3</v>
      </c>
      <c r="F345" s="61">
        <v>16</v>
      </c>
      <c r="G345" s="63">
        <v>4.5</v>
      </c>
      <c r="H345" s="261">
        <f>IF(ISBLANK(I345),0,1)</f>
        <v>0</v>
      </c>
      <c r="I345" s="57"/>
      <c r="J345" s="58"/>
      <c r="K345" s="65" t="s">
        <v>918</v>
      </c>
      <c r="L345" s="65" t="s">
        <v>763</v>
      </c>
      <c r="M345" cm="1">
        <f t="array" ref="M345">_xlfn.XLOOKUP(Matrix[[#This Row],[TEAM]]&amp;Matrix[[#Headers],[1]],FDR[FDR]&amp;FDR[[#Headers],[1]],FDR[1],"",0,1)</f>
        <v>5</v>
      </c>
      <c r="N345" cm="1">
        <f t="array" ref="N345">_xlfn.XLOOKUP(Matrix[[#This Row],[TEAM]]&amp;Matrix[[#Headers],[2]],FDR[FDR]&amp;FDR[[#Headers],[2]],FDR[2],"",0,1)</f>
        <v>5</v>
      </c>
      <c r="O345" cm="1">
        <f t="array" ref="O345">_xlfn.XLOOKUP(Matrix[[#This Row],[TEAM]]&amp;Matrix[[#Headers],[3]],FDR[FDR]&amp;FDR[[#Headers],[3]],FDR[3],"",0,1)</f>
        <v>4</v>
      </c>
      <c r="P345" cm="1">
        <f t="array" ref="P345">_xlfn.XLOOKUP(Matrix[[#This Row],[TEAM]]&amp;Matrix[[#Headers],[4]],FDR[FDR]&amp;FDR[[#Headers],[4]],FDR[4],"",0,1)</f>
        <v>5</v>
      </c>
      <c r="Q345" cm="1">
        <f t="array" ref="Q345">_xlfn.XLOOKUP(Matrix[[#This Row],[TEAM]]&amp;Matrix[[#Headers],[5]],FDR[FDR]&amp;FDR[[#Headers],[5]],FDR[5],"",0,1)</f>
        <v>2</v>
      </c>
      <c r="R345" cm="1">
        <f t="array" ref="R345">_xlfn.XLOOKUP(Matrix[[#This Row],[TEAM]]&amp;Matrix[[#Headers],[6]],FDR[FDR]&amp;FDR[[#Headers],[6]],FDR[6],"",0,1)</f>
        <v>5</v>
      </c>
      <c r="S345" cm="1">
        <f t="array" ref="S345">_xlfn.XLOOKUP(Matrix[[#This Row],[TEAM]]&amp;Matrix[[#Headers],[7]],FDR[FDR]&amp;FDR[[#Headers],[7]],FDR[7],"",0,1)</f>
        <v>4</v>
      </c>
      <c r="T345" cm="1">
        <f t="array" ref="T345">_xlfn.XLOOKUP(Matrix[[#This Row],[TEAM]]&amp;Matrix[[#Headers],[8]],FDR[FDR]&amp;FDR[[#Headers],[8]],FDR[8],"",0,1)</f>
        <v>3</v>
      </c>
      <c r="U345" cm="1">
        <f t="array" ref="U345">_xlfn.XLOOKUP(Matrix[[#This Row],[TEAM]]&amp;Matrix[[#Headers],[9]],FDR[FDR]&amp;FDR[[#Headers],[9]],FDR[9],"",0,1)</f>
        <v>2</v>
      </c>
      <c r="V345" cm="1">
        <f t="array" ref="V345">_xlfn.XLOOKUP(Matrix[[#This Row],[TEAM]]&amp;Matrix[[#Headers],[10]],FDR[FDR]&amp;FDR[[#Headers],[10]],FDR[10],"",0,1)</f>
        <v>5</v>
      </c>
      <c r="W345" cm="1">
        <f t="array" ref="W345">_xlfn.XLOOKUP(Matrix[[#This Row],[TEAM]]&amp;Matrix[[#Headers],[11]],FDR[FDR]&amp;FDR[[#Headers],[11]],FDR[11],"",0,1)</f>
        <v>5</v>
      </c>
      <c r="X345" cm="1">
        <f t="array" ref="X345">_xlfn.XLOOKUP(Matrix[[#This Row],[TEAM]]&amp;Matrix[[#Headers],[12]],FDR[FDR]&amp;FDR[[#Headers],[12]],FDR[12],"",0,1)</f>
        <v>4</v>
      </c>
      <c r="Y345" cm="1">
        <f t="array" ref="Y345">_xlfn.XLOOKUP(Matrix[[#This Row],[TEAM]]&amp;Matrix[[#Headers],[13]],FDR[FDR]&amp;FDR[[#Headers],[13]],FDR[13],"",0,1)</f>
        <v>5</v>
      </c>
      <c r="Z345" cm="1">
        <f t="array" ref="Z345">_xlfn.XLOOKUP(Matrix[[#This Row],[TEAM]]&amp;Matrix[[#Headers],[14]],FDR[FDR]&amp;FDR[[#Headers],[14]],FDR[14],"",0,1)</f>
        <v>4</v>
      </c>
      <c r="AA345" cm="1">
        <f t="array" ref="AA345">_xlfn.XLOOKUP(Matrix[[#This Row],[TEAM]]&amp;Matrix[[#Headers],[15]],FDR[FDR]&amp;FDR[[#Headers],[15]],FDR[15],"",0,1)</f>
        <v>5</v>
      </c>
      <c r="AB345" cm="1">
        <f t="array" ref="AB345">_xlfn.XLOOKUP(Matrix[[#This Row],[TEAM]]&amp;Matrix[[#Headers],[16]],FDR[FDR]&amp;FDR[[#Headers],[16]],FDR[16],"",0,1)</f>
        <v>5</v>
      </c>
      <c r="AC345" cm="1">
        <f t="array" ref="AC345">_xlfn.XLOOKUP(Matrix[[#This Row],[TEAM]]&amp;Matrix[[#Headers],[17]],FDR[FDR]&amp;FDR[[#Headers],[17]],FDR[17],"",0,1)</f>
        <v>4</v>
      </c>
      <c r="AD345" cm="1">
        <f t="array" ref="AD345">_xlfn.XLOOKUP(Matrix[[#This Row],[TEAM]]&amp;Matrix[[#Headers],[18]],FDR[FDR]&amp;FDR[[#Headers],[18]],FDR[18],"",0,1)</f>
        <v>5</v>
      </c>
      <c r="AE345" cm="1">
        <f t="array" ref="AE345">_xlfn.XLOOKUP(Matrix[[#This Row],[TEAM]]&amp;Matrix[[#Headers],[19]],FDR[FDR]&amp;FDR[[#Headers],[19]],FDR[19],"",0,1)</f>
        <v>5</v>
      </c>
      <c r="AF345" cm="1">
        <f t="array" ref="AF345">_xlfn.XLOOKUP(Matrix[[#This Row],[TEAM]]&amp;Matrix[[#Headers],[20]],FDR[FDR]&amp;FDR[[#Headers],[20]],FDR[20],"",0,1)</f>
        <v>4</v>
      </c>
      <c r="AG345" cm="1">
        <f t="array" ref="AG345">_xlfn.XLOOKUP(Matrix[[#This Row],[TEAM]]&amp;Matrix[[#Headers],[21]],FDR[FDR]&amp;FDR[[#Headers],[21]],FDR[21],"",0,1)</f>
        <v>5</v>
      </c>
      <c r="AH345" cm="1">
        <f t="array" ref="AH345">_xlfn.XLOOKUP(Matrix[[#This Row],[TEAM]]&amp;Matrix[[#Headers],[22]],FDR[FDR]&amp;FDR[[#Headers],[22]],FDR[22],"",0,1)</f>
        <v>5</v>
      </c>
      <c r="AI345" cm="1">
        <f t="array" ref="AI345">_xlfn.XLOOKUP(Matrix[[#This Row],[TEAM]]&amp;Matrix[[#Headers],[23]],FDR[FDR]&amp;FDR[[#Headers],[23]],FDR[23],"",0,1)</f>
        <v>5</v>
      </c>
      <c r="AJ345" cm="1">
        <f t="array" ref="AJ345">_xlfn.XLOOKUP(Matrix[[#This Row],[TEAM]]&amp;Matrix[[#Headers],[24]],FDR[FDR]&amp;FDR[[#Headers],[24]],FDR[24],"",0,1)</f>
        <v>4</v>
      </c>
      <c r="AK345" cm="1">
        <f t="array" ref="AK345">_xlfn.XLOOKUP(Matrix[[#This Row],[TEAM]]&amp;Matrix[[#Headers],[25]],FDR[FDR]&amp;FDR[[#Headers],[25]],FDR[25],"",0,1)</f>
        <v>5</v>
      </c>
      <c r="AL345" cm="1">
        <f t="array" ref="AL345">_xlfn.XLOOKUP(Matrix[[#This Row],[TEAM]]&amp;Matrix[[#Headers],[26]],FDR[FDR]&amp;FDR[[#Headers],[26]],FDR[26],"",0,1)</f>
        <v>5</v>
      </c>
      <c r="AM345" cm="1">
        <f t="array" ref="AM345">_xlfn.XLOOKUP(Matrix[[#This Row],[TEAM]]&amp;Matrix[[#Headers],[27]],FDR[FDR]&amp;FDR[[#Headers],[27]],FDR[27],"",0,1)</f>
        <v>5</v>
      </c>
      <c r="AN345" cm="1">
        <f t="array" ref="AN345">_xlfn.XLOOKUP(Matrix[[#This Row],[TEAM]]&amp;Matrix[[#Headers],[28]],FDR[FDR]&amp;FDR[[#Headers],[28]],FDR[28],"",0,1)</f>
        <v>5</v>
      </c>
      <c r="AO345" cm="1">
        <f t="array" ref="AO345">_xlfn.XLOOKUP(Matrix[[#This Row],[TEAM]]&amp;Matrix[[#Headers],[29]],FDR[FDR]&amp;FDR[[#Headers],[29]],FDR[29],"",0,1)</f>
        <v>5</v>
      </c>
      <c r="AP345" cm="1">
        <f t="array" ref="AP345">_xlfn.XLOOKUP(Matrix[[#This Row],[TEAM]]&amp;Matrix[[#Headers],[30]],FDR[FDR]&amp;FDR[[#Headers],[30]],FDR[30],"",0,1)</f>
        <v>5</v>
      </c>
      <c r="AQ345" cm="1">
        <f t="array" ref="AQ345">_xlfn.XLOOKUP(Matrix[[#This Row],[TEAM]]&amp;Matrix[[#Headers],[31]],FDR[FDR]&amp;FDR[[#Headers],[31]],FDR[31],"",0,1)</f>
        <v>5</v>
      </c>
      <c r="AR345" cm="1">
        <f t="array" ref="AR345">_xlfn.XLOOKUP(Matrix[[#This Row],[TEAM]]&amp;Matrix[[#Headers],[32]],FDR[FDR]&amp;FDR[[#Headers],[32]],FDR[32],"",0,1)</f>
        <v>5</v>
      </c>
      <c r="AS345" cm="1">
        <f t="array" ref="AS345">_xlfn.XLOOKUP(Matrix[[#This Row],[TEAM]]&amp;Matrix[[#Headers],[33]],FDR[FDR]&amp;FDR[[#Headers],[33]],FDR[33],"",0,1)</f>
        <v>3</v>
      </c>
      <c r="AT345" cm="1">
        <f t="array" ref="AT345">_xlfn.XLOOKUP(Matrix[[#This Row],[TEAM]]&amp;Matrix[[#Headers],[34]],FDR[FDR]&amp;FDR[[#Headers],[34]],FDR[34],"",0,1)</f>
        <v>5</v>
      </c>
      <c r="AU345" cm="1">
        <f t="array" ref="AU345">_xlfn.XLOOKUP(Matrix[[#This Row],[TEAM]]&amp;Matrix[[#Headers],[35]],FDR[FDR]&amp;FDR[[#Headers],[35]],FDR[35],"",0,1)</f>
        <v>2</v>
      </c>
      <c r="AV345" cm="1">
        <f t="array" ref="AV345">_xlfn.XLOOKUP(Matrix[[#This Row],[TEAM]]&amp;Matrix[[#Headers],[36]],FDR[FDR]&amp;FDR[[#Headers],[36]],FDR[36],"",0,1)</f>
        <v>5</v>
      </c>
      <c r="AW345" cm="1">
        <f t="array" ref="AW345">_xlfn.XLOOKUP(Matrix[[#This Row],[TEAM]]&amp;Matrix[[#Headers],[37]],FDR[FDR]&amp;FDR[[#Headers],[37]],FDR[37],"",0,1)</f>
        <v>4</v>
      </c>
      <c r="AX345" cm="1">
        <f t="array" ref="AX345">_xlfn.XLOOKUP(Matrix[[#This Row],[TEAM]]&amp;Matrix[[#Headers],[38]],FDR[FDR]&amp;FDR[[#Headers],[38]],FDR[38],"",0,1)</f>
        <v>3</v>
      </c>
    </row>
    <row r="346" spans="1:50" ht="22" thickTop="1" thickBot="1">
      <c r="A346" s="54" t="s">
        <v>657</v>
      </c>
      <c r="B346" s="70" t="s">
        <v>1753</v>
      </c>
      <c r="C346" s="40" t="s">
        <v>25</v>
      </c>
      <c r="D346" s="62">
        <v>1</v>
      </c>
      <c r="E346" s="60">
        <v>1E-3</v>
      </c>
      <c r="F346" s="61">
        <v>9.3000000000000007</v>
      </c>
      <c r="G346" s="63">
        <v>4.5</v>
      </c>
      <c r="H346" s="261">
        <f>IF(ISBLANK(I346),0,1)</f>
        <v>0</v>
      </c>
      <c r="I346" s="57"/>
      <c r="J346" s="58"/>
      <c r="K346" s="65" t="s">
        <v>567</v>
      </c>
      <c r="L346" s="65" t="s">
        <v>164</v>
      </c>
      <c r="M346" cm="1">
        <f t="array" ref="M346">_xlfn.XLOOKUP(Matrix[[#This Row],[TEAM]]&amp;Matrix[[#Headers],[1]],FDR[FDR]&amp;FDR[[#Headers],[1]],FDR[1],"",0,1)</f>
        <v>3</v>
      </c>
      <c r="N346" cm="1">
        <f t="array" ref="N346">_xlfn.XLOOKUP(Matrix[[#This Row],[TEAM]]&amp;Matrix[[#Headers],[2]],FDR[FDR]&amp;FDR[[#Headers],[2]],FDR[2],"",0,1)</f>
        <v>3</v>
      </c>
      <c r="O346" cm="1">
        <f t="array" ref="O346">_xlfn.XLOOKUP(Matrix[[#This Row],[TEAM]]&amp;Matrix[[#Headers],[3]],FDR[FDR]&amp;FDR[[#Headers],[3]],FDR[3],"",0,1)</f>
        <v>1</v>
      </c>
      <c r="P346" cm="1">
        <f t="array" ref="P346">_xlfn.XLOOKUP(Matrix[[#This Row],[TEAM]]&amp;Matrix[[#Headers],[4]],FDR[FDR]&amp;FDR[[#Headers],[4]],FDR[4],"",0,1)</f>
        <v>1</v>
      </c>
      <c r="Q346" cm="1">
        <f t="array" ref="Q346">_xlfn.XLOOKUP(Matrix[[#This Row],[TEAM]]&amp;Matrix[[#Headers],[5]],FDR[FDR]&amp;FDR[[#Headers],[5]],FDR[5],"",0,1)</f>
        <v>2</v>
      </c>
      <c r="R346" cm="1">
        <f t="array" ref="R346">_xlfn.XLOOKUP(Matrix[[#This Row],[TEAM]]&amp;Matrix[[#Headers],[6]],FDR[FDR]&amp;FDR[[#Headers],[6]],FDR[6],"",0,1)</f>
        <v>3</v>
      </c>
      <c r="S346" cm="1">
        <f t="array" ref="S346">_xlfn.XLOOKUP(Matrix[[#This Row],[TEAM]]&amp;Matrix[[#Headers],[7]],FDR[FDR]&amp;FDR[[#Headers],[7]],FDR[7],"",0,1)</f>
        <v>2</v>
      </c>
      <c r="T346" cm="1">
        <f t="array" ref="T346">_xlfn.XLOOKUP(Matrix[[#This Row],[TEAM]]&amp;Matrix[[#Headers],[8]],FDR[FDR]&amp;FDR[[#Headers],[8]],FDR[8],"",0,1)</f>
        <v>2</v>
      </c>
      <c r="U346" cm="1">
        <f t="array" ref="U346">_xlfn.XLOOKUP(Matrix[[#This Row],[TEAM]]&amp;Matrix[[#Headers],[9]],FDR[FDR]&amp;FDR[[#Headers],[9]],FDR[9],"",0,1)</f>
        <v>2</v>
      </c>
      <c r="V346" cm="1">
        <f t="array" ref="V346">_xlfn.XLOOKUP(Matrix[[#This Row],[TEAM]]&amp;Matrix[[#Headers],[10]],FDR[FDR]&amp;FDR[[#Headers],[10]],FDR[10],"",0,1)</f>
        <v>2</v>
      </c>
      <c r="W346" cm="1">
        <f t="array" ref="W346">_xlfn.XLOOKUP(Matrix[[#This Row],[TEAM]]&amp;Matrix[[#Headers],[11]],FDR[FDR]&amp;FDR[[#Headers],[11]],FDR[11],"",0,1)</f>
        <v>2</v>
      </c>
      <c r="X346" cm="1">
        <f t="array" ref="X346">_xlfn.XLOOKUP(Matrix[[#This Row],[TEAM]]&amp;Matrix[[#Headers],[12]],FDR[FDR]&amp;FDR[[#Headers],[12]],FDR[12],"",0,1)</f>
        <v>3</v>
      </c>
      <c r="Y346" cm="1">
        <f t="array" ref="Y346">_xlfn.XLOOKUP(Matrix[[#This Row],[TEAM]]&amp;Matrix[[#Headers],[13]],FDR[FDR]&amp;FDR[[#Headers],[13]],FDR[13],"",0,1)</f>
        <v>2</v>
      </c>
      <c r="Z346" cm="1">
        <f t="array" ref="Z346">_xlfn.XLOOKUP(Matrix[[#This Row],[TEAM]]&amp;Matrix[[#Headers],[14]],FDR[FDR]&amp;FDR[[#Headers],[14]],FDR[14],"",0,1)</f>
        <v>3</v>
      </c>
      <c r="AA346" cm="1">
        <f t="array" ref="AA346">_xlfn.XLOOKUP(Matrix[[#This Row],[TEAM]]&amp;Matrix[[#Headers],[15]],FDR[FDR]&amp;FDR[[#Headers],[15]],FDR[15],"",0,1)</f>
        <v>1</v>
      </c>
      <c r="AB346" cm="1">
        <f t="array" ref="AB346">_xlfn.XLOOKUP(Matrix[[#This Row],[TEAM]]&amp;Matrix[[#Headers],[16]],FDR[FDR]&amp;FDR[[#Headers],[16]],FDR[16],"",0,1)</f>
        <v>1</v>
      </c>
      <c r="AC346" cm="1">
        <f t="array" ref="AC346">_xlfn.XLOOKUP(Matrix[[#This Row],[TEAM]]&amp;Matrix[[#Headers],[17]],FDR[FDR]&amp;FDR[[#Headers],[17]],FDR[17],"",0,1)</f>
        <v>3</v>
      </c>
      <c r="AD346" cm="1">
        <f t="array" ref="AD346">_xlfn.XLOOKUP(Matrix[[#This Row],[TEAM]]&amp;Matrix[[#Headers],[18]],FDR[FDR]&amp;FDR[[#Headers],[18]],FDR[18],"",0,1)</f>
        <v>4</v>
      </c>
      <c r="AE346" cm="1">
        <f t="array" ref="AE346">_xlfn.XLOOKUP(Matrix[[#This Row],[TEAM]]&amp;Matrix[[#Headers],[19]],FDR[FDR]&amp;FDR[[#Headers],[19]],FDR[19],"",0,1)</f>
        <v>1</v>
      </c>
      <c r="AF346" cm="1">
        <f t="array" ref="AF346">_xlfn.XLOOKUP(Matrix[[#This Row],[TEAM]]&amp;Matrix[[#Headers],[20]],FDR[FDR]&amp;FDR[[#Headers],[20]],FDR[20],"",0,1)</f>
        <v>1</v>
      </c>
      <c r="AG346" cm="1">
        <f t="array" ref="AG346">_xlfn.XLOOKUP(Matrix[[#This Row],[TEAM]]&amp;Matrix[[#Headers],[21]],FDR[FDR]&amp;FDR[[#Headers],[21]],FDR[21],"",0,1)</f>
        <v>1</v>
      </c>
      <c r="AH346" cm="1">
        <f t="array" ref="AH346">_xlfn.XLOOKUP(Matrix[[#This Row],[TEAM]]&amp;Matrix[[#Headers],[22]],FDR[FDR]&amp;FDR[[#Headers],[22]],FDR[22],"",0,1)</f>
        <v>1</v>
      </c>
      <c r="AI346" cm="1">
        <f t="array" ref="AI346">_xlfn.XLOOKUP(Matrix[[#This Row],[TEAM]]&amp;Matrix[[#Headers],[23]],FDR[FDR]&amp;FDR[[#Headers],[23]],FDR[23],"",0,1)</f>
        <v>2</v>
      </c>
      <c r="AJ346" cm="1">
        <f t="array" ref="AJ346">_xlfn.XLOOKUP(Matrix[[#This Row],[TEAM]]&amp;Matrix[[#Headers],[24]],FDR[FDR]&amp;FDR[[#Headers],[24]],FDR[24],"",0,1)</f>
        <v>4</v>
      </c>
      <c r="AK346" cm="1">
        <f t="array" ref="AK346">_xlfn.XLOOKUP(Matrix[[#This Row],[TEAM]]&amp;Matrix[[#Headers],[25]],FDR[FDR]&amp;FDR[[#Headers],[25]],FDR[25],"",0,1)</f>
        <v>1</v>
      </c>
      <c r="AL346" cm="1">
        <f t="array" ref="AL346">_xlfn.XLOOKUP(Matrix[[#This Row],[TEAM]]&amp;Matrix[[#Headers],[26]],FDR[FDR]&amp;FDR[[#Headers],[26]],FDR[26],"",0,1)</f>
        <v>4</v>
      </c>
      <c r="AM346" cm="1">
        <f t="array" ref="AM346">_xlfn.XLOOKUP(Matrix[[#This Row],[TEAM]]&amp;Matrix[[#Headers],[27]],FDR[FDR]&amp;FDR[[#Headers],[27]],FDR[27],"",0,1)</f>
        <v>4</v>
      </c>
      <c r="AN346" cm="1">
        <f t="array" ref="AN346">_xlfn.XLOOKUP(Matrix[[#This Row],[TEAM]]&amp;Matrix[[#Headers],[28]],FDR[FDR]&amp;FDR[[#Headers],[28]],FDR[28],"",0,1)</f>
        <v>1</v>
      </c>
      <c r="AO346" cm="1">
        <f t="array" ref="AO346">_xlfn.XLOOKUP(Matrix[[#This Row],[TEAM]]&amp;Matrix[[#Headers],[29]],FDR[FDR]&amp;FDR[[#Headers],[29]],FDR[29],"",0,1)</f>
        <v>3</v>
      </c>
      <c r="AP346" cm="1">
        <f t="array" ref="AP346">_xlfn.XLOOKUP(Matrix[[#This Row],[TEAM]]&amp;Matrix[[#Headers],[30]],FDR[FDR]&amp;FDR[[#Headers],[30]],FDR[30],"",0,1)</f>
        <v>4</v>
      </c>
      <c r="AQ346" cm="1">
        <f t="array" ref="AQ346">_xlfn.XLOOKUP(Matrix[[#This Row],[TEAM]]&amp;Matrix[[#Headers],[31]],FDR[FDR]&amp;FDR[[#Headers],[31]],FDR[31],"",0,1)</f>
        <v>1</v>
      </c>
      <c r="AR346" cm="1">
        <f t="array" ref="AR346">_xlfn.XLOOKUP(Matrix[[#This Row],[TEAM]]&amp;Matrix[[#Headers],[32]],FDR[FDR]&amp;FDR[[#Headers],[32]],FDR[32],"",0,1)</f>
        <v>2</v>
      </c>
      <c r="AS346" cm="1">
        <f t="array" ref="AS346">_xlfn.XLOOKUP(Matrix[[#This Row],[TEAM]]&amp;Matrix[[#Headers],[33]],FDR[FDR]&amp;FDR[[#Headers],[33]],FDR[33],"",0,1)</f>
        <v>2</v>
      </c>
      <c r="AT346" cm="1">
        <f t="array" ref="AT346">_xlfn.XLOOKUP(Matrix[[#This Row],[TEAM]]&amp;Matrix[[#Headers],[34]],FDR[FDR]&amp;FDR[[#Headers],[34]],FDR[34],"",0,1)</f>
        <v>4</v>
      </c>
      <c r="AU346" cm="1">
        <f t="array" ref="AU346">_xlfn.XLOOKUP(Matrix[[#This Row],[TEAM]]&amp;Matrix[[#Headers],[35]],FDR[FDR]&amp;FDR[[#Headers],[35]],FDR[35],"",0,1)</f>
        <v>2</v>
      </c>
      <c r="AV346" cm="1">
        <f t="array" ref="AV346">_xlfn.XLOOKUP(Matrix[[#This Row],[TEAM]]&amp;Matrix[[#Headers],[36]],FDR[FDR]&amp;FDR[[#Headers],[36]],FDR[36],"",0,1)</f>
        <v>2</v>
      </c>
      <c r="AW346" cm="1">
        <f t="array" ref="AW346">_xlfn.XLOOKUP(Matrix[[#This Row],[TEAM]]&amp;Matrix[[#Headers],[37]],FDR[FDR]&amp;FDR[[#Headers],[37]],FDR[37],"",0,1)</f>
        <v>1</v>
      </c>
      <c r="AX346" cm="1">
        <f t="array" ref="AX346">_xlfn.XLOOKUP(Matrix[[#This Row],[TEAM]]&amp;Matrix[[#Headers],[38]],FDR[FDR]&amp;FDR[[#Headers],[38]],FDR[38],"",0,1)</f>
        <v>2</v>
      </c>
    </row>
    <row r="347" spans="1:50" ht="22" thickTop="1" thickBot="1">
      <c r="A347" s="54" t="s">
        <v>657</v>
      </c>
      <c r="B347" s="70" t="s">
        <v>1643</v>
      </c>
      <c r="C347" s="40" t="s">
        <v>43</v>
      </c>
      <c r="D347" s="62">
        <v>0</v>
      </c>
      <c r="E347" s="60">
        <v>0.01</v>
      </c>
      <c r="F347" s="61">
        <v>0</v>
      </c>
      <c r="G347" s="63">
        <v>4.5</v>
      </c>
      <c r="H347" s="261">
        <f>IF(ISBLANK(I347),0,1)</f>
        <v>0</v>
      </c>
      <c r="I347" s="57"/>
      <c r="J347" s="58"/>
      <c r="K347" s="65" t="s">
        <v>702</v>
      </c>
      <c r="L347" s="65" t="s">
        <v>703</v>
      </c>
      <c r="M347" cm="1">
        <f t="array" ref="M347">_xlfn.XLOOKUP(Matrix[[#This Row],[TEAM]]&amp;Matrix[[#Headers],[1]],FDR[FDR]&amp;FDR[[#Headers],[1]],FDR[1],"",0,1)</f>
        <v>5</v>
      </c>
      <c r="N347" cm="1">
        <f t="array" ref="N347">_xlfn.XLOOKUP(Matrix[[#This Row],[TEAM]]&amp;Matrix[[#Headers],[2]],FDR[FDR]&amp;FDR[[#Headers],[2]],FDR[2],"",0,1)</f>
        <v>1</v>
      </c>
      <c r="O347" cm="1">
        <f t="array" ref="O347">_xlfn.XLOOKUP(Matrix[[#This Row],[TEAM]]&amp;Matrix[[#Headers],[3]],FDR[FDR]&amp;FDR[[#Headers],[3]],FDR[3],"",0,1)</f>
        <v>5</v>
      </c>
      <c r="P347" cm="1">
        <f t="array" ref="P347">_xlfn.XLOOKUP(Matrix[[#This Row],[TEAM]]&amp;Matrix[[#Headers],[4]],FDR[FDR]&amp;FDR[[#Headers],[4]],FDR[4],"",0,1)</f>
        <v>3</v>
      </c>
      <c r="Q347" cm="1">
        <f t="array" ref="Q347">_xlfn.XLOOKUP(Matrix[[#This Row],[TEAM]]&amp;Matrix[[#Headers],[5]],FDR[FDR]&amp;FDR[[#Headers],[5]],FDR[5],"",0,1)</f>
        <v>4</v>
      </c>
      <c r="R347" cm="1">
        <f t="array" ref="R347">_xlfn.XLOOKUP(Matrix[[#This Row],[TEAM]]&amp;Matrix[[#Headers],[6]],FDR[FDR]&amp;FDR[[#Headers],[6]],FDR[6],"",0,1)</f>
        <v>2</v>
      </c>
      <c r="S347" cm="1">
        <f t="array" ref="S347">_xlfn.XLOOKUP(Matrix[[#This Row],[TEAM]]&amp;Matrix[[#Headers],[7]],FDR[FDR]&amp;FDR[[#Headers],[7]],FDR[7],"",0,1)</f>
        <v>3</v>
      </c>
      <c r="T347" cm="1">
        <f t="array" ref="T347">_xlfn.XLOOKUP(Matrix[[#This Row],[TEAM]]&amp;Matrix[[#Headers],[8]],FDR[FDR]&amp;FDR[[#Headers],[8]],FDR[8],"",0,1)</f>
        <v>3</v>
      </c>
      <c r="U347" cm="1">
        <f t="array" ref="U347">_xlfn.XLOOKUP(Matrix[[#This Row],[TEAM]]&amp;Matrix[[#Headers],[9]],FDR[FDR]&amp;FDR[[#Headers],[9]],FDR[9],"",0,1)</f>
        <v>3</v>
      </c>
      <c r="V347" cm="1">
        <f t="array" ref="V347">_xlfn.XLOOKUP(Matrix[[#This Row],[TEAM]]&amp;Matrix[[#Headers],[10]],FDR[FDR]&amp;FDR[[#Headers],[10]],FDR[10],"",0,1)</f>
        <v>5</v>
      </c>
      <c r="W347" cm="1">
        <f t="array" ref="W347">_xlfn.XLOOKUP(Matrix[[#This Row],[TEAM]]&amp;Matrix[[#Headers],[11]],FDR[FDR]&amp;FDR[[#Headers],[11]],FDR[11],"",0,1)</f>
        <v>5</v>
      </c>
      <c r="X347" cm="1">
        <f t="array" ref="X347">_xlfn.XLOOKUP(Matrix[[#This Row],[TEAM]]&amp;Matrix[[#Headers],[12]],FDR[FDR]&amp;FDR[[#Headers],[12]],FDR[12],"",0,1)</f>
        <v>2</v>
      </c>
      <c r="Y347" cm="1">
        <f t="array" ref="Y347">_xlfn.XLOOKUP(Matrix[[#This Row],[TEAM]]&amp;Matrix[[#Headers],[13]],FDR[FDR]&amp;FDR[[#Headers],[13]],FDR[13],"",0,1)</f>
        <v>2</v>
      </c>
      <c r="Z347" cm="1">
        <f t="array" ref="Z347">_xlfn.XLOOKUP(Matrix[[#This Row],[TEAM]]&amp;Matrix[[#Headers],[14]],FDR[FDR]&amp;FDR[[#Headers],[14]],FDR[14],"",0,1)</f>
        <v>2</v>
      </c>
      <c r="AA347" cm="1">
        <f t="array" ref="AA347">_xlfn.XLOOKUP(Matrix[[#This Row],[TEAM]]&amp;Matrix[[#Headers],[15]],FDR[FDR]&amp;FDR[[#Headers],[15]],FDR[15],"",0,1)</f>
        <v>4</v>
      </c>
      <c r="AB347" cm="1">
        <f t="array" ref="AB347">_xlfn.XLOOKUP(Matrix[[#This Row],[TEAM]]&amp;Matrix[[#Headers],[16]],FDR[FDR]&amp;FDR[[#Headers],[16]],FDR[16],"",0,1)</f>
        <v>5</v>
      </c>
      <c r="AC347" cm="1">
        <f t="array" ref="AC347">_xlfn.XLOOKUP(Matrix[[#This Row],[TEAM]]&amp;Matrix[[#Headers],[17]],FDR[FDR]&amp;FDR[[#Headers],[17]],FDR[17],"",0,1)</f>
        <v>1</v>
      </c>
      <c r="AD347" cm="1">
        <f t="array" ref="AD347">_xlfn.XLOOKUP(Matrix[[#This Row],[TEAM]]&amp;Matrix[[#Headers],[18]],FDR[FDR]&amp;FDR[[#Headers],[18]],FDR[18],"",0,1)</f>
        <v>3</v>
      </c>
      <c r="AE347" cm="1">
        <f t="array" ref="AE347">_xlfn.XLOOKUP(Matrix[[#This Row],[TEAM]]&amp;Matrix[[#Headers],[19]],FDR[FDR]&amp;FDR[[#Headers],[19]],FDR[19],"",0,1)</f>
        <v>5</v>
      </c>
      <c r="AF347" cm="1">
        <f t="array" ref="AF347">_xlfn.XLOOKUP(Matrix[[#This Row],[TEAM]]&amp;Matrix[[#Headers],[20]],FDR[FDR]&amp;FDR[[#Headers],[20]],FDR[20],"",0,1)</f>
        <v>4</v>
      </c>
      <c r="AG347" cm="1">
        <f t="array" ref="AG347">_xlfn.XLOOKUP(Matrix[[#This Row],[TEAM]]&amp;Matrix[[#Headers],[21]],FDR[FDR]&amp;FDR[[#Headers],[21]],FDR[21],"",0,1)</f>
        <v>4</v>
      </c>
      <c r="AH347" cm="1">
        <f t="array" ref="AH347">_xlfn.XLOOKUP(Matrix[[#This Row],[TEAM]]&amp;Matrix[[#Headers],[22]],FDR[FDR]&amp;FDR[[#Headers],[22]],FDR[22],"",0,1)</f>
        <v>4</v>
      </c>
      <c r="AI347" cm="1">
        <f t="array" ref="AI347">_xlfn.XLOOKUP(Matrix[[#This Row],[TEAM]]&amp;Matrix[[#Headers],[23]],FDR[FDR]&amp;FDR[[#Headers],[23]],FDR[23],"",0,1)</f>
        <v>4</v>
      </c>
      <c r="AJ347" cm="1">
        <f t="array" ref="AJ347">_xlfn.XLOOKUP(Matrix[[#This Row],[TEAM]]&amp;Matrix[[#Headers],[24]],FDR[FDR]&amp;FDR[[#Headers],[24]],FDR[24],"",0,1)</f>
        <v>2</v>
      </c>
      <c r="AK347" cm="1">
        <f t="array" ref="AK347">_xlfn.XLOOKUP(Matrix[[#This Row],[TEAM]]&amp;Matrix[[#Headers],[25]],FDR[FDR]&amp;FDR[[#Headers],[25]],FDR[25],"",0,1)</f>
        <v>3</v>
      </c>
      <c r="AL347" cm="1">
        <f t="array" ref="AL347">_xlfn.XLOOKUP(Matrix[[#This Row],[TEAM]]&amp;Matrix[[#Headers],[26]],FDR[FDR]&amp;FDR[[#Headers],[26]],FDR[26],"",0,1)</f>
        <v>3</v>
      </c>
      <c r="AM347" cm="1">
        <f t="array" ref="AM347">_xlfn.XLOOKUP(Matrix[[#This Row],[TEAM]]&amp;Matrix[[#Headers],[27]],FDR[FDR]&amp;FDR[[#Headers],[27]],FDR[27],"",0,1)</f>
        <v>3</v>
      </c>
      <c r="AN347" cm="1">
        <f t="array" ref="AN347">_xlfn.XLOOKUP(Matrix[[#This Row],[TEAM]]&amp;Matrix[[#Headers],[28]],FDR[FDR]&amp;FDR[[#Headers],[28]],FDR[28],"",0,1)</f>
        <v>1</v>
      </c>
      <c r="AO347" cm="1">
        <f t="array" ref="AO347">_xlfn.XLOOKUP(Matrix[[#This Row],[TEAM]]&amp;Matrix[[#Headers],[29]],FDR[FDR]&amp;FDR[[#Headers],[29]],FDR[29],"",0,1)</f>
        <v>2</v>
      </c>
      <c r="AP347" cm="1">
        <f t="array" ref="AP347">_xlfn.XLOOKUP(Matrix[[#This Row],[TEAM]]&amp;Matrix[[#Headers],[30]],FDR[FDR]&amp;FDR[[#Headers],[30]],FDR[30],"",0,1)</f>
        <v>2</v>
      </c>
      <c r="AQ347" cm="1">
        <f t="array" ref="AQ347">_xlfn.XLOOKUP(Matrix[[#This Row],[TEAM]]&amp;Matrix[[#Headers],[31]],FDR[FDR]&amp;FDR[[#Headers],[31]],FDR[31],"",0,1)</f>
        <v>4</v>
      </c>
      <c r="AR347" cm="1">
        <f t="array" ref="AR347">_xlfn.XLOOKUP(Matrix[[#This Row],[TEAM]]&amp;Matrix[[#Headers],[32]],FDR[FDR]&amp;FDR[[#Headers],[32]],FDR[32],"",0,1)</f>
        <v>5</v>
      </c>
      <c r="AS347" cm="1">
        <f t="array" ref="AS347">_xlfn.XLOOKUP(Matrix[[#This Row],[TEAM]]&amp;Matrix[[#Headers],[33]],FDR[FDR]&amp;FDR[[#Headers],[33]],FDR[33],"",0,1)</f>
        <v>5</v>
      </c>
      <c r="AT347" cm="1">
        <f t="array" ref="AT347">_xlfn.XLOOKUP(Matrix[[#This Row],[TEAM]]&amp;Matrix[[#Headers],[34]],FDR[FDR]&amp;FDR[[#Headers],[34]],FDR[34],"",0,1)</f>
        <v>1</v>
      </c>
      <c r="AU347" cm="1">
        <f t="array" ref="AU347">_xlfn.XLOOKUP(Matrix[[#This Row],[TEAM]]&amp;Matrix[[#Headers],[35]],FDR[FDR]&amp;FDR[[#Headers],[35]],FDR[35],"",0,1)</f>
        <v>2</v>
      </c>
      <c r="AV347" cm="1">
        <f t="array" ref="AV347">_xlfn.XLOOKUP(Matrix[[#This Row],[TEAM]]&amp;Matrix[[#Headers],[36]],FDR[FDR]&amp;FDR[[#Headers],[36]],FDR[36],"",0,1)</f>
        <v>4</v>
      </c>
      <c r="AW347" cm="1">
        <f t="array" ref="AW347">_xlfn.XLOOKUP(Matrix[[#This Row],[TEAM]]&amp;Matrix[[#Headers],[37]],FDR[FDR]&amp;FDR[[#Headers],[37]],FDR[37],"",0,1)</f>
        <v>4</v>
      </c>
      <c r="AX347" cm="1">
        <f t="array" ref="AX347">_xlfn.XLOOKUP(Matrix[[#This Row],[TEAM]]&amp;Matrix[[#Headers],[38]],FDR[FDR]&amp;FDR[[#Headers],[38]],FDR[38],"",0,1)</f>
        <v>4</v>
      </c>
    </row>
    <row r="348" spans="1:50" ht="22" thickTop="1" thickBot="1">
      <c r="A348" s="54" t="s">
        <v>657</v>
      </c>
      <c r="B348" s="70" t="s">
        <v>1619</v>
      </c>
      <c r="C348" s="40" t="s">
        <v>33</v>
      </c>
      <c r="D348" s="62">
        <v>0</v>
      </c>
      <c r="E348" s="60">
        <v>7.3999999999999996E-2</v>
      </c>
      <c r="F348" s="61">
        <v>0</v>
      </c>
      <c r="G348" s="63">
        <v>4.5</v>
      </c>
      <c r="H348" s="261">
        <f>IF(ISBLANK(I348),0,1)</f>
        <v>0</v>
      </c>
      <c r="I348" s="57"/>
      <c r="J348" s="58"/>
      <c r="K348" s="65" t="s">
        <v>708</v>
      </c>
      <c r="L348" s="65" t="s">
        <v>709</v>
      </c>
      <c r="M348" cm="1">
        <f t="array" ref="M348">_xlfn.XLOOKUP(Matrix[[#This Row],[TEAM]]&amp;Matrix[[#Headers],[1]],FDR[FDR]&amp;FDR[[#Headers],[1]],FDR[1],"",0,1)</f>
        <v>3</v>
      </c>
      <c r="N348" cm="1">
        <f t="array" ref="N348">_xlfn.XLOOKUP(Matrix[[#This Row],[TEAM]]&amp;Matrix[[#Headers],[2]],FDR[FDR]&amp;FDR[[#Headers],[2]],FDR[2],"",0,1)</f>
        <v>3</v>
      </c>
      <c r="O348" cm="1">
        <f t="array" ref="O348">_xlfn.XLOOKUP(Matrix[[#This Row],[TEAM]]&amp;Matrix[[#Headers],[3]],FDR[FDR]&amp;FDR[[#Headers],[3]],FDR[3],"",0,1)</f>
        <v>4</v>
      </c>
      <c r="P348" cm="1">
        <f t="array" ref="P348">_xlfn.XLOOKUP(Matrix[[#This Row],[TEAM]]&amp;Matrix[[#Headers],[4]],FDR[FDR]&amp;FDR[[#Headers],[4]],FDR[4],"",0,1)</f>
        <v>4</v>
      </c>
      <c r="Q348" cm="1">
        <f t="array" ref="Q348">_xlfn.XLOOKUP(Matrix[[#This Row],[TEAM]]&amp;Matrix[[#Headers],[5]],FDR[FDR]&amp;FDR[[#Headers],[5]],FDR[5],"",0,1)</f>
        <v>4</v>
      </c>
      <c r="R348" cm="1">
        <f t="array" ref="R348">_xlfn.XLOOKUP(Matrix[[#This Row],[TEAM]]&amp;Matrix[[#Headers],[6]],FDR[FDR]&amp;FDR[[#Headers],[6]],FDR[6],"",0,1)</f>
        <v>5</v>
      </c>
      <c r="S348" cm="1">
        <f t="array" ref="S348">_xlfn.XLOOKUP(Matrix[[#This Row],[TEAM]]&amp;Matrix[[#Headers],[7]],FDR[FDR]&amp;FDR[[#Headers],[7]],FDR[7],"",0,1)</f>
        <v>2</v>
      </c>
      <c r="T348" cm="1">
        <f t="array" ref="T348">_xlfn.XLOOKUP(Matrix[[#This Row],[TEAM]]&amp;Matrix[[#Headers],[8]],FDR[FDR]&amp;FDR[[#Headers],[8]],FDR[8],"",0,1)</f>
        <v>4</v>
      </c>
      <c r="U348" cm="1">
        <f t="array" ref="U348">_xlfn.XLOOKUP(Matrix[[#This Row],[TEAM]]&amp;Matrix[[#Headers],[9]],FDR[FDR]&amp;FDR[[#Headers],[9]],FDR[9],"",0,1)</f>
        <v>5</v>
      </c>
      <c r="V348" cm="1">
        <f t="array" ref="V348">_xlfn.XLOOKUP(Matrix[[#This Row],[TEAM]]&amp;Matrix[[#Headers],[10]],FDR[FDR]&amp;FDR[[#Headers],[10]],FDR[10],"",0,1)</f>
        <v>1</v>
      </c>
      <c r="W348" cm="1">
        <f t="array" ref="W348">_xlfn.XLOOKUP(Matrix[[#This Row],[TEAM]]&amp;Matrix[[#Headers],[11]],FDR[FDR]&amp;FDR[[#Headers],[11]],FDR[11],"",0,1)</f>
        <v>3</v>
      </c>
      <c r="X348" cm="1">
        <f t="array" ref="X348">_xlfn.XLOOKUP(Matrix[[#This Row],[TEAM]]&amp;Matrix[[#Headers],[12]],FDR[FDR]&amp;FDR[[#Headers],[12]],FDR[12],"",0,1)</f>
        <v>2</v>
      </c>
      <c r="Y348" cm="1">
        <f t="array" ref="Y348">_xlfn.XLOOKUP(Matrix[[#This Row],[TEAM]]&amp;Matrix[[#Headers],[13]],FDR[FDR]&amp;FDR[[#Headers],[13]],FDR[13],"",0,1)</f>
        <v>4</v>
      </c>
      <c r="Z348" cm="1">
        <f t="array" ref="Z348">_xlfn.XLOOKUP(Matrix[[#This Row],[TEAM]]&amp;Matrix[[#Headers],[14]],FDR[FDR]&amp;FDR[[#Headers],[14]],FDR[14],"",0,1)</f>
        <v>3</v>
      </c>
      <c r="AA348" cm="1">
        <f t="array" ref="AA348">_xlfn.XLOOKUP(Matrix[[#This Row],[TEAM]]&amp;Matrix[[#Headers],[15]],FDR[FDR]&amp;FDR[[#Headers],[15]],FDR[15],"",0,1)</f>
        <v>2</v>
      </c>
      <c r="AB348" cm="1">
        <f t="array" ref="AB348">_xlfn.XLOOKUP(Matrix[[#This Row],[TEAM]]&amp;Matrix[[#Headers],[16]],FDR[FDR]&amp;FDR[[#Headers],[16]],FDR[16],"",0,1)</f>
        <v>5</v>
      </c>
      <c r="AC348" cm="1">
        <f t="array" ref="AC348">_xlfn.XLOOKUP(Matrix[[#This Row],[TEAM]]&amp;Matrix[[#Headers],[17]],FDR[FDR]&amp;FDR[[#Headers],[17]],FDR[17],"",0,1)</f>
        <v>1</v>
      </c>
      <c r="AD348" cm="1">
        <f t="array" ref="AD348">_xlfn.XLOOKUP(Matrix[[#This Row],[TEAM]]&amp;Matrix[[#Headers],[18]],FDR[FDR]&amp;FDR[[#Headers],[18]],FDR[18],"",0,1)</f>
        <v>5</v>
      </c>
      <c r="AE348" cm="1">
        <f t="array" ref="AE348">_xlfn.XLOOKUP(Matrix[[#This Row],[TEAM]]&amp;Matrix[[#Headers],[19]],FDR[FDR]&amp;FDR[[#Headers],[19]],FDR[19],"",0,1)</f>
        <v>3</v>
      </c>
      <c r="AF348" cm="1">
        <f t="array" ref="AF348">_xlfn.XLOOKUP(Matrix[[#This Row],[TEAM]]&amp;Matrix[[#Headers],[20]],FDR[FDR]&amp;FDR[[#Headers],[20]],FDR[20],"",0,1)</f>
        <v>1</v>
      </c>
      <c r="AG348" cm="1">
        <f t="array" ref="AG348">_xlfn.XLOOKUP(Matrix[[#This Row],[TEAM]]&amp;Matrix[[#Headers],[21]],FDR[FDR]&amp;FDR[[#Headers],[21]],FDR[21],"",0,1)</f>
        <v>5</v>
      </c>
      <c r="AH348" cm="1">
        <f t="array" ref="AH348">_xlfn.XLOOKUP(Matrix[[#This Row],[TEAM]]&amp;Matrix[[#Headers],[22]],FDR[FDR]&amp;FDR[[#Headers],[22]],FDR[22],"",0,1)</f>
        <v>3</v>
      </c>
      <c r="AI348" cm="1">
        <f t="array" ref="AI348">_xlfn.XLOOKUP(Matrix[[#This Row],[TEAM]]&amp;Matrix[[#Headers],[23]],FDR[FDR]&amp;FDR[[#Headers],[23]],FDR[23],"",0,1)</f>
        <v>4</v>
      </c>
      <c r="AJ348" cm="1">
        <f t="array" ref="AJ348">_xlfn.XLOOKUP(Matrix[[#This Row],[TEAM]]&amp;Matrix[[#Headers],[24]],FDR[FDR]&amp;FDR[[#Headers],[24]],FDR[24],"",0,1)</f>
        <v>2</v>
      </c>
      <c r="AK348" cm="1">
        <f t="array" ref="AK348">_xlfn.XLOOKUP(Matrix[[#This Row],[TEAM]]&amp;Matrix[[#Headers],[25]],FDR[FDR]&amp;FDR[[#Headers],[25]],FDR[25],"",0,1)</f>
        <v>2</v>
      </c>
      <c r="AL348" cm="1">
        <f t="array" ref="AL348">_xlfn.XLOOKUP(Matrix[[#This Row],[TEAM]]&amp;Matrix[[#Headers],[26]],FDR[FDR]&amp;FDR[[#Headers],[26]],FDR[26],"",0,1)</f>
        <v>5</v>
      </c>
      <c r="AM348" cm="1">
        <f t="array" ref="AM348">_xlfn.XLOOKUP(Matrix[[#This Row],[TEAM]]&amp;Matrix[[#Headers],[27]],FDR[FDR]&amp;FDR[[#Headers],[27]],FDR[27],"",0,1)</f>
        <v>3</v>
      </c>
      <c r="AN348" cm="1">
        <f t="array" ref="AN348">_xlfn.XLOOKUP(Matrix[[#This Row],[TEAM]]&amp;Matrix[[#Headers],[28]],FDR[FDR]&amp;FDR[[#Headers],[28]],FDR[28],"",0,1)</f>
        <v>3</v>
      </c>
      <c r="AO348" cm="1">
        <f t="array" ref="AO348">_xlfn.XLOOKUP(Matrix[[#This Row],[TEAM]]&amp;Matrix[[#Headers],[29]],FDR[FDR]&amp;FDR[[#Headers],[29]],FDR[29],"",0,1)</f>
        <v>4</v>
      </c>
      <c r="AP348" cm="1">
        <f t="array" ref="AP348">_xlfn.XLOOKUP(Matrix[[#This Row],[TEAM]]&amp;Matrix[[#Headers],[30]],FDR[FDR]&amp;FDR[[#Headers],[30]],FDR[30],"",0,1)</f>
        <v>2</v>
      </c>
      <c r="AQ348" cm="1">
        <f t="array" ref="AQ348">_xlfn.XLOOKUP(Matrix[[#This Row],[TEAM]]&amp;Matrix[[#Headers],[31]],FDR[FDR]&amp;FDR[[#Headers],[31]],FDR[31],"",0,1)</f>
        <v>4</v>
      </c>
      <c r="AR348" cm="1">
        <f t="array" ref="AR348">_xlfn.XLOOKUP(Matrix[[#This Row],[TEAM]]&amp;Matrix[[#Headers],[32]],FDR[FDR]&amp;FDR[[#Headers],[32]],FDR[32],"",0,1)</f>
        <v>2</v>
      </c>
      <c r="AS348" cm="1">
        <f t="array" ref="AS348">_xlfn.XLOOKUP(Matrix[[#This Row],[TEAM]]&amp;Matrix[[#Headers],[33]],FDR[FDR]&amp;FDR[[#Headers],[33]],FDR[33],"",0,1)</f>
        <v>5</v>
      </c>
      <c r="AT348" cm="1">
        <f t="array" ref="AT348">_xlfn.XLOOKUP(Matrix[[#This Row],[TEAM]]&amp;Matrix[[#Headers],[34]],FDR[FDR]&amp;FDR[[#Headers],[34]],FDR[34],"",0,1)</f>
        <v>4</v>
      </c>
      <c r="AU348" cm="1">
        <f t="array" ref="AU348">_xlfn.XLOOKUP(Matrix[[#This Row],[TEAM]]&amp;Matrix[[#Headers],[35]],FDR[FDR]&amp;FDR[[#Headers],[35]],FDR[35],"",0,1)</f>
        <v>5</v>
      </c>
      <c r="AV348" cm="1">
        <f t="array" ref="AV348">_xlfn.XLOOKUP(Matrix[[#This Row],[TEAM]]&amp;Matrix[[#Headers],[36]],FDR[FDR]&amp;FDR[[#Headers],[36]],FDR[36],"",0,1)</f>
        <v>1</v>
      </c>
      <c r="AW348" cm="1">
        <f t="array" ref="AW348">_xlfn.XLOOKUP(Matrix[[#This Row],[TEAM]]&amp;Matrix[[#Headers],[37]],FDR[FDR]&amp;FDR[[#Headers],[37]],FDR[37],"",0,1)</f>
        <v>2</v>
      </c>
      <c r="AX348" cm="1">
        <f t="array" ref="AX348">_xlfn.XLOOKUP(Matrix[[#This Row],[TEAM]]&amp;Matrix[[#Headers],[38]],FDR[FDR]&amp;FDR[[#Headers],[38]],FDR[38],"",0,1)</f>
        <v>4</v>
      </c>
    </row>
    <row r="349" spans="1:50" ht="22" thickTop="1" thickBot="1">
      <c r="A349" s="54" t="s">
        <v>657</v>
      </c>
      <c r="B349" s="70" t="s">
        <v>1731</v>
      </c>
      <c r="C349" s="40" t="s">
        <v>33</v>
      </c>
      <c r="D349" s="62">
        <v>0</v>
      </c>
      <c r="E349" s="60">
        <v>1E-3</v>
      </c>
      <c r="F349" s="61">
        <v>0</v>
      </c>
      <c r="G349" s="63">
        <v>4.5</v>
      </c>
      <c r="H349" s="261">
        <f>IF(ISBLANK(I349),0,1)</f>
        <v>0</v>
      </c>
      <c r="I349" s="57"/>
      <c r="J349" s="58"/>
      <c r="K349" s="65" t="s">
        <v>561</v>
      </c>
      <c r="L349" s="65" t="s">
        <v>707</v>
      </c>
      <c r="M349" cm="1">
        <f t="array" ref="M349">_xlfn.XLOOKUP(Matrix[[#This Row],[TEAM]]&amp;Matrix[[#Headers],[1]],FDR[FDR]&amp;FDR[[#Headers],[1]],FDR[1],"",0,1)</f>
        <v>3</v>
      </c>
      <c r="N349" cm="1">
        <f t="array" ref="N349">_xlfn.XLOOKUP(Matrix[[#This Row],[TEAM]]&amp;Matrix[[#Headers],[2]],FDR[FDR]&amp;FDR[[#Headers],[2]],FDR[2],"",0,1)</f>
        <v>3</v>
      </c>
      <c r="O349" cm="1">
        <f t="array" ref="O349">_xlfn.XLOOKUP(Matrix[[#This Row],[TEAM]]&amp;Matrix[[#Headers],[3]],FDR[FDR]&amp;FDR[[#Headers],[3]],FDR[3],"",0,1)</f>
        <v>4</v>
      </c>
      <c r="P349" cm="1">
        <f t="array" ref="P349">_xlfn.XLOOKUP(Matrix[[#This Row],[TEAM]]&amp;Matrix[[#Headers],[4]],FDR[FDR]&amp;FDR[[#Headers],[4]],FDR[4],"",0,1)</f>
        <v>4</v>
      </c>
      <c r="Q349" cm="1">
        <f t="array" ref="Q349">_xlfn.XLOOKUP(Matrix[[#This Row],[TEAM]]&amp;Matrix[[#Headers],[5]],FDR[FDR]&amp;FDR[[#Headers],[5]],FDR[5],"",0,1)</f>
        <v>4</v>
      </c>
      <c r="R349" cm="1">
        <f t="array" ref="R349">_xlfn.XLOOKUP(Matrix[[#This Row],[TEAM]]&amp;Matrix[[#Headers],[6]],FDR[FDR]&amp;FDR[[#Headers],[6]],FDR[6],"",0,1)</f>
        <v>5</v>
      </c>
      <c r="S349" cm="1">
        <f t="array" ref="S349">_xlfn.XLOOKUP(Matrix[[#This Row],[TEAM]]&amp;Matrix[[#Headers],[7]],FDR[FDR]&amp;FDR[[#Headers],[7]],FDR[7],"",0,1)</f>
        <v>2</v>
      </c>
      <c r="T349" cm="1">
        <f t="array" ref="T349">_xlfn.XLOOKUP(Matrix[[#This Row],[TEAM]]&amp;Matrix[[#Headers],[8]],FDR[FDR]&amp;FDR[[#Headers],[8]],FDR[8],"",0,1)</f>
        <v>4</v>
      </c>
      <c r="U349" cm="1">
        <f t="array" ref="U349">_xlfn.XLOOKUP(Matrix[[#This Row],[TEAM]]&amp;Matrix[[#Headers],[9]],FDR[FDR]&amp;FDR[[#Headers],[9]],FDR[9],"",0,1)</f>
        <v>5</v>
      </c>
      <c r="V349" cm="1">
        <f t="array" ref="V349">_xlfn.XLOOKUP(Matrix[[#This Row],[TEAM]]&amp;Matrix[[#Headers],[10]],FDR[FDR]&amp;FDR[[#Headers],[10]],FDR[10],"",0,1)</f>
        <v>1</v>
      </c>
      <c r="W349" cm="1">
        <f t="array" ref="W349">_xlfn.XLOOKUP(Matrix[[#This Row],[TEAM]]&amp;Matrix[[#Headers],[11]],FDR[FDR]&amp;FDR[[#Headers],[11]],FDR[11],"",0,1)</f>
        <v>3</v>
      </c>
      <c r="X349" cm="1">
        <f t="array" ref="X349">_xlfn.XLOOKUP(Matrix[[#This Row],[TEAM]]&amp;Matrix[[#Headers],[12]],FDR[FDR]&amp;FDR[[#Headers],[12]],FDR[12],"",0,1)</f>
        <v>2</v>
      </c>
      <c r="Y349" cm="1">
        <f t="array" ref="Y349">_xlfn.XLOOKUP(Matrix[[#This Row],[TEAM]]&amp;Matrix[[#Headers],[13]],FDR[FDR]&amp;FDR[[#Headers],[13]],FDR[13],"",0,1)</f>
        <v>4</v>
      </c>
      <c r="Z349" cm="1">
        <f t="array" ref="Z349">_xlfn.XLOOKUP(Matrix[[#This Row],[TEAM]]&amp;Matrix[[#Headers],[14]],FDR[FDR]&amp;FDR[[#Headers],[14]],FDR[14],"",0,1)</f>
        <v>3</v>
      </c>
      <c r="AA349" cm="1">
        <f t="array" ref="AA349">_xlfn.XLOOKUP(Matrix[[#This Row],[TEAM]]&amp;Matrix[[#Headers],[15]],FDR[FDR]&amp;FDR[[#Headers],[15]],FDR[15],"",0,1)</f>
        <v>2</v>
      </c>
      <c r="AB349" cm="1">
        <f t="array" ref="AB349">_xlfn.XLOOKUP(Matrix[[#This Row],[TEAM]]&amp;Matrix[[#Headers],[16]],FDR[FDR]&amp;FDR[[#Headers],[16]],FDR[16],"",0,1)</f>
        <v>5</v>
      </c>
      <c r="AC349" cm="1">
        <f t="array" ref="AC349">_xlfn.XLOOKUP(Matrix[[#This Row],[TEAM]]&amp;Matrix[[#Headers],[17]],FDR[FDR]&amp;FDR[[#Headers],[17]],FDR[17],"",0,1)</f>
        <v>1</v>
      </c>
      <c r="AD349" cm="1">
        <f t="array" ref="AD349">_xlfn.XLOOKUP(Matrix[[#This Row],[TEAM]]&amp;Matrix[[#Headers],[18]],FDR[FDR]&amp;FDR[[#Headers],[18]],FDR[18],"",0,1)</f>
        <v>5</v>
      </c>
      <c r="AE349" cm="1">
        <f t="array" ref="AE349">_xlfn.XLOOKUP(Matrix[[#This Row],[TEAM]]&amp;Matrix[[#Headers],[19]],FDR[FDR]&amp;FDR[[#Headers],[19]],FDR[19],"",0,1)</f>
        <v>3</v>
      </c>
      <c r="AF349" cm="1">
        <f t="array" ref="AF349">_xlfn.XLOOKUP(Matrix[[#This Row],[TEAM]]&amp;Matrix[[#Headers],[20]],FDR[FDR]&amp;FDR[[#Headers],[20]],FDR[20],"",0,1)</f>
        <v>1</v>
      </c>
      <c r="AG349" cm="1">
        <f t="array" ref="AG349">_xlfn.XLOOKUP(Matrix[[#This Row],[TEAM]]&amp;Matrix[[#Headers],[21]],FDR[FDR]&amp;FDR[[#Headers],[21]],FDR[21],"",0,1)</f>
        <v>5</v>
      </c>
      <c r="AH349" cm="1">
        <f t="array" ref="AH349">_xlfn.XLOOKUP(Matrix[[#This Row],[TEAM]]&amp;Matrix[[#Headers],[22]],FDR[FDR]&amp;FDR[[#Headers],[22]],FDR[22],"",0,1)</f>
        <v>3</v>
      </c>
      <c r="AI349" cm="1">
        <f t="array" ref="AI349">_xlfn.XLOOKUP(Matrix[[#This Row],[TEAM]]&amp;Matrix[[#Headers],[23]],FDR[FDR]&amp;FDR[[#Headers],[23]],FDR[23],"",0,1)</f>
        <v>4</v>
      </c>
      <c r="AJ349" cm="1">
        <f t="array" ref="AJ349">_xlfn.XLOOKUP(Matrix[[#This Row],[TEAM]]&amp;Matrix[[#Headers],[24]],FDR[FDR]&amp;FDR[[#Headers],[24]],FDR[24],"",0,1)</f>
        <v>2</v>
      </c>
      <c r="AK349" cm="1">
        <f t="array" ref="AK349">_xlfn.XLOOKUP(Matrix[[#This Row],[TEAM]]&amp;Matrix[[#Headers],[25]],FDR[FDR]&amp;FDR[[#Headers],[25]],FDR[25],"",0,1)</f>
        <v>2</v>
      </c>
      <c r="AL349" cm="1">
        <f t="array" ref="AL349">_xlfn.XLOOKUP(Matrix[[#This Row],[TEAM]]&amp;Matrix[[#Headers],[26]],FDR[FDR]&amp;FDR[[#Headers],[26]],FDR[26],"",0,1)</f>
        <v>5</v>
      </c>
      <c r="AM349" cm="1">
        <f t="array" ref="AM349">_xlfn.XLOOKUP(Matrix[[#This Row],[TEAM]]&amp;Matrix[[#Headers],[27]],FDR[FDR]&amp;FDR[[#Headers],[27]],FDR[27],"",0,1)</f>
        <v>3</v>
      </c>
      <c r="AN349" cm="1">
        <f t="array" ref="AN349">_xlfn.XLOOKUP(Matrix[[#This Row],[TEAM]]&amp;Matrix[[#Headers],[28]],FDR[FDR]&amp;FDR[[#Headers],[28]],FDR[28],"",0,1)</f>
        <v>3</v>
      </c>
      <c r="AO349" cm="1">
        <f t="array" ref="AO349">_xlfn.XLOOKUP(Matrix[[#This Row],[TEAM]]&amp;Matrix[[#Headers],[29]],FDR[FDR]&amp;FDR[[#Headers],[29]],FDR[29],"",0,1)</f>
        <v>4</v>
      </c>
      <c r="AP349" cm="1">
        <f t="array" ref="AP349">_xlfn.XLOOKUP(Matrix[[#This Row],[TEAM]]&amp;Matrix[[#Headers],[30]],FDR[FDR]&amp;FDR[[#Headers],[30]],FDR[30],"",0,1)</f>
        <v>2</v>
      </c>
      <c r="AQ349" cm="1">
        <f t="array" ref="AQ349">_xlfn.XLOOKUP(Matrix[[#This Row],[TEAM]]&amp;Matrix[[#Headers],[31]],FDR[FDR]&amp;FDR[[#Headers],[31]],FDR[31],"",0,1)</f>
        <v>4</v>
      </c>
      <c r="AR349" cm="1">
        <f t="array" ref="AR349">_xlfn.XLOOKUP(Matrix[[#This Row],[TEAM]]&amp;Matrix[[#Headers],[32]],FDR[FDR]&amp;FDR[[#Headers],[32]],FDR[32],"",0,1)</f>
        <v>2</v>
      </c>
      <c r="AS349" cm="1">
        <f t="array" ref="AS349">_xlfn.XLOOKUP(Matrix[[#This Row],[TEAM]]&amp;Matrix[[#Headers],[33]],FDR[FDR]&amp;FDR[[#Headers],[33]],FDR[33],"",0,1)</f>
        <v>5</v>
      </c>
      <c r="AT349" cm="1">
        <f t="array" ref="AT349">_xlfn.XLOOKUP(Matrix[[#This Row],[TEAM]]&amp;Matrix[[#Headers],[34]],FDR[FDR]&amp;FDR[[#Headers],[34]],FDR[34],"",0,1)</f>
        <v>4</v>
      </c>
      <c r="AU349" cm="1">
        <f t="array" ref="AU349">_xlfn.XLOOKUP(Matrix[[#This Row],[TEAM]]&amp;Matrix[[#Headers],[35]],FDR[FDR]&amp;FDR[[#Headers],[35]],FDR[35],"",0,1)</f>
        <v>5</v>
      </c>
      <c r="AV349" cm="1">
        <f t="array" ref="AV349">_xlfn.XLOOKUP(Matrix[[#This Row],[TEAM]]&amp;Matrix[[#Headers],[36]],FDR[FDR]&amp;FDR[[#Headers],[36]],FDR[36],"",0,1)</f>
        <v>1</v>
      </c>
      <c r="AW349" cm="1">
        <f t="array" ref="AW349">_xlfn.XLOOKUP(Matrix[[#This Row],[TEAM]]&amp;Matrix[[#Headers],[37]],FDR[FDR]&amp;FDR[[#Headers],[37]],FDR[37],"",0,1)</f>
        <v>2</v>
      </c>
      <c r="AX349" cm="1">
        <f t="array" ref="AX349">_xlfn.XLOOKUP(Matrix[[#This Row],[TEAM]]&amp;Matrix[[#Headers],[38]],FDR[FDR]&amp;FDR[[#Headers],[38]],FDR[38],"",0,1)</f>
        <v>4</v>
      </c>
    </row>
    <row r="350" spans="1:50" ht="22" thickTop="1" thickBot="1">
      <c r="A350" s="54" t="s">
        <v>657</v>
      </c>
      <c r="B350" s="70" t="s">
        <v>1732</v>
      </c>
      <c r="C350" s="40" t="s">
        <v>33</v>
      </c>
      <c r="D350" s="62">
        <v>0</v>
      </c>
      <c r="E350" s="60">
        <v>1E-3</v>
      </c>
      <c r="F350" s="61">
        <v>0</v>
      </c>
      <c r="G350" s="63">
        <v>4.5</v>
      </c>
      <c r="H350" s="261">
        <f>IF(ISBLANK(I350),0,1)</f>
        <v>0</v>
      </c>
      <c r="I350" s="57"/>
      <c r="J350" s="58"/>
      <c r="K350" s="65" t="s">
        <v>705</v>
      </c>
      <c r="L350" s="65" t="s">
        <v>706</v>
      </c>
      <c r="M350" cm="1">
        <f t="array" ref="M350">_xlfn.XLOOKUP(Matrix[[#This Row],[TEAM]]&amp;Matrix[[#Headers],[1]],FDR[FDR]&amp;FDR[[#Headers],[1]],FDR[1],"",0,1)</f>
        <v>3</v>
      </c>
      <c r="N350" cm="1">
        <f t="array" ref="N350">_xlfn.XLOOKUP(Matrix[[#This Row],[TEAM]]&amp;Matrix[[#Headers],[2]],FDR[FDR]&amp;FDR[[#Headers],[2]],FDR[2],"",0,1)</f>
        <v>3</v>
      </c>
      <c r="O350" cm="1">
        <f t="array" ref="O350">_xlfn.XLOOKUP(Matrix[[#This Row],[TEAM]]&amp;Matrix[[#Headers],[3]],FDR[FDR]&amp;FDR[[#Headers],[3]],FDR[3],"",0,1)</f>
        <v>4</v>
      </c>
      <c r="P350" cm="1">
        <f t="array" ref="P350">_xlfn.XLOOKUP(Matrix[[#This Row],[TEAM]]&amp;Matrix[[#Headers],[4]],FDR[FDR]&amp;FDR[[#Headers],[4]],FDR[4],"",0,1)</f>
        <v>4</v>
      </c>
      <c r="Q350" cm="1">
        <f t="array" ref="Q350">_xlfn.XLOOKUP(Matrix[[#This Row],[TEAM]]&amp;Matrix[[#Headers],[5]],FDR[FDR]&amp;FDR[[#Headers],[5]],FDR[5],"",0,1)</f>
        <v>4</v>
      </c>
      <c r="R350" cm="1">
        <f t="array" ref="R350">_xlfn.XLOOKUP(Matrix[[#This Row],[TEAM]]&amp;Matrix[[#Headers],[6]],FDR[FDR]&amp;FDR[[#Headers],[6]],FDR[6],"",0,1)</f>
        <v>5</v>
      </c>
      <c r="S350" cm="1">
        <f t="array" ref="S350">_xlfn.XLOOKUP(Matrix[[#This Row],[TEAM]]&amp;Matrix[[#Headers],[7]],FDR[FDR]&amp;FDR[[#Headers],[7]],FDR[7],"",0,1)</f>
        <v>2</v>
      </c>
      <c r="T350" cm="1">
        <f t="array" ref="T350">_xlfn.XLOOKUP(Matrix[[#This Row],[TEAM]]&amp;Matrix[[#Headers],[8]],FDR[FDR]&amp;FDR[[#Headers],[8]],FDR[8],"",0,1)</f>
        <v>4</v>
      </c>
      <c r="U350" cm="1">
        <f t="array" ref="U350">_xlfn.XLOOKUP(Matrix[[#This Row],[TEAM]]&amp;Matrix[[#Headers],[9]],FDR[FDR]&amp;FDR[[#Headers],[9]],FDR[9],"",0,1)</f>
        <v>5</v>
      </c>
      <c r="V350" cm="1">
        <f t="array" ref="V350">_xlfn.XLOOKUP(Matrix[[#This Row],[TEAM]]&amp;Matrix[[#Headers],[10]],FDR[FDR]&amp;FDR[[#Headers],[10]],FDR[10],"",0,1)</f>
        <v>1</v>
      </c>
      <c r="W350" cm="1">
        <f t="array" ref="W350">_xlfn.XLOOKUP(Matrix[[#This Row],[TEAM]]&amp;Matrix[[#Headers],[11]],FDR[FDR]&amp;FDR[[#Headers],[11]],FDR[11],"",0,1)</f>
        <v>3</v>
      </c>
      <c r="X350" cm="1">
        <f t="array" ref="X350">_xlfn.XLOOKUP(Matrix[[#This Row],[TEAM]]&amp;Matrix[[#Headers],[12]],FDR[FDR]&amp;FDR[[#Headers],[12]],FDR[12],"",0,1)</f>
        <v>2</v>
      </c>
      <c r="Y350" cm="1">
        <f t="array" ref="Y350">_xlfn.XLOOKUP(Matrix[[#This Row],[TEAM]]&amp;Matrix[[#Headers],[13]],FDR[FDR]&amp;FDR[[#Headers],[13]],FDR[13],"",0,1)</f>
        <v>4</v>
      </c>
      <c r="Z350" cm="1">
        <f t="array" ref="Z350">_xlfn.XLOOKUP(Matrix[[#This Row],[TEAM]]&amp;Matrix[[#Headers],[14]],FDR[FDR]&amp;FDR[[#Headers],[14]],FDR[14],"",0,1)</f>
        <v>3</v>
      </c>
      <c r="AA350" cm="1">
        <f t="array" ref="AA350">_xlfn.XLOOKUP(Matrix[[#This Row],[TEAM]]&amp;Matrix[[#Headers],[15]],FDR[FDR]&amp;FDR[[#Headers],[15]],FDR[15],"",0,1)</f>
        <v>2</v>
      </c>
      <c r="AB350" cm="1">
        <f t="array" ref="AB350">_xlfn.XLOOKUP(Matrix[[#This Row],[TEAM]]&amp;Matrix[[#Headers],[16]],FDR[FDR]&amp;FDR[[#Headers],[16]],FDR[16],"",0,1)</f>
        <v>5</v>
      </c>
      <c r="AC350" cm="1">
        <f t="array" ref="AC350">_xlfn.XLOOKUP(Matrix[[#This Row],[TEAM]]&amp;Matrix[[#Headers],[17]],FDR[FDR]&amp;FDR[[#Headers],[17]],FDR[17],"",0,1)</f>
        <v>1</v>
      </c>
      <c r="AD350" cm="1">
        <f t="array" ref="AD350">_xlfn.XLOOKUP(Matrix[[#This Row],[TEAM]]&amp;Matrix[[#Headers],[18]],FDR[FDR]&amp;FDR[[#Headers],[18]],FDR[18],"",0,1)</f>
        <v>5</v>
      </c>
      <c r="AE350" cm="1">
        <f t="array" ref="AE350">_xlfn.XLOOKUP(Matrix[[#This Row],[TEAM]]&amp;Matrix[[#Headers],[19]],FDR[FDR]&amp;FDR[[#Headers],[19]],FDR[19],"",0,1)</f>
        <v>3</v>
      </c>
      <c r="AF350" cm="1">
        <f t="array" ref="AF350">_xlfn.XLOOKUP(Matrix[[#This Row],[TEAM]]&amp;Matrix[[#Headers],[20]],FDR[FDR]&amp;FDR[[#Headers],[20]],FDR[20],"",0,1)</f>
        <v>1</v>
      </c>
      <c r="AG350" cm="1">
        <f t="array" ref="AG350">_xlfn.XLOOKUP(Matrix[[#This Row],[TEAM]]&amp;Matrix[[#Headers],[21]],FDR[FDR]&amp;FDR[[#Headers],[21]],FDR[21],"",0,1)</f>
        <v>5</v>
      </c>
      <c r="AH350" cm="1">
        <f t="array" ref="AH350">_xlfn.XLOOKUP(Matrix[[#This Row],[TEAM]]&amp;Matrix[[#Headers],[22]],FDR[FDR]&amp;FDR[[#Headers],[22]],FDR[22],"",0,1)</f>
        <v>3</v>
      </c>
      <c r="AI350" cm="1">
        <f t="array" ref="AI350">_xlfn.XLOOKUP(Matrix[[#This Row],[TEAM]]&amp;Matrix[[#Headers],[23]],FDR[FDR]&amp;FDR[[#Headers],[23]],FDR[23],"",0,1)</f>
        <v>4</v>
      </c>
      <c r="AJ350" cm="1">
        <f t="array" ref="AJ350">_xlfn.XLOOKUP(Matrix[[#This Row],[TEAM]]&amp;Matrix[[#Headers],[24]],FDR[FDR]&amp;FDR[[#Headers],[24]],FDR[24],"",0,1)</f>
        <v>2</v>
      </c>
      <c r="AK350" cm="1">
        <f t="array" ref="AK350">_xlfn.XLOOKUP(Matrix[[#This Row],[TEAM]]&amp;Matrix[[#Headers],[25]],FDR[FDR]&amp;FDR[[#Headers],[25]],FDR[25],"",0,1)</f>
        <v>2</v>
      </c>
      <c r="AL350" cm="1">
        <f t="array" ref="AL350">_xlfn.XLOOKUP(Matrix[[#This Row],[TEAM]]&amp;Matrix[[#Headers],[26]],FDR[FDR]&amp;FDR[[#Headers],[26]],FDR[26],"",0,1)</f>
        <v>5</v>
      </c>
      <c r="AM350" cm="1">
        <f t="array" ref="AM350">_xlfn.XLOOKUP(Matrix[[#This Row],[TEAM]]&amp;Matrix[[#Headers],[27]],FDR[FDR]&amp;FDR[[#Headers],[27]],FDR[27],"",0,1)</f>
        <v>3</v>
      </c>
      <c r="AN350" cm="1">
        <f t="array" ref="AN350">_xlfn.XLOOKUP(Matrix[[#This Row],[TEAM]]&amp;Matrix[[#Headers],[28]],FDR[FDR]&amp;FDR[[#Headers],[28]],FDR[28],"",0,1)</f>
        <v>3</v>
      </c>
      <c r="AO350" cm="1">
        <f t="array" ref="AO350">_xlfn.XLOOKUP(Matrix[[#This Row],[TEAM]]&amp;Matrix[[#Headers],[29]],FDR[FDR]&amp;FDR[[#Headers],[29]],FDR[29],"",0,1)</f>
        <v>4</v>
      </c>
      <c r="AP350" cm="1">
        <f t="array" ref="AP350">_xlfn.XLOOKUP(Matrix[[#This Row],[TEAM]]&amp;Matrix[[#Headers],[30]],FDR[FDR]&amp;FDR[[#Headers],[30]],FDR[30],"",0,1)</f>
        <v>2</v>
      </c>
      <c r="AQ350" cm="1">
        <f t="array" ref="AQ350">_xlfn.XLOOKUP(Matrix[[#This Row],[TEAM]]&amp;Matrix[[#Headers],[31]],FDR[FDR]&amp;FDR[[#Headers],[31]],FDR[31],"",0,1)</f>
        <v>4</v>
      </c>
      <c r="AR350" cm="1">
        <f t="array" ref="AR350">_xlfn.XLOOKUP(Matrix[[#This Row],[TEAM]]&amp;Matrix[[#Headers],[32]],FDR[FDR]&amp;FDR[[#Headers],[32]],FDR[32],"",0,1)</f>
        <v>2</v>
      </c>
      <c r="AS350" cm="1">
        <f t="array" ref="AS350">_xlfn.XLOOKUP(Matrix[[#This Row],[TEAM]]&amp;Matrix[[#Headers],[33]],FDR[FDR]&amp;FDR[[#Headers],[33]],FDR[33],"",0,1)</f>
        <v>5</v>
      </c>
      <c r="AT350" cm="1">
        <f t="array" ref="AT350">_xlfn.XLOOKUP(Matrix[[#This Row],[TEAM]]&amp;Matrix[[#Headers],[34]],FDR[FDR]&amp;FDR[[#Headers],[34]],FDR[34],"",0,1)</f>
        <v>4</v>
      </c>
      <c r="AU350" cm="1">
        <f t="array" ref="AU350">_xlfn.XLOOKUP(Matrix[[#This Row],[TEAM]]&amp;Matrix[[#Headers],[35]],FDR[FDR]&amp;FDR[[#Headers],[35]],FDR[35],"",0,1)</f>
        <v>5</v>
      </c>
      <c r="AV350" cm="1">
        <f t="array" ref="AV350">_xlfn.XLOOKUP(Matrix[[#This Row],[TEAM]]&amp;Matrix[[#Headers],[36]],FDR[FDR]&amp;FDR[[#Headers],[36]],FDR[36],"",0,1)</f>
        <v>1</v>
      </c>
      <c r="AW350" cm="1">
        <f t="array" ref="AW350">_xlfn.XLOOKUP(Matrix[[#This Row],[TEAM]]&amp;Matrix[[#Headers],[37]],FDR[FDR]&amp;FDR[[#Headers],[37]],FDR[37],"",0,1)</f>
        <v>2</v>
      </c>
      <c r="AX350" cm="1">
        <f t="array" ref="AX350">_xlfn.XLOOKUP(Matrix[[#This Row],[TEAM]]&amp;Matrix[[#Headers],[38]],FDR[FDR]&amp;FDR[[#Headers],[38]],FDR[38],"",0,1)</f>
        <v>4</v>
      </c>
    </row>
    <row r="351" spans="1:50" ht="22" thickTop="1" thickBot="1">
      <c r="A351" s="54" t="s">
        <v>657</v>
      </c>
      <c r="B351" s="70" t="s">
        <v>1669</v>
      </c>
      <c r="C351" s="40" t="s">
        <v>633</v>
      </c>
      <c r="D351" s="62">
        <v>0</v>
      </c>
      <c r="E351" s="60">
        <v>4.0000000000000001E-3</v>
      </c>
      <c r="F351" s="61">
        <v>0</v>
      </c>
      <c r="G351" s="63">
        <v>4.5</v>
      </c>
      <c r="H351" s="261">
        <f>IF(ISBLANK(I351),0,1)</f>
        <v>0</v>
      </c>
      <c r="I351" s="57"/>
      <c r="J351" s="58"/>
      <c r="K351" s="65" t="s">
        <v>362</v>
      </c>
      <c r="L351" s="65" t="s">
        <v>1070</v>
      </c>
      <c r="M351" cm="1">
        <f t="array" ref="M351">_xlfn.XLOOKUP(Matrix[[#This Row],[TEAM]]&amp;Matrix[[#Headers],[1]],FDR[FDR]&amp;FDR[[#Headers],[1]],FDR[1],"",0,1)</f>
        <v>4</v>
      </c>
      <c r="N351" cm="1">
        <f t="array" ref="N351">_xlfn.XLOOKUP(Matrix[[#This Row],[TEAM]]&amp;Matrix[[#Headers],[2]],FDR[FDR]&amp;FDR[[#Headers],[2]],FDR[2],"",0,1)</f>
        <v>5</v>
      </c>
      <c r="O351" cm="1">
        <f t="array" ref="O351">_xlfn.XLOOKUP(Matrix[[#This Row],[TEAM]]&amp;Matrix[[#Headers],[3]],FDR[FDR]&amp;FDR[[#Headers],[3]],FDR[3],"",0,1)</f>
        <v>5</v>
      </c>
      <c r="P351" cm="1">
        <f t="array" ref="P351">_xlfn.XLOOKUP(Matrix[[#This Row],[TEAM]]&amp;Matrix[[#Headers],[4]],FDR[FDR]&amp;FDR[[#Headers],[4]],FDR[4],"",0,1)</f>
        <v>5</v>
      </c>
      <c r="Q351" cm="1">
        <f t="array" ref="Q351">_xlfn.XLOOKUP(Matrix[[#This Row],[TEAM]]&amp;Matrix[[#Headers],[5]],FDR[FDR]&amp;FDR[[#Headers],[5]],FDR[5],"",0,1)</f>
        <v>4</v>
      </c>
      <c r="R351" cm="1">
        <f t="array" ref="R351">_xlfn.XLOOKUP(Matrix[[#This Row],[TEAM]]&amp;Matrix[[#Headers],[6]],FDR[FDR]&amp;FDR[[#Headers],[6]],FDR[6],"",0,1)</f>
        <v>5</v>
      </c>
      <c r="S351" cm="1">
        <f t="array" ref="S351">_xlfn.XLOOKUP(Matrix[[#This Row],[TEAM]]&amp;Matrix[[#Headers],[7]],FDR[FDR]&amp;FDR[[#Headers],[7]],FDR[7],"",0,1)</f>
        <v>5</v>
      </c>
      <c r="T351" cm="1">
        <f t="array" ref="T351">_xlfn.XLOOKUP(Matrix[[#This Row],[TEAM]]&amp;Matrix[[#Headers],[8]],FDR[FDR]&amp;FDR[[#Headers],[8]],FDR[8],"",0,1)</f>
        <v>4</v>
      </c>
      <c r="U351" cm="1">
        <f t="array" ref="U351">_xlfn.XLOOKUP(Matrix[[#This Row],[TEAM]]&amp;Matrix[[#Headers],[9]],FDR[FDR]&amp;FDR[[#Headers],[9]],FDR[9],"",0,1)</f>
        <v>4</v>
      </c>
      <c r="V351" cm="1">
        <f t="array" ref="V351">_xlfn.XLOOKUP(Matrix[[#This Row],[TEAM]]&amp;Matrix[[#Headers],[10]],FDR[FDR]&amp;FDR[[#Headers],[10]],FDR[10],"",0,1)</f>
        <v>5</v>
      </c>
      <c r="W351" cm="1">
        <f t="array" ref="W351">_xlfn.XLOOKUP(Matrix[[#This Row],[TEAM]]&amp;Matrix[[#Headers],[11]],FDR[FDR]&amp;FDR[[#Headers],[11]],FDR[11],"",0,1)</f>
        <v>5</v>
      </c>
      <c r="X351" cm="1">
        <f t="array" ref="X351">_xlfn.XLOOKUP(Matrix[[#This Row],[TEAM]]&amp;Matrix[[#Headers],[12]],FDR[FDR]&amp;FDR[[#Headers],[12]],FDR[12],"",0,1)</f>
        <v>5</v>
      </c>
      <c r="Y351" cm="1">
        <f t="array" ref="Y351">_xlfn.XLOOKUP(Matrix[[#This Row],[TEAM]]&amp;Matrix[[#Headers],[13]],FDR[FDR]&amp;FDR[[#Headers],[13]],FDR[13],"",0,1)</f>
        <v>5</v>
      </c>
      <c r="Z351" cm="1">
        <f t="array" ref="Z351">_xlfn.XLOOKUP(Matrix[[#This Row],[TEAM]]&amp;Matrix[[#Headers],[14]],FDR[FDR]&amp;FDR[[#Headers],[14]],FDR[14],"",0,1)</f>
        <v>5</v>
      </c>
      <c r="AA351" cm="1">
        <f t="array" ref="AA351">_xlfn.XLOOKUP(Matrix[[#This Row],[TEAM]]&amp;Matrix[[#Headers],[15]],FDR[FDR]&amp;FDR[[#Headers],[15]],FDR[15],"",0,1)</f>
        <v>5</v>
      </c>
      <c r="AB351" cm="1">
        <f t="array" ref="AB351">_xlfn.XLOOKUP(Matrix[[#This Row],[TEAM]]&amp;Matrix[[#Headers],[16]],FDR[FDR]&amp;FDR[[#Headers],[16]],FDR[16],"",0,1)</f>
        <v>5</v>
      </c>
      <c r="AC351" cm="1">
        <f t="array" ref="AC351">_xlfn.XLOOKUP(Matrix[[#This Row],[TEAM]]&amp;Matrix[[#Headers],[17]],FDR[FDR]&amp;FDR[[#Headers],[17]],FDR[17],"",0,1)</f>
        <v>4</v>
      </c>
      <c r="AD351" cm="1">
        <f t="array" ref="AD351">_xlfn.XLOOKUP(Matrix[[#This Row],[TEAM]]&amp;Matrix[[#Headers],[18]],FDR[FDR]&amp;FDR[[#Headers],[18]],FDR[18],"",0,1)</f>
        <v>4</v>
      </c>
      <c r="AE351" cm="1">
        <f t="array" ref="AE351">_xlfn.XLOOKUP(Matrix[[#This Row],[TEAM]]&amp;Matrix[[#Headers],[19]],FDR[FDR]&amp;FDR[[#Headers],[19]],FDR[19],"",0,1)</f>
        <v>5</v>
      </c>
      <c r="AF351" cm="1">
        <f t="array" ref="AF351">_xlfn.XLOOKUP(Matrix[[#This Row],[TEAM]]&amp;Matrix[[#Headers],[20]],FDR[FDR]&amp;FDR[[#Headers],[20]],FDR[20],"",0,1)</f>
        <v>5</v>
      </c>
      <c r="AG351" cm="1">
        <f t="array" ref="AG351">_xlfn.XLOOKUP(Matrix[[#This Row],[TEAM]]&amp;Matrix[[#Headers],[21]],FDR[FDR]&amp;FDR[[#Headers],[21]],FDR[21],"",0,1)</f>
        <v>5</v>
      </c>
      <c r="AH351" cm="1">
        <f t="array" ref="AH351">_xlfn.XLOOKUP(Matrix[[#This Row],[TEAM]]&amp;Matrix[[#Headers],[22]],FDR[FDR]&amp;FDR[[#Headers],[22]],FDR[22],"",0,1)</f>
        <v>5</v>
      </c>
      <c r="AI351" cm="1">
        <f t="array" ref="AI351">_xlfn.XLOOKUP(Matrix[[#This Row],[TEAM]]&amp;Matrix[[#Headers],[23]],FDR[FDR]&amp;FDR[[#Headers],[23]],FDR[23],"",0,1)</f>
        <v>5</v>
      </c>
      <c r="AJ351" cm="1">
        <f t="array" ref="AJ351">_xlfn.XLOOKUP(Matrix[[#This Row],[TEAM]]&amp;Matrix[[#Headers],[24]],FDR[FDR]&amp;FDR[[#Headers],[24]],FDR[24],"",0,1)</f>
        <v>5</v>
      </c>
      <c r="AK351" cm="1">
        <f t="array" ref="AK351">_xlfn.XLOOKUP(Matrix[[#This Row],[TEAM]]&amp;Matrix[[#Headers],[25]],FDR[FDR]&amp;FDR[[#Headers],[25]],FDR[25],"",0,1)</f>
        <v>5</v>
      </c>
      <c r="AL351" cm="1">
        <f t="array" ref="AL351">_xlfn.XLOOKUP(Matrix[[#This Row],[TEAM]]&amp;Matrix[[#Headers],[26]],FDR[FDR]&amp;FDR[[#Headers],[26]],FDR[26],"",0,1)</f>
        <v>5</v>
      </c>
      <c r="AM351" cm="1">
        <f t="array" ref="AM351">_xlfn.XLOOKUP(Matrix[[#This Row],[TEAM]]&amp;Matrix[[#Headers],[27]],FDR[FDR]&amp;FDR[[#Headers],[27]],FDR[27],"",0,1)</f>
        <v>5</v>
      </c>
      <c r="AN351" cm="1">
        <f t="array" ref="AN351">_xlfn.XLOOKUP(Matrix[[#This Row],[TEAM]]&amp;Matrix[[#Headers],[28]],FDR[FDR]&amp;FDR[[#Headers],[28]],FDR[28],"",0,1)</f>
        <v>5</v>
      </c>
      <c r="AO351" cm="1">
        <f t="array" ref="AO351">_xlfn.XLOOKUP(Matrix[[#This Row],[TEAM]]&amp;Matrix[[#Headers],[29]],FDR[FDR]&amp;FDR[[#Headers],[29]],FDR[29],"",0,1)</f>
        <v>3</v>
      </c>
      <c r="AP351" cm="1">
        <f t="array" ref="AP351">_xlfn.XLOOKUP(Matrix[[#This Row],[TEAM]]&amp;Matrix[[#Headers],[30]],FDR[FDR]&amp;FDR[[#Headers],[30]],FDR[30],"",0,1)</f>
        <v>5</v>
      </c>
      <c r="AQ351" cm="1">
        <f t="array" ref="AQ351">_xlfn.XLOOKUP(Matrix[[#This Row],[TEAM]]&amp;Matrix[[#Headers],[31]],FDR[FDR]&amp;FDR[[#Headers],[31]],FDR[31],"",0,1)</f>
        <v>4</v>
      </c>
      <c r="AR351" cm="1">
        <f t="array" ref="AR351">_xlfn.XLOOKUP(Matrix[[#This Row],[TEAM]]&amp;Matrix[[#Headers],[32]],FDR[FDR]&amp;FDR[[#Headers],[32]],FDR[32],"",0,1)</f>
        <v>5</v>
      </c>
      <c r="AS351" cm="1">
        <f t="array" ref="AS351">_xlfn.XLOOKUP(Matrix[[#This Row],[TEAM]]&amp;Matrix[[#Headers],[33]],FDR[FDR]&amp;FDR[[#Headers],[33]],FDR[33],"",0,1)</f>
        <v>3</v>
      </c>
      <c r="AT351" cm="1">
        <f t="array" ref="AT351">_xlfn.XLOOKUP(Matrix[[#This Row],[TEAM]]&amp;Matrix[[#Headers],[34]],FDR[FDR]&amp;FDR[[#Headers],[34]],FDR[34],"",0,1)</f>
        <v>5</v>
      </c>
      <c r="AU351" cm="1">
        <f t="array" ref="AU351">_xlfn.XLOOKUP(Matrix[[#This Row],[TEAM]]&amp;Matrix[[#Headers],[35]],FDR[FDR]&amp;FDR[[#Headers],[35]],FDR[35],"",0,1)</f>
        <v>3</v>
      </c>
      <c r="AV351" cm="1">
        <f t="array" ref="AV351">_xlfn.XLOOKUP(Matrix[[#This Row],[TEAM]]&amp;Matrix[[#Headers],[36]],FDR[FDR]&amp;FDR[[#Headers],[36]],FDR[36],"",0,1)</f>
        <v>5</v>
      </c>
      <c r="AW351" cm="1">
        <f t="array" ref="AW351">_xlfn.XLOOKUP(Matrix[[#This Row],[TEAM]]&amp;Matrix[[#Headers],[37]],FDR[FDR]&amp;FDR[[#Headers],[37]],FDR[37],"",0,1)</f>
        <v>5</v>
      </c>
      <c r="AX351" cm="1">
        <f t="array" ref="AX351">_xlfn.XLOOKUP(Matrix[[#This Row],[TEAM]]&amp;Matrix[[#Headers],[38]],FDR[FDR]&amp;FDR[[#Headers],[38]],FDR[38],"",0,1)</f>
        <v>5</v>
      </c>
    </row>
    <row r="352" spans="1:50" ht="22" thickTop="1" thickBot="1">
      <c r="A352" s="54" t="s">
        <v>657</v>
      </c>
      <c r="B352" s="70" t="s">
        <v>1751</v>
      </c>
      <c r="C352" s="40" t="s">
        <v>30</v>
      </c>
      <c r="D352" s="62">
        <v>0</v>
      </c>
      <c r="E352" s="60">
        <v>1E-3</v>
      </c>
      <c r="F352" s="61">
        <v>0</v>
      </c>
      <c r="G352" s="63">
        <v>4.5</v>
      </c>
      <c r="H352" s="261">
        <f>IF(ISBLANK(I352),0,1)</f>
        <v>0</v>
      </c>
      <c r="I352" s="57"/>
      <c r="J352" s="58"/>
      <c r="K352" s="65" t="s">
        <v>1102</v>
      </c>
      <c r="L352" s="65" t="s">
        <v>1103</v>
      </c>
      <c r="M352" cm="1">
        <f t="array" ref="M352">_xlfn.XLOOKUP(Matrix[[#This Row],[TEAM]]&amp;Matrix[[#Headers],[1]],FDR[FDR]&amp;FDR[[#Headers],[1]],FDR[1],"",0,1)</f>
        <v>3</v>
      </c>
      <c r="N352" cm="1">
        <f t="array" ref="N352">_xlfn.XLOOKUP(Matrix[[#This Row],[TEAM]]&amp;Matrix[[#Headers],[2]],FDR[FDR]&amp;FDR[[#Headers],[2]],FDR[2],"",0,1)</f>
        <v>2</v>
      </c>
      <c r="O352" cm="1">
        <f t="array" ref="O352">_xlfn.XLOOKUP(Matrix[[#This Row],[TEAM]]&amp;Matrix[[#Headers],[3]],FDR[FDR]&amp;FDR[[#Headers],[3]],FDR[3],"",0,1)</f>
        <v>1</v>
      </c>
      <c r="P352" cm="1">
        <f t="array" ref="P352">_xlfn.XLOOKUP(Matrix[[#This Row],[TEAM]]&amp;Matrix[[#Headers],[4]],FDR[FDR]&amp;FDR[[#Headers],[4]],FDR[4],"",0,1)</f>
        <v>4</v>
      </c>
      <c r="Q352" cm="1">
        <f t="array" ref="Q352">_xlfn.XLOOKUP(Matrix[[#This Row],[TEAM]]&amp;Matrix[[#Headers],[5]],FDR[FDR]&amp;FDR[[#Headers],[5]],FDR[5],"",0,1)</f>
        <v>3</v>
      </c>
      <c r="R352" cm="1">
        <f t="array" ref="R352">_xlfn.XLOOKUP(Matrix[[#This Row],[TEAM]]&amp;Matrix[[#Headers],[6]],FDR[FDR]&amp;FDR[[#Headers],[6]],FDR[6],"",0,1)</f>
        <v>2</v>
      </c>
      <c r="S352" cm="1">
        <f t="array" ref="S352">_xlfn.XLOOKUP(Matrix[[#This Row],[TEAM]]&amp;Matrix[[#Headers],[7]],FDR[FDR]&amp;FDR[[#Headers],[7]],FDR[7],"",0,1)</f>
        <v>1</v>
      </c>
      <c r="T352" cm="1">
        <f t="array" ref="T352">_xlfn.XLOOKUP(Matrix[[#This Row],[TEAM]]&amp;Matrix[[#Headers],[8]],FDR[FDR]&amp;FDR[[#Headers],[8]],FDR[8],"",0,1)</f>
        <v>4</v>
      </c>
      <c r="U352" cm="1">
        <f t="array" ref="U352">_xlfn.XLOOKUP(Matrix[[#This Row],[TEAM]]&amp;Matrix[[#Headers],[9]],FDR[FDR]&amp;FDR[[#Headers],[9]],FDR[9],"",0,1)</f>
        <v>1</v>
      </c>
      <c r="V352" cm="1">
        <f t="array" ref="V352">_xlfn.XLOOKUP(Matrix[[#This Row],[TEAM]]&amp;Matrix[[#Headers],[10]],FDR[FDR]&amp;FDR[[#Headers],[10]],FDR[10],"",0,1)</f>
        <v>2</v>
      </c>
      <c r="W352" cm="1">
        <f t="array" ref="W352">_xlfn.XLOOKUP(Matrix[[#This Row],[TEAM]]&amp;Matrix[[#Headers],[11]],FDR[FDR]&amp;FDR[[#Headers],[11]],FDR[11],"",0,1)</f>
        <v>4</v>
      </c>
      <c r="X352" cm="1">
        <f t="array" ref="X352">_xlfn.XLOOKUP(Matrix[[#This Row],[TEAM]]&amp;Matrix[[#Headers],[12]],FDR[FDR]&amp;FDR[[#Headers],[12]],FDR[12],"",0,1)</f>
        <v>1</v>
      </c>
      <c r="Y352" cm="1">
        <f t="array" ref="Y352">_xlfn.XLOOKUP(Matrix[[#This Row],[TEAM]]&amp;Matrix[[#Headers],[13]],FDR[FDR]&amp;FDR[[#Headers],[13]],FDR[13],"",0,1)</f>
        <v>2</v>
      </c>
      <c r="Z352" cm="1">
        <f t="array" ref="Z352">_xlfn.XLOOKUP(Matrix[[#This Row],[TEAM]]&amp;Matrix[[#Headers],[14]],FDR[FDR]&amp;FDR[[#Headers],[14]],FDR[14],"",0,1)</f>
        <v>1</v>
      </c>
      <c r="AA352" cm="1">
        <f t="array" ref="AA352">_xlfn.XLOOKUP(Matrix[[#This Row],[TEAM]]&amp;Matrix[[#Headers],[15]],FDR[FDR]&amp;FDR[[#Headers],[15]],FDR[15],"",0,1)</f>
        <v>1</v>
      </c>
      <c r="AB352" cm="1">
        <f t="array" ref="AB352">_xlfn.XLOOKUP(Matrix[[#This Row],[TEAM]]&amp;Matrix[[#Headers],[16]],FDR[FDR]&amp;FDR[[#Headers],[16]],FDR[16],"",0,1)</f>
        <v>1</v>
      </c>
      <c r="AC352" cm="1">
        <f t="array" ref="AC352">_xlfn.XLOOKUP(Matrix[[#This Row],[TEAM]]&amp;Matrix[[#Headers],[17]],FDR[FDR]&amp;FDR[[#Headers],[17]],FDR[17],"",0,1)</f>
        <v>3</v>
      </c>
      <c r="AD352" cm="1">
        <f t="array" ref="AD352">_xlfn.XLOOKUP(Matrix[[#This Row],[TEAM]]&amp;Matrix[[#Headers],[18]],FDR[FDR]&amp;FDR[[#Headers],[18]],FDR[18],"",0,1)</f>
        <v>2</v>
      </c>
      <c r="AE352" cm="1">
        <f t="array" ref="AE352">_xlfn.XLOOKUP(Matrix[[#This Row],[TEAM]]&amp;Matrix[[#Headers],[19]],FDR[FDR]&amp;FDR[[#Headers],[19]],FDR[19],"",0,1)</f>
        <v>1</v>
      </c>
      <c r="AF352" cm="1">
        <f t="array" ref="AF352">_xlfn.XLOOKUP(Matrix[[#This Row],[TEAM]]&amp;Matrix[[#Headers],[20]],FDR[FDR]&amp;FDR[[#Headers],[20]],FDR[20],"",0,1)</f>
        <v>1</v>
      </c>
      <c r="AG352" cm="1">
        <f t="array" ref="AG352">_xlfn.XLOOKUP(Matrix[[#This Row],[TEAM]]&amp;Matrix[[#Headers],[21]],FDR[FDR]&amp;FDR[[#Headers],[21]],FDR[21],"",0,1)</f>
        <v>1</v>
      </c>
      <c r="AH352" cm="1">
        <f t="array" ref="AH352">_xlfn.XLOOKUP(Matrix[[#This Row],[TEAM]]&amp;Matrix[[#Headers],[22]],FDR[FDR]&amp;FDR[[#Headers],[22]],FDR[22],"",0,1)</f>
        <v>3</v>
      </c>
      <c r="AI352" cm="1">
        <f t="array" ref="AI352">_xlfn.XLOOKUP(Matrix[[#This Row],[TEAM]]&amp;Matrix[[#Headers],[23]],FDR[FDR]&amp;FDR[[#Headers],[23]],FDR[23],"",0,1)</f>
        <v>4</v>
      </c>
      <c r="AJ352" cm="1">
        <f t="array" ref="AJ352">_xlfn.XLOOKUP(Matrix[[#This Row],[TEAM]]&amp;Matrix[[#Headers],[24]],FDR[FDR]&amp;FDR[[#Headers],[24]],FDR[24],"",0,1)</f>
        <v>1</v>
      </c>
      <c r="AK352" cm="1">
        <f t="array" ref="AK352">_xlfn.XLOOKUP(Matrix[[#This Row],[TEAM]]&amp;Matrix[[#Headers],[25]],FDR[FDR]&amp;FDR[[#Headers],[25]],FDR[25],"",0,1)</f>
        <v>3</v>
      </c>
      <c r="AL352" cm="1">
        <f t="array" ref="AL352">_xlfn.XLOOKUP(Matrix[[#This Row],[TEAM]]&amp;Matrix[[#Headers],[26]],FDR[FDR]&amp;FDR[[#Headers],[26]],FDR[26],"",0,1)</f>
        <v>2</v>
      </c>
      <c r="AM352" cm="1">
        <f t="array" ref="AM352">_xlfn.XLOOKUP(Matrix[[#This Row],[TEAM]]&amp;Matrix[[#Headers],[27]],FDR[FDR]&amp;FDR[[#Headers],[27]],FDR[27],"",0,1)</f>
        <v>2</v>
      </c>
      <c r="AN352" cm="1">
        <f t="array" ref="AN352">_xlfn.XLOOKUP(Matrix[[#This Row],[TEAM]]&amp;Matrix[[#Headers],[28]],FDR[FDR]&amp;FDR[[#Headers],[28]],FDR[28],"",0,1)</f>
        <v>1</v>
      </c>
      <c r="AO352" cm="1">
        <f t="array" ref="AO352">_xlfn.XLOOKUP(Matrix[[#This Row],[TEAM]]&amp;Matrix[[#Headers],[29]],FDR[FDR]&amp;FDR[[#Headers],[29]],FDR[29],"",0,1)</f>
        <v>3</v>
      </c>
      <c r="AP352" cm="1">
        <f t="array" ref="AP352">_xlfn.XLOOKUP(Matrix[[#This Row],[TEAM]]&amp;Matrix[[#Headers],[30]],FDR[FDR]&amp;FDR[[#Headers],[30]],FDR[30],"",0,1)</f>
        <v>2</v>
      </c>
      <c r="AQ352" cm="1">
        <f t="array" ref="AQ352">_xlfn.XLOOKUP(Matrix[[#This Row],[TEAM]]&amp;Matrix[[#Headers],[31]],FDR[FDR]&amp;FDR[[#Headers],[31]],FDR[31],"",0,1)</f>
        <v>2</v>
      </c>
      <c r="AR352" cm="1">
        <f t="array" ref="AR352">_xlfn.XLOOKUP(Matrix[[#This Row],[TEAM]]&amp;Matrix[[#Headers],[32]],FDR[FDR]&amp;FDR[[#Headers],[32]],FDR[32],"",0,1)</f>
        <v>1</v>
      </c>
      <c r="AS352" cm="1">
        <f t="array" ref="AS352">_xlfn.XLOOKUP(Matrix[[#This Row],[TEAM]]&amp;Matrix[[#Headers],[33]],FDR[FDR]&amp;FDR[[#Headers],[33]],FDR[33],"",0,1)</f>
        <v>4</v>
      </c>
      <c r="AT352" cm="1">
        <f t="array" ref="AT352">_xlfn.XLOOKUP(Matrix[[#This Row],[TEAM]]&amp;Matrix[[#Headers],[34]],FDR[FDR]&amp;FDR[[#Headers],[34]],FDR[34],"",0,1)</f>
        <v>1</v>
      </c>
      <c r="AU352" cm="1">
        <f t="array" ref="AU352">_xlfn.XLOOKUP(Matrix[[#This Row],[TEAM]]&amp;Matrix[[#Headers],[35]],FDR[FDR]&amp;FDR[[#Headers],[35]],FDR[35],"",0,1)</f>
        <v>3</v>
      </c>
      <c r="AV352" cm="1">
        <f t="array" ref="AV352">_xlfn.XLOOKUP(Matrix[[#This Row],[TEAM]]&amp;Matrix[[#Headers],[36]],FDR[FDR]&amp;FDR[[#Headers],[36]],FDR[36],"",0,1)</f>
        <v>1</v>
      </c>
      <c r="AW352" cm="1">
        <f t="array" ref="AW352">_xlfn.XLOOKUP(Matrix[[#This Row],[TEAM]]&amp;Matrix[[#Headers],[37]],FDR[FDR]&amp;FDR[[#Headers],[37]],FDR[37],"",0,1)</f>
        <v>1</v>
      </c>
      <c r="AX352" cm="1">
        <f t="array" ref="AX352">_xlfn.XLOOKUP(Matrix[[#This Row],[TEAM]]&amp;Matrix[[#Headers],[38]],FDR[FDR]&amp;FDR[[#Headers],[38]],FDR[38],"",0,1)</f>
        <v>2</v>
      </c>
    </row>
    <row r="353" spans="1:50" ht="22" thickTop="1" thickBot="1">
      <c r="A353" s="54" t="s">
        <v>657</v>
      </c>
      <c r="B353" s="70" t="s">
        <v>1757</v>
      </c>
      <c r="C353" s="40" t="s">
        <v>52</v>
      </c>
      <c r="D353" s="62">
        <v>0</v>
      </c>
      <c r="E353" s="60">
        <v>1E-3</v>
      </c>
      <c r="F353" s="61">
        <v>0</v>
      </c>
      <c r="G353" s="63">
        <v>4.5</v>
      </c>
      <c r="H353" s="261">
        <f>IF(ISBLANK(I353),0,1)</f>
        <v>0</v>
      </c>
      <c r="I353" s="57"/>
      <c r="J353" s="58"/>
      <c r="K353" s="65" t="s">
        <v>1139</v>
      </c>
      <c r="L353" s="65" t="s">
        <v>1138</v>
      </c>
      <c r="M353" cm="1">
        <f t="array" ref="M353">_xlfn.XLOOKUP(Matrix[[#This Row],[TEAM]]&amp;Matrix[[#Headers],[1]],FDR[FDR]&amp;FDR[[#Headers],[1]],FDR[1],"",0,1)</f>
        <v>2</v>
      </c>
      <c r="N353" cm="1">
        <f t="array" ref="N353">_xlfn.XLOOKUP(Matrix[[#This Row],[TEAM]]&amp;Matrix[[#Headers],[2]],FDR[FDR]&amp;FDR[[#Headers],[2]],FDR[2],"",0,1)</f>
        <v>3</v>
      </c>
      <c r="O353" cm="1">
        <f t="array" ref="O353">_xlfn.XLOOKUP(Matrix[[#This Row],[TEAM]]&amp;Matrix[[#Headers],[3]],FDR[FDR]&amp;FDR[[#Headers],[3]],FDR[3],"",0,1)</f>
        <v>2</v>
      </c>
      <c r="P353" cm="1">
        <f t="array" ref="P353">_xlfn.XLOOKUP(Matrix[[#This Row],[TEAM]]&amp;Matrix[[#Headers],[4]],FDR[FDR]&amp;FDR[[#Headers],[4]],FDR[4],"",0,1)</f>
        <v>5</v>
      </c>
      <c r="Q353" cm="1">
        <f t="array" ref="Q353">_xlfn.XLOOKUP(Matrix[[#This Row],[TEAM]]&amp;Matrix[[#Headers],[5]],FDR[FDR]&amp;FDR[[#Headers],[5]],FDR[5],"",0,1)</f>
        <v>2</v>
      </c>
      <c r="R353" cm="1">
        <f t="array" ref="R353">_xlfn.XLOOKUP(Matrix[[#This Row],[TEAM]]&amp;Matrix[[#Headers],[6]],FDR[FDR]&amp;FDR[[#Headers],[6]],FDR[6],"",0,1)</f>
        <v>1</v>
      </c>
      <c r="S353" cm="1">
        <f t="array" ref="S353">_xlfn.XLOOKUP(Matrix[[#This Row],[TEAM]]&amp;Matrix[[#Headers],[7]],FDR[FDR]&amp;FDR[[#Headers],[7]],FDR[7],"",0,1)</f>
        <v>5</v>
      </c>
      <c r="T353" cm="1">
        <f t="array" ref="T353">_xlfn.XLOOKUP(Matrix[[#This Row],[TEAM]]&amp;Matrix[[#Headers],[8]],FDR[FDR]&amp;FDR[[#Headers],[8]],FDR[8],"",0,1)</f>
        <v>4</v>
      </c>
      <c r="U353" cm="1">
        <f t="array" ref="U353">_xlfn.XLOOKUP(Matrix[[#This Row],[TEAM]]&amp;Matrix[[#Headers],[9]],FDR[FDR]&amp;FDR[[#Headers],[9]],FDR[9],"",0,1)</f>
        <v>4</v>
      </c>
      <c r="V353" cm="1">
        <f t="array" ref="V353">_xlfn.XLOOKUP(Matrix[[#This Row],[TEAM]]&amp;Matrix[[#Headers],[10]],FDR[FDR]&amp;FDR[[#Headers],[10]],FDR[10],"",0,1)</f>
        <v>4</v>
      </c>
      <c r="W353" cm="1">
        <f t="array" ref="W353">_xlfn.XLOOKUP(Matrix[[#This Row],[TEAM]]&amp;Matrix[[#Headers],[11]],FDR[FDR]&amp;FDR[[#Headers],[11]],FDR[11],"",0,1)</f>
        <v>1</v>
      </c>
      <c r="X353" cm="1">
        <f t="array" ref="X353">_xlfn.XLOOKUP(Matrix[[#This Row],[TEAM]]&amp;Matrix[[#Headers],[12]],FDR[FDR]&amp;FDR[[#Headers],[12]],FDR[12],"",0,1)</f>
        <v>5</v>
      </c>
      <c r="Y353" cm="1">
        <f t="array" ref="Y353">_xlfn.XLOOKUP(Matrix[[#This Row],[TEAM]]&amp;Matrix[[#Headers],[13]],FDR[FDR]&amp;FDR[[#Headers],[13]],FDR[13],"",0,1)</f>
        <v>3</v>
      </c>
      <c r="Z353" cm="1">
        <f t="array" ref="Z353">_xlfn.XLOOKUP(Matrix[[#This Row],[TEAM]]&amp;Matrix[[#Headers],[14]],FDR[FDR]&amp;FDR[[#Headers],[14]],FDR[14],"",0,1)</f>
        <v>2</v>
      </c>
      <c r="AA353" cm="1">
        <f t="array" ref="AA353">_xlfn.XLOOKUP(Matrix[[#This Row],[TEAM]]&amp;Matrix[[#Headers],[15]],FDR[FDR]&amp;FDR[[#Headers],[15]],FDR[15],"",0,1)</f>
        <v>3</v>
      </c>
      <c r="AB353" cm="1">
        <f t="array" ref="AB353">_xlfn.XLOOKUP(Matrix[[#This Row],[TEAM]]&amp;Matrix[[#Headers],[16]],FDR[FDR]&amp;FDR[[#Headers],[16]],FDR[16],"",0,1)</f>
        <v>4</v>
      </c>
      <c r="AC353" cm="1">
        <f t="array" ref="AC353">_xlfn.XLOOKUP(Matrix[[#This Row],[TEAM]]&amp;Matrix[[#Headers],[17]],FDR[FDR]&amp;FDR[[#Headers],[17]],FDR[17],"",0,1)</f>
        <v>4</v>
      </c>
      <c r="AD353" cm="1">
        <f t="array" ref="AD353">_xlfn.XLOOKUP(Matrix[[#This Row],[TEAM]]&amp;Matrix[[#Headers],[18]],FDR[FDR]&amp;FDR[[#Headers],[18]],FDR[18],"",0,1)</f>
        <v>4</v>
      </c>
      <c r="AE353" cm="1">
        <f t="array" ref="AE353">_xlfn.XLOOKUP(Matrix[[#This Row],[TEAM]]&amp;Matrix[[#Headers],[19]],FDR[FDR]&amp;FDR[[#Headers],[19]],FDR[19],"",0,1)</f>
        <v>2</v>
      </c>
      <c r="AF353" cm="1">
        <f t="array" ref="AF353">_xlfn.XLOOKUP(Matrix[[#This Row],[TEAM]]&amp;Matrix[[#Headers],[20]],FDR[FDR]&amp;FDR[[#Headers],[20]],FDR[20],"",0,1)</f>
        <v>5</v>
      </c>
      <c r="AG353" cm="1">
        <f t="array" ref="AG353">_xlfn.XLOOKUP(Matrix[[#This Row],[TEAM]]&amp;Matrix[[#Headers],[21]],FDR[FDR]&amp;FDR[[#Headers],[21]],FDR[21],"",0,1)</f>
        <v>3</v>
      </c>
      <c r="AH353" cm="1">
        <f t="array" ref="AH353">_xlfn.XLOOKUP(Matrix[[#This Row],[TEAM]]&amp;Matrix[[#Headers],[22]],FDR[FDR]&amp;FDR[[#Headers],[22]],FDR[22],"",0,1)</f>
        <v>4</v>
      </c>
      <c r="AI353" cm="1">
        <f t="array" ref="AI353">_xlfn.XLOOKUP(Matrix[[#This Row],[TEAM]]&amp;Matrix[[#Headers],[23]],FDR[FDR]&amp;FDR[[#Headers],[23]],FDR[23],"",0,1)</f>
        <v>3</v>
      </c>
      <c r="AJ353" cm="1">
        <f t="array" ref="AJ353">_xlfn.XLOOKUP(Matrix[[#This Row],[TEAM]]&amp;Matrix[[#Headers],[24]],FDR[FDR]&amp;FDR[[#Headers],[24]],FDR[24],"",0,1)</f>
        <v>2</v>
      </c>
      <c r="AK353" cm="1">
        <f t="array" ref="AK353">_xlfn.XLOOKUP(Matrix[[#This Row],[TEAM]]&amp;Matrix[[#Headers],[25]],FDR[FDR]&amp;FDR[[#Headers],[25]],FDR[25],"",0,1)</f>
        <v>2</v>
      </c>
      <c r="AL353" cm="1">
        <f t="array" ref="AL353">_xlfn.XLOOKUP(Matrix[[#This Row],[TEAM]]&amp;Matrix[[#Headers],[26]],FDR[FDR]&amp;FDR[[#Headers],[26]],FDR[26],"",0,1)</f>
        <v>1</v>
      </c>
      <c r="AM353" cm="1">
        <f t="array" ref="AM353">_xlfn.XLOOKUP(Matrix[[#This Row],[TEAM]]&amp;Matrix[[#Headers],[27]],FDR[FDR]&amp;FDR[[#Headers],[27]],FDR[27],"",0,1)</f>
        <v>4</v>
      </c>
      <c r="AN353" cm="1">
        <f t="array" ref="AN353">_xlfn.XLOOKUP(Matrix[[#This Row],[TEAM]]&amp;Matrix[[#Headers],[28]],FDR[FDR]&amp;FDR[[#Headers],[28]],FDR[28],"",0,1)</f>
        <v>4</v>
      </c>
      <c r="AO353" cm="1">
        <f t="array" ref="AO353">_xlfn.XLOOKUP(Matrix[[#This Row],[TEAM]]&amp;Matrix[[#Headers],[29]],FDR[FDR]&amp;FDR[[#Headers],[29]],FDR[29],"",0,1)</f>
        <v>5</v>
      </c>
      <c r="AP353" cm="1">
        <f t="array" ref="AP353">_xlfn.XLOOKUP(Matrix[[#This Row],[TEAM]]&amp;Matrix[[#Headers],[30]],FDR[FDR]&amp;FDR[[#Headers],[30]],FDR[30],"",0,1)</f>
        <v>3</v>
      </c>
      <c r="AQ353" cm="1">
        <f t="array" ref="AQ353">_xlfn.XLOOKUP(Matrix[[#This Row],[TEAM]]&amp;Matrix[[#Headers],[31]],FDR[FDR]&amp;FDR[[#Headers],[31]],FDR[31],"",0,1)</f>
        <v>5</v>
      </c>
      <c r="AR353" cm="1">
        <f t="array" ref="AR353">_xlfn.XLOOKUP(Matrix[[#This Row],[TEAM]]&amp;Matrix[[#Headers],[32]],FDR[FDR]&amp;FDR[[#Headers],[32]],FDR[32],"",0,1)</f>
        <v>3</v>
      </c>
      <c r="AS353" cm="1">
        <f t="array" ref="AS353">_xlfn.XLOOKUP(Matrix[[#This Row],[TEAM]]&amp;Matrix[[#Headers],[33]],FDR[FDR]&amp;FDR[[#Headers],[33]],FDR[33],"",0,1)</f>
        <v>1</v>
      </c>
      <c r="AT353" cm="1">
        <f t="array" ref="AT353">_xlfn.XLOOKUP(Matrix[[#This Row],[TEAM]]&amp;Matrix[[#Headers],[34]],FDR[FDR]&amp;FDR[[#Headers],[34]],FDR[34],"",0,1)</f>
        <v>2</v>
      </c>
      <c r="AU353" cm="1">
        <f t="array" ref="AU353">_xlfn.XLOOKUP(Matrix[[#This Row],[TEAM]]&amp;Matrix[[#Headers],[35]],FDR[FDR]&amp;FDR[[#Headers],[35]],FDR[35],"",0,1)</f>
        <v>5</v>
      </c>
      <c r="AV353" cm="1">
        <f t="array" ref="AV353">_xlfn.XLOOKUP(Matrix[[#This Row],[TEAM]]&amp;Matrix[[#Headers],[36]],FDR[FDR]&amp;FDR[[#Headers],[36]],FDR[36],"",0,1)</f>
        <v>4</v>
      </c>
      <c r="AW353" cm="1">
        <f t="array" ref="AW353">_xlfn.XLOOKUP(Matrix[[#This Row],[TEAM]]&amp;Matrix[[#Headers],[37]],FDR[FDR]&amp;FDR[[#Headers],[37]],FDR[37],"",0,1)</f>
        <v>5</v>
      </c>
      <c r="AX353" cm="1">
        <f t="array" ref="AX353">_xlfn.XLOOKUP(Matrix[[#This Row],[TEAM]]&amp;Matrix[[#Headers],[38]],FDR[FDR]&amp;FDR[[#Headers],[38]],FDR[38],"",0,1)</f>
        <v>3</v>
      </c>
    </row>
    <row r="354" spans="1:50" ht="22" thickTop="1" thickBot="1">
      <c r="A354" s="54" t="s">
        <v>657</v>
      </c>
      <c r="B354" s="70" t="s">
        <v>1758</v>
      </c>
      <c r="C354" s="40" t="s">
        <v>52</v>
      </c>
      <c r="D354" s="62">
        <v>0</v>
      </c>
      <c r="E354" s="60">
        <v>1E-3</v>
      </c>
      <c r="F354" s="61">
        <v>0</v>
      </c>
      <c r="G354" s="63">
        <v>4.5</v>
      </c>
      <c r="H354" s="261">
        <f>IF(ISBLANK(I354),0,1)</f>
        <v>0</v>
      </c>
      <c r="I354" s="57"/>
      <c r="J354" s="58"/>
      <c r="K354" s="65" t="s">
        <v>1137</v>
      </c>
      <c r="L354" s="65" t="s">
        <v>1136</v>
      </c>
      <c r="M354" cm="1">
        <f t="array" ref="M354">_xlfn.XLOOKUP(Matrix[[#This Row],[TEAM]]&amp;Matrix[[#Headers],[1]],FDR[FDR]&amp;FDR[[#Headers],[1]],FDR[1],"",0,1)</f>
        <v>2</v>
      </c>
      <c r="N354" cm="1">
        <f t="array" ref="N354">_xlfn.XLOOKUP(Matrix[[#This Row],[TEAM]]&amp;Matrix[[#Headers],[2]],FDR[FDR]&amp;FDR[[#Headers],[2]],FDR[2],"",0,1)</f>
        <v>3</v>
      </c>
      <c r="O354" cm="1">
        <f t="array" ref="O354">_xlfn.XLOOKUP(Matrix[[#This Row],[TEAM]]&amp;Matrix[[#Headers],[3]],FDR[FDR]&amp;FDR[[#Headers],[3]],FDR[3],"",0,1)</f>
        <v>2</v>
      </c>
      <c r="P354" cm="1">
        <f t="array" ref="P354">_xlfn.XLOOKUP(Matrix[[#This Row],[TEAM]]&amp;Matrix[[#Headers],[4]],FDR[FDR]&amp;FDR[[#Headers],[4]],FDR[4],"",0,1)</f>
        <v>5</v>
      </c>
      <c r="Q354" cm="1">
        <f t="array" ref="Q354">_xlfn.XLOOKUP(Matrix[[#This Row],[TEAM]]&amp;Matrix[[#Headers],[5]],FDR[FDR]&amp;FDR[[#Headers],[5]],FDR[5],"",0,1)</f>
        <v>2</v>
      </c>
      <c r="R354" cm="1">
        <f t="array" ref="R354">_xlfn.XLOOKUP(Matrix[[#This Row],[TEAM]]&amp;Matrix[[#Headers],[6]],FDR[FDR]&amp;FDR[[#Headers],[6]],FDR[6],"",0,1)</f>
        <v>1</v>
      </c>
      <c r="S354" cm="1">
        <f t="array" ref="S354">_xlfn.XLOOKUP(Matrix[[#This Row],[TEAM]]&amp;Matrix[[#Headers],[7]],FDR[FDR]&amp;FDR[[#Headers],[7]],FDR[7],"",0,1)</f>
        <v>5</v>
      </c>
      <c r="T354" cm="1">
        <f t="array" ref="T354">_xlfn.XLOOKUP(Matrix[[#This Row],[TEAM]]&amp;Matrix[[#Headers],[8]],FDR[FDR]&amp;FDR[[#Headers],[8]],FDR[8],"",0,1)</f>
        <v>4</v>
      </c>
      <c r="U354" cm="1">
        <f t="array" ref="U354">_xlfn.XLOOKUP(Matrix[[#This Row],[TEAM]]&amp;Matrix[[#Headers],[9]],FDR[FDR]&amp;FDR[[#Headers],[9]],FDR[9],"",0,1)</f>
        <v>4</v>
      </c>
      <c r="V354" cm="1">
        <f t="array" ref="V354">_xlfn.XLOOKUP(Matrix[[#This Row],[TEAM]]&amp;Matrix[[#Headers],[10]],FDR[FDR]&amp;FDR[[#Headers],[10]],FDR[10],"",0,1)</f>
        <v>4</v>
      </c>
      <c r="W354" cm="1">
        <f t="array" ref="W354">_xlfn.XLOOKUP(Matrix[[#This Row],[TEAM]]&amp;Matrix[[#Headers],[11]],FDR[FDR]&amp;FDR[[#Headers],[11]],FDR[11],"",0,1)</f>
        <v>1</v>
      </c>
      <c r="X354" cm="1">
        <f t="array" ref="X354">_xlfn.XLOOKUP(Matrix[[#This Row],[TEAM]]&amp;Matrix[[#Headers],[12]],FDR[FDR]&amp;FDR[[#Headers],[12]],FDR[12],"",0,1)</f>
        <v>5</v>
      </c>
      <c r="Y354" cm="1">
        <f t="array" ref="Y354">_xlfn.XLOOKUP(Matrix[[#This Row],[TEAM]]&amp;Matrix[[#Headers],[13]],FDR[FDR]&amp;FDR[[#Headers],[13]],FDR[13],"",0,1)</f>
        <v>3</v>
      </c>
      <c r="Z354" cm="1">
        <f t="array" ref="Z354">_xlfn.XLOOKUP(Matrix[[#This Row],[TEAM]]&amp;Matrix[[#Headers],[14]],FDR[FDR]&amp;FDR[[#Headers],[14]],FDR[14],"",0,1)</f>
        <v>2</v>
      </c>
      <c r="AA354" cm="1">
        <f t="array" ref="AA354">_xlfn.XLOOKUP(Matrix[[#This Row],[TEAM]]&amp;Matrix[[#Headers],[15]],FDR[FDR]&amp;FDR[[#Headers],[15]],FDR[15],"",0,1)</f>
        <v>3</v>
      </c>
      <c r="AB354" cm="1">
        <f t="array" ref="AB354">_xlfn.XLOOKUP(Matrix[[#This Row],[TEAM]]&amp;Matrix[[#Headers],[16]],FDR[FDR]&amp;FDR[[#Headers],[16]],FDR[16],"",0,1)</f>
        <v>4</v>
      </c>
      <c r="AC354" cm="1">
        <f t="array" ref="AC354">_xlfn.XLOOKUP(Matrix[[#This Row],[TEAM]]&amp;Matrix[[#Headers],[17]],FDR[FDR]&amp;FDR[[#Headers],[17]],FDR[17],"",0,1)</f>
        <v>4</v>
      </c>
      <c r="AD354" cm="1">
        <f t="array" ref="AD354">_xlfn.XLOOKUP(Matrix[[#This Row],[TEAM]]&amp;Matrix[[#Headers],[18]],FDR[FDR]&amp;FDR[[#Headers],[18]],FDR[18],"",0,1)</f>
        <v>4</v>
      </c>
      <c r="AE354" cm="1">
        <f t="array" ref="AE354">_xlfn.XLOOKUP(Matrix[[#This Row],[TEAM]]&amp;Matrix[[#Headers],[19]],FDR[FDR]&amp;FDR[[#Headers],[19]],FDR[19],"",0,1)</f>
        <v>2</v>
      </c>
      <c r="AF354" cm="1">
        <f t="array" ref="AF354">_xlfn.XLOOKUP(Matrix[[#This Row],[TEAM]]&amp;Matrix[[#Headers],[20]],FDR[FDR]&amp;FDR[[#Headers],[20]],FDR[20],"",0,1)</f>
        <v>5</v>
      </c>
      <c r="AG354" cm="1">
        <f t="array" ref="AG354">_xlfn.XLOOKUP(Matrix[[#This Row],[TEAM]]&amp;Matrix[[#Headers],[21]],FDR[FDR]&amp;FDR[[#Headers],[21]],FDR[21],"",0,1)</f>
        <v>3</v>
      </c>
      <c r="AH354" cm="1">
        <f t="array" ref="AH354">_xlfn.XLOOKUP(Matrix[[#This Row],[TEAM]]&amp;Matrix[[#Headers],[22]],FDR[FDR]&amp;FDR[[#Headers],[22]],FDR[22],"",0,1)</f>
        <v>4</v>
      </c>
      <c r="AI354" cm="1">
        <f t="array" ref="AI354">_xlfn.XLOOKUP(Matrix[[#This Row],[TEAM]]&amp;Matrix[[#Headers],[23]],FDR[FDR]&amp;FDR[[#Headers],[23]],FDR[23],"",0,1)</f>
        <v>3</v>
      </c>
      <c r="AJ354" cm="1">
        <f t="array" ref="AJ354">_xlfn.XLOOKUP(Matrix[[#This Row],[TEAM]]&amp;Matrix[[#Headers],[24]],FDR[FDR]&amp;FDR[[#Headers],[24]],FDR[24],"",0,1)</f>
        <v>2</v>
      </c>
      <c r="AK354" cm="1">
        <f t="array" ref="AK354">_xlfn.XLOOKUP(Matrix[[#This Row],[TEAM]]&amp;Matrix[[#Headers],[25]],FDR[FDR]&amp;FDR[[#Headers],[25]],FDR[25],"",0,1)</f>
        <v>2</v>
      </c>
      <c r="AL354" cm="1">
        <f t="array" ref="AL354">_xlfn.XLOOKUP(Matrix[[#This Row],[TEAM]]&amp;Matrix[[#Headers],[26]],FDR[FDR]&amp;FDR[[#Headers],[26]],FDR[26],"",0,1)</f>
        <v>1</v>
      </c>
      <c r="AM354" cm="1">
        <f t="array" ref="AM354">_xlfn.XLOOKUP(Matrix[[#This Row],[TEAM]]&amp;Matrix[[#Headers],[27]],FDR[FDR]&amp;FDR[[#Headers],[27]],FDR[27],"",0,1)</f>
        <v>4</v>
      </c>
      <c r="AN354" cm="1">
        <f t="array" ref="AN354">_xlfn.XLOOKUP(Matrix[[#This Row],[TEAM]]&amp;Matrix[[#Headers],[28]],FDR[FDR]&amp;FDR[[#Headers],[28]],FDR[28],"",0,1)</f>
        <v>4</v>
      </c>
      <c r="AO354" cm="1">
        <f t="array" ref="AO354">_xlfn.XLOOKUP(Matrix[[#This Row],[TEAM]]&amp;Matrix[[#Headers],[29]],FDR[FDR]&amp;FDR[[#Headers],[29]],FDR[29],"",0,1)</f>
        <v>5</v>
      </c>
      <c r="AP354" cm="1">
        <f t="array" ref="AP354">_xlfn.XLOOKUP(Matrix[[#This Row],[TEAM]]&amp;Matrix[[#Headers],[30]],FDR[FDR]&amp;FDR[[#Headers],[30]],FDR[30],"",0,1)</f>
        <v>3</v>
      </c>
      <c r="AQ354" cm="1">
        <f t="array" ref="AQ354">_xlfn.XLOOKUP(Matrix[[#This Row],[TEAM]]&amp;Matrix[[#Headers],[31]],FDR[FDR]&amp;FDR[[#Headers],[31]],FDR[31],"",0,1)</f>
        <v>5</v>
      </c>
      <c r="AR354" cm="1">
        <f t="array" ref="AR354">_xlfn.XLOOKUP(Matrix[[#This Row],[TEAM]]&amp;Matrix[[#Headers],[32]],FDR[FDR]&amp;FDR[[#Headers],[32]],FDR[32],"",0,1)</f>
        <v>3</v>
      </c>
      <c r="AS354" cm="1">
        <f t="array" ref="AS354">_xlfn.XLOOKUP(Matrix[[#This Row],[TEAM]]&amp;Matrix[[#Headers],[33]],FDR[FDR]&amp;FDR[[#Headers],[33]],FDR[33],"",0,1)</f>
        <v>1</v>
      </c>
      <c r="AT354" cm="1">
        <f t="array" ref="AT354">_xlfn.XLOOKUP(Matrix[[#This Row],[TEAM]]&amp;Matrix[[#Headers],[34]],FDR[FDR]&amp;FDR[[#Headers],[34]],FDR[34],"",0,1)</f>
        <v>2</v>
      </c>
      <c r="AU354" cm="1">
        <f t="array" ref="AU354">_xlfn.XLOOKUP(Matrix[[#This Row],[TEAM]]&amp;Matrix[[#Headers],[35]],FDR[FDR]&amp;FDR[[#Headers],[35]],FDR[35],"",0,1)</f>
        <v>5</v>
      </c>
      <c r="AV354" cm="1">
        <f t="array" ref="AV354">_xlfn.XLOOKUP(Matrix[[#This Row],[TEAM]]&amp;Matrix[[#Headers],[36]],FDR[FDR]&amp;FDR[[#Headers],[36]],FDR[36],"",0,1)</f>
        <v>4</v>
      </c>
      <c r="AW354" cm="1">
        <f t="array" ref="AW354">_xlfn.XLOOKUP(Matrix[[#This Row],[TEAM]]&amp;Matrix[[#Headers],[37]],FDR[FDR]&amp;FDR[[#Headers],[37]],FDR[37],"",0,1)</f>
        <v>5</v>
      </c>
      <c r="AX354" cm="1">
        <f t="array" ref="AX354">_xlfn.XLOOKUP(Matrix[[#This Row],[TEAM]]&amp;Matrix[[#Headers],[38]],FDR[FDR]&amp;FDR[[#Headers],[38]],FDR[38],"",0,1)</f>
        <v>3</v>
      </c>
    </row>
    <row r="355" spans="1:50" ht="22" thickTop="1" thickBot="1">
      <c r="A355" s="54" t="s">
        <v>657</v>
      </c>
      <c r="B355" s="70" t="s">
        <v>1756</v>
      </c>
      <c r="C355" s="40" t="s">
        <v>52</v>
      </c>
      <c r="D355" s="62">
        <v>0</v>
      </c>
      <c r="E355" s="60">
        <v>1E-3</v>
      </c>
      <c r="F355" s="61">
        <v>0</v>
      </c>
      <c r="G355" s="63">
        <v>4.5</v>
      </c>
      <c r="H355" s="261">
        <f>IF(ISBLANK(I355),0,1)</f>
        <v>0</v>
      </c>
      <c r="I355" s="57"/>
      <c r="J355" s="58"/>
      <c r="K355" s="65" t="s">
        <v>606</v>
      </c>
      <c r="L355" s="65" t="s">
        <v>1135</v>
      </c>
      <c r="M355" cm="1">
        <f t="array" ref="M355">_xlfn.XLOOKUP(Matrix[[#This Row],[TEAM]]&amp;Matrix[[#Headers],[1]],FDR[FDR]&amp;FDR[[#Headers],[1]],FDR[1],"",0,1)</f>
        <v>2</v>
      </c>
      <c r="N355" cm="1">
        <f t="array" ref="N355">_xlfn.XLOOKUP(Matrix[[#This Row],[TEAM]]&amp;Matrix[[#Headers],[2]],FDR[FDR]&amp;FDR[[#Headers],[2]],FDR[2],"",0,1)</f>
        <v>3</v>
      </c>
      <c r="O355" cm="1">
        <f t="array" ref="O355">_xlfn.XLOOKUP(Matrix[[#This Row],[TEAM]]&amp;Matrix[[#Headers],[3]],FDR[FDR]&amp;FDR[[#Headers],[3]],FDR[3],"",0,1)</f>
        <v>2</v>
      </c>
      <c r="P355" cm="1">
        <f t="array" ref="P355">_xlfn.XLOOKUP(Matrix[[#This Row],[TEAM]]&amp;Matrix[[#Headers],[4]],FDR[FDR]&amp;FDR[[#Headers],[4]],FDR[4],"",0,1)</f>
        <v>5</v>
      </c>
      <c r="Q355" cm="1">
        <f t="array" ref="Q355">_xlfn.XLOOKUP(Matrix[[#This Row],[TEAM]]&amp;Matrix[[#Headers],[5]],FDR[FDR]&amp;FDR[[#Headers],[5]],FDR[5],"",0,1)</f>
        <v>2</v>
      </c>
      <c r="R355" cm="1">
        <f t="array" ref="R355">_xlfn.XLOOKUP(Matrix[[#This Row],[TEAM]]&amp;Matrix[[#Headers],[6]],FDR[FDR]&amp;FDR[[#Headers],[6]],FDR[6],"",0,1)</f>
        <v>1</v>
      </c>
      <c r="S355" cm="1">
        <f t="array" ref="S355">_xlfn.XLOOKUP(Matrix[[#This Row],[TEAM]]&amp;Matrix[[#Headers],[7]],FDR[FDR]&amp;FDR[[#Headers],[7]],FDR[7],"",0,1)</f>
        <v>5</v>
      </c>
      <c r="T355" cm="1">
        <f t="array" ref="T355">_xlfn.XLOOKUP(Matrix[[#This Row],[TEAM]]&amp;Matrix[[#Headers],[8]],FDR[FDR]&amp;FDR[[#Headers],[8]],FDR[8],"",0,1)</f>
        <v>4</v>
      </c>
      <c r="U355" cm="1">
        <f t="array" ref="U355">_xlfn.XLOOKUP(Matrix[[#This Row],[TEAM]]&amp;Matrix[[#Headers],[9]],FDR[FDR]&amp;FDR[[#Headers],[9]],FDR[9],"",0,1)</f>
        <v>4</v>
      </c>
      <c r="V355" cm="1">
        <f t="array" ref="V355">_xlfn.XLOOKUP(Matrix[[#This Row],[TEAM]]&amp;Matrix[[#Headers],[10]],FDR[FDR]&amp;FDR[[#Headers],[10]],FDR[10],"",0,1)</f>
        <v>4</v>
      </c>
      <c r="W355" cm="1">
        <f t="array" ref="W355">_xlfn.XLOOKUP(Matrix[[#This Row],[TEAM]]&amp;Matrix[[#Headers],[11]],FDR[FDR]&amp;FDR[[#Headers],[11]],FDR[11],"",0,1)</f>
        <v>1</v>
      </c>
      <c r="X355" cm="1">
        <f t="array" ref="X355">_xlfn.XLOOKUP(Matrix[[#This Row],[TEAM]]&amp;Matrix[[#Headers],[12]],FDR[FDR]&amp;FDR[[#Headers],[12]],FDR[12],"",0,1)</f>
        <v>5</v>
      </c>
      <c r="Y355" cm="1">
        <f t="array" ref="Y355">_xlfn.XLOOKUP(Matrix[[#This Row],[TEAM]]&amp;Matrix[[#Headers],[13]],FDR[FDR]&amp;FDR[[#Headers],[13]],FDR[13],"",0,1)</f>
        <v>3</v>
      </c>
      <c r="Z355" cm="1">
        <f t="array" ref="Z355">_xlfn.XLOOKUP(Matrix[[#This Row],[TEAM]]&amp;Matrix[[#Headers],[14]],FDR[FDR]&amp;FDR[[#Headers],[14]],FDR[14],"",0,1)</f>
        <v>2</v>
      </c>
      <c r="AA355" cm="1">
        <f t="array" ref="AA355">_xlfn.XLOOKUP(Matrix[[#This Row],[TEAM]]&amp;Matrix[[#Headers],[15]],FDR[FDR]&amp;FDR[[#Headers],[15]],FDR[15],"",0,1)</f>
        <v>3</v>
      </c>
      <c r="AB355" cm="1">
        <f t="array" ref="AB355">_xlfn.XLOOKUP(Matrix[[#This Row],[TEAM]]&amp;Matrix[[#Headers],[16]],FDR[FDR]&amp;FDR[[#Headers],[16]],FDR[16],"",0,1)</f>
        <v>4</v>
      </c>
      <c r="AC355" cm="1">
        <f t="array" ref="AC355">_xlfn.XLOOKUP(Matrix[[#This Row],[TEAM]]&amp;Matrix[[#Headers],[17]],FDR[FDR]&amp;FDR[[#Headers],[17]],FDR[17],"",0,1)</f>
        <v>4</v>
      </c>
      <c r="AD355" cm="1">
        <f t="array" ref="AD355">_xlfn.XLOOKUP(Matrix[[#This Row],[TEAM]]&amp;Matrix[[#Headers],[18]],FDR[FDR]&amp;FDR[[#Headers],[18]],FDR[18],"",0,1)</f>
        <v>4</v>
      </c>
      <c r="AE355" cm="1">
        <f t="array" ref="AE355">_xlfn.XLOOKUP(Matrix[[#This Row],[TEAM]]&amp;Matrix[[#Headers],[19]],FDR[FDR]&amp;FDR[[#Headers],[19]],FDR[19],"",0,1)</f>
        <v>2</v>
      </c>
      <c r="AF355" cm="1">
        <f t="array" ref="AF355">_xlfn.XLOOKUP(Matrix[[#This Row],[TEAM]]&amp;Matrix[[#Headers],[20]],FDR[FDR]&amp;FDR[[#Headers],[20]],FDR[20],"",0,1)</f>
        <v>5</v>
      </c>
      <c r="AG355" cm="1">
        <f t="array" ref="AG355">_xlfn.XLOOKUP(Matrix[[#This Row],[TEAM]]&amp;Matrix[[#Headers],[21]],FDR[FDR]&amp;FDR[[#Headers],[21]],FDR[21],"",0,1)</f>
        <v>3</v>
      </c>
      <c r="AH355" cm="1">
        <f t="array" ref="AH355">_xlfn.XLOOKUP(Matrix[[#This Row],[TEAM]]&amp;Matrix[[#Headers],[22]],FDR[FDR]&amp;FDR[[#Headers],[22]],FDR[22],"",0,1)</f>
        <v>4</v>
      </c>
      <c r="AI355" cm="1">
        <f t="array" ref="AI355">_xlfn.XLOOKUP(Matrix[[#This Row],[TEAM]]&amp;Matrix[[#Headers],[23]],FDR[FDR]&amp;FDR[[#Headers],[23]],FDR[23],"",0,1)</f>
        <v>3</v>
      </c>
      <c r="AJ355" cm="1">
        <f t="array" ref="AJ355">_xlfn.XLOOKUP(Matrix[[#This Row],[TEAM]]&amp;Matrix[[#Headers],[24]],FDR[FDR]&amp;FDR[[#Headers],[24]],FDR[24],"",0,1)</f>
        <v>2</v>
      </c>
      <c r="AK355" cm="1">
        <f t="array" ref="AK355">_xlfn.XLOOKUP(Matrix[[#This Row],[TEAM]]&amp;Matrix[[#Headers],[25]],FDR[FDR]&amp;FDR[[#Headers],[25]],FDR[25],"",0,1)</f>
        <v>2</v>
      </c>
      <c r="AL355" cm="1">
        <f t="array" ref="AL355">_xlfn.XLOOKUP(Matrix[[#This Row],[TEAM]]&amp;Matrix[[#Headers],[26]],FDR[FDR]&amp;FDR[[#Headers],[26]],FDR[26],"",0,1)</f>
        <v>1</v>
      </c>
      <c r="AM355" cm="1">
        <f t="array" ref="AM355">_xlfn.XLOOKUP(Matrix[[#This Row],[TEAM]]&amp;Matrix[[#Headers],[27]],FDR[FDR]&amp;FDR[[#Headers],[27]],FDR[27],"",0,1)</f>
        <v>4</v>
      </c>
      <c r="AN355" cm="1">
        <f t="array" ref="AN355">_xlfn.XLOOKUP(Matrix[[#This Row],[TEAM]]&amp;Matrix[[#Headers],[28]],FDR[FDR]&amp;FDR[[#Headers],[28]],FDR[28],"",0,1)</f>
        <v>4</v>
      </c>
      <c r="AO355" cm="1">
        <f t="array" ref="AO355">_xlfn.XLOOKUP(Matrix[[#This Row],[TEAM]]&amp;Matrix[[#Headers],[29]],FDR[FDR]&amp;FDR[[#Headers],[29]],FDR[29],"",0,1)</f>
        <v>5</v>
      </c>
      <c r="AP355" cm="1">
        <f t="array" ref="AP355">_xlfn.XLOOKUP(Matrix[[#This Row],[TEAM]]&amp;Matrix[[#Headers],[30]],FDR[FDR]&amp;FDR[[#Headers],[30]],FDR[30],"",0,1)</f>
        <v>3</v>
      </c>
      <c r="AQ355" cm="1">
        <f t="array" ref="AQ355">_xlfn.XLOOKUP(Matrix[[#This Row],[TEAM]]&amp;Matrix[[#Headers],[31]],FDR[FDR]&amp;FDR[[#Headers],[31]],FDR[31],"",0,1)</f>
        <v>5</v>
      </c>
      <c r="AR355" cm="1">
        <f t="array" ref="AR355">_xlfn.XLOOKUP(Matrix[[#This Row],[TEAM]]&amp;Matrix[[#Headers],[32]],FDR[FDR]&amp;FDR[[#Headers],[32]],FDR[32],"",0,1)</f>
        <v>3</v>
      </c>
      <c r="AS355" cm="1">
        <f t="array" ref="AS355">_xlfn.XLOOKUP(Matrix[[#This Row],[TEAM]]&amp;Matrix[[#Headers],[33]],FDR[FDR]&amp;FDR[[#Headers],[33]],FDR[33],"",0,1)</f>
        <v>1</v>
      </c>
      <c r="AT355" cm="1">
        <f t="array" ref="AT355">_xlfn.XLOOKUP(Matrix[[#This Row],[TEAM]]&amp;Matrix[[#Headers],[34]],FDR[FDR]&amp;FDR[[#Headers],[34]],FDR[34],"",0,1)</f>
        <v>2</v>
      </c>
      <c r="AU355" cm="1">
        <f t="array" ref="AU355">_xlfn.XLOOKUP(Matrix[[#This Row],[TEAM]]&amp;Matrix[[#Headers],[35]],FDR[FDR]&amp;FDR[[#Headers],[35]],FDR[35],"",0,1)</f>
        <v>5</v>
      </c>
      <c r="AV355" cm="1">
        <f t="array" ref="AV355">_xlfn.XLOOKUP(Matrix[[#This Row],[TEAM]]&amp;Matrix[[#Headers],[36]],FDR[FDR]&amp;FDR[[#Headers],[36]],FDR[36],"",0,1)</f>
        <v>4</v>
      </c>
      <c r="AW355" cm="1">
        <f t="array" ref="AW355">_xlfn.XLOOKUP(Matrix[[#This Row],[TEAM]]&amp;Matrix[[#Headers],[37]],FDR[FDR]&amp;FDR[[#Headers],[37]],FDR[37],"",0,1)</f>
        <v>5</v>
      </c>
      <c r="AX355" cm="1">
        <f t="array" ref="AX355">_xlfn.XLOOKUP(Matrix[[#This Row],[TEAM]]&amp;Matrix[[#Headers],[38]],FDR[FDR]&amp;FDR[[#Headers],[38]],FDR[38],"",0,1)</f>
        <v>3</v>
      </c>
    </row>
    <row r="356" spans="1:50" ht="22" thickTop="1" thickBot="1">
      <c r="A356" s="54" t="s">
        <v>657</v>
      </c>
      <c r="B356" s="70" t="s">
        <v>1714</v>
      </c>
      <c r="C356" s="40" t="s">
        <v>634</v>
      </c>
      <c r="D356" s="62">
        <v>0</v>
      </c>
      <c r="E356" s="60">
        <v>2E-3</v>
      </c>
      <c r="F356" s="61">
        <v>0</v>
      </c>
      <c r="G356" s="63">
        <v>4.5</v>
      </c>
      <c r="H356" s="261">
        <f>IF(ISBLANK(I356),0,1)</f>
        <v>0</v>
      </c>
      <c r="I356" s="57"/>
      <c r="J356" s="58"/>
      <c r="K356" s="65" t="s">
        <v>1183</v>
      </c>
      <c r="L356" s="65" t="s">
        <v>1162</v>
      </c>
      <c r="M356" cm="1">
        <f t="array" ref="M356">_xlfn.XLOOKUP(Matrix[[#This Row],[TEAM]]&amp;Matrix[[#Headers],[1]],FDR[FDR]&amp;FDR[[#Headers],[1]],FDR[1],"",0,1)</f>
        <v>4</v>
      </c>
      <c r="N356" cm="1">
        <f t="array" ref="N356">_xlfn.XLOOKUP(Matrix[[#This Row],[TEAM]]&amp;Matrix[[#Headers],[2]],FDR[FDR]&amp;FDR[[#Headers],[2]],FDR[2],"",0,1)</f>
        <v>4</v>
      </c>
      <c r="O356" cm="1">
        <f t="array" ref="O356">_xlfn.XLOOKUP(Matrix[[#This Row],[TEAM]]&amp;Matrix[[#Headers],[3]],FDR[FDR]&amp;FDR[[#Headers],[3]],FDR[3],"",0,1)</f>
        <v>4</v>
      </c>
      <c r="P356" cm="1">
        <f t="array" ref="P356">_xlfn.XLOOKUP(Matrix[[#This Row],[TEAM]]&amp;Matrix[[#Headers],[4]],FDR[FDR]&amp;FDR[[#Headers],[4]],FDR[4],"",0,1)</f>
        <v>5</v>
      </c>
      <c r="Q356" cm="1">
        <f t="array" ref="Q356">_xlfn.XLOOKUP(Matrix[[#This Row],[TEAM]]&amp;Matrix[[#Headers],[5]],FDR[FDR]&amp;FDR[[#Headers],[5]],FDR[5],"",0,1)</f>
        <v>5</v>
      </c>
      <c r="R356" cm="1">
        <f t="array" ref="R356">_xlfn.XLOOKUP(Matrix[[#This Row],[TEAM]]&amp;Matrix[[#Headers],[6]],FDR[FDR]&amp;FDR[[#Headers],[6]],FDR[6],"",0,1)</f>
        <v>5</v>
      </c>
      <c r="S356" cm="1">
        <f t="array" ref="S356">_xlfn.XLOOKUP(Matrix[[#This Row],[TEAM]]&amp;Matrix[[#Headers],[7]],FDR[FDR]&amp;FDR[[#Headers],[7]],FDR[7],"",0,1)</f>
        <v>5</v>
      </c>
      <c r="T356" cm="1">
        <f t="array" ref="T356">_xlfn.XLOOKUP(Matrix[[#This Row],[TEAM]]&amp;Matrix[[#Headers],[8]],FDR[FDR]&amp;FDR[[#Headers],[8]],FDR[8],"",0,1)</f>
        <v>3</v>
      </c>
      <c r="U356" cm="1">
        <f t="array" ref="U356">_xlfn.XLOOKUP(Matrix[[#This Row],[TEAM]]&amp;Matrix[[#Headers],[9]],FDR[FDR]&amp;FDR[[#Headers],[9]],FDR[9],"",0,1)</f>
        <v>5</v>
      </c>
      <c r="V356" cm="1">
        <f t="array" ref="V356">_xlfn.XLOOKUP(Matrix[[#This Row],[TEAM]]&amp;Matrix[[#Headers],[10]],FDR[FDR]&amp;FDR[[#Headers],[10]],FDR[10],"",0,1)</f>
        <v>4</v>
      </c>
      <c r="W356" cm="1">
        <f t="array" ref="W356">_xlfn.XLOOKUP(Matrix[[#This Row],[TEAM]]&amp;Matrix[[#Headers],[11]],FDR[FDR]&amp;FDR[[#Headers],[11]],FDR[11],"",0,1)</f>
        <v>5</v>
      </c>
      <c r="X356" cm="1">
        <f t="array" ref="X356">_xlfn.XLOOKUP(Matrix[[#This Row],[TEAM]]&amp;Matrix[[#Headers],[12]],FDR[FDR]&amp;FDR[[#Headers],[12]],FDR[12],"",0,1)</f>
        <v>5</v>
      </c>
      <c r="Y356" cm="1">
        <f t="array" ref="Y356">_xlfn.XLOOKUP(Matrix[[#This Row],[TEAM]]&amp;Matrix[[#Headers],[13]],FDR[FDR]&amp;FDR[[#Headers],[13]],FDR[13],"",0,1)</f>
        <v>5</v>
      </c>
      <c r="Z356" cm="1">
        <f t="array" ref="Z356">_xlfn.XLOOKUP(Matrix[[#This Row],[TEAM]]&amp;Matrix[[#Headers],[14]],FDR[FDR]&amp;FDR[[#Headers],[14]],FDR[14],"",0,1)</f>
        <v>5</v>
      </c>
      <c r="AA356" cm="1">
        <f t="array" ref="AA356">_xlfn.XLOOKUP(Matrix[[#This Row],[TEAM]]&amp;Matrix[[#Headers],[15]],FDR[FDR]&amp;FDR[[#Headers],[15]],FDR[15],"",0,1)</f>
        <v>5</v>
      </c>
      <c r="AB356" cm="1">
        <f t="array" ref="AB356">_xlfn.XLOOKUP(Matrix[[#This Row],[TEAM]]&amp;Matrix[[#Headers],[16]],FDR[FDR]&amp;FDR[[#Headers],[16]],FDR[16],"",0,1)</f>
        <v>5</v>
      </c>
      <c r="AC356" cm="1">
        <f t="array" ref="AC356">_xlfn.XLOOKUP(Matrix[[#This Row],[TEAM]]&amp;Matrix[[#Headers],[17]],FDR[FDR]&amp;FDR[[#Headers],[17]],FDR[17],"",0,1)</f>
        <v>5</v>
      </c>
      <c r="AD356" cm="1">
        <f t="array" ref="AD356">_xlfn.XLOOKUP(Matrix[[#This Row],[TEAM]]&amp;Matrix[[#Headers],[18]],FDR[FDR]&amp;FDR[[#Headers],[18]],FDR[18],"",0,1)</f>
        <v>3</v>
      </c>
      <c r="AE356" cm="1">
        <f t="array" ref="AE356">_xlfn.XLOOKUP(Matrix[[#This Row],[TEAM]]&amp;Matrix[[#Headers],[19]],FDR[FDR]&amp;FDR[[#Headers],[19]],FDR[19],"",0,1)</f>
        <v>5</v>
      </c>
      <c r="AF356" cm="1">
        <f t="array" ref="AF356">_xlfn.XLOOKUP(Matrix[[#This Row],[TEAM]]&amp;Matrix[[#Headers],[20]],FDR[FDR]&amp;FDR[[#Headers],[20]],FDR[20],"",0,1)</f>
        <v>5</v>
      </c>
      <c r="AG356" cm="1">
        <f t="array" ref="AG356">_xlfn.XLOOKUP(Matrix[[#This Row],[TEAM]]&amp;Matrix[[#Headers],[21]],FDR[FDR]&amp;FDR[[#Headers],[21]],FDR[21],"",0,1)</f>
        <v>5</v>
      </c>
      <c r="AH356" cm="1">
        <f t="array" ref="AH356">_xlfn.XLOOKUP(Matrix[[#This Row],[TEAM]]&amp;Matrix[[#Headers],[22]],FDR[FDR]&amp;FDR[[#Headers],[22]],FDR[22],"",0,1)</f>
        <v>4</v>
      </c>
      <c r="AI356" cm="1">
        <f t="array" ref="AI356">_xlfn.XLOOKUP(Matrix[[#This Row],[TEAM]]&amp;Matrix[[#Headers],[23]],FDR[FDR]&amp;FDR[[#Headers],[23]],FDR[23],"",0,1)</f>
        <v>5</v>
      </c>
      <c r="AJ356" cm="1">
        <f t="array" ref="AJ356">_xlfn.XLOOKUP(Matrix[[#This Row],[TEAM]]&amp;Matrix[[#Headers],[24]],FDR[FDR]&amp;FDR[[#Headers],[24]],FDR[24],"",0,1)</f>
        <v>3</v>
      </c>
      <c r="AK356" cm="1">
        <f t="array" ref="AK356">_xlfn.XLOOKUP(Matrix[[#This Row],[TEAM]]&amp;Matrix[[#Headers],[25]],FDR[FDR]&amp;FDR[[#Headers],[25]],FDR[25],"",0,1)</f>
        <v>5</v>
      </c>
      <c r="AL356" cm="1">
        <f t="array" ref="AL356">_xlfn.XLOOKUP(Matrix[[#This Row],[TEAM]]&amp;Matrix[[#Headers],[26]],FDR[FDR]&amp;FDR[[#Headers],[26]],FDR[26],"",0,1)</f>
        <v>5</v>
      </c>
      <c r="AM356" cm="1">
        <f t="array" ref="AM356">_xlfn.XLOOKUP(Matrix[[#This Row],[TEAM]]&amp;Matrix[[#Headers],[27]],FDR[FDR]&amp;FDR[[#Headers],[27]],FDR[27],"",0,1)</f>
        <v>5</v>
      </c>
      <c r="AN356" cm="1">
        <f t="array" ref="AN356">_xlfn.XLOOKUP(Matrix[[#This Row],[TEAM]]&amp;Matrix[[#Headers],[28]],FDR[FDR]&amp;FDR[[#Headers],[28]],FDR[28],"",0,1)</f>
        <v>5</v>
      </c>
      <c r="AO356" cm="1">
        <f t="array" ref="AO356">_xlfn.XLOOKUP(Matrix[[#This Row],[TEAM]]&amp;Matrix[[#Headers],[29]],FDR[FDR]&amp;FDR[[#Headers],[29]],FDR[29],"",0,1)</f>
        <v>4</v>
      </c>
      <c r="AP356" cm="1">
        <f t="array" ref="AP356">_xlfn.XLOOKUP(Matrix[[#This Row],[TEAM]]&amp;Matrix[[#Headers],[30]],FDR[FDR]&amp;FDR[[#Headers],[30]],FDR[30],"",0,1)</f>
        <v>5</v>
      </c>
      <c r="AQ356" cm="1">
        <f t="array" ref="AQ356">_xlfn.XLOOKUP(Matrix[[#This Row],[TEAM]]&amp;Matrix[[#Headers],[31]],FDR[FDR]&amp;FDR[[#Headers],[31]],FDR[31],"",0,1)</f>
        <v>5</v>
      </c>
      <c r="AR356" cm="1">
        <f t="array" ref="AR356">_xlfn.XLOOKUP(Matrix[[#This Row],[TEAM]]&amp;Matrix[[#Headers],[32]],FDR[FDR]&amp;FDR[[#Headers],[32]],FDR[32],"",0,1)</f>
        <v>5</v>
      </c>
      <c r="AS356" cm="1">
        <f t="array" ref="AS356">_xlfn.XLOOKUP(Matrix[[#This Row],[TEAM]]&amp;Matrix[[#Headers],[33]],FDR[FDR]&amp;FDR[[#Headers],[33]],FDR[33],"",0,1)</f>
        <v>5</v>
      </c>
      <c r="AT356" cm="1">
        <f t="array" ref="AT356">_xlfn.XLOOKUP(Matrix[[#This Row],[TEAM]]&amp;Matrix[[#Headers],[34]],FDR[FDR]&amp;FDR[[#Headers],[34]],FDR[34],"",0,1)</f>
        <v>5</v>
      </c>
      <c r="AU356" cm="1">
        <f t="array" ref="AU356">_xlfn.XLOOKUP(Matrix[[#This Row],[TEAM]]&amp;Matrix[[#Headers],[35]],FDR[FDR]&amp;FDR[[#Headers],[35]],FDR[35],"",0,1)</f>
        <v>4</v>
      </c>
      <c r="AV356" cm="1">
        <f t="array" ref="AV356">_xlfn.XLOOKUP(Matrix[[#This Row],[TEAM]]&amp;Matrix[[#Headers],[36]],FDR[FDR]&amp;FDR[[#Headers],[36]],FDR[36],"",0,1)</f>
        <v>5</v>
      </c>
      <c r="AW356" cm="1">
        <f t="array" ref="AW356">_xlfn.XLOOKUP(Matrix[[#This Row],[TEAM]]&amp;Matrix[[#Headers],[37]],FDR[FDR]&amp;FDR[[#Headers],[37]],FDR[37],"",0,1)</f>
        <v>5</v>
      </c>
      <c r="AX356" cm="1">
        <f t="array" ref="AX356">_xlfn.XLOOKUP(Matrix[[#This Row],[TEAM]]&amp;Matrix[[#Headers],[38]],FDR[FDR]&amp;FDR[[#Headers],[38]],FDR[38],"",0,1)</f>
        <v>5</v>
      </c>
    </row>
    <row r="357" spans="1:50" ht="22" thickTop="1" thickBot="1">
      <c r="A357" s="54" t="s">
        <v>657</v>
      </c>
      <c r="B357" s="70" t="s">
        <v>1621</v>
      </c>
      <c r="C357" s="40" t="s">
        <v>27</v>
      </c>
      <c r="D357" s="62">
        <v>0</v>
      </c>
      <c r="E357" s="60">
        <v>5.6000000000000001E-2</v>
      </c>
      <c r="F357" s="61">
        <v>0</v>
      </c>
      <c r="G357" s="63">
        <v>4.5</v>
      </c>
      <c r="H357" s="261">
        <f>IF(ISBLANK(I357),0,1)</f>
        <v>0</v>
      </c>
      <c r="I357" s="57"/>
      <c r="J357" s="58"/>
      <c r="K357" s="65" t="s">
        <v>1205</v>
      </c>
      <c r="L357" s="65" t="s">
        <v>1203</v>
      </c>
      <c r="M357" cm="1">
        <f t="array" ref="M357">_xlfn.XLOOKUP(Matrix[[#This Row],[TEAM]]&amp;Matrix[[#Headers],[1]],FDR[FDR]&amp;FDR[[#Headers],[1]],FDR[1],"",0,1)</f>
        <v>2</v>
      </c>
      <c r="N357" cm="1">
        <f t="array" ref="N357">_xlfn.XLOOKUP(Matrix[[#This Row],[TEAM]]&amp;Matrix[[#Headers],[2]],FDR[FDR]&amp;FDR[[#Headers],[2]],FDR[2],"",0,1)</f>
        <v>4</v>
      </c>
      <c r="O357" cm="1">
        <f t="array" ref="O357">_xlfn.XLOOKUP(Matrix[[#This Row],[TEAM]]&amp;Matrix[[#Headers],[3]],FDR[FDR]&amp;FDR[[#Headers],[3]],FDR[3],"",0,1)</f>
        <v>4</v>
      </c>
      <c r="P357" cm="1">
        <f t="array" ref="P357">_xlfn.XLOOKUP(Matrix[[#This Row],[TEAM]]&amp;Matrix[[#Headers],[4]],FDR[FDR]&amp;FDR[[#Headers],[4]],FDR[4],"",0,1)</f>
        <v>4</v>
      </c>
      <c r="Q357" cm="1">
        <f t="array" ref="Q357">_xlfn.XLOOKUP(Matrix[[#This Row],[TEAM]]&amp;Matrix[[#Headers],[5]],FDR[FDR]&amp;FDR[[#Headers],[5]],FDR[5],"",0,1)</f>
        <v>3</v>
      </c>
      <c r="R357" cm="1">
        <f t="array" ref="R357">_xlfn.XLOOKUP(Matrix[[#This Row],[TEAM]]&amp;Matrix[[#Headers],[6]],FDR[FDR]&amp;FDR[[#Headers],[6]],FDR[6],"",0,1)</f>
        <v>4</v>
      </c>
      <c r="S357" cm="1">
        <f t="array" ref="S357">_xlfn.XLOOKUP(Matrix[[#This Row],[TEAM]]&amp;Matrix[[#Headers],[7]],FDR[FDR]&amp;FDR[[#Headers],[7]],FDR[7],"",0,1)</f>
        <v>5</v>
      </c>
      <c r="T357" cm="1">
        <f t="array" ref="T357">_xlfn.XLOOKUP(Matrix[[#This Row],[TEAM]]&amp;Matrix[[#Headers],[8]],FDR[FDR]&amp;FDR[[#Headers],[8]],FDR[8],"",0,1)</f>
        <v>3</v>
      </c>
      <c r="U357" cm="1">
        <f t="array" ref="U357">_xlfn.XLOOKUP(Matrix[[#This Row],[TEAM]]&amp;Matrix[[#Headers],[9]],FDR[FDR]&amp;FDR[[#Headers],[9]],FDR[9],"",0,1)</f>
        <v>2</v>
      </c>
      <c r="V357" cm="1">
        <f t="array" ref="V357">_xlfn.XLOOKUP(Matrix[[#This Row],[TEAM]]&amp;Matrix[[#Headers],[10]],FDR[FDR]&amp;FDR[[#Headers],[10]],FDR[10],"",0,1)</f>
        <v>4</v>
      </c>
      <c r="W357" cm="1">
        <f t="array" ref="W357">_xlfn.XLOOKUP(Matrix[[#This Row],[TEAM]]&amp;Matrix[[#Headers],[11]],FDR[FDR]&amp;FDR[[#Headers],[11]],FDR[11],"",0,1)</f>
        <v>1</v>
      </c>
      <c r="X357" cm="1">
        <f t="array" ref="X357">_xlfn.XLOOKUP(Matrix[[#This Row],[TEAM]]&amp;Matrix[[#Headers],[12]],FDR[FDR]&amp;FDR[[#Headers],[12]],FDR[12],"",0,1)</f>
        <v>4</v>
      </c>
      <c r="Y357" cm="1">
        <f t="array" ref="Y357">_xlfn.XLOOKUP(Matrix[[#This Row],[TEAM]]&amp;Matrix[[#Headers],[13]],FDR[FDR]&amp;FDR[[#Headers],[13]],FDR[13],"",0,1)</f>
        <v>4</v>
      </c>
      <c r="Z357" cm="1">
        <f t="array" ref="Z357">_xlfn.XLOOKUP(Matrix[[#This Row],[TEAM]]&amp;Matrix[[#Headers],[14]],FDR[FDR]&amp;FDR[[#Headers],[14]],FDR[14],"",0,1)</f>
        <v>5</v>
      </c>
      <c r="AA357" cm="1">
        <f t="array" ref="AA357">_xlfn.XLOOKUP(Matrix[[#This Row],[TEAM]]&amp;Matrix[[#Headers],[15]],FDR[FDR]&amp;FDR[[#Headers],[15]],FDR[15],"",0,1)</f>
        <v>4</v>
      </c>
      <c r="AB357" cm="1">
        <f t="array" ref="AB357">_xlfn.XLOOKUP(Matrix[[#This Row],[TEAM]]&amp;Matrix[[#Headers],[16]],FDR[FDR]&amp;FDR[[#Headers],[16]],FDR[16],"",0,1)</f>
        <v>4</v>
      </c>
      <c r="AC357" cm="1">
        <f t="array" ref="AC357">_xlfn.XLOOKUP(Matrix[[#This Row],[TEAM]]&amp;Matrix[[#Headers],[17]],FDR[FDR]&amp;FDR[[#Headers],[17]],FDR[17],"",0,1)</f>
        <v>5</v>
      </c>
      <c r="AD357" cm="1">
        <f t="array" ref="AD357">_xlfn.XLOOKUP(Matrix[[#This Row],[TEAM]]&amp;Matrix[[#Headers],[18]],FDR[FDR]&amp;FDR[[#Headers],[18]],FDR[18],"",0,1)</f>
        <v>3</v>
      </c>
      <c r="AE357" cm="1">
        <f t="array" ref="AE357">_xlfn.XLOOKUP(Matrix[[#This Row],[TEAM]]&amp;Matrix[[#Headers],[19]],FDR[FDR]&amp;FDR[[#Headers],[19]],FDR[19],"",0,1)</f>
        <v>3</v>
      </c>
      <c r="AF357" cm="1">
        <f t="array" ref="AF357">_xlfn.XLOOKUP(Matrix[[#This Row],[TEAM]]&amp;Matrix[[#Headers],[20]],FDR[FDR]&amp;FDR[[#Headers],[20]],FDR[20],"",0,1)</f>
        <v>2</v>
      </c>
      <c r="AG357" cm="1">
        <f t="array" ref="AG357">_xlfn.XLOOKUP(Matrix[[#This Row],[TEAM]]&amp;Matrix[[#Headers],[21]],FDR[FDR]&amp;FDR[[#Headers],[21]],FDR[21],"",0,1)</f>
        <v>3</v>
      </c>
      <c r="AH357" cm="1">
        <f t="array" ref="AH357">_xlfn.XLOOKUP(Matrix[[#This Row],[TEAM]]&amp;Matrix[[#Headers],[22]],FDR[FDR]&amp;FDR[[#Headers],[22]],FDR[22],"",0,1)</f>
        <v>5</v>
      </c>
      <c r="AI357" cm="1">
        <f t="array" ref="AI357">_xlfn.XLOOKUP(Matrix[[#This Row],[TEAM]]&amp;Matrix[[#Headers],[23]],FDR[FDR]&amp;FDR[[#Headers],[23]],FDR[23],"",0,1)</f>
        <v>1</v>
      </c>
      <c r="AJ357" cm="1">
        <f t="array" ref="AJ357">_xlfn.XLOOKUP(Matrix[[#This Row],[TEAM]]&amp;Matrix[[#Headers],[24]],FDR[FDR]&amp;FDR[[#Headers],[24]],FDR[24],"",0,1)</f>
        <v>5</v>
      </c>
      <c r="AK357" cm="1">
        <f t="array" ref="AK357">_xlfn.XLOOKUP(Matrix[[#This Row],[TEAM]]&amp;Matrix[[#Headers],[25]],FDR[FDR]&amp;FDR[[#Headers],[25]],FDR[25],"",0,1)</f>
        <v>2</v>
      </c>
      <c r="AL357" cm="1">
        <f t="array" ref="AL357">_xlfn.XLOOKUP(Matrix[[#This Row],[TEAM]]&amp;Matrix[[#Headers],[26]],FDR[FDR]&amp;FDR[[#Headers],[26]],FDR[26],"",0,1)</f>
        <v>4</v>
      </c>
      <c r="AM357" cm="1">
        <f t="array" ref="AM357">_xlfn.XLOOKUP(Matrix[[#This Row],[TEAM]]&amp;Matrix[[#Headers],[27]],FDR[FDR]&amp;FDR[[#Headers],[27]],FDR[27],"",0,1)</f>
        <v>3</v>
      </c>
      <c r="AN357" cm="1">
        <f t="array" ref="AN357">_xlfn.XLOOKUP(Matrix[[#This Row],[TEAM]]&amp;Matrix[[#Headers],[28]],FDR[FDR]&amp;FDR[[#Headers],[28]],FDR[28],"",0,1)</f>
        <v>5</v>
      </c>
      <c r="AO357" cm="1">
        <f t="array" ref="AO357">_xlfn.XLOOKUP(Matrix[[#This Row],[TEAM]]&amp;Matrix[[#Headers],[29]],FDR[FDR]&amp;FDR[[#Headers],[29]],FDR[29],"",0,1)</f>
        <v>4</v>
      </c>
      <c r="AP357" cm="1">
        <f t="array" ref="AP357">_xlfn.XLOOKUP(Matrix[[#This Row],[TEAM]]&amp;Matrix[[#Headers],[30]],FDR[FDR]&amp;FDR[[#Headers],[30]],FDR[30],"",0,1)</f>
        <v>4</v>
      </c>
      <c r="AQ357" cm="1">
        <f t="array" ref="AQ357">_xlfn.XLOOKUP(Matrix[[#This Row],[TEAM]]&amp;Matrix[[#Headers],[31]],FDR[FDR]&amp;FDR[[#Headers],[31]],FDR[31],"",0,1)</f>
        <v>5</v>
      </c>
      <c r="AR357" cm="1">
        <f t="array" ref="AR357">_xlfn.XLOOKUP(Matrix[[#This Row],[TEAM]]&amp;Matrix[[#Headers],[32]],FDR[FDR]&amp;FDR[[#Headers],[32]],FDR[32],"",0,1)</f>
        <v>2</v>
      </c>
      <c r="AS357" cm="1">
        <f t="array" ref="AS357">_xlfn.XLOOKUP(Matrix[[#This Row],[TEAM]]&amp;Matrix[[#Headers],[33]],FDR[FDR]&amp;FDR[[#Headers],[33]],FDR[33],"",0,1)</f>
        <v>4</v>
      </c>
      <c r="AT357" cm="1">
        <f t="array" ref="AT357">_xlfn.XLOOKUP(Matrix[[#This Row],[TEAM]]&amp;Matrix[[#Headers],[34]],FDR[FDR]&amp;FDR[[#Headers],[34]],FDR[34],"",0,1)</f>
        <v>3</v>
      </c>
      <c r="AU357" cm="1">
        <f t="array" ref="AU357">_xlfn.XLOOKUP(Matrix[[#This Row],[TEAM]]&amp;Matrix[[#Headers],[35]],FDR[FDR]&amp;FDR[[#Headers],[35]],FDR[35],"",0,1)</f>
        <v>4</v>
      </c>
      <c r="AV357" cm="1">
        <f t="array" ref="AV357">_xlfn.XLOOKUP(Matrix[[#This Row],[TEAM]]&amp;Matrix[[#Headers],[36]],FDR[FDR]&amp;FDR[[#Headers],[36]],FDR[36],"",0,1)</f>
        <v>4</v>
      </c>
      <c r="AW357" cm="1">
        <f t="array" ref="AW357">_xlfn.XLOOKUP(Matrix[[#This Row],[TEAM]]&amp;Matrix[[#Headers],[37]],FDR[FDR]&amp;FDR[[#Headers],[37]],FDR[37],"",0,1)</f>
        <v>5</v>
      </c>
      <c r="AX357" cm="1">
        <f t="array" ref="AX357">_xlfn.XLOOKUP(Matrix[[#This Row],[TEAM]]&amp;Matrix[[#Headers],[38]],FDR[FDR]&amp;FDR[[#Headers],[38]],FDR[38],"",0,1)</f>
        <v>1</v>
      </c>
    </row>
    <row r="358" spans="1:50" ht="22" thickTop="1" thickBot="1">
      <c r="A358" s="54" t="s">
        <v>657</v>
      </c>
      <c r="B358" s="70" t="s">
        <v>1664</v>
      </c>
      <c r="C358" s="40" t="s">
        <v>27</v>
      </c>
      <c r="D358" s="62">
        <v>0</v>
      </c>
      <c r="E358" s="60">
        <v>5.0000000000000001E-3</v>
      </c>
      <c r="F358" s="61">
        <v>0</v>
      </c>
      <c r="G358" s="63">
        <v>4.5</v>
      </c>
      <c r="H358" s="261">
        <f>IF(ISBLANK(I358),0,1)</f>
        <v>0</v>
      </c>
      <c r="I358" s="57"/>
      <c r="J358" s="58"/>
      <c r="K358" s="65" t="s">
        <v>473</v>
      </c>
      <c r="L358" s="65" t="s">
        <v>1215</v>
      </c>
      <c r="M358" cm="1">
        <f t="array" ref="M358">_xlfn.XLOOKUP(Matrix[[#This Row],[TEAM]]&amp;Matrix[[#Headers],[1]],FDR[FDR]&amp;FDR[[#Headers],[1]],FDR[1],"",0,1)</f>
        <v>2</v>
      </c>
      <c r="N358" cm="1">
        <f t="array" ref="N358">_xlfn.XLOOKUP(Matrix[[#This Row],[TEAM]]&amp;Matrix[[#Headers],[2]],FDR[FDR]&amp;FDR[[#Headers],[2]],FDR[2],"",0,1)</f>
        <v>4</v>
      </c>
      <c r="O358" cm="1">
        <f t="array" ref="O358">_xlfn.XLOOKUP(Matrix[[#This Row],[TEAM]]&amp;Matrix[[#Headers],[3]],FDR[FDR]&amp;FDR[[#Headers],[3]],FDR[3],"",0,1)</f>
        <v>4</v>
      </c>
      <c r="P358" cm="1">
        <f t="array" ref="P358">_xlfn.XLOOKUP(Matrix[[#This Row],[TEAM]]&amp;Matrix[[#Headers],[4]],FDR[FDR]&amp;FDR[[#Headers],[4]],FDR[4],"",0,1)</f>
        <v>4</v>
      </c>
      <c r="Q358" cm="1">
        <f t="array" ref="Q358">_xlfn.XLOOKUP(Matrix[[#This Row],[TEAM]]&amp;Matrix[[#Headers],[5]],FDR[FDR]&amp;FDR[[#Headers],[5]],FDR[5],"",0,1)</f>
        <v>3</v>
      </c>
      <c r="R358" cm="1">
        <f t="array" ref="R358">_xlfn.XLOOKUP(Matrix[[#This Row],[TEAM]]&amp;Matrix[[#Headers],[6]],FDR[FDR]&amp;FDR[[#Headers],[6]],FDR[6],"",0,1)</f>
        <v>4</v>
      </c>
      <c r="S358" cm="1">
        <f t="array" ref="S358">_xlfn.XLOOKUP(Matrix[[#This Row],[TEAM]]&amp;Matrix[[#Headers],[7]],FDR[FDR]&amp;FDR[[#Headers],[7]],FDR[7],"",0,1)</f>
        <v>5</v>
      </c>
      <c r="T358" cm="1">
        <f t="array" ref="T358">_xlfn.XLOOKUP(Matrix[[#This Row],[TEAM]]&amp;Matrix[[#Headers],[8]],FDR[FDR]&amp;FDR[[#Headers],[8]],FDR[8],"",0,1)</f>
        <v>3</v>
      </c>
      <c r="U358" cm="1">
        <f t="array" ref="U358">_xlfn.XLOOKUP(Matrix[[#This Row],[TEAM]]&amp;Matrix[[#Headers],[9]],FDR[FDR]&amp;FDR[[#Headers],[9]],FDR[9],"",0,1)</f>
        <v>2</v>
      </c>
      <c r="V358" cm="1">
        <f t="array" ref="V358">_xlfn.XLOOKUP(Matrix[[#This Row],[TEAM]]&amp;Matrix[[#Headers],[10]],FDR[FDR]&amp;FDR[[#Headers],[10]],FDR[10],"",0,1)</f>
        <v>4</v>
      </c>
      <c r="W358" cm="1">
        <f t="array" ref="W358">_xlfn.XLOOKUP(Matrix[[#This Row],[TEAM]]&amp;Matrix[[#Headers],[11]],FDR[FDR]&amp;FDR[[#Headers],[11]],FDR[11],"",0,1)</f>
        <v>1</v>
      </c>
      <c r="X358" cm="1">
        <f t="array" ref="X358">_xlfn.XLOOKUP(Matrix[[#This Row],[TEAM]]&amp;Matrix[[#Headers],[12]],FDR[FDR]&amp;FDR[[#Headers],[12]],FDR[12],"",0,1)</f>
        <v>4</v>
      </c>
      <c r="Y358" cm="1">
        <f t="array" ref="Y358">_xlfn.XLOOKUP(Matrix[[#This Row],[TEAM]]&amp;Matrix[[#Headers],[13]],FDR[FDR]&amp;FDR[[#Headers],[13]],FDR[13],"",0,1)</f>
        <v>4</v>
      </c>
      <c r="Z358" cm="1">
        <f t="array" ref="Z358">_xlfn.XLOOKUP(Matrix[[#This Row],[TEAM]]&amp;Matrix[[#Headers],[14]],FDR[FDR]&amp;FDR[[#Headers],[14]],FDR[14],"",0,1)</f>
        <v>5</v>
      </c>
      <c r="AA358" cm="1">
        <f t="array" ref="AA358">_xlfn.XLOOKUP(Matrix[[#This Row],[TEAM]]&amp;Matrix[[#Headers],[15]],FDR[FDR]&amp;FDR[[#Headers],[15]],FDR[15],"",0,1)</f>
        <v>4</v>
      </c>
      <c r="AB358" cm="1">
        <f t="array" ref="AB358">_xlfn.XLOOKUP(Matrix[[#This Row],[TEAM]]&amp;Matrix[[#Headers],[16]],FDR[FDR]&amp;FDR[[#Headers],[16]],FDR[16],"",0,1)</f>
        <v>4</v>
      </c>
      <c r="AC358" cm="1">
        <f t="array" ref="AC358">_xlfn.XLOOKUP(Matrix[[#This Row],[TEAM]]&amp;Matrix[[#Headers],[17]],FDR[FDR]&amp;FDR[[#Headers],[17]],FDR[17],"",0,1)</f>
        <v>5</v>
      </c>
      <c r="AD358" cm="1">
        <f t="array" ref="AD358">_xlfn.XLOOKUP(Matrix[[#This Row],[TEAM]]&amp;Matrix[[#Headers],[18]],FDR[FDR]&amp;FDR[[#Headers],[18]],FDR[18],"",0,1)</f>
        <v>3</v>
      </c>
      <c r="AE358" cm="1">
        <f t="array" ref="AE358">_xlfn.XLOOKUP(Matrix[[#This Row],[TEAM]]&amp;Matrix[[#Headers],[19]],FDR[FDR]&amp;FDR[[#Headers],[19]],FDR[19],"",0,1)</f>
        <v>3</v>
      </c>
      <c r="AF358" cm="1">
        <f t="array" ref="AF358">_xlfn.XLOOKUP(Matrix[[#This Row],[TEAM]]&amp;Matrix[[#Headers],[20]],FDR[FDR]&amp;FDR[[#Headers],[20]],FDR[20],"",0,1)</f>
        <v>2</v>
      </c>
      <c r="AG358" cm="1">
        <f t="array" ref="AG358">_xlfn.XLOOKUP(Matrix[[#This Row],[TEAM]]&amp;Matrix[[#Headers],[21]],FDR[FDR]&amp;FDR[[#Headers],[21]],FDR[21],"",0,1)</f>
        <v>3</v>
      </c>
      <c r="AH358" cm="1">
        <f t="array" ref="AH358">_xlfn.XLOOKUP(Matrix[[#This Row],[TEAM]]&amp;Matrix[[#Headers],[22]],FDR[FDR]&amp;FDR[[#Headers],[22]],FDR[22],"",0,1)</f>
        <v>5</v>
      </c>
      <c r="AI358" cm="1">
        <f t="array" ref="AI358">_xlfn.XLOOKUP(Matrix[[#This Row],[TEAM]]&amp;Matrix[[#Headers],[23]],FDR[FDR]&amp;FDR[[#Headers],[23]],FDR[23],"",0,1)</f>
        <v>1</v>
      </c>
      <c r="AJ358" cm="1">
        <f t="array" ref="AJ358">_xlfn.XLOOKUP(Matrix[[#This Row],[TEAM]]&amp;Matrix[[#Headers],[24]],FDR[FDR]&amp;FDR[[#Headers],[24]],FDR[24],"",0,1)</f>
        <v>5</v>
      </c>
      <c r="AK358" cm="1">
        <f t="array" ref="AK358">_xlfn.XLOOKUP(Matrix[[#This Row],[TEAM]]&amp;Matrix[[#Headers],[25]],FDR[FDR]&amp;FDR[[#Headers],[25]],FDR[25],"",0,1)</f>
        <v>2</v>
      </c>
      <c r="AL358" cm="1">
        <f t="array" ref="AL358">_xlfn.XLOOKUP(Matrix[[#This Row],[TEAM]]&amp;Matrix[[#Headers],[26]],FDR[FDR]&amp;FDR[[#Headers],[26]],FDR[26],"",0,1)</f>
        <v>4</v>
      </c>
      <c r="AM358" cm="1">
        <f t="array" ref="AM358">_xlfn.XLOOKUP(Matrix[[#This Row],[TEAM]]&amp;Matrix[[#Headers],[27]],FDR[FDR]&amp;FDR[[#Headers],[27]],FDR[27],"",0,1)</f>
        <v>3</v>
      </c>
      <c r="AN358" cm="1">
        <f t="array" ref="AN358">_xlfn.XLOOKUP(Matrix[[#This Row],[TEAM]]&amp;Matrix[[#Headers],[28]],FDR[FDR]&amp;FDR[[#Headers],[28]],FDR[28],"",0,1)</f>
        <v>5</v>
      </c>
      <c r="AO358" cm="1">
        <f t="array" ref="AO358">_xlfn.XLOOKUP(Matrix[[#This Row],[TEAM]]&amp;Matrix[[#Headers],[29]],FDR[FDR]&amp;FDR[[#Headers],[29]],FDR[29],"",0,1)</f>
        <v>4</v>
      </c>
      <c r="AP358" cm="1">
        <f t="array" ref="AP358">_xlfn.XLOOKUP(Matrix[[#This Row],[TEAM]]&amp;Matrix[[#Headers],[30]],FDR[FDR]&amp;FDR[[#Headers],[30]],FDR[30],"",0,1)</f>
        <v>4</v>
      </c>
      <c r="AQ358" cm="1">
        <f t="array" ref="AQ358">_xlfn.XLOOKUP(Matrix[[#This Row],[TEAM]]&amp;Matrix[[#Headers],[31]],FDR[FDR]&amp;FDR[[#Headers],[31]],FDR[31],"",0,1)</f>
        <v>5</v>
      </c>
      <c r="AR358" cm="1">
        <f t="array" ref="AR358">_xlfn.XLOOKUP(Matrix[[#This Row],[TEAM]]&amp;Matrix[[#Headers],[32]],FDR[FDR]&amp;FDR[[#Headers],[32]],FDR[32],"",0,1)</f>
        <v>2</v>
      </c>
      <c r="AS358" cm="1">
        <f t="array" ref="AS358">_xlfn.XLOOKUP(Matrix[[#This Row],[TEAM]]&amp;Matrix[[#Headers],[33]],FDR[FDR]&amp;FDR[[#Headers],[33]],FDR[33],"",0,1)</f>
        <v>4</v>
      </c>
      <c r="AT358" cm="1">
        <f t="array" ref="AT358">_xlfn.XLOOKUP(Matrix[[#This Row],[TEAM]]&amp;Matrix[[#Headers],[34]],FDR[FDR]&amp;FDR[[#Headers],[34]],FDR[34],"",0,1)</f>
        <v>3</v>
      </c>
      <c r="AU358" cm="1">
        <f t="array" ref="AU358">_xlfn.XLOOKUP(Matrix[[#This Row],[TEAM]]&amp;Matrix[[#Headers],[35]],FDR[FDR]&amp;FDR[[#Headers],[35]],FDR[35],"",0,1)</f>
        <v>4</v>
      </c>
      <c r="AV358" cm="1">
        <f t="array" ref="AV358">_xlfn.XLOOKUP(Matrix[[#This Row],[TEAM]]&amp;Matrix[[#Headers],[36]],FDR[FDR]&amp;FDR[[#Headers],[36]],FDR[36],"",0,1)</f>
        <v>4</v>
      </c>
      <c r="AW358" cm="1">
        <f t="array" ref="AW358">_xlfn.XLOOKUP(Matrix[[#This Row],[TEAM]]&amp;Matrix[[#Headers],[37]],FDR[FDR]&amp;FDR[[#Headers],[37]],FDR[37],"",0,1)</f>
        <v>5</v>
      </c>
      <c r="AX358" cm="1">
        <f t="array" ref="AX358">_xlfn.XLOOKUP(Matrix[[#This Row],[TEAM]]&amp;Matrix[[#Headers],[38]],FDR[FDR]&amp;FDR[[#Headers],[38]],FDR[38],"",0,1)</f>
        <v>1</v>
      </c>
    </row>
    <row r="359" spans="1:50" ht="22" thickTop="1" thickBot="1">
      <c r="A359" s="54" t="s">
        <v>657</v>
      </c>
      <c r="B359" s="70" t="s">
        <v>1768</v>
      </c>
      <c r="C359" s="40" t="s">
        <v>27</v>
      </c>
      <c r="D359" s="62">
        <v>0</v>
      </c>
      <c r="E359" s="60">
        <v>1E-3</v>
      </c>
      <c r="F359" s="61">
        <v>0</v>
      </c>
      <c r="G359" s="63">
        <v>4.5</v>
      </c>
      <c r="H359" s="261">
        <f>IF(ISBLANK(I359),0,1)</f>
        <v>0</v>
      </c>
      <c r="I359" s="57"/>
      <c r="J359" s="58"/>
      <c r="K359" s="65" t="s">
        <v>487</v>
      </c>
      <c r="L359" s="65" t="s">
        <v>1202</v>
      </c>
      <c r="M359" cm="1">
        <f t="array" ref="M359">_xlfn.XLOOKUP(Matrix[[#This Row],[TEAM]]&amp;Matrix[[#Headers],[1]],FDR[FDR]&amp;FDR[[#Headers],[1]],FDR[1],"",0,1)</f>
        <v>2</v>
      </c>
      <c r="N359" cm="1">
        <f t="array" ref="N359">_xlfn.XLOOKUP(Matrix[[#This Row],[TEAM]]&amp;Matrix[[#Headers],[2]],FDR[FDR]&amp;FDR[[#Headers],[2]],FDR[2],"",0,1)</f>
        <v>4</v>
      </c>
      <c r="O359" cm="1">
        <f t="array" ref="O359">_xlfn.XLOOKUP(Matrix[[#This Row],[TEAM]]&amp;Matrix[[#Headers],[3]],FDR[FDR]&amp;FDR[[#Headers],[3]],FDR[3],"",0,1)</f>
        <v>4</v>
      </c>
      <c r="P359" cm="1">
        <f t="array" ref="P359">_xlfn.XLOOKUP(Matrix[[#This Row],[TEAM]]&amp;Matrix[[#Headers],[4]],FDR[FDR]&amp;FDR[[#Headers],[4]],FDR[4],"",0,1)</f>
        <v>4</v>
      </c>
      <c r="Q359" cm="1">
        <f t="array" ref="Q359">_xlfn.XLOOKUP(Matrix[[#This Row],[TEAM]]&amp;Matrix[[#Headers],[5]],FDR[FDR]&amp;FDR[[#Headers],[5]],FDR[5],"",0,1)</f>
        <v>3</v>
      </c>
      <c r="R359" cm="1">
        <f t="array" ref="R359">_xlfn.XLOOKUP(Matrix[[#This Row],[TEAM]]&amp;Matrix[[#Headers],[6]],FDR[FDR]&amp;FDR[[#Headers],[6]],FDR[6],"",0,1)</f>
        <v>4</v>
      </c>
      <c r="S359" cm="1">
        <f t="array" ref="S359">_xlfn.XLOOKUP(Matrix[[#This Row],[TEAM]]&amp;Matrix[[#Headers],[7]],FDR[FDR]&amp;FDR[[#Headers],[7]],FDR[7],"",0,1)</f>
        <v>5</v>
      </c>
      <c r="T359" cm="1">
        <f t="array" ref="T359">_xlfn.XLOOKUP(Matrix[[#This Row],[TEAM]]&amp;Matrix[[#Headers],[8]],FDR[FDR]&amp;FDR[[#Headers],[8]],FDR[8],"",0,1)</f>
        <v>3</v>
      </c>
      <c r="U359" cm="1">
        <f t="array" ref="U359">_xlfn.XLOOKUP(Matrix[[#This Row],[TEAM]]&amp;Matrix[[#Headers],[9]],FDR[FDR]&amp;FDR[[#Headers],[9]],FDR[9],"",0,1)</f>
        <v>2</v>
      </c>
      <c r="V359" cm="1">
        <f t="array" ref="V359">_xlfn.XLOOKUP(Matrix[[#This Row],[TEAM]]&amp;Matrix[[#Headers],[10]],FDR[FDR]&amp;FDR[[#Headers],[10]],FDR[10],"",0,1)</f>
        <v>4</v>
      </c>
      <c r="W359" cm="1">
        <f t="array" ref="W359">_xlfn.XLOOKUP(Matrix[[#This Row],[TEAM]]&amp;Matrix[[#Headers],[11]],FDR[FDR]&amp;FDR[[#Headers],[11]],FDR[11],"",0,1)</f>
        <v>1</v>
      </c>
      <c r="X359" cm="1">
        <f t="array" ref="X359">_xlfn.XLOOKUP(Matrix[[#This Row],[TEAM]]&amp;Matrix[[#Headers],[12]],FDR[FDR]&amp;FDR[[#Headers],[12]],FDR[12],"",0,1)</f>
        <v>4</v>
      </c>
      <c r="Y359" cm="1">
        <f t="array" ref="Y359">_xlfn.XLOOKUP(Matrix[[#This Row],[TEAM]]&amp;Matrix[[#Headers],[13]],FDR[FDR]&amp;FDR[[#Headers],[13]],FDR[13],"",0,1)</f>
        <v>4</v>
      </c>
      <c r="Z359" cm="1">
        <f t="array" ref="Z359">_xlfn.XLOOKUP(Matrix[[#This Row],[TEAM]]&amp;Matrix[[#Headers],[14]],FDR[FDR]&amp;FDR[[#Headers],[14]],FDR[14],"",0,1)</f>
        <v>5</v>
      </c>
      <c r="AA359" cm="1">
        <f t="array" ref="AA359">_xlfn.XLOOKUP(Matrix[[#This Row],[TEAM]]&amp;Matrix[[#Headers],[15]],FDR[FDR]&amp;FDR[[#Headers],[15]],FDR[15],"",0,1)</f>
        <v>4</v>
      </c>
      <c r="AB359" cm="1">
        <f t="array" ref="AB359">_xlfn.XLOOKUP(Matrix[[#This Row],[TEAM]]&amp;Matrix[[#Headers],[16]],FDR[FDR]&amp;FDR[[#Headers],[16]],FDR[16],"",0,1)</f>
        <v>4</v>
      </c>
      <c r="AC359" cm="1">
        <f t="array" ref="AC359">_xlfn.XLOOKUP(Matrix[[#This Row],[TEAM]]&amp;Matrix[[#Headers],[17]],FDR[FDR]&amp;FDR[[#Headers],[17]],FDR[17],"",0,1)</f>
        <v>5</v>
      </c>
      <c r="AD359" cm="1">
        <f t="array" ref="AD359">_xlfn.XLOOKUP(Matrix[[#This Row],[TEAM]]&amp;Matrix[[#Headers],[18]],FDR[FDR]&amp;FDR[[#Headers],[18]],FDR[18],"",0,1)</f>
        <v>3</v>
      </c>
      <c r="AE359" cm="1">
        <f t="array" ref="AE359">_xlfn.XLOOKUP(Matrix[[#This Row],[TEAM]]&amp;Matrix[[#Headers],[19]],FDR[FDR]&amp;FDR[[#Headers],[19]],FDR[19],"",0,1)</f>
        <v>3</v>
      </c>
      <c r="AF359" cm="1">
        <f t="array" ref="AF359">_xlfn.XLOOKUP(Matrix[[#This Row],[TEAM]]&amp;Matrix[[#Headers],[20]],FDR[FDR]&amp;FDR[[#Headers],[20]],FDR[20],"",0,1)</f>
        <v>2</v>
      </c>
      <c r="AG359" cm="1">
        <f t="array" ref="AG359">_xlfn.XLOOKUP(Matrix[[#This Row],[TEAM]]&amp;Matrix[[#Headers],[21]],FDR[FDR]&amp;FDR[[#Headers],[21]],FDR[21],"",0,1)</f>
        <v>3</v>
      </c>
      <c r="AH359" cm="1">
        <f t="array" ref="AH359">_xlfn.XLOOKUP(Matrix[[#This Row],[TEAM]]&amp;Matrix[[#Headers],[22]],FDR[FDR]&amp;FDR[[#Headers],[22]],FDR[22],"",0,1)</f>
        <v>5</v>
      </c>
      <c r="AI359" cm="1">
        <f t="array" ref="AI359">_xlfn.XLOOKUP(Matrix[[#This Row],[TEAM]]&amp;Matrix[[#Headers],[23]],FDR[FDR]&amp;FDR[[#Headers],[23]],FDR[23],"",0,1)</f>
        <v>1</v>
      </c>
      <c r="AJ359" cm="1">
        <f t="array" ref="AJ359">_xlfn.XLOOKUP(Matrix[[#This Row],[TEAM]]&amp;Matrix[[#Headers],[24]],FDR[FDR]&amp;FDR[[#Headers],[24]],FDR[24],"",0,1)</f>
        <v>5</v>
      </c>
      <c r="AK359" cm="1">
        <f t="array" ref="AK359">_xlfn.XLOOKUP(Matrix[[#This Row],[TEAM]]&amp;Matrix[[#Headers],[25]],FDR[FDR]&amp;FDR[[#Headers],[25]],FDR[25],"",0,1)</f>
        <v>2</v>
      </c>
      <c r="AL359" cm="1">
        <f t="array" ref="AL359">_xlfn.XLOOKUP(Matrix[[#This Row],[TEAM]]&amp;Matrix[[#Headers],[26]],FDR[FDR]&amp;FDR[[#Headers],[26]],FDR[26],"",0,1)</f>
        <v>4</v>
      </c>
      <c r="AM359" cm="1">
        <f t="array" ref="AM359">_xlfn.XLOOKUP(Matrix[[#This Row],[TEAM]]&amp;Matrix[[#Headers],[27]],FDR[FDR]&amp;FDR[[#Headers],[27]],FDR[27],"",0,1)</f>
        <v>3</v>
      </c>
      <c r="AN359" cm="1">
        <f t="array" ref="AN359">_xlfn.XLOOKUP(Matrix[[#This Row],[TEAM]]&amp;Matrix[[#Headers],[28]],FDR[FDR]&amp;FDR[[#Headers],[28]],FDR[28],"",0,1)</f>
        <v>5</v>
      </c>
      <c r="AO359" cm="1">
        <f t="array" ref="AO359">_xlfn.XLOOKUP(Matrix[[#This Row],[TEAM]]&amp;Matrix[[#Headers],[29]],FDR[FDR]&amp;FDR[[#Headers],[29]],FDR[29],"",0,1)</f>
        <v>4</v>
      </c>
      <c r="AP359" cm="1">
        <f t="array" ref="AP359">_xlfn.XLOOKUP(Matrix[[#This Row],[TEAM]]&amp;Matrix[[#Headers],[30]],FDR[FDR]&amp;FDR[[#Headers],[30]],FDR[30],"",0,1)</f>
        <v>4</v>
      </c>
      <c r="AQ359" cm="1">
        <f t="array" ref="AQ359">_xlfn.XLOOKUP(Matrix[[#This Row],[TEAM]]&amp;Matrix[[#Headers],[31]],FDR[FDR]&amp;FDR[[#Headers],[31]],FDR[31],"",0,1)</f>
        <v>5</v>
      </c>
      <c r="AR359" cm="1">
        <f t="array" ref="AR359">_xlfn.XLOOKUP(Matrix[[#This Row],[TEAM]]&amp;Matrix[[#Headers],[32]],FDR[FDR]&amp;FDR[[#Headers],[32]],FDR[32],"",0,1)</f>
        <v>2</v>
      </c>
      <c r="AS359" cm="1">
        <f t="array" ref="AS359">_xlfn.XLOOKUP(Matrix[[#This Row],[TEAM]]&amp;Matrix[[#Headers],[33]],FDR[FDR]&amp;FDR[[#Headers],[33]],FDR[33],"",0,1)</f>
        <v>4</v>
      </c>
      <c r="AT359" cm="1">
        <f t="array" ref="AT359">_xlfn.XLOOKUP(Matrix[[#This Row],[TEAM]]&amp;Matrix[[#Headers],[34]],FDR[FDR]&amp;FDR[[#Headers],[34]],FDR[34],"",0,1)</f>
        <v>3</v>
      </c>
      <c r="AU359" cm="1">
        <f t="array" ref="AU359">_xlfn.XLOOKUP(Matrix[[#This Row],[TEAM]]&amp;Matrix[[#Headers],[35]],FDR[FDR]&amp;FDR[[#Headers],[35]],FDR[35],"",0,1)</f>
        <v>4</v>
      </c>
      <c r="AV359" cm="1">
        <f t="array" ref="AV359">_xlfn.XLOOKUP(Matrix[[#This Row],[TEAM]]&amp;Matrix[[#Headers],[36]],FDR[FDR]&amp;FDR[[#Headers],[36]],FDR[36],"",0,1)</f>
        <v>4</v>
      </c>
      <c r="AW359" cm="1">
        <f t="array" ref="AW359">_xlfn.XLOOKUP(Matrix[[#This Row],[TEAM]]&amp;Matrix[[#Headers],[37]],FDR[FDR]&amp;FDR[[#Headers],[37]],FDR[37],"",0,1)</f>
        <v>5</v>
      </c>
      <c r="AX359" cm="1">
        <f t="array" ref="AX359">_xlfn.XLOOKUP(Matrix[[#This Row],[TEAM]]&amp;Matrix[[#Headers],[38]],FDR[FDR]&amp;FDR[[#Headers],[38]],FDR[38],"",0,1)</f>
        <v>1</v>
      </c>
    </row>
    <row r="360" spans="1:50" ht="22" thickTop="1" thickBot="1">
      <c r="A360" s="51" t="s">
        <v>657</v>
      </c>
      <c r="B360" s="70" t="s">
        <v>1772</v>
      </c>
      <c r="C360" s="40" t="s">
        <v>51</v>
      </c>
      <c r="D360" s="62">
        <v>0</v>
      </c>
      <c r="E360" s="60">
        <v>1E-3</v>
      </c>
      <c r="F360" s="61">
        <v>0</v>
      </c>
      <c r="G360" s="63">
        <v>4.5</v>
      </c>
      <c r="H360" s="261">
        <f>IF(ISBLANK(I360),0,1)</f>
        <v>0</v>
      </c>
      <c r="I360" s="57"/>
      <c r="J360" s="58"/>
      <c r="K360" s="65" t="s">
        <v>809</v>
      </c>
      <c r="L360" s="65" t="s">
        <v>923</v>
      </c>
      <c r="M360" cm="1">
        <f t="array" ref="M360">_xlfn.XLOOKUP(Matrix[[#This Row],[TEAM]]&amp;Matrix[[#Headers],[1]],FDR[FDR]&amp;FDR[[#Headers],[1]],FDR[1],"",0,1)</f>
        <v>5</v>
      </c>
      <c r="N360" cm="1">
        <f t="array" ref="N360">_xlfn.XLOOKUP(Matrix[[#This Row],[TEAM]]&amp;Matrix[[#Headers],[2]],FDR[FDR]&amp;FDR[[#Headers],[2]],FDR[2],"",0,1)</f>
        <v>5</v>
      </c>
      <c r="O360" cm="1">
        <f t="array" ref="O360">_xlfn.XLOOKUP(Matrix[[#This Row],[TEAM]]&amp;Matrix[[#Headers],[3]],FDR[FDR]&amp;FDR[[#Headers],[3]],FDR[3],"",0,1)</f>
        <v>4</v>
      </c>
      <c r="P360" cm="1">
        <f t="array" ref="P360">_xlfn.XLOOKUP(Matrix[[#This Row],[TEAM]]&amp;Matrix[[#Headers],[4]],FDR[FDR]&amp;FDR[[#Headers],[4]],FDR[4],"",0,1)</f>
        <v>5</v>
      </c>
      <c r="Q360" cm="1">
        <f t="array" ref="Q360">_xlfn.XLOOKUP(Matrix[[#This Row],[TEAM]]&amp;Matrix[[#Headers],[5]],FDR[FDR]&amp;FDR[[#Headers],[5]],FDR[5],"",0,1)</f>
        <v>2</v>
      </c>
      <c r="R360" cm="1">
        <f t="array" ref="R360">_xlfn.XLOOKUP(Matrix[[#This Row],[TEAM]]&amp;Matrix[[#Headers],[6]],FDR[FDR]&amp;FDR[[#Headers],[6]],FDR[6],"",0,1)</f>
        <v>5</v>
      </c>
      <c r="S360" cm="1">
        <f t="array" ref="S360">_xlfn.XLOOKUP(Matrix[[#This Row],[TEAM]]&amp;Matrix[[#Headers],[7]],FDR[FDR]&amp;FDR[[#Headers],[7]],FDR[7],"",0,1)</f>
        <v>4</v>
      </c>
      <c r="T360" cm="1">
        <f t="array" ref="T360">_xlfn.XLOOKUP(Matrix[[#This Row],[TEAM]]&amp;Matrix[[#Headers],[8]],FDR[FDR]&amp;FDR[[#Headers],[8]],FDR[8],"",0,1)</f>
        <v>3</v>
      </c>
      <c r="U360" cm="1">
        <f t="array" ref="U360">_xlfn.XLOOKUP(Matrix[[#This Row],[TEAM]]&amp;Matrix[[#Headers],[9]],FDR[FDR]&amp;FDR[[#Headers],[9]],FDR[9],"",0,1)</f>
        <v>2</v>
      </c>
      <c r="V360" cm="1">
        <f t="array" ref="V360">_xlfn.XLOOKUP(Matrix[[#This Row],[TEAM]]&amp;Matrix[[#Headers],[10]],FDR[FDR]&amp;FDR[[#Headers],[10]],FDR[10],"",0,1)</f>
        <v>5</v>
      </c>
      <c r="W360" cm="1">
        <f t="array" ref="W360">_xlfn.XLOOKUP(Matrix[[#This Row],[TEAM]]&amp;Matrix[[#Headers],[11]],FDR[FDR]&amp;FDR[[#Headers],[11]],FDR[11],"",0,1)</f>
        <v>5</v>
      </c>
      <c r="X360" cm="1">
        <f t="array" ref="X360">_xlfn.XLOOKUP(Matrix[[#This Row],[TEAM]]&amp;Matrix[[#Headers],[12]],FDR[FDR]&amp;FDR[[#Headers],[12]],FDR[12],"",0,1)</f>
        <v>4</v>
      </c>
      <c r="Y360" cm="1">
        <f t="array" ref="Y360">_xlfn.XLOOKUP(Matrix[[#This Row],[TEAM]]&amp;Matrix[[#Headers],[13]],FDR[FDR]&amp;FDR[[#Headers],[13]],FDR[13],"",0,1)</f>
        <v>5</v>
      </c>
      <c r="Z360" cm="1">
        <f t="array" ref="Z360">_xlfn.XLOOKUP(Matrix[[#This Row],[TEAM]]&amp;Matrix[[#Headers],[14]],FDR[FDR]&amp;FDR[[#Headers],[14]],FDR[14],"",0,1)</f>
        <v>4</v>
      </c>
      <c r="AA360" cm="1">
        <f t="array" ref="AA360">_xlfn.XLOOKUP(Matrix[[#This Row],[TEAM]]&amp;Matrix[[#Headers],[15]],FDR[FDR]&amp;FDR[[#Headers],[15]],FDR[15],"",0,1)</f>
        <v>5</v>
      </c>
      <c r="AB360" cm="1">
        <f t="array" ref="AB360">_xlfn.XLOOKUP(Matrix[[#This Row],[TEAM]]&amp;Matrix[[#Headers],[16]],FDR[FDR]&amp;FDR[[#Headers],[16]],FDR[16],"",0,1)</f>
        <v>5</v>
      </c>
      <c r="AC360" cm="1">
        <f t="array" ref="AC360">_xlfn.XLOOKUP(Matrix[[#This Row],[TEAM]]&amp;Matrix[[#Headers],[17]],FDR[FDR]&amp;FDR[[#Headers],[17]],FDR[17],"",0,1)</f>
        <v>4</v>
      </c>
      <c r="AD360" cm="1">
        <f t="array" ref="AD360">_xlfn.XLOOKUP(Matrix[[#This Row],[TEAM]]&amp;Matrix[[#Headers],[18]],FDR[FDR]&amp;FDR[[#Headers],[18]],FDR[18],"",0,1)</f>
        <v>5</v>
      </c>
      <c r="AE360" cm="1">
        <f t="array" ref="AE360">_xlfn.XLOOKUP(Matrix[[#This Row],[TEAM]]&amp;Matrix[[#Headers],[19]],FDR[FDR]&amp;FDR[[#Headers],[19]],FDR[19],"",0,1)</f>
        <v>5</v>
      </c>
      <c r="AF360" cm="1">
        <f t="array" ref="AF360">_xlfn.XLOOKUP(Matrix[[#This Row],[TEAM]]&amp;Matrix[[#Headers],[20]],FDR[FDR]&amp;FDR[[#Headers],[20]],FDR[20],"",0,1)</f>
        <v>4</v>
      </c>
      <c r="AG360" cm="1">
        <f t="array" ref="AG360">_xlfn.XLOOKUP(Matrix[[#This Row],[TEAM]]&amp;Matrix[[#Headers],[21]],FDR[FDR]&amp;FDR[[#Headers],[21]],FDR[21],"",0,1)</f>
        <v>5</v>
      </c>
      <c r="AH360" cm="1">
        <f t="array" ref="AH360">_xlfn.XLOOKUP(Matrix[[#This Row],[TEAM]]&amp;Matrix[[#Headers],[22]],FDR[FDR]&amp;FDR[[#Headers],[22]],FDR[22],"",0,1)</f>
        <v>5</v>
      </c>
      <c r="AI360" cm="1">
        <f t="array" ref="AI360">_xlfn.XLOOKUP(Matrix[[#This Row],[TEAM]]&amp;Matrix[[#Headers],[23]],FDR[FDR]&amp;FDR[[#Headers],[23]],FDR[23],"",0,1)</f>
        <v>5</v>
      </c>
      <c r="AJ360" cm="1">
        <f t="array" ref="AJ360">_xlfn.XLOOKUP(Matrix[[#This Row],[TEAM]]&amp;Matrix[[#Headers],[24]],FDR[FDR]&amp;FDR[[#Headers],[24]],FDR[24],"",0,1)</f>
        <v>4</v>
      </c>
      <c r="AK360" cm="1">
        <f t="array" ref="AK360">_xlfn.XLOOKUP(Matrix[[#This Row],[TEAM]]&amp;Matrix[[#Headers],[25]],FDR[FDR]&amp;FDR[[#Headers],[25]],FDR[25],"",0,1)</f>
        <v>5</v>
      </c>
      <c r="AL360" cm="1">
        <f t="array" ref="AL360">_xlfn.XLOOKUP(Matrix[[#This Row],[TEAM]]&amp;Matrix[[#Headers],[26]],FDR[FDR]&amp;FDR[[#Headers],[26]],FDR[26],"",0,1)</f>
        <v>5</v>
      </c>
      <c r="AM360" cm="1">
        <f t="array" ref="AM360">_xlfn.XLOOKUP(Matrix[[#This Row],[TEAM]]&amp;Matrix[[#Headers],[27]],FDR[FDR]&amp;FDR[[#Headers],[27]],FDR[27],"",0,1)</f>
        <v>5</v>
      </c>
      <c r="AN360" cm="1">
        <f t="array" ref="AN360">_xlfn.XLOOKUP(Matrix[[#This Row],[TEAM]]&amp;Matrix[[#Headers],[28]],FDR[FDR]&amp;FDR[[#Headers],[28]],FDR[28],"",0,1)</f>
        <v>5</v>
      </c>
      <c r="AO360" cm="1">
        <f t="array" ref="AO360">_xlfn.XLOOKUP(Matrix[[#This Row],[TEAM]]&amp;Matrix[[#Headers],[29]],FDR[FDR]&amp;FDR[[#Headers],[29]],FDR[29],"",0,1)</f>
        <v>5</v>
      </c>
      <c r="AP360" cm="1">
        <f t="array" ref="AP360">_xlfn.XLOOKUP(Matrix[[#This Row],[TEAM]]&amp;Matrix[[#Headers],[30]],FDR[FDR]&amp;FDR[[#Headers],[30]],FDR[30],"",0,1)</f>
        <v>5</v>
      </c>
      <c r="AQ360" cm="1">
        <f t="array" ref="AQ360">_xlfn.XLOOKUP(Matrix[[#This Row],[TEAM]]&amp;Matrix[[#Headers],[31]],FDR[FDR]&amp;FDR[[#Headers],[31]],FDR[31],"",0,1)</f>
        <v>5</v>
      </c>
      <c r="AR360" cm="1">
        <f t="array" ref="AR360">_xlfn.XLOOKUP(Matrix[[#This Row],[TEAM]]&amp;Matrix[[#Headers],[32]],FDR[FDR]&amp;FDR[[#Headers],[32]],FDR[32],"",0,1)</f>
        <v>5</v>
      </c>
      <c r="AS360" cm="1">
        <f t="array" ref="AS360">_xlfn.XLOOKUP(Matrix[[#This Row],[TEAM]]&amp;Matrix[[#Headers],[33]],FDR[FDR]&amp;FDR[[#Headers],[33]],FDR[33],"",0,1)</f>
        <v>3</v>
      </c>
      <c r="AT360" cm="1">
        <f t="array" ref="AT360">_xlfn.XLOOKUP(Matrix[[#This Row],[TEAM]]&amp;Matrix[[#Headers],[34]],FDR[FDR]&amp;FDR[[#Headers],[34]],FDR[34],"",0,1)</f>
        <v>5</v>
      </c>
      <c r="AU360" cm="1">
        <f t="array" ref="AU360">_xlfn.XLOOKUP(Matrix[[#This Row],[TEAM]]&amp;Matrix[[#Headers],[35]],FDR[FDR]&amp;FDR[[#Headers],[35]],FDR[35],"",0,1)</f>
        <v>2</v>
      </c>
      <c r="AV360" cm="1">
        <f t="array" ref="AV360">_xlfn.XLOOKUP(Matrix[[#This Row],[TEAM]]&amp;Matrix[[#Headers],[36]],FDR[FDR]&amp;FDR[[#Headers],[36]],FDR[36],"",0,1)</f>
        <v>5</v>
      </c>
      <c r="AW360" cm="1">
        <f t="array" ref="AW360">_xlfn.XLOOKUP(Matrix[[#This Row],[TEAM]]&amp;Matrix[[#Headers],[37]],FDR[FDR]&amp;FDR[[#Headers],[37]],FDR[37],"",0,1)</f>
        <v>4</v>
      </c>
      <c r="AX360" cm="1">
        <f t="array" ref="AX360">_xlfn.XLOOKUP(Matrix[[#This Row],[TEAM]]&amp;Matrix[[#Headers],[38]],FDR[FDR]&amp;FDR[[#Headers],[38]],FDR[38],"",0,1)</f>
        <v>3</v>
      </c>
    </row>
    <row r="361" spans="1:50" ht="22" thickTop="1" thickBot="1">
      <c r="A361" s="50" t="str">
        <f>INDEX!S$4</f>
        <v>MID</v>
      </c>
      <c r="B361" s="70" t="s">
        <v>1633</v>
      </c>
      <c r="C361" s="40" t="s">
        <v>26</v>
      </c>
      <c r="D361" s="62">
        <v>34</v>
      </c>
      <c r="E361" s="60">
        <v>1.9E-2</v>
      </c>
      <c r="F361" s="61">
        <v>33.200000000000003</v>
      </c>
      <c r="G361" s="63">
        <v>4.5</v>
      </c>
      <c r="H361" s="261">
        <f>IF(ISBLANK(I361),0,1)</f>
        <v>0</v>
      </c>
      <c r="I361" s="57"/>
      <c r="J361" s="58"/>
      <c r="K361" s="59" t="s">
        <v>569</v>
      </c>
      <c r="L361" s="59" t="s">
        <v>955</v>
      </c>
      <c r="M361" cm="1">
        <f t="array" ref="M361">_xlfn.XLOOKUP(Matrix[[#This Row],[TEAM]]&amp;Matrix[[#Headers],[1]],FDR[FDR]&amp;FDR[[#Headers],[1]],FDR[1],"",0,1)</f>
        <v>5</v>
      </c>
      <c r="N361" cm="1">
        <f t="array" ref="N361">_xlfn.XLOOKUP(Matrix[[#This Row],[TEAM]]&amp;Matrix[[#Headers],[2]],FDR[FDR]&amp;FDR[[#Headers],[2]],FDR[2],"",0,1)</f>
        <v>3</v>
      </c>
      <c r="O361" cm="1">
        <f t="array" ref="O361">_xlfn.XLOOKUP(Matrix[[#This Row],[TEAM]]&amp;Matrix[[#Headers],[3]],FDR[FDR]&amp;FDR[[#Headers],[3]],FDR[3],"",0,1)</f>
        <v>5</v>
      </c>
      <c r="P361" cm="1">
        <f t="array" ref="P361">_xlfn.XLOOKUP(Matrix[[#This Row],[TEAM]]&amp;Matrix[[#Headers],[4]],FDR[FDR]&amp;FDR[[#Headers],[4]],FDR[4],"",0,1)</f>
        <v>1</v>
      </c>
      <c r="Q361" cm="1">
        <f t="array" ref="Q361">_xlfn.XLOOKUP(Matrix[[#This Row],[TEAM]]&amp;Matrix[[#Headers],[5]],FDR[FDR]&amp;FDR[[#Headers],[5]],FDR[5],"",0,1)</f>
        <v>4</v>
      </c>
      <c r="R361" cm="1">
        <f t="array" ref="R361">_xlfn.XLOOKUP(Matrix[[#This Row],[TEAM]]&amp;Matrix[[#Headers],[6]],FDR[FDR]&amp;FDR[[#Headers],[6]],FDR[6],"",0,1)</f>
        <v>4</v>
      </c>
      <c r="S361" cm="1">
        <f t="array" ref="S361">_xlfn.XLOOKUP(Matrix[[#This Row],[TEAM]]&amp;Matrix[[#Headers],[7]],FDR[FDR]&amp;FDR[[#Headers],[7]],FDR[7],"",0,1)</f>
        <v>4</v>
      </c>
      <c r="T361" cm="1">
        <f t="array" ref="T361">_xlfn.XLOOKUP(Matrix[[#This Row],[TEAM]]&amp;Matrix[[#Headers],[8]],FDR[FDR]&amp;FDR[[#Headers],[8]],FDR[8],"",0,1)</f>
        <v>3</v>
      </c>
      <c r="U361" cm="1">
        <f t="array" ref="U361">_xlfn.XLOOKUP(Matrix[[#This Row],[TEAM]]&amp;Matrix[[#Headers],[9]],FDR[FDR]&amp;FDR[[#Headers],[9]],FDR[9],"",0,1)</f>
        <v>5</v>
      </c>
      <c r="V361" cm="1">
        <f t="array" ref="V361">_xlfn.XLOOKUP(Matrix[[#This Row],[TEAM]]&amp;Matrix[[#Headers],[10]],FDR[FDR]&amp;FDR[[#Headers],[10]],FDR[10],"",0,1)</f>
        <v>3</v>
      </c>
      <c r="W361" cm="1">
        <f t="array" ref="W361">_xlfn.XLOOKUP(Matrix[[#This Row],[TEAM]]&amp;Matrix[[#Headers],[11]],FDR[FDR]&amp;FDR[[#Headers],[11]],FDR[11],"",0,1)</f>
        <v>3</v>
      </c>
      <c r="X361" cm="1">
        <f t="array" ref="X361">_xlfn.XLOOKUP(Matrix[[#This Row],[TEAM]]&amp;Matrix[[#Headers],[12]],FDR[FDR]&amp;FDR[[#Headers],[12]],FDR[12],"",0,1)</f>
        <v>2</v>
      </c>
      <c r="Y361" cm="1">
        <f t="array" ref="Y361">_xlfn.XLOOKUP(Matrix[[#This Row],[TEAM]]&amp;Matrix[[#Headers],[13]],FDR[FDR]&amp;FDR[[#Headers],[13]],FDR[13],"",0,1)</f>
        <v>4</v>
      </c>
      <c r="Z361" cm="1">
        <f t="array" ref="Z361">_xlfn.XLOOKUP(Matrix[[#This Row],[TEAM]]&amp;Matrix[[#Headers],[14]],FDR[FDR]&amp;FDR[[#Headers],[14]],FDR[14],"",0,1)</f>
        <v>2</v>
      </c>
      <c r="AA361" cm="1">
        <f t="array" ref="AA361">_xlfn.XLOOKUP(Matrix[[#This Row],[TEAM]]&amp;Matrix[[#Headers],[15]],FDR[FDR]&amp;FDR[[#Headers],[15]],FDR[15],"",0,1)</f>
        <v>4</v>
      </c>
      <c r="AB361" cm="1">
        <f t="array" ref="AB361">_xlfn.XLOOKUP(Matrix[[#This Row],[TEAM]]&amp;Matrix[[#Headers],[16]],FDR[FDR]&amp;FDR[[#Headers],[16]],FDR[16],"",0,1)</f>
        <v>4</v>
      </c>
      <c r="AC361" cm="1">
        <f t="array" ref="AC361">_xlfn.XLOOKUP(Matrix[[#This Row],[TEAM]]&amp;Matrix[[#Headers],[17]],FDR[FDR]&amp;FDR[[#Headers],[17]],FDR[17],"",0,1)</f>
        <v>2</v>
      </c>
      <c r="AD361" cm="1">
        <f t="array" ref="AD361">_xlfn.XLOOKUP(Matrix[[#This Row],[TEAM]]&amp;Matrix[[#Headers],[18]],FDR[FDR]&amp;FDR[[#Headers],[18]],FDR[18],"",0,1)</f>
        <v>4</v>
      </c>
      <c r="AE361" cm="1">
        <f t="array" ref="AE361">_xlfn.XLOOKUP(Matrix[[#This Row],[TEAM]]&amp;Matrix[[#Headers],[19]],FDR[FDR]&amp;FDR[[#Headers],[19]],FDR[19],"",0,1)</f>
        <v>3</v>
      </c>
      <c r="AF361" cm="1">
        <f t="array" ref="AF361">_xlfn.XLOOKUP(Matrix[[#This Row],[TEAM]]&amp;Matrix[[#Headers],[20]],FDR[FDR]&amp;FDR[[#Headers],[20]],FDR[20],"",0,1)</f>
        <v>5</v>
      </c>
      <c r="AG361" cm="1">
        <f t="array" ref="AG361">_xlfn.XLOOKUP(Matrix[[#This Row],[TEAM]]&amp;Matrix[[#Headers],[21]],FDR[FDR]&amp;FDR[[#Headers],[21]],FDR[21],"",0,1)</f>
        <v>4</v>
      </c>
      <c r="AH361" cm="1">
        <f t="array" ref="AH361">_xlfn.XLOOKUP(Matrix[[#This Row],[TEAM]]&amp;Matrix[[#Headers],[22]],FDR[FDR]&amp;FDR[[#Headers],[22]],FDR[22],"",0,1)</f>
        <v>2</v>
      </c>
      <c r="AI361" cm="1">
        <f t="array" ref="AI361">_xlfn.XLOOKUP(Matrix[[#This Row],[TEAM]]&amp;Matrix[[#Headers],[23]],FDR[FDR]&amp;FDR[[#Headers],[23]],FDR[23],"",0,1)</f>
        <v>4</v>
      </c>
      <c r="AJ361" cm="1">
        <f t="array" ref="AJ361">_xlfn.XLOOKUP(Matrix[[#This Row],[TEAM]]&amp;Matrix[[#Headers],[24]],FDR[FDR]&amp;FDR[[#Headers],[24]],FDR[24],"",0,1)</f>
        <v>4</v>
      </c>
      <c r="AK361" cm="1">
        <f t="array" ref="AK361">_xlfn.XLOOKUP(Matrix[[#This Row],[TEAM]]&amp;Matrix[[#Headers],[25]],FDR[FDR]&amp;FDR[[#Headers],[25]],FDR[25],"",0,1)</f>
        <v>4</v>
      </c>
      <c r="AL361" cm="1">
        <f t="array" ref="AL361">_xlfn.XLOOKUP(Matrix[[#This Row],[TEAM]]&amp;Matrix[[#Headers],[26]],FDR[FDR]&amp;FDR[[#Headers],[26]],FDR[26],"",0,1)</f>
        <v>1</v>
      </c>
      <c r="AM361" cm="1">
        <f t="array" ref="AM361">_xlfn.XLOOKUP(Matrix[[#This Row],[TEAM]]&amp;Matrix[[#Headers],[27]],FDR[FDR]&amp;FDR[[#Headers],[27]],FDR[27],"",0,1)</f>
        <v>2</v>
      </c>
      <c r="AN361" cm="1">
        <f t="array" ref="AN361">_xlfn.XLOOKUP(Matrix[[#This Row],[TEAM]]&amp;Matrix[[#Headers],[28]],FDR[FDR]&amp;FDR[[#Headers],[28]],FDR[28],"",0,1)</f>
        <v>5</v>
      </c>
      <c r="AO361" cm="1">
        <f t="array" ref="AO361">_xlfn.XLOOKUP(Matrix[[#This Row],[TEAM]]&amp;Matrix[[#Headers],[29]],FDR[FDR]&amp;FDR[[#Headers],[29]],FDR[29],"",0,1)</f>
        <v>5</v>
      </c>
      <c r="AP361" cm="1">
        <f t="array" ref="AP361">_xlfn.XLOOKUP(Matrix[[#This Row],[TEAM]]&amp;Matrix[[#Headers],[30]],FDR[FDR]&amp;FDR[[#Headers],[30]],FDR[30],"",0,1)</f>
        <v>1</v>
      </c>
      <c r="AQ361" cm="1">
        <f t="array" ref="AQ361">_xlfn.XLOOKUP(Matrix[[#This Row],[TEAM]]&amp;Matrix[[#Headers],[31]],FDR[FDR]&amp;FDR[[#Headers],[31]],FDR[31],"",0,1)</f>
        <v>5</v>
      </c>
      <c r="AR361" cm="1">
        <f t="array" ref="AR361">_xlfn.XLOOKUP(Matrix[[#This Row],[TEAM]]&amp;Matrix[[#Headers],[32]],FDR[FDR]&amp;FDR[[#Headers],[32]],FDR[32],"",0,1)</f>
        <v>4</v>
      </c>
      <c r="AS361" cm="1">
        <f t="array" ref="AS361">_xlfn.XLOOKUP(Matrix[[#This Row],[TEAM]]&amp;Matrix[[#Headers],[33]],FDR[FDR]&amp;FDR[[#Headers],[33]],FDR[33],"",0,1)</f>
        <v>3</v>
      </c>
      <c r="AT361" cm="1">
        <f t="array" ref="AT361">_xlfn.XLOOKUP(Matrix[[#This Row],[TEAM]]&amp;Matrix[[#Headers],[34]],FDR[FDR]&amp;FDR[[#Headers],[34]],FDR[34],"",0,1)</f>
        <v>5</v>
      </c>
      <c r="AU361" cm="1">
        <f t="array" ref="AU361">_xlfn.XLOOKUP(Matrix[[#This Row],[TEAM]]&amp;Matrix[[#Headers],[35]],FDR[FDR]&amp;FDR[[#Headers],[35]],FDR[35],"",0,1)</f>
        <v>4</v>
      </c>
      <c r="AV361" cm="1">
        <f t="array" ref="AV361">_xlfn.XLOOKUP(Matrix[[#This Row],[TEAM]]&amp;Matrix[[#Headers],[36]],FDR[FDR]&amp;FDR[[#Headers],[36]],FDR[36],"",0,1)</f>
        <v>3</v>
      </c>
      <c r="AW361" cm="1">
        <f t="array" ref="AW361">_xlfn.XLOOKUP(Matrix[[#This Row],[TEAM]]&amp;Matrix[[#Headers],[37]],FDR[FDR]&amp;FDR[[#Headers],[37]],FDR[37],"",0,1)</f>
        <v>4</v>
      </c>
      <c r="AX361" cm="1">
        <f t="array" ref="AX361">_xlfn.XLOOKUP(Matrix[[#This Row],[TEAM]]&amp;Matrix[[#Headers],[38]],FDR[FDR]&amp;FDR[[#Headers],[38]],FDR[38],"",0,1)</f>
        <v>4</v>
      </c>
    </row>
    <row r="362" spans="1:50" ht="22" thickTop="1" thickBot="1">
      <c r="A362" s="53" t="str">
        <f>INDEX!S$4</f>
        <v>MID</v>
      </c>
      <c r="B362" s="70" t="s">
        <v>1698</v>
      </c>
      <c r="C362" s="40" t="s">
        <v>21</v>
      </c>
      <c r="D362" s="62">
        <v>10</v>
      </c>
      <c r="E362" s="60">
        <v>2E-3</v>
      </c>
      <c r="F362" s="61">
        <v>1.2</v>
      </c>
      <c r="G362" s="63">
        <v>4.5</v>
      </c>
      <c r="H362" s="261">
        <f>IF(ISBLANK(I362),0,1)</f>
        <v>0</v>
      </c>
      <c r="I362" s="57"/>
      <c r="J362" s="58"/>
      <c r="K362" s="59" t="s">
        <v>1015</v>
      </c>
      <c r="L362" s="59" t="s">
        <v>1016</v>
      </c>
      <c r="M362" cm="1">
        <f t="array" ref="M362">_xlfn.XLOOKUP(Matrix[[#This Row],[TEAM]]&amp;Matrix[[#Headers],[1]],FDR[FDR]&amp;FDR[[#Headers],[1]],FDR[1],"",0,1)</f>
        <v>4</v>
      </c>
      <c r="N362" cm="1">
        <f t="array" ref="N362">_xlfn.XLOOKUP(Matrix[[#This Row],[TEAM]]&amp;Matrix[[#Headers],[2]],FDR[FDR]&amp;FDR[[#Headers],[2]],FDR[2],"",0,1)</f>
        <v>4</v>
      </c>
      <c r="O362" cm="1">
        <f t="array" ref="O362">_xlfn.XLOOKUP(Matrix[[#This Row],[TEAM]]&amp;Matrix[[#Headers],[3]],FDR[FDR]&amp;FDR[[#Headers],[3]],FDR[3],"",0,1)</f>
        <v>2</v>
      </c>
      <c r="P362" cm="1">
        <f t="array" ref="P362">_xlfn.XLOOKUP(Matrix[[#This Row],[TEAM]]&amp;Matrix[[#Headers],[4]],FDR[FDR]&amp;FDR[[#Headers],[4]],FDR[4],"",0,1)</f>
        <v>4</v>
      </c>
      <c r="Q362" cm="1">
        <f t="array" ref="Q362">_xlfn.XLOOKUP(Matrix[[#This Row],[TEAM]]&amp;Matrix[[#Headers],[5]],FDR[FDR]&amp;FDR[[#Headers],[5]],FDR[5],"",0,1)</f>
        <v>4</v>
      </c>
      <c r="R362" cm="1">
        <f t="array" ref="R362">_xlfn.XLOOKUP(Matrix[[#This Row],[TEAM]]&amp;Matrix[[#Headers],[6]],FDR[FDR]&amp;FDR[[#Headers],[6]],FDR[6],"",0,1)</f>
        <v>4</v>
      </c>
      <c r="S362" cm="1">
        <f t="array" ref="S362">_xlfn.XLOOKUP(Matrix[[#This Row],[TEAM]]&amp;Matrix[[#Headers],[7]],FDR[FDR]&amp;FDR[[#Headers],[7]],FDR[7],"",0,1)</f>
        <v>4</v>
      </c>
      <c r="T362" cm="1">
        <f t="array" ref="T362">_xlfn.XLOOKUP(Matrix[[#This Row],[TEAM]]&amp;Matrix[[#Headers],[8]],FDR[FDR]&amp;FDR[[#Headers],[8]],FDR[8],"",0,1)</f>
        <v>4</v>
      </c>
      <c r="U362" cm="1">
        <f t="array" ref="U362">_xlfn.XLOOKUP(Matrix[[#This Row],[TEAM]]&amp;Matrix[[#Headers],[9]],FDR[FDR]&amp;FDR[[#Headers],[9]],FDR[9],"",0,1)</f>
        <v>4</v>
      </c>
      <c r="V362" cm="1">
        <f t="array" ref="V362">_xlfn.XLOOKUP(Matrix[[#This Row],[TEAM]]&amp;Matrix[[#Headers],[10]],FDR[FDR]&amp;FDR[[#Headers],[10]],FDR[10],"",0,1)</f>
        <v>4</v>
      </c>
      <c r="W362" cm="1">
        <f t="array" ref="W362">_xlfn.XLOOKUP(Matrix[[#This Row],[TEAM]]&amp;Matrix[[#Headers],[11]],FDR[FDR]&amp;FDR[[#Headers],[11]],FDR[11],"",0,1)</f>
        <v>4</v>
      </c>
      <c r="X362" cm="1">
        <f t="array" ref="X362">_xlfn.XLOOKUP(Matrix[[#This Row],[TEAM]]&amp;Matrix[[#Headers],[12]],FDR[FDR]&amp;FDR[[#Headers],[12]],FDR[12],"",0,1)</f>
        <v>4</v>
      </c>
      <c r="Y362" cm="1">
        <f t="array" ref="Y362">_xlfn.XLOOKUP(Matrix[[#This Row],[TEAM]]&amp;Matrix[[#Headers],[13]],FDR[FDR]&amp;FDR[[#Headers],[13]],FDR[13],"",0,1)</f>
        <v>1</v>
      </c>
      <c r="Z362" cm="1">
        <f t="array" ref="Z362">_xlfn.XLOOKUP(Matrix[[#This Row],[TEAM]]&amp;Matrix[[#Headers],[14]],FDR[FDR]&amp;FDR[[#Headers],[14]],FDR[14],"",0,1)</f>
        <v>5</v>
      </c>
      <c r="AA362" cm="1">
        <f t="array" ref="AA362">_xlfn.XLOOKUP(Matrix[[#This Row],[TEAM]]&amp;Matrix[[#Headers],[15]],FDR[FDR]&amp;FDR[[#Headers],[15]],FDR[15],"",0,1)</f>
        <v>5</v>
      </c>
      <c r="AB362" cm="1">
        <f t="array" ref="AB362">_xlfn.XLOOKUP(Matrix[[#This Row],[TEAM]]&amp;Matrix[[#Headers],[16]],FDR[FDR]&amp;FDR[[#Headers],[16]],FDR[16],"",0,1)</f>
        <v>1</v>
      </c>
      <c r="AC362" cm="1">
        <f t="array" ref="AC362">_xlfn.XLOOKUP(Matrix[[#This Row],[TEAM]]&amp;Matrix[[#Headers],[17]],FDR[FDR]&amp;FDR[[#Headers],[17]],FDR[17],"",0,1)</f>
        <v>2</v>
      </c>
      <c r="AD362" cm="1">
        <f t="array" ref="AD362">_xlfn.XLOOKUP(Matrix[[#This Row],[TEAM]]&amp;Matrix[[#Headers],[18]],FDR[FDR]&amp;FDR[[#Headers],[18]],FDR[18],"",0,1)</f>
        <v>3</v>
      </c>
      <c r="AE362" cm="1">
        <f t="array" ref="AE362">_xlfn.XLOOKUP(Matrix[[#This Row],[TEAM]]&amp;Matrix[[#Headers],[19]],FDR[FDR]&amp;FDR[[#Headers],[19]],FDR[19],"",0,1)</f>
        <v>4</v>
      </c>
      <c r="AF362" cm="1">
        <f t="array" ref="AF362">_xlfn.XLOOKUP(Matrix[[#This Row],[TEAM]]&amp;Matrix[[#Headers],[20]],FDR[FDR]&amp;FDR[[#Headers],[20]],FDR[20],"",0,1)</f>
        <v>4</v>
      </c>
      <c r="AG362" cm="1">
        <f t="array" ref="AG362">_xlfn.XLOOKUP(Matrix[[#This Row],[TEAM]]&amp;Matrix[[#Headers],[21]],FDR[FDR]&amp;FDR[[#Headers],[21]],FDR[21],"",0,1)</f>
        <v>1</v>
      </c>
      <c r="AH362" cm="1">
        <f t="array" ref="AH362">_xlfn.XLOOKUP(Matrix[[#This Row],[TEAM]]&amp;Matrix[[#Headers],[22]],FDR[FDR]&amp;FDR[[#Headers],[22]],FDR[22],"",0,1)</f>
        <v>5</v>
      </c>
      <c r="AI362" cm="1">
        <f t="array" ref="AI362">_xlfn.XLOOKUP(Matrix[[#This Row],[TEAM]]&amp;Matrix[[#Headers],[23]],FDR[FDR]&amp;FDR[[#Headers],[23]],FDR[23],"",0,1)</f>
        <v>3</v>
      </c>
      <c r="AJ362" cm="1">
        <f t="array" ref="AJ362">_xlfn.XLOOKUP(Matrix[[#This Row],[TEAM]]&amp;Matrix[[#Headers],[24]],FDR[FDR]&amp;FDR[[#Headers],[24]],FDR[24],"",0,1)</f>
        <v>5</v>
      </c>
      <c r="AK362" cm="1">
        <f t="array" ref="AK362">_xlfn.XLOOKUP(Matrix[[#This Row],[TEAM]]&amp;Matrix[[#Headers],[25]],FDR[FDR]&amp;FDR[[#Headers],[25]],FDR[25],"",0,1)</f>
        <v>5</v>
      </c>
      <c r="AL362" cm="1">
        <f t="array" ref="AL362">_xlfn.XLOOKUP(Matrix[[#This Row],[TEAM]]&amp;Matrix[[#Headers],[26]],FDR[FDR]&amp;FDR[[#Headers],[26]],FDR[26],"",0,1)</f>
        <v>4</v>
      </c>
      <c r="AM362" cm="1">
        <f t="array" ref="AM362">_xlfn.XLOOKUP(Matrix[[#This Row],[TEAM]]&amp;Matrix[[#Headers],[27]],FDR[FDR]&amp;FDR[[#Headers],[27]],FDR[27],"",0,1)</f>
        <v>3</v>
      </c>
      <c r="AN362" cm="1">
        <f t="array" ref="AN362">_xlfn.XLOOKUP(Matrix[[#This Row],[TEAM]]&amp;Matrix[[#Headers],[28]],FDR[FDR]&amp;FDR[[#Headers],[28]],FDR[28],"",0,1)</f>
        <v>2</v>
      </c>
      <c r="AO362" cm="1">
        <f t="array" ref="AO362">_xlfn.XLOOKUP(Matrix[[#This Row],[TEAM]]&amp;Matrix[[#Headers],[29]],FDR[FDR]&amp;FDR[[#Headers],[29]],FDR[29],"",0,1)</f>
        <v>4</v>
      </c>
      <c r="AP362" cm="1">
        <f t="array" ref="AP362">_xlfn.XLOOKUP(Matrix[[#This Row],[TEAM]]&amp;Matrix[[#Headers],[30]],FDR[FDR]&amp;FDR[[#Headers],[30]],FDR[30],"",0,1)</f>
        <v>2</v>
      </c>
      <c r="AQ362" cm="1">
        <f t="array" ref="AQ362">_xlfn.XLOOKUP(Matrix[[#This Row],[TEAM]]&amp;Matrix[[#Headers],[31]],FDR[FDR]&amp;FDR[[#Headers],[31]],FDR[31],"",0,1)</f>
        <v>2</v>
      </c>
      <c r="AR362" cm="1">
        <f t="array" ref="AR362">_xlfn.XLOOKUP(Matrix[[#This Row],[TEAM]]&amp;Matrix[[#Headers],[32]],FDR[FDR]&amp;FDR[[#Headers],[32]],FDR[32],"",0,1)</f>
        <v>3</v>
      </c>
      <c r="AS362" cm="1">
        <f t="array" ref="AS362">_xlfn.XLOOKUP(Matrix[[#This Row],[TEAM]]&amp;Matrix[[#Headers],[33]],FDR[FDR]&amp;FDR[[#Headers],[33]],FDR[33],"",0,1)</f>
        <v>3</v>
      </c>
      <c r="AT362" cm="1">
        <f t="array" ref="AT362">_xlfn.XLOOKUP(Matrix[[#This Row],[TEAM]]&amp;Matrix[[#Headers],[34]],FDR[FDR]&amp;FDR[[#Headers],[34]],FDR[34],"",0,1)</f>
        <v>5</v>
      </c>
      <c r="AU362" cm="1">
        <f t="array" ref="AU362">_xlfn.XLOOKUP(Matrix[[#This Row],[TEAM]]&amp;Matrix[[#Headers],[35]],FDR[FDR]&amp;FDR[[#Headers],[35]],FDR[35],"",0,1)</f>
        <v>3</v>
      </c>
      <c r="AV362" cm="1">
        <f t="array" ref="AV362">_xlfn.XLOOKUP(Matrix[[#This Row],[TEAM]]&amp;Matrix[[#Headers],[36]],FDR[FDR]&amp;FDR[[#Headers],[36]],FDR[36],"",0,1)</f>
        <v>5</v>
      </c>
      <c r="AW362" cm="1">
        <f t="array" ref="AW362">_xlfn.XLOOKUP(Matrix[[#This Row],[TEAM]]&amp;Matrix[[#Headers],[37]],FDR[FDR]&amp;FDR[[#Headers],[37]],FDR[37],"",0,1)</f>
        <v>3</v>
      </c>
      <c r="AX362" cm="1">
        <f t="array" ref="AX362">_xlfn.XLOOKUP(Matrix[[#This Row],[TEAM]]&amp;Matrix[[#Headers],[38]],FDR[FDR]&amp;FDR[[#Headers],[38]],FDR[38],"",0,1)</f>
        <v>5</v>
      </c>
    </row>
    <row r="363" spans="1:50" ht="22" thickTop="1" thickBot="1">
      <c r="A363" s="53" t="str">
        <f>INDEX!S$4</f>
        <v>MID</v>
      </c>
      <c r="B363" s="70" t="s">
        <v>1657</v>
      </c>
      <c r="C363" s="40" t="s">
        <v>23</v>
      </c>
      <c r="D363" s="62">
        <v>10</v>
      </c>
      <c r="E363" s="60">
        <v>6.0000000000000001E-3</v>
      </c>
      <c r="F363" s="61">
        <v>11.2</v>
      </c>
      <c r="G363" s="63">
        <v>4.5</v>
      </c>
      <c r="H363" s="261">
        <f>IF(ISBLANK(I363),0,1)</f>
        <v>0</v>
      </c>
      <c r="I363" s="57"/>
      <c r="J363" s="58"/>
      <c r="K363" s="59" t="s">
        <v>456</v>
      </c>
      <c r="L363" s="59" t="s">
        <v>107</v>
      </c>
      <c r="M363" cm="1">
        <f t="array" ref="M363">_xlfn.XLOOKUP(Matrix[[#This Row],[TEAM]]&amp;Matrix[[#Headers],[1]],FDR[FDR]&amp;FDR[[#Headers],[1]],FDR[1],"",0,1)</f>
        <v>4</v>
      </c>
      <c r="N363" cm="1">
        <f t="array" ref="N363">_xlfn.XLOOKUP(Matrix[[#This Row],[TEAM]]&amp;Matrix[[#Headers],[2]],FDR[FDR]&amp;FDR[[#Headers],[2]],FDR[2],"",0,1)</f>
        <v>4</v>
      </c>
      <c r="O363" cm="1">
        <f t="array" ref="O363">_xlfn.XLOOKUP(Matrix[[#This Row],[TEAM]]&amp;Matrix[[#Headers],[3]],FDR[FDR]&amp;FDR[[#Headers],[3]],FDR[3],"",0,1)</f>
        <v>5</v>
      </c>
      <c r="P363" cm="1">
        <f t="array" ref="P363">_xlfn.XLOOKUP(Matrix[[#This Row],[TEAM]]&amp;Matrix[[#Headers],[4]],FDR[FDR]&amp;FDR[[#Headers],[4]],FDR[4],"",0,1)</f>
        <v>1</v>
      </c>
      <c r="Q363" cm="1">
        <f t="array" ref="Q363">_xlfn.XLOOKUP(Matrix[[#This Row],[TEAM]]&amp;Matrix[[#Headers],[5]],FDR[FDR]&amp;FDR[[#Headers],[5]],FDR[5],"",0,1)</f>
        <v>2</v>
      </c>
      <c r="R363" cm="1">
        <f t="array" ref="R363">_xlfn.XLOOKUP(Matrix[[#This Row],[TEAM]]&amp;Matrix[[#Headers],[6]],FDR[FDR]&amp;FDR[[#Headers],[6]],FDR[6],"",0,1)</f>
        <v>5</v>
      </c>
      <c r="S363" cm="1">
        <f t="array" ref="S363">_xlfn.XLOOKUP(Matrix[[#This Row],[TEAM]]&amp;Matrix[[#Headers],[7]],FDR[FDR]&amp;FDR[[#Headers],[7]],FDR[7],"",0,1)</f>
        <v>4</v>
      </c>
      <c r="T363" cm="1">
        <f t="array" ref="T363">_xlfn.XLOOKUP(Matrix[[#This Row],[TEAM]]&amp;Matrix[[#Headers],[8]],FDR[FDR]&amp;FDR[[#Headers],[8]],FDR[8],"",0,1)</f>
        <v>4</v>
      </c>
      <c r="U363" cm="1">
        <f t="array" ref="U363">_xlfn.XLOOKUP(Matrix[[#This Row],[TEAM]]&amp;Matrix[[#Headers],[9]],FDR[FDR]&amp;FDR[[#Headers],[9]],FDR[9],"",0,1)</f>
        <v>5</v>
      </c>
      <c r="V363" cm="1">
        <f t="array" ref="V363">_xlfn.XLOOKUP(Matrix[[#This Row],[TEAM]]&amp;Matrix[[#Headers],[10]],FDR[FDR]&amp;FDR[[#Headers],[10]],FDR[10],"",0,1)</f>
        <v>1</v>
      </c>
      <c r="W363" cm="1">
        <f t="array" ref="W363">_xlfn.XLOOKUP(Matrix[[#This Row],[TEAM]]&amp;Matrix[[#Headers],[11]],FDR[FDR]&amp;FDR[[#Headers],[11]],FDR[11],"",0,1)</f>
        <v>3</v>
      </c>
      <c r="X363" cm="1">
        <f t="array" ref="X363">_xlfn.XLOOKUP(Matrix[[#This Row],[TEAM]]&amp;Matrix[[#Headers],[12]],FDR[FDR]&amp;FDR[[#Headers],[12]],FDR[12],"",0,1)</f>
        <v>1</v>
      </c>
      <c r="Y363" cm="1">
        <f t="array" ref="Y363">_xlfn.XLOOKUP(Matrix[[#This Row],[TEAM]]&amp;Matrix[[#Headers],[13]],FDR[FDR]&amp;FDR[[#Headers],[13]],FDR[13],"",0,1)</f>
        <v>5</v>
      </c>
      <c r="Z363" cm="1">
        <f t="array" ref="Z363">_xlfn.XLOOKUP(Matrix[[#This Row],[TEAM]]&amp;Matrix[[#Headers],[14]],FDR[FDR]&amp;FDR[[#Headers],[14]],FDR[14],"",0,1)</f>
        <v>4</v>
      </c>
      <c r="AA363" cm="1">
        <f t="array" ref="AA363">_xlfn.XLOOKUP(Matrix[[#This Row],[TEAM]]&amp;Matrix[[#Headers],[15]],FDR[FDR]&amp;FDR[[#Headers],[15]],FDR[15],"",0,1)</f>
        <v>2</v>
      </c>
      <c r="AB363" cm="1">
        <f t="array" ref="AB363">_xlfn.XLOOKUP(Matrix[[#This Row],[TEAM]]&amp;Matrix[[#Headers],[16]],FDR[FDR]&amp;FDR[[#Headers],[16]],FDR[16],"",0,1)</f>
        <v>2</v>
      </c>
      <c r="AC363" cm="1">
        <f t="array" ref="AC363">_xlfn.XLOOKUP(Matrix[[#This Row],[TEAM]]&amp;Matrix[[#Headers],[17]],FDR[FDR]&amp;FDR[[#Headers],[17]],FDR[17],"",0,1)</f>
        <v>3</v>
      </c>
      <c r="AD363" cm="1">
        <f t="array" ref="AD363">_xlfn.XLOOKUP(Matrix[[#This Row],[TEAM]]&amp;Matrix[[#Headers],[18]],FDR[FDR]&amp;FDR[[#Headers],[18]],FDR[18],"",0,1)</f>
        <v>3</v>
      </c>
      <c r="AE363" cm="1">
        <f t="array" ref="AE363">_xlfn.XLOOKUP(Matrix[[#This Row],[TEAM]]&amp;Matrix[[#Headers],[19]],FDR[FDR]&amp;FDR[[#Headers],[19]],FDR[19],"",0,1)</f>
        <v>3</v>
      </c>
      <c r="AF363" cm="1">
        <f t="array" ref="AF363">_xlfn.XLOOKUP(Matrix[[#This Row],[TEAM]]&amp;Matrix[[#Headers],[20]],FDR[FDR]&amp;FDR[[#Headers],[20]],FDR[20],"",0,1)</f>
        <v>4</v>
      </c>
      <c r="AG363" cm="1">
        <f t="array" ref="AG363">_xlfn.XLOOKUP(Matrix[[#This Row],[TEAM]]&amp;Matrix[[#Headers],[21]],FDR[FDR]&amp;FDR[[#Headers],[21]],FDR[21],"",0,1)</f>
        <v>4</v>
      </c>
      <c r="AH363" cm="1">
        <f t="array" ref="AH363">_xlfn.XLOOKUP(Matrix[[#This Row],[TEAM]]&amp;Matrix[[#Headers],[22]],FDR[FDR]&amp;FDR[[#Headers],[22]],FDR[22],"",0,1)</f>
        <v>2</v>
      </c>
      <c r="AI363" cm="1">
        <f t="array" ref="AI363">_xlfn.XLOOKUP(Matrix[[#This Row],[TEAM]]&amp;Matrix[[#Headers],[23]],FDR[FDR]&amp;FDR[[#Headers],[23]],FDR[23],"",0,1)</f>
        <v>3</v>
      </c>
      <c r="AJ363" cm="1">
        <f t="array" ref="AJ363">_xlfn.XLOOKUP(Matrix[[#This Row],[TEAM]]&amp;Matrix[[#Headers],[24]],FDR[FDR]&amp;FDR[[#Headers],[24]],FDR[24],"",0,1)</f>
        <v>5</v>
      </c>
      <c r="AK363" cm="1">
        <f t="array" ref="AK363">_xlfn.XLOOKUP(Matrix[[#This Row],[TEAM]]&amp;Matrix[[#Headers],[25]],FDR[FDR]&amp;FDR[[#Headers],[25]],FDR[25],"",0,1)</f>
        <v>2</v>
      </c>
      <c r="AL363" cm="1">
        <f t="array" ref="AL363">_xlfn.XLOOKUP(Matrix[[#This Row],[TEAM]]&amp;Matrix[[#Headers],[26]],FDR[FDR]&amp;FDR[[#Headers],[26]],FDR[26],"",0,1)</f>
        <v>5</v>
      </c>
      <c r="AM363" cm="1">
        <f t="array" ref="AM363">_xlfn.XLOOKUP(Matrix[[#This Row],[TEAM]]&amp;Matrix[[#Headers],[27]],FDR[FDR]&amp;FDR[[#Headers],[27]],FDR[27],"",0,1)</f>
        <v>2</v>
      </c>
      <c r="AN363" cm="1">
        <f t="array" ref="AN363">_xlfn.XLOOKUP(Matrix[[#This Row],[TEAM]]&amp;Matrix[[#Headers],[28]],FDR[FDR]&amp;FDR[[#Headers],[28]],FDR[28],"",0,1)</f>
        <v>4</v>
      </c>
      <c r="AO363" cm="1">
        <f t="array" ref="AO363">_xlfn.XLOOKUP(Matrix[[#This Row],[TEAM]]&amp;Matrix[[#Headers],[29]],FDR[FDR]&amp;FDR[[#Headers],[29]],FDR[29],"",0,1)</f>
        <v>2</v>
      </c>
      <c r="AP363" cm="1">
        <f t="array" ref="AP363">_xlfn.XLOOKUP(Matrix[[#This Row],[TEAM]]&amp;Matrix[[#Headers],[30]],FDR[FDR]&amp;FDR[[#Headers],[30]],FDR[30],"",0,1)</f>
        <v>4</v>
      </c>
      <c r="AQ363" cm="1">
        <f t="array" ref="AQ363">_xlfn.XLOOKUP(Matrix[[#This Row],[TEAM]]&amp;Matrix[[#Headers],[31]],FDR[FDR]&amp;FDR[[#Headers],[31]],FDR[31],"",0,1)</f>
        <v>1</v>
      </c>
      <c r="AR363" cm="1">
        <f t="array" ref="AR363">_xlfn.XLOOKUP(Matrix[[#This Row],[TEAM]]&amp;Matrix[[#Headers],[32]],FDR[FDR]&amp;FDR[[#Headers],[32]],FDR[32],"",0,1)</f>
        <v>5</v>
      </c>
      <c r="AS363" cm="1">
        <f t="array" ref="AS363">_xlfn.XLOOKUP(Matrix[[#This Row],[TEAM]]&amp;Matrix[[#Headers],[33]],FDR[FDR]&amp;FDR[[#Headers],[33]],FDR[33],"",0,1)</f>
        <v>3</v>
      </c>
      <c r="AT363" cm="1">
        <f t="array" ref="AT363">_xlfn.XLOOKUP(Matrix[[#This Row],[TEAM]]&amp;Matrix[[#Headers],[34]],FDR[FDR]&amp;FDR[[#Headers],[34]],FDR[34],"",0,1)</f>
        <v>3</v>
      </c>
      <c r="AU363" cm="1">
        <f t="array" ref="AU363">_xlfn.XLOOKUP(Matrix[[#This Row],[TEAM]]&amp;Matrix[[#Headers],[35]],FDR[FDR]&amp;FDR[[#Headers],[35]],FDR[35],"",0,1)</f>
        <v>5</v>
      </c>
      <c r="AV363" cm="1">
        <f t="array" ref="AV363">_xlfn.XLOOKUP(Matrix[[#This Row],[TEAM]]&amp;Matrix[[#Headers],[36]],FDR[FDR]&amp;FDR[[#Headers],[36]],FDR[36],"",0,1)</f>
        <v>3</v>
      </c>
      <c r="AW363" cm="1">
        <f t="array" ref="AW363">_xlfn.XLOOKUP(Matrix[[#This Row],[TEAM]]&amp;Matrix[[#Headers],[37]],FDR[FDR]&amp;FDR[[#Headers],[37]],FDR[37],"",0,1)</f>
        <v>2</v>
      </c>
      <c r="AX363" cm="1">
        <f t="array" ref="AX363">_xlfn.XLOOKUP(Matrix[[#This Row],[TEAM]]&amp;Matrix[[#Headers],[38]],FDR[FDR]&amp;FDR[[#Headers],[38]],FDR[38],"",0,1)</f>
        <v>4</v>
      </c>
    </row>
    <row r="364" spans="1:50" ht="22" thickTop="1" thickBot="1">
      <c r="A364" s="53" t="str">
        <f>INDEX!S$4</f>
        <v>MID</v>
      </c>
      <c r="B364" s="70" t="s">
        <v>1685</v>
      </c>
      <c r="C364" s="40" t="s">
        <v>23</v>
      </c>
      <c r="D364" s="62">
        <v>10</v>
      </c>
      <c r="E364" s="60">
        <v>3.0000000000000001E-3</v>
      </c>
      <c r="F364" s="61">
        <v>7.1</v>
      </c>
      <c r="G364" s="63">
        <v>4.5</v>
      </c>
      <c r="H364" s="261">
        <f>IF(ISBLANK(I364),0,1)</f>
        <v>0</v>
      </c>
      <c r="I364" s="57"/>
      <c r="J364" s="58"/>
      <c r="K364" s="59" t="s">
        <v>415</v>
      </c>
      <c r="L364" s="59" t="s">
        <v>226</v>
      </c>
      <c r="M364" cm="1">
        <f t="array" ref="M364">_xlfn.XLOOKUP(Matrix[[#This Row],[TEAM]]&amp;Matrix[[#Headers],[1]],FDR[FDR]&amp;FDR[[#Headers],[1]],FDR[1],"",0,1)</f>
        <v>4</v>
      </c>
      <c r="N364" cm="1">
        <f t="array" ref="N364">_xlfn.XLOOKUP(Matrix[[#This Row],[TEAM]]&amp;Matrix[[#Headers],[2]],FDR[FDR]&amp;FDR[[#Headers],[2]],FDR[2],"",0,1)</f>
        <v>4</v>
      </c>
      <c r="O364" cm="1">
        <f t="array" ref="O364">_xlfn.XLOOKUP(Matrix[[#This Row],[TEAM]]&amp;Matrix[[#Headers],[3]],FDR[FDR]&amp;FDR[[#Headers],[3]],FDR[3],"",0,1)</f>
        <v>5</v>
      </c>
      <c r="P364" cm="1">
        <f t="array" ref="P364">_xlfn.XLOOKUP(Matrix[[#This Row],[TEAM]]&amp;Matrix[[#Headers],[4]],FDR[FDR]&amp;FDR[[#Headers],[4]],FDR[4],"",0,1)</f>
        <v>1</v>
      </c>
      <c r="Q364" cm="1">
        <f t="array" ref="Q364">_xlfn.XLOOKUP(Matrix[[#This Row],[TEAM]]&amp;Matrix[[#Headers],[5]],FDR[FDR]&amp;FDR[[#Headers],[5]],FDR[5],"",0,1)</f>
        <v>2</v>
      </c>
      <c r="R364" cm="1">
        <f t="array" ref="R364">_xlfn.XLOOKUP(Matrix[[#This Row],[TEAM]]&amp;Matrix[[#Headers],[6]],FDR[FDR]&amp;FDR[[#Headers],[6]],FDR[6],"",0,1)</f>
        <v>5</v>
      </c>
      <c r="S364" cm="1">
        <f t="array" ref="S364">_xlfn.XLOOKUP(Matrix[[#This Row],[TEAM]]&amp;Matrix[[#Headers],[7]],FDR[FDR]&amp;FDR[[#Headers],[7]],FDR[7],"",0,1)</f>
        <v>4</v>
      </c>
      <c r="T364" cm="1">
        <f t="array" ref="T364">_xlfn.XLOOKUP(Matrix[[#This Row],[TEAM]]&amp;Matrix[[#Headers],[8]],FDR[FDR]&amp;FDR[[#Headers],[8]],FDR[8],"",0,1)</f>
        <v>4</v>
      </c>
      <c r="U364" cm="1">
        <f t="array" ref="U364">_xlfn.XLOOKUP(Matrix[[#This Row],[TEAM]]&amp;Matrix[[#Headers],[9]],FDR[FDR]&amp;FDR[[#Headers],[9]],FDR[9],"",0,1)</f>
        <v>5</v>
      </c>
      <c r="V364" cm="1">
        <f t="array" ref="V364">_xlfn.XLOOKUP(Matrix[[#This Row],[TEAM]]&amp;Matrix[[#Headers],[10]],FDR[FDR]&amp;FDR[[#Headers],[10]],FDR[10],"",0,1)</f>
        <v>1</v>
      </c>
      <c r="W364" cm="1">
        <f t="array" ref="W364">_xlfn.XLOOKUP(Matrix[[#This Row],[TEAM]]&amp;Matrix[[#Headers],[11]],FDR[FDR]&amp;FDR[[#Headers],[11]],FDR[11],"",0,1)</f>
        <v>3</v>
      </c>
      <c r="X364" cm="1">
        <f t="array" ref="X364">_xlfn.XLOOKUP(Matrix[[#This Row],[TEAM]]&amp;Matrix[[#Headers],[12]],FDR[FDR]&amp;FDR[[#Headers],[12]],FDR[12],"",0,1)</f>
        <v>1</v>
      </c>
      <c r="Y364" cm="1">
        <f t="array" ref="Y364">_xlfn.XLOOKUP(Matrix[[#This Row],[TEAM]]&amp;Matrix[[#Headers],[13]],FDR[FDR]&amp;FDR[[#Headers],[13]],FDR[13],"",0,1)</f>
        <v>5</v>
      </c>
      <c r="Z364" cm="1">
        <f t="array" ref="Z364">_xlfn.XLOOKUP(Matrix[[#This Row],[TEAM]]&amp;Matrix[[#Headers],[14]],FDR[FDR]&amp;FDR[[#Headers],[14]],FDR[14],"",0,1)</f>
        <v>4</v>
      </c>
      <c r="AA364" cm="1">
        <f t="array" ref="AA364">_xlfn.XLOOKUP(Matrix[[#This Row],[TEAM]]&amp;Matrix[[#Headers],[15]],FDR[FDR]&amp;FDR[[#Headers],[15]],FDR[15],"",0,1)</f>
        <v>2</v>
      </c>
      <c r="AB364" cm="1">
        <f t="array" ref="AB364">_xlfn.XLOOKUP(Matrix[[#This Row],[TEAM]]&amp;Matrix[[#Headers],[16]],FDR[FDR]&amp;FDR[[#Headers],[16]],FDR[16],"",0,1)</f>
        <v>2</v>
      </c>
      <c r="AC364" cm="1">
        <f t="array" ref="AC364">_xlfn.XLOOKUP(Matrix[[#This Row],[TEAM]]&amp;Matrix[[#Headers],[17]],FDR[FDR]&amp;FDR[[#Headers],[17]],FDR[17],"",0,1)</f>
        <v>3</v>
      </c>
      <c r="AD364" cm="1">
        <f t="array" ref="AD364">_xlfn.XLOOKUP(Matrix[[#This Row],[TEAM]]&amp;Matrix[[#Headers],[18]],FDR[FDR]&amp;FDR[[#Headers],[18]],FDR[18],"",0,1)</f>
        <v>3</v>
      </c>
      <c r="AE364" cm="1">
        <f t="array" ref="AE364">_xlfn.XLOOKUP(Matrix[[#This Row],[TEAM]]&amp;Matrix[[#Headers],[19]],FDR[FDR]&amp;FDR[[#Headers],[19]],FDR[19],"",0,1)</f>
        <v>3</v>
      </c>
      <c r="AF364" cm="1">
        <f t="array" ref="AF364">_xlfn.XLOOKUP(Matrix[[#This Row],[TEAM]]&amp;Matrix[[#Headers],[20]],FDR[FDR]&amp;FDR[[#Headers],[20]],FDR[20],"",0,1)</f>
        <v>4</v>
      </c>
      <c r="AG364" cm="1">
        <f t="array" ref="AG364">_xlfn.XLOOKUP(Matrix[[#This Row],[TEAM]]&amp;Matrix[[#Headers],[21]],FDR[FDR]&amp;FDR[[#Headers],[21]],FDR[21],"",0,1)</f>
        <v>4</v>
      </c>
      <c r="AH364" cm="1">
        <f t="array" ref="AH364">_xlfn.XLOOKUP(Matrix[[#This Row],[TEAM]]&amp;Matrix[[#Headers],[22]],FDR[FDR]&amp;FDR[[#Headers],[22]],FDR[22],"",0,1)</f>
        <v>2</v>
      </c>
      <c r="AI364" cm="1">
        <f t="array" ref="AI364">_xlfn.XLOOKUP(Matrix[[#This Row],[TEAM]]&amp;Matrix[[#Headers],[23]],FDR[FDR]&amp;FDR[[#Headers],[23]],FDR[23],"",0,1)</f>
        <v>3</v>
      </c>
      <c r="AJ364" cm="1">
        <f t="array" ref="AJ364">_xlfn.XLOOKUP(Matrix[[#This Row],[TEAM]]&amp;Matrix[[#Headers],[24]],FDR[FDR]&amp;FDR[[#Headers],[24]],FDR[24],"",0,1)</f>
        <v>5</v>
      </c>
      <c r="AK364" cm="1">
        <f t="array" ref="AK364">_xlfn.XLOOKUP(Matrix[[#This Row],[TEAM]]&amp;Matrix[[#Headers],[25]],FDR[FDR]&amp;FDR[[#Headers],[25]],FDR[25],"",0,1)</f>
        <v>2</v>
      </c>
      <c r="AL364" cm="1">
        <f t="array" ref="AL364">_xlfn.XLOOKUP(Matrix[[#This Row],[TEAM]]&amp;Matrix[[#Headers],[26]],FDR[FDR]&amp;FDR[[#Headers],[26]],FDR[26],"",0,1)</f>
        <v>5</v>
      </c>
      <c r="AM364" cm="1">
        <f t="array" ref="AM364">_xlfn.XLOOKUP(Matrix[[#This Row],[TEAM]]&amp;Matrix[[#Headers],[27]],FDR[FDR]&amp;FDR[[#Headers],[27]],FDR[27],"",0,1)</f>
        <v>2</v>
      </c>
      <c r="AN364" cm="1">
        <f t="array" ref="AN364">_xlfn.XLOOKUP(Matrix[[#This Row],[TEAM]]&amp;Matrix[[#Headers],[28]],FDR[FDR]&amp;FDR[[#Headers],[28]],FDR[28],"",0,1)</f>
        <v>4</v>
      </c>
      <c r="AO364" cm="1">
        <f t="array" ref="AO364">_xlfn.XLOOKUP(Matrix[[#This Row],[TEAM]]&amp;Matrix[[#Headers],[29]],FDR[FDR]&amp;FDR[[#Headers],[29]],FDR[29],"",0,1)</f>
        <v>2</v>
      </c>
      <c r="AP364" cm="1">
        <f t="array" ref="AP364">_xlfn.XLOOKUP(Matrix[[#This Row],[TEAM]]&amp;Matrix[[#Headers],[30]],FDR[FDR]&amp;FDR[[#Headers],[30]],FDR[30],"",0,1)</f>
        <v>4</v>
      </c>
      <c r="AQ364" cm="1">
        <f t="array" ref="AQ364">_xlfn.XLOOKUP(Matrix[[#This Row],[TEAM]]&amp;Matrix[[#Headers],[31]],FDR[FDR]&amp;FDR[[#Headers],[31]],FDR[31],"",0,1)</f>
        <v>1</v>
      </c>
      <c r="AR364" cm="1">
        <f t="array" ref="AR364">_xlfn.XLOOKUP(Matrix[[#This Row],[TEAM]]&amp;Matrix[[#Headers],[32]],FDR[FDR]&amp;FDR[[#Headers],[32]],FDR[32],"",0,1)</f>
        <v>5</v>
      </c>
      <c r="AS364" cm="1">
        <f t="array" ref="AS364">_xlfn.XLOOKUP(Matrix[[#This Row],[TEAM]]&amp;Matrix[[#Headers],[33]],FDR[FDR]&amp;FDR[[#Headers],[33]],FDR[33],"",0,1)</f>
        <v>3</v>
      </c>
      <c r="AT364" cm="1">
        <f t="array" ref="AT364">_xlfn.XLOOKUP(Matrix[[#This Row],[TEAM]]&amp;Matrix[[#Headers],[34]],FDR[FDR]&amp;FDR[[#Headers],[34]],FDR[34],"",0,1)</f>
        <v>3</v>
      </c>
      <c r="AU364" cm="1">
        <f t="array" ref="AU364">_xlfn.XLOOKUP(Matrix[[#This Row],[TEAM]]&amp;Matrix[[#Headers],[35]],FDR[FDR]&amp;FDR[[#Headers],[35]],FDR[35],"",0,1)</f>
        <v>5</v>
      </c>
      <c r="AV364" cm="1">
        <f t="array" ref="AV364">_xlfn.XLOOKUP(Matrix[[#This Row],[TEAM]]&amp;Matrix[[#Headers],[36]],FDR[FDR]&amp;FDR[[#Headers],[36]],FDR[36],"",0,1)</f>
        <v>3</v>
      </c>
      <c r="AW364" cm="1">
        <f t="array" ref="AW364">_xlfn.XLOOKUP(Matrix[[#This Row],[TEAM]]&amp;Matrix[[#Headers],[37]],FDR[FDR]&amp;FDR[[#Headers],[37]],FDR[37],"",0,1)</f>
        <v>2</v>
      </c>
      <c r="AX364" cm="1">
        <f t="array" ref="AX364">_xlfn.XLOOKUP(Matrix[[#This Row],[TEAM]]&amp;Matrix[[#Headers],[38]],FDR[FDR]&amp;FDR[[#Headers],[38]],FDR[38],"",0,1)</f>
        <v>4</v>
      </c>
    </row>
    <row r="365" spans="1:50" ht="22" thickTop="1" thickBot="1">
      <c r="A365" s="53" t="str">
        <f>INDEX!S$4</f>
        <v>MID</v>
      </c>
      <c r="B365" s="70" t="s">
        <v>1691</v>
      </c>
      <c r="C365" s="40" t="s">
        <v>27</v>
      </c>
      <c r="D365" s="62">
        <v>9</v>
      </c>
      <c r="E365" s="60">
        <v>3.0000000000000001E-3</v>
      </c>
      <c r="F365" s="61">
        <v>8.1</v>
      </c>
      <c r="G365" s="63">
        <v>4.5</v>
      </c>
      <c r="H365" s="261">
        <f>IF(ISBLANK(I365),0,1)</f>
        <v>0</v>
      </c>
      <c r="I365" s="57"/>
      <c r="J365" s="58"/>
      <c r="K365" s="59" t="s">
        <v>593</v>
      </c>
      <c r="L365" s="59" t="s">
        <v>1210</v>
      </c>
      <c r="M365" cm="1">
        <f t="array" ref="M365">_xlfn.XLOOKUP(Matrix[[#This Row],[TEAM]]&amp;Matrix[[#Headers],[1]],FDR[FDR]&amp;FDR[[#Headers],[1]],FDR[1],"",0,1)</f>
        <v>2</v>
      </c>
      <c r="N365" cm="1">
        <f t="array" ref="N365">_xlfn.XLOOKUP(Matrix[[#This Row],[TEAM]]&amp;Matrix[[#Headers],[2]],FDR[FDR]&amp;FDR[[#Headers],[2]],FDR[2],"",0,1)</f>
        <v>4</v>
      </c>
      <c r="O365" cm="1">
        <f t="array" ref="O365">_xlfn.XLOOKUP(Matrix[[#This Row],[TEAM]]&amp;Matrix[[#Headers],[3]],FDR[FDR]&amp;FDR[[#Headers],[3]],FDR[3],"",0,1)</f>
        <v>4</v>
      </c>
      <c r="P365" cm="1">
        <f t="array" ref="P365">_xlfn.XLOOKUP(Matrix[[#This Row],[TEAM]]&amp;Matrix[[#Headers],[4]],FDR[FDR]&amp;FDR[[#Headers],[4]],FDR[4],"",0,1)</f>
        <v>4</v>
      </c>
      <c r="Q365" cm="1">
        <f t="array" ref="Q365">_xlfn.XLOOKUP(Matrix[[#This Row],[TEAM]]&amp;Matrix[[#Headers],[5]],FDR[FDR]&amp;FDR[[#Headers],[5]],FDR[5],"",0,1)</f>
        <v>3</v>
      </c>
      <c r="R365" cm="1">
        <f t="array" ref="R365">_xlfn.XLOOKUP(Matrix[[#This Row],[TEAM]]&amp;Matrix[[#Headers],[6]],FDR[FDR]&amp;FDR[[#Headers],[6]],FDR[6],"",0,1)</f>
        <v>4</v>
      </c>
      <c r="S365" cm="1">
        <f t="array" ref="S365">_xlfn.XLOOKUP(Matrix[[#This Row],[TEAM]]&amp;Matrix[[#Headers],[7]],FDR[FDR]&amp;FDR[[#Headers],[7]],FDR[7],"",0,1)</f>
        <v>5</v>
      </c>
      <c r="T365" cm="1">
        <f t="array" ref="T365">_xlfn.XLOOKUP(Matrix[[#This Row],[TEAM]]&amp;Matrix[[#Headers],[8]],FDR[FDR]&amp;FDR[[#Headers],[8]],FDR[8],"",0,1)</f>
        <v>3</v>
      </c>
      <c r="U365" cm="1">
        <f t="array" ref="U365">_xlfn.XLOOKUP(Matrix[[#This Row],[TEAM]]&amp;Matrix[[#Headers],[9]],FDR[FDR]&amp;FDR[[#Headers],[9]],FDR[9],"",0,1)</f>
        <v>2</v>
      </c>
      <c r="V365" cm="1">
        <f t="array" ref="V365">_xlfn.XLOOKUP(Matrix[[#This Row],[TEAM]]&amp;Matrix[[#Headers],[10]],FDR[FDR]&amp;FDR[[#Headers],[10]],FDR[10],"",0,1)</f>
        <v>4</v>
      </c>
      <c r="W365" cm="1">
        <f t="array" ref="W365">_xlfn.XLOOKUP(Matrix[[#This Row],[TEAM]]&amp;Matrix[[#Headers],[11]],FDR[FDR]&amp;FDR[[#Headers],[11]],FDR[11],"",0,1)</f>
        <v>1</v>
      </c>
      <c r="X365" cm="1">
        <f t="array" ref="X365">_xlfn.XLOOKUP(Matrix[[#This Row],[TEAM]]&amp;Matrix[[#Headers],[12]],FDR[FDR]&amp;FDR[[#Headers],[12]],FDR[12],"",0,1)</f>
        <v>4</v>
      </c>
      <c r="Y365" cm="1">
        <f t="array" ref="Y365">_xlfn.XLOOKUP(Matrix[[#This Row],[TEAM]]&amp;Matrix[[#Headers],[13]],FDR[FDR]&amp;FDR[[#Headers],[13]],FDR[13],"",0,1)</f>
        <v>4</v>
      </c>
      <c r="Z365" cm="1">
        <f t="array" ref="Z365">_xlfn.XLOOKUP(Matrix[[#This Row],[TEAM]]&amp;Matrix[[#Headers],[14]],FDR[FDR]&amp;FDR[[#Headers],[14]],FDR[14],"",0,1)</f>
        <v>5</v>
      </c>
      <c r="AA365" cm="1">
        <f t="array" ref="AA365">_xlfn.XLOOKUP(Matrix[[#This Row],[TEAM]]&amp;Matrix[[#Headers],[15]],FDR[FDR]&amp;FDR[[#Headers],[15]],FDR[15],"",0,1)</f>
        <v>4</v>
      </c>
      <c r="AB365" cm="1">
        <f t="array" ref="AB365">_xlfn.XLOOKUP(Matrix[[#This Row],[TEAM]]&amp;Matrix[[#Headers],[16]],FDR[FDR]&amp;FDR[[#Headers],[16]],FDR[16],"",0,1)</f>
        <v>4</v>
      </c>
      <c r="AC365" cm="1">
        <f t="array" ref="AC365">_xlfn.XLOOKUP(Matrix[[#This Row],[TEAM]]&amp;Matrix[[#Headers],[17]],FDR[FDR]&amp;FDR[[#Headers],[17]],FDR[17],"",0,1)</f>
        <v>5</v>
      </c>
      <c r="AD365" cm="1">
        <f t="array" ref="AD365">_xlfn.XLOOKUP(Matrix[[#This Row],[TEAM]]&amp;Matrix[[#Headers],[18]],FDR[FDR]&amp;FDR[[#Headers],[18]],FDR[18],"",0,1)</f>
        <v>3</v>
      </c>
      <c r="AE365" cm="1">
        <f t="array" ref="AE365">_xlfn.XLOOKUP(Matrix[[#This Row],[TEAM]]&amp;Matrix[[#Headers],[19]],FDR[FDR]&amp;FDR[[#Headers],[19]],FDR[19],"",0,1)</f>
        <v>3</v>
      </c>
      <c r="AF365" cm="1">
        <f t="array" ref="AF365">_xlfn.XLOOKUP(Matrix[[#This Row],[TEAM]]&amp;Matrix[[#Headers],[20]],FDR[FDR]&amp;FDR[[#Headers],[20]],FDR[20],"",0,1)</f>
        <v>2</v>
      </c>
      <c r="AG365" cm="1">
        <f t="array" ref="AG365">_xlfn.XLOOKUP(Matrix[[#This Row],[TEAM]]&amp;Matrix[[#Headers],[21]],FDR[FDR]&amp;FDR[[#Headers],[21]],FDR[21],"",0,1)</f>
        <v>3</v>
      </c>
      <c r="AH365" cm="1">
        <f t="array" ref="AH365">_xlfn.XLOOKUP(Matrix[[#This Row],[TEAM]]&amp;Matrix[[#Headers],[22]],FDR[FDR]&amp;FDR[[#Headers],[22]],FDR[22],"",0,1)</f>
        <v>5</v>
      </c>
      <c r="AI365" cm="1">
        <f t="array" ref="AI365">_xlfn.XLOOKUP(Matrix[[#This Row],[TEAM]]&amp;Matrix[[#Headers],[23]],FDR[FDR]&amp;FDR[[#Headers],[23]],FDR[23],"",0,1)</f>
        <v>1</v>
      </c>
      <c r="AJ365" cm="1">
        <f t="array" ref="AJ365">_xlfn.XLOOKUP(Matrix[[#This Row],[TEAM]]&amp;Matrix[[#Headers],[24]],FDR[FDR]&amp;FDR[[#Headers],[24]],FDR[24],"",0,1)</f>
        <v>5</v>
      </c>
      <c r="AK365" cm="1">
        <f t="array" ref="AK365">_xlfn.XLOOKUP(Matrix[[#This Row],[TEAM]]&amp;Matrix[[#Headers],[25]],FDR[FDR]&amp;FDR[[#Headers],[25]],FDR[25],"",0,1)</f>
        <v>2</v>
      </c>
      <c r="AL365" cm="1">
        <f t="array" ref="AL365">_xlfn.XLOOKUP(Matrix[[#This Row],[TEAM]]&amp;Matrix[[#Headers],[26]],FDR[FDR]&amp;FDR[[#Headers],[26]],FDR[26],"",0,1)</f>
        <v>4</v>
      </c>
      <c r="AM365" cm="1">
        <f t="array" ref="AM365">_xlfn.XLOOKUP(Matrix[[#This Row],[TEAM]]&amp;Matrix[[#Headers],[27]],FDR[FDR]&amp;FDR[[#Headers],[27]],FDR[27],"",0,1)</f>
        <v>3</v>
      </c>
      <c r="AN365" cm="1">
        <f t="array" ref="AN365">_xlfn.XLOOKUP(Matrix[[#This Row],[TEAM]]&amp;Matrix[[#Headers],[28]],FDR[FDR]&amp;FDR[[#Headers],[28]],FDR[28],"",0,1)</f>
        <v>5</v>
      </c>
      <c r="AO365" cm="1">
        <f t="array" ref="AO365">_xlfn.XLOOKUP(Matrix[[#This Row],[TEAM]]&amp;Matrix[[#Headers],[29]],FDR[FDR]&amp;FDR[[#Headers],[29]],FDR[29],"",0,1)</f>
        <v>4</v>
      </c>
      <c r="AP365" cm="1">
        <f t="array" ref="AP365">_xlfn.XLOOKUP(Matrix[[#This Row],[TEAM]]&amp;Matrix[[#Headers],[30]],FDR[FDR]&amp;FDR[[#Headers],[30]],FDR[30],"",0,1)</f>
        <v>4</v>
      </c>
      <c r="AQ365" cm="1">
        <f t="array" ref="AQ365">_xlfn.XLOOKUP(Matrix[[#This Row],[TEAM]]&amp;Matrix[[#Headers],[31]],FDR[FDR]&amp;FDR[[#Headers],[31]],FDR[31],"",0,1)</f>
        <v>5</v>
      </c>
      <c r="AR365" cm="1">
        <f t="array" ref="AR365">_xlfn.XLOOKUP(Matrix[[#This Row],[TEAM]]&amp;Matrix[[#Headers],[32]],FDR[FDR]&amp;FDR[[#Headers],[32]],FDR[32],"",0,1)</f>
        <v>2</v>
      </c>
      <c r="AS365" cm="1">
        <f t="array" ref="AS365">_xlfn.XLOOKUP(Matrix[[#This Row],[TEAM]]&amp;Matrix[[#Headers],[33]],FDR[FDR]&amp;FDR[[#Headers],[33]],FDR[33],"",0,1)</f>
        <v>4</v>
      </c>
      <c r="AT365" cm="1">
        <f t="array" ref="AT365">_xlfn.XLOOKUP(Matrix[[#This Row],[TEAM]]&amp;Matrix[[#Headers],[34]],FDR[FDR]&amp;FDR[[#Headers],[34]],FDR[34],"",0,1)</f>
        <v>3</v>
      </c>
      <c r="AU365" cm="1">
        <f t="array" ref="AU365">_xlfn.XLOOKUP(Matrix[[#This Row],[TEAM]]&amp;Matrix[[#Headers],[35]],FDR[FDR]&amp;FDR[[#Headers],[35]],FDR[35],"",0,1)</f>
        <v>4</v>
      </c>
      <c r="AV365" cm="1">
        <f t="array" ref="AV365">_xlfn.XLOOKUP(Matrix[[#This Row],[TEAM]]&amp;Matrix[[#Headers],[36]],FDR[FDR]&amp;FDR[[#Headers],[36]],FDR[36],"",0,1)</f>
        <v>4</v>
      </c>
      <c r="AW365" cm="1">
        <f t="array" ref="AW365">_xlfn.XLOOKUP(Matrix[[#This Row],[TEAM]]&amp;Matrix[[#Headers],[37]],FDR[FDR]&amp;FDR[[#Headers],[37]],FDR[37],"",0,1)</f>
        <v>5</v>
      </c>
      <c r="AX365" cm="1">
        <f t="array" ref="AX365">_xlfn.XLOOKUP(Matrix[[#This Row],[TEAM]]&amp;Matrix[[#Headers],[38]],FDR[FDR]&amp;FDR[[#Headers],[38]],FDR[38],"",0,1)</f>
        <v>1</v>
      </c>
    </row>
    <row r="366" spans="1:50" ht="22" thickTop="1" thickBot="1">
      <c r="A366" s="53" t="str">
        <f>INDEX!S$4</f>
        <v>MID</v>
      </c>
      <c r="B366" s="70" t="s">
        <v>1626</v>
      </c>
      <c r="C366" s="40" t="s">
        <v>30</v>
      </c>
      <c r="D366" s="62">
        <v>7</v>
      </c>
      <c r="E366" s="60">
        <v>3.2000000000000001E-2</v>
      </c>
      <c r="F366" s="61">
        <v>5.4</v>
      </c>
      <c r="G366" s="63">
        <v>4.5</v>
      </c>
      <c r="H366" s="261">
        <f>IF(ISBLANK(I366),0,1)</f>
        <v>0</v>
      </c>
      <c r="I366" s="57"/>
      <c r="J366" s="58"/>
      <c r="K366" s="59" t="s">
        <v>1115</v>
      </c>
      <c r="L366" s="59" t="s">
        <v>1116</v>
      </c>
      <c r="M366" cm="1">
        <f t="array" ref="M366">_xlfn.XLOOKUP(Matrix[[#This Row],[TEAM]]&amp;Matrix[[#Headers],[1]],FDR[FDR]&amp;FDR[[#Headers],[1]],FDR[1],"",0,1)</f>
        <v>3</v>
      </c>
      <c r="N366" cm="1">
        <f t="array" ref="N366">_xlfn.XLOOKUP(Matrix[[#This Row],[TEAM]]&amp;Matrix[[#Headers],[2]],FDR[FDR]&amp;FDR[[#Headers],[2]],FDR[2],"",0,1)</f>
        <v>2</v>
      </c>
      <c r="O366" cm="1">
        <f t="array" ref="O366">_xlfn.XLOOKUP(Matrix[[#This Row],[TEAM]]&amp;Matrix[[#Headers],[3]],FDR[FDR]&amp;FDR[[#Headers],[3]],FDR[3],"",0,1)</f>
        <v>1</v>
      </c>
      <c r="P366" cm="1">
        <f t="array" ref="P366">_xlfn.XLOOKUP(Matrix[[#This Row],[TEAM]]&amp;Matrix[[#Headers],[4]],FDR[FDR]&amp;FDR[[#Headers],[4]],FDR[4],"",0,1)</f>
        <v>4</v>
      </c>
      <c r="Q366" cm="1">
        <f t="array" ref="Q366">_xlfn.XLOOKUP(Matrix[[#This Row],[TEAM]]&amp;Matrix[[#Headers],[5]],FDR[FDR]&amp;FDR[[#Headers],[5]],FDR[5],"",0,1)</f>
        <v>3</v>
      </c>
      <c r="R366" cm="1">
        <f t="array" ref="R366">_xlfn.XLOOKUP(Matrix[[#This Row],[TEAM]]&amp;Matrix[[#Headers],[6]],FDR[FDR]&amp;FDR[[#Headers],[6]],FDR[6],"",0,1)</f>
        <v>2</v>
      </c>
      <c r="S366" cm="1">
        <f t="array" ref="S366">_xlfn.XLOOKUP(Matrix[[#This Row],[TEAM]]&amp;Matrix[[#Headers],[7]],FDR[FDR]&amp;FDR[[#Headers],[7]],FDR[7],"",0,1)</f>
        <v>1</v>
      </c>
      <c r="T366" cm="1">
        <f t="array" ref="T366">_xlfn.XLOOKUP(Matrix[[#This Row],[TEAM]]&amp;Matrix[[#Headers],[8]],FDR[FDR]&amp;FDR[[#Headers],[8]],FDR[8],"",0,1)</f>
        <v>4</v>
      </c>
      <c r="U366" cm="1">
        <f t="array" ref="U366">_xlfn.XLOOKUP(Matrix[[#This Row],[TEAM]]&amp;Matrix[[#Headers],[9]],FDR[FDR]&amp;FDR[[#Headers],[9]],FDR[9],"",0,1)</f>
        <v>1</v>
      </c>
      <c r="V366" cm="1">
        <f t="array" ref="V366">_xlfn.XLOOKUP(Matrix[[#This Row],[TEAM]]&amp;Matrix[[#Headers],[10]],FDR[FDR]&amp;FDR[[#Headers],[10]],FDR[10],"",0,1)</f>
        <v>2</v>
      </c>
      <c r="W366" cm="1">
        <f t="array" ref="W366">_xlfn.XLOOKUP(Matrix[[#This Row],[TEAM]]&amp;Matrix[[#Headers],[11]],FDR[FDR]&amp;FDR[[#Headers],[11]],FDR[11],"",0,1)</f>
        <v>4</v>
      </c>
      <c r="X366" cm="1">
        <f t="array" ref="X366">_xlfn.XLOOKUP(Matrix[[#This Row],[TEAM]]&amp;Matrix[[#Headers],[12]],FDR[FDR]&amp;FDR[[#Headers],[12]],FDR[12],"",0,1)</f>
        <v>1</v>
      </c>
      <c r="Y366" cm="1">
        <f t="array" ref="Y366">_xlfn.XLOOKUP(Matrix[[#This Row],[TEAM]]&amp;Matrix[[#Headers],[13]],FDR[FDR]&amp;FDR[[#Headers],[13]],FDR[13],"",0,1)</f>
        <v>2</v>
      </c>
      <c r="Z366" cm="1">
        <f t="array" ref="Z366">_xlfn.XLOOKUP(Matrix[[#This Row],[TEAM]]&amp;Matrix[[#Headers],[14]],FDR[FDR]&amp;FDR[[#Headers],[14]],FDR[14],"",0,1)</f>
        <v>1</v>
      </c>
      <c r="AA366" cm="1">
        <f t="array" ref="AA366">_xlfn.XLOOKUP(Matrix[[#This Row],[TEAM]]&amp;Matrix[[#Headers],[15]],FDR[FDR]&amp;FDR[[#Headers],[15]],FDR[15],"",0,1)</f>
        <v>1</v>
      </c>
      <c r="AB366" cm="1">
        <f t="array" ref="AB366">_xlfn.XLOOKUP(Matrix[[#This Row],[TEAM]]&amp;Matrix[[#Headers],[16]],FDR[FDR]&amp;FDR[[#Headers],[16]],FDR[16],"",0,1)</f>
        <v>1</v>
      </c>
      <c r="AC366" cm="1">
        <f t="array" ref="AC366">_xlfn.XLOOKUP(Matrix[[#This Row],[TEAM]]&amp;Matrix[[#Headers],[17]],FDR[FDR]&amp;FDR[[#Headers],[17]],FDR[17],"",0,1)</f>
        <v>3</v>
      </c>
      <c r="AD366" cm="1">
        <f t="array" ref="AD366">_xlfn.XLOOKUP(Matrix[[#This Row],[TEAM]]&amp;Matrix[[#Headers],[18]],FDR[FDR]&amp;FDR[[#Headers],[18]],FDR[18],"",0,1)</f>
        <v>2</v>
      </c>
      <c r="AE366" cm="1">
        <f t="array" ref="AE366">_xlfn.XLOOKUP(Matrix[[#This Row],[TEAM]]&amp;Matrix[[#Headers],[19]],FDR[FDR]&amp;FDR[[#Headers],[19]],FDR[19],"",0,1)</f>
        <v>1</v>
      </c>
      <c r="AF366" cm="1">
        <f t="array" ref="AF366">_xlfn.XLOOKUP(Matrix[[#This Row],[TEAM]]&amp;Matrix[[#Headers],[20]],FDR[FDR]&amp;FDR[[#Headers],[20]],FDR[20],"",0,1)</f>
        <v>1</v>
      </c>
      <c r="AG366" cm="1">
        <f t="array" ref="AG366">_xlfn.XLOOKUP(Matrix[[#This Row],[TEAM]]&amp;Matrix[[#Headers],[21]],FDR[FDR]&amp;FDR[[#Headers],[21]],FDR[21],"",0,1)</f>
        <v>1</v>
      </c>
      <c r="AH366" cm="1">
        <f t="array" ref="AH366">_xlfn.XLOOKUP(Matrix[[#This Row],[TEAM]]&amp;Matrix[[#Headers],[22]],FDR[FDR]&amp;FDR[[#Headers],[22]],FDR[22],"",0,1)</f>
        <v>3</v>
      </c>
      <c r="AI366" cm="1">
        <f t="array" ref="AI366">_xlfn.XLOOKUP(Matrix[[#This Row],[TEAM]]&amp;Matrix[[#Headers],[23]],FDR[FDR]&amp;FDR[[#Headers],[23]],FDR[23],"",0,1)</f>
        <v>4</v>
      </c>
      <c r="AJ366" cm="1">
        <f t="array" ref="AJ366">_xlfn.XLOOKUP(Matrix[[#This Row],[TEAM]]&amp;Matrix[[#Headers],[24]],FDR[FDR]&amp;FDR[[#Headers],[24]],FDR[24],"",0,1)</f>
        <v>1</v>
      </c>
      <c r="AK366" cm="1">
        <f t="array" ref="AK366">_xlfn.XLOOKUP(Matrix[[#This Row],[TEAM]]&amp;Matrix[[#Headers],[25]],FDR[FDR]&amp;FDR[[#Headers],[25]],FDR[25],"",0,1)</f>
        <v>3</v>
      </c>
      <c r="AL366" cm="1">
        <f t="array" ref="AL366">_xlfn.XLOOKUP(Matrix[[#This Row],[TEAM]]&amp;Matrix[[#Headers],[26]],FDR[FDR]&amp;FDR[[#Headers],[26]],FDR[26],"",0,1)</f>
        <v>2</v>
      </c>
      <c r="AM366" cm="1">
        <f t="array" ref="AM366">_xlfn.XLOOKUP(Matrix[[#This Row],[TEAM]]&amp;Matrix[[#Headers],[27]],FDR[FDR]&amp;FDR[[#Headers],[27]],FDR[27],"",0,1)</f>
        <v>2</v>
      </c>
      <c r="AN366" cm="1">
        <f t="array" ref="AN366">_xlfn.XLOOKUP(Matrix[[#This Row],[TEAM]]&amp;Matrix[[#Headers],[28]],FDR[FDR]&amp;FDR[[#Headers],[28]],FDR[28],"",0,1)</f>
        <v>1</v>
      </c>
      <c r="AO366" cm="1">
        <f t="array" ref="AO366">_xlfn.XLOOKUP(Matrix[[#This Row],[TEAM]]&amp;Matrix[[#Headers],[29]],FDR[FDR]&amp;FDR[[#Headers],[29]],FDR[29],"",0,1)</f>
        <v>3</v>
      </c>
      <c r="AP366" cm="1">
        <f t="array" ref="AP366">_xlfn.XLOOKUP(Matrix[[#This Row],[TEAM]]&amp;Matrix[[#Headers],[30]],FDR[FDR]&amp;FDR[[#Headers],[30]],FDR[30],"",0,1)</f>
        <v>2</v>
      </c>
      <c r="AQ366" cm="1">
        <f t="array" ref="AQ366">_xlfn.XLOOKUP(Matrix[[#This Row],[TEAM]]&amp;Matrix[[#Headers],[31]],FDR[FDR]&amp;FDR[[#Headers],[31]],FDR[31],"",0,1)</f>
        <v>2</v>
      </c>
      <c r="AR366" cm="1">
        <f t="array" ref="AR366">_xlfn.XLOOKUP(Matrix[[#This Row],[TEAM]]&amp;Matrix[[#Headers],[32]],FDR[FDR]&amp;FDR[[#Headers],[32]],FDR[32],"",0,1)</f>
        <v>1</v>
      </c>
      <c r="AS366" cm="1">
        <f t="array" ref="AS366">_xlfn.XLOOKUP(Matrix[[#This Row],[TEAM]]&amp;Matrix[[#Headers],[33]],FDR[FDR]&amp;FDR[[#Headers],[33]],FDR[33],"",0,1)</f>
        <v>4</v>
      </c>
      <c r="AT366" cm="1">
        <f t="array" ref="AT366">_xlfn.XLOOKUP(Matrix[[#This Row],[TEAM]]&amp;Matrix[[#Headers],[34]],FDR[FDR]&amp;FDR[[#Headers],[34]],FDR[34],"",0,1)</f>
        <v>1</v>
      </c>
      <c r="AU366" cm="1">
        <f t="array" ref="AU366">_xlfn.XLOOKUP(Matrix[[#This Row],[TEAM]]&amp;Matrix[[#Headers],[35]],FDR[FDR]&amp;FDR[[#Headers],[35]],FDR[35],"",0,1)</f>
        <v>3</v>
      </c>
      <c r="AV366" cm="1">
        <f t="array" ref="AV366">_xlfn.XLOOKUP(Matrix[[#This Row],[TEAM]]&amp;Matrix[[#Headers],[36]],FDR[FDR]&amp;FDR[[#Headers],[36]],FDR[36],"",0,1)</f>
        <v>1</v>
      </c>
      <c r="AW366" cm="1">
        <f t="array" ref="AW366">_xlfn.XLOOKUP(Matrix[[#This Row],[TEAM]]&amp;Matrix[[#Headers],[37]],FDR[FDR]&amp;FDR[[#Headers],[37]],FDR[37],"",0,1)</f>
        <v>1</v>
      </c>
      <c r="AX366" cm="1">
        <f t="array" ref="AX366">_xlfn.XLOOKUP(Matrix[[#This Row],[TEAM]]&amp;Matrix[[#Headers],[38]],FDR[FDR]&amp;FDR[[#Headers],[38]],FDR[38],"",0,1)</f>
        <v>2</v>
      </c>
    </row>
    <row r="367" spans="1:50" ht="22" thickTop="1" thickBot="1">
      <c r="A367" s="53" t="str">
        <f>INDEX!S$4</f>
        <v>MID</v>
      </c>
      <c r="B367" s="70" t="s">
        <v>1724</v>
      </c>
      <c r="C367" s="40" t="s">
        <v>43</v>
      </c>
      <c r="D367" s="62">
        <v>4</v>
      </c>
      <c r="E367" s="60">
        <v>1E-3</v>
      </c>
      <c r="F367" s="61">
        <v>0.4</v>
      </c>
      <c r="G367" s="63">
        <v>4.5</v>
      </c>
      <c r="H367" s="261">
        <f>IF(ISBLANK(I367),0,1)</f>
        <v>0</v>
      </c>
      <c r="I367" s="57"/>
      <c r="J367" s="58"/>
      <c r="K367" s="59" t="s">
        <v>375</v>
      </c>
      <c r="L367" s="59" t="s">
        <v>999</v>
      </c>
      <c r="M367" cm="1">
        <f t="array" ref="M367">_xlfn.XLOOKUP(Matrix[[#This Row],[TEAM]]&amp;Matrix[[#Headers],[1]],FDR[FDR]&amp;FDR[[#Headers],[1]],FDR[1],"",0,1)</f>
        <v>5</v>
      </c>
      <c r="N367" cm="1">
        <f t="array" ref="N367">_xlfn.XLOOKUP(Matrix[[#This Row],[TEAM]]&amp;Matrix[[#Headers],[2]],FDR[FDR]&amp;FDR[[#Headers],[2]],FDR[2],"",0,1)</f>
        <v>1</v>
      </c>
      <c r="O367" cm="1">
        <f t="array" ref="O367">_xlfn.XLOOKUP(Matrix[[#This Row],[TEAM]]&amp;Matrix[[#Headers],[3]],FDR[FDR]&amp;FDR[[#Headers],[3]],FDR[3],"",0,1)</f>
        <v>5</v>
      </c>
      <c r="P367" cm="1">
        <f t="array" ref="P367">_xlfn.XLOOKUP(Matrix[[#This Row],[TEAM]]&amp;Matrix[[#Headers],[4]],FDR[FDR]&amp;FDR[[#Headers],[4]],FDR[4],"",0,1)</f>
        <v>3</v>
      </c>
      <c r="Q367" cm="1">
        <f t="array" ref="Q367">_xlfn.XLOOKUP(Matrix[[#This Row],[TEAM]]&amp;Matrix[[#Headers],[5]],FDR[FDR]&amp;FDR[[#Headers],[5]],FDR[5],"",0,1)</f>
        <v>4</v>
      </c>
      <c r="R367" cm="1">
        <f t="array" ref="R367">_xlfn.XLOOKUP(Matrix[[#This Row],[TEAM]]&amp;Matrix[[#Headers],[6]],FDR[FDR]&amp;FDR[[#Headers],[6]],FDR[6],"",0,1)</f>
        <v>2</v>
      </c>
      <c r="S367" cm="1">
        <f t="array" ref="S367">_xlfn.XLOOKUP(Matrix[[#This Row],[TEAM]]&amp;Matrix[[#Headers],[7]],FDR[FDR]&amp;FDR[[#Headers],[7]],FDR[7],"",0,1)</f>
        <v>3</v>
      </c>
      <c r="T367" cm="1">
        <f t="array" ref="T367">_xlfn.XLOOKUP(Matrix[[#This Row],[TEAM]]&amp;Matrix[[#Headers],[8]],FDR[FDR]&amp;FDR[[#Headers],[8]],FDR[8],"",0,1)</f>
        <v>3</v>
      </c>
      <c r="U367" cm="1">
        <f t="array" ref="U367">_xlfn.XLOOKUP(Matrix[[#This Row],[TEAM]]&amp;Matrix[[#Headers],[9]],FDR[FDR]&amp;FDR[[#Headers],[9]],FDR[9],"",0,1)</f>
        <v>3</v>
      </c>
      <c r="V367" cm="1">
        <f t="array" ref="V367">_xlfn.XLOOKUP(Matrix[[#This Row],[TEAM]]&amp;Matrix[[#Headers],[10]],FDR[FDR]&amp;FDR[[#Headers],[10]],FDR[10],"",0,1)</f>
        <v>5</v>
      </c>
      <c r="W367" cm="1">
        <f t="array" ref="W367">_xlfn.XLOOKUP(Matrix[[#This Row],[TEAM]]&amp;Matrix[[#Headers],[11]],FDR[FDR]&amp;FDR[[#Headers],[11]],FDR[11],"",0,1)</f>
        <v>5</v>
      </c>
      <c r="X367" cm="1">
        <f t="array" ref="X367">_xlfn.XLOOKUP(Matrix[[#This Row],[TEAM]]&amp;Matrix[[#Headers],[12]],FDR[FDR]&amp;FDR[[#Headers],[12]],FDR[12],"",0,1)</f>
        <v>2</v>
      </c>
      <c r="Y367" cm="1">
        <f t="array" ref="Y367">_xlfn.XLOOKUP(Matrix[[#This Row],[TEAM]]&amp;Matrix[[#Headers],[13]],FDR[FDR]&amp;FDR[[#Headers],[13]],FDR[13],"",0,1)</f>
        <v>2</v>
      </c>
      <c r="Z367" cm="1">
        <f t="array" ref="Z367">_xlfn.XLOOKUP(Matrix[[#This Row],[TEAM]]&amp;Matrix[[#Headers],[14]],FDR[FDR]&amp;FDR[[#Headers],[14]],FDR[14],"",0,1)</f>
        <v>2</v>
      </c>
      <c r="AA367" cm="1">
        <f t="array" ref="AA367">_xlfn.XLOOKUP(Matrix[[#This Row],[TEAM]]&amp;Matrix[[#Headers],[15]],FDR[FDR]&amp;FDR[[#Headers],[15]],FDR[15],"",0,1)</f>
        <v>4</v>
      </c>
      <c r="AB367" cm="1">
        <f t="array" ref="AB367">_xlfn.XLOOKUP(Matrix[[#This Row],[TEAM]]&amp;Matrix[[#Headers],[16]],FDR[FDR]&amp;FDR[[#Headers],[16]],FDR[16],"",0,1)</f>
        <v>5</v>
      </c>
      <c r="AC367" cm="1">
        <f t="array" ref="AC367">_xlfn.XLOOKUP(Matrix[[#This Row],[TEAM]]&amp;Matrix[[#Headers],[17]],FDR[FDR]&amp;FDR[[#Headers],[17]],FDR[17],"",0,1)</f>
        <v>1</v>
      </c>
      <c r="AD367" cm="1">
        <f t="array" ref="AD367">_xlfn.XLOOKUP(Matrix[[#This Row],[TEAM]]&amp;Matrix[[#Headers],[18]],FDR[FDR]&amp;FDR[[#Headers],[18]],FDR[18],"",0,1)</f>
        <v>3</v>
      </c>
      <c r="AE367" cm="1">
        <f t="array" ref="AE367">_xlfn.XLOOKUP(Matrix[[#This Row],[TEAM]]&amp;Matrix[[#Headers],[19]],FDR[FDR]&amp;FDR[[#Headers],[19]],FDR[19],"",0,1)</f>
        <v>5</v>
      </c>
      <c r="AF367" cm="1">
        <f t="array" ref="AF367">_xlfn.XLOOKUP(Matrix[[#This Row],[TEAM]]&amp;Matrix[[#Headers],[20]],FDR[FDR]&amp;FDR[[#Headers],[20]],FDR[20],"",0,1)</f>
        <v>4</v>
      </c>
      <c r="AG367" cm="1">
        <f t="array" ref="AG367">_xlfn.XLOOKUP(Matrix[[#This Row],[TEAM]]&amp;Matrix[[#Headers],[21]],FDR[FDR]&amp;FDR[[#Headers],[21]],FDR[21],"",0,1)</f>
        <v>4</v>
      </c>
      <c r="AH367" cm="1">
        <f t="array" ref="AH367">_xlfn.XLOOKUP(Matrix[[#This Row],[TEAM]]&amp;Matrix[[#Headers],[22]],FDR[FDR]&amp;FDR[[#Headers],[22]],FDR[22],"",0,1)</f>
        <v>4</v>
      </c>
      <c r="AI367" cm="1">
        <f t="array" ref="AI367">_xlfn.XLOOKUP(Matrix[[#This Row],[TEAM]]&amp;Matrix[[#Headers],[23]],FDR[FDR]&amp;FDR[[#Headers],[23]],FDR[23],"",0,1)</f>
        <v>4</v>
      </c>
      <c r="AJ367" cm="1">
        <f t="array" ref="AJ367">_xlfn.XLOOKUP(Matrix[[#This Row],[TEAM]]&amp;Matrix[[#Headers],[24]],FDR[FDR]&amp;FDR[[#Headers],[24]],FDR[24],"",0,1)</f>
        <v>2</v>
      </c>
      <c r="AK367" cm="1">
        <f t="array" ref="AK367">_xlfn.XLOOKUP(Matrix[[#This Row],[TEAM]]&amp;Matrix[[#Headers],[25]],FDR[FDR]&amp;FDR[[#Headers],[25]],FDR[25],"",0,1)</f>
        <v>3</v>
      </c>
      <c r="AL367" cm="1">
        <f t="array" ref="AL367">_xlfn.XLOOKUP(Matrix[[#This Row],[TEAM]]&amp;Matrix[[#Headers],[26]],FDR[FDR]&amp;FDR[[#Headers],[26]],FDR[26],"",0,1)</f>
        <v>3</v>
      </c>
      <c r="AM367" cm="1">
        <f t="array" ref="AM367">_xlfn.XLOOKUP(Matrix[[#This Row],[TEAM]]&amp;Matrix[[#Headers],[27]],FDR[FDR]&amp;FDR[[#Headers],[27]],FDR[27],"",0,1)</f>
        <v>3</v>
      </c>
      <c r="AN367" cm="1">
        <f t="array" ref="AN367">_xlfn.XLOOKUP(Matrix[[#This Row],[TEAM]]&amp;Matrix[[#Headers],[28]],FDR[FDR]&amp;FDR[[#Headers],[28]],FDR[28],"",0,1)</f>
        <v>1</v>
      </c>
      <c r="AO367" cm="1">
        <f t="array" ref="AO367">_xlfn.XLOOKUP(Matrix[[#This Row],[TEAM]]&amp;Matrix[[#Headers],[29]],FDR[FDR]&amp;FDR[[#Headers],[29]],FDR[29],"",0,1)</f>
        <v>2</v>
      </c>
      <c r="AP367" cm="1">
        <f t="array" ref="AP367">_xlfn.XLOOKUP(Matrix[[#This Row],[TEAM]]&amp;Matrix[[#Headers],[30]],FDR[FDR]&amp;FDR[[#Headers],[30]],FDR[30],"",0,1)</f>
        <v>2</v>
      </c>
      <c r="AQ367" cm="1">
        <f t="array" ref="AQ367">_xlfn.XLOOKUP(Matrix[[#This Row],[TEAM]]&amp;Matrix[[#Headers],[31]],FDR[FDR]&amp;FDR[[#Headers],[31]],FDR[31],"",0,1)</f>
        <v>4</v>
      </c>
      <c r="AR367" cm="1">
        <f t="array" ref="AR367">_xlfn.XLOOKUP(Matrix[[#This Row],[TEAM]]&amp;Matrix[[#Headers],[32]],FDR[FDR]&amp;FDR[[#Headers],[32]],FDR[32],"",0,1)</f>
        <v>5</v>
      </c>
      <c r="AS367" cm="1">
        <f t="array" ref="AS367">_xlfn.XLOOKUP(Matrix[[#This Row],[TEAM]]&amp;Matrix[[#Headers],[33]],FDR[FDR]&amp;FDR[[#Headers],[33]],FDR[33],"",0,1)</f>
        <v>5</v>
      </c>
      <c r="AT367" cm="1">
        <f t="array" ref="AT367">_xlfn.XLOOKUP(Matrix[[#This Row],[TEAM]]&amp;Matrix[[#Headers],[34]],FDR[FDR]&amp;FDR[[#Headers],[34]],FDR[34],"",0,1)</f>
        <v>1</v>
      </c>
      <c r="AU367" cm="1">
        <f t="array" ref="AU367">_xlfn.XLOOKUP(Matrix[[#This Row],[TEAM]]&amp;Matrix[[#Headers],[35]],FDR[FDR]&amp;FDR[[#Headers],[35]],FDR[35],"",0,1)</f>
        <v>2</v>
      </c>
      <c r="AV367" cm="1">
        <f t="array" ref="AV367">_xlfn.XLOOKUP(Matrix[[#This Row],[TEAM]]&amp;Matrix[[#Headers],[36]],FDR[FDR]&amp;FDR[[#Headers],[36]],FDR[36],"",0,1)</f>
        <v>4</v>
      </c>
      <c r="AW367" cm="1">
        <f t="array" ref="AW367">_xlfn.XLOOKUP(Matrix[[#This Row],[TEAM]]&amp;Matrix[[#Headers],[37]],FDR[FDR]&amp;FDR[[#Headers],[37]],FDR[37],"",0,1)</f>
        <v>4</v>
      </c>
      <c r="AX367" cm="1">
        <f t="array" ref="AX367">_xlfn.XLOOKUP(Matrix[[#This Row],[TEAM]]&amp;Matrix[[#Headers],[38]],FDR[FDR]&amp;FDR[[#Headers],[38]],FDR[38],"",0,1)</f>
        <v>4</v>
      </c>
    </row>
    <row r="368" spans="1:50" ht="22" thickTop="1" thickBot="1">
      <c r="A368" s="53" t="str">
        <f>INDEX!S$4</f>
        <v>MID</v>
      </c>
      <c r="B368" s="70" t="s">
        <v>1739</v>
      </c>
      <c r="C368" s="40" t="s">
        <v>26</v>
      </c>
      <c r="D368" s="62">
        <v>2</v>
      </c>
      <c r="E368" s="60">
        <v>1E-3</v>
      </c>
      <c r="F368" s="61">
        <v>1.5</v>
      </c>
      <c r="G368" s="63">
        <v>4.5</v>
      </c>
      <c r="H368" s="261">
        <f>IF(ISBLANK(I368),0,1)</f>
        <v>0</v>
      </c>
      <c r="I368" s="57"/>
      <c r="J368" s="58"/>
      <c r="K368" s="59" t="s">
        <v>953</v>
      </c>
      <c r="L368" s="59" t="s">
        <v>954</v>
      </c>
      <c r="M368" cm="1">
        <f t="array" ref="M368">_xlfn.XLOOKUP(Matrix[[#This Row],[TEAM]]&amp;Matrix[[#Headers],[1]],FDR[FDR]&amp;FDR[[#Headers],[1]],FDR[1],"",0,1)</f>
        <v>5</v>
      </c>
      <c r="N368" cm="1">
        <f t="array" ref="N368">_xlfn.XLOOKUP(Matrix[[#This Row],[TEAM]]&amp;Matrix[[#Headers],[2]],FDR[FDR]&amp;FDR[[#Headers],[2]],FDR[2],"",0,1)</f>
        <v>3</v>
      </c>
      <c r="O368" cm="1">
        <f t="array" ref="O368">_xlfn.XLOOKUP(Matrix[[#This Row],[TEAM]]&amp;Matrix[[#Headers],[3]],FDR[FDR]&amp;FDR[[#Headers],[3]],FDR[3],"",0,1)</f>
        <v>5</v>
      </c>
      <c r="P368" cm="1">
        <f t="array" ref="P368">_xlfn.XLOOKUP(Matrix[[#This Row],[TEAM]]&amp;Matrix[[#Headers],[4]],FDR[FDR]&amp;FDR[[#Headers],[4]],FDR[4],"",0,1)</f>
        <v>1</v>
      </c>
      <c r="Q368" cm="1">
        <f t="array" ref="Q368">_xlfn.XLOOKUP(Matrix[[#This Row],[TEAM]]&amp;Matrix[[#Headers],[5]],FDR[FDR]&amp;FDR[[#Headers],[5]],FDR[5],"",0,1)</f>
        <v>4</v>
      </c>
      <c r="R368" cm="1">
        <f t="array" ref="R368">_xlfn.XLOOKUP(Matrix[[#This Row],[TEAM]]&amp;Matrix[[#Headers],[6]],FDR[FDR]&amp;FDR[[#Headers],[6]],FDR[6],"",0,1)</f>
        <v>4</v>
      </c>
      <c r="S368" cm="1">
        <f t="array" ref="S368">_xlfn.XLOOKUP(Matrix[[#This Row],[TEAM]]&amp;Matrix[[#Headers],[7]],FDR[FDR]&amp;FDR[[#Headers],[7]],FDR[7],"",0,1)</f>
        <v>4</v>
      </c>
      <c r="T368" cm="1">
        <f t="array" ref="T368">_xlfn.XLOOKUP(Matrix[[#This Row],[TEAM]]&amp;Matrix[[#Headers],[8]],FDR[FDR]&amp;FDR[[#Headers],[8]],FDR[8],"",0,1)</f>
        <v>3</v>
      </c>
      <c r="U368" cm="1">
        <f t="array" ref="U368">_xlfn.XLOOKUP(Matrix[[#This Row],[TEAM]]&amp;Matrix[[#Headers],[9]],FDR[FDR]&amp;FDR[[#Headers],[9]],FDR[9],"",0,1)</f>
        <v>5</v>
      </c>
      <c r="V368" cm="1">
        <f t="array" ref="V368">_xlfn.XLOOKUP(Matrix[[#This Row],[TEAM]]&amp;Matrix[[#Headers],[10]],FDR[FDR]&amp;FDR[[#Headers],[10]],FDR[10],"",0,1)</f>
        <v>3</v>
      </c>
      <c r="W368" cm="1">
        <f t="array" ref="W368">_xlfn.XLOOKUP(Matrix[[#This Row],[TEAM]]&amp;Matrix[[#Headers],[11]],FDR[FDR]&amp;FDR[[#Headers],[11]],FDR[11],"",0,1)</f>
        <v>3</v>
      </c>
      <c r="X368" cm="1">
        <f t="array" ref="X368">_xlfn.XLOOKUP(Matrix[[#This Row],[TEAM]]&amp;Matrix[[#Headers],[12]],FDR[FDR]&amp;FDR[[#Headers],[12]],FDR[12],"",0,1)</f>
        <v>2</v>
      </c>
      <c r="Y368" cm="1">
        <f t="array" ref="Y368">_xlfn.XLOOKUP(Matrix[[#This Row],[TEAM]]&amp;Matrix[[#Headers],[13]],FDR[FDR]&amp;FDR[[#Headers],[13]],FDR[13],"",0,1)</f>
        <v>4</v>
      </c>
      <c r="Z368" cm="1">
        <f t="array" ref="Z368">_xlfn.XLOOKUP(Matrix[[#This Row],[TEAM]]&amp;Matrix[[#Headers],[14]],FDR[FDR]&amp;FDR[[#Headers],[14]],FDR[14],"",0,1)</f>
        <v>2</v>
      </c>
      <c r="AA368" cm="1">
        <f t="array" ref="AA368">_xlfn.XLOOKUP(Matrix[[#This Row],[TEAM]]&amp;Matrix[[#Headers],[15]],FDR[FDR]&amp;FDR[[#Headers],[15]],FDR[15],"",0,1)</f>
        <v>4</v>
      </c>
      <c r="AB368" cm="1">
        <f t="array" ref="AB368">_xlfn.XLOOKUP(Matrix[[#This Row],[TEAM]]&amp;Matrix[[#Headers],[16]],FDR[FDR]&amp;FDR[[#Headers],[16]],FDR[16],"",0,1)</f>
        <v>4</v>
      </c>
      <c r="AC368" cm="1">
        <f t="array" ref="AC368">_xlfn.XLOOKUP(Matrix[[#This Row],[TEAM]]&amp;Matrix[[#Headers],[17]],FDR[FDR]&amp;FDR[[#Headers],[17]],FDR[17],"",0,1)</f>
        <v>2</v>
      </c>
      <c r="AD368" cm="1">
        <f t="array" ref="AD368">_xlfn.XLOOKUP(Matrix[[#This Row],[TEAM]]&amp;Matrix[[#Headers],[18]],FDR[FDR]&amp;FDR[[#Headers],[18]],FDR[18],"",0,1)</f>
        <v>4</v>
      </c>
      <c r="AE368" cm="1">
        <f t="array" ref="AE368">_xlfn.XLOOKUP(Matrix[[#This Row],[TEAM]]&amp;Matrix[[#Headers],[19]],FDR[FDR]&amp;FDR[[#Headers],[19]],FDR[19],"",0,1)</f>
        <v>3</v>
      </c>
      <c r="AF368" cm="1">
        <f t="array" ref="AF368">_xlfn.XLOOKUP(Matrix[[#This Row],[TEAM]]&amp;Matrix[[#Headers],[20]],FDR[FDR]&amp;FDR[[#Headers],[20]],FDR[20],"",0,1)</f>
        <v>5</v>
      </c>
      <c r="AG368" cm="1">
        <f t="array" ref="AG368">_xlfn.XLOOKUP(Matrix[[#This Row],[TEAM]]&amp;Matrix[[#Headers],[21]],FDR[FDR]&amp;FDR[[#Headers],[21]],FDR[21],"",0,1)</f>
        <v>4</v>
      </c>
      <c r="AH368" cm="1">
        <f t="array" ref="AH368">_xlfn.XLOOKUP(Matrix[[#This Row],[TEAM]]&amp;Matrix[[#Headers],[22]],FDR[FDR]&amp;FDR[[#Headers],[22]],FDR[22],"",0,1)</f>
        <v>2</v>
      </c>
      <c r="AI368" cm="1">
        <f t="array" ref="AI368">_xlfn.XLOOKUP(Matrix[[#This Row],[TEAM]]&amp;Matrix[[#Headers],[23]],FDR[FDR]&amp;FDR[[#Headers],[23]],FDR[23],"",0,1)</f>
        <v>4</v>
      </c>
      <c r="AJ368" cm="1">
        <f t="array" ref="AJ368">_xlfn.XLOOKUP(Matrix[[#This Row],[TEAM]]&amp;Matrix[[#Headers],[24]],FDR[FDR]&amp;FDR[[#Headers],[24]],FDR[24],"",0,1)</f>
        <v>4</v>
      </c>
      <c r="AK368" cm="1">
        <f t="array" ref="AK368">_xlfn.XLOOKUP(Matrix[[#This Row],[TEAM]]&amp;Matrix[[#Headers],[25]],FDR[FDR]&amp;FDR[[#Headers],[25]],FDR[25],"",0,1)</f>
        <v>4</v>
      </c>
      <c r="AL368" cm="1">
        <f t="array" ref="AL368">_xlfn.XLOOKUP(Matrix[[#This Row],[TEAM]]&amp;Matrix[[#Headers],[26]],FDR[FDR]&amp;FDR[[#Headers],[26]],FDR[26],"",0,1)</f>
        <v>1</v>
      </c>
      <c r="AM368" cm="1">
        <f t="array" ref="AM368">_xlfn.XLOOKUP(Matrix[[#This Row],[TEAM]]&amp;Matrix[[#Headers],[27]],FDR[FDR]&amp;FDR[[#Headers],[27]],FDR[27],"",0,1)</f>
        <v>2</v>
      </c>
      <c r="AN368" cm="1">
        <f t="array" ref="AN368">_xlfn.XLOOKUP(Matrix[[#This Row],[TEAM]]&amp;Matrix[[#Headers],[28]],FDR[FDR]&amp;FDR[[#Headers],[28]],FDR[28],"",0,1)</f>
        <v>5</v>
      </c>
      <c r="AO368" cm="1">
        <f t="array" ref="AO368">_xlfn.XLOOKUP(Matrix[[#This Row],[TEAM]]&amp;Matrix[[#Headers],[29]],FDR[FDR]&amp;FDR[[#Headers],[29]],FDR[29],"",0,1)</f>
        <v>5</v>
      </c>
      <c r="AP368" cm="1">
        <f t="array" ref="AP368">_xlfn.XLOOKUP(Matrix[[#This Row],[TEAM]]&amp;Matrix[[#Headers],[30]],FDR[FDR]&amp;FDR[[#Headers],[30]],FDR[30],"",0,1)</f>
        <v>1</v>
      </c>
      <c r="AQ368" cm="1">
        <f t="array" ref="AQ368">_xlfn.XLOOKUP(Matrix[[#This Row],[TEAM]]&amp;Matrix[[#Headers],[31]],FDR[FDR]&amp;FDR[[#Headers],[31]],FDR[31],"",0,1)</f>
        <v>5</v>
      </c>
      <c r="AR368" cm="1">
        <f t="array" ref="AR368">_xlfn.XLOOKUP(Matrix[[#This Row],[TEAM]]&amp;Matrix[[#Headers],[32]],FDR[FDR]&amp;FDR[[#Headers],[32]],FDR[32],"",0,1)</f>
        <v>4</v>
      </c>
      <c r="AS368" cm="1">
        <f t="array" ref="AS368">_xlfn.XLOOKUP(Matrix[[#This Row],[TEAM]]&amp;Matrix[[#Headers],[33]],FDR[FDR]&amp;FDR[[#Headers],[33]],FDR[33],"",0,1)</f>
        <v>3</v>
      </c>
      <c r="AT368" cm="1">
        <f t="array" ref="AT368">_xlfn.XLOOKUP(Matrix[[#This Row],[TEAM]]&amp;Matrix[[#Headers],[34]],FDR[FDR]&amp;FDR[[#Headers],[34]],FDR[34],"",0,1)</f>
        <v>5</v>
      </c>
      <c r="AU368" cm="1">
        <f t="array" ref="AU368">_xlfn.XLOOKUP(Matrix[[#This Row],[TEAM]]&amp;Matrix[[#Headers],[35]],FDR[FDR]&amp;FDR[[#Headers],[35]],FDR[35],"",0,1)</f>
        <v>4</v>
      </c>
      <c r="AV368" cm="1">
        <f t="array" ref="AV368">_xlfn.XLOOKUP(Matrix[[#This Row],[TEAM]]&amp;Matrix[[#Headers],[36]],FDR[FDR]&amp;FDR[[#Headers],[36]],FDR[36],"",0,1)</f>
        <v>3</v>
      </c>
      <c r="AW368" cm="1">
        <f t="array" ref="AW368">_xlfn.XLOOKUP(Matrix[[#This Row],[TEAM]]&amp;Matrix[[#Headers],[37]],FDR[FDR]&amp;FDR[[#Headers],[37]],FDR[37],"",0,1)</f>
        <v>4</v>
      </c>
      <c r="AX368" cm="1">
        <f t="array" ref="AX368">_xlfn.XLOOKUP(Matrix[[#This Row],[TEAM]]&amp;Matrix[[#Headers],[38]],FDR[FDR]&amp;FDR[[#Headers],[38]],FDR[38],"",0,1)</f>
        <v>4</v>
      </c>
    </row>
    <row r="369" spans="1:50" ht="22" thickTop="1" thickBot="1">
      <c r="A369" s="53" t="str">
        <f>INDEX!S$4</f>
        <v>MID</v>
      </c>
      <c r="B369" s="70" t="s">
        <v>1746</v>
      </c>
      <c r="C369" s="40" t="s">
        <v>23</v>
      </c>
      <c r="D369" s="62">
        <v>2</v>
      </c>
      <c r="E369" s="60">
        <v>1E-3</v>
      </c>
      <c r="F369" s="61">
        <v>3</v>
      </c>
      <c r="G369" s="63">
        <v>4.5</v>
      </c>
      <c r="H369" s="261">
        <f>IF(ISBLANK(I369),0,1)</f>
        <v>0</v>
      </c>
      <c r="I369" s="57"/>
      <c r="J369" s="58"/>
      <c r="K369" s="59" t="s">
        <v>279</v>
      </c>
      <c r="L369" s="59" t="s">
        <v>1063</v>
      </c>
      <c r="M369" cm="1">
        <f t="array" ref="M369">_xlfn.XLOOKUP(Matrix[[#This Row],[TEAM]]&amp;Matrix[[#Headers],[1]],FDR[FDR]&amp;FDR[[#Headers],[1]],FDR[1],"",0,1)</f>
        <v>4</v>
      </c>
      <c r="N369" cm="1">
        <f t="array" ref="N369">_xlfn.XLOOKUP(Matrix[[#This Row],[TEAM]]&amp;Matrix[[#Headers],[2]],FDR[FDR]&amp;FDR[[#Headers],[2]],FDR[2],"",0,1)</f>
        <v>4</v>
      </c>
      <c r="O369" cm="1">
        <f t="array" ref="O369">_xlfn.XLOOKUP(Matrix[[#This Row],[TEAM]]&amp;Matrix[[#Headers],[3]],FDR[FDR]&amp;FDR[[#Headers],[3]],FDR[3],"",0,1)</f>
        <v>5</v>
      </c>
      <c r="P369" cm="1">
        <f t="array" ref="P369">_xlfn.XLOOKUP(Matrix[[#This Row],[TEAM]]&amp;Matrix[[#Headers],[4]],FDR[FDR]&amp;FDR[[#Headers],[4]],FDR[4],"",0,1)</f>
        <v>1</v>
      </c>
      <c r="Q369" cm="1">
        <f t="array" ref="Q369">_xlfn.XLOOKUP(Matrix[[#This Row],[TEAM]]&amp;Matrix[[#Headers],[5]],FDR[FDR]&amp;FDR[[#Headers],[5]],FDR[5],"",0,1)</f>
        <v>2</v>
      </c>
      <c r="R369" cm="1">
        <f t="array" ref="R369">_xlfn.XLOOKUP(Matrix[[#This Row],[TEAM]]&amp;Matrix[[#Headers],[6]],FDR[FDR]&amp;FDR[[#Headers],[6]],FDR[6],"",0,1)</f>
        <v>5</v>
      </c>
      <c r="S369" cm="1">
        <f t="array" ref="S369">_xlfn.XLOOKUP(Matrix[[#This Row],[TEAM]]&amp;Matrix[[#Headers],[7]],FDR[FDR]&amp;FDR[[#Headers],[7]],FDR[7],"",0,1)</f>
        <v>4</v>
      </c>
      <c r="T369" cm="1">
        <f t="array" ref="T369">_xlfn.XLOOKUP(Matrix[[#This Row],[TEAM]]&amp;Matrix[[#Headers],[8]],FDR[FDR]&amp;FDR[[#Headers],[8]],FDR[8],"",0,1)</f>
        <v>4</v>
      </c>
      <c r="U369" cm="1">
        <f t="array" ref="U369">_xlfn.XLOOKUP(Matrix[[#This Row],[TEAM]]&amp;Matrix[[#Headers],[9]],FDR[FDR]&amp;FDR[[#Headers],[9]],FDR[9],"",0,1)</f>
        <v>5</v>
      </c>
      <c r="V369" cm="1">
        <f t="array" ref="V369">_xlfn.XLOOKUP(Matrix[[#This Row],[TEAM]]&amp;Matrix[[#Headers],[10]],FDR[FDR]&amp;FDR[[#Headers],[10]],FDR[10],"",0,1)</f>
        <v>1</v>
      </c>
      <c r="W369" cm="1">
        <f t="array" ref="W369">_xlfn.XLOOKUP(Matrix[[#This Row],[TEAM]]&amp;Matrix[[#Headers],[11]],FDR[FDR]&amp;FDR[[#Headers],[11]],FDR[11],"",0,1)</f>
        <v>3</v>
      </c>
      <c r="X369" cm="1">
        <f t="array" ref="X369">_xlfn.XLOOKUP(Matrix[[#This Row],[TEAM]]&amp;Matrix[[#Headers],[12]],FDR[FDR]&amp;FDR[[#Headers],[12]],FDR[12],"",0,1)</f>
        <v>1</v>
      </c>
      <c r="Y369" cm="1">
        <f t="array" ref="Y369">_xlfn.XLOOKUP(Matrix[[#This Row],[TEAM]]&amp;Matrix[[#Headers],[13]],FDR[FDR]&amp;FDR[[#Headers],[13]],FDR[13],"",0,1)</f>
        <v>5</v>
      </c>
      <c r="Z369" cm="1">
        <f t="array" ref="Z369">_xlfn.XLOOKUP(Matrix[[#This Row],[TEAM]]&amp;Matrix[[#Headers],[14]],FDR[FDR]&amp;FDR[[#Headers],[14]],FDR[14],"",0,1)</f>
        <v>4</v>
      </c>
      <c r="AA369" cm="1">
        <f t="array" ref="AA369">_xlfn.XLOOKUP(Matrix[[#This Row],[TEAM]]&amp;Matrix[[#Headers],[15]],FDR[FDR]&amp;FDR[[#Headers],[15]],FDR[15],"",0,1)</f>
        <v>2</v>
      </c>
      <c r="AB369" cm="1">
        <f t="array" ref="AB369">_xlfn.XLOOKUP(Matrix[[#This Row],[TEAM]]&amp;Matrix[[#Headers],[16]],FDR[FDR]&amp;FDR[[#Headers],[16]],FDR[16],"",0,1)</f>
        <v>2</v>
      </c>
      <c r="AC369" cm="1">
        <f t="array" ref="AC369">_xlfn.XLOOKUP(Matrix[[#This Row],[TEAM]]&amp;Matrix[[#Headers],[17]],FDR[FDR]&amp;FDR[[#Headers],[17]],FDR[17],"",0,1)</f>
        <v>3</v>
      </c>
      <c r="AD369" cm="1">
        <f t="array" ref="AD369">_xlfn.XLOOKUP(Matrix[[#This Row],[TEAM]]&amp;Matrix[[#Headers],[18]],FDR[FDR]&amp;FDR[[#Headers],[18]],FDR[18],"",0,1)</f>
        <v>3</v>
      </c>
      <c r="AE369" cm="1">
        <f t="array" ref="AE369">_xlfn.XLOOKUP(Matrix[[#This Row],[TEAM]]&amp;Matrix[[#Headers],[19]],FDR[FDR]&amp;FDR[[#Headers],[19]],FDR[19],"",0,1)</f>
        <v>3</v>
      </c>
      <c r="AF369" cm="1">
        <f t="array" ref="AF369">_xlfn.XLOOKUP(Matrix[[#This Row],[TEAM]]&amp;Matrix[[#Headers],[20]],FDR[FDR]&amp;FDR[[#Headers],[20]],FDR[20],"",0,1)</f>
        <v>4</v>
      </c>
      <c r="AG369" cm="1">
        <f t="array" ref="AG369">_xlfn.XLOOKUP(Matrix[[#This Row],[TEAM]]&amp;Matrix[[#Headers],[21]],FDR[FDR]&amp;FDR[[#Headers],[21]],FDR[21],"",0,1)</f>
        <v>4</v>
      </c>
      <c r="AH369" cm="1">
        <f t="array" ref="AH369">_xlfn.XLOOKUP(Matrix[[#This Row],[TEAM]]&amp;Matrix[[#Headers],[22]],FDR[FDR]&amp;FDR[[#Headers],[22]],FDR[22],"",0,1)</f>
        <v>2</v>
      </c>
      <c r="AI369" cm="1">
        <f t="array" ref="AI369">_xlfn.XLOOKUP(Matrix[[#This Row],[TEAM]]&amp;Matrix[[#Headers],[23]],FDR[FDR]&amp;FDR[[#Headers],[23]],FDR[23],"",0,1)</f>
        <v>3</v>
      </c>
      <c r="AJ369" cm="1">
        <f t="array" ref="AJ369">_xlfn.XLOOKUP(Matrix[[#This Row],[TEAM]]&amp;Matrix[[#Headers],[24]],FDR[FDR]&amp;FDR[[#Headers],[24]],FDR[24],"",0,1)</f>
        <v>5</v>
      </c>
      <c r="AK369" cm="1">
        <f t="array" ref="AK369">_xlfn.XLOOKUP(Matrix[[#This Row],[TEAM]]&amp;Matrix[[#Headers],[25]],FDR[FDR]&amp;FDR[[#Headers],[25]],FDR[25],"",0,1)</f>
        <v>2</v>
      </c>
      <c r="AL369" cm="1">
        <f t="array" ref="AL369">_xlfn.XLOOKUP(Matrix[[#This Row],[TEAM]]&amp;Matrix[[#Headers],[26]],FDR[FDR]&amp;FDR[[#Headers],[26]],FDR[26],"",0,1)</f>
        <v>5</v>
      </c>
      <c r="AM369" cm="1">
        <f t="array" ref="AM369">_xlfn.XLOOKUP(Matrix[[#This Row],[TEAM]]&amp;Matrix[[#Headers],[27]],FDR[FDR]&amp;FDR[[#Headers],[27]],FDR[27],"",0,1)</f>
        <v>2</v>
      </c>
      <c r="AN369" cm="1">
        <f t="array" ref="AN369">_xlfn.XLOOKUP(Matrix[[#This Row],[TEAM]]&amp;Matrix[[#Headers],[28]],FDR[FDR]&amp;FDR[[#Headers],[28]],FDR[28],"",0,1)</f>
        <v>4</v>
      </c>
      <c r="AO369" cm="1">
        <f t="array" ref="AO369">_xlfn.XLOOKUP(Matrix[[#This Row],[TEAM]]&amp;Matrix[[#Headers],[29]],FDR[FDR]&amp;FDR[[#Headers],[29]],FDR[29],"",0,1)</f>
        <v>2</v>
      </c>
      <c r="AP369" cm="1">
        <f t="array" ref="AP369">_xlfn.XLOOKUP(Matrix[[#This Row],[TEAM]]&amp;Matrix[[#Headers],[30]],FDR[FDR]&amp;FDR[[#Headers],[30]],FDR[30],"",0,1)</f>
        <v>4</v>
      </c>
      <c r="AQ369" cm="1">
        <f t="array" ref="AQ369">_xlfn.XLOOKUP(Matrix[[#This Row],[TEAM]]&amp;Matrix[[#Headers],[31]],FDR[FDR]&amp;FDR[[#Headers],[31]],FDR[31],"",0,1)</f>
        <v>1</v>
      </c>
      <c r="AR369" cm="1">
        <f t="array" ref="AR369">_xlfn.XLOOKUP(Matrix[[#This Row],[TEAM]]&amp;Matrix[[#Headers],[32]],FDR[FDR]&amp;FDR[[#Headers],[32]],FDR[32],"",0,1)</f>
        <v>5</v>
      </c>
      <c r="AS369" cm="1">
        <f t="array" ref="AS369">_xlfn.XLOOKUP(Matrix[[#This Row],[TEAM]]&amp;Matrix[[#Headers],[33]],FDR[FDR]&amp;FDR[[#Headers],[33]],FDR[33],"",0,1)</f>
        <v>3</v>
      </c>
      <c r="AT369" cm="1">
        <f t="array" ref="AT369">_xlfn.XLOOKUP(Matrix[[#This Row],[TEAM]]&amp;Matrix[[#Headers],[34]],FDR[FDR]&amp;FDR[[#Headers],[34]],FDR[34],"",0,1)</f>
        <v>3</v>
      </c>
      <c r="AU369" cm="1">
        <f t="array" ref="AU369">_xlfn.XLOOKUP(Matrix[[#This Row],[TEAM]]&amp;Matrix[[#Headers],[35]],FDR[FDR]&amp;FDR[[#Headers],[35]],FDR[35],"",0,1)</f>
        <v>5</v>
      </c>
      <c r="AV369" cm="1">
        <f t="array" ref="AV369">_xlfn.XLOOKUP(Matrix[[#This Row],[TEAM]]&amp;Matrix[[#Headers],[36]],FDR[FDR]&amp;FDR[[#Headers],[36]],FDR[36],"",0,1)</f>
        <v>3</v>
      </c>
      <c r="AW369" cm="1">
        <f t="array" ref="AW369">_xlfn.XLOOKUP(Matrix[[#This Row],[TEAM]]&amp;Matrix[[#Headers],[37]],FDR[FDR]&amp;FDR[[#Headers],[37]],FDR[37],"",0,1)</f>
        <v>2</v>
      </c>
      <c r="AX369" cm="1">
        <f t="array" ref="AX369">_xlfn.XLOOKUP(Matrix[[#This Row],[TEAM]]&amp;Matrix[[#Headers],[38]],FDR[FDR]&amp;FDR[[#Headers],[38]],FDR[38],"",0,1)</f>
        <v>4</v>
      </c>
    </row>
    <row r="370" spans="1:50" ht="22" thickTop="1" thickBot="1">
      <c r="A370" s="53" t="str">
        <f>INDEX!S$4</f>
        <v>MID</v>
      </c>
      <c r="B370" s="70" t="s">
        <v>1711</v>
      </c>
      <c r="C370" s="40" t="s">
        <v>52</v>
      </c>
      <c r="D370" s="62">
        <v>2</v>
      </c>
      <c r="E370" s="60">
        <v>2E-3</v>
      </c>
      <c r="F370" s="61">
        <v>0.6</v>
      </c>
      <c r="G370" s="63">
        <v>4.5</v>
      </c>
      <c r="H370" s="261">
        <f>IF(ISBLANK(I370),0,1)</f>
        <v>0</v>
      </c>
      <c r="I370" s="57"/>
      <c r="J370" s="58"/>
      <c r="K370" s="59" t="s">
        <v>434</v>
      </c>
      <c r="L370" s="59" t="s">
        <v>1142</v>
      </c>
      <c r="M370" cm="1">
        <f t="array" ref="M370">_xlfn.XLOOKUP(Matrix[[#This Row],[TEAM]]&amp;Matrix[[#Headers],[1]],FDR[FDR]&amp;FDR[[#Headers],[1]],FDR[1],"",0,1)</f>
        <v>2</v>
      </c>
      <c r="N370" cm="1">
        <f t="array" ref="N370">_xlfn.XLOOKUP(Matrix[[#This Row],[TEAM]]&amp;Matrix[[#Headers],[2]],FDR[FDR]&amp;FDR[[#Headers],[2]],FDR[2],"",0,1)</f>
        <v>3</v>
      </c>
      <c r="O370" cm="1">
        <f t="array" ref="O370">_xlfn.XLOOKUP(Matrix[[#This Row],[TEAM]]&amp;Matrix[[#Headers],[3]],FDR[FDR]&amp;FDR[[#Headers],[3]],FDR[3],"",0,1)</f>
        <v>2</v>
      </c>
      <c r="P370" cm="1">
        <f t="array" ref="P370">_xlfn.XLOOKUP(Matrix[[#This Row],[TEAM]]&amp;Matrix[[#Headers],[4]],FDR[FDR]&amp;FDR[[#Headers],[4]],FDR[4],"",0,1)</f>
        <v>5</v>
      </c>
      <c r="Q370" cm="1">
        <f t="array" ref="Q370">_xlfn.XLOOKUP(Matrix[[#This Row],[TEAM]]&amp;Matrix[[#Headers],[5]],FDR[FDR]&amp;FDR[[#Headers],[5]],FDR[5],"",0,1)</f>
        <v>2</v>
      </c>
      <c r="R370" cm="1">
        <f t="array" ref="R370">_xlfn.XLOOKUP(Matrix[[#This Row],[TEAM]]&amp;Matrix[[#Headers],[6]],FDR[FDR]&amp;FDR[[#Headers],[6]],FDR[6],"",0,1)</f>
        <v>1</v>
      </c>
      <c r="S370" cm="1">
        <f t="array" ref="S370">_xlfn.XLOOKUP(Matrix[[#This Row],[TEAM]]&amp;Matrix[[#Headers],[7]],FDR[FDR]&amp;FDR[[#Headers],[7]],FDR[7],"",0,1)</f>
        <v>5</v>
      </c>
      <c r="T370" cm="1">
        <f t="array" ref="T370">_xlfn.XLOOKUP(Matrix[[#This Row],[TEAM]]&amp;Matrix[[#Headers],[8]],FDR[FDR]&amp;FDR[[#Headers],[8]],FDR[8],"",0,1)</f>
        <v>4</v>
      </c>
      <c r="U370" cm="1">
        <f t="array" ref="U370">_xlfn.XLOOKUP(Matrix[[#This Row],[TEAM]]&amp;Matrix[[#Headers],[9]],FDR[FDR]&amp;FDR[[#Headers],[9]],FDR[9],"",0,1)</f>
        <v>4</v>
      </c>
      <c r="V370" cm="1">
        <f t="array" ref="V370">_xlfn.XLOOKUP(Matrix[[#This Row],[TEAM]]&amp;Matrix[[#Headers],[10]],FDR[FDR]&amp;FDR[[#Headers],[10]],FDR[10],"",0,1)</f>
        <v>4</v>
      </c>
      <c r="W370" cm="1">
        <f t="array" ref="W370">_xlfn.XLOOKUP(Matrix[[#This Row],[TEAM]]&amp;Matrix[[#Headers],[11]],FDR[FDR]&amp;FDR[[#Headers],[11]],FDR[11],"",0,1)</f>
        <v>1</v>
      </c>
      <c r="X370" cm="1">
        <f t="array" ref="X370">_xlfn.XLOOKUP(Matrix[[#This Row],[TEAM]]&amp;Matrix[[#Headers],[12]],FDR[FDR]&amp;FDR[[#Headers],[12]],FDR[12],"",0,1)</f>
        <v>5</v>
      </c>
      <c r="Y370" cm="1">
        <f t="array" ref="Y370">_xlfn.XLOOKUP(Matrix[[#This Row],[TEAM]]&amp;Matrix[[#Headers],[13]],FDR[FDR]&amp;FDR[[#Headers],[13]],FDR[13],"",0,1)</f>
        <v>3</v>
      </c>
      <c r="Z370" cm="1">
        <f t="array" ref="Z370">_xlfn.XLOOKUP(Matrix[[#This Row],[TEAM]]&amp;Matrix[[#Headers],[14]],FDR[FDR]&amp;FDR[[#Headers],[14]],FDR[14],"",0,1)</f>
        <v>2</v>
      </c>
      <c r="AA370" cm="1">
        <f t="array" ref="AA370">_xlfn.XLOOKUP(Matrix[[#This Row],[TEAM]]&amp;Matrix[[#Headers],[15]],FDR[FDR]&amp;FDR[[#Headers],[15]],FDR[15],"",0,1)</f>
        <v>3</v>
      </c>
      <c r="AB370" cm="1">
        <f t="array" ref="AB370">_xlfn.XLOOKUP(Matrix[[#This Row],[TEAM]]&amp;Matrix[[#Headers],[16]],FDR[FDR]&amp;FDR[[#Headers],[16]],FDR[16],"",0,1)</f>
        <v>4</v>
      </c>
      <c r="AC370" cm="1">
        <f t="array" ref="AC370">_xlfn.XLOOKUP(Matrix[[#This Row],[TEAM]]&amp;Matrix[[#Headers],[17]],FDR[FDR]&amp;FDR[[#Headers],[17]],FDR[17],"",0,1)</f>
        <v>4</v>
      </c>
      <c r="AD370" cm="1">
        <f t="array" ref="AD370">_xlfn.XLOOKUP(Matrix[[#This Row],[TEAM]]&amp;Matrix[[#Headers],[18]],FDR[FDR]&amp;FDR[[#Headers],[18]],FDR[18],"",0,1)</f>
        <v>4</v>
      </c>
      <c r="AE370" cm="1">
        <f t="array" ref="AE370">_xlfn.XLOOKUP(Matrix[[#This Row],[TEAM]]&amp;Matrix[[#Headers],[19]],FDR[FDR]&amp;FDR[[#Headers],[19]],FDR[19],"",0,1)</f>
        <v>2</v>
      </c>
      <c r="AF370" cm="1">
        <f t="array" ref="AF370">_xlfn.XLOOKUP(Matrix[[#This Row],[TEAM]]&amp;Matrix[[#Headers],[20]],FDR[FDR]&amp;FDR[[#Headers],[20]],FDR[20],"",0,1)</f>
        <v>5</v>
      </c>
      <c r="AG370" cm="1">
        <f t="array" ref="AG370">_xlfn.XLOOKUP(Matrix[[#This Row],[TEAM]]&amp;Matrix[[#Headers],[21]],FDR[FDR]&amp;FDR[[#Headers],[21]],FDR[21],"",0,1)</f>
        <v>3</v>
      </c>
      <c r="AH370" cm="1">
        <f t="array" ref="AH370">_xlfn.XLOOKUP(Matrix[[#This Row],[TEAM]]&amp;Matrix[[#Headers],[22]],FDR[FDR]&amp;FDR[[#Headers],[22]],FDR[22],"",0,1)</f>
        <v>4</v>
      </c>
      <c r="AI370" cm="1">
        <f t="array" ref="AI370">_xlfn.XLOOKUP(Matrix[[#This Row],[TEAM]]&amp;Matrix[[#Headers],[23]],FDR[FDR]&amp;FDR[[#Headers],[23]],FDR[23],"",0,1)</f>
        <v>3</v>
      </c>
      <c r="AJ370" cm="1">
        <f t="array" ref="AJ370">_xlfn.XLOOKUP(Matrix[[#This Row],[TEAM]]&amp;Matrix[[#Headers],[24]],FDR[FDR]&amp;FDR[[#Headers],[24]],FDR[24],"",0,1)</f>
        <v>2</v>
      </c>
      <c r="AK370" cm="1">
        <f t="array" ref="AK370">_xlfn.XLOOKUP(Matrix[[#This Row],[TEAM]]&amp;Matrix[[#Headers],[25]],FDR[FDR]&amp;FDR[[#Headers],[25]],FDR[25],"",0,1)</f>
        <v>2</v>
      </c>
      <c r="AL370" cm="1">
        <f t="array" ref="AL370">_xlfn.XLOOKUP(Matrix[[#This Row],[TEAM]]&amp;Matrix[[#Headers],[26]],FDR[FDR]&amp;FDR[[#Headers],[26]],FDR[26],"",0,1)</f>
        <v>1</v>
      </c>
      <c r="AM370" cm="1">
        <f t="array" ref="AM370">_xlfn.XLOOKUP(Matrix[[#This Row],[TEAM]]&amp;Matrix[[#Headers],[27]],FDR[FDR]&amp;FDR[[#Headers],[27]],FDR[27],"",0,1)</f>
        <v>4</v>
      </c>
      <c r="AN370" cm="1">
        <f t="array" ref="AN370">_xlfn.XLOOKUP(Matrix[[#This Row],[TEAM]]&amp;Matrix[[#Headers],[28]],FDR[FDR]&amp;FDR[[#Headers],[28]],FDR[28],"",0,1)</f>
        <v>4</v>
      </c>
      <c r="AO370" cm="1">
        <f t="array" ref="AO370">_xlfn.XLOOKUP(Matrix[[#This Row],[TEAM]]&amp;Matrix[[#Headers],[29]],FDR[FDR]&amp;FDR[[#Headers],[29]],FDR[29],"",0,1)</f>
        <v>5</v>
      </c>
      <c r="AP370" cm="1">
        <f t="array" ref="AP370">_xlfn.XLOOKUP(Matrix[[#This Row],[TEAM]]&amp;Matrix[[#Headers],[30]],FDR[FDR]&amp;FDR[[#Headers],[30]],FDR[30],"",0,1)</f>
        <v>3</v>
      </c>
      <c r="AQ370" cm="1">
        <f t="array" ref="AQ370">_xlfn.XLOOKUP(Matrix[[#This Row],[TEAM]]&amp;Matrix[[#Headers],[31]],FDR[FDR]&amp;FDR[[#Headers],[31]],FDR[31],"",0,1)</f>
        <v>5</v>
      </c>
      <c r="AR370" cm="1">
        <f t="array" ref="AR370">_xlfn.XLOOKUP(Matrix[[#This Row],[TEAM]]&amp;Matrix[[#Headers],[32]],FDR[FDR]&amp;FDR[[#Headers],[32]],FDR[32],"",0,1)</f>
        <v>3</v>
      </c>
      <c r="AS370" cm="1">
        <f t="array" ref="AS370">_xlfn.XLOOKUP(Matrix[[#This Row],[TEAM]]&amp;Matrix[[#Headers],[33]],FDR[FDR]&amp;FDR[[#Headers],[33]],FDR[33],"",0,1)</f>
        <v>1</v>
      </c>
      <c r="AT370" cm="1">
        <f t="array" ref="AT370">_xlfn.XLOOKUP(Matrix[[#This Row],[TEAM]]&amp;Matrix[[#Headers],[34]],FDR[FDR]&amp;FDR[[#Headers],[34]],FDR[34],"",0,1)</f>
        <v>2</v>
      </c>
      <c r="AU370" cm="1">
        <f t="array" ref="AU370">_xlfn.XLOOKUP(Matrix[[#This Row],[TEAM]]&amp;Matrix[[#Headers],[35]],FDR[FDR]&amp;FDR[[#Headers],[35]],FDR[35],"",0,1)</f>
        <v>5</v>
      </c>
      <c r="AV370" cm="1">
        <f t="array" ref="AV370">_xlfn.XLOOKUP(Matrix[[#This Row],[TEAM]]&amp;Matrix[[#Headers],[36]],FDR[FDR]&amp;FDR[[#Headers],[36]],FDR[36],"",0,1)</f>
        <v>4</v>
      </c>
      <c r="AW370" cm="1">
        <f t="array" ref="AW370">_xlfn.XLOOKUP(Matrix[[#This Row],[TEAM]]&amp;Matrix[[#Headers],[37]],FDR[FDR]&amp;FDR[[#Headers],[37]],FDR[37],"",0,1)</f>
        <v>5</v>
      </c>
      <c r="AX370" cm="1">
        <f t="array" ref="AX370">_xlfn.XLOOKUP(Matrix[[#This Row],[TEAM]]&amp;Matrix[[#Headers],[38]],FDR[FDR]&amp;FDR[[#Headers],[38]],FDR[38],"",0,1)</f>
        <v>3</v>
      </c>
    </row>
    <row r="371" spans="1:50" ht="22" thickTop="1" thickBot="1">
      <c r="A371" s="53" t="str">
        <f>INDEX!S$4</f>
        <v>MID</v>
      </c>
      <c r="B371" s="70" t="s">
        <v>1718</v>
      </c>
      <c r="C371" s="40" t="s">
        <v>27</v>
      </c>
      <c r="D371" s="62">
        <v>2</v>
      </c>
      <c r="E371" s="60">
        <v>2E-3</v>
      </c>
      <c r="F371" s="61">
        <v>4</v>
      </c>
      <c r="G371" s="63">
        <v>4.5</v>
      </c>
      <c r="H371" s="261">
        <f>IF(ISBLANK(I371),0,1)</f>
        <v>0</v>
      </c>
      <c r="I371" s="57"/>
      <c r="J371" s="58"/>
      <c r="K371" s="59" t="s">
        <v>407</v>
      </c>
      <c r="L371" s="59" t="s">
        <v>1211</v>
      </c>
      <c r="M371" cm="1">
        <f t="array" ref="M371">_xlfn.XLOOKUP(Matrix[[#This Row],[TEAM]]&amp;Matrix[[#Headers],[1]],FDR[FDR]&amp;FDR[[#Headers],[1]],FDR[1],"",0,1)</f>
        <v>2</v>
      </c>
      <c r="N371" cm="1">
        <f t="array" ref="N371">_xlfn.XLOOKUP(Matrix[[#This Row],[TEAM]]&amp;Matrix[[#Headers],[2]],FDR[FDR]&amp;FDR[[#Headers],[2]],FDR[2],"",0,1)</f>
        <v>4</v>
      </c>
      <c r="O371" cm="1">
        <f t="array" ref="O371">_xlfn.XLOOKUP(Matrix[[#This Row],[TEAM]]&amp;Matrix[[#Headers],[3]],FDR[FDR]&amp;FDR[[#Headers],[3]],FDR[3],"",0,1)</f>
        <v>4</v>
      </c>
      <c r="P371" cm="1">
        <f t="array" ref="P371">_xlfn.XLOOKUP(Matrix[[#This Row],[TEAM]]&amp;Matrix[[#Headers],[4]],FDR[FDR]&amp;FDR[[#Headers],[4]],FDR[4],"",0,1)</f>
        <v>4</v>
      </c>
      <c r="Q371" cm="1">
        <f t="array" ref="Q371">_xlfn.XLOOKUP(Matrix[[#This Row],[TEAM]]&amp;Matrix[[#Headers],[5]],FDR[FDR]&amp;FDR[[#Headers],[5]],FDR[5],"",0,1)</f>
        <v>3</v>
      </c>
      <c r="R371" cm="1">
        <f t="array" ref="R371">_xlfn.XLOOKUP(Matrix[[#This Row],[TEAM]]&amp;Matrix[[#Headers],[6]],FDR[FDR]&amp;FDR[[#Headers],[6]],FDR[6],"",0,1)</f>
        <v>4</v>
      </c>
      <c r="S371" cm="1">
        <f t="array" ref="S371">_xlfn.XLOOKUP(Matrix[[#This Row],[TEAM]]&amp;Matrix[[#Headers],[7]],FDR[FDR]&amp;FDR[[#Headers],[7]],FDR[7],"",0,1)</f>
        <v>5</v>
      </c>
      <c r="T371" cm="1">
        <f t="array" ref="T371">_xlfn.XLOOKUP(Matrix[[#This Row],[TEAM]]&amp;Matrix[[#Headers],[8]],FDR[FDR]&amp;FDR[[#Headers],[8]],FDR[8],"",0,1)</f>
        <v>3</v>
      </c>
      <c r="U371" cm="1">
        <f t="array" ref="U371">_xlfn.XLOOKUP(Matrix[[#This Row],[TEAM]]&amp;Matrix[[#Headers],[9]],FDR[FDR]&amp;FDR[[#Headers],[9]],FDR[9],"",0,1)</f>
        <v>2</v>
      </c>
      <c r="V371" cm="1">
        <f t="array" ref="V371">_xlfn.XLOOKUP(Matrix[[#This Row],[TEAM]]&amp;Matrix[[#Headers],[10]],FDR[FDR]&amp;FDR[[#Headers],[10]],FDR[10],"",0,1)</f>
        <v>4</v>
      </c>
      <c r="W371" cm="1">
        <f t="array" ref="W371">_xlfn.XLOOKUP(Matrix[[#This Row],[TEAM]]&amp;Matrix[[#Headers],[11]],FDR[FDR]&amp;FDR[[#Headers],[11]],FDR[11],"",0,1)</f>
        <v>1</v>
      </c>
      <c r="X371" cm="1">
        <f t="array" ref="X371">_xlfn.XLOOKUP(Matrix[[#This Row],[TEAM]]&amp;Matrix[[#Headers],[12]],FDR[FDR]&amp;FDR[[#Headers],[12]],FDR[12],"",0,1)</f>
        <v>4</v>
      </c>
      <c r="Y371" cm="1">
        <f t="array" ref="Y371">_xlfn.XLOOKUP(Matrix[[#This Row],[TEAM]]&amp;Matrix[[#Headers],[13]],FDR[FDR]&amp;FDR[[#Headers],[13]],FDR[13],"",0,1)</f>
        <v>4</v>
      </c>
      <c r="Z371" cm="1">
        <f t="array" ref="Z371">_xlfn.XLOOKUP(Matrix[[#This Row],[TEAM]]&amp;Matrix[[#Headers],[14]],FDR[FDR]&amp;FDR[[#Headers],[14]],FDR[14],"",0,1)</f>
        <v>5</v>
      </c>
      <c r="AA371" cm="1">
        <f t="array" ref="AA371">_xlfn.XLOOKUP(Matrix[[#This Row],[TEAM]]&amp;Matrix[[#Headers],[15]],FDR[FDR]&amp;FDR[[#Headers],[15]],FDR[15],"",0,1)</f>
        <v>4</v>
      </c>
      <c r="AB371" cm="1">
        <f t="array" ref="AB371">_xlfn.XLOOKUP(Matrix[[#This Row],[TEAM]]&amp;Matrix[[#Headers],[16]],FDR[FDR]&amp;FDR[[#Headers],[16]],FDR[16],"",0,1)</f>
        <v>4</v>
      </c>
      <c r="AC371" cm="1">
        <f t="array" ref="AC371">_xlfn.XLOOKUP(Matrix[[#This Row],[TEAM]]&amp;Matrix[[#Headers],[17]],FDR[FDR]&amp;FDR[[#Headers],[17]],FDR[17],"",0,1)</f>
        <v>5</v>
      </c>
      <c r="AD371" cm="1">
        <f t="array" ref="AD371">_xlfn.XLOOKUP(Matrix[[#This Row],[TEAM]]&amp;Matrix[[#Headers],[18]],FDR[FDR]&amp;FDR[[#Headers],[18]],FDR[18],"",0,1)</f>
        <v>3</v>
      </c>
      <c r="AE371" cm="1">
        <f t="array" ref="AE371">_xlfn.XLOOKUP(Matrix[[#This Row],[TEAM]]&amp;Matrix[[#Headers],[19]],FDR[FDR]&amp;FDR[[#Headers],[19]],FDR[19],"",0,1)</f>
        <v>3</v>
      </c>
      <c r="AF371" cm="1">
        <f t="array" ref="AF371">_xlfn.XLOOKUP(Matrix[[#This Row],[TEAM]]&amp;Matrix[[#Headers],[20]],FDR[FDR]&amp;FDR[[#Headers],[20]],FDR[20],"",0,1)</f>
        <v>2</v>
      </c>
      <c r="AG371" cm="1">
        <f t="array" ref="AG371">_xlfn.XLOOKUP(Matrix[[#This Row],[TEAM]]&amp;Matrix[[#Headers],[21]],FDR[FDR]&amp;FDR[[#Headers],[21]],FDR[21],"",0,1)</f>
        <v>3</v>
      </c>
      <c r="AH371" cm="1">
        <f t="array" ref="AH371">_xlfn.XLOOKUP(Matrix[[#This Row],[TEAM]]&amp;Matrix[[#Headers],[22]],FDR[FDR]&amp;FDR[[#Headers],[22]],FDR[22],"",0,1)</f>
        <v>5</v>
      </c>
      <c r="AI371" cm="1">
        <f t="array" ref="AI371">_xlfn.XLOOKUP(Matrix[[#This Row],[TEAM]]&amp;Matrix[[#Headers],[23]],FDR[FDR]&amp;FDR[[#Headers],[23]],FDR[23],"",0,1)</f>
        <v>1</v>
      </c>
      <c r="AJ371" cm="1">
        <f t="array" ref="AJ371">_xlfn.XLOOKUP(Matrix[[#This Row],[TEAM]]&amp;Matrix[[#Headers],[24]],FDR[FDR]&amp;FDR[[#Headers],[24]],FDR[24],"",0,1)</f>
        <v>5</v>
      </c>
      <c r="AK371" cm="1">
        <f t="array" ref="AK371">_xlfn.XLOOKUP(Matrix[[#This Row],[TEAM]]&amp;Matrix[[#Headers],[25]],FDR[FDR]&amp;FDR[[#Headers],[25]],FDR[25],"",0,1)</f>
        <v>2</v>
      </c>
      <c r="AL371" cm="1">
        <f t="array" ref="AL371">_xlfn.XLOOKUP(Matrix[[#This Row],[TEAM]]&amp;Matrix[[#Headers],[26]],FDR[FDR]&amp;FDR[[#Headers],[26]],FDR[26],"",0,1)</f>
        <v>4</v>
      </c>
      <c r="AM371" cm="1">
        <f t="array" ref="AM371">_xlfn.XLOOKUP(Matrix[[#This Row],[TEAM]]&amp;Matrix[[#Headers],[27]],FDR[FDR]&amp;FDR[[#Headers],[27]],FDR[27],"",0,1)</f>
        <v>3</v>
      </c>
      <c r="AN371" cm="1">
        <f t="array" ref="AN371">_xlfn.XLOOKUP(Matrix[[#This Row],[TEAM]]&amp;Matrix[[#Headers],[28]],FDR[FDR]&amp;FDR[[#Headers],[28]],FDR[28],"",0,1)</f>
        <v>5</v>
      </c>
      <c r="AO371" cm="1">
        <f t="array" ref="AO371">_xlfn.XLOOKUP(Matrix[[#This Row],[TEAM]]&amp;Matrix[[#Headers],[29]],FDR[FDR]&amp;FDR[[#Headers],[29]],FDR[29],"",0,1)</f>
        <v>4</v>
      </c>
      <c r="AP371" cm="1">
        <f t="array" ref="AP371">_xlfn.XLOOKUP(Matrix[[#This Row],[TEAM]]&amp;Matrix[[#Headers],[30]],FDR[FDR]&amp;FDR[[#Headers],[30]],FDR[30],"",0,1)</f>
        <v>4</v>
      </c>
      <c r="AQ371" cm="1">
        <f t="array" ref="AQ371">_xlfn.XLOOKUP(Matrix[[#This Row],[TEAM]]&amp;Matrix[[#Headers],[31]],FDR[FDR]&amp;FDR[[#Headers],[31]],FDR[31],"",0,1)</f>
        <v>5</v>
      </c>
      <c r="AR371" cm="1">
        <f t="array" ref="AR371">_xlfn.XLOOKUP(Matrix[[#This Row],[TEAM]]&amp;Matrix[[#Headers],[32]],FDR[FDR]&amp;FDR[[#Headers],[32]],FDR[32],"",0,1)</f>
        <v>2</v>
      </c>
      <c r="AS371" cm="1">
        <f t="array" ref="AS371">_xlfn.XLOOKUP(Matrix[[#This Row],[TEAM]]&amp;Matrix[[#Headers],[33]],FDR[FDR]&amp;FDR[[#Headers],[33]],FDR[33],"",0,1)</f>
        <v>4</v>
      </c>
      <c r="AT371" cm="1">
        <f t="array" ref="AT371">_xlfn.XLOOKUP(Matrix[[#This Row],[TEAM]]&amp;Matrix[[#Headers],[34]],FDR[FDR]&amp;FDR[[#Headers],[34]],FDR[34],"",0,1)</f>
        <v>3</v>
      </c>
      <c r="AU371" cm="1">
        <f t="array" ref="AU371">_xlfn.XLOOKUP(Matrix[[#This Row],[TEAM]]&amp;Matrix[[#Headers],[35]],FDR[FDR]&amp;FDR[[#Headers],[35]],FDR[35],"",0,1)</f>
        <v>4</v>
      </c>
      <c r="AV371" cm="1">
        <f t="array" ref="AV371">_xlfn.XLOOKUP(Matrix[[#This Row],[TEAM]]&amp;Matrix[[#Headers],[36]],FDR[FDR]&amp;FDR[[#Headers],[36]],FDR[36],"",0,1)</f>
        <v>4</v>
      </c>
      <c r="AW371" cm="1">
        <f t="array" ref="AW371">_xlfn.XLOOKUP(Matrix[[#This Row],[TEAM]]&amp;Matrix[[#Headers],[37]],FDR[FDR]&amp;FDR[[#Headers],[37]],FDR[37],"",0,1)</f>
        <v>5</v>
      </c>
      <c r="AX371" cm="1">
        <f t="array" ref="AX371">_xlfn.XLOOKUP(Matrix[[#This Row],[TEAM]]&amp;Matrix[[#Headers],[38]],FDR[FDR]&amp;FDR[[#Headers],[38]],FDR[38],"",0,1)</f>
        <v>1</v>
      </c>
    </row>
    <row r="372" spans="1:50" ht="22" thickTop="1" thickBot="1">
      <c r="A372" s="53" t="str">
        <f>INDEX!S$4</f>
        <v>MID</v>
      </c>
      <c r="B372" s="70" t="s">
        <v>1695</v>
      </c>
      <c r="C372" s="40" t="s">
        <v>43</v>
      </c>
      <c r="D372" s="62">
        <v>1</v>
      </c>
      <c r="E372" s="60">
        <v>2E-3</v>
      </c>
      <c r="F372" s="61">
        <v>0.3</v>
      </c>
      <c r="G372" s="63">
        <v>4.5</v>
      </c>
      <c r="H372" s="261">
        <f>IF(ISBLANK(I372),0,1)</f>
        <v>0</v>
      </c>
      <c r="I372" s="57"/>
      <c r="J372" s="58"/>
      <c r="K372" s="59" t="s">
        <v>997</v>
      </c>
      <c r="L372" s="59" t="s">
        <v>998</v>
      </c>
      <c r="M372" cm="1">
        <f t="array" ref="M372">_xlfn.XLOOKUP(Matrix[[#This Row],[TEAM]]&amp;Matrix[[#Headers],[1]],FDR[FDR]&amp;FDR[[#Headers],[1]],FDR[1],"",0,1)</f>
        <v>5</v>
      </c>
      <c r="N372" cm="1">
        <f t="array" ref="N372">_xlfn.XLOOKUP(Matrix[[#This Row],[TEAM]]&amp;Matrix[[#Headers],[2]],FDR[FDR]&amp;FDR[[#Headers],[2]],FDR[2],"",0,1)</f>
        <v>1</v>
      </c>
      <c r="O372" cm="1">
        <f t="array" ref="O372">_xlfn.XLOOKUP(Matrix[[#This Row],[TEAM]]&amp;Matrix[[#Headers],[3]],FDR[FDR]&amp;FDR[[#Headers],[3]],FDR[3],"",0,1)</f>
        <v>5</v>
      </c>
      <c r="P372" cm="1">
        <f t="array" ref="P372">_xlfn.XLOOKUP(Matrix[[#This Row],[TEAM]]&amp;Matrix[[#Headers],[4]],FDR[FDR]&amp;FDR[[#Headers],[4]],FDR[4],"",0,1)</f>
        <v>3</v>
      </c>
      <c r="Q372" cm="1">
        <f t="array" ref="Q372">_xlfn.XLOOKUP(Matrix[[#This Row],[TEAM]]&amp;Matrix[[#Headers],[5]],FDR[FDR]&amp;FDR[[#Headers],[5]],FDR[5],"",0,1)</f>
        <v>4</v>
      </c>
      <c r="R372" cm="1">
        <f t="array" ref="R372">_xlfn.XLOOKUP(Matrix[[#This Row],[TEAM]]&amp;Matrix[[#Headers],[6]],FDR[FDR]&amp;FDR[[#Headers],[6]],FDR[6],"",0,1)</f>
        <v>2</v>
      </c>
      <c r="S372" cm="1">
        <f t="array" ref="S372">_xlfn.XLOOKUP(Matrix[[#This Row],[TEAM]]&amp;Matrix[[#Headers],[7]],FDR[FDR]&amp;FDR[[#Headers],[7]],FDR[7],"",0,1)</f>
        <v>3</v>
      </c>
      <c r="T372" cm="1">
        <f t="array" ref="T372">_xlfn.XLOOKUP(Matrix[[#This Row],[TEAM]]&amp;Matrix[[#Headers],[8]],FDR[FDR]&amp;FDR[[#Headers],[8]],FDR[8],"",0,1)</f>
        <v>3</v>
      </c>
      <c r="U372" cm="1">
        <f t="array" ref="U372">_xlfn.XLOOKUP(Matrix[[#This Row],[TEAM]]&amp;Matrix[[#Headers],[9]],FDR[FDR]&amp;FDR[[#Headers],[9]],FDR[9],"",0,1)</f>
        <v>3</v>
      </c>
      <c r="V372" cm="1">
        <f t="array" ref="V372">_xlfn.XLOOKUP(Matrix[[#This Row],[TEAM]]&amp;Matrix[[#Headers],[10]],FDR[FDR]&amp;FDR[[#Headers],[10]],FDR[10],"",0,1)</f>
        <v>5</v>
      </c>
      <c r="W372" cm="1">
        <f t="array" ref="W372">_xlfn.XLOOKUP(Matrix[[#This Row],[TEAM]]&amp;Matrix[[#Headers],[11]],FDR[FDR]&amp;FDR[[#Headers],[11]],FDR[11],"",0,1)</f>
        <v>5</v>
      </c>
      <c r="X372" cm="1">
        <f t="array" ref="X372">_xlfn.XLOOKUP(Matrix[[#This Row],[TEAM]]&amp;Matrix[[#Headers],[12]],FDR[FDR]&amp;FDR[[#Headers],[12]],FDR[12],"",0,1)</f>
        <v>2</v>
      </c>
      <c r="Y372" cm="1">
        <f t="array" ref="Y372">_xlfn.XLOOKUP(Matrix[[#This Row],[TEAM]]&amp;Matrix[[#Headers],[13]],FDR[FDR]&amp;FDR[[#Headers],[13]],FDR[13],"",0,1)</f>
        <v>2</v>
      </c>
      <c r="Z372" cm="1">
        <f t="array" ref="Z372">_xlfn.XLOOKUP(Matrix[[#This Row],[TEAM]]&amp;Matrix[[#Headers],[14]],FDR[FDR]&amp;FDR[[#Headers],[14]],FDR[14],"",0,1)</f>
        <v>2</v>
      </c>
      <c r="AA372" cm="1">
        <f t="array" ref="AA372">_xlfn.XLOOKUP(Matrix[[#This Row],[TEAM]]&amp;Matrix[[#Headers],[15]],FDR[FDR]&amp;FDR[[#Headers],[15]],FDR[15],"",0,1)</f>
        <v>4</v>
      </c>
      <c r="AB372" cm="1">
        <f t="array" ref="AB372">_xlfn.XLOOKUP(Matrix[[#This Row],[TEAM]]&amp;Matrix[[#Headers],[16]],FDR[FDR]&amp;FDR[[#Headers],[16]],FDR[16],"",0,1)</f>
        <v>5</v>
      </c>
      <c r="AC372" cm="1">
        <f t="array" ref="AC372">_xlfn.XLOOKUP(Matrix[[#This Row],[TEAM]]&amp;Matrix[[#Headers],[17]],FDR[FDR]&amp;FDR[[#Headers],[17]],FDR[17],"",0,1)</f>
        <v>1</v>
      </c>
      <c r="AD372" cm="1">
        <f t="array" ref="AD372">_xlfn.XLOOKUP(Matrix[[#This Row],[TEAM]]&amp;Matrix[[#Headers],[18]],FDR[FDR]&amp;FDR[[#Headers],[18]],FDR[18],"",0,1)</f>
        <v>3</v>
      </c>
      <c r="AE372" cm="1">
        <f t="array" ref="AE372">_xlfn.XLOOKUP(Matrix[[#This Row],[TEAM]]&amp;Matrix[[#Headers],[19]],FDR[FDR]&amp;FDR[[#Headers],[19]],FDR[19],"",0,1)</f>
        <v>5</v>
      </c>
      <c r="AF372" cm="1">
        <f t="array" ref="AF372">_xlfn.XLOOKUP(Matrix[[#This Row],[TEAM]]&amp;Matrix[[#Headers],[20]],FDR[FDR]&amp;FDR[[#Headers],[20]],FDR[20],"",0,1)</f>
        <v>4</v>
      </c>
      <c r="AG372" cm="1">
        <f t="array" ref="AG372">_xlfn.XLOOKUP(Matrix[[#This Row],[TEAM]]&amp;Matrix[[#Headers],[21]],FDR[FDR]&amp;FDR[[#Headers],[21]],FDR[21],"",0,1)</f>
        <v>4</v>
      </c>
      <c r="AH372" cm="1">
        <f t="array" ref="AH372">_xlfn.XLOOKUP(Matrix[[#This Row],[TEAM]]&amp;Matrix[[#Headers],[22]],FDR[FDR]&amp;FDR[[#Headers],[22]],FDR[22],"",0,1)</f>
        <v>4</v>
      </c>
      <c r="AI372" cm="1">
        <f t="array" ref="AI372">_xlfn.XLOOKUP(Matrix[[#This Row],[TEAM]]&amp;Matrix[[#Headers],[23]],FDR[FDR]&amp;FDR[[#Headers],[23]],FDR[23],"",0,1)</f>
        <v>4</v>
      </c>
      <c r="AJ372" cm="1">
        <f t="array" ref="AJ372">_xlfn.XLOOKUP(Matrix[[#This Row],[TEAM]]&amp;Matrix[[#Headers],[24]],FDR[FDR]&amp;FDR[[#Headers],[24]],FDR[24],"",0,1)</f>
        <v>2</v>
      </c>
      <c r="AK372" cm="1">
        <f t="array" ref="AK372">_xlfn.XLOOKUP(Matrix[[#This Row],[TEAM]]&amp;Matrix[[#Headers],[25]],FDR[FDR]&amp;FDR[[#Headers],[25]],FDR[25],"",0,1)</f>
        <v>3</v>
      </c>
      <c r="AL372" cm="1">
        <f t="array" ref="AL372">_xlfn.XLOOKUP(Matrix[[#This Row],[TEAM]]&amp;Matrix[[#Headers],[26]],FDR[FDR]&amp;FDR[[#Headers],[26]],FDR[26],"",0,1)</f>
        <v>3</v>
      </c>
      <c r="AM372" cm="1">
        <f t="array" ref="AM372">_xlfn.XLOOKUP(Matrix[[#This Row],[TEAM]]&amp;Matrix[[#Headers],[27]],FDR[FDR]&amp;FDR[[#Headers],[27]],FDR[27],"",0,1)</f>
        <v>3</v>
      </c>
      <c r="AN372" cm="1">
        <f t="array" ref="AN372">_xlfn.XLOOKUP(Matrix[[#This Row],[TEAM]]&amp;Matrix[[#Headers],[28]],FDR[FDR]&amp;FDR[[#Headers],[28]],FDR[28],"",0,1)</f>
        <v>1</v>
      </c>
      <c r="AO372" cm="1">
        <f t="array" ref="AO372">_xlfn.XLOOKUP(Matrix[[#This Row],[TEAM]]&amp;Matrix[[#Headers],[29]],FDR[FDR]&amp;FDR[[#Headers],[29]],FDR[29],"",0,1)</f>
        <v>2</v>
      </c>
      <c r="AP372" cm="1">
        <f t="array" ref="AP372">_xlfn.XLOOKUP(Matrix[[#This Row],[TEAM]]&amp;Matrix[[#Headers],[30]],FDR[FDR]&amp;FDR[[#Headers],[30]],FDR[30],"",0,1)</f>
        <v>2</v>
      </c>
      <c r="AQ372" cm="1">
        <f t="array" ref="AQ372">_xlfn.XLOOKUP(Matrix[[#This Row],[TEAM]]&amp;Matrix[[#Headers],[31]],FDR[FDR]&amp;FDR[[#Headers],[31]],FDR[31],"",0,1)</f>
        <v>4</v>
      </c>
      <c r="AR372" cm="1">
        <f t="array" ref="AR372">_xlfn.XLOOKUP(Matrix[[#This Row],[TEAM]]&amp;Matrix[[#Headers],[32]],FDR[FDR]&amp;FDR[[#Headers],[32]],FDR[32],"",0,1)</f>
        <v>5</v>
      </c>
      <c r="AS372" cm="1">
        <f t="array" ref="AS372">_xlfn.XLOOKUP(Matrix[[#This Row],[TEAM]]&amp;Matrix[[#Headers],[33]],FDR[FDR]&amp;FDR[[#Headers],[33]],FDR[33],"",0,1)</f>
        <v>5</v>
      </c>
      <c r="AT372" cm="1">
        <f t="array" ref="AT372">_xlfn.XLOOKUP(Matrix[[#This Row],[TEAM]]&amp;Matrix[[#Headers],[34]],FDR[FDR]&amp;FDR[[#Headers],[34]],FDR[34],"",0,1)</f>
        <v>1</v>
      </c>
      <c r="AU372" cm="1">
        <f t="array" ref="AU372">_xlfn.XLOOKUP(Matrix[[#This Row],[TEAM]]&amp;Matrix[[#Headers],[35]],FDR[FDR]&amp;FDR[[#Headers],[35]],FDR[35],"",0,1)</f>
        <v>2</v>
      </c>
      <c r="AV372" cm="1">
        <f t="array" ref="AV372">_xlfn.XLOOKUP(Matrix[[#This Row],[TEAM]]&amp;Matrix[[#Headers],[36]],FDR[FDR]&amp;FDR[[#Headers],[36]],FDR[36],"",0,1)</f>
        <v>4</v>
      </c>
      <c r="AW372" cm="1">
        <f t="array" ref="AW372">_xlfn.XLOOKUP(Matrix[[#This Row],[TEAM]]&amp;Matrix[[#Headers],[37]],FDR[FDR]&amp;FDR[[#Headers],[37]],FDR[37],"",0,1)</f>
        <v>4</v>
      </c>
      <c r="AX372" cm="1">
        <f t="array" ref="AX372">_xlfn.XLOOKUP(Matrix[[#This Row],[TEAM]]&amp;Matrix[[#Headers],[38]],FDR[FDR]&amp;FDR[[#Headers],[38]],FDR[38],"",0,1)</f>
        <v>4</v>
      </c>
    </row>
    <row r="373" spans="1:50" ht="22" thickTop="1" thickBot="1">
      <c r="A373" s="50" t="str">
        <f>INDEX!S$4</f>
        <v>MID</v>
      </c>
      <c r="B373" s="70" t="s">
        <v>1674</v>
      </c>
      <c r="C373" s="40" t="s">
        <v>20</v>
      </c>
      <c r="D373" s="62">
        <v>0</v>
      </c>
      <c r="E373" s="60">
        <v>3.0000000000000001E-3</v>
      </c>
      <c r="F373" s="61">
        <v>0</v>
      </c>
      <c r="G373" s="63">
        <v>4.5</v>
      </c>
      <c r="H373" s="261">
        <f>IF(ISBLANK(I373),0,1)</f>
        <v>0</v>
      </c>
      <c r="I373" s="57"/>
      <c r="J373" s="58"/>
      <c r="K373" s="59" t="s">
        <v>940</v>
      </c>
      <c r="L373" s="59" t="s">
        <v>941</v>
      </c>
      <c r="M373" cm="1">
        <f t="array" ref="M373">_xlfn.XLOOKUP(Matrix[[#This Row],[TEAM]]&amp;Matrix[[#Headers],[1]],FDR[FDR]&amp;FDR[[#Headers],[1]],FDR[1],"",0,1)</f>
        <v>3</v>
      </c>
      <c r="N373" cm="1">
        <f t="array" ref="N373">_xlfn.XLOOKUP(Matrix[[#This Row],[TEAM]]&amp;Matrix[[#Headers],[2]],FDR[FDR]&amp;FDR[[#Headers],[2]],FDR[2],"",0,1)</f>
        <v>1</v>
      </c>
      <c r="O373" cm="1">
        <f t="array" ref="O373">_xlfn.XLOOKUP(Matrix[[#This Row],[TEAM]]&amp;Matrix[[#Headers],[3]],FDR[FDR]&amp;FDR[[#Headers],[3]],FDR[3],"",0,1)</f>
        <v>4</v>
      </c>
      <c r="P373" cm="1">
        <f t="array" ref="P373">_xlfn.XLOOKUP(Matrix[[#This Row],[TEAM]]&amp;Matrix[[#Headers],[4]],FDR[FDR]&amp;FDR[[#Headers],[4]],FDR[4],"",0,1)</f>
        <v>1</v>
      </c>
      <c r="Q373" cm="1">
        <f t="array" ref="Q373">_xlfn.XLOOKUP(Matrix[[#This Row],[TEAM]]&amp;Matrix[[#Headers],[5]],FDR[FDR]&amp;FDR[[#Headers],[5]],FDR[5],"",0,1)</f>
        <v>3</v>
      </c>
      <c r="R373" cm="1">
        <f t="array" ref="R373">_xlfn.XLOOKUP(Matrix[[#This Row],[TEAM]]&amp;Matrix[[#Headers],[6]],FDR[FDR]&amp;FDR[[#Headers],[6]],FDR[6],"",0,1)</f>
        <v>3</v>
      </c>
      <c r="S373" cm="1">
        <f t="array" ref="S373">_xlfn.XLOOKUP(Matrix[[#This Row],[TEAM]]&amp;Matrix[[#Headers],[7]],FDR[FDR]&amp;FDR[[#Headers],[7]],FDR[7],"",0,1)</f>
        <v>1</v>
      </c>
      <c r="T373" cm="1">
        <f t="array" ref="T373">_xlfn.XLOOKUP(Matrix[[#This Row],[TEAM]]&amp;Matrix[[#Headers],[8]],FDR[FDR]&amp;FDR[[#Headers],[8]],FDR[8],"",0,1)</f>
        <v>2</v>
      </c>
      <c r="U373" cm="1">
        <f t="array" ref="U373">_xlfn.XLOOKUP(Matrix[[#This Row],[TEAM]]&amp;Matrix[[#Headers],[9]],FDR[FDR]&amp;FDR[[#Headers],[9]],FDR[9],"",0,1)</f>
        <v>1</v>
      </c>
      <c r="V373" cm="1">
        <f t="array" ref="V373">_xlfn.XLOOKUP(Matrix[[#This Row],[TEAM]]&amp;Matrix[[#Headers],[10]],FDR[FDR]&amp;FDR[[#Headers],[10]],FDR[10],"",0,1)</f>
        <v>1</v>
      </c>
      <c r="W373" cm="1">
        <f t="array" ref="W373">_xlfn.XLOOKUP(Matrix[[#This Row],[TEAM]]&amp;Matrix[[#Headers],[11]],FDR[FDR]&amp;FDR[[#Headers],[11]],FDR[11],"",0,1)</f>
        <v>1</v>
      </c>
      <c r="X373" cm="1">
        <f t="array" ref="X373">_xlfn.XLOOKUP(Matrix[[#This Row],[TEAM]]&amp;Matrix[[#Headers],[12]],FDR[FDR]&amp;FDR[[#Headers],[12]],FDR[12],"",0,1)</f>
        <v>2</v>
      </c>
      <c r="Y373" cm="1">
        <f t="array" ref="Y373">_xlfn.XLOOKUP(Matrix[[#This Row],[TEAM]]&amp;Matrix[[#Headers],[13]],FDR[FDR]&amp;FDR[[#Headers],[13]],FDR[13],"",0,1)</f>
        <v>3</v>
      </c>
      <c r="Z373" cm="1">
        <f t="array" ref="Z373">_xlfn.XLOOKUP(Matrix[[#This Row],[TEAM]]&amp;Matrix[[#Headers],[14]],FDR[FDR]&amp;FDR[[#Headers],[14]],FDR[14],"",0,1)</f>
        <v>1</v>
      </c>
      <c r="AA373" cm="1">
        <f t="array" ref="AA373">_xlfn.XLOOKUP(Matrix[[#This Row],[TEAM]]&amp;Matrix[[#Headers],[15]],FDR[FDR]&amp;FDR[[#Headers],[15]],FDR[15],"",0,1)</f>
        <v>3</v>
      </c>
      <c r="AB373" cm="1">
        <f t="array" ref="AB373">_xlfn.XLOOKUP(Matrix[[#This Row],[TEAM]]&amp;Matrix[[#Headers],[16]],FDR[FDR]&amp;FDR[[#Headers],[16]],FDR[16],"",0,1)</f>
        <v>1</v>
      </c>
      <c r="AC373" cm="1">
        <f t="array" ref="AC373">_xlfn.XLOOKUP(Matrix[[#This Row],[TEAM]]&amp;Matrix[[#Headers],[17]],FDR[FDR]&amp;FDR[[#Headers],[17]],FDR[17],"",0,1)</f>
        <v>2</v>
      </c>
      <c r="AD373" cm="1">
        <f t="array" ref="AD373">_xlfn.XLOOKUP(Matrix[[#This Row],[TEAM]]&amp;Matrix[[#Headers],[18]],FDR[FDR]&amp;FDR[[#Headers],[18]],FDR[18],"",0,1)</f>
        <v>1</v>
      </c>
      <c r="AE373" cm="1">
        <f t="array" ref="AE373">_xlfn.XLOOKUP(Matrix[[#This Row],[TEAM]]&amp;Matrix[[#Headers],[19]],FDR[FDR]&amp;FDR[[#Headers],[19]],FDR[19],"",0,1)</f>
        <v>2</v>
      </c>
      <c r="AF373" cm="1">
        <f t="array" ref="AF373">_xlfn.XLOOKUP(Matrix[[#This Row],[TEAM]]&amp;Matrix[[#Headers],[20]],FDR[FDR]&amp;FDR[[#Headers],[20]],FDR[20],"",0,1)</f>
        <v>2</v>
      </c>
      <c r="AG373" cm="1">
        <f t="array" ref="AG373">_xlfn.XLOOKUP(Matrix[[#This Row],[TEAM]]&amp;Matrix[[#Headers],[21]],FDR[FDR]&amp;FDR[[#Headers],[21]],FDR[21],"",0,1)</f>
        <v>3</v>
      </c>
      <c r="AH373" cm="1">
        <f t="array" ref="AH373">_xlfn.XLOOKUP(Matrix[[#This Row],[TEAM]]&amp;Matrix[[#Headers],[22]],FDR[FDR]&amp;FDR[[#Headers],[22]],FDR[22],"",0,1)</f>
        <v>2</v>
      </c>
      <c r="AI373" cm="1">
        <f t="array" ref="AI373">_xlfn.XLOOKUP(Matrix[[#This Row],[TEAM]]&amp;Matrix[[#Headers],[23]],FDR[FDR]&amp;FDR[[#Headers],[23]],FDR[23],"",0,1)</f>
        <v>2</v>
      </c>
      <c r="AJ373" cm="1">
        <f t="array" ref="AJ373">_xlfn.XLOOKUP(Matrix[[#This Row],[TEAM]]&amp;Matrix[[#Headers],[24]],FDR[FDR]&amp;FDR[[#Headers],[24]],FDR[24],"",0,1)</f>
        <v>1</v>
      </c>
      <c r="AK373" cm="1">
        <f t="array" ref="AK373">_xlfn.XLOOKUP(Matrix[[#This Row],[TEAM]]&amp;Matrix[[#Headers],[25]],FDR[FDR]&amp;FDR[[#Headers],[25]],FDR[25],"",0,1)</f>
        <v>1</v>
      </c>
      <c r="AL373" cm="1">
        <f t="array" ref="AL373">_xlfn.XLOOKUP(Matrix[[#This Row],[TEAM]]&amp;Matrix[[#Headers],[26]],FDR[FDR]&amp;FDR[[#Headers],[26]],FDR[26],"",0,1)</f>
        <v>2</v>
      </c>
      <c r="AM373" cm="1">
        <f t="array" ref="AM373">_xlfn.XLOOKUP(Matrix[[#This Row],[TEAM]]&amp;Matrix[[#Headers],[27]],FDR[FDR]&amp;FDR[[#Headers],[27]],FDR[27],"",0,1)</f>
        <v>3</v>
      </c>
      <c r="AN373" cm="1">
        <f t="array" ref="AN373">_xlfn.XLOOKUP(Matrix[[#This Row],[TEAM]]&amp;Matrix[[#Headers],[28]],FDR[FDR]&amp;FDR[[#Headers],[28]],FDR[28],"",0,1)</f>
        <v>2</v>
      </c>
      <c r="AO373" cm="1">
        <f t="array" ref="AO373">_xlfn.XLOOKUP(Matrix[[#This Row],[TEAM]]&amp;Matrix[[#Headers],[29]],FDR[FDR]&amp;FDR[[#Headers],[29]],FDR[29],"",0,1)</f>
        <v>2</v>
      </c>
      <c r="AP373" cm="1">
        <f t="array" ref="AP373">_xlfn.XLOOKUP(Matrix[[#This Row],[TEAM]]&amp;Matrix[[#Headers],[30]],FDR[FDR]&amp;FDR[[#Headers],[30]],FDR[30],"",0,1)</f>
        <v>1</v>
      </c>
      <c r="AQ373" cm="1">
        <f t="array" ref="AQ373">_xlfn.XLOOKUP(Matrix[[#This Row],[TEAM]]&amp;Matrix[[#Headers],[31]],FDR[FDR]&amp;FDR[[#Headers],[31]],FDR[31],"",0,1)</f>
        <v>1</v>
      </c>
      <c r="AR373" cm="1">
        <f t="array" ref="AR373">_xlfn.XLOOKUP(Matrix[[#This Row],[TEAM]]&amp;Matrix[[#Headers],[32]],FDR[FDR]&amp;FDR[[#Headers],[32]],FDR[32],"",0,1)</f>
        <v>1</v>
      </c>
      <c r="AS373" cm="1">
        <f t="array" ref="AS373">_xlfn.XLOOKUP(Matrix[[#This Row],[TEAM]]&amp;Matrix[[#Headers],[33]],FDR[FDR]&amp;FDR[[#Headers],[33]],FDR[33],"",0,1)</f>
        <v>3</v>
      </c>
      <c r="AT373" cm="1">
        <f t="array" ref="AT373">_xlfn.XLOOKUP(Matrix[[#This Row],[TEAM]]&amp;Matrix[[#Headers],[34]],FDR[FDR]&amp;FDR[[#Headers],[34]],FDR[34],"",0,1)</f>
        <v>2</v>
      </c>
      <c r="AU373" cm="1">
        <f t="array" ref="AU373">_xlfn.XLOOKUP(Matrix[[#This Row],[TEAM]]&amp;Matrix[[#Headers],[35]],FDR[FDR]&amp;FDR[[#Headers],[35]],FDR[35],"",0,1)</f>
        <v>1</v>
      </c>
      <c r="AV373" cm="1">
        <f t="array" ref="AV373">_xlfn.XLOOKUP(Matrix[[#This Row],[TEAM]]&amp;Matrix[[#Headers],[36]],FDR[FDR]&amp;FDR[[#Headers],[36]],FDR[36],"",0,1)</f>
        <v>2</v>
      </c>
      <c r="AW373" cm="1">
        <f t="array" ref="AW373">_xlfn.XLOOKUP(Matrix[[#This Row],[TEAM]]&amp;Matrix[[#Headers],[37]],FDR[FDR]&amp;FDR[[#Headers],[37]],FDR[37],"",0,1)</f>
        <v>1</v>
      </c>
      <c r="AX373" cm="1">
        <f t="array" ref="AX373">_xlfn.XLOOKUP(Matrix[[#This Row],[TEAM]]&amp;Matrix[[#Headers],[38]],FDR[FDR]&amp;FDR[[#Headers],[38]],FDR[38],"",0,1)</f>
        <v>2</v>
      </c>
    </row>
    <row r="374" spans="1:50" ht="22" thickTop="1" thickBot="1">
      <c r="A374" s="53" t="str">
        <f>INDEX!S$4</f>
        <v>MID</v>
      </c>
      <c r="B374" s="70" t="s">
        <v>1722</v>
      </c>
      <c r="C374" s="40" t="s">
        <v>20</v>
      </c>
      <c r="D374" s="62">
        <v>0</v>
      </c>
      <c r="E374" s="60">
        <v>1E-3</v>
      </c>
      <c r="F374" s="61">
        <v>0</v>
      </c>
      <c r="G374" s="63">
        <v>4.5</v>
      </c>
      <c r="H374" s="261">
        <f>IF(ISBLANK(I374),0,1)</f>
        <v>0</v>
      </c>
      <c r="I374" s="57"/>
      <c r="J374" s="58"/>
      <c r="K374" s="59" t="s">
        <v>539</v>
      </c>
      <c r="L374" s="59" t="s">
        <v>247</v>
      </c>
      <c r="M374" cm="1">
        <f t="array" ref="M374">_xlfn.XLOOKUP(Matrix[[#This Row],[TEAM]]&amp;Matrix[[#Headers],[1]],FDR[FDR]&amp;FDR[[#Headers],[1]],FDR[1],"",0,1)</f>
        <v>3</v>
      </c>
      <c r="N374" cm="1">
        <f t="array" ref="N374">_xlfn.XLOOKUP(Matrix[[#This Row],[TEAM]]&amp;Matrix[[#Headers],[2]],FDR[FDR]&amp;FDR[[#Headers],[2]],FDR[2],"",0,1)</f>
        <v>1</v>
      </c>
      <c r="O374" cm="1">
        <f t="array" ref="O374">_xlfn.XLOOKUP(Matrix[[#This Row],[TEAM]]&amp;Matrix[[#Headers],[3]],FDR[FDR]&amp;FDR[[#Headers],[3]],FDR[3],"",0,1)</f>
        <v>4</v>
      </c>
      <c r="P374" cm="1">
        <f t="array" ref="P374">_xlfn.XLOOKUP(Matrix[[#This Row],[TEAM]]&amp;Matrix[[#Headers],[4]],FDR[FDR]&amp;FDR[[#Headers],[4]],FDR[4],"",0,1)</f>
        <v>1</v>
      </c>
      <c r="Q374" cm="1">
        <f t="array" ref="Q374">_xlfn.XLOOKUP(Matrix[[#This Row],[TEAM]]&amp;Matrix[[#Headers],[5]],FDR[FDR]&amp;FDR[[#Headers],[5]],FDR[5],"",0,1)</f>
        <v>3</v>
      </c>
      <c r="R374" cm="1">
        <f t="array" ref="R374">_xlfn.XLOOKUP(Matrix[[#This Row],[TEAM]]&amp;Matrix[[#Headers],[6]],FDR[FDR]&amp;FDR[[#Headers],[6]],FDR[6],"",0,1)</f>
        <v>3</v>
      </c>
      <c r="S374" cm="1">
        <f t="array" ref="S374">_xlfn.XLOOKUP(Matrix[[#This Row],[TEAM]]&amp;Matrix[[#Headers],[7]],FDR[FDR]&amp;FDR[[#Headers],[7]],FDR[7],"",0,1)</f>
        <v>1</v>
      </c>
      <c r="T374" cm="1">
        <f t="array" ref="T374">_xlfn.XLOOKUP(Matrix[[#This Row],[TEAM]]&amp;Matrix[[#Headers],[8]],FDR[FDR]&amp;FDR[[#Headers],[8]],FDR[8],"",0,1)</f>
        <v>2</v>
      </c>
      <c r="U374" cm="1">
        <f t="array" ref="U374">_xlfn.XLOOKUP(Matrix[[#This Row],[TEAM]]&amp;Matrix[[#Headers],[9]],FDR[FDR]&amp;FDR[[#Headers],[9]],FDR[9],"",0,1)</f>
        <v>1</v>
      </c>
      <c r="V374" cm="1">
        <f t="array" ref="V374">_xlfn.XLOOKUP(Matrix[[#This Row],[TEAM]]&amp;Matrix[[#Headers],[10]],FDR[FDR]&amp;FDR[[#Headers],[10]],FDR[10],"",0,1)</f>
        <v>1</v>
      </c>
      <c r="W374" cm="1">
        <f t="array" ref="W374">_xlfn.XLOOKUP(Matrix[[#This Row],[TEAM]]&amp;Matrix[[#Headers],[11]],FDR[FDR]&amp;FDR[[#Headers],[11]],FDR[11],"",0,1)</f>
        <v>1</v>
      </c>
      <c r="X374" cm="1">
        <f t="array" ref="X374">_xlfn.XLOOKUP(Matrix[[#This Row],[TEAM]]&amp;Matrix[[#Headers],[12]],FDR[FDR]&amp;FDR[[#Headers],[12]],FDR[12],"",0,1)</f>
        <v>2</v>
      </c>
      <c r="Y374" cm="1">
        <f t="array" ref="Y374">_xlfn.XLOOKUP(Matrix[[#This Row],[TEAM]]&amp;Matrix[[#Headers],[13]],FDR[FDR]&amp;FDR[[#Headers],[13]],FDR[13],"",0,1)</f>
        <v>3</v>
      </c>
      <c r="Z374" cm="1">
        <f t="array" ref="Z374">_xlfn.XLOOKUP(Matrix[[#This Row],[TEAM]]&amp;Matrix[[#Headers],[14]],FDR[FDR]&amp;FDR[[#Headers],[14]],FDR[14],"",0,1)</f>
        <v>1</v>
      </c>
      <c r="AA374" cm="1">
        <f t="array" ref="AA374">_xlfn.XLOOKUP(Matrix[[#This Row],[TEAM]]&amp;Matrix[[#Headers],[15]],FDR[FDR]&amp;FDR[[#Headers],[15]],FDR[15],"",0,1)</f>
        <v>3</v>
      </c>
      <c r="AB374" cm="1">
        <f t="array" ref="AB374">_xlfn.XLOOKUP(Matrix[[#This Row],[TEAM]]&amp;Matrix[[#Headers],[16]],FDR[FDR]&amp;FDR[[#Headers],[16]],FDR[16],"",0,1)</f>
        <v>1</v>
      </c>
      <c r="AC374" cm="1">
        <f t="array" ref="AC374">_xlfn.XLOOKUP(Matrix[[#This Row],[TEAM]]&amp;Matrix[[#Headers],[17]],FDR[FDR]&amp;FDR[[#Headers],[17]],FDR[17],"",0,1)</f>
        <v>2</v>
      </c>
      <c r="AD374" cm="1">
        <f t="array" ref="AD374">_xlfn.XLOOKUP(Matrix[[#This Row],[TEAM]]&amp;Matrix[[#Headers],[18]],FDR[FDR]&amp;FDR[[#Headers],[18]],FDR[18],"",0,1)</f>
        <v>1</v>
      </c>
      <c r="AE374" cm="1">
        <f t="array" ref="AE374">_xlfn.XLOOKUP(Matrix[[#This Row],[TEAM]]&amp;Matrix[[#Headers],[19]],FDR[FDR]&amp;FDR[[#Headers],[19]],FDR[19],"",0,1)</f>
        <v>2</v>
      </c>
      <c r="AF374" cm="1">
        <f t="array" ref="AF374">_xlfn.XLOOKUP(Matrix[[#This Row],[TEAM]]&amp;Matrix[[#Headers],[20]],FDR[FDR]&amp;FDR[[#Headers],[20]],FDR[20],"",0,1)</f>
        <v>2</v>
      </c>
      <c r="AG374" cm="1">
        <f t="array" ref="AG374">_xlfn.XLOOKUP(Matrix[[#This Row],[TEAM]]&amp;Matrix[[#Headers],[21]],FDR[FDR]&amp;FDR[[#Headers],[21]],FDR[21],"",0,1)</f>
        <v>3</v>
      </c>
      <c r="AH374" cm="1">
        <f t="array" ref="AH374">_xlfn.XLOOKUP(Matrix[[#This Row],[TEAM]]&amp;Matrix[[#Headers],[22]],FDR[FDR]&amp;FDR[[#Headers],[22]],FDR[22],"",0,1)</f>
        <v>2</v>
      </c>
      <c r="AI374" cm="1">
        <f t="array" ref="AI374">_xlfn.XLOOKUP(Matrix[[#This Row],[TEAM]]&amp;Matrix[[#Headers],[23]],FDR[FDR]&amp;FDR[[#Headers],[23]],FDR[23],"",0,1)</f>
        <v>2</v>
      </c>
      <c r="AJ374" cm="1">
        <f t="array" ref="AJ374">_xlfn.XLOOKUP(Matrix[[#This Row],[TEAM]]&amp;Matrix[[#Headers],[24]],FDR[FDR]&amp;FDR[[#Headers],[24]],FDR[24],"",0,1)</f>
        <v>1</v>
      </c>
      <c r="AK374" cm="1">
        <f t="array" ref="AK374">_xlfn.XLOOKUP(Matrix[[#This Row],[TEAM]]&amp;Matrix[[#Headers],[25]],FDR[FDR]&amp;FDR[[#Headers],[25]],FDR[25],"",0,1)</f>
        <v>1</v>
      </c>
      <c r="AL374" cm="1">
        <f t="array" ref="AL374">_xlfn.XLOOKUP(Matrix[[#This Row],[TEAM]]&amp;Matrix[[#Headers],[26]],FDR[FDR]&amp;FDR[[#Headers],[26]],FDR[26],"",0,1)</f>
        <v>2</v>
      </c>
      <c r="AM374" cm="1">
        <f t="array" ref="AM374">_xlfn.XLOOKUP(Matrix[[#This Row],[TEAM]]&amp;Matrix[[#Headers],[27]],FDR[FDR]&amp;FDR[[#Headers],[27]],FDR[27],"",0,1)</f>
        <v>3</v>
      </c>
      <c r="AN374" cm="1">
        <f t="array" ref="AN374">_xlfn.XLOOKUP(Matrix[[#This Row],[TEAM]]&amp;Matrix[[#Headers],[28]],FDR[FDR]&amp;FDR[[#Headers],[28]],FDR[28],"",0,1)</f>
        <v>2</v>
      </c>
      <c r="AO374" cm="1">
        <f t="array" ref="AO374">_xlfn.XLOOKUP(Matrix[[#This Row],[TEAM]]&amp;Matrix[[#Headers],[29]],FDR[FDR]&amp;FDR[[#Headers],[29]],FDR[29],"",0,1)</f>
        <v>2</v>
      </c>
      <c r="AP374" cm="1">
        <f t="array" ref="AP374">_xlfn.XLOOKUP(Matrix[[#This Row],[TEAM]]&amp;Matrix[[#Headers],[30]],FDR[FDR]&amp;FDR[[#Headers],[30]],FDR[30],"",0,1)</f>
        <v>1</v>
      </c>
      <c r="AQ374" cm="1">
        <f t="array" ref="AQ374">_xlfn.XLOOKUP(Matrix[[#This Row],[TEAM]]&amp;Matrix[[#Headers],[31]],FDR[FDR]&amp;FDR[[#Headers],[31]],FDR[31],"",0,1)</f>
        <v>1</v>
      </c>
      <c r="AR374" cm="1">
        <f t="array" ref="AR374">_xlfn.XLOOKUP(Matrix[[#This Row],[TEAM]]&amp;Matrix[[#Headers],[32]],FDR[FDR]&amp;FDR[[#Headers],[32]],FDR[32],"",0,1)</f>
        <v>1</v>
      </c>
      <c r="AS374" cm="1">
        <f t="array" ref="AS374">_xlfn.XLOOKUP(Matrix[[#This Row],[TEAM]]&amp;Matrix[[#Headers],[33]],FDR[FDR]&amp;FDR[[#Headers],[33]],FDR[33],"",0,1)</f>
        <v>3</v>
      </c>
      <c r="AT374" cm="1">
        <f t="array" ref="AT374">_xlfn.XLOOKUP(Matrix[[#This Row],[TEAM]]&amp;Matrix[[#Headers],[34]],FDR[FDR]&amp;FDR[[#Headers],[34]],FDR[34],"",0,1)</f>
        <v>2</v>
      </c>
      <c r="AU374" cm="1">
        <f t="array" ref="AU374">_xlfn.XLOOKUP(Matrix[[#This Row],[TEAM]]&amp;Matrix[[#Headers],[35]],FDR[FDR]&amp;FDR[[#Headers],[35]],FDR[35],"",0,1)</f>
        <v>1</v>
      </c>
      <c r="AV374" cm="1">
        <f t="array" ref="AV374">_xlfn.XLOOKUP(Matrix[[#This Row],[TEAM]]&amp;Matrix[[#Headers],[36]],FDR[FDR]&amp;FDR[[#Headers],[36]],FDR[36],"",0,1)</f>
        <v>2</v>
      </c>
      <c r="AW374" cm="1">
        <f t="array" ref="AW374">_xlfn.XLOOKUP(Matrix[[#This Row],[TEAM]]&amp;Matrix[[#Headers],[37]],FDR[FDR]&amp;FDR[[#Headers],[37]],FDR[37],"",0,1)</f>
        <v>1</v>
      </c>
      <c r="AX374" cm="1">
        <f t="array" ref="AX374">_xlfn.XLOOKUP(Matrix[[#This Row],[TEAM]]&amp;Matrix[[#Headers],[38]],FDR[FDR]&amp;FDR[[#Headers],[38]],FDR[38],"",0,1)</f>
        <v>2</v>
      </c>
    </row>
    <row r="375" spans="1:50" ht="22" thickTop="1" thickBot="1">
      <c r="A375" s="53" t="str">
        <f>INDEX!S$4</f>
        <v>MID</v>
      </c>
      <c r="B375" s="70" t="s">
        <v>1654</v>
      </c>
      <c r="C375" s="40" t="s">
        <v>28</v>
      </c>
      <c r="D375" s="62">
        <v>0</v>
      </c>
      <c r="E375" s="60">
        <v>6.0000000000000001E-3</v>
      </c>
      <c r="F375" s="61">
        <v>0</v>
      </c>
      <c r="G375" s="63">
        <v>4.5</v>
      </c>
      <c r="H375" s="261">
        <f>IF(ISBLANK(I375),0,1)</f>
        <v>0</v>
      </c>
      <c r="I375" s="57"/>
      <c r="J375" s="58"/>
      <c r="K375" s="59" t="s">
        <v>906</v>
      </c>
      <c r="L375" s="59" t="s">
        <v>334</v>
      </c>
      <c r="M375" cm="1">
        <f t="array" ref="M375">_xlfn.XLOOKUP(Matrix[[#This Row],[TEAM]]&amp;Matrix[[#Headers],[1]],FDR[FDR]&amp;FDR[[#Headers],[1]],FDR[1],"",0,1)</f>
        <v>3</v>
      </c>
      <c r="N375" cm="1">
        <f t="array" ref="N375">_xlfn.XLOOKUP(Matrix[[#This Row],[TEAM]]&amp;Matrix[[#Headers],[2]],FDR[FDR]&amp;FDR[[#Headers],[2]],FDR[2],"",0,1)</f>
        <v>2</v>
      </c>
      <c r="O375" cm="1">
        <f t="array" ref="O375">_xlfn.XLOOKUP(Matrix[[#This Row],[TEAM]]&amp;Matrix[[#Headers],[3]],FDR[FDR]&amp;FDR[[#Headers],[3]],FDR[3],"",0,1)</f>
        <v>1</v>
      </c>
      <c r="P375" cm="1">
        <f t="array" ref="P375">_xlfn.XLOOKUP(Matrix[[#This Row],[TEAM]]&amp;Matrix[[#Headers],[4]],FDR[FDR]&amp;FDR[[#Headers],[4]],FDR[4],"",0,1)</f>
        <v>2</v>
      </c>
      <c r="Q375" cm="1">
        <f t="array" ref="Q375">_xlfn.XLOOKUP(Matrix[[#This Row],[TEAM]]&amp;Matrix[[#Headers],[5]],FDR[FDR]&amp;FDR[[#Headers],[5]],FDR[5],"",0,1)</f>
        <v>1</v>
      </c>
      <c r="R375" cm="1">
        <f t="array" ref="R375">_xlfn.XLOOKUP(Matrix[[#This Row],[TEAM]]&amp;Matrix[[#Headers],[6]],FDR[FDR]&amp;FDR[[#Headers],[6]],FDR[6],"",0,1)</f>
        <v>2</v>
      </c>
      <c r="S375" cm="1">
        <f t="array" ref="S375">_xlfn.XLOOKUP(Matrix[[#This Row],[TEAM]]&amp;Matrix[[#Headers],[7]],FDR[FDR]&amp;FDR[[#Headers],[7]],FDR[7],"",0,1)</f>
        <v>1</v>
      </c>
      <c r="T375" cm="1">
        <f t="array" ref="T375">_xlfn.XLOOKUP(Matrix[[#This Row],[TEAM]]&amp;Matrix[[#Headers],[8]],FDR[FDR]&amp;FDR[[#Headers],[8]],FDR[8],"",0,1)</f>
        <v>4</v>
      </c>
      <c r="U375" cm="1">
        <f t="array" ref="U375">_xlfn.XLOOKUP(Matrix[[#This Row],[TEAM]]&amp;Matrix[[#Headers],[9]],FDR[FDR]&amp;FDR[[#Headers],[9]],FDR[9],"",0,1)</f>
        <v>3</v>
      </c>
      <c r="V375" cm="1">
        <f t="array" ref="V375">_xlfn.XLOOKUP(Matrix[[#This Row],[TEAM]]&amp;Matrix[[#Headers],[10]],FDR[FDR]&amp;FDR[[#Headers],[10]],FDR[10],"",0,1)</f>
        <v>4</v>
      </c>
      <c r="W375" cm="1">
        <f t="array" ref="W375">_xlfn.XLOOKUP(Matrix[[#This Row],[TEAM]]&amp;Matrix[[#Headers],[11]],FDR[FDR]&amp;FDR[[#Headers],[11]],FDR[11],"",0,1)</f>
        <v>2</v>
      </c>
      <c r="X375" cm="1">
        <f t="array" ref="X375">_xlfn.XLOOKUP(Matrix[[#This Row],[TEAM]]&amp;Matrix[[#Headers],[12]],FDR[FDR]&amp;FDR[[#Headers],[12]],FDR[12],"",0,1)</f>
        <v>1</v>
      </c>
      <c r="Y375" cm="1">
        <f t="array" ref="Y375">_xlfn.XLOOKUP(Matrix[[#This Row],[TEAM]]&amp;Matrix[[#Headers],[13]],FDR[FDR]&amp;FDR[[#Headers],[13]],FDR[13],"",0,1)</f>
        <v>1</v>
      </c>
      <c r="Z375" cm="1">
        <f t="array" ref="Z375">_xlfn.XLOOKUP(Matrix[[#This Row],[TEAM]]&amp;Matrix[[#Headers],[14]],FDR[FDR]&amp;FDR[[#Headers],[14]],FDR[14],"",0,1)</f>
        <v>3</v>
      </c>
      <c r="AA375" cm="1">
        <f t="array" ref="AA375">_xlfn.XLOOKUP(Matrix[[#This Row],[TEAM]]&amp;Matrix[[#Headers],[15]],FDR[FDR]&amp;FDR[[#Headers],[15]],FDR[15],"",0,1)</f>
        <v>3</v>
      </c>
      <c r="AB375" cm="1">
        <f t="array" ref="AB375">_xlfn.XLOOKUP(Matrix[[#This Row],[TEAM]]&amp;Matrix[[#Headers],[16]],FDR[FDR]&amp;FDR[[#Headers],[16]],FDR[16],"",0,1)</f>
        <v>2</v>
      </c>
      <c r="AC375" cm="1">
        <f t="array" ref="AC375">_xlfn.XLOOKUP(Matrix[[#This Row],[TEAM]]&amp;Matrix[[#Headers],[17]],FDR[FDR]&amp;FDR[[#Headers],[17]],FDR[17],"",0,1)</f>
        <v>3</v>
      </c>
      <c r="AD375" cm="1">
        <f t="array" ref="AD375">_xlfn.XLOOKUP(Matrix[[#This Row],[TEAM]]&amp;Matrix[[#Headers],[18]],FDR[FDR]&amp;FDR[[#Headers],[18]],FDR[18],"",0,1)</f>
        <v>4</v>
      </c>
      <c r="AE375" cm="1">
        <f t="array" ref="AE375">_xlfn.XLOOKUP(Matrix[[#This Row],[TEAM]]&amp;Matrix[[#Headers],[19]],FDR[FDR]&amp;FDR[[#Headers],[19]],FDR[19],"",0,1)</f>
        <v>4</v>
      </c>
      <c r="AF375" cm="1">
        <f t="array" ref="AF375">_xlfn.XLOOKUP(Matrix[[#This Row],[TEAM]]&amp;Matrix[[#Headers],[20]],FDR[FDR]&amp;FDR[[#Headers],[20]],FDR[20],"",0,1)</f>
        <v>2</v>
      </c>
      <c r="AG375" cm="1">
        <f t="array" ref="AG375">_xlfn.XLOOKUP(Matrix[[#This Row],[TEAM]]&amp;Matrix[[#Headers],[21]],FDR[FDR]&amp;FDR[[#Headers],[21]],FDR[21],"",0,1)</f>
        <v>2</v>
      </c>
      <c r="AH375" cm="1">
        <f t="array" ref="AH375">_xlfn.XLOOKUP(Matrix[[#This Row],[TEAM]]&amp;Matrix[[#Headers],[22]],FDR[FDR]&amp;FDR[[#Headers],[22]],FDR[22],"",0,1)</f>
        <v>1</v>
      </c>
      <c r="AI375" cm="1">
        <f t="array" ref="AI375">_xlfn.XLOOKUP(Matrix[[#This Row],[TEAM]]&amp;Matrix[[#Headers],[23]],FDR[FDR]&amp;FDR[[#Headers],[23]],FDR[23],"",0,1)</f>
        <v>4</v>
      </c>
      <c r="AJ375" cm="1">
        <f t="array" ref="AJ375">_xlfn.XLOOKUP(Matrix[[#This Row],[TEAM]]&amp;Matrix[[#Headers],[24]],FDR[FDR]&amp;FDR[[#Headers],[24]],FDR[24],"",0,1)</f>
        <v>1</v>
      </c>
      <c r="AK375" cm="1">
        <f t="array" ref="AK375">_xlfn.XLOOKUP(Matrix[[#This Row],[TEAM]]&amp;Matrix[[#Headers],[25]],FDR[FDR]&amp;FDR[[#Headers],[25]],FDR[25],"",0,1)</f>
        <v>3</v>
      </c>
      <c r="AL375" cm="1">
        <f t="array" ref="AL375">_xlfn.XLOOKUP(Matrix[[#This Row],[TEAM]]&amp;Matrix[[#Headers],[26]],FDR[FDR]&amp;FDR[[#Headers],[26]],FDR[26],"",0,1)</f>
        <v>2</v>
      </c>
      <c r="AM375" cm="1">
        <f t="array" ref="AM375">_xlfn.XLOOKUP(Matrix[[#This Row],[TEAM]]&amp;Matrix[[#Headers],[27]],FDR[FDR]&amp;FDR[[#Headers],[27]],FDR[27],"",0,1)</f>
        <v>1</v>
      </c>
      <c r="AN375" cm="1">
        <f t="array" ref="AN375">_xlfn.XLOOKUP(Matrix[[#This Row],[TEAM]]&amp;Matrix[[#Headers],[28]],FDR[FDR]&amp;FDR[[#Headers],[28]],FDR[28],"",0,1)</f>
        <v>1</v>
      </c>
      <c r="AO375" cm="1">
        <f t="array" ref="AO375">_xlfn.XLOOKUP(Matrix[[#This Row],[TEAM]]&amp;Matrix[[#Headers],[29]],FDR[FDR]&amp;FDR[[#Headers],[29]],FDR[29],"",0,1)</f>
        <v>3</v>
      </c>
      <c r="AP375" cm="1">
        <f t="array" ref="AP375">_xlfn.XLOOKUP(Matrix[[#This Row],[TEAM]]&amp;Matrix[[#Headers],[30]],FDR[FDR]&amp;FDR[[#Headers],[30]],FDR[30],"",0,1)</f>
        <v>4</v>
      </c>
      <c r="AQ375" cm="1">
        <f t="array" ref="AQ375">_xlfn.XLOOKUP(Matrix[[#This Row],[TEAM]]&amp;Matrix[[#Headers],[31]],FDR[FDR]&amp;FDR[[#Headers],[31]],FDR[31],"",0,1)</f>
        <v>1</v>
      </c>
      <c r="AR375" cm="1">
        <f t="array" ref="AR375">_xlfn.XLOOKUP(Matrix[[#This Row],[TEAM]]&amp;Matrix[[#Headers],[32]],FDR[FDR]&amp;FDR[[#Headers],[32]],FDR[32],"",0,1)</f>
        <v>3</v>
      </c>
      <c r="AS375" cm="1">
        <f t="array" ref="AS375">_xlfn.XLOOKUP(Matrix[[#This Row],[TEAM]]&amp;Matrix[[#Headers],[33]],FDR[FDR]&amp;FDR[[#Headers],[33]],FDR[33],"",0,1)</f>
        <v>1</v>
      </c>
      <c r="AT375" cm="1">
        <f t="array" ref="AT375">_xlfn.XLOOKUP(Matrix[[#This Row],[TEAM]]&amp;Matrix[[#Headers],[34]],FDR[FDR]&amp;FDR[[#Headers],[34]],FDR[34],"",0,1)</f>
        <v>3</v>
      </c>
      <c r="AU375" cm="1">
        <f t="array" ref="AU375">_xlfn.XLOOKUP(Matrix[[#This Row],[TEAM]]&amp;Matrix[[#Headers],[35]],FDR[FDR]&amp;FDR[[#Headers],[35]],FDR[35],"",0,1)</f>
        <v>3</v>
      </c>
      <c r="AV375" cm="1">
        <f t="array" ref="AV375">_xlfn.XLOOKUP(Matrix[[#This Row],[TEAM]]&amp;Matrix[[#Headers],[36]],FDR[FDR]&amp;FDR[[#Headers],[36]],FDR[36],"",0,1)</f>
        <v>1</v>
      </c>
      <c r="AW375" cm="1">
        <f t="array" ref="AW375">_xlfn.XLOOKUP(Matrix[[#This Row],[TEAM]]&amp;Matrix[[#Headers],[37]],FDR[FDR]&amp;FDR[[#Headers],[37]],FDR[37],"",0,1)</f>
        <v>3</v>
      </c>
      <c r="AX375" cm="1">
        <f t="array" ref="AX375">_xlfn.XLOOKUP(Matrix[[#This Row],[TEAM]]&amp;Matrix[[#Headers],[38]],FDR[FDR]&amp;FDR[[#Headers],[38]],FDR[38],"",0,1)</f>
        <v>4</v>
      </c>
    </row>
    <row r="376" spans="1:50" ht="22" thickTop="1" thickBot="1">
      <c r="A376" s="53" t="str">
        <f>INDEX!S$4</f>
        <v>MID</v>
      </c>
      <c r="B376" s="70" t="s">
        <v>1676</v>
      </c>
      <c r="C376" s="40" t="s">
        <v>28</v>
      </c>
      <c r="D376" s="62">
        <v>0</v>
      </c>
      <c r="E376" s="60">
        <v>3.0000000000000001E-3</v>
      </c>
      <c r="F376" s="61">
        <v>0</v>
      </c>
      <c r="G376" s="63">
        <v>4.5</v>
      </c>
      <c r="H376" s="261">
        <f>IF(ISBLANK(I376),0,1)</f>
        <v>0</v>
      </c>
      <c r="I376" s="57"/>
      <c r="J376" s="58"/>
      <c r="K376" s="59" t="s">
        <v>375</v>
      </c>
      <c r="L376" s="59" t="s">
        <v>903</v>
      </c>
      <c r="M376" cm="1">
        <f t="array" ref="M376">_xlfn.XLOOKUP(Matrix[[#This Row],[TEAM]]&amp;Matrix[[#Headers],[1]],FDR[FDR]&amp;FDR[[#Headers],[1]],FDR[1],"",0,1)</f>
        <v>3</v>
      </c>
      <c r="N376" cm="1">
        <f t="array" ref="N376">_xlfn.XLOOKUP(Matrix[[#This Row],[TEAM]]&amp;Matrix[[#Headers],[2]],FDR[FDR]&amp;FDR[[#Headers],[2]],FDR[2],"",0,1)</f>
        <v>2</v>
      </c>
      <c r="O376" cm="1">
        <f t="array" ref="O376">_xlfn.XLOOKUP(Matrix[[#This Row],[TEAM]]&amp;Matrix[[#Headers],[3]],FDR[FDR]&amp;FDR[[#Headers],[3]],FDR[3],"",0,1)</f>
        <v>1</v>
      </c>
      <c r="P376" cm="1">
        <f t="array" ref="P376">_xlfn.XLOOKUP(Matrix[[#This Row],[TEAM]]&amp;Matrix[[#Headers],[4]],FDR[FDR]&amp;FDR[[#Headers],[4]],FDR[4],"",0,1)</f>
        <v>2</v>
      </c>
      <c r="Q376" cm="1">
        <f t="array" ref="Q376">_xlfn.XLOOKUP(Matrix[[#This Row],[TEAM]]&amp;Matrix[[#Headers],[5]],FDR[FDR]&amp;FDR[[#Headers],[5]],FDR[5],"",0,1)</f>
        <v>1</v>
      </c>
      <c r="R376" cm="1">
        <f t="array" ref="R376">_xlfn.XLOOKUP(Matrix[[#This Row],[TEAM]]&amp;Matrix[[#Headers],[6]],FDR[FDR]&amp;FDR[[#Headers],[6]],FDR[6],"",0,1)</f>
        <v>2</v>
      </c>
      <c r="S376" cm="1">
        <f t="array" ref="S376">_xlfn.XLOOKUP(Matrix[[#This Row],[TEAM]]&amp;Matrix[[#Headers],[7]],FDR[FDR]&amp;FDR[[#Headers],[7]],FDR[7],"",0,1)</f>
        <v>1</v>
      </c>
      <c r="T376" cm="1">
        <f t="array" ref="T376">_xlfn.XLOOKUP(Matrix[[#This Row],[TEAM]]&amp;Matrix[[#Headers],[8]],FDR[FDR]&amp;FDR[[#Headers],[8]],FDR[8],"",0,1)</f>
        <v>4</v>
      </c>
      <c r="U376" cm="1">
        <f t="array" ref="U376">_xlfn.XLOOKUP(Matrix[[#This Row],[TEAM]]&amp;Matrix[[#Headers],[9]],FDR[FDR]&amp;FDR[[#Headers],[9]],FDR[9],"",0,1)</f>
        <v>3</v>
      </c>
      <c r="V376" cm="1">
        <f t="array" ref="V376">_xlfn.XLOOKUP(Matrix[[#This Row],[TEAM]]&amp;Matrix[[#Headers],[10]],FDR[FDR]&amp;FDR[[#Headers],[10]],FDR[10],"",0,1)</f>
        <v>4</v>
      </c>
      <c r="W376" cm="1">
        <f t="array" ref="W376">_xlfn.XLOOKUP(Matrix[[#This Row],[TEAM]]&amp;Matrix[[#Headers],[11]],FDR[FDR]&amp;FDR[[#Headers],[11]],FDR[11],"",0,1)</f>
        <v>2</v>
      </c>
      <c r="X376" cm="1">
        <f t="array" ref="X376">_xlfn.XLOOKUP(Matrix[[#This Row],[TEAM]]&amp;Matrix[[#Headers],[12]],FDR[FDR]&amp;FDR[[#Headers],[12]],FDR[12],"",0,1)</f>
        <v>1</v>
      </c>
      <c r="Y376" cm="1">
        <f t="array" ref="Y376">_xlfn.XLOOKUP(Matrix[[#This Row],[TEAM]]&amp;Matrix[[#Headers],[13]],FDR[FDR]&amp;FDR[[#Headers],[13]],FDR[13],"",0,1)</f>
        <v>1</v>
      </c>
      <c r="Z376" cm="1">
        <f t="array" ref="Z376">_xlfn.XLOOKUP(Matrix[[#This Row],[TEAM]]&amp;Matrix[[#Headers],[14]],FDR[FDR]&amp;FDR[[#Headers],[14]],FDR[14],"",0,1)</f>
        <v>3</v>
      </c>
      <c r="AA376" cm="1">
        <f t="array" ref="AA376">_xlfn.XLOOKUP(Matrix[[#This Row],[TEAM]]&amp;Matrix[[#Headers],[15]],FDR[FDR]&amp;FDR[[#Headers],[15]],FDR[15],"",0,1)</f>
        <v>3</v>
      </c>
      <c r="AB376" cm="1">
        <f t="array" ref="AB376">_xlfn.XLOOKUP(Matrix[[#This Row],[TEAM]]&amp;Matrix[[#Headers],[16]],FDR[FDR]&amp;FDR[[#Headers],[16]],FDR[16],"",0,1)</f>
        <v>2</v>
      </c>
      <c r="AC376" cm="1">
        <f t="array" ref="AC376">_xlfn.XLOOKUP(Matrix[[#This Row],[TEAM]]&amp;Matrix[[#Headers],[17]],FDR[FDR]&amp;FDR[[#Headers],[17]],FDR[17],"",0,1)</f>
        <v>3</v>
      </c>
      <c r="AD376" cm="1">
        <f t="array" ref="AD376">_xlfn.XLOOKUP(Matrix[[#This Row],[TEAM]]&amp;Matrix[[#Headers],[18]],FDR[FDR]&amp;FDR[[#Headers],[18]],FDR[18],"",0,1)</f>
        <v>4</v>
      </c>
      <c r="AE376" cm="1">
        <f t="array" ref="AE376">_xlfn.XLOOKUP(Matrix[[#This Row],[TEAM]]&amp;Matrix[[#Headers],[19]],FDR[FDR]&amp;FDR[[#Headers],[19]],FDR[19],"",0,1)</f>
        <v>4</v>
      </c>
      <c r="AF376" cm="1">
        <f t="array" ref="AF376">_xlfn.XLOOKUP(Matrix[[#This Row],[TEAM]]&amp;Matrix[[#Headers],[20]],FDR[FDR]&amp;FDR[[#Headers],[20]],FDR[20],"",0,1)</f>
        <v>2</v>
      </c>
      <c r="AG376" cm="1">
        <f t="array" ref="AG376">_xlfn.XLOOKUP(Matrix[[#This Row],[TEAM]]&amp;Matrix[[#Headers],[21]],FDR[FDR]&amp;FDR[[#Headers],[21]],FDR[21],"",0,1)</f>
        <v>2</v>
      </c>
      <c r="AH376" cm="1">
        <f t="array" ref="AH376">_xlfn.XLOOKUP(Matrix[[#This Row],[TEAM]]&amp;Matrix[[#Headers],[22]],FDR[FDR]&amp;FDR[[#Headers],[22]],FDR[22],"",0,1)</f>
        <v>1</v>
      </c>
      <c r="AI376" cm="1">
        <f t="array" ref="AI376">_xlfn.XLOOKUP(Matrix[[#This Row],[TEAM]]&amp;Matrix[[#Headers],[23]],FDR[FDR]&amp;FDR[[#Headers],[23]],FDR[23],"",0,1)</f>
        <v>4</v>
      </c>
      <c r="AJ376" cm="1">
        <f t="array" ref="AJ376">_xlfn.XLOOKUP(Matrix[[#This Row],[TEAM]]&amp;Matrix[[#Headers],[24]],FDR[FDR]&amp;FDR[[#Headers],[24]],FDR[24],"",0,1)</f>
        <v>1</v>
      </c>
      <c r="AK376" cm="1">
        <f t="array" ref="AK376">_xlfn.XLOOKUP(Matrix[[#This Row],[TEAM]]&amp;Matrix[[#Headers],[25]],FDR[FDR]&amp;FDR[[#Headers],[25]],FDR[25],"",0,1)</f>
        <v>3</v>
      </c>
      <c r="AL376" cm="1">
        <f t="array" ref="AL376">_xlfn.XLOOKUP(Matrix[[#This Row],[TEAM]]&amp;Matrix[[#Headers],[26]],FDR[FDR]&amp;FDR[[#Headers],[26]],FDR[26],"",0,1)</f>
        <v>2</v>
      </c>
      <c r="AM376" cm="1">
        <f t="array" ref="AM376">_xlfn.XLOOKUP(Matrix[[#This Row],[TEAM]]&amp;Matrix[[#Headers],[27]],FDR[FDR]&amp;FDR[[#Headers],[27]],FDR[27],"",0,1)</f>
        <v>1</v>
      </c>
      <c r="AN376" cm="1">
        <f t="array" ref="AN376">_xlfn.XLOOKUP(Matrix[[#This Row],[TEAM]]&amp;Matrix[[#Headers],[28]],FDR[FDR]&amp;FDR[[#Headers],[28]],FDR[28],"",0,1)</f>
        <v>1</v>
      </c>
      <c r="AO376" cm="1">
        <f t="array" ref="AO376">_xlfn.XLOOKUP(Matrix[[#This Row],[TEAM]]&amp;Matrix[[#Headers],[29]],FDR[FDR]&amp;FDR[[#Headers],[29]],FDR[29],"",0,1)</f>
        <v>3</v>
      </c>
      <c r="AP376" cm="1">
        <f t="array" ref="AP376">_xlfn.XLOOKUP(Matrix[[#This Row],[TEAM]]&amp;Matrix[[#Headers],[30]],FDR[FDR]&amp;FDR[[#Headers],[30]],FDR[30],"",0,1)</f>
        <v>4</v>
      </c>
      <c r="AQ376" cm="1">
        <f t="array" ref="AQ376">_xlfn.XLOOKUP(Matrix[[#This Row],[TEAM]]&amp;Matrix[[#Headers],[31]],FDR[FDR]&amp;FDR[[#Headers],[31]],FDR[31],"",0,1)</f>
        <v>1</v>
      </c>
      <c r="AR376" cm="1">
        <f t="array" ref="AR376">_xlfn.XLOOKUP(Matrix[[#This Row],[TEAM]]&amp;Matrix[[#Headers],[32]],FDR[FDR]&amp;FDR[[#Headers],[32]],FDR[32],"",0,1)</f>
        <v>3</v>
      </c>
      <c r="AS376" cm="1">
        <f t="array" ref="AS376">_xlfn.XLOOKUP(Matrix[[#This Row],[TEAM]]&amp;Matrix[[#Headers],[33]],FDR[FDR]&amp;FDR[[#Headers],[33]],FDR[33],"",0,1)</f>
        <v>1</v>
      </c>
      <c r="AT376" cm="1">
        <f t="array" ref="AT376">_xlfn.XLOOKUP(Matrix[[#This Row],[TEAM]]&amp;Matrix[[#Headers],[34]],FDR[FDR]&amp;FDR[[#Headers],[34]],FDR[34],"",0,1)</f>
        <v>3</v>
      </c>
      <c r="AU376" cm="1">
        <f t="array" ref="AU376">_xlfn.XLOOKUP(Matrix[[#This Row],[TEAM]]&amp;Matrix[[#Headers],[35]],FDR[FDR]&amp;FDR[[#Headers],[35]],FDR[35],"",0,1)</f>
        <v>3</v>
      </c>
      <c r="AV376" cm="1">
        <f t="array" ref="AV376">_xlfn.XLOOKUP(Matrix[[#This Row],[TEAM]]&amp;Matrix[[#Headers],[36]],FDR[FDR]&amp;FDR[[#Headers],[36]],FDR[36],"",0,1)</f>
        <v>1</v>
      </c>
      <c r="AW376" cm="1">
        <f t="array" ref="AW376">_xlfn.XLOOKUP(Matrix[[#This Row],[TEAM]]&amp;Matrix[[#Headers],[37]],FDR[FDR]&amp;FDR[[#Headers],[37]],FDR[37],"",0,1)</f>
        <v>3</v>
      </c>
      <c r="AX376" cm="1">
        <f t="array" ref="AX376">_xlfn.XLOOKUP(Matrix[[#This Row],[TEAM]]&amp;Matrix[[#Headers],[38]],FDR[FDR]&amp;FDR[[#Headers],[38]],FDR[38],"",0,1)</f>
        <v>4</v>
      </c>
    </row>
    <row r="377" spans="1:50" ht="22" thickTop="1" thickBot="1">
      <c r="A377" s="53" t="str">
        <f>INDEX!S$4</f>
        <v>MID</v>
      </c>
      <c r="B377" s="70" t="s">
        <v>1723</v>
      </c>
      <c r="C377" s="40" t="s">
        <v>28</v>
      </c>
      <c r="D377" s="62">
        <v>0</v>
      </c>
      <c r="E377" s="60">
        <v>1E-3</v>
      </c>
      <c r="F377" s="61">
        <v>0</v>
      </c>
      <c r="G377" s="63">
        <v>4.5</v>
      </c>
      <c r="H377" s="261">
        <f>IF(ISBLANK(I377),0,1)</f>
        <v>0</v>
      </c>
      <c r="I377" s="57"/>
      <c r="J377" s="58"/>
      <c r="K377" s="59" t="s">
        <v>904</v>
      </c>
      <c r="L377" s="59" t="s">
        <v>905</v>
      </c>
      <c r="M377" cm="1">
        <f t="array" ref="M377">_xlfn.XLOOKUP(Matrix[[#This Row],[TEAM]]&amp;Matrix[[#Headers],[1]],FDR[FDR]&amp;FDR[[#Headers],[1]],FDR[1],"",0,1)</f>
        <v>3</v>
      </c>
      <c r="N377" cm="1">
        <f t="array" ref="N377">_xlfn.XLOOKUP(Matrix[[#This Row],[TEAM]]&amp;Matrix[[#Headers],[2]],FDR[FDR]&amp;FDR[[#Headers],[2]],FDR[2],"",0,1)</f>
        <v>2</v>
      </c>
      <c r="O377" cm="1">
        <f t="array" ref="O377">_xlfn.XLOOKUP(Matrix[[#This Row],[TEAM]]&amp;Matrix[[#Headers],[3]],FDR[FDR]&amp;FDR[[#Headers],[3]],FDR[3],"",0,1)</f>
        <v>1</v>
      </c>
      <c r="P377" cm="1">
        <f t="array" ref="P377">_xlfn.XLOOKUP(Matrix[[#This Row],[TEAM]]&amp;Matrix[[#Headers],[4]],FDR[FDR]&amp;FDR[[#Headers],[4]],FDR[4],"",0,1)</f>
        <v>2</v>
      </c>
      <c r="Q377" cm="1">
        <f t="array" ref="Q377">_xlfn.XLOOKUP(Matrix[[#This Row],[TEAM]]&amp;Matrix[[#Headers],[5]],FDR[FDR]&amp;FDR[[#Headers],[5]],FDR[5],"",0,1)</f>
        <v>1</v>
      </c>
      <c r="R377" cm="1">
        <f t="array" ref="R377">_xlfn.XLOOKUP(Matrix[[#This Row],[TEAM]]&amp;Matrix[[#Headers],[6]],FDR[FDR]&amp;FDR[[#Headers],[6]],FDR[6],"",0,1)</f>
        <v>2</v>
      </c>
      <c r="S377" cm="1">
        <f t="array" ref="S377">_xlfn.XLOOKUP(Matrix[[#This Row],[TEAM]]&amp;Matrix[[#Headers],[7]],FDR[FDR]&amp;FDR[[#Headers],[7]],FDR[7],"",0,1)</f>
        <v>1</v>
      </c>
      <c r="T377" cm="1">
        <f t="array" ref="T377">_xlfn.XLOOKUP(Matrix[[#This Row],[TEAM]]&amp;Matrix[[#Headers],[8]],FDR[FDR]&amp;FDR[[#Headers],[8]],FDR[8],"",0,1)</f>
        <v>4</v>
      </c>
      <c r="U377" cm="1">
        <f t="array" ref="U377">_xlfn.XLOOKUP(Matrix[[#This Row],[TEAM]]&amp;Matrix[[#Headers],[9]],FDR[FDR]&amp;FDR[[#Headers],[9]],FDR[9],"",0,1)</f>
        <v>3</v>
      </c>
      <c r="V377" cm="1">
        <f t="array" ref="V377">_xlfn.XLOOKUP(Matrix[[#This Row],[TEAM]]&amp;Matrix[[#Headers],[10]],FDR[FDR]&amp;FDR[[#Headers],[10]],FDR[10],"",0,1)</f>
        <v>4</v>
      </c>
      <c r="W377" cm="1">
        <f t="array" ref="W377">_xlfn.XLOOKUP(Matrix[[#This Row],[TEAM]]&amp;Matrix[[#Headers],[11]],FDR[FDR]&amp;FDR[[#Headers],[11]],FDR[11],"",0,1)</f>
        <v>2</v>
      </c>
      <c r="X377" cm="1">
        <f t="array" ref="X377">_xlfn.XLOOKUP(Matrix[[#This Row],[TEAM]]&amp;Matrix[[#Headers],[12]],FDR[FDR]&amp;FDR[[#Headers],[12]],FDR[12],"",0,1)</f>
        <v>1</v>
      </c>
      <c r="Y377" cm="1">
        <f t="array" ref="Y377">_xlfn.XLOOKUP(Matrix[[#This Row],[TEAM]]&amp;Matrix[[#Headers],[13]],FDR[FDR]&amp;FDR[[#Headers],[13]],FDR[13],"",0,1)</f>
        <v>1</v>
      </c>
      <c r="Z377" cm="1">
        <f t="array" ref="Z377">_xlfn.XLOOKUP(Matrix[[#This Row],[TEAM]]&amp;Matrix[[#Headers],[14]],FDR[FDR]&amp;FDR[[#Headers],[14]],FDR[14],"",0,1)</f>
        <v>3</v>
      </c>
      <c r="AA377" cm="1">
        <f t="array" ref="AA377">_xlfn.XLOOKUP(Matrix[[#This Row],[TEAM]]&amp;Matrix[[#Headers],[15]],FDR[FDR]&amp;FDR[[#Headers],[15]],FDR[15],"",0,1)</f>
        <v>3</v>
      </c>
      <c r="AB377" cm="1">
        <f t="array" ref="AB377">_xlfn.XLOOKUP(Matrix[[#This Row],[TEAM]]&amp;Matrix[[#Headers],[16]],FDR[FDR]&amp;FDR[[#Headers],[16]],FDR[16],"",0,1)</f>
        <v>2</v>
      </c>
      <c r="AC377" cm="1">
        <f t="array" ref="AC377">_xlfn.XLOOKUP(Matrix[[#This Row],[TEAM]]&amp;Matrix[[#Headers],[17]],FDR[FDR]&amp;FDR[[#Headers],[17]],FDR[17],"",0,1)</f>
        <v>3</v>
      </c>
      <c r="AD377" cm="1">
        <f t="array" ref="AD377">_xlfn.XLOOKUP(Matrix[[#This Row],[TEAM]]&amp;Matrix[[#Headers],[18]],FDR[FDR]&amp;FDR[[#Headers],[18]],FDR[18],"",0,1)</f>
        <v>4</v>
      </c>
      <c r="AE377" cm="1">
        <f t="array" ref="AE377">_xlfn.XLOOKUP(Matrix[[#This Row],[TEAM]]&amp;Matrix[[#Headers],[19]],FDR[FDR]&amp;FDR[[#Headers],[19]],FDR[19],"",0,1)</f>
        <v>4</v>
      </c>
      <c r="AF377" cm="1">
        <f t="array" ref="AF377">_xlfn.XLOOKUP(Matrix[[#This Row],[TEAM]]&amp;Matrix[[#Headers],[20]],FDR[FDR]&amp;FDR[[#Headers],[20]],FDR[20],"",0,1)</f>
        <v>2</v>
      </c>
      <c r="AG377" cm="1">
        <f t="array" ref="AG377">_xlfn.XLOOKUP(Matrix[[#This Row],[TEAM]]&amp;Matrix[[#Headers],[21]],FDR[FDR]&amp;FDR[[#Headers],[21]],FDR[21],"",0,1)</f>
        <v>2</v>
      </c>
      <c r="AH377" cm="1">
        <f t="array" ref="AH377">_xlfn.XLOOKUP(Matrix[[#This Row],[TEAM]]&amp;Matrix[[#Headers],[22]],FDR[FDR]&amp;FDR[[#Headers],[22]],FDR[22],"",0,1)</f>
        <v>1</v>
      </c>
      <c r="AI377" cm="1">
        <f t="array" ref="AI377">_xlfn.XLOOKUP(Matrix[[#This Row],[TEAM]]&amp;Matrix[[#Headers],[23]],FDR[FDR]&amp;FDR[[#Headers],[23]],FDR[23],"",0,1)</f>
        <v>4</v>
      </c>
      <c r="AJ377" cm="1">
        <f t="array" ref="AJ377">_xlfn.XLOOKUP(Matrix[[#This Row],[TEAM]]&amp;Matrix[[#Headers],[24]],FDR[FDR]&amp;FDR[[#Headers],[24]],FDR[24],"",0,1)</f>
        <v>1</v>
      </c>
      <c r="AK377" cm="1">
        <f t="array" ref="AK377">_xlfn.XLOOKUP(Matrix[[#This Row],[TEAM]]&amp;Matrix[[#Headers],[25]],FDR[FDR]&amp;FDR[[#Headers],[25]],FDR[25],"",0,1)</f>
        <v>3</v>
      </c>
      <c r="AL377" cm="1">
        <f t="array" ref="AL377">_xlfn.XLOOKUP(Matrix[[#This Row],[TEAM]]&amp;Matrix[[#Headers],[26]],FDR[FDR]&amp;FDR[[#Headers],[26]],FDR[26],"",0,1)</f>
        <v>2</v>
      </c>
      <c r="AM377" cm="1">
        <f t="array" ref="AM377">_xlfn.XLOOKUP(Matrix[[#This Row],[TEAM]]&amp;Matrix[[#Headers],[27]],FDR[FDR]&amp;FDR[[#Headers],[27]],FDR[27],"",0,1)</f>
        <v>1</v>
      </c>
      <c r="AN377" cm="1">
        <f t="array" ref="AN377">_xlfn.XLOOKUP(Matrix[[#This Row],[TEAM]]&amp;Matrix[[#Headers],[28]],FDR[FDR]&amp;FDR[[#Headers],[28]],FDR[28],"",0,1)</f>
        <v>1</v>
      </c>
      <c r="AO377" cm="1">
        <f t="array" ref="AO377">_xlfn.XLOOKUP(Matrix[[#This Row],[TEAM]]&amp;Matrix[[#Headers],[29]],FDR[FDR]&amp;FDR[[#Headers],[29]],FDR[29],"",0,1)</f>
        <v>3</v>
      </c>
      <c r="AP377" cm="1">
        <f t="array" ref="AP377">_xlfn.XLOOKUP(Matrix[[#This Row],[TEAM]]&amp;Matrix[[#Headers],[30]],FDR[FDR]&amp;FDR[[#Headers],[30]],FDR[30],"",0,1)</f>
        <v>4</v>
      </c>
      <c r="AQ377" cm="1">
        <f t="array" ref="AQ377">_xlfn.XLOOKUP(Matrix[[#This Row],[TEAM]]&amp;Matrix[[#Headers],[31]],FDR[FDR]&amp;FDR[[#Headers],[31]],FDR[31],"",0,1)</f>
        <v>1</v>
      </c>
      <c r="AR377" cm="1">
        <f t="array" ref="AR377">_xlfn.XLOOKUP(Matrix[[#This Row],[TEAM]]&amp;Matrix[[#Headers],[32]],FDR[FDR]&amp;FDR[[#Headers],[32]],FDR[32],"",0,1)</f>
        <v>3</v>
      </c>
      <c r="AS377" cm="1">
        <f t="array" ref="AS377">_xlfn.XLOOKUP(Matrix[[#This Row],[TEAM]]&amp;Matrix[[#Headers],[33]],FDR[FDR]&amp;FDR[[#Headers],[33]],FDR[33],"",0,1)</f>
        <v>1</v>
      </c>
      <c r="AT377" cm="1">
        <f t="array" ref="AT377">_xlfn.XLOOKUP(Matrix[[#This Row],[TEAM]]&amp;Matrix[[#Headers],[34]],FDR[FDR]&amp;FDR[[#Headers],[34]],FDR[34],"",0,1)</f>
        <v>3</v>
      </c>
      <c r="AU377" cm="1">
        <f t="array" ref="AU377">_xlfn.XLOOKUP(Matrix[[#This Row],[TEAM]]&amp;Matrix[[#Headers],[35]],FDR[FDR]&amp;FDR[[#Headers],[35]],FDR[35],"",0,1)</f>
        <v>3</v>
      </c>
      <c r="AV377" cm="1">
        <f t="array" ref="AV377">_xlfn.XLOOKUP(Matrix[[#This Row],[TEAM]]&amp;Matrix[[#Headers],[36]],FDR[FDR]&amp;FDR[[#Headers],[36]],FDR[36],"",0,1)</f>
        <v>1</v>
      </c>
      <c r="AW377" cm="1">
        <f t="array" ref="AW377">_xlfn.XLOOKUP(Matrix[[#This Row],[TEAM]]&amp;Matrix[[#Headers],[37]],FDR[FDR]&amp;FDR[[#Headers],[37]],FDR[37],"",0,1)</f>
        <v>3</v>
      </c>
      <c r="AX377" cm="1">
        <f t="array" ref="AX377">_xlfn.XLOOKUP(Matrix[[#This Row],[TEAM]]&amp;Matrix[[#Headers],[38]],FDR[FDR]&amp;FDR[[#Headers],[38]],FDR[38],"",0,1)</f>
        <v>4</v>
      </c>
    </row>
    <row r="378" spans="1:50" ht="22" thickTop="1" thickBot="1">
      <c r="A378" s="53" t="str">
        <f>INDEX!S$4</f>
        <v>MID</v>
      </c>
      <c r="B378" s="70" t="s">
        <v>1677</v>
      </c>
      <c r="C378" s="40" t="s">
        <v>43</v>
      </c>
      <c r="D378" s="62">
        <v>0</v>
      </c>
      <c r="E378" s="60">
        <v>3.0000000000000001E-3</v>
      </c>
      <c r="F378" s="61">
        <v>0</v>
      </c>
      <c r="G378" s="63">
        <v>4.5</v>
      </c>
      <c r="H378" s="261">
        <f>IF(ISBLANK(I378),0,1)</f>
        <v>0</v>
      </c>
      <c r="I378" s="57"/>
      <c r="J378" s="58"/>
      <c r="K378" s="59" t="s">
        <v>550</v>
      </c>
      <c r="L378" s="59" t="s">
        <v>939</v>
      </c>
      <c r="M378" cm="1">
        <f t="array" ref="M378">_xlfn.XLOOKUP(Matrix[[#This Row],[TEAM]]&amp;Matrix[[#Headers],[1]],FDR[FDR]&amp;FDR[[#Headers],[1]],FDR[1],"",0,1)</f>
        <v>5</v>
      </c>
      <c r="N378" cm="1">
        <f t="array" ref="N378">_xlfn.XLOOKUP(Matrix[[#This Row],[TEAM]]&amp;Matrix[[#Headers],[2]],FDR[FDR]&amp;FDR[[#Headers],[2]],FDR[2],"",0,1)</f>
        <v>1</v>
      </c>
      <c r="O378" cm="1">
        <f t="array" ref="O378">_xlfn.XLOOKUP(Matrix[[#This Row],[TEAM]]&amp;Matrix[[#Headers],[3]],FDR[FDR]&amp;FDR[[#Headers],[3]],FDR[3],"",0,1)</f>
        <v>5</v>
      </c>
      <c r="P378" cm="1">
        <f t="array" ref="P378">_xlfn.XLOOKUP(Matrix[[#This Row],[TEAM]]&amp;Matrix[[#Headers],[4]],FDR[FDR]&amp;FDR[[#Headers],[4]],FDR[4],"",0,1)</f>
        <v>3</v>
      </c>
      <c r="Q378" cm="1">
        <f t="array" ref="Q378">_xlfn.XLOOKUP(Matrix[[#This Row],[TEAM]]&amp;Matrix[[#Headers],[5]],FDR[FDR]&amp;FDR[[#Headers],[5]],FDR[5],"",0,1)</f>
        <v>4</v>
      </c>
      <c r="R378" cm="1">
        <f t="array" ref="R378">_xlfn.XLOOKUP(Matrix[[#This Row],[TEAM]]&amp;Matrix[[#Headers],[6]],FDR[FDR]&amp;FDR[[#Headers],[6]],FDR[6],"",0,1)</f>
        <v>2</v>
      </c>
      <c r="S378" cm="1">
        <f t="array" ref="S378">_xlfn.XLOOKUP(Matrix[[#This Row],[TEAM]]&amp;Matrix[[#Headers],[7]],FDR[FDR]&amp;FDR[[#Headers],[7]],FDR[7],"",0,1)</f>
        <v>3</v>
      </c>
      <c r="T378" cm="1">
        <f t="array" ref="T378">_xlfn.XLOOKUP(Matrix[[#This Row],[TEAM]]&amp;Matrix[[#Headers],[8]],FDR[FDR]&amp;FDR[[#Headers],[8]],FDR[8],"",0,1)</f>
        <v>3</v>
      </c>
      <c r="U378" cm="1">
        <f t="array" ref="U378">_xlfn.XLOOKUP(Matrix[[#This Row],[TEAM]]&amp;Matrix[[#Headers],[9]],FDR[FDR]&amp;FDR[[#Headers],[9]],FDR[9],"",0,1)</f>
        <v>3</v>
      </c>
      <c r="V378" cm="1">
        <f t="array" ref="V378">_xlfn.XLOOKUP(Matrix[[#This Row],[TEAM]]&amp;Matrix[[#Headers],[10]],FDR[FDR]&amp;FDR[[#Headers],[10]],FDR[10],"",0,1)</f>
        <v>5</v>
      </c>
      <c r="W378" cm="1">
        <f t="array" ref="W378">_xlfn.XLOOKUP(Matrix[[#This Row],[TEAM]]&amp;Matrix[[#Headers],[11]],FDR[FDR]&amp;FDR[[#Headers],[11]],FDR[11],"",0,1)</f>
        <v>5</v>
      </c>
      <c r="X378" cm="1">
        <f t="array" ref="X378">_xlfn.XLOOKUP(Matrix[[#This Row],[TEAM]]&amp;Matrix[[#Headers],[12]],FDR[FDR]&amp;FDR[[#Headers],[12]],FDR[12],"",0,1)</f>
        <v>2</v>
      </c>
      <c r="Y378" cm="1">
        <f t="array" ref="Y378">_xlfn.XLOOKUP(Matrix[[#This Row],[TEAM]]&amp;Matrix[[#Headers],[13]],FDR[FDR]&amp;FDR[[#Headers],[13]],FDR[13],"",0,1)</f>
        <v>2</v>
      </c>
      <c r="Z378" cm="1">
        <f t="array" ref="Z378">_xlfn.XLOOKUP(Matrix[[#This Row],[TEAM]]&amp;Matrix[[#Headers],[14]],FDR[FDR]&amp;FDR[[#Headers],[14]],FDR[14],"",0,1)</f>
        <v>2</v>
      </c>
      <c r="AA378" cm="1">
        <f t="array" ref="AA378">_xlfn.XLOOKUP(Matrix[[#This Row],[TEAM]]&amp;Matrix[[#Headers],[15]],FDR[FDR]&amp;FDR[[#Headers],[15]],FDR[15],"",0,1)</f>
        <v>4</v>
      </c>
      <c r="AB378" cm="1">
        <f t="array" ref="AB378">_xlfn.XLOOKUP(Matrix[[#This Row],[TEAM]]&amp;Matrix[[#Headers],[16]],FDR[FDR]&amp;FDR[[#Headers],[16]],FDR[16],"",0,1)</f>
        <v>5</v>
      </c>
      <c r="AC378" cm="1">
        <f t="array" ref="AC378">_xlfn.XLOOKUP(Matrix[[#This Row],[TEAM]]&amp;Matrix[[#Headers],[17]],FDR[FDR]&amp;FDR[[#Headers],[17]],FDR[17],"",0,1)</f>
        <v>1</v>
      </c>
      <c r="AD378" cm="1">
        <f t="array" ref="AD378">_xlfn.XLOOKUP(Matrix[[#This Row],[TEAM]]&amp;Matrix[[#Headers],[18]],FDR[FDR]&amp;FDR[[#Headers],[18]],FDR[18],"",0,1)</f>
        <v>3</v>
      </c>
      <c r="AE378" cm="1">
        <f t="array" ref="AE378">_xlfn.XLOOKUP(Matrix[[#This Row],[TEAM]]&amp;Matrix[[#Headers],[19]],FDR[FDR]&amp;FDR[[#Headers],[19]],FDR[19],"",0,1)</f>
        <v>5</v>
      </c>
      <c r="AF378" cm="1">
        <f t="array" ref="AF378">_xlfn.XLOOKUP(Matrix[[#This Row],[TEAM]]&amp;Matrix[[#Headers],[20]],FDR[FDR]&amp;FDR[[#Headers],[20]],FDR[20],"",0,1)</f>
        <v>4</v>
      </c>
      <c r="AG378" cm="1">
        <f t="array" ref="AG378">_xlfn.XLOOKUP(Matrix[[#This Row],[TEAM]]&amp;Matrix[[#Headers],[21]],FDR[FDR]&amp;FDR[[#Headers],[21]],FDR[21],"",0,1)</f>
        <v>4</v>
      </c>
      <c r="AH378" cm="1">
        <f t="array" ref="AH378">_xlfn.XLOOKUP(Matrix[[#This Row],[TEAM]]&amp;Matrix[[#Headers],[22]],FDR[FDR]&amp;FDR[[#Headers],[22]],FDR[22],"",0,1)</f>
        <v>4</v>
      </c>
      <c r="AI378" cm="1">
        <f t="array" ref="AI378">_xlfn.XLOOKUP(Matrix[[#This Row],[TEAM]]&amp;Matrix[[#Headers],[23]],FDR[FDR]&amp;FDR[[#Headers],[23]],FDR[23],"",0,1)</f>
        <v>4</v>
      </c>
      <c r="AJ378" cm="1">
        <f t="array" ref="AJ378">_xlfn.XLOOKUP(Matrix[[#This Row],[TEAM]]&amp;Matrix[[#Headers],[24]],FDR[FDR]&amp;FDR[[#Headers],[24]],FDR[24],"",0,1)</f>
        <v>2</v>
      </c>
      <c r="AK378" cm="1">
        <f t="array" ref="AK378">_xlfn.XLOOKUP(Matrix[[#This Row],[TEAM]]&amp;Matrix[[#Headers],[25]],FDR[FDR]&amp;FDR[[#Headers],[25]],FDR[25],"",0,1)</f>
        <v>3</v>
      </c>
      <c r="AL378" cm="1">
        <f t="array" ref="AL378">_xlfn.XLOOKUP(Matrix[[#This Row],[TEAM]]&amp;Matrix[[#Headers],[26]],FDR[FDR]&amp;FDR[[#Headers],[26]],FDR[26],"",0,1)</f>
        <v>3</v>
      </c>
      <c r="AM378" cm="1">
        <f t="array" ref="AM378">_xlfn.XLOOKUP(Matrix[[#This Row],[TEAM]]&amp;Matrix[[#Headers],[27]],FDR[FDR]&amp;FDR[[#Headers],[27]],FDR[27],"",0,1)</f>
        <v>3</v>
      </c>
      <c r="AN378" cm="1">
        <f t="array" ref="AN378">_xlfn.XLOOKUP(Matrix[[#This Row],[TEAM]]&amp;Matrix[[#Headers],[28]],FDR[FDR]&amp;FDR[[#Headers],[28]],FDR[28],"",0,1)</f>
        <v>1</v>
      </c>
      <c r="AO378" cm="1">
        <f t="array" ref="AO378">_xlfn.XLOOKUP(Matrix[[#This Row],[TEAM]]&amp;Matrix[[#Headers],[29]],FDR[FDR]&amp;FDR[[#Headers],[29]],FDR[29],"",0,1)</f>
        <v>2</v>
      </c>
      <c r="AP378" cm="1">
        <f t="array" ref="AP378">_xlfn.XLOOKUP(Matrix[[#This Row],[TEAM]]&amp;Matrix[[#Headers],[30]],FDR[FDR]&amp;FDR[[#Headers],[30]],FDR[30],"",0,1)</f>
        <v>2</v>
      </c>
      <c r="AQ378" cm="1">
        <f t="array" ref="AQ378">_xlfn.XLOOKUP(Matrix[[#This Row],[TEAM]]&amp;Matrix[[#Headers],[31]],FDR[FDR]&amp;FDR[[#Headers],[31]],FDR[31],"",0,1)</f>
        <v>4</v>
      </c>
      <c r="AR378" cm="1">
        <f t="array" ref="AR378">_xlfn.XLOOKUP(Matrix[[#This Row],[TEAM]]&amp;Matrix[[#Headers],[32]],FDR[FDR]&amp;FDR[[#Headers],[32]],FDR[32],"",0,1)</f>
        <v>5</v>
      </c>
      <c r="AS378" cm="1">
        <f t="array" ref="AS378">_xlfn.XLOOKUP(Matrix[[#This Row],[TEAM]]&amp;Matrix[[#Headers],[33]],FDR[FDR]&amp;FDR[[#Headers],[33]],FDR[33],"",0,1)</f>
        <v>5</v>
      </c>
      <c r="AT378" cm="1">
        <f t="array" ref="AT378">_xlfn.XLOOKUP(Matrix[[#This Row],[TEAM]]&amp;Matrix[[#Headers],[34]],FDR[FDR]&amp;FDR[[#Headers],[34]],FDR[34],"",0,1)</f>
        <v>1</v>
      </c>
      <c r="AU378" cm="1">
        <f t="array" ref="AU378">_xlfn.XLOOKUP(Matrix[[#This Row],[TEAM]]&amp;Matrix[[#Headers],[35]],FDR[FDR]&amp;FDR[[#Headers],[35]],FDR[35],"",0,1)</f>
        <v>2</v>
      </c>
      <c r="AV378" cm="1">
        <f t="array" ref="AV378">_xlfn.XLOOKUP(Matrix[[#This Row],[TEAM]]&amp;Matrix[[#Headers],[36]],FDR[FDR]&amp;FDR[[#Headers],[36]],FDR[36],"",0,1)</f>
        <v>4</v>
      </c>
      <c r="AW378" cm="1">
        <f t="array" ref="AW378">_xlfn.XLOOKUP(Matrix[[#This Row],[TEAM]]&amp;Matrix[[#Headers],[37]],FDR[FDR]&amp;FDR[[#Headers],[37]],FDR[37],"",0,1)</f>
        <v>4</v>
      </c>
      <c r="AX378" cm="1">
        <f t="array" ref="AX378">_xlfn.XLOOKUP(Matrix[[#This Row],[TEAM]]&amp;Matrix[[#Headers],[38]],FDR[FDR]&amp;FDR[[#Headers],[38]],FDR[38],"",0,1)</f>
        <v>4</v>
      </c>
    </row>
    <row r="379" spans="1:50" ht="22" thickTop="1" thickBot="1">
      <c r="A379" s="53" t="str">
        <f>INDEX!S$4</f>
        <v>MID</v>
      </c>
      <c r="B379" s="70" t="s">
        <v>1725</v>
      </c>
      <c r="C379" s="40" t="s">
        <v>43</v>
      </c>
      <c r="D379" s="62">
        <v>0</v>
      </c>
      <c r="E379" s="60">
        <v>1E-3</v>
      </c>
      <c r="F379" s="61">
        <v>0</v>
      </c>
      <c r="G379" s="63">
        <v>4.5</v>
      </c>
      <c r="H379" s="261">
        <f>IF(ISBLANK(I379),0,1)</f>
        <v>0</v>
      </c>
      <c r="I379" s="57"/>
      <c r="J379" s="58"/>
      <c r="K379" s="59" t="s">
        <v>388</v>
      </c>
      <c r="L379" s="59" t="s">
        <v>996</v>
      </c>
      <c r="M379" cm="1">
        <f t="array" ref="M379">_xlfn.XLOOKUP(Matrix[[#This Row],[TEAM]]&amp;Matrix[[#Headers],[1]],FDR[FDR]&amp;FDR[[#Headers],[1]],FDR[1],"",0,1)</f>
        <v>5</v>
      </c>
      <c r="N379" cm="1">
        <f t="array" ref="N379">_xlfn.XLOOKUP(Matrix[[#This Row],[TEAM]]&amp;Matrix[[#Headers],[2]],FDR[FDR]&amp;FDR[[#Headers],[2]],FDR[2],"",0,1)</f>
        <v>1</v>
      </c>
      <c r="O379" cm="1">
        <f t="array" ref="O379">_xlfn.XLOOKUP(Matrix[[#This Row],[TEAM]]&amp;Matrix[[#Headers],[3]],FDR[FDR]&amp;FDR[[#Headers],[3]],FDR[3],"",0,1)</f>
        <v>5</v>
      </c>
      <c r="P379" cm="1">
        <f t="array" ref="P379">_xlfn.XLOOKUP(Matrix[[#This Row],[TEAM]]&amp;Matrix[[#Headers],[4]],FDR[FDR]&amp;FDR[[#Headers],[4]],FDR[4],"",0,1)</f>
        <v>3</v>
      </c>
      <c r="Q379" cm="1">
        <f t="array" ref="Q379">_xlfn.XLOOKUP(Matrix[[#This Row],[TEAM]]&amp;Matrix[[#Headers],[5]],FDR[FDR]&amp;FDR[[#Headers],[5]],FDR[5],"",0,1)</f>
        <v>4</v>
      </c>
      <c r="R379" cm="1">
        <f t="array" ref="R379">_xlfn.XLOOKUP(Matrix[[#This Row],[TEAM]]&amp;Matrix[[#Headers],[6]],FDR[FDR]&amp;FDR[[#Headers],[6]],FDR[6],"",0,1)</f>
        <v>2</v>
      </c>
      <c r="S379" cm="1">
        <f t="array" ref="S379">_xlfn.XLOOKUP(Matrix[[#This Row],[TEAM]]&amp;Matrix[[#Headers],[7]],FDR[FDR]&amp;FDR[[#Headers],[7]],FDR[7],"",0,1)</f>
        <v>3</v>
      </c>
      <c r="T379" cm="1">
        <f t="array" ref="T379">_xlfn.XLOOKUP(Matrix[[#This Row],[TEAM]]&amp;Matrix[[#Headers],[8]],FDR[FDR]&amp;FDR[[#Headers],[8]],FDR[8],"",0,1)</f>
        <v>3</v>
      </c>
      <c r="U379" cm="1">
        <f t="array" ref="U379">_xlfn.XLOOKUP(Matrix[[#This Row],[TEAM]]&amp;Matrix[[#Headers],[9]],FDR[FDR]&amp;FDR[[#Headers],[9]],FDR[9],"",0,1)</f>
        <v>3</v>
      </c>
      <c r="V379" cm="1">
        <f t="array" ref="V379">_xlfn.XLOOKUP(Matrix[[#This Row],[TEAM]]&amp;Matrix[[#Headers],[10]],FDR[FDR]&amp;FDR[[#Headers],[10]],FDR[10],"",0,1)</f>
        <v>5</v>
      </c>
      <c r="W379" cm="1">
        <f t="array" ref="W379">_xlfn.XLOOKUP(Matrix[[#This Row],[TEAM]]&amp;Matrix[[#Headers],[11]],FDR[FDR]&amp;FDR[[#Headers],[11]],FDR[11],"",0,1)</f>
        <v>5</v>
      </c>
      <c r="X379" cm="1">
        <f t="array" ref="X379">_xlfn.XLOOKUP(Matrix[[#This Row],[TEAM]]&amp;Matrix[[#Headers],[12]],FDR[FDR]&amp;FDR[[#Headers],[12]],FDR[12],"",0,1)</f>
        <v>2</v>
      </c>
      <c r="Y379" cm="1">
        <f t="array" ref="Y379">_xlfn.XLOOKUP(Matrix[[#This Row],[TEAM]]&amp;Matrix[[#Headers],[13]],FDR[FDR]&amp;FDR[[#Headers],[13]],FDR[13],"",0,1)</f>
        <v>2</v>
      </c>
      <c r="Z379" cm="1">
        <f t="array" ref="Z379">_xlfn.XLOOKUP(Matrix[[#This Row],[TEAM]]&amp;Matrix[[#Headers],[14]],FDR[FDR]&amp;FDR[[#Headers],[14]],FDR[14],"",0,1)</f>
        <v>2</v>
      </c>
      <c r="AA379" cm="1">
        <f t="array" ref="AA379">_xlfn.XLOOKUP(Matrix[[#This Row],[TEAM]]&amp;Matrix[[#Headers],[15]],FDR[FDR]&amp;FDR[[#Headers],[15]],FDR[15],"",0,1)</f>
        <v>4</v>
      </c>
      <c r="AB379" cm="1">
        <f t="array" ref="AB379">_xlfn.XLOOKUP(Matrix[[#This Row],[TEAM]]&amp;Matrix[[#Headers],[16]],FDR[FDR]&amp;FDR[[#Headers],[16]],FDR[16],"",0,1)</f>
        <v>5</v>
      </c>
      <c r="AC379" cm="1">
        <f t="array" ref="AC379">_xlfn.XLOOKUP(Matrix[[#This Row],[TEAM]]&amp;Matrix[[#Headers],[17]],FDR[FDR]&amp;FDR[[#Headers],[17]],FDR[17],"",0,1)</f>
        <v>1</v>
      </c>
      <c r="AD379" cm="1">
        <f t="array" ref="AD379">_xlfn.XLOOKUP(Matrix[[#This Row],[TEAM]]&amp;Matrix[[#Headers],[18]],FDR[FDR]&amp;FDR[[#Headers],[18]],FDR[18],"",0,1)</f>
        <v>3</v>
      </c>
      <c r="AE379" cm="1">
        <f t="array" ref="AE379">_xlfn.XLOOKUP(Matrix[[#This Row],[TEAM]]&amp;Matrix[[#Headers],[19]],FDR[FDR]&amp;FDR[[#Headers],[19]],FDR[19],"",0,1)</f>
        <v>5</v>
      </c>
      <c r="AF379" cm="1">
        <f t="array" ref="AF379">_xlfn.XLOOKUP(Matrix[[#This Row],[TEAM]]&amp;Matrix[[#Headers],[20]],FDR[FDR]&amp;FDR[[#Headers],[20]],FDR[20],"",0,1)</f>
        <v>4</v>
      </c>
      <c r="AG379" cm="1">
        <f t="array" ref="AG379">_xlfn.XLOOKUP(Matrix[[#This Row],[TEAM]]&amp;Matrix[[#Headers],[21]],FDR[FDR]&amp;FDR[[#Headers],[21]],FDR[21],"",0,1)</f>
        <v>4</v>
      </c>
      <c r="AH379" cm="1">
        <f t="array" ref="AH379">_xlfn.XLOOKUP(Matrix[[#This Row],[TEAM]]&amp;Matrix[[#Headers],[22]],FDR[FDR]&amp;FDR[[#Headers],[22]],FDR[22],"",0,1)</f>
        <v>4</v>
      </c>
      <c r="AI379" cm="1">
        <f t="array" ref="AI379">_xlfn.XLOOKUP(Matrix[[#This Row],[TEAM]]&amp;Matrix[[#Headers],[23]],FDR[FDR]&amp;FDR[[#Headers],[23]],FDR[23],"",0,1)</f>
        <v>4</v>
      </c>
      <c r="AJ379" cm="1">
        <f t="array" ref="AJ379">_xlfn.XLOOKUP(Matrix[[#This Row],[TEAM]]&amp;Matrix[[#Headers],[24]],FDR[FDR]&amp;FDR[[#Headers],[24]],FDR[24],"",0,1)</f>
        <v>2</v>
      </c>
      <c r="AK379" cm="1">
        <f t="array" ref="AK379">_xlfn.XLOOKUP(Matrix[[#This Row],[TEAM]]&amp;Matrix[[#Headers],[25]],FDR[FDR]&amp;FDR[[#Headers],[25]],FDR[25],"",0,1)</f>
        <v>3</v>
      </c>
      <c r="AL379" cm="1">
        <f t="array" ref="AL379">_xlfn.XLOOKUP(Matrix[[#This Row],[TEAM]]&amp;Matrix[[#Headers],[26]],FDR[FDR]&amp;FDR[[#Headers],[26]],FDR[26],"",0,1)</f>
        <v>3</v>
      </c>
      <c r="AM379" cm="1">
        <f t="array" ref="AM379">_xlfn.XLOOKUP(Matrix[[#This Row],[TEAM]]&amp;Matrix[[#Headers],[27]],FDR[FDR]&amp;FDR[[#Headers],[27]],FDR[27],"",0,1)</f>
        <v>3</v>
      </c>
      <c r="AN379" cm="1">
        <f t="array" ref="AN379">_xlfn.XLOOKUP(Matrix[[#This Row],[TEAM]]&amp;Matrix[[#Headers],[28]],FDR[FDR]&amp;FDR[[#Headers],[28]],FDR[28],"",0,1)</f>
        <v>1</v>
      </c>
      <c r="AO379" cm="1">
        <f t="array" ref="AO379">_xlfn.XLOOKUP(Matrix[[#This Row],[TEAM]]&amp;Matrix[[#Headers],[29]],FDR[FDR]&amp;FDR[[#Headers],[29]],FDR[29],"",0,1)</f>
        <v>2</v>
      </c>
      <c r="AP379" cm="1">
        <f t="array" ref="AP379">_xlfn.XLOOKUP(Matrix[[#This Row],[TEAM]]&amp;Matrix[[#Headers],[30]],FDR[FDR]&amp;FDR[[#Headers],[30]],FDR[30],"",0,1)</f>
        <v>2</v>
      </c>
      <c r="AQ379" cm="1">
        <f t="array" ref="AQ379">_xlfn.XLOOKUP(Matrix[[#This Row],[TEAM]]&amp;Matrix[[#Headers],[31]],FDR[FDR]&amp;FDR[[#Headers],[31]],FDR[31],"",0,1)</f>
        <v>4</v>
      </c>
      <c r="AR379" cm="1">
        <f t="array" ref="AR379">_xlfn.XLOOKUP(Matrix[[#This Row],[TEAM]]&amp;Matrix[[#Headers],[32]],FDR[FDR]&amp;FDR[[#Headers],[32]],FDR[32],"",0,1)</f>
        <v>5</v>
      </c>
      <c r="AS379" cm="1">
        <f t="array" ref="AS379">_xlfn.XLOOKUP(Matrix[[#This Row],[TEAM]]&amp;Matrix[[#Headers],[33]],FDR[FDR]&amp;FDR[[#Headers],[33]],FDR[33],"",0,1)</f>
        <v>5</v>
      </c>
      <c r="AT379" cm="1">
        <f t="array" ref="AT379">_xlfn.XLOOKUP(Matrix[[#This Row],[TEAM]]&amp;Matrix[[#Headers],[34]],FDR[FDR]&amp;FDR[[#Headers],[34]],FDR[34],"",0,1)</f>
        <v>1</v>
      </c>
      <c r="AU379" cm="1">
        <f t="array" ref="AU379">_xlfn.XLOOKUP(Matrix[[#This Row],[TEAM]]&amp;Matrix[[#Headers],[35]],FDR[FDR]&amp;FDR[[#Headers],[35]],FDR[35],"",0,1)</f>
        <v>2</v>
      </c>
      <c r="AV379" cm="1">
        <f t="array" ref="AV379">_xlfn.XLOOKUP(Matrix[[#This Row],[TEAM]]&amp;Matrix[[#Headers],[36]],FDR[FDR]&amp;FDR[[#Headers],[36]],FDR[36],"",0,1)</f>
        <v>4</v>
      </c>
      <c r="AW379" cm="1">
        <f t="array" ref="AW379">_xlfn.XLOOKUP(Matrix[[#This Row],[TEAM]]&amp;Matrix[[#Headers],[37]],FDR[FDR]&amp;FDR[[#Headers],[37]],FDR[37],"",0,1)</f>
        <v>4</v>
      </c>
      <c r="AX379" cm="1">
        <f t="array" ref="AX379">_xlfn.XLOOKUP(Matrix[[#This Row],[TEAM]]&amp;Matrix[[#Headers],[38]],FDR[FDR]&amp;FDR[[#Headers],[38]],FDR[38],"",0,1)</f>
        <v>4</v>
      </c>
    </row>
    <row r="380" spans="1:50" ht="22" thickTop="1" thickBot="1">
      <c r="A380" s="53" t="str">
        <f>INDEX!S$4</f>
        <v>MID</v>
      </c>
      <c r="B380" s="70" t="s">
        <v>1773</v>
      </c>
      <c r="C380" s="40" t="s">
        <v>43</v>
      </c>
      <c r="D380" s="62">
        <v>0</v>
      </c>
      <c r="E380" s="60">
        <v>0</v>
      </c>
      <c r="F380" s="61">
        <v>0</v>
      </c>
      <c r="G380" s="63">
        <v>4.5</v>
      </c>
      <c r="H380" s="261">
        <f>IF(ISBLANK(I380),0,1)</f>
        <v>0</v>
      </c>
      <c r="I380" s="57"/>
      <c r="J380" s="58"/>
      <c r="K380" s="59" t="s">
        <v>847</v>
      </c>
      <c r="L380" s="59" t="s">
        <v>995</v>
      </c>
      <c r="M380" cm="1">
        <f t="array" ref="M380">_xlfn.XLOOKUP(Matrix[[#This Row],[TEAM]]&amp;Matrix[[#Headers],[1]],FDR[FDR]&amp;FDR[[#Headers],[1]],FDR[1],"",0,1)</f>
        <v>5</v>
      </c>
      <c r="N380" cm="1">
        <f t="array" ref="N380">_xlfn.XLOOKUP(Matrix[[#This Row],[TEAM]]&amp;Matrix[[#Headers],[2]],FDR[FDR]&amp;FDR[[#Headers],[2]],FDR[2],"",0,1)</f>
        <v>1</v>
      </c>
      <c r="O380" cm="1">
        <f t="array" ref="O380">_xlfn.XLOOKUP(Matrix[[#This Row],[TEAM]]&amp;Matrix[[#Headers],[3]],FDR[FDR]&amp;FDR[[#Headers],[3]],FDR[3],"",0,1)</f>
        <v>5</v>
      </c>
      <c r="P380" cm="1">
        <f t="array" ref="P380">_xlfn.XLOOKUP(Matrix[[#This Row],[TEAM]]&amp;Matrix[[#Headers],[4]],FDR[FDR]&amp;FDR[[#Headers],[4]],FDR[4],"",0,1)</f>
        <v>3</v>
      </c>
      <c r="Q380" cm="1">
        <f t="array" ref="Q380">_xlfn.XLOOKUP(Matrix[[#This Row],[TEAM]]&amp;Matrix[[#Headers],[5]],FDR[FDR]&amp;FDR[[#Headers],[5]],FDR[5],"",0,1)</f>
        <v>4</v>
      </c>
      <c r="R380" cm="1">
        <f t="array" ref="R380">_xlfn.XLOOKUP(Matrix[[#This Row],[TEAM]]&amp;Matrix[[#Headers],[6]],FDR[FDR]&amp;FDR[[#Headers],[6]],FDR[6],"",0,1)</f>
        <v>2</v>
      </c>
      <c r="S380" cm="1">
        <f t="array" ref="S380">_xlfn.XLOOKUP(Matrix[[#This Row],[TEAM]]&amp;Matrix[[#Headers],[7]],FDR[FDR]&amp;FDR[[#Headers],[7]],FDR[7],"",0,1)</f>
        <v>3</v>
      </c>
      <c r="T380" cm="1">
        <f t="array" ref="T380">_xlfn.XLOOKUP(Matrix[[#This Row],[TEAM]]&amp;Matrix[[#Headers],[8]],FDR[FDR]&amp;FDR[[#Headers],[8]],FDR[8],"",0,1)</f>
        <v>3</v>
      </c>
      <c r="U380" cm="1">
        <f t="array" ref="U380">_xlfn.XLOOKUP(Matrix[[#This Row],[TEAM]]&amp;Matrix[[#Headers],[9]],FDR[FDR]&amp;FDR[[#Headers],[9]],FDR[9],"",0,1)</f>
        <v>3</v>
      </c>
      <c r="V380" cm="1">
        <f t="array" ref="V380">_xlfn.XLOOKUP(Matrix[[#This Row],[TEAM]]&amp;Matrix[[#Headers],[10]],FDR[FDR]&amp;FDR[[#Headers],[10]],FDR[10],"",0,1)</f>
        <v>5</v>
      </c>
      <c r="W380" cm="1">
        <f t="array" ref="W380">_xlfn.XLOOKUP(Matrix[[#This Row],[TEAM]]&amp;Matrix[[#Headers],[11]],FDR[FDR]&amp;FDR[[#Headers],[11]],FDR[11],"",0,1)</f>
        <v>5</v>
      </c>
      <c r="X380" cm="1">
        <f t="array" ref="X380">_xlfn.XLOOKUP(Matrix[[#This Row],[TEAM]]&amp;Matrix[[#Headers],[12]],FDR[FDR]&amp;FDR[[#Headers],[12]],FDR[12],"",0,1)</f>
        <v>2</v>
      </c>
      <c r="Y380" cm="1">
        <f t="array" ref="Y380">_xlfn.XLOOKUP(Matrix[[#This Row],[TEAM]]&amp;Matrix[[#Headers],[13]],FDR[FDR]&amp;FDR[[#Headers],[13]],FDR[13],"",0,1)</f>
        <v>2</v>
      </c>
      <c r="Z380" cm="1">
        <f t="array" ref="Z380">_xlfn.XLOOKUP(Matrix[[#This Row],[TEAM]]&amp;Matrix[[#Headers],[14]],FDR[FDR]&amp;FDR[[#Headers],[14]],FDR[14],"",0,1)</f>
        <v>2</v>
      </c>
      <c r="AA380" cm="1">
        <f t="array" ref="AA380">_xlfn.XLOOKUP(Matrix[[#This Row],[TEAM]]&amp;Matrix[[#Headers],[15]],FDR[FDR]&amp;FDR[[#Headers],[15]],FDR[15],"",0,1)</f>
        <v>4</v>
      </c>
      <c r="AB380" cm="1">
        <f t="array" ref="AB380">_xlfn.XLOOKUP(Matrix[[#This Row],[TEAM]]&amp;Matrix[[#Headers],[16]],FDR[FDR]&amp;FDR[[#Headers],[16]],FDR[16],"",0,1)</f>
        <v>5</v>
      </c>
      <c r="AC380" cm="1">
        <f t="array" ref="AC380">_xlfn.XLOOKUP(Matrix[[#This Row],[TEAM]]&amp;Matrix[[#Headers],[17]],FDR[FDR]&amp;FDR[[#Headers],[17]],FDR[17],"",0,1)</f>
        <v>1</v>
      </c>
      <c r="AD380" cm="1">
        <f t="array" ref="AD380">_xlfn.XLOOKUP(Matrix[[#This Row],[TEAM]]&amp;Matrix[[#Headers],[18]],FDR[FDR]&amp;FDR[[#Headers],[18]],FDR[18],"",0,1)</f>
        <v>3</v>
      </c>
      <c r="AE380" cm="1">
        <f t="array" ref="AE380">_xlfn.XLOOKUP(Matrix[[#This Row],[TEAM]]&amp;Matrix[[#Headers],[19]],FDR[FDR]&amp;FDR[[#Headers],[19]],FDR[19],"",0,1)</f>
        <v>5</v>
      </c>
      <c r="AF380" cm="1">
        <f t="array" ref="AF380">_xlfn.XLOOKUP(Matrix[[#This Row],[TEAM]]&amp;Matrix[[#Headers],[20]],FDR[FDR]&amp;FDR[[#Headers],[20]],FDR[20],"",0,1)</f>
        <v>4</v>
      </c>
      <c r="AG380" cm="1">
        <f t="array" ref="AG380">_xlfn.XLOOKUP(Matrix[[#This Row],[TEAM]]&amp;Matrix[[#Headers],[21]],FDR[FDR]&amp;FDR[[#Headers],[21]],FDR[21],"",0,1)</f>
        <v>4</v>
      </c>
      <c r="AH380" cm="1">
        <f t="array" ref="AH380">_xlfn.XLOOKUP(Matrix[[#This Row],[TEAM]]&amp;Matrix[[#Headers],[22]],FDR[FDR]&amp;FDR[[#Headers],[22]],FDR[22],"",0,1)</f>
        <v>4</v>
      </c>
      <c r="AI380" cm="1">
        <f t="array" ref="AI380">_xlfn.XLOOKUP(Matrix[[#This Row],[TEAM]]&amp;Matrix[[#Headers],[23]],FDR[FDR]&amp;FDR[[#Headers],[23]],FDR[23],"",0,1)</f>
        <v>4</v>
      </c>
      <c r="AJ380" cm="1">
        <f t="array" ref="AJ380">_xlfn.XLOOKUP(Matrix[[#This Row],[TEAM]]&amp;Matrix[[#Headers],[24]],FDR[FDR]&amp;FDR[[#Headers],[24]],FDR[24],"",0,1)</f>
        <v>2</v>
      </c>
      <c r="AK380" cm="1">
        <f t="array" ref="AK380">_xlfn.XLOOKUP(Matrix[[#This Row],[TEAM]]&amp;Matrix[[#Headers],[25]],FDR[FDR]&amp;FDR[[#Headers],[25]],FDR[25],"",0,1)</f>
        <v>3</v>
      </c>
      <c r="AL380" cm="1">
        <f t="array" ref="AL380">_xlfn.XLOOKUP(Matrix[[#This Row],[TEAM]]&amp;Matrix[[#Headers],[26]],FDR[FDR]&amp;FDR[[#Headers],[26]],FDR[26],"",0,1)</f>
        <v>3</v>
      </c>
      <c r="AM380" cm="1">
        <f t="array" ref="AM380">_xlfn.XLOOKUP(Matrix[[#This Row],[TEAM]]&amp;Matrix[[#Headers],[27]],FDR[FDR]&amp;FDR[[#Headers],[27]],FDR[27],"",0,1)</f>
        <v>3</v>
      </c>
      <c r="AN380" cm="1">
        <f t="array" ref="AN380">_xlfn.XLOOKUP(Matrix[[#This Row],[TEAM]]&amp;Matrix[[#Headers],[28]],FDR[FDR]&amp;FDR[[#Headers],[28]],FDR[28],"",0,1)</f>
        <v>1</v>
      </c>
      <c r="AO380" cm="1">
        <f t="array" ref="AO380">_xlfn.XLOOKUP(Matrix[[#This Row],[TEAM]]&amp;Matrix[[#Headers],[29]],FDR[FDR]&amp;FDR[[#Headers],[29]],FDR[29],"",0,1)</f>
        <v>2</v>
      </c>
      <c r="AP380" cm="1">
        <f t="array" ref="AP380">_xlfn.XLOOKUP(Matrix[[#This Row],[TEAM]]&amp;Matrix[[#Headers],[30]],FDR[FDR]&amp;FDR[[#Headers],[30]],FDR[30],"",0,1)</f>
        <v>2</v>
      </c>
      <c r="AQ380" cm="1">
        <f t="array" ref="AQ380">_xlfn.XLOOKUP(Matrix[[#This Row],[TEAM]]&amp;Matrix[[#Headers],[31]],FDR[FDR]&amp;FDR[[#Headers],[31]],FDR[31],"",0,1)</f>
        <v>4</v>
      </c>
      <c r="AR380" cm="1">
        <f t="array" ref="AR380">_xlfn.XLOOKUP(Matrix[[#This Row],[TEAM]]&amp;Matrix[[#Headers],[32]],FDR[FDR]&amp;FDR[[#Headers],[32]],FDR[32],"",0,1)</f>
        <v>5</v>
      </c>
      <c r="AS380" cm="1">
        <f t="array" ref="AS380">_xlfn.XLOOKUP(Matrix[[#This Row],[TEAM]]&amp;Matrix[[#Headers],[33]],FDR[FDR]&amp;FDR[[#Headers],[33]],FDR[33],"",0,1)</f>
        <v>5</v>
      </c>
      <c r="AT380" cm="1">
        <f t="array" ref="AT380">_xlfn.XLOOKUP(Matrix[[#This Row],[TEAM]]&amp;Matrix[[#Headers],[34]],FDR[FDR]&amp;FDR[[#Headers],[34]],FDR[34],"",0,1)</f>
        <v>1</v>
      </c>
      <c r="AU380" cm="1">
        <f t="array" ref="AU380">_xlfn.XLOOKUP(Matrix[[#This Row],[TEAM]]&amp;Matrix[[#Headers],[35]],FDR[FDR]&amp;FDR[[#Headers],[35]],FDR[35],"",0,1)</f>
        <v>2</v>
      </c>
      <c r="AV380" cm="1">
        <f t="array" ref="AV380">_xlfn.XLOOKUP(Matrix[[#This Row],[TEAM]]&amp;Matrix[[#Headers],[36]],FDR[FDR]&amp;FDR[[#Headers],[36]],FDR[36],"",0,1)</f>
        <v>4</v>
      </c>
      <c r="AW380" cm="1">
        <f t="array" ref="AW380">_xlfn.XLOOKUP(Matrix[[#This Row],[TEAM]]&amp;Matrix[[#Headers],[37]],FDR[FDR]&amp;FDR[[#Headers],[37]],FDR[37],"",0,1)</f>
        <v>4</v>
      </c>
      <c r="AX380" cm="1">
        <f t="array" ref="AX380">_xlfn.XLOOKUP(Matrix[[#This Row],[TEAM]]&amp;Matrix[[#Headers],[38]],FDR[FDR]&amp;FDR[[#Headers],[38]],FDR[38],"",0,1)</f>
        <v>4</v>
      </c>
    </row>
    <row r="381" spans="1:50" ht="22" thickTop="1" thickBot="1">
      <c r="A381" s="53" t="str">
        <f>INDEX!S$4</f>
        <v>MID</v>
      </c>
      <c r="B381" s="70" t="s">
        <v>1727</v>
      </c>
      <c r="C381" s="40" t="s">
        <v>21</v>
      </c>
      <c r="D381" s="62">
        <v>0</v>
      </c>
      <c r="E381" s="60">
        <v>1E-3</v>
      </c>
      <c r="F381" s="61">
        <v>0</v>
      </c>
      <c r="G381" s="63">
        <v>4.5</v>
      </c>
      <c r="H381" s="261">
        <f>IF(ISBLANK(I381),0,1)</f>
        <v>0</v>
      </c>
      <c r="I381" s="57"/>
      <c r="J381" s="58"/>
      <c r="K381" s="59" t="s">
        <v>1012</v>
      </c>
      <c r="L381" s="59" t="s">
        <v>1013</v>
      </c>
      <c r="M381" cm="1">
        <f t="array" ref="M381">_xlfn.XLOOKUP(Matrix[[#This Row],[TEAM]]&amp;Matrix[[#Headers],[1]],FDR[FDR]&amp;FDR[[#Headers],[1]],FDR[1],"",0,1)</f>
        <v>4</v>
      </c>
      <c r="N381" cm="1">
        <f t="array" ref="N381">_xlfn.XLOOKUP(Matrix[[#This Row],[TEAM]]&amp;Matrix[[#Headers],[2]],FDR[FDR]&amp;FDR[[#Headers],[2]],FDR[2],"",0,1)</f>
        <v>4</v>
      </c>
      <c r="O381" cm="1">
        <f t="array" ref="O381">_xlfn.XLOOKUP(Matrix[[#This Row],[TEAM]]&amp;Matrix[[#Headers],[3]],FDR[FDR]&amp;FDR[[#Headers],[3]],FDR[3],"",0,1)</f>
        <v>2</v>
      </c>
      <c r="P381" cm="1">
        <f t="array" ref="P381">_xlfn.XLOOKUP(Matrix[[#This Row],[TEAM]]&amp;Matrix[[#Headers],[4]],FDR[FDR]&amp;FDR[[#Headers],[4]],FDR[4],"",0,1)</f>
        <v>4</v>
      </c>
      <c r="Q381" cm="1">
        <f t="array" ref="Q381">_xlfn.XLOOKUP(Matrix[[#This Row],[TEAM]]&amp;Matrix[[#Headers],[5]],FDR[FDR]&amp;FDR[[#Headers],[5]],FDR[5],"",0,1)</f>
        <v>4</v>
      </c>
      <c r="R381" cm="1">
        <f t="array" ref="R381">_xlfn.XLOOKUP(Matrix[[#This Row],[TEAM]]&amp;Matrix[[#Headers],[6]],FDR[FDR]&amp;FDR[[#Headers],[6]],FDR[6],"",0,1)</f>
        <v>4</v>
      </c>
      <c r="S381" cm="1">
        <f t="array" ref="S381">_xlfn.XLOOKUP(Matrix[[#This Row],[TEAM]]&amp;Matrix[[#Headers],[7]],FDR[FDR]&amp;FDR[[#Headers],[7]],FDR[7],"",0,1)</f>
        <v>4</v>
      </c>
      <c r="T381" cm="1">
        <f t="array" ref="T381">_xlfn.XLOOKUP(Matrix[[#This Row],[TEAM]]&amp;Matrix[[#Headers],[8]],FDR[FDR]&amp;FDR[[#Headers],[8]],FDR[8],"",0,1)</f>
        <v>4</v>
      </c>
      <c r="U381" cm="1">
        <f t="array" ref="U381">_xlfn.XLOOKUP(Matrix[[#This Row],[TEAM]]&amp;Matrix[[#Headers],[9]],FDR[FDR]&amp;FDR[[#Headers],[9]],FDR[9],"",0,1)</f>
        <v>4</v>
      </c>
      <c r="V381" cm="1">
        <f t="array" ref="V381">_xlfn.XLOOKUP(Matrix[[#This Row],[TEAM]]&amp;Matrix[[#Headers],[10]],FDR[FDR]&amp;FDR[[#Headers],[10]],FDR[10],"",0,1)</f>
        <v>4</v>
      </c>
      <c r="W381" cm="1">
        <f t="array" ref="W381">_xlfn.XLOOKUP(Matrix[[#This Row],[TEAM]]&amp;Matrix[[#Headers],[11]],FDR[FDR]&amp;FDR[[#Headers],[11]],FDR[11],"",0,1)</f>
        <v>4</v>
      </c>
      <c r="X381" cm="1">
        <f t="array" ref="X381">_xlfn.XLOOKUP(Matrix[[#This Row],[TEAM]]&amp;Matrix[[#Headers],[12]],FDR[FDR]&amp;FDR[[#Headers],[12]],FDR[12],"",0,1)</f>
        <v>4</v>
      </c>
      <c r="Y381" cm="1">
        <f t="array" ref="Y381">_xlfn.XLOOKUP(Matrix[[#This Row],[TEAM]]&amp;Matrix[[#Headers],[13]],FDR[FDR]&amp;FDR[[#Headers],[13]],FDR[13],"",0,1)</f>
        <v>1</v>
      </c>
      <c r="Z381" cm="1">
        <f t="array" ref="Z381">_xlfn.XLOOKUP(Matrix[[#This Row],[TEAM]]&amp;Matrix[[#Headers],[14]],FDR[FDR]&amp;FDR[[#Headers],[14]],FDR[14],"",0,1)</f>
        <v>5</v>
      </c>
      <c r="AA381" cm="1">
        <f t="array" ref="AA381">_xlfn.XLOOKUP(Matrix[[#This Row],[TEAM]]&amp;Matrix[[#Headers],[15]],FDR[FDR]&amp;FDR[[#Headers],[15]],FDR[15],"",0,1)</f>
        <v>5</v>
      </c>
      <c r="AB381" cm="1">
        <f t="array" ref="AB381">_xlfn.XLOOKUP(Matrix[[#This Row],[TEAM]]&amp;Matrix[[#Headers],[16]],FDR[FDR]&amp;FDR[[#Headers],[16]],FDR[16],"",0,1)</f>
        <v>1</v>
      </c>
      <c r="AC381" cm="1">
        <f t="array" ref="AC381">_xlfn.XLOOKUP(Matrix[[#This Row],[TEAM]]&amp;Matrix[[#Headers],[17]],FDR[FDR]&amp;FDR[[#Headers],[17]],FDR[17],"",0,1)</f>
        <v>2</v>
      </c>
      <c r="AD381" cm="1">
        <f t="array" ref="AD381">_xlfn.XLOOKUP(Matrix[[#This Row],[TEAM]]&amp;Matrix[[#Headers],[18]],FDR[FDR]&amp;FDR[[#Headers],[18]],FDR[18],"",0,1)</f>
        <v>3</v>
      </c>
      <c r="AE381" cm="1">
        <f t="array" ref="AE381">_xlfn.XLOOKUP(Matrix[[#This Row],[TEAM]]&amp;Matrix[[#Headers],[19]],FDR[FDR]&amp;FDR[[#Headers],[19]],FDR[19],"",0,1)</f>
        <v>4</v>
      </c>
      <c r="AF381" cm="1">
        <f t="array" ref="AF381">_xlfn.XLOOKUP(Matrix[[#This Row],[TEAM]]&amp;Matrix[[#Headers],[20]],FDR[FDR]&amp;FDR[[#Headers],[20]],FDR[20],"",0,1)</f>
        <v>4</v>
      </c>
      <c r="AG381" cm="1">
        <f t="array" ref="AG381">_xlfn.XLOOKUP(Matrix[[#This Row],[TEAM]]&amp;Matrix[[#Headers],[21]],FDR[FDR]&amp;FDR[[#Headers],[21]],FDR[21],"",0,1)</f>
        <v>1</v>
      </c>
      <c r="AH381" cm="1">
        <f t="array" ref="AH381">_xlfn.XLOOKUP(Matrix[[#This Row],[TEAM]]&amp;Matrix[[#Headers],[22]],FDR[FDR]&amp;FDR[[#Headers],[22]],FDR[22],"",0,1)</f>
        <v>5</v>
      </c>
      <c r="AI381" cm="1">
        <f t="array" ref="AI381">_xlfn.XLOOKUP(Matrix[[#This Row],[TEAM]]&amp;Matrix[[#Headers],[23]],FDR[FDR]&amp;FDR[[#Headers],[23]],FDR[23],"",0,1)</f>
        <v>3</v>
      </c>
      <c r="AJ381" cm="1">
        <f t="array" ref="AJ381">_xlfn.XLOOKUP(Matrix[[#This Row],[TEAM]]&amp;Matrix[[#Headers],[24]],FDR[FDR]&amp;FDR[[#Headers],[24]],FDR[24],"",0,1)</f>
        <v>5</v>
      </c>
      <c r="AK381" cm="1">
        <f t="array" ref="AK381">_xlfn.XLOOKUP(Matrix[[#This Row],[TEAM]]&amp;Matrix[[#Headers],[25]],FDR[FDR]&amp;FDR[[#Headers],[25]],FDR[25],"",0,1)</f>
        <v>5</v>
      </c>
      <c r="AL381" cm="1">
        <f t="array" ref="AL381">_xlfn.XLOOKUP(Matrix[[#This Row],[TEAM]]&amp;Matrix[[#Headers],[26]],FDR[FDR]&amp;FDR[[#Headers],[26]],FDR[26],"",0,1)</f>
        <v>4</v>
      </c>
      <c r="AM381" cm="1">
        <f t="array" ref="AM381">_xlfn.XLOOKUP(Matrix[[#This Row],[TEAM]]&amp;Matrix[[#Headers],[27]],FDR[FDR]&amp;FDR[[#Headers],[27]],FDR[27],"",0,1)</f>
        <v>3</v>
      </c>
      <c r="AN381" cm="1">
        <f t="array" ref="AN381">_xlfn.XLOOKUP(Matrix[[#This Row],[TEAM]]&amp;Matrix[[#Headers],[28]],FDR[FDR]&amp;FDR[[#Headers],[28]],FDR[28],"",0,1)</f>
        <v>2</v>
      </c>
      <c r="AO381" cm="1">
        <f t="array" ref="AO381">_xlfn.XLOOKUP(Matrix[[#This Row],[TEAM]]&amp;Matrix[[#Headers],[29]],FDR[FDR]&amp;FDR[[#Headers],[29]],FDR[29],"",0,1)</f>
        <v>4</v>
      </c>
      <c r="AP381" cm="1">
        <f t="array" ref="AP381">_xlfn.XLOOKUP(Matrix[[#This Row],[TEAM]]&amp;Matrix[[#Headers],[30]],FDR[FDR]&amp;FDR[[#Headers],[30]],FDR[30],"",0,1)</f>
        <v>2</v>
      </c>
      <c r="AQ381" cm="1">
        <f t="array" ref="AQ381">_xlfn.XLOOKUP(Matrix[[#This Row],[TEAM]]&amp;Matrix[[#Headers],[31]],FDR[FDR]&amp;FDR[[#Headers],[31]],FDR[31],"",0,1)</f>
        <v>2</v>
      </c>
      <c r="AR381" cm="1">
        <f t="array" ref="AR381">_xlfn.XLOOKUP(Matrix[[#This Row],[TEAM]]&amp;Matrix[[#Headers],[32]],FDR[FDR]&amp;FDR[[#Headers],[32]],FDR[32],"",0,1)</f>
        <v>3</v>
      </c>
      <c r="AS381" cm="1">
        <f t="array" ref="AS381">_xlfn.XLOOKUP(Matrix[[#This Row],[TEAM]]&amp;Matrix[[#Headers],[33]],FDR[FDR]&amp;FDR[[#Headers],[33]],FDR[33],"",0,1)</f>
        <v>3</v>
      </c>
      <c r="AT381" cm="1">
        <f t="array" ref="AT381">_xlfn.XLOOKUP(Matrix[[#This Row],[TEAM]]&amp;Matrix[[#Headers],[34]],FDR[FDR]&amp;FDR[[#Headers],[34]],FDR[34],"",0,1)</f>
        <v>5</v>
      </c>
      <c r="AU381" cm="1">
        <f t="array" ref="AU381">_xlfn.XLOOKUP(Matrix[[#This Row],[TEAM]]&amp;Matrix[[#Headers],[35]],FDR[FDR]&amp;FDR[[#Headers],[35]],FDR[35],"",0,1)</f>
        <v>3</v>
      </c>
      <c r="AV381" cm="1">
        <f t="array" ref="AV381">_xlfn.XLOOKUP(Matrix[[#This Row],[TEAM]]&amp;Matrix[[#Headers],[36]],FDR[FDR]&amp;FDR[[#Headers],[36]],FDR[36],"",0,1)</f>
        <v>5</v>
      </c>
      <c r="AW381" cm="1">
        <f t="array" ref="AW381">_xlfn.XLOOKUP(Matrix[[#This Row],[TEAM]]&amp;Matrix[[#Headers],[37]],FDR[FDR]&amp;FDR[[#Headers],[37]],FDR[37],"",0,1)</f>
        <v>3</v>
      </c>
      <c r="AX381" cm="1">
        <f t="array" ref="AX381">_xlfn.XLOOKUP(Matrix[[#This Row],[TEAM]]&amp;Matrix[[#Headers],[38]],FDR[FDR]&amp;FDR[[#Headers],[38]],FDR[38],"",0,1)</f>
        <v>5</v>
      </c>
    </row>
    <row r="382" spans="1:50" ht="22" thickTop="1" thickBot="1">
      <c r="A382" s="53" t="str">
        <f>INDEX!S$4</f>
        <v>MID</v>
      </c>
      <c r="B382" s="70" t="s">
        <v>1774</v>
      </c>
      <c r="C382" s="40" t="s">
        <v>21</v>
      </c>
      <c r="D382" s="62">
        <v>0</v>
      </c>
      <c r="E382" s="60">
        <v>0</v>
      </c>
      <c r="F382" s="61">
        <v>0</v>
      </c>
      <c r="G382" s="63">
        <v>4.5</v>
      </c>
      <c r="H382" s="261">
        <f>IF(ISBLANK(I382),0,1)</f>
        <v>0</v>
      </c>
      <c r="I382" s="57"/>
      <c r="J382" s="58"/>
      <c r="K382" s="59" t="s">
        <v>668</v>
      </c>
      <c r="L382" s="59" t="s">
        <v>1019</v>
      </c>
      <c r="M382" cm="1">
        <f t="array" ref="M382">_xlfn.XLOOKUP(Matrix[[#This Row],[TEAM]]&amp;Matrix[[#Headers],[1]],FDR[FDR]&amp;FDR[[#Headers],[1]],FDR[1],"",0,1)</f>
        <v>4</v>
      </c>
      <c r="N382" cm="1">
        <f t="array" ref="N382">_xlfn.XLOOKUP(Matrix[[#This Row],[TEAM]]&amp;Matrix[[#Headers],[2]],FDR[FDR]&amp;FDR[[#Headers],[2]],FDR[2],"",0,1)</f>
        <v>4</v>
      </c>
      <c r="O382" cm="1">
        <f t="array" ref="O382">_xlfn.XLOOKUP(Matrix[[#This Row],[TEAM]]&amp;Matrix[[#Headers],[3]],FDR[FDR]&amp;FDR[[#Headers],[3]],FDR[3],"",0,1)</f>
        <v>2</v>
      </c>
      <c r="P382" cm="1">
        <f t="array" ref="P382">_xlfn.XLOOKUP(Matrix[[#This Row],[TEAM]]&amp;Matrix[[#Headers],[4]],FDR[FDR]&amp;FDR[[#Headers],[4]],FDR[4],"",0,1)</f>
        <v>4</v>
      </c>
      <c r="Q382" cm="1">
        <f t="array" ref="Q382">_xlfn.XLOOKUP(Matrix[[#This Row],[TEAM]]&amp;Matrix[[#Headers],[5]],FDR[FDR]&amp;FDR[[#Headers],[5]],FDR[5],"",0,1)</f>
        <v>4</v>
      </c>
      <c r="R382" cm="1">
        <f t="array" ref="R382">_xlfn.XLOOKUP(Matrix[[#This Row],[TEAM]]&amp;Matrix[[#Headers],[6]],FDR[FDR]&amp;FDR[[#Headers],[6]],FDR[6],"",0,1)</f>
        <v>4</v>
      </c>
      <c r="S382" cm="1">
        <f t="array" ref="S382">_xlfn.XLOOKUP(Matrix[[#This Row],[TEAM]]&amp;Matrix[[#Headers],[7]],FDR[FDR]&amp;FDR[[#Headers],[7]],FDR[7],"",0,1)</f>
        <v>4</v>
      </c>
      <c r="T382" cm="1">
        <f t="array" ref="T382">_xlfn.XLOOKUP(Matrix[[#This Row],[TEAM]]&amp;Matrix[[#Headers],[8]],FDR[FDR]&amp;FDR[[#Headers],[8]],FDR[8],"",0,1)</f>
        <v>4</v>
      </c>
      <c r="U382" cm="1">
        <f t="array" ref="U382">_xlfn.XLOOKUP(Matrix[[#This Row],[TEAM]]&amp;Matrix[[#Headers],[9]],FDR[FDR]&amp;FDR[[#Headers],[9]],FDR[9],"",0,1)</f>
        <v>4</v>
      </c>
      <c r="V382" cm="1">
        <f t="array" ref="V382">_xlfn.XLOOKUP(Matrix[[#This Row],[TEAM]]&amp;Matrix[[#Headers],[10]],FDR[FDR]&amp;FDR[[#Headers],[10]],FDR[10],"",0,1)</f>
        <v>4</v>
      </c>
      <c r="W382" cm="1">
        <f t="array" ref="W382">_xlfn.XLOOKUP(Matrix[[#This Row],[TEAM]]&amp;Matrix[[#Headers],[11]],FDR[FDR]&amp;FDR[[#Headers],[11]],FDR[11],"",0,1)</f>
        <v>4</v>
      </c>
      <c r="X382" cm="1">
        <f t="array" ref="X382">_xlfn.XLOOKUP(Matrix[[#This Row],[TEAM]]&amp;Matrix[[#Headers],[12]],FDR[FDR]&amp;FDR[[#Headers],[12]],FDR[12],"",0,1)</f>
        <v>4</v>
      </c>
      <c r="Y382" cm="1">
        <f t="array" ref="Y382">_xlfn.XLOOKUP(Matrix[[#This Row],[TEAM]]&amp;Matrix[[#Headers],[13]],FDR[FDR]&amp;FDR[[#Headers],[13]],FDR[13],"",0,1)</f>
        <v>1</v>
      </c>
      <c r="Z382" cm="1">
        <f t="array" ref="Z382">_xlfn.XLOOKUP(Matrix[[#This Row],[TEAM]]&amp;Matrix[[#Headers],[14]],FDR[FDR]&amp;FDR[[#Headers],[14]],FDR[14],"",0,1)</f>
        <v>5</v>
      </c>
      <c r="AA382" cm="1">
        <f t="array" ref="AA382">_xlfn.XLOOKUP(Matrix[[#This Row],[TEAM]]&amp;Matrix[[#Headers],[15]],FDR[FDR]&amp;FDR[[#Headers],[15]],FDR[15],"",0,1)</f>
        <v>5</v>
      </c>
      <c r="AB382" cm="1">
        <f t="array" ref="AB382">_xlfn.XLOOKUP(Matrix[[#This Row],[TEAM]]&amp;Matrix[[#Headers],[16]],FDR[FDR]&amp;FDR[[#Headers],[16]],FDR[16],"",0,1)</f>
        <v>1</v>
      </c>
      <c r="AC382" cm="1">
        <f t="array" ref="AC382">_xlfn.XLOOKUP(Matrix[[#This Row],[TEAM]]&amp;Matrix[[#Headers],[17]],FDR[FDR]&amp;FDR[[#Headers],[17]],FDR[17],"",0,1)</f>
        <v>2</v>
      </c>
      <c r="AD382" cm="1">
        <f t="array" ref="AD382">_xlfn.XLOOKUP(Matrix[[#This Row],[TEAM]]&amp;Matrix[[#Headers],[18]],FDR[FDR]&amp;FDR[[#Headers],[18]],FDR[18],"",0,1)</f>
        <v>3</v>
      </c>
      <c r="AE382" cm="1">
        <f t="array" ref="AE382">_xlfn.XLOOKUP(Matrix[[#This Row],[TEAM]]&amp;Matrix[[#Headers],[19]],FDR[FDR]&amp;FDR[[#Headers],[19]],FDR[19],"",0,1)</f>
        <v>4</v>
      </c>
      <c r="AF382" cm="1">
        <f t="array" ref="AF382">_xlfn.XLOOKUP(Matrix[[#This Row],[TEAM]]&amp;Matrix[[#Headers],[20]],FDR[FDR]&amp;FDR[[#Headers],[20]],FDR[20],"",0,1)</f>
        <v>4</v>
      </c>
      <c r="AG382" cm="1">
        <f t="array" ref="AG382">_xlfn.XLOOKUP(Matrix[[#This Row],[TEAM]]&amp;Matrix[[#Headers],[21]],FDR[FDR]&amp;FDR[[#Headers],[21]],FDR[21],"",0,1)</f>
        <v>1</v>
      </c>
      <c r="AH382" cm="1">
        <f t="array" ref="AH382">_xlfn.XLOOKUP(Matrix[[#This Row],[TEAM]]&amp;Matrix[[#Headers],[22]],FDR[FDR]&amp;FDR[[#Headers],[22]],FDR[22],"",0,1)</f>
        <v>5</v>
      </c>
      <c r="AI382" cm="1">
        <f t="array" ref="AI382">_xlfn.XLOOKUP(Matrix[[#This Row],[TEAM]]&amp;Matrix[[#Headers],[23]],FDR[FDR]&amp;FDR[[#Headers],[23]],FDR[23],"",0,1)</f>
        <v>3</v>
      </c>
      <c r="AJ382" cm="1">
        <f t="array" ref="AJ382">_xlfn.XLOOKUP(Matrix[[#This Row],[TEAM]]&amp;Matrix[[#Headers],[24]],FDR[FDR]&amp;FDR[[#Headers],[24]],FDR[24],"",0,1)</f>
        <v>5</v>
      </c>
      <c r="AK382" cm="1">
        <f t="array" ref="AK382">_xlfn.XLOOKUP(Matrix[[#This Row],[TEAM]]&amp;Matrix[[#Headers],[25]],FDR[FDR]&amp;FDR[[#Headers],[25]],FDR[25],"",0,1)</f>
        <v>5</v>
      </c>
      <c r="AL382" cm="1">
        <f t="array" ref="AL382">_xlfn.XLOOKUP(Matrix[[#This Row],[TEAM]]&amp;Matrix[[#Headers],[26]],FDR[FDR]&amp;FDR[[#Headers],[26]],FDR[26],"",0,1)</f>
        <v>4</v>
      </c>
      <c r="AM382" cm="1">
        <f t="array" ref="AM382">_xlfn.XLOOKUP(Matrix[[#This Row],[TEAM]]&amp;Matrix[[#Headers],[27]],FDR[FDR]&amp;FDR[[#Headers],[27]],FDR[27],"",0,1)</f>
        <v>3</v>
      </c>
      <c r="AN382" cm="1">
        <f t="array" ref="AN382">_xlfn.XLOOKUP(Matrix[[#This Row],[TEAM]]&amp;Matrix[[#Headers],[28]],FDR[FDR]&amp;FDR[[#Headers],[28]],FDR[28],"",0,1)</f>
        <v>2</v>
      </c>
      <c r="AO382" cm="1">
        <f t="array" ref="AO382">_xlfn.XLOOKUP(Matrix[[#This Row],[TEAM]]&amp;Matrix[[#Headers],[29]],FDR[FDR]&amp;FDR[[#Headers],[29]],FDR[29],"",0,1)</f>
        <v>4</v>
      </c>
      <c r="AP382" cm="1">
        <f t="array" ref="AP382">_xlfn.XLOOKUP(Matrix[[#This Row],[TEAM]]&amp;Matrix[[#Headers],[30]],FDR[FDR]&amp;FDR[[#Headers],[30]],FDR[30],"",0,1)</f>
        <v>2</v>
      </c>
      <c r="AQ382" cm="1">
        <f t="array" ref="AQ382">_xlfn.XLOOKUP(Matrix[[#This Row],[TEAM]]&amp;Matrix[[#Headers],[31]],FDR[FDR]&amp;FDR[[#Headers],[31]],FDR[31],"",0,1)</f>
        <v>2</v>
      </c>
      <c r="AR382" cm="1">
        <f t="array" ref="AR382">_xlfn.XLOOKUP(Matrix[[#This Row],[TEAM]]&amp;Matrix[[#Headers],[32]],FDR[FDR]&amp;FDR[[#Headers],[32]],FDR[32],"",0,1)</f>
        <v>3</v>
      </c>
      <c r="AS382" cm="1">
        <f t="array" ref="AS382">_xlfn.XLOOKUP(Matrix[[#This Row],[TEAM]]&amp;Matrix[[#Headers],[33]],FDR[FDR]&amp;FDR[[#Headers],[33]],FDR[33],"",0,1)</f>
        <v>3</v>
      </c>
      <c r="AT382" cm="1">
        <f t="array" ref="AT382">_xlfn.XLOOKUP(Matrix[[#This Row],[TEAM]]&amp;Matrix[[#Headers],[34]],FDR[FDR]&amp;FDR[[#Headers],[34]],FDR[34],"",0,1)</f>
        <v>5</v>
      </c>
      <c r="AU382" cm="1">
        <f t="array" ref="AU382">_xlfn.XLOOKUP(Matrix[[#This Row],[TEAM]]&amp;Matrix[[#Headers],[35]],FDR[FDR]&amp;FDR[[#Headers],[35]],FDR[35],"",0,1)</f>
        <v>3</v>
      </c>
      <c r="AV382" cm="1">
        <f t="array" ref="AV382">_xlfn.XLOOKUP(Matrix[[#This Row],[TEAM]]&amp;Matrix[[#Headers],[36]],FDR[FDR]&amp;FDR[[#Headers],[36]],FDR[36],"",0,1)</f>
        <v>5</v>
      </c>
      <c r="AW382" cm="1">
        <f t="array" ref="AW382">_xlfn.XLOOKUP(Matrix[[#This Row],[TEAM]]&amp;Matrix[[#Headers],[37]],FDR[FDR]&amp;FDR[[#Headers],[37]],FDR[37],"",0,1)</f>
        <v>3</v>
      </c>
      <c r="AX382" cm="1">
        <f t="array" ref="AX382">_xlfn.XLOOKUP(Matrix[[#This Row],[TEAM]]&amp;Matrix[[#Headers],[38]],FDR[FDR]&amp;FDR[[#Headers],[38]],FDR[38],"",0,1)</f>
        <v>5</v>
      </c>
    </row>
    <row r="383" spans="1:50" ht="22" thickTop="1" thickBot="1">
      <c r="A383" s="50" t="str">
        <f>INDEX!S$4</f>
        <v>MID</v>
      </c>
      <c r="B383" s="70" t="s">
        <v>1730</v>
      </c>
      <c r="C383" s="40" t="s">
        <v>33</v>
      </c>
      <c r="D383" s="62">
        <v>0</v>
      </c>
      <c r="E383" s="60">
        <v>1E-3</v>
      </c>
      <c r="F383" s="61">
        <v>0</v>
      </c>
      <c r="G383" s="63">
        <v>4.5</v>
      </c>
      <c r="H383" s="261">
        <f>IF(ISBLANK(I383),0,1)</f>
        <v>0</v>
      </c>
      <c r="I383" s="57"/>
      <c r="J383" s="58"/>
      <c r="K383" s="59" t="s">
        <v>399</v>
      </c>
      <c r="L383" s="59" t="s">
        <v>945</v>
      </c>
      <c r="M383" cm="1">
        <f t="array" ref="M383">_xlfn.XLOOKUP(Matrix[[#This Row],[TEAM]]&amp;Matrix[[#Headers],[1]],FDR[FDR]&amp;FDR[[#Headers],[1]],FDR[1],"",0,1)</f>
        <v>3</v>
      </c>
      <c r="N383" cm="1">
        <f t="array" ref="N383">_xlfn.XLOOKUP(Matrix[[#This Row],[TEAM]]&amp;Matrix[[#Headers],[2]],FDR[FDR]&amp;FDR[[#Headers],[2]],FDR[2],"",0,1)</f>
        <v>3</v>
      </c>
      <c r="O383" cm="1">
        <f t="array" ref="O383">_xlfn.XLOOKUP(Matrix[[#This Row],[TEAM]]&amp;Matrix[[#Headers],[3]],FDR[FDR]&amp;FDR[[#Headers],[3]],FDR[3],"",0,1)</f>
        <v>4</v>
      </c>
      <c r="P383" cm="1">
        <f t="array" ref="P383">_xlfn.XLOOKUP(Matrix[[#This Row],[TEAM]]&amp;Matrix[[#Headers],[4]],FDR[FDR]&amp;FDR[[#Headers],[4]],FDR[4],"",0,1)</f>
        <v>4</v>
      </c>
      <c r="Q383" cm="1">
        <f t="array" ref="Q383">_xlfn.XLOOKUP(Matrix[[#This Row],[TEAM]]&amp;Matrix[[#Headers],[5]],FDR[FDR]&amp;FDR[[#Headers],[5]],FDR[5],"",0,1)</f>
        <v>4</v>
      </c>
      <c r="R383" cm="1">
        <f t="array" ref="R383">_xlfn.XLOOKUP(Matrix[[#This Row],[TEAM]]&amp;Matrix[[#Headers],[6]],FDR[FDR]&amp;FDR[[#Headers],[6]],FDR[6],"",0,1)</f>
        <v>5</v>
      </c>
      <c r="S383" cm="1">
        <f t="array" ref="S383">_xlfn.XLOOKUP(Matrix[[#This Row],[TEAM]]&amp;Matrix[[#Headers],[7]],FDR[FDR]&amp;FDR[[#Headers],[7]],FDR[7],"",0,1)</f>
        <v>2</v>
      </c>
      <c r="T383" cm="1">
        <f t="array" ref="T383">_xlfn.XLOOKUP(Matrix[[#This Row],[TEAM]]&amp;Matrix[[#Headers],[8]],FDR[FDR]&amp;FDR[[#Headers],[8]],FDR[8],"",0,1)</f>
        <v>4</v>
      </c>
      <c r="U383" cm="1">
        <f t="array" ref="U383">_xlfn.XLOOKUP(Matrix[[#This Row],[TEAM]]&amp;Matrix[[#Headers],[9]],FDR[FDR]&amp;FDR[[#Headers],[9]],FDR[9],"",0,1)</f>
        <v>5</v>
      </c>
      <c r="V383" cm="1">
        <f t="array" ref="V383">_xlfn.XLOOKUP(Matrix[[#This Row],[TEAM]]&amp;Matrix[[#Headers],[10]],FDR[FDR]&amp;FDR[[#Headers],[10]],FDR[10],"",0,1)</f>
        <v>1</v>
      </c>
      <c r="W383" cm="1">
        <f t="array" ref="W383">_xlfn.XLOOKUP(Matrix[[#This Row],[TEAM]]&amp;Matrix[[#Headers],[11]],FDR[FDR]&amp;FDR[[#Headers],[11]],FDR[11],"",0,1)</f>
        <v>3</v>
      </c>
      <c r="X383" cm="1">
        <f t="array" ref="X383">_xlfn.XLOOKUP(Matrix[[#This Row],[TEAM]]&amp;Matrix[[#Headers],[12]],FDR[FDR]&amp;FDR[[#Headers],[12]],FDR[12],"",0,1)</f>
        <v>2</v>
      </c>
      <c r="Y383" cm="1">
        <f t="array" ref="Y383">_xlfn.XLOOKUP(Matrix[[#This Row],[TEAM]]&amp;Matrix[[#Headers],[13]],FDR[FDR]&amp;FDR[[#Headers],[13]],FDR[13],"",0,1)</f>
        <v>4</v>
      </c>
      <c r="Z383" cm="1">
        <f t="array" ref="Z383">_xlfn.XLOOKUP(Matrix[[#This Row],[TEAM]]&amp;Matrix[[#Headers],[14]],FDR[FDR]&amp;FDR[[#Headers],[14]],FDR[14],"",0,1)</f>
        <v>3</v>
      </c>
      <c r="AA383" cm="1">
        <f t="array" ref="AA383">_xlfn.XLOOKUP(Matrix[[#This Row],[TEAM]]&amp;Matrix[[#Headers],[15]],FDR[FDR]&amp;FDR[[#Headers],[15]],FDR[15],"",0,1)</f>
        <v>2</v>
      </c>
      <c r="AB383" cm="1">
        <f t="array" ref="AB383">_xlfn.XLOOKUP(Matrix[[#This Row],[TEAM]]&amp;Matrix[[#Headers],[16]],FDR[FDR]&amp;FDR[[#Headers],[16]],FDR[16],"",0,1)</f>
        <v>5</v>
      </c>
      <c r="AC383" cm="1">
        <f t="array" ref="AC383">_xlfn.XLOOKUP(Matrix[[#This Row],[TEAM]]&amp;Matrix[[#Headers],[17]],FDR[FDR]&amp;FDR[[#Headers],[17]],FDR[17],"",0,1)</f>
        <v>1</v>
      </c>
      <c r="AD383" cm="1">
        <f t="array" ref="AD383">_xlfn.XLOOKUP(Matrix[[#This Row],[TEAM]]&amp;Matrix[[#Headers],[18]],FDR[FDR]&amp;FDR[[#Headers],[18]],FDR[18],"",0,1)</f>
        <v>5</v>
      </c>
      <c r="AE383" cm="1">
        <f t="array" ref="AE383">_xlfn.XLOOKUP(Matrix[[#This Row],[TEAM]]&amp;Matrix[[#Headers],[19]],FDR[FDR]&amp;FDR[[#Headers],[19]],FDR[19],"",0,1)</f>
        <v>3</v>
      </c>
      <c r="AF383" cm="1">
        <f t="array" ref="AF383">_xlfn.XLOOKUP(Matrix[[#This Row],[TEAM]]&amp;Matrix[[#Headers],[20]],FDR[FDR]&amp;FDR[[#Headers],[20]],FDR[20],"",0,1)</f>
        <v>1</v>
      </c>
      <c r="AG383" cm="1">
        <f t="array" ref="AG383">_xlfn.XLOOKUP(Matrix[[#This Row],[TEAM]]&amp;Matrix[[#Headers],[21]],FDR[FDR]&amp;FDR[[#Headers],[21]],FDR[21],"",0,1)</f>
        <v>5</v>
      </c>
      <c r="AH383" cm="1">
        <f t="array" ref="AH383">_xlfn.XLOOKUP(Matrix[[#This Row],[TEAM]]&amp;Matrix[[#Headers],[22]],FDR[FDR]&amp;FDR[[#Headers],[22]],FDR[22],"",0,1)</f>
        <v>3</v>
      </c>
      <c r="AI383" cm="1">
        <f t="array" ref="AI383">_xlfn.XLOOKUP(Matrix[[#This Row],[TEAM]]&amp;Matrix[[#Headers],[23]],FDR[FDR]&amp;FDR[[#Headers],[23]],FDR[23],"",0,1)</f>
        <v>4</v>
      </c>
      <c r="AJ383" cm="1">
        <f t="array" ref="AJ383">_xlfn.XLOOKUP(Matrix[[#This Row],[TEAM]]&amp;Matrix[[#Headers],[24]],FDR[FDR]&amp;FDR[[#Headers],[24]],FDR[24],"",0,1)</f>
        <v>2</v>
      </c>
      <c r="AK383" cm="1">
        <f t="array" ref="AK383">_xlfn.XLOOKUP(Matrix[[#This Row],[TEAM]]&amp;Matrix[[#Headers],[25]],FDR[FDR]&amp;FDR[[#Headers],[25]],FDR[25],"",0,1)</f>
        <v>2</v>
      </c>
      <c r="AL383" cm="1">
        <f t="array" ref="AL383">_xlfn.XLOOKUP(Matrix[[#This Row],[TEAM]]&amp;Matrix[[#Headers],[26]],FDR[FDR]&amp;FDR[[#Headers],[26]],FDR[26],"",0,1)</f>
        <v>5</v>
      </c>
      <c r="AM383" cm="1">
        <f t="array" ref="AM383">_xlfn.XLOOKUP(Matrix[[#This Row],[TEAM]]&amp;Matrix[[#Headers],[27]],FDR[FDR]&amp;FDR[[#Headers],[27]],FDR[27],"",0,1)</f>
        <v>3</v>
      </c>
      <c r="AN383" cm="1">
        <f t="array" ref="AN383">_xlfn.XLOOKUP(Matrix[[#This Row],[TEAM]]&amp;Matrix[[#Headers],[28]],FDR[FDR]&amp;FDR[[#Headers],[28]],FDR[28],"",0,1)</f>
        <v>3</v>
      </c>
      <c r="AO383" cm="1">
        <f t="array" ref="AO383">_xlfn.XLOOKUP(Matrix[[#This Row],[TEAM]]&amp;Matrix[[#Headers],[29]],FDR[FDR]&amp;FDR[[#Headers],[29]],FDR[29],"",0,1)</f>
        <v>4</v>
      </c>
      <c r="AP383" cm="1">
        <f t="array" ref="AP383">_xlfn.XLOOKUP(Matrix[[#This Row],[TEAM]]&amp;Matrix[[#Headers],[30]],FDR[FDR]&amp;FDR[[#Headers],[30]],FDR[30],"",0,1)</f>
        <v>2</v>
      </c>
      <c r="AQ383" cm="1">
        <f t="array" ref="AQ383">_xlfn.XLOOKUP(Matrix[[#This Row],[TEAM]]&amp;Matrix[[#Headers],[31]],FDR[FDR]&amp;FDR[[#Headers],[31]],FDR[31],"",0,1)</f>
        <v>4</v>
      </c>
      <c r="AR383" cm="1">
        <f t="array" ref="AR383">_xlfn.XLOOKUP(Matrix[[#This Row],[TEAM]]&amp;Matrix[[#Headers],[32]],FDR[FDR]&amp;FDR[[#Headers],[32]],FDR[32],"",0,1)</f>
        <v>2</v>
      </c>
      <c r="AS383" cm="1">
        <f t="array" ref="AS383">_xlfn.XLOOKUP(Matrix[[#This Row],[TEAM]]&amp;Matrix[[#Headers],[33]],FDR[FDR]&amp;FDR[[#Headers],[33]],FDR[33],"",0,1)</f>
        <v>5</v>
      </c>
      <c r="AT383" cm="1">
        <f t="array" ref="AT383">_xlfn.XLOOKUP(Matrix[[#This Row],[TEAM]]&amp;Matrix[[#Headers],[34]],FDR[FDR]&amp;FDR[[#Headers],[34]],FDR[34],"",0,1)</f>
        <v>4</v>
      </c>
      <c r="AU383" cm="1">
        <f t="array" ref="AU383">_xlfn.XLOOKUP(Matrix[[#This Row],[TEAM]]&amp;Matrix[[#Headers],[35]],FDR[FDR]&amp;FDR[[#Headers],[35]],FDR[35],"",0,1)</f>
        <v>5</v>
      </c>
      <c r="AV383" cm="1">
        <f t="array" ref="AV383">_xlfn.XLOOKUP(Matrix[[#This Row],[TEAM]]&amp;Matrix[[#Headers],[36]],FDR[FDR]&amp;FDR[[#Headers],[36]],FDR[36],"",0,1)</f>
        <v>1</v>
      </c>
      <c r="AW383" cm="1">
        <f t="array" ref="AW383">_xlfn.XLOOKUP(Matrix[[#This Row],[TEAM]]&amp;Matrix[[#Headers],[37]],FDR[FDR]&amp;FDR[[#Headers],[37]],FDR[37],"",0,1)</f>
        <v>2</v>
      </c>
      <c r="AX383" cm="1">
        <f t="array" ref="AX383">_xlfn.XLOOKUP(Matrix[[#This Row],[TEAM]]&amp;Matrix[[#Headers],[38]],FDR[FDR]&amp;FDR[[#Headers],[38]],FDR[38],"",0,1)</f>
        <v>4</v>
      </c>
    </row>
    <row r="384" spans="1:50" ht="22" thickTop="1" thickBot="1">
      <c r="A384" s="53" t="str">
        <f>INDEX!S$4</f>
        <v>MID</v>
      </c>
      <c r="B384" s="70" t="s">
        <v>1776</v>
      </c>
      <c r="C384" s="40" t="s">
        <v>33</v>
      </c>
      <c r="D384" s="62">
        <v>0</v>
      </c>
      <c r="E384" s="60">
        <v>0</v>
      </c>
      <c r="F384" s="61">
        <v>0</v>
      </c>
      <c r="G384" s="63">
        <v>4.5</v>
      </c>
      <c r="H384" s="261">
        <f>IF(ISBLANK(I384),0,1)</f>
        <v>0</v>
      </c>
      <c r="I384" s="57"/>
      <c r="J384" s="58"/>
      <c r="K384" s="59" t="s">
        <v>336</v>
      </c>
      <c r="L384" s="59" t="s">
        <v>946</v>
      </c>
      <c r="M384" cm="1">
        <f t="array" ref="M384">_xlfn.XLOOKUP(Matrix[[#This Row],[TEAM]]&amp;Matrix[[#Headers],[1]],FDR[FDR]&amp;FDR[[#Headers],[1]],FDR[1],"",0,1)</f>
        <v>3</v>
      </c>
      <c r="N384" cm="1">
        <f t="array" ref="N384">_xlfn.XLOOKUP(Matrix[[#This Row],[TEAM]]&amp;Matrix[[#Headers],[2]],FDR[FDR]&amp;FDR[[#Headers],[2]],FDR[2],"",0,1)</f>
        <v>3</v>
      </c>
      <c r="O384" cm="1">
        <f t="array" ref="O384">_xlfn.XLOOKUP(Matrix[[#This Row],[TEAM]]&amp;Matrix[[#Headers],[3]],FDR[FDR]&amp;FDR[[#Headers],[3]],FDR[3],"",0,1)</f>
        <v>4</v>
      </c>
      <c r="P384" cm="1">
        <f t="array" ref="P384">_xlfn.XLOOKUP(Matrix[[#This Row],[TEAM]]&amp;Matrix[[#Headers],[4]],FDR[FDR]&amp;FDR[[#Headers],[4]],FDR[4],"",0,1)</f>
        <v>4</v>
      </c>
      <c r="Q384" cm="1">
        <f t="array" ref="Q384">_xlfn.XLOOKUP(Matrix[[#This Row],[TEAM]]&amp;Matrix[[#Headers],[5]],FDR[FDR]&amp;FDR[[#Headers],[5]],FDR[5],"",0,1)</f>
        <v>4</v>
      </c>
      <c r="R384" cm="1">
        <f t="array" ref="R384">_xlfn.XLOOKUP(Matrix[[#This Row],[TEAM]]&amp;Matrix[[#Headers],[6]],FDR[FDR]&amp;FDR[[#Headers],[6]],FDR[6],"",0,1)</f>
        <v>5</v>
      </c>
      <c r="S384" cm="1">
        <f t="array" ref="S384">_xlfn.XLOOKUP(Matrix[[#This Row],[TEAM]]&amp;Matrix[[#Headers],[7]],FDR[FDR]&amp;FDR[[#Headers],[7]],FDR[7],"",0,1)</f>
        <v>2</v>
      </c>
      <c r="T384" cm="1">
        <f t="array" ref="T384">_xlfn.XLOOKUP(Matrix[[#This Row],[TEAM]]&amp;Matrix[[#Headers],[8]],FDR[FDR]&amp;FDR[[#Headers],[8]],FDR[8],"",0,1)</f>
        <v>4</v>
      </c>
      <c r="U384" cm="1">
        <f t="array" ref="U384">_xlfn.XLOOKUP(Matrix[[#This Row],[TEAM]]&amp;Matrix[[#Headers],[9]],FDR[FDR]&amp;FDR[[#Headers],[9]],FDR[9],"",0,1)</f>
        <v>5</v>
      </c>
      <c r="V384" cm="1">
        <f t="array" ref="V384">_xlfn.XLOOKUP(Matrix[[#This Row],[TEAM]]&amp;Matrix[[#Headers],[10]],FDR[FDR]&amp;FDR[[#Headers],[10]],FDR[10],"",0,1)</f>
        <v>1</v>
      </c>
      <c r="W384" cm="1">
        <f t="array" ref="W384">_xlfn.XLOOKUP(Matrix[[#This Row],[TEAM]]&amp;Matrix[[#Headers],[11]],FDR[FDR]&amp;FDR[[#Headers],[11]],FDR[11],"",0,1)</f>
        <v>3</v>
      </c>
      <c r="X384" cm="1">
        <f t="array" ref="X384">_xlfn.XLOOKUP(Matrix[[#This Row],[TEAM]]&amp;Matrix[[#Headers],[12]],FDR[FDR]&amp;FDR[[#Headers],[12]],FDR[12],"",0,1)</f>
        <v>2</v>
      </c>
      <c r="Y384" cm="1">
        <f t="array" ref="Y384">_xlfn.XLOOKUP(Matrix[[#This Row],[TEAM]]&amp;Matrix[[#Headers],[13]],FDR[FDR]&amp;FDR[[#Headers],[13]],FDR[13],"",0,1)</f>
        <v>4</v>
      </c>
      <c r="Z384" cm="1">
        <f t="array" ref="Z384">_xlfn.XLOOKUP(Matrix[[#This Row],[TEAM]]&amp;Matrix[[#Headers],[14]],FDR[FDR]&amp;FDR[[#Headers],[14]],FDR[14],"",0,1)</f>
        <v>3</v>
      </c>
      <c r="AA384" cm="1">
        <f t="array" ref="AA384">_xlfn.XLOOKUP(Matrix[[#This Row],[TEAM]]&amp;Matrix[[#Headers],[15]],FDR[FDR]&amp;FDR[[#Headers],[15]],FDR[15],"",0,1)</f>
        <v>2</v>
      </c>
      <c r="AB384" cm="1">
        <f t="array" ref="AB384">_xlfn.XLOOKUP(Matrix[[#This Row],[TEAM]]&amp;Matrix[[#Headers],[16]],FDR[FDR]&amp;FDR[[#Headers],[16]],FDR[16],"",0,1)</f>
        <v>5</v>
      </c>
      <c r="AC384" cm="1">
        <f t="array" ref="AC384">_xlfn.XLOOKUP(Matrix[[#This Row],[TEAM]]&amp;Matrix[[#Headers],[17]],FDR[FDR]&amp;FDR[[#Headers],[17]],FDR[17],"",0,1)</f>
        <v>1</v>
      </c>
      <c r="AD384" cm="1">
        <f t="array" ref="AD384">_xlfn.XLOOKUP(Matrix[[#This Row],[TEAM]]&amp;Matrix[[#Headers],[18]],FDR[FDR]&amp;FDR[[#Headers],[18]],FDR[18],"",0,1)</f>
        <v>5</v>
      </c>
      <c r="AE384" cm="1">
        <f t="array" ref="AE384">_xlfn.XLOOKUP(Matrix[[#This Row],[TEAM]]&amp;Matrix[[#Headers],[19]],FDR[FDR]&amp;FDR[[#Headers],[19]],FDR[19],"",0,1)</f>
        <v>3</v>
      </c>
      <c r="AF384" cm="1">
        <f t="array" ref="AF384">_xlfn.XLOOKUP(Matrix[[#This Row],[TEAM]]&amp;Matrix[[#Headers],[20]],FDR[FDR]&amp;FDR[[#Headers],[20]],FDR[20],"",0,1)</f>
        <v>1</v>
      </c>
      <c r="AG384" cm="1">
        <f t="array" ref="AG384">_xlfn.XLOOKUP(Matrix[[#This Row],[TEAM]]&amp;Matrix[[#Headers],[21]],FDR[FDR]&amp;FDR[[#Headers],[21]],FDR[21],"",0,1)</f>
        <v>5</v>
      </c>
      <c r="AH384" cm="1">
        <f t="array" ref="AH384">_xlfn.XLOOKUP(Matrix[[#This Row],[TEAM]]&amp;Matrix[[#Headers],[22]],FDR[FDR]&amp;FDR[[#Headers],[22]],FDR[22],"",0,1)</f>
        <v>3</v>
      </c>
      <c r="AI384" cm="1">
        <f t="array" ref="AI384">_xlfn.XLOOKUP(Matrix[[#This Row],[TEAM]]&amp;Matrix[[#Headers],[23]],FDR[FDR]&amp;FDR[[#Headers],[23]],FDR[23],"",0,1)</f>
        <v>4</v>
      </c>
      <c r="AJ384" cm="1">
        <f t="array" ref="AJ384">_xlfn.XLOOKUP(Matrix[[#This Row],[TEAM]]&amp;Matrix[[#Headers],[24]],FDR[FDR]&amp;FDR[[#Headers],[24]],FDR[24],"",0,1)</f>
        <v>2</v>
      </c>
      <c r="AK384" cm="1">
        <f t="array" ref="AK384">_xlfn.XLOOKUP(Matrix[[#This Row],[TEAM]]&amp;Matrix[[#Headers],[25]],FDR[FDR]&amp;FDR[[#Headers],[25]],FDR[25],"",0,1)</f>
        <v>2</v>
      </c>
      <c r="AL384" cm="1">
        <f t="array" ref="AL384">_xlfn.XLOOKUP(Matrix[[#This Row],[TEAM]]&amp;Matrix[[#Headers],[26]],FDR[FDR]&amp;FDR[[#Headers],[26]],FDR[26],"",0,1)</f>
        <v>5</v>
      </c>
      <c r="AM384" cm="1">
        <f t="array" ref="AM384">_xlfn.XLOOKUP(Matrix[[#This Row],[TEAM]]&amp;Matrix[[#Headers],[27]],FDR[FDR]&amp;FDR[[#Headers],[27]],FDR[27],"",0,1)</f>
        <v>3</v>
      </c>
      <c r="AN384" cm="1">
        <f t="array" ref="AN384">_xlfn.XLOOKUP(Matrix[[#This Row],[TEAM]]&amp;Matrix[[#Headers],[28]],FDR[FDR]&amp;FDR[[#Headers],[28]],FDR[28],"",0,1)</f>
        <v>3</v>
      </c>
      <c r="AO384" cm="1">
        <f t="array" ref="AO384">_xlfn.XLOOKUP(Matrix[[#This Row],[TEAM]]&amp;Matrix[[#Headers],[29]],FDR[FDR]&amp;FDR[[#Headers],[29]],FDR[29],"",0,1)</f>
        <v>4</v>
      </c>
      <c r="AP384" cm="1">
        <f t="array" ref="AP384">_xlfn.XLOOKUP(Matrix[[#This Row],[TEAM]]&amp;Matrix[[#Headers],[30]],FDR[FDR]&amp;FDR[[#Headers],[30]],FDR[30],"",0,1)</f>
        <v>2</v>
      </c>
      <c r="AQ384" cm="1">
        <f t="array" ref="AQ384">_xlfn.XLOOKUP(Matrix[[#This Row],[TEAM]]&amp;Matrix[[#Headers],[31]],FDR[FDR]&amp;FDR[[#Headers],[31]],FDR[31],"",0,1)</f>
        <v>4</v>
      </c>
      <c r="AR384" cm="1">
        <f t="array" ref="AR384">_xlfn.XLOOKUP(Matrix[[#This Row],[TEAM]]&amp;Matrix[[#Headers],[32]],FDR[FDR]&amp;FDR[[#Headers],[32]],FDR[32],"",0,1)</f>
        <v>2</v>
      </c>
      <c r="AS384" cm="1">
        <f t="array" ref="AS384">_xlfn.XLOOKUP(Matrix[[#This Row],[TEAM]]&amp;Matrix[[#Headers],[33]],FDR[FDR]&amp;FDR[[#Headers],[33]],FDR[33],"",0,1)</f>
        <v>5</v>
      </c>
      <c r="AT384" cm="1">
        <f t="array" ref="AT384">_xlfn.XLOOKUP(Matrix[[#This Row],[TEAM]]&amp;Matrix[[#Headers],[34]],FDR[FDR]&amp;FDR[[#Headers],[34]],FDR[34],"",0,1)</f>
        <v>4</v>
      </c>
      <c r="AU384" cm="1">
        <f t="array" ref="AU384">_xlfn.XLOOKUP(Matrix[[#This Row],[TEAM]]&amp;Matrix[[#Headers],[35]],FDR[FDR]&amp;FDR[[#Headers],[35]],FDR[35],"",0,1)</f>
        <v>5</v>
      </c>
      <c r="AV384" cm="1">
        <f t="array" ref="AV384">_xlfn.XLOOKUP(Matrix[[#This Row],[TEAM]]&amp;Matrix[[#Headers],[36]],FDR[FDR]&amp;FDR[[#Headers],[36]],FDR[36],"",0,1)</f>
        <v>1</v>
      </c>
      <c r="AW384" cm="1">
        <f t="array" ref="AW384">_xlfn.XLOOKUP(Matrix[[#This Row],[TEAM]]&amp;Matrix[[#Headers],[37]],FDR[FDR]&amp;FDR[[#Headers],[37]],FDR[37],"",0,1)</f>
        <v>2</v>
      </c>
      <c r="AX384" cm="1">
        <f t="array" ref="AX384">_xlfn.XLOOKUP(Matrix[[#This Row],[TEAM]]&amp;Matrix[[#Headers],[38]],FDR[FDR]&amp;FDR[[#Headers],[38]],FDR[38],"",0,1)</f>
        <v>4</v>
      </c>
    </row>
    <row r="385" spans="1:50" ht="22" thickTop="1" thickBot="1">
      <c r="A385" s="53" t="str">
        <f>INDEX!S$4</f>
        <v>MID</v>
      </c>
      <c r="B385" s="70" t="s">
        <v>1617</v>
      </c>
      <c r="C385" s="40" t="s">
        <v>22</v>
      </c>
      <c r="D385" s="62">
        <v>0</v>
      </c>
      <c r="E385" s="60">
        <v>0.11700000000000001</v>
      </c>
      <c r="F385" s="61">
        <v>0</v>
      </c>
      <c r="G385" s="63">
        <v>4.5</v>
      </c>
      <c r="H385" s="261">
        <f>IF(ISBLANK(I385),0,1)</f>
        <v>0</v>
      </c>
      <c r="I385" s="57"/>
      <c r="J385" s="58"/>
      <c r="K385" s="59" t="s">
        <v>374</v>
      </c>
      <c r="L385" s="59" t="s">
        <v>1031</v>
      </c>
      <c r="M385" cm="1">
        <f t="array" ref="M385">_xlfn.XLOOKUP(Matrix[[#This Row],[TEAM]]&amp;Matrix[[#Headers],[1]],FDR[FDR]&amp;FDR[[#Headers],[1]],FDR[1],"",0,1)</f>
        <v>5</v>
      </c>
      <c r="N385" cm="1">
        <f t="array" ref="N385">_xlfn.XLOOKUP(Matrix[[#This Row],[TEAM]]&amp;Matrix[[#Headers],[2]],FDR[FDR]&amp;FDR[[#Headers],[2]],FDR[2],"",0,1)</f>
        <v>3</v>
      </c>
      <c r="O385" cm="1">
        <f t="array" ref="O385">_xlfn.XLOOKUP(Matrix[[#This Row],[TEAM]]&amp;Matrix[[#Headers],[3]],FDR[FDR]&amp;FDR[[#Headers],[3]],FDR[3],"",0,1)</f>
        <v>5</v>
      </c>
      <c r="P385" cm="1">
        <f t="array" ref="P385">_xlfn.XLOOKUP(Matrix[[#This Row],[TEAM]]&amp;Matrix[[#Headers],[4]],FDR[FDR]&amp;FDR[[#Headers],[4]],FDR[4],"",0,1)</f>
        <v>5</v>
      </c>
      <c r="Q385" cm="1">
        <f t="array" ref="Q385">_xlfn.XLOOKUP(Matrix[[#This Row],[TEAM]]&amp;Matrix[[#Headers],[5]],FDR[FDR]&amp;FDR[[#Headers],[5]],FDR[5],"",0,1)</f>
        <v>5</v>
      </c>
      <c r="R385" cm="1">
        <f t="array" ref="R385">_xlfn.XLOOKUP(Matrix[[#This Row],[TEAM]]&amp;Matrix[[#Headers],[6]],FDR[FDR]&amp;FDR[[#Headers],[6]],FDR[6],"",0,1)</f>
        <v>5</v>
      </c>
      <c r="S385" cm="1">
        <f t="array" ref="S385">_xlfn.XLOOKUP(Matrix[[#This Row],[TEAM]]&amp;Matrix[[#Headers],[7]],FDR[FDR]&amp;FDR[[#Headers],[7]],FDR[7],"",0,1)</f>
        <v>5</v>
      </c>
      <c r="T385" cm="1">
        <f t="array" ref="T385">_xlfn.XLOOKUP(Matrix[[#This Row],[TEAM]]&amp;Matrix[[#Headers],[8]],FDR[FDR]&amp;FDR[[#Headers],[8]],FDR[8],"",0,1)</f>
        <v>3</v>
      </c>
      <c r="U385" cm="1">
        <f t="array" ref="U385">_xlfn.XLOOKUP(Matrix[[#This Row],[TEAM]]&amp;Matrix[[#Headers],[9]],FDR[FDR]&amp;FDR[[#Headers],[9]],FDR[9],"",0,1)</f>
        <v>4</v>
      </c>
      <c r="V385" cm="1">
        <f t="array" ref="V385">_xlfn.XLOOKUP(Matrix[[#This Row],[TEAM]]&amp;Matrix[[#Headers],[10]],FDR[FDR]&amp;FDR[[#Headers],[10]],FDR[10],"",0,1)</f>
        <v>5</v>
      </c>
      <c r="W385" cm="1">
        <f t="array" ref="W385">_xlfn.XLOOKUP(Matrix[[#This Row],[TEAM]]&amp;Matrix[[#Headers],[11]],FDR[FDR]&amp;FDR[[#Headers],[11]],FDR[11],"",0,1)</f>
        <v>5</v>
      </c>
      <c r="X385" cm="1">
        <f t="array" ref="X385">_xlfn.XLOOKUP(Matrix[[#This Row],[TEAM]]&amp;Matrix[[#Headers],[12]],FDR[FDR]&amp;FDR[[#Headers],[12]],FDR[12],"",0,1)</f>
        <v>5</v>
      </c>
      <c r="Y385" cm="1">
        <f t="array" ref="Y385">_xlfn.XLOOKUP(Matrix[[#This Row],[TEAM]]&amp;Matrix[[#Headers],[13]],FDR[FDR]&amp;FDR[[#Headers],[13]],FDR[13],"",0,1)</f>
        <v>5</v>
      </c>
      <c r="Z385" cm="1">
        <f t="array" ref="Z385">_xlfn.XLOOKUP(Matrix[[#This Row],[TEAM]]&amp;Matrix[[#Headers],[14]],FDR[FDR]&amp;FDR[[#Headers],[14]],FDR[14],"",0,1)</f>
        <v>4</v>
      </c>
      <c r="AA385" cm="1">
        <f t="array" ref="AA385">_xlfn.XLOOKUP(Matrix[[#This Row],[TEAM]]&amp;Matrix[[#Headers],[15]],FDR[FDR]&amp;FDR[[#Headers],[15]],FDR[15],"",0,1)</f>
        <v>5</v>
      </c>
      <c r="AB385" cm="1">
        <f t="array" ref="AB385">_xlfn.XLOOKUP(Matrix[[#This Row],[TEAM]]&amp;Matrix[[#Headers],[16]],FDR[FDR]&amp;FDR[[#Headers],[16]],FDR[16],"",0,1)</f>
        <v>5</v>
      </c>
      <c r="AC385" cm="1">
        <f t="array" ref="AC385">_xlfn.XLOOKUP(Matrix[[#This Row],[TEAM]]&amp;Matrix[[#Headers],[17]],FDR[FDR]&amp;FDR[[#Headers],[17]],FDR[17],"",0,1)</f>
        <v>5</v>
      </c>
      <c r="AD385" cm="1">
        <f t="array" ref="AD385">_xlfn.XLOOKUP(Matrix[[#This Row],[TEAM]]&amp;Matrix[[#Headers],[18]],FDR[FDR]&amp;FDR[[#Headers],[18]],FDR[18],"",0,1)</f>
        <v>4</v>
      </c>
      <c r="AE385" cm="1">
        <f t="array" ref="AE385">_xlfn.XLOOKUP(Matrix[[#This Row],[TEAM]]&amp;Matrix[[#Headers],[19]],FDR[FDR]&amp;FDR[[#Headers],[19]],FDR[19],"",0,1)</f>
        <v>5</v>
      </c>
      <c r="AF385" cm="1">
        <f t="array" ref="AF385">_xlfn.XLOOKUP(Matrix[[#This Row],[TEAM]]&amp;Matrix[[#Headers],[20]],FDR[FDR]&amp;FDR[[#Headers],[20]],FDR[20],"",0,1)</f>
        <v>5</v>
      </c>
      <c r="AG385" cm="1">
        <f t="array" ref="AG385">_xlfn.XLOOKUP(Matrix[[#This Row],[TEAM]]&amp;Matrix[[#Headers],[21]],FDR[FDR]&amp;FDR[[#Headers],[21]],FDR[21],"",0,1)</f>
        <v>5</v>
      </c>
      <c r="AH385" cm="1">
        <f t="array" ref="AH385">_xlfn.XLOOKUP(Matrix[[#This Row],[TEAM]]&amp;Matrix[[#Headers],[22]],FDR[FDR]&amp;FDR[[#Headers],[22]],FDR[22],"",0,1)</f>
        <v>5</v>
      </c>
      <c r="AI385" cm="1">
        <f t="array" ref="AI385">_xlfn.XLOOKUP(Matrix[[#This Row],[TEAM]]&amp;Matrix[[#Headers],[23]],FDR[FDR]&amp;FDR[[#Headers],[23]],FDR[23],"",0,1)</f>
        <v>5</v>
      </c>
      <c r="AJ385" cm="1">
        <f t="array" ref="AJ385">_xlfn.XLOOKUP(Matrix[[#This Row],[TEAM]]&amp;Matrix[[#Headers],[24]],FDR[FDR]&amp;FDR[[#Headers],[24]],FDR[24],"",0,1)</f>
        <v>4</v>
      </c>
      <c r="AK385" cm="1">
        <f t="array" ref="AK385">_xlfn.XLOOKUP(Matrix[[#This Row],[TEAM]]&amp;Matrix[[#Headers],[25]],FDR[FDR]&amp;FDR[[#Headers],[25]],FDR[25],"",0,1)</f>
        <v>4</v>
      </c>
      <c r="AL385" cm="1">
        <f t="array" ref="AL385">_xlfn.XLOOKUP(Matrix[[#This Row],[TEAM]]&amp;Matrix[[#Headers],[26]],FDR[FDR]&amp;FDR[[#Headers],[26]],FDR[26],"",0,1)</f>
        <v>5</v>
      </c>
      <c r="AM385" cm="1">
        <f t="array" ref="AM385">_xlfn.XLOOKUP(Matrix[[#This Row],[TEAM]]&amp;Matrix[[#Headers],[27]],FDR[FDR]&amp;FDR[[#Headers],[27]],FDR[27],"",0,1)</f>
        <v>5</v>
      </c>
      <c r="AN385" cm="1">
        <f t="array" ref="AN385">_xlfn.XLOOKUP(Matrix[[#This Row],[TEAM]]&amp;Matrix[[#Headers],[28]],FDR[FDR]&amp;FDR[[#Headers],[28]],FDR[28],"",0,1)</f>
        <v>4</v>
      </c>
      <c r="AO385" cm="1">
        <f t="array" ref="AO385">_xlfn.XLOOKUP(Matrix[[#This Row],[TEAM]]&amp;Matrix[[#Headers],[29]],FDR[FDR]&amp;FDR[[#Headers],[29]],FDR[29],"",0,1)</f>
        <v>5</v>
      </c>
      <c r="AP385" cm="1">
        <f t="array" ref="AP385">_xlfn.XLOOKUP(Matrix[[#This Row],[TEAM]]&amp;Matrix[[#Headers],[30]],FDR[FDR]&amp;FDR[[#Headers],[30]],FDR[30],"",0,1)</f>
        <v>5</v>
      </c>
      <c r="AQ385" cm="1">
        <f t="array" ref="AQ385">_xlfn.XLOOKUP(Matrix[[#This Row],[TEAM]]&amp;Matrix[[#Headers],[31]],FDR[FDR]&amp;FDR[[#Headers],[31]],FDR[31],"",0,1)</f>
        <v>5</v>
      </c>
      <c r="AR385" cm="1">
        <f t="array" ref="AR385">_xlfn.XLOOKUP(Matrix[[#This Row],[TEAM]]&amp;Matrix[[#Headers],[32]],FDR[FDR]&amp;FDR[[#Headers],[32]],FDR[32],"",0,1)</f>
        <v>5</v>
      </c>
      <c r="AS385" cm="1">
        <f t="array" ref="AS385">_xlfn.XLOOKUP(Matrix[[#This Row],[TEAM]]&amp;Matrix[[#Headers],[33]],FDR[FDR]&amp;FDR[[#Headers],[33]],FDR[33],"",0,1)</f>
        <v>5</v>
      </c>
      <c r="AT385" cm="1">
        <f t="array" ref="AT385">_xlfn.XLOOKUP(Matrix[[#This Row],[TEAM]]&amp;Matrix[[#Headers],[34]],FDR[FDR]&amp;FDR[[#Headers],[34]],FDR[34],"",0,1)</f>
        <v>5</v>
      </c>
      <c r="AU385" cm="1">
        <f t="array" ref="AU385">_xlfn.XLOOKUP(Matrix[[#This Row],[TEAM]]&amp;Matrix[[#Headers],[35]],FDR[FDR]&amp;FDR[[#Headers],[35]],FDR[35],"",0,1)</f>
        <v>4</v>
      </c>
      <c r="AV385" cm="1">
        <f t="array" ref="AV385">_xlfn.XLOOKUP(Matrix[[#This Row],[TEAM]]&amp;Matrix[[#Headers],[36]],FDR[FDR]&amp;FDR[[#Headers],[36]],FDR[36],"",0,1)</f>
        <v>5</v>
      </c>
      <c r="AW385" cm="1">
        <f t="array" ref="AW385">_xlfn.XLOOKUP(Matrix[[#This Row],[TEAM]]&amp;Matrix[[#Headers],[37]],FDR[FDR]&amp;FDR[[#Headers],[37]],FDR[37],"",0,1)</f>
        <v>5</v>
      </c>
      <c r="AX385" cm="1">
        <f t="array" ref="AX385">_xlfn.XLOOKUP(Matrix[[#This Row],[TEAM]]&amp;Matrix[[#Headers],[38]],FDR[FDR]&amp;FDR[[#Headers],[38]],FDR[38],"",0,1)</f>
        <v>3</v>
      </c>
    </row>
    <row r="386" spans="1:50" ht="22" thickTop="1" thickBot="1">
      <c r="A386" s="53" t="str">
        <f>INDEX!S$4</f>
        <v>MID</v>
      </c>
      <c r="B386" s="70" t="s">
        <v>1733</v>
      </c>
      <c r="C386" s="40" t="s">
        <v>22</v>
      </c>
      <c r="D386" s="62">
        <v>0</v>
      </c>
      <c r="E386" s="60">
        <v>1E-3</v>
      </c>
      <c r="F386" s="61">
        <v>0</v>
      </c>
      <c r="G386" s="63">
        <v>4.5</v>
      </c>
      <c r="H386" s="261">
        <f>IF(ISBLANK(I386),0,1)</f>
        <v>0</v>
      </c>
      <c r="I386" s="57"/>
      <c r="J386" s="58"/>
      <c r="K386" s="59" t="s">
        <v>1037</v>
      </c>
      <c r="L386" s="59" t="s">
        <v>1036</v>
      </c>
      <c r="M386" cm="1">
        <f t="array" ref="M386">_xlfn.XLOOKUP(Matrix[[#This Row],[TEAM]]&amp;Matrix[[#Headers],[1]],FDR[FDR]&amp;FDR[[#Headers],[1]],FDR[1],"",0,1)</f>
        <v>5</v>
      </c>
      <c r="N386" cm="1">
        <f t="array" ref="N386">_xlfn.XLOOKUP(Matrix[[#This Row],[TEAM]]&amp;Matrix[[#Headers],[2]],FDR[FDR]&amp;FDR[[#Headers],[2]],FDR[2],"",0,1)</f>
        <v>3</v>
      </c>
      <c r="O386" cm="1">
        <f t="array" ref="O386">_xlfn.XLOOKUP(Matrix[[#This Row],[TEAM]]&amp;Matrix[[#Headers],[3]],FDR[FDR]&amp;FDR[[#Headers],[3]],FDR[3],"",0,1)</f>
        <v>5</v>
      </c>
      <c r="P386" cm="1">
        <f t="array" ref="P386">_xlfn.XLOOKUP(Matrix[[#This Row],[TEAM]]&amp;Matrix[[#Headers],[4]],FDR[FDR]&amp;FDR[[#Headers],[4]],FDR[4],"",0,1)</f>
        <v>5</v>
      </c>
      <c r="Q386" cm="1">
        <f t="array" ref="Q386">_xlfn.XLOOKUP(Matrix[[#This Row],[TEAM]]&amp;Matrix[[#Headers],[5]],FDR[FDR]&amp;FDR[[#Headers],[5]],FDR[5],"",0,1)</f>
        <v>5</v>
      </c>
      <c r="R386" cm="1">
        <f t="array" ref="R386">_xlfn.XLOOKUP(Matrix[[#This Row],[TEAM]]&amp;Matrix[[#Headers],[6]],FDR[FDR]&amp;FDR[[#Headers],[6]],FDR[6],"",0,1)</f>
        <v>5</v>
      </c>
      <c r="S386" cm="1">
        <f t="array" ref="S386">_xlfn.XLOOKUP(Matrix[[#This Row],[TEAM]]&amp;Matrix[[#Headers],[7]],FDR[FDR]&amp;FDR[[#Headers],[7]],FDR[7],"",0,1)</f>
        <v>5</v>
      </c>
      <c r="T386" cm="1">
        <f t="array" ref="T386">_xlfn.XLOOKUP(Matrix[[#This Row],[TEAM]]&amp;Matrix[[#Headers],[8]],FDR[FDR]&amp;FDR[[#Headers],[8]],FDR[8],"",0,1)</f>
        <v>3</v>
      </c>
      <c r="U386" cm="1">
        <f t="array" ref="U386">_xlfn.XLOOKUP(Matrix[[#This Row],[TEAM]]&amp;Matrix[[#Headers],[9]],FDR[FDR]&amp;FDR[[#Headers],[9]],FDR[9],"",0,1)</f>
        <v>4</v>
      </c>
      <c r="V386" cm="1">
        <f t="array" ref="V386">_xlfn.XLOOKUP(Matrix[[#This Row],[TEAM]]&amp;Matrix[[#Headers],[10]],FDR[FDR]&amp;FDR[[#Headers],[10]],FDR[10],"",0,1)</f>
        <v>5</v>
      </c>
      <c r="W386" cm="1">
        <f t="array" ref="W386">_xlfn.XLOOKUP(Matrix[[#This Row],[TEAM]]&amp;Matrix[[#Headers],[11]],FDR[FDR]&amp;FDR[[#Headers],[11]],FDR[11],"",0,1)</f>
        <v>5</v>
      </c>
      <c r="X386" cm="1">
        <f t="array" ref="X386">_xlfn.XLOOKUP(Matrix[[#This Row],[TEAM]]&amp;Matrix[[#Headers],[12]],FDR[FDR]&amp;FDR[[#Headers],[12]],FDR[12],"",0,1)</f>
        <v>5</v>
      </c>
      <c r="Y386" cm="1">
        <f t="array" ref="Y386">_xlfn.XLOOKUP(Matrix[[#This Row],[TEAM]]&amp;Matrix[[#Headers],[13]],FDR[FDR]&amp;FDR[[#Headers],[13]],FDR[13],"",0,1)</f>
        <v>5</v>
      </c>
      <c r="Z386" cm="1">
        <f t="array" ref="Z386">_xlfn.XLOOKUP(Matrix[[#This Row],[TEAM]]&amp;Matrix[[#Headers],[14]],FDR[FDR]&amp;FDR[[#Headers],[14]],FDR[14],"",0,1)</f>
        <v>4</v>
      </c>
      <c r="AA386" cm="1">
        <f t="array" ref="AA386">_xlfn.XLOOKUP(Matrix[[#This Row],[TEAM]]&amp;Matrix[[#Headers],[15]],FDR[FDR]&amp;FDR[[#Headers],[15]],FDR[15],"",0,1)</f>
        <v>5</v>
      </c>
      <c r="AB386" cm="1">
        <f t="array" ref="AB386">_xlfn.XLOOKUP(Matrix[[#This Row],[TEAM]]&amp;Matrix[[#Headers],[16]],FDR[FDR]&amp;FDR[[#Headers],[16]],FDR[16],"",0,1)</f>
        <v>5</v>
      </c>
      <c r="AC386" cm="1">
        <f t="array" ref="AC386">_xlfn.XLOOKUP(Matrix[[#This Row],[TEAM]]&amp;Matrix[[#Headers],[17]],FDR[FDR]&amp;FDR[[#Headers],[17]],FDR[17],"",0,1)</f>
        <v>5</v>
      </c>
      <c r="AD386" cm="1">
        <f t="array" ref="AD386">_xlfn.XLOOKUP(Matrix[[#This Row],[TEAM]]&amp;Matrix[[#Headers],[18]],FDR[FDR]&amp;FDR[[#Headers],[18]],FDR[18],"",0,1)</f>
        <v>4</v>
      </c>
      <c r="AE386" cm="1">
        <f t="array" ref="AE386">_xlfn.XLOOKUP(Matrix[[#This Row],[TEAM]]&amp;Matrix[[#Headers],[19]],FDR[FDR]&amp;FDR[[#Headers],[19]],FDR[19],"",0,1)</f>
        <v>5</v>
      </c>
      <c r="AF386" cm="1">
        <f t="array" ref="AF386">_xlfn.XLOOKUP(Matrix[[#This Row],[TEAM]]&amp;Matrix[[#Headers],[20]],FDR[FDR]&amp;FDR[[#Headers],[20]],FDR[20],"",0,1)</f>
        <v>5</v>
      </c>
      <c r="AG386" cm="1">
        <f t="array" ref="AG386">_xlfn.XLOOKUP(Matrix[[#This Row],[TEAM]]&amp;Matrix[[#Headers],[21]],FDR[FDR]&amp;FDR[[#Headers],[21]],FDR[21],"",0,1)</f>
        <v>5</v>
      </c>
      <c r="AH386" cm="1">
        <f t="array" ref="AH386">_xlfn.XLOOKUP(Matrix[[#This Row],[TEAM]]&amp;Matrix[[#Headers],[22]],FDR[FDR]&amp;FDR[[#Headers],[22]],FDR[22],"",0,1)</f>
        <v>5</v>
      </c>
      <c r="AI386" cm="1">
        <f t="array" ref="AI386">_xlfn.XLOOKUP(Matrix[[#This Row],[TEAM]]&amp;Matrix[[#Headers],[23]],FDR[FDR]&amp;FDR[[#Headers],[23]],FDR[23],"",0,1)</f>
        <v>5</v>
      </c>
      <c r="AJ386" cm="1">
        <f t="array" ref="AJ386">_xlfn.XLOOKUP(Matrix[[#This Row],[TEAM]]&amp;Matrix[[#Headers],[24]],FDR[FDR]&amp;FDR[[#Headers],[24]],FDR[24],"",0,1)</f>
        <v>4</v>
      </c>
      <c r="AK386" cm="1">
        <f t="array" ref="AK386">_xlfn.XLOOKUP(Matrix[[#This Row],[TEAM]]&amp;Matrix[[#Headers],[25]],FDR[FDR]&amp;FDR[[#Headers],[25]],FDR[25],"",0,1)</f>
        <v>4</v>
      </c>
      <c r="AL386" cm="1">
        <f t="array" ref="AL386">_xlfn.XLOOKUP(Matrix[[#This Row],[TEAM]]&amp;Matrix[[#Headers],[26]],FDR[FDR]&amp;FDR[[#Headers],[26]],FDR[26],"",0,1)</f>
        <v>5</v>
      </c>
      <c r="AM386" cm="1">
        <f t="array" ref="AM386">_xlfn.XLOOKUP(Matrix[[#This Row],[TEAM]]&amp;Matrix[[#Headers],[27]],FDR[FDR]&amp;FDR[[#Headers],[27]],FDR[27],"",0,1)</f>
        <v>5</v>
      </c>
      <c r="AN386" cm="1">
        <f t="array" ref="AN386">_xlfn.XLOOKUP(Matrix[[#This Row],[TEAM]]&amp;Matrix[[#Headers],[28]],FDR[FDR]&amp;FDR[[#Headers],[28]],FDR[28],"",0,1)</f>
        <v>4</v>
      </c>
      <c r="AO386" cm="1">
        <f t="array" ref="AO386">_xlfn.XLOOKUP(Matrix[[#This Row],[TEAM]]&amp;Matrix[[#Headers],[29]],FDR[FDR]&amp;FDR[[#Headers],[29]],FDR[29],"",0,1)</f>
        <v>5</v>
      </c>
      <c r="AP386" cm="1">
        <f t="array" ref="AP386">_xlfn.XLOOKUP(Matrix[[#This Row],[TEAM]]&amp;Matrix[[#Headers],[30]],FDR[FDR]&amp;FDR[[#Headers],[30]],FDR[30],"",0,1)</f>
        <v>5</v>
      </c>
      <c r="AQ386" cm="1">
        <f t="array" ref="AQ386">_xlfn.XLOOKUP(Matrix[[#This Row],[TEAM]]&amp;Matrix[[#Headers],[31]],FDR[FDR]&amp;FDR[[#Headers],[31]],FDR[31],"",0,1)</f>
        <v>5</v>
      </c>
      <c r="AR386" cm="1">
        <f t="array" ref="AR386">_xlfn.XLOOKUP(Matrix[[#This Row],[TEAM]]&amp;Matrix[[#Headers],[32]],FDR[FDR]&amp;FDR[[#Headers],[32]],FDR[32],"",0,1)</f>
        <v>5</v>
      </c>
      <c r="AS386" cm="1">
        <f t="array" ref="AS386">_xlfn.XLOOKUP(Matrix[[#This Row],[TEAM]]&amp;Matrix[[#Headers],[33]],FDR[FDR]&amp;FDR[[#Headers],[33]],FDR[33],"",0,1)</f>
        <v>5</v>
      </c>
      <c r="AT386" cm="1">
        <f t="array" ref="AT386">_xlfn.XLOOKUP(Matrix[[#This Row],[TEAM]]&amp;Matrix[[#Headers],[34]],FDR[FDR]&amp;FDR[[#Headers],[34]],FDR[34],"",0,1)</f>
        <v>5</v>
      </c>
      <c r="AU386" cm="1">
        <f t="array" ref="AU386">_xlfn.XLOOKUP(Matrix[[#This Row],[TEAM]]&amp;Matrix[[#Headers],[35]],FDR[FDR]&amp;FDR[[#Headers],[35]],FDR[35],"",0,1)</f>
        <v>4</v>
      </c>
      <c r="AV386" cm="1">
        <f t="array" ref="AV386">_xlfn.XLOOKUP(Matrix[[#This Row],[TEAM]]&amp;Matrix[[#Headers],[36]],FDR[FDR]&amp;FDR[[#Headers],[36]],FDR[36],"",0,1)</f>
        <v>5</v>
      </c>
      <c r="AW386" cm="1">
        <f t="array" ref="AW386">_xlfn.XLOOKUP(Matrix[[#This Row],[TEAM]]&amp;Matrix[[#Headers],[37]],FDR[FDR]&amp;FDR[[#Headers],[37]],FDR[37],"",0,1)</f>
        <v>5</v>
      </c>
      <c r="AX386" cm="1">
        <f t="array" ref="AX386">_xlfn.XLOOKUP(Matrix[[#This Row],[TEAM]]&amp;Matrix[[#Headers],[38]],FDR[FDR]&amp;FDR[[#Headers],[38]],FDR[38],"",0,1)</f>
        <v>3</v>
      </c>
    </row>
    <row r="387" spans="1:50" ht="22" thickTop="1" thickBot="1">
      <c r="A387" s="50" t="str">
        <f>INDEX!S$4</f>
        <v>MID</v>
      </c>
      <c r="B387" s="70" t="s">
        <v>1777</v>
      </c>
      <c r="C387" s="40" t="s">
        <v>22</v>
      </c>
      <c r="D387" s="62">
        <v>0</v>
      </c>
      <c r="E387" s="60">
        <v>0</v>
      </c>
      <c r="F387" s="61">
        <v>0</v>
      </c>
      <c r="G387" s="63">
        <v>4.5</v>
      </c>
      <c r="H387" s="261">
        <f>IF(ISBLANK(I387),0,1)</f>
        <v>0</v>
      </c>
      <c r="I387" s="57"/>
      <c r="J387" s="58"/>
      <c r="K387" s="59" t="s">
        <v>1034</v>
      </c>
      <c r="L387" s="59" t="s">
        <v>1035</v>
      </c>
      <c r="M387" cm="1">
        <f t="array" ref="M387">_xlfn.XLOOKUP(Matrix[[#This Row],[TEAM]]&amp;Matrix[[#Headers],[1]],FDR[FDR]&amp;FDR[[#Headers],[1]],FDR[1],"",0,1)</f>
        <v>5</v>
      </c>
      <c r="N387" cm="1">
        <f t="array" ref="N387">_xlfn.XLOOKUP(Matrix[[#This Row],[TEAM]]&amp;Matrix[[#Headers],[2]],FDR[FDR]&amp;FDR[[#Headers],[2]],FDR[2],"",0,1)</f>
        <v>3</v>
      </c>
      <c r="O387" cm="1">
        <f t="array" ref="O387">_xlfn.XLOOKUP(Matrix[[#This Row],[TEAM]]&amp;Matrix[[#Headers],[3]],FDR[FDR]&amp;FDR[[#Headers],[3]],FDR[3],"",0,1)</f>
        <v>5</v>
      </c>
      <c r="P387" cm="1">
        <f t="array" ref="P387">_xlfn.XLOOKUP(Matrix[[#This Row],[TEAM]]&amp;Matrix[[#Headers],[4]],FDR[FDR]&amp;FDR[[#Headers],[4]],FDR[4],"",0,1)</f>
        <v>5</v>
      </c>
      <c r="Q387" cm="1">
        <f t="array" ref="Q387">_xlfn.XLOOKUP(Matrix[[#This Row],[TEAM]]&amp;Matrix[[#Headers],[5]],FDR[FDR]&amp;FDR[[#Headers],[5]],FDR[5],"",0,1)</f>
        <v>5</v>
      </c>
      <c r="R387" cm="1">
        <f t="array" ref="R387">_xlfn.XLOOKUP(Matrix[[#This Row],[TEAM]]&amp;Matrix[[#Headers],[6]],FDR[FDR]&amp;FDR[[#Headers],[6]],FDR[6],"",0,1)</f>
        <v>5</v>
      </c>
      <c r="S387" cm="1">
        <f t="array" ref="S387">_xlfn.XLOOKUP(Matrix[[#This Row],[TEAM]]&amp;Matrix[[#Headers],[7]],FDR[FDR]&amp;FDR[[#Headers],[7]],FDR[7],"",0,1)</f>
        <v>5</v>
      </c>
      <c r="T387" cm="1">
        <f t="array" ref="T387">_xlfn.XLOOKUP(Matrix[[#This Row],[TEAM]]&amp;Matrix[[#Headers],[8]],FDR[FDR]&amp;FDR[[#Headers],[8]],FDR[8],"",0,1)</f>
        <v>3</v>
      </c>
      <c r="U387" cm="1">
        <f t="array" ref="U387">_xlfn.XLOOKUP(Matrix[[#This Row],[TEAM]]&amp;Matrix[[#Headers],[9]],FDR[FDR]&amp;FDR[[#Headers],[9]],FDR[9],"",0,1)</f>
        <v>4</v>
      </c>
      <c r="V387" cm="1">
        <f t="array" ref="V387">_xlfn.XLOOKUP(Matrix[[#This Row],[TEAM]]&amp;Matrix[[#Headers],[10]],FDR[FDR]&amp;FDR[[#Headers],[10]],FDR[10],"",0,1)</f>
        <v>5</v>
      </c>
      <c r="W387" cm="1">
        <f t="array" ref="W387">_xlfn.XLOOKUP(Matrix[[#This Row],[TEAM]]&amp;Matrix[[#Headers],[11]],FDR[FDR]&amp;FDR[[#Headers],[11]],FDR[11],"",0,1)</f>
        <v>5</v>
      </c>
      <c r="X387" cm="1">
        <f t="array" ref="X387">_xlfn.XLOOKUP(Matrix[[#This Row],[TEAM]]&amp;Matrix[[#Headers],[12]],FDR[FDR]&amp;FDR[[#Headers],[12]],FDR[12],"",0,1)</f>
        <v>5</v>
      </c>
      <c r="Y387" cm="1">
        <f t="array" ref="Y387">_xlfn.XLOOKUP(Matrix[[#This Row],[TEAM]]&amp;Matrix[[#Headers],[13]],FDR[FDR]&amp;FDR[[#Headers],[13]],FDR[13],"",0,1)</f>
        <v>5</v>
      </c>
      <c r="Z387" cm="1">
        <f t="array" ref="Z387">_xlfn.XLOOKUP(Matrix[[#This Row],[TEAM]]&amp;Matrix[[#Headers],[14]],FDR[FDR]&amp;FDR[[#Headers],[14]],FDR[14],"",0,1)</f>
        <v>4</v>
      </c>
      <c r="AA387" cm="1">
        <f t="array" ref="AA387">_xlfn.XLOOKUP(Matrix[[#This Row],[TEAM]]&amp;Matrix[[#Headers],[15]],FDR[FDR]&amp;FDR[[#Headers],[15]],FDR[15],"",0,1)</f>
        <v>5</v>
      </c>
      <c r="AB387" cm="1">
        <f t="array" ref="AB387">_xlfn.XLOOKUP(Matrix[[#This Row],[TEAM]]&amp;Matrix[[#Headers],[16]],FDR[FDR]&amp;FDR[[#Headers],[16]],FDR[16],"",0,1)</f>
        <v>5</v>
      </c>
      <c r="AC387" cm="1">
        <f t="array" ref="AC387">_xlfn.XLOOKUP(Matrix[[#This Row],[TEAM]]&amp;Matrix[[#Headers],[17]],FDR[FDR]&amp;FDR[[#Headers],[17]],FDR[17],"",0,1)</f>
        <v>5</v>
      </c>
      <c r="AD387" cm="1">
        <f t="array" ref="AD387">_xlfn.XLOOKUP(Matrix[[#This Row],[TEAM]]&amp;Matrix[[#Headers],[18]],FDR[FDR]&amp;FDR[[#Headers],[18]],FDR[18],"",0,1)</f>
        <v>4</v>
      </c>
      <c r="AE387" cm="1">
        <f t="array" ref="AE387">_xlfn.XLOOKUP(Matrix[[#This Row],[TEAM]]&amp;Matrix[[#Headers],[19]],FDR[FDR]&amp;FDR[[#Headers],[19]],FDR[19],"",0,1)</f>
        <v>5</v>
      </c>
      <c r="AF387" cm="1">
        <f t="array" ref="AF387">_xlfn.XLOOKUP(Matrix[[#This Row],[TEAM]]&amp;Matrix[[#Headers],[20]],FDR[FDR]&amp;FDR[[#Headers],[20]],FDR[20],"",0,1)</f>
        <v>5</v>
      </c>
      <c r="AG387" cm="1">
        <f t="array" ref="AG387">_xlfn.XLOOKUP(Matrix[[#This Row],[TEAM]]&amp;Matrix[[#Headers],[21]],FDR[FDR]&amp;FDR[[#Headers],[21]],FDR[21],"",0,1)</f>
        <v>5</v>
      </c>
      <c r="AH387" cm="1">
        <f t="array" ref="AH387">_xlfn.XLOOKUP(Matrix[[#This Row],[TEAM]]&amp;Matrix[[#Headers],[22]],FDR[FDR]&amp;FDR[[#Headers],[22]],FDR[22],"",0,1)</f>
        <v>5</v>
      </c>
      <c r="AI387" cm="1">
        <f t="array" ref="AI387">_xlfn.XLOOKUP(Matrix[[#This Row],[TEAM]]&amp;Matrix[[#Headers],[23]],FDR[FDR]&amp;FDR[[#Headers],[23]],FDR[23],"",0,1)</f>
        <v>5</v>
      </c>
      <c r="AJ387" cm="1">
        <f t="array" ref="AJ387">_xlfn.XLOOKUP(Matrix[[#This Row],[TEAM]]&amp;Matrix[[#Headers],[24]],FDR[FDR]&amp;FDR[[#Headers],[24]],FDR[24],"",0,1)</f>
        <v>4</v>
      </c>
      <c r="AK387" cm="1">
        <f t="array" ref="AK387">_xlfn.XLOOKUP(Matrix[[#This Row],[TEAM]]&amp;Matrix[[#Headers],[25]],FDR[FDR]&amp;FDR[[#Headers],[25]],FDR[25],"",0,1)</f>
        <v>4</v>
      </c>
      <c r="AL387" cm="1">
        <f t="array" ref="AL387">_xlfn.XLOOKUP(Matrix[[#This Row],[TEAM]]&amp;Matrix[[#Headers],[26]],FDR[FDR]&amp;FDR[[#Headers],[26]],FDR[26],"",0,1)</f>
        <v>5</v>
      </c>
      <c r="AM387" cm="1">
        <f t="array" ref="AM387">_xlfn.XLOOKUP(Matrix[[#This Row],[TEAM]]&amp;Matrix[[#Headers],[27]],FDR[FDR]&amp;FDR[[#Headers],[27]],FDR[27],"",0,1)</f>
        <v>5</v>
      </c>
      <c r="AN387" cm="1">
        <f t="array" ref="AN387">_xlfn.XLOOKUP(Matrix[[#This Row],[TEAM]]&amp;Matrix[[#Headers],[28]],FDR[FDR]&amp;FDR[[#Headers],[28]],FDR[28],"",0,1)</f>
        <v>4</v>
      </c>
      <c r="AO387" cm="1">
        <f t="array" ref="AO387">_xlfn.XLOOKUP(Matrix[[#This Row],[TEAM]]&amp;Matrix[[#Headers],[29]],FDR[FDR]&amp;FDR[[#Headers],[29]],FDR[29],"",0,1)</f>
        <v>5</v>
      </c>
      <c r="AP387" cm="1">
        <f t="array" ref="AP387">_xlfn.XLOOKUP(Matrix[[#This Row],[TEAM]]&amp;Matrix[[#Headers],[30]],FDR[FDR]&amp;FDR[[#Headers],[30]],FDR[30],"",0,1)</f>
        <v>5</v>
      </c>
      <c r="AQ387" cm="1">
        <f t="array" ref="AQ387">_xlfn.XLOOKUP(Matrix[[#This Row],[TEAM]]&amp;Matrix[[#Headers],[31]],FDR[FDR]&amp;FDR[[#Headers],[31]],FDR[31],"",0,1)</f>
        <v>5</v>
      </c>
      <c r="AR387" cm="1">
        <f t="array" ref="AR387">_xlfn.XLOOKUP(Matrix[[#This Row],[TEAM]]&amp;Matrix[[#Headers],[32]],FDR[FDR]&amp;FDR[[#Headers],[32]],FDR[32],"",0,1)</f>
        <v>5</v>
      </c>
      <c r="AS387" cm="1">
        <f t="array" ref="AS387">_xlfn.XLOOKUP(Matrix[[#This Row],[TEAM]]&amp;Matrix[[#Headers],[33]],FDR[FDR]&amp;FDR[[#Headers],[33]],FDR[33],"",0,1)</f>
        <v>5</v>
      </c>
      <c r="AT387" cm="1">
        <f t="array" ref="AT387">_xlfn.XLOOKUP(Matrix[[#This Row],[TEAM]]&amp;Matrix[[#Headers],[34]],FDR[FDR]&amp;FDR[[#Headers],[34]],FDR[34],"",0,1)</f>
        <v>5</v>
      </c>
      <c r="AU387" cm="1">
        <f t="array" ref="AU387">_xlfn.XLOOKUP(Matrix[[#This Row],[TEAM]]&amp;Matrix[[#Headers],[35]],FDR[FDR]&amp;FDR[[#Headers],[35]],FDR[35],"",0,1)</f>
        <v>4</v>
      </c>
      <c r="AV387" cm="1">
        <f t="array" ref="AV387">_xlfn.XLOOKUP(Matrix[[#This Row],[TEAM]]&amp;Matrix[[#Headers],[36]],FDR[FDR]&amp;FDR[[#Headers],[36]],FDR[36],"",0,1)</f>
        <v>5</v>
      </c>
      <c r="AW387" cm="1">
        <f t="array" ref="AW387">_xlfn.XLOOKUP(Matrix[[#This Row],[TEAM]]&amp;Matrix[[#Headers],[37]],FDR[FDR]&amp;FDR[[#Headers],[37]],FDR[37],"",0,1)</f>
        <v>5</v>
      </c>
      <c r="AX387" cm="1">
        <f t="array" ref="AX387">_xlfn.XLOOKUP(Matrix[[#This Row],[TEAM]]&amp;Matrix[[#Headers],[38]],FDR[FDR]&amp;FDR[[#Headers],[38]],FDR[38],"",0,1)</f>
        <v>3</v>
      </c>
    </row>
    <row r="388" spans="1:50" ht="22" thickTop="1" thickBot="1">
      <c r="A388" s="50" t="str">
        <f>INDEX!S$4</f>
        <v>MID</v>
      </c>
      <c r="B388" s="70" t="s">
        <v>1668</v>
      </c>
      <c r="C388" s="40" t="s">
        <v>18</v>
      </c>
      <c r="D388" s="62">
        <v>0</v>
      </c>
      <c r="E388" s="60">
        <v>4.0000000000000001E-3</v>
      </c>
      <c r="F388" s="61">
        <v>0</v>
      </c>
      <c r="G388" s="63">
        <v>4.5</v>
      </c>
      <c r="H388" s="261">
        <f>IF(ISBLANK(I388),0,1)</f>
        <v>0</v>
      </c>
      <c r="I388" s="57"/>
      <c r="J388" s="58"/>
      <c r="K388" s="59" t="s">
        <v>1052</v>
      </c>
      <c r="L388" s="59" t="s">
        <v>1051</v>
      </c>
      <c r="M388" cm="1">
        <f t="array" ref="M388">_xlfn.XLOOKUP(Matrix[[#This Row],[TEAM]]&amp;Matrix[[#Headers],[1]],FDR[FDR]&amp;FDR[[#Headers],[1]],FDR[1],"",0,1)</f>
        <v>1</v>
      </c>
      <c r="N388" cm="1">
        <f t="array" ref="N388">_xlfn.XLOOKUP(Matrix[[#This Row],[TEAM]]&amp;Matrix[[#Headers],[2]],FDR[FDR]&amp;FDR[[#Headers],[2]],FDR[2],"",0,1)</f>
        <v>2</v>
      </c>
      <c r="O388" cm="1">
        <f t="array" ref="O388">_xlfn.XLOOKUP(Matrix[[#This Row],[TEAM]]&amp;Matrix[[#Headers],[3]],FDR[FDR]&amp;FDR[[#Headers],[3]],FDR[3],"",0,1)</f>
        <v>1</v>
      </c>
      <c r="P388" cm="1">
        <f t="array" ref="P388">_xlfn.XLOOKUP(Matrix[[#This Row],[TEAM]]&amp;Matrix[[#Headers],[4]],FDR[FDR]&amp;FDR[[#Headers],[4]],FDR[4],"",0,1)</f>
        <v>2</v>
      </c>
      <c r="Q388" cm="1">
        <f t="array" ref="Q388">_xlfn.XLOOKUP(Matrix[[#This Row],[TEAM]]&amp;Matrix[[#Headers],[5]],FDR[FDR]&amp;FDR[[#Headers],[5]],FDR[5],"",0,1)</f>
        <v>3</v>
      </c>
      <c r="R388" cm="1">
        <f t="array" ref="R388">_xlfn.XLOOKUP(Matrix[[#This Row],[TEAM]]&amp;Matrix[[#Headers],[6]],FDR[FDR]&amp;FDR[[#Headers],[6]],FDR[6],"",0,1)</f>
        <v>1</v>
      </c>
      <c r="S388" cm="1">
        <f t="array" ref="S388">_xlfn.XLOOKUP(Matrix[[#This Row],[TEAM]]&amp;Matrix[[#Headers],[7]],FDR[FDR]&amp;FDR[[#Headers],[7]],FDR[7],"",0,1)</f>
        <v>3</v>
      </c>
      <c r="T388" cm="1">
        <f t="array" ref="T388">_xlfn.XLOOKUP(Matrix[[#This Row],[TEAM]]&amp;Matrix[[#Headers],[8]],FDR[FDR]&amp;FDR[[#Headers],[8]],FDR[8],"",0,1)</f>
        <v>2</v>
      </c>
      <c r="U388" cm="1">
        <f t="array" ref="U388">_xlfn.XLOOKUP(Matrix[[#This Row],[TEAM]]&amp;Matrix[[#Headers],[9]],FDR[FDR]&amp;FDR[[#Headers],[9]],FDR[9],"",0,1)</f>
        <v>1</v>
      </c>
      <c r="V388" cm="1">
        <f t="array" ref="V388">_xlfn.XLOOKUP(Matrix[[#This Row],[TEAM]]&amp;Matrix[[#Headers],[10]],FDR[FDR]&amp;FDR[[#Headers],[10]],FDR[10],"",0,1)</f>
        <v>3</v>
      </c>
      <c r="W388" cm="1">
        <f t="array" ref="W388">_xlfn.XLOOKUP(Matrix[[#This Row],[TEAM]]&amp;Matrix[[#Headers],[11]],FDR[FDR]&amp;FDR[[#Headers],[11]],FDR[11],"",0,1)</f>
        <v>1</v>
      </c>
      <c r="X388" cm="1">
        <f t="array" ref="X388">_xlfn.XLOOKUP(Matrix[[#This Row],[TEAM]]&amp;Matrix[[#Headers],[12]],FDR[FDR]&amp;FDR[[#Headers],[12]],FDR[12],"",0,1)</f>
        <v>1</v>
      </c>
      <c r="Y388" cm="1">
        <f t="array" ref="Y388">_xlfn.XLOOKUP(Matrix[[#This Row],[TEAM]]&amp;Matrix[[#Headers],[13]],FDR[FDR]&amp;FDR[[#Headers],[13]],FDR[13],"",0,1)</f>
        <v>3</v>
      </c>
      <c r="Z388" cm="1">
        <f t="array" ref="Z388">_xlfn.XLOOKUP(Matrix[[#This Row],[TEAM]]&amp;Matrix[[#Headers],[14]],FDR[FDR]&amp;FDR[[#Headers],[14]],FDR[14],"",0,1)</f>
        <v>1</v>
      </c>
      <c r="AA388" cm="1">
        <f t="array" ref="AA388">_xlfn.XLOOKUP(Matrix[[#This Row],[TEAM]]&amp;Matrix[[#Headers],[15]],FDR[FDR]&amp;FDR[[#Headers],[15]],FDR[15],"",0,1)</f>
        <v>2</v>
      </c>
      <c r="AB388" cm="1">
        <f t="array" ref="AB388">_xlfn.XLOOKUP(Matrix[[#This Row],[TEAM]]&amp;Matrix[[#Headers],[16]],FDR[FDR]&amp;FDR[[#Headers],[16]],FDR[16],"",0,1)</f>
        <v>1</v>
      </c>
      <c r="AC388" cm="1">
        <f t="array" ref="AC388">_xlfn.XLOOKUP(Matrix[[#This Row],[TEAM]]&amp;Matrix[[#Headers],[17]],FDR[FDR]&amp;FDR[[#Headers],[17]],FDR[17],"",0,1)</f>
        <v>3</v>
      </c>
      <c r="AD388" cm="1">
        <f t="array" ref="AD388">_xlfn.XLOOKUP(Matrix[[#This Row],[TEAM]]&amp;Matrix[[#Headers],[18]],FDR[FDR]&amp;FDR[[#Headers],[18]],FDR[18],"",0,1)</f>
        <v>2</v>
      </c>
      <c r="AE388" cm="1">
        <f t="array" ref="AE388">_xlfn.XLOOKUP(Matrix[[#This Row],[TEAM]]&amp;Matrix[[#Headers],[19]],FDR[FDR]&amp;FDR[[#Headers],[19]],FDR[19],"",0,1)</f>
        <v>1</v>
      </c>
      <c r="AF388" cm="1">
        <f t="array" ref="AF388">_xlfn.XLOOKUP(Matrix[[#This Row],[TEAM]]&amp;Matrix[[#Headers],[20]],FDR[FDR]&amp;FDR[[#Headers],[20]],FDR[20],"",0,1)</f>
        <v>4</v>
      </c>
      <c r="AG388" cm="1">
        <f t="array" ref="AG388">_xlfn.XLOOKUP(Matrix[[#This Row],[TEAM]]&amp;Matrix[[#Headers],[21]],FDR[FDR]&amp;FDR[[#Headers],[21]],FDR[21],"",0,1)</f>
        <v>2</v>
      </c>
      <c r="AH388" cm="1">
        <f t="array" ref="AH388">_xlfn.XLOOKUP(Matrix[[#This Row],[TEAM]]&amp;Matrix[[#Headers],[22]],FDR[FDR]&amp;FDR[[#Headers],[22]],FDR[22],"",0,1)</f>
        <v>1</v>
      </c>
      <c r="AI388" cm="1">
        <f t="array" ref="AI388">_xlfn.XLOOKUP(Matrix[[#This Row],[TEAM]]&amp;Matrix[[#Headers],[23]],FDR[FDR]&amp;FDR[[#Headers],[23]],FDR[23],"",0,1)</f>
        <v>2</v>
      </c>
      <c r="AJ388" cm="1">
        <f t="array" ref="AJ388">_xlfn.XLOOKUP(Matrix[[#This Row],[TEAM]]&amp;Matrix[[#Headers],[24]],FDR[FDR]&amp;FDR[[#Headers],[24]],FDR[24],"",0,1)</f>
        <v>1</v>
      </c>
      <c r="AK388" cm="1">
        <f t="array" ref="AK388">_xlfn.XLOOKUP(Matrix[[#This Row],[TEAM]]&amp;Matrix[[#Headers],[25]],FDR[FDR]&amp;FDR[[#Headers],[25]],FDR[25],"",0,1)</f>
        <v>1</v>
      </c>
      <c r="AL388" cm="1">
        <f t="array" ref="AL388">_xlfn.XLOOKUP(Matrix[[#This Row],[TEAM]]&amp;Matrix[[#Headers],[26]],FDR[FDR]&amp;FDR[[#Headers],[26]],FDR[26],"",0,1)</f>
        <v>1</v>
      </c>
      <c r="AM388" cm="1">
        <f t="array" ref="AM388">_xlfn.XLOOKUP(Matrix[[#This Row],[TEAM]]&amp;Matrix[[#Headers],[27]],FDR[FDR]&amp;FDR[[#Headers],[27]],FDR[27],"",0,1)</f>
        <v>1</v>
      </c>
      <c r="AN388" cm="1">
        <f t="array" ref="AN388">_xlfn.XLOOKUP(Matrix[[#This Row],[TEAM]]&amp;Matrix[[#Headers],[28]],FDR[FDR]&amp;FDR[[#Headers],[28]],FDR[28],"",0,1)</f>
        <v>4</v>
      </c>
      <c r="AO388" cm="1">
        <f t="array" ref="AO388">_xlfn.XLOOKUP(Matrix[[#This Row],[TEAM]]&amp;Matrix[[#Headers],[29]],FDR[FDR]&amp;FDR[[#Headers],[29]],FDR[29],"",0,1)</f>
        <v>3</v>
      </c>
      <c r="AP388" cm="1">
        <f t="array" ref="AP388">_xlfn.XLOOKUP(Matrix[[#This Row],[TEAM]]&amp;Matrix[[#Headers],[30]],FDR[FDR]&amp;FDR[[#Headers],[30]],FDR[30],"",0,1)</f>
        <v>2</v>
      </c>
      <c r="AQ388" cm="1">
        <f t="array" ref="AQ388">_xlfn.XLOOKUP(Matrix[[#This Row],[TEAM]]&amp;Matrix[[#Headers],[31]],FDR[FDR]&amp;FDR[[#Headers],[31]],FDR[31],"",0,1)</f>
        <v>2</v>
      </c>
      <c r="AR388" cm="1">
        <f t="array" ref="AR388">_xlfn.XLOOKUP(Matrix[[#This Row],[TEAM]]&amp;Matrix[[#Headers],[32]],FDR[FDR]&amp;FDR[[#Headers],[32]],FDR[32],"",0,1)</f>
        <v>3</v>
      </c>
      <c r="AS388" cm="1">
        <f t="array" ref="AS388">_xlfn.XLOOKUP(Matrix[[#This Row],[TEAM]]&amp;Matrix[[#Headers],[33]],FDR[FDR]&amp;FDR[[#Headers],[33]],FDR[33],"",0,1)</f>
        <v>2</v>
      </c>
      <c r="AT388" cm="1">
        <f t="array" ref="AT388">_xlfn.XLOOKUP(Matrix[[#This Row],[TEAM]]&amp;Matrix[[#Headers],[34]],FDR[FDR]&amp;FDR[[#Headers],[34]],FDR[34],"",0,1)</f>
        <v>2</v>
      </c>
      <c r="AU388" cm="1">
        <f t="array" ref="AU388">_xlfn.XLOOKUP(Matrix[[#This Row],[TEAM]]&amp;Matrix[[#Headers],[35]],FDR[FDR]&amp;FDR[[#Headers],[35]],FDR[35],"",0,1)</f>
        <v>1</v>
      </c>
      <c r="AV388" cm="1">
        <f t="array" ref="AV388">_xlfn.XLOOKUP(Matrix[[#This Row],[TEAM]]&amp;Matrix[[#Headers],[36]],FDR[FDR]&amp;FDR[[#Headers],[36]],FDR[36],"",0,1)</f>
        <v>4</v>
      </c>
      <c r="AW388" cm="1">
        <f t="array" ref="AW388">_xlfn.XLOOKUP(Matrix[[#This Row],[TEAM]]&amp;Matrix[[#Headers],[37]],FDR[FDR]&amp;FDR[[#Headers],[37]],FDR[37],"",0,1)</f>
        <v>2</v>
      </c>
      <c r="AX388" cm="1">
        <f t="array" ref="AX388">_xlfn.XLOOKUP(Matrix[[#This Row],[TEAM]]&amp;Matrix[[#Headers],[38]],FDR[FDR]&amp;FDR[[#Headers],[38]],FDR[38],"",0,1)</f>
        <v>1</v>
      </c>
    </row>
    <row r="389" spans="1:50" ht="22" thickTop="1" thickBot="1">
      <c r="A389" s="50" t="str">
        <f>INDEX!S$4</f>
        <v>MID</v>
      </c>
      <c r="B389" s="70" t="s">
        <v>1737</v>
      </c>
      <c r="C389" s="40" t="s">
        <v>18</v>
      </c>
      <c r="D389" s="69">
        <v>0</v>
      </c>
      <c r="E389" s="60">
        <v>1E-3</v>
      </c>
      <c r="F389" s="61">
        <v>0</v>
      </c>
      <c r="G389" s="63">
        <v>4.5</v>
      </c>
      <c r="H389" s="261">
        <f>IF(ISBLANK(I389),0,1)</f>
        <v>0</v>
      </c>
      <c r="I389" s="57"/>
      <c r="J389" s="58"/>
      <c r="K389" s="59" t="s">
        <v>481</v>
      </c>
      <c r="L389" s="59" t="s">
        <v>950</v>
      </c>
      <c r="M389" cm="1">
        <f t="array" ref="M389">_xlfn.XLOOKUP(Matrix[[#This Row],[TEAM]]&amp;Matrix[[#Headers],[1]],FDR[FDR]&amp;FDR[[#Headers],[1]],FDR[1],"",0,1)</f>
        <v>1</v>
      </c>
      <c r="N389" cm="1">
        <f t="array" ref="N389">_xlfn.XLOOKUP(Matrix[[#This Row],[TEAM]]&amp;Matrix[[#Headers],[2]],FDR[FDR]&amp;FDR[[#Headers],[2]],FDR[2],"",0,1)</f>
        <v>2</v>
      </c>
      <c r="O389" cm="1">
        <f t="array" ref="O389">_xlfn.XLOOKUP(Matrix[[#This Row],[TEAM]]&amp;Matrix[[#Headers],[3]],FDR[FDR]&amp;FDR[[#Headers],[3]],FDR[3],"",0,1)</f>
        <v>1</v>
      </c>
      <c r="P389" cm="1">
        <f t="array" ref="P389">_xlfn.XLOOKUP(Matrix[[#This Row],[TEAM]]&amp;Matrix[[#Headers],[4]],FDR[FDR]&amp;FDR[[#Headers],[4]],FDR[4],"",0,1)</f>
        <v>2</v>
      </c>
      <c r="Q389" cm="1">
        <f t="array" ref="Q389">_xlfn.XLOOKUP(Matrix[[#This Row],[TEAM]]&amp;Matrix[[#Headers],[5]],FDR[FDR]&amp;FDR[[#Headers],[5]],FDR[5],"",0,1)</f>
        <v>3</v>
      </c>
      <c r="R389" cm="1">
        <f t="array" ref="R389">_xlfn.XLOOKUP(Matrix[[#This Row],[TEAM]]&amp;Matrix[[#Headers],[6]],FDR[FDR]&amp;FDR[[#Headers],[6]],FDR[6],"",0,1)</f>
        <v>1</v>
      </c>
      <c r="S389" cm="1">
        <f t="array" ref="S389">_xlfn.XLOOKUP(Matrix[[#This Row],[TEAM]]&amp;Matrix[[#Headers],[7]],FDR[FDR]&amp;FDR[[#Headers],[7]],FDR[7],"",0,1)</f>
        <v>3</v>
      </c>
      <c r="T389" cm="1">
        <f t="array" ref="T389">_xlfn.XLOOKUP(Matrix[[#This Row],[TEAM]]&amp;Matrix[[#Headers],[8]],FDR[FDR]&amp;FDR[[#Headers],[8]],FDR[8],"",0,1)</f>
        <v>2</v>
      </c>
      <c r="U389" cm="1">
        <f t="array" ref="U389">_xlfn.XLOOKUP(Matrix[[#This Row],[TEAM]]&amp;Matrix[[#Headers],[9]],FDR[FDR]&amp;FDR[[#Headers],[9]],FDR[9],"",0,1)</f>
        <v>1</v>
      </c>
      <c r="V389" cm="1">
        <f t="array" ref="V389">_xlfn.XLOOKUP(Matrix[[#This Row],[TEAM]]&amp;Matrix[[#Headers],[10]],FDR[FDR]&amp;FDR[[#Headers],[10]],FDR[10],"",0,1)</f>
        <v>3</v>
      </c>
      <c r="W389" cm="1">
        <f t="array" ref="W389">_xlfn.XLOOKUP(Matrix[[#This Row],[TEAM]]&amp;Matrix[[#Headers],[11]],FDR[FDR]&amp;FDR[[#Headers],[11]],FDR[11],"",0,1)</f>
        <v>1</v>
      </c>
      <c r="X389" cm="1">
        <f t="array" ref="X389">_xlfn.XLOOKUP(Matrix[[#This Row],[TEAM]]&amp;Matrix[[#Headers],[12]],FDR[FDR]&amp;FDR[[#Headers],[12]],FDR[12],"",0,1)</f>
        <v>1</v>
      </c>
      <c r="Y389" cm="1">
        <f t="array" ref="Y389">_xlfn.XLOOKUP(Matrix[[#This Row],[TEAM]]&amp;Matrix[[#Headers],[13]],FDR[FDR]&amp;FDR[[#Headers],[13]],FDR[13],"",0,1)</f>
        <v>3</v>
      </c>
      <c r="Z389" cm="1">
        <f t="array" ref="Z389">_xlfn.XLOOKUP(Matrix[[#This Row],[TEAM]]&amp;Matrix[[#Headers],[14]],FDR[FDR]&amp;FDR[[#Headers],[14]],FDR[14],"",0,1)</f>
        <v>1</v>
      </c>
      <c r="AA389" cm="1">
        <f t="array" ref="AA389">_xlfn.XLOOKUP(Matrix[[#This Row],[TEAM]]&amp;Matrix[[#Headers],[15]],FDR[FDR]&amp;FDR[[#Headers],[15]],FDR[15],"",0,1)</f>
        <v>2</v>
      </c>
      <c r="AB389" cm="1">
        <f t="array" ref="AB389">_xlfn.XLOOKUP(Matrix[[#This Row],[TEAM]]&amp;Matrix[[#Headers],[16]],FDR[FDR]&amp;FDR[[#Headers],[16]],FDR[16],"",0,1)</f>
        <v>1</v>
      </c>
      <c r="AC389" cm="1">
        <f t="array" ref="AC389">_xlfn.XLOOKUP(Matrix[[#This Row],[TEAM]]&amp;Matrix[[#Headers],[17]],FDR[FDR]&amp;FDR[[#Headers],[17]],FDR[17],"",0,1)</f>
        <v>3</v>
      </c>
      <c r="AD389" cm="1">
        <f t="array" ref="AD389">_xlfn.XLOOKUP(Matrix[[#This Row],[TEAM]]&amp;Matrix[[#Headers],[18]],FDR[FDR]&amp;FDR[[#Headers],[18]],FDR[18],"",0,1)</f>
        <v>2</v>
      </c>
      <c r="AE389" cm="1">
        <f t="array" ref="AE389">_xlfn.XLOOKUP(Matrix[[#This Row],[TEAM]]&amp;Matrix[[#Headers],[19]],FDR[FDR]&amp;FDR[[#Headers],[19]],FDR[19],"",0,1)</f>
        <v>1</v>
      </c>
      <c r="AF389" cm="1">
        <f t="array" ref="AF389">_xlfn.XLOOKUP(Matrix[[#This Row],[TEAM]]&amp;Matrix[[#Headers],[20]],FDR[FDR]&amp;FDR[[#Headers],[20]],FDR[20],"",0,1)</f>
        <v>4</v>
      </c>
      <c r="AG389" cm="1">
        <f t="array" ref="AG389">_xlfn.XLOOKUP(Matrix[[#This Row],[TEAM]]&amp;Matrix[[#Headers],[21]],FDR[FDR]&amp;FDR[[#Headers],[21]],FDR[21],"",0,1)</f>
        <v>2</v>
      </c>
      <c r="AH389" cm="1">
        <f t="array" ref="AH389">_xlfn.XLOOKUP(Matrix[[#This Row],[TEAM]]&amp;Matrix[[#Headers],[22]],FDR[FDR]&amp;FDR[[#Headers],[22]],FDR[22],"",0,1)</f>
        <v>1</v>
      </c>
      <c r="AI389" cm="1">
        <f t="array" ref="AI389">_xlfn.XLOOKUP(Matrix[[#This Row],[TEAM]]&amp;Matrix[[#Headers],[23]],FDR[FDR]&amp;FDR[[#Headers],[23]],FDR[23],"",0,1)</f>
        <v>2</v>
      </c>
      <c r="AJ389" cm="1">
        <f t="array" ref="AJ389">_xlfn.XLOOKUP(Matrix[[#This Row],[TEAM]]&amp;Matrix[[#Headers],[24]],FDR[FDR]&amp;FDR[[#Headers],[24]],FDR[24],"",0,1)</f>
        <v>1</v>
      </c>
      <c r="AK389" cm="1">
        <f t="array" ref="AK389">_xlfn.XLOOKUP(Matrix[[#This Row],[TEAM]]&amp;Matrix[[#Headers],[25]],FDR[FDR]&amp;FDR[[#Headers],[25]],FDR[25],"",0,1)</f>
        <v>1</v>
      </c>
      <c r="AL389" cm="1">
        <f t="array" ref="AL389">_xlfn.XLOOKUP(Matrix[[#This Row],[TEAM]]&amp;Matrix[[#Headers],[26]],FDR[FDR]&amp;FDR[[#Headers],[26]],FDR[26],"",0,1)</f>
        <v>1</v>
      </c>
      <c r="AM389" cm="1">
        <f t="array" ref="AM389">_xlfn.XLOOKUP(Matrix[[#This Row],[TEAM]]&amp;Matrix[[#Headers],[27]],FDR[FDR]&amp;FDR[[#Headers],[27]],FDR[27],"",0,1)</f>
        <v>1</v>
      </c>
      <c r="AN389" cm="1">
        <f t="array" ref="AN389">_xlfn.XLOOKUP(Matrix[[#This Row],[TEAM]]&amp;Matrix[[#Headers],[28]],FDR[FDR]&amp;FDR[[#Headers],[28]],FDR[28],"",0,1)</f>
        <v>4</v>
      </c>
      <c r="AO389" cm="1">
        <f t="array" ref="AO389">_xlfn.XLOOKUP(Matrix[[#This Row],[TEAM]]&amp;Matrix[[#Headers],[29]],FDR[FDR]&amp;FDR[[#Headers],[29]],FDR[29],"",0,1)</f>
        <v>3</v>
      </c>
      <c r="AP389" cm="1">
        <f t="array" ref="AP389">_xlfn.XLOOKUP(Matrix[[#This Row],[TEAM]]&amp;Matrix[[#Headers],[30]],FDR[FDR]&amp;FDR[[#Headers],[30]],FDR[30],"",0,1)</f>
        <v>2</v>
      </c>
      <c r="AQ389" cm="1">
        <f t="array" ref="AQ389">_xlfn.XLOOKUP(Matrix[[#This Row],[TEAM]]&amp;Matrix[[#Headers],[31]],FDR[FDR]&amp;FDR[[#Headers],[31]],FDR[31],"",0,1)</f>
        <v>2</v>
      </c>
      <c r="AR389" cm="1">
        <f t="array" ref="AR389">_xlfn.XLOOKUP(Matrix[[#This Row],[TEAM]]&amp;Matrix[[#Headers],[32]],FDR[FDR]&amp;FDR[[#Headers],[32]],FDR[32],"",0,1)</f>
        <v>3</v>
      </c>
      <c r="AS389" cm="1">
        <f t="array" ref="AS389">_xlfn.XLOOKUP(Matrix[[#This Row],[TEAM]]&amp;Matrix[[#Headers],[33]],FDR[FDR]&amp;FDR[[#Headers],[33]],FDR[33],"",0,1)</f>
        <v>2</v>
      </c>
      <c r="AT389" cm="1">
        <f t="array" ref="AT389">_xlfn.XLOOKUP(Matrix[[#This Row],[TEAM]]&amp;Matrix[[#Headers],[34]],FDR[FDR]&amp;FDR[[#Headers],[34]],FDR[34],"",0,1)</f>
        <v>2</v>
      </c>
      <c r="AU389" cm="1">
        <f t="array" ref="AU389">_xlfn.XLOOKUP(Matrix[[#This Row],[TEAM]]&amp;Matrix[[#Headers],[35]],FDR[FDR]&amp;FDR[[#Headers],[35]],FDR[35],"",0,1)</f>
        <v>1</v>
      </c>
      <c r="AV389" cm="1">
        <f t="array" ref="AV389">_xlfn.XLOOKUP(Matrix[[#This Row],[TEAM]]&amp;Matrix[[#Headers],[36]],FDR[FDR]&amp;FDR[[#Headers],[36]],FDR[36],"",0,1)</f>
        <v>4</v>
      </c>
      <c r="AW389" cm="1">
        <f t="array" ref="AW389">_xlfn.XLOOKUP(Matrix[[#This Row],[TEAM]]&amp;Matrix[[#Headers],[37]],FDR[FDR]&amp;FDR[[#Headers],[37]],FDR[37],"",0,1)</f>
        <v>2</v>
      </c>
      <c r="AX389" cm="1">
        <f t="array" ref="AX389">_xlfn.XLOOKUP(Matrix[[#This Row],[TEAM]]&amp;Matrix[[#Headers],[38]],FDR[FDR]&amp;FDR[[#Headers],[38]],FDR[38],"",0,1)</f>
        <v>1</v>
      </c>
    </row>
    <row r="390" spans="1:50" ht="22" thickTop="1" thickBot="1">
      <c r="A390" s="50" t="str">
        <f>INDEX!S$4</f>
        <v>MID</v>
      </c>
      <c r="B390" s="70" t="s">
        <v>1740</v>
      </c>
      <c r="C390" s="40" t="s">
        <v>26</v>
      </c>
      <c r="D390" s="62">
        <v>0</v>
      </c>
      <c r="E390" s="60">
        <v>1E-3</v>
      </c>
      <c r="F390" s="61">
        <v>0</v>
      </c>
      <c r="G390" s="63">
        <v>4.5</v>
      </c>
      <c r="H390" s="261">
        <f>IF(ISBLANK(I390),0,1)</f>
        <v>0</v>
      </c>
      <c r="I390" s="57"/>
      <c r="J390" s="58"/>
      <c r="K390" s="59" t="s">
        <v>956</v>
      </c>
      <c r="L390" s="59" t="s">
        <v>957</v>
      </c>
      <c r="M390" cm="1">
        <f t="array" ref="M390">_xlfn.XLOOKUP(Matrix[[#This Row],[TEAM]]&amp;Matrix[[#Headers],[1]],FDR[FDR]&amp;FDR[[#Headers],[1]],FDR[1],"",0,1)</f>
        <v>5</v>
      </c>
      <c r="N390" cm="1">
        <f t="array" ref="N390">_xlfn.XLOOKUP(Matrix[[#This Row],[TEAM]]&amp;Matrix[[#Headers],[2]],FDR[FDR]&amp;FDR[[#Headers],[2]],FDR[2],"",0,1)</f>
        <v>3</v>
      </c>
      <c r="O390" cm="1">
        <f t="array" ref="O390">_xlfn.XLOOKUP(Matrix[[#This Row],[TEAM]]&amp;Matrix[[#Headers],[3]],FDR[FDR]&amp;FDR[[#Headers],[3]],FDR[3],"",0,1)</f>
        <v>5</v>
      </c>
      <c r="P390" cm="1">
        <f t="array" ref="P390">_xlfn.XLOOKUP(Matrix[[#This Row],[TEAM]]&amp;Matrix[[#Headers],[4]],FDR[FDR]&amp;FDR[[#Headers],[4]],FDR[4],"",0,1)</f>
        <v>1</v>
      </c>
      <c r="Q390" cm="1">
        <f t="array" ref="Q390">_xlfn.XLOOKUP(Matrix[[#This Row],[TEAM]]&amp;Matrix[[#Headers],[5]],FDR[FDR]&amp;FDR[[#Headers],[5]],FDR[5],"",0,1)</f>
        <v>4</v>
      </c>
      <c r="R390" cm="1">
        <f t="array" ref="R390">_xlfn.XLOOKUP(Matrix[[#This Row],[TEAM]]&amp;Matrix[[#Headers],[6]],FDR[FDR]&amp;FDR[[#Headers],[6]],FDR[6],"",0,1)</f>
        <v>4</v>
      </c>
      <c r="S390" cm="1">
        <f t="array" ref="S390">_xlfn.XLOOKUP(Matrix[[#This Row],[TEAM]]&amp;Matrix[[#Headers],[7]],FDR[FDR]&amp;FDR[[#Headers],[7]],FDR[7],"",0,1)</f>
        <v>4</v>
      </c>
      <c r="T390" cm="1">
        <f t="array" ref="T390">_xlfn.XLOOKUP(Matrix[[#This Row],[TEAM]]&amp;Matrix[[#Headers],[8]],FDR[FDR]&amp;FDR[[#Headers],[8]],FDR[8],"",0,1)</f>
        <v>3</v>
      </c>
      <c r="U390" cm="1">
        <f t="array" ref="U390">_xlfn.XLOOKUP(Matrix[[#This Row],[TEAM]]&amp;Matrix[[#Headers],[9]],FDR[FDR]&amp;FDR[[#Headers],[9]],FDR[9],"",0,1)</f>
        <v>5</v>
      </c>
      <c r="V390" cm="1">
        <f t="array" ref="V390">_xlfn.XLOOKUP(Matrix[[#This Row],[TEAM]]&amp;Matrix[[#Headers],[10]],FDR[FDR]&amp;FDR[[#Headers],[10]],FDR[10],"",0,1)</f>
        <v>3</v>
      </c>
      <c r="W390" cm="1">
        <f t="array" ref="W390">_xlfn.XLOOKUP(Matrix[[#This Row],[TEAM]]&amp;Matrix[[#Headers],[11]],FDR[FDR]&amp;FDR[[#Headers],[11]],FDR[11],"",0,1)</f>
        <v>3</v>
      </c>
      <c r="X390" cm="1">
        <f t="array" ref="X390">_xlfn.XLOOKUP(Matrix[[#This Row],[TEAM]]&amp;Matrix[[#Headers],[12]],FDR[FDR]&amp;FDR[[#Headers],[12]],FDR[12],"",0,1)</f>
        <v>2</v>
      </c>
      <c r="Y390" cm="1">
        <f t="array" ref="Y390">_xlfn.XLOOKUP(Matrix[[#This Row],[TEAM]]&amp;Matrix[[#Headers],[13]],FDR[FDR]&amp;FDR[[#Headers],[13]],FDR[13],"",0,1)</f>
        <v>4</v>
      </c>
      <c r="Z390" cm="1">
        <f t="array" ref="Z390">_xlfn.XLOOKUP(Matrix[[#This Row],[TEAM]]&amp;Matrix[[#Headers],[14]],FDR[FDR]&amp;FDR[[#Headers],[14]],FDR[14],"",0,1)</f>
        <v>2</v>
      </c>
      <c r="AA390" cm="1">
        <f t="array" ref="AA390">_xlfn.XLOOKUP(Matrix[[#This Row],[TEAM]]&amp;Matrix[[#Headers],[15]],FDR[FDR]&amp;FDR[[#Headers],[15]],FDR[15],"",0,1)</f>
        <v>4</v>
      </c>
      <c r="AB390" cm="1">
        <f t="array" ref="AB390">_xlfn.XLOOKUP(Matrix[[#This Row],[TEAM]]&amp;Matrix[[#Headers],[16]],FDR[FDR]&amp;FDR[[#Headers],[16]],FDR[16],"",0,1)</f>
        <v>4</v>
      </c>
      <c r="AC390" cm="1">
        <f t="array" ref="AC390">_xlfn.XLOOKUP(Matrix[[#This Row],[TEAM]]&amp;Matrix[[#Headers],[17]],FDR[FDR]&amp;FDR[[#Headers],[17]],FDR[17],"",0,1)</f>
        <v>2</v>
      </c>
      <c r="AD390" cm="1">
        <f t="array" ref="AD390">_xlfn.XLOOKUP(Matrix[[#This Row],[TEAM]]&amp;Matrix[[#Headers],[18]],FDR[FDR]&amp;FDR[[#Headers],[18]],FDR[18],"",0,1)</f>
        <v>4</v>
      </c>
      <c r="AE390" cm="1">
        <f t="array" ref="AE390">_xlfn.XLOOKUP(Matrix[[#This Row],[TEAM]]&amp;Matrix[[#Headers],[19]],FDR[FDR]&amp;FDR[[#Headers],[19]],FDR[19],"",0,1)</f>
        <v>3</v>
      </c>
      <c r="AF390" cm="1">
        <f t="array" ref="AF390">_xlfn.XLOOKUP(Matrix[[#This Row],[TEAM]]&amp;Matrix[[#Headers],[20]],FDR[FDR]&amp;FDR[[#Headers],[20]],FDR[20],"",0,1)</f>
        <v>5</v>
      </c>
      <c r="AG390" cm="1">
        <f t="array" ref="AG390">_xlfn.XLOOKUP(Matrix[[#This Row],[TEAM]]&amp;Matrix[[#Headers],[21]],FDR[FDR]&amp;FDR[[#Headers],[21]],FDR[21],"",0,1)</f>
        <v>4</v>
      </c>
      <c r="AH390" cm="1">
        <f t="array" ref="AH390">_xlfn.XLOOKUP(Matrix[[#This Row],[TEAM]]&amp;Matrix[[#Headers],[22]],FDR[FDR]&amp;FDR[[#Headers],[22]],FDR[22],"",0,1)</f>
        <v>2</v>
      </c>
      <c r="AI390" cm="1">
        <f t="array" ref="AI390">_xlfn.XLOOKUP(Matrix[[#This Row],[TEAM]]&amp;Matrix[[#Headers],[23]],FDR[FDR]&amp;FDR[[#Headers],[23]],FDR[23],"",0,1)</f>
        <v>4</v>
      </c>
      <c r="AJ390" cm="1">
        <f t="array" ref="AJ390">_xlfn.XLOOKUP(Matrix[[#This Row],[TEAM]]&amp;Matrix[[#Headers],[24]],FDR[FDR]&amp;FDR[[#Headers],[24]],FDR[24],"",0,1)</f>
        <v>4</v>
      </c>
      <c r="AK390" cm="1">
        <f t="array" ref="AK390">_xlfn.XLOOKUP(Matrix[[#This Row],[TEAM]]&amp;Matrix[[#Headers],[25]],FDR[FDR]&amp;FDR[[#Headers],[25]],FDR[25],"",0,1)</f>
        <v>4</v>
      </c>
      <c r="AL390" cm="1">
        <f t="array" ref="AL390">_xlfn.XLOOKUP(Matrix[[#This Row],[TEAM]]&amp;Matrix[[#Headers],[26]],FDR[FDR]&amp;FDR[[#Headers],[26]],FDR[26],"",0,1)</f>
        <v>1</v>
      </c>
      <c r="AM390" cm="1">
        <f t="array" ref="AM390">_xlfn.XLOOKUP(Matrix[[#This Row],[TEAM]]&amp;Matrix[[#Headers],[27]],FDR[FDR]&amp;FDR[[#Headers],[27]],FDR[27],"",0,1)</f>
        <v>2</v>
      </c>
      <c r="AN390" cm="1">
        <f t="array" ref="AN390">_xlfn.XLOOKUP(Matrix[[#This Row],[TEAM]]&amp;Matrix[[#Headers],[28]],FDR[FDR]&amp;FDR[[#Headers],[28]],FDR[28],"",0,1)</f>
        <v>5</v>
      </c>
      <c r="AO390" cm="1">
        <f t="array" ref="AO390">_xlfn.XLOOKUP(Matrix[[#This Row],[TEAM]]&amp;Matrix[[#Headers],[29]],FDR[FDR]&amp;FDR[[#Headers],[29]],FDR[29],"",0,1)</f>
        <v>5</v>
      </c>
      <c r="AP390" cm="1">
        <f t="array" ref="AP390">_xlfn.XLOOKUP(Matrix[[#This Row],[TEAM]]&amp;Matrix[[#Headers],[30]],FDR[FDR]&amp;FDR[[#Headers],[30]],FDR[30],"",0,1)</f>
        <v>1</v>
      </c>
      <c r="AQ390" cm="1">
        <f t="array" ref="AQ390">_xlfn.XLOOKUP(Matrix[[#This Row],[TEAM]]&amp;Matrix[[#Headers],[31]],FDR[FDR]&amp;FDR[[#Headers],[31]],FDR[31],"",0,1)</f>
        <v>5</v>
      </c>
      <c r="AR390" cm="1">
        <f t="array" ref="AR390">_xlfn.XLOOKUP(Matrix[[#This Row],[TEAM]]&amp;Matrix[[#Headers],[32]],FDR[FDR]&amp;FDR[[#Headers],[32]],FDR[32],"",0,1)</f>
        <v>4</v>
      </c>
      <c r="AS390" cm="1">
        <f t="array" ref="AS390">_xlfn.XLOOKUP(Matrix[[#This Row],[TEAM]]&amp;Matrix[[#Headers],[33]],FDR[FDR]&amp;FDR[[#Headers],[33]],FDR[33],"",0,1)</f>
        <v>3</v>
      </c>
      <c r="AT390" cm="1">
        <f t="array" ref="AT390">_xlfn.XLOOKUP(Matrix[[#This Row],[TEAM]]&amp;Matrix[[#Headers],[34]],FDR[FDR]&amp;FDR[[#Headers],[34]],FDR[34],"",0,1)</f>
        <v>5</v>
      </c>
      <c r="AU390" cm="1">
        <f t="array" ref="AU390">_xlfn.XLOOKUP(Matrix[[#This Row],[TEAM]]&amp;Matrix[[#Headers],[35]],FDR[FDR]&amp;FDR[[#Headers],[35]],FDR[35],"",0,1)</f>
        <v>4</v>
      </c>
      <c r="AV390" cm="1">
        <f t="array" ref="AV390">_xlfn.XLOOKUP(Matrix[[#This Row],[TEAM]]&amp;Matrix[[#Headers],[36]],FDR[FDR]&amp;FDR[[#Headers],[36]],FDR[36],"",0,1)</f>
        <v>3</v>
      </c>
      <c r="AW390" cm="1">
        <f t="array" ref="AW390">_xlfn.XLOOKUP(Matrix[[#This Row],[TEAM]]&amp;Matrix[[#Headers],[37]],FDR[FDR]&amp;FDR[[#Headers],[37]],FDR[37],"",0,1)</f>
        <v>4</v>
      </c>
      <c r="AX390" cm="1">
        <f t="array" ref="AX390">_xlfn.XLOOKUP(Matrix[[#This Row],[TEAM]]&amp;Matrix[[#Headers],[38]],FDR[FDR]&amp;FDR[[#Headers],[38]],FDR[38],"",0,1)</f>
        <v>4</v>
      </c>
    </row>
    <row r="391" spans="1:50" ht="22" thickTop="1" thickBot="1">
      <c r="A391" s="50" t="str">
        <f>INDEX!S$4</f>
        <v>MID</v>
      </c>
      <c r="B391" s="70" t="s">
        <v>1778</v>
      </c>
      <c r="C391" s="40" t="s">
        <v>26</v>
      </c>
      <c r="D391" s="62">
        <v>0</v>
      </c>
      <c r="E391" s="60">
        <v>0</v>
      </c>
      <c r="F391" s="61">
        <v>0</v>
      </c>
      <c r="G391" s="63">
        <v>4.5</v>
      </c>
      <c r="H391" s="261">
        <f>IF(ISBLANK(I391),0,1)</f>
        <v>0</v>
      </c>
      <c r="I391" s="57"/>
      <c r="J391" s="58"/>
      <c r="K391" s="59" t="s">
        <v>961</v>
      </c>
      <c r="L391" s="59" t="s">
        <v>962</v>
      </c>
      <c r="M391" cm="1">
        <f t="array" ref="M391">_xlfn.XLOOKUP(Matrix[[#This Row],[TEAM]]&amp;Matrix[[#Headers],[1]],FDR[FDR]&amp;FDR[[#Headers],[1]],FDR[1],"",0,1)</f>
        <v>5</v>
      </c>
      <c r="N391" cm="1">
        <f t="array" ref="N391">_xlfn.XLOOKUP(Matrix[[#This Row],[TEAM]]&amp;Matrix[[#Headers],[2]],FDR[FDR]&amp;FDR[[#Headers],[2]],FDR[2],"",0,1)</f>
        <v>3</v>
      </c>
      <c r="O391" cm="1">
        <f t="array" ref="O391">_xlfn.XLOOKUP(Matrix[[#This Row],[TEAM]]&amp;Matrix[[#Headers],[3]],FDR[FDR]&amp;FDR[[#Headers],[3]],FDR[3],"",0,1)</f>
        <v>5</v>
      </c>
      <c r="P391" cm="1">
        <f t="array" ref="P391">_xlfn.XLOOKUP(Matrix[[#This Row],[TEAM]]&amp;Matrix[[#Headers],[4]],FDR[FDR]&amp;FDR[[#Headers],[4]],FDR[4],"",0,1)</f>
        <v>1</v>
      </c>
      <c r="Q391" cm="1">
        <f t="array" ref="Q391">_xlfn.XLOOKUP(Matrix[[#This Row],[TEAM]]&amp;Matrix[[#Headers],[5]],FDR[FDR]&amp;FDR[[#Headers],[5]],FDR[5],"",0,1)</f>
        <v>4</v>
      </c>
      <c r="R391" cm="1">
        <f t="array" ref="R391">_xlfn.XLOOKUP(Matrix[[#This Row],[TEAM]]&amp;Matrix[[#Headers],[6]],FDR[FDR]&amp;FDR[[#Headers],[6]],FDR[6],"",0,1)</f>
        <v>4</v>
      </c>
      <c r="S391" cm="1">
        <f t="array" ref="S391">_xlfn.XLOOKUP(Matrix[[#This Row],[TEAM]]&amp;Matrix[[#Headers],[7]],FDR[FDR]&amp;FDR[[#Headers],[7]],FDR[7],"",0,1)</f>
        <v>4</v>
      </c>
      <c r="T391" cm="1">
        <f t="array" ref="T391">_xlfn.XLOOKUP(Matrix[[#This Row],[TEAM]]&amp;Matrix[[#Headers],[8]],FDR[FDR]&amp;FDR[[#Headers],[8]],FDR[8],"",0,1)</f>
        <v>3</v>
      </c>
      <c r="U391" cm="1">
        <f t="array" ref="U391">_xlfn.XLOOKUP(Matrix[[#This Row],[TEAM]]&amp;Matrix[[#Headers],[9]],FDR[FDR]&amp;FDR[[#Headers],[9]],FDR[9],"",0,1)</f>
        <v>5</v>
      </c>
      <c r="V391" cm="1">
        <f t="array" ref="V391">_xlfn.XLOOKUP(Matrix[[#This Row],[TEAM]]&amp;Matrix[[#Headers],[10]],FDR[FDR]&amp;FDR[[#Headers],[10]],FDR[10],"",0,1)</f>
        <v>3</v>
      </c>
      <c r="W391" cm="1">
        <f t="array" ref="W391">_xlfn.XLOOKUP(Matrix[[#This Row],[TEAM]]&amp;Matrix[[#Headers],[11]],FDR[FDR]&amp;FDR[[#Headers],[11]],FDR[11],"",0,1)</f>
        <v>3</v>
      </c>
      <c r="X391" cm="1">
        <f t="array" ref="X391">_xlfn.XLOOKUP(Matrix[[#This Row],[TEAM]]&amp;Matrix[[#Headers],[12]],FDR[FDR]&amp;FDR[[#Headers],[12]],FDR[12],"",0,1)</f>
        <v>2</v>
      </c>
      <c r="Y391" cm="1">
        <f t="array" ref="Y391">_xlfn.XLOOKUP(Matrix[[#This Row],[TEAM]]&amp;Matrix[[#Headers],[13]],FDR[FDR]&amp;FDR[[#Headers],[13]],FDR[13],"",0,1)</f>
        <v>4</v>
      </c>
      <c r="Z391" cm="1">
        <f t="array" ref="Z391">_xlfn.XLOOKUP(Matrix[[#This Row],[TEAM]]&amp;Matrix[[#Headers],[14]],FDR[FDR]&amp;FDR[[#Headers],[14]],FDR[14],"",0,1)</f>
        <v>2</v>
      </c>
      <c r="AA391" cm="1">
        <f t="array" ref="AA391">_xlfn.XLOOKUP(Matrix[[#This Row],[TEAM]]&amp;Matrix[[#Headers],[15]],FDR[FDR]&amp;FDR[[#Headers],[15]],FDR[15],"",0,1)</f>
        <v>4</v>
      </c>
      <c r="AB391" cm="1">
        <f t="array" ref="AB391">_xlfn.XLOOKUP(Matrix[[#This Row],[TEAM]]&amp;Matrix[[#Headers],[16]],FDR[FDR]&amp;FDR[[#Headers],[16]],FDR[16],"",0,1)</f>
        <v>4</v>
      </c>
      <c r="AC391" cm="1">
        <f t="array" ref="AC391">_xlfn.XLOOKUP(Matrix[[#This Row],[TEAM]]&amp;Matrix[[#Headers],[17]],FDR[FDR]&amp;FDR[[#Headers],[17]],FDR[17],"",0,1)</f>
        <v>2</v>
      </c>
      <c r="AD391" cm="1">
        <f t="array" ref="AD391">_xlfn.XLOOKUP(Matrix[[#This Row],[TEAM]]&amp;Matrix[[#Headers],[18]],FDR[FDR]&amp;FDR[[#Headers],[18]],FDR[18],"",0,1)</f>
        <v>4</v>
      </c>
      <c r="AE391" cm="1">
        <f t="array" ref="AE391">_xlfn.XLOOKUP(Matrix[[#This Row],[TEAM]]&amp;Matrix[[#Headers],[19]],FDR[FDR]&amp;FDR[[#Headers],[19]],FDR[19],"",0,1)</f>
        <v>3</v>
      </c>
      <c r="AF391" cm="1">
        <f t="array" ref="AF391">_xlfn.XLOOKUP(Matrix[[#This Row],[TEAM]]&amp;Matrix[[#Headers],[20]],FDR[FDR]&amp;FDR[[#Headers],[20]],FDR[20],"",0,1)</f>
        <v>5</v>
      </c>
      <c r="AG391" cm="1">
        <f t="array" ref="AG391">_xlfn.XLOOKUP(Matrix[[#This Row],[TEAM]]&amp;Matrix[[#Headers],[21]],FDR[FDR]&amp;FDR[[#Headers],[21]],FDR[21],"",0,1)</f>
        <v>4</v>
      </c>
      <c r="AH391" cm="1">
        <f t="array" ref="AH391">_xlfn.XLOOKUP(Matrix[[#This Row],[TEAM]]&amp;Matrix[[#Headers],[22]],FDR[FDR]&amp;FDR[[#Headers],[22]],FDR[22],"",0,1)</f>
        <v>2</v>
      </c>
      <c r="AI391" cm="1">
        <f t="array" ref="AI391">_xlfn.XLOOKUP(Matrix[[#This Row],[TEAM]]&amp;Matrix[[#Headers],[23]],FDR[FDR]&amp;FDR[[#Headers],[23]],FDR[23],"",0,1)</f>
        <v>4</v>
      </c>
      <c r="AJ391" cm="1">
        <f t="array" ref="AJ391">_xlfn.XLOOKUP(Matrix[[#This Row],[TEAM]]&amp;Matrix[[#Headers],[24]],FDR[FDR]&amp;FDR[[#Headers],[24]],FDR[24],"",0,1)</f>
        <v>4</v>
      </c>
      <c r="AK391" cm="1">
        <f t="array" ref="AK391">_xlfn.XLOOKUP(Matrix[[#This Row],[TEAM]]&amp;Matrix[[#Headers],[25]],FDR[FDR]&amp;FDR[[#Headers],[25]],FDR[25],"",0,1)</f>
        <v>4</v>
      </c>
      <c r="AL391" cm="1">
        <f t="array" ref="AL391">_xlfn.XLOOKUP(Matrix[[#This Row],[TEAM]]&amp;Matrix[[#Headers],[26]],FDR[FDR]&amp;FDR[[#Headers],[26]],FDR[26],"",0,1)</f>
        <v>1</v>
      </c>
      <c r="AM391" cm="1">
        <f t="array" ref="AM391">_xlfn.XLOOKUP(Matrix[[#This Row],[TEAM]]&amp;Matrix[[#Headers],[27]],FDR[FDR]&amp;FDR[[#Headers],[27]],FDR[27],"",0,1)</f>
        <v>2</v>
      </c>
      <c r="AN391" cm="1">
        <f t="array" ref="AN391">_xlfn.XLOOKUP(Matrix[[#This Row],[TEAM]]&amp;Matrix[[#Headers],[28]],FDR[FDR]&amp;FDR[[#Headers],[28]],FDR[28],"",0,1)</f>
        <v>5</v>
      </c>
      <c r="AO391" cm="1">
        <f t="array" ref="AO391">_xlfn.XLOOKUP(Matrix[[#This Row],[TEAM]]&amp;Matrix[[#Headers],[29]],FDR[FDR]&amp;FDR[[#Headers],[29]],FDR[29],"",0,1)</f>
        <v>5</v>
      </c>
      <c r="AP391" cm="1">
        <f t="array" ref="AP391">_xlfn.XLOOKUP(Matrix[[#This Row],[TEAM]]&amp;Matrix[[#Headers],[30]],FDR[FDR]&amp;FDR[[#Headers],[30]],FDR[30],"",0,1)</f>
        <v>1</v>
      </c>
      <c r="AQ391" cm="1">
        <f t="array" ref="AQ391">_xlfn.XLOOKUP(Matrix[[#This Row],[TEAM]]&amp;Matrix[[#Headers],[31]],FDR[FDR]&amp;FDR[[#Headers],[31]],FDR[31],"",0,1)</f>
        <v>5</v>
      </c>
      <c r="AR391" cm="1">
        <f t="array" ref="AR391">_xlfn.XLOOKUP(Matrix[[#This Row],[TEAM]]&amp;Matrix[[#Headers],[32]],FDR[FDR]&amp;FDR[[#Headers],[32]],FDR[32],"",0,1)</f>
        <v>4</v>
      </c>
      <c r="AS391" cm="1">
        <f t="array" ref="AS391">_xlfn.XLOOKUP(Matrix[[#This Row],[TEAM]]&amp;Matrix[[#Headers],[33]],FDR[FDR]&amp;FDR[[#Headers],[33]],FDR[33],"",0,1)</f>
        <v>3</v>
      </c>
      <c r="AT391" cm="1">
        <f t="array" ref="AT391">_xlfn.XLOOKUP(Matrix[[#This Row],[TEAM]]&amp;Matrix[[#Headers],[34]],FDR[FDR]&amp;FDR[[#Headers],[34]],FDR[34],"",0,1)</f>
        <v>5</v>
      </c>
      <c r="AU391" cm="1">
        <f t="array" ref="AU391">_xlfn.XLOOKUP(Matrix[[#This Row],[TEAM]]&amp;Matrix[[#Headers],[35]],FDR[FDR]&amp;FDR[[#Headers],[35]],FDR[35],"",0,1)</f>
        <v>4</v>
      </c>
      <c r="AV391" cm="1">
        <f t="array" ref="AV391">_xlfn.XLOOKUP(Matrix[[#This Row],[TEAM]]&amp;Matrix[[#Headers],[36]],FDR[FDR]&amp;FDR[[#Headers],[36]],FDR[36],"",0,1)</f>
        <v>3</v>
      </c>
      <c r="AW391" cm="1">
        <f t="array" ref="AW391">_xlfn.XLOOKUP(Matrix[[#This Row],[TEAM]]&amp;Matrix[[#Headers],[37]],FDR[FDR]&amp;FDR[[#Headers],[37]],FDR[37],"",0,1)</f>
        <v>4</v>
      </c>
      <c r="AX391" cm="1">
        <f t="array" ref="AX391">_xlfn.XLOOKUP(Matrix[[#This Row],[TEAM]]&amp;Matrix[[#Headers],[38]],FDR[FDR]&amp;FDR[[#Headers],[38]],FDR[38],"",0,1)</f>
        <v>4</v>
      </c>
    </row>
    <row r="392" spans="1:50" ht="22" thickTop="1" thickBot="1">
      <c r="A392" s="50" t="str">
        <f>INDEX!S$4</f>
        <v>MID</v>
      </c>
      <c r="B392" s="70" t="s">
        <v>1779</v>
      </c>
      <c r="C392" s="40" t="s">
        <v>26</v>
      </c>
      <c r="D392" s="62">
        <v>0</v>
      </c>
      <c r="E392" s="60">
        <v>0</v>
      </c>
      <c r="F392" s="61">
        <v>0</v>
      </c>
      <c r="G392" s="63">
        <v>4.5</v>
      </c>
      <c r="H392" s="261">
        <f>IF(ISBLANK(I392),0,1)</f>
        <v>0</v>
      </c>
      <c r="I392" s="57"/>
      <c r="J392" s="58"/>
      <c r="K392" s="59" t="s">
        <v>959</v>
      </c>
      <c r="L392" s="59" t="s">
        <v>960</v>
      </c>
      <c r="M392" cm="1">
        <f t="array" ref="M392">_xlfn.XLOOKUP(Matrix[[#This Row],[TEAM]]&amp;Matrix[[#Headers],[1]],FDR[FDR]&amp;FDR[[#Headers],[1]],FDR[1],"",0,1)</f>
        <v>5</v>
      </c>
      <c r="N392" cm="1">
        <f t="array" ref="N392">_xlfn.XLOOKUP(Matrix[[#This Row],[TEAM]]&amp;Matrix[[#Headers],[2]],FDR[FDR]&amp;FDR[[#Headers],[2]],FDR[2],"",0,1)</f>
        <v>3</v>
      </c>
      <c r="O392" cm="1">
        <f t="array" ref="O392">_xlfn.XLOOKUP(Matrix[[#This Row],[TEAM]]&amp;Matrix[[#Headers],[3]],FDR[FDR]&amp;FDR[[#Headers],[3]],FDR[3],"",0,1)</f>
        <v>5</v>
      </c>
      <c r="P392" cm="1">
        <f t="array" ref="P392">_xlfn.XLOOKUP(Matrix[[#This Row],[TEAM]]&amp;Matrix[[#Headers],[4]],FDR[FDR]&amp;FDR[[#Headers],[4]],FDR[4],"",0,1)</f>
        <v>1</v>
      </c>
      <c r="Q392" cm="1">
        <f t="array" ref="Q392">_xlfn.XLOOKUP(Matrix[[#This Row],[TEAM]]&amp;Matrix[[#Headers],[5]],FDR[FDR]&amp;FDR[[#Headers],[5]],FDR[5],"",0,1)</f>
        <v>4</v>
      </c>
      <c r="R392" cm="1">
        <f t="array" ref="R392">_xlfn.XLOOKUP(Matrix[[#This Row],[TEAM]]&amp;Matrix[[#Headers],[6]],FDR[FDR]&amp;FDR[[#Headers],[6]],FDR[6],"",0,1)</f>
        <v>4</v>
      </c>
      <c r="S392" cm="1">
        <f t="array" ref="S392">_xlfn.XLOOKUP(Matrix[[#This Row],[TEAM]]&amp;Matrix[[#Headers],[7]],FDR[FDR]&amp;FDR[[#Headers],[7]],FDR[7],"",0,1)</f>
        <v>4</v>
      </c>
      <c r="T392" cm="1">
        <f t="array" ref="T392">_xlfn.XLOOKUP(Matrix[[#This Row],[TEAM]]&amp;Matrix[[#Headers],[8]],FDR[FDR]&amp;FDR[[#Headers],[8]],FDR[8],"",0,1)</f>
        <v>3</v>
      </c>
      <c r="U392" cm="1">
        <f t="array" ref="U392">_xlfn.XLOOKUP(Matrix[[#This Row],[TEAM]]&amp;Matrix[[#Headers],[9]],FDR[FDR]&amp;FDR[[#Headers],[9]],FDR[9],"",0,1)</f>
        <v>5</v>
      </c>
      <c r="V392" cm="1">
        <f t="array" ref="V392">_xlfn.XLOOKUP(Matrix[[#This Row],[TEAM]]&amp;Matrix[[#Headers],[10]],FDR[FDR]&amp;FDR[[#Headers],[10]],FDR[10],"",0,1)</f>
        <v>3</v>
      </c>
      <c r="W392" cm="1">
        <f t="array" ref="W392">_xlfn.XLOOKUP(Matrix[[#This Row],[TEAM]]&amp;Matrix[[#Headers],[11]],FDR[FDR]&amp;FDR[[#Headers],[11]],FDR[11],"",0,1)</f>
        <v>3</v>
      </c>
      <c r="X392" cm="1">
        <f t="array" ref="X392">_xlfn.XLOOKUP(Matrix[[#This Row],[TEAM]]&amp;Matrix[[#Headers],[12]],FDR[FDR]&amp;FDR[[#Headers],[12]],FDR[12],"",0,1)</f>
        <v>2</v>
      </c>
      <c r="Y392" cm="1">
        <f t="array" ref="Y392">_xlfn.XLOOKUP(Matrix[[#This Row],[TEAM]]&amp;Matrix[[#Headers],[13]],FDR[FDR]&amp;FDR[[#Headers],[13]],FDR[13],"",0,1)</f>
        <v>4</v>
      </c>
      <c r="Z392" cm="1">
        <f t="array" ref="Z392">_xlfn.XLOOKUP(Matrix[[#This Row],[TEAM]]&amp;Matrix[[#Headers],[14]],FDR[FDR]&amp;FDR[[#Headers],[14]],FDR[14],"",0,1)</f>
        <v>2</v>
      </c>
      <c r="AA392" cm="1">
        <f t="array" ref="AA392">_xlfn.XLOOKUP(Matrix[[#This Row],[TEAM]]&amp;Matrix[[#Headers],[15]],FDR[FDR]&amp;FDR[[#Headers],[15]],FDR[15],"",0,1)</f>
        <v>4</v>
      </c>
      <c r="AB392" cm="1">
        <f t="array" ref="AB392">_xlfn.XLOOKUP(Matrix[[#This Row],[TEAM]]&amp;Matrix[[#Headers],[16]],FDR[FDR]&amp;FDR[[#Headers],[16]],FDR[16],"",0,1)</f>
        <v>4</v>
      </c>
      <c r="AC392" cm="1">
        <f t="array" ref="AC392">_xlfn.XLOOKUP(Matrix[[#This Row],[TEAM]]&amp;Matrix[[#Headers],[17]],FDR[FDR]&amp;FDR[[#Headers],[17]],FDR[17],"",0,1)</f>
        <v>2</v>
      </c>
      <c r="AD392" cm="1">
        <f t="array" ref="AD392">_xlfn.XLOOKUP(Matrix[[#This Row],[TEAM]]&amp;Matrix[[#Headers],[18]],FDR[FDR]&amp;FDR[[#Headers],[18]],FDR[18],"",0,1)</f>
        <v>4</v>
      </c>
      <c r="AE392" cm="1">
        <f t="array" ref="AE392">_xlfn.XLOOKUP(Matrix[[#This Row],[TEAM]]&amp;Matrix[[#Headers],[19]],FDR[FDR]&amp;FDR[[#Headers],[19]],FDR[19],"",0,1)</f>
        <v>3</v>
      </c>
      <c r="AF392" cm="1">
        <f t="array" ref="AF392">_xlfn.XLOOKUP(Matrix[[#This Row],[TEAM]]&amp;Matrix[[#Headers],[20]],FDR[FDR]&amp;FDR[[#Headers],[20]],FDR[20],"",0,1)</f>
        <v>5</v>
      </c>
      <c r="AG392" cm="1">
        <f t="array" ref="AG392">_xlfn.XLOOKUP(Matrix[[#This Row],[TEAM]]&amp;Matrix[[#Headers],[21]],FDR[FDR]&amp;FDR[[#Headers],[21]],FDR[21],"",0,1)</f>
        <v>4</v>
      </c>
      <c r="AH392" cm="1">
        <f t="array" ref="AH392">_xlfn.XLOOKUP(Matrix[[#This Row],[TEAM]]&amp;Matrix[[#Headers],[22]],FDR[FDR]&amp;FDR[[#Headers],[22]],FDR[22],"",0,1)</f>
        <v>2</v>
      </c>
      <c r="AI392" cm="1">
        <f t="array" ref="AI392">_xlfn.XLOOKUP(Matrix[[#This Row],[TEAM]]&amp;Matrix[[#Headers],[23]],FDR[FDR]&amp;FDR[[#Headers],[23]],FDR[23],"",0,1)</f>
        <v>4</v>
      </c>
      <c r="AJ392" cm="1">
        <f t="array" ref="AJ392">_xlfn.XLOOKUP(Matrix[[#This Row],[TEAM]]&amp;Matrix[[#Headers],[24]],FDR[FDR]&amp;FDR[[#Headers],[24]],FDR[24],"",0,1)</f>
        <v>4</v>
      </c>
      <c r="AK392" cm="1">
        <f t="array" ref="AK392">_xlfn.XLOOKUP(Matrix[[#This Row],[TEAM]]&amp;Matrix[[#Headers],[25]],FDR[FDR]&amp;FDR[[#Headers],[25]],FDR[25],"",0,1)</f>
        <v>4</v>
      </c>
      <c r="AL392" cm="1">
        <f t="array" ref="AL392">_xlfn.XLOOKUP(Matrix[[#This Row],[TEAM]]&amp;Matrix[[#Headers],[26]],FDR[FDR]&amp;FDR[[#Headers],[26]],FDR[26],"",0,1)</f>
        <v>1</v>
      </c>
      <c r="AM392" cm="1">
        <f t="array" ref="AM392">_xlfn.XLOOKUP(Matrix[[#This Row],[TEAM]]&amp;Matrix[[#Headers],[27]],FDR[FDR]&amp;FDR[[#Headers],[27]],FDR[27],"",0,1)</f>
        <v>2</v>
      </c>
      <c r="AN392" cm="1">
        <f t="array" ref="AN392">_xlfn.XLOOKUP(Matrix[[#This Row],[TEAM]]&amp;Matrix[[#Headers],[28]],FDR[FDR]&amp;FDR[[#Headers],[28]],FDR[28],"",0,1)</f>
        <v>5</v>
      </c>
      <c r="AO392" cm="1">
        <f t="array" ref="AO392">_xlfn.XLOOKUP(Matrix[[#This Row],[TEAM]]&amp;Matrix[[#Headers],[29]],FDR[FDR]&amp;FDR[[#Headers],[29]],FDR[29],"",0,1)</f>
        <v>5</v>
      </c>
      <c r="AP392" cm="1">
        <f t="array" ref="AP392">_xlfn.XLOOKUP(Matrix[[#This Row],[TEAM]]&amp;Matrix[[#Headers],[30]],FDR[FDR]&amp;FDR[[#Headers],[30]],FDR[30],"",0,1)</f>
        <v>1</v>
      </c>
      <c r="AQ392" cm="1">
        <f t="array" ref="AQ392">_xlfn.XLOOKUP(Matrix[[#This Row],[TEAM]]&amp;Matrix[[#Headers],[31]],FDR[FDR]&amp;FDR[[#Headers],[31]],FDR[31],"",0,1)</f>
        <v>5</v>
      </c>
      <c r="AR392" cm="1">
        <f t="array" ref="AR392">_xlfn.XLOOKUP(Matrix[[#This Row],[TEAM]]&amp;Matrix[[#Headers],[32]],FDR[FDR]&amp;FDR[[#Headers],[32]],FDR[32],"",0,1)</f>
        <v>4</v>
      </c>
      <c r="AS392" cm="1">
        <f t="array" ref="AS392">_xlfn.XLOOKUP(Matrix[[#This Row],[TEAM]]&amp;Matrix[[#Headers],[33]],FDR[FDR]&amp;FDR[[#Headers],[33]],FDR[33],"",0,1)</f>
        <v>3</v>
      </c>
      <c r="AT392" cm="1">
        <f t="array" ref="AT392">_xlfn.XLOOKUP(Matrix[[#This Row],[TEAM]]&amp;Matrix[[#Headers],[34]],FDR[FDR]&amp;FDR[[#Headers],[34]],FDR[34],"",0,1)</f>
        <v>5</v>
      </c>
      <c r="AU392" cm="1">
        <f t="array" ref="AU392">_xlfn.XLOOKUP(Matrix[[#This Row],[TEAM]]&amp;Matrix[[#Headers],[35]],FDR[FDR]&amp;FDR[[#Headers],[35]],FDR[35],"",0,1)</f>
        <v>4</v>
      </c>
      <c r="AV392" cm="1">
        <f t="array" ref="AV392">_xlfn.XLOOKUP(Matrix[[#This Row],[TEAM]]&amp;Matrix[[#Headers],[36]],FDR[FDR]&amp;FDR[[#Headers],[36]],FDR[36],"",0,1)</f>
        <v>3</v>
      </c>
      <c r="AW392" cm="1">
        <f t="array" ref="AW392">_xlfn.XLOOKUP(Matrix[[#This Row],[TEAM]]&amp;Matrix[[#Headers],[37]],FDR[FDR]&amp;FDR[[#Headers],[37]],FDR[37],"",0,1)</f>
        <v>4</v>
      </c>
      <c r="AX392" cm="1">
        <f t="array" ref="AX392">_xlfn.XLOOKUP(Matrix[[#This Row],[TEAM]]&amp;Matrix[[#Headers],[38]],FDR[FDR]&amp;FDR[[#Headers],[38]],FDR[38],"",0,1)</f>
        <v>4</v>
      </c>
    </row>
    <row r="393" spans="1:50" ht="22" thickTop="1" thickBot="1">
      <c r="A393" s="50" t="str">
        <f>INDEX!S$4</f>
        <v>MID</v>
      </c>
      <c r="B393" s="70" t="s">
        <v>1780</v>
      </c>
      <c r="C393" s="40" t="s">
        <v>26</v>
      </c>
      <c r="D393" s="62">
        <v>0</v>
      </c>
      <c r="E393" s="60">
        <v>0</v>
      </c>
      <c r="F393" s="61">
        <v>0</v>
      </c>
      <c r="G393" s="63">
        <v>4.5</v>
      </c>
      <c r="H393" s="261">
        <f>IF(ISBLANK(I393),0,1)</f>
        <v>0</v>
      </c>
      <c r="I393" s="57"/>
      <c r="J393" s="58"/>
      <c r="K393" s="59" t="s">
        <v>558</v>
      </c>
      <c r="L393" s="59" t="s">
        <v>262</v>
      </c>
      <c r="M393" cm="1">
        <f t="array" ref="M393">_xlfn.XLOOKUP(Matrix[[#This Row],[TEAM]]&amp;Matrix[[#Headers],[1]],FDR[FDR]&amp;FDR[[#Headers],[1]],FDR[1],"",0,1)</f>
        <v>5</v>
      </c>
      <c r="N393" cm="1">
        <f t="array" ref="N393">_xlfn.XLOOKUP(Matrix[[#This Row],[TEAM]]&amp;Matrix[[#Headers],[2]],FDR[FDR]&amp;FDR[[#Headers],[2]],FDR[2],"",0,1)</f>
        <v>3</v>
      </c>
      <c r="O393" cm="1">
        <f t="array" ref="O393">_xlfn.XLOOKUP(Matrix[[#This Row],[TEAM]]&amp;Matrix[[#Headers],[3]],FDR[FDR]&amp;FDR[[#Headers],[3]],FDR[3],"",0,1)</f>
        <v>5</v>
      </c>
      <c r="P393" cm="1">
        <f t="array" ref="P393">_xlfn.XLOOKUP(Matrix[[#This Row],[TEAM]]&amp;Matrix[[#Headers],[4]],FDR[FDR]&amp;FDR[[#Headers],[4]],FDR[4],"",0,1)</f>
        <v>1</v>
      </c>
      <c r="Q393" cm="1">
        <f t="array" ref="Q393">_xlfn.XLOOKUP(Matrix[[#This Row],[TEAM]]&amp;Matrix[[#Headers],[5]],FDR[FDR]&amp;FDR[[#Headers],[5]],FDR[5],"",0,1)</f>
        <v>4</v>
      </c>
      <c r="R393" cm="1">
        <f t="array" ref="R393">_xlfn.XLOOKUP(Matrix[[#This Row],[TEAM]]&amp;Matrix[[#Headers],[6]],FDR[FDR]&amp;FDR[[#Headers],[6]],FDR[6],"",0,1)</f>
        <v>4</v>
      </c>
      <c r="S393" cm="1">
        <f t="array" ref="S393">_xlfn.XLOOKUP(Matrix[[#This Row],[TEAM]]&amp;Matrix[[#Headers],[7]],FDR[FDR]&amp;FDR[[#Headers],[7]],FDR[7],"",0,1)</f>
        <v>4</v>
      </c>
      <c r="T393" cm="1">
        <f t="array" ref="T393">_xlfn.XLOOKUP(Matrix[[#This Row],[TEAM]]&amp;Matrix[[#Headers],[8]],FDR[FDR]&amp;FDR[[#Headers],[8]],FDR[8],"",0,1)</f>
        <v>3</v>
      </c>
      <c r="U393" cm="1">
        <f t="array" ref="U393">_xlfn.XLOOKUP(Matrix[[#This Row],[TEAM]]&amp;Matrix[[#Headers],[9]],FDR[FDR]&amp;FDR[[#Headers],[9]],FDR[9],"",0,1)</f>
        <v>5</v>
      </c>
      <c r="V393" cm="1">
        <f t="array" ref="V393">_xlfn.XLOOKUP(Matrix[[#This Row],[TEAM]]&amp;Matrix[[#Headers],[10]],FDR[FDR]&amp;FDR[[#Headers],[10]],FDR[10],"",0,1)</f>
        <v>3</v>
      </c>
      <c r="W393" cm="1">
        <f t="array" ref="W393">_xlfn.XLOOKUP(Matrix[[#This Row],[TEAM]]&amp;Matrix[[#Headers],[11]],FDR[FDR]&amp;FDR[[#Headers],[11]],FDR[11],"",0,1)</f>
        <v>3</v>
      </c>
      <c r="X393" cm="1">
        <f t="array" ref="X393">_xlfn.XLOOKUP(Matrix[[#This Row],[TEAM]]&amp;Matrix[[#Headers],[12]],FDR[FDR]&amp;FDR[[#Headers],[12]],FDR[12],"",0,1)</f>
        <v>2</v>
      </c>
      <c r="Y393" cm="1">
        <f t="array" ref="Y393">_xlfn.XLOOKUP(Matrix[[#This Row],[TEAM]]&amp;Matrix[[#Headers],[13]],FDR[FDR]&amp;FDR[[#Headers],[13]],FDR[13],"",0,1)</f>
        <v>4</v>
      </c>
      <c r="Z393" cm="1">
        <f t="array" ref="Z393">_xlfn.XLOOKUP(Matrix[[#This Row],[TEAM]]&amp;Matrix[[#Headers],[14]],FDR[FDR]&amp;FDR[[#Headers],[14]],FDR[14],"",0,1)</f>
        <v>2</v>
      </c>
      <c r="AA393" cm="1">
        <f t="array" ref="AA393">_xlfn.XLOOKUP(Matrix[[#This Row],[TEAM]]&amp;Matrix[[#Headers],[15]],FDR[FDR]&amp;FDR[[#Headers],[15]],FDR[15],"",0,1)</f>
        <v>4</v>
      </c>
      <c r="AB393" cm="1">
        <f t="array" ref="AB393">_xlfn.XLOOKUP(Matrix[[#This Row],[TEAM]]&amp;Matrix[[#Headers],[16]],FDR[FDR]&amp;FDR[[#Headers],[16]],FDR[16],"",0,1)</f>
        <v>4</v>
      </c>
      <c r="AC393" cm="1">
        <f t="array" ref="AC393">_xlfn.XLOOKUP(Matrix[[#This Row],[TEAM]]&amp;Matrix[[#Headers],[17]],FDR[FDR]&amp;FDR[[#Headers],[17]],FDR[17],"",0,1)</f>
        <v>2</v>
      </c>
      <c r="AD393" cm="1">
        <f t="array" ref="AD393">_xlfn.XLOOKUP(Matrix[[#This Row],[TEAM]]&amp;Matrix[[#Headers],[18]],FDR[FDR]&amp;FDR[[#Headers],[18]],FDR[18],"",0,1)</f>
        <v>4</v>
      </c>
      <c r="AE393" cm="1">
        <f t="array" ref="AE393">_xlfn.XLOOKUP(Matrix[[#This Row],[TEAM]]&amp;Matrix[[#Headers],[19]],FDR[FDR]&amp;FDR[[#Headers],[19]],FDR[19],"",0,1)</f>
        <v>3</v>
      </c>
      <c r="AF393" cm="1">
        <f t="array" ref="AF393">_xlfn.XLOOKUP(Matrix[[#This Row],[TEAM]]&amp;Matrix[[#Headers],[20]],FDR[FDR]&amp;FDR[[#Headers],[20]],FDR[20],"",0,1)</f>
        <v>5</v>
      </c>
      <c r="AG393" cm="1">
        <f t="array" ref="AG393">_xlfn.XLOOKUP(Matrix[[#This Row],[TEAM]]&amp;Matrix[[#Headers],[21]],FDR[FDR]&amp;FDR[[#Headers],[21]],FDR[21],"",0,1)</f>
        <v>4</v>
      </c>
      <c r="AH393" cm="1">
        <f t="array" ref="AH393">_xlfn.XLOOKUP(Matrix[[#This Row],[TEAM]]&amp;Matrix[[#Headers],[22]],FDR[FDR]&amp;FDR[[#Headers],[22]],FDR[22],"",0,1)</f>
        <v>2</v>
      </c>
      <c r="AI393" cm="1">
        <f t="array" ref="AI393">_xlfn.XLOOKUP(Matrix[[#This Row],[TEAM]]&amp;Matrix[[#Headers],[23]],FDR[FDR]&amp;FDR[[#Headers],[23]],FDR[23],"",0,1)</f>
        <v>4</v>
      </c>
      <c r="AJ393" cm="1">
        <f t="array" ref="AJ393">_xlfn.XLOOKUP(Matrix[[#This Row],[TEAM]]&amp;Matrix[[#Headers],[24]],FDR[FDR]&amp;FDR[[#Headers],[24]],FDR[24],"",0,1)</f>
        <v>4</v>
      </c>
      <c r="AK393" cm="1">
        <f t="array" ref="AK393">_xlfn.XLOOKUP(Matrix[[#This Row],[TEAM]]&amp;Matrix[[#Headers],[25]],FDR[FDR]&amp;FDR[[#Headers],[25]],FDR[25],"",0,1)</f>
        <v>4</v>
      </c>
      <c r="AL393" cm="1">
        <f t="array" ref="AL393">_xlfn.XLOOKUP(Matrix[[#This Row],[TEAM]]&amp;Matrix[[#Headers],[26]],FDR[FDR]&amp;FDR[[#Headers],[26]],FDR[26],"",0,1)</f>
        <v>1</v>
      </c>
      <c r="AM393" cm="1">
        <f t="array" ref="AM393">_xlfn.XLOOKUP(Matrix[[#This Row],[TEAM]]&amp;Matrix[[#Headers],[27]],FDR[FDR]&amp;FDR[[#Headers],[27]],FDR[27],"",0,1)</f>
        <v>2</v>
      </c>
      <c r="AN393" cm="1">
        <f t="array" ref="AN393">_xlfn.XLOOKUP(Matrix[[#This Row],[TEAM]]&amp;Matrix[[#Headers],[28]],FDR[FDR]&amp;FDR[[#Headers],[28]],FDR[28],"",0,1)</f>
        <v>5</v>
      </c>
      <c r="AO393" cm="1">
        <f t="array" ref="AO393">_xlfn.XLOOKUP(Matrix[[#This Row],[TEAM]]&amp;Matrix[[#Headers],[29]],FDR[FDR]&amp;FDR[[#Headers],[29]],FDR[29],"",0,1)</f>
        <v>5</v>
      </c>
      <c r="AP393" cm="1">
        <f t="array" ref="AP393">_xlfn.XLOOKUP(Matrix[[#This Row],[TEAM]]&amp;Matrix[[#Headers],[30]],FDR[FDR]&amp;FDR[[#Headers],[30]],FDR[30],"",0,1)</f>
        <v>1</v>
      </c>
      <c r="AQ393" cm="1">
        <f t="array" ref="AQ393">_xlfn.XLOOKUP(Matrix[[#This Row],[TEAM]]&amp;Matrix[[#Headers],[31]],FDR[FDR]&amp;FDR[[#Headers],[31]],FDR[31],"",0,1)</f>
        <v>5</v>
      </c>
      <c r="AR393" cm="1">
        <f t="array" ref="AR393">_xlfn.XLOOKUP(Matrix[[#This Row],[TEAM]]&amp;Matrix[[#Headers],[32]],FDR[FDR]&amp;FDR[[#Headers],[32]],FDR[32],"",0,1)</f>
        <v>4</v>
      </c>
      <c r="AS393" cm="1">
        <f t="array" ref="AS393">_xlfn.XLOOKUP(Matrix[[#This Row],[TEAM]]&amp;Matrix[[#Headers],[33]],FDR[FDR]&amp;FDR[[#Headers],[33]],FDR[33],"",0,1)</f>
        <v>3</v>
      </c>
      <c r="AT393" cm="1">
        <f t="array" ref="AT393">_xlfn.XLOOKUP(Matrix[[#This Row],[TEAM]]&amp;Matrix[[#Headers],[34]],FDR[FDR]&amp;FDR[[#Headers],[34]],FDR[34],"",0,1)</f>
        <v>5</v>
      </c>
      <c r="AU393" cm="1">
        <f t="array" ref="AU393">_xlfn.XLOOKUP(Matrix[[#This Row],[TEAM]]&amp;Matrix[[#Headers],[35]],FDR[FDR]&amp;FDR[[#Headers],[35]],FDR[35],"",0,1)</f>
        <v>4</v>
      </c>
      <c r="AV393" cm="1">
        <f t="array" ref="AV393">_xlfn.XLOOKUP(Matrix[[#This Row],[TEAM]]&amp;Matrix[[#Headers],[36]],FDR[FDR]&amp;FDR[[#Headers],[36]],FDR[36],"",0,1)</f>
        <v>3</v>
      </c>
      <c r="AW393" cm="1">
        <f t="array" ref="AW393">_xlfn.XLOOKUP(Matrix[[#This Row],[TEAM]]&amp;Matrix[[#Headers],[37]],FDR[FDR]&amp;FDR[[#Headers],[37]],FDR[37],"",0,1)</f>
        <v>4</v>
      </c>
      <c r="AX393" cm="1">
        <f t="array" ref="AX393">_xlfn.XLOOKUP(Matrix[[#This Row],[TEAM]]&amp;Matrix[[#Headers],[38]],FDR[FDR]&amp;FDR[[#Headers],[38]],FDR[38],"",0,1)</f>
        <v>4</v>
      </c>
    </row>
    <row r="394" spans="1:50" ht="22" thickTop="1" thickBot="1">
      <c r="A394" s="50" t="str">
        <f>INDEX!S$4</f>
        <v>MID</v>
      </c>
      <c r="B394" s="70" t="s">
        <v>1743</v>
      </c>
      <c r="C394" s="40" t="s">
        <v>24</v>
      </c>
      <c r="D394" s="62">
        <v>0</v>
      </c>
      <c r="E394" s="60">
        <v>1E-3</v>
      </c>
      <c r="F394" s="61">
        <v>0</v>
      </c>
      <c r="G394" s="63">
        <v>4.5</v>
      </c>
      <c r="H394" s="261">
        <f>IF(ISBLANK(I394),0,1)</f>
        <v>0</v>
      </c>
      <c r="I394" s="57"/>
      <c r="J394" s="58"/>
      <c r="K394" s="59" t="s">
        <v>364</v>
      </c>
      <c r="L394" s="59" t="s">
        <v>973</v>
      </c>
      <c r="M394" cm="1">
        <f t="array" ref="M394">_xlfn.XLOOKUP(Matrix[[#This Row],[TEAM]]&amp;Matrix[[#Headers],[1]],FDR[FDR]&amp;FDR[[#Headers],[1]],FDR[1],"",0,1)</f>
        <v>2</v>
      </c>
      <c r="N394" cm="1">
        <f t="array" ref="N394">_xlfn.XLOOKUP(Matrix[[#This Row],[TEAM]]&amp;Matrix[[#Headers],[2]],FDR[FDR]&amp;FDR[[#Headers],[2]],FDR[2],"",0,1)</f>
        <v>3</v>
      </c>
      <c r="O394" cm="1">
        <f t="array" ref="O394">_xlfn.XLOOKUP(Matrix[[#This Row],[TEAM]]&amp;Matrix[[#Headers],[3]],FDR[FDR]&amp;FDR[[#Headers],[3]],FDR[3],"",0,1)</f>
        <v>2</v>
      </c>
      <c r="P394" cm="1">
        <f t="array" ref="P394">_xlfn.XLOOKUP(Matrix[[#This Row],[TEAM]]&amp;Matrix[[#Headers],[4]],FDR[FDR]&amp;FDR[[#Headers],[4]],FDR[4],"",0,1)</f>
        <v>4</v>
      </c>
      <c r="Q394" cm="1">
        <f t="array" ref="Q394">_xlfn.XLOOKUP(Matrix[[#This Row],[TEAM]]&amp;Matrix[[#Headers],[5]],FDR[FDR]&amp;FDR[[#Headers],[5]],FDR[5],"",0,1)</f>
        <v>5</v>
      </c>
      <c r="R394" cm="1">
        <f t="array" ref="R394">_xlfn.XLOOKUP(Matrix[[#This Row],[TEAM]]&amp;Matrix[[#Headers],[6]],FDR[FDR]&amp;FDR[[#Headers],[6]],FDR[6],"",0,1)</f>
        <v>3</v>
      </c>
      <c r="S394" cm="1">
        <f t="array" ref="S394">_xlfn.XLOOKUP(Matrix[[#This Row],[TEAM]]&amp;Matrix[[#Headers],[7]],FDR[FDR]&amp;FDR[[#Headers],[7]],FDR[7],"",0,1)</f>
        <v>3</v>
      </c>
      <c r="T394" cm="1">
        <f t="array" ref="T394">_xlfn.XLOOKUP(Matrix[[#This Row],[TEAM]]&amp;Matrix[[#Headers],[8]],FDR[FDR]&amp;FDR[[#Headers],[8]],FDR[8],"",0,1)</f>
        <v>5</v>
      </c>
      <c r="U394" cm="1">
        <f t="array" ref="U394">_xlfn.XLOOKUP(Matrix[[#This Row],[TEAM]]&amp;Matrix[[#Headers],[9]],FDR[FDR]&amp;FDR[[#Headers],[9]],FDR[9],"",0,1)</f>
        <v>4</v>
      </c>
      <c r="V394" cm="1">
        <f t="array" ref="V394">_xlfn.XLOOKUP(Matrix[[#This Row],[TEAM]]&amp;Matrix[[#Headers],[10]],FDR[FDR]&amp;FDR[[#Headers],[10]],FDR[10],"",0,1)</f>
        <v>2</v>
      </c>
      <c r="W394" cm="1">
        <f t="array" ref="W394">_xlfn.XLOOKUP(Matrix[[#This Row],[TEAM]]&amp;Matrix[[#Headers],[11]],FDR[FDR]&amp;FDR[[#Headers],[11]],FDR[11],"",0,1)</f>
        <v>3</v>
      </c>
      <c r="X394" cm="1">
        <f t="array" ref="X394">_xlfn.XLOOKUP(Matrix[[#This Row],[TEAM]]&amp;Matrix[[#Headers],[12]],FDR[FDR]&amp;FDR[[#Headers],[12]],FDR[12],"",0,1)</f>
        <v>5</v>
      </c>
      <c r="Y394" cm="1">
        <f t="array" ref="Y394">_xlfn.XLOOKUP(Matrix[[#This Row],[TEAM]]&amp;Matrix[[#Headers],[13]],FDR[FDR]&amp;FDR[[#Headers],[13]],FDR[13],"",0,1)</f>
        <v>4</v>
      </c>
      <c r="Z394" cm="1">
        <f t="array" ref="Z394">_xlfn.XLOOKUP(Matrix[[#This Row],[TEAM]]&amp;Matrix[[#Headers],[14]],FDR[FDR]&amp;FDR[[#Headers],[14]],FDR[14],"",0,1)</f>
        <v>4</v>
      </c>
      <c r="AA394" cm="1">
        <f t="array" ref="AA394">_xlfn.XLOOKUP(Matrix[[#This Row],[TEAM]]&amp;Matrix[[#Headers],[15]],FDR[FDR]&amp;FDR[[#Headers],[15]],FDR[15],"",0,1)</f>
        <v>3</v>
      </c>
      <c r="AB394" cm="1">
        <f t="array" ref="AB394">_xlfn.XLOOKUP(Matrix[[#This Row],[TEAM]]&amp;Matrix[[#Headers],[16]],FDR[FDR]&amp;FDR[[#Headers],[16]],FDR[16],"",0,1)</f>
        <v>5</v>
      </c>
      <c r="AC394" cm="1">
        <f t="array" ref="AC394">_xlfn.XLOOKUP(Matrix[[#This Row],[TEAM]]&amp;Matrix[[#Headers],[17]],FDR[FDR]&amp;FDR[[#Headers],[17]],FDR[17],"",0,1)</f>
        <v>4</v>
      </c>
      <c r="AD394" cm="1">
        <f t="array" ref="AD394">_xlfn.XLOOKUP(Matrix[[#This Row],[TEAM]]&amp;Matrix[[#Headers],[18]],FDR[FDR]&amp;FDR[[#Headers],[18]],FDR[18],"",0,1)</f>
        <v>2</v>
      </c>
      <c r="AE394" cm="1">
        <f t="array" ref="AE394">_xlfn.XLOOKUP(Matrix[[#This Row],[TEAM]]&amp;Matrix[[#Headers],[19]],FDR[FDR]&amp;FDR[[#Headers],[19]],FDR[19],"",0,1)</f>
        <v>4</v>
      </c>
      <c r="AF394" cm="1">
        <f t="array" ref="AF394">_xlfn.XLOOKUP(Matrix[[#This Row],[TEAM]]&amp;Matrix[[#Headers],[20]],FDR[FDR]&amp;FDR[[#Headers],[20]],FDR[20],"",0,1)</f>
        <v>3</v>
      </c>
      <c r="AG394" cm="1">
        <f t="array" ref="AG394">_xlfn.XLOOKUP(Matrix[[#This Row],[TEAM]]&amp;Matrix[[#Headers],[21]],FDR[FDR]&amp;FDR[[#Headers],[21]],FDR[21],"",0,1)</f>
        <v>2</v>
      </c>
      <c r="AH394" cm="1">
        <f t="array" ref="AH394">_xlfn.XLOOKUP(Matrix[[#This Row],[TEAM]]&amp;Matrix[[#Headers],[22]],FDR[FDR]&amp;FDR[[#Headers],[22]],FDR[22],"",0,1)</f>
        <v>5</v>
      </c>
      <c r="AI394" cm="1">
        <f t="array" ref="AI394">_xlfn.XLOOKUP(Matrix[[#This Row],[TEAM]]&amp;Matrix[[#Headers],[23]],FDR[FDR]&amp;FDR[[#Headers],[23]],FDR[23],"",0,1)</f>
        <v>1</v>
      </c>
      <c r="AJ394" cm="1">
        <f t="array" ref="AJ394">_xlfn.XLOOKUP(Matrix[[#This Row],[TEAM]]&amp;Matrix[[#Headers],[24]],FDR[FDR]&amp;FDR[[#Headers],[24]],FDR[24],"",0,1)</f>
        <v>4</v>
      </c>
      <c r="AK394" cm="1">
        <f t="array" ref="AK394">_xlfn.XLOOKUP(Matrix[[#This Row],[TEAM]]&amp;Matrix[[#Headers],[25]],FDR[FDR]&amp;FDR[[#Headers],[25]],FDR[25],"",0,1)</f>
        <v>4</v>
      </c>
      <c r="AL394" cm="1">
        <f t="array" ref="AL394">_xlfn.XLOOKUP(Matrix[[#This Row],[TEAM]]&amp;Matrix[[#Headers],[26]],FDR[FDR]&amp;FDR[[#Headers],[26]],FDR[26],"",0,1)</f>
        <v>3</v>
      </c>
      <c r="AM394" cm="1">
        <f t="array" ref="AM394">_xlfn.XLOOKUP(Matrix[[#This Row],[TEAM]]&amp;Matrix[[#Headers],[27]],FDR[FDR]&amp;FDR[[#Headers],[27]],FDR[27],"",0,1)</f>
        <v>4</v>
      </c>
      <c r="AN394" cm="1">
        <f t="array" ref="AN394">_xlfn.XLOOKUP(Matrix[[#This Row],[TEAM]]&amp;Matrix[[#Headers],[28]],FDR[FDR]&amp;FDR[[#Headers],[28]],FDR[28],"",0,1)</f>
        <v>5</v>
      </c>
      <c r="AO394" cm="1">
        <f t="array" ref="AO394">_xlfn.XLOOKUP(Matrix[[#This Row],[TEAM]]&amp;Matrix[[#Headers],[29]],FDR[FDR]&amp;FDR[[#Headers],[29]],FDR[29],"",0,1)</f>
        <v>1</v>
      </c>
      <c r="AP394" cm="1">
        <f t="array" ref="AP394">_xlfn.XLOOKUP(Matrix[[#This Row],[TEAM]]&amp;Matrix[[#Headers],[30]],FDR[FDR]&amp;FDR[[#Headers],[30]],FDR[30],"",0,1)</f>
        <v>5</v>
      </c>
      <c r="AQ394" cm="1">
        <f t="array" ref="AQ394">_xlfn.XLOOKUP(Matrix[[#This Row],[TEAM]]&amp;Matrix[[#Headers],[31]],FDR[FDR]&amp;FDR[[#Headers],[31]],FDR[31],"",0,1)</f>
        <v>4</v>
      </c>
      <c r="AR394" cm="1">
        <f t="array" ref="AR394">_xlfn.XLOOKUP(Matrix[[#This Row],[TEAM]]&amp;Matrix[[#Headers],[32]],FDR[FDR]&amp;FDR[[#Headers],[32]],FDR[32],"",0,1)</f>
        <v>4</v>
      </c>
      <c r="AS394" cm="1">
        <f t="array" ref="AS394">_xlfn.XLOOKUP(Matrix[[#This Row],[TEAM]]&amp;Matrix[[#Headers],[33]],FDR[FDR]&amp;FDR[[#Headers],[33]],FDR[33],"",0,1)</f>
        <v>4</v>
      </c>
      <c r="AT394" cm="1">
        <f t="array" ref="AT394">_xlfn.XLOOKUP(Matrix[[#This Row],[TEAM]]&amp;Matrix[[#Headers],[34]],FDR[FDR]&amp;FDR[[#Headers],[34]],FDR[34],"",0,1)</f>
        <v>4</v>
      </c>
      <c r="AU394" cm="1">
        <f t="array" ref="AU394">_xlfn.XLOOKUP(Matrix[[#This Row],[TEAM]]&amp;Matrix[[#Headers],[35]],FDR[FDR]&amp;FDR[[#Headers],[35]],FDR[35],"",0,1)</f>
        <v>4</v>
      </c>
      <c r="AV394" cm="1">
        <f t="array" ref="AV394">_xlfn.XLOOKUP(Matrix[[#This Row],[TEAM]]&amp;Matrix[[#Headers],[36]],FDR[FDR]&amp;FDR[[#Headers],[36]],FDR[36],"",0,1)</f>
        <v>4</v>
      </c>
      <c r="AW394" cm="1">
        <f t="array" ref="AW394">_xlfn.XLOOKUP(Matrix[[#This Row],[TEAM]]&amp;Matrix[[#Headers],[37]],FDR[FDR]&amp;FDR[[#Headers],[37]],FDR[37],"",0,1)</f>
        <v>1</v>
      </c>
      <c r="AX394" cm="1">
        <f t="array" ref="AX394">_xlfn.XLOOKUP(Matrix[[#This Row],[TEAM]]&amp;Matrix[[#Headers],[38]],FDR[FDR]&amp;FDR[[#Headers],[38]],FDR[38],"",0,1)</f>
        <v>5</v>
      </c>
    </row>
    <row r="395" spans="1:50" ht="22" thickTop="1" thickBot="1">
      <c r="A395" s="50" t="str">
        <f>INDEX!S$4</f>
        <v>MID</v>
      </c>
      <c r="B395" s="70" t="s">
        <v>2008</v>
      </c>
      <c r="C395" s="40" t="s">
        <v>24</v>
      </c>
      <c r="D395" s="62">
        <v>0</v>
      </c>
      <c r="E395" s="60">
        <v>1E-3</v>
      </c>
      <c r="F395" s="61">
        <v>0</v>
      </c>
      <c r="G395" s="63">
        <v>4.5</v>
      </c>
      <c r="H395" s="261">
        <f>IF(ISBLANK(I395),0,1)</f>
        <v>0</v>
      </c>
      <c r="I395" s="57"/>
      <c r="J395" s="58"/>
      <c r="K395" s="59" t="s">
        <v>823</v>
      </c>
      <c r="L395" s="59" t="s">
        <v>2009</v>
      </c>
      <c r="M395" cm="1">
        <f t="array" ref="M395">_xlfn.XLOOKUP(Matrix[[#This Row],[TEAM]]&amp;Matrix[[#Headers],[1]],FDR[FDR]&amp;FDR[[#Headers],[1]],FDR[1],"",0,1)</f>
        <v>2</v>
      </c>
      <c r="N395" cm="1">
        <f t="array" ref="N395">_xlfn.XLOOKUP(Matrix[[#This Row],[TEAM]]&amp;Matrix[[#Headers],[2]],FDR[FDR]&amp;FDR[[#Headers],[2]],FDR[2],"",0,1)</f>
        <v>3</v>
      </c>
      <c r="O395" cm="1">
        <f t="array" ref="O395">_xlfn.XLOOKUP(Matrix[[#This Row],[TEAM]]&amp;Matrix[[#Headers],[3]],FDR[FDR]&amp;FDR[[#Headers],[3]],FDR[3],"",0,1)</f>
        <v>2</v>
      </c>
      <c r="P395" cm="1">
        <f t="array" ref="P395">_xlfn.XLOOKUP(Matrix[[#This Row],[TEAM]]&amp;Matrix[[#Headers],[4]],FDR[FDR]&amp;FDR[[#Headers],[4]],FDR[4],"",0,1)</f>
        <v>4</v>
      </c>
      <c r="Q395" cm="1">
        <f t="array" ref="Q395">_xlfn.XLOOKUP(Matrix[[#This Row],[TEAM]]&amp;Matrix[[#Headers],[5]],FDR[FDR]&amp;FDR[[#Headers],[5]],FDR[5],"",0,1)</f>
        <v>5</v>
      </c>
      <c r="R395" cm="1">
        <f t="array" ref="R395">_xlfn.XLOOKUP(Matrix[[#This Row],[TEAM]]&amp;Matrix[[#Headers],[6]],FDR[FDR]&amp;FDR[[#Headers],[6]],FDR[6],"",0,1)</f>
        <v>3</v>
      </c>
      <c r="S395" cm="1">
        <f t="array" ref="S395">_xlfn.XLOOKUP(Matrix[[#This Row],[TEAM]]&amp;Matrix[[#Headers],[7]],FDR[FDR]&amp;FDR[[#Headers],[7]],FDR[7],"",0,1)</f>
        <v>3</v>
      </c>
      <c r="T395" cm="1">
        <f t="array" ref="T395">_xlfn.XLOOKUP(Matrix[[#This Row],[TEAM]]&amp;Matrix[[#Headers],[8]],FDR[FDR]&amp;FDR[[#Headers],[8]],FDR[8],"",0,1)</f>
        <v>5</v>
      </c>
      <c r="U395" cm="1">
        <f t="array" ref="U395">_xlfn.XLOOKUP(Matrix[[#This Row],[TEAM]]&amp;Matrix[[#Headers],[9]],FDR[FDR]&amp;FDR[[#Headers],[9]],FDR[9],"",0,1)</f>
        <v>4</v>
      </c>
      <c r="V395" cm="1">
        <f t="array" ref="V395">_xlfn.XLOOKUP(Matrix[[#This Row],[TEAM]]&amp;Matrix[[#Headers],[10]],FDR[FDR]&amp;FDR[[#Headers],[10]],FDR[10],"",0,1)</f>
        <v>2</v>
      </c>
      <c r="W395" cm="1">
        <f t="array" ref="W395">_xlfn.XLOOKUP(Matrix[[#This Row],[TEAM]]&amp;Matrix[[#Headers],[11]],FDR[FDR]&amp;FDR[[#Headers],[11]],FDR[11],"",0,1)</f>
        <v>3</v>
      </c>
      <c r="X395" cm="1">
        <f t="array" ref="X395">_xlfn.XLOOKUP(Matrix[[#This Row],[TEAM]]&amp;Matrix[[#Headers],[12]],FDR[FDR]&amp;FDR[[#Headers],[12]],FDR[12],"",0,1)</f>
        <v>5</v>
      </c>
      <c r="Y395" cm="1">
        <f t="array" ref="Y395">_xlfn.XLOOKUP(Matrix[[#This Row],[TEAM]]&amp;Matrix[[#Headers],[13]],FDR[FDR]&amp;FDR[[#Headers],[13]],FDR[13],"",0,1)</f>
        <v>4</v>
      </c>
      <c r="Z395" cm="1">
        <f t="array" ref="Z395">_xlfn.XLOOKUP(Matrix[[#This Row],[TEAM]]&amp;Matrix[[#Headers],[14]],FDR[FDR]&amp;FDR[[#Headers],[14]],FDR[14],"",0,1)</f>
        <v>4</v>
      </c>
      <c r="AA395" cm="1">
        <f t="array" ref="AA395">_xlfn.XLOOKUP(Matrix[[#This Row],[TEAM]]&amp;Matrix[[#Headers],[15]],FDR[FDR]&amp;FDR[[#Headers],[15]],FDR[15],"",0,1)</f>
        <v>3</v>
      </c>
      <c r="AB395" cm="1">
        <f t="array" ref="AB395">_xlfn.XLOOKUP(Matrix[[#This Row],[TEAM]]&amp;Matrix[[#Headers],[16]],FDR[FDR]&amp;FDR[[#Headers],[16]],FDR[16],"",0,1)</f>
        <v>5</v>
      </c>
      <c r="AC395" cm="1">
        <f t="array" ref="AC395">_xlfn.XLOOKUP(Matrix[[#This Row],[TEAM]]&amp;Matrix[[#Headers],[17]],FDR[FDR]&amp;FDR[[#Headers],[17]],FDR[17],"",0,1)</f>
        <v>4</v>
      </c>
      <c r="AD395" cm="1">
        <f t="array" ref="AD395">_xlfn.XLOOKUP(Matrix[[#This Row],[TEAM]]&amp;Matrix[[#Headers],[18]],FDR[FDR]&amp;FDR[[#Headers],[18]],FDR[18],"",0,1)</f>
        <v>2</v>
      </c>
      <c r="AE395" cm="1">
        <f t="array" ref="AE395">_xlfn.XLOOKUP(Matrix[[#This Row],[TEAM]]&amp;Matrix[[#Headers],[19]],FDR[FDR]&amp;FDR[[#Headers],[19]],FDR[19],"",0,1)</f>
        <v>4</v>
      </c>
      <c r="AF395" cm="1">
        <f t="array" ref="AF395">_xlfn.XLOOKUP(Matrix[[#This Row],[TEAM]]&amp;Matrix[[#Headers],[20]],FDR[FDR]&amp;FDR[[#Headers],[20]],FDR[20],"",0,1)</f>
        <v>3</v>
      </c>
      <c r="AG395" cm="1">
        <f t="array" ref="AG395">_xlfn.XLOOKUP(Matrix[[#This Row],[TEAM]]&amp;Matrix[[#Headers],[21]],FDR[FDR]&amp;FDR[[#Headers],[21]],FDR[21],"",0,1)</f>
        <v>2</v>
      </c>
      <c r="AH395" cm="1">
        <f t="array" ref="AH395">_xlfn.XLOOKUP(Matrix[[#This Row],[TEAM]]&amp;Matrix[[#Headers],[22]],FDR[FDR]&amp;FDR[[#Headers],[22]],FDR[22],"",0,1)</f>
        <v>5</v>
      </c>
      <c r="AI395" cm="1">
        <f t="array" ref="AI395">_xlfn.XLOOKUP(Matrix[[#This Row],[TEAM]]&amp;Matrix[[#Headers],[23]],FDR[FDR]&amp;FDR[[#Headers],[23]],FDR[23],"",0,1)</f>
        <v>1</v>
      </c>
      <c r="AJ395" cm="1">
        <f t="array" ref="AJ395">_xlfn.XLOOKUP(Matrix[[#This Row],[TEAM]]&amp;Matrix[[#Headers],[24]],FDR[FDR]&amp;FDR[[#Headers],[24]],FDR[24],"",0,1)</f>
        <v>4</v>
      </c>
      <c r="AK395" cm="1">
        <f t="array" ref="AK395">_xlfn.XLOOKUP(Matrix[[#This Row],[TEAM]]&amp;Matrix[[#Headers],[25]],FDR[FDR]&amp;FDR[[#Headers],[25]],FDR[25],"",0,1)</f>
        <v>4</v>
      </c>
      <c r="AL395" cm="1">
        <f t="array" ref="AL395">_xlfn.XLOOKUP(Matrix[[#This Row],[TEAM]]&amp;Matrix[[#Headers],[26]],FDR[FDR]&amp;FDR[[#Headers],[26]],FDR[26],"",0,1)</f>
        <v>3</v>
      </c>
      <c r="AM395" cm="1">
        <f t="array" ref="AM395">_xlfn.XLOOKUP(Matrix[[#This Row],[TEAM]]&amp;Matrix[[#Headers],[27]],FDR[FDR]&amp;FDR[[#Headers],[27]],FDR[27],"",0,1)</f>
        <v>4</v>
      </c>
      <c r="AN395" cm="1">
        <f t="array" ref="AN395">_xlfn.XLOOKUP(Matrix[[#This Row],[TEAM]]&amp;Matrix[[#Headers],[28]],FDR[FDR]&amp;FDR[[#Headers],[28]],FDR[28],"",0,1)</f>
        <v>5</v>
      </c>
      <c r="AO395" cm="1">
        <f t="array" ref="AO395">_xlfn.XLOOKUP(Matrix[[#This Row],[TEAM]]&amp;Matrix[[#Headers],[29]],FDR[FDR]&amp;FDR[[#Headers],[29]],FDR[29],"",0,1)</f>
        <v>1</v>
      </c>
      <c r="AP395" cm="1">
        <f t="array" ref="AP395">_xlfn.XLOOKUP(Matrix[[#This Row],[TEAM]]&amp;Matrix[[#Headers],[30]],FDR[FDR]&amp;FDR[[#Headers],[30]],FDR[30],"",0,1)</f>
        <v>5</v>
      </c>
      <c r="AQ395" cm="1">
        <f t="array" ref="AQ395">_xlfn.XLOOKUP(Matrix[[#This Row],[TEAM]]&amp;Matrix[[#Headers],[31]],FDR[FDR]&amp;FDR[[#Headers],[31]],FDR[31],"",0,1)</f>
        <v>4</v>
      </c>
      <c r="AR395" cm="1">
        <f t="array" ref="AR395">_xlfn.XLOOKUP(Matrix[[#This Row],[TEAM]]&amp;Matrix[[#Headers],[32]],FDR[FDR]&amp;FDR[[#Headers],[32]],FDR[32],"",0,1)</f>
        <v>4</v>
      </c>
      <c r="AS395" cm="1">
        <f t="array" ref="AS395">_xlfn.XLOOKUP(Matrix[[#This Row],[TEAM]]&amp;Matrix[[#Headers],[33]],FDR[FDR]&amp;FDR[[#Headers],[33]],FDR[33],"",0,1)</f>
        <v>4</v>
      </c>
      <c r="AT395" cm="1">
        <f t="array" ref="AT395">_xlfn.XLOOKUP(Matrix[[#This Row],[TEAM]]&amp;Matrix[[#Headers],[34]],FDR[FDR]&amp;FDR[[#Headers],[34]],FDR[34],"",0,1)</f>
        <v>4</v>
      </c>
      <c r="AU395" cm="1">
        <f t="array" ref="AU395">_xlfn.XLOOKUP(Matrix[[#This Row],[TEAM]]&amp;Matrix[[#Headers],[35]],FDR[FDR]&amp;FDR[[#Headers],[35]],FDR[35],"",0,1)</f>
        <v>4</v>
      </c>
      <c r="AV395" cm="1">
        <f t="array" ref="AV395">_xlfn.XLOOKUP(Matrix[[#This Row],[TEAM]]&amp;Matrix[[#Headers],[36]],FDR[FDR]&amp;FDR[[#Headers],[36]],FDR[36],"",0,1)</f>
        <v>4</v>
      </c>
      <c r="AW395" cm="1">
        <f t="array" ref="AW395">_xlfn.XLOOKUP(Matrix[[#This Row],[TEAM]]&amp;Matrix[[#Headers],[37]],FDR[FDR]&amp;FDR[[#Headers],[37]],FDR[37],"",0,1)</f>
        <v>1</v>
      </c>
      <c r="AX395" cm="1">
        <f t="array" ref="AX395">_xlfn.XLOOKUP(Matrix[[#This Row],[TEAM]]&amp;Matrix[[#Headers],[38]],FDR[FDR]&amp;FDR[[#Headers],[38]],FDR[38],"",0,1)</f>
        <v>5</v>
      </c>
    </row>
    <row r="396" spans="1:50" ht="22" thickTop="1" thickBot="1">
      <c r="A396" s="50" t="str">
        <f>INDEX!S$4</f>
        <v>MID</v>
      </c>
      <c r="B396" s="70" t="s">
        <v>1782</v>
      </c>
      <c r="C396" s="40" t="s">
        <v>24</v>
      </c>
      <c r="D396" s="62">
        <v>0</v>
      </c>
      <c r="E396" s="60">
        <v>0</v>
      </c>
      <c r="F396" s="61">
        <v>0</v>
      </c>
      <c r="G396" s="63">
        <v>4.5</v>
      </c>
      <c r="H396" s="261">
        <f>IF(ISBLANK(I396),0,1)</f>
        <v>0</v>
      </c>
      <c r="I396" s="57"/>
      <c r="J396" s="58"/>
      <c r="K396" s="59" t="s">
        <v>974</v>
      </c>
      <c r="L396" s="59" t="s">
        <v>975</v>
      </c>
      <c r="M396" cm="1">
        <f t="array" ref="M396">_xlfn.XLOOKUP(Matrix[[#This Row],[TEAM]]&amp;Matrix[[#Headers],[1]],FDR[FDR]&amp;FDR[[#Headers],[1]],FDR[1],"",0,1)</f>
        <v>2</v>
      </c>
      <c r="N396" cm="1">
        <f t="array" ref="N396">_xlfn.XLOOKUP(Matrix[[#This Row],[TEAM]]&amp;Matrix[[#Headers],[2]],FDR[FDR]&amp;FDR[[#Headers],[2]],FDR[2],"",0,1)</f>
        <v>3</v>
      </c>
      <c r="O396" cm="1">
        <f t="array" ref="O396">_xlfn.XLOOKUP(Matrix[[#This Row],[TEAM]]&amp;Matrix[[#Headers],[3]],FDR[FDR]&amp;FDR[[#Headers],[3]],FDR[3],"",0,1)</f>
        <v>2</v>
      </c>
      <c r="P396" cm="1">
        <f t="array" ref="P396">_xlfn.XLOOKUP(Matrix[[#This Row],[TEAM]]&amp;Matrix[[#Headers],[4]],FDR[FDR]&amp;FDR[[#Headers],[4]],FDR[4],"",0,1)</f>
        <v>4</v>
      </c>
      <c r="Q396" cm="1">
        <f t="array" ref="Q396">_xlfn.XLOOKUP(Matrix[[#This Row],[TEAM]]&amp;Matrix[[#Headers],[5]],FDR[FDR]&amp;FDR[[#Headers],[5]],FDR[5],"",0,1)</f>
        <v>5</v>
      </c>
      <c r="R396" cm="1">
        <f t="array" ref="R396">_xlfn.XLOOKUP(Matrix[[#This Row],[TEAM]]&amp;Matrix[[#Headers],[6]],FDR[FDR]&amp;FDR[[#Headers],[6]],FDR[6],"",0,1)</f>
        <v>3</v>
      </c>
      <c r="S396" cm="1">
        <f t="array" ref="S396">_xlfn.XLOOKUP(Matrix[[#This Row],[TEAM]]&amp;Matrix[[#Headers],[7]],FDR[FDR]&amp;FDR[[#Headers],[7]],FDR[7],"",0,1)</f>
        <v>3</v>
      </c>
      <c r="T396" cm="1">
        <f t="array" ref="T396">_xlfn.XLOOKUP(Matrix[[#This Row],[TEAM]]&amp;Matrix[[#Headers],[8]],FDR[FDR]&amp;FDR[[#Headers],[8]],FDR[8],"",0,1)</f>
        <v>5</v>
      </c>
      <c r="U396" cm="1">
        <f t="array" ref="U396">_xlfn.XLOOKUP(Matrix[[#This Row],[TEAM]]&amp;Matrix[[#Headers],[9]],FDR[FDR]&amp;FDR[[#Headers],[9]],FDR[9],"",0,1)</f>
        <v>4</v>
      </c>
      <c r="V396" cm="1">
        <f t="array" ref="V396">_xlfn.XLOOKUP(Matrix[[#This Row],[TEAM]]&amp;Matrix[[#Headers],[10]],FDR[FDR]&amp;FDR[[#Headers],[10]],FDR[10],"",0,1)</f>
        <v>2</v>
      </c>
      <c r="W396" cm="1">
        <f t="array" ref="W396">_xlfn.XLOOKUP(Matrix[[#This Row],[TEAM]]&amp;Matrix[[#Headers],[11]],FDR[FDR]&amp;FDR[[#Headers],[11]],FDR[11],"",0,1)</f>
        <v>3</v>
      </c>
      <c r="X396" cm="1">
        <f t="array" ref="X396">_xlfn.XLOOKUP(Matrix[[#This Row],[TEAM]]&amp;Matrix[[#Headers],[12]],FDR[FDR]&amp;FDR[[#Headers],[12]],FDR[12],"",0,1)</f>
        <v>5</v>
      </c>
      <c r="Y396" cm="1">
        <f t="array" ref="Y396">_xlfn.XLOOKUP(Matrix[[#This Row],[TEAM]]&amp;Matrix[[#Headers],[13]],FDR[FDR]&amp;FDR[[#Headers],[13]],FDR[13],"",0,1)</f>
        <v>4</v>
      </c>
      <c r="Z396" cm="1">
        <f t="array" ref="Z396">_xlfn.XLOOKUP(Matrix[[#This Row],[TEAM]]&amp;Matrix[[#Headers],[14]],FDR[FDR]&amp;FDR[[#Headers],[14]],FDR[14],"",0,1)</f>
        <v>4</v>
      </c>
      <c r="AA396" cm="1">
        <f t="array" ref="AA396">_xlfn.XLOOKUP(Matrix[[#This Row],[TEAM]]&amp;Matrix[[#Headers],[15]],FDR[FDR]&amp;FDR[[#Headers],[15]],FDR[15],"",0,1)</f>
        <v>3</v>
      </c>
      <c r="AB396" cm="1">
        <f t="array" ref="AB396">_xlfn.XLOOKUP(Matrix[[#This Row],[TEAM]]&amp;Matrix[[#Headers],[16]],FDR[FDR]&amp;FDR[[#Headers],[16]],FDR[16],"",0,1)</f>
        <v>5</v>
      </c>
      <c r="AC396" cm="1">
        <f t="array" ref="AC396">_xlfn.XLOOKUP(Matrix[[#This Row],[TEAM]]&amp;Matrix[[#Headers],[17]],FDR[FDR]&amp;FDR[[#Headers],[17]],FDR[17],"",0,1)</f>
        <v>4</v>
      </c>
      <c r="AD396" cm="1">
        <f t="array" ref="AD396">_xlfn.XLOOKUP(Matrix[[#This Row],[TEAM]]&amp;Matrix[[#Headers],[18]],FDR[FDR]&amp;FDR[[#Headers],[18]],FDR[18],"",0,1)</f>
        <v>2</v>
      </c>
      <c r="AE396" cm="1">
        <f t="array" ref="AE396">_xlfn.XLOOKUP(Matrix[[#This Row],[TEAM]]&amp;Matrix[[#Headers],[19]],FDR[FDR]&amp;FDR[[#Headers],[19]],FDR[19],"",0,1)</f>
        <v>4</v>
      </c>
      <c r="AF396" cm="1">
        <f t="array" ref="AF396">_xlfn.XLOOKUP(Matrix[[#This Row],[TEAM]]&amp;Matrix[[#Headers],[20]],FDR[FDR]&amp;FDR[[#Headers],[20]],FDR[20],"",0,1)</f>
        <v>3</v>
      </c>
      <c r="AG396" cm="1">
        <f t="array" ref="AG396">_xlfn.XLOOKUP(Matrix[[#This Row],[TEAM]]&amp;Matrix[[#Headers],[21]],FDR[FDR]&amp;FDR[[#Headers],[21]],FDR[21],"",0,1)</f>
        <v>2</v>
      </c>
      <c r="AH396" cm="1">
        <f t="array" ref="AH396">_xlfn.XLOOKUP(Matrix[[#This Row],[TEAM]]&amp;Matrix[[#Headers],[22]],FDR[FDR]&amp;FDR[[#Headers],[22]],FDR[22],"",0,1)</f>
        <v>5</v>
      </c>
      <c r="AI396" cm="1">
        <f t="array" ref="AI396">_xlfn.XLOOKUP(Matrix[[#This Row],[TEAM]]&amp;Matrix[[#Headers],[23]],FDR[FDR]&amp;FDR[[#Headers],[23]],FDR[23],"",0,1)</f>
        <v>1</v>
      </c>
      <c r="AJ396" cm="1">
        <f t="array" ref="AJ396">_xlfn.XLOOKUP(Matrix[[#This Row],[TEAM]]&amp;Matrix[[#Headers],[24]],FDR[FDR]&amp;FDR[[#Headers],[24]],FDR[24],"",0,1)</f>
        <v>4</v>
      </c>
      <c r="AK396" cm="1">
        <f t="array" ref="AK396">_xlfn.XLOOKUP(Matrix[[#This Row],[TEAM]]&amp;Matrix[[#Headers],[25]],FDR[FDR]&amp;FDR[[#Headers],[25]],FDR[25],"",0,1)</f>
        <v>4</v>
      </c>
      <c r="AL396" cm="1">
        <f t="array" ref="AL396">_xlfn.XLOOKUP(Matrix[[#This Row],[TEAM]]&amp;Matrix[[#Headers],[26]],FDR[FDR]&amp;FDR[[#Headers],[26]],FDR[26],"",0,1)</f>
        <v>3</v>
      </c>
      <c r="AM396" cm="1">
        <f t="array" ref="AM396">_xlfn.XLOOKUP(Matrix[[#This Row],[TEAM]]&amp;Matrix[[#Headers],[27]],FDR[FDR]&amp;FDR[[#Headers],[27]],FDR[27],"",0,1)</f>
        <v>4</v>
      </c>
      <c r="AN396" cm="1">
        <f t="array" ref="AN396">_xlfn.XLOOKUP(Matrix[[#This Row],[TEAM]]&amp;Matrix[[#Headers],[28]],FDR[FDR]&amp;FDR[[#Headers],[28]],FDR[28],"",0,1)</f>
        <v>5</v>
      </c>
      <c r="AO396" cm="1">
        <f t="array" ref="AO396">_xlfn.XLOOKUP(Matrix[[#This Row],[TEAM]]&amp;Matrix[[#Headers],[29]],FDR[FDR]&amp;FDR[[#Headers],[29]],FDR[29],"",0,1)</f>
        <v>1</v>
      </c>
      <c r="AP396" cm="1">
        <f t="array" ref="AP396">_xlfn.XLOOKUP(Matrix[[#This Row],[TEAM]]&amp;Matrix[[#Headers],[30]],FDR[FDR]&amp;FDR[[#Headers],[30]],FDR[30],"",0,1)</f>
        <v>5</v>
      </c>
      <c r="AQ396" cm="1">
        <f t="array" ref="AQ396">_xlfn.XLOOKUP(Matrix[[#This Row],[TEAM]]&amp;Matrix[[#Headers],[31]],FDR[FDR]&amp;FDR[[#Headers],[31]],FDR[31],"",0,1)</f>
        <v>4</v>
      </c>
      <c r="AR396" cm="1">
        <f t="array" ref="AR396">_xlfn.XLOOKUP(Matrix[[#This Row],[TEAM]]&amp;Matrix[[#Headers],[32]],FDR[FDR]&amp;FDR[[#Headers],[32]],FDR[32],"",0,1)</f>
        <v>4</v>
      </c>
      <c r="AS396" cm="1">
        <f t="array" ref="AS396">_xlfn.XLOOKUP(Matrix[[#This Row],[TEAM]]&amp;Matrix[[#Headers],[33]],FDR[FDR]&amp;FDR[[#Headers],[33]],FDR[33],"",0,1)</f>
        <v>4</v>
      </c>
      <c r="AT396" cm="1">
        <f t="array" ref="AT396">_xlfn.XLOOKUP(Matrix[[#This Row],[TEAM]]&amp;Matrix[[#Headers],[34]],FDR[FDR]&amp;FDR[[#Headers],[34]],FDR[34],"",0,1)</f>
        <v>4</v>
      </c>
      <c r="AU396" cm="1">
        <f t="array" ref="AU396">_xlfn.XLOOKUP(Matrix[[#This Row],[TEAM]]&amp;Matrix[[#Headers],[35]],FDR[FDR]&amp;FDR[[#Headers],[35]],FDR[35],"",0,1)</f>
        <v>4</v>
      </c>
      <c r="AV396" cm="1">
        <f t="array" ref="AV396">_xlfn.XLOOKUP(Matrix[[#This Row],[TEAM]]&amp;Matrix[[#Headers],[36]],FDR[FDR]&amp;FDR[[#Headers],[36]],FDR[36],"",0,1)</f>
        <v>4</v>
      </c>
      <c r="AW396" cm="1">
        <f t="array" ref="AW396">_xlfn.XLOOKUP(Matrix[[#This Row],[TEAM]]&amp;Matrix[[#Headers],[37]],FDR[FDR]&amp;FDR[[#Headers],[37]],FDR[37],"",0,1)</f>
        <v>1</v>
      </c>
      <c r="AX396" cm="1">
        <f t="array" ref="AX396">_xlfn.XLOOKUP(Matrix[[#This Row],[TEAM]]&amp;Matrix[[#Headers],[38]],FDR[FDR]&amp;FDR[[#Headers],[38]],FDR[38],"",0,1)</f>
        <v>5</v>
      </c>
    </row>
    <row r="397" spans="1:50" ht="22" thickTop="1" thickBot="1">
      <c r="A397" s="53" t="str">
        <f>INDEX!S$4</f>
        <v>MID</v>
      </c>
      <c r="B397" s="70" t="s">
        <v>1781</v>
      </c>
      <c r="C397" s="40" t="s">
        <v>24</v>
      </c>
      <c r="D397" s="62">
        <v>0</v>
      </c>
      <c r="E397" s="60">
        <v>0</v>
      </c>
      <c r="F397" s="61">
        <v>0</v>
      </c>
      <c r="G397" s="63">
        <v>4.5</v>
      </c>
      <c r="H397" s="261">
        <f>IF(ISBLANK(I397),0,1)</f>
        <v>0</v>
      </c>
      <c r="I397" s="57"/>
      <c r="J397" s="58"/>
      <c r="K397" s="59" t="s">
        <v>604</v>
      </c>
      <c r="L397" s="59" t="s">
        <v>976</v>
      </c>
      <c r="M397" cm="1">
        <f t="array" ref="M397">_xlfn.XLOOKUP(Matrix[[#This Row],[TEAM]]&amp;Matrix[[#Headers],[1]],FDR[FDR]&amp;FDR[[#Headers],[1]],FDR[1],"",0,1)</f>
        <v>2</v>
      </c>
      <c r="N397" cm="1">
        <f t="array" ref="N397">_xlfn.XLOOKUP(Matrix[[#This Row],[TEAM]]&amp;Matrix[[#Headers],[2]],FDR[FDR]&amp;FDR[[#Headers],[2]],FDR[2],"",0,1)</f>
        <v>3</v>
      </c>
      <c r="O397" cm="1">
        <f t="array" ref="O397">_xlfn.XLOOKUP(Matrix[[#This Row],[TEAM]]&amp;Matrix[[#Headers],[3]],FDR[FDR]&amp;FDR[[#Headers],[3]],FDR[3],"",0,1)</f>
        <v>2</v>
      </c>
      <c r="P397" cm="1">
        <f t="array" ref="P397">_xlfn.XLOOKUP(Matrix[[#This Row],[TEAM]]&amp;Matrix[[#Headers],[4]],FDR[FDR]&amp;FDR[[#Headers],[4]],FDR[4],"",0,1)</f>
        <v>4</v>
      </c>
      <c r="Q397" cm="1">
        <f t="array" ref="Q397">_xlfn.XLOOKUP(Matrix[[#This Row],[TEAM]]&amp;Matrix[[#Headers],[5]],FDR[FDR]&amp;FDR[[#Headers],[5]],FDR[5],"",0,1)</f>
        <v>5</v>
      </c>
      <c r="R397" cm="1">
        <f t="array" ref="R397">_xlfn.XLOOKUP(Matrix[[#This Row],[TEAM]]&amp;Matrix[[#Headers],[6]],FDR[FDR]&amp;FDR[[#Headers],[6]],FDR[6],"",0,1)</f>
        <v>3</v>
      </c>
      <c r="S397" cm="1">
        <f t="array" ref="S397">_xlfn.XLOOKUP(Matrix[[#This Row],[TEAM]]&amp;Matrix[[#Headers],[7]],FDR[FDR]&amp;FDR[[#Headers],[7]],FDR[7],"",0,1)</f>
        <v>3</v>
      </c>
      <c r="T397" cm="1">
        <f t="array" ref="T397">_xlfn.XLOOKUP(Matrix[[#This Row],[TEAM]]&amp;Matrix[[#Headers],[8]],FDR[FDR]&amp;FDR[[#Headers],[8]],FDR[8],"",0,1)</f>
        <v>5</v>
      </c>
      <c r="U397" cm="1">
        <f t="array" ref="U397">_xlfn.XLOOKUP(Matrix[[#This Row],[TEAM]]&amp;Matrix[[#Headers],[9]],FDR[FDR]&amp;FDR[[#Headers],[9]],FDR[9],"",0,1)</f>
        <v>4</v>
      </c>
      <c r="V397" cm="1">
        <f t="array" ref="V397">_xlfn.XLOOKUP(Matrix[[#This Row],[TEAM]]&amp;Matrix[[#Headers],[10]],FDR[FDR]&amp;FDR[[#Headers],[10]],FDR[10],"",0,1)</f>
        <v>2</v>
      </c>
      <c r="W397" cm="1">
        <f t="array" ref="W397">_xlfn.XLOOKUP(Matrix[[#This Row],[TEAM]]&amp;Matrix[[#Headers],[11]],FDR[FDR]&amp;FDR[[#Headers],[11]],FDR[11],"",0,1)</f>
        <v>3</v>
      </c>
      <c r="X397" cm="1">
        <f t="array" ref="X397">_xlfn.XLOOKUP(Matrix[[#This Row],[TEAM]]&amp;Matrix[[#Headers],[12]],FDR[FDR]&amp;FDR[[#Headers],[12]],FDR[12],"",0,1)</f>
        <v>5</v>
      </c>
      <c r="Y397" cm="1">
        <f t="array" ref="Y397">_xlfn.XLOOKUP(Matrix[[#This Row],[TEAM]]&amp;Matrix[[#Headers],[13]],FDR[FDR]&amp;FDR[[#Headers],[13]],FDR[13],"",0,1)</f>
        <v>4</v>
      </c>
      <c r="Z397" cm="1">
        <f t="array" ref="Z397">_xlfn.XLOOKUP(Matrix[[#This Row],[TEAM]]&amp;Matrix[[#Headers],[14]],FDR[FDR]&amp;FDR[[#Headers],[14]],FDR[14],"",0,1)</f>
        <v>4</v>
      </c>
      <c r="AA397" cm="1">
        <f t="array" ref="AA397">_xlfn.XLOOKUP(Matrix[[#This Row],[TEAM]]&amp;Matrix[[#Headers],[15]],FDR[FDR]&amp;FDR[[#Headers],[15]],FDR[15],"",0,1)</f>
        <v>3</v>
      </c>
      <c r="AB397" cm="1">
        <f t="array" ref="AB397">_xlfn.XLOOKUP(Matrix[[#This Row],[TEAM]]&amp;Matrix[[#Headers],[16]],FDR[FDR]&amp;FDR[[#Headers],[16]],FDR[16],"",0,1)</f>
        <v>5</v>
      </c>
      <c r="AC397" cm="1">
        <f t="array" ref="AC397">_xlfn.XLOOKUP(Matrix[[#This Row],[TEAM]]&amp;Matrix[[#Headers],[17]],FDR[FDR]&amp;FDR[[#Headers],[17]],FDR[17],"",0,1)</f>
        <v>4</v>
      </c>
      <c r="AD397" cm="1">
        <f t="array" ref="AD397">_xlfn.XLOOKUP(Matrix[[#This Row],[TEAM]]&amp;Matrix[[#Headers],[18]],FDR[FDR]&amp;FDR[[#Headers],[18]],FDR[18],"",0,1)</f>
        <v>2</v>
      </c>
      <c r="AE397" cm="1">
        <f t="array" ref="AE397">_xlfn.XLOOKUP(Matrix[[#This Row],[TEAM]]&amp;Matrix[[#Headers],[19]],FDR[FDR]&amp;FDR[[#Headers],[19]],FDR[19],"",0,1)</f>
        <v>4</v>
      </c>
      <c r="AF397" cm="1">
        <f t="array" ref="AF397">_xlfn.XLOOKUP(Matrix[[#This Row],[TEAM]]&amp;Matrix[[#Headers],[20]],FDR[FDR]&amp;FDR[[#Headers],[20]],FDR[20],"",0,1)</f>
        <v>3</v>
      </c>
      <c r="AG397" cm="1">
        <f t="array" ref="AG397">_xlfn.XLOOKUP(Matrix[[#This Row],[TEAM]]&amp;Matrix[[#Headers],[21]],FDR[FDR]&amp;FDR[[#Headers],[21]],FDR[21],"",0,1)</f>
        <v>2</v>
      </c>
      <c r="AH397" cm="1">
        <f t="array" ref="AH397">_xlfn.XLOOKUP(Matrix[[#This Row],[TEAM]]&amp;Matrix[[#Headers],[22]],FDR[FDR]&amp;FDR[[#Headers],[22]],FDR[22],"",0,1)</f>
        <v>5</v>
      </c>
      <c r="AI397" cm="1">
        <f t="array" ref="AI397">_xlfn.XLOOKUP(Matrix[[#This Row],[TEAM]]&amp;Matrix[[#Headers],[23]],FDR[FDR]&amp;FDR[[#Headers],[23]],FDR[23],"",0,1)</f>
        <v>1</v>
      </c>
      <c r="AJ397" cm="1">
        <f t="array" ref="AJ397">_xlfn.XLOOKUP(Matrix[[#This Row],[TEAM]]&amp;Matrix[[#Headers],[24]],FDR[FDR]&amp;FDR[[#Headers],[24]],FDR[24],"",0,1)</f>
        <v>4</v>
      </c>
      <c r="AK397" cm="1">
        <f t="array" ref="AK397">_xlfn.XLOOKUP(Matrix[[#This Row],[TEAM]]&amp;Matrix[[#Headers],[25]],FDR[FDR]&amp;FDR[[#Headers],[25]],FDR[25],"",0,1)</f>
        <v>4</v>
      </c>
      <c r="AL397" cm="1">
        <f t="array" ref="AL397">_xlfn.XLOOKUP(Matrix[[#This Row],[TEAM]]&amp;Matrix[[#Headers],[26]],FDR[FDR]&amp;FDR[[#Headers],[26]],FDR[26],"",0,1)</f>
        <v>3</v>
      </c>
      <c r="AM397" cm="1">
        <f t="array" ref="AM397">_xlfn.XLOOKUP(Matrix[[#This Row],[TEAM]]&amp;Matrix[[#Headers],[27]],FDR[FDR]&amp;FDR[[#Headers],[27]],FDR[27],"",0,1)</f>
        <v>4</v>
      </c>
      <c r="AN397" cm="1">
        <f t="array" ref="AN397">_xlfn.XLOOKUP(Matrix[[#This Row],[TEAM]]&amp;Matrix[[#Headers],[28]],FDR[FDR]&amp;FDR[[#Headers],[28]],FDR[28],"",0,1)</f>
        <v>5</v>
      </c>
      <c r="AO397" cm="1">
        <f t="array" ref="AO397">_xlfn.XLOOKUP(Matrix[[#This Row],[TEAM]]&amp;Matrix[[#Headers],[29]],FDR[FDR]&amp;FDR[[#Headers],[29]],FDR[29],"",0,1)</f>
        <v>1</v>
      </c>
      <c r="AP397" cm="1">
        <f t="array" ref="AP397">_xlfn.XLOOKUP(Matrix[[#This Row],[TEAM]]&amp;Matrix[[#Headers],[30]],FDR[FDR]&amp;FDR[[#Headers],[30]],FDR[30],"",0,1)</f>
        <v>5</v>
      </c>
      <c r="AQ397" cm="1">
        <f t="array" ref="AQ397">_xlfn.XLOOKUP(Matrix[[#This Row],[TEAM]]&amp;Matrix[[#Headers],[31]],FDR[FDR]&amp;FDR[[#Headers],[31]],FDR[31],"",0,1)</f>
        <v>4</v>
      </c>
      <c r="AR397" cm="1">
        <f t="array" ref="AR397">_xlfn.XLOOKUP(Matrix[[#This Row],[TEAM]]&amp;Matrix[[#Headers],[32]],FDR[FDR]&amp;FDR[[#Headers],[32]],FDR[32],"",0,1)</f>
        <v>4</v>
      </c>
      <c r="AS397" cm="1">
        <f t="array" ref="AS397">_xlfn.XLOOKUP(Matrix[[#This Row],[TEAM]]&amp;Matrix[[#Headers],[33]],FDR[FDR]&amp;FDR[[#Headers],[33]],FDR[33],"",0,1)</f>
        <v>4</v>
      </c>
      <c r="AT397" cm="1">
        <f t="array" ref="AT397">_xlfn.XLOOKUP(Matrix[[#This Row],[TEAM]]&amp;Matrix[[#Headers],[34]],FDR[FDR]&amp;FDR[[#Headers],[34]],FDR[34],"",0,1)</f>
        <v>4</v>
      </c>
      <c r="AU397" cm="1">
        <f t="array" ref="AU397">_xlfn.XLOOKUP(Matrix[[#This Row],[TEAM]]&amp;Matrix[[#Headers],[35]],FDR[FDR]&amp;FDR[[#Headers],[35]],FDR[35],"",0,1)</f>
        <v>4</v>
      </c>
      <c r="AV397" cm="1">
        <f t="array" ref="AV397">_xlfn.XLOOKUP(Matrix[[#This Row],[TEAM]]&amp;Matrix[[#Headers],[36]],FDR[FDR]&amp;FDR[[#Headers],[36]],FDR[36],"",0,1)</f>
        <v>4</v>
      </c>
      <c r="AW397" cm="1">
        <f t="array" ref="AW397">_xlfn.XLOOKUP(Matrix[[#This Row],[TEAM]]&amp;Matrix[[#Headers],[37]],FDR[FDR]&amp;FDR[[#Headers],[37]],FDR[37],"",0,1)</f>
        <v>1</v>
      </c>
      <c r="AX397" cm="1">
        <f t="array" ref="AX397">_xlfn.XLOOKUP(Matrix[[#This Row],[TEAM]]&amp;Matrix[[#Headers],[38]],FDR[FDR]&amp;FDR[[#Headers],[38]],FDR[38],"",0,1)</f>
        <v>5</v>
      </c>
    </row>
    <row r="398" spans="1:50" ht="22" thickTop="1" thickBot="1">
      <c r="A398" s="53" t="str">
        <f>INDEX!S$4</f>
        <v>MID</v>
      </c>
      <c r="B398" s="70" t="s">
        <v>1747</v>
      </c>
      <c r="C398" s="40" t="s">
        <v>633</v>
      </c>
      <c r="D398" s="62">
        <v>0</v>
      </c>
      <c r="E398" s="60">
        <v>1E-3</v>
      </c>
      <c r="F398" s="61">
        <v>0</v>
      </c>
      <c r="G398" s="63">
        <v>4.5</v>
      </c>
      <c r="H398" s="261">
        <f>IF(ISBLANK(I398),0,1)</f>
        <v>0</v>
      </c>
      <c r="I398" s="57"/>
      <c r="J398" s="58"/>
      <c r="K398" s="59" t="s">
        <v>588</v>
      </c>
      <c r="L398" s="59" t="s">
        <v>1066</v>
      </c>
      <c r="M398" cm="1">
        <f t="array" ref="M398">_xlfn.XLOOKUP(Matrix[[#This Row],[TEAM]]&amp;Matrix[[#Headers],[1]],FDR[FDR]&amp;FDR[[#Headers],[1]],FDR[1],"",0,1)</f>
        <v>4</v>
      </c>
      <c r="N398" cm="1">
        <f t="array" ref="N398">_xlfn.XLOOKUP(Matrix[[#This Row],[TEAM]]&amp;Matrix[[#Headers],[2]],FDR[FDR]&amp;FDR[[#Headers],[2]],FDR[2],"",0,1)</f>
        <v>5</v>
      </c>
      <c r="O398" cm="1">
        <f t="array" ref="O398">_xlfn.XLOOKUP(Matrix[[#This Row],[TEAM]]&amp;Matrix[[#Headers],[3]],FDR[FDR]&amp;FDR[[#Headers],[3]],FDR[3],"",0,1)</f>
        <v>5</v>
      </c>
      <c r="P398" cm="1">
        <f t="array" ref="P398">_xlfn.XLOOKUP(Matrix[[#This Row],[TEAM]]&amp;Matrix[[#Headers],[4]],FDR[FDR]&amp;FDR[[#Headers],[4]],FDR[4],"",0,1)</f>
        <v>5</v>
      </c>
      <c r="Q398" cm="1">
        <f t="array" ref="Q398">_xlfn.XLOOKUP(Matrix[[#This Row],[TEAM]]&amp;Matrix[[#Headers],[5]],FDR[FDR]&amp;FDR[[#Headers],[5]],FDR[5],"",0,1)</f>
        <v>4</v>
      </c>
      <c r="R398" cm="1">
        <f t="array" ref="R398">_xlfn.XLOOKUP(Matrix[[#This Row],[TEAM]]&amp;Matrix[[#Headers],[6]],FDR[FDR]&amp;FDR[[#Headers],[6]],FDR[6],"",0,1)</f>
        <v>5</v>
      </c>
      <c r="S398" cm="1">
        <f t="array" ref="S398">_xlfn.XLOOKUP(Matrix[[#This Row],[TEAM]]&amp;Matrix[[#Headers],[7]],FDR[FDR]&amp;FDR[[#Headers],[7]],FDR[7],"",0,1)</f>
        <v>5</v>
      </c>
      <c r="T398" cm="1">
        <f t="array" ref="T398">_xlfn.XLOOKUP(Matrix[[#This Row],[TEAM]]&amp;Matrix[[#Headers],[8]],FDR[FDR]&amp;FDR[[#Headers],[8]],FDR[8],"",0,1)</f>
        <v>4</v>
      </c>
      <c r="U398" cm="1">
        <f t="array" ref="U398">_xlfn.XLOOKUP(Matrix[[#This Row],[TEAM]]&amp;Matrix[[#Headers],[9]],FDR[FDR]&amp;FDR[[#Headers],[9]],FDR[9],"",0,1)</f>
        <v>4</v>
      </c>
      <c r="V398" cm="1">
        <f t="array" ref="V398">_xlfn.XLOOKUP(Matrix[[#This Row],[TEAM]]&amp;Matrix[[#Headers],[10]],FDR[FDR]&amp;FDR[[#Headers],[10]],FDR[10],"",0,1)</f>
        <v>5</v>
      </c>
      <c r="W398" cm="1">
        <f t="array" ref="W398">_xlfn.XLOOKUP(Matrix[[#This Row],[TEAM]]&amp;Matrix[[#Headers],[11]],FDR[FDR]&amp;FDR[[#Headers],[11]],FDR[11],"",0,1)</f>
        <v>5</v>
      </c>
      <c r="X398" cm="1">
        <f t="array" ref="X398">_xlfn.XLOOKUP(Matrix[[#This Row],[TEAM]]&amp;Matrix[[#Headers],[12]],FDR[FDR]&amp;FDR[[#Headers],[12]],FDR[12],"",0,1)</f>
        <v>5</v>
      </c>
      <c r="Y398" cm="1">
        <f t="array" ref="Y398">_xlfn.XLOOKUP(Matrix[[#This Row],[TEAM]]&amp;Matrix[[#Headers],[13]],FDR[FDR]&amp;FDR[[#Headers],[13]],FDR[13],"",0,1)</f>
        <v>5</v>
      </c>
      <c r="Z398" cm="1">
        <f t="array" ref="Z398">_xlfn.XLOOKUP(Matrix[[#This Row],[TEAM]]&amp;Matrix[[#Headers],[14]],FDR[FDR]&amp;FDR[[#Headers],[14]],FDR[14],"",0,1)</f>
        <v>5</v>
      </c>
      <c r="AA398" cm="1">
        <f t="array" ref="AA398">_xlfn.XLOOKUP(Matrix[[#This Row],[TEAM]]&amp;Matrix[[#Headers],[15]],FDR[FDR]&amp;FDR[[#Headers],[15]],FDR[15],"",0,1)</f>
        <v>5</v>
      </c>
      <c r="AB398" cm="1">
        <f t="array" ref="AB398">_xlfn.XLOOKUP(Matrix[[#This Row],[TEAM]]&amp;Matrix[[#Headers],[16]],FDR[FDR]&amp;FDR[[#Headers],[16]],FDR[16],"",0,1)</f>
        <v>5</v>
      </c>
      <c r="AC398" cm="1">
        <f t="array" ref="AC398">_xlfn.XLOOKUP(Matrix[[#This Row],[TEAM]]&amp;Matrix[[#Headers],[17]],FDR[FDR]&amp;FDR[[#Headers],[17]],FDR[17],"",0,1)</f>
        <v>4</v>
      </c>
      <c r="AD398" cm="1">
        <f t="array" ref="AD398">_xlfn.XLOOKUP(Matrix[[#This Row],[TEAM]]&amp;Matrix[[#Headers],[18]],FDR[FDR]&amp;FDR[[#Headers],[18]],FDR[18],"",0,1)</f>
        <v>4</v>
      </c>
      <c r="AE398" cm="1">
        <f t="array" ref="AE398">_xlfn.XLOOKUP(Matrix[[#This Row],[TEAM]]&amp;Matrix[[#Headers],[19]],FDR[FDR]&amp;FDR[[#Headers],[19]],FDR[19],"",0,1)</f>
        <v>5</v>
      </c>
      <c r="AF398" cm="1">
        <f t="array" ref="AF398">_xlfn.XLOOKUP(Matrix[[#This Row],[TEAM]]&amp;Matrix[[#Headers],[20]],FDR[FDR]&amp;FDR[[#Headers],[20]],FDR[20],"",0,1)</f>
        <v>5</v>
      </c>
      <c r="AG398" cm="1">
        <f t="array" ref="AG398">_xlfn.XLOOKUP(Matrix[[#This Row],[TEAM]]&amp;Matrix[[#Headers],[21]],FDR[FDR]&amp;FDR[[#Headers],[21]],FDR[21],"",0,1)</f>
        <v>5</v>
      </c>
      <c r="AH398" cm="1">
        <f t="array" ref="AH398">_xlfn.XLOOKUP(Matrix[[#This Row],[TEAM]]&amp;Matrix[[#Headers],[22]],FDR[FDR]&amp;FDR[[#Headers],[22]],FDR[22],"",0,1)</f>
        <v>5</v>
      </c>
      <c r="AI398" cm="1">
        <f t="array" ref="AI398">_xlfn.XLOOKUP(Matrix[[#This Row],[TEAM]]&amp;Matrix[[#Headers],[23]],FDR[FDR]&amp;FDR[[#Headers],[23]],FDR[23],"",0,1)</f>
        <v>5</v>
      </c>
      <c r="AJ398" cm="1">
        <f t="array" ref="AJ398">_xlfn.XLOOKUP(Matrix[[#This Row],[TEAM]]&amp;Matrix[[#Headers],[24]],FDR[FDR]&amp;FDR[[#Headers],[24]],FDR[24],"",0,1)</f>
        <v>5</v>
      </c>
      <c r="AK398" cm="1">
        <f t="array" ref="AK398">_xlfn.XLOOKUP(Matrix[[#This Row],[TEAM]]&amp;Matrix[[#Headers],[25]],FDR[FDR]&amp;FDR[[#Headers],[25]],FDR[25],"",0,1)</f>
        <v>5</v>
      </c>
      <c r="AL398" cm="1">
        <f t="array" ref="AL398">_xlfn.XLOOKUP(Matrix[[#This Row],[TEAM]]&amp;Matrix[[#Headers],[26]],FDR[FDR]&amp;FDR[[#Headers],[26]],FDR[26],"",0,1)</f>
        <v>5</v>
      </c>
      <c r="AM398" cm="1">
        <f t="array" ref="AM398">_xlfn.XLOOKUP(Matrix[[#This Row],[TEAM]]&amp;Matrix[[#Headers],[27]],FDR[FDR]&amp;FDR[[#Headers],[27]],FDR[27],"",0,1)</f>
        <v>5</v>
      </c>
      <c r="AN398" cm="1">
        <f t="array" ref="AN398">_xlfn.XLOOKUP(Matrix[[#This Row],[TEAM]]&amp;Matrix[[#Headers],[28]],FDR[FDR]&amp;FDR[[#Headers],[28]],FDR[28],"",0,1)</f>
        <v>5</v>
      </c>
      <c r="AO398" cm="1">
        <f t="array" ref="AO398">_xlfn.XLOOKUP(Matrix[[#This Row],[TEAM]]&amp;Matrix[[#Headers],[29]],FDR[FDR]&amp;FDR[[#Headers],[29]],FDR[29],"",0,1)</f>
        <v>3</v>
      </c>
      <c r="AP398" cm="1">
        <f t="array" ref="AP398">_xlfn.XLOOKUP(Matrix[[#This Row],[TEAM]]&amp;Matrix[[#Headers],[30]],FDR[FDR]&amp;FDR[[#Headers],[30]],FDR[30],"",0,1)</f>
        <v>5</v>
      </c>
      <c r="AQ398" cm="1">
        <f t="array" ref="AQ398">_xlfn.XLOOKUP(Matrix[[#This Row],[TEAM]]&amp;Matrix[[#Headers],[31]],FDR[FDR]&amp;FDR[[#Headers],[31]],FDR[31],"",0,1)</f>
        <v>4</v>
      </c>
      <c r="AR398" cm="1">
        <f t="array" ref="AR398">_xlfn.XLOOKUP(Matrix[[#This Row],[TEAM]]&amp;Matrix[[#Headers],[32]],FDR[FDR]&amp;FDR[[#Headers],[32]],FDR[32],"",0,1)</f>
        <v>5</v>
      </c>
      <c r="AS398" cm="1">
        <f t="array" ref="AS398">_xlfn.XLOOKUP(Matrix[[#This Row],[TEAM]]&amp;Matrix[[#Headers],[33]],FDR[FDR]&amp;FDR[[#Headers],[33]],FDR[33],"",0,1)</f>
        <v>3</v>
      </c>
      <c r="AT398" cm="1">
        <f t="array" ref="AT398">_xlfn.XLOOKUP(Matrix[[#This Row],[TEAM]]&amp;Matrix[[#Headers],[34]],FDR[FDR]&amp;FDR[[#Headers],[34]],FDR[34],"",0,1)</f>
        <v>5</v>
      </c>
      <c r="AU398" cm="1">
        <f t="array" ref="AU398">_xlfn.XLOOKUP(Matrix[[#This Row],[TEAM]]&amp;Matrix[[#Headers],[35]],FDR[FDR]&amp;FDR[[#Headers],[35]],FDR[35],"",0,1)</f>
        <v>3</v>
      </c>
      <c r="AV398" cm="1">
        <f t="array" ref="AV398">_xlfn.XLOOKUP(Matrix[[#This Row],[TEAM]]&amp;Matrix[[#Headers],[36]],FDR[FDR]&amp;FDR[[#Headers],[36]],FDR[36],"",0,1)</f>
        <v>5</v>
      </c>
      <c r="AW398" cm="1">
        <f t="array" ref="AW398">_xlfn.XLOOKUP(Matrix[[#This Row],[TEAM]]&amp;Matrix[[#Headers],[37]],FDR[FDR]&amp;FDR[[#Headers],[37]],FDR[37],"",0,1)</f>
        <v>5</v>
      </c>
      <c r="AX398" cm="1">
        <f t="array" ref="AX398">_xlfn.XLOOKUP(Matrix[[#This Row],[TEAM]]&amp;Matrix[[#Headers],[38]],FDR[FDR]&amp;FDR[[#Headers],[38]],FDR[38],"",0,1)</f>
        <v>5</v>
      </c>
    </row>
    <row r="399" spans="1:50" ht="22" thickTop="1" thickBot="1">
      <c r="A399" s="53" t="str">
        <f>INDEX!S$4</f>
        <v>MID</v>
      </c>
      <c r="B399" s="70" t="s">
        <v>1749</v>
      </c>
      <c r="C399" s="40" t="s">
        <v>17</v>
      </c>
      <c r="D399" s="62">
        <v>0</v>
      </c>
      <c r="E399" s="60">
        <v>1E-3</v>
      </c>
      <c r="F399" s="61">
        <v>0</v>
      </c>
      <c r="G399" s="63">
        <v>4.5</v>
      </c>
      <c r="H399" s="261">
        <f>IF(ISBLANK(I399),0,1)</f>
        <v>0</v>
      </c>
      <c r="I399" s="57"/>
      <c r="J399" s="58"/>
      <c r="K399" s="59" t="s">
        <v>541</v>
      </c>
      <c r="L399" s="59" t="s">
        <v>249</v>
      </c>
      <c r="M399" cm="1">
        <f t="array" ref="M399">_xlfn.XLOOKUP(Matrix[[#This Row],[TEAM]]&amp;Matrix[[#Headers],[1]],FDR[FDR]&amp;FDR[[#Headers],[1]],FDR[1],"",0,1)</f>
        <v>1</v>
      </c>
      <c r="N399" cm="1">
        <f t="array" ref="N399">_xlfn.XLOOKUP(Matrix[[#This Row],[TEAM]]&amp;Matrix[[#Headers],[2]],FDR[FDR]&amp;FDR[[#Headers],[2]],FDR[2],"",0,1)</f>
        <v>3</v>
      </c>
      <c r="O399" cm="1">
        <f t="array" ref="O399">_xlfn.XLOOKUP(Matrix[[#This Row],[TEAM]]&amp;Matrix[[#Headers],[3]],FDR[FDR]&amp;FDR[[#Headers],[3]],FDR[3],"",0,1)</f>
        <v>3</v>
      </c>
      <c r="P399" cm="1">
        <f t="array" ref="P399">_xlfn.XLOOKUP(Matrix[[#This Row],[TEAM]]&amp;Matrix[[#Headers],[4]],FDR[FDR]&amp;FDR[[#Headers],[4]],FDR[4],"",0,1)</f>
        <v>1</v>
      </c>
      <c r="Q399" cm="1">
        <f t="array" ref="Q399">_xlfn.XLOOKUP(Matrix[[#This Row],[TEAM]]&amp;Matrix[[#Headers],[5]],FDR[FDR]&amp;FDR[[#Headers],[5]],FDR[5],"",0,1)</f>
        <v>1</v>
      </c>
      <c r="R399" cm="1">
        <f t="array" ref="R399">_xlfn.XLOOKUP(Matrix[[#This Row],[TEAM]]&amp;Matrix[[#Headers],[6]],FDR[FDR]&amp;FDR[[#Headers],[6]],FDR[6],"",0,1)</f>
        <v>2</v>
      </c>
      <c r="S399" cm="1">
        <f t="array" ref="S399">_xlfn.XLOOKUP(Matrix[[#This Row],[TEAM]]&amp;Matrix[[#Headers],[7]],FDR[FDR]&amp;FDR[[#Headers],[7]],FDR[7],"",0,1)</f>
        <v>3</v>
      </c>
      <c r="T399" cm="1">
        <f t="array" ref="T399">_xlfn.XLOOKUP(Matrix[[#This Row],[TEAM]]&amp;Matrix[[#Headers],[8]],FDR[FDR]&amp;FDR[[#Headers],[8]],FDR[8],"",0,1)</f>
        <v>2</v>
      </c>
      <c r="U399" cm="1">
        <f t="array" ref="U399">_xlfn.XLOOKUP(Matrix[[#This Row],[TEAM]]&amp;Matrix[[#Headers],[9]],FDR[FDR]&amp;FDR[[#Headers],[9]],FDR[9],"",0,1)</f>
        <v>2</v>
      </c>
      <c r="V399" cm="1">
        <f t="array" ref="V399">_xlfn.XLOOKUP(Matrix[[#This Row],[TEAM]]&amp;Matrix[[#Headers],[10]],FDR[FDR]&amp;FDR[[#Headers],[10]],FDR[10],"",0,1)</f>
        <v>2</v>
      </c>
      <c r="W399" cm="1">
        <f t="array" ref="W399">_xlfn.XLOOKUP(Matrix[[#This Row],[TEAM]]&amp;Matrix[[#Headers],[11]],FDR[FDR]&amp;FDR[[#Headers],[11]],FDR[11],"",0,1)</f>
        <v>3</v>
      </c>
      <c r="X399" cm="1">
        <f t="array" ref="X399">_xlfn.XLOOKUP(Matrix[[#This Row],[TEAM]]&amp;Matrix[[#Headers],[12]],FDR[FDR]&amp;FDR[[#Headers],[12]],FDR[12],"",0,1)</f>
        <v>1</v>
      </c>
      <c r="Y399" cm="1">
        <f t="array" ref="Y399">_xlfn.XLOOKUP(Matrix[[#This Row],[TEAM]]&amp;Matrix[[#Headers],[13]],FDR[FDR]&amp;FDR[[#Headers],[13]],FDR[13],"",0,1)</f>
        <v>2</v>
      </c>
      <c r="Z399" cm="1">
        <f t="array" ref="Z399">_xlfn.XLOOKUP(Matrix[[#This Row],[TEAM]]&amp;Matrix[[#Headers],[14]],FDR[FDR]&amp;FDR[[#Headers],[14]],FDR[14],"",0,1)</f>
        <v>1</v>
      </c>
      <c r="AA399" cm="1">
        <f t="array" ref="AA399">_xlfn.XLOOKUP(Matrix[[#This Row],[TEAM]]&amp;Matrix[[#Headers],[15]],FDR[FDR]&amp;FDR[[#Headers],[15]],FDR[15],"",0,1)</f>
        <v>1</v>
      </c>
      <c r="AB399" cm="1">
        <f t="array" ref="AB399">_xlfn.XLOOKUP(Matrix[[#This Row],[TEAM]]&amp;Matrix[[#Headers],[16]],FDR[FDR]&amp;FDR[[#Headers],[16]],FDR[16],"",0,1)</f>
        <v>1</v>
      </c>
      <c r="AC399" cm="1">
        <f t="array" ref="AC399">_xlfn.XLOOKUP(Matrix[[#This Row],[TEAM]]&amp;Matrix[[#Headers],[17]],FDR[FDR]&amp;FDR[[#Headers],[17]],FDR[17],"",0,1)</f>
        <v>3</v>
      </c>
      <c r="AD399" cm="1">
        <f t="array" ref="AD399">_xlfn.XLOOKUP(Matrix[[#This Row],[TEAM]]&amp;Matrix[[#Headers],[18]],FDR[FDR]&amp;FDR[[#Headers],[18]],FDR[18],"",0,1)</f>
        <v>1</v>
      </c>
      <c r="AE399" cm="1">
        <f t="array" ref="AE399">_xlfn.XLOOKUP(Matrix[[#This Row],[TEAM]]&amp;Matrix[[#Headers],[19]],FDR[FDR]&amp;FDR[[#Headers],[19]],FDR[19],"",0,1)</f>
        <v>1</v>
      </c>
      <c r="AF399" cm="1">
        <f t="array" ref="AF399">_xlfn.XLOOKUP(Matrix[[#This Row],[TEAM]]&amp;Matrix[[#Headers],[20]],FDR[FDR]&amp;FDR[[#Headers],[20]],FDR[20],"",0,1)</f>
        <v>2</v>
      </c>
      <c r="AG399" cm="1">
        <f t="array" ref="AG399">_xlfn.XLOOKUP(Matrix[[#This Row],[TEAM]]&amp;Matrix[[#Headers],[21]],FDR[FDR]&amp;FDR[[#Headers],[21]],FDR[21],"",0,1)</f>
        <v>3</v>
      </c>
      <c r="AH399" cm="1">
        <f t="array" ref="AH399">_xlfn.XLOOKUP(Matrix[[#This Row],[TEAM]]&amp;Matrix[[#Headers],[22]],FDR[FDR]&amp;FDR[[#Headers],[22]],FDR[22],"",0,1)</f>
        <v>1</v>
      </c>
      <c r="AI399" cm="1">
        <f t="array" ref="AI399">_xlfn.XLOOKUP(Matrix[[#This Row],[TEAM]]&amp;Matrix[[#Headers],[23]],FDR[FDR]&amp;FDR[[#Headers],[23]],FDR[23],"",0,1)</f>
        <v>2</v>
      </c>
      <c r="AJ399" cm="1">
        <f t="array" ref="AJ399">_xlfn.XLOOKUP(Matrix[[#This Row],[TEAM]]&amp;Matrix[[#Headers],[24]],FDR[FDR]&amp;FDR[[#Headers],[24]],FDR[24],"",0,1)</f>
        <v>2</v>
      </c>
      <c r="AK399" cm="1">
        <f t="array" ref="AK399">_xlfn.XLOOKUP(Matrix[[#This Row],[TEAM]]&amp;Matrix[[#Headers],[25]],FDR[FDR]&amp;FDR[[#Headers],[25]],FDR[25],"",0,1)</f>
        <v>3</v>
      </c>
      <c r="AL399" cm="1">
        <f t="array" ref="AL399">_xlfn.XLOOKUP(Matrix[[#This Row],[TEAM]]&amp;Matrix[[#Headers],[26]],FDR[FDR]&amp;FDR[[#Headers],[26]],FDR[26],"",0,1)</f>
        <v>1</v>
      </c>
      <c r="AM399" cm="1">
        <f t="array" ref="AM399">_xlfn.XLOOKUP(Matrix[[#This Row],[TEAM]]&amp;Matrix[[#Headers],[27]],FDR[FDR]&amp;FDR[[#Headers],[27]],FDR[27],"",0,1)</f>
        <v>2</v>
      </c>
      <c r="AN399" cm="1">
        <f t="array" ref="AN399">_xlfn.XLOOKUP(Matrix[[#This Row],[TEAM]]&amp;Matrix[[#Headers],[28]],FDR[FDR]&amp;FDR[[#Headers],[28]],FDR[28],"",0,1)</f>
        <v>1</v>
      </c>
      <c r="AO399" cm="1">
        <f t="array" ref="AO399">_xlfn.XLOOKUP(Matrix[[#This Row],[TEAM]]&amp;Matrix[[#Headers],[29]],FDR[FDR]&amp;FDR[[#Headers],[29]],FDR[29],"",0,1)</f>
        <v>1</v>
      </c>
      <c r="AP399" cm="1">
        <f t="array" ref="AP399">_xlfn.XLOOKUP(Matrix[[#This Row],[TEAM]]&amp;Matrix[[#Headers],[30]],FDR[FDR]&amp;FDR[[#Headers],[30]],FDR[30],"",0,1)</f>
        <v>2</v>
      </c>
      <c r="AQ399" cm="1">
        <f t="array" ref="AQ399">_xlfn.XLOOKUP(Matrix[[#This Row],[TEAM]]&amp;Matrix[[#Headers],[31]],FDR[FDR]&amp;FDR[[#Headers],[31]],FDR[31],"",0,1)</f>
        <v>2</v>
      </c>
      <c r="AR399" cm="1">
        <f t="array" ref="AR399">_xlfn.XLOOKUP(Matrix[[#This Row],[TEAM]]&amp;Matrix[[#Headers],[32]],FDR[FDR]&amp;FDR[[#Headers],[32]],FDR[32],"",0,1)</f>
        <v>1</v>
      </c>
      <c r="AS399" cm="1">
        <f t="array" ref="AS399">_xlfn.XLOOKUP(Matrix[[#This Row],[TEAM]]&amp;Matrix[[#Headers],[33]],FDR[FDR]&amp;FDR[[#Headers],[33]],FDR[33],"",0,1)</f>
        <v>2</v>
      </c>
      <c r="AT399" cm="1">
        <f t="array" ref="AT399">_xlfn.XLOOKUP(Matrix[[#This Row],[TEAM]]&amp;Matrix[[#Headers],[34]],FDR[FDR]&amp;FDR[[#Headers],[34]],FDR[34],"",0,1)</f>
        <v>1</v>
      </c>
      <c r="AU399" cm="1">
        <f t="array" ref="AU399">_xlfn.XLOOKUP(Matrix[[#This Row],[TEAM]]&amp;Matrix[[#Headers],[35]],FDR[FDR]&amp;FDR[[#Headers],[35]],FDR[35],"",0,1)</f>
        <v>3</v>
      </c>
      <c r="AV399" cm="1">
        <f t="array" ref="AV399">_xlfn.XLOOKUP(Matrix[[#This Row],[TEAM]]&amp;Matrix[[#Headers],[36]],FDR[FDR]&amp;FDR[[#Headers],[36]],FDR[36],"",0,1)</f>
        <v>2</v>
      </c>
      <c r="AW399" cm="1">
        <f t="array" ref="AW399">_xlfn.XLOOKUP(Matrix[[#This Row],[TEAM]]&amp;Matrix[[#Headers],[37]],FDR[FDR]&amp;FDR[[#Headers],[37]],FDR[37],"",0,1)</f>
        <v>3</v>
      </c>
      <c r="AX399" cm="1">
        <f t="array" ref="AX399">_xlfn.XLOOKUP(Matrix[[#This Row],[TEAM]]&amp;Matrix[[#Headers],[38]],FDR[FDR]&amp;FDR[[#Headers],[38]],FDR[38],"",0,1)</f>
        <v>1</v>
      </c>
    </row>
    <row r="400" spans="1:50" ht="22" thickTop="1" thickBot="1">
      <c r="A400" s="53" t="str">
        <f>INDEX!S$4</f>
        <v>MID</v>
      </c>
      <c r="B400" s="70" t="s">
        <v>1748</v>
      </c>
      <c r="C400" s="40" t="s">
        <v>17</v>
      </c>
      <c r="D400" s="62">
        <v>0</v>
      </c>
      <c r="E400" s="60">
        <v>1E-3</v>
      </c>
      <c r="F400" s="61">
        <v>0</v>
      </c>
      <c r="G400" s="63">
        <v>4.5</v>
      </c>
      <c r="H400" s="261">
        <f>IF(ISBLANK(I400),0,1)</f>
        <v>0</v>
      </c>
      <c r="I400" s="57"/>
      <c r="J400" s="58"/>
      <c r="K400" s="59" t="s">
        <v>1084</v>
      </c>
      <c r="L400" s="59" t="s">
        <v>1085</v>
      </c>
      <c r="M400" cm="1">
        <f t="array" ref="M400">_xlfn.XLOOKUP(Matrix[[#This Row],[TEAM]]&amp;Matrix[[#Headers],[1]],FDR[FDR]&amp;FDR[[#Headers],[1]],FDR[1],"",0,1)</f>
        <v>1</v>
      </c>
      <c r="N400" cm="1">
        <f t="array" ref="N400">_xlfn.XLOOKUP(Matrix[[#This Row],[TEAM]]&amp;Matrix[[#Headers],[2]],FDR[FDR]&amp;FDR[[#Headers],[2]],FDR[2],"",0,1)</f>
        <v>3</v>
      </c>
      <c r="O400" cm="1">
        <f t="array" ref="O400">_xlfn.XLOOKUP(Matrix[[#This Row],[TEAM]]&amp;Matrix[[#Headers],[3]],FDR[FDR]&amp;FDR[[#Headers],[3]],FDR[3],"",0,1)</f>
        <v>3</v>
      </c>
      <c r="P400" cm="1">
        <f t="array" ref="P400">_xlfn.XLOOKUP(Matrix[[#This Row],[TEAM]]&amp;Matrix[[#Headers],[4]],FDR[FDR]&amp;FDR[[#Headers],[4]],FDR[4],"",0,1)</f>
        <v>1</v>
      </c>
      <c r="Q400" cm="1">
        <f t="array" ref="Q400">_xlfn.XLOOKUP(Matrix[[#This Row],[TEAM]]&amp;Matrix[[#Headers],[5]],FDR[FDR]&amp;FDR[[#Headers],[5]],FDR[5],"",0,1)</f>
        <v>1</v>
      </c>
      <c r="R400" cm="1">
        <f t="array" ref="R400">_xlfn.XLOOKUP(Matrix[[#This Row],[TEAM]]&amp;Matrix[[#Headers],[6]],FDR[FDR]&amp;FDR[[#Headers],[6]],FDR[6],"",0,1)</f>
        <v>2</v>
      </c>
      <c r="S400" cm="1">
        <f t="array" ref="S400">_xlfn.XLOOKUP(Matrix[[#This Row],[TEAM]]&amp;Matrix[[#Headers],[7]],FDR[FDR]&amp;FDR[[#Headers],[7]],FDR[7],"",0,1)</f>
        <v>3</v>
      </c>
      <c r="T400" cm="1">
        <f t="array" ref="T400">_xlfn.XLOOKUP(Matrix[[#This Row],[TEAM]]&amp;Matrix[[#Headers],[8]],FDR[FDR]&amp;FDR[[#Headers],[8]],FDR[8],"",0,1)</f>
        <v>2</v>
      </c>
      <c r="U400" cm="1">
        <f t="array" ref="U400">_xlfn.XLOOKUP(Matrix[[#This Row],[TEAM]]&amp;Matrix[[#Headers],[9]],FDR[FDR]&amp;FDR[[#Headers],[9]],FDR[9],"",0,1)</f>
        <v>2</v>
      </c>
      <c r="V400" cm="1">
        <f t="array" ref="V400">_xlfn.XLOOKUP(Matrix[[#This Row],[TEAM]]&amp;Matrix[[#Headers],[10]],FDR[FDR]&amp;FDR[[#Headers],[10]],FDR[10],"",0,1)</f>
        <v>2</v>
      </c>
      <c r="W400" cm="1">
        <f t="array" ref="W400">_xlfn.XLOOKUP(Matrix[[#This Row],[TEAM]]&amp;Matrix[[#Headers],[11]],FDR[FDR]&amp;FDR[[#Headers],[11]],FDR[11],"",0,1)</f>
        <v>3</v>
      </c>
      <c r="X400" cm="1">
        <f t="array" ref="X400">_xlfn.XLOOKUP(Matrix[[#This Row],[TEAM]]&amp;Matrix[[#Headers],[12]],FDR[FDR]&amp;FDR[[#Headers],[12]],FDR[12],"",0,1)</f>
        <v>1</v>
      </c>
      <c r="Y400" cm="1">
        <f t="array" ref="Y400">_xlfn.XLOOKUP(Matrix[[#This Row],[TEAM]]&amp;Matrix[[#Headers],[13]],FDR[FDR]&amp;FDR[[#Headers],[13]],FDR[13],"",0,1)</f>
        <v>2</v>
      </c>
      <c r="Z400" cm="1">
        <f t="array" ref="Z400">_xlfn.XLOOKUP(Matrix[[#This Row],[TEAM]]&amp;Matrix[[#Headers],[14]],FDR[FDR]&amp;FDR[[#Headers],[14]],FDR[14],"",0,1)</f>
        <v>1</v>
      </c>
      <c r="AA400" cm="1">
        <f t="array" ref="AA400">_xlfn.XLOOKUP(Matrix[[#This Row],[TEAM]]&amp;Matrix[[#Headers],[15]],FDR[FDR]&amp;FDR[[#Headers],[15]],FDR[15],"",0,1)</f>
        <v>1</v>
      </c>
      <c r="AB400" cm="1">
        <f t="array" ref="AB400">_xlfn.XLOOKUP(Matrix[[#This Row],[TEAM]]&amp;Matrix[[#Headers],[16]],FDR[FDR]&amp;FDR[[#Headers],[16]],FDR[16],"",0,1)</f>
        <v>1</v>
      </c>
      <c r="AC400" cm="1">
        <f t="array" ref="AC400">_xlfn.XLOOKUP(Matrix[[#This Row],[TEAM]]&amp;Matrix[[#Headers],[17]],FDR[FDR]&amp;FDR[[#Headers],[17]],FDR[17],"",0,1)</f>
        <v>3</v>
      </c>
      <c r="AD400" cm="1">
        <f t="array" ref="AD400">_xlfn.XLOOKUP(Matrix[[#This Row],[TEAM]]&amp;Matrix[[#Headers],[18]],FDR[FDR]&amp;FDR[[#Headers],[18]],FDR[18],"",0,1)</f>
        <v>1</v>
      </c>
      <c r="AE400" cm="1">
        <f t="array" ref="AE400">_xlfn.XLOOKUP(Matrix[[#This Row],[TEAM]]&amp;Matrix[[#Headers],[19]],FDR[FDR]&amp;FDR[[#Headers],[19]],FDR[19],"",0,1)</f>
        <v>1</v>
      </c>
      <c r="AF400" cm="1">
        <f t="array" ref="AF400">_xlfn.XLOOKUP(Matrix[[#This Row],[TEAM]]&amp;Matrix[[#Headers],[20]],FDR[FDR]&amp;FDR[[#Headers],[20]],FDR[20],"",0,1)</f>
        <v>2</v>
      </c>
      <c r="AG400" cm="1">
        <f t="array" ref="AG400">_xlfn.XLOOKUP(Matrix[[#This Row],[TEAM]]&amp;Matrix[[#Headers],[21]],FDR[FDR]&amp;FDR[[#Headers],[21]],FDR[21],"",0,1)</f>
        <v>3</v>
      </c>
      <c r="AH400" cm="1">
        <f t="array" ref="AH400">_xlfn.XLOOKUP(Matrix[[#This Row],[TEAM]]&amp;Matrix[[#Headers],[22]],FDR[FDR]&amp;FDR[[#Headers],[22]],FDR[22],"",0,1)</f>
        <v>1</v>
      </c>
      <c r="AI400" cm="1">
        <f t="array" ref="AI400">_xlfn.XLOOKUP(Matrix[[#This Row],[TEAM]]&amp;Matrix[[#Headers],[23]],FDR[FDR]&amp;FDR[[#Headers],[23]],FDR[23],"",0,1)</f>
        <v>2</v>
      </c>
      <c r="AJ400" cm="1">
        <f t="array" ref="AJ400">_xlfn.XLOOKUP(Matrix[[#This Row],[TEAM]]&amp;Matrix[[#Headers],[24]],FDR[FDR]&amp;FDR[[#Headers],[24]],FDR[24],"",0,1)</f>
        <v>2</v>
      </c>
      <c r="AK400" cm="1">
        <f t="array" ref="AK400">_xlfn.XLOOKUP(Matrix[[#This Row],[TEAM]]&amp;Matrix[[#Headers],[25]],FDR[FDR]&amp;FDR[[#Headers],[25]],FDR[25],"",0,1)</f>
        <v>3</v>
      </c>
      <c r="AL400" cm="1">
        <f t="array" ref="AL400">_xlfn.XLOOKUP(Matrix[[#This Row],[TEAM]]&amp;Matrix[[#Headers],[26]],FDR[FDR]&amp;FDR[[#Headers],[26]],FDR[26],"",0,1)</f>
        <v>1</v>
      </c>
      <c r="AM400" cm="1">
        <f t="array" ref="AM400">_xlfn.XLOOKUP(Matrix[[#This Row],[TEAM]]&amp;Matrix[[#Headers],[27]],FDR[FDR]&amp;FDR[[#Headers],[27]],FDR[27],"",0,1)</f>
        <v>2</v>
      </c>
      <c r="AN400" cm="1">
        <f t="array" ref="AN400">_xlfn.XLOOKUP(Matrix[[#This Row],[TEAM]]&amp;Matrix[[#Headers],[28]],FDR[FDR]&amp;FDR[[#Headers],[28]],FDR[28],"",0,1)</f>
        <v>1</v>
      </c>
      <c r="AO400" cm="1">
        <f t="array" ref="AO400">_xlfn.XLOOKUP(Matrix[[#This Row],[TEAM]]&amp;Matrix[[#Headers],[29]],FDR[FDR]&amp;FDR[[#Headers],[29]],FDR[29],"",0,1)</f>
        <v>1</v>
      </c>
      <c r="AP400" cm="1">
        <f t="array" ref="AP400">_xlfn.XLOOKUP(Matrix[[#This Row],[TEAM]]&amp;Matrix[[#Headers],[30]],FDR[FDR]&amp;FDR[[#Headers],[30]],FDR[30],"",0,1)</f>
        <v>2</v>
      </c>
      <c r="AQ400" cm="1">
        <f t="array" ref="AQ400">_xlfn.XLOOKUP(Matrix[[#This Row],[TEAM]]&amp;Matrix[[#Headers],[31]],FDR[FDR]&amp;FDR[[#Headers],[31]],FDR[31],"",0,1)</f>
        <v>2</v>
      </c>
      <c r="AR400" cm="1">
        <f t="array" ref="AR400">_xlfn.XLOOKUP(Matrix[[#This Row],[TEAM]]&amp;Matrix[[#Headers],[32]],FDR[FDR]&amp;FDR[[#Headers],[32]],FDR[32],"",0,1)</f>
        <v>1</v>
      </c>
      <c r="AS400" cm="1">
        <f t="array" ref="AS400">_xlfn.XLOOKUP(Matrix[[#This Row],[TEAM]]&amp;Matrix[[#Headers],[33]],FDR[FDR]&amp;FDR[[#Headers],[33]],FDR[33],"",0,1)</f>
        <v>2</v>
      </c>
      <c r="AT400" cm="1">
        <f t="array" ref="AT400">_xlfn.XLOOKUP(Matrix[[#This Row],[TEAM]]&amp;Matrix[[#Headers],[34]],FDR[FDR]&amp;FDR[[#Headers],[34]],FDR[34],"",0,1)</f>
        <v>1</v>
      </c>
      <c r="AU400" cm="1">
        <f t="array" ref="AU400">_xlfn.XLOOKUP(Matrix[[#This Row],[TEAM]]&amp;Matrix[[#Headers],[35]],FDR[FDR]&amp;FDR[[#Headers],[35]],FDR[35],"",0,1)</f>
        <v>3</v>
      </c>
      <c r="AV400" cm="1">
        <f t="array" ref="AV400">_xlfn.XLOOKUP(Matrix[[#This Row],[TEAM]]&amp;Matrix[[#Headers],[36]],FDR[FDR]&amp;FDR[[#Headers],[36]],FDR[36],"",0,1)</f>
        <v>2</v>
      </c>
      <c r="AW400" cm="1">
        <f t="array" ref="AW400">_xlfn.XLOOKUP(Matrix[[#This Row],[TEAM]]&amp;Matrix[[#Headers],[37]],FDR[FDR]&amp;FDR[[#Headers],[37]],FDR[37],"",0,1)</f>
        <v>3</v>
      </c>
      <c r="AX400" cm="1">
        <f t="array" ref="AX400">_xlfn.XLOOKUP(Matrix[[#This Row],[TEAM]]&amp;Matrix[[#Headers],[38]],FDR[FDR]&amp;FDR[[#Headers],[38]],FDR[38],"",0,1)</f>
        <v>1</v>
      </c>
    </row>
    <row r="401" spans="1:50" ht="22" thickTop="1" thickBot="1">
      <c r="A401" s="53" t="str">
        <f>INDEX!S$4</f>
        <v>MID</v>
      </c>
      <c r="B401" s="70" t="s">
        <v>1783</v>
      </c>
      <c r="C401" s="40" t="s">
        <v>17</v>
      </c>
      <c r="D401" s="62">
        <v>0</v>
      </c>
      <c r="E401" s="60">
        <v>0</v>
      </c>
      <c r="F401" s="61">
        <v>0</v>
      </c>
      <c r="G401" s="63">
        <v>4.5</v>
      </c>
      <c r="H401" s="261">
        <f>IF(ISBLANK(I401),0,1)</f>
        <v>0</v>
      </c>
      <c r="I401" s="57"/>
      <c r="J401" s="58"/>
      <c r="K401" s="59" t="s">
        <v>111</v>
      </c>
      <c r="L401" s="59" t="s">
        <v>1083</v>
      </c>
      <c r="M401" cm="1">
        <f t="array" ref="M401">_xlfn.XLOOKUP(Matrix[[#This Row],[TEAM]]&amp;Matrix[[#Headers],[1]],FDR[FDR]&amp;FDR[[#Headers],[1]],FDR[1],"",0,1)</f>
        <v>1</v>
      </c>
      <c r="N401" cm="1">
        <f t="array" ref="N401">_xlfn.XLOOKUP(Matrix[[#This Row],[TEAM]]&amp;Matrix[[#Headers],[2]],FDR[FDR]&amp;FDR[[#Headers],[2]],FDR[2],"",0,1)</f>
        <v>3</v>
      </c>
      <c r="O401" cm="1">
        <f t="array" ref="O401">_xlfn.XLOOKUP(Matrix[[#This Row],[TEAM]]&amp;Matrix[[#Headers],[3]],FDR[FDR]&amp;FDR[[#Headers],[3]],FDR[3],"",0,1)</f>
        <v>3</v>
      </c>
      <c r="P401" cm="1">
        <f t="array" ref="P401">_xlfn.XLOOKUP(Matrix[[#This Row],[TEAM]]&amp;Matrix[[#Headers],[4]],FDR[FDR]&amp;FDR[[#Headers],[4]],FDR[4],"",0,1)</f>
        <v>1</v>
      </c>
      <c r="Q401" cm="1">
        <f t="array" ref="Q401">_xlfn.XLOOKUP(Matrix[[#This Row],[TEAM]]&amp;Matrix[[#Headers],[5]],FDR[FDR]&amp;FDR[[#Headers],[5]],FDR[5],"",0,1)</f>
        <v>1</v>
      </c>
      <c r="R401" cm="1">
        <f t="array" ref="R401">_xlfn.XLOOKUP(Matrix[[#This Row],[TEAM]]&amp;Matrix[[#Headers],[6]],FDR[FDR]&amp;FDR[[#Headers],[6]],FDR[6],"",0,1)</f>
        <v>2</v>
      </c>
      <c r="S401" cm="1">
        <f t="array" ref="S401">_xlfn.XLOOKUP(Matrix[[#This Row],[TEAM]]&amp;Matrix[[#Headers],[7]],FDR[FDR]&amp;FDR[[#Headers],[7]],FDR[7],"",0,1)</f>
        <v>3</v>
      </c>
      <c r="T401" cm="1">
        <f t="array" ref="T401">_xlfn.XLOOKUP(Matrix[[#This Row],[TEAM]]&amp;Matrix[[#Headers],[8]],FDR[FDR]&amp;FDR[[#Headers],[8]],FDR[8],"",0,1)</f>
        <v>2</v>
      </c>
      <c r="U401" cm="1">
        <f t="array" ref="U401">_xlfn.XLOOKUP(Matrix[[#This Row],[TEAM]]&amp;Matrix[[#Headers],[9]],FDR[FDR]&amp;FDR[[#Headers],[9]],FDR[9],"",0,1)</f>
        <v>2</v>
      </c>
      <c r="V401" cm="1">
        <f t="array" ref="V401">_xlfn.XLOOKUP(Matrix[[#This Row],[TEAM]]&amp;Matrix[[#Headers],[10]],FDR[FDR]&amp;FDR[[#Headers],[10]],FDR[10],"",0,1)</f>
        <v>2</v>
      </c>
      <c r="W401" cm="1">
        <f t="array" ref="W401">_xlfn.XLOOKUP(Matrix[[#This Row],[TEAM]]&amp;Matrix[[#Headers],[11]],FDR[FDR]&amp;FDR[[#Headers],[11]],FDR[11],"",0,1)</f>
        <v>3</v>
      </c>
      <c r="X401" cm="1">
        <f t="array" ref="X401">_xlfn.XLOOKUP(Matrix[[#This Row],[TEAM]]&amp;Matrix[[#Headers],[12]],FDR[FDR]&amp;FDR[[#Headers],[12]],FDR[12],"",0,1)</f>
        <v>1</v>
      </c>
      <c r="Y401" cm="1">
        <f t="array" ref="Y401">_xlfn.XLOOKUP(Matrix[[#This Row],[TEAM]]&amp;Matrix[[#Headers],[13]],FDR[FDR]&amp;FDR[[#Headers],[13]],FDR[13],"",0,1)</f>
        <v>2</v>
      </c>
      <c r="Z401" cm="1">
        <f t="array" ref="Z401">_xlfn.XLOOKUP(Matrix[[#This Row],[TEAM]]&amp;Matrix[[#Headers],[14]],FDR[FDR]&amp;FDR[[#Headers],[14]],FDR[14],"",0,1)</f>
        <v>1</v>
      </c>
      <c r="AA401" cm="1">
        <f t="array" ref="AA401">_xlfn.XLOOKUP(Matrix[[#This Row],[TEAM]]&amp;Matrix[[#Headers],[15]],FDR[FDR]&amp;FDR[[#Headers],[15]],FDR[15],"",0,1)</f>
        <v>1</v>
      </c>
      <c r="AB401" cm="1">
        <f t="array" ref="AB401">_xlfn.XLOOKUP(Matrix[[#This Row],[TEAM]]&amp;Matrix[[#Headers],[16]],FDR[FDR]&amp;FDR[[#Headers],[16]],FDR[16],"",0,1)</f>
        <v>1</v>
      </c>
      <c r="AC401" cm="1">
        <f t="array" ref="AC401">_xlfn.XLOOKUP(Matrix[[#This Row],[TEAM]]&amp;Matrix[[#Headers],[17]],FDR[FDR]&amp;FDR[[#Headers],[17]],FDR[17],"",0,1)</f>
        <v>3</v>
      </c>
      <c r="AD401" cm="1">
        <f t="array" ref="AD401">_xlfn.XLOOKUP(Matrix[[#This Row],[TEAM]]&amp;Matrix[[#Headers],[18]],FDR[FDR]&amp;FDR[[#Headers],[18]],FDR[18],"",0,1)</f>
        <v>1</v>
      </c>
      <c r="AE401" cm="1">
        <f t="array" ref="AE401">_xlfn.XLOOKUP(Matrix[[#This Row],[TEAM]]&amp;Matrix[[#Headers],[19]],FDR[FDR]&amp;FDR[[#Headers],[19]],FDR[19],"",0,1)</f>
        <v>1</v>
      </c>
      <c r="AF401" cm="1">
        <f t="array" ref="AF401">_xlfn.XLOOKUP(Matrix[[#This Row],[TEAM]]&amp;Matrix[[#Headers],[20]],FDR[FDR]&amp;FDR[[#Headers],[20]],FDR[20],"",0,1)</f>
        <v>2</v>
      </c>
      <c r="AG401" cm="1">
        <f t="array" ref="AG401">_xlfn.XLOOKUP(Matrix[[#This Row],[TEAM]]&amp;Matrix[[#Headers],[21]],FDR[FDR]&amp;FDR[[#Headers],[21]],FDR[21],"",0,1)</f>
        <v>3</v>
      </c>
      <c r="AH401" cm="1">
        <f t="array" ref="AH401">_xlfn.XLOOKUP(Matrix[[#This Row],[TEAM]]&amp;Matrix[[#Headers],[22]],FDR[FDR]&amp;FDR[[#Headers],[22]],FDR[22],"",0,1)</f>
        <v>1</v>
      </c>
      <c r="AI401" cm="1">
        <f t="array" ref="AI401">_xlfn.XLOOKUP(Matrix[[#This Row],[TEAM]]&amp;Matrix[[#Headers],[23]],FDR[FDR]&amp;FDR[[#Headers],[23]],FDR[23],"",0,1)</f>
        <v>2</v>
      </c>
      <c r="AJ401" cm="1">
        <f t="array" ref="AJ401">_xlfn.XLOOKUP(Matrix[[#This Row],[TEAM]]&amp;Matrix[[#Headers],[24]],FDR[FDR]&amp;FDR[[#Headers],[24]],FDR[24],"",0,1)</f>
        <v>2</v>
      </c>
      <c r="AK401" cm="1">
        <f t="array" ref="AK401">_xlfn.XLOOKUP(Matrix[[#This Row],[TEAM]]&amp;Matrix[[#Headers],[25]],FDR[FDR]&amp;FDR[[#Headers],[25]],FDR[25],"",0,1)</f>
        <v>3</v>
      </c>
      <c r="AL401" cm="1">
        <f t="array" ref="AL401">_xlfn.XLOOKUP(Matrix[[#This Row],[TEAM]]&amp;Matrix[[#Headers],[26]],FDR[FDR]&amp;FDR[[#Headers],[26]],FDR[26],"",0,1)</f>
        <v>1</v>
      </c>
      <c r="AM401" cm="1">
        <f t="array" ref="AM401">_xlfn.XLOOKUP(Matrix[[#This Row],[TEAM]]&amp;Matrix[[#Headers],[27]],FDR[FDR]&amp;FDR[[#Headers],[27]],FDR[27],"",0,1)</f>
        <v>2</v>
      </c>
      <c r="AN401" cm="1">
        <f t="array" ref="AN401">_xlfn.XLOOKUP(Matrix[[#This Row],[TEAM]]&amp;Matrix[[#Headers],[28]],FDR[FDR]&amp;FDR[[#Headers],[28]],FDR[28],"",0,1)</f>
        <v>1</v>
      </c>
      <c r="AO401" cm="1">
        <f t="array" ref="AO401">_xlfn.XLOOKUP(Matrix[[#This Row],[TEAM]]&amp;Matrix[[#Headers],[29]],FDR[FDR]&amp;FDR[[#Headers],[29]],FDR[29],"",0,1)</f>
        <v>1</v>
      </c>
      <c r="AP401" cm="1">
        <f t="array" ref="AP401">_xlfn.XLOOKUP(Matrix[[#This Row],[TEAM]]&amp;Matrix[[#Headers],[30]],FDR[FDR]&amp;FDR[[#Headers],[30]],FDR[30],"",0,1)</f>
        <v>2</v>
      </c>
      <c r="AQ401" cm="1">
        <f t="array" ref="AQ401">_xlfn.XLOOKUP(Matrix[[#This Row],[TEAM]]&amp;Matrix[[#Headers],[31]],FDR[FDR]&amp;FDR[[#Headers],[31]],FDR[31],"",0,1)</f>
        <v>2</v>
      </c>
      <c r="AR401" cm="1">
        <f t="array" ref="AR401">_xlfn.XLOOKUP(Matrix[[#This Row],[TEAM]]&amp;Matrix[[#Headers],[32]],FDR[FDR]&amp;FDR[[#Headers],[32]],FDR[32],"",0,1)</f>
        <v>1</v>
      </c>
      <c r="AS401" cm="1">
        <f t="array" ref="AS401">_xlfn.XLOOKUP(Matrix[[#This Row],[TEAM]]&amp;Matrix[[#Headers],[33]],FDR[FDR]&amp;FDR[[#Headers],[33]],FDR[33],"",0,1)</f>
        <v>2</v>
      </c>
      <c r="AT401" cm="1">
        <f t="array" ref="AT401">_xlfn.XLOOKUP(Matrix[[#This Row],[TEAM]]&amp;Matrix[[#Headers],[34]],FDR[FDR]&amp;FDR[[#Headers],[34]],FDR[34],"",0,1)</f>
        <v>1</v>
      </c>
      <c r="AU401" cm="1">
        <f t="array" ref="AU401">_xlfn.XLOOKUP(Matrix[[#This Row],[TEAM]]&amp;Matrix[[#Headers],[35]],FDR[FDR]&amp;FDR[[#Headers],[35]],FDR[35],"",0,1)</f>
        <v>3</v>
      </c>
      <c r="AV401" cm="1">
        <f t="array" ref="AV401">_xlfn.XLOOKUP(Matrix[[#This Row],[TEAM]]&amp;Matrix[[#Headers],[36]],FDR[FDR]&amp;FDR[[#Headers],[36]],FDR[36],"",0,1)</f>
        <v>2</v>
      </c>
      <c r="AW401" cm="1">
        <f t="array" ref="AW401">_xlfn.XLOOKUP(Matrix[[#This Row],[TEAM]]&amp;Matrix[[#Headers],[37]],FDR[FDR]&amp;FDR[[#Headers],[37]],FDR[37],"",0,1)</f>
        <v>3</v>
      </c>
      <c r="AX401" cm="1">
        <f t="array" ref="AX401">_xlfn.XLOOKUP(Matrix[[#This Row],[TEAM]]&amp;Matrix[[#Headers],[38]],FDR[FDR]&amp;FDR[[#Headers],[38]],FDR[38],"",0,1)</f>
        <v>1</v>
      </c>
    </row>
    <row r="402" spans="1:50" ht="22" thickTop="1" thickBot="1">
      <c r="A402" s="53" t="str">
        <f>INDEX!S$4</f>
        <v>MID</v>
      </c>
      <c r="B402" s="70" t="s">
        <v>1710</v>
      </c>
      <c r="C402" s="40" t="s">
        <v>30</v>
      </c>
      <c r="D402" s="62">
        <v>0</v>
      </c>
      <c r="E402" s="60">
        <v>2E-3</v>
      </c>
      <c r="F402" s="61">
        <v>0</v>
      </c>
      <c r="G402" s="63">
        <v>4.5</v>
      </c>
      <c r="H402" s="261">
        <f>IF(ISBLANK(I402),0,1)</f>
        <v>0</v>
      </c>
      <c r="I402" s="57"/>
      <c r="J402" s="58"/>
      <c r="K402" s="59" t="s">
        <v>409</v>
      </c>
      <c r="L402" s="59" t="s">
        <v>1117</v>
      </c>
      <c r="M402" cm="1">
        <f t="array" ref="M402">_xlfn.XLOOKUP(Matrix[[#This Row],[TEAM]]&amp;Matrix[[#Headers],[1]],FDR[FDR]&amp;FDR[[#Headers],[1]],FDR[1],"",0,1)</f>
        <v>3</v>
      </c>
      <c r="N402" cm="1">
        <f t="array" ref="N402">_xlfn.XLOOKUP(Matrix[[#This Row],[TEAM]]&amp;Matrix[[#Headers],[2]],FDR[FDR]&amp;FDR[[#Headers],[2]],FDR[2],"",0,1)</f>
        <v>2</v>
      </c>
      <c r="O402" cm="1">
        <f t="array" ref="O402">_xlfn.XLOOKUP(Matrix[[#This Row],[TEAM]]&amp;Matrix[[#Headers],[3]],FDR[FDR]&amp;FDR[[#Headers],[3]],FDR[3],"",0,1)</f>
        <v>1</v>
      </c>
      <c r="P402" cm="1">
        <f t="array" ref="P402">_xlfn.XLOOKUP(Matrix[[#This Row],[TEAM]]&amp;Matrix[[#Headers],[4]],FDR[FDR]&amp;FDR[[#Headers],[4]],FDR[4],"",0,1)</f>
        <v>4</v>
      </c>
      <c r="Q402" cm="1">
        <f t="array" ref="Q402">_xlfn.XLOOKUP(Matrix[[#This Row],[TEAM]]&amp;Matrix[[#Headers],[5]],FDR[FDR]&amp;FDR[[#Headers],[5]],FDR[5],"",0,1)</f>
        <v>3</v>
      </c>
      <c r="R402" cm="1">
        <f t="array" ref="R402">_xlfn.XLOOKUP(Matrix[[#This Row],[TEAM]]&amp;Matrix[[#Headers],[6]],FDR[FDR]&amp;FDR[[#Headers],[6]],FDR[6],"",0,1)</f>
        <v>2</v>
      </c>
      <c r="S402" cm="1">
        <f t="array" ref="S402">_xlfn.XLOOKUP(Matrix[[#This Row],[TEAM]]&amp;Matrix[[#Headers],[7]],FDR[FDR]&amp;FDR[[#Headers],[7]],FDR[7],"",0,1)</f>
        <v>1</v>
      </c>
      <c r="T402" cm="1">
        <f t="array" ref="T402">_xlfn.XLOOKUP(Matrix[[#This Row],[TEAM]]&amp;Matrix[[#Headers],[8]],FDR[FDR]&amp;FDR[[#Headers],[8]],FDR[8],"",0,1)</f>
        <v>4</v>
      </c>
      <c r="U402" cm="1">
        <f t="array" ref="U402">_xlfn.XLOOKUP(Matrix[[#This Row],[TEAM]]&amp;Matrix[[#Headers],[9]],FDR[FDR]&amp;FDR[[#Headers],[9]],FDR[9],"",0,1)</f>
        <v>1</v>
      </c>
      <c r="V402" cm="1">
        <f t="array" ref="V402">_xlfn.XLOOKUP(Matrix[[#This Row],[TEAM]]&amp;Matrix[[#Headers],[10]],FDR[FDR]&amp;FDR[[#Headers],[10]],FDR[10],"",0,1)</f>
        <v>2</v>
      </c>
      <c r="W402" cm="1">
        <f t="array" ref="W402">_xlfn.XLOOKUP(Matrix[[#This Row],[TEAM]]&amp;Matrix[[#Headers],[11]],FDR[FDR]&amp;FDR[[#Headers],[11]],FDR[11],"",0,1)</f>
        <v>4</v>
      </c>
      <c r="X402" cm="1">
        <f t="array" ref="X402">_xlfn.XLOOKUP(Matrix[[#This Row],[TEAM]]&amp;Matrix[[#Headers],[12]],FDR[FDR]&amp;FDR[[#Headers],[12]],FDR[12],"",0,1)</f>
        <v>1</v>
      </c>
      <c r="Y402" cm="1">
        <f t="array" ref="Y402">_xlfn.XLOOKUP(Matrix[[#This Row],[TEAM]]&amp;Matrix[[#Headers],[13]],FDR[FDR]&amp;FDR[[#Headers],[13]],FDR[13],"",0,1)</f>
        <v>2</v>
      </c>
      <c r="Z402" cm="1">
        <f t="array" ref="Z402">_xlfn.XLOOKUP(Matrix[[#This Row],[TEAM]]&amp;Matrix[[#Headers],[14]],FDR[FDR]&amp;FDR[[#Headers],[14]],FDR[14],"",0,1)</f>
        <v>1</v>
      </c>
      <c r="AA402" cm="1">
        <f t="array" ref="AA402">_xlfn.XLOOKUP(Matrix[[#This Row],[TEAM]]&amp;Matrix[[#Headers],[15]],FDR[FDR]&amp;FDR[[#Headers],[15]],FDR[15],"",0,1)</f>
        <v>1</v>
      </c>
      <c r="AB402" cm="1">
        <f t="array" ref="AB402">_xlfn.XLOOKUP(Matrix[[#This Row],[TEAM]]&amp;Matrix[[#Headers],[16]],FDR[FDR]&amp;FDR[[#Headers],[16]],FDR[16],"",0,1)</f>
        <v>1</v>
      </c>
      <c r="AC402" cm="1">
        <f t="array" ref="AC402">_xlfn.XLOOKUP(Matrix[[#This Row],[TEAM]]&amp;Matrix[[#Headers],[17]],FDR[FDR]&amp;FDR[[#Headers],[17]],FDR[17],"",0,1)</f>
        <v>3</v>
      </c>
      <c r="AD402" cm="1">
        <f t="array" ref="AD402">_xlfn.XLOOKUP(Matrix[[#This Row],[TEAM]]&amp;Matrix[[#Headers],[18]],FDR[FDR]&amp;FDR[[#Headers],[18]],FDR[18],"",0,1)</f>
        <v>2</v>
      </c>
      <c r="AE402" cm="1">
        <f t="array" ref="AE402">_xlfn.XLOOKUP(Matrix[[#This Row],[TEAM]]&amp;Matrix[[#Headers],[19]],FDR[FDR]&amp;FDR[[#Headers],[19]],FDR[19],"",0,1)</f>
        <v>1</v>
      </c>
      <c r="AF402" cm="1">
        <f t="array" ref="AF402">_xlfn.XLOOKUP(Matrix[[#This Row],[TEAM]]&amp;Matrix[[#Headers],[20]],FDR[FDR]&amp;FDR[[#Headers],[20]],FDR[20],"",0,1)</f>
        <v>1</v>
      </c>
      <c r="AG402" cm="1">
        <f t="array" ref="AG402">_xlfn.XLOOKUP(Matrix[[#This Row],[TEAM]]&amp;Matrix[[#Headers],[21]],FDR[FDR]&amp;FDR[[#Headers],[21]],FDR[21],"",0,1)</f>
        <v>1</v>
      </c>
      <c r="AH402" cm="1">
        <f t="array" ref="AH402">_xlfn.XLOOKUP(Matrix[[#This Row],[TEAM]]&amp;Matrix[[#Headers],[22]],FDR[FDR]&amp;FDR[[#Headers],[22]],FDR[22],"",0,1)</f>
        <v>3</v>
      </c>
      <c r="AI402" cm="1">
        <f t="array" ref="AI402">_xlfn.XLOOKUP(Matrix[[#This Row],[TEAM]]&amp;Matrix[[#Headers],[23]],FDR[FDR]&amp;FDR[[#Headers],[23]],FDR[23],"",0,1)</f>
        <v>4</v>
      </c>
      <c r="AJ402" cm="1">
        <f t="array" ref="AJ402">_xlfn.XLOOKUP(Matrix[[#This Row],[TEAM]]&amp;Matrix[[#Headers],[24]],FDR[FDR]&amp;FDR[[#Headers],[24]],FDR[24],"",0,1)</f>
        <v>1</v>
      </c>
      <c r="AK402" cm="1">
        <f t="array" ref="AK402">_xlfn.XLOOKUP(Matrix[[#This Row],[TEAM]]&amp;Matrix[[#Headers],[25]],FDR[FDR]&amp;FDR[[#Headers],[25]],FDR[25],"",0,1)</f>
        <v>3</v>
      </c>
      <c r="AL402" cm="1">
        <f t="array" ref="AL402">_xlfn.XLOOKUP(Matrix[[#This Row],[TEAM]]&amp;Matrix[[#Headers],[26]],FDR[FDR]&amp;FDR[[#Headers],[26]],FDR[26],"",0,1)</f>
        <v>2</v>
      </c>
      <c r="AM402" cm="1">
        <f t="array" ref="AM402">_xlfn.XLOOKUP(Matrix[[#This Row],[TEAM]]&amp;Matrix[[#Headers],[27]],FDR[FDR]&amp;FDR[[#Headers],[27]],FDR[27],"",0,1)</f>
        <v>2</v>
      </c>
      <c r="AN402" cm="1">
        <f t="array" ref="AN402">_xlfn.XLOOKUP(Matrix[[#This Row],[TEAM]]&amp;Matrix[[#Headers],[28]],FDR[FDR]&amp;FDR[[#Headers],[28]],FDR[28],"",0,1)</f>
        <v>1</v>
      </c>
      <c r="AO402" cm="1">
        <f t="array" ref="AO402">_xlfn.XLOOKUP(Matrix[[#This Row],[TEAM]]&amp;Matrix[[#Headers],[29]],FDR[FDR]&amp;FDR[[#Headers],[29]],FDR[29],"",0,1)</f>
        <v>3</v>
      </c>
      <c r="AP402" cm="1">
        <f t="array" ref="AP402">_xlfn.XLOOKUP(Matrix[[#This Row],[TEAM]]&amp;Matrix[[#Headers],[30]],FDR[FDR]&amp;FDR[[#Headers],[30]],FDR[30],"",0,1)</f>
        <v>2</v>
      </c>
      <c r="AQ402" cm="1">
        <f t="array" ref="AQ402">_xlfn.XLOOKUP(Matrix[[#This Row],[TEAM]]&amp;Matrix[[#Headers],[31]],FDR[FDR]&amp;FDR[[#Headers],[31]],FDR[31],"",0,1)</f>
        <v>2</v>
      </c>
      <c r="AR402" cm="1">
        <f t="array" ref="AR402">_xlfn.XLOOKUP(Matrix[[#This Row],[TEAM]]&amp;Matrix[[#Headers],[32]],FDR[FDR]&amp;FDR[[#Headers],[32]],FDR[32],"",0,1)</f>
        <v>1</v>
      </c>
      <c r="AS402" cm="1">
        <f t="array" ref="AS402">_xlfn.XLOOKUP(Matrix[[#This Row],[TEAM]]&amp;Matrix[[#Headers],[33]],FDR[FDR]&amp;FDR[[#Headers],[33]],FDR[33],"",0,1)</f>
        <v>4</v>
      </c>
      <c r="AT402" cm="1">
        <f t="array" ref="AT402">_xlfn.XLOOKUP(Matrix[[#This Row],[TEAM]]&amp;Matrix[[#Headers],[34]],FDR[FDR]&amp;FDR[[#Headers],[34]],FDR[34],"",0,1)</f>
        <v>1</v>
      </c>
      <c r="AU402" cm="1">
        <f t="array" ref="AU402">_xlfn.XLOOKUP(Matrix[[#This Row],[TEAM]]&amp;Matrix[[#Headers],[35]],FDR[FDR]&amp;FDR[[#Headers],[35]],FDR[35],"",0,1)</f>
        <v>3</v>
      </c>
      <c r="AV402" cm="1">
        <f t="array" ref="AV402">_xlfn.XLOOKUP(Matrix[[#This Row],[TEAM]]&amp;Matrix[[#Headers],[36]],FDR[FDR]&amp;FDR[[#Headers],[36]],FDR[36],"",0,1)</f>
        <v>1</v>
      </c>
      <c r="AW402" cm="1">
        <f t="array" ref="AW402">_xlfn.XLOOKUP(Matrix[[#This Row],[TEAM]]&amp;Matrix[[#Headers],[37]],FDR[FDR]&amp;FDR[[#Headers],[37]],FDR[37],"",0,1)</f>
        <v>1</v>
      </c>
      <c r="AX402" cm="1">
        <f t="array" ref="AX402">_xlfn.XLOOKUP(Matrix[[#This Row],[TEAM]]&amp;Matrix[[#Headers],[38]],FDR[FDR]&amp;FDR[[#Headers],[38]],FDR[38],"",0,1)</f>
        <v>2</v>
      </c>
    </row>
    <row r="403" spans="1:50" ht="22" thickTop="1" thickBot="1">
      <c r="A403" s="53" t="str">
        <f>INDEX!S$4</f>
        <v>MID</v>
      </c>
      <c r="B403" s="70" t="s">
        <v>1750</v>
      </c>
      <c r="C403" s="40" t="s">
        <v>30</v>
      </c>
      <c r="D403" s="62">
        <v>0</v>
      </c>
      <c r="E403" s="60">
        <v>1E-3</v>
      </c>
      <c r="F403" s="61">
        <v>0</v>
      </c>
      <c r="G403" s="63">
        <v>4.5</v>
      </c>
      <c r="H403" s="261">
        <f>IF(ISBLANK(I403),0,1)</f>
        <v>0</v>
      </c>
      <c r="I403" s="57"/>
      <c r="J403" s="58"/>
      <c r="K403" s="59" t="s">
        <v>1112</v>
      </c>
      <c r="L403" s="59" t="s">
        <v>1113</v>
      </c>
      <c r="M403" cm="1">
        <f t="array" ref="M403">_xlfn.XLOOKUP(Matrix[[#This Row],[TEAM]]&amp;Matrix[[#Headers],[1]],FDR[FDR]&amp;FDR[[#Headers],[1]],FDR[1],"",0,1)</f>
        <v>3</v>
      </c>
      <c r="N403" cm="1">
        <f t="array" ref="N403">_xlfn.XLOOKUP(Matrix[[#This Row],[TEAM]]&amp;Matrix[[#Headers],[2]],FDR[FDR]&amp;FDR[[#Headers],[2]],FDR[2],"",0,1)</f>
        <v>2</v>
      </c>
      <c r="O403" cm="1">
        <f t="array" ref="O403">_xlfn.XLOOKUP(Matrix[[#This Row],[TEAM]]&amp;Matrix[[#Headers],[3]],FDR[FDR]&amp;FDR[[#Headers],[3]],FDR[3],"",0,1)</f>
        <v>1</v>
      </c>
      <c r="P403" cm="1">
        <f t="array" ref="P403">_xlfn.XLOOKUP(Matrix[[#This Row],[TEAM]]&amp;Matrix[[#Headers],[4]],FDR[FDR]&amp;FDR[[#Headers],[4]],FDR[4],"",0,1)</f>
        <v>4</v>
      </c>
      <c r="Q403" cm="1">
        <f t="array" ref="Q403">_xlfn.XLOOKUP(Matrix[[#This Row],[TEAM]]&amp;Matrix[[#Headers],[5]],FDR[FDR]&amp;FDR[[#Headers],[5]],FDR[5],"",0,1)</f>
        <v>3</v>
      </c>
      <c r="R403" cm="1">
        <f t="array" ref="R403">_xlfn.XLOOKUP(Matrix[[#This Row],[TEAM]]&amp;Matrix[[#Headers],[6]],FDR[FDR]&amp;FDR[[#Headers],[6]],FDR[6],"",0,1)</f>
        <v>2</v>
      </c>
      <c r="S403" cm="1">
        <f t="array" ref="S403">_xlfn.XLOOKUP(Matrix[[#This Row],[TEAM]]&amp;Matrix[[#Headers],[7]],FDR[FDR]&amp;FDR[[#Headers],[7]],FDR[7],"",0,1)</f>
        <v>1</v>
      </c>
      <c r="T403" cm="1">
        <f t="array" ref="T403">_xlfn.XLOOKUP(Matrix[[#This Row],[TEAM]]&amp;Matrix[[#Headers],[8]],FDR[FDR]&amp;FDR[[#Headers],[8]],FDR[8],"",0,1)</f>
        <v>4</v>
      </c>
      <c r="U403" cm="1">
        <f t="array" ref="U403">_xlfn.XLOOKUP(Matrix[[#This Row],[TEAM]]&amp;Matrix[[#Headers],[9]],FDR[FDR]&amp;FDR[[#Headers],[9]],FDR[9],"",0,1)</f>
        <v>1</v>
      </c>
      <c r="V403" cm="1">
        <f t="array" ref="V403">_xlfn.XLOOKUP(Matrix[[#This Row],[TEAM]]&amp;Matrix[[#Headers],[10]],FDR[FDR]&amp;FDR[[#Headers],[10]],FDR[10],"",0,1)</f>
        <v>2</v>
      </c>
      <c r="W403" cm="1">
        <f t="array" ref="W403">_xlfn.XLOOKUP(Matrix[[#This Row],[TEAM]]&amp;Matrix[[#Headers],[11]],FDR[FDR]&amp;FDR[[#Headers],[11]],FDR[11],"",0,1)</f>
        <v>4</v>
      </c>
      <c r="X403" cm="1">
        <f t="array" ref="X403">_xlfn.XLOOKUP(Matrix[[#This Row],[TEAM]]&amp;Matrix[[#Headers],[12]],FDR[FDR]&amp;FDR[[#Headers],[12]],FDR[12],"",0,1)</f>
        <v>1</v>
      </c>
      <c r="Y403" cm="1">
        <f t="array" ref="Y403">_xlfn.XLOOKUP(Matrix[[#This Row],[TEAM]]&amp;Matrix[[#Headers],[13]],FDR[FDR]&amp;FDR[[#Headers],[13]],FDR[13],"",0,1)</f>
        <v>2</v>
      </c>
      <c r="Z403" cm="1">
        <f t="array" ref="Z403">_xlfn.XLOOKUP(Matrix[[#This Row],[TEAM]]&amp;Matrix[[#Headers],[14]],FDR[FDR]&amp;FDR[[#Headers],[14]],FDR[14],"",0,1)</f>
        <v>1</v>
      </c>
      <c r="AA403" cm="1">
        <f t="array" ref="AA403">_xlfn.XLOOKUP(Matrix[[#This Row],[TEAM]]&amp;Matrix[[#Headers],[15]],FDR[FDR]&amp;FDR[[#Headers],[15]],FDR[15],"",0,1)</f>
        <v>1</v>
      </c>
      <c r="AB403" cm="1">
        <f t="array" ref="AB403">_xlfn.XLOOKUP(Matrix[[#This Row],[TEAM]]&amp;Matrix[[#Headers],[16]],FDR[FDR]&amp;FDR[[#Headers],[16]],FDR[16],"",0,1)</f>
        <v>1</v>
      </c>
      <c r="AC403" cm="1">
        <f t="array" ref="AC403">_xlfn.XLOOKUP(Matrix[[#This Row],[TEAM]]&amp;Matrix[[#Headers],[17]],FDR[FDR]&amp;FDR[[#Headers],[17]],FDR[17],"",0,1)</f>
        <v>3</v>
      </c>
      <c r="AD403" cm="1">
        <f t="array" ref="AD403">_xlfn.XLOOKUP(Matrix[[#This Row],[TEAM]]&amp;Matrix[[#Headers],[18]],FDR[FDR]&amp;FDR[[#Headers],[18]],FDR[18],"",0,1)</f>
        <v>2</v>
      </c>
      <c r="AE403" cm="1">
        <f t="array" ref="AE403">_xlfn.XLOOKUP(Matrix[[#This Row],[TEAM]]&amp;Matrix[[#Headers],[19]],FDR[FDR]&amp;FDR[[#Headers],[19]],FDR[19],"",0,1)</f>
        <v>1</v>
      </c>
      <c r="AF403" cm="1">
        <f t="array" ref="AF403">_xlfn.XLOOKUP(Matrix[[#This Row],[TEAM]]&amp;Matrix[[#Headers],[20]],FDR[FDR]&amp;FDR[[#Headers],[20]],FDR[20],"",0,1)</f>
        <v>1</v>
      </c>
      <c r="AG403" cm="1">
        <f t="array" ref="AG403">_xlfn.XLOOKUP(Matrix[[#This Row],[TEAM]]&amp;Matrix[[#Headers],[21]],FDR[FDR]&amp;FDR[[#Headers],[21]],FDR[21],"",0,1)</f>
        <v>1</v>
      </c>
      <c r="AH403" cm="1">
        <f t="array" ref="AH403">_xlfn.XLOOKUP(Matrix[[#This Row],[TEAM]]&amp;Matrix[[#Headers],[22]],FDR[FDR]&amp;FDR[[#Headers],[22]],FDR[22],"",0,1)</f>
        <v>3</v>
      </c>
      <c r="AI403" cm="1">
        <f t="array" ref="AI403">_xlfn.XLOOKUP(Matrix[[#This Row],[TEAM]]&amp;Matrix[[#Headers],[23]],FDR[FDR]&amp;FDR[[#Headers],[23]],FDR[23],"",0,1)</f>
        <v>4</v>
      </c>
      <c r="AJ403" cm="1">
        <f t="array" ref="AJ403">_xlfn.XLOOKUP(Matrix[[#This Row],[TEAM]]&amp;Matrix[[#Headers],[24]],FDR[FDR]&amp;FDR[[#Headers],[24]],FDR[24],"",0,1)</f>
        <v>1</v>
      </c>
      <c r="AK403" cm="1">
        <f t="array" ref="AK403">_xlfn.XLOOKUP(Matrix[[#This Row],[TEAM]]&amp;Matrix[[#Headers],[25]],FDR[FDR]&amp;FDR[[#Headers],[25]],FDR[25],"",0,1)</f>
        <v>3</v>
      </c>
      <c r="AL403" cm="1">
        <f t="array" ref="AL403">_xlfn.XLOOKUP(Matrix[[#This Row],[TEAM]]&amp;Matrix[[#Headers],[26]],FDR[FDR]&amp;FDR[[#Headers],[26]],FDR[26],"",0,1)</f>
        <v>2</v>
      </c>
      <c r="AM403" cm="1">
        <f t="array" ref="AM403">_xlfn.XLOOKUP(Matrix[[#This Row],[TEAM]]&amp;Matrix[[#Headers],[27]],FDR[FDR]&amp;FDR[[#Headers],[27]],FDR[27],"",0,1)</f>
        <v>2</v>
      </c>
      <c r="AN403" cm="1">
        <f t="array" ref="AN403">_xlfn.XLOOKUP(Matrix[[#This Row],[TEAM]]&amp;Matrix[[#Headers],[28]],FDR[FDR]&amp;FDR[[#Headers],[28]],FDR[28],"",0,1)</f>
        <v>1</v>
      </c>
      <c r="AO403" cm="1">
        <f t="array" ref="AO403">_xlfn.XLOOKUP(Matrix[[#This Row],[TEAM]]&amp;Matrix[[#Headers],[29]],FDR[FDR]&amp;FDR[[#Headers],[29]],FDR[29],"",0,1)</f>
        <v>3</v>
      </c>
      <c r="AP403" cm="1">
        <f t="array" ref="AP403">_xlfn.XLOOKUP(Matrix[[#This Row],[TEAM]]&amp;Matrix[[#Headers],[30]],FDR[FDR]&amp;FDR[[#Headers],[30]],FDR[30],"",0,1)</f>
        <v>2</v>
      </c>
      <c r="AQ403" cm="1">
        <f t="array" ref="AQ403">_xlfn.XLOOKUP(Matrix[[#This Row],[TEAM]]&amp;Matrix[[#Headers],[31]],FDR[FDR]&amp;FDR[[#Headers],[31]],FDR[31],"",0,1)</f>
        <v>2</v>
      </c>
      <c r="AR403" cm="1">
        <f t="array" ref="AR403">_xlfn.XLOOKUP(Matrix[[#This Row],[TEAM]]&amp;Matrix[[#Headers],[32]],FDR[FDR]&amp;FDR[[#Headers],[32]],FDR[32],"",0,1)</f>
        <v>1</v>
      </c>
      <c r="AS403" cm="1">
        <f t="array" ref="AS403">_xlfn.XLOOKUP(Matrix[[#This Row],[TEAM]]&amp;Matrix[[#Headers],[33]],FDR[FDR]&amp;FDR[[#Headers],[33]],FDR[33],"",0,1)</f>
        <v>4</v>
      </c>
      <c r="AT403" cm="1">
        <f t="array" ref="AT403">_xlfn.XLOOKUP(Matrix[[#This Row],[TEAM]]&amp;Matrix[[#Headers],[34]],FDR[FDR]&amp;FDR[[#Headers],[34]],FDR[34],"",0,1)</f>
        <v>1</v>
      </c>
      <c r="AU403" cm="1">
        <f t="array" ref="AU403">_xlfn.XLOOKUP(Matrix[[#This Row],[TEAM]]&amp;Matrix[[#Headers],[35]],FDR[FDR]&amp;FDR[[#Headers],[35]],FDR[35],"",0,1)</f>
        <v>3</v>
      </c>
      <c r="AV403" cm="1">
        <f t="array" ref="AV403">_xlfn.XLOOKUP(Matrix[[#This Row],[TEAM]]&amp;Matrix[[#Headers],[36]],FDR[FDR]&amp;FDR[[#Headers],[36]],FDR[36],"",0,1)</f>
        <v>1</v>
      </c>
      <c r="AW403" cm="1">
        <f t="array" ref="AW403">_xlfn.XLOOKUP(Matrix[[#This Row],[TEAM]]&amp;Matrix[[#Headers],[37]],FDR[FDR]&amp;FDR[[#Headers],[37]],FDR[37],"",0,1)</f>
        <v>1</v>
      </c>
      <c r="AX403" cm="1">
        <f t="array" ref="AX403">_xlfn.XLOOKUP(Matrix[[#This Row],[TEAM]]&amp;Matrix[[#Headers],[38]],FDR[FDR]&amp;FDR[[#Headers],[38]],FDR[38],"",0,1)</f>
        <v>2</v>
      </c>
    </row>
    <row r="404" spans="1:50" ht="22" thickTop="1" thickBot="1">
      <c r="A404" s="53" t="str">
        <f>INDEX!S$4</f>
        <v>MID</v>
      </c>
      <c r="B404" s="70" t="s">
        <v>1785</v>
      </c>
      <c r="C404" s="40" t="s">
        <v>30</v>
      </c>
      <c r="D404" s="62">
        <v>0</v>
      </c>
      <c r="E404" s="60">
        <v>0</v>
      </c>
      <c r="F404" s="61">
        <v>0</v>
      </c>
      <c r="G404" s="63">
        <v>4.5</v>
      </c>
      <c r="H404" s="261">
        <f>IF(ISBLANK(I404),0,1)</f>
        <v>0</v>
      </c>
      <c r="I404" s="57"/>
      <c r="J404" s="58"/>
      <c r="K404" s="59" t="s">
        <v>401</v>
      </c>
      <c r="L404" s="59" t="s">
        <v>1111</v>
      </c>
      <c r="M404" cm="1">
        <f t="array" ref="M404">_xlfn.XLOOKUP(Matrix[[#This Row],[TEAM]]&amp;Matrix[[#Headers],[1]],FDR[FDR]&amp;FDR[[#Headers],[1]],FDR[1],"",0,1)</f>
        <v>3</v>
      </c>
      <c r="N404" cm="1">
        <f t="array" ref="N404">_xlfn.XLOOKUP(Matrix[[#This Row],[TEAM]]&amp;Matrix[[#Headers],[2]],FDR[FDR]&amp;FDR[[#Headers],[2]],FDR[2],"",0,1)</f>
        <v>2</v>
      </c>
      <c r="O404" cm="1">
        <f t="array" ref="O404">_xlfn.XLOOKUP(Matrix[[#This Row],[TEAM]]&amp;Matrix[[#Headers],[3]],FDR[FDR]&amp;FDR[[#Headers],[3]],FDR[3],"",0,1)</f>
        <v>1</v>
      </c>
      <c r="P404" cm="1">
        <f t="array" ref="P404">_xlfn.XLOOKUP(Matrix[[#This Row],[TEAM]]&amp;Matrix[[#Headers],[4]],FDR[FDR]&amp;FDR[[#Headers],[4]],FDR[4],"",0,1)</f>
        <v>4</v>
      </c>
      <c r="Q404" cm="1">
        <f t="array" ref="Q404">_xlfn.XLOOKUP(Matrix[[#This Row],[TEAM]]&amp;Matrix[[#Headers],[5]],FDR[FDR]&amp;FDR[[#Headers],[5]],FDR[5],"",0,1)</f>
        <v>3</v>
      </c>
      <c r="R404" cm="1">
        <f t="array" ref="R404">_xlfn.XLOOKUP(Matrix[[#This Row],[TEAM]]&amp;Matrix[[#Headers],[6]],FDR[FDR]&amp;FDR[[#Headers],[6]],FDR[6],"",0,1)</f>
        <v>2</v>
      </c>
      <c r="S404" cm="1">
        <f t="array" ref="S404">_xlfn.XLOOKUP(Matrix[[#This Row],[TEAM]]&amp;Matrix[[#Headers],[7]],FDR[FDR]&amp;FDR[[#Headers],[7]],FDR[7],"",0,1)</f>
        <v>1</v>
      </c>
      <c r="T404" cm="1">
        <f t="array" ref="T404">_xlfn.XLOOKUP(Matrix[[#This Row],[TEAM]]&amp;Matrix[[#Headers],[8]],FDR[FDR]&amp;FDR[[#Headers],[8]],FDR[8],"",0,1)</f>
        <v>4</v>
      </c>
      <c r="U404" cm="1">
        <f t="array" ref="U404">_xlfn.XLOOKUP(Matrix[[#This Row],[TEAM]]&amp;Matrix[[#Headers],[9]],FDR[FDR]&amp;FDR[[#Headers],[9]],FDR[9],"",0,1)</f>
        <v>1</v>
      </c>
      <c r="V404" cm="1">
        <f t="array" ref="V404">_xlfn.XLOOKUP(Matrix[[#This Row],[TEAM]]&amp;Matrix[[#Headers],[10]],FDR[FDR]&amp;FDR[[#Headers],[10]],FDR[10],"",0,1)</f>
        <v>2</v>
      </c>
      <c r="W404" cm="1">
        <f t="array" ref="W404">_xlfn.XLOOKUP(Matrix[[#This Row],[TEAM]]&amp;Matrix[[#Headers],[11]],FDR[FDR]&amp;FDR[[#Headers],[11]],FDR[11],"",0,1)</f>
        <v>4</v>
      </c>
      <c r="X404" cm="1">
        <f t="array" ref="X404">_xlfn.XLOOKUP(Matrix[[#This Row],[TEAM]]&amp;Matrix[[#Headers],[12]],FDR[FDR]&amp;FDR[[#Headers],[12]],FDR[12],"",0,1)</f>
        <v>1</v>
      </c>
      <c r="Y404" cm="1">
        <f t="array" ref="Y404">_xlfn.XLOOKUP(Matrix[[#This Row],[TEAM]]&amp;Matrix[[#Headers],[13]],FDR[FDR]&amp;FDR[[#Headers],[13]],FDR[13],"",0,1)</f>
        <v>2</v>
      </c>
      <c r="Z404" cm="1">
        <f t="array" ref="Z404">_xlfn.XLOOKUP(Matrix[[#This Row],[TEAM]]&amp;Matrix[[#Headers],[14]],FDR[FDR]&amp;FDR[[#Headers],[14]],FDR[14],"",0,1)</f>
        <v>1</v>
      </c>
      <c r="AA404" cm="1">
        <f t="array" ref="AA404">_xlfn.XLOOKUP(Matrix[[#This Row],[TEAM]]&amp;Matrix[[#Headers],[15]],FDR[FDR]&amp;FDR[[#Headers],[15]],FDR[15],"",0,1)</f>
        <v>1</v>
      </c>
      <c r="AB404" cm="1">
        <f t="array" ref="AB404">_xlfn.XLOOKUP(Matrix[[#This Row],[TEAM]]&amp;Matrix[[#Headers],[16]],FDR[FDR]&amp;FDR[[#Headers],[16]],FDR[16],"",0,1)</f>
        <v>1</v>
      </c>
      <c r="AC404" cm="1">
        <f t="array" ref="AC404">_xlfn.XLOOKUP(Matrix[[#This Row],[TEAM]]&amp;Matrix[[#Headers],[17]],FDR[FDR]&amp;FDR[[#Headers],[17]],FDR[17],"",0,1)</f>
        <v>3</v>
      </c>
      <c r="AD404" cm="1">
        <f t="array" ref="AD404">_xlfn.XLOOKUP(Matrix[[#This Row],[TEAM]]&amp;Matrix[[#Headers],[18]],FDR[FDR]&amp;FDR[[#Headers],[18]],FDR[18],"",0,1)</f>
        <v>2</v>
      </c>
      <c r="AE404" cm="1">
        <f t="array" ref="AE404">_xlfn.XLOOKUP(Matrix[[#This Row],[TEAM]]&amp;Matrix[[#Headers],[19]],FDR[FDR]&amp;FDR[[#Headers],[19]],FDR[19],"",0,1)</f>
        <v>1</v>
      </c>
      <c r="AF404" cm="1">
        <f t="array" ref="AF404">_xlfn.XLOOKUP(Matrix[[#This Row],[TEAM]]&amp;Matrix[[#Headers],[20]],FDR[FDR]&amp;FDR[[#Headers],[20]],FDR[20],"",0,1)</f>
        <v>1</v>
      </c>
      <c r="AG404" cm="1">
        <f t="array" ref="AG404">_xlfn.XLOOKUP(Matrix[[#This Row],[TEAM]]&amp;Matrix[[#Headers],[21]],FDR[FDR]&amp;FDR[[#Headers],[21]],FDR[21],"",0,1)</f>
        <v>1</v>
      </c>
      <c r="AH404" cm="1">
        <f t="array" ref="AH404">_xlfn.XLOOKUP(Matrix[[#This Row],[TEAM]]&amp;Matrix[[#Headers],[22]],FDR[FDR]&amp;FDR[[#Headers],[22]],FDR[22],"",0,1)</f>
        <v>3</v>
      </c>
      <c r="AI404" cm="1">
        <f t="array" ref="AI404">_xlfn.XLOOKUP(Matrix[[#This Row],[TEAM]]&amp;Matrix[[#Headers],[23]],FDR[FDR]&amp;FDR[[#Headers],[23]],FDR[23],"",0,1)</f>
        <v>4</v>
      </c>
      <c r="AJ404" cm="1">
        <f t="array" ref="AJ404">_xlfn.XLOOKUP(Matrix[[#This Row],[TEAM]]&amp;Matrix[[#Headers],[24]],FDR[FDR]&amp;FDR[[#Headers],[24]],FDR[24],"",0,1)</f>
        <v>1</v>
      </c>
      <c r="AK404" cm="1">
        <f t="array" ref="AK404">_xlfn.XLOOKUP(Matrix[[#This Row],[TEAM]]&amp;Matrix[[#Headers],[25]],FDR[FDR]&amp;FDR[[#Headers],[25]],FDR[25],"",0,1)</f>
        <v>3</v>
      </c>
      <c r="AL404" cm="1">
        <f t="array" ref="AL404">_xlfn.XLOOKUP(Matrix[[#This Row],[TEAM]]&amp;Matrix[[#Headers],[26]],FDR[FDR]&amp;FDR[[#Headers],[26]],FDR[26],"",0,1)</f>
        <v>2</v>
      </c>
      <c r="AM404" cm="1">
        <f t="array" ref="AM404">_xlfn.XLOOKUP(Matrix[[#This Row],[TEAM]]&amp;Matrix[[#Headers],[27]],FDR[FDR]&amp;FDR[[#Headers],[27]],FDR[27],"",0,1)</f>
        <v>2</v>
      </c>
      <c r="AN404" cm="1">
        <f t="array" ref="AN404">_xlfn.XLOOKUP(Matrix[[#This Row],[TEAM]]&amp;Matrix[[#Headers],[28]],FDR[FDR]&amp;FDR[[#Headers],[28]],FDR[28],"",0,1)</f>
        <v>1</v>
      </c>
      <c r="AO404" cm="1">
        <f t="array" ref="AO404">_xlfn.XLOOKUP(Matrix[[#This Row],[TEAM]]&amp;Matrix[[#Headers],[29]],FDR[FDR]&amp;FDR[[#Headers],[29]],FDR[29],"",0,1)</f>
        <v>3</v>
      </c>
      <c r="AP404" cm="1">
        <f t="array" ref="AP404">_xlfn.XLOOKUP(Matrix[[#This Row],[TEAM]]&amp;Matrix[[#Headers],[30]],FDR[FDR]&amp;FDR[[#Headers],[30]],FDR[30],"",0,1)</f>
        <v>2</v>
      </c>
      <c r="AQ404" cm="1">
        <f t="array" ref="AQ404">_xlfn.XLOOKUP(Matrix[[#This Row],[TEAM]]&amp;Matrix[[#Headers],[31]],FDR[FDR]&amp;FDR[[#Headers],[31]],FDR[31],"",0,1)</f>
        <v>2</v>
      </c>
      <c r="AR404" cm="1">
        <f t="array" ref="AR404">_xlfn.XLOOKUP(Matrix[[#This Row],[TEAM]]&amp;Matrix[[#Headers],[32]],FDR[FDR]&amp;FDR[[#Headers],[32]],FDR[32],"",0,1)</f>
        <v>1</v>
      </c>
      <c r="AS404" cm="1">
        <f t="array" ref="AS404">_xlfn.XLOOKUP(Matrix[[#This Row],[TEAM]]&amp;Matrix[[#Headers],[33]],FDR[FDR]&amp;FDR[[#Headers],[33]],FDR[33],"",0,1)</f>
        <v>4</v>
      </c>
      <c r="AT404" cm="1">
        <f t="array" ref="AT404">_xlfn.XLOOKUP(Matrix[[#This Row],[TEAM]]&amp;Matrix[[#Headers],[34]],FDR[FDR]&amp;FDR[[#Headers],[34]],FDR[34],"",0,1)</f>
        <v>1</v>
      </c>
      <c r="AU404" cm="1">
        <f t="array" ref="AU404">_xlfn.XLOOKUP(Matrix[[#This Row],[TEAM]]&amp;Matrix[[#Headers],[35]],FDR[FDR]&amp;FDR[[#Headers],[35]],FDR[35],"",0,1)</f>
        <v>3</v>
      </c>
      <c r="AV404" cm="1">
        <f t="array" ref="AV404">_xlfn.XLOOKUP(Matrix[[#This Row],[TEAM]]&amp;Matrix[[#Headers],[36]],FDR[FDR]&amp;FDR[[#Headers],[36]],FDR[36],"",0,1)</f>
        <v>1</v>
      </c>
      <c r="AW404" cm="1">
        <f t="array" ref="AW404">_xlfn.XLOOKUP(Matrix[[#This Row],[TEAM]]&amp;Matrix[[#Headers],[37]],FDR[FDR]&amp;FDR[[#Headers],[37]],FDR[37],"",0,1)</f>
        <v>1</v>
      </c>
      <c r="AX404" cm="1">
        <f t="array" ref="AX404">_xlfn.XLOOKUP(Matrix[[#This Row],[TEAM]]&amp;Matrix[[#Headers],[38]],FDR[FDR]&amp;FDR[[#Headers],[38]],FDR[38],"",0,1)</f>
        <v>2</v>
      </c>
    </row>
    <row r="405" spans="1:50" ht="22" thickTop="1" thickBot="1">
      <c r="A405" s="53" t="str">
        <f>INDEX!S$4</f>
        <v>MID</v>
      </c>
      <c r="B405" s="70" t="s">
        <v>1784</v>
      </c>
      <c r="C405" s="40" t="s">
        <v>30</v>
      </c>
      <c r="D405" s="62">
        <v>0</v>
      </c>
      <c r="E405" s="60">
        <v>0</v>
      </c>
      <c r="F405" s="61">
        <v>0</v>
      </c>
      <c r="G405" s="63">
        <v>4.5</v>
      </c>
      <c r="H405" s="261">
        <f>IF(ISBLANK(I405),0,1)</f>
        <v>0</v>
      </c>
      <c r="I405" s="57"/>
      <c r="J405" s="58"/>
      <c r="K405" s="59" t="s">
        <v>401</v>
      </c>
      <c r="L405" s="59" t="s">
        <v>1114</v>
      </c>
      <c r="M405" cm="1">
        <f t="array" ref="M405">_xlfn.XLOOKUP(Matrix[[#This Row],[TEAM]]&amp;Matrix[[#Headers],[1]],FDR[FDR]&amp;FDR[[#Headers],[1]],FDR[1],"",0,1)</f>
        <v>3</v>
      </c>
      <c r="N405" cm="1">
        <f t="array" ref="N405">_xlfn.XLOOKUP(Matrix[[#This Row],[TEAM]]&amp;Matrix[[#Headers],[2]],FDR[FDR]&amp;FDR[[#Headers],[2]],FDR[2],"",0,1)</f>
        <v>2</v>
      </c>
      <c r="O405" cm="1">
        <f t="array" ref="O405">_xlfn.XLOOKUP(Matrix[[#This Row],[TEAM]]&amp;Matrix[[#Headers],[3]],FDR[FDR]&amp;FDR[[#Headers],[3]],FDR[3],"",0,1)</f>
        <v>1</v>
      </c>
      <c r="P405" cm="1">
        <f t="array" ref="P405">_xlfn.XLOOKUP(Matrix[[#This Row],[TEAM]]&amp;Matrix[[#Headers],[4]],FDR[FDR]&amp;FDR[[#Headers],[4]],FDR[4],"",0,1)</f>
        <v>4</v>
      </c>
      <c r="Q405" cm="1">
        <f t="array" ref="Q405">_xlfn.XLOOKUP(Matrix[[#This Row],[TEAM]]&amp;Matrix[[#Headers],[5]],FDR[FDR]&amp;FDR[[#Headers],[5]],FDR[5],"",0,1)</f>
        <v>3</v>
      </c>
      <c r="R405" cm="1">
        <f t="array" ref="R405">_xlfn.XLOOKUP(Matrix[[#This Row],[TEAM]]&amp;Matrix[[#Headers],[6]],FDR[FDR]&amp;FDR[[#Headers],[6]],FDR[6],"",0,1)</f>
        <v>2</v>
      </c>
      <c r="S405" cm="1">
        <f t="array" ref="S405">_xlfn.XLOOKUP(Matrix[[#This Row],[TEAM]]&amp;Matrix[[#Headers],[7]],FDR[FDR]&amp;FDR[[#Headers],[7]],FDR[7],"",0,1)</f>
        <v>1</v>
      </c>
      <c r="T405" cm="1">
        <f t="array" ref="T405">_xlfn.XLOOKUP(Matrix[[#This Row],[TEAM]]&amp;Matrix[[#Headers],[8]],FDR[FDR]&amp;FDR[[#Headers],[8]],FDR[8],"",0,1)</f>
        <v>4</v>
      </c>
      <c r="U405" cm="1">
        <f t="array" ref="U405">_xlfn.XLOOKUP(Matrix[[#This Row],[TEAM]]&amp;Matrix[[#Headers],[9]],FDR[FDR]&amp;FDR[[#Headers],[9]],FDR[9],"",0,1)</f>
        <v>1</v>
      </c>
      <c r="V405" cm="1">
        <f t="array" ref="V405">_xlfn.XLOOKUP(Matrix[[#This Row],[TEAM]]&amp;Matrix[[#Headers],[10]],FDR[FDR]&amp;FDR[[#Headers],[10]],FDR[10],"",0,1)</f>
        <v>2</v>
      </c>
      <c r="W405" cm="1">
        <f t="array" ref="W405">_xlfn.XLOOKUP(Matrix[[#This Row],[TEAM]]&amp;Matrix[[#Headers],[11]],FDR[FDR]&amp;FDR[[#Headers],[11]],FDR[11],"",0,1)</f>
        <v>4</v>
      </c>
      <c r="X405" cm="1">
        <f t="array" ref="X405">_xlfn.XLOOKUP(Matrix[[#This Row],[TEAM]]&amp;Matrix[[#Headers],[12]],FDR[FDR]&amp;FDR[[#Headers],[12]],FDR[12],"",0,1)</f>
        <v>1</v>
      </c>
      <c r="Y405" cm="1">
        <f t="array" ref="Y405">_xlfn.XLOOKUP(Matrix[[#This Row],[TEAM]]&amp;Matrix[[#Headers],[13]],FDR[FDR]&amp;FDR[[#Headers],[13]],FDR[13],"",0,1)</f>
        <v>2</v>
      </c>
      <c r="Z405" cm="1">
        <f t="array" ref="Z405">_xlfn.XLOOKUP(Matrix[[#This Row],[TEAM]]&amp;Matrix[[#Headers],[14]],FDR[FDR]&amp;FDR[[#Headers],[14]],FDR[14],"",0,1)</f>
        <v>1</v>
      </c>
      <c r="AA405" cm="1">
        <f t="array" ref="AA405">_xlfn.XLOOKUP(Matrix[[#This Row],[TEAM]]&amp;Matrix[[#Headers],[15]],FDR[FDR]&amp;FDR[[#Headers],[15]],FDR[15],"",0,1)</f>
        <v>1</v>
      </c>
      <c r="AB405" cm="1">
        <f t="array" ref="AB405">_xlfn.XLOOKUP(Matrix[[#This Row],[TEAM]]&amp;Matrix[[#Headers],[16]],FDR[FDR]&amp;FDR[[#Headers],[16]],FDR[16],"",0,1)</f>
        <v>1</v>
      </c>
      <c r="AC405" cm="1">
        <f t="array" ref="AC405">_xlfn.XLOOKUP(Matrix[[#This Row],[TEAM]]&amp;Matrix[[#Headers],[17]],FDR[FDR]&amp;FDR[[#Headers],[17]],FDR[17],"",0,1)</f>
        <v>3</v>
      </c>
      <c r="AD405" cm="1">
        <f t="array" ref="AD405">_xlfn.XLOOKUP(Matrix[[#This Row],[TEAM]]&amp;Matrix[[#Headers],[18]],FDR[FDR]&amp;FDR[[#Headers],[18]],FDR[18],"",0,1)</f>
        <v>2</v>
      </c>
      <c r="AE405" cm="1">
        <f t="array" ref="AE405">_xlfn.XLOOKUP(Matrix[[#This Row],[TEAM]]&amp;Matrix[[#Headers],[19]],FDR[FDR]&amp;FDR[[#Headers],[19]],FDR[19],"",0,1)</f>
        <v>1</v>
      </c>
      <c r="AF405" cm="1">
        <f t="array" ref="AF405">_xlfn.XLOOKUP(Matrix[[#This Row],[TEAM]]&amp;Matrix[[#Headers],[20]],FDR[FDR]&amp;FDR[[#Headers],[20]],FDR[20],"",0,1)</f>
        <v>1</v>
      </c>
      <c r="AG405" cm="1">
        <f t="array" ref="AG405">_xlfn.XLOOKUP(Matrix[[#This Row],[TEAM]]&amp;Matrix[[#Headers],[21]],FDR[FDR]&amp;FDR[[#Headers],[21]],FDR[21],"",0,1)</f>
        <v>1</v>
      </c>
      <c r="AH405" cm="1">
        <f t="array" ref="AH405">_xlfn.XLOOKUP(Matrix[[#This Row],[TEAM]]&amp;Matrix[[#Headers],[22]],FDR[FDR]&amp;FDR[[#Headers],[22]],FDR[22],"",0,1)</f>
        <v>3</v>
      </c>
      <c r="AI405" cm="1">
        <f t="array" ref="AI405">_xlfn.XLOOKUP(Matrix[[#This Row],[TEAM]]&amp;Matrix[[#Headers],[23]],FDR[FDR]&amp;FDR[[#Headers],[23]],FDR[23],"",0,1)</f>
        <v>4</v>
      </c>
      <c r="AJ405" cm="1">
        <f t="array" ref="AJ405">_xlfn.XLOOKUP(Matrix[[#This Row],[TEAM]]&amp;Matrix[[#Headers],[24]],FDR[FDR]&amp;FDR[[#Headers],[24]],FDR[24],"",0,1)</f>
        <v>1</v>
      </c>
      <c r="AK405" cm="1">
        <f t="array" ref="AK405">_xlfn.XLOOKUP(Matrix[[#This Row],[TEAM]]&amp;Matrix[[#Headers],[25]],FDR[FDR]&amp;FDR[[#Headers],[25]],FDR[25],"",0,1)</f>
        <v>3</v>
      </c>
      <c r="AL405" cm="1">
        <f t="array" ref="AL405">_xlfn.XLOOKUP(Matrix[[#This Row],[TEAM]]&amp;Matrix[[#Headers],[26]],FDR[FDR]&amp;FDR[[#Headers],[26]],FDR[26],"",0,1)</f>
        <v>2</v>
      </c>
      <c r="AM405" cm="1">
        <f t="array" ref="AM405">_xlfn.XLOOKUP(Matrix[[#This Row],[TEAM]]&amp;Matrix[[#Headers],[27]],FDR[FDR]&amp;FDR[[#Headers],[27]],FDR[27],"",0,1)</f>
        <v>2</v>
      </c>
      <c r="AN405" cm="1">
        <f t="array" ref="AN405">_xlfn.XLOOKUP(Matrix[[#This Row],[TEAM]]&amp;Matrix[[#Headers],[28]],FDR[FDR]&amp;FDR[[#Headers],[28]],FDR[28],"",0,1)</f>
        <v>1</v>
      </c>
      <c r="AO405" cm="1">
        <f t="array" ref="AO405">_xlfn.XLOOKUP(Matrix[[#This Row],[TEAM]]&amp;Matrix[[#Headers],[29]],FDR[FDR]&amp;FDR[[#Headers],[29]],FDR[29],"",0,1)</f>
        <v>3</v>
      </c>
      <c r="AP405" cm="1">
        <f t="array" ref="AP405">_xlfn.XLOOKUP(Matrix[[#This Row],[TEAM]]&amp;Matrix[[#Headers],[30]],FDR[FDR]&amp;FDR[[#Headers],[30]],FDR[30],"",0,1)</f>
        <v>2</v>
      </c>
      <c r="AQ405" cm="1">
        <f t="array" ref="AQ405">_xlfn.XLOOKUP(Matrix[[#This Row],[TEAM]]&amp;Matrix[[#Headers],[31]],FDR[FDR]&amp;FDR[[#Headers],[31]],FDR[31],"",0,1)</f>
        <v>2</v>
      </c>
      <c r="AR405" cm="1">
        <f t="array" ref="AR405">_xlfn.XLOOKUP(Matrix[[#This Row],[TEAM]]&amp;Matrix[[#Headers],[32]],FDR[FDR]&amp;FDR[[#Headers],[32]],FDR[32],"",0,1)</f>
        <v>1</v>
      </c>
      <c r="AS405" cm="1">
        <f t="array" ref="AS405">_xlfn.XLOOKUP(Matrix[[#This Row],[TEAM]]&amp;Matrix[[#Headers],[33]],FDR[FDR]&amp;FDR[[#Headers],[33]],FDR[33],"",0,1)</f>
        <v>4</v>
      </c>
      <c r="AT405" cm="1">
        <f t="array" ref="AT405">_xlfn.XLOOKUP(Matrix[[#This Row],[TEAM]]&amp;Matrix[[#Headers],[34]],FDR[FDR]&amp;FDR[[#Headers],[34]],FDR[34],"",0,1)</f>
        <v>1</v>
      </c>
      <c r="AU405" cm="1">
        <f t="array" ref="AU405">_xlfn.XLOOKUP(Matrix[[#This Row],[TEAM]]&amp;Matrix[[#Headers],[35]],FDR[FDR]&amp;FDR[[#Headers],[35]],FDR[35],"",0,1)</f>
        <v>3</v>
      </c>
      <c r="AV405" cm="1">
        <f t="array" ref="AV405">_xlfn.XLOOKUP(Matrix[[#This Row],[TEAM]]&amp;Matrix[[#Headers],[36]],FDR[FDR]&amp;FDR[[#Headers],[36]],FDR[36],"",0,1)</f>
        <v>1</v>
      </c>
      <c r="AW405" cm="1">
        <f t="array" ref="AW405">_xlfn.XLOOKUP(Matrix[[#This Row],[TEAM]]&amp;Matrix[[#Headers],[37]],FDR[FDR]&amp;FDR[[#Headers],[37]],FDR[37],"",0,1)</f>
        <v>1</v>
      </c>
      <c r="AX405" cm="1">
        <f t="array" ref="AX405">_xlfn.XLOOKUP(Matrix[[#This Row],[TEAM]]&amp;Matrix[[#Headers],[38]],FDR[FDR]&amp;FDR[[#Headers],[38]],FDR[38],"",0,1)</f>
        <v>2</v>
      </c>
    </row>
    <row r="406" spans="1:50" ht="22" thickTop="1" thickBot="1">
      <c r="A406" s="53" t="str">
        <f>INDEX!S$4</f>
        <v>MID</v>
      </c>
      <c r="B406" s="70" t="s">
        <v>1786</v>
      </c>
      <c r="C406" s="40" t="s">
        <v>30</v>
      </c>
      <c r="D406" s="62">
        <v>0</v>
      </c>
      <c r="E406" s="60">
        <v>0</v>
      </c>
      <c r="F406" s="61">
        <v>0</v>
      </c>
      <c r="G406" s="63">
        <v>4.5</v>
      </c>
      <c r="H406" s="261">
        <f>IF(ISBLANK(I406),0,1)</f>
        <v>0</v>
      </c>
      <c r="I406" s="57"/>
      <c r="J406" s="58"/>
      <c r="K406" s="59" t="s">
        <v>1109</v>
      </c>
      <c r="L406" s="59" t="s">
        <v>1110</v>
      </c>
      <c r="M406" cm="1">
        <f t="array" ref="M406">_xlfn.XLOOKUP(Matrix[[#This Row],[TEAM]]&amp;Matrix[[#Headers],[1]],FDR[FDR]&amp;FDR[[#Headers],[1]],FDR[1],"",0,1)</f>
        <v>3</v>
      </c>
      <c r="N406" cm="1">
        <f t="array" ref="N406">_xlfn.XLOOKUP(Matrix[[#This Row],[TEAM]]&amp;Matrix[[#Headers],[2]],FDR[FDR]&amp;FDR[[#Headers],[2]],FDR[2],"",0,1)</f>
        <v>2</v>
      </c>
      <c r="O406" cm="1">
        <f t="array" ref="O406">_xlfn.XLOOKUP(Matrix[[#This Row],[TEAM]]&amp;Matrix[[#Headers],[3]],FDR[FDR]&amp;FDR[[#Headers],[3]],FDR[3],"",0,1)</f>
        <v>1</v>
      </c>
      <c r="P406" cm="1">
        <f t="array" ref="P406">_xlfn.XLOOKUP(Matrix[[#This Row],[TEAM]]&amp;Matrix[[#Headers],[4]],FDR[FDR]&amp;FDR[[#Headers],[4]],FDR[4],"",0,1)</f>
        <v>4</v>
      </c>
      <c r="Q406" cm="1">
        <f t="array" ref="Q406">_xlfn.XLOOKUP(Matrix[[#This Row],[TEAM]]&amp;Matrix[[#Headers],[5]],FDR[FDR]&amp;FDR[[#Headers],[5]],FDR[5],"",0,1)</f>
        <v>3</v>
      </c>
      <c r="R406" cm="1">
        <f t="array" ref="R406">_xlfn.XLOOKUP(Matrix[[#This Row],[TEAM]]&amp;Matrix[[#Headers],[6]],FDR[FDR]&amp;FDR[[#Headers],[6]],FDR[6],"",0,1)</f>
        <v>2</v>
      </c>
      <c r="S406" cm="1">
        <f t="array" ref="S406">_xlfn.XLOOKUP(Matrix[[#This Row],[TEAM]]&amp;Matrix[[#Headers],[7]],FDR[FDR]&amp;FDR[[#Headers],[7]],FDR[7],"",0,1)</f>
        <v>1</v>
      </c>
      <c r="T406" cm="1">
        <f t="array" ref="T406">_xlfn.XLOOKUP(Matrix[[#This Row],[TEAM]]&amp;Matrix[[#Headers],[8]],FDR[FDR]&amp;FDR[[#Headers],[8]],FDR[8],"",0,1)</f>
        <v>4</v>
      </c>
      <c r="U406" cm="1">
        <f t="array" ref="U406">_xlfn.XLOOKUP(Matrix[[#This Row],[TEAM]]&amp;Matrix[[#Headers],[9]],FDR[FDR]&amp;FDR[[#Headers],[9]],FDR[9],"",0,1)</f>
        <v>1</v>
      </c>
      <c r="V406" cm="1">
        <f t="array" ref="V406">_xlfn.XLOOKUP(Matrix[[#This Row],[TEAM]]&amp;Matrix[[#Headers],[10]],FDR[FDR]&amp;FDR[[#Headers],[10]],FDR[10],"",0,1)</f>
        <v>2</v>
      </c>
      <c r="W406" cm="1">
        <f t="array" ref="W406">_xlfn.XLOOKUP(Matrix[[#This Row],[TEAM]]&amp;Matrix[[#Headers],[11]],FDR[FDR]&amp;FDR[[#Headers],[11]],FDR[11],"",0,1)</f>
        <v>4</v>
      </c>
      <c r="X406" cm="1">
        <f t="array" ref="X406">_xlfn.XLOOKUP(Matrix[[#This Row],[TEAM]]&amp;Matrix[[#Headers],[12]],FDR[FDR]&amp;FDR[[#Headers],[12]],FDR[12],"",0,1)</f>
        <v>1</v>
      </c>
      <c r="Y406" cm="1">
        <f t="array" ref="Y406">_xlfn.XLOOKUP(Matrix[[#This Row],[TEAM]]&amp;Matrix[[#Headers],[13]],FDR[FDR]&amp;FDR[[#Headers],[13]],FDR[13],"",0,1)</f>
        <v>2</v>
      </c>
      <c r="Z406" cm="1">
        <f t="array" ref="Z406">_xlfn.XLOOKUP(Matrix[[#This Row],[TEAM]]&amp;Matrix[[#Headers],[14]],FDR[FDR]&amp;FDR[[#Headers],[14]],FDR[14],"",0,1)</f>
        <v>1</v>
      </c>
      <c r="AA406" cm="1">
        <f t="array" ref="AA406">_xlfn.XLOOKUP(Matrix[[#This Row],[TEAM]]&amp;Matrix[[#Headers],[15]],FDR[FDR]&amp;FDR[[#Headers],[15]],FDR[15],"",0,1)</f>
        <v>1</v>
      </c>
      <c r="AB406" cm="1">
        <f t="array" ref="AB406">_xlfn.XLOOKUP(Matrix[[#This Row],[TEAM]]&amp;Matrix[[#Headers],[16]],FDR[FDR]&amp;FDR[[#Headers],[16]],FDR[16],"",0,1)</f>
        <v>1</v>
      </c>
      <c r="AC406" cm="1">
        <f t="array" ref="AC406">_xlfn.XLOOKUP(Matrix[[#This Row],[TEAM]]&amp;Matrix[[#Headers],[17]],FDR[FDR]&amp;FDR[[#Headers],[17]],FDR[17],"",0,1)</f>
        <v>3</v>
      </c>
      <c r="AD406" cm="1">
        <f t="array" ref="AD406">_xlfn.XLOOKUP(Matrix[[#This Row],[TEAM]]&amp;Matrix[[#Headers],[18]],FDR[FDR]&amp;FDR[[#Headers],[18]],FDR[18],"",0,1)</f>
        <v>2</v>
      </c>
      <c r="AE406" cm="1">
        <f t="array" ref="AE406">_xlfn.XLOOKUP(Matrix[[#This Row],[TEAM]]&amp;Matrix[[#Headers],[19]],FDR[FDR]&amp;FDR[[#Headers],[19]],FDR[19],"",0,1)</f>
        <v>1</v>
      </c>
      <c r="AF406" cm="1">
        <f t="array" ref="AF406">_xlfn.XLOOKUP(Matrix[[#This Row],[TEAM]]&amp;Matrix[[#Headers],[20]],FDR[FDR]&amp;FDR[[#Headers],[20]],FDR[20],"",0,1)</f>
        <v>1</v>
      </c>
      <c r="AG406" cm="1">
        <f t="array" ref="AG406">_xlfn.XLOOKUP(Matrix[[#This Row],[TEAM]]&amp;Matrix[[#Headers],[21]],FDR[FDR]&amp;FDR[[#Headers],[21]],FDR[21],"",0,1)</f>
        <v>1</v>
      </c>
      <c r="AH406" cm="1">
        <f t="array" ref="AH406">_xlfn.XLOOKUP(Matrix[[#This Row],[TEAM]]&amp;Matrix[[#Headers],[22]],FDR[FDR]&amp;FDR[[#Headers],[22]],FDR[22],"",0,1)</f>
        <v>3</v>
      </c>
      <c r="AI406" cm="1">
        <f t="array" ref="AI406">_xlfn.XLOOKUP(Matrix[[#This Row],[TEAM]]&amp;Matrix[[#Headers],[23]],FDR[FDR]&amp;FDR[[#Headers],[23]],FDR[23],"",0,1)</f>
        <v>4</v>
      </c>
      <c r="AJ406" cm="1">
        <f t="array" ref="AJ406">_xlfn.XLOOKUP(Matrix[[#This Row],[TEAM]]&amp;Matrix[[#Headers],[24]],FDR[FDR]&amp;FDR[[#Headers],[24]],FDR[24],"",0,1)</f>
        <v>1</v>
      </c>
      <c r="AK406" cm="1">
        <f t="array" ref="AK406">_xlfn.XLOOKUP(Matrix[[#This Row],[TEAM]]&amp;Matrix[[#Headers],[25]],FDR[FDR]&amp;FDR[[#Headers],[25]],FDR[25],"",0,1)</f>
        <v>3</v>
      </c>
      <c r="AL406" cm="1">
        <f t="array" ref="AL406">_xlfn.XLOOKUP(Matrix[[#This Row],[TEAM]]&amp;Matrix[[#Headers],[26]],FDR[FDR]&amp;FDR[[#Headers],[26]],FDR[26],"",0,1)</f>
        <v>2</v>
      </c>
      <c r="AM406" cm="1">
        <f t="array" ref="AM406">_xlfn.XLOOKUP(Matrix[[#This Row],[TEAM]]&amp;Matrix[[#Headers],[27]],FDR[FDR]&amp;FDR[[#Headers],[27]],FDR[27],"",0,1)</f>
        <v>2</v>
      </c>
      <c r="AN406" cm="1">
        <f t="array" ref="AN406">_xlfn.XLOOKUP(Matrix[[#This Row],[TEAM]]&amp;Matrix[[#Headers],[28]],FDR[FDR]&amp;FDR[[#Headers],[28]],FDR[28],"",0,1)</f>
        <v>1</v>
      </c>
      <c r="AO406" cm="1">
        <f t="array" ref="AO406">_xlfn.XLOOKUP(Matrix[[#This Row],[TEAM]]&amp;Matrix[[#Headers],[29]],FDR[FDR]&amp;FDR[[#Headers],[29]],FDR[29],"",0,1)</f>
        <v>3</v>
      </c>
      <c r="AP406" cm="1">
        <f t="array" ref="AP406">_xlfn.XLOOKUP(Matrix[[#This Row],[TEAM]]&amp;Matrix[[#Headers],[30]],FDR[FDR]&amp;FDR[[#Headers],[30]],FDR[30],"",0,1)</f>
        <v>2</v>
      </c>
      <c r="AQ406" cm="1">
        <f t="array" ref="AQ406">_xlfn.XLOOKUP(Matrix[[#This Row],[TEAM]]&amp;Matrix[[#Headers],[31]],FDR[FDR]&amp;FDR[[#Headers],[31]],FDR[31],"",0,1)</f>
        <v>2</v>
      </c>
      <c r="AR406" cm="1">
        <f t="array" ref="AR406">_xlfn.XLOOKUP(Matrix[[#This Row],[TEAM]]&amp;Matrix[[#Headers],[32]],FDR[FDR]&amp;FDR[[#Headers],[32]],FDR[32],"",0,1)</f>
        <v>1</v>
      </c>
      <c r="AS406" cm="1">
        <f t="array" ref="AS406">_xlfn.XLOOKUP(Matrix[[#This Row],[TEAM]]&amp;Matrix[[#Headers],[33]],FDR[FDR]&amp;FDR[[#Headers],[33]],FDR[33],"",0,1)</f>
        <v>4</v>
      </c>
      <c r="AT406" cm="1">
        <f t="array" ref="AT406">_xlfn.XLOOKUP(Matrix[[#This Row],[TEAM]]&amp;Matrix[[#Headers],[34]],FDR[FDR]&amp;FDR[[#Headers],[34]],FDR[34],"",0,1)</f>
        <v>1</v>
      </c>
      <c r="AU406" cm="1">
        <f t="array" ref="AU406">_xlfn.XLOOKUP(Matrix[[#This Row],[TEAM]]&amp;Matrix[[#Headers],[35]],FDR[FDR]&amp;FDR[[#Headers],[35]],FDR[35],"",0,1)</f>
        <v>3</v>
      </c>
      <c r="AV406" cm="1">
        <f t="array" ref="AV406">_xlfn.XLOOKUP(Matrix[[#This Row],[TEAM]]&amp;Matrix[[#Headers],[36]],FDR[FDR]&amp;FDR[[#Headers],[36]],FDR[36],"",0,1)</f>
        <v>1</v>
      </c>
      <c r="AW406" cm="1">
        <f t="array" ref="AW406">_xlfn.XLOOKUP(Matrix[[#This Row],[TEAM]]&amp;Matrix[[#Headers],[37]],FDR[FDR]&amp;FDR[[#Headers],[37]],FDR[37],"",0,1)</f>
        <v>1</v>
      </c>
      <c r="AX406" cm="1">
        <f t="array" ref="AX406">_xlfn.XLOOKUP(Matrix[[#This Row],[TEAM]]&amp;Matrix[[#Headers],[38]],FDR[FDR]&amp;FDR[[#Headers],[38]],FDR[38],"",0,1)</f>
        <v>2</v>
      </c>
    </row>
    <row r="407" spans="1:50" ht="22" thickTop="1" thickBot="1">
      <c r="A407" s="53" t="str">
        <f>INDEX!S$4</f>
        <v>MID</v>
      </c>
      <c r="B407" s="70" t="s">
        <v>1627</v>
      </c>
      <c r="C407" s="40" t="s">
        <v>25</v>
      </c>
      <c r="D407" s="62">
        <v>0</v>
      </c>
      <c r="E407" s="60">
        <v>3.1E-2</v>
      </c>
      <c r="F407" s="61">
        <v>16.7</v>
      </c>
      <c r="G407" s="63">
        <v>4.5</v>
      </c>
      <c r="H407" s="261">
        <f>IF(ISBLANK(I407),0,1)</f>
        <v>0</v>
      </c>
      <c r="I407" s="57"/>
      <c r="J407" s="58"/>
      <c r="K407" s="59" t="s">
        <v>407</v>
      </c>
      <c r="L407" s="59" t="s">
        <v>1128</v>
      </c>
      <c r="M407" cm="1">
        <f t="array" ref="M407">_xlfn.XLOOKUP(Matrix[[#This Row],[TEAM]]&amp;Matrix[[#Headers],[1]],FDR[FDR]&amp;FDR[[#Headers],[1]],FDR[1],"",0,1)</f>
        <v>3</v>
      </c>
      <c r="N407" cm="1">
        <f t="array" ref="N407">_xlfn.XLOOKUP(Matrix[[#This Row],[TEAM]]&amp;Matrix[[#Headers],[2]],FDR[FDR]&amp;FDR[[#Headers],[2]],FDR[2],"",0,1)</f>
        <v>3</v>
      </c>
      <c r="O407" cm="1">
        <f t="array" ref="O407">_xlfn.XLOOKUP(Matrix[[#This Row],[TEAM]]&amp;Matrix[[#Headers],[3]],FDR[FDR]&amp;FDR[[#Headers],[3]],FDR[3],"",0,1)</f>
        <v>1</v>
      </c>
      <c r="P407" cm="1">
        <f t="array" ref="P407">_xlfn.XLOOKUP(Matrix[[#This Row],[TEAM]]&amp;Matrix[[#Headers],[4]],FDR[FDR]&amp;FDR[[#Headers],[4]],FDR[4],"",0,1)</f>
        <v>1</v>
      </c>
      <c r="Q407" cm="1">
        <f t="array" ref="Q407">_xlfn.XLOOKUP(Matrix[[#This Row],[TEAM]]&amp;Matrix[[#Headers],[5]],FDR[FDR]&amp;FDR[[#Headers],[5]],FDR[5],"",0,1)</f>
        <v>2</v>
      </c>
      <c r="R407" cm="1">
        <f t="array" ref="R407">_xlfn.XLOOKUP(Matrix[[#This Row],[TEAM]]&amp;Matrix[[#Headers],[6]],FDR[FDR]&amp;FDR[[#Headers],[6]],FDR[6],"",0,1)</f>
        <v>3</v>
      </c>
      <c r="S407" cm="1">
        <f t="array" ref="S407">_xlfn.XLOOKUP(Matrix[[#This Row],[TEAM]]&amp;Matrix[[#Headers],[7]],FDR[FDR]&amp;FDR[[#Headers],[7]],FDR[7],"",0,1)</f>
        <v>2</v>
      </c>
      <c r="T407" cm="1">
        <f t="array" ref="T407">_xlfn.XLOOKUP(Matrix[[#This Row],[TEAM]]&amp;Matrix[[#Headers],[8]],FDR[FDR]&amp;FDR[[#Headers],[8]],FDR[8],"",0,1)</f>
        <v>2</v>
      </c>
      <c r="U407" cm="1">
        <f t="array" ref="U407">_xlfn.XLOOKUP(Matrix[[#This Row],[TEAM]]&amp;Matrix[[#Headers],[9]],FDR[FDR]&amp;FDR[[#Headers],[9]],FDR[9],"",0,1)</f>
        <v>2</v>
      </c>
      <c r="V407" cm="1">
        <f t="array" ref="V407">_xlfn.XLOOKUP(Matrix[[#This Row],[TEAM]]&amp;Matrix[[#Headers],[10]],FDR[FDR]&amp;FDR[[#Headers],[10]],FDR[10],"",0,1)</f>
        <v>2</v>
      </c>
      <c r="W407" cm="1">
        <f t="array" ref="W407">_xlfn.XLOOKUP(Matrix[[#This Row],[TEAM]]&amp;Matrix[[#Headers],[11]],FDR[FDR]&amp;FDR[[#Headers],[11]],FDR[11],"",0,1)</f>
        <v>2</v>
      </c>
      <c r="X407" cm="1">
        <f t="array" ref="X407">_xlfn.XLOOKUP(Matrix[[#This Row],[TEAM]]&amp;Matrix[[#Headers],[12]],FDR[FDR]&amp;FDR[[#Headers],[12]],FDR[12],"",0,1)</f>
        <v>3</v>
      </c>
      <c r="Y407" cm="1">
        <f t="array" ref="Y407">_xlfn.XLOOKUP(Matrix[[#This Row],[TEAM]]&amp;Matrix[[#Headers],[13]],FDR[FDR]&amp;FDR[[#Headers],[13]],FDR[13],"",0,1)</f>
        <v>2</v>
      </c>
      <c r="Z407" cm="1">
        <f t="array" ref="Z407">_xlfn.XLOOKUP(Matrix[[#This Row],[TEAM]]&amp;Matrix[[#Headers],[14]],FDR[FDR]&amp;FDR[[#Headers],[14]],FDR[14],"",0,1)</f>
        <v>3</v>
      </c>
      <c r="AA407" cm="1">
        <f t="array" ref="AA407">_xlfn.XLOOKUP(Matrix[[#This Row],[TEAM]]&amp;Matrix[[#Headers],[15]],FDR[FDR]&amp;FDR[[#Headers],[15]],FDR[15],"",0,1)</f>
        <v>1</v>
      </c>
      <c r="AB407" cm="1">
        <f t="array" ref="AB407">_xlfn.XLOOKUP(Matrix[[#This Row],[TEAM]]&amp;Matrix[[#Headers],[16]],FDR[FDR]&amp;FDR[[#Headers],[16]],FDR[16],"",0,1)</f>
        <v>1</v>
      </c>
      <c r="AC407" cm="1">
        <f t="array" ref="AC407">_xlfn.XLOOKUP(Matrix[[#This Row],[TEAM]]&amp;Matrix[[#Headers],[17]],FDR[FDR]&amp;FDR[[#Headers],[17]],FDR[17],"",0,1)</f>
        <v>3</v>
      </c>
      <c r="AD407" cm="1">
        <f t="array" ref="AD407">_xlfn.XLOOKUP(Matrix[[#This Row],[TEAM]]&amp;Matrix[[#Headers],[18]],FDR[FDR]&amp;FDR[[#Headers],[18]],FDR[18],"",0,1)</f>
        <v>4</v>
      </c>
      <c r="AE407" cm="1">
        <f t="array" ref="AE407">_xlfn.XLOOKUP(Matrix[[#This Row],[TEAM]]&amp;Matrix[[#Headers],[19]],FDR[FDR]&amp;FDR[[#Headers],[19]],FDR[19],"",0,1)</f>
        <v>1</v>
      </c>
      <c r="AF407" cm="1">
        <f t="array" ref="AF407">_xlfn.XLOOKUP(Matrix[[#This Row],[TEAM]]&amp;Matrix[[#Headers],[20]],FDR[FDR]&amp;FDR[[#Headers],[20]],FDR[20],"",0,1)</f>
        <v>1</v>
      </c>
      <c r="AG407" cm="1">
        <f t="array" ref="AG407">_xlfn.XLOOKUP(Matrix[[#This Row],[TEAM]]&amp;Matrix[[#Headers],[21]],FDR[FDR]&amp;FDR[[#Headers],[21]],FDR[21],"",0,1)</f>
        <v>1</v>
      </c>
      <c r="AH407" cm="1">
        <f t="array" ref="AH407">_xlfn.XLOOKUP(Matrix[[#This Row],[TEAM]]&amp;Matrix[[#Headers],[22]],FDR[FDR]&amp;FDR[[#Headers],[22]],FDR[22],"",0,1)</f>
        <v>1</v>
      </c>
      <c r="AI407" cm="1">
        <f t="array" ref="AI407">_xlfn.XLOOKUP(Matrix[[#This Row],[TEAM]]&amp;Matrix[[#Headers],[23]],FDR[FDR]&amp;FDR[[#Headers],[23]],FDR[23],"",0,1)</f>
        <v>2</v>
      </c>
      <c r="AJ407" cm="1">
        <f t="array" ref="AJ407">_xlfn.XLOOKUP(Matrix[[#This Row],[TEAM]]&amp;Matrix[[#Headers],[24]],FDR[FDR]&amp;FDR[[#Headers],[24]],FDR[24],"",0,1)</f>
        <v>4</v>
      </c>
      <c r="AK407" cm="1">
        <f t="array" ref="AK407">_xlfn.XLOOKUP(Matrix[[#This Row],[TEAM]]&amp;Matrix[[#Headers],[25]],FDR[FDR]&amp;FDR[[#Headers],[25]],FDR[25],"",0,1)</f>
        <v>1</v>
      </c>
      <c r="AL407" cm="1">
        <f t="array" ref="AL407">_xlfn.XLOOKUP(Matrix[[#This Row],[TEAM]]&amp;Matrix[[#Headers],[26]],FDR[FDR]&amp;FDR[[#Headers],[26]],FDR[26],"",0,1)</f>
        <v>4</v>
      </c>
      <c r="AM407" cm="1">
        <f t="array" ref="AM407">_xlfn.XLOOKUP(Matrix[[#This Row],[TEAM]]&amp;Matrix[[#Headers],[27]],FDR[FDR]&amp;FDR[[#Headers],[27]],FDR[27],"",0,1)</f>
        <v>4</v>
      </c>
      <c r="AN407" cm="1">
        <f t="array" ref="AN407">_xlfn.XLOOKUP(Matrix[[#This Row],[TEAM]]&amp;Matrix[[#Headers],[28]],FDR[FDR]&amp;FDR[[#Headers],[28]],FDR[28],"",0,1)</f>
        <v>1</v>
      </c>
      <c r="AO407" cm="1">
        <f t="array" ref="AO407">_xlfn.XLOOKUP(Matrix[[#This Row],[TEAM]]&amp;Matrix[[#Headers],[29]],FDR[FDR]&amp;FDR[[#Headers],[29]],FDR[29],"",0,1)</f>
        <v>3</v>
      </c>
      <c r="AP407" cm="1">
        <f t="array" ref="AP407">_xlfn.XLOOKUP(Matrix[[#This Row],[TEAM]]&amp;Matrix[[#Headers],[30]],FDR[FDR]&amp;FDR[[#Headers],[30]],FDR[30],"",0,1)</f>
        <v>4</v>
      </c>
      <c r="AQ407" cm="1">
        <f t="array" ref="AQ407">_xlfn.XLOOKUP(Matrix[[#This Row],[TEAM]]&amp;Matrix[[#Headers],[31]],FDR[FDR]&amp;FDR[[#Headers],[31]],FDR[31],"",0,1)</f>
        <v>1</v>
      </c>
      <c r="AR407" cm="1">
        <f t="array" ref="AR407">_xlfn.XLOOKUP(Matrix[[#This Row],[TEAM]]&amp;Matrix[[#Headers],[32]],FDR[FDR]&amp;FDR[[#Headers],[32]],FDR[32],"",0,1)</f>
        <v>2</v>
      </c>
      <c r="AS407" cm="1">
        <f t="array" ref="AS407">_xlfn.XLOOKUP(Matrix[[#This Row],[TEAM]]&amp;Matrix[[#Headers],[33]],FDR[FDR]&amp;FDR[[#Headers],[33]],FDR[33],"",0,1)</f>
        <v>2</v>
      </c>
      <c r="AT407" cm="1">
        <f t="array" ref="AT407">_xlfn.XLOOKUP(Matrix[[#This Row],[TEAM]]&amp;Matrix[[#Headers],[34]],FDR[FDR]&amp;FDR[[#Headers],[34]],FDR[34],"",0,1)</f>
        <v>4</v>
      </c>
      <c r="AU407" cm="1">
        <f t="array" ref="AU407">_xlfn.XLOOKUP(Matrix[[#This Row],[TEAM]]&amp;Matrix[[#Headers],[35]],FDR[FDR]&amp;FDR[[#Headers],[35]],FDR[35],"",0,1)</f>
        <v>2</v>
      </c>
      <c r="AV407" cm="1">
        <f t="array" ref="AV407">_xlfn.XLOOKUP(Matrix[[#This Row],[TEAM]]&amp;Matrix[[#Headers],[36]],FDR[FDR]&amp;FDR[[#Headers],[36]],FDR[36],"",0,1)</f>
        <v>2</v>
      </c>
      <c r="AW407" cm="1">
        <f t="array" ref="AW407">_xlfn.XLOOKUP(Matrix[[#This Row],[TEAM]]&amp;Matrix[[#Headers],[37]],FDR[FDR]&amp;FDR[[#Headers],[37]],FDR[37],"",0,1)</f>
        <v>1</v>
      </c>
      <c r="AX407" cm="1">
        <f t="array" ref="AX407">_xlfn.XLOOKUP(Matrix[[#This Row],[TEAM]]&amp;Matrix[[#Headers],[38]],FDR[FDR]&amp;FDR[[#Headers],[38]],FDR[38],"",0,1)</f>
        <v>2</v>
      </c>
    </row>
    <row r="408" spans="1:50" ht="22" thickTop="1" thickBot="1">
      <c r="A408" s="53" t="str">
        <f>INDEX!S$4</f>
        <v>MID</v>
      </c>
      <c r="B408" s="70" t="s">
        <v>1754</v>
      </c>
      <c r="C408" s="40" t="s">
        <v>25</v>
      </c>
      <c r="D408" s="62">
        <v>0</v>
      </c>
      <c r="E408" s="60">
        <v>1E-3</v>
      </c>
      <c r="F408" s="61">
        <v>0</v>
      </c>
      <c r="G408" s="63">
        <v>4.5</v>
      </c>
      <c r="H408" s="261">
        <f>IF(ISBLANK(I408),0,1)</f>
        <v>0</v>
      </c>
      <c r="I408" s="57"/>
      <c r="J408" s="58"/>
      <c r="K408" s="59" t="s">
        <v>605</v>
      </c>
      <c r="L408" s="59" t="s">
        <v>273</v>
      </c>
      <c r="M408" cm="1">
        <f t="array" ref="M408">_xlfn.XLOOKUP(Matrix[[#This Row],[TEAM]]&amp;Matrix[[#Headers],[1]],FDR[FDR]&amp;FDR[[#Headers],[1]],FDR[1],"",0,1)</f>
        <v>3</v>
      </c>
      <c r="N408" cm="1">
        <f t="array" ref="N408">_xlfn.XLOOKUP(Matrix[[#This Row],[TEAM]]&amp;Matrix[[#Headers],[2]],FDR[FDR]&amp;FDR[[#Headers],[2]],FDR[2],"",0,1)</f>
        <v>3</v>
      </c>
      <c r="O408" cm="1">
        <f t="array" ref="O408">_xlfn.XLOOKUP(Matrix[[#This Row],[TEAM]]&amp;Matrix[[#Headers],[3]],FDR[FDR]&amp;FDR[[#Headers],[3]],FDR[3],"",0,1)</f>
        <v>1</v>
      </c>
      <c r="P408" cm="1">
        <f t="array" ref="P408">_xlfn.XLOOKUP(Matrix[[#This Row],[TEAM]]&amp;Matrix[[#Headers],[4]],FDR[FDR]&amp;FDR[[#Headers],[4]],FDR[4],"",0,1)</f>
        <v>1</v>
      </c>
      <c r="Q408" cm="1">
        <f t="array" ref="Q408">_xlfn.XLOOKUP(Matrix[[#This Row],[TEAM]]&amp;Matrix[[#Headers],[5]],FDR[FDR]&amp;FDR[[#Headers],[5]],FDR[5],"",0,1)</f>
        <v>2</v>
      </c>
      <c r="R408" cm="1">
        <f t="array" ref="R408">_xlfn.XLOOKUP(Matrix[[#This Row],[TEAM]]&amp;Matrix[[#Headers],[6]],FDR[FDR]&amp;FDR[[#Headers],[6]],FDR[6],"",0,1)</f>
        <v>3</v>
      </c>
      <c r="S408" cm="1">
        <f t="array" ref="S408">_xlfn.XLOOKUP(Matrix[[#This Row],[TEAM]]&amp;Matrix[[#Headers],[7]],FDR[FDR]&amp;FDR[[#Headers],[7]],FDR[7],"",0,1)</f>
        <v>2</v>
      </c>
      <c r="T408" cm="1">
        <f t="array" ref="T408">_xlfn.XLOOKUP(Matrix[[#This Row],[TEAM]]&amp;Matrix[[#Headers],[8]],FDR[FDR]&amp;FDR[[#Headers],[8]],FDR[8],"",0,1)</f>
        <v>2</v>
      </c>
      <c r="U408" cm="1">
        <f t="array" ref="U408">_xlfn.XLOOKUP(Matrix[[#This Row],[TEAM]]&amp;Matrix[[#Headers],[9]],FDR[FDR]&amp;FDR[[#Headers],[9]],FDR[9],"",0,1)</f>
        <v>2</v>
      </c>
      <c r="V408" cm="1">
        <f t="array" ref="V408">_xlfn.XLOOKUP(Matrix[[#This Row],[TEAM]]&amp;Matrix[[#Headers],[10]],FDR[FDR]&amp;FDR[[#Headers],[10]],FDR[10],"",0,1)</f>
        <v>2</v>
      </c>
      <c r="W408" cm="1">
        <f t="array" ref="W408">_xlfn.XLOOKUP(Matrix[[#This Row],[TEAM]]&amp;Matrix[[#Headers],[11]],FDR[FDR]&amp;FDR[[#Headers],[11]],FDR[11],"",0,1)</f>
        <v>2</v>
      </c>
      <c r="X408" cm="1">
        <f t="array" ref="X408">_xlfn.XLOOKUP(Matrix[[#This Row],[TEAM]]&amp;Matrix[[#Headers],[12]],FDR[FDR]&amp;FDR[[#Headers],[12]],FDR[12],"",0,1)</f>
        <v>3</v>
      </c>
      <c r="Y408" cm="1">
        <f t="array" ref="Y408">_xlfn.XLOOKUP(Matrix[[#This Row],[TEAM]]&amp;Matrix[[#Headers],[13]],FDR[FDR]&amp;FDR[[#Headers],[13]],FDR[13],"",0,1)</f>
        <v>2</v>
      </c>
      <c r="Z408" cm="1">
        <f t="array" ref="Z408">_xlfn.XLOOKUP(Matrix[[#This Row],[TEAM]]&amp;Matrix[[#Headers],[14]],FDR[FDR]&amp;FDR[[#Headers],[14]],FDR[14],"",0,1)</f>
        <v>3</v>
      </c>
      <c r="AA408" cm="1">
        <f t="array" ref="AA408">_xlfn.XLOOKUP(Matrix[[#This Row],[TEAM]]&amp;Matrix[[#Headers],[15]],FDR[FDR]&amp;FDR[[#Headers],[15]],FDR[15],"",0,1)</f>
        <v>1</v>
      </c>
      <c r="AB408" cm="1">
        <f t="array" ref="AB408">_xlfn.XLOOKUP(Matrix[[#This Row],[TEAM]]&amp;Matrix[[#Headers],[16]],FDR[FDR]&amp;FDR[[#Headers],[16]],FDR[16],"",0,1)</f>
        <v>1</v>
      </c>
      <c r="AC408" cm="1">
        <f t="array" ref="AC408">_xlfn.XLOOKUP(Matrix[[#This Row],[TEAM]]&amp;Matrix[[#Headers],[17]],FDR[FDR]&amp;FDR[[#Headers],[17]],FDR[17],"",0,1)</f>
        <v>3</v>
      </c>
      <c r="AD408" cm="1">
        <f t="array" ref="AD408">_xlfn.XLOOKUP(Matrix[[#This Row],[TEAM]]&amp;Matrix[[#Headers],[18]],FDR[FDR]&amp;FDR[[#Headers],[18]],FDR[18],"",0,1)</f>
        <v>4</v>
      </c>
      <c r="AE408" cm="1">
        <f t="array" ref="AE408">_xlfn.XLOOKUP(Matrix[[#This Row],[TEAM]]&amp;Matrix[[#Headers],[19]],FDR[FDR]&amp;FDR[[#Headers],[19]],FDR[19],"",0,1)</f>
        <v>1</v>
      </c>
      <c r="AF408" cm="1">
        <f t="array" ref="AF408">_xlfn.XLOOKUP(Matrix[[#This Row],[TEAM]]&amp;Matrix[[#Headers],[20]],FDR[FDR]&amp;FDR[[#Headers],[20]],FDR[20],"",0,1)</f>
        <v>1</v>
      </c>
      <c r="AG408" cm="1">
        <f t="array" ref="AG408">_xlfn.XLOOKUP(Matrix[[#This Row],[TEAM]]&amp;Matrix[[#Headers],[21]],FDR[FDR]&amp;FDR[[#Headers],[21]],FDR[21],"",0,1)</f>
        <v>1</v>
      </c>
      <c r="AH408" cm="1">
        <f t="array" ref="AH408">_xlfn.XLOOKUP(Matrix[[#This Row],[TEAM]]&amp;Matrix[[#Headers],[22]],FDR[FDR]&amp;FDR[[#Headers],[22]],FDR[22],"",0,1)</f>
        <v>1</v>
      </c>
      <c r="AI408" cm="1">
        <f t="array" ref="AI408">_xlfn.XLOOKUP(Matrix[[#This Row],[TEAM]]&amp;Matrix[[#Headers],[23]],FDR[FDR]&amp;FDR[[#Headers],[23]],FDR[23],"",0,1)</f>
        <v>2</v>
      </c>
      <c r="AJ408" cm="1">
        <f t="array" ref="AJ408">_xlfn.XLOOKUP(Matrix[[#This Row],[TEAM]]&amp;Matrix[[#Headers],[24]],FDR[FDR]&amp;FDR[[#Headers],[24]],FDR[24],"",0,1)</f>
        <v>4</v>
      </c>
      <c r="AK408" cm="1">
        <f t="array" ref="AK408">_xlfn.XLOOKUP(Matrix[[#This Row],[TEAM]]&amp;Matrix[[#Headers],[25]],FDR[FDR]&amp;FDR[[#Headers],[25]],FDR[25],"",0,1)</f>
        <v>1</v>
      </c>
      <c r="AL408" cm="1">
        <f t="array" ref="AL408">_xlfn.XLOOKUP(Matrix[[#This Row],[TEAM]]&amp;Matrix[[#Headers],[26]],FDR[FDR]&amp;FDR[[#Headers],[26]],FDR[26],"",0,1)</f>
        <v>4</v>
      </c>
      <c r="AM408" cm="1">
        <f t="array" ref="AM408">_xlfn.XLOOKUP(Matrix[[#This Row],[TEAM]]&amp;Matrix[[#Headers],[27]],FDR[FDR]&amp;FDR[[#Headers],[27]],FDR[27],"",0,1)</f>
        <v>4</v>
      </c>
      <c r="AN408" cm="1">
        <f t="array" ref="AN408">_xlfn.XLOOKUP(Matrix[[#This Row],[TEAM]]&amp;Matrix[[#Headers],[28]],FDR[FDR]&amp;FDR[[#Headers],[28]],FDR[28],"",0,1)</f>
        <v>1</v>
      </c>
      <c r="AO408" cm="1">
        <f t="array" ref="AO408">_xlfn.XLOOKUP(Matrix[[#This Row],[TEAM]]&amp;Matrix[[#Headers],[29]],FDR[FDR]&amp;FDR[[#Headers],[29]],FDR[29],"",0,1)</f>
        <v>3</v>
      </c>
      <c r="AP408" cm="1">
        <f t="array" ref="AP408">_xlfn.XLOOKUP(Matrix[[#This Row],[TEAM]]&amp;Matrix[[#Headers],[30]],FDR[FDR]&amp;FDR[[#Headers],[30]],FDR[30],"",0,1)</f>
        <v>4</v>
      </c>
      <c r="AQ408" cm="1">
        <f t="array" ref="AQ408">_xlfn.XLOOKUP(Matrix[[#This Row],[TEAM]]&amp;Matrix[[#Headers],[31]],FDR[FDR]&amp;FDR[[#Headers],[31]],FDR[31],"",0,1)</f>
        <v>1</v>
      </c>
      <c r="AR408" cm="1">
        <f t="array" ref="AR408">_xlfn.XLOOKUP(Matrix[[#This Row],[TEAM]]&amp;Matrix[[#Headers],[32]],FDR[FDR]&amp;FDR[[#Headers],[32]],FDR[32],"",0,1)</f>
        <v>2</v>
      </c>
      <c r="AS408" cm="1">
        <f t="array" ref="AS408">_xlfn.XLOOKUP(Matrix[[#This Row],[TEAM]]&amp;Matrix[[#Headers],[33]],FDR[FDR]&amp;FDR[[#Headers],[33]],FDR[33],"",0,1)</f>
        <v>2</v>
      </c>
      <c r="AT408" cm="1">
        <f t="array" ref="AT408">_xlfn.XLOOKUP(Matrix[[#This Row],[TEAM]]&amp;Matrix[[#Headers],[34]],FDR[FDR]&amp;FDR[[#Headers],[34]],FDR[34],"",0,1)</f>
        <v>4</v>
      </c>
      <c r="AU408" cm="1">
        <f t="array" ref="AU408">_xlfn.XLOOKUP(Matrix[[#This Row],[TEAM]]&amp;Matrix[[#Headers],[35]],FDR[FDR]&amp;FDR[[#Headers],[35]],FDR[35],"",0,1)</f>
        <v>2</v>
      </c>
      <c r="AV408" cm="1">
        <f t="array" ref="AV408">_xlfn.XLOOKUP(Matrix[[#This Row],[TEAM]]&amp;Matrix[[#Headers],[36]],FDR[FDR]&amp;FDR[[#Headers],[36]],FDR[36],"",0,1)</f>
        <v>2</v>
      </c>
      <c r="AW408" cm="1">
        <f t="array" ref="AW408">_xlfn.XLOOKUP(Matrix[[#This Row],[TEAM]]&amp;Matrix[[#Headers],[37]],FDR[FDR]&amp;FDR[[#Headers],[37]],FDR[37],"",0,1)</f>
        <v>1</v>
      </c>
      <c r="AX408" cm="1">
        <f t="array" ref="AX408">_xlfn.XLOOKUP(Matrix[[#This Row],[TEAM]]&amp;Matrix[[#Headers],[38]],FDR[FDR]&amp;FDR[[#Headers],[38]],FDR[38],"",0,1)</f>
        <v>2</v>
      </c>
    </row>
    <row r="409" spans="1:50" ht="22" thickTop="1" thickBot="1">
      <c r="A409" s="53" t="str">
        <f>INDEX!S$4</f>
        <v>MID</v>
      </c>
      <c r="B409" s="70" t="s">
        <v>1690</v>
      </c>
      <c r="C409" s="40" t="s">
        <v>634</v>
      </c>
      <c r="D409" s="62">
        <v>0</v>
      </c>
      <c r="E409" s="60">
        <v>3.0000000000000001E-3</v>
      </c>
      <c r="F409" s="61">
        <v>0</v>
      </c>
      <c r="G409" s="63">
        <v>4.5</v>
      </c>
      <c r="H409" s="261">
        <f>IF(ISBLANK(I409),0,1)</f>
        <v>0</v>
      </c>
      <c r="I409" s="57"/>
      <c r="J409" s="58"/>
      <c r="K409" s="59" t="s">
        <v>1184</v>
      </c>
      <c r="L409" s="59" t="s">
        <v>1163</v>
      </c>
      <c r="M409" cm="1">
        <f t="array" ref="M409">_xlfn.XLOOKUP(Matrix[[#This Row],[TEAM]]&amp;Matrix[[#Headers],[1]],FDR[FDR]&amp;FDR[[#Headers],[1]],FDR[1],"",0,1)</f>
        <v>4</v>
      </c>
      <c r="N409" cm="1">
        <f t="array" ref="N409">_xlfn.XLOOKUP(Matrix[[#This Row],[TEAM]]&amp;Matrix[[#Headers],[2]],FDR[FDR]&amp;FDR[[#Headers],[2]],FDR[2],"",0,1)</f>
        <v>4</v>
      </c>
      <c r="O409" cm="1">
        <f t="array" ref="O409">_xlfn.XLOOKUP(Matrix[[#This Row],[TEAM]]&amp;Matrix[[#Headers],[3]],FDR[FDR]&amp;FDR[[#Headers],[3]],FDR[3],"",0,1)</f>
        <v>4</v>
      </c>
      <c r="P409" cm="1">
        <f t="array" ref="P409">_xlfn.XLOOKUP(Matrix[[#This Row],[TEAM]]&amp;Matrix[[#Headers],[4]],FDR[FDR]&amp;FDR[[#Headers],[4]],FDR[4],"",0,1)</f>
        <v>5</v>
      </c>
      <c r="Q409" cm="1">
        <f t="array" ref="Q409">_xlfn.XLOOKUP(Matrix[[#This Row],[TEAM]]&amp;Matrix[[#Headers],[5]],FDR[FDR]&amp;FDR[[#Headers],[5]],FDR[5],"",0,1)</f>
        <v>5</v>
      </c>
      <c r="R409" cm="1">
        <f t="array" ref="R409">_xlfn.XLOOKUP(Matrix[[#This Row],[TEAM]]&amp;Matrix[[#Headers],[6]],FDR[FDR]&amp;FDR[[#Headers],[6]],FDR[6],"",0,1)</f>
        <v>5</v>
      </c>
      <c r="S409" cm="1">
        <f t="array" ref="S409">_xlfn.XLOOKUP(Matrix[[#This Row],[TEAM]]&amp;Matrix[[#Headers],[7]],FDR[FDR]&amp;FDR[[#Headers],[7]],FDR[7],"",0,1)</f>
        <v>5</v>
      </c>
      <c r="T409" cm="1">
        <f t="array" ref="T409">_xlfn.XLOOKUP(Matrix[[#This Row],[TEAM]]&amp;Matrix[[#Headers],[8]],FDR[FDR]&amp;FDR[[#Headers],[8]],FDR[8],"",0,1)</f>
        <v>3</v>
      </c>
      <c r="U409" cm="1">
        <f t="array" ref="U409">_xlfn.XLOOKUP(Matrix[[#This Row],[TEAM]]&amp;Matrix[[#Headers],[9]],FDR[FDR]&amp;FDR[[#Headers],[9]],FDR[9],"",0,1)</f>
        <v>5</v>
      </c>
      <c r="V409" cm="1">
        <f t="array" ref="V409">_xlfn.XLOOKUP(Matrix[[#This Row],[TEAM]]&amp;Matrix[[#Headers],[10]],FDR[FDR]&amp;FDR[[#Headers],[10]],FDR[10],"",0,1)</f>
        <v>4</v>
      </c>
      <c r="W409" cm="1">
        <f t="array" ref="W409">_xlfn.XLOOKUP(Matrix[[#This Row],[TEAM]]&amp;Matrix[[#Headers],[11]],FDR[FDR]&amp;FDR[[#Headers],[11]],FDR[11],"",0,1)</f>
        <v>5</v>
      </c>
      <c r="X409" cm="1">
        <f t="array" ref="X409">_xlfn.XLOOKUP(Matrix[[#This Row],[TEAM]]&amp;Matrix[[#Headers],[12]],FDR[FDR]&amp;FDR[[#Headers],[12]],FDR[12],"",0,1)</f>
        <v>5</v>
      </c>
      <c r="Y409" cm="1">
        <f t="array" ref="Y409">_xlfn.XLOOKUP(Matrix[[#This Row],[TEAM]]&amp;Matrix[[#Headers],[13]],FDR[FDR]&amp;FDR[[#Headers],[13]],FDR[13],"",0,1)</f>
        <v>5</v>
      </c>
      <c r="Z409" cm="1">
        <f t="array" ref="Z409">_xlfn.XLOOKUP(Matrix[[#This Row],[TEAM]]&amp;Matrix[[#Headers],[14]],FDR[FDR]&amp;FDR[[#Headers],[14]],FDR[14],"",0,1)</f>
        <v>5</v>
      </c>
      <c r="AA409" cm="1">
        <f t="array" ref="AA409">_xlfn.XLOOKUP(Matrix[[#This Row],[TEAM]]&amp;Matrix[[#Headers],[15]],FDR[FDR]&amp;FDR[[#Headers],[15]],FDR[15],"",0,1)</f>
        <v>5</v>
      </c>
      <c r="AB409" cm="1">
        <f t="array" ref="AB409">_xlfn.XLOOKUP(Matrix[[#This Row],[TEAM]]&amp;Matrix[[#Headers],[16]],FDR[FDR]&amp;FDR[[#Headers],[16]],FDR[16],"",0,1)</f>
        <v>5</v>
      </c>
      <c r="AC409" cm="1">
        <f t="array" ref="AC409">_xlfn.XLOOKUP(Matrix[[#This Row],[TEAM]]&amp;Matrix[[#Headers],[17]],FDR[FDR]&amp;FDR[[#Headers],[17]],FDR[17],"",0,1)</f>
        <v>5</v>
      </c>
      <c r="AD409" cm="1">
        <f t="array" ref="AD409">_xlfn.XLOOKUP(Matrix[[#This Row],[TEAM]]&amp;Matrix[[#Headers],[18]],FDR[FDR]&amp;FDR[[#Headers],[18]],FDR[18],"",0,1)</f>
        <v>3</v>
      </c>
      <c r="AE409" cm="1">
        <f t="array" ref="AE409">_xlfn.XLOOKUP(Matrix[[#This Row],[TEAM]]&amp;Matrix[[#Headers],[19]],FDR[FDR]&amp;FDR[[#Headers],[19]],FDR[19],"",0,1)</f>
        <v>5</v>
      </c>
      <c r="AF409" cm="1">
        <f t="array" ref="AF409">_xlfn.XLOOKUP(Matrix[[#This Row],[TEAM]]&amp;Matrix[[#Headers],[20]],FDR[FDR]&amp;FDR[[#Headers],[20]],FDR[20],"",0,1)</f>
        <v>5</v>
      </c>
      <c r="AG409" cm="1">
        <f t="array" ref="AG409">_xlfn.XLOOKUP(Matrix[[#This Row],[TEAM]]&amp;Matrix[[#Headers],[21]],FDR[FDR]&amp;FDR[[#Headers],[21]],FDR[21],"",0,1)</f>
        <v>5</v>
      </c>
      <c r="AH409" cm="1">
        <f t="array" ref="AH409">_xlfn.XLOOKUP(Matrix[[#This Row],[TEAM]]&amp;Matrix[[#Headers],[22]],FDR[FDR]&amp;FDR[[#Headers],[22]],FDR[22],"",0,1)</f>
        <v>4</v>
      </c>
      <c r="AI409" cm="1">
        <f t="array" ref="AI409">_xlfn.XLOOKUP(Matrix[[#This Row],[TEAM]]&amp;Matrix[[#Headers],[23]],FDR[FDR]&amp;FDR[[#Headers],[23]],FDR[23],"",0,1)</f>
        <v>5</v>
      </c>
      <c r="AJ409" cm="1">
        <f t="array" ref="AJ409">_xlfn.XLOOKUP(Matrix[[#This Row],[TEAM]]&amp;Matrix[[#Headers],[24]],FDR[FDR]&amp;FDR[[#Headers],[24]],FDR[24],"",0,1)</f>
        <v>3</v>
      </c>
      <c r="AK409" cm="1">
        <f t="array" ref="AK409">_xlfn.XLOOKUP(Matrix[[#This Row],[TEAM]]&amp;Matrix[[#Headers],[25]],FDR[FDR]&amp;FDR[[#Headers],[25]],FDR[25],"",0,1)</f>
        <v>5</v>
      </c>
      <c r="AL409" cm="1">
        <f t="array" ref="AL409">_xlfn.XLOOKUP(Matrix[[#This Row],[TEAM]]&amp;Matrix[[#Headers],[26]],FDR[FDR]&amp;FDR[[#Headers],[26]],FDR[26],"",0,1)</f>
        <v>5</v>
      </c>
      <c r="AM409" cm="1">
        <f t="array" ref="AM409">_xlfn.XLOOKUP(Matrix[[#This Row],[TEAM]]&amp;Matrix[[#Headers],[27]],FDR[FDR]&amp;FDR[[#Headers],[27]],FDR[27],"",0,1)</f>
        <v>5</v>
      </c>
      <c r="AN409" cm="1">
        <f t="array" ref="AN409">_xlfn.XLOOKUP(Matrix[[#This Row],[TEAM]]&amp;Matrix[[#Headers],[28]],FDR[FDR]&amp;FDR[[#Headers],[28]],FDR[28],"",0,1)</f>
        <v>5</v>
      </c>
      <c r="AO409" cm="1">
        <f t="array" ref="AO409">_xlfn.XLOOKUP(Matrix[[#This Row],[TEAM]]&amp;Matrix[[#Headers],[29]],FDR[FDR]&amp;FDR[[#Headers],[29]],FDR[29],"",0,1)</f>
        <v>4</v>
      </c>
      <c r="AP409" cm="1">
        <f t="array" ref="AP409">_xlfn.XLOOKUP(Matrix[[#This Row],[TEAM]]&amp;Matrix[[#Headers],[30]],FDR[FDR]&amp;FDR[[#Headers],[30]],FDR[30],"",0,1)</f>
        <v>5</v>
      </c>
      <c r="AQ409" cm="1">
        <f t="array" ref="AQ409">_xlfn.XLOOKUP(Matrix[[#This Row],[TEAM]]&amp;Matrix[[#Headers],[31]],FDR[FDR]&amp;FDR[[#Headers],[31]],FDR[31],"",0,1)</f>
        <v>5</v>
      </c>
      <c r="AR409" cm="1">
        <f t="array" ref="AR409">_xlfn.XLOOKUP(Matrix[[#This Row],[TEAM]]&amp;Matrix[[#Headers],[32]],FDR[FDR]&amp;FDR[[#Headers],[32]],FDR[32],"",0,1)</f>
        <v>5</v>
      </c>
      <c r="AS409" cm="1">
        <f t="array" ref="AS409">_xlfn.XLOOKUP(Matrix[[#This Row],[TEAM]]&amp;Matrix[[#Headers],[33]],FDR[FDR]&amp;FDR[[#Headers],[33]],FDR[33],"",0,1)</f>
        <v>5</v>
      </c>
      <c r="AT409" cm="1">
        <f t="array" ref="AT409">_xlfn.XLOOKUP(Matrix[[#This Row],[TEAM]]&amp;Matrix[[#Headers],[34]],FDR[FDR]&amp;FDR[[#Headers],[34]],FDR[34],"",0,1)</f>
        <v>5</v>
      </c>
      <c r="AU409" cm="1">
        <f t="array" ref="AU409">_xlfn.XLOOKUP(Matrix[[#This Row],[TEAM]]&amp;Matrix[[#Headers],[35]],FDR[FDR]&amp;FDR[[#Headers],[35]],FDR[35],"",0,1)</f>
        <v>4</v>
      </c>
      <c r="AV409" cm="1">
        <f t="array" ref="AV409">_xlfn.XLOOKUP(Matrix[[#This Row],[TEAM]]&amp;Matrix[[#Headers],[36]],FDR[FDR]&amp;FDR[[#Headers],[36]],FDR[36],"",0,1)</f>
        <v>5</v>
      </c>
      <c r="AW409" cm="1">
        <f t="array" ref="AW409">_xlfn.XLOOKUP(Matrix[[#This Row],[TEAM]]&amp;Matrix[[#Headers],[37]],FDR[FDR]&amp;FDR[[#Headers],[37]],FDR[37],"",0,1)</f>
        <v>5</v>
      </c>
      <c r="AX409" cm="1">
        <f t="array" ref="AX409">_xlfn.XLOOKUP(Matrix[[#This Row],[TEAM]]&amp;Matrix[[#Headers],[38]],FDR[FDR]&amp;FDR[[#Headers],[38]],FDR[38],"",0,1)</f>
        <v>5</v>
      </c>
    </row>
    <row r="410" spans="1:50" ht="22" thickTop="1" thickBot="1">
      <c r="A410" s="53" t="str">
        <f>INDEX!S$4</f>
        <v>MID</v>
      </c>
      <c r="B410" s="70" t="s">
        <v>1689</v>
      </c>
      <c r="C410" s="40" t="s">
        <v>634</v>
      </c>
      <c r="D410" s="62">
        <v>0</v>
      </c>
      <c r="E410" s="60">
        <v>3.0000000000000001E-3</v>
      </c>
      <c r="F410" s="61">
        <v>0</v>
      </c>
      <c r="G410" s="63">
        <v>4.5</v>
      </c>
      <c r="H410" s="261">
        <f>IF(ISBLANK(I410),0,1)</f>
        <v>0</v>
      </c>
      <c r="I410" s="57"/>
      <c r="J410" s="58"/>
      <c r="K410" s="59" t="s">
        <v>585</v>
      </c>
      <c r="L410" s="59" t="s">
        <v>1167</v>
      </c>
      <c r="M410" cm="1">
        <f t="array" ref="M410">_xlfn.XLOOKUP(Matrix[[#This Row],[TEAM]]&amp;Matrix[[#Headers],[1]],FDR[FDR]&amp;FDR[[#Headers],[1]],FDR[1],"",0,1)</f>
        <v>4</v>
      </c>
      <c r="N410" cm="1">
        <f t="array" ref="N410">_xlfn.XLOOKUP(Matrix[[#This Row],[TEAM]]&amp;Matrix[[#Headers],[2]],FDR[FDR]&amp;FDR[[#Headers],[2]],FDR[2],"",0,1)</f>
        <v>4</v>
      </c>
      <c r="O410" cm="1">
        <f t="array" ref="O410">_xlfn.XLOOKUP(Matrix[[#This Row],[TEAM]]&amp;Matrix[[#Headers],[3]],FDR[FDR]&amp;FDR[[#Headers],[3]],FDR[3],"",0,1)</f>
        <v>4</v>
      </c>
      <c r="P410" cm="1">
        <f t="array" ref="P410">_xlfn.XLOOKUP(Matrix[[#This Row],[TEAM]]&amp;Matrix[[#Headers],[4]],FDR[FDR]&amp;FDR[[#Headers],[4]],FDR[4],"",0,1)</f>
        <v>5</v>
      </c>
      <c r="Q410" cm="1">
        <f t="array" ref="Q410">_xlfn.XLOOKUP(Matrix[[#This Row],[TEAM]]&amp;Matrix[[#Headers],[5]],FDR[FDR]&amp;FDR[[#Headers],[5]],FDR[5],"",0,1)</f>
        <v>5</v>
      </c>
      <c r="R410" cm="1">
        <f t="array" ref="R410">_xlfn.XLOOKUP(Matrix[[#This Row],[TEAM]]&amp;Matrix[[#Headers],[6]],FDR[FDR]&amp;FDR[[#Headers],[6]],FDR[6],"",0,1)</f>
        <v>5</v>
      </c>
      <c r="S410" cm="1">
        <f t="array" ref="S410">_xlfn.XLOOKUP(Matrix[[#This Row],[TEAM]]&amp;Matrix[[#Headers],[7]],FDR[FDR]&amp;FDR[[#Headers],[7]],FDR[7],"",0,1)</f>
        <v>5</v>
      </c>
      <c r="T410" cm="1">
        <f t="array" ref="T410">_xlfn.XLOOKUP(Matrix[[#This Row],[TEAM]]&amp;Matrix[[#Headers],[8]],FDR[FDR]&amp;FDR[[#Headers],[8]],FDR[8],"",0,1)</f>
        <v>3</v>
      </c>
      <c r="U410" cm="1">
        <f t="array" ref="U410">_xlfn.XLOOKUP(Matrix[[#This Row],[TEAM]]&amp;Matrix[[#Headers],[9]],FDR[FDR]&amp;FDR[[#Headers],[9]],FDR[9],"",0,1)</f>
        <v>5</v>
      </c>
      <c r="V410" cm="1">
        <f t="array" ref="V410">_xlfn.XLOOKUP(Matrix[[#This Row],[TEAM]]&amp;Matrix[[#Headers],[10]],FDR[FDR]&amp;FDR[[#Headers],[10]],FDR[10],"",0,1)</f>
        <v>4</v>
      </c>
      <c r="W410" cm="1">
        <f t="array" ref="W410">_xlfn.XLOOKUP(Matrix[[#This Row],[TEAM]]&amp;Matrix[[#Headers],[11]],FDR[FDR]&amp;FDR[[#Headers],[11]],FDR[11],"",0,1)</f>
        <v>5</v>
      </c>
      <c r="X410" cm="1">
        <f t="array" ref="X410">_xlfn.XLOOKUP(Matrix[[#This Row],[TEAM]]&amp;Matrix[[#Headers],[12]],FDR[FDR]&amp;FDR[[#Headers],[12]],FDR[12],"",0,1)</f>
        <v>5</v>
      </c>
      <c r="Y410" cm="1">
        <f t="array" ref="Y410">_xlfn.XLOOKUP(Matrix[[#This Row],[TEAM]]&amp;Matrix[[#Headers],[13]],FDR[FDR]&amp;FDR[[#Headers],[13]],FDR[13],"",0,1)</f>
        <v>5</v>
      </c>
      <c r="Z410" cm="1">
        <f t="array" ref="Z410">_xlfn.XLOOKUP(Matrix[[#This Row],[TEAM]]&amp;Matrix[[#Headers],[14]],FDR[FDR]&amp;FDR[[#Headers],[14]],FDR[14],"",0,1)</f>
        <v>5</v>
      </c>
      <c r="AA410" cm="1">
        <f t="array" ref="AA410">_xlfn.XLOOKUP(Matrix[[#This Row],[TEAM]]&amp;Matrix[[#Headers],[15]],FDR[FDR]&amp;FDR[[#Headers],[15]],FDR[15],"",0,1)</f>
        <v>5</v>
      </c>
      <c r="AB410" cm="1">
        <f t="array" ref="AB410">_xlfn.XLOOKUP(Matrix[[#This Row],[TEAM]]&amp;Matrix[[#Headers],[16]],FDR[FDR]&amp;FDR[[#Headers],[16]],FDR[16],"",0,1)</f>
        <v>5</v>
      </c>
      <c r="AC410" cm="1">
        <f t="array" ref="AC410">_xlfn.XLOOKUP(Matrix[[#This Row],[TEAM]]&amp;Matrix[[#Headers],[17]],FDR[FDR]&amp;FDR[[#Headers],[17]],FDR[17],"",0,1)</f>
        <v>5</v>
      </c>
      <c r="AD410" cm="1">
        <f t="array" ref="AD410">_xlfn.XLOOKUP(Matrix[[#This Row],[TEAM]]&amp;Matrix[[#Headers],[18]],FDR[FDR]&amp;FDR[[#Headers],[18]],FDR[18],"",0,1)</f>
        <v>3</v>
      </c>
      <c r="AE410" cm="1">
        <f t="array" ref="AE410">_xlfn.XLOOKUP(Matrix[[#This Row],[TEAM]]&amp;Matrix[[#Headers],[19]],FDR[FDR]&amp;FDR[[#Headers],[19]],FDR[19],"",0,1)</f>
        <v>5</v>
      </c>
      <c r="AF410" cm="1">
        <f t="array" ref="AF410">_xlfn.XLOOKUP(Matrix[[#This Row],[TEAM]]&amp;Matrix[[#Headers],[20]],FDR[FDR]&amp;FDR[[#Headers],[20]],FDR[20],"",0,1)</f>
        <v>5</v>
      </c>
      <c r="AG410" cm="1">
        <f t="array" ref="AG410">_xlfn.XLOOKUP(Matrix[[#This Row],[TEAM]]&amp;Matrix[[#Headers],[21]],FDR[FDR]&amp;FDR[[#Headers],[21]],FDR[21],"",0,1)</f>
        <v>5</v>
      </c>
      <c r="AH410" cm="1">
        <f t="array" ref="AH410">_xlfn.XLOOKUP(Matrix[[#This Row],[TEAM]]&amp;Matrix[[#Headers],[22]],FDR[FDR]&amp;FDR[[#Headers],[22]],FDR[22],"",0,1)</f>
        <v>4</v>
      </c>
      <c r="AI410" cm="1">
        <f t="array" ref="AI410">_xlfn.XLOOKUP(Matrix[[#This Row],[TEAM]]&amp;Matrix[[#Headers],[23]],FDR[FDR]&amp;FDR[[#Headers],[23]],FDR[23],"",0,1)</f>
        <v>5</v>
      </c>
      <c r="AJ410" cm="1">
        <f t="array" ref="AJ410">_xlfn.XLOOKUP(Matrix[[#This Row],[TEAM]]&amp;Matrix[[#Headers],[24]],FDR[FDR]&amp;FDR[[#Headers],[24]],FDR[24],"",0,1)</f>
        <v>3</v>
      </c>
      <c r="AK410" cm="1">
        <f t="array" ref="AK410">_xlfn.XLOOKUP(Matrix[[#This Row],[TEAM]]&amp;Matrix[[#Headers],[25]],FDR[FDR]&amp;FDR[[#Headers],[25]],FDR[25],"",0,1)</f>
        <v>5</v>
      </c>
      <c r="AL410" cm="1">
        <f t="array" ref="AL410">_xlfn.XLOOKUP(Matrix[[#This Row],[TEAM]]&amp;Matrix[[#Headers],[26]],FDR[FDR]&amp;FDR[[#Headers],[26]],FDR[26],"",0,1)</f>
        <v>5</v>
      </c>
      <c r="AM410" cm="1">
        <f t="array" ref="AM410">_xlfn.XLOOKUP(Matrix[[#This Row],[TEAM]]&amp;Matrix[[#Headers],[27]],FDR[FDR]&amp;FDR[[#Headers],[27]],FDR[27],"",0,1)</f>
        <v>5</v>
      </c>
      <c r="AN410" cm="1">
        <f t="array" ref="AN410">_xlfn.XLOOKUP(Matrix[[#This Row],[TEAM]]&amp;Matrix[[#Headers],[28]],FDR[FDR]&amp;FDR[[#Headers],[28]],FDR[28],"",0,1)</f>
        <v>5</v>
      </c>
      <c r="AO410" cm="1">
        <f t="array" ref="AO410">_xlfn.XLOOKUP(Matrix[[#This Row],[TEAM]]&amp;Matrix[[#Headers],[29]],FDR[FDR]&amp;FDR[[#Headers],[29]],FDR[29],"",0,1)</f>
        <v>4</v>
      </c>
      <c r="AP410" cm="1">
        <f t="array" ref="AP410">_xlfn.XLOOKUP(Matrix[[#This Row],[TEAM]]&amp;Matrix[[#Headers],[30]],FDR[FDR]&amp;FDR[[#Headers],[30]],FDR[30],"",0,1)</f>
        <v>5</v>
      </c>
      <c r="AQ410" cm="1">
        <f t="array" ref="AQ410">_xlfn.XLOOKUP(Matrix[[#This Row],[TEAM]]&amp;Matrix[[#Headers],[31]],FDR[FDR]&amp;FDR[[#Headers],[31]],FDR[31],"",0,1)</f>
        <v>5</v>
      </c>
      <c r="AR410" cm="1">
        <f t="array" ref="AR410">_xlfn.XLOOKUP(Matrix[[#This Row],[TEAM]]&amp;Matrix[[#Headers],[32]],FDR[FDR]&amp;FDR[[#Headers],[32]],FDR[32],"",0,1)</f>
        <v>5</v>
      </c>
      <c r="AS410" cm="1">
        <f t="array" ref="AS410">_xlfn.XLOOKUP(Matrix[[#This Row],[TEAM]]&amp;Matrix[[#Headers],[33]],FDR[FDR]&amp;FDR[[#Headers],[33]],FDR[33],"",0,1)</f>
        <v>5</v>
      </c>
      <c r="AT410" cm="1">
        <f t="array" ref="AT410">_xlfn.XLOOKUP(Matrix[[#This Row],[TEAM]]&amp;Matrix[[#Headers],[34]],FDR[FDR]&amp;FDR[[#Headers],[34]],FDR[34],"",0,1)</f>
        <v>5</v>
      </c>
      <c r="AU410" cm="1">
        <f t="array" ref="AU410">_xlfn.XLOOKUP(Matrix[[#This Row],[TEAM]]&amp;Matrix[[#Headers],[35]],FDR[FDR]&amp;FDR[[#Headers],[35]],FDR[35],"",0,1)</f>
        <v>4</v>
      </c>
      <c r="AV410" cm="1">
        <f t="array" ref="AV410">_xlfn.XLOOKUP(Matrix[[#This Row],[TEAM]]&amp;Matrix[[#Headers],[36]],FDR[FDR]&amp;FDR[[#Headers],[36]],FDR[36],"",0,1)</f>
        <v>5</v>
      </c>
      <c r="AW410" cm="1">
        <f t="array" ref="AW410">_xlfn.XLOOKUP(Matrix[[#This Row],[TEAM]]&amp;Matrix[[#Headers],[37]],FDR[FDR]&amp;FDR[[#Headers],[37]],FDR[37],"",0,1)</f>
        <v>5</v>
      </c>
      <c r="AX410" cm="1">
        <f t="array" ref="AX410">_xlfn.XLOOKUP(Matrix[[#This Row],[TEAM]]&amp;Matrix[[#Headers],[38]],FDR[FDR]&amp;FDR[[#Headers],[38]],FDR[38],"",0,1)</f>
        <v>5</v>
      </c>
    </row>
    <row r="411" spans="1:50" ht="22" thickTop="1" thickBot="1">
      <c r="A411" s="53" t="str">
        <f>INDEX!S$4</f>
        <v>MID</v>
      </c>
      <c r="B411" s="70" t="s">
        <v>1762</v>
      </c>
      <c r="C411" s="40" t="s">
        <v>634</v>
      </c>
      <c r="D411" s="62">
        <v>0</v>
      </c>
      <c r="E411" s="60">
        <v>1E-3</v>
      </c>
      <c r="F411" s="61">
        <v>0</v>
      </c>
      <c r="G411" s="63">
        <v>4.5</v>
      </c>
      <c r="H411" s="261">
        <f>IF(ISBLANK(I411),0,1)</f>
        <v>0</v>
      </c>
      <c r="I411" s="57"/>
      <c r="J411" s="58"/>
      <c r="K411" s="59" t="s">
        <v>1185</v>
      </c>
      <c r="L411" s="59" t="s">
        <v>1164</v>
      </c>
      <c r="M411" cm="1">
        <f t="array" ref="M411">_xlfn.XLOOKUP(Matrix[[#This Row],[TEAM]]&amp;Matrix[[#Headers],[1]],FDR[FDR]&amp;FDR[[#Headers],[1]],FDR[1],"",0,1)</f>
        <v>4</v>
      </c>
      <c r="N411" cm="1">
        <f t="array" ref="N411">_xlfn.XLOOKUP(Matrix[[#This Row],[TEAM]]&amp;Matrix[[#Headers],[2]],FDR[FDR]&amp;FDR[[#Headers],[2]],FDR[2],"",0,1)</f>
        <v>4</v>
      </c>
      <c r="O411" cm="1">
        <f t="array" ref="O411">_xlfn.XLOOKUP(Matrix[[#This Row],[TEAM]]&amp;Matrix[[#Headers],[3]],FDR[FDR]&amp;FDR[[#Headers],[3]],FDR[3],"",0,1)</f>
        <v>4</v>
      </c>
      <c r="P411" cm="1">
        <f t="array" ref="P411">_xlfn.XLOOKUP(Matrix[[#This Row],[TEAM]]&amp;Matrix[[#Headers],[4]],FDR[FDR]&amp;FDR[[#Headers],[4]],FDR[4],"",0,1)</f>
        <v>5</v>
      </c>
      <c r="Q411" cm="1">
        <f t="array" ref="Q411">_xlfn.XLOOKUP(Matrix[[#This Row],[TEAM]]&amp;Matrix[[#Headers],[5]],FDR[FDR]&amp;FDR[[#Headers],[5]],FDR[5],"",0,1)</f>
        <v>5</v>
      </c>
      <c r="R411" cm="1">
        <f t="array" ref="R411">_xlfn.XLOOKUP(Matrix[[#This Row],[TEAM]]&amp;Matrix[[#Headers],[6]],FDR[FDR]&amp;FDR[[#Headers],[6]],FDR[6],"",0,1)</f>
        <v>5</v>
      </c>
      <c r="S411" cm="1">
        <f t="array" ref="S411">_xlfn.XLOOKUP(Matrix[[#This Row],[TEAM]]&amp;Matrix[[#Headers],[7]],FDR[FDR]&amp;FDR[[#Headers],[7]],FDR[7],"",0,1)</f>
        <v>5</v>
      </c>
      <c r="T411" cm="1">
        <f t="array" ref="T411">_xlfn.XLOOKUP(Matrix[[#This Row],[TEAM]]&amp;Matrix[[#Headers],[8]],FDR[FDR]&amp;FDR[[#Headers],[8]],FDR[8],"",0,1)</f>
        <v>3</v>
      </c>
      <c r="U411" cm="1">
        <f t="array" ref="U411">_xlfn.XLOOKUP(Matrix[[#This Row],[TEAM]]&amp;Matrix[[#Headers],[9]],FDR[FDR]&amp;FDR[[#Headers],[9]],FDR[9],"",0,1)</f>
        <v>5</v>
      </c>
      <c r="V411" cm="1">
        <f t="array" ref="V411">_xlfn.XLOOKUP(Matrix[[#This Row],[TEAM]]&amp;Matrix[[#Headers],[10]],FDR[FDR]&amp;FDR[[#Headers],[10]],FDR[10],"",0,1)</f>
        <v>4</v>
      </c>
      <c r="W411" cm="1">
        <f t="array" ref="W411">_xlfn.XLOOKUP(Matrix[[#This Row],[TEAM]]&amp;Matrix[[#Headers],[11]],FDR[FDR]&amp;FDR[[#Headers],[11]],FDR[11],"",0,1)</f>
        <v>5</v>
      </c>
      <c r="X411" cm="1">
        <f t="array" ref="X411">_xlfn.XLOOKUP(Matrix[[#This Row],[TEAM]]&amp;Matrix[[#Headers],[12]],FDR[FDR]&amp;FDR[[#Headers],[12]],FDR[12],"",0,1)</f>
        <v>5</v>
      </c>
      <c r="Y411" cm="1">
        <f t="array" ref="Y411">_xlfn.XLOOKUP(Matrix[[#This Row],[TEAM]]&amp;Matrix[[#Headers],[13]],FDR[FDR]&amp;FDR[[#Headers],[13]],FDR[13],"",0,1)</f>
        <v>5</v>
      </c>
      <c r="Z411" cm="1">
        <f t="array" ref="Z411">_xlfn.XLOOKUP(Matrix[[#This Row],[TEAM]]&amp;Matrix[[#Headers],[14]],FDR[FDR]&amp;FDR[[#Headers],[14]],FDR[14],"",0,1)</f>
        <v>5</v>
      </c>
      <c r="AA411" cm="1">
        <f t="array" ref="AA411">_xlfn.XLOOKUP(Matrix[[#This Row],[TEAM]]&amp;Matrix[[#Headers],[15]],FDR[FDR]&amp;FDR[[#Headers],[15]],FDR[15],"",0,1)</f>
        <v>5</v>
      </c>
      <c r="AB411" cm="1">
        <f t="array" ref="AB411">_xlfn.XLOOKUP(Matrix[[#This Row],[TEAM]]&amp;Matrix[[#Headers],[16]],FDR[FDR]&amp;FDR[[#Headers],[16]],FDR[16],"",0,1)</f>
        <v>5</v>
      </c>
      <c r="AC411" cm="1">
        <f t="array" ref="AC411">_xlfn.XLOOKUP(Matrix[[#This Row],[TEAM]]&amp;Matrix[[#Headers],[17]],FDR[FDR]&amp;FDR[[#Headers],[17]],FDR[17],"",0,1)</f>
        <v>5</v>
      </c>
      <c r="AD411" cm="1">
        <f t="array" ref="AD411">_xlfn.XLOOKUP(Matrix[[#This Row],[TEAM]]&amp;Matrix[[#Headers],[18]],FDR[FDR]&amp;FDR[[#Headers],[18]],FDR[18],"",0,1)</f>
        <v>3</v>
      </c>
      <c r="AE411" cm="1">
        <f t="array" ref="AE411">_xlfn.XLOOKUP(Matrix[[#This Row],[TEAM]]&amp;Matrix[[#Headers],[19]],FDR[FDR]&amp;FDR[[#Headers],[19]],FDR[19],"",0,1)</f>
        <v>5</v>
      </c>
      <c r="AF411" cm="1">
        <f t="array" ref="AF411">_xlfn.XLOOKUP(Matrix[[#This Row],[TEAM]]&amp;Matrix[[#Headers],[20]],FDR[FDR]&amp;FDR[[#Headers],[20]],FDR[20],"",0,1)</f>
        <v>5</v>
      </c>
      <c r="AG411" cm="1">
        <f t="array" ref="AG411">_xlfn.XLOOKUP(Matrix[[#This Row],[TEAM]]&amp;Matrix[[#Headers],[21]],FDR[FDR]&amp;FDR[[#Headers],[21]],FDR[21],"",0,1)</f>
        <v>5</v>
      </c>
      <c r="AH411" cm="1">
        <f t="array" ref="AH411">_xlfn.XLOOKUP(Matrix[[#This Row],[TEAM]]&amp;Matrix[[#Headers],[22]],FDR[FDR]&amp;FDR[[#Headers],[22]],FDR[22],"",0,1)</f>
        <v>4</v>
      </c>
      <c r="AI411" cm="1">
        <f t="array" ref="AI411">_xlfn.XLOOKUP(Matrix[[#This Row],[TEAM]]&amp;Matrix[[#Headers],[23]],FDR[FDR]&amp;FDR[[#Headers],[23]],FDR[23],"",0,1)</f>
        <v>5</v>
      </c>
      <c r="AJ411" cm="1">
        <f t="array" ref="AJ411">_xlfn.XLOOKUP(Matrix[[#This Row],[TEAM]]&amp;Matrix[[#Headers],[24]],FDR[FDR]&amp;FDR[[#Headers],[24]],FDR[24],"",0,1)</f>
        <v>3</v>
      </c>
      <c r="AK411" cm="1">
        <f t="array" ref="AK411">_xlfn.XLOOKUP(Matrix[[#This Row],[TEAM]]&amp;Matrix[[#Headers],[25]],FDR[FDR]&amp;FDR[[#Headers],[25]],FDR[25],"",0,1)</f>
        <v>5</v>
      </c>
      <c r="AL411" cm="1">
        <f t="array" ref="AL411">_xlfn.XLOOKUP(Matrix[[#This Row],[TEAM]]&amp;Matrix[[#Headers],[26]],FDR[FDR]&amp;FDR[[#Headers],[26]],FDR[26],"",0,1)</f>
        <v>5</v>
      </c>
      <c r="AM411" cm="1">
        <f t="array" ref="AM411">_xlfn.XLOOKUP(Matrix[[#This Row],[TEAM]]&amp;Matrix[[#Headers],[27]],FDR[FDR]&amp;FDR[[#Headers],[27]],FDR[27],"",0,1)</f>
        <v>5</v>
      </c>
      <c r="AN411" cm="1">
        <f t="array" ref="AN411">_xlfn.XLOOKUP(Matrix[[#This Row],[TEAM]]&amp;Matrix[[#Headers],[28]],FDR[FDR]&amp;FDR[[#Headers],[28]],FDR[28],"",0,1)</f>
        <v>5</v>
      </c>
      <c r="AO411" cm="1">
        <f t="array" ref="AO411">_xlfn.XLOOKUP(Matrix[[#This Row],[TEAM]]&amp;Matrix[[#Headers],[29]],FDR[FDR]&amp;FDR[[#Headers],[29]],FDR[29],"",0,1)</f>
        <v>4</v>
      </c>
      <c r="AP411" cm="1">
        <f t="array" ref="AP411">_xlfn.XLOOKUP(Matrix[[#This Row],[TEAM]]&amp;Matrix[[#Headers],[30]],FDR[FDR]&amp;FDR[[#Headers],[30]],FDR[30],"",0,1)</f>
        <v>5</v>
      </c>
      <c r="AQ411" cm="1">
        <f t="array" ref="AQ411">_xlfn.XLOOKUP(Matrix[[#This Row],[TEAM]]&amp;Matrix[[#Headers],[31]],FDR[FDR]&amp;FDR[[#Headers],[31]],FDR[31],"",0,1)</f>
        <v>5</v>
      </c>
      <c r="AR411" cm="1">
        <f t="array" ref="AR411">_xlfn.XLOOKUP(Matrix[[#This Row],[TEAM]]&amp;Matrix[[#Headers],[32]],FDR[FDR]&amp;FDR[[#Headers],[32]],FDR[32],"",0,1)</f>
        <v>5</v>
      </c>
      <c r="AS411" cm="1">
        <f t="array" ref="AS411">_xlfn.XLOOKUP(Matrix[[#This Row],[TEAM]]&amp;Matrix[[#Headers],[33]],FDR[FDR]&amp;FDR[[#Headers],[33]],FDR[33],"",0,1)</f>
        <v>5</v>
      </c>
      <c r="AT411" cm="1">
        <f t="array" ref="AT411">_xlfn.XLOOKUP(Matrix[[#This Row],[TEAM]]&amp;Matrix[[#Headers],[34]],FDR[FDR]&amp;FDR[[#Headers],[34]],FDR[34],"",0,1)</f>
        <v>5</v>
      </c>
      <c r="AU411" cm="1">
        <f t="array" ref="AU411">_xlfn.XLOOKUP(Matrix[[#This Row],[TEAM]]&amp;Matrix[[#Headers],[35]],FDR[FDR]&amp;FDR[[#Headers],[35]],FDR[35],"",0,1)</f>
        <v>4</v>
      </c>
      <c r="AV411" cm="1">
        <f t="array" ref="AV411">_xlfn.XLOOKUP(Matrix[[#This Row],[TEAM]]&amp;Matrix[[#Headers],[36]],FDR[FDR]&amp;FDR[[#Headers],[36]],FDR[36],"",0,1)</f>
        <v>5</v>
      </c>
      <c r="AW411" cm="1">
        <f t="array" ref="AW411">_xlfn.XLOOKUP(Matrix[[#This Row],[TEAM]]&amp;Matrix[[#Headers],[37]],FDR[FDR]&amp;FDR[[#Headers],[37]],FDR[37],"",0,1)</f>
        <v>5</v>
      </c>
      <c r="AX411" cm="1">
        <f t="array" ref="AX411">_xlfn.XLOOKUP(Matrix[[#This Row],[TEAM]]&amp;Matrix[[#Headers],[38]],FDR[FDR]&amp;FDR[[#Headers],[38]],FDR[38],"",0,1)</f>
        <v>5</v>
      </c>
    </row>
    <row r="412" spans="1:50" ht="22" thickTop="1" thickBot="1">
      <c r="A412" s="53" t="str">
        <f>INDEX!S$4</f>
        <v>MID</v>
      </c>
      <c r="B412" s="70" t="s">
        <v>1760</v>
      </c>
      <c r="C412" s="40" t="s">
        <v>634</v>
      </c>
      <c r="D412" s="62">
        <v>0</v>
      </c>
      <c r="E412" s="60">
        <v>1E-3</v>
      </c>
      <c r="F412" s="61">
        <v>0</v>
      </c>
      <c r="G412" s="63">
        <v>4.5</v>
      </c>
      <c r="H412" s="261">
        <f>IF(ISBLANK(I412),0,1)</f>
        <v>0</v>
      </c>
      <c r="I412" s="57"/>
      <c r="J412" s="58"/>
      <c r="K412" s="59" t="s">
        <v>415</v>
      </c>
      <c r="L412" s="59" t="s">
        <v>1166</v>
      </c>
      <c r="M412" cm="1">
        <f t="array" ref="M412">_xlfn.XLOOKUP(Matrix[[#This Row],[TEAM]]&amp;Matrix[[#Headers],[1]],FDR[FDR]&amp;FDR[[#Headers],[1]],FDR[1],"",0,1)</f>
        <v>4</v>
      </c>
      <c r="N412" cm="1">
        <f t="array" ref="N412">_xlfn.XLOOKUP(Matrix[[#This Row],[TEAM]]&amp;Matrix[[#Headers],[2]],FDR[FDR]&amp;FDR[[#Headers],[2]],FDR[2],"",0,1)</f>
        <v>4</v>
      </c>
      <c r="O412" cm="1">
        <f t="array" ref="O412">_xlfn.XLOOKUP(Matrix[[#This Row],[TEAM]]&amp;Matrix[[#Headers],[3]],FDR[FDR]&amp;FDR[[#Headers],[3]],FDR[3],"",0,1)</f>
        <v>4</v>
      </c>
      <c r="P412" cm="1">
        <f t="array" ref="P412">_xlfn.XLOOKUP(Matrix[[#This Row],[TEAM]]&amp;Matrix[[#Headers],[4]],FDR[FDR]&amp;FDR[[#Headers],[4]],FDR[4],"",0,1)</f>
        <v>5</v>
      </c>
      <c r="Q412" cm="1">
        <f t="array" ref="Q412">_xlfn.XLOOKUP(Matrix[[#This Row],[TEAM]]&amp;Matrix[[#Headers],[5]],FDR[FDR]&amp;FDR[[#Headers],[5]],FDR[5],"",0,1)</f>
        <v>5</v>
      </c>
      <c r="R412" cm="1">
        <f t="array" ref="R412">_xlfn.XLOOKUP(Matrix[[#This Row],[TEAM]]&amp;Matrix[[#Headers],[6]],FDR[FDR]&amp;FDR[[#Headers],[6]],FDR[6],"",0,1)</f>
        <v>5</v>
      </c>
      <c r="S412" cm="1">
        <f t="array" ref="S412">_xlfn.XLOOKUP(Matrix[[#This Row],[TEAM]]&amp;Matrix[[#Headers],[7]],FDR[FDR]&amp;FDR[[#Headers],[7]],FDR[7],"",0,1)</f>
        <v>5</v>
      </c>
      <c r="T412" cm="1">
        <f t="array" ref="T412">_xlfn.XLOOKUP(Matrix[[#This Row],[TEAM]]&amp;Matrix[[#Headers],[8]],FDR[FDR]&amp;FDR[[#Headers],[8]],FDR[8],"",0,1)</f>
        <v>3</v>
      </c>
      <c r="U412" cm="1">
        <f t="array" ref="U412">_xlfn.XLOOKUP(Matrix[[#This Row],[TEAM]]&amp;Matrix[[#Headers],[9]],FDR[FDR]&amp;FDR[[#Headers],[9]],FDR[9],"",0,1)</f>
        <v>5</v>
      </c>
      <c r="V412" cm="1">
        <f t="array" ref="V412">_xlfn.XLOOKUP(Matrix[[#This Row],[TEAM]]&amp;Matrix[[#Headers],[10]],FDR[FDR]&amp;FDR[[#Headers],[10]],FDR[10],"",0,1)</f>
        <v>4</v>
      </c>
      <c r="W412" cm="1">
        <f t="array" ref="W412">_xlfn.XLOOKUP(Matrix[[#This Row],[TEAM]]&amp;Matrix[[#Headers],[11]],FDR[FDR]&amp;FDR[[#Headers],[11]],FDR[11],"",0,1)</f>
        <v>5</v>
      </c>
      <c r="X412" cm="1">
        <f t="array" ref="X412">_xlfn.XLOOKUP(Matrix[[#This Row],[TEAM]]&amp;Matrix[[#Headers],[12]],FDR[FDR]&amp;FDR[[#Headers],[12]],FDR[12],"",0,1)</f>
        <v>5</v>
      </c>
      <c r="Y412" cm="1">
        <f t="array" ref="Y412">_xlfn.XLOOKUP(Matrix[[#This Row],[TEAM]]&amp;Matrix[[#Headers],[13]],FDR[FDR]&amp;FDR[[#Headers],[13]],FDR[13],"",0,1)</f>
        <v>5</v>
      </c>
      <c r="Z412" cm="1">
        <f t="array" ref="Z412">_xlfn.XLOOKUP(Matrix[[#This Row],[TEAM]]&amp;Matrix[[#Headers],[14]],FDR[FDR]&amp;FDR[[#Headers],[14]],FDR[14],"",0,1)</f>
        <v>5</v>
      </c>
      <c r="AA412" cm="1">
        <f t="array" ref="AA412">_xlfn.XLOOKUP(Matrix[[#This Row],[TEAM]]&amp;Matrix[[#Headers],[15]],FDR[FDR]&amp;FDR[[#Headers],[15]],FDR[15],"",0,1)</f>
        <v>5</v>
      </c>
      <c r="AB412" cm="1">
        <f t="array" ref="AB412">_xlfn.XLOOKUP(Matrix[[#This Row],[TEAM]]&amp;Matrix[[#Headers],[16]],FDR[FDR]&amp;FDR[[#Headers],[16]],FDR[16],"",0,1)</f>
        <v>5</v>
      </c>
      <c r="AC412" cm="1">
        <f t="array" ref="AC412">_xlfn.XLOOKUP(Matrix[[#This Row],[TEAM]]&amp;Matrix[[#Headers],[17]],FDR[FDR]&amp;FDR[[#Headers],[17]],FDR[17],"",0,1)</f>
        <v>5</v>
      </c>
      <c r="AD412" cm="1">
        <f t="array" ref="AD412">_xlfn.XLOOKUP(Matrix[[#This Row],[TEAM]]&amp;Matrix[[#Headers],[18]],FDR[FDR]&amp;FDR[[#Headers],[18]],FDR[18],"",0,1)</f>
        <v>3</v>
      </c>
      <c r="AE412" cm="1">
        <f t="array" ref="AE412">_xlfn.XLOOKUP(Matrix[[#This Row],[TEAM]]&amp;Matrix[[#Headers],[19]],FDR[FDR]&amp;FDR[[#Headers],[19]],FDR[19],"",0,1)</f>
        <v>5</v>
      </c>
      <c r="AF412" cm="1">
        <f t="array" ref="AF412">_xlfn.XLOOKUP(Matrix[[#This Row],[TEAM]]&amp;Matrix[[#Headers],[20]],FDR[FDR]&amp;FDR[[#Headers],[20]],FDR[20],"",0,1)</f>
        <v>5</v>
      </c>
      <c r="AG412" cm="1">
        <f t="array" ref="AG412">_xlfn.XLOOKUP(Matrix[[#This Row],[TEAM]]&amp;Matrix[[#Headers],[21]],FDR[FDR]&amp;FDR[[#Headers],[21]],FDR[21],"",0,1)</f>
        <v>5</v>
      </c>
      <c r="AH412" cm="1">
        <f t="array" ref="AH412">_xlfn.XLOOKUP(Matrix[[#This Row],[TEAM]]&amp;Matrix[[#Headers],[22]],FDR[FDR]&amp;FDR[[#Headers],[22]],FDR[22],"",0,1)</f>
        <v>4</v>
      </c>
      <c r="AI412" cm="1">
        <f t="array" ref="AI412">_xlfn.XLOOKUP(Matrix[[#This Row],[TEAM]]&amp;Matrix[[#Headers],[23]],FDR[FDR]&amp;FDR[[#Headers],[23]],FDR[23],"",0,1)</f>
        <v>5</v>
      </c>
      <c r="AJ412" cm="1">
        <f t="array" ref="AJ412">_xlfn.XLOOKUP(Matrix[[#This Row],[TEAM]]&amp;Matrix[[#Headers],[24]],FDR[FDR]&amp;FDR[[#Headers],[24]],FDR[24],"",0,1)</f>
        <v>3</v>
      </c>
      <c r="AK412" cm="1">
        <f t="array" ref="AK412">_xlfn.XLOOKUP(Matrix[[#This Row],[TEAM]]&amp;Matrix[[#Headers],[25]],FDR[FDR]&amp;FDR[[#Headers],[25]],FDR[25],"",0,1)</f>
        <v>5</v>
      </c>
      <c r="AL412" cm="1">
        <f t="array" ref="AL412">_xlfn.XLOOKUP(Matrix[[#This Row],[TEAM]]&amp;Matrix[[#Headers],[26]],FDR[FDR]&amp;FDR[[#Headers],[26]],FDR[26],"",0,1)</f>
        <v>5</v>
      </c>
      <c r="AM412" cm="1">
        <f t="array" ref="AM412">_xlfn.XLOOKUP(Matrix[[#This Row],[TEAM]]&amp;Matrix[[#Headers],[27]],FDR[FDR]&amp;FDR[[#Headers],[27]],FDR[27],"",0,1)</f>
        <v>5</v>
      </c>
      <c r="AN412" cm="1">
        <f t="array" ref="AN412">_xlfn.XLOOKUP(Matrix[[#This Row],[TEAM]]&amp;Matrix[[#Headers],[28]],FDR[FDR]&amp;FDR[[#Headers],[28]],FDR[28],"",0,1)</f>
        <v>5</v>
      </c>
      <c r="AO412" cm="1">
        <f t="array" ref="AO412">_xlfn.XLOOKUP(Matrix[[#This Row],[TEAM]]&amp;Matrix[[#Headers],[29]],FDR[FDR]&amp;FDR[[#Headers],[29]],FDR[29],"",0,1)</f>
        <v>4</v>
      </c>
      <c r="AP412" cm="1">
        <f t="array" ref="AP412">_xlfn.XLOOKUP(Matrix[[#This Row],[TEAM]]&amp;Matrix[[#Headers],[30]],FDR[FDR]&amp;FDR[[#Headers],[30]],FDR[30],"",0,1)</f>
        <v>5</v>
      </c>
      <c r="AQ412" cm="1">
        <f t="array" ref="AQ412">_xlfn.XLOOKUP(Matrix[[#This Row],[TEAM]]&amp;Matrix[[#Headers],[31]],FDR[FDR]&amp;FDR[[#Headers],[31]],FDR[31],"",0,1)</f>
        <v>5</v>
      </c>
      <c r="AR412" cm="1">
        <f t="array" ref="AR412">_xlfn.XLOOKUP(Matrix[[#This Row],[TEAM]]&amp;Matrix[[#Headers],[32]],FDR[FDR]&amp;FDR[[#Headers],[32]],FDR[32],"",0,1)</f>
        <v>5</v>
      </c>
      <c r="AS412" cm="1">
        <f t="array" ref="AS412">_xlfn.XLOOKUP(Matrix[[#This Row],[TEAM]]&amp;Matrix[[#Headers],[33]],FDR[FDR]&amp;FDR[[#Headers],[33]],FDR[33],"",0,1)</f>
        <v>5</v>
      </c>
      <c r="AT412" cm="1">
        <f t="array" ref="AT412">_xlfn.XLOOKUP(Matrix[[#This Row],[TEAM]]&amp;Matrix[[#Headers],[34]],FDR[FDR]&amp;FDR[[#Headers],[34]],FDR[34],"",0,1)</f>
        <v>5</v>
      </c>
      <c r="AU412" cm="1">
        <f t="array" ref="AU412">_xlfn.XLOOKUP(Matrix[[#This Row],[TEAM]]&amp;Matrix[[#Headers],[35]],FDR[FDR]&amp;FDR[[#Headers],[35]],FDR[35],"",0,1)</f>
        <v>4</v>
      </c>
      <c r="AV412" cm="1">
        <f t="array" ref="AV412">_xlfn.XLOOKUP(Matrix[[#This Row],[TEAM]]&amp;Matrix[[#Headers],[36]],FDR[FDR]&amp;FDR[[#Headers],[36]],FDR[36],"",0,1)</f>
        <v>5</v>
      </c>
      <c r="AW412" cm="1">
        <f t="array" ref="AW412">_xlfn.XLOOKUP(Matrix[[#This Row],[TEAM]]&amp;Matrix[[#Headers],[37]],FDR[FDR]&amp;FDR[[#Headers],[37]],FDR[37],"",0,1)</f>
        <v>5</v>
      </c>
      <c r="AX412" cm="1">
        <f t="array" ref="AX412">_xlfn.XLOOKUP(Matrix[[#This Row],[TEAM]]&amp;Matrix[[#Headers],[38]],FDR[FDR]&amp;FDR[[#Headers],[38]],FDR[38],"",0,1)</f>
        <v>5</v>
      </c>
    </row>
    <row r="413" spans="1:50" ht="22" thickTop="1" thickBot="1">
      <c r="A413" s="53" t="str">
        <f>INDEX!S$4</f>
        <v>MID</v>
      </c>
      <c r="B413" s="70" t="s">
        <v>1759</v>
      </c>
      <c r="C413" s="40" t="s">
        <v>634</v>
      </c>
      <c r="D413" s="62">
        <v>0</v>
      </c>
      <c r="E413" s="60">
        <v>1E-3</v>
      </c>
      <c r="F413" s="61">
        <v>0</v>
      </c>
      <c r="G413" s="63">
        <v>4.5</v>
      </c>
      <c r="H413" s="261">
        <f>IF(ISBLANK(I413),0,1)</f>
        <v>0</v>
      </c>
      <c r="I413" s="57"/>
      <c r="J413" s="58"/>
      <c r="K413" s="59" t="s">
        <v>1187</v>
      </c>
      <c r="L413" s="59" t="s">
        <v>1168</v>
      </c>
      <c r="M413" cm="1">
        <f t="array" ref="M413">_xlfn.XLOOKUP(Matrix[[#This Row],[TEAM]]&amp;Matrix[[#Headers],[1]],FDR[FDR]&amp;FDR[[#Headers],[1]],FDR[1],"",0,1)</f>
        <v>4</v>
      </c>
      <c r="N413" cm="1">
        <f t="array" ref="N413">_xlfn.XLOOKUP(Matrix[[#This Row],[TEAM]]&amp;Matrix[[#Headers],[2]],FDR[FDR]&amp;FDR[[#Headers],[2]],FDR[2],"",0,1)</f>
        <v>4</v>
      </c>
      <c r="O413" cm="1">
        <f t="array" ref="O413">_xlfn.XLOOKUP(Matrix[[#This Row],[TEAM]]&amp;Matrix[[#Headers],[3]],FDR[FDR]&amp;FDR[[#Headers],[3]],FDR[3],"",0,1)</f>
        <v>4</v>
      </c>
      <c r="P413" cm="1">
        <f t="array" ref="P413">_xlfn.XLOOKUP(Matrix[[#This Row],[TEAM]]&amp;Matrix[[#Headers],[4]],FDR[FDR]&amp;FDR[[#Headers],[4]],FDR[4],"",0,1)</f>
        <v>5</v>
      </c>
      <c r="Q413" cm="1">
        <f t="array" ref="Q413">_xlfn.XLOOKUP(Matrix[[#This Row],[TEAM]]&amp;Matrix[[#Headers],[5]],FDR[FDR]&amp;FDR[[#Headers],[5]],FDR[5],"",0,1)</f>
        <v>5</v>
      </c>
      <c r="R413" cm="1">
        <f t="array" ref="R413">_xlfn.XLOOKUP(Matrix[[#This Row],[TEAM]]&amp;Matrix[[#Headers],[6]],FDR[FDR]&amp;FDR[[#Headers],[6]],FDR[6],"",0,1)</f>
        <v>5</v>
      </c>
      <c r="S413" cm="1">
        <f t="array" ref="S413">_xlfn.XLOOKUP(Matrix[[#This Row],[TEAM]]&amp;Matrix[[#Headers],[7]],FDR[FDR]&amp;FDR[[#Headers],[7]],FDR[7],"",0,1)</f>
        <v>5</v>
      </c>
      <c r="T413" cm="1">
        <f t="array" ref="T413">_xlfn.XLOOKUP(Matrix[[#This Row],[TEAM]]&amp;Matrix[[#Headers],[8]],FDR[FDR]&amp;FDR[[#Headers],[8]],FDR[8],"",0,1)</f>
        <v>3</v>
      </c>
      <c r="U413" cm="1">
        <f t="array" ref="U413">_xlfn.XLOOKUP(Matrix[[#This Row],[TEAM]]&amp;Matrix[[#Headers],[9]],FDR[FDR]&amp;FDR[[#Headers],[9]],FDR[9],"",0,1)</f>
        <v>5</v>
      </c>
      <c r="V413" cm="1">
        <f t="array" ref="V413">_xlfn.XLOOKUP(Matrix[[#This Row],[TEAM]]&amp;Matrix[[#Headers],[10]],FDR[FDR]&amp;FDR[[#Headers],[10]],FDR[10],"",0,1)</f>
        <v>4</v>
      </c>
      <c r="W413" cm="1">
        <f t="array" ref="W413">_xlfn.XLOOKUP(Matrix[[#This Row],[TEAM]]&amp;Matrix[[#Headers],[11]],FDR[FDR]&amp;FDR[[#Headers],[11]],FDR[11],"",0,1)</f>
        <v>5</v>
      </c>
      <c r="X413" cm="1">
        <f t="array" ref="X413">_xlfn.XLOOKUP(Matrix[[#This Row],[TEAM]]&amp;Matrix[[#Headers],[12]],FDR[FDR]&amp;FDR[[#Headers],[12]],FDR[12],"",0,1)</f>
        <v>5</v>
      </c>
      <c r="Y413" cm="1">
        <f t="array" ref="Y413">_xlfn.XLOOKUP(Matrix[[#This Row],[TEAM]]&amp;Matrix[[#Headers],[13]],FDR[FDR]&amp;FDR[[#Headers],[13]],FDR[13],"",0,1)</f>
        <v>5</v>
      </c>
      <c r="Z413" cm="1">
        <f t="array" ref="Z413">_xlfn.XLOOKUP(Matrix[[#This Row],[TEAM]]&amp;Matrix[[#Headers],[14]],FDR[FDR]&amp;FDR[[#Headers],[14]],FDR[14],"",0,1)</f>
        <v>5</v>
      </c>
      <c r="AA413" cm="1">
        <f t="array" ref="AA413">_xlfn.XLOOKUP(Matrix[[#This Row],[TEAM]]&amp;Matrix[[#Headers],[15]],FDR[FDR]&amp;FDR[[#Headers],[15]],FDR[15],"",0,1)</f>
        <v>5</v>
      </c>
      <c r="AB413" cm="1">
        <f t="array" ref="AB413">_xlfn.XLOOKUP(Matrix[[#This Row],[TEAM]]&amp;Matrix[[#Headers],[16]],FDR[FDR]&amp;FDR[[#Headers],[16]],FDR[16],"",0,1)</f>
        <v>5</v>
      </c>
      <c r="AC413" cm="1">
        <f t="array" ref="AC413">_xlfn.XLOOKUP(Matrix[[#This Row],[TEAM]]&amp;Matrix[[#Headers],[17]],FDR[FDR]&amp;FDR[[#Headers],[17]],FDR[17],"",0,1)</f>
        <v>5</v>
      </c>
      <c r="AD413" cm="1">
        <f t="array" ref="AD413">_xlfn.XLOOKUP(Matrix[[#This Row],[TEAM]]&amp;Matrix[[#Headers],[18]],FDR[FDR]&amp;FDR[[#Headers],[18]],FDR[18],"",0,1)</f>
        <v>3</v>
      </c>
      <c r="AE413" cm="1">
        <f t="array" ref="AE413">_xlfn.XLOOKUP(Matrix[[#This Row],[TEAM]]&amp;Matrix[[#Headers],[19]],FDR[FDR]&amp;FDR[[#Headers],[19]],FDR[19],"",0,1)</f>
        <v>5</v>
      </c>
      <c r="AF413" cm="1">
        <f t="array" ref="AF413">_xlfn.XLOOKUP(Matrix[[#This Row],[TEAM]]&amp;Matrix[[#Headers],[20]],FDR[FDR]&amp;FDR[[#Headers],[20]],FDR[20],"",0,1)</f>
        <v>5</v>
      </c>
      <c r="AG413" cm="1">
        <f t="array" ref="AG413">_xlfn.XLOOKUP(Matrix[[#This Row],[TEAM]]&amp;Matrix[[#Headers],[21]],FDR[FDR]&amp;FDR[[#Headers],[21]],FDR[21],"",0,1)</f>
        <v>5</v>
      </c>
      <c r="AH413" cm="1">
        <f t="array" ref="AH413">_xlfn.XLOOKUP(Matrix[[#This Row],[TEAM]]&amp;Matrix[[#Headers],[22]],FDR[FDR]&amp;FDR[[#Headers],[22]],FDR[22],"",0,1)</f>
        <v>4</v>
      </c>
      <c r="AI413" cm="1">
        <f t="array" ref="AI413">_xlfn.XLOOKUP(Matrix[[#This Row],[TEAM]]&amp;Matrix[[#Headers],[23]],FDR[FDR]&amp;FDR[[#Headers],[23]],FDR[23],"",0,1)</f>
        <v>5</v>
      </c>
      <c r="AJ413" cm="1">
        <f t="array" ref="AJ413">_xlfn.XLOOKUP(Matrix[[#This Row],[TEAM]]&amp;Matrix[[#Headers],[24]],FDR[FDR]&amp;FDR[[#Headers],[24]],FDR[24],"",0,1)</f>
        <v>3</v>
      </c>
      <c r="AK413" cm="1">
        <f t="array" ref="AK413">_xlfn.XLOOKUP(Matrix[[#This Row],[TEAM]]&amp;Matrix[[#Headers],[25]],FDR[FDR]&amp;FDR[[#Headers],[25]],FDR[25],"",0,1)</f>
        <v>5</v>
      </c>
      <c r="AL413" cm="1">
        <f t="array" ref="AL413">_xlfn.XLOOKUP(Matrix[[#This Row],[TEAM]]&amp;Matrix[[#Headers],[26]],FDR[FDR]&amp;FDR[[#Headers],[26]],FDR[26],"",0,1)</f>
        <v>5</v>
      </c>
      <c r="AM413" cm="1">
        <f t="array" ref="AM413">_xlfn.XLOOKUP(Matrix[[#This Row],[TEAM]]&amp;Matrix[[#Headers],[27]],FDR[FDR]&amp;FDR[[#Headers],[27]],FDR[27],"",0,1)</f>
        <v>5</v>
      </c>
      <c r="AN413" cm="1">
        <f t="array" ref="AN413">_xlfn.XLOOKUP(Matrix[[#This Row],[TEAM]]&amp;Matrix[[#Headers],[28]],FDR[FDR]&amp;FDR[[#Headers],[28]],FDR[28],"",0,1)</f>
        <v>5</v>
      </c>
      <c r="AO413" cm="1">
        <f t="array" ref="AO413">_xlfn.XLOOKUP(Matrix[[#This Row],[TEAM]]&amp;Matrix[[#Headers],[29]],FDR[FDR]&amp;FDR[[#Headers],[29]],FDR[29],"",0,1)</f>
        <v>4</v>
      </c>
      <c r="AP413" cm="1">
        <f t="array" ref="AP413">_xlfn.XLOOKUP(Matrix[[#This Row],[TEAM]]&amp;Matrix[[#Headers],[30]],FDR[FDR]&amp;FDR[[#Headers],[30]],FDR[30],"",0,1)</f>
        <v>5</v>
      </c>
      <c r="AQ413" cm="1">
        <f t="array" ref="AQ413">_xlfn.XLOOKUP(Matrix[[#This Row],[TEAM]]&amp;Matrix[[#Headers],[31]],FDR[FDR]&amp;FDR[[#Headers],[31]],FDR[31],"",0,1)</f>
        <v>5</v>
      </c>
      <c r="AR413" cm="1">
        <f t="array" ref="AR413">_xlfn.XLOOKUP(Matrix[[#This Row],[TEAM]]&amp;Matrix[[#Headers],[32]],FDR[FDR]&amp;FDR[[#Headers],[32]],FDR[32],"",0,1)</f>
        <v>5</v>
      </c>
      <c r="AS413" cm="1">
        <f t="array" ref="AS413">_xlfn.XLOOKUP(Matrix[[#This Row],[TEAM]]&amp;Matrix[[#Headers],[33]],FDR[FDR]&amp;FDR[[#Headers],[33]],FDR[33],"",0,1)</f>
        <v>5</v>
      </c>
      <c r="AT413" cm="1">
        <f t="array" ref="AT413">_xlfn.XLOOKUP(Matrix[[#This Row],[TEAM]]&amp;Matrix[[#Headers],[34]],FDR[FDR]&amp;FDR[[#Headers],[34]],FDR[34],"",0,1)</f>
        <v>5</v>
      </c>
      <c r="AU413" cm="1">
        <f t="array" ref="AU413">_xlfn.XLOOKUP(Matrix[[#This Row],[TEAM]]&amp;Matrix[[#Headers],[35]],FDR[FDR]&amp;FDR[[#Headers],[35]],FDR[35],"",0,1)</f>
        <v>4</v>
      </c>
      <c r="AV413" cm="1">
        <f t="array" ref="AV413">_xlfn.XLOOKUP(Matrix[[#This Row],[TEAM]]&amp;Matrix[[#Headers],[36]],FDR[FDR]&amp;FDR[[#Headers],[36]],FDR[36],"",0,1)</f>
        <v>5</v>
      </c>
      <c r="AW413" cm="1">
        <f t="array" ref="AW413">_xlfn.XLOOKUP(Matrix[[#This Row],[TEAM]]&amp;Matrix[[#Headers],[37]],FDR[FDR]&amp;FDR[[#Headers],[37]],FDR[37],"",0,1)</f>
        <v>5</v>
      </c>
      <c r="AX413" cm="1">
        <f t="array" ref="AX413">_xlfn.XLOOKUP(Matrix[[#This Row],[TEAM]]&amp;Matrix[[#Headers],[38]],FDR[FDR]&amp;FDR[[#Headers],[38]],FDR[38],"",0,1)</f>
        <v>5</v>
      </c>
    </row>
    <row r="414" spans="1:50" ht="22" thickTop="1" thickBot="1">
      <c r="A414" s="50" t="str">
        <f>INDEX!S$4</f>
        <v>MID</v>
      </c>
      <c r="B414" s="70" t="s">
        <v>1761</v>
      </c>
      <c r="C414" s="40" t="s">
        <v>634</v>
      </c>
      <c r="D414" s="62">
        <v>0</v>
      </c>
      <c r="E414" s="60">
        <v>1E-3</v>
      </c>
      <c r="F414" s="61">
        <v>0</v>
      </c>
      <c r="G414" s="63">
        <v>4.5</v>
      </c>
      <c r="H414" s="261">
        <f>IF(ISBLANK(I414),0,1)</f>
        <v>0</v>
      </c>
      <c r="I414" s="57"/>
      <c r="J414" s="58"/>
      <c r="K414" s="59" t="s">
        <v>1186</v>
      </c>
      <c r="L414" s="59" t="s">
        <v>1165</v>
      </c>
      <c r="M414" cm="1">
        <f t="array" ref="M414">_xlfn.XLOOKUP(Matrix[[#This Row],[TEAM]]&amp;Matrix[[#Headers],[1]],FDR[FDR]&amp;FDR[[#Headers],[1]],FDR[1],"",0,1)</f>
        <v>4</v>
      </c>
      <c r="N414" cm="1">
        <f t="array" ref="N414">_xlfn.XLOOKUP(Matrix[[#This Row],[TEAM]]&amp;Matrix[[#Headers],[2]],FDR[FDR]&amp;FDR[[#Headers],[2]],FDR[2],"",0,1)</f>
        <v>4</v>
      </c>
      <c r="O414" cm="1">
        <f t="array" ref="O414">_xlfn.XLOOKUP(Matrix[[#This Row],[TEAM]]&amp;Matrix[[#Headers],[3]],FDR[FDR]&amp;FDR[[#Headers],[3]],FDR[3],"",0,1)</f>
        <v>4</v>
      </c>
      <c r="P414" cm="1">
        <f t="array" ref="P414">_xlfn.XLOOKUP(Matrix[[#This Row],[TEAM]]&amp;Matrix[[#Headers],[4]],FDR[FDR]&amp;FDR[[#Headers],[4]],FDR[4],"",0,1)</f>
        <v>5</v>
      </c>
      <c r="Q414" cm="1">
        <f t="array" ref="Q414">_xlfn.XLOOKUP(Matrix[[#This Row],[TEAM]]&amp;Matrix[[#Headers],[5]],FDR[FDR]&amp;FDR[[#Headers],[5]],FDR[5],"",0,1)</f>
        <v>5</v>
      </c>
      <c r="R414" cm="1">
        <f t="array" ref="R414">_xlfn.XLOOKUP(Matrix[[#This Row],[TEAM]]&amp;Matrix[[#Headers],[6]],FDR[FDR]&amp;FDR[[#Headers],[6]],FDR[6],"",0,1)</f>
        <v>5</v>
      </c>
      <c r="S414" cm="1">
        <f t="array" ref="S414">_xlfn.XLOOKUP(Matrix[[#This Row],[TEAM]]&amp;Matrix[[#Headers],[7]],FDR[FDR]&amp;FDR[[#Headers],[7]],FDR[7],"",0,1)</f>
        <v>5</v>
      </c>
      <c r="T414" cm="1">
        <f t="array" ref="T414">_xlfn.XLOOKUP(Matrix[[#This Row],[TEAM]]&amp;Matrix[[#Headers],[8]],FDR[FDR]&amp;FDR[[#Headers],[8]],FDR[8],"",0,1)</f>
        <v>3</v>
      </c>
      <c r="U414" cm="1">
        <f t="array" ref="U414">_xlfn.XLOOKUP(Matrix[[#This Row],[TEAM]]&amp;Matrix[[#Headers],[9]],FDR[FDR]&amp;FDR[[#Headers],[9]],FDR[9],"",0,1)</f>
        <v>5</v>
      </c>
      <c r="V414" cm="1">
        <f t="array" ref="V414">_xlfn.XLOOKUP(Matrix[[#This Row],[TEAM]]&amp;Matrix[[#Headers],[10]],FDR[FDR]&amp;FDR[[#Headers],[10]],FDR[10],"",0,1)</f>
        <v>4</v>
      </c>
      <c r="W414" cm="1">
        <f t="array" ref="W414">_xlfn.XLOOKUP(Matrix[[#This Row],[TEAM]]&amp;Matrix[[#Headers],[11]],FDR[FDR]&amp;FDR[[#Headers],[11]],FDR[11],"",0,1)</f>
        <v>5</v>
      </c>
      <c r="X414" cm="1">
        <f t="array" ref="X414">_xlfn.XLOOKUP(Matrix[[#This Row],[TEAM]]&amp;Matrix[[#Headers],[12]],FDR[FDR]&amp;FDR[[#Headers],[12]],FDR[12],"",0,1)</f>
        <v>5</v>
      </c>
      <c r="Y414" cm="1">
        <f t="array" ref="Y414">_xlfn.XLOOKUP(Matrix[[#This Row],[TEAM]]&amp;Matrix[[#Headers],[13]],FDR[FDR]&amp;FDR[[#Headers],[13]],FDR[13],"",0,1)</f>
        <v>5</v>
      </c>
      <c r="Z414" cm="1">
        <f t="array" ref="Z414">_xlfn.XLOOKUP(Matrix[[#This Row],[TEAM]]&amp;Matrix[[#Headers],[14]],FDR[FDR]&amp;FDR[[#Headers],[14]],FDR[14],"",0,1)</f>
        <v>5</v>
      </c>
      <c r="AA414" cm="1">
        <f t="array" ref="AA414">_xlfn.XLOOKUP(Matrix[[#This Row],[TEAM]]&amp;Matrix[[#Headers],[15]],FDR[FDR]&amp;FDR[[#Headers],[15]],FDR[15],"",0,1)</f>
        <v>5</v>
      </c>
      <c r="AB414" cm="1">
        <f t="array" ref="AB414">_xlfn.XLOOKUP(Matrix[[#This Row],[TEAM]]&amp;Matrix[[#Headers],[16]],FDR[FDR]&amp;FDR[[#Headers],[16]],FDR[16],"",0,1)</f>
        <v>5</v>
      </c>
      <c r="AC414" cm="1">
        <f t="array" ref="AC414">_xlfn.XLOOKUP(Matrix[[#This Row],[TEAM]]&amp;Matrix[[#Headers],[17]],FDR[FDR]&amp;FDR[[#Headers],[17]],FDR[17],"",0,1)</f>
        <v>5</v>
      </c>
      <c r="AD414" cm="1">
        <f t="array" ref="AD414">_xlfn.XLOOKUP(Matrix[[#This Row],[TEAM]]&amp;Matrix[[#Headers],[18]],FDR[FDR]&amp;FDR[[#Headers],[18]],FDR[18],"",0,1)</f>
        <v>3</v>
      </c>
      <c r="AE414" cm="1">
        <f t="array" ref="AE414">_xlfn.XLOOKUP(Matrix[[#This Row],[TEAM]]&amp;Matrix[[#Headers],[19]],FDR[FDR]&amp;FDR[[#Headers],[19]],FDR[19],"",0,1)</f>
        <v>5</v>
      </c>
      <c r="AF414" cm="1">
        <f t="array" ref="AF414">_xlfn.XLOOKUP(Matrix[[#This Row],[TEAM]]&amp;Matrix[[#Headers],[20]],FDR[FDR]&amp;FDR[[#Headers],[20]],FDR[20],"",0,1)</f>
        <v>5</v>
      </c>
      <c r="AG414" cm="1">
        <f t="array" ref="AG414">_xlfn.XLOOKUP(Matrix[[#This Row],[TEAM]]&amp;Matrix[[#Headers],[21]],FDR[FDR]&amp;FDR[[#Headers],[21]],FDR[21],"",0,1)</f>
        <v>5</v>
      </c>
      <c r="AH414" cm="1">
        <f t="array" ref="AH414">_xlfn.XLOOKUP(Matrix[[#This Row],[TEAM]]&amp;Matrix[[#Headers],[22]],FDR[FDR]&amp;FDR[[#Headers],[22]],FDR[22],"",0,1)</f>
        <v>4</v>
      </c>
      <c r="AI414" cm="1">
        <f t="array" ref="AI414">_xlfn.XLOOKUP(Matrix[[#This Row],[TEAM]]&amp;Matrix[[#Headers],[23]],FDR[FDR]&amp;FDR[[#Headers],[23]],FDR[23],"",0,1)</f>
        <v>5</v>
      </c>
      <c r="AJ414" cm="1">
        <f t="array" ref="AJ414">_xlfn.XLOOKUP(Matrix[[#This Row],[TEAM]]&amp;Matrix[[#Headers],[24]],FDR[FDR]&amp;FDR[[#Headers],[24]],FDR[24],"",0,1)</f>
        <v>3</v>
      </c>
      <c r="AK414" cm="1">
        <f t="array" ref="AK414">_xlfn.XLOOKUP(Matrix[[#This Row],[TEAM]]&amp;Matrix[[#Headers],[25]],FDR[FDR]&amp;FDR[[#Headers],[25]],FDR[25],"",0,1)</f>
        <v>5</v>
      </c>
      <c r="AL414" cm="1">
        <f t="array" ref="AL414">_xlfn.XLOOKUP(Matrix[[#This Row],[TEAM]]&amp;Matrix[[#Headers],[26]],FDR[FDR]&amp;FDR[[#Headers],[26]],FDR[26],"",0,1)</f>
        <v>5</v>
      </c>
      <c r="AM414" cm="1">
        <f t="array" ref="AM414">_xlfn.XLOOKUP(Matrix[[#This Row],[TEAM]]&amp;Matrix[[#Headers],[27]],FDR[FDR]&amp;FDR[[#Headers],[27]],FDR[27],"",0,1)</f>
        <v>5</v>
      </c>
      <c r="AN414" cm="1">
        <f t="array" ref="AN414">_xlfn.XLOOKUP(Matrix[[#This Row],[TEAM]]&amp;Matrix[[#Headers],[28]],FDR[FDR]&amp;FDR[[#Headers],[28]],FDR[28],"",0,1)</f>
        <v>5</v>
      </c>
      <c r="AO414" cm="1">
        <f t="array" ref="AO414">_xlfn.XLOOKUP(Matrix[[#This Row],[TEAM]]&amp;Matrix[[#Headers],[29]],FDR[FDR]&amp;FDR[[#Headers],[29]],FDR[29],"",0,1)</f>
        <v>4</v>
      </c>
      <c r="AP414" cm="1">
        <f t="array" ref="AP414">_xlfn.XLOOKUP(Matrix[[#This Row],[TEAM]]&amp;Matrix[[#Headers],[30]],FDR[FDR]&amp;FDR[[#Headers],[30]],FDR[30],"",0,1)</f>
        <v>5</v>
      </c>
      <c r="AQ414" cm="1">
        <f t="array" ref="AQ414">_xlfn.XLOOKUP(Matrix[[#This Row],[TEAM]]&amp;Matrix[[#Headers],[31]],FDR[FDR]&amp;FDR[[#Headers],[31]],FDR[31],"",0,1)</f>
        <v>5</v>
      </c>
      <c r="AR414" cm="1">
        <f t="array" ref="AR414">_xlfn.XLOOKUP(Matrix[[#This Row],[TEAM]]&amp;Matrix[[#Headers],[32]],FDR[FDR]&amp;FDR[[#Headers],[32]],FDR[32],"",0,1)</f>
        <v>5</v>
      </c>
      <c r="AS414" cm="1">
        <f t="array" ref="AS414">_xlfn.XLOOKUP(Matrix[[#This Row],[TEAM]]&amp;Matrix[[#Headers],[33]],FDR[FDR]&amp;FDR[[#Headers],[33]],FDR[33],"",0,1)</f>
        <v>5</v>
      </c>
      <c r="AT414" cm="1">
        <f t="array" ref="AT414">_xlfn.XLOOKUP(Matrix[[#This Row],[TEAM]]&amp;Matrix[[#Headers],[34]],FDR[FDR]&amp;FDR[[#Headers],[34]],FDR[34],"",0,1)</f>
        <v>5</v>
      </c>
      <c r="AU414" cm="1">
        <f t="array" ref="AU414">_xlfn.XLOOKUP(Matrix[[#This Row],[TEAM]]&amp;Matrix[[#Headers],[35]],FDR[FDR]&amp;FDR[[#Headers],[35]],FDR[35],"",0,1)</f>
        <v>4</v>
      </c>
      <c r="AV414" cm="1">
        <f t="array" ref="AV414">_xlfn.XLOOKUP(Matrix[[#This Row],[TEAM]]&amp;Matrix[[#Headers],[36]],FDR[FDR]&amp;FDR[[#Headers],[36]],FDR[36],"",0,1)</f>
        <v>5</v>
      </c>
      <c r="AW414" cm="1">
        <f t="array" ref="AW414">_xlfn.XLOOKUP(Matrix[[#This Row],[TEAM]]&amp;Matrix[[#Headers],[37]],FDR[FDR]&amp;FDR[[#Headers],[37]],FDR[37],"",0,1)</f>
        <v>5</v>
      </c>
      <c r="AX414" cm="1">
        <f t="array" ref="AX414">_xlfn.XLOOKUP(Matrix[[#This Row],[TEAM]]&amp;Matrix[[#Headers],[38]],FDR[FDR]&amp;FDR[[#Headers],[38]],FDR[38],"",0,1)</f>
        <v>5</v>
      </c>
    </row>
    <row r="415" spans="1:50" ht="22" thickTop="1" thickBot="1">
      <c r="A415" s="50" t="str">
        <f>INDEX!S$4</f>
        <v>MID</v>
      </c>
      <c r="B415" s="70" t="s">
        <v>1716</v>
      </c>
      <c r="C415" s="40" t="s">
        <v>19</v>
      </c>
      <c r="D415" s="62">
        <v>0</v>
      </c>
      <c r="E415" s="60">
        <v>2E-3</v>
      </c>
      <c r="F415" s="61">
        <v>0</v>
      </c>
      <c r="G415" s="63">
        <v>4.5</v>
      </c>
      <c r="H415" s="261">
        <f>IF(ISBLANK(I415),0,1)</f>
        <v>0</v>
      </c>
      <c r="I415" s="57"/>
      <c r="J415" s="58"/>
      <c r="K415" s="59" t="s">
        <v>364</v>
      </c>
      <c r="L415" s="59" t="s">
        <v>1150</v>
      </c>
      <c r="M415" cm="1">
        <f t="array" ref="M415">_xlfn.XLOOKUP(Matrix[[#This Row],[TEAM]]&amp;Matrix[[#Headers],[1]],FDR[FDR]&amp;FDR[[#Headers],[1]],FDR[1],"",0,1)</f>
        <v>1</v>
      </c>
      <c r="N415" cm="1">
        <f t="array" ref="N415">_xlfn.XLOOKUP(Matrix[[#This Row],[TEAM]]&amp;Matrix[[#Headers],[2]],FDR[FDR]&amp;FDR[[#Headers],[2]],FDR[2],"",0,1)</f>
        <v>4</v>
      </c>
      <c r="O415" cm="1">
        <f t="array" ref="O415">_xlfn.XLOOKUP(Matrix[[#This Row],[TEAM]]&amp;Matrix[[#Headers],[3]],FDR[FDR]&amp;FDR[[#Headers],[3]],FDR[3],"",0,1)</f>
        <v>1</v>
      </c>
      <c r="P415" cm="1">
        <f t="array" ref="P415">_xlfn.XLOOKUP(Matrix[[#This Row],[TEAM]]&amp;Matrix[[#Headers],[4]],FDR[FDR]&amp;FDR[[#Headers],[4]],FDR[4],"",0,1)</f>
        <v>2</v>
      </c>
      <c r="Q415" cm="1">
        <f t="array" ref="Q415">_xlfn.XLOOKUP(Matrix[[#This Row],[TEAM]]&amp;Matrix[[#Headers],[5]],FDR[FDR]&amp;FDR[[#Headers],[5]],FDR[5],"",0,1)</f>
        <v>2</v>
      </c>
      <c r="R415" cm="1">
        <f t="array" ref="R415">_xlfn.XLOOKUP(Matrix[[#This Row],[TEAM]]&amp;Matrix[[#Headers],[6]],FDR[FDR]&amp;FDR[[#Headers],[6]],FDR[6],"",0,1)</f>
        <v>1</v>
      </c>
      <c r="S415" cm="1">
        <f t="array" ref="S415">_xlfn.XLOOKUP(Matrix[[#This Row],[TEAM]]&amp;Matrix[[#Headers],[7]],FDR[FDR]&amp;FDR[[#Headers],[7]],FDR[7],"",0,1)</f>
        <v>1</v>
      </c>
      <c r="T415" cm="1">
        <f t="array" ref="T415">_xlfn.XLOOKUP(Matrix[[#This Row],[TEAM]]&amp;Matrix[[#Headers],[8]],FDR[FDR]&amp;FDR[[#Headers],[8]],FDR[8],"",0,1)</f>
        <v>2</v>
      </c>
      <c r="U415" cm="1">
        <f t="array" ref="U415">_xlfn.XLOOKUP(Matrix[[#This Row],[TEAM]]&amp;Matrix[[#Headers],[9]],FDR[FDR]&amp;FDR[[#Headers],[9]],FDR[9],"",0,1)</f>
        <v>2</v>
      </c>
      <c r="V415" cm="1">
        <f t="array" ref="V415">_xlfn.XLOOKUP(Matrix[[#This Row],[TEAM]]&amp;Matrix[[#Headers],[10]],FDR[FDR]&amp;FDR[[#Headers],[10]],FDR[10],"",0,1)</f>
        <v>3</v>
      </c>
      <c r="W415" cm="1">
        <f t="array" ref="W415">_xlfn.XLOOKUP(Matrix[[#This Row],[TEAM]]&amp;Matrix[[#Headers],[11]],FDR[FDR]&amp;FDR[[#Headers],[11]],FDR[11],"",0,1)</f>
        <v>3</v>
      </c>
      <c r="X415" cm="1">
        <f t="array" ref="X415">_xlfn.XLOOKUP(Matrix[[#This Row],[TEAM]]&amp;Matrix[[#Headers],[12]],FDR[FDR]&amp;FDR[[#Headers],[12]],FDR[12],"",0,1)</f>
        <v>4</v>
      </c>
      <c r="Y415" cm="1">
        <f t="array" ref="Y415">_xlfn.XLOOKUP(Matrix[[#This Row],[TEAM]]&amp;Matrix[[#Headers],[13]],FDR[FDR]&amp;FDR[[#Headers],[13]],FDR[13],"",0,1)</f>
        <v>1</v>
      </c>
      <c r="Z415" cm="1">
        <f t="array" ref="Z415">_xlfn.XLOOKUP(Matrix[[#This Row],[TEAM]]&amp;Matrix[[#Headers],[14]],FDR[FDR]&amp;FDR[[#Headers],[14]],FDR[14],"",0,1)</f>
        <v>3</v>
      </c>
      <c r="AA415" cm="1">
        <f t="array" ref="AA415">_xlfn.XLOOKUP(Matrix[[#This Row],[TEAM]]&amp;Matrix[[#Headers],[15]],FDR[FDR]&amp;FDR[[#Headers],[15]],FDR[15],"",0,1)</f>
        <v>1</v>
      </c>
      <c r="AB415" cm="1">
        <f t="array" ref="AB415">_xlfn.XLOOKUP(Matrix[[#This Row],[TEAM]]&amp;Matrix[[#Headers],[16]],FDR[FDR]&amp;FDR[[#Headers],[16]],FDR[16],"",0,1)</f>
        <v>2</v>
      </c>
      <c r="AC415" cm="1">
        <f t="array" ref="AC415">_xlfn.XLOOKUP(Matrix[[#This Row],[TEAM]]&amp;Matrix[[#Headers],[17]],FDR[FDR]&amp;FDR[[#Headers],[17]],FDR[17],"",0,1)</f>
        <v>3</v>
      </c>
      <c r="AD415" cm="1">
        <f t="array" ref="AD415">_xlfn.XLOOKUP(Matrix[[#This Row],[TEAM]]&amp;Matrix[[#Headers],[18]],FDR[FDR]&amp;FDR[[#Headers],[18]],FDR[18],"",0,1)</f>
        <v>2</v>
      </c>
      <c r="AE415" cm="1">
        <f t="array" ref="AE415">_xlfn.XLOOKUP(Matrix[[#This Row],[TEAM]]&amp;Matrix[[#Headers],[19]],FDR[FDR]&amp;FDR[[#Headers],[19]],FDR[19],"",0,1)</f>
        <v>2</v>
      </c>
      <c r="AF415" cm="1">
        <f t="array" ref="AF415">_xlfn.XLOOKUP(Matrix[[#This Row],[TEAM]]&amp;Matrix[[#Headers],[20]],FDR[FDR]&amp;FDR[[#Headers],[20]],FDR[20],"",0,1)</f>
        <v>1</v>
      </c>
      <c r="AG415" cm="1">
        <f t="array" ref="AG415">_xlfn.XLOOKUP(Matrix[[#This Row],[TEAM]]&amp;Matrix[[#Headers],[21]],FDR[FDR]&amp;FDR[[#Headers],[21]],FDR[21],"",0,1)</f>
        <v>2</v>
      </c>
      <c r="AH415" cm="1">
        <f t="array" ref="AH415">_xlfn.XLOOKUP(Matrix[[#This Row],[TEAM]]&amp;Matrix[[#Headers],[22]],FDR[FDR]&amp;FDR[[#Headers],[22]],FDR[22],"",0,1)</f>
        <v>1</v>
      </c>
      <c r="AI415" cm="1">
        <f t="array" ref="AI415">_xlfn.XLOOKUP(Matrix[[#This Row],[TEAM]]&amp;Matrix[[#Headers],[23]],FDR[FDR]&amp;FDR[[#Headers],[23]],FDR[23],"",0,1)</f>
        <v>1</v>
      </c>
      <c r="AJ415" cm="1">
        <f t="array" ref="AJ415">_xlfn.XLOOKUP(Matrix[[#This Row],[TEAM]]&amp;Matrix[[#Headers],[24]],FDR[FDR]&amp;FDR[[#Headers],[24]],FDR[24],"",0,1)</f>
        <v>3</v>
      </c>
      <c r="AK415" cm="1">
        <f t="array" ref="AK415">_xlfn.XLOOKUP(Matrix[[#This Row],[TEAM]]&amp;Matrix[[#Headers],[25]],FDR[FDR]&amp;FDR[[#Headers],[25]],FDR[25],"",0,1)</f>
        <v>4</v>
      </c>
      <c r="AL415" cm="1">
        <f t="array" ref="AL415">_xlfn.XLOOKUP(Matrix[[#This Row],[TEAM]]&amp;Matrix[[#Headers],[26]],FDR[FDR]&amp;FDR[[#Headers],[26]],FDR[26],"",0,1)</f>
        <v>2</v>
      </c>
      <c r="AM415" cm="1">
        <f t="array" ref="AM415">_xlfn.XLOOKUP(Matrix[[#This Row],[TEAM]]&amp;Matrix[[#Headers],[27]],FDR[FDR]&amp;FDR[[#Headers],[27]],FDR[27],"",0,1)</f>
        <v>3</v>
      </c>
      <c r="AN415" cm="1">
        <f t="array" ref="AN415">_xlfn.XLOOKUP(Matrix[[#This Row],[TEAM]]&amp;Matrix[[#Headers],[28]],FDR[FDR]&amp;FDR[[#Headers],[28]],FDR[28],"",0,1)</f>
        <v>2</v>
      </c>
      <c r="AO415" cm="1">
        <f t="array" ref="AO415">_xlfn.XLOOKUP(Matrix[[#This Row],[TEAM]]&amp;Matrix[[#Headers],[29]],FDR[FDR]&amp;FDR[[#Headers],[29]],FDR[29],"",0,1)</f>
        <v>1</v>
      </c>
      <c r="AP415" cm="1">
        <f t="array" ref="AP415">_xlfn.XLOOKUP(Matrix[[#This Row],[TEAM]]&amp;Matrix[[#Headers],[30]],FDR[FDR]&amp;FDR[[#Headers],[30]],FDR[30],"",0,1)</f>
        <v>4</v>
      </c>
      <c r="AQ415" cm="1">
        <f t="array" ref="AQ415">_xlfn.XLOOKUP(Matrix[[#This Row],[TEAM]]&amp;Matrix[[#Headers],[31]],FDR[FDR]&amp;FDR[[#Headers],[31]],FDR[31],"",0,1)</f>
        <v>1</v>
      </c>
      <c r="AR415" cm="1">
        <f t="array" ref="AR415">_xlfn.XLOOKUP(Matrix[[#This Row],[TEAM]]&amp;Matrix[[#Headers],[32]],FDR[FDR]&amp;FDR[[#Headers],[32]],FDR[32],"",0,1)</f>
        <v>1</v>
      </c>
      <c r="AS415" cm="1">
        <f t="array" ref="AS415">_xlfn.XLOOKUP(Matrix[[#This Row],[TEAM]]&amp;Matrix[[#Headers],[33]],FDR[FDR]&amp;FDR[[#Headers],[33]],FDR[33],"",0,1)</f>
        <v>1</v>
      </c>
      <c r="AT415" cm="1">
        <f t="array" ref="AT415">_xlfn.XLOOKUP(Matrix[[#This Row],[TEAM]]&amp;Matrix[[#Headers],[34]],FDR[FDR]&amp;FDR[[#Headers],[34]],FDR[34],"",0,1)</f>
        <v>1</v>
      </c>
      <c r="AU415" cm="1">
        <f t="array" ref="AU415">_xlfn.XLOOKUP(Matrix[[#This Row],[TEAM]]&amp;Matrix[[#Headers],[35]],FDR[FDR]&amp;FDR[[#Headers],[35]],FDR[35],"",0,1)</f>
        <v>3</v>
      </c>
      <c r="AV415" cm="1">
        <f t="array" ref="AV415">_xlfn.XLOOKUP(Matrix[[#This Row],[TEAM]]&amp;Matrix[[#Headers],[36]],FDR[FDR]&amp;FDR[[#Headers],[36]],FDR[36],"",0,1)</f>
        <v>1</v>
      </c>
      <c r="AW415" cm="1">
        <f t="array" ref="AW415">_xlfn.XLOOKUP(Matrix[[#This Row],[TEAM]]&amp;Matrix[[#Headers],[37]],FDR[FDR]&amp;FDR[[#Headers],[37]],FDR[37],"",0,1)</f>
        <v>4</v>
      </c>
      <c r="AX415" cm="1">
        <f t="array" ref="AX415">_xlfn.XLOOKUP(Matrix[[#This Row],[TEAM]]&amp;Matrix[[#Headers],[38]],FDR[FDR]&amp;FDR[[#Headers],[38]],FDR[38],"",0,1)</f>
        <v>1</v>
      </c>
    </row>
    <row r="416" spans="1:50" ht="22" thickTop="1" thickBot="1">
      <c r="A416" s="50" t="str">
        <f>INDEX!S$4</f>
        <v>MID</v>
      </c>
      <c r="B416" s="70" t="s">
        <v>1649</v>
      </c>
      <c r="C416" s="40" t="s">
        <v>27</v>
      </c>
      <c r="D416" s="62">
        <v>0</v>
      </c>
      <c r="E416" s="60">
        <v>8.0000000000000002E-3</v>
      </c>
      <c r="F416" s="61">
        <v>0</v>
      </c>
      <c r="G416" s="63">
        <v>4.5</v>
      </c>
      <c r="H416" s="261">
        <f>IF(ISBLANK(I416),0,1)</f>
        <v>0</v>
      </c>
      <c r="I416" s="57"/>
      <c r="J416" s="58"/>
      <c r="K416" s="59" t="s">
        <v>1089</v>
      </c>
      <c r="L416" s="59" t="s">
        <v>181</v>
      </c>
      <c r="M416" cm="1">
        <f t="array" ref="M416">_xlfn.XLOOKUP(Matrix[[#This Row],[TEAM]]&amp;Matrix[[#Headers],[1]],FDR[FDR]&amp;FDR[[#Headers],[1]],FDR[1],"",0,1)</f>
        <v>2</v>
      </c>
      <c r="N416" cm="1">
        <f t="array" ref="N416">_xlfn.XLOOKUP(Matrix[[#This Row],[TEAM]]&amp;Matrix[[#Headers],[2]],FDR[FDR]&amp;FDR[[#Headers],[2]],FDR[2],"",0,1)</f>
        <v>4</v>
      </c>
      <c r="O416" cm="1">
        <f t="array" ref="O416">_xlfn.XLOOKUP(Matrix[[#This Row],[TEAM]]&amp;Matrix[[#Headers],[3]],FDR[FDR]&amp;FDR[[#Headers],[3]],FDR[3],"",0,1)</f>
        <v>4</v>
      </c>
      <c r="P416" cm="1">
        <f t="array" ref="P416">_xlfn.XLOOKUP(Matrix[[#This Row],[TEAM]]&amp;Matrix[[#Headers],[4]],FDR[FDR]&amp;FDR[[#Headers],[4]],FDR[4],"",0,1)</f>
        <v>4</v>
      </c>
      <c r="Q416" cm="1">
        <f t="array" ref="Q416">_xlfn.XLOOKUP(Matrix[[#This Row],[TEAM]]&amp;Matrix[[#Headers],[5]],FDR[FDR]&amp;FDR[[#Headers],[5]],FDR[5],"",0,1)</f>
        <v>3</v>
      </c>
      <c r="R416" cm="1">
        <f t="array" ref="R416">_xlfn.XLOOKUP(Matrix[[#This Row],[TEAM]]&amp;Matrix[[#Headers],[6]],FDR[FDR]&amp;FDR[[#Headers],[6]],FDR[6],"",0,1)</f>
        <v>4</v>
      </c>
      <c r="S416" cm="1">
        <f t="array" ref="S416">_xlfn.XLOOKUP(Matrix[[#This Row],[TEAM]]&amp;Matrix[[#Headers],[7]],FDR[FDR]&amp;FDR[[#Headers],[7]],FDR[7],"",0,1)</f>
        <v>5</v>
      </c>
      <c r="T416" cm="1">
        <f t="array" ref="T416">_xlfn.XLOOKUP(Matrix[[#This Row],[TEAM]]&amp;Matrix[[#Headers],[8]],FDR[FDR]&amp;FDR[[#Headers],[8]],FDR[8],"",0,1)</f>
        <v>3</v>
      </c>
      <c r="U416" cm="1">
        <f t="array" ref="U416">_xlfn.XLOOKUP(Matrix[[#This Row],[TEAM]]&amp;Matrix[[#Headers],[9]],FDR[FDR]&amp;FDR[[#Headers],[9]],FDR[9],"",0,1)</f>
        <v>2</v>
      </c>
      <c r="V416" cm="1">
        <f t="array" ref="V416">_xlfn.XLOOKUP(Matrix[[#This Row],[TEAM]]&amp;Matrix[[#Headers],[10]],FDR[FDR]&amp;FDR[[#Headers],[10]],FDR[10],"",0,1)</f>
        <v>4</v>
      </c>
      <c r="W416" cm="1">
        <f t="array" ref="W416">_xlfn.XLOOKUP(Matrix[[#This Row],[TEAM]]&amp;Matrix[[#Headers],[11]],FDR[FDR]&amp;FDR[[#Headers],[11]],FDR[11],"",0,1)</f>
        <v>1</v>
      </c>
      <c r="X416" cm="1">
        <f t="array" ref="X416">_xlfn.XLOOKUP(Matrix[[#This Row],[TEAM]]&amp;Matrix[[#Headers],[12]],FDR[FDR]&amp;FDR[[#Headers],[12]],FDR[12],"",0,1)</f>
        <v>4</v>
      </c>
      <c r="Y416" cm="1">
        <f t="array" ref="Y416">_xlfn.XLOOKUP(Matrix[[#This Row],[TEAM]]&amp;Matrix[[#Headers],[13]],FDR[FDR]&amp;FDR[[#Headers],[13]],FDR[13],"",0,1)</f>
        <v>4</v>
      </c>
      <c r="Z416" cm="1">
        <f t="array" ref="Z416">_xlfn.XLOOKUP(Matrix[[#This Row],[TEAM]]&amp;Matrix[[#Headers],[14]],FDR[FDR]&amp;FDR[[#Headers],[14]],FDR[14],"",0,1)</f>
        <v>5</v>
      </c>
      <c r="AA416" cm="1">
        <f t="array" ref="AA416">_xlfn.XLOOKUP(Matrix[[#This Row],[TEAM]]&amp;Matrix[[#Headers],[15]],FDR[FDR]&amp;FDR[[#Headers],[15]],FDR[15],"",0,1)</f>
        <v>4</v>
      </c>
      <c r="AB416" cm="1">
        <f t="array" ref="AB416">_xlfn.XLOOKUP(Matrix[[#This Row],[TEAM]]&amp;Matrix[[#Headers],[16]],FDR[FDR]&amp;FDR[[#Headers],[16]],FDR[16],"",0,1)</f>
        <v>4</v>
      </c>
      <c r="AC416" cm="1">
        <f t="array" ref="AC416">_xlfn.XLOOKUP(Matrix[[#This Row],[TEAM]]&amp;Matrix[[#Headers],[17]],FDR[FDR]&amp;FDR[[#Headers],[17]],FDR[17],"",0,1)</f>
        <v>5</v>
      </c>
      <c r="AD416" cm="1">
        <f t="array" ref="AD416">_xlfn.XLOOKUP(Matrix[[#This Row],[TEAM]]&amp;Matrix[[#Headers],[18]],FDR[FDR]&amp;FDR[[#Headers],[18]],FDR[18],"",0,1)</f>
        <v>3</v>
      </c>
      <c r="AE416" cm="1">
        <f t="array" ref="AE416">_xlfn.XLOOKUP(Matrix[[#This Row],[TEAM]]&amp;Matrix[[#Headers],[19]],FDR[FDR]&amp;FDR[[#Headers],[19]],FDR[19],"",0,1)</f>
        <v>3</v>
      </c>
      <c r="AF416" cm="1">
        <f t="array" ref="AF416">_xlfn.XLOOKUP(Matrix[[#This Row],[TEAM]]&amp;Matrix[[#Headers],[20]],FDR[FDR]&amp;FDR[[#Headers],[20]],FDR[20],"",0,1)</f>
        <v>2</v>
      </c>
      <c r="AG416" cm="1">
        <f t="array" ref="AG416">_xlfn.XLOOKUP(Matrix[[#This Row],[TEAM]]&amp;Matrix[[#Headers],[21]],FDR[FDR]&amp;FDR[[#Headers],[21]],FDR[21],"",0,1)</f>
        <v>3</v>
      </c>
      <c r="AH416" cm="1">
        <f t="array" ref="AH416">_xlfn.XLOOKUP(Matrix[[#This Row],[TEAM]]&amp;Matrix[[#Headers],[22]],FDR[FDR]&amp;FDR[[#Headers],[22]],FDR[22],"",0,1)</f>
        <v>5</v>
      </c>
      <c r="AI416" cm="1">
        <f t="array" ref="AI416">_xlfn.XLOOKUP(Matrix[[#This Row],[TEAM]]&amp;Matrix[[#Headers],[23]],FDR[FDR]&amp;FDR[[#Headers],[23]],FDR[23],"",0,1)</f>
        <v>1</v>
      </c>
      <c r="AJ416" cm="1">
        <f t="array" ref="AJ416">_xlfn.XLOOKUP(Matrix[[#This Row],[TEAM]]&amp;Matrix[[#Headers],[24]],FDR[FDR]&amp;FDR[[#Headers],[24]],FDR[24],"",0,1)</f>
        <v>5</v>
      </c>
      <c r="AK416" cm="1">
        <f t="array" ref="AK416">_xlfn.XLOOKUP(Matrix[[#This Row],[TEAM]]&amp;Matrix[[#Headers],[25]],FDR[FDR]&amp;FDR[[#Headers],[25]],FDR[25],"",0,1)</f>
        <v>2</v>
      </c>
      <c r="AL416" cm="1">
        <f t="array" ref="AL416">_xlfn.XLOOKUP(Matrix[[#This Row],[TEAM]]&amp;Matrix[[#Headers],[26]],FDR[FDR]&amp;FDR[[#Headers],[26]],FDR[26],"",0,1)</f>
        <v>4</v>
      </c>
      <c r="AM416" cm="1">
        <f t="array" ref="AM416">_xlfn.XLOOKUP(Matrix[[#This Row],[TEAM]]&amp;Matrix[[#Headers],[27]],FDR[FDR]&amp;FDR[[#Headers],[27]],FDR[27],"",0,1)</f>
        <v>3</v>
      </c>
      <c r="AN416" cm="1">
        <f t="array" ref="AN416">_xlfn.XLOOKUP(Matrix[[#This Row],[TEAM]]&amp;Matrix[[#Headers],[28]],FDR[FDR]&amp;FDR[[#Headers],[28]],FDR[28],"",0,1)</f>
        <v>5</v>
      </c>
      <c r="AO416" cm="1">
        <f t="array" ref="AO416">_xlfn.XLOOKUP(Matrix[[#This Row],[TEAM]]&amp;Matrix[[#Headers],[29]],FDR[FDR]&amp;FDR[[#Headers],[29]],FDR[29],"",0,1)</f>
        <v>4</v>
      </c>
      <c r="AP416" cm="1">
        <f t="array" ref="AP416">_xlfn.XLOOKUP(Matrix[[#This Row],[TEAM]]&amp;Matrix[[#Headers],[30]],FDR[FDR]&amp;FDR[[#Headers],[30]],FDR[30],"",0,1)</f>
        <v>4</v>
      </c>
      <c r="AQ416" cm="1">
        <f t="array" ref="AQ416">_xlfn.XLOOKUP(Matrix[[#This Row],[TEAM]]&amp;Matrix[[#Headers],[31]],FDR[FDR]&amp;FDR[[#Headers],[31]],FDR[31],"",0,1)</f>
        <v>5</v>
      </c>
      <c r="AR416" cm="1">
        <f t="array" ref="AR416">_xlfn.XLOOKUP(Matrix[[#This Row],[TEAM]]&amp;Matrix[[#Headers],[32]],FDR[FDR]&amp;FDR[[#Headers],[32]],FDR[32],"",0,1)</f>
        <v>2</v>
      </c>
      <c r="AS416" cm="1">
        <f t="array" ref="AS416">_xlfn.XLOOKUP(Matrix[[#This Row],[TEAM]]&amp;Matrix[[#Headers],[33]],FDR[FDR]&amp;FDR[[#Headers],[33]],FDR[33],"",0,1)</f>
        <v>4</v>
      </c>
      <c r="AT416" cm="1">
        <f t="array" ref="AT416">_xlfn.XLOOKUP(Matrix[[#This Row],[TEAM]]&amp;Matrix[[#Headers],[34]],FDR[FDR]&amp;FDR[[#Headers],[34]],FDR[34],"",0,1)</f>
        <v>3</v>
      </c>
      <c r="AU416" cm="1">
        <f t="array" ref="AU416">_xlfn.XLOOKUP(Matrix[[#This Row],[TEAM]]&amp;Matrix[[#Headers],[35]],FDR[FDR]&amp;FDR[[#Headers],[35]],FDR[35],"",0,1)</f>
        <v>4</v>
      </c>
      <c r="AV416" cm="1">
        <f t="array" ref="AV416">_xlfn.XLOOKUP(Matrix[[#This Row],[TEAM]]&amp;Matrix[[#Headers],[36]],FDR[FDR]&amp;FDR[[#Headers],[36]],FDR[36],"",0,1)</f>
        <v>4</v>
      </c>
      <c r="AW416" cm="1">
        <f t="array" ref="AW416">_xlfn.XLOOKUP(Matrix[[#This Row],[TEAM]]&amp;Matrix[[#Headers],[37]],FDR[FDR]&amp;FDR[[#Headers],[37]],FDR[37],"",0,1)</f>
        <v>5</v>
      </c>
      <c r="AX416" cm="1">
        <f t="array" ref="AX416">_xlfn.XLOOKUP(Matrix[[#This Row],[TEAM]]&amp;Matrix[[#Headers],[38]],FDR[FDR]&amp;FDR[[#Headers],[38]],FDR[38],"",0,1)</f>
        <v>1</v>
      </c>
    </row>
    <row r="417" spans="1:50" ht="22" thickTop="1" thickBot="1">
      <c r="A417" s="50" t="str">
        <f>INDEX!S$4</f>
        <v>MID</v>
      </c>
      <c r="B417" s="70" t="s">
        <v>1719</v>
      </c>
      <c r="C417" s="40" t="s">
        <v>27</v>
      </c>
      <c r="D417" s="62">
        <v>0</v>
      </c>
      <c r="E417" s="60">
        <v>2E-3</v>
      </c>
      <c r="F417" s="61">
        <v>0</v>
      </c>
      <c r="G417" s="63">
        <v>4.5</v>
      </c>
      <c r="H417" s="261">
        <f>IF(ISBLANK(I417),0,1)</f>
        <v>0</v>
      </c>
      <c r="I417" s="57"/>
      <c r="J417" s="58"/>
      <c r="K417" s="59" t="s">
        <v>609</v>
      </c>
      <c r="L417" s="59" t="s">
        <v>1209</v>
      </c>
      <c r="M417" cm="1">
        <f t="array" ref="M417">_xlfn.XLOOKUP(Matrix[[#This Row],[TEAM]]&amp;Matrix[[#Headers],[1]],FDR[FDR]&amp;FDR[[#Headers],[1]],FDR[1],"",0,1)</f>
        <v>2</v>
      </c>
      <c r="N417" cm="1">
        <f t="array" ref="N417">_xlfn.XLOOKUP(Matrix[[#This Row],[TEAM]]&amp;Matrix[[#Headers],[2]],FDR[FDR]&amp;FDR[[#Headers],[2]],FDR[2],"",0,1)</f>
        <v>4</v>
      </c>
      <c r="O417" cm="1">
        <f t="array" ref="O417">_xlfn.XLOOKUP(Matrix[[#This Row],[TEAM]]&amp;Matrix[[#Headers],[3]],FDR[FDR]&amp;FDR[[#Headers],[3]],FDR[3],"",0,1)</f>
        <v>4</v>
      </c>
      <c r="P417" cm="1">
        <f t="array" ref="P417">_xlfn.XLOOKUP(Matrix[[#This Row],[TEAM]]&amp;Matrix[[#Headers],[4]],FDR[FDR]&amp;FDR[[#Headers],[4]],FDR[4],"",0,1)</f>
        <v>4</v>
      </c>
      <c r="Q417" cm="1">
        <f t="array" ref="Q417">_xlfn.XLOOKUP(Matrix[[#This Row],[TEAM]]&amp;Matrix[[#Headers],[5]],FDR[FDR]&amp;FDR[[#Headers],[5]],FDR[5],"",0,1)</f>
        <v>3</v>
      </c>
      <c r="R417" cm="1">
        <f t="array" ref="R417">_xlfn.XLOOKUP(Matrix[[#This Row],[TEAM]]&amp;Matrix[[#Headers],[6]],FDR[FDR]&amp;FDR[[#Headers],[6]],FDR[6],"",0,1)</f>
        <v>4</v>
      </c>
      <c r="S417" cm="1">
        <f t="array" ref="S417">_xlfn.XLOOKUP(Matrix[[#This Row],[TEAM]]&amp;Matrix[[#Headers],[7]],FDR[FDR]&amp;FDR[[#Headers],[7]],FDR[7],"",0,1)</f>
        <v>5</v>
      </c>
      <c r="T417" cm="1">
        <f t="array" ref="T417">_xlfn.XLOOKUP(Matrix[[#This Row],[TEAM]]&amp;Matrix[[#Headers],[8]],FDR[FDR]&amp;FDR[[#Headers],[8]],FDR[8],"",0,1)</f>
        <v>3</v>
      </c>
      <c r="U417" cm="1">
        <f t="array" ref="U417">_xlfn.XLOOKUP(Matrix[[#This Row],[TEAM]]&amp;Matrix[[#Headers],[9]],FDR[FDR]&amp;FDR[[#Headers],[9]],FDR[9],"",0,1)</f>
        <v>2</v>
      </c>
      <c r="V417" cm="1">
        <f t="array" ref="V417">_xlfn.XLOOKUP(Matrix[[#This Row],[TEAM]]&amp;Matrix[[#Headers],[10]],FDR[FDR]&amp;FDR[[#Headers],[10]],FDR[10],"",0,1)</f>
        <v>4</v>
      </c>
      <c r="W417" cm="1">
        <f t="array" ref="W417">_xlfn.XLOOKUP(Matrix[[#This Row],[TEAM]]&amp;Matrix[[#Headers],[11]],FDR[FDR]&amp;FDR[[#Headers],[11]],FDR[11],"",0,1)</f>
        <v>1</v>
      </c>
      <c r="X417" cm="1">
        <f t="array" ref="X417">_xlfn.XLOOKUP(Matrix[[#This Row],[TEAM]]&amp;Matrix[[#Headers],[12]],FDR[FDR]&amp;FDR[[#Headers],[12]],FDR[12],"",0,1)</f>
        <v>4</v>
      </c>
      <c r="Y417" cm="1">
        <f t="array" ref="Y417">_xlfn.XLOOKUP(Matrix[[#This Row],[TEAM]]&amp;Matrix[[#Headers],[13]],FDR[FDR]&amp;FDR[[#Headers],[13]],FDR[13],"",0,1)</f>
        <v>4</v>
      </c>
      <c r="Z417" cm="1">
        <f t="array" ref="Z417">_xlfn.XLOOKUP(Matrix[[#This Row],[TEAM]]&amp;Matrix[[#Headers],[14]],FDR[FDR]&amp;FDR[[#Headers],[14]],FDR[14],"",0,1)</f>
        <v>5</v>
      </c>
      <c r="AA417" cm="1">
        <f t="array" ref="AA417">_xlfn.XLOOKUP(Matrix[[#This Row],[TEAM]]&amp;Matrix[[#Headers],[15]],FDR[FDR]&amp;FDR[[#Headers],[15]],FDR[15],"",0,1)</f>
        <v>4</v>
      </c>
      <c r="AB417" cm="1">
        <f t="array" ref="AB417">_xlfn.XLOOKUP(Matrix[[#This Row],[TEAM]]&amp;Matrix[[#Headers],[16]],FDR[FDR]&amp;FDR[[#Headers],[16]],FDR[16],"",0,1)</f>
        <v>4</v>
      </c>
      <c r="AC417" cm="1">
        <f t="array" ref="AC417">_xlfn.XLOOKUP(Matrix[[#This Row],[TEAM]]&amp;Matrix[[#Headers],[17]],FDR[FDR]&amp;FDR[[#Headers],[17]],FDR[17],"",0,1)</f>
        <v>5</v>
      </c>
      <c r="AD417" cm="1">
        <f t="array" ref="AD417">_xlfn.XLOOKUP(Matrix[[#This Row],[TEAM]]&amp;Matrix[[#Headers],[18]],FDR[FDR]&amp;FDR[[#Headers],[18]],FDR[18],"",0,1)</f>
        <v>3</v>
      </c>
      <c r="AE417" cm="1">
        <f t="array" ref="AE417">_xlfn.XLOOKUP(Matrix[[#This Row],[TEAM]]&amp;Matrix[[#Headers],[19]],FDR[FDR]&amp;FDR[[#Headers],[19]],FDR[19],"",0,1)</f>
        <v>3</v>
      </c>
      <c r="AF417" cm="1">
        <f t="array" ref="AF417">_xlfn.XLOOKUP(Matrix[[#This Row],[TEAM]]&amp;Matrix[[#Headers],[20]],FDR[FDR]&amp;FDR[[#Headers],[20]],FDR[20],"",0,1)</f>
        <v>2</v>
      </c>
      <c r="AG417" cm="1">
        <f t="array" ref="AG417">_xlfn.XLOOKUP(Matrix[[#This Row],[TEAM]]&amp;Matrix[[#Headers],[21]],FDR[FDR]&amp;FDR[[#Headers],[21]],FDR[21],"",0,1)</f>
        <v>3</v>
      </c>
      <c r="AH417" cm="1">
        <f t="array" ref="AH417">_xlfn.XLOOKUP(Matrix[[#This Row],[TEAM]]&amp;Matrix[[#Headers],[22]],FDR[FDR]&amp;FDR[[#Headers],[22]],FDR[22],"",0,1)</f>
        <v>5</v>
      </c>
      <c r="AI417" cm="1">
        <f t="array" ref="AI417">_xlfn.XLOOKUP(Matrix[[#This Row],[TEAM]]&amp;Matrix[[#Headers],[23]],FDR[FDR]&amp;FDR[[#Headers],[23]],FDR[23],"",0,1)</f>
        <v>1</v>
      </c>
      <c r="AJ417" cm="1">
        <f t="array" ref="AJ417">_xlfn.XLOOKUP(Matrix[[#This Row],[TEAM]]&amp;Matrix[[#Headers],[24]],FDR[FDR]&amp;FDR[[#Headers],[24]],FDR[24],"",0,1)</f>
        <v>5</v>
      </c>
      <c r="AK417" cm="1">
        <f t="array" ref="AK417">_xlfn.XLOOKUP(Matrix[[#This Row],[TEAM]]&amp;Matrix[[#Headers],[25]],FDR[FDR]&amp;FDR[[#Headers],[25]],FDR[25],"",0,1)</f>
        <v>2</v>
      </c>
      <c r="AL417" cm="1">
        <f t="array" ref="AL417">_xlfn.XLOOKUP(Matrix[[#This Row],[TEAM]]&amp;Matrix[[#Headers],[26]],FDR[FDR]&amp;FDR[[#Headers],[26]],FDR[26],"",0,1)</f>
        <v>4</v>
      </c>
      <c r="AM417" cm="1">
        <f t="array" ref="AM417">_xlfn.XLOOKUP(Matrix[[#This Row],[TEAM]]&amp;Matrix[[#Headers],[27]],FDR[FDR]&amp;FDR[[#Headers],[27]],FDR[27],"",0,1)</f>
        <v>3</v>
      </c>
      <c r="AN417" cm="1">
        <f t="array" ref="AN417">_xlfn.XLOOKUP(Matrix[[#This Row],[TEAM]]&amp;Matrix[[#Headers],[28]],FDR[FDR]&amp;FDR[[#Headers],[28]],FDR[28],"",0,1)</f>
        <v>5</v>
      </c>
      <c r="AO417" cm="1">
        <f t="array" ref="AO417">_xlfn.XLOOKUP(Matrix[[#This Row],[TEAM]]&amp;Matrix[[#Headers],[29]],FDR[FDR]&amp;FDR[[#Headers],[29]],FDR[29],"",0,1)</f>
        <v>4</v>
      </c>
      <c r="AP417" cm="1">
        <f t="array" ref="AP417">_xlfn.XLOOKUP(Matrix[[#This Row],[TEAM]]&amp;Matrix[[#Headers],[30]],FDR[FDR]&amp;FDR[[#Headers],[30]],FDR[30],"",0,1)</f>
        <v>4</v>
      </c>
      <c r="AQ417" cm="1">
        <f t="array" ref="AQ417">_xlfn.XLOOKUP(Matrix[[#This Row],[TEAM]]&amp;Matrix[[#Headers],[31]],FDR[FDR]&amp;FDR[[#Headers],[31]],FDR[31],"",0,1)</f>
        <v>5</v>
      </c>
      <c r="AR417" cm="1">
        <f t="array" ref="AR417">_xlfn.XLOOKUP(Matrix[[#This Row],[TEAM]]&amp;Matrix[[#Headers],[32]],FDR[FDR]&amp;FDR[[#Headers],[32]],FDR[32],"",0,1)</f>
        <v>2</v>
      </c>
      <c r="AS417" cm="1">
        <f t="array" ref="AS417">_xlfn.XLOOKUP(Matrix[[#This Row],[TEAM]]&amp;Matrix[[#Headers],[33]],FDR[FDR]&amp;FDR[[#Headers],[33]],FDR[33],"",0,1)</f>
        <v>4</v>
      </c>
      <c r="AT417" cm="1">
        <f t="array" ref="AT417">_xlfn.XLOOKUP(Matrix[[#This Row],[TEAM]]&amp;Matrix[[#Headers],[34]],FDR[FDR]&amp;FDR[[#Headers],[34]],FDR[34],"",0,1)</f>
        <v>3</v>
      </c>
      <c r="AU417" cm="1">
        <f t="array" ref="AU417">_xlfn.XLOOKUP(Matrix[[#This Row],[TEAM]]&amp;Matrix[[#Headers],[35]],FDR[FDR]&amp;FDR[[#Headers],[35]],FDR[35],"",0,1)</f>
        <v>4</v>
      </c>
      <c r="AV417" cm="1">
        <f t="array" ref="AV417">_xlfn.XLOOKUP(Matrix[[#This Row],[TEAM]]&amp;Matrix[[#Headers],[36]],FDR[FDR]&amp;FDR[[#Headers],[36]],FDR[36],"",0,1)</f>
        <v>4</v>
      </c>
      <c r="AW417" cm="1">
        <f t="array" ref="AW417">_xlfn.XLOOKUP(Matrix[[#This Row],[TEAM]]&amp;Matrix[[#Headers],[37]],FDR[FDR]&amp;FDR[[#Headers],[37]],FDR[37],"",0,1)</f>
        <v>5</v>
      </c>
      <c r="AX417" cm="1">
        <f t="array" ref="AX417">_xlfn.XLOOKUP(Matrix[[#This Row],[TEAM]]&amp;Matrix[[#Headers],[38]],FDR[FDR]&amp;FDR[[#Headers],[38]],FDR[38],"",0,1)</f>
        <v>1</v>
      </c>
    </row>
    <row r="418" spans="1:50" ht="22" thickTop="1" thickBot="1">
      <c r="A418" s="50" t="str">
        <f>INDEX!S$4</f>
        <v>MID</v>
      </c>
      <c r="B418" s="70" t="s">
        <v>1636</v>
      </c>
      <c r="C418" s="40" t="s">
        <v>51</v>
      </c>
      <c r="D418" s="62">
        <v>0</v>
      </c>
      <c r="E418" s="60">
        <v>1.4999999999999999E-2</v>
      </c>
      <c r="F418" s="61">
        <v>0</v>
      </c>
      <c r="G418" s="63">
        <v>4.5</v>
      </c>
      <c r="H418" s="261">
        <f>IF(ISBLANK(I418),0,1)</f>
        <v>0</v>
      </c>
      <c r="I418" s="57"/>
      <c r="J418" s="58"/>
      <c r="K418" s="59" t="s">
        <v>930</v>
      </c>
      <c r="L418" s="59" t="s">
        <v>755</v>
      </c>
      <c r="M418" cm="1">
        <f t="array" ref="M418">_xlfn.XLOOKUP(Matrix[[#This Row],[TEAM]]&amp;Matrix[[#Headers],[1]],FDR[FDR]&amp;FDR[[#Headers],[1]],FDR[1],"",0,1)</f>
        <v>5</v>
      </c>
      <c r="N418" cm="1">
        <f t="array" ref="N418">_xlfn.XLOOKUP(Matrix[[#This Row],[TEAM]]&amp;Matrix[[#Headers],[2]],FDR[FDR]&amp;FDR[[#Headers],[2]],FDR[2],"",0,1)</f>
        <v>5</v>
      </c>
      <c r="O418" cm="1">
        <f t="array" ref="O418">_xlfn.XLOOKUP(Matrix[[#This Row],[TEAM]]&amp;Matrix[[#Headers],[3]],FDR[FDR]&amp;FDR[[#Headers],[3]],FDR[3],"",0,1)</f>
        <v>4</v>
      </c>
      <c r="P418" cm="1">
        <f t="array" ref="P418">_xlfn.XLOOKUP(Matrix[[#This Row],[TEAM]]&amp;Matrix[[#Headers],[4]],FDR[FDR]&amp;FDR[[#Headers],[4]],FDR[4],"",0,1)</f>
        <v>5</v>
      </c>
      <c r="Q418" cm="1">
        <f t="array" ref="Q418">_xlfn.XLOOKUP(Matrix[[#This Row],[TEAM]]&amp;Matrix[[#Headers],[5]],FDR[FDR]&amp;FDR[[#Headers],[5]],FDR[5],"",0,1)</f>
        <v>2</v>
      </c>
      <c r="R418" cm="1">
        <f t="array" ref="R418">_xlfn.XLOOKUP(Matrix[[#This Row],[TEAM]]&amp;Matrix[[#Headers],[6]],FDR[FDR]&amp;FDR[[#Headers],[6]],FDR[6],"",0,1)</f>
        <v>5</v>
      </c>
      <c r="S418" cm="1">
        <f t="array" ref="S418">_xlfn.XLOOKUP(Matrix[[#This Row],[TEAM]]&amp;Matrix[[#Headers],[7]],FDR[FDR]&amp;FDR[[#Headers],[7]],FDR[7],"",0,1)</f>
        <v>4</v>
      </c>
      <c r="T418" cm="1">
        <f t="array" ref="T418">_xlfn.XLOOKUP(Matrix[[#This Row],[TEAM]]&amp;Matrix[[#Headers],[8]],FDR[FDR]&amp;FDR[[#Headers],[8]],FDR[8],"",0,1)</f>
        <v>3</v>
      </c>
      <c r="U418" cm="1">
        <f t="array" ref="U418">_xlfn.XLOOKUP(Matrix[[#This Row],[TEAM]]&amp;Matrix[[#Headers],[9]],FDR[FDR]&amp;FDR[[#Headers],[9]],FDR[9],"",0,1)</f>
        <v>2</v>
      </c>
      <c r="V418" cm="1">
        <f t="array" ref="V418">_xlfn.XLOOKUP(Matrix[[#This Row],[TEAM]]&amp;Matrix[[#Headers],[10]],FDR[FDR]&amp;FDR[[#Headers],[10]],FDR[10],"",0,1)</f>
        <v>5</v>
      </c>
      <c r="W418" cm="1">
        <f t="array" ref="W418">_xlfn.XLOOKUP(Matrix[[#This Row],[TEAM]]&amp;Matrix[[#Headers],[11]],FDR[FDR]&amp;FDR[[#Headers],[11]],FDR[11],"",0,1)</f>
        <v>5</v>
      </c>
      <c r="X418" cm="1">
        <f t="array" ref="X418">_xlfn.XLOOKUP(Matrix[[#This Row],[TEAM]]&amp;Matrix[[#Headers],[12]],FDR[FDR]&amp;FDR[[#Headers],[12]],FDR[12],"",0,1)</f>
        <v>4</v>
      </c>
      <c r="Y418" cm="1">
        <f t="array" ref="Y418">_xlfn.XLOOKUP(Matrix[[#This Row],[TEAM]]&amp;Matrix[[#Headers],[13]],FDR[FDR]&amp;FDR[[#Headers],[13]],FDR[13],"",0,1)</f>
        <v>5</v>
      </c>
      <c r="Z418" cm="1">
        <f t="array" ref="Z418">_xlfn.XLOOKUP(Matrix[[#This Row],[TEAM]]&amp;Matrix[[#Headers],[14]],FDR[FDR]&amp;FDR[[#Headers],[14]],FDR[14],"",0,1)</f>
        <v>4</v>
      </c>
      <c r="AA418" cm="1">
        <f t="array" ref="AA418">_xlfn.XLOOKUP(Matrix[[#This Row],[TEAM]]&amp;Matrix[[#Headers],[15]],FDR[FDR]&amp;FDR[[#Headers],[15]],FDR[15],"",0,1)</f>
        <v>5</v>
      </c>
      <c r="AB418" cm="1">
        <f t="array" ref="AB418">_xlfn.XLOOKUP(Matrix[[#This Row],[TEAM]]&amp;Matrix[[#Headers],[16]],FDR[FDR]&amp;FDR[[#Headers],[16]],FDR[16],"",0,1)</f>
        <v>5</v>
      </c>
      <c r="AC418" cm="1">
        <f t="array" ref="AC418">_xlfn.XLOOKUP(Matrix[[#This Row],[TEAM]]&amp;Matrix[[#Headers],[17]],FDR[FDR]&amp;FDR[[#Headers],[17]],FDR[17],"",0,1)</f>
        <v>4</v>
      </c>
      <c r="AD418" cm="1">
        <f t="array" ref="AD418">_xlfn.XLOOKUP(Matrix[[#This Row],[TEAM]]&amp;Matrix[[#Headers],[18]],FDR[FDR]&amp;FDR[[#Headers],[18]],FDR[18],"",0,1)</f>
        <v>5</v>
      </c>
      <c r="AE418" cm="1">
        <f t="array" ref="AE418">_xlfn.XLOOKUP(Matrix[[#This Row],[TEAM]]&amp;Matrix[[#Headers],[19]],FDR[FDR]&amp;FDR[[#Headers],[19]],FDR[19],"",0,1)</f>
        <v>5</v>
      </c>
      <c r="AF418" cm="1">
        <f t="array" ref="AF418">_xlfn.XLOOKUP(Matrix[[#This Row],[TEAM]]&amp;Matrix[[#Headers],[20]],FDR[FDR]&amp;FDR[[#Headers],[20]],FDR[20],"",0,1)</f>
        <v>4</v>
      </c>
      <c r="AG418" cm="1">
        <f t="array" ref="AG418">_xlfn.XLOOKUP(Matrix[[#This Row],[TEAM]]&amp;Matrix[[#Headers],[21]],FDR[FDR]&amp;FDR[[#Headers],[21]],FDR[21],"",0,1)</f>
        <v>5</v>
      </c>
      <c r="AH418" cm="1">
        <f t="array" ref="AH418">_xlfn.XLOOKUP(Matrix[[#This Row],[TEAM]]&amp;Matrix[[#Headers],[22]],FDR[FDR]&amp;FDR[[#Headers],[22]],FDR[22],"",0,1)</f>
        <v>5</v>
      </c>
      <c r="AI418" cm="1">
        <f t="array" ref="AI418">_xlfn.XLOOKUP(Matrix[[#This Row],[TEAM]]&amp;Matrix[[#Headers],[23]],FDR[FDR]&amp;FDR[[#Headers],[23]],FDR[23],"",0,1)</f>
        <v>5</v>
      </c>
      <c r="AJ418" cm="1">
        <f t="array" ref="AJ418">_xlfn.XLOOKUP(Matrix[[#This Row],[TEAM]]&amp;Matrix[[#Headers],[24]],FDR[FDR]&amp;FDR[[#Headers],[24]],FDR[24],"",0,1)</f>
        <v>4</v>
      </c>
      <c r="AK418" cm="1">
        <f t="array" ref="AK418">_xlfn.XLOOKUP(Matrix[[#This Row],[TEAM]]&amp;Matrix[[#Headers],[25]],FDR[FDR]&amp;FDR[[#Headers],[25]],FDR[25],"",0,1)</f>
        <v>5</v>
      </c>
      <c r="AL418" cm="1">
        <f t="array" ref="AL418">_xlfn.XLOOKUP(Matrix[[#This Row],[TEAM]]&amp;Matrix[[#Headers],[26]],FDR[FDR]&amp;FDR[[#Headers],[26]],FDR[26],"",0,1)</f>
        <v>5</v>
      </c>
      <c r="AM418" cm="1">
        <f t="array" ref="AM418">_xlfn.XLOOKUP(Matrix[[#This Row],[TEAM]]&amp;Matrix[[#Headers],[27]],FDR[FDR]&amp;FDR[[#Headers],[27]],FDR[27],"",0,1)</f>
        <v>5</v>
      </c>
      <c r="AN418" cm="1">
        <f t="array" ref="AN418">_xlfn.XLOOKUP(Matrix[[#This Row],[TEAM]]&amp;Matrix[[#Headers],[28]],FDR[FDR]&amp;FDR[[#Headers],[28]],FDR[28],"",0,1)</f>
        <v>5</v>
      </c>
      <c r="AO418" cm="1">
        <f t="array" ref="AO418">_xlfn.XLOOKUP(Matrix[[#This Row],[TEAM]]&amp;Matrix[[#Headers],[29]],FDR[FDR]&amp;FDR[[#Headers],[29]],FDR[29],"",0,1)</f>
        <v>5</v>
      </c>
      <c r="AP418" cm="1">
        <f t="array" ref="AP418">_xlfn.XLOOKUP(Matrix[[#This Row],[TEAM]]&amp;Matrix[[#Headers],[30]],FDR[FDR]&amp;FDR[[#Headers],[30]],FDR[30],"",0,1)</f>
        <v>5</v>
      </c>
      <c r="AQ418" cm="1">
        <f t="array" ref="AQ418">_xlfn.XLOOKUP(Matrix[[#This Row],[TEAM]]&amp;Matrix[[#Headers],[31]],FDR[FDR]&amp;FDR[[#Headers],[31]],FDR[31],"",0,1)</f>
        <v>5</v>
      </c>
      <c r="AR418" cm="1">
        <f t="array" ref="AR418">_xlfn.XLOOKUP(Matrix[[#This Row],[TEAM]]&amp;Matrix[[#Headers],[32]],FDR[FDR]&amp;FDR[[#Headers],[32]],FDR[32],"",0,1)</f>
        <v>5</v>
      </c>
      <c r="AS418" cm="1">
        <f t="array" ref="AS418">_xlfn.XLOOKUP(Matrix[[#This Row],[TEAM]]&amp;Matrix[[#Headers],[33]],FDR[FDR]&amp;FDR[[#Headers],[33]],FDR[33],"",0,1)</f>
        <v>3</v>
      </c>
      <c r="AT418" cm="1">
        <f t="array" ref="AT418">_xlfn.XLOOKUP(Matrix[[#This Row],[TEAM]]&amp;Matrix[[#Headers],[34]],FDR[FDR]&amp;FDR[[#Headers],[34]],FDR[34],"",0,1)</f>
        <v>5</v>
      </c>
      <c r="AU418" cm="1">
        <f t="array" ref="AU418">_xlfn.XLOOKUP(Matrix[[#This Row],[TEAM]]&amp;Matrix[[#Headers],[35]],FDR[FDR]&amp;FDR[[#Headers],[35]],FDR[35],"",0,1)</f>
        <v>2</v>
      </c>
      <c r="AV418" cm="1">
        <f t="array" ref="AV418">_xlfn.XLOOKUP(Matrix[[#This Row],[TEAM]]&amp;Matrix[[#Headers],[36]],FDR[FDR]&amp;FDR[[#Headers],[36]],FDR[36],"",0,1)</f>
        <v>5</v>
      </c>
      <c r="AW418" cm="1">
        <f t="array" ref="AW418">_xlfn.XLOOKUP(Matrix[[#This Row],[TEAM]]&amp;Matrix[[#Headers],[37]],FDR[FDR]&amp;FDR[[#Headers],[37]],FDR[37],"",0,1)</f>
        <v>4</v>
      </c>
      <c r="AX418" cm="1">
        <f t="array" ref="AX418">_xlfn.XLOOKUP(Matrix[[#This Row],[TEAM]]&amp;Matrix[[#Headers],[38]],FDR[FDR]&amp;FDR[[#Headers],[38]],FDR[38],"",0,1)</f>
        <v>3</v>
      </c>
    </row>
    <row r="419" spans="1:50" ht="22" thickTop="1" thickBot="1">
      <c r="A419" s="50" t="str">
        <f>INDEX!S$4</f>
        <v>MID</v>
      </c>
      <c r="B419" s="70" t="s">
        <v>1673</v>
      </c>
      <c r="C419" s="40" t="s">
        <v>51</v>
      </c>
      <c r="D419" s="62">
        <v>0</v>
      </c>
      <c r="E419" s="60">
        <v>4.0000000000000001E-3</v>
      </c>
      <c r="F419" s="61">
        <v>0</v>
      </c>
      <c r="G419" s="63">
        <v>4.5</v>
      </c>
      <c r="H419" s="261">
        <f>IF(ISBLANK(I419),0,1)</f>
        <v>0</v>
      </c>
      <c r="I419" s="57"/>
      <c r="J419" s="58"/>
      <c r="K419" s="59" t="s">
        <v>492</v>
      </c>
      <c r="L419" s="59" t="s">
        <v>929</v>
      </c>
      <c r="M419" cm="1">
        <f t="array" ref="M419">_xlfn.XLOOKUP(Matrix[[#This Row],[TEAM]]&amp;Matrix[[#Headers],[1]],FDR[FDR]&amp;FDR[[#Headers],[1]],FDR[1],"",0,1)</f>
        <v>5</v>
      </c>
      <c r="N419" cm="1">
        <f t="array" ref="N419">_xlfn.XLOOKUP(Matrix[[#This Row],[TEAM]]&amp;Matrix[[#Headers],[2]],FDR[FDR]&amp;FDR[[#Headers],[2]],FDR[2],"",0,1)</f>
        <v>5</v>
      </c>
      <c r="O419" cm="1">
        <f t="array" ref="O419">_xlfn.XLOOKUP(Matrix[[#This Row],[TEAM]]&amp;Matrix[[#Headers],[3]],FDR[FDR]&amp;FDR[[#Headers],[3]],FDR[3],"",0,1)</f>
        <v>4</v>
      </c>
      <c r="P419" cm="1">
        <f t="array" ref="P419">_xlfn.XLOOKUP(Matrix[[#This Row],[TEAM]]&amp;Matrix[[#Headers],[4]],FDR[FDR]&amp;FDR[[#Headers],[4]],FDR[4],"",0,1)</f>
        <v>5</v>
      </c>
      <c r="Q419" cm="1">
        <f t="array" ref="Q419">_xlfn.XLOOKUP(Matrix[[#This Row],[TEAM]]&amp;Matrix[[#Headers],[5]],FDR[FDR]&amp;FDR[[#Headers],[5]],FDR[5],"",0,1)</f>
        <v>2</v>
      </c>
      <c r="R419" cm="1">
        <f t="array" ref="R419">_xlfn.XLOOKUP(Matrix[[#This Row],[TEAM]]&amp;Matrix[[#Headers],[6]],FDR[FDR]&amp;FDR[[#Headers],[6]],FDR[6],"",0,1)</f>
        <v>5</v>
      </c>
      <c r="S419" cm="1">
        <f t="array" ref="S419">_xlfn.XLOOKUP(Matrix[[#This Row],[TEAM]]&amp;Matrix[[#Headers],[7]],FDR[FDR]&amp;FDR[[#Headers],[7]],FDR[7],"",0,1)</f>
        <v>4</v>
      </c>
      <c r="T419" cm="1">
        <f t="array" ref="T419">_xlfn.XLOOKUP(Matrix[[#This Row],[TEAM]]&amp;Matrix[[#Headers],[8]],FDR[FDR]&amp;FDR[[#Headers],[8]],FDR[8],"",0,1)</f>
        <v>3</v>
      </c>
      <c r="U419" cm="1">
        <f t="array" ref="U419">_xlfn.XLOOKUP(Matrix[[#This Row],[TEAM]]&amp;Matrix[[#Headers],[9]],FDR[FDR]&amp;FDR[[#Headers],[9]],FDR[9],"",0,1)</f>
        <v>2</v>
      </c>
      <c r="V419" cm="1">
        <f t="array" ref="V419">_xlfn.XLOOKUP(Matrix[[#This Row],[TEAM]]&amp;Matrix[[#Headers],[10]],FDR[FDR]&amp;FDR[[#Headers],[10]],FDR[10],"",0,1)</f>
        <v>5</v>
      </c>
      <c r="W419" cm="1">
        <f t="array" ref="W419">_xlfn.XLOOKUP(Matrix[[#This Row],[TEAM]]&amp;Matrix[[#Headers],[11]],FDR[FDR]&amp;FDR[[#Headers],[11]],FDR[11],"",0,1)</f>
        <v>5</v>
      </c>
      <c r="X419" cm="1">
        <f t="array" ref="X419">_xlfn.XLOOKUP(Matrix[[#This Row],[TEAM]]&amp;Matrix[[#Headers],[12]],FDR[FDR]&amp;FDR[[#Headers],[12]],FDR[12],"",0,1)</f>
        <v>4</v>
      </c>
      <c r="Y419" cm="1">
        <f t="array" ref="Y419">_xlfn.XLOOKUP(Matrix[[#This Row],[TEAM]]&amp;Matrix[[#Headers],[13]],FDR[FDR]&amp;FDR[[#Headers],[13]],FDR[13],"",0,1)</f>
        <v>5</v>
      </c>
      <c r="Z419" cm="1">
        <f t="array" ref="Z419">_xlfn.XLOOKUP(Matrix[[#This Row],[TEAM]]&amp;Matrix[[#Headers],[14]],FDR[FDR]&amp;FDR[[#Headers],[14]],FDR[14],"",0,1)</f>
        <v>4</v>
      </c>
      <c r="AA419" cm="1">
        <f t="array" ref="AA419">_xlfn.XLOOKUP(Matrix[[#This Row],[TEAM]]&amp;Matrix[[#Headers],[15]],FDR[FDR]&amp;FDR[[#Headers],[15]],FDR[15],"",0,1)</f>
        <v>5</v>
      </c>
      <c r="AB419" cm="1">
        <f t="array" ref="AB419">_xlfn.XLOOKUP(Matrix[[#This Row],[TEAM]]&amp;Matrix[[#Headers],[16]],FDR[FDR]&amp;FDR[[#Headers],[16]],FDR[16],"",0,1)</f>
        <v>5</v>
      </c>
      <c r="AC419" cm="1">
        <f t="array" ref="AC419">_xlfn.XLOOKUP(Matrix[[#This Row],[TEAM]]&amp;Matrix[[#Headers],[17]],FDR[FDR]&amp;FDR[[#Headers],[17]],FDR[17],"",0,1)</f>
        <v>4</v>
      </c>
      <c r="AD419" cm="1">
        <f t="array" ref="AD419">_xlfn.XLOOKUP(Matrix[[#This Row],[TEAM]]&amp;Matrix[[#Headers],[18]],FDR[FDR]&amp;FDR[[#Headers],[18]],FDR[18],"",0,1)</f>
        <v>5</v>
      </c>
      <c r="AE419" cm="1">
        <f t="array" ref="AE419">_xlfn.XLOOKUP(Matrix[[#This Row],[TEAM]]&amp;Matrix[[#Headers],[19]],FDR[FDR]&amp;FDR[[#Headers],[19]],FDR[19],"",0,1)</f>
        <v>5</v>
      </c>
      <c r="AF419" cm="1">
        <f t="array" ref="AF419">_xlfn.XLOOKUP(Matrix[[#This Row],[TEAM]]&amp;Matrix[[#Headers],[20]],FDR[FDR]&amp;FDR[[#Headers],[20]],FDR[20],"",0,1)</f>
        <v>4</v>
      </c>
      <c r="AG419" cm="1">
        <f t="array" ref="AG419">_xlfn.XLOOKUP(Matrix[[#This Row],[TEAM]]&amp;Matrix[[#Headers],[21]],FDR[FDR]&amp;FDR[[#Headers],[21]],FDR[21],"",0,1)</f>
        <v>5</v>
      </c>
      <c r="AH419" cm="1">
        <f t="array" ref="AH419">_xlfn.XLOOKUP(Matrix[[#This Row],[TEAM]]&amp;Matrix[[#Headers],[22]],FDR[FDR]&amp;FDR[[#Headers],[22]],FDR[22],"",0,1)</f>
        <v>5</v>
      </c>
      <c r="AI419" cm="1">
        <f t="array" ref="AI419">_xlfn.XLOOKUP(Matrix[[#This Row],[TEAM]]&amp;Matrix[[#Headers],[23]],FDR[FDR]&amp;FDR[[#Headers],[23]],FDR[23],"",0,1)</f>
        <v>5</v>
      </c>
      <c r="AJ419" cm="1">
        <f t="array" ref="AJ419">_xlfn.XLOOKUP(Matrix[[#This Row],[TEAM]]&amp;Matrix[[#Headers],[24]],FDR[FDR]&amp;FDR[[#Headers],[24]],FDR[24],"",0,1)</f>
        <v>4</v>
      </c>
      <c r="AK419" cm="1">
        <f t="array" ref="AK419">_xlfn.XLOOKUP(Matrix[[#This Row],[TEAM]]&amp;Matrix[[#Headers],[25]],FDR[FDR]&amp;FDR[[#Headers],[25]],FDR[25],"",0,1)</f>
        <v>5</v>
      </c>
      <c r="AL419" cm="1">
        <f t="array" ref="AL419">_xlfn.XLOOKUP(Matrix[[#This Row],[TEAM]]&amp;Matrix[[#Headers],[26]],FDR[FDR]&amp;FDR[[#Headers],[26]],FDR[26],"",0,1)</f>
        <v>5</v>
      </c>
      <c r="AM419" cm="1">
        <f t="array" ref="AM419">_xlfn.XLOOKUP(Matrix[[#This Row],[TEAM]]&amp;Matrix[[#Headers],[27]],FDR[FDR]&amp;FDR[[#Headers],[27]],FDR[27],"",0,1)</f>
        <v>5</v>
      </c>
      <c r="AN419" cm="1">
        <f t="array" ref="AN419">_xlfn.XLOOKUP(Matrix[[#This Row],[TEAM]]&amp;Matrix[[#Headers],[28]],FDR[FDR]&amp;FDR[[#Headers],[28]],FDR[28],"",0,1)</f>
        <v>5</v>
      </c>
      <c r="AO419" cm="1">
        <f t="array" ref="AO419">_xlfn.XLOOKUP(Matrix[[#This Row],[TEAM]]&amp;Matrix[[#Headers],[29]],FDR[FDR]&amp;FDR[[#Headers],[29]],FDR[29],"",0,1)</f>
        <v>5</v>
      </c>
      <c r="AP419" cm="1">
        <f t="array" ref="AP419">_xlfn.XLOOKUP(Matrix[[#This Row],[TEAM]]&amp;Matrix[[#Headers],[30]],FDR[FDR]&amp;FDR[[#Headers],[30]],FDR[30],"",0,1)</f>
        <v>5</v>
      </c>
      <c r="AQ419" cm="1">
        <f t="array" ref="AQ419">_xlfn.XLOOKUP(Matrix[[#This Row],[TEAM]]&amp;Matrix[[#Headers],[31]],FDR[FDR]&amp;FDR[[#Headers],[31]],FDR[31],"",0,1)</f>
        <v>5</v>
      </c>
      <c r="AR419" cm="1">
        <f t="array" ref="AR419">_xlfn.XLOOKUP(Matrix[[#This Row],[TEAM]]&amp;Matrix[[#Headers],[32]],FDR[FDR]&amp;FDR[[#Headers],[32]],FDR[32],"",0,1)</f>
        <v>5</v>
      </c>
      <c r="AS419" cm="1">
        <f t="array" ref="AS419">_xlfn.XLOOKUP(Matrix[[#This Row],[TEAM]]&amp;Matrix[[#Headers],[33]],FDR[FDR]&amp;FDR[[#Headers],[33]],FDR[33],"",0,1)</f>
        <v>3</v>
      </c>
      <c r="AT419" cm="1">
        <f t="array" ref="AT419">_xlfn.XLOOKUP(Matrix[[#This Row],[TEAM]]&amp;Matrix[[#Headers],[34]],FDR[FDR]&amp;FDR[[#Headers],[34]],FDR[34],"",0,1)</f>
        <v>5</v>
      </c>
      <c r="AU419" cm="1">
        <f t="array" ref="AU419">_xlfn.XLOOKUP(Matrix[[#This Row],[TEAM]]&amp;Matrix[[#Headers],[35]],FDR[FDR]&amp;FDR[[#Headers],[35]],FDR[35],"",0,1)</f>
        <v>2</v>
      </c>
      <c r="AV419" cm="1">
        <f t="array" ref="AV419">_xlfn.XLOOKUP(Matrix[[#This Row],[TEAM]]&amp;Matrix[[#Headers],[36]],FDR[FDR]&amp;FDR[[#Headers],[36]],FDR[36],"",0,1)</f>
        <v>5</v>
      </c>
      <c r="AW419" cm="1">
        <f t="array" ref="AW419">_xlfn.XLOOKUP(Matrix[[#This Row],[TEAM]]&amp;Matrix[[#Headers],[37]],FDR[FDR]&amp;FDR[[#Headers],[37]],FDR[37],"",0,1)</f>
        <v>4</v>
      </c>
      <c r="AX419" cm="1">
        <f t="array" ref="AX419">_xlfn.XLOOKUP(Matrix[[#This Row],[TEAM]]&amp;Matrix[[#Headers],[38]],FDR[FDR]&amp;FDR[[#Headers],[38]],FDR[38],"",0,1)</f>
        <v>3</v>
      </c>
    </row>
    <row r="420" spans="1:50" ht="22" thickTop="1" thickBot="1">
      <c r="A420" s="50" t="str">
        <f>INDEX!S$4</f>
        <v>MID</v>
      </c>
      <c r="B420" s="70" t="s">
        <v>1693</v>
      </c>
      <c r="C420" s="40" t="s">
        <v>51</v>
      </c>
      <c r="D420" s="62">
        <v>0</v>
      </c>
      <c r="E420" s="60">
        <v>3.0000000000000001E-3</v>
      </c>
      <c r="F420" s="61">
        <v>0</v>
      </c>
      <c r="G420" s="63">
        <v>4.5</v>
      </c>
      <c r="H420" s="261">
        <f>IF(ISBLANK(I420),0,1)</f>
        <v>0</v>
      </c>
      <c r="I420" s="57"/>
      <c r="J420" s="58"/>
      <c r="K420" s="59" t="s">
        <v>1217</v>
      </c>
      <c r="L420" s="59" t="s">
        <v>1218</v>
      </c>
      <c r="M420" cm="1">
        <f t="array" ref="M420">_xlfn.XLOOKUP(Matrix[[#This Row],[TEAM]]&amp;Matrix[[#Headers],[1]],FDR[FDR]&amp;FDR[[#Headers],[1]],FDR[1],"",0,1)</f>
        <v>5</v>
      </c>
      <c r="N420" cm="1">
        <f t="array" ref="N420">_xlfn.XLOOKUP(Matrix[[#This Row],[TEAM]]&amp;Matrix[[#Headers],[2]],FDR[FDR]&amp;FDR[[#Headers],[2]],FDR[2],"",0,1)</f>
        <v>5</v>
      </c>
      <c r="O420" cm="1">
        <f t="array" ref="O420">_xlfn.XLOOKUP(Matrix[[#This Row],[TEAM]]&amp;Matrix[[#Headers],[3]],FDR[FDR]&amp;FDR[[#Headers],[3]],FDR[3],"",0,1)</f>
        <v>4</v>
      </c>
      <c r="P420" cm="1">
        <f t="array" ref="P420">_xlfn.XLOOKUP(Matrix[[#This Row],[TEAM]]&amp;Matrix[[#Headers],[4]],FDR[FDR]&amp;FDR[[#Headers],[4]],FDR[4],"",0,1)</f>
        <v>5</v>
      </c>
      <c r="Q420" cm="1">
        <f t="array" ref="Q420">_xlfn.XLOOKUP(Matrix[[#This Row],[TEAM]]&amp;Matrix[[#Headers],[5]],FDR[FDR]&amp;FDR[[#Headers],[5]],FDR[5],"",0,1)</f>
        <v>2</v>
      </c>
      <c r="R420" cm="1">
        <f t="array" ref="R420">_xlfn.XLOOKUP(Matrix[[#This Row],[TEAM]]&amp;Matrix[[#Headers],[6]],FDR[FDR]&amp;FDR[[#Headers],[6]],FDR[6],"",0,1)</f>
        <v>5</v>
      </c>
      <c r="S420" cm="1">
        <f t="array" ref="S420">_xlfn.XLOOKUP(Matrix[[#This Row],[TEAM]]&amp;Matrix[[#Headers],[7]],FDR[FDR]&amp;FDR[[#Headers],[7]],FDR[7],"",0,1)</f>
        <v>4</v>
      </c>
      <c r="T420" cm="1">
        <f t="array" ref="T420">_xlfn.XLOOKUP(Matrix[[#This Row],[TEAM]]&amp;Matrix[[#Headers],[8]],FDR[FDR]&amp;FDR[[#Headers],[8]],FDR[8],"",0,1)</f>
        <v>3</v>
      </c>
      <c r="U420" cm="1">
        <f t="array" ref="U420">_xlfn.XLOOKUP(Matrix[[#This Row],[TEAM]]&amp;Matrix[[#Headers],[9]],FDR[FDR]&amp;FDR[[#Headers],[9]],FDR[9],"",0,1)</f>
        <v>2</v>
      </c>
      <c r="V420" cm="1">
        <f t="array" ref="V420">_xlfn.XLOOKUP(Matrix[[#This Row],[TEAM]]&amp;Matrix[[#Headers],[10]],FDR[FDR]&amp;FDR[[#Headers],[10]],FDR[10],"",0,1)</f>
        <v>5</v>
      </c>
      <c r="W420" cm="1">
        <f t="array" ref="W420">_xlfn.XLOOKUP(Matrix[[#This Row],[TEAM]]&amp;Matrix[[#Headers],[11]],FDR[FDR]&amp;FDR[[#Headers],[11]],FDR[11],"",0,1)</f>
        <v>5</v>
      </c>
      <c r="X420" cm="1">
        <f t="array" ref="X420">_xlfn.XLOOKUP(Matrix[[#This Row],[TEAM]]&amp;Matrix[[#Headers],[12]],FDR[FDR]&amp;FDR[[#Headers],[12]],FDR[12],"",0,1)</f>
        <v>4</v>
      </c>
      <c r="Y420" cm="1">
        <f t="array" ref="Y420">_xlfn.XLOOKUP(Matrix[[#This Row],[TEAM]]&amp;Matrix[[#Headers],[13]],FDR[FDR]&amp;FDR[[#Headers],[13]],FDR[13],"",0,1)</f>
        <v>5</v>
      </c>
      <c r="Z420" cm="1">
        <f t="array" ref="Z420">_xlfn.XLOOKUP(Matrix[[#This Row],[TEAM]]&amp;Matrix[[#Headers],[14]],FDR[FDR]&amp;FDR[[#Headers],[14]],FDR[14],"",0,1)</f>
        <v>4</v>
      </c>
      <c r="AA420" cm="1">
        <f t="array" ref="AA420">_xlfn.XLOOKUP(Matrix[[#This Row],[TEAM]]&amp;Matrix[[#Headers],[15]],FDR[FDR]&amp;FDR[[#Headers],[15]],FDR[15],"",0,1)</f>
        <v>5</v>
      </c>
      <c r="AB420" cm="1">
        <f t="array" ref="AB420">_xlfn.XLOOKUP(Matrix[[#This Row],[TEAM]]&amp;Matrix[[#Headers],[16]],FDR[FDR]&amp;FDR[[#Headers],[16]],FDR[16],"",0,1)</f>
        <v>5</v>
      </c>
      <c r="AC420" cm="1">
        <f t="array" ref="AC420">_xlfn.XLOOKUP(Matrix[[#This Row],[TEAM]]&amp;Matrix[[#Headers],[17]],FDR[FDR]&amp;FDR[[#Headers],[17]],FDR[17],"",0,1)</f>
        <v>4</v>
      </c>
      <c r="AD420" cm="1">
        <f t="array" ref="AD420">_xlfn.XLOOKUP(Matrix[[#This Row],[TEAM]]&amp;Matrix[[#Headers],[18]],FDR[FDR]&amp;FDR[[#Headers],[18]],FDR[18],"",0,1)</f>
        <v>5</v>
      </c>
      <c r="AE420" cm="1">
        <f t="array" ref="AE420">_xlfn.XLOOKUP(Matrix[[#This Row],[TEAM]]&amp;Matrix[[#Headers],[19]],FDR[FDR]&amp;FDR[[#Headers],[19]],FDR[19],"",0,1)</f>
        <v>5</v>
      </c>
      <c r="AF420" cm="1">
        <f t="array" ref="AF420">_xlfn.XLOOKUP(Matrix[[#This Row],[TEAM]]&amp;Matrix[[#Headers],[20]],FDR[FDR]&amp;FDR[[#Headers],[20]],FDR[20],"",0,1)</f>
        <v>4</v>
      </c>
      <c r="AG420" cm="1">
        <f t="array" ref="AG420">_xlfn.XLOOKUP(Matrix[[#This Row],[TEAM]]&amp;Matrix[[#Headers],[21]],FDR[FDR]&amp;FDR[[#Headers],[21]],FDR[21],"",0,1)</f>
        <v>5</v>
      </c>
      <c r="AH420" cm="1">
        <f t="array" ref="AH420">_xlfn.XLOOKUP(Matrix[[#This Row],[TEAM]]&amp;Matrix[[#Headers],[22]],FDR[FDR]&amp;FDR[[#Headers],[22]],FDR[22],"",0,1)</f>
        <v>5</v>
      </c>
      <c r="AI420" cm="1">
        <f t="array" ref="AI420">_xlfn.XLOOKUP(Matrix[[#This Row],[TEAM]]&amp;Matrix[[#Headers],[23]],FDR[FDR]&amp;FDR[[#Headers],[23]],FDR[23],"",0,1)</f>
        <v>5</v>
      </c>
      <c r="AJ420" cm="1">
        <f t="array" ref="AJ420">_xlfn.XLOOKUP(Matrix[[#This Row],[TEAM]]&amp;Matrix[[#Headers],[24]],FDR[FDR]&amp;FDR[[#Headers],[24]],FDR[24],"",0,1)</f>
        <v>4</v>
      </c>
      <c r="AK420" cm="1">
        <f t="array" ref="AK420">_xlfn.XLOOKUP(Matrix[[#This Row],[TEAM]]&amp;Matrix[[#Headers],[25]],FDR[FDR]&amp;FDR[[#Headers],[25]],FDR[25],"",0,1)</f>
        <v>5</v>
      </c>
      <c r="AL420" cm="1">
        <f t="array" ref="AL420">_xlfn.XLOOKUP(Matrix[[#This Row],[TEAM]]&amp;Matrix[[#Headers],[26]],FDR[FDR]&amp;FDR[[#Headers],[26]],FDR[26],"",0,1)</f>
        <v>5</v>
      </c>
      <c r="AM420" cm="1">
        <f t="array" ref="AM420">_xlfn.XLOOKUP(Matrix[[#This Row],[TEAM]]&amp;Matrix[[#Headers],[27]],FDR[FDR]&amp;FDR[[#Headers],[27]],FDR[27],"",0,1)</f>
        <v>5</v>
      </c>
      <c r="AN420" cm="1">
        <f t="array" ref="AN420">_xlfn.XLOOKUP(Matrix[[#This Row],[TEAM]]&amp;Matrix[[#Headers],[28]],FDR[FDR]&amp;FDR[[#Headers],[28]],FDR[28],"",0,1)</f>
        <v>5</v>
      </c>
      <c r="AO420" cm="1">
        <f t="array" ref="AO420">_xlfn.XLOOKUP(Matrix[[#This Row],[TEAM]]&amp;Matrix[[#Headers],[29]],FDR[FDR]&amp;FDR[[#Headers],[29]],FDR[29],"",0,1)</f>
        <v>5</v>
      </c>
      <c r="AP420" cm="1">
        <f t="array" ref="AP420">_xlfn.XLOOKUP(Matrix[[#This Row],[TEAM]]&amp;Matrix[[#Headers],[30]],FDR[FDR]&amp;FDR[[#Headers],[30]],FDR[30],"",0,1)</f>
        <v>5</v>
      </c>
      <c r="AQ420" cm="1">
        <f t="array" ref="AQ420">_xlfn.XLOOKUP(Matrix[[#This Row],[TEAM]]&amp;Matrix[[#Headers],[31]],FDR[FDR]&amp;FDR[[#Headers],[31]],FDR[31],"",0,1)</f>
        <v>5</v>
      </c>
      <c r="AR420" cm="1">
        <f t="array" ref="AR420">_xlfn.XLOOKUP(Matrix[[#This Row],[TEAM]]&amp;Matrix[[#Headers],[32]],FDR[FDR]&amp;FDR[[#Headers],[32]],FDR[32],"",0,1)</f>
        <v>5</v>
      </c>
      <c r="AS420" cm="1">
        <f t="array" ref="AS420">_xlfn.XLOOKUP(Matrix[[#This Row],[TEAM]]&amp;Matrix[[#Headers],[33]],FDR[FDR]&amp;FDR[[#Headers],[33]],FDR[33],"",0,1)</f>
        <v>3</v>
      </c>
      <c r="AT420" cm="1">
        <f t="array" ref="AT420">_xlfn.XLOOKUP(Matrix[[#This Row],[TEAM]]&amp;Matrix[[#Headers],[34]],FDR[FDR]&amp;FDR[[#Headers],[34]],FDR[34],"",0,1)</f>
        <v>5</v>
      </c>
      <c r="AU420" cm="1">
        <f t="array" ref="AU420">_xlfn.XLOOKUP(Matrix[[#This Row],[TEAM]]&amp;Matrix[[#Headers],[35]],FDR[FDR]&amp;FDR[[#Headers],[35]],FDR[35],"",0,1)</f>
        <v>2</v>
      </c>
      <c r="AV420" cm="1">
        <f t="array" ref="AV420">_xlfn.XLOOKUP(Matrix[[#This Row],[TEAM]]&amp;Matrix[[#Headers],[36]],FDR[FDR]&amp;FDR[[#Headers],[36]],FDR[36],"",0,1)</f>
        <v>5</v>
      </c>
      <c r="AW420" cm="1">
        <f t="array" ref="AW420">_xlfn.XLOOKUP(Matrix[[#This Row],[TEAM]]&amp;Matrix[[#Headers],[37]],FDR[FDR]&amp;FDR[[#Headers],[37]],FDR[37],"",0,1)</f>
        <v>4</v>
      </c>
      <c r="AX420" cm="1">
        <f t="array" ref="AX420">_xlfn.XLOOKUP(Matrix[[#This Row],[TEAM]]&amp;Matrix[[#Headers],[38]],FDR[FDR]&amp;FDR[[#Headers],[38]],FDR[38],"",0,1)</f>
        <v>3</v>
      </c>
    </row>
    <row r="421" spans="1:50" ht="22" thickTop="1" thickBot="1">
      <c r="A421" s="49" t="str">
        <f>INDEX!S$5</f>
        <v>FWD</v>
      </c>
      <c r="B421" s="70" t="s">
        <v>1648</v>
      </c>
      <c r="C421" s="40" t="s">
        <v>19</v>
      </c>
      <c r="D421" s="62">
        <v>6</v>
      </c>
      <c r="E421" s="60">
        <v>8.0000000000000002E-3</v>
      </c>
      <c r="F421" s="61">
        <v>5.2</v>
      </c>
      <c r="G421" s="63">
        <v>4.5</v>
      </c>
      <c r="H421" s="261">
        <f>IF(ISBLANK(I421),0,1)</f>
        <v>0</v>
      </c>
      <c r="I421" s="57"/>
      <c r="J421" s="58"/>
      <c r="K421" s="64" t="s">
        <v>1151</v>
      </c>
      <c r="L421" s="64" t="s">
        <v>1152</v>
      </c>
      <c r="M421" cm="1">
        <f t="array" ref="M421">_xlfn.XLOOKUP(Matrix[[#This Row],[TEAM]]&amp;Matrix[[#Headers],[1]],FDR[FDR]&amp;FDR[[#Headers],[1]],FDR[1],"",0,1)</f>
        <v>1</v>
      </c>
      <c r="N421" cm="1">
        <f t="array" ref="N421">_xlfn.XLOOKUP(Matrix[[#This Row],[TEAM]]&amp;Matrix[[#Headers],[2]],FDR[FDR]&amp;FDR[[#Headers],[2]],FDR[2],"",0,1)</f>
        <v>4</v>
      </c>
      <c r="O421" cm="1">
        <f t="array" ref="O421">_xlfn.XLOOKUP(Matrix[[#This Row],[TEAM]]&amp;Matrix[[#Headers],[3]],FDR[FDR]&amp;FDR[[#Headers],[3]],FDR[3],"",0,1)</f>
        <v>1</v>
      </c>
      <c r="P421" cm="1">
        <f t="array" ref="P421">_xlfn.XLOOKUP(Matrix[[#This Row],[TEAM]]&amp;Matrix[[#Headers],[4]],FDR[FDR]&amp;FDR[[#Headers],[4]],FDR[4],"",0,1)</f>
        <v>2</v>
      </c>
      <c r="Q421" cm="1">
        <f t="array" ref="Q421">_xlfn.XLOOKUP(Matrix[[#This Row],[TEAM]]&amp;Matrix[[#Headers],[5]],FDR[FDR]&amp;FDR[[#Headers],[5]],FDR[5],"",0,1)</f>
        <v>2</v>
      </c>
      <c r="R421" cm="1">
        <f t="array" ref="R421">_xlfn.XLOOKUP(Matrix[[#This Row],[TEAM]]&amp;Matrix[[#Headers],[6]],FDR[FDR]&amp;FDR[[#Headers],[6]],FDR[6],"",0,1)</f>
        <v>1</v>
      </c>
      <c r="S421" cm="1">
        <f t="array" ref="S421">_xlfn.XLOOKUP(Matrix[[#This Row],[TEAM]]&amp;Matrix[[#Headers],[7]],FDR[FDR]&amp;FDR[[#Headers],[7]],FDR[7],"",0,1)</f>
        <v>1</v>
      </c>
      <c r="T421" cm="1">
        <f t="array" ref="T421">_xlfn.XLOOKUP(Matrix[[#This Row],[TEAM]]&amp;Matrix[[#Headers],[8]],FDR[FDR]&amp;FDR[[#Headers],[8]],FDR[8],"",0,1)</f>
        <v>2</v>
      </c>
      <c r="U421" cm="1">
        <f t="array" ref="U421">_xlfn.XLOOKUP(Matrix[[#This Row],[TEAM]]&amp;Matrix[[#Headers],[9]],FDR[FDR]&amp;FDR[[#Headers],[9]],FDR[9],"",0,1)</f>
        <v>2</v>
      </c>
      <c r="V421" cm="1">
        <f t="array" ref="V421">_xlfn.XLOOKUP(Matrix[[#This Row],[TEAM]]&amp;Matrix[[#Headers],[10]],FDR[FDR]&amp;FDR[[#Headers],[10]],FDR[10],"",0,1)</f>
        <v>3</v>
      </c>
      <c r="W421" cm="1">
        <f t="array" ref="W421">_xlfn.XLOOKUP(Matrix[[#This Row],[TEAM]]&amp;Matrix[[#Headers],[11]],FDR[FDR]&amp;FDR[[#Headers],[11]],FDR[11],"",0,1)</f>
        <v>3</v>
      </c>
      <c r="X421" cm="1">
        <f t="array" ref="X421">_xlfn.XLOOKUP(Matrix[[#This Row],[TEAM]]&amp;Matrix[[#Headers],[12]],FDR[FDR]&amp;FDR[[#Headers],[12]],FDR[12],"",0,1)</f>
        <v>4</v>
      </c>
      <c r="Y421" cm="1">
        <f t="array" ref="Y421">_xlfn.XLOOKUP(Matrix[[#This Row],[TEAM]]&amp;Matrix[[#Headers],[13]],FDR[FDR]&amp;FDR[[#Headers],[13]],FDR[13],"",0,1)</f>
        <v>1</v>
      </c>
      <c r="Z421" cm="1">
        <f t="array" ref="Z421">_xlfn.XLOOKUP(Matrix[[#This Row],[TEAM]]&amp;Matrix[[#Headers],[14]],FDR[FDR]&amp;FDR[[#Headers],[14]],FDR[14],"",0,1)</f>
        <v>3</v>
      </c>
      <c r="AA421" cm="1">
        <f t="array" ref="AA421">_xlfn.XLOOKUP(Matrix[[#This Row],[TEAM]]&amp;Matrix[[#Headers],[15]],FDR[FDR]&amp;FDR[[#Headers],[15]],FDR[15],"",0,1)</f>
        <v>1</v>
      </c>
      <c r="AB421" cm="1">
        <f t="array" ref="AB421">_xlfn.XLOOKUP(Matrix[[#This Row],[TEAM]]&amp;Matrix[[#Headers],[16]],FDR[FDR]&amp;FDR[[#Headers],[16]],FDR[16],"",0,1)</f>
        <v>2</v>
      </c>
      <c r="AC421" cm="1">
        <f t="array" ref="AC421">_xlfn.XLOOKUP(Matrix[[#This Row],[TEAM]]&amp;Matrix[[#Headers],[17]],FDR[FDR]&amp;FDR[[#Headers],[17]],FDR[17],"",0,1)</f>
        <v>3</v>
      </c>
      <c r="AD421" cm="1">
        <f t="array" ref="AD421">_xlfn.XLOOKUP(Matrix[[#This Row],[TEAM]]&amp;Matrix[[#Headers],[18]],FDR[FDR]&amp;FDR[[#Headers],[18]],FDR[18],"",0,1)</f>
        <v>2</v>
      </c>
      <c r="AE421" cm="1">
        <f t="array" ref="AE421">_xlfn.XLOOKUP(Matrix[[#This Row],[TEAM]]&amp;Matrix[[#Headers],[19]],FDR[FDR]&amp;FDR[[#Headers],[19]],FDR[19],"",0,1)</f>
        <v>2</v>
      </c>
      <c r="AF421" cm="1">
        <f t="array" ref="AF421">_xlfn.XLOOKUP(Matrix[[#This Row],[TEAM]]&amp;Matrix[[#Headers],[20]],FDR[FDR]&amp;FDR[[#Headers],[20]],FDR[20],"",0,1)</f>
        <v>1</v>
      </c>
      <c r="AG421" cm="1">
        <f t="array" ref="AG421">_xlfn.XLOOKUP(Matrix[[#This Row],[TEAM]]&amp;Matrix[[#Headers],[21]],FDR[FDR]&amp;FDR[[#Headers],[21]],FDR[21],"",0,1)</f>
        <v>2</v>
      </c>
      <c r="AH421" cm="1">
        <f t="array" ref="AH421">_xlfn.XLOOKUP(Matrix[[#This Row],[TEAM]]&amp;Matrix[[#Headers],[22]],FDR[FDR]&amp;FDR[[#Headers],[22]],FDR[22],"",0,1)</f>
        <v>1</v>
      </c>
      <c r="AI421" cm="1">
        <f t="array" ref="AI421">_xlfn.XLOOKUP(Matrix[[#This Row],[TEAM]]&amp;Matrix[[#Headers],[23]],FDR[FDR]&amp;FDR[[#Headers],[23]],FDR[23],"",0,1)</f>
        <v>1</v>
      </c>
      <c r="AJ421" cm="1">
        <f t="array" ref="AJ421">_xlfn.XLOOKUP(Matrix[[#This Row],[TEAM]]&amp;Matrix[[#Headers],[24]],FDR[FDR]&amp;FDR[[#Headers],[24]],FDR[24],"",0,1)</f>
        <v>3</v>
      </c>
      <c r="AK421" cm="1">
        <f t="array" ref="AK421">_xlfn.XLOOKUP(Matrix[[#This Row],[TEAM]]&amp;Matrix[[#Headers],[25]],FDR[FDR]&amp;FDR[[#Headers],[25]],FDR[25],"",0,1)</f>
        <v>4</v>
      </c>
      <c r="AL421" cm="1">
        <f t="array" ref="AL421">_xlfn.XLOOKUP(Matrix[[#This Row],[TEAM]]&amp;Matrix[[#Headers],[26]],FDR[FDR]&amp;FDR[[#Headers],[26]],FDR[26],"",0,1)</f>
        <v>2</v>
      </c>
      <c r="AM421" cm="1">
        <f t="array" ref="AM421">_xlfn.XLOOKUP(Matrix[[#This Row],[TEAM]]&amp;Matrix[[#Headers],[27]],FDR[FDR]&amp;FDR[[#Headers],[27]],FDR[27],"",0,1)</f>
        <v>3</v>
      </c>
      <c r="AN421" cm="1">
        <f t="array" ref="AN421">_xlfn.XLOOKUP(Matrix[[#This Row],[TEAM]]&amp;Matrix[[#Headers],[28]],FDR[FDR]&amp;FDR[[#Headers],[28]],FDR[28],"",0,1)</f>
        <v>2</v>
      </c>
      <c r="AO421" cm="1">
        <f t="array" ref="AO421">_xlfn.XLOOKUP(Matrix[[#This Row],[TEAM]]&amp;Matrix[[#Headers],[29]],FDR[FDR]&amp;FDR[[#Headers],[29]],FDR[29],"",0,1)</f>
        <v>1</v>
      </c>
      <c r="AP421" cm="1">
        <f t="array" ref="AP421">_xlfn.XLOOKUP(Matrix[[#This Row],[TEAM]]&amp;Matrix[[#Headers],[30]],FDR[FDR]&amp;FDR[[#Headers],[30]],FDR[30],"",0,1)</f>
        <v>4</v>
      </c>
      <c r="AQ421" cm="1">
        <f t="array" ref="AQ421">_xlfn.XLOOKUP(Matrix[[#This Row],[TEAM]]&amp;Matrix[[#Headers],[31]],FDR[FDR]&amp;FDR[[#Headers],[31]],FDR[31],"",0,1)</f>
        <v>1</v>
      </c>
      <c r="AR421" cm="1">
        <f t="array" ref="AR421">_xlfn.XLOOKUP(Matrix[[#This Row],[TEAM]]&amp;Matrix[[#Headers],[32]],FDR[FDR]&amp;FDR[[#Headers],[32]],FDR[32],"",0,1)</f>
        <v>1</v>
      </c>
      <c r="AS421" cm="1">
        <f t="array" ref="AS421">_xlfn.XLOOKUP(Matrix[[#This Row],[TEAM]]&amp;Matrix[[#Headers],[33]],FDR[FDR]&amp;FDR[[#Headers],[33]],FDR[33],"",0,1)</f>
        <v>1</v>
      </c>
      <c r="AT421" cm="1">
        <f t="array" ref="AT421">_xlfn.XLOOKUP(Matrix[[#This Row],[TEAM]]&amp;Matrix[[#Headers],[34]],FDR[FDR]&amp;FDR[[#Headers],[34]],FDR[34],"",0,1)</f>
        <v>1</v>
      </c>
      <c r="AU421" cm="1">
        <f t="array" ref="AU421">_xlfn.XLOOKUP(Matrix[[#This Row],[TEAM]]&amp;Matrix[[#Headers],[35]],FDR[FDR]&amp;FDR[[#Headers],[35]],FDR[35],"",0,1)</f>
        <v>3</v>
      </c>
      <c r="AV421" cm="1">
        <f t="array" ref="AV421">_xlfn.XLOOKUP(Matrix[[#This Row],[TEAM]]&amp;Matrix[[#Headers],[36]],FDR[FDR]&amp;FDR[[#Headers],[36]],FDR[36],"",0,1)</f>
        <v>1</v>
      </c>
      <c r="AW421" cm="1">
        <f t="array" ref="AW421">_xlfn.XLOOKUP(Matrix[[#This Row],[TEAM]]&amp;Matrix[[#Headers],[37]],FDR[FDR]&amp;FDR[[#Headers],[37]],FDR[37],"",0,1)</f>
        <v>4</v>
      </c>
      <c r="AX421" cm="1">
        <f t="array" ref="AX421">_xlfn.XLOOKUP(Matrix[[#This Row],[TEAM]]&amp;Matrix[[#Headers],[38]],FDR[FDR]&amp;FDR[[#Headers],[38]],FDR[38],"",0,1)</f>
        <v>1</v>
      </c>
    </row>
    <row r="422" spans="1:50" ht="22" thickTop="1" thickBot="1">
      <c r="A422" s="49" t="str">
        <f>INDEX!S$5</f>
        <v>FWD</v>
      </c>
      <c r="B422" s="70" t="s">
        <v>1707</v>
      </c>
      <c r="C422" s="40" t="s">
        <v>17</v>
      </c>
      <c r="D422" s="62">
        <v>1</v>
      </c>
      <c r="E422" s="60">
        <v>2E-3</v>
      </c>
      <c r="F422" s="61">
        <v>0</v>
      </c>
      <c r="G422" s="63">
        <v>4.5</v>
      </c>
      <c r="H422" s="261">
        <f>IF(ISBLANK(I422),0,1)</f>
        <v>0</v>
      </c>
      <c r="I422" s="57"/>
      <c r="J422" s="58"/>
      <c r="K422" s="64" t="s">
        <v>607</v>
      </c>
      <c r="L422" s="64" t="s">
        <v>1086</v>
      </c>
      <c r="M422" cm="1">
        <f t="array" ref="M422">_xlfn.XLOOKUP(Matrix[[#This Row],[TEAM]]&amp;Matrix[[#Headers],[1]],FDR[FDR]&amp;FDR[[#Headers],[1]],FDR[1],"",0,1)</f>
        <v>1</v>
      </c>
      <c r="N422" cm="1">
        <f t="array" ref="N422">_xlfn.XLOOKUP(Matrix[[#This Row],[TEAM]]&amp;Matrix[[#Headers],[2]],FDR[FDR]&amp;FDR[[#Headers],[2]],FDR[2],"",0,1)</f>
        <v>3</v>
      </c>
      <c r="O422" cm="1">
        <f t="array" ref="O422">_xlfn.XLOOKUP(Matrix[[#This Row],[TEAM]]&amp;Matrix[[#Headers],[3]],FDR[FDR]&amp;FDR[[#Headers],[3]],FDR[3],"",0,1)</f>
        <v>3</v>
      </c>
      <c r="P422" cm="1">
        <f t="array" ref="P422">_xlfn.XLOOKUP(Matrix[[#This Row],[TEAM]]&amp;Matrix[[#Headers],[4]],FDR[FDR]&amp;FDR[[#Headers],[4]],FDR[4],"",0,1)</f>
        <v>1</v>
      </c>
      <c r="Q422" cm="1">
        <f t="array" ref="Q422">_xlfn.XLOOKUP(Matrix[[#This Row],[TEAM]]&amp;Matrix[[#Headers],[5]],FDR[FDR]&amp;FDR[[#Headers],[5]],FDR[5],"",0,1)</f>
        <v>1</v>
      </c>
      <c r="R422" cm="1">
        <f t="array" ref="R422">_xlfn.XLOOKUP(Matrix[[#This Row],[TEAM]]&amp;Matrix[[#Headers],[6]],FDR[FDR]&amp;FDR[[#Headers],[6]],FDR[6],"",0,1)</f>
        <v>2</v>
      </c>
      <c r="S422" cm="1">
        <f t="array" ref="S422">_xlfn.XLOOKUP(Matrix[[#This Row],[TEAM]]&amp;Matrix[[#Headers],[7]],FDR[FDR]&amp;FDR[[#Headers],[7]],FDR[7],"",0,1)</f>
        <v>3</v>
      </c>
      <c r="T422" cm="1">
        <f t="array" ref="T422">_xlfn.XLOOKUP(Matrix[[#This Row],[TEAM]]&amp;Matrix[[#Headers],[8]],FDR[FDR]&amp;FDR[[#Headers],[8]],FDR[8],"",0,1)</f>
        <v>2</v>
      </c>
      <c r="U422" cm="1">
        <f t="array" ref="U422">_xlfn.XLOOKUP(Matrix[[#This Row],[TEAM]]&amp;Matrix[[#Headers],[9]],FDR[FDR]&amp;FDR[[#Headers],[9]],FDR[9],"",0,1)</f>
        <v>2</v>
      </c>
      <c r="V422" cm="1">
        <f t="array" ref="V422">_xlfn.XLOOKUP(Matrix[[#This Row],[TEAM]]&amp;Matrix[[#Headers],[10]],FDR[FDR]&amp;FDR[[#Headers],[10]],FDR[10],"",0,1)</f>
        <v>2</v>
      </c>
      <c r="W422" cm="1">
        <f t="array" ref="W422">_xlfn.XLOOKUP(Matrix[[#This Row],[TEAM]]&amp;Matrix[[#Headers],[11]],FDR[FDR]&amp;FDR[[#Headers],[11]],FDR[11],"",0,1)</f>
        <v>3</v>
      </c>
      <c r="X422" cm="1">
        <f t="array" ref="X422">_xlfn.XLOOKUP(Matrix[[#This Row],[TEAM]]&amp;Matrix[[#Headers],[12]],FDR[FDR]&amp;FDR[[#Headers],[12]],FDR[12],"",0,1)</f>
        <v>1</v>
      </c>
      <c r="Y422" cm="1">
        <f t="array" ref="Y422">_xlfn.XLOOKUP(Matrix[[#This Row],[TEAM]]&amp;Matrix[[#Headers],[13]],FDR[FDR]&amp;FDR[[#Headers],[13]],FDR[13],"",0,1)</f>
        <v>2</v>
      </c>
      <c r="Z422" cm="1">
        <f t="array" ref="Z422">_xlfn.XLOOKUP(Matrix[[#This Row],[TEAM]]&amp;Matrix[[#Headers],[14]],FDR[FDR]&amp;FDR[[#Headers],[14]],FDR[14],"",0,1)</f>
        <v>1</v>
      </c>
      <c r="AA422" cm="1">
        <f t="array" ref="AA422">_xlfn.XLOOKUP(Matrix[[#This Row],[TEAM]]&amp;Matrix[[#Headers],[15]],FDR[FDR]&amp;FDR[[#Headers],[15]],FDR[15],"",0,1)</f>
        <v>1</v>
      </c>
      <c r="AB422" cm="1">
        <f t="array" ref="AB422">_xlfn.XLOOKUP(Matrix[[#This Row],[TEAM]]&amp;Matrix[[#Headers],[16]],FDR[FDR]&amp;FDR[[#Headers],[16]],FDR[16],"",0,1)</f>
        <v>1</v>
      </c>
      <c r="AC422" cm="1">
        <f t="array" ref="AC422">_xlfn.XLOOKUP(Matrix[[#This Row],[TEAM]]&amp;Matrix[[#Headers],[17]],FDR[FDR]&amp;FDR[[#Headers],[17]],FDR[17],"",0,1)</f>
        <v>3</v>
      </c>
      <c r="AD422" cm="1">
        <f t="array" ref="AD422">_xlfn.XLOOKUP(Matrix[[#This Row],[TEAM]]&amp;Matrix[[#Headers],[18]],FDR[FDR]&amp;FDR[[#Headers],[18]],FDR[18],"",0,1)</f>
        <v>1</v>
      </c>
      <c r="AE422" cm="1">
        <f t="array" ref="AE422">_xlfn.XLOOKUP(Matrix[[#This Row],[TEAM]]&amp;Matrix[[#Headers],[19]],FDR[FDR]&amp;FDR[[#Headers],[19]],FDR[19],"",0,1)</f>
        <v>1</v>
      </c>
      <c r="AF422" cm="1">
        <f t="array" ref="AF422">_xlfn.XLOOKUP(Matrix[[#This Row],[TEAM]]&amp;Matrix[[#Headers],[20]],FDR[FDR]&amp;FDR[[#Headers],[20]],FDR[20],"",0,1)</f>
        <v>2</v>
      </c>
      <c r="AG422" cm="1">
        <f t="array" ref="AG422">_xlfn.XLOOKUP(Matrix[[#This Row],[TEAM]]&amp;Matrix[[#Headers],[21]],FDR[FDR]&amp;FDR[[#Headers],[21]],FDR[21],"",0,1)</f>
        <v>3</v>
      </c>
      <c r="AH422" cm="1">
        <f t="array" ref="AH422">_xlfn.XLOOKUP(Matrix[[#This Row],[TEAM]]&amp;Matrix[[#Headers],[22]],FDR[FDR]&amp;FDR[[#Headers],[22]],FDR[22],"",0,1)</f>
        <v>1</v>
      </c>
      <c r="AI422" cm="1">
        <f t="array" ref="AI422">_xlfn.XLOOKUP(Matrix[[#This Row],[TEAM]]&amp;Matrix[[#Headers],[23]],FDR[FDR]&amp;FDR[[#Headers],[23]],FDR[23],"",0,1)</f>
        <v>2</v>
      </c>
      <c r="AJ422" cm="1">
        <f t="array" ref="AJ422">_xlfn.XLOOKUP(Matrix[[#This Row],[TEAM]]&amp;Matrix[[#Headers],[24]],FDR[FDR]&amp;FDR[[#Headers],[24]],FDR[24],"",0,1)</f>
        <v>2</v>
      </c>
      <c r="AK422" cm="1">
        <f t="array" ref="AK422">_xlfn.XLOOKUP(Matrix[[#This Row],[TEAM]]&amp;Matrix[[#Headers],[25]],FDR[FDR]&amp;FDR[[#Headers],[25]],FDR[25],"",0,1)</f>
        <v>3</v>
      </c>
      <c r="AL422" cm="1">
        <f t="array" ref="AL422">_xlfn.XLOOKUP(Matrix[[#This Row],[TEAM]]&amp;Matrix[[#Headers],[26]],FDR[FDR]&amp;FDR[[#Headers],[26]],FDR[26],"",0,1)</f>
        <v>1</v>
      </c>
      <c r="AM422" cm="1">
        <f t="array" ref="AM422">_xlfn.XLOOKUP(Matrix[[#This Row],[TEAM]]&amp;Matrix[[#Headers],[27]],FDR[FDR]&amp;FDR[[#Headers],[27]],FDR[27],"",0,1)</f>
        <v>2</v>
      </c>
      <c r="AN422" cm="1">
        <f t="array" ref="AN422">_xlfn.XLOOKUP(Matrix[[#This Row],[TEAM]]&amp;Matrix[[#Headers],[28]],FDR[FDR]&amp;FDR[[#Headers],[28]],FDR[28],"",0,1)</f>
        <v>1</v>
      </c>
      <c r="AO422" cm="1">
        <f t="array" ref="AO422">_xlfn.XLOOKUP(Matrix[[#This Row],[TEAM]]&amp;Matrix[[#Headers],[29]],FDR[FDR]&amp;FDR[[#Headers],[29]],FDR[29],"",0,1)</f>
        <v>1</v>
      </c>
      <c r="AP422" cm="1">
        <f t="array" ref="AP422">_xlfn.XLOOKUP(Matrix[[#This Row],[TEAM]]&amp;Matrix[[#Headers],[30]],FDR[FDR]&amp;FDR[[#Headers],[30]],FDR[30],"",0,1)</f>
        <v>2</v>
      </c>
      <c r="AQ422" cm="1">
        <f t="array" ref="AQ422">_xlfn.XLOOKUP(Matrix[[#This Row],[TEAM]]&amp;Matrix[[#Headers],[31]],FDR[FDR]&amp;FDR[[#Headers],[31]],FDR[31],"",0,1)</f>
        <v>2</v>
      </c>
      <c r="AR422" cm="1">
        <f t="array" ref="AR422">_xlfn.XLOOKUP(Matrix[[#This Row],[TEAM]]&amp;Matrix[[#Headers],[32]],FDR[FDR]&amp;FDR[[#Headers],[32]],FDR[32],"",0,1)</f>
        <v>1</v>
      </c>
      <c r="AS422" cm="1">
        <f t="array" ref="AS422">_xlfn.XLOOKUP(Matrix[[#This Row],[TEAM]]&amp;Matrix[[#Headers],[33]],FDR[FDR]&amp;FDR[[#Headers],[33]],FDR[33],"",0,1)</f>
        <v>2</v>
      </c>
      <c r="AT422" cm="1">
        <f t="array" ref="AT422">_xlfn.XLOOKUP(Matrix[[#This Row],[TEAM]]&amp;Matrix[[#Headers],[34]],FDR[FDR]&amp;FDR[[#Headers],[34]],FDR[34],"",0,1)</f>
        <v>1</v>
      </c>
      <c r="AU422" cm="1">
        <f t="array" ref="AU422">_xlfn.XLOOKUP(Matrix[[#This Row],[TEAM]]&amp;Matrix[[#Headers],[35]],FDR[FDR]&amp;FDR[[#Headers],[35]],FDR[35],"",0,1)</f>
        <v>3</v>
      </c>
      <c r="AV422" cm="1">
        <f t="array" ref="AV422">_xlfn.XLOOKUP(Matrix[[#This Row],[TEAM]]&amp;Matrix[[#Headers],[36]],FDR[FDR]&amp;FDR[[#Headers],[36]],FDR[36],"",0,1)</f>
        <v>2</v>
      </c>
      <c r="AW422" cm="1">
        <f t="array" ref="AW422">_xlfn.XLOOKUP(Matrix[[#This Row],[TEAM]]&amp;Matrix[[#Headers],[37]],FDR[FDR]&amp;FDR[[#Headers],[37]],FDR[37],"",0,1)</f>
        <v>3</v>
      </c>
      <c r="AX422" cm="1">
        <f t="array" ref="AX422">_xlfn.XLOOKUP(Matrix[[#This Row],[TEAM]]&amp;Matrix[[#Headers],[38]],FDR[FDR]&amp;FDR[[#Headers],[38]],FDR[38],"",0,1)</f>
        <v>1</v>
      </c>
    </row>
    <row r="423" spans="1:50" ht="22" thickTop="1" thickBot="1">
      <c r="A423" s="49" t="str">
        <f>INDEX!S$5</f>
        <v>FWD</v>
      </c>
      <c r="B423" s="70" t="s">
        <v>1646</v>
      </c>
      <c r="C423" s="40" t="s">
        <v>28</v>
      </c>
      <c r="D423" s="62">
        <v>0</v>
      </c>
      <c r="E423" s="60">
        <v>8.0000000000000002E-3</v>
      </c>
      <c r="F423" s="61">
        <v>0</v>
      </c>
      <c r="G423" s="63">
        <v>4.5</v>
      </c>
      <c r="H423" s="261">
        <f>IF(ISBLANK(I423),0,1)</f>
        <v>0</v>
      </c>
      <c r="I423" s="57"/>
      <c r="J423" s="58"/>
      <c r="K423" s="64" t="s">
        <v>907</v>
      </c>
      <c r="L423" s="64" t="s">
        <v>902</v>
      </c>
      <c r="M423" cm="1">
        <f t="array" ref="M423">_xlfn.XLOOKUP(Matrix[[#This Row],[TEAM]]&amp;Matrix[[#Headers],[1]],FDR[FDR]&amp;FDR[[#Headers],[1]],FDR[1],"",0,1)</f>
        <v>3</v>
      </c>
      <c r="N423" cm="1">
        <f t="array" ref="N423">_xlfn.XLOOKUP(Matrix[[#This Row],[TEAM]]&amp;Matrix[[#Headers],[2]],FDR[FDR]&amp;FDR[[#Headers],[2]],FDR[2],"",0,1)</f>
        <v>2</v>
      </c>
      <c r="O423" cm="1">
        <f t="array" ref="O423">_xlfn.XLOOKUP(Matrix[[#This Row],[TEAM]]&amp;Matrix[[#Headers],[3]],FDR[FDR]&amp;FDR[[#Headers],[3]],FDR[3],"",0,1)</f>
        <v>1</v>
      </c>
      <c r="P423" cm="1">
        <f t="array" ref="P423">_xlfn.XLOOKUP(Matrix[[#This Row],[TEAM]]&amp;Matrix[[#Headers],[4]],FDR[FDR]&amp;FDR[[#Headers],[4]],FDR[4],"",0,1)</f>
        <v>2</v>
      </c>
      <c r="Q423" cm="1">
        <f t="array" ref="Q423">_xlfn.XLOOKUP(Matrix[[#This Row],[TEAM]]&amp;Matrix[[#Headers],[5]],FDR[FDR]&amp;FDR[[#Headers],[5]],FDR[5],"",0,1)</f>
        <v>1</v>
      </c>
      <c r="R423" cm="1">
        <f t="array" ref="R423">_xlfn.XLOOKUP(Matrix[[#This Row],[TEAM]]&amp;Matrix[[#Headers],[6]],FDR[FDR]&amp;FDR[[#Headers],[6]],FDR[6],"",0,1)</f>
        <v>2</v>
      </c>
      <c r="S423" cm="1">
        <f t="array" ref="S423">_xlfn.XLOOKUP(Matrix[[#This Row],[TEAM]]&amp;Matrix[[#Headers],[7]],FDR[FDR]&amp;FDR[[#Headers],[7]],FDR[7],"",0,1)</f>
        <v>1</v>
      </c>
      <c r="T423" cm="1">
        <f t="array" ref="T423">_xlfn.XLOOKUP(Matrix[[#This Row],[TEAM]]&amp;Matrix[[#Headers],[8]],FDR[FDR]&amp;FDR[[#Headers],[8]],FDR[8],"",0,1)</f>
        <v>4</v>
      </c>
      <c r="U423" cm="1">
        <f t="array" ref="U423">_xlfn.XLOOKUP(Matrix[[#This Row],[TEAM]]&amp;Matrix[[#Headers],[9]],FDR[FDR]&amp;FDR[[#Headers],[9]],FDR[9],"",0,1)</f>
        <v>3</v>
      </c>
      <c r="V423" cm="1">
        <f t="array" ref="V423">_xlfn.XLOOKUP(Matrix[[#This Row],[TEAM]]&amp;Matrix[[#Headers],[10]],FDR[FDR]&amp;FDR[[#Headers],[10]],FDR[10],"",0,1)</f>
        <v>4</v>
      </c>
      <c r="W423" cm="1">
        <f t="array" ref="W423">_xlfn.XLOOKUP(Matrix[[#This Row],[TEAM]]&amp;Matrix[[#Headers],[11]],FDR[FDR]&amp;FDR[[#Headers],[11]],FDR[11],"",0,1)</f>
        <v>2</v>
      </c>
      <c r="X423" cm="1">
        <f t="array" ref="X423">_xlfn.XLOOKUP(Matrix[[#This Row],[TEAM]]&amp;Matrix[[#Headers],[12]],FDR[FDR]&amp;FDR[[#Headers],[12]],FDR[12],"",0,1)</f>
        <v>1</v>
      </c>
      <c r="Y423" cm="1">
        <f t="array" ref="Y423">_xlfn.XLOOKUP(Matrix[[#This Row],[TEAM]]&amp;Matrix[[#Headers],[13]],FDR[FDR]&amp;FDR[[#Headers],[13]],FDR[13],"",0,1)</f>
        <v>1</v>
      </c>
      <c r="Z423" cm="1">
        <f t="array" ref="Z423">_xlfn.XLOOKUP(Matrix[[#This Row],[TEAM]]&amp;Matrix[[#Headers],[14]],FDR[FDR]&amp;FDR[[#Headers],[14]],FDR[14],"",0,1)</f>
        <v>3</v>
      </c>
      <c r="AA423" cm="1">
        <f t="array" ref="AA423">_xlfn.XLOOKUP(Matrix[[#This Row],[TEAM]]&amp;Matrix[[#Headers],[15]],FDR[FDR]&amp;FDR[[#Headers],[15]],FDR[15],"",0,1)</f>
        <v>3</v>
      </c>
      <c r="AB423" cm="1">
        <f t="array" ref="AB423">_xlfn.XLOOKUP(Matrix[[#This Row],[TEAM]]&amp;Matrix[[#Headers],[16]],FDR[FDR]&amp;FDR[[#Headers],[16]],FDR[16],"",0,1)</f>
        <v>2</v>
      </c>
      <c r="AC423" cm="1">
        <f t="array" ref="AC423">_xlfn.XLOOKUP(Matrix[[#This Row],[TEAM]]&amp;Matrix[[#Headers],[17]],FDR[FDR]&amp;FDR[[#Headers],[17]],FDR[17],"",0,1)</f>
        <v>3</v>
      </c>
      <c r="AD423" cm="1">
        <f t="array" ref="AD423">_xlfn.XLOOKUP(Matrix[[#This Row],[TEAM]]&amp;Matrix[[#Headers],[18]],FDR[FDR]&amp;FDR[[#Headers],[18]],FDR[18],"",0,1)</f>
        <v>4</v>
      </c>
      <c r="AE423" cm="1">
        <f t="array" ref="AE423">_xlfn.XLOOKUP(Matrix[[#This Row],[TEAM]]&amp;Matrix[[#Headers],[19]],FDR[FDR]&amp;FDR[[#Headers],[19]],FDR[19],"",0,1)</f>
        <v>4</v>
      </c>
      <c r="AF423" cm="1">
        <f t="array" ref="AF423">_xlfn.XLOOKUP(Matrix[[#This Row],[TEAM]]&amp;Matrix[[#Headers],[20]],FDR[FDR]&amp;FDR[[#Headers],[20]],FDR[20],"",0,1)</f>
        <v>2</v>
      </c>
      <c r="AG423" cm="1">
        <f t="array" ref="AG423">_xlfn.XLOOKUP(Matrix[[#This Row],[TEAM]]&amp;Matrix[[#Headers],[21]],FDR[FDR]&amp;FDR[[#Headers],[21]],FDR[21],"",0,1)</f>
        <v>2</v>
      </c>
      <c r="AH423" cm="1">
        <f t="array" ref="AH423">_xlfn.XLOOKUP(Matrix[[#This Row],[TEAM]]&amp;Matrix[[#Headers],[22]],FDR[FDR]&amp;FDR[[#Headers],[22]],FDR[22],"",0,1)</f>
        <v>1</v>
      </c>
      <c r="AI423" cm="1">
        <f t="array" ref="AI423">_xlfn.XLOOKUP(Matrix[[#This Row],[TEAM]]&amp;Matrix[[#Headers],[23]],FDR[FDR]&amp;FDR[[#Headers],[23]],FDR[23],"",0,1)</f>
        <v>4</v>
      </c>
      <c r="AJ423" cm="1">
        <f t="array" ref="AJ423">_xlfn.XLOOKUP(Matrix[[#This Row],[TEAM]]&amp;Matrix[[#Headers],[24]],FDR[FDR]&amp;FDR[[#Headers],[24]],FDR[24],"",0,1)</f>
        <v>1</v>
      </c>
      <c r="AK423" cm="1">
        <f t="array" ref="AK423">_xlfn.XLOOKUP(Matrix[[#This Row],[TEAM]]&amp;Matrix[[#Headers],[25]],FDR[FDR]&amp;FDR[[#Headers],[25]],FDR[25],"",0,1)</f>
        <v>3</v>
      </c>
      <c r="AL423" cm="1">
        <f t="array" ref="AL423">_xlfn.XLOOKUP(Matrix[[#This Row],[TEAM]]&amp;Matrix[[#Headers],[26]],FDR[FDR]&amp;FDR[[#Headers],[26]],FDR[26],"",0,1)</f>
        <v>2</v>
      </c>
      <c r="AM423" cm="1">
        <f t="array" ref="AM423">_xlfn.XLOOKUP(Matrix[[#This Row],[TEAM]]&amp;Matrix[[#Headers],[27]],FDR[FDR]&amp;FDR[[#Headers],[27]],FDR[27],"",0,1)</f>
        <v>1</v>
      </c>
      <c r="AN423" cm="1">
        <f t="array" ref="AN423">_xlfn.XLOOKUP(Matrix[[#This Row],[TEAM]]&amp;Matrix[[#Headers],[28]],FDR[FDR]&amp;FDR[[#Headers],[28]],FDR[28],"",0,1)</f>
        <v>1</v>
      </c>
      <c r="AO423" cm="1">
        <f t="array" ref="AO423">_xlfn.XLOOKUP(Matrix[[#This Row],[TEAM]]&amp;Matrix[[#Headers],[29]],FDR[FDR]&amp;FDR[[#Headers],[29]],FDR[29],"",0,1)</f>
        <v>3</v>
      </c>
      <c r="AP423" cm="1">
        <f t="array" ref="AP423">_xlfn.XLOOKUP(Matrix[[#This Row],[TEAM]]&amp;Matrix[[#Headers],[30]],FDR[FDR]&amp;FDR[[#Headers],[30]],FDR[30],"",0,1)</f>
        <v>4</v>
      </c>
      <c r="AQ423" cm="1">
        <f t="array" ref="AQ423">_xlfn.XLOOKUP(Matrix[[#This Row],[TEAM]]&amp;Matrix[[#Headers],[31]],FDR[FDR]&amp;FDR[[#Headers],[31]],FDR[31],"",0,1)</f>
        <v>1</v>
      </c>
      <c r="AR423" cm="1">
        <f t="array" ref="AR423">_xlfn.XLOOKUP(Matrix[[#This Row],[TEAM]]&amp;Matrix[[#Headers],[32]],FDR[FDR]&amp;FDR[[#Headers],[32]],FDR[32],"",0,1)</f>
        <v>3</v>
      </c>
      <c r="AS423" cm="1">
        <f t="array" ref="AS423">_xlfn.XLOOKUP(Matrix[[#This Row],[TEAM]]&amp;Matrix[[#Headers],[33]],FDR[FDR]&amp;FDR[[#Headers],[33]],FDR[33],"",0,1)</f>
        <v>1</v>
      </c>
      <c r="AT423" cm="1">
        <f t="array" ref="AT423">_xlfn.XLOOKUP(Matrix[[#This Row],[TEAM]]&amp;Matrix[[#Headers],[34]],FDR[FDR]&amp;FDR[[#Headers],[34]],FDR[34],"",0,1)</f>
        <v>3</v>
      </c>
      <c r="AU423" cm="1">
        <f t="array" ref="AU423">_xlfn.XLOOKUP(Matrix[[#This Row],[TEAM]]&amp;Matrix[[#Headers],[35]],FDR[FDR]&amp;FDR[[#Headers],[35]],FDR[35],"",0,1)</f>
        <v>3</v>
      </c>
      <c r="AV423" cm="1">
        <f t="array" ref="AV423">_xlfn.XLOOKUP(Matrix[[#This Row],[TEAM]]&amp;Matrix[[#Headers],[36]],FDR[FDR]&amp;FDR[[#Headers],[36]],FDR[36],"",0,1)</f>
        <v>1</v>
      </c>
      <c r="AW423" cm="1">
        <f t="array" ref="AW423">_xlfn.XLOOKUP(Matrix[[#This Row],[TEAM]]&amp;Matrix[[#Headers],[37]],FDR[FDR]&amp;FDR[[#Headers],[37]],FDR[37],"",0,1)</f>
        <v>3</v>
      </c>
      <c r="AX423" cm="1">
        <f t="array" ref="AX423">_xlfn.XLOOKUP(Matrix[[#This Row],[TEAM]]&amp;Matrix[[#Headers],[38]],FDR[FDR]&amp;FDR[[#Headers],[38]],FDR[38],"",0,1)</f>
        <v>4</v>
      </c>
    </row>
    <row r="424" spans="1:50" ht="22" thickTop="1" thickBot="1">
      <c r="A424" s="49" t="str">
        <f>INDEX!S$5</f>
        <v>FWD</v>
      </c>
      <c r="B424" s="70" t="s">
        <v>1640</v>
      </c>
      <c r="C424" s="40" t="s">
        <v>43</v>
      </c>
      <c r="D424" s="62">
        <v>0</v>
      </c>
      <c r="E424" s="60">
        <v>1.0999999999999999E-2</v>
      </c>
      <c r="F424" s="61">
        <v>0</v>
      </c>
      <c r="G424" s="63">
        <v>4.5</v>
      </c>
      <c r="H424" s="261">
        <f>IF(ISBLANK(I424),0,1)</f>
        <v>0</v>
      </c>
      <c r="I424" s="57"/>
      <c r="J424" s="58"/>
      <c r="K424" s="64" t="s">
        <v>1001</v>
      </c>
      <c r="L424" s="64" t="s">
        <v>1002</v>
      </c>
      <c r="M424" cm="1">
        <f t="array" ref="M424">_xlfn.XLOOKUP(Matrix[[#This Row],[TEAM]]&amp;Matrix[[#Headers],[1]],FDR[FDR]&amp;FDR[[#Headers],[1]],FDR[1],"",0,1)</f>
        <v>5</v>
      </c>
      <c r="N424" cm="1">
        <f t="array" ref="N424">_xlfn.XLOOKUP(Matrix[[#This Row],[TEAM]]&amp;Matrix[[#Headers],[2]],FDR[FDR]&amp;FDR[[#Headers],[2]],FDR[2],"",0,1)</f>
        <v>1</v>
      </c>
      <c r="O424" cm="1">
        <f t="array" ref="O424">_xlfn.XLOOKUP(Matrix[[#This Row],[TEAM]]&amp;Matrix[[#Headers],[3]],FDR[FDR]&amp;FDR[[#Headers],[3]],FDR[3],"",0,1)</f>
        <v>5</v>
      </c>
      <c r="P424" cm="1">
        <f t="array" ref="P424">_xlfn.XLOOKUP(Matrix[[#This Row],[TEAM]]&amp;Matrix[[#Headers],[4]],FDR[FDR]&amp;FDR[[#Headers],[4]],FDR[4],"",0,1)</f>
        <v>3</v>
      </c>
      <c r="Q424" cm="1">
        <f t="array" ref="Q424">_xlfn.XLOOKUP(Matrix[[#This Row],[TEAM]]&amp;Matrix[[#Headers],[5]],FDR[FDR]&amp;FDR[[#Headers],[5]],FDR[5],"",0,1)</f>
        <v>4</v>
      </c>
      <c r="R424" cm="1">
        <f t="array" ref="R424">_xlfn.XLOOKUP(Matrix[[#This Row],[TEAM]]&amp;Matrix[[#Headers],[6]],FDR[FDR]&amp;FDR[[#Headers],[6]],FDR[6],"",0,1)</f>
        <v>2</v>
      </c>
      <c r="S424" cm="1">
        <f t="array" ref="S424">_xlfn.XLOOKUP(Matrix[[#This Row],[TEAM]]&amp;Matrix[[#Headers],[7]],FDR[FDR]&amp;FDR[[#Headers],[7]],FDR[7],"",0,1)</f>
        <v>3</v>
      </c>
      <c r="T424" cm="1">
        <f t="array" ref="T424">_xlfn.XLOOKUP(Matrix[[#This Row],[TEAM]]&amp;Matrix[[#Headers],[8]],FDR[FDR]&amp;FDR[[#Headers],[8]],FDR[8],"",0,1)</f>
        <v>3</v>
      </c>
      <c r="U424" cm="1">
        <f t="array" ref="U424">_xlfn.XLOOKUP(Matrix[[#This Row],[TEAM]]&amp;Matrix[[#Headers],[9]],FDR[FDR]&amp;FDR[[#Headers],[9]],FDR[9],"",0,1)</f>
        <v>3</v>
      </c>
      <c r="V424" cm="1">
        <f t="array" ref="V424">_xlfn.XLOOKUP(Matrix[[#This Row],[TEAM]]&amp;Matrix[[#Headers],[10]],FDR[FDR]&amp;FDR[[#Headers],[10]],FDR[10],"",0,1)</f>
        <v>5</v>
      </c>
      <c r="W424" cm="1">
        <f t="array" ref="W424">_xlfn.XLOOKUP(Matrix[[#This Row],[TEAM]]&amp;Matrix[[#Headers],[11]],FDR[FDR]&amp;FDR[[#Headers],[11]],FDR[11],"",0,1)</f>
        <v>5</v>
      </c>
      <c r="X424" cm="1">
        <f t="array" ref="X424">_xlfn.XLOOKUP(Matrix[[#This Row],[TEAM]]&amp;Matrix[[#Headers],[12]],FDR[FDR]&amp;FDR[[#Headers],[12]],FDR[12],"",0,1)</f>
        <v>2</v>
      </c>
      <c r="Y424" cm="1">
        <f t="array" ref="Y424">_xlfn.XLOOKUP(Matrix[[#This Row],[TEAM]]&amp;Matrix[[#Headers],[13]],FDR[FDR]&amp;FDR[[#Headers],[13]],FDR[13],"",0,1)</f>
        <v>2</v>
      </c>
      <c r="Z424" cm="1">
        <f t="array" ref="Z424">_xlfn.XLOOKUP(Matrix[[#This Row],[TEAM]]&amp;Matrix[[#Headers],[14]],FDR[FDR]&amp;FDR[[#Headers],[14]],FDR[14],"",0,1)</f>
        <v>2</v>
      </c>
      <c r="AA424" cm="1">
        <f t="array" ref="AA424">_xlfn.XLOOKUP(Matrix[[#This Row],[TEAM]]&amp;Matrix[[#Headers],[15]],FDR[FDR]&amp;FDR[[#Headers],[15]],FDR[15],"",0,1)</f>
        <v>4</v>
      </c>
      <c r="AB424" cm="1">
        <f t="array" ref="AB424">_xlfn.XLOOKUP(Matrix[[#This Row],[TEAM]]&amp;Matrix[[#Headers],[16]],FDR[FDR]&amp;FDR[[#Headers],[16]],FDR[16],"",0,1)</f>
        <v>5</v>
      </c>
      <c r="AC424" cm="1">
        <f t="array" ref="AC424">_xlfn.XLOOKUP(Matrix[[#This Row],[TEAM]]&amp;Matrix[[#Headers],[17]],FDR[FDR]&amp;FDR[[#Headers],[17]],FDR[17],"",0,1)</f>
        <v>1</v>
      </c>
      <c r="AD424" cm="1">
        <f t="array" ref="AD424">_xlfn.XLOOKUP(Matrix[[#This Row],[TEAM]]&amp;Matrix[[#Headers],[18]],FDR[FDR]&amp;FDR[[#Headers],[18]],FDR[18],"",0,1)</f>
        <v>3</v>
      </c>
      <c r="AE424" cm="1">
        <f t="array" ref="AE424">_xlfn.XLOOKUP(Matrix[[#This Row],[TEAM]]&amp;Matrix[[#Headers],[19]],FDR[FDR]&amp;FDR[[#Headers],[19]],FDR[19],"",0,1)</f>
        <v>5</v>
      </c>
      <c r="AF424" cm="1">
        <f t="array" ref="AF424">_xlfn.XLOOKUP(Matrix[[#This Row],[TEAM]]&amp;Matrix[[#Headers],[20]],FDR[FDR]&amp;FDR[[#Headers],[20]],FDR[20],"",0,1)</f>
        <v>4</v>
      </c>
      <c r="AG424" cm="1">
        <f t="array" ref="AG424">_xlfn.XLOOKUP(Matrix[[#This Row],[TEAM]]&amp;Matrix[[#Headers],[21]],FDR[FDR]&amp;FDR[[#Headers],[21]],FDR[21],"",0,1)</f>
        <v>4</v>
      </c>
      <c r="AH424" cm="1">
        <f t="array" ref="AH424">_xlfn.XLOOKUP(Matrix[[#This Row],[TEAM]]&amp;Matrix[[#Headers],[22]],FDR[FDR]&amp;FDR[[#Headers],[22]],FDR[22],"",0,1)</f>
        <v>4</v>
      </c>
      <c r="AI424" cm="1">
        <f t="array" ref="AI424">_xlfn.XLOOKUP(Matrix[[#This Row],[TEAM]]&amp;Matrix[[#Headers],[23]],FDR[FDR]&amp;FDR[[#Headers],[23]],FDR[23],"",0,1)</f>
        <v>4</v>
      </c>
      <c r="AJ424" cm="1">
        <f t="array" ref="AJ424">_xlfn.XLOOKUP(Matrix[[#This Row],[TEAM]]&amp;Matrix[[#Headers],[24]],FDR[FDR]&amp;FDR[[#Headers],[24]],FDR[24],"",0,1)</f>
        <v>2</v>
      </c>
      <c r="AK424" cm="1">
        <f t="array" ref="AK424">_xlfn.XLOOKUP(Matrix[[#This Row],[TEAM]]&amp;Matrix[[#Headers],[25]],FDR[FDR]&amp;FDR[[#Headers],[25]],FDR[25],"",0,1)</f>
        <v>3</v>
      </c>
      <c r="AL424" cm="1">
        <f t="array" ref="AL424">_xlfn.XLOOKUP(Matrix[[#This Row],[TEAM]]&amp;Matrix[[#Headers],[26]],FDR[FDR]&amp;FDR[[#Headers],[26]],FDR[26],"",0,1)</f>
        <v>3</v>
      </c>
      <c r="AM424" cm="1">
        <f t="array" ref="AM424">_xlfn.XLOOKUP(Matrix[[#This Row],[TEAM]]&amp;Matrix[[#Headers],[27]],FDR[FDR]&amp;FDR[[#Headers],[27]],FDR[27],"",0,1)</f>
        <v>3</v>
      </c>
      <c r="AN424" cm="1">
        <f t="array" ref="AN424">_xlfn.XLOOKUP(Matrix[[#This Row],[TEAM]]&amp;Matrix[[#Headers],[28]],FDR[FDR]&amp;FDR[[#Headers],[28]],FDR[28],"",0,1)</f>
        <v>1</v>
      </c>
      <c r="AO424" cm="1">
        <f t="array" ref="AO424">_xlfn.XLOOKUP(Matrix[[#This Row],[TEAM]]&amp;Matrix[[#Headers],[29]],FDR[FDR]&amp;FDR[[#Headers],[29]],FDR[29],"",0,1)</f>
        <v>2</v>
      </c>
      <c r="AP424" cm="1">
        <f t="array" ref="AP424">_xlfn.XLOOKUP(Matrix[[#This Row],[TEAM]]&amp;Matrix[[#Headers],[30]],FDR[FDR]&amp;FDR[[#Headers],[30]],FDR[30],"",0,1)</f>
        <v>2</v>
      </c>
      <c r="AQ424" cm="1">
        <f t="array" ref="AQ424">_xlfn.XLOOKUP(Matrix[[#This Row],[TEAM]]&amp;Matrix[[#Headers],[31]],FDR[FDR]&amp;FDR[[#Headers],[31]],FDR[31],"",0,1)</f>
        <v>4</v>
      </c>
      <c r="AR424" cm="1">
        <f t="array" ref="AR424">_xlfn.XLOOKUP(Matrix[[#This Row],[TEAM]]&amp;Matrix[[#Headers],[32]],FDR[FDR]&amp;FDR[[#Headers],[32]],FDR[32],"",0,1)</f>
        <v>5</v>
      </c>
      <c r="AS424" cm="1">
        <f t="array" ref="AS424">_xlfn.XLOOKUP(Matrix[[#This Row],[TEAM]]&amp;Matrix[[#Headers],[33]],FDR[FDR]&amp;FDR[[#Headers],[33]],FDR[33],"",0,1)</f>
        <v>5</v>
      </c>
      <c r="AT424" cm="1">
        <f t="array" ref="AT424">_xlfn.XLOOKUP(Matrix[[#This Row],[TEAM]]&amp;Matrix[[#Headers],[34]],FDR[FDR]&amp;FDR[[#Headers],[34]],FDR[34],"",0,1)</f>
        <v>1</v>
      </c>
      <c r="AU424" cm="1">
        <f t="array" ref="AU424">_xlfn.XLOOKUP(Matrix[[#This Row],[TEAM]]&amp;Matrix[[#Headers],[35]],FDR[FDR]&amp;FDR[[#Headers],[35]],FDR[35],"",0,1)</f>
        <v>2</v>
      </c>
      <c r="AV424" cm="1">
        <f t="array" ref="AV424">_xlfn.XLOOKUP(Matrix[[#This Row],[TEAM]]&amp;Matrix[[#Headers],[36]],FDR[FDR]&amp;FDR[[#Headers],[36]],FDR[36],"",0,1)</f>
        <v>4</v>
      </c>
      <c r="AW424" cm="1">
        <f t="array" ref="AW424">_xlfn.XLOOKUP(Matrix[[#This Row],[TEAM]]&amp;Matrix[[#Headers],[37]],FDR[FDR]&amp;FDR[[#Headers],[37]],FDR[37],"",0,1)</f>
        <v>4</v>
      </c>
      <c r="AX424" cm="1">
        <f t="array" ref="AX424">_xlfn.XLOOKUP(Matrix[[#This Row],[TEAM]]&amp;Matrix[[#Headers],[38]],FDR[FDR]&amp;FDR[[#Headers],[38]],FDR[38],"",0,1)</f>
        <v>4</v>
      </c>
    </row>
    <row r="425" spans="1:50" ht="22" thickTop="1" thickBot="1">
      <c r="A425" s="49" t="str">
        <f>INDEX!S$5</f>
        <v>FWD</v>
      </c>
      <c r="B425" s="70" t="s">
        <v>1665</v>
      </c>
      <c r="C425" s="40" t="s">
        <v>43</v>
      </c>
      <c r="D425" s="62">
        <v>0</v>
      </c>
      <c r="E425" s="60">
        <v>4.0000000000000001E-3</v>
      </c>
      <c r="F425" s="61">
        <v>0</v>
      </c>
      <c r="G425" s="63">
        <v>4.5</v>
      </c>
      <c r="H425" s="261">
        <f>IF(ISBLANK(I425),0,1)</f>
        <v>0</v>
      </c>
      <c r="I425" s="57"/>
      <c r="J425" s="58"/>
      <c r="K425" s="64" t="s">
        <v>441</v>
      </c>
      <c r="L425" s="64" t="s">
        <v>1000</v>
      </c>
      <c r="M425" cm="1">
        <f t="array" ref="M425">_xlfn.XLOOKUP(Matrix[[#This Row],[TEAM]]&amp;Matrix[[#Headers],[1]],FDR[FDR]&amp;FDR[[#Headers],[1]],FDR[1],"",0,1)</f>
        <v>5</v>
      </c>
      <c r="N425" cm="1">
        <f t="array" ref="N425">_xlfn.XLOOKUP(Matrix[[#This Row],[TEAM]]&amp;Matrix[[#Headers],[2]],FDR[FDR]&amp;FDR[[#Headers],[2]],FDR[2],"",0,1)</f>
        <v>1</v>
      </c>
      <c r="O425" cm="1">
        <f t="array" ref="O425">_xlfn.XLOOKUP(Matrix[[#This Row],[TEAM]]&amp;Matrix[[#Headers],[3]],FDR[FDR]&amp;FDR[[#Headers],[3]],FDR[3],"",0,1)</f>
        <v>5</v>
      </c>
      <c r="P425" cm="1">
        <f t="array" ref="P425">_xlfn.XLOOKUP(Matrix[[#This Row],[TEAM]]&amp;Matrix[[#Headers],[4]],FDR[FDR]&amp;FDR[[#Headers],[4]],FDR[4],"",0,1)</f>
        <v>3</v>
      </c>
      <c r="Q425" cm="1">
        <f t="array" ref="Q425">_xlfn.XLOOKUP(Matrix[[#This Row],[TEAM]]&amp;Matrix[[#Headers],[5]],FDR[FDR]&amp;FDR[[#Headers],[5]],FDR[5],"",0,1)</f>
        <v>4</v>
      </c>
      <c r="R425" cm="1">
        <f t="array" ref="R425">_xlfn.XLOOKUP(Matrix[[#This Row],[TEAM]]&amp;Matrix[[#Headers],[6]],FDR[FDR]&amp;FDR[[#Headers],[6]],FDR[6],"",0,1)</f>
        <v>2</v>
      </c>
      <c r="S425" cm="1">
        <f t="array" ref="S425">_xlfn.XLOOKUP(Matrix[[#This Row],[TEAM]]&amp;Matrix[[#Headers],[7]],FDR[FDR]&amp;FDR[[#Headers],[7]],FDR[7],"",0,1)</f>
        <v>3</v>
      </c>
      <c r="T425" cm="1">
        <f t="array" ref="T425">_xlfn.XLOOKUP(Matrix[[#This Row],[TEAM]]&amp;Matrix[[#Headers],[8]],FDR[FDR]&amp;FDR[[#Headers],[8]],FDR[8],"",0,1)</f>
        <v>3</v>
      </c>
      <c r="U425" cm="1">
        <f t="array" ref="U425">_xlfn.XLOOKUP(Matrix[[#This Row],[TEAM]]&amp;Matrix[[#Headers],[9]],FDR[FDR]&amp;FDR[[#Headers],[9]],FDR[9],"",0,1)</f>
        <v>3</v>
      </c>
      <c r="V425" cm="1">
        <f t="array" ref="V425">_xlfn.XLOOKUP(Matrix[[#This Row],[TEAM]]&amp;Matrix[[#Headers],[10]],FDR[FDR]&amp;FDR[[#Headers],[10]],FDR[10],"",0,1)</f>
        <v>5</v>
      </c>
      <c r="W425" cm="1">
        <f t="array" ref="W425">_xlfn.XLOOKUP(Matrix[[#This Row],[TEAM]]&amp;Matrix[[#Headers],[11]],FDR[FDR]&amp;FDR[[#Headers],[11]],FDR[11],"",0,1)</f>
        <v>5</v>
      </c>
      <c r="X425" cm="1">
        <f t="array" ref="X425">_xlfn.XLOOKUP(Matrix[[#This Row],[TEAM]]&amp;Matrix[[#Headers],[12]],FDR[FDR]&amp;FDR[[#Headers],[12]],FDR[12],"",0,1)</f>
        <v>2</v>
      </c>
      <c r="Y425" cm="1">
        <f t="array" ref="Y425">_xlfn.XLOOKUP(Matrix[[#This Row],[TEAM]]&amp;Matrix[[#Headers],[13]],FDR[FDR]&amp;FDR[[#Headers],[13]],FDR[13],"",0,1)</f>
        <v>2</v>
      </c>
      <c r="Z425" cm="1">
        <f t="array" ref="Z425">_xlfn.XLOOKUP(Matrix[[#This Row],[TEAM]]&amp;Matrix[[#Headers],[14]],FDR[FDR]&amp;FDR[[#Headers],[14]],FDR[14],"",0,1)</f>
        <v>2</v>
      </c>
      <c r="AA425" cm="1">
        <f t="array" ref="AA425">_xlfn.XLOOKUP(Matrix[[#This Row],[TEAM]]&amp;Matrix[[#Headers],[15]],FDR[FDR]&amp;FDR[[#Headers],[15]],FDR[15],"",0,1)</f>
        <v>4</v>
      </c>
      <c r="AB425" cm="1">
        <f t="array" ref="AB425">_xlfn.XLOOKUP(Matrix[[#This Row],[TEAM]]&amp;Matrix[[#Headers],[16]],FDR[FDR]&amp;FDR[[#Headers],[16]],FDR[16],"",0,1)</f>
        <v>5</v>
      </c>
      <c r="AC425" cm="1">
        <f t="array" ref="AC425">_xlfn.XLOOKUP(Matrix[[#This Row],[TEAM]]&amp;Matrix[[#Headers],[17]],FDR[FDR]&amp;FDR[[#Headers],[17]],FDR[17],"",0,1)</f>
        <v>1</v>
      </c>
      <c r="AD425" cm="1">
        <f t="array" ref="AD425">_xlfn.XLOOKUP(Matrix[[#This Row],[TEAM]]&amp;Matrix[[#Headers],[18]],FDR[FDR]&amp;FDR[[#Headers],[18]],FDR[18],"",0,1)</f>
        <v>3</v>
      </c>
      <c r="AE425" cm="1">
        <f t="array" ref="AE425">_xlfn.XLOOKUP(Matrix[[#This Row],[TEAM]]&amp;Matrix[[#Headers],[19]],FDR[FDR]&amp;FDR[[#Headers],[19]],FDR[19],"",0,1)</f>
        <v>5</v>
      </c>
      <c r="AF425" cm="1">
        <f t="array" ref="AF425">_xlfn.XLOOKUP(Matrix[[#This Row],[TEAM]]&amp;Matrix[[#Headers],[20]],FDR[FDR]&amp;FDR[[#Headers],[20]],FDR[20],"",0,1)</f>
        <v>4</v>
      </c>
      <c r="AG425" cm="1">
        <f t="array" ref="AG425">_xlfn.XLOOKUP(Matrix[[#This Row],[TEAM]]&amp;Matrix[[#Headers],[21]],FDR[FDR]&amp;FDR[[#Headers],[21]],FDR[21],"",0,1)</f>
        <v>4</v>
      </c>
      <c r="AH425" cm="1">
        <f t="array" ref="AH425">_xlfn.XLOOKUP(Matrix[[#This Row],[TEAM]]&amp;Matrix[[#Headers],[22]],FDR[FDR]&amp;FDR[[#Headers],[22]],FDR[22],"",0,1)</f>
        <v>4</v>
      </c>
      <c r="AI425" cm="1">
        <f t="array" ref="AI425">_xlfn.XLOOKUP(Matrix[[#This Row],[TEAM]]&amp;Matrix[[#Headers],[23]],FDR[FDR]&amp;FDR[[#Headers],[23]],FDR[23],"",0,1)</f>
        <v>4</v>
      </c>
      <c r="AJ425" cm="1">
        <f t="array" ref="AJ425">_xlfn.XLOOKUP(Matrix[[#This Row],[TEAM]]&amp;Matrix[[#Headers],[24]],FDR[FDR]&amp;FDR[[#Headers],[24]],FDR[24],"",0,1)</f>
        <v>2</v>
      </c>
      <c r="AK425" cm="1">
        <f t="array" ref="AK425">_xlfn.XLOOKUP(Matrix[[#This Row],[TEAM]]&amp;Matrix[[#Headers],[25]],FDR[FDR]&amp;FDR[[#Headers],[25]],FDR[25],"",0,1)</f>
        <v>3</v>
      </c>
      <c r="AL425" cm="1">
        <f t="array" ref="AL425">_xlfn.XLOOKUP(Matrix[[#This Row],[TEAM]]&amp;Matrix[[#Headers],[26]],FDR[FDR]&amp;FDR[[#Headers],[26]],FDR[26],"",0,1)</f>
        <v>3</v>
      </c>
      <c r="AM425" cm="1">
        <f t="array" ref="AM425">_xlfn.XLOOKUP(Matrix[[#This Row],[TEAM]]&amp;Matrix[[#Headers],[27]],FDR[FDR]&amp;FDR[[#Headers],[27]],FDR[27],"",0,1)</f>
        <v>3</v>
      </c>
      <c r="AN425" cm="1">
        <f t="array" ref="AN425">_xlfn.XLOOKUP(Matrix[[#This Row],[TEAM]]&amp;Matrix[[#Headers],[28]],FDR[FDR]&amp;FDR[[#Headers],[28]],FDR[28],"",0,1)</f>
        <v>1</v>
      </c>
      <c r="AO425" cm="1">
        <f t="array" ref="AO425">_xlfn.XLOOKUP(Matrix[[#This Row],[TEAM]]&amp;Matrix[[#Headers],[29]],FDR[FDR]&amp;FDR[[#Headers],[29]],FDR[29],"",0,1)</f>
        <v>2</v>
      </c>
      <c r="AP425" cm="1">
        <f t="array" ref="AP425">_xlfn.XLOOKUP(Matrix[[#This Row],[TEAM]]&amp;Matrix[[#Headers],[30]],FDR[FDR]&amp;FDR[[#Headers],[30]],FDR[30],"",0,1)</f>
        <v>2</v>
      </c>
      <c r="AQ425" cm="1">
        <f t="array" ref="AQ425">_xlfn.XLOOKUP(Matrix[[#This Row],[TEAM]]&amp;Matrix[[#Headers],[31]],FDR[FDR]&amp;FDR[[#Headers],[31]],FDR[31],"",0,1)</f>
        <v>4</v>
      </c>
      <c r="AR425" cm="1">
        <f t="array" ref="AR425">_xlfn.XLOOKUP(Matrix[[#This Row],[TEAM]]&amp;Matrix[[#Headers],[32]],FDR[FDR]&amp;FDR[[#Headers],[32]],FDR[32],"",0,1)</f>
        <v>5</v>
      </c>
      <c r="AS425" cm="1">
        <f t="array" ref="AS425">_xlfn.XLOOKUP(Matrix[[#This Row],[TEAM]]&amp;Matrix[[#Headers],[33]],FDR[FDR]&amp;FDR[[#Headers],[33]],FDR[33],"",0,1)</f>
        <v>5</v>
      </c>
      <c r="AT425" cm="1">
        <f t="array" ref="AT425">_xlfn.XLOOKUP(Matrix[[#This Row],[TEAM]]&amp;Matrix[[#Headers],[34]],FDR[FDR]&amp;FDR[[#Headers],[34]],FDR[34],"",0,1)</f>
        <v>1</v>
      </c>
      <c r="AU425" cm="1">
        <f t="array" ref="AU425">_xlfn.XLOOKUP(Matrix[[#This Row],[TEAM]]&amp;Matrix[[#Headers],[35]],FDR[FDR]&amp;FDR[[#Headers],[35]],FDR[35],"",0,1)</f>
        <v>2</v>
      </c>
      <c r="AV425" cm="1">
        <f t="array" ref="AV425">_xlfn.XLOOKUP(Matrix[[#This Row],[TEAM]]&amp;Matrix[[#Headers],[36]],FDR[FDR]&amp;FDR[[#Headers],[36]],FDR[36],"",0,1)</f>
        <v>4</v>
      </c>
      <c r="AW425" cm="1">
        <f t="array" ref="AW425">_xlfn.XLOOKUP(Matrix[[#This Row],[TEAM]]&amp;Matrix[[#Headers],[37]],FDR[FDR]&amp;FDR[[#Headers],[37]],FDR[37],"",0,1)</f>
        <v>4</v>
      </c>
      <c r="AX425" cm="1">
        <f t="array" ref="AX425">_xlfn.XLOOKUP(Matrix[[#This Row],[TEAM]]&amp;Matrix[[#Headers],[38]],FDR[FDR]&amp;FDR[[#Headers],[38]],FDR[38],"",0,1)</f>
        <v>4</v>
      </c>
    </row>
    <row r="426" spans="1:50" ht="22" thickTop="1" thickBot="1">
      <c r="A426" s="49" t="str">
        <f>INDEX!S$5</f>
        <v>FWD</v>
      </c>
      <c r="B426" s="70" t="s">
        <v>1661</v>
      </c>
      <c r="C426" s="40" t="s">
        <v>21</v>
      </c>
      <c r="D426" s="62">
        <v>0</v>
      </c>
      <c r="E426" s="60">
        <v>5.0000000000000001E-3</v>
      </c>
      <c r="F426" s="61">
        <v>0</v>
      </c>
      <c r="G426" s="63">
        <v>4.5</v>
      </c>
      <c r="H426" s="261">
        <f>IF(ISBLANK(I426),0,1)</f>
        <v>0</v>
      </c>
      <c r="I426" s="57"/>
      <c r="J426" s="58"/>
      <c r="K426" s="64" t="s">
        <v>1020</v>
      </c>
      <c r="L426" s="64" t="s">
        <v>373</v>
      </c>
      <c r="M426" cm="1">
        <f t="array" ref="M426">_xlfn.XLOOKUP(Matrix[[#This Row],[TEAM]]&amp;Matrix[[#Headers],[1]],FDR[FDR]&amp;FDR[[#Headers],[1]],FDR[1],"",0,1)</f>
        <v>4</v>
      </c>
      <c r="N426" cm="1">
        <f t="array" ref="N426">_xlfn.XLOOKUP(Matrix[[#This Row],[TEAM]]&amp;Matrix[[#Headers],[2]],FDR[FDR]&amp;FDR[[#Headers],[2]],FDR[2],"",0,1)</f>
        <v>4</v>
      </c>
      <c r="O426" cm="1">
        <f t="array" ref="O426">_xlfn.XLOOKUP(Matrix[[#This Row],[TEAM]]&amp;Matrix[[#Headers],[3]],FDR[FDR]&amp;FDR[[#Headers],[3]],FDR[3],"",0,1)</f>
        <v>2</v>
      </c>
      <c r="P426" cm="1">
        <f t="array" ref="P426">_xlfn.XLOOKUP(Matrix[[#This Row],[TEAM]]&amp;Matrix[[#Headers],[4]],FDR[FDR]&amp;FDR[[#Headers],[4]],FDR[4],"",0,1)</f>
        <v>4</v>
      </c>
      <c r="Q426" cm="1">
        <f t="array" ref="Q426">_xlfn.XLOOKUP(Matrix[[#This Row],[TEAM]]&amp;Matrix[[#Headers],[5]],FDR[FDR]&amp;FDR[[#Headers],[5]],FDR[5],"",0,1)</f>
        <v>4</v>
      </c>
      <c r="R426" cm="1">
        <f t="array" ref="R426">_xlfn.XLOOKUP(Matrix[[#This Row],[TEAM]]&amp;Matrix[[#Headers],[6]],FDR[FDR]&amp;FDR[[#Headers],[6]],FDR[6],"",0,1)</f>
        <v>4</v>
      </c>
      <c r="S426" cm="1">
        <f t="array" ref="S426">_xlfn.XLOOKUP(Matrix[[#This Row],[TEAM]]&amp;Matrix[[#Headers],[7]],FDR[FDR]&amp;FDR[[#Headers],[7]],FDR[7],"",0,1)</f>
        <v>4</v>
      </c>
      <c r="T426" cm="1">
        <f t="array" ref="T426">_xlfn.XLOOKUP(Matrix[[#This Row],[TEAM]]&amp;Matrix[[#Headers],[8]],FDR[FDR]&amp;FDR[[#Headers],[8]],FDR[8],"",0,1)</f>
        <v>4</v>
      </c>
      <c r="U426" cm="1">
        <f t="array" ref="U426">_xlfn.XLOOKUP(Matrix[[#This Row],[TEAM]]&amp;Matrix[[#Headers],[9]],FDR[FDR]&amp;FDR[[#Headers],[9]],FDR[9],"",0,1)</f>
        <v>4</v>
      </c>
      <c r="V426" cm="1">
        <f t="array" ref="V426">_xlfn.XLOOKUP(Matrix[[#This Row],[TEAM]]&amp;Matrix[[#Headers],[10]],FDR[FDR]&amp;FDR[[#Headers],[10]],FDR[10],"",0,1)</f>
        <v>4</v>
      </c>
      <c r="W426" cm="1">
        <f t="array" ref="W426">_xlfn.XLOOKUP(Matrix[[#This Row],[TEAM]]&amp;Matrix[[#Headers],[11]],FDR[FDR]&amp;FDR[[#Headers],[11]],FDR[11],"",0,1)</f>
        <v>4</v>
      </c>
      <c r="X426" cm="1">
        <f t="array" ref="X426">_xlfn.XLOOKUP(Matrix[[#This Row],[TEAM]]&amp;Matrix[[#Headers],[12]],FDR[FDR]&amp;FDR[[#Headers],[12]],FDR[12],"",0,1)</f>
        <v>4</v>
      </c>
      <c r="Y426" cm="1">
        <f t="array" ref="Y426">_xlfn.XLOOKUP(Matrix[[#This Row],[TEAM]]&amp;Matrix[[#Headers],[13]],FDR[FDR]&amp;FDR[[#Headers],[13]],FDR[13],"",0,1)</f>
        <v>1</v>
      </c>
      <c r="Z426" cm="1">
        <f t="array" ref="Z426">_xlfn.XLOOKUP(Matrix[[#This Row],[TEAM]]&amp;Matrix[[#Headers],[14]],FDR[FDR]&amp;FDR[[#Headers],[14]],FDR[14],"",0,1)</f>
        <v>5</v>
      </c>
      <c r="AA426" cm="1">
        <f t="array" ref="AA426">_xlfn.XLOOKUP(Matrix[[#This Row],[TEAM]]&amp;Matrix[[#Headers],[15]],FDR[FDR]&amp;FDR[[#Headers],[15]],FDR[15],"",0,1)</f>
        <v>5</v>
      </c>
      <c r="AB426" cm="1">
        <f t="array" ref="AB426">_xlfn.XLOOKUP(Matrix[[#This Row],[TEAM]]&amp;Matrix[[#Headers],[16]],FDR[FDR]&amp;FDR[[#Headers],[16]],FDR[16],"",0,1)</f>
        <v>1</v>
      </c>
      <c r="AC426" cm="1">
        <f t="array" ref="AC426">_xlfn.XLOOKUP(Matrix[[#This Row],[TEAM]]&amp;Matrix[[#Headers],[17]],FDR[FDR]&amp;FDR[[#Headers],[17]],FDR[17],"",0,1)</f>
        <v>2</v>
      </c>
      <c r="AD426" cm="1">
        <f t="array" ref="AD426">_xlfn.XLOOKUP(Matrix[[#This Row],[TEAM]]&amp;Matrix[[#Headers],[18]],FDR[FDR]&amp;FDR[[#Headers],[18]],FDR[18],"",0,1)</f>
        <v>3</v>
      </c>
      <c r="AE426" cm="1">
        <f t="array" ref="AE426">_xlfn.XLOOKUP(Matrix[[#This Row],[TEAM]]&amp;Matrix[[#Headers],[19]],FDR[FDR]&amp;FDR[[#Headers],[19]],FDR[19],"",0,1)</f>
        <v>4</v>
      </c>
      <c r="AF426" cm="1">
        <f t="array" ref="AF426">_xlfn.XLOOKUP(Matrix[[#This Row],[TEAM]]&amp;Matrix[[#Headers],[20]],FDR[FDR]&amp;FDR[[#Headers],[20]],FDR[20],"",0,1)</f>
        <v>4</v>
      </c>
      <c r="AG426" cm="1">
        <f t="array" ref="AG426">_xlfn.XLOOKUP(Matrix[[#This Row],[TEAM]]&amp;Matrix[[#Headers],[21]],FDR[FDR]&amp;FDR[[#Headers],[21]],FDR[21],"",0,1)</f>
        <v>1</v>
      </c>
      <c r="AH426" cm="1">
        <f t="array" ref="AH426">_xlfn.XLOOKUP(Matrix[[#This Row],[TEAM]]&amp;Matrix[[#Headers],[22]],FDR[FDR]&amp;FDR[[#Headers],[22]],FDR[22],"",0,1)</f>
        <v>5</v>
      </c>
      <c r="AI426" cm="1">
        <f t="array" ref="AI426">_xlfn.XLOOKUP(Matrix[[#This Row],[TEAM]]&amp;Matrix[[#Headers],[23]],FDR[FDR]&amp;FDR[[#Headers],[23]],FDR[23],"",0,1)</f>
        <v>3</v>
      </c>
      <c r="AJ426" cm="1">
        <f t="array" ref="AJ426">_xlfn.XLOOKUP(Matrix[[#This Row],[TEAM]]&amp;Matrix[[#Headers],[24]],FDR[FDR]&amp;FDR[[#Headers],[24]],FDR[24],"",0,1)</f>
        <v>5</v>
      </c>
      <c r="AK426" cm="1">
        <f t="array" ref="AK426">_xlfn.XLOOKUP(Matrix[[#This Row],[TEAM]]&amp;Matrix[[#Headers],[25]],FDR[FDR]&amp;FDR[[#Headers],[25]],FDR[25],"",0,1)</f>
        <v>5</v>
      </c>
      <c r="AL426" cm="1">
        <f t="array" ref="AL426">_xlfn.XLOOKUP(Matrix[[#This Row],[TEAM]]&amp;Matrix[[#Headers],[26]],FDR[FDR]&amp;FDR[[#Headers],[26]],FDR[26],"",0,1)</f>
        <v>4</v>
      </c>
      <c r="AM426" cm="1">
        <f t="array" ref="AM426">_xlfn.XLOOKUP(Matrix[[#This Row],[TEAM]]&amp;Matrix[[#Headers],[27]],FDR[FDR]&amp;FDR[[#Headers],[27]],FDR[27],"",0,1)</f>
        <v>3</v>
      </c>
      <c r="AN426" cm="1">
        <f t="array" ref="AN426">_xlfn.XLOOKUP(Matrix[[#This Row],[TEAM]]&amp;Matrix[[#Headers],[28]],FDR[FDR]&amp;FDR[[#Headers],[28]],FDR[28],"",0,1)</f>
        <v>2</v>
      </c>
      <c r="AO426" cm="1">
        <f t="array" ref="AO426">_xlfn.XLOOKUP(Matrix[[#This Row],[TEAM]]&amp;Matrix[[#Headers],[29]],FDR[FDR]&amp;FDR[[#Headers],[29]],FDR[29],"",0,1)</f>
        <v>4</v>
      </c>
      <c r="AP426" cm="1">
        <f t="array" ref="AP426">_xlfn.XLOOKUP(Matrix[[#This Row],[TEAM]]&amp;Matrix[[#Headers],[30]],FDR[FDR]&amp;FDR[[#Headers],[30]],FDR[30],"",0,1)</f>
        <v>2</v>
      </c>
      <c r="AQ426" cm="1">
        <f t="array" ref="AQ426">_xlfn.XLOOKUP(Matrix[[#This Row],[TEAM]]&amp;Matrix[[#Headers],[31]],FDR[FDR]&amp;FDR[[#Headers],[31]],FDR[31],"",0,1)</f>
        <v>2</v>
      </c>
      <c r="AR426" cm="1">
        <f t="array" ref="AR426">_xlfn.XLOOKUP(Matrix[[#This Row],[TEAM]]&amp;Matrix[[#Headers],[32]],FDR[FDR]&amp;FDR[[#Headers],[32]],FDR[32],"",0,1)</f>
        <v>3</v>
      </c>
      <c r="AS426" cm="1">
        <f t="array" ref="AS426">_xlfn.XLOOKUP(Matrix[[#This Row],[TEAM]]&amp;Matrix[[#Headers],[33]],FDR[FDR]&amp;FDR[[#Headers],[33]],FDR[33],"",0,1)</f>
        <v>3</v>
      </c>
      <c r="AT426" cm="1">
        <f t="array" ref="AT426">_xlfn.XLOOKUP(Matrix[[#This Row],[TEAM]]&amp;Matrix[[#Headers],[34]],FDR[FDR]&amp;FDR[[#Headers],[34]],FDR[34],"",0,1)</f>
        <v>5</v>
      </c>
      <c r="AU426" cm="1">
        <f t="array" ref="AU426">_xlfn.XLOOKUP(Matrix[[#This Row],[TEAM]]&amp;Matrix[[#Headers],[35]],FDR[FDR]&amp;FDR[[#Headers],[35]],FDR[35],"",0,1)</f>
        <v>3</v>
      </c>
      <c r="AV426" cm="1">
        <f t="array" ref="AV426">_xlfn.XLOOKUP(Matrix[[#This Row],[TEAM]]&amp;Matrix[[#Headers],[36]],FDR[FDR]&amp;FDR[[#Headers],[36]],FDR[36],"",0,1)</f>
        <v>5</v>
      </c>
      <c r="AW426" cm="1">
        <f t="array" ref="AW426">_xlfn.XLOOKUP(Matrix[[#This Row],[TEAM]]&amp;Matrix[[#Headers],[37]],FDR[FDR]&amp;FDR[[#Headers],[37]],FDR[37],"",0,1)</f>
        <v>3</v>
      </c>
      <c r="AX426" cm="1">
        <f t="array" ref="AX426">_xlfn.XLOOKUP(Matrix[[#This Row],[TEAM]]&amp;Matrix[[#Headers],[38]],FDR[FDR]&amp;FDR[[#Headers],[38]],FDR[38],"",0,1)</f>
        <v>5</v>
      </c>
    </row>
    <row r="427" spans="1:50" ht="22" thickTop="1" thickBot="1">
      <c r="A427" s="49" t="str">
        <f>INDEX!S$5</f>
        <v>FWD</v>
      </c>
      <c r="B427" s="70" t="s">
        <v>1625</v>
      </c>
      <c r="C427" s="40" t="s">
        <v>22</v>
      </c>
      <c r="D427" s="62">
        <v>0</v>
      </c>
      <c r="E427" s="60">
        <v>3.4000000000000002E-2</v>
      </c>
      <c r="F427" s="61">
        <v>0</v>
      </c>
      <c r="G427" s="63">
        <v>4.5</v>
      </c>
      <c r="H427" s="261">
        <f>IF(ISBLANK(I427),0,1)</f>
        <v>0</v>
      </c>
      <c r="I427" s="57"/>
      <c r="J427" s="58"/>
      <c r="K427" s="64" t="s">
        <v>447</v>
      </c>
      <c r="L427" s="64" t="s">
        <v>383</v>
      </c>
      <c r="M427" cm="1">
        <f t="array" ref="M427">_xlfn.XLOOKUP(Matrix[[#This Row],[TEAM]]&amp;Matrix[[#Headers],[1]],FDR[FDR]&amp;FDR[[#Headers],[1]],FDR[1],"",0,1)</f>
        <v>5</v>
      </c>
      <c r="N427" cm="1">
        <f t="array" ref="N427">_xlfn.XLOOKUP(Matrix[[#This Row],[TEAM]]&amp;Matrix[[#Headers],[2]],FDR[FDR]&amp;FDR[[#Headers],[2]],FDR[2],"",0,1)</f>
        <v>3</v>
      </c>
      <c r="O427" cm="1">
        <f t="array" ref="O427">_xlfn.XLOOKUP(Matrix[[#This Row],[TEAM]]&amp;Matrix[[#Headers],[3]],FDR[FDR]&amp;FDR[[#Headers],[3]],FDR[3],"",0,1)</f>
        <v>5</v>
      </c>
      <c r="P427" cm="1">
        <f t="array" ref="P427">_xlfn.XLOOKUP(Matrix[[#This Row],[TEAM]]&amp;Matrix[[#Headers],[4]],FDR[FDR]&amp;FDR[[#Headers],[4]],FDR[4],"",0,1)</f>
        <v>5</v>
      </c>
      <c r="Q427" cm="1">
        <f t="array" ref="Q427">_xlfn.XLOOKUP(Matrix[[#This Row],[TEAM]]&amp;Matrix[[#Headers],[5]],FDR[FDR]&amp;FDR[[#Headers],[5]],FDR[5],"",0,1)</f>
        <v>5</v>
      </c>
      <c r="R427" cm="1">
        <f t="array" ref="R427">_xlfn.XLOOKUP(Matrix[[#This Row],[TEAM]]&amp;Matrix[[#Headers],[6]],FDR[FDR]&amp;FDR[[#Headers],[6]],FDR[6],"",0,1)</f>
        <v>5</v>
      </c>
      <c r="S427" cm="1">
        <f t="array" ref="S427">_xlfn.XLOOKUP(Matrix[[#This Row],[TEAM]]&amp;Matrix[[#Headers],[7]],FDR[FDR]&amp;FDR[[#Headers],[7]],FDR[7],"",0,1)</f>
        <v>5</v>
      </c>
      <c r="T427" cm="1">
        <f t="array" ref="T427">_xlfn.XLOOKUP(Matrix[[#This Row],[TEAM]]&amp;Matrix[[#Headers],[8]],FDR[FDR]&amp;FDR[[#Headers],[8]],FDR[8],"",0,1)</f>
        <v>3</v>
      </c>
      <c r="U427" cm="1">
        <f t="array" ref="U427">_xlfn.XLOOKUP(Matrix[[#This Row],[TEAM]]&amp;Matrix[[#Headers],[9]],FDR[FDR]&amp;FDR[[#Headers],[9]],FDR[9],"",0,1)</f>
        <v>4</v>
      </c>
      <c r="V427" cm="1">
        <f t="array" ref="V427">_xlfn.XLOOKUP(Matrix[[#This Row],[TEAM]]&amp;Matrix[[#Headers],[10]],FDR[FDR]&amp;FDR[[#Headers],[10]],FDR[10],"",0,1)</f>
        <v>5</v>
      </c>
      <c r="W427" cm="1">
        <f t="array" ref="W427">_xlfn.XLOOKUP(Matrix[[#This Row],[TEAM]]&amp;Matrix[[#Headers],[11]],FDR[FDR]&amp;FDR[[#Headers],[11]],FDR[11],"",0,1)</f>
        <v>5</v>
      </c>
      <c r="X427" cm="1">
        <f t="array" ref="X427">_xlfn.XLOOKUP(Matrix[[#This Row],[TEAM]]&amp;Matrix[[#Headers],[12]],FDR[FDR]&amp;FDR[[#Headers],[12]],FDR[12],"",0,1)</f>
        <v>5</v>
      </c>
      <c r="Y427" cm="1">
        <f t="array" ref="Y427">_xlfn.XLOOKUP(Matrix[[#This Row],[TEAM]]&amp;Matrix[[#Headers],[13]],FDR[FDR]&amp;FDR[[#Headers],[13]],FDR[13],"",0,1)</f>
        <v>5</v>
      </c>
      <c r="Z427" cm="1">
        <f t="array" ref="Z427">_xlfn.XLOOKUP(Matrix[[#This Row],[TEAM]]&amp;Matrix[[#Headers],[14]],FDR[FDR]&amp;FDR[[#Headers],[14]],FDR[14],"",0,1)</f>
        <v>4</v>
      </c>
      <c r="AA427" cm="1">
        <f t="array" ref="AA427">_xlfn.XLOOKUP(Matrix[[#This Row],[TEAM]]&amp;Matrix[[#Headers],[15]],FDR[FDR]&amp;FDR[[#Headers],[15]],FDR[15],"",0,1)</f>
        <v>5</v>
      </c>
      <c r="AB427" cm="1">
        <f t="array" ref="AB427">_xlfn.XLOOKUP(Matrix[[#This Row],[TEAM]]&amp;Matrix[[#Headers],[16]],FDR[FDR]&amp;FDR[[#Headers],[16]],FDR[16],"",0,1)</f>
        <v>5</v>
      </c>
      <c r="AC427" cm="1">
        <f t="array" ref="AC427">_xlfn.XLOOKUP(Matrix[[#This Row],[TEAM]]&amp;Matrix[[#Headers],[17]],FDR[FDR]&amp;FDR[[#Headers],[17]],FDR[17],"",0,1)</f>
        <v>5</v>
      </c>
      <c r="AD427" cm="1">
        <f t="array" ref="AD427">_xlfn.XLOOKUP(Matrix[[#This Row],[TEAM]]&amp;Matrix[[#Headers],[18]],FDR[FDR]&amp;FDR[[#Headers],[18]],FDR[18],"",0,1)</f>
        <v>4</v>
      </c>
      <c r="AE427" cm="1">
        <f t="array" ref="AE427">_xlfn.XLOOKUP(Matrix[[#This Row],[TEAM]]&amp;Matrix[[#Headers],[19]],FDR[FDR]&amp;FDR[[#Headers],[19]],FDR[19],"",0,1)</f>
        <v>5</v>
      </c>
      <c r="AF427" cm="1">
        <f t="array" ref="AF427">_xlfn.XLOOKUP(Matrix[[#This Row],[TEAM]]&amp;Matrix[[#Headers],[20]],FDR[FDR]&amp;FDR[[#Headers],[20]],FDR[20],"",0,1)</f>
        <v>5</v>
      </c>
      <c r="AG427" cm="1">
        <f t="array" ref="AG427">_xlfn.XLOOKUP(Matrix[[#This Row],[TEAM]]&amp;Matrix[[#Headers],[21]],FDR[FDR]&amp;FDR[[#Headers],[21]],FDR[21],"",0,1)</f>
        <v>5</v>
      </c>
      <c r="AH427" cm="1">
        <f t="array" ref="AH427">_xlfn.XLOOKUP(Matrix[[#This Row],[TEAM]]&amp;Matrix[[#Headers],[22]],FDR[FDR]&amp;FDR[[#Headers],[22]],FDR[22],"",0,1)</f>
        <v>5</v>
      </c>
      <c r="AI427" cm="1">
        <f t="array" ref="AI427">_xlfn.XLOOKUP(Matrix[[#This Row],[TEAM]]&amp;Matrix[[#Headers],[23]],FDR[FDR]&amp;FDR[[#Headers],[23]],FDR[23],"",0,1)</f>
        <v>5</v>
      </c>
      <c r="AJ427" cm="1">
        <f t="array" ref="AJ427">_xlfn.XLOOKUP(Matrix[[#This Row],[TEAM]]&amp;Matrix[[#Headers],[24]],FDR[FDR]&amp;FDR[[#Headers],[24]],FDR[24],"",0,1)</f>
        <v>4</v>
      </c>
      <c r="AK427" cm="1">
        <f t="array" ref="AK427">_xlfn.XLOOKUP(Matrix[[#This Row],[TEAM]]&amp;Matrix[[#Headers],[25]],FDR[FDR]&amp;FDR[[#Headers],[25]],FDR[25],"",0,1)</f>
        <v>4</v>
      </c>
      <c r="AL427" cm="1">
        <f t="array" ref="AL427">_xlfn.XLOOKUP(Matrix[[#This Row],[TEAM]]&amp;Matrix[[#Headers],[26]],FDR[FDR]&amp;FDR[[#Headers],[26]],FDR[26],"",0,1)</f>
        <v>5</v>
      </c>
      <c r="AM427" cm="1">
        <f t="array" ref="AM427">_xlfn.XLOOKUP(Matrix[[#This Row],[TEAM]]&amp;Matrix[[#Headers],[27]],FDR[FDR]&amp;FDR[[#Headers],[27]],FDR[27],"",0,1)</f>
        <v>5</v>
      </c>
      <c r="AN427" cm="1">
        <f t="array" ref="AN427">_xlfn.XLOOKUP(Matrix[[#This Row],[TEAM]]&amp;Matrix[[#Headers],[28]],FDR[FDR]&amp;FDR[[#Headers],[28]],FDR[28],"",0,1)</f>
        <v>4</v>
      </c>
      <c r="AO427" cm="1">
        <f t="array" ref="AO427">_xlfn.XLOOKUP(Matrix[[#This Row],[TEAM]]&amp;Matrix[[#Headers],[29]],FDR[FDR]&amp;FDR[[#Headers],[29]],FDR[29],"",0,1)</f>
        <v>5</v>
      </c>
      <c r="AP427" cm="1">
        <f t="array" ref="AP427">_xlfn.XLOOKUP(Matrix[[#This Row],[TEAM]]&amp;Matrix[[#Headers],[30]],FDR[FDR]&amp;FDR[[#Headers],[30]],FDR[30],"",0,1)</f>
        <v>5</v>
      </c>
      <c r="AQ427" cm="1">
        <f t="array" ref="AQ427">_xlfn.XLOOKUP(Matrix[[#This Row],[TEAM]]&amp;Matrix[[#Headers],[31]],FDR[FDR]&amp;FDR[[#Headers],[31]],FDR[31],"",0,1)</f>
        <v>5</v>
      </c>
      <c r="AR427" cm="1">
        <f t="array" ref="AR427">_xlfn.XLOOKUP(Matrix[[#This Row],[TEAM]]&amp;Matrix[[#Headers],[32]],FDR[FDR]&amp;FDR[[#Headers],[32]],FDR[32],"",0,1)</f>
        <v>5</v>
      </c>
      <c r="AS427" cm="1">
        <f t="array" ref="AS427">_xlfn.XLOOKUP(Matrix[[#This Row],[TEAM]]&amp;Matrix[[#Headers],[33]],FDR[FDR]&amp;FDR[[#Headers],[33]],FDR[33],"",0,1)</f>
        <v>5</v>
      </c>
      <c r="AT427" cm="1">
        <f t="array" ref="AT427">_xlfn.XLOOKUP(Matrix[[#This Row],[TEAM]]&amp;Matrix[[#Headers],[34]],FDR[FDR]&amp;FDR[[#Headers],[34]],FDR[34],"",0,1)</f>
        <v>5</v>
      </c>
      <c r="AU427" cm="1">
        <f t="array" ref="AU427">_xlfn.XLOOKUP(Matrix[[#This Row],[TEAM]]&amp;Matrix[[#Headers],[35]],FDR[FDR]&amp;FDR[[#Headers],[35]],FDR[35],"",0,1)</f>
        <v>4</v>
      </c>
      <c r="AV427" cm="1">
        <f t="array" ref="AV427">_xlfn.XLOOKUP(Matrix[[#This Row],[TEAM]]&amp;Matrix[[#Headers],[36]],FDR[FDR]&amp;FDR[[#Headers],[36]],FDR[36],"",0,1)</f>
        <v>5</v>
      </c>
      <c r="AW427" cm="1">
        <f t="array" ref="AW427">_xlfn.XLOOKUP(Matrix[[#This Row],[TEAM]]&amp;Matrix[[#Headers],[37]],FDR[FDR]&amp;FDR[[#Headers],[37]],FDR[37],"",0,1)</f>
        <v>5</v>
      </c>
      <c r="AX427" cm="1">
        <f t="array" ref="AX427">_xlfn.XLOOKUP(Matrix[[#This Row],[TEAM]]&amp;Matrix[[#Headers],[38]],FDR[FDR]&amp;FDR[[#Headers],[38]],FDR[38],"",0,1)</f>
        <v>3</v>
      </c>
    </row>
    <row r="428" spans="1:50" ht="22" thickTop="1" thickBot="1">
      <c r="A428" s="49" t="str">
        <f>INDEX!S$5</f>
        <v>FWD</v>
      </c>
      <c r="B428" s="70" t="s">
        <v>1681</v>
      </c>
      <c r="C428" s="40" t="s">
        <v>26</v>
      </c>
      <c r="D428" s="62">
        <v>0</v>
      </c>
      <c r="E428" s="60">
        <v>3.0000000000000001E-3</v>
      </c>
      <c r="F428" s="61">
        <v>0</v>
      </c>
      <c r="G428" s="63">
        <v>4.5</v>
      </c>
      <c r="H428" s="261">
        <f>IF(ISBLANK(I428),0,1)</f>
        <v>0</v>
      </c>
      <c r="I428" s="57"/>
      <c r="J428" s="58"/>
      <c r="K428" s="64" t="s">
        <v>951</v>
      </c>
      <c r="L428" s="64" t="s">
        <v>952</v>
      </c>
      <c r="M428" cm="1">
        <f t="array" ref="M428">_xlfn.XLOOKUP(Matrix[[#This Row],[TEAM]]&amp;Matrix[[#Headers],[1]],FDR[FDR]&amp;FDR[[#Headers],[1]],FDR[1],"",0,1)</f>
        <v>5</v>
      </c>
      <c r="N428" cm="1">
        <f t="array" ref="N428">_xlfn.XLOOKUP(Matrix[[#This Row],[TEAM]]&amp;Matrix[[#Headers],[2]],FDR[FDR]&amp;FDR[[#Headers],[2]],FDR[2],"",0,1)</f>
        <v>3</v>
      </c>
      <c r="O428" cm="1">
        <f t="array" ref="O428">_xlfn.XLOOKUP(Matrix[[#This Row],[TEAM]]&amp;Matrix[[#Headers],[3]],FDR[FDR]&amp;FDR[[#Headers],[3]],FDR[3],"",0,1)</f>
        <v>5</v>
      </c>
      <c r="P428" cm="1">
        <f t="array" ref="P428">_xlfn.XLOOKUP(Matrix[[#This Row],[TEAM]]&amp;Matrix[[#Headers],[4]],FDR[FDR]&amp;FDR[[#Headers],[4]],FDR[4],"",0,1)</f>
        <v>1</v>
      </c>
      <c r="Q428" cm="1">
        <f t="array" ref="Q428">_xlfn.XLOOKUP(Matrix[[#This Row],[TEAM]]&amp;Matrix[[#Headers],[5]],FDR[FDR]&amp;FDR[[#Headers],[5]],FDR[5],"",0,1)</f>
        <v>4</v>
      </c>
      <c r="R428" cm="1">
        <f t="array" ref="R428">_xlfn.XLOOKUP(Matrix[[#This Row],[TEAM]]&amp;Matrix[[#Headers],[6]],FDR[FDR]&amp;FDR[[#Headers],[6]],FDR[6],"",0,1)</f>
        <v>4</v>
      </c>
      <c r="S428" cm="1">
        <f t="array" ref="S428">_xlfn.XLOOKUP(Matrix[[#This Row],[TEAM]]&amp;Matrix[[#Headers],[7]],FDR[FDR]&amp;FDR[[#Headers],[7]],FDR[7],"",0,1)</f>
        <v>4</v>
      </c>
      <c r="T428" cm="1">
        <f t="array" ref="T428">_xlfn.XLOOKUP(Matrix[[#This Row],[TEAM]]&amp;Matrix[[#Headers],[8]],FDR[FDR]&amp;FDR[[#Headers],[8]],FDR[8],"",0,1)</f>
        <v>3</v>
      </c>
      <c r="U428" cm="1">
        <f t="array" ref="U428">_xlfn.XLOOKUP(Matrix[[#This Row],[TEAM]]&amp;Matrix[[#Headers],[9]],FDR[FDR]&amp;FDR[[#Headers],[9]],FDR[9],"",0,1)</f>
        <v>5</v>
      </c>
      <c r="V428" cm="1">
        <f t="array" ref="V428">_xlfn.XLOOKUP(Matrix[[#This Row],[TEAM]]&amp;Matrix[[#Headers],[10]],FDR[FDR]&amp;FDR[[#Headers],[10]],FDR[10],"",0,1)</f>
        <v>3</v>
      </c>
      <c r="W428" cm="1">
        <f t="array" ref="W428">_xlfn.XLOOKUP(Matrix[[#This Row],[TEAM]]&amp;Matrix[[#Headers],[11]],FDR[FDR]&amp;FDR[[#Headers],[11]],FDR[11],"",0,1)</f>
        <v>3</v>
      </c>
      <c r="X428" cm="1">
        <f t="array" ref="X428">_xlfn.XLOOKUP(Matrix[[#This Row],[TEAM]]&amp;Matrix[[#Headers],[12]],FDR[FDR]&amp;FDR[[#Headers],[12]],FDR[12],"",0,1)</f>
        <v>2</v>
      </c>
      <c r="Y428" cm="1">
        <f t="array" ref="Y428">_xlfn.XLOOKUP(Matrix[[#This Row],[TEAM]]&amp;Matrix[[#Headers],[13]],FDR[FDR]&amp;FDR[[#Headers],[13]],FDR[13],"",0,1)</f>
        <v>4</v>
      </c>
      <c r="Z428" cm="1">
        <f t="array" ref="Z428">_xlfn.XLOOKUP(Matrix[[#This Row],[TEAM]]&amp;Matrix[[#Headers],[14]],FDR[FDR]&amp;FDR[[#Headers],[14]],FDR[14],"",0,1)</f>
        <v>2</v>
      </c>
      <c r="AA428" cm="1">
        <f t="array" ref="AA428">_xlfn.XLOOKUP(Matrix[[#This Row],[TEAM]]&amp;Matrix[[#Headers],[15]],FDR[FDR]&amp;FDR[[#Headers],[15]],FDR[15],"",0,1)</f>
        <v>4</v>
      </c>
      <c r="AB428" cm="1">
        <f t="array" ref="AB428">_xlfn.XLOOKUP(Matrix[[#This Row],[TEAM]]&amp;Matrix[[#Headers],[16]],FDR[FDR]&amp;FDR[[#Headers],[16]],FDR[16],"",0,1)</f>
        <v>4</v>
      </c>
      <c r="AC428" cm="1">
        <f t="array" ref="AC428">_xlfn.XLOOKUP(Matrix[[#This Row],[TEAM]]&amp;Matrix[[#Headers],[17]],FDR[FDR]&amp;FDR[[#Headers],[17]],FDR[17],"",0,1)</f>
        <v>2</v>
      </c>
      <c r="AD428" cm="1">
        <f t="array" ref="AD428">_xlfn.XLOOKUP(Matrix[[#This Row],[TEAM]]&amp;Matrix[[#Headers],[18]],FDR[FDR]&amp;FDR[[#Headers],[18]],FDR[18],"",0,1)</f>
        <v>4</v>
      </c>
      <c r="AE428" cm="1">
        <f t="array" ref="AE428">_xlfn.XLOOKUP(Matrix[[#This Row],[TEAM]]&amp;Matrix[[#Headers],[19]],FDR[FDR]&amp;FDR[[#Headers],[19]],FDR[19],"",0,1)</f>
        <v>3</v>
      </c>
      <c r="AF428" cm="1">
        <f t="array" ref="AF428">_xlfn.XLOOKUP(Matrix[[#This Row],[TEAM]]&amp;Matrix[[#Headers],[20]],FDR[FDR]&amp;FDR[[#Headers],[20]],FDR[20],"",0,1)</f>
        <v>5</v>
      </c>
      <c r="AG428" cm="1">
        <f t="array" ref="AG428">_xlfn.XLOOKUP(Matrix[[#This Row],[TEAM]]&amp;Matrix[[#Headers],[21]],FDR[FDR]&amp;FDR[[#Headers],[21]],FDR[21],"",0,1)</f>
        <v>4</v>
      </c>
      <c r="AH428" cm="1">
        <f t="array" ref="AH428">_xlfn.XLOOKUP(Matrix[[#This Row],[TEAM]]&amp;Matrix[[#Headers],[22]],FDR[FDR]&amp;FDR[[#Headers],[22]],FDR[22],"",0,1)</f>
        <v>2</v>
      </c>
      <c r="AI428" cm="1">
        <f t="array" ref="AI428">_xlfn.XLOOKUP(Matrix[[#This Row],[TEAM]]&amp;Matrix[[#Headers],[23]],FDR[FDR]&amp;FDR[[#Headers],[23]],FDR[23],"",0,1)</f>
        <v>4</v>
      </c>
      <c r="AJ428" cm="1">
        <f t="array" ref="AJ428">_xlfn.XLOOKUP(Matrix[[#This Row],[TEAM]]&amp;Matrix[[#Headers],[24]],FDR[FDR]&amp;FDR[[#Headers],[24]],FDR[24],"",0,1)</f>
        <v>4</v>
      </c>
      <c r="AK428" cm="1">
        <f t="array" ref="AK428">_xlfn.XLOOKUP(Matrix[[#This Row],[TEAM]]&amp;Matrix[[#Headers],[25]],FDR[FDR]&amp;FDR[[#Headers],[25]],FDR[25],"",0,1)</f>
        <v>4</v>
      </c>
      <c r="AL428" cm="1">
        <f t="array" ref="AL428">_xlfn.XLOOKUP(Matrix[[#This Row],[TEAM]]&amp;Matrix[[#Headers],[26]],FDR[FDR]&amp;FDR[[#Headers],[26]],FDR[26],"",0,1)</f>
        <v>1</v>
      </c>
      <c r="AM428" cm="1">
        <f t="array" ref="AM428">_xlfn.XLOOKUP(Matrix[[#This Row],[TEAM]]&amp;Matrix[[#Headers],[27]],FDR[FDR]&amp;FDR[[#Headers],[27]],FDR[27],"",0,1)</f>
        <v>2</v>
      </c>
      <c r="AN428" cm="1">
        <f t="array" ref="AN428">_xlfn.XLOOKUP(Matrix[[#This Row],[TEAM]]&amp;Matrix[[#Headers],[28]],FDR[FDR]&amp;FDR[[#Headers],[28]],FDR[28],"",0,1)</f>
        <v>5</v>
      </c>
      <c r="AO428" cm="1">
        <f t="array" ref="AO428">_xlfn.XLOOKUP(Matrix[[#This Row],[TEAM]]&amp;Matrix[[#Headers],[29]],FDR[FDR]&amp;FDR[[#Headers],[29]],FDR[29],"",0,1)</f>
        <v>5</v>
      </c>
      <c r="AP428" cm="1">
        <f t="array" ref="AP428">_xlfn.XLOOKUP(Matrix[[#This Row],[TEAM]]&amp;Matrix[[#Headers],[30]],FDR[FDR]&amp;FDR[[#Headers],[30]],FDR[30],"",0,1)</f>
        <v>1</v>
      </c>
      <c r="AQ428" cm="1">
        <f t="array" ref="AQ428">_xlfn.XLOOKUP(Matrix[[#This Row],[TEAM]]&amp;Matrix[[#Headers],[31]],FDR[FDR]&amp;FDR[[#Headers],[31]],FDR[31],"",0,1)</f>
        <v>5</v>
      </c>
      <c r="AR428" cm="1">
        <f t="array" ref="AR428">_xlfn.XLOOKUP(Matrix[[#This Row],[TEAM]]&amp;Matrix[[#Headers],[32]],FDR[FDR]&amp;FDR[[#Headers],[32]],FDR[32],"",0,1)</f>
        <v>4</v>
      </c>
      <c r="AS428" cm="1">
        <f t="array" ref="AS428">_xlfn.XLOOKUP(Matrix[[#This Row],[TEAM]]&amp;Matrix[[#Headers],[33]],FDR[FDR]&amp;FDR[[#Headers],[33]],FDR[33],"",0,1)</f>
        <v>3</v>
      </c>
      <c r="AT428" cm="1">
        <f t="array" ref="AT428">_xlfn.XLOOKUP(Matrix[[#This Row],[TEAM]]&amp;Matrix[[#Headers],[34]],FDR[FDR]&amp;FDR[[#Headers],[34]],FDR[34],"",0,1)</f>
        <v>5</v>
      </c>
      <c r="AU428" cm="1">
        <f t="array" ref="AU428">_xlfn.XLOOKUP(Matrix[[#This Row],[TEAM]]&amp;Matrix[[#Headers],[35]],FDR[FDR]&amp;FDR[[#Headers],[35]],FDR[35],"",0,1)</f>
        <v>4</v>
      </c>
      <c r="AV428" cm="1">
        <f t="array" ref="AV428">_xlfn.XLOOKUP(Matrix[[#This Row],[TEAM]]&amp;Matrix[[#Headers],[36]],FDR[FDR]&amp;FDR[[#Headers],[36]],FDR[36],"",0,1)</f>
        <v>3</v>
      </c>
      <c r="AW428" cm="1">
        <f t="array" ref="AW428">_xlfn.XLOOKUP(Matrix[[#This Row],[TEAM]]&amp;Matrix[[#Headers],[37]],FDR[FDR]&amp;FDR[[#Headers],[37]],FDR[37],"",0,1)</f>
        <v>4</v>
      </c>
      <c r="AX428" cm="1">
        <f t="array" ref="AX428">_xlfn.XLOOKUP(Matrix[[#This Row],[TEAM]]&amp;Matrix[[#Headers],[38]],FDR[FDR]&amp;FDR[[#Headers],[38]],FDR[38],"",0,1)</f>
        <v>4</v>
      </c>
    </row>
    <row r="429" spans="1:50" ht="22" thickTop="1" thickBot="1">
      <c r="A429" s="49" t="str">
        <f>INDEX!S$5</f>
        <v>FWD</v>
      </c>
      <c r="B429" s="70" t="s">
        <v>1684</v>
      </c>
      <c r="C429" s="40" t="s">
        <v>24</v>
      </c>
      <c r="D429" s="62">
        <v>0</v>
      </c>
      <c r="E429" s="60">
        <v>3.0000000000000001E-3</v>
      </c>
      <c r="F429" s="61">
        <v>0</v>
      </c>
      <c r="G429" s="63">
        <v>4.5</v>
      </c>
      <c r="H429" s="261">
        <f>IF(ISBLANK(I429),0,1)</f>
        <v>0</v>
      </c>
      <c r="I429" s="57"/>
      <c r="J429" s="58"/>
      <c r="K429" s="64" t="s">
        <v>353</v>
      </c>
      <c r="L429" s="64" t="s">
        <v>971</v>
      </c>
      <c r="M429" cm="1">
        <f t="array" ref="M429">_xlfn.XLOOKUP(Matrix[[#This Row],[TEAM]]&amp;Matrix[[#Headers],[1]],FDR[FDR]&amp;FDR[[#Headers],[1]],FDR[1],"",0,1)</f>
        <v>2</v>
      </c>
      <c r="N429" cm="1">
        <f t="array" ref="N429">_xlfn.XLOOKUP(Matrix[[#This Row],[TEAM]]&amp;Matrix[[#Headers],[2]],FDR[FDR]&amp;FDR[[#Headers],[2]],FDR[2],"",0,1)</f>
        <v>3</v>
      </c>
      <c r="O429" cm="1">
        <f t="array" ref="O429">_xlfn.XLOOKUP(Matrix[[#This Row],[TEAM]]&amp;Matrix[[#Headers],[3]],FDR[FDR]&amp;FDR[[#Headers],[3]],FDR[3],"",0,1)</f>
        <v>2</v>
      </c>
      <c r="P429" cm="1">
        <f t="array" ref="P429">_xlfn.XLOOKUP(Matrix[[#This Row],[TEAM]]&amp;Matrix[[#Headers],[4]],FDR[FDR]&amp;FDR[[#Headers],[4]],FDR[4],"",0,1)</f>
        <v>4</v>
      </c>
      <c r="Q429" cm="1">
        <f t="array" ref="Q429">_xlfn.XLOOKUP(Matrix[[#This Row],[TEAM]]&amp;Matrix[[#Headers],[5]],FDR[FDR]&amp;FDR[[#Headers],[5]],FDR[5],"",0,1)</f>
        <v>5</v>
      </c>
      <c r="R429" cm="1">
        <f t="array" ref="R429">_xlfn.XLOOKUP(Matrix[[#This Row],[TEAM]]&amp;Matrix[[#Headers],[6]],FDR[FDR]&amp;FDR[[#Headers],[6]],FDR[6],"",0,1)</f>
        <v>3</v>
      </c>
      <c r="S429" cm="1">
        <f t="array" ref="S429">_xlfn.XLOOKUP(Matrix[[#This Row],[TEAM]]&amp;Matrix[[#Headers],[7]],FDR[FDR]&amp;FDR[[#Headers],[7]],FDR[7],"",0,1)</f>
        <v>3</v>
      </c>
      <c r="T429" cm="1">
        <f t="array" ref="T429">_xlfn.XLOOKUP(Matrix[[#This Row],[TEAM]]&amp;Matrix[[#Headers],[8]],FDR[FDR]&amp;FDR[[#Headers],[8]],FDR[8],"",0,1)</f>
        <v>5</v>
      </c>
      <c r="U429" cm="1">
        <f t="array" ref="U429">_xlfn.XLOOKUP(Matrix[[#This Row],[TEAM]]&amp;Matrix[[#Headers],[9]],FDR[FDR]&amp;FDR[[#Headers],[9]],FDR[9],"",0,1)</f>
        <v>4</v>
      </c>
      <c r="V429" cm="1">
        <f t="array" ref="V429">_xlfn.XLOOKUP(Matrix[[#This Row],[TEAM]]&amp;Matrix[[#Headers],[10]],FDR[FDR]&amp;FDR[[#Headers],[10]],FDR[10],"",0,1)</f>
        <v>2</v>
      </c>
      <c r="W429" cm="1">
        <f t="array" ref="W429">_xlfn.XLOOKUP(Matrix[[#This Row],[TEAM]]&amp;Matrix[[#Headers],[11]],FDR[FDR]&amp;FDR[[#Headers],[11]],FDR[11],"",0,1)</f>
        <v>3</v>
      </c>
      <c r="X429" cm="1">
        <f t="array" ref="X429">_xlfn.XLOOKUP(Matrix[[#This Row],[TEAM]]&amp;Matrix[[#Headers],[12]],FDR[FDR]&amp;FDR[[#Headers],[12]],FDR[12],"",0,1)</f>
        <v>5</v>
      </c>
      <c r="Y429" cm="1">
        <f t="array" ref="Y429">_xlfn.XLOOKUP(Matrix[[#This Row],[TEAM]]&amp;Matrix[[#Headers],[13]],FDR[FDR]&amp;FDR[[#Headers],[13]],FDR[13],"",0,1)</f>
        <v>4</v>
      </c>
      <c r="Z429" cm="1">
        <f t="array" ref="Z429">_xlfn.XLOOKUP(Matrix[[#This Row],[TEAM]]&amp;Matrix[[#Headers],[14]],FDR[FDR]&amp;FDR[[#Headers],[14]],FDR[14],"",0,1)</f>
        <v>4</v>
      </c>
      <c r="AA429" cm="1">
        <f t="array" ref="AA429">_xlfn.XLOOKUP(Matrix[[#This Row],[TEAM]]&amp;Matrix[[#Headers],[15]],FDR[FDR]&amp;FDR[[#Headers],[15]],FDR[15],"",0,1)</f>
        <v>3</v>
      </c>
      <c r="AB429" cm="1">
        <f t="array" ref="AB429">_xlfn.XLOOKUP(Matrix[[#This Row],[TEAM]]&amp;Matrix[[#Headers],[16]],FDR[FDR]&amp;FDR[[#Headers],[16]],FDR[16],"",0,1)</f>
        <v>5</v>
      </c>
      <c r="AC429" cm="1">
        <f t="array" ref="AC429">_xlfn.XLOOKUP(Matrix[[#This Row],[TEAM]]&amp;Matrix[[#Headers],[17]],FDR[FDR]&amp;FDR[[#Headers],[17]],FDR[17],"",0,1)</f>
        <v>4</v>
      </c>
      <c r="AD429" cm="1">
        <f t="array" ref="AD429">_xlfn.XLOOKUP(Matrix[[#This Row],[TEAM]]&amp;Matrix[[#Headers],[18]],FDR[FDR]&amp;FDR[[#Headers],[18]],FDR[18],"",0,1)</f>
        <v>2</v>
      </c>
      <c r="AE429" cm="1">
        <f t="array" ref="AE429">_xlfn.XLOOKUP(Matrix[[#This Row],[TEAM]]&amp;Matrix[[#Headers],[19]],FDR[FDR]&amp;FDR[[#Headers],[19]],FDR[19],"",0,1)</f>
        <v>4</v>
      </c>
      <c r="AF429" cm="1">
        <f t="array" ref="AF429">_xlfn.XLOOKUP(Matrix[[#This Row],[TEAM]]&amp;Matrix[[#Headers],[20]],FDR[FDR]&amp;FDR[[#Headers],[20]],FDR[20],"",0,1)</f>
        <v>3</v>
      </c>
      <c r="AG429" cm="1">
        <f t="array" ref="AG429">_xlfn.XLOOKUP(Matrix[[#This Row],[TEAM]]&amp;Matrix[[#Headers],[21]],FDR[FDR]&amp;FDR[[#Headers],[21]],FDR[21],"",0,1)</f>
        <v>2</v>
      </c>
      <c r="AH429" cm="1">
        <f t="array" ref="AH429">_xlfn.XLOOKUP(Matrix[[#This Row],[TEAM]]&amp;Matrix[[#Headers],[22]],FDR[FDR]&amp;FDR[[#Headers],[22]],FDR[22],"",0,1)</f>
        <v>5</v>
      </c>
      <c r="AI429" cm="1">
        <f t="array" ref="AI429">_xlfn.XLOOKUP(Matrix[[#This Row],[TEAM]]&amp;Matrix[[#Headers],[23]],FDR[FDR]&amp;FDR[[#Headers],[23]],FDR[23],"",0,1)</f>
        <v>1</v>
      </c>
      <c r="AJ429" cm="1">
        <f t="array" ref="AJ429">_xlfn.XLOOKUP(Matrix[[#This Row],[TEAM]]&amp;Matrix[[#Headers],[24]],FDR[FDR]&amp;FDR[[#Headers],[24]],FDR[24],"",0,1)</f>
        <v>4</v>
      </c>
      <c r="AK429" cm="1">
        <f t="array" ref="AK429">_xlfn.XLOOKUP(Matrix[[#This Row],[TEAM]]&amp;Matrix[[#Headers],[25]],FDR[FDR]&amp;FDR[[#Headers],[25]],FDR[25],"",0,1)</f>
        <v>4</v>
      </c>
      <c r="AL429" cm="1">
        <f t="array" ref="AL429">_xlfn.XLOOKUP(Matrix[[#This Row],[TEAM]]&amp;Matrix[[#Headers],[26]],FDR[FDR]&amp;FDR[[#Headers],[26]],FDR[26],"",0,1)</f>
        <v>3</v>
      </c>
      <c r="AM429" cm="1">
        <f t="array" ref="AM429">_xlfn.XLOOKUP(Matrix[[#This Row],[TEAM]]&amp;Matrix[[#Headers],[27]],FDR[FDR]&amp;FDR[[#Headers],[27]],FDR[27],"",0,1)</f>
        <v>4</v>
      </c>
      <c r="AN429" cm="1">
        <f t="array" ref="AN429">_xlfn.XLOOKUP(Matrix[[#This Row],[TEAM]]&amp;Matrix[[#Headers],[28]],FDR[FDR]&amp;FDR[[#Headers],[28]],FDR[28],"",0,1)</f>
        <v>5</v>
      </c>
      <c r="AO429" cm="1">
        <f t="array" ref="AO429">_xlfn.XLOOKUP(Matrix[[#This Row],[TEAM]]&amp;Matrix[[#Headers],[29]],FDR[FDR]&amp;FDR[[#Headers],[29]],FDR[29],"",0,1)</f>
        <v>1</v>
      </c>
      <c r="AP429" cm="1">
        <f t="array" ref="AP429">_xlfn.XLOOKUP(Matrix[[#This Row],[TEAM]]&amp;Matrix[[#Headers],[30]],FDR[FDR]&amp;FDR[[#Headers],[30]],FDR[30],"",0,1)</f>
        <v>5</v>
      </c>
      <c r="AQ429" cm="1">
        <f t="array" ref="AQ429">_xlfn.XLOOKUP(Matrix[[#This Row],[TEAM]]&amp;Matrix[[#Headers],[31]],FDR[FDR]&amp;FDR[[#Headers],[31]],FDR[31],"",0,1)</f>
        <v>4</v>
      </c>
      <c r="AR429" cm="1">
        <f t="array" ref="AR429">_xlfn.XLOOKUP(Matrix[[#This Row],[TEAM]]&amp;Matrix[[#Headers],[32]],FDR[FDR]&amp;FDR[[#Headers],[32]],FDR[32],"",0,1)</f>
        <v>4</v>
      </c>
      <c r="AS429" cm="1">
        <f t="array" ref="AS429">_xlfn.XLOOKUP(Matrix[[#This Row],[TEAM]]&amp;Matrix[[#Headers],[33]],FDR[FDR]&amp;FDR[[#Headers],[33]],FDR[33],"",0,1)</f>
        <v>4</v>
      </c>
      <c r="AT429" cm="1">
        <f t="array" ref="AT429">_xlfn.XLOOKUP(Matrix[[#This Row],[TEAM]]&amp;Matrix[[#Headers],[34]],FDR[FDR]&amp;FDR[[#Headers],[34]],FDR[34],"",0,1)</f>
        <v>4</v>
      </c>
      <c r="AU429" cm="1">
        <f t="array" ref="AU429">_xlfn.XLOOKUP(Matrix[[#This Row],[TEAM]]&amp;Matrix[[#Headers],[35]],FDR[FDR]&amp;FDR[[#Headers],[35]],FDR[35],"",0,1)</f>
        <v>4</v>
      </c>
      <c r="AV429" cm="1">
        <f t="array" ref="AV429">_xlfn.XLOOKUP(Matrix[[#This Row],[TEAM]]&amp;Matrix[[#Headers],[36]],FDR[FDR]&amp;FDR[[#Headers],[36]],FDR[36],"",0,1)</f>
        <v>4</v>
      </c>
      <c r="AW429" cm="1">
        <f t="array" ref="AW429">_xlfn.XLOOKUP(Matrix[[#This Row],[TEAM]]&amp;Matrix[[#Headers],[37]],FDR[FDR]&amp;FDR[[#Headers],[37]],FDR[37],"",0,1)</f>
        <v>1</v>
      </c>
      <c r="AX429" cm="1">
        <f t="array" ref="AX429">_xlfn.XLOOKUP(Matrix[[#This Row],[TEAM]]&amp;Matrix[[#Headers],[38]],FDR[FDR]&amp;FDR[[#Headers],[38]],FDR[38],"",0,1)</f>
        <v>5</v>
      </c>
    </row>
    <row r="430" spans="1:50" ht="22" thickTop="1" thickBot="1">
      <c r="A430" s="49" t="str">
        <f>INDEX!S$5</f>
        <v>FWD</v>
      </c>
      <c r="B430" s="70" t="s">
        <v>1687</v>
      </c>
      <c r="C430" s="40" t="s">
        <v>25</v>
      </c>
      <c r="D430" s="62">
        <v>0</v>
      </c>
      <c r="E430" s="60">
        <v>3.0000000000000001E-3</v>
      </c>
      <c r="F430" s="61">
        <v>0</v>
      </c>
      <c r="G430" s="63">
        <v>4.5</v>
      </c>
      <c r="H430" s="261">
        <f>IF(ISBLANK(I430),0,1)</f>
        <v>0</v>
      </c>
      <c r="I430" s="57"/>
      <c r="J430" s="58"/>
      <c r="K430" s="64" t="s">
        <v>438</v>
      </c>
      <c r="L430" s="64" t="s">
        <v>1129</v>
      </c>
      <c r="M430" cm="1">
        <f t="array" ref="M430">_xlfn.XLOOKUP(Matrix[[#This Row],[TEAM]]&amp;Matrix[[#Headers],[1]],FDR[FDR]&amp;FDR[[#Headers],[1]],FDR[1],"",0,1)</f>
        <v>3</v>
      </c>
      <c r="N430" cm="1">
        <f t="array" ref="N430">_xlfn.XLOOKUP(Matrix[[#This Row],[TEAM]]&amp;Matrix[[#Headers],[2]],FDR[FDR]&amp;FDR[[#Headers],[2]],FDR[2],"",0,1)</f>
        <v>3</v>
      </c>
      <c r="O430" cm="1">
        <f t="array" ref="O430">_xlfn.XLOOKUP(Matrix[[#This Row],[TEAM]]&amp;Matrix[[#Headers],[3]],FDR[FDR]&amp;FDR[[#Headers],[3]],FDR[3],"",0,1)</f>
        <v>1</v>
      </c>
      <c r="P430" cm="1">
        <f t="array" ref="P430">_xlfn.XLOOKUP(Matrix[[#This Row],[TEAM]]&amp;Matrix[[#Headers],[4]],FDR[FDR]&amp;FDR[[#Headers],[4]],FDR[4],"",0,1)</f>
        <v>1</v>
      </c>
      <c r="Q430" cm="1">
        <f t="array" ref="Q430">_xlfn.XLOOKUP(Matrix[[#This Row],[TEAM]]&amp;Matrix[[#Headers],[5]],FDR[FDR]&amp;FDR[[#Headers],[5]],FDR[5],"",0,1)</f>
        <v>2</v>
      </c>
      <c r="R430" cm="1">
        <f t="array" ref="R430">_xlfn.XLOOKUP(Matrix[[#This Row],[TEAM]]&amp;Matrix[[#Headers],[6]],FDR[FDR]&amp;FDR[[#Headers],[6]],FDR[6],"",0,1)</f>
        <v>3</v>
      </c>
      <c r="S430" cm="1">
        <f t="array" ref="S430">_xlfn.XLOOKUP(Matrix[[#This Row],[TEAM]]&amp;Matrix[[#Headers],[7]],FDR[FDR]&amp;FDR[[#Headers],[7]],FDR[7],"",0,1)</f>
        <v>2</v>
      </c>
      <c r="T430" cm="1">
        <f t="array" ref="T430">_xlfn.XLOOKUP(Matrix[[#This Row],[TEAM]]&amp;Matrix[[#Headers],[8]],FDR[FDR]&amp;FDR[[#Headers],[8]],FDR[8],"",0,1)</f>
        <v>2</v>
      </c>
      <c r="U430" cm="1">
        <f t="array" ref="U430">_xlfn.XLOOKUP(Matrix[[#This Row],[TEAM]]&amp;Matrix[[#Headers],[9]],FDR[FDR]&amp;FDR[[#Headers],[9]],FDR[9],"",0,1)</f>
        <v>2</v>
      </c>
      <c r="V430" cm="1">
        <f t="array" ref="V430">_xlfn.XLOOKUP(Matrix[[#This Row],[TEAM]]&amp;Matrix[[#Headers],[10]],FDR[FDR]&amp;FDR[[#Headers],[10]],FDR[10],"",0,1)</f>
        <v>2</v>
      </c>
      <c r="W430" cm="1">
        <f t="array" ref="W430">_xlfn.XLOOKUP(Matrix[[#This Row],[TEAM]]&amp;Matrix[[#Headers],[11]],FDR[FDR]&amp;FDR[[#Headers],[11]],FDR[11],"",0,1)</f>
        <v>2</v>
      </c>
      <c r="X430" cm="1">
        <f t="array" ref="X430">_xlfn.XLOOKUP(Matrix[[#This Row],[TEAM]]&amp;Matrix[[#Headers],[12]],FDR[FDR]&amp;FDR[[#Headers],[12]],FDR[12],"",0,1)</f>
        <v>3</v>
      </c>
      <c r="Y430" cm="1">
        <f t="array" ref="Y430">_xlfn.XLOOKUP(Matrix[[#This Row],[TEAM]]&amp;Matrix[[#Headers],[13]],FDR[FDR]&amp;FDR[[#Headers],[13]],FDR[13],"",0,1)</f>
        <v>2</v>
      </c>
      <c r="Z430" cm="1">
        <f t="array" ref="Z430">_xlfn.XLOOKUP(Matrix[[#This Row],[TEAM]]&amp;Matrix[[#Headers],[14]],FDR[FDR]&amp;FDR[[#Headers],[14]],FDR[14],"",0,1)</f>
        <v>3</v>
      </c>
      <c r="AA430" cm="1">
        <f t="array" ref="AA430">_xlfn.XLOOKUP(Matrix[[#This Row],[TEAM]]&amp;Matrix[[#Headers],[15]],FDR[FDR]&amp;FDR[[#Headers],[15]],FDR[15],"",0,1)</f>
        <v>1</v>
      </c>
      <c r="AB430" cm="1">
        <f t="array" ref="AB430">_xlfn.XLOOKUP(Matrix[[#This Row],[TEAM]]&amp;Matrix[[#Headers],[16]],FDR[FDR]&amp;FDR[[#Headers],[16]],FDR[16],"",0,1)</f>
        <v>1</v>
      </c>
      <c r="AC430" cm="1">
        <f t="array" ref="AC430">_xlfn.XLOOKUP(Matrix[[#This Row],[TEAM]]&amp;Matrix[[#Headers],[17]],FDR[FDR]&amp;FDR[[#Headers],[17]],FDR[17],"",0,1)</f>
        <v>3</v>
      </c>
      <c r="AD430" cm="1">
        <f t="array" ref="AD430">_xlfn.XLOOKUP(Matrix[[#This Row],[TEAM]]&amp;Matrix[[#Headers],[18]],FDR[FDR]&amp;FDR[[#Headers],[18]],FDR[18],"",0,1)</f>
        <v>4</v>
      </c>
      <c r="AE430" cm="1">
        <f t="array" ref="AE430">_xlfn.XLOOKUP(Matrix[[#This Row],[TEAM]]&amp;Matrix[[#Headers],[19]],FDR[FDR]&amp;FDR[[#Headers],[19]],FDR[19],"",0,1)</f>
        <v>1</v>
      </c>
      <c r="AF430" cm="1">
        <f t="array" ref="AF430">_xlfn.XLOOKUP(Matrix[[#This Row],[TEAM]]&amp;Matrix[[#Headers],[20]],FDR[FDR]&amp;FDR[[#Headers],[20]],FDR[20],"",0,1)</f>
        <v>1</v>
      </c>
      <c r="AG430" cm="1">
        <f t="array" ref="AG430">_xlfn.XLOOKUP(Matrix[[#This Row],[TEAM]]&amp;Matrix[[#Headers],[21]],FDR[FDR]&amp;FDR[[#Headers],[21]],FDR[21],"",0,1)</f>
        <v>1</v>
      </c>
      <c r="AH430" cm="1">
        <f t="array" ref="AH430">_xlfn.XLOOKUP(Matrix[[#This Row],[TEAM]]&amp;Matrix[[#Headers],[22]],FDR[FDR]&amp;FDR[[#Headers],[22]],FDR[22],"",0,1)</f>
        <v>1</v>
      </c>
      <c r="AI430" cm="1">
        <f t="array" ref="AI430">_xlfn.XLOOKUP(Matrix[[#This Row],[TEAM]]&amp;Matrix[[#Headers],[23]],FDR[FDR]&amp;FDR[[#Headers],[23]],FDR[23],"",0,1)</f>
        <v>2</v>
      </c>
      <c r="AJ430" cm="1">
        <f t="array" ref="AJ430">_xlfn.XLOOKUP(Matrix[[#This Row],[TEAM]]&amp;Matrix[[#Headers],[24]],FDR[FDR]&amp;FDR[[#Headers],[24]],FDR[24],"",0,1)</f>
        <v>4</v>
      </c>
      <c r="AK430" cm="1">
        <f t="array" ref="AK430">_xlfn.XLOOKUP(Matrix[[#This Row],[TEAM]]&amp;Matrix[[#Headers],[25]],FDR[FDR]&amp;FDR[[#Headers],[25]],FDR[25],"",0,1)</f>
        <v>1</v>
      </c>
      <c r="AL430" cm="1">
        <f t="array" ref="AL430">_xlfn.XLOOKUP(Matrix[[#This Row],[TEAM]]&amp;Matrix[[#Headers],[26]],FDR[FDR]&amp;FDR[[#Headers],[26]],FDR[26],"",0,1)</f>
        <v>4</v>
      </c>
      <c r="AM430" cm="1">
        <f t="array" ref="AM430">_xlfn.XLOOKUP(Matrix[[#This Row],[TEAM]]&amp;Matrix[[#Headers],[27]],FDR[FDR]&amp;FDR[[#Headers],[27]],FDR[27],"",0,1)</f>
        <v>4</v>
      </c>
      <c r="AN430" cm="1">
        <f t="array" ref="AN430">_xlfn.XLOOKUP(Matrix[[#This Row],[TEAM]]&amp;Matrix[[#Headers],[28]],FDR[FDR]&amp;FDR[[#Headers],[28]],FDR[28],"",0,1)</f>
        <v>1</v>
      </c>
      <c r="AO430" cm="1">
        <f t="array" ref="AO430">_xlfn.XLOOKUP(Matrix[[#This Row],[TEAM]]&amp;Matrix[[#Headers],[29]],FDR[FDR]&amp;FDR[[#Headers],[29]],FDR[29],"",0,1)</f>
        <v>3</v>
      </c>
      <c r="AP430" cm="1">
        <f t="array" ref="AP430">_xlfn.XLOOKUP(Matrix[[#This Row],[TEAM]]&amp;Matrix[[#Headers],[30]],FDR[FDR]&amp;FDR[[#Headers],[30]],FDR[30],"",0,1)</f>
        <v>4</v>
      </c>
      <c r="AQ430" cm="1">
        <f t="array" ref="AQ430">_xlfn.XLOOKUP(Matrix[[#This Row],[TEAM]]&amp;Matrix[[#Headers],[31]],FDR[FDR]&amp;FDR[[#Headers],[31]],FDR[31],"",0,1)</f>
        <v>1</v>
      </c>
      <c r="AR430" cm="1">
        <f t="array" ref="AR430">_xlfn.XLOOKUP(Matrix[[#This Row],[TEAM]]&amp;Matrix[[#Headers],[32]],FDR[FDR]&amp;FDR[[#Headers],[32]],FDR[32],"",0,1)</f>
        <v>2</v>
      </c>
      <c r="AS430" cm="1">
        <f t="array" ref="AS430">_xlfn.XLOOKUP(Matrix[[#This Row],[TEAM]]&amp;Matrix[[#Headers],[33]],FDR[FDR]&amp;FDR[[#Headers],[33]],FDR[33],"",0,1)</f>
        <v>2</v>
      </c>
      <c r="AT430" cm="1">
        <f t="array" ref="AT430">_xlfn.XLOOKUP(Matrix[[#This Row],[TEAM]]&amp;Matrix[[#Headers],[34]],FDR[FDR]&amp;FDR[[#Headers],[34]],FDR[34],"",0,1)</f>
        <v>4</v>
      </c>
      <c r="AU430" cm="1">
        <f t="array" ref="AU430">_xlfn.XLOOKUP(Matrix[[#This Row],[TEAM]]&amp;Matrix[[#Headers],[35]],FDR[FDR]&amp;FDR[[#Headers],[35]],FDR[35],"",0,1)</f>
        <v>2</v>
      </c>
      <c r="AV430" cm="1">
        <f t="array" ref="AV430">_xlfn.XLOOKUP(Matrix[[#This Row],[TEAM]]&amp;Matrix[[#Headers],[36]],FDR[FDR]&amp;FDR[[#Headers],[36]],FDR[36],"",0,1)</f>
        <v>2</v>
      </c>
      <c r="AW430" cm="1">
        <f t="array" ref="AW430">_xlfn.XLOOKUP(Matrix[[#This Row],[TEAM]]&amp;Matrix[[#Headers],[37]],FDR[FDR]&amp;FDR[[#Headers],[37]],FDR[37],"",0,1)</f>
        <v>1</v>
      </c>
      <c r="AX430" cm="1">
        <f t="array" ref="AX430">_xlfn.XLOOKUP(Matrix[[#This Row],[TEAM]]&amp;Matrix[[#Headers],[38]],FDR[FDR]&amp;FDR[[#Headers],[38]],FDR[38],"",0,1)</f>
        <v>2</v>
      </c>
    </row>
    <row r="431" spans="1:50" ht="22" thickTop="1" thickBot="1">
      <c r="A431" s="49" t="str">
        <f>INDEX!S$5</f>
        <v>FWD</v>
      </c>
      <c r="B431" s="70" t="s">
        <v>1647</v>
      </c>
      <c r="C431" s="40" t="s">
        <v>634</v>
      </c>
      <c r="D431" s="62">
        <v>0</v>
      </c>
      <c r="E431" s="60">
        <v>8.0000000000000002E-3</v>
      </c>
      <c r="F431" s="61">
        <v>0</v>
      </c>
      <c r="G431" s="63">
        <v>4.5</v>
      </c>
      <c r="H431" s="261">
        <f>IF(ISBLANK(I431),0,1)</f>
        <v>0</v>
      </c>
      <c r="I431" s="57"/>
      <c r="J431" s="58"/>
      <c r="K431" s="64" t="s">
        <v>1188</v>
      </c>
      <c r="L431" s="64" t="s">
        <v>1169</v>
      </c>
      <c r="M431" cm="1">
        <f t="array" ref="M431">_xlfn.XLOOKUP(Matrix[[#This Row],[TEAM]]&amp;Matrix[[#Headers],[1]],FDR[FDR]&amp;FDR[[#Headers],[1]],FDR[1],"",0,1)</f>
        <v>4</v>
      </c>
      <c r="N431" cm="1">
        <f t="array" ref="N431">_xlfn.XLOOKUP(Matrix[[#This Row],[TEAM]]&amp;Matrix[[#Headers],[2]],FDR[FDR]&amp;FDR[[#Headers],[2]],FDR[2],"",0,1)</f>
        <v>4</v>
      </c>
      <c r="O431" cm="1">
        <f t="array" ref="O431">_xlfn.XLOOKUP(Matrix[[#This Row],[TEAM]]&amp;Matrix[[#Headers],[3]],FDR[FDR]&amp;FDR[[#Headers],[3]],FDR[3],"",0,1)</f>
        <v>4</v>
      </c>
      <c r="P431" cm="1">
        <f t="array" ref="P431">_xlfn.XLOOKUP(Matrix[[#This Row],[TEAM]]&amp;Matrix[[#Headers],[4]],FDR[FDR]&amp;FDR[[#Headers],[4]],FDR[4],"",0,1)</f>
        <v>5</v>
      </c>
      <c r="Q431" cm="1">
        <f t="array" ref="Q431">_xlfn.XLOOKUP(Matrix[[#This Row],[TEAM]]&amp;Matrix[[#Headers],[5]],FDR[FDR]&amp;FDR[[#Headers],[5]],FDR[5],"",0,1)</f>
        <v>5</v>
      </c>
      <c r="R431" cm="1">
        <f t="array" ref="R431">_xlfn.XLOOKUP(Matrix[[#This Row],[TEAM]]&amp;Matrix[[#Headers],[6]],FDR[FDR]&amp;FDR[[#Headers],[6]],FDR[6],"",0,1)</f>
        <v>5</v>
      </c>
      <c r="S431" cm="1">
        <f t="array" ref="S431">_xlfn.XLOOKUP(Matrix[[#This Row],[TEAM]]&amp;Matrix[[#Headers],[7]],FDR[FDR]&amp;FDR[[#Headers],[7]],FDR[7],"",0,1)</f>
        <v>5</v>
      </c>
      <c r="T431" cm="1">
        <f t="array" ref="T431">_xlfn.XLOOKUP(Matrix[[#This Row],[TEAM]]&amp;Matrix[[#Headers],[8]],FDR[FDR]&amp;FDR[[#Headers],[8]],FDR[8],"",0,1)</f>
        <v>3</v>
      </c>
      <c r="U431" cm="1">
        <f t="array" ref="U431">_xlfn.XLOOKUP(Matrix[[#This Row],[TEAM]]&amp;Matrix[[#Headers],[9]],FDR[FDR]&amp;FDR[[#Headers],[9]],FDR[9],"",0,1)</f>
        <v>5</v>
      </c>
      <c r="V431" cm="1">
        <f t="array" ref="V431">_xlfn.XLOOKUP(Matrix[[#This Row],[TEAM]]&amp;Matrix[[#Headers],[10]],FDR[FDR]&amp;FDR[[#Headers],[10]],FDR[10],"",0,1)</f>
        <v>4</v>
      </c>
      <c r="W431" cm="1">
        <f t="array" ref="W431">_xlfn.XLOOKUP(Matrix[[#This Row],[TEAM]]&amp;Matrix[[#Headers],[11]],FDR[FDR]&amp;FDR[[#Headers],[11]],FDR[11],"",0,1)</f>
        <v>5</v>
      </c>
      <c r="X431" cm="1">
        <f t="array" ref="X431">_xlfn.XLOOKUP(Matrix[[#This Row],[TEAM]]&amp;Matrix[[#Headers],[12]],FDR[FDR]&amp;FDR[[#Headers],[12]],FDR[12],"",0,1)</f>
        <v>5</v>
      </c>
      <c r="Y431" cm="1">
        <f t="array" ref="Y431">_xlfn.XLOOKUP(Matrix[[#This Row],[TEAM]]&amp;Matrix[[#Headers],[13]],FDR[FDR]&amp;FDR[[#Headers],[13]],FDR[13],"",0,1)</f>
        <v>5</v>
      </c>
      <c r="Z431" cm="1">
        <f t="array" ref="Z431">_xlfn.XLOOKUP(Matrix[[#This Row],[TEAM]]&amp;Matrix[[#Headers],[14]],FDR[FDR]&amp;FDR[[#Headers],[14]],FDR[14],"",0,1)</f>
        <v>5</v>
      </c>
      <c r="AA431" cm="1">
        <f t="array" ref="AA431">_xlfn.XLOOKUP(Matrix[[#This Row],[TEAM]]&amp;Matrix[[#Headers],[15]],FDR[FDR]&amp;FDR[[#Headers],[15]],FDR[15],"",0,1)</f>
        <v>5</v>
      </c>
      <c r="AB431" cm="1">
        <f t="array" ref="AB431">_xlfn.XLOOKUP(Matrix[[#This Row],[TEAM]]&amp;Matrix[[#Headers],[16]],FDR[FDR]&amp;FDR[[#Headers],[16]],FDR[16],"",0,1)</f>
        <v>5</v>
      </c>
      <c r="AC431" cm="1">
        <f t="array" ref="AC431">_xlfn.XLOOKUP(Matrix[[#This Row],[TEAM]]&amp;Matrix[[#Headers],[17]],FDR[FDR]&amp;FDR[[#Headers],[17]],FDR[17],"",0,1)</f>
        <v>5</v>
      </c>
      <c r="AD431" cm="1">
        <f t="array" ref="AD431">_xlfn.XLOOKUP(Matrix[[#This Row],[TEAM]]&amp;Matrix[[#Headers],[18]],FDR[FDR]&amp;FDR[[#Headers],[18]],FDR[18],"",0,1)</f>
        <v>3</v>
      </c>
      <c r="AE431" cm="1">
        <f t="array" ref="AE431">_xlfn.XLOOKUP(Matrix[[#This Row],[TEAM]]&amp;Matrix[[#Headers],[19]],FDR[FDR]&amp;FDR[[#Headers],[19]],FDR[19],"",0,1)</f>
        <v>5</v>
      </c>
      <c r="AF431" cm="1">
        <f t="array" ref="AF431">_xlfn.XLOOKUP(Matrix[[#This Row],[TEAM]]&amp;Matrix[[#Headers],[20]],FDR[FDR]&amp;FDR[[#Headers],[20]],FDR[20],"",0,1)</f>
        <v>5</v>
      </c>
      <c r="AG431" cm="1">
        <f t="array" ref="AG431">_xlfn.XLOOKUP(Matrix[[#This Row],[TEAM]]&amp;Matrix[[#Headers],[21]],FDR[FDR]&amp;FDR[[#Headers],[21]],FDR[21],"",0,1)</f>
        <v>5</v>
      </c>
      <c r="AH431" cm="1">
        <f t="array" ref="AH431">_xlfn.XLOOKUP(Matrix[[#This Row],[TEAM]]&amp;Matrix[[#Headers],[22]],FDR[FDR]&amp;FDR[[#Headers],[22]],FDR[22],"",0,1)</f>
        <v>4</v>
      </c>
      <c r="AI431" cm="1">
        <f t="array" ref="AI431">_xlfn.XLOOKUP(Matrix[[#This Row],[TEAM]]&amp;Matrix[[#Headers],[23]],FDR[FDR]&amp;FDR[[#Headers],[23]],FDR[23],"",0,1)</f>
        <v>5</v>
      </c>
      <c r="AJ431" cm="1">
        <f t="array" ref="AJ431">_xlfn.XLOOKUP(Matrix[[#This Row],[TEAM]]&amp;Matrix[[#Headers],[24]],FDR[FDR]&amp;FDR[[#Headers],[24]],FDR[24],"",0,1)</f>
        <v>3</v>
      </c>
      <c r="AK431" cm="1">
        <f t="array" ref="AK431">_xlfn.XLOOKUP(Matrix[[#This Row],[TEAM]]&amp;Matrix[[#Headers],[25]],FDR[FDR]&amp;FDR[[#Headers],[25]],FDR[25],"",0,1)</f>
        <v>5</v>
      </c>
      <c r="AL431" cm="1">
        <f t="array" ref="AL431">_xlfn.XLOOKUP(Matrix[[#This Row],[TEAM]]&amp;Matrix[[#Headers],[26]],FDR[FDR]&amp;FDR[[#Headers],[26]],FDR[26],"",0,1)</f>
        <v>5</v>
      </c>
      <c r="AM431" cm="1">
        <f t="array" ref="AM431">_xlfn.XLOOKUP(Matrix[[#This Row],[TEAM]]&amp;Matrix[[#Headers],[27]],FDR[FDR]&amp;FDR[[#Headers],[27]],FDR[27],"",0,1)</f>
        <v>5</v>
      </c>
      <c r="AN431" cm="1">
        <f t="array" ref="AN431">_xlfn.XLOOKUP(Matrix[[#This Row],[TEAM]]&amp;Matrix[[#Headers],[28]],FDR[FDR]&amp;FDR[[#Headers],[28]],FDR[28],"",0,1)</f>
        <v>5</v>
      </c>
      <c r="AO431" cm="1">
        <f t="array" ref="AO431">_xlfn.XLOOKUP(Matrix[[#This Row],[TEAM]]&amp;Matrix[[#Headers],[29]],FDR[FDR]&amp;FDR[[#Headers],[29]],FDR[29],"",0,1)</f>
        <v>4</v>
      </c>
      <c r="AP431" cm="1">
        <f t="array" ref="AP431">_xlfn.XLOOKUP(Matrix[[#This Row],[TEAM]]&amp;Matrix[[#Headers],[30]],FDR[FDR]&amp;FDR[[#Headers],[30]],FDR[30],"",0,1)</f>
        <v>5</v>
      </c>
      <c r="AQ431" cm="1">
        <f t="array" ref="AQ431">_xlfn.XLOOKUP(Matrix[[#This Row],[TEAM]]&amp;Matrix[[#Headers],[31]],FDR[FDR]&amp;FDR[[#Headers],[31]],FDR[31],"",0,1)</f>
        <v>5</v>
      </c>
      <c r="AR431" cm="1">
        <f t="array" ref="AR431">_xlfn.XLOOKUP(Matrix[[#This Row],[TEAM]]&amp;Matrix[[#Headers],[32]],FDR[FDR]&amp;FDR[[#Headers],[32]],FDR[32],"",0,1)</f>
        <v>5</v>
      </c>
      <c r="AS431" cm="1">
        <f t="array" ref="AS431">_xlfn.XLOOKUP(Matrix[[#This Row],[TEAM]]&amp;Matrix[[#Headers],[33]],FDR[FDR]&amp;FDR[[#Headers],[33]],FDR[33],"",0,1)</f>
        <v>5</v>
      </c>
      <c r="AT431" cm="1">
        <f t="array" ref="AT431">_xlfn.XLOOKUP(Matrix[[#This Row],[TEAM]]&amp;Matrix[[#Headers],[34]],FDR[FDR]&amp;FDR[[#Headers],[34]],FDR[34],"",0,1)</f>
        <v>5</v>
      </c>
      <c r="AU431" cm="1">
        <f t="array" ref="AU431">_xlfn.XLOOKUP(Matrix[[#This Row],[TEAM]]&amp;Matrix[[#Headers],[35]],FDR[FDR]&amp;FDR[[#Headers],[35]],FDR[35],"",0,1)</f>
        <v>4</v>
      </c>
      <c r="AV431" cm="1">
        <f t="array" ref="AV431">_xlfn.XLOOKUP(Matrix[[#This Row],[TEAM]]&amp;Matrix[[#Headers],[36]],FDR[FDR]&amp;FDR[[#Headers],[36]],FDR[36],"",0,1)</f>
        <v>5</v>
      </c>
      <c r="AW431" cm="1">
        <f t="array" ref="AW431">_xlfn.XLOOKUP(Matrix[[#This Row],[TEAM]]&amp;Matrix[[#Headers],[37]],FDR[FDR]&amp;FDR[[#Headers],[37]],FDR[37],"",0,1)</f>
        <v>5</v>
      </c>
      <c r="AX431" cm="1">
        <f t="array" ref="AX431">_xlfn.XLOOKUP(Matrix[[#This Row],[TEAM]]&amp;Matrix[[#Headers],[38]],FDR[FDR]&amp;FDR[[#Headers],[38]],FDR[38],"",0,1)</f>
        <v>5</v>
      </c>
    </row>
    <row r="432" spans="1:50" ht="22" thickTop="1" thickBot="1">
      <c r="A432" s="49" t="str">
        <f>INDEX!S$5</f>
        <v>FWD</v>
      </c>
      <c r="B432" s="70" t="s">
        <v>1688</v>
      </c>
      <c r="C432" s="40" t="s">
        <v>634</v>
      </c>
      <c r="D432" s="62">
        <v>0</v>
      </c>
      <c r="E432" s="60">
        <v>3.0000000000000001E-3</v>
      </c>
      <c r="F432" s="61">
        <v>0</v>
      </c>
      <c r="G432" s="63">
        <v>4.5</v>
      </c>
      <c r="H432" s="261">
        <f>IF(ISBLANK(I432),0,1)</f>
        <v>0</v>
      </c>
      <c r="I432" s="57"/>
      <c r="J432" s="58"/>
      <c r="K432" s="64" t="s">
        <v>1190</v>
      </c>
      <c r="L432" s="64" t="s">
        <v>1171</v>
      </c>
      <c r="M432" cm="1">
        <f t="array" ref="M432">_xlfn.XLOOKUP(Matrix[[#This Row],[TEAM]]&amp;Matrix[[#Headers],[1]],FDR[FDR]&amp;FDR[[#Headers],[1]],FDR[1],"",0,1)</f>
        <v>4</v>
      </c>
      <c r="N432" cm="1">
        <f t="array" ref="N432">_xlfn.XLOOKUP(Matrix[[#This Row],[TEAM]]&amp;Matrix[[#Headers],[2]],FDR[FDR]&amp;FDR[[#Headers],[2]],FDR[2],"",0,1)</f>
        <v>4</v>
      </c>
      <c r="O432" cm="1">
        <f t="array" ref="O432">_xlfn.XLOOKUP(Matrix[[#This Row],[TEAM]]&amp;Matrix[[#Headers],[3]],FDR[FDR]&amp;FDR[[#Headers],[3]],FDR[3],"",0,1)</f>
        <v>4</v>
      </c>
      <c r="P432" cm="1">
        <f t="array" ref="P432">_xlfn.XLOOKUP(Matrix[[#This Row],[TEAM]]&amp;Matrix[[#Headers],[4]],FDR[FDR]&amp;FDR[[#Headers],[4]],FDR[4],"",0,1)</f>
        <v>5</v>
      </c>
      <c r="Q432" cm="1">
        <f t="array" ref="Q432">_xlfn.XLOOKUP(Matrix[[#This Row],[TEAM]]&amp;Matrix[[#Headers],[5]],FDR[FDR]&amp;FDR[[#Headers],[5]],FDR[5],"",0,1)</f>
        <v>5</v>
      </c>
      <c r="R432" cm="1">
        <f t="array" ref="R432">_xlfn.XLOOKUP(Matrix[[#This Row],[TEAM]]&amp;Matrix[[#Headers],[6]],FDR[FDR]&amp;FDR[[#Headers],[6]],FDR[6],"",0,1)</f>
        <v>5</v>
      </c>
      <c r="S432" cm="1">
        <f t="array" ref="S432">_xlfn.XLOOKUP(Matrix[[#This Row],[TEAM]]&amp;Matrix[[#Headers],[7]],FDR[FDR]&amp;FDR[[#Headers],[7]],FDR[7],"",0,1)</f>
        <v>5</v>
      </c>
      <c r="T432" cm="1">
        <f t="array" ref="T432">_xlfn.XLOOKUP(Matrix[[#This Row],[TEAM]]&amp;Matrix[[#Headers],[8]],FDR[FDR]&amp;FDR[[#Headers],[8]],FDR[8],"",0,1)</f>
        <v>3</v>
      </c>
      <c r="U432" cm="1">
        <f t="array" ref="U432">_xlfn.XLOOKUP(Matrix[[#This Row],[TEAM]]&amp;Matrix[[#Headers],[9]],FDR[FDR]&amp;FDR[[#Headers],[9]],FDR[9],"",0,1)</f>
        <v>5</v>
      </c>
      <c r="V432" cm="1">
        <f t="array" ref="V432">_xlfn.XLOOKUP(Matrix[[#This Row],[TEAM]]&amp;Matrix[[#Headers],[10]],FDR[FDR]&amp;FDR[[#Headers],[10]],FDR[10],"",0,1)</f>
        <v>4</v>
      </c>
      <c r="W432" cm="1">
        <f t="array" ref="W432">_xlfn.XLOOKUP(Matrix[[#This Row],[TEAM]]&amp;Matrix[[#Headers],[11]],FDR[FDR]&amp;FDR[[#Headers],[11]],FDR[11],"",0,1)</f>
        <v>5</v>
      </c>
      <c r="X432" cm="1">
        <f t="array" ref="X432">_xlfn.XLOOKUP(Matrix[[#This Row],[TEAM]]&amp;Matrix[[#Headers],[12]],FDR[FDR]&amp;FDR[[#Headers],[12]],FDR[12],"",0,1)</f>
        <v>5</v>
      </c>
      <c r="Y432" cm="1">
        <f t="array" ref="Y432">_xlfn.XLOOKUP(Matrix[[#This Row],[TEAM]]&amp;Matrix[[#Headers],[13]],FDR[FDR]&amp;FDR[[#Headers],[13]],FDR[13],"",0,1)</f>
        <v>5</v>
      </c>
      <c r="Z432" cm="1">
        <f t="array" ref="Z432">_xlfn.XLOOKUP(Matrix[[#This Row],[TEAM]]&amp;Matrix[[#Headers],[14]],FDR[FDR]&amp;FDR[[#Headers],[14]],FDR[14],"",0,1)</f>
        <v>5</v>
      </c>
      <c r="AA432" cm="1">
        <f t="array" ref="AA432">_xlfn.XLOOKUP(Matrix[[#This Row],[TEAM]]&amp;Matrix[[#Headers],[15]],FDR[FDR]&amp;FDR[[#Headers],[15]],FDR[15],"",0,1)</f>
        <v>5</v>
      </c>
      <c r="AB432" cm="1">
        <f t="array" ref="AB432">_xlfn.XLOOKUP(Matrix[[#This Row],[TEAM]]&amp;Matrix[[#Headers],[16]],FDR[FDR]&amp;FDR[[#Headers],[16]],FDR[16],"",0,1)</f>
        <v>5</v>
      </c>
      <c r="AC432" cm="1">
        <f t="array" ref="AC432">_xlfn.XLOOKUP(Matrix[[#This Row],[TEAM]]&amp;Matrix[[#Headers],[17]],FDR[FDR]&amp;FDR[[#Headers],[17]],FDR[17],"",0,1)</f>
        <v>5</v>
      </c>
      <c r="AD432" cm="1">
        <f t="array" ref="AD432">_xlfn.XLOOKUP(Matrix[[#This Row],[TEAM]]&amp;Matrix[[#Headers],[18]],FDR[FDR]&amp;FDR[[#Headers],[18]],FDR[18],"",0,1)</f>
        <v>3</v>
      </c>
      <c r="AE432" cm="1">
        <f t="array" ref="AE432">_xlfn.XLOOKUP(Matrix[[#This Row],[TEAM]]&amp;Matrix[[#Headers],[19]],FDR[FDR]&amp;FDR[[#Headers],[19]],FDR[19],"",0,1)</f>
        <v>5</v>
      </c>
      <c r="AF432" cm="1">
        <f t="array" ref="AF432">_xlfn.XLOOKUP(Matrix[[#This Row],[TEAM]]&amp;Matrix[[#Headers],[20]],FDR[FDR]&amp;FDR[[#Headers],[20]],FDR[20],"",0,1)</f>
        <v>5</v>
      </c>
      <c r="AG432" cm="1">
        <f t="array" ref="AG432">_xlfn.XLOOKUP(Matrix[[#This Row],[TEAM]]&amp;Matrix[[#Headers],[21]],FDR[FDR]&amp;FDR[[#Headers],[21]],FDR[21],"",0,1)</f>
        <v>5</v>
      </c>
      <c r="AH432" cm="1">
        <f t="array" ref="AH432">_xlfn.XLOOKUP(Matrix[[#This Row],[TEAM]]&amp;Matrix[[#Headers],[22]],FDR[FDR]&amp;FDR[[#Headers],[22]],FDR[22],"",0,1)</f>
        <v>4</v>
      </c>
      <c r="AI432" cm="1">
        <f t="array" ref="AI432">_xlfn.XLOOKUP(Matrix[[#This Row],[TEAM]]&amp;Matrix[[#Headers],[23]],FDR[FDR]&amp;FDR[[#Headers],[23]],FDR[23],"",0,1)</f>
        <v>5</v>
      </c>
      <c r="AJ432" cm="1">
        <f t="array" ref="AJ432">_xlfn.XLOOKUP(Matrix[[#This Row],[TEAM]]&amp;Matrix[[#Headers],[24]],FDR[FDR]&amp;FDR[[#Headers],[24]],FDR[24],"",0,1)</f>
        <v>3</v>
      </c>
      <c r="AK432" cm="1">
        <f t="array" ref="AK432">_xlfn.XLOOKUP(Matrix[[#This Row],[TEAM]]&amp;Matrix[[#Headers],[25]],FDR[FDR]&amp;FDR[[#Headers],[25]],FDR[25],"",0,1)</f>
        <v>5</v>
      </c>
      <c r="AL432" cm="1">
        <f t="array" ref="AL432">_xlfn.XLOOKUP(Matrix[[#This Row],[TEAM]]&amp;Matrix[[#Headers],[26]],FDR[FDR]&amp;FDR[[#Headers],[26]],FDR[26],"",0,1)</f>
        <v>5</v>
      </c>
      <c r="AM432" cm="1">
        <f t="array" ref="AM432">_xlfn.XLOOKUP(Matrix[[#This Row],[TEAM]]&amp;Matrix[[#Headers],[27]],FDR[FDR]&amp;FDR[[#Headers],[27]],FDR[27],"",0,1)</f>
        <v>5</v>
      </c>
      <c r="AN432" cm="1">
        <f t="array" ref="AN432">_xlfn.XLOOKUP(Matrix[[#This Row],[TEAM]]&amp;Matrix[[#Headers],[28]],FDR[FDR]&amp;FDR[[#Headers],[28]],FDR[28],"",0,1)</f>
        <v>5</v>
      </c>
      <c r="AO432" cm="1">
        <f t="array" ref="AO432">_xlfn.XLOOKUP(Matrix[[#This Row],[TEAM]]&amp;Matrix[[#Headers],[29]],FDR[FDR]&amp;FDR[[#Headers],[29]],FDR[29],"",0,1)</f>
        <v>4</v>
      </c>
      <c r="AP432" cm="1">
        <f t="array" ref="AP432">_xlfn.XLOOKUP(Matrix[[#This Row],[TEAM]]&amp;Matrix[[#Headers],[30]],FDR[FDR]&amp;FDR[[#Headers],[30]],FDR[30],"",0,1)</f>
        <v>5</v>
      </c>
      <c r="AQ432" cm="1">
        <f t="array" ref="AQ432">_xlfn.XLOOKUP(Matrix[[#This Row],[TEAM]]&amp;Matrix[[#Headers],[31]],FDR[FDR]&amp;FDR[[#Headers],[31]],FDR[31],"",0,1)</f>
        <v>5</v>
      </c>
      <c r="AR432" cm="1">
        <f t="array" ref="AR432">_xlfn.XLOOKUP(Matrix[[#This Row],[TEAM]]&amp;Matrix[[#Headers],[32]],FDR[FDR]&amp;FDR[[#Headers],[32]],FDR[32],"",0,1)</f>
        <v>5</v>
      </c>
      <c r="AS432" cm="1">
        <f t="array" ref="AS432">_xlfn.XLOOKUP(Matrix[[#This Row],[TEAM]]&amp;Matrix[[#Headers],[33]],FDR[FDR]&amp;FDR[[#Headers],[33]],FDR[33],"",0,1)</f>
        <v>5</v>
      </c>
      <c r="AT432" cm="1">
        <f t="array" ref="AT432">_xlfn.XLOOKUP(Matrix[[#This Row],[TEAM]]&amp;Matrix[[#Headers],[34]],FDR[FDR]&amp;FDR[[#Headers],[34]],FDR[34],"",0,1)</f>
        <v>5</v>
      </c>
      <c r="AU432" cm="1">
        <f t="array" ref="AU432">_xlfn.XLOOKUP(Matrix[[#This Row],[TEAM]]&amp;Matrix[[#Headers],[35]],FDR[FDR]&amp;FDR[[#Headers],[35]],FDR[35],"",0,1)</f>
        <v>4</v>
      </c>
      <c r="AV432" cm="1">
        <f t="array" ref="AV432">_xlfn.XLOOKUP(Matrix[[#This Row],[TEAM]]&amp;Matrix[[#Headers],[36]],FDR[FDR]&amp;FDR[[#Headers],[36]],FDR[36],"",0,1)</f>
        <v>5</v>
      </c>
      <c r="AW432" cm="1">
        <f t="array" ref="AW432">_xlfn.XLOOKUP(Matrix[[#This Row],[TEAM]]&amp;Matrix[[#Headers],[37]],FDR[FDR]&amp;FDR[[#Headers],[37]],FDR[37],"",0,1)</f>
        <v>5</v>
      </c>
      <c r="AX432" cm="1">
        <f t="array" ref="AX432">_xlfn.XLOOKUP(Matrix[[#This Row],[TEAM]]&amp;Matrix[[#Headers],[38]],FDR[FDR]&amp;FDR[[#Headers],[38]],FDR[38],"",0,1)</f>
        <v>5</v>
      </c>
    </row>
    <row r="433" spans="1:50" ht="22" thickTop="1" thickBot="1">
      <c r="A433" s="49" t="str">
        <f>INDEX!S$5</f>
        <v>FWD</v>
      </c>
      <c r="B433" s="70" t="s">
        <v>1713</v>
      </c>
      <c r="C433" s="40" t="s">
        <v>634</v>
      </c>
      <c r="D433" s="62">
        <v>0</v>
      </c>
      <c r="E433" s="60">
        <v>2E-3</v>
      </c>
      <c r="F433" s="61">
        <v>0</v>
      </c>
      <c r="G433" s="63">
        <v>4.5</v>
      </c>
      <c r="H433" s="261">
        <f>IF(ISBLANK(I433),0,1)</f>
        <v>0</v>
      </c>
      <c r="I433" s="57"/>
      <c r="J433" s="58"/>
      <c r="K433" s="64" t="s">
        <v>1189</v>
      </c>
      <c r="L433" s="64" t="s">
        <v>1170</v>
      </c>
      <c r="M433" cm="1">
        <f t="array" ref="M433">_xlfn.XLOOKUP(Matrix[[#This Row],[TEAM]]&amp;Matrix[[#Headers],[1]],FDR[FDR]&amp;FDR[[#Headers],[1]],FDR[1],"",0,1)</f>
        <v>4</v>
      </c>
      <c r="N433" cm="1">
        <f t="array" ref="N433">_xlfn.XLOOKUP(Matrix[[#This Row],[TEAM]]&amp;Matrix[[#Headers],[2]],FDR[FDR]&amp;FDR[[#Headers],[2]],FDR[2],"",0,1)</f>
        <v>4</v>
      </c>
      <c r="O433" cm="1">
        <f t="array" ref="O433">_xlfn.XLOOKUP(Matrix[[#This Row],[TEAM]]&amp;Matrix[[#Headers],[3]],FDR[FDR]&amp;FDR[[#Headers],[3]],FDR[3],"",0,1)</f>
        <v>4</v>
      </c>
      <c r="P433" cm="1">
        <f t="array" ref="P433">_xlfn.XLOOKUP(Matrix[[#This Row],[TEAM]]&amp;Matrix[[#Headers],[4]],FDR[FDR]&amp;FDR[[#Headers],[4]],FDR[4],"",0,1)</f>
        <v>5</v>
      </c>
      <c r="Q433" cm="1">
        <f t="array" ref="Q433">_xlfn.XLOOKUP(Matrix[[#This Row],[TEAM]]&amp;Matrix[[#Headers],[5]],FDR[FDR]&amp;FDR[[#Headers],[5]],FDR[5],"",0,1)</f>
        <v>5</v>
      </c>
      <c r="R433" cm="1">
        <f t="array" ref="R433">_xlfn.XLOOKUP(Matrix[[#This Row],[TEAM]]&amp;Matrix[[#Headers],[6]],FDR[FDR]&amp;FDR[[#Headers],[6]],FDR[6],"",0,1)</f>
        <v>5</v>
      </c>
      <c r="S433" cm="1">
        <f t="array" ref="S433">_xlfn.XLOOKUP(Matrix[[#This Row],[TEAM]]&amp;Matrix[[#Headers],[7]],FDR[FDR]&amp;FDR[[#Headers],[7]],FDR[7],"",0,1)</f>
        <v>5</v>
      </c>
      <c r="T433" cm="1">
        <f t="array" ref="T433">_xlfn.XLOOKUP(Matrix[[#This Row],[TEAM]]&amp;Matrix[[#Headers],[8]],FDR[FDR]&amp;FDR[[#Headers],[8]],FDR[8],"",0,1)</f>
        <v>3</v>
      </c>
      <c r="U433" cm="1">
        <f t="array" ref="U433">_xlfn.XLOOKUP(Matrix[[#This Row],[TEAM]]&amp;Matrix[[#Headers],[9]],FDR[FDR]&amp;FDR[[#Headers],[9]],FDR[9],"",0,1)</f>
        <v>5</v>
      </c>
      <c r="V433" cm="1">
        <f t="array" ref="V433">_xlfn.XLOOKUP(Matrix[[#This Row],[TEAM]]&amp;Matrix[[#Headers],[10]],FDR[FDR]&amp;FDR[[#Headers],[10]],FDR[10],"",0,1)</f>
        <v>4</v>
      </c>
      <c r="W433" cm="1">
        <f t="array" ref="W433">_xlfn.XLOOKUP(Matrix[[#This Row],[TEAM]]&amp;Matrix[[#Headers],[11]],FDR[FDR]&amp;FDR[[#Headers],[11]],FDR[11],"",0,1)</f>
        <v>5</v>
      </c>
      <c r="X433" cm="1">
        <f t="array" ref="X433">_xlfn.XLOOKUP(Matrix[[#This Row],[TEAM]]&amp;Matrix[[#Headers],[12]],FDR[FDR]&amp;FDR[[#Headers],[12]],FDR[12],"",0,1)</f>
        <v>5</v>
      </c>
      <c r="Y433" cm="1">
        <f t="array" ref="Y433">_xlfn.XLOOKUP(Matrix[[#This Row],[TEAM]]&amp;Matrix[[#Headers],[13]],FDR[FDR]&amp;FDR[[#Headers],[13]],FDR[13],"",0,1)</f>
        <v>5</v>
      </c>
      <c r="Z433" cm="1">
        <f t="array" ref="Z433">_xlfn.XLOOKUP(Matrix[[#This Row],[TEAM]]&amp;Matrix[[#Headers],[14]],FDR[FDR]&amp;FDR[[#Headers],[14]],FDR[14],"",0,1)</f>
        <v>5</v>
      </c>
      <c r="AA433" cm="1">
        <f t="array" ref="AA433">_xlfn.XLOOKUP(Matrix[[#This Row],[TEAM]]&amp;Matrix[[#Headers],[15]],FDR[FDR]&amp;FDR[[#Headers],[15]],FDR[15],"",0,1)</f>
        <v>5</v>
      </c>
      <c r="AB433" cm="1">
        <f t="array" ref="AB433">_xlfn.XLOOKUP(Matrix[[#This Row],[TEAM]]&amp;Matrix[[#Headers],[16]],FDR[FDR]&amp;FDR[[#Headers],[16]],FDR[16],"",0,1)</f>
        <v>5</v>
      </c>
      <c r="AC433" cm="1">
        <f t="array" ref="AC433">_xlfn.XLOOKUP(Matrix[[#This Row],[TEAM]]&amp;Matrix[[#Headers],[17]],FDR[FDR]&amp;FDR[[#Headers],[17]],FDR[17],"",0,1)</f>
        <v>5</v>
      </c>
      <c r="AD433" cm="1">
        <f t="array" ref="AD433">_xlfn.XLOOKUP(Matrix[[#This Row],[TEAM]]&amp;Matrix[[#Headers],[18]],FDR[FDR]&amp;FDR[[#Headers],[18]],FDR[18],"",0,1)</f>
        <v>3</v>
      </c>
      <c r="AE433" cm="1">
        <f t="array" ref="AE433">_xlfn.XLOOKUP(Matrix[[#This Row],[TEAM]]&amp;Matrix[[#Headers],[19]],FDR[FDR]&amp;FDR[[#Headers],[19]],FDR[19],"",0,1)</f>
        <v>5</v>
      </c>
      <c r="AF433" cm="1">
        <f t="array" ref="AF433">_xlfn.XLOOKUP(Matrix[[#This Row],[TEAM]]&amp;Matrix[[#Headers],[20]],FDR[FDR]&amp;FDR[[#Headers],[20]],FDR[20],"",0,1)</f>
        <v>5</v>
      </c>
      <c r="AG433" cm="1">
        <f t="array" ref="AG433">_xlfn.XLOOKUP(Matrix[[#This Row],[TEAM]]&amp;Matrix[[#Headers],[21]],FDR[FDR]&amp;FDR[[#Headers],[21]],FDR[21],"",0,1)</f>
        <v>5</v>
      </c>
      <c r="AH433" cm="1">
        <f t="array" ref="AH433">_xlfn.XLOOKUP(Matrix[[#This Row],[TEAM]]&amp;Matrix[[#Headers],[22]],FDR[FDR]&amp;FDR[[#Headers],[22]],FDR[22],"",0,1)</f>
        <v>4</v>
      </c>
      <c r="AI433" cm="1">
        <f t="array" ref="AI433">_xlfn.XLOOKUP(Matrix[[#This Row],[TEAM]]&amp;Matrix[[#Headers],[23]],FDR[FDR]&amp;FDR[[#Headers],[23]],FDR[23],"",0,1)</f>
        <v>5</v>
      </c>
      <c r="AJ433" cm="1">
        <f t="array" ref="AJ433">_xlfn.XLOOKUP(Matrix[[#This Row],[TEAM]]&amp;Matrix[[#Headers],[24]],FDR[FDR]&amp;FDR[[#Headers],[24]],FDR[24],"",0,1)</f>
        <v>3</v>
      </c>
      <c r="AK433" cm="1">
        <f t="array" ref="AK433">_xlfn.XLOOKUP(Matrix[[#This Row],[TEAM]]&amp;Matrix[[#Headers],[25]],FDR[FDR]&amp;FDR[[#Headers],[25]],FDR[25],"",0,1)</f>
        <v>5</v>
      </c>
      <c r="AL433" cm="1">
        <f t="array" ref="AL433">_xlfn.XLOOKUP(Matrix[[#This Row],[TEAM]]&amp;Matrix[[#Headers],[26]],FDR[FDR]&amp;FDR[[#Headers],[26]],FDR[26],"",0,1)</f>
        <v>5</v>
      </c>
      <c r="AM433" cm="1">
        <f t="array" ref="AM433">_xlfn.XLOOKUP(Matrix[[#This Row],[TEAM]]&amp;Matrix[[#Headers],[27]],FDR[FDR]&amp;FDR[[#Headers],[27]],FDR[27],"",0,1)</f>
        <v>5</v>
      </c>
      <c r="AN433" cm="1">
        <f t="array" ref="AN433">_xlfn.XLOOKUP(Matrix[[#This Row],[TEAM]]&amp;Matrix[[#Headers],[28]],FDR[FDR]&amp;FDR[[#Headers],[28]],FDR[28],"",0,1)</f>
        <v>5</v>
      </c>
      <c r="AO433" cm="1">
        <f t="array" ref="AO433">_xlfn.XLOOKUP(Matrix[[#This Row],[TEAM]]&amp;Matrix[[#Headers],[29]],FDR[FDR]&amp;FDR[[#Headers],[29]],FDR[29],"",0,1)</f>
        <v>4</v>
      </c>
      <c r="AP433" cm="1">
        <f t="array" ref="AP433">_xlfn.XLOOKUP(Matrix[[#This Row],[TEAM]]&amp;Matrix[[#Headers],[30]],FDR[FDR]&amp;FDR[[#Headers],[30]],FDR[30],"",0,1)</f>
        <v>5</v>
      </c>
      <c r="AQ433" cm="1">
        <f t="array" ref="AQ433">_xlfn.XLOOKUP(Matrix[[#This Row],[TEAM]]&amp;Matrix[[#Headers],[31]],FDR[FDR]&amp;FDR[[#Headers],[31]],FDR[31],"",0,1)</f>
        <v>5</v>
      </c>
      <c r="AR433" cm="1">
        <f t="array" ref="AR433">_xlfn.XLOOKUP(Matrix[[#This Row],[TEAM]]&amp;Matrix[[#Headers],[32]],FDR[FDR]&amp;FDR[[#Headers],[32]],FDR[32],"",0,1)</f>
        <v>5</v>
      </c>
      <c r="AS433" cm="1">
        <f t="array" ref="AS433">_xlfn.XLOOKUP(Matrix[[#This Row],[TEAM]]&amp;Matrix[[#Headers],[33]],FDR[FDR]&amp;FDR[[#Headers],[33]],FDR[33],"",0,1)</f>
        <v>5</v>
      </c>
      <c r="AT433" cm="1">
        <f t="array" ref="AT433">_xlfn.XLOOKUP(Matrix[[#This Row],[TEAM]]&amp;Matrix[[#Headers],[34]],FDR[FDR]&amp;FDR[[#Headers],[34]],FDR[34],"",0,1)</f>
        <v>5</v>
      </c>
      <c r="AU433" cm="1">
        <f t="array" ref="AU433">_xlfn.XLOOKUP(Matrix[[#This Row],[TEAM]]&amp;Matrix[[#Headers],[35]],FDR[FDR]&amp;FDR[[#Headers],[35]],FDR[35],"",0,1)</f>
        <v>4</v>
      </c>
      <c r="AV433" cm="1">
        <f t="array" ref="AV433">_xlfn.XLOOKUP(Matrix[[#This Row],[TEAM]]&amp;Matrix[[#Headers],[36]],FDR[FDR]&amp;FDR[[#Headers],[36]],FDR[36],"",0,1)</f>
        <v>5</v>
      </c>
      <c r="AW433" cm="1">
        <f t="array" ref="AW433">_xlfn.XLOOKUP(Matrix[[#This Row],[TEAM]]&amp;Matrix[[#Headers],[37]],FDR[FDR]&amp;FDR[[#Headers],[37]],FDR[37],"",0,1)</f>
        <v>5</v>
      </c>
      <c r="AX433" cm="1">
        <f t="array" ref="AX433">_xlfn.XLOOKUP(Matrix[[#This Row],[TEAM]]&amp;Matrix[[#Headers],[38]],FDR[FDR]&amp;FDR[[#Headers],[38]],FDR[38],"",0,1)</f>
        <v>5</v>
      </c>
    </row>
    <row r="434" spans="1:50" ht="22" thickTop="1" thickBot="1">
      <c r="A434" s="49" t="str">
        <f>INDEX!S$5</f>
        <v>FWD</v>
      </c>
      <c r="B434" s="70" t="s">
        <v>1650</v>
      </c>
      <c r="C434" s="40" t="s">
        <v>27</v>
      </c>
      <c r="D434" s="62">
        <v>0</v>
      </c>
      <c r="E434" s="60">
        <v>8.0000000000000002E-3</v>
      </c>
      <c r="F434" s="61">
        <v>0</v>
      </c>
      <c r="G434" s="63">
        <v>4.5</v>
      </c>
      <c r="H434" s="261">
        <f>IF(ISBLANK(I434),0,1)</f>
        <v>0</v>
      </c>
      <c r="I434" s="57"/>
      <c r="J434" s="58"/>
      <c r="K434" s="64" t="s">
        <v>364</v>
      </c>
      <c r="L434" s="64" t="s">
        <v>810</v>
      </c>
      <c r="M434" cm="1">
        <f t="array" ref="M434">_xlfn.XLOOKUP(Matrix[[#This Row],[TEAM]]&amp;Matrix[[#Headers],[1]],FDR[FDR]&amp;FDR[[#Headers],[1]],FDR[1],"",0,1)</f>
        <v>2</v>
      </c>
      <c r="N434" cm="1">
        <f t="array" ref="N434">_xlfn.XLOOKUP(Matrix[[#This Row],[TEAM]]&amp;Matrix[[#Headers],[2]],FDR[FDR]&amp;FDR[[#Headers],[2]],FDR[2],"",0,1)</f>
        <v>4</v>
      </c>
      <c r="O434" cm="1">
        <f t="array" ref="O434">_xlfn.XLOOKUP(Matrix[[#This Row],[TEAM]]&amp;Matrix[[#Headers],[3]],FDR[FDR]&amp;FDR[[#Headers],[3]],FDR[3],"",0,1)</f>
        <v>4</v>
      </c>
      <c r="P434" cm="1">
        <f t="array" ref="P434">_xlfn.XLOOKUP(Matrix[[#This Row],[TEAM]]&amp;Matrix[[#Headers],[4]],FDR[FDR]&amp;FDR[[#Headers],[4]],FDR[4],"",0,1)</f>
        <v>4</v>
      </c>
      <c r="Q434" cm="1">
        <f t="array" ref="Q434">_xlfn.XLOOKUP(Matrix[[#This Row],[TEAM]]&amp;Matrix[[#Headers],[5]],FDR[FDR]&amp;FDR[[#Headers],[5]],FDR[5],"",0,1)</f>
        <v>3</v>
      </c>
      <c r="R434" cm="1">
        <f t="array" ref="R434">_xlfn.XLOOKUP(Matrix[[#This Row],[TEAM]]&amp;Matrix[[#Headers],[6]],FDR[FDR]&amp;FDR[[#Headers],[6]],FDR[6],"",0,1)</f>
        <v>4</v>
      </c>
      <c r="S434" cm="1">
        <f t="array" ref="S434">_xlfn.XLOOKUP(Matrix[[#This Row],[TEAM]]&amp;Matrix[[#Headers],[7]],FDR[FDR]&amp;FDR[[#Headers],[7]],FDR[7],"",0,1)</f>
        <v>5</v>
      </c>
      <c r="T434" cm="1">
        <f t="array" ref="T434">_xlfn.XLOOKUP(Matrix[[#This Row],[TEAM]]&amp;Matrix[[#Headers],[8]],FDR[FDR]&amp;FDR[[#Headers],[8]],FDR[8],"",0,1)</f>
        <v>3</v>
      </c>
      <c r="U434" cm="1">
        <f t="array" ref="U434">_xlfn.XLOOKUP(Matrix[[#This Row],[TEAM]]&amp;Matrix[[#Headers],[9]],FDR[FDR]&amp;FDR[[#Headers],[9]],FDR[9],"",0,1)</f>
        <v>2</v>
      </c>
      <c r="V434" cm="1">
        <f t="array" ref="V434">_xlfn.XLOOKUP(Matrix[[#This Row],[TEAM]]&amp;Matrix[[#Headers],[10]],FDR[FDR]&amp;FDR[[#Headers],[10]],FDR[10],"",0,1)</f>
        <v>4</v>
      </c>
      <c r="W434" cm="1">
        <f t="array" ref="W434">_xlfn.XLOOKUP(Matrix[[#This Row],[TEAM]]&amp;Matrix[[#Headers],[11]],FDR[FDR]&amp;FDR[[#Headers],[11]],FDR[11],"",0,1)</f>
        <v>1</v>
      </c>
      <c r="X434" cm="1">
        <f t="array" ref="X434">_xlfn.XLOOKUP(Matrix[[#This Row],[TEAM]]&amp;Matrix[[#Headers],[12]],FDR[FDR]&amp;FDR[[#Headers],[12]],FDR[12],"",0,1)</f>
        <v>4</v>
      </c>
      <c r="Y434" cm="1">
        <f t="array" ref="Y434">_xlfn.XLOOKUP(Matrix[[#This Row],[TEAM]]&amp;Matrix[[#Headers],[13]],FDR[FDR]&amp;FDR[[#Headers],[13]],FDR[13],"",0,1)</f>
        <v>4</v>
      </c>
      <c r="Z434" cm="1">
        <f t="array" ref="Z434">_xlfn.XLOOKUP(Matrix[[#This Row],[TEAM]]&amp;Matrix[[#Headers],[14]],FDR[FDR]&amp;FDR[[#Headers],[14]],FDR[14],"",0,1)</f>
        <v>5</v>
      </c>
      <c r="AA434" cm="1">
        <f t="array" ref="AA434">_xlfn.XLOOKUP(Matrix[[#This Row],[TEAM]]&amp;Matrix[[#Headers],[15]],FDR[FDR]&amp;FDR[[#Headers],[15]],FDR[15],"",0,1)</f>
        <v>4</v>
      </c>
      <c r="AB434" cm="1">
        <f t="array" ref="AB434">_xlfn.XLOOKUP(Matrix[[#This Row],[TEAM]]&amp;Matrix[[#Headers],[16]],FDR[FDR]&amp;FDR[[#Headers],[16]],FDR[16],"",0,1)</f>
        <v>4</v>
      </c>
      <c r="AC434" cm="1">
        <f t="array" ref="AC434">_xlfn.XLOOKUP(Matrix[[#This Row],[TEAM]]&amp;Matrix[[#Headers],[17]],FDR[FDR]&amp;FDR[[#Headers],[17]],FDR[17],"",0,1)</f>
        <v>5</v>
      </c>
      <c r="AD434" cm="1">
        <f t="array" ref="AD434">_xlfn.XLOOKUP(Matrix[[#This Row],[TEAM]]&amp;Matrix[[#Headers],[18]],FDR[FDR]&amp;FDR[[#Headers],[18]],FDR[18],"",0,1)</f>
        <v>3</v>
      </c>
      <c r="AE434" cm="1">
        <f t="array" ref="AE434">_xlfn.XLOOKUP(Matrix[[#This Row],[TEAM]]&amp;Matrix[[#Headers],[19]],FDR[FDR]&amp;FDR[[#Headers],[19]],FDR[19],"",0,1)</f>
        <v>3</v>
      </c>
      <c r="AF434" cm="1">
        <f t="array" ref="AF434">_xlfn.XLOOKUP(Matrix[[#This Row],[TEAM]]&amp;Matrix[[#Headers],[20]],FDR[FDR]&amp;FDR[[#Headers],[20]],FDR[20],"",0,1)</f>
        <v>2</v>
      </c>
      <c r="AG434" cm="1">
        <f t="array" ref="AG434">_xlfn.XLOOKUP(Matrix[[#This Row],[TEAM]]&amp;Matrix[[#Headers],[21]],FDR[FDR]&amp;FDR[[#Headers],[21]],FDR[21],"",0,1)</f>
        <v>3</v>
      </c>
      <c r="AH434" cm="1">
        <f t="array" ref="AH434">_xlfn.XLOOKUP(Matrix[[#This Row],[TEAM]]&amp;Matrix[[#Headers],[22]],FDR[FDR]&amp;FDR[[#Headers],[22]],FDR[22],"",0,1)</f>
        <v>5</v>
      </c>
      <c r="AI434" cm="1">
        <f t="array" ref="AI434">_xlfn.XLOOKUP(Matrix[[#This Row],[TEAM]]&amp;Matrix[[#Headers],[23]],FDR[FDR]&amp;FDR[[#Headers],[23]],FDR[23],"",0,1)</f>
        <v>1</v>
      </c>
      <c r="AJ434" cm="1">
        <f t="array" ref="AJ434">_xlfn.XLOOKUP(Matrix[[#This Row],[TEAM]]&amp;Matrix[[#Headers],[24]],FDR[FDR]&amp;FDR[[#Headers],[24]],FDR[24],"",0,1)</f>
        <v>5</v>
      </c>
      <c r="AK434" cm="1">
        <f t="array" ref="AK434">_xlfn.XLOOKUP(Matrix[[#This Row],[TEAM]]&amp;Matrix[[#Headers],[25]],FDR[FDR]&amp;FDR[[#Headers],[25]],FDR[25],"",0,1)</f>
        <v>2</v>
      </c>
      <c r="AL434" cm="1">
        <f t="array" ref="AL434">_xlfn.XLOOKUP(Matrix[[#This Row],[TEAM]]&amp;Matrix[[#Headers],[26]],FDR[FDR]&amp;FDR[[#Headers],[26]],FDR[26],"",0,1)</f>
        <v>4</v>
      </c>
      <c r="AM434" cm="1">
        <f t="array" ref="AM434">_xlfn.XLOOKUP(Matrix[[#This Row],[TEAM]]&amp;Matrix[[#Headers],[27]],FDR[FDR]&amp;FDR[[#Headers],[27]],FDR[27],"",0,1)</f>
        <v>3</v>
      </c>
      <c r="AN434" cm="1">
        <f t="array" ref="AN434">_xlfn.XLOOKUP(Matrix[[#This Row],[TEAM]]&amp;Matrix[[#Headers],[28]],FDR[FDR]&amp;FDR[[#Headers],[28]],FDR[28],"",0,1)</f>
        <v>5</v>
      </c>
      <c r="AO434" cm="1">
        <f t="array" ref="AO434">_xlfn.XLOOKUP(Matrix[[#This Row],[TEAM]]&amp;Matrix[[#Headers],[29]],FDR[FDR]&amp;FDR[[#Headers],[29]],FDR[29],"",0,1)</f>
        <v>4</v>
      </c>
      <c r="AP434" cm="1">
        <f t="array" ref="AP434">_xlfn.XLOOKUP(Matrix[[#This Row],[TEAM]]&amp;Matrix[[#Headers],[30]],FDR[FDR]&amp;FDR[[#Headers],[30]],FDR[30],"",0,1)</f>
        <v>4</v>
      </c>
      <c r="AQ434" cm="1">
        <f t="array" ref="AQ434">_xlfn.XLOOKUP(Matrix[[#This Row],[TEAM]]&amp;Matrix[[#Headers],[31]],FDR[FDR]&amp;FDR[[#Headers],[31]],FDR[31],"",0,1)</f>
        <v>5</v>
      </c>
      <c r="AR434" cm="1">
        <f t="array" ref="AR434">_xlfn.XLOOKUP(Matrix[[#This Row],[TEAM]]&amp;Matrix[[#Headers],[32]],FDR[FDR]&amp;FDR[[#Headers],[32]],FDR[32],"",0,1)</f>
        <v>2</v>
      </c>
      <c r="AS434" cm="1">
        <f t="array" ref="AS434">_xlfn.XLOOKUP(Matrix[[#This Row],[TEAM]]&amp;Matrix[[#Headers],[33]],FDR[FDR]&amp;FDR[[#Headers],[33]],FDR[33],"",0,1)</f>
        <v>4</v>
      </c>
      <c r="AT434" cm="1">
        <f t="array" ref="AT434">_xlfn.XLOOKUP(Matrix[[#This Row],[TEAM]]&amp;Matrix[[#Headers],[34]],FDR[FDR]&amp;FDR[[#Headers],[34]],FDR[34],"",0,1)</f>
        <v>3</v>
      </c>
      <c r="AU434" cm="1">
        <f t="array" ref="AU434">_xlfn.XLOOKUP(Matrix[[#This Row],[TEAM]]&amp;Matrix[[#Headers],[35]],FDR[FDR]&amp;FDR[[#Headers],[35]],FDR[35],"",0,1)</f>
        <v>4</v>
      </c>
      <c r="AV434" cm="1">
        <f t="array" ref="AV434">_xlfn.XLOOKUP(Matrix[[#This Row],[TEAM]]&amp;Matrix[[#Headers],[36]],FDR[FDR]&amp;FDR[[#Headers],[36]],FDR[36],"",0,1)</f>
        <v>4</v>
      </c>
      <c r="AW434" cm="1">
        <f t="array" ref="AW434">_xlfn.XLOOKUP(Matrix[[#This Row],[TEAM]]&amp;Matrix[[#Headers],[37]],FDR[FDR]&amp;FDR[[#Headers],[37]],FDR[37],"",0,1)</f>
        <v>5</v>
      </c>
      <c r="AX434" cm="1">
        <f t="array" ref="AX434">_xlfn.XLOOKUP(Matrix[[#This Row],[TEAM]]&amp;Matrix[[#Headers],[38]],FDR[FDR]&amp;FDR[[#Headers],[38]],FDR[38],"",0,1)</f>
        <v>1</v>
      </c>
    </row>
    <row r="435" spans="1:50" ht="22" thickTop="1" thickBot="1">
      <c r="A435" s="49" t="str">
        <f>INDEX!S$5</f>
        <v>FWD</v>
      </c>
      <c r="B435" s="70" t="s">
        <v>1629</v>
      </c>
      <c r="C435" s="40" t="s">
        <v>51</v>
      </c>
      <c r="D435" s="62">
        <v>0</v>
      </c>
      <c r="E435" s="60">
        <v>2.4E-2</v>
      </c>
      <c r="F435" s="61">
        <v>0</v>
      </c>
      <c r="G435" s="63">
        <v>4.5</v>
      </c>
      <c r="H435" s="261">
        <f>IF(ISBLANK(I435),0,1)</f>
        <v>0</v>
      </c>
      <c r="I435" s="57"/>
      <c r="J435" s="58"/>
      <c r="K435" s="64" t="s">
        <v>442</v>
      </c>
      <c r="L435" s="64" t="s">
        <v>251</v>
      </c>
      <c r="M435" cm="1">
        <f t="array" ref="M435">_xlfn.XLOOKUP(Matrix[[#This Row],[TEAM]]&amp;Matrix[[#Headers],[1]],FDR[FDR]&amp;FDR[[#Headers],[1]],FDR[1],"",0,1)</f>
        <v>5</v>
      </c>
      <c r="N435" cm="1">
        <f t="array" ref="N435">_xlfn.XLOOKUP(Matrix[[#This Row],[TEAM]]&amp;Matrix[[#Headers],[2]],FDR[FDR]&amp;FDR[[#Headers],[2]],FDR[2],"",0,1)</f>
        <v>5</v>
      </c>
      <c r="O435" cm="1">
        <f t="array" ref="O435">_xlfn.XLOOKUP(Matrix[[#This Row],[TEAM]]&amp;Matrix[[#Headers],[3]],FDR[FDR]&amp;FDR[[#Headers],[3]],FDR[3],"",0,1)</f>
        <v>4</v>
      </c>
      <c r="P435" cm="1">
        <f t="array" ref="P435">_xlfn.XLOOKUP(Matrix[[#This Row],[TEAM]]&amp;Matrix[[#Headers],[4]],FDR[FDR]&amp;FDR[[#Headers],[4]],FDR[4],"",0,1)</f>
        <v>5</v>
      </c>
      <c r="Q435" cm="1">
        <f t="array" ref="Q435">_xlfn.XLOOKUP(Matrix[[#This Row],[TEAM]]&amp;Matrix[[#Headers],[5]],FDR[FDR]&amp;FDR[[#Headers],[5]],FDR[5],"",0,1)</f>
        <v>2</v>
      </c>
      <c r="R435" cm="1">
        <f t="array" ref="R435">_xlfn.XLOOKUP(Matrix[[#This Row],[TEAM]]&amp;Matrix[[#Headers],[6]],FDR[FDR]&amp;FDR[[#Headers],[6]],FDR[6],"",0,1)</f>
        <v>5</v>
      </c>
      <c r="S435" cm="1">
        <f t="array" ref="S435">_xlfn.XLOOKUP(Matrix[[#This Row],[TEAM]]&amp;Matrix[[#Headers],[7]],FDR[FDR]&amp;FDR[[#Headers],[7]],FDR[7],"",0,1)</f>
        <v>4</v>
      </c>
      <c r="T435" cm="1">
        <f t="array" ref="T435">_xlfn.XLOOKUP(Matrix[[#This Row],[TEAM]]&amp;Matrix[[#Headers],[8]],FDR[FDR]&amp;FDR[[#Headers],[8]],FDR[8],"",0,1)</f>
        <v>3</v>
      </c>
      <c r="U435" cm="1">
        <f t="array" ref="U435">_xlfn.XLOOKUP(Matrix[[#This Row],[TEAM]]&amp;Matrix[[#Headers],[9]],FDR[FDR]&amp;FDR[[#Headers],[9]],FDR[9],"",0,1)</f>
        <v>2</v>
      </c>
      <c r="V435" cm="1">
        <f t="array" ref="V435">_xlfn.XLOOKUP(Matrix[[#This Row],[TEAM]]&amp;Matrix[[#Headers],[10]],FDR[FDR]&amp;FDR[[#Headers],[10]],FDR[10],"",0,1)</f>
        <v>5</v>
      </c>
      <c r="W435" cm="1">
        <f t="array" ref="W435">_xlfn.XLOOKUP(Matrix[[#This Row],[TEAM]]&amp;Matrix[[#Headers],[11]],FDR[FDR]&amp;FDR[[#Headers],[11]],FDR[11],"",0,1)</f>
        <v>5</v>
      </c>
      <c r="X435" cm="1">
        <f t="array" ref="X435">_xlfn.XLOOKUP(Matrix[[#This Row],[TEAM]]&amp;Matrix[[#Headers],[12]],FDR[FDR]&amp;FDR[[#Headers],[12]],FDR[12],"",0,1)</f>
        <v>4</v>
      </c>
      <c r="Y435" cm="1">
        <f t="array" ref="Y435">_xlfn.XLOOKUP(Matrix[[#This Row],[TEAM]]&amp;Matrix[[#Headers],[13]],FDR[FDR]&amp;FDR[[#Headers],[13]],FDR[13],"",0,1)</f>
        <v>5</v>
      </c>
      <c r="Z435" cm="1">
        <f t="array" ref="Z435">_xlfn.XLOOKUP(Matrix[[#This Row],[TEAM]]&amp;Matrix[[#Headers],[14]],FDR[FDR]&amp;FDR[[#Headers],[14]],FDR[14],"",0,1)</f>
        <v>4</v>
      </c>
      <c r="AA435" cm="1">
        <f t="array" ref="AA435">_xlfn.XLOOKUP(Matrix[[#This Row],[TEAM]]&amp;Matrix[[#Headers],[15]],FDR[FDR]&amp;FDR[[#Headers],[15]],FDR[15],"",0,1)</f>
        <v>5</v>
      </c>
      <c r="AB435" cm="1">
        <f t="array" ref="AB435">_xlfn.XLOOKUP(Matrix[[#This Row],[TEAM]]&amp;Matrix[[#Headers],[16]],FDR[FDR]&amp;FDR[[#Headers],[16]],FDR[16],"",0,1)</f>
        <v>5</v>
      </c>
      <c r="AC435" cm="1">
        <f t="array" ref="AC435">_xlfn.XLOOKUP(Matrix[[#This Row],[TEAM]]&amp;Matrix[[#Headers],[17]],FDR[FDR]&amp;FDR[[#Headers],[17]],FDR[17],"",0,1)</f>
        <v>4</v>
      </c>
      <c r="AD435" cm="1">
        <f t="array" ref="AD435">_xlfn.XLOOKUP(Matrix[[#This Row],[TEAM]]&amp;Matrix[[#Headers],[18]],FDR[FDR]&amp;FDR[[#Headers],[18]],FDR[18],"",0,1)</f>
        <v>5</v>
      </c>
      <c r="AE435" cm="1">
        <f t="array" ref="AE435">_xlfn.XLOOKUP(Matrix[[#This Row],[TEAM]]&amp;Matrix[[#Headers],[19]],FDR[FDR]&amp;FDR[[#Headers],[19]],FDR[19],"",0,1)</f>
        <v>5</v>
      </c>
      <c r="AF435" cm="1">
        <f t="array" ref="AF435">_xlfn.XLOOKUP(Matrix[[#This Row],[TEAM]]&amp;Matrix[[#Headers],[20]],FDR[FDR]&amp;FDR[[#Headers],[20]],FDR[20],"",0,1)</f>
        <v>4</v>
      </c>
      <c r="AG435" cm="1">
        <f t="array" ref="AG435">_xlfn.XLOOKUP(Matrix[[#This Row],[TEAM]]&amp;Matrix[[#Headers],[21]],FDR[FDR]&amp;FDR[[#Headers],[21]],FDR[21],"",0,1)</f>
        <v>5</v>
      </c>
      <c r="AH435" cm="1">
        <f t="array" ref="AH435">_xlfn.XLOOKUP(Matrix[[#This Row],[TEAM]]&amp;Matrix[[#Headers],[22]],FDR[FDR]&amp;FDR[[#Headers],[22]],FDR[22],"",0,1)</f>
        <v>5</v>
      </c>
      <c r="AI435" cm="1">
        <f t="array" ref="AI435">_xlfn.XLOOKUP(Matrix[[#This Row],[TEAM]]&amp;Matrix[[#Headers],[23]],FDR[FDR]&amp;FDR[[#Headers],[23]],FDR[23],"",0,1)</f>
        <v>5</v>
      </c>
      <c r="AJ435" cm="1">
        <f t="array" ref="AJ435">_xlfn.XLOOKUP(Matrix[[#This Row],[TEAM]]&amp;Matrix[[#Headers],[24]],FDR[FDR]&amp;FDR[[#Headers],[24]],FDR[24],"",0,1)</f>
        <v>4</v>
      </c>
      <c r="AK435" cm="1">
        <f t="array" ref="AK435">_xlfn.XLOOKUP(Matrix[[#This Row],[TEAM]]&amp;Matrix[[#Headers],[25]],FDR[FDR]&amp;FDR[[#Headers],[25]],FDR[25],"",0,1)</f>
        <v>5</v>
      </c>
      <c r="AL435" cm="1">
        <f t="array" ref="AL435">_xlfn.XLOOKUP(Matrix[[#This Row],[TEAM]]&amp;Matrix[[#Headers],[26]],FDR[FDR]&amp;FDR[[#Headers],[26]],FDR[26],"",0,1)</f>
        <v>5</v>
      </c>
      <c r="AM435" cm="1">
        <f t="array" ref="AM435">_xlfn.XLOOKUP(Matrix[[#This Row],[TEAM]]&amp;Matrix[[#Headers],[27]],FDR[FDR]&amp;FDR[[#Headers],[27]],FDR[27],"",0,1)</f>
        <v>5</v>
      </c>
      <c r="AN435" cm="1">
        <f t="array" ref="AN435">_xlfn.XLOOKUP(Matrix[[#This Row],[TEAM]]&amp;Matrix[[#Headers],[28]],FDR[FDR]&amp;FDR[[#Headers],[28]],FDR[28],"",0,1)</f>
        <v>5</v>
      </c>
      <c r="AO435" cm="1">
        <f t="array" ref="AO435">_xlfn.XLOOKUP(Matrix[[#This Row],[TEAM]]&amp;Matrix[[#Headers],[29]],FDR[FDR]&amp;FDR[[#Headers],[29]],FDR[29],"",0,1)</f>
        <v>5</v>
      </c>
      <c r="AP435" cm="1">
        <f t="array" ref="AP435">_xlfn.XLOOKUP(Matrix[[#This Row],[TEAM]]&amp;Matrix[[#Headers],[30]],FDR[FDR]&amp;FDR[[#Headers],[30]],FDR[30],"",0,1)</f>
        <v>5</v>
      </c>
      <c r="AQ435" cm="1">
        <f t="array" ref="AQ435">_xlfn.XLOOKUP(Matrix[[#This Row],[TEAM]]&amp;Matrix[[#Headers],[31]],FDR[FDR]&amp;FDR[[#Headers],[31]],FDR[31],"",0,1)</f>
        <v>5</v>
      </c>
      <c r="AR435" cm="1">
        <f t="array" ref="AR435">_xlfn.XLOOKUP(Matrix[[#This Row],[TEAM]]&amp;Matrix[[#Headers],[32]],FDR[FDR]&amp;FDR[[#Headers],[32]],FDR[32],"",0,1)</f>
        <v>5</v>
      </c>
      <c r="AS435" cm="1">
        <f t="array" ref="AS435">_xlfn.XLOOKUP(Matrix[[#This Row],[TEAM]]&amp;Matrix[[#Headers],[33]],FDR[FDR]&amp;FDR[[#Headers],[33]],FDR[33],"",0,1)</f>
        <v>3</v>
      </c>
      <c r="AT435" cm="1">
        <f t="array" ref="AT435">_xlfn.XLOOKUP(Matrix[[#This Row],[TEAM]]&amp;Matrix[[#Headers],[34]],FDR[FDR]&amp;FDR[[#Headers],[34]],FDR[34],"",0,1)</f>
        <v>5</v>
      </c>
      <c r="AU435" cm="1">
        <f t="array" ref="AU435">_xlfn.XLOOKUP(Matrix[[#This Row],[TEAM]]&amp;Matrix[[#Headers],[35]],FDR[FDR]&amp;FDR[[#Headers],[35]],FDR[35],"",0,1)</f>
        <v>2</v>
      </c>
      <c r="AV435" cm="1">
        <f t="array" ref="AV435">_xlfn.XLOOKUP(Matrix[[#This Row],[TEAM]]&amp;Matrix[[#Headers],[36]],FDR[FDR]&amp;FDR[[#Headers],[36]],FDR[36],"",0,1)</f>
        <v>5</v>
      </c>
      <c r="AW435" cm="1">
        <f t="array" ref="AW435">_xlfn.XLOOKUP(Matrix[[#This Row],[TEAM]]&amp;Matrix[[#Headers],[37]],FDR[FDR]&amp;FDR[[#Headers],[37]],FDR[37],"",0,1)</f>
        <v>4</v>
      </c>
      <c r="AX435" cm="1">
        <f t="array" ref="AX435">_xlfn.XLOOKUP(Matrix[[#This Row],[TEAM]]&amp;Matrix[[#Headers],[38]],FDR[FDR]&amp;FDR[[#Headers],[38]],FDR[38],"",0,1)</f>
        <v>3</v>
      </c>
    </row>
    <row r="436" spans="1:50" ht="22" thickTop="1" thickBot="1">
      <c r="A436" s="52" t="s">
        <v>658</v>
      </c>
      <c r="B436" s="70" t="s">
        <v>1658</v>
      </c>
      <c r="C436" s="40" t="s">
        <v>17</v>
      </c>
      <c r="D436" s="68">
        <v>0</v>
      </c>
      <c r="E436" s="60">
        <v>6.0000000000000001E-3</v>
      </c>
      <c r="F436" s="67">
        <v>0</v>
      </c>
      <c r="G436" s="63">
        <v>4.4000000000000004</v>
      </c>
      <c r="H436" s="261">
        <f>IF(ISBLANK(I436),0,1)</f>
        <v>0</v>
      </c>
      <c r="I436" s="57"/>
      <c r="J436" s="58"/>
      <c r="K436" s="66" t="s">
        <v>1081</v>
      </c>
      <c r="L436" s="66" t="s">
        <v>1082</v>
      </c>
      <c r="M436" cm="1">
        <f t="array" ref="M436">_xlfn.XLOOKUP(Matrix[[#This Row],[TEAM]]&amp;Matrix[[#Headers],[1]],FDR[FDR]&amp;FDR[[#Headers],[1]],FDR[1],"",0,1)</f>
        <v>1</v>
      </c>
      <c r="N436" cm="1">
        <f t="array" ref="N436">_xlfn.XLOOKUP(Matrix[[#This Row],[TEAM]]&amp;Matrix[[#Headers],[2]],FDR[FDR]&amp;FDR[[#Headers],[2]],FDR[2],"",0,1)</f>
        <v>3</v>
      </c>
      <c r="O436" cm="1">
        <f t="array" ref="O436">_xlfn.XLOOKUP(Matrix[[#This Row],[TEAM]]&amp;Matrix[[#Headers],[3]],FDR[FDR]&amp;FDR[[#Headers],[3]],FDR[3],"",0,1)</f>
        <v>3</v>
      </c>
      <c r="P436" cm="1">
        <f t="array" ref="P436">_xlfn.XLOOKUP(Matrix[[#This Row],[TEAM]]&amp;Matrix[[#Headers],[4]],FDR[FDR]&amp;FDR[[#Headers],[4]],FDR[4],"",0,1)</f>
        <v>1</v>
      </c>
      <c r="Q436" cm="1">
        <f t="array" ref="Q436">_xlfn.XLOOKUP(Matrix[[#This Row],[TEAM]]&amp;Matrix[[#Headers],[5]],FDR[FDR]&amp;FDR[[#Headers],[5]],FDR[5],"",0,1)</f>
        <v>1</v>
      </c>
      <c r="R436" cm="1">
        <f t="array" ref="R436">_xlfn.XLOOKUP(Matrix[[#This Row],[TEAM]]&amp;Matrix[[#Headers],[6]],FDR[FDR]&amp;FDR[[#Headers],[6]],FDR[6],"",0,1)</f>
        <v>2</v>
      </c>
      <c r="S436" cm="1">
        <f t="array" ref="S436">_xlfn.XLOOKUP(Matrix[[#This Row],[TEAM]]&amp;Matrix[[#Headers],[7]],FDR[FDR]&amp;FDR[[#Headers],[7]],FDR[7],"",0,1)</f>
        <v>3</v>
      </c>
      <c r="T436" cm="1">
        <f t="array" ref="T436">_xlfn.XLOOKUP(Matrix[[#This Row],[TEAM]]&amp;Matrix[[#Headers],[8]],FDR[FDR]&amp;FDR[[#Headers],[8]],FDR[8],"",0,1)</f>
        <v>2</v>
      </c>
      <c r="U436" cm="1">
        <f t="array" ref="U436">_xlfn.XLOOKUP(Matrix[[#This Row],[TEAM]]&amp;Matrix[[#Headers],[9]],FDR[FDR]&amp;FDR[[#Headers],[9]],FDR[9],"",0,1)</f>
        <v>2</v>
      </c>
      <c r="V436" cm="1">
        <f t="array" ref="V436">_xlfn.XLOOKUP(Matrix[[#This Row],[TEAM]]&amp;Matrix[[#Headers],[10]],FDR[FDR]&amp;FDR[[#Headers],[10]],FDR[10],"",0,1)</f>
        <v>2</v>
      </c>
      <c r="W436" cm="1">
        <f t="array" ref="W436">_xlfn.XLOOKUP(Matrix[[#This Row],[TEAM]]&amp;Matrix[[#Headers],[11]],FDR[FDR]&amp;FDR[[#Headers],[11]],FDR[11],"",0,1)</f>
        <v>3</v>
      </c>
      <c r="X436" cm="1">
        <f t="array" ref="X436">_xlfn.XLOOKUP(Matrix[[#This Row],[TEAM]]&amp;Matrix[[#Headers],[12]],FDR[FDR]&amp;FDR[[#Headers],[12]],FDR[12],"",0,1)</f>
        <v>1</v>
      </c>
      <c r="Y436" cm="1">
        <f t="array" ref="Y436">_xlfn.XLOOKUP(Matrix[[#This Row],[TEAM]]&amp;Matrix[[#Headers],[13]],FDR[FDR]&amp;FDR[[#Headers],[13]],FDR[13],"",0,1)</f>
        <v>2</v>
      </c>
      <c r="Z436" cm="1">
        <f t="array" ref="Z436">_xlfn.XLOOKUP(Matrix[[#This Row],[TEAM]]&amp;Matrix[[#Headers],[14]],FDR[FDR]&amp;FDR[[#Headers],[14]],FDR[14],"",0,1)</f>
        <v>1</v>
      </c>
      <c r="AA436" cm="1">
        <f t="array" ref="AA436">_xlfn.XLOOKUP(Matrix[[#This Row],[TEAM]]&amp;Matrix[[#Headers],[15]],FDR[FDR]&amp;FDR[[#Headers],[15]],FDR[15],"",0,1)</f>
        <v>1</v>
      </c>
      <c r="AB436" cm="1">
        <f t="array" ref="AB436">_xlfn.XLOOKUP(Matrix[[#This Row],[TEAM]]&amp;Matrix[[#Headers],[16]],FDR[FDR]&amp;FDR[[#Headers],[16]],FDR[16],"",0,1)</f>
        <v>1</v>
      </c>
      <c r="AC436" cm="1">
        <f t="array" ref="AC436">_xlfn.XLOOKUP(Matrix[[#This Row],[TEAM]]&amp;Matrix[[#Headers],[17]],FDR[FDR]&amp;FDR[[#Headers],[17]],FDR[17],"",0,1)</f>
        <v>3</v>
      </c>
      <c r="AD436" cm="1">
        <f t="array" ref="AD436">_xlfn.XLOOKUP(Matrix[[#This Row],[TEAM]]&amp;Matrix[[#Headers],[18]],FDR[FDR]&amp;FDR[[#Headers],[18]],FDR[18],"",0,1)</f>
        <v>1</v>
      </c>
      <c r="AE436" cm="1">
        <f t="array" ref="AE436">_xlfn.XLOOKUP(Matrix[[#This Row],[TEAM]]&amp;Matrix[[#Headers],[19]],FDR[FDR]&amp;FDR[[#Headers],[19]],FDR[19],"",0,1)</f>
        <v>1</v>
      </c>
      <c r="AF436" cm="1">
        <f t="array" ref="AF436">_xlfn.XLOOKUP(Matrix[[#This Row],[TEAM]]&amp;Matrix[[#Headers],[20]],FDR[FDR]&amp;FDR[[#Headers],[20]],FDR[20],"",0,1)</f>
        <v>2</v>
      </c>
      <c r="AG436" cm="1">
        <f t="array" ref="AG436">_xlfn.XLOOKUP(Matrix[[#This Row],[TEAM]]&amp;Matrix[[#Headers],[21]],FDR[FDR]&amp;FDR[[#Headers],[21]],FDR[21],"",0,1)</f>
        <v>3</v>
      </c>
      <c r="AH436" cm="1">
        <f t="array" ref="AH436">_xlfn.XLOOKUP(Matrix[[#This Row],[TEAM]]&amp;Matrix[[#Headers],[22]],FDR[FDR]&amp;FDR[[#Headers],[22]],FDR[22],"",0,1)</f>
        <v>1</v>
      </c>
      <c r="AI436" cm="1">
        <f t="array" ref="AI436">_xlfn.XLOOKUP(Matrix[[#This Row],[TEAM]]&amp;Matrix[[#Headers],[23]],FDR[FDR]&amp;FDR[[#Headers],[23]],FDR[23],"",0,1)</f>
        <v>2</v>
      </c>
      <c r="AJ436" cm="1">
        <f t="array" ref="AJ436">_xlfn.XLOOKUP(Matrix[[#This Row],[TEAM]]&amp;Matrix[[#Headers],[24]],FDR[FDR]&amp;FDR[[#Headers],[24]],FDR[24],"",0,1)</f>
        <v>2</v>
      </c>
      <c r="AK436" cm="1">
        <f t="array" ref="AK436">_xlfn.XLOOKUP(Matrix[[#This Row],[TEAM]]&amp;Matrix[[#Headers],[25]],FDR[FDR]&amp;FDR[[#Headers],[25]],FDR[25],"",0,1)</f>
        <v>3</v>
      </c>
      <c r="AL436" cm="1">
        <f t="array" ref="AL436">_xlfn.XLOOKUP(Matrix[[#This Row],[TEAM]]&amp;Matrix[[#Headers],[26]],FDR[FDR]&amp;FDR[[#Headers],[26]],FDR[26],"",0,1)</f>
        <v>1</v>
      </c>
      <c r="AM436" cm="1">
        <f t="array" ref="AM436">_xlfn.XLOOKUP(Matrix[[#This Row],[TEAM]]&amp;Matrix[[#Headers],[27]],FDR[FDR]&amp;FDR[[#Headers],[27]],FDR[27],"",0,1)</f>
        <v>2</v>
      </c>
      <c r="AN436" cm="1">
        <f t="array" ref="AN436">_xlfn.XLOOKUP(Matrix[[#This Row],[TEAM]]&amp;Matrix[[#Headers],[28]],FDR[FDR]&amp;FDR[[#Headers],[28]],FDR[28],"",0,1)</f>
        <v>1</v>
      </c>
      <c r="AO436" cm="1">
        <f t="array" ref="AO436">_xlfn.XLOOKUP(Matrix[[#This Row],[TEAM]]&amp;Matrix[[#Headers],[29]],FDR[FDR]&amp;FDR[[#Headers],[29]],FDR[29],"",0,1)</f>
        <v>1</v>
      </c>
      <c r="AP436" cm="1">
        <f t="array" ref="AP436">_xlfn.XLOOKUP(Matrix[[#This Row],[TEAM]]&amp;Matrix[[#Headers],[30]],FDR[FDR]&amp;FDR[[#Headers],[30]],FDR[30],"",0,1)</f>
        <v>2</v>
      </c>
      <c r="AQ436" cm="1">
        <f t="array" ref="AQ436">_xlfn.XLOOKUP(Matrix[[#This Row],[TEAM]]&amp;Matrix[[#Headers],[31]],FDR[FDR]&amp;FDR[[#Headers],[31]],FDR[31],"",0,1)</f>
        <v>2</v>
      </c>
      <c r="AR436" cm="1">
        <f t="array" ref="AR436">_xlfn.XLOOKUP(Matrix[[#This Row],[TEAM]]&amp;Matrix[[#Headers],[32]],FDR[FDR]&amp;FDR[[#Headers],[32]],FDR[32],"",0,1)</f>
        <v>1</v>
      </c>
      <c r="AS436" cm="1">
        <f t="array" ref="AS436">_xlfn.XLOOKUP(Matrix[[#This Row],[TEAM]]&amp;Matrix[[#Headers],[33]],FDR[FDR]&amp;FDR[[#Headers],[33]],FDR[33],"",0,1)</f>
        <v>2</v>
      </c>
      <c r="AT436" cm="1">
        <f t="array" ref="AT436">_xlfn.XLOOKUP(Matrix[[#This Row],[TEAM]]&amp;Matrix[[#Headers],[34]],FDR[FDR]&amp;FDR[[#Headers],[34]],FDR[34],"",0,1)</f>
        <v>1</v>
      </c>
      <c r="AU436" cm="1">
        <f t="array" ref="AU436">_xlfn.XLOOKUP(Matrix[[#This Row],[TEAM]]&amp;Matrix[[#Headers],[35]],FDR[FDR]&amp;FDR[[#Headers],[35]],FDR[35],"",0,1)</f>
        <v>3</v>
      </c>
      <c r="AV436" cm="1">
        <f t="array" ref="AV436">_xlfn.XLOOKUP(Matrix[[#This Row],[TEAM]]&amp;Matrix[[#Headers],[36]],FDR[FDR]&amp;FDR[[#Headers],[36]],FDR[36],"",0,1)</f>
        <v>2</v>
      </c>
      <c r="AW436" cm="1">
        <f t="array" ref="AW436">_xlfn.XLOOKUP(Matrix[[#This Row],[TEAM]]&amp;Matrix[[#Headers],[37]],FDR[FDR]&amp;FDR[[#Headers],[37]],FDR[37],"",0,1)</f>
        <v>3</v>
      </c>
      <c r="AX436" cm="1">
        <f t="array" ref="AX436">_xlfn.XLOOKUP(Matrix[[#This Row],[TEAM]]&amp;Matrix[[#Headers],[38]],FDR[FDR]&amp;FDR[[#Headers],[38]],FDR[38],"",0,1)</f>
        <v>1</v>
      </c>
    </row>
    <row r="437" spans="1:50" ht="22" thickTop="1" thickBot="1">
      <c r="A437" s="51" t="s">
        <v>657</v>
      </c>
      <c r="B437" s="70" t="s">
        <v>1672</v>
      </c>
      <c r="C437" s="40" t="s">
        <v>27</v>
      </c>
      <c r="D437" s="62">
        <v>82</v>
      </c>
      <c r="E437" s="60">
        <v>4.0000000000000001E-3</v>
      </c>
      <c r="F437" s="61">
        <v>118.8</v>
      </c>
      <c r="G437" s="63">
        <v>4.4000000000000004</v>
      </c>
      <c r="H437" s="261">
        <f>IF(ISBLANK(I437),0,1)</f>
        <v>0</v>
      </c>
      <c r="I437" s="57"/>
      <c r="J437" s="58"/>
      <c r="K437" s="65" t="s">
        <v>412</v>
      </c>
      <c r="L437" s="65" t="s">
        <v>124</v>
      </c>
      <c r="M437" cm="1">
        <f t="array" ref="M437">_xlfn.XLOOKUP(Matrix[[#This Row],[TEAM]]&amp;Matrix[[#Headers],[1]],FDR[FDR]&amp;FDR[[#Headers],[1]],FDR[1],"",0,1)</f>
        <v>2</v>
      </c>
      <c r="N437" cm="1">
        <f t="array" ref="N437">_xlfn.XLOOKUP(Matrix[[#This Row],[TEAM]]&amp;Matrix[[#Headers],[2]],FDR[FDR]&amp;FDR[[#Headers],[2]],FDR[2],"",0,1)</f>
        <v>4</v>
      </c>
      <c r="O437" cm="1">
        <f t="array" ref="O437">_xlfn.XLOOKUP(Matrix[[#This Row],[TEAM]]&amp;Matrix[[#Headers],[3]],FDR[FDR]&amp;FDR[[#Headers],[3]],FDR[3],"",0,1)</f>
        <v>4</v>
      </c>
      <c r="P437" cm="1">
        <f t="array" ref="P437">_xlfn.XLOOKUP(Matrix[[#This Row],[TEAM]]&amp;Matrix[[#Headers],[4]],FDR[FDR]&amp;FDR[[#Headers],[4]],FDR[4],"",0,1)</f>
        <v>4</v>
      </c>
      <c r="Q437" cm="1">
        <f t="array" ref="Q437">_xlfn.XLOOKUP(Matrix[[#This Row],[TEAM]]&amp;Matrix[[#Headers],[5]],FDR[FDR]&amp;FDR[[#Headers],[5]],FDR[5],"",0,1)</f>
        <v>3</v>
      </c>
      <c r="R437" cm="1">
        <f t="array" ref="R437">_xlfn.XLOOKUP(Matrix[[#This Row],[TEAM]]&amp;Matrix[[#Headers],[6]],FDR[FDR]&amp;FDR[[#Headers],[6]],FDR[6],"",0,1)</f>
        <v>4</v>
      </c>
      <c r="S437" cm="1">
        <f t="array" ref="S437">_xlfn.XLOOKUP(Matrix[[#This Row],[TEAM]]&amp;Matrix[[#Headers],[7]],FDR[FDR]&amp;FDR[[#Headers],[7]],FDR[7],"",0,1)</f>
        <v>5</v>
      </c>
      <c r="T437" cm="1">
        <f t="array" ref="T437">_xlfn.XLOOKUP(Matrix[[#This Row],[TEAM]]&amp;Matrix[[#Headers],[8]],FDR[FDR]&amp;FDR[[#Headers],[8]],FDR[8],"",0,1)</f>
        <v>3</v>
      </c>
      <c r="U437" cm="1">
        <f t="array" ref="U437">_xlfn.XLOOKUP(Matrix[[#This Row],[TEAM]]&amp;Matrix[[#Headers],[9]],FDR[FDR]&amp;FDR[[#Headers],[9]],FDR[9],"",0,1)</f>
        <v>2</v>
      </c>
      <c r="V437" cm="1">
        <f t="array" ref="V437">_xlfn.XLOOKUP(Matrix[[#This Row],[TEAM]]&amp;Matrix[[#Headers],[10]],FDR[FDR]&amp;FDR[[#Headers],[10]],FDR[10],"",0,1)</f>
        <v>4</v>
      </c>
      <c r="W437" cm="1">
        <f t="array" ref="W437">_xlfn.XLOOKUP(Matrix[[#This Row],[TEAM]]&amp;Matrix[[#Headers],[11]],FDR[FDR]&amp;FDR[[#Headers],[11]],FDR[11],"",0,1)</f>
        <v>1</v>
      </c>
      <c r="X437" cm="1">
        <f t="array" ref="X437">_xlfn.XLOOKUP(Matrix[[#This Row],[TEAM]]&amp;Matrix[[#Headers],[12]],FDR[FDR]&amp;FDR[[#Headers],[12]],FDR[12],"",0,1)</f>
        <v>4</v>
      </c>
      <c r="Y437" cm="1">
        <f t="array" ref="Y437">_xlfn.XLOOKUP(Matrix[[#This Row],[TEAM]]&amp;Matrix[[#Headers],[13]],FDR[FDR]&amp;FDR[[#Headers],[13]],FDR[13],"",0,1)</f>
        <v>4</v>
      </c>
      <c r="Z437" cm="1">
        <f t="array" ref="Z437">_xlfn.XLOOKUP(Matrix[[#This Row],[TEAM]]&amp;Matrix[[#Headers],[14]],FDR[FDR]&amp;FDR[[#Headers],[14]],FDR[14],"",0,1)</f>
        <v>5</v>
      </c>
      <c r="AA437" cm="1">
        <f t="array" ref="AA437">_xlfn.XLOOKUP(Matrix[[#This Row],[TEAM]]&amp;Matrix[[#Headers],[15]],FDR[FDR]&amp;FDR[[#Headers],[15]],FDR[15],"",0,1)</f>
        <v>4</v>
      </c>
      <c r="AB437" cm="1">
        <f t="array" ref="AB437">_xlfn.XLOOKUP(Matrix[[#This Row],[TEAM]]&amp;Matrix[[#Headers],[16]],FDR[FDR]&amp;FDR[[#Headers],[16]],FDR[16],"",0,1)</f>
        <v>4</v>
      </c>
      <c r="AC437" cm="1">
        <f t="array" ref="AC437">_xlfn.XLOOKUP(Matrix[[#This Row],[TEAM]]&amp;Matrix[[#Headers],[17]],FDR[FDR]&amp;FDR[[#Headers],[17]],FDR[17],"",0,1)</f>
        <v>5</v>
      </c>
      <c r="AD437" cm="1">
        <f t="array" ref="AD437">_xlfn.XLOOKUP(Matrix[[#This Row],[TEAM]]&amp;Matrix[[#Headers],[18]],FDR[FDR]&amp;FDR[[#Headers],[18]],FDR[18],"",0,1)</f>
        <v>3</v>
      </c>
      <c r="AE437" cm="1">
        <f t="array" ref="AE437">_xlfn.XLOOKUP(Matrix[[#This Row],[TEAM]]&amp;Matrix[[#Headers],[19]],FDR[FDR]&amp;FDR[[#Headers],[19]],FDR[19],"",0,1)</f>
        <v>3</v>
      </c>
      <c r="AF437" cm="1">
        <f t="array" ref="AF437">_xlfn.XLOOKUP(Matrix[[#This Row],[TEAM]]&amp;Matrix[[#Headers],[20]],FDR[FDR]&amp;FDR[[#Headers],[20]],FDR[20],"",0,1)</f>
        <v>2</v>
      </c>
      <c r="AG437" cm="1">
        <f t="array" ref="AG437">_xlfn.XLOOKUP(Matrix[[#This Row],[TEAM]]&amp;Matrix[[#Headers],[21]],FDR[FDR]&amp;FDR[[#Headers],[21]],FDR[21],"",0,1)</f>
        <v>3</v>
      </c>
      <c r="AH437" cm="1">
        <f t="array" ref="AH437">_xlfn.XLOOKUP(Matrix[[#This Row],[TEAM]]&amp;Matrix[[#Headers],[22]],FDR[FDR]&amp;FDR[[#Headers],[22]],FDR[22],"",0,1)</f>
        <v>5</v>
      </c>
      <c r="AI437" cm="1">
        <f t="array" ref="AI437">_xlfn.XLOOKUP(Matrix[[#This Row],[TEAM]]&amp;Matrix[[#Headers],[23]],FDR[FDR]&amp;FDR[[#Headers],[23]],FDR[23],"",0,1)</f>
        <v>1</v>
      </c>
      <c r="AJ437" cm="1">
        <f t="array" ref="AJ437">_xlfn.XLOOKUP(Matrix[[#This Row],[TEAM]]&amp;Matrix[[#Headers],[24]],FDR[FDR]&amp;FDR[[#Headers],[24]],FDR[24],"",0,1)</f>
        <v>5</v>
      </c>
      <c r="AK437" cm="1">
        <f t="array" ref="AK437">_xlfn.XLOOKUP(Matrix[[#This Row],[TEAM]]&amp;Matrix[[#Headers],[25]],FDR[FDR]&amp;FDR[[#Headers],[25]],FDR[25],"",0,1)</f>
        <v>2</v>
      </c>
      <c r="AL437" cm="1">
        <f t="array" ref="AL437">_xlfn.XLOOKUP(Matrix[[#This Row],[TEAM]]&amp;Matrix[[#Headers],[26]],FDR[FDR]&amp;FDR[[#Headers],[26]],FDR[26],"",0,1)</f>
        <v>4</v>
      </c>
      <c r="AM437" cm="1">
        <f t="array" ref="AM437">_xlfn.XLOOKUP(Matrix[[#This Row],[TEAM]]&amp;Matrix[[#Headers],[27]],FDR[FDR]&amp;FDR[[#Headers],[27]],FDR[27],"",0,1)</f>
        <v>3</v>
      </c>
      <c r="AN437" cm="1">
        <f t="array" ref="AN437">_xlfn.XLOOKUP(Matrix[[#This Row],[TEAM]]&amp;Matrix[[#Headers],[28]],FDR[FDR]&amp;FDR[[#Headers],[28]],FDR[28],"",0,1)</f>
        <v>5</v>
      </c>
      <c r="AO437" cm="1">
        <f t="array" ref="AO437">_xlfn.XLOOKUP(Matrix[[#This Row],[TEAM]]&amp;Matrix[[#Headers],[29]],FDR[FDR]&amp;FDR[[#Headers],[29]],FDR[29],"",0,1)</f>
        <v>4</v>
      </c>
      <c r="AP437" cm="1">
        <f t="array" ref="AP437">_xlfn.XLOOKUP(Matrix[[#This Row],[TEAM]]&amp;Matrix[[#Headers],[30]],FDR[FDR]&amp;FDR[[#Headers],[30]],FDR[30],"",0,1)</f>
        <v>4</v>
      </c>
      <c r="AQ437" cm="1">
        <f t="array" ref="AQ437">_xlfn.XLOOKUP(Matrix[[#This Row],[TEAM]]&amp;Matrix[[#Headers],[31]],FDR[FDR]&amp;FDR[[#Headers],[31]],FDR[31],"",0,1)</f>
        <v>5</v>
      </c>
      <c r="AR437" cm="1">
        <f t="array" ref="AR437">_xlfn.XLOOKUP(Matrix[[#This Row],[TEAM]]&amp;Matrix[[#Headers],[32]],FDR[FDR]&amp;FDR[[#Headers],[32]],FDR[32],"",0,1)</f>
        <v>2</v>
      </c>
      <c r="AS437" cm="1">
        <f t="array" ref="AS437">_xlfn.XLOOKUP(Matrix[[#This Row],[TEAM]]&amp;Matrix[[#Headers],[33]],FDR[FDR]&amp;FDR[[#Headers],[33]],FDR[33],"",0,1)</f>
        <v>4</v>
      </c>
      <c r="AT437" cm="1">
        <f t="array" ref="AT437">_xlfn.XLOOKUP(Matrix[[#This Row],[TEAM]]&amp;Matrix[[#Headers],[34]],FDR[FDR]&amp;FDR[[#Headers],[34]],FDR[34],"",0,1)</f>
        <v>3</v>
      </c>
      <c r="AU437" cm="1">
        <f t="array" ref="AU437">_xlfn.XLOOKUP(Matrix[[#This Row],[TEAM]]&amp;Matrix[[#Headers],[35]],FDR[FDR]&amp;FDR[[#Headers],[35]],FDR[35],"",0,1)</f>
        <v>4</v>
      </c>
      <c r="AV437" cm="1">
        <f t="array" ref="AV437">_xlfn.XLOOKUP(Matrix[[#This Row],[TEAM]]&amp;Matrix[[#Headers],[36]],FDR[FDR]&amp;FDR[[#Headers],[36]],FDR[36],"",0,1)</f>
        <v>4</v>
      </c>
      <c r="AW437" cm="1">
        <f t="array" ref="AW437">_xlfn.XLOOKUP(Matrix[[#This Row],[TEAM]]&amp;Matrix[[#Headers],[37]],FDR[FDR]&amp;FDR[[#Headers],[37]],FDR[37],"",0,1)</f>
        <v>5</v>
      </c>
      <c r="AX437" cm="1">
        <f t="array" ref="AX437">_xlfn.XLOOKUP(Matrix[[#This Row],[TEAM]]&amp;Matrix[[#Headers],[38]],FDR[FDR]&amp;FDR[[#Headers],[38]],FDR[38],"",0,1)</f>
        <v>1</v>
      </c>
    </row>
    <row r="438" spans="1:50" ht="22" thickTop="1" thickBot="1">
      <c r="A438" s="51" t="s">
        <v>657</v>
      </c>
      <c r="B438" s="70" t="s">
        <v>1717</v>
      </c>
      <c r="C438" s="40" t="s">
        <v>27</v>
      </c>
      <c r="D438" s="62">
        <v>39</v>
      </c>
      <c r="E438" s="60">
        <v>2E-3</v>
      </c>
      <c r="F438" s="61">
        <v>90.4</v>
      </c>
      <c r="G438" s="63">
        <v>4.4000000000000004</v>
      </c>
      <c r="H438" s="261">
        <f>IF(ISBLANK(I438),0,1)</f>
        <v>0</v>
      </c>
      <c r="I438" s="57"/>
      <c r="J438" s="58"/>
      <c r="K438" s="65" t="s">
        <v>482</v>
      </c>
      <c r="L438" s="65" t="s">
        <v>154</v>
      </c>
      <c r="M438" cm="1">
        <f t="array" ref="M438">_xlfn.XLOOKUP(Matrix[[#This Row],[TEAM]]&amp;Matrix[[#Headers],[1]],FDR[FDR]&amp;FDR[[#Headers],[1]],FDR[1],"",0,1)</f>
        <v>2</v>
      </c>
      <c r="N438" cm="1">
        <f t="array" ref="N438">_xlfn.XLOOKUP(Matrix[[#This Row],[TEAM]]&amp;Matrix[[#Headers],[2]],FDR[FDR]&amp;FDR[[#Headers],[2]],FDR[2],"",0,1)</f>
        <v>4</v>
      </c>
      <c r="O438" cm="1">
        <f t="array" ref="O438">_xlfn.XLOOKUP(Matrix[[#This Row],[TEAM]]&amp;Matrix[[#Headers],[3]],FDR[FDR]&amp;FDR[[#Headers],[3]],FDR[3],"",0,1)</f>
        <v>4</v>
      </c>
      <c r="P438" cm="1">
        <f t="array" ref="P438">_xlfn.XLOOKUP(Matrix[[#This Row],[TEAM]]&amp;Matrix[[#Headers],[4]],FDR[FDR]&amp;FDR[[#Headers],[4]],FDR[4],"",0,1)</f>
        <v>4</v>
      </c>
      <c r="Q438" cm="1">
        <f t="array" ref="Q438">_xlfn.XLOOKUP(Matrix[[#This Row],[TEAM]]&amp;Matrix[[#Headers],[5]],FDR[FDR]&amp;FDR[[#Headers],[5]],FDR[5],"",0,1)</f>
        <v>3</v>
      </c>
      <c r="R438" cm="1">
        <f t="array" ref="R438">_xlfn.XLOOKUP(Matrix[[#This Row],[TEAM]]&amp;Matrix[[#Headers],[6]],FDR[FDR]&amp;FDR[[#Headers],[6]],FDR[6],"",0,1)</f>
        <v>4</v>
      </c>
      <c r="S438" cm="1">
        <f t="array" ref="S438">_xlfn.XLOOKUP(Matrix[[#This Row],[TEAM]]&amp;Matrix[[#Headers],[7]],FDR[FDR]&amp;FDR[[#Headers],[7]],FDR[7],"",0,1)</f>
        <v>5</v>
      </c>
      <c r="T438" cm="1">
        <f t="array" ref="T438">_xlfn.XLOOKUP(Matrix[[#This Row],[TEAM]]&amp;Matrix[[#Headers],[8]],FDR[FDR]&amp;FDR[[#Headers],[8]],FDR[8],"",0,1)</f>
        <v>3</v>
      </c>
      <c r="U438" cm="1">
        <f t="array" ref="U438">_xlfn.XLOOKUP(Matrix[[#This Row],[TEAM]]&amp;Matrix[[#Headers],[9]],FDR[FDR]&amp;FDR[[#Headers],[9]],FDR[9],"",0,1)</f>
        <v>2</v>
      </c>
      <c r="V438" cm="1">
        <f t="array" ref="V438">_xlfn.XLOOKUP(Matrix[[#This Row],[TEAM]]&amp;Matrix[[#Headers],[10]],FDR[FDR]&amp;FDR[[#Headers],[10]],FDR[10],"",0,1)</f>
        <v>4</v>
      </c>
      <c r="W438" cm="1">
        <f t="array" ref="W438">_xlfn.XLOOKUP(Matrix[[#This Row],[TEAM]]&amp;Matrix[[#Headers],[11]],FDR[FDR]&amp;FDR[[#Headers],[11]],FDR[11],"",0,1)</f>
        <v>1</v>
      </c>
      <c r="X438" cm="1">
        <f t="array" ref="X438">_xlfn.XLOOKUP(Matrix[[#This Row],[TEAM]]&amp;Matrix[[#Headers],[12]],FDR[FDR]&amp;FDR[[#Headers],[12]],FDR[12],"",0,1)</f>
        <v>4</v>
      </c>
      <c r="Y438" cm="1">
        <f t="array" ref="Y438">_xlfn.XLOOKUP(Matrix[[#This Row],[TEAM]]&amp;Matrix[[#Headers],[13]],FDR[FDR]&amp;FDR[[#Headers],[13]],FDR[13],"",0,1)</f>
        <v>4</v>
      </c>
      <c r="Z438" cm="1">
        <f t="array" ref="Z438">_xlfn.XLOOKUP(Matrix[[#This Row],[TEAM]]&amp;Matrix[[#Headers],[14]],FDR[FDR]&amp;FDR[[#Headers],[14]],FDR[14],"",0,1)</f>
        <v>5</v>
      </c>
      <c r="AA438" cm="1">
        <f t="array" ref="AA438">_xlfn.XLOOKUP(Matrix[[#This Row],[TEAM]]&amp;Matrix[[#Headers],[15]],FDR[FDR]&amp;FDR[[#Headers],[15]],FDR[15],"",0,1)</f>
        <v>4</v>
      </c>
      <c r="AB438" cm="1">
        <f t="array" ref="AB438">_xlfn.XLOOKUP(Matrix[[#This Row],[TEAM]]&amp;Matrix[[#Headers],[16]],FDR[FDR]&amp;FDR[[#Headers],[16]],FDR[16],"",0,1)</f>
        <v>4</v>
      </c>
      <c r="AC438" cm="1">
        <f t="array" ref="AC438">_xlfn.XLOOKUP(Matrix[[#This Row],[TEAM]]&amp;Matrix[[#Headers],[17]],FDR[FDR]&amp;FDR[[#Headers],[17]],FDR[17],"",0,1)</f>
        <v>5</v>
      </c>
      <c r="AD438" cm="1">
        <f t="array" ref="AD438">_xlfn.XLOOKUP(Matrix[[#This Row],[TEAM]]&amp;Matrix[[#Headers],[18]],FDR[FDR]&amp;FDR[[#Headers],[18]],FDR[18],"",0,1)</f>
        <v>3</v>
      </c>
      <c r="AE438" cm="1">
        <f t="array" ref="AE438">_xlfn.XLOOKUP(Matrix[[#This Row],[TEAM]]&amp;Matrix[[#Headers],[19]],FDR[FDR]&amp;FDR[[#Headers],[19]],FDR[19],"",0,1)</f>
        <v>3</v>
      </c>
      <c r="AF438" cm="1">
        <f t="array" ref="AF438">_xlfn.XLOOKUP(Matrix[[#This Row],[TEAM]]&amp;Matrix[[#Headers],[20]],FDR[FDR]&amp;FDR[[#Headers],[20]],FDR[20],"",0,1)</f>
        <v>2</v>
      </c>
      <c r="AG438" cm="1">
        <f t="array" ref="AG438">_xlfn.XLOOKUP(Matrix[[#This Row],[TEAM]]&amp;Matrix[[#Headers],[21]],FDR[FDR]&amp;FDR[[#Headers],[21]],FDR[21],"",0,1)</f>
        <v>3</v>
      </c>
      <c r="AH438" cm="1">
        <f t="array" ref="AH438">_xlfn.XLOOKUP(Matrix[[#This Row],[TEAM]]&amp;Matrix[[#Headers],[22]],FDR[FDR]&amp;FDR[[#Headers],[22]],FDR[22],"",0,1)</f>
        <v>5</v>
      </c>
      <c r="AI438" cm="1">
        <f t="array" ref="AI438">_xlfn.XLOOKUP(Matrix[[#This Row],[TEAM]]&amp;Matrix[[#Headers],[23]],FDR[FDR]&amp;FDR[[#Headers],[23]],FDR[23],"",0,1)</f>
        <v>1</v>
      </c>
      <c r="AJ438" cm="1">
        <f t="array" ref="AJ438">_xlfn.XLOOKUP(Matrix[[#This Row],[TEAM]]&amp;Matrix[[#Headers],[24]],FDR[FDR]&amp;FDR[[#Headers],[24]],FDR[24],"",0,1)</f>
        <v>5</v>
      </c>
      <c r="AK438" cm="1">
        <f t="array" ref="AK438">_xlfn.XLOOKUP(Matrix[[#This Row],[TEAM]]&amp;Matrix[[#Headers],[25]],FDR[FDR]&amp;FDR[[#Headers],[25]],FDR[25],"",0,1)</f>
        <v>2</v>
      </c>
      <c r="AL438" cm="1">
        <f t="array" ref="AL438">_xlfn.XLOOKUP(Matrix[[#This Row],[TEAM]]&amp;Matrix[[#Headers],[26]],FDR[FDR]&amp;FDR[[#Headers],[26]],FDR[26],"",0,1)</f>
        <v>4</v>
      </c>
      <c r="AM438" cm="1">
        <f t="array" ref="AM438">_xlfn.XLOOKUP(Matrix[[#This Row],[TEAM]]&amp;Matrix[[#Headers],[27]],FDR[FDR]&amp;FDR[[#Headers],[27]],FDR[27],"",0,1)</f>
        <v>3</v>
      </c>
      <c r="AN438" cm="1">
        <f t="array" ref="AN438">_xlfn.XLOOKUP(Matrix[[#This Row],[TEAM]]&amp;Matrix[[#Headers],[28]],FDR[FDR]&amp;FDR[[#Headers],[28]],FDR[28],"",0,1)</f>
        <v>5</v>
      </c>
      <c r="AO438" cm="1">
        <f t="array" ref="AO438">_xlfn.XLOOKUP(Matrix[[#This Row],[TEAM]]&amp;Matrix[[#Headers],[29]],FDR[FDR]&amp;FDR[[#Headers],[29]],FDR[29],"",0,1)</f>
        <v>4</v>
      </c>
      <c r="AP438" cm="1">
        <f t="array" ref="AP438">_xlfn.XLOOKUP(Matrix[[#This Row],[TEAM]]&amp;Matrix[[#Headers],[30]],FDR[FDR]&amp;FDR[[#Headers],[30]],FDR[30],"",0,1)</f>
        <v>4</v>
      </c>
      <c r="AQ438" cm="1">
        <f t="array" ref="AQ438">_xlfn.XLOOKUP(Matrix[[#This Row],[TEAM]]&amp;Matrix[[#Headers],[31]],FDR[FDR]&amp;FDR[[#Headers],[31]],FDR[31],"",0,1)</f>
        <v>5</v>
      </c>
      <c r="AR438" cm="1">
        <f t="array" ref="AR438">_xlfn.XLOOKUP(Matrix[[#This Row],[TEAM]]&amp;Matrix[[#Headers],[32]],FDR[FDR]&amp;FDR[[#Headers],[32]],FDR[32],"",0,1)</f>
        <v>2</v>
      </c>
      <c r="AS438" cm="1">
        <f t="array" ref="AS438">_xlfn.XLOOKUP(Matrix[[#This Row],[TEAM]]&amp;Matrix[[#Headers],[33]],FDR[FDR]&amp;FDR[[#Headers],[33]],FDR[33],"",0,1)</f>
        <v>4</v>
      </c>
      <c r="AT438" cm="1">
        <f t="array" ref="AT438">_xlfn.XLOOKUP(Matrix[[#This Row],[TEAM]]&amp;Matrix[[#Headers],[34]],FDR[FDR]&amp;FDR[[#Headers],[34]],FDR[34],"",0,1)</f>
        <v>3</v>
      </c>
      <c r="AU438" cm="1">
        <f t="array" ref="AU438">_xlfn.XLOOKUP(Matrix[[#This Row],[TEAM]]&amp;Matrix[[#Headers],[35]],FDR[FDR]&amp;FDR[[#Headers],[35]],FDR[35],"",0,1)</f>
        <v>4</v>
      </c>
      <c r="AV438" cm="1">
        <f t="array" ref="AV438">_xlfn.XLOOKUP(Matrix[[#This Row],[TEAM]]&amp;Matrix[[#Headers],[36]],FDR[FDR]&amp;FDR[[#Headers],[36]],FDR[36],"",0,1)</f>
        <v>4</v>
      </c>
      <c r="AW438" cm="1">
        <f t="array" ref="AW438">_xlfn.XLOOKUP(Matrix[[#This Row],[TEAM]]&amp;Matrix[[#Headers],[37]],FDR[FDR]&amp;FDR[[#Headers],[37]],FDR[37],"",0,1)</f>
        <v>5</v>
      </c>
      <c r="AX438" cm="1">
        <f t="array" ref="AX438">_xlfn.XLOOKUP(Matrix[[#This Row],[TEAM]]&amp;Matrix[[#Headers],[38]],FDR[FDR]&amp;FDR[[#Headers],[38]],FDR[38],"",0,1)</f>
        <v>1</v>
      </c>
    </row>
    <row r="439" spans="1:50" ht="22" thickTop="1" thickBot="1">
      <c r="A439" s="51" t="s">
        <v>657</v>
      </c>
      <c r="B439" s="70" t="s">
        <v>1764</v>
      </c>
      <c r="C439" s="40" t="s">
        <v>19</v>
      </c>
      <c r="D439" s="62">
        <v>16</v>
      </c>
      <c r="E439" s="60">
        <v>1E-3</v>
      </c>
      <c r="F439" s="61">
        <v>34.9</v>
      </c>
      <c r="G439" s="63">
        <v>4.4000000000000004</v>
      </c>
      <c r="H439" s="261">
        <f>IF(ISBLANK(I439),0,1)</f>
        <v>0</v>
      </c>
      <c r="I439" s="57"/>
      <c r="J439" s="58"/>
      <c r="K439" s="65" t="s">
        <v>357</v>
      </c>
      <c r="L439" s="65" t="s">
        <v>897</v>
      </c>
      <c r="M439" cm="1">
        <f t="array" ref="M439">_xlfn.XLOOKUP(Matrix[[#This Row],[TEAM]]&amp;Matrix[[#Headers],[1]],FDR[FDR]&amp;FDR[[#Headers],[1]],FDR[1],"",0,1)</f>
        <v>1</v>
      </c>
      <c r="N439" cm="1">
        <f t="array" ref="N439">_xlfn.XLOOKUP(Matrix[[#This Row],[TEAM]]&amp;Matrix[[#Headers],[2]],FDR[FDR]&amp;FDR[[#Headers],[2]],FDR[2],"",0,1)</f>
        <v>4</v>
      </c>
      <c r="O439" cm="1">
        <f t="array" ref="O439">_xlfn.XLOOKUP(Matrix[[#This Row],[TEAM]]&amp;Matrix[[#Headers],[3]],FDR[FDR]&amp;FDR[[#Headers],[3]],FDR[3],"",0,1)</f>
        <v>1</v>
      </c>
      <c r="P439" cm="1">
        <f t="array" ref="P439">_xlfn.XLOOKUP(Matrix[[#This Row],[TEAM]]&amp;Matrix[[#Headers],[4]],FDR[FDR]&amp;FDR[[#Headers],[4]],FDR[4],"",0,1)</f>
        <v>2</v>
      </c>
      <c r="Q439" cm="1">
        <f t="array" ref="Q439">_xlfn.XLOOKUP(Matrix[[#This Row],[TEAM]]&amp;Matrix[[#Headers],[5]],FDR[FDR]&amp;FDR[[#Headers],[5]],FDR[5],"",0,1)</f>
        <v>2</v>
      </c>
      <c r="R439" cm="1">
        <f t="array" ref="R439">_xlfn.XLOOKUP(Matrix[[#This Row],[TEAM]]&amp;Matrix[[#Headers],[6]],FDR[FDR]&amp;FDR[[#Headers],[6]],FDR[6],"",0,1)</f>
        <v>1</v>
      </c>
      <c r="S439" cm="1">
        <f t="array" ref="S439">_xlfn.XLOOKUP(Matrix[[#This Row],[TEAM]]&amp;Matrix[[#Headers],[7]],FDR[FDR]&amp;FDR[[#Headers],[7]],FDR[7],"",0,1)</f>
        <v>1</v>
      </c>
      <c r="T439" cm="1">
        <f t="array" ref="T439">_xlfn.XLOOKUP(Matrix[[#This Row],[TEAM]]&amp;Matrix[[#Headers],[8]],FDR[FDR]&amp;FDR[[#Headers],[8]],FDR[8],"",0,1)</f>
        <v>2</v>
      </c>
      <c r="U439" cm="1">
        <f t="array" ref="U439">_xlfn.XLOOKUP(Matrix[[#This Row],[TEAM]]&amp;Matrix[[#Headers],[9]],FDR[FDR]&amp;FDR[[#Headers],[9]],FDR[9],"",0,1)</f>
        <v>2</v>
      </c>
      <c r="V439" cm="1">
        <f t="array" ref="V439">_xlfn.XLOOKUP(Matrix[[#This Row],[TEAM]]&amp;Matrix[[#Headers],[10]],FDR[FDR]&amp;FDR[[#Headers],[10]],FDR[10],"",0,1)</f>
        <v>3</v>
      </c>
      <c r="W439" cm="1">
        <f t="array" ref="W439">_xlfn.XLOOKUP(Matrix[[#This Row],[TEAM]]&amp;Matrix[[#Headers],[11]],FDR[FDR]&amp;FDR[[#Headers],[11]],FDR[11],"",0,1)</f>
        <v>3</v>
      </c>
      <c r="X439" cm="1">
        <f t="array" ref="X439">_xlfn.XLOOKUP(Matrix[[#This Row],[TEAM]]&amp;Matrix[[#Headers],[12]],FDR[FDR]&amp;FDR[[#Headers],[12]],FDR[12],"",0,1)</f>
        <v>4</v>
      </c>
      <c r="Y439" cm="1">
        <f t="array" ref="Y439">_xlfn.XLOOKUP(Matrix[[#This Row],[TEAM]]&amp;Matrix[[#Headers],[13]],FDR[FDR]&amp;FDR[[#Headers],[13]],FDR[13],"",0,1)</f>
        <v>1</v>
      </c>
      <c r="Z439" cm="1">
        <f t="array" ref="Z439">_xlfn.XLOOKUP(Matrix[[#This Row],[TEAM]]&amp;Matrix[[#Headers],[14]],FDR[FDR]&amp;FDR[[#Headers],[14]],FDR[14],"",0,1)</f>
        <v>3</v>
      </c>
      <c r="AA439" cm="1">
        <f t="array" ref="AA439">_xlfn.XLOOKUP(Matrix[[#This Row],[TEAM]]&amp;Matrix[[#Headers],[15]],FDR[FDR]&amp;FDR[[#Headers],[15]],FDR[15],"",0,1)</f>
        <v>1</v>
      </c>
      <c r="AB439" cm="1">
        <f t="array" ref="AB439">_xlfn.XLOOKUP(Matrix[[#This Row],[TEAM]]&amp;Matrix[[#Headers],[16]],FDR[FDR]&amp;FDR[[#Headers],[16]],FDR[16],"",0,1)</f>
        <v>2</v>
      </c>
      <c r="AC439" cm="1">
        <f t="array" ref="AC439">_xlfn.XLOOKUP(Matrix[[#This Row],[TEAM]]&amp;Matrix[[#Headers],[17]],FDR[FDR]&amp;FDR[[#Headers],[17]],FDR[17],"",0,1)</f>
        <v>3</v>
      </c>
      <c r="AD439" cm="1">
        <f t="array" ref="AD439">_xlfn.XLOOKUP(Matrix[[#This Row],[TEAM]]&amp;Matrix[[#Headers],[18]],FDR[FDR]&amp;FDR[[#Headers],[18]],FDR[18],"",0,1)</f>
        <v>2</v>
      </c>
      <c r="AE439" cm="1">
        <f t="array" ref="AE439">_xlfn.XLOOKUP(Matrix[[#This Row],[TEAM]]&amp;Matrix[[#Headers],[19]],FDR[FDR]&amp;FDR[[#Headers],[19]],FDR[19],"",0,1)</f>
        <v>2</v>
      </c>
      <c r="AF439" cm="1">
        <f t="array" ref="AF439">_xlfn.XLOOKUP(Matrix[[#This Row],[TEAM]]&amp;Matrix[[#Headers],[20]],FDR[FDR]&amp;FDR[[#Headers],[20]],FDR[20],"",0,1)</f>
        <v>1</v>
      </c>
      <c r="AG439" cm="1">
        <f t="array" ref="AG439">_xlfn.XLOOKUP(Matrix[[#This Row],[TEAM]]&amp;Matrix[[#Headers],[21]],FDR[FDR]&amp;FDR[[#Headers],[21]],FDR[21],"",0,1)</f>
        <v>2</v>
      </c>
      <c r="AH439" cm="1">
        <f t="array" ref="AH439">_xlfn.XLOOKUP(Matrix[[#This Row],[TEAM]]&amp;Matrix[[#Headers],[22]],FDR[FDR]&amp;FDR[[#Headers],[22]],FDR[22],"",0,1)</f>
        <v>1</v>
      </c>
      <c r="AI439" cm="1">
        <f t="array" ref="AI439">_xlfn.XLOOKUP(Matrix[[#This Row],[TEAM]]&amp;Matrix[[#Headers],[23]],FDR[FDR]&amp;FDR[[#Headers],[23]],FDR[23],"",0,1)</f>
        <v>1</v>
      </c>
      <c r="AJ439" cm="1">
        <f t="array" ref="AJ439">_xlfn.XLOOKUP(Matrix[[#This Row],[TEAM]]&amp;Matrix[[#Headers],[24]],FDR[FDR]&amp;FDR[[#Headers],[24]],FDR[24],"",0,1)</f>
        <v>3</v>
      </c>
      <c r="AK439" cm="1">
        <f t="array" ref="AK439">_xlfn.XLOOKUP(Matrix[[#This Row],[TEAM]]&amp;Matrix[[#Headers],[25]],FDR[FDR]&amp;FDR[[#Headers],[25]],FDR[25],"",0,1)</f>
        <v>4</v>
      </c>
      <c r="AL439" cm="1">
        <f t="array" ref="AL439">_xlfn.XLOOKUP(Matrix[[#This Row],[TEAM]]&amp;Matrix[[#Headers],[26]],FDR[FDR]&amp;FDR[[#Headers],[26]],FDR[26],"",0,1)</f>
        <v>2</v>
      </c>
      <c r="AM439" cm="1">
        <f t="array" ref="AM439">_xlfn.XLOOKUP(Matrix[[#This Row],[TEAM]]&amp;Matrix[[#Headers],[27]],FDR[FDR]&amp;FDR[[#Headers],[27]],FDR[27],"",0,1)</f>
        <v>3</v>
      </c>
      <c r="AN439" cm="1">
        <f t="array" ref="AN439">_xlfn.XLOOKUP(Matrix[[#This Row],[TEAM]]&amp;Matrix[[#Headers],[28]],FDR[FDR]&amp;FDR[[#Headers],[28]],FDR[28],"",0,1)</f>
        <v>2</v>
      </c>
      <c r="AO439" cm="1">
        <f t="array" ref="AO439">_xlfn.XLOOKUP(Matrix[[#This Row],[TEAM]]&amp;Matrix[[#Headers],[29]],FDR[FDR]&amp;FDR[[#Headers],[29]],FDR[29],"",0,1)</f>
        <v>1</v>
      </c>
      <c r="AP439" cm="1">
        <f t="array" ref="AP439">_xlfn.XLOOKUP(Matrix[[#This Row],[TEAM]]&amp;Matrix[[#Headers],[30]],FDR[FDR]&amp;FDR[[#Headers],[30]],FDR[30],"",0,1)</f>
        <v>4</v>
      </c>
      <c r="AQ439" cm="1">
        <f t="array" ref="AQ439">_xlfn.XLOOKUP(Matrix[[#This Row],[TEAM]]&amp;Matrix[[#Headers],[31]],FDR[FDR]&amp;FDR[[#Headers],[31]],FDR[31],"",0,1)</f>
        <v>1</v>
      </c>
      <c r="AR439" cm="1">
        <f t="array" ref="AR439">_xlfn.XLOOKUP(Matrix[[#This Row],[TEAM]]&amp;Matrix[[#Headers],[32]],FDR[FDR]&amp;FDR[[#Headers],[32]],FDR[32],"",0,1)</f>
        <v>1</v>
      </c>
      <c r="AS439" cm="1">
        <f t="array" ref="AS439">_xlfn.XLOOKUP(Matrix[[#This Row],[TEAM]]&amp;Matrix[[#Headers],[33]],FDR[FDR]&amp;FDR[[#Headers],[33]],FDR[33],"",0,1)</f>
        <v>1</v>
      </c>
      <c r="AT439" cm="1">
        <f t="array" ref="AT439">_xlfn.XLOOKUP(Matrix[[#This Row],[TEAM]]&amp;Matrix[[#Headers],[34]],FDR[FDR]&amp;FDR[[#Headers],[34]],FDR[34],"",0,1)</f>
        <v>1</v>
      </c>
      <c r="AU439" cm="1">
        <f t="array" ref="AU439">_xlfn.XLOOKUP(Matrix[[#This Row],[TEAM]]&amp;Matrix[[#Headers],[35]],FDR[FDR]&amp;FDR[[#Headers],[35]],FDR[35],"",0,1)</f>
        <v>3</v>
      </c>
      <c r="AV439" cm="1">
        <f t="array" ref="AV439">_xlfn.XLOOKUP(Matrix[[#This Row],[TEAM]]&amp;Matrix[[#Headers],[36]],FDR[FDR]&amp;FDR[[#Headers],[36]],FDR[36],"",0,1)</f>
        <v>1</v>
      </c>
      <c r="AW439" cm="1">
        <f t="array" ref="AW439">_xlfn.XLOOKUP(Matrix[[#This Row],[TEAM]]&amp;Matrix[[#Headers],[37]],FDR[FDR]&amp;FDR[[#Headers],[37]],FDR[37],"",0,1)</f>
        <v>4</v>
      </c>
      <c r="AX439" cm="1">
        <f t="array" ref="AX439">_xlfn.XLOOKUP(Matrix[[#This Row],[TEAM]]&amp;Matrix[[#Headers],[38]],FDR[FDR]&amp;FDR[[#Headers],[38]],FDR[38],"",0,1)</f>
        <v>1</v>
      </c>
    </row>
    <row r="440" spans="1:50" ht="22" thickTop="1" thickBot="1">
      <c r="A440" s="52" t="s">
        <v>658</v>
      </c>
      <c r="B440" s="70" t="s">
        <v>1795</v>
      </c>
      <c r="C440" s="40" t="s">
        <v>19</v>
      </c>
      <c r="D440" s="62">
        <v>17</v>
      </c>
      <c r="E440" s="60">
        <v>3.2000000000000001E-2</v>
      </c>
      <c r="F440" s="61">
        <v>21.7</v>
      </c>
      <c r="G440" s="63">
        <v>4</v>
      </c>
      <c r="H440" s="261">
        <f>IF(ISBLANK(I440),0,1)</f>
        <v>0</v>
      </c>
      <c r="I440" s="57"/>
      <c r="J440" s="58"/>
      <c r="K440" s="66" t="s">
        <v>689</v>
      </c>
      <c r="L440" s="66" t="s">
        <v>690</v>
      </c>
      <c r="M440" cm="1">
        <f t="array" ref="M440">_xlfn.XLOOKUP(Matrix[[#This Row],[TEAM]]&amp;Matrix[[#Headers],[1]],FDR[FDR]&amp;FDR[[#Headers],[1]],FDR[1],"",0,1)</f>
        <v>1</v>
      </c>
      <c r="N440" cm="1">
        <f t="array" ref="N440">_xlfn.XLOOKUP(Matrix[[#This Row],[TEAM]]&amp;Matrix[[#Headers],[2]],FDR[FDR]&amp;FDR[[#Headers],[2]],FDR[2],"",0,1)</f>
        <v>4</v>
      </c>
      <c r="O440" cm="1">
        <f t="array" ref="O440">_xlfn.XLOOKUP(Matrix[[#This Row],[TEAM]]&amp;Matrix[[#Headers],[3]],FDR[FDR]&amp;FDR[[#Headers],[3]],FDR[3],"",0,1)</f>
        <v>1</v>
      </c>
      <c r="P440" cm="1">
        <f t="array" ref="P440">_xlfn.XLOOKUP(Matrix[[#This Row],[TEAM]]&amp;Matrix[[#Headers],[4]],FDR[FDR]&amp;FDR[[#Headers],[4]],FDR[4],"",0,1)</f>
        <v>2</v>
      </c>
      <c r="Q440" cm="1">
        <f t="array" ref="Q440">_xlfn.XLOOKUP(Matrix[[#This Row],[TEAM]]&amp;Matrix[[#Headers],[5]],FDR[FDR]&amp;FDR[[#Headers],[5]],FDR[5],"",0,1)</f>
        <v>2</v>
      </c>
      <c r="R440" cm="1">
        <f t="array" ref="R440">_xlfn.XLOOKUP(Matrix[[#This Row],[TEAM]]&amp;Matrix[[#Headers],[6]],FDR[FDR]&amp;FDR[[#Headers],[6]],FDR[6],"",0,1)</f>
        <v>1</v>
      </c>
      <c r="S440" cm="1">
        <f t="array" ref="S440">_xlfn.XLOOKUP(Matrix[[#This Row],[TEAM]]&amp;Matrix[[#Headers],[7]],FDR[FDR]&amp;FDR[[#Headers],[7]],FDR[7],"",0,1)</f>
        <v>1</v>
      </c>
      <c r="T440" cm="1">
        <f t="array" ref="T440">_xlfn.XLOOKUP(Matrix[[#This Row],[TEAM]]&amp;Matrix[[#Headers],[8]],FDR[FDR]&amp;FDR[[#Headers],[8]],FDR[8],"",0,1)</f>
        <v>2</v>
      </c>
      <c r="U440" cm="1">
        <f t="array" ref="U440">_xlfn.XLOOKUP(Matrix[[#This Row],[TEAM]]&amp;Matrix[[#Headers],[9]],FDR[FDR]&amp;FDR[[#Headers],[9]],FDR[9],"",0,1)</f>
        <v>2</v>
      </c>
      <c r="V440" cm="1">
        <f t="array" ref="V440">_xlfn.XLOOKUP(Matrix[[#This Row],[TEAM]]&amp;Matrix[[#Headers],[10]],FDR[FDR]&amp;FDR[[#Headers],[10]],FDR[10],"",0,1)</f>
        <v>3</v>
      </c>
      <c r="W440" cm="1">
        <f t="array" ref="W440">_xlfn.XLOOKUP(Matrix[[#This Row],[TEAM]]&amp;Matrix[[#Headers],[11]],FDR[FDR]&amp;FDR[[#Headers],[11]],FDR[11],"",0,1)</f>
        <v>3</v>
      </c>
      <c r="X440" cm="1">
        <f t="array" ref="X440">_xlfn.XLOOKUP(Matrix[[#This Row],[TEAM]]&amp;Matrix[[#Headers],[12]],FDR[FDR]&amp;FDR[[#Headers],[12]],FDR[12],"",0,1)</f>
        <v>4</v>
      </c>
      <c r="Y440" cm="1">
        <f t="array" ref="Y440">_xlfn.XLOOKUP(Matrix[[#This Row],[TEAM]]&amp;Matrix[[#Headers],[13]],FDR[FDR]&amp;FDR[[#Headers],[13]],FDR[13],"",0,1)</f>
        <v>1</v>
      </c>
      <c r="Z440" cm="1">
        <f t="array" ref="Z440">_xlfn.XLOOKUP(Matrix[[#This Row],[TEAM]]&amp;Matrix[[#Headers],[14]],FDR[FDR]&amp;FDR[[#Headers],[14]],FDR[14],"",0,1)</f>
        <v>3</v>
      </c>
      <c r="AA440" cm="1">
        <f t="array" ref="AA440">_xlfn.XLOOKUP(Matrix[[#This Row],[TEAM]]&amp;Matrix[[#Headers],[15]],FDR[FDR]&amp;FDR[[#Headers],[15]],FDR[15],"",0,1)</f>
        <v>1</v>
      </c>
      <c r="AB440" cm="1">
        <f t="array" ref="AB440">_xlfn.XLOOKUP(Matrix[[#This Row],[TEAM]]&amp;Matrix[[#Headers],[16]],FDR[FDR]&amp;FDR[[#Headers],[16]],FDR[16],"",0,1)</f>
        <v>2</v>
      </c>
      <c r="AC440" cm="1">
        <f t="array" ref="AC440">_xlfn.XLOOKUP(Matrix[[#This Row],[TEAM]]&amp;Matrix[[#Headers],[17]],FDR[FDR]&amp;FDR[[#Headers],[17]],FDR[17],"",0,1)</f>
        <v>3</v>
      </c>
      <c r="AD440" cm="1">
        <f t="array" ref="AD440">_xlfn.XLOOKUP(Matrix[[#This Row],[TEAM]]&amp;Matrix[[#Headers],[18]],FDR[FDR]&amp;FDR[[#Headers],[18]],FDR[18],"",0,1)</f>
        <v>2</v>
      </c>
      <c r="AE440" cm="1">
        <f t="array" ref="AE440">_xlfn.XLOOKUP(Matrix[[#This Row],[TEAM]]&amp;Matrix[[#Headers],[19]],FDR[FDR]&amp;FDR[[#Headers],[19]],FDR[19],"",0,1)</f>
        <v>2</v>
      </c>
      <c r="AF440" cm="1">
        <f t="array" ref="AF440">_xlfn.XLOOKUP(Matrix[[#This Row],[TEAM]]&amp;Matrix[[#Headers],[20]],FDR[FDR]&amp;FDR[[#Headers],[20]],FDR[20],"",0,1)</f>
        <v>1</v>
      </c>
      <c r="AG440" cm="1">
        <f t="array" ref="AG440">_xlfn.XLOOKUP(Matrix[[#This Row],[TEAM]]&amp;Matrix[[#Headers],[21]],FDR[FDR]&amp;FDR[[#Headers],[21]],FDR[21],"",0,1)</f>
        <v>2</v>
      </c>
      <c r="AH440" cm="1">
        <f t="array" ref="AH440">_xlfn.XLOOKUP(Matrix[[#This Row],[TEAM]]&amp;Matrix[[#Headers],[22]],FDR[FDR]&amp;FDR[[#Headers],[22]],FDR[22],"",0,1)</f>
        <v>1</v>
      </c>
      <c r="AI440" cm="1">
        <f t="array" ref="AI440">_xlfn.XLOOKUP(Matrix[[#This Row],[TEAM]]&amp;Matrix[[#Headers],[23]],FDR[FDR]&amp;FDR[[#Headers],[23]],FDR[23],"",0,1)</f>
        <v>1</v>
      </c>
      <c r="AJ440" cm="1">
        <f t="array" ref="AJ440">_xlfn.XLOOKUP(Matrix[[#This Row],[TEAM]]&amp;Matrix[[#Headers],[24]],FDR[FDR]&amp;FDR[[#Headers],[24]],FDR[24],"",0,1)</f>
        <v>3</v>
      </c>
      <c r="AK440" cm="1">
        <f t="array" ref="AK440">_xlfn.XLOOKUP(Matrix[[#This Row],[TEAM]]&amp;Matrix[[#Headers],[25]],FDR[FDR]&amp;FDR[[#Headers],[25]],FDR[25],"",0,1)</f>
        <v>4</v>
      </c>
      <c r="AL440" cm="1">
        <f t="array" ref="AL440">_xlfn.XLOOKUP(Matrix[[#This Row],[TEAM]]&amp;Matrix[[#Headers],[26]],FDR[FDR]&amp;FDR[[#Headers],[26]],FDR[26],"",0,1)</f>
        <v>2</v>
      </c>
      <c r="AM440" cm="1">
        <f t="array" ref="AM440">_xlfn.XLOOKUP(Matrix[[#This Row],[TEAM]]&amp;Matrix[[#Headers],[27]],FDR[FDR]&amp;FDR[[#Headers],[27]],FDR[27],"",0,1)</f>
        <v>3</v>
      </c>
      <c r="AN440" cm="1">
        <f t="array" ref="AN440">_xlfn.XLOOKUP(Matrix[[#This Row],[TEAM]]&amp;Matrix[[#Headers],[28]],FDR[FDR]&amp;FDR[[#Headers],[28]],FDR[28],"",0,1)</f>
        <v>2</v>
      </c>
      <c r="AO440" cm="1">
        <f t="array" ref="AO440">_xlfn.XLOOKUP(Matrix[[#This Row],[TEAM]]&amp;Matrix[[#Headers],[29]],FDR[FDR]&amp;FDR[[#Headers],[29]],FDR[29],"",0,1)</f>
        <v>1</v>
      </c>
      <c r="AP440" cm="1">
        <f t="array" ref="AP440">_xlfn.XLOOKUP(Matrix[[#This Row],[TEAM]]&amp;Matrix[[#Headers],[30]],FDR[FDR]&amp;FDR[[#Headers],[30]],FDR[30],"",0,1)</f>
        <v>4</v>
      </c>
      <c r="AQ440" cm="1">
        <f t="array" ref="AQ440">_xlfn.XLOOKUP(Matrix[[#This Row],[TEAM]]&amp;Matrix[[#Headers],[31]],FDR[FDR]&amp;FDR[[#Headers],[31]],FDR[31],"",0,1)</f>
        <v>1</v>
      </c>
      <c r="AR440" cm="1">
        <f t="array" ref="AR440">_xlfn.XLOOKUP(Matrix[[#This Row],[TEAM]]&amp;Matrix[[#Headers],[32]],FDR[FDR]&amp;FDR[[#Headers],[32]],FDR[32],"",0,1)</f>
        <v>1</v>
      </c>
      <c r="AS440" cm="1">
        <f t="array" ref="AS440">_xlfn.XLOOKUP(Matrix[[#This Row],[TEAM]]&amp;Matrix[[#Headers],[33]],FDR[FDR]&amp;FDR[[#Headers],[33]],FDR[33],"",0,1)</f>
        <v>1</v>
      </c>
      <c r="AT440" cm="1">
        <f t="array" ref="AT440">_xlfn.XLOOKUP(Matrix[[#This Row],[TEAM]]&amp;Matrix[[#Headers],[34]],FDR[FDR]&amp;FDR[[#Headers],[34]],FDR[34],"",0,1)</f>
        <v>1</v>
      </c>
      <c r="AU440" cm="1">
        <f t="array" ref="AU440">_xlfn.XLOOKUP(Matrix[[#This Row],[TEAM]]&amp;Matrix[[#Headers],[35]],FDR[FDR]&amp;FDR[[#Headers],[35]],FDR[35],"",0,1)</f>
        <v>3</v>
      </c>
      <c r="AV440" cm="1">
        <f t="array" ref="AV440">_xlfn.XLOOKUP(Matrix[[#This Row],[TEAM]]&amp;Matrix[[#Headers],[36]],FDR[FDR]&amp;FDR[[#Headers],[36]],FDR[36],"",0,1)</f>
        <v>1</v>
      </c>
      <c r="AW440" cm="1">
        <f t="array" ref="AW440">_xlfn.XLOOKUP(Matrix[[#This Row],[TEAM]]&amp;Matrix[[#Headers],[37]],FDR[FDR]&amp;FDR[[#Headers],[37]],FDR[37],"",0,1)</f>
        <v>4</v>
      </c>
      <c r="AX440" cm="1">
        <f t="array" ref="AX440">_xlfn.XLOOKUP(Matrix[[#This Row],[TEAM]]&amp;Matrix[[#Headers],[38]],FDR[FDR]&amp;FDR[[#Headers],[38]],FDR[38],"",0,1)</f>
        <v>1</v>
      </c>
    </row>
    <row r="441" spans="1:50" ht="22" thickTop="1" thickBot="1">
      <c r="A441" s="52" t="s">
        <v>658</v>
      </c>
      <c r="B441" s="70" t="s">
        <v>1808</v>
      </c>
      <c r="C441" s="40" t="s">
        <v>51</v>
      </c>
      <c r="D441" s="68">
        <v>9</v>
      </c>
      <c r="E441" s="60">
        <v>0.01</v>
      </c>
      <c r="F441" s="67">
        <v>6</v>
      </c>
      <c r="G441" s="63">
        <v>4</v>
      </c>
      <c r="H441" s="261">
        <f>IF(ISBLANK(I441),0,1)</f>
        <v>0</v>
      </c>
      <c r="I441" s="57"/>
      <c r="J441" s="58"/>
      <c r="K441" s="66" t="s">
        <v>441</v>
      </c>
      <c r="L441" s="66" t="s">
        <v>93</v>
      </c>
      <c r="M441" cm="1">
        <f t="array" ref="M441">_xlfn.XLOOKUP(Matrix[[#This Row],[TEAM]]&amp;Matrix[[#Headers],[1]],FDR[FDR]&amp;FDR[[#Headers],[1]],FDR[1],"",0,1)</f>
        <v>5</v>
      </c>
      <c r="N441" cm="1">
        <f t="array" ref="N441">_xlfn.XLOOKUP(Matrix[[#This Row],[TEAM]]&amp;Matrix[[#Headers],[2]],FDR[FDR]&amp;FDR[[#Headers],[2]],FDR[2],"",0,1)</f>
        <v>5</v>
      </c>
      <c r="O441" cm="1">
        <f t="array" ref="O441">_xlfn.XLOOKUP(Matrix[[#This Row],[TEAM]]&amp;Matrix[[#Headers],[3]],FDR[FDR]&amp;FDR[[#Headers],[3]],FDR[3],"",0,1)</f>
        <v>4</v>
      </c>
      <c r="P441" cm="1">
        <f t="array" ref="P441">_xlfn.XLOOKUP(Matrix[[#This Row],[TEAM]]&amp;Matrix[[#Headers],[4]],FDR[FDR]&amp;FDR[[#Headers],[4]],FDR[4],"",0,1)</f>
        <v>5</v>
      </c>
      <c r="Q441" cm="1">
        <f t="array" ref="Q441">_xlfn.XLOOKUP(Matrix[[#This Row],[TEAM]]&amp;Matrix[[#Headers],[5]],FDR[FDR]&amp;FDR[[#Headers],[5]],FDR[5],"",0,1)</f>
        <v>2</v>
      </c>
      <c r="R441" cm="1">
        <f t="array" ref="R441">_xlfn.XLOOKUP(Matrix[[#This Row],[TEAM]]&amp;Matrix[[#Headers],[6]],FDR[FDR]&amp;FDR[[#Headers],[6]],FDR[6],"",0,1)</f>
        <v>5</v>
      </c>
      <c r="S441" cm="1">
        <f t="array" ref="S441">_xlfn.XLOOKUP(Matrix[[#This Row],[TEAM]]&amp;Matrix[[#Headers],[7]],FDR[FDR]&amp;FDR[[#Headers],[7]],FDR[7],"",0,1)</f>
        <v>4</v>
      </c>
      <c r="T441" cm="1">
        <f t="array" ref="T441">_xlfn.XLOOKUP(Matrix[[#This Row],[TEAM]]&amp;Matrix[[#Headers],[8]],FDR[FDR]&amp;FDR[[#Headers],[8]],FDR[8],"",0,1)</f>
        <v>3</v>
      </c>
      <c r="U441" cm="1">
        <f t="array" ref="U441">_xlfn.XLOOKUP(Matrix[[#This Row],[TEAM]]&amp;Matrix[[#Headers],[9]],FDR[FDR]&amp;FDR[[#Headers],[9]],FDR[9],"",0,1)</f>
        <v>2</v>
      </c>
      <c r="V441" cm="1">
        <f t="array" ref="V441">_xlfn.XLOOKUP(Matrix[[#This Row],[TEAM]]&amp;Matrix[[#Headers],[10]],FDR[FDR]&amp;FDR[[#Headers],[10]],FDR[10],"",0,1)</f>
        <v>5</v>
      </c>
      <c r="W441" cm="1">
        <f t="array" ref="W441">_xlfn.XLOOKUP(Matrix[[#This Row],[TEAM]]&amp;Matrix[[#Headers],[11]],FDR[FDR]&amp;FDR[[#Headers],[11]],FDR[11],"",0,1)</f>
        <v>5</v>
      </c>
      <c r="X441" cm="1">
        <f t="array" ref="X441">_xlfn.XLOOKUP(Matrix[[#This Row],[TEAM]]&amp;Matrix[[#Headers],[12]],FDR[FDR]&amp;FDR[[#Headers],[12]],FDR[12],"",0,1)</f>
        <v>4</v>
      </c>
      <c r="Y441" cm="1">
        <f t="array" ref="Y441">_xlfn.XLOOKUP(Matrix[[#This Row],[TEAM]]&amp;Matrix[[#Headers],[13]],FDR[FDR]&amp;FDR[[#Headers],[13]],FDR[13],"",0,1)</f>
        <v>5</v>
      </c>
      <c r="Z441" cm="1">
        <f t="array" ref="Z441">_xlfn.XLOOKUP(Matrix[[#This Row],[TEAM]]&amp;Matrix[[#Headers],[14]],FDR[FDR]&amp;FDR[[#Headers],[14]],FDR[14],"",0,1)</f>
        <v>4</v>
      </c>
      <c r="AA441" cm="1">
        <f t="array" ref="AA441">_xlfn.XLOOKUP(Matrix[[#This Row],[TEAM]]&amp;Matrix[[#Headers],[15]],FDR[FDR]&amp;FDR[[#Headers],[15]],FDR[15],"",0,1)</f>
        <v>5</v>
      </c>
      <c r="AB441" cm="1">
        <f t="array" ref="AB441">_xlfn.XLOOKUP(Matrix[[#This Row],[TEAM]]&amp;Matrix[[#Headers],[16]],FDR[FDR]&amp;FDR[[#Headers],[16]],FDR[16],"",0,1)</f>
        <v>5</v>
      </c>
      <c r="AC441" cm="1">
        <f t="array" ref="AC441">_xlfn.XLOOKUP(Matrix[[#This Row],[TEAM]]&amp;Matrix[[#Headers],[17]],FDR[FDR]&amp;FDR[[#Headers],[17]],FDR[17],"",0,1)</f>
        <v>4</v>
      </c>
      <c r="AD441" cm="1">
        <f t="array" ref="AD441">_xlfn.XLOOKUP(Matrix[[#This Row],[TEAM]]&amp;Matrix[[#Headers],[18]],FDR[FDR]&amp;FDR[[#Headers],[18]],FDR[18],"",0,1)</f>
        <v>5</v>
      </c>
      <c r="AE441" cm="1">
        <f t="array" ref="AE441">_xlfn.XLOOKUP(Matrix[[#This Row],[TEAM]]&amp;Matrix[[#Headers],[19]],FDR[FDR]&amp;FDR[[#Headers],[19]],FDR[19],"",0,1)</f>
        <v>5</v>
      </c>
      <c r="AF441" cm="1">
        <f t="array" ref="AF441">_xlfn.XLOOKUP(Matrix[[#This Row],[TEAM]]&amp;Matrix[[#Headers],[20]],FDR[FDR]&amp;FDR[[#Headers],[20]],FDR[20],"",0,1)</f>
        <v>4</v>
      </c>
      <c r="AG441" cm="1">
        <f t="array" ref="AG441">_xlfn.XLOOKUP(Matrix[[#This Row],[TEAM]]&amp;Matrix[[#Headers],[21]],FDR[FDR]&amp;FDR[[#Headers],[21]],FDR[21],"",0,1)</f>
        <v>5</v>
      </c>
      <c r="AH441" cm="1">
        <f t="array" ref="AH441">_xlfn.XLOOKUP(Matrix[[#This Row],[TEAM]]&amp;Matrix[[#Headers],[22]],FDR[FDR]&amp;FDR[[#Headers],[22]],FDR[22],"",0,1)</f>
        <v>5</v>
      </c>
      <c r="AI441" cm="1">
        <f t="array" ref="AI441">_xlfn.XLOOKUP(Matrix[[#This Row],[TEAM]]&amp;Matrix[[#Headers],[23]],FDR[FDR]&amp;FDR[[#Headers],[23]],FDR[23],"",0,1)</f>
        <v>5</v>
      </c>
      <c r="AJ441" cm="1">
        <f t="array" ref="AJ441">_xlfn.XLOOKUP(Matrix[[#This Row],[TEAM]]&amp;Matrix[[#Headers],[24]],FDR[FDR]&amp;FDR[[#Headers],[24]],FDR[24],"",0,1)</f>
        <v>4</v>
      </c>
      <c r="AK441" cm="1">
        <f t="array" ref="AK441">_xlfn.XLOOKUP(Matrix[[#This Row],[TEAM]]&amp;Matrix[[#Headers],[25]],FDR[FDR]&amp;FDR[[#Headers],[25]],FDR[25],"",0,1)</f>
        <v>5</v>
      </c>
      <c r="AL441" cm="1">
        <f t="array" ref="AL441">_xlfn.XLOOKUP(Matrix[[#This Row],[TEAM]]&amp;Matrix[[#Headers],[26]],FDR[FDR]&amp;FDR[[#Headers],[26]],FDR[26],"",0,1)</f>
        <v>5</v>
      </c>
      <c r="AM441" cm="1">
        <f t="array" ref="AM441">_xlfn.XLOOKUP(Matrix[[#This Row],[TEAM]]&amp;Matrix[[#Headers],[27]],FDR[FDR]&amp;FDR[[#Headers],[27]],FDR[27],"",0,1)</f>
        <v>5</v>
      </c>
      <c r="AN441" cm="1">
        <f t="array" ref="AN441">_xlfn.XLOOKUP(Matrix[[#This Row],[TEAM]]&amp;Matrix[[#Headers],[28]],FDR[FDR]&amp;FDR[[#Headers],[28]],FDR[28],"",0,1)</f>
        <v>5</v>
      </c>
      <c r="AO441" cm="1">
        <f t="array" ref="AO441">_xlfn.XLOOKUP(Matrix[[#This Row],[TEAM]]&amp;Matrix[[#Headers],[29]],FDR[FDR]&amp;FDR[[#Headers],[29]],FDR[29],"",0,1)</f>
        <v>5</v>
      </c>
      <c r="AP441" cm="1">
        <f t="array" ref="AP441">_xlfn.XLOOKUP(Matrix[[#This Row],[TEAM]]&amp;Matrix[[#Headers],[30]],FDR[FDR]&amp;FDR[[#Headers],[30]],FDR[30],"",0,1)</f>
        <v>5</v>
      </c>
      <c r="AQ441" cm="1">
        <f t="array" ref="AQ441">_xlfn.XLOOKUP(Matrix[[#This Row],[TEAM]]&amp;Matrix[[#Headers],[31]],FDR[FDR]&amp;FDR[[#Headers],[31]],FDR[31],"",0,1)</f>
        <v>5</v>
      </c>
      <c r="AR441" cm="1">
        <f t="array" ref="AR441">_xlfn.XLOOKUP(Matrix[[#This Row],[TEAM]]&amp;Matrix[[#Headers],[32]],FDR[FDR]&amp;FDR[[#Headers],[32]],FDR[32],"",0,1)</f>
        <v>5</v>
      </c>
      <c r="AS441" cm="1">
        <f t="array" ref="AS441">_xlfn.XLOOKUP(Matrix[[#This Row],[TEAM]]&amp;Matrix[[#Headers],[33]],FDR[FDR]&amp;FDR[[#Headers],[33]],FDR[33],"",0,1)</f>
        <v>3</v>
      </c>
      <c r="AT441" cm="1">
        <f t="array" ref="AT441">_xlfn.XLOOKUP(Matrix[[#This Row],[TEAM]]&amp;Matrix[[#Headers],[34]],FDR[FDR]&amp;FDR[[#Headers],[34]],FDR[34],"",0,1)</f>
        <v>5</v>
      </c>
      <c r="AU441" cm="1">
        <f t="array" ref="AU441">_xlfn.XLOOKUP(Matrix[[#This Row],[TEAM]]&amp;Matrix[[#Headers],[35]],FDR[FDR]&amp;FDR[[#Headers],[35]],FDR[35],"",0,1)</f>
        <v>2</v>
      </c>
      <c r="AV441" cm="1">
        <f t="array" ref="AV441">_xlfn.XLOOKUP(Matrix[[#This Row],[TEAM]]&amp;Matrix[[#Headers],[36]],FDR[FDR]&amp;FDR[[#Headers],[36]],FDR[36],"",0,1)</f>
        <v>5</v>
      </c>
      <c r="AW441" cm="1">
        <f t="array" ref="AW441">_xlfn.XLOOKUP(Matrix[[#This Row],[TEAM]]&amp;Matrix[[#Headers],[37]],FDR[FDR]&amp;FDR[[#Headers],[37]],FDR[37],"",0,1)</f>
        <v>4</v>
      </c>
      <c r="AX441" cm="1">
        <f t="array" ref="AX441">_xlfn.XLOOKUP(Matrix[[#This Row],[TEAM]]&amp;Matrix[[#Headers],[38]],FDR[FDR]&amp;FDR[[#Headers],[38]],FDR[38],"",0,1)</f>
        <v>3</v>
      </c>
    </row>
    <row r="442" spans="1:50" ht="22" thickTop="1" thickBot="1">
      <c r="A442" s="52" t="s">
        <v>658</v>
      </c>
      <c r="B442" s="70" t="s">
        <v>1804</v>
      </c>
      <c r="C442" s="40" t="s">
        <v>21</v>
      </c>
      <c r="D442" s="62">
        <v>2</v>
      </c>
      <c r="E442" s="60">
        <v>1.4E-2</v>
      </c>
      <c r="F442" s="61">
        <v>2.1</v>
      </c>
      <c r="G442" s="63">
        <v>4</v>
      </c>
      <c r="H442" s="261">
        <f>IF(ISBLANK(I442),0,1)</f>
        <v>0</v>
      </c>
      <c r="I442" s="57"/>
      <c r="J442" s="58"/>
      <c r="K442" s="66" t="s">
        <v>685</v>
      </c>
      <c r="L442" s="66" t="s">
        <v>684</v>
      </c>
      <c r="M442" cm="1">
        <f t="array" ref="M442">_xlfn.XLOOKUP(Matrix[[#This Row],[TEAM]]&amp;Matrix[[#Headers],[1]],FDR[FDR]&amp;FDR[[#Headers],[1]],FDR[1],"",0,1)</f>
        <v>4</v>
      </c>
      <c r="N442" cm="1">
        <f t="array" ref="N442">_xlfn.XLOOKUP(Matrix[[#This Row],[TEAM]]&amp;Matrix[[#Headers],[2]],FDR[FDR]&amp;FDR[[#Headers],[2]],FDR[2],"",0,1)</f>
        <v>4</v>
      </c>
      <c r="O442" cm="1">
        <f t="array" ref="O442">_xlfn.XLOOKUP(Matrix[[#This Row],[TEAM]]&amp;Matrix[[#Headers],[3]],FDR[FDR]&amp;FDR[[#Headers],[3]],FDR[3],"",0,1)</f>
        <v>2</v>
      </c>
      <c r="P442" cm="1">
        <f t="array" ref="P442">_xlfn.XLOOKUP(Matrix[[#This Row],[TEAM]]&amp;Matrix[[#Headers],[4]],FDR[FDR]&amp;FDR[[#Headers],[4]],FDR[4],"",0,1)</f>
        <v>4</v>
      </c>
      <c r="Q442" cm="1">
        <f t="array" ref="Q442">_xlfn.XLOOKUP(Matrix[[#This Row],[TEAM]]&amp;Matrix[[#Headers],[5]],FDR[FDR]&amp;FDR[[#Headers],[5]],FDR[5],"",0,1)</f>
        <v>4</v>
      </c>
      <c r="R442" cm="1">
        <f t="array" ref="R442">_xlfn.XLOOKUP(Matrix[[#This Row],[TEAM]]&amp;Matrix[[#Headers],[6]],FDR[FDR]&amp;FDR[[#Headers],[6]],FDR[6],"",0,1)</f>
        <v>4</v>
      </c>
      <c r="S442" cm="1">
        <f t="array" ref="S442">_xlfn.XLOOKUP(Matrix[[#This Row],[TEAM]]&amp;Matrix[[#Headers],[7]],FDR[FDR]&amp;FDR[[#Headers],[7]],FDR[7],"",0,1)</f>
        <v>4</v>
      </c>
      <c r="T442" cm="1">
        <f t="array" ref="T442">_xlfn.XLOOKUP(Matrix[[#This Row],[TEAM]]&amp;Matrix[[#Headers],[8]],FDR[FDR]&amp;FDR[[#Headers],[8]],FDR[8],"",0,1)</f>
        <v>4</v>
      </c>
      <c r="U442" cm="1">
        <f t="array" ref="U442">_xlfn.XLOOKUP(Matrix[[#This Row],[TEAM]]&amp;Matrix[[#Headers],[9]],FDR[FDR]&amp;FDR[[#Headers],[9]],FDR[9],"",0,1)</f>
        <v>4</v>
      </c>
      <c r="V442" cm="1">
        <f t="array" ref="V442">_xlfn.XLOOKUP(Matrix[[#This Row],[TEAM]]&amp;Matrix[[#Headers],[10]],FDR[FDR]&amp;FDR[[#Headers],[10]],FDR[10],"",0,1)</f>
        <v>4</v>
      </c>
      <c r="W442" cm="1">
        <f t="array" ref="W442">_xlfn.XLOOKUP(Matrix[[#This Row],[TEAM]]&amp;Matrix[[#Headers],[11]],FDR[FDR]&amp;FDR[[#Headers],[11]],FDR[11],"",0,1)</f>
        <v>4</v>
      </c>
      <c r="X442" cm="1">
        <f t="array" ref="X442">_xlfn.XLOOKUP(Matrix[[#This Row],[TEAM]]&amp;Matrix[[#Headers],[12]],FDR[FDR]&amp;FDR[[#Headers],[12]],FDR[12],"",0,1)</f>
        <v>4</v>
      </c>
      <c r="Y442" cm="1">
        <f t="array" ref="Y442">_xlfn.XLOOKUP(Matrix[[#This Row],[TEAM]]&amp;Matrix[[#Headers],[13]],FDR[FDR]&amp;FDR[[#Headers],[13]],FDR[13],"",0,1)</f>
        <v>1</v>
      </c>
      <c r="Z442" cm="1">
        <f t="array" ref="Z442">_xlfn.XLOOKUP(Matrix[[#This Row],[TEAM]]&amp;Matrix[[#Headers],[14]],FDR[FDR]&amp;FDR[[#Headers],[14]],FDR[14],"",0,1)</f>
        <v>5</v>
      </c>
      <c r="AA442" cm="1">
        <f t="array" ref="AA442">_xlfn.XLOOKUP(Matrix[[#This Row],[TEAM]]&amp;Matrix[[#Headers],[15]],FDR[FDR]&amp;FDR[[#Headers],[15]],FDR[15],"",0,1)</f>
        <v>5</v>
      </c>
      <c r="AB442" cm="1">
        <f t="array" ref="AB442">_xlfn.XLOOKUP(Matrix[[#This Row],[TEAM]]&amp;Matrix[[#Headers],[16]],FDR[FDR]&amp;FDR[[#Headers],[16]],FDR[16],"",0,1)</f>
        <v>1</v>
      </c>
      <c r="AC442" cm="1">
        <f t="array" ref="AC442">_xlfn.XLOOKUP(Matrix[[#This Row],[TEAM]]&amp;Matrix[[#Headers],[17]],FDR[FDR]&amp;FDR[[#Headers],[17]],FDR[17],"",0,1)</f>
        <v>2</v>
      </c>
      <c r="AD442" cm="1">
        <f t="array" ref="AD442">_xlfn.XLOOKUP(Matrix[[#This Row],[TEAM]]&amp;Matrix[[#Headers],[18]],FDR[FDR]&amp;FDR[[#Headers],[18]],FDR[18],"",0,1)</f>
        <v>3</v>
      </c>
      <c r="AE442" cm="1">
        <f t="array" ref="AE442">_xlfn.XLOOKUP(Matrix[[#This Row],[TEAM]]&amp;Matrix[[#Headers],[19]],FDR[FDR]&amp;FDR[[#Headers],[19]],FDR[19],"",0,1)</f>
        <v>4</v>
      </c>
      <c r="AF442" cm="1">
        <f t="array" ref="AF442">_xlfn.XLOOKUP(Matrix[[#This Row],[TEAM]]&amp;Matrix[[#Headers],[20]],FDR[FDR]&amp;FDR[[#Headers],[20]],FDR[20],"",0,1)</f>
        <v>4</v>
      </c>
      <c r="AG442" cm="1">
        <f t="array" ref="AG442">_xlfn.XLOOKUP(Matrix[[#This Row],[TEAM]]&amp;Matrix[[#Headers],[21]],FDR[FDR]&amp;FDR[[#Headers],[21]],FDR[21],"",0,1)</f>
        <v>1</v>
      </c>
      <c r="AH442" cm="1">
        <f t="array" ref="AH442">_xlfn.XLOOKUP(Matrix[[#This Row],[TEAM]]&amp;Matrix[[#Headers],[22]],FDR[FDR]&amp;FDR[[#Headers],[22]],FDR[22],"",0,1)</f>
        <v>5</v>
      </c>
      <c r="AI442" cm="1">
        <f t="array" ref="AI442">_xlfn.XLOOKUP(Matrix[[#This Row],[TEAM]]&amp;Matrix[[#Headers],[23]],FDR[FDR]&amp;FDR[[#Headers],[23]],FDR[23],"",0,1)</f>
        <v>3</v>
      </c>
      <c r="AJ442" cm="1">
        <f t="array" ref="AJ442">_xlfn.XLOOKUP(Matrix[[#This Row],[TEAM]]&amp;Matrix[[#Headers],[24]],FDR[FDR]&amp;FDR[[#Headers],[24]],FDR[24],"",0,1)</f>
        <v>5</v>
      </c>
      <c r="AK442" cm="1">
        <f t="array" ref="AK442">_xlfn.XLOOKUP(Matrix[[#This Row],[TEAM]]&amp;Matrix[[#Headers],[25]],FDR[FDR]&amp;FDR[[#Headers],[25]],FDR[25],"",0,1)</f>
        <v>5</v>
      </c>
      <c r="AL442" cm="1">
        <f t="array" ref="AL442">_xlfn.XLOOKUP(Matrix[[#This Row],[TEAM]]&amp;Matrix[[#Headers],[26]],FDR[FDR]&amp;FDR[[#Headers],[26]],FDR[26],"",0,1)</f>
        <v>4</v>
      </c>
      <c r="AM442" cm="1">
        <f t="array" ref="AM442">_xlfn.XLOOKUP(Matrix[[#This Row],[TEAM]]&amp;Matrix[[#Headers],[27]],FDR[FDR]&amp;FDR[[#Headers],[27]],FDR[27],"",0,1)</f>
        <v>3</v>
      </c>
      <c r="AN442" cm="1">
        <f t="array" ref="AN442">_xlfn.XLOOKUP(Matrix[[#This Row],[TEAM]]&amp;Matrix[[#Headers],[28]],FDR[FDR]&amp;FDR[[#Headers],[28]],FDR[28],"",0,1)</f>
        <v>2</v>
      </c>
      <c r="AO442" cm="1">
        <f t="array" ref="AO442">_xlfn.XLOOKUP(Matrix[[#This Row],[TEAM]]&amp;Matrix[[#Headers],[29]],FDR[FDR]&amp;FDR[[#Headers],[29]],FDR[29],"",0,1)</f>
        <v>4</v>
      </c>
      <c r="AP442" cm="1">
        <f t="array" ref="AP442">_xlfn.XLOOKUP(Matrix[[#This Row],[TEAM]]&amp;Matrix[[#Headers],[30]],FDR[FDR]&amp;FDR[[#Headers],[30]],FDR[30],"",0,1)</f>
        <v>2</v>
      </c>
      <c r="AQ442" cm="1">
        <f t="array" ref="AQ442">_xlfn.XLOOKUP(Matrix[[#This Row],[TEAM]]&amp;Matrix[[#Headers],[31]],FDR[FDR]&amp;FDR[[#Headers],[31]],FDR[31],"",0,1)</f>
        <v>2</v>
      </c>
      <c r="AR442" cm="1">
        <f t="array" ref="AR442">_xlfn.XLOOKUP(Matrix[[#This Row],[TEAM]]&amp;Matrix[[#Headers],[32]],FDR[FDR]&amp;FDR[[#Headers],[32]],FDR[32],"",0,1)</f>
        <v>3</v>
      </c>
      <c r="AS442" cm="1">
        <f t="array" ref="AS442">_xlfn.XLOOKUP(Matrix[[#This Row],[TEAM]]&amp;Matrix[[#Headers],[33]],FDR[FDR]&amp;FDR[[#Headers],[33]],FDR[33],"",0,1)</f>
        <v>3</v>
      </c>
      <c r="AT442" cm="1">
        <f t="array" ref="AT442">_xlfn.XLOOKUP(Matrix[[#This Row],[TEAM]]&amp;Matrix[[#Headers],[34]],FDR[FDR]&amp;FDR[[#Headers],[34]],FDR[34],"",0,1)</f>
        <v>5</v>
      </c>
      <c r="AU442" cm="1">
        <f t="array" ref="AU442">_xlfn.XLOOKUP(Matrix[[#This Row],[TEAM]]&amp;Matrix[[#Headers],[35]],FDR[FDR]&amp;FDR[[#Headers],[35]],FDR[35],"",0,1)</f>
        <v>3</v>
      </c>
      <c r="AV442" cm="1">
        <f t="array" ref="AV442">_xlfn.XLOOKUP(Matrix[[#This Row],[TEAM]]&amp;Matrix[[#Headers],[36]],FDR[FDR]&amp;FDR[[#Headers],[36]],FDR[36],"",0,1)</f>
        <v>5</v>
      </c>
      <c r="AW442" cm="1">
        <f t="array" ref="AW442">_xlfn.XLOOKUP(Matrix[[#This Row],[TEAM]]&amp;Matrix[[#Headers],[37]],FDR[FDR]&amp;FDR[[#Headers],[37]],FDR[37],"",0,1)</f>
        <v>3</v>
      </c>
      <c r="AX442" cm="1">
        <f t="array" ref="AX442">_xlfn.XLOOKUP(Matrix[[#This Row],[TEAM]]&amp;Matrix[[#Headers],[38]],FDR[FDR]&amp;FDR[[#Headers],[38]],FDR[38],"",0,1)</f>
        <v>5</v>
      </c>
    </row>
    <row r="443" spans="1:50" ht="22" thickTop="1" thickBot="1">
      <c r="A443" s="52" t="s">
        <v>658</v>
      </c>
      <c r="B443" s="70" t="s">
        <v>1846</v>
      </c>
      <c r="C443" s="40" t="s">
        <v>19</v>
      </c>
      <c r="D443" s="62">
        <v>1</v>
      </c>
      <c r="E443" s="60">
        <v>3.0000000000000001E-3</v>
      </c>
      <c r="F443" s="61">
        <v>2</v>
      </c>
      <c r="G443" s="63">
        <v>4</v>
      </c>
      <c r="H443" s="261">
        <f>IF(ISBLANK(I443),0,1)</f>
        <v>0</v>
      </c>
      <c r="I443" s="57"/>
      <c r="J443" s="58"/>
      <c r="K443" s="66" t="s">
        <v>601</v>
      </c>
      <c r="L443" s="66" t="s">
        <v>106</v>
      </c>
      <c r="M443" cm="1">
        <f t="array" ref="M443">_xlfn.XLOOKUP(Matrix[[#This Row],[TEAM]]&amp;Matrix[[#Headers],[1]],FDR[FDR]&amp;FDR[[#Headers],[1]],FDR[1],"",0,1)</f>
        <v>1</v>
      </c>
      <c r="N443" cm="1">
        <f t="array" ref="N443">_xlfn.XLOOKUP(Matrix[[#This Row],[TEAM]]&amp;Matrix[[#Headers],[2]],FDR[FDR]&amp;FDR[[#Headers],[2]],FDR[2],"",0,1)</f>
        <v>4</v>
      </c>
      <c r="O443" cm="1">
        <f t="array" ref="O443">_xlfn.XLOOKUP(Matrix[[#This Row],[TEAM]]&amp;Matrix[[#Headers],[3]],FDR[FDR]&amp;FDR[[#Headers],[3]],FDR[3],"",0,1)</f>
        <v>1</v>
      </c>
      <c r="P443" cm="1">
        <f t="array" ref="P443">_xlfn.XLOOKUP(Matrix[[#This Row],[TEAM]]&amp;Matrix[[#Headers],[4]],FDR[FDR]&amp;FDR[[#Headers],[4]],FDR[4],"",0,1)</f>
        <v>2</v>
      </c>
      <c r="Q443" cm="1">
        <f t="array" ref="Q443">_xlfn.XLOOKUP(Matrix[[#This Row],[TEAM]]&amp;Matrix[[#Headers],[5]],FDR[FDR]&amp;FDR[[#Headers],[5]],FDR[5],"",0,1)</f>
        <v>2</v>
      </c>
      <c r="R443" cm="1">
        <f t="array" ref="R443">_xlfn.XLOOKUP(Matrix[[#This Row],[TEAM]]&amp;Matrix[[#Headers],[6]],FDR[FDR]&amp;FDR[[#Headers],[6]],FDR[6],"",0,1)</f>
        <v>1</v>
      </c>
      <c r="S443" cm="1">
        <f t="array" ref="S443">_xlfn.XLOOKUP(Matrix[[#This Row],[TEAM]]&amp;Matrix[[#Headers],[7]],FDR[FDR]&amp;FDR[[#Headers],[7]],FDR[7],"",0,1)</f>
        <v>1</v>
      </c>
      <c r="T443" cm="1">
        <f t="array" ref="T443">_xlfn.XLOOKUP(Matrix[[#This Row],[TEAM]]&amp;Matrix[[#Headers],[8]],FDR[FDR]&amp;FDR[[#Headers],[8]],FDR[8],"",0,1)</f>
        <v>2</v>
      </c>
      <c r="U443" cm="1">
        <f t="array" ref="U443">_xlfn.XLOOKUP(Matrix[[#This Row],[TEAM]]&amp;Matrix[[#Headers],[9]],FDR[FDR]&amp;FDR[[#Headers],[9]],FDR[9],"",0,1)</f>
        <v>2</v>
      </c>
      <c r="V443" cm="1">
        <f t="array" ref="V443">_xlfn.XLOOKUP(Matrix[[#This Row],[TEAM]]&amp;Matrix[[#Headers],[10]],FDR[FDR]&amp;FDR[[#Headers],[10]],FDR[10],"",0,1)</f>
        <v>3</v>
      </c>
      <c r="W443" cm="1">
        <f t="array" ref="W443">_xlfn.XLOOKUP(Matrix[[#This Row],[TEAM]]&amp;Matrix[[#Headers],[11]],FDR[FDR]&amp;FDR[[#Headers],[11]],FDR[11],"",0,1)</f>
        <v>3</v>
      </c>
      <c r="X443" cm="1">
        <f t="array" ref="X443">_xlfn.XLOOKUP(Matrix[[#This Row],[TEAM]]&amp;Matrix[[#Headers],[12]],FDR[FDR]&amp;FDR[[#Headers],[12]],FDR[12],"",0,1)</f>
        <v>4</v>
      </c>
      <c r="Y443" cm="1">
        <f t="array" ref="Y443">_xlfn.XLOOKUP(Matrix[[#This Row],[TEAM]]&amp;Matrix[[#Headers],[13]],FDR[FDR]&amp;FDR[[#Headers],[13]],FDR[13],"",0,1)</f>
        <v>1</v>
      </c>
      <c r="Z443" cm="1">
        <f t="array" ref="Z443">_xlfn.XLOOKUP(Matrix[[#This Row],[TEAM]]&amp;Matrix[[#Headers],[14]],FDR[FDR]&amp;FDR[[#Headers],[14]],FDR[14],"",0,1)</f>
        <v>3</v>
      </c>
      <c r="AA443" cm="1">
        <f t="array" ref="AA443">_xlfn.XLOOKUP(Matrix[[#This Row],[TEAM]]&amp;Matrix[[#Headers],[15]],FDR[FDR]&amp;FDR[[#Headers],[15]],FDR[15],"",0,1)</f>
        <v>1</v>
      </c>
      <c r="AB443" cm="1">
        <f t="array" ref="AB443">_xlfn.XLOOKUP(Matrix[[#This Row],[TEAM]]&amp;Matrix[[#Headers],[16]],FDR[FDR]&amp;FDR[[#Headers],[16]],FDR[16],"",0,1)</f>
        <v>2</v>
      </c>
      <c r="AC443" cm="1">
        <f t="array" ref="AC443">_xlfn.XLOOKUP(Matrix[[#This Row],[TEAM]]&amp;Matrix[[#Headers],[17]],FDR[FDR]&amp;FDR[[#Headers],[17]],FDR[17],"",0,1)</f>
        <v>3</v>
      </c>
      <c r="AD443" cm="1">
        <f t="array" ref="AD443">_xlfn.XLOOKUP(Matrix[[#This Row],[TEAM]]&amp;Matrix[[#Headers],[18]],FDR[FDR]&amp;FDR[[#Headers],[18]],FDR[18],"",0,1)</f>
        <v>2</v>
      </c>
      <c r="AE443" cm="1">
        <f t="array" ref="AE443">_xlfn.XLOOKUP(Matrix[[#This Row],[TEAM]]&amp;Matrix[[#Headers],[19]],FDR[FDR]&amp;FDR[[#Headers],[19]],FDR[19],"",0,1)</f>
        <v>2</v>
      </c>
      <c r="AF443" cm="1">
        <f t="array" ref="AF443">_xlfn.XLOOKUP(Matrix[[#This Row],[TEAM]]&amp;Matrix[[#Headers],[20]],FDR[FDR]&amp;FDR[[#Headers],[20]],FDR[20],"",0,1)</f>
        <v>1</v>
      </c>
      <c r="AG443" cm="1">
        <f t="array" ref="AG443">_xlfn.XLOOKUP(Matrix[[#This Row],[TEAM]]&amp;Matrix[[#Headers],[21]],FDR[FDR]&amp;FDR[[#Headers],[21]],FDR[21],"",0,1)</f>
        <v>2</v>
      </c>
      <c r="AH443" cm="1">
        <f t="array" ref="AH443">_xlfn.XLOOKUP(Matrix[[#This Row],[TEAM]]&amp;Matrix[[#Headers],[22]],FDR[FDR]&amp;FDR[[#Headers],[22]],FDR[22],"",0,1)</f>
        <v>1</v>
      </c>
      <c r="AI443" cm="1">
        <f t="array" ref="AI443">_xlfn.XLOOKUP(Matrix[[#This Row],[TEAM]]&amp;Matrix[[#Headers],[23]],FDR[FDR]&amp;FDR[[#Headers],[23]],FDR[23],"",0,1)</f>
        <v>1</v>
      </c>
      <c r="AJ443" cm="1">
        <f t="array" ref="AJ443">_xlfn.XLOOKUP(Matrix[[#This Row],[TEAM]]&amp;Matrix[[#Headers],[24]],FDR[FDR]&amp;FDR[[#Headers],[24]],FDR[24],"",0,1)</f>
        <v>3</v>
      </c>
      <c r="AK443" cm="1">
        <f t="array" ref="AK443">_xlfn.XLOOKUP(Matrix[[#This Row],[TEAM]]&amp;Matrix[[#Headers],[25]],FDR[FDR]&amp;FDR[[#Headers],[25]],FDR[25],"",0,1)</f>
        <v>4</v>
      </c>
      <c r="AL443" cm="1">
        <f t="array" ref="AL443">_xlfn.XLOOKUP(Matrix[[#This Row],[TEAM]]&amp;Matrix[[#Headers],[26]],FDR[FDR]&amp;FDR[[#Headers],[26]],FDR[26],"",0,1)</f>
        <v>2</v>
      </c>
      <c r="AM443" cm="1">
        <f t="array" ref="AM443">_xlfn.XLOOKUP(Matrix[[#This Row],[TEAM]]&amp;Matrix[[#Headers],[27]],FDR[FDR]&amp;FDR[[#Headers],[27]],FDR[27],"",0,1)</f>
        <v>3</v>
      </c>
      <c r="AN443" cm="1">
        <f t="array" ref="AN443">_xlfn.XLOOKUP(Matrix[[#This Row],[TEAM]]&amp;Matrix[[#Headers],[28]],FDR[FDR]&amp;FDR[[#Headers],[28]],FDR[28],"",0,1)</f>
        <v>2</v>
      </c>
      <c r="AO443" cm="1">
        <f t="array" ref="AO443">_xlfn.XLOOKUP(Matrix[[#This Row],[TEAM]]&amp;Matrix[[#Headers],[29]],FDR[FDR]&amp;FDR[[#Headers],[29]],FDR[29],"",0,1)</f>
        <v>1</v>
      </c>
      <c r="AP443" cm="1">
        <f t="array" ref="AP443">_xlfn.XLOOKUP(Matrix[[#This Row],[TEAM]]&amp;Matrix[[#Headers],[30]],FDR[FDR]&amp;FDR[[#Headers],[30]],FDR[30],"",0,1)</f>
        <v>4</v>
      </c>
      <c r="AQ443" cm="1">
        <f t="array" ref="AQ443">_xlfn.XLOOKUP(Matrix[[#This Row],[TEAM]]&amp;Matrix[[#Headers],[31]],FDR[FDR]&amp;FDR[[#Headers],[31]],FDR[31],"",0,1)</f>
        <v>1</v>
      </c>
      <c r="AR443" cm="1">
        <f t="array" ref="AR443">_xlfn.XLOOKUP(Matrix[[#This Row],[TEAM]]&amp;Matrix[[#Headers],[32]],FDR[FDR]&amp;FDR[[#Headers],[32]],FDR[32],"",0,1)</f>
        <v>1</v>
      </c>
      <c r="AS443" cm="1">
        <f t="array" ref="AS443">_xlfn.XLOOKUP(Matrix[[#This Row],[TEAM]]&amp;Matrix[[#Headers],[33]],FDR[FDR]&amp;FDR[[#Headers],[33]],FDR[33],"",0,1)</f>
        <v>1</v>
      </c>
      <c r="AT443" cm="1">
        <f t="array" ref="AT443">_xlfn.XLOOKUP(Matrix[[#This Row],[TEAM]]&amp;Matrix[[#Headers],[34]],FDR[FDR]&amp;FDR[[#Headers],[34]],FDR[34],"",0,1)</f>
        <v>1</v>
      </c>
      <c r="AU443" cm="1">
        <f t="array" ref="AU443">_xlfn.XLOOKUP(Matrix[[#This Row],[TEAM]]&amp;Matrix[[#Headers],[35]],FDR[FDR]&amp;FDR[[#Headers],[35]],FDR[35],"",0,1)</f>
        <v>3</v>
      </c>
      <c r="AV443" cm="1">
        <f t="array" ref="AV443">_xlfn.XLOOKUP(Matrix[[#This Row],[TEAM]]&amp;Matrix[[#Headers],[36]],FDR[FDR]&amp;FDR[[#Headers],[36]],FDR[36],"",0,1)</f>
        <v>1</v>
      </c>
      <c r="AW443" cm="1">
        <f t="array" ref="AW443">_xlfn.XLOOKUP(Matrix[[#This Row],[TEAM]]&amp;Matrix[[#Headers],[37]],FDR[FDR]&amp;FDR[[#Headers],[37]],FDR[37],"",0,1)</f>
        <v>4</v>
      </c>
      <c r="AX443" cm="1">
        <f t="array" ref="AX443">_xlfn.XLOOKUP(Matrix[[#This Row],[TEAM]]&amp;Matrix[[#Headers],[38]],FDR[FDR]&amp;FDR[[#Headers],[38]],FDR[38],"",0,1)</f>
        <v>1</v>
      </c>
    </row>
    <row r="444" spans="1:50" ht="22" thickTop="1" thickBot="1">
      <c r="A444" s="52" t="s">
        <v>658</v>
      </c>
      <c r="B444" s="70" t="s">
        <v>1799</v>
      </c>
      <c r="C444" s="40" t="s">
        <v>24</v>
      </c>
      <c r="D444" s="62">
        <v>0</v>
      </c>
      <c r="E444" s="60">
        <v>1.4E-2</v>
      </c>
      <c r="F444" s="61">
        <v>0</v>
      </c>
      <c r="G444" s="63">
        <v>4</v>
      </c>
      <c r="H444" s="261">
        <f>IF(ISBLANK(I444),0,1)</f>
        <v>0</v>
      </c>
      <c r="I444" s="57"/>
      <c r="J444" s="58"/>
      <c r="K444" s="66" t="s">
        <v>492</v>
      </c>
      <c r="L444" s="66" t="s">
        <v>107</v>
      </c>
      <c r="M444" cm="1">
        <f t="array" ref="M444">_xlfn.XLOOKUP(Matrix[[#This Row],[TEAM]]&amp;Matrix[[#Headers],[1]],FDR[FDR]&amp;FDR[[#Headers],[1]],FDR[1],"",0,1)</f>
        <v>2</v>
      </c>
      <c r="N444" cm="1">
        <f t="array" ref="N444">_xlfn.XLOOKUP(Matrix[[#This Row],[TEAM]]&amp;Matrix[[#Headers],[2]],FDR[FDR]&amp;FDR[[#Headers],[2]],FDR[2],"",0,1)</f>
        <v>3</v>
      </c>
      <c r="O444" cm="1">
        <f t="array" ref="O444">_xlfn.XLOOKUP(Matrix[[#This Row],[TEAM]]&amp;Matrix[[#Headers],[3]],FDR[FDR]&amp;FDR[[#Headers],[3]],FDR[3],"",0,1)</f>
        <v>2</v>
      </c>
      <c r="P444" cm="1">
        <f t="array" ref="P444">_xlfn.XLOOKUP(Matrix[[#This Row],[TEAM]]&amp;Matrix[[#Headers],[4]],FDR[FDR]&amp;FDR[[#Headers],[4]],FDR[4],"",0,1)</f>
        <v>4</v>
      </c>
      <c r="Q444" cm="1">
        <f t="array" ref="Q444">_xlfn.XLOOKUP(Matrix[[#This Row],[TEAM]]&amp;Matrix[[#Headers],[5]],FDR[FDR]&amp;FDR[[#Headers],[5]],FDR[5],"",0,1)</f>
        <v>5</v>
      </c>
      <c r="R444" cm="1">
        <f t="array" ref="R444">_xlfn.XLOOKUP(Matrix[[#This Row],[TEAM]]&amp;Matrix[[#Headers],[6]],FDR[FDR]&amp;FDR[[#Headers],[6]],FDR[6],"",0,1)</f>
        <v>3</v>
      </c>
      <c r="S444" cm="1">
        <f t="array" ref="S444">_xlfn.XLOOKUP(Matrix[[#This Row],[TEAM]]&amp;Matrix[[#Headers],[7]],FDR[FDR]&amp;FDR[[#Headers],[7]],FDR[7],"",0,1)</f>
        <v>3</v>
      </c>
      <c r="T444" cm="1">
        <f t="array" ref="T444">_xlfn.XLOOKUP(Matrix[[#This Row],[TEAM]]&amp;Matrix[[#Headers],[8]],FDR[FDR]&amp;FDR[[#Headers],[8]],FDR[8],"",0,1)</f>
        <v>5</v>
      </c>
      <c r="U444" cm="1">
        <f t="array" ref="U444">_xlfn.XLOOKUP(Matrix[[#This Row],[TEAM]]&amp;Matrix[[#Headers],[9]],FDR[FDR]&amp;FDR[[#Headers],[9]],FDR[9],"",0,1)</f>
        <v>4</v>
      </c>
      <c r="V444" cm="1">
        <f t="array" ref="V444">_xlfn.XLOOKUP(Matrix[[#This Row],[TEAM]]&amp;Matrix[[#Headers],[10]],FDR[FDR]&amp;FDR[[#Headers],[10]],FDR[10],"",0,1)</f>
        <v>2</v>
      </c>
      <c r="W444" cm="1">
        <f t="array" ref="W444">_xlfn.XLOOKUP(Matrix[[#This Row],[TEAM]]&amp;Matrix[[#Headers],[11]],FDR[FDR]&amp;FDR[[#Headers],[11]],FDR[11],"",0,1)</f>
        <v>3</v>
      </c>
      <c r="X444" cm="1">
        <f t="array" ref="X444">_xlfn.XLOOKUP(Matrix[[#This Row],[TEAM]]&amp;Matrix[[#Headers],[12]],FDR[FDR]&amp;FDR[[#Headers],[12]],FDR[12],"",0,1)</f>
        <v>5</v>
      </c>
      <c r="Y444" cm="1">
        <f t="array" ref="Y444">_xlfn.XLOOKUP(Matrix[[#This Row],[TEAM]]&amp;Matrix[[#Headers],[13]],FDR[FDR]&amp;FDR[[#Headers],[13]],FDR[13],"",0,1)</f>
        <v>4</v>
      </c>
      <c r="Z444" cm="1">
        <f t="array" ref="Z444">_xlfn.XLOOKUP(Matrix[[#This Row],[TEAM]]&amp;Matrix[[#Headers],[14]],FDR[FDR]&amp;FDR[[#Headers],[14]],FDR[14],"",0,1)</f>
        <v>4</v>
      </c>
      <c r="AA444" cm="1">
        <f t="array" ref="AA444">_xlfn.XLOOKUP(Matrix[[#This Row],[TEAM]]&amp;Matrix[[#Headers],[15]],FDR[FDR]&amp;FDR[[#Headers],[15]],FDR[15],"",0,1)</f>
        <v>3</v>
      </c>
      <c r="AB444" cm="1">
        <f t="array" ref="AB444">_xlfn.XLOOKUP(Matrix[[#This Row],[TEAM]]&amp;Matrix[[#Headers],[16]],FDR[FDR]&amp;FDR[[#Headers],[16]],FDR[16],"",0,1)</f>
        <v>5</v>
      </c>
      <c r="AC444" cm="1">
        <f t="array" ref="AC444">_xlfn.XLOOKUP(Matrix[[#This Row],[TEAM]]&amp;Matrix[[#Headers],[17]],FDR[FDR]&amp;FDR[[#Headers],[17]],FDR[17],"",0,1)</f>
        <v>4</v>
      </c>
      <c r="AD444" cm="1">
        <f t="array" ref="AD444">_xlfn.XLOOKUP(Matrix[[#This Row],[TEAM]]&amp;Matrix[[#Headers],[18]],FDR[FDR]&amp;FDR[[#Headers],[18]],FDR[18],"",0,1)</f>
        <v>2</v>
      </c>
      <c r="AE444" cm="1">
        <f t="array" ref="AE444">_xlfn.XLOOKUP(Matrix[[#This Row],[TEAM]]&amp;Matrix[[#Headers],[19]],FDR[FDR]&amp;FDR[[#Headers],[19]],FDR[19],"",0,1)</f>
        <v>4</v>
      </c>
      <c r="AF444" cm="1">
        <f t="array" ref="AF444">_xlfn.XLOOKUP(Matrix[[#This Row],[TEAM]]&amp;Matrix[[#Headers],[20]],FDR[FDR]&amp;FDR[[#Headers],[20]],FDR[20],"",0,1)</f>
        <v>3</v>
      </c>
      <c r="AG444" cm="1">
        <f t="array" ref="AG444">_xlfn.XLOOKUP(Matrix[[#This Row],[TEAM]]&amp;Matrix[[#Headers],[21]],FDR[FDR]&amp;FDR[[#Headers],[21]],FDR[21],"",0,1)</f>
        <v>2</v>
      </c>
      <c r="AH444" cm="1">
        <f t="array" ref="AH444">_xlfn.XLOOKUP(Matrix[[#This Row],[TEAM]]&amp;Matrix[[#Headers],[22]],FDR[FDR]&amp;FDR[[#Headers],[22]],FDR[22],"",0,1)</f>
        <v>5</v>
      </c>
      <c r="AI444" cm="1">
        <f t="array" ref="AI444">_xlfn.XLOOKUP(Matrix[[#This Row],[TEAM]]&amp;Matrix[[#Headers],[23]],FDR[FDR]&amp;FDR[[#Headers],[23]],FDR[23],"",0,1)</f>
        <v>1</v>
      </c>
      <c r="AJ444" cm="1">
        <f t="array" ref="AJ444">_xlfn.XLOOKUP(Matrix[[#This Row],[TEAM]]&amp;Matrix[[#Headers],[24]],FDR[FDR]&amp;FDR[[#Headers],[24]],FDR[24],"",0,1)</f>
        <v>4</v>
      </c>
      <c r="AK444" cm="1">
        <f t="array" ref="AK444">_xlfn.XLOOKUP(Matrix[[#This Row],[TEAM]]&amp;Matrix[[#Headers],[25]],FDR[FDR]&amp;FDR[[#Headers],[25]],FDR[25],"",0,1)</f>
        <v>4</v>
      </c>
      <c r="AL444" cm="1">
        <f t="array" ref="AL444">_xlfn.XLOOKUP(Matrix[[#This Row],[TEAM]]&amp;Matrix[[#Headers],[26]],FDR[FDR]&amp;FDR[[#Headers],[26]],FDR[26],"",0,1)</f>
        <v>3</v>
      </c>
      <c r="AM444" cm="1">
        <f t="array" ref="AM444">_xlfn.XLOOKUP(Matrix[[#This Row],[TEAM]]&amp;Matrix[[#Headers],[27]],FDR[FDR]&amp;FDR[[#Headers],[27]],FDR[27],"",0,1)</f>
        <v>4</v>
      </c>
      <c r="AN444" cm="1">
        <f t="array" ref="AN444">_xlfn.XLOOKUP(Matrix[[#This Row],[TEAM]]&amp;Matrix[[#Headers],[28]],FDR[FDR]&amp;FDR[[#Headers],[28]],FDR[28],"",0,1)</f>
        <v>5</v>
      </c>
      <c r="AO444" cm="1">
        <f t="array" ref="AO444">_xlfn.XLOOKUP(Matrix[[#This Row],[TEAM]]&amp;Matrix[[#Headers],[29]],FDR[FDR]&amp;FDR[[#Headers],[29]],FDR[29],"",0,1)</f>
        <v>1</v>
      </c>
      <c r="AP444" cm="1">
        <f t="array" ref="AP444">_xlfn.XLOOKUP(Matrix[[#This Row],[TEAM]]&amp;Matrix[[#Headers],[30]],FDR[FDR]&amp;FDR[[#Headers],[30]],FDR[30],"",0,1)</f>
        <v>5</v>
      </c>
      <c r="AQ444" cm="1">
        <f t="array" ref="AQ444">_xlfn.XLOOKUP(Matrix[[#This Row],[TEAM]]&amp;Matrix[[#Headers],[31]],FDR[FDR]&amp;FDR[[#Headers],[31]],FDR[31],"",0,1)</f>
        <v>4</v>
      </c>
      <c r="AR444" cm="1">
        <f t="array" ref="AR444">_xlfn.XLOOKUP(Matrix[[#This Row],[TEAM]]&amp;Matrix[[#Headers],[32]],FDR[FDR]&amp;FDR[[#Headers],[32]],FDR[32],"",0,1)</f>
        <v>4</v>
      </c>
      <c r="AS444" cm="1">
        <f t="array" ref="AS444">_xlfn.XLOOKUP(Matrix[[#This Row],[TEAM]]&amp;Matrix[[#Headers],[33]],FDR[FDR]&amp;FDR[[#Headers],[33]],FDR[33],"",0,1)</f>
        <v>4</v>
      </c>
      <c r="AT444" cm="1">
        <f t="array" ref="AT444">_xlfn.XLOOKUP(Matrix[[#This Row],[TEAM]]&amp;Matrix[[#Headers],[34]],FDR[FDR]&amp;FDR[[#Headers],[34]],FDR[34],"",0,1)</f>
        <v>4</v>
      </c>
      <c r="AU444" cm="1">
        <f t="array" ref="AU444">_xlfn.XLOOKUP(Matrix[[#This Row],[TEAM]]&amp;Matrix[[#Headers],[35]],FDR[FDR]&amp;FDR[[#Headers],[35]],FDR[35],"",0,1)</f>
        <v>4</v>
      </c>
      <c r="AV444" cm="1">
        <f t="array" ref="AV444">_xlfn.XLOOKUP(Matrix[[#This Row],[TEAM]]&amp;Matrix[[#Headers],[36]],FDR[FDR]&amp;FDR[[#Headers],[36]],FDR[36],"",0,1)</f>
        <v>4</v>
      </c>
      <c r="AW444" cm="1">
        <f t="array" ref="AW444">_xlfn.XLOOKUP(Matrix[[#This Row],[TEAM]]&amp;Matrix[[#Headers],[37]],FDR[FDR]&amp;FDR[[#Headers],[37]],FDR[37],"",0,1)</f>
        <v>1</v>
      </c>
      <c r="AX444" cm="1">
        <f t="array" ref="AX444">_xlfn.XLOOKUP(Matrix[[#This Row],[TEAM]]&amp;Matrix[[#Headers],[38]],FDR[FDR]&amp;FDR[[#Headers],[38]],FDR[38],"",0,1)</f>
        <v>5</v>
      </c>
    </row>
    <row r="445" spans="1:50" ht="22" thickTop="1" thickBot="1">
      <c r="A445" s="52" t="s">
        <v>658</v>
      </c>
      <c r="B445" s="70" t="s">
        <v>1811</v>
      </c>
      <c r="C445" s="40" t="s">
        <v>43</v>
      </c>
      <c r="D445" s="62">
        <v>0</v>
      </c>
      <c r="E445" s="60">
        <v>8.0000000000000002E-3</v>
      </c>
      <c r="F445" s="61">
        <v>0</v>
      </c>
      <c r="G445" s="63">
        <v>4</v>
      </c>
      <c r="H445" s="261">
        <f>IF(ISBLANK(I445),0,1)</f>
        <v>0</v>
      </c>
      <c r="I445" s="57"/>
      <c r="J445" s="58"/>
      <c r="K445" s="66" t="s">
        <v>514</v>
      </c>
      <c r="L445" s="66" t="s">
        <v>288</v>
      </c>
      <c r="M445" cm="1">
        <f t="array" ref="M445">_xlfn.XLOOKUP(Matrix[[#This Row],[TEAM]]&amp;Matrix[[#Headers],[1]],FDR[FDR]&amp;FDR[[#Headers],[1]],FDR[1],"",0,1)</f>
        <v>5</v>
      </c>
      <c r="N445" cm="1">
        <f t="array" ref="N445">_xlfn.XLOOKUP(Matrix[[#This Row],[TEAM]]&amp;Matrix[[#Headers],[2]],FDR[FDR]&amp;FDR[[#Headers],[2]],FDR[2],"",0,1)</f>
        <v>1</v>
      </c>
      <c r="O445" cm="1">
        <f t="array" ref="O445">_xlfn.XLOOKUP(Matrix[[#This Row],[TEAM]]&amp;Matrix[[#Headers],[3]],FDR[FDR]&amp;FDR[[#Headers],[3]],FDR[3],"",0,1)</f>
        <v>5</v>
      </c>
      <c r="P445" cm="1">
        <f t="array" ref="P445">_xlfn.XLOOKUP(Matrix[[#This Row],[TEAM]]&amp;Matrix[[#Headers],[4]],FDR[FDR]&amp;FDR[[#Headers],[4]],FDR[4],"",0,1)</f>
        <v>3</v>
      </c>
      <c r="Q445" cm="1">
        <f t="array" ref="Q445">_xlfn.XLOOKUP(Matrix[[#This Row],[TEAM]]&amp;Matrix[[#Headers],[5]],FDR[FDR]&amp;FDR[[#Headers],[5]],FDR[5],"",0,1)</f>
        <v>4</v>
      </c>
      <c r="R445" cm="1">
        <f t="array" ref="R445">_xlfn.XLOOKUP(Matrix[[#This Row],[TEAM]]&amp;Matrix[[#Headers],[6]],FDR[FDR]&amp;FDR[[#Headers],[6]],FDR[6],"",0,1)</f>
        <v>2</v>
      </c>
      <c r="S445" cm="1">
        <f t="array" ref="S445">_xlfn.XLOOKUP(Matrix[[#This Row],[TEAM]]&amp;Matrix[[#Headers],[7]],FDR[FDR]&amp;FDR[[#Headers],[7]],FDR[7],"",0,1)</f>
        <v>3</v>
      </c>
      <c r="T445" cm="1">
        <f t="array" ref="T445">_xlfn.XLOOKUP(Matrix[[#This Row],[TEAM]]&amp;Matrix[[#Headers],[8]],FDR[FDR]&amp;FDR[[#Headers],[8]],FDR[8],"",0,1)</f>
        <v>3</v>
      </c>
      <c r="U445" cm="1">
        <f t="array" ref="U445">_xlfn.XLOOKUP(Matrix[[#This Row],[TEAM]]&amp;Matrix[[#Headers],[9]],FDR[FDR]&amp;FDR[[#Headers],[9]],FDR[9],"",0,1)</f>
        <v>3</v>
      </c>
      <c r="V445" cm="1">
        <f t="array" ref="V445">_xlfn.XLOOKUP(Matrix[[#This Row],[TEAM]]&amp;Matrix[[#Headers],[10]],FDR[FDR]&amp;FDR[[#Headers],[10]],FDR[10],"",0,1)</f>
        <v>5</v>
      </c>
      <c r="W445" cm="1">
        <f t="array" ref="W445">_xlfn.XLOOKUP(Matrix[[#This Row],[TEAM]]&amp;Matrix[[#Headers],[11]],FDR[FDR]&amp;FDR[[#Headers],[11]],FDR[11],"",0,1)</f>
        <v>5</v>
      </c>
      <c r="X445" cm="1">
        <f t="array" ref="X445">_xlfn.XLOOKUP(Matrix[[#This Row],[TEAM]]&amp;Matrix[[#Headers],[12]],FDR[FDR]&amp;FDR[[#Headers],[12]],FDR[12],"",0,1)</f>
        <v>2</v>
      </c>
      <c r="Y445" cm="1">
        <f t="array" ref="Y445">_xlfn.XLOOKUP(Matrix[[#This Row],[TEAM]]&amp;Matrix[[#Headers],[13]],FDR[FDR]&amp;FDR[[#Headers],[13]],FDR[13],"",0,1)</f>
        <v>2</v>
      </c>
      <c r="Z445" cm="1">
        <f t="array" ref="Z445">_xlfn.XLOOKUP(Matrix[[#This Row],[TEAM]]&amp;Matrix[[#Headers],[14]],FDR[FDR]&amp;FDR[[#Headers],[14]],FDR[14],"",0,1)</f>
        <v>2</v>
      </c>
      <c r="AA445" cm="1">
        <f t="array" ref="AA445">_xlfn.XLOOKUP(Matrix[[#This Row],[TEAM]]&amp;Matrix[[#Headers],[15]],FDR[FDR]&amp;FDR[[#Headers],[15]],FDR[15],"",0,1)</f>
        <v>4</v>
      </c>
      <c r="AB445" cm="1">
        <f t="array" ref="AB445">_xlfn.XLOOKUP(Matrix[[#This Row],[TEAM]]&amp;Matrix[[#Headers],[16]],FDR[FDR]&amp;FDR[[#Headers],[16]],FDR[16],"",0,1)</f>
        <v>5</v>
      </c>
      <c r="AC445" cm="1">
        <f t="array" ref="AC445">_xlfn.XLOOKUP(Matrix[[#This Row],[TEAM]]&amp;Matrix[[#Headers],[17]],FDR[FDR]&amp;FDR[[#Headers],[17]],FDR[17],"",0,1)</f>
        <v>1</v>
      </c>
      <c r="AD445" cm="1">
        <f t="array" ref="AD445">_xlfn.XLOOKUP(Matrix[[#This Row],[TEAM]]&amp;Matrix[[#Headers],[18]],FDR[FDR]&amp;FDR[[#Headers],[18]],FDR[18],"",0,1)</f>
        <v>3</v>
      </c>
      <c r="AE445" cm="1">
        <f t="array" ref="AE445">_xlfn.XLOOKUP(Matrix[[#This Row],[TEAM]]&amp;Matrix[[#Headers],[19]],FDR[FDR]&amp;FDR[[#Headers],[19]],FDR[19],"",0,1)</f>
        <v>5</v>
      </c>
      <c r="AF445" cm="1">
        <f t="array" ref="AF445">_xlfn.XLOOKUP(Matrix[[#This Row],[TEAM]]&amp;Matrix[[#Headers],[20]],FDR[FDR]&amp;FDR[[#Headers],[20]],FDR[20],"",0,1)</f>
        <v>4</v>
      </c>
      <c r="AG445" cm="1">
        <f t="array" ref="AG445">_xlfn.XLOOKUP(Matrix[[#This Row],[TEAM]]&amp;Matrix[[#Headers],[21]],FDR[FDR]&amp;FDR[[#Headers],[21]],FDR[21],"",0,1)</f>
        <v>4</v>
      </c>
      <c r="AH445" cm="1">
        <f t="array" ref="AH445">_xlfn.XLOOKUP(Matrix[[#This Row],[TEAM]]&amp;Matrix[[#Headers],[22]],FDR[FDR]&amp;FDR[[#Headers],[22]],FDR[22],"",0,1)</f>
        <v>4</v>
      </c>
      <c r="AI445" cm="1">
        <f t="array" ref="AI445">_xlfn.XLOOKUP(Matrix[[#This Row],[TEAM]]&amp;Matrix[[#Headers],[23]],FDR[FDR]&amp;FDR[[#Headers],[23]],FDR[23],"",0,1)</f>
        <v>4</v>
      </c>
      <c r="AJ445" cm="1">
        <f t="array" ref="AJ445">_xlfn.XLOOKUP(Matrix[[#This Row],[TEAM]]&amp;Matrix[[#Headers],[24]],FDR[FDR]&amp;FDR[[#Headers],[24]],FDR[24],"",0,1)</f>
        <v>2</v>
      </c>
      <c r="AK445" cm="1">
        <f t="array" ref="AK445">_xlfn.XLOOKUP(Matrix[[#This Row],[TEAM]]&amp;Matrix[[#Headers],[25]],FDR[FDR]&amp;FDR[[#Headers],[25]],FDR[25],"",0,1)</f>
        <v>3</v>
      </c>
      <c r="AL445" cm="1">
        <f t="array" ref="AL445">_xlfn.XLOOKUP(Matrix[[#This Row],[TEAM]]&amp;Matrix[[#Headers],[26]],FDR[FDR]&amp;FDR[[#Headers],[26]],FDR[26],"",0,1)</f>
        <v>3</v>
      </c>
      <c r="AM445" cm="1">
        <f t="array" ref="AM445">_xlfn.XLOOKUP(Matrix[[#This Row],[TEAM]]&amp;Matrix[[#Headers],[27]],FDR[FDR]&amp;FDR[[#Headers],[27]],FDR[27],"",0,1)</f>
        <v>3</v>
      </c>
      <c r="AN445" cm="1">
        <f t="array" ref="AN445">_xlfn.XLOOKUP(Matrix[[#This Row],[TEAM]]&amp;Matrix[[#Headers],[28]],FDR[FDR]&amp;FDR[[#Headers],[28]],FDR[28],"",0,1)</f>
        <v>1</v>
      </c>
      <c r="AO445" cm="1">
        <f t="array" ref="AO445">_xlfn.XLOOKUP(Matrix[[#This Row],[TEAM]]&amp;Matrix[[#Headers],[29]],FDR[FDR]&amp;FDR[[#Headers],[29]],FDR[29],"",0,1)</f>
        <v>2</v>
      </c>
      <c r="AP445" cm="1">
        <f t="array" ref="AP445">_xlfn.XLOOKUP(Matrix[[#This Row],[TEAM]]&amp;Matrix[[#Headers],[30]],FDR[FDR]&amp;FDR[[#Headers],[30]],FDR[30],"",0,1)</f>
        <v>2</v>
      </c>
      <c r="AQ445" cm="1">
        <f t="array" ref="AQ445">_xlfn.XLOOKUP(Matrix[[#This Row],[TEAM]]&amp;Matrix[[#Headers],[31]],FDR[FDR]&amp;FDR[[#Headers],[31]],FDR[31],"",0,1)</f>
        <v>4</v>
      </c>
      <c r="AR445" cm="1">
        <f t="array" ref="AR445">_xlfn.XLOOKUP(Matrix[[#This Row],[TEAM]]&amp;Matrix[[#Headers],[32]],FDR[FDR]&amp;FDR[[#Headers],[32]],FDR[32],"",0,1)</f>
        <v>5</v>
      </c>
      <c r="AS445" cm="1">
        <f t="array" ref="AS445">_xlfn.XLOOKUP(Matrix[[#This Row],[TEAM]]&amp;Matrix[[#Headers],[33]],FDR[FDR]&amp;FDR[[#Headers],[33]],FDR[33],"",0,1)</f>
        <v>5</v>
      </c>
      <c r="AT445" cm="1">
        <f t="array" ref="AT445">_xlfn.XLOOKUP(Matrix[[#This Row],[TEAM]]&amp;Matrix[[#Headers],[34]],FDR[FDR]&amp;FDR[[#Headers],[34]],FDR[34],"",0,1)</f>
        <v>1</v>
      </c>
      <c r="AU445" cm="1">
        <f t="array" ref="AU445">_xlfn.XLOOKUP(Matrix[[#This Row],[TEAM]]&amp;Matrix[[#Headers],[35]],FDR[FDR]&amp;FDR[[#Headers],[35]],FDR[35],"",0,1)</f>
        <v>2</v>
      </c>
      <c r="AV445" cm="1">
        <f t="array" ref="AV445">_xlfn.XLOOKUP(Matrix[[#This Row],[TEAM]]&amp;Matrix[[#Headers],[36]],FDR[FDR]&amp;FDR[[#Headers],[36]],FDR[36],"",0,1)</f>
        <v>4</v>
      </c>
      <c r="AW445" cm="1">
        <f t="array" ref="AW445">_xlfn.XLOOKUP(Matrix[[#This Row],[TEAM]]&amp;Matrix[[#Headers],[37]],FDR[FDR]&amp;FDR[[#Headers],[37]],FDR[37],"",0,1)</f>
        <v>4</v>
      </c>
      <c r="AX445" cm="1">
        <f t="array" ref="AX445">_xlfn.XLOOKUP(Matrix[[#This Row],[TEAM]]&amp;Matrix[[#Headers],[38]],FDR[FDR]&amp;FDR[[#Headers],[38]],FDR[38],"",0,1)</f>
        <v>4</v>
      </c>
    </row>
    <row r="446" spans="1:50" ht="22" thickTop="1" thickBot="1">
      <c r="A446" s="52" t="s">
        <v>658</v>
      </c>
      <c r="B446" s="70" t="s">
        <v>1848</v>
      </c>
      <c r="C446" s="40" t="s">
        <v>43</v>
      </c>
      <c r="D446" s="62">
        <v>0</v>
      </c>
      <c r="E446" s="60">
        <v>2E-3</v>
      </c>
      <c r="F446" s="61">
        <v>0</v>
      </c>
      <c r="G446" s="63">
        <v>4</v>
      </c>
      <c r="H446" s="261">
        <f>IF(ISBLANK(I446),0,1)</f>
        <v>0</v>
      </c>
      <c r="I446" s="57"/>
      <c r="J446" s="58"/>
      <c r="K446" s="66" t="s">
        <v>1005</v>
      </c>
      <c r="L446" s="66" t="s">
        <v>1006</v>
      </c>
      <c r="M446" cm="1">
        <f t="array" ref="M446">_xlfn.XLOOKUP(Matrix[[#This Row],[TEAM]]&amp;Matrix[[#Headers],[1]],FDR[FDR]&amp;FDR[[#Headers],[1]],FDR[1],"",0,1)</f>
        <v>5</v>
      </c>
      <c r="N446" cm="1">
        <f t="array" ref="N446">_xlfn.XLOOKUP(Matrix[[#This Row],[TEAM]]&amp;Matrix[[#Headers],[2]],FDR[FDR]&amp;FDR[[#Headers],[2]],FDR[2],"",0,1)</f>
        <v>1</v>
      </c>
      <c r="O446" cm="1">
        <f t="array" ref="O446">_xlfn.XLOOKUP(Matrix[[#This Row],[TEAM]]&amp;Matrix[[#Headers],[3]],FDR[FDR]&amp;FDR[[#Headers],[3]],FDR[3],"",0,1)</f>
        <v>5</v>
      </c>
      <c r="P446" cm="1">
        <f t="array" ref="P446">_xlfn.XLOOKUP(Matrix[[#This Row],[TEAM]]&amp;Matrix[[#Headers],[4]],FDR[FDR]&amp;FDR[[#Headers],[4]],FDR[4],"",0,1)</f>
        <v>3</v>
      </c>
      <c r="Q446" cm="1">
        <f t="array" ref="Q446">_xlfn.XLOOKUP(Matrix[[#This Row],[TEAM]]&amp;Matrix[[#Headers],[5]],FDR[FDR]&amp;FDR[[#Headers],[5]],FDR[5],"",0,1)</f>
        <v>4</v>
      </c>
      <c r="R446" cm="1">
        <f t="array" ref="R446">_xlfn.XLOOKUP(Matrix[[#This Row],[TEAM]]&amp;Matrix[[#Headers],[6]],FDR[FDR]&amp;FDR[[#Headers],[6]],FDR[6],"",0,1)</f>
        <v>2</v>
      </c>
      <c r="S446" cm="1">
        <f t="array" ref="S446">_xlfn.XLOOKUP(Matrix[[#This Row],[TEAM]]&amp;Matrix[[#Headers],[7]],FDR[FDR]&amp;FDR[[#Headers],[7]],FDR[7],"",0,1)</f>
        <v>3</v>
      </c>
      <c r="T446" cm="1">
        <f t="array" ref="T446">_xlfn.XLOOKUP(Matrix[[#This Row],[TEAM]]&amp;Matrix[[#Headers],[8]],FDR[FDR]&amp;FDR[[#Headers],[8]],FDR[8],"",0,1)</f>
        <v>3</v>
      </c>
      <c r="U446" cm="1">
        <f t="array" ref="U446">_xlfn.XLOOKUP(Matrix[[#This Row],[TEAM]]&amp;Matrix[[#Headers],[9]],FDR[FDR]&amp;FDR[[#Headers],[9]],FDR[9],"",0,1)</f>
        <v>3</v>
      </c>
      <c r="V446" cm="1">
        <f t="array" ref="V446">_xlfn.XLOOKUP(Matrix[[#This Row],[TEAM]]&amp;Matrix[[#Headers],[10]],FDR[FDR]&amp;FDR[[#Headers],[10]],FDR[10],"",0,1)</f>
        <v>5</v>
      </c>
      <c r="W446" cm="1">
        <f t="array" ref="W446">_xlfn.XLOOKUP(Matrix[[#This Row],[TEAM]]&amp;Matrix[[#Headers],[11]],FDR[FDR]&amp;FDR[[#Headers],[11]],FDR[11],"",0,1)</f>
        <v>5</v>
      </c>
      <c r="X446" cm="1">
        <f t="array" ref="X446">_xlfn.XLOOKUP(Matrix[[#This Row],[TEAM]]&amp;Matrix[[#Headers],[12]],FDR[FDR]&amp;FDR[[#Headers],[12]],FDR[12],"",0,1)</f>
        <v>2</v>
      </c>
      <c r="Y446" cm="1">
        <f t="array" ref="Y446">_xlfn.XLOOKUP(Matrix[[#This Row],[TEAM]]&amp;Matrix[[#Headers],[13]],FDR[FDR]&amp;FDR[[#Headers],[13]],FDR[13],"",0,1)</f>
        <v>2</v>
      </c>
      <c r="Z446" cm="1">
        <f t="array" ref="Z446">_xlfn.XLOOKUP(Matrix[[#This Row],[TEAM]]&amp;Matrix[[#Headers],[14]],FDR[FDR]&amp;FDR[[#Headers],[14]],FDR[14],"",0,1)</f>
        <v>2</v>
      </c>
      <c r="AA446" cm="1">
        <f t="array" ref="AA446">_xlfn.XLOOKUP(Matrix[[#This Row],[TEAM]]&amp;Matrix[[#Headers],[15]],FDR[FDR]&amp;FDR[[#Headers],[15]],FDR[15],"",0,1)</f>
        <v>4</v>
      </c>
      <c r="AB446" cm="1">
        <f t="array" ref="AB446">_xlfn.XLOOKUP(Matrix[[#This Row],[TEAM]]&amp;Matrix[[#Headers],[16]],FDR[FDR]&amp;FDR[[#Headers],[16]],FDR[16],"",0,1)</f>
        <v>5</v>
      </c>
      <c r="AC446" cm="1">
        <f t="array" ref="AC446">_xlfn.XLOOKUP(Matrix[[#This Row],[TEAM]]&amp;Matrix[[#Headers],[17]],FDR[FDR]&amp;FDR[[#Headers],[17]],FDR[17],"",0,1)</f>
        <v>1</v>
      </c>
      <c r="AD446" cm="1">
        <f t="array" ref="AD446">_xlfn.XLOOKUP(Matrix[[#This Row],[TEAM]]&amp;Matrix[[#Headers],[18]],FDR[FDR]&amp;FDR[[#Headers],[18]],FDR[18],"",0,1)</f>
        <v>3</v>
      </c>
      <c r="AE446" cm="1">
        <f t="array" ref="AE446">_xlfn.XLOOKUP(Matrix[[#This Row],[TEAM]]&amp;Matrix[[#Headers],[19]],FDR[FDR]&amp;FDR[[#Headers],[19]],FDR[19],"",0,1)</f>
        <v>5</v>
      </c>
      <c r="AF446" cm="1">
        <f t="array" ref="AF446">_xlfn.XLOOKUP(Matrix[[#This Row],[TEAM]]&amp;Matrix[[#Headers],[20]],FDR[FDR]&amp;FDR[[#Headers],[20]],FDR[20],"",0,1)</f>
        <v>4</v>
      </c>
      <c r="AG446" cm="1">
        <f t="array" ref="AG446">_xlfn.XLOOKUP(Matrix[[#This Row],[TEAM]]&amp;Matrix[[#Headers],[21]],FDR[FDR]&amp;FDR[[#Headers],[21]],FDR[21],"",0,1)</f>
        <v>4</v>
      </c>
      <c r="AH446" cm="1">
        <f t="array" ref="AH446">_xlfn.XLOOKUP(Matrix[[#This Row],[TEAM]]&amp;Matrix[[#Headers],[22]],FDR[FDR]&amp;FDR[[#Headers],[22]],FDR[22],"",0,1)</f>
        <v>4</v>
      </c>
      <c r="AI446" cm="1">
        <f t="array" ref="AI446">_xlfn.XLOOKUP(Matrix[[#This Row],[TEAM]]&amp;Matrix[[#Headers],[23]],FDR[FDR]&amp;FDR[[#Headers],[23]],FDR[23],"",0,1)</f>
        <v>4</v>
      </c>
      <c r="AJ446" cm="1">
        <f t="array" ref="AJ446">_xlfn.XLOOKUP(Matrix[[#This Row],[TEAM]]&amp;Matrix[[#Headers],[24]],FDR[FDR]&amp;FDR[[#Headers],[24]],FDR[24],"",0,1)</f>
        <v>2</v>
      </c>
      <c r="AK446" cm="1">
        <f t="array" ref="AK446">_xlfn.XLOOKUP(Matrix[[#This Row],[TEAM]]&amp;Matrix[[#Headers],[25]],FDR[FDR]&amp;FDR[[#Headers],[25]],FDR[25],"",0,1)</f>
        <v>3</v>
      </c>
      <c r="AL446" cm="1">
        <f t="array" ref="AL446">_xlfn.XLOOKUP(Matrix[[#This Row],[TEAM]]&amp;Matrix[[#Headers],[26]],FDR[FDR]&amp;FDR[[#Headers],[26]],FDR[26],"",0,1)</f>
        <v>3</v>
      </c>
      <c r="AM446" cm="1">
        <f t="array" ref="AM446">_xlfn.XLOOKUP(Matrix[[#This Row],[TEAM]]&amp;Matrix[[#Headers],[27]],FDR[FDR]&amp;FDR[[#Headers],[27]],FDR[27],"",0,1)</f>
        <v>3</v>
      </c>
      <c r="AN446" cm="1">
        <f t="array" ref="AN446">_xlfn.XLOOKUP(Matrix[[#This Row],[TEAM]]&amp;Matrix[[#Headers],[28]],FDR[FDR]&amp;FDR[[#Headers],[28]],FDR[28],"",0,1)</f>
        <v>1</v>
      </c>
      <c r="AO446" cm="1">
        <f t="array" ref="AO446">_xlfn.XLOOKUP(Matrix[[#This Row],[TEAM]]&amp;Matrix[[#Headers],[29]],FDR[FDR]&amp;FDR[[#Headers],[29]],FDR[29],"",0,1)</f>
        <v>2</v>
      </c>
      <c r="AP446" cm="1">
        <f t="array" ref="AP446">_xlfn.XLOOKUP(Matrix[[#This Row],[TEAM]]&amp;Matrix[[#Headers],[30]],FDR[FDR]&amp;FDR[[#Headers],[30]],FDR[30],"",0,1)</f>
        <v>2</v>
      </c>
      <c r="AQ446" cm="1">
        <f t="array" ref="AQ446">_xlfn.XLOOKUP(Matrix[[#This Row],[TEAM]]&amp;Matrix[[#Headers],[31]],FDR[FDR]&amp;FDR[[#Headers],[31]],FDR[31],"",0,1)</f>
        <v>4</v>
      </c>
      <c r="AR446" cm="1">
        <f t="array" ref="AR446">_xlfn.XLOOKUP(Matrix[[#This Row],[TEAM]]&amp;Matrix[[#Headers],[32]],FDR[FDR]&amp;FDR[[#Headers],[32]],FDR[32],"",0,1)</f>
        <v>5</v>
      </c>
      <c r="AS446" cm="1">
        <f t="array" ref="AS446">_xlfn.XLOOKUP(Matrix[[#This Row],[TEAM]]&amp;Matrix[[#Headers],[33]],FDR[FDR]&amp;FDR[[#Headers],[33]],FDR[33],"",0,1)</f>
        <v>5</v>
      </c>
      <c r="AT446" cm="1">
        <f t="array" ref="AT446">_xlfn.XLOOKUP(Matrix[[#This Row],[TEAM]]&amp;Matrix[[#Headers],[34]],FDR[FDR]&amp;FDR[[#Headers],[34]],FDR[34],"",0,1)</f>
        <v>1</v>
      </c>
      <c r="AU446" cm="1">
        <f t="array" ref="AU446">_xlfn.XLOOKUP(Matrix[[#This Row],[TEAM]]&amp;Matrix[[#Headers],[35]],FDR[FDR]&amp;FDR[[#Headers],[35]],FDR[35],"",0,1)</f>
        <v>2</v>
      </c>
      <c r="AV446" cm="1">
        <f t="array" ref="AV446">_xlfn.XLOOKUP(Matrix[[#This Row],[TEAM]]&amp;Matrix[[#Headers],[36]],FDR[FDR]&amp;FDR[[#Headers],[36]],FDR[36],"",0,1)</f>
        <v>4</v>
      </c>
      <c r="AW446" cm="1">
        <f t="array" ref="AW446">_xlfn.XLOOKUP(Matrix[[#This Row],[TEAM]]&amp;Matrix[[#Headers],[37]],FDR[FDR]&amp;FDR[[#Headers],[37]],FDR[37],"",0,1)</f>
        <v>4</v>
      </c>
      <c r="AX446" cm="1">
        <f t="array" ref="AX446">_xlfn.XLOOKUP(Matrix[[#This Row],[TEAM]]&amp;Matrix[[#Headers],[38]],FDR[FDR]&amp;FDR[[#Headers],[38]],FDR[38],"",0,1)</f>
        <v>4</v>
      </c>
    </row>
    <row r="447" spans="1:50" ht="22" thickTop="1" thickBot="1">
      <c r="A447" s="52" t="s">
        <v>658</v>
      </c>
      <c r="B447" s="70" t="s">
        <v>1877</v>
      </c>
      <c r="C447" s="40" t="s">
        <v>43</v>
      </c>
      <c r="D447" s="62">
        <v>0</v>
      </c>
      <c r="E447" s="60">
        <v>1E-3</v>
      </c>
      <c r="F447" s="61">
        <v>0</v>
      </c>
      <c r="G447" s="63">
        <v>4</v>
      </c>
      <c r="H447" s="261">
        <f>IF(ISBLANK(I447),0,1)</f>
        <v>0</v>
      </c>
      <c r="I447" s="57"/>
      <c r="J447" s="58"/>
      <c r="K447" s="66" t="s">
        <v>395</v>
      </c>
      <c r="L447" s="66" t="s">
        <v>1007</v>
      </c>
      <c r="M447" cm="1">
        <f t="array" ref="M447">_xlfn.XLOOKUP(Matrix[[#This Row],[TEAM]]&amp;Matrix[[#Headers],[1]],FDR[FDR]&amp;FDR[[#Headers],[1]],FDR[1],"",0,1)</f>
        <v>5</v>
      </c>
      <c r="N447" cm="1">
        <f t="array" ref="N447">_xlfn.XLOOKUP(Matrix[[#This Row],[TEAM]]&amp;Matrix[[#Headers],[2]],FDR[FDR]&amp;FDR[[#Headers],[2]],FDR[2],"",0,1)</f>
        <v>1</v>
      </c>
      <c r="O447" cm="1">
        <f t="array" ref="O447">_xlfn.XLOOKUP(Matrix[[#This Row],[TEAM]]&amp;Matrix[[#Headers],[3]],FDR[FDR]&amp;FDR[[#Headers],[3]],FDR[3],"",0,1)</f>
        <v>5</v>
      </c>
      <c r="P447" cm="1">
        <f t="array" ref="P447">_xlfn.XLOOKUP(Matrix[[#This Row],[TEAM]]&amp;Matrix[[#Headers],[4]],FDR[FDR]&amp;FDR[[#Headers],[4]],FDR[4],"",0,1)</f>
        <v>3</v>
      </c>
      <c r="Q447" cm="1">
        <f t="array" ref="Q447">_xlfn.XLOOKUP(Matrix[[#This Row],[TEAM]]&amp;Matrix[[#Headers],[5]],FDR[FDR]&amp;FDR[[#Headers],[5]],FDR[5],"",0,1)</f>
        <v>4</v>
      </c>
      <c r="R447" cm="1">
        <f t="array" ref="R447">_xlfn.XLOOKUP(Matrix[[#This Row],[TEAM]]&amp;Matrix[[#Headers],[6]],FDR[FDR]&amp;FDR[[#Headers],[6]],FDR[6],"",0,1)</f>
        <v>2</v>
      </c>
      <c r="S447" cm="1">
        <f t="array" ref="S447">_xlfn.XLOOKUP(Matrix[[#This Row],[TEAM]]&amp;Matrix[[#Headers],[7]],FDR[FDR]&amp;FDR[[#Headers],[7]],FDR[7],"",0,1)</f>
        <v>3</v>
      </c>
      <c r="T447" cm="1">
        <f t="array" ref="T447">_xlfn.XLOOKUP(Matrix[[#This Row],[TEAM]]&amp;Matrix[[#Headers],[8]],FDR[FDR]&amp;FDR[[#Headers],[8]],FDR[8],"",0,1)</f>
        <v>3</v>
      </c>
      <c r="U447" cm="1">
        <f t="array" ref="U447">_xlfn.XLOOKUP(Matrix[[#This Row],[TEAM]]&amp;Matrix[[#Headers],[9]],FDR[FDR]&amp;FDR[[#Headers],[9]],FDR[9],"",0,1)</f>
        <v>3</v>
      </c>
      <c r="V447" cm="1">
        <f t="array" ref="V447">_xlfn.XLOOKUP(Matrix[[#This Row],[TEAM]]&amp;Matrix[[#Headers],[10]],FDR[FDR]&amp;FDR[[#Headers],[10]],FDR[10],"",0,1)</f>
        <v>5</v>
      </c>
      <c r="W447" cm="1">
        <f t="array" ref="W447">_xlfn.XLOOKUP(Matrix[[#This Row],[TEAM]]&amp;Matrix[[#Headers],[11]],FDR[FDR]&amp;FDR[[#Headers],[11]],FDR[11],"",0,1)</f>
        <v>5</v>
      </c>
      <c r="X447" cm="1">
        <f t="array" ref="X447">_xlfn.XLOOKUP(Matrix[[#This Row],[TEAM]]&amp;Matrix[[#Headers],[12]],FDR[FDR]&amp;FDR[[#Headers],[12]],FDR[12],"",0,1)</f>
        <v>2</v>
      </c>
      <c r="Y447" cm="1">
        <f t="array" ref="Y447">_xlfn.XLOOKUP(Matrix[[#This Row],[TEAM]]&amp;Matrix[[#Headers],[13]],FDR[FDR]&amp;FDR[[#Headers],[13]],FDR[13],"",0,1)</f>
        <v>2</v>
      </c>
      <c r="Z447" cm="1">
        <f t="array" ref="Z447">_xlfn.XLOOKUP(Matrix[[#This Row],[TEAM]]&amp;Matrix[[#Headers],[14]],FDR[FDR]&amp;FDR[[#Headers],[14]],FDR[14],"",0,1)</f>
        <v>2</v>
      </c>
      <c r="AA447" cm="1">
        <f t="array" ref="AA447">_xlfn.XLOOKUP(Matrix[[#This Row],[TEAM]]&amp;Matrix[[#Headers],[15]],FDR[FDR]&amp;FDR[[#Headers],[15]],FDR[15],"",0,1)</f>
        <v>4</v>
      </c>
      <c r="AB447" cm="1">
        <f t="array" ref="AB447">_xlfn.XLOOKUP(Matrix[[#This Row],[TEAM]]&amp;Matrix[[#Headers],[16]],FDR[FDR]&amp;FDR[[#Headers],[16]],FDR[16],"",0,1)</f>
        <v>5</v>
      </c>
      <c r="AC447" cm="1">
        <f t="array" ref="AC447">_xlfn.XLOOKUP(Matrix[[#This Row],[TEAM]]&amp;Matrix[[#Headers],[17]],FDR[FDR]&amp;FDR[[#Headers],[17]],FDR[17],"",0,1)</f>
        <v>1</v>
      </c>
      <c r="AD447" cm="1">
        <f t="array" ref="AD447">_xlfn.XLOOKUP(Matrix[[#This Row],[TEAM]]&amp;Matrix[[#Headers],[18]],FDR[FDR]&amp;FDR[[#Headers],[18]],FDR[18],"",0,1)</f>
        <v>3</v>
      </c>
      <c r="AE447" cm="1">
        <f t="array" ref="AE447">_xlfn.XLOOKUP(Matrix[[#This Row],[TEAM]]&amp;Matrix[[#Headers],[19]],FDR[FDR]&amp;FDR[[#Headers],[19]],FDR[19],"",0,1)</f>
        <v>5</v>
      </c>
      <c r="AF447" cm="1">
        <f t="array" ref="AF447">_xlfn.XLOOKUP(Matrix[[#This Row],[TEAM]]&amp;Matrix[[#Headers],[20]],FDR[FDR]&amp;FDR[[#Headers],[20]],FDR[20],"",0,1)</f>
        <v>4</v>
      </c>
      <c r="AG447" cm="1">
        <f t="array" ref="AG447">_xlfn.XLOOKUP(Matrix[[#This Row],[TEAM]]&amp;Matrix[[#Headers],[21]],FDR[FDR]&amp;FDR[[#Headers],[21]],FDR[21],"",0,1)</f>
        <v>4</v>
      </c>
      <c r="AH447" cm="1">
        <f t="array" ref="AH447">_xlfn.XLOOKUP(Matrix[[#This Row],[TEAM]]&amp;Matrix[[#Headers],[22]],FDR[FDR]&amp;FDR[[#Headers],[22]],FDR[22],"",0,1)</f>
        <v>4</v>
      </c>
      <c r="AI447" cm="1">
        <f t="array" ref="AI447">_xlfn.XLOOKUP(Matrix[[#This Row],[TEAM]]&amp;Matrix[[#Headers],[23]],FDR[FDR]&amp;FDR[[#Headers],[23]],FDR[23],"",0,1)</f>
        <v>4</v>
      </c>
      <c r="AJ447" cm="1">
        <f t="array" ref="AJ447">_xlfn.XLOOKUP(Matrix[[#This Row],[TEAM]]&amp;Matrix[[#Headers],[24]],FDR[FDR]&amp;FDR[[#Headers],[24]],FDR[24],"",0,1)</f>
        <v>2</v>
      </c>
      <c r="AK447" cm="1">
        <f t="array" ref="AK447">_xlfn.XLOOKUP(Matrix[[#This Row],[TEAM]]&amp;Matrix[[#Headers],[25]],FDR[FDR]&amp;FDR[[#Headers],[25]],FDR[25],"",0,1)</f>
        <v>3</v>
      </c>
      <c r="AL447" cm="1">
        <f t="array" ref="AL447">_xlfn.XLOOKUP(Matrix[[#This Row],[TEAM]]&amp;Matrix[[#Headers],[26]],FDR[FDR]&amp;FDR[[#Headers],[26]],FDR[26],"",0,1)</f>
        <v>3</v>
      </c>
      <c r="AM447" cm="1">
        <f t="array" ref="AM447">_xlfn.XLOOKUP(Matrix[[#This Row],[TEAM]]&amp;Matrix[[#Headers],[27]],FDR[FDR]&amp;FDR[[#Headers],[27]],FDR[27],"",0,1)</f>
        <v>3</v>
      </c>
      <c r="AN447" cm="1">
        <f t="array" ref="AN447">_xlfn.XLOOKUP(Matrix[[#This Row],[TEAM]]&amp;Matrix[[#Headers],[28]],FDR[FDR]&amp;FDR[[#Headers],[28]],FDR[28],"",0,1)</f>
        <v>1</v>
      </c>
      <c r="AO447" cm="1">
        <f t="array" ref="AO447">_xlfn.XLOOKUP(Matrix[[#This Row],[TEAM]]&amp;Matrix[[#Headers],[29]],FDR[FDR]&amp;FDR[[#Headers],[29]],FDR[29],"",0,1)</f>
        <v>2</v>
      </c>
      <c r="AP447" cm="1">
        <f t="array" ref="AP447">_xlfn.XLOOKUP(Matrix[[#This Row],[TEAM]]&amp;Matrix[[#Headers],[30]],FDR[FDR]&amp;FDR[[#Headers],[30]],FDR[30],"",0,1)</f>
        <v>2</v>
      </c>
      <c r="AQ447" cm="1">
        <f t="array" ref="AQ447">_xlfn.XLOOKUP(Matrix[[#This Row],[TEAM]]&amp;Matrix[[#Headers],[31]],FDR[FDR]&amp;FDR[[#Headers],[31]],FDR[31],"",0,1)</f>
        <v>4</v>
      </c>
      <c r="AR447" cm="1">
        <f t="array" ref="AR447">_xlfn.XLOOKUP(Matrix[[#This Row],[TEAM]]&amp;Matrix[[#Headers],[32]],FDR[FDR]&amp;FDR[[#Headers],[32]],FDR[32],"",0,1)</f>
        <v>5</v>
      </c>
      <c r="AS447" cm="1">
        <f t="array" ref="AS447">_xlfn.XLOOKUP(Matrix[[#This Row],[TEAM]]&amp;Matrix[[#Headers],[33]],FDR[FDR]&amp;FDR[[#Headers],[33]],FDR[33],"",0,1)</f>
        <v>5</v>
      </c>
      <c r="AT447" cm="1">
        <f t="array" ref="AT447">_xlfn.XLOOKUP(Matrix[[#This Row],[TEAM]]&amp;Matrix[[#Headers],[34]],FDR[FDR]&amp;FDR[[#Headers],[34]],FDR[34],"",0,1)</f>
        <v>1</v>
      </c>
      <c r="AU447" cm="1">
        <f t="array" ref="AU447">_xlfn.XLOOKUP(Matrix[[#This Row],[TEAM]]&amp;Matrix[[#Headers],[35]],FDR[FDR]&amp;FDR[[#Headers],[35]],FDR[35],"",0,1)</f>
        <v>2</v>
      </c>
      <c r="AV447" cm="1">
        <f t="array" ref="AV447">_xlfn.XLOOKUP(Matrix[[#This Row],[TEAM]]&amp;Matrix[[#Headers],[36]],FDR[FDR]&amp;FDR[[#Headers],[36]],FDR[36],"",0,1)</f>
        <v>4</v>
      </c>
      <c r="AW447" cm="1">
        <f t="array" ref="AW447">_xlfn.XLOOKUP(Matrix[[#This Row],[TEAM]]&amp;Matrix[[#Headers],[37]],FDR[FDR]&amp;FDR[[#Headers],[37]],FDR[37],"",0,1)</f>
        <v>4</v>
      </c>
      <c r="AX447" cm="1">
        <f t="array" ref="AX447">_xlfn.XLOOKUP(Matrix[[#This Row],[TEAM]]&amp;Matrix[[#Headers],[38]],FDR[FDR]&amp;FDR[[#Headers],[38]],FDR[38],"",0,1)</f>
        <v>4</v>
      </c>
    </row>
    <row r="448" spans="1:50" ht="22" thickTop="1" thickBot="1">
      <c r="A448" s="52" t="s">
        <v>658</v>
      </c>
      <c r="B448" s="70" t="s">
        <v>1836</v>
      </c>
      <c r="C448" s="40" t="s">
        <v>21</v>
      </c>
      <c r="D448" s="62">
        <v>0</v>
      </c>
      <c r="E448" s="60">
        <v>3.0000000000000001E-3</v>
      </c>
      <c r="F448" s="61">
        <v>0</v>
      </c>
      <c r="G448" s="63">
        <v>4</v>
      </c>
      <c r="H448" s="261">
        <f>IF(ISBLANK(I448),0,1)</f>
        <v>0</v>
      </c>
      <c r="I448" s="57"/>
      <c r="J448" s="58"/>
      <c r="K448" s="66" t="s">
        <v>574</v>
      </c>
      <c r="L448" s="66" t="s">
        <v>95</v>
      </c>
      <c r="M448" cm="1">
        <f t="array" ref="M448">_xlfn.XLOOKUP(Matrix[[#This Row],[TEAM]]&amp;Matrix[[#Headers],[1]],FDR[FDR]&amp;FDR[[#Headers],[1]],FDR[1],"",0,1)</f>
        <v>4</v>
      </c>
      <c r="N448" cm="1">
        <f t="array" ref="N448">_xlfn.XLOOKUP(Matrix[[#This Row],[TEAM]]&amp;Matrix[[#Headers],[2]],FDR[FDR]&amp;FDR[[#Headers],[2]],FDR[2],"",0,1)</f>
        <v>4</v>
      </c>
      <c r="O448" cm="1">
        <f t="array" ref="O448">_xlfn.XLOOKUP(Matrix[[#This Row],[TEAM]]&amp;Matrix[[#Headers],[3]],FDR[FDR]&amp;FDR[[#Headers],[3]],FDR[3],"",0,1)</f>
        <v>2</v>
      </c>
      <c r="P448" cm="1">
        <f t="array" ref="P448">_xlfn.XLOOKUP(Matrix[[#This Row],[TEAM]]&amp;Matrix[[#Headers],[4]],FDR[FDR]&amp;FDR[[#Headers],[4]],FDR[4],"",0,1)</f>
        <v>4</v>
      </c>
      <c r="Q448" cm="1">
        <f t="array" ref="Q448">_xlfn.XLOOKUP(Matrix[[#This Row],[TEAM]]&amp;Matrix[[#Headers],[5]],FDR[FDR]&amp;FDR[[#Headers],[5]],FDR[5],"",0,1)</f>
        <v>4</v>
      </c>
      <c r="R448" cm="1">
        <f t="array" ref="R448">_xlfn.XLOOKUP(Matrix[[#This Row],[TEAM]]&amp;Matrix[[#Headers],[6]],FDR[FDR]&amp;FDR[[#Headers],[6]],FDR[6],"",0,1)</f>
        <v>4</v>
      </c>
      <c r="S448" cm="1">
        <f t="array" ref="S448">_xlfn.XLOOKUP(Matrix[[#This Row],[TEAM]]&amp;Matrix[[#Headers],[7]],FDR[FDR]&amp;FDR[[#Headers],[7]],FDR[7],"",0,1)</f>
        <v>4</v>
      </c>
      <c r="T448" cm="1">
        <f t="array" ref="T448">_xlfn.XLOOKUP(Matrix[[#This Row],[TEAM]]&amp;Matrix[[#Headers],[8]],FDR[FDR]&amp;FDR[[#Headers],[8]],FDR[8],"",0,1)</f>
        <v>4</v>
      </c>
      <c r="U448" cm="1">
        <f t="array" ref="U448">_xlfn.XLOOKUP(Matrix[[#This Row],[TEAM]]&amp;Matrix[[#Headers],[9]],FDR[FDR]&amp;FDR[[#Headers],[9]],FDR[9],"",0,1)</f>
        <v>4</v>
      </c>
      <c r="V448" cm="1">
        <f t="array" ref="V448">_xlfn.XLOOKUP(Matrix[[#This Row],[TEAM]]&amp;Matrix[[#Headers],[10]],FDR[FDR]&amp;FDR[[#Headers],[10]],FDR[10],"",0,1)</f>
        <v>4</v>
      </c>
      <c r="W448" cm="1">
        <f t="array" ref="W448">_xlfn.XLOOKUP(Matrix[[#This Row],[TEAM]]&amp;Matrix[[#Headers],[11]],FDR[FDR]&amp;FDR[[#Headers],[11]],FDR[11],"",0,1)</f>
        <v>4</v>
      </c>
      <c r="X448" cm="1">
        <f t="array" ref="X448">_xlfn.XLOOKUP(Matrix[[#This Row],[TEAM]]&amp;Matrix[[#Headers],[12]],FDR[FDR]&amp;FDR[[#Headers],[12]],FDR[12],"",0,1)</f>
        <v>4</v>
      </c>
      <c r="Y448" cm="1">
        <f t="array" ref="Y448">_xlfn.XLOOKUP(Matrix[[#This Row],[TEAM]]&amp;Matrix[[#Headers],[13]],FDR[FDR]&amp;FDR[[#Headers],[13]],FDR[13],"",0,1)</f>
        <v>1</v>
      </c>
      <c r="Z448" cm="1">
        <f t="array" ref="Z448">_xlfn.XLOOKUP(Matrix[[#This Row],[TEAM]]&amp;Matrix[[#Headers],[14]],FDR[FDR]&amp;FDR[[#Headers],[14]],FDR[14],"",0,1)</f>
        <v>5</v>
      </c>
      <c r="AA448" cm="1">
        <f t="array" ref="AA448">_xlfn.XLOOKUP(Matrix[[#This Row],[TEAM]]&amp;Matrix[[#Headers],[15]],FDR[FDR]&amp;FDR[[#Headers],[15]],FDR[15],"",0,1)</f>
        <v>5</v>
      </c>
      <c r="AB448" cm="1">
        <f t="array" ref="AB448">_xlfn.XLOOKUP(Matrix[[#This Row],[TEAM]]&amp;Matrix[[#Headers],[16]],FDR[FDR]&amp;FDR[[#Headers],[16]],FDR[16],"",0,1)</f>
        <v>1</v>
      </c>
      <c r="AC448" cm="1">
        <f t="array" ref="AC448">_xlfn.XLOOKUP(Matrix[[#This Row],[TEAM]]&amp;Matrix[[#Headers],[17]],FDR[FDR]&amp;FDR[[#Headers],[17]],FDR[17],"",0,1)</f>
        <v>2</v>
      </c>
      <c r="AD448" cm="1">
        <f t="array" ref="AD448">_xlfn.XLOOKUP(Matrix[[#This Row],[TEAM]]&amp;Matrix[[#Headers],[18]],FDR[FDR]&amp;FDR[[#Headers],[18]],FDR[18],"",0,1)</f>
        <v>3</v>
      </c>
      <c r="AE448" cm="1">
        <f t="array" ref="AE448">_xlfn.XLOOKUP(Matrix[[#This Row],[TEAM]]&amp;Matrix[[#Headers],[19]],FDR[FDR]&amp;FDR[[#Headers],[19]],FDR[19],"",0,1)</f>
        <v>4</v>
      </c>
      <c r="AF448" cm="1">
        <f t="array" ref="AF448">_xlfn.XLOOKUP(Matrix[[#This Row],[TEAM]]&amp;Matrix[[#Headers],[20]],FDR[FDR]&amp;FDR[[#Headers],[20]],FDR[20],"",0,1)</f>
        <v>4</v>
      </c>
      <c r="AG448" cm="1">
        <f t="array" ref="AG448">_xlfn.XLOOKUP(Matrix[[#This Row],[TEAM]]&amp;Matrix[[#Headers],[21]],FDR[FDR]&amp;FDR[[#Headers],[21]],FDR[21],"",0,1)</f>
        <v>1</v>
      </c>
      <c r="AH448" cm="1">
        <f t="array" ref="AH448">_xlfn.XLOOKUP(Matrix[[#This Row],[TEAM]]&amp;Matrix[[#Headers],[22]],FDR[FDR]&amp;FDR[[#Headers],[22]],FDR[22],"",0,1)</f>
        <v>5</v>
      </c>
      <c r="AI448" cm="1">
        <f t="array" ref="AI448">_xlfn.XLOOKUP(Matrix[[#This Row],[TEAM]]&amp;Matrix[[#Headers],[23]],FDR[FDR]&amp;FDR[[#Headers],[23]],FDR[23],"",0,1)</f>
        <v>3</v>
      </c>
      <c r="AJ448" cm="1">
        <f t="array" ref="AJ448">_xlfn.XLOOKUP(Matrix[[#This Row],[TEAM]]&amp;Matrix[[#Headers],[24]],FDR[FDR]&amp;FDR[[#Headers],[24]],FDR[24],"",0,1)</f>
        <v>5</v>
      </c>
      <c r="AK448" cm="1">
        <f t="array" ref="AK448">_xlfn.XLOOKUP(Matrix[[#This Row],[TEAM]]&amp;Matrix[[#Headers],[25]],FDR[FDR]&amp;FDR[[#Headers],[25]],FDR[25],"",0,1)</f>
        <v>5</v>
      </c>
      <c r="AL448" cm="1">
        <f t="array" ref="AL448">_xlfn.XLOOKUP(Matrix[[#This Row],[TEAM]]&amp;Matrix[[#Headers],[26]],FDR[FDR]&amp;FDR[[#Headers],[26]],FDR[26],"",0,1)</f>
        <v>4</v>
      </c>
      <c r="AM448" cm="1">
        <f t="array" ref="AM448">_xlfn.XLOOKUP(Matrix[[#This Row],[TEAM]]&amp;Matrix[[#Headers],[27]],FDR[FDR]&amp;FDR[[#Headers],[27]],FDR[27],"",0,1)</f>
        <v>3</v>
      </c>
      <c r="AN448" cm="1">
        <f t="array" ref="AN448">_xlfn.XLOOKUP(Matrix[[#This Row],[TEAM]]&amp;Matrix[[#Headers],[28]],FDR[FDR]&amp;FDR[[#Headers],[28]],FDR[28],"",0,1)</f>
        <v>2</v>
      </c>
      <c r="AO448" cm="1">
        <f t="array" ref="AO448">_xlfn.XLOOKUP(Matrix[[#This Row],[TEAM]]&amp;Matrix[[#Headers],[29]],FDR[FDR]&amp;FDR[[#Headers],[29]],FDR[29],"",0,1)</f>
        <v>4</v>
      </c>
      <c r="AP448" cm="1">
        <f t="array" ref="AP448">_xlfn.XLOOKUP(Matrix[[#This Row],[TEAM]]&amp;Matrix[[#Headers],[30]],FDR[FDR]&amp;FDR[[#Headers],[30]],FDR[30],"",0,1)</f>
        <v>2</v>
      </c>
      <c r="AQ448" cm="1">
        <f t="array" ref="AQ448">_xlfn.XLOOKUP(Matrix[[#This Row],[TEAM]]&amp;Matrix[[#Headers],[31]],FDR[FDR]&amp;FDR[[#Headers],[31]],FDR[31],"",0,1)</f>
        <v>2</v>
      </c>
      <c r="AR448" cm="1">
        <f t="array" ref="AR448">_xlfn.XLOOKUP(Matrix[[#This Row],[TEAM]]&amp;Matrix[[#Headers],[32]],FDR[FDR]&amp;FDR[[#Headers],[32]],FDR[32],"",0,1)</f>
        <v>3</v>
      </c>
      <c r="AS448" cm="1">
        <f t="array" ref="AS448">_xlfn.XLOOKUP(Matrix[[#This Row],[TEAM]]&amp;Matrix[[#Headers],[33]],FDR[FDR]&amp;FDR[[#Headers],[33]],FDR[33],"",0,1)</f>
        <v>3</v>
      </c>
      <c r="AT448" cm="1">
        <f t="array" ref="AT448">_xlfn.XLOOKUP(Matrix[[#This Row],[TEAM]]&amp;Matrix[[#Headers],[34]],FDR[FDR]&amp;FDR[[#Headers],[34]],FDR[34],"",0,1)</f>
        <v>5</v>
      </c>
      <c r="AU448" cm="1">
        <f t="array" ref="AU448">_xlfn.XLOOKUP(Matrix[[#This Row],[TEAM]]&amp;Matrix[[#Headers],[35]],FDR[FDR]&amp;FDR[[#Headers],[35]],FDR[35],"",0,1)</f>
        <v>3</v>
      </c>
      <c r="AV448" cm="1">
        <f t="array" ref="AV448">_xlfn.XLOOKUP(Matrix[[#This Row],[TEAM]]&amp;Matrix[[#Headers],[36]],FDR[FDR]&amp;FDR[[#Headers],[36]],FDR[36],"",0,1)</f>
        <v>5</v>
      </c>
      <c r="AW448" cm="1">
        <f t="array" ref="AW448">_xlfn.XLOOKUP(Matrix[[#This Row],[TEAM]]&amp;Matrix[[#Headers],[37]],FDR[FDR]&amp;FDR[[#Headers],[37]],FDR[37],"",0,1)</f>
        <v>3</v>
      </c>
      <c r="AX448" cm="1">
        <f t="array" ref="AX448">_xlfn.XLOOKUP(Matrix[[#This Row],[TEAM]]&amp;Matrix[[#Headers],[38]],FDR[FDR]&amp;FDR[[#Headers],[38]],FDR[38],"",0,1)</f>
        <v>5</v>
      </c>
    </row>
    <row r="449" spans="1:50" ht="22" thickTop="1" thickBot="1">
      <c r="A449" s="52" t="s">
        <v>658</v>
      </c>
      <c r="B449" s="70" t="s">
        <v>1853</v>
      </c>
      <c r="C449" s="40" t="s">
        <v>21</v>
      </c>
      <c r="D449" s="62">
        <v>0</v>
      </c>
      <c r="E449" s="60">
        <v>2E-3</v>
      </c>
      <c r="F449" s="61">
        <v>0</v>
      </c>
      <c r="G449" s="63">
        <v>4</v>
      </c>
      <c r="H449" s="261">
        <f>IF(ISBLANK(I449),0,1)</f>
        <v>0</v>
      </c>
      <c r="I449" s="57"/>
      <c r="J449" s="58"/>
      <c r="K449" s="66" t="s">
        <v>575</v>
      </c>
      <c r="L449" s="66" t="s">
        <v>96</v>
      </c>
      <c r="M449" cm="1">
        <f t="array" ref="M449">_xlfn.XLOOKUP(Matrix[[#This Row],[TEAM]]&amp;Matrix[[#Headers],[1]],FDR[FDR]&amp;FDR[[#Headers],[1]],FDR[1],"",0,1)</f>
        <v>4</v>
      </c>
      <c r="N449" cm="1">
        <f t="array" ref="N449">_xlfn.XLOOKUP(Matrix[[#This Row],[TEAM]]&amp;Matrix[[#Headers],[2]],FDR[FDR]&amp;FDR[[#Headers],[2]],FDR[2],"",0,1)</f>
        <v>4</v>
      </c>
      <c r="O449" cm="1">
        <f t="array" ref="O449">_xlfn.XLOOKUP(Matrix[[#This Row],[TEAM]]&amp;Matrix[[#Headers],[3]],FDR[FDR]&amp;FDR[[#Headers],[3]],FDR[3],"",0,1)</f>
        <v>2</v>
      </c>
      <c r="P449" cm="1">
        <f t="array" ref="P449">_xlfn.XLOOKUP(Matrix[[#This Row],[TEAM]]&amp;Matrix[[#Headers],[4]],FDR[FDR]&amp;FDR[[#Headers],[4]],FDR[4],"",0,1)</f>
        <v>4</v>
      </c>
      <c r="Q449" cm="1">
        <f t="array" ref="Q449">_xlfn.XLOOKUP(Matrix[[#This Row],[TEAM]]&amp;Matrix[[#Headers],[5]],FDR[FDR]&amp;FDR[[#Headers],[5]],FDR[5],"",0,1)</f>
        <v>4</v>
      </c>
      <c r="R449" cm="1">
        <f t="array" ref="R449">_xlfn.XLOOKUP(Matrix[[#This Row],[TEAM]]&amp;Matrix[[#Headers],[6]],FDR[FDR]&amp;FDR[[#Headers],[6]],FDR[6],"",0,1)</f>
        <v>4</v>
      </c>
      <c r="S449" cm="1">
        <f t="array" ref="S449">_xlfn.XLOOKUP(Matrix[[#This Row],[TEAM]]&amp;Matrix[[#Headers],[7]],FDR[FDR]&amp;FDR[[#Headers],[7]],FDR[7],"",0,1)</f>
        <v>4</v>
      </c>
      <c r="T449" cm="1">
        <f t="array" ref="T449">_xlfn.XLOOKUP(Matrix[[#This Row],[TEAM]]&amp;Matrix[[#Headers],[8]],FDR[FDR]&amp;FDR[[#Headers],[8]],FDR[8],"",0,1)</f>
        <v>4</v>
      </c>
      <c r="U449" cm="1">
        <f t="array" ref="U449">_xlfn.XLOOKUP(Matrix[[#This Row],[TEAM]]&amp;Matrix[[#Headers],[9]],FDR[FDR]&amp;FDR[[#Headers],[9]],FDR[9],"",0,1)</f>
        <v>4</v>
      </c>
      <c r="V449" cm="1">
        <f t="array" ref="V449">_xlfn.XLOOKUP(Matrix[[#This Row],[TEAM]]&amp;Matrix[[#Headers],[10]],FDR[FDR]&amp;FDR[[#Headers],[10]],FDR[10],"",0,1)</f>
        <v>4</v>
      </c>
      <c r="W449" cm="1">
        <f t="array" ref="W449">_xlfn.XLOOKUP(Matrix[[#This Row],[TEAM]]&amp;Matrix[[#Headers],[11]],FDR[FDR]&amp;FDR[[#Headers],[11]],FDR[11],"",0,1)</f>
        <v>4</v>
      </c>
      <c r="X449" cm="1">
        <f t="array" ref="X449">_xlfn.XLOOKUP(Matrix[[#This Row],[TEAM]]&amp;Matrix[[#Headers],[12]],FDR[FDR]&amp;FDR[[#Headers],[12]],FDR[12],"",0,1)</f>
        <v>4</v>
      </c>
      <c r="Y449" cm="1">
        <f t="array" ref="Y449">_xlfn.XLOOKUP(Matrix[[#This Row],[TEAM]]&amp;Matrix[[#Headers],[13]],FDR[FDR]&amp;FDR[[#Headers],[13]],FDR[13],"",0,1)</f>
        <v>1</v>
      </c>
      <c r="Z449" cm="1">
        <f t="array" ref="Z449">_xlfn.XLOOKUP(Matrix[[#This Row],[TEAM]]&amp;Matrix[[#Headers],[14]],FDR[FDR]&amp;FDR[[#Headers],[14]],FDR[14],"",0,1)</f>
        <v>5</v>
      </c>
      <c r="AA449" cm="1">
        <f t="array" ref="AA449">_xlfn.XLOOKUP(Matrix[[#This Row],[TEAM]]&amp;Matrix[[#Headers],[15]],FDR[FDR]&amp;FDR[[#Headers],[15]],FDR[15],"",0,1)</f>
        <v>5</v>
      </c>
      <c r="AB449" cm="1">
        <f t="array" ref="AB449">_xlfn.XLOOKUP(Matrix[[#This Row],[TEAM]]&amp;Matrix[[#Headers],[16]],FDR[FDR]&amp;FDR[[#Headers],[16]],FDR[16],"",0,1)</f>
        <v>1</v>
      </c>
      <c r="AC449" cm="1">
        <f t="array" ref="AC449">_xlfn.XLOOKUP(Matrix[[#This Row],[TEAM]]&amp;Matrix[[#Headers],[17]],FDR[FDR]&amp;FDR[[#Headers],[17]],FDR[17],"",0,1)</f>
        <v>2</v>
      </c>
      <c r="AD449" cm="1">
        <f t="array" ref="AD449">_xlfn.XLOOKUP(Matrix[[#This Row],[TEAM]]&amp;Matrix[[#Headers],[18]],FDR[FDR]&amp;FDR[[#Headers],[18]],FDR[18],"",0,1)</f>
        <v>3</v>
      </c>
      <c r="AE449" cm="1">
        <f t="array" ref="AE449">_xlfn.XLOOKUP(Matrix[[#This Row],[TEAM]]&amp;Matrix[[#Headers],[19]],FDR[FDR]&amp;FDR[[#Headers],[19]],FDR[19],"",0,1)</f>
        <v>4</v>
      </c>
      <c r="AF449" cm="1">
        <f t="array" ref="AF449">_xlfn.XLOOKUP(Matrix[[#This Row],[TEAM]]&amp;Matrix[[#Headers],[20]],FDR[FDR]&amp;FDR[[#Headers],[20]],FDR[20],"",0,1)</f>
        <v>4</v>
      </c>
      <c r="AG449" cm="1">
        <f t="array" ref="AG449">_xlfn.XLOOKUP(Matrix[[#This Row],[TEAM]]&amp;Matrix[[#Headers],[21]],FDR[FDR]&amp;FDR[[#Headers],[21]],FDR[21],"",0,1)</f>
        <v>1</v>
      </c>
      <c r="AH449" cm="1">
        <f t="array" ref="AH449">_xlfn.XLOOKUP(Matrix[[#This Row],[TEAM]]&amp;Matrix[[#Headers],[22]],FDR[FDR]&amp;FDR[[#Headers],[22]],FDR[22],"",0,1)</f>
        <v>5</v>
      </c>
      <c r="AI449" cm="1">
        <f t="array" ref="AI449">_xlfn.XLOOKUP(Matrix[[#This Row],[TEAM]]&amp;Matrix[[#Headers],[23]],FDR[FDR]&amp;FDR[[#Headers],[23]],FDR[23],"",0,1)</f>
        <v>3</v>
      </c>
      <c r="AJ449" cm="1">
        <f t="array" ref="AJ449">_xlfn.XLOOKUP(Matrix[[#This Row],[TEAM]]&amp;Matrix[[#Headers],[24]],FDR[FDR]&amp;FDR[[#Headers],[24]],FDR[24],"",0,1)</f>
        <v>5</v>
      </c>
      <c r="AK449" cm="1">
        <f t="array" ref="AK449">_xlfn.XLOOKUP(Matrix[[#This Row],[TEAM]]&amp;Matrix[[#Headers],[25]],FDR[FDR]&amp;FDR[[#Headers],[25]],FDR[25],"",0,1)</f>
        <v>5</v>
      </c>
      <c r="AL449" cm="1">
        <f t="array" ref="AL449">_xlfn.XLOOKUP(Matrix[[#This Row],[TEAM]]&amp;Matrix[[#Headers],[26]],FDR[FDR]&amp;FDR[[#Headers],[26]],FDR[26],"",0,1)</f>
        <v>4</v>
      </c>
      <c r="AM449" cm="1">
        <f t="array" ref="AM449">_xlfn.XLOOKUP(Matrix[[#This Row],[TEAM]]&amp;Matrix[[#Headers],[27]],FDR[FDR]&amp;FDR[[#Headers],[27]],FDR[27],"",0,1)</f>
        <v>3</v>
      </c>
      <c r="AN449" cm="1">
        <f t="array" ref="AN449">_xlfn.XLOOKUP(Matrix[[#This Row],[TEAM]]&amp;Matrix[[#Headers],[28]],FDR[FDR]&amp;FDR[[#Headers],[28]],FDR[28],"",0,1)</f>
        <v>2</v>
      </c>
      <c r="AO449" cm="1">
        <f t="array" ref="AO449">_xlfn.XLOOKUP(Matrix[[#This Row],[TEAM]]&amp;Matrix[[#Headers],[29]],FDR[FDR]&amp;FDR[[#Headers],[29]],FDR[29],"",0,1)</f>
        <v>4</v>
      </c>
      <c r="AP449" cm="1">
        <f t="array" ref="AP449">_xlfn.XLOOKUP(Matrix[[#This Row],[TEAM]]&amp;Matrix[[#Headers],[30]],FDR[FDR]&amp;FDR[[#Headers],[30]],FDR[30],"",0,1)</f>
        <v>2</v>
      </c>
      <c r="AQ449" cm="1">
        <f t="array" ref="AQ449">_xlfn.XLOOKUP(Matrix[[#This Row],[TEAM]]&amp;Matrix[[#Headers],[31]],FDR[FDR]&amp;FDR[[#Headers],[31]],FDR[31],"",0,1)</f>
        <v>2</v>
      </c>
      <c r="AR449" cm="1">
        <f t="array" ref="AR449">_xlfn.XLOOKUP(Matrix[[#This Row],[TEAM]]&amp;Matrix[[#Headers],[32]],FDR[FDR]&amp;FDR[[#Headers],[32]],FDR[32],"",0,1)</f>
        <v>3</v>
      </c>
      <c r="AS449" cm="1">
        <f t="array" ref="AS449">_xlfn.XLOOKUP(Matrix[[#This Row],[TEAM]]&amp;Matrix[[#Headers],[33]],FDR[FDR]&amp;FDR[[#Headers],[33]],FDR[33],"",0,1)</f>
        <v>3</v>
      </c>
      <c r="AT449" cm="1">
        <f t="array" ref="AT449">_xlfn.XLOOKUP(Matrix[[#This Row],[TEAM]]&amp;Matrix[[#Headers],[34]],FDR[FDR]&amp;FDR[[#Headers],[34]],FDR[34],"",0,1)</f>
        <v>5</v>
      </c>
      <c r="AU449" cm="1">
        <f t="array" ref="AU449">_xlfn.XLOOKUP(Matrix[[#This Row],[TEAM]]&amp;Matrix[[#Headers],[35]],FDR[FDR]&amp;FDR[[#Headers],[35]],FDR[35],"",0,1)</f>
        <v>3</v>
      </c>
      <c r="AV449" cm="1">
        <f t="array" ref="AV449">_xlfn.XLOOKUP(Matrix[[#This Row],[TEAM]]&amp;Matrix[[#Headers],[36]],FDR[FDR]&amp;FDR[[#Headers],[36]],FDR[36],"",0,1)</f>
        <v>5</v>
      </c>
      <c r="AW449" cm="1">
        <f t="array" ref="AW449">_xlfn.XLOOKUP(Matrix[[#This Row],[TEAM]]&amp;Matrix[[#Headers],[37]],FDR[FDR]&amp;FDR[[#Headers],[37]],FDR[37],"",0,1)</f>
        <v>3</v>
      </c>
      <c r="AX449" cm="1">
        <f t="array" ref="AX449">_xlfn.XLOOKUP(Matrix[[#This Row],[TEAM]]&amp;Matrix[[#Headers],[38]],FDR[FDR]&amp;FDR[[#Headers],[38]],FDR[38],"",0,1)</f>
        <v>5</v>
      </c>
    </row>
    <row r="450" spans="1:50" ht="22" thickTop="1" thickBot="1">
      <c r="A450" s="52" t="s">
        <v>658</v>
      </c>
      <c r="B450" s="70" t="s">
        <v>1878</v>
      </c>
      <c r="C450" s="40" t="s">
        <v>21</v>
      </c>
      <c r="D450" s="62">
        <v>0</v>
      </c>
      <c r="E450" s="60">
        <v>1E-3</v>
      </c>
      <c r="F450" s="61">
        <v>0</v>
      </c>
      <c r="G450" s="63">
        <v>4</v>
      </c>
      <c r="H450" s="261">
        <f>IF(ISBLANK(I450),0,1)</f>
        <v>0</v>
      </c>
      <c r="I450" s="57"/>
      <c r="J450" s="58"/>
      <c r="K450" s="66" t="s">
        <v>418</v>
      </c>
      <c r="L450" s="66" t="s">
        <v>1014</v>
      </c>
      <c r="M450" cm="1">
        <f t="array" ref="M450">_xlfn.XLOOKUP(Matrix[[#This Row],[TEAM]]&amp;Matrix[[#Headers],[1]],FDR[FDR]&amp;FDR[[#Headers],[1]],FDR[1],"",0,1)</f>
        <v>4</v>
      </c>
      <c r="N450" cm="1">
        <f t="array" ref="N450">_xlfn.XLOOKUP(Matrix[[#This Row],[TEAM]]&amp;Matrix[[#Headers],[2]],FDR[FDR]&amp;FDR[[#Headers],[2]],FDR[2],"",0,1)</f>
        <v>4</v>
      </c>
      <c r="O450" cm="1">
        <f t="array" ref="O450">_xlfn.XLOOKUP(Matrix[[#This Row],[TEAM]]&amp;Matrix[[#Headers],[3]],FDR[FDR]&amp;FDR[[#Headers],[3]],FDR[3],"",0,1)</f>
        <v>2</v>
      </c>
      <c r="P450" cm="1">
        <f t="array" ref="P450">_xlfn.XLOOKUP(Matrix[[#This Row],[TEAM]]&amp;Matrix[[#Headers],[4]],FDR[FDR]&amp;FDR[[#Headers],[4]],FDR[4],"",0,1)</f>
        <v>4</v>
      </c>
      <c r="Q450" cm="1">
        <f t="array" ref="Q450">_xlfn.XLOOKUP(Matrix[[#This Row],[TEAM]]&amp;Matrix[[#Headers],[5]],FDR[FDR]&amp;FDR[[#Headers],[5]],FDR[5],"",0,1)</f>
        <v>4</v>
      </c>
      <c r="R450" cm="1">
        <f t="array" ref="R450">_xlfn.XLOOKUP(Matrix[[#This Row],[TEAM]]&amp;Matrix[[#Headers],[6]],FDR[FDR]&amp;FDR[[#Headers],[6]],FDR[6],"",0,1)</f>
        <v>4</v>
      </c>
      <c r="S450" cm="1">
        <f t="array" ref="S450">_xlfn.XLOOKUP(Matrix[[#This Row],[TEAM]]&amp;Matrix[[#Headers],[7]],FDR[FDR]&amp;FDR[[#Headers],[7]],FDR[7],"",0,1)</f>
        <v>4</v>
      </c>
      <c r="T450" cm="1">
        <f t="array" ref="T450">_xlfn.XLOOKUP(Matrix[[#This Row],[TEAM]]&amp;Matrix[[#Headers],[8]],FDR[FDR]&amp;FDR[[#Headers],[8]],FDR[8],"",0,1)</f>
        <v>4</v>
      </c>
      <c r="U450" cm="1">
        <f t="array" ref="U450">_xlfn.XLOOKUP(Matrix[[#This Row],[TEAM]]&amp;Matrix[[#Headers],[9]],FDR[FDR]&amp;FDR[[#Headers],[9]],FDR[9],"",0,1)</f>
        <v>4</v>
      </c>
      <c r="V450" cm="1">
        <f t="array" ref="V450">_xlfn.XLOOKUP(Matrix[[#This Row],[TEAM]]&amp;Matrix[[#Headers],[10]],FDR[FDR]&amp;FDR[[#Headers],[10]],FDR[10],"",0,1)</f>
        <v>4</v>
      </c>
      <c r="W450" cm="1">
        <f t="array" ref="W450">_xlfn.XLOOKUP(Matrix[[#This Row],[TEAM]]&amp;Matrix[[#Headers],[11]],FDR[FDR]&amp;FDR[[#Headers],[11]],FDR[11],"",0,1)</f>
        <v>4</v>
      </c>
      <c r="X450" cm="1">
        <f t="array" ref="X450">_xlfn.XLOOKUP(Matrix[[#This Row],[TEAM]]&amp;Matrix[[#Headers],[12]],FDR[FDR]&amp;FDR[[#Headers],[12]],FDR[12],"",0,1)</f>
        <v>4</v>
      </c>
      <c r="Y450" cm="1">
        <f t="array" ref="Y450">_xlfn.XLOOKUP(Matrix[[#This Row],[TEAM]]&amp;Matrix[[#Headers],[13]],FDR[FDR]&amp;FDR[[#Headers],[13]],FDR[13],"",0,1)</f>
        <v>1</v>
      </c>
      <c r="Z450" cm="1">
        <f t="array" ref="Z450">_xlfn.XLOOKUP(Matrix[[#This Row],[TEAM]]&amp;Matrix[[#Headers],[14]],FDR[FDR]&amp;FDR[[#Headers],[14]],FDR[14],"",0,1)</f>
        <v>5</v>
      </c>
      <c r="AA450" cm="1">
        <f t="array" ref="AA450">_xlfn.XLOOKUP(Matrix[[#This Row],[TEAM]]&amp;Matrix[[#Headers],[15]],FDR[FDR]&amp;FDR[[#Headers],[15]],FDR[15],"",0,1)</f>
        <v>5</v>
      </c>
      <c r="AB450" cm="1">
        <f t="array" ref="AB450">_xlfn.XLOOKUP(Matrix[[#This Row],[TEAM]]&amp;Matrix[[#Headers],[16]],FDR[FDR]&amp;FDR[[#Headers],[16]],FDR[16],"",0,1)</f>
        <v>1</v>
      </c>
      <c r="AC450" cm="1">
        <f t="array" ref="AC450">_xlfn.XLOOKUP(Matrix[[#This Row],[TEAM]]&amp;Matrix[[#Headers],[17]],FDR[FDR]&amp;FDR[[#Headers],[17]],FDR[17],"",0,1)</f>
        <v>2</v>
      </c>
      <c r="AD450" cm="1">
        <f t="array" ref="AD450">_xlfn.XLOOKUP(Matrix[[#This Row],[TEAM]]&amp;Matrix[[#Headers],[18]],FDR[FDR]&amp;FDR[[#Headers],[18]],FDR[18],"",0,1)</f>
        <v>3</v>
      </c>
      <c r="AE450" cm="1">
        <f t="array" ref="AE450">_xlfn.XLOOKUP(Matrix[[#This Row],[TEAM]]&amp;Matrix[[#Headers],[19]],FDR[FDR]&amp;FDR[[#Headers],[19]],FDR[19],"",0,1)</f>
        <v>4</v>
      </c>
      <c r="AF450" cm="1">
        <f t="array" ref="AF450">_xlfn.XLOOKUP(Matrix[[#This Row],[TEAM]]&amp;Matrix[[#Headers],[20]],FDR[FDR]&amp;FDR[[#Headers],[20]],FDR[20],"",0,1)</f>
        <v>4</v>
      </c>
      <c r="AG450" cm="1">
        <f t="array" ref="AG450">_xlfn.XLOOKUP(Matrix[[#This Row],[TEAM]]&amp;Matrix[[#Headers],[21]],FDR[FDR]&amp;FDR[[#Headers],[21]],FDR[21],"",0,1)</f>
        <v>1</v>
      </c>
      <c r="AH450" cm="1">
        <f t="array" ref="AH450">_xlfn.XLOOKUP(Matrix[[#This Row],[TEAM]]&amp;Matrix[[#Headers],[22]],FDR[FDR]&amp;FDR[[#Headers],[22]],FDR[22],"",0,1)</f>
        <v>5</v>
      </c>
      <c r="AI450" cm="1">
        <f t="array" ref="AI450">_xlfn.XLOOKUP(Matrix[[#This Row],[TEAM]]&amp;Matrix[[#Headers],[23]],FDR[FDR]&amp;FDR[[#Headers],[23]],FDR[23],"",0,1)</f>
        <v>3</v>
      </c>
      <c r="AJ450" cm="1">
        <f t="array" ref="AJ450">_xlfn.XLOOKUP(Matrix[[#This Row],[TEAM]]&amp;Matrix[[#Headers],[24]],FDR[FDR]&amp;FDR[[#Headers],[24]],FDR[24],"",0,1)</f>
        <v>5</v>
      </c>
      <c r="AK450" cm="1">
        <f t="array" ref="AK450">_xlfn.XLOOKUP(Matrix[[#This Row],[TEAM]]&amp;Matrix[[#Headers],[25]],FDR[FDR]&amp;FDR[[#Headers],[25]],FDR[25],"",0,1)</f>
        <v>5</v>
      </c>
      <c r="AL450" cm="1">
        <f t="array" ref="AL450">_xlfn.XLOOKUP(Matrix[[#This Row],[TEAM]]&amp;Matrix[[#Headers],[26]],FDR[FDR]&amp;FDR[[#Headers],[26]],FDR[26],"",0,1)</f>
        <v>4</v>
      </c>
      <c r="AM450" cm="1">
        <f t="array" ref="AM450">_xlfn.XLOOKUP(Matrix[[#This Row],[TEAM]]&amp;Matrix[[#Headers],[27]],FDR[FDR]&amp;FDR[[#Headers],[27]],FDR[27],"",0,1)</f>
        <v>3</v>
      </c>
      <c r="AN450" cm="1">
        <f t="array" ref="AN450">_xlfn.XLOOKUP(Matrix[[#This Row],[TEAM]]&amp;Matrix[[#Headers],[28]],FDR[FDR]&amp;FDR[[#Headers],[28]],FDR[28],"",0,1)</f>
        <v>2</v>
      </c>
      <c r="AO450" cm="1">
        <f t="array" ref="AO450">_xlfn.XLOOKUP(Matrix[[#This Row],[TEAM]]&amp;Matrix[[#Headers],[29]],FDR[FDR]&amp;FDR[[#Headers],[29]],FDR[29],"",0,1)</f>
        <v>4</v>
      </c>
      <c r="AP450" cm="1">
        <f t="array" ref="AP450">_xlfn.XLOOKUP(Matrix[[#This Row],[TEAM]]&amp;Matrix[[#Headers],[30]],FDR[FDR]&amp;FDR[[#Headers],[30]],FDR[30],"",0,1)</f>
        <v>2</v>
      </c>
      <c r="AQ450" cm="1">
        <f t="array" ref="AQ450">_xlfn.XLOOKUP(Matrix[[#This Row],[TEAM]]&amp;Matrix[[#Headers],[31]],FDR[FDR]&amp;FDR[[#Headers],[31]],FDR[31],"",0,1)</f>
        <v>2</v>
      </c>
      <c r="AR450" cm="1">
        <f t="array" ref="AR450">_xlfn.XLOOKUP(Matrix[[#This Row],[TEAM]]&amp;Matrix[[#Headers],[32]],FDR[FDR]&amp;FDR[[#Headers],[32]],FDR[32],"",0,1)</f>
        <v>3</v>
      </c>
      <c r="AS450" cm="1">
        <f t="array" ref="AS450">_xlfn.XLOOKUP(Matrix[[#This Row],[TEAM]]&amp;Matrix[[#Headers],[33]],FDR[FDR]&amp;FDR[[#Headers],[33]],FDR[33],"",0,1)</f>
        <v>3</v>
      </c>
      <c r="AT450" cm="1">
        <f t="array" ref="AT450">_xlfn.XLOOKUP(Matrix[[#This Row],[TEAM]]&amp;Matrix[[#Headers],[34]],FDR[FDR]&amp;FDR[[#Headers],[34]],FDR[34],"",0,1)</f>
        <v>5</v>
      </c>
      <c r="AU450" cm="1">
        <f t="array" ref="AU450">_xlfn.XLOOKUP(Matrix[[#This Row],[TEAM]]&amp;Matrix[[#Headers],[35]],FDR[FDR]&amp;FDR[[#Headers],[35]],FDR[35],"",0,1)</f>
        <v>3</v>
      </c>
      <c r="AV450" cm="1">
        <f t="array" ref="AV450">_xlfn.XLOOKUP(Matrix[[#This Row],[TEAM]]&amp;Matrix[[#Headers],[36]],FDR[FDR]&amp;FDR[[#Headers],[36]],FDR[36],"",0,1)</f>
        <v>5</v>
      </c>
      <c r="AW450" cm="1">
        <f t="array" ref="AW450">_xlfn.XLOOKUP(Matrix[[#This Row],[TEAM]]&amp;Matrix[[#Headers],[37]],FDR[FDR]&amp;FDR[[#Headers],[37]],FDR[37],"",0,1)</f>
        <v>3</v>
      </c>
      <c r="AX450" cm="1">
        <f t="array" ref="AX450">_xlfn.XLOOKUP(Matrix[[#This Row],[TEAM]]&amp;Matrix[[#Headers],[38]],FDR[FDR]&amp;FDR[[#Headers],[38]],FDR[38],"",0,1)</f>
        <v>5</v>
      </c>
    </row>
    <row r="451" spans="1:50" ht="22" thickTop="1" thickBot="1">
      <c r="A451" s="52" t="s">
        <v>658</v>
      </c>
      <c r="B451" s="70" t="s">
        <v>1837</v>
      </c>
      <c r="C451" s="40" t="s">
        <v>33</v>
      </c>
      <c r="D451" s="62">
        <v>0</v>
      </c>
      <c r="E451" s="60">
        <v>3.0000000000000001E-3</v>
      </c>
      <c r="F451" s="61">
        <v>0</v>
      </c>
      <c r="G451" s="63">
        <v>4</v>
      </c>
      <c r="H451" s="261">
        <f>IF(ISBLANK(I451),0,1)</f>
        <v>0</v>
      </c>
      <c r="I451" s="57"/>
      <c r="J451" s="58"/>
      <c r="K451" s="66" t="s">
        <v>492</v>
      </c>
      <c r="L451" s="66" t="s">
        <v>97</v>
      </c>
      <c r="M451" cm="1">
        <f t="array" ref="M451">_xlfn.XLOOKUP(Matrix[[#This Row],[TEAM]]&amp;Matrix[[#Headers],[1]],FDR[FDR]&amp;FDR[[#Headers],[1]],FDR[1],"",0,1)</f>
        <v>3</v>
      </c>
      <c r="N451" cm="1">
        <f t="array" ref="N451">_xlfn.XLOOKUP(Matrix[[#This Row],[TEAM]]&amp;Matrix[[#Headers],[2]],FDR[FDR]&amp;FDR[[#Headers],[2]],FDR[2],"",0,1)</f>
        <v>3</v>
      </c>
      <c r="O451" cm="1">
        <f t="array" ref="O451">_xlfn.XLOOKUP(Matrix[[#This Row],[TEAM]]&amp;Matrix[[#Headers],[3]],FDR[FDR]&amp;FDR[[#Headers],[3]],FDR[3],"",0,1)</f>
        <v>4</v>
      </c>
      <c r="P451" cm="1">
        <f t="array" ref="P451">_xlfn.XLOOKUP(Matrix[[#This Row],[TEAM]]&amp;Matrix[[#Headers],[4]],FDR[FDR]&amp;FDR[[#Headers],[4]],FDR[4],"",0,1)</f>
        <v>4</v>
      </c>
      <c r="Q451" cm="1">
        <f t="array" ref="Q451">_xlfn.XLOOKUP(Matrix[[#This Row],[TEAM]]&amp;Matrix[[#Headers],[5]],FDR[FDR]&amp;FDR[[#Headers],[5]],FDR[5],"",0,1)</f>
        <v>4</v>
      </c>
      <c r="R451" cm="1">
        <f t="array" ref="R451">_xlfn.XLOOKUP(Matrix[[#This Row],[TEAM]]&amp;Matrix[[#Headers],[6]],FDR[FDR]&amp;FDR[[#Headers],[6]],FDR[6],"",0,1)</f>
        <v>5</v>
      </c>
      <c r="S451" cm="1">
        <f t="array" ref="S451">_xlfn.XLOOKUP(Matrix[[#This Row],[TEAM]]&amp;Matrix[[#Headers],[7]],FDR[FDR]&amp;FDR[[#Headers],[7]],FDR[7],"",0,1)</f>
        <v>2</v>
      </c>
      <c r="T451" cm="1">
        <f t="array" ref="T451">_xlfn.XLOOKUP(Matrix[[#This Row],[TEAM]]&amp;Matrix[[#Headers],[8]],FDR[FDR]&amp;FDR[[#Headers],[8]],FDR[8],"",0,1)</f>
        <v>4</v>
      </c>
      <c r="U451" cm="1">
        <f t="array" ref="U451">_xlfn.XLOOKUP(Matrix[[#This Row],[TEAM]]&amp;Matrix[[#Headers],[9]],FDR[FDR]&amp;FDR[[#Headers],[9]],FDR[9],"",0,1)</f>
        <v>5</v>
      </c>
      <c r="V451" cm="1">
        <f t="array" ref="V451">_xlfn.XLOOKUP(Matrix[[#This Row],[TEAM]]&amp;Matrix[[#Headers],[10]],FDR[FDR]&amp;FDR[[#Headers],[10]],FDR[10],"",0,1)</f>
        <v>1</v>
      </c>
      <c r="W451" cm="1">
        <f t="array" ref="W451">_xlfn.XLOOKUP(Matrix[[#This Row],[TEAM]]&amp;Matrix[[#Headers],[11]],FDR[FDR]&amp;FDR[[#Headers],[11]],FDR[11],"",0,1)</f>
        <v>3</v>
      </c>
      <c r="X451" cm="1">
        <f t="array" ref="X451">_xlfn.XLOOKUP(Matrix[[#This Row],[TEAM]]&amp;Matrix[[#Headers],[12]],FDR[FDR]&amp;FDR[[#Headers],[12]],FDR[12],"",0,1)</f>
        <v>2</v>
      </c>
      <c r="Y451" cm="1">
        <f t="array" ref="Y451">_xlfn.XLOOKUP(Matrix[[#This Row],[TEAM]]&amp;Matrix[[#Headers],[13]],FDR[FDR]&amp;FDR[[#Headers],[13]],FDR[13],"",0,1)</f>
        <v>4</v>
      </c>
      <c r="Z451" cm="1">
        <f t="array" ref="Z451">_xlfn.XLOOKUP(Matrix[[#This Row],[TEAM]]&amp;Matrix[[#Headers],[14]],FDR[FDR]&amp;FDR[[#Headers],[14]],FDR[14],"",0,1)</f>
        <v>3</v>
      </c>
      <c r="AA451" cm="1">
        <f t="array" ref="AA451">_xlfn.XLOOKUP(Matrix[[#This Row],[TEAM]]&amp;Matrix[[#Headers],[15]],FDR[FDR]&amp;FDR[[#Headers],[15]],FDR[15],"",0,1)</f>
        <v>2</v>
      </c>
      <c r="AB451" cm="1">
        <f t="array" ref="AB451">_xlfn.XLOOKUP(Matrix[[#This Row],[TEAM]]&amp;Matrix[[#Headers],[16]],FDR[FDR]&amp;FDR[[#Headers],[16]],FDR[16],"",0,1)</f>
        <v>5</v>
      </c>
      <c r="AC451" cm="1">
        <f t="array" ref="AC451">_xlfn.XLOOKUP(Matrix[[#This Row],[TEAM]]&amp;Matrix[[#Headers],[17]],FDR[FDR]&amp;FDR[[#Headers],[17]],FDR[17],"",0,1)</f>
        <v>1</v>
      </c>
      <c r="AD451" cm="1">
        <f t="array" ref="AD451">_xlfn.XLOOKUP(Matrix[[#This Row],[TEAM]]&amp;Matrix[[#Headers],[18]],FDR[FDR]&amp;FDR[[#Headers],[18]],FDR[18],"",0,1)</f>
        <v>5</v>
      </c>
      <c r="AE451" cm="1">
        <f t="array" ref="AE451">_xlfn.XLOOKUP(Matrix[[#This Row],[TEAM]]&amp;Matrix[[#Headers],[19]],FDR[FDR]&amp;FDR[[#Headers],[19]],FDR[19],"",0,1)</f>
        <v>3</v>
      </c>
      <c r="AF451" cm="1">
        <f t="array" ref="AF451">_xlfn.XLOOKUP(Matrix[[#This Row],[TEAM]]&amp;Matrix[[#Headers],[20]],FDR[FDR]&amp;FDR[[#Headers],[20]],FDR[20],"",0,1)</f>
        <v>1</v>
      </c>
      <c r="AG451" cm="1">
        <f t="array" ref="AG451">_xlfn.XLOOKUP(Matrix[[#This Row],[TEAM]]&amp;Matrix[[#Headers],[21]],FDR[FDR]&amp;FDR[[#Headers],[21]],FDR[21],"",0,1)</f>
        <v>5</v>
      </c>
      <c r="AH451" cm="1">
        <f t="array" ref="AH451">_xlfn.XLOOKUP(Matrix[[#This Row],[TEAM]]&amp;Matrix[[#Headers],[22]],FDR[FDR]&amp;FDR[[#Headers],[22]],FDR[22],"",0,1)</f>
        <v>3</v>
      </c>
      <c r="AI451" cm="1">
        <f t="array" ref="AI451">_xlfn.XLOOKUP(Matrix[[#This Row],[TEAM]]&amp;Matrix[[#Headers],[23]],FDR[FDR]&amp;FDR[[#Headers],[23]],FDR[23],"",0,1)</f>
        <v>4</v>
      </c>
      <c r="AJ451" cm="1">
        <f t="array" ref="AJ451">_xlfn.XLOOKUP(Matrix[[#This Row],[TEAM]]&amp;Matrix[[#Headers],[24]],FDR[FDR]&amp;FDR[[#Headers],[24]],FDR[24],"",0,1)</f>
        <v>2</v>
      </c>
      <c r="AK451" cm="1">
        <f t="array" ref="AK451">_xlfn.XLOOKUP(Matrix[[#This Row],[TEAM]]&amp;Matrix[[#Headers],[25]],FDR[FDR]&amp;FDR[[#Headers],[25]],FDR[25],"",0,1)</f>
        <v>2</v>
      </c>
      <c r="AL451" cm="1">
        <f t="array" ref="AL451">_xlfn.XLOOKUP(Matrix[[#This Row],[TEAM]]&amp;Matrix[[#Headers],[26]],FDR[FDR]&amp;FDR[[#Headers],[26]],FDR[26],"",0,1)</f>
        <v>5</v>
      </c>
      <c r="AM451" cm="1">
        <f t="array" ref="AM451">_xlfn.XLOOKUP(Matrix[[#This Row],[TEAM]]&amp;Matrix[[#Headers],[27]],FDR[FDR]&amp;FDR[[#Headers],[27]],FDR[27],"",0,1)</f>
        <v>3</v>
      </c>
      <c r="AN451" cm="1">
        <f t="array" ref="AN451">_xlfn.XLOOKUP(Matrix[[#This Row],[TEAM]]&amp;Matrix[[#Headers],[28]],FDR[FDR]&amp;FDR[[#Headers],[28]],FDR[28],"",0,1)</f>
        <v>3</v>
      </c>
      <c r="AO451" cm="1">
        <f t="array" ref="AO451">_xlfn.XLOOKUP(Matrix[[#This Row],[TEAM]]&amp;Matrix[[#Headers],[29]],FDR[FDR]&amp;FDR[[#Headers],[29]],FDR[29],"",0,1)</f>
        <v>4</v>
      </c>
      <c r="AP451" cm="1">
        <f t="array" ref="AP451">_xlfn.XLOOKUP(Matrix[[#This Row],[TEAM]]&amp;Matrix[[#Headers],[30]],FDR[FDR]&amp;FDR[[#Headers],[30]],FDR[30],"",0,1)</f>
        <v>2</v>
      </c>
      <c r="AQ451" cm="1">
        <f t="array" ref="AQ451">_xlfn.XLOOKUP(Matrix[[#This Row],[TEAM]]&amp;Matrix[[#Headers],[31]],FDR[FDR]&amp;FDR[[#Headers],[31]],FDR[31],"",0,1)</f>
        <v>4</v>
      </c>
      <c r="AR451" cm="1">
        <f t="array" ref="AR451">_xlfn.XLOOKUP(Matrix[[#This Row],[TEAM]]&amp;Matrix[[#Headers],[32]],FDR[FDR]&amp;FDR[[#Headers],[32]],FDR[32],"",0,1)</f>
        <v>2</v>
      </c>
      <c r="AS451" cm="1">
        <f t="array" ref="AS451">_xlfn.XLOOKUP(Matrix[[#This Row],[TEAM]]&amp;Matrix[[#Headers],[33]],FDR[FDR]&amp;FDR[[#Headers],[33]],FDR[33],"",0,1)</f>
        <v>5</v>
      </c>
      <c r="AT451" cm="1">
        <f t="array" ref="AT451">_xlfn.XLOOKUP(Matrix[[#This Row],[TEAM]]&amp;Matrix[[#Headers],[34]],FDR[FDR]&amp;FDR[[#Headers],[34]],FDR[34],"",0,1)</f>
        <v>4</v>
      </c>
      <c r="AU451" cm="1">
        <f t="array" ref="AU451">_xlfn.XLOOKUP(Matrix[[#This Row],[TEAM]]&amp;Matrix[[#Headers],[35]],FDR[FDR]&amp;FDR[[#Headers],[35]],FDR[35],"",0,1)</f>
        <v>5</v>
      </c>
      <c r="AV451" cm="1">
        <f t="array" ref="AV451">_xlfn.XLOOKUP(Matrix[[#This Row],[TEAM]]&amp;Matrix[[#Headers],[36]],FDR[FDR]&amp;FDR[[#Headers],[36]],FDR[36],"",0,1)</f>
        <v>1</v>
      </c>
      <c r="AW451" cm="1">
        <f t="array" ref="AW451">_xlfn.XLOOKUP(Matrix[[#This Row],[TEAM]]&amp;Matrix[[#Headers],[37]],FDR[FDR]&amp;FDR[[#Headers],[37]],FDR[37],"",0,1)</f>
        <v>2</v>
      </c>
      <c r="AX451" cm="1">
        <f t="array" ref="AX451">_xlfn.XLOOKUP(Matrix[[#This Row],[TEAM]]&amp;Matrix[[#Headers],[38]],FDR[FDR]&amp;FDR[[#Headers],[38]],FDR[38],"",0,1)</f>
        <v>4</v>
      </c>
    </row>
    <row r="452" spans="1:50" ht="22" thickTop="1" thickBot="1">
      <c r="A452" s="52" t="s">
        <v>658</v>
      </c>
      <c r="B452" s="70" t="s">
        <v>1824</v>
      </c>
      <c r="C452" s="40" t="s">
        <v>22</v>
      </c>
      <c r="D452" s="62">
        <v>0</v>
      </c>
      <c r="E452" s="60">
        <v>4.0000000000000001E-3</v>
      </c>
      <c r="F452" s="61">
        <v>0</v>
      </c>
      <c r="G452" s="63">
        <v>4</v>
      </c>
      <c r="H452" s="261">
        <f>IF(ISBLANK(I452),0,1)</f>
        <v>0</v>
      </c>
      <c r="I452" s="57"/>
      <c r="J452" s="58"/>
      <c r="K452" s="66" t="s">
        <v>677</v>
      </c>
      <c r="L452" s="66" t="s">
        <v>678</v>
      </c>
      <c r="M452" cm="1">
        <f t="array" ref="M452">_xlfn.XLOOKUP(Matrix[[#This Row],[TEAM]]&amp;Matrix[[#Headers],[1]],FDR[FDR]&amp;FDR[[#Headers],[1]],FDR[1],"",0,1)</f>
        <v>5</v>
      </c>
      <c r="N452" cm="1">
        <f t="array" ref="N452">_xlfn.XLOOKUP(Matrix[[#This Row],[TEAM]]&amp;Matrix[[#Headers],[2]],FDR[FDR]&amp;FDR[[#Headers],[2]],FDR[2],"",0,1)</f>
        <v>3</v>
      </c>
      <c r="O452" cm="1">
        <f t="array" ref="O452">_xlfn.XLOOKUP(Matrix[[#This Row],[TEAM]]&amp;Matrix[[#Headers],[3]],FDR[FDR]&amp;FDR[[#Headers],[3]],FDR[3],"",0,1)</f>
        <v>5</v>
      </c>
      <c r="P452" cm="1">
        <f t="array" ref="P452">_xlfn.XLOOKUP(Matrix[[#This Row],[TEAM]]&amp;Matrix[[#Headers],[4]],FDR[FDR]&amp;FDR[[#Headers],[4]],FDR[4],"",0,1)</f>
        <v>5</v>
      </c>
      <c r="Q452" cm="1">
        <f t="array" ref="Q452">_xlfn.XLOOKUP(Matrix[[#This Row],[TEAM]]&amp;Matrix[[#Headers],[5]],FDR[FDR]&amp;FDR[[#Headers],[5]],FDR[5],"",0,1)</f>
        <v>5</v>
      </c>
      <c r="R452" cm="1">
        <f t="array" ref="R452">_xlfn.XLOOKUP(Matrix[[#This Row],[TEAM]]&amp;Matrix[[#Headers],[6]],FDR[FDR]&amp;FDR[[#Headers],[6]],FDR[6],"",0,1)</f>
        <v>5</v>
      </c>
      <c r="S452" cm="1">
        <f t="array" ref="S452">_xlfn.XLOOKUP(Matrix[[#This Row],[TEAM]]&amp;Matrix[[#Headers],[7]],FDR[FDR]&amp;FDR[[#Headers],[7]],FDR[7],"",0,1)</f>
        <v>5</v>
      </c>
      <c r="T452" cm="1">
        <f t="array" ref="T452">_xlfn.XLOOKUP(Matrix[[#This Row],[TEAM]]&amp;Matrix[[#Headers],[8]],FDR[FDR]&amp;FDR[[#Headers],[8]],FDR[8],"",0,1)</f>
        <v>3</v>
      </c>
      <c r="U452" cm="1">
        <f t="array" ref="U452">_xlfn.XLOOKUP(Matrix[[#This Row],[TEAM]]&amp;Matrix[[#Headers],[9]],FDR[FDR]&amp;FDR[[#Headers],[9]],FDR[9],"",0,1)</f>
        <v>4</v>
      </c>
      <c r="V452" cm="1">
        <f t="array" ref="V452">_xlfn.XLOOKUP(Matrix[[#This Row],[TEAM]]&amp;Matrix[[#Headers],[10]],FDR[FDR]&amp;FDR[[#Headers],[10]],FDR[10],"",0,1)</f>
        <v>5</v>
      </c>
      <c r="W452" cm="1">
        <f t="array" ref="W452">_xlfn.XLOOKUP(Matrix[[#This Row],[TEAM]]&amp;Matrix[[#Headers],[11]],FDR[FDR]&amp;FDR[[#Headers],[11]],FDR[11],"",0,1)</f>
        <v>5</v>
      </c>
      <c r="X452" cm="1">
        <f t="array" ref="X452">_xlfn.XLOOKUP(Matrix[[#This Row],[TEAM]]&amp;Matrix[[#Headers],[12]],FDR[FDR]&amp;FDR[[#Headers],[12]],FDR[12],"",0,1)</f>
        <v>5</v>
      </c>
      <c r="Y452" cm="1">
        <f t="array" ref="Y452">_xlfn.XLOOKUP(Matrix[[#This Row],[TEAM]]&amp;Matrix[[#Headers],[13]],FDR[FDR]&amp;FDR[[#Headers],[13]],FDR[13],"",0,1)</f>
        <v>5</v>
      </c>
      <c r="Z452" cm="1">
        <f t="array" ref="Z452">_xlfn.XLOOKUP(Matrix[[#This Row],[TEAM]]&amp;Matrix[[#Headers],[14]],FDR[FDR]&amp;FDR[[#Headers],[14]],FDR[14],"",0,1)</f>
        <v>4</v>
      </c>
      <c r="AA452" cm="1">
        <f t="array" ref="AA452">_xlfn.XLOOKUP(Matrix[[#This Row],[TEAM]]&amp;Matrix[[#Headers],[15]],FDR[FDR]&amp;FDR[[#Headers],[15]],FDR[15],"",0,1)</f>
        <v>5</v>
      </c>
      <c r="AB452" cm="1">
        <f t="array" ref="AB452">_xlfn.XLOOKUP(Matrix[[#This Row],[TEAM]]&amp;Matrix[[#Headers],[16]],FDR[FDR]&amp;FDR[[#Headers],[16]],FDR[16],"",0,1)</f>
        <v>5</v>
      </c>
      <c r="AC452" cm="1">
        <f t="array" ref="AC452">_xlfn.XLOOKUP(Matrix[[#This Row],[TEAM]]&amp;Matrix[[#Headers],[17]],FDR[FDR]&amp;FDR[[#Headers],[17]],FDR[17],"",0,1)</f>
        <v>5</v>
      </c>
      <c r="AD452" cm="1">
        <f t="array" ref="AD452">_xlfn.XLOOKUP(Matrix[[#This Row],[TEAM]]&amp;Matrix[[#Headers],[18]],FDR[FDR]&amp;FDR[[#Headers],[18]],FDR[18],"",0,1)</f>
        <v>4</v>
      </c>
      <c r="AE452" cm="1">
        <f t="array" ref="AE452">_xlfn.XLOOKUP(Matrix[[#This Row],[TEAM]]&amp;Matrix[[#Headers],[19]],FDR[FDR]&amp;FDR[[#Headers],[19]],FDR[19],"",0,1)</f>
        <v>5</v>
      </c>
      <c r="AF452" cm="1">
        <f t="array" ref="AF452">_xlfn.XLOOKUP(Matrix[[#This Row],[TEAM]]&amp;Matrix[[#Headers],[20]],FDR[FDR]&amp;FDR[[#Headers],[20]],FDR[20],"",0,1)</f>
        <v>5</v>
      </c>
      <c r="AG452" cm="1">
        <f t="array" ref="AG452">_xlfn.XLOOKUP(Matrix[[#This Row],[TEAM]]&amp;Matrix[[#Headers],[21]],FDR[FDR]&amp;FDR[[#Headers],[21]],FDR[21],"",0,1)</f>
        <v>5</v>
      </c>
      <c r="AH452" cm="1">
        <f t="array" ref="AH452">_xlfn.XLOOKUP(Matrix[[#This Row],[TEAM]]&amp;Matrix[[#Headers],[22]],FDR[FDR]&amp;FDR[[#Headers],[22]],FDR[22],"",0,1)</f>
        <v>5</v>
      </c>
      <c r="AI452" cm="1">
        <f t="array" ref="AI452">_xlfn.XLOOKUP(Matrix[[#This Row],[TEAM]]&amp;Matrix[[#Headers],[23]],FDR[FDR]&amp;FDR[[#Headers],[23]],FDR[23],"",0,1)</f>
        <v>5</v>
      </c>
      <c r="AJ452" cm="1">
        <f t="array" ref="AJ452">_xlfn.XLOOKUP(Matrix[[#This Row],[TEAM]]&amp;Matrix[[#Headers],[24]],FDR[FDR]&amp;FDR[[#Headers],[24]],FDR[24],"",0,1)</f>
        <v>4</v>
      </c>
      <c r="AK452" cm="1">
        <f t="array" ref="AK452">_xlfn.XLOOKUP(Matrix[[#This Row],[TEAM]]&amp;Matrix[[#Headers],[25]],FDR[FDR]&amp;FDR[[#Headers],[25]],FDR[25],"",0,1)</f>
        <v>4</v>
      </c>
      <c r="AL452" cm="1">
        <f t="array" ref="AL452">_xlfn.XLOOKUP(Matrix[[#This Row],[TEAM]]&amp;Matrix[[#Headers],[26]],FDR[FDR]&amp;FDR[[#Headers],[26]],FDR[26],"",0,1)</f>
        <v>5</v>
      </c>
      <c r="AM452" cm="1">
        <f t="array" ref="AM452">_xlfn.XLOOKUP(Matrix[[#This Row],[TEAM]]&amp;Matrix[[#Headers],[27]],FDR[FDR]&amp;FDR[[#Headers],[27]],FDR[27],"",0,1)</f>
        <v>5</v>
      </c>
      <c r="AN452" cm="1">
        <f t="array" ref="AN452">_xlfn.XLOOKUP(Matrix[[#This Row],[TEAM]]&amp;Matrix[[#Headers],[28]],FDR[FDR]&amp;FDR[[#Headers],[28]],FDR[28],"",0,1)</f>
        <v>4</v>
      </c>
      <c r="AO452" cm="1">
        <f t="array" ref="AO452">_xlfn.XLOOKUP(Matrix[[#This Row],[TEAM]]&amp;Matrix[[#Headers],[29]],FDR[FDR]&amp;FDR[[#Headers],[29]],FDR[29],"",0,1)</f>
        <v>5</v>
      </c>
      <c r="AP452" cm="1">
        <f t="array" ref="AP452">_xlfn.XLOOKUP(Matrix[[#This Row],[TEAM]]&amp;Matrix[[#Headers],[30]],FDR[FDR]&amp;FDR[[#Headers],[30]],FDR[30],"",0,1)</f>
        <v>5</v>
      </c>
      <c r="AQ452" cm="1">
        <f t="array" ref="AQ452">_xlfn.XLOOKUP(Matrix[[#This Row],[TEAM]]&amp;Matrix[[#Headers],[31]],FDR[FDR]&amp;FDR[[#Headers],[31]],FDR[31],"",0,1)</f>
        <v>5</v>
      </c>
      <c r="AR452" cm="1">
        <f t="array" ref="AR452">_xlfn.XLOOKUP(Matrix[[#This Row],[TEAM]]&amp;Matrix[[#Headers],[32]],FDR[FDR]&amp;FDR[[#Headers],[32]],FDR[32],"",0,1)</f>
        <v>5</v>
      </c>
      <c r="AS452" cm="1">
        <f t="array" ref="AS452">_xlfn.XLOOKUP(Matrix[[#This Row],[TEAM]]&amp;Matrix[[#Headers],[33]],FDR[FDR]&amp;FDR[[#Headers],[33]],FDR[33],"",0,1)</f>
        <v>5</v>
      </c>
      <c r="AT452" cm="1">
        <f t="array" ref="AT452">_xlfn.XLOOKUP(Matrix[[#This Row],[TEAM]]&amp;Matrix[[#Headers],[34]],FDR[FDR]&amp;FDR[[#Headers],[34]],FDR[34],"",0,1)</f>
        <v>5</v>
      </c>
      <c r="AU452" cm="1">
        <f t="array" ref="AU452">_xlfn.XLOOKUP(Matrix[[#This Row],[TEAM]]&amp;Matrix[[#Headers],[35]],FDR[FDR]&amp;FDR[[#Headers],[35]],FDR[35],"",0,1)</f>
        <v>4</v>
      </c>
      <c r="AV452" cm="1">
        <f t="array" ref="AV452">_xlfn.XLOOKUP(Matrix[[#This Row],[TEAM]]&amp;Matrix[[#Headers],[36]],FDR[FDR]&amp;FDR[[#Headers],[36]],FDR[36],"",0,1)</f>
        <v>5</v>
      </c>
      <c r="AW452" cm="1">
        <f t="array" ref="AW452">_xlfn.XLOOKUP(Matrix[[#This Row],[TEAM]]&amp;Matrix[[#Headers],[37]],FDR[FDR]&amp;FDR[[#Headers],[37]],FDR[37],"",0,1)</f>
        <v>5</v>
      </c>
      <c r="AX452" cm="1">
        <f t="array" ref="AX452">_xlfn.XLOOKUP(Matrix[[#This Row],[TEAM]]&amp;Matrix[[#Headers],[38]],FDR[FDR]&amp;FDR[[#Headers],[38]],FDR[38],"",0,1)</f>
        <v>3</v>
      </c>
    </row>
    <row r="453" spans="1:50" ht="22" thickTop="1" thickBot="1">
      <c r="A453" s="52" t="s">
        <v>658</v>
      </c>
      <c r="B453" s="70" t="s">
        <v>1838</v>
      </c>
      <c r="C453" s="40" t="s">
        <v>22</v>
      </c>
      <c r="D453" s="62">
        <v>0</v>
      </c>
      <c r="E453" s="60">
        <v>3.0000000000000001E-3</v>
      </c>
      <c r="F453" s="61">
        <v>0</v>
      </c>
      <c r="G453" s="63">
        <v>4</v>
      </c>
      <c r="H453" s="261">
        <f>IF(ISBLANK(I453),0,1)</f>
        <v>0</v>
      </c>
      <c r="I453" s="57"/>
      <c r="J453" s="58"/>
      <c r="K453" s="66" t="s">
        <v>679</v>
      </c>
      <c r="L453" s="66" t="s">
        <v>680</v>
      </c>
      <c r="M453" cm="1">
        <f t="array" ref="M453">_xlfn.XLOOKUP(Matrix[[#This Row],[TEAM]]&amp;Matrix[[#Headers],[1]],FDR[FDR]&amp;FDR[[#Headers],[1]],FDR[1],"",0,1)</f>
        <v>5</v>
      </c>
      <c r="N453" cm="1">
        <f t="array" ref="N453">_xlfn.XLOOKUP(Matrix[[#This Row],[TEAM]]&amp;Matrix[[#Headers],[2]],FDR[FDR]&amp;FDR[[#Headers],[2]],FDR[2],"",0,1)</f>
        <v>3</v>
      </c>
      <c r="O453" cm="1">
        <f t="array" ref="O453">_xlfn.XLOOKUP(Matrix[[#This Row],[TEAM]]&amp;Matrix[[#Headers],[3]],FDR[FDR]&amp;FDR[[#Headers],[3]],FDR[3],"",0,1)</f>
        <v>5</v>
      </c>
      <c r="P453" cm="1">
        <f t="array" ref="P453">_xlfn.XLOOKUP(Matrix[[#This Row],[TEAM]]&amp;Matrix[[#Headers],[4]],FDR[FDR]&amp;FDR[[#Headers],[4]],FDR[4],"",0,1)</f>
        <v>5</v>
      </c>
      <c r="Q453" cm="1">
        <f t="array" ref="Q453">_xlfn.XLOOKUP(Matrix[[#This Row],[TEAM]]&amp;Matrix[[#Headers],[5]],FDR[FDR]&amp;FDR[[#Headers],[5]],FDR[5],"",0,1)</f>
        <v>5</v>
      </c>
      <c r="R453" cm="1">
        <f t="array" ref="R453">_xlfn.XLOOKUP(Matrix[[#This Row],[TEAM]]&amp;Matrix[[#Headers],[6]],FDR[FDR]&amp;FDR[[#Headers],[6]],FDR[6],"",0,1)</f>
        <v>5</v>
      </c>
      <c r="S453" cm="1">
        <f t="array" ref="S453">_xlfn.XLOOKUP(Matrix[[#This Row],[TEAM]]&amp;Matrix[[#Headers],[7]],FDR[FDR]&amp;FDR[[#Headers],[7]],FDR[7],"",0,1)</f>
        <v>5</v>
      </c>
      <c r="T453" cm="1">
        <f t="array" ref="T453">_xlfn.XLOOKUP(Matrix[[#This Row],[TEAM]]&amp;Matrix[[#Headers],[8]],FDR[FDR]&amp;FDR[[#Headers],[8]],FDR[8],"",0,1)</f>
        <v>3</v>
      </c>
      <c r="U453" cm="1">
        <f t="array" ref="U453">_xlfn.XLOOKUP(Matrix[[#This Row],[TEAM]]&amp;Matrix[[#Headers],[9]],FDR[FDR]&amp;FDR[[#Headers],[9]],FDR[9],"",0,1)</f>
        <v>4</v>
      </c>
      <c r="V453" cm="1">
        <f t="array" ref="V453">_xlfn.XLOOKUP(Matrix[[#This Row],[TEAM]]&amp;Matrix[[#Headers],[10]],FDR[FDR]&amp;FDR[[#Headers],[10]],FDR[10],"",0,1)</f>
        <v>5</v>
      </c>
      <c r="W453" cm="1">
        <f t="array" ref="W453">_xlfn.XLOOKUP(Matrix[[#This Row],[TEAM]]&amp;Matrix[[#Headers],[11]],FDR[FDR]&amp;FDR[[#Headers],[11]],FDR[11],"",0,1)</f>
        <v>5</v>
      </c>
      <c r="X453" cm="1">
        <f t="array" ref="X453">_xlfn.XLOOKUP(Matrix[[#This Row],[TEAM]]&amp;Matrix[[#Headers],[12]],FDR[FDR]&amp;FDR[[#Headers],[12]],FDR[12],"",0,1)</f>
        <v>5</v>
      </c>
      <c r="Y453" cm="1">
        <f t="array" ref="Y453">_xlfn.XLOOKUP(Matrix[[#This Row],[TEAM]]&amp;Matrix[[#Headers],[13]],FDR[FDR]&amp;FDR[[#Headers],[13]],FDR[13],"",0,1)</f>
        <v>5</v>
      </c>
      <c r="Z453" cm="1">
        <f t="array" ref="Z453">_xlfn.XLOOKUP(Matrix[[#This Row],[TEAM]]&amp;Matrix[[#Headers],[14]],FDR[FDR]&amp;FDR[[#Headers],[14]],FDR[14],"",0,1)</f>
        <v>4</v>
      </c>
      <c r="AA453" cm="1">
        <f t="array" ref="AA453">_xlfn.XLOOKUP(Matrix[[#This Row],[TEAM]]&amp;Matrix[[#Headers],[15]],FDR[FDR]&amp;FDR[[#Headers],[15]],FDR[15],"",0,1)</f>
        <v>5</v>
      </c>
      <c r="AB453" cm="1">
        <f t="array" ref="AB453">_xlfn.XLOOKUP(Matrix[[#This Row],[TEAM]]&amp;Matrix[[#Headers],[16]],FDR[FDR]&amp;FDR[[#Headers],[16]],FDR[16],"",0,1)</f>
        <v>5</v>
      </c>
      <c r="AC453" cm="1">
        <f t="array" ref="AC453">_xlfn.XLOOKUP(Matrix[[#This Row],[TEAM]]&amp;Matrix[[#Headers],[17]],FDR[FDR]&amp;FDR[[#Headers],[17]],FDR[17],"",0,1)</f>
        <v>5</v>
      </c>
      <c r="AD453" cm="1">
        <f t="array" ref="AD453">_xlfn.XLOOKUP(Matrix[[#This Row],[TEAM]]&amp;Matrix[[#Headers],[18]],FDR[FDR]&amp;FDR[[#Headers],[18]],FDR[18],"",0,1)</f>
        <v>4</v>
      </c>
      <c r="AE453" cm="1">
        <f t="array" ref="AE453">_xlfn.XLOOKUP(Matrix[[#This Row],[TEAM]]&amp;Matrix[[#Headers],[19]],FDR[FDR]&amp;FDR[[#Headers],[19]],FDR[19],"",0,1)</f>
        <v>5</v>
      </c>
      <c r="AF453" cm="1">
        <f t="array" ref="AF453">_xlfn.XLOOKUP(Matrix[[#This Row],[TEAM]]&amp;Matrix[[#Headers],[20]],FDR[FDR]&amp;FDR[[#Headers],[20]],FDR[20],"",0,1)</f>
        <v>5</v>
      </c>
      <c r="AG453" cm="1">
        <f t="array" ref="AG453">_xlfn.XLOOKUP(Matrix[[#This Row],[TEAM]]&amp;Matrix[[#Headers],[21]],FDR[FDR]&amp;FDR[[#Headers],[21]],FDR[21],"",0,1)</f>
        <v>5</v>
      </c>
      <c r="AH453" cm="1">
        <f t="array" ref="AH453">_xlfn.XLOOKUP(Matrix[[#This Row],[TEAM]]&amp;Matrix[[#Headers],[22]],FDR[FDR]&amp;FDR[[#Headers],[22]],FDR[22],"",0,1)</f>
        <v>5</v>
      </c>
      <c r="AI453" cm="1">
        <f t="array" ref="AI453">_xlfn.XLOOKUP(Matrix[[#This Row],[TEAM]]&amp;Matrix[[#Headers],[23]],FDR[FDR]&amp;FDR[[#Headers],[23]],FDR[23],"",0,1)</f>
        <v>5</v>
      </c>
      <c r="AJ453" cm="1">
        <f t="array" ref="AJ453">_xlfn.XLOOKUP(Matrix[[#This Row],[TEAM]]&amp;Matrix[[#Headers],[24]],FDR[FDR]&amp;FDR[[#Headers],[24]],FDR[24],"",0,1)</f>
        <v>4</v>
      </c>
      <c r="AK453" cm="1">
        <f t="array" ref="AK453">_xlfn.XLOOKUP(Matrix[[#This Row],[TEAM]]&amp;Matrix[[#Headers],[25]],FDR[FDR]&amp;FDR[[#Headers],[25]],FDR[25],"",0,1)</f>
        <v>4</v>
      </c>
      <c r="AL453" cm="1">
        <f t="array" ref="AL453">_xlfn.XLOOKUP(Matrix[[#This Row],[TEAM]]&amp;Matrix[[#Headers],[26]],FDR[FDR]&amp;FDR[[#Headers],[26]],FDR[26],"",0,1)</f>
        <v>5</v>
      </c>
      <c r="AM453" cm="1">
        <f t="array" ref="AM453">_xlfn.XLOOKUP(Matrix[[#This Row],[TEAM]]&amp;Matrix[[#Headers],[27]],FDR[FDR]&amp;FDR[[#Headers],[27]],FDR[27],"",0,1)</f>
        <v>5</v>
      </c>
      <c r="AN453" cm="1">
        <f t="array" ref="AN453">_xlfn.XLOOKUP(Matrix[[#This Row],[TEAM]]&amp;Matrix[[#Headers],[28]],FDR[FDR]&amp;FDR[[#Headers],[28]],FDR[28],"",0,1)</f>
        <v>4</v>
      </c>
      <c r="AO453" cm="1">
        <f t="array" ref="AO453">_xlfn.XLOOKUP(Matrix[[#This Row],[TEAM]]&amp;Matrix[[#Headers],[29]],FDR[FDR]&amp;FDR[[#Headers],[29]],FDR[29],"",0,1)</f>
        <v>5</v>
      </c>
      <c r="AP453" cm="1">
        <f t="array" ref="AP453">_xlfn.XLOOKUP(Matrix[[#This Row],[TEAM]]&amp;Matrix[[#Headers],[30]],FDR[FDR]&amp;FDR[[#Headers],[30]],FDR[30],"",0,1)</f>
        <v>5</v>
      </c>
      <c r="AQ453" cm="1">
        <f t="array" ref="AQ453">_xlfn.XLOOKUP(Matrix[[#This Row],[TEAM]]&amp;Matrix[[#Headers],[31]],FDR[FDR]&amp;FDR[[#Headers],[31]],FDR[31],"",0,1)</f>
        <v>5</v>
      </c>
      <c r="AR453" cm="1">
        <f t="array" ref="AR453">_xlfn.XLOOKUP(Matrix[[#This Row],[TEAM]]&amp;Matrix[[#Headers],[32]],FDR[FDR]&amp;FDR[[#Headers],[32]],FDR[32],"",0,1)</f>
        <v>5</v>
      </c>
      <c r="AS453" cm="1">
        <f t="array" ref="AS453">_xlfn.XLOOKUP(Matrix[[#This Row],[TEAM]]&amp;Matrix[[#Headers],[33]],FDR[FDR]&amp;FDR[[#Headers],[33]],FDR[33],"",0,1)</f>
        <v>5</v>
      </c>
      <c r="AT453" cm="1">
        <f t="array" ref="AT453">_xlfn.XLOOKUP(Matrix[[#This Row],[TEAM]]&amp;Matrix[[#Headers],[34]],FDR[FDR]&amp;FDR[[#Headers],[34]],FDR[34],"",0,1)</f>
        <v>5</v>
      </c>
      <c r="AU453" cm="1">
        <f t="array" ref="AU453">_xlfn.XLOOKUP(Matrix[[#This Row],[TEAM]]&amp;Matrix[[#Headers],[35]],FDR[FDR]&amp;FDR[[#Headers],[35]],FDR[35],"",0,1)</f>
        <v>4</v>
      </c>
      <c r="AV453" cm="1">
        <f t="array" ref="AV453">_xlfn.XLOOKUP(Matrix[[#This Row],[TEAM]]&amp;Matrix[[#Headers],[36]],FDR[FDR]&amp;FDR[[#Headers],[36]],FDR[36],"",0,1)</f>
        <v>5</v>
      </c>
      <c r="AW453" cm="1">
        <f t="array" ref="AW453">_xlfn.XLOOKUP(Matrix[[#This Row],[TEAM]]&amp;Matrix[[#Headers],[37]],FDR[FDR]&amp;FDR[[#Headers],[37]],FDR[37],"",0,1)</f>
        <v>5</v>
      </c>
      <c r="AX453" cm="1">
        <f t="array" ref="AX453">_xlfn.XLOOKUP(Matrix[[#This Row],[TEAM]]&amp;Matrix[[#Headers],[38]],FDR[FDR]&amp;FDR[[#Headers],[38]],FDR[38],"",0,1)</f>
        <v>3</v>
      </c>
    </row>
    <row r="454" spans="1:50" ht="22" thickTop="1" thickBot="1">
      <c r="A454" s="52" t="s">
        <v>658</v>
      </c>
      <c r="B454" s="70" t="s">
        <v>1879</v>
      </c>
      <c r="C454" s="40" t="s">
        <v>18</v>
      </c>
      <c r="D454" s="62">
        <v>0</v>
      </c>
      <c r="E454" s="60">
        <v>1E-3</v>
      </c>
      <c r="F454" s="61">
        <v>0</v>
      </c>
      <c r="G454" s="63">
        <v>4</v>
      </c>
      <c r="H454" s="261">
        <f>IF(ISBLANK(I454),0,1)</f>
        <v>0</v>
      </c>
      <c r="I454" s="57"/>
      <c r="J454" s="58"/>
      <c r="K454" s="66" t="s">
        <v>72</v>
      </c>
      <c r="L454" s="66" t="s">
        <v>99</v>
      </c>
      <c r="M454" cm="1">
        <f t="array" ref="M454">_xlfn.XLOOKUP(Matrix[[#This Row],[TEAM]]&amp;Matrix[[#Headers],[1]],FDR[FDR]&amp;FDR[[#Headers],[1]],FDR[1],"",0,1)</f>
        <v>1</v>
      </c>
      <c r="N454" cm="1">
        <f t="array" ref="N454">_xlfn.XLOOKUP(Matrix[[#This Row],[TEAM]]&amp;Matrix[[#Headers],[2]],FDR[FDR]&amp;FDR[[#Headers],[2]],FDR[2],"",0,1)</f>
        <v>2</v>
      </c>
      <c r="O454" cm="1">
        <f t="array" ref="O454">_xlfn.XLOOKUP(Matrix[[#This Row],[TEAM]]&amp;Matrix[[#Headers],[3]],FDR[FDR]&amp;FDR[[#Headers],[3]],FDR[3],"",0,1)</f>
        <v>1</v>
      </c>
      <c r="P454" cm="1">
        <f t="array" ref="P454">_xlfn.XLOOKUP(Matrix[[#This Row],[TEAM]]&amp;Matrix[[#Headers],[4]],FDR[FDR]&amp;FDR[[#Headers],[4]],FDR[4],"",0,1)</f>
        <v>2</v>
      </c>
      <c r="Q454" cm="1">
        <f t="array" ref="Q454">_xlfn.XLOOKUP(Matrix[[#This Row],[TEAM]]&amp;Matrix[[#Headers],[5]],FDR[FDR]&amp;FDR[[#Headers],[5]],FDR[5],"",0,1)</f>
        <v>3</v>
      </c>
      <c r="R454" cm="1">
        <f t="array" ref="R454">_xlfn.XLOOKUP(Matrix[[#This Row],[TEAM]]&amp;Matrix[[#Headers],[6]],FDR[FDR]&amp;FDR[[#Headers],[6]],FDR[6],"",0,1)</f>
        <v>1</v>
      </c>
      <c r="S454" cm="1">
        <f t="array" ref="S454">_xlfn.XLOOKUP(Matrix[[#This Row],[TEAM]]&amp;Matrix[[#Headers],[7]],FDR[FDR]&amp;FDR[[#Headers],[7]],FDR[7],"",0,1)</f>
        <v>3</v>
      </c>
      <c r="T454" cm="1">
        <f t="array" ref="T454">_xlfn.XLOOKUP(Matrix[[#This Row],[TEAM]]&amp;Matrix[[#Headers],[8]],FDR[FDR]&amp;FDR[[#Headers],[8]],FDR[8],"",0,1)</f>
        <v>2</v>
      </c>
      <c r="U454" cm="1">
        <f t="array" ref="U454">_xlfn.XLOOKUP(Matrix[[#This Row],[TEAM]]&amp;Matrix[[#Headers],[9]],FDR[FDR]&amp;FDR[[#Headers],[9]],FDR[9],"",0,1)</f>
        <v>1</v>
      </c>
      <c r="V454" cm="1">
        <f t="array" ref="V454">_xlfn.XLOOKUP(Matrix[[#This Row],[TEAM]]&amp;Matrix[[#Headers],[10]],FDR[FDR]&amp;FDR[[#Headers],[10]],FDR[10],"",0,1)</f>
        <v>3</v>
      </c>
      <c r="W454" cm="1">
        <f t="array" ref="W454">_xlfn.XLOOKUP(Matrix[[#This Row],[TEAM]]&amp;Matrix[[#Headers],[11]],FDR[FDR]&amp;FDR[[#Headers],[11]],FDR[11],"",0,1)</f>
        <v>1</v>
      </c>
      <c r="X454" cm="1">
        <f t="array" ref="X454">_xlfn.XLOOKUP(Matrix[[#This Row],[TEAM]]&amp;Matrix[[#Headers],[12]],FDR[FDR]&amp;FDR[[#Headers],[12]],FDR[12],"",0,1)</f>
        <v>1</v>
      </c>
      <c r="Y454" cm="1">
        <f t="array" ref="Y454">_xlfn.XLOOKUP(Matrix[[#This Row],[TEAM]]&amp;Matrix[[#Headers],[13]],FDR[FDR]&amp;FDR[[#Headers],[13]],FDR[13],"",0,1)</f>
        <v>3</v>
      </c>
      <c r="Z454" cm="1">
        <f t="array" ref="Z454">_xlfn.XLOOKUP(Matrix[[#This Row],[TEAM]]&amp;Matrix[[#Headers],[14]],FDR[FDR]&amp;FDR[[#Headers],[14]],FDR[14],"",0,1)</f>
        <v>1</v>
      </c>
      <c r="AA454" cm="1">
        <f t="array" ref="AA454">_xlfn.XLOOKUP(Matrix[[#This Row],[TEAM]]&amp;Matrix[[#Headers],[15]],FDR[FDR]&amp;FDR[[#Headers],[15]],FDR[15],"",0,1)</f>
        <v>2</v>
      </c>
      <c r="AB454" cm="1">
        <f t="array" ref="AB454">_xlfn.XLOOKUP(Matrix[[#This Row],[TEAM]]&amp;Matrix[[#Headers],[16]],FDR[FDR]&amp;FDR[[#Headers],[16]],FDR[16],"",0,1)</f>
        <v>1</v>
      </c>
      <c r="AC454" cm="1">
        <f t="array" ref="AC454">_xlfn.XLOOKUP(Matrix[[#This Row],[TEAM]]&amp;Matrix[[#Headers],[17]],FDR[FDR]&amp;FDR[[#Headers],[17]],FDR[17],"",0,1)</f>
        <v>3</v>
      </c>
      <c r="AD454" cm="1">
        <f t="array" ref="AD454">_xlfn.XLOOKUP(Matrix[[#This Row],[TEAM]]&amp;Matrix[[#Headers],[18]],FDR[FDR]&amp;FDR[[#Headers],[18]],FDR[18],"",0,1)</f>
        <v>2</v>
      </c>
      <c r="AE454" cm="1">
        <f t="array" ref="AE454">_xlfn.XLOOKUP(Matrix[[#This Row],[TEAM]]&amp;Matrix[[#Headers],[19]],FDR[FDR]&amp;FDR[[#Headers],[19]],FDR[19],"",0,1)</f>
        <v>1</v>
      </c>
      <c r="AF454" cm="1">
        <f t="array" ref="AF454">_xlfn.XLOOKUP(Matrix[[#This Row],[TEAM]]&amp;Matrix[[#Headers],[20]],FDR[FDR]&amp;FDR[[#Headers],[20]],FDR[20],"",0,1)</f>
        <v>4</v>
      </c>
      <c r="AG454" cm="1">
        <f t="array" ref="AG454">_xlfn.XLOOKUP(Matrix[[#This Row],[TEAM]]&amp;Matrix[[#Headers],[21]],FDR[FDR]&amp;FDR[[#Headers],[21]],FDR[21],"",0,1)</f>
        <v>2</v>
      </c>
      <c r="AH454" cm="1">
        <f t="array" ref="AH454">_xlfn.XLOOKUP(Matrix[[#This Row],[TEAM]]&amp;Matrix[[#Headers],[22]],FDR[FDR]&amp;FDR[[#Headers],[22]],FDR[22],"",0,1)</f>
        <v>1</v>
      </c>
      <c r="AI454" cm="1">
        <f t="array" ref="AI454">_xlfn.XLOOKUP(Matrix[[#This Row],[TEAM]]&amp;Matrix[[#Headers],[23]],FDR[FDR]&amp;FDR[[#Headers],[23]],FDR[23],"",0,1)</f>
        <v>2</v>
      </c>
      <c r="AJ454" cm="1">
        <f t="array" ref="AJ454">_xlfn.XLOOKUP(Matrix[[#This Row],[TEAM]]&amp;Matrix[[#Headers],[24]],FDR[FDR]&amp;FDR[[#Headers],[24]],FDR[24],"",0,1)</f>
        <v>1</v>
      </c>
      <c r="AK454" cm="1">
        <f t="array" ref="AK454">_xlfn.XLOOKUP(Matrix[[#This Row],[TEAM]]&amp;Matrix[[#Headers],[25]],FDR[FDR]&amp;FDR[[#Headers],[25]],FDR[25],"",0,1)</f>
        <v>1</v>
      </c>
      <c r="AL454" cm="1">
        <f t="array" ref="AL454">_xlfn.XLOOKUP(Matrix[[#This Row],[TEAM]]&amp;Matrix[[#Headers],[26]],FDR[FDR]&amp;FDR[[#Headers],[26]],FDR[26],"",0,1)</f>
        <v>1</v>
      </c>
      <c r="AM454" cm="1">
        <f t="array" ref="AM454">_xlfn.XLOOKUP(Matrix[[#This Row],[TEAM]]&amp;Matrix[[#Headers],[27]],FDR[FDR]&amp;FDR[[#Headers],[27]],FDR[27],"",0,1)</f>
        <v>1</v>
      </c>
      <c r="AN454" cm="1">
        <f t="array" ref="AN454">_xlfn.XLOOKUP(Matrix[[#This Row],[TEAM]]&amp;Matrix[[#Headers],[28]],FDR[FDR]&amp;FDR[[#Headers],[28]],FDR[28],"",0,1)</f>
        <v>4</v>
      </c>
      <c r="AO454" cm="1">
        <f t="array" ref="AO454">_xlfn.XLOOKUP(Matrix[[#This Row],[TEAM]]&amp;Matrix[[#Headers],[29]],FDR[FDR]&amp;FDR[[#Headers],[29]],FDR[29],"",0,1)</f>
        <v>3</v>
      </c>
      <c r="AP454" cm="1">
        <f t="array" ref="AP454">_xlfn.XLOOKUP(Matrix[[#This Row],[TEAM]]&amp;Matrix[[#Headers],[30]],FDR[FDR]&amp;FDR[[#Headers],[30]],FDR[30],"",0,1)</f>
        <v>2</v>
      </c>
      <c r="AQ454" cm="1">
        <f t="array" ref="AQ454">_xlfn.XLOOKUP(Matrix[[#This Row],[TEAM]]&amp;Matrix[[#Headers],[31]],FDR[FDR]&amp;FDR[[#Headers],[31]],FDR[31],"",0,1)</f>
        <v>2</v>
      </c>
      <c r="AR454" cm="1">
        <f t="array" ref="AR454">_xlfn.XLOOKUP(Matrix[[#This Row],[TEAM]]&amp;Matrix[[#Headers],[32]],FDR[FDR]&amp;FDR[[#Headers],[32]],FDR[32],"",0,1)</f>
        <v>3</v>
      </c>
      <c r="AS454" cm="1">
        <f t="array" ref="AS454">_xlfn.XLOOKUP(Matrix[[#This Row],[TEAM]]&amp;Matrix[[#Headers],[33]],FDR[FDR]&amp;FDR[[#Headers],[33]],FDR[33],"",0,1)</f>
        <v>2</v>
      </c>
      <c r="AT454" cm="1">
        <f t="array" ref="AT454">_xlfn.XLOOKUP(Matrix[[#This Row],[TEAM]]&amp;Matrix[[#Headers],[34]],FDR[FDR]&amp;FDR[[#Headers],[34]],FDR[34],"",0,1)</f>
        <v>2</v>
      </c>
      <c r="AU454" cm="1">
        <f t="array" ref="AU454">_xlfn.XLOOKUP(Matrix[[#This Row],[TEAM]]&amp;Matrix[[#Headers],[35]],FDR[FDR]&amp;FDR[[#Headers],[35]],FDR[35],"",0,1)</f>
        <v>1</v>
      </c>
      <c r="AV454" cm="1">
        <f t="array" ref="AV454">_xlfn.XLOOKUP(Matrix[[#This Row],[TEAM]]&amp;Matrix[[#Headers],[36]],FDR[FDR]&amp;FDR[[#Headers],[36]],FDR[36],"",0,1)</f>
        <v>4</v>
      </c>
      <c r="AW454" cm="1">
        <f t="array" ref="AW454">_xlfn.XLOOKUP(Matrix[[#This Row],[TEAM]]&amp;Matrix[[#Headers],[37]],FDR[FDR]&amp;FDR[[#Headers],[37]],FDR[37],"",0,1)</f>
        <v>2</v>
      </c>
      <c r="AX454" cm="1">
        <f t="array" ref="AX454">_xlfn.XLOOKUP(Matrix[[#This Row],[TEAM]]&amp;Matrix[[#Headers],[38]],FDR[FDR]&amp;FDR[[#Headers],[38]],FDR[38],"",0,1)</f>
        <v>1</v>
      </c>
    </row>
    <row r="455" spans="1:50" ht="22" thickTop="1" thickBot="1">
      <c r="A455" s="52" t="s">
        <v>658</v>
      </c>
      <c r="B455" s="70" t="s">
        <v>1825</v>
      </c>
      <c r="C455" s="40" t="s">
        <v>26</v>
      </c>
      <c r="D455" s="62">
        <v>0</v>
      </c>
      <c r="E455" s="60">
        <v>4.0000000000000001E-3</v>
      </c>
      <c r="F455" s="61">
        <v>0</v>
      </c>
      <c r="G455" s="63">
        <v>4</v>
      </c>
      <c r="H455" s="261">
        <f>IF(ISBLANK(I455),0,1)</f>
        <v>0</v>
      </c>
      <c r="I455" s="57"/>
      <c r="J455" s="58"/>
      <c r="K455" s="66" t="s">
        <v>687</v>
      </c>
      <c r="L455" s="66" t="s">
        <v>688</v>
      </c>
      <c r="M455" cm="1">
        <f t="array" ref="M455">_xlfn.XLOOKUP(Matrix[[#This Row],[TEAM]]&amp;Matrix[[#Headers],[1]],FDR[FDR]&amp;FDR[[#Headers],[1]],FDR[1],"",0,1)</f>
        <v>5</v>
      </c>
      <c r="N455" cm="1">
        <f t="array" ref="N455">_xlfn.XLOOKUP(Matrix[[#This Row],[TEAM]]&amp;Matrix[[#Headers],[2]],FDR[FDR]&amp;FDR[[#Headers],[2]],FDR[2],"",0,1)</f>
        <v>3</v>
      </c>
      <c r="O455" cm="1">
        <f t="array" ref="O455">_xlfn.XLOOKUP(Matrix[[#This Row],[TEAM]]&amp;Matrix[[#Headers],[3]],FDR[FDR]&amp;FDR[[#Headers],[3]],FDR[3],"",0,1)</f>
        <v>5</v>
      </c>
      <c r="P455" cm="1">
        <f t="array" ref="P455">_xlfn.XLOOKUP(Matrix[[#This Row],[TEAM]]&amp;Matrix[[#Headers],[4]],FDR[FDR]&amp;FDR[[#Headers],[4]],FDR[4],"",0,1)</f>
        <v>1</v>
      </c>
      <c r="Q455" cm="1">
        <f t="array" ref="Q455">_xlfn.XLOOKUP(Matrix[[#This Row],[TEAM]]&amp;Matrix[[#Headers],[5]],FDR[FDR]&amp;FDR[[#Headers],[5]],FDR[5],"",0,1)</f>
        <v>4</v>
      </c>
      <c r="R455" cm="1">
        <f t="array" ref="R455">_xlfn.XLOOKUP(Matrix[[#This Row],[TEAM]]&amp;Matrix[[#Headers],[6]],FDR[FDR]&amp;FDR[[#Headers],[6]],FDR[6],"",0,1)</f>
        <v>4</v>
      </c>
      <c r="S455" cm="1">
        <f t="array" ref="S455">_xlfn.XLOOKUP(Matrix[[#This Row],[TEAM]]&amp;Matrix[[#Headers],[7]],FDR[FDR]&amp;FDR[[#Headers],[7]],FDR[7],"",0,1)</f>
        <v>4</v>
      </c>
      <c r="T455" cm="1">
        <f t="array" ref="T455">_xlfn.XLOOKUP(Matrix[[#This Row],[TEAM]]&amp;Matrix[[#Headers],[8]],FDR[FDR]&amp;FDR[[#Headers],[8]],FDR[8],"",0,1)</f>
        <v>3</v>
      </c>
      <c r="U455" cm="1">
        <f t="array" ref="U455">_xlfn.XLOOKUP(Matrix[[#This Row],[TEAM]]&amp;Matrix[[#Headers],[9]],FDR[FDR]&amp;FDR[[#Headers],[9]],FDR[9],"",0,1)</f>
        <v>5</v>
      </c>
      <c r="V455" cm="1">
        <f t="array" ref="V455">_xlfn.XLOOKUP(Matrix[[#This Row],[TEAM]]&amp;Matrix[[#Headers],[10]],FDR[FDR]&amp;FDR[[#Headers],[10]],FDR[10],"",0,1)</f>
        <v>3</v>
      </c>
      <c r="W455" cm="1">
        <f t="array" ref="W455">_xlfn.XLOOKUP(Matrix[[#This Row],[TEAM]]&amp;Matrix[[#Headers],[11]],FDR[FDR]&amp;FDR[[#Headers],[11]],FDR[11],"",0,1)</f>
        <v>3</v>
      </c>
      <c r="X455" cm="1">
        <f t="array" ref="X455">_xlfn.XLOOKUP(Matrix[[#This Row],[TEAM]]&amp;Matrix[[#Headers],[12]],FDR[FDR]&amp;FDR[[#Headers],[12]],FDR[12],"",0,1)</f>
        <v>2</v>
      </c>
      <c r="Y455" cm="1">
        <f t="array" ref="Y455">_xlfn.XLOOKUP(Matrix[[#This Row],[TEAM]]&amp;Matrix[[#Headers],[13]],FDR[FDR]&amp;FDR[[#Headers],[13]],FDR[13],"",0,1)</f>
        <v>4</v>
      </c>
      <c r="Z455" cm="1">
        <f t="array" ref="Z455">_xlfn.XLOOKUP(Matrix[[#This Row],[TEAM]]&amp;Matrix[[#Headers],[14]],FDR[FDR]&amp;FDR[[#Headers],[14]],FDR[14],"",0,1)</f>
        <v>2</v>
      </c>
      <c r="AA455" cm="1">
        <f t="array" ref="AA455">_xlfn.XLOOKUP(Matrix[[#This Row],[TEAM]]&amp;Matrix[[#Headers],[15]],FDR[FDR]&amp;FDR[[#Headers],[15]],FDR[15],"",0,1)</f>
        <v>4</v>
      </c>
      <c r="AB455" cm="1">
        <f t="array" ref="AB455">_xlfn.XLOOKUP(Matrix[[#This Row],[TEAM]]&amp;Matrix[[#Headers],[16]],FDR[FDR]&amp;FDR[[#Headers],[16]],FDR[16],"",0,1)</f>
        <v>4</v>
      </c>
      <c r="AC455" cm="1">
        <f t="array" ref="AC455">_xlfn.XLOOKUP(Matrix[[#This Row],[TEAM]]&amp;Matrix[[#Headers],[17]],FDR[FDR]&amp;FDR[[#Headers],[17]],FDR[17],"",0,1)</f>
        <v>2</v>
      </c>
      <c r="AD455" cm="1">
        <f t="array" ref="AD455">_xlfn.XLOOKUP(Matrix[[#This Row],[TEAM]]&amp;Matrix[[#Headers],[18]],FDR[FDR]&amp;FDR[[#Headers],[18]],FDR[18],"",0,1)</f>
        <v>4</v>
      </c>
      <c r="AE455" cm="1">
        <f t="array" ref="AE455">_xlfn.XLOOKUP(Matrix[[#This Row],[TEAM]]&amp;Matrix[[#Headers],[19]],FDR[FDR]&amp;FDR[[#Headers],[19]],FDR[19],"",0,1)</f>
        <v>3</v>
      </c>
      <c r="AF455" cm="1">
        <f t="array" ref="AF455">_xlfn.XLOOKUP(Matrix[[#This Row],[TEAM]]&amp;Matrix[[#Headers],[20]],FDR[FDR]&amp;FDR[[#Headers],[20]],FDR[20],"",0,1)</f>
        <v>5</v>
      </c>
      <c r="AG455" cm="1">
        <f t="array" ref="AG455">_xlfn.XLOOKUP(Matrix[[#This Row],[TEAM]]&amp;Matrix[[#Headers],[21]],FDR[FDR]&amp;FDR[[#Headers],[21]],FDR[21],"",0,1)</f>
        <v>4</v>
      </c>
      <c r="AH455" cm="1">
        <f t="array" ref="AH455">_xlfn.XLOOKUP(Matrix[[#This Row],[TEAM]]&amp;Matrix[[#Headers],[22]],FDR[FDR]&amp;FDR[[#Headers],[22]],FDR[22],"",0,1)</f>
        <v>2</v>
      </c>
      <c r="AI455" cm="1">
        <f t="array" ref="AI455">_xlfn.XLOOKUP(Matrix[[#This Row],[TEAM]]&amp;Matrix[[#Headers],[23]],FDR[FDR]&amp;FDR[[#Headers],[23]],FDR[23],"",0,1)</f>
        <v>4</v>
      </c>
      <c r="AJ455" cm="1">
        <f t="array" ref="AJ455">_xlfn.XLOOKUP(Matrix[[#This Row],[TEAM]]&amp;Matrix[[#Headers],[24]],FDR[FDR]&amp;FDR[[#Headers],[24]],FDR[24],"",0,1)</f>
        <v>4</v>
      </c>
      <c r="AK455" cm="1">
        <f t="array" ref="AK455">_xlfn.XLOOKUP(Matrix[[#This Row],[TEAM]]&amp;Matrix[[#Headers],[25]],FDR[FDR]&amp;FDR[[#Headers],[25]],FDR[25],"",0,1)</f>
        <v>4</v>
      </c>
      <c r="AL455" cm="1">
        <f t="array" ref="AL455">_xlfn.XLOOKUP(Matrix[[#This Row],[TEAM]]&amp;Matrix[[#Headers],[26]],FDR[FDR]&amp;FDR[[#Headers],[26]],FDR[26],"",0,1)</f>
        <v>1</v>
      </c>
      <c r="AM455" cm="1">
        <f t="array" ref="AM455">_xlfn.XLOOKUP(Matrix[[#This Row],[TEAM]]&amp;Matrix[[#Headers],[27]],FDR[FDR]&amp;FDR[[#Headers],[27]],FDR[27],"",0,1)</f>
        <v>2</v>
      </c>
      <c r="AN455" cm="1">
        <f t="array" ref="AN455">_xlfn.XLOOKUP(Matrix[[#This Row],[TEAM]]&amp;Matrix[[#Headers],[28]],FDR[FDR]&amp;FDR[[#Headers],[28]],FDR[28],"",0,1)</f>
        <v>5</v>
      </c>
      <c r="AO455" cm="1">
        <f t="array" ref="AO455">_xlfn.XLOOKUP(Matrix[[#This Row],[TEAM]]&amp;Matrix[[#Headers],[29]],FDR[FDR]&amp;FDR[[#Headers],[29]],FDR[29],"",0,1)</f>
        <v>5</v>
      </c>
      <c r="AP455" cm="1">
        <f t="array" ref="AP455">_xlfn.XLOOKUP(Matrix[[#This Row],[TEAM]]&amp;Matrix[[#Headers],[30]],FDR[FDR]&amp;FDR[[#Headers],[30]],FDR[30],"",0,1)</f>
        <v>1</v>
      </c>
      <c r="AQ455" cm="1">
        <f t="array" ref="AQ455">_xlfn.XLOOKUP(Matrix[[#This Row],[TEAM]]&amp;Matrix[[#Headers],[31]],FDR[FDR]&amp;FDR[[#Headers],[31]],FDR[31],"",0,1)</f>
        <v>5</v>
      </c>
      <c r="AR455" cm="1">
        <f t="array" ref="AR455">_xlfn.XLOOKUP(Matrix[[#This Row],[TEAM]]&amp;Matrix[[#Headers],[32]],FDR[FDR]&amp;FDR[[#Headers],[32]],FDR[32],"",0,1)</f>
        <v>4</v>
      </c>
      <c r="AS455" cm="1">
        <f t="array" ref="AS455">_xlfn.XLOOKUP(Matrix[[#This Row],[TEAM]]&amp;Matrix[[#Headers],[33]],FDR[FDR]&amp;FDR[[#Headers],[33]],FDR[33],"",0,1)</f>
        <v>3</v>
      </c>
      <c r="AT455" cm="1">
        <f t="array" ref="AT455">_xlfn.XLOOKUP(Matrix[[#This Row],[TEAM]]&amp;Matrix[[#Headers],[34]],FDR[FDR]&amp;FDR[[#Headers],[34]],FDR[34],"",0,1)</f>
        <v>5</v>
      </c>
      <c r="AU455" cm="1">
        <f t="array" ref="AU455">_xlfn.XLOOKUP(Matrix[[#This Row],[TEAM]]&amp;Matrix[[#Headers],[35]],FDR[FDR]&amp;FDR[[#Headers],[35]],FDR[35],"",0,1)</f>
        <v>4</v>
      </c>
      <c r="AV455" cm="1">
        <f t="array" ref="AV455">_xlfn.XLOOKUP(Matrix[[#This Row],[TEAM]]&amp;Matrix[[#Headers],[36]],FDR[FDR]&amp;FDR[[#Headers],[36]],FDR[36],"",0,1)</f>
        <v>3</v>
      </c>
      <c r="AW455" cm="1">
        <f t="array" ref="AW455">_xlfn.XLOOKUP(Matrix[[#This Row],[TEAM]]&amp;Matrix[[#Headers],[37]],FDR[FDR]&amp;FDR[[#Headers],[37]],FDR[37],"",0,1)</f>
        <v>4</v>
      </c>
      <c r="AX455" cm="1">
        <f t="array" ref="AX455">_xlfn.XLOOKUP(Matrix[[#This Row],[TEAM]]&amp;Matrix[[#Headers],[38]],FDR[FDR]&amp;FDR[[#Headers],[38]],FDR[38],"",0,1)</f>
        <v>4</v>
      </c>
    </row>
    <row r="456" spans="1:50" ht="22" thickTop="1" thickBot="1">
      <c r="A456" s="52" t="s">
        <v>658</v>
      </c>
      <c r="B456" s="70" t="s">
        <v>1881</v>
      </c>
      <c r="C456" s="40" t="s">
        <v>26</v>
      </c>
      <c r="D456" s="62">
        <v>0</v>
      </c>
      <c r="E456" s="60">
        <v>1E-3</v>
      </c>
      <c r="F456" s="61">
        <v>0</v>
      </c>
      <c r="G456" s="63">
        <v>4</v>
      </c>
      <c r="H456" s="261">
        <f>IF(ISBLANK(I456),0,1)</f>
        <v>0</v>
      </c>
      <c r="I456" s="57"/>
      <c r="J456" s="58"/>
      <c r="K456" s="66" t="s">
        <v>591</v>
      </c>
      <c r="L456" s="66" t="s">
        <v>100</v>
      </c>
      <c r="M456" cm="1">
        <f t="array" ref="M456">_xlfn.XLOOKUP(Matrix[[#This Row],[TEAM]]&amp;Matrix[[#Headers],[1]],FDR[FDR]&amp;FDR[[#Headers],[1]],FDR[1],"",0,1)</f>
        <v>5</v>
      </c>
      <c r="N456" cm="1">
        <f t="array" ref="N456">_xlfn.XLOOKUP(Matrix[[#This Row],[TEAM]]&amp;Matrix[[#Headers],[2]],FDR[FDR]&amp;FDR[[#Headers],[2]],FDR[2],"",0,1)</f>
        <v>3</v>
      </c>
      <c r="O456" cm="1">
        <f t="array" ref="O456">_xlfn.XLOOKUP(Matrix[[#This Row],[TEAM]]&amp;Matrix[[#Headers],[3]],FDR[FDR]&amp;FDR[[#Headers],[3]],FDR[3],"",0,1)</f>
        <v>5</v>
      </c>
      <c r="P456" cm="1">
        <f t="array" ref="P456">_xlfn.XLOOKUP(Matrix[[#This Row],[TEAM]]&amp;Matrix[[#Headers],[4]],FDR[FDR]&amp;FDR[[#Headers],[4]],FDR[4],"",0,1)</f>
        <v>1</v>
      </c>
      <c r="Q456" cm="1">
        <f t="array" ref="Q456">_xlfn.XLOOKUP(Matrix[[#This Row],[TEAM]]&amp;Matrix[[#Headers],[5]],FDR[FDR]&amp;FDR[[#Headers],[5]],FDR[5],"",0,1)</f>
        <v>4</v>
      </c>
      <c r="R456" cm="1">
        <f t="array" ref="R456">_xlfn.XLOOKUP(Matrix[[#This Row],[TEAM]]&amp;Matrix[[#Headers],[6]],FDR[FDR]&amp;FDR[[#Headers],[6]],FDR[6],"",0,1)</f>
        <v>4</v>
      </c>
      <c r="S456" cm="1">
        <f t="array" ref="S456">_xlfn.XLOOKUP(Matrix[[#This Row],[TEAM]]&amp;Matrix[[#Headers],[7]],FDR[FDR]&amp;FDR[[#Headers],[7]],FDR[7],"",0,1)</f>
        <v>4</v>
      </c>
      <c r="T456" cm="1">
        <f t="array" ref="T456">_xlfn.XLOOKUP(Matrix[[#This Row],[TEAM]]&amp;Matrix[[#Headers],[8]],FDR[FDR]&amp;FDR[[#Headers],[8]],FDR[8],"",0,1)</f>
        <v>3</v>
      </c>
      <c r="U456" cm="1">
        <f t="array" ref="U456">_xlfn.XLOOKUP(Matrix[[#This Row],[TEAM]]&amp;Matrix[[#Headers],[9]],FDR[FDR]&amp;FDR[[#Headers],[9]],FDR[9],"",0,1)</f>
        <v>5</v>
      </c>
      <c r="V456" cm="1">
        <f t="array" ref="V456">_xlfn.XLOOKUP(Matrix[[#This Row],[TEAM]]&amp;Matrix[[#Headers],[10]],FDR[FDR]&amp;FDR[[#Headers],[10]],FDR[10],"",0,1)</f>
        <v>3</v>
      </c>
      <c r="W456" cm="1">
        <f t="array" ref="W456">_xlfn.XLOOKUP(Matrix[[#This Row],[TEAM]]&amp;Matrix[[#Headers],[11]],FDR[FDR]&amp;FDR[[#Headers],[11]],FDR[11],"",0,1)</f>
        <v>3</v>
      </c>
      <c r="X456" cm="1">
        <f t="array" ref="X456">_xlfn.XLOOKUP(Matrix[[#This Row],[TEAM]]&amp;Matrix[[#Headers],[12]],FDR[FDR]&amp;FDR[[#Headers],[12]],FDR[12],"",0,1)</f>
        <v>2</v>
      </c>
      <c r="Y456" cm="1">
        <f t="array" ref="Y456">_xlfn.XLOOKUP(Matrix[[#This Row],[TEAM]]&amp;Matrix[[#Headers],[13]],FDR[FDR]&amp;FDR[[#Headers],[13]],FDR[13],"",0,1)</f>
        <v>4</v>
      </c>
      <c r="Z456" cm="1">
        <f t="array" ref="Z456">_xlfn.XLOOKUP(Matrix[[#This Row],[TEAM]]&amp;Matrix[[#Headers],[14]],FDR[FDR]&amp;FDR[[#Headers],[14]],FDR[14],"",0,1)</f>
        <v>2</v>
      </c>
      <c r="AA456" cm="1">
        <f t="array" ref="AA456">_xlfn.XLOOKUP(Matrix[[#This Row],[TEAM]]&amp;Matrix[[#Headers],[15]],FDR[FDR]&amp;FDR[[#Headers],[15]],FDR[15],"",0,1)</f>
        <v>4</v>
      </c>
      <c r="AB456" cm="1">
        <f t="array" ref="AB456">_xlfn.XLOOKUP(Matrix[[#This Row],[TEAM]]&amp;Matrix[[#Headers],[16]],FDR[FDR]&amp;FDR[[#Headers],[16]],FDR[16],"",0,1)</f>
        <v>4</v>
      </c>
      <c r="AC456" cm="1">
        <f t="array" ref="AC456">_xlfn.XLOOKUP(Matrix[[#This Row],[TEAM]]&amp;Matrix[[#Headers],[17]],FDR[FDR]&amp;FDR[[#Headers],[17]],FDR[17],"",0,1)</f>
        <v>2</v>
      </c>
      <c r="AD456" cm="1">
        <f t="array" ref="AD456">_xlfn.XLOOKUP(Matrix[[#This Row],[TEAM]]&amp;Matrix[[#Headers],[18]],FDR[FDR]&amp;FDR[[#Headers],[18]],FDR[18],"",0,1)</f>
        <v>4</v>
      </c>
      <c r="AE456" cm="1">
        <f t="array" ref="AE456">_xlfn.XLOOKUP(Matrix[[#This Row],[TEAM]]&amp;Matrix[[#Headers],[19]],FDR[FDR]&amp;FDR[[#Headers],[19]],FDR[19],"",0,1)</f>
        <v>3</v>
      </c>
      <c r="AF456" cm="1">
        <f t="array" ref="AF456">_xlfn.XLOOKUP(Matrix[[#This Row],[TEAM]]&amp;Matrix[[#Headers],[20]],FDR[FDR]&amp;FDR[[#Headers],[20]],FDR[20],"",0,1)</f>
        <v>5</v>
      </c>
      <c r="AG456" cm="1">
        <f t="array" ref="AG456">_xlfn.XLOOKUP(Matrix[[#This Row],[TEAM]]&amp;Matrix[[#Headers],[21]],FDR[FDR]&amp;FDR[[#Headers],[21]],FDR[21],"",0,1)</f>
        <v>4</v>
      </c>
      <c r="AH456" cm="1">
        <f t="array" ref="AH456">_xlfn.XLOOKUP(Matrix[[#This Row],[TEAM]]&amp;Matrix[[#Headers],[22]],FDR[FDR]&amp;FDR[[#Headers],[22]],FDR[22],"",0,1)</f>
        <v>2</v>
      </c>
      <c r="AI456" cm="1">
        <f t="array" ref="AI456">_xlfn.XLOOKUP(Matrix[[#This Row],[TEAM]]&amp;Matrix[[#Headers],[23]],FDR[FDR]&amp;FDR[[#Headers],[23]],FDR[23],"",0,1)</f>
        <v>4</v>
      </c>
      <c r="AJ456" cm="1">
        <f t="array" ref="AJ456">_xlfn.XLOOKUP(Matrix[[#This Row],[TEAM]]&amp;Matrix[[#Headers],[24]],FDR[FDR]&amp;FDR[[#Headers],[24]],FDR[24],"",0,1)</f>
        <v>4</v>
      </c>
      <c r="AK456" cm="1">
        <f t="array" ref="AK456">_xlfn.XLOOKUP(Matrix[[#This Row],[TEAM]]&amp;Matrix[[#Headers],[25]],FDR[FDR]&amp;FDR[[#Headers],[25]],FDR[25],"",0,1)</f>
        <v>4</v>
      </c>
      <c r="AL456" cm="1">
        <f t="array" ref="AL456">_xlfn.XLOOKUP(Matrix[[#This Row],[TEAM]]&amp;Matrix[[#Headers],[26]],FDR[FDR]&amp;FDR[[#Headers],[26]],FDR[26],"",0,1)</f>
        <v>1</v>
      </c>
      <c r="AM456" cm="1">
        <f t="array" ref="AM456">_xlfn.XLOOKUP(Matrix[[#This Row],[TEAM]]&amp;Matrix[[#Headers],[27]],FDR[FDR]&amp;FDR[[#Headers],[27]],FDR[27],"",0,1)</f>
        <v>2</v>
      </c>
      <c r="AN456" cm="1">
        <f t="array" ref="AN456">_xlfn.XLOOKUP(Matrix[[#This Row],[TEAM]]&amp;Matrix[[#Headers],[28]],FDR[FDR]&amp;FDR[[#Headers],[28]],FDR[28],"",0,1)</f>
        <v>5</v>
      </c>
      <c r="AO456" cm="1">
        <f t="array" ref="AO456">_xlfn.XLOOKUP(Matrix[[#This Row],[TEAM]]&amp;Matrix[[#Headers],[29]],FDR[FDR]&amp;FDR[[#Headers],[29]],FDR[29],"",0,1)</f>
        <v>5</v>
      </c>
      <c r="AP456" cm="1">
        <f t="array" ref="AP456">_xlfn.XLOOKUP(Matrix[[#This Row],[TEAM]]&amp;Matrix[[#Headers],[30]],FDR[FDR]&amp;FDR[[#Headers],[30]],FDR[30],"",0,1)</f>
        <v>1</v>
      </c>
      <c r="AQ456" cm="1">
        <f t="array" ref="AQ456">_xlfn.XLOOKUP(Matrix[[#This Row],[TEAM]]&amp;Matrix[[#Headers],[31]],FDR[FDR]&amp;FDR[[#Headers],[31]],FDR[31],"",0,1)</f>
        <v>5</v>
      </c>
      <c r="AR456" cm="1">
        <f t="array" ref="AR456">_xlfn.XLOOKUP(Matrix[[#This Row],[TEAM]]&amp;Matrix[[#Headers],[32]],FDR[FDR]&amp;FDR[[#Headers],[32]],FDR[32],"",0,1)</f>
        <v>4</v>
      </c>
      <c r="AS456" cm="1">
        <f t="array" ref="AS456">_xlfn.XLOOKUP(Matrix[[#This Row],[TEAM]]&amp;Matrix[[#Headers],[33]],FDR[FDR]&amp;FDR[[#Headers],[33]],FDR[33],"",0,1)</f>
        <v>3</v>
      </c>
      <c r="AT456" cm="1">
        <f t="array" ref="AT456">_xlfn.XLOOKUP(Matrix[[#This Row],[TEAM]]&amp;Matrix[[#Headers],[34]],FDR[FDR]&amp;FDR[[#Headers],[34]],FDR[34],"",0,1)</f>
        <v>5</v>
      </c>
      <c r="AU456" cm="1">
        <f t="array" ref="AU456">_xlfn.XLOOKUP(Matrix[[#This Row],[TEAM]]&amp;Matrix[[#Headers],[35]],FDR[FDR]&amp;FDR[[#Headers],[35]],FDR[35],"",0,1)</f>
        <v>4</v>
      </c>
      <c r="AV456" cm="1">
        <f t="array" ref="AV456">_xlfn.XLOOKUP(Matrix[[#This Row],[TEAM]]&amp;Matrix[[#Headers],[36]],FDR[FDR]&amp;FDR[[#Headers],[36]],FDR[36],"",0,1)</f>
        <v>3</v>
      </c>
      <c r="AW456" cm="1">
        <f t="array" ref="AW456">_xlfn.XLOOKUP(Matrix[[#This Row],[TEAM]]&amp;Matrix[[#Headers],[37]],FDR[FDR]&amp;FDR[[#Headers],[37]],FDR[37],"",0,1)</f>
        <v>4</v>
      </c>
      <c r="AX456" cm="1">
        <f t="array" ref="AX456">_xlfn.XLOOKUP(Matrix[[#This Row],[TEAM]]&amp;Matrix[[#Headers],[38]],FDR[FDR]&amp;FDR[[#Headers],[38]],FDR[38],"",0,1)</f>
        <v>4</v>
      </c>
    </row>
    <row r="457" spans="1:50" ht="22" thickTop="1" thickBot="1">
      <c r="A457" s="52" t="s">
        <v>658</v>
      </c>
      <c r="B457" s="70" t="s">
        <v>1882</v>
      </c>
      <c r="C457" s="40" t="s">
        <v>24</v>
      </c>
      <c r="D457" s="68">
        <v>0</v>
      </c>
      <c r="E457" s="60">
        <v>1E-3</v>
      </c>
      <c r="F457" s="61">
        <v>0</v>
      </c>
      <c r="G457" s="63">
        <v>4</v>
      </c>
      <c r="H457" s="261">
        <f>IF(ISBLANK(I457),0,1)</f>
        <v>0</v>
      </c>
      <c r="I457" s="57"/>
      <c r="J457" s="58"/>
      <c r="K457" s="66" t="s">
        <v>351</v>
      </c>
      <c r="L457" s="66" t="s">
        <v>978</v>
      </c>
      <c r="M457" cm="1">
        <f t="array" ref="M457">_xlfn.XLOOKUP(Matrix[[#This Row],[TEAM]]&amp;Matrix[[#Headers],[1]],FDR[FDR]&amp;FDR[[#Headers],[1]],FDR[1],"",0,1)</f>
        <v>2</v>
      </c>
      <c r="N457" cm="1">
        <f t="array" ref="N457">_xlfn.XLOOKUP(Matrix[[#This Row],[TEAM]]&amp;Matrix[[#Headers],[2]],FDR[FDR]&amp;FDR[[#Headers],[2]],FDR[2],"",0,1)</f>
        <v>3</v>
      </c>
      <c r="O457" cm="1">
        <f t="array" ref="O457">_xlfn.XLOOKUP(Matrix[[#This Row],[TEAM]]&amp;Matrix[[#Headers],[3]],FDR[FDR]&amp;FDR[[#Headers],[3]],FDR[3],"",0,1)</f>
        <v>2</v>
      </c>
      <c r="P457" cm="1">
        <f t="array" ref="P457">_xlfn.XLOOKUP(Matrix[[#This Row],[TEAM]]&amp;Matrix[[#Headers],[4]],FDR[FDR]&amp;FDR[[#Headers],[4]],FDR[4],"",0,1)</f>
        <v>4</v>
      </c>
      <c r="Q457" cm="1">
        <f t="array" ref="Q457">_xlfn.XLOOKUP(Matrix[[#This Row],[TEAM]]&amp;Matrix[[#Headers],[5]],FDR[FDR]&amp;FDR[[#Headers],[5]],FDR[5],"",0,1)</f>
        <v>5</v>
      </c>
      <c r="R457" cm="1">
        <f t="array" ref="R457">_xlfn.XLOOKUP(Matrix[[#This Row],[TEAM]]&amp;Matrix[[#Headers],[6]],FDR[FDR]&amp;FDR[[#Headers],[6]],FDR[6],"",0,1)</f>
        <v>3</v>
      </c>
      <c r="S457" cm="1">
        <f t="array" ref="S457">_xlfn.XLOOKUP(Matrix[[#This Row],[TEAM]]&amp;Matrix[[#Headers],[7]],FDR[FDR]&amp;FDR[[#Headers],[7]],FDR[7],"",0,1)</f>
        <v>3</v>
      </c>
      <c r="T457" cm="1">
        <f t="array" ref="T457">_xlfn.XLOOKUP(Matrix[[#This Row],[TEAM]]&amp;Matrix[[#Headers],[8]],FDR[FDR]&amp;FDR[[#Headers],[8]],FDR[8],"",0,1)</f>
        <v>5</v>
      </c>
      <c r="U457" cm="1">
        <f t="array" ref="U457">_xlfn.XLOOKUP(Matrix[[#This Row],[TEAM]]&amp;Matrix[[#Headers],[9]],FDR[FDR]&amp;FDR[[#Headers],[9]],FDR[9],"",0,1)</f>
        <v>4</v>
      </c>
      <c r="V457" cm="1">
        <f t="array" ref="V457">_xlfn.XLOOKUP(Matrix[[#This Row],[TEAM]]&amp;Matrix[[#Headers],[10]],FDR[FDR]&amp;FDR[[#Headers],[10]],FDR[10],"",0,1)</f>
        <v>2</v>
      </c>
      <c r="W457" cm="1">
        <f t="array" ref="W457">_xlfn.XLOOKUP(Matrix[[#This Row],[TEAM]]&amp;Matrix[[#Headers],[11]],FDR[FDR]&amp;FDR[[#Headers],[11]],FDR[11],"",0,1)</f>
        <v>3</v>
      </c>
      <c r="X457" cm="1">
        <f t="array" ref="X457">_xlfn.XLOOKUP(Matrix[[#This Row],[TEAM]]&amp;Matrix[[#Headers],[12]],FDR[FDR]&amp;FDR[[#Headers],[12]],FDR[12],"",0,1)</f>
        <v>5</v>
      </c>
      <c r="Y457" cm="1">
        <f t="array" ref="Y457">_xlfn.XLOOKUP(Matrix[[#This Row],[TEAM]]&amp;Matrix[[#Headers],[13]],FDR[FDR]&amp;FDR[[#Headers],[13]],FDR[13],"",0,1)</f>
        <v>4</v>
      </c>
      <c r="Z457" cm="1">
        <f t="array" ref="Z457">_xlfn.XLOOKUP(Matrix[[#This Row],[TEAM]]&amp;Matrix[[#Headers],[14]],FDR[FDR]&amp;FDR[[#Headers],[14]],FDR[14],"",0,1)</f>
        <v>4</v>
      </c>
      <c r="AA457" cm="1">
        <f t="array" ref="AA457">_xlfn.XLOOKUP(Matrix[[#This Row],[TEAM]]&amp;Matrix[[#Headers],[15]],FDR[FDR]&amp;FDR[[#Headers],[15]],FDR[15],"",0,1)</f>
        <v>3</v>
      </c>
      <c r="AB457" cm="1">
        <f t="array" ref="AB457">_xlfn.XLOOKUP(Matrix[[#This Row],[TEAM]]&amp;Matrix[[#Headers],[16]],FDR[FDR]&amp;FDR[[#Headers],[16]],FDR[16],"",0,1)</f>
        <v>5</v>
      </c>
      <c r="AC457" cm="1">
        <f t="array" ref="AC457">_xlfn.XLOOKUP(Matrix[[#This Row],[TEAM]]&amp;Matrix[[#Headers],[17]],FDR[FDR]&amp;FDR[[#Headers],[17]],FDR[17],"",0,1)</f>
        <v>4</v>
      </c>
      <c r="AD457" cm="1">
        <f t="array" ref="AD457">_xlfn.XLOOKUP(Matrix[[#This Row],[TEAM]]&amp;Matrix[[#Headers],[18]],FDR[FDR]&amp;FDR[[#Headers],[18]],FDR[18],"",0,1)</f>
        <v>2</v>
      </c>
      <c r="AE457" cm="1">
        <f t="array" ref="AE457">_xlfn.XLOOKUP(Matrix[[#This Row],[TEAM]]&amp;Matrix[[#Headers],[19]],FDR[FDR]&amp;FDR[[#Headers],[19]],FDR[19],"",0,1)</f>
        <v>4</v>
      </c>
      <c r="AF457" cm="1">
        <f t="array" ref="AF457">_xlfn.XLOOKUP(Matrix[[#This Row],[TEAM]]&amp;Matrix[[#Headers],[20]],FDR[FDR]&amp;FDR[[#Headers],[20]],FDR[20],"",0,1)</f>
        <v>3</v>
      </c>
      <c r="AG457" cm="1">
        <f t="array" ref="AG457">_xlfn.XLOOKUP(Matrix[[#This Row],[TEAM]]&amp;Matrix[[#Headers],[21]],FDR[FDR]&amp;FDR[[#Headers],[21]],FDR[21],"",0,1)</f>
        <v>2</v>
      </c>
      <c r="AH457" cm="1">
        <f t="array" ref="AH457">_xlfn.XLOOKUP(Matrix[[#This Row],[TEAM]]&amp;Matrix[[#Headers],[22]],FDR[FDR]&amp;FDR[[#Headers],[22]],FDR[22],"",0,1)</f>
        <v>5</v>
      </c>
      <c r="AI457" cm="1">
        <f t="array" ref="AI457">_xlfn.XLOOKUP(Matrix[[#This Row],[TEAM]]&amp;Matrix[[#Headers],[23]],FDR[FDR]&amp;FDR[[#Headers],[23]],FDR[23],"",0,1)</f>
        <v>1</v>
      </c>
      <c r="AJ457" cm="1">
        <f t="array" ref="AJ457">_xlfn.XLOOKUP(Matrix[[#This Row],[TEAM]]&amp;Matrix[[#Headers],[24]],FDR[FDR]&amp;FDR[[#Headers],[24]],FDR[24],"",0,1)</f>
        <v>4</v>
      </c>
      <c r="AK457" cm="1">
        <f t="array" ref="AK457">_xlfn.XLOOKUP(Matrix[[#This Row],[TEAM]]&amp;Matrix[[#Headers],[25]],FDR[FDR]&amp;FDR[[#Headers],[25]],FDR[25],"",0,1)</f>
        <v>4</v>
      </c>
      <c r="AL457" cm="1">
        <f t="array" ref="AL457">_xlfn.XLOOKUP(Matrix[[#This Row],[TEAM]]&amp;Matrix[[#Headers],[26]],FDR[FDR]&amp;FDR[[#Headers],[26]],FDR[26],"",0,1)</f>
        <v>3</v>
      </c>
      <c r="AM457" cm="1">
        <f t="array" ref="AM457">_xlfn.XLOOKUP(Matrix[[#This Row],[TEAM]]&amp;Matrix[[#Headers],[27]],FDR[FDR]&amp;FDR[[#Headers],[27]],FDR[27],"",0,1)</f>
        <v>4</v>
      </c>
      <c r="AN457" cm="1">
        <f t="array" ref="AN457">_xlfn.XLOOKUP(Matrix[[#This Row],[TEAM]]&amp;Matrix[[#Headers],[28]],FDR[FDR]&amp;FDR[[#Headers],[28]],FDR[28],"",0,1)</f>
        <v>5</v>
      </c>
      <c r="AO457" cm="1">
        <f t="array" ref="AO457">_xlfn.XLOOKUP(Matrix[[#This Row],[TEAM]]&amp;Matrix[[#Headers],[29]],FDR[FDR]&amp;FDR[[#Headers],[29]],FDR[29],"",0,1)</f>
        <v>1</v>
      </c>
      <c r="AP457" cm="1">
        <f t="array" ref="AP457">_xlfn.XLOOKUP(Matrix[[#This Row],[TEAM]]&amp;Matrix[[#Headers],[30]],FDR[FDR]&amp;FDR[[#Headers],[30]],FDR[30],"",0,1)</f>
        <v>5</v>
      </c>
      <c r="AQ457" cm="1">
        <f t="array" ref="AQ457">_xlfn.XLOOKUP(Matrix[[#This Row],[TEAM]]&amp;Matrix[[#Headers],[31]],FDR[FDR]&amp;FDR[[#Headers],[31]],FDR[31],"",0,1)</f>
        <v>4</v>
      </c>
      <c r="AR457" cm="1">
        <f t="array" ref="AR457">_xlfn.XLOOKUP(Matrix[[#This Row],[TEAM]]&amp;Matrix[[#Headers],[32]],FDR[FDR]&amp;FDR[[#Headers],[32]],FDR[32],"",0,1)</f>
        <v>4</v>
      </c>
      <c r="AS457" cm="1">
        <f t="array" ref="AS457">_xlfn.XLOOKUP(Matrix[[#This Row],[TEAM]]&amp;Matrix[[#Headers],[33]],FDR[FDR]&amp;FDR[[#Headers],[33]],FDR[33],"",0,1)</f>
        <v>4</v>
      </c>
      <c r="AT457" cm="1">
        <f t="array" ref="AT457">_xlfn.XLOOKUP(Matrix[[#This Row],[TEAM]]&amp;Matrix[[#Headers],[34]],FDR[FDR]&amp;FDR[[#Headers],[34]],FDR[34],"",0,1)</f>
        <v>4</v>
      </c>
      <c r="AU457" cm="1">
        <f t="array" ref="AU457">_xlfn.XLOOKUP(Matrix[[#This Row],[TEAM]]&amp;Matrix[[#Headers],[35]],FDR[FDR]&amp;FDR[[#Headers],[35]],FDR[35],"",0,1)</f>
        <v>4</v>
      </c>
      <c r="AV457" cm="1">
        <f t="array" ref="AV457">_xlfn.XLOOKUP(Matrix[[#This Row],[TEAM]]&amp;Matrix[[#Headers],[36]],FDR[FDR]&amp;FDR[[#Headers],[36]],FDR[36],"",0,1)</f>
        <v>4</v>
      </c>
      <c r="AW457" cm="1">
        <f t="array" ref="AW457">_xlfn.XLOOKUP(Matrix[[#This Row],[TEAM]]&amp;Matrix[[#Headers],[37]],FDR[FDR]&amp;FDR[[#Headers],[37]],FDR[37],"",0,1)</f>
        <v>1</v>
      </c>
      <c r="AX457" cm="1">
        <f t="array" ref="AX457">_xlfn.XLOOKUP(Matrix[[#This Row],[TEAM]]&amp;Matrix[[#Headers],[38]],FDR[FDR]&amp;FDR[[#Headers],[38]],FDR[38],"",0,1)</f>
        <v>5</v>
      </c>
    </row>
    <row r="458" spans="1:50" ht="22" thickTop="1" thickBot="1">
      <c r="A458" s="52" t="s">
        <v>658</v>
      </c>
      <c r="B458" s="70" t="s">
        <v>1807</v>
      </c>
      <c r="C458" s="40" t="s">
        <v>23</v>
      </c>
      <c r="D458" s="68">
        <v>0</v>
      </c>
      <c r="E458" s="60">
        <v>0.01</v>
      </c>
      <c r="F458" s="67">
        <v>0</v>
      </c>
      <c r="G458" s="63">
        <v>4</v>
      </c>
      <c r="H458" s="261">
        <f>IF(ISBLANK(I458),0,1)</f>
        <v>0</v>
      </c>
      <c r="I458" s="57"/>
      <c r="J458" s="58"/>
      <c r="K458" s="66" t="s">
        <v>366</v>
      </c>
      <c r="L458" s="66" t="s">
        <v>1064</v>
      </c>
      <c r="M458" cm="1">
        <f t="array" ref="M458">_xlfn.XLOOKUP(Matrix[[#This Row],[TEAM]]&amp;Matrix[[#Headers],[1]],FDR[FDR]&amp;FDR[[#Headers],[1]],FDR[1],"",0,1)</f>
        <v>4</v>
      </c>
      <c r="N458" cm="1">
        <f t="array" ref="N458">_xlfn.XLOOKUP(Matrix[[#This Row],[TEAM]]&amp;Matrix[[#Headers],[2]],FDR[FDR]&amp;FDR[[#Headers],[2]],FDR[2],"",0,1)</f>
        <v>4</v>
      </c>
      <c r="O458" cm="1">
        <f t="array" ref="O458">_xlfn.XLOOKUP(Matrix[[#This Row],[TEAM]]&amp;Matrix[[#Headers],[3]],FDR[FDR]&amp;FDR[[#Headers],[3]],FDR[3],"",0,1)</f>
        <v>5</v>
      </c>
      <c r="P458" cm="1">
        <f t="array" ref="P458">_xlfn.XLOOKUP(Matrix[[#This Row],[TEAM]]&amp;Matrix[[#Headers],[4]],FDR[FDR]&amp;FDR[[#Headers],[4]],FDR[4],"",0,1)</f>
        <v>1</v>
      </c>
      <c r="Q458" cm="1">
        <f t="array" ref="Q458">_xlfn.XLOOKUP(Matrix[[#This Row],[TEAM]]&amp;Matrix[[#Headers],[5]],FDR[FDR]&amp;FDR[[#Headers],[5]],FDR[5],"",0,1)</f>
        <v>2</v>
      </c>
      <c r="R458" cm="1">
        <f t="array" ref="R458">_xlfn.XLOOKUP(Matrix[[#This Row],[TEAM]]&amp;Matrix[[#Headers],[6]],FDR[FDR]&amp;FDR[[#Headers],[6]],FDR[6],"",0,1)</f>
        <v>5</v>
      </c>
      <c r="S458" cm="1">
        <f t="array" ref="S458">_xlfn.XLOOKUP(Matrix[[#This Row],[TEAM]]&amp;Matrix[[#Headers],[7]],FDR[FDR]&amp;FDR[[#Headers],[7]],FDR[7],"",0,1)</f>
        <v>4</v>
      </c>
      <c r="T458" cm="1">
        <f t="array" ref="T458">_xlfn.XLOOKUP(Matrix[[#This Row],[TEAM]]&amp;Matrix[[#Headers],[8]],FDR[FDR]&amp;FDR[[#Headers],[8]],FDR[8],"",0,1)</f>
        <v>4</v>
      </c>
      <c r="U458" cm="1">
        <f t="array" ref="U458">_xlfn.XLOOKUP(Matrix[[#This Row],[TEAM]]&amp;Matrix[[#Headers],[9]],FDR[FDR]&amp;FDR[[#Headers],[9]],FDR[9],"",0,1)</f>
        <v>5</v>
      </c>
      <c r="V458" cm="1">
        <f t="array" ref="V458">_xlfn.XLOOKUP(Matrix[[#This Row],[TEAM]]&amp;Matrix[[#Headers],[10]],FDR[FDR]&amp;FDR[[#Headers],[10]],FDR[10],"",0,1)</f>
        <v>1</v>
      </c>
      <c r="W458" cm="1">
        <f t="array" ref="W458">_xlfn.XLOOKUP(Matrix[[#This Row],[TEAM]]&amp;Matrix[[#Headers],[11]],FDR[FDR]&amp;FDR[[#Headers],[11]],FDR[11],"",0,1)</f>
        <v>3</v>
      </c>
      <c r="X458" cm="1">
        <f t="array" ref="X458">_xlfn.XLOOKUP(Matrix[[#This Row],[TEAM]]&amp;Matrix[[#Headers],[12]],FDR[FDR]&amp;FDR[[#Headers],[12]],FDR[12],"",0,1)</f>
        <v>1</v>
      </c>
      <c r="Y458" cm="1">
        <f t="array" ref="Y458">_xlfn.XLOOKUP(Matrix[[#This Row],[TEAM]]&amp;Matrix[[#Headers],[13]],FDR[FDR]&amp;FDR[[#Headers],[13]],FDR[13],"",0,1)</f>
        <v>5</v>
      </c>
      <c r="Z458" cm="1">
        <f t="array" ref="Z458">_xlfn.XLOOKUP(Matrix[[#This Row],[TEAM]]&amp;Matrix[[#Headers],[14]],FDR[FDR]&amp;FDR[[#Headers],[14]],FDR[14],"",0,1)</f>
        <v>4</v>
      </c>
      <c r="AA458" cm="1">
        <f t="array" ref="AA458">_xlfn.XLOOKUP(Matrix[[#This Row],[TEAM]]&amp;Matrix[[#Headers],[15]],FDR[FDR]&amp;FDR[[#Headers],[15]],FDR[15],"",0,1)</f>
        <v>2</v>
      </c>
      <c r="AB458" cm="1">
        <f t="array" ref="AB458">_xlfn.XLOOKUP(Matrix[[#This Row],[TEAM]]&amp;Matrix[[#Headers],[16]],FDR[FDR]&amp;FDR[[#Headers],[16]],FDR[16],"",0,1)</f>
        <v>2</v>
      </c>
      <c r="AC458" cm="1">
        <f t="array" ref="AC458">_xlfn.XLOOKUP(Matrix[[#This Row],[TEAM]]&amp;Matrix[[#Headers],[17]],FDR[FDR]&amp;FDR[[#Headers],[17]],FDR[17],"",0,1)</f>
        <v>3</v>
      </c>
      <c r="AD458" cm="1">
        <f t="array" ref="AD458">_xlfn.XLOOKUP(Matrix[[#This Row],[TEAM]]&amp;Matrix[[#Headers],[18]],FDR[FDR]&amp;FDR[[#Headers],[18]],FDR[18],"",0,1)</f>
        <v>3</v>
      </c>
      <c r="AE458" cm="1">
        <f t="array" ref="AE458">_xlfn.XLOOKUP(Matrix[[#This Row],[TEAM]]&amp;Matrix[[#Headers],[19]],FDR[FDR]&amp;FDR[[#Headers],[19]],FDR[19],"",0,1)</f>
        <v>3</v>
      </c>
      <c r="AF458" cm="1">
        <f t="array" ref="AF458">_xlfn.XLOOKUP(Matrix[[#This Row],[TEAM]]&amp;Matrix[[#Headers],[20]],FDR[FDR]&amp;FDR[[#Headers],[20]],FDR[20],"",0,1)</f>
        <v>4</v>
      </c>
      <c r="AG458" cm="1">
        <f t="array" ref="AG458">_xlfn.XLOOKUP(Matrix[[#This Row],[TEAM]]&amp;Matrix[[#Headers],[21]],FDR[FDR]&amp;FDR[[#Headers],[21]],FDR[21],"",0,1)</f>
        <v>4</v>
      </c>
      <c r="AH458" cm="1">
        <f t="array" ref="AH458">_xlfn.XLOOKUP(Matrix[[#This Row],[TEAM]]&amp;Matrix[[#Headers],[22]],FDR[FDR]&amp;FDR[[#Headers],[22]],FDR[22],"",0,1)</f>
        <v>2</v>
      </c>
      <c r="AI458" cm="1">
        <f t="array" ref="AI458">_xlfn.XLOOKUP(Matrix[[#This Row],[TEAM]]&amp;Matrix[[#Headers],[23]],FDR[FDR]&amp;FDR[[#Headers],[23]],FDR[23],"",0,1)</f>
        <v>3</v>
      </c>
      <c r="AJ458" cm="1">
        <f t="array" ref="AJ458">_xlfn.XLOOKUP(Matrix[[#This Row],[TEAM]]&amp;Matrix[[#Headers],[24]],FDR[FDR]&amp;FDR[[#Headers],[24]],FDR[24],"",0,1)</f>
        <v>5</v>
      </c>
      <c r="AK458" cm="1">
        <f t="array" ref="AK458">_xlfn.XLOOKUP(Matrix[[#This Row],[TEAM]]&amp;Matrix[[#Headers],[25]],FDR[FDR]&amp;FDR[[#Headers],[25]],FDR[25],"",0,1)</f>
        <v>2</v>
      </c>
      <c r="AL458" cm="1">
        <f t="array" ref="AL458">_xlfn.XLOOKUP(Matrix[[#This Row],[TEAM]]&amp;Matrix[[#Headers],[26]],FDR[FDR]&amp;FDR[[#Headers],[26]],FDR[26],"",0,1)</f>
        <v>5</v>
      </c>
      <c r="AM458" cm="1">
        <f t="array" ref="AM458">_xlfn.XLOOKUP(Matrix[[#This Row],[TEAM]]&amp;Matrix[[#Headers],[27]],FDR[FDR]&amp;FDR[[#Headers],[27]],FDR[27],"",0,1)</f>
        <v>2</v>
      </c>
      <c r="AN458" cm="1">
        <f t="array" ref="AN458">_xlfn.XLOOKUP(Matrix[[#This Row],[TEAM]]&amp;Matrix[[#Headers],[28]],FDR[FDR]&amp;FDR[[#Headers],[28]],FDR[28],"",0,1)</f>
        <v>4</v>
      </c>
      <c r="AO458" cm="1">
        <f t="array" ref="AO458">_xlfn.XLOOKUP(Matrix[[#This Row],[TEAM]]&amp;Matrix[[#Headers],[29]],FDR[FDR]&amp;FDR[[#Headers],[29]],FDR[29],"",0,1)</f>
        <v>2</v>
      </c>
      <c r="AP458" cm="1">
        <f t="array" ref="AP458">_xlfn.XLOOKUP(Matrix[[#This Row],[TEAM]]&amp;Matrix[[#Headers],[30]],FDR[FDR]&amp;FDR[[#Headers],[30]],FDR[30],"",0,1)</f>
        <v>4</v>
      </c>
      <c r="AQ458" cm="1">
        <f t="array" ref="AQ458">_xlfn.XLOOKUP(Matrix[[#This Row],[TEAM]]&amp;Matrix[[#Headers],[31]],FDR[FDR]&amp;FDR[[#Headers],[31]],FDR[31],"",0,1)</f>
        <v>1</v>
      </c>
      <c r="AR458" cm="1">
        <f t="array" ref="AR458">_xlfn.XLOOKUP(Matrix[[#This Row],[TEAM]]&amp;Matrix[[#Headers],[32]],FDR[FDR]&amp;FDR[[#Headers],[32]],FDR[32],"",0,1)</f>
        <v>5</v>
      </c>
      <c r="AS458" cm="1">
        <f t="array" ref="AS458">_xlfn.XLOOKUP(Matrix[[#This Row],[TEAM]]&amp;Matrix[[#Headers],[33]],FDR[FDR]&amp;FDR[[#Headers],[33]],FDR[33],"",0,1)</f>
        <v>3</v>
      </c>
      <c r="AT458" cm="1">
        <f t="array" ref="AT458">_xlfn.XLOOKUP(Matrix[[#This Row],[TEAM]]&amp;Matrix[[#Headers],[34]],FDR[FDR]&amp;FDR[[#Headers],[34]],FDR[34],"",0,1)</f>
        <v>3</v>
      </c>
      <c r="AU458" cm="1">
        <f t="array" ref="AU458">_xlfn.XLOOKUP(Matrix[[#This Row],[TEAM]]&amp;Matrix[[#Headers],[35]],FDR[FDR]&amp;FDR[[#Headers],[35]],FDR[35],"",0,1)</f>
        <v>5</v>
      </c>
      <c r="AV458" cm="1">
        <f t="array" ref="AV458">_xlfn.XLOOKUP(Matrix[[#This Row],[TEAM]]&amp;Matrix[[#Headers],[36]],FDR[FDR]&amp;FDR[[#Headers],[36]],FDR[36],"",0,1)</f>
        <v>3</v>
      </c>
      <c r="AW458" cm="1">
        <f t="array" ref="AW458">_xlfn.XLOOKUP(Matrix[[#This Row],[TEAM]]&amp;Matrix[[#Headers],[37]],FDR[FDR]&amp;FDR[[#Headers],[37]],FDR[37],"",0,1)</f>
        <v>2</v>
      </c>
      <c r="AX458" cm="1">
        <f t="array" ref="AX458">_xlfn.XLOOKUP(Matrix[[#This Row],[TEAM]]&amp;Matrix[[#Headers],[38]],FDR[FDR]&amp;FDR[[#Headers],[38]],FDR[38],"",0,1)</f>
        <v>4</v>
      </c>
    </row>
    <row r="459" spans="1:50" ht="22" thickTop="1" thickBot="1">
      <c r="A459" s="52" t="s">
        <v>658</v>
      </c>
      <c r="B459" s="70" t="s">
        <v>1794</v>
      </c>
      <c r="C459" s="40" t="s">
        <v>633</v>
      </c>
      <c r="D459" s="62">
        <v>0</v>
      </c>
      <c r="E459" s="60">
        <v>4.7E-2</v>
      </c>
      <c r="F459" s="61">
        <v>0</v>
      </c>
      <c r="G459" s="63">
        <v>4</v>
      </c>
      <c r="H459" s="261">
        <f>IF(ISBLANK(I459),0,1)</f>
        <v>0</v>
      </c>
      <c r="I459" s="57"/>
      <c r="J459" s="58"/>
      <c r="K459" s="66" t="s">
        <v>602</v>
      </c>
      <c r="L459" s="66" t="s">
        <v>102</v>
      </c>
      <c r="M459" cm="1">
        <f t="array" ref="M459">_xlfn.XLOOKUP(Matrix[[#This Row],[TEAM]]&amp;Matrix[[#Headers],[1]],FDR[FDR]&amp;FDR[[#Headers],[1]],FDR[1],"",0,1)</f>
        <v>4</v>
      </c>
      <c r="N459" cm="1">
        <f t="array" ref="N459">_xlfn.XLOOKUP(Matrix[[#This Row],[TEAM]]&amp;Matrix[[#Headers],[2]],FDR[FDR]&amp;FDR[[#Headers],[2]],FDR[2],"",0,1)</f>
        <v>5</v>
      </c>
      <c r="O459" cm="1">
        <f t="array" ref="O459">_xlfn.XLOOKUP(Matrix[[#This Row],[TEAM]]&amp;Matrix[[#Headers],[3]],FDR[FDR]&amp;FDR[[#Headers],[3]],FDR[3],"",0,1)</f>
        <v>5</v>
      </c>
      <c r="P459" cm="1">
        <f t="array" ref="P459">_xlfn.XLOOKUP(Matrix[[#This Row],[TEAM]]&amp;Matrix[[#Headers],[4]],FDR[FDR]&amp;FDR[[#Headers],[4]],FDR[4],"",0,1)</f>
        <v>5</v>
      </c>
      <c r="Q459" cm="1">
        <f t="array" ref="Q459">_xlfn.XLOOKUP(Matrix[[#This Row],[TEAM]]&amp;Matrix[[#Headers],[5]],FDR[FDR]&amp;FDR[[#Headers],[5]],FDR[5],"",0,1)</f>
        <v>4</v>
      </c>
      <c r="R459" cm="1">
        <f t="array" ref="R459">_xlfn.XLOOKUP(Matrix[[#This Row],[TEAM]]&amp;Matrix[[#Headers],[6]],FDR[FDR]&amp;FDR[[#Headers],[6]],FDR[6],"",0,1)</f>
        <v>5</v>
      </c>
      <c r="S459" cm="1">
        <f t="array" ref="S459">_xlfn.XLOOKUP(Matrix[[#This Row],[TEAM]]&amp;Matrix[[#Headers],[7]],FDR[FDR]&amp;FDR[[#Headers],[7]],FDR[7],"",0,1)</f>
        <v>5</v>
      </c>
      <c r="T459" cm="1">
        <f t="array" ref="T459">_xlfn.XLOOKUP(Matrix[[#This Row],[TEAM]]&amp;Matrix[[#Headers],[8]],FDR[FDR]&amp;FDR[[#Headers],[8]],FDR[8],"",0,1)</f>
        <v>4</v>
      </c>
      <c r="U459" cm="1">
        <f t="array" ref="U459">_xlfn.XLOOKUP(Matrix[[#This Row],[TEAM]]&amp;Matrix[[#Headers],[9]],FDR[FDR]&amp;FDR[[#Headers],[9]],FDR[9],"",0,1)</f>
        <v>4</v>
      </c>
      <c r="V459" cm="1">
        <f t="array" ref="V459">_xlfn.XLOOKUP(Matrix[[#This Row],[TEAM]]&amp;Matrix[[#Headers],[10]],FDR[FDR]&amp;FDR[[#Headers],[10]],FDR[10],"",0,1)</f>
        <v>5</v>
      </c>
      <c r="W459" cm="1">
        <f t="array" ref="W459">_xlfn.XLOOKUP(Matrix[[#This Row],[TEAM]]&amp;Matrix[[#Headers],[11]],FDR[FDR]&amp;FDR[[#Headers],[11]],FDR[11],"",0,1)</f>
        <v>5</v>
      </c>
      <c r="X459" cm="1">
        <f t="array" ref="X459">_xlfn.XLOOKUP(Matrix[[#This Row],[TEAM]]&amp;Matrix[[#Headers],[12]],FDR[FDR]&amp;FDR[[#Headers],[12]],FDR[12],"",0,1)</f>
        <v>5</v>
      </c>
      <c r="Y459" cm="1">
        <f t="array" ref="Y459">_xlfn.XLOOKUP(Matrix[[#This Row],[TEAM]]&amp;Matrix[[#Headers],[13]],FDR[FDR]&amp;FDR[[#Headers],[13]],FDR[13],"",0,1)</f>
        <v>5</v>
      </c>
      <c r="Z459" cm="1">
        <f t="array" ref="Z459">_xlfn.XLOOKUP(Matrix[[#This Row],[TEAM]]&amp;Matrix[[#Headers],[14]],FDR[FDR]&amp;FDR[[#Headers],[14]],FDR[14],"",0,1)</f>
        <v>5</v>
      </c>
      <c r="AA459" cm="1">
        <f t="array" ref="AA459">_xlfn.XLOOKUP(Matrix[[#This Row],[TEAM]]&amp;Matrix[[#Headers],[15]],FDR[FDR]&amp;FDR[[#Headers],[15]],FDR[15],"",0,1)</f>
        <v>5</v>
      </c>
      <c r="AB459" cm="1">
        <f t="array" ref="AB459">_xlfn.XLOOKUP(Matrix[[#This Row],[TEAM]]&amp;Matrix[[#Headers],[16]],FDR[FDR]&amp;FDR[[#Headers],[16]],FDR[16],"",0,1)</f>
        <v>5</v>
      </c>
      <c r="AC459" cm="1">
        <f t="array" ref="AC459">_xlfn.XLOOKUP(Matrix[[#This Row],[TEAM]]&amp;Matrix[[#Headers],[17]],FDR[FDR]&amp;FDR[[#Headers],[17]],FDR[17],"",0,1)</f>
        <v>4</v>
      </c>
      <c r="AD459" cm="1">
        <f t="array" ref="AD459">_xlfn.XLOOKUP(Matrix[[#This Row],[TEAM]]&amp;Matrix[[#Headers],[18]],FDR[FDR]&amp;FDR[[#Headers],[18]],FDR[18],"",0,1)</f>
        <v>4</v>
      </c>
      <c r="AE459" cm="1">
        <f t="array" ref="AE459">_xlfn.XLOOKUP(Matrix[[#This Row],[TEAM]]&amp;Matrix[[#Headers],[19]],FDR[FDR]&amp;FDR[[#Headers],[19]],FDR[19],"",0,1)</f>
        <v>5</v>
      </c>
      <c r="AF459" cm="1">
        <f t="array" ref="AF459">_xlfn.XLOOKUP(Matrix[[#This Row],[TEAM]]&amp;Matrix[[#Headers],[20]],FDR[FDR]&amp;FDR[[#Headers],[20]],FDR[20],"",0,1)</f>
        <v>5</v>
      </c>
      <c r="AG459" cm="1">
        <f t="array" ref="AG459">_xlfn.XLOOKUP(Matrix[[#This Row],[TEAM]]&amp;Matrix[[#Headers],[21]],FDR[FDR]&amp;FDR[[#Headers],[21]],FDR[21],"",0,1)</f>
        <v>5</v>
      </c>
      <c r="AH459" cm="1">
        <f t="array" ref="AH459">_xlfn.XLOOKUP(Matrix[[#This Row],[TEAM]]&amp;Matrix[[#Headers],[22]],FDR[FDR]&amp;FDR[[#Headers],[22]],FDR[22],"",0,1)</f>
        <v>5</v>
      </c>
      <c r="AI459" cm="1">
        <f t="array" ref="AI459">_xlfn.XLOOKUP(Matrix[[#This Row],[TEAM]]&amp;Matrix[[#Headers],[23]],FDR[FDR]&amp;FDR[[#Headers],[23]],FDR[23],"",0,1)</f>
        <v>5</v>
      </c>
      <c r="AJ459" cm="1">
        <f t="array" ref="AJ459">_xlfn.XLOOKUP(Matrix[[#This Row],[TEAM]]&amp;Matrix[[#Headers],[24]],FDR[FDR]&amp;FDR[[#Headers],[24]],FDR[24],"",0,1)</f>
        <v>5</v>
      </c>
      <c r="AK459" cm="1">
        <f t="array" ref="AK459">_xlfn.XLOOKUP(Matrix[[#This Row],[TEAM]]&amp;Matrix[[#Headers],[25]],FDR[FDR]&amp;FDR[[#Headers],[25]],FDR[25],"",0,1)</f>
        <v>5</v>
      </c>
      <c r="AL459" cm="1">
        <f t="array" ref="AL459">_xlfn.XLOOKUP(Matrix[[#This Row],[TEAM]]&amp;Matrix[[#Headers],[26]],FDR[FDR]&amp;FDR[[#Headers],[26]],FDR[26],"",0,1)</f>
        <v>5</v>
      </c>
      <c r="AM459" cm="1">
        <f t="array" ref="AM459">_xlfn.XLOOKUP(Matrix[[#This Row],[TEAM]]&amp;Matrix[[#Headers],[27]],FDR[FDR]&amp;FDR[[#Headers],[27]],FDR[27],"",0,1)</f>
        <v>5</v>
      </c>
      <c r="AN459" cm="1">
        <f t="array" ref="AN459">_xlfn.XLOOKUP(Matrix[[#This Row],[TEAM]]&amp;Matrix[[#Headers],[28]],FDR[FDR]&amp;FDR[[#Headers],[28]],FDR[28],"",0,1)</f>
        <v>5</v>
      </c>
      <c r="AO459" cm="1">
        <f t="array" ref="AO459">_xlfn.XLOOKUP(Matrix[[#This Row],[TEAM]]&amp;Matrix[[#Headers],[29]],FDR[FDR]&amp;FDR[[#Headers],[29]],FDR[29],"",0,1)</f>
        <v>3</v>
      </c>
      <c r="AP459" cm="1">
        <f t="array" ref="AP459">_xlfn.XLOOKUP(Matrix[[#This Row],[TEAM]]&amp;Matrix[[#Headers],[30]],FDR[FDR]&amp;FDR[[#Headers],[30]],FDR[30],"",0,1)</f>
        <v>5</v>
      </c>
      <c r="AQ459" cm="1">
        <f t="array" ref="AQ459">_xlfn.XLOOKUP(Matrix[[#This Row],[TEAM]]&amp;Matrix[[#Headers],[31]],FDR[FDR]&amp;FDR[[#Headers],[31]],FDR[31],"",0,1)</f>
        <v>4</v>
      </c>
      <c r="AR459" cm="1">
        <f t="array" ref="AR459">_xlfn.XLOOKUP(Matrix[[#This Row],[TEAM]]&amp;Matrix[[#Headers],[32]],FDR[FDR]&amp;FDR[[#Headers],[32]],FDR[32],"",0,1)</f>
        <v>5</v>
      </c>
      <c r="AS459" cm="1">
        <f t="array" ref="AS459">_xlfn.XLOOKUP(Matrix[[#This Row],[TEAM]]&amp;Matrix[[#Headers],[33]],FDR[FDR]&amp;FDR[[#Headers],[33]],FDR[33],"",0,1)</f>
        <v>3</v>
      </c>
      <c r="AT459" cm="1">
        <f t="array" ref="AT459">_xlfn.XLOOKUP(Matrix[[#This Row],[TEAM]]&amp;Matrix[[#Headers],[34]],FDR[FDR]&amp;FDR[[#Headers],[34]],FDR[34],"",0,1)</f>
        <v>5</v>
      </c>
      <c r="AU459" cm="1">
        <f t="array" ref="AU459">_xlfn.XLOOKUP(Matrix[[#This Row],[TEAM]]&amp;Matrix[[#Headers],[35]],FDR[FDR]&amp;FDR[[#Headers],[35]],FDR[35],"",0,1)</f>
        <v>3</v>
      </c>
      <c r="AV459" cm="1">
        <f t="array" ref="AV459">_xlfn.XLOOKUP(Matrix[[#This Row],[TEAM]]&amp;Matrix[[#Headers],[36]],FDR[FDR]&amp;FDR[[#Headers],[36]],FDR[36],"",0,1)</f>
        <v>5</v>
      </c>
      <c r="AW459" cm="1">
        <f t="array" ref="AW459">_xlfn.XLOOKUP(Matrix[[#This Row],[TEAM]]&amp;Matrix[[#Headers],[37]],FDR[FDR]&amp;FDR[[#Headers],[37]],FDR[37],"",0,1)</f>
        <v>5</v>
      </c>
      <c r="AX459" cm="1">
        <f t="array" ref="AX459">_xlfn.XLOOKUP(Matrix[[#This Row],[TEAM]]&amp;Matrix[[#Headers],[38]],FDR[FDR]&amp;FDR[[#Headers],[38]],FDR[38],"",0,1)</f>
        <v>5</v>
      </c>
    </row>
    <row r="460" spans="1:50" ht="22" thickTop="1" thickBot="1">
      <c r="A460" s="52" t="s">
        <v>658</v>
      </c>
      <c r="B460" s="70" t="s">
        <v>1842</v>
      </c>
      <c r="C460" s="40" t="s">
        <v>633</v>
      </c>
      <c r="D460" s="62">
        <v>0</v>
      </c>
      <c r="E460" s="60">
        <v>3.0000000000000001E-3</v>
      </c>
      <c r="F460" s="61">
        <v>0</v>
      </c>
      <c r="G460" s="63">
        <v>4</v>
      </c>
      <c r="H460" s="261">
        <f>IF(ISBLANK(I460),0,1)</f>
        <v>0</v>
      </c>
      <c r="I460" s="57"/>
      <c r="J460" s="58"/>
      <c r="K460" s="66" t="s">
        <v>395</v>
      </c>
      <c r="L460" s="66" t="s">
        <v>1069</v>
      </c>
      <c r="M460" cm="1">
        <f t="array" ref="M460">_xlfn.XLOOKUP(Matrix[[#This Row],[TEAM]]&amp;Matrix[[#Headers],[1]],FDR[FDR]&amp;FDR[[#Headers],[1]],FDR[1],"",0,1)</f>
        <v>4</v>
      </c>
      <c r="N460" cm="1">
        <f t="array" ref="N460">_xlfn.XLOOKUP(Matrix[[#This Row],[TEAM]]&amp;Matrix[[#Headers],[2]],FDR[FDR]&amp;FDR[[#Headers],[2]],FDR[2],"",0,1)</f>
        <v>5</v>
      </c>
      <c r="O460" cm="1">
        <f t="array" ref="O460">_xlfn.XLOOKUP(Matrix[[#This Row],[TEAM]]&amp;Matrix[[#Headers],[3]],FDR[FDR]&amp;FDR[[#Headers],[3]],FDR[3],"",0,1)</f>
        <v>5</v>
      </c>
      <c r="P460" cm="1">
        <f t="array" ref="P460">_xlfn.XLOOKUP(Matrix[[#This Row],[TEAM]]&amp;Matrix[[#Headers],[4]],FDR[FDR]&amp;FDR[[#Headers],[4]],FDR[4],"",0,1)</f>
        <v>5</v>
      </c>
      <c r="Q460" cm="1">
        <f t="array" ref="Q460">_xlfn.XLOOKUP(Matrix[[#This Row],[TEAM]]&amp;Matrix[[#Headers],[5]],FDR[FDR]&amp;FDR[[#Headers],[5]],FDR[5],"",0,1)</f>
        <v>4</v>
      </c>
      <c r="R460" cm="1">
        <f t="array" ref="R460">_xlfn.XLOOKUP(Matrix[[#This Row],[TEAM]]&amp;Matrix[[#Headers],[6]],FDR[FDR]&amp;FDR[[#Headers],[6]],FDR[6],"",0,1)</f>
        <v>5</v>
      </c>
      <c r="S460" cm="1">
        <f t="array" ref="S460">_xlfn.XLOOKUP(Matrix[[#This Row],[TEAM]]&amp;Matrix[[#Headers],[7]],FDR[FDR]&amp;FDR[[#Headers],[7]],FDR[7],"",0,1)</f>
        <v>5</v>
      </c>
      <c r="T460" cm="1">
        <f t="array" ref="T460">_xlfn.XLOOKUP(Matrix[[#This Row],[TEAM]]&amp;Matrix[[#Headers],[8]],FDR[FDR]&amp;FDR[[#Headers],[8]],FDR[8],"",0,1)</f>
        <v>4</v>
      </c>
      <c r="U460" cm="1">
        <f t="array" ref="U460">_xlfn.XLOOKUP(Matrix[[#This Row],[TEAM]]&amp;Matrix[[#Headers],[9]],FDR[FDR]&amp;FDR[[#Headers],[9]],FDR[9],"",0,1)</f>
        <v>4</v>
      </c>
      <c r="V460" cm="1">
        <f t="array" ref="V460">_xlfn.XLOOKUP(Matrix[[#This Row],[TEAM]]&amp;Matrix[[#Headers],[10]],FDR[FDR]&amp;FDR[[#Headers],[10]],FDR[10],"",0,1)</f>
        <v>5</v>
      </c>
      <c r="W460" cm="1">
        <f t="array" ref="W460">_xlfn.XLOOKUP(Matrix[[#This Row],[TEAM]]&amp;Matrix[[#Headers],[11]],FDR[FDR]&amp;FDR[[#Headers],[11]],FDR[11],"",0,1)</f>
        <v>5</v>
      </c>
      <c r="X460" cm="1">
        <f t="array" ref="X460">_xlfn.XLOOKUP(Matrix[[#This Row],[TEAM]]&amp;Matrix[[#Headers],[12]],FDR[FDR]&amp;FDR[[#Headers],[12]],FDR[12],"",0,1)</f>
        <v>5</v>
      </c>
      <c r="Y460" cm="1">
        <f t="array" ref="Y460">_xlfn.XLOOKUP(Matrix[[#This Row],[TEAM]]&amp;Matrix[[#Headers],[13]],FDR[FDR]&amp;FDR[[#Headers],[13]],FDR[13],"",0,1)</f>
        <v>5</v>
      </c>
      <c r="Z460" cm="1">
        <f t="array" ref="Z460">_xlfn.XLOOKUP(Matrix[[#This Row],[TEAM]]&amp;Matrix[[#Headers],[14]],FDR[FDR]&amp;FDR[[#Headers],[14]],FDR[14],"",0,1)</f>
        <v>5</v>
      </c>
      <c r="AA460" cm="1">
        <f t="array" ref="AA460">_xlfn.XLOOKUP(Matrix[[#This Row],[TEAM]]&amp;Matrix[[#Headers],[15]],FDR[FDR]&amp;FDR[[#Headers],[15]],FDR[15],"",0,1)</f>
        <v>5</v>
      </c>
      <c r="AB460" cm="1">
        <f t="array" ref="AB460">_xlfn.XLOOKUP(Matrix[[#This Row],[TEAM]]&amp;Matrix[[#Headers],[16]],FDR[FDR]&amp;FDR[[#Headers],[16]],FDR[16],"",0,1)</f>
        <v>5</v>
      </c>
      <c r="AC460" cm="1">
        <f t="array" ref="AC460">_xlfn.XLOOKUP(Matrix[[#This Row],[TEAM]]&amp;Matrix[[#Headers],[17]],FDR[FDR]&amp;FDR[[#Headers],[17]],FDR[17],"",0,1)</f>
        <v>4</v>
      </c>
      <c r="AD460" cm="1">
        <f t="array" ref="AD460">_xlfn.XLOOKUP(Matrix[[#This Row],[TEAM]]&amp;Matrix[[#Headers],[18]],FDR[FDR]&amp;FDR[[#Headers],[18]],FDR[18],"",0,1)</f>
        <v>4</v>
      </c>
      <c r="AE460" cm="1">
        <f t="array" ref="AE460">_xlfn.XLOOKUP(Matrix[[#This Row],[TEAM]]&amp;Matrix[[#Headers],[19]],FDR[FDR]&amp;FDR[[#Headers],[19]],FDR[19],"",0,1)</f>
        <v>5</v>
      </c>
      <c r="AF460" cm="1">
        <f t="array" ref="AF460">_xlfn.XLOOKUP(Matrix[[#This Row],[TEAM]]&amp;Matrix[[#Headers],[20]],FDR[FDR]&amp;FDR[[#Headers],[20]],FDR[20],"",0,1)</f>
        <v>5</v>
      </c>
      <c r="AG460" cm="1">
        <f t="array" ref="AG460">_xlfn.XLOOKUP(Matrix[[#This Row],[TEAM]]&amp;Matrix[[#Headers],[21]],FDR[FDR]&amp;FDR[[#Headers],[21]],FDR[21],"",0,1)</f>
        <v>5</v>
      </c>
      <c r="AH460" cm="1">
        <f t="array" ref="AH460">_xlfn.XLOOKUP(Matrix[[#This Row],[TEAM]]&amp;Matrix[[#Headers],[22]],FDR[FDR]&amp;FDR[[#Headers],[22]],FDR[22],"",0,1)</f>
        <v>5</v>
      </c>
      <c r="AI460" cm="1">
        <f t="array" ref="AI460">_xlfn.XLOOKUP(Matrix[[#This Row],[TEAM]]&amp;Matrix[[#Headers],[23]],FDR[FDR]&amp;FDR[[#Headers],[23]],FDR[23],"",0,1)</f>
        <v>5</v>
      </c>
      <c r="AJ460" cm="1">
        <f t="array" ref="AJ460">_xlfn.XLOOKUP(Matrix[[#This Row],[TEAM]]&amp;Matrix[[#Headers],[24]],FDR[FDR]&amp;FDR[[#Headers],[24]],FDR[24],"",0,1)</f>
        <v>5</v>
      </c>
      <c r="AK460" cm="1">
        <f t="array" ref="AK460">_xlfn.XLOOKUP(Matrix[[#This Row],[TEAM]]&amp;Matrix[[#Headers],[25]],FDR[FDR]&amp;FDR[[#Headers],[25]],FDR[25],"",0,1)</f>
        <v>5</v>
      </c>
      <c r="AL460" cm="1">
        <f t="array" ref="AL460">_xlfn.XLOOKUP(Matrix[[#This Row],[TEAM]]&amp;Matrix[[#Headers],[26]],FDR[FDR]&amp;FDR[[#Headers],[26]],FDR[26],"",0,1)</f>
        <v>5</v>
      </c>
      <c r="AM460" cm="1">
        <f t="array" ref="AM460">_xlfn.XLOOKUP(Matrix[[#This Row],[TEAM]]&amp;Matrix[[#Headers],[27]],FDR[FDR]&amp;FDR[[#Headers],[27]],FDR[27],"",0,1)</f>
        <v>5</v>
      </c>
      <c r="AN460" cm="1">
        <f t="array" ref="AN460">_xlfn.XLOOKUP(Matrix[[#This Row],[TEAM]]&amp;Matrix[[#Headers],[28]],FDR[FDR]&amp;FDR[[#Headers],[28]],FDR[28],"",0,1)</f>
        <v>5</v>
      </c>
      <c r="AO460" cm="1">
        <f t="array" ref="AO460">_xlfn.XLOOKUP(Matrix[[#This Row],[TEAM]]&amp;Matrix[[#Headers],[29]],FDR[FDR]&amp;FDR[[#Headers],[29]],FDR[29],"",0,1)</f>
        <v>3</v>
      </c>
      <c r="AP460" cm="1">
        <f t="array" ref="AP460">_xlfn.XLOOKUP(Matrix[[#This Row],[TEAM]]&amp;Matrix[[#Headers],[30]],FDR[FDR]&amp;FDR[[#Headers],[30]],FDR[30],"",0,1)</f>
        <v>5</v>
      </c>
      <c r="AQ460" cm="1">
        <f t="array" ref="AQ460">_xlfn.XLOOKUP(Matrix[[#This Row],[TEAM]]&amp;Matrix[[#Headers],[31]],FDR[FDR]&amp;FDR[[#Headers],[31]],FDR[31],"",0,1)</f>
        <v>4</v>
      </c>
      <c r="AR460" cm="1">
        <f t="array" ref="AR460">_xlfn.XLOOKUP(Matrix[[#This Row],[TEAM]]&amp;Matrix[[#Headers],[32]],FDR[FDR]&amp;FDR[[#Headers],[32]],FDR[32],"",0,1)</f>
        <v>5</v>
      </c>
      <c r="AS460" cm="1">
        <f t="array" ref="AS460">_xlfn.XLOOKUP(Matrix[[#This Row],[TEAM]]&amp;Matrix[[#Headers],[33]],FDR[FDR]&amp;FDR[[#Headers],[33]],FDR[33],"",0,1)</f>
        <v>3</v>
      </c>
      <c r="AT460" cm="1">
        <f t="array" ref="AT460">_xlfn.XLOOKUP(Matrix[[#This Row],[TEAM]]&amp;Matrix[[#Headers],[34]],FDR[FDR]&amp;FDR[[#Headers],[34]],FDR[34],"",0,1)</f>
        <v>5</v>
      </c>
      <c r="AU460" cm="1">
        <f t="array" ref="AU460">_xlfn.XLOOKUP(Matrix[[#This Row],[TEAM]]&amp;Matrix[[#Headers],[35]],FDR[FDR]&amp;FDR[[#Headers],[35]],FDR[35],"",0,1)</f>
        <v>3</v>
      </c>
      <c r="AV460" cm="1">
        <f t="array" ref="AV460">_xlfn.XLOOKUP(Matrix[[#This Row],[TEAM]]&amp;Matrix[[#Headers],[36]],FDR[FDR]&amp;FDR[[#Headers],[36]],FDR[36],"",0,1)</f>
        <v>5</v>
      </c>
      <c r="AW460" cm="1">
        <f t="array" ref="AW460">_xlfn.XLOOKUP(Matrix[[#This Row],[TEAM]]&amp;Matrix[[#Headers],[37]],FDR[FDR]&amp;FDR[[#Headers],[37]],FDR[37],"",0,1)</f>
        <v>5</v>
      </c>
      <c r="AX460" cm="1">
        <f t="array" ref="AX460">_xlfn.XLOOKUP(Matrix[[#This Row],[TEAM]]&amp;Matrix[[#Headers],[38]],FDR[FDR]&amp;FDR[[#Headers],[38]],FDR[38],"",0,1)</f>
        <v>5</v>
      </c>
    </row>
    <row r="461" spans="1:50" ht="22" thickTop="1" thickBot="1">
      <c r="A461" s="52" t="s">
        <v>658</v>
      </c>
      <c r="B461" s="70" t="s">
        <v>1885</v>
      </c>
      <c r="C461" s="40" t="s">
        <v>17</v>
      </c>
      <c r="D461" s="68">
        <v>0</v>
      </c>
      <c r="E461" s="60">
        <v>1E-3</v>
      </c>
      <c r="F461" s="67">
        <v>0</v>
      </c>
      <c r="G461" s="63">
        <v>4</v>
      </c>
      <c r="H461" s="261">
        <f>IF(ISBLANK(I461),0,1)</f>
        <v>0</v>
      </c>
      <c r="I461" s="57"/>
      <c r="J461" s="58"/>
      <c r="K461" s="66" t="s">
        <v>1087</v>
      </c>
      <c r="L461" s="66" t="s">
        <v>1088</v>
      </c>
      <c r="M461" cm="1">
        <f t="array" ref="M461">_xlfn.XLOOKUP(Matrix[[#This Row],[TEAM]]&amp;Matrix[[#Headers],[1]],FDR[FDR]&amp;FDR[[#Headers],[1]],FDR[1],"",0,1)</f>
        <v>1</v>
      </c>
      <c r="N461" cm="1">
        <f t="array" ref="N461">_xlfn.XLOOKUP(Matrix[[#This Row],[TEAM]]&amp;Matrix[[#Headers],[2]],FDR[FDR]&amp;FDR[[#Headers],[2]],FDR[2],"",0,1)</f>
        <v>3</v>
      </c>
      <c r="O461" cm="1">
        <f t="array" ref="O461">_xlfn.XLOOKUP(Matrix[[#This Row],[TEAM]]&amp;Matrix[[#Headers],[3]],FDR[FDR]&amp;FDR[[#Headers],[3]],FDR[3],"",0,1)</f>
        <v>3</v>
      </c>
      <c r="P461" cm="1">
        <f t="array" ref="P461">_xlfn.XLOOKUP(Matrix[[#This Row],[TEAM]]&amp;Matrix[[#Headers],[4]],FDR[FDR]&amp;FDR[[#Headers],[4]],FDR[4],"",0,1)</f>
        <v>1</v>
      </c>
      <c r="Q461" cm="1">
        <f t="array" ref="Q461">_xlfn.XLOOKUP(Matrix[[#This Row],[TEAM]]&amp;Matrix[[#Headers],[5]],FDR[FDR]&amp;FDR[[#Headers],[5]],FDR[5],"",0,1)</f>
        <v>1</v>
      </c>
      <c r="R461" cm="1">
        <f t="array" ref="R461">_xlfn.XLOOKUP(Matrix[[#This Row],[TEAM]]&amp;Matrix[[#Headers],[6]],FDR[FDR]&amp;FDR[[#Headers],[6]],FDR[6],"",0,1)</f>
        <v>2</v>
      </c>
      <c r="S461" cm="1">
        <f t="array" ref="S461">_xlfn.XLOOKUP(Matrix[[#This Row],[TEAM]]&amp;Matrix[[#Headers],[7]],FDR[FDR]&amp;FDR[[#Headers],[7]],FDR[7],"",0,1)</f>
        <v>3</v>
      </c>
      <c r="T461" cm="1">
        <f t="array" ref="T461">_xlfn.XLOOKUP(Matrix[[#This Row],[TEAM]]&amp;Matrix[[#Headers],[8]],FDR[FDR]&amp;FDR[[#Headers],[8]],FDR[8],"",0,1)</f>
        <v>2</v>
      </c>
      <c r="U461" cm="1">
        <f t="array" ref="U461">_xlfn.XLOOKUP(Matrix[[#This Row],[TEAM]]&amp;Matrix[[#Headers],[9]],FDR[FDR]&amp;FDR[[#Headers],[9]],FDR[9],"",0,1)</f>
        <v>2</v>
      </c>
      <c r="V461" cm="1">
        <f t="array" ref="V461">_xlfn.XLOOKUP(Matrix[[#This Row],[TEAM]]&amp;Matrix[[#Headers],[10]],FDR[FDR]&amp;FDR[[#Headers],[10]],FDR[10],"",0,1)</f>
        <v>2</v>
      </c>
      <c r="W461" cm="1">
        <f t="array" ref="W461">_xlfn.XLOOKUP(Matrix[[#This Row],[TEAM]]&amp;Matrix[[#Headers],[11]],FDR[FDR]&amp;FDR[[#Headers],[11]],FDR[11],"",0,1)</f>
        <v>3</v>
      </c>
      <c r="X461" cm="1">
        <f t="array" ref="X461">_xlfn.XLOOKUP(Matrix[[#This Row],[TEAM]]&amp;Matrix[[#Headers],[12]],FDR[FDR]&amp;FDR[[#Headers],[12]],FDR[12],"",0,1)</f>
        <v>1</v>
      </c>
      <c r="Y461" cm="1">
        <f t="array" ref="Y461">_xlfn.XLOOKUP(Matrix[[#This Row],[TEAM]]&amp;Matrix[[#Headers],[13]],FDR[FDR]&amp;FDR[[#Headers],[13]],FDR[13],"",0,1)</f>
        <v>2</v>
      </c>
      <c r="Z461" cm="1">
        <f t="array" ref="Z461">_xlfn.XLOOKUP(Matrix[[#This Row],[TEAM]]&amp;Matrix[[#Headers],[14]],FDR[FDR]&amp;FDR[[#Headers],[14]],FDR[14],"",0,1)</f>
        <v>1</v>
      </c>
      <c r="AA461" cm="1">
        <f t="array" ref="AA461">_xlfn.XLOOKUP(Matrix[[#This Row],[TEAM]]&amp;Matrix[[#Headers],[15]],FDR[FDR]&amp;FDR[[#Headers],[15]],FDR[15],"",0,1)</f>
        <v>1</v>
      </c>
      <c r="AB461" cm="1">
        <f t="array" ref="AB461">_xlfn.XLOOKUP(Matrix[[#This Row],[TEAM]]&amp;Matrix[[#Headers],[16]],FDR[FDR]&amp;FDR[[#Headers],[16]],FDR[16],"",0,1)</f>
        <v>1</v>
      </c>
      <c r="AC461" cm="1">
        <f t="array" ref="AC461">_xlfn.XLOOKUP(Matrix[[#This Row],[TEAM]]&amp;Matrix[[#Headers],[17]],FDR[FDR]&amp;FDR[[#Headers],[17]],FDR[17],"",0,1)</f>
        <v>3</v>
      </c>
      <c r="AD461" cm="1">
        <f t="array" ref="AD461">_xlfn.XLOOKUP(Matrix[[#This Row],[TEAM]]&amp;Matrix[[#Headers],[18]],FDR[FDR]&amp;FDR[[#Headers],[18]],FDR[18],"",0,1)</f>
        <v>1</v>
      </c>
      <c r="AE461" cm="1">
        <f t="array" ref="AE461">_xlfn.XLOOKUP(Matrix[[#This Row],[TEAM]]&amp;Matrix[[#Headers],[19]],FDR[FDR]&amp;FDR[[#Headers],[19]],FDR[19],"",0,1)</f>
        <v>1</v>
      </c>
      <c r="AF461" cm="1">
        <f t="array" ref="AF461">_xlfn.XLOOKUP(Matrix[[#This Row],[TEAM]]&amp;Matrix[[#Headers],[20]],FDR[FDR]&amp;FDR[[#Headers],[20]],FDR[20],"",0,1)</f>
        <v>2</v>
      </c>
      <c r="AG461" cm="1">
        <f t="array" ref="AG461">_xlfn.XLOOKUP(Matrix[[#This Row],[TEAM]]&amp;Matrix[[#Headers],[21]],FDR[FDR]&amp;FDR[[#Headers],[21]],FDR[21],"",0,1)</f>
        <v>3</v>
      </c>
      <c r="AH461" cm="1">
        <f t="array" ref="AH461">_xlfn.XLOOKUP(Matrix[[#This Row],[TEAM]]&amp;Matrix[[#Headers],[22]],FDR[FDR]&amp;FDR[[#Headers],[22]],FDR[22],"",0,1)</f>
        <v>1</v>
      </c>
      <c r="AI461" cm="1">
        <f t="array" ref="AI461">_xlfn.XLOOKUP(Matrix[[#This Row],[TEAM]]&amp;Matrix[[#Headers],[23]],FDR[FDR]&amp;FDR[[#Headers],[23]],FDR[23],"",0,1)</f>
        <v>2</v>
      </c>
      <c r="AJ461" cm="1">
        <f t="array" ref="AJ461">_xlfn.XLOOKUP(Matrix[[#This Row],[TEAM]]&amp;Matrix[[#Headers],[24]],FDR[FDR]&amp;FDR[[#Headers],[24]],FDR[24],"",0,1)</f>
        <v>2</v>
      </c>
      <c r="AK461" cm="1">
        <f t="array" ref="AK461">_xlfn.XLOOKUP(Matrix[[#This Row],[TEAM]]&amp;Matrix[[#Headers],[25]],FDR[FDR]&amp;FDR[[#Headers],[25]],FDR[25],"",0,1)</f>
        <v>3</v>
      </c>
      <c r="AL461" cm="1">
        <f t="array" ref="AL461">_xlfn.XLOOKUP(Matrix[[#This Row],[TEAM]]&amp;Matrix[[#Headers],[26]],FDR[FDR]&amp;FDR[[#Headers],[26]],FDR[26],"",0,1)</f>
        <v>1</v>
      </c>
      <c r="AM461" cm="1">
        <f t="array" ref="AM461">_xlfn.XLOOKUP(Matrix[[#This Row],[TEAM]]&amp;Matrix[[#Headers],[27]],FDR[FDR]&amp;FDR[[#Headers],[27]],FDR[27],"",0,1)</f>
        <v>2</v>
      </c>
      <c r="AN461" cm="1">
        <f t="array" ref="AN461">_xlfn.XLOOKUP(Matrix[[#This Row],[TEAM]]&amp;Matrix[[#Headers],[28]],FDR[FDR]&amp;FDR[[#Headers],[28]],FDR[28],"",0,1)</f>
        <v>1</v>
      </c>
      <c r="AO461" cm="1">
        <f t="array" ref="AO461">_xlfn.XLOOKUP(Matrix[[#This Row],[TEAM]]&amp;Matrix[[#Headers],[29]],FDR[FDR]&amp;FDR[[#Headers],[29]],FDR[29],"",0,1)</f>
        <v>1</v>
      </c>
      <c r="AP461" cm="1">
        <f t="array" ref="AP461">_xlfn.XLOOKUP(Matrix[[#This Row],[TEAM]]&amp;Matrix[[#Headers],[30]],FDR[FDR]&amp;FDR[[#Headers],[30]],FDR[30],"",0,1)</f>
        <v>2</v>
      </c>
      <c r="AQ461" cm="1">
        <f t="array" ref="AQ461">_xlfn.XLOOKUP(Matrix[[#This Row],[TEAM]]&amp;Matrix[[#Headers],[31]],FDR[FDR]&amp;FDR[[#Headers],[31]],FDR[31],"",0,1)</f>
        <v>2</v>
      </c>
      <c r="AR461" cm="1">
        <f t="array" ref="AR461">_xlfn.XLOOKUP(Matrix[[#This Row],[TEAM]]&amp;Matrix[[#Headers],[32]],FDR[FDR]&amp;FDR[[#Headers],[32]],FDR[32],"",0,1)</f>
        <v>1</v>
      </c>
      <c r="AS461" cm="1">
        <f t="array" ref="AS461">_xlfn.XLOOKUP(Matrix[[#This Row],[TEAM]]&amp;Matrix[[#Headers],[33]],FDR[FDR]&amp;FDR[[#Headers],[33]],FDR[33],"",0,1)</f>
        <v>2</v>
      </c>
      <c r="AT461" cm="1">
        <f t="array" ref="AT461">_xlfn.XLOOKUP(Matrix[[#This Row],[TEAM]]&amp;Matrix[[#Headers],[34]],FDR[FDR]&amp;FDR[[#Headers],[34]],FDR[34],"",0,1)</f>
        <v>1</v>
      </c>
      <c r="AU461" cm="1">
        <f t="array" ref="AU461">_xlfn.XLOOKUP(Matrix[[#This Row],[TEAM]]&amp;Matrix[[#Headers],[35]],FDR[FDR]&amp;FDR[[#Headers],[35]],FDR[35],"",0,1)</f>
        <v>3</v>
      </c>
      <c r="AV461" cm="1">
        <f t="array" ref="AV461">_xlfn.XLOOKUP(Matrix[[#This Row],[TEAM]]&amp;Matrix[[#Headers],[36]],FDR[FDR]&amp;FDR[[#Headers],[36]],FDR[36],"",0,1)</f>
        <v>2</v>
      </c>
      <c r="AW461" cm="1">
        <f t="array" ref="AW461">_xlfn.XLOOKUP(Matrix[[#This Row],[TEAM]]&amp;Matrix[[#Headers],[37]],FDR[FDR]&amp;FDR[[#Headers],[37]],FDR[37],"",0,1)</f>
        <v>3</v>
      </c>
      <c r="AX461" cm="1">
        <f t="array" ref="AX461">_xlfn.XLOOKUP(Matrix[[#This Row],[TEAM]]&amp;Matrix[[#Headers],[38]],FDR[FDR]&amp;FDR[[#Headers],[38]],FDR[38],"",0,1)</f>
        <v>1</v>
      </c>
    </row>
    <row r="462" spans="1:50" ht="22" thickTop="1" thickBot="1">
      <c r="A462" s="52" t="s">
        <v>658</v>
      </c>
      <c r="B462" s="70" t="s">
        <v>1884</v>
      </c>
      <c r="C462" s="40" t="s">
        <v>17</v>
      </c>
      <c r="D462" s="68">
        <v>0</v>
      </c>
      <c r="E462" s="60">
        <v>1E-3</v>
      </c>
      <c r="F462" s="67">
        <v>0</v>
      </c>
      <c r="G462" s="63">
        <v>4</v>
      </c>
      <c r="H462" s="261">
        <f>IF(ISBLANK(I462),0,1)</f>
        <v>0</v>
      </c>
      <c r="I462" s="57"/>
      <c r="J462" s="58"/>
      <c r="K462" s="66" t="s">
        <v>1089</v>
      </c>
      <c r="L462" s="66" t="s">
        <v>1090</v>
      </c>
      <c r="M462" cm="1">
        <f t="array" ref="M462">_xlfn.XLOOKUP(Matrix[[#This Row],[TEAM]]&amp;Matrix[[#Headers],[1]],FDR[FDR]&amp;FDR[[#Headers],[1]],FDR[1],"",0,1)</f>
        <v>1</v>
      </c>
      <c r="N462" cm="1">
        <f t="array" ref="N462">_xlfn.XLOOKUP(Matrix[[#This Row],[TEAM]]&amp;Matrix[[#Headers],[2]],FDR[FDR]&amp;FDR[[#Headers],[2]],FDR[2],"",0,1)</f>
        <v>3</v>
      </c>
      <c r="O462" cm="1">
        <f t="array" ref="O462">_xlfn.XLOOKUP(Matrix[[#This Row],[TEAM]]&amp;Matrix[[#Headers],[3]],FDR[FDR]&amp;FDR[[#Headers],[3]],FDR[3],"",0,1)</f>
        <v>3</v>
      </c>
      <c r="P462" cm="1">
        <f t="array" ref="P462">_xlfn.XLOOKUP(Matrix[[#This Row],[TEAM]]&amp;Matrix[[#Headers],[4]],FDR[FDR]&amp;FDR[[#Headers],[4]],FDR[4],"",0,1)</f>
        <v>1</v>
      </c>
      <c r="Q462" cm="1">
        <f t="array" ref="Q462">_xlfn.XLOOKUP(Matrix[[#This Row],[TEAM]]&amp;Matrix[[#Headers],[5]],FDR[FDR]&amp;FDR[[#Headers],[5]],FDR[5],"",0,1)</f>
        <v>1</v>
      </c>
      <c r="R462" cm="1">
        <f t="array" ref="R462">_xlfn.XLOOKUP(Matrix[[#This Row],[TEAM]]&amp;Matrix[[#Headers],[6]],FDR[FDR]&amp;FDR[[#Headers],[6]],FDR[6],"",0,1)</f>
        <v>2</v>
      </c>
      <c r="S462" cm="1">
        <f t="array" ref="S462">_xlfn.XLOOKUP(Matrix[[#This Row],[TEAM]]&amp;Matrix[[#Headers],[7]],FDR[FDR]&amp;FDR[[#Headers],[7]],FDR[7],"",0,1)</f>
        <v>3</v>
      </c>
      <c r="T462" cm="1">
        <f t="array" ref="T462">_xlfn.XLOOKUP(Matrix[[#This Row],[TEAM]]&amp;Matrix[[#Headers],[8]],FDR[FDR]&amp;FDR[[#Headers],[8]],FDR[8],"",0,1)</f>
        <v>2</v>
      </c>
      <c r="U462" cm="1">
        <f t="array" ref="U462">_xlfn.XLOOKUP(Matrix[[#This Row],[TEAM]]&amp;Matrix[[#Headers],[9]],FDR[FDR]&amp;FDR[[#Headers],[9]],FDR[9],"",0,1)</f>
        <v>2</v>
      </c>
      <c r="V462" cm="1">
        <f t="array" ref="V462">_xlfn.XLOOKUP(Matrix[[#This Row],[TEAM]]&amp;Matrix[[#Headers],[10]],FDR[FDR]&amp;FDR[[#Headers],[10]],FDR[10],"",0,1)</f>
        <v>2</v>
      </c>
      <c r="W462" cm="1">
        <f t="array" ref="W462">_xlfn.XLOOKUP(Matrix[[#This Row],[TEAM]]&amp;Matrix[[#Headers],[11]],FDR[FDR]&amp;FDR[[#Headers],[11]],FDR[11],"",0,1)</f>
        <v>3</v>
      </c>
      <c r="X462" cm="1">
        <f t="array" ref="X462">_xlfn.XLOOKUP(Matrix[[#This Row],[TEAM]]&amp;Matrix[[#Headers],[12]],FDR[FDR]&amp;FDR[[#Headers],[12]],FDR[12],"",0,1)</f>
        <v>1</v>
      </c>
      <c r="Y462" cm="1">
        <f t="array" ref="Y462">_xlfn.XLOOKUP(Matrix[[#This Row],[TEAM]]&amp;Matrix[[#Headers],[13]],FDR[FDR]&amp;FDR[[#Headers],[13]],FDR[13],"",0,1)</f>
        <v>2</v>
      </c>
      <c r="Z462" cm="1">
        <f t="array" ref="Z462">_xlfn.XLOOKUP(Matrix[[#This Row],[TEAM]]&amp;Matrix[[#Headers],[14]],FDR[FDR]&amp;FDR[[#Headers],[14]],FDR[14],"",0,1)</f>
        <v>1</v>
      </c>
      <c r="AA462" cm="1">
        <f t="array" ref="AA462">_xlfn.XLOOKUP(Matrix[[#This Row],[TEAM]]&amp;Matrix[[#Headers],[15]],FDR[FDR]&amp;FDR[[#Headers],[15]],FDR[15],"",0,1)</f>
        <v>1</v>
      </c>
      <c r="AB462" cm="1">
        <f t="array" ref="AB462">_xlfn.XLOOKUP(Matrix[[#This Row],[TEAM]]&amp;Matrix[[#Headers],[16]],FDR[FDR]&amp;FDR[[#Headers],[16]],FDR[16],"",0,1)</f>
        <v>1</v>
      </c>
      <c r="AC462" cm="1">
        <f t="array" ref="AC462">_xlfn.XLOOKUP(Matrix[[#This Row],[TEAM]]&amp;Matrix[[#Headers],[17]],FDR[FDR]&amp;FDR[[#Headers],[17]],FDR[17],"",0,1)</f>
        <v>3</v>
      </c>
      <c r="AD462" cm="1">
        <f t="array" ref="AD462">_xlfn.XLOOKUP(Matrix[[#This Row],[TEAM]]&amp;Matrix[[#Headers],[18]],FDR[FDR]&amp;FDR[[#Headers],[18]],FDR[18],"",0,1)</f>
        <v>1</v>
      </c>
      <c r="AE462" cm="1">
        <f t="array" ref="AE462">_xlfn.XLOOKUP(Matrix[[#This Row],[TEAM]]&amp;Matrix[[#Headers],[19]],FDR[FDR]&amp;FDR[[#Headers],[19]],FDR[19],"",0,1)</f>
        <v>1</v>
      </c>
      <c r="AF462" cm="1">
        <f t="array" ref="AF462">_xlfn.XLOOKUP(Matrix[[#This Row],[TEAM]]&amp;Matrix[[#Headers],[20]],FDR[FDR]&amp;FDR[[#Headers],[20]],FDR[20],"",0,1)</f>
        <v>2</v>
      </c>
      <c r="AG462" cm="1">
        <f t="array" ref="AG462">_xlfn.XLOOKUP(Matrix[[#This Row],[TEAM]]&amp;Matrix[[#Headers],[21]],FDR[FDR]&amp;FDR[[#Headers],[21]],FDR[21],"",0,1)</f>
        <v>3</v>
      </c>
      <c r="AH462" cm="1">
        <f t="array" ref="AH462">_xlfn.XLOOKUP(Matrix[[#This Row],[TEAM]]&amp;Matrix[[#Headers],[22]],FDR[FDR]&amp;FDR[[#Headers],[22]],FDR[22],"",0,1)</f>
        <v>1</v>
      </c>
      <c r="AI462" cm="1">
        <f t="array" ref="AI462">_xlfn.XLOOKUP(Matrix[[#This Row],[TEAM]]&amp;Matrix[[#Headers],[23]],FDR[FDR]&amp;FDR[[#Headers],[23]],FDR[23],"",0,1)</f>
        <v>2</v>
      </c>
      <c r="AJ462" cm="1">
        <f t="array" ref="AJ462">_xlfn.XLOOKUP(Matrix[[#This Row],[TEAM]]&amp;Matrix[[#Headers],[24]],FDR[FDR]&amp;FDR[[#Headers],[24]],FDR[24],"",0,1)</f>
        <v>2</v>
      </c>
      <c r="AK462" cm="1">
        <f t="array" ref="AK462">_xlfn.XLOOKUP(Matrix[[#This Row],[TEAM]]&amp;Matrix[[#Headers],[25]],FDR[FDR]&amp;FDR[[#Headers],[25]],FDR[25],"",0,1)</f>
        <v>3</v>
      </c>
      <c r="AL462" cm="1">
        <f t="array" ref="AL462">_xlfn.XLOOKUP(Matrix[[#This Row],[TEAM]]&amp;Matrix[[#Headers],[26]],FDR[FDR]&amp;FDR[[#Headers],[26]],FDR[26],"",0,1)</f>
        <v>1</v>
      </c>
      <c r="AM462" cm="1">
        <f t="array" ref="AM462">_xlfn.XLOOKUP(Matrix[[#This Row],[TEAM]]&amp;Matrix[[#Headers],[27]],FDR[FDR]&amp;FDR[[#Headers],[27]],FDR[27],"",0,1)</f>
        <v>2</v>
      </c>
      <c r="AN462" cm="1">
        <f t="array" ref="AN462">_xlfn.XLOOKUP(Matrix[[#This Row],[TEAM]]&amp;Matrix[[#Headers],[28]],FDR[FDR]&amp;FDR[[#Headers],[28]],FDR[28],"",0,1)</f>
        <v>1</v>
      </c>
      <c r="AO462" cm="1">
        <f t="array" ref="AO462">_xlfn.XLOOKUP(Matrix[[#This Row],[TEAM]]&amp;Matrix[[#Headers],[29]],FDR[FDR]&amp;FDR[[#Headers],[29]],FDR[29],"",0,1)</f>
        <v>1</v>
      </c>
      <c r="AP462" cm="1">
        <f t="array" ref="AP462">_xlfn.XLOOKUP(Matrix[[#This Row],[TEAM]]&amp;Matrix[[#Headers],[30]],FDR[FDR]&amp;FDR[[#Headers],[30]],FDR[30],"",0,1)</f>
        <v>2</v>
      </c>
      <c r="AQ462" cm="1">
        <f t="array" ref="AQ462">_xlfn.XLOOKUP(Matrix[[#This Row],[TEAM]]&amp;Matrix[[#Headers],[31]],FDR[FDR]&amp;FDR[[#Headers],[31]],FDR[31],"",0,1)</f>
        <v>2</v>
      </c>
      <c r="AR462" cm="1">
        <f t="array" ref="AR462">_xlfn.XLOOKUP(Matrix[[#This Row],[TEAM]]&amp;Matrix[[#Headers],[32]],FDR[FDR]&amp;FDR[[#Headers],[32]],FDR[32],"",0,1)</f>
        <v>1</v>
      </c>
      <c r="AS462" cm="1">
        <f t="array" ref="AS462">_xlfn.XLOOKUP(Matrix[[#This Row],[TEAM]]&amp;Matrix[[#Headers],[33]],FDR[FDR]&amp;FDR[[#Headers],[33]],FDR[33],"",0,1)</f>
        <v>2</v>
      </c>
      <c r="AT462" cm="1">
        <f t="array" ref="AT462">_xlfn.XLOOKUP(Matrix[[#This Row],[TEAM]]&amp;Matrix[[#Headers],[34]],FDR[FDR]&amp;FDR[[#Headers],[34]],FDR[34],"",0,1)</f>
        <v>1</v>
      </c>
      <c r="AU462" cm="1">
        <f t="array" ref="AU462">_xlfn.XLOOKUP(Matrix[[#This Row],[TEAM]]&amp;Matrix[[#Headers],[35]],FDR[FDR]&amp;FDR[[#Headers],[35]],FDR[35],"",0,1)</f>
        <v>3</v>
      </c>
      <c r="AV462" cm="1">
        <f t="array" ref="AV462">_xlfn.XLOOKUP(Matrix[[#This Row],[TEAM]]&amp;Matrix[[#Headers],[36]],FDR[FDR]&amp;FDR[[#Headers],[36]],FDR[36],"",0,1)</f>
        <v>2</v>
      </c>
      <c r="AW462" cm="1">
        <f t="array" ref="AW462">_xlfn.XLOOKUP(Matrix[[#This Row],[TEAM]]&amp;Matrix[[#Headers],[37]],FDR[FDR]&amp;FDR[[#Headers],[37]],FDR[37],"",0,1)</f>
        <v>3</v>
      </c>
      <c r="AX462" cm="1">
        <f t="array" ref="AX462">_xlfn.XLOOKUP(Matrix[[#This Row],[TEAM]]&amp;Matrix[[#Headers],[38]],FDR[FDR]&amp;FDR[[#Headers],[38]],FDR[38],"",0,1)</f>
        <v>1</v>
      </c>
    </row>
    <row r="463" spans="1:50" ht="22" thickTop="1" thickBot="1">
      <c r="A463" s="52" t="s">
        <v>658</v>
      </c>
      <c r="B463" s="70" t="s">
        <v>1827</v>
      </c>
      <c r="C463" s="40" t="s">
        <v>30</v>
      </c>
      <c r="D463" s="62">
        <v>0</v>
      </c>
      <c r="E463" s="60">
        <v>4.0000000000000001E-3</v>
      </c>
      <c r="F463" s="61">
        <v>0</v>
      </c>
      <c r="G463" s="63">
        <v>4</v>
      </c>
      <c r="H463" s="261">
        <f>IF(ISBLANK(I463),0,1)</f>
        <v>0</v>
      </c>
      <c r="I463" s="57"/>
      <c r="J463" s="58"/>
      <c r="K463" s="66" t="s">
        <v>492</v>
      </c>
      <c r="L463" s="66" t="s">
        <v>101</v>
      </c>
      <c r="M463" cm="1">
        <f t="array" ref="M463">_xlfn.XLOOKUP(Matrix[[#This Row],[TEAM]]&amp;Matrix[[#Headers],[1]],FDR[FDR]&amp;FDR[[#Headers],[1]],FDR[1],"",0,1)</f>
        <v>3</v>
      </c>
      <c r="N463" cm="1">
        <f t="array" ref="N463">_xlfn.XLOOKUP(Matrix[[#This Row],[TEAM]]&amp;Matrix[[#Headers],[2]],FDR[FDR]&amp;FDR[[#Headers],[2]],FDR[2],"",0,1)</f>
        <v>2</v>
      </c>
      <c r="O463" cm="1">
        <f t="array" ref="O463">_xlfn.XLOOKUP(Matrix[[#This Row],[TEAM]]&amp;Matrix[[#Headers],[3]],FDR[FDR]&amp;FDR[[#Headers],[3]],FDR[3],"",0,1)</f>
        <v>1</v>
      </c>
      <c r="P463" cm="1">
        <f t="array" ref="P463">_xlfn.XLOOKUP(Matrix[[#This Row],[TEAM]]&amp;Matrix[[#Headers],[4]],FDR[FDR]&amp;FDR[[#Headers],[4]],FDR[4],"",0,1)</f>
        <v>4</v>
      </c>
      <c r="Q463" cm="1">
        <f t="array" ref="Q463">_xlfn.XLOOKUP(Matrix[[#This Row],[TEAM]]&amp;Matrix[[#Headers],[5]],FDR[FDR]&amp;FDR[[#Headers],[5]],FDR[5],"",0,1)</f>
        <v>3</v>
      </c>
      <c r="R463" cm="1">
        <f t="array" ref="R463">_xlfn.XLOOKUP(Matrix[[#This Row],[TEAM]]&amp;Matrix[[#Headers],[6]],FDR[FDR]&amp;FDR[[#Headers],[6]],FDR[6],"",0,1)</f>
        <v>2</v>
      </c>
      <c r="S463" cm="1">
        <f t="array" ref="S463">_xlfn.XLOOKUP(Matrix[[#This Row],[TEAM]]&amp;Matrix[[#Headers],[7]],FDR[FDR]&amp;FDR[[#Headers],[7]],FDR[7],"",0,1)</f>
        <v>1</v>
      </c>
      <c r="T463" cm="1">
        <f t="array" ref="T463">_xlfn.XLOOKUP(Matrix[[#This Row],[TEAM]]&amp;Matrix[[#Headers],[8]],FDR[FDR]&amp;FDR[[#Headers],[8]],FDR[8],"",0,1)</f>
        <v>4</v>
      </c>
      <c r="U463" cm="1">
        <f t="array" ref="U463">_xlfn.XLOOKUP(Matrix[[#This Row],[TEAM]]&amp;Matrix[[#Headers],[9]],FDR[FDR]&amp;FDR[[#Headers],[9]],FDR[9],"",0,1)</f>
        <v>1</v>
      </c>
      <c r="V463" cm="1">
        <f t="array" ref="V463">_xlfn.XLOOKUP(Matrix[[#This Row],[TEAM]]&amp;Matrix[[#Headers],[10]],FDR[FDR]&amp;FDR[[#Headers],[10]],FDR[10],"",0,1)</f>
        <v>2</v>
      </c>
      <c r="W463" cm="1">
        <f t="array" ref="W463">_xlfn.XLOOKUP(Matrix[[#This Row],[TEAM]]&amp;Matrix[[#Headers],[11]],FDR[FDR]&amp;FDR[[#Headers],[11]],FDR[11],"",0,1)</f>
        <v>4</v>
      </c>
      <c r="X463" cm="1">
        <f t="array" ref="X463">_xlfn.XLOOKUP(Matrix[[#This Row],[TEAM]]&amp;Matrix[[#Headers],[12]],FDR[FDR]&amp;FDR[[#Headers],[12]],FDR[12],"",0,1)</f>
        <v>1</v>
      </c>
      <c r="Y463" cm="1">
        <f t="array" ref="Y463">_xlfn.XLOOKUP(Matrix[[#This Row],[TEAM]]&amp;Matrix[[#Headers],[13]],FDR[FDR]&amp;FDR[[#Headers],[13]],FDR[13],"",0,1)</f>
        <v>2</v>
      </c>
      <c r="Z463" cm="1">
        <f t="array" ref="Z463">_xlfn.XLOOKUP(Matrix[[#This Row],[TEAM]]&amp;Matrix[[#Headers],[14]],FDR[FDR]&amp;FDR[[#Headers],[14]],FDR[14],"",0,1)</f>
        <v>1</v>
      </c>
      <c r="AA463" cm="1">
        <f t="array" ref="AA463">_xlfn.XLOOKUP(Matrix[[#This Row],[TEAM]]&amp;Matrix[[#Headers],[15]],FDR[FDR]&amp;FDR[[#Headers],[15]],FDR[15],"",0,1)</f>
        <v>1</v>
      </c>
      <c r="AB463" cm="1">
        <f t="array" ref="AB463">_xlfn.XLOOKUP(Matrix[[#This Row],[TEAM]]&amp;Matrix[[#Headers],[16]],FDR[FDR]&amp;FDR[[#Headers],[16]],FDR[16],"",0,1)</f>
        <v>1</v>
      </c>
      <c r="AC463" cm="1">
        <f t="array" ref="AC463">_xlfn.XLOOKUP(Matrix[[#This Row],[TEAM]]&amp;Matrix[[#Headers],[17]],FDR[FDR]&amp;FDR[[#Headers],[17]],FDR[17],"",0,1)</f>
        <v>3</v>
      </c>
      <c r="AD463" cm="1">
        <f t="array" ref="AD463">_xlfn.XLOOKUP(Matrix[[#This Row],[TEAM]]&amp;Matrix[[#Headers],[18]],FDR[FDR]&amp;FDR[[#Headers],[18]],FDR[18],"",0,1)</f>
        <v>2</v>
      </c>
      <c r="AE463" cm="1">
        <f t="array" ref="AE463">_xlfn.XLOOKUP(Matrix[[#This Row],[TEAM]]&amp;Matrix[[#Headers],[19]],FDR[FDR]&amp;FDR[[#Headers],[19]],FDR[19],"",0,1)</f>
        <v>1</v>
      </c>
      <c r="AF463" cm="1">
        <f t="array" ref="AF463">_xlfn.XLOOKUP(Matrix[[#This Row],[TEAM]]&amp;Matrix[[#Headers],[20]],FDR[FDR]&amp;FDR[[#Headers],[20]],FDR[20],"",0,1)</f>
        <v>1</v>
      </c>
      <c r="AG463" cm="1">
        <f t="array" ref="AG463">_xlfn.XLOOKUP(Matrix[[#This Row],[TEAM]]&amp;Matrix[[#Headers],[21]],FDR[FDR]&amp;FDR[[#Headers],[21]],FDR[21],"",0,1)</f>
        <v>1</v>
      </c>
      <c r="AH463" cm="1">
        <f t="array" ref="AH463">_xlfn.XLOOKUP(Matrix[[#This Row],[TEAM]]&amp;Matrix[[#Headers],[22]],FDR[FDR]&amp;FDR[[#Headers],[22]],FDR[22],"",0,1)</f>
        <v>3</v>
      </c>
      <c r="AI463" cm="1">
        <f t="array" ref="AI463">_xlfn.XLOOKUP(Matrix[[#This Row],[TEAM]]&amp;Matrix[[#Headers],[23]],FDR[FDR]&amp;FDR[[#Headers],[23]],FDR[23],"",0,1)</f>
        <v>4</v>
      </c>
      <c r="AJ463" cm="1">
        <f t="array" ref="AJ463">_xlfn.XLOOKUP(Matrix[[#This Row],[TEAM]]&amp;Matrix[[#Headers],[24]],FDR[FDR]&amp;FDR[[#Headers],[24]],FDR[24],"",0,1)</f>
        <v>1</v>
      </c>
      <c r="AK463" cm="1">
        <f t="array" ref="AK463">_xlfn.XLOOKUP(Matrix[[#This Row],[TEAM]]&amp;Matrix[[#Headers],[25]],FDR[FDR]&amp;FDR[[#Headers],[25]],FDR[25],"",0,1)</f>
        <v>3</v>
      </c>
      <c r="AL463" cm="1">
        <f t="array" ref="AL463">_xlfn.XLOOKUP(Matrix[[#This Row],[TEAM]]&amp;Matrix[[#Headers],[26]],FDR[FDR]&amp;FDR[[#Headers],[26]],FDR[26],"",0,1)</f>
        <v>2</v>
      </c>
      <c r="AM463" cm="1">
        <f t="array" ref="AM463">_xlfn.XLOOKUP(Matrix[[#This Row],[TEAM]]&amp;Matrix[[#Headers],[27]],FDR[FDR]&amp;FDR[[#Headers],[27]],FDR[27],"",0,1)</f>
        <v>2</v>
      </c>
      <c r="AN463" cm="1">
        <f t="array" ref="AN463">_xlfn.XLOOKUP(Matrix[[#This Row],[TEAM]]&amp;Matrix[[#Headers],[28]],FDR[FDR]&amp;FDR[[#Headers],[28]],FDR[28],"",0,1)</f>
        <v>1</v>
      </c>
      <c r="AO463" cm="1">
        <f t="array" ref="AO463">_xlfn.XLOOKUP(Matrix[[#This Row],[TEAM]]&amp;Matrix[[#Headers],[29]],FDR[FDR]&amp;FDR[[#Headers],[29]],FDR[29],"",0,1)</f>
        <v>3</v>
      </c>
      <c r="AP463" cm="1">
        <f t="array" ref="AP463">_xlfn.XLOOKUP(Matrix[[#This Row],[TEAM]]&amp;Matrix[[#Headers],[30]],FDR[FDR]&amp;FDR[[#Headers],[30]],FDR[30],"",0,1)</f>
        <v>2</v>
      </c>
      <c r="AQ463" cm="1">
        <f t="array" ref="AQ463">_xlfn.XLOOKUP(Matrix[[#This Row],[TEAM]]&amp;Matrix[[#Headers],[31]],FDR[FDR]&amp;FDR[[#Headers],[31]],FDR[31],"",0,1)</f>
        <v>2</v>
      </c>
      <c r="AR463" cm="1">
        <f t="array" ref="AR463">_xlfn.XLOOKUP(Matrix[[#This Row],[TEAM]]&amp;Matrix[[#Headers],[32]],FDR[FDR]&amp;FDR[[#Headers],[32]],FDR[32],"",0,1)</f>
        <v>1</v>
      </c>
      <c r="AS463" cm="1">
        <f t="array" ref="AS463">_xlfn.XLOOKUP(Matrix[[#This Row],[TEAM]]&amp;Matrix[[#Headers],[33]],FDR[FDR]&amp;FDR[[#Headers],[33]],FDR[33],"",0,1)</f>
        <v>4</v>
      </c>
      <c r="AT463" cm="1">
        <f t="array" ref="AT463">_xlfn.XLOOKUP(Matrix[[#This Row],[TEAM]]&amp;Matrix[[#Headers],[34]],FDR[FDR]&amp;FDR[[#Headers],[34]],FDR[34],"",0,1)</f>
        <v>1</v>
      </c>
      <c r="AU463" cm="1">
        <f t="array" ref="AU463">_xlfn.XLOOKUP(Matrix[[#This Row],[TEAM]]&amp;Matrix[[#Headers],[35]],FDR[FDR]&amp;FDR[[#Headers],[35]],FDR[35],"",0,1)</f>
        <v>3</v>
      </c>
      <c r="AV463" cm="1">
        <f t="array" ref="AV463">_xlfn.XLOOKUP(Matrix[[#This Row],[TEAM]]&amp;Matrix[[#Headers],[36]],FDR[FDR]&amp;FDR[[#Headers],[36]],FDR[36],"",0,1)</f>
        <v>1</v>
      </c>
      <c r="AW463" cm="1">
        <f t="array" ref="AW463">_xlfn.XLOOKUP(Matrix[[#This Row],[TEAM]]&amp;Matrix[[#Headers],[37]],FDR[FDR]&amp;FDR[[#Headers],[37]],FDR[37],"",0,1)</f>
        <v>1</v>
      </c>
      <c r="AX463" cm="1">
        <f t="array" ref="AX463">_xlfn.XLOOKUP(Matrix[[#This Row],[TEAM]]&amp;Matrix[[#Headers],[38]],FDR[FDR]&amp;FDR[[#Headers],[38]],FDR[38],"",0,1)</f>
        <v>2</v>
      </c>
    </row>
    <row r="464" spans="1:50" ht="22" thickTop="1" thickBot="1">
      <c r="A464" s="52" t="s">
        <v>658</v>
      </c>
      <c r="B464" s="70" t="s">
        <v>1887</v>
      </c>
      <c r="C464" s="40" t="s">
        <v>30</v>
      </c>
      <c r="D464" s="62">
        <v>0</v>
      </c>
      <c r="E464" s="60">
        <v>1E-3</v>
      </c>
      <c r="F464" s="61">
        <v>0</v>
      </c>
      <c r="G464" s="63">
        <v>4</v>
      </c>
      <c r="H464" s="261">
        <f>IF(ISBLANK(I464),0,1)</f>
        <v>0</v>
      </c>
      <c r="I464" s="57"/>
      <c r="J464" s="58"/>
      <c r="K464" s="66" t="s">
        <v>1118</v>
      </c>
      <c r="L464" s="66" t="s">
        <v>376</v>
      </c>
      <c r="M464" cm="1">
        <f t="array" ref="M464">_xlfn.XLOOKUP(Matrix[[#This Row],[TEAM]]&amp;Matrix[[#Headers],[1]],FDR[FDR]&amp;FDR[[#Headers],[1]],FDR[1],"",0,1)</f>
        <v>3</v>
      </c>
      <c r="N464" cm="1">
        <f t="array" ref="N464">_xlfn.XLOOKUP(Matrix[[#This Row],[TEAM]]&amp;Matrix[[#Headers],[2]],FDR[FDR]&amp;FDR[[#Headers],[2]],FDR[2],"",0,1)</f>
        <v>2</v>
      </c>
      <c r="O464" cm="1">
        <f t="array" ref="O464">_xlfn.XLOOKUP(Matrix[[#This Row],[TEAM]]&amp;Matrix[[#Headers],[3]],FDR[FDR]&amp;FDR[[#Headers],[3]],FDR[3],"",0,1)</f>
        <v>1</v>
      </c>
      <c r="P464" cm="1">
        <f t="array" ref="P464">_xlfn.XLOOKUP(Matrix[[#This Row],[TEAM]]&amp;Matrix[[#Headers],[4]],FDR[FDR]&amp;FDR[[#Headers],[4]],FDR[4],"",0,1)</f>
        <v>4</v>
      </c>
      <c r="Q464" cm="1">
        <f t="array" ref="Q464">_xlfn.XLOOKUP(Matrix[[#This Row],[TEAM]]&amp;Matrix[[#Headers],[5]],FDR[FDR]&amp;FDR[[#Headers],[5]],FDR[5],"",0,1)</f>
        <v>3</v>
      </c>
      <c r="R464" cm="1">
        <f t="array" ref="R464">_xlfn.XLOOKUP(Matrix[[#This Row],[TEAM]]&amp;Matrix[[#Headers],[6]],FDR[FDR]&amp;FDR[[#Headers],[6]],FDR[6],"",0,1)</f>
        <v>2</v>
      </c>
      <c r="S464" cm="1">
        <f t="array" ref="S464">_xlfn.XLOOKUP(Matrix[[#This Row],[TEAM]]&amp;Matrix[[#Headers],[7]],FDR[FDR]&amp;FDR[[#Headers],[7]],FDR[7],"",0,1)</f>
        <v>1</v>
      </c>
      <c r="T464" cm="1">
        <f t="array" ref="T464">_xlfn.XLOOKUP(Matrix[[#This Row],[TEAM]]&amp;Matrix[[#Headers],[8]],FDR[FDR]&amp;FDR[[#Headers],[8]],FDR[8],"",0,1)</f>
        <v>4</v>
      </c>
      <c r="U464" cm="1">
        <f t="array" ref="U464">_xlfn.XLOOKUP(Matrix[[#This Row],[TEAM]]&amp;Matrix[[#Headers],[9]],FDR[FDR]&amp;FDR[[#Headers],[9]],FDR[9],"",0,1)</f>
        <v>1</v>
      </c>
      <c r="V464" cm="1">
        <f t="array" ref="V464">_xlfn.XLOOKUP(Matrix[[#This Row],[TEAM]]&amp;Matrix[[#Headers],[10]],FDR[FDR]&amp;FDR[[#Headers],[10]],FDR[10],"",0,1)</f>
        <v>2</v>
      </c>
      <c r="W464" cm="1">
        <f t="array" ref="W464">_xlfn.XLOOKUP(Matrix[[#This Row],[TEAM]]&amp;Matrix[[#Headers],[11]],FDR[FDR]&amp;FDR[[#Headers],[11]],FDR[11],"",0,1)</f>
        <v>4</v>
      </c>
      <c r="X464" cm="1">
        <f t="array" ref="X464">_xlfn.XLOOKUP(Matrix[[#This Row],[TEAM]]&amp;Matrix[[#Headers],[12]],FDR[FDR]&amp;FDR[[#Headers],[12]],FDR[12],"",0,1)</f>
        <v>1</v>
      </c>
      <c r="Y464" cm="1">
        <f t="array" ref="Y464">_xlfn.XLOOKUP(Matrix[[#This Row],[TEAM]]&amp;Matrix[[#Headers],[13]],FDR[FDR]&amp;FDR[[#Headers],[13]],FDR[13],"",0,1)</f>
        <v>2</v>
      </c>
      <c r="Z464" cm="1">
        <f t="array" ref="Z464">_xlfn.XLOOKUP(Matrix[[#This Row],[TEAM]]&amp;Matrix[[#Headers],[14]],FDR[FDR]&amp;FDR[[#Headers],[14]],FDR[14],"",0,1)</f>
        <v>1</v>
      </c>
      <c r="AA464" cm="1">
        <f t="array" ref="AA464">_xlfn.XLOOKUP(Matrix[[#This Row],[TEAM]]&amp;Matrix[[#Headers],[15]],FDR[FDR]&amp;FDR[[#Headers],[15]],FDR[15],"",0,1)</f>
        <v>1</v>
      </c>
      <c r="AB464" cm="1">
        <f t="array" ref="AB464">_xlfn.XLOOKUP(Matrix[[#This Row],[TEAM]]&amp;Matrix[[#Headers],[16]],FDR[FDR]&amp;FDR[[#Headers],[16]],FDR[16],"",0,1)</f>
        <v>1</v>
      </c>
      <c r="AC464" cm="1">
        <f t="array" ref="AC464">_xlfn.XLOOKUP(Matrix[[#This Row],[TEAM]]&amp;Matrix[[#Headers],[17]],FDR[FDR]&amp;FDR[[#Headers],[17]],FDR[17],"",0,1)</f>
        <v>3</v>
      </c>
      <c r="AD464" cm="1">
        <f t="array" ref="AD464">_xlfn.XLOOKUP(Matrix[[#This Row],[TEAM]]&amp;Matrix[[#Headers],[18]],FDR[FDR]&amp;FDR[[#Headers],[18]],FDR[18],"",0,1)</f>
        <v>2</v>
      </c>
      <c r="AE464" cm="1">
        <f t="array" ref="AE464">_xlfn.XLOOKUP(Matrix[[#This Row],[TEAM]]&amp;Matrix[[#Headers],[19]],FDR[FDR]&amp;FDR[[#Headers],[19]],FDR[19],"",0,1)</f>
        <v>1</v>
      </c>
      <c r="AF464" cm="1">
        <f t="array" ref="AF464">_xlfn.XLOOKUP(Matrix[[#This Row],[TEAM]]&amp;Matrix[[#Headers],[20]],FDR[FDR]&amp;FDR[[#Headers],[20]],FDR[20],"",0,1)</f>
        <v>1</v>
      </c>
      <c r="AG464" cm="1">
        <f t="array" ref="AG464">_xlfn.XLOOKUP(Matrix[[#This Row],[TEAM]]&amp;Matrix[[#Headers],[21]],FDR[FDR]&amp;FDR[[#Headers],[21]],FDR[21],"",0,1)</f>
        <v>1</v>
      </c>
      <c r="AH464" cm="1">
        <f t="array" ref="AH464">_xlfn.XLOOKUP(Matrix[[#This Row],[TEAM]]&amp;Matrix[[#Headers],[22]],FDR[FDR]&amp;FDR[[#Headers],[22]],FDR[22],"",0,1)</f>
        <v>3</v>
      </c>
      <c r="AI464" cm="1">
        <f t="array" ref="AI464">_xlfn.XLOOKUP(Matrix[[#This Row],[TEAM]]&amp;Matrix[[#Headers],[23]],FDR[FDR]&amp;FDR[[#Headers],[23]],FDR[23],"",0,1)</f>
        <v>4</v>
      </c>
      <c r="AJ464" cm="1">
        <f t="array" ref="AJ464">_xlfn.XLOOKUP(Matrix[[#This Row],[TEAM]]&amp;Matrix[[#Headers],[24]],FDR[FDR]&amp;FDR[[#Headers],[24]],FDR[24],"",0,1)</f>
        <v>1</v>
      </c>
      <c r="AK464" cm="1">
        <f t="array" ref="AK464">_xlfn.XLOOKUP(Matrix[[#This Row],[TEAM]]&amp;Matrix[[#Headers],[25]],FDR[FDR]&amp;FDR[[#Headers],[25]],FDR[25],"",0,1)</f>
        <v>3</v>
      </c>
      <c r="AL464" cm="1">
        <f t="array" ref="AL464">_xlfn.XLOOKUP(Matrix[[#This Row],[TEAM]]&amp;Matrix[[#Headers],[26]],FDR[FDR]&amp;FDR[[#Headers],[26]],FDR[26],"",0,1)</f>
        <v>2</v>
      </c>
      <c r="AM464" cm="1">
        <f t="array" ref="AM464">_xlfn.XLOOKUP(Matrix[[#This Row],[TEAM]]&amp;Matrix[[#Headers],[27]],FDR[FDR]&amp;FDR[[#Headers],[27]],FDR[27],"",0,1)</f>
        <v>2</v>
      </c>
      <c r="AN464" cm="1">
        <f t="array" ref="AN464">_xlfn.XLOOKUP(Matrix[[#This Row],[TEAM]]&amp;Matrix[[#Headers],[28]],FDR[FDR]&amp;FDR[[#Headers],[28]],FDR[28],"",0,1)</f>
        <v>1</v>
      </c>
      <c r="AO464" cm="1">
        <f t="array" ref="AO464">_xlfn.XLOOKUP(Matrix[[#This Row],[TEAM]]&amp;Matrix[[#Headers],[29]],FDR[FDR]&amp;FDR[[#Headers],[29]],FDR[29],"",0,1)</f>
        <v>3</v>
      </c>
      <c r="AP464" cm="1">
        <f t="array" ref="AP464">_xlfn.XLOOKUP(Matrix[[#This Row],[TEAM]]&amp;Matrix[[#Headers],[30]],FDR[FDR]&amp;FDR[[#Headers],[30]],FDR[30],"",0,1)</f>
        <v>2</v>
      </c>
      <c r="AQ464" cm="1">
        <f t="array" ref="AQ464">_xlfn.XLOOKUP(Matrix[[#This Row],[TEAM]]&amp;Matrix[[#Headers],[31]],FDR[FDR]&amp;FDR[[#Headers],[31]],FDR[31],"",0,1)</f>
        <v>2</v>
      </c>
      <c r="AR464" cm="1">
        <f t="array" ref="AR464">_xlfn.XLOOKUP(Matrix[[#This Row],[TEAM]]&amp;Matrix[[#Headers],[32]],FDR[FDR]&amp;FDR[[#Headers],[32]],FDR[32],"",0,1)</f>
        <v>1</v>
      </c>
      <c r="AS464" cm="1">
        <f t="array" ref="AS464">_xlfn.XLOOKUP(Matrix[[#This Row],[TEAM]]&amp;Matrix[[#Headers],[33]],FDR[FDR]&amp;FDR[[#Headers],[33]],FDR[33],"",0,1)</f>
        <v>4</v>
      </c>
      <c r="AT464" cm="1">
        <f t="array" ref="AT464">_xlfn.XLOOKUP(Matrix[[#This Row],[TEAM]]&amp;Matrix[[#Headers],[34]],FDR[FDR]&amp;FDR[[#Headers],[34]],FDR[34],"",0,1)</f>
        <v>1</v>
      </c>
      <c r="AU464" cm="1">
        <f t="array" ref="AU464">_xlfn.XLOOKUP(Matrix[[#This Row],[TEAM]]&amp;Matrix[[#Headers],[35]],FDR[FDR]&amp;FDR[[#Headers],[35]],FDR[35],"",0,1)</f>
        <v>3</v>
      </c>
      <c r="AV464" cm="1">
        <f t="array" ref="AV464">_xlfn.XLOOKUP(Matrix[[#This Row],[TEAM]]&amp;Matrix[[#Headers],[36]],FDR[FDR]&amp;FDR[[#Headers],[36]],FDR[36],"",0,1)</f>
        <v>1</v>
      </c>
      <c r="AW464" cm="1">
        <f t="array" ref="AW464">_xlfn.XLOOKUP(Matrix[[#This Row],[TEAM]]&amp;Matrix[[#Headers],[37]],FDR[FDR]&amp;FDR[[#Headers],[37]],FDR[37],"",0,1)</f>
        <v>1</v>
      </c>
      <c r="AX464" cm="1">
        <f t="array" ref="AX464">_xlfn.XLOOKUP(Matrix[[#This Row],[TEAM]]&amp;Matrix[[#Headers],[38]],FDR[FDR]&amp;FDR[[#Headers],[38]],FDR[38],"",0,1)</f>
        <v>2</v>
      </c>
    </row>
    <row r="465" spans="1:50" ht="22" thickTop="1" thickBot="1">
      <c r="A465" s="52" t="s">
        <v>658</v>
      </c>
      <c r="B465" s="70" t="s">
        <v>1889</v>
      </c>
      <c r="C465" s="40" t="s">
        <v>25</v>
      </c>
      <c r="D465" s="62">
        <v>0</v>
      </c>
      <c r="E465" s="60">
        <v>1E-3</v>
      </c>
      <c r="F465" s="61">
        <v>0</v>
      </c>
      <c r="G465" s="63">
        <v>4</v>
      </c>
      <c r="H465" s="261">
        <f>IF(ISBLANK(I465),0,1)</f>
        <v>0</v>
      </c>
      <c r="I465" s="57"/>
      <c r="J465" s="58"/>
      <c r="K465" s="66" t="s">
        <v>533</v>
      </c>
      <c r="L465" s="66" t="s">
        <v>103</v>
      </c>
      <c r="M465" cm="1">
        <f t="array" ref="M465">_xlfn.XLOOKUP(Matrix[[#This Row],[TEAM]]&amp;Matrix[[#Headers],[1]],FDR[FDR]&amp;FDR[[#Headers],[1]],FDR[1],"",0,1)</f>
        <v>3</v>
      </c>
      <c r="N465" cm="1">
        <f t="array" ref="N465">_xlfn.XLOOKUP(Matrix[[#This Row],[TEAM]]&amp;Matrix[[#Headers],[2]],FDR[FDR]&amp;FDR[[#Headers],[2]],FDR[2],"",0,1)</f>
        <v>3</v>
      </c>
      <c r="O465" cm="1">
        <f t="array" ref="O465">_xlfn.XLOOKUP(Matrix[[#This Row],[TEAM]]&amp;Matrix[[#Headers],[3]],FDR[FDR]&amp;FDR[[#Headers],[3]],FDR[3],"",0,1)</f>
        <v>1</v>
      </c>
      <c r="P465" cm="1">
        <f t="array" ref="P465">_xlfn.XLOOKUP(Matrix[[#This Row],[TEAM]]&amp;Matrix[[#Headers],[4]],FDR[FDR]&amp;FDR[[#Headers],[4]],FDR[4],"",0,1)</f>
        <v>1</v>
      </c>
      <c r="Q465" cm="1">
        <f t="array" ref="Q465">_xlfn.XLOOKUP(Matrix[[#This Row],[TEAM]]&amp;Matrix[[#Headers],[5]],FDR[FDR]&amp;FDR[[#Headers],[5]],FDR[5],"",0,1)</f>
        <v>2</v>
      </c>
      <c r="R465" cm="1">
        <f t="array" ref="R465">_xlfn.XLOOKUP(Matrix[[#This Row],[TEAM]]&amp;Matrix[[#Headers],[6]],FDR[FDR]&amp;FDR[[#Headers],[6]],FDR[6],"",0,1)</f>
        <v>3</v>
      </c>
      <c r="S465" cm="1">
        <f t="array" ref="S465">_xlfn.XLOOKUP(Matrix[[#This Row],[TEAM]]&amp;Matrix[[#Headers],[7]],FDR[FDR]&amp;FDR[[#Headers],[7]],FDR[7],"",0,1)</f>
        <v>2</v>
      </c>
      <c r="T465" cm="1">
        <f t="array" ref="T465">_xlfn.XLOOKUP(Matrix[[#This Row],[TEAM]]&amp;Matrix[[#Headers],[8]],FDR[FDR]&amp;FDR[[#Headers],[8]],FDR[8],"",0,1)</f>
        <v>2</v>
      </c>
      <c r="U465" cm="1">
        <f t="array" ref="U465">_xlfn.XLOOKUP(Matrix[[#This Row],[TEAM]]&amp;Matrix[[#Headers],[9]],FDR[FDR]&amp;FDR[[#Headers],[9]],FDR[9],"",0,1)</f>
        <v>2</v>
      </c>
      <c r="V465" cm="1">
        <f t="array" ref="V465">_xlfn.XLOOKUP(Matrix[[#This Row],[TEAM]]&amp;Matrix[[#Headers],[10]],FDR[FDR]&amp;FDR[[#Headers],[10]],FDR[10],"",0,1)</f>
        <v>2</v>
      </c>
      <c r="W465" cm="1">
        <f t="array" ref="W465">_xlfn.XLOOKUP(Matrix[[#This Row],[TEAM]]&amp;Matrix[[#Headers],[11]],FDR[FDR]&amp;FDR[[#Headers],[11]],FDR[11],"",0,1)</f>
        <v>2</v>
      </c>
      <c r="X465" cm="1">
        <f t="array" ref="X465">_xlfn.XLOOKUP(Matrix[[#This Row],[TEAM]]&amp;Matrix[[#Headers],[12]],FDR[FDR]&amp;FDR[[#Headers],[12]],FDR[12],"",0,1)</f>
        <v>3</v>
      </c>
      <c r="Y465" cm="1">
        <f t="array" ref="Y465">_xlfn.XLOOKUP(Matrix[[#This Row],[TEAM]]&amp;Matrix[[#Headers],[13]],FDR[FDR]&amp;FDR[[#Headers],[13]],FDR[13],"",0,1)</f>
        <v>2</v>
      </c>
      <c r="Z465" cm="1">
        <f t="array" ref="Z465">_xlfn.XLOOKUP(Matrix[[#This Row],[TEAM]]&amp;Matrix[[#Headers],[14]],FDR[FDR]&amp;FDR[[#Headers],[14]],FDR[14],"",0,1)</f>
        <v>3</v>
      </c>
      <c r="AA465" cm="1">
        <f t="array" ref="AA465">_xlfn.XLOOKUP(Matrix[[#This Row],[TEAM]]&amp;Matrix[[#Headers],[15]],FDR[FDR]&amp;FDR[[#Headers],[15]],FDR[15],"",0,1)</f>
        <v>1</v>
      </c>
      <c r="AB465" cm="1">
        <f t="array" ref="AB465">_xlfn.XLOOKUP(Matrix[[#This Row],[TEAM]]&amp;Matrix[[#Headers],[16]],FDR[FDR]&amp;FDR[[#Headers],[16]],FDR[16],"",0,1)</f>
        <v>1</v>
      </c>
      <c r="AC465" cm="1">
        <f t="array" ref="AC465">_xlfn.XLOOKUP(Matrix[[#This Row],[TEAM]]&amp;Matrix[[#Headers],[17]],FDR[FDR]&amp;FDR[[#Headers],[17]],FDR[17],"",0,1)</f>
        <v>3</v>
      </c>
      <c r="AD465" cm="1">
        <f t="array" ref="AD465">_xlfn.XLOOKUP(Matrix[[#This Row],[TEAM]]&amp;Matrix[[#Headers],[18]],FDR[FDR]&amp;FDR[[#Headers],[18]],FDR[18],"",0,1)</f>
        <v>4</v>
      </c>
      <c r="AE465" cm="1">
        <f t="array" ref="AE465">_xlfn.XLOOKUP(Matrix[[#This Row],[TEAM]]&amp;Matrix[[#Headers],[19]],FDR[FDR]&amp;FDR[[#Headers],[19]],FDR[19],"",0,1)</f>
        <v>1</v>
      </c>
      <c r="AF465" cm="1">
        <f t="array" ref="AF465">_xlfn.XLOOKUP(Matrix[[#This Row],[TEAM]]&amp;Matrix[[#Headers],[20]],FDR[FDR]&amp;FDR[[#Headers],[20]],FDR[20],"",0,1)</f>
        <v>1</v>
      </c>
      <c r="AG465" cm="1">
        <f t="array" ref="AG465">_xlfn.XLOOKUP(Matrix[[#This Row],[TEAM]]&amp;Matrix[[#Headers],[21]],FDR[FDR]&amp;FDR[[#Headers],[21]],FDR[21],"",0,1)</f>
        <v>1</v>
      </c>
      <c r="AH465" cm="1">
        <f t="array" ref="AH465">_xlfn.XLOOKUP(Matrix[[#This Row],[TEAM]]&amp;Matrix[[#Headers],[22]],FDR[FDR]&amp;FDR[[#Headers],[22]],FDR[22],"",0,1)</f>
        <v>1</v>
      </c>
      <c r="AI465" cm="1">
        <f t="array" ref="AI465">_xlfn.XLOOKUP(Matrix[[#This Row],[TEAM]]&amp;Matrix[[#Headers],[23]],FDR[FDR]&amp;FDR[[#Headers],[23]],FDR[23],"",0,1)</f>
        <v>2</v>
      </c>
      <c r="AJ465" cm="1">
        <f t="array" ref="AJ465">_xlfn.XLOOKUP(Matrix[[#This Row],[TEAM]]&amp;Matrix[[#Headers],[24]],FDR[FDR]&amp;FDR[[#Headers],[24]],FDR[24],"",0,1)</f>
        <v>4</v>
      </c>
      <c r="AK465" cm="1">
        <f t="array" ref="AK465">_xlfn.XLOOKUP(Matrix[[#This Row],[TEAM]]&amp;Matrix[[#Headers],[25]],FDR[FDR]&amp;FDR[[#Headers],[25]],FDR[25],"",0,1)</f>
        <v>1</v>
      </c>
      <c r="AL465" cm="1">
        <f t="array" ref="AL465">_xlfn.XLOOKUP(Matrix[[#This Row],[TEAM]]&amp;Matrix[[#Headers],[26]],FDR[FDR]&amp;FDR[[#Headers],[26]],FDR[26],"",0,1)</f>
        <v>4</v>
      </c>
      <c r="AM465" cm="1">
        <f t="array" ref="AM465">_xlfn.XLOOKUP(Matrix[[#This Row],[TEAM]]&amp;Matrix[[#Headers],[27]],FDR[FDR]&amp;FDR[[#Headers],[27]],FDR[27],"",0,1)</f>
        <v>4</v>
      </c>
      <c r="AN465" cm="1">
        <f t="array" ref="AN465">_xlfn.XLOOKUP(Matrix[[#This Row],[TEAM]]&amp;Matrix[[#Headers],[28]],FDR[FDR]&amp;FDR[[#Headers],[28]],FDR[28],"",0,1)</f>
        <v>1</v>
      </c>
      <c r="AO465" cm="1">
        <f t="array" ref="AO465">_xlfn.XLOOKUP(Matrix[[#This Row],[TEAM]]&amp;Matrix[[#Headers],[29]],FDR[FDR]&amp;FDR[[#Headers],[29]],FDR[29],"",0,1)</f>
        <v>3</v>
      </c>
      <c r="AP465" cm="1">
        <f t="array" ref="AP465">_xlfn.XLOOKUP(Matrix[[#This Row],[TEAM]]&amp;Matrix[[#Headers],[30]],FDR[FDR]&amp;FDR[[#Headers],[30]],FDR[30],"",0,1)</f>
        <v>4</v>
      </c>
      <c r="AQ465" cm="1">
        <f t="array" ref="AQ465">_xlfn.XLOOKUP(Matrix[[#This Row],[TEAM]]&amp;Matrix[[#Headers],[31]],FDR[FDR]&amp;FDR[[#Headers],[31]],FDR[31],"",0,1)</f>
        <v>1</v>
      </c>
      <c r="AR465" cm="1">
        <f t="array" ref="AR465">_xlfn.XLOOKUP(Matrix[[#This Row],[TEAM]]&amp;Matrix[[#Headers],[32]],FDR[FDR]&amp;FDR[[#Headers],[32]],FDR[32],"",0,1)</f>
        <v>2</v>
      </c>
      <c r="AS465" cm="1">
        <f t="array" ref="AS465">_xlfn.XLOOKUP(Matrix[[#This Row],[TEAM]]&amp;Matrix[[#Headers],[33]],FDR[FDR]&amp;FDR[[#Headers],[33]],FDR[33],"",0,1)</f>
        <v>2</v>
      </c>
      <c r="AT465" cm="1">
        <f t="array" ref="AT465">_xlfn.XLOOKUP(Matrix[[#This Row],[TEAM]]&amp;Matrix[[#Headers],[34]],FDR[FDR]&amp;FDR[[#Headers],[34]],FDR[34],"",0,1)</f>
        <v>4</v>
      </c>
      <c r="AU465" cm="1">
        <f t="array" ref="AU465">_xlfn.XLOOKUP(Matrix[[#This Row],[TEAM]]&amp;Matrix[[#Headers],[35]],FDR[FDR]&amp;FDR[[#Headers],[35]],FDR[35],"",0,1)</f>
        <v>2</v>
      </c>
      <c r="AV465" cm="1">
        <f t="array" ref="AV465">_xlfn.XLOOKUP(Matrix[[#This Row],[TEAM]]&amp;Matrix[[#Headers],[36]],FDR[FDR]&amp;FDR[[#Headers],[36]],FDR[36],"",0,1)</f>
        <v>2</v>
      </c>
      <c r="AW465" cm="1">
        <f t="array" ref="AW465">_xlfn.XLOOKUP(Matrix[[#This Row],[TEAM]]&amp;Matrix[[#Headers],[37]],FDR[FDR]&amp;FDR[[#Headers],[37]],FDR[37],"",0,1)</f>
        <v>1</v>
      </c>
      <c r="AX465" cm="1">
        <f t="array" ref="AX465">_xlfn.XLOOKUP(Matrix[[#This Row],[TEAM]]&amp;Matrix[[#Headers],[38]],FDR[FDR]&amp;FDR[[#Headers],[38]],FDR[38],"",0,1)</f>
        <v>2</v>
      </c>
    </row>
    <row r="466" spans="1:50" ht="22" thickTop="1" thickBot="1">
      <c r="A466" s="52" t="s">
        <v>658</v>
      </c>
      <c r="B466" s="70" t="s">
        <v>1809</v>
      </c>
      <c r="C466" s="40" t="s">
        <v>52</v>
      </c>
      <c r="D466" s="62">
        <v>0</v>
      </c>
      <c r="E466" s="60">
        <v>8.9999999999999993E-3</v>
      </c>
      <c r="F466" s="61">
        <v>0</v>
      </c>
      <c r="G466" s="63">
        <v>4</v>
      </c>
      <c r="H466" s="261">
        <f>IF(ISBLANK(I466),0,1)</f>
        <v>0</v>
      </c>
      <c r="I466" s="57"/>
      <c r="J466" s="58"/>
      <c r="K466" s="66" t="s">
        <v>1144</v>
      </c>
      <c r="L466" s="66" t="s">
        <v>1143</v>
      </c>
      <c r="M466" cm="1">
        <f t="array" ref="M466">_xlfn.XLOOKUP(Matrix[[#This Row],[TEAM]]&amp;Matrix[[#Headers],[1]],FDR[FDR]&amp;FDR[[#Headers],[1]],FDR[1],"",0,1)</f>
        <v>2</v>
      </c>
      <c r="N466" cm="1">
        <f t="array" ref="N466">_xlfn.XLOOKUP(Matrix[[#This Row],[TEAM]]&amp;Matrix[[#Headers],[2]],FDR[FDR]&amp;FDR[[#Headers],[2]],FDR[2],"",0,1)</f>
        <v>3</v>
      </c>
      <c r="O466" cm="1">
        <f t="array" ref="O466">_xlfn.XLOOKUP(Matrix[[#This Row],[TEAM]]&amp;Matrix[[#Headers],[3]],FDR[FDR]&amp;FDR[[#Headers],[3]],FDR[3],"",0,1)</f>
        <v>2</v>
      </c>
      <c r="P466" cm="1">
        <f t="array" ref="P466">_xlfn.XLOOKUP(Matrix[[#This Row],[TEAM]]&amp;Matrix[[#Headers],[4]],FDR[FDR]&amp;FDR[[#Headers],[4]],FDR[4],"",0,1)</f>
        <v>5</v>
      </c>
      <c r="Q466" cm="1">
        <f t="array" ref="Q466">_xlfn.XLOOKUP(Matrix[[#This Row],[TEAM]]&amp;Matrix[[#Headers],[5]],FDR[FDR]&amp;FDR[[#Headers],[5]],FDR[5],"",0,1)</f>
        <v>2</v>
      </c>
      <c r="R466" cm="1">
        <f t="array" ref="R466">_xlfn.XLOOKUP(Matrix[[#This Row],[TEAM]]&amp;Matrix[[#Headers],[6]],FDR[FDR]&amp;FDR[[#Headers],[6]],FDR[6],"",0,1)</f>
        <v>1</v>
      </c>
      <c r="S466" cm="1">
        <f t="array" ref="S466">_xlfn.XLOOKUP(Matrix[[#This Row],[TEAM]]&amp;Matrix[[#Headers],[7]],FDR[FDR]&amp;FDR[[#Headers],[7]],FDR[7],"",0,1)</f>
        <v>5</v>
      </c>
      <c r="T466" cm="1">
        <f t="array" ref="T466">_xlfn.XLOOKUP(Matrix[[#This Row],[TEAM]]&amp;Matrix[[#Headers],[8]],FDR[FDR]&amp;FDR[[#Headers],[8]],FDR[8],"",0,1)</f>
        <v>4</v>
      </c>
      <c r="U466" cm="1">
        <f t="array" ref="U466">_xlfn.XLOOKUP(Matrix[[#This Row],[TEAM]]&amp;Matrix[[#Headers],[9]],FDR[FDR]&amp;FDR[[#Headers],[9]],FDR[9],"",0,1)</f>
        <v>4</v>
      </c>
      <c r="V466" cm="1">
        <f t="array" ref="V466">_xlfn.XLOOKUP(Matrix[[#This Row],[TEAM]]&amp;Matrix[[#Headers],[10]],FDR[FDR]&amp;FDR[[#Headers],[10]],FDR[10],"",0,1)</f>
        <v>4</v>
      </c>
      <c r="W466" cm="1">
        <f t="array" ref="W466">_xlfn.XLOOKUP(Matrix[[#This Row],[TEAM]]&amp;Matrix[[#Headers],[11]],FDR[FDR]&amp;FDR[[#Headers],[11]],FDR[11],"",0,1)</f>
        <v>1</v>
      </c>
      <c r="X466" cm="1">
        <f t="array" ref="X466">_xlfn.XLOOKUP(Matrix[[#This Row],[TEAM]]&amp;Matrix[[#Headers],[12]],FDR[FDR]&amp;FDR[[#Headers],[12]],FDR[12],"",0,1)</f>
        <v>5</v>
      </c>
      <c r="Y466" cm="1">
        <f t="array" ref="Y466">_xlfn.XLOOKUP(Matrix[[#This Row],[TEAM]]&amp;Matrix[[#Headers],[13]],FDR[FDR]&amp;FDR[[#Headers],[13]],FDR[13],"",0,1)</f>
        <v>3</v>
      </c>
      <c r="Z466" cm="1">
        <f t="array" ref="Z466">_xlfn.XLOOKUP(Matrix[[#This Row],[TEAM]]&amp;Matrix[[#Headers],[14]],FDR[FDR]&amp;FDR[[#Headers],[14]],FDR[14],"",0,1)</f>
        <v>2</v>
      </c>
      <c r="AA466" cm="1">
        <f t="array" ref="AA466">_xlfn.XLOOKUP(Matrix[[#This Row],[TEAM]]&amp;Matrix[[#Headers],[15]],FDR[FDR]&amp;FDR[[#Headers],[15]],FDR[15],"",0,1)</f>
        <v>3</v>
      </c>
      <c r="AB466" cm="1">
        <f t="array" ref="AB466">_xlfn.XLOOKUP(Matrix[[#This Row],[TEAM]]&amp;Matrix[[#Headers],[16]],FDR[FDR]&amp;FDR[[#Headers],[16]],FDR[16],"",0,1)</f>
        <v>4</v>
      </c>
      <c r="AC466" cm="1">
        <f t="array" ref="AC466">_xlfn.XLOOKUP(Matrix[[#This Row],[TEAM]]&amp;Matrix[[#Headers],[17]],FDR[FDR]&amp;FDR[[#Headers],[17]],FDR[17],"",0,1)</f>
        <v>4</v>
      </c>
      <c r="AD466" cm="1">
        <f t="array" ref="AD466">_xlfn.XLOOKUP(Matrix[[#This Row],[TEAM]]&amp;Matrix[[#Headers],[18]],FDR[FDR]&amp;FDR[[#Headers],[18]],FDR[18],"",0,1)</f>
        <v>4</v>
      </c>
      <c r="AE466" cm="1">
        <f t="array" ref="AE466">_xlfn.XLOOKUP(Matrix[[#This Row],[TEAM]]&amp;Matrix[[#Headers],[19]],FDR[FDR]&amp;FDR[[#Headers],[19]],FDR[19],"",0,1)</f>
        <v>2</v>
      </c>
      <c r="AF466" cm="1">
        <f t="array" ref="AF466">_xlfn.XLOOKUP(Matrix[[#This Row],[TEAM]]&amp;Matrix[[#Headers],[20]],FDR[FDR]&amp;FDR[[#Headers],[20]],FDR[20],"",0,1)</f>
        <v>5</v>
      </c>
      <c r="AG466" cm="1">
        <f t="array" ref="AG466">_xlfn.XLOOKUP(Matrix[[#This Row],[TEAM]]&amp;Matrix[[#Headers],[21]],FDR[FDR]&amp;FDR[[#Headers],[21]],FDR[21],"",0,1)</f>
        <v>3</v>
      </c>
      <c r="AH466" cm="1">
        <f t="array" ref="AH466">_xlfn.XLOOKUP(Matrix[[#This Row],[TEAM]]&amp;Matrix[[#Headers],[22]],FDR[FDR]&amp;FDR[[#Headers],[22]],FDR[22],"",0,1)</f>
        <v>4</v>
      </c>
      <c r="AI466" cm="1">
        <f t="array" ref="AI466">_xlfn.XLOOKUP(Matrix[[#This Row],[TEAM]]&amp;Matrix[[#Headers],[23]],FDR[FDR]&amp;FDR[[#Headers],[23]],FDR[23],"",0,1)</f>
        <v>3</v>
      </c>
      <c r="AJ466" cm="1">
        <f t="array" ref="AJ466">_xlfn.XLOOKUP(Matrix[[#This Row],[TEAM]]&amp;Matrix[[#Headers],[24]],FDR[FDR]&amp;FDR[[#Headers],[24]],FDR[24],"",0,1)</f>
        <v>2</v>
      </c>
      <c r="AK466" cm="1">
        <f t="array" ref="AK466">_xlfn.XLOOKUP(Matrix[[#This Row],[TEAM]]&amp;Matrix[[#Headers],[25]],FDR[FDR]&amp;FDR[[#Headers],[25]],FDR[25],"",0,1)</f>
        <v>2</v>
      </c>
      <c r="AL466" cm="1">
        <f t="array" ref="AL466">_xlfn.XLOOKUP(Matrix[[#This Row],[TEAM]]&amp;Matrix[[#Headers],[26]],FDR[FDR]&amp;FDR[[#Headers],[26]],FDR[26],"",0,1)</f>
        <v>1</v>
      </c>
      <c r="AM466" cm="1">
        <f t="array" ref="AM466">_xlfn.XLOOKUP(Matrix[[#This Row],[TEAM]]&amp;Matrix[[#Headers],[27]],FDR[FDR]&amp;FDR[[#Headers],[27]],FDR[27],"",0,1)</f>
        <v>4</v>
      </c>
      <c r="AN466" cm="1">
        <f t="array" ref="AN466">_xlfn.XLOOKUP(Matrix[[#This Row],[TEAM]]&amp;Matrix[[#Headers],[28]],FDR[FDR]&amp;FDR[[#Headers],[28]],FDR[28],"",0,1)</f>
        <v>4</v>
      </c>
      <c r="AO466" cm="1">
        <f t="array" ref="AO466">_xlfn.XLOOKUP(Matrix[[#This Row],[TEAM]]&amp;Matrix[[#Headers],[29]],FDR[FDR]&amp;FDR[[#Headers],[29]],FDR[29],"",0,1)</f>
        <v>5</v>
      </c>
      <c r="AP466" cm="1">
        <f t="array" ref="AP466">_xlfn.XLOOKUP(Matrix[[#This Row],[TEAM]]&amp;Matrix[[#Headers],[30]],FDR[FDR]&amp;FDR[[#Headers],[30]],FDR[30],"",0,1)</f>
        <v>3</v>
      </c>
      <c r="AQ466" cm="1">
        <f t="array" ref="AQ466">_xlfn.XLOOKUP(Matrix[[#This Row],[TEAM]]&amp;Matrix[[#Headers],[31]],FDR[FDR]&amp;FDR[[#Headers],[31]],FDR[31],"",0,1)</f>
        <v>5</v>
      </c>
      <c r="AR466" cm="1">
        <f t="array" ref="AR466">_xlfn.XLOOKUP(Matrix[[#This Row],[TEAM]]&amp;Matrix[[#Headers],[32]],FDR[FDR]&amp;FDR[[#Headers],[32]],FDR[32],"",0,1)</f>
        <v>3</v>
      </c>
      <c r="AS466" cm="1">
        <f t="array" ref="AS466">_xlfn.XLOOKUP(Matrix[[#This Row],[TEAM]]&amp;Matrix[[#Headers],[33]],FDR[FDR]&amp;FDR[[#Headers],[33]],FDR[33],"",0,1)</f>
        <v>1</v>
      </c>
      <c r="AT466" cm="1">
        <f t="array" ref="AT466">_xlfn.XLOOKUP(Matrix[[#This Row],[TEAM]]&amp;Matrix[[#Headers],[34]],FDR[FDR]&amp;FDR[[#Headers],[34]],FDR[34],"",0,1)</f>
        <v>2</v>
      </c>
      <c r="AU466" cm="1">
        <f t="array" ref="AU466">_xlfn.XLOOKUP(Matrix[[#This Row],[TEAM]]&amp;Matrix[[#Headers],[35]],FDR[FDR]&amp;FDR[[#Headers],[35]],FDR[35],"",0,1)</f>
        <v>5</v>
      </c>
      <c r="AV466" cm="1">
        <f t="array" ref="AV466">_xlfn.XLOOKUP(Matrix[[#This Row],[TEAM]]&amp;Matrix[[#Headers],[36]],FDR[FDR]&amp;FDR[[#Headers],[36]],FDR[36],"",0,1)</f>
        <v>4</v>
      </c>
      <c r="AW466" cm="1">
        <f t="array" ref="AW466">_xlfn.XLOOKUP(Matrix[[#This Row],[TEAM]]&amp;Matrix[[#Headers],[37]],FDR[FDR]&amp;FDR[[#Headers],[37]],FDR[37],"",0,1)</f>
        <v>5</v>
      </c>
      <c r="AX466" cm="1">
        <f t="array" ref="AX466">_xlfn.XLOOKUP(Matrix[[#This Row],[TEAM]]&amp;Matrix[[#Headers],[38]],FDR[FDR]&amp;FDR[[#Headers],[38]],FDR[38],"",0,1)</f>
        <v>3</v>
      </c>
    </row>
    <row r="467" spans="1:50" ht="22" thickTop="1" thickBot="1">
      <c r="A467" s="52" t="s">
        <v>658</v>
      </c>
      <c r="B467" s="70" t="s">
        <v>1820</v>
      </c>
      <c r="C467" s="40" t="s">
        <v>634</v>
      </c>
      <c r="D467" s="62">
        <v>0</v>
      </c>
      <c r="E467" s="60">
        <v>5.0000000000000001E-3</v>
      </c>
      <c r="F467" s="61">
        <v>0</v>
      </c>
      <c r="G467" s="63">
        <v>4</v>
      </c>
      <c r="H467" s="261">
        <f>IF(ISBLANK(I467),0,1)</f>
        <v>0</v>
      </c>
      <c r="I467" s="57"/>
      <c r="J467" s="58"/>
      <c r="K467" s="66" t="s">
        <v>581</v>
      </c>
      <c r="L467" s="66" t="s">
        <v>285</v>
      </c>
      <c r="M467" cm="1">
        <f t="array" ref="M467">_xlfn.XLOOKUP(Matrix[[#This Row],[TEAM]]&amp;Matrix[[#Headers],[1]],FDR[FDR]&amp;FDR[[#Headers],[1]],FDR[1],"",0,1)</f>
        <v>4</v>
      </c>
      <c r="N467" cm="1">
        <f t="array" ref="N467">_xlfn.XLOOKUP(Matrix[[#This Row],[TEAM]]&amp;Matrix[[#Headers],[2]],FDR[FDR]&amp;FDR[[#Headers],[2]],FDR[2],"",0,1)</f>
        <v>4</v>
      </c>
      <c r="O467" cm="1">
        <f t="array" ref="O467">_xlfn.XLOOKUP(Matrix[[#This Row],[TEAM]]&amp;Matrix[[#Headers],[3]],FDR[FDR]&amp;FDR[[#Headers],[3]],FDR[3],"",0,1)</f>
        <v>4</v>
      </c>
      <c r="P467" cm="1">
        <f t="array" ref="P467">_xlfn.XLOOKUP(Matrix[[#This Row],[TEAM]]&amp;Matrix[[#Headers],[4]],FDR[FDR]&amp;FDR[[#Headers],[4]],FDR[4],"",0,1)</f>
        <v>5</v>
      </c>
      <c r="Q467" cm="1">
        <f t="array" ref="Q467">_xlfn.XLOOKUP(Matrix[[#This Row],[TEAM]]&amp;Matrix[[#Headers],[5]],FDR[FDR]&amp;FDR[[#Headers],[5]],FDR[5],"",0,1)</f>
        <v>5</v>
      </c>
      <c r="R467" cm="1">
        <f t="array" ref="R467">_xlfn.XLOOKUP(Matrix[[#This Row],[TEAM]]&amp;Matrix[[#Headers],[6]],FDR[FDR]&amp;FDR[[#Headers],[6]],FDR[6],"",0,1)</f>
        <v>5</v>
      </c>
      <c r="S467" cm="1">
        <f t="array" ref="S467">_xlfn.XLOOKUP(Matrix[[#This Row],[TEAM]]&amp;Matrix[[#Headers],[7]],FDR[FDR]&amp;FDR[[#Headers],[7]],FDR[7],"",0,1)</f>
        <v>5</v>
      </c>
      <c r="T467" cm="1">
        <f t="array" ref="T467">_xlfn.XLOOKUP(Matrix[[#This Row],[TEAM]]&amp;Matrix[[#Headers],[8]],FDR[FDR]&amp;FDR[[#Headers],[8]],FDR[8],"",0,1)</f>
        <v>3</v>
      </c>
      <c r="U467" cm="1">
        <f t="array" ref="U467">_xlfn.XLOOKUP(Matrix[[#This Row],[TEAM]]&amp;Matrix[[#Headers],[9]],FDR[FDR]&amp;FDR[[#Headers],[9]],FDR[9],"",0,1)</f>
        <v>5</v>
      </c>
      <c r="V467" cm="1">
        <f t="array" ref="V467">_xlfn.XLOOKUP(Matrix[[#This Row],[TEAM]]&amp;Matrix[[#Headers],[10]],FDR[FDR]&amp;FDR[[#Headers],[10]],FDR[10],"",0,1)</f>
        <v>4</v>
      </c>
      <c r="W467" cm="1">
        <f t="array" ref="W467">_xlfn.XLOOKUP(Matrix[[#This Row],[TEAM]]&amp;Matrix[[#Headers],[11]],FDR[FDR]&amp;FDR[[#Headers],[11]],FDR[11],"",0,1)</f>
        <v>5</v>
      </c>
      <c r="X467" cm="1">
        <f t="array" ref="X467">_xlfn.XLOOKUP(Matrix[[#This Row],[TEAM]]&amp;Matrix[[#Headers],[12]],FDR[FDR]&amp;FDR[[#Headers],[12]],FDR[12],"",0,1)</f>
        <v>5</v>
      </c>
      <c r="Y467" cm="1">
        <f t="array" ref="Y467">_xlfn.XLOOKUP(Matrix[[#This Row],[TEAM]]&amp;Matrix[[#Headers],[13]],FDR[FDR]&amp;FDR[[#Headers],[13]],FDR[13],"",0,1)</f>
        <v>5</v>
      </c>
      <c r="Z467" cm="1">
        <f t="array" ref="Z467">_xlfn.XLOOKUP(Matrix[[#This Row],[TEAM]]&amp;Matrix[[#Headers],[14]],FDR[FDR]&amp;FDR[[#Headers],[14]],FDR[14],"",0,1)</f>
        <v>5</v>
      </c>
      <c r="AA467" cm="1">
        <f t="array" ref="AA467">_xlfn.XLOOKUP(Matrix[[#This Row],[TEAM]]&amp;Matrix[[#Headers],[15]],FDR[FDR]&amp;FDR[[#Headers],[15]],FDR[15],"",0,1)</f>
        <v>5</v>
      </c>
      <c r="AB467" cm="1">
        <f t="array" ref="AB467">_xlfn.XLOOKUP(Matrix[[#This Row],[TEAM]]&amp;Matrix[[#Headers],[16]],FDR[FDR]&amp;FDR[[#Headers],[16]],FDR[16],"",0,1)</f>
        <v>5</v>
      </c>
      <c r="AC467" cm="1">
        <f t="array" ref="AC467">_xlfn.XLOOKUP(Matrix[[#This Row],[TEAM]]&amp;Matrix[[#Headers],[17]],FDR[FDR]&amp;FDR[[#Headers],[17]],FDR[17],"",0,1)</f>
        <v>5</v>
      </c>
      <c r="AD467" cm="1">
        <f t="array" ref="AD467">_xlfn.XLOOKUP(Matrix[[#This Row],[TEAM]]&amp;Matrix[[#Headers],[18]],FDR[FDR]&amp;FDR[[#Headers],[18]],FDR[18],"",0,1)</f>
        <v>3</v>
      </c>
      <c r="AE467" cm="1">
        <f t="array" ref="AE467">_xlfn.XLOOKUP(Matrix[[#This Row],[TEAM]]&amp;Matrix[[#Headers],[19]],FDR[FDR]&amp;FDR[[#Headers],[19]],FDR[19],"",0,1)</f>
        <v>5</v>
      </c>
      <c r="AF467" cm="1">
        <f t="array" ref="AF467">_xlfn.XLOOKUP(Matrix[[#This Row],[TEAM]]&amp;Matrix[[#Headers],[20]],FDR[FDR]&amp;FDR[[#Headers],[20]],FDR[20],"",0,1)</f>
        <v>5</v>
      </c>
      <c r="AG467" cm="1">
        <f t="array" ref="AG467">_xlfn.XLOOKUP(Matrix[[#This Row],[TEAM]]&amp;Matrix[[#Headers],[21]],FDR[FDR]&amp;FDR[[#Headers],[21]],FDR[21],"",0,1)</f>
        <v>5</v>
      </c>
      <c r="AH467" cm="1">
        <f t="array" ref="AH467">_xlfn.XLOOKUP(Matrix[[#This Row],[TEAM]]&amp;Matrix[[#Headers],[22]],FDR[FDR]&amp;FDR[[#Headers],[22]],FDR[22],"",0,1)</f>
        <v>4</v>
      </c>
      <c r="AI467" cm="1">
        <f t="array" ref="AI467">_xlfn.XLOOKUP(Matrix[[#This Row],[TEAM]]&amp;Matrix[[#Headers],[23]],FDR[FDR]&amp;FDR[[#Headers],[23]],FDR[23],"",0,1)</f>
        <v>5</v>
      </c>
      <c r="AJ467" cm="1">
        <f t="array" ref="AJ467">_xlfn.XLOOKUP(Matrix[[#This Row],[TEAM]]&amp;Matrix[[#Headers],[24]],FDR[FDR]&amp;FDR[[#Headers],[24]],FDR[24],"",0,1)</f>
        <v>3</v>
      </c>
      <c r="AK467" cm="1">
        <f t="array" ref="AK467">_xlfn.XLOOKUP(Matrix[[#This Row],[TEAM]]&amp;Matrix[[#Headers],[25]],FDR[FDR]&amp;FDR[[#Headers],[25]],FDR[25],"",0,1)</f>
        <v>5</v>
      </c>
      <c r="AL467" cm="1">
        <f t="array" ref="AL467">_xlfn.XLOOKUP(Matrix[[#This Row],[TEAM]]&amp;Matrix[[#Headers],[26]],FDR[FDR]&amp;FDR[[#Headers],[26]],FDR[26],"",0,1)</f>
        <v>5</v>
      </c>
      <c r="AM467" cm="1">
        <f t="array" ref="AM467">_xlfn.XLOOKUP(Matrix[[#This Row],[TEAM]]&amp;Matrix[[#Headers],[27]],FDR[FDR]&amp;FDR[[#Headers],[27]],FDR[27],"",0,1)</f>
        <v>5</v>
      </c>
      <c r="AN467" cm="1">
        <f t="array" ref="AN467">_xlfn.XLOOKUP(Matrix[[#This Row],[TEAM]]&amp;Matrix[[#Headers],[28]],FDR[FDR]&amp;FDR[[#Headers],[28]],FDR[28],"",0,1)</f>
        <v>5</v>
      </c>
      <c r="AO467" cm="1">
        <f t="array" ref="AO467">_xlfn.XLOOKUP(Matrix[[#This Row],[TEAM]]&amp;Matrix[[#Headers],[29]],FDR[FDR]&amp;FDR[[#Headers],[29]],FDR[29],"",0,1)</f>
        <v>4</v>
      </c>
      <c r="AP467" cm="1">
        <f t="array" ref="AP467">_xlfn.XLOOKUP(Matrix[[#This Row],[TEAM]]&amp;Matrix[[#Headers],[30]],FDR[FDR]&amp;FDR[[#Headers],[30]],FDR[30],"",0,1)</f>
        <v>5</v>
      </c>
      <c r="AQ467" cm="1">
        <f t="array" ref="AQ467">_xlfn.XLOOKUP(Matrix[[#This Row],[TEAM]]&amp;Matrix[[#Headers],[31]],FDR[FDR]&amp;FDR[[#Headers],[31]],FDR[31],"",0,1)</f>
        <v>5</v>
      </c>
      <c r="AR467" cm="1">
        <f t="array" ref="AR467">_xlfn.XLOOKUP(Matrix[[#This Row],[TEAM]]&amp;Matrix[[#Headers],[32]],FDR[FDR]&amp;FDR[[#Headers],[32]],FDR[32],"",0,1)</f>
        <v>5</v>
      </c>
      <c r="AS467" cm="1">
        <f t="array" ref="AS467">_xlfn.XLOOKUP(Matrix[[#This Row],[TEAM]]&amp;Matrix[[#Headers],[33]],FDR[FDR]&amp;FDR[[#Headers],[33]],FDR[33],"",0,1)</f>
        <v>5</v>
      </c>
      <c r="AT467" cm="1">
        <f t="array" ref="AT467">_xlfn.XLOOKUP(Matrix[[#This Row],[TEAM]]&amp;Matrix[[#Headers],[34]],FDR[FDR]&amp;FDR[[#Headers],[34]],FDR[34],"",0,1)</f>
        <v>5</v>
      </c>
      <c r="AU467" cm="1">
        <f t="array" ref="AU467">_xlfn.XLOOKUP(Matrix[[#This Row],[TEAM]]&amp;Matrix[[#Headers],[35]],FDR[FDR]&amp;FDR[[#Headers],[35]],FDR[35],"",0,1)</f>
        <v>4</v>
      </c>
      <c r="AV467" cm="1">
        <f t="array" ref="AV467">_xlfn.XLOOKUP(Matrix[[#This Row],[TEAM]]&amp;Matrix[[#Headers],[36]],FDR[FDR]&amp;FDR[[#Headers],[36]],FDR[36],"",0,1)</f>
        <v>5</v>
      </c>
      <c r="AW467" cm="1">
        <f t="array" ref="AW467">_xlfn.XLOOKUP(Matrix[[#This Row],[TEAM]]&amp;Matrix[[#Headers],[37]],FDR[FDR]&amp;FDR[[#Headers],[37]],FDR[37],"",0,1)</f>
        <v>5</v>
      </c>
      <c r="AX467" cm="1">
        <f t="array" ref="AX467">_xlfn.XLOOKUP(Matrix[[#This Row],[TEAM]]&amp;Matrix[[#Headers],[38]],FDR[FDR]&amp;FDR[[#Headers],[38]],FDR[38],"",0,1)</f>
        <v>5</v>
      </c>
    </row>
    <row r="468" spans="1:50" ht="22" thickTop="1" thickBot="1">
      <c r="A468" s="52" t="s">
        <v>658</v>
      </c>
      <c r="B468" s="70" t="s">
        <v>1876</v>
      </c>
      <c r="C468" s="40" t="s">
        <v>634</v>
      </c>
      <c r="D468" s="62">
        <v>0</v>
      </c>
      <c r="E468" s="60">
        <v>2E-3</v>
      </c>
      <c r="F468" s="61">
        <v>0</v>
      </c>
      <c r="G468" s="63">
        <v>4</v>
      </c>
      <c r="H468" s="261">
        <f>IF(ISBLANK(I468),0,1)</f>
        <v>0</v>
      </c>
      <c r="I468" s="57"/>
      <c r="J468" s="58"/>
      <c r="K468" s="66" t="s">
        <v>1191</v>
      </c>
      <c r="L468" s="66" t="s">
        <v>1173</v>
      </c>
      <c r="M468" cm="1">
        <f t="array" ref="M468">_xlfn.XLOOKUP(Matrix[[#This Row],[TEAM]]&amp;Matrix[[#Headers],[1]],FDR[FDR]&amp;FDR[[#Headers],[1]],FDR[1],"",0,1)</f>
        <v>4</v>
      </c>
      <c r="N468" cm="1">
        <f t="array" ref="N468">_xlfn.XLOOKUP(Matrix[[#This Row],[TEAM]]&amp;Matrix[[#Headers],[2]],FDR[FDR]&amp;FDR[[#Headers],[2]],FDR[2],"",0,1)</f>
        <v>4</v>
      </c>
      <c r="O468" cm="1">
        <f t="array" ref="O468">_xlfn.XLOOKUP(Matrix[[#This Row],[TEAM]]&amp;Matrix[[#Headers],[3]],FDR[FDR]&amp;FDR[[#Headers],[3]],FDR[3],"",0,1)</f>
        <v>4</v>
      </c>
      <c r="P468" cm="1">
        <f t="array" ref="P468">_xlfn.XLOOKUP(Matrix[[#This Row],[TEAM]]&amp;Matrix[[#Headers],[4]],FDR[FDR]&amp;FDR[[#Headers],[4]],FDR[4],"",0,1)</f>
        <v>5</v>
      </c>
      <c r="Q468" cm="1">
        <f t="array" ref="Q468">_xlfn.XLOOKUP(Matrix[[#This Row],[TEAM]]&amp;Matrix[[#Headers],[5]],FDR[FDR]&amp;FDR[[#Headers],[5]],FDR[5],"",0,1)</f>
        <v>5</v>
      </c>
      <c r="R468" cm="1">
        <f t="array" ref="R468">_xlfn.XLOOKUP(Matrix[[#This Row],[TEAM]]&amp;Matrix[[#Headers],[6]],FDR[FDR]&amp;FDR[[#Headers],[6]],FDR[6],"",0,1)</f>
        <v>5</v>
      </c>
      <c r="S468" cm="1">
        <f t="array" ref="S468">_xlfn.XLOOKUP(Matrix[[#This Row],[TEAM]]&amp;Matrix[[#Headers],[7]],FDR[FDR]&amp;FDR[[#Headers],[7]],FDR[7],"",0,1)</f>
        <v>5</v>
      </c>
      <c r="T468" cm="1">
        <f t="array" ref="T468">_xlfn.XLOOKUP(Matrix[[#This Row],[TEAM]]&amp;Matrix[[#Headers],[8]],FDR[FDR]&amp;FDR[[#Headers],[8]],FDR[8],"",0,1)</f>
        <v>3</v>
      </c>
      <c r="U468" cm="1">
        <f t="array" ref="U468">_xlfn.XLOOKUP(Matrix[[#This Row],[TEAM]]&amp;Matrix[[#Headers],[9]],FDR[FDR]&amp;FDR[[#Headers],[9]],FDR[9],"",0,1)</f>
        <v>5</v>
      </c>
      <c r="V468" cm="1">
        <f t="array" ref="V468">_xlfn.XLOOKUP(Matrix[[#This Row],[TEAM]]&amp;Matrix[[#Headers],[10]],FDR[FDR]&amp;FDR[[#Headers],[10]],FDR[10],"",0,1)</f>
        <v>4</v>
      </c>
      <c r="W468" cm="1">
        <f t="array" ref="W468">_xlfn.XLOOKUP(Matrix[[#This Row],[TEAM]]&amp;Matrix[[#Headers],[11]],FDR[FDR]&amp;FDR[[#Headers],[11]],FDR[11],"",0,1)</f>
        <v>5</v>
      </c>
      <c r="X468" cm="1">
        <f t="array" ref="X468">_xlfn.XLOOKUP(Matrix[[#This Row],[TEAM]]&amp;Matrix[[#Headers],[12]],FDR[FDR]&amp;FDR[[#Headers],[12]],FDR[12],"",0,1)</f>
        <v>5</v>
      </c>
      <c r="Y468" cm="1">
        <f t="array" ref="Y468">_xlfn.XLOOKUP(Matrix[[#This Row],[TEAM]]&amp;Matrix[[#Headers],[13]],FDR[FDR]&amp;FDR[[#Headers],[13]],FDR[13],"",0,1)</f>
        <v>5</v>
      </c>
      <c r="Z468" cm="1">
        <f t="array" ref="Z468">_xlfn.XLOOKUP(Matrix[[#This Row],[TEAM]]&amp;Matrix[[#Headers],[14]],FDR[FDR]&amp;FDR[[#Headers],[14]],FDR[14],"",0,1)</f>
        <v>5</v>
      </c>
      <c r="AA468" cm="1">
        <f t="array" ref="AA468">_xlfn.XLOOKUP(Matrix[[#This Row],[TEAM]]&amp;Matrix[[#Headers],[15]],FDR[FDR]&amp;FDR[[#Headers],[15]],FDR[15],"",0,1)</f>
        <v>5</v>
      </c>
      <c r="AB468" cm="1">
        <f t="array" ref="AB468">_xlfn.XLOOKUP(Matrix[[#This Row],[TEAM]]&amp;Matrix[[#Headers],[16]],FDR[FDR]&amp;FDR[[#Headers],[16]],FDR[16],"",0,1)</f>
        <v>5</v>
      </c>
      <c r="AC468" cm="1">
        <f t="array" ref="AC468">_xlfn.XLOOKUP(Matrix[[#This Row],[TEAM]]&amp;Matrix[[#Headers],[17]],FDR[FDR]&amp;FDR[[#Headers],[17]],FDR[17],"",0,1)</f>
        <v>5</v>
      </c>
      <c r="AD468" cm="1">
        <f t="array" ref="AD468">_xlfn.XLOOKUP(Matrix[[#This Row],[TEAM]]&amp;Matrix[[#Headers],[18]],FDR[FDR]&amp;FDR[[#Headers],[18]],FDR[18],"",0,1)</f>
        <v>3</v>
      </c>
      <c r="AE468" cm="1">
        <f t="array" ref="AE468">_xlfn.XLOOKUP(Matrix[[#This Row],[TEAM]]&amp;Matrix[[#Headers],[19]],FDR[FDR]&amp;FDR[[#Headers],[19]],FDR[19],"",0,1)</f>
        <v>5</v>
      </c>
      <c r="AF468" cm="1">
        <f t="array" ref="AF468">_xlfn.XLOOKUP(Matrix[[#This Row],[TEAM]]&amp;Matrix[[#Headers],[20]],FDR[FDR]&amp;FDR[[#Headers],[20]],FDR[20],"",0,1)</f>
        <v>5</v>
      </c>
      <c r="AG468" cm="1">
        <f t="array" ref="AG468">_xlfn.XLOOKUP(Matrix[[#This Row],[TEAM]]&amp;Matrix[[#Headers],[21]],FDR[FDR]&amp;FDR[[#Headers],[21]],FDR[21],"",0,1)</f>
        <v>5</v>
      </c>
      <c r="AH468" cm="1">
        <f t="array" ref="AH468">_xlfn.XLOOKUP(Matrix[[#This Row],[TEAM]]&amp;Matrix[[#Headers],[22]],FDR[FDR]&amp;FDR[[#Headers],[22]],FDR[22],"",0,1)</f>
        <v>4</v>
      </c>
      <c r="AI468" cm="1">
        <f t="array" ref="AI468">_xlfn.XLOOKUP(Matrix[[#This Row],[TEAM]]&amp;Matrix[[#Headers],[23]],FDR[FDR]&amp;FDR[[#Headers],[23]],FDR[23],"",0,1)</f>
        <v>5</v>
      </c>
      <c r="AJ468" cm="1">
        <f t="array" ref="AJ468">_xlfn.XLOOKUP(Matrix[[#This Row],[TEAM]]&amp;Matrix[[#Headers],[24]],FDR[FDR]&amp;FDR[[#Headers],[24]],FDR[24],"",0,1)</f>
        <v>3</v>
      </c>
      <c r="AK468" cm="1">
        <f t="array" ref="AK468">_xlfn.XLOOKUP(Matrix[[#This Row],[TEAM]]&amp;Matrix[[#Headers],[25]],FDR[FDR]&amp;FDR[[#Headers],[25]],FDR[25],"",0,1)</f>
        <v>5</v>
      </c>
      <c r="AL468" cm="1">
        <f t="array" ref="AL468">_xlfn.XLOOKUP(Matrix[[#This Row],[TEAM]]&amp;Matrix[[#Headers],[26]],FDR[FDR]&amp;FDR[[#Headers],[26]],FDR[26],"",0,1)</f>
        <v>5</v>
      </c>
      <c r="AM468" cm="1">
        <f t="array" ref="AM468">_xlfn.XLOOKUP(Matrix[[#This Row],[TEAM]]&amp;Matrix[[#Headers],[27]],FDR[FDR]&amp;FDR[[#Headers],[27]],FDR[27],"",0,1)</f>
        <v>5</v>
      </c>
      <c r="AN468" cm="1">
        <f t="array" ref="AN468">_xlfn.XLOOKUP(Matrix[[#This Row],[TEAM]]&amp;Matrix[[#Headers],[28]],FDR[FDR]&amp;FDR[[#Headers],[28]],FDR[28],"",0,1)</f>
        <v>5</v>
      </c>
      <c r="AO468" cm="1">
        <f t="array" ref="AO468">_xlfn.XLOOKUP(Matrix[[#This Row],[TEAM]]&amp;Matrix[[#Headers],[29]],FDR[FDR]&amp;FDR[[#Headers],[29]],FDR[29],"",0,1)</f>
        <v>4</v>
      </c>
      <c r="AP468" cm="1">
        <f t="array" ref="AP468">_xlfn.XLOOKUP(Matrix[[#This Row],[TEAM]]&amp;Matrix[[#Headers],[30]],FDR[FDR]&amp;FDR[[#Headers],[30]],FDR[30],"",0,1)</f>
        <v>5</v>
      </c>
      <c r="AQ468" cm="1">
        <f t="array" ref="AQ468">_xlfn.XLOOKUP(Matrix[[#This Row],[TEAM]]&amp;Matrix[[#Headers],[31]],FDR[FDR]&amp;FDR[[#Headers],[31]],FDR[31],"",0,1)</f>
        <v>5</v>
      </c>
      <c r="AR468" cm="1">
        <f t="array" ref="AR468">_xlfn.XLOOKUP(Matrix[[#This Row],[TEAM]]&amp;Matrix[[#Headers],[32]],FDR[FDR]&amp;FDR[[#Headers],[32]],FDR[32],"",0,1)</f>
        <v>5</v>
      </c>
      <c r="AS468" cm="1">
        <f t="array" ref="AS468">_xlfn.XLOOKUP(Matrix[[#This Row],[TEAM]]&amp;Matrix[[#Headers],[33]],FDR[FDR]&amp;FDR[[#Headers],[33]],FDR[33],"",0,1)</f>
        <v>5</v>
      </c>
      <c r="AT468" cm="1">
        <f t="array" ref="AT468">_xlfn.XLOOKUP(Matrix[[#This Row],[TEAM]]&amp;Matrix[[#Headers],[34]],FDR[FDR]&amp;FDR[[#Headers],[34]],FDR[34],"",0,1)</f>
        <v>5</v>
      </c>
      <c r="AU468" cm="1">
        <f t="array" ref="AU468">_xlfn.XLOOKUP(Matrix[[#This Row],[TEAM]]&amp;Matrix[[#Headers],[35]],FDR[FDR]&amp;FDR[[#Headers],[35]],FDR[35],"",0,1)</f>
        <v>4</v>
      </c>
      <c r="AV468" cm="1">
        <f t="array" ref="AV468">_xlfn.XLOOKUP(Matrix[[#This Row],[TEAM]]&amp;Matrix[[#Headers],[36]],FDR[FDR]&amp;FDR[[#Headers],[36]],FDR[36],"",0,1)</f>
        <v>5</v>
      </c>
      <c r="AW468" cm="1">
        <f t="array" ref="AW468">_xlfn.XLOOKUP(Matrix[[#This Row],[TEAM]]&amp;Matrix[[#Headers],[37]],FDR[FDR]&amp;FDR[[#Headers],[37]],FDR[37],"",0,1)</f>
        <v>5</v>
      </c>
      <c r="AX468" cm="1">
        <f t="array" ref="AX468">_xlfn.XLOOKUP(Matrix[[#This Row],[TEAM]]&amp;Matrix[[#Headers],[38]],FDR[FDR]&amp;FDR[[#Headers],[38]],FDR[38],"",0,1)</f>
        <v>5</v>
      </c>
    </row>
    <row r="469" spans="1:50" ht="22" thickTop="1" thickBot="1">
      <c r="A469" s="52" t="s">
        <v>658</v>
      </c>
      <c r="B469" s="70" t="s">
        <v>1815</v>
      </c>
      <c r="C469" s="40" t="s">
        <v>27</v>
      </c>
      <c r="D469" s="68">
        <v>0</v>
      </c>
      <c r="E469" s="60">
        <v>7.0000000000000001E-3</v>
      </c>
      <c r="F469" s="67">
        <v>0</v>
      </c>
      <c r="G469" s="63">
        <v>4</v>
      </c>
      <c r="H469" s="261">
        <f>IF(ISBLANK(I469),0,1)</f>
        <v>0</v>
      </c>
      <c r="I469" s="57"/>
      <c r="J469" s="58"/>
      <c r="K469" s="66" t="s">
        <v>608</v>
      </c>
      <c r="L469" s="66" t="s">
        <v>89</v>
      </c>
      <c r="M469" cm="1">
        <f t="array" ref="M469">_xlfn.XLOOKUP(Matrix[[#This Row],[TEAM]]&amp;Matrix[[#Headers],[1]],FDR[FDR]&amp;FDR[[#Headers],[1]],FDR[1],"",0,1)</f>
        <v>2</v>
      </c>
      <c r="N469" cm="1">
        <f t="array" ref="N469">_xlfn.XLOOKUP(Matrix[[#This Row],[TEAM]]&amp;Matrix[[#Headers],[2]],FDR[FDR]&amp;FDR[[#Headers],[2]],FDR[2],"",0,1)</f>
        <v>4</v>
      </c>
      <c r="O469" cm="1">
        <f t="array" ref="O469">_xlfn.XLOOKUP(Matrix[[#This Row],[TEAM]]&amp;Matrix[[#Headers],[3]],FDR[FDR]&amp;FDR[[#Headers],[3]],FDR[3],"",0,1)</f>
        <v>4</v>
      </c>
      <c r="P469" cm="1">
        <f t="array" ref="P469">_xlfn.XLOOKUP(Matrix[[#This Row],[TEAM]]&amp;Matrix[[#Headers],[4]],FDR[FDR]&amp;FDR[[#Headers],[4]],FDR[4],"",0,1)</f>
        <v>4</v>
      </c>
      <c r="Q469" cm="1">
        <f t="array" ref="Q469">_xlfn.XLOOKUP(Matrix[[#This Row],[TEAM]]&amp;Matrix[[#Headers],[5]],FDR[FDR]&amp;FDR[[#Headers],[5]],FDR[5],"",0,1)</f>
        <v>3</v>
      </c>
      <c r="R469" cm="1">
        <f t="array" ref="R469">_xlfn.XLOOKUP(Matrix[[#This Row],[TEAM]]&amp;Matrix[[#Headers],[6]],FDR[FDR]&amp;FDR[[#Headers],[6]],FDR[6],"",0,1)</f>
        <v>4</v>
      </c>
      <c r="S469" cm="1">
        <f t="array" ref="S469">_xlfn.XLOOKUP(Matrix[[#This Row],[TEAM]]&amp;Matrix[[#Headers],[7]],FDR[FDR]&amp;FDR[[#Headers],[7]],FDR[7],"",0,1)</f>
        <v>5</v>
      </c>
      <c r="T469" cm="1">
        <f t="array" ref="T469">_xlfn.XLOOKUP(Matrix[[#This Row],[TEAM]]&amp;Matrix[[#Headers],[8]],FDR[FDR]&amp;FDR[[#Headers],[8]],FDR[8],"",0,1)</f>
        <v>3</v>
      </c>
      <c r="U469" cm="1">
        <f t="array" ref="U469">_xlfn.XLOOKUP(Matrix[[#This Row],[TEAM]]&amp;Matrix[[#Headers],[9]],FDR[FDR]&amp;FDR[[#Headers],[9]],FDR[9],"",0,1)</f>
        <v>2</v>
      </c>
      <c r="V469" cm="1">
        <f t="array" ref="V469">_xlfn.XLOOKUP(Matrix[[#This Row],[TEAM]]&amp;Matrix[[#Headers],[10]],FDR[FDR]&amp;FDR[[#Headers],[10]],FDR[10],"",0,1)</f>
        <v>4</v>
      </c>
      <c r="W469" cm="1">
        <f t="array" ref="W469">_xlfn.XLOOKUP(Matrix[[#This Row],[TEAM]]&amp;Matrix[[#Headers],[11]],FDR[FDR]&amp;FDR[[#Headers],[11]],FDR[11],"",0,1)</f>
        <v>1</v>
      </c>
      <c r="X469" cm="1">
        <f t="array" ref="X469">_xlfn.XLOOKUP(Matrix[[#This Row],[TEAM]]&amp;Matrix[[#Headers],[12]],FDR[FDR]&amp;FDR[[#Headers],[12]],FDR[12],"",0,1)</f>
        <v>4</v>
      </c>
      <c r="Y469" cm="1">
        <f t="array" ref="Y469">_xlfn.XLOOKUP(Matrix[[#This Row],[TEAM]]&amp;Matrix[[#Headers],[13]],FDR[FDR]&amp;FDR[[#Headers],[13]],FDR[13],"",0,1)</f>
        <v>4</v>
      </c>
      <c r="Z469" cm="1">
        <f t="array" ref="Z469">_xlfn.XLOOKUP(Matrix[[#This Row],[TEAM]]&amp;Matrix[[#Headers],[14]],FDR[FDR]&amp;FDR[[#Headers],[14]],FDR[14],"",0,1)</f>
        <v>5</v>
      </c>
      <c r="AA469" cm="1">
        <f t="array" ref="AA469">_xlfn.XLOOKUP(Matrix[[#This Row],[TEAM]]&amp;Matrix[[#Headers],[15]],FDR[FDR]&amp;FDR[[#Headers],[15]],FDR[15],"",0,1)</f>
        <v>4</v>
      </c>
      <c r="AB469" cm="1">
        <f t="array" ref="AB469">_xlfn.XLOOKUP(Matrix[[#This Row],[TEAM]]&amp;Matrix[[#Headers],[16]],FDR[FDR]&amp;FDR[[#Headers],[16]],FDR[16],"",0,1)</f>
        <v>4</v>
      </c>
      <c r="AC469" cm="1">
        <f t="array" ref="AC469">_xlfn.XLOOKUP(Matrix[[#This Row],[TEAM]]&amp;Matrix[[#Headers],[17]],FDR[FDR]&amp;FDR[[#Headers],[17]],FDR[17],"",0,1)</f>
        <v>5</v>
      </c>
      <c r="AD469" cm="1">
        <f t="array" ref="AD469">_xlfn.XLOOKUP(Matrix[[#This Row],[TEAM]]&amp;Matrix[[#Headers],[18]],FDR[FDR]&amp;FDR[[#Headers],[18]],FDR[18],"",0,1)</f>
        <v>3</v>
      </c>
      <c r="AE469" cm="1">
        <f t="array" ref="AE469">_xlfn.XLOOKUP(Matrix[[#This Row],[TEAM]]&amp;Matrix[[#Headers],[19]],FDR[FDR]&amp;FDR[[#Headers],[19]],FDR[19],"",0,1)</f>
        <v>3</v>
      </c>
      <c r="AF469" cm="1">
        <f t="array" ref="AF469">_xlfn.XLOOKUP(Matrix[[#This Row],[TEAM]]&amp;Matrix[[#Headers],[20]],FDR[FDR]&amp;FDR[[#Headers],[20]],FDR[20],"",0,1)</f>
        <v>2</v>
      </c>
      <c r="AG469" cm="1">
        <f t="array" ref="AG469">_xlfn.XLOOKUP(Matrix[[#This Row],[TEAM]]&amp;Matrix[[#Headers],[21]],FDR[FDR]&amp;FDR[[#Headers],[21]],FDR[21],"",0,1)</f>
        <v>3</v>
      </c>
      <c r="AH469" cm="1">
        <f t="array" ref="AH469">_xlfn.XLOOKUP(Matrix[[#This Row],[TEAM]]&amp;Matrix[[#Headers],[22]],FDR[FDR]&amp;FDR[[#Headers],[22]],FDR[22],"",0,1)</f>
        <v>5</v>
      </c>
      <c r="AI469" cm="1">
        <f t="array" ref="AI469">_xlfn.XLOOKUP(Matrix[[#This Row],[TEAM]]&amp;Matrix[[#Headers],[23]],FDR[FDR]&amp;FDR[[#Headers],[23]],FDR[23],"",0,1)</f>
        <v>1</v>
      </c>
      <c r="AJ469" cm="1">
        <f t="array" ref="AJ469">_xlfn.XLOOKUP(Matrix[[#This Row],[TEAM]]&amp;Matrix[[#Headers],[24]],FDR[FDR]&amp;FDR[[#Headers],[24]],FDR[24],"",0,1)</f>
        <v>5</v>
      </c>
      <c r="AK469" cm="1">
        <f t="array" ref="AK469">_xlfn.XLOOKUP(Matrix[[#This Row],[TEAM]]&amp;Matrix[[#Headers],[25]],FDR[FDR]&amp;FDR[[#Headers],[25]],FDR[25],"",0,1)</f>
        <v>2</v>
      </c>
      <c r="AL469" cm="1">
        <f t="array" ref="AL469">_xlfn.XLOOKUP(Matrix[[#This Row],[TEAM]]&amp;Matrix[[#Headers],[26]],FDR[FDR]&amp;FDR[[#Headers],[26]],FDR[26],"",0,1)</f>
        <v>4</v>
      </c>
      <c r="AM469" cm="1">
        <f t="array" ref="AM469">_xlfn.XLOOKUP(Matrix[[#This Row],[TEAM]]&amp;Matrix[[#Headers],[27]],FDR[FDR]&amp;FDR[[#Headers],[27]],FDR[27],"",0,1)</f>
        <v>3</v>
      </c>
      <c r="AN469" cm="1">
        <f t="array" ref="AN469">_xlfn.XLOOKUP(Matrix[[#This Row],[TEAM]]&amp;Matrix[[#Headers],[28]],FDR[FDR]&amp;FDR[[#Headers],[28]],FDR[28],"",0,1)</f>
        <v>5</v>
      </c>
      <c r="AO469" cm="1">
        <f t="array" ref="AO469">_xlfn.XLOOKUP(Matrix[[#This Row],[TEAM]]&amp;Matrix[[#Headers],[29]],FDR[FDR]&amp;FDR[[#Headers],[29]],FDR[29],"",0,1)</f>
        <v>4</v>
      </c>
      <c r="AP469" cm="1">
        <f t="array" ref="AP469">_xlfn.XLOOKUP(Matrix[[#This Row],[TEAM]]&amp;Matrix[[#Headers],[30]],FDR[FDR]&amp;FDR[[#Headers],[30]],FDR[30],"",0,1)</f>
        <v>4</v>
      </c>
      <c r="AQ469" cm="1">
        <f t="array" ref="AQ469">_xlfn.XLOOKUP(Matrix[[#This Row],[TEAM]]&amp;Matrix[[#Headers],[31]],FDR[FDR]&amp;FDR[[#Headers],[31]],FDR[31],"",0,1)</f>
        <v>5</v>
      </c>
      <c r="AR469" cm="1">
        <f t="array" ref="AR469">_xlfn.XLOOKUP(Matrix[[#This Row],[TEAM]]&amp;Matrix[[#Headers],[32]],FDR[FDR]&amp;FDR[[#Headers],[32]],FDR[32],"",0,1)</f>
        <v>2</v>
      </c>
      <c r="AS469" cm="1">
        <f t="array" ref="AS469">_xlfn.XLOOKUP(Matrix[[#This Row],[TEAM]]&amp;Matrix[[#Headers],[33]],FDR[FDR]&amp;FDR[[#Headers],[33]],FDR[33],"",0,1)</f>
        <v>4</v>
      </c>
      <c r="AT469" cm="1">
        <f t="array" ref="AT469">_xlfn.XLOOKUP(Matrix[[#This Row],[TEAM]]&amp;Matrix[[#Headers],[34]],FDR[FDR]&amp;FDR[[#Headers],[34]],FDR[34],"",0,1)</f>
        <v>3</v>
      </c>
      <c r="AU469" cm="1">
        <f t="array" ref="AU469">_xlfn.XLOOKUP(Matrix[[#This Row],[TEAM]]&amp;Matrix[[#Headers],[35]],FDR[FDR]&amp;FDR[[#Headers],[35]],FDR[35],"",0,1)</f>
        <v>4</v>
      </c>
      <c r="AV469" cm="1">
        <f t="array" ref="AV469">_xlfn.XLOOKUP(Matrix[[#This Row],[TEAM]]&amp;Matrix[[#Headers],[36]],FDR[FDR]&amp;FDR[[#Headers],[36]],FDR[36],"",0,1)</f>
        <v>4</v>
      </c>
      <c r="AW469" cm="1">
        <f t="array" ref="AW469">_xlfn.XLOOKUP(Matrix[[#This Row],[TEAM]]&amp;Matrix[[#Headers],[37]],FDR[FDR]&amp;FDR[[#Headers],[37]],FDR[37],"",0,1)</f>
        <v>5</v>
      </c>
      <c r="AX469" cm="1">
        <f t="array" ref="AX469">_xlfn.XLOOKUP(Matrix[[#This Row],[TEAM]]&amp;Matrix[[#Headers],[38]],FDR[FDR]&amp;FDR[[#Headers],[38]],FDR[38],"",0,1)</f>
        <v>1</v>
      </c>
    </row>
    <row r="470" spans="1:50" ht="22" thickTop="1" thickBot="1">
      <c r="A470" s="52" t="s">
        <v>658</v>
      </c>
      <c r="B470" s="70" t="s">
        <v>1829</v>
      </c>
      <c r="C470" s="40" t="s">
        <v>27</v>
      </c>
      <c r="D470" s="68">
        <v>0</v>
      </c>
      <c r="E470" s="60">
        <v>4.0000000000000001E-3</v>
      </c>
      <c r="F470" s="67">
        <v>0</v>
      </c>
      <c r="G470" s="63">
        <v>4</v>
      </c>
      <c r="H470" s="261">
        <f>IF(ISBLANK(I470),0,1)</f>
        <v>0</v>
      </c>
      <c r="I470" s="57"/>
      <c r="J470" s="58"/>
      <c r="K470" s="66" t="s">
        <v>1213</v>
      </c>
      <c r="L470" s="66" t="s">
        <v>1214</v>
      </c>
      <c r="M470" cm="1">
        <f t="array" ref="M470">_xlfn.XLOOKUP(Matrix[[#This Row],[TEAM]]&amp;Matrix[[#Headers],[1]],FDR[FDR]&amp;FDR[[#Headers],[1]],FDR[1],"",0,1)</f>
        <v>2</v>
      </c>
      <c r="N470" cm="1">
        <f t="array" ref="N470">_xlfn.XLOOKUP(Matrix[[#This Row],[TEAM]]&amp;Matrix[[#Headers],[2]],FDR[FDR]&amp;FDR[[#Headers],[2]],FDR[2],"",0,1)</f>
        <v>4</v>
      </c>
      <c r="O470" cm="1">
        <f t="array" ref="O470">_xlfn.XLOOKUP(Matrix[[#This Row],[TEAM]]&amp;Matrix[[#Headers],[3]],FDR[FDR]&amp;FDR[[#Headers],[3]],FDR[3],"",0,1)</f>
        <v>4</v>
      </c>
      <c r="P470" cm="1">
        <f t="array" ref="P470">_xlfn.XLOOKUP(Matrix[[#This Row],[TEAM]]&amp;Matrix[[#Headers],[4]],FDR[FDR]&amp;FDR[[#Headers],[4]],FDR[4],"",0,1)</f>
        <v>4</v>
      </c>
      <c r="Q470" cm="1">
        <f t="array" ref="Q470">_xlfn.XLOOKUP(Matrix[[#This Row],[TEAM]]&amp;Matrix[[#Headers],[5]],FDR[FDR]&amp;FDR[[#Headers],[5]],FDR[5],"",0,1)</f>
        <v>3</v>
      </c>
      <c r="R470" cm="1">
        <f t="array" ref="R470">_xlfn.XLOOKUP(Matrix[[#This Row],[TEAM]]&amp;Matrix[[#Headers],[6]],FDR[FDR]&amp;FDR[[#Headers],[6]],FDR[6],"",0,1)</f>
        <v>4</v>
      </c>
      <c r="S470" cm="1">
        <f t="array" ref="S470">_xlfn.XLOOKUP(Matrix[[#This Row],[TEAM]]&amp;Matrix[[#Headers],[7]],FDR[FDR]&amp;FDR[[#Headers],[7]],FDR[7],"",0,1)</f>
        <v>5</v>
      </c>
      <c r="T470" cm="1">
        <f t="array" ref="T470">_xlfn.XLOOKUP(Matrix[[#This Row],[TEAM]]&amp;Matrix[[#Headers],[8]],FDR[FDR]&amp;FDR[[#Headers],[8]],FDR[8],"",0,1)</f>
        <v>3</v>
      </c>
      <c r="U470" cm="1">
        <f t="array" ref="U470">_xlfn.XLOOKUP(Matrix[[#This Row],[TEAM]]&amp;Matrix[[#Headers],[9]],FDR[FDR]&amp;FDR[[#Headers],[9]],FDR[9],"",0,1)</f>
        <v>2</v>
      </c>
      <c r="V470" cm="1">
        <f t="array" ref="V470">_xlfn.XLOOKUP(Matrix[[#This Row],[TEAM]]&amp;Matrix[[#Headers],[10]],FDR[FDR]&amp;FDR[[#Headers],[10]],FDR[10],"",0,1)</f>
        <v>4</v>
      </c>
      <c r="W470" cm="1">
        <f t="array" ref="W470">_xlfn.XLOOKUP(Matrix[[#This Row],[TEAM]]&amp;Matrix[[#Headers],[11]],FDR[FDR]&amp;FDR[[#Headers],[11]],FDR[11],"",0,1)</f>
        <v>1</v>
      </c>
      <c r="X470" cm="1">
        <f t="array" ref="X470">_xlfn.XLOOKUP(Matrix[[#This Row],[TEAM]]&amp;Matrix[[#Headers],[12]],FDR[FDR]&amp;FDR[[#Headers],[12]],FDR[12],"",0,1)</f>
        <v>4</v>
      </c>
      <c r="Y470" cm="1">
        <f t="array" ref="Y470">_xlfn.XLOOKUP(Matrix[[#This Row],[TEAM]]&amp;Matrix[[#Headers],[13]],FDR[FDR]&amp;FDR[[#Headers],[13]],FDR[13],"",0,1)</f>
        <v>4</v>
      </c>
      <c r="Z470" cm="1">
        <f t="array" ref="Z470">_xlfn.XLOOKUP(Matrix[[#This Row],[TEAM]]&amp;Matrix[[#Headers],[14]],FDR[FDR]&amp;FDR[[#Headers],[14]],FDR[14],"",0,1)</f>
        <v>5</v>
      </c>
      <c r="AA470" cm="1">
        <f t="array" ref="AA470">_xlfn.XLOOKUP(Matrix[[#This Row],[TEAM]]&amp;Matrix[[#Headers],[15]],FDR[FDR]&amp;FDR[[#Headers],[15]],FDR[15],"",0,1)</f>
        <v>4</v>
      </c>
      <c r="AB470" cm="1">
        <f t="array" ref="AB470">_xlfn.XLOOKUP(Matrix[[#This Row],[TEAM]]&amp;Matrix[[#Headers],[16]],FDR[FDR]&amp;FDR[[#Headers],[16]],FDR[16],"",0,1)</f>
        <v>4</v>
      </c>
      <c r="AC470" cm="1">
        <f t="array" ref="AC470">_xlfn.XLOOKUP(Matrix[[#This Row],[TEAM]]&amp;Matrix[[#Headers],[17]],FDR[FDR]&amp;FDR[[#Headers],[17]],FDR[17],"",0,1)</f>
        <v>5</v>
      </c>
      <c r="AD470" cm="1">
        <f t="array" ref="AD470">_xlfn.XLOOKUP(Matrix[[#This Row],[TEAM]]&amp;Matrix[[#Headers],[18]],FDR[FDR]&amp;FDR[[#Headers],[18]],FDR[18],"",0,1)</f>
        <v>3</v>
      </c>
      <c r="AE470" cm="1">
        <f t="array" ref="AE470">_xlfn.XLOOKUP(Matrix[[#This Row],[TEAM]]&amp;Matrix[[#Headers],[19]],FDR[FDR]&amp;FDR[[#Headers],[19]],FDR[19],"",0,1)</f>
        <v>3</v>
      </c>
      <c r="AF470" cm="1">
        <f t="array" ref="AF470">_xlfn.XLOOKUP(Matrix[[#This Row],[TEAM]]&amp;Matrix[[#Headers],[20]],FDR[FDR]&amp;FDR[[#Headers],[20]],FDR[20],"",0,1)</f>
        <v>2</v>
      </c>
      <c r="AG470" cm="1">
        <f t="array" ref="AG470">_xlfn.XLOOKUP(Matrix[[#This Row],[TEAM]]&amp;Matrix[[#Headers],[21]],FDR[FDR]&amp;FDR[[#Headers],[21]],FDR[21],"",0,1)</f>
        <v>3</v>
      </c>
      <c r="AH470" cm="1">
        <f t="array" ref="AH470">_xlfn.XLOOKUP(Matrix[[#This Row],[TEAM]]&amp;Matrix[[#Headers],[22]],FDR[FDR]&amp;FDR[[#Headers],[22]],FDR[22],"",0,1)</f>
        <v>5</v>
      </c>
      <c r="AI470" cm="1">
        <f t="array" ref="AI470">_xlfn.XLOOKUP(Matrix[[#This Row],[TEAM]]&amp;Matrix[[#Headers],[23]],FDR[FDR]&amp;FDR[[#Headers],[23]],FDR[23],"",0,1)</f>
        <v>1</v>
      </c>
      <c r="AJ470" cm="1">
        <f t="array" ref="AJ470">_xlfn.XLOOKUP(Matrix[[#This Row],[TEAM]]&amp;Matrix[[#Headers],[24]],FDR[FDR]&amp;FDR[[#Headers],[24]],FDR[24],"",0,1)</f>
        <v>5</v>
      </c>
      <c r="AK470" cm="1">
        <f t="array" ref="AK470">_xlfn.XLOOKUP(Matrix[[#This Row],[TEAM]]&amp;Matrix[[#Headers],[25]],FDR[FDR]&amp;FDR[[#Headers],[25]],FDR[25],"",0,1)</f>
        <v>2</v>
      </c>
      <c r="AL470" cm="1">
        <f t="array" ref="AL470">_xlfn.XLOOKUP(Matrix[[#This Row],[TEAM]]&amp;Matrix[[#Headers],[26]],FDR[FDR]&amp;FDR[[#Headers],[26]],FDR[26],"",0,1)</f>
        <v>4</v>
      </c>
      <c r="AM470" cm="1">
        <f t="array" ref="AM470">_xlfn.XLOOKUP(Matrix[[#This Row],[TEAM]]&amp;Matrix[[#Headers],[27]],FDR[FDR]&amp;FDR[[#Headers],[27]],FDR[27],"",0,1)</f>
        <v>3</v>
      </c>
      <c r="AN470" cm="1">
        <f t="array" ref="AN470">_xlfn.XLOOKUP(Matrix[[#This Row],[TEAM]]&amp;Matrix[[#Headers],[28]],FDR[FDR]&amp;FDR[[#Headers],[28]],FDR[28],"",0,1)</f>
        <v>5</v>
      </c>
      <c r="AO470" cm="1">
        <f t="array" ref="AO470">_xlfn.XLOOKUP(Matrix[[#This Row],[TEAM]]&amp;Matrix[[#Headers],[29]],FDR[FDR]&amp;FDR[[#Headers],[29]],FDR[29],"",0,1)</f>
        <v>4</v>
      </c>
      <c r="AP470" cm="1">
        <f t="array" ref="AP470">_xlfn.XLOOKUP(Matrix[[#This Row],[TEAM]]&amp;Matrix[[#Headers],[30]],FDR[FDR]&amp;FDR[[#Headers],[30]],FDR[30],"",0,1)</f>
        <v>4</v>
      </c>
      <c r="AQ470" cm="1">
        <f t="array" ref="AQ470">_xlfn.XLOOKUP(Matrix[[#This Row],[TEAM]]&amp;Matrix[[#Headers],[31]],FDR[FDR]&amp;FDR[[#Headers],[31]],FDR[31],"",0,1)</f>
        <v>5</v>
      </c>
      <c r="AR470" cm="1">
        <f t="array" ref="AR470">_xlfn.XLOOKUP(Matrix[[#This Row],[TEAM]]&amp;Matrix[[#Headers],[32]],FDR[FDR]&amp;FDR[[#Headers],[32]],FDR[32],"",0,1)</f>
        <v>2</v>
      </c>
      <c r="AS470" cm="1">
        <f t="array" ref="AS470">_xlfn.XLOOKUP(Matrix[[#This Row],[TEAM]]&amp;Matrix[[#Headers],[33]],FDR[FDR]&amp;FDR[[#Headers],[33]],FDR[33],"",0,1)</f>
        <v>4</v>
      </c>
      <c r="AT470" cm="1">
        <f t="array" ref="AT470">_xlfn.XLOOKUP(Matrix[[#This Row],[TEAM]]&amp;Matrix[[#Headers],[34]],FDR[FDR]&amp;FDR[[#Headers],[34]],FDR[34],"",0,1)</f>
        <v>3</v>
      </c>
      <c r="AU470" cm="1">
        <f t="array" ref="AU470">_xlfn.XLOOKUP(Matrix[[#This Row],[TEAM]]&amp;Matrix[[#Headers],[35]],FDR[FDR]&amp;FDR[[#Headers],[35]],FDR[35],"",0,1)</f>
        <v>4</v>
      </c>
      <c r="AV470" cm="1">
        <f t="array" ref="AV470">_xlfn.XLOOKUP(Matrix[[#This Row],[TEAM]]&amp;Matrix[[#Headers],[36]],FDR[FDR]&amp;FDR[[#Headers],[36]],FDR[36],"",0,1)</f>
        <v>4</v>
      </c>
      <c r="AW470" cm="1">
        <f t="array" ref="AW470">_xlfn.XLOOKUP(Matrix[[#This Row],[TEAM]]&amp;Matrix[[#Headers],[37]],FDR[FDR]&amp;FDR[[#Headers],[37]],FDR[37],"",0,1)</f>
        <v>5</v>
      </c>
      <c r="AX470" cm="1">
        <f t="array" ref="AX470">_xlfn.XLOOKUP(Matrix[[#This Row],[TEAM]]&amp;Matrix[[#Headers],[38]],FDR[FDR]&amp;FDR[[#Headers],[38]],FDR[38],"",0,1)</f>
        <v>1</v>
      </c>
    </row>
    <row r="471" spans="1:50" ht="22" thickTop="1" thickBot="1">
      <c r="A471" s="51" t="s">
        <v>657</v>
      </c>
      <c r="B471" s="70" t="s">
        <v>1826</v>
      </c>
      <c r="C471" s="40" t="s">
        <v>30</v>
      </c>
      <c r="D471" s="62">
        <v>62</v>
      </c>
      <c r="E471" s="60">
        <v>4.0000000000000001E-3</v>
      </c>
      <c r="F471" s="61">
        <v>1.7</v>
      </c>
      <c r="G471" s="63">
        <v>4</v>
      </c>
      <c r="H471" s="261">
        <f>IF(ISBLANK(I471),0,1)</f>
        <v>0</v>
      </c>
      <c r="I471" s="57"/>
      <c r="J471" s="58"/>
      <c r="K471" s="65" t="s">
        <v>483</v>
      </c>
      <c r="L471" s="65" t="s">
        <v>140</v>
      </c>
      <c r="M471" cm="1">
        <f t="array" ref="M471">_xlfn.XLOOKUP(Matrix[[#This Row],[TEAM]]&amp;Matrix[[#Headers],[1]],FDR[FDR]&amp;FDR[[#Headers],[1]],FDR[1],"",0,1)</f>
        <v>3</v>
      </c>
      <c r="N471" cm="1">
        <f t="array" ref="N471">_xlfn.XLOOKUP(Matrix[[#This Row],[TEAM]]&amp;Matrix[[#Headers],[2]],FDR[FDR]&amp;FDR[[#Headers],[2]],FDR[2],"",0,1)</f>
        <v>2</v>
      </c>
      <c r="O471" cm="1">
        <f t="array" ref="O471">_xlfn.XLOOKUP(Matrix[[#This Row],[TEAM]]&amp;Matrix[[#Headers],[3]],FDR[FDR]&amp;FDR[[#Headers],[3]],FDR[3],"",0,1)</f>
        <v>1</v>
      </c>
      <c r="P471" cm="1">
        <f t="array" ref="P471">_xlfn.XLOOKUP(Matrix[[#This Row],[TEAM]]&amp;Matrix[[#Headers],[4]],FDR[FDR]&amp;FDR[[#Headers],[4]],FDR[4],"",0,1)</f>
        <v>4</v>
      </c>
      <c r="Q471" cm="1">
        <f t="array" ref="Q471">_xlfn.XLOOKUP(Matrix[[#This Row],[TEAM]]&amp;Matrix[[#Headers],[5]],FDR[FDR]&amp;FDR[[#Headers],[5]],FDR[5],"",0,1)</f>
        <v>3</v>
      </c>
      <c r="R471" cm="1">
        <f t="array" ref="R471">_xlfn.XLOOKUP(Matrix[[#This Row],[TEAM]]&amp;Matrix[[#Headers],[6]],FDR[FDR]&amp;FDR[[#Headers],[6]],FDR[6],"",0,1)</f>
        <v>2</v>
      </c>
      <c r="S471" cm="1">
        <f t="array" ref="S471">_xlfn.XLOOKUP(Matrix[[#This Row],[TEAM]]&amp;Matrix[[#Headers],[7]],FDR[FDR]&amp;FDR[[#Headers],[7]],FDR[7],"",0,1)</f>
        <v>1</v>
      </c>
      <c r="T471" cm="1">
        <f t="array" ref="T471">_xlfn.XLOOKUP(Matrix[[#This Row],[TEAM]]&amp;Matrix[[#Headers],[8]],FDR[FDR]&amp;FDR[[#Headers],[8]],FDR[8],"",0,1)</f>
        <v>4</v>
      </c>
      <c r="U471" cm="1">
        <f t="array" ref="U471">_xlfn.XLOOKUP(Matrix[[#This Row],[TEAM]]&amp;Matrix[[#Headers],[9]],FDR[FDR]&amp;FDR[[#Headers],[9]],FDR[9],"",0,1)</f>
        <v>1</v>
      </c>
      <c r="V471" cm="1">
        <f t="array" ref="V471">_xlfn.XLOOKUP(Matrix[[#This Row],[TEAM]]&amp;Matrix[[#Headers],[10]],FDR[FDR]&amp;FDR[[#Headers],[10]],FDR[10],"",0,1)</f>
        <v>2</v>
      </c>
      <c r="W471" cm="1">
        <f t="array" ref="W471">_xlfn.XLOOKUP(Matrix[[#This Row],[TEAM]]&amp;Matrix[[#Headers],[11]],FDR[FDR]&amp;FDR[[#Headers],[11]],FDR[11],"",0,1)</f>
        <v>4</v>
      </c>
      <c r="X471" cm="1">
        <f t="array" ref="X471">_xlfn.XLOOKUP(Matrix[[#This Row],[TEAM]]&amp;Matrix[[#Headers],[12]],FDR[FDR]&amp;FDR[[#Headers],[12]],FDR[12],"",0,1)</f>
        <v>1</v>
      </c>
      <c r="Y471" cm="1">
        <f t="array" ref="Y471">_xlfn.XLOOKUP(Matrix[[#This Row],[TEAM]]&amp;Matrix[[#Headers],[13]],FDR[FDR]&amp;FDR[[#Headers],[13]],FDR[13],"",0,1)</f>
        <v>2</v>
      </c>
      <c r="Z471" cm="1">
        <f t="array" ref="Z471">_xlfn.XLOOKUP(Matrix[[#This Row],[TEAM]]&amp;Matrix[[#Headers],[14]],FDR[FDR]&amp;FDR[[#Headers],[14]],FDR[14],"",0,1)</f>
        <v>1</v>
      </c>
      <c r="AA471" cm="1">
        <f t="array" ref="AA471">_xlfn.XLOOKUP(Matrix[[#This Row],[TEAM]]&amp;Matrix[[#Headers],[15]],FDR[FDR]&amp;FDR[[#Headers],[15]],FDR[15],"",0,1)</f>
        <v>1</v>
      </c>
      <c r="AB471" cm="1">
        <f t="array" ref="AB471">_xlfn.XLOOKUP(Matrix[[#This Row],[TEAM]]&amp;Matrix[[#Headers],[16]],FDR[FDR]&amp;FDR[[#Headers],[16]],FDR[16],"",0,1)</f>
        <v>1</v>
      </c>
      <c r="AC471" cm="1">
        <f t="array" ref="AC471">_xlfn.XLOOKUP(Matrix[[#This Row],[TEAM]]&amp;Matrix[[#Headers],[17]],FDR[FDR]&amp;FDR[[#Headers],[17]],FDR[17],"",0,1)</f>
        <v>3</v>
      </c>
      <c r="AD471" cm="1">
        <f t="array" ref="AD471">_xlfn.XLOOKUP(Matrix[[#This Row],[TEAM]]&amp;Matrix[[#Headers],[18]],FDR[FDR]&amp;FDR[[#Headers],[18]],FDR[18],"",0,1)</f>
        <v>2</v>
      </c>
      <c r="AE471" cm="1">
        <f t="array" ref="AE471">_xlfn.XLOOKUP(Matrix[[#This Row],[TEAM]]&amp;Matrix[[#Headers],[19]],FDR[FDR]&amp;FDR[[#Headers],[19]],FDR[19],"",0,1)</f>
        <v>1</v>
      </c>
      <c r="AF471" cm="1">
        <f t="array" ref="AF471">_xlfn.XLOOKUP(Matrix[[#This Row],[TEAM]]&amp;Matrix[[#Headers],[20]],FDR[FDR]&amp;FDR[[#Headers],[20]],FDR[20],"",0,1)</f>
        <v>1</v>
      </c>
      <c r="AG471" cm="1">
        <f t="array" ref="AG471">_xlfn.XLOOKUP(Matrix[[#This Row],[TEAM]]&amp;Matrix[[#Headers],[21]],FDR[FDR]&amp;FDR[[#Headers],[21]],FDR[21],"",0,1)</f>
        <v>1</v>
      </c>
      <c r="AH471" cm="1">
        <f t="array" ref="AH471">_xlfn.XLOOKUP(Matrix[[#This Row],[TEAM]]&amp;Matrix[[#Headers],[22]],FDR[FDR]&amp;FDR[[#Headers],[22]],FDR[22],"",0,1)</f>
        <v>3</v>
      </c>
      <c r="AI471" cm="1">
        <f t="array" ref="AI471">_xlfn.XLOOKUP(Matrix[[#This Row],[TEAM]]&amp;Matrix[[#Headers],[23]],FDR[FDR]&amp;FDR[[#Headers],[23]],FDR[23],"",0,1)</f>
        <v>4</v>
      </c>
      <c r="AJ471" cm="1">
        <f t="array" ref="AJ471">_xlfn.XLOOKUP(Matrix[[#This Row],[TEAM]]&amp;Matrix[[#Headers],[24]],FDR[FDR]&amp;FDR[[#Headers],[24]],FDR[24],"",0,1)</f>
        <v>1</v>
      </c>
      <c r="AK471" cm="1">
        <f t="array" ref="AK471">_xlfn.XLOOKUP(Matrix[[#This Row],[TEAM]]&amp;Matrix[[#Headers],[25]],FDR[FDR]&amp;FDR[[#Headers],[25]],FDR[25],"",0,1)</f>
        <v>3</v>
      </c>
      <c r="AL471" cm="1">
        <f t="array" ref="AL471">_xlfn.XLOOKUP(Matrix[[#This Row],[TEAM]]&amp;Matrix[[#Headers],[26]],FDR[FDR]&amp;FDR[[#Headers],[26]],FDR[26],"",0,1)</f>
        <v>2</v>
      </c>
      <c r="AM471" cm="1">
        <f t="array" ref="AM471">_xlfn.XLOOKUP(Matrix[[#This Row],[TEAM]]&amp;Matrix[[#Headers],[27]],FDR[FDR]&amp;FDR[[#Headers],[27]],FDR[27],"",0,1)</f>
        <v>2</v>
      </c>
      <c r="AN471" cm="1">
        <f t="array" ref="AN471">_xlfn.XLOOKUP(Matrix[[#This Row],[TEAM]]&amp;Matrix[[#Headers],[28]],FDR[FDR]&amp;FDR[[#Headers],[28]],FDR[28],"",0,1)</f>
        <v>1</v>
      </c>
      <c r="AO471" cm="1">
        <f t="array" ref="AO471">_xlfn.XLOOKUP(Matrix[[#This Row],[TEAM]]&amp;Matrix[[#Headers],[29]],FDR[FDR]&amp;FDR[[#Headers],[29]],FDR[29],"",0,1)</f>
        <v>3</v>
      </c>
      <c r="AP471" cm="1">
        <f t="array" ref="AP471">_xlfn.XLOOKUP(Matrix[[#This Row],[TEAM]]&amp;Matrix[[#Headers],[30]],FDR[FDR]&amp;FDR[[#Headers],[30]],FDR[30],"",0,1)</f>
        <v>2</v>
      </c>
      <c r="AQ471" cm="1">
        <f t="array" ref="AQ471">_xlfn.XLOOKUP(Matrix[[#This Row],[TEAM]]&amp;Matrix[[#Headers],[31]],FDR[FDR]&amp;FDR[[#Headers],[31]],FDR[31],"",0,1)</f>
        <v>2</v>
      </c>
      <c r="AR471" cm="1">
        <f t="array" ref="AR471">_xlfn.XLOOKUP(Matrix[[#This Row],[TEAM]]&amp;Matrix[[#Headers],[32]],FDR[FDR]&amp;FDR[[#Headers],[32]],FDR[32],"",0,1)</f>
        <v>1</v>
      </c>
      <c r="AS471" cm="1">
        <f t="array" ref="AS471">_xlfn.XLOOKUP(Matrix[[#This Row],[TEAM]]&amp;Matrix[[#Headers],[33]],FDR[FDR]&amp;FDR[[#Headers],[33]],FDR[33],"",0,1)</f>
        <v>4</v>
      </c>
      <c r="AT471" cm="1">
        <f t="array" ref="AT471">_xlfn.XLOOKUP(Matrix[[#This Row],[TEAM]]&amp;Matrix[[#Headers],[34]],FDR[FDR]&amp;FDR[[#Headers],[34]],FDR[34],"",0,1)</f>
        <v>1</v>
      </c>
      <c r="AU471" cm="1">
        <f t="array" ref="AU471">_xlfn.XLOOKUP(Matrix[[#This Row],[TEAM]]&amp;Matrix[[#Headers],[35]],FDR[FDR]&amp;FDR[[#Headers],[35]],FDR[35],"",0,1)</f>
        <v>3</v>
      </c>
      <c r="AV471" cm="1">
        <f t="array" ref="AV471">_xlfn.XLOOKUP(Matrix[[#This Row],[TEAM]]&amp;Matrix[[#Headers],[36]],FDR[FDR]&amp;FDR[[#Headers],[36]],FDR[36],"",0,1)</f>
        <v>1</v>
      </c>
      <c r="AW471" cm="1">
        <f t="array" ref="AW471">_xlfn.XLOOKUP(Matrix[[#This Row],[TEAM]]&amp;Matrix[[#Headers],[37]],FDR[FDR]&amp;FDR[[#Headers],[37]],FDR[37],"",0,1)</f>
        <v>1</v>
      </c>
      <c r="AX471" cm="1">
        <f t="array" ref="AX471">_xlfn.XLOOKUP(Matrix[[#This Row],[TEAM]]&amp;Matrix[[#Headers],[38]],FDR[FDR]&amp;FDR[[#Headers],[38]],FDR[38],"",0,1)</f>
        <v>2</v>
      </c>
    </row>
    <row r="472" spans="1:50" ht="22" thickTop="1" thickBot="1">
      <c r="A472" s="51" t="s">
        <v>657</v>
      </c>
      <c r="B472" s="70" t="s">
        <v>1818</v>
      </c>
      <c r="C472" s="40" t="s">
        <v>52</v>
      </c>
      <c r="D472" s="62">
        <v>37</v>
      </c>
      <c r="E472" s="60">
        <v>6.0000000000000001E-3</v>
      </c>
      <c r="F472" s="61">
        <v>6.8</v>
      </c>
      <c r="G472" s="63">
        <v>4</v>
      </c>
      <c r="H472" s="261">
        <f>IF(ISBLANK(I472),0,1)</f>
        <v>0</v>
      </c>
      <c r="I472" s="57"/>
      <c r="J472" s="58"/>
      <c r="K472" s="65" t="s">
        <v>524</v>
      </c>
      <c r="L472" s="65" t="s">
        <v>155</v>
      </c>
      <c r="M472" cm="1">
        <f t="array" ref="M472">_xlfn.XLOOKUP(Matrix[[#This Row],[TEAM]]&amp;Matrix[[#Headers],[1]],FDR[FDR]&amp;FDR[[#Headers],[1]],FDR[1],"",0,1)</f>
        <v>2</v>
      </c>
      <c r="N472" cm="1">
        <f t="array" ref="N472">_xlfn.XLOOKUP(Matrix[[#This Row],[TEAM]]&amp;Matrix[[#Headers],[2]],FDR[FDR]&amp;FDR[[#Headers],[2]],FDR[2],"",0,1)</f>
        <v>3</v>
      </c>
      <c r="O472" cm="1">
        <f t="array" ref="O472">_xlfn.XLOOKUP(Matrix[[#This Row],[TEAM]]&amp;Matrix[[#Headers],[3]],FDR[FDR]&amp;FDR[[#Headers],[3]],FDR[3],"",0,1)</f>
        <v>2</v>
      </c>
      <c r="P472" cm="1">
        <f t="array" ref="P472">_xlfn.XLOOKUP(Matrix[[#This Row],[TEAM]]&amp;Matrix[[#Headers],[4]],FDR[FDR]&amp;FDR[[#Headers],[4]],FDR[4],"",0,1)</f>
        <v>5</v>
      </c>
      <c r="Q472" cm="1">
        <f t="array" ref="Q472">_xlfn.XLOOKUP(Matrix[[#This Row],[TEAM]]&amp;Matrix[[#Headers],[5]],FDR[FDR]&amp;FDR[[#Headers],[5]],FDR[5],"",0,1)</f>
        <v>2</v>
      </c>
      <c r="R472" cm="1">
        <f t="array" ref="R472">_xlfn.XLOOKUP(Matrix[[#This Row],[TEAM]]&amp;Matrix[[#Headers],[6]],FDR[FDR]&amp;FDR[[#Headers],[6]],FDR[6],"",0,1)</f>
        <v>1</v>
      </c>
      <c r="S472" cm="1">
        <f t="array" ref="S472">_xlfn.XLOOKUP(Matrix[[#This Row],[TEAM]]&amp;Matrix[[#Headers],[7]],FDR[FDR]&amp;FDR[[#Headers],[7]],FDR[7],"",0,1)</f>
        <v>5</v>
      </c>
      <c r="T472" cm="1">
        <f t="array" ref="T472">_xlfn.XLOOKUP(Matrix[[#This Row],[TEAM]]&amp;Matrix[[#Headers],[8]],FDR[FDR]&amp;FDR[[#Headers],[8]],FDR[8],"",0,1)</f>
        <v>4</v>
      </c>
      <c r="U472" cm="1">
        <f t="array" ref="U472">_xlfn.XLOOKUP(Matrix[[#This Row],[TEAM]]&amp;Matrix[[#Headers],[9]],FDR[FDR]&amp;FDR[[#Headers],[9]],FDR[9],"",0,1)</f>
        <v>4</v>
      </c>
      <c r="V472" cm="1">
        <f t="array" ref="V472">_xlfn.XLOOKUP(Matrix[[#This Row],[TEAM]]&amp;Matrix[[#Headers],[10]],FDR[FDR]&amp;FDR[[#Headers],[10]],FDR[10],"",0,1)</f>
        <v>4</v>
      </c>
      <c r="W472" cm="1">
        <f t="array" ref="W472">_xlfn.XLOOKUP(Matrix[[#This Row],[TEAM]]&amp;Matrix[[#Headers],[11]],FDR[FDR]&amp;FDR[[#Headers],[11]],FDR[11],"",0,1)</f>
        <v>1</v>
      </c>
      <c r="X472" cm="1">
        <f t="array" ref="X472">_xlfn.XLOOKUP(Matrix[[#This Row],[TEAM]]&amp;Matrix[[#Headers],[12]],FDR[FDR]&amp;FDR[[#Headers],[12]],FDR[12],"",0,1)</f>
        <v>5</v>
      </c>
      <c r="Y472" cm="1">
        <f t="array" ref="Y472">_xlfn.XLOOKUP(Matrix[[#This Row],[TEAM]]&amp;Matrix[[#Headers],[13]],FDR[FDR]&amp;FDR[[#Headers],[13]],FDR[13],"",0,1)</f>
        <v>3</v>
      </c>
      <c r="Z472" cm="1">
        <f t="array" ref="Z472">_xlfn.XLOOKUP(Matrix[[#This Row],[TEAM]]&amp;Matrix[[#Headers],[14]],FDR[FDR]&amp;FDR[[#Headers],[14]],FDR[14],"",0,1)</f>
        <v>2</v>
      </c>
      <c r="AA472" cm="1">
        <f t="array" ref="AA472">_xlfn.XLOOKUP(Matrix[[#This Row],[TEAM]]&amp;Matrix[[#Headers],[15]],FDR[FDR]&amp;FDR[[#Headers],[15]],FDR[15],"",0,1)</f>
        <v>3</v>
      </c>
      <c r="AB472" cm="1">
        <f t="array" ref="AB472">_xlfn.XLOOKUP(Matrix[[#This Row],[TEAM]]&amp;Matrix[[#Headers],[16]],FDR[FDR]&amp;FDR[[#Headers],[16]],FDR[16],"",0,1)</f>
        <v>4</v>
      </c>
      <c r="AC472" cm="1">
        <f t="array" ref="AC472">_xlfn.XLOOKUP(Matrix[[#This Row],[TEAM]]&amp;Matrix[[#Headers],[17]],FDR[FDR]&amp;FDR[[#Headers],[17]],FDR[17],"",0,1)</f>
        <v>4</v>
      </c>
      <c r="AD472" cm="1">
        <f t="array" ref="AD472">_xlfn.XLOOKUP(Matrix[[#This Row],[TEAM]]&amp;Matrix[[#Headers],[18]],FDR[FDR]&amp;FDR[[#Headers],[18]],FDR[18],"",0,1)</f>
        <v>4</v>
      </c>
      <c r="AE472" cm="1">
        <f t="array" ref="AE472">_xlfn.XLOOKUP(Matrix[[#This Row],[TEAM]]&amp;Matrix[[#Headers],[19]],FDR[FDR]&amp;FDR[[#Headers],[19]],FDR[19],"",0,1)</f>
        <v>2</v>
      </c>
      <c r="AF472" cm="1">
        <f t="array" ref="AF472">_xlfn.XLOOKUP(Matrix[[#This Row],[TEAM]]&amp;Matrix[[#Headers],[20]],FDR[FDR]&amp;FDR[[#Headers],[20]],FDR[20],"",0,1)</f>
        <v>5</v>
      </c>
      <c r="AG472" cm="1">
        <f t="array" ref="AG472">_xlfn.XLOOKUP(Matrix[[#This Row],[TEAM]]&amp;Matrix[[#Headers],[21]],FDR[FDR]&amp;FDR[[#Headers],[21]],FDR[21],"",0,1)</f>
        <v>3</v>
      </c>
      <c r="AH472" cm="1">
        <f t="array" ref="AH472">_xlfn.XLOOKUP(Matrix[[#This Row],[TEAM]]&amp;Matrix[[#Headers],[22]],FDR[FDR]&amp;FDR[[#Headers],[22]],FDR[22],"",0,1)</f>
        <v>4</v>
      </c>
      <c r="AI472" cm="1">
        <f t="array" ref="AI472">_xlfn.XLOOKUP(Matrix[[#This Row],[TEAM]]&amp;Matrix[[#Headers],[23]],FDR[FDR]&amp;FDR[[#Headers],[23]],FDR[23],"",0,1)</f>
        <v>3</v>
      </c>
      <c r="AJ472" cm="1">
        <f t="array" ref="AJ472">_xlfn.XLOOKUP(Matrix[[#This Row],[TEAM]]&amp;Matrix[[#Headers],[24]],FDR[FDR]&amp;FDR[[#Headers],[24]],FDR[24],"",0,1)</f>
        <v>2</v>
      </c>
      <c r="AK472" cm="1">
        <f t="array" ref="AK472">_xlfn.XLOOKUP(Matrix[[#This Row],[TEAM]]&amp;Matrix[[#Headers],[25]],FDR[FDR]&amp;FDR[[#Headers],[25]],FDR[25],"",0,1)</f>
        <v>2</v>
      </c>
      <c r="AL472" cm="1">
        <f t="array" ref="AL472">_xlfn.XLOOKUP(Matrix[[#This Row],[TEAM]]&amp;Matrix[[#Headers],[26]],FDR[FDR]&amp;FDR[[#Headers],[26]],FDR[26],"",0,1)</f>
        <v>1</v>
      </c>
      <c r="AM472" cm="1">
        <f t="array" ref="AM472">_xlfn.XLOOKUP(Matrix[[#This Row],[TEAM]]&amp;Matrix[[#Headers],[27]],FDR[FDR]&amp;FDR[[#Headers],[27]],FDR[27],"",0,1)</f>
        <v>4</v>
      </c>
      <c r="AN472" cm="1">
        <f t="array" ref="AN472">_xlfn.XLOOKUP(Matrix[[#This Row],[TEAM]]&amp;Matrix[[#Headers],[28]],FDR[FDR]&amp;FDR[[#Headers],[28]],FDR[28],"",0,1)</f>
        <v>4</v>
      </c>
      <c r="AO472" cm="1">
        <f t="array" ref="AO472">_xlfn.XLOOKUP(Matrix[[#This Row],[TEAM]]&amp;Matrix[[#Headers],[29]],FDR[FDR]&amp;FDR[[#Headers],[29]],FDR[29],"",0,1)</f>
        <v>5</v>
      </c>
      <c r="AP472" cm="1">
        <f t="array" ref="AP472">_xlfn.XLOOKUP(Matrix[[#This Row],[TEAM]]&amp;Matrix[[#Headers],[30]],FDR[FDR]&amp;FDR[[#Headers],[30]],FDR[30],"",0,1)</f>
        <v>3</v>
      </c>
      <c r="AQ472" cm="1">
        <f t="array" ref="AQ472">_xlfn.XLOOKUP(Matrix[[#This Row],[TEAM]]&amp;Matrix[[#Headers],[31]],FDR[FDR]&amp;FDR[[#Headers],[31]],FDR[31],"",0,1)</f>
        <v>5</v>
      </c>
      <c r="AR472" cm="1">
        <f t="array" ref="AR472">_xlfn.XLOOKUP(Matrix[[#This Row],[TEAM]]&amp;Matrix[[#Headers],[32]],FDR[FDR]&amp;FDR[[#Headers],[32]],FDR[32],"",0,1)</f>
        <v>3</v>
      </c>
      <c r="AS472" cm="1">
        <f t="array" ref="AS472">_xlfn.XLOOKUP(Matrix[[#This Row],[TEAM]]&amp;Matrix[[#Headers],[33]],FDR[FDR]&amp;FDR[[#Headers],[33]],FDR[33],"",0,1)</f>
        <v>1</v>
      </c>
      <c r="AT472" cm="1">
        <f t="array" ref="AT472">_xlfn.XLOOKUP(Matrix[[#This Row],[TEAM]]&amp;Matrix[[#Headers],[34]],FDR[FDR]&amp;FDR[[#Headers],[34]],FDR[34],"",0,1)</f>
        <v>2</v>
      </c>
      <c r="AU472" cm="1">
        <f t="array" ref="AU472">_xlfn.XLOOKUP(Matrix[[#This Row],[TEAM]]&amp;Matrix[[#Headers],[35]],FDR[FDR]&amp;FDR[[#Headers],[35]],FDR[35],"",0,1)</f>
        <v>5</v>
      </c>
      <c r="AV472" cm="1">
        <f t="array" ref="AV472">_xlfn.XLOOKUP(Matrix[[#This Row],[TEAM]]&amp;Matrix[[#Headers],[36]],FDR[FDR]&amp;FDR[[#Headers],[36]],FDR[36],"",0,1)</f>
        <v>4</v>
      </c>
      <c r="AW472" cm="1">
        <f t="array" ref="AW472">_xlfn.XLOOKUP(Matrix[[#This Row],[TEAM]]&amp;Matrix[[#Headers],[37]],FDR[FDR]&amp;FDR[[#Headers],[37]],FDR[37],"",0,1)</f>
        <v>5</v>
      </c>
      <c r="AX472" cm="1">
        <f t="array" ref="AX472">_xlfn.XLOOKUP(Matrix[[#This Row],[TEAM]]&amp;Matrix[[#Headers],[38]],FDR[FDR]&amp;FDR[[#Headers],[38]],FDR[38],"",0,1)</f>
        <v>3</v>
      </c>
    </row>
    <row r="473" spans="1:50" ht="22" thickTop="1" thickBot="1">
      <c r="A473" s="51" t="s">
        <v>657</v>
      </c>
      <c r="B473" s="70" t="s">
        <v>1817</v>
      </c>
      <c r="C473" s="40" t="s">
        <v>25</v>
      </c>
      <c r="D473" s="62">
        <v>35</v>
      </c>
      <c r="E473" s="60">
        <v>6.0000000000000001E-3</v>
      </c>
      <c r="F473" s="61">
        <v>1</v>
      </c>
      <c r="G473" s="63">
        <v>4</v>
      </c>
      <c r="H473" s="261">
        <f>IF(ISBLANK(I473),0,1)</f>
        <v>0</v>
      </c>
      <c r="I473" s="57"/>
      <c r="J473" s="58"/>
      <c r="K473" s="65" t="s">
        <v>526</v>
      </c>
      <c r="L473" s="65" t="s">
        <v>156</v>
      </c>
      <c r="M473" cm="1">
        <f t="array" ref="M473">_xlfn.XLOOKUP(Matrix[[#This Row],[TEAM]]&amp;Matrix[[#Headers],[1]],FDR[FDR]&amp;FDR[[#Headers],[1]],FDR[1],"",0,1)</f>
        <v>3</v>
      </c>
      <c r="N473" cm="1">
        <f t="array" ref="N473">_xlfn.XLOOKUP(Matrix[[#This Row],[TEAM]]&amp;Matrix[[#Headers],[2]],FDR[FDR]&amp;FDR[[#Headers],[2]],FDR[2],"",0,1)</f>
        <v>3</v>
      </c>
      <c r="O473" cm="1">
        <f t="array" ref="O473">_xlfn.XLOOKUP(Matrix[[#This Row],[TEAM]]&amp;Matrix[[#Headers],[3]],FDR[FDR]&amp;FDR[[#Headers],[3]],FDR[3],"",0,1)</f>
        <v>1</v>
      </c>
      <c r="P473" cm="1">
        <f t="array" ref="P473">_xlfn.XLOOKUP(Matrix[[#This Row],[TEAM]]&amp;Matrix[[#Headers],[4]],FDR[FDR]&amp;FDR[[#Headers],[4]],FDR[4],"",0,1)</f>
        <v>1</v>
      </c>
      <c r="Q473" cm="1">
        <f t="array" ref="Q473">_xlfn.XLOOKUP(Matrix[[#This Row],[TEAM]]&amp;Matrix[[#Headers],[5]],FDR[FDR]&amp;FDR[[#Headers],[5]],FDR[5],"",0,1)</f>
        <v>2</v>
      </c>
      <c r="R473" cm="1">
        <f t="array" ref="R473">_xlfn.XLOOKUP(Matrix[[#This Row],[TEAM]]&amp;Matrix[[#Headers],[6]],FDR[FDR]&amp;FDR[[#Headers],[6]],FDR[6],"",0,1)</f>
        <v>3</v>
      </c>
      <c r="S473" cm="1">
        <f t="array" ref="S473">_xlfn.XLOOKUP(Matrix[[#This Row],[TEAM]]&amp;Matrix[[#Headers],[7]],FDR[FDR]&amp;FDR[[#Headers],[7]],FDR[7],"",0,1)</f>
        <v>2</v>
      </c>
      <c r="T473" cm="1">
        <f t="array" ref="T473">_xlfn.XLOOKUP(Matrix[[#This Row],[TEAM]]&amp;Matrix[[#Headers],[8]],FDR[FDR]&amp;FDR[[#Headers],[8]],FDR[8],"",0,1)</f>
        <v>2</v>
      </c>
      <c r="U473" cm="1">
        <f t="array" ref="U473">_xlfn.XLOOKUP(Matrix[[#This Row],[TEAM]]&amp;Matrix[[#Headers],[9]],FDR[FDR]&amp;FDR[[#Headers],[9]],FDR[9],"",0,1)</f>
        <v>2</v>
      </c>
      <c r="V473" cm="1">
        <f t="array" ref="V473">_xlfn.XLOOKUP(Matrix[[#This Row],[TEAM]]&amp;Matrix[[#Headers],[10]],FDR[FDR]&amp;FDR[[#Headers],[10]],FDR[10],"",0,1)</f>
        <v>2</v>
      </c>
      <c r="W473" cm="1">
        <f t="array" ref="W473">_xlfn.XLOOKUP(Matrix[[#This Row],[TEAM]]&amp;Matrix[[#Headers],[11]],FDR[FDR]&amp;FDR[[#Headers],[11]],FDR[11],"",0,1)</f>
        <v>2</v>
      </c>
      <c r="X473" cm="1">
        <f t="array" ref="X473">_xlfn.XLOOKUP(Matrix[[#This Row],[TEAM]]&amp;Matrix[[#Headers],[12]],FDR[FDR]&amp;FDR[[#Headers],[12]],FDR[12],"",0,1)</f>
        <v>3</v>
      </c>
      <c r="Y473" cm="1">
        <f t="array" ref="Y473">_xlfn.XLOOKUP(Matrix[[#This Row],[TEAM]]&amp;Matrix[[#Headers],[13]],FDR[FDR]&amp;FDR[[#Headers],[13]],FDR[13],"",0,1)</f>
        <v>2</v>
      </c>
      <c r="Z473" cm="1">
        <f t="array" ref="Z473">_xlfn.XLOOKUP(Matrix[[#This Row],[TEAM]]&amp;Matrix[[#Headers],[14]],FDR[FDR]&amp;FDR[[#Headers],[14]],FDR[14],"",0,1)</f>
        <v>3</v>
      </c>
      <c r="AA473" cm="1">
        <f t="array" ref="AA473">_xlfn.XLOOKUP(Matrix[[#This Row],[TEAM]]&amp;Matrix[[#Headers],[15]],FDR[FDR]&amp;FDR[[#Headers],[15]],FDR[15],"",0,1)</f>
        <v>1</v>
      </c>
      <c r="AB473" cm="1">
        <f t="array" ref="AB473">_xlfn.XLOOKUP(Matrix[[#This Row],[TEAM]]&amp;Matrix[[#Headers],[16]],FDR[FDR]&amp;FDR[[#Headers],[16]],FDR[16],"",0,1)</f>
        <v>1</v>
      </c>
      <c r="AC473" cm="1">
        <f t="array" ref="AC473">_xlfn.XLOOKUP(Matrix[[#This Row],[TEAM]]&amp;Matrix[[#Headers],[17]],FDR[FDR]&amp;FDR[[#Headers],[17]],FDR[17],"",0,1)</f>
        <v>3</v>
      </c>
      <c r="AD473" cm="1">
        <f t="array" ref="AD473">_xlfn.XLOOKUP(Matrix[[#This Row],[TEAM]]&amp;Matrix[[#Headers],[18]],FDR[FDR]&amp;FDR[[#Headers],[18]],FDR[18],"",0,1)</f>
        <v>4</v>
      </c>
      <c r="AE473" cm="1">
        <f t="array" ref="AE473">_xlfn.XLOOKUP(Matrix[[#This Row],[TEAM]]&amp;Matrix[[#Headers],[19]],FDR[FDR]&amp;FDR[[#Headers],[19]],FDR[19],"",0,1)</f>
        <v>1</v>
      </c>
      <c r="AF473" cm="1">
        <f t="array" ref="AF473">_xlfn.XLOOKUP(Matrix[[#This Row],[TEAM]]&amp;Matrix[[#Headers],[20]],FDR[FDR]&amp;FDR[[#Headers],[20]],FDR[20],"",0,1)</f>
        <v>1</v>
      </c>
      <c r="AG473" cm="1">
        <f t="array" ref="AG473">_xlfn.XLOOKUP(Matrix[[#This Row],[TEAM]]&amp;Matrix[[#Headers],[21]],FDR[FDR]&amp;FDR[[#Headers],[21]],FDR[21],"",0,1)</f>
        <v>1</v>
      </c>
      <c r="AH473" cm="1">
        <f t="array" ref="AH473">_xlfn.XLOOKUP(Matrix[[#This Row],[TEAM]]&amp;Matrix[[#Headers],[22]],FDR[FDR]&amp;FDR[[#Headers],[22]],FDR[22],"",0,1)</f>
        <v>1</v>
      </c>
      <c r="AI473" cm="1">
        <f t="array" ref="AI473">_xlfn.XLOOKUP(Matrix[[#This Row],[TEAM]]&amp;Matrix[[#Headers],[23]],FDR[FDR]&amp;FDR[[#Headers],[23]],FDR[23],"",0,1)</f>
        <v>2</v>
      </c>
      <c r="AJ473" cm="1">
        <f t="array" ref="AJ473">_xlfn.XLOOKUP(Matrix[[#This Row],[TEAM]]&amp;Matrix[[#Headers],[24]],FDR[FDR]&amp;FDR[[#Headers],[24]],FDR[24],"",0,1)</f>
        <v>4</v>
      </c>
      <c r="AK473" cm="1">
        <f t="array" ref="AK473">_xlfn.XLOOKUP(Matrix[[#This Row],[TEAM]]&amp;Matrix[[#Headers],[25]],FDR[FDR]&amp;FDR[[#Headers],[25]],FDR[25],"",0,1)</f>
        <v>1</v>
      </c>
      <c r="AL473" cm="1">
        <f t="array" ref="AL473">_xlfn.XLOOKUP(Matrix[[#This Row],[TEAM]]&amp;Matrix[[#Headers],[26]],FDR[FDR]&amp;FDR[[#Headers],[26]],FDR[26],"",0,1)</f>
        <v>4</v>
      </c>
      <c r="AM473" cm="1">
        <f t="array" ref="AM473">_xlfn.XLOOKUP(Matrix[[#This Row],[TEAM]]&amp;Matrix[[#Headers],[27]],FDR[FDR]&amp;FDR[[#Headers],[27]],FDR[27],"",0,1)</f>
        <v>4</v>
      </c>
      <c r="AN473" cm="1">
        <f t="array" ref="AN473">_xlfn.XLOOKUP(Matrix[[#This Row],[TEAM]]&amp;Matrix[[#Headers],[28]],FDR[FDR]&amp;FDR[[#Headers],[28]],FDR[28],"",0,1)</f>
        <v>1</v>
      </c>
      <c r="AO473" cm="1">
        <f t="array" ref="AO473">_xlfn.XLOOKUP(Matrix[[#This Row],[TEAM]]&amp;Matrix[[#Headers],[29]],FDR[FDR]&amp;FDR[[#Headers],[29]],FDR[29],"",0,1)</f>
        <v>3</v>
      </c>
      <c r="AP473" cm="1">
        <f t="array" ref="AP473">_xlfn.XLOOKUP(Matrix[[#This Row],[TEAM]]&amp;Matrix[[#Headers],[30]],FDR[FDR]&amp;FDR[[#Headers],[30]],FDR[30],"",0,1)</f>
        <v>4</v>
      </c>
      <c r="AQ473" cm="1">
        <f t="array" ref="AQ473">_xlfn.XLOOKUP(Matrix[[#This Row],[TEAM]]&amp;Matrix[[#Headers],[31]],FDR[FDR]&amp;FDR[[#Headers],[31]],FDR[31],"",0,1)</f>
        <v>1</v>
      </c>
      <c r="AR473" cm="1">
        <f t="array" ref="AR473">_xlfn.XLOOKUP(Matrix[[#This Row],[TEAM]]&amp;Matrix[[#Headers],[32]],FDR[FDR]&amp;FDR[[#Headers],[32]],FDR[32],"",0,1)</f>
        <v>2</v>
      </c>
      <c r="AS473" cm="1">
        <f t="array" ref="AS473">_xlfn.XLOOKUP(Matrix[[#This Row],[TEAM]]&amp;Matrix[[#Headers],[33]],FDR[FDR]&amp;FDR[[#Headers],[33]],FDR[33],"",0,1)</f>
        <v>2</v>
      </c>
      <c r="AT473" cm="1">
        <f t="array" ref="AT473">_xlfn.XLOOKUP(Matrix[[#This Row],[TEAM]]&amp;Matrix[[#Headers],[34]],FDR[FDR]&amp;FDR[[#Headers],[34]],FDR[34],"",0,1)</f>
        <v>4</v>
      </c>
      <c r="AU473" cm="1">
        <f t="array" ref="AU473">_xlfn.XLOOKUP(Matrix[[#This Row],[TEAM]]&amp;Matrix[[#Headers],[35]],FDR[FDR]&amp;FDR[[#Headers],[35]],FDR[35],"",0,1)</f>
        <v>2</v>
      </c>
      <c r="AV473" cm="1">
        <f t="array" ref="AV473">_xlfn.XLOOKUP(Matrix[[#This Row],[TEAM]]&amp;Matrix[[#Headers],[36]],FDR[FDR]&amp;FDR[[#Headers],[36]],FDR[36],"",0,1)</f>
        <v>2</v>
      </c>
      <c r="AW473" cm="1">
        <f t="array" ref="AW473">_xlfn.XLOOKUP(Matrix[[#This Row],[TEAM]]&amp;Matrix[[#Headers],[37]],FDR[FDR]&amp;FDR[[#Headers],[37]],FDR[37],"",0,1)</f>
        <v>1</v>
      </c>
      <c r="AX473" cm="1">
        <f t="array" ref="AX473">_xlfn.XLOOKUP(Matrix[[#This Row],[TEAM]]&amp;Matrix[[#Headers],[38]],FDR[FDR]&amp;FDR[[#Headers],[38]],FDR[38],"",0,1)</f>
        <v>2</v>
      </c>
    </row>
    <row r="474" spans="1:50" ht="22" thickTop="1" thickBot="1">
      <c r="A474" s="51" t="s">
        <v>657</v>
      </c>
      <c r="B474" s="70" t="s">
        <v>1792</v>
      </c>
      <c r="C474" s="40" t="s">
        <v>28</v>
      </c>
      <c r="D474" s="62">
        <v>34</v>
      </c>
      <c r="E474" s="60">
        <v>0.108</v>
      </c>
      <c r="F474" s="61">
        <v>36.4</v>
      </c>
      <c r="G474" s="63">
        <v>4</v>
      </c>
      <c r="H474" s="261">
        <f>IF(ISBLANK(I474),0,1)</f>
        <v>0</v>
      </c>
      <c r="I474" s="57"/>
      <c r="J474" s="58"/>
      <c r="K474" s="65" t="s">
        <v>984</v>
      </c>
      <c r="L474" s="65" t="s">
        <v>985</v>
      </c>
      <c r="M474" cm="1">
        <f t="array" ref="M474">_xlfn.XLOOKUP(Matrix[[#This Row],[TEAM]]&amp;Matrix[[#Headers],[1]],FDR[FDR]&amp;FDR[[#Headers],[1]],FDR[1],"",0,1)</f>
        <v>3</v>
      </c>
      <c r="N474" cm="1">
        <f t="array" ref="N474">_xlfn.XLOOKUP(Matrix[[#This Row],[TEAM]]&amp;Matrix[[#Headers],[2]],FDR[FDR]&amp;FDR[[#Headers],[2]],FDR[2],"",0,1)</f>
        <v>2</v>
      </c>
      <c r="O474" cm="1">
        <f t="array" ref="O474">_xlfn.XLOOKUP(Matrix[[#This Row],[TEAM]]&amp;Matrix[[#Headers],[3]],FDR[FDR]&amp;FDR[[#Headers],[3]],FDR[3],"",0,1)</f>
        <v>1</v>
      </c>
      <c r="P474" cm="1">
        <f t="array" ref="P474">_xlfn.XLOOKUP(Matrix[[#This Row],[TEAM]]&amp;Matrix[[#Headers],[4]],FDR[FDR]&amp;FDR[[#Headers],[4]],FDR[4],"",0,1)</f>
        <v>2</v>
      </c>
      <c r="Q474" cm="1">
        <f t="array" ref="Q474">_xlfn.XLOOKUP(Matrix[[#This Row],[TEAM]]&amp;Matrix[[#Headers],[5]],FDR[FDR]&amp;FDR[[#Headers],[5]],FDR[5],"",0,1)</f>
        <v>1</v>
      </c>
      <c r="R474" cm="1">
        <f t="array" ref="R474">_xlfn.XLOOKUP(Matrix[[#This Row],[TEAM]]&amp;Matrix[[#Headers],[6]],FDR[FDR]&amp;FDR[[#Headers],[6]],FDR[6],"",0,1)</f>
        <v>2</v>
      </c>
      <c r="S474" cm="1">
        <f t="array" ref="S474">_xlfn.XLOOKUP(Matrix[[#This Row],[TEAM]]&amp;Matrix[[#Headers],[7]],FDR[FDR]&amp;FDR[[#Headers],[7]],FDR[7],"",0,1)</f>
        <v>1</v>
      </c>
      <c r="T474" cm="1">
        <f t="array" ref="T474">_xlfn.XLOOKUP(Matrix[[#This Row],[TEAM]]&amp;Matrix[[#Headers],[8]],FDR[FDR]&amp;FDR[[#Headers],[8]],FDR[8],"",0,1)</f>
        <v>4</v>
      </c>
      <c r="U474" cm="1">
        <f t="array" ref="U474">_xlfn.XLOOKUP(Matrix[[#This Row],[TEAM]]&amp;Matrix[[#Headers],[9]],FDR[FDR]&amp;FDR[[#Headers],[9]],FDR[9],"",0,1)</f>
        <v>3</v>
      </c>
      <c r="V474" cm="1">
        <f t="array" ref="V474">_xlfn.XLOOKUP(Matrix[[#This Row],[TEAM]]&amp;Matrix[[#Headers],[10]],FDR[FDR]&amp;FDR[[#Headers],[10]],FDR[10],"",0,1)</f>
        <v>4</v>
      </c>
      <c r="W474" cm="1">
        <f t="array" ref="W474">_xlfn.XLOOKUP(Matrix[[#This Row],[TEAM]]&amp;Matrix[[#Headers],[11]],FDR[FDR]&amp;FDR[[#Headers],[11]],FDR[11],"",0,1)</f>
        <v>2</v>
      </c>
      <c r="X474" cm="1">
        <f t="array" ref="X474">_xlfn.XLOOKUP(Matrix[[#This Row],[TEAM]]&amp;Matrix[[#Headers],[12]],FDR[FDR]&amp;FDR[[#Headers],[12]],FDR[12],"",0,1)</f>
        <v>1</v>
      </c>
      <c r="Y474" cm="1">
        <f t="array" ref="Y474">_xlfn.XLOOKUP(Matrix[[#This Row],[TEAM]]&amp;Matrix[[#Headers],[13]],FDR[FDR]&amp;FDR[[#Headers],[13]],FDR[13],"",0,1)</f>
        <v>1</v>
      </c>
      <c r="Z474" cm="1">
        <f t="array" ref="Z474">_xlfn.XLOOKUP(Matrix[[#This Row],[TEAM]]&amp;Matrix[[#Headers],[14]],FDR[FDR]&amp;FDR[[#Headers],[14]],FDR[14],"",0,1)</f>
        <v>3</v>
      </c>
      <c r="AA474" cm="1">
        <f t="array" ref="AA474">_xlfn.XLOOKUP(Matrix[[#This Row],[TEAM]]&amp;Matrix[[#Headers],[15]],FDR[FDR]&amp;FDR[[#Headers],[15]],FDR[15],"",0,1)</f>
        <v>3</v>
      </c>
      <c r="AB474" cm="1">
        <f t="array" ref="AB474">_xlfn.XLOOKUP(Matrix[[#This Row],[TEAM]]&amp;Matrix[[#Headers],[16]],FDR[FDR]&amp;FDR[[#Headers],[16]],FDR[16],"",0,1)</f>
        <v>2</v>
      </c>
      <c r="AC474" cm="1">
        <f t="array" ref="AC474">_xlfn.XLOOKUP(Matrix[[#This Row],[TEAM]]&amp;Matrix[[#Headers],[17]],FDR[FDR]&amp;FDR[[#Headers],[17]],FDR[17],"",0,1)</f>
        <v>3</v>
      </c>
      <c r="AD474" cm="1">
        <f t="array" ref="AD474">_xlfn.XLOOKUP(Matrix[[#This Row],[TEAM]]&amp;Matrix[[#Headers],[18]],FDR[FDR]&amp;FDR[[#Headers],[18]],FDR[18],"",0,1)</f>
        <v>4</v>
      </c>
      <c r="AE474" cm="1">
        <f t="array" ref="AE474">_xlfn.XLOOKUP(Matrix[[#This Row],[TEAM]]&amp;Matrix[[#Headers],[19]],FDR[FDR]&amp;FDR[[#Headers],[19]],FDR[19],"",0,1)</f>
        <v>4</v>
      </c>
      <c r="AF474" cm="1">
        <f t="array" ref="AF474">_xlfn.XLOOKUP(Matrix[[#This Row],[TEAM]]&amp;Matrix[[#Headers],[20]],FDR[FDR]&amp;FDR[[#Headers],[20]],FDR[20],"",0,1)</f>
        <v>2</v>
      </c>
      <c r="AG474" cm="1">
        <f t="array" ref="AG474">_xlfn.XLOOKUP(Matrix[[#This Row],[TEAM]]&amp;Matrix[[#Headers],[21]],FDR[FDR]&amp;FDR[[#Headers],[21]],FDR[21],"",0,1)</f>
        <v>2</v>
      </c>
      <c r="AH474" cm="1">
        <f t="array" ref="AH474">_xlfn.XLOOKUP(Matrix[[#This Row],[TEAM]]&amp;Matrix[[#Headers],[22]],FDR[FDR]&amp;FDR[[#Headers],[22]],FDR[22],"",0,1)</f>
        <v>1</v>
      </c>
      <c r="AI474" cm="1">
        <f t="array" ref="AI474">_xlfn.XLOOKUP(Matrix[[#This Row],[TEAM]]&amp;Matrix[[#Headers],[23]],FDR[FDR]&amp;FDR[[#Headers],[23]],FDR[23],"",0,1)</f>
        <v>4</v>
      </c>
      <c r="AJ474" cm="1">
        <f t="array" ref="AJ474">_xlfn.XLOOKUP(Matrix[[#This Row],[TEAM]]&amp;Matrix[[#Headers],[24]],FDR[FDR]&amp;FDR[[#Headers],[24]],FDR[24],"",0,1)</f>
        <v>1</v>
      </c>
      <c r="AK474" cm="1">
        <f t="array" ref="AK474">_xlfn.XLOOKUP(Matrix[[#This Row],[TEAM]]&amp;Matrix[[#Headers],[25]],FDR[FDR]&amp;FDR[[#Headers],[25]],FDR[25],"",0,1)</f>
        <v>3</v>
      </c>
      <c r="AL474" cm="1">
        <f t="array" ref="AL474">_xlfn.XLOOKUP(Matrix[[#This Row],[TEAM]]&amp;Matrix[[#Headers],[26]],FDR[FDR]&amp;FDR[[#Headers],[26]],FDR[26],"",0,1)</f>
        <v>2</v>
      </c>
      <c r="AM474" cm="1">
        <f t="array" ref="AM474">_xlfn.XLOOKUP(Matrix[[#This Row],[TEAM]]&amp;Matrix[[#Headers],[27]],FDR[FDR]&amp;FDR[[#Headers],[27]],FDR[27],"",0,1)</f>
        <v>1</v>
      </c>
      <c r="AN474" cm="1">
        <f t="array" ref="AN474">_xlfn.XLOOKUP(Matrix[[#This Row],[TEAM]]&amp;Matrix[[#Headers],[28]],FDR[FDR]&amp;FDR[[#Headers],[28]],FDR[28],"",0,1)</f>
        <v>1</v>
      </c>
      <c r="AO474" cm="1">
        <f t="array" ref="AO474">_xlfn.XLOOKUP(Matrix[[#This Row],[TEAM]]&amp;Matrix[[#Headers],[29]],FDR[FDR]&amp;FDR[[#Headers],[29]],FDR[29],"",0,1)</f>
        <v>3</v>
      </c>
      <c r="AP474" cm="1">
        <f t="array" ref="AP474">_xlfn.XLOOKUP(Matrix[[#This Row],[TEAM]]&amp;Matrix[[#Headers],[30]],FDR[FDR]&amp;FDR[[#Headers],[30]],FDR[30],"",0,1)</f>
        <v>4</v>
      </c>
      <c r="AQ474" cm="1">
        <f t="array" ref="AQ474">_xlfn.XLOOKUP(Matrix[[#This Row],[TEAM]]&amp;Matrix[[#Headers],[31]],FDR[FDR]&amp;FDR[[#Headers],[31]],FDR[31],"",0,1)</f>
        <v>1</v>
      </c>
      <c r="AR474" cm="1">
        <f t="array" ref="AR474">_xlfn.XLOOKUP(Matrix[[#This Row],[TEAM]]&amp;Matrix[[#Headers],[32]],FDR[FDR]&amp;FDR[[#Headers],[32]],FDR[32],"",0,1)</f>
        <v>3</v>
      </c>
      <c r="AS474" cm="1">
        <f t="array" ref="AS474">_xlfn.XLOOKUP(Matrix[[#This Row],[TEAM]]&amp;Matrix[[#Headers],[33]],FDR[FDR]&amp;FDR[[#Headers],[33]],FDR[33],"",0,1)</f>
        <v>1</v>
      </c>
      <c r="AT474" cm="1">
        <f t="array" ref="AT474">_xlfn.XLOOKUP(Matrix[[#This Row],[TEAM]]&amp;Matrix[[#Headers],[34]],FDR[FDR]&amp;FDR[[#Headers],[34]],FDR[34],"",0,1)</f>
        <v>3</v>
      </c>
      <c r="AU474" cm="1">
        <f t="array" ref="AU474">_xlfn.XLOOKUP(Matrix[[#This Row],[TEAM]]&amp;Matrix[[#Headers],[35]],FDR[FDR]&amp;FDR[[#Headers],[35]],FDR[35],"",0,1)</f>
        <v>3</v>
      </c>
      <c r="AV474" cm="1">
        <f t="array" ref="AV474">_xlfn.XLOOKUP(Matrix[[#This Row],[TEAM]]&amp;Matrix[[#Headers],[36]],FDR[FDR]&amp;FDR[[#Headers],[36]],FDR[36],"",0,1)</f>
        <v>1</v>
      </c>
      <c r="AW474" cm="1">
        <f t="array" ref="AW474">_xlfn.XLOOKUP(Matrix[[#This Row],[TEAM]]&amp;Matrix[[#Headers],[37]],FDR[FDR]&amp;FDR[[#Headers],[37]],FDR[37],"",0,1)</f>
        <v>3</v>
      </c>
      <c r="AX474" cm="1">
        <f t="array" ref="AX474">_xlfn.XLOOKUP(Matrix[[#This Row],[TEAM]]&amp;Matrix[[#Headers],[38]],FDR[FDR]&amp;FDR[[#Headers],[38]],FDR[38],"",0,1)</f>
        <v>4</v>
      </c>
    </row>
    <row r="475" spans="1:50" ht="22" thickTop="1" thickBot="1">
      <c r="A475" s="51" t="s">
        <v>657</v>
      </c>
      <c r="B475" s="70" t="s">
        <v>1796</v>
      </c>
      <c r="C475" s="40" t="s">
        <v>22</v>
      </c>
      <c r="D475" s="62">
        <v>27</v>
      </c>
      <c r="E475" s="60">
        <v>3.1E-2</v>
      </c>
      <c r="F475" s="61">
        <v>40.1</v>
      </c>
      <c r="G475" s="63">
        <v>4</v>
      </c>
      <c r="H475" s="261">
        <f>IF(ISBLANK(I475),0,1)</f>
        <v>0</v>
      </c>
      <c r="I475" s="57"/>
      <c r="J475" s="58"/>
      <c r="K475" s="65" t="s">
        <v>712</v>
      </c>
      <c r="L475" s="65" t="s">
        <v>713</v>
      </c>
      <c r="M475" cm="1">
        <f t="array" ref="M475">_xlfn.XLOOKUP(Matrix[[#This Row],[TEAM]]&amp;Matrix[[#Headers],[1]],FDR[FDR]&amp;FDR[[#Headers],[1]],FDR[1],"",0,1)</f>
        <v>5</v>
      </c>
      <c r="N475" cm="1">
        <f t="array" ref="N475">_xlfn.XLOOKUP(Matrix[[#This Row],[TEAM]]&amp;Matrix[[#Headers],[2]],FDR[FDR]&amp;FDR[[#Headers],[2]],FDR[2],"",0,1)</f>
        <v>3</v>
      </c>
      <c r="O475" cm="1">
        <f t="array" ref="O475">_xlfn.XLOOKUP(Matrix[[#This Row],[TEAM]]&amp;Matrix[[#Headers],[3]],FDR[FDR]&amp;FDR[[#Headers],[3]],FDR[3],"",0,1)</f>
        <v>5</v>
      </c>
      <c r="P475" cm="1">
        <f t="array" ref="P475">_xlfn.XLOOKUP(Matrix[[#This Row],[TEAM]]&amp;Matrix[[#Headers],[4]],FDR[FDR]&amp;FDR[[#Headers],[4]],FDR[4],"",0,1)</f>
        <v>5</v>
      </c>
      <c r="Q475" cm="1">
        <f t="array" ref="Q475">_xlfn.XLOOKUP(Matrix[[#This Row],[TEAM]]&amp;Matrix[[#Headers],[5]],FDR[FDR]&amp;FDR[[#Headers],[5]],FDR[5],"",0,1)</f>
        <v>5</v>
      </c>
      <c r="R475" cm="1">
        <f t="array" ref="R475">_xlfn.XLOOKUP(Matrix[[#This Row],[TEAM]]&amp;Matrix[[#Headers],[6]],FDR[FDR]&amp;FDR[[#Headers],[6]],FDR[6],"",0,1)</f>
        <v>5</v>
      </c>
      <c r="S475" cm="1">
        <f t="array" ref="S475">_xlfn.XLOOKUP(Matrix[[#This Row],[TEAM]]&amp;Matrix[[#Headers],[7]],FDR[FDR]&amp;FDR[[#Headers],[7]],FDR[7],"",0,1)</f>
        <v>5</v>
      </c>
      <c r="T475" cm="1">
        <f t="array" ref="T475">_xlfn.XLOOKUP(Matrix[[#This Row],[TEAM]]&amp;Matrix[[#Headers],[8]],FDR[FDR]&amp;FDR[[#Headers],[8]],FDR[8],"",0,1)</f>
        <v>3</v>
      </c>
      <c r="U475" cm="1">
        <f t="array" ref="U475">_xlfn.XLOOKUP(Matrix[[#This Row],[TEAM]]&amp;Matrix[[#Headers],[9]],FDR[FDR]&amp;FDR[[#Headers],[9]],FDR[9],"",0,1)</f>
        <v>4</v>
      </c>
      <c r="V475" cm="1">
        <f t="array" ref="V475">_xlfn.XLOOKUP(Matrix[[#This Row],[TEAM]]&amp;Matrix[[#Headers],[10]],FDR[FDR]&amp;FDR[[#Headers],[10]],FDR[10],"",0,1)</f>
        <v>5</v>
      </c>
      <c r="W475" cm="1">
        <f t="array" ref="W475">_xlfn.XLOOKUP(Matrix[[#This Row],[TEAM]]&amp;Matrix[[#Headers],[11]],FDR[FDR]&amp;FDR[[#Headers],[11]],FDR[11],"",0,1)</f>
        <v>5</v>
      </c>
      <c r="X475" cm="1">
        <f t="array" ref="X475">_xlfn.XLOOKUP(Matrix[[#This Row],[TEAM]]&amp;Matrix[[#Headers],[12]],FDR[FDR]&amp;FDR[[#Headers],[12]],FDR[12],"",0,1)</f>
        <v>5</v>
      </c>
      <c r="Y475" cm="1">
        <f t="array" ref="Y475">_xlfn.XLOOKUP(Matrix[[#This Row],[TEAM]]&amp;Matrix[[#Headers],[13]],FDR[FDR]&amp;FDR[[#Headers],[13]],FDR[13],"",0,1)</f>
        <v>5</v>
      </c>
      <c r="Z475" cm="1">
        <f t="array" ref="Z475">_xlfn.XLOOKUP(Matrix[[#This Row],[TEAM]]&amp;Matrix[[#Headers],[14]],FDR[FDR]&amp;FDR[[#Headers],[14]],FDR[14],"",0,1)</f>
        <v>4</v>
      </c>
      <c r="AA475" cm="1">
        <f t="array" ref="AA475">_xlfn.XLOOKUP(Matrix[[#This Row],[TEAM]]&amp;Matrix[[#Headers],[15]],FDR[FDR]&amp;FDR[[#Headers],[15]],FDR[15],"",0,1)</f>
        <v>5</v>
      </c>
      <c r="AB475" cm="1">
        <f t="array" ref="AB475">_xlfn.XLOOKUP(Matrix[[#This Row],[TEAM]]&amp;Matrix[[#Headers],[16]],FDR[FDR]&amp;FDR[[#Headers],[16]],FDR[16],"",0,1)</f>
        <v>5</v>
      </c>
      <c r="AC475" cm="1">
        <f t="array" ref="AC475">_xlfn.XLOOKUP(Matrix[[#This Row],[TEAM]]&amp;Matrix[[#Headers],[17]],FDR[FDR]&amp;FDR[[#Headers],[17]],FDR[17],"",0,1)</f>
        <v>5</v>
      </c>
      <c r="AD475" cm="1">
        <f t="array" ref="AD475">_xlfn.XLOOKUP(Matrix[[#This Row],[TEAM]]&amp;Matrix[[#Headers],[18]],FDR[FDR]&amp;FDR[[#Headers],[18]],FDR[18],"",0,1)</f>
        <v>4</v>
      </c>
      <c r="AE475" cm="1">
        <f t="array" ref="AE475">_xlfn.XLOOKUP(Matrix[[#This Row],[TEAM]]&amp;Matrix[[#Headers],[19]],FDR[FDR]&amp;FDR[[#Headers],[19]],FDR[19],"",0,1)</f>
        <v>5</v>
      </c>
      <c r="AF475" cm="1">
        <f t="array" ref="AF475">_xlfn.XLOOKUP(Matrix[[#This Row],[TEAM]]&amp;Matrix[[#Headers],[20]],FDR[FDR]&amp;FDR[[#Headers],[20]],FDR[20],"",0,1)</f>
        <v>5</v>
      </c>
      <c r="AG475" cm="1">
        <f t="array" ref="AG475">_xlfn.XLOOKUP(Matrix[[#This Row],[TEAM]]&amp;Matrix[[#Headers],[21]],FDR[FDR]&amp;FDR[[#Headers],[21]],FDR[21],"",0,1)</f>
        <v>5</v>
      </c>
      <c r="AH475" cm="1">
        <f t="array" ref="AH475">_xlfn.XLOOKUP(Matrix[[#This Row],[TEAM]]&amp;Matrix[[#Headers],[22]],FDR[FDR]&amp;FDR[[#Headers],[22]],FDR[22],"",0,1)</f>
        <v>5</v>
      </c>
      <c r="AI475" cm="1">
        <f t="array" ref="AI475">_xlfn.XLOOKUP(Matrix[[#This Row],[TEAM]]&amp;Matrix[[#Headers],[23]],FDR[FDR]&amp;FDR[[#Headers],[23]],FDR[23],"",0,1)</f>
        <v>5</v>
      </c>
      <c r="AJ475" cm="1">
        <f t="array" ref="AJ475">_xlfn.XLOOKUP(Matrix[[#This Row],[TEAM]]&amp;Matrix[[#Headers],[24]],FDR[FDR]&amp;FDR[[#Headers],[24]],FDR[24],"",0,1)</f>
        <v>4</v>
      </c>
      <c r="AK475" cm="1">
        <f t="array" ref="AK475">_xlfn.XLOOKUP(Matrix[[#This Row],[TEAM]]&amp;Matrix[[#Headers],[25]],FDR[FDR]&amp;FDR[[#Headers],[25]],FDR[25],"",0,1)</f>
        <v>4</v>
      </c>
      <c r="AL475" cm="1">
        <f t="array" ref="AL475">_xlfn.XLOOKUP(Matrix[[#This Row],[TEAM]]&amp;Matrix[[#Headers],[26]],FDR[FDR]&amp;FDR[[#Headers],[26]],FDR[26],"",0,1)</f>
        <v>5</v>
      </c>
      <c r="AM475" cm="1">
        <f t="array" ref="AM475">_xlfn.XLOOKUP(Matrix[[#This Row],[TEAM]]&amp;Matrix[[#Headers],[27]],FDR[FDR]&amp;FDR[[#Headers],[27]],FDR[27],"",0,1)</f>
        <v>5</v>
      </c>
      <c r="AN475" cm="1">
        <f t="array" ref="AN475">_xlfn.XLOOKUP(Matrix[[#This Row],[TEAM]]&amp;Matrix[[#Headers],[28]],FDR[FDR]&amp;FDR[[#Headers],[28]],FDR[28],"",0,1)</f>
        <v>4</v>
      </c>
      <c r="AO475" cm="1">
        <f t="array" ref="AO475">_xlfn.XLOOKUP(Matrix[[#This Row],[TEAM]]&amp;Matrix[[#Headers],[29]],FDR[FDR]&amp;FDR[[#Headers],[29]],FDR[29],"",0,1)</f>
        <v>5</v>
      </c>
      <c r="AP475" cm="1">
        <f t="array" ref="AP475">_xlfn.XLOOKUP(Matrix[[#This Row],[TEAM]]&amp;Matrix[[#Headers],[30]],FDR[FDR]&amp;FDR[[#Headers],[30]],FDR[30],"",0,1)</f>
        <v>5</v>
      </c>
      <c r="AQ475" cm="1">
        <f t="array" ref="AQ475">_xlfn.XLOOKUP(Matrix[[#This Row],[TEAM]]&amp;Matrix[[#Headers],[31]],FDR[FDR]&amp;FDR[[#Headers],[31]],FDR[31],"",0,1)</f>
        <v>5</v>
      </c>
      <c r="AR475" cm="1">
        <f t="array" ref="AR475">_xlfn.XLOOKUP(Matrix[[#This Row],[TEAM]]&amp;Matrix[[#Headers],[32]],FDR[FDR]&amp;FDR[[#Headers],[32]],FDR[32],"",0,1)</f>
        <v>5</v>
      </c>
      <c r="AS475" cm="1">
        <f t="array" ref="AS475">_xlfn.XLOOKUP(Matrix[[#This Row],[TEAM]]&amp;Matrix[[#Headers],[33]],FDR[FDR]&amp;FDR[[#Headers],[33]],FDR[33],"",0,1)</f>
        <v>5</v>
      </c>
      <c r="AT475" cm="1">
        <f t="array" ref="AT475">_xlfn.XLOOKUP(Matrix[[#This Row],[TEAM]]&amp;Matrix[[#Headers],[34]],FDR[FDR]&amp;FDR[[#Headers],[34]],FDR[34],"",0,1)</f>
        <v>5</v>
      </c>
      <c r="AU475" cm="1">
        <f t="array" ref="AU475">_xlfn.XLOOKUP(Matrix[[#This Row],[TEAM]]&amp;Matrix[[#Headers],[35]],FDR[FDR]&amp;FDR[[#Headers],[35]],FDR[35],"",0,1)</f>
        <v>4</v>
      </c>
      <c r="AV475" cm="1">
        <f t="array" ref="AV475">_xlfn.XLOOKUP(Matrix[[#This Row],[TEAM]]&amp;Matrix[[#Headers],[36]],FDR[FDR]&amp;FDR[[#Headers],[36]],FDR[36],"",0,1)</f>
        <v>5</v>
      </c>
      <c r="AW475" cm="1">
        <f t="array" ref="AW475">_xlfn.XLOOKUP(Matrix[[#This Row],[TEAM]]&amp;Matrix[[#Headers],[37]],FDR[FDR]&amp;FDR[[#Headers],[37]],FDR[37],"",0,1)</f>
        <v>5</v>
      </c>
      <c r="AX475" cm="1">
        <f t="array" ref="AX475">_xlfn.XLOOKUP(Matrix[[#This Row],[TEAM]]&amp;Matrix[[#Headers],[38]],FDR[FDR]&amp;FDR[[#Headers],[38]],FDR[38],"",0,1)</f>
        <v>3</v>
      </c>
    </row>
    <row r="476" spans="1:50" ht="22" thickTop="1" thickBot="1">
      <c r="A476" s="51" t="s">
        <v>657</v>
      </c>
      <c r="B476" s="70" t="s">
        <v>1814</v>
      </c>
      <c r="C476" s="40" t="s">
        <v>26</v>
      </c>
      <c r="D476" s="62">
        <v>18</v>
      </c>
      <c r="E476" s="60">
        <v>7.0000000000000001E-3</v>
      </c>
      <c r="F476" s="61">
        <v>12.4</v>
      </c>
      <c r="G476" s="63">
        <v>4</v>
      </c>
      <c r="H476" s="261">
        <f>IF(ISBLANK(I476),0,1)</f>
        <v>0</v>
      </c>
      <c r="I476" s="57"/>
      <c r="J476" s="58"/>
      <c r="K476" s="65" t="s">
        <v>507</v>
      </c>
      <c r="L476" s="65" t="s">
        <v>149</v>
      </c>
      <c r="M476" cm="1">
        <f t="array" ref="M476">_xlfn.XLOOKUP(Matrix[[#This Row],[TEAM]]&amp;Matrix[[#Headers],[1]],FDR[FDR]&amp;FDR[[#Headers],[1]],FDR[1],"",0,1)</f>
        <v>5</v>
      </c>
      <c r="N476" cm="1">
        <f t="array" ref="N476">_xlfn.XLOOKUP(Matrix[[#This Row],[TEAM]]&amp;Matrix[[#Headers],[2]],FDR[FDR]&amp;FDR[[#Headers],[2]],FDR[2],"",0,1)</f>
        <v>3</v>
      </c>
      <c r="O476" cm="1">
        <f t="array" ref="O476">_xlfn.XLOOKUP(Matrix[[#This Row],[TEAM]]&amp;Matrix[[#Headers],[3]],FDR[FDR]&amp;FDR[[#Headers],[3]],FDR[3],"",0,1)</f>
        <v>5</v>
      </c>
      <c r="P476" cm="1">
        <f t="array" ref="P476">_xlfn.XLOOKUP(Matrix[[#This Row],[TEAM]]&amp;Matrix[[#Headers],[4]],FDR[FDR]&amp;FDR[[#Headers],[4]],FDR[4],"",0,1)</f>
        <v>1</v>
      </c>
      <c r="Q476" cm="1">
        <f t="array" ref="Q476">_xlfn.XLOOKUP(Matrix[[#This Row],[TEAM]]&amp;Matrix[[#Headers],[5]],FDR[FDR]&amp;FDR[[#Headers],[5]],FDR[5],"",0,1)</f>
        <v>4</v>
      </c>
      <c r="R476" cm="1">
        <f t="array" ref="R476">_xlfn.XLOOKUP(Matrix[[#This Row],[TEAM]]&amp;Matrix[[#Headers],[6]],FDR[FDR]&amp;FDR[[#Headers],[6]],FDR[6],"",0,1)</f>
        <v>4</v>
      </c>
      <c r="S476" cm="1">
        <f t="array" ref="S476">_xlfn.XLOOKUP(Matrix[[#This Row],[TEAM]]&amp;Matrix[[#Headers],[7]],FDR[FDR]&amp;FDR[[#Headers],[7]],FDR[7],"",0,1)</f>
        <v>4</v>
      </c>
      <c r="T476" cm="1">
        <f t="array" ref="T476">_xlfn.XLOOKUP(Matrix[[#This Row],[TEAM]]&amp;Matrix[[#Headers],[8]],FDR[FDR]&amp;FDR[[#Headers],[8]],FDR[8],"",0,1)</f>
        <v>3</v>
      </c>
      <c r="U476" cm="1">
        <f t="array" ref="U476">_xlfn.XLOOKUP(Matrix[[#This Row],[TEAM]]&amp;Matrix[[#Headers],[9]],FDR[FDR]&amp;FDR[[#Headers],[9]],FDR[9],"",0,1)</f>
        <v>5</v>
      </c>
      <c r="V476" cm="1">
        <f t="array" ref="V476">_xlfn.XLOOKUP(Matrix[[#This Row],[TEAM]]&amp;Matrix[[#Headers],[10]],FDR[FDR]&amp;FDR[[#Headers],[10]],FDR[10],"",0,1)</f>
        <v>3</v>
      </c>
      <c r="W476" cm="1">
        <f t="array" ref="W476">_xlfn.XLOOKUP(Matrix[[#This Row],[TEAM]]&amp;Matrix[[#Headers],[11]],FDR[FDR]&amp;FDR[[#Headers],[11]],FDR[11],"",0,1)</f>
        <v>3</v>
      </c>
      <c r="X476" cm="1">
        <f t="array" ref="X476">_xlfn.XLOOKUP(Matrix[[#This Row],[TEAM]]&amp;Matrix[[#Headers],[12]],FDR[FDR]&amp;FDR[[#Headers],[12]],FDR[12],"",0,1)</f>
        <v>2</v>
      </c>
      <c r="Y476" cm="1">
        <f t="array" ref="Y476">_xlfn.XLOOKUP(Matrix[[#This Row],[TEAM]]&amp;Matrix[[#Headers],[13]],FDR[FDR]&amp;FDR[[#Headers],[13]],FDR[13],"",0,1)</f>
        <v>4</v>
      </c>
      <c r="Z476" cm="1">
        <f t="array" ref="Z476">_xlfn.XLOOKUP(Matrix[[#This Row],[TEAM]]&amp;Matrix[[#Headers],[14]],FDR[FDR]&amp;FDR[[#Headers],[14]],FDR[14],"",0,1)</f>
        <v>2</v>
      </c>
      <c r="AA476" cm="1">
        <f t="array" ref="AA476">_xlfn.XLOOKUP(Matrix[[#This Row],[TEAM]]&amp;Matrix[[#Headers],[15]],FDR[FDR]&amp;FDR[[#Headers],[15]],FDR[15],"",0,1)</f>
        <v>4</v>
      </c>
      <c r="AB476" cm="1">
        <f t="array" ref="AB476">_xlfn.XLOOKUP(Matrix[[#This Row],[TEAM]]&amp;Matrix[[#Headers],[16]],FDR[FDR]&amp;FDR[[#Headers],[16]],FDR[16],"",0,1)</f>
        <v>4</v>
      </c>
      <c r="AC476" cm="1">
        <f t="array" ref="AC476">_xlfn.XLOOKUP(Matrix[[#This Row],[TEAM]]&amp;Matrix[[#Headers],[17]],FDR[FDR]&amp;FDR[[#Headers],[17]],FDR[17],"",0,1)</f>
        <v>2</v>
      </c>
      <c r="AD476" cm="1">
        <f t="array" ref="AD476">_xlfn.XLOOKUP(Matrix[[#This Row],[TEAM]]&amp;Matrix[[#Headers],[18]],FDR[FDR]&amp;FDR[[#Headers],[18]],FDR[18],"",0,1)</f>
        <v>4</v>
      </c>
      <c r="AE476" cm="1">
        <f t="array" ref="AE476">_xlfn.XLOOKUP(Matrix[[#This Row],[TEAM]]&amp;Matrix[[#Headers],[19]],FDR[FDR]&amp;FDR[[#Headers],[19]],FDR[19],"",0,1)</f>
        <v>3</v>
      </c>
      <c r="AF476" cm="1">
        <f t="array" ref="AF476">_xlfn.XLOOKUP(Matrix[[#This Row],[TEAM]]&amp;Matrix[[#Headers],[20]],FDR[FDR]&amp;FDR[[#Headers],[20]],FDR[20],"",0,1)</f>
        <v>5</v>
      </c>
      <c r="AG476" cm="1">
        <f t="array" ref="AG476">_xlfn.XLOOKUP(Matrix[[#This Row],[TEAM]]&amp;Matrix[[#Headers],[21]],FDR[FDR]&amp;FDR[[#Headers],[21]],FDR[21],"",0,1)</f>
        <v>4</v>
      </c>
      <c r="AH476" cm="1">
        <f t="array" ref="AH476">_xlfn.XLOOKUP(Matrix[[#This Row],[TEAM]]&amp;Matrix[[#Headers],[22]],FDR[FDR]&amp;FDR[[#Headers],[22]],FDR[22],"",0,1)</f>
        <v>2</v>
      </c>
      <c r="AI476" cm="1">
        <f t="array" ref="AI476">_xlfn.XLOOKUP(Matrix[[#This Row],[TEAM]]&amp;Matrix[[#Headers],[23]],FDR[FDR]&amp;FDR[[#Headers],[23]],FDR[23],"",0,1)</f>
        <v>4</v>
      </c>
      <c r="AJ476" cm="1">
        <f t="array" ref="AJ476">_xlfn.XLOOKUP(Matrix[[#This Row],[TEAM]]&amp;Matrix[[#Headers],[24]],FDR[FDR]&amp;FDR[[#Headers],[24]],FDR[24],"",0,1)</f>
        <v>4</v>
      </c>
      <c r="AK476" cm="1">
        <f t="array" ref="AK476">_xlfn.XLOOKUP(Matrix[[#This Row],[TEAM]]&amp;Matrix[[#Headers],[25]],FDR[FDR]&amp;FDR[[#Headers],[25]],FDR[25],"",0,1)</f>
        <v>4</v>
      </c>
      <c r="AL476" cm="1">
        <f t="array" ref="AL476">_xlfn.XLOOKUP(Matrix[[#This Row],[TEAM]]&amp;Matrix[[#Headers],[26]],FDR[FDR]&amp;FDR[[#Headers],[26]],FDR[26],"",0,1)</f>
        <v>1</v>
      </c>
      <c r="AM476" cm="1">
        <f t="array" ref="AM476">_xlfn.XLOOKUP(Matrix[[#This Row],[TEAM]]&amp;Matrix[[#Headers],[27]],FDR[FDR]&amp;FDR[[#Headers],[27]],FDR[27],"",0,1)</f>
        <v>2</v>
      </c>
      <c r="AN476" cm="1">
        <f t="array" ref="AN476">_xlfn.XLOOKUP(Matrix[[#This Row],[TEAM]]&amp;Matrix[[#Headers],[28]],FDR[FDR]&amp;FDR[[#Headers],[28]],FDR[28],"",0,1)</f>
        <v>5</v>
      </c>
      <c r="AO476" cm="1">
        <f t="array" ref="AO476">_xlfn.XLOOKUP(Matrix[[#This Row],[TEAM]]&amp;Matrix[[#Headers],[29]],FDR[FDR]&amp;FDR[[#Headers],[29]],FDR[29],"",0,1)</f>
        <v>5</v>
      </c>
      <c r="AP476" cm="1">
        <f t="array" ref="AP476">_xlfn.XLOOKUP(Matrix[[#This Row],[TEAM]]&amp;Matrix[[#Headers],[30]],FDR[FDR]&amp;FDR[[#Headers],[30]],FDR[30],"",0,1)</f>
        <v>1</v>
      </c>
      <c r="AQ476" cm="1">
        <f t="array" ref="AQ476">_xlfn.XLOOKUP(Matrix[[#This Row],[TEAM]]&amp;Matrix[[#Headers],[31]],FDR[FDR]&amp;FDR[[#Headers],[31]],FDR[31],"",0,1)</f>
        <v>5</v>
      </c>
      <c r="AR476" cm="1">
        <f t="array" ref="AR476">_xlfn.XLOOKUP(Matrix[[#This Row],[TEAM]]&amp;Matrix[[#Headers],[32]],FDR[FDR]&amp;FDR[[#Headers],[32]],FDR[32],"",0,1)</f>
        <v>4</v>
      </c>
      <c r="AS476" cm="1">
        <f t="array" ref="AS476">_xlfn.XLOOKUP(Matrix[[#This Row],[TEAM]]&amp;Matrix[[#Headers],[33]],FDR[FDR]&amp;FDR[[#Headers],[33]],FDR[33],"",0,1)</f>
        <v>3</v>
      </c>
      <c r="AT476" cm="1">
        <f t="array" ref="AT476">_xlfn.XLOOKUP(Matrix[[#This Row],[TEAM]]&amp;Matrix[[#Headers],[34]],FDR[FDR]&amp;FDR[[#Headers],[34]],FDR[34],"",0,1)</f>
        <v>5</v>
      </c>
      <c r="AU476" cm="1">
        <f t="array" ref="AU476">_xlfn.XLOOKUP(Matrix[[#This Row],[TEAM]]&amp;Matrix[[#Headers],[35]],FDR[FDR]&amp;FDR[[#Headers],[35]],FDR[35],"",0,1)</f>
        <v>4</v>
      </c>
      <c r="AV476" cm="1">
        <f t="array" ref="AV476">_xlfn.XLOOKUP(Matrix[[#This Row],[TEAM]]&amp;Matrix[[#Headers],[36]],FDR[FDR]&amp;FDR[[#Headers],[36]],FDR[36],"",0,1)</f>
        <v>3</v>
      </c>
      <c r="AW476" cm="1">
        <f t="array" ref="AW476">_xlfn.XLOOKUP(Matrix[[#This Row],[TEAM]]&amp;Matrix[[#Headers],[37]],FDR[FDR]&amp;FDR[[#Headers],[37]],FDR[37],"",0,1)</f>
        <v>4</v>
      </c>
      <c r="AX476" cm="1">
        <f t="array" ref="AX476">_xlfn.XLOOKUP(Matrix[[#This Row],[TEAM]]&amp;Matrix[[#Headers],[38]],FDR[FDR]&amp;FDR[[#Headers],[38]],FDR[38],"",0,1)</f>
        <v>4</v>
      </c>
    </row>
    <row r="477" spans="1:50" ht="22" thickTop="1" thickBot="1">
      <c r="A477" s="51" t="s">
        <v>657</v>
      </c>
      <c r="B477" s="70" t="s">
        <v>1810</v>
      </c>
      <c r="C477" s="40" t="s">
        <v>43</v>
      </c>
      <c r="D477" s="62">
        <v>17</v>
      </c>
      <c r="E477" s="60">
        <v>8.0000000000000002E-3</v>
      </c>
      <c r="F477" s="61">
        <v>16.600000000000001</v>
      </c>
      <c r="G477" s="63">
        <v>4</v>
      </c>
      <c r="H477" s="261">
        <f>IF(ISBLANK(I477),0,1)</f>
        <v>0</v>
      </c>
      <c r="I477" s="57"/>
      <c r="J477" s="58"/>
      <c r="K477" s="65" t="s">
        <v>111</v>
      </c>
      <c r="L477" s="65" t="s">
        <v>173</v>
      </c>
      <c r="M477" cm="1">
        <f t="array" ref="M477">_xlfn.XLOOKUP(Matrix[[#This Row],[TEAM]]&amp;Matrix[[#Headers],[1]],FDR[FDR]&amp;FDR[[#Headers],[1]],FDR[1],"",0,1)</f>
        <v>5</v>
      </c>
      <c r="N477" cm="1">
        <f t="array" ref="N477">_xlfn.XLOOKUP(Matrix[[#This Row],[TEAM]]&amp;Matrix[[#Headers],[2]],FDR[FDR]&amp;FDR[[#Headers],[2]],FDR[2],"",0,1)</f>
        <v>1</v>
      </c>
      <c r="O477" cm="1">
        <f t="array" ref="O477">_xlfn.XLOOKUP(Matrix[[#This Row],[TEAM]]&amp;Matrix[[#Headers],[3]],FDR[FDR]&amp;FDR[[#Headers],[3]],FDR[3],"",0,1)</f>
        <v>5</v>
      </c>
      <c r="P477" cm="1">
        <f t="array" ref="P477">_xlfn.XLOOKUP(Matrix[[#This Row],[TEAM]]&amp;Matrix[[#Headers],[4]],FDR[FDR]&amp;FDR[[#Headers],[4]],FDR[4],"",0,1)</f>
        <v>3</v>
      </c>
      <c r="Q477" cm="1">
        <f t="array" ref="Q477">_xlfn.XLOOKUP(Matrix[[#This Row],[TEAM]]&amp;Matrix[[#Headers],[5]],FDR[FDR]&amp;FDR[[#Headers],[5]],FDR[5],"",0,1)</f>
        <v>4</v>
      </c>
      <c r="R477" cm="1">
        <f t="array" ref="R477">_xlfn.XLOOKUP(Matrix[[#This Row],[TEAM]]&amp;Matrix[[#Headers],[6]],FDR[FDR]&amp;FDR[[#Headers],[6]],FDR[6],"",0,1)</f>
        <v>2</v>
      </c>
      <c r="S477" cm="1">
        <f t="array" ref="S477">_xlfn.XLOOKUP(Matrix[[#This Row],[TEAM]]&amp;Matrix[[#Headers],[7]],FDR[FDR]&amp;FDR[[#Headers],[7]],FDR[7],"",0,1)</f>
        <v>3</v>
      </c>
      <c r="T477" cm="1">
        <f t="array" ref="T477">_xlfn.XLOOKUP(Matrix[[#This Row],[TEAM]]&amp;Matrix[[#Headers],[8]],FDR[FDR]&amp;FDR[[#Headers],[8]],FDR[8],"",0,1)</f>
        <v>3</v>
      </c>
      <c r="U477" cm="1">
        <f t="array" ref="U477">_xlfn.XLOOKUP(Matrix[[#This Row],[TEAM]]&amp;Matrix[[#Headers],[9]],FDR[FDR]&amp;FDR[[#Headers],[9]],FDR[9],"",0,1)</f>
        <v>3</v>
      </c>
      <c r="V477" cm="1">
        <f t="array" ref="V477">_xlfn.XLOOKUP(Matrix[[#This Row],[TEAM]]&amp;Matrix[[#Headers],[10]],FDR[FDR]&amp;FDR[[#Headers],[10]],FDR[10],"",0,1)</f>
        <v>5</v>
      </c>
      <c r="W477" cm="1">
        <f t="array" ref="W477">_xlfn.XLOOKUP(Matrix[[#This Row],[TEAM]]&amp;Matrix[[#Headers],[11]],FDR[FDR]&amp;FDR[[#Headers],[11]],FDR[11],"",0,1)</f>
        <v>5</v>
      </c>
      <c r="X477" cm="1">
        <f t="array" ref="X477">_xlfn.XLOOKUP(Matrix[[#This Row],[TEAM]]&amp;Matrix[[#Headers],[12]],FDR[FDR]&amp;FDR[[#Headers],[12]],FDR[12],"",0,1)</f>
        <v>2</v>
      </c>
      <c r="Y477" cm="1">
        <f t="array" ref="Y477">_xlfn.XLOOKUP(Matrix[[#This Row],[TEAM]]&amp;Matrix[[#Headers],[13]],FDR[FDR]&amp;FDR[[#Headers],[13]],FDR[13],"",0,1)</f>
        <v>2</v>
      </c>
      <c r="Z477" cm="1">
        <f t="array" ref="Z477">_xlfn.XLOOKUP(Matrix[[#This Row],[TEAM]]&amp;Matrix[[#Headers],[14]],FDR[FDR]&amp;FDR[[#Headers],[14]],FDR[14],"",0,1)</f>
        <v>2</v>
      </c>
      <c r="AA477" cm="1">
        <f t="array" ref="AA477">_xlfn.XLOOKUP(Matrix[[#This Row],[TEAM]]&amp;Matrix[[#Headers],[15]],FDR[FDR]&amp;FDR[[#Headers],[15]],FDR[15],"",0,1)</f>
        <v>4</v>
      </c>
      <c r="AB477" cm="1">
        <f t="array" ref="AB477">_xlfn.XLOOKUP(Matrix[[#This Row],[TEAM]]&amp;Matrix[[#Headers],[16]],FDR[FDR]&amp;FDR[[#Headers],[16]],FDR[16],"",0,1)</f>
        <v>5</v>
      </c>
      <c r="AC477" cm="1">
        <f t="array" ref="AC477">_xlfn.XLOOKUP(Matrix[[#This Row],[TEAM]]&amp;Matrix[[#Headers],[17]],FDR[FDR]&amp;FDR[[#Headers],[17]],FDR[17],"",0,1)</f>
        <v>1</v>
      </c>
      <c r="AD477" cm="1">
        <f t="array" ref="AD477">_xlfn.XLOOKUP(Matrix[[#This Row],[TEAM]]&amp;Matrix[[#Headers],[18]],FDR[FDR]&amp;FDR[[#Headers],[18]],FDR[18],"",0,1)</f>
        <v>3</v>
      </c>
      <c r="AE477" cm="1">
        <f t="array" ref="AE477">_xlfn.XLOOKUP(Matrix[[#This Row],[TEAM]]&amp;Matrix[[#Headers],[19]],FDR[FDR]&amp;FDR[[#Headers],[19]],FDR[19],"",0,1)</f>
        <v>5</v>
      </c>
      <c r="AF477" cm="1">
        <f t="array" ref="AF477">_xlfn.XLOOKUP(Matrix[[#This Row],[TEAM]]&amp;Matrix[[#Headers],[20]],FDR[FDR]&amp;FDR[[#Headers],[20]],FDR[20],"",0,1)</f>
        <v>4</v>
      </c>
      <c r="AG477" cm="1">
        <f t="array" ref="AG477">_xlfn.XLOOKUP(Matrix[[#This Row],[TEAM]]&amp;Matrix[[#Headers],[21]],FDR[FDR]&amp;FDR[[#Headers],[21]],FDR[21],"",0,1)</f>
        <v>4</v>
      </c>
      <c r="AH477" cm="1">
        <f t="array" ref="AH477">_xlfn.XLOOKUP(Matrix[[#This Row],[TEAM]]&amp;Matrix[[#Headers],[22]],FDR[FDR]&amp;FDR[[#Headers],[22]],FDR[22],"",0,1)</f>
        <v>4</v>
      </c>
      <c r="AI477" cm="1">
        <f t="array" ref="AI477">_xlfn.XLOOKUP(Matrix[[#This Row],[TEAM]]&amp;Matrix[[#Headers],[23]],FDR[FDR]&amp;FDR[[#Headers],[23]],FDR[23],"",0,1)</f>
        <v>4</v>
      </c>
      <c r="AJ477" cm="1">
        <f t="array" ref="AJ477">_xlfn.XLOOKUP(Matrix[[#This Row],[TEAM]]&amp;Matrix[[#Headers],[24]],FDR[FDR]&amp;FDR[[#Headers],[24]],FDR[24],"",0,1)</f>
        <v>2</v>
      </c>
      <c r="AK477" cm="1">
        <f t="array" ref="AK477">_xlfn.XLOOKUP(Matrix[[#This Row],[TEAM]]&amp;Matrix[[#Headers],[25]],FDR[FDR]&amp;FDR[[#Headers],[25]],FDR[25],"",0,1)</f>
        <v>3</v>
      </c>
      <c r="AL477" cm="1">
        <f t="array" ref="AL477">_xlfn.XLOOKUP(Matrix[[#This Row],[TEAM]]&amp;Matrix[[#Headers],[26]],FDR[FDR]&amp;FDR[[#Headers],[26]],FDR[26],"",0,1)</f>
        <v>3</v>
      </c>
      <c r="AM477" cm="1">
        <f t="array" ref="AM477">_xlfn.XLOOKUP(Matrix[[#This Row],[TEAM]]&amp;Matrix[[#Headers],[27]],FDR[FDR]&amp;FDR[[#Headers],[27]],FDR[27],"",0,1)</f>
        <v>3</v>
      </c>
      <c r="AN477" cm="1">
        <f t="array" ref="AN477">_xlfn.XLOOKUP(Matrix[[#This Row],[TEAM]]&amp;Matrix[[#Headers],[28]],FDR[FDR]&amp;FDR[[#Headers],[28]],FDR[28],"",0,1)</f>
        <v>1</v>
      </c>
      <c r="AO477" cm="1">
        <f t="array" ref="AO477">_xlfn.XLOOKUP(Matrix[[#This Row],[TEAM]]&amp;Matrix[[#Headers],[29]],FDR[FDR]&amp;FDR[[#Headers],[29]],FDR[29],"",0,1)</f>
        <v>2</v>
      </c>
      <c r="AP477" cm="1">
        <f t="array" ref="AP477">_xlfn.XLOOKUP(Matrix[[#This Row],[TEAM]]&amp;Matrix[[#Headers],[30]],FDR[FDR]&amp;FDR[[#Headers],[30]],FDR[30],"",0,1)</f>
        <v>2</v>
      </c>
      <c r="AQ477" cm="1">
        <f t="array" ref="AQ477">_xlfn.XLOOKUP(Matrix[[#This Row],[TEAM]]&amp;Matrix[[#Headers],[31]],FDR[FDR]&amp;FDR[[#Headers],[31]],FDR[31],"",0,1)</f>
        <v>4</v>
      </c>
      <c r="AR477" cm="1">
        <f t="array" ref="AR477">_xlfn.XLOOKUP(Matrix[[#This Row],[TEAM]]&amp;Matrix[[#Headers],[32]],FDR[FDR]&amp;FDR[[#Headers],[32]],FDR[32],"",0,1)</f>
        <v>5</v>
      </c>
      <c r="AS477" cm="1">
        <f t="array" ref="AS477">_xlfn.XLOOKUP(Matrix[[#This Row],[TEAM]]&amp;Matrix[[#Headers],[33]],FDR[FDR]&amp;FDR[[#Headers],[33]],FDR[33],"",0,1)</f>
        <v>5</v>
      </c>
      <c r="AT477" cm="1">
        <f t="array" ref="AT477">_xlfn.XLOOKUP(Matrix[[#This Row],[TEAM]]&amp;Matrix[[#Headers],[34]],FDR[FDR]&amp;FDR[[#Headers],[34]],FDR[34],"",0,1)</f>
        <v>1</v>
      </c>
      <c r="AU477" cm="1">
        <f t="array" ref="AU477">_xlfn.XLOOKUP(Matrix[[#This Row],[TEAM]]&amp;Matrix[[#Headers],[35]],FDR[FDR]&amp;FDR[[#Headers],[35]],FDR[35],"",0,1)</f>
        <v>2</v>
      </c>
      <c r="AV477" cm="1">
        <f t="array" ref="AV477">_xlfn.XLOOKUP(Matrix[[#This Row],[TEAM]]&amp;Matrix[[#Headers],[36]],FDR[FDR]&amp;FDR[[#Headers],[36]],FDR[36],"",0,1)</f>
        <v>4</v>
      </c>
      <c r="AW477" cm="1">
        <f t="array" ref="AW477">_xlfn.XLOOKUP(Matrix[[#This Row],[TEAM]]&amp;Matrix[[#Headers],[37]],FDR[FDR]&amp;FDR[[#Headers],[37]],FDR[37],"",0,1)</f>
        <v>4</v>
      </c>
      <c r="AX477" cm="1">
        <f t="array" ref="AX477">_xlfn.XLOOKUP(Matrix[[#This Row],[TEAM]]&amp;Matrix[[#Headers],[38]],FDR[FDR]&amp;FDR[[#Headers],[38]],FDR[38],"",0,1)</f>
        <v>4</v>
      </c>
    </row>
    <row r="478" spans="1:50" ht="22" thickTop="1" thickBot="1">
      <c r="A478" s="51" t="s">
        <v>657</v>
      </c>
      <c r="B478" s="70" t="s">
        <v>1805</v>
      </c>
      <c r="C478" s="40" t="s">
        <v>43</v>
      </c>
      <c r="D478" s="62">
        <v>12</v>
      </c>
      <c r="E478" s="60">
        <v>1.2999999999999999E-2</v>
      </c>
      <c r="F478" s="61">
        <v>9.1999999999999993</v>
      </c>
      <c r="G478" s="63">
        <v>4</v>
      </c>
      <c r="H478" s="261">
        <f>IF(ISBLANK(I478),0,1)</f>
        <v>0</v>
      </c>
      <c r="I478" s="57"/>
      <c r="J478" s="58"/>
      <c r="K478" s="65" t="s">
        <v>1004</v>
      </c>
      <c r="L478" s="65" t="s">
        <v>1003</v>
      </c>
      <c r="M478" cm="1">
        <f t="array" ref="M478">_xlfn.XLOOKUP(Matrix[[#This Row],[TEAM]]&amp;Matrix[[#Headers],[1]],FDR[FDR]&amp;FDR[[#Headers],[1]],FDR[1],"",0,1)</f>
        <v>5</v>
      </c>
      <c r="N478" cm="1">
        <f t="array" ref="N478">_xlfn.XLOOKUP(Matrix[[#This Row],[TEAM]]&amp;Matrix[[#Headers],[2]],FDR[FDR]&amp;FDR[[#Headers],[2]],FDR[2],"",0,1)</f>
        <v>1</v>
      </c>
      <c r="O478" cm="1">
        <f t="array" ref="O478">_xlfn.XLOOKUP(Matrix[[#This Row],[TEAM]]&amp;Matrix[[#Headers],[3]],FDR[FDR]&amp;FDR[[#Headers],[3]],FDR[3],"",0,1)</f>
        <v>5</v>
      </c>
      <c r="P478" cm="1">
        <f t="array" ref="P478">_xlfn.XLOOKUP(Matrix[[#This Row],[TEAM]]&amp;Matrix[[#Headers],[4]],FDR[FDR]&amp;FDR[[#Headers],[4]],FDR[4],"",0,1)</f>
        <v>3</v>
      </c>
      <c r="Q478" cm="1">
        <f t="array" ref="Q478">_xlfn.XLOOKUP(Matrix[[#This Row],[TEAM]]&amp;Matrix[[#Headers],[5]],FDR[FDR]&amp;FDR[[#Headers],[5]],FDR[5],"",0,1)</f>
        <v>4</v>
      </c>
      <c r="R478" cm="1">
        <f t="array" ref="R478">_xlfn.XLOOKUP(Matrix[[#This Row],[TEAM]]&amp;Matrix[[#Headers],[6]],FDR[FDR]&amp;FDR[[#Headers],[6]],FDR[6],"",0,1)</f>
        <v>2</v>
      </c>
      <c r="S478" cm="1">
        <f t="array" ref="S478">_xlfn.XLOOKUP(Matrix[[#This Row],[TEAM]]&amp;Matrix[[#Headers],[7]],FDR[FDR]&amp;FDR[[#Headers],[7]],FDR[7],"",0,1)</f>
        <v>3</v>
      </c>
      <c r="T478" cm="1">
        <f t="array" ref="T478">_xlfn.XLOOKUP(Matrix[[#This Row],[TEAM]]&amp;Matrix[[#Headers],[8]],FDR[FDR]&amp;FDR[[#Headers],[8]],FDR[8],"",0,1)</f>
        <v>3</v>
      </c>
      <c r="U478" cm="1">
        <f t="array" ref="U478">_xlfn.XLOOKUP(Matrix[[#This Row],[TEAM]]&amp;Matrix[[#Headers],[9]],FDR[FDR]&amp;FDR[[#Headers],[9]],FDR[9],"",0,1)</f>
        <v>3</v>
      </c>
      <c r="V478" cm="1">
        <f t="array" ref="V478">_xlfn.XLOOKUP(Matrix[[#This Row],[TEAM]]&amp;Matrix[[#Headers],[10]],FDR[FDR]&amp;FDR[[#Headers],[10]],FDR[10],"",0,1)</f>
        <v>5</v>
      </c>
      <c r="W478" cm="1">
        <f t="array" ref="W478">_xlfn.XLOOKUP(Matrix[[#This Row],[TEAM]]&amp;Matrix[[#Headers],[11]],FDR[FDR]&amp;FDR[[#Headers],[11]],FDR[11],"",0,1)</f>
        <v>5</v>
      </c>
      <c r="X478" cm="1">
        <f t="array" ref="X478">_xlfn.XLOOKUP(Matrix[[#This Row],[TEAM]]&amp;Matrix[[#Headers],[12]],FDR[FDR]&amp;FDR[[#Headers],[12]],FDR[12],"",0,1)</f>
        <v>2</v>
      </c>
      <c r="Y478" cm="1">
        <f t="array" ref="Y478">_xlfn.XLOOKUP(Matrix[[#This Row],[TEAM]]&amp;Matrix[[#Headers],[13]],FDR[FDR]&amp;FDR[[#Headers],[13]],FDR[13],"",0,1)</f>
        <v>2</v>
      </c>
      <c r="Z478" cm="1">
        <f t="array" ref="Z478">_xlfn.XLOOKUP(Matrix[[#This Row],[TEAM]]&amp;Matrix[[#Headers],[14]],FDR[FDR]&amp;FDR[[#Headers],[14]],FDR[14],"",0,1)</f>
        <v>2</v>
      </c>
      <c r="AA478" cm="1">
        <f t="array" ref="AA478">_xlfn.XLOOKUP(Matrix[[#This Row],[TEAM]]&amp;Matrix[[#Headers],[15]],FDR[FDR]&amp;FDR[[#Headers],[15]],FDR[15],"",0,1)</f>
        <v>4</v>
      </c>
      <c r="AB478" cm="1">
        <f t="array" ref="AB478">_xlfn.XLOOKUP(Matrix[[#This Row],[TEAM]]&amp;Matrix[[#Headers],[16]],FDR[FDR]&amp;FDR[[#Headers],[16]],FDR[16],"",0,1)</f>
        <v>5</v>
      </c>
      <c r="AC478" cm="1">
        <f t="array" ref="AC478">_xlfn.XLOOKUP(Matrix[[#This Row],[TEAM]]&amp;Matrix[[#Headers],[17]],FDR[FDR]&amp;FDR[[#Headers],[17]],FDR[17],"",0,1)</f>
        <v>1</v>
      </c>
      <c r="AD478" cm="1">
        <f t="array" ref="AD478">_xlfn.XLOOKUP(Matrix[[#This Row],[TEAM]]&amp;Matrix[[#Headers],[18]],FDR[FDR]&amp;FDR[[#Headers],[18]],FDR[18],"",0,1)</f>
        <v>3</v>
      </c>
      <c r="AE478" cm="1">
        <f t="array" ref="AE478">_xlfn.XLOOKUP(Matrix[[#This Row],[TEAM]]&amp;Matrix[[#Headers],[19]],FDR[FDR]&amp;FDR[[#Headers],[19]],FDR[19],"",0,1)</f>
        <v>5</v>
      </c>
      <c r="AF478" cm="1">
        <f t="array" ref="AF478">_xlfn.XLOOKUP(Matrix[[#This Row],[TEAM]]&amp;Matrix[[#Headers],[20]],FDR[FDR]&amp;FDR[[#Headers],[20]],FDR[20],"",0,1)</f>
        <v>4</v>
      </c>
      <c r="AG478" cm="1">
        <f t="array" ref="AG478">_xlfn.XLOOKUP(Matrix[[#This Row],[TEAM]]&amp;Matrix[[#Headers],[21]],FDR[FDR]&amp;FDR[[#Headers],[21]],FDR[21],"",0,1)</f>
        <v>4</v>
      </c>
      <c r="AH478" cm="1">
        <f t="array" ref="AH478">_xlfn.XLOOKUP(Matrix[[#This Row],[TEAM]]&amp;Matrix[[#Headers],[22]],FDR[FDR]&amp;FDR[[#Headers],[22]],FDR[22],"",0,1)</f>
        <v>4</v>
      </c>
      <c r="AI478" cm="1">
        <f t="array" ref="AI478">_xlfn.XLOOKUP(Matrix[[#This Row],[TEAM]]&amp;Matrix[[#Headers],[23]],FDR[FDR]&amp;FDR[[#Headers],[23]],FDR[23],"",0,1)</f>
        <v>4</v>
      </c>
      <c r="AJ478" cm="1">
        <f t="array" ref="AJ478">_xlfn.XLOOKUP(Matrix[[#This Row],[TEAM]]&amp;Matrix[[#Headers],[24]],FDR[FDR]&amp;FDR[[#Headers],[24]],FDR[24],"",0,1)</f>
        <v>2</v>
      </c>
      <c r="AK478" cm="1">
        <f t="array" ref="AK478">_xlfn.XLOOKUP(Matrix[[#This Row],[TEAM]]&amp;Matrix[[#Headers],[25]],FDR[FDR]&amp;FDR[[#Headers],[25]],FDR[25],"",0,1)</f>
        <v>3</v>
      </c>
      <c r="AL478" cm="1">
        <f t="array" ref="AL478">_xlfn.XLOOKUP(Matrix[[#This Row],[TEAM]]&amp;Matrix[[#Headers],[26]],FDR[FDR]&amp;FDR[[#Headers],[26]],FDR[26],"",0,1)</f>
        <v>3</v>
      </c>
      <c r="AM478" cm="1">
        <f t="array" ref="AM478">_xlfn.XLOOKUP(Matrix[[#This Row],[TEAM]]&amp;Matrix[[#Headers],[27]],FDR[FDR]&amp;FDR[[#Headers],[27]],FDR[27],"",0,1)</f>
        <v>3</v>
      </c>
      <c r="AN478" cm="1">
        <f t="array" ref="AN478">_xlfn.XLOOKUP(Matrix[[#This Row],[TEAM]]&amp;Matrix[[#Headers],[28]],FDR[FDR]&amp;FDR[[#Headers],[28]],FDR[28],"",0,1)</f>
        <v>1</v>
      </c>
      <c r="AO478" cm="1">
        <f t="array" ref="AO478">_xlfn.XLOOKUP(Matrix[[#This Row],[TEAM]]&amp;Matrix[[#Headers],[29]],FDR[FDR]&amp;FDR[[#Headers],[29]],FDR[29],"",0,1)</f>
        <v>2</v>
      </c>
      <c r="AP478" cm="1">
        <f t="array" ref="AP478">_xlfn.XLOOKUP(Matrix[[#This Row],[TEAM]]&amp;Matrix[[#Headers],[30]],FDR[FDR]&amp;FDR[[#Headers],[30]],FDR[30],"",0,1)</f>
        <v>2</v>
      </c>
      <c r="AQ478" cm="1">
        <f t="array" ref="AQ478">_xlfn.XLOOKUP(Matrix[[#This Row],[TEAM]]&amp;Matrix[[#Headers],[31]],FDR[FDR]&amp;FDR[[#Headers],[31]],FDR[31],"",0,1)</f>
        <v>4</v>
      </c>
      <c r="AR478" cm="1">
        <f t="array" ref="AR478">_xlfn.XLOOKUP(Matrix[[#This Row],[TEAM]]&amp;Matrix[[#Headers],[32]],FDR[FDR]&amp;FDR[[#Headers],[32]],FDR[32],"",0,1)</f>
        <v>5</v>
      </c>
      <c r="AS478" cm="1">
        <f t="array" ref="AS478">_xlfn.XLOOKUP(Matrix[[#This Row],[TEAM]]&amp;Matrix[[#Headers],[33]],FDR[FDR]&amp;FDR[[#Headers],[33]],FDR[33],"",0,1)</f>
        <v>5</v>
      </c>
      <c r="AT478" cm="1">
        <f t="array" ref="AT478">_xlfn.XLOOKUP(Matrix[[#This Row],[TEAM]]&amp;Matrix[[#Headers],[34]],FDR[FDR]&amp;FDR[[#Headers],[34]],FDR[34],"",0,1)</f>
        <v>1</v>
      </c>
      <c r="AU478" cm="1">
        <f t="array" ref="AU478">_xlfn.XLOOKUP(Matrix[[#This Row],[TEAM]]&amp;Matrix[[#Headers],[35]],FDR[FDR]&amp;FDR[[#Headers],[35]],FDR[35],"",0,1)</f>
        <v>2</v>
      </c>
      <c r="AV478" cm="1">
        <f t="array" ref="AV478">_xlfn.XLOOKUP(Matrix[[#This Row],[TEAM]]&amp;Matrix[[#Headers],[36]],FDR[FDR]&amp;FDR[[#Headers],[36]],FDR[36],"",0,1)</f>
        <v>4</v>
      </c>
      <c r="AW478" cm="1">
        <f t="array" ref="AW478">_xlfn.XLOOKUP(Matrix[[#This Row],[TEAM]]&amp;Matrix[[#Headers],[37]],FDR[FDR]&amp;FDR[[#Headers],[37]],FDR[37],"",0,1)</f>
        <v>4</v>
      </c>
      <c r="AX478" cm="1">
        <f t="array" ref="AX478">_xlfn.XLOOKUP(Matrix[[#This Row],[TEAM]]&amp;Matrix[[#Headers],[38]],FDR[FDR]&amp;FDR[[#Headers],[38]],FDR[38],"",0,1)</f>
        <v>4</v>
      </c>
    </row>
    <row r="479" spans="1:50" ht="22" thickTop="1" thickBot="1">
      <c r="A479" s="51" t="s">
        <v>657</v>
      </c>
      <c r="B479" s="70" t="s">
        <v>1801</v>
      </c>
      <c r="C479" s="40" t="s">
        <v>30</v>
      </c>
      <c r="D479" s="62">
        <v>10</v>
      </c>
      <c r="E479" s="60">
        <v>1.9E-2</v>
      </c>
      <c r="F479" s="61">
        <v>6.4</v>
      </c>
      <c r="G479" s="63">
        <v>4</v>
      </c>
      <c r="H479" s="261">
        <f>IF(ISBLANK(I479),0,1)</f>
        <v>0</v>
      </c>
      <c r="I479" s="57"/>
      <c r="J479" s="58"/>
      <c r="K479" s="65" t="s">
        <v>1121</v>
      </c>
      <c r="L479" s="65" t="s">
        <v>1122</v>
      </c>
      <c r="M479" cm="1">
        <f t="array" ref="M479">_xlfn.XLOOKUP(Matrix[[#This Row],[TEAM]]&amp;Matrix[[#Headers],[1]],FDR[FDR]&amp;FDR[[#Headers],[1]],FDR[1],"",0,1)</f>
        <v>3</v>
      </c>
      <c r="N479" cm="1">
        <f t="array" ref="N479">_xlfn.XLOOKUP(Matrix[[#This Row],[TEAM]]&amp;Matrix[[#Headers],[2]],FDR[FDR]&amp;FDR[[#Headers],[2]],FDR[2],"",0,1)</f>
        <v>2</v>
      </c>
      <c r="O479" cm="1">
        <f t="array" ref="O479">_xlfn.XLOOKUP(Matrix[[#This Row],[TEAM]]&amp;Matrix[[#Headers],[3]],FDR[FDR]&amp;FDR[[#Headers],[3]],FDR[3],"",0,1)</f>
        <v>1</v>
      </c>
      <c r="P479" cm="1">
        <f t="array" ref="P479">_xlfn.XLOOKUP(Matrix[[#This Row],[TEAM]]&amp;Matrix[[#Headers],[4]],FDR[FDR]&amp;FDR[[#Headers],[4]],FDR[4],"",0,1)</f>
        <v>4</v>
      </c>
      <c r="Q479" cm="1">
        <f t="array" ref="Q479">_xlfn.XLOOKUP(Matrix[[#This Row],[TEAM]]&amp;Matrix[[#Headers],[5]],FDR[FDR]&amp;FDR[[#Headers],[5]],FDR[5],"",0,1)</f>
        <v>3</v>
      </c>
      <c r="R479" cm="1">
        <f t="array" ref="R479">_xlfn.XLOOKUP(Matrix[[#This Row],[TEAM]]&amp;Matrix[[#Headers],[6]],FDR[FDR]&amp;FDR[[#Headers],[6]],FDR[6],"",0,1)</f>
        <v>2</v>
      </c>
      <c r="S479" cm="1">
        <f t="array" ref="S479">_xlfn.XLOOKUP(Matrix[[#This Row],[TEAM]]&amp;Matrix[[#Headers],[7]],FDR[FDR]&amp;FDR[[#Headers],[7]],FDR[7],"",0,1)</f>
        <v>1</v>
      </c>
      <c r="T479" cm="1">
        <f t="array" ref="T479">_xlfn.XLOOKUP(Matrix[[#This Row],[TEAM]]&amp;Matrix[[#Headers],[8]],FDR[FDR]&amp;FDR[[#Headers],[8]],FDR[8],"",0,1)</f>
        <v>4</v>
      </c>
      <c r="U479" cm="1">
        <f t="array" ref="U479">_xlfn.XLOOKUP(Matrix[[#This Row],[TEAM]]&amp;Matrix[[#Headers],[9]],FDR[FDR]&amp;FDR[[#Headers],[9]],FDR[9],"",0,1)</f>
        <v>1</v>
      </c>
      <c r="V479" cm="1">
        <f t="array" ref="V479">_xlfn.XLOOKUP(Matrix[[#This Row],[TEAM]]&amp;Matrix[[#Headers],[10]],FDR[FDR]&amp;FDR[[#Headers],[10]],FDR[10],"",0,1)</f>
        <v>2</v>
      </c>
      <c r="W479" cm="1">
        <f t="array" ref="W479">_xlfn.XLOOKUP(Matrix[[#This Row],[TEAM]]&amp;Matrix[[#Headers],[11]],FDR[FDR]&amp;FDR[[#Headers],[11]],FDR[11],"",0,1)</f>
        <v>4</v>
      </c>
      <c r="X479" cm="1">
        <f t="array" ref="X479">_xlfn.XLOOKUP(Matrix[[#This Row],[TEAM]]&amp;Matrix[[#Headers],[12]],FDR[FDR]&amp;FDR[[#Headers],[12]],FDR[12],"",0,1)</f>
        <v>1</v>
      </c>
      <c r="Y479" cm="1">
        <f t="array" ref="Y479">_xlfn.XLOOKUP(Matrix[[#This Row],[TEAM]]&amp;Matrix[[#Headers],[13]],FDR[FDR]&amp;FDR[[#Headers],[13]],FDR[13],"",0,1)</f>
        <v>2</v>
      </c>
      <c r="Z479" cm="1">
        <f t="array" ref="Z479">_xlfn.XLOOKUP(Matrix[[#This Row],[TEAM]]&amp;Matrix[[#Headers],[14]],FDR[FDR]&amp;FDR[[#Headers],[14]],FDR[14],"",0,1)</f>
        <v>1</v>
      </c>
      <c r="AA479" cm="1">
        <f t="array" ref="AA479">_xlfn.XLOOKUP(Matrix[[#This Row],[TEAM]]&amp;Matrix[[#Headers],[15]],FDR[FDR]&amp;FDR[[#Headers],[15]],FDR[15],"",0,1)</f>
        <v>1</v>
      </c>
      <c r="AB479" cm="1">
        <f t="array" ref="AB479">_xlfn.XLOOKUP(Matrix[[#This Row],[TEAM]]&amp;Matrix[[#Headers],[16]],FDR[FDR]&amp;FDR[[#Headers],[16]],FDR[16],"",0,1)</f>
        <v>1</v>
      </c>
      <c r="AC479" cm="1">
        <f t="array" ref="AC479">_xlfn.XLOOKUP(Matrix[[#This Row],[TEAM]]&amp;Matrix[[#Headers],[17]],FDR[FDR]&amp;FDR[[#Headers],[17]],FDR[17],"",0,1)</f>
        <v>3</v>
      </c>
      <c r="AD479" cm="1">
        <f t="array" ref="AD479">_xlfn.XLOOKUP(Matrix[[#This Row],[TEAM]]&amp;Matrix[[#Headers],[18]],FDR[FDR]&amp;FDR[[#Headers],[18]],FDR[18],"",0,1)</f>
        <v>2</v>
      </c>
      <c r="AE479" cm="1">
        <f t="array" ref="AE479">_xlfn.XLOOKUP(Matrix[[#This Row],[TEAM]]&amp;Matrix[[#Headers],[19]],FDR[FDR]&amp;FDR[[#Headers],[19]],FDR[19],"",0,1)</f>
        <v>1</v>
      </c>
      <c r="AF479" cm="1">
        <f t="array" ref="AF479">_xlfn.XLOOKUP(Matrix[[#This Row],[TEAM]]&amp;Matrix[[#Headers],[20]],FDR[FDR]&amp;FDR[[#Headers],[20]],FDR[20],"",0,1)</f>
        <v>1</v>
      </c>
      <c r="AG479" cm="1">
        <f t="array" ref="AG479">_xlfn.XLOOKUP(Matrix[[#This Row],[TEAM]]&amp;Matrix[[#Headers],[21]],FDR[FDR]&amp;FDR[[#Headers],[21]],FDR[21],"",0,1)</f>
        <v>1</v>
      </c>
      <c r="AH479" cm="1">
        <f t="array" ref="AH479">_xlfn.XLOOKUP(Matrix[[#This Row],[TEAM]]&amp;Matrix[[#Headers],[22]],FDR[FDR]&amp;FDR[[#Headers],[22]],FDR[22],"",0,1)</f>
        <v>3</v>
      </c>
      <c r="AI479" cm="1">
        <f t="array" ref="AI479">_xlfn.XLOOKUP(Matrix[[#This Row],[TEAM]]&amp;Matrix[[#Headers],[23]],FDR[FDR]&amp;FDR[[#Headers],[23]],FDR[23],"",0,1)</f>
        <v>4</v>
      </c>
      <c r="AJ479" cm="1">
        <f t="array" ref="AJ479">_xlfn.XLOOKUP(Matrix[[#This Row],[TEAM]]&amp;Matrix[[#Headers],[24]],FDR[FDR]&amp;FDR[[#Headers],[24]],FDR[24],"",0,1)</f>
        <v>1</v>
      </c>
      <c r="AK479" cm="1">
        <f t="array" ref="AK479">_xlfn.XLOOKUP(Matrix[[#This Row],[TEAM]]&amp;Matrix[[#Headers],[25]],FDR[FDR]&amp;FDR[[#Headers],[25]],FDR[25],"",0,1)</f>
        <v>3</v>
      </c>
      <c r="AL479" cm="1">
        <f t="array" ref="AL479">_xlfn.XLOOKUP(Matrix[[#This Row],[TEAM]]&amp;Matrix[[#Headers],[26]],FDR[FDR]&amp;FDR[[#Headers],[26]],FDR[26],"",0,1)</f>
        <v>2</v>
      </c>
      <c r="AM479" cm="1">
        <f t="array" ref="AM479">_xlfn.XLOOKUP(Matrix[[#This Row],[TEAM]]&amp;Matrix[[#Headers],[27]],FDR[FDR]&amp;FDR[[#Headers],[27]],FDR[27],"",0,1)</f>
        <v>2</v>
      </c>
      <c r="AN479" cm="1">
        <f t="array" ref="AN479">_xlfn.XLOOKUP(Matrix[[#This Row],[TEAM]]&amp;Matrix[[#Headers],[28]],FDR[FDR]&amp;FDR[[#Headers],[28]],FDR[28],"",0,1)</f>
        <v>1</v>
      </c>
      <c r="AO479" cm="1">
        <f t="array" ref="AO479">_xlfn.XLOOKUP(Matrix[[#This Row],[TEAM]]&amp;Matrix[[#Headers],[29]],FDR[FDR]&amp;FDR[[#Headers],[29]],FDR[29],"",0,1)</f>
        <v>3</v>
      </c>
      <c r="AP479" cm="1">
        <f t="array" ref="AP479">_xlfn.XLOOKUP(Matrix[[#This Row],[TEAM]]&amp;Matrix[[#Headers],[30]],FDR[FDR]&amp;FDR[[#Headers],[30]],FDR[30],"",0,1)</f>
        <v>2</v>
      </c>
      <c r="AQ479" cm="1">
        <f t="array" ref="AQ479">_xlfn.XLOOKUP(Matrix[[#This Row],[TEAM]]&amp;Matrix[[#Headers],[31]],FDR[FDR]&amp;FDR[[#Headers],[31]],FDR[31],"",0,1)</f>
        <v>2</v>
      </c>
      <c r="AR479" cm="1">
        <f t="array" ref="AR479">_xlfn.XLOOKUP(Matrix[[#This Row],[TEAM]]&amp;Matrix[[#Headers],[32]],FDR[FDR]&amp;FDR[[#Headers],[32]],FDR[32],"",0,1)</f>
        <v>1</v>
      </c>
      <c r="AS479" cm="1">
        <f t="array" ref="AS479">_xlfn.XLOOKUP(Matrix[[#This Row],[TEAM]]&amp;Matrix[[#Headers],[33]],FDR[FDR]&amp;FDR[[#Headers],[33]],FDR[33],"",0,1)</f>
        <v>4</v>
      </c>
      <c r="AT479" cm="1">
        <f t="array" ref="AT479">_xlfn.XLOOKUP(Matrix[[#This Row],[TEAM]]&amp;Matrix[[#Headers],[34]],FDR[FDR]&amp;FDR[[#Headers],[34]],FDR[34],"",0,1)</f>
        <v>1</v>
      </c>
      <c r="AU479" cm="1">
        <f t="array" ref="AU479">_xlfn.XLOOKUP(Matrix[[#This Row],[TEAM]]&amp;Matrix[[#Headers],[35]],FDR[FDR]&amp;FDR[[#Headers],[35]],FDR[35],"",0,1)</f>
        <v>3</v>
      </c>
      <c r="AV479" cm="1">
        <f t="array" ref="AV479">_xlfn.XLOOKUP(Matrix[[#This Row],[TEAM]]&amp;Matrix[[#Headers],[36]],FDR[FDR]&amp;FDR[[#Headers],[36]],FDR[36],"",0,1)</f>
        <v>1</v>
      </c>
      <c r="AW479" cm="1">
        <f t="array" ref="AW479">_xlfn.XLOOKUP(Matrix[[#This Row],[TEAM]]&amp;Matrix[[#Headers],[37]],FDR[FDR]&amp;FDR[[#Headers],[37]],FDR[37],"",0,1)</f>
        <v>1</v>
      </c>
      <c r="AX479" cm="1">
        <f t="array" ref="AX479">_xlfn.XLOOKUP(Matrix[[#This Row],[TEAM]]&amp;Matrix[[#Headers],[38]],FDR[FDR]&amp;FDR[[#Headers],[38]],FDR[38],"",0,1)</f>
        <v>2</v>
      </c>
    </row>
    <row r="480" spans="1:50" ht="22" thickTop="1" thickBot="1">
      <c r="A480" s="51" t="s">
        <v>657</v>
      </c>
      <c r="B480" s="70" t="s">
        <v>1830</v>
      </c>
      <c r="C480" s="40" t="s">
        <v>28</v>
      </c>
      <c r="D480" s="62">
        <v>6</v>
      </c>
      <c r="E480" s="60">
        <v>3.0000000000000001E-3</v>
      </c>
      <c r="F480" s="61">
        <v>13.3</v>
      </c>
      <c r="G480" s="63">
        <v>4</v>
      </c>
      <c r="H480" s="261">
        <f>IF(ISBLANK(I480),0,1)</f>
        <v>0</v>
      </c>
      <c r="I480" s="57"/>
      <c r="J480" s="58"/>
      <c r="K480" s="65" t="s">
        <v>696</v>
      </c>
      <c r="L480" s="65" t="s">
        <v>697</v>
      </c>
      <c r="M480" cm="1">
        <f t="array" ref="M480">_xlfn.XLOOKUP(Matrix[[#This Row],[TEAM]]&amp;Matrix[[#Headers],[1]],FDR[FDR]&amp;FDR[[#Headers],[1]],FDR[1],"",0,1)</f>
        <v>3</v>
      </c>
      <c r="N480" cm="1">
        <f t="array" ref="N480">_xlfn.XLOOKUP(Matrix[[#This Row],[TEAM]]&amp;Matrix[[#Headers],[2]],FDR[FDR]&amp;FDR[[#Headers],[2]],FDR[2],"",0,1)</f>
        <v>2</v>
      </c>
      <c r="O480" cm="1">
        <f t="array" ref="O480">_xlfn.XLOOKUP(Matrix[[#This Row],[TEAM]]&amp;Matrix[[#Headers],[3]],FDR[FDR]&amp;FDR[[#Headers],[3]],FDR[3],"",0,1)</f>
        <v>1</v>
      </c>
      <c r="P480" cm="1">
        <f t="array" ref="P480">_xlfn.XLOOKUP(Matrix[[#This Row],[TEAM]]&amp;Matrix[[#Headers],[4]],FDR[FDR]&amp;FDR[[#Headers],[4]],FDR[4],"",0,1)</f>
        <v>2</v>
      </c>
      <c r="Q480" cm="1">
        <f t="array" ref="Q480">_xlfn.XLOOKUP(Matrix[[#This Row],[TEAM]]&amp;Matrix[[#Headers],[5]],FDR[FDR]&amp;FDR[[#Headers],[5]],FDR[5],"",0,1)</f>
        <v>1</v>
      </c>
      <c r="R480" cm="1">
        <f t="array" ref="R480">_xlfn.XLOOKUP(Matrix[[#This Row],[TEAM]]&amp;Matrix[[#Headers],[6]],FDR[FDR]&amp;FDR[[#Headers],[6]],FDR[6],"",0,1)</f>
        <v>2</v>
      </c>
      <c r="S480" cm="1">
        <f t="array" ref="S480">_xlfn.XLOOKUP(Matrix[[#This Row],[TEAM]]&amp;Matrix[[#Headers],[7]],FDR[FDR]&amp;FDR[[#Headers],[7]],FDR[7],"",0,1)</f>
        <v>1</v>
      </c>
      <c r="T480" cm="1">
        <f t="array" ref="T480">_xlfn.XLOOKUP(Matrix[[#This Row],[TEAM]]&amp;Matrix[[#Headers],[8]],FDR[FDR]&amp;FDR[[#Headers],[8]],FDR[8],"",0,1)</f>
        <v>4</v>
      </c>
      <c r="U480" cm="1">
        <f t="array" ref="U480">_xlfn.XLOOKUP(Matrix[[#This Row],[TEAM]]&amp;Matrix[[#Headers],[9]],FDR[FDR]&amp;FDR[[#Headers],[9]],FDR[9],"",0,1)</f>
        <v>3</v>
      </c>
      <c r="V480" cm="1">
        <f t="array" ref="V480">_xlfn.XLOOKUP(Matrix[[#This Row],[TEAM]]&amp;Matrix[[#Headers],[10]],FDR[FDR]&amp;FDR[[#Headers],[10]],FDR[10],"",0,1)</f>
        <v>4</v>
      </c>
      <c r="W480" cm="1">
        <f t="array" ref="W480">_xlfn.XLOOKUP(Matrix[[#This Row],[TEAM]]&amp;Matrix[[#Headers],[11]],FDR[FDR]&amp;FDR[[#Headers],[11]],FDR[11],"",0,1)</f>
        <v>2</v>
      </c>
      <c r="X480" cm="1">
        <f t="array" ref="X480">_xlfn.XLOOKUP(Matrix[[#This Row],[TEAM]]&amp;Matrix[[#Headers],[12]],FDR[FDR]&amp;FDR[[#Headers],[12]],FDR[12],"",0,1)</f>
        <v>1</v>
      </c>
      <c r="Y480" cm="1">
        <f t="array" ref="Y480">_xlfn.XLOOKUP(Matrix[[#This Row],[TEAM]]&amp;Matrix[[#Headers],[13]],FDR[FDR]&amp;FDR[[#Headers],[13]],FDR[13],"",0,1)</f>
        <v>1</v>
      </c>
      <c r="Z480" cm="1">
        <f t="array" ref="Z480">_xlfn.XLOOKUP(Matrix[[#This Row],[TEAM]]&amp;Matrix[[#Headers],[14]],FDR[FDR]&amp;FDR[[#Headers],[14]],FDR[14],"",0,1)</f>
        <v>3</v>
      </c>
      <c r="AA480" cm="1">
        <f t="array" ref="AA480">_xlfn.XLOOKUP(Matrix[[#This Row],[TEAM]]&amp;Matrix[[#Headers],[15]],FDR[FDR]&amp;FDR[[#Headers],[15]],FDR[15],"",0,1)</f>
        <v>3</v>
      </c>
      <c r="AB480" cm="1">
        <f t="array" ref="AB480">_xlfn.XLOOKUP(Matrix[[#This Row],[TEAM]]&amp;Matrix[[#Headers],[16]],FDR[FDR]&amp;FDR[[#Headers],[16]],FDR[16],"",0,1)</f>
        <v>2</v>
      </c>
      <c r="AC480" cm="1">
        <f t="array" ref="AC480">_xlfn.XLOOKUP(Matrix[[#This Row],[TEAM]]&amp;Matrix[[#Headers],[17]],FDR[FDR]&amp;FDR[[#Headers],[17]],FDR[17],"",0,1)</f>
        <v>3</v>
      </c>
      <c r="AD480" cm="1">
        <f t="array" ref="AD480">_xlfn.XLOOKUP(Matrix[[#This Row],[TEAM]]&amp;Matrix[[#Headers],[18]],FDR[FDR]&amp;FDR[[#Headers],[18]],FDR[18],"",0,1)</f>
        <v>4</v>
      </c>
      <c r="AE480" cm="1">
        <f t="array" ref="AE480">_xlfn.XLOOKUP(Matrix[[#This Row],[TEAM]]&amp;Matrix[[#Headers],[19]],FDR[FDR]&amp;FDR[[#Headers],[19]],FDR[19],"",0,1)</f>
        <v>4</v>
      </c>
      <c r="AF480" cm="1">
        <f t="array" ref="AF480">_xlfn.XLOOKUP(Matrix[[#This Row],[TEAM]]&amp;Matrix[[#Headers],[20]],FDR[FDR]&amp;FDR[[#Headers],[20]],FDR[20],"",0,1)</f>
        <v>2</v>
      </c>
      <c r="AG480" cm="1">
        <f t="array" ref="AG480">_xlfn.XLOOKUP(Matrix[[#This Row],[TEAM]]&amp;Matrix[[#Headers],[21]],FDR[FDR]&amp;FDR[[#Headers],[21]],FDR[21],"",0,1)</f>
        <v>2</v>
      </c>
      <c r="AH480" cm="1">
        <f t="array" ref="AH480">_xlfn.XLOOKUP(Matrix[[#This Row],[TEAM]]&amp;Matrix[[#Headers],[22]],FDR[FDR]&amp;FDR[[#Headers],[22]],FDR[22],"",0,1)</f>
        <v>1</v>
      </c>
      <c r="AI480" cm="1">
        <f t="array" ref="AI480">_xlfn.XLOOKUP(Matrix[[#This Row],[TEAM]]&amp;Matrix[[#Headers],[23]],FDR[FDR]&amp;FDR[[#Headers],[23]],FDR[23],"",0,1)</f>
        <v>4</v>
      </c>
      <c r="AJ480" cm="1">
        <f t="array" ref="AJ480">_xlfn.XLOOKUP(Matrix[[#This Row],[TEAM]]&amp;Matrix[[#Headers],[24]],FDR[FDR]&amp;FDR[[#Headers],[24]],FDR[24],"",0,1)</f>
        <v>1</v>
      </c>
      <c r="AK480" cm="1">
        <f t="array" ref="AK480">_xlfn.XLOOKUP(Matrix[[#This Row],[TEAM]]&amp;Matrix[[#Headers],[25]],FDR[FDR]&amp;FDR[[#Headers],[25]],FDR[25],"",0,1)</f>
        <v>3</v>
      </c>
      <c r="AL480" cm="1">
        <f t="array" ref="AL480">_xlfn.XLOOKUP(Matrix[[#This Row],[TEAM]]&amp;Matrix[[#Headers],[26]],FDR[FDR]&amp;FDR[[#Headers],[26]],FDR[26],"",0,1)</f>
        <v>2</v>
      </c>
      <c r="AM480" cm="1">
        <f t="array" ref="AM480">_xlfn.XLOOKUP(Matrix[[#This Row],[TEAM]]&amp;Matrix[[#Headers],[27]],FDR[FDR]&amp;FDR[[#Headers],[27]],FDR[27],"",0,1)</f>
        <v>1</v>
      </c>
      <c r="AN480" cm="1">
        <f t="array" ref="AN480">_xlfn.XLOOKUP(Matrix[[#This Row],[TEAM]]&amp;Matrix[[#Headers],[28]],FDR[FDR]&amp;FDR[[#Headers],[28]],FDR[28],"",0,1)</f>
        <v>1</v>
      </c>
      <c r="AO480" cm="1">
        <f t="array" ref="AO480">_xlfn.XLOOKUP(Matrix[[#This Row],[TEAM]]&amp;Matrix[[#Headers],[29]],FDR[FDR]&amp;FDR[[#Headers],[29]],FDR[29],"",0,1)</f>
        <v>3</v>
      </c>
      <c r="AP480" cm="1">
        <f t="array" ref="AP480">_xlfn.XLOOKUP(Matrix[[#This Row],[TEAM]]&amp;Matrix[[#Headers],[30]],FDR[FDR]&amp;FDR[[#Headers],[30]],FDR[30],"",0,1)</f>
        <v>4</v>
      </c>
      <c r="AQ480" cm="1">
        <f t="array" ref="AQ480">_xlfn.XLOOKUP(Matrix[[#This Row],[TEAM]]&amp;Matrix[[#Headers],[31]],FDR[FDR]&amp;FDR[[#Headers],[31]],FDR[31],"",0,1)</f>
        <v>1</v>
      </c>
      <c r="AR480" cm="1">
        <f t="array" ref="AR480">_xlfn.XLOOKUP(Matrix[[#This Row],[TEAM]]&amp;Matrix[[#Headers],[32]],FDR[FDR]&amp;FDR[[#Headers],[32]],FDR[32],"",0,1)</f>
        <v>3</v>
      </c>
      <c r="AS480" cm="1">
        <f t="array" ref="AS480">_xlfn.XLOOKUP(Matrix[[#This Row],[TEAM]]&amp;Matrix[[#Headers],[33]],FDR[FDR]&amp;FDR[[#Headers],[33]],FDR[33],"",0,1)</f>
        <v>1</v>
      </c>
      <c r="AT480" cm="1">
        <f t="array" ref="AT480">_xlfn.XLOOKUP(Matrix[[#This Row],[TEAM]]&amp;Matrix[[#Headers],[34]],FDR[FDR]&amp;FDR[[#Headers],[34]],FDR[34],"",0,1)</f>
        <v>3</v>
      </c>
      <c r="AU480" cm="1">
        <f t="array" ref="AU480">_xlfn.XLOOKUP(Matrix[[#This Row],[TEAM]]&amp;Matrix[[#Headers],[35]],FDR[FDR]&amp;FDR[[#Headers],[35]],FDR[35],"",0,1)</f>
        <v>3</v>
      </c>
      <c r="AV480" cm="1">
        <f t="array" ref="AV480">_xlfn.XLOOKUP(Matrix[[#This Row],[TEAM]]&amp;Matrix[[#Headers],[36]],FDR[FDR]&amp;FDR[[#Headers],[36]],FDR[36],"",0,1)</f>
        <v>1</v>
      </c>
      <c r="AW480" cm="1">
        <f t="array" ref="AW480">_xlfn.XLOOKUP(Matrix[[#This Row],[TEAM]]&amp;Matrix[[#Headers],[37]],FDR[FDR]&amp;FDR[[#Headers],[37]],FDR[37],"",0,1)</f>
        <v>3</v>
      </c>
      <c r="AX480" cm="1">
        <f t="array" ref="AX480">_xlfn.XLOOKUP(Matrix[[#This Row],[TEAM]]&amp;Matrix[[#Headers],[38]],FDR[FDR]&amp;FDR[[#Headers],[38]],FDR[38],"",0,1)</f>
        <v>4</v>
      </c>
    </row>
    <row r="481" spans="1:50" ht="22" thickTop="1" thickBot="1">
      <c r="A481" s="51" t="s">
        <v>657</v>
      </c>
      <c r="B481" s="70" t="s">
        <v>1839</v>
      </c>
      <c r="C481" s="40" t="s">
        <v>18</v>
      </c>
      <c r="D481" s="62">
        <v>4</v>
      </c>
      <c r="E481" s="60">
        <v>3.0000000000000001E-3</v>
      </c>
      <c r="F481" s="61">
        <v>2.9</v>
      </c>
      <c r="G481" s="63">
        <v>4</v>
      </c>
      <c r="H481" s="261">
        <f>IF(ISBLANK(I481),0,1)</f>
        <v>0</v>
      </c>
      <c r="I481" s="57"/>
      <c r="J481" s="58"/>
      <c r="K481" s="65" t="s">
        <v>456</v>
      </c>
      <c r="L481" s="65" t="s">
        <v>1053</v>
      </c>
      <c r="M481" cm="1">
        <f t="array" ref="M481">_xlfn.XLOOKUP(Matrix[[#This Row],[TEAM]]&amp;Matrix[[#Headers],[1]],FDR[FDR]&amp;FDR[[#Headers],[1]],FDR[1],"",0,1)</f>
        <v>1</v>
      </c>
      <c r="N481" cm="1">
        <f t="array" ref="N481">_xlfn.XLOOKUP(Matrix[[#This Row],[TEAM]]&amp;Matrix[[#Headers],[2]],FDR[FDR]&amp;FDR[[#Headers],[2]],FDR[2],"",0,1)</f>
        <v>2</v>
      </c>
      <c r="O481" cm="1">
        <f t="array" ref="O481">_xlfn.XLOOKUP(Matrix[[#This Row],[TEAM]]&amp;Matrix[[#Headers],[3]],FDR[FDR]&amp;FDR[[#Headers],[3]],FDR[3],"",0,1)</f>
        <v>1</v>
      </c>
      <c r="P481" cm="1">
        <f t="array" ref="P481">_xlfn.XLOOKUP(Matrix[[#This Row],[TEAM]]&amp;Matrix[[#Headers],[4]],FDR[FDR]&amp;FDR[[#Headers],[4]],FDR[4],"",0,1)</f>
        <v>2</v>
      </c>
      <c r="Q481" cm="1">
        <f t="array" ref="Q481">_xlfn.XLOOKUP(Matrix[[#This Row],[TEAM]]&amp;Matrix[[#Headers],[5]],FDR[FDR]&amp;FDR[[#Headers],[5]],FDR[5],"",0,1)</f>
        <v>3</v>
      </c>
      <c r="R481" cm="1">
        <f t="array" ref="R481">_xlfn.XLOOKUP(Matrix[[#This Row],[TEAM]]&amp;Matrix[[#Headers],[6]],FDR[FDR]&amp;FDR[[#Headers],[6]],FDR[6],"",0,1)</f>
        <v>1</v>
      </c>
      <c r="S481" cm="1">
        <f t="array" ref="S481">_xlfn.XLOOKUP(Matrix[[#This Row],[TEAM]]&amp;Matrix[[#Headers],[7]],FDR[FDR]&amp;FDR[[#Headers],[7]],FDR[7],"",0,1)</f>
        <v>3</v>
      </c>
      <c r="T481" cm="1">
        <f t="array" ref="T481">_xlfn.XLOOKUP(Matrix[[#This Row],[TEAM]]&amp;Matrix[[#Headers],[8]],FDR[FDR]&amp;FDR[[#Headers],[8]],FDR[8],"",0,1)</f>
        <v>2</v>
      </c>
      <c r="U481" cm="1">
        <f t="array" ref="U481">_xlfn.XLOOKUP(Matrix[[#This Row],[TEAM]]&amp;Matrix[[#Headers],[9]],FDR[FDR]&amp;FDR[[#Headers],[9]],FDR[9],"",0,1)</f>
        <v>1</v>
      </c>
      <c r="V481" cm="1">
        <f t="array" ref="V481">_xlfn.XLOOKUP(Matrix[[#This Row],[TEAM]]&amp;Matrix[[#Headers],[10]],FDR[FDR]&amp;FDR[[#Headers],[10]],FDR[10],"",0,1)</f>
        <v>3</v>
      </c>
      <c r="W481" cm="1">
        <f t="array" ref="W481">_xlfn.XLOOKUP(Matrix[[#This Row],[TEAM]]&amp;Matrix[[#Headers],[11]],FDR[FDR]&amp;FDR[[#Headers],[11]],FDR[11],"",0,1)</f>
        <v>1</v>
      </c>
      <c r="X481" cm="1">
        <f t="array" ref="X481">_xlfn.XLOOKUP(Matrix[[#This Row],[TEAM]]&amp;Matrix[[#Headers],[12]],FDR[FDR]&amp;FDR[[#Headers],[12]],FDR[12],"",0,1)</f>
        <v>1</v>
      </c>
      <c r="Y481" cm="1">
        <f t="array" ref="Y481">_xlfn.XLOOKUP(Matrix[[#This Row],[TEAM]]&amp;Matrix[[#Headers],[13]],FDR[FDR]&amp;FDR[[#Headers],[13]],FDR[13],"",0,1)</f>
        <v>3</v>
      </c>
      <c r="Z481" cm="1">
        <f t="array" ref="Z481">_xlfn.XLOOKUP(Matrix[[#This Row],[TEAM]]&amp;Matrix[[#Headers],[14]],FDR[FDR]&amp;FDR[[#Headers],[14]],FDR[14],"",0,1)</f>
        <v>1</v>
      </c>
      <c r="AA481" cm="1">
        <f t="array" ref="AA481">_xlfn.XLOOKUP(Matrix[[#This Row],[TEAM]]&amp;Matrix[[#Headers],[15]],FDR[FDR]&amp;FDR[[#Headers],[15]],FDR[15],"",0,1)</f>
        <v>2</v>
      </c>
      <c r="AB481" cm="1">
        <f t="array" ref="AB481">_xlfn.XLOOKUP(Matrix[[#This Row],[TEAM]]&amp;Matrix[[#Headers],[16]],FDR[FDR]&amp;FDR[[#Headers],[16]],FDR[16],"",0,1)</f>
        <v>1</v>
      </c>
      <c r="AC481" cm="1">
        <f t="array" ref="AC481">_xlfn.XLOOKUP(Matrix[[#This Row],[TEAM]]&amp;Matrix[[#Headers],[17]],FDR[FDR]&amp;FDR[[#Headers],[17]],FDR[17],"",0,1)</f>
        <v>3</v>
      </c>
      <c r="AD481" cm="1">
        <f t="array" ref="AD481">_xlfn.XLOOKUP(Matrix[[#This Row],[TEAM]]&amp;Matrix[[#Headers],[18]],FDR[FDR]&amp;FDR[[#Headers],[18]],FDR[18],"",0,1)</f>
        <v>2</v>
      </c>
      <c r="AE481" cm="1">
        <f t="array" ref="AE481">_xlfn.XLOOKUP(Matrix[[#This Row],[TEAM]]&amp;Matrix[[#Headers],[19]],FDR[FDR]&amp;FDR[[#Headers],[19]],FDR[19],"",0,1)</f>
        <v>1</v>
      </c>
      <c r="AF481" cm="1">
        <f t="array" ref="AF481">_xlfn.XLOOKUP(Matrix[[#This Row],[TEAM]]&amp;Matrix[[#Headers],[20]],FDR[FDR]&amp;FDR[[#Headers],[20]],FDR[20],"",0,1)</f>
        <v>4</v>
      </c>
      <c r="AG481" cm="1">
        <f t="array" ref="AG481">_xlfn.XLOOKUP(Matrix[[#This Row],[TEAM]]&amp;Matrix[[#Headers],[21]],FDR[FDR]&amp;FDR[[#Headers],[21]],FDR[21],"",0,1)</f>
        <v>2</v>
      </c>
      <c r="AH481" cm="1">
        <f t="array" ref="AH481">_xlfn.XLOOKUP(Matrix[[#This Row],[TEAM]]&amp;Matrix[[#Headers],[22]],FDR[FDR]&amp;FDR[[#Headers],[22]],FDR[22],"",0,1)</f>
        <v>1</v>
      </c>
      <c r="AI481" cm="1">
        <f t="array" ref="AI481">_xlfn.XLOOKUP(Matrix[[#This Row],[TEAM]]&amp;Matrix[[#Headers],[23]],FDR[FDR]&amp;FDR[[#Headers],[23]],FDR[23],"",0,1)</f>
        <v>2</v>
      </c>
      <c r="AJ481" cm="1">
        <f t="array" ref="AJ481">_xlfn.XLOOKUP(Matrix[[#This Row],[TEAM]]&amp;Matrix[[#Headers],[24]],FDR[FDR]&amp;FDR[[#Headers],[24]],FDR[24],"",0,1)</f>
        <v>1</v>
      </c>
      <c r="AK481" cm="1">
        <f t="array" ref="AK481">_xlfn.XLOOKUP(Matrix[[#This Row],[TEAM]]&amp;Matrix[[#Headers],[25]],FDR[FDR]&amp;FDR[[#Headers],[25]],FDR[25],"",0,1)</f>
        <v>1</v>
      </c>
      <c r="AL481" cm="1">
        <f t="array" ref="AL481">_xlfn.XLOOKUP(Matrix[[#This Row],[TEAM]]&amp;Matrix[[#Headers],[26]],FDR[FDR]&amp;FDR[[#Headers],[26]],FDR[26],"",0,1)</f>
        <v>1</v>
      </c>
      <c r="AM481" cm="1">
        <f t="array" ref="AM481">_xlfn.XLOOKUP(Matrix[[#This Row],[TEAM]]&amp;Matrix[[#Headers],[27]],FDR[FDR]&amp;FDR[[#Headers],[27]],FDR[27],"",0,1)</f>
        <v>1</v>
      </c>
      <c r="AN481" cm="1">
        <f t="array" ref="AN481">_xlfn.XLOOKUP(Matrix[[#This Row],[TEAM]]&amp;Matrix[[#Headers],[28]],FDR[FDR]&amp;FDR[[#Headers],[28]],FDR[28],"",0,1)</f>
        <v>4</v>
      </c>
      <c r="AO481" cm="1">
        <f t="array" ref="AO481">_xlfn.XLOOKUP(Matrix[[#This Row],[TEAM]]&amp;Matrix[[#Headers],[29]],FDR[FDR]&amp;FDR[[#Headers],[29]],FDR[29],"",0,1)</f>
        <v>3</v>
      </c>
      <c r="AP481" cm="1">
        <f t="array" ref="AP481">_xlfn.XLOOKUP(Matrix[[#This Row],[TEAM]]&amp;Matrix[[#Headers],[30]],FDR[FDR]&amp;FDR[[#Headers],[30]],FDR[30],"",0,1)</f>
        <v>2</v>
      </c>
      <c r="AQ481" cm="1">
        <f t="array" ref="AQ481">_xlfn.XLOOKUP(Matrix[[#This Row],[TEAM]]&amp;Matrix[[#Headers],[31]],FDR[FDR]&amp;FDR[[#Headers],[31]],FDR[31],"",0,1)</f>
        <v>2</v>
      </c>
      <c r="AR481" cm="1">
        <f t="array" ref="AR481">_xlfn.XLOOKUP(Matrix[[#This Row],[TEAM]]&amp;Matrix[[#Headers],[32]],FDR[FDR]&amp;FDR[[#Headers],[32]],FDR[32],"",0,1)</f>
        <v>3</v>
      </c>
      <c r="AS481" cm="1">
        <f t="array" ref="AS481">_xlfn.XLOOKUP(Matrix[[#This Row],[TEAM]]&amp;Matrix[[#Headers],[33]],FDR[FDR]&amp;FDR[[#Headers],[33]],FDR[33],"",0,1)</f>
        <v>2</v>
      </c>
      <c r="AT481" cm="1">
        <f t="array" ref="AT481">_xlfn.XLOOKUP(Matrix[[#This Row],[TEAM]]&amp;Matrix[[#Headers],[34]],FDR[FDR]&amp;FDR[[#Headers],[34]],FDR[34],"",0,1)</f>
        <v>2</v>
      </c>
      <c r="AU481" cm="1">
        <f t="array" ref="AU481">_xlfn.XLOOKUP(Matrix[[#This Row],[TEAM]]&amp;Matrix[[#Headers],[35]],FDR[FDR]&amp;FDR[[#Headers],[35]],FDR[35],"",0,1)</f>
        <v>1</v>
      </c>
      <c r="AV481" cm="1">
        <f t="array" ref="AV481">_xlfn.XLOOKUP(Matrix[[#This Row],[TEAM]]&amp;Matrix[[#Headers],[36]],FDR[FDR]&amp;FDR[[#Headers],[36]],FDR[36],"",0,1)</f>
        <v>4</v>
      </c>
      <c r="AW481" cm="1">
        <f t="array" ref="AW481">_xlfn.XLOOKUP(Matrix[[#This Row],[TEAM]]&amp;Matrix[[#Headers],[37]],FDR[FDR]&amp;FDR[[#Headers],[37]],FDR[37],"",0,1)</f>
        <v>2</v>
      </c>
      <c r="AX481" cm="1">
        <f t="array" ref="AX481">_xlfn.XLOOKUP(Matrix[[#This Row],[TEAM]]&amp;Matrix[[#Headers],[38]],FDR[FDR]&amp;FDR[[#Headers],[38]],FDR[38],"",0,1)</f>
        <v>1</v>
      </c>
    </row>
    <row r="482" spans="1:50" ht="22" thickTop="1" thickBot="1">
      <c r="A482" s="51" t="s">
        <v>657</v>
      </c>
      <c r="B482" s="70" t="s">
        <v>1871</v>
      </c>
      <c r="C482" s="40" t="s">
        <v>30</v>
      </c>
      <c r="D482" s="62">
        <v>4</v>
      </c>
      <c r="E482" s="60">
        <v>2E-3</v>
      </c>
      <c r="F482" s="61">
        <v>8.1999999999999993</v>
      </c>
      <c r="G482" s="63">
        <v>4</v>
      </c>
      <c r="H482" s="261">
        <f>IF(ISBLANK(I482),0,1)</f>
        <v>0</v>
      </c>
      <c r="I482" s="57"/>
      <c r="J482" s="58"/>
      <c r="K482" s="65" t="s">
        <v>351</v>
      </c>
      <c r="L482" s="65" t="s">
        <v>1119</v>
      </c>
      <c r="M482" cm="1">
        <f t="array" ref="M482">_xlfn.XLOOKUP(Matrix[[#This Row],[TEAM]]&amp;Matrix[[#Headers],[1]],FDR[FDR]&amp;FDR[[#Headers],[1]],FDR[1],"",0,1)</f>
        <v>3</v>
      </c>
      <c r="N482" cm="1">
        <f t="array" ref="N482">_xlfn.XLOOKUP(Matrix[[#This Row],[TEAM]]&amp;Matrix[[#Headers],[2]],FDR[FDR]&amp;FDR[[#Headers],[2]],FDR[2],"",0,1)</f>
        <v>2</v>
      </c>
      <c r="O482" cm="1">
        <f t="array" ref="O482">_xlfn.XLOOKUP(Matrix[[#This Row],[TEAM]]&amp;Matrix[[#Headers],[3]],FDR[FDR]&amp;FDR[[#Headers],[3]],FDR[3],"",0,1)</f>
        <v>1</v>
      </c>
      <c r="P482" cm="1">
        <f t="array" ref="P482">_xlfn.XLOOKUP(Matrix[[#This Row],[TEAM]]&amp;Matrix[[#Headers],[4]],FDR[FDR]&amp;FDR[[#Headers],[4]],FDR[4],"",0,1)</f>
        <v>4</v>
      </c>
      <c r="Q482" cm="1">
        <f t="array" ref="Q482">_xlfn.XLOOKUP(Matrix[[#This Row],[TEAM]]&amp;Matrix[[#Headers],[5]],FDR[FDR]&amp;FDR[[#Headers],[5]],FDR[5],"",0,1)</f>
        <v>3</v>
      </c>
      <c r="R482" cm="1">
        <f t="array" ref="R482">_xlfn.XLOOKUP(Matrix[[#This Row],[TEAM]]&amp;Matrix[[#Headers],[6]],FDR[FDR]&amp;FDR[[#Headers],[6]],FDR[6],"",0,1)</f>
        <v>2</v>
      </c>
      <c r="S482" cm="1">
        <f t="array" ref="S482">_xlfn.XLOOKUP(Matrix[[#This Row],[TEAM]]&amp;Matrix[[#Headers],[7]],FDR[FDR]&amp;FDR[[#Headers],[7]],FDR[7],"",0,1)</f>
        <v>1</v>
      </c>
      <c r="T482" cm="1">
        <f t="array" ref="T482">_xlfn.XLOOKUP(Matrix[[#This Row],[TEAM]]&amp;Matrix[[#Headers],[8]],FDR[FDR]&amp;FDR[[#Headers],[8]],FDR[8],"",0,1)</f>
        <v>4</v>
      </c>
      <c r="U482" cm="1">
        <f t="array" ref="U482">_xlfn.XLOOKUP(Matrix[[#This Row],[TEAM]]&amp;Matrix[[#Headers],[9]],FDR[FDR]&amp;FDR[[#Headers],[9]],FDR[9],"",0,1)</f>
        <v>1</v>
      </c>
      <c r="V482" cm="1">
        <f t="array" ref="V482">_xlfn.XLOOKUP(Matrix[[#This Row],[TEAM]]&amp;Matrix[[#Headers],[10]],FDR[FDR]&amp;FDR[[#Headers],[10]],FDR[10],"",0,1)</f>
        <v>2</v>
      </c>
      <c r="W482" cm="1">
        <f t="array" ref="W482">_xlfn.XLOOKUP(Matrix[[#This Row],[TEAM]]&amp;Matrix[[#Headers],[11]],FDR[FDR]&amp;FDR[[#Headers],[11]],FDR[11],"",0,1)</f>
        <v>4</v>
      </c>
      <c r="X482" cm="1">
        <f t="array" ref="X482">_xlfn.XLOOKUP(Matrix[[#This Row],[TEAM]]&amp;Matrix[[#Headers],[12]],FDR[FDR]&amp;FDR[[#Headers],[12]],FDR[12],"",0,1)</f>
        <v>1</v>
      </c>
      <c r="Y482" cm="1">
        <f t="array" ref="Y482">_xlfn.XLOOKUP(Matrix[[#This Row],[TEAM]]&amp;Matrix[[#Headers],[13]],FDR[FDR]&amp;FDR[[#Headers],[13]],FDR[13],"",0,1)</f>
        <v>2</v>
      </c>
      <c r="Z482" cm="1">
        <f t="array" ref="Z482">_xlfn.XLOOKUP(Matrix[[#This Row],[TEAM]]&amp;Matrix[[#Headers],[14]],FDR[FDR]&amp;FDR[[#Headers],[14]],FDR[14],"",0,1)</f>
        <v>1</v>
      </c>
      <c r="AA482" cm="1">
        <f t="array" ref="AA482">_xlfn.XLOOKUP(Matrix[[#This Row],[TEAM]]&amp;Matrix[[#Headers],[15]],FDR[FDR]&amp;FDR[[#Headers],[15]],FDR[15],"",0,1)</f>
        <v>1</v>
      </c>
      <c r="AB482" cm="1">
        <f t="array" ref="AB482">_xlfn.XLOOKUP(Matrix[[#This Row],[TEAM]]&amp;Matrix[[#Headers],[16]],FDR[FDR]&amp;FDR[[#Headers],[16]],FDR[16],"",0,1)</f>
        <v>1</v>
      </c>
      <c r="AC482" cm="1">
        <f t="array" ref="AC482">_xlfn.XLOOKUP(Matrix[[#This Row],[TEAM]]&amp;Matrix[[#Headers],[17]],FDR[FDR]&amp;FDR[[#Headers],[17]],FDR[17],"",0,1)</f>
        <v>3</v>
      </c>
      <c r="AD482" cm="1">
        <f t="array" ref="AD482">_xlfn.XLOOKUP(Matrix[[#This Row],[TEAM]]&amp;Matrix[[#Headers],[18]],FDR[FDR]&amp;FDR[[#Headers],[18]],FDR[18],"",0,1)</f>
        <v>2</v>
      </c>
      <c r="AE482" cm="1">
        <f t="array" ref="AE482">_xlfn.XLOOKUP(Matrix[[#This Row],[TEAM]]&amp;Matrix[[#Headers],[19]],FDR[FDR]&amp;FDR[[#Headers],[19]],FDR[19],"",0,1)</f>
        <v>1</v>
      </c>
      <c r="AF482" cm="1">
        <f t="array" ref="AF482">_xlfn.XLOOKUP(Matrix[[#This Row],[TEAM]]&amp;Matrix[[#Headers],[20]],FDR[FDR]&amp;FDR[[#Headers],[20]],FDR[20],"",0,1)</f>
        <v>1</v>
      </c>
      <c r="AG482" cm="1">
        <f t="array" ref="AG482">_xlfn.XLOOKUP(Matrix[[#This Row],[TEAM]]&amp;Matrix[[#Headers],[21]],FDR[FDR]&amp;FDR[[#Headers],[21]],FDR[21],"",0,1)</f>
        <v>1</v>
      </c>
      <c r="AH482" cm="1">
        <f t="array" ref="AH482">_xlfn.XLOOKUP(Matrix[[#This Row],[TEAM]]&amp;Matrix[[#Headers],[22]],FDR[FDR]&amp;FDR[[#Headers],[22]],FDR[22],"",0,1)</f>
        <v>3</v>
      </c>
      <c r="AI482" cm="1">
        <f t="array" ref="AI482">_xlfn.XLOOKUP(Matrix[[#This Row],[TEAM]]&amp;Matrix[[#Headers],[23]],FDR[FDR]&amp;FDR[[#Headers],[23]],FDR[23],"",0,1)</f>
        <v>4</v>
      </c>
      <c r="AJ482" cm="1">
        <f t="array" ref="AJ482">_xlfn.XLOOKUP(Matrix[[#This Row],[TEAM]]&amp;Matrix[[#Headers],[24]],FDR[FDR]&amp;FDR[[#Headers],[24]],FDR[24],"",0,1)</f>
        <v>1</v>
      </c>
      <c r="AK482" cm="1">
        <f t="array" ref="AK482">_xlfn.XLOOKUP(Matrix[[#This Row],[TEAM]]&amp;Matrix[[#Headers],[25]],FDR[FDR]&amp;FDR[[#Headers],[25]],FDR[25],"",0,1)</f>
        <v>3</v>
      </c>
      <c r="AL482" cm="1">
        <f t="array" ref="AL482">_xlfn.XLOOKUP(Matrix[[#This Row],[TEAM]]&amp;Matrix[[#Headers],[26]],FDR[FDR]&amp;FDR[[#Headers],[26]],FDR[26],"",0,1)</f>
        <v>2</v>
      </c>
      <c r="AM482" cm="1">
        <f t="array" ref="AM482">_xlfn.XLOOKUP(Matrix[[#This Row],[TEAM]]&amp;Matrix[[#Headers],[27]],FDR[FDR]&amp;FDR[[#Headers],[27]],FDR[27],"",0,1)</f>
        <v>2</v>
      </c>
      <c r="AN482" cm="1">
        <f t="array" ref="AN482">_xlfn.XLOOKUP(Matrix[[#This Row],[TEAM]]&amp;Matrix[[#Headers],[28]],FDR[FDR]&amp;FDR[[#Headers],[28]],FDR[28],"",0,1)</f>
        <v>1</v>
      </c>
      <c r="AO482" cm="1">
        <f t="array" ref="AO482">_xlfn.XLOOKUP(Matrix[[#This Row],[TEAM]]&amp;Matrix[[#Headers],[29]],FDR[FDR]&amp;FDR[[#Headers],[29]],FDR[29],"",0,1)</f>
        <v>3</v>
      </c>
      <c r="AP482" cm="1">
        <f t="array" ref="AP482">_xlfn.XLOOKUP(Matrix[[#This Row],[TEAM]]&amp;Matrix[[#Headers],[30]],FDR[FDR]&amp;FDR[[#Headers],[30]],FDR[30],"",0,1)</f>
        <v>2</v>
      </c>
      <c r="AQ482" cm="1">
        <f t="array" ref="AQ482">_xlfn.XLOOKUP(Matrix[[#This Row],[TEAM]]&amp;Matrix[[#Headers],[31]],FDR[FDR]&amp;FDR[[#Headers],[31]],FDR[31],"",0,1)</f>
        <v>2</v>
      </c>
      <c r="AR482" cm="1">
        <f t="array" ref="AR482">_xlfn.XLOOKUP(Matrix[[#This Row],[TEAM]]&amp;Matrix[[#Headers],[32]],FDR[FDR]&amp;FDR[[#Headers],[32]],FDR[32],"",0,1)</f>
        <v>1</v>
      </c>
      <c r="AS482" cm="1">
        <f t="array" ref="AS482">_xlfn.XLOOKUP(Matrix[[#This Row],[TEAM]]&amp;Matrix[[#Headers],[33]],FDR[FDR]&amp;FDR[[#Headers],[33]],FDR[33],"",0,1)</f>
        <v>4</v>
      </c>
      <c r="AT482" cm="1">
        <f t="array" ref="AT482">_xlfn.XLOOKUP(Matrix[[#This Row],[TEAM]]&amp;Matrix[[#Headers],[34]],FDR[FDR]&amp;FDR[[#Headers],[34]],FDR[34],"",0,1)</f>
        <v>1</v>
      </c>
      <c r="AU482" cm="1">
        <f t="array" ref="AU482">_xlfn.XLOOKUP(Matrix[[#This Row],[TEAM]]&amp;Matrix[[#Headers],[35]],FDR[FDR]&amp;FDR[[#Headers],[35]],FDR[35],"",0,1)</f>
        <v>3</v>
      </c>
      <c r="AV482" cm="1">
        <f t="array" ref="AV482">_xlfn.XLOOKUP(Matrix[[#This Row],[TEAM]]&amp;Matrix[[#Headers],[36]],FDR[FDR]&amp;FDR[[#Headers],[36]],FDR[36],"",0,1)</f>
        <v>1</v>
      </c>
      <c r="AW482" cm="1">
        <f t="array" ref="AW482">_xlfn.XLOOKUP(Matrix[[#This Row],[TEAM]]&amp;Matrix[[#Headers],[37]],FDR[FDR]&amp;FDR[[#Headers],[37]],FDR[37],"",0,1)</f>
        <v>1</v>
      </c>
      <c r="AX482" cm="1">
        <f t="array" ref="AX482">_xlfn.XLOOKUP(Matrix[[#This Row],[TEAM]]&amp;Matrix[[#Headers],[38]],FDR[FDR]&amp;FDR[[#Headers],[38]],FDR[38],"",0,1)</f>
        <v>2</v>
      </c>
    </row>
    <row r="483" spans="1:50" ht="22" thickTop="1" thickBot="1">
      <c r="A483" s="51" t="s">
        <v>657</v>
      </c>
      <c r="B483" s="70" t="s">
        <v>1833</v>
      </c>
      <c r="C483" s="40" t="s">
        <v>43</v>
      </c>
      <c r="D483" s="62">
        <v>3</v>
      </c>
      <c r="E483" s="60">
        <v>3.0000000000000001E-3</v>
      </c>
      <c r="F483" s="61">
        <v>0.4</v>
      </c>
      <c r="G483" s="63">
        <v>4</v>
      </c>
      <c r="H483" s="261">
        <f>IF(ISBLANK(I483),0,1)</f>
        <v>0</v>
      </c>
      <c r="I483" s="57"/>
      <c r="J483" s="58"/>
      <c r="K483" s="65" t="s">
        <v>489</v>
      </c>
      <c r="L483" s="65" t="s">
        <v>701</v>
      </c>
      <c r="M483" cm="1">
        <f t="array" ref="M483">_xlfn.XLOOKUP(Matrix[[#This Row],[TEAM]]&amp;Matrix[[#Headers],[1]],FDR[FDR]&amp;FDR[[#Headers],[1]],FDR[1],"",0,1)</f>
        <v>5</v>
      </c>
      <c r="N483" cm="1">
        <f t="array" ref="N483">_xlfn.XLOOKUP(Matrix[[#This Row],[TEAM]]&amp;Matrix[[#Headers],[2]],FDR[FDR]&amp;FDR[[#Headers],[2]],FDR[2],"",0,1)</f>
        <v>1</v>
      </c>
      <c r="O483" cm="1">
        <f t="array" ref="O483">_xlfn.XLOOKUP(Matrix[[#This Row],[TEAM]]&amp;Matrix[[#Headers],[3]],FDR[FDR]&amp;FDR[[#Headers],[3]],FDR[3],"",0,1)</f>
        <v>5</v>
      </c>
      <c r="P483" cm="1">
        <f t="array" ref="P483">_xlfn.XLOOKUP(Matrix[[#This Row],[TEAM]]&amp;Matrix[[#Headers],[4]],FDR[FDR]&amp;FDR[[#Headers],[4]],FDR[4],"",0,1)</f>
        <v>3</v>
      </c>
      <c r="Q483" cm="1">
        <f t="array" ref="Q483">_xlfn.XLOOKUP(Matrix[[#This Row],[TEAM]]&amp;Matrix[[#Headers],[5]],FDR[FDR]&amp;FDR[[#Headers],[5]],FDR[5],"",0,1)</f>
        <v>4</v>
      </c>
      <c r="R483" cm="1">
        <f t="array" ref="R483">_xlfn.XLOOKUP(Matrix[[#This Row],[TEAM]]&amp;Matrix[[#Headers],[6]],FDR[FDR]&amp;FDR[[#Headers],[6]],FDR[6],"",0,1)</f>
        <v>2</v>
      </c>
      <c r="S483" cm="1">
        <f t="array" ref="S483">_xlfn.XLOOKUP(Matrix[[#This Row],[TEAM]]&amp;Matrix[[#Headers],[7]],FDR[FDR]&amp;FDR[[#Headers],[7]],FDR[7],"",0,1)</f>
        <v>3</v>
      </c>
      <c r="T483" cm="1">
        <f t="array" ref="T483">_xlfn.XLOOKUP(Matrix[[#This Row],[TEAM]]&amp;Matrix[[#Headers],[8]],FDR[FDR]&amp;FDR[[#Headers],[8]],FDR[8],"",0,1)</f>
        <v>3</v>
      </c>
      <c r="U483" cm="1">
        <f t="array" ref="U483">_xlfn.XLOOKUP(Matrix[[#This Row],[TEAM]]&amp;Matrix[[#Headers],[9]],FDR[FDR]&amp;FDR[[#Headers],[9]],FDR[9],"",0,1)</f>
        <v>3</v>
      </c>
      <c r="V483" cm="1">
        <f t="array" ref="V483">_xlfn.XLOOKUP(Matrix[[#This Row],[TEAM]]&amp;Matrix[[#Headers],[10]],FDR[FDR]&amp;FDR[[#Headers],[10]],FDR[10],"",0,1)</f>
        <v>5</v>
      </c>
      <c r="W483" cm="1">
        <f t="array" ref="W483">_xlfn.XLOOKUP(Matrix[[#This Row],[TEAM]]&amp;Matrix[[#Headers],[11]],FDR[FDR]&amp;FDR[[#Headers],[11]],FDR[11],"",0,1)</f>
        <v>5</v>
      </c>
      <c r="X483" cm="1">
        <f t="array" ref="X483">_xlfn.XLOOKUP(Matrix[[#This Row],[TEAM]]&amp;Matrix[[#Headers],[12]],FDR[FDR]&amp;FDR[[#Headers],[12]],FDR[12],"",0,1)</f>
        <v>2</v>
      </c>
      <c r="Y483" cm="1">
        <f t="array" ref="Y483">_xlfn.XLOOKUP(Matrix[[#This Row],[TEAM]]&amp;Matrix[[#Headers],[13]],FDR[FDR]&amp;FDR[[#Headers],[13]],FDR[13],"",0,1)</f>
        <v>2</v>
      </c>
      <c r="Z483" cm="1">
        <f t="array" ref="Z483">_xlfn.XLOOKUP(Matrix[[#This Row],[TEAM]]&amp;Matrix[[#Headers],[14]],FDR[FDR]&amp;FDR[[#Headers],[14]],FDR[14],"",0,1)</f>
        <v>2</v>
      </c>
      <c r="AA483" cm="1">
        <f t="array" ref="AA483">_xlfn.XLOOKUP(Matrix[[#This Row],[TEAM]]&amp;Matrix[[#Headers],[15]],FDR[FDR]&amp;FDR[[#Headers],[15]],FDR[15],"",0,1)</f>
        <v>4</v>
      </c>
      <c r="AB483" cm="1">
        <f t="array" ref="AB483">_xlfn.XLOOKUP(Matrix[[#This Row],[TEAM]]&amp;Matrix[[#Headers],[16]],FDR[FDR]&amp;FDR[[#Headers],[16]],FDR[16],"",0,1)</f>
        <v>5</v>
      </c>
      <c r="AC483" cm="1">
        <f t="array" ref="AC483">_xlfn.XLOOKUP(Matrix[[#This Row],[TEAM]]&amp;Matrix[[#Headers],[17]],FDR[FDR]&amp;FDR[[#Headers],[17]],FDR[17],"",0,1)</f>
        <v>1</v>
      </c>
      <c r="AD483" cm="1">
        <f t="array" ref="AD483">_xlfn.XLOOKUP(Matrix[[#This Row],[TEAM]]&amp;Matrix[[#Headers],[18]],FDR[FDR]&amp;FDR[[#Headers],[18]],FDR[18],"",0,1)</f>
        <v>3</v>
      </c>
      <c r="AE483" cm="1">
        <f t="array" ref="AE483">_xlfn.XLOOKUP(Matrix[[#This Row],[TEAM]]&amp;Matrix[[#Headers],[19]],FDR[FDR]&amp;FDR[[#Headers],[19]],FDR[19],"",0,1)</f>
        <v>5</v>
      </c>
      <c r="AF483" cm="1">
        <f t="array" ref="AF483">_xlfn.XLOOKUP(Matrix[[#This Row],[TEAM]]&amp;Matrix[[#Headers],[20]],FDR[FDR]&amp;FDR[[#Headers],[20]],FDR[20],"",0,1)</f>
        <v>4</v>
      </c>
      <c r="AG483" cm="1">
        <f t="array" ref="AG483">_xlfn.XLOOKUP(Matrix[[#This Row],[TEAM]]&amp;Matrix[[#Headers],[21]],FDR[FDR]&amp;FDR[[#Headers],[21]],FDR[21],"",0,1)</f>
        <v>4</v>
      </c>
      <c r="AH483" cm="1">
        <f t="array" ref="AH483">_xlfn.XLOOKUP(Matrix[[#This Row],[TEAM]]&amp;Matrix[[#Headers],[22]],FDR[FDR]&amp;FDR[[#Headers],[22]],FDR[22],"",0,1)</f>
        <v>4</v>
      </c>
      <c r="AI483" cm="1">
        <f t="array" ref="AI483">_xlfn.XLOOKUP(Matrix[[#This Row],[TEAM]]&amp;Matrix[[#Headers],[23]],FDR[FDR]&amp;FDR[[#Headers],[23]],FDR[23],"",0,1)</f>
        <v>4</v>
      </c>
      <c r="AJ483" cm="1">
        <f t="array" ref="AJ483">_xlfn.XLOOKUP(Matrix[[#This Row],[TEAM]]&amp;Matrix[[#Headers],[24]],FDR[FDR]&amp;FDR[[#Headers],[24]],FDR[24],"",0,1)</f>
        <v>2</v>
      </c>
      <c r="AK483" cm="1">
        <f t="array" ref="AK483">_xlfn.XLOOKUP(Matrix[[#This Row],[TEAM]]&amp;Matrix[[#Headers],[25]],FDR[FDR]&amp;FDR[[#Headers],[25]],FDR[25],"",0,1)</f>
        <v>3</v>
      </c>
      <c r="AL483" cm="1">
        <f t="array" ref="AL483">_xlfn.XLOOKUP(Matrix[[#This Row],[TEAM]]&amp;Matrix[[#Headers],[26]],FDR[FDR]&amp;FDR[[#Headers],[26]],FDR[26],"",0,1)</f>
        <v>3</v>
      </c>
      <c r="AM483" cm="1">
        <f t="array" ref="AM483">_xlfn.XLOOKUP(Matrix[[#This Row],[TEAM]]&amp;Matrix[[#Headers],[27]],FDR[FDR]&amp;FDR[[#Headers],[27]],FDR[27],"",0,1)</f>
        <v>3</v>
      </c>
      <c r="AN483" cm="1">
        <f t="array" ref="AN483">_xlfn.XLOOKUP(Matrix[[#This Row],[TEAM]]&amp;Matrix[[#Headers],[28]],FDR[FDR]&amp;FDR[[#Headers],[28]],FDR[28],"",0,1)</f>
        <v>1</v>
      </c>
      <c r="AO483" cm="1">
        <f t="array" ref="AO483">_xlfn.XLOOKUP(Matrix[[#This Row],[TEAM]]&amp;Matrix[[#Headers],[29]],FDR[FDR]&amp;FDR[[#Headers],[29]],FDR[29],"",0,1)</f>
        <v>2</v>
      </c>
      <c r="AP483" cm="1">
        <f t="array" ref="AP483">_xlfn.XLOOKUP(Matrix[[#This Row],[TEAM]]&amp;Matrix[[#Headers],[30]],FDR[FDR]&amp;FDR[[#Headers],[30]],FDR[30],"",0,1)</f>
        <v>2</v>
      </c>
      <c r="AQ483" cm="1">
        <f t="array" ref="AQ483">_xlfn.XLOOKUP(Matrix[[#This Row],[TEAM]]&amp;Matrix[[#Headers],[31]],FDR[FDR]&amp;FDR[[#Headers],[31]],FDR[31],"",0,1)</f>
        <v>4</v>
      </c>
      <c r="AR483" cm="1">
        <f t="array" ref="AR483">_xlfn.XLOOKUP(Matrix[[#This Row],[TEAM]]&amp;Matrix[[#Headers],[32]],FDR[FDR]&amp;FDR[[#Headers],[32]],FDR[32],"",0,1)</f>
        <v>5</v>
      </c>
      <c r="AS483" cm="1">
        <f t="array" ref="AS483">_xlfn.XLOOKUP(Matrix[[#This Row],[TEAM]]&amp;Matrix[[#Headers],[33]],FDR[FDR]&amp;FDR[[#Headers],[33]],FDR[33],"",0,1)</f>
        <v>5</v>
      </c>
      <c r="AT483" cm="1">
        <f t="array" ref="AT483">_xlfn.XLOOKUP(Matrix[[#This Row],[TEAM]]&amp;Matrix[[#Headers],[34]],FDR[FDR]&amp;FDR[[#Headers],[34]],FDR[34],"",0,1)</f>
        <v>1</v>
      </c>
      <c r="AU483" cm="1">
        <f t="array" ref="AU483">_xlfn.XLOOKUP(Matrix[[#This Row],[TEAM]]&amp;Matrix[[#Headers],[35]],FDR[FDR]&amp;FDR[[#Headers],[35]],FDR[35],"",0,1)</f>
        <v>2</v>
      </c>
      <c r="AV483" cm="1">
        <f t="array" ref="AV483">_xlfn.XLOOKUP(Matrix[[#This Row],[TEAM]]&amp;Matrix[[#Headers],[36]],FDR[FDR]&amp;FDR[[#Headers],[36]],FDR[36],"",0,1)</f>
        <v>4</v>
      </c>
      <c r="AW483" cm="1">
        <f t="array" ref="AW483">_xlfn.XLOOKUP(Matrix[[#This Row],[TEAM]]&amp;Matrix[[#Headers],[37]],FDR[FDR]&amp;FDR[[#Headers],[37]],FDR[37],"",0,1)</f>
        <v>4</v>
      </c>
      <c r="AX483" cm="1">
        <f t="array" ref="AX483">_xlfn.XLOOKUP(Matrix[[#This Row],[TEAM]]&amp;Matrix[[#Headers],[38]],FDR[FDR]&amp;FDR[[#Headers],[38]],FDR[38],"",0,1)</f>
        <v>4</v>
      </c>
    </row>
    <row r="484" spans="1:50" ht="22" thickTop="1" thickBot="1">
      <c r="A484" s="51" t="s">
        <v>657</v>
      </c>
      <c r="B484" s="70" t="s">
        <v>1850</v>
      </c>
      <c r="C484" s="40" t="s">
        <v>21</v>
      </c>
      <c r="D484" s="62">
        <v>3</v>
      </c>
      <c r="E484" s="60">
        <v>2E-3</v>
      </c>
      <c r="F484" s="61">
        <v>0.6</v>
      </c>
      <c r="G484" s="63">
        <v>4</v>
      </c>
      <c r="H484" s="261">
        <f>IF(ISBLANK(I484),0,1)</f>
        <v>0</v>
      </c>
      <c r="I484" s="57"/>
      <c r="J484" s="58"/>
      <c r="K484" s="65" t="s">
        <v>1023</v>
      </c>
      <c r="L484" s="65" t="s">
        <v>1024</v>
      </c>
      <c r="M484" cm="1">
        <f t="array" ref="M484">_xlfn.XLOOKUP(Matrix[[#This Row],[TEAM]]&amp;Matrix[[#Headers],[1]],FDR[FDR]&amp;FDR[[#Headers],[1]],FDR[1],"",0,1)</f>
        <v>4</v>
      </c>
      <c r="N484" cm="1">
        <f t="array" ref="N484">_xlfn.XLOOKUP(Matrix[[#This Row],[TEAM]]&amp;Matrix[[#Headers],[2]],FDR[FDR]&amp;FDR[[#Headers],[2]],FDR[2],"",0,1)</f>
        <v>4</v>
      </c>
      <c r="O484" cm="1">
        <f t="array" ref="O484">_xlfn.XLOOKUP(Matrix[[#This Row],[TEAM]]&amp;Matrix[[#Headers],[3]],FDR[FDR]&amp;FDR[[#Headers],[3]],FDR[3],"",0,1)</f>
        <v>2</v>
      </c>
      <c r="P484" cm="1">
        <f t="array" ref="P484">_xlfn.XLOOKUP(Matrix[[#This Row],[TEAM]]&amp;Matrix[[#Headers],[4]],FDR[FDR]&amp;FDR[[#Headers],[4]],FDR[4],"",0,1)</f>
        <v>4</v>
      </c>
      <c r="Q484" cm="1">
        <f t="array" ref="Q484">_xlfn.XLOOKUP(Matrix[[#This Row],[TEAM]]&amp;Matrix[[#Headers],[5]],FDR[FDR]&amp;FDR[[#Headers],[5]],FDR[5],"",0,1)</f>
        <v>4</v>
      </c>
      <c r="R484" cm="1">
        <f t="array" ref="R484">_xlfn.XLOOKUP(Matrix[[#This Row],[TEAM]]&amp;Matrix[[#Headers],[6]],FDR[FDR]&amp;FDR[[#Headers],[6]],FDR[6],"",0,1)</f>
        <v>4</v>
      </c>
      <c r="S484" cm="1">
        <f t="array" ref="S484">_xlfn.XLOOKUP(Matrix[[#This Row],[TEAM]]&amp;Matrix[[#Headers],[7]],FDR[FDR]&amp;FDR[[#Headers],[7]],FDR[7],"",0,1)</f>
        <v>4</v>
      </c>
      <c r="T484" cm="1">
        <f t="array" ref="T484">_xlfn.XLOOKUP(Matrix[[#This Row],[TEAM]]&amp;Matrix[[#Headers],[8]],FDR[FDR]&amp;FDR[[#Headers],[8]],FDR[8],"",0,1)</f>
        <v>4</v>
      </c>
      <c r="U484" cm="1">
        <f t="array" ref="U484">_xlfn.XLOOKUP(Matrix[[#This Row],[TEAM]]&amp;Matrix[[#Headers],[9]],FDR[FDR]&amp;FDR[[#Headers],[9]],FDR[9],"",0,1)</f>
        <v>4</v>
      </c>
      <c r="V484" cm="1">
        <f t="array" ref="V484">_xlfn.XLOOKUP(Matrix[[#This Row],[TEAM]]&amp;Matrix[[#Headers],[10]],FDR[FDR]&amp;FDR[[#Headers],[10]],FDR[10],"",0,1)</f>
        <v>4</v>
      </c>
      <c r="W484" cm="1">
        <f t="array" ref="W484">_xlfn.XLOOKUP(Matrix[[#This Row],[TEAM]]&amp;Matrix[[#Headers],[11]],FDR[FDR]&amp;FDR[[#Headers],[11]],FDR[11],"",0,1)</f>
        <v>4</v>
      </c>
      <c r="X484" cm="1">
        <f t="array" ref="X484">_xlfn.XLOOKUP(Matrix[[#This Row],[TEAM]]&amp;Matrix[[#Headers],[12]],FDR[FDR]&amp;FDR[[#Headers],[12]],FDR[12],"",0,1)</f>
        <v>4</v>
      </c>
      <c r="Y484" cm="1">
        <f t="array" ref="Y484">_xlfn.XLOOKUP(Matrix[[#This Row],[TEAM]]&amp;Matrix[[#Headers],[13]],FDR[FDR]&amp;FDR[[#Headers],[13]],FDR[13],"",0,1)</f>
        <v>1</v>
      </c>
      <c r="Z484" cm="1">
        <f t="array" ref="Z484">_xlfn.XLOOKUP(Matrix[[#This Row],[TEAM]]&amp;Matrix[[#Headers],[14]],FDR[FDR]&amp;FDR[[#Headers],[14]],FDR[14],"",0,1)</f>
        <v>5</v>
      </c>
      <c r="AA484" cm="1">
        <f t="array" ref="AA484">_xlfn.XLOOKUP(Matrix[[#This Row],[TEAM]]&amp;Matrix[[#Headers],[15]],FDR[FDR]&amp;FDR[[#Headers],[15]],FDR[15],"",0,1)</f>
        <v>5</v>
      </c>
      <c r="AB484" cm="1">
        <f t="array" ref="AB484">_xlfn.XLOOKUP(Matrix[[#This Row],[TEAM]]&amp;Matrix[[#Headers],[16]],FDR[FDR]&amp;FDR[[#Headers],[16]],FDR[16],"",0,1)</f>
        <v>1</v>
      </c>
      <c r="AC484" cm="1">
        <f t="array" ref="AC484">_xlfn.XLOOKUP(Matrix[[#This Row],[TEAM]]&amp;Matrix[[#Headers],[17]],FDR[FDR]&amp;FDR[[#Headers],[17]],FDR[17],"",0,1)</f>
        <v>2</v>
      </c>
      <c r="AD484" cm="1">
        <f t="array" ref="AD484">_xlfn.XLOOKUP(Matrix[[#This Row],[TEAM]]&amp;Matrix[[#Headers],[18]],FDR[FDR]&amp;FDR[[#Headers],[18]],FDR[18],"",0,1)</f>
        <v>3</v>
      </c>
      <c r="AE484" cm="1">
        <f t="array" ref="AE484">_xlfn.XLOOKUP(Matrix[[#This Row],[TEAM]]&amp;Matrix[[#Headers],[19]],FDR[FDR]&amp;FDR[[#Headers],[19]],FDR[19],"",0,1)</f>
        <v>4</v>
      </c>
      <c r="AF484" cm="1">
        <f t="array" ref="AF484">_xlfn.XLOOKUP(Matrix[[#This Row],[TEAM]]&amp;Matrix[[#Headers],[20]],FDR[FDR]&amp;FDR[[#Headers],[20]],FDR[20],"",0,1)</f>
        <v>4</v>
      </c>
      <c r="AG484" cm="1">
        <f t="array" ref="AG484">_xlfn.XLOOKUP(Matrix[[#This Row],[TEAM]]&amp;Matrix[[#Headers],[21]],FDR[FDR]&amp;FDR[[#Headers],[21]],FDR[21],"",0,1)</f>
        <v>1</v>
      </c>
      <c r="AH484" cm="1">
        <f t="array" ref="AH484">_xlfn.XLOOKUP(Matrix[[#This Row],[TEAM]]&amp;Matrix[[#Headers],[22]],FDR[FDR]&amp;FDR[[#Headers],[22]],FDR[22],"",0,1)</f>
        <v>5</v>
      </c>
      <c r="AI484" cm="1">
        <f t="array" ref="AI484">_xlfn.XLOOKUP(Matrix[[#This Row],[TEAM]]&amp;Matrix[[#Headers],[23]],FDR[FDR]&amp;FDR[[#Headers],[23]],FDR[23],"",0,1)</f>
        <v>3</v>
      </c>
      <c r="AJ484" cm="1">
        <f t="array" ref="AJ484">_xlfn.XLOOKUP(Matrix[[#This Row],[TEAM]]&amp;Matrix[[#Headers],[24]],FDR[FDR]&amp;FDR[[#Headers],[24]],FDR[24],"",0,1)</f>
        <v>5</v>
      </c>
      <c r="AK484" cm="1">
        <f t="array" ref="AK484">_xlfn.XLOOKUP(Matrix[[#This Row],[TEAM]]&amp;Matrix[[#Headers],[25]],FDR[FDR]&amp;FDR[[#Headers],[25]],FDR[25],"",0,1)</f>
        <v>5</v>
      </c>
      <c r="AL484" cm="1">
        <f t="array" ref="AL484">_xlfn.XLOOKUP(Matrix[[#This Row],[TEAM]]&amp;Matrix[[#Headers],[26]],FDR[FDR]&amp;FDR[[#Headers],[26]],FDR[26],"",0,1)</f>
        <v>4</v>
      </c>
      <c r="AM484" cm="1">
        <f t="array" ref="AM484">_xlfn.XLOOKUP(Matrix[[#This Row],[TEAM]]&amp;Matrix[[#Headers],[27]],FDR[FDR]&amp;FDR[[#Headers],[27]],FDR[27],"",0,1)</f>
        <v>3</v>
      </c>
      <c r="AN484" cm="1">
        <f t="array" ref="AN484">_xlfn.XLOOKUP(Matrix[[#This Row],[TEAM]]&amp;Matrix[[#Headers],[28]],FDR[FDR]&amp;FDR[[#Headers],[28]],FDR[28],"",0,1)</f>
        <v>2</v>
      </c>
      <c r="AO484" cm="1">
        <f t="array" ref="AO484">_xlfn.XLOOKUP(Matrix[[#This Row],[TEAM]]&amp;Matrix[[#Headers],[29]],FDR[FDR]&amp;FDR[[#Headers],[29]],FDR[29],"",0,1)</f>
        <v>4</v>
      </c>
      <c r="AP484" cm="1">
        <f t="array" ref="AP484">_xlfn.XLOOKUP(Matrix[[#This Row],[TEAM]]&amp;Matrix[[#Headers],[30]],FDR[FDR]&amp;FDR[[#Headers],[30]],FDR[30],"",0,1)</f>
        <v>2</v>
      </c>
      <c r="AQ484" cm="1">
        <f t="array" ref="AQ484">_xlfn.XLOOKUP(Matrix[[#This Row],[TEAM]]&amp;Matrix[[#Headers],[31]],FDR[FDR]&amp;FDR[[#Headers],[31]],FDR[31],"",0,1)</f>
        <v>2</v>
      </c>
      <c r="AR484" cm="1">
        <f t="array" ref="AR484">_xlfn.XLOOKUP(Matrix[[#This Row],[TEAM]]&amp;Matrix[[#Headers],[32]],FDR[FDR]&amp;FDR[[#Headers],[32]],FDR[32],"",0,1)</f>
        <v>3</v>
      </c>
      <c r="AS484" cm="1">
        <f t="array" ref="AS484">_xlfn.XLOOKUP(Matrix[[#This Row],[TEAM]]&amp;Matrix[[#Headers],[33]],FDR[FDR]&amp;FDR[[#Headers],[33]],FDR[33],"",0,1)</f>
        <v>3</v>
      </c>
      <c r="AT484" cm="1">
        <f t="array" ref="AT484">_xlfn.XLOOKUP(Matrix[[#This Row],[TEAM]]&amp;Matrix[[#Headers],[34]],FDR[FDR]&amp;FDR[[#Headers],[34]],FDR[34],"",0,1)</f>
        <v>5</v>
      </c>
      <c r="AU484" cm="1">
        <f t="array" ref="AU484">_xlfn.XLOOKUP(Matrix[[#This Row],[TEAM]]&amp;Matrix[[#Headers],[35]],FDR[FDR]&amp;FDR[[#Headers],[35]],FDR[35],"",0,1)</f>
        <v>3</v>
      </c>
      <c r="AV484" cm="1">
        <f t="array" ref="AV484">_xlfn.XLOOKUP(Matrix[[#This Row],[TEAM]]&amp;Matrix[[#Headers],[36]],FDR[FDR]&amp;FDR[[#Headers],[36]],FDR[36],"",0,1)</f>
        <v>5</v>
      </c>
      <c r="AW484" cm="1">
        <f t="array" ref="AW484">_xlfn.XLOOKUP(Matrix[[#This Row],[TEAM]]&amp;Matrix[[#Headers],[37]],FDR[FDR]&amp;FDR[[#Headers],[37]],FDR[37],"",0,1)</f>
        <v>3</v>
      </c>
      <c r="AX484" cm="1">
        <f t="array" ref="AX484">_xlfn.XLOOKUP(Matrix[[#This Row],[TEAM]]&amp;Matrix[[#Headers],[38]],FDR[FDR]&amp;FDR[[#Headers],[38]],FDR[38],"",0,1)</f>
        <v>5</v>
      </c>
    </row>
    <row r="485" spans="1:50" ht="22" thickTop="1" thickBot="1">
      <c r="A485" s="51" t="s">
        <v>657</v>
      </c>
      <c r="B485" s="70" t="s">
        <v>1872</v>
      </c>
      <c r="C485" s="40" t="s">
        <v>30</v>
      </c>
      <c r="D485" s="62">
        <v>2</v>
      </c>
      <c r="E485" s="60">
        <v>2E-3</v>
      </c>
      <c r="F485" s="61">
        <v>4.4000000000000004</v>
      </c>
      <c r="G485" s="63">
        <v>4</v>
      </c>
      <c r="H485" s="261">
        <f>IF(ISBLANK(I485),0,1)</f>
        <v>0</v>
      </c>
      <c r="I485" s="57"/>
      <c r="J485" s="58"/>
      <c r="K485" s="65" t="s">
        <v>823</v>
      </c>
      <c r="L485" s="65" t="s">
        <v>1120</v>
      </c>
      <c r="M485" cm="1">
        <f t="array" ref="M485">_xlfn.XLOOKUP(Matrix[[#This Row],[TEAM]]&amp;Matrix[[#Headers],[1]],FDR[FDR]&amp;FDR[[#Headers],[1]],FDR[1],"",0,1)</f>
        <v>3</v>
      </c>
      <c r="N485" cm="1">
        <f t="array" ref="N485">_xlfn.XLOOKUP(Matrix[[#This Row],[TEAM]]&amp;Matrix[[#Headers],[2]],FDR[FDR]&amp;FDR[[#Headers],[2]],FDR[2],"",0,1)</f>
        <v>2</v>
      </c>
      <c r="O485" cm="1">
        <f t="array" ref="O485">_xlfn.XLOOKUP(Matrix[[#This Row],[TEAM]]&amp;Matrix[[#Headers],[3]],FDR[FDR]&amp;FDR[[#Headers],[3]],FDR[3],"",0,1)</f>
        <v>1</v>
      </c>
      <c r="P485" cm="1">
        <f t="array" ref="P485">_xlfn.XLOOKUP(Matrix[[#This Row],[TEAM]]&amp;Matrix[[#Headers],[4]],FDR[FDR]&amp;FDR[[#Headers],[4]],FDR[4],"",0,1)</f>
        <v>4</v>
      </c>
      <c r="Q485" cm="1">
        <f t="array" ref="Q485">_xlfn.XLOOKUP(Matrix[[#This Row],[TEAM]]&amp;Matrix[[#Headers],[5]],FDR[FDR]&amp;FDR[[#Headers],[5]],FDR[5],"",0,1)</f>
        <v>3</v>
      </c>
      <c r="R485" cm="1">
        <f t="array" ref="R485">_xlfn.XLOOKUP(Matrix[[#This Row],[TEAM]]&amp;Matrix[[#Headers],[6]],FDR[FDR]&amp;FDR[[#Headers],[6]],FDR[6],"",0,1)</f>
        <v>2</v>
      </c>
      <c r="S485" cm="1">
        <f t="array" ref="S485">_xlfn.XLOOKUP(Matrix[[#This Row],[TEAM]]&amp;Matrix[[#Headers],[7]],FDR[FDR]&amp;FDR[[#Headers],[7]],FDR[7],"",0,1)</f>
        <v>1</v>
      </c>
      <c r="T485" cm="1">
        <f t="array" ref="T485">_xlfn.XLOOKUP(Matrix[[#This Row],[TEAM]]&amp;Matrix[[#Headers],[8]],FDR[FDR]&amp;FDR[[#Headers],[8]],FDR[8],"",0,1)</f>
        <v>4</v>
      </c>
      <c r="U485" cm="1">
        <f t="array" ref="U485">_xlfn.XLOOKUP(Matrix[[#This Row],[TEAM]]&amp;Matrix[[#Headers],[9]],FDR[FDR]&amp;FDR[[#Headers],[9]],FDR[9],"",0,1)</f>
        <v>1</v>
      </c>
      <c r="V485" cm="1">
        <f t="array" ref="V485">_xlfn.XLOOKUP(Matrix[[#This Row],[TEAM]]&amp;Matrix[[#Headers],[10]],FDR[FDR]&amp;FDR[[#Headers],[10]],FDR[10],"",0,1)</f>
        <v>2</v>
      </c>
      <c r="W485" cm="1">
        <f t="array" ref="W485">_xlfn.XLOOKUP(Matrix[[#This Row],[TEAM]]&amp;Matrix[[#Headers],[11]],FDR[FDR]&amp;FDR[[#Headers],[11]],FDR[11],"",0,1)</f>
        <v>4</v>
      </c>
      <c r="X485" cm="1">
        <f t="array" ref="X485">_xlfn.XLOOKUP(Matrix[[#This Row],[TEAM]]&amp;Matrix[[#Headers],[12]],FDR[FDR]&amp;FDR[[#Headers],[12]],FDR[12],"",0,1)</f>
        <v>1</v>
      </c>
      <c r="Y485" cm="1">
        <f t="array" ref="Y485">_xlfn.XLOOKUP(Matrix[[#This Row],[TEAM]]&amp;Matrix[[#Headers],[13]],FDR[FDR]&amp;FDR[[#Headers],[13]],FDR[13],"",0,1)</f>
        <v>2</v>
      </c>
      <c r="Z485" cm="1">
        <f t="array" ref="Z485">_xlfn.XLOOKUP(Matrix[[#This Row],[TEAM]]&amp;Matrix[[#Headers],[14]],FDR[FDR]&amp;FDR[[#Headers],[14]],FDR[14],"",0,1)</f>
        <v>1</v>
      </c>
      <c r="AA485" cm="1">
        <f t="array" ref="AA485">_xlfn.XLOOKUP(Matrix[[#This Row],[TEAM]]&amp;Matrix[[#Headers],[15]],FDR[FDR]&amp;FDR[[#Headers],[15]],FDR[15],"",0,1)</f>
        <v>1</v>
      </c>
      <c r="AB485" cm="1">
        <f t="array" ref="AB485">_xlfn.XLOOKUP(Matrix[[#This Row],[TEAM]]&amp;Matrix[[#Headers],[16]],FDR[FDR]&amp;FDR[[#Headers],[16]],FDR[16],"",0,1)</f>
        <v>1</v>
      </c>
      <c r="AC485" cm="1">
        <f t="array" ref="AC485">_xlfn.XLOOKUP(Matrix[[#This Row],[TEAM]]&amp;Matrix[[#Headers],[17]],FDR[FDR]&amp;FDR[[#Headers],[17]],FDR[17],"",0,1)</f>
        <v>3</v>
      </c>
      <c r="AD485" cm="1">
        <f t="array" ref="AD485">_xlfn.XLOOKUP(Matrix[[#This Row],[TEAM]]&amp;Matrix[[#Headers],[18]],FDR[FDR]&amp;FDR[[#Headers],[18]],FDR[18],"",0,1)</f>
        <v>2</v>
      </c>
      <c r="AE485" cm="1">
        <f t="array" ref="AE485">_xlfn.XLOOKUP(Matrix[[#This Row],[TEAM]]&amp;Matrix[[#Headers],[19]],FDR[FDR]&amp;FDR[[#Headers],[19]],FDR[19],"",0,1)</f>
        <v>1</v>
      </c>
      <c r="AF485" cm="1">
        <f t="array" ref="AF485">_xlfn.XLOOKUP(Matrix[[#This Row],[TEAM]]&amp;Matrix[[#Headers],[20]],FDR[FDR]&amp;FDR[[#Headers],[20]],FDR[20],"",0,1)</f>
        <v>1</v>
      </c>
      <c r="AG485" cm="1">
        <f t="array" ref="AG485">_xlfn.XLOOKUP(Matrix[[#This Row],[TEAM]]&amp;Matrix[[#Headers],[21]],FDR[FDR]&amp;FDR[[#Headers],[21]],FDR[21],"",0,1)</f>
        <v>1</v>
      </c>
      <c r="AH485" cm="1">
        <f t="array" ref="AH485">_xlfn.XLOOKUP(Matrix[[#This Row],[TEAM]]&amp;Matrix[[#Headers],[22]],FDR[FDR]&amp;FDR[[#Headers],[22]],FDR[22],"",0,1)</f>
        <v>3</v>
      </c>
      <c r="AI485" cm="1">
        <f t="array" ref="AI485">_xlfn.XLOOKUP(Matrix[[#This Row],[TEAM]]&amp;Matrix[[#Headers],[23]],FDR[FDR]&amp;FDR[[#Headers],[23]],FDR[23],"",0,1)</f>
        <v>4</v>
      </c>
      <c r="AJ485" cm="1">
        <f t="array" ref="AJ485">_xlfn.XLOOKUP(Matrix[[#This Row],[TEAM]]&amp;Matrix[[#Headers],[24]],FDR[FDR]&amp;FDR[[#Headers],[24]],FDR[24],"",0,1)</f>
        <v>1</v>
      </c>
      <c r="AK485" cm="1">
        <f t="array" ref="AK485">_xlfn.XLOOKUP(Matrix[[#This Row],[TEAM]]&amp;Matrix[[#Headers],[25]],FDR[FDR]&amp;FDR[[#Headers],[25]],FDR[25],"",0,1)</f>
        <v>3</v>
      </c>
      <c r="AL485" cm="1">
        <f t="array" ref="AL485">_xlfn.XLOOKUP(Matrix[[#This Row],[TEAM]]&amp;Matrix[[#Headers],[26]],FDR[FDR]&amp;FDR[[#Headers],[26]],FDR[26],"",0,1)</f>
        <v>2</v>
      </c>
      <c r="AM485" cm="1">
        <f t="array" ref="AM485">_xlfn.XLOOKUP(Matrix[[#This Row],[TEAM]]&amp;Matrix[[#Headers],[27]],FDR[FDR]&amp;FDR[[#Headers],[27]],FDR[27],"",0,1)</f>
        <v>2</v>
      </c>
      <c r="AN485" cm="1">
        <f t="array" ref="AN485">_xlfn.XLOOKUP(Matrix[[#This Row],[TEAM]]&amp;Matrix[[#Headers],[28]],FDR[FDR]&amp;FDR[[#Headers],[28]],FDR[28],"",0,1)</f>
        <v>1</v>
      </c>
      <c r="AO485" cm="1">
        <f t="array" ref="AO485">_xlfn.XLOOKUP(Matrix[[#This Row],[TEAM]]&amp;Matrix[[#Headers],[29]],FDR[FDR]&amp;FDR[[#Headers],[29]],FDR[29],"",0,1)</f>
        <v>3</v>
      </c>
      <c r="AP485" cm="1">
        <f t="array" ref="AP485">_xlfn.XLOOKUP(Matrix[[#This Row],[TEAM]]&amp;Matrix[[#Headers],[30]],FDR[FDR]&amp;FDR[[#Headers],[30]],FDR[30],"",0,1)</f>
        <v>2</v>
      </c>
      <c r="AQ485" cm="1">
        <f t="array" ref="AQ485">_xlfn.XLOOKUP(Matrix[[#This Row],[TEAM]]&amp;Matrix[[#Headers],[31]],FDR[FDR]&amp;FDR[[#Headers],[31]],FDR[31],"",0,1)</f>
        <v>2</v>
      </c>
      <c r="AR485" cm="1">
        <f t="array" ref="AR485">_xlfn.XLOOKUP(Matrix[[#This Row],[TEAM]]&amp;Matrix[[#Headers],[32]],FDR[FDR]&amp;FDR[[#Headers],[32]],FDR[32],"",0,1)</f>
        <v>1</v>
      </c>
      <c r="AS485" cm="1">
        <f t="array" ref="AS485">_xlfn.XLOOKUP(Matrix[[#This Row],[TEAM]]&amp;Matrix[[#Headers],[33]],FDR[FDR]&amp;FDR[[#Headers],[33]],FDR[33],"",0,1)</f>
        <v>4</v>
      </c>
      <c r="AT485" cm="1">
        <f t="array" ref="AT485">_xlfn.XLOOKUP(Matrix[[#This Row],[TEAM]]&amp;Matrix[[#Headers],[34]],FDR[FDR]&amp;FDR[[#Headers],[34]],FDR[34],"",0,1)</f>
        <v>1</v>
      </c>
      <c r="AU485" cm="1">
        <f t="array" ref="AU485">_xlfn.XLOOKUP(Matrix[[#This Row],[TEAM]]&amp;Matrix[[#Headers],[35]],FDR[FDR]&amp;FDR[[#Headers],[35]],FDR[35],"",0,1)</f>
        <v>3</v>
      </c>
      <c r="AV485" cm="1">
        <f t="array" ref="AV485">_xlfn.XLOOKUP(Matrix[[#This Row],[TEAM]]&amp;Matrix[[#Headers],[36]],FDR[FDR]&amp;FDR[[#Headers],[36]],FDR[36],"",0,1)</f>
        <v>1</v>
      </c>
      <c r="AW485" cm="1">
        <f t="array" ref="AW485">_xlfn.XLOOKUP(Matrix[[#This Row],[TEAM]]&amp;Matrix[[#Headers],[37]],FDR[FDR]&amp;FDR[[#Headers],[37]],FDR[37],"",0,1)</f>
        <v>1</v>
      </c>
      <c r="AX485" cm="1">
        <f t="array" ref="AX485">_xlfn.XLOOKUP(Matrix[[#This Row],[TEAM]]&amp;Matrix[[#Headers],[38]],FDR[FDR]&amp;FDR[[#Headers],[38]],FDR[38],"",0,1)</f>
        <v>2</v>
      </c>
    </row>
    <row r="486" spans="1:50" ht="22" thickTop="1" thickBot="1">
      <c r="A486" s="51" t="s">
        <v>657</v>
      </c>
      <c r="B486" s="70" t="s">
        <v>1806</v>
      </c>
      <c r="C486" s="40" t="s">
        <v>51</v>
      </c>
      <c r="D486" s="62">
        <v>2</v>
      </c>
      <c r="E486" s="60">
        <v>1.2999999999999999E-2</v>
      </c>
      <c r="F486" s="61">
        <v>6.9</v>
      </c>
      <c r="G486" s="63">
        <v>4</v>
      </c>
      <c r="H486" s="261">
        <f>IF(ISBLANK(I486),0,1)</f>
        <v>0</v>
      </c>
      <c r="I486" s="57"/>
      <c r="J486" s="58"/>
      <c r="K486" s="65" t="s">
        <v>931</v>
      </c>
      <c r="L486" s="65" t="s">
        <v>932</v>
      </c>
      <c r="M486" cm="1">
        <f t="array" ref="M486">_xlfn.XLOOKUP(Matrix[[#This Row],[TEAM]]&amp;Matrix[[#Headers],[1]],FDR[FDR]&amp;FDR[[#Headers],[1]],FDR[1],"",0,1)</f>
        <v>5</v>
      </c>
      <c r="N486" cm="1">
        <f t="array" ref="N486">_xlfn.XLOOKUP(Matrix[[#This Row],[TEAM]]&amp;Matrix[[#Headers],[2]],FDR[FDR]&amp;FDR[[#Headers],[2]],FDR[2],"",0,1)</f>
        <v>5</v>
      </c>
      <c r="O486" cm="1">
        <f t="array" ref="O486">_xlfn.XLOOKUP(Matrix[[#This Row],[TEAM]]&amp;Matrix[[#Headers],[3]],FDR[FDR]&amp;FDR[[#Headers],[3]],FDR[3],"",0,1)</f>
        <v>4</v>
      </c>
      <c r="P486" cm="1">
        <f t="array" ref="P486">_xlfn.XLOOKUP(Matrix[[#This Row],[TEAM]]&amp;Matrix[[#Headers],[4]],FDR[FDR]&amp;FDR[[#Headers],[4]],FDR[4],"",0,1)</f>
        <v>5</v>
      </c>
      <c r="Q486" cm="1">
        <f t="array" ref="Q486">_xlfn.XLOOKUP(Matrix[[#This Row],[TEAM]]&amp;Matrix[[#Headers],[5]],FDR[FDR]&amp;FDR[[#Headers],[5]],FDR[5],"",0,1)</f>
        <v>2</v>
      </c>
      <c r="R486" cm="1">
        <f t="array" ref="R486">_xlfn.XLOOKUP(Matrix[[#This Row],[TEAM]]&amp;Matrix[[#Headers],[6]],FDR[FDR]&amp;FDR[[#Headers],[6]],FDR[6],"",0,1)</f>
        <v>5</v>
      </c>
      <c r="S486" cm="1">
        <f t="array" ref="S486">_xlfn.XLOOKUP(Matrix[[#This Row],[TEAM]]&amp;Matrix[[#Headers],[7]],FDR[FDR]&amp;FDR[[#Headers],[7]],FDR[7],"",0,1)</f>
        <v>4</v>
      </c>
      <c r="T486" cm="1">
        <f t="array" ref="T486">_xlfn.XLOOKUP(Matrix[[#This Row],[TEAM]]&amp;Matrix[[#Headers],[8]],FDR[FDR]&amp;FDR[[#Headers],[8]],FDR[8],"",0,1)</f>
        <v>3</v>
      </c>
      <c r="U486" cm="1">
        <f t="array" ref="U486">_xlfn.XLOOKUP(Matrix[[#This Row],[TEAM]]&amp;Matrix[[#Headers],[9]],FDR[FDR]&amp;FDR[[#Headers],[9]],FDR[9],"",0,1)</f>
        <v>2</v>
      </c>
      <c r="V486" cm="1">
        <f t="array" ref="V486">_xlfn.XLOOKUP(Matrix[[#This Row],[TEAM]]&amp;Matrix[[#Headers],[10]],FDR[FDR]&amp;FDR[[#Headers],[10]],FDR[10],"",0,1)</f>
        <v>5</v>
      </c>
      <c r="W486" cm="1">
        <f t="array" ref="W486">_xlfn.XLOOKUP(Matrix[[#This Row],[TEAM]]&amp;Matrix[[#Headers],[11]],FDR[FDR]&amp;FDR[[#Headers],[11]],FDR[11],"",0,1)</f>
        <v>5</v>
      </c>
      <c r="X486" cm="1">
        <f t="array" ref="X486">_xlfn.XLOOKUP(Matrix[[#This Row],[TEAM]]&amp;Matrix[[#Headers],[12]],FDR[FDR]&amp;FDR[[#Headers],[12]],FDR[12],"",0,1)</f>
        <v>4</v>
      </c>
      <c r="Y486" cm="1">
        <f t="array" ref="Y486">_xlfn.XLOOKUP(Matrix[[#This Row],[TEAM]]&amp;Matrix[[#Headers],[13]],FDR[FDR]&amp;FDR[[#Headers],[13]],FDR[13],"",0,1)</f>
        <v>5</v>
      </c>
      <c r="Z486" cm="1">
        <f t="array" ref="Z486">_xlfn.XLOOKUP(Matrix[[#This Row],[TEAM]]&amp;Matrix[[#Headers],[14]],FDR[FDR]&amp;FDR[[#Headers],[14]],FDR[14],"",0,1)</f>
        <v>4</v>
      </c>
      <c r="AA486" cm="1">
        <f t="array" ref="AA486">_xlfn.XLOOKUP(Matrix[[#This Row],[TEAM]]&amp;Matrix[[#Headers],[15]],FDR[FDR]&amp;FDR[[#Headers],[15]],FDR[15],"",0,1)</f>
        <v>5</v>
      </c>
      <c r="AB486" cm="1">
        <f t="array" ref="AB486">_xlfn.XLOOKUP(Matrix[[#This Row],[TEAM]]&amp;Matrix[[#Headers],[16]],FDR[FDR]&amp;FDR[[#Headers],[16]],FDR[16],"",0,1)</f>
        <v>5</v>
      </c>
      <c r="AC486" cm="1">
        <f t="array" ref="AC486">_xlfn.XLOOKUP(Matrix[[#This Row],[TEAM]]&amp;Matrix[[#Headers],[17]],FDR[FDR]&amp;FDR[[#Headers],[17]],FDR[17],"",0,1)</f>
        <v>4</v>
      </c>
      <c r="AD486" cm="1">
        <f t="array" ref="AD486">_xlfn.XLOOKUP(Matrix[[#This Row],[TEAM]]&amp;Matrix[[#Headers],[18]],FDR[FDR]&amp;FDR[[#Headers],[18]],FDR[18],"",0,1)</f>
        <v>5</v>
      </c>
      <c r="AE486" cm="1">
        <f t="array" ref="AE486">_xlfn.XLOOKUP(Matrix[[#This Row],[TEAM]]&amp;Matrix[[#Headers],[19]],FDR[FDR]&amp;FDR[[#Headers],[19]],FDR[19],"",0,1)</f>
        <v>5</v>
      </c>
      <c r="AF486" cm="1">
        <f t="array" ref="AF486">_xlfn.XLOOKUP(Matrix[[#This Row],[TEAM]]&amp;Matrix[[#Headers],[20]],FDR[FDR]&amp;FDR[[#Headers],[20]],FDR[20],"",0,1)</f>
        <v>4</v>
      </c>
      <c r="AG486" cm="1">
        <f t="array" ref="AG486">_xlfn.XLOOKUP(Matrix[[#This Row],[TEAM]]&amp;Matrix[[#Headers],[21]],FDR[FDR]&amp;FDR[[#Headers],[21]],FDR[21],"",0,1)</f>
        <v>5</v>
      </c>
      <c r="AH486" cm="1">
        <f t="array" ref="AH486">_xlfn.XLOOKUP(Matrix[[#This Row],[TEAM]]&amp;Matrix[[#Headers],[22]],FDR[FDR]&amp;FDR[[#Headers],[22]],FDR[22],"",0,1)</f>
        <v>5</v>
      </c>
      <c r="AI486" cm="1">
        <f t="array" ref="AI486">_xlfn.XLOOKUP(Matrix[[#This Row],[TEAM]]&amp;Matrix[[#Headers],[23]],FDR[FDR]&amp;FDR[[#Headers],[23]],FDR[23],"",0,1)</f>
        <v>5</v>
      </c>
      <c r="AJ486" cm="1">
        <f t="array" ref="AJ486">_xlfn.XLOOKUP(Matrix[[#This Row],[TEAM]]&amp;Matrix[[#Headers],[24]],FDR[FDR]&amp;FDR[[#Headers],[24]],FDR[24],"",0,1)</f>
        <v>4</v>
      </c>
      <c r="AK486" cm="1">
        <f t="array" ref="AK486">_xlfn.XLOOKUP(Matrix[[#This Row],[TEAM]]&amp;Matrix[[#Headers],[25]],FDR[FDR]&amp;FDR[[#Headers],[25]],FDR[25],"",0,1)</f>
        <v>5</v>
      </c>
      <c r="AL486" cm="1">
        <f t="array" ref="AL486">_xlfn.XLOOKUP(Matrix[[#This Row],[TEAM]]&amp;Matrix[[#Headers],[26]],FDR[FDR]&amp;FDR[[#Headers],[26]],FDR[26],"",0,1)</f>
        <v>5</v>
      </c>
      <c r="AM486" cm="1">
        <f t="array" ref="AM486">_xlfn.XLOOKUP(Matrix[[#This Row],[TEAM]]&amp;Matrix[[#Headers],[27]],FDR[FDR]&amp;FDR[[#Headers],[27]],FDR[27],"",0,1)</f>
        <v>5</v>
      </c>
      <c r="AN486" cm="1">
        <f t="array" ref="AN486">_xlfn.XLOOKUP(Matrix[[#This Row],[TEAM]]&amp;Matrix[[#Headers],[28]],FDR[FDR]&amp;FDR[[#Headers],[28]],FDR[28],"",0,1)</f>
        <v>5</v>
      </c>
      <c r="AO486" cm="1">
        <f t="array" ref="AO486">_xlfn.XLOOKUP(Matrix[[#This Row],[TEAM]]&amp;Matrix[[#Headers],[29]],FDR[FDR]&amp;FDR[[#Headers],[29]],FDR[29],"",0,1)</f>
        <v>5</v>
      </c>
      <c r="AP486" cm="1">
        <f t="array" ref="AP486">_xlfn.XLOOKUP(Matrix[[#This Row],[TEAM]]&amp;Matrix[[#Headers],[30]],FDR[FDR]&amp;FDR[[#Headers],[30]],FDR[30],"",0,1)</f>
        <v>5</v>
      </c>
      <c r="AQ486" cm="1">
        <f t="array" ref="AQ486">_xlfn.XLOOKUP(Matrix[[#This Row],[TEAM]]&amp;Matrix[[#Headers],[31]],FDR[FDR]&amp;FDR[[#Headers],[31]],FDR[31],"",0,1)</f>
        <v>5</v>
      </c>
      <c r="AR486" cm="1">
        <f t="array" ref="AR486">_xlfn.XLOOKUP(Matrix[[#This Row],[TEAM]]&amp;Matrix[[#Headers],[32]],FDR[FDR]&amp;FDR[[#Headers],[32]],FDR[32],"",0,1)</f>
        <v>5</v>
      </c>
      <c r="AS486" cm="1">
        <f t="array" ref="AS486">_xlfn.XLOOKUP(Matrix[[#This Row],[TEAM]]&amp;Matrix[[#Headers],[33]],FDR[FDR]&amp;FDR[[#Headers],[33]],FDR[33],"",0,1)</f>
        <v>3</v>
      </c>
      <c r="AT486" cm="1">
        <f t="array" ref="AT486">_xlfn.XLOOKUP(Matrix[[#This Row],[TEAM]]&amp;Matrix[[#Headers],[34]],FDR[FDR]&amp;FDR[[#Headers],[34]],FDR[34],"",0,1)</f>
        <v>5</v>
      </c>
      <c r="AU486" cm="1">
        <f t="array" ref="AU486">_xlfn.XLOOKUP(Matrix[[#This Row],[TEAM]]&amp;Matrix[[#Headers],[35]],FDR[FDR]&amp;FDR[[#Headers],[35]],FDR[35],"",0,1)</f>
        <v>2</v>
      </c>
      <c r="AV486" cm="1">
        <f t="array" ref="AV486">_xlfn.XLOOKUP(Matrix[[#This Row],[TEAM]]&amp;Matrix[[#Headers],[36]],FDR[FDR]&amp;FDR[[#Headers],[36]],FDR[36],"",0,1)</f>
        <v>5</v>
      </c>
      <c r="AW486" cm="1">
        <f t="array" ref="AW486">_xlfn.XLOOKUP(Matrix[[#This Row],[TEAM]]&amp;Matrix[[#Headers],[37]],FDR[FDR]&amp;FDR[[#Headers],[37]],FDR[37],"",0,1)</f>
        <v>4</v>
      </c>
      <c r="AX486" cm="1">
        <f t="array" ref="AX486">_xlfn.XLOOKUP(Matrix[[#This Row],[TEAM]]&amp;Matrix[[#Headers],[38]],FDR[FDR]&amp;FDR[[#Headers],[38]],FDR[38],"",0,1)</f>
        <v>3</v>
      </c>
    </row>
    <row r="487" spans="1:50" ht="22" thickTop="1" thickBot="1">
      <c r="A487" s="51" t="s">
        <v>657</v>
      </c>
      <c r="B487" s="70" t="s">
        <v>1800</v>
      </c>
      <c r="C487" s="40" t="s">
        <v>51</v>
      </c>
      <c r="D487" s="62">
        <v>1</v>
      </c>
      <c r="E487" s="60">
        <v>0.02</v>
      </c>
      <c r="F487" s="61">
        <v>0</v>
      </c>
      <c r="G487" s="63">
        <v>4</v>
      </c>
      <c r="H487" s="261">
        <f>IF(ISBLANK(I487),0,1)</f>
        <v>0</v>
      </c>
      <c r="I487" s="57"/>
      <c r="J487" s="58"/>
      <c r="K487" s="65" t="s">
        <v>597</v>
      </c>
      <c r="L487" s="65" t="s">
        <v>933</v>
      </c>
      <c r="M487" cm="1">
        <f t="array" ref="M487">_xlfn.XLOOKUP(Matrix[[#This Row],[TEAM]]&amp;Matrix[[#Headers],[1]],FDR[FDR]&amp;FDR[[#Headers],[1]],FDR[1],"",0,1)</f>
        <v>5</v>
      </c>
      <c r="N487" cm="1">
        <f t="array" ref="N487">_xlfn.XLOOKUP(Matrix[[#This Row],[TEAM]]&amp;Matrix[[#Headers],[2]],FDR[FDR]&amp;FDR[[#Headers],[2]],FDR[2],"",0,1)</f>
        <v>5</v>
      </c>
      <c r="O487" cm="1">
        <f t="array" ref="O487">_xlfn.XLOOKUP(Matrix[[#This Row],[TEAM]]&amp;Matrix[[#Headers],[3]],FDR[FDR]&amp;FDR[[#Headers],[3]],FDR[3],"",0,1)</f>
        <v>4</v>
      </c>
      <c r="P487" cm="1">
        <f t="array" ref="P487">_xlfn.XLOOKUP(Matrix[[#This Row],[TEAM]]&amp;Matrix[[#Headers],[4]],FDR[FDR]&amp;FDR[[#Headers],[4]],FDR[4],"",0,1)</f>
        <v>5</v>
      </c>
      <c r="Q487" cm="1">
        <f t="array" ref="Q487">_xlfn.XLOOKUP(Matrix[[#This Row],[TEAM]]&amp;Matrix[[#Headers],[5]],FDR[FDR]&amp;FDR[[#Headers],[5]],FDR[5],"",0,1)</f>
        <v>2</v>
      </c>
      <c r="R487" cm="1">
        <f t="array" ref="R487">_xlfn.XLOOKUP(Matrix[[#This Row],[TEAM]]&amp;Matrix[[#Headers],[6]],FDR[FDR]&amp;FDR[[#Headers],[6]],FDR[6],"",0,1)</f>
        <v>5</v>
      </c>
      <c r="S487" cm="1">
        <f t="array" ref="S487">_xlfn.XLOOKUP(Matrix[[#This Row],[TEAM]]&amp;Matrix[[#Headers],[7]],FDR[FDR]&amp;FDR[[#Headers],[7]],FDR[7],"",0,1)</f>
        <v>4</v>
      </c>
      <c r="T487" cm="1">
        <f t="array" ref="T487">_xlfn.XLOOKUP(Matrix[[#This Row],[TEAM]]&amp;Matrix[[#Headers],[8]],FDR[FDR]&amp;FDR[[#Headers],[8]],FDR[8],"",0,1)</f>
        <v>3</v>
      </c>
      <c r="U487" cm="1">
        <f t="array" ref="U487">_xlfn.XLOOKUP(Matrix[[#This Row],[TEAM]]&amp;Matrix[[#Headers],[9]],FDR[FDR]&amp;FDR[[#Headers],[9]],FDR[9],"",0,1)</f>
        <v>2</v>
      </c>
      <c r="V487" cm="1">
        <f t="array" ref="V487">_xlfn.XLOOKUP(Matrix[[#This Row],[TEAM]]&amp;Matrix[[#Headers],[10]],FDR[FDR]&amp;FDR[[#Headers],[10]],FDR[10],"",0,1)</f>
        <v>5</v>
      </c>
      <c r="W487" cm="1">
        <f t="array" ref="W487">_xlfn.XLOOKUP(Matrix[[#This Row],[TEAM]]&amp;Matrix[[#Headers],[11]],FDR[FDR]&amp;FDR[[#Headers],[11]],FDR[11],"",0,1)</f>
        <v>5</v>
      </c>
      <c r="X487" cm="1">
        <f t="array" ref="X487">_xlfn.XLOOKUP(Matrix[[#This Row],[TEAM]]&amp;Matrix[[#Headers],[12]],FDR[FDR]&amp;FDR[[#Headers],[12]],FDR[12],"",0,1)</f>
        <v>4</v>
      </c>
      <c r="Y487" cm="1">
        <f t="array" ref="Y487">_xlfn.XLOOKUP(Matrix[[#This Row],[TEAM]]&amp;Matrix[[#Headers],[13]],FDR[FDR]&amp;FDR[[#Headers],[13]],FDR[13],"",0,1)</f>
        <v>5</v>
      </c>
      <c r="Z487" cm="1">
        <f t="array" ref="Z487">_xlfn.XLOOKUP(Matrix[[#This Row],[TEAM]]&amp;Matrix[[#Headers],[14]],FDR[FDR]&amp;FDR[[#Headers],[14]],FDR[14],"",0,1)</f>
        <v>4</v>
      </c>
      <c r="AA487" cm="1">
        <f t="array" ref="AA487">_xlfn.XLOOKUP(Matrix[[#This Row],[TEAM]]&amp;Matrix[[#Headers],[15]],FDR[FDR]&amp;FDR[[#Headers],[15]],FDR[15],"",0,1)</f>
        <v>5</v>
      </c>
      <c r="AB487" cm="1">
        <f t="array" ref="AB487">_xlfn.XLOOKUP(Matrix[[#This Row],[TEAM]]&amp;Matrix[[#Headers],[16]],FDR[FDR]&amp;FDR[[#Headers],[16]],FDR[16],"",0,1)</f>
        <v>5</v>
      </c>
      <c r="AC487" cm="1">
        <f t="array" ref="AC487">_xlfn.XLOOKUP(Matrix[[#This Row],[TEAM]]&amp;Matrix[[#Headers],[17]],FDR[FDR]&amp;FDR[[#Headers],[17]],FDR[17],"",0,1)</f>
        <v>4</v>
      </c>
      <c r="AD487" cm="1">
        <f t="array" ref="AD487">_xlfn.XLOOKUP(Matrix[[#This Row],[TEAM]]&amp;Matrix[[#Headers],[18]],FDR[FDR]&amp;FDR[[#Headers],[18]],FDR[18],"",0,1)</f>
        <v>5</v>
      </c>
      <c r="AE487" cm="1">
        <f t="array" ref="AE487">_xlfn.XLOOKUP(Matrix[[#This Row],[TEAM]]&amp;Matrix[[#Headers],[19]],FDR[FDR]&amp;FDR[[#Headers],[19]],FDR[19],"",0,1)</f>
        <v>5</v>
      </c>
      <c r="AF487" cm="1">
        <f t="array" ref="AF487">_xlfn.XLOOKUP(Matrix[[#This Row],[TEAM]]&amp;Matrix[[#Headers],[20]],FDR[FDR]&amp;FDR[[#Headers],[20]],FDR[20],"",0,1)</f>
        <v>4</v>
      </c>
      <c r="AG487" cm="1">
        <f t="array" ref="AG487">_xlfn.XLOOKUP(Matrix[[#This Row],[TEAM]]&amp;Matrix[[#Headers],[21]],FDR[FDR]&amp;FDR[[#Headers],[21]],FDR[21],"",0,1)</f>
        <v>5</v>
      </c>
      <c r="AH487" cm="1">
        <f t="array" ref="AH487">_xlfn.XLOOKUP(Matrix[[#This Row],[TEAM]]&amp;Matrix[[#Headers],[22]],FDR[FDR]&amp;FDR[[#Headers],[22]],FDR[22],"",0,1)</f>
        <v>5</v>
      </c>
      <c r="AI487" cm="1">
        <f t="array" ref="AI487">_xlfn.XLOOKUP(Matrix[[#This Row],[TEAM]]&amp;Matrix[[#Headers],[23]],FDR[FDR]&amp;FDR[[#Headers],[23]],FDR[23],"",0,1)</f>
        <v>5</v>
      </c>
      <c r="AJ487" cm="1">
        <f t="array" ref="AJ487">_xlfn.XLOOKUP(Matrix[[#This Row],[TEAM]]&amp;Matrix[[#Headers],[24]],FDR[FDR]&amp;FDR[[#Headers],[24]],FDR[24],"",0,1)</f>
        <v>4</v>
      </c>
      <c r="AK487" cm="1">
        <f t="array" ref="AK487">_xlfn.XLOOKUP(Matrix[[#This Row],[TEAM]]&amp;Matrix[[#Headers],[25]],FDR[FDR]&amp;FDR[[#Headers],[25]],FDR[25],"",0,1)</f>
        <v>5</v>
      </c>
      <c r="AL487" cm="1">
        <f t="array" ref="AL487">_xlfn.XLOOKUP(Matrix[[#This Row],[TEAM]]&amp;Matrix[[#Headers],[26]],FDR[FDR]&amp;FDR[[#Headers],[26]],FDR[26],"",0,1)</f>
        <v>5</v>
      </c>
      <c r="AM487" cm="1">
        <f t="array" ref="AM487">_xlfn.XLOOKUP(Matrix[[#This Row],[TEAM]]&amp;Matrix[[#Headers],[27]],FDR[FDR]&amp;FDR[[#Headers],[27]],FDR[27],"",0,1)</f>
        <v>5</v>
      </c>
      <c r="AN487" cm="1">
        <f t="array" ref="AN487">_xlfn.XLOOKUP(Matrix[[#This Row],[TEAM]]&amp;Matrix[[#Headers],[28]],FDR[FDR]&amp;FDR[[#Headers],[28]],FDR[28],"",0,1)</f>
        <v>5</v>
      </c>
      <c r="AO487" cm="1">
        <f t="array" ref="AO487">_xlfn.XLOOKUP(Matrix[[#This Row],[TEAM]]&amp;Matrix[[#Headers],[29]],FDR[FDR]&amp;FDR[[#Headers],[29]],FDR[29],"",0,1)</f>
        <v>5</v>
      </c>
      <c r="AP487" cm="1">
        <f t="array" ref="AP487">_xlfn.XLOOKUP(Matrix[[#This Row],[TEAM]]&amp;Matrix[[#Headers],[30]],FDR[FDR]&amp;FDR[[#Headers],[30]],FDR[30],"",0,1)</f>
        <v>5</v>
      </c>
      <c r="AQ487" cm="1">
        <f t="array" ref="AQ487">_xlfn.XLOOKUP(Matrix[[#This Row],[TEAM]]&amp;Matrix[[#Headers],[31]],FDR[FDR]&amp;FDR[[#Headers],[31]],FDR[31],"",0,1)</f>
        <v>5</v>
      </c>
      <c r="AR487" cm="1">
        <f t="array" ref="AR487">_xlfn.XLOOKUP(Matrix[[#This Row],[TEAM]]&amp;Matrix[[#Headers],[32]],FDR[FDR]&amp;FDR[[#Headers],[32]],FDR[32],"",0,1)</f>
        <v>5</v>
      </c>
      <c r="AS487" cm="1">
        <f t="array" ref="AS487">_xlfn.XLOOKUP(Matrix[[#This Row],[TEAM]]&amp;Matrix[[#Headers],[33]],FDR[FDR]&amp;FDR[[#Headers],[33]],FDR[33],"",0,1)</f>
        <v>3</v>
      </c>
      <c r="AT487" cm="1">
        <f t="array" ref="AT487">_xlfn.XLOOKUP(Matrix[[#This Row],[TEAM]]&amp;Matrix[[#Headers],[34]],FDR[FDR]&amp;FDR[[#Headers],[34]],FDR[34],"",0,1)</f>
        <v>5</v>
      </c>
      <c r="AU487" cm="1">
        <f t="array" ref="AU487">_xlfn.XLOOKUP(Matrix[[#This Row],[TEAM]]&amp;Matrix[[#Headers],[35]],FDR[FDR]&amp;FDR[[#Headers],[35]],FDR[35],"",0,1)</f>
        <v>2</v>
      </c>
      <c r="AV487" cm="1">
        <f t="array" ref="AV487">_xlfn.XLOOKUP(Matrix[[#This Row],[TEAM]]&amp;Matrix[[#Headers],[36]],FDR[FDR]&amp;FDR[[#Headers],[36]],FDR[36],"",0,1)</f>
        <v>5</v>
      </c>
      <c r="AW487" cm="1">
        <f t="array" ref="AW487">_xlfn.XLOOKUP(Matrix[[#This Row],[TEAM]]&amp;Matrix[[#Headers],[37]],FDR[FDR]&amp;FDR[[#Headers],[37]],FDR[37],"",0,1)</f>
        <v>4</v>
      </c>
      <c r="AX487" cm="1">
        <f t="array" ref="AX487">_xlfn.XLOOKUP(Matrix[[#This Row],[TEAM]]&amp;Matrix[[#Headers],[38]],FDR[FDR]&amp;FDR[[#Headers],[38]],FDR[38],"",0,1)</f>
        <v>3</v>
      </c>
    </row>
    <row r="488" spans="1:50" ht="22" thickTop="1" thickBot="1">
      <c r="A488" s="51" t="s">
        <v>657</v>
      </c>
      <c r="B488" s="70" t="s">
        <v>1832</v>
      </c>
      <c r="C488" s="40" t="s">
        <v>28</v>
      </c>
      <c r="D488" s="62">
        <v>0</v>
      </c>
      <c r="E488" s="60">
        <v>3.0000000000000001E-3</v>
      </c>
      <c r="F488" s="61">
        <v>0</v>
      </c>
      <c r="G488" s="63">
        <v>4</v>
      </c>
      <c r="H488" s="261">
        <f>IF(ISBLANK(I488),0,1)</f>
        <v>0</v>
      </c>
      <c r="I488" s="57"/>
      <c r="J488" s="58"/>
      <c r="K488" s="65" t="s">
        <v>698</v>
      </c>
      <c r="L488" s="65" t="s">
        <v>699</v>
      </c>
      <c r="M488" cm="1">
        <f t="array" ref="M488">_xlfn.XLOOKUP(Matrix[[#This Row],[TEAM]]&amp;Matrix[[#Headers],[1]],FDR[FDR]&amp;FDR[[#Headers],[1]],FDR[1],"",0,1)</f>
        <v>3</v>
      </c>
      <c r="N488" cm="1">
        <f t="array" ref="N488">_xlfn.XLOOKUP(Matrix[[#This Row],[TEAM]]&amp;Matrix[[#Headers],[2]],FDR[FDR]&amp;FDR[[#Headers],[2]],FDR[2],"",0,1)</f>
        <v>2</v>
      </c>
      <c r="O488" cm="1">
        <f t="array" ref="O488">_xlfn.XLOOKUP(Matrix[[#This Row],[TEAM]]&amp;Matrix[[#Headers],[3]],FDR[FDR]&amp;FDR[[#Headers],[3]],FDR[3],"",0,1)</f>
        <v>1</v>
      </c>
      <c r="P488" cm="1">
        <f t="array" ref="P488">_xlfn.XLOOKUP(Matrix[[#This Row],[TEAM]]&amp;Matrix[[#Headers],[4]],FDR[FDR]&amp;FDR[[#Headers],[4]],FDR[4],"",0,1)</f>
        <v>2</v>
      </c>
      <c r="Q488" cm="1">
        <f t="array" ref="Q488">_xlfn.XLOOKUP(Matrix[[#This Row],[TEAM]]&amp;Matrix[[#Headers],[5]],FDR[FDR]&amp;FDR[[#Headers],[5]],FDR[5],"",0,1)</f>
        <v>1</v>
      </c>
      <c r="R488" cm="1">
        <f t="array" ref="R488">_xlfn.XLOOKUP(Matrix[[#This Row],[TEAM]]&amp;Matrix[[#Headers],[6]],FDR[FDR]&amp;FDR[[#Headers],[6]],FDR[6],"",0,1)</f>
        <v>2</v>
      </c>
      <c r="S488" cm="1">
        <f t="array" ref="S488">_xlfn.XLOOKUP(Matrix[[#This Row],[TEAM]]&amp;Matrix[[#Headers],[7]],FDR[FDR]&amp;FDR[[#Headers],[7]],FDR[7],"",0,1)</f>
        <v>1</v>
      </c>
      <c r="T488" cm="1">
        <f t="array" ref="T488">_xlfn.XLOOKUP(Matrix[[#This Row],[TEAM]]&amp;Matrix[[#Headers],[8]],FDR[FDR]&amp;FDR[[#Headers],[8]],FDR[8],"",0,1)</f>
        <v>4</v>
      </c>
      <c r="U488" cm="1">
        <f t="array" ref="U488">_xlfn.XLOOKUP(Matrix[[#This Row],[TEAM]]&amp;Matrix[[#Headers],[9]],FDR[FDR]&amp;FDR[[#Headers],[9]],FDR[9],"",0,1)</f>
        <v>3</v>
      </c>
      <c r="V488" cm="1">
        <f t="array" ref="V488">_xlfn.XLOOKUP(Matrix[[#This Row],[TEAM]]&amp;Matrix[[#Headers],[10]],FDR[FDR]&amp;FDR[[#Headers],[10]],FDR[10],"",0,1)</f>
        <v>4</v>
      </c>
      <c r="W488" cm="1">
        <f t="array" ref="W488">_xlfn.XLOOKUP(Matrix[[#This Row],[TEAM]]&amp;Matrix[[#Headers],[11]],FDR[FDR]&amp;FDR[[#Headers],[11]],FDR[11],"",0,1)</f>
        <v>2</v>
      </c>
      <c r="X488" cm="1">
        <f t="array" ref="X488">_xlfn.XLOOKUP(Matrix[[#This Row],[TEAM]]&amp;Matrix[[#Headers],[12]],FDR[FDR]&amp;FDR[[#Headers],[12]],FDR[12],"",0,1)</f>
        <v>1</v>
      </c>
      <c r="Y488" cm="1">
        <f t="array" ref="Y488">_xlfn.XLOOKUP(Matrix[[#This Row],[TEAM]]&amp;Matrix[[#Headers],[13]],FDR[FDR]&amp;FDR[[#Headers],[13]],FDR[13],"",0,1)</f>
        <v>1</v>
      </c>
      <c r="Z488" cm="1">
        <f t="array" ref="Z488">_xlfn.XLOOKUP(Matrix[[#This Row],[TEAM]]&amp;Matrix[[#Headers],[14]],FDR[FDR]&amp;FDR[[#Headers],[14]],FDR[14],"",0,1)</f>
        <v>3</v>
      </c>
      <c r="AA488" cm="1">
        <f t="array" ref="AA488">_xlfn.XLOOKUP(Matrix[[#This Row],[TEAM]]&amp;Matrix[[#Headers],[15]],FDR[FDR]&amp;FDR[[#Headers],[15]],FDR[15],"",0,1)</f>
        <v>3</v>
      </c>
      <c r="AB488" cm="1">
        <f t="array" ref="AB488">_xlfn.XLOOKUP(Matrix[[#This Row],[TEAM]]&amp;Matrix[[#Headers],[16]],FDR[FDR]&amp;FDR[[#Headers],[16]],FDR[16],"",0,1)</f>
        <v>2</v>
      </c>
      <c r="AC488" cm="1">
        <f t="array" ref="AC488">_xlfn.XLOOKUP(Matrix[[#This Row],[TEAM]]&amp;Matrix[[#Headers],[17]],FDR[FDR]&amp;FDR[[#Headers],[17]],FDR[17],"",0,1)</f>
        <v>3</v>
      </c>
      <c r="AD488" cm="1">
        <f t="array" ref="AD488">_xlfn.XLOOKUP(Matrix[[#This Row],[TEAM]]&amp;Matrix[[#Headers],[18]],FDR[FDR]&amp;FDR[[#Headers],[18]],FDR[18],"",0,1)</f>
        <v>4</v>
      </c>
      <c r="AE488" cm="1">
        <f t="array" ref="AE488">_xlfn.XLOOKUP(Matrix[[#This Row],[TEAM]]&amp;Matrix[[#Headers],[19]],FDR[FDR]&amp;FDR[[#Headers],[19]],FDR[19],"",0,1)</f>
        <v>4</v>
      </c>
      <c r="AF488" cm="1">
        <f t="array" ref="AF488">_xlfn.XLOOKUP(Matrix[[#This Row],[TEAM]]&amp;Matrix[[#Headers],[20]],FDR[FDR]&amp;FDR[[#Headers],[20]],FDR[20],"",0,1)</f>
        <v>2</v>
      </c>
      <c r="AG488" cm="1">
        <f t="array" ref="AG488">_xlfn.XLOOKUP(Matrix[[#This Row],[TEAM]]&amp;Matrix[[#Headers],[21]],FDR[FDR]&amp;FDR[[#Headers],[21]],FDR[21],"",0,1)</f>
        <v>2</v>
      </c>
      <c r="AH488" cm="1">
        <f t="array" ref="AH488">_xlfn.XLOOKUP(Matrix[[#This Row],[TEAM]]&amp;Matrix[[#Headers],[22]],FDR[FDR]&amp;FDR[[#Headers],[22]],FDR[22],"",0,1)</f>
        <v>1</v>
      </c>
      <c r="AI488" cm="1">
        <f t="array" ref="AI488">_xlfn.XLOOKUP(Matrix[[#This Row],[TEAM]]&amp;Matrix[[#Headers],[23]],FDR[FDR]&amp;FDR[[#Headers],[23]],FDR[23],"",0,1)</f>
        <v>4</v>
      </c>
      <c r="AJ488" cm="1">
        <f t="array" ref="AJ488">_xlfn.XLOOKUP(Matrix[[#This Row],[TEAM]]&amp;Matrix[[#Headers],[24]],FDR[FDR]&amp;FDR[[#Headers],[24]],FDR[24],"",0,1)</f>
        <v>1</v>
      </c>
      <c r="AK488" cm="1">
        <f t="array" ref="AK488">_xlfn.XLOOKUP(Matrix[[#This Row],[TEAM]]&amp;Matrix[[#Headers],[25]],FDR[FDR]&amp;FDR[[#Headers],[25]],FDR[25],"",0,1)</f>
        <v>3</v>
      </c>
      <c r="AL488" cm="1">
        <f t="array" ref="AL488">_xlfn.XLOOKUP(Matrix[[#This Row],[TEAM]]&amp;Matrix[[#Headers],[26]],FDR[FDR]&amp;FDR[[#Headers],[26]],FDR[26],"",0,1)</f>
        <v>2</v>
      </c>
      <c r="AM488" cm="1">
        <f t="array" ref="AM488">_xlfn.XLOOKUP(Matrix[[#This Row],[TEAM]]&amp;Matrix[[#Headers],[27]],FDR[FDR]&amp;FDR[[#Headers],[27]],FDR[27],"",0,1)</f>
        <v>1</v>
      </c>
      <c r="AN488" cm="1">
        <f t="array" ref="AN488">_xlfn.XLOOKUP(Matrix[[#This Row],[TEAM]]&amp;Matrix[[#Headers],[28]],FDR[FDR]&amp;FDR[[#Headers],[28]],FDR[28],"",0,1)</f>
        <v>1</v>
      </c>
      <c r="AO488" cm="1">
        <f t="array" ref="AO488">_xlfn.XLOOKUP(Matrix[[#This Row],[TEAM]]&amp;Matrix[[#Headers],[29]],FDR[FDR]&amp;FDR[[#Headers],[29]],FDR[29],"",0,1)</f>
        <v>3</v>
      </c>
      <c r="AP488" cm="1">
        <f t="array" ref="AP488">_xlfn.XLOOKUP(Matrix[[#This Row],[TEAM]]&amp;Matrix[[#Headers],[30]],FDR[FDR]&amp;FDR[[#Headers],[30]],FDR[30],"",0,1)</f>
        <v>4</v>
      </c>
      <c r="AQ488" cm="1">
        <f t="array" ref="AQ488">_xlfn.XLOOKUP(Matrix[[#This Row],[TEAM]]&amp;Matrix[[#Headers],[31]],FDR[FDR]&amp;FDR[[#Headers],[31]],FDR[31],"",0,1)</f>
        <v>1</v>
      </c>
      <c r="AR488" cm="1">
        <f t="array" ref="AR488">_xlfn.XLOOKUP(Matrix[[#This Row],[TEAM]]&amp;Matrix[[#Headers],[32]],FDR[FDR]&amp;FDR[[#Headers],[32]],FDR[32],"",0,1)</f>
        <v>3</v>
      </c>
      <c r="AS488" cm="1">
        <f t="array" ref="AS488">_xlfn.XLOOKUP(Matrix[[#This Row],[TEAM]]&amp;Matrix[[#Headers],[33]],FDR[FDR]&amp;FDR[[#Headers],[33]],FDR[33],"",0,1)</f>
        <v>1</v>
      </c>
      <c r="AT488" cm="1">
        <f t="array" ref="AT488">_xlfn.XLOOKUP(Matrix[[#This Row],[TEAM]]&amp;Matrix[[#Headers],[34]],FDR[FDR]&amp;FDR[[#Headers],[34]],FDR[34],"",0,1)</f>
        <v>3</v>
      </c>
      <c r="AU488" cm="1">
        <f t="array" ref="AU488">_xlfn.XLOOKUP(Matrix[[#This Row],[TEAM]]&amp;Matrix[[#Headers],[35]],FDR[FDR]&amp;FDR[[#Headers],[35]],FDR[35],"",0,1)</f>
        <v>3</v>
      </c>
      <c r="AV488" cm="1">
        <f t="array" ref="AV488">_xlfn.XLOOKUP(Matrix[[#This Row],[TEAM]]&amp;Matrix[[#Headers],[36]],FDR[FDR]&amp;FDR[[#Headers],[36]],FDR[36],"",0,1)</f>
        <v>1</v>
      </c>
      <c r="AW488" cm="1">
        <f t="array" ref="AW488">_xlfn.XLOOKUP(Matrix[[#This Row],[TEAM]]&amp;Matrix[[#Headers],[37]],FDR[FDR]&amp;FDR[[#Headers],[37]],FDR[37],"",0,1)</f>
        <v>3</v>
      </c>
      <c r="AX488" cm="1">
        <f t="array" ref="AX488">_xlfn.XLOOKUP(Matrix[[#This Row],[TEAM]]&amp;Matrix[[#Headers],[38]],FDR[FDR]&amp;FDR[[#Headers],[38]],FDR[38],"",0,1)</f>
        <v>4</v>
      </c>
    </row>
    <row r="489" spans="1:50" ht="22" thickTop="1" thickBot="1">
      <c r="A489" s="51" t="s">
        <v>657</v>
      </c>
      <c r="B489" s="70" t="s">
        <v>1831</v>
      </c>
      <c r="C489" s="40" t="s">
        <v>28</v>
      </c>
      <c r="D489" s="62">
        <v>0</v>
      </c>
      <c r="E489" s="60">
        <v>3.0000000000000001E-3</v>
      </c>
      <c r="F489" s="61">
        <v>0</v>
      </c>
      <c r="G489" s="63">
        <v>4</v>
      </c>
      <c r="H489" s="261">
        <f>IF(ISBLANK(I489),0,1)</f>
        <v>0</v>
      </c>
      <c r="I489" s="57"/>
      <c r="J489" s="58"/>
      <c r="K489" s="65" t="s">
        <v>700</v>
      </c>
      <c r="L489" s="65" t="s">
        <v>563</v>
      </c>
      <c r="M489" cm="1">
        <f t="array" ref="M489">_xlfn.XLOOKUP(Matrix[[#This Row],[TEAM]]&amp;Matrix[[#Headers],[1]],FDR[FDR]&amp;FDR[[#Headers],[1]],FDR[1],"",0,1)</f>
        <v>3</v>
      </c>
      <c r="N489" cm="1">
        <f t="array" ref="N489">_xlfn.XLOOKUP(Matrix[[#This Row],[TEAM]]&amp;Matrix[[#Headers],[2]],FDR[FDR]&amp;FDR[[#Headers],[2]],FDR[2],"",0,1)</f>
        <v>2</v>
      </c>
      <c r="O489" cm="1">
        <f t="array" ref="O489">_xlfn.XLOOKUP(Matrix[[#This Row],[TEAM]]&amp;Matrix[[#Headers],[3]],FDR[FDR]&amp;FDR[[#Headers],[3]],FDR[3],"",0,1)</f>
        <v>1</v>
      </c>
      <c r="P489" cm="1">
        <f t="array" ref="P489">_xlfn.XLOOKUP(Matrix[[#This Row],[TEAM]]&amp;Matrix[[#Headers],[4]],FDR[FDR]&amp;FDR[[#Headers],[4]],FDR[4],"",0,1)</f>
        <v>2</v>
      </c>
      <c r="Q489" cm="1">
        <f t="array" ref="Q489">_xlfn.XLOOKUP(Matrix[[#This Row],[TEAM]]&amp;Matrix[[#Headers],[5]],FDR[FDR]&amp;FDR[[#Headers],[5]],FDR[5],"",0,1)</f>
        <v>1</v>
      </c>
      <c r="R489" cm="1">
        <f t="array" ref="R489">_xlfn.XLOOKUP(Matrix[[#This Row],[TEAM]]&amp;Matrix[[#Headers],[6]],FDR[FDR]&amp;FDR[[#Headers],[6]],FDR[6],"",0,1)</f>
        <v>2</v>
      </c>
      <c r="S489" cm="1">
        <f t="array" ref="S489">_xlfn.XLOOKUP(Matrix[[#This Row],[TEAM]]&amp;Matrix[[#Headers],[7]],FDR[FDR]&amp;FDR[[#Headers],[7]],FDR[7],"",0,1)</f>
        <v>1</v>
      </c>
      <c r="T489" cm="1">
        <f t="array" ref="T489">_xlfn.XLOOKUP(Matrix[[#This Row],[TEAM]]&amp;Matrix[[#Headers],[8]],FDR[FDR]&amp;FDR[[#Headers],[8]],FDR[8],"",0,1)</f>
        <v>4</v>
      </c>
      <c r="U489" cm="1">
        <f t="array" ref="U489">_xlfn.XLOOKUP(Matrix[[#This Row],[TEAM]]&amp;Matrix[[#Headers],[9]],FDR[FDR]&amp;FDR[[#Headers],[9]],FDR[9],"",0,1)</f>
        <v>3</v>
      </c>
      <c r="V489" cm="1">
        <f t="array" ref="V489">_xlfn.XLOOKUP(Matrix[[#This Row],[TEAM]]&amp;Matrix[[#Headers],[10]],FDR[FDR]&amp;FDR[[#Headers],[10]],FDR[10],"",0,1)</f>
        <v>4</v>
      </c>
      <c r="W489" cm="1">
        <f t="array" ref="W489">_xlfn.XLOOKUP(Matrix[[#This Row],[TEAM]]&amp;Matrix[[#Headers],[11]],FDR[FDR]&amp;FDR[[#Headers],[11]],FDR[11],"",0,1)</f>
        <v>2</v>
      </c>
      <c r="X489" cm="1">
        <f t="array" ref="X489">_xlfn.XLOOKUP(Matrix[[#This Row],[TEAM]]&amp;Matrix[[#Headers],[12]],FDR[FDR]&amp;FDR[[#Headers],[12]],FDR[12],"",0,1)</f>
        <v>1</v>
      </c>
      <c r="Y489" cm="1">
        <f t="array" ref="Y489">_xlfn.XLOOKUP(Matrix[[#This Row],[TEAM]]&amp;Matrix[[#Headers],[13]],FDR[FDR]&amp;FDR[[#Headers],[13]],FDR[13],"",0,1)</f>
        <v>1</v>
      </c>
      <c r="Z489" cm="1">
        <f t="array" ref="Z489">_xlfn.XLOOKUP(Matrix[[#This Row],[TEAM]]&amp;Matrix[[#Headers],[14]],FDR[FDR]&amp;FDR[[#Headers],[14]],FDR[14],"",0,1)</f>
        <v>3</v>
      </c>
      <c r="AA489" cm="1">
        <f t="array" ref="AA489">_xlfn.XLOOKUP(Matrix[[#This Row],[TEAM]]&amp;Matrix[[#Headers],[15]],FDR[FDR]&amp;FDR[[#Headers],[15]],FDR[15],"",0,1)</f>
        <v>3</v>
      </c>
      <c r="AB489" cm="1">
        <f t="array" ref="AB489">_xlfn.XLOOKUP(Matrix[[#This Row],[TEAM]]&amp;Matrix[[#Headers],[16]],FDR[FDR]&amp;FDR[[#Headers],[16]],FDR[16],"",0,1)</f>
        <v>2</v>
      </c>
      <c r="AC489" cm="1">
        <f t="array" ref="AC489">_xlfn.XLOOKUP(Matrix[[#This Row],[TEAM]]&amp;Matrix[[#Headers],[17]],FDR[FDR]&amp;FDR[[#Headers],[17]],FDR[17],"",0,1)</f>
        <v>3</v>
      </c>
      <c r="AD489" cm="1">
        <f t="array" ref="AD489">_xlfn.XLOOKUP(Matrix[[#This Row],[TEAM]]&amp;Matrix[[#Headers],[18]],FDR[FDR]&amp;FDR[[#Headers],[18]],FDR[18],"",0,1)</f>
        <v>4</v>
      </c>
      <c r="AE489" cm="1">
        <f t="array" ref="AE489">_xlfn.XLOOKUP(Matrix[[#This Row],[TEAM]]&amp;Matrix[[#Headers],[19]],FDR[FDR]&amp;FDR[[#Headers],[19]],FDR[19],"",0,1)</f>
        <v>4</v>
      </c>
      <c r="AF489" cm="1">
        <f t="array" ref="AF489">_xlfn.XLOOKUP(Matrix[[#This Row],[TEAM]]&amp;Matrix[[#Headers],[20]],FDR[FDR]&amp;FDR[[#Headers],[20]],FDR[20],"",0,1)</f>
        <v>2</v>
      </c>
      <c r="AG489" cm="1">
        <f t="array" ref="AG489">_xlfn.XLOOKUP(Matrix[[#This Row],[TEAM]]&amp;Matrix[[#Headers],[21]],FDR[FDR]&amp;FDR[[#Headers],[21]],FDR[21],"",0,1)</f>
        <v>2</v>
      </c>
      <c r="AH489" cm="1">
        <f t="array" ref="AH489">_xlfn.XLOOKUP(Matrix[[#This Row],[TEAM]]&amp;Matrix[[#Headers],[22]],FDR[FDR]&amp;FDR[[#Headers],[22]],FDR[22],"",0,1)</f>
        <v>1</v>
      </c>
      <c r="AI489" cm="1">
        <f t="array" ref="AI489">_xlfn.XLOOKUP(Matrix[[#This Row],[TEAM]]&amp;Matrix[[#Headers],[23]],FDR[FDR]&amp;FDR[[#Headers],[23]],FDR[23],"",0,1)</f>
        <v>4</v>
      </c>
      <c r="AJ489" cm="1">
        <f t="array" ref="AJ489">_xlfn.XLOOKUP(Matrix[[#This Row],[TEAM]]&amp;Matrix[[#Headers],[24]],FDR[FDR]&amp;FDR[[#Headers],[24]],FDR[24],"",0,1)</f>
        <v>1</v>
      </c>
      <c r="AK489" cm="1">
        <f t="array" ref="AK489">_xlfn.XLOOKUP(Matrix[[#This Row],[TEAM]]&amp;Matrix[[#Headers],[25]],FDR[FDR]&amp;FDR[[#Headers],[25]],FDR[25],"",0,1)</f>
        <v>3</v>
      </c>
      <c r="AL489" cm="1">
        <f t="array" ref="AL489">_xlfn.XLOOKUP(Matrix[[#This Row],[TEAM]]&amp;Matrix[[#Headers],[26]],FDR[FDR]&amp;FDR[[#Headers],[26]],FDR[26],"",0,1)</f>
        <v>2</v>
      </c>
      <c r="AM489" cm="1">
        <f t="array" ref="AM489">_xlfn.XLOOKUP(Matrix[[#This Row],[TEAM]]&amp;Matrix[[#Headers],[27]],FDR[FDR]&amp;FDR[[#Headers],[27]],FDR[27],"",0,1)</f>
        <v>1</v>
      </c>
      <c r="AN489" cm="1">
        <f t="array" ref="AN489">_xlfn.XLOOKUP(Matrix[[#This Row],[TEAM]]&amp;Matrix[[#Headers],[28]],FDR[FDR]&amp;FDR[[#Headers],[28]],FDR[28],"",0,1)</f>
        <v>1</v>
      </c>
      <c r="AO489" cm="1">
        <f t="array" ref="AO489">_xlfn.XLOOKUP(Matrix[[#This Row],[TEAM]]&amp;Matrix[[#Headers],[29]],FDR[FDR]&amp;FDR[[#Headers],[29]],FDR[29],"",0,1)</f>
        <v>3</v>
      </c>
      <c r="AP489" cm="1">
        <f t="array" ref="AP489">_xlfn.XLOOKUP(Matrix[[#This Row],[TEAM]]&amp;Matrix[[#Headers],[30]],FDR[FDR]&amp;FDR[[#Headers],[30]],FDR[30],"",0,1)</f>
        <v>4</v>
      </c>
      <c r="AQ489" cm="1">
        <f t="array" ref="AQ489">_xlfn.XLOOKUP(Matrix[[#This Row],[TEAM]]&amp;Matrix[[#Headers],[31]],FDR[FDR]&amp;FDR[[#Headers],[31]],FDR[31],"",0,1)</f>
        <v>1</v>
      </c>
      <c r="AR489" cm="1">
        <f t="array" ref="AR489">_xlfn.XLOOKUP(Matrix[[#This Row],[TEAM]]&amp;Matrix[[#Headers],[32]],FDR[FDR]&amp;FDR[[#Headers],[32]],FDR[32],"",0,1)</f>
        <v>3</v>
      </c>
      <c r="AS489" cm="1">
        <f t="array" ref="AS489">_xlfn.XLOOKUP(Matrix[[#This Row],[TEAM]]&amp;Matrix[[#Headers],[33]],FDR[FDR]&amp;FDR[[#Headers],[33]],FDR[33],"",0,1)</f>
        <v>1</v>
      </c>
      <c r="AT489" cm="1">
        <f t="array" ref="AT489">_xlfn.XLOOKUP(Matrix[[#This Row],[TEAM]]&amp;Matrix[[#Headers],[34]],FDR[FDR]&amp;FDR[[#Headers],[34]],FDR[34],"",0,1)</f>
        <v>3</v>
      </c>
      <c r="AU489" cm="1">
        <f t="array" ref="AU489">_xlfn.XLOOKUP(Matrix[[#This Row],[TEAM]]&amp;Matrix[[#Headers],[35]],FDR[FDR]&amp;FDR[[#Headers],[35]],FDR[35],"",0,1)</f>
        <v>3</v>
      </c>
      <c r="AV489" cm="1">
        <f t="array" ref="AV489">_xlfn.XLOOKUP(Matrix[[#This Row],[TEAM]]&amp;Matrix[[#Headers],[36]],FDR[FDR]&amp;FDR[[#Headers],[36]],FDR[36],"",0,1)</f>
        <v>1</v>
      </c>
      <c r="AW489" cm="1">
        <f t="array" ref="AW489">_xlfn.XLOOKUP(Matrix[[#This Row],[TEAM]]&amp;Matrix[[#Headers],[37]],FDR[FDR]&amp;FDR[[#Headers],[37]],FDR[37],"",0,1)</f>
        <v>3</v>
      </c>
      <c r="AX489" cm="1">
        <f t="array" ref="AX489">_xlfn.XLOOKUP(Matrix[[#This Row],[TEAM]]&amp;Matrix[[#Headers],[38]],FDR[FDR]&amp;FDR[[#Headers],[38]],FDR[38],"",0,1)</f>
        <v>4</v>
      </c>
    </row>
    <row r="490" spans="1:50" ht="22" thickTop="1" thickBot="1">
      <c r="A490" s="51" t="s">
        <v>657</v>
      </c>
      <c r="B490" s="70" t="s">
        <v>1821</v>
      </c>
      <c r="C490" s="40" t="s">
        <v>43</v>
      </c>
      <c r="D490" s="62">
        <v>0</v>
      </c>
      <c r="E490" s="60">
        <v>4.0000000000000001E-3</v>
      </c>
      <c r="F490" s="61">
        <v>0</v>
      </c>
      <c r="G490" s="63">
        <v>4</v>
      </c>
      <c r="H490" s="261">
        <f>IF(ISBLANK(I490),0,1)</f>
        <v>0</v>
      </c>
      <c r="I490" s="57"/>
      <c r="J490" s="58"/>
      <c r="K490" s="65" t="s">
        <v>1008</v>
      </c>
      <c r="L490" s="65" t="s">
        <v>1009</v>
      </c>
      <c r="M490" cm="1">
        <f t="array" ref="M490">_xlfn.XLOOKUP(Matrix[[#This Row],[TEAM]]&amp;Matrix[[#Headers],[1]],FDR[FDR]&amp;FDR[[#Headers],[1]],FDR[1],"",0,1)</f>
        <v>5</v>
      </c>
      <c r="N490" cm="1">
        <f t="array" ref="N490">_xlfn.XLOOKUP(Matrix[[#This Row],[TEAM]]&amp;Matrix[[#Headers],[2]],FDR[FDR]&amp;FDR[[#Headers],[2]],FDR[2],"",0,1)</f>
        <v>1</v>
      </c>
      <c r="O490" cm="1">
        <f t="array" ref="O490">_xlfn.XLOOKUP(Matrix[[#This Row],[TEAM]]&amp;Matrix[[#Headers],[3]],FDR[FDR]&amp;FDR[[#Headers],[3]],FDR[3],"",0,1)</f>
        <v>5</v>
      </c>
      <c r="P490" cm="1">
        <f t="array" ref="P490">_xlfn.XLOOKUP(Matrix[[#This Row],[TEAM]]&amp;Matrix[[#Headers],[4]],FDR[FDR]&amp;FDR[[#Headers],[4]],FDR[4],"",0,1)</f>
        <v>3</v>
      </c>
      <c r="Q490" cm="1">
        <f t="array" ref="Q490">_xlfn.XLOOKUP(Matrix[[#This Row],[TEAM]]&amp;Matrix[[#Headers],[5]],FDR[FDR]&amp;FDR[[#Headers],[5]],FDR[5],"",0,1)</f>
        <v>4</v>
      </c>
      <c r="R490" cm="1">
        <f t="array" ref="R490">_xlfn.XLOOKUP(Matrix[[#This Row],[TEAM]]&amp;Matrix[[#Headers],[6]],FDR[FDR]&amp;FDR[[#Headers],[6]],FDR[6],"",0,1)</f>
        <v>2</v>
      </c>
      <c r="S490" cm="1">
        <f t="array" ref="S490">_xlfn.XLOOKUP(Matrix[[#This Row],[TEAM]]&amp;Matrix[[#Headers],[7]],FDR[FDR]&amp;FDR[[#Headers],[7]],FDR[7],"",0,1)</f>
        <v>3</v>
      </c>
      <c r="T490" cm="1">
        <f t="array" ref="T490">_xlfn.XLOOKUP(Matrix[[#This Row],[TEAM]]&amp;Matrix[[#Headers],[8]],FDR[FDR]&amp;FDR[[#Headers],[8]],FDR[8],"",0,1)</f>
        <v>3</v>
      </c>
      <c r="U490" cm="1">
        <f t="array" ref="U490">_xlfn.XLOOKUP(Matrix[[#This Row],[TEAM]]&amp;Matrix[[#Headers],[9]],FDR[FDR]&amp;FDR[[#Headers],[9]],FDR[9],"",0,1)</f>
        <v>3</v>
      </c>
      <c r="V490" cm="1">
        <f t="array" ref="V490">_xlfn.XLOOKUP(Matrix[[#This Row],[TEAM]]&amp;Matrix[[#Headers],[10]],FDR[FDR]&amp;FDR[[#Headers],[10]],FDR[10],"",0,1)</f>
        <v>5</v>
      </c>
      <c r="W490" cm="1">
        <f t="array" ref="W490">_xlfn.XLOOKUP(Matrix[[#This Row],[TEAM]]&amp;Matrix[[#Headers],[11]],FDR[FDR]&amp;FDR[[#Headers],[11]],FDR[11],"",0,1)</f>
        <v>5</v>
      </c>
      <c r="X490" cm="1">
        <f t="array" ref="X490">_xlfn.XLOOKUP(Matrix[[#This Row],[TEAM]]&amp;Matrix[[#Headers],[12]],FDR[FDR]&amp;FDR[[#Headers],[12]],FDR[12],"",0,1)</f>
        <v>2</v>
      </c>
      <c r="Y490" cm="1">
        <f t="array" ref="Y490">_xlfn.XLOOKUP(Matrix[[#This Row],[TEAM]]&amp;Matrix[[#Headers],[13]],FDR[FDR]&amp;FDR[[#Headers],[13]],FDR[13],"",0,1)</f>
        <v>2</v>
      </c>
      <c r="Z490" cm="1">
        <f t="array" ref="Z490">_xlfn.XLOOKUP(Matrix[[#This Row],[TEAM]]&amp;Matrix[[#Headers],[14]],FDR[FDR]&amp;FDR[[#Headers],[14]],FDR[14],"",0,1)</f>
        <v>2</v>
      </c>
      <c r="AA490" cm="1">
        <f t="array" ref="AA490">_xlfn.XLOOKUP(Matrix[[#This Row],[TEAM]]&amp;Matrix[[#Headers],[15]],FDR[FDR]&amp;FDR[[#Headers],[15]],FDR[15],"",0,1)</f>
        <v>4</v>
      </c>
      <c r="AB490" cm="1">
        <f t="array" ref="AB490">_xlfn.XLOOKUP(Matrix[[#This Row],[TEAM]]&amp;Matrix[[#Headers],[16]],FDR[FDR]&amp;FDR[[#Headers],[16]],FDR[16],"",0,1)</f>
        <v>5</v>
      </c>
      <c r="AC490" cm="1">
        <f t="array" ref="AC490">_xlfn.XLOOKUP(Matrix[[#This Row],[TEAM]]&amp;Matrix[[#Headers],[17]],FDR[FDR]&amp;FDR[[#Headers],[17]],FDR[17],"",0,1)</f>
        <v>1</v>
      </c>
      <c r="AD490" cm="1">
        <f t="array" ref="AD490">_xlfn.XLOOKUP(Matrix[[#This Row],[TEAM]]&amp;Matrix[[#Headers],[18]],FDR[FDR]&amp;FDR[[#Headers],[18]],FDR[18],"",0,1)</f>
        <v>3</v>
      </c>
      <c r="AE490" cm="1">
        <f t="array" ref="AE490">_xlfn.XLOOKUP(Matrix[[#This Row],[TEAM]]&amp;Matrix[[#Headers],[19]],FDR[FDR]&amp;FDR[[#Headers],[19]],FDR[19],"",0,1)</f>
        <v>5</v>
      </c>
      <c r="AF490" cm="1">
        <f t="array" ref="AF490">_xlfn.XLOOKUP(Matrix[[#This Row],[TEAM]]&amp;Matrix[[#Headers],[20]],FDR[FDR]&amp;FDR[[#Headers],[20]],FDR[20],"",0,1)</f>
        <v>4</v>
      </c>
      <c r="AG490" cm="1">
        <f t="array" ref="AG490">_xlfn.XLOOKUP(Matrix[[#This Row],[TEAM]]&amp;Matrix[[#Headers],[21]],FDR[FDR]&amp;FDR[[#Headers],[21]],FDR[21],"",0,1)</f>
        <v>4</v>
      </c>
      <c r="AH490" cm="1">
        <f t="array" ref="AH490">_xlfn.XLOOKUP(Matrix[[#This Row],[TEAM]]&amp;Matrix[[#Headers],[22]],FDR[FDR]&amp;FDR[[#Headers],[22]],FDR[22],"",0,1)</f>
        <v>4</v>
      </c>
      <c r="AI490" cm="1">
        <f t="array" ref="AI490">_xlfn.XLOOKUP(Matrix[[#This Row],[TEAM]]&amp;Matrix[[#Headers],[23]],FDR[FDR]&amp;FDR[[#Headers],[23]],FDR[23],"",0,1)</f>
        <v>4</v>
      </c>
      <c r="AJ490" cm="1">
        <f t="array" ref="AJ490">_xlfn.XLOOKUP(Matrix[[#This Row],[TEAM]]&amp;Matrix[[#Headers],[24]],FDR[FDR]&amp;FDR[[#Headers],[24]],FDR[24],"",0,1)</f>
        <v>2</v>
      </c>
      <c r="AK490" cm="1">
        <f t="array" ref="AK490">_xlfn.XLOOKUP(Matrix[[#This Row],[TEAM]]&amp;Matrix[[#Headers],[25]],FDR[FDR]&amp;FDR[[#Headers],[25]],FDR[25],"",0,1)</f>
        <v>3</v>
      </c>
      <c r="AL490" cm="1">
        <f t="array" ref="AL490">_xlfn.XLOOKUP(Matrix[[#This Row],[TEAM]]&amp;Matrix[[#Headers],[26]],FDR[FDR]&amp;FDR[[#Headers],[26]],FDR[26],"",0,1)</f>
        <v>3</v>
      </c>
      <c r="AM490" cm="1">
        <f t="array" ref="AM490">_xlfn.XLOOKUP(Matrix[[#This Row],[TEAM]]&amp;Matrix[[#Headers],[27]],FDR[FDR]&amp;FDR[[#Headers],[27]],FDR[27],"",0,1)</f>
        <v>3</v>
      </c>
      <c r="AN490" cm="1">
        <f t="array" ref="AN490">_xlfn.XLOOKUP(Matrix[[#This Row],[TEAM]]&amp;Matrix[[#Headers],[28]],FDR[FDR]&amp;FDR[[#Headers],[28]],FDR[28],"",0,1)</f>
        <v>1</v>
      </c>
      <c r="AO490" cm="1">
        <f t="array" ref="AO490">_xlfn.XLOOKUP(Matrix[[#This Row],[TEAM]]&amp;Matrix[[#Headers],[29]],FDR[FDR]&amp;FDR[[#Headers],[29]],FDR[29],"",0,1)</f>
        <v>2</v>
      </c>
      <c r="AP490" cm="1">
        <f t="array" ref="AP490">_xlfn.XLOOKUP(Matrix[[#This Row],[TEAM]]&amp;Matrix[[#Headers],[30]],FDR[FDR]&amp;FDR[[#Headers],[30]],FDR[30],"",0,1)</f>
        <v>2</v>
      </c>
      <c r="AQ490" cm="1">
        <f t="array" ref="AQ490">_xlfn.XLOOKUP(Matrix[[#This Row],[TEAM]]&amp;Matrix[[#Headers],[31]],FDR[FDR]&amp;FDR[[#Headers],[31]],FDR[31],"",0,1)</f>
        <v>4</v>
      </c>
      <c r="AR490" cm="1">
        <f t="array" ref="AR490">_xlfn.XLOOKUP(Matrix[[#This Row],[TEAM]]&amp;Matrix[[#Headers],[32]],FDR[FDR]&amp;FDR[[#Headers],[32]],FDR[32],"",0,1)</f>
        <v>5</v>
      </c>
      <c r="AS490" cm="1">
        <f t="array" ref="AS490">_xlfn.XLOOKUP(Matrix[[#This Row],[TEAM]]&amp;Matrix[[#Headers],[33]],FDR[FDR]&amp;FDR[[#Headers],[33]],FDR[33],"",0,1)</f>
        <v>5</v>
      </c>
      <c r="AT490" cm="1">
        <f t="array" ref="AT490">_xlfn.XLOOKUP(Matrix[[#This Row],[TEAM]]&amp;Matrix[[#Headers],[34]],FDR[FDR]&amp;FDR[[#Headers],[34]],FDR[34],"",0,1)</f>
        <v>1</v>
      </c>
      <c r="AU490" cm="1">
        <f t="array" ref="AU490">_xlfn.XLOOKUP(Matrix[[#This Row],[TEAM]]&amp;Matrix[[#Headers],[35]],FDR[FDR]&amp;FDR[[#Headers],[35]],FDR[35],"",0,1)</f>
        <v>2</v>
      </c>
      <c r="AV490" cm="1">
        <f t="array" ref="AV490">_xlfn.XLOOKUP(Matrix[[#This Row],[TEAM]]&amp;Matrix[[#Headers],[36]],FDR[FDR]&amp;FDR[[#Headers],[36]],FDR[36],"",0,1)</f>
        <v>4</v>
      </c>
      <c r="AW490" cm="1">
        <f t="array" ref="AW490">_xlfn.XLOOKUP(Matrix[[#This Row],[TEAM]]&amp;Matrix[[#Headers],[37]],FDR[FDR]&amp;FDR[[#Headers],[37]],FDR[37],"",0,1)</f>
        <v>4</v>
      </c>
      <c r="AX490" cm="1">
        <f t="array" ref="AX490">_xlfn.XLOOKUP(Matrix[[#This Row],[TEAM]]&amp;Matrix[[#Headers],[38]],FDR[FDR]&amp;FDR[[#Headers],[38]],FDR[38],"",0,1)</f>
        <v>4</v>
      </c>
    </row>
    <row r="491" spans="1:50" ht="22" thickTop="1" thickBot="1">
      <c r="A491" s="51" t="s">
        <v>657</v>
      </c>
      <c r="B491" s="70" t="s">
        <v>1834</v>
      </c>
      <c r="C491" s="40" t="s">
        <v>43</v>
      </c>
      <c r="D491" s="62">
        <v>0</v>
      </c>
      <c r="E491" s="60">
        <v>3.0000000000000001E-3</v>
      </c>
      <c r="F491" s="61">
        <v>0</v>
      </c>
      <c r="G491" s="63">
        <v>4</v>
      </c>
      <c r="H491" s="261">
        <f>IF(ISBLANK(I491),0,1)</f>
        <v>0</v>
      </c>
      <c r="I491" s="57"/>
      <c r="J491" s="58"/>
      <c r="K491" s="65" t="s">
        <v>494</v>
      </c>
      <c r="L491" s="65" t="s">
        <v>150</v>
      </c>
      <c r="M491" cm="1">
        <f t="array" ref="M491">_xlfn.XLOOKUP(Matrix[[#This Row],[TEAM]]&amp;Matrix[[#Headers],[1]],FDR[FDR]&amp;FDR[[#Headers],[1]],FDR[1],"",0,1)</f>
        <v>5</v>
      </c>
      <c r="N491" cm="1">
        <f t="array" ref="N491">_xlfn.XLOOKUP(Matrix[[#This Row],[TEAM]]&amp;Matrix[[#Headers],[2]],FDR[FDR]&amp;FDR[[#Headers],[2]],FDR[2],"",0,1)</f>
        <v>1</v>
      </c>
      <c r="O491" cm="1">
        <f t="array" ref="O491">_xlfn.XLOOKUP(Matrix[[#This Row],[TEAM]]&amp;Matrix[[#Headers],[3]],FDR[FDR]&amp;FDR[[#Headers],[3]],FDR[3],"",0,1)</f>
        <v>5</v>
      </c>
      <c r="P491" cm="1">
        <f t="array" ref="P491">_xlfn.XLOOKUP(Matrix[[#This Row],[TEAM]]&amp;Matrix[[#Headers],[4]],FDR[FDR]&amp;FDR[[#Headers],[4]],FDR[4],"",0,1)</f>
        <v>3</v>
      </c>
      <c r="Q491" cm="1">
        <f t="array" ref="Q491">_xlfn.XLOOKUP(Matrix[[#This Row],[TEAM]]&amp;Matrix[[#Headers],[5]],FDR[FDR]&amp;FDR[[#Headers],[5]],FDR[5],"",0,1)</f>
        <v>4</v>
      </c>
      <c r="R491" cm="1">
        <f t="array" ref="R491">_xlfn.XLOOKUP(Matrix[[#This Row],[TEAM]]&amp;Matrix[[#Headers],[6]],FDR[FDR]&amp;FDR[[#Headers],[6]],FDR[6],"",0,1)</f>
        <v>2</v>
      </c>
      <c r="S491" cm="1">
        <f t="array" ref="S491">_xlfn.XLOOKUP(Matrix[[#This Row],[TEAM]]&amp;Matrix[[#Headers],[7]],FDR[FDR]&amp;FDR[[#Headers],[7]],FDR[7],"",0,1)</f>
        <v>3</v>
      </c>
      <c r="T491" cm="1">
        <f t="array" ref="T491">_xlfn.XLOOKUP(Matrix[[#This Row],[TEAM]]&amp;Matrix[[#Headers],[8]],FDR[FDR]&amp;FDR[[#Headers],[8]],FDR[8],"",0,1)</f>
        <v>3</v>
      </c>
      <c r="U491" cm="1">
        <f t="array" ref="U491">_xlfn.XLOOKUP(Matrix[[#This Row],[TEAM]]&amp;Matrix[[#Headers],[9]],FDR[FDR]&amp;FDR[[#Headers],[9]],FDR[9],"",0,1)</f>
        <v>3</v>
      </c>
      <c r="V491" cm="1">
        <f t="array" ref="V491">_xlfn.XLOOKUP(Matrix[[#This Row],[TEAM]]&amp;Matrix[[#Headers],[10]],FDR[FDR]&amp;FDR[[#Headers],[10]],FDR[10],"",0,1)</f>
        <v>5</v>
      </c>
      <c r="W491" cm="1">
        <f t="array" ref="W491">_xlfn.XLOOKUP(Matrix[[#This Row],[TEAM]]&amp;Matrix[[#Headers],[11]],FDR[FDR]&amp;FDR[[#Headers],[11]],FDR[11],"",0,1)</f>
        <v>5</v>
      </c>
      <c r="X491" cm="1">
        <f t="array" ref="X491">_xlfn.XLOOKUP(Matrix[[#This Row],[TEAM]]&amp;Matrix[[#Headers],[12]],FDR[FDR]&amp;FDR[[#Headers],[12]],FDR[12],"",0,1)</f>
        <v>2</v>
      </c>
      <c r="Y491" cm="1">
        <f t="array" ref="Y491">_xlfn.XLOOKUP(Matrix[[#This Row],[TEAM]]&amp;Matrix[[#Headers],[13]],FDR[FDR]&amp;FDR[[#Headers],[13]],FDR[13],"",0,1)</f>
        <v>2</v>
      </c>
      <c r="Z491" cm="1">
        <f t="array" ref="Z491">_xlfn.XLOOKUP(Matrix[[#This Row],[TEAM]]&amp;Matrix[[#Headers],[14]],FDR[FDR]&amp;FDR[[#Headers],[14]],FDR[14],"",0,1)</f>
        <v>2</v>
      </c>
      <c r="AA491" cm="1">
        <f t="array" ref="AA491">_xlfn.XLOOKUP(Matrix[[#This Row],[TEAM]]&amp;Matrix[[#Headers],[15]],FDR[FDR]&amp;FDR[[#Headers],[15]],FDR[15],"",0,1)</f>
        <v>4</v>
      </c>
      <c r="AB491" cm="1">
        <f t="array" ref="AB491">_xlfn.XLOOKUP(Matrix[[#This Row],[TEAM]]&amp;Matrix[[#Headers],[16]],FDR[FDR]&amp;FDR[[#Headers],[16]],FDR[16],"",0,1)</f>
        <v>5</v>
      </c>
      <c r="AC491" cm="1">
        <f t="array" ref="AC491">_xlfn.XLOOKUP(Matrix[[#This Row],[TEAM]]&amp;Matrix[[#Headers],[17]],FDR[FDR]&amp;FDR[[#Headers],[17]],FDR[17],"",0,1)</f>
        <v>1</v>
      </c>
      <c r="AD491" cm="1">
        <f t="array" ref="AD491">_xlfn.XLOOKUP(Matrix[[#This Row],[TEAM]]&amp;Matrix[[#Headers],[18]],FDR[FDR]&amp;FDR[[#Headers],[18]],FDR[18],"",0,1)</f>
        <v>3</v>
      </c>
      <c r="AE491" cm="1">
        <f t="array" ref="AE491">_xlfn.XLOOKUP(Matrix[[#This Row],[TEAM]]&amp;Matrix[[#Headers],[19]],FDR[FDR]&amp;FDR[[#Headers],[19]],FDR[19],"",0,1)</f>
        <v>5</v>
      </c>
      <c r="AF491" cm="1">
        <f t="array" ref="AF491">_xlfn.XLOOKUP(Matrix[[#This Row],[TEAM]]&amp;Matrix[[#Headers],[20]],FDR[FDR]&amp;FDR[[#Headers],[20]],FDR[20],"",0,1)</f>
        <v>4</v>
      </c>
      <c r="AG491" cm="1">
        <f t="array" ref="AG491">_xlfn.XLOOKUP(Matrix[[#This Row],[TEAM]]&amp;Matrix[[#Headers],[21]],FDR[FDR]&amp;FDR[[#Headers],[21]],FDR[21],"",0,1)</f>
        <v>4</v>
      </c>
      <c r="AH491" cm="1">
        <f t="array" ref="AH491">_xlfn.XLOOKUP(Matrix[[#This Row],[TEAM]]&amp;Matrix[[#Headers],[22]],FDR[FDR]&amp;FDR[[#Headers],[22]],FDR[22],"",0,1)</f>
        <v>4</v>
      </c>
      <c r="AI491" cm="1">
        <f t="array" ref="AI491">_xlfn.XLOOKUP(Matrix[[#This Row],[TEAM]]&amp;Matrix[[#Headers],[23]],FDR[FDR]&amp;FDR[[#Headers],[23]],FDR[23],"",0,1)</f>
        <v>4</v>
      </c>
      <c r="AJ491" cm="1">
        <f t="array" ref="AJ491">_xlfn.XLOOKUP(Matrix[[#This Row],[TEAM]]&amp;Matrix[[#Headers],[24]],FDR[FDR]&amp;FDR[[#Headers],[24]],FDR[24],"",0,1)</f>
        <v>2</v>
      </c>
      <c r="AK491" cm="1">
        <f t="array" ref="AK491">_xlfn.XLOOKUP(Matrix[[#This Row],[TEAM]]&amp;Matrix[[#Headers],[25]],FDR[FDR]&amp;FDR[[#Headers],[25]],FDR[25],"",0,1)</f>
        <v>3</v>
      </c>
      <c r="AL491" cm="1">
        <f t="array" ref="AL491">_xlfn.XLOOKUP(Matrix[[#This Row],[TEAM]]&amp;Matrix[[#Headers],[26]],FDR[FDR]&amp;FDR[[#Headers],[26]],FDR[26],"",0,1)</f>
        <v>3</v>
      </c>
      <c r="AM491" cm="1">
        <f t="array" ref="AM491">_xlfn.XLOOKUP(Matrix[[#This Row],[TEAM]]&amp;Matrix[[#Headers],[27]],FDR[FDR]&amp;FDR[[#Headers],[27]],FDR[27],"",0,1)</f>
        <v>3</v>
      </c>
      <c r="AN491" cm="1">
        <f t="array" ref="AN491">_xlfn.XLOOKUP(Matrix[[#This Row],[TEAM]]&amp;Matrix[[#Headers],[28]],FDR[FDR]&amp;FDR[[#Headers],[28]],FDR[28],"",0,1)</f>
        <v>1</v>
      </c>
      <c r="AO491" cm="1">
        <f t="array" ref="AO491">_xlfn.XLOOKUP(Matrix[[#This Row],[TEAM]]&amp;Matrix[[#Headers],[29]],FDR[FDR]&amp;FDR[[#Headers],[29]],FDR[29],"",0,1)</f>
        <v>2</v>
      </c>
      <c r="AP491" cm="1">
        <f t="array" ref="AP491">_xlfn.XLOOKUP(Matrix[[#This Row],[TEAM]]&amp;Matrix[[#Headers],[30]],FDR[FDR]&amp;FDR[[#Headers],[30]],FDR[30],"",0,1)</f>
        <v>2</v>
      </c>
      <c r="AQ491" cm="1">
        <f t="array" ref="AQ491">_xlfn.XLOOKUP(Matrix[[#This Row],[TEAM]]&amp;Matrix[[#Headers],[31]],FDR[FDR]&amp;FDR[[#Headers],[31]],FDR[31],"",0,1)</f>
        <v>4</v>
      </c>
      <c r="AR491" cm="1">
        <f t="array" ref="AR491">_xlfn.XLOOKUP(Matrix[[#This Row],[TEAM]]&amp;Matrix[[#Headers],[32]],FDR[FDR]&amp;FDR[[#Headers],[32]],FDR[32],"",0,1)</f>
        <v>5</v>
      </c>
      <c r="AS491" cm="1">
        <f t="array" ref="AS491">_xlfn.XLOOKUP(Matrix[[#This Row],[TEAM]]&amp;Matrix[[#Headers],[33]],FDR[FDR]&amp;FDR[[#Headers],[33]],FDR[33],"",0,1)</f>
        <v>5</v>
      </c>
      <c r="AT491" cm="1">
        <f t="array" ref="AT491">_xlfn.XLOOKUP(Matrix[[#This Row],[TEAM]]&amp;Matrix[[#Headers],[34]],FDR[FDR]&amp;FDR[[#Headers],[34]],FDR[34],"",0,1)</f>
        <v>1</v>
      </c>
      <c r="AU491" cm="1">
        <f t="array" ref="AU491">_xlfn.XLOOKUP(Matrix[[#This Row],[TEAM]]&amp;Matrix[[#Headers],[35]],FDR[FDR]&amp;FDR[[#Headers],[35]],FDR[35],"",0,1)</f>
        <v>2</v>
      </c>
      <c r="AV491" cm="1">
        <f t="array" ref="AV491">_xlfn.XLOOKUP(Matrix[[#This Row],[TEAM]]&amp;Matrix[[#Headers],[36]],FDR[FDR]&amp;FDR[[#Headers],[36]],FDR[36],"",0,1)</f>
        <v>4</v>
      </c>
      <c r="AW491" cm="1">
        <f t="array" ref="AW491">_xlfn.XLOOKUP(Matrix[[#This Row],[TEAM]]&amp;Matrix[[#Headers],[37]],FDR[FDR]&amp;FDR[[#Headers],[37]],FDR[37],"",0,1)</f>
        <v>4</v>
      </c>
      <c r="AX491" cm="1">
        <f t="array" ref="AX491">_xlfn.XLOOKUP(Matrix[[#This Row],[TEAM]]&amp;Matrix[[#Headers],[38]],FDR[FDR]&amp;FDR[[#Headers],[38]],FDR[38],"",0,1)</f>
        <v>4</v>
      </c>
    </row>
    <row r="492" spans="1:50" ht="22" thickTop="1" thickBot="1">
      <c r="A492" s="51" t="s">
        <v>657</v>
      </c>
      <c r="B492" s="70" t="s">
        <v>1849</v>
      </c>
      <c r="C492" s="40" t="s">
        <v>43</v>
      </c>
      <c r="D492" s="62">
        <v>0</v>
      </c>
      <c r="E492" s="60">
        <v>2E-3</v>
      </c>
      <c r="F492" s="61">
        <v>0</v>
      </c>
      <c r="G492" s="63">
        <v>4</v>
      </c>
      <c r="H492" s="261">
        <f>IF(ISBLANK(I492),0,1)</f>
        <v>0</v>
      </c>
      <c r="I492" s="57"/>
      <c r="J492" s="58"/>
      <c r="K492" s="65" t="s">
        <v>1010</v>
      </c>
      <c r="L492" s="65" t="s">
        <v>1011</v>
      </c>
      <c r="M492" cm="1">
        <f t="array" ref="M492">_xlfn.XLOOKUP(Matrix[[#This Row],[TEAM]]&amp;Matrix[[#Headers],[1]],FDR[FDR]&amp;FDR[[#Headers],[1]],FDR[1],"",0,1)</f>
        <v>5</v>
      </c>
      <c r="N492" cm="1">
        <f t="array" ref="N492">_xlfn.XLOOKUP(Matrix[[#This Row],[TEAM]]&amp;Matrix[[#Headers],[2]],FDR[FDR]&amp;FDR[[#Headers],[2]],FDR[2],"",0,1)</f>
        <v>1</v>
      </c>
      <c r="O492" cm="1">
        <f t="array" ref="O492">_xlfn.XLOOKUP(Matrix[[#This Row],[TEAM]]&amp;Matrix[[#Headers],[3]],FDR[FDR]&amp;FDR[[#Headers],[3]],FDR[3],"",0,1)</f>
        <v>5</v>
      </c>
      <c r="P492" cm="1">
        <f t="array" ref="P492">_xlfn.XLOOKUP(Matrix[[#This Row],[TEAM]]&amp;Matrix[[#Headers],[4]],FDR[FDR]&amp;FDR[[#Headers],[4]],FDR[4],"",0,1)</f>
        <v>3</v>
      </c>
      <c r="Q492" cm="1">
        <f t="array" ref="Q492">_xlfn.XLOOKUP(Matrix[[#This Row],[TEAM]]&amp;Matrix[[#Headers],[5]],FDR[FDR]&amp;FDR[[#Headers],[5]],FDR[5],"",0,1)</f>
        <v>4</v>
      </c>
      <c r="R492" cm="1">
        <f t="array" ref="R492">_xlfn.XLOOKUP(Matrix[[#This Row],[TEAM]]&amp;Matrix[[#Headers],[6]],FDR[FDR]&amp;FDR[[#Headers],[6]],FDR[6],"",0,1)</f>
        <v>2</v>
      </c>
      <c r="S492" cm="1">
        <f t="array" ref="S492">_xlfn.XLOOKUP(Matrix[[#This Row],[TEAM]]&amp;Matrix[[#Headers],[7]],FDR[FDR]&amp;FDR[[#Headers],[7]],FDR[7],"",0,1)</f>
        <v>3</v>
      </c>
      <c r="T492" cm="1">
        <f t="array" ref="T492">_xlfn.XLOOKUP(Matrix[[#This Row],[TEAM]]&amp;Matrix[[#Headers],[8]],FDR[FDR]&amp;FDR[[#Headers],[8]],FDR[8],"",0,1)</f>
        <v>3</v>
      </c>
      <c r="U492" cm="1">
        <f t="array" ref="U492">_xlfn.XLOOKUP(Matrix[[#This Row],[TEAM]]&amp;Matrix[[#Headers],[9]],FDR[FDR]&amp;FDR[[#Headers],[9]],FDR[9],"",0,1)</f>
        <v>3</v>
      </c>
      <c r="V492" cm="1">
        <f t="array" ref="V492">_xlfn.XLOOKUP(Matrix[[#This Row],[TEAM]]&amp;Matrix[[#Headers],[10]],FDR[FDR]&amp;FDR[[#Headers],[10]],FDR[10],"",0,1)</f>
        <v>5</v>
      </c>
      <c r="W492" cm="1">
        <f t="array" ref="W492">_xlfn.XLOOKUP(Matrix[[#This Row],[TEAM]]&amp;Matrix[[#Headers],[11]],FDR[FDR]&amp;FDR[[#Headers],[11]],FDR[11],"",0,1)</f>
        <v>5</v>
      </c>
      <c r="X492" cm="1">
        <f t="array" ref="X492">_xlfn.XLOOKUP(Matrix[[#This Row],[TEAM]]&amp;Matrix[[#Headers],[12]],FDR[FDR]&amp;FDR[[#Headers],[12]],FDR[12],"",0,1)</f>
        <v>2</v>
      </c>
      <c r="Y492" cm="1">
        <f t="array" ref="Y492">_xlfn.XLOOKUP(Matrix[[#This Row],[TEAM]]&amp;Matrix[[#Headers],[13]],FDR[FDR]&amp;FDR[[#Headers],[13]],FDR[13],"",0,1)</f>
        <v>2</v>
      </c>
      <c r="Z492" cm="1">
        <f t="array" ref="Z492">_xlfn.XLOOKUP(Matrix[[#This Row],[TEAM]]&amp;Matrix[[#Headers],[14]],FDR[FDR]&amp;FDR[[#Headers],[14]],FDR[14],"",0,1)</f>
        <v>2</v>
      </c>
      <c r="AA492" cm="1">
        <f t="array" ref="AA492">_xlfn.XLOOKUP(Matrix[[#This Row],[TEAM]]&amp;Matrix[[#Headers],[15]],FDR[FDR]&amp;FDR[[#Headers],[15]],FDR[15],"",0,1)</f>
        <v>4</v>
      </c>
      <c r="AB492" cm="1">
        <f t="array" ref="AB492">_xlfn.XLOOKUP(Matrix[[#This Row],[TEAM]]&amp;Matrix[[#Headers],[16]],FDR[FDR]&amp;FDR[[#Headers],[16]],FDR[16],"",0,1)</f>
        <v>5</v>
      </c>
      <c r="AC492" cm="1">
        <f t="array" ref="AC492">_xlfn.XLOOKUP(Matrix[[#This Row],[TEAM]]&amp;Matrix[[#Headers],[17]],FDR[FDR]&amp;FDR[[#Headers],[17]],FDR[17],"",0,1)</f>
        <v>1</v>
      </c>
      <c r="AD492" cm="1">
        <f t="array" ref="AD492">_xlfn.XLOOKUP(Matrix[[#This Row],[TEAM]]&amp;Matrix[[#Headers],[18]],FDR[FDR]&amp;FDR[[#Headers],[18]],FDR[18],"",0,1)</f>
        <v>3</v>
      </c>
      <c r="AE492" cm="1">
        <f t="array" ref="AE492">_xlfn.XLOOKUP(Matrix[[#This Row],[TEAM]]&amp;Matrix[[#Headers],[19]],FDR[FDR]&amp;FDR[[#Headers],[19]],FDR[19],"",0,1)</f>
        <v>5</v>
      </c>
      <c r="AF492" cm="1">
        <f t="array" ref="AF492">_xlfn.XLOOKUP(Matrix[[#This Row],[TEAM]]&amp;Matrix[[#Headers],[20]],FDR[FDR]&amp;FDR[[#Headers],[20]],FDR[20],"",0,1)</f>
        <v>4</v>
      </c>
      <c r="AG492" cm="1">
        <f t="array" ref="AG492">_xlfn.XLOOKUP(Matrix[[#This Row],[TEAM]]&amp;Matrix[[#Headers],[21]],FDR[FDR]&amp;FDR[[#Headers],[21]],FDR[21],"",0,1)</f>
        <v>4</v>
      </c>
      <c r="AH492" cm="1">
        <f t="array" ref="AH492">_xlfn.XLOOKUP(Matrix[[#This Row],[TEAM]]&amp;Matrix[[#Headers],[22]],FDR[FDR]&amp;FDR[[#Headers],[22]],FDR[22],"",0,1)</f>
        <v>4</v>
      </c>
      <c r="AI492" cm="1">
        <f t="array" ref="AI492">_xlfn.XLOOKUP(Matrix[[#This Row],[TEAM]]&amp;Matrix[[#Headers],[23]],FDR[FDR]&amp;FDR[[#Headers],[23]],FDR[23],"",0,1)</f>
        <v>4</v>
      </c>
      <c r="AJ492" cm="1">
        <f t="array" ref="AJ492">_xlfn.XLOOKUP(Matrix[[#This Row],[TEAM]]&amp;Matrix[[#Headers],[24]],FDR[FDR]&amp;FDR[[#Headers],[24]],FDR[24],"",0,1)</f>
        <v>2</v>
      </c>
      <c r="AK492" cm="1">
        <f t="array" ref="AK492">_xlfn.XLOOKUP(Matrix[[#This Row],[TEAM]]&amp;Matrix[[#Headers],[25]],FDR[FDR]&amp;FDR[[#Headers],[25]],FDR[25],"",0,1)</f>
        <v>3</v>
      </c>
      <c r="AL492" cm="1">
        <f t="array" ref="AL492">_xlfn.XLOOKUP(Matrix[[#This Row],[TEAM]]&amp;Matrix[[#Headers],[26]],FDR[FDR]&amp;FDR[[#Headers],[26]],FDR[26],"",0,1)</f>
        <v>3</v>
      </c>
      <c r="AM492" cm="1">
        <f t="array" ref="AM492">_xlfn.XLOOKUP(Matrix[[#This Row],[TEAM]]&amp;Matrix[[#Headers],[27]],FDR[FDR]&amp;FDR[[#Headers],[27]],FDR[27],"",0,1)</f>
        <v>3</v>
      </c>
      <c r="AN492" cm="1">
        <f t="array" ref="AN492">_xlfn.XLOOKUP(Matrix[[#This Row],[TEAM]]&amp;Matrix[[#Headers],[28]],FDR[FDR]&amp;FDR[[#Headers],[28]],FDR[28],"",0,1)</f>
        <v>1</v>
      </c>
      <c r="AO492" cm="1">
        <f t="array" ref="AO492">_xlfn.XLOOKUP(Matrix[[#This Row],[TEAM]]&amp;Matrix[[#Headers],[29]],FDR[FDR]&amp;FDR[[#Headers],[29]],FDR[29],"",0,1)</f>
        <v>2</v>
      </c>
      <c r="AP492" cm="1">
        <f t="array" ref="AP492">_xlfn.XLOOKUP(Matrix[[#This Row],[TEAM]]&amp;Matrix[[#Headers],[30]],FDR[FDR]&amp;FDR[[#Headers],[30]],FDR[30],"",0,1)</f>
        <v>2</v>
      </c>
      <c r="AQ492" cm="1">
        <f t="array" ref="AQ492">_xlfn.XLOOKUP(Matrix[[#This Row],[TEAM]]&amp;Matrix[[#Headers],[31]],FDR[FDR]&amp;FDR[[#Headers],[31]],FDR[31],"",0,1)</f>
        <v>4</v>
      </c>
      <c r="AR492" cm="1">
        <f t="array" ref="AR492">_xlfn.XLOOKUP(Matrix[[#This Row],[TEAM]]&amp;Matrix[[#Headers],[32]],FDR[FDR]&amp;FDR[[#Headers],[32]],FDR[32],"",0,1)</f>
        <v>5</v>
      </c>
      <c r="AS492" cm="1">
        <f t="array" ref="AS492">_xlfn.XLOOKUP(Matrix[[#This Row],[TEAM]]&amp;Matrix[[#Headers],[33]],FDR[FDR]&amp;FDR[[#Headers],[33]],FDR[33],"",0,1)</f>
        <v>5</v>
      </c>
      <c r="AT492" cm="1">
        <f t="array" ref="AT492">_xlfn.XLOOKUP(Matrix[[#This Row],[TEAM]]&amp;Matrix[[#Headers],[34]],FDR[FDR]&amp;FDR[[#Headers],[34]],FDR[34],"",0,1)</f>
        <v>1</v>
      </c>
      <c r="AU492" cm="1">
        <f t="array" ref="AU492">_xlfn.XLOOKUP(Matrix[[#This Row],[TEAM]]&amp;Matrix[[#Headers],[35]],FDR[FDR]&amp;FDR[[#Headers],[35]],FDR[35],"",0,1)</f>
        <v>2</v>
      </c>
      <c r="AV492" cm="1">
        <f t="array" ref="AV492">_xlfn.XLOOKUP(Matrix[[#This Row],[TEAM]]&amp;Matrix[[#Headers],[36]],FDR[FDR]&amp;FDR[[#Headers],[36]],FDR[36],"",0,1)</f>
        <v>4</v>
      </c>
      <c r="AW492" cm="1">
        <f t="array" ref="AW492">_xlfn.XLOOKUP(Matrix[[#This Row],[TEAM]]&amp;Matrix[[#Headers],[37]],FDR[FDR]&amp;FDR[[#Headers],[37]],FDR[37],"",0,1)</f>
        <v>4</v>
      </c>
      <c r="AX492" cm="1">
        <f t="array" ref="AX492">_xlfn.XLOOKUP(Matrix[[#This Row],[TEAM]]&amp;Matrix[[#Headers],[38]],FDR[FDR]&amp;FDR[[#Headers],[38]],FDR[38],"",0,1)</f>
        <v>4</v>
      </c>
    </row>
    <row r="493" spans="1:50" ht="22" thickTop="1" thickBot="1">
      <c r="A493" s="51" t="s">
        <v>657</v>
      </c>
      <c r="B493" s="70" t="s">
        <v>1816</v>
      </c>
      <c r="C493" s="40" t="s">
        <v>21</v>
      </c>
      <c r="D493" s="62">
        <v>0</v>
      </c>
      <c r="E493" s="60">
        <v>6.0000000000000001E-3</v>
      </c>
      <c r="F493" s="61">
        <v>0</v>
      </c>
      <c r="G493" s="63">
        <v>4</v>
      </c>
      <c r="H493" s="261">
        <f>IF(ISBLANK(I493),0,1)</f>
        <v>0</v>
      </c>
      <c r="I493" s="57"/>
      <c r="J493" s="58"/>
      <c r="K493" s="65" t="s">
        <v>374</v>
      </c>
      <c r="L493" s="65" t="s">
        <v>138</v>
      </c>
      <c r="M493" cm="1">
        <f t="array" ref="M493">_xlfn.XLOOKUP(Matrix[[#This Row],[TEAM]]&amp;Matrix[[#Headers],[1]],FDR[FDR]&amp;FDR[[#Headers],[1]],FDR[1],"",0,1)</f>
        <v>4</v>
      </c>
      <c r="N493" cm="1">
        <f t="array" ref="N493">_xlfn.XLOOKUP(Matrix[[#This Row],[TEAM]]&amp;Matrix[[#Headers],[2]],FDR[FDR]&amp;FDR[[#Headers],[2]],FDR[2],"",0,1)</f>
        <v>4</v>
      </c>
      <c r="O493" cm="1">
        <f t="array" ref="O493">_xlfn.XLOOKUP(Matrix[[#This Row],[TEAM]]&amp;Matrix[[#Headers],[3]],FDR[FDR]&amp;FDR[[#Headers],[3]],FDR[3],"",0,1)</f>
        <v>2</v>
      </c>
      <c r="P493" cm="1">
        <f t="array" ref="P493">_xlfn.XLOOKUP(Matrix[[#This Row],[TEAM]]&amp;Matrix[[#Headers],[4]],FDR[FDR]&amp;FDR[[#Headers],[4]],FDR[4],"",0,1)</f>
        <v>4</v>
      </c>
      <c r="Q493" cm="1">
        <f t="array" ref="Q493">_xlfn.XLOOKUP(Matrix[[#This Row],[TEAM]]&amp;Matrix[[#Headers],[5]],FDR[FDR]&amp;FDR[[#Headers],[5]],FDR[5],"",0,1)</f>
        <v>4</v>
      </c>
      <c r="R493" cm="1">
        <f t="array" ref="R493">_xlfn.XLOOKUP(Matrix[[#This Row],[TEAM]]&amp;Matrix[[#Headers],[6]],FDR[FDR]&amp;FDR[[#Headers],[6]],FDR[6],"",0,1)</f>
        <v>4</v>
      </c>
      <c r="S493" cm="1">
        <f t="array" ref="S493">_xlfn.XLOOKUP(Matrix[[#This Row],[TEAM]]&amp;Matrix[[#Headers],[7]],FDR[FDR]&amp;FDR[[#Headers],[7]],FDR[7],"",0,1)</f>
        <v>4</v>
      </c>
      <c r="T493" cm="1">
        <f t="array" ref="T493">_xlfn.XLOOKUP(Matrix[[#This Row],[TEAM]]&amp;Matrix[[#Headers],[8]],FDR[FDR]&amp;FDR[[#Headers],[8]],FDR[8],"",0,1)</f>
        <v>4</v>
      </c>
      <c r="U493" cm="1">
        <f t="array" ref="U493">_xlfn.XLOOKUP(Matrix[[#This Row],[TEAM]]&amp;Matrix[[#Headers],[9]],FDR[FDR]&amp;FDR[[#Headers],[9]],FDR[9],"",0,1)</f>
        <v>4</v>
      </c>
      <c r="V493" cm="1">
        <f t="array" ref="V493">_xlfn.XLOOKUP(Matrix[[#This Row],[TEAM]]&amp;Matrix[[#Headers],[10]],FDR[FDR]&amp;FDR[[#Headers],[10]],FDR[10],"",0,1)</f>
        <v>4</v>
      </c>
      <c r="W493" cm="1">
        <f t="array" ref="W493">_xlfn.XLOOKUP(Matrix[[#This Row],[TEAM]]&amp;Matrix[[#Headers],[11]],FDR[FDR]&amp;FDR[[#Headers],[11]],FDR[11],"",0,1)</f>
        <v>4</v>
      </c>
      <c r="X493" cm="1">
        <f t="array" ref="X493">_xlfn.XLOOKUP(Matrix[[#This Row],[TEAM]]&amp;Matrix[[#Headers],[12]],FDR[FDR]&amp;FDR[[#Headers],[12]],FDR[12],"",0,1)</f>
        <v>4</v>
      </c>
      <c r="Y493" cm="1">
        <f t="array" ref="Y493">_xlfn.XLOOKUP(Matrix[[#This Row],[TEAM]]&amp;Matrix[[#Headers],[13]],FDR[FDR]&amp;FDR[[#Headers],[13]],FDR[13],"",0,1)</f>
        <v>1</v>
      </c>
      <c r="Z493" cm="1">
        <f t="array" ref="Z493">_xlfn.XLOOKUP(Matrix[[#This Row],[TEAM]]&amp;Matrix[[#Headers],[14]],FDR[FDR]&amp;FDR[[#Headers],[14]],FDR[14],"",0,1)</f>
        <v>5</v>
      </c>
      <c r="AA493" cm="1">
        <f t="array" ref="AA493">_xlfn.XLOOKUP(Matrix[[#This Row],[TEAM]]&amp;Matrix[[#Headers],[15]],FDR[FDR]&amp;FDR[[#Headers],[15]],FDR[15],"",0,1)</f>
        <v>5</v>
      </c>
      <c r="AB493" cm="1">
        <f t="array" ref="AB493">_xlfn.XLOOKUP(Matrix[[#This Row],[TEAM]]&amp;Matrix[[#Headers],[16]],FDR[FDR]&amp;FDR[[#Headers],[16]],FDR[16],"",0,1)</f>
        <v>1</v>
      </c>
      <c r="AC493" cm="1">
        <f t="array" ref="AC493">_xlfn.XLOOKUP(Matrix[[#This Row],[TEAM]]&amp;Matrix[[#Headers],[17]],FDR[FDR]&amp;FDR[[#Headers],[17]],FDR[17],"",0,1)</f>
        <v>2</v>
      </c>
      <c r="AD493" cm="1">
        <f t="array" ref="AD493">_xlfn.XLOOKUP(Matrix[[#This Row],[TEAM]]&amp;Matrix[[#Headers],[18]],FDR[FDR]&amp;FDR[[#Headers],[18]],FDR[18],"",0,1)</f>
        <v>3</v>
      </c>
      <c r="AE493" cm="1">
        <f t="array" ref="AE493">_xlfn.XLOOKUP(Matrix[[#This Row],[TEAM]]&amp;Matrix[[#Headers],[19]],FDR[FDR]&amp;FDR[[#Headers],[19]],FDR[19],"",0,1)</f>
        <v>4</v>
      </c>
      <c r="AF493" cm="1">
        <f t="array" ref="AF493">_xlfn.XLOOKUP(Matrix[[#This Row],[TEAM]]&amp;Matrix[[#Headers],[20]],FDR[FDR]&amp;FDR[[#Headers],[20]],FDR[20],"",0,1)</f>
        <v>4</v>
      </c>
      <c r="AG493" cm="1">
        <f t="array" ref="AG493">_xlfn.XLOOKUP(Matrix[[#This Row],[TEAM]]&amp;Matrix[[#Headers],[21]],FDR[FDR]&amp;FDR[[#Headers],[21]],FDR[21],"",0,1)</f>
        <v>1</v>
      </c>
      <c r="AH493" cm="1">
        <f t="array" ref="AH493">_xlfn.XLOOKUP(Matrix[[#This Row],[TEAM]]&amp;Matrix[[#Headers],[22]],FDR[FDR]&amp;FDR[[#Headers],[22]],FDR[22],"",0,1)</f>
        <v>5</v>
      </c>
      <c r="AI493" cm="1">
        <f t="array" ref="AI493">_xlfn.XLOOKUP(Matrix[[#This Row],[TEAM]]&amp;Matrix[[#Headers],[23]],FDR[FDR]&amp;FDR[[#Headers],[23]],FDR[23],"",0,1)</f>
        <v>3</v>
      </c>
      <c r="AJ493" cm="1">
        <f t="array" ref="AJ493">_xlfn.XLOOKUP(Matrix[[#This Row],[TEAM]]&amp;Matrix[[#Headers],[24]],FDR[FDR]&amp;FDR[[#Headers],[24]],FDR[24],"",0,1)</f>
        <v>5</v>
      </c>
      <c r="AK493" cm="1">
        <f t="array" ref="AK493">_xlfn.XLOOKUP(Matrix[[#This Row],[TEAM]]&amp;Matrix[[#Headers],[25]],FDR[FDR]&amp;FDR[[#Headers],[25]],FDR[25],"",0,1)</f>
        <v>5</v>
      </c>
      <c r="AL493" cm="1">
        <f t="array" ref="AL493">_xlfn.XLOOKUP(Matrix[[#This Row],[TEAM]]&amp;Matrix[[#Headers],[26]],FDR[FDR]&amp;FDR[[#Headers],[26]],FDR[26],"",0,1)</f>
        <v>4</v>
      </c>
      <c r="AM493" cm="1">
        <f t="array" ref="AM493">_xlfn.XLOOKUP(Matrix[[#This Row],[TEAM]]&amp;Matrix[[#Headers],[27]],FDR[FDR]&amp;FDR[[#Headers],[27]],FDR[27],"",0,1)</f>
        <v>3</v>
      </c>
      <c r="AN493" cm="1">
        <f t="array" ref="AN493">_xlfn.XLOOKUP(Matrix[[#This Row],[TEAM]]&amp;Matrix[[#Headers],[28]],FDR[FDR]&amp;FDR[[#Headers],[28]],FDR[28],"",0,1)</f>
        <v>2</v>
      </c>
      <c r="AO493" cm="1">
        <f t="array" ref="AO493">_xlfn.XLOOKUP(Matrix[[#This Row],[TEAM]]&amp;Matrix[[#Headers],[29]],FDR[FDR]&amp;FDR[[#Headers],[29]],FDR[29],"",0,1)</f>
        <v>4</v>
      </c>
      <c r="AP493" cm="1">
        <f t="array" ref="AP493">_xlfn.XLOOKUP(Matrix[[#This Row],[TEAM]]&amp;Matrix[[#Headers],[30]],FDR[FDR]&amp;FDR[[#Headers],[30]],FDR[30],"",0,1)</f>
        <v>2</v>
      </c>
      <c r="AQ493" cm="1">
        <f t="array" ref="AQ493">_xlfn.XLOOKUP(Matrix[[#This Row],[TEAM]]&amp;Matrix[[#Headers],[31]],FDR[FDR]&amp;FDR[[#Headers],[31]],FDR[31],"",0,1)</f>
        <v>2</v>
      </c>
      <c r="AR493" cm="1">
        <f t="array" ref="AR493">_xlfn.XLOOKUP(Matrix[[#This Row],[TEAM]]&amp;Matrix[[#Headers],[32]],FDR[FDR]&amp;FDR[[#Headers],[32]],FDR[32],"",0,1)</f>
        <v>3</v>
      </c>
      <c r="AS493" cm="1">
        <f t="array" ref="AS493">_xlfn.XLOOKUP(Matrix[[#This Row],[TEAM]]&amp;Matrix[[#Headers],[33]],FDR[FDR]&amp;FDR[[#Headers],[33]],FDR[33],"",0,1)</f>
        <v>3</v>
      </c>
      <c r="AT493" cm="1">
        <f t="array" ref="AT493">_xlfn.XLOOKUP(Matrix[[#This Row],[TEAM]]&amp;Matrix[[#Headers],[34]],FDR[FDR]&amp;FDR[[#Headers],[34]],FDR[34],"",0,1)</f>
        <v>5</v>
      </c>
      <c r="AU493" cm="1">
        <f t="array" ref="AU493">_xlfn.XLOOKUP(Matrix[[#This Row],[TEAM]]&amp;Matrix[[#Headers],[35]],FDR[FDR]&amp;FDR[[#Headers],[35]],FDR[35],"",0,1)</f>
        <v>3</v>
      </c>
      <c r="AV493" cm="1">
        <f t="array" ref="AV493">_xlfn.XLOOKUP(Matrix[[#This Row],[TEAM]]&amp;Matrix[[#Headers],[36]],FDR[FDR]&amp;FDR[[#Headers],[36]],FDR[36],"",0,1)</f>
        <v>5</v>
      </c>
      <c r="AW493" cm="1">
        <f t="array" ref="AW493">_xlfn.XLOOKUP(Matrix[[#This Row],[TEAM]]&amp;Matrix[[#Headers],[37]],FDR[FDR]&amp;FDR[[#Headers],[37]],FDR[37],"",0,1)</f>
        <v>3</v>
      </c>
      <c r="AX493" cm="1">
        <f t="array" ref="AX493">_xlfn.XLOOKUP(Matrix[[#This Row],[TEAM]]&amp;Matrix[[#Headers],[38]],FDR[FDR]&amp;FDR[[#Headers],[38]],FDR[38],"",0,1)</f>
        <v>5</v>
      </c>
    </row>
    <row r="494" spans="1:50" ht="22" thickTop="1" thickBot="1">
      <c r="A494" s="51" t="s">
        <v>657</v>
      </c>
      <c r="B494" s="70" t="s">
        <v>1835</v>
      </c>
      <c r="C494" s="40" t="s">
        <v>21</v>
      </c>
      <c r="D494" s="62">
        <v>0</v>
      </c>
      <c r="E494" s="60">
        <v>3.0000000000000001E-3</v>
      </c>
      <c r="F494" s="61">
        <v>0</v>
      </c>
      <c r="G494" s="63">
        <v>4</v>
      </c>
      <c r="H494" s="261">
        <f>IF(ISBLANK(I494),0,1)</f>
        <v>0</v>
      </c>
      <c r="I494" s="57"/>
      <c r="J494" s="58"/>
      <c r="K494" s="65" t="s">
        <v>366</v>
      </c>
      <c r="L494" s="65" t="s">
        <v>1021</v>
      </c>
      <c r="M494" cm="1">
        <f t="array" ref="M494">_xlfn.XLOOKUP(Matrix[[#This Row],[TEAM]]&amp;Matrix[[#Headers],[1]],FDR[FDR]&amp;FDR[[#Headers],[1]],FDR[1],"",0,1)</f>
        <v>4</v>
      </c>
      <c r="N494" cm="1">
        <f t="array" ref="N494">_xlfn.XLOOKUP(Matrix[[#This Row],[TEAM]]&amp;Matrix[[#Headers],[2]],FDR[FDR]&amp;FDR[[#Headers],[2]],FDR[2],"",0,1)</f>
        <v>4</v>
      </c>
      <c r="O494" cm="1">
        <f t="array" ref="O494">_xlfn.XLOOKUP(Matrix[[#This Row],[TEAM]]&amp;Matrix[[#Headers],[3]],FDR[FDR]&amp;FDR[[#Headers],[3]],FDR[3],"",0,1)</f>
        <v>2</v>
      </c>
      <c r="P494" cm="1">
        <f t="array" ref="P494">_xlfn.XLOOKUP(Matrix[[#This Row],[TEAM]]&amp;Matrix[[#Headers],[4]],FDR[FDR]&amp;FDR[[#Headers],[4]],FDR[4],"",0,1)</f>
        <v>4</v>
      </c>
      <c r="Q494" cm="1">
        <f t="array" ref="Q494">_xlfn.XLOOKUP(Matrix[[#This Row],[TEAM]]&amp;Matrix[[#Headers],[5]],FDR[FDR]&amp;FDR[[#Headers],[5]],FDR[5],"",0,1)</f>
        <v>4</v>
      </c>
      <c r="R494" cm="1">
        <f t="array" ref="R494">_xlfn.XLOOKUP(Matrix[[#This Row],[TEAM]]&amp;Matrix[[#Headers],[6]],FDR[FDR]&amp;FDR[[#Headers],[6]],FDR[6],"",0,1)</f>
        <v>4</v>
      </c>
      <c r="S494" cm="1">
        <f t="array" ref="S494">_xlfn.XLOOKUP(Matrix[[#This Row],[TEAM]]&amp;Matrix[[#Headers],[7]],FDR[FDR]&amp;FDR[[#Headers],[7]],FDR[7],"",0,1)</f>
        <v>4</v>
      </c>
      <c r="T494" cm="1">
        <f t="array" ref="T494">_xlfn.XLOOKUP(Matrix[[#This Row],[TEAM]]&amp;Matrix[[#Headers],[8]],FDR[FDR]&amp;FDR[[#Headers],[8]],FDR[8],"",0,1)</f>
        <v>4</v>
      </c>
      <c r="U494" cm="1">
        <f t="array" ref="U494">_xlfn.XLOOKUP(Matrix[[#This Row],[TEAM]]&amp;Matrix[[#Headers],[9]],FDR[FDR]&amp;FDR[[#Headers],[9]],FDR[9],"",0,1)</f>
        <v>4</v>
      </c>
      <c r="V494" cm="1">
        <f t="array" ref="V494">_xlfn.XLOOKUP(Matrix[[#This Row],[TEAM]]&amp;Matrix[[#Headers],[10]],FDR[FDR]&amp;FDR[[#Headers],[10]],FDR[10],"",0,1)</f>
        <v>4</v>
      </c>
      <c r="W494" cm="1">
        <f t="array" ref="W494">_xlfn.XLOOKUP(Matrix[[#This Row],[TEAM]]&amp;Matrix[[#Headers],[11]],FDR[FDR]&amp;FDR[[#Headers],[11]],FDR[11],"",0,1)</f>
        <v>4</v>
      </c>
      <c r="X494" cm="1">
        <f t="array" ref="X494">_xlfn.XLOOKUP(Matrix[[#This Row],[TEAM]]&amp;Matrix[[#Headers],[12]],FDR[FDR]&amp;FDR[[#Headers],[12]],FDR[12],"",0,1)</f>
        <v>4</v>
      </c>
      <c r="Y494" cm="1">
        <f t="array" ref="Y494">_xlfn.XLOOKUP(Matrix[[#This Row],[TEAM]]&amp;Matrix[[#Headers],[13]],FDR[FDR]&amp;FDR[[#Headers],[13]],FDR[13],"",0,1)</f>
        <v>1</v>
      </c>
      <c r="Z494" cm="1">
        <f t="array" ref="Z494">_xlfn.XLOOKUP(Matrix[[#This Row],[TEAM]]&amp;Matrix[[#Headers],[14]],FDR[FDR]&amp;FDR[[#Headers],[14]],FDR[14],"",0,1)</f>
        <v>5</v>
      </c>
      <c r="AA494" cm="1">
        <f t="array" ref="AA494">_xlfn.XLOOKUP(Matrix[[#This Row],[TEAM]]&amp;Matrix[[#Headers],[15]],FDR[FDR]&amp;FDR[[#Headers],[15]],FDR[15],"",0,1)</f>
        <v>5</v>
      </c>
      <c r="AB494" cm="1">
        <f t="array" ref="AB494">_xlfn.XLOOKUP(Matrix[[#This Row],[TEAM]]&amp;Matrix[[#Headers],[16]],FDR[FDR]&amp;FDR[[#Headers],[16]],FDR[16],"",0,1)</f>
        <v>1</v>
      </c>
      <c r="AC494" cm="1">
        <f t="array" ref="AC494">_xlfn.XLOOKUP(Matrix[[#This Row],[TEAM]]&amp;Matrix[[#Headers],[17]],FDR[FDR]&amp;FDR[[#Headers],[17]],FDR[17],"",0,1)</f>
        <v>2</v>
      </c>
      <c r="AD494" cm="1">
        <f t="array" ref="AD494">_xlfn.XLOOKUP(Matrix[[#This Row],[TEAM]]&amp;Matrix[[#Headers],[18]],FDR[FDR]&amp;FDR[[#Headers],[18]],FDR[18],"",0,1)</f>
        <v>3</v>
      </c>
      <c r="AE494" cm="1">
        <f t="array" ref="AE494">_xlfn.XLOOKUP(Matrix[[#This Row],[TEAM]]&amp;Matrix[[#Headers],[19]],FDR[FDR]&amp;FDR[[#Headers],[19]],FDR[19],"",0,1)</f>
        <v>4</v>
      </c>
      <c r="AF494" cm="1">
        <f t="array" ref="AF494">_xlfn.XLOOKUP(Matrix[[#This Row],[TEAM]]&amp;Matrix[[#Headers],[20]],FDR[FDR]&amp;FDR[[#Headers],[20]],FDR[20],"",0,1)</f>
        <v>4</v>
      </c>
      <c r="AG494" cm="1">
        <f t="array" ref="AG494">_xlfn.XLOOKUP(Matrix[[#This Row],[TEAM]]&amp;Matrix[[#Headers],[21]],FDR[FDR]&amp;FDR[[#Headers],[21]],FDR[21],"",0,1)</f>
        <v>1</v>
      </c>
      <c r="AH494" cm="1">
        <f t="array" ref="AH494">_xlfn.XLOOKUP(Matrix[[#This Row],[TEAM]]&amp;Matrix[[#Headers],[22]],FDR[FDR]&amp;FDR[[#Headers],[22]],FDR[22],"",0,1)</f>
        <v>5</v>
      </c>
      <c r="AI494" cm="1">
        <f t="array" ref="AI494">_xlfn.XLOOKUP(Matrix[[#This Row],[TEAM]]&amp;Matrix[[#Headers],[23]],FDR[FDR]&amp;FDR[[#Headers],[23]],FDR[23],"",0,1)</f>
        <v>3</v>
      </c>
      <c r="AJ494" cm="1">
        <f t="array" ref="AJ494">_xlfn.XLOOKUP(Matrix[[#This Row],[TEAM]]&amp;Matrix[[#Headers],[24]],FDR[FDR]&amp;FDR[[#Headers],[24]],FDR[24],"",0,1)</f>
        <v>5</v>
      </c>
      <c r="AK494" cm="1">
        <f t="array" ref="AK494">_xlfn.XLOOKUP(Matrix[[#This Row],[TEAM]]&amp;Matrix[[#Headers],[25]],FDR[FDR]&amp;FDR[[#Headers],[25]],FDR[25],"",0,1)</f>
        <v>5</v>
      </c>
      <c r="AL494" cm="1">
        <f t="array" ref="AL494">_xlfn.XLOOKUP(Matrix[[#This Row],[TEAM]]&amp;Matrix[[#Headers],[26]],FDR[FDR]&amp;FDR[[#Headers],[26]],FDR[26],"",0,1)</f>
        <v>4</v>
      </c>
      <c r="AM494" cm="1">
        <f t="array" ref="AM494">_xlfn.XLOOKUP(Matrix[[#This Row],[TEAM]]&amp;Matrix[[#Headers],[27]],FDR[FDR]&amp;FDR[[#Headers],[27]],FDR[27],"",0,1)</f>
        <v>3</v>
      </c>
      <c r="AN494" cm="1">
        <f t="array" ref="AN494">_xlfn.XLOOKUP(Matrix[[#This Row],[TEAM]]&amp;Matrix[[#Headers],[28]],FDR[FDR]&amp;FDR[[#Headers],[28]],FDR[28],"",0,1)</f>
        <v>2</v>
      </c>
      <c r="AO494" cm="1">
        <f t="array" ref="AO494">_xlfn.XLOOKUP(Matrix[[#This Row],[TEAM]]&amp;Matrix[[#Headers],[29]],FDR[FDR]&amp;FDR[[#Headers],[29]],FDR[29],"",0,1)</f>
        <v>4</v>
      </c>
      <c r="AP494" cm="1">
        <f t="array" ref="AP494">_xlfn.XLOOKUP(Matrix[[#This Row],[TEAM]]&amp;Matrix[[#Headers],[30]],FDR[FDR]&amp;FDR[[#Headers],[30]],FDR[30],"",0,1)</f>
        <v>2</v>
      </c>
      <c r="AQ494" cm="1">
        <f t="array" ref="AQ494">_xlfn.XLOOKUP(Matrix[[#This Row],[TEAM]]&amp;Matrix[[#Headers],[31]],FDR[FDR]&amp;FDR[[#Headers],[31]],FDR[31],"",0,1)</f>
        <v>2</v>
      </c>
      <c r="AR494" cm="1">
        <f t="array" ref="AR494">_xlfn.XLOOKUP(Matrix[[#This Row],[TEAM]]&amp;Matrix[[#Headers],[32]],FDR[FDR]&amp;FDR[[#Headers],[32]],FDR[32],"",0,1)</f>
        <v>3</v>
      </c>
      <c r="AS494" cm="1">
        <f t="array" ref="AS494">_xlfn.XLOOKUP(Matrix[[#This Row],[TEAM]]&amp;Matrix[[#Headers],[33]],FDR[FDR]&amp;FDR[[#Headers],[33]],FDR[33],"",0,1)</f>
        <v>3</v>
      </c>
      <c r="AT494" cm="1">
        <f t="array" ref="AT494">_xlfn.XLOOKUP(Matrix[[#This Row],[TEAM]]&amp;Matrix[[#Headers],[34]],FDR[FDR]&amp;FDR[[#Headers],[34]],FDR[34],"",0,1)</f>
        <v>5</v>
      </c>
      <c r="AU494" cm="1">
        <f t="array" ref="AU494">_xlfn.XLOOKUP(Matrix[[#This Row],[TEAM]]&amp;Matrix[[#Headers],[35]],FDR[FDR]&amp;FDR[[#Headers],[35]],FDR[35],"",0,1)</f>
        <v>3</v>
      </c>
      <c r="AV494" cm="1">
        <f t="array" ref="AV494">_xlfn.XLOOKUP(Matrix[[#This Row],[TEAM]]&amp;Matrix[[#Headers],[36]],FDR[FDR]&amp;FDR[[#Headers],[36]],FDR[36],"",0,1)</f>
        <v>5</v>
      </c>
      <c r="AW494" cm="1">
        <f t="array" ref="AW494">_xlfn.XLOOKUP(Matrix[[#This Row],[TEAM]]&amp;Matrix[[#Headers],[37]],FDR[FDR]&amp;FDR[[#Headers],[37]],FDR[37],"",0,1)</f>
        <v>3</v>
      </c>
      <c r="AX494" cm="1">
        <f t="array" ref="AX494">_xlfn.XLOOKUP(Matrix[[#This Row],[TEAM]]&amp;Matrix[[#Headers],[38]],FDR[FDR]&amp;FDR[[#Headers],[38]],FDR[38],"",0,1)</f>
        <v>5</v>
      </c>
    </row>
    <row r="495" spans="1:50" ht="22" thickTop="1" thickBot="1">
      <c r="A495" s="51" t="s">
        <v>657</v>
      </c>
      <c r="B495" s="70" t="s">
        <v>1852</v>
      </c>
      <c r="C495" s="40" t="s">
        <v>21</v>
      </c>
      <c r="D495" s="62">
        <v>0</v>
      </c>
      <c r="E495" s="60">
        <v>2E-3</v>
      </c>
      <c r="F495" s="61">
        <v>0</v>
      </c>
      <c r="G495" s="63">
        <v>4</v>
      </c>
      <c r="H495" s="261">
        <f>IF(ISBLANK(I495),0,1)</f>
        <v>0</v>
      </c>
      <c r="I495" s="57"/>
      <c r="J495" s="58"/>
      <c r="K495" s="65" t="s">
        <v>366</v>
      </c>
      <c r="L495" s="65" t="s">
        <v>1022</v>
      </c>
      <c r="M495" cm="1">
        <f t="array" ref="M495">_xlfn.XLOOKUP(Matrix[[#This Row],[TEAM]]&amp;Matrix[[#Headers],[1]],FDR[FDR]&amp;FDR[[#Headers],[1]],FDR[1],"",0,1)</f>
        <v>4</v>
      </c>
      <c r="N495" cm="1">
        <f t="array" ref="N495">_xlfn.XLOOKUP(Matrix[[#This Row],[TEAM]]&amp;Matrix[[#Headers],[2]],FDR[FDR]&amp;FDR[[#Headers],[2]],FDR[2],"",0,1)</f>
        <v>4</v>
      </c>
      <c r="O495" cm="1">
        <f t="array" ref="O495">_xlfn.XLOOKUP(Matrix[[#This Row],[TEAM]]&amp;Matrix[[#Headers],[3]],FDR[FDR]&amp;FDR[[#Headers],[3]],FDR[3],"",0,1)</f>
        <v>2</v>
      </c>
      <c r="P495" cm="1">
        <f t="array" ref="P495">_xlfn.XLOOKUP(Matrix[[#This Row],[TEAM]]&amp;Matrix[[#Headers],[4]],FDR[FDR]&amp;FDR[[#Headers],[4]],FDR[4],"",0,1)</f>
        <v>4</v>
      </c>
      <c r="Q495" cm="1">
        <f t="array" ref="Q495">_xlfn.XLOOKUP(Matrix[[#This Row],[TEAM]]&amp;Matrix[[#Headers],[5]],FDR[FDR]&amp;FDR[[#Headers],[5]],FDR[5],"",0,1)</f>
        <v>4</v>
      </c>
      <c r="R495" cm="1">
        <f t="array" ref="R495">_xlfn.XLOOKUP(Matrix[[#This Row],[TEAM]]&amp;Matrix[[#Headers],[6]],FDR[FDR]&amp;FDR[[#Headers],[6]],FDR[6],"",0,1)</f>
        <v>4</v>
      </c>
      <c r="S495" cm="1">
        <f t="array" ref="S495">_xlfn.XLOOKUP(Matrix[[#This Row],[TEAM]]&amp;Matrix[[#Headers],[7]],FDR[FDR]&amp;FDR[[#Headers],[7]],FDR[7],"",0,1)</f>
        <v>4</v>
      </c>
      <c r="T495" cm="1">
        <f t="array" ref="T495">_xlfn.XLOOKUP(Matrix[[#This Row],[TEAM]]&amp;Matrix[[#Headers],[8]],FDR[FDR]&amp;FDR[[#Headers],[8]],FDR[8],"",0,1)</f>
        <v>4</v>
      </c>
      <c r="U495" cm="1">
        <f t="array" ref="U495">_xlfn.XLOOKUP(Matrix[[#This Row],[TEAM]]&amp;Matrix[[#Headers],[9]],FDR[FDR]&amp;FDR[[#Headers],[9]],FDR[9],"",0,1)</f>
        <v>4</v>
      </c>
      <c r="V495" cm="1">
        <f t="array" ref="V495">_xlfn.XLOOKUP(Matrix[[#This Row],[TEAM]]&amp;Matrix[[#Headers],[10]],FDR[FDR]&amp;FDR[[#Headers],[10]],FDR[10],"",0,1)</f>
        <v>4</v>
      </c>
      <c r="W495" cm="1">
        <f t="array" ref="W495">_xlfn.XLOOKUP(Matrix[[#This Row],[TEAM]]&amp;Matrix[[#Headers],[11]],FDR[FDR]&amp;FDR[[#Headers],[11]],FDR[11],"",0,1)</f>
        <v>4</v>
      </c>
      <c r="X495" cm="1">
        <f t="array" ref="X495">_xlfn.XLOOKUP(Matrix[[#This Row],[TEAM]]&amp;Matrix[[#Headers],[12]],FDR[FDR]&amp;FDR[[#Headers],[12]],FDR[12],"",0,1)</f>
        <v>4</v>
      </c>
      <c r="Y495" cm="1">
        <f t="array" ref="Y495">_xlfn.XLOOKUP(Matrix[[#This Row],[TEAM]]&amp;Matrix[[#Headers],[13]],FDR[FDR]&amp;FDR[[#Headers],[13]],FDR[13],"",0,1)</f>
        <v>1</v>
      </c>
      <c r="Z495" cm="1">
        <f t="array" ref="Z495">_xlfn.XLOOKUP(Matrix[[#This Row],[TEAM]]&amp;Matrix[[#Headers],[14]],FDR[FDR]&amp;FDR[[#Headers],[14]],FDR[14],"",0,1)</f>
        <v>5</v>
      </c>
      <c r="AA495" cm="1">
        <f t="array" ref="AA495">_xlfn.XLOOKUP(Matrix[[#This Row],[TEAM]]&amp;Matrix[[#Headers],[15]],FDR[FDR]&amp;FDR[[#Headers],[15]],FDR[15],"",0,1)</f>
        <v>5</v>
      </c>
      <c r="AB495" cm="1">
        <f t="array" ref="AB495">_xlfn.XLOOKUP(Matrix[[#This Row],[TEAM]]&amp;Matrix[[#Headers],[16]],FDR[FDR]&amp;FDR[[#Headers],[16]],FDR[16],"",0,1)</f>
        <v>1</v>
      </c>
      <c r="AC495" cm="1">
        <f t="array" ref="AC495">_xlfn.XLOOKUP(Matrix[[#This Row],[TEAM]]&amp;Matrix[[#Headers],[17]],FDR[FDR]&amp;FDR[[#Headers],[17]],FDR[17],"",0,1)</f>
        <v>2</v>
      </c>
      <c r="AD495" cm="1">
        <f t="array" ref="AD495">_xlfn.XLOOKUP(Matrix[[#This Row],[TEAM]]&amp;Matrix[[#Headers],[18]],FDR[FDR]&amp;FDR[[#Headers],[18]],FDR[18],"",0,1)</f>
        <v>3</v>
      </c>
      <c r="AE495" cm="1">
        <f t="array" ref="AE495">_xlfn.XLOOKUP(Matrix[[#This Row],[TEAM]]&amp;Matrix[[#Headers],[19]],FDR[FDR]&amp;FDR[[#Headers],[19]],FDR[19],"",0,1)</f>
        <v>4</v>
      </c>
      <c r="AF495" cm="1">
        <f t="array" ref="AF495">_xlfn.XLOOKUP(Matrix[[#This Row],[TEAM]]&amp;Matrix[[#Headers],[20]],FDR[FDR]&amp;FDR[[#Headers],[20]],FDR[20],"",0,1)</f>
        <v>4</v>
      </c>
      <c r="AG495" cm="1">
        <f t="array" ref="AG495">_xlfn.XLOOKUP(Matrix[[#This Row],[TEAM]]&amp;Matrix[[#Headers],[21]],FDR[FDR]&amp;FDR[[#Headers],[21]],FDR[21],"",0,1)</f>
        <v>1</v>
      </c>
      <c r="AH495" cm="1">
        <f t="array" ref="AH495">_xlfn.XLOOKUP(Matrix[[#This Row],[TEAM]]&amp;Matrix[[#Headers],[22]],FDR[FDR]&amp;FDR[[#Headers],[22]],FDR[22],"",0,1)</f>
        <v>5</v>
      </c>
      <c r="AI495" cm="1">
        <f t="array" ref="AI495">_xlfn.XLOOKUP(Matrix[[#This Row],[TEAM]]&amp;Matrix[[#Headers],[23]],FDR[FDR]&amp;FDR[[#Headers],[23]],FDR[23],"",0,1)</f>
        <v>3</v>
      </c>
      <c r="AJ495" cm="1">
        <f t="array" ref="AJ495">_xlfn.XLOOKUP(Matrix[[#This Row],[TEAM]]&amp;Matrix[[#Headers],[24]],FDR[FDR]&amp;FDR[[#Headers],[24]],FDR[24],"",0,1)</f>
        <v>5</v>
      </c>
      <c r="AK495" cm="1">
        <f t="array" ref="AK495">_xlfn.XLOOKUP(Matrix[[#This Row],[TEAM]]&amp;Matrix[[#Headers],[25]],FDR[FDR]&amp;FDR[[#Headers],[25]],FDR[25],"",0,1)</f>
        <v>5</v>
      </c>
      <c r="AL495" cm="1">
        <f t="array" ref="AL495">_xlfn.XLOOKUP(Matrix[[#This Row],[TEAM]]&amp;Matrix[[#Headers],[26]],FDR[FDR]&amp;FDR[[#Headers],[26]],FDR[26],"",0,1)</f>
        <v>4</v>
      </c>
      <c r="AM495" cm="1">
        <f t="array" ref="AM495">_xlfn.XLOOKUP(Matrix[[#This Row],[TEAM]]&amp;Matrix[[#Headers],[27]],FDR[FDR]&amp;FDR[[#Headers],[27]],FDR[27],"",0,1)</f>
        <v>3</v>
      </c>
      <c r="AN495" cm="1">
        <f t="array" ref="AN495">_xlfn.XLOOKUP(Matrix[[#This Row],[TEAM]]&amp;Matrix[[#Headers],[28]],FDR[FDR]&amp;FDR[[#Headers],[28]],FDR[28],"",0,1)</f>
        <v>2</v>
      </c>
      <c r="AO495" cm="1">
        <f t="array" ref="AO495">_xlfn.XLOOKUP(Matrix[[#This Row],[TEAM]]&amp;Matrix[[#Headers],[29]],FDR[FDR]&amp;FDR[[#Headers],[29]],FDR[29],"",0,1)</f>
        <v>4</v>
      </c>
      <c r="AP495" cm="1">
        <f t="array" ref="AP495">_xlfn.XLOOKUP(Matrix[[#This Row],[TEAM]]&amp;Matrix[[#Headers],[30]],FDR[FDR]&amp;FDR[[#Headers],[30]],FDR[30],"",0,1)</f>
        <v>2</v>
      </c>
      <c r="AQ495" cm="1">
        <f t="array" ref="AQ495">_xlfn.XLOOKUP(Matrix[[#This Row],[TEAM]]&amp;Matrix[[#Headers],[31]],FDR[FDR]&amp;FDR[[#Headers],[31]],FDR[31],"",0,1)</f>
        <v>2</v>
      </c>
      <c r="AR495" cm="1">
        <f t="array" ref="AR495">_xlfn.XLOOKUP(Matrix[[#This Row],[TEAM]]&amp;Matrix[[#Headers],[32]],FDR[FDR]&amp;FDR[[#Headers],[32]],FDR[32],"",0,1)</f>
        <v>3</v>
      </c>
      <c r="AS495" cm="1">
        <f t="array" ref="AS495">_xlfn.XLOOKUP(Matrix[[#This Row],[TEAM]]&amp;Matrix[[#Headers],[33]],FDR[FDR]&amp;FDR[[#Headers],[33]],FDR[33],"",0,1)</f>
        <v>3</v>
      </c>
      <c r="AT495" cm="1">
        <f t="array" ref="AT495">_xlfn.XLOOKUP(Matrix[[#This Row],[TEAM]]&amp;Matrix[[#Headers],[34]],FDR[FDR]&amp;FDR[[#Headers],[34]],FDR[34],"",0,1)</f>
        <v>5</v>
      </c>
      <c r="AU495" cm="1">
        <f t="array" ref="AU495">_xlfn.XLOOKUP(Matrix[[#This Row],[TEAM]]&amp;Matrix[[#Headers],[35]],FDR[FDR]&amp;FDR[[#Headers],[35]],FDR[35],"",0,1)</f>
        <v>3</v>
      </c>
      <c r="AV495" cm="1">
        <f t="array" ref="AV495">_xlfn.XLOOKUP(Matrix[[#This Row],[TEAM]]&amp;Matrix[[#Headers],[36]],FDR[FDR]&amp;FDR[[#Headers],[36]],FDR[36],"",0,1)</f>
        <v>5</v>
      </c>
      <c r="AW495" cm="1">
        <f t="array" ref="AW495">_xlfn.XLOOKUP(Matrix[[#This Row],[TEAM]]&amp;Matrix[[#Headers],[37]],FDR[FDR]&amp;FDR[[#Headers],[37]],FDR[37],"",0,1)</f>
        <v>3</v>
      </c>
      <c r="AX495" cm="1">
        <f t="array" ref="AX495">_xlfn.XLOOKUP(Matrix[[#This Row],[TEAM]]&amp;Matrix[[#Headers],[38]],FDR[FDR]&amp;FDR[[#Headers],[38]],FDR[38],"",0,1)</f>
        <v>5</v>
      </c>
    </row>
    <row r="496" spans="1:50" ht="22" thickTop="1" thickBot="1">
      <c r="A496" s="51" t="s">
        <v>657</v>
      </c>
      <c r="B496" s="70" t="s">
        <v>1854</v>
      </c>
      <c r="C496" s="40" t="s">
        <v>33</v>
      </c>
      <c r="D496" s="62">
        <v>0</v>
      </c>
      <c r="E496" s="60">
        <v>2E-3</v>
      </c>
      <c r="F496" s="61">
        <v>0</v>
      </c>
      <c r="G496" s="63">
        <v>4</v>
      </c>
      <c r="H496" s="261">
        <f>IF(ISBLANK(I496),0,1)</f>
        <v>0</v>
      </c>
      <c r="I496" s="57"/>
      <c r="J496" s="58"/>
      <c r="K496" s="65" t="s">
        <v>576</v>
      </c>
      <c r="L496" s="65" t="s">
        <v>949</v>
      </c>
      <c r="M496" cm="1">
        <f t="array" ref="M496">_xlfn.XLOOKUP(Matrix[[#This Row],[TEAM]]&amp;Matrix[[#Headers],[1]],FDR[FDR]&amp;FDR[[#Headers],[1]],FDR[1],"",0,1)</f>
        <v>3</v>
      </c>
      <c r="N496" cm="1">
        <f t="array" ref="N496">_xlfn.XLOOKUP(Matrix[[#This Row],[TEAM]]&amp;Matrix[[#Headers],[2]],FDR[FDR]&amp;FDR[[#Headers],[2]],FDR[2],"",0,1)</f>
        <v>3</v>
      </c>
      <c r="O496" cm="1">
        <f t="array" ref="O496">_xlfn.XLOOKUP(Matrix[[#This Row],[TEAM]]&amp;Matrix[[#Headers],[3]],FDR[FDR]&amp;FDR[[#Headers],[3]],FDR[3],"",0,1)</f>
        <v>4</v>
      </c>
      <c r="P496" cm="1">
        <f t="array" ref="P496">_xlfn.XLOOKUP(Matrix[[#This Row],[TEAM]]&amp;Matrix[[#Headers],[4]],FDR[FDR]&amp;FDR[[#Headers],[4]],FDR[4],"",0,1)</f>
        <v>4</v>
      </c>
      <c r="Q496" cm="1">
        <f t="array" ref="Q496">_xlfn.XLOOKUP(Matrix[[#This Row],[TEAM]]&amp;Matrix[[#Headers],[5]],FDR[FDR]&amp;FDR[[#Headers],[5]],FDR[5],"",0,1)</f>
        <v>4</v>
      </c>
      <c r="R496" cm="1">
        <f t="array" ref="R496">_xlfn.XLOOKUP(Matrix[[#This Row],[TEAM]]&amp;Matrix[[#Headers],[6]],FDR[FDR]&amp;FDR[[#Headers],[6]],FDR[6],"",0,1)</f>
        <v>5</v>
      </c>
      <c r="S496" cm="1">
        <f t="array" ref="S496">_xlfn.XLOOKUP(Matrix[[#This Row],[TEAM]]&amp;Matrix[[#Headers],[7]],FDR[FDR]&amp;FDR[[#Headers],[7]],FDR[7],"",0,1)</f>
        <v>2</v>
      </c>
      <c r="T496" cm="1">
        <f t="array" ref="T496">_xlfn.XLOOKUP(Matrix[[#This Row],[TEAM]]&amp;Matrix[[#Headers],[8]],FDR[FDR]&amp;FDR[[#Headers],[8]],FDR[8],"",0,1)</f>
        <v>4</v>
      </c>
      <c r="U496" cm="1">
        <f t="array" ref="U496">_xlfn.XLOOKUP(Matrix[[#This Row],[TEAM]]&amp;Matrix[[#Headers],[9]],FDR[FDR]&amp;FDR[[#Headers],[9]],FDR[9],"",0,1)</f>
        <v>5</v>
      </c>
      <c r="V496" cm="1">
        <f t="array" ref="V496">_xlfn.XLOOKUP(Matrix[[#This Row],[TEAM]]&amp;Matrix[[#Headers],[10]],FDR[FDR]&amp;FDR[[#Headers],[10]],FDR[10],"",0,1)</f>
        <v>1</v>
      </c>
      <c r="W496" cm="1">
        <f t="array" ref="W496">_xlfn.XLOOKUP(Matrix[[#This Row],[TEAM]]&amp;Matrix[[#Headers],[11]],FDR[FDR]&amp;FDR[[#Headers],[11]],FDR[11],"",0,1)</f>
        <v>3</v>
      </c>
      <c r="X496" cm="1">
        <f t="array" ref="X496">_xlfn.XLOOKUP(Matrix[[#This Row],[TEAM]]&amp;Matrix[[#Headers],[12]],FDR[FDR]&amp;FDR[[#Headers],[12]],FDR[12],"",0,1)</f>
        <v>2</v>
      </c>
      <c r="Y496" cm="1">
        <f t="array" ref="Y496">_xlfn.XLOOKUP(Matrix[[#This Row],[TEAM]]&amp;Matrix[[#Headers],[13]],FDR[FDR]&amp;FDR[[#Headers],[13]],FDR[13],"",0,1)</f>
        <v>4</v>
      </c>
      <c r="Z496" cm="1">
        <f t="array" ref="Z496">_xlfn.XLOOKUP(Matrix[[#This Row],[TEAM]]&amp;Matrix[[#Headers],[14]],FDR[FDR]&amp;FDR[[#Headers],[14]],FDR[14],"",0,1)</f>
        <v>3</v>
      </c>
      <c r="AA496" cm="1">
        <f t="array" ref="AA496">_xlfn.XLOOKUP(Matrix[[#This Row],[TEAM]]&amp;Matrix[[#Headers],[15]],FDR[FDR]&amp;FDR[[#Headers],[15]],FDR[15],"",0,1)</f>
        <v>2</v>
      </c>
      <c r="AB496" cm="1">
        <f t="array" ref="AB496">_xlfn.XLOOKUP(Matrix[[#This Row],[TEAM]]&amp;Matrix[[#Headers],[16]],FDR[FDR]&amp;FDR[[#Headers],[16]],FDR[16],"",0,1)</f>
        <v>5</v>
      </c>
      <c r="AC496" cm="1">
        <f t="array" ref="AC496">_xlfn.XLOOKUP(Matrix[[#This Row],[TEAM]]&amp;Matrix[[#Headers],[17]],FDR[FDR]&amp;FDR[[#Headers],[17]],FDR[17],"",0,1)</f>
        <v>1</v>
      </c>
      <c r="AD496" cm="1">
        <f t="array" ref="AD496">_xlfn.XLOOKUP(Matrix[[#This Row],[TEAM]]&amp;Matrix[[#Headers],[18]],FDR[FDR]&amp;FDR[[#Headers],[18]],FDR[18],"",0,1)</f>
        <v>5</v>
      </c>
      <c r="AE496" cm="1">
        <f t="array" ref="AE496">_xlfn.XLOOKUP(Matrix[[#This Row],[TEAM]]&amp;Matrix[[#Headers],[19]],FDR[FDR]&amp;FDR[[#Headers],[19]],FDR[19],"",0,1)</f>
        <v>3</v>
      </c>
      <c r="AF496" cm="1">
        <f t="array" ref="AF496">_xlfn.XLOOKUP(Matrix[[#This Row],[TEAM]]&amp;Matrix[[#Headers],[20]],FDR[FDR]&amp;FDR[[#Headers],[20]],FDR[20],"",0,1)</f>
        <v>1</v>
      </c>
      <c r="AG496" cm="1">
        <f t="array" ref="AG496">_xlfn.XLOOKUP(Matrix[[#This Row],[TEAM]]&amp;Matrix[[#Headers],[21]],FDR[FDR]&amp;FDR[[#Headers],[21]],FDR[21],"",0,1)</f>
        <v>5</v>
      </c>
      <c r="AH496" cm="1">
        <f t="array" ref="AH496">_xlfn.XLOOKUP(Matrix[[#This Row],[TEAM]]&amp;Matrix[[#Headers],[22]],FDR[FDR]&amp;FDR[[#Headers],[22]],FDR[22],"",0,1)</f>
        <v>3</v>
      </c>
      <c r="AI496" cm="1">
        <f t="array" ref="AI496">_xlfn.XLOOKUP(Matrix[[#This Row],[TEAM]]&amp;Matrix[[#Headers],[23]],FDR[FDR]&amp;FDR[[#Headers],[23]],FDR[23],"",0,1)</f>
        <v>4</v>
      </c>
      <c r="AJ496" cm="1">
        <f t="array" ref="AJ496">_xlfn.XLOOKUP(Matrix[[#This Row],[TEAM]]&amp;Matrix[[#Headers],[24]],FDR[FDR]&amp;FDR[[#Headers],[24]],FDR[24],"",0,1)</f>
        <v>2</v>
      </c>
      <c r="AK496" cm="1">
        <f t="array" ref="AK496">_xlfn.XLOOKUP(Matrix[[#This Row],[TEAM]]&amp;Matrix[[#Headers],[25]],FDR[FDR]&amp;FDR[[#Headers],[25]],FDR[25],"",0,1)</f>
        <v>2</v>
      </c>
      <c r="AL496" cm="1">
        <f t="array" ref="AL496">_xlfn.XLOOKUP(Matrix[[#This Row],[TEAM]]&amp;Matrix[[#Headers],[26]],FDR[FDR]&amp;FDR[[#Headers],[26]],FDR[26],"",0,1)</f>
        <v>5</v>
      </c>
      <c r="AM496" cm="1">
        <f t="array" ref="AM496">_xlfn.XLOOKUP(Matrix[[#This Row],[TEAM]]&amp;Matrix[[#Headers],[27]],FDR[FDR]&amp;FDR[[#Headers],[27]],FDR[27],"",0,1)</f>
        <v>3</v>
      </c>
      <c r="AN496" cm="1">
        <f t="array" ref="AN496">_xlfn.XLOOKUP(Matrix[[#This Row],[TEAM]]&amp;Matrix[[#Headers],[28]],FDR[FDR]&amp;FDR[[#Headers],[28]],FDR[28],"",0,1)</f>
        <v>3</v>
      </c>
      <c r="AO496" cm="1">
        <f t="array" ref="AO496">_xlfn.XLOOKUP(Matrix[[#This Row],[TEAM]]&amp;Matrix[[#Headers],[29]],FDR[FDR]&amp;FDR[[#Headers],[29]],FDR[29],"",0,1)</f>
        <v>4</v>
      </c>
      <c r="AP496" cm="1">
        <f t="array" ref="AP496">_xlfn.XLOOKUP(Matrix[[#This Row],[TEAM]]&amp;Matrix[[#Headers],[30]],FDR[FDR]&amp;FDR[[#Headers],[30]],FDR[30],"",0,1)</f>
        <v>2</v>
      </c>
      <c r="AQ496" cm="1">
        <f t="array" ref="AQ496">_xlfn.XLOOKUP(Matrix[[#This Row],[TEAM]]&amp;Matrix[[#Headers],[31]],FDR[FDR]&amp;FDR[[#Headers],[31]],FDR[31],"",0,1)</f>
        <v>4</v>
      </c>
      <c r="AR496" cm="1">
        <f t="array" ref="AR496">_xlfn.XLOOKUP(Matrix[[#This Row],[TEAM]]&amp;Matrix[[#Headers],[32]],FDR[FDR]&amp;FDR[[#Headers],[32]],FDR[32],"",0,1)</f>
        <v>2</v>
      </c>
      <c r="AS496" cm="1">
        <f t="array" ref="AS496">_xlfn.XLOOKUP(Matrix[[#This Row],[TEAM]]&amp;Matrix[[#Headers],[33]],FDR[FDR]&amp;FDR[[#Headers],[33]],FDR[33],"",0,1)</f>
        <v>5</v>
      </c>
      <c r="AT496" cm="1">
        <f t="array" ref="AT496">_xlfn.XLOOKUP(Matrix[[#This Row],[TEAM]]&amp;Matrix[[#Headers],[34]],FDR[FDR]&amp;FDR[[#Headers],[34]],FDR[34],"",0,1)</f>
        <v>4</v>
      </c>
      <c r="AU496" cm="1">
        <f t="array" ref="AU496">_xlfn.XLOOKUP(Matrix[[#This Row],[TEAM]]&amp;Matrix[[#Headers],[35]],FDR[FDR]&amp;FDR[[#Headers],[35]],FDR[35],"",0,1)</f>
        <v>5</v>
      </c>
      <c r="AV496" cm="1">
        <f t="array" ref="AV496">_xlfn.XLOOKUP(Matrix[[#This Row],[TEAM]]&amp;Matrix[[#Headers],[36]],FDR[FDR]&amp;FDR[[#Headers],[36]],FDR[36],"",0,1)</f>
        <v>1</v>
      </c>
      <c r="AW496" cm="1">
        <f t="array" ref="AW496">_xlfn.XLOOKUP(Matrix[[#This Row],[TEAM]]&amp;Matrix[[#Headers],[37]],FDR[FDR]&amp;FDR[[#Headers],[37]],FDR[37],"",0,1)</f>
        <v>2</v>
      </c>
      <c r="AX496" cm="1">
        <f t="array" ref="AX496">_xlfn.XLOOKUP(Matrix[[#This Row],[TEAM]]&amp;Matrix[[#Headers],[38]],FDR[FDR]&amp;FDR[[#Headers],[38]],FDR[38],"",0,1)</f>
        <v>4</v>
      </c>
    </row>
    <row r="497" spans="1:50" ht="22" thickTop="1" thickBot="1">
      <c r="A497" s="51" t="s">
        <v>657</v>
      </c>
      <c r="B497" s="70" t="s">
        <v>1855</v>
      </c>
      <c r="C497" s="40" t="s">
        <v>33</v>
      </c>
      <c r="D497" s="62">
        <v>0</v>
      </c>
      <c r="E497" s="60">
        <v>2E-3</v>
      </c>
      <c r="F497" s="61">
        <v>0</v>
      </c>
      <c r="G497" s="63">
        <v>4</v>
      </c>
      <c r="H497" s="261">
        <f>IF(ISBLANK(I497),0,1)</f>
        <v>0</v>
      </c>
      <c r="I497" s="57"/>
      <c r="J497" s="58"/>
      <c r="K497" s="65" t="s">
        <v>384</v>
      </c>
      <c r="L497" s="65" t="s">
        <v>948</v>
      </c>
      <c r="M497" cm="1">
        <f t="array" ref="M497">_xlfn.XLOOKUP(Matrix[[#This Row],[TEAM]]&amp;Matrix[[#Headers],[1]],FDR[FDR]&amp;FDR[[#Headers],[1]],FDR[1],"",0,1)</f>
        <v>3</v>
      </c>
      <c r="N497" cm="1">
        <f t="array" ref="N497">_xlfn.XLOOKUP(Matrix[[#This Row],[TEAM]]&amp;Matrix[[#Headers],[2]],FDR[FDR]&amp;FDR[[#Headers],[2]],FDR[2],"",0,1)</f>
        <v>3</v>
      </c>
      <c r="O497" cm="1">
        <f t="array" ref="O497">_xlfn.XLOOKUP(Matrix[[#This Row],[TEAM]]&amp;Matrix[[#Headers],[3]],FDR[FDR]&amp;FDR[[#Headers],[3]],FDR[3],"",0,1)</f>
        <v>4</v>
      </c>
      <c r="P497" cm="1">
        <f t="array" ref="P497">_xlfn.XLOOKUP(Matrix[[#This Row],[TEAM]]&amp;Matrix[[#Headers],[4]],FDR[FDR]&amp;FDR[[#Headers],[4]],FDR[4],"",0,1)</f>
        <v>4</v>
      </c>
      <c r="Q497" cm="1">
        <f t="array" ref="Q497">_xlfn.XLOOKUP(Matrix[[#This Row],[TEAM]]&amp;Matrix[[#Headers],[5]],FDR[FDR]&amp;FDR[[#Headers],[5]],FDR[5],"",0,1)</f>
        <v>4</v>
      </c>
      <c r="R497" cm="1">
        <f t="array" ref="R497">_xlfn.XLOOKUP(Matrix[[#This Row],[TEAM]]&amp;Matrix[[#Headers],[6]],FDR[FDR]&amp;FDR[[#Headers],[6]],FDR[6],"",0,1)</f>
        <v>5</v>
      </c>
      <c r="S497" cm="1">
        <f t="array" ref="S497">_xlfn.XLOOKUP(Matrix[[#This Row],[TEAM]]&amp;Matrix[[#Headers],[7]],FDR[FDR]&amp;FDR[[#Headers],[7]],FDR[7],"",0,1)</f>
        <v>2</v>
      </c>
      <c r="T497" cm="1">
        <f t="array" ref="T497">_xlfn.XLOOKUP(Matrix[[#This Row],[TEAM]]&amp;Matrix[[#Headers],[8]],FDR[FDR]&amp;FDR[[#Headers],[8]],FDR[8],"",0,1)</f>
        <v>4</v>
      </c>
      <c r="U497" cm="1">
        <f t="array" ref="U497">_xlfn.XLOOKUP(Matrix[[#This Row],[TEAM]]&amp;Matrix[[#Headers],[9]],FDR[FDR]&amp;FDR[[#Headers],[9]],FDR[9],"",0,1)</f>
        <v>5</v>
      </c>
      <c r="V497" cm="1">
        <f t="array" ref="V497">_xlfn.XLOOKUP(Matrix[[#This Row],[TEAM]]&amp;Matrix[[#Headers],[10]],FDR[FDR]&amp;FDR[[#Headers],[10]],FDR[10],"",0,1)</f>
        <v>1</v>
      </c>
      <c r="W497" cm="1">
        <f t="array" ref="W497">_xlfn.XLOOKUP(Matrix[[#This Row],[TEAM]]&amp;Matrix[[#Headers],[11]],FDR[FDR]&amp;FDR[[#Headers],[11]],FDR[11],"",0,1)</f>
        <v>3</v>
      </c>
      <c r="X497" cm="1">
        <f t="array" ref="X497">_xlfn.XLOOKUP(Matrix[[#This Row],[TEAM]]&amp;Matrix[[#Headers],[12]],FDR[FDR]&amp;FDR[[#Headers],[12]],FDR[12],"",0,1)</f>
        <v>2</v>
      </c>
      <c r="Y497" cm="1">
        <f t="array" ref="Y497">_xlfn.XLOOKUP(Matrix[[#This Row],[TEAM]]&amp;Matrix[[#Headers],[13]],FDR[FDR]&amp;FDR[[#Headers],[13]],FDR[13],"",0,1)</f>
        <v>4</v>
      </c>
      <c r="Z497" cm="1">
        <f t="array" ref="Z497">_xlfn.XLOOKUP(Matrix[[#This Row],[TEAM]]&amp;Matrix[[#Headers],[14]],FDR[FDR]&amp;FDR[[#Headers],[14]],FDR[14],"",0,1)</f>
        <v>3</v>
      </c>
      <c r="AA497" cm="1">
        <f t="array" ref="AA497">_xlfn.XLOOKUP(Matrix[[#This Row],[TEAM]]&amp;Matrix[[#Headers],[15]],FDR[FDR]&amp;FDR[[#Headers],[15]],FDR[15],"",0,1)</f>
        <v>2</v>
      </c>
      <c r="AB497" cm="1">
        <f t="array" ref="AB497">_xlfn.XLOOKUP(Matrix[[#This Row],[TEAM]]&amp;Matrix[[#Headers],[16]],FDR[FDR]&amp;FDR[[#Headers],[16]],FDR[16],"",0,1)</f>
        <v>5</v>
      </c>
      <c r="AC497" cm="1">
        <f t="array" ref="AC497">_xlfn.XLOOKUP(Matrix[[#This Row],[TEAM]]&amp;Matrix[[#Headers],[17]],FDR[FDR]&amp;FDR[[#Headers],[17]],FDR[17],"",0,1)</f>
        <v>1</v>
      </c>
      <c r="AD497" cm="1">
        <f t="array" ref="AD497">_xlfn.XLOOKUP(Matrix[[#This Row],[TEAM]]&amp;Matrix[[#Headers],[18]],FDR[FDR]&amp;FDR[[#Headers],[18]],FDR[18],"",0,1)</f>
        <v>5</v>
      </c>
      <c r="AE497" cm="1">
        <f t="array" ref="AE497">_xlfn.XLOOKUP(Matrix[[#This Row],[TEAM]]&amp;Matrix[[#Headers],[19]],FDR[FDR]&amp;FDR[[#Headers],[19]],FDR[19],"",0,1)</f>
        <v>3</v>
      </c>
      <c r="AF497" cm="1">
        <f t="array" ref="AF497">_xlfn.XLOOKUP(Matrix[[#This Row],[TEAM]]&amp;Matrix[[#Headers],[20]],FDR[FDR]&amp;FDR[[#Headers],[20]],FDR[20],"",0,1)</f>
        <v>1</v>
      </c>
      <c r="AG497" cm="1">
        <f t="array" ref="AG497">_xlfn.XLOOKUP(Matrix[[#This Row],[TEAM]]&amp;Matrix[[#Headers],[21]],FDR[FDR]&amp;FDR[[#Headers],[21]],FDR[21],"",0,1)</f>
        <v>5</v>
      </c>
      <c r="AH497" cm="1">
        <f t="array" ref="AH497">_xlfn.XLOOKUP(Matrix[[#This Row],[TEAM]]&amp;Matrix[[#Headers],[22]],FDR[FDR]&amp;FDR[[#Headers],[22]],FDR[22],"",0,1)</f>
        <v>3</v>
      </c>
      <c r="AI497" cm="1">
        <f t="array" ref="AI497">_xlfn.XLOOKUP(Matrix[[#This Row],[TEAM]]&amp;Matrix[[#Headers],[23]],FDR[FDR]&amp;FDR[[#Headers],[23]],FDR[23],"",0,1)</f>
        <v>4</v>
      </c>
      <c r="AJ497" cm="1">
        <f t="array" ref="AJ497">_xlfn.XLOOKUP(Matrix[[#This Row],[TEAM]]&amp;Matrix[[#Headers],[24]],FDR[FDR]&amp;FDR[[#Headers],[24]],FDR[24],"",0,1)</f>
        <v>2</v>
      </c>
      <c r="AK497" cm="1">
        <f t="array" ref="AK497">_xlfn.XLOOKUP(Matrix[[#This Row],[TEAM]]&amp;Matrix[[#Headers],[25]],FDR[FDR]&amp;FDR[[#Headers],[25]],FDR[25],"",0,1)</f>
        <v>2</v>
      </c>
      <c r="AL497" cm="1">
        <f t="array" ref="AL497">_xlfn.XLOOKUP(Matrix[[#This Row],[TEAM]]&amp;Matrix[[#Headers],[26]],FDR[FDR]&amp;FDR[[#Headers],[26]],FDR[26],"",0,1)</f>
        <v>5</v>
      </c>
      <c r="AM497" cm="1">
        <f t="array" ref="AM497">_xlfn.XLOOKUP(Matrix[[#This Row],[TEAM]]&amp;Matrix[[#Headers],[27]],FDR[FDR]&amp;FDR[[#Headers],[27]],FDR[27],"",0,1)</f>
        <v>3</v>
      </c>
      <c r="AN497" cm="1">
        <f t="array" ref="AN497">_xlfn.XLOOKUP(Matrix[[#This Row],[TEAM]]&amp;Matrix[[#Headers],[28]],FDR[FDR]&amp;FDR[[#Headers],[28]],FDR[28],"",0,1)</f>
        <v>3</v>
      </c>
      <c r="AO497" cm="1">
        <f t="array" ref="AO497">_xlfn.XLOOKUP(Matrix[[#This Row],[TEAM]]&amp;Matrix[[#Headers],[29]],FDR[FDR]&amp;FDR[[#Headers],[29]],FDR[29],"",0,1)</f>
        <v>4</v>
      </c>
      <c r="AP497" cm="1">
        <f t="array" ref="AP497">_xlfn.XLOOKUP(Matrix[[#This Row],[TEAM]]&amp;Matrix[[#Headers],[30]],FDR[FDR]&amp;FDR[[#Headers],[30]],FDR[30],"",0,1)</f>
        <v>2</v>
      </c>
      <c r="AQ497" cm="1">
        <f t="array" ref="AQ497">_xlfn.XLOOKUP(Matrix[[#This Row],[TEAM]]&amp;Matrix[[#Headers],[31]],FDR[FDR]&amp;FDR[[#Headers],[31]],FDR[31],"",0,1)</f>
        <v>4</v>
      </c>
      <c r="AR497" cm="1">
        <f t="array" ref="AR497">_xlfn.XLOOKUP(Matrix[[#This Row],[TEAM]]&amp;Matrix[[#Headers],[32]],FDR[FDR]&amp;FDR[[#Headers],[32]],FDR[32],"",0,1)</f>
        <v>2</v>
      </c>
      <c r="AS497" cm="1">
        <f t="array" ref="AS497">_xlfn.XLOOKUP(Matrix[[#This Row],[TEAM]]&amp;Matrix[[#Headers],[33]],FDR[FDR]&amp;FDR[[#Headers],[33]],FDR[33],"",0,1)</f>
        <v>5</v>
      </c>
      <c r="AT497" cm="1">
        <f t="array" ref="AT497">_xlfn.XLOOKUP(Matrix[[#This Row],[TEAM]]&amp;Matrix[[#Headers],[34]],FDR[FDR]&amp;FDR[[#Headers],[34]],FDR[34],"",0,1)</f>
        <v>4</v>
      </c>
      <c r="AU497" cm="1">
        <f t="array" ref="AU497">_xlfn.XLOOKUP(Matrix[[#This Row],[TEAM]]&amp;Matrix[[#Headers],[35]],FDR[FDR]&amp;FDR[[#Headers],[35]],FDR[35],"",0,1)</f>
        <v>5</v>
      </c>
      <c r="AV497" cm="1">
        <f t="array" ref="AV497">_xlfn.XLOOKUP(Matrix[[#This Row],[TEAM]]&amp;Matrix[[#Headers],[36]],FDR[FDR]&amp;FDR[[#Headers],[36]],FDR[36],"",0,1)</f>
        <v>1</v>
      </c>
      <c r="AW497" cm="1">
        <f t="array" ref="AW497">_xlfn.XLOOKUP(Matrix[[#This Row],[TEAM]]&amp;Matrix[[#Headers],[37]],FDR[FDR]&amp;FDR[[#Headers],[37]],FDR[37],"",0,1)</f>
        <v>2</v>
      </c>
      <c r="AX497" cm="1">
        <f t="array" ref="AX497">_xlfn.XLOOKUP(Matrix[[#This Row],[TEAM]]&amp;Matrix[[#Headers],[38]],FDR[FDR]&amp;FDR[[#Headers],[38]],FDR[38],"",0,1)</f>
        <v>4</v>
      </c>
    </row>
    <row r="498" spans="1:50" ht="22" thickTop="1" thickBot="1">
      <c r="A498" s="51" t="s">
        <v>657</v>
      </c>
      <c r="B498" s="70" t="s">
        <v>1791</v>
      </c>
      <c r="C498" s="40" t="s">
        <v>22</v>
      </c>
      <c r="D498" s="62">
        <v>0</v>
      </c>
      <c r="E498" s="60">
        <v>0.16400000000000001</v>
      </c>
      <c r="F498" s="61">
        <v>0</v>
      </c>
      <c r="G498" s="63">
        <v>4</v>
      </c>
      <c r="H498" s="261">
        <f>IF(ISBLANK(I498),0,1)</f>
        <v>0</v>
      </c>
      <c r="I498" s="57"/>
      <c r="J498" s="58"/>
      <c r="K498" s="65" t="s">
        <v>716</v>
      </c>
      <c r="L498" s="65" t="s">
        <v>717</v>
      </c>
      <c r="M498" cm="1">
        <f t="array" ref="M498">_xlfn.XLOOKUP(Matrix[[#This Row],[TEAM]]&amp;Matrix[[#Headers],[1]],FDR[FDR]&amp;FDR[[#Headers],[1]],FDR[1],"",0,1)</f>
        <v>5</v>
      </c>
      <c r="N498" cm="1">
        <f t="array" ref="N498">_xlfn.XLOOKUP(Matrix[[#This Row],[TEAM]]&amp;Matrix[[#Headers],[2]],FDR[FDR]&amp;FDR[[#Headers],[2]],FDR[2],"",0,1)</f>
        <v>3</v>
      </c>
      <c r="O498" cm="1">
        <f t="array" ref="O498">_xlfn.XLOOKUP(Matrix[[#This Row],[TEAM]]&amp;Matrix[[#Headers],[3]],FDR[FDR]&amp;FDR[[#Headers],[3]],FDR[3],"",0,1)</f>
        <v>5</v>
      </c>
      <c r="P498" cm="1">
        <f t="array" ref="P498">_xlfn.XLOOKUP(Matrix[[#This Row],[TEAM]]&amp;Matrix[[#Headers],[4]],FDR[FDR]&amp;FDR[[#Headers],[4]],FDR[4],"",0,1)</f>
        <v>5</v>
      </c>
      <c r="Q498" cm="1">
        <f t="array" ref="Q498">_xlfn.XLOOKUP(Matrix[[#This Row],[TEAM]]&amp;Matrix[[#Headers],[5]],FDR[FDR]&amp;FDR[[#Headers],[5]],FDR[5],"",0,1)</f>
        <v>5</v>
      </c>
      <c r="R498" cm="1">
        <f t="array" ref="R498">_xlfn.XLOOKUP(Matrix[[#This Row],[TEAM]]&amp;Matrix[[#Headers],[6]],FDR[FDR]&amp;FDR[[#Headers],[6]],FDR[6],"",0,1)</f>
        <v>5</v>
      </c>
      <c r="S498" cm="1">
        <f t="array" ref="S498">_xlfn.XLOOKUP(Matrix[[#This Row],[TEAM]]&amp;Matrix[[#Headers],[7]],FDR[FDR]&amp;FDR[[#Headers],[7]],FDR[7],"",0,1)</f>
        <v>5</v>
      </c>
      <c r="T498" cm="1">
        <f t="array" ref="T498">_xlfn.XLOOKUP(Matrix[[#This Row],[TEAM]]&amp;Matrix[[#Headers],[8]],FDR[FDR]&amp;FDR[[#Headers],[8]],FDR[8],"",0,1)</f>
        <v>3</v>
      </c>
      <c r="U498" cm="1">
        <f t="array" ref="U498">_xlfn.XLOOKUP(Matrix[[#This Row],[TEAM]]&amp;Matrix[[#Headers],[9]],FDR[FDR]&amp;FDR[[#Headers],[9]],FDR[9],"",0,1)</f>
        <v>4</v>
      </c>
      <c r="V498" cm="1">
        <f t="array" ref="V498">_xlfn.XLOOKUP(Matrix[[#This Row],[TEAM]]&amp;Matrix[[#Headers],[10]],FDR[FDR]&amp;FDR[[#Headers],[10]],FDR[10],"",0,1)</f>
        <v>5</v>
      </c>
      <c r="W498" cm="1">
        <f t="array" ref="W498">_xlfn.XLOOKUP(Matrix[[#This Row],[TEAM]]&amp;Matrix[[#Headers],[11]],FDR[FDR]&amp;FDR[[#Headers],[11]],FDR[11],"",0,1)</f>
        <v>5</v>
      </c>
      <c r="X498" cm="1">
        <f t="array" ref="X498">_xlfn.XLOOKUP(Matrix[[#This Row],[TEAM]]&amp;Matrix[[#Headers],[12]],FDR[FDR]&amp;FDR[[#Headers],[12]],FDR[12],"",0,1)</f>
        <v>5</v>
      </c>
      <c r="Y498" cm="1">
        <f t="array" ref="Y498">_xlfn.XLOOKUP(Matrix[[#This Row],[TEAM]]&amp;Matrix[[#Headers],[13]],FDR[FDR]&amp;FDR[[#Headers],[13]],FDR[13],"",0,1)</f>
        <v>5</v>
      </c>
      <c r="Z498" cm="1">
        <f t="array" ref="Z498">_xlfn.XLOOKUP(Matrix[[#This Row],[TEAM]]&amp;Matrix[[#Headers],[14]],FDR[FDR]&amp;FDR[[#Headers],[14]],FDR[14],"",0,1)</f>
        <v>4</v>
      </c>
      <c r="AA498" cm="1">
        <f t="array" ref="AA498">_xlfn.XLOOKUP(Matrix[[#This Row],[TEAM]]&amp;Matrix[[#Headers],[15]],FDR[FDR]&amp;FDR[[#Headers],[15]],FDR[15],"",0,1)</f>
        <v>5</v>
      </c>
      <c r="AB498" cm="1">
        <f t="array" ref="AB498">_xlfn.XLOOKUP(Matrix[[#This Row],[TEAM]]&amp;Matrix[[#Headers],[16]],FDR[FDR]&amp;FDR[[#Headers],[16]],FDR[16],"",0,1)</f>
        <v>5</v>
      </c>
      <c r="AC498" cm="1">
        <f t="array" ref="AC498">_xlfn.XLOOKUP(Matrix[[#This Row],[TEAM]]&amp;Matrix[[#Headers],[17]],FDR[FDR]&amp;FDR[[#Headers],[17]],FDR[17],"",0,1)</f>
        <v>5</v>
      </c>
      <c r="AD498" cm="1">
        <f t="array" ref="AD498">_xlfn.XLOOKUP(Matrix[[#This Row],[TEAM]]&amp;Matrix[[#Headers],[18]],FDR[FDR]&amp;FDR[[#Headers],[18]],FDR[18],"",0,1)</f>
        <v>4</v>
      </c>
      <c r="AE498" cm="1">
        <f t="array" ref="AE498">_xlfn.XLOOKUP(Matrix[[#This Row],[TEAM]]&amp;Matrix[[#Headers],[19]],FDR[FDR]&amp;FDR[[#Headers],[19]],FDR[19],"",0,1)</f>
        <v>5</v>
      </c>
      <c r="AF498" cm="1">
        <f t="array" ref="AF498">_xlfn.XLOOKUP(Matrix[[#This Row],[TEAM]]&amp;Matrix[[#Headers],[20]],FDR[FDR]&amp;FDR[[#Headers],[20]],FDR[20],"",0,1)</f>
        <v>5</v>
      </c>
      <c r="AG498" cm="1">
        <f t="array" ref="AG498">_xlfn.XLOOKUP(Matrix[[#This Row],[TEAM]]&amp;Matrix[[#Headers],[21]],FDR[FDR]&amp;FDR[[#Headers],[21]],FDR[21],"",0,1)</f>
        <v>5</v>
      </c>
      <c r="AH498" cm="1">
        <f t="array" ref="AH498">_xlfn.XLOOKUP(Matrix[[#This Row],[TEAM]]&amp;Matrix[[#Headers],[22]],FDR[FDR]&amp;FDR[[#Headers],[22]],FDR[22],"",0,1)</f>
        <v>5</v>
      </c>
      <c r="AI498" cm="1">
        <f t="array" ref="AI498">_xlfn.XLOOKUP(Matrix[[#This Row],[TEAM]]&amp;Matrix[[#Headers],[23]],FDR[FDR]&amp;FDR[[#Headers],[23]],FDR[23],"",0,1)</f>
        <v>5</v>
      </c>
      <c r="AJ498" cm="1">
        <f t="array" ref="AJ498">_xlfn.XLOOKUP(Matrix[[#This Row],[TEAM]]&amp;Matrix[[#Headers],[24]],FDR[FDR]&amp;FDR[[#Headers],[24]],FDR[24],"",0,1)</f>
        <v>4</v>
      </c>
      <c r="AK498" cm="1">
        <f t="array" ref="AK498">_xlfn.XLOOKUP(Matrix[[#This Row],[TEAM]]&amp;Matrix[[#Headers],[25]],FDR[FDR]&amp;FDR[[#Headers],[25]],FDR[25],"",0,1)</f>
        <v>4</v>
      </c>
      <c r="AL498" cm="1">
        <f t="array" ref="AL498">_xlfn.XLOOKUP(Matrix[[#This Row],[TEAM]]&amp;Matrix[[#Headers],[26]],FDR[FDR]&amp;FDR[[#Headers],[26]],FDR[26],"",0,1)</f>
        <v>5</v>
      </c>
      <c r="AM498" cm="1">
        <f t="array" ref="AM498">_xlfn.XLOOKUP(Matrix[[#This Row],[TEAM]]&amp;Matrix[[#Headers],[27]],FDR[FDR]&amp;FDR[[#Headers],[27]],FDR[27],"",0,1)</f>
        <v>5</v>
      </c>
      <c r="AN498" cm="1">
        <f t="array" ref="AN498">_xlfn.XLOOKUP(Matrix[[#This Row],[TEAM]]&amp;Matrix[[#Headers],[28]],FDR[FDR]&amp;FDR[[#Headers],[28]],FDR[28],"",0,1)</f>
        <v>4</v>
      </c>
      <c r="AO498" cm="1">
        <f t="array" ref="AO498">_xlfn.XLOOKUP(Matrix[[#This Row],[TEAM]]&amp;Matrix[[#Headers],[29]],FDR[FDR]&amp;FDR[[#Headers],[29]],FDR[29],"",0,1)</f>
        <v>5</v>
      </c>
      <c r="AP498" cm="1">
        <f t="array" ref="AP498">_xlfn.XLOOKUP(Matrix[[#This Row],[TEAM]]&amp;Matrix[[#Headers],[30]],FDR[FDR]&amp;FDR[[#Headers],[30]],FDR[30],"",0,1)</f>
        <v>5</v>
      </c>
      <c r="AQ498" cm="1">
        <f t="array" ref="AQ498">_xlfn.XLOOKUP(Matrix[[#This Row],[TEAM]]&amp;Matrix[[#Headers],[31]],FDR[FDR]&amp;FDR[[#Headers],[31]],FDR[31],"",0,1)</f>
        <v>5</v>
      </c>
      <c r="AR498" cm="1">
        <f t="array" ref="AR498">_xlfn.XLOOKUP(Matrix[[#This Row],[TEAM]]&amp;Matrix[[#Headers],[32]],FDR[FDR]&amp;FDR[[#Headers],[32]],FDR[32],"",0,1)</f>
        <v>5</v>
      </c>
      <c r="AS498" cm="1">
        <f t="array" ref="AS498">_xlfn.XLOOKUP(Matrix[[#This Row],[TEAM]]&amp;Matrix[[#Headers],[33]],FDR[FDR]&amp;FDR[[#Headers],[33]],FDR[33],"",0,1)</f>
        <v>5</v>
      </c>
      <c r="AT498" cm="1">
        <f t="array" ref="AT498">_xlfn.XLOOKUP(Matrix[[#This Row],[TEAM]]&amp;Matrix[[#Headers],[34]],FDR[FDR]&amp;FDR[[#Headers],[34]],FDR[34],"",0,1)</f>
        <v>5</v>
      </c>
      <c r="AU498" cm="1">
        <f t="array" ref="AU498">_xlfn.XLOOKUP(Matrix[[#This Row],[TEAM]]&amp;Matrix[[#Headers],[35]],FDR[FDR]&amp;FDR[[#Headers],[35]],FDR[35],"",0,1)</f>
        <v>4</v>
      </c>
      <c r="AV498" cm="1">
        <f t="array" ref="AV498">_xlfn.XLOOKUP(Matrix[[#This Row],[TEAM]]&amp;Matrix[[#Headers],[36]],FDR[FDR]&amp;FDR[[#Headers],[36]],FDR[36],"",0,1)</f>
        <v>5</v>
      </c>
      <c r="AW498" cm="1">
        <f t="array" ref="AW498">_xlfn.XLOOKUP(Matrix[[#This Row],[TEAM]]&amp;Matrix[[#Headers],[37]],FDR[FDR]&amp;FDR[[#Headers],[37]],FDR[37],"",0,1)</f>
        <v>5</v>
      </c>
      <c r="AX498" cm="1">
        <f t="array" ref="AX498">_xlfn.XLOOKUP(Matrix[[#This Row],[TEAM]]&amp;Matrix[[#Headers],[38]],FDR[FDR]&amp;FDR[[#Headers],[38]],FDR[38],"",0,1)</f>
        <v>3</v>
      </c>
    </row>
    <row r="499" spans="1:50" ht="22" thickTop="1" thickBot="1">
      <c r="A499" s="51" t="s">
        <v>657</v>
      </c>
      <c r="B499" s="70" t="s">
        <v>1823</v>
      </c>
      <c r="C499" s="40" t="s">
        <v>22</v>
      </c>
      <c r="D499" s="62">
        <v>0</v>
      </c>
      <c r="E499" s="60">
        <v>4.0000000000000001E-3</v>
      </c>
      <c r="F499" s="61">
        <v>0</v>
      </c>
      <c r="G499" s="63">
        <v>4</v>
      </c>
      <c r="H499" s="261">
        <f>IF(ISBLANK(I499),0,1)</f>
        <v>0</v>
      </c>
      <c r="I499" s="57"/>
      <c r="J499" s="58"/>
      <c r="K499" s="65" t="s">
        <v>714</v>
      </c>
      <c r="L499" s="65" t="s">
        <v>715</v>
      </c>
      <c r="M499" cm="1">
        <f t="array" ref="M499">_xlfn.XLOOKUP(Matrix[[#This Row],[TEAM]]&amp;Matrix[[#Headers],[1]],FDR[FDR]&amp;FDR[[#Headers],[1]],FDR[1],"",0,1)</f>
        <v>5</v>
      </c>
      <c r="N499" cm="1">
        <f t="array" ref="N499">_xlfn.XLOOKUP(Matrix[[#This Row],[TEAM]]&amp;Matrix[[#Headers],[2]],FDR[FDR]&amp;FDR[[#Headers],[2]],FDR[2],"",0,1)</f>
        <v>3</v>
      </c>
      <c r="O499" cm="1">
        <f t="array" ref="O499">_xlfn.XLOOKUP(Matrix[[#This Row],[TEAM]]&amp;Matrix[[#Headers],[3]],FDR[FDR]&amp;FDR[[#Headers],[3]],FDR[3],"",0,1)</f>
        <v>5</v>
      </c>
      <c r="P499" cm="1">
        <f t="array" ref="P499">_xlfn.XLOOKUP(Matrix[[#This Row],[TEAM]]&amp;Matrix[[#Headers],[4]],FDR[FDR]&amp;FDR[[#Headers],[4]],FDR[4],"",0,1)</f>
        <v>5</v>
      </c>
      <c r="Q499" cm="1">
        <f t="array" ref="Q499">_xlfn.XLOOKUP(Matrix[[#This Row],[TEAM]]&amp;Matrix[[#Headers],[5]],FDR[FDR]&amp;FDR[[#Headers],[5]],FDR[5],"",0,1)</f>
        <v>5</v>
      </c>
      <c r="R499" cm="1">
        <f t="array" ref="R499">_xlfn.XLOOKUP(Matrix[[#This Row],[TEAM]]&amp;Matrix[[#Headers],[6]],FDR[FDR]&amp;FDR[[#Headers],[6]],FDR[6],"",0,1)</f>
        <v>5</v>
      </c>
      <c r="S499" cm="1">
        <f t="array" ref="S499">_xlfn.XLOOKUP(Matrix[[#This Row],[TEAM]]&amp;Matrix[[#Headers],[7]],FDR[FDR]&amp;FDR[[#Headers],[7]],FDR[7],"",0,1)</f>
        <v>5</v>
      </c>
      <c r="T499" cm="1">
        <f t="array" ref="T499">_xlfn.XLOOKUP(Matrix[[#This Row],[TEAM]]&amp;Matrix[[#Headers],[8]],FDR[FDR]&amp;FDR[[#Headers],[8]],FDR[8],"",0,1)</f>
        <v>3</v>
      </c>
      <c r="U499" cm="1">
        <f t="array" ref="U499">_xlfn.XLOOKUP(Matrix[[#This Row],[TEAM]]&amp;Matrix[[#Headers],[9]],FDR[FDR]&amp;FDR[[#Headers],[9]],FDR[9],"",0,1)</f>
        <v>4</v>
      </c>
      <c r="V499" cm="1">
        <f t="array" ref="V499">_xlfn.XLOOKUP(Matrix[[#This Row],[TEAM]]&amp;Matrix[[#Headers],[10]],FDR[FDR]&amp;FDR[[#Headers],[10]],FDR[10],"",0,1)</f>
        <v>5</v>
      </c>
      <c r="W499" cm="1">
        <f t="array" ref="W499">_xlfn.XLOOKUP(Matrix[[#This Row],[TEAM]]&amp;Matrix[[#Headers],[11]],FDR[FDR]&amp;FDR[[#Headers],[11]],FDR[11],"",0,1)</f>
        <v>5</v>
      </c>
      <c r="X499" cm="1">
        <f t="array" ref="X499">_xlfn.XLOOKUP(Matrix[[#This Row],[TEAM]]&amp;Matrix[[#Headers],[12]],FDR[FDR]&amp;FDR[[#Headers],[12]],FDR[12],"",0,1)</f>
        <v>5</v>
      </c>
      <c r="Y499" cm="1">
        <f t="array" ref="Y499">_xlfn.XLOOKUP(Matrix[[#This Row],[TEAM]]&amp;Matrix[[#Headers],[13]],FDR[FDR]&amp;FDR[[#Headers],[13]],FDR[13],"",0,1)</f>
        <v>5</v>
      </c>
      <c r="Z499" cm="1">
        <f t="array" ref="Z499">_xlfn.XLOOKUP(Matrix[[#This Row],[TEAM]]&amp;Matrix[[#Headers],[14]],FDR[FDR]&amp;FDR[[#Headers],[14]],FDR[14],"",0,1)</f>
        <v>4</v>
      </c>
      <c r="AA499" cm="1">
        <f t="array" ref="AA499">_xlfn.XLOOKUP(Matrix[[#This Row],[TEAM]]&amp;Matrix[[#Headers],[15]],FDR[FDR]&amp;FDR[[#Headers],[15]],FDR[15],"",0,1)</f>
        <v>5</v>
      </c>
      <c r="AB499" cm="1">
        <f t="array" ref="AB499">_xlfn.XLOOKUP(Matrix[[#This Row],[TEAM]]&amp;Matrix[[#Headers],[16]],FDR[FDR]&amp;FDR[[#Headers],[16]],FDR[16],"",0,1)</f>
        <v>5</v>
      </c>
      <c r="AC499" cm="1">
        <f t="array" ref="AC499">_xlfn.XLOOKUP(Matrix[[#This Row],[TEAM]]&amp;Matrix[[#Headers],[17]],FDR[FDR]&amp;FDR[[#Headers],[17]],FDR[17],"",0,1)</f>
        <v>5</v>
      </c>
      <c r="AD499" cm="1">
        <f t="array" ref="AD499">_xlfn.XLOOKUP(Matrix[[#This Row],[TEAM]]&amp;Matrix[[#Headers],[18]],FDR[FDR]&amp;FDR[[#Headers],[18]],FDR[18],"",0,1)</f>
        <v>4</v>
      </c>
      <c r="AE499" cm="1">
        <f t="array" ref="AE499">_xlfn.XLOOKUP(Matrix[[#This Row],[TEAM]]&amp;Matrix[[#Headers],[19]],FDR[FDR]&amp;FDR[[#Headers],[19]],FDR[19],"",0,1)</f>
        <v>5</v>
      </c>
      <c r="AF499" cm="1">
        <f t="array" ref="AF499">_xlfn.XLOOKUP(Matrix[[#This Row],[TEAM]]&amp;Matrix[[#Headers],[20]],FDR[FDR]&amp;FDR[[#Headers],[20]],FDR[20],"",0,1)</f>
        <v>5</v>
      </c>
      <c r="AG499" cm="1">
        <f t="array" ref="AG499">_xlfn.XLOOKUP(Matrix[[#This Row],[TEAM]]&amp;Matrix[[#Headers],[21]],FDR[FDR]&amp;FDR[[#Headers],[21]],FDR[21],"",0,1)</f>
        <v>5</v>
      </c>
      <c r="AH499" cm="1">
        <f t="array" ref="AH499">_xlfn.XLOOKUP(Matrix[[#This Row],[TEAM]]&amp;Matrix[[#Headers],[22]],FDR[FDR]&amp;FDR[[#Headers],[22]],FDR[22],"",0,1)</f>
        <v>5</v>
      </c>
      <c r="AI499" cm="1">
        <f t="array" ref="AI499">_xlfn.XLOOKUP(Matrix[[#This Row],[TEAM]]&amp;Matrix[[#Headers],[23]],FDR[FDR]&amp;FDR[[#Headers],[23]],FDR[23],"",0,1)</f>
        <v>5</v>
      </c>
      <c r="AJ499" cm="1">
        <f t="array" ref="AJ499">_xlfn.XLOOKUP(Matrix[[#This Row],[TEAM]]&amp;Matrix[[#Headers],[24]],FDR[FDR]&amp;FDR[[#Headers],[24]],FDR[24],"",0,1)</f>
        <v>4</v>
      </c>
      <c r="AK499" cm="1">
        <f t="array" ref="AK499">_xlfn.XLOOKUP(Matrix[[#This Row],[TEAM]]&amp;Matrix[[#Headers],[25]],FDR[FDR]&amp;FDR[[#Headers],[25]],FDR[25],"",0,1)</f>
        <v>4</v>
      </c>
      <c r="AL499" cm="1">
        <f t="array" ref="AL499">_xlfn.XLOOKUP(Matrix[[#This Row],[TEAM]]&amp;Matrix[[#Headers],[26]],FDR[FDR]&amp;FDR[[#Headers],[26]],FDR[26],"",0,1)</f>
        <v>5</v>
      </c>
      <c r="AM499" cm="1">
        <f t="array" ref="AM499">_xlfn.XLOOKUP(Matrix[[#This Row],[TEAM]]&amp;Matrix[[#Headers],[27]],FDR[FDR]&amp;FDR[[#Headers],[27]],FDR[27],"",0,1)</f>
        <v>5</v>
      </c>
      <c r="AN499" cm="1">
        <f t="array" ref="AN499">_xlfn.XLOOKUP(Matrix[[#This Row],[TEAM]]&amp;Matrix[[#Headers],[28]],FDR[FDR]&amp;FDR[[#Headers],[28]],FDR[28],"",0,1)</f>
        <v>4</v>
      </c>
      <c r="AO499" cm="1">
        <f t="array" ref="AO499">_xlfn.XLOOKUP(Matrix[[#This Row],[TEAM]]&amp;Matrix[[#Headers],[29]],FDR[FDR]&amp;FDR[[#Headers],[29]],FDR[29],"",0,1)</f>
        <v>5</v>
      </c>
      <c r="AP499" cm="1">
        <f t="array" ref="AP499">_xlfn.XLOOKUP(Matrix[[#This Row],[TEAM]]&amp;Matrix[[#Headers],[30]],FDR[FDR]&amp;FDR[[#Headers],[30]],FDR[30],"",0,1)</f>
        <v>5</v>
      </c>
      <c r="AQ499" cm="1">
        <f t="array" ref="AQ499">_xlfn.XLOOKUP(Matrix[[#This Row],[TEAM]]&amp;Matrix[[#Headers],[31]],FDR[FDR]&amp;FDR[[#Headers],[31]],FDR[31],"",0,1)</f>
        <v>5</v>
      </c>
      <c r="AR499" cm="1">
        <f t="array" ref="AR499">_xlfn.XLOOKUP(Matrix[[#This Row],[TEAM]]&amp;Matrix[[#Headers],[32]],FDR[FDR]&amp;FDR[[#Headers],[32]],FDR[32],"",0,1)</f>
        <v>5</v>
      </c>
      <c r="AS499" cm="1">
        <f t="array" ref="AS499">_xlfn.XLOOKUP(Matrix[[#This Row],[TEAM]]&amp;Matrix[[#Headers],[33]],FDR[FDR]&amp;FDR[[#Headers],[33]],FDR[33],"",0,1)</f>
        <v>5</v>
      </c>
      <c r="AT499" cm="1">
        <f t="array" ref="AT499">_xlfn.XLOOKUP(Matrix[[#This Row],[TEAM]]&amp;Matrix[[#Headers],[34]],FDR[FDR]&amp;FDR[[#Headers],[34]],FDR[34],"",0,1)</f>
        <v>5</v>
      </c>
      <c r="AU499" cm="1">
        <f t="array" ref="AU499">_xlfn.XLOOKUP(Matrix[[#This Row],[TEAM]]&amp;Matrix[[#Headers],[35]],FDR[FDR]&amp;FDR[[#Headers],[35]],FDR[35],"",0,1)</f>
        <v>4</v>
      </c>
      <c r="AV499" cm="1">
        <f t="array" ref="AV499">_xlfn.XLOOKUP(Matrix[[#This Row],[TEAM]]&amp;Matrix[[#Headers],[36]],FDR[FDR]&amp;FDR[[#Headers],[36]],FDR[36],"",0,1)</f>
        <v>5</v>
      </c>
      <c r="AW499" cm="1">
        <f t="array" ref="AW499">_xlfn.XLOOKUP(Matrix[[#This Row],[TEAM]]&amp;Matrix[[#Headers],[37]],FDR[FDR]&amp;FDR[[#Headers],[37]],FDR[37],"",0,1)</f>
        <v>5</v>
      </c>
      <c r="AX499" cm="1">
        <f t="array" ref="AX499">_xlfn.XLOOKUP(Matrix[[#This Row],[TEAM]]&amp;Matrix[[#Headers],[38]],FDR[FDR]&amp;FDR[[#Headers],[38]],FDR[38],"",0,1)</f>
        <v>3</v>
      </c>
    </row>
    <row r="500" spans="1:50" ht="22" thickTop="1" thickBot="1">
      <c r="A500" s="51" t="s">
        <v>657</v>
      </c>
      <c r="B500" s="70" t="s">
        <v>1822</v>
      </c>
      <c r="C500" s="40" t="s">
        <v>22</v>
      </c>
      <c r="D500" s="62">
        <v>0</v>
      </c>
      <c r="E500" s="60">
        <v>4.0000000000000001E-3</v>
      </c>
      <c r="F500" s="61">
        <v>0</v>
      </c>
      <c r="G500" s="63">
        <v>4</v>
      </c>
      <c r="H500" s="261">
        <f>IF(ISBLANK(I500),0,1)</f>
        <v>0</v>
      </c>
      <c r="I500" s="57"/>
      <c r="J500" s="58"/>
      <c r="K500" s="65" t="s">
        <v>1038</v>
      </c>
      <c r="L500" s="65" t="s">
        <v>1039</v>
      </c>
      <c r="M500" cm="1">
        <f t="array" ref="M500">_xlfn.XLOOKUP(Matrix[[#This Row],[TEAM]]&amp;Matrix[[#Headers],[1]],FDR[FDR]&amp;FDR[[#Headers],[1]],FDR[1],"",0,1)</f>
        <v>5</v>
      </c>
      <c r="N500" cm="1">
        <f t="array" ref="N500">_xlfn.XLOOKUP(Matrix[[#This Row],[TEAM]]&amp;Matrix[[#Headers],[2]],FDR[FDR]&amp;FDR[[#Headers],[2]],FDR[2],"",0,1)</f>
        <v>3</v>
      </c>
      <c r="O500" cm="1">
        <f t="array" ref="O500">_xlfn.XLOOKUP(Matrix[[#This Row],[TEAM]]&amp;Matrix[[#Headers],[3]],FDR[FDR]&amp;FDR[[#Headers],[3]],FDR[3],"",0,1)</f>
        <v>5</v>
      </c>
      <c r="P500" cm="1">
        <f t="array" ref="P500">_xlfn.XLOOKUP(Matrix[[#This Row],[TEAM]]&amp;Matrix[[#Headers],[4]],FDR[FDR]&amp;FDR[[#Headers],[4]],FDR[4],"",0,1)</f>
        <v>5</v>
      </c>
      <c r="Q500" cm="1">
        <f t="array" ref="Q500">_xlfn.XLOOKUP(Matrix[[#This Row],[TEAM]]&amp;Matrix[[#Headers],[5]],FDR[FDR]&amp;FDR[[#Headers],[5]],FDR[5],"",0,1)</f>
        <v>5</v>
      </c>
      <c r="R500" cm="1">
        <f t="array" ref="R500">_xlfn.XLOOKUP(Matrix[[#This Row],[TEAM]]&amp;Matrix[[#Headers],[6]],FDR[FDR]&amp;FDR[[#Headers],[6]],FDR[6],"",0,1)</f>
        <v>5</v>
      </c>
      <c r="S500" cm="1">
        <f t="array" ref="S500">_xlfn.XLOOKUP(Matrix[[#This Row],[TEAM]]&amp;Matrix[[#Headers],[7]],FDR[FDR]&amp;FDR[[#Headers],[7]],FDR[7],"",0,1)</f>
        <v>5</v>
      </c>
      <c r="T500" cm="1">
        <f t="array" ref="T500">_xlfn.XLOOKUP(Matrix[[#This Row],[TEAM]]&amp;Matrix[[#Headers],[8]],FDR[FDR]&amp;FDR[[#Headers],[8]],FDR[8],"",0,1)</f>
        <v>3</v>
      </c>
      <c r="U500" cm="1">
        <f t="array" ref="U500">_xlfn.XLOOKUP(Matrix[[#This Row],[TEAM]]&amp;Matrix[[#Headers],[9]],FDR[FDR]&amp;FDR[[#Headers],[9]],FDR[9],"",0,1)</f>
        <v>4</v>
      </c>
      <c r="V500" cm="1">
        <f t="array" ref="V500">_xlfn.XLOOKUP(Matrix[[#This Row],[TEAM]]&amp;Matrix[[#Headers],[10]],FDR[FDR]&amp;FDR[[#Headers],[10]],FDR[10],"",0,1)</f>
        <v>5</v>
      </c>
      <c r="W500" cm="1">
        <f t="array" ref="W500">_xlfn.XLOOKUP(Matrix[[#This Row],[TEAM]]&amp;Matrix[[#Headers],[11]],FDR[FDR]&amp;FDR[[#Headers],[11]],FDR[11],"",0,1)</f>
        <v>5</v>
      </c>
      <c r="X500" cm="1">
        <f t="array" ref="X500">_xlfn.XLOOKUP(Matrix[[#This Row],[TEAM]]&amp;Matrix[[#Headers],[12]],FDR[FDR]&amp;FDR[[#Headers],[12]],FDR[12],"",0,1)</f>
        <v>5</v>
      </c>
      <c r="Y500" cm="1">
        <f t="array" ref="Y500">_xlfn.XLOOKUP(Matrix[[#This Row],[TEAM]]&amp;Matrix[[#Headers],[13]],FDR[FDR]&amp;FDR[[#Headers],[13]],FDR[13],"",0,1)</f>
        <v>5</v>
      </c>
      <c r="Z500" cm="1">
        <f t="array" ref="Z500">_xlfn.XLOOKUP(Matrix[[#This Row],[TEAM]]&amp;Matrix[[#Headers],[14]],FDR[FDR]&amp;FDR[[#Headers],[14]],FDR[14],"",0,1)</f>
        <v>4</v>
      </c>
      <c r="AA500" cm="1">
        <f t="array" ref="AA500">_xlfn.XLOOKUP(Matrix[[#This Row],[TEAM]]&amp;Matrix[[#Headers],[15]],FDR[FDR]&amp;FDR[[#Headers],[15]],FDR[15],"",0,1)</f>
        <v>5</v>
      </c>
      <c r="AB500" cm="1">
        <f t="array" ref="AB500">_xlfn.XLOOKUP(Matrix[[#This Row],[TEAM]]&amp;Matrix[[#Headers],[16]],FDR[FDR]&amp;FDR[[#Headers],[16]],FDR[16],"",0,1)</f>
        <v>5</v>
      </c>
      <c r="AC500" cm="1">
        <f t="array" ref="AC500">_xlfn.XLOOKUP(Matrix[[#This Row],[TEAM]]&amp;Matrix[[#Headers],[17]],FDR[FDR]&amp;FDR[[#Headers],[17]],FDR[17],"",0,1)</f>
        <v>5</v>
      </c>
      <c r="AD500" cm="1">
        <f t="array" ref="AD500">_xlfn.XLOOKUP(Matrix[[#This Row],[TEAM]]&amp;Matrix[[#Headers],[18]],FDR[FDR]&amp;FDR[[#Headers],[18]],FDR[18],"",0,1)</f>
        <v>4</v>
      </c>
      <c r="AE500" cm="1">
        <f t="array" ref="AE500">_xlfn.XLOOKUP(Matrix[[#This Row],[TEAM]]&amp;Matrix[[#Headers],[19]],FDR[FDR]&amp;FDR[[#Headers],[19]],FDR[19],"",0,1)</f>
        <v>5</v>
      </c>
      <c r="AF500" cm="1">
        <f t="array" ref="AF500">_xlfn.XLOOKUP(Matrix[[#This Row],[TEAM]]&amp;Matrix[[#Headers],[20]],FDR[FDR]&amp;FDR[[#Headers],[20]],FDR[20],"",0,1)</f>
        <v>5</v>
      </c>
      <c r="AG500" cm="1">
        <f t="array" ref="AG500">_xlfn.XLOOKUP(Matrix[[#This Row],[TEAM]]&amp;Matrix[[#Headers],[21]],FDR[FDR]&amp;FDR[[#Headers],[21]],FDR[21],"",0,1)</f>
        <v>5</v>
      </c>
      <c r="AH500" cm="1">
        <f t="array" ref="AH500">_xlfn.XLOOKUP(Matrix[[#This Row],[TEAM]]&amp;Matrix[[#Headers],[22]],FDR[FDR]&amp;FDR[[#Headers],[22]],FDR[22],"",0,1)</f>
        <v>5</v>
      </c>
      <c r="AI500" cm="1">
        <f t="array" ref="AI500">_xlfn.XLOOKUP(Matrix[[#This Row],[TEAM]]&amp;Matrix[[#Headers],[23]],FDR[FDR]&amp;FDR[[#Headers],[23]],FDR[23],"",0,1)</f>
        <v>5</v>
      </c>
      <c r="AJ500" cm="1">
        <f t="array" ref="AJ500">_xlfn.XLOOKUP(Matrix[[#This Row],[TEAM]]&amp;Matrix[[#Headers],[24]],FDR[FDR]&amp;FDR[[#Headers],[24]],FDR[24],"",0,1)</f>
        <v>4</v>
      </c>
      <c r="AK500" cm="1">
        <f t="array" ref="AK500">_xlfn.XLOOKUP(Matrix[[#This Row],[TEAM]]&amp;Matrix[[#Headers],[25]],FDR[FDR]&amp;FDR[[#Headers],[25]],FDR[25],"",0,1)</f>
        <v>4</v>
      </c>
      <c r="AL500" cm="1">
        <f t="array" ref="AL500">_xlfn.XLOOKUP(Matrix[[#This Row],[TEAM]]&amp;Matrix[[#Headers],[26]],FDR[FDR]&amp;FDR[[#Headers],[26]],FDR[26],"",0,1)</f>
        <v>5</v>
      </c>
      <c r="AM500" cm="1">
        <f t="array" ref="AM500">_xlfn.XLOOKUP(Matrix[[#This Row],[TEAM]]&amp;Matrix[[#Headers],[27]],FDR[FDR]&amp;FDR[[#Headers],[27]],FDR[27],"",0,1)</f>
        <v>5</v>
      </c>
      <c r="AN500" cm="1">
        <f t="array" ref="AN500">_xlfn.XLOOKUP(Matrix[[#This Row],[TEAM]]&amp;Matrix[[#Headers],[28]],FDR[FDR]&amp;FDR[[#Headers],[28]],FDR[28],"",0,1)</f>
        <v>4</v>
      </c>
      <c r="AO500" cm="1">
        <f t="array" ref="AO500">_xlfn.XLOOKUP(Matrix[[#This Row],[TEAM]]&amp;Matrix[[#Headers],[29]],FDR[FDR]&amp;FDR[[#Headers],[29]],FDR[29],"",0,1)</f>
        <v>5</v>
      </c>
      <c r="AP500" cm="1">
        <f t="array" ref="AP500">_xlfn.XLOOKUP(Matrix[[#This Row],[TEAM]]&amp;Matrix[[#Headers],[30]],FDR[FDR]&amp;FDR[[#Headers],[30]],FDR[30],"",0,1)</f>
        <v>5</v>
      </c>
      <c r="AQ500" cm="1">
        <f t="array" ref="AQ500">_xlfn.XLOOKUP(Matrix[[#This Row],[TEAM]]&amp;Matrix[[#Headers],[31]],FDR[FDR]&amp;FDR[[#Headers],[31]],FDR[31],"",0,1)</f>
        <v>5</v>
      </c>
      <c r="AR500" cm="1">
        <f t="array" ref="AR500">_xlfn.XLOOKUP(Matrix[[#This Row],[TEAM]]&amp;Matrix[[#Headers],[32]],FDR[FDR]&amp;FDR[[#Headers],[32]],FDR[32],"",0,1)</f>
        <v>5</v>
      </c>
      <c r="AS500" cm="1">
        <f t="array" ref="AS500">_xlfn.XLOOKUP(Matrix[[#This Row],[TEAM]]&amp;Matrix[[#Headers],[33]],FDR[FDR]&amp;FDR[[#Headers],[33]],FDR[33],"",0,1)</f>
        <v>5</v>
      </c>
      <c r="AT500" cm="1">
        <f t="array" ref="AT500">_xlfn.XLOOKUP(Matrix[[#This Row],[TEAM]]&amp;Matrix[[#Headers],[34]],FDR[FDR]&amp;FDR[[#Headers],[34]],FDR[34],"",0,1)</f>
        <v>5</v>
      </c>
      <c r="AU500" cm="1">
        <f t="array" ref="AU500">_xlfn.XLOOKUP(Matrix[[#This Row],[TEAM]]&amp;Matrix[[#Headers],[35]],FDR[FDR]&amp;FDR[[#Headers],[35]],FDR[35],"",0,1)</f>
        <v>4</v>
      </c>
      <c r="AV500" cm="1">
        <f t="array" ref="AV500">_xlfn.XLOOKUP(Matrix[[#This Row],[TEAM]]&amp;Matrix[[#Headers],[36]],FDR[FDR]&amp;FDR[[#Headers],[36]],FDR[36],"",0,1)</f>
        <v>5</v>
      </c>
      <c r="AW500" cm="1">
        <f t="array" ref="AW500">_xlfn.XLOOKUP(Matrix[[#This Row],[TEAM]]&amp;Matrix[[#Headers],[37]],FDR[FDR]&amp;FDR[[#Headers],[37]],FDR[37],"",0,1)</f>
        <v>5</v>
      </c>
      <c r="AX500" cm="1">
        <f t="array" ref="AX500">_xlfn.XLOOKUP(Matrix[[#This Row],[TEAM]]&amp;Matrix[[#Headers],[38]],FDR[FDR]&amp;FDR[[#Headers],[38]],FDR[38],"",0,1)</f>
        <v>3</v>
      </c>
    </row>
    <row r="501" spans="1:50" ht="22" thickTop="1" thickBot="1">
      <c r="A501" s="51" t="s">
        <v>657</v>
      </c>
      <c r="B501" s="70" t="s">
        <v>1862</v>
      </c>
      <c r="C501" s="40" t="s">
        <v>22</v>
      </c>
      <c r="D501" s="62">
        <v>0</v>
      </c>
      <c r="E501" s="60">
        <v>2E-3</v>
      </c>
      <c r="F501" s="61">
        <v>0</v>
      </c>
      <c r="G501" s="63">
        <v>4</v>
      </c>
      <c r="H501" s="261">
        <f>IF(ISBLANK(I501),0,1)</f>
        <v>0</v>
      </c>
      <c r="I501" s="57"/>
      <c r="J501" s="58"/>
      <c r="K501" s="65" t="s">
        <v>584</v>
      </c>
      <c r="L501" s="65" t="s">
        <v>175</v>
      </c>
      <c r="M501" cm="1">
        <f t="array" ref="M501">_xlfn.XLOOKUP(Matrix[[#This Row],[TEAM]]&amp;Matrix[[#Headers],[1]],FDR[FDR]&amp;FDR[[#Headers],[1]],FDR[1],"",0,1)</f>
        <v>5</v>
      </c>
      <c r="N501" cm="1">
        <f t="array" ref="N501">_xlfn.XLOOKUP(Matrix[[#This Row],[TEAM]]&amp;Matrix[[#Headers],[2]],FDR[FDR]&amp;FDR[[#Headers],[2]],FDR[2],"",0,1)</f>
        <v>3</v>
      </c>
      <c r="O501" cm="1">
        <f t="array" ref="O501">_xlfn.XLOOKUP(Matrix[[#This Row],[TEAM]]&amp;Matrix[[#Headers],[3]],FDR[FDR]&amp;FDR[[#Headers],[3]],FDR[3],"",0,1)</f>
        <v>5</v>
      </c>
      <c r="P501" cm="1">
        <f t="array" ref="P501">_xlfn.XLOOKUP(Matrix[[#This Row],[TEAM]]&amp;Matrix[[#Headers],[4]],FDR[FDR]&amp;FDR[[#Headers],[4]],FDR[4],"",0,1)</f>
        <v>5</v>
      </c>
      <c r="Q501" cm="1">
        <f t="array" ref="Q501">_xlfn.XLOOKUP(Matrix[[#This Row],[TEAM]]&amp;Matrix[[#Headers],[5]],FDR[FDR]&amp;FDR[[#Headers],[5]],FDR[5],"",0,1)</f>
        <v>5</v>
      </c>
      <c r="R501" cm="1">
        <f t="array" ref="R501">_xlfn.XLOOKUP(Matrix[[#This Row],[TEAM]]&amp;Matrix[[#Headers],[6]],FDR[FDR]&amp;FDR[[#Headers],[6]],FDR[6],"",0,1)</f>
        <v>5</v>
      </c>
      <c r="S501" cm="1">
        <f t="array" ref="S501">_xlfn.XLOOKUP(Matrix[[#This Row],[TEAM]]&amp;Matrix[[#Headers],[7]],FDR[FDR]&amp;FDR[[#Headers],[7]],FDR[7],"",0,1)</f>
        <v>5</v>
      </c>
      <c r="T501" cm="1">
        <f t="array" ref="T501">_xlfn.XLOOKUP(Matrix[[#This Row],[TEAM]]&amp;Matrix[[#Headers],[8]],FDR[FDR]&amp;FDR[[#Headers],[8]],FDR[8],"",0,1)</f>
        <v>3</v>
      </c>
      <c r="U501" cm="1">
        <f t="array" ref="U501">_xlfn.XLOOKUP(Matrix[[#This Row],[TEAM]]&amp;Matrix[[#Headers],[9]],FDR[FDR]&amp;FDR[[#Headers],[9]],FDR[9],"",0,1)</f>
        <v>4</v>
      </c>
      <c r="V501" cm="1">
        <f t="array" ref="V501">_xlfn.XLOOKUP(Matrix[[#This Row],[TEAM]]&amp;Matrix[[#Headers],[10]],FDR[FDR]&amp;FDR[[#Headers],[10]],FDR[10],"",0,1)</f>
        <v>5</v>
      </c>
      <c r="W501" cm="1">
        <f t="array" ref="W501">_xlfn.XLOOKUP(Matrix[[#This Row],[TEAM]]&amp;Matrix[[#Headers],[11]],FDR[FDR]&amp;FDR[[#Headers],[11]],FDR[11],"",0,1)</f>
        <v>5</v>
      </c>
      <c r="X501" cm="1">
        <f t="array" ref="X501">_xlfn.XLOOKUP(Matrix[[#This Row],[TEAM]]&amp;Matrix[[#Headers],[12]],FDR[FDR]&amp;FDR[[#Headers],[12]],FDR[12],"",0,1)</f>
        <v>5</v>
      </c>
      <c r="Y501" cm="1">
        <f t="array" ref="Y501">_xlfn.XLOOKUP(Matrix[[#This Row],[TEAM]]&amp;Matrix[[#Headers],[13]],FDR[FDR]&amp;FDR[[#Headers],[13]],FDR[13],"",0,1)</f>
        <v>5</v>
      </c>
      <c r="Z501" cm="1">
        <f t="array" ref="Z501">_xlfn.XLOOKUP(Matrix[[#This Row],[TEAM]]&amp;Matrix[[#Headers],[14]],FDR[FDR]&amp;FDR[[#Headers],[14]],FDR[14],"",0,1)</f>
        <v>4</v>
      </c>
      <c r="AA501" cm="1">
        <f t="array" ref="AA501">_xlfn.XLOOKUP(Matrix[[#This Row],[TEAM]]&amp;Matrix[[#Headers],[15]],FDR[FDR]&amp;FDR[[#Headers],[15]],FDR[15],"",0,1)</f>
        <v>5</v>
      </c>
      <c r="AB501" cm="1">
        <f t="array" ref="AB501">_xlfn.XLOOKUP(Matrix[[#This Row],[TEAM]]&amp;Matrix[[#Headers],[16]],FDR[FDR]&amp;FDR[[#Headers],[16]],FDR[16],"",0,1)</f>
        <v>5</v>
      </c>
      <c r="AC501" cm="1">
        <f t="array" ref="AC501">_xlfn.XLOOKUP(Matrix[[#This Row],[TEAM]]&amp;Matrix[[#Headers],[17]],FDR[FDR]&amp;FDR[[#Headers],[17]],FDR[17],"",0,1)</f>
        <v>5</v>
      </c>
      <c r="AD501" cm="1">
        <f t="array" ref="AD501">_xlfn.XLOOKUP(Matrix[[#This Row],[TEAM]]&amp;Matrix[[#Headers],[18]],FDR[FDR]&amp;FDR[[#Headers],[18]],FDR[18],"",0,1)</f>
        <v>4</v>
      </c>
      <c r="AE501" cm="1">
        <f t="array" ref="AE501">_xlfn.XLOOKUP(Matrix[[#This Row],[TEAM]]&amp;Matrix[[#Headers],[19]],FDR[FDR]&amp;FDR[[#Headers],[19]],FDR[19],"",0,1)</f>
        <v>5</v>
      </c>
      <c r="AF501" cm="1">
        <f t="array" ref="AF501">_xlfn.XLOOKUP(Matrix[[#This Row],[TEAM]]&amp;Matrix[[#Headers],[20]],FDR[FDR]&amp;FDR[[#Headers],[20]],FDR[20],"",0,1)</f>
        <v>5</v>
      </c>
      <c r="AG501" cm="1">
        <f t="array" ref="AG501">_xlfn.XLOOKUP(Matrix[[#This Row],[TEAM]]&amp;Matrix[[#Headers],[21]],FDR[FDR]&amp;FDR[[#Headers],[21]],FDR[21],"",0,1)</f>
        <v>5</v>
      </c>
      <c r="AH501" cm="1">
        <f t="array" ref="AH501">_xlfn.XLOOKUP(Matrix[[#This Row],[TEAM]]&amp;Matrix[[#Headers],[22]],FDR[FDR]&amp;FDR[[#Headers],[22]],FDR[22],"",0,1)</f>
        <v>5</v>
      </c>
      <c r="AI501" cm="1">
        <f t="array" ref="AI501">_xlfn.XLOOKUP(Matrix[[#This Row],[TEAM]]&amp;Matrix[[#Headers],[23]],FDR[FDR]&amp;FDR[[#Headers],[23]],FDR[23],"",0,1)</f>
        <v>5</v>
      </c>
      <c r="AJ501" cm="1">
        <f t="array" ref="AJ501">_xlfn.XLOOKUP(Matrix[[#This Row],[TEAM]]&amp;Matrix[[#Headers],[24]],FDR[FDR]&amp;FDR[[#Headers],[24]],FDR[24],"",0,1)</f>
        <v>4</v>
      </c>
      <c r="AK501" cm="1">
        <f t="array" ref="AK501">_xlfn.XLOOKUP(Matrix[[#This Row],[TEAM]]&amp;Matrix[[#Headers],[25]],FDR[FDR]&amp;FDR[[#Headers],[25]],FDR[25],"",0,1)</f>
        <v>4</v>
      </c>
      <c r="AL501" cm="1">
        <f t="array" ref="AL501">_xlfn.XLOOKUP(Matrix[[#This Row],[TEAM]]&amp;Matrix[[#Headers],[26]],FDR[FDR]&amp;FDR[[#Headers],[26]],FDR[26],"",0,1)</f>
        <v>5</v>
      </c>
      <c r="AM501" cm="1">
        <f t="array" ref="AM501">_xlfn.XLOOKUP(Matrix[[#This Row],[TEAM]]&amp;Matrix[[#Headers],[27]],FDR[FDR]&amp;FDR[[#Headers],[27]],FDR[27],"",0,1)</f>
        <v>5</v>
      </c>
      <c r="AN501" cm="1">
        <f t="array" ref="AN501">_xlfn.XLOOKUP(Matrix[[#This Row],[TEAM]]&amp;Matrix[[#Headers],[28]],FDR[FDR]&amp;FDR[[#Headers],[28]],FDR[28],"",0,1)</f>
        <v>4</v>
      </c>
      <c r="AO501" cm="1">
        <f t="array" ref="AO501">_xlfn.XLOOKUP(Matrix[[#This Row],[TEAM]]&amp;Matrix[[#Headers],[29]],FDR[FDR]&amp;FDR[[#Headers],[29]],FDR[29],"",0,1)</f>
        <v>5</v>
      </c>
      <c r="AP501" cm="1">
        <f t="array" ref="AP501">_xlfn.XLOOKUP(Matrix[[#This Row],[TEAM]]&amp;Matrix[[#Headers],[30]],FDR[FDR]&amp;FDR[[#Headers],[30]],FDR[30],"",0,1)</f>
        <v>5</v>
      </c>
      <c r="AQ501" cm="1">
        <f t="array" ref="AQ501">_xlfn.XLOOKUP(Matrix[[#This Row],[TEAM]]&amp;Matrix[[#Headers],[31]],FDR[FDR]&amp;FDR[[#Headers],[31]],FDR[31],"",0,1)</f>
        <v>5</v>
      </c>
      <c r="AR501" cm="1">
        <f t="array" ref="AR501">_xlfn.XLOOKUP(Matrix[[#This Row],[TEAM]]&amp;Matrix[[#Headers],[32]],FDR[FDR]&amp;FDR[[#Headers],[32]],FDR[32],"",0,1)</f>
        <v>5</v>
      </c>
      <c r="AS501" cm="1">
        <f t="array" ref="AS501">_xlfn.XLOOKUP(Matrix[[#This Row],[TEAM]]&amp;Matrix[[#Headers],[33]],FDR[FDR]&amp;FDR[[#Headers],[33]],FDR[33],"",0,1)</f>
        <v>5</v>
      </c>
      <c r="AT501" cm="1">
        <f t="array" ref="AT501">_xlfn.XLOOKUP(Matrix[[#This Row],[TEAM]]&amp;Matrix[[#Headers],[34]],FDR[FDR]&amp;FDR[[#Headers],[34]],FDR[34],"",0,1)</f>
        <v>5</v>
      </c>
      <c r="AU501" cm="1">
        <f t="array" ref="AU501">_xlfn.XLOOKUP(Matrix[[#This Row],[TEAM]]&amp;Matrix[[#Headers],[35]],FDR[FDR]&amp;FDR[[#Headers],[35]],FDR[35],"",0,1)</f>
        <v>4</v>
      </c>
      <c r="AV501" cm="1">
        <f t="array" ref="AV501">_xlfn.XLOOKUP(Matrix[[#This Row],[TEAM]]&amp;Matrix[[#Headers],[36]],FDR[FDR]&amp;FDR[[#Headers],[36]],FDR[36],"",0,1)</f>
        <v>5</v>
      </c>
      <c r="AW501" cm="1">
        <f t="array" ref="AW501">_xlfn.XLOOKUP(Matrix[[#This Row],[TEAM]]&amp;Matrix[[#Headers],[37]],FDR[FDR]&amp;FDR[[#Headers],[37]],FDR[37],"",0,1)</f>
        <v>5</v>
      </c>
      <c r="AX501" cm="1">
        <f t="array" ref="AX501">_xlfn.XLOOKUP(Matrix[[#This Row],[TEAM]]&amp;Matrix[[#Headers],[38]],FDR[FDR]&amp;FDR[[#Headers],[38]],FDR[38],"",0,1)</f>
        <v>3</v>
      </c>
    </row>
    <row r="502" spans="1:50" ht="22" thickTop="1" thickBot="1">
      <c r="A502" s="51" t="s">
        <v>657</v>
      </c>
      <c r="B502" s="70" t="s">
        <v>1856</v>
      </c>
      <c r="C502" s="40" t="s">
        <v>22</v>
      </c>
      <c r="D502" s="62">
        <v>0</v>
      </c>
      <c r="E502" s="60">
        <v>2E-3</v>
      </c>
      <c r="F502" s="61">
        <v>0</v>
      </c>
      <c r="G502" s="63">
        <v>4</v>
      </c>
      <c r="H502" s="261">
        <f>IF(ISBLANK(I502),0,1)</f>
        <v>0</v>
      </c>
      <c r="I502" s="57"/>
      <c r="J502" s="58"/>
      <c r="K502" s="65" t="s">
        <v>435</v>
      </c>
      <c r="L502" s="65" t="s">
        <v>141</v>
      </c>
      <c r="M502" cm="1">
        <f t="array" ref="M502">_xlfn.XLOOKUP(Matrix[[#This Row],[TEAM]]&amp;Matrix[[#Headers],[1]],FDR[FDR]&amp;FDR[[#Headers],[1]],FDR[1],"",0,1)</f>
        <v>5</v>
      </c>
      <c r="N502" cm="1">
        <f t="array" ref="N502">_xlfn.XLOOKUP(Matrix[[#This Row],[TEAM]]&amp;Matrix[[#Headers],[2]],FDR[FDR]&amp;FDR[[#Headers],[2]],FDR[2],"",0,1)</f>
        <v>3</v>
      </c>
      <c r="O502" cm="1">
        <f t="array" ref="O502">_xlfn.XLOOKUP(Matrix[[#This Row],[TEAM]]&amp;Matrix[[#Headers],[3]],FDR[FDR]&amp;FDR[[#Headers],[3]],FDR[3],"",0,1)</f>
        <v>5</v>
      </c>
      <c r="P502" cm="1">
        <f t="array" ref="P502">_xlfn.XLOOKUP(Matrix[[#This Row],[TEAM]]&amp;Matrix[[#Headers],[4]],FDR[FDR]&amp;FDR[[#Headers],[4]],FDR[4],"",0,1)</f>
        <v>5</v>
      </c>
      <c r="Q502" cm="1">
        <f t="array" ref="Q502">_xlfn.XLOOKUP(Matrix[[#This Row],[TEAM]]&amp;Matrix[[#Headers],[5]],FDR[FDR]&amp;FDR[[#Headers],[5]],FDR[5],"",0,1)</f>
        <v>5</v>
      </c>
      <c r="R502" cm="1">
        <f t="array" ref="R502">_xlfn.XLOOKUP(Matrix[[#This Row],[TEAM]]&amp;Matrix[[#Headers],[6]],FDR[FDR]&amp;FDR[[#Headers],[6]],FDR[6],"",0,1)</f>
        <v>5</v>
      </c>
      <c r="S502" cm="1">
        <f t="array" ref="S502">_xlfn.XLOOKUP(Matrix[[#This Row],[TEAM]]&amp;Matrix[[#Headers],[7]],FDR[FDR]&amp;FDR[[#Headers],[7]],FDR[7],"",0,1)</f>
        <v>5</v>
      </c>
      <c r="T502" cm="1">
        <f t="array" ref="T502">_xlfn.XLOOKUP(Matrix[[#This Row],[TEAM]]&amp;Matrix[[#Headers],[8]],FDR[FDR]&amp;FDR[[#Headers],[8]],FDR[8],"",0,1)</f>
        <v>3</v>
      </c>
      <c r="U502" cm="1">
        <f t="array" ref="U502">_xlfn.XLOOKUP(Matrix[[#This Row],[TEAM]]&amp;Matrix[[#Headers],[9]],FDR[FDR]&amp;FDR[[#Headers],[9]],FDR[9],"",0,1)</f>
        <v>4</v>
      </c>
      <c r="V502" cm="1">
        <f t="array" ref="V502">_xlfn.XLOOKUP(Matrix[[#This Row],[TEAM]]&amp;Matrix[[#Headers],[10]],FDR[FDR]&amp;FDR[[#Headers],[10]],FDR[10],"",0,1)</f>
        <v>5</v>
      </c>
      <c r="W502" cm="1">
        <f t="array" ref="W502">_xlfn.XLOOKUP(Matrix[[#This Row],[TEAM]]&amp;Matrix[[#Headers],[11]],FDR[FDR]&amp;FDR[[#Headers],[11]],FDR[11],"",0,1)</f>
        <v>5</v>
      </c>
      <c r="X502" cm="1">
        <f t="array" ref="X502">_xlfn.XLOOKUP(Matrix[[#This Row],[TEAM]]&amp;Matrix[[#Headers],[12]],FDR[FDR]&amp;FDR[[#Headers],[12]],FDR[12],"",0,1)</f>
        <v>5</v>
      </c>
      <c r="Y502" cm="1">
        <f t="array" ref="Y502">_xlfn.XLOOKUP(Matrix[[#This Row],[TEAM]]&amp;Matrix[[#Headers],[13]],FDR[FDR]&amp;FDR[[#Headers],[13]],FDR[13],"",0,1)</f>
        <v>5</v>
      </c>
      <c r="Z502" cm="1">
        <f t="array" ref="Z502">_xlfn.XLOOKUP(Matrix[[#This Row],[TEAM]]&amp;Matrix[[#Headers],[14]],FDR[FDR]&amp;FDR[[#Headers],[14]],FDR[14],"",0,1)</f>
        <v>4</v>
      </c>
      <c r="AA502" cm="1">
        <f t="array" ref="AA502">_xlfn.XLOOKUP(Matrix[[#This Row],[TEAM]]&amp;Matrix[[#Headers],[15]],FDR[FDR]&amp;FDR[[#Headers],[15]],FDR[15],"",0,1)</f>
        <v>5</v>
      </c>
      <c r="AB502" cm="1">
        <f t="array" ref="AB502">_xlfn.XLOOKUP(Matrix[[#This Row],[TEAM]]&amp;Matrix[[#Headers],[16]],FDR[FDR]&amp;FDR[[#Headers],[16]],FDR[16],"",0,1)</f>
        <v>5</v>
      </c>
      <c r="AC502" cm="1">
        <f t="array" ref="AC502">_xlfn.XLOOKUP(Matrix[[#This Row],[TEAM]]&amp;Matrix[[#Headers],[17]],FDR[FDR]&amp;FDR[[#Headers],[17]],FDR[17],"",0,1)</f>
        <v>5</v>
      </c>
      <c r="AD502" cm="1">
        <f t="array" ref="AD502">_xlfn.XLOOKUP(Matrix[[#This Row],[TEAM]]&amp;Matrix[[#Headers],[18]],FDR[FDR]&amp;FDR[[#Headers],[18]],FDR[18],"",0,1)</f>
        <v>4</v>
      </c>
      <c r="AE502" cm="1">
        <f t="array" ref="AE502">_xlfn.XLOOKUP(Matrix[[#This Row],[TEAM]]&amp;Matrix[[#Headers],[19]],FDR[FDR]&amp;FDR[[#Headers],[19]],FDR[19],"",0,1)</f>
        <v>5</v>
      </c>
      <c r="AF502" cm="1">
        <f t="array" ref="AF502">_xlfn.XLOOKUP(Matrix[[#This Row],[TEAM]]&amp;Matrix[[#Headers],[20]],FDR[FDR]&amp;FDR[[#Headers],[20]],FDR[20],"",0,1)</f>
        <v>5</v>
      </c>
      <c r="AG502" cm="1">
        <f t="array" ref="AG502">_xlfn.XLOOKUP(Matrix[[#This Row],[TEAM]]&amp;Matrix[[#Headers],[21]],FDR[FDR]&amp;FDR[[#Headers],[21]],FDR[21],"",0,1)</f>
        <v>5</v>
      </c>
      <c r="AH502" cm="1">
        <f t="array" ref="AH502">_xlfn.XLOOKUP(Matrix[[#This Row],[TEAM]]&amp;Matrix[[#Headers],[22]],FDR[FDR]&amp;FDR[[#Headers],[22]],FDR[22],"",0,1)</f>
        <v>5</v>
      </c>
      <c r="AI502" cm="1">
        <f t="array" ref="AI502">_xlfn.XLOOKUP(Matrix[[#This Row],[TEAM]]&amp;Matrix[[#Headers],[23]],FDR[FDR]&amp;FDR[[#Headers],[23]],FDR[23],"",0,1)</f>
        <v>5</v>
      </c>
      <c r="AJ502" cm="1">
        <f t="array" ref="AJ502">_xlfn.XLOOKUP(Matrix[[#This Row],[TEAM]]&amp;Matrix[[#Headers],[24]],FDR[FDR]&amp;FDR[[#Headers],[24]],FDR[24],"",0,1)</f>
        <v>4</v>
      </c>
      <c r="AK502" cm="1">
        <f t="array" ref="AK502">_xlfn.XLOOKUP(Matrix[[#This Row],[TEAM]]&amp;Matrix[[#Headers],[25]],FDR[FDR]&amp;FDR[[#Headers],[25]],FDR[25],"",0,1)</f>
        <v>4</v>
      </c>
      <c r="AL502" cm="1">
        <f t="array" ref="AL502">_xlfn.XLOOKUP(Matrix[[#This Row],[TEAM]]&amp;Matrix[[#Headers],[26]],FDR[FDR]&amp;FDR[[#Headers],[26]],FDR[26],"",0,1)</f>
        <v>5</v>
      </c>
      <c r="AM502" cm="1">
        <f t="array" ref="AM502">_xlfn.XLOOKUP(Matrix[[#This Row],[TEAM]]&amp;Matrix[[#Headers],[27]],FDR[FDR]&amp;FDR[[#Headers],[27]],FDR[27],"",0,1)</f>
        <v>5</v>
      </c>
      <c r="AN502" cm="1">
        <f t="array" ref="AN502">_xlfn.XLOOKUP(Matrix[[#This Row],[TEAM]]&amp;Matrix[[#Headers],[28]],FDR[FDR]&amp;FDR[[#Headers],[28]],FDR[28],"",0,1)</f>
        <v>4</v>
      </c>
      <c r="AO502" cm="1">
        <f t="array" ref="AO502">_xlfn.XLOOKUP(Matrix[[#This Row],[TEAM]]&amp;Matrix[[#Headers],[29]],FDR[FDR]&amp;FDR[[#Headers],[29]],FDR[29],"",0,1)</f>
        <v>5</v>
      </c>
      <c r="AP502" cm="1">
        <f t="array" ref="AP502">_xlfn.XLOOKUP(Matrix[[#This Row],[TEAM]]&amp;Matrix[[#Headers],[30]],FDR[FDR]&amp;FDR[[#Headers],[30]],FDR[30],"",0,1)</f>
        <v>5</v>
      </c>
      <c r="AQ502" cm="1">
        <f t="array" ref="AQ502">_xlfn.XLOOKUP(Matrix[[#This Row],[TEAM]]&amp;Matrix[[#Headers],[31]],FDR[FDR]&amp;FDR[[#Headers],[31]],FDR[31],"",0,1)</f>
        <v>5</v>
      </c>
      <c r="AR502" cm="1">
        <f t="array" ref="AR502">_xlfn.XLOOKUP(Matrix[[#This Row],[TEAM]]&amp;Matrix[[#Headers],[32]],FDR[FDR]&amp;FDR[[#Headers],[32]],FDR[32],"",0,1)</f>
        <v>5</v>
      </c>
      <c r="AS502" cm="1">
        <f t="array" ref="AS502">_xlfn.XLOOKUP(Matrix[[#This Row],[TEAM]]&amp;Matrix[[#Headers],[33]],FDR[FDR]&amp;FDR[[#Headers],[33]],FDR[33],"",0,1)</f>
        <v>5</v>
      </c>
      <c r="AT502" cm="1">
        <f t="array" ref="AT502">_xlfn.XLOOKUP(Matrix[[#This Row],[TEAM]]&amp;Matrix[[#Headers],[34]],FDR[FDR]&amp;FDR[[#Headers],[34]],FDR[34],"",0,1)</f>
        <v>5</v>
      </c>
      <c r="AU502" cm="1">
        <f t="array" ref="AU502">_xlfn.XLOOKUP(Matrix[[#This Row],[TEAM]]&amp;Matrix[[#Headers],[35]],FDR[FDR]&amp;FDR[[#Headers],[35]],FDR[35],"",0,1)</f>
        <v>4</v>
      </c>
      <c r="AV502" cm="1">
        <f t="array" ref="AV502">_xlfn.XLOOKUP(Matrix[[#This Row],[TEAM]]&amp;Matrix[[#Headers],[36]],FDR[FDR]&amp;FDR[[#Headers],[36]],FDR[36],"",0,1)</f>
        <v>5</v>
      </c>
      <c r="AW502" cm="1">
        <f t="array" ref="AW502">_xlfn.XLOOKUP(Matrix[[#This Row],[TEAM]]&amp;Matrix[[#Headers],[37]],FDR[FDR]&amp;FDR[[#Headers],[37]],FDR[37],"",0,1)</f>
        <v>5</v>
      </c>
      <c r="AX502" cm="1">
        <f t="array" ref="AX502">_xlfn.XLOOKUP(Matrix[[#This Row],[TEAM]]&amp;Matrix[[#Headers],[38]],FDR[FDR]&amp;FDR[[#Headers],[38]],FDR[38],"",0,1)</f>
        <v>3</v>
      </c>
    </row>
    <row r="503" spans="1:50" ht="22" thickTop="1" thickBot="1">
      <c r="A503" s="51" t="s">
        <v>657</v>
      </c>
      <c r="B503" s="70" t="s">
        <v>1857</v>
      </c>
      <c r="C503" s="40" t="s">
        <v>22</v>
      </c>
      <c r="D503" s="62">
        <v>0</v>
      </c>
      <c r="E503" s="60">
        <v>2E-3</v>
      </c>
      <c r="F503" s="61">
        <v>0</v>
      </c>
      <c r="G503" s="63">
        <v>4</v>
      </c>
      <c r="H503" s="261">
        <f>IF(ISBLANK(I503),0,1)</f>
        <v>0</v>
      </c>
      <c r="I503" s="57"/>
      <c r="J503" s="58"/>
      <c r="K503" s="65" t="s">
        <v>508</v>
      </c>
      <c r="L503" s="65" t="s">
        <v>1046</v>
      </c>
      <c r="M503" cm="1">
        <f t="array" ref="M503">_xlfn.XLOOKUP(Matrix[[#This Row],[TEAM]]&amp;Matrix[[#Headers],[1]],FDR[FDR]&amp;FDR[[#Headers],[1]],FDR[1],"",0,1)</f>
        <v>5</v>
      </c>
      <c r="N503" cm="1">
        <f t="array" ref="N503">_xlfn.XLOOKUP(Matrix[[#This Row],[TEAM]]&amp;Matrix[[#Headers],[2]],FDR[FDR]&amp;FDR[[#Headers],[2]],FDR[2],"",0,1)</f>
        <v>3</v>
      </c>
      <c r="O503" cm="1">
        <f t="array" ref="O503">_xlfn.XLOOKUP(Matrix[[#This Row],[TEAM]]&amp;Matrix[[#Headers],[3]],FDR[FDR]&amp;FDR[[#Headers],[3]],FDR[3],"",0,1)</f>
        <v>5</v>
      </c>
      <c r="P503" cm="1">
        <f t="array" ref="P503">_xlfn.XLOOKUP(Matrix[[#This Row],[TEAM]]&amp;Matrix[[#Headers],[4]],FDR[FDR]&amp;FDR[[#Headers],[4]],FDR[4],"",0,1)</f>
        <v>5</v>
      </c>
      <c r="Q503" cm="1">
        <f t="array" ref="Q503">_xlfn.XLOOKUP(Matrix[[#This Row],[TEAM]]&amp;Matrix[[#Headers],[5]],FDR[FDR]&amp;FDR[[#Headers],[5]],FDR[5],"",0,1)</f>
        <v>5</v>
      </c>
      <c r="R503" cm="1">
        <f t="array" ref="R503">_xlfn.XLOOKUP(Matrix[[#This Row],[TEAM]]&amp;Matrix[[#Headers],[6]],FDR[FDR]&amp;FDR[[#Headers],[6]],FDR[6],"",0,1)</f>
        <v>5</v>
      </c>
      <c r="S503" cm="1">
        <f t="array" ref="S503">_xlfn.XLOOKUP(Matrix[[#This Row],[TEAM]]&amp;Matrix[[#Headers],[7]],FDR[FDR]&amp;FDR[[#Headers],[7]],FDR[7],"",0,1)</f>
        <v>5</v>
      </c>
      <c r="T503" cm="1">
        <f t="array" ref="T503">_xlfn.XLOOKUP(Matrix[[#This Row],[TEAM]]&amp;Matrix[[#Headers],[8]],FDR[FDR]&amp;FDR[[#Headers],[8]],FDR[8],"",0,1)</f>
        <v>3</v>
      </c>
      <c r="U503" cm="1">
        <f t="array" ref="U503">_xlfn.XLOOKUP(Matrix[[#This Row],[TEAM]]&amp;Matrix[[#Headers],[9]],FDR[FDR]&amp;FDR[[#Headers],[9]],FDR[9],"",0,1)</f>
        <v>4</v>
      </c>
      <c r="V503" cm="1">
        <f t="array" ref="V503">_xlfn.XLOOKUP(Matrix[[#This Row],[TEAM]]&amp;Matrix[[#Headers],[10]],FDR[FDR]&amp;FDR[[#Headers],[10]],FDR[10],"",0,1)</f>
        <v>5</v>
      </c>
      <c r="W503" cm="1">
        <f t="array" ref="W503">_xlfn.XLOOKUP(Matrix[[#This Row],[TEAM]]&amp;Matrix[[#Headers],[11]],FDR[FDR]&amp;FDR[[#Headers],[11]],FDR[11],"",0,1)</f>
        <v>5</v>
      </c>
      <c r="X503" cm="1">
        <f t="array" ref="X503">_xlfn.XLOOKUP(Matrix[[#This Row],[TEAM]]&amp;Matrix[[#Headers],[12]],FDR[FDR]&amp;FDR[[#Headers],[12]],FDR[12],"",0,1)</f>
        <v>5</v>
      </c>
      <c r="Y503" cm="1">
        <f t="array" ref="Y503">_xlfn.XLOOKUP(Matrix[[#This Row],[TEAM]]&amp;Matrix[[#Headers],[13]],FDR[FDR]&amp;FDR[[#Headers],[13]],FDR[13],"",0,1)</f>
        <v>5</v>
      </c>
      <c r="Z503" cm="1">
        <f t="array" ref="Z503">_xlfn.XLOOKUP(Matrix[[#This Row],[TEAM]]&amp;Matrix[[#Headers],[14]],FDR[FDR]&amp;FDR[[#Headers],[14]],FDR[14],"",0,1)</f>
        <v>4</v>
      </c>
      <c r="AA503" cm="1">
        <f t="array" ref="AA503">_xlfn.XLOOKUP(Matrix[[#This Row],[TEAM]]&amp;Matrix[[#Headers],[15]],FDR[FDR]&amp;FDR[[#Headers],[15]],FDR[15],"",0,1)</f>
        <v>5</v>
      </c>
      <c r="AB503" cm="1">
        <f t="array" ref="AB503">_xlfn.XLOOKUP(Matrix[[#This Row],[TEAM]]&amp;Matrix[[#Headers],[16]],FDR[FDR]&amp;FDR[[#Headers],[16]],FDR[16],"",0,1)</f>
        <v>5</v>
      </c>
      <c r="AC503" cm="1">
        <f t="array" ref="AC503">_xlfn.XLOOKUP(Matrix[[#This Row],[TEAM]]&amp;Matrix[[#Headers],[17]],FDR[FDR]&amp;FDR[[#Headers],[17]],FDR[17],"",0,1)</f>
        <v>5</v>
      </c>
      <c r="AD503" cm="1">
        <f t="array" ref="AD503">_xlfn.XLOOKUP(Matrix[[#This Row],[TEAM]]&amp;Matrix[[#Headers],[18]],FDR[FDR]&amp;FDR[[#Headers],[18]],FDR[18],"",0,1)</f>
        <v>4</v>
      </c>
      <c r="AE503" cm="1">
        <f t="array" ref="AE503">_xlfn.XLOOKUP(Matrix[[#This Row],[TEAM]]&amp;Matrix[[#Headers],[19]],FDR[FDR]&amp;FDR[[#Headers],[19]],FDR[19],"",0,1)</f>
        <v>5</v>
      </c>
      <c r="AF503" cm="1">
        <f t="array" ref="AF503">_xlfn.XLOOKUP(Matrix[[#This Row],[TEAM]]&amp;Matrix[[#Headers],[20]],FDR[FDR]&amp;FDR[[#Headers],[20]],FDR[20],"",0,1)</f>
        <v>5</v>
      </c>
      <c r="AG503" cm="1">
        <f t="array" ref="AG503">_xlfn.XLOOKUP(Matrix[[#This Row],[TEAM]]&amp;Matrix[[#Headers],[21]],FDR[FDR]&amp;FDR[[#Headers],[21]],FDR[21],"",0,1)</f>
        <v>5</v>
      </c>
      <c r="AH503" cm="1">
        <f t="array" ref="AH503">_xlfn.XLOOKUP(Matrix[[#This Row],[TEAM]]&amp;Matrix[[#Headers],[22]],FDR[FDR]&amp;FDR[[#Headers],[22]],FDR[22],"",0,1)</f>
        <v>5</v>
      </c>
      <c r="AI503" cm="1">
        <f t="array" ref="AI503">_xlfn.XLOOKUP(Matrix[[#This Row],[TEAM]]&amp;Matrix[[#Headers],[23]],FDR[FDR]&amp;FDR[[#Headers],[23]],FDR[23],"",0,1)</f>
        <v>5</v>
      </c>
      <c r="AJ503" cm="1">
        <f t="array" ref="AJ503">_xlfn.XLOOKUP(Matrix[[#This Row],[TEAM]]&amp;Matrix[[#Headers],[24]],FDR[FDR]&amp;FDR[[#Headers],[24]],FDR[24],"",0,1)</f>
        <v>4</v>
      </c>
      <c r="AK503" cm="1">
        <f t="array" ref="AK503">_xlfn.XLOOKUP(Matrix[[#This Row],[TEAM]]&amp;Matrix[[#Headers],[25]],FDR[FDR]&amp;FDR[[#Headers],[25]],FDR[25],"",0,1)</f>
        <v>4</v>
      </c>
      <c r="AL503" cm="1">
        <f t="array" ref="AL503">_xlfn.XLOOKUP(Matrix[[#This Row],[TEAM]]&amp;Matrix[[#Headers],[26]],FDR[FDR]&amp;FDR[[#Headers],[26]],FDR[26],"",0,1)</f>
        <v>5</v>
      </c>
      <c r="AM503" cm="1">
        <f t="array" ref="AM503">_xlfn.XLOOKUP(Matrix[[#This Row],[TEAM]]&amp;Matrix[[#Headers],[27]],FDR[FDR]&amp;FDR[[#Headers],[27]],FDR[27],"",0,1)</f>
        <v>5</v>
      </c>
      <c r="AN503" cm="1">
        <f t="array" ref="AN503">_xlfn.XLOOKUP(Matrix[[#This Row],[TEAM]]&amp;Matrix[[#Headers],[28]],FDR[FDR]&amp;FDR[[#Headers],[28]],FDR[28],"",0,1)</f>
        <v>4</v>
      </c>
      <c r="AO503" cm="1">
        <f t="array" ref="AO503">_xlfn.XLOOKUP(Matrix[[#This Row],[TEAM]]&amp;Matrix[[#Headers],[29]],FDR[FDR]&amp;FDR[[#Headers],[29]],FDR[29],"",0,1)</f>
        <v>5</v>
      </c>
      <c r="AP503" cm="1">
        <f t="array" ref="AP503">_xlfn.XLOOKUP(Matrix[[#This Row],[TEAM]]&amp;Matrix[[#Headers],[30]],FDR[FDR]&amp;FDR[[#Headers],[30]],FDR[30],"",0,1)</f>
        <v>5</v>
      </c>
      <c r="AQ503" cm="1">
        <f t="array" ref="AQ503">_xlfn.XLOOKUP(Matrix[[#This Row],[TEAM]]&amp;Matrix[[#Headers],[31]],FDR[FDR]&amp;FDR[[#Headers],[31]],FDR[31],"",0,1)</f>
        <v>5</v>
      </c>
      <c r="AR503" cm="1">
        <f t="array" ref="AR503">_xlfn.XLOOKUP(Matrix[[#This Row],[TEAM]]&amp;Matrix[[#Headers],[32]],FDR[FDR]&amp;FDR[[#Headers],[32]],FDR[32],"",0,1)</f>
        <v>5</v>
      </c>
      <c r="AS503" cm="1">
        <f t="array" ref="AS503">_xlfn.XLOOKUP(Matrix[[#This Row],[TEAM]]&amp;Matrix[[#Headers],[33]],FDR[FDR]&amp;FDR[[#Headers],[33]],FDR[33],"",0,1)</f>
        <v>5</v>
      </c>
      <c r="AT503" cm="1">
        <f t="array" ref="AT503">_xlfn.XLOOKUP(Matrix[[#This Row],[TEAM]]&amp;Matrix[[#Headers],[34]],FDR[FDR]&amp;FDR[[#Headers],[34]],FDR[34],"",0,1)</f>
        <v>5</v>
      </c>
      <c r="AU503" cm="1">
        <f t="array" ref="AU503">_xlfn.XLOOKUP(Matrix[[#This Row],[TEAM]]&amp;Matrix[[#Headers],[35]],FDR[FDR]&amp;FDR[[#Headers],[35]],FDR[35],"",0,1)</f>
        <v>4</v>
      </c>
      <c r="AV503" cm="1">
        <f t="array" ref="AV503">_xlfn.XLOOKUP(Matrix[[#This Row],[TEAM]]&amp;Matrix[[#Headers],[36]],FDR[FDR]&amp;FDR[[#Headers],[36]],FDR[36],"",0,1)</f>
        <v>5</v>
      </c>
      <c r="AW503" cm="1">
        <f t="array" ref="AW503">_xlfn.XLOOKUP(Matrix[[#This Row],[TEAM]]&amp;Matrix[[#Headers],[37]],FDR[FDR]&amp;FDR[[#Headers],[37]],FDR[37],"",0,1)</f>
        <v>5</v>
      </c>
      <c r="AX503" cm="1">
        <f t="array" ref="AX503">_xlfn.XLOOKUP(Matrix[[#This Row],[TEAM]]&amp;Matrix[[#Headers],[38]],FDR[FDR]&amp;FDR[[#Headers],[38]],FDR[38],"",0,1)</f>
        <v>3</v>
      </c>
    </row>
    <row r="504" spans="1:50" ht="22" thickTop="1" thickBot="1">
      <c r="A504" s="51" t="s">
        <v>657</v>
      </c>
      <c r="B504" s="70" t="s">
        <v>1859</v>
      </c>
      <c r="C504" s="40" t="s">
        <v>22</v>
      </c>
      <c r="D504" s="62">
        <v>0</v>
      </c>
      <c r="E504" s="60">
        <v>2E-3</v>
      </c>
      <c r="F504" s="61">
        <v>0</v>
      </c>
      <c r="G504" s="63">
        <v>4</v>
      </c>
      <c r="H504" s="261">
        <f>IF(ISBLANK(I504),0,1)</f>
        <v>0</v>
      </c>
      <c r="I504" s="57"/>
      <c r="J504" s="58"/>
      <c r="K504" s="65" t="s">
        <v>416</v>
      </c>
      <c r="L504" s="65" t="s">
        <v>1043</v>
      </c>
      <c r="M504" cm="1">
        <f t="array" ref="M504">_xlfn.XLOOKUP(Matrix[[#This Row],[TEAM]]&amp;Matrix[[#Headers],[1]],FDR[FDR]&amp;FDR[[#Headers],[1]],FDR[1],"",0,1)</f>
        <v>5</v>
      </c>
      <c r="N504" cm="1">
        <f t="array" ref="N504">_xlfn.XLOOKUP(Matrix[[#This Row],[TEAM]]&amp;Matrix[[#Headers],[2]],FDR[FDR]&amp;FDR[[#Headers],[2]],FDR[2],"",0,1)</f>
        <v>3</v>
      </c>
      <c r="O504" cm="1">
        <f t="array" ref="O504">_xlfn.XLOOKUP(Matrix[[#This Row],[TEAM]]&amp;Matrix[[#Headers],[3]],FDR[FDR]&amp;FDR[[#Headers],[3]],FDR[3],"",0,1)</f>
        <v>5</v>
      </c>
      <c r="P504" cm="1">
        <f t="array" ref="P504">_xlfn.XLOOKUP(Matrix[[#This Row],[TEAM]]&amp;Matrix[[#Headers],[4]],FDR[FDR]&amp;FDR[[#Headers],[4]],FDR[4],"",0,1)</f>
        <v>5</v>
      </c>
      <c r="Q504" cm="1">
        <f t="array" ref="Q504">_xlfn.XLOOKUP(Matrix[[#This Row],[TEAM]]&amp;Matrix[[#Headers],[5]],FDR[FDR]&amp;FDR[[#Headers],[5]],FDR[5],"",0,1)</f>
        <v>5</v>
      </c>
      <c r="R504" cm="1">
        <f t="array" ref="R504">_xlfn.XLOOKUP(Matrix[[#This Row],[TEAM]]&amp;Matrix[[#Headers],[6]],FDR[FDR]&amp;FDR[[#Headers],[6]],FDR[6],"",0,1)</f>
        <v>5</v>
      </c>
      <c r="S504" cm="1">
        <f t="array" ref="S504">_xlfn.XLOOKUP(Matrix[[#This Row],[TEAM]]&amp;Matrix[[#Headers],[7]],FDR[FDR]&amp;FDR[[#Headers],[7]],FDR[7],"",0,1)</f>
        <v>5</v>
      </c>
      <c r="T504" cm="1">
        <f t="array" ref="T504">_xlfn.XLOOKUP(Matrix[[#This Row],[TEAM]]&amp;Matrix[[#Headers],[8]],FDR[FDR]&amp;FDR[[#Headers],[8]],FDR[8],"",0,1)</f>
        <v>3</v>
      </c>
      <c r="U504" cm="1">
        <f t="array" ref="U504">_xlfn.XLOOKUP(Matrix[[#This Row],[TEAM]]&amp;Matrix[[#Headers],[9]],FDR[FDR]&amp;FDR[[#Headers],[9]],FDR[9],"",0,1)</f>
        <v>4</v>
      </c>
      <c r="V504" cm="1">
        <f t="array" ref="V504">_xlfn.XLOOKUP(Matrix[[#This Row],[TEAM]]&amp;Matrix[[#Headers],[10]],FDR[FDR]&amp;FDR[[#Headers],[10]],FDR[10],"",0,1)</f>
        <v>5</v>
      </c>
      <c r="W504" cm="1">
        <f t="array" ref="W504">_xlfn.XLOOKUP(Matrix[[#This Row],[TEAM]]&amp;Matrix[[#Headers],[11]],FDR[FDR]&amp;FDR[[#Headers],[11]],FDR[11],"",0,1)</f>
        <v>5</v>
      </c>
      <c r="X504" cm="1">
        <f t="array" ref="X504">_xlfn.XLOOKUP(Matrix[[#This Row],[TEAM]]&amp;Matrix[[#Headers],[12]],FDR[FDR]&amp;FDR[[#Headers],[12]],FDR[12],"",0,1)</f>
        <v>5</v>
      </c>
      <c r="Y504" cm="1">
        <f t="array" ref="Y504">_xlfn.XLOOKUP(Matrix[[#This Row],[TEAM]]&amp;Matrix[[#Headers],[13]],FDR[FDR]&amp;FDR[[#Headers],[13]],FDR[13],"",0,1)</f>
        <v>5</v>
      </c>
      <c r="Z504" cm="1">
        <f t="array" ref="Z504">_xlfn.XLOOKUP(Matrix[[#This Row],[TEAM]]&amp;Matrix[[#Headers],[14]],FDR[FDR]&amp;FDR[[#Headers],[14]],FDR[14],"",0,1)</f>
        <v>4</v>
      </c>
      <c r="AA504" cm="1">
        <f t="array" ref="AA504">_xlfn.XLOOKUP(Matrix[[#This Row],[TEAM]]&amp;Matrix[[#Headers],[15]],FDR[FDR]&amp;FDR[[#Headers],[15]],FDR[15],"",0,1)</f>
        <v>5</v>
      </c>
      <c r="AB504" cm="1">
        <f t="array" ref="AB504">_xlfn.XLOOKUP(Matrix[[#This Row],[TEAM]]&amp;Matrix[[#Headers],[16]],FDR[FDR]&amp;FDR[[#Headers],[16]],FDR[16],"",0,1)</f>
        <v>5</v>
      </c>
      <c r="AC504" cm="1">
        <f t="array" ref="AC504">_xlfn.XLOOKUP(Matrix[[#This Row],[TEAM]]&amp;Matrix[[#Headers],[17]],FDR[FDR]&amp;FDR[[#Headers],[17]],FDR[17],"",0,1)</f>
        <v>5</v>
      </c>
      <c r="AD504" cm="1">
        <f t="array" ref="AD504">_xlfn.XLOOKUP(Matrix[[#This Row],[TEAM]]&amp;Matrix[[#Headers],[18]],FDR[FDR]&amp;FDR[[#Headers],[18]],FDR[18],"",0,1)</f>
        <v>4</v>
      </c>
      <c r="AE504" cm="1">
        <f t="array" ref="AE504">_xlfn.XLOOKUP(Matrix[[#This Row],[TEAM]]&amp;Matrix[[#Headers],[19]],FDR[FDR]&amp;FDR[[#Headers],[19]],FDR[19],"",0,1)</f>
        <v>5</v>
      </c>
      <c r="AF504" cm="1">
        <f t="array" ref="AF504">_xlfn.XLOOKUP(Matrix[[#This Row],[TEAM]]&amp;Matrix[[#Headers],[20]],FDR[FDR]&amp;FDR[[#Headers],[20]],FDR[20],"",0,1)</f>
        <v>5</v>
      </c>
      <c r="AG504" cm="1">
        <f t="array" ref="AG504">_xlfn.XLOOKUP(Matrix[[#This Row],[TEAM]]&amp;Matrix[[#Headers],[21]],FDR[FDR]&amp;FDR[[#Headers],[21]],FDR[21],"",0,1)</f>
        <v>5</v>
      </c>
      <c r="AH504" cm="1">
        <f t="array" ref="AH504">_xlfn.XLOOKUP(Matrix[[#This Row],[TEAM]]&amp;Matrix[[#Headers],[22]],FDR[FDR]&amp;FDR[[#Headers],[22]],FDR[22],"",0,1)</f>
        <v>5</v>
      </c>
      <c r="AI504" cm="1">
        <f t="array" ref="AI504">_xlfn.XLOOKUP(Matrix[[#This Row],[TEAM]]&amp;Matrix[[#Headers],[23]],FDR[FDR]&amp;FDR[[#Headers],[23]],FDR[23],"",0,1)</f>
        <v>5</v>
      </c>
      <c r="AJ504" cm="1">
        <f t="array" ref="AJ504">_xlfn.XLOOKUP(Matrix[[#This Row],[TEAM]]&amp;Matrix[[#Headers],[24]],FDR[FDR]&amp;FDR[[#Headers],[24]],FDR[24],"",0,1)</f>
        <v>4</v>
      </c>
      <c r="AK504" cm="1">
        <f t="array" ref="AK504">_xlfn.XLOOKUP(Matrix[[#This Row],[TEAM]]&amp;Matrix[[#Headers],[25]],FDR[FDR]&amp;FDR[[#Headers],[25]],FDR[25],"",0,1)</f>
        <v>4</v>
      </c>
      <c r="AL504" cm="1">
        <f t="array" ref="AL504">_xlfn.XLOOKUP(Matrix[[#This Row],[TEAM]]&amp;Matrix[[#Headers],[26]],FDR[FDR]&amp;FDR[[#Headers],[26]],FDR[26],"",0,1)</f>
        <v>5</v>
      </c>
      <c r="AM504" cm="1">
        <f t="array" ref="AM504">_xlfn.XLOOKUP(Matrix[[#This Row],[TEAM]]&amp;Matrix[[#Headers],[27]],FDR[FDR]&amp;FDR[[#Headers],[27]],FDR[27],"",0,1)</f>
        <v>5</v>
      </c>
      <c r="AN504" cm="1">
        <f t="array" ref="AN504">_xlfn.XLOOKUP(Matrix[[#This Row],[TEAM]]&amp;Matrix[[#Headers],[28]],FDR[FDR]&amp;FDR[[#Headers],[28]],FDR[28],"",0,1)</f>
        <v>4</v>
      </c>
      <c r="AO504" cm="1">
        <f t="array" ref="AO504">_xlfn.XLOOKUP(Matrix[[#This Row],[TEAM]]&amp;Matrix[[#Headers],[29]],FDR[FDR]&amp;FDR[[#Headers],[29]],FDR[29],"",0,1)</f>
        <v>5</v>
      </c>
      <c r="AP504" cm="1">
        <f t="array" ref="AP504">_xlfn.XLOOKUP(Matrix[[#This Row],[TEAM]]&amp;Matrix[[#Headers],[30]],FDR[FDR]&amp;FDR[[#Headers],[30]],FDR[30],"",0,1)</f>
        <v>5</v>
      </c>
      <c r="AQ504" cm="1">
        <f t="array" ref="AQ504">_xlfn.XLOOKUP(Matrix[[#This Row],[TEAM]]&amp;Matrix[[#Headers],[31]],FDR[FDR]&amp;FDR[[#Headers],[31]],FDR[31],"",0,1)</f>
        <v>5</v>
      </c>
      <c r="AR504" cm="1">
        <f t="array" ref="AR504">_xlfn.XLOOKUP(Matrix[[#This Row],[TEAM]]&amp;Matrix[[#Headers],[32]],FDR[FDR]&amp;FDR[[#Headers],[32]],FDR[32],"",0,1)</f>
        <v>5</v>
      </c>
      <c r="AS504" cm="1">
        <f t="array" ref="AS504">_xlfn.XLOOKUP(Matrix[[#This Row],[TEAM]]&amp;Matrix[[#Headers],[33]],FDR[FDR]&amp;FDR[[#Headers],[33]],FDR[33],"",0,1)</f>
        <v>5</v>
      </c>
      <c r="AT504" cm="1">
        <f t="array" ref="AT504">_xlfn.XLOOKUP(Matrix[[#This Row],[TEAM]]&amp;Matrix[[#Headers],[34]],FDR[FDR]&amp;FDR[[#Headers],[34]],FDR[34],"",0,1)</f>
        <v>5</v>
      </c>
      <c r="AU504" cm="1">
        <f t="array" ref="AU504">_xlfn.XLOOKUP(Matrix[[#This Row],[TEAM]]&amp;Matrix[[#Headers],[35]],FDR[FDR]&amp;FDR[[#Headers],[35]],FDR[35],"",0,1)</f>
        <v>4</v>
      </c>
      <c r="AV504" cm="1">
        <f t="array" ref="AV504">_xlfn.XLOOKUP(Matrix[[#This Row],[TEAM]]&amp;Matrix[[#Headers],[36]],FDR[FDR]&amp;FDR[[#Headers],[36]],FDR[36],"",0,1)</f>
        <v>5</v>
      </c>
      <c r="AW504" cm="1">
        <f t="array" ref="AW504">_xlfn.XLOOKUP(Matrix[[#This Row],[TEAM]]&amp;Matrix[[#Headers],[37]],FDR[FDR]&amp;FDR[[#Headers],[37]],FDR[37],"",0,1)</f>
        <v>5</v>
      </c>
      <c r="AX504" cm="1">
        <f t="array" ref="AX504">_xlfn.XLOOKUP(Matrix[[#This Row],[TEAM]]&amp;Matrix[[#Headers],[38]],FDR[FDR]&amp;FDR[[#Headers],[38]],FDR[38],"",0,1)</f>
        <v>3</v>
      </c>
    </row>
    <row r="505" spans="1:50" ht="22" thickTop="1" thickBot="1">
      <c r="A505" s="51" t="s">
        <v>657</v>
      </c>
      <c r="B505" s="70" t="s">
        <v>1863</v>
      </c>
      <c r="C505" s="40" t="s">
        <v>18</v>
      </c>
      <c r="D505" s="62">
        <v>0</v>
      </c>
      <c r="E505" s="60">
        <v>2E-3</v>
      </c>
      <c r="F505" s="61">
        <v>0</v>
      </c>
      <c r="G505" s="63">
        <v>4</v>
      </c>
      <c r="H505" s="261">
        <f>IF(ISBLANK(I505),0,1)</f>
        <v>0</v>
      </c>
      <c r="I505" s="57"/>
      <c r="J505" s="58"/>
      <c r="K505" s="65" t="s">
        <v>374</v>
      </c>
      <c r="L505" s="65" t="s">
        <v>1054</v>
      </c>
      <c r="M505" cm="1">
        <f t="array" ref="M505">_xlfn.XLOOKUP(Matrix[[#This Row],[TEAM]]&amp;Matrix[[#Headers],[1]],FDR[FDR]&amp;FDR[[#Headers],[1]],FDR[1],"",0,1)</f>
        <v>1</v>
      </c>
      <c r="N505" cm="1">
        <f t="array" ref="N505">_xlfn.XLOOKUP(Matrix[[#This Row],[TEAM]]&amp;Matrix[[#Headers],[2]],FDR[FDR]&amp;FDR[[#Headers],[2]],FDR[2],"",0,1)</f>
        <v>2</v>
      </c>
      <c r="O505" cm="1">
        <f t="array" ref="O505">_xlfn.XLOOKUP(Matrix[[#This Row],[TEAM]]&amp;Matrix[[#Headers],[3]],FDR[FDR]&amp;FDR[[#Headers],[3]],FDR[3],"",0,1)</f>
        <v>1</v>
      </c>
      <c r="P505" cm="1">
        <f t="array" ref="P505">_xlfn.XLOOKUP(Matrix[[#This Row],[TEAM]]&amp;Matrix[[#Headers],[4]],FDR[FDR]&amp;FDR[[#Headers],[4]],FDR[4],"",0,1)</f>
        <v>2</v>
      </c>
      <c r="Q505" cm="1">
        <f t="array" ref="Q505">_xlfn.XLOOKUP(Matrix[[#This Row],[TEAM]]&amp;Matrix[[#Headers],[5]],FDR[FDR]&amp;FDR[[#Headers],[5]],FDR[5],"",0,1)</f>
        <v>3</v>
      </c>
      <c r="R505" cm="1">
        <f t="array" ref="R505">_xlfn.XLOOKUP(Matrix[[#This Row],[TEAM]]&amp;Matrix[[#Headers],[6]],FDR[FDR]&amp;FDR[[#Headers],[6]],FDR[6],"",0,1)</f>
        <v>1</v>
      </c>
      <c r="S505" cm="1">
        <f t="array" ref="S505">_xlfn.XLOOKUP(Matrix[[#This Row],[TEAM]]&amp;Matrix[[#Headers],[7]],FDR[FDR]&amp;FDR[[#Headers],[7]],FDR[7],"",0,1)</f>
        <v>3</v>
      </c>
      <c r="T505" cm="1">
        <f t="array" ref="T505">_xlfn.XLOOKUP(Matrix[[#This Row],[TEAM]]&amp;Matrix[[#Headers],[8]],FDR[FDR]&amp;FDR[[#Headers],[8]],FDR[8],"",0,1)</f>
        <v>2</v>
      </c>
      <c r="U505" cm="1">
        <f t="array" ref="U505">_xlfn.XLOOKUP(Matrix[[#This Row],[TEAM]]&amp;Matrix[[#Headers],[9]],FDR[FDR]&amp;FDR[[#Headers],[9]],FDR[9],"",0,1)</f>
        <v>1</v>
      </c>
      <c r="V505" cm="1">
        <f t="array" ref="V505">_xlfn.XLOOKUP(Matrix[[#This Row],[TEAM]]&amp;Matrix[[#Headers],[10]],FDR[FDR]&amp;FDR[[#Headers],[10]],FDR[10],"",0,1)</f>
        <v>3</v>
      </c>
      <c r="W505" cm="1">
        <f t="array" ref="W505">_xlfn.XLOOKUP(Matrix[[#This Row],[TEAM]]&amp;Matrix[[#Headers],[11]],FDR[FDR]&amp;FDR[[#Headers],[11]],FDR[11],"",0,1)</f>
        <v>1</v>
      </c>
      <c r="X505" cm="1">
        <f t="array" ref="X505">_xlfn.XLOOKUP(Matrix[[#This Row],[TEAM]]&amp;Matrix[[#Headers],[12]],FDR[FDR]&amp;FDR[[#Headers],[12]],FDR[12],"",0,1)</f>
        <v>1</v>
      </c>
      <c r="Y505" cm="1">
        <f t="array" ref="Y505">_xlfn.XLOOKUP(Matrix[[#This Row],[TEAM]]&amp;Matrix[[#Headers],[13]],FDR[FDR]&amp;FDR[[#Headers],[13]],FDR[13],"",0,1)</f>
        <v>3</v>
      </c>
      <c r="Z505" cm="1">
        <f t="array" ref="Z505">_xlfn.XLOOKUP(Matrix[[#This Row],[TEAM]]&amp;Matrix[[#Headers],[14]],FDR[FDR]&amp;FDR[[#Headers],[14]],FDR[14],"",0,1)</f>
        <v>1</v>
      </c>
      <c r="AA505" cm="1">
        <f t="array" ref="AA505">_xlfn.XLOOKUP(Matrix[[#This Row],[TEAM]]&amp;Matrix[[#Headers],[15]],FDR[FDR]&amp;FDR[[#Headers],[15]],FDR[15],"",0,1)</f>
        <v>2</v>
      </c>
      <c r="AB505" cm="1">
        <f t="array" ref="AB505">_xlfn.XLOOKUP(Matrix[[#This Row],[TEAM]]&amp;Matrix[[#Headers],[16]],FDR[FDR]&amp;FDR[[#Headers],[16]],FDR[16],"",0,1)</f>
        <v>1</v>
      </c>
      <c r="AC505" cm="1">
        <f t="array" ref="AC505">_xlfn.XLOOKUP(Matrix[[#This Row],[TEAM]]&amp;Matrix[[#Headers],[17]],FDR[FDR]&amp;FDR[[#Headers],[17]],FDR[17],"",0,1)</f>
        <v>3</v>
      </c>
      <c r="AD505" cm="1">
        <f t="array" ref="AD505">_xlfn.XLOOKUP(Matrix[[#This Row],[TEAM]]&amp;Matrix[[#Headers],[18]],FDR[FDR]&amp;FDR[[#Headers],[18]],FDR[18],"",0,1)</f>
        <v>2</v>
      </c>
      <c r="AE505" cm="1">
        <f t="array" ref="AE505">_xlfn.XLOOKUP(Matrix[[#This Row],[TEAM]]&amp;Matrix[[#Headers],[19]],FDR[FDR]&amp;FDR[[#Headers],[19]],FDR[19],"",0,1)</f>
        <v>1</v>
      </c>
      <c r="AF505" cm="1">
        <f t="array" ref="AF505">_xlfn.XLOOKUP(Matrix[[#This Row],[TEAM]]&amp;Matrix[[#Headers],[20]],FDR[FDR]&amp;FDR[[#Headers],[20]],FDR[20],"",0,1)</f>
        <v>4</v>
      </c>
      <c r="AG505" cm="1">
        <f t="array" ref="AG505">_xlfn.XLOOKUP(Matrix[[#This Row],[TEAM]]&amp;Matrix[[#Headers],[21]],FDR[FDR]&amp;FDR[[#Headers],[21]],FDR[21],"",0,1)</f>
        <v>2</v>
      </c>
      <c r="AH505" cm="1">
        <f t="array" ref="AH505">_xlfn.XLOOKUP(Matrix[[#This Row],[TEAM]]&amp;Matrix[[#Headers],[22]],FDR[FDR]&amp;FDR[[#Headers],[22]],FDR[22],"",0,1)</f>
        <v>1</v>
      </c>
      <c r="AI505" cm="1">
        <f t="array" ref="AI505">_xlfn.XLOOKUP(Matrix[[#This Row],[TEAM]]&amp;Matrix[[#Headers],[23]],FDR[FDR]&amp;FDR[[#Headers],[23]],FDR[23],"",0,1)</f>
        <v>2</v>
      </c>
      <c r="AJ505" cm="1">
        <f t="array" ref="AJ505">_xlfn.XLOOKUP(Matrix[[#This Row],[TEAM]]&amp;Matrix[[#Headers],[24]],FDR[FDR]&amp;FDR[[#Headers],[24]],FDR[24],"",0,1)</f>
        <v>1</v>
      </c>
      <c r="AK505" cm="1">
        <f t="array" ref="AK505">_xlfn.XLOOKUP(Matrix[[#This Row],[TEAM]]&amp;Matrix[[#Headers],[25]],FDR[FDR]&amp;FDR[[#Headers],[25]],FDR[25],"",0,1)</f>
        <v>1</v>
      </c>
      <c r="AL505" cm="1">
        <f t="array" ref="AL505">_xlfn.XLOOKUP(Matrix[[#This Row],[TEAM]]&amp;Matrix[[#Headers],[26]],FDR[FDR]&amp;FDR[[#Headers],[26]],FDR[26],"",0,1)</f>
        <v>1</v>
      </c>
      <c r="AM505" cm="1">
        <f t="array" ref="AM505">_xlfn.XLOOKUP(Matrix[[#This Row],[TEAM]]&amp;Matrix[[#Headers],[27]],FDR[FDR]&amp;FDR[[#Headers],[27]],FDR[27],"",0,1)</f>
        <v>1</v>
      </c>
      <c r="AN505" cm="1">
        <f t="array" ref="AN505">_xlfn.XLOOKUP(Matrix[[#This Row],[TEAM]]&amp;Matrix[[#Headers],[28]],FDR[FDR]&amp;FDR[[#Headers],[28]],FDR[28],"",0,1)</f>
        <v>4</v>
      </c>
      <c r="AO505" cm="1">
        <f t="array" ref="AO505">_xlfn.XLOOKUP(Matrix[[#This Row],[TEAM]]&amp;Matrix[[#Headers],[29]],FDR[FDR]&amp;FDR[[#Headers],[29]],FDR[29],"",0,1)</f>
        <v>3</v>
      </c>
      <c r="AP505" cm="1">
        <f t="array" ref="AP505">_xlfn.XLOOKUP(Matrix[[#This Row],[TEAM]]&amp;Matrix[[#Headers],[30]],FDR[FDR]&amp;FDR[[#Headers],[30]],FDR[30],"",0,1)</f>
        <v>2</v>
      </c>
      <c r="AQ505" cm="1">
        <f t="array" ref="AQ505">_xlfn.XLOOKUP(Matrix[[#This Row],[TEAM]]&amp;Matrix[[#Headers],[31]],FDR[FDR]&amp;FDR[[#Headers],[31]],FDR[31],"",0,1)</f>
        <v>2</v>
      </c>
      <c r="AR505" cm="1">
        <f t="array" ref="AR505">_xlfn.XLOOKUP(Matrix[[#This Row],[TEAM]]&amp;Matrix[[#Headers],[32]],FDR[FDR]&amp;FDR[[#Headers],[32]],FDR[32],"",0,1)</f>
        <v>3</v>
      </c>
      <c r="AS505" cm="1">
        <f t="array" ref="AS505">_xlfn.XLOOKUP(Matrix[[#This Row],[TEAM]]&amp;Matrix[[#Headers],[33]],FDR[FDR]&amp;FDR[[#Headers],[33]],FDR[33],"",0,1)</f>
        <v>2</v>
      </c>
      <c r="AT505" cm="1">
        <f t="array" ref="AT505">_xlfn.XLOOKUP(Matrix[[#This Row],[TEAM]]&amp;Matrix[[#Headers],[34]],FDR[FDR]&amp;FDR[[#Headers],[34]],FDR[34],"",0,1)</f>
        <v>2</v>
      </c>
      <c r="AU505" cm="1">
        <f t="array" ref="AU505">_xlfn.XLOOKUP(Matrix[[#This Row],[TEAM]]&amp;Matrix[[#Headers],[35]],FDR[FDR]&amp;FDR[[#Headers],[35]],FDR[35],"",0,1)</f>
        <v>1</v>
      </c>
      <c r="AV505" cm="1">
        <f t="array" ref="AV505">_xlfn.XLOOKUP(Matrix[[#This Row],[TEAM]]&amp;Matrix[[#Headers],[36]],FDR[FDR]&amp;FDR[[#Headers],[36]],FDR[36],"",0,1)</f>
        <v>4</v>
      </c>
      <c r="AW505" cm="1">
        <f t="array" ref="AW505">_xlfn.XLOOKUP(Matrix[[#This Row],[TEAM]]&amp;Matrix[[#Headers],[37]],FDR[FDR]&amp;FDR[[#Headers],[37]],FDR[37],"",0,1)</f>
        <v>2</v>
      </c>
      <c r="AX505" cm="1">
        <f t="array" ref="AX505">_xlfn.XLOOKUP(Matrix[[#This Row],[TEAM]]&amp;Matrix[[#Headers],[38]],FDR[FDR]&amp;FDR[[#Headers],[38]],FDR[38],"",0,1)</f>
        <v>1</v>
      </c>
    </row>
    <row r="506" spans="1:50" ht="22" thickTop="1" thickBot="1">
      <c r="A506" s="51" t="s">
        <v>657</v>
      </c>
      <c r="B506" s="70" t="s">
        <v>1840</v>
      </c>
      <c r="C506" s="40" t="s">
        <v>24</v>
      </c>
      <c r="D506" s="62">
        <v>0</v>
      </c>
      <c r="E506" s="60">
        <v>3.0000000000000001E-3</v>
      </c>
      <c r="F506" s="61">
        <v>1.6</v>
      </c>
      <c r="G506" s="63">
        <v>4</v>
      </c>
      <c r="H506" s="261">
        <f>IF(ISBLANK(I506),0,1)</f>
        <v>0</v>
      </c>
      <c r="I506" s="57"/>
      <c r="J506" s="58"/>
      <c r="K506" s="65" t="s">
        <v>979</v>
      </c>
      <c r="L506" s="65" t="s">
        <v>980</v>
      </c>
      <c r="M506" cm="1">
        <f t="array" ref="M506">_xlfn.XLOOKUP(Matrix[[#This Row],[TEAM]]&amp;Matrix[[#Headers],[1]],FDR[FDR]&amp;FDR[[#Headers],[1]],FDR[1],"",0,1)</f>
        <v>2</v>
      </c>
      <c r="N506" cm="1">
        <f t="array" ref="N506">_xlfn.XLOOKUP(Matrix[[#This Row],[TEAM]]&amp;Matrix[[#Headers],[2]],FDR[FDR]&amp;FDR[[#Headers],[2]],FDR[2],"",0,1)</f>
        <v>3</v>
      </c>
      <c r="O506" cm="1">
        <f t="array" ref="O506">_xlfn.XLOOKUP(Matrix[[#This Row],[TEAM]]&amp;Matrix[[#Headers],[3]],FDR[FDR]&amp;FDR[[#Headers],[3]],FDR[3],"",0,1)</f>
        <v>2</v>
      </c>
      <c r="P506" cm="1">
        <f t="array" ref="P506">_xlfn.XLOOKUP(Matrix[[#This Row],[TEAM]]&amp;Matrix[[#Headers],[4]],FDR[FDR]&amp;FDR[[#Headers],[4]],FDR[4],"",0,1)</f>
        <v>4</v>
      </c>
      <c r="Q506" cm="1">
        <f t="array" ref="Q506">_xlfn.XLOOKUP(Matrix[[#This Row],[TEAM]]&amp;Matrix[[#Headers],[5]],FDR[FDR]&amp;FDR[[#Headers],[5]],FDR[5],"",0,1)</f>
        <v>5</v>
      </c>
      <c r="R506" cm="1">
        <f t="array" ref="R506">_xlfn.XLOOKUP(Matrix[[#This Row],[TEAM]]&amp;Matrix[[#Headers],[6]],FDR[FDR]&amp;FDR[[#Headers],[6]],FDR[6],"",0,1)</f>
        <v>3</v>
      </c>
      <c r="S506" cm="1">
        <f t="array" ref="S506">_xlfn.XLOOKUP(Matrix[[#This Row],[TEAM]]&amp;Matrix[[#Headers],[7]],FDR[FDR]&amp;FDR[[#Headers],[7]],FDR[7],"",0,1)</f>
        <v>3</v>
      </c>
      <c r="T506" cm="1">
        <f t="array" ref="T506">_xlfn.XLOOKUP(Matrix[[#This Row],[TEAM]]&amp;Matrix[[#Headers],[8]],FDR[FDR]&amp;FDR[[#Headers],[8]],FDR[8],"",0,1)</f>
        <v>5</v>
      </c>
      <c r="U506" cm="1">
        <f t="array" ref="U506">_xlfn.XLOOKUP(Matrix[[#This Row],[TEAM]]&amp;Matrix[[#Headers],[9]],FDR[FDR]&amp;FDR[[#Headers],[9]],FDR[9],"",0,1)</f>
        <v>4</v>
      </c>
      <c r="V506" cm="1">
        <f t="array" ref="V506">_xlfn.XLOOKUP(Matrix[[#This Row],[TEAM]]&amp;Matrix[[#Headers],[10]],FDR[FDR]&amp;FDR[[#Headers],[10]],FDR[10],"",0,1)</f>
        <v>2</v>
      </c>
      <c r="W506" cm="1">
        <f t="array" ref="W506">_xlfn.XLOOKUP(Matrix[[#This Row],[TEAM]]&amp;Matrix[[#Headers],[11]],FDR[FDR]&amp;FDR[[#Headers],[11]],FDR[11],"",0,1)</f>
        <v>3</v>
      </c>
      <c r="X506" cm="1">
        <f t="array" ref="X506">_xlfn.XLOOKUP(Matrix[[#This Row],[TEAM]]&amp;Matrix[[#Headers],[12]],FDR[FDR]&amp;FDR[[#Headers],[12]],FDR[12],"",0,1)</f>
        <v>5</v>
      </c>
      <c r="Y506" cm="1">
        <f t="array" ref="Y506">_xlfn.XLOOKUP(Matrix[[#This Row],[TEAM]]&amp;Matrix[[#Headers],[13]],FDR[FDR]&amp;FDR[[#Headers],[13]],FDR[13],"",0,1)</f>
        <v>4</v>
      </c>
      <c r="Z506" cm="1">
        <f t="array" ref="Z506">_xlfn.XLOOKUP(Matrix[[#This Row],[TEAM]]&amp;Matrix[[#Headers],[14]],FDR[FDR]&amp;FDR[[#Headers],[14]],FDR[14],"",0,1)</f>
        <v>4</v>
      </c>
      <c r="AA506" cm="1">
        <f t="array" ref="AA506">_xlfn.XLOOKUP(Matrix[[#This Row],[TEAM]]&amp;Matrix[[#Headers],[15]],FDR[FDR]&amp;FDR[[#Headers],[15]],FDR[15],"",0,1)</f>
        <v>3</v>
      </c>
      <c r="AB506" cm="1">
        <f t="array" ref="AB506">_xlfn.XLOOKUP(Matrix[[#This Row],[TEAM]]&amp;Matrix[[#Headers],[16]],FDR[FDR]&amp;FDR[[#Headers],[16]],FDR[16],"",0,1)</f>
        <v>5</v>
      </c>
      <c r="AC506" cm="1">
        <f t="array" ref="AC506">_xlfn.XLOOKUP(Matrix[[#This Row],[TEAM]]&amp;Matrix[[#Headers],[17]],FDR[FDR]&amp;FDR[[#Headers],[17]],FDR[17],"",0,1)</f>
        <v>4</v>
      </c>
      <c r="AD506" cm="1">
        <f t="array" ref="AD506">_xlfn.XLOOKUP(Matrix[[#This Row],[TEAM]]&amp;Matrix[[#Headers],[18]],FDR[FDR]&amp;FDR[[#Headers],[18]],FDR[18],"",0,1)</f>
        <v>2</v>
      </c>
      <c r="AE506" cm="1">
        <f t="array" ref="AE506">_xlfn.XLOOKUP(Matrix[[#This Row],[TEAM]]&amp;Matrix[[#Headers],[19]],FDR[FDR]&amp;FDR[[#Headers],[19]],FDR[19],"",0,1)</f>
        <v>4</v>
      </c>
      <c r="AF506" cm="1">
        <f t="array" ref="AF506">_xlfn.XLOOKUP(Matrix[[#This Row],[TEAM]]&amp;Matrix[[#Headers],[20]],FDR[FDR]&amp;FDR[[#Headers],[20]],FDR[20],"",0,1)</f>
        <v>3</v>
      </c>
      <c r="AG506" cm="1">
        <f t="array" ref="AG506">_xlfn.XLOOKUP(Matrix[[#This Row],[TEAM]]&amp;Matrix[[#Headers],[21]],FDR[FDR]&amp;FDR[[#Headers],[21]],FDR[21],"",0,1)</f>
        <v>2</v>
      </c>
      <c r="AH506" cm="1">
        <f t="array" ref="AH506">_xlfn.XLOOKUP(Matrix[[#This Row],[TEAM]]&amp;Matrix[[#Headers],[22]],FDR[FDR]&amp;FDR[[#Headers],[22]],FDR[22],"",0,1)</f>
        <v>5</v>
      </c>
      <c r="AI506" cm="1">
        <f t="array" ref="AI506">_xlfn.XLOOKUP(Matrix[[#This Row],[TEAM]]&amp;Matrix[[#Headers],[23]],FDR[FDR]&amp;FDR[[#Headers],[23]],FDR[23],"",0,1)</f>
        <v>1</v>
      </c>
      <c r="AJ506" cm="1">
        <f t="array" ref="AJ506">_xlfn.XLOOKUP(Matrix[[#This Row],[TEAM]]&amp;Matrix[[#Headers],[24]],FDR[FDR]&amp;FDR[[#Headers],[24]],FDR[24],"",0,1)</f>
        <v>4</v>
      </c>
      <c r="AK506" cm="1">
        <f t="array" ref="AK506">_xlfn.XLOOKUP(Matrix[[#This Row],[TEAM]]&amp;Matrix[[#Headers],[25]],FDR[FDR]&amp;FDR[[#Headers],[25]],FDR[25],"",0,1)</f>
        <v>4</v>
      </c>
      <c r="AL506" cm="1">
        <f t="array" ref="AL506">_xlfn.XLOOKUP(Matrix[[#This Row],[TEAM]]&amp;Matrix[[#Headers],[26]],FDR[FDR]&amp;FDR[[#Headers],[26]],FDR[26],"",0,1)</f>
        <v>3</v>
      </c>
      <c r="AM506" cm="1">
        <f t="array" ref="AM506">_xlfn.XLOOKUP(Matrix[[#This Row],[TEAM]]&amp;Matrix[[#Headers],[27]],FDR[FDR]&amp;FDR[[#Headers],[27]],FDR[27],"",0,1)</f>
        <v>4</v>
      </c>
      <c r="AN506" cm="1">
        <f t="array" ref="AN506">_xlfn.XLOOKUP(Matrix[[#This Row],[TEAM]]&amp;Matrix[[#Headers],[28]],FDR[FDR]&amp;FDR[[#Headers],[28]],FDR[28],"",0,1)</f>
        <v>5</v>
      </c>
      <c r="AO506" cm="1">
        <f t="array" ref="AO506">_xlfn.XLOOKUP(Matrix[[#This Row],[TEAM]]&amp;Matrix[[#Headers],[29]],FDR[FDR]&amp;FDR[[#Headers],[29]],FDR[29],"",0,1)</f>
        <v>1</v>
      </c>
      <c r="AP506" cm="1">
        <f t="array" ref="AP506">_xlfn.XLOOKUP(Matrix[[#This Row],[TEAM]]&amp;Matrix[[#Headers],[30]],FDR[FDR]&amp;FDR[[#Headers],[30]],FDR[30],"",0,1)</f>
        <v>5</v>
      </c>
      <c r="AQ506" cm="1">
        <f t="array" ref="AQ506">_xlfn.XLOOKUP(Matrix[[#This Row],[TEAM]]&amp;Matrix[[#Headers],[31]],FDR[FDR]&amp;FDR[[#Headers],[31]],FDR[31],"",0,1)</f>
        <v>4</v>
      </c>
      <c r="AR506" cm="1">
        <f t="array" ref="AR506">_xlfn.XLOOKUP(Matrix[[#This Row],[TEAM]]&amp;Matrix[[#Headers],[32]],FDR[FDR]&amp;FDR[[#Headers],[32]],FDR[32],"",0,1)</f>
        <v>4</v>
      </c>
      <c r="AS506" cm="1">
        <f t="array" ref="AS506">_xlfn.XLOOKUP(Matrix[[#This Row],[TEAM]]&amp;Matrix[[#Headers],[33]],FDR[FDR]&amp;FDR[[#Headers],[33]],FDR[33],"",0,1)</f>
        <v>4</v>
      </c>
      <c r="AT506" cm="1">
        <f t="array" ref="AT506">_xlfn.XLOOKUP(Matrix[[#This Row],[TEAM]]&amp;Matrix[[#Headers],[34]],FDR[FDR]&amp;FDR[[#Headers],[34]],FDR[34],"",0,1)</f>
        <v>4</v>
      </c>
      <c r="AU506" cm="1">
        <f t="array" ref="AU506">_xlfn.XLOOKUP(Matrix[[#This Row],[TEAM]]&amp;Matrix[[#Headers],[35]],FDR[FDR]&amp;FDR[[#Headers],[35]],FDR[35],"",0,1)</f>
        <v>4</v>
      </c>
      <c r="AV506" cm="1">
        <f t="array" ref="AV506">_xlfn.XLOOKUP(Matrix[[#This Row],[TEAM]]&amp;Matrix[[#Headers],[36]],FDR[FDR]&amp;FDR[[#Headers],[36]],FDR[36],"",0,1)</f>
        <v>4</v>
      </c>
      <c r="AW506" cm="1">
        <f t="array" ref="AW506">_xlfn.XLOOKUP(Matrix[[#This Row],[TEAM]]&amp;Matrix[[#Headers],[37]],FDR[FDR]&amp;FDR[[#Headers],[37]],FDR[37],"",0,1)</f>
        <v>1</v>
      </c>
      <c r="AX506" cm="1">
        <f t="array" ref="AX506">_xlfn.XLOOKUP(Matrix[[#This Row],[TEAM]]&amp;Matrix[[#Headers],[38]],FDR[FDR]&amp;FDR[[#Headers],[38]],FDR[38],"",0,1)</f>
        <v>5</v>
      </c>
    </row>
    <row r="507" spans="1:50" ht="22" thickTop="1" thickBot="1">
      <c r="A507" s="51" t="s">
        <v>657</v>
      </c>
      <c r="B507" s="70" t="s">
        <v>2010</v>
      </c>
      <c r="C507" s="40" t="s">
        <v>24</v>
      </c>
      <c r="D507" s="62">
        <v>0</v>
      </c>
      <c r="E507" s="60">
        <v>1E-3</v>
      </c>
      <c r="F507" s="61">
        <v>0</v>
      </c>
      <c r="G507" s="63">
        <v>4</v>
      </c>
      <c r="H507" s="261">
        <f>IF(ISBLANK(I507),0,1)</f>
        <v>0</v>
      </c>
      <c r="I507" s="57"/>
      <c r="J507" s="58"/>
      <c r="K507" s="65" t="s">
        <v>2011</v>
      </c>
      <c r="L507" s="65" t="s">
        <v>2012</v>
      </c>
      <c r="M507" cm="1">
        <f t="array" ref="M507">_xlfn.XLOOKUP(Matrix[[#This Row],[TEAM]]&amp;Matrix[[#Headers],[1]],FDR[FDR]&amp;FDR[[#Headers],[1]],FDR[1],"",0,1)</f>
        <v>2</v>
      </c>
      <c r="N507" cm="1">
        <f t="array" ref="N507">_xlfn.XLOOKUP(Matrix[[#This Row],[TEAM]]&amp;Matrix[[#Headers],[2]],FDR[FDR]&amp;FDR[[#Headers],[2]],FDR[2],"",0,1)</f>
        <v>3</v>
      </c>
      <c r="O507" cm="1">
        <f t="array" ref="O507">_xlfn.XLOOKUP(Matrix[[#This Row],[TEAM]]&amp;Matrix[[#Headers],[3]],FDR[FDR]&amp;FDR[[#Headers],[3]],FDR[3],"",0,1)</f>
        <v>2</v>
      </c>
      <c r="P507" cm="1">
        <f t="array" ref="P507">_xlfn.XLOOKUP(Matrix[[#This Row],[TEAM]]&amp;Matrix[[#Headers],[4]],FDR[FDR]&amp;FDR[[#Headers],[4]],FDR[4],"",0,1)</f>
        <v>4</v>
      </c>
      <c r="Q507" cm="1">
        <f t="array" ref="Q507">_xlfn.XLOOKUP(Matrix[[#This Row],[TEAM]]&amp;Matrix[[#Headers],[5]],FDR[FDR]&amp;FDR[[#Headers],[5]],FDR[5],"",0,1)</f>
        <v>5</v>
      </c>
      <c r="R507" cm="1">
        <f t="array" ref="R507">_xlfn.XLOOKUP(Matrix[[#This Row],[TEAM]]&amp;Matrix[[#Headers],[6]],FDR[FDR]&amp;FDR[[#Headers],[6]],FDR[6],"",0,1)</f>
        <v>3</v>
      </c>
      <c r="S507" cm="1">
        <f t="array" ref="S507">_xlfn.XLOOKUP(Matrix[[#This Row],[TEAM]]&amp;Matrix[[#Headers],[7]],FDR[FDR]&amp;FDR[[#Headers],[7]],FDR[7],"",0,1)</f>
        <v>3</v>
      </c>
      <c r="T507" cm="1">
        <f t="array" ref="T507">_xlfn.XLOOKUP(Matrix[[#This Row],[TEAM]]&amp;Matrix[[#Headers],[8]],FDR[FDR]&amp;FDR[[#Headers],[8]],FDR[8],"",0,1)</f>
        <v>5</v>
      </c>
      <c r="U507" cm="1">
        <f t="array" ref="U507">_xlfn.XLOOKUP(Matrix[[#This Row],[TEAM]]&amp;Matrix[[#Headers],[9]],FDR[FDR]&amp;FDR[[#Headers],[9]],FDR[9],"",0,1)</f>
        <v>4</v>
      </c>
      <c r="V507" cm="1">
        <f t="array" ref="V507">_xlfn.XLOOKUP(Matrix[[#This Row],[TEAM]]&amp;Matrix[[#Headers],[10]],FDR[FDR]&amp;FDR[[#Headers],[10]],FDR[10],"",0,1)</f>
        <v>2</v>
      </c>
      <c r="W507" cm="1">
        <f t="array" ref="W507">_xlfn.XLOOKUP(Matrix[[#This Row],[TEAM]]&amp;Matrix[[#Headers],[11]],FDR[FDR]&amp;FDR[[#Headers],[11]],FDR[11],"",0,1)</f>
        <v>3</v>
      </c>
      <c r="X507" cm="1">
        <f t="array" ref="X507">_xlfn.XLOOKUP(Matrix[[#This Row],[TEAM]]&amp;Matrix[[#Headers],[12]],FDR[FDR]&amp;FDR[[#Headers],[12]],FDR[12],"",0,1)</f>
        <v>5</v>
      </c>
      <c r="Y507" cm="1">
        <f t="array" ref="Y507">_xlfn.XLOOKUP(Matrix[[#This Row],[TEAM]]&amp;Matrix[[#Headers],[13]],FDR[FDR]&amp;FDR[[#Headers],[13]],FDR[13],"",0,1)</f>
        <v>4</v>
      </c>
      <c r="Z507" cm="1">
        <f t="array" ref="Z507">_xlfn.XLOOKUP(Matrix[[#This Row],[TEAM]]&amp;Matrix[[#Headers],[14]],FDR[FDR]&amp;FDR[[#Headers],[14]],FDR[14],"",0,1)</f>
        <v>4</v>
      </c>
      <c r="AA507" cm="1">
        <f t="array" ref="AA507">_xlfn.XLOOKUP(Matrix[[#This Row],[TEAM]]&amp;Matrix[[#Headers],[15]],FDR[FDR]&amp;FDR[[#Headers],[15]],FDR[15],"",0,1)</f>
        <v>3</v>
      </c>
      <c r="AB507" cm="1">
        <f t="array" ref="AB507">_xlfn.XLOOKUP(Matrix[[#This Row],[TEAM]]&amp;Matrix[[#Headers],[16]],FDR[FDR]&amp;FDR[[#Headers],[16]],FDR[16],"",0,1)</f>
        <v>5</v>
      </c>
      <c r="AC507" cm="1">
        <f t="array" ref="AC507">_xlfn.XLOOKUP(Matrix[[#This Row],[TEAM]]&amp;Matrix[[#Headers],[17]],FDR[FDR]&amp;FDR[[#Headers],[17]],FDR[17],"",0,1)</f>
        <v>4</v>
      </c>
      <c r="AD507" cm="1">
        <f t="array" ref="AD507">_xlfn.XLOOKUP(Matrix[[#This Row],[TEAM]]&amp;Matrix[[#Headers],[18]],FDR[FDR]&amp;FDR[[#Headers],[18]],FDR[18],"",0,1)</f>
        <v>2</v>
      </c>
      <c r="AE507" cm="1">
        <f t="array" ref="AE507">_xlfn.XLOOKUP(Matrix[[#This Row],[TEAM]]&amp;Matrix[[#Headers],[19]],FDR[FDR]&amp;FDR[[#Headers],[19]],FDR[19],"",0,1)</f>
        <v>4</v>
      </c>
      <c r="AF507" cm="1">
        <f t="array" ref="AF507">_xlfn.XLOOKUP(Matrix[[#This Row],[TEAM]]&amp;Matrix[[#Headers],[20]],FDR[FDR]&amp;FDR[[#Headers],[20]],FDR[20],"",0,1)</f>
        <v>3</v>
      </c>
      <c r="AG507" cm="1">
        <f t="array" ref="AG507">_xlfn.XLOOKUP(Matrix[[#This Row],[TEAM]]&amp;Matrix[[#Headers],[21]],FDR[FDR]&amp;FDR[[#Headers],[21]],FDR[21],"",0,1)</f>
        <v>2</v>
      </c>
      <c r="AH507" cm="1">
        <f t="array" ref="AH507">_xlfn.XLOOKUP(Matrix[[#This Row],[TEAM]]&amp;Matrix[[#Headers],[22]],FDR[FDR]&amp;FDR[[#Headers],[22]],FDR[22],"",0,1)</f>
        <v>5</v>
      </c>
      <c r="AI507" cm="1">
        <f t="array" ref="AI507">_xlfn.XLOOKUP(Matrix[[#This Row],[TEAM]]&amp;Matrix[[#Headers],[23]],FDR[FDR]&amp;FDR[[#Headers],[23]],FDR[23],"",0,1)</f>
        <v>1</v>
      </c>
      <c r="AJ507" cm="1">
        <f t="array" ref="AJ507">_xlfn.XLOOKUP(Matrix[[#This Row],[TEAM]]&amp;Matrix[[#Headers],[24]],FDR[FDR]&amp;FDR[[#Headers],[24]],FDR[24],"",0,1)</f>
        <v>4</v>
      </c>
      <c r="AK507" cm="1">
        <f t="array" ref="AK507">_xlfn.XLOOKUP(Matrix[[#This Row],[TEAM]]&amp;Matrix[[#Headers],[25]],FDR[FDR]&amp;FDR[[#Headers],[25]],FDR[25],"",0,1)</f>
        <v>4</v>
      </c>
      <c r="AL507" cm="1">
        <f t="array" ref="AL507">_xlfn.XLOOKUP(Matrix[[#This Row],[TEAM]]&amp;Matrix[[#Headers],[26]],FDR[FDR]&amp;FDR[[#Headers],[26]],FDR[26],"",0,1)</f>
        <v>3</v>
      </c>
      <c r="AM507" cm="1">
        <f t="array" ref="AM507">_xlfn.XLOOKUP(Matrix[[#This Row],[TEAM]]&amp;Matrix[[#Headers],[27]],FDR[FDR]&amp;FDR[[#Headers],[27]],FDR[27],"",0,1)</f>
        <v>4</v>
      </c>
      <c r="AN507" cm="1">
        <f t="array" ref="AN507">_xlfn.XLOOKUP(Matrix[[#This Row],[TEAM]]&amp;Matrix[[#Headers],[28]],FDR[FDR]&amp;FDR[[#Headers],[28]],FDR[28],"",0,1)</f>
        <v>5</v>
      </c>
      <c r="AO507" cm="1">
        <f t="array" ref="AO507">_xlfn.XLOOKUP(Matrix[[#This Row],[TEAM]]&amp;Matrix[[#Headers],[29]],FDR[FDR]&amp;FDR[[#Headers],[29]],FDR[29],"",0,1)</f>
        <v>1</v>
      </c>
      <c r="AP507" cm="1">
        <f t="array" ref="AP507">_xlfn.XLOOKUP(Matrix[[#This Row],[TEAM]]&amp;Matrix[[#Headers],[30]],FDR[FDR]&amp;FDR[[#Headers],[30]],FDR[30],"",0,1)</f>
        <v>5</v>
      </c>
      <c r="AQ507" cm="1">
        <f t="array" ref="AQ507">_xlfn.XLOOKUP(Matrix[[#This Row],[TEAM]]&amp;Matrix[[#Headers],[31]],FDR[FDR]&amp;FDR[[#Headers],[31]],FDR[31],"",0,1)</f>
        <v>4</v>
      </c>
      <c r="AR507" cm="1">
        <f t="array" ref="AR507">_xlfn.XLOOKUP(Matrix[[#This Row],[TEAM]]&amp;Matrix[[#Headers],[32]],FDR[FDR]&amp;FDR[[#Headers],[32]],FDR[32],"",0,1)</f>
        <v>4</v>
      </c>
      <c r="AS507" cm="1">
        <f t="array" ref="AS507">_xlfn.XLOOKUP(Matrix[[#This Row],[TEAM]]&amp;Matrix[[#Headers],[33]],FDR[FDR]&amp;FDR[[#Headers],[33]],FDR[33],"",0,1)</f>
        <v>4</v>
      </c>
      <c r="AT507" cm="1">
        <f t="array" ref="AT507">_xlfn.XLOOKUP(Matrix[[#This Row],[TEAM]]&amp;Matrix[[#Headers],[34]],FDR[FDR]&amp;FDR[[#Headers],[34]],FDR[34],"",0,1)</f>
        <v>4</v>
      </c>
      <c r="AU507" cm="1">
        <f t="array" ref="AU507">_xlfn.XLOOKUP(Matrix[[#This Row],[TEAM]]&amp;Matrix[[#Headers],[35]],FDR[FDR]&amp;FDR[[#Headers],[35]],FDR[35],"",0,1)</f>
        <v>4</v>
      </c>
      <c r="AV507" cm="1">
        <f t="array" ref="AV507">_xlfn.XLOOKUP(Matrix[[#This Row],[TEAM]]&amp;Matrix[[#Headers],[36]],FDR[FDR]&amp;FDR[[#Headers],[36]],FDR[36],"",0,1)</f>
        <v>4</v>
      </c>
      <c r="AW507" cm="1">
        <f t="array" ref="AW507">_xlfn.XLOOKUP(Matrix[[#This Row],[TEAM]]&amp;Matrix[[#Headers],[37]],FDR[FDR]&amp;FDR[[#Headers],[37]],FDR[37],"",0,1)</f>
        <v>1</v>
      </c>
      <c r="AX507" cm="1">
        <f t="array" ref="AX507">_xlfn.XLOOKUP(Matrix[[#This Row],[TEAM]]&amp;Matrix[[#Headers],[38]],FDR[FDR]&amp;FDR[[#Headers],[38]],FDR[38],"",0,1)</f>
        <v>5</v>
      </c>
    </row>
    <row r="508" spans="1:50" ht="22" thickTop="1" thickBot="1">
      <c r="A508" s="51" t="s">
        <v>657</v>
      </c>
      <c r="B508" s="70" t="s">
        <v>1864</v>
      </c>
      <c r="C508" s="40" t="s">
        <v>24</v>
      </c>
      <c r="D508" s="62">
        <v>0</v>
      </c>
      <c r="E508" s="60">
        <v>2E-3</v>
      </c>
      <c r="F508" s="61">
        <v>0</v>
      </c>
      <c r="G508" s="63">
        <v>4</v>
      </c>
      <c r="H508" s="261">
        <f>IF(ISBLANK(I508),0,1)</f>
        <v>0</v>
      </c>
      <c r="I508" s="57"/>
      <c r="J508" s="58"/>
      <c r="K508" s="65" t="s">
        <v>504</v>
      </c>
      <c r="L508" s="65" t="s">
        <v>981</v>
      </c>
      <c r="M508" cm="1">
        <f t="array" ref="M508">_xlfn.XLOOKUP(Matrix[[#This Row],[TEAM]]&amp;Matrix[[#Headers],[1]],FDR[FDR]&amp;FDR[[#Headers],[1]],FDR[1],"",0,1)</f>
        <v>2</v>
      </c>
      <c r="N508" cm="1">
        <f t="array" ref="N508">_xlfn.XLOOKUP(Matrix[[#This Row],[TEAM]]&amp;Matrix[[#Headers],[2]],FDR[FDR]&amp;FDR[[#Headers],[2]],FDR[2],"",0,1)</f>
        <v>3</v>
      </c>
      <c r="O508" cm="1">
        <f t="array" ref="O508">_xlfn.XLOOKUP(Matrix[[#This Row],[TEAM]]&amp;Matrix[[#Headers],[3]],FDR[FDR]&amp;FDR[[#Headers],[3]],FDR[3],"",0,1)</f>
        <v>2</v>
      </c>
      <c r="P508" cm="1">
        <f t="array" ref="P508">_xlfn.XLOOKUP(Matrix[[#This Row],[TEAM]]&amp;Matrix[[#Headers],[4]],FDR[FDR]&amp;FDR[[#Headers],[4]],FDR[4],"",0,1)</f>
        <v>4</v>
      </c>
      <c r="Q508" cm="1">
        <f t="array" ref="Q508">_xlfn.XLOOKUP(Matrix[[#This Row],[TEAM]]&amp;Matrix[[#Headers],[5]],FDR[FDR]&amp;FDR[[#Headers],[5]],FDR[5],"",0,1)</f>
        <v>5</v>
      </c>
      <c r="R508" cm="1">
        <f t="array" ref="R508">_xlfn.XLOOKUP(Matrix[[#This Row],[TEAM]]&amp;Matrix[[#Headers],[6]],FDR[FDR]&amp;FDR[[#Headers],[6]],FDR[6],"",0,1)</f>
        <v>3</v>
      </c>
      <c r="S508" cm="1">
        <f t="array" ref="S508">_xlfn.XLOOKUP(Matrix[[#This Row],[TEAM]]&amp;Matrix[[#Headers],[7]],FDR[FDR]&amp;FDR[[#Headers],[7]],FDR[7],"",0,1)</f>
        <v>3</v>
      </c>
      <c r="T508" cm="1">
        <f t="array" ref="T508">_xlfn.XLOOKUP(Matrix[[#This Row],[TEAM]]&amp;Matrix[[#Headers],[8]],FDR[FDR]&amp;FDR[[#Headers],[8]],FDR[8],"",0,1)</f>
        <v>5</v>
      </c>
      <c r="U508" cm="1">
        <f t="array" ref="U508">_xlfn.XLOOKUP(Matrix[[#This Row],[TEAM]]&amp;Matrix[[#Headers],[9]],FDR[FDR]&amp;FDR[[#Headers],[9]],FDR[9],"",0,1)</f>
        <v>4</v>
      </c>
      <c r="V508" cm="1">
        <f t="array" ref="V508">_xlfn.XLOOKUP(Matrix[[#This Row],[TEAM]]&amp;Matrix[[#Headers],[10]],FDR[FDR]&amp;FDR[[#Headers],[10]],FDR[10],"",0,1)</f>
        <v>2</v>
      </c>
      <c r="W508" cm="1">
        <f t="array" ref="W508">_xlfn.XLOOKUP(Matrix[[#This Row],[TEAM]]&amp;Matrix[[#Headers],[11]],FDR[FDR]&amp;FDR[[#Headers],[11]],FDR[11],"",0,1)</f>
        <v>3</v>
      </c>
      <c r="X508" cm="1">
        <f t="array" ref="X508">_xlfn.XLOOKUP(Matrix[[#This Row],[TEAM]]&amp;Matrix[[#Headers],[12]],FDR[FDR]&amp;FDR[[#Headers],[12]],FDR[12],"",0,1)</f>
        <v>5</v>
      </c>
      <c r="Y508" cm="1">
        <f t="array" ref="Y508">_xlfn.XLOOKUP(Matrix[[#This Row],[TEAM]]&amp;Matrix[[#Headers],[13]],FDR[FDR]&amp;FDR[[#Headers],[13]],FDR[13],"",0,1)</f>
        <v>4</v>
      </c>
      <c r="Z508" cm="1">
        <f t="array" ref="Z508">_xlfn.XLOOKUP(Matrix[[#This Row],[TEAM]]&amp;Matrix[[#Headers],[14]],FDR[FDR]&amp;FDR[[#Headers],[14]],FDR[14],"",0,1)</f>
        <v>4</v>
      </c>
      <c r="AA508" cm="1">
        <f t="array" ref="AA508">_xlfn.XLOOKUP(Matrix[[#This Row],[TEAM]]&amp;Matrix[[#Headers],[15]],FDR[FDR]&amp;FDR[[#Headers],[15]],FDR[15],"",0,1)</f>
        <v>3</v>
      </c>
      <c r="AB508" cm="1">
        <f t="array" ref="AB508">_xlfn.XLOOKUP(Matrix[[#This Row],[TEAM]]&amp;Matrix[[#Headers],[16]],FDR[FDR]&amp;FDR[[#Headers],[16]],FDR[16],"",0,1)</f>
        <v>5</v>
      </c>
      <c r="AC508" cm="1">
        <f t="array" ref="AC508">_xlfn.XLOOKUP(Matrix[[#This Row],[TEAM]]&amp;Matrix[[#Headers],[17]],FDR[FDR]&amp;FDR[[#Headers],[17]],FDR[17],"",0,1)</f>
        <v>4</v>
      </c>
      <c r="AD508" cm="1">
        <f t="array" ref="AD508">_xlfn.XLOOKUP(Matrix[[#This Row],[TEAM]]&amp;Matrix[[#Headers],[18]],FDR[FDR]&amp;FDR[[#Headers],[18]],FDR[18],"",0,1)</f>
        <v>2</v>
      </c>
      <c r="AE508" cm="1">
        <f t="array" ref="AE508">_xlfn.XLOOKUP(Matrix[[#This Row],[TEAM]]&amp;Matrix[[#Headers],[19]],FDR[FDR]&amp;FDR[[#Headers],[19]],FDR[19],"",0,1)</f>
        <v>4</v>
      </c>
      <c r="AF508" cm="1">
        <f t="array" ref="AF508">_xlfn.XLOOKUP(Matrix[[#This Row],[TEAM]]&amp;Matrix[[#Headers],[20]],FDR[FDR]&amp;FDR[[#Headers],[20]],FDR[20],"",0,1)</f>
        <v>3</v>
      </c>
      <c r="AG508" cm="1">
        <f t="array" ref="AG508">_xlfn.XLOOKUP(Matrix[[#This Row],[TEAM]]&amp;Matrix[[#Headers],[21]],FDR[FDR]&amp;FDR[[#Headers],[21]],FDR[21],"",0,1)</f>
        <v>2</v>
      </c>
      <c r="AH508" cm="1">
        <f t="array" ref="AH508">_xlfn.XLOOKUP(Matrix[[#This Row],[TEAM]]&amp;Matrix[[#Headers],[22]],FDR[FDR]&amp;FDR[[#Headers],[22]],FDR[22],"",0,1)</f>
        <v>5</v>
      </c>
      <c r="AI508" cm="1">
        <f t="array" ref="AI508">_xlfn.XLOOKUP(Matrix[[#This Row],[TEAM]]&amp;Matrix[[#Headers],[23]],FDR[FDR]&amp;FDR[[#Headers],[23]],FDR[23],"",0,1)</f>
        <v>1</v>
      </c>
      <c r="AJ508" cm="1">
        <f t="array" ref="AJ508">_xlfn.XLOOKUP(Matrix[[#This Row],[TEAM]]&amp;Matrix[[#Headers],[24]],FDR[FDR]&amp;FDR[[#Headers],[24]],FDR[24],"",0,1)</f>
        <v>4</v>
      </c>
      <c r="AK508" cm="1">
        <f t="array" ref="AK508">_xlfn.XLOOKUP(Matrix[[#This Row],[TEAM]]&amp;Matrix[[#Headers],[25]],FDR[FDR]&amp;FDR[[#Headers],[25]],FDR[25],"",0,1)</f>
        <v>4</v>
      </c>
      <c r="AL508" cm="1">
        <f t="array" ref="AL508">_xlfn.XLOOKUP(Matrix[[#This Row],[TEAM]]&amp;Matrix[[#Headers],[26]],FDR[FDR]&amp;FDR[[#Headers],[26]],FDR[26],"",0,1)</f>
        <v>3</v>
      </c>
      <c r="AM508" cm="1">
        <f t="array" ref="AM508">_xlfn.XLOOKUP(Matrix[[#This Row],[TEAM]]&amp;Matrix[[#Headers],[27]],FDR[FDR]&amp;FDR[[#Headers],[27]],FDR[27],"",0,1)</f>
        <v>4</v>
      </c>
      <c r="AN508" cm="1">
        <f t="array" ref="AN508">_xlfn.XLOOKUP(Matrix[[#This Row],[TEAM]]&amp;Matrix[[#Headers],[28]],FDR[FDR]&amp;FDR[[#Headers],[28]],FDR[28],"",0,1)</f>
        <v>5</v>
      </c>
      <c r="AO508" cm="1">
        <f t="array" ref="AO508">_xlfn.XLOOKUP(Matrix[[#This Row],[TEAM]]&amp;Matrix[[#Headers],[29]],FDR[FDR]&amp;FDR[[#Headers],[29]],FDR[29],"",0,1)</f>
        <v>1</v>
      </c>
      <c r="AP508" cm="1">
        <f t="array" ref="AP508">_xlfn.XLOOKUP(Matrix[[#This Row],[TEAM]]&amp;Matrix[[#Headers],[30]],FDR[FDR]&amp;FDR[[#Headers],[30]],FDR[30],"",0,1)</f>
        <v>5</v>
      </c>
      <c r="AQ508" cm="1">
        <f t="array" ref="AQ508">_xlfn.XLOOKUP(Matrix[[#This Row],[TEAM]]&amp;Matrix[[#Headers],[31]],FDR[FDR]&amp;FDR[[#Headers],[31]],FDR[31],"",0,1)</f>
        <v>4</v>
      </c>
      <c r="AR508" cm="1">
        <f t="array" ref="AR508">_xlfn.XLOOKUP(Matrix[[#This Row],[TEAM]]&amp;Matrix[[#Headers],[32]],FDR[FDR]&amp;FDR[[#Headers],[32]],FDR[32],"",0,1)</f>
        <v>4</v>
      </c>
      <c r="AS508" cm="1">
        <f t="array" ref="AS508">_xlfn.XLOOKUP(Matrix[[#This Row],[TEAM]]&amp;Matrix[[#Headers],[33]],FDR[FDR]&amp;FDR[[#Headers],[33]],FDR[33],"",0,1)</f>
        <v>4</v>
      </c>
      <c r="AT508" cm="1">
        <f t="array" ref="AT508">_xlfn.XLOOKUP(Matrix[[#This Row],[TEAM]]&amp;Matrix[[#Headers],[34]],FDR[FDR]&amp;FDR[[#Headers],[34]],FDR[34],"",0,1)</f>
        <v>4</v>
      </c>
      <c r="AU508" cm="1">
        <f t="array" ref="AU508">_xlfn.XLOOKUP(Matrix[[#This Row],[TEAM]]&amp;Matrix[[#Headers],[35]],FDR[FDR]&amp;FDR[[#Headers],[35]],FDR[35],"",0,1)</f>
        <v>4</v>
      </c>
      <c r="AV508" cm="1">
        <f t="array" ref="AV508">_xlfn.XLOOKUP(Matrix[[#This Row],[TEAM]]&amp;Matrix[[#Headers],[36]],FDR[FDR]&amp;FDR[[#Headers],[36]],FDR[36],"",0,1)</f>
        <v>4</v>
      </c>
      <c r="AW508" cm="1">
        <f t="array" ref="AW508">_xlfn.XLOOKUP(Matrix[[#This Row],[TEAM]]&amp;Matrix[[#Headers],[37]],FDR[FDR]&amp;FDR[[#Headers],[37]],FDR[37],"",0,1)</f>
        <v>1</v>
      </c>
      <c r="AX508" cm="1">
        <f t="array" ref="AX508">_xlfn.XLOOKUP(Matrix[[#This Row],[TEAM]]&amp;Matrix[[#Headers],[38]],FDR[FDR]&amp;FDR[[#Headers],[38]],FDR[38],"",0,1)</f>
        <v>5</v>
      </c>
    </row>
    <row r="509" spans="1:50" ht="22" thickTop="1" thickBot="1">
      <c r="A509" s="51" t="s">
        <v>657</v>
      </c>
      <c r="B509" s="70" t="s">
        <v>1865</v>
      </c>
      <c r="C509" s="40" t="s">
        <v>23</v>
      </c>
      <c r="D509" s="62">
        <v>0</v>
      </c>
      <c r="E509" s="60">
        <v>2E-3</v>
      </c>
      <c r="F509" s="61">
        <v>0</v>
      </c>
      <c r="G509" s="63">
        <v>4</v>
      </c>
      <c r="H509" s="261">
        <f>IF(ISBLANK(I509),0,1)</f>
        <v>0</v>
      </c>
      <c r="I509" s="57"/>
      <c r="J509" s="58"/>
      <c r="K509" s="65" t="s">
        <v>586</v>
      </c>
      <c r="L509" s="65" t="s">
        <v>104</v>
      </c>
      <c r="M509" cm="1">
        <f t="array" ref="M509">_xlfn.XLOOKUP(Matrix[[#This Row],[TEAM]]&amp;Matrix[[#Headers],[1]],FDR[FDR]&amp;FDR[[#Headers],[1]],FDR[1],"",0,1)</f>
        <v>4</v>
      </c>
      <c r="N509" cm="1">
        <f t="array" ref="N509">_xlfn.XLOOKUP(Matrix[[#This Row],[TEAM]]&amp;Matrix[[#Headers],[2]],FDR[FDR]&amp;FDR[[#Headers],[2]],FDR[2],"",0,1)</f>
        <v>4</v>
      </c>
      <c r="O509" cm="1">
        <f t="array" ref="O509">_xlfn.XLOOKUP(Matrix[[#This Row],[TEAM]]&amp;Matrix[[#Headers],[3]],FDR[FDR]&amp;FDR[[#Headers],[3]],FDR[3],"",0,1)</f>
        <v>5</v>
      </c>
      <c r="P509" cm="1">
        <f t="array" ref="P509">_xlfn.XLOOKUP(Matrix[[#This Row],[TEAM]]&amp;Matrix[[#Headers],[4]],FDR[FDR]&amp;FDR[[#Headers],[4]],FDR[4],"",0,1)</f>
        <v>1</v>
      </c>
      <c r="Q509" cm="1">
        <f t="array" ref="Q509">_xlfn.XLOOKUP(Matrix[[#This Row],[TEAM]]&amp;Matrix[[#Headers],[5]],FDR[FDR]&amp;FDR[[#Headers],[5]],FDR[5],"",0,1)</f>
        <v>2</v>
      </c>
      <c r="R509" cm="1">
        <f t="array" ref="R509">_xlfn.XLOOKUP(Matrix[[#This Row],[TEAM]]&amp;Matrix[[#Headers],[6]],FDR[FDR]&amp;FDR[[#Headers],[6]],FDR[6],"",0,1)</f>
        <v>5</v>
      </c>
      <c r="S509" cm="1">
        <f t="array" ref="S509">_xlfn.XLOOKUP(Matrix[[#This Row],[TEAM]]&amp;Matrix[[#Headers],[7]],FDR[FDR]&amp;FDR[[#Headers],[7]],FDR[7],"",0,1)</f>
        <v>4</v>
      </c>
      <c r="T509" cm="1">
        <f t="array" ref="T509">_xlfn.XLOOKUP(Matrix[[#This Row],[TEAM]]&amp;Matrix[[#Headers],[8]],FDR[FDR]&amp;FDR[[#Headers],[8]],FDR[8],"",0,1)</f>
        <v>4</v>
      </c>
      <c r="U509" cm="1">
        <f t="array" ref="U509">_xlfn.XLOOKUP(Matrix[[#This Row],[TEAM]]&amp;Matrix[[#Headers],[9]],FDR[FDR]&amp;FDR[[#Headers],[9]],FDR[9],"",0,1)</f>
        <v>5</v>
      </c>
      <c r="V509" cm="1">
        <f t="array" ref="V509">_xlfn.XLOOKUP(Matrix[[#This Row],[TEAM]]&amp;Matrix[[#Headers],[10]],FDR[FDR]&amp;FDR[[#Headers],[10]],FDR[10],"",0,1)</f>
        <v>1</v>
      </c>
      <c r="W509" cm="1">
        <f t="array" ref="W509">_xlfn.XLOOKUP(Matrix[[#This Row],[TEAM]]&amp;Matrix[[#Headers],[11]],FDR[FDR]&amp;FDR[[#Headers],[11]],FDR[11],"",0,1)</f>
        <v>3</v>
      </c>
      <c r="X509" cm="1">
        <f t="array" ref="X509">_xlfn.XLOOKUP(Matrix[[#This Row],[TEAM]]&amp;Matrix[[#Headers],[12]],FDR[FDR]&amp;FDR[[#Headers],[12]],FDR[12],"",0,1)</f>
        <v>1</v>
      </c>
      <c r="Y509" cm="1">
        <f t="array" ref="Y509">_xlfn.XLOOKUP(Matrix[[#This Row],[TEAM]]&amp;Matrix[[#Headers],[13]],FDR[FDR]&amp;FDR[[#Headers],[13]],FDR[13],"",0,1)</f>
        <v>5</v>
      </c>
      <c r="Z509" cm="1">
        <f t="array" ref="Z509">_xlfn.XLOOKUP(Matrix[[#This Row],[TEAM]]&amp;Matrix[[#Headers],[14]],FDR[FDR]&amp;FDR[[#Headers],[14]],FDR[14],"",0,1)</f>
        <v>4</v>
      </c>
      <c r="AA509" cm="1">
        <f t="array" ref="AA509">_xlfn.XLOOKUP(Matrix[[#This Row],[TEAM]]&amp;Matrix[[#Headers],[15]],FDR[FDR]&amp;FDR[[#Headers],[15]],FDR[15],"",0,1)</f>
        <v>2</v>
      </c>
      <c r="AB509" cm="1">
        <f t="array" ref="AB509">_xlfn.XLOOKUP(Matrix[[#This Row],[TEAM]]&amp;Matrix[[#Headers],[16]],FDR[FDR]&amp;FDR[[#Headers],[16]],FDR[16],"",0,1)</f>
        <v>2</v>
      </c>
      <c r="AC509" cm="1">
        <f t="array" ref="AC509">_xlfn.XLOOKUP(Matrix[[#This Row],[TEAM]]&amp;Matrix[[#Headers],[17]],FDR[FDR]&amp;FDR[[#Headers],[17]],FDR[17],"",0,1)</f>
        <v>3</v>
      </c>
      <c r="AD509" cm="1">
        <f t="array" ref="AD509">_xlfn.XLOOKUP(Matrix[[#This Row],[TEAM]]&amp;Matrix[[#Headers],[18]],FDR[FDR]&amp;FDR[[#Headers],[18]],FDR[18],"",0,1)</f>
        <v>3</v>
      </c>
      <c r="AE509" cm="1">
        <f t="array" ref="AE509">_xlfn.XLOOKUP(Matrix[[#This Row],[TEAM]]&amp;Matrix[[#Headers],[19]],FDR[FDR]&amp;FDR[[#Headers],[19]],FDR[19],"",0,1)</f>
        <v>3</v>
      </c>
      <c r="AF509" cm="1">
        <f t="array" ref="AF509">_xlfn.XLOOKUP(Matrix[[#This Row],[TEAM]]&amp;Matrix[[#Headers],[20]],FDR[FDR]&amp;FDR[[#Headers],[20]],FDR[20],"",0,1)</f>
        <v>4</v>
      </c>
      <c r="AG509" cm="1">
        <f t="array" ref="AG509">_xlfn.XLOOKUP(Matrix[[#This Row],[TEAM]]&amp;Matrix[[#Headers],[21]],FDR[FDR]&amp;FDR[[#Headers],[21]],FDR[21],"",0,1)</f>
        <v>4</v>
      </c>
      <c r="AH509" cm="1">
        <f t="array" ref="AH509">_xlfn.XLOOKUP(Matrix[[#This Row],[TEAM]]&amp;Matrix[[#Headers],[22]],FDR[FDR]&amp;FDR[[#Headers],[22]],FDR[22],"",0,1)</f>
        <v>2</v>
      </c>
      <c r="AI509" cm="1">
        <f t="array" ref="AI509">_xlfn.XLOOKUP(Matrix[[#This Row],[TEAM]]&amp;Matrix[[#Headers],[23]],FDR[FDR]&amp;FDR[[#Headers],[23]],FDR[23],"",0,1)</f>
        <v>3</v>
      </c>
      <c r="AJ509" cm="1">
        <f t="array" ref="AJ509">_xlfn.XLOOKUP(Matrix[[#This Row],[TEAM]]&amp;Matrix[[#Headers],[24]],FDR[FDR]&amp;FDR[[#Headers],[24]],FDR[24],"",0,1)</f>
        <v>5</v>
      </c>
      <c r="AK509" cm="1">
        <f t="array" ref="AK509">_xlfn.XLOOKUP(Matrix[[#This Row],[TEAM]]&amp;Matrix[[#Headers],[25]],FDR[FDR]&amp;FDR[[#Headers],[25]],FDR[25],"",0,1)</f>
        <v>2</v>
      </c>
      <c r="AL509" cm="1">
        <f t="array" ref="AL509">_xlfn.XLOOKUP(Matrix[[#This Row],[TEAM]]&amp;Matrix[[#Headers],[26]],FDR[FDR]&amp;FDR[[#Headers],[26]],FDR[26],"",0,1)</f>
        <v>5</v>
      </c>
      <c r="AM509" cm="1">
        <f t="array" ref="AM509">_xlfn.XLOOKUP(Matrix[[#This Row],[TEAM]]&amp;Matrix[[#Headers],[27]],FDR[FDR]&amp;FDR[[#Headers],[27]],FDR[27],"",0,1)</f>
        <v>2</v>
      </c>
      <c r="AN509" cm="1">
        <f t="array" ref="AN509">_xlfn.XLOOKUP(Matrix[[#This Row],[TEAM]]&amp;Matrix[[#Headers],[28]],FDR[FDR]&amp;FDR[[#Headers],[28]],FDR[28],"",0,1)</f>
        <v>4</v>
      </c>
      <c r="AO509" cm="1">
        <f t="array" ref="AO509">_xlfn.XLOOKUP(Matrix[[#This Row],[TEAM]]&amp;Matrix[[#Headers],[29]],FDR[FDR]&amp;FDR[[#Headers],[29]],FDR[29],"",0,1)</f>
        <v>2</v>
      </c>
      <c r="AP509" cm="1">
        <f t="array" ref="AP509">_xlfn.XLOOKUP(Matrix[[#This Row],[TEAM]]&amp;Matrix[[#Headers],[30]],FDR[FDR]&amp;FDR[[#Headers],[30]],FDR[30],"",0,1)</f>
        <v>4</v>
      </c>
      <c r="AQ509" cm="1">
        <f t="array" ref="AQ509">_xlfn.XLOOKUP(Matrix[[#This Row],[TEAM]]&amp;Matrix[[#Headers],[31]],FDR[FDR]&amp;FDR[[#Headers],[31]],FDR[31],"",0,1)</f>
        <v>1</v>
      </c>
      <c r="AR509" cm="1">
        <f t="array" ref="AR509">_xlfn.XLOOKUP(Matrix[[#This Row],[TEAM]]&amp;Matrix[[#Headers],[32]],FDR[FDR]&amp;FDR[[#Headers],[32]],FDR[32],"",0,1)</f>
        <v>5</v>
      </c>
      <c r="AS509" cm="1">
        <f t="array" ref="AS509">_xlfn.XLOOKUP(Matrix[[#This Row],[TEAM]]&amp;Matrix[[#Headers],[33]],FDR[FDR]&amp;FDR[[#Headers],[33]],FDR[33],"",0,1)</f>
        <v>3</v>
      </c>
      <c r="AT509" cm="1">
        <f t="array" ref="AT509">_xlfn.XLOOKUP(Matrix[[#This Row],[TEAM]]&amp;Matrix[[#Headers],[34]],FDR[FDR]&amp;FDR[[#Headers],[34]],FDR[34],"",0,1)</f>
        <v>3</v>
      </c>
      <c r="AU509" cm="1">
        <f t="array" ref="AU509">_xlfn.XLOOKUP(Matrix[[#This Row],[TEAM]]&amp;Matrix[[#Headers],[35]],FDR[FDR]&amp;FDR[[#Headers],[35]],FDR[35],"",0,1)</f>
        <v>5</v>
      </c>
      <c r="AV509" cm="1">
        <f t="array" ref="AV509">_xlfn.XLOOKUP(Matrix[[#This Row],[TEAM]]&amp;Matrix[[#Headers],[36]],FDR[FDR]&amp;FDR[[#Headers],[36]],FDR[36],"",0,1)</f>
        <v>3</v>
      </c>
      <c r="AW509" cm="1">
        <f t="array" ref="AW509">_xlfn.XLOOKUP(Matrix[[#This Row],[TEAM]]&amp;Matrix[[#Headers],[37]],FDR[FDR]&amp;FDR[[#Headers],[37]],FDR[37],"",0,1)</f>
        <v>2</v>
      </c>
      <c r="AX509" cm="1">
        <f t="array" ref="AX509">_xlfn.XLOOKUP(Matrix[[#This Row],[TEAM]]&amp;Matrix[[#Headers],[38]],FDR[FDR]&amp;FDR[[#Headers],[38]],FDR[38],"",0,1)</f>
        <v>4</v>
      </c>
    </row>
    <row r="510" spans="1:50" ht="22" thickTop="1" thickBot="1">
      <c r="A510" s="51" t="s">
        <v>657</v>
      </c>
      <c r="B510" s="70" t="s">
        <v>1798</v>
      </c>
      <c r="C510" s="40" t="s">
        <v>633</v>
      </c>
      <c r="D510" s="62">
        <v>0</v>
      </c>
      <c r="E510" s="60">
        <v>2.5000000000000001E-2</v>
      </c>
      <c r="F510" s="61">
        <v>0</v>
      </c>
      <c r="G510" s="63">
        <v>4</v>
      </c>
      <c r="H510" s="261">
        <f>IF(ISBLANK(I510),0,1)</f>
        <v>0</v>
      </c>
      <c r="I510" s="57"/>
      <c r="J510" s="58"/>
      <c r="K510" s="65" t="s">
        <v>72</v>
      </c>
      <c r="L510" s="65" t="s">
        <v>257</v>
      </c>
      <c r="M510" cm="1">
        <f t="array" ref="M510">_xlfn.XLOOKUP(Matrix[[#This Row],[TEAM]]&amp;Matrix[[#Headers],[1]],FDR[FDR]&amp;FDR[[#Headers],[1]],FDR[1],"",0,1)</f>
        <v>4</v>
      </c>
      <c r="N510" cm="1">
        <f t="array" ref="N510">_xlfn.XLOOKUP(Matrix[[#This Row],[TEAM]]&amp;Matrix[[#Headers],[2]],FDR[FDR]&amp;FDR[[#Headers],[2]],FDR[2],"",0,1)</f>
        <v>5</v>
      </c>
      <c r="O510" cm="1">
        <f t="array" ref="O510">_xlfn.XLOOKUP(Matrix[[#This Row],[TEAM]]&amp;Matrix[[#Headers],[3]],FDR[FDR]&amp;FDR[[#Headers],[3]],FDR[3],"",0,1)</f>
        <v>5</v>
      </c>
      <c r="P510" cm="1">
        <f t="array" ref="P510">_xlfn.XLOOKUP(Matrix[[#This Row],[TEAM]]&amp;Matrix[[#Headers],[4]],FDR[FDR]&amp;FDR[[#Headers],[4]],FDR[4],"",0,1)</f>
        <v>5</v>
      </c>
      <c r="Q510" cm="1">
        <f t="array" ref="Q510">_xlfn.XLOOKUP(Matrix[[#This Row],[TEAM]]&amp;Matrix[[#Headers],[5]],FDR[FDR]&amp;FDR[[#Headers],[5]],FDR[5],"",0,1)</f>
        <v>4</v>
      </c>
      <c r="R510" cm="1">
        <f t="array" ref="R510">_xlfn.XLOOKUP(Matrix[[#This Row],[TEAM]]&amp;Matrix[[#Headers],[6]],FDR[FDR]&amp;FDR[[#Headers],[6]],FDR[6],"",0,1)</f>
        <v>5</v>
      </c>
      <c r="S510" cm="1">
        <f t="array" ref="S510">_xlfn.XLOOKUP(Matrix[[#This Row],[TEAM]]&amp;Matrix[[#Headers],[7]],FDR[FDR]&amp;FDR[[#Headers],[7]],FDR[7],"",0,1)</f>
        <v>5</v>
      </c>
      <c r="T510" cm="1">
        <f t="array" ref="T510">_xlfn.XLOOKUP(Matrix[[#This Row],[TEAM]]&amp;Matrix[[#Headers],[8]],FDR[FDR]&amp;FDR[[#Headers],[8]],FDR[8],"",0,1)</f>
        <v>4</v>
      </c>
      <c r="U510" cm="1">
        <f t="array" ref="U510">_xlfn.XLOOKUP(Matrix[[#This Row],[TEAM]]&amp;Matrix[[#Headers],[9]],FDR[FDR]&amp;FDR[[#Headers],[9]],FDR[9],"",0,1)</f>
        <v>4</v>
      </c>
      <c r="V510" cm="1">
        <f t="array" ref="V510">_xlfn.XLOOKUP(Matrix[[#This Row],[TEAM]]&amp;Matrix[[#Headers],[10]],FDR[FDR]&amp;FDR[[#Headers],[10]],FDR[10],"",0,1)</f>
        <v>5</v>
      </c>
      <c r="W510" cm="1">
        <f t="array" ref="W510">_xlfn.XLOOKUP(Matrix[[#This Row],[TEAM]]&amp;Matrix[[#Headers],[11]],FDR[FDR]&amp;FDR[[#Headers],[11]],FDR[11],"",0,1)</f>
        <v>5</v>
      </c>
      <c r="X510" cm="1">
        <f t="array" ref="X510">_xlfn.XLOOKUP(Matrix[[#This Row],[TEAM]]&amp;Matrix[[#Headers],[12]],FDR[FDR]&amp;FDR[[#Headers],[12]],FDR[12],"",0,1)</f>
        <v>5</v>
      </c>
      <c r="Y510" cm="1">
        <f t="array" ref="Y510">_xlfn.XLOOKUP(Matrix[[#This Row],[TEAM]]&amp;Matrix[[#Headers],[13]],FDR[FDR]&amp;FDR[[#Headers],[13]],FDR[13],"",0,1)</f>
        <v>5</v>
      </c>
      <c r="Z510" cm="1">
        <f t="array" ref="Z510">_xlfn.XLOOKUP(Matrix[[#This Row],[TEAM]]&amp;Matrix[[#Headers],[14]],FDR[FDR]&amp;FDR[[#Headers],[14]],FDR[14],"",0,1)</f>
        <v>5</v>
      </c>
      <c r="AA510" cm="1">
        <f t="array" ref="AA510">_xlfn.XLOOKUP(Matrix[[#This Row],[TEAM]]&amp;Matrix[[#Headers],[15]],FDR[FDR]&amp;FDR[[#Headers],[15]],FDR[15],"",0,1)</f>
        <v>5</v>
      </c>
      <c r="AB510" cm="1">
        <f t="array" ref="AB510">_xlfn.XLOOKUP(Matrix[[#This Row],[TEAM]]&amp;Matrix[[#Headers],[16]],FDR[FDR]&amp;FDR[[#Headers],[16]],FDR[16],"",0,1)</f>
        <v>5</v>
      </c>
      <c r="AC510" cm="1">
        <f t="array" ref="AC510">_xlfn.XLOOKUP(Matrix[[#This Row],[TEAM]]&amp;Matrix[[#Headers],[17]],FDR[FDR]&amp;FDR[[#Headers],[17]],FDR[17],"",0,1)</f>
        <v>4</v>
      </c>
      <c r="AD510" cm="1">
        <f t="array" ref="AD510">_xlfn.XLOOKUP(Matrix[[#This Row],[TEAM]]&amp;Matrix[[#Headers],[18]],FDR[FDR]&amp;FDR[[#Headers],[18]],FDR[18],"",0,1)</f>
        <v>4</v>
      </c>
      <c r="AE510" cm="1">
        <f t="array" ref="AE510">_xlfn.XLOOKUP(Matrix[[#This Row],[TEAM]]&amp;Matrix[[#Headers],[19]],FDR[FDR]&amp;FDR[[#Headers],[19]],FDR[19],"",0,1)</f>
        <v>5</v>
      </c>
      <c r="AF510" cm="1">
        <f t="array" ref="AF510">_xlfn.XLOOKUP(Matrix[[#This Row],[TEAM]]&amp;Matrix[[#Headers],[20]],FDR[FDR]&amp;FDR[[#Headers],[20]],FDR[20],"",0,1)</f>
        <v>5</v>
      </c>
      <c r="AG510" cm="1">
        <f t="array" ref="AG510">_xlfn.XLOOKUP(Matrix[[#This Row],[TEAM]]&amp;Matrix[[#Headers],[21]],FDR[FDR]&amp;FDR[[#Headers],[21]],FDR[21],"",0,1)</f>
        <v>5</v>
      </c>
      <c r="AH510" cm="1">
        <f t="array" ref="AH510">_xlfn.XLOOKUP(Matrix[[#This Row],[TEAM]]&amp;Matrix[[#Headers],[22]],FDR[FDR]&amp;FDR[[#Headers],[22]],FDR[22],"",0,1)</f>
        <v>5</v>
      </c>
      <c r="AI510" cm="1">
        <f t="array" ref="AI510">_xlfn.XLOOKUP(Matrix[[#This Row],[TEAM]]&amp;Matrix[[#Headers],[23]],FDR[FDR]&amp;FDR[[#Headers],[23]],FDR[23],"",0,1)</f>
        <v>5</v>
      </c>
      <c r="AJ510" cm="1">
        <f t="array" ref="AJ510">_xlfn.XLOOKUP(Matrix[[#This Row],[TEAM]]&amp;Matrix[[#Headers],[24]],FDR[FDR]&amp;FDR[[#Headers],[24]],FDR[24],"",0,1)</f>
        <v>5</v>
      </c>
      <c r="AK510" cm="1">
        <f t="array" ref="AK510">_xlfn.XLOOKUP(Matrix[[#This Row],[TEAM]]&amp;Matrix[[#Headers],[25]],FDR[FDR]&amp;FDR[[#Headers],[25]],FDR[25],"",0,1)</f>
        <v>5</v>
      </c>
      <c r="AL510" cm="1">
        <f t="array" ref="AL510">_xlfn.XLOOKUP(Matrix[[#This Row],[TEAM]]&amp;Matrix[[#Headers],[26]],FDR[FDR]&amp;FDR[[#Headers],[26]],FDR[26],"",0,1)</f>
        <v>5</v>
      </c>
      <c r="AM510" cm="1">
        <f t="array" ref="AM510">_xlfn.XLOOKUP(Matrix[[#This Row],[TEAM]]&amp;Matrix[[#Headers],[27]],FDR[FDR]&amp;FDR[[#Headers],[27]],FDR[27],"",0,1)</f>
        <v>5</v>
      </c>
      <c r="AN510" cm="1">
        <f t="array" ref="AN510">_xlfn.XLOOKUP(Matrix[[#This Row],[TEAM]]&amp;Matrix[[#Headers],[28]],FDR[FDR]&amp;FDR[[#Headers],[28]],FDR[28],"",0,1)</f>
        <v>5</v>
      </c>
      <c r="AO510" cm="1">
        <f t="array" ref="AO510">_xlfn.XLOOKUP(Matrix[[#This Row],[TEAM]]&amp;Matrix[[#Headers],[29]],FDR[FDR]&amp;FDR[[#Headers],[29]],FDR[29],"",0,1)</f>
        <v>3</v>
      </c>
      <c r="AP510" cm="1">
        <f t="array" ref="AP510">_xlfn.XLOOKUP(Matrix[[#This Row],[TEAM]]&amp;Matrix[[#Headers],[30]],FDR[FDR]&amp;FDR[[#Headers],[30]],FDR[30],"",0,1)</f>
        <v>5</v>
      </c>
      <c r="AQ510" cm="1">
        <f t="array" ref="AQ510">_xlfn.XLOOKUP(Matrix[[#This Row],[TEAM]]&amp;Matrix[[#Headers],[31]],FDR[FDR]&amp;FDR[[#Headers],[31]],FDR[31],"",0,1)</f>
        <v>4</v>
      </c>
      <c r="AR510" cm="1">
        <f t="array" ref="AR510">_xlfn.XLOOKUP(Matrix[[#This Row],[TEAM]]&amp;Matrix[[#Headers],[32]],FDR[FDR]&amp;FDR[[#Headers],[32]],FDR[32],"",0,1)</f>
        <v>5</v>
      </c>
      <c r="AS510" cm="1">
        <f t="array" ref="AS510">_xlfn.XLOOKUP(Matrix[[#This Row],[TEAM]]&amp;Matrix[[#Headers],[33]],FDR[FDR]&amp;FDR[[#Headers],[33]],FDR[33],"",0,1)</f>
        <v>3</v>
      </c>
      <c r="AT510" cm="1">
        <f t="array" ref="AT510">_xlfn.XLOOKUP(Matrix[[#This Row],[TEAM]]&amp;Matrix[[#Headers],[34]],FDR[FDR]&amp;FDR[[#Headers],[34]],FDR[34],"",0,1)</f>
        <v>5</v>
      </c>
      <c r="AU510" cm="1">
        <f t="array" ref="AU510">_xlfn.XLOOKUP(Matrix[[#This Row],[TEAM]]&amp;Matrix[[#Headers],[35]],FDR[FDR]&amp;FDR[[#Headers],[35]],FDR[35],"",0,1)</f>
        <v>3</v>
      </c>
      <c r="AV510" cm="1">
        <f t="array" ref="AV510">_xlfn.XLOOKUP(Matrix[[#This Row],[TEAM]]&amp;Matrix[[#Headers],[36]],FDR[FDR]&amp;FDR[[#Headers],[36]],FDR[36],"",0,1)</f>
        <v>5</v>
      </c>
      <c r="AW510" cm="1">
        <f t="array" ref="AW510">_xlfn.XLOOKUP(Matrix[[#This Row],[TEAM]]&amp;Matrix[[#Headers],[37]],FDR[FDR]&amp;FDR[[#Headers],[37]],FDR[37],"",0,1)</f>
        <v>5</v>
      </c>
      <c r="AX510" cm="1">
        <f t="array" ref="AX510">_xlfn.XLOOKUP(Matrix[[#This Row],[TEAM]]&amp;Matrix[[#Headers],[38]],FDR[FDR]&amp;FDR[[#Headers],[38]],FDR[38],"",0,1)</f>
        <v>5</v>
      </c>
    </row>
    <row r="511" spans="1:50" ht="22" thickTop="1" thickBot="1">
      <c r="A511" s="51" t="s">
        <v>657</v>
      </c>
      <c r="B511" s="70" t="s">
        <v>1802</v>
      </c>
      <c r="C511" s="40" t="s">
        <v>633</v>
      </c>
      <c r="D511" s="62">
        <v>0</v>
      </c>
      <c r="E511" s="60">
        <v>1.7000000000000001E-2</v>
      </c>
      <c r="F511" s="61">
        <v>0</v>
      </c>
      <c r="G511" s="63">
        <v>4</v>
      </c>
      <c r="H511" s="261">
        <f>IF(ISBLANK(I511),0,1)</f>
        <v>0</v>
      </c>
      <c r="I511" s="57"/>
      <c r="J511" s="58"/>
      <c r="K511" s="65" t="s">
        <v>399</v>
      </c>
      <c r="L511" s="65" t="s">
        <v>184</v>
      </c>
      <c r="M511" cm="1">
        <f t="array" ref="M511">_xlfn.XLOOKUP(Matrix[[#This Row],[TEAM]]&amp;Matrix[[#Headers],[1]],FDR[FDR]&amp;FDR[[#Headers],[1]],FDR[1],"",0,1)</f>
        <v>4</v>
      </c>
      <c r="N511" cm="1">
        <f t="array" ref="N511">_xlfn.XLOOKUP(Matrix[[#This Row],[TEAM]]&amp;Matrix[[#Headers],[2]],FDR[FDR]&amp;FDR[[#Headers],[2]],FDR[2],"",0,1)</f>
        <v>5</v>
      </c>
      <c r="O511" cm="1">
        <f t="array" ref="O511">_xlfn.XLOOKUP(Matrix[[#This Row],[TEAM]]&amp;Matrix[[#Headers],[3]],FDR[FDR]&amp;FDR[[#Headers],[3]],FDR[3],"",0,1)</f>
        <v>5</v>
      </c>
      <c r="P511" cm="1">
        <f t="array" ref="P511">_xlfn.XLOOKUP(Matrix[[#This Row],[TEAM]]&amp;Matrix[[#Headers],[4]],FDR[FDR]&amp;FDR[[#Headers],[4]],FDR[4],"",0,1)</f>
        <v>5</v>
      </c>
      <c r="Q511" cm="1">
        <f t="array" ref="Q511">_xlfn.XLOOKUP(Matrix[[#This Row],[TEAM]]&amp;Matrix[[#Headers],[5]],FDR[FDR]&amp;FDR[[#Headers],[5]],FDR[5],"",0,1)</f>
        <v>4</v>
      </c>
      <c r="R511" cm="1">
        <f t="array" ref="R511">_xlfn.XLOOKUP(Matrix[[#This Row],[TEAM]]&amp;Matrix[[#Headers],[6]],FDR[FDR]&amp;FDR[[#Headers],[6]],FDR[6],"",0,1)</f>
        <v>5</v>
      </c>
      <c r="S511" cm="1">
        <f t="array" ref="S511">_xlfn.XLOOKUP(Matrix[[#This Row],[TEAM]]&amp;Matrix[[#Headers],[7]],FDR[FDR]&amp;FDR[[#Headers],[7]],FDR[7],"",0,1)</f>
        <v>5</v>
      </c>
      <c r="T511" cm="1">
        <f t="array" ref="T511">_xlfn.XLOOKUP(Matrix[[#This Row],[TEAM]]&amp;Matrix[[#Headers],[8]],FDR[FDR]&amp;FDR[[#Headers],[8]],FDR[8],"",0,1)</f>
        <v>4</v>
      </c>
      <c r="U511" cm="1">
        <f t="array" ref="U511">_xlfn.XLOOKUP(Matrix[[#This Row],[TEAM]]&amp;Matrix[[#Headers],[9]],FDR[FDR]&amp;FDR[[#Headers],[9]],FDR[9],"",0,1)</f>
        <v>4</v>
      </c>
      <c r="V511" cm="1">
        <f t="array" ref="V511">_xlfn.XLOOKUP(Matrix[[#This Row],[TEAM]]&amp;Matrix[[#Headers],[10]],FDR[FDR]&amp;FDR[[#Headers],[10]],FDR[10],"",0,1)</f>
        <v>5</v>
      </c>
      <c r="W511" cm="1">
        <f t="array" ref="W511">_xlfn.XLOOKUP(Matrix[[#This Row],[TEAM]]&amp;Matrix[[#Headers],[11]],FDR[FDR]&amp;FDR[[#Headers],[11]],FDR[11],"",0,1)</f>
        <v>5</v>
      </c>
      <c r="X511" cm="1">
        <f t="array" ref="X511">_xlfn.XLOOKUP(Matrix[[#This Row],[TEAM]]&amp;Matrix[[#Headers],[12]],FDR[FDR]&amp;FDR[[#Headers],[12]],FDR[12],"",0,1)</f>
        <v>5</v>
      </c>
      <c r="Y511" cm="1">
        <f t="array" ref="Y511">_xlfn.XLOOKUP(Matrix[[#This Row],[TEAM]]&amp;Matrix[[#Headers],[13]],FDR[FDR]&amp;FDR[[#Headers],[13]],FDR[13],"",0,1)</f>
        <v>5</v>
      </c>
      <c r="Z511" cm="1">
        <f t="array" ref="Z511">_xlfn.XLOOKUP(Matrix[[#This Row],[TEAM]]&amp;Matrix[[#Headers],[14]],FDR[FDR]&amp;FDR[[#Headers],[14]],FDR[14],"",0,1)</f>
        <v>5</v>
      </c>
      <c r="AA511" cm="1">
        <f t="array" ref="AA511">_xlfn.XLOOKUP(Matrix[[#This Row],[TEAM]]&amp;Matrix[[#Headers],[15]],FDR[FDR]&amp;FDR[[#Headers],[15]],FDR[15],"",0,1)</f>
        <v>5</v>
      </c>
      <c r="AB511" cm="1">
        <f t="array" ref="AB511">_xlfn.XLOOKUP(Matrix[[#This Row],[TEAM]]&amp;Matrix[[#Headers],[16]],FDR[FDR]&amp;FDR[[#Headers],[16]],FDR[16],"",0,1)</f>
        <v>5</v>
      </c>
      <c r="AC511" cm="1">
        <f t="array" ref="AC511">_xlfn.XLOOKUP(Matrix[[#This Row],[TEAM]]&amp;Matrix[[#Headers],[17]],FDR[FDR]&amp;FDR[[#Headers],[17]],FDR[17],"",0,1)</f>
        <v>4</v>
      </c>
      <c r="AD511" cm="1">
        <f t="array" ref="AD511">_xlfn.XLOOKUP(Matrix[[#This Row],[TEAM]]&amp;Matrix[[#Headers],[18]],FDR[FDR]&amp;FDR[[#Headers],[18]],FDR[18],"",0,1)</f>
        <v>4</v>
      </c>
      <c r="AE511" cm="1">
        <f t="array" ref="AE511">_xlfn.XLOOKUP(Matrix[[#This Row],[TEAM]]&amp;Matrix[[#Headers],[19]],FDR[FDR]&amp;FDR[[#Headers],[19]],FDR[19],"",0,1)</f>
        <v>5</v>
      </c>
      <c r="AF511" cm="1">
        <f t="array" ref="AF511">_xlfn.XLOOKUP(Matrix[[#This Row],[TEAM]]&amp;Matrix[[#Headers],[20]],FDR[FDR]&amp;FDR[[#Headers],[20]],FDR[20],"",0,1)</f>
        <v>5</v>
      </c>
      <c r="AG511" cm="1">
        <f t="array" ref="AG511">_xlfn.XLOOKUP(Matrix[[#This Row],[TEAM]]&amp;Matrix[[#Headers],[21]],FDR[FDR]&amp;FDR[[#Headers],[21]],FDR[21],"",0,1)</f>
        <v>5</v>
      </c>
      <c r="AH511" cm="1">
        <f t="array" ref="AH511">_xlfn.XLOOKUP(Matrix[[#This Row],[TEAM]]&amp;Matrix[[#Headers],[22]],FDR[FDR]&amp;FDR[[#Headers],[22]],FDR[22],"",0,1)</f>
        <v>5</v>
      </c>
      <c r="AI511" cm="1">
        <f t="array" ref="AI511">_xlfn.XLOOKUP(Matrix[[#This Row],[TEAM]]&amp;Matrix[[#Headers],[23]],FDR[FDR]&amp;FDR[[#Headers],[23]],FDR[23],"",0,1)</f>
        <v>5</v>
      </c>
      <c r="AJ511" cm="1">
        <f t="array" ref="AJ511">_xlfn.XLOOKUP(Matrix[[#This Row],[TEAM]]&amp;Matrix[[#Headers],[24]],FDR[FDR]&amp;FDR[[#Headers],[24]],FDR[24],"",0,1)</f>
        <v>5</v>
      </c>
      <c r="AK511" cm="1">
        <f t="array" ref="AK511">_xlfn.XLOOKUP(Matrix[[#This Row],[TEAM]]&amp;Matrix[[#Headers],[25]],FDR[FDR]&amp;FDR[[#Headers],[25]],FDR[25],"",0,1)</f>
        <v>5</v>
      </c>
      <c r="AL511" cm="1">
        <f t="array" ref="AL511">_xlfn.XLOOKUP(Matrix[[#This Row],[TEAM]]&amp;Matrix[[#Headers],[26]],FDR[FDR]&amp;FDR[[#Headers],[26]],FDR[26],"",0,1)</f>
        <v>5</v>
      </c>
      <c r="AM511" cm="1">
        <f t="array" ref="AM511">_xlfn.XLOOKUP(Matrix[[#This Row],[TEAM]]&amp;Matrix[[#Headers],[27]],FDR[FDR]&amp;FDR[[#Headers],[27]],FDR[27],"",0,1)</f>
        <v>5</v>
      </c>
      <c r="AN511" cm="1">
        <f t="array" ref="AN511">_xlfn.XLOOKUP(Matrix[[#This Row],[TEAM]]&amp;Matrix[[#Headers],[28]],FDR[FDR]&amp;FDR[[#Headers],[28]],FDR[28],"",0,1)</f>
        <v>5</v>
      </c>
      <c r="AO511" cm="1">
        <f t="array" ref="AO511">_xlfn.XLOOKUP(Matrix[[#This Row],[TEAM]]&amp;Matrix[[#Headers],[29]],FDR[FDR]&amp;FDR[[#Headers],[29]],FDR[29],"",0,1)</f>
        <v>3</v>
      </c>
      <c r="AP511" cm="1">
        <f t="array" ref="AP511">_xlfn.XLOOKUP(Matrix[[#This Row],[TEAM]]&amp;Matrix[[#Headers],[30]],FDR[FDR]&amp;FDR[[#Headers],[30]],FDR[30],"",0,1)</f>
        <v>5</v>
      </c>
      <c r="AQ511" cm="1">
        <f t="array" ref="AQ511">_xlfn.XLOOKUP(Matrix[[#This Row],[TEAM]]&amp;Matrix[[#Headers],[31]],FDR[FDR]&amp;FDR[[#Headers],[31]],FDR[31],"",0,1)</f>
        <v>4</v>
      </c>
      <c r="AR511" cm="1">
        <f t="array" ref="AR511">_xlfn.XLOOKUP(Matrix[[#This Row],[TEAM]]&amp;Matrix[[#Headers],[32]],FDR[FDR]&amp;FDR[[#Headers],[32]],FDR[32],"",0,1)</f>
        <v>5</v>
      </c>
      <c r="AS511" cm="1">
        <f t="array" ref="AS511">_xlfn.XLOOKUP(Matrix[[#This Row],[TEAM]]&amp;Matrix[[#Headers],[33]],FDR[FDR]&amp;FDR[[#Headers],[33]],FDR[33],"",0,1)</f>
        <v>3</v>
      </c>
      <c r="AT511" cm="1">
        <f t="array" ref="AT511">_xlfn.XLOOKUP(Matrix[[#This Row],[TEAM]]&amp;Matrix[[#Headers],[34]],FDR[FDR]&amp;FDR[[#Headers],[34]],FDR[34],"",0,1)</f>
        <v>5</v>
      </c>
      <c r="AU511" cm="1">
        <f t="array" ref="AU511">_xlfn.XLOOKUP(Matrix[[#This Row],[TEAM]]&amp;Matrix[[#Headers],[35]],FDR[FDR]&amp;FDR[[#Headers],[35]],FDR[35],"",0,1)</f>
        <v>3</v>
      </c>
      <c r="AV511" cm="1">
        <f t="array" ref="AV511">_xlfn.XLOOKUP(Matrix[[#This Row],[TEAM]]&amp;Matrix[[#Headers],[36]],FDR[FDR]&amp;FDR[[#Headers],[36]],FDR[36],"",0,1)</f>
        <v>5</v>
      </c>
      <c r="AW511" cm="1">
        <f t="array" ref="AW511">_xlfn.XLOOKUP(Matrix[[#This Row],[TEAM]]&amp;Matrix[[#Headers],[37]],FDR[FDR]&amp;FDR[[#Headers],[37]],FDR[37],"",0,1)</f>
        <v>5</v>
      </c>
      <c r="AX511" cm="1">
        <f t="array" ref="AX511">_xlfn.XLOOKUP(Matrix[[#This Row],[TEAM]]&amp;Matrix[[#Headers],[38]],FDR[FDR]&amp;FDR[[#Headers],[38]],FDR[38],"",0,1)</f>
        <v>5</v>
      </c>
    </row>
    <row r="512" spans="1:50" ht="22" thickTop="1" thickBot="1">
      <c r="A512" s="51" t="s">
        <v>657</v>
      </c>
      <c r="B512" s="70" t="s">
        <v>1841</v>
      </c>
      <c r="C512" s="40" t="s">
        <v>633</v>
      </c>
      <c r="D512" s="62">
        <v>0</v>
      </c>
      <c r="E512" s="60">
        <v>3.0000000000000001E-3</v>
      </c>
      <c r="F512" s="61">
        <v>0</v>
      </c>
      <c r="G512" s="63">
        <v>4</v>
      </c>
      <c r="H512" s="261">
        <f>IF(ISBLANK(I512),0,1)</f>
        <v>0</v>
      </c>
      <c r="I512" s="57"/>
      <c r="J512" s="58"/>
      <c r="K512" s="65" t="s">
        <v>525</v>
      </c>
      <c r="L512" s="65" t="s">
        <v>1075</v>
      </c>
      <c r="M512" cm="1">
        <f t="array" ref="M512">_xlfn.XLOOKUP(Matrix[[#This Row],[TEAM]]&amp;Matrix[[#Headers],[1]],FDR[FDR]&amp;FDR[[#Headers],[1]],FDR[1],"",0,1)</f>
        <v>4</v>
      </c>
      <c r="N512" cm="1">
        <f t="array" ref="N512">_xlfn.XLOOKUP(Matrix[[#This Row],[TEAM]]&amp;Matrix[[#Headers],[2]],FDR[FDR]&amp;FDR[[#Headers],[2]],FDR[2],"",0,1)</f>
        <v>5</v>
      </c>
      <c r="O512" cm="1">
        <f t="array" ref="O512">_xlfn.XLOOKUP(Matrix[[#This Row],[TEAM]]&amp;Matrix[[#Headers],[3]],FDR[FDR]&amp;FDR[[#Headers],[3]],FDR[3],"",0,1)</f>
        <v>5</v>
      </c>
      <c r="P512" cm="1">
        <f t="array" ref="P512">_xlfn.XLOOKUP(Matrix[[#This Row],[TEAM]]&amp;Matrix[[#Headers],[4]],FDR[FDR]&amp;FDR[[#Headers],[4]],FDR[4],"",0,1)</f>
        <v>5</v>
      </c>
      <c r="Q512" cm="1">
        <f t="array" ref="Q512">_xlfn.XLOOKUP(Matrix[[#This Row],[TEAM]]&amp;Matrix[[#Headers],[5]],FDR[FDR]&amp;FDR[[#Headers],[5]],FDR[5],"",0,1)</f>
        <v>4</v>
      </c>
      <c r="R512" cm="1">
        <f t="array" ref="R512">_xlfn.XLOOKUP(Matrix[[#This Row],[TEAM]]&amp;Matrix[[#Headers],[6]],FDR[FDR]&amp;FDR[[#Headers],[6]],FDR[6],"",0,1)</f>
        <v>5</v>
      </c>
      <c r="S512" cm="1">
        <f t="array" ref="S512">_xlfn.XLOOKUP(Matrix[[#This Row],[TEAM]]&amp;Matrix[[#Headers],[7]],FDR[FDR]&amp;FDR[[#Headers],[7]],FDR[7],"",0,1)</f>
        <v>5</v>
      </c>
      <c r="T512" cm="1">
        <f t="array" ref="T512">_xlfn.XLOOKUP(Matrix[[#This Row],[TEAM]]&amp;Matrix[[#Headers],[8]],FDR[FDR]&amp;FDR[[#Headers],[8]],FDR[8],"",0,1)</f>
        <v>4</v>
      </c>
      <c r="U512" cm="1">
        <f t="array" ref="U512">_xlfn.XLOOKUP(Matrix[[#This Row],[TEAM]]&amp;Matrix[[#Headers],[9]],FDR[FDR]&amp;FDR[[#Headers],[9]],FDR[9],"",0,1)</f>
        <v>4</v>
      </c>
      <c r="V512" cm="1">
        <f t="array" ref="V512">_xlfn.XLOOKUP(Matrix[[#This Row],[TEAM]]&amp;Matrix[[#Headers],[10]],FDR[FDR]&amp;FDR[[#Headers],[10]],FDR[10],"",0,1)</f>
        <v>5</v>
      </c>
      <c r="W512" cm="1">
        <f t="array" ref="W512">_xlfn.XLOOKUP(Matrix[[#This Row],[TEAM]]&amp;Matrix[[#Headers],[11]],FDR[FDR]&amp;FDR[[#Headers],[11]],FDR[11],"",0,1)</f>
        <v>5</v>
      </c>
      <c r="X512" cm="1">
        <f t="array" ref="X512">_xlfn.XLOOKUP(Matrix[[#This Row],[TEAM]]&amp;Matrix[[#Headers],[12]],FDR[FDR]&amp;FDR[[#Headers],[12]],FDR[12],"",0,1)</f>
        <v>5</v>
      </c>
      <c r="Y512" cm="1">
        <f t="array" ref="Y512">_xlfn.XLOOKUP(Matrix[[#This Row],[TEAM]]&amp;Matrix[[#Headers],[13]],FDR[FDR]&amp;FDR[[#Headers],[13]],FDR[13],"",0,1)</f>
        <v>5</v>
      </c>
      <c r="Z512" cm="1">
        <f t="array" ref="Z512">_xlfn.XLOOKUP(Matrix[[#This Row],[TEAM]]&amp;Matrix[[#Headers],[14]],FDR[FDR]&amp;FDR[[#Headers],[14]],FDR[14],"",0,1)</f>
        <v>5</v>
      </c>
      <c r="AA512" cm="1">
        <f t="array" ref="AA512">_xlfn.XLOOKUP(Matrix[[#This Row],[TEAM]]&amp;Matrix[[#Headers],[15]],FDR[FDR]&amp;FDR[[#Headers],[15]],FDR[15],"",0,1)</f>
        <v>5</v>
      </c>
      <c r="AB512" cm="1">
        <f t="array" ref="AB512">_xlfn.XLOOKUP(Matrix[[#This Row],[TEAM]]&amp;Matrix[[#Headers],[16]],FDR[FDR]&amp;FDR[[#Headers],[16]],FDR[16],"",0,1)</f>
        <v>5</v>
      </c>
      <c r="AC512" cm="1">
        <f t="array" ref="AC512">_xlfn.XLOOKUP(Matrix[[#This Row],[TEAM]]&amp;Matrix[[#Headers],[17]],FDR[FDR]&amp;FDR[[#Headers],[17]],FDR[17],"",0,1)</f>
        <v>4</v>
      </c>
      <c r="AD512" cm="1">
        <f t="array" ref="AD512">_xlfn.XLOOKUP(Matrix[[#This Row],[TEAM]]&amp;Matrix[[#Headers],[18]],FDR[FDR]&amp;FDR[[#Headers],[18]],FDR[18],"",0,1)</f>
        <v>4</v>
      </c>
      <c r="AE512" cm="1">
        <f t="array" ref="AE512">_xlfn.XLOOKUP(Matrix[[#This Row],[TEAM]]&amp;Matrix[[#Headers],[19]],FDR[FDR]&amp;FDR[[#Headers],[19]],FDR[19],"",0,1)</f>
        <v>5</v>
      </c>
      <c r="AF512" cm="1">
        <f t="array" ref="AF512">_xlfn.XLOOKUP(Matrix[[#This Row],[TEAM]]&amp;Matrix[[#Headers],[20]],FDR[FDR]&amp;FDR[[#Headers],[20]],FDR[20],"",0,1)</f>
        <v>5</v>
      </c>
      <c r="AG512" cm="1">
        <f t="array" ref="AG512">_xlfn.XLOOKUP(Matrix[[#This Row],[TEAM]]&amp;Matrix[[#Headers],[21]],FDR[FDR]&amp;FDR[[#Headers],[21]],FDR[21],"",0,1)</f>
        <v>5</v>
      </c>
      <c r="AH512" cm="1">
        <f t="array" ref="AH512">_xlfn.XLOOKUP(Matrix[[#This Row],[TEAM]]&amp;Matrix[[#Headers],[22]],FDR[FDR]&amp;FDR[[#Headers],[22]],FDR[22],"",0,1)</f>
        <v>5</v>
      </c>
      <c r="AI512" cm="1">
        <f t="array" ref="AI512">_xlfn.XLOOKUP(Matrix[[#This Row],[TEAM]]&amp;Matrix[[#Headers],[23]],FDR[FDR]&amp;FDR[[#Headers],[23]],FDR[23],"",0,1)</f>
        <v>5</v>
      </c>
      <c r="AJ512" cm="1">
        <f t="array" ref="AJ512">_xlfn.XLOOKUP(Matrix[[#This Row],[TEAM]]&amp;Matrix[[#Headers],[24]],FDR[FDR]&amp;FDR[[#Headers],[24]],FDR[24],"",0,1)</f>
        <v>5</v>
      </c>
      <c r="AK512" cm="1">
        <f t="array" ref="AK512">_xlfn.XLOOKUP(Matrix[[#This Row],[TEAM]]&amp;Matrix[[#Headers],[25]],FDR[FDR]&amp;FDR[[#Headers],[25]],FDR[25],"",0,1)</f>
        <v>5</v>
      </c>
      <c r="AL512" cm="1">
        <f t="array" ref="AL512">_xlfn.XLOOKUP(Matrix[[#This Row],[TEAM]]&amp;Matrix[[#Headers],[26]],FDR[FDR]&amp;FDR[[#Headers],[26]],FDR[26],"",0,1)</f>
        <v>5</v>
      </c>
      <c r="AM512" cm="1">
        <f t="array" ref="AM512">_xlfn.XLOOKUP(Matrix[[#This Row],[TEAM]]&amp;Matrix[[#Headers],[27]],FDR[FDR]&amp;FDR[[#Headers],[27]],FDR[27],"",0,1)</f>
        <v>5</v>
      </c>
      <c r="AN512" cm="1">
        <f t="array" ref="AN512">_xlfn.XLOOKUP(Matrix[[#This Row],[TEAM]]&amp;Matrix[[#Headers],[28]],FDR[FDR]&amp;FDR[[#Headers],[28]],FDR[28],"",0,1)</f>
        <v>5</v>
      </c>
      <c r="AO512" cm="1">
        <f t="array" ref="AO512">_xlfn.XLOOKUP(Matrix[[#This Row],[TEAM]]&amp;Matrix[[#Headers],[29]],FDR[FDR]&amp;FDR[[#Headers],[29]],FDR[29],"",0,1)</f>
        <v>3</v>
      </c>
      <c r="AP512" cm="1">
        <f t="array" ref="AP512">_xlfn.XLOOKUP(Matrix[[#This Row],[TEAM]]&amp;Matrix[[#Headers],[30]],FDR[FDR]&amp;FDR[[#Headers],[30]],FDR[30],"",0,1)</f>
        <v>5</v>
      </c>
      <c r="AQ512" cm="1">
        <f t="array" ref="AQ512">_xlfn.XLOOKUP(Matrix[[#This Row],[TEAM]]&amp;Matrix[[#Headers],[31]],FDR[FDR]&amp;FDR[[#Headers],[31]],FDR[31],"",0,1)</f>
        <v>4</v>
      </c>
      <c r="AR512" cm="1">
        <f t="array" ref="AR512">_xlfn.XLOOKUP(Matrix[[#This Row],[TEAM]]&amp;Matrix[[#Headers],[32]],FDR[FDR]&amp;FDR[[#Headers],[32]],FDR[32],"",0,1)</f>
        <v>5</v>
      </c>
      <c r="AS512" cm="1">
        <f t="array" ref="AS512">_xlfn.XLOOKUP(Matrix[[#This Row],[TEAM]]&amp;Matrix[[#Headers],[33]],FDR[FDR]&amp;FDR[[#Headers],[33]],FDR[33],"",0,1)</f>
        <v>3</v>
      </c>
      <c r="AT512" cm="1">
        <f t="array" ref="AT512">_xlfn.XLOOKUP(Matrix[[#This Row],[TEAM]]&amp;Matrix[[#Headers],[34]],FDR[FDR]&amp;FDR[[#Headers],[34]],FDR[34],"",0,1)</f>
        <v>5</v>
      </c>
      <c r="AU512" cm="1">
        <f t="array" ref="AU512">_xlfn.XLOOKUP(Matrix[[#This Row],[TEAM]]&amp;Matrix[[#Headers],[35]],FDR[FDR]&amp;FDR[[#Headers],[35]],FDR[35],"",0,1)</f>
        <v>3</v>
      </c>
      <c r="AV512" cm="1">
        <f t="array" ref="AV512">_xlfn.XLOOKUP(Matrix[[#This Row],[TEAM]]&amp;Matrix[[#Headers],[36]],FDR[FDR]&amp;FDR[[#Headers],[36]],FDR[36],"",0,1)</f>
        <v>5</v>
      </c>
      <c r="AW512" cm="1">
        <f t="array" ref="AW512">_xlfn.XLOOKUP(Matrix[[#This Row],[TEAM]]&amp;Matrix[[#Headers],[37]],FDR[FDR]&amp;FDR[[#Headers],[37]],FDR[37],"",0,1)</f>
        <v>5</v>
      </c>
      <c r="AX512" cm="1">
        <f t="array" ref="AX512">_xlfn.XLOOKUP(Matrix[[#This Row],[TEAM]]&amp;Matrix[[#Headers],[38]],FDR[FDR]&amp;FDR[[#Headers],[38]],FDR[38],"",0,1)</f>
        <v>5</v>
      </c>
    </row>
    <row r="513" spans="1:50" ht="22" thickTop="1" thickBot="1">
      <c r="A513" s="51" t="s">
        <v>657</v>
      </c>
      <c r="B513" s="70" t="s">
        <v>1866</v>
      </c>
      <c r="C513" s="40" t="s">
        <v>633</v>
      </c>
      <c r="D513" s="62">
        <v>0</v>
      </c>
      <c r="E513" s="60">
        <v>2E-3</v>
      </c>
      <c r="F513" s="61">
        <v>0</v>
      </c>
      <c r="G513" s="63">
        <v>4</v>
      </c>
      <c r="H513" s="261">
        <f>IF(ISBLANK(I513),0,1)</f>
        <v>0</v>
      </c>
      <c r="I513" s="57"/>
      <c r="J513" s="58"/>
      <c r="K513" s="65" t="s">
        <v>1076</v>
      </c>
      <c r="L513" s="65" t="s">
        <v>1077</v>
      </c>
      <c r="M513" cm="1">
        <f t="array" ref="M513">_xlfn.XLOOKUP(Matrix[[#This Row],[TEAM]]&amp;Matrix[[#Headers],[1]],FDR[FDR]&amp;FDR[[#Headers],[1]],FDR[1],"",0,1)</f>
        <v>4</v>
      </c>
      <c r="N513" cm="1">
        <f t="array" ref="N513">_xlfn.XLOOKUP(Matrix[[#This Row],[TEAM]]&amp;Matrix[[#Headers],[2]],FDR[FDR]&amp;FDR[[#Headers],[2]],FDR[2],"",0,1)</f>
        <v>5</v>
      </c>
      <c r="O513" cm="1">
        <f t="array" ref="O513">_xlfn.XLOOKUP(Matrix[[#This Row],[TEAM]]&amp;Matrix[[#Headers],[3]],FDR[FDR]&amp;FDR[[#Headers],[3]],FDR[3],"",0,1)</f>
        <v>5</v>
      </c>
      <c r="P513" cm="1">
        <f t="array" ref="P513">_xlfn.XLOOKUP(Matrix[[#This Row],[TEAM]]&amp;Matrix[[#Headers],[4]],FDR[FDR]&amp;FDR[[#Headers],[4]],FDR[4],"",0,1)</f>
        <v>5</v>
      </c>
      <c r="Q513" cm="1">
        <f t="array" ref="Q513">_xlfn.XLOOKUP(Matrix[[#This Row],[TEAM]]&amp;Matrix[[#Headers],[5]],FDR[FDR]&amp;FDR[[#Headers],[5]],FDR[5],"",0,1)</f>
        <v>4</v>
      </c>
      <c r="R513" cm="1">
        <f t="array" ref="R513">_xlfn.XLOOKUP(Matrix[[#This Row],[TEAM]]&amp;Matrix[[#Headers],[6]],FDR[FDR]&amp;FDR[[#Headers],[6]],FDR[6],"",0,1)</f>
        <v>5</v>
      </c>
      <c r="S513" cm="1">
        <f t="array" ref="S513">_xlfn.XLOOKUP(Matrix[[#This Row],[TEAM]]&amp;Matrix[[#Headers],[7]],FDR[FDR]&amp;FDR[[#Headers],[7]],FDR[7],"",0,1)</f>
        <v>5</v>
      </c>
      <c r="T513" cm="1">
        <f t="array" ref="T513">_xlfn.XLOOKUP(Matrix[[#This Row],[TEAM]]&amp;Matrix[[#Headers],[8]],FDR[FDR]&amp;FDR[[#Headers],[8]],FDR[8],"",0,1)</f>
        <v>4</v>
      </c>
      <c r="U513" cm="1">
        <f t="array" ref="U513">_xlfn.XLOOKUP(Matrix[[#This Row],[TEAM]]&amp;Matrix[[#Headers],[9]],FDR[FDR]&amp;FDR[[#Headers],[9]],FDR[9],"",0,1)</f>
        <v>4</v>
      </c>
      <c r="V513" cm="1">
        <f t="array" ref="V513">_xlfn.XLOOKUP(Matrix[[#This Row],[TEAM]]&amp;Matrix[[#Headers],[10]],FDR[FDR]&amp;FDR[[#Headers],[10]],FDR[10],"",0,1)</f>
        <v>5</v>
      </c>
      <c r="W513" cm="1">
        <f t="array" ref="W513">_xlfn.XLOOKUP(Matrix[[#This Row],[TEAM]]&amp;Matrix[[#Headers],[11]],FDR[FDR]&amp;FDR[[#Headers],[11]],FDR[11],"",0,1)</f>
        <v>5</v>
      </c>
      <c r="X513" cm="1">
        <f t="array" ref="X513">_xlfn.XLOOKUP(Matrix[[#This Row],[TEAM]]&amp;Matrix[[#Headers],[12]],FDR[FDR]&amp;FDR[[#Headers],[12]],FDR[12],"",0,1)</f>
        <v>5</v>
      </c>
      <c r="Y513" cm="1">
        <f t="array" ref="Y513">_xlfn.XLOOKUP(Matrix[[#This Row],[TEAM]]&amp;Matrix[[#Headers],[13]],FDR[FDR]&amp;FDR[[#Headers],[13]],FDR[13],"",0,1)</f>
        <v>5</v>
      </c>
      <c r="Z513" cm="1">
        <f t="array" ref="Z513">_xlfn.XLOOKUP(Matrix[[#This Row],[TEAM]]&amp;Matrix[[#Headers],[14]],FDR[FDR]&amp;FDR[[#Headers],[14]],FDR[14],"",0,1)</f>
        <v>5</v>
      </c>
      <c r="AA513" cm="1">
        <f t="array" ref="AA513">_xlfn.XLOOKUP(Matrix[[#This Row],[TEAM]]&amp;Matrix[[#Headers],[15]],FDR[FDR]&amp;FDR[[#Headers],[15]],FDR[15],"",0,1)</f>
        <v>5</v>
      </c>
      <c r="AB513" cm="1">
        <f t="array" ref="AB513">_xlfn.XLOOKUP(Matrix[[#This Row],[TEAM]]&amp;Matrix[[#Headers],[16]],FDR[FDR]&amp;FDR[[#Headers],[16]],FDR[16],"",0,1)</f>
        <v>5</v>
      </c>
      <c r="AC513" cm="1">
        <f t="array" ref="AC513">_xlfn.XLOOKUP(Matrix[[#This Row],[TEAM]]&amp;Matrix[[#Headers],[17]],FDR[FDR]&amp;FDR[[#Headers],[17]],FDR[17],"",0,1)</f>
        <v>4</v>
      </c>
      <c r="AD513" cm="1">
        <f t="array" ref="AD513">_xlfn.XLOOKUP(Matrix[[#This Row],[TEAM]]&amp;Matrix[[#Headers],[18]],FDR[FDR]&amp;FDR[[#Headers],[18]],FDR[18],"",0,1)</f>
        <v>4</v>
      </c>
      <c r="AE513" cm="1">
        <f t="array" ref="AE513">_xlfn.XLOOKUP(Matrix[[#This Row],[TEAM]]&amp;Matrix[[#Headers],[19]],FDR[FDR]&amp;FDR[[#Headers],[19]],FDR[19],"",0,1)</f>
        <v>5</v>
      </c>
      <c r="AF513" cm="1">
        <f t="array" ref="AF513">_xlfn.XLOOKUP(Matrix[[#This Row],[TEAM]]&amp;Matrix[[#Headers],[20]],FDR[FDR]&amp;FDR[[#Headers],[20]],FDR[20],"",0,1)</f>
        <v>5</v>
      </c>
      <c r="AG513" cm="1">
        <f t="array" ref="AG513">_xlfn.XLOOKUP(Matrix[[#This Row],[TEAM]]&amp;Matrix[[#Headers],[21]],FDR[FDR]&amp;FDR[[#Headers],[21]],FDR[21],"",0,1)</f>
        <v>5</v>
      </c>
      <c r="AH513" cm="1">
        <f t="array" ref="AH513">_xlfn.XLOOKUP(Matrix[[#This Row],[TEAM]]&amp;Matrix[[#Headers],[22]],FDR[FDR]&amp;FDR[[#Headers],[22]],FDR[22],"",0,1)</f>
        <v>5</v>
      </c>
      <c r="AI513" cm="1">
        <f t="array" ref="AI513">_xlfn.XLOOKUP(Matrix[[#This Row],[TEAM]]&amp;Matrix[[#Headers],[23]],FDR[FDR]&amp;FDR[[#Headers],[23]],FDR[23],"",0,1)</f>
        <v>5</v>
      </c>
      <c r="AJ513" cm="1">
        <f t="array" ref="AJ513">_xlfn.XLOOKUP(Matrix[[#This Row],[TEAM]]&amp;Matrix[[#Headers],[24]],FDR[FDR]&amp;FDR[[#Headers],[24]],FDR[24],"",0,1)</f>
        <v>5</v>
      </c>
      <c r="AK513" cm="1">
        <f t="array" ref="AK513">_xlfn.XLOOKUP(Matrix[[#This Row],[TEAM]]&amp;Matrix[[#Headers],[25]],FDR[FDR]&amp;FDR[[#Headers],[25]],FDR[25],"",0,1)</f>
        <v>5</v>
      </c>
      <c r="AL513" cm="1">
        <f t="array" ref="AL513">_xlfn.XLOOKUP(Matrix[[#This Row],[TEAM]]&amp;Matrix[[#Headers],[26]],FDR[FDR]&amp;FDR[[#Headers],[26]],FDR[26],"",0,1)</f>
        <v>5</v>
      </c>
      <c r="AM513" cm="1">
        <f t="array" ref="AM513">_xlfn.XLOOKUP(Matrix[[#This Row],[TEAM]]&amp;Matrix[[#Headers],[27]],FDR[FDR]&amp;FDR[[#Headers],[27]],FDR[27],"",0,1)</f>
        <v>5</v>
      </c>
      <c r="AN513" cm="1">
        <f t="array" ref="AN513">_xlfn.XLOOKUP(Matrix[[#This Row],[TEAM]]&amp;Matrix[[#Headers],[28]],FDR[FDR]&amp;FDR[[#Headers],[28]],FDR[28],"",0,1)</f>
        <v>5</v>
      </c>
      <c r="AO513" cm="1">
        <f t="array" ref="AO513">_xlfn.XLOOKUP(Matrix[[#This Row],[TEAM]]&amp;Matrix[[#Headers],[29]],FDR[FDR]&amp;FDR[[#Headers],[29]],FDR[29],"",0,1)</f>
        <v>3</v>
      </c>
      <c r="AP513" cm="1">
        <f t="array" ref="AP513">_xlfn.XLOOKUP(Matrix[[#This Row],[TEAM]]&amp;Matrix[[#Headers],[30]],FDR[FDR]&amp;FDR[[#Headers],[30]],FDR[30],"",0,1)</f>
        <v>5</v>
      </c>
      <c r="AQ513" cm="1">
        <f t="array" ref="AQ513">_xlfn.XLOOKUP(Matrix[[#This Row],[TEAM]]&amp;Matrix[[#Headers],[31]],FDR[FDR]&amp;FDR[[#Headers],[31]],FDR[31],"",0,1)</f>
        <v>4</v>
      </c>
      <c r="AR513" cm="1">
        <f t="array" ref="AR513">_xlfn.XLOOKUP(Matrix[[#This Row],[TEAM]]&amp;Matrix[[#Headers],[32]],FDR[FDR]&amp;FDR[[#Headers],[32]],FDR[32],"",0,1)</f>
        <v>5</v>
      </c>
      <c r="AS513" cm="1">
        <f t="array" ref="AS513">_xlfn.XLOOKUP(Matrix[[#This Row],[TEAM]]&amp;Matrix[[#Headers],[33]],FDR[FDR]&amp;FDR[[#Headers],[33]],FDR[33],"",0,1)</f>
        <v>3</v>
      </c>
      <c r="AT513" cm="1">
        <f t="array" ref="AT513">_xlfn.XLOOKUP(Matrix[[#This Row],[TEAM]]&amp;Matrix[[#Headers],[34]],FDR[FDR]&amp;FDR[[#Headers],[34]],FDR[34],"",0,1)</f>
        <v>5</v>
      </c>
      <c r="AU513" cm="1">
        <f t="array" ref="AU513">_xlfn.XLOOKUP(Matrix[[#This Row],[TEAM]]&amp;Matrix[[#Headers],[35]],FDR[FDR]&amp;FDR[[#Headers],[35]],FDR[35],"",0,1)</f>
        <v>3</v>
      </c>
      <c r="AV513" cm="1">
        <f t="array" ref="AV513">_xlfn.XLOOKUP(Matrix[[#This Row],[TEAM]]&amp;Matrix[[#Headers],[36]],FDR[FDR]&amp;FDR[[#Headers],[36]],FDR[36],"",0,1)</f>
        <v>5</v>
      </c>
      <c r="AW513" cm="1">
        <f t="array" ref="AW513">_xlfn.XLOOKUP(Matrix[[#This Row],[TEAM]]&amp;Matrix[[#Headers],[37]],FDR[FDR]&amp;FDR[[#Headers],[37]],FDR[37],"",0,1)</f>
        <v>5</v>
      </c>
      <c r="AX513" cm="1">
        <f t="array" ref="AX513">_xlfn.XLOOKUP(Matrix[[#This Row],[TEAM]]&amp;Matrix[[#Headers],[38]],FDR[FDR]&amp;FDR[[#Headers],[38]],FDR[38],"",0,1)</f>
        <v>5</v>
      </c>
    </row>
    <row r="514" spans="1:50" ht="22" thickTop="1" thickBot="1">
      <c r="A514" s="51" t="s">
        <v>657</v>
      </c>
      <c r="B514" s="70" t="s">
        <v>1868</v>
      </c>
      <c r="C514" s="40" t="s">
        <v>17</v>
      </c>
      <c r="D514" s="62">
        <v>0</v>
      </c>
      <c r="E514" s="60">
        <v>2E-3</v>
      </c>
      <c r="F514" s="61">
        <v>0</v>
      </c>
      <c r="G514" s="63">
        <v>4</v>
      </c>
      <c r="H514" s="261">
        <f>IF(ISBLANK(I514),0,1)</f>
        <v>0</v>
      </c>
      <c r="I514" s="57"/>
      <c r="J514" s="58"/>
      <c r="K514" s="65" t="s">
        <v>1057</v>
      </c>
      <c r="L514" s="65" t="s">
        <v>1094</v>
      </c>
      <c r="M514" cm="1">
        <f t="array" ref="M514">_xlfn.XLOOKUP(Matrix[[#This Row],[TEAM]]&amp;Matrix[[#Headers],[1]],FDR[FDR]&amp;FDR[[#Headers],[1]],FDR[1],"",0,1)</f>
        <v>1</v>
      </c>
      <c r="N514" cm="1">
        <f t="array" ref="N514">_xlfn.XLOOKUP(Matrix[[#This Row],[TEAM]]&amp;Matrix[[#Headers],[2]],FDR[FDR]&amp;FDR[[#Headers],[2]],FDR[2],"",0,1)</f>
        <v>3</v>
      </c>
      <c r="O514" cm="1">
        <f t="array" ref="O514">_xlfn.XLOOKUP(Matrix[[#This Row],[TEAM]]&amp;Matrix[[#Headers],[3]],FDR[FDR]&amp;FDR[[#Headers],[3]],FDR[3],"",0,1)</f>
        <v>3</v>
      </c>
      <c r="P514" cm="1">
        <f t="array" ref="P514">_xlfn.XLOOKUP(Matrix[[#This Row],[TEAM]]&amp;Matrix[[#Headers],[4]],FDR[FDR]&amp;FDR[[#Headers],[4]],FDR[4],"",0,1)</f>
        <v>1</v>
      </c>
      <c r="Q514" cm="1">
        <f t="array" ref="Q514">_xlfn.XLOOKUP(Matrix[[#This Row],[TEAM]]&amp;Matrix[[#Headers],[5]],FDR[FDR]&amp;FDR[[#Headers],[5]],FDR[5],"",0,1)</f>
        <v>1</v>
      </c>
      <c r="R514" cm="1">
        <f t="array" ref="R514">_xlfn.XLOOKUP(Matrix[[#This Row],[TEAM]]&amp;Matrix[[#Headers],[6]],FDR[FDR]&amp;FDR[[#Headers],[6]],FDR[6],"",0,1)</f>
        <v>2</v>
      </c>
      <c r="S514" cm="1">
        <f t="array" ref="S514">_xlfn.XLOOKUP(Matrix[[#This Row],[TEAM]]&amp;Matrix[[#Headers],[7]],FDR[FDR]&amp;FDR[[#Headers],[7]],FDR[7],"",0,1)</f>
        <v>3</v>
      </c>
      <c r="T514" cm="1">
        <f t="array" ref="T514">_xlfn.XLOOKUP(Matrix[[#This Row],[TEAM]]&amp;Matrix[[#Headers],[8]],FDR[FDR]&amp;FDR[[#Headers],[8]],FDR[8],"",0,1)</f>
        <v>2</v>
      </c>
      <c r="U514" cm="1">
        <f t="array" ref="U514">_xlfn.XLOOKUP(Matrix[[#This Row],[TEAM]]&amp;Matrix[[#Headers],[9]],FDR[FDR]&amp;FDR[[#Headers],[9]],FDR[9],"",0,1)</f>
        <v>2</v>
      </c>
      <c r="V514" cm="1">
        <f t="array" ref="V514">_xlfn.XLOOKUP(Matrix[[#This Row],[TEAM]]&amp;Matrix[[#Headers],[10]],FDR[FDR]&amp;FDR[[#Headers],[10]],FDR[10],"",0,1)</f>
        <v>2</v>
      </c>
      <c r="W514" cm="1">
        <f t="array" ref="W514">_xlfn.XLOOKUP(Matrix[[#This Row],[TEAM]]&amp;Matrix[[#Headers],[11]],FDR[FDR]&amp;FDR[[#Headers],[11]],FDR[11],"",0,1)</f>
        <v>3</v>
      </c>
      <c r="X514" cm="1">
        <f t="array" ref="X514">_xlfn.XLOOKUP(Matrix[[#This Row],[TEAM]]&amp;Matrix[[#Headers],[12]],FDR[FDR]&amp;FDR[[#Headers],[12]],FDR[12],"",0,1)</f>
        <v>1</v>
      </c>
      <c r="Y514" cm="1">
        <f t="array" ref="Y514">_xlfn.XLOOKUP(Matrix[[#This Row],[TEAM]]&amp;Matrix[[#Headers],[13]],FDR[FDR]&amp;FDR[[#Headers],[13]],FDR[13],"",0,1)</f>
        <v>2</v>
      </c>
      <c r="Z514" cm="1">
        <f t="array" ref="Z514">_xlfn.XLOOKUP(Matrix[[#This Row],[TEAM]]&amp;Matrix[[#Headers],[14]],FDR[FDR]&amp;FDR[[#Headers],[14]],FDR[14],"",0,1)</f>
        <v>1</v>
      </c>
      <c r="AA514" cm="1">
        <f t="array" ref="AA514">_xlfn.XLOOKUP(Matrix[[#This Row],[TEAM]]&amp;Matrix[[#Headers],[15]],FDR[FDR]&amp;FDR[[#Headers],[15]],FDR[15],"",0,1)</f>
        <v>1</v>
      </c>
      <c r="AB514" cm="1">
        <f t="array" ref="AB514">_xlfn.XLOOKUP(Matrix[[#This Row],[TEAM]]&amp;Matrix[[#Headers],[16]],FDR[FDR]&amp;FDR[[#Headers],[16]],FDR[16],"",0,1)</f>
        <v>1</v>
      </c>
      <c r="AC514" cm="1">
        <f t="array" ref="AC514">_xlfn.XLOOKUP(Matrix[[#This Row],[TEAM]]&amp;Matrix[[#Headers],[17]],FDR[FDR]&amp;FDR[[#Headers],[17]],FDR[17],"",0,1)</f>
        <v>3</v>
      </c>
      <c r="AD514" cm="1">
        <f t="array" ref="AD514">_xlfn.XLOOKUP(Matrix[[#This Row],[TEAM]]&amp;Matrix[[#Headers],[18]],FDR[FDR]&amp;FDR[[#Headers],[18]],FDR[18],"",0,1)</f>
        <v>1</v>
      </c>
      <c r="AE514" cm="1">
        <f t="array" ref="AE514">_xlfn.XLOOKUP(Matrix[[#This Row],[TEAM]]&amp;Matrix[[#Headers],[19]],FDR[FDR]&amp;FDR[[#Headers],[19]],FDR[19],"",0,1)</f>
        <v>1</v>
      </c>
      <c r="AF514" cm="1">
        <f t="array" ref="AF514">_xlfn.XLOOKUP(Matrix[[#This Row],[TEAM]]&amp;Matrix[[#Headers],[20]],FDR[FDR]&amp;FDR[[#Headers],[20]],FDR[20],"",0,1)</f>
        <v>2</v>
      </c>
      <c r="AG514" cm="1">
        <f t="array" ref="AG514">_xlfn.XLOOKUP(Matrix[[#This Row],[TEAM]]&amp;Matrix[[#Headers],[21]],FDR[FDR]&amp;FDR[[#Headers],[21]],FDR[21],"",0,1)</f>
        <v>3</v>
      </c>
      <c r="AH514" cm="1">
        <f t="array" ref="AH514">_xlfn.XLOOKUP(Matrix[[#This Row],[TEAM]]&amp;Matrix[[#Headers],[22]],FDR[FDR]&amp;FDR[[#Headers],[22]],FDR[22],"",0,1)</f>
        <v>1</v>
      </c>
      <c r="AI514" cm="1">
        <f t="array" ref="AI514">_xlfn.XLOOKUP(Matrix[[#This Row],[TEAM]]&amp;Matrix[[#Headers],[23]],FDR[FDR]&amp;FDR[[#Headers],[23]],FDR[23],"",0,1)</f>
        <v>2</v>
      </c>
      <c r="AJ514" cm="1">
        <f t="array" ref="AJ514">_xlfn.XLOOKUP(Matrix[[#This Row],[TEAM]]&amp;Matrix[[#Headers],[24]],FDR[FDR]&amp;FDR[[#Headers],[24]],FDR[24],"",0,1)</f>
        <v>2</v>
      </c>
      <c r="AK514" cm="1">
        <f t="array" ref="AK514">_xlfn.XLOOKUP(Matrix[[#This Row],[TEAM]]&amp;Matrix[[#Headers],[25]],FDR[FDR]&amp;FDR[[#Headers],[25]],FDR[25],"",0,1)</f>
        <v>3</v>
      </c>
      <c r="AL514" cm="1">
        <f t="array" ref="AL514">_xlfn.XLOOKUP(Matrix[[#This Row],[TEAM]]&amp;Matrix[[#Headers],[26]],FDR[FDR]&amp;FDR[[#Headers],[26]],FDR[26],"",0,1)</f>
        <v>1</v>
      </c>
      <c r="AM514" cm="1">
        <f t="array" ref="AM514">_xlfn.XLOOKUP(Matrix[[#This Row],[TEAM]]&amp;Matrix[[#Headers],[27]],FDR[FDR]&amp;FDR[[#Headers],[27]],FDR[27],"",0,1)</f>
        <v>2</v>
      </c>
      <c r="AN514" cm="1">
        <f t="array" ref="AN514">_xlfn.XLOOKUP(Matrix[[#This Row],[TEAM]]&amp;Matrix[[#Headers],[28]],FDR[FDR]&amp;FDR[[#Headers],[28]],FDR[28],"",0,1)</f>
        <v>1</v>
      </c>
      <c r="AO514" cm="1">
        <f t="array" ref="AO514">_xlfn.XLOOKUP(Matrix[[#This Row],[TEAM]]&amp;Matrix[[#Headers],[29]],FDR[FDR]&amp;FDR[[#Headers],[29]],FDR[29],"",0,1)</f>
        <v>1</v>
      </c>
      <c r="AP514" cm="1">
        <f t="array" ref="AP514">_xlfn.XLOOKUP(Matrix[[#This Row],[TEAM]]&amp;Matrix[[#Headers],[30]],FDR[FDR]&amp;FDR[[#Headers],[30]],FDR[30],"",0,1)</f>
        <v>2</v>
      </c>
      <c r="AQ514" cm="1">
        <f t="array" ref="AQ514">_xlfn.XLOOKUP(Matrix[[#This Row],[TEAM]]&amp;Matrix[[#Headers],[31]],FDR[FDR]&amp;FDR[[#Headers],[31]],FDR[31],"",0,1)</f>
        <v>2</v>
      </c>
      <c r="AR514" cm="1">
        <f t="array" ref="AR514">_xlfn.XLOOKUP(Matrix[[#This Row],[TEAM]]&amp;Matrix[[#Headers],[32]],FDR[FDR]&amp;FDR[[#Headers],[32]],FDR[32],"",0,1)</f>
        <v>1</v>
      </c>
      <c r="AS514" cm="1">
        <f t="array" ref="AS514">_xlfn.XLOOKUP(Matrix[[#This Row],[TEAM]]&amp;Matrix[[#Headers],[33]],FDR[FDR]&amp;FDR[[#Headers],[33]],FDR[33],"",0,1)</f>
        <v>2</v>
      </c>
      <c r="AT514" cm="1">
        <f t="array" ref="AT514">_xlfn.XLOOKUP(Matrix[[#This Row],[TEAM]]&amp;Matrix[[#Headers],[34]],FDR[FDR]&amp;FDR[[#Headers],[34]],FDR[34],"",0,1)</f>
        <v>1</v>
      </c>
      <c r="AU514" cm="1">
        <f t="array" ref="AU514">_xlfn.XLOOKUP(Matrix[[#This Row],[TEAM]]&amp;Matrix[[#Headers],[35]],FDR[FDR]&amp;FDR[[#Headers],[35]],FDR[35],"",0,1)</f>
        <v>3</v>
      </c>
      <c r="AV514" cm="1">
        <f t="array" ref="AV514">_xlfn.XLOOKUP(Matrix[[#This Row],[TEAM]]&amp;Matrix[[#Headers],[36]],FDR[FDR]&amp;FDR[[#Headers],[36]],FDR[36],"",0,1)</f>
        <v>2</v>
      </c>
      <c r="AW514" cm="1">
        <f t="array" ref="AW514">_xlfn.XLOOKUP(Matrix[[#This Row],[TEAM]]&amp;Matrix[[#Headers],[37]],FDR[FDR]&amp;FDR[[#Headers],[37]],FDR[37],"",0,1)</f>
        <v>3</v>
      </c>
      <c r="AX514" cm="1">
        <f t="array" ref="AX514">_xlfn.XLOOKUP(Matrix[[#This Row],[TEAM]]&amp;Matrix[[#Headers],[38]],FDR[FDR]&amp;FDR[[#Headers],[38]],FDR[38],"",0,1)</f>
        <v>1</v>
      </c>
    </row>
    <row r="515" spans="1:50" ht="22" thickTop="1" thickBot="1">
      <c r="A515" s="51" t="s">
        <v>657</v>
      </c>
      <c r="B515" s="70" t="s">
        <v>1869</v>
      </c>
      <c r="C515" s="40" t="s">
        <v>17</v>
      </c>
      <c r="D515" s="62">
        <v>0</v>
      </c>
      <c r="E515" s="60">
        <v>2E-3</v>
      </c>
      <c r="F515" s="61">
        <v>0</v>
      </c>
      <c r="G515" s="63">
        <v>4</v>
      </c>
      <c r="H515" s="261">
        <f>IF(ISBLANK(I515),0,1)</f>
        <v>0</v>
      </c>
      <c r="I515" s="57"/>
      <c r="J515" s="58"/>
      <c r="K515" s="65" t="s">
        <v>610</v>
      </c>
      <c r="L515" s="65" t="s">
        <v>1093</v>
      </c>
      <c r="M515" cm="1">
        <f t="array" ref="M515">_xlfn.XLOOKUP(Matrix[[#This Row],[TEAM]]&amp;Matrix[[#Headers],[1]],FDR[FDR]&amp;FDR[[#Headers],[1]],FDR[1],"",0,1)</f>
        <v>1</v>
      </c>
      <c r="N515" cm="1">
        <f t="array" ref="N515">_xlfn.XLOOKUP(Matrix[[#This Row],[TEAM]]&amp;Matrix[[#Headers],[2]],FDR[FDR]&amp;FDR[[#Headers],[2]],FDR[2],"",0,1)</f>
        <v>3</v>
      </c>
      <c r="O515" cm="1">
        <f t="array" ref="O515">_xlfn.XLOOKUP(Matrix[[#This Row],[TEAM]]&amp;Matrix[[#Headers],[3]],FDR[FDR]&amp;FDR[[#Headers],[3]],FDR[3],"",0,1)</f>
        <v>3</v>
      </c>
      <c r="P515" cm="1">
        <f t="array" ref="P515">_xlfn.XLOOKUP(Matrix[[#This Row],[TEAM]]&amp;Matrix[[#Headers],[4]],FDR[FDR]&amp;FDR[[#Headers],[4]],FDR[4],"",0,1)</f>
        <v>1</v>
      </c>
      <c r="Q515" cm="1">
        <f t="array" ref="Q515">_xlfn.XLOOKUP(Matrix[[#This Row],[TEAM]]&amp;Matrix[[#Headers],[5]],FDR[FDR]&amp;FDR[[#Headers],[5]],FDR[5],"",0,1)</f>
        <v>1</v>
      </c>
      <c r="R515" cm="1">
        <f t="array" ref="R515">_xlfn.XLOOKUP(Matrix[[#This Row],[TEAM]]&amp;Matrix[[#Headers],[6]],FDR[FDR]&amp;FDR[[#Headers],[6]],FDR[6],"",0,1)</f>
        <v>2</v>
      </c>
      <c r="S515" cm="1">
        <f t="array" ref="S515">_xlfn.XLOOKUP(Matrix[[#This Row],[TEAM]]&amp;Matrix[[#Headers],[7]],FDR[FDR]&amp;FDR[[#Headers],[7]],FDR[7],"",0,1)</f>
        <v>3</v>
      </c>
      <c r="T515" cm="1">
        <f t="array" ref="T515">_xlfn.XLOOKUP(Matrix[[#This Row],[TEAM]]&amp;Matrix[[#Headers],[8]],FDR[FDR]&amp;FDR[[#Headers],[8]],FDR[8],"",0,1)</f>
        <v>2</v>
      </c>
      <c r="U515" cm="1">
        <f t="array" ref="U515">_xlfn.XLOOKUP(Matrix[[#This Row],[TEAM]]&amp;Matrix[[#Headers],[9]],FDR[FDR]&amp;FDR[[#Headers],[9]],FDR[9],"",0,1)</f>
        <v>2</v>
      </c>
      <c r="V515" cm="1">
        <f t="array" ref="V515">_xlfn.XLOOKUP(Matrix[[#This Row],[TEAM]]&amp;Matrix[[#Headers],[10]],FDR[FDR]&amp;FDR[[#Headers],[10]],FDR[10],"",0,1)</f>
        <v>2</v>
      </c>
      <c r="W515" cm="1">
        <f t="array" ref="W515">_xlfn.XLOOKUP(Matrix[[#This Row],[TEAM]]&amp;Matrix[[#Headers],[11]],FDR[FDR]&amp;FDR[[#Headers],[11]],FDR[11],"",0,1)</f>
        <v>3</v>
      </c>
      <c r="X515" cm="1">
        <f t="array" ref="X515">_xlfn.XLOOKUP(Matrix[[#This Row],[TEAM]]&amp;Matrix[[#Headers],[12]],FDR[FDR]&amp;FDR[[#Headers],[12]],FDR[12],"",0,1)</f>
        <v>1</v>
      </c>
      <c r="Y515" cm="1">
        <f t="array" ref="Y515">_xlfn.XLOOKUP(Matrix[[#This Row],[TEAM]]&amp;Matrix[[#Headers],[13]],FDR[FDR]&amp;FDR[[#Headers],[13]],FDR[13],"",0,1)</f>
        <v>2</v>
      </c>
      <c r="Z515" cm="1">
        <f t="array" ref="Z515">_xlfn.XLOOKUP(Matrix[[#This Row],[TEAM]]&amp;Matrix[[#Headers],[14]],FDR[FDR]&amp;FDR[[#Headers],[14]],FDR[14],"",0,1)</f>
        <v>1</v>
      </c>
      <c r="AA515" cm="1">
        <f t="array" ref="AA515">_xlfn.XLOOKUP(Matrix[[#This Row],[TEAM]]&amp;Matrix[[#Headers],[15]],FDR[FDR]&amp;FDR[[#Headers],[15]],FDR[15],"",0,1)</f>
        <v>1</v>
      </c>
      <c r="AB515" cm="1">
        <f t="array" ref="AB515">_xlfn.XLOOKUP(Matrix[[#This Row],[TEAM]]&amp;Matrix[[#Headers],[16]],FDR[FDR]&amp;FDR[[#Headers],[16]],FDR[16],"",0,1)</f>
        <v>1</v>
      </c>
      <c r="AC515" cm="1">
        <f t="array" ref="AC515">_xlfn.XLOOKUP(Matrix[[#This Row],[TEAM]]&amp;Matrix[[#Headers],[17]],FDR[FDR]&amp;FDR[[#Headers],[17]],FDR[17],"",0,1)</f>
        <v>3</v>
      </c>
      <c r="AD515" cm="1">
        <f t="array" ref="AD515">_xlfn.XLOOKUP(Matrix[[#This Row],[TEAM]]&amp;Matrix[[#Headers],[18]],FDR[FDR]&amp;FDR[[#Headers],[18]],FDR[18],"",0,1)</f>
        <v>1</v>
      </c>
      <c r="AE515" cm="1">
        <f t="array" ref="AE515">_xlfn.XLOOKUP(Matrix[[#This Row],[TEAM]]&amp;Matrix[[#Headers],[19]],FDR[FDR]&amp;FDR[[#Headers],[19]],FDR[19],"",0,1)</f>
        <v>1</v>
      </c>
      <c r="AF515" cm="1">
        <f t="array" ref="AF515">_xlfn.XLOOKUP(Matrix[[#This Row],[TEAM]]&amp;Matrix[[#Headers],[20]],FDR[FDR]&amp;FDR[[#Headers],[20]],FDR[20],"",0,1)</f>
        <v>2</v>
      </c>
      <c r="AG515" cm="1">
        <f t="array" ref="AG515">_xlfn.XLOOKUP(Matrix[[#This Row],[TEAM]]&amp;Matrix[[#Headers],[21]],FDR[FDR]&amp;FDR[[#Headers],[21]],FDR[21],"",0,1)</f>
        <v>3</v>
      </c>
      <c r="AH515" cm="1">
        <f t="array" ref="AH515">_xlfn.XLOOKUP(Matrix[[#This Row],[TEAM]]&amp;Matrix[[#Headers],[22]],FDR[FDR]&amp;FDR[[#Headers],[22]],FDR[22],"",0,1)</f>
        <v>1</v>
      </c>
      <c r="AI515" cm="1">
        <f t="array" ref="AI515">_xlfn.XLOOKUP(Matrix[[#This Row],[TEAM]]&amp;Matrix[[#Headers],[23]],FDR[FDR]&amp;FDR[[#Headers],[23]],FDR[23],"",0,1)</f>
        <v>2</v>
      </c>
      <c r="AJ515" cm="1">
        <f t="array" ref="AJ515">_xlfn.XLOOKUP(Matrix[[#This Row],[TEAM]]&amp;Matrix[[#Headers],[24]],FDR[FDR]&amp;FDR[[#Headers],[24]],FDR[24],"",0,1)</f>
        <v>2</v>
      </c>
      <c r="AK515" cm="1">
        <f t="array" ref="AK515">_xlfn.XLOOKUP(Matrix[[#This Row],[TEAM]]&amp;Matrix[[#Headers],[25]],FDR[FDR]&amp;FDR[[#Headers],[25]],FDR[25],"",0,1)</f>
        <v>3</v>
      </c>
      <c r="AL515" cm="1">
        <f t="array" ref="AL515">_xlfn.XLOOKUP(Matrix[[#This Row],[TEAM]]&amp;Matrix[[#Headers],[26]],FDR[FDR]&amp;FDR[[#Headers],[26]],FDR[26],"",0,1)</f>
        <v>1</v>
      </c>
      <c r="AM515" cm="1">
        <f t="array" ref="AM515">_xlfn.XLOOKUP(Matrix[[#This Row],[TEAM]]&amp;Matrix[[#Headers],[27]],FDR[FDR]&amp;FDR[[#Headers],[27]],FDR[27],"",0,1)</f>
        <v>2</v>
      </c>
      <c r="AN515" cm="1">
        <f t="array" ref="AN515">_xlfn.XLOOKUP(Matrix[[#This Row],[TEAM]]&amp;Matrix[[#Headers],[28]],FDR[FDR]&amp;FDR[[#Headers],[28]],FDR[28],"",0,1)</f>
        <v>1</v>
      </c>
      <c r="AO515" cm="1">
        <f t="array" ref="AO515">_xlfn.XLOOKUP(Matrix[[#This Row],[TEAM]]&amp;Matrix[[#Headers],[29]],FDR[FDR]&amp;FDR[[#Headers],[29]],FDR[29],"",0,1)</f>
        <v>1</v>
      </c>
      <c r="AP515" cm="1">
        <f t="array" ref="AP515">_xlfn.XLOOKUP(Matrix[[#This Row],[TEAM]]&amp;Matrix[[#Headers],[30]],FDR[FDR]&amp;FDR[[#Headers],[30]],FDR[30],"",0,1)</f>
        <v>2</v>
      </c>
      <c r="AQ515" cm="1">
        <f t="array" ref="AQ515">_xlfn.XLOOKUP(Matrix[[#This Row],[TEAM]]&amp;Matrix[[#Headers],[31]],FDR[FDR]&amp;FDR[[#Headers],[31]],FDR[31],"",0,1)</f>
        <v>2</v>
      </c>
      <c r="AR515" cm="1">
        <f t="array" ref="AR515">_xlfn.XLOOKUP(Matrix[[#This Row],[TEAM]]&amp;Matrix[[#Headers],[32]],FDR[FDR]&amp;FDR[[#Headers],[32]],FDR[32],"",0,1)</f>
        <v>1</v>
      </c>
      <c r="AS515" cm="1">
        <f t="array" ref="AS515">_xlfn.XLOOKUP(Matrix[[#This Row],[TEAM]]&amp;Matrix[[#Headers],[33]],FDR[FDR]&amp;FDR[[#Headers],[33]],FDR[33],"",0,1)</f>
        <v>2</v>
      </c>
      <c r="AT515" cm="1">
        <f t="array" ref="AT515">_xlfn.XLOOKUP(Matrix[[#This Row],[TEAM]]&amp;Matrix[[#Headers],[34]],FDR[FDR]&amp;FDR[[#Headers],[34]],FDR[34],"",0,1)</f>
        <v>1</v>
      </c>
      <c r="AU515" cm="1">
        <f t="array" ref="AU515">_xlfn.XLOOKUP(Matrix[[#This Row],[TEAM]]&amp;Matrix[[#Headers],[35]],FDR[FDR]&amp;FDR[[#Headers],[35]],FDR[35],"",0,1)</f>
        <v>3</v>
      </c>
      <c r="AV515" cm="1">
        <f t="array" ref="AV515">_xlfn.XLOOKUP(Matrix[[#This Row],[TEAM]]&amp;Matrix[[#Headers],[36]],FDR[FDR]&amp;FDR[[#Headers],[36]],FDR[36],"",0,1)</f>
        <v>2</v>
      </c>
      <c r="AW515" cm="1">
        <f t="array" ref="AW515">_xlfn.XLOOKUP(Matrix[[#This Row],[TEAM]]&amp;Matrix[[#Headers],[37]],FDR[FDR]&amp;FDR[[#Headers],[37]],FDR[37],"",0,1)</f>
        <v>3</v>
      </c>
      <c r="AX515" cm="1">
        <f t="array" ref="AX515">_xlfn.XLOOKUP(Matrix[[#This Row],[TEAM]]&amp;Matrix[[#Headers],[38]],FDR[FDR]&amp;FDR[[#Headers],[38]],FDR[38],"",0,1)</f>
        <v>1</v>
      </c>
    </row>
    <row r="516" spans="1:50" ht="22" thickTop="1" thickBot="1">
      <c r="A516" s="51" t="s">
        <v>657</v>
      </c>
      <c r="B516" s="70" t="s">
        <v>1886</v>
      </c>
      <c r="C516" s="40" t="s">
        <v>17</v>
      </c>
      <c r="D516" s="62">
        <v>0</v>
      </c>
      <c r="E516" s="60">
        <v>1E-3</v>
      </c>
      <c r="F516" s="61">
        <v>0</v>
      </c>
      <c r="G516" s="63">
        <v>4</v>
      </c>
      <c r="H516" s="261">
        <f>IF(ISBLANK(I516),0,1)</f>
        <v>0</v>
      </c>
      <c r="I516" s="57"/>
      <c r="J516" s="58"/>
      <c r="K516" s="65" t="s">
        <v>1091</v>
      </c>
      <c r="L516" s="65" t="s">
        <v>1092</v>
      </c>
      <c r="M516" cm="1">
        <f t="array" ref="M516">_xlfn.XLOOKUP(Matrix[[#This Row],[TEAM]]&amp;Matrix[[#Headers],[1]],FDR[FDR]&amp;FDR[[#Headers],[1]],FDR[1],"",0,1)</f>
        <v>1</v>
      </c>
      <c r="N516" cm="1">
        <f t="array" ref="N516">_xlfn.XLOOKUP(Matrix[[#This Row],[TEAM]]&amp;Matrix[[#Headers],[2]],FDR[FDR]&amp;FDR[[#Headers],[2]],FDR[2],"",0,1)</f>
        <v>3</v>
      </c>
      <c r="O516" cm="1">
        <f t="array" ref="O516">_xlfn.XLOOKUP(Matrix[[#This Row],[TEAM]]&amp;Matrix[[#Headers],[3]],FDR[FDR]&amp;FDR[[#Headers],[3]],FDR[3],"",0,1)</f>
        <v>3</v>
      </c>
      <c r="P516" cm="1">
        <f t="array" ref="P516">_xlfn.XLOOKUP(Matrix[[#This Row],[TEAM]]&amp;Matrix[[#Headers],[4]],FDR[FDR]&amp;FDR[[#Headers],[4]],FDR[4],"",0,1)</f>
        <v>1</v>
      </c>
      <c r="Q516" cm="1">
        <f t="array" ref="Q516">_xlfn.XLOOKUP(Matrix[[#This Row],[TEAM]]&amp;Matrix[[#Headers],[5]],FDR[FDR]&amp;FDR[[#Headers],[5]],FDR[5],"",0,1)</f>
        <v>1</v>
      </c>
      <c r="R516" cm="1">
        <f t="array" ref="R516">_xlfn.XLOOKUP(Matrix[[#This Row],[TEAM]]&amp;Matrix[[#Headers],[6]],FDR[FDR]&amp;FDR[[#Headers],[6]],FDR[6],"",0,1)</f>
        <v>2</v>
      </c>
      <c r="S516" cm="1">
        <f t="array" ref="S516">_xlfn.XLOOKUP(Matrix[[#This Row],[TEAM]]&amp;Matrix[[#Headers],[7]],FDR[FDR]&amp;FDR[[#Headers],[7]],FDR[7],"",0,1)</f>
        <v>3</v>
      </c>
      <c r="T516" cm="1">
        <f t="array" ref="T516">_xlfn.XLOOKUP(Matrix[[#This Row],[TEAM]]&amp;Matrix[[#Headers],[8]],FDR[FDR]&amp;FDR[[#Headers],[8]],FDR[8],"",0,1)</f>
        <v>2</v>
      </c>
      <c r="U516" cm="1">
        <f t="array" ref="U516">_xlfn.XLOOKUP(Matrix[[#This Row],[TEAM]]&amp;Matrix[[#Headers],[9]],FDR[FDR]&amp;FDR[[#Headers],[9]],FDR[9],"",0,1)</f>
        <v>2</v>
      </c>
      <c r="V516" cm="1">
        <f t="array" ref="V516">_xlfn.XLOOKUP(Matrix[[#This Row],[TEAM]]&amp;Matrix[[#Headers],[10]],FDR[FDR]&amp;FDR[[#Headers],[10]],FDR[10],"",0,1)</f>
        <v>2</v>
      </c>
      <c r="W516" cm="1">
        <f t="array" ref="W516">_xlfn.XLOOKUP(Matrix[[#This Row],[TEAM]]&amp;Matrix[[#Headers],[11]],FDR[FDR]&amp;FDR[[#Headers],[11]],FDR[11],"",0,1)</f>
        <v>3</v>
      </c>
      <c r="X516" cm="1">
        <f t="array" ref="X516">_xlfn.XLOOKUP(Matrix[[#This Row],[TEAM]]&amp;Matrix[[#Headers],[12]],FDR[FDR]&amp;FDR[[#Headers],[12]],FDR[12],"",0,1)</f>
        <v>1</v>
      </c>
      <c r="Y516" cm="1">
        <f t="array" ref="Y516">_xlfn.XLOOKUP(Matrix[[#This Row],[TEAM]]&amp;Matrix[[#Headers],[13]],FDR[FDR]&amp;FDR[[#Headers],[13]],FDR[13],"",0,1)</f>
        <v>2</v>
      </c>
      <c r="Z516" cm="1">
        <f t="array" ref="Z516">_xlfn.XLOOKUP(Matrix[[#This Row],[TEAM]]&amp;Matrix[[#Headers],[14]],FDR[FDR]&amp;FDR[[#Headers],[14]],FDR[14],"",0,1)</f>
        <v>1</v>
      </c>
      <c r="AA516" cm="1">
        <f t="array" ref="AA516">_xlfn.XLOOKUP(Matrix[[#This Row],[TEAM]]&amp;Matrix[[#Headers],[15]],FDR[FDR]&amp;FDR[[#Headers],[15]],FDR[15],"",0,1)</f>
        <v>1</v>
      </c>
      <c r="AB516" cm="1">
        <f t="array" ref="AB516">_xlfn.XLOOKUP(Matrix[[#This Row],[TEAM]]&amp;Matrix[[#Headers],[16]],FDR[FDR]&amp;FDR[[#Headers],[16]],FDR[16],"",0,1)</f>
        <v>1</v>
      </c>
      <c r="AC516" cm="1">
        <f t="array" ref="AC516">_xlfn.XLOOKUP(Matrix[[#This Row],[TEAM]]&amp;Matrix[[#Headers],[17]],FDR[FDR]&amp;FDR[[#Headers],[17]],FDR[17],"",0,1)</f>
        <v>3</v>
      </c>
      <c r="AD516" cm="1">
        <f t="array" ref="AD516">_xlfn.XLOOKUP(Matrix[[#This Row],[TEAM]]&amp;Matrix[[#Headers],[18]],FDR[FDR]&amp;FDR[[#Headers],[18]],FDR[18],"",0,1)</f>
        <v>1</v>
      </c>
      <c r="AE516" cm="1">
        <f t="array" ref="AE516">_xlfn.XLOOKUP(Matrix[[#This Row],[TEAM]]&amp;Matrix[[#Headers],[19]],FDR[FDR]&amp;FDR[[#Headers],[19]],FDR[19],"",0,1)</f>
        <v>1</v>
      </c>
      <c r="AF516" cm="1">
        <f t="array" ref="AF516">_xlfn.XLOOKUP(Matrix[[#This Row],[TEAM]]&amp;Matrix[[#Headers],[20]],FDR[FDR]&amp;FDR[[#Headers],[20]],FDR[20],"",0,1)</f>
        <v>2</v>
      </c>
      <c r="AG516" cm="1">
        <f t="array" ref="AG516">_xlfn.XLOOKUP(Matrix[[#This Row],[TEAM]]&amp;Matrix[[#Headers],[21]],FDR[FDR]&amp;FDR[[#Headers],[21]],FDR[21],"",0,1)</f>
        <v>3</v>
      </c>
      <c r="AH516" cm="1">
        <f t="array" ref="AH516">_xlfn.XLOOKUP(Matrix[[#This Row],[TEAM]]&amp;Matrix[[#Headers],[22]],FDR[FDR]&amp;FDR[[#Headers],[22]],FDR[22],"",0,1)</f>
        <v>1</v>
      </c>
      <c r="AI516" cm="1">
        <f t="array" ref="AI516">_xlfn.XLOOKUP(Matrix[[#This Row],[TEAM]]&amp;Matrix[[#Headers],[23]],FDR[FDR]&amp;FDR[[#Headers],[23]],FDR[23],"",0,1)</f>
        <v>2</v>
      </c>
      <c r="AJ516" cm="1">
        <f t="array" ref="AJ516">_xlfn.XLOOKUP(Matrix[[#This Row],[TEAM]]&amp;Matrix[[#Headers],[24]],FDR[FDR]&amp;FDR[[#Headers],[24]],FDR[24],"",0,1)</f>
        <v>2</v>
      </c>
      <c r="AK516" cm="1">
        <f t="array" ref="AK516">_xlfn.XLOOKUP(Matrix[[#This Row],[TEAM]]&amp;Matrix[[#Headers],[25]],FDR[FDR]&amp;FDR[[#Headers],[25]],FDR[25],"",0,1)</f>
        <v>3</v>
      </c>
      <c r="AL516" cm="1">
        <f t="array" ref="AL516">_xlfn.XLOOKUP(Matrix[[#This Row],[TEAM]]&amp;Matrix[[#Headers],[26]],FDR[FDR]&amp;FDR[[#Headers],[26]],FDR[26],"",0,1)</f>
        <v>1</v>
      </c>
      <c r="AM516" cm="1">
        <f t="array" ref="AM516">_xlfn.XLOOKUP(Matrix[[#This Row],[TEAM]]&amp;Matrix[[#Headers],[27]],FDR[FDR]&amp;FDR[[#Headers],[27]],FDR[27],"",0,1)</f>
        <v>2</v>
      </c>
      <c r="AN516" cm="1">
        <f t="array" ref="AN516">_xlfn.XLOOKUP(Matrix[[#This Row],[TEAM]]&amp;Matrix[[#Headers],[28]],FDR[FDR]&amp;FDR[[#Headers],[28]],FDR[28],"",0,1)</f>
        <v>1</v>
      </c>
      <c r="AO516" cm="1">
        <f t="array" ref="AO516">_xlfn.XLOOKUP(Matrix[[#This Row],[TEAM]]&amp;Matrix[[#Headers],[29]],FDR[FDR]&amp;FDR[[#Headers],[29]],FDR[29],"",0,1)</f>
        <v>1</v>
      </c>
      <c r="AP516" cm="1">
        <f t="array" ref="AP516">_xlfn.XLOOKUP(Matrix[[#This Row],[TEAM]]&amp;Matrix[[#Headers],[30]],FDR[FDR]&amp;FDR[[#Headers],[30]],FDR[30],"",0,1)</f>
        <v>2</v>
      </c>
      <c r="AQ516" cm="1">
        <f t="array" ref="AQ516">_xlfn.XLOOKUP(Matrix[[#This Row],[TEAM]]&amp;Matrix[[#Headers],[31]],FDR[FDR]&amp;FDR[[#Headers],[31]],FDR[31],"",0,1)</f>
        <v>2</v>
      </c>
      <c r="AR516" cm="1">
        <f t="array" ref="AR516">_xlfn.XLOOKUP(Matrix[[#This Row],[TEAM]]&amp;Matrix[[#Headers],[32]],FDR[FDR]&amp;FDR[[#Headers],[32]],FDR[32],"",0,1)</f>
        <v>1</v>
      </c>
      <c r="AS516" cm="1">
        <f t="array" ref="AS516">_xlfn.XLOOKUP(Matrix[[#This Row],[TEAM]]&amp;Matrix[[#Headers],[33]],FDR[FDR]&amp;FDR[[#Headers],[33]],FDR[33],"",0,1)</f>
        <v>2</v>
      </c>
      <c r="AT516" cm="1">
        <f t="array" ref="AT516">_xlfn.XLOOKUP(Matrix[[#This Row],[TEAM]]&amp;Matrix[[#Headers],[34]],FDR[FDR]&amp;FDR[[#Headers],[34]],FDR[34],"",0,1)</f>
        <v>1</v>
      </c>
      <c r="AU516" cm="1">
        <f t="array" ref="AU516">_xlfn.XLOOKUP(Matrix[[#This Row],[TEAM]]&amp;Matrix[[#Headers],[35]],FDR[FDR]&amp;FDR[[#Headers],[35]],FDR[35],"",0,1)</f>
        <v>3</v>
      </c>
      <c r="AV516" cm="1">
        <f t="array" ref="AV516">_xlfn.XLOOKUP(Matrix[[#This Row],[TEAM]]&amp;Matrix[[#Headers],[36]],FDR[FDR]&amp;FDR[[#Headers],[36]],FDR[36],"",0,1)</f>
        <v>2</v>
      </c>
      <c r="AW516" cm="1">
        <f t="array" ref="AW516">_xlfn.XLOOKUP(Matrix[[#This Row],[TEAM]]&amp;Matrix[[#Headers],[37]],FDR[FDR]&amp;FDR[[#Headers],[37]],FDR[37],"",0,1)</f>
        <v>3</v>
      </c>
      <c r="AX516" cm="1">
        <f t="array" ref="AX516">_xlfn.XLOOKUP(Matrix[[#This Row],[TEAM]]&amp;Matrix[[#Headers],[38]],FDR[FDR]&amp;FDR[[#Headers],[38]],FDR[38],"",0,1)</f>
        <v>1</v>
      </c>
    </row>
    <row r="517" spans="1:50" ht="22" thickTop="1" thickBot="1">
      <c r="A517" s="51" t="s">
        <v>657</v>
      </c>
      <c r="B517" s="70" t="s">
        <v>1812</v>
      </c>
      <c r="C517" s="40" t="s">
        <v>25</v>
      </c>
      <c r="D517" s="62">
        <v>0</v>
      </c>
      <c r="E517" s="60">
        <v>8.0000000000000002E-3</v>
      </c>
      <c r="F517" s="61">
        <v>0</v>
      </c>
      <c r="G517" s="63">
        <v>4</v>
      </c>
      <c r="H517" s="261">
        <f>IF(ISBLANK(I517),0,1)</f>
        <v>0</v>
      </c>
      <c r="I517" s="57"/>
      <c r="J517" s="58"/>
      <c r="K517" s="65" t="s">
        <v>395</v>
      </c>
      <c r="L517" s="65" t="s">
        <v>230</v>
      </c>
      <c r="M517" cm="1">
        <f t="array" ref="M517">_xlfn.XLOOKUP(Matrix[[#This Row],[TEAM]]&amp;Matrix[[#Headers],[1]],FDR[FDR]&amp;FDR[[#Headers],[1]],FDR[1],"",0,1)</f>
        <v>3</v>
      </c>
      <c r="N517" cm="1">
        <f t="array" ref="N517">_xlfn.XLOOKUP(Matrix[[#This Row],[TEAM]]&amp;Matrix[[#Headers],[2]],FDR[FDR]&amp;FDR[[#Headers],[2]],FDR[2],"",0,1)</f>
        <v>3</v>
      </c>
      <c r="O517" cm="1">
        <f t="array" ref="O517">_xlfn.XLOOKUP(Matrix[[#This Row],[TEAM]]&amp;Matrix[[#Headers],[3]],FDR[FDR]&amp;FDR[[#Headers],[3]],FDR[3],"",0,1)</f>
        <v>1</v>
      </c>
      <c r="P517" cm="1">
        <f t="array" ref="P517">_xlfn.XLOOKUP(Matrix[[#This Row],[TEAM]]&amp;Matrix[[#Headers],[4]],FDR[FDR]&amp;FDR[[#Headers],[4]],FDR[4],"",0,1)</f>
        <v>1</v>
      </c>
      <c r="Q517" cm="1">
        <f t="array" ref="Q517">_xlfn.XLOOKUP(Matrix[[#This Row],[TEAM]]&amp;Matrix[[#Headers],[5]],FDR[FDR]&amp;FDR[[#Headers],[5]],FDR[5],"",0,1)</f>
        <v>2</v>
      </c>
      <c r="R517" cm="1">
        <f t="array" ref="R517">_xlfn.XLOOKUP(Matrix[[#This Row],[TEAM]]&amp;Matrix[[#Headers],[6]],FDR[FDR]&amp;FDR[[#Headers],[6]],FDR[6],"",0,1)</f>
        <v>3</v>
      </c>
      <c r="S517" cm="1">
        <f t="array" ref="S517">_xlfn.XLOOKUP(Matrix[[#This Row],[TEAM]]&amp;Matrix[[#Headers],[7]],FDR[FDR]&amp;FDR[[#Headers],[7]],FDR[7],"",0,1)</f>
        <v>2</v>
      </c>
      <c r="T517" cm="1">
        <f t="array" ref="T517">_xlfn.XLOOKUP(Matrix[[#This Row],[TEAM]]&amp;Matrix[[#Headers],[8]],FDR[FDR]&amp;FDR[[#Headers],[8]],FDR[8],"",0,1)</f>
        <v>2</v>
      </c>
      <c r="U517" cm="1">
        <f t="array" ref="U517">_xlfn.XLOOKUP(Matrix[[#This Row],[TEAM]]&amp;Matrix[[#Headers],[9]],FDR[FDR]&amp;FDR[[#Headers],[9]],FDR[9],"",0,1)</f>
        <v>2</v>
      </c>
      <c r="V517" cm="1">
        <f t="array" ref="V517">_xlfn.XLOOKUP(Matrix[[#This Row],[TEAM]]&amp;Matrix[[#Headers],[10]],FDR[FDR]&amp;FDR[[#Headers],[10]],FDR[10],"",0,1)</f>
        <v>2</v>
      </c>
      <c r="W517" cm="1">
        <f t="array" ref="W517">_xlfn.XLOOKUP(Matrix[[#This Row],[TEAM]]&amp;Matrix[[#Headers],[11]],FDR[FDR]&amp;FDR[[#Headers],[11]],FDR[11],"",0,1)</f>
        <v>2</v>
      </c>
      <c r="X517" cm="1">
        <f t="array" ref="X517">_xlfn.XLOOKUP(Matrix[[#This Row],[TEAM]]&amp;Matrix[[#Headers],[12]],FDR[FDR]&amp;FDR[[#Headers],[12]],FDR[12],"",0,1)</f>
        <v>3</v>
      </c>
      <c r="Y517" cm="1">
        <f t="array" ref="Y517">_xlfn.XLOOKUP(Matrix[[#This Row],[TEAM]]&amp;Matrix[[#Headers],[13]],FDR[FDR]&amp;FDR[[#Headers],[13]],FDR[13],"",0,1)</f>
        <v>2</v>
      </c>
      <c r="Z517" cm="1">
        <f t="array" ref="Z517">_xlfn.XLOOKUP(Matrix[[#This Row],[TEAM]]&amp;Matrix[[#Headers],[14]],FDR[FDR]&amp;FDR[[#Headers],[14]],FDR[14],"",0,1)</f>
        <v>3</v>
      </c>
      <c r="AA517" cm="1">
        <f t="array" ref="AA517">_xlfn.XLOOKUP(Matrix[[#This Row],[TEAM]]&amp;Matrix[[#Headers],[15]],FDR[FDR]&amp;FDR[[#Headers],[15]],FDR[15],"",0,1)</f>
        <v>1</v>
      </c>
      <c r="AB517" cm="1">
        <f t="array" ref="AB517">_xlfn.XLOOKUP(Matrix[[#This Row],[TEAM]]&amp;Matrix[[#Headers],[16]],FDR[FDR]&amp;FDR[[#Headers],[16]],FDR[16],"",0,1)</f>
        <v>1</v>
      </c>
      <c r="AC517" cm="1">
        <f t="array" ref="AC517">_xlfn.XLOOKUP(Matrix[[#This Row],[TEAM]]&amp;Matrix[[#Headers],[17]],FDR[FDR]&amp;FDR[[#Headers],[17]],FDR[17],"",0,1)</f>
        <v>3</v>
      </c>
      <c r="AD517" cm="1">
        <f t="array" ref="AD517">_xlfn.XLOOKUP(Matrix[[#This Row],[TEAM]]&amp;Matrix[[#Headers],[18]],FDR[FDR]&amp;FDR[[#Headers],[18]],FDR[18],"",0,1)</f>
        <v>4</v>
      </c>
      <c r="AE517" cm="1">
        <f t="array" ref="AE517">_xlfn.XLOOKUP(Matrix[[#This Row],[TEAM]]&amp;Matrix[[#Headers],[19]],FDR[FDR]&amp;FDR[[#Headers],[19]],FDR[19],"",0,1)</f>
        <v>1</v>
      </c>
      <c r="AF517" cm="1">
        <f t="array" ref="AF517">_xlfn.XLOOKUP(Matrix[[#This Row],[TEAM]]&amp;Matrix[[#Headers],[20]],FDR[FDR]&amp;FDR[[#Headers],[20]],FDR[20],"",0,1)</f>
        <v>1</v>
      </c>
      <c r="AG517" cm="1">
        <f t="array" ref="AG517">_xlfn.XLOOKUP(Matrix[[#This Row],[TEAM]]&amp;Matrix[[#Headers],[21]],FDR[FDR]&amp;FDR[[#Headers],[21]],FDR[21],"",0,1)</f>
        <v>1</v>
      </c>
      <c r="AH517" cm="1">
        <f t="array" ref="AH517">_xlfn.XLOOKUP(Matrix[[#This Row],[TEAM]]&amp;Matrix[[#Headers],[22]],FDR[FDR]&amp;FDR[[#Headers],[22]],FDR[22],"",0,1)</f>
        <v>1</v>
      </c>
      <c r="AI517" cm="1">
        <f t="array" ref="AI517">_xlfn.XLOOKUP(Matrix[[#This Row],[TEAM]]&amp;Matrix[[#Headers],[23]],FDR[FDR]&amp;FDR[[#Headers],[23]],FDR[23],"",0,1)</f>
        <v>2</v>
      </c>
      <c r="AJ517" cm="1">
        <f t="array" ref="AJ517">_xlfn.XLOOKUP(Matrix[[#This Row],[TEAM]]&amp;Matrix[[#Headers],[24]],FDR[FDR]&amp;FDR[[#Headers],[24]],FDR[24],"",0,1)</f>
        <v>4</v>
      </c>
      <c r="AK517" cm="1">
        <f t="array" ref="AK517">_xlfn.XLOOKUP(Matrix[[#This Row],[TEAM]]&amp;Matrix[[#Headers],[25]],FDR[FDR]&amp;FDR[[#Headers],[25]],FDR[25],"",0,1)</f>
        <v>1</v>
      </c>
      <c r="AL517" cm="1">
        <f t="array" ref="AL517">_xlfn.XLOOKUP(Matrix[[#This Row],[TEAM]]&amp;Matrix[[#Headers],[26]],FDR[FDR]&amp;FDR[[#Headers],[26]],FDR[26],"",0,1)</f>
        <v>4</v>
      </c>
      <c r="AM517" cm="1">
        <f t="array" ref="AM517">_xlfn.XLOOKUP(Matrix[[#This Row],[TEAM]]&amp;Matrix[[#Headers],[27]],FDR[FDR]&amp;FDR[[#Headers],[27]],FDR[27],"",0,1)</f>
        <v>4</v>
      </c>
      <c r="AN517" cm="1">
        <f t="array" ref="AN517">_xlfn.XLOOKUP(Matrix[[#This Row],[TEAM]]&amp;Matrix[[#Headers],[28]],FDR[FDR]&amp;FDR[[#Headers],[28]],FDR[28],"",0,1)</f>
        <v>1</v>
      </c>
      <c r="AO517" cm="1">
        <f t="array" ref="AO517">_xlfn.XLOOKUP(Matrix[[#This Row],[TEAM]]&amp;Matrix[[#Headers],[29]],FDR[FDR]&amp;FDR[[#Headers],[29]],FDR[29],"",0,1)</f>
        <v>3</v>
      </c>
      <c r="AP517" cm="1">
        <f t="array" ref="AP517">_xlfn.XLOOKUP(Matrix[[#This Row],[TEAM]]&amp;Matrix[[#Headers],[30]],FDR[FDR]&amp;FDR[[#Headers],[30]],FDR[30],"",0,1)</f>
        <v>4</v>
      </c>
      <c r="AQ517" cm="1">
        <f t="array" ref="AQ517">_xlfn.XLOOKUP(Matrix[[#This Row],[TEAM]]&amp;Matrix[[#Headers],[31]],FDR[FDR]&amp;FDR[[#Headers],[31]],FDR[31],"",0,1)</f>
        <v>1</v>
      </c>
      <c r="AR517" cm="1">
        <f t="array" ref="AR517">_xlfn.XLOOKUP(Matrix[[#This Row],[TEAM]]&amp;Matrix[[#Headers],[32]],FDR[FDR]&amp;FDR[[#Headers],[32]],FDR[32],"",0,1)</f>
        <v>2</v>
      </c>
      <c r="AS517" cm="1">
        <f t="array" ref="AS517">_xlfn.XLOOKUP(Matrix[[#This Row],[TEAM]]&amp;Matrix[[#Headers],[33]],FDR[FDR]&amp;FDR[[#Headers],[33]],FDR[33],"",0,1)</f>
        <v>2</v>
      </c>
      <c r="AT517" cm="1">
        <f t="array" ref="AT517">_xlfn.XLOOKUP(Matrix[[#This Row],[TEAM]]&amp;Matrix[[#Headers],[34]],FDR[FDR]&amp;FDR[[#Headers],[34]],FDR[34],"",0,1)</f>
        <v>4</v>
      </c>
      <c r="AU517" cm="1">
        <f t="array" ref="AU517">_xlfn.XLOOKUP(Matrix[[#This Row],[TEAM]]&amp;Matrix[[#Headers],[35]],FDR[FDR]&amp;FDR[[#Headers],[35]],FDR[35],"",0,1)</f>
        <v>2</v>
      </c>
      <c r="AV517" cm="1">
        <f t="array" ref="AV517">_xlfn.XLOOKUP(Matrix[[#This Row],[TEAM]]&amp;Matrix[[#Headers],[36]],FDR[FDR]&amp;FDR[[#Headers],[36]],FDR[36],"",0,1)</f>
        <v>2</v>
      </c>
      <c r="AW517" cm="1">
        <f t="array" ref="AW517">_xlfn.XLOOKUP(Matrix[[#This Row],[TEAM]]&amp;Matrix[[#Headers],[37]],FDR[FDR]&amp;FDR[[#Headers],[37]],FDR[37],"",0,1)</f>
        <v>1</v>
      </c>
      <c r="AX517" cm="1">
        <f t="array" ref="AX517">_xlfn.XLOOKUP(Matrix[[#This Row],[TEAM]]&amp;Matrix[[#Headers],[38]],FDR[FDR]&amp;FDR[[#Headers],[38]],FDR[38],"",0,1)</f>
        <v>2</v>
      </c>
    </row>
    <row r="518" spans="1:50" ht="22" thickTop="1" thickBot="1">
      <c r="A518" s="51" t="s">
        <v>657</v>
      </c>
      <c r="B518" s="70" t="s">
        <v>1874</v>
      </c>
      <c r="C518" s="40" t="s">
        <v>25</v>
      </c>
      <c r="D518" s="62">
        <v>0</v>
      </c>
      <c r="E518" s="60">
        <v>2E-3</v>
      </c>
      <c r="F518" s="61">
        <v>0</v>
      </c>
      <c r="G518" s="63">
        <v>4</v>
      </c>
      <c r="H518" s="261">
        <f>IF(ISBLANK(I518),0,1)</f>
        <v>0</v>
      </c>
      <c r="I518" s="57"/>
      <c r="J518" s="58"/>
      <c r="K518" s="65" t="s">
        <v>415</v>
      </c>
      <c r="L518" s="65" t="s">
        <v>183</v>
      </c>
      <c r="M518" cm="1">
        <f t="array" ref="M518">_xlfn.XLOOKUP(Matrix[[#This Row],[TEAM]]&amp;Matrix[[#Headers],[1]],FDR[FDR]&amp;FDR[[#Headers],[1]],FDR[1],"",0,1)</f>
        <v>3</v>
      </c>
      <c r="N518" cm="1">
        <f t="array" ref="N518">_xlfn.XLOOKUP(Matrix[[#This Row],[TEAM]]&amp;Matrix[[#Headers],[2]],FDR[FDR]&amp;FDR[[#Headers],[2]],FDR[2],"",0,1)</f>
        <v>3</v>
      </c>
      <c r="O518" cm="1">
        <f t="array" ref="O518">_xlfn.XLOOKUP(Matrix[[#This Row],[TEAM]]&amp;Matrix[[#Headers],[3]],FDR[FDR]&amp;FDR[[#Headers],[3]],FDR[3],"",0,1)</f>
        <v>1</v>
      </c>
      <c r="P518" cm="1">
        <f t="array" ref="P518">_xlfn.XLOOKUP(Matrix[[#This Row],[TEAM]]&amp;Matrix[[#Headers],[4]],FDR[FDR]&amp;FDR[[#Headers],[4]],FDR[4],"",0,1)</f>
        <v>1</v>
      </c>
      <c r="Q518" cm="1">
        <f t="array" ref="Q518">_xlfn.XLOOKUP(Matrix[[#This Row],[TEAM]]&amp;Matrix[[#Headers],[5]],FDR[FDR]&amp;FDR[[#Headers],[5]],FDR[5],"",0,1)</f>
        <v>2</v>
      </c>
      <c r="R518" cm="1">
        <f t="array" ref="R518">_xlfn.XLOOKUP(Matrix[[#This Row],[TEAM]]&amp;Matrix[[#Headers],[6]],FDR[FDR]&amp;FDR[[#Headers],[6]],FDR[6],"",0,1)</f>
        <v>3</v>
      </c>
      <c r="S518" cm="1">
        <f t="array" ref="S518">_xlfn.XLOOKUP(Matrix[[#This Row],[TEAM]]&amp;Matrix[[#Headers],[7]],FDR[FDR]&amp;FDR[[#Headers],[7]],FDR[7],"",0,1)</f>
        <v>2</v>
      </c>
      <c r="T518" cm="1">
        <f t="array" ref="T518">_xlfn.XLOOKUP(Matrix[[#This Row],[TEAM]]&amp;Matrix[[#Headers],[8]],FDR[FDR]&amp;FDR[[#Headers],[8]],FDR[8],"",0,1)</f>
        <v>2</v>
      </c>
      <c r="U518" cm="1">
        <f t="array" ref="U518">_xlfn.XLOOKUP(Matrix[[#This Row],[TEAM]]&amp;Matrix[[#Headers],[9]],FDR[FDR]&amp;FDR[[#Headers],[9]],FDR[9],"",0,1)</f>
        <v>2</v>
      </c>
      <c r="V518" cm="1">
        <f t="array" ref="V518">_xlfn.XLOOKUP(Matrix[[#This Row],[TEAM]]&amp;Matrix[[#Headers],[10]],FDR[FDR]&amp;FDR[[#Headers],[10]],FDR[10],"",0,1)</f>
        <v>2</v>
      </c>
      <c r="W518" cm="1">
        <f t="array" ref="W518">_xlfn.XLOOKUP(Matrix[[#This Row],[TEAM]]&amp;Matrix[[#Headers],[11]],FDR[FDR]&amp;FDR[[#Headers],[11]],FDR[11],"",0,1)</f>
        <v>2</v>
      </c>
      <c r="X518" cm="1">
        <f t="array" ref="X518">_xlfn.XLOOKUP(Matrix[[#This Row],[TEAM]]&amp;Matrix[[#Headers],[12]],FDR[FDR]&amp;FDR[[#Headers],[12]],FDR[12],"",0,1)</f>
        <v>3</v>
      </c>
      <c r="Y518" cm="1">
        <f t="array" ref="Y518">_xlfn.XLOOKUP(Matrix[[#This Row],[TEAM]]&amp;Matrix[[#Headers],[13]],FDR[FDR]&amp;FDR[[#Headers],[13]],FDR[13],"",0,1)</f>
        <v>2</v>
      </c>
      <c r="Z518" cm="1">
        <f t="array" ref="Z518">_xlfn.XLOOKUP(Matrix[[#This Row],[TEAM]]&amp;Matrix[[#Headers],[14]],FDR[FDR]&amp;FDR[[#Headers],[14]],FDR[14],"",0,1)</f>
        <v>3</v>
      </c>
      <c r="AA518" cm="1">
        <f t="array" ref="AA518">_xlfn.XLOOKUP(Matrix[[#This Row],[TEAM]]&amp;Matrix[[#Headers],[15]],FDR[FDR]&amp;FDR[[#Headers],[15]],FDR[15],"",0,1)</f>
        <v>1</v>
      </c>
      <c r="AB518" cm="1">
        <f t="array" ref="AB518">_xlfn.XLOOKUP(Matrix[[#This Row],[TEAM]]&amp;Matrix[[#Headers],[16]],FDR[FDR]&amp;FDR[[#Headers],[16]],FDR[16],"",0,1)</f>
        <v>1</v>
      </c>
      <c r="AC518" cm="1">
        <f t="array" ref="AC518">_xlfn.XLOOKUP(Matrix[[#This Row],[TEAM]]&amp;Matrix[[#Headers],[17]],FDR[FDR]&amp;FDR[[#Headers],[17]],FDR[17],"",0,1)</f>
        <v>3</v>
      </c>
      <c r="AD518" cm="1">
        <f t="array" ref="AD518">_xlfn.XLOOKUP(Matrix[[#This Row],[TEAM]]&amp;Matrix[[#Headers],[18]],FDR[FDR]&amp;FDR[[#Headers],[18]],FDR[18],"",0,1)</f>
        <v>4</v>
      </c>
      <c r="AE518" cm="1">
        <f t="array" ref="AE518">_xlfn.XLOOKUP(Matrix[[#This Row],[TEAM]]&amp;Matrix[[#Headers],[19]],FDR[FDR]&amp;FDR[[#Headers],[19]],FDR[19],"",0,1)</f>
        <v>1</v>
      </c>
      <c r="AF518" cm="1">
        <f t="array" ref="AF518">_xlfn.XLOOKUP(Matrix[[#This Row],[TEAM]]&amp;Matrix[[#Headers],[20]],FDR[FDR]&amp;FDR[[#Headers],[20]],FDR[20],"",0,1)</f>
        <v>1</v>
      </c>
      <c r="AG518" cm="1">
        <f t="array" ref="AG518">_xlfn.XLOOKUP(Matrix[[#This Row],[TEAM]]&amp;Matrix[[#Headers],[21]],FDR[FDR]&amp;FDR[[#Headers],[21]],FDR[21],"",0,1)</f>
        <v>1</v>
      </c>
      <c r="AH518" cm="1">
        <f t="array" ref="AH518">_xlfn.XLOOKUP(Matrix[[#This Row],[TEAM]]&amp;Matrix[[#Headers],[22]],FDR[FDR]&amp;FDR[[#Headers],[22]],FDR[22],"",0,1)</f>
        <v>1</v>
      </c>
      <c r="AI518" cm="1">
        <f t="array" ref="AI518">_xlfn.XLOOKUP(Matrix[[#This Row],[TEAM]]&amp;Matrix[[#Headers],[23]],FDR[FDR]&amp;FDR[[#Headers],[23]],FDR[23],"",0,1)</f>
        <v>2</v>
      </c>
      <c r="AJ518" cm="1">
        <f t="array" ref="AJ518">_xlfn.XLOOKUP(Matrix[[#This Row],[TEAM]]&amp;Matrix[[#Headers],[24]],FDR[FDR]&amp;FDR[[#Headers],[24]],FDR[24],"",0,1)</f>
        <v>4</v>
      </c>
      <c r="AK518" cm="1">
        <f t="array" ref="AK518">_xlfn.XLOOKUP(Matrix[[#This Row],[TEAM]]&amp;Matrix[[#Headers],[25]],FDR[FDR]&amp;FDR[[#Headers],[25]],FDR[25],"",0,1)</f>
        <v>1</v>
      </c>
      <c r="AL518" cm="1">
        <f t="array" ref="AL518">_xlfn.XLOOKUP(Matrix[[#This Row],[TEAM]]&amp;Matrix[[#Headers],[26]],FDR[FDR]&amp;FDR[[#Headers],[26]],FDR[26],"",0,1)</f>
        <v>4</v>
      </c>
      <c r="AM518" cm="1">
        <f t="array" ref="AM518">_xlfn.XLOOKUP(Matrix[[#This Row],[TEAM]]&amp;Matrix[[#Headers],[27]],FDR[FDR]&amp;FDR[[#Headers],[27]],FDR[27],"",0,1)</f>
        <v>4</v>
      </c>
      <c r="AN518" cm="1">
        <f t="array" ref="AN518">_xlfn.XLOOKUP(Matrix[[#This Row],[TEAM]]&amp;Matrix[[#Headers],[28]],FDR[FDR]&amp;FDR[[#Headers],[28]],FDR[28],"",0,1)</f>
        <v>1</v>
      </c>
      <c r="AO518" cm="1">
        <f t="array" ref="AO518">_xlfn.XLOOKUP(Matrix[[#This Row],[TEAM]]&amp;Matrix[[#Headers],[29]],FDR[FDR]&amp;FDR[[#Headers],[29]],FDR[29],"",0,1)</f>
        <v>3</v>
      </c>
      <c r="AP518" cm="1">
        <f t="array" ref="AP518">_xlfn.XLOOKUP(Matrix[[#This Row],[TEAM]]&amp;Matrix[[#Headers],[30]],FDR[FDR]&amp;FDR[[#Headers],[30]],FDR[30],"",0,1)</f>
        <v>4</v>
      </c>
      <c r="AQ518" cm="1">
        <f t="array" ref="AQ518">_xlfn.XLOOKUP(Matrix[[#This Row],[TEAM]]&amp;Matrix[[#Headers],[31]],FDR[FDR]&amp;FDR[[#Headers],[31]],FDR[31],"",0,1)</f>
        <v>1</v>
      </c>
      <c r="AR518" cm="1">
        <f t="array" ref="AR518">_xlfn.XLOOKUP(Matrix[[#This Row],[TEAM]]&amp;Matrix[[#Headers],[32]],FDR[FDR]&amp;FDR[[#Headers],[32]],FDR[32],"",0,1)</f>
        <v>2</v>
      </c>
      <c r="AS518" cm="1">
        <f t="array" ref="AS518">_xlfn.XLOOKUP(Matrix[[#This Row],[TEAM]]&amp;Matrix[[#Headers],[33]],FDR[FDR]&amp;FDR[[#Headers],[33]],FDR[33],"",0,1)</f>
        <v>2</v>
      </c>
      <c r="AT518" cm="1">
        <f t="array" ref="AT518">_xlfn.XLOOKUP(Matrix[[#This Row],[TEAM]]&amp;Matrix[[#Headers],[34]],FDR[FDR]&amp;FDR[[#Headers],[34]],FDR[34],"",0,1)</f>
        <v>4</v>
      </c>
      <c r="AU518" cm="1">
        <f t="array" ref="AU518">_xlfn.XLOOKUP(Matrix[[#This Row],[TEAM]]&amp;Matrix[[#Headers],[35]],FDR[FDR]&amp;FDR[[#Headers],[35]],FDR[35],"",0,1)</f>
        <v>2</v>
      </c>
      <c r="AV518" cm="1">
        <f t="array" ref="AV518">_xlfn.XLOOKUP(Matrix[[#This Row],[TEAM]]&amp;Matrix[[#Headers],[36]],FDR[FDR]&amp;FDR[[#Headers],[36]],FDR[36],"",0,1)</f>
        <v>2</v>
      </c>
      <c r="AW518" cm="1">
        <f t="array" ref="AW518">_xlfn.XLOOKUP(Matrix[[#This Row],[TEAM]]&amp;Matrix[[#Headers],[37]],FDR[FDR]&amp;FDR[[#Headers],[37]],FDR[37],"",0,1)</f>
        <v>1</v>
      </c>
      <c r="AX518" cm="1">
        <f t="array" ref="AX518">_xlfn.XLOOKUP(Matrix[[#This Row],[TEAM]]&amp;Matrix[[#Headers],[38]],FDR[FDR]&amp;FDR[[#Headers],[38]],FDR[38],"",0,1)</f>
        <v>2</v>
      </c>
    </row>
    <row r="519" spans="1:50" ht="22" thickTop="1" thickBot="1">
      <c r="A519" s="51" t="s">
        <v>657</v>
      </c>
      <c r="B519" s="70" t="s">
        <v>1873</v>
      </c>
      <c r="C519" s="40" t="s">
        <v>25</v>
      </c>
      <c r="D519" s="62">
        <v>0</v>
      </c>
      <c r="E519" s="60">
        <v>2E-3</v>
      </c>
      <c r="F519" s="61">
        <v>0</v>
      </c>
      <c r="G519" s="63">
        <v>4</v>
      </c>
      <c r="H519" s="261">
        <f>IF(ISBLANK(I519),0,1)</f>
        <v>0</v>
      </c>
      <c r="I519" s="57"/>
      <c r="J519" s="58"/>
      <c r="K519" s="65" t="s">
        <v>1130</v>
      </c>
      <c r="L519" s="65" t="s">
        <v>1131</v>
      </c>
      <c r="M519" cm="1">
        <f t="array" ref="M519">_xlfn.XLOOKUP(Matrix[[#This Row],[TEAM]]&amp;Matrix[[#Headers],[1]],FDR[FDR]&amp;FDR[[#Headers],[1]],FDR[1],"",0,1)</f>
        <v>3</v>
      </c>
      <c r="N519" cm="1">
        <f t="array" ref="N519">_xlfn.XLOOKUP(Matrix[[#This Row],[TEAM]]&amp;Matrix[[#Headers],[2]],FDR[FDR]&amp;FDR[[#Headers],[2]],FDR[2],"",0,1)</f>
        <v>3</v>
      </c>
      <c r="O519" cm="1">
        <f t="array" ref="O519">_xlfn.XLOOKUP(Matrix[[#This Row],[TEAM]]&amp;Matrix[[#Headers],[3]],FDR[FDR]&amp;FDR[[#Headers],[3]],FDR[3],"",0,1)</f>
        <v>1</v>
      </c>
      <c r="P519" cm="1">
        <f t="array" ref="P519">_xlfn.XLOOKUP(Matrix[[#This Row],[TEAM]]&amp;Matrix[[#Headers],[4]],FDR[FDR]&amp;FDR[[#Headers],[4]],FDR[4],"",0,1)</f>
        <v>1</v>
      </c>
      <c r="Q519" cm="1">
        <f t="array" ref="Q519">_xlfn.XLOOKUP(Matrix[[#This Row],[TEAM]]&amp;Matrix[[#Headers],[5]],FDR[FDR]&amp;FDR[[#Headers],[5]],FDR[5],"",0,1)</f>
        <v>2</v>
      </c>
      <c r="R519" cm="1">
        <f t="array" ref="R519">_xlfn.XLOOKUP(Matrix[[#This Row],[TEAM]]&amp;Matrix[[#Headers],[6]],FDR[FDR]&amp;FDR[[#Headers],[6]],FDR[6],"",0,1)</f>
        <v>3</v>
      </c>
      <c r="S519" cm="1">
        <f t="array" ref="S519">_xlfn.XLOOKUP(Matrix[[#This Row],[TEAM]]&amp;Matrix[[#Headers],[7]],FDR[FDR]&amp;FDR[[#Headers],[7]],FDR[7],"",0,1)</f>
        <v>2</v>
      </c>
      <c r="T519" cm="1">
        <f t="array" ref="T519">_xlfn.XLOOKUP(Matrix[[#This Row],[TEAM]]&amp;Matrix[[#Headers],[8]],FDR[FDR]&amp;FDR[[#Headers],[8]],FDR[8],"",0,1)</f>
        <v>2</v>
      </c>
      <c r="U519" cm="1">
        <f t="array" ref="U519">_xlfn.XLOOKUP(Matrix[[#This Row],[TEAM]]&amp;Matrix[[#Headers],[9]],FDR[FDR]&amp;FDR[[#Headers],[9]],FDR[9],"",0,1)</f>
        <v>2</v>
      </c>
      <c r="V519" cm="1">
        <f t="array" ref="V519">_xlfn.XLOOKUP(Matrix[[#This Row],[TEAM]]&amp;Matrix[[#Headers],[10]],FDR[FDR]&amp;FDR[[#Headers],[10]],FDR[10],"",0,1)</f>
        <v>2</v>
      </c>
      <c r="W519" cm="1">
        <f t="array" ref="W519">_xlfn.XLOOKUP(Matrix[[#This Row],[TEAM]]&amp;Matrix[[#Headers],[11]],FDR[FDR]&amp;FDR[[#Headers],[11]],FDR[11],"",0,1)</f>
        <v>2</v>
      </c>
      <c r="X519" cm="1">
        <f t="array" ref="X519">_xlfn.XLOOKUP(Matrix[[#This Row],[TEAM]]&amp;Matrix[[#Headers],[12]],FDR[FDR]&amp;FDR[[#Headers],[12]],FDR[12],"",0,1)</f>
        <v>3</v>
      </c>
      <c r="Y519" cm="1">
        <f t="array" ref="Y519">_xlfn.XLOOKUP(Matrix[[#This Row],[TEAM]]&amp;Matrix[[#Headers],[13]],FDR[FDR]&amp;FDR[[#Headers],[13]],FDR[13],"",0,1)</f>
        <v>2</v>
      </c>
      <c r="Z519" cm="1">
        <f t="array" ref="Z519">_xlfn.XLOOKUP(Matrix[[#This Row],[TEAM]]&amp;Matrix[[#Headers],[14]],FDR[FDR]&amp;FDR[[#Headers],[14]],FDR[14],"",0,1)</f>
        <v>3</v>
      </c>
      <c r="AA519" cm="1">
        <f t="array" ref="AA519">_xlfn.XLOOKUP(Matrix[[#This Row],[TEAM]]&amp;Matrix[[#Headers],[15]],FDR[FDR]&amp;FDR[[#Headers],[15]],FDR[15],"",0,1)</f>
        <v>1</v>
      </c>
      <c r="AB519" cm="1">
        <f t="array" ref="AB519">_xlfn.XLOOKUP(Matrix[[#This Row],[TEAM]]&amp;Matrix[[#Headers],[16]],FDR[FDR]&amp;FDR[[#Headers],[16]],FDR[16],"",0,1)</f>
        <v>1</v>
      </c>
      <c r="AC519" cm="1">
        <f t="array" ref="AC519">_xlfn.XLOOKUP(Matrix[[#This Row],[TEAM]]&amp;Matrix[[#Headers],[17]],FDR[FDR]&amp;FDR[[#Headers],[17]],FDR[17],"",0,1)</f>
        <v>3</v>
      </c>
      <c r="AD519" cm="1">
        <f t="array" ref="AD519">_xlfn.XLOOKUP(Matrix[[#This Row],[TEAM]]&amp;Matrix[[#Headers],[18]],FDR[FDR]&amp;FDR[[#Headers],[18]],FDR[18],"",0,1)</f>
        <v>4</v>
      </c>
      <c r="AE519" cm="1">
        <f t="array" ref="AE519">_xlfn.XLOOKUP(Matrix[[#This Row],[TEAM]]&amp;Matrix[[#Headers],[19]],FDR[FDR]&amp;FDR[[#Headers],[19]],FDR[19],"",0,1)</f>
        <v>1</v>
      </c>
      <c r="AF519" cm="1">
        <f t="array" ref="AF519">_xlfn.XLOOKUP(Matrix[[#This Row],[TEAM]]&amp;Matrix[[#Headers],[20]],FDR[FDR]&amp;FDR[[#Headers],[20]],FDR[20],"",0,1)</f>
        <v>1</v>
      </c>
      <c r="AG519" cm="1">
        <f t="array" ref="AG519">_xlfn.XLOOKUP(Matrix[[#This Row],[TEAM]]&amp;Matrix[[#Headers],[21]],FDR[FDR]&amp;FDR[[#Headers],[21]],FDR[21],"",0,1)</f>
        <v>1</v>
      </c>
      <c r="AH519" cm="1">
        <f t="array" ref="AH519">_xlfn.XLOOKUP(Matrix[[#This Row],[TEAM]]&amp;Matrix[[#Headers],[22]],FDR[FDR]&amp;FDR[[#Headers],[22]],FDR[22],"",0,1)</f>
        <v>1</v>
      </c>
      <c r="AI519" cm="1">
        <f t="array" ref="AI519">_xlfn.XLOOKUP(Matrix[[#This Row],[TEAM]]&amp;Matrix[[#Headers],[23]],FDR[FDR]&amp;FDR[[#Headers],[23]],FDR[23],"",0,1)</f>
        <v>2</v>
      </c>
      <c r="AJ519" cm="1">
        <f t="array" ref="AJ519">_xlfn.XLOOKUP(Matrix[[#This Row],[TEAM]]&amp;Matrix[[#Headers],[24]],FDR[FDR]&amp;FDR[[#Headers],[24]],FDR[24],"",0,1)</f>
        <v>4</v>
      </c>
      <c r="AK519" cm="1">
        <f t="array" ref="AK519">_xlfn.XLOOKUP(Matrix[[#This Row],[TEAM]]&amp;Matrix[[#Headers],[25]],FDR[FDR]&amp;FDR[[#Headers],[25]],FDR[25],"",0,1)</f>
        <v>1</v>
      </c>
      <c r="AL519" cm="1">
        <f t="array" ref="AL519">_xlfn.XLOOKUP(Matrix[[#This Row],[TEAM]]&amp;Matrix[[#Headers],[26]],FDR[FDR]&amp;FDR[[#Headers],[26]],FDR[26],"",0,1)</f>
        <v>4</v>
      </c>
      <c r="AM519" cm="1">
        <f t="array" ref="AM519">_xlfn.XLOOKUP(Matrix[[#This Row],[TEAM]]&amp;Matrix[[#Headers],[27]],FDR[FDR]&amp;FDR[[#Headers],[27]],FDR[27],"",0,1)</f>
        <v>4</v>
      </c>
      <c r="AN519" cm="1">
        <f t="array" ref="AN519">_xlfn.XLOOKUP(Matrix[[#This Row],[TEAM]]&amp;Matrix[[#Headers],[28]],FDR[FDR]&amp;FDR[[#Headers],[28]],FDR[28],"",0,1)</f>
        <v>1</v>
      </c>
      <c r="AO519" cm="1">
        <f t="array" ref="AO519">_xlfn.XLOOKUP(Matrix[[#This Row],[TEAM]]&amp;Matrix[[#Headers],[29]],FDR[FDR]&amp;FDR[[#Headers],[29]],FDR[29],"",0,1)</f>
        <v>3</v>
      </c>
      <c r="AP519" cm="1">
        <f t="array" ref="AP519">_xlfn.XLOOKUP(Matrix[[#This Row],[TEAM]]&amp;Matrix[[#Headers],[30]],FDR[FDR]&amp;FDR[[#Headers],[30]],FDR[30],"",0,1)</f>
        <v>4</v>
      </c>
      <c r="AQ519" cm="1">
        <f t="array" ref="AQ519">_xlfn.XLOOKUP(Matrix[[#This Row],[TEAM]]&amp;Matrix[[#Headers],[31]],FDR[FDR]&amp;FDR[[#Headers],[31]],FDR[31],"",0,1)</f>
        <v>1</v>
      </c>
      <c r="AR519" cm="1">
        <f t="array" ref="AR519">_xlfn.XLOOKUP(Matrix[[#This Row],[TEAM]]&amp;Matrix[[#Headers],[32]],FDR[FDR]&amp;FDR[[#Headers],[32]],FDR[32],"",0,1)</f>
        <v>2</v>
      </c>
      <c r="AS519" cm="1">
        <f t="array" ref="AS519">_xlfn.XLOOKUP(Matrix[[#This Row],[TEAM]]&amp;Matrix[[#Headers],[33]],FDR[FDR]&amp;FDR[[#Headers],[33]],FDR[33],"",0,1)</f>
        <v>2</v>
      </c>
      <c r="AT519" cm="1">
        <f t="array" ref="AT519">_xlfn.XLOOKUP(Matrix[[#This Row],[TEAM]]&amp;Matrix[[#Headers],[34]],FDR[FDR]&amp;FDR[[#Headers],[34]],FDR[34],"",0,1)</f>
        <v>4</v>
      </c>
      <c r="AU519" cm="1">
        <f t="array" ref="AU519">_xlfn.XLOOKUP(Matrix[[#This Row],[TEAM]]&amp;Matrix[[#Headers],[35]],FDR[FDR]&amp;FDR[[#Headers],[35]],FDR[35],"",0,1)</f>
        <v>2</v>
      </c>
      <c r="AV519" cm="1">
        <f t="array" ref="AV519">_xlfn.XLOOKUP(Matrix[[#This Row],[TEAM]]&amp;Matrix[[#Headers],[36]],FDR[FDR]&amp;FDR[[#Headers],[36]],FDR[36],"",0,1)</f>
        <v>2</v>
      </c>
      <c r="AW519" cm="1">
        <f t="array" ref="AW519">_xlfn.XLOOKUP(Matrix[[#This Row],[TEAM]]&amp;Matrix[[#Headers],[37]],FDR[FDR]&amp;FDR[[#Headers],[37]],FDR[37],"",0,1)</f>
        <v>1</v>
      </c>
      <c r="AX519" cm="1">
        <f t="array" ref="AX519">_xlfn.XLOOKUP(Matrix[[#This Row],[TEAM]]&amp;Matrix[[#Headers],[38]],FDR[FDR]&amp;FDR[[#Headers],[38]],FDR[38],"",0,1)</f>
        <v>2</v>
      </c>
    </row>
    <row r="520" spans="1:50" ht="22" thickTop="1" thickBot="1">
      <c r="A520" s="51" t="s">
        <v>657</v>
      </c>
      <c r="B520" s="70" t="s">
        <v>1875</v>
      </c>
      <c r="C520" s="40" t="s">
        <v>52</v>
      </c>
      <c r="D520" s="62">
        <v>0</v>
      </c>
      <c r="E520" s="60">
        <v>2E-3</v>
      </c>
      <c r="F520" s="61">
        <v>0</v>
      </c>
      <c r="G520" s="63">
        <v>4</v>
      </c>
      <c r="H520" s="261">
        <f>IF(ISBLANK(I520),0,1)</f>
        <v>0</v>
      </c>
      <c r="I520" s="57"/>
      <c r="J520" s="58"/>
      <c r="K520" s="65" t="s">
        <v>1146</v>
      </c>
      <c r="L520" s="65" t="s">
        <v>1145</v>
      </c>
      <c r="M520" cm="1">
        <f t="array" ref="M520">_xlfn.XLOOKUP(Matrix[[#This Row],[TEAM]]&amp;Matrix[[#Headers],[1]],FDR[FDR]&amp;FDR[[#Headers],[1]],FDR[1],"",0,1)</f>
        <v>2</v>
      </c>
      <c r="N520" cm="1">
        <f t="array" ref="N520">_xlfn.XLOOKUP(Matrix[[#This Row],[TEAM]]&amp;Matrix[[#Headers],[2]],FDR[FDR]&amp;FDR[[#Headers],[2]],FDR[2],"",0,1)</f>
        <v>3</v>
      </c>
      <c r="O520" cm="1">
        <f t="array" ref="O520">_xlfn.XLOOKUP(Matrix[[#This Row],[TEAM]]&amp;Matrix[[#Headers],[3]],FDR[FDR]&amp;FDR[[#Headers],[3]],FDR[3],"",0,1)</f>
        <v>2</v>
      </c>
      <c r="P520" cm="1">
        <f t="array" ref="P520">_xlfn.XLOOKUP(Matrix[[#This Row],[TEAM]]&amp;Matrix[[#Headers],[4]],FDR[FDR]&amp;FDR[[#Headers],[4]],FDR[4],"",0,1)</f>
        <v>5</v>
      </c>
      <c r="Q520" cm="1">
        <f t="array" ref="Q520">_xlfn.XLOOKUP(Matrix[[#This Row],[TEAM]]&amp;Matrix[[#Headers],[5]],FDR[FDR]&amp;FDR[[#Headers],[5]],FDR[5],"",0,1)</f>
        <v>2</v>
      </c>
      <c r="R520" cm="1">
        <f t="array" ref="R520">_xlfn.XLOOKUP(Matrix[[#This Row],[TEAM]]&amp;Matrix[[#Headers],[6]],FDR[FDR]&amp;FDR[[#Headers],[6]],FDR[6],"",0,1)</f>
        <v>1</v>
      </c>
      <c r="S520" cm="1">
        <f t="array" ref="S520">_xlfn.XLOOKUP(Matrix[[#This Row],[TEAM]]&amp;Matrix[[#Headers],[7]],FDR[FDR]&amp;FDR[[#Headers],[7]],FDR[7],"",0,1)</f>
        <v>5</v>
      </c>
      <c r="T520" cm="1">
        <f t="array" ref="T520">_xlfn.XLOOKUP(Matrix[[#This Row],[TEAM]]&amp;Matrix[[#Headers],[8]],FDR[FDR]&amp;FDR[[#Headers],[8]],FDR[8],"",0,1)</f>
        <v>4</v>
      </c>
      <c r="U520" cm="1">
        <f t="array" ref="U520">_xlfn.XLOOKUP(Matrix[[#This Row],[TEAM]]&amp;Matrix[[#Headers],[9]],FDR[FDR]&amp;FDR[[#Headers],[9]],FDR[9],"",0,1)</f>
        <v>4</v>
      </c>
      <c r="V520" cm="1">
        <f t="array" ref="V520">_xlfn.XLOOKUP(Matrix[[#This Row],[TEAM]]&amp;Matrix[[#Headers],[10]],FDR[FDR]&amp;FDR[[#Headers],[10]],FDR[10],"",0,1)</f>
        <v>4</v>
      </c>
      <c r="W520" cm="1">
        <f t="array" ref="W520">_xlfn.XLOOKUP(Matrix[[#This Row],[TEAM]]&amp;Matrix[[#Headers],[11]],FDR[FDR]&amp;FDR[[#Headers],[11]],FDR[11],"",0,1)</f>
        <v>1</v>
      </c>
      <c r="X520" cm="1">
        <f t="array" ref="X520">_xlfn.XLOOKUP(Matrix[[#This Row],[TEAM]]&amp;Matrix[[#Headers],[12]],FDR[FDR]&amp;FDR[[#Headers],[12]],FDR[12],"",0,1)</f>
        <v>5</v>
      </c>
      <c r="Y520" cm="1">
        <f t="array" ref="Y520">_xlfn.XLOOKUP(Matrix[[#This Row],[TEAM]]&amp;Matrix[[#Headers],[13]],FDR[FDR]&amp;FDR[[#Headers],[13]],FDR[13],"",0,1)</f>
        <v>3</v>
      </c>
      <c r="Z520" cm="1">
        <f t="array" ref="Z520">_xlfn.XLOOKUP(Matrix[[#This Row],[TEAM]]&amp;Matrix[[#Headers],[14]],FDR[FDR]&amp;FDR[[#Headers],[14]],FDR[14],"",0,1)</f>
        <v>2</v>
      </c>
      <c r="AA520" cm="1">
        <f t="array" ref="AA520">_xlfn.XLOOKUP(Matrix[[#This Row],[TEAM]]&amp;Matrix[[#Headers],[15]],FDR[FDR]&amp;FDR[[#Headers],[15]],FDR[15],"",0,1)</f>
        <v>3</v>
      </c>
      <c r="AB520" cm="1">
        <f t="array" ref="AB520">_xlfn.XLOOKUP(Matrix[[#This Row],[TEAM]]&amp;Matrix[[#Headers],[16]],FDR[FDR]&amp;FDR[[#Headers],[16]],FDR[16],"",0,1)</f>
        <v>4</v>
      </c>
      <c r="AC520" cm="1">
        <f t="array" ref="AC520">_xlfn.XLOOKUP(Matrix[[#This Row],[TEAM]]&amp;Matrix[[#Headers],[17]],FDR[FDR]&amp;FDR[[#Headers],[17]],FDR[17],"",0,1)</f>
        <v>4</v>
      </c>
      <c r="AD520" cm="1">
        <f t="array" ref="AD520">_xlfn.XLOOKUP(Matrix[[#This Row],[TEAM]]&amp;Matrix[[#Headers],[18]],FDR[FDR]&amp;FDR[[#Headers],[18]],FDR[18],"",0,1)</f>
        <v>4</v>
      </c>
      <c r="AE520" cm="1">
        <f t="array" ref="AE520">_xlfn.XLOOKUP(Matrix[[#This Row],[TEAM]]&amp;Matrix[[#Headers],[19]],FDR[FDR]&amp;FDR[[#Headers],[19]],FDR[19],"",0,1)</f>
        <v>2</v>
      </c>
      <c r="AF520" cm="1">
        <f t="array" ref="AF520">_xlfn.XLOOKUP(Matrix[[#This Row],[TEAM]]&amp;Matrix[[#Headers],[20]],FDR[FDR]&amp;FDR[[#Headers],[20]],FDR[20],"",0,1)</f>
        <v>5</v>
      </c>
      <c r="AG520" cm="1">
        <f t="array" ref="AG520">_xlfn.XLOOKUP(Matrix[[#This Row],[TEAM]]&amp;Matrix[[#Headers],[21]],FDR[FDR]&amp;FDR[[#Headers],[21]],FDR[21],"",0,1)</f>
        <v>3</v>
      </c>
      <c r="AH520" cm="1">
        <f t="array" ref="AH520">_xlfn.XLOOKUP(Matrix[[#This Row],[TEAM]]&amp;Matrix[[#Headers],[22]],FDR[FDR]&amp;FDR[[#Headers],[22]],FDR[22],"",0,1)</f>
        <v>4</v>
      </c>
      <c r="AI520" cm="1">
        <f t="array" ref="AI520">_xlfn.XLOOKUP(Matrix[[#This Row],[TEAM]]&amp;Matrix[[#Headers],[23]],FDR[FDR]&amp;FDR[[#Headers],[23]],FDR[23],"",0,1)</f>
        <v>3</v>
      </c>
      <c r="AJ520" cm="1">
        <f t="array" ref="AJ520">_xlfn.XLOOKUP(Matrix[[#This Row],[TEAM]]&amp;Matrix[[#Headers],[24]],FDR[FDR]&amp;FDR[[#Headers],[24]],FDR[24],"",0,1)</f>
        <v>2</v>
      </c>
      <c r="AK520" cm="1">
        <f t="array" ref="AK520">_xlfn.XLOOKUP(Matrix[[#This Row],[TEAM]]&amp;Matrix[[#Headers],[25]],FDR[FDR]&amp;FDR[[#Headers],[25]],FDR[25],"",0,1)</f>
        <v>2</v>
      </c>
      <c r="AL520" cm="1">
        <f t="array" ref="AL520">_xlfn.XLOOKUP(Matrix[[#This Row],[TEAM]]&amp;Matrix[[#Headers],[26]],FDR[FDR]&amp;FDR[[#Headers],[26]],FDR[26],"",0,1)</f>
        <v>1</v>
      </c>
      <c r="AM520" cm="1">
        <f t="array" ref="AM520">_xlfn.XLOOKUP(Matrix[[#This Row],[TEAM]]&amp;Matrix[[#Headers],[27]],FDR[FDR]&amp;FDR[[#Headers],[27]],FDR[27],"",0,1)</f>
        <v>4</v>
      </c>
      <c r="AN520" cm="1">
        <f t="array" ref="AN520">_xlfn.XLOOKUP(Matrix[[#This Row],[TEAM]]&amp;Matrix[[#Headers],[28]],FDR[FDR]&amp;FDR[[#Headers],[28]],FDR[28],"",0,1)</f>
        <v>4</v>
      </c>
      <c r="AO520" cm="1">
        <f t="array" ref="AO520">_xlfn.XLOOKUP(Matrix[[#This Row],[TEAM]]&amp;Matrix[[#Headers],[29]],FDR[FDR]&amp;FDR[[#Headers],[29]],FDR[29],"",0,1)</f>
        <v>5</v>
      </c>
      <c r="AP520" cm="1">
        <f t="array" ref="AP520">_xlfn.XLOOKUP(Matrix[[#This Row],[TEAM]]&amp;Matrix[[#Headers],[30]],FDR[FDR]&amp;FDR[[#Headers],[30]],FDR[30],"",0,1)</f>
        <v>3</v>
      </c>
      <c r="AQ520" cm="1">
        <f t="array" ref="AQ520">_xlfn.XLOOKUP(Matrix[[#This Row],[TEAM]]&amp;Matrix[[#Headers],[31]],FDR[FDR]&amp;FDR[[#Headers],[31]],FDR[31],"",0,1)</f>
        <v>5</v>
      </c>
      <c r="AR520" cm="1">
        <f t="array" ref="AR520">_xlfn.XLOOKUP(Matrix[[#This Row],[TEAM]]&amp;Matrix[[#Headers],[32]],FDR[FDR]&amp;FDR[[#Headers],[32]],FDR[32],"",0,1)</f>
        <v>3</v>
      </c>
      <c r="AS520" cm="1">
        <f t="array" ref="AS520">_xlfn.XLOOKUP(Matrix[[#This Row],[TEAM]]&amp;Matrix[[#Headers],[33]],FDR[FDR]&amp;FDR[[#Headers],[33]],FDR[33],"",0,1)</f>
        <v>1</v>
      </c>
      <c r="AT520" cm="1">
        <f t="array" ref="AT520">_xlfn.XLOOKUP(Matrix[[#This Row],[TEAM]]&amp;Matrix[[#Headers],[34]],FDR[FDR]&amp;FDR[[#Headers],[34]],FDR[34],"",0,1)</f>
        <v>2</v>
      </c>
      <c r="AU520" cm="1">
        <f t="array" ref="AU520">_xlfn.XLOOKUP(Matrix[[#This Row],[TEAM]]&amp;Matrix[[#Headers],[35]],FDR[FDR]&amp;FDR[[#Headers],[35]],FDR[35],"",0,1)</f>
        <v>5</v>
      </c>
      <c r="AV520" cm="1">
        <f t="array" ref="AV520">_xlfn.XLOOKUP(Matrix[[#This Row],[TEAM]]&amp;Matrix[[#Headers],[36]],FDR[FDR]&amp;FDR[[#Headers],[36]],FDR[36],"",0,1)</f>
        <v>4</v>
      </c>
      <c r="AW520" cm="1">
        <f t="array" ref="AW520">_xlfn.XLOOKUP(Matrix[[#This Row],[TEAM]]&amp;Matrix[[#Headers],[37]],FDR[FDR]&amp;FDR[[#Headers],[37]],FDR[37],"",0,1)</f>
        <v>5</v>
      </c>
      <c r="AX520" cm="1">
        <f t="array" ref="AX520">_xlfn.XLOOKUP(Matrix[[#This Row],[TEAM]]&amp;Matrix[[#Headers],[38]],FDR[FDR]&amp;FDR[[#Headers],[38]],FDR[38],"",0,1)</f>
        <v>3</v>
      </c>
    </row>
    <row r="521" spans="1:50" ht="22" thickTop="1" thickBot="1">
      <c r="A521" s="51" t="s">
        <v>657</v>
      </c>
      <c r="B521" s="70" t="s">
        <v>1793</v>
      </c>
      <c r="C521" s="40" t="s">
        <v>634</v>
      </c>
      <c r="D521" s="62">
        <v>0</v>
      </c>
      <c r="E521" s="60">
        <v>7.5999999999999998E-2</v>
      </c>
      <c r="F521" s="61">
        <v>0</v>
      </c>
      <c r="G521" s="63">
        <v>4</v>
      </c>
      <c r="H521" s="261">
        <f>IF(ISBLANK(I521),0,1)</f>
        <v>0</v>
      </c>
      <c r="I521" s="57"/>
      <c r="J521" s="58"/>
      <c r="K521" s="65" t="s">
        <v>1198</v>
      </c>
      <c r="L521" s="65" t="s">
        <v>1180</v>
      </c>
      <c r="M521" cm="1">
        <f t="array" ref="M521">_xlfn.XLOOKUP(Matrix[[#This Row],[TEAM]]&amp;Matrix[[#Headers],[1]],FDR[FDR]&amp;FDR[[#Headers],[1]],FDR[1],"",0,1)</f>
        <v>4</v>
      </c>
      <c r="N521" cm="1">
        <f t="array" ref="N521">_xlfn.XLOOKUP(Matrix[[#This Row],[TEAM]]&amp;Matrix[[#Headers],[2]],FDR[FDR]&amp;FDR[[#Headers],[2]],FDR[2],"",0,1)</f>
        <v>4</v>
      </c>
      <c r="O521" cm="1">
        <f t="array" ref="O521">_xlfn.XLOOKUP(Matrix[[#This Row],[TEAM]]&amp;Matrix[[#Headers],[3]],FDR[FDR]&amp;FDR[[#Headers],[3]],FDR[3],"",0,1)</f>
        <v>4</v>
      </c>
      <c r="P521" cm="1">
        <f t="array" ref="P521">_xlfn.XLOOKUP(Matrix[[#This Row],[TEAM]]&amp;Matrix[[#Headers],[4]],FDR[FDR]&amp;FDR[[#Headers],[4]],FDR[4],"",0,1)</f>
        <v>5</v>
      </c>
      <c r="Q521" cm="1">
        <f t="array" ref="Q521">_xlfn.XLOOKUP(Matrix[[#This Row],[TEAM]]&amp;Matrix[[#Headers],[5]],FDR[FDR]&amp;FDR[[#Headers],[5]],FDR[5],"",0,1)</f>
        <v>5</v>
      </c>
      <c r="R521" cm="1">
        <f t="array" ref="R521">_xlfn.XLOOKUP(Matrix[[#This Row],[TEAM]]&amp;Matrix[[#Headers],[6]],FDR[FDR]&amp;FDR[[#Headers],[6]],FDR[6],"",0,1)</f>
        <v>5</v>
      </c>
      <c r="S521" cm="1">
        <f t="array" ref="S521">_xlfn.XLOOKUP(Matrix[[#This Row],[TEAM]]&amp;Matrix[[#Headers],[7]],FDR[FDR]&amp;FDR[[#Headers],[7]],FDR[7],"",0,1)</f>
        <v>5</v>
      </c>
      <c r="T521" cm="1">
        <f t="array" ref="T521">_xlfn.XLOOKUP(Matrix[[#This Row],[TEAM]]&amp;Matrix[[#Headers],[8]],FDR[FDR]&amp;FDR[[#Headers],[8]],FDR[8],"",0,1)</f>
        <v>3</v>
      </c>
      <c r="U521" cm="1">
        <f t="array" ref="U521">_xlfn.XLOOKUP(Matrix[[#This Row],[TEAM]]&amp;Matrix[[#Headers],[9]],FDR[FDR]&amp;FDR[[#Headers],[9]],FDR[9],"",0,1)</f>
        <v>5</v>
      </c>
      <c r="V521" cm="1">
        <f t="array" ref="V521">_xlfn.XLOOKUP(Matrix[[#This Row],[TEAM]]&amp;Matrix[[#Headers],[10]],FDR[FDR]&amp;FDR[[#Headers],[10]],FDR[10],"",0,1)</f>
        <v>4</v>
      </c>
      <c r="W521" cm="1">
        <f t="array" ref="W521">_xlfn.XLOOKUP(Matrix[[#This Row],[TEAM]]&amp;Matrix[[#Headers],[11]],FDR[FDR]&amp;FDR[[#Headers],[11]],FDR[11],"",0,1)</f>
        <v>5</v>
      </c>
      <c r="X521" cm="1">
        <f t="array" ref="X521">_xlfn.XLOOKUP(Matrix[[#This Row],[TEAM]]&amp;Matrix[[#Headers],[12]],FDR[FDR]&amp;FDR[[#Headers],[12]],FDR[12],"",0,1)</f>
        <v>5</v>
      </c>
      <c r="Y521" cm="1">
        <f t="array" ref="Y521">_xlfn.XLOOKUP(Matrix[[#This Row],[TEAM]]&amp;Matrix[[#Headers],[13]],FDR[FDR]&amp;FDR[[#Headers],[13]],FDR[13],"",0,1)</f>
        <v>5</v>
      </c>
      <c r="Z521" cm="1">
        <f t="array" ref="Z521">_xlfn.XLOOKUP(Matrix[[#This Row],[TEAM]]&amp;Matrix[[#Headers],[14]],FDR[FDR]&amp;FDR[[#Headers],[14]],FDR[14],"",0,1)</f>
        <v>5</v>
      </c>
      <c r="AA521" cm="1">
        <f t="array" ref="AA521">_xlfn.XLOOKUP(Matrix[[#This Row],[TEAM]]&amp;Matrix[[#Headers],[15]],FDR[FDR]&amp;FDR[[#Headers],[15]],FDR[15],"",0,1)</f>
        <v>5</v>
      </c>
      <c r="AB521" cm="1">
        <f t="array" ref="AB521">_xlfn.XLOOKUP(Matrix[[#This Row],[TEAM]]&amp;Matrix[[#Headers],[16]],FDR[FDR]&amp;FDR[[#Headers],[16]],FDR[16],"",0,1)</f>
        <v>5</v>
      </c>
      <c r="AC521" cm="1">
        <f t="array" ref="AC521">_xlfn.XLOOKUP(Matrix[[#This Row],[TEAM]]&amp;Matrix[[#Headers],[17]],FDR[FDR]&amp;FDR[[#Headers],[17]],FDR[17],"",0,1)</f>
        <v>5</v>
      </c>
      <c r="AD521" cm="1">
        <f t="array" ref="AD521">_xlfn.XLOOKUP(Matrix[[#This Row],[TEAM]]&amp;Matrix[[#Headers],[18]],FDR[FDR]&amp;FDR[[#Headers],[18]],FDR[18],"",0,1)</f>
        <v>3</v>
      </c>
      <c r="AE521" cm="1">
        <f t="array" ref="AE521">_xlfn.XLOOKUP(Matrix[[#This Row],[TEAM]]&amp;Matrix[[#Headers],[19]],FDR[FDR]&amp;FDR[[#Headers],[19]],FDR[19],"",0,1)</f>
        <v>5</v>
      </c>
      <c r="AF521" cm="1">
        <f t="array" ref="AF521">_xlfn.XLOOKUP(Matrix[[#This Row],[TEAM]]&amp;Matrix[[#Headers],[20]],FDR[FDR]&amp;FDR[[#Headers],[20]],FDR[20],"",0,1)</f>
        <v>5</v>
      </c>
      <c r="AG521" cm="1">
        <f t="array" ref="AG521">_xlfn.XLOOKUP(Matrix[[#This Row],[TEAM]]&amp;Matrix[[#Headers],[21]],FDR[FDR]&amp;FDR[[#Headers],[21]],FDR[21],"",0,1)</f>
        <v>5</v>
      </c>
      <c r="AH521" cm="1">
        <f t="array" ref="AH521">_xlfn.XLOOKUP(Matrix[[#This Row],[TEAM]]&amp;Matrix[[#Headers],[22]],FDR[FDR]&amp;FDR[[#Headers],[22]],FDR[22],"",0,1)</f>
        <v>4</v>
      </c>
      <c r="AI521" cm="1">
        <f t="array" ref="AI521">_xlfn.XLOOKUP(Matrix[[#This Row],[TEAM]]&amp;Matrix[[#Headers],[23]],FDR[FDR]&amp;FDR[[#Headers],[23]],FDR[23],"",0,1)</f>
        <v>5</v>
      </c>
      <c r="AJ521" cm="1">
        <f t="array" ref="AJ521">_xlfn.XLOOKUP(Matrix[[#This Row],[TEAM]]&amp;Matrix[[#Headers],[24]],FDR[FDR]&amp;FDR[[#Headers],[24]],FDR[24],"",0,1)</f>
        <v>3</v>
      </c>
      <c r="AK521" cm="1">
        <f t="array" ref="AK521">_xlfn.XLOOKUP(Matrix[[#This Row],[TEAM]]&amp;Matrix[[#Headers],[25]],FDR[FDR]&amp;FDR[[#Headers],[25]],FDR[25],"",0,1)</f>
        <v>5</v>
      </c>
      <c r="AL521" cm="1">
        <f t="array" ref="AL521">_xlfn.XLOOKUP(Matrix[[#This Row],[TEAM]]&amp;Matrix[[#Headers],[26]],FDR[FDR]&amp;FDR[[#Headers],[26]],FDR[26],"",0,1)</f>
        <v>5</v>
      </c>
      <c r="AM521" cm="1">
        <f t="array" ref="AM521">_xlfn.XLOOKUP(Matrix[[#This Row],[TEAM]]&amp;Matrix[[#Headers],[27]],FDR[FDR]&amp;FDR[[#Headers],[27]],FDR[27],"",0,1)</f>
        <v>5</v>
      </c>
      <c r="AN521" cm="1">
        <f t="array" ref="AN521">_xlfn.XLOOKUP(Matrix[[#This Row],[TEAM]]&amp;Matrix[[#Headers],[28]],FDR[FDR]&amp;FDR[[#Headers],[28]],FDR[28],"",0,1)</f>
        <v>5</v>
      </c>
      <c r="AO521" cm="1">
        <f t="array" ref="AO521">_xlfn.XLOOKUP(Matrix[[#This Row],[TEAM]]&amp;Matrix[[#Headers],[29]],FDR[FDR]&amp;FDR[[#Headers],[29]],FDR[29],"",0,1)</f>
        <v>4</v>
      </c>
      <c r="AP521" cm="1">
        <f t="array" ref="AP521">_xlfn.XLOOKUP(Matrix[[#This Row],[TEAM]]&amp;Matrix[[#Headers],[30]],FDR[FDR]&amp;FDR[[#Headers],[30]],FDR[30],"",0,1)</f>
        <v>5</v>
      </c>
      <c r="AQ521" cm="1">
        <f t="array" ref="AQ521">_xlfn.XLOOKUP(Matrix[[#This Row],[TEAM]]&amp;Matrix[[#Headers],[31]],FDR[FDR]&amp;FDR[[#Headers],[31]],FDR[31],"",0,1)</f>
        <v>5</v>
      </c>
      <c r="AR521" cm="1">
        <f t="array" ref="AR521">_xlfn.XLOOKUP(Matrix[[#This Row],[TEAM]]&amp;Matrix[[#Headers],[32]],FDR[FDR]&amp;FDR[[#Headers],[32]],FDR[32],"",0,1)</f>
        <v>5</v>
      </c>
      <c r="AS521" cm="1">
        <f t="array" ref="AS521">_xlfn.XLOOKUP(Matrix[[#This Row],[TEAM]]&amp;Matrix[[#Headers],[33]],FDR[FDR]&amp;FDR[[#Headers],[33]],FDR[33],"",0,1)</f>
        <v>5</v>
      </c>
      <c r="AT521" cm="1">
        <f t="array" ref="AT521">_xlfn.XLOOKUP(Matrix[[#This Row],[TEAM]]&amp;Matrix[[#Headers],[34]],FDR[FDR]&amp;FDR[[#Headers],[34]],FDR[34],"",0,1)</f>
        <v>5</v>
      </c>
      <c r="AU521" cm="1">
        <f t="array" ref="AU521">_xlfn.XLOOKUP(Matrix[[#This Row],[TEAM]]&amp;Matrix[[#Headers],[35]],FDR[FDR]&amp;FDR[[#Headers],[35]],FDR[35],"",0,1)</f>
        <v>4</v>
      </c>
      <c r="AV521" cm="1">
        <f t="array" ref="AV521">_xlfn.XLOOKUP(Matrix[[#This Row],[TEAM]]&amp;Matrix[[#Headers],[36]],FDR[FDR]&amp;FDR[[#Headers],[36]],FDR[36],"",0,1)</f>
        <v>5</v>
      </c>
      <c r="AW521" cm="1">
        <f t="array" ref="AW521">_xlfn.XLOOKUP(Matrix[[#This Row],[TEAM]]&amp;Matrix[[#Headers],[37]],FDR[FDR]&amp;FDR[[#Headers],[37]],FDR[37],"",0,1)</f>
        <v>5</v>
      </c>
      <c r="AX521" cm="1">
        <f t="array" ref="AX521">_xlfn.XLOOKUP(Matrix[[#This Row],[TEAM]]&amp;Matrix[[#Headers],[38]],FDR[FDR]&amp;FDR[[#Headers],[38]],FDR[38],"",0,1)</f>
        <v>5</v>
      </c>
    </row>
    <row r="522" spans="1:50" ht="22" thickTop="1" thickBot="1">
      <c r="A522" s="51" t="s">
        <v>657</v>
      </c>
      <c r="B522" s="70" t="s">
        <v>1819</v>
      </c>
      <c r="C522" s="40" t="s">
        <v>634</v>
      </c>
      <c r="D522" s="62">
        <v>0</v>
      </c>
      <c r="E522" s="60">
        <v>5.0000000000000001E-3</v>
      </c>
      <c r="F522" s="61">
        <v>0</v>
      </c>
      <c r="G522" s="63">
        <v>4</v>
      </c>
      <c r="H522" s="261">
        <f>IF(ISBLANK(I522),0,1)</f>
        <v>0</v>
      </c>
      <c r="I522" s="57"/>
      <c r="J522" s="58"/>
      <c r="K522" s="65" t="s">
        <v>399</v>
      </c>
      <c r="L522" s="65" t="s">
        <v>529</v>
      </c>
      <c r="M522" cm="1">
        <f t="array" ref="M522">_xlfn.XLOOKUP(Matrix[[#This Row],[TEAM]]&amp;Matrix[[#Headers],[1]],FDR[FDR]&amp;FDR[[#Headers],[1]],FDR[1],"",0,1)</f>
        <v>4</v>
      </c>
      <c r="N522" cm="1">
        <f t="array" ref="N522">_xlfn.XLOOKUP(Matrix[[#This Row],[TEAM]]&amp;Matrix[[#Headers],[2]],FDR[FDR]&amp;FDR[[#Headers],[2]],FDR[2],"",0,1)</f>
        <v>4</v>
      </c>
      <c r="O522" cm="1">
        <f t="array" ref="O522">_xlfn.XLOOKUP(Matrix[[#This Row],[TEAM]]&amp;Matrix[[#Headers],[3]],FDR[FDR]&amp;FDR[[#Headers],[3]],FDR[3],"",0,1)</f>
        <v>4</v>
      </c>
      <c r="P522" cm="1">
        <f t="array" ref="P522">_xlfn.XLOOKUP(Matrix[[#This Row],[TEAM]]&amp;Matrix[[#Headers],[4]],FDR[FDR]&amp;FDR[[#Headers],[4]],FDR[4],"",0,1)</f>
        <v>5</v>
      </c>
      <c r="Q522" cm="1">
        <f t="array" ref="Q522">_xlfn.XLOOKUP(Matrix[[#This Row],[TEAM]]&amp;Matrix[[#Headers],[5]],FDR[FDR]&amp;FDR[[#Headers],[5]],FDR[5],"",0,1)</f>
        <v>5</v>
      </c>
      <c r="R522" cm="1">
        <f t="array" ref="R522">_xlfn.XLOOKUP(Matrix[[#This Row],[TEAM]]&amp;Matrix[[#Headers],[6]],FDR[FDR]&amp;FDR[[#Headers],[6]],FDR[6],"",0,1)</f>
        <v>5</v>
      </c>
      <c r="S522" cm="1">
        <f t="array" ref="S522">_xlfn.XLOOKUP(Matrix[[#This Row],[TEAM]]&amp;Matrix[[#Headers],[7]],FDR[FDR]&amp;FDR[[#Headers],[7]],FDR[7],"",0,1)</f>
        <v>5</v>
      </c>
      <c r="T522" cm="1">
        <f t="array" ref="T522">_xlfn.XLOOKUP(Matrix[[#This Row],[TEAM]]&amp;Matrix[[#Headers],[8]],FDR[FDR]&amp;FDR[[#Headers],[8]],FDR[8],"",0,1)</f>
        <v>3</v>
      </c>
      <c r="U522" cm="1">
        <f t="array" ref="U522">_xlfn.XLOOKUP(Matrix[[#This Row],[TEAM]]&amp;Matrix[[#Headers],[9]],FDR[FDR]&amp;FDR[[#Headers],[9]],FDR[9],"",0,1)</f>
        <v>5</v>
      </c>
      <c r="V522" cm="1">
        <f t="array" ref="V522">_xlfn.XLOOKUP(Matrix[[#This Row],[TEAM]]&amp;Matrix[[#Headers],[10]],FDR[FDR]&amp;FDR[[#Headers],[10]],FDR[10],"",0,1)</f>
        <v>4</v>
      </c>
      <c r="W522" cm="1">
        <f t="array" ref="W522">_xlfn.XLOOKUP(Matrix[[#This Row],[TEAM]]&amp;Matrix[[#Headers],[11]],FDR[FDR]&amp;FDR[[#Headers],[11]],FDR[11],"",0,1)</f>
        <v>5</v>
      </c>
      <c r="X522" cm="1">
        <f t="array" ref="X522">_xlfn.XLOOKUP(Matrix[[#This Row],[TEAM]]&amp;Matrix[[#Headers],[12]],FDR[FDR]&amp;FDR[[#Headers],[12]],FDR[12],"",0,1)</f>
        <v>5</v>
      </c>
      <c r="Y522" cm="1">
        <f t="array" ref="Y522">_xlfn.XLOOKUP(Matrix[[#This Row],[TEAM]]&amp;Matrix[[#Headers],[13]],FDR[FDR]&amp;FDR[[#Headers],[13]],FDR[13],"",0,1)</f>
        <v>5</v>
      </c>
      <c r="Z522" cm="1">
        <f t="array" ref="Z522">_xlfn.XLOOKUP(Matrix[[#This Row],[TEAM]]&amp;Matrix[[#Headers],[14]],FDR[FDR]&amp;FDR[[#Headers],[14]],FDR[14],"",0,1)</f>
        <v>5</v>
      </c>
      <c r="AA522" cm="1">
        <f t="array" ref="AA522">_xlfn.XLOOKUP(Matrix[[#This Row],[TEAM]]&amp;Matrix[[#Headers],[15]],FDR[FDR]&amp;FDR[[#Headers],[15]],FDR[15],"",0,1)</f>
        <v>5</v>
      </c>
      <c r="AB522" cm="1">
        <f t="array" ref="AB522">_xlfn.XLOOKUP(Matrix[[#This Row],[TEAM]]&amp;Matrix[[#Headers],[16]],FDR[FDR]&amp;FDR[[#Headers],[16]],FDR[16],"",0,1)</f>
        <v>5</v>
      </c>
      <c r="AC522" cm="1">
        <f t="array" ref="AC522">_xlfn.XLOOKUP(Matrix[[#This Row],[TEAM]]&amp;Matrix[[#Headers],[17]],FDR[FDR]&amp;FDR[[#Headers],[17]],FDR[17],"",0,1)</f>
        <v>5</v>
      </c>
      <c r="AD522" cm="1">
        <f t="array" ref="AD522">_xlfn.XLOOKUP(Matrix[[#This Row],[TEAM]]&amp;Matrix[[#Headers],[18]],FDR[FDR]&amp;FDR[[#Headers],[18]],FDR[18],"",0,1)</f>
        <v>3</v>
      </c>
      <c r="AE522" cm="1">
        <f t="array" ref="AE522">_xlfn.XLOOKUP(Matrix[[#This Row],[TEAM]]&amp;Matrix[[#Headers],[19]],FDR[FDR]&amp;FDR[[#Headers],[19]],FDR[19],"",0,1)</f>
        <v>5</v>
      </c>
      <c r="AF522" cm="1">
        <f t="array" ref="AF522">_xlfn.XLOOKUP(Matrix[[#This Row],[TEAM]]&amp;Matrix[[#Headers],[20]],FDR[FDR]&amp;FDR[[#Headers],[20]],FDR[20],"",0,1)</f>
        <v>5</v>
      </c>
      <c r="AG522" cm="1">
        <f t="array" ref="AG522">_xlfn.XLOOKUP(Matrix[[#This Row],[TEAM]]&amp;Matrix[[#Headers],[21]],FDR[FDR]&amp;FDR[[#Headers],[21]],FDR[21],"",0,1)</f>
        <v>5</v>
      </c>
      <c r="AH522" cm="1">
        <f t="array" ref="AH522">_xlfn.XLOOKUP(Matrix[[#This Row],[TEAM]]&amp;Matrix[[#Headers],[22]],FDR[FDR]&amp;FDR[[#Headers],[22]],FDR[22],"",0,1)</f>
        <v>4</v>
      </c>
      <c r="AI522" cm="1">
        <f t="array" ref="AI522">_xlfn.XLOOKUP(Matrix[[#This Row],[TEAM]]&amp;Matrix[[#Headers],[23]],FDR[FDR]&amp;FDR[[#Headers],[23]],FDR[23],"",0,1)</f>
        <v>5</v>
      </c>
      <c r="AJ522" cm="1">
        <f t="array" ref="AJ522">_xlfn.XLOOKUP(Matrix[[#This Row],[TEAM]]&amp;Matrix[[#Headers],[24]],FDR[FDR]&amp;FDR[[#Headers],[24]],FDR[24],"",0,1)</f>
        <v>3</v>
      </c>
      <c r="AK522" cm="1">
        <f t="array" ref="AK522">_xlfn.XLOOKUP(Matrix[[#This Row],[TEAM]]&amp;Matrix[[#Headers],[25]],FDR[FDR]&amp;FDR[[#Headers],[25]],FDR[25],"",0,1)</f>
        <v>5</v>
      </c>
      <c r="AL522" cm="1">
        <f t="array" ref="AL522">_xlfn.XLOOKUP(Matrix[[#This Row],[TEAM]]&amp;Matrix[[#Headers],[26]],FDR[FDR]&amp;FDR[[#Headers],[26]],FDR[26],"",0,1)</f>
        <v>5</v>
      </c>
      <c r="AM522" cm="1">
        <f t="array" ref="AM522">_xlfn.XLOOKUP(Matrix[[#This Row],[TEAM]]&amp;Matrix[[#Headers],[27]],FDR[FDR]&amp;FDR[[#Headers],[27]],FDR[27],"",0,1)</f>
        <v>5</v>
      </c>
      <c r="AN522" cm="1">
        <f t="array" ref="AN522">_xlfn.XLOOKUP(Matrix[[#This Row],[TEAM]]&amp;Matrix[[#Headers],[28]],FDR[FDR]&amp;FDR[[#Headers],[28]],FDR[28],"",0,1)</f>
        <v>5</v>
      </c>
      <c r="AO522" cm="1">
        <f t="array" ref="AO522">_xlfn.XLOOKUP(Matrix[[#This Row],[TEAM]]&amp;Matrix[[#Headers],[29]],FDR[FDR]&amp;FDR[[#Headers],[29]],FDR[29],"",0,1)</f>
        <v>4</v>
      </c>
      <c r="AP522" cm="1">
        <f t="array" ref="AP522">_xlfn.XLOOKUP(Matrix[[#This Row],[TEAM]]&amp;Matrix[[#Headers],[30]],FDR[FDR]&amp;FDR[[#Headers],[30]],FDR[30],"",0,1)</f>
        <v>5</v>
      </c>
      <c r="AQ522" cm="1">
        <f t="array" ref="AQ522">_xlfn.XLOOKUP(Matrix[[#This Row],[TEAM]]&amp;Matrix[[#Headers],[31]],FDR[FDR]&amp;FDR[[#Headers],[31]],FDR[31],"",0,1)</f>
        <v>5</v>
      </c>
      <c r="AR522" cm="1">
        <f t="array" ref="AR522">_xlfn.XLOOKUP(Matrix[[#This Row],[TEAM]]&amp;Matrix[[#Headers],[32]],FDR[FDR]&amp;FDR[[#Headers],[32]],FDR[32],"",0,1)</f>
        <v>5</v>
      </c>
      <c r="AS522" cm="1">
        <f t="array" ref="AS522">_xlfn.XLOOKUP(Matrix[[#This Row],[TEAM]]&amp;Matrix[[#Headers],[33]],FDR[FDR]&amp;FDR[[#Headers],[33]],FDR[33],"",0,1)</f>
        <v>5</v>
      </c>
      <c r="AT522" cm="1">
        <f t="array" ref="AT522">_xlfn.XLOOKUP(Matrix[[#This Row],[TEAM]]&amp;Matrix[[#Headers],[34]],FDR[FDR]&amp;FDR[[#Headers],[34]],FDR[34],"",0,1)</f>
        <v>5</v>
      </c>
      <c r="AU522" cm="1">
        <f t="array" ref="AU522">_xlfn.XLOOKUP(Matrix[[#This Row],[TEAM]]&amp;Matrix[[#Headers],[35]],FDR[FDR]&amp;FDR[[#Headers],[35]],FDR[35],"",0,1)</f>
        <v>4</v>
      </c>
      <c r="AV522" cm="1">
        <f t="array" ref="AV522">_xlfn.XLOOKUP(Matrix[[#This Row],[TEAM]]&amp;Matrix[[#Headers],[36]],FDR[FDR]&amp;FDR[[#Headers],[36]],FDR[36],"",0,1)</f>
        <v>5</v>
      </c>
      <c r="AW522" cm="1">
        <f t="array" ref="AW522">_xlfn.XLOOKUP(Matrix[[#This Row],[TEAM]]&amp;Matrix[[#Headers],[37]],FDR[FDR]&amp;FDR[[#Headers],[37]],FDR[37],"",0,1)</f>
        <v>5</v>
      </c>
      <c r="AX522" cm="1">
        <f t="array" ref="AX522">_xlfn.XLOOKUP(Matrix[[#This Row],[TEAM]]&amp;Matrix[[#Headers],[38]],FDR[FDR]&amp;FDR[[#Headers],[38]],FDR[38],"",0,1)</f>
        <v>5</v>
      </c>
    </row>
    <row r="523" spans="1:50" ht="22" thickTop="1" thickBot="1">
      <c r="A523" s="51" t="s">
        <v>657</v>
      </c>
      <c r="B523" s="70" t="s">
        <v>1828</v>
      </c>
      <c r="C523" s="40" t="s">
        <v>634</v>
      </c>
      <c r="D523" s="62">
        <v>0</v>
      </c>
      <c r="E523" s="60">
        <v>4.0000000000000001E-3</v>
      </c>
      <c r="F523" s="61">
        <v>0</v>
      </c>
      <c r="G523" s="63">
        <v>4</v>
      </c>
      <c r="H523" s="261">
        <f>IF(ISBLANK(I523),0,1)</f>
        <v>0</v>
      </c>
      <c r="I523" s="57"/>
      <c r="J523" s="58"/>
      <c r="K523" s="65" t="s">
        <v>1199</v>
      </c>
      <c r="L523" s="65" t="s">
        <v>1181</v>
      </c>
      <c r="M523" cm="1">
        <f t="array" ref="M523">_xlfn.XLOOKUP(Matrix[[#This Row],[TEAM]]&amp;Matrix[[#Headers],[1]],FDR[FDR]&amp;FDR[[#Headers],[1]],FDR[1],"",0,1)</f>
        <v>4</v>
      </c>
      <c r="N523" cm="1">
        <f t="array" ref="N523">_xlfn.XLOOKUP(Matrix[[#This Row],[TEAM]]&amp;Matrix[[#Headers],[2]],FDR[FDR]&amp;FDR[[#Headers],[2]],FDR[2],"",0,1)</f>
        <v>4</v>
      </c>
      <c r="O523" cm="1">
        <f t="array" ref="O523">_xlfn.XLOOKUP(Matrix[[#This Row],[TEAM]]&amp;Matrix[[#Headers],[3]],FDR[FDR]&amp;FDR[[#Headers],[3]],FDR[3],"",0,1)</f>
        <v>4</v>
      </c>
      <c r="P523" cm="1">
        <f t="array" ref="P523">_xlfn.XLOOKUP(Matrix[[#This Row],[TEAM]]&amp;Matrix[[#Headers],[4]],FDR[FDR]&amp;FDR[[#Headers],[4]],FDR[4],"",0,1)</f>
        <v>5</v>
      </c>
      <c r="Q523" cm="1">
        <f t="array" ref="Q523">_xlfn.XLOOKUP(Matrix[[#This Row],[TEAM]]&amp;Matrix[[#Headers],[5]],FDR[FDR]&amp;FDR[[#Headers],[5]],FDR[5],"",0,1)</f>
        <v>5</v>
      </c>
      <c r="R523" cm="1">
        <f t="array" ref="R523">_xlfn.XLOOKUP(Matrix[[#This Row],[TEAM]]&amp;Matrix[[#Headers],[6]],FDR[FDR]&amp;FDR[[#Headers],[6]],FDR[6],"",0,1)</f>
        <v>5</v>
      </c>
      <c r="S523" cm="1">
        <f t="array" ref="S523">_xlfn.XLOOKUP(Matrix[[#This Row],[TEAM]]&amp;Matrix[[#Headers],[7]],FDR[FDR]&amp;FDR[[#Headers],[7]],FDR[7],"",0,1)</f>
        <v>5</v>
      </c>
      <c r="T523" cm="1">
        <f t="array" ref="T523">_xlfn.XLOOKUP(Matrix[[#This Row],[TEAM]]&amp;Matrix[[#Headers],[8]],FDR[FDR]&amp;FDR[[#Headers],[8]],FDR[8],"",0,1)</f>
        <v>3</v>
      </c>
      <c r="U523" cm="1">
        <f t="array" ref="U523">_xlfn.XLOOKUP(Matrix[[#This Row],[TEAM]]&amp;Matrix[[#Headers],[9]],FDR[FDR]&amp;FDR[[#Headers],[9]],FDR[9],"",0,1)</f>
        <v>5</v>
      </c>
      <c r="V523" cm="1">
        <f t="array" ref="V523">_xlfn.XLOOKUP(Matrix[[#This Row],[TEAM]]&amp;Matrix[[#Headers],[10]],FDR[FDR]&amp;FDR[[#Headers],[10]],FDR[10],"",0,1)</f>
        <v>4</v>
      </c>
      <c r="W523" cm="1">
        <f t="array" ref="W523">_xlfn.XLOOKUP(Matrix[[#This Row],[TEAM]]&amp;Matrix[[#Headers],[11]],FDR[FDR]&amp;FDR[[#Headers],[11]],FDR[11],"",0,1)</f>
        <v>5</v>
      </c>
      <c r="X523" cm="1">
        <f t="array" ref="X523">_xlfn.XLOOKUP(Matrix[[#This Row],[TEAM]]&amp;Matrix[[#Headers],[12]],FDR[FDR]&amp;FDR[[#Headers],[12]],FDR[12],"",0,1)</f>
        <v>5</v>
      </c>
      <c r="Y523" cm="1">
        <f t="array" ref="Y523">_xlfn.XLOOKUP(Matrix[[#This Row],[TEAM]]&amp;Matrix[[#Headers],[13]],FDR[FDR]&amp;FDR[[#Headers],[13]],FDR[13],"",0,1)</f>
        <v>5</v>
      </c>
      <c r="Z523" cm="1">
        <f t="array" ref="Z523">_xlfn.XLOOKUP(Matrix[[#This Row],[TEAM]]&amp;Matrix[[#Headers],[14]],FDR[FDR]&amp;FDR[[#Headers],[14]],FDR[14],"",0,1)</f>
        <v>5</v>
      </c>
      <c r="AA523" cm="1">
        <f t="array" ref="AA523">_xlfn.XLOOKUP(Matrix[[#This Row],[TEAM]]&amp;Matrix[[#Headers],[15]],FDR[FDR]&amp;FDR[[#Headers],[15]],FDR[15],"",0,1)</f>
        <v>5</v>
      </c>
      <c r="AB523" cm="1">
        <f t="array" ref="AB523">_xlfn.XLOOKUP(Matrix[[#This Row],[TEAM]]&amp;Matrix[[#Headers],[16]],FDR[FDR]&amp;FDR[[#Headers],[16]],FDR[16],"",0,1)</f>
        <v>5</v>
      </c>
      <c r="AC523" cm="1">
        <f t="array" ref="AC523">_xlfn.XLOOKUP(Matrix[[#This Row],[TEAM]]&amp;Matrix[[#Headers],[17]],FDR[FDR]&amp;FDR[[#Headers],[17]],FDR[17],"",0,1)</f>
        <v>5</v>
      </c>
      <c r="AD523" cm="1">
        <f t="array" ref="AD523">_xlfn.XLOOKUP(Matrix[[#This Row],[TEAM]]&amp;Matrix[[#Headers],[18]],FDR[FDR]&amp;FDR[[#Headers],[18]],FDR[18],"",0,1)</f>
        <v>3</v>
      </c>
      <c r="AE523" cm="1">
        <f t="array" ref="AE523">_xlfn.XLOOKUP(Matrix[[#This Row],[TEAM]]&amp;Matrix[[#Headers],[19]],FDR[FDR]&amp;FDR[[#Headers],[19]],FDR[19],"",0,1)</f>
        <v>5</v>
      </c>
      <c r="AF523" cm="1">
        <f t="array" ref="AF523">_xlfn.XLOOKUP(Matrix[[#This Row],[TEAM]]&amp;Matrix[[#Headers],[20]],FDR[FDR]&amp;FDR[[#Headers],[20]],FDR[20],"",0,1)</f>
        <v>5</v>
      </c>
      <c r="AG523" cm="1">
        <f t="array" ref="AG523">_xlfn.XLOOKUP(Matrix[[#This Row],[TEAM]]&amp;Matrix[[#Headers],[21]],FDR[FDR]&amp;FDR[[#Headers],[21]],FDR[21],"",0,1)</f>
        <v>5</v>
      </c>
      <c r="AH523" cm="1">
        <f t="array" ref="AH523">_xlfn.XLOOKUP(Matrix[[#This Row],[TEAM]]&amp;Matrix[[#Headers],[22]],FDR[FDR]&amp;FDR[[#Headers],[22]],FDR[22],"",0,1)</f>
        <v>4</v>
      </c>
      <c r="AI523" cm="1">
        <f t="array" ref="AI523">_xlfn.XLOOKUP(Matrix[[#This Row],[TEAM]]&amp;Matrix[[#Headers],[23]],FDR[FDR]&amp;FDR[[#Headers],[23]],FDR[23],"",0,1)</f>
        <v>5</v>
      </c>
      <c r="AJ523" cm="1">
        <f t="array" ref="AJ523">_xlfn.XLOOKUP(Matrix[[#This Row],[TEAM]]&amp;Matrix[[#Headers],[24]],FDR[FDR]&amp;FDR[[#Headers],[24]],FDR[24],"",0,1)</f>
        <v>3</v>
      </c>
      <c r="AK523" cm="1">
        <f t="array" ref="AK523">_xlfn.XLOOKUP(Matrix[[#This Row],[TEAM]]&amp;Matrix[[#Headers],[25]],FDR[FDR]&amp;FDR[[#Headers],[25]],FDR[25],"",0,1)</f>
        <v>5</v>
      </c>
      <c r="AL523" cm="1">
        <f t="array" ref="AL523">_xlfn.XLOOKUP(Matrix[[#This Row],[TEAM]]&amp;Matrix[[#Headers],[26]],FDR[FDR]&amp;FDR[[#Headers],[26]],FDR[26],"",0,1)</f>
        <v>5</v>
      </c>
      <c r="AM523" cm="1">
        <f t="array" ref="AM523">_xlfn.XLOOKUP(Matrix[[#This Row],[TEAM]]&amp;Matrix[[#Headers],[27]],FDR[FDR]&amp;FDR[[#Headers],[27]],FDR[27],"",0,1)</f>
        <v>5</v>
      </c>
      <c r="AN523" cm="1">
        <f t="array" ref="AN523">_xlfn.XLOOKUP(Matrix[[#This Row],[TEAM]]&amp;Matrix[[#Headers],[28]],FDR[FDR]&amp;FDR[[#Headers],[28]],FDR[28],"",0,1)</f>
        <v>5</v>
      </c>
      <c r="AO523" cm="1">
        <f t="array" ref="AO523">_xlfn.XLOOKUP(Matrix[[#This Row],[TEAM]]&amp;Matrix[[#Headers],[29]],FDR[FDR]&amp;FDR[[#Headers],[29]],FDR[29],"",0,1)</f>
        <v>4</v>
      </c>
      <c r="AP523" cm="1">
        <f t="array" ref="AP523">_xlfn.XLOOKUP(Matrix[[#This Row],[TEAM]]&amp;Matrix[[#Headers],[30]],FDR[FDR]&amp;FDR[[#Headers],[30]],FDR[30],"",0,1)</f>
        <v>5</v>
      </c>
      <c r="AQ523" cm="1">
        <f t="array" ref="AQ523">_xlfn.XLOOKUP(Matrix[[#This Row],[TEAM]]&amp;Matrix[[#Headers],[31]],FDR[FDR]&amp;FDR[[#Headers],[31]],FDR[31],"",0,1)</f>
        <v>5</v>
      </c>
      <c r="AR523" cm="1">
        <f t="array" ref="AR523">_xlfn.XLOOKUP(Matrix[[#This Row],[TEAM]]&amp;Matrix[[#Headers],[32]],FDR[FDR]&amp;FDR[[#Headers],[32]],FDR[32],"",0,1)</f>
        <v>5</v>
      </c>
      <c r="AS523" cm="1">
        <f t="array" ref="AS523">_xlfn.XLOOKUP(Matrix[[#This Row],[TEAM]]&amp;Matrix[[#Headers],[33]],FDR[FDR]&amp;FDR[[#Headers],[33]],FDR[33],"",0,1)</f>
        <v>5</v>
      </c>
      <c r="AT523" cm="1">
        <f t="array" ref="AT523">_xlfn.XLOOKUP(Matrix[[#This Row],[TEAM]]&amp;Matrix[[#Headers],[34]],FDR[FDR]&amp;FDR[[#Headers],[34]],FDR[34],"",0,1)</f>
        <v>5</v>
      </c>
      <c r="AU523" cm="1">
        <f t="array" ref="AU523">_xlfn.XLOOKUP(Matrix[[#This Row],[TEAM]]&amp;Matrix[[#Headers],[35]],FDR[FDR]&amp;FDR[[#Headers],[35]],FDR[35],"",0,1)</f>
        <v>4</v>
      </c>
      <c r="AV523" cm="1">
        <f t="array" ref="AV523">_xlfn.XLOOKUP(Matrix[[#This Row],[TEAM]]&amp;Matrix[[#Headers],[36]],FDR[FDR]&amp;FDR[[#Headers],[36]],FDR[36],"",0,1)</f>
        <v>5</v>
      </c>
      <c r="AW523" cm="1">
        <f t="array" ref="AW523">_xlfn.XLOOKUP(Matrix[[#This Row],[TEAM]]&amp;Matrix[[#Headers],[37]],FDR[FDR]&amp;FDR[[#Headers],[37]],FDR[37],"",0,1)</f>
        <v>5</v>
      </c>
      <c r="AX523" cm="1">
        <f t="array" ref="AX523">_xlfn.XLOOKUP(Matrix[[#This Row],[TEAM]]&amp;Matrix[[#Headers],[38]],FDR[FDR]&amp;FDR[[#Headers],[38]],FDR[38],"",0,1)</f>
        <v>5</v>
      </c>
    </row>
    <row r="524" spans="1:50" ht="22" thickTop="1" thickBot="1">
      <c r="A524" s="51" t="s">
        <v>657</v>
      </c>
      <c r="B524" s="70" t="s">
        <v>1845</v>
      </c>
      <c r="C524" s="40" t="s">
        <v>634</v>
      </c>
      <c r="D524" s="62">
        <v>0</v>
      </c>
      <c r="E524" s="60">
        <v>3.0000000000000001E-3</v>
      </c>
      <c r="F524" s="61">
        <v>0</v>
      </c>
      <c r="G524" s="63">
        <v>4</v>
      </c>
      <c r="H524" s="261">
        <f>IF(ISBLANK(I524),0,1)</f>
        <v>0</v>
      </c>
      <c r="I524" s="57"/>
      <c r="J524" s="58"/>
      <c r="K524" s="65" t="s">
        <v>1196</v>
      </c>
      <c r="L524" s="65" t="s">
        <v>1177</v>
      </c>
      <c r="M524" cm="1">
        <f t="array" ref="M524">_xlfn.XLOOKUP(Matrix[[#This Row],[TEAM]]&amp;Matrix[[#Headers],[1]],FDR[FDR]&amp;FDR[[#Headers],[1]],FDR[1],"",0,1)</f>
        <v>4</v>
      </c>
      <c r="N524" cm="1">
        <f t="array" ref="N524">_xlfn.XLOOKUP(Matrix[[#This Row],[TEAM]]&amp;Matrix[[#Headers],[2]],FDR[FDR]&amp;FDR[[#Headers],[2]],FDR[2],"",0,1)</f>
        <v>4</v>
      </c>
      <c r="O524" cm="1">
        <f t="array" ref="O524">_xlfn.XLOOKUP(Matrix[[#This Row],[TEAM]]&amp;Matrix[[#Headers],[3]],FDR[FDR]&amp;FDR[[#Headers],[3]],FDR[3],"",0,1)</f>
        <v>4</v>
      </c>
      <c r="P524" cm="1">
        <f t="array" ref="P524">_xlfn.XLOOKUP(Matrix[[#This Row],[TEAM]]&amp;Matrix[[#Headers],[4]],FDR[FDR]&amp;FDR[[#Headers],[4]],FDR[4],"",0,1)</f>
        <v>5</v>
      </c>
      <c r="Q524" cm="1">
        <f t="array" ref="Q524">_xlfn.XLOOKUP(Matrix[[#This Row],[TEAM]]&amp;Matrix[[#Headers],[5]],FDR[FDR]&amp;FDR[[#Headers],[5]],FDR[5],"",0,1)</f>
        <v>5</v>
      </c>
      <c r="R524" cm="1">
        <f t="array" ref="R524">_xlfn.XLOOKUP(Matrix[[#This Row],[TEAM]]&amp;Matrix[[#Headers],[6]],FDR[FDR]&amp;FDR[[#Headers],[6]],FDR[6],"",0,1)</f>
        <v>5</v>
      </c>
      <c r="S524" cm="1">
        <f t="array" ref="S524">_xlfn.XLOOKUP(Matrix[[#This Row],[TEAM]]&amp;Matrix[[#Headers],[7]],FDR[FDR]&amp;FDR[[#Headers],[7]],FDR[7],"",0,1)</f>
        <v>5</v>
      </c>
      <c r="T524" cm="1">
        <f t="array" ref="T524">_xlfn.XLOOKUP(Matrix[[#This Row],[TEAM]]&amp;Matrix[[#Headers],[8]],FDR[FDR]&amp;FDR[[#Headers],[8]],FDR[8],"",0,1)</f>
        <v>3</v>
      </c>
      <c r="U524" cm="1">
        <f t="array" ref="U524">_xlfn.XLOOKUP(Matrix[[#This Row],[TEAM]]&amp;Matrix[[#Headers],[9]],FDR[FDR]&amp;FDR[[#Headers],[9]],FDR[9],"",0,1)</f>
        <v>5</v>
      </c>
      <c r="V524" cm="1">
        <f t="array" ref="V524">_xlfn.XLOOKUP(Matrix[[#This Row],[TEAM]]&amp;Matrix[[#Headers],[10]],FDR[FDR]&amp;FDR[[#Headers],[10]],FDR[10],"",0,1)</f>
        <v>4</v>
      </c>
      <c r="W524" cm="1">
        <f t="array" ref="W524">_xlfn.XLOOKUP(Matrix[[#This Row],[TEAM]]&amp;Matrix[[#Headers],[11]],FDR[FDR]&amp;FDR[[#Headers],[11]],FDR[11],"",0,1)</f>
        <v>5</v>
      </c>
      <c r="X524" cm="1">
        <f t="array" ref="X524">_xlfn.XLOOKUP(Matrix[[#This Row],[TEAM]]&amp;Matrix[[#Headers],[12]],FDR[FDR]&amp;FDR[[#Headers],[12]],FDR[12],"",0,1)</f>
        <v>5</v>
      </c>
      <c r="Y524" cm="1">
        <f t="array" ref="Y524">_xlfn.XLOOKUP(Matrix[[#This Row],[TEAM]]&amp;Matrix[[#Headers],[13]],FDR[FDR]&amp;FDR[[#Headers],[13]],FDR[13],"",0,1)</f>
        <v>5</v>
      </c>
      <c r="Z524" cm="1">
        <f t="array" ref="Z524">_xlfn.XLOOKUP(Matrix[[#This Row],[TEAM]]&amp;Matrix[[#Headers],[14]],FDR[FDR]&amp;FDR[[#Headers],[14]],FDR[14],"",0,1)</f>
        <v>5</v>
      </c>
      <c r="AA524" cm="1">
        <f t="array" ref="AA524">_xlfn.XLOOKUP(Matrix[[#This Row],[TEAM]]&amp;Matrix[[#Headers],[15]],FDR[FDR]&amp;FDR[[#Headers],[15]],FDR[15],"",0,1)</f>
        <v>5</v>
      </c>
      <c r="AB524" cm="1">
        <f t="array" ref="AB524">_xlfn.XLOOKUP(Matrix[[#This Row],[TEAM]]&amp;Matrix[[#Headers],[16]],FDR[FDR]&amp;FDR[[#Headers],[16]],FDR[16],"",0,1)</f>
        <v>5</v>
      </c>
      <c r="AC524" cm="1">
        <f t="array" ref="AC524">_xlfn.XLOOKUP(Matrix[[#This Row],[TEAM]]&amp;Matrix[[#Headers],[17]],FDR[FDR]&amp;FDR[[#Headers],[17]],FDR[17],"",0,1)</f>
        <v>5</v>
      </c>
      <c r="AD524" cm="1">
        <f t="array" ref="AD524">_xlfn.XLOOKUP(Matrix[[#This Row],[TEAM]]&amp;Matrix[[#Headers],[18]],FDR[FDR]&amp;FDR[[#Headers],[18]],FDR[18],"",0,1)</f>
        <v>3</v>
      </c>
      <c r="AE524" cm="1">
        <f t="array" ref="AE524">_xlfn.XLOOKUP(Matrix[[#This Row],[TEAM]]&amp;Matrix[[#Headers],[19]],FDR[FDR]&amp;FDR[[#Headers],[19]],FDR[19],"",0,1)</f>
        <v>5</v>
      </c>
      <c r="AF524" cm="1">
        <f t="array" ref="AF524">_xlfn.XLOOKUP(Matrix[[#This Row],[TEAM]]&amp;Matrix[[#Headers],[20]],FDR[FDR]&amp;FDR[[#Headers],[20]],FDR[20],"",0,1)</f>
        <v>5</v>
      </c>
      <c r="AG524" cm="1">
        <f t="array" ref="AG524">_xlfn.XLOOKUP(Matrix[[#This Row],[TEAM]]&amp;Matrix[[#Headers],[21]],FDR[FDR]&amp;FDR[[#Headers],[21]],FDR[21],"",0,1)</f>
        <v>5</v>
      </c>
      <c r="AH524" cm="1">
        <f t="array" ref="AH524">_xlfn.XLOOKUP(Matrix[[#This Row],[TEAM]]&amp;Matrix[[#Headers],[22]],FDR[FDR]&amp;FDR[[#Headers],[22]],FDR[22],"",0,1)</f>
        <v>4</v>
      </c>
      <c r="AI524" cm="1">
        <f t="array" ref="AI524">_xlfn.XLOOKUP(Matrix[[#This Row],[TEAM]]&amp;Matrix[[#Headers],[23]],FDR[FDR]&amp;FDR[[#Headers],[23]],FDR[23],"",0,1)</f>
        <v>5</v>
      </c>
      <c r="AJ524" cm="1">
        <f t="array" ref="AJ524">_xlfn.XLOOKUP(Matrix[[#This Row],[TEAM]]&amp;Matrix[[#Headers],[24]],FDR[FDR]&amp;FDR[[#Headers],[24]],FDR[24],"",0,1)</f>
        <v>3</v>
      </c>
      <c r="AK524" cm="1">
        <f t="array" ref="AK524">_xlfn.XLOOKUP(Matrix[[#This Row],[TEAM]]&amp;Matrix[[#Headers],[25]],FDR[FDR]&amp;FDR[[#Headers],[25]],FDR[25],"",0,1)</f>
        <v>5</v>
      </c>
      <c r="AL524" cm="1">
        <f t="array" ref="AL524">_xlfn.XLOOKUP(Matrix[[#This Row],[TEAM]]&amp;Matrix[[#Headers],[26]],FDR[FDR]&amp;FDR[[#Headers],[26]],FDR[26],"",0,1)</f>
        <v>5</v>
      </c>
      <c r="AM524" cm="1">
        <f t="array" ref="AM524">_xlfn.XLOOKUP(Matrix[[#This Row],[TEAM]]&amp;Matrix[[#Headers],[27]],FDR[FDR]&amp;FDR[[#Headers],[27]],FDR[27],"",0,1)</f>
        <v>5</v>
      </c>
      <c r="AN524" cm="1">
        <f t="array" ref="AN524">_xlfn.XLOOKUP(Matrix[[#This Row],[TEAM]]&amp;Matrix[[#Headers],[28]],FDR[FDR]&amp;FDR[[#Headers],[28]],FDR[28],"",0,1)</f>
        <v>5</v>
      </c>
      <c r="AO524" cm="1">
        <f t="array" ref="AO524">_xlfn.XLOOKUP(Matrix[[#This Row],[TEAM]]&amp;Matrix[[#Headers],[29]],FDR[FDR]&amp;FDR[[#Headers],[29]],FDR[29],"",0,1)</f>
        <v>4</v>
      </c>
      <c r="AP524" cm="1">
        <f t="array" ref="AP524">_xlfn.XLOOKUP(Matrix[[#This Row],[TEAM]]&amp;Matrix[[#Headers],[30]],FDR[FDR]&amp;FDR[[#Headers],[30]],FDR[30],"",0,1)</f>
        <v>5</v>
      </c>
      <c r="AQ524" cm="1">
        <f t="array" ref="AQ524">_xlfn.XLOOKUP(Matrix[[#This Row],[TEAM]]&amp;Matrix[[#Headers],[31]],FDR[FDR]&amp;FDR[[#Headers],[31]],FDR[31],"",0,1)</f>
        <v>5</v>
      </c>
      <c r="AR524" cm="1">
        <f t="array" ref="AR524">_xlfn.XLOOKUP(Matrix[[#This Row],[TEAM]]&amp;Matrix[[#Headers],[32]],FDR[FDR]&amp;FDR[[#Headers],[32]],FDR[32],"",0,1)</f>
        <v>5</v>
      </c>
      <c r="AS524" cm="1">
        <f t="array" ref="AS524">_xlfn.XLOOKUP(Matrix[[#This Row],[TEAM]]&amp;Matrix[[#Headers],[33]],FDR[FDR]&amp;FDR[[#Headers],[33]],FDR[33],"",0,1)</f>
        <v>5</v>
      </c>
      <c r="AT524" cm="1">
        <f t="array" ref="AT524">_xlfn.XLOOKUP(Matrix[[#This Row],[TEAM]]&amp;Matrix[[#Headers],[34]],FDR[FDR]&amp;FDR[[#Headers],[34]],FDR[34],"",0,1)</f>
        <v>5</v>
      </c>
      <c r="AU524" cm="1">
        <f t="array" ref="AU524">_xlfn.XLOOKUP(Matrix[[#This Row],[TEAM]]&amp;Matrix[[#Headers],[35]],FDR[FDR]&amp;FDR[[#Headers],[35]],FDR[35],"",0,1)</f>
        <v>4</v>
      </c>
      <c r="AV524" cm="1">
        <f t="array" ref="AV524">_xlfn.XLOOKUP(Matrix[[#This Row],[TEAM]]&amp;Matrix[[#Headers],[36]],FDR[FDR]&amp;FDR[[#Headers],[36]],FDR[36],"",0,1)</f>
        <v>5</v>
      </c>
      <c r="AW524" cm="1">
        <f t="array" ref="AW524">_xlfn.XLOOKUP(Matrix[[#This Row],[TEAM]]&amp;Matrix[[#Headers],[37]],FDR[FDR]&amp;FDR[[#Headers],[37]],FDR[37],"",0,1)</f>
        <v>5</v>
      </c>
      <c r="AX524" cm="1">
        <f t="array" ref="AX524">_xlfn.XLOOKUP(Matrix[[#This Row],[TEAM]]&amp;Matrix[[#Headers],[38]],FDR[FDR]&amp;FDR[[#Headers],[38]],FDR[38],"",0,1)</f>
        <v>5</v>
      </c>
    </row>
    <row r="525" spans="1:50" ht="22" thickTop="1" thickBot="1">
      <c r="A525" s="51" t="s">
        <v>657</v>
      </c>
      <c r="B525" s="70" t="s">
        <v>1843</v>
      </c>
      <c r="C525" s="40" t="s">
        <v>634</v>
      </c>
      <c r="D525" s="62">
        <v>0</v>
      </c>
      <c r="E525" s="60">
        <v>3.0000000000000001E-3</v>
      </c>
      <c r="F525" s="61">
        <v>0</v>
      </c>
      <c r="G525" s="63">
        <v>4</v>
      </c>
      <c r="H525" s="261">
        <f>IF(ISBLANK(I525),0,1)</f>
        <v>0</v>
      </c>
      <c r="I525" s="57"/>
      <c r="J525" s="58"/>
      <c r="K525" s="65" t="s">
        <v>1197</v>
      </c>
      <c r="L525" s="65" t="s">
        <v>1179</v>
      </c>
      <c r="M525" cm="1">
        <f t="array" ref="M525">_xlfn.XLOOKUP(Matrix[[#This Row],[TEAM]]&amp;Matrix[[#Headers],[1]],FDR[FDR]&amp;FDR[[#Headers],[1]],FDR[1],"",0,1)</f>
        <v>4</v>
      </c>
      <c r="N525" cm="1">
        <f t="array" ref="N525">_xlfn.XLOOKUP(Matrix[[#This Row],[TEAM]]&amp;Matrix[[#Headers],[2]],FDR[FDR]&amp;FDR[[#Headers],[2]],FDR[2],"",0,1)</f>
        <v>4</v>
      </c>
      <c r="O525" cm="1">
        <f t="array" ref="O525">_xlfn.XLOOKUP(Matrix[[#This Row],[TEAM]]&amp;Matrix[[#Headers],[3]],FDR[FDR]&amp;FDR[[#Headers],[3]],FDR[3],"",0,1)</f>
        <v>4</v>
      </c>
      <c r="P525" cm="1">
        <f t="array" ref="P525">_xlfn.XLOOKUP(Matrix[[#This Row],[TEAM]]&amp;Matrix[[#Headers],[4]],FDR[FDR]&amp;FDR[[#Headers],[4]],FDR[4],"",0,1)</f>
        <v>5</v>
      </c>
      <c r="Q525" cm="1">
        <f t="array" ref="Q525">_xlfn.XLOOKUP(Matrix[[#This Row],[TEAM]]&amp;Matrix[[#Headers],[5]],FDR[FDR]&amp;FDR[[#Headers],[5]],FDR[5],"",0,1)</f>
        <v>5</v>
      </c>
      <c r="R525" cm="1">
        <f t="array" ref="R525">_xlfn.XLOOKUP(Matrix[[#This Row],[TEAM]]&amp;Matrix[[#Headers],[6]],FDR[FDR]&amp;FDR[[#Headers],[6]],FDR[6],"",0,1)</f>
        <v>5</v>
      </c>
      <c r="S525" cm="1">
        <f t="array" ref="S525">_xlfn.XLOOKUP(Matrix[[#This Row],[TEAM]]&amp;Matrix[[#Headers],[7]],FDR[FDR]&amp;FDR[[#Headers],[7]],FDR[7],"",0,1)</f>
        <v>5</v>
      </c>
      <c r="T525" cm="1">
        <f t="array" ref="T525">_xlfn.XLOOKUP(Matrix[[#This Row],[TEAM]]&amp;Matrix[[#Headers],[8]],FDR[FDR]&amp;FDR[[#Headers],[8]],FDR[8],"",0,1)</f>
        <v>3</v>
      </c>
      <c r="U525" cm="1">
        <f t="array" ref="U525">_xlfn.XLOOKUP(Matrix[[#This Row],[TEAM]]&amp;Matrix[[#Headers],[9]],FDR[FDR]&amp;FDR[[#Headers],[9]],FDR[9],"",0,1)</f>
        <v>5</v>
      </c>
      <c r="V525" cm="1">
        <f t="array" ref="V525">_xlfn.XLOOKUP(Matrix[[#This Row],[TEAM]]&amp;Matrix[[#Headers],[10]],FDR[FDR]&amp;FDR[[#Headers],[10]],FDR[10],"",0,1)</f>
        <v>4</v>
      </c>
      <c r="W525" cm="1">
        <f t="array" ref="W525">_xlfn.XLOOKUP(Matrix[[#This Row],[TEAM]]&amp;Matrix[[#Headers],[11]],FDR[FDR]&amp;FDR[[#Headers],[11]],FDR[11],"",0,1)</f>
        <v>5</v>
      </c>
      <c r="X525" cm="1">
        <f t="array" ref="X525">_xlfn.XLOOKUP(Matrix[[#This Row],[TEAM]]&amp;Matrix[[#Headers],[12]],FDR[FDR]&amp;FDR[[#Headers],[12]],FDR[12],"",0,1)</f>
        <v>5</v>
      </c>
      <c r="Y525" cm="1">
        <f t="array" ref="Y525">_xlfn.XLOOKUP(Matrix[[#This Row],[TEAM]]&amp;Matrix[[#Headers],[13]],FDR[FDR]&amp;FDR[[#Headers],[13]],FDR[13],"",0,1)</f>
        <v>5</v>
      </c>
      <c r="Z525" cm="1">
        <f t="array" ref="Z525">_xlfn.XLOOKUP(Matrix[[#This Row],[TEAM]]&amp;Matrix[[#Headers],[14]],FDR[FDR]&amp;FDR[[#Headers],[14]],FDR[14],"",0,1)</f>
        <v>5</v>
      </c>
      <c r="AA525" cm="1">
        <f t="array" ref="AA525">_xlfn.XLOOKUP(Matrix[[#This Row],[TEAM]]&amp;Matrix[[#Headers],[15]],FDR[FDR]&amp;FDR[[#Headers],[15]],FDR[15],"",0,1)</f>
        <v>5</v>
      </c>
      <c r="AB525" cm="1">
        <f t="array" ref="AB525">_xlfn.XLOOKUP(Matrix[[#This Row],[TEAM]]&amp;Matrix[[#Headers],[16]],FDR[FDR]&amp;FDR[[#Headers],[16]],FDR[16],"",0,1)</f>
        <v>5</v>
      </c>
      <c r="AC525" cm="1">
        <f t="array" ref="AC525">_xlfn.XLOOKUP(Matrix[[#This Row],[TEAM]]&amp;Matrix[[#Headers],[17]],FDR[FDR]&amp;FDR[[#Headers],[17]],FDR[17],"",0,1)</f>
        <v>5</v>
      </c>
      <c r="AD525" cm="1">
        <f t="array" ref="AD525">_xlfn.XLOOKUP(Matrix[[#This Row],[TEAM]]&amp;Matrix[[#Headers],[18]],FDR[FDR]&amp;FDR[[#Headers],[18]],FDR[18],"",0,1)</f>
        <v>3</v>
      </c>
      <c r="AE525" cm="1">
        <f t="array" ref="AE525">_xlfn.XLOOKUP(Matrix[[#This Row],[TEAM]]&amp;Matrix[[#Headers],[19]],FDR[FDR]&amp;FDR[[#Headers],[19]],FDR[19],"",0,1)</f>
        <v>5</v>
      </c>
      <c r="AF525" cm="1">
        <f t="array" ref="AF525">_xlfn.XLOOKUP(Matrix[[#This Row],[TEAM]]&amp;Matrix[[#Headers],[20]],FDR[FDR]&amp;FDR[[#Headers],[20]],FDR[20],"",0,1)</f>
        <v>5</v>
      </c>
      <c r="AG525" cm="1">
        <f t="array" ref="AG525">_xlfn.XLOOKUP(Matrix[[#This Row],[TEAM]]&amp;Matrix[[#Headers],[21]],FDR[FDR]&amp;FDR[[#Headers],[21]],FDR[21],"",0,1)</f>
        <v>5</v>
      </c>
      <c r="AH525" cm="1">
        <f t="array" ref="AH525">_xlfn.XLOOKUP(Matrix[[#This Row],[TEAM]]&amp;Matrix[[#Headers],[22]],FDR[FDR]&amp;FDR[[#Headers],[22]],FDR[22],"",0,1)</f>
        <v>4</v>
      </c>
      <c r="AI525" cm="1">
        <f t="array" ref="AI525">_xlfn.XLOOKUP(Matrix[[#This Row],[TEAM]]&amp;Matrix[[#Headers],[23]],FDR[FDR]&amp;FDR[[#Headers],[23]],FDR[23],"",0,1)</f>
        <v>5</v>
      </c>
      <c r="AJ525" cm="1">
        <f t="array" ref="AJ525">_xlfn.XLOOKUP(Matrix[[#This Row],[TEAM]]&amp;Matrix[[#Headers],[24]],FDR[FDR]&amp;FDR[[#Headers],[24]],FDR[24],"",0,1)</f>
        <v>3</v>
      </c>
      <c r="AK525" cm="1">
        <f t="array" ref="AK525">_xlfn.XLOOKUP(Matrix[[#This Row],[TEAM]]&amp;Matrix[[#Headers],[25]],FDR[FDR]&amp;FDR[[#Headers],[25]],FDR[25],"",0,1)</f>
        <v>5</v>
      </c>
      <c r="AL525" cm="1">
        <f t="array" ref="AL525">_xlfn.XLOOKUP(Matrix[[#This Row],[TEAM]]&amp;Matrix[[#Headers],[26]],FDR[FDR]&amp;FDR[[#Headers],[26]],FDR[26],"",0,1)</f>
        <v>5</v>
      </c>
      <c r="AM525" cm="1">
        <f t="array" ref="AM525">_xlfn.XLOOKUP(Matrix[[#This Row],[TEAM]]&amp;Matrix[[#Headers],[27]],FDR[FDR]&amp;FDR[[#Headers],[27]],FDR[27],"",0,1)</f>
        <v>5</v>
      </c>
      <c r="AN525" cm="1">
        <f t="array" ref="AN525">_xlfn.XLOOKUP(Matrix[[#This Row],[TEAM]]&amp;Matrix[[#Headers],[28]],FDR[FDR]&amp;FDR[[#Headers],[28]],FDR[28],"",0,1)</f>
        <v>5</v>
      </c>
      <c r="AO525" cm="1">
        <f t="array" ref="AO525">_xlfn.XLOOKUP(Matrix[[#This Row],[TEAM]]&amp;Matrix[[#Headers],[29]],FDR[FDR]&amp;FDR[[#Headers],[29]],FDR[29],"",0,1)</f>
        <v>4</v>
      </c>
      <c r="AP525" cm="1">
        <f t="array" ref="AP525">_xlfn.XLOOKUP(Matrix[[#This Row],[TEAM]]&amp;Matrix[[#Headers],[30]],FDR[FDR]&amp;FDR[[#Headers],[30]],FDR[30],"",0,1)</f>
        <v>5</v>
      </c>
      <c r="AQ525" cm="1">
        <f t="array" ref="AQ525">_xlfn.XLOOKUP(Matrix[[#This Row],[TEAM]]&amp;Matrix[[#Headers],[31]],FDR[FDR]&amp;FDR[[#Headers],[31]],FDR[31],"",0,1)</f>
        <v>5</v>
      </c>
      <c r="AR525" cm="1">
        <f t="array" ref="AR525">_xlfn.XLOOKUP(Matrix[[#This Row],[TEAM]]&amp;Matrix[[#Headers],[32]],FDR[FDR]&amp;FDR[[#Headers],[32]],FDR[32],"",0,1)</f>
        <v>5</v>
      </c>
      <c r="AS525" cm="1">
        <f t="array" ref="AS525">_xlfn.XLOOKUP(Matrix[[#This Row],[TEAM]]&amp;Matrix[[#Headers],[33]],FDR[FDR]&amp;FDR[[#Headers],[33]],FDR[33],"",0,1)</f>
        <v>5</v>
      </c>
      <c r="AT525" cm="1">
        <f t="array" ref="AT525">_xlfn.XLOOKUP(Matrix[[#This Row],[TEAM]]&amp;Matrix[[#Headers],[34]],FDR[FDR]&amp;FDR[[#Headers],[34]],FDR[34],"",0,1)</f>
        <v>5</v>
      </c>
      <c r="AU525" cm="1">
        <f t="array" ref="AU525">_xlfn.XLOOKUP(Matrix[[#This Row],[TEAM]]&amp;Matrix[[#Headers],[35]],FDR[FDR]&amp;FDR[[#Headers],[35]],FDR[35],"",0,1)</f>
        <v>4</v>
      </c>
      <c r="AV525" cm="1">
        <f t="array" ref="AV525">_xlfn.XLOOKUP(Matrix[[#This Row],[TEAM]]&amp;Matrix[[#Headers],[36]],FDR[FDR]&amp;FDR[[#Headers],[36]],FDR[36],"",0,1)</f>
        <v>5</v>
      </c>
      <c r="AW525" cm="1">
        <f t="array" ref="AW525">_xlfn.XLOOKUP(Matrix[[#This Row],[TEAM]]&amp;Matrix[[#Headers],[37]],FDR[FDR]&amp;FDR[[#Headers],[37]],FDR[37],"",0,1)</f>
        <v>5</v>
      </c>
      <c r="AX525" cm="1">
        <f t="array" ref="AX525">_xlfn.XLOOKUP(Matrix[[#This Row],[TEAM]]&amp;Matrix[[#Headers],[38]],FDR[FDR]&amp;FDR[[#Headers],[38]],FDR[38],"",0,1)</f>
        <v>5</v>
      </c>
    </row>
    <row r="526" spans="1:50" ht="22" thickTop="1" thickBot="1">
      <c r="A526" s="51" t="s">
        <v>657</v>
      </c>
      <c r="B526" s="70" t="s">
        <v>2096</v>
      </c>
      <c r="C526" s="40" t="s">
        <v>634</v>
      </c>
      <c r="D526" s="62">
        <v>5</v>
      </c>
      <c r="E526" s="60">
        <v>1.2999999999999999E-2</v>
      </c>
      <c r="F526" s="61">
        <v>8.5</v>
      </c>
      <c r="G526" s="63">
        <v>4</v>
      </c>
      <c r="H526" s="261">
        <f>IF(ISBLANK(I526),0,1)</f>
        <v>0</v>
      </c>
      <c r="I526" s="57"/>
      <c r="J526" s="58"/>
      <c r="K526" s="65" t="s">
        <v>606</v>
      </c>
      <c r="L526" s="65" t="s">
        <v>2097</v>
      </c>
      <c r="M526" cm="1">
        <f t="array" ref="M526">_xlfn.XLOOKUP(Matrix[[#This Row],[TEAM]]&amp;Matrix[[#Headers],[1]],FDR[FDR]&amp;FDR[[#Headers],[1]],FDR[1],"",0,1)</f>
        <v>4</v>
      </c>
      <c r="N526" cm="1">
        <f t="array" ref="N526">_xlfn.XLOOKUP(Matrix[[#This Row],[TEAM]]&amp;Matrix[[#Headers],[2]],FDR[FDR]&amp;FDR[[#Headers],[2]],FDR[2],"",0,1)</f>
        <v>4</v>
      </c>
      <c r="O526" cm="1">
        <f t="array" ref="O526">_xlfn.XLOOKUP(Matrix[[#This Row],[TEAM]]&amp;Matrix[[#Headers],[3]],FDR[FDR]&amp;FDR[[#Headers],[3]],FDR[3],"",0,1)</f>
        <v>4</v>
      </c>
      <c r="P526" cm="1">
        <f t="array" ref="P526">_xlfn.XLOOKUP(Matrix[[#This Row],[TEAM]]&amp;Matrix[[#Headers],[4]],FDR[FDR]&amp;FDR[[#Headers],[4]],FDR[4],"",0,1)</f>
        <v>5</v>
      </c>
      <c r="Q526" cm="1">
        <f t="array" ref="Q526">_xlfn.XLOOKUP(Matrix[[#This Row],[TEAM]]&amp;Matrix[[#Headers],[5]],FDR[FDR]&amp;FDR[[#Headers],[5]],FDR[5],"",0,1)</f>
        <v>5</v>
      </c>
      <c r="R526" cm="1">
        <f t="array" ref="R526">_xlfn.XLOOKUP(Matrix[[#This Row],[TEAM]]&amp;Matrix[[#Headers],[6]],FDR[FDR]&amp;FDR[[#Headers],[6]],FDR[6],"",0,1)</f>
        <v>5</v>
      </c>
      <c r="S526" cm="1">
        <f t="array" ref="S526">_xlfn.XLOOKUP(Matrix[[#This Row],[TEAM]]&amp;Matrix[[#Headers],[7]],FDR[FDR]&amp;FDR[[#Headers],[7]],FDR[7],"",0,1)</f>
        <v>5</v>
      </c>
      <c r="T526" cm="1">
        <f t="array" ref="T526">_xlfn.XLOOKUP(Matrix[[#This Row],[TEAM]]&amp;Matrix[[#Headers],[8]],FDR[FDR]&amp;FDR[[#Headers],[8]],FDR[8],"",0,1)</f>
        <v>3</v>
      </c>
      <c r="U526" cm="1">
        <f t="array" ref="U526">_xlfn.XLOOKUP(Matrix[[#This Row],[TEAM]]&amp;Matrix[[#Headers],[9]],FDR[FDR]&amp;FDR[[#Headers],[9]],FDR[9],"",0,1)</f>
        <v>5</v>
      </c>
      <c r="V526" cm="1">
        <f t="array" ref="V526">_xlfn.XLOOKUP(Matrix[[#This Row],[TEAM]]&amp;Matrix[[#Headers],[10]],FDR[FDR]&amp;FDR[[#Headers],[10]],FDR[10],"",0,1)</f>
        <v>4</v>
      </c>
      <c r="W526" cm="1">
        <f t="array" ref="W526">_xlfn.XLOOKUP(Matrix[[#This Row],[TEAM]]&amp;Matrix[[#Headers],[11]],FDR[FDR]&amp;FDR[[#Headers],[11]],FDR[11],"",0,1)</f>
        <v>5</v>
      </c>
      <c r="X526" cm="1">
        <f t="array" ref="X526">_xlfn.XLOOKUP(Matrix[[#This Row],[TEAM]]&amp;Matrix[[#Headers],[12]],FDR[FDR]&amp;FDR[[#Headers],[12]],FDR[12],"",0,1)</f>
        <v>5</v>
      </c>
      <c r="Y526" cm="1">
        <f t="array" ref="Y526">_xlfn.XLOOKUP(Matrix[[#This Row],[TEAM]]&amp;Matrix[[#Headers],[13]],FDR[FDR]&amp;FDR[[#Headers],[13]],FDR[13],"",0,1)</f>
        <v>5</v>
      </c>
      <c r="Z526" cm="1">
        <f t="array" ref="Z526">_xlfn.XLOOKUP(Matrix[[#This Row],[TEAM]]&amp;Matrix[[#Headers],[14]],FDR[FDR]&amp;FDR[[#Headers],[14]],FDR[14],"",0,1)</f>
        <v>5</v>
      </c>
      <c r="AA526" cm="1">
        <f t="array" ref="AA526">_xlfn.XLOOKUP(Matrix[[#This Row],[TEAM]]&amp;Matrix[[#Headers],[15]],FDR[FDR]&amp;FDR[[#Headers],[15]],FDR[15],"",0,1)</f>
        <v>5</v>
      </c>
      <c r="AB526" cm="1">
        <f t="array" ref="AB526">_xlfn.XLOOKUP(Matrix[[#This Row],[TEAM]]&amp;Matrix[[#Headers],[16]],FDR[FDR]&amp;FDR[[#Headers],[16]],FDR[16],"",0,1)</f>
        <v>5</v>
      </c>
      <c r="AC526" cm="1">
        <f t="array" ref="AC526">_xlfn.XLOOKUP(Matrix[[#This Row],[TEAM]]&amp;Matrix[[#Headers],[17]],FDR[FDR]&amp;FDR[[#Headers],[17]],FDR[17],"",0,1)</f>
        <v>5</v>
      </c>
      <c r="AD526" cm="1">
        <f t="array" ref="AD526">_xlfn.XLOOKUP(Matrix[[#This Row],[TEAM]]&amp;Matrix[[#Headers],[18]],FDR[FDR]&amp;FDR[[#Headers],[18]],FDR[18],"",0,1)</f>
        <v>3</v>
      </c>
      <c r="AE526" cm="1">
        <f t="array" ref="AE526">_xlfn.XLOOKUP(Matrix[[#This Row],[TEAM]]&amp;Matrix[[#Headers],[19]],FDR[FDR]&amp;FDR[[#Headers],[19]],FDR[19],"",0,1)</f>
        <v>5</v>
      </c>
      <c r="AF526" cm="1">
        <f t="array" ref="AF526">_xlfn.XLOOKUP(Matrix[[#This Row],[TEAM]]&amp;Matrix[[#Headers],[20]],FDR[FDR]&amp;FDR[[#Headers],[20]],FDR[20],"",0,1)</f>
        <v>5</v>
      </c>
      <c r="AG526" cm="1">
        <f t="array" ref="AG526">_xlfn.XLOOKUP(Matrix[[#This Row],[TEAM]]&amp;Matrix[[#Headers],[21]],FDR[FDR]&amp;FDR[[#Headers],[21]],FDR[21],"",0,1)</f>
        <v>5</v>
      </c>
      <c r="AH526" cm="1">
        <f t="array" ref="AH526">_xlfn.XLOOKUP(Matrix[[#This Row],[TEAM]]&amp;Matrix[[#Headers],[22]],FDR[FDR]&amp;FDR[[#Headers],[22]],FDR[22],"",0,1)</f>
        <v>4</v>
      </c>
      <c r="AI526" cm="1">
        <f t="array" ref="AI526">_xlfn.XLOOKUP(Matrix[[#This Row],[TEAM]]&amp;Matrix[[#Headers],[23]],FDR[FDR]&amp;FDR[[#Headers],[23]],FDR[23],"",0,1)</f>
        <v>5</v>
      </c>
      <c r="AJ526" cm="1">
        <f t="array" ref="AJ526">_xlfn.XLOOKUP(Matrix[[#This Row],[TEAM]]&amp;Matrix[[#Headers],[24]],FDR[FDR]&amp;FDR[[#Headers],[24]],FDR[24],"",0,1)</f>
        <v>3</v>
      </c>
      <c r="AK526" cm="1">
        <f t="array" ref="AK526">_xlfn.XLOOKUP(Matrix[[#This Row],[TEAM]]&amp;Matrix[[#Headers],[25]],FDR[FDR]&amp;FDR[[#Headers],[25]],FDR[25],"",0,1)</f>
        <v>5</v>
      </c>
      <c r="AL526" cm="1">
        <f t="array" ref="AL526">_xlfn.XLOOKUP(Matrix[[#This Row],[TEAM]]&amp;Matrix[[#Headers],[26]],FDR[FDR]&amp;FDR[[#Headers],[26]],FDR[26],"",0,1)</f>
        <v>5</v>
      </c>
      <c r="AM526" cm="1">
        <f t="array" ref="AM526">_xlfn.XLOOKUP(Matrix[[#This Row],[TEAM]]&amp;Matrix[[#Headers],[27]],FDR[FDR]&amp;FDR[[#Headers],[27]],FDR[27],"",0,1)</f>
        <v>5</v>
      </c>
      <c r="AN526" cm="1">
        <f t="array" ref="AN526">_xlfn.XLOOKUP(Matrix[[#This Row],[TEAM]]&amp;Matrix[[#Headers],[28]],FDR[FDR]&amp;FDR[[#Headers],[28]],FDR[28],"",0,1)</f>
        <v>5</v>
      </c>
      <c r="AO526" cm="1">
        <f t="array" ref="AO526">_xlfn.XLOOKUP(Matrix[[#This Row],[TEAM]]&amp;Matrix[[#Headers],[29]],FDR[FDR]&amp;FDR[[#Headers],[29]],FDR[29],"",0,1)</f>
        <v>4</v>
      </c>
      <c r="AP526" cm="1">
        <f t="array" ref="AP526">_xlfn.XLOOKUP(Matrix[[#This Row],[TEAM]]&amp;Matrix[[#Headers],[30]],FDR[FDR]&amp;FDR[[#Headers],[30]],FDR[30],"",0,1)</f>
        <v>5</v>
      </c>
      <c r="AQ526" cm="1">
        <f t="array" ref="AQ526">_xlfn.XLOOKUP(Matrix[[#This Row],[TEAM]]&amp;Matrix[[#Headers],[31]],FDR[FDR]&amp;FDR[[#Headers],[31]],FDR[31],"",0,1)</f>
        <v>5</v>
      </c>
      <c r="AR526" cm="1">
        <f t="array" ref="AR526">_xlfn.XLOOKUP(Matrix[[#This Row],[TEAM]]&amp;Matrix[[#Headers],[32]],FDR[FDR]&amp;FDR[[#Headers],[32]],FDR[32],"",0,1)</f>
        <v>5</v>
      </c>
      <c r="AS526" cm="1">
        <f t="array" ref="AS526">_xlfn.XLOOKUP(Matrix[[#This Row],[TEAM]]&amp;Matrix[[#Headers],[33]],FDR[FDR]&amp;FDR[[#Headers],[33]],FDR[33],"",0,1)</f>
        <v>5</v>
      </c>
      <c r="AT526" cm="1">
        <f t="array" ref="AT526">_xlfn.XLOOKUP(Matrix[[#This Row],[TEAM]]&amp;Matrix[[#Headers],[34]],FDR[FDR]&amp;FDR[[#Headers],[34]],FDR[34],"",0,1)</f>
        <v>5</v>
      </c>
      <c r="AU526" cm="1">
        <f t="array" ref="AU526">_xlfn.XLOOKUP(Matrix[[#This Row],[TEAM]]&amp;Matrix[[#Headers],[35]],FDR[FDR]&amp;FDR[[#Headers],[35]],FDR[35],"",0,1)</f>
        <v>4</v>
      </c>
      <c r="AV526" cm="1">
        <f t="array" ref="AV526">_xlfn.XLOOKUP(Matrix[[#This Row],[TEAM]]&amp;Matrix[[#Headers],[36]],FDR[FDR]&amp;FDR[[#Headers],[36]],FDR[36],"",0,1)</f>
        <v>5</v>
      </c>
      <c r="AW526" cm="1">
        <f t="array" ref="AW526">_xlfn.XLOOKUP(Matrix[[#This Row],[TEAM]]&amp;Matrix[[#Headers],[37]],FDR[FDR]&amp;FDR[[#Headers],[37]],FDR[37],"",0,1)</f>
        <v>5</v>
      </c>
      <c r="AX526" cm="1">
        <f t="array" ref="AX526">_xlfn.XLOOKUP(Matrix[[#This Row],[TEAM]]&amp;Matrix[[#Headers],[38]],FDR[FDR]&amp;FDR[[#Headers],[38]],FDR[38],"",0,1)</f>
        <v>5</v>
      </c>
    </row>
    <row r="527" spans="1:50" ht="22" thickTop="1" thickBot="1">
      <c r="A527" s="51" t="s">
        <v>657</v>
      </c>
      <c r="B527" s="70" t="s">
        <v>1844</v>
      </c>
      <c r="C527" s="40" t="s">
        <v>634</v>
      </c>
      <c r="D527" s="62">
        <v>0</v>
      </c>
      <c r="E527" s="60">
        <v>3.0000000000000001E-3</v>
      </c>
      <c r="F527" s="61">
        <v>0</v>
      </c>
      <c r="G527" s="63">
        <v>4</v>
      </c>
      <c r="H527" s="261">
        <f>IF(ISBLANK(I527),0,1)</f>
        <v>0</v>
      </c>
      <c r="I527" s="57"/>
      <c r="J527" s="58"/>
      <c r="K527" s="65" t="s">
        <v>718</v>
      </c>
      <c r="L527" s="65" t="s">
        <v>160</v>
      </c>
      <c r="M527" cm="1">
        <f t="array" ref="M527">_xlfn.XLOOKUP(Matrix[[#This Row],[TEAM]]&amp;Matrix[[#Headers],[1]],FDR[FDR]&amp;FDR[[#Headers],[1]],FDR[1],"",0,1)</f>
        <v>4</v>
      </c>
      <c r="N527" cm="1">
        <f t="array" ref="N527">_xlfn.XLOOKUP(Matrix[[#This Row],[TEAM]]&amp;Matrix[[#Headers],[2]],FDR[FDR]&amp;FDR[[#Headers],[2]],FDR[2],"",0,1)</f>
        <v>4</v>
      </c>
      <c r="O527" cm="1">
        <f t="array" ref="O527">_xlfn.XLOOKUP(Matrix[[#This Row],[TEAM]]&amp;Matrix[[#Headers],[3]],FDR[FDR]&amp;FDR[[#Headers],[3]],FDR[3],"",0,1)</f>
        <v>4</v>
      </c>
      <c r="P527" cm="1">
        <f t="array" ref="P527">_xlfn.XLOOKUP(Matrix[[#This Row],[TEAM]]&amp;Matrix[[#Headers],[4]],FDR[FDR]&amp;FDR[[#Headers],[4]],FDR[4],"",0,1)</f>
        <v>5</v>
      </c>
      <c r="Q527" cm="1">
        <f t="array" ref="Q527">_xlfn.XLOOKUP(Matrix[[#This Row],[TEAM]]&amp;Matrix[[#Headers],[5]],FDR[FDR]&amp;FDR[[#Headers],[5]],FDR[5],"",0,1)</f>
        <v>5</v>
      </c>
      <c r="R527" cm="1">
        <f t="array" ref="R527">_xlfn.XLOOKUP(Matrix[[#This Row],[TEAM]]&amp;Matrix[[#Headers],[6]],FDR[FDR]&amp;FDR[[#Headers],[6]],FDR[6],"",0,1)</f>
        <v>5</v>
      </c>
      <c r="S527" cm="1">
        <f t="array" ref="S527">_xlfn.XLOOKUP(Matrix[[#This Row],[TEAM]]&amp;Matrix[[#Headers],[7]],FDR[FDR]&amp;FDR[[#Headers],[7]],FDR[7],"",0,1)</f>
        <v>5</v>
      </c>
      <c r="T527" cm="1">
        <f t="array" ref="T527">_xlfn.XLOOKUP(Matrix[[#This Row],[TEAM]]&amp;Matrix[[#Headers],[8]],FDR[FDR]&amp;FDR[[#Headers],[8]],FDR[8],"",0,1)</f>
        <v>3</v>
      </c>
      <c r="U527" cm="1">
        <f t="array" ref="U527">_xlfn.XLOOKUP(Matrix[[#This Row],[TEAM]]&amp;Matrix[[#Headers],[9]],FDR[FDR]&amp;FDR[[#Headers],[9]],FDR[9],"",0,1)</f>
        <v>5</v>
      </c>
      <c r="V527" cm="1">
        <f t="array" ref="V527">_xlfn.XLOOKUP(Matrix[[#This Row],[TEAM]]&amp;Matrix[[#Headers],[10]],FDR[FDR]&amp;FDR[[#Headers],[10]],FDR[10],"",0,1)</f>
        <v>4</v>
      </c>
      <c r="W527" cm="1">
        <f t="array" ref="W527">_xlfn.XLOOKUP(Matrix[[#This Row],[TEAM]]&amp;Matrix[[#Headers],[11]],FDR[FDR]&amp;FDR[[#Headers],[11]],FDR[11],"",0,1)</f>
        <v>5</v>
      </c>
      <c r="X527" cm="1">
        <f t="array" ref="X527">_xlfn.XLOOKUP(Matrix[[#This Row],[TEAM]]&amp;Matrix[[#Headers],[12]],FDR[FDR]&amp;FDR[[#Headers],[12]],FDR[12],"",0,1)</f>
        <v>5</v>
      </c>
      <c r="Y527" cm="1">
        <f t="array" ref="Y527">_xlfn.XLOOKUP(Matrix[[#This Row],[TEAM]]&amp;Matrix[[#Headers],[13]],FDR[FDR]&amp;FDR[[#Headers],[13]],FDR[13],"",0,1)</f>
        <v>5</v>
      </c>
      <c r="Z527" cm="1">
        <f t="array" ref="Z527">_xlfn.XLOOKUP(Matrix[[#This Row],[TEAM]]&amp;Matrix[[#Headers],[14]],FDR[FDR]&amp;FDR[[#Headers],[14]],FDR[14],"",0,1)</f>
        <v>5</v>
      </c>
      <c r="AA527" cm="1">
        <f t="array" ref="AA527">_xlfn.XLOOKUP(Matrix[[#This Row],[TEAM]]&amp;Matrix[[#Headers],[15]],FDR[FDR]&amp;FDR[[#Headers],[15]],FDR[15],"",0,1)</f>
        <v>5</v>
      </c>
      <c r="AB527" cm="1">
        <f t="array" ref="AB527">_xlfn.XLOOKUP(Matrix[[#This Row],[TEAM]]&amp;Matrix[[#Headers],[16]],FDR[FDR]&amp;FDR[[#Headers],[16]],FDR[16],"",0,1)</f>
        <v>5</v>
      </c>
      <c r="AC527" cm="1">
        <f t="array" ref="AC527">_xlfn.XLOOKUP(Matrix[[#This Row],[TEAM]]&amp;Matrix[[#Headers],[17]],FDR[FDR]&amp;FDR[[#Headers],[17]],FDR[17],"",0,1)</f>
        <v>5</v>
      </c>
      <c r="AD527" cm="1">
        <f t="array" ref="AD527">_xlfn.XLOOKUP(Matrix[[#This Row],[TEAM]]&amp;Matrix[[#Headers],[18]],FDR[FDR]&amp;FDR[[#Headers],[18]],FDR[18],"",0,1)</f>
        <v>3</v>
      </c>
      <c r="AE527" cm="1">
        <f t="array" ref="AE527">_xlfn.XLOOKUP(Matrix[[#This Row],[TEAM]]&amp;Matrix[[#Headers],[19]],FDR[FDR]&amp;FDR[[#Headers],[19]],FDR[19],"",0,1)</f>
        <v>5</v>
      </c>
      <c r="AF527" cm="1">
        <f t="array" ref="AF527">_xlfn.XLOOKUP(Matrix[[#This Row],[TEAM]]&amp;Matrix[[#Headers],[20]],FDR[FDR]&amp;FDR[[#Headers],[20]],FDR[20],"",0,1)</f>
        <v>5</v>
      </c>
      <c r="AG527" cm="1">
        <f t="array" ref="AG527">_xlfn.XLOOKUP(Matrix[[#This Row],[TEAM]]&amp;Matrix[[#Headers],[21]],FDR[FDR]&amp;FDR[[#Headers],[21]],FDR[21],"",0,1)</f>
        <v>5</v>
      </c>
      <c r="AH527" cm="1">
        <f t="array" ref="AH527">_xlfn.XLOOKUP(Matrix[[#This Row],[TEAM]]&amp;Matrix[[#Headers],[22]],FDR[FDR]&amp;FDR[[#Headers],[22]],FDR[22],"",0,1)</f>
        <v>4</v>
      </c>
      <c r="AI527" cm="1">
        <f t="array" ref="AI527">_xlfn.XLOOKUP(Matrix[[#This Row],[TEAM]]&amp;Matrix[[#Headers],[23]],FDR[FDR]&amp;FDR[[#Headers],[23]],FDR[23],"",0,1)</f>
        <v>5</v>
      </c>
      <c r="AJ527" cm="1">
        <f t="array" ref="AJ527">_xlfn.XLOOKUP(Matrix[[#This Row],[TEAM]]&amp;Matrix[[#Headers],[24]],FDR[FDR]&amp;FDR[[#Headers],[24]],FDR[24],"",0,1)</f>
        <v>3</v>
      </c>
      <c r="AK527" cm="1">
        <f t="array" ref="AK527">_xlfn.XLOOKUP(Matrix[[#This Row],[TEAM]]&amp;Matrix[[#Headers],[25]],FDR[FDR]&amp;FDR[[#Headers],[25]],FDR[25],"",0,1)</f>
        <v>5</v>
      </c>
      <c r="AL527" cm="1">
        <f t="array" ref="AL527">_xlfn.XLOOKUP(Matrix[[#This Row],[TEAM]]&amp;Matrix[[#Headers],[26]],FDR[FDR]&amp;FDR[[#Headers],[26]],FDR[26],"",0,1)</f>
        <v>5</v>
      </c>
      <c r="AM527" cm="1">
        <f t="array" ref="AM527">_xlfn.XLOOKUP(Matrix[[#This Row],[TEAM]]&amp;Matrix[[#Headers],[27]],FDR[FDR]&amp;FDR[[#Headers],[27]],FDR[27],"",0,1)</f>
        <v>5</v>
      </c>
      <c r="AN527" cm="1">
        <f t="array" ref="AN527">_xlfn.XLOOKUP(Matrix[[#This Row],[TEAM]]&amp;Matrix[[#Headers],[28]],FDR[FDR]&amp;FDR[[#Headers],[28]],FDR[28],"",0,1)</f>
        <v>5</v>
      </c>
      <c r="AO527" cm="1">
        <f t="array" ref="AO527">_xlfn.XLOOKUP(Matrix[[#This Row],[TEAM]]&amp;Matrix[[#Headers],[29]],FDR[FDR]&amp;FDR[[#Headers],[29]],FDR[29],"",0,1)</f>
        <v>4</v>
      </c>
      <c r="AP527" cm="1">
        <f t="array" ref="AP527">_xlfn.XLOOKUP(Matrix[[#This Row],[TEAM]]&amp;Matrix[[#Headers],[30]],FDR[FDR]&amp;FDR[[#Headers],[30]],FDR[30],"",0,1)</f>
        <v>5</v>
      </c>
      <c r="AQ527" cm="1">
        <f t="array" ref="AQ527">_xlfn.XLOOKUP(Matrix[[#This Row],[TEAM]]&amp;Matrix[[#Headers],[31]],FDR[FDR]&amp;FDR[[#Headers],[31]],FDR[31],"",0,1)</f>
        <v>5</v>
      </c>
      <c r="AR527" cm="1">
        <f t="array" ref="AR527">_xlfn.XLOOKUP(Matrix[[#This Row],[TEAM]]&amp;Matrix[[#Headers],[32]],FDR[FDR]&amp;FDR[[#Headers],[32]],FDR[32],"",0,1)</f>
        <v>5</v>
      </c>
      <c r="AS527" cm="1">
        <f t="array" ref="AS527">_xlfn.XLOOKUP(Matrix[[#This Row],[TEAM]]&amp;Matrix[[#Headers],[33]],FDR[FDR]&amp;FDR[[#Headers],[33]],FDR[33],"",0,1)</f>
        <v>5</v>
      </c>
      <c r="AT527" cm="1">
        <f t="array" ref="AT527">_xlfn.XLOOKUP(Matrix[[#This Row],[TEAM]]&amp;Matrix[[#Headers],[34]],FDR[FDR]&amp;FDR[[#Headers],[34]],FDR[34],"",0,1)</f>
        <v>5</v>
      </c>
      <c r="AU527" cm="1">
        <f t="array" ref="AU527">_xlfn.XLOOKUP(Matrix[[#This Row],[TEAM]]&amp;Matrix[[#Headers],[35]],FDR[FDR]&amp;FDR[[#Headers],[35]],FDR[35],"",0,1)</f>
        <v>4</v>
      </c>
      <c r="AV527" cm="1">
        <f t="array" ref="AV527">_xlfn.XLOOKUP(Matrix[[#This Row],[TEAM]]&amp;Matrix[[#Headers],[36]],FDR[FDR]&amp;FDR[[#Headers],[36]],FDR[36],"",0,1)</f>
        <v>5</v>
      </c>
      <c r="AW527" cm="1">
        <f t="array" ref="AW527">_xlfn.XLOOKUP(Matrix[[#This Row],[TEAM]]&amp;Matrix[[#Headers],[37]],FDR[FDR]&amp;FDR[[#Headers],[37]],FDR[37],"",0,1)</f>
        <v>5</v>
      </c>
      <c r="AX527" cm="1">
        <f t="array" ref="AX527">_xlfn.XLOOKUP(Matrix[[#This Row],[TEAM]]&amp;Matrix[[#Headers],[38]],FDR[FDR]&amp;FDR[[#Headers],[38]],FDR[38],"",0,1)</f>
        <v>5</v>
      </c>
    </row>
    <row r="528" spans="1:50" ht="22" thickTop="1" thickBot="1">
      <c r="A528" s="51" t="s">
        <v>657</v>
      </c>
      <c r="B528" s="70" t="s">
        <v>1803</v>
      </c>
      <c r="C528" s="40" t="s">
        <v>19</v>
      </c>
      <c r="D528" s="62">
        <v>0</v>
      </c>
      <c r="E528" s="60">
        <v>1.6E-2</v>
      </c>
      <c r="F528" s="61">
        <v>0</v>
      </c>
      <c r="G528" s="63">
        <v>4</v>
      </c>
      <c r="H528" s="261">
        <f>IF(ISBLANK(I528),0,1)</f>
        <v>0</v>
      </c>
      <c r="I528" s="57"/>
      <c r="J528" s="58"/>
      <c r="K528" s="65" t="s">
        <v>1157</v>
      </c>
      <c r="L528" s="65" t="s">
        <v>1154</v>
      </c>
      <c r="M528" cm="1">
        <f t="array" ref="M528">_xlfn.XLOOKUP(Matrix[[#This Row],[TEAM]]&amp;Matrix[[#Headers],[1]],FDR[FDR]&amp;FDR[[#Headers],[1]],FDR[1],"",0,1)</f>
        <v>1</v>
      </c>
      <c r="N528" cm="1">
        <f t="array" ref="N528">_xlfn.XLOOKUP(Matrix[[#This Row],[TEAM]]&amp;Matrix[[#Headers],[2]],FDR[FDR]&amp;FDR[[#Headers],[2]],FDR[2],"",0,1)</f>
        <v>4</v>
      </c>
      <c r="O528" cm="1">
        <f t="array" ref="O528">_xlfn.XLOOKUP(Matrix[[#This Row],[TEAM]]&amp;Matrix[[#Headers],[3]],FDR[FDR]&amp;FDR[[#Headers],[3]],FDR[3],"",0,1)</f>
        <v>1</v>
      </c>
      <c r="P528" cm="1">
        <f t="array" ref="P528">_xlfn.XLOOKUP(Matrix[[#This Row],[TEAM]]&amp;Matrix[[#Headers],[4]],FDR[FDR]&amp;FDR[[#Headers],[4]],FDR[4],"",0,1)</f>
        <v>2</v>
      </c>
      <c r="Q528" cm="1">
        <f t="array" ref="Q528">_xlfn.XLOOKUP(Matrix[[#This Row],[TEAM]]&amp;Matrix[[#Headers],[5]],FDR[FDR]&amp;FDR[[#Headers],[5]],FDR[5],"",0,1)</f>
        <v>2</v>
      </c>
      <c r="R528" cm="1">
        <f t="array" ref="R528">_xlfn.XLOOKUP(Matrix[[#This Row],[TEAM]]&amp;Matrix[[#Headers],[6]],FDR[FDR]&amp;FDR[[#Headers],[6]],FDR[6],"",0,1)</f>
        <v>1</v>
      </c>
      <c r="S528" cm="1">
        <f t="array" ref="S528">_xlfn.XLOOKUP(Matrix[[#This Row],[TEAM]]&amp;Matrix[[#Headers],[7]],FDR[FDR]&amp;FDR[[#Headers],[7]],FDR[7],"",0,1)</f>
        <v>1</v>
      </c>
      <c r="T528" cm="1">
        <f t="array" ref="T528">_xlfn.XLOOKUP(Matrix[[#This Row],[TEAM]]&amp;Matrix[[#Headers],[8]],FDR[FDR]&amp;FDR[[#Headers],[8]],FDR[8],"",0,1)</f>
        <v>2</v>
      </c>
      <c r="U528" cm="1">
        <f t="array" ref="U528">_xlfn.XLOOKUP(Matrix[[#This Row],[TEAM]]&amp;Matrix[[#Headers],[9]],FDR[FDR]&amp;FDR[[#Headers],[9]],FDR[9],"",0,1)</f>
        <v>2</v>
      </c>
      <c r="V528" cm="1">
        <f t="array" ref="V528">_xlfn.XLOOKUP(Matrix[[#This Row],[TEAM]]&amp;Matrix[[#Headers],[10]],FDR[FDR]&amp;FDR[[#Headers],[10]],FDR[10],"",0,1)</f>
        <v>3</v>
      </c>
      <c r="W528" cm="1">
        <f t="array" ref="W528">_xlfn.XLOOKUP(Matrix[[#This Row],[TEAM]]&amp;Matrix[[#Headers],[11]],FDR[FDR]&amp;FDR[[#Headers],[11]],FDR[11],"",0,1)</f>
        <v>3</v>
      </c>
      <c r="X528" cm="1">
        <f t="array" ref="X528">_xlfn.XLOOKUP(Matrix[[#This Row],[TEAM]]&amp;Matrix[[#Headers],[12]],FDR[FDR]&amp;FDR[[#Headers],[12]],FDR[12],"",0,1)</f>
        <v>4</v>
      </c>
      <c r="Y528" cm="1">
        <f t="array" ref="Y528">_xlfn.XLOOKUP(Matrix[[#This Row],[TEAM]]&amp;Matrix[[#Headers],[13]],FDR[FDR]&amp;FDR[[#Headers],[13]],FDR[13],"",0,1)</f>
        <v>1</v>
      </c>
      <c r="Z528" cm="1">
        <f t="array" ref="Z528">_xlfn.XLOOKUP(Matrix[[#This Row],[TEAM]]&amp;Matrix[[#Headers],[14]],FDR[FDR]&amp;FDR[[#Headers],[14]],FDR[14],"",0,1)</f>
        <v>3</v>
      </c>
      <c r="AA528" cm="1">
        <f t="array" ref="AA528">_xlfn.XLOOKUP(Matrix[[#This Row],[TEAM]]&amp;Matrix[[#Headers],[15]],FDR[FDR]&amp;FDR[[#Headers],[15]],FDR[15],"",0,1)</f>
        <v>1</v>
      </c>
      <c r="AB528" cm="1">
        <f t="array" ref="AB528">_xlfn.XLOOKUP(Matrix[[#This Row],[TEAM]]&amp;Matrix[[#Headers],[16]],FDR[FDR]&amp;FDR[[#Headers],[16]],FDR[16],"",0,1)</f>
        <v>2</v>
      </c>
      <c r="AC528" cm="1">
        <f t="array" ref="AC528">_xlfn.XLOOKUP(Matrix[[#This Row],[TEAM]]&amp;Matrix[[#Headers],[17]],FDR[FDR]&amp;FDR[[#Headers],[17]],FDR[17],"",0,1)</f>
        <v>3</v>
      </c>
      <c r="AD528" cm="1">
        <f t="array" ref="AD528">_xlfn.XLOOKUP(Matrix[[#This Row],[TEAM]]&amp;Matrix[[#Headers],[18]],FDR[FDR]&amp;FDR[[#Headers],[18]],FDR[18],"",0,1)</f>
        <v>2</v>
      </c>
      <c r="AE528" cm="1">
        <f t="array" ref="AE528">_xlfn.XLOOKUP(Matrix[[#This Row],[TEAM]]&amp;Matrix[[#Headers],[19]],FDR[FDR]&amp;FDR[[#Headers],[19]],FDR[19],"",0,1)</f>
        <v>2</v>
      </c>
      <c r="AF528" cm="1">
        <f t="array" ref="AF528">_xlfn.XLOOKUP(Matrix[[#This Row],[TEAM]]&amp;Matrix[[#Headers],[20]],FDR[FDR]&amp;FDR[[#Headers],[20]],FDR[20],"",0,1)</f>
        <v>1</v>
      </c>
      <c r="AG528" cm="1">
        <f t="array" ref="AG528">_xlfn.XLOOKUP(Matrix[[#This Row],[TEAM]]&amp;Matrix[[#Headers],[21]],FDR[FDR]&amp;FDR[[#Headers],[21]],FDR[21],"",0,1)</f>
        <v>2</v>
      </c>
      <c r="AH528" cm="1">
        <f t="array" ref="AH528">_xlfn.XLOOKUP(Matrix[[#This Row],[TEAM]]&amp;Matrix[[#Headers],[22]],FDR[FDR]&amp;FDR[[#Headers],[22]],FDR[22],"",0,1)</f>
        <v>1</v>
      </c>
      <c r="AI528" cm="1">
        <f t="array" ref="AI528">_xlfn.XLOOKUP(Matrix[[#This Row],[TEAM]]&amp;Matrix[[#Headers],[23]],FDR[FDR]&amp;FDR[[#Headers],[23]],FDR[23],"",0,1)</f>
        <v>1</v>
      </c>
      <c r="AJ528" cm="1">
        <f t="array" ref="AJ528">_xlfn.XLOOKUP(Matrix[[#This Row],[TEAM]]&amp;Matrix[[#Headers],[24]],FDR[FDR]&amp;FDR[[#Headers],[24]],FDR[24],"",0,1)</f>
        <v>3</v>
      </c>
      <c r="AK528" cm="1">
        <f t="array" ref="AK528">_xlfn.XLOOKUP(Matrix[[#This Row],[TEAM]]&amp;Matrix[[#Headers],[25]],FDR[FDR]&amp;FDR[[#Headers],[25]],FDR[25],"",0,1)</f>
        <v>4</v>
      </c>
      <c r="AL528" cm="1">
        <f t="array" ref="AL528">_xlfn.XLOOKUP(Matrix[[#This Row],[TEAM]]&amp;Matrix[[#Headers],[26]],FDR[FDR]&amp;FDR[[#Headers],[26]],FDR[26],"",0,1)</f>
        <v>2</v>
      </c>
      <c r="AM528" cm="1">
        <f t="array" ref="AM528">_xlfn.XLOOKUP(Matrix[[#This Row],[TEAM]]&amp;Matrix[[#Headers],[27]],FDR[FDR]&amp;FDR[[#Headers],[27]],FDR[27],"",0,1)</f>
        <v>3</v>
      </c>
      <c r="AN528" cm="1">
        <f t="array" ref="AN528">_xlfn.XLOOKUP(Matrix[[#This Row],[TEAM]]&amp;Matrix[[#Headers],[28]],FDR[FDR]&amp;FDR[[#Headers],[28]],FDR[28],"",0,1)</f>
        <v>2</v>
      </c>
      <c r="AO528" cm="1">
        <f t="array" ref="AO528">_xlfn.XLOOKUP(Matrix[[#This Row],[TEAM]]&amp;Matrix[[#Headers],[29]],FDR[FDR]&amp;FDR[[#Headers],[29]],FDR[29],"",0,1)</f>
        <v>1</v>
      </c>
      <c r="AP528" cm="1">
        <f t="array" ref="AP528">_xlfn.XLOOKUP(Matrix[[#This Row],[TEAM]]&amp;Matrix[[#Headers],[30]],FDR[FDR]&amp;FDR[[#Headers],[30]],FDR[30],"",0,1)</f>
        <v>4</v>
      </c>
      <c r="AQ528" cm="1">
        <f t="array" ref="AQ528">_xlfn.XLOOKUP(Matrix[[#This Row],[TEAM]]&amp;Matrix[[#Headers],[31]],FDR[FDR]&amp;FDR[[#Headers],[31]],FDR[31],"",0,1)</f>
        <v>1</v>
      </c>
      <c r="AR528" cm="1">
        <f t="array" ref="AR528">_xlfn.XLOOKUP(Matrix[[#This Row],[TEAM]]&amp;Matrix[[#Headers],[32]],FDR[FDR]&amp;FDR[[#Headers],[32]],FDR[32],"",0,1)</f>
        <v>1</v>
      </c>
      <c r="AS528" cm="1">
        <f t="array" ref="AS528">_xlfn.XLOOKUP(Matrix[[#This Row],[TEAM]]&amp;Matrix[[#Headers],[33]],FDR[FDR]&amp;FDR[[#Headers],[33]],FDR[33],"",0,1)</f>
        <v>1</v>
      </c>
      <c r="AT528" cm="1">
        <f t="array" ref="AT528">_xlfn.XLOOKUP(Matrix[[#This Row],[TEAM]]&amp;Matrix[[#Headers],[34]],FDR[FDR]&amp;FDR[[#Headers],[34]],FDR[34],"",0,1)</f>
        <v>1</v>
      </c>
      <c r="AU528" cm="1">
        <f t="array" ref="AU528">_xlfn.XLOOKUP(Matrix[[#This Row],[TEAM]]&amp;Matrix[[#Headers],[35]],FDR[FDR]&amp;FDR[[#Headers],[35]],FDR[35],"",0,1)</f>
        <v>3</v>
      </c>
      <c r="AV528" cm="1">
        <f t="array" ref="AV528">_xlfn.XLOOKUP(Matrix[[#This Row],[TEAM]]&amp;Matrix[[#Headers],[36]],FDR[FDR]&amp;FDR[[#Headers],[36]],FDR[36],"",0,1)</f>
        <v>1</v>
      </c>
      <c r="AW528" cm="1">
        <f t="array" ref="AW528">_xlfn.XLOOKUP(Matrix[[#This Row],[TEAM]]&amp;Matrix[[#Headers],[37]],FDR[FDR]&amp;FDR[[#Headers],[37]],FDR[37],"",0,1)</f>
        <v>4</v>
      </c>
      <c r="AX528" cm="1">
        <f t="array" ref="AX528">_xlfn.XLOOKUP(Matrix[[#This Row],[TEAM]]&amp;Matrix[[#Headers],[38]],FDR[FDR]&amp;FDR[[#Headers],[38]],FDR[38],"",0,1)</f>
        <v>1</v>
      </c>
    </row>
    <row r="529" spans="1:50" ht="21" thickTop="1" thickBot="1">
      <c r="A529" s="52" t="s">
        <v>658</v>
      </c>
      <c r="B529" s="70"/>
      <c r="C529" s="40"/>
      <c r="D529" s="68"/>
      <c r="E529" s="60"/>
      <c r="F529" s="67"/>
      <c r="G529" s="63">
        <v>0</v>
      </c>
      <c r="H529" s="261">
        <f>IF(ISBLANK(I529),0,1)</f>
        <v>0</v>
      </c>
      <c r="I529" s="57"/>
      <c r="J529" s="58"/>
      <c r="K529" s="66"/>
      <c r="L529" s="66"/>
      <c r="M529" t="str" cm="1">
        <f t="array" ref="M529">_xlfn.XLOOKUP(Matrix[[#This Row],[TEAM]]&amp;Matrix[[#Headers],[1]],FDR[FDR]&amp;FDR[[#Headers],[1]],FDR[1],"",0,1)</f>
        <v/>
      </c>
      <c r="N529" t="str" cm="1">
        <f t="array" ref="N529">_xlfn.XLOOKUP(Matrix[[#This Row],[TEAM]]&amp;Matrix[[#Headers],[2]],FDR[FDR]&amp;FDR[[#Headers],[2]],FDR[2],"",0,1)</f>
        <v/>
      </c>
      <c r="O529" t="str" cm="1">
        <f t="array" ref="O529">_xlfn.XLOOKUP(Matrix[[#This Row],[TEAM]]&amp;Matrix[[#Headers],[3]],FDR[FDR]&amp;FDR[[#Headers],[3]],FDR[3],"",0,1)</f>
        <v/>
      </c>
      <c r="P529" t="str" cm="1">
        <f t="array" ref="P529">_xlfn.XLOOKUP(Matrix[[#This Row],[TEAM]]&amp;Matrix[[#Headers],[4]],FDR[FDR]&amp;FDR[[#Headers],[4]],FDR[4],"",0,1)</f>
        <v/>
      </c>
      <c r="Q529" t="str" cm="1">
        <f t="array" ref="Q529">_xlfn.XLOOKUP(Matrix[[#This Row],[TEAM]]&amp;Matrix[[#Headers],[5]],FDR[FDR]&amp;FDR[[#Headers],[5]],FDR[5],"",0,1)</f>
        <v/>
      </c>
      <c r="R529" t="str" cm="1">
        <f t="array" ref="R529">_xlfn.XLOOKUP(Matrix[[#This Row],[TEAM]]&amp;Matrix[[#Headers],[6]],FDR[FDR]&amp;FDR[[#Headers],[6]],FDR[6],"",0,1)</f>
        <v/>
      </c>
      <c r="S529" t="str" cm="1">
        <f t="array" ref="S529">_xlfn.XLOOKUP(Matrix[[#This Row],[TEAM]]&amp;Matrix[[#Headers],[7]],FDR[FDR]&amp;FDR[[#Headers],[7]],FDR[7],"",0,1)</f>
        <v/>
      </c>
      <c r="T529" t="str" cm="1">
        <f t="array" ref="T529">_xlfn.XLOOKUP(Matrix[[#This Row],[TEAM]]&amp;Matrix[[#Headers],[8]],FDR[FDR]&amp;FDR[[#Headers],[8]],FDR[8],"",0,1)</f>
        <v/>
      </c>
      <c r="U529" t="str" cm="1">
        <f t="array" ref="U529">_xlfn.XLOOKUP(Matrix[[#This Row],[TEAM]]&amp;Matrix[[#Headers],[9]],FDR[FDR]&amp;FDR[[#Headers],[9]],FDR[9],"",0,1)</f>
        <v/>
      </c>
      <c r="V529" t="str" cm="1">
        <f t="array" ref="V529">_xlfn.XLOOKUP(Matrix[[#This Row],[TEAM]]&amp;Matrix[[#Headers],[10]],FDR[FDR]&amp;FDR[[#Headers],[10]],FDR[10],"",0,1)</f>
        <v/>
      </c>
      <c r="W529" t="str" cm="1">
        <f t="array" ref="W529">_xlfn.XLOOKUP(Matrix[[#This Row],[TEAM]]&amp;Matrix[[#Headers],[11]],FDR[FDR]&amp;FDR[[#Headers],[11]],FDR[11],"",0,1)</f>
        <v/>
      </c>
      <c r="X529" t="str" cm="1">
        <f t="array" ref="X529">_xlfn.XLOOKUP(Matrix[[#This Row],[TEAM]]&amp;Matrix[[#Headers],[12]],FDR[FDR]&amp;FDR[[#Headers],[12]],FDR[12],"",0,1)</f>
        <v/>
      </c>
      <c r="Y529" t="str" cm="1">
        <f t="array" ref="Y529">_xlfn.XLOOKUP(Matrix[[#This Row],[TEAM]]&amp;Matrix[[#Headers],[13]],FDR[FDR]&amp;FDR[[#Headers],[13]],FDR[13],"",0,1)</f>
        <v/>
      </c>
      <c r="Z529" t="str" cm="1">
        <f t="array" ref="Z529">_xlfn.XLOOKUP(Matrix[[#This Row],[TEAM]]&amp;Matrix[[#Headers],[14]],FDR[FDR]&amp;FDR[[#Headers],[14]],FDR[14],"",0,1)</f>
        <v/>
      </c>
      <c r="AA529" t="str" cm="1">
        <f t="array" ref="AA529">_xlfn.XLOOKUP(Matrix[[#This Row],[TEAM]]&amp;Matrix[[#Headers],[15]],FDR[FDR]&amp;FDR[[#Headers],[15]],FDR[15],"",0,1)</f>
        <v/>
      </c>
      <c r="AB529" t="str" cm="1">
        <f t="array" ref="AB529">_xlfn.XLOOKUP(Matrix[[#This Row],[TEAM]]&amp;Matrix[[#Headers],[16]],FDR[FDR]&amp;FDR[[#Headers],[16]],FDR[16],"",0,1)</f>
        <v/>
      </c>
      <c r="AC529" t="str" cm="1">
        <f t="array" ref="AC529">_xlfn.XLOOKUP(Matrix[[#This Row],[TEAM]]&amp;Matrix[[#Headers],[17]],FDR[FDR]&amp;FDR[[#Headers],[17]],FDR[17],"",0,1)</f>
        <v/>
      </c>
      <c r="AD529" t="str" cm="1">
        <f t="array" ref="AD529">_xlfn.XLOOKUP(Matrix[[#This Row],[TEAM]]&amp;Matrix[[#Headers],[18]],FDR[FDR]&amp;FDR[[#Headers],[18]],FDR[18],"",0,1)</f>
        <v/>
      </c>
      <c r="AE529" t="str" cm="1">
        <f t="array" ref="AE529">_xlfn.XLOOKUP(Matrix[[#This Row],[TEAM]]&amp;Matrix[[#Headers],[19]],FDR[FDR]&amp;FDR[[#Headers],[19]],FDR[19],"",0,1)</f>
        <v/>
      </c>
      <c r="AF529" t="str" cm="1">
        <f t="array" ref="AF529">_xlfn.XLOOKUP(Matrix[[#This Row],[TEAM]]&amp;Matrix[[#Headers],[20]],FDR[FDR]&amp;FDR[[#Headers],[20]],FDR[20],"",0,1)</f>
        <v/>
      </c>
      <c r="AG529" t="str" cm="1">
        <f t="array" ref="AG529">_xlfn.XLOOKUP(Matrix[[#This Row],[TEAM]]&amp;Matrix[[#Headers],[21]],FDR[FDR]&amp;FDR[[#Headers],[21]],FDR[21],"",0,1)</f>
        <v/>
      </c>
      <c r="AH529" t="str" cm="1">
        <f t="array" ref="AH529">_xlfn.XLOOKUP(Matrix[[#This Row],[TEAM]]&amp;Matrix[[#Headers],[22]],FDR[FDR]&amp;FDR[[#Headers],[22]],FDR[22],"",0,1)</f>
        <v/>
      </c>
      <c r="AI529" t="str" cm="1">
        <f t="array" ref="AI529">_xlfn.XLOOKUP(Matrix[[#This Row],[TEAM]]&amp;Matrix[[#Headers],[23]],FDR[FDR]&amp;FDR[[#Headers],[23]],FDR[23],"",0,1)</f>
        <v/>
      </c>
      <c r="AJ529" t="str" cm="1">
        <f t="array" ref="AJ529">_xlfn.XLOOKUP(Matrix[[#This Row],[TEAM]]&amp;Matrix[[#Headers],[24]],FDR[FDR]&amp;FDR[[#Headers],[24]],FDR[24],"",0,1)</f>
        <v/>
      </c>
      <c r="AK529" t="str" cm="1">
        <f t="array" ref="AK529">_xlfn.XLOOKUP(Matrix[[#This Row],[TEAM]]&amp;Matrix[[#Headers],[25]],FDR[FDR]&amp;FDR[[#Headers],[25]],FDR[25],"",0,1)</f>
        <v/>
      </c>
      <c r="AL529" t="str" cm="1">
        <f t="array" ref="AL529">_xlfn.XLOOKUP(Matrix[[#This Row],[TEAM]]&amp;Matrix[[#Headers],[26]],FDR[FDR]&amp;FDR[[#Headers],[26]],FDR[26],"",0,1)</f>
        <v/>
      </c>
      <c r="AM529" t="str" cm="1">
        <f t="array" ref="AM529">_xlfn.XLOOKUP(Matrix[[#This Row],[TEAM]]&amp;Matrix[[#Headers],[27]],FDR[FDR]&amp;FDR[[#Headers],[27]],FDR[27],"",0,1)</f>
        <v/>
      </c>
      <c r="AN529" t="str" cm="1">
        <f t="array" ref="AN529">_xlfn.XLOOKUP(Matrix[[#This Row],[TEAM]]&amp;Matrix[[#Headers],[28]],FDR[FDR]&amp;FDR[[#Headers],[28]],FDR[28],"",0,1)</f>
        <v/>
      </c>
      <c r="AO529" t="str" cm="1">
        <f t="array" ref="AO529">_xlfn.XLOOKUP(Matrix[[#This Row],[TEAM]]&amp;Matrix[[#Headers],[29]],FDR[FDR]&amp;FDR[[#Headers],[29]],FDR[29],"",0,1)</f>
        <v/>
      </c>
      <c r="AP529" t="str" cm="1">
        <f t="array" ref="AP529">_xlfn.XLOOKUP(Matrix[[#This Row],[TEAM]]&amp;Matrix[[#Headers],[30]],FDR[FDR]&amp;FDR[[#Headers],[30]],FDR[30],"",0,1)</f>
        <v/>
      </c>
      <c r="AQ529" t="str" cm="1">
        <f t="array" ref="AQ529">_xlfn.XLOOKUP(Matrix[[#This Row],[TEAM]]&amp;Matrix[[#Headers],[31]],FDR[FDR]&amp;FDR[[#Headers],[31]],FDR[31],"",0,1)</f>
        <v/>
      </c>
      <c r="AR529" t="str" cm="1">
        <f t="array" ref="AR529">_xlfn.XLOOKUP(Matrix[[#This Row],[TEAM]]&amp;Matrix[[#Headers],[32]],FDR[FDR]&amp;FDR[[#Headers],[32]],FDR[32],"",0,1)</f>
        <v/>
      </c>
      <c r="AS529" t="str" cm="1">
        <f t="array" ref="AS529">_xlfn.XLOOKUP(Matrix[[#This Row],[TEAM]]&amp;Matrix[[#Headers],[33]],FDR[FDR]&amp;FDR[[#Headers],[33]],FDR[33],"",0,1)</f>
        <v/>
      </c>
      <c r="AT529" t="str" cm="1">
        <f t="array" ref="AT529">_xlfn.XLOOKUP(Matrix[[#This Row],[TEAM]]&amp;Matrix[[#Headers],[34]],FDR[FDR]&amp;FDR[[#Headers],[34]],FDR[34],"",0,1)</f>
        <v/>
      </c>
      <c r="AU529" t="str" cm="1">
        <f t="array" ref="AU529">_xlfn.XLOOKUP(Matrix[[#This Row],[TEAM]]&amp;Matrix[[#Headers],[35]],FDR[FDR]&amp;FDR[[#Headers],[35]],FDR[35],"",0,1)</f>
        <v/>
      </c>
      <c r="AV529" t="str" cm="1">
        <f t="array" ref="AV529">_xlfn.XLOOKUP(Matrix[[#This Row],[TEAM]]&amp;Matrix[[#Headers],[36]],FDR[FDR]&amp;FDR[[#Headers],[36]],FDR[36],"",0,1)</f>
        <v/>
      </c>
      <c r="AW529" t="str" cm="1">
        <f t="array" ref="AW529">_xlfn.XLOOKUP(Matrix[[#This Row],[TEAM]]&amp;Matrix[[#Headers],[37]],FDR[FDR]&amp;FDR[[#Headers],[37]],FDR[37],"",0,1)</f>
        <v/>
      </c>
      <c r="AX529" t="str" cm="1">
        <f t="array" ref="AX529">_xlfn.XLOOKUP(Matrix[[#This Row],[TEAM]]&amp;Matrix[[#Headers],[38]],FDR[FDR]&amp;FDR[[#Headers],[38]],FDR[38],"",0,1)</f>
        <v/>
      </c>
    </row>
    <row r="530" spans="1:50" ht="21" thickTop="1" thickBot="1">
      <c r="A530" s="51" t="s">
        <v>657</v>
      </c>
      <c r="B530" s="79"/>
      <c r="C530" s="40"/>
      <c r="D530" s="61"/>
      <c r="E530" s="60"/>
      <c r="F530" s="61"/>
      <c r="G530" s="80">
        <v>0</v>
      </c>
      <c r="H530" s="262">
        <f>IF(ISBLANK(I530),0,1)</f>
        <v>0</v>
      </c>
      <c r="I530" s="57"/>
      <c r="J530" s="58"/>
      <c r="K530" s="65"/>
      <c r="L530" s="65"/>
      <c r="M530" t="str" cm="1">
        <f t="array" ref="M530">_xlfn.XLOOKUP(Matrix[[#This Row],[TEAM]]&amp;Matrix[[#Headers],[1]],FDR[FDR]&amp;FDR[[#Headers],[1]],FDR[1],"",0,1)</f>
        <v/>
      </c>
      <c r="N530" t="str" cm="1">
        <f t="array" ref="N530">_xlfn.XLOOKUP(Matrix[[#This Row],[TEAM]]&amp;Matrix[[#Headers],[2]],FDR[FDR]&amp;FDR[[#Headers],[2]],FDR[2],"",0,1)</f>
        <v/>
      </c>
      <c r="O530" t="str" cm="1">
        <f t="array" ref="O530">_xlfn.XLOOKUP(Matrix[[#This Row],[TEAM]]&amp;Matrix[[#Headers],[3]],FDR[FDR]&amp;FDR[[#Headers],[3]],FDR[3],"",0,1)</f>
        <v/>
      </c>
      <c r="P530" t="str" cm="1">
        <f t="array" ref="P530">_xlfn.XLOOKUP(Matrix[[#This Row],[TEAM]]&amp;Matrix[[#Headers],[4]],FDR[FDR]&amp;FDR[[#Headers],[4]],FDR[4],"",0,1)</f>
        <v/>
      </c>
      <c r="Q530" t="str" cm="1">
        <f t="array" ref="Q530">_xlfn.XLOOKUP(Matrix[[#This Row],[TEAM]]&amp;Matrix[[#Headers],[5]],FDR[FDR]&amp;FDR[[#Headers],[5]],FDR[5],"",0,1)</f>
        <v/>
      </c>
      <c r="R530" t="str" cm="1">
        <f t="array" ref="R530">_xlfn.XLOOKUP(Matrix[[#This Row],[TEAM]]&amp;Matrix[[#Headers],[6]],FDR[FDR]&amp;FDR[[#Headers],[6]],FDR[6],"",0,1)</f>
        <v/>
      </c>
      <c r="S530" t="str" cm="1">
        <f t="array" ref="S530">_xlfn.XLOOKUP(Matrix[[#This Row],[TEAM]]&amp;Matrix[[#Headers],[7]],FDR[FDR]&amp;FDR[[#Headers],[7]],FDR[7],"",0,1)</f>
        <v/>
      </c>
      <c r="T530" t="str" cm="1">
        <f t="array" ref="T530">_xlfn.XLOOKUP(Matrix[[#This Row],[TEAM]]&amp;Matrix[[#Headers],[8]],FDR[FDR]&amp;FDR[[#Headers],[8]],FDR[8],"",0,1)</f>
        <v/>
      </c>
      <c r="U530" t="str" cm="1">
        <f t="array" ref="U530">_xlfn.XLOOKUP(Matrix[[#This Row],[TEAM]]&amp;Matrix[[#Headers],[9]],FDR[FDR]&amp;FDR[[#Headers],[9]],FDR[9],"",0,1)</f>
        <v/>
      </c>
      <c r="V530" t="str" cm="1">
        <f t="array" ref="V530">_xlfn.XLOOKUP(Matrix[[#This Row],[TEAM]]&amp;Matrix[[#Headers],[10]],FDR[FDR]&amp;FDR[[#Headers],[10]],FDR[10],"",0,1)</f>
        <v/>
      </c>
      <c r="W530" t="str" cm="1">
        <f t="array" ref="W530">_xlfn.XLOOKUP(Matrix[[#This Row],[TEAM]]&amp;Matrix[[#Headers],[11]],FDR[FDR]&amp;FDR[[#Headers],[11]],FDR[11],"",0,1)</f>
        <v/>
      </c>
      <c r="X530" t="str" cm="1">
        <f t="array" ref="X530">_xlfn.XLOOKUP(Matrix[[#This Row],[TEAM]]&amp;Matrix[[#Headers],[12]],FDR[FDR]&amp;FDR[[#Headers],[12]],FDR[12],"",0,1)</f>
        <v/>
      </c>
      <c r="Y530" t="str" cm="1">
        <f t="array" ref="Y530">_xlfn.XLOOKUP(Matrix[[#This Row],[TEAM]]&amp;Matrix[[#Headers],[13]],FDR[FDR]&amp;FDR[[#Headers],[13]],FDR[13],"",0,1)</f>
        <v/>
      </c>
      <c r="Z530" t="str" cm="1">
        <f t="array" ref="Z530">_xlfn.XLOOKUP(Matrix[[#This Row],[TEAM]]&amp;Matrix[[#Headers],[14]],FDR[FDR]&amp;FDR[[#Headers],[14]],FDR[14],"",0,1)</f>
        <v/>
      </c>
      <c r="AA530" t="str" cm="1">
        <f t="array" ref="AA530">_xlfn.XLOOKUP(Matrix[[#This Row],[TEAM]]&amp;Matrix[[#Headers],[15]],FDR[FDR]&amp;FDR[[#Headers],[15]],FDR[15],"",0,1)</f>
        <v/>
      </c>
      <c r="AB530" t="str" cm="1">
        <f t="array" ref="AB530">_xlfn.XLOOKUP(Matrix[[#This Row],[TEAM]]&amp;Matrix[[#Headers],[16]],FDR[FDR]&amp;FDR[[#Headers],[16]],FDR[16],"",0,1)</f>
        <v/>
      </c>
      <c r="AC530" t="str" cm="1">
        <f t="array" ref="AC530">_xlfn.XLOOKUP(Matrix[[#This Row],[TEAM]]&amp;Matrix[[#Headers],[17]],FDR[FDR]&amp;FDR[[#Headers],[17]],FDR[17],"",0,1)</f>
        <v/>
      </c>
      <c r="AD530" t="str" cm="1">
        <f t="array" ref="AD530">_xlfn.XLOOKUP(Matrix[[#This Row],[TEAM]]&amp;Matrix[[#Headers],[18]],FDR[FDR]&amp;FDR[[#Headers],[18]],FDR[18],"",0,1)</f>
        <v/>
      </c>
      <c r="AE530" t="str" cm="1">
        <f t="array" ref="AE530">_xlfn.XLOOKUP(Matrix[[#This Row],[TEAM]]&amp;Matrix[[#Headers],[19]],FDR[FDR]&amp;FDR[[#Headers],[19]],FDR[19],"",0,1)</f>
        <v/>
      </c>
      <c r="AF530" t="str" cm="1">
        <f t="array" ref="AF530">_xlfn.XLOOKUP(Matrix[[#This Row],[TEAM]]&amp;Matrix[[#Headers],[20]],FDR[FDR]&amp;FDR[[#Headers],[20]],FDR[20],"",0,1)</f>
        <v/>
      </c>
      <c r="AG530" t="str" cm="1">
        <f t="array" ref="AG530">_xlfn.XLOOKUP(Matrix[[#This Row],[TEAM]]&amp;Matrix[[#Headers],[21]],FDR[FDR]&amp;FDR[[#Headers],[21]],FDR[21],"",0,1)</f>
        <v/>
      </c>
      <c r="AH530" t="str" cm="1">
        <f t="array" ref="AH530">_xlfn.XLOOKUP(Matrix[[#This Row],[TEAM]]&amp;Matrix[[#Headers],[22]],FDR[FDR]&amp;FDR[[#Headers],[22]],FDR[22],"",0,1)</f>
        <v/>
      </c>
      <c r="AI530" t="str" cm="1">
        <f t="array" ref="AI530">_xlfn.XLOOKUP(Matrix[[#This Row],[TEAM]]&amp;Matrix[[#Headers],[23]],FDR[FDR]&amp;FDR[[#Headers],[23]],FDR[23],"",0,1)</f>
        <v/>
      </c>
      <c r="AJ530" t="str" cm="1">
        <f t="array" ref="AJ530">_xlfn.XLOOKUP(Matrix[[#This Row],[TEAM]]&amp;Matrix[[#Headers],[24]],FDR[FDR]&amp;FDR[[#Headers],[24]],FDR[24],"",0,1)</f>
        <v/>
      </c>
      <c r="AK530" t="str" cm="1">
        <f t="array" ref="AK530">_xlfn.XLOOKUP(Matrix[[#This Row],[TEAM]]&amp;Matrix[[#Headers],[25]],FDR[FDR]&amp;FDR[[#Headers],[25]],FDR[25],"",0,1)</f>
        <v/>
      </c>
      <c r="AL530" t="str" cm="1">
        <f t="array" ref="AL530">_xlfn.XLOOKUP(Matrix[[#This Row],[TEAM]]&amp;Matrix[[#Headers],[26]],FDR[FDR]&amp;FDR[[#Headers],[26]],FDR[26],"",0,1)</f>
        <v/>
      </c>
      <c r="AM530" t="str" cm="1">
        <f t="array" ref="AM530">_xlfn.XLOOKUP(Matrix[[#This Row],[TEAM]]&amp;Matrix[[#Headers],[27]],FDR[FDR]&amp;FDR[[#Headers],[27]],FDR[27],"",0,1)</f>
        <v/>
      </c>
      <c r="AN530" t="str" cm="1">
        <f t="array" ref="AN530">_xlfn.XLOOKUP(Matrix[[#This Row],[TEAM]]&amp;Matrix[[#Headers],[28]],FDR[FDR]&amp;FDR[[#Headers],[28]],FDR[28],"",0,1)</f>
        <v/>
      </c>
      <c r="AO530" t="str" cm="1">
        <f t="array" ref="AO530">_xlfn.XLOOKUP(Matrix[[#This Row],[TEAM]]&amp;Matrix[[#Headers],[29]],FDR[FDR]&amp;FDR[[#Headers],[29]],FDR[29],"",0,1)</f>
        <v/>
      </c>
      <c r="AP530" t="str" cm="1">
        <f t="array" ref="AP530">_xlfn.XLOOKUP(Matrix[[#This Row],[TEAM]]&amp;Matrix[[#Headers],[30]],FDR[FDR]&amp;FDR[[#Headers],[30]],FDR[30],"",0,1)</f>
        <v/>
      </c>
      <c r="AQ530" t="str" cm="1">
        <f t="array" ref="AQ530">_xlfn.XLOOKUP(Matrix[[#This Row],[TEAM]]&amp;Matrix[[#Headers],[31]],FDR[FDR]&amp;FDR[[#Headers],[31]],FDR[31],"",0,1)</f>
        <v/>
      </c>
      <c r="AR530" t="str" cm="1">
        <f t="array" ref="AR530">_xlfn.XLOOKUP(Matrix[[#This Row],[TEAM]]&amp;Matrix[[#Headers],[32]],FDR[FDR]&amp;FDR[[#Headers],[32]],FDR[32],"",0,1)</f>
        <v/>
      </c>
      <c r="AS530" t="str" cm="1">
        <f t="array" ref="AS530">_xlfn.XLOOKUP(Matrix[[#This Row],[TEAM]]&amp;Matrix[[#Headers],[33]],FDR[FDR]&amp;FDR[[#Headers],[33]],FDR[33],"",0,1)</f>
        <v/>
      </c>
      <c r="AT530" t="str" cm="1">
        <f t="array" ref="AT530">_xlfn.XLOOKUP(Matrix[[#This Row],[TEAM]]&amp;Matrix[[#Headers],[34]],FDR[FDR]&amp;FDR[[#Headers],[34]],FDR[34],"",0,1)</f>
        <v/>
      </c>
      <c r="AU530" t="str" cm="1">
        <f t="array" ref="AU530">_xlfn.XLOOKUP(Matrix[[#This Row],[TEAM]]&amp;Matrix[[#Headers],[35]],FDR[FDR]&amp;FDR[[#Headers],[35]],FDR[35],"",0,1)</f>
        <v/>
      </c>
      <c r="AV530" t="str" cm="1">
        <f t="array" ref="AV530">_xlfn.XLOOKUP(Matrix[[#This Row],[TEAM]]&amp;Matrix[[#Headers],[36]],FDR[FDR]&amp;FDR[[#Headers],[36]],FDR[36],"",0,1)</f>
        <v/>
      </c>
      <c r="AW530" t="str" cm="1">
        <f t="array" ref="AW530">_xlfn.XLOOKUP(Matrix[[#This Row],[TEAM]]&amp;Matrix[[#Headers],[37]],FDR[FDR]&amp;FDR[[#Headers],[37]],FDR[37],"",0,1)</f>
        <v/>
      </c>
      <c r="AX530" t="str" cm="1">
        <f t="array" ref="AX530">_xlfn.XLOOKUP(Matrix[[#This Row],[TEAM]]&amp;Matrix[[#Headers],[38]],FDR[FDR]&amp;FDR[[#Headers],[38]],FDR[38],"",0,1)</f>
        <v/>
      </c>
    </row>
    <row r="531" spans="1:50" ht="21" thickTop="1" thickBot="1">
      <c r="A531" s="50" t="s">
        <v>656</v>
      </c>
      <c r="B531" s="70"/>
      <c r="C531" s="40"/>
      <c r="D531" s="62"/>
      <c r="E531" s="60"/>
      <c r="F531" s="61"/>
      <c r="G531" s="63">
        <v>0</v>
      </c>
      <c r="H531" s="261">
        <f>IF(ISBLANK(I531),0,1)</f>
        <v>0</v>
      </c>
      <c r="I531" s="57"/>
      <c r="J531" s="58"/>
      <c r="K531" s="59"/>
      <c r="L531" s="59"/>
      <c r="M531" t="str" cm="1">
        <f t="array" ref="M531">_xlfn.XLOOKUP(Matrix[[#This Row],[TEAM]]&amp;Matrix[[#Headers],[1]],FDR[FDR]&amp;FDR[[#Headers],[1]],FDR[1],"",0,1)</f>
        <v/>
      </c>
      <c r="N531" t="str" cm="1">
        <f t="array" ref="N531">_xlfn.XLOOKUP(Matrix[[#This Row],[TEAM]]&amp;Matrix[[#Headers],[2]],FDR[FDR]&amp;FDR[[#Headers],[2]],FDR[2],"",0,1)</f>
        <v/>
      </c>
      <c r="O531" t="str" cm="1">
        <f t="array" ref="O531">_xlfn.XLOOKUP(Matrix[[#This Row],[TEAM]]&amp;Matrix[[#Headers],[3]],FDR[FDR]&amp;FDR[[#Headers],[3]],FDR[3],"",0,1)</f>
        <v/>
      </c>
      <c r="P531" t="str" cm="1">
        <f t="array" ref="P531">_xlfn.XLOOKUP(Matrix[[#This Row],[TEAM]]&amp;Matrix[[#Headers],[4]],FDR[FDR]&amp;FDR[[#Headers],[4]],FDR[4],"",0,1)</f>
        <v/>
      </c>
      <c r="Q531" t="str" cm="1">
        <f t="array" ref="Q531">_xlfn.XLOOKUP(Matrix[[#This Row],[TEAM]]&amp;Matrix[[#Headers],[5]],FDR[FDR]&amp;FDR[[#Headers],[5]],FDR[5],"",0,1)</f>
        <v/>
      </c>
      <c r="R531" t="str" cm="1">
        <f t="array" ref="R531">_xlfn.XLOOKUP(Matrix[[#This Row],[TEAM]]&amp;Matrix[[#Headers],[6]],FDR[FDR]&amp;FDR[[#Headers],[6]],FDR[6],"",0,1)</f>
        <v/>
      </c>
      <c r="S531" t="str" cm="1">
        <f t="array" ref="S531">_xlfn.XLOOKUP(Matrix[[#This Row],[TEAM]]&amp;Matrix[[#Headers],[7]],FDR[FDR]&amp;FDR[[#Headers],[7]],FDR[7],"",0,1)</f>
        <v/>
      </c>
      <c r="T531" t="str" cm="1">
        <f t="array" ref="T531">_xlfn.XLOOKUP(Matrix[[#This Row],[TEAM]]&amp;Matrix[[#Headers],[8]],FDR[FDR]&amp;FDR[[#Headers],[8]],FDR[8],"",0,1)</f>
        <v/>
      </c>
      <c r="U531" t="str" cm="1">
        <f t="array" ref="U531">_xlfn.XLOOKUP(Matrix[[#This Row],[TEAM]]&amp;Matrix[[#Headers],[9]],FDR[FDR]&amp;FDR[[#Headers],[9]],FDR[9],"",0,1)</f>
        <v/>
      </c>
      <c r="V531" t="str" cm="1">
        <f t="array" ref="V531">_xlfn.XLOOKUP(Matrix[[#This Row],[TEAM]]&amp;Matrix[[#Headers],[10]],FDR[FDR]&amp;FDR[[#Headers],[10]],FDR[10],"",0,1)</f>
        <v/>
      </c>
      <c r="W531" t="str" cm="1">
        <f t="array" ref="W531">_xlfn.XLOOKUP(Matrix[[#This Row],[TEAM]]&amp;Matrix[[#Headers],[11]],FDR[FDR]&amp;FDR[[#Headers],[11]],FDR[11],"",0,1)</f>
        <v/>
      </c>
      <c r="X531" t="str" cm="1">
        <f t="array" ref="X531">_xlfn.XLOOKUP(Matrix[[#This Row],[TEAM]]&amp;Matrix[[#Headers],[12]],FDR[FDR]&amp;FDR[[#Headers],[12]],FDR[12],"",0,1)</f>
        <v/>
      </c>
      <c r="Y531" t="str" cm="1">
        <f t="array" ref="Y531">_xlfn.XLOOKUP(Matrix[[#This Row],[TEAM]]&amp;Matrix[[#Headers],[13]],FDR[FDR]&amp;FDR[[#Headers],[13]],FDR[13],"",0,1)</f>
        <v/>
      </c>
      <c r="Z531" t="str" cm="1">
        <f t="array" ref="Z531">_xlfn.XLOOKUP(Matrix[[#This Row],[TEAM]]&amp;Matrix[[#Headers],[14]],FDR[FDR]&amp;FDR[[#Headers],[14]],FDR[14],"",0,1)</f>
        <v/>
      </c>
      <c r="AA531" t="str" cm="1">
        <f t="array" ref="AA531">_xlfn.XLOOKUP(Matrix[[#This Row],[TEAM]]&amp;Matrix[[#Headers],[15]],FDR[FDR]&amp;FDR[[#Headers],[15]],FDR[15],"",0,1)</f>
        <v/>
      </c>
      <c r="AB531" t="str" cm="1">
        <f t="array" ref="AB531">_xlfn.XLOOKUP(Matrix[[#This Row],[TEAM]]&amp;Matrix[[#Headers],[16]],FDR[FDR]&amp;FDR[[#Headers],[16]],FDR[16],"",0,1)</f>
        <v/>
      </c>
      <c r="AC531" t="str" cm="1">
        <f t="array" ref="AC531">_xlfn.XLOOKUP(Matrix[[#This Row],[TEAM]]&amp;Matrix[[#Headers],[17]],FDR[FDR]&amp;FDR[[#Headers],[17]],FDR[17],"",0,1)</f>
        <v/>
      </c>
      <c r="AD531" t="str" cm="1">
        <f t="array" ref="AD531">_xlfn.XLOOKUP(Matrix[[#This Row],[TEAM]]&amp;Matrix[[#Headers],[18]],FDR[FDR]&amp;FDR[[#Headers],[18]],FDR[18],"",0,1)</f>
        <v/>
      </c>
      <c r="AE531" t="str" cm="1">
        <f t="array" ref="AE531">_xlfn.XLOOKUP(Matrix[[#This Row],[TEAM]]&amp;Matrix[[#Headers],[19]],FDR[FDR]&amp;FDR[[#Headers],[19]],FDR[19],"",0,1)</f>
        <v/>
      </c>
      <c r="AF531" t="str" cm="1">
        <f t="array" ref="AF531">_xlfn.XLOOKUP(Matrix[[#This Row],[TEAM]]&amp;Matrix[[#Headers],[20]],FDR[FDR]&amp;FDR[[#Headers],[20]],FDR[20],"",0,1)</f>
        <v/>
      </c>
      <c r="AG531" t="str" cm="1">
        <f t="array" ref="AG531">_xlfn.XLOOKUP(Matrix[[#This Row],[TEAM]]&amp;Matrix[[#Headers],[21]],FDR[FDR]&amp;FDR[[#Headers],[21]],FDR[21],"",0,1)</f>
        <v/>
      </c>
      <c r="AH531" t="str" cm="1">
        <f t="array" ref="AH531">_xlfn.XLOOKUP(Matrix[[#This Row],[TEAM]]&amp;Matrix[[#Headers],[22]],FDR[FDR]&amp;FDR[[#Headers],[22]],FDR[22],"",0,1)</f>
        <v/>
      </c>
      <c r="AI531" t="str" cm="1">
        <f t="array" ref="AI531">_xlfn.XLOOKUP(Matrix[[#This Row],[TEAM]]&amp;Matrix[[#Headers],[23]],FDR[FDR]&amp;FDR[[#Headers],[23]],FDR[23],"",0,1)</f>
        <v/>
      </c>
      <c r="AJ531" t="str" cm="1">
        <f t="array" ref="AJ531">_xlfn.XLOOKUP(Matrix[[#This Row],[TEAM]]&amp;Matrix[[#Headers],[24]],FDR[FDR]&amp;FDR[[#Headers],[24]],FDR[24],"",0,1)</f>
        <v/>
      </c>
      <c r="AK531" t="str" cm="1">
        <f t="array" ref="AK531">_xlfn.XLOOKUP(Matrix[[#This Row],[TEAM]]&amp;Matrix[[#Headers],[25]],FDR[FDR]&amp;FDR[[#Headers],[25]],FDR[25],"",0,1)</f>
        <v/>
      </c>
      <c r="AL531" t="str" cm="1">
        <f t="array" ref="AL531">_xlfn.XLOOKUP(Matrix[[#This Row],[TEAM]]&amp;Matrix[[#Headers],[26]],FDR[FDR]&amp;FDR[[#Headers],[26]],FDR[26],"",0,1)</f>
        <v/>
      </c>
      <c r="AM531" t="str" cm="1">
        <f t="array" ref="AM531">_xlfn.XLOOKUP(Matrix[[#This Row],[TEAM]]&amp;Matrix[[#Headers],[27]],FDR[FDR]&amp;FDR[[#Headers],[27]],FDR[27],"",0,1)</f>
        <v/>
      </c>
      <c r="AN531" t="str" cm="1">
        <f t="array" ref="AN531">_xlfn.XLOOKUP(Matrix[[#This Row],[TEAM]]&amp;Matrix[[#Headers],[28]],FDR[FDR]&amp;FDR[[#Headers],[28]],FDR[28],"",0,1)</f>
        <v/>
      </c>
      <c r="AO531" t="str" cm="1">
        <f t="array" ref="AO531">_xlfn.XLOOKUP(Matrix[[#This Row],[TEAM]]&amp;Matrix[[#Headers],[29]],FDR[FDR]&amp;FDR[[#Headers],[29]],FDR[29],"",0,1)</f>
        <v/>
      </c>
      <c r="AP531" t="str" cm="1">
        <f t="array" ref="AP531">_xlfn.XLOOKUP(Matrix[[#This Row],[TEAM]]&amp;Matrix[[#Headers],[30]],FDR[FDR]&amp;FDR[[#Headers],[30]],FDR[30],"",0,1)</f>
        <v/>
      </c>
      <c r="AQ531" t="str" cm="1">
        <f t="array" ref="AQ531">_xlfn.XLOOKUP(Matrix[[#This Row],[TEAM]]&amp;Matrix[[#Headers],[31]],FDR[FDR]&amp;FDR[[#Headers],[31]],FDR[31],"",0,1)</f>
        <v/>
      </c>
      <c r="AR531" t="str" cm="1">
        <f t="array" ref="AR531">_xlfn.XLOOKUP(Matrix[[#This Row],[TEAM]]&amp;Matrix[[#Headers],[32]],FDR[FDR]&amp;FDR[[#Headers],[32]],FDR[32],"",0,1)</f>
        <v/>
      </c>
      <c r="AS531" t="str" cm="1">
        <f t="array" ref="AS531">_xlfn.XLOOKUP(Matrix[[#This Row],[TEAM]]&amp;Matrix[[#Headers],[33]],FDR[FDR]&amp;FDR[[#Headers],[33]],FDR[33],"",0,1)</f>
        <v/>
      </c>
      <c r="AT531" t="str" cm="1">
        <f t="array" ref="AT531">_xlfn.XLOOKUP(Matrix[[#This Row],[TEAM]]&amp;Matrix[[#Headers],[34]],FDR[FDR]&amp;FDR[[#Headers],[34]],FDR[34],"",0,1)</f>
        <v/>
      </c>
      <c r="AU531" t="str" cm="1">
        <f t="array" ref="AU531">_xlfn.XLOOKUP(Matrix[[#This Row],[TEAM]]&amp;Matrix[[#Headers],[35]],FDR[FDR]&amp;FDR[[#Headers],[35]],FDR[35],"",0,1)</f>
        <v/>
      </c>
      <c r="AV531" t="str" cm="1">
        <f t="array" ref="AV531">_xlfn.XLOOKUP(Matrix[[#This Row],[TEAM]]&amp;Matrix[[#Headers],[36]],FDR[FDR]&amp;FDR[[#Headers],[36]],FDR[36],"",0,1)</f>
        <v/>
      </c>
      <c r="AW531" t="str" cm="1">
        <f t="array" ref="AW531">_xlfn.XLOOKUP(Matrix[[#This Row],[TEAM]]&amp;Matrix[[#Headers],[37]],FDR[FDR]&amp;FDR[[#Headers],[37]],FDR[37],"",0,1)</f>
        <v/>
      </c>
      <c r="AX531" t="str" cm="1">
        <f t="array" ref="AX531">_xlfn.XLOOKUP(Matrix[[#This Row],[TEAM]]&amp;Matrix[[#Headers],[38]],FDR[FDR]&amp;FDR[[#Headers],[38]],FDR[38],"",0,1)</f>
        <v/>
      </c>
    </row>
    <row r="532" spans="1:50" ht="21" thickTop="1" thickBot="1">
      <c r="A532" s="49" t="s">
        <v>655</v>
      </c>
      <c r="B532" s="70"/>
      <c r="C532" s="40"/>
      <c r="D532" s="62"/>
      <c r="E532" s="60"/>
      <c r="F532" s="61"/>
      <c r="G532" s="63">
        <v>0</v>
      </c>
      <c r="H532" s="261">
        <f>IF(ISBLANK(I532),0,1)</f>
        <v>0</v>
      </c>
      <c r="I532" s="57"/>
      <c r="J532" s="58"/>
      <c r="K532" s="64"/>
      <c r="L532" s="64"/>
      <c r="M532" t="str" cm="1">
        <f t="array" ref="M532">_xlfn.XLOOKUP(Matrix[[#This Row],[TEAM]]&amp;Matrix[[#Headers],[1]],FDR[FDR]&amp;FDR[[#Headers],[1]],FDR[1],"",0,1)</f>
        <v/>
      </c>
      <c r="N532" t="str" cm="1">
        <f t="array" ref="N532">_xlfn.XLOOKUP(Matrix[[#This Row],[TEAM]]&amp;Matrix[[#Headers],[2]],FDR[FDR]&amp;FDR[[#Headers],[2]],FDR[2],"",0,1)</f>
        <v/>
      </c>
      <c r="O532" t="str" cm="1">
        <f t="array" ref="O532">_xlfn.XLOOKUP(Matrix[[#This Row],[TEAM]]&amp;Matrix[[#Headers],[3]],FDR[FDR]&amp;FDR[[#Headers],[3]],FDR[3],"",0,1)</f>
        <v/>
      </c>
      <c r="P532" t="str" cm="1">
        <f t="array" ref="P532">_xlfn.XLOOKUP(Matrix[[#This Row],[TEAM]]&amp;Matrix[[#Headers],[4]],FDR[FDR]&amp;FDR[[#Headers],[4]],FDR[4],"",0,1)</f>
        <v/>
      </c>
      <c r="Q532" t="str" cm="1">
        <f t="array" ref="Q532">_xlfn.XLOOKUP(Matrix[[#This Row],[TEAM]]&amp;Matrix[[#Headers],[5]],FDR[FDR]&amp;FDR[[#Headers],[5]],FDR[5],"",0,1)</f>
        <v/>
      </c>
      <c r="R532" t="str" cm="1">
        <f t="array" ref="R532">_xlfn.XLOOKUP(Matrix[[#This Row],[TEAM]]&amp;Matrix[[#Headers],[6]],FDR[FDR]&amp;FDR[[#Headers],[6]],FDR[6],"",0,1)</f>
        <v/>
      </c>
      <c r="S532" t="str" cm="1">
        <f t="array" ref="S532">_xlfn.XLOOKUP(Matrix[[#This Row],[TEAM]]&amp;Matrix[[#Headers],[7]],FDR[FDR]&amp;FDR[[#Headers],[7]],FDR[7],"",0,1)</f>
        <v/>
      </c>
      <c r="T532" t="str" cm="1">
        <f t="array" ref="T532">_xlfn.XLOOKUP(Matrix[[#This Row],[TEAM]]&amp;Matrix[[#Headers],[8]],FDR[FDR]&amp;FDR[[#Headers],[8]],FDR[8],"",0,1)</f>
        <v/>
      </c>
      <c r="U532" t="str" cm="1">
        <f t="array" ref="U532">_xlfn.XLOOKUP(Matrix[[#This Row],[TEAM]]&amp;Matrix[[#Headers],[9]],FDR[FDR]&amp;FDR[[#Headers],[9]],FDR[9],"",0,1)</f>
        <v/>
      </c>
      <c r="V532" t="str" cm="1">
        <f t="array" ref="V532">_xlfn.XLOOKUP(Matrix[[#This Row],[TEAM]]&amp;Matrix[[#Headers],[10]],FDR[FDR]&amp;FDR[[#Headers],[10]],FDR[10],"",0,1)</f>
        <v/>
      </c>
      <c r="W532" t="str" cm="1">
        <f t="array" ref="W532">_xlfn.XLOOKUP(Matrix[[#This Row],[TEAM]]&amp;Matrix[[#Headers],[11]],FDR[FDR]&amp;FDR[[#Headers],[11]],FDR[11],"",0,1)</f>
        <v/>
      </c>
      <c r="X532" t="str" cm="1">
        <f t="array" ref="X532">_xlfn.XLOOKUP(Matrix[[#This Row],[TEAM]]&amp;Matrix[[#Headers],[12]],FDR[FDR]&amp;FDR[[#Headers],[12]],FDR[12],"",0,1)</f>
        <v/>
      </c>
      <c r="Y532" t="str" cm="1">
        <f t="array" ref="Y532">_xlfn.XLOOKUP(Matrix[[#This Row],[TEAM]]&amp;Matrix[[#Headers],[13]],FDR[FDR]&amp;FDR[[#Headers],[13]],FDR[13],"",0,1)</f>
        <v/>
      </c>
      <c r="Z532" t="str" cm="1">
        <f t="array" ref="Z532">_xlfn.XLOOKUP(Matrix[[#This Row],[TEAM]]&amp;Matrix[[#Headers],[14]],FDR[FDR]&amp;FDR[[#Headers],[14]],FDR[14],"",0,1)</f>
        <v/>
      </c>
      <c r="AA532" t="str" cm="1">
        <f t="array" ref="AA532">_xlfn.XLOOKUP(Matrix[[#This Row],[TEAM]]&amp;Matrix[[#Headers],[15]],FDR[FDR]&amp;FDR[[#Headers],[15]],FDR[15],"",0,1)</f>
        <v/>
      </c>
      <c r="AB532" t="str" cm="1">
        <f t="array" ref="AB532">_xlfn.XLOOKUP(Matrix[[#This Row],[TEAM]]&amp;Matrix[[#Headers],[16]],FDR[FDR]&amp;FDR[[#Headers],[16]],FDR[16],"",0,1)</f>
        <v/>
      </c>
      <c r="AC532" t="str" cm="1">
        <f t="array" ref="AC532">_xlfn.XLOOKUP(Matrix[[#This Row],[TEAM]]&amp;Matrix[[#Headers],[17]],FDR[FDR]&amp;FDR[[#Headers],[17]],FDR[17],"",0,1)</f>
        <v/>
      </c>
      <c r="AD532" t="str" cm="1">
        <f t="array" ref="AD532">_xlfn.XLOOKUP(Matrix[[#This Row],[TEAM]]&amp;Matrix[[#Headers],[18]],FDR[FDR]&amp;FDR[[#Headers],[18]],FDR[18],"",0,1)</f>
        <v/>
      </c>
      <c r="AE532" t="str" cm="1">
        <f t="array" ref="AE532">_xlfn.XLOOKUP(Matrix[[#This Row],[TEAM]]&amp;Matrix[[#Headers],[19]],FDR[FDR]&amp;FDR[[#Headers],[19]],FDR[19],"",0,1)</f>
        <v/>
      </c>
      <c r="AF532" t="str" cm="1">
        <f t="array" ref="AF532">_xlfn.XLOOKUP(Matrix[[#This Row],[TEAM]]&amp;Matrix[[#Headers],[20]],FDR[FDR]&amp;FDR[[#Headers],[20]],FDR[20],"",0,1)</f>
        <v/>
      </c>
      <c r="AG532" t="str" cm="1">
        <f t="array" ref="AG532">_xlfn.XLOOKUP(Matrix[[#This Row],[TEAM]]&amp;Matrix[[#Headers],[21]],FDR[FDR]&amp;FDR[[#Headers],[21]],FDR[21],"",0,1)</f>
        <v/>
      </c>
      <c r="AH532" t="str" cm="1">
        <f t="array" ref="AH532">_xlfn.XLOOKUP(Matrix[[#This Row],[TEAM]]&amp;Matrix[[#Headers],[22]],FDR[FDR]&amp;FDR[[#Headers],[22]],FDR[22],"",0,1)</f>
        <v/>
      </c>
      <c r="AI532" t="str" cm="1">
        <f t="array" ref="AI532">_xlfn.XLOOKUP(Matrix[[#This Row],[TEAM]]&amp;Matrix[[#Headers],[23]],FDR[FDR]&amp;FDR[[#Headers],[23]],FDR[23],"",0,1)</f>
        <v/>
      </c>
      <c r="AJ532" t="str" cm="1">
        <f t="array" ref="AJ532">_xlfn.XLOOKUP(Matrix[[#This Row],[TEAM]]&amp;Matrix[[#Headers],[24]],FDR[FDR]&amp;FDR[[#Headers],[24]],FDR[24],"",0,1)</f>
        <v/>
      </c>
      <c r="AK532" t="str" cm="1">
        <f t="array" ref="AK532">_xlfn.XLOOKUP(Matrix[[#This Row],[TEAM]]&amp;Matrix[[#Headers],[25]],FDR[FDR]&amp;FDR[[#Headers],[25]],FDR[25],"",0,1)</f>
        <v/>
      </c>
      <c r="AL532" t="str" cm="1">
        <f t="array" ref="AL532">_xlfn.XLOOKUP(Matrix[[#This Row],[TEAM]]&amp;Matrix[[#Headers],[26]],FDR[FDR]&amp;FDR[[#Headers],[26]],FDR[26],"",0,1)</f>
        <v/>
      </c>
      <c r="AM532" t="str" cm="1">
        <f t="array" ref="AM532">_xlfn.XLOOKUP(Matrix[[#This Row],[TEAM]]&amp;Matrix[[#Headers],[27]],FDR[FDR]&amp;FDR[[#Headers],[27]],FDR[27],"",0,1)</f>
        <v/>
      </c>
      <c r="AN532" t="str" cm="1">
        <f t="array" ref="AN532">_xlfn.XLOOKUP(Matrix[[#This Row],[TEAM]]&amp;Matrix[[#Headers],[28]],FDR[FDR]&amp;FDR[[#Headers],[28]],FDR[28],"",0,1)</f>
        <v/>
      </c>
      <c r="AO532" t="str" cm="1">
        <f t="array" ref="AO532">_xlfn.XLOOKUP(Matrix[[#This Row],[TEAM]]&amp;Matrix[[#Headers],[29]],FDR[FDR]&amp;FDR[[#Headers],[29]],FDR[29],"",0,1)</f>
        <v/>
      </c>
      <c r="AP532" t="str" cm="1">
        <f t="array" ref="AP532">_xlfn.XLOOKUP(Matrix[[#This Row],[TEAM]]&amp;Matrix[[#Headers],[30]],FDR[FDR]&amp;FDR[[#Headers],[30]],FDR[30],"",0,1)</f>
        <v/>
      </c>
      <c r="AQ532" t="str" cm="1">
        <f t="array" ref="AQ532">_xlfn.XLOOKUP(Matrix[[#This Row],[TEAM]]&amp;Matrix[[#Headers],[31]],FDR[FDR]&amp;FDR[[#Headers],[31]],FDR[31],"",0,1)</f>
        <v/>
      </c>
      <c r="AR532" t="str" cm="1">
        <f t="array" ref="AR532">_xlfn.XLOOKUP(Matrix[[#This Row],[TEAM]]&amp;Matrix[[#Headers],[32]],FDR[FDR]&amp;FDR[[#Headers],[32]],FDR[32],"",0,1)</f>
        <v/>
      </c>
      <c r="AS532" t="str" cm="1">
        <f t="array" ref="AS532">_xlfn.XLOOKUP(Matrix[[#This Row],[TEAM]]&amp;Matrix[[#Headers],[33]],FDR[FDR]&amp;FDR[[#Headers],[33]],FDR[33],"",0,1)</f>
        <v/>
      </c>
      <c r="AT532" t="str" cm="1">
        <f t="array" ref="AT532">_xlfn.XLOOKUP(Matrix[[#This Row],[TEAM]]&amp;Matrix[[#Headers],[34]],FDR[FDR]&amp;FDR[[#Headers],[34]],FDR[34],"",0,1)</f>
        <v/>
      </c>
      <c r="AU532" t="str" cm="1">
        <f t="array" ref="AU532">_xlfn.XLOOKUP(Matrix[[#This Row],[TEAM]]&amp;Matrix[[#Headers],[35]],FDR[FDR]&amp;FDR[[#Headers],[35]],FDR[35],"",0,1)</f>
        <v/>
      </c>
      <c r="AV532" t="str" cm="1">
        <f t="array" ref="AV532">_xlfn.XLOOKUP(Matrix[[#This Row],[TEAM]]&amp;Matrix[[#Headers],[36]],FDR[FDR]&amp;FDR[[#Headers],[36]],FDR[36],"",0,1)</f>
        <v/>
      </c>
      <c r="AW532" t="str" cm="1">
        <f t="array" ref="AW532">_xlfn.XLOOKUP(Matrix[[#This Row],[TEAM]]&amp;Matrix[[#Headers],[37]],FDR[FDR]&amp;FDR[[#Headers],[37]],FDR[37],"",0,1)</f>
        <v/>
      </c>
      <c r="AX532" t="str" cm="1">
        <f t="array" ref="AX532">_xlfn.XLOOKUP(Matrix[[#This Row],[TEAM]]&amp;Matrix[[#Headers],[38]],FDR[FDR]&amp;FDR[[#Headers],[38]],FDR[38],"",0,1)</f>
        <v/>
      </c>
    </row>
    <row r="533" spans="1:50" ht="22" thickTop="1" thickBot="1">
      <c r="A533" s="50" t="str">
        <f>INDEX!S$4</f>
        <v>MID</v>
      </c>
      <c r="B533" s="70" t="s">
        <v>1274</v>
      </c>
      <c r="C533" s="40" t="s">
        <v>18</v>
      </c>
      <c r="D533" s="62">
        <v>214</v>
      </c>
      <c r="E533" s="60">
        <v>0.57599999999999996</v>
      </c>
      <c r="F533" s="61">
        <v>338</v>
      </c>
      <c r="G533" s="63">
        <v>10.5</v>
      </c>
      <c r="H533" s="261">
        <f>IF(ISBLANK(I533),0,1)</f>
        <v>1</v>
      </c>
      <c r="I533" s="57" t="s">
        <v>982</v>
      </c>
      <c r="J533" s="58">
        <v>0.75</v>
      </c>
      <c r="K533" s="59" t="s">
        <v>544</v>
      </c>
      <c r="L533" s="59" t="s">
        <v>250</v>
      </c>
      <c r="M533" cm="1">
        <f t="array" ref="M533">_xlfn.XLOOKUP(Matrix[[#This Row],[TEAM]]&amp;Matrix[[#Headers],[1]],FDR[FDR]&amp;FDR[[#Headers],[1]],FDR[1],"",0,1)</f>
        <v>1</v>
      </c>
      <c r="N533" cm="1">
        <f t="array" ref="N533">_xlfn.XLOOKUP(Matrix[[#This Row],[TEAM]]&amp;Matrix[[#Headers],[2]],FDR[FDR]&amp;FDR[[#Headers],[2]],FDR[2],"",0,1)</f>
        <v>2</v>
      </c>
      <c r="O533" cm="1">
        <f t="array" ref="O533">_xlfn.XLOOKUP(Matrix[[#This Row],[TEAM]]&amp;Matrix[[#Headers],[3]],FDR[FDR]&amp;FDR[[#Headers],[3]],FDR[3],"",0,1)</f>
        <v>1</v>
      </c>
      <c r="P533" cm="1">
        <f t="array" ref="P533">_xlfn.XLOOKUP(Matrix[[#This Row],[TEAM]]&amp;Matrix[[#Headers],[4]],FDR[FDR]&amp;FDR[[#Headers],[4]],FDR[4],"",0,1)</f>
        <v>2</v>
      </c>
      <c r="Q533" cm="1">
        <f t="array" ref="Q533">_xlfn.XLOOKUP(Matrix[[#This Row],[TEAM]]&amp;Matrix[[#Headers],[5]],FDR[FDR]&amp;FDR[[#Headers],[5]],FDR[5],"",0,1)</f>
        <v>3</v>
      </c>
      <c r="R533" cm="1">
        <f t="array" ref="R533">_xlfn.XLOOKUP(Matrix[[#This Row],[TEAM]]&amp;Matrix[[#Headers],[6]],FDR[FDR]&amp;FDR[[#Headers],[6]],FDR[6],"",0,1)</f>
        <v>1</v>
      </c>
      <c r="S533" cm="1">
        <f t="array" ref="S533">_xlfn.XLOOKUP(Matrix[[#This Row],[TEAM]]&amp;Matrix[[#Headers],[7]],FDR[FDR]&amp;FDR[[#Headers],[7]],FDR[7],"",0,1)</f>
        <v>3</v>
      </c>
      <c r="T533" cm="1">
        <f t="array" ref="T533">_xlfn.XLOOKUP(Matrix[[#This Row],[TEAM]]&amp;Matrix[[#Headers],[8]],FDR[FDR]&amp;FDR[[#Headers],[8]],FDR[8],"",0,1)</f>
        <v>2</v>
      </c>
      <c r="U533" cm="1">
        <f t="array" ref="U533">_xlfn.XLOOKUP(Matrix[[#This Row],[TEAM]]&amp;Matrix[[#Headers],[9]],FDR[FDR]&amp;FDR[[#Headers],[9]],FDR[9],"",0,1)</f>
        <v>1</v>
      </c>
      <c r="V533" cm="1">
        <f t="array" ref="V533">_xlfn.XLOOKUP(Matrix[[#This Row],[TEAM]]&amp;Matrix[[#Headers],[10]],FDR[FDR]&amp;FDR[[#Headers],[10]],FDR[10],"",0,1)</f>
        <v>3</v>
      </c>
      <c r="W533" cm="1">
        <f t="array" ref="W533">_xlfn.XLOOKUP(Matrix[[#This Row],[TEAM]]&amp;Matrix[[#Headers],[11]],FDR[FDR]&amp;FDR[[#Headers],[11]],FDR[11],"",0,1)</f>
        <v>1</v>
      </c>
      <c r="X533" cm="1">
        <f t="array" ref="X533">_xlfn.XLOOKUP(Matrix[[#This Row],[TEAM]]&amp;Matrix[[#Headers],[12]],FDR[FDR]&amp;FDR[[#Headers],[12]],FDR[12],"",0,1)</f>
        <v>1</v>
      </c>
      <c r="Y533" cm="1">
        <f t="array" ref="Y533">_xlfn.XLOOKUP(Matrix[[#This Row],[TEAM]]&amp;Matrix[[#Headers],[13]],FDR[FDR]&amp;FDR[[#Headers],[13]],FDR[13],"",0,1)</f>
        <v>3</v>
      </c>
      <c r="Z533" cm="1">
        <f t="array" ref="Z533">_xlfn.XLOOKUP(Matrix[[#This Row],[TEAM]]&amp;Matrix[[#Headers],[14]],FDR[FDR]&amp;FDR[[#Headers],[14]],FDR[14],"",0,1)</f>
        <v>1</v>
      </c>
      <c r="AA533" cm="1">
        <f t="array" ref="AA533">_xlfn.XLOOKUP(Matrix[[#This Row],[TEAM]]&amp;Matrix[[#Headers],[15]],FDR[FDR]&amp;FDR[[#Headers],[15]],FDR[15],"",0,1)</f>
        <v>2</v>
      </c>
      <c r="AB533" cm="1">
        <f t="array" ref="AB533">_xlfn.XLOOKUP(Matrix[[#This Row],[TEAM]]&amp;Matrix[[#Headers],[16]],FDR[FDR]&amp;FDR[[#Headers],[16]],FDR[16],"",0,1)</f>
        <v>1</v>
      </c>
      <c r="AC533" cm="1">
        <f t="array" ref="AC533">_xlfn.XLOOKUP(Matrix[[#This Row],[TEAM]]&amp;Matrix[[#Headers],[17]],FDR[FDR]&amp;FDR[[#Headers],[17]],FDR[17],"",0,1)</f>
        <v>3</v>
      </c>
      <c r="AD533" cm="1">
        <f t="array" ref="AD533">_xlfn.XLOOKUP(Matrix[[#This Row],[TEAM]]&amp;Matrix[[#Headers],[18]],FDR[FDR]&amp;FDR[[#Headers],[18]],FDR[18],"",0,1)</f>
        <v>2</v>
      </c>
      <c r="AE533" cm="1">
        <f t="array" ref="AE533">_xlfn.XLOOKUP(Matrix[[#This Row],[TEAM]]&amp;Matrix[[#Headers],[19]],FDR[FDR]&amp;FDR[[#Headers],[19]],FDR[19],"",0,1)</f>
        <v>1</v>
      </c>
      <c r="AF533" cm="1">
        <f t="array" ref="AF533">_xlfn.XLOOKUP(Matrix[[#This Row],[TEAM]]&amp;Matrix[[#Headers],[20]],FDR[FDR]&amp;FDR[[#Headers],[20]],FDR[20],"",0,1)</f>
        <v>4</v>
      </c>
      <c r="AG533" cm="1">
        <f t="array" ref="AG533">_xlfn.XLOOKUP(Matrix[[#This Row],[TEAM]]&amp;Matrix[[#Headers],[21]],FDR[FDR]&amp;FDR[[#Headers],[21]],FDR[21],"",0,1)</f>
        <v>2</v>
      </c>
      <c r="AH533" cm="1">
        <f t="array" ref="AH533">_xlfn.XLOOKUP(Matrix[[#This Row],[TEAM]]&amp;Matrix[[#Headers],[22]],FDR[FDR]&amp;FDR[[#Headers],[22]],FDR[22],"",0,1)</f>
        <v>1</v>
      </c>
      <c r="AI533" cm="1">
        <f t="array" ref="AI533">_xlfn.XLOOKUP(Matrix[[#This Row],[TEAM]]&amp;Matrix[[#Headers],[23]],FDR[FDR]&amp;FDR[[#Headers],[23]],FDR[23],"",0,1)</f>
        <v>2</v>
      </c>
      <c r="AJ533" cm="1">
        <f t="array" ref="AJ533">_xlfn.XLOOKUP(Matrix[[#This Row],[TEAM]]&amp;Matrix[[#Headers],[24]],FDR[FDR]&amp;FDR[[#Headers],[24]],FDR[24],"",0,1)</f>
        <v>1</v>
      </c>
      <c r="AK533" cm="1">
        <f t="array" ref="AK533">_xlfn.XLOOKUP(Matrix[[#This Row],[TEAM]]&amp;Matrix[[#Headers],[25]],FDR[FDR]&amp;FDR[[#Headers],[25]],FDR[25],"",0,1)</f>
        <v>1</v>
      </c>
      <c r="AL533" cm="1">
        <f t="array" ref="AL533">_xlfn.XLOOKUP(Matrix[[#This Row],[TEAM]]&amp;Matrix[[#Headers],[26]],FDR[FDR]&amp;FDR[[#Headers],[26]],FDR[26],"",0,1)</f>
        <v>1</v>
      </c>
      <c r="AM533" cm="1">
        <f t="array" ref="AM533">_xlfn.XLOOKUP(Matrix[[#This Row],[TEAM]]&amp;Matrix[[#Headers],[27]],FDR[FDR]&amp;FDR[[#Headers],[27]],FDR[27],"",0,1)</f>
        <v>1</v>
      </c>
      <c r="AN533" cm="1">
        <f t="array" ref="AN533">_xlfn.XLOOKUP(Matrix[[#This Row],[TEAM]]&amp;Matrix[[#Headers],[28]],FDR[FDR]&amp;FDR[[#Headers],[28]],FDR[28],"",0,1)</f>
        <v>4</v>
      </c>
      <c r="AO533" cm="1">
        <f t="array" ref="AO533">_xlfn.XLOOKUP(Matrix[[#This Row],[TEAM]]&amp;Matrix[[#Headers],[29]],FDR[FDR]&amp;FDR[[#Headers],[29]],FDR[29],"",0,1)</f>
        <v>3</v>
      </c>
      <c r="AP533" cm="1">
        <f t="array" ref="AP533">_xlfn.XLOOKUP(Matrix[[#This Row],[TEAM]]&amp;Matrix[[#Headers],[30]],FDR[FDR]&amp;FDR[[#Headers],[30]],FDR[30],"",0,1)</f>
        <v>2</v>
      </c>
      <c r="AQ533" cm="1">
        <f t="array" ref="AQ533">_xlfn.XLOOKUP(Matrix[[#This Row],[TEAM]]&amp;Matrix[[#Headers],[31]],FDR[FDR]&amp;FDR[[#Headers],[31]],FDR[31],"",0,1)</f>
        <v>2</v>
      </c>
      <c r="AR533" cm="1">
        <f t="array" ref="AR533">_xlfn.XLOOKUP(Matrix[[#This Row],[TEAM]]&amp;Matrix[[#Headers],[32]],FDR[FDR]&amp;FDR[[#Headers],[32]],FDR[32],"",0,1)</f>
        <v>3</v>
      </c>
      <c r="AS533" cm="1">
        <f t="array" ref="AS533">_xlfn.XLOOKUP(Matrix[[#This Row],[TEAM]]&amp;Matrix[[#Headers],[33]],FDR[FDR]&amp;FDR[[#Headers],[33]],FDR[33],"",0,1)</f>
        <v>2</v>
      </c>
      <c r="AT533" cm="1">
        <f t="array" ref="AT533">_xlfn.XLOOKUP(Matrix[[#This Row],[TEAM]]&amp;Matrix[[#Headers],[34]],FDR[FDR]&amp;FDR[[#Headers],[34]],FDR[34],"",0,1)</f>
        <v>2</v>
      </c>
      <c r="AU533" cm="1">
        <f t="array" ref="AU533">_xlfn.XLOOKUP(Matrix[[#This Row],[TEAM]]&amp;Matrix[[#Headers],[35]],FDR[FDR]&amp;FDR[[#Headers],[35]],FDR[35],"",0,1)</f>
        <v>1</v>
      </c>
      <c r="AV533" cm="1">
        <f t="array" ref="AV533">_xlfn.XLOOKUP(Matrix[[#This Row],[TEAM]]&amp;Matrix[[#Headers],[36]],FDR[FDR]&amp;FDR[[#Headers],[36]],FDR[36],"",0,1)</f>
        <v>4</v>
      </c>
      <c r="AW533" cm="1">
        <f t="array" ref="AW533">_xlfn.XLOOKUP(Matrix[[#This Row],[TEAM]]&amp;Matrix[[#Headers],[37]],FDR[FDR]&amp;FDR[[#Headers],[37]],FDR[37],"",0,1)</f>
        <v>2</v>
      </c>
      <c r="AX533" cm="1">
        <f t="array" ref="AX533">_xlfn.XLOOKUP(Matrix[[#This Row],[TEAM]]&amp;Matrix[[#Headers],[38]],FDR[FDR]&amp;FDR[[#Headers],[38]],FDR[38],"",0,1)</f>
        <v>1</v>
      </c>
    </row>
    <row r="534" spans="1:50" ht="22" thickTop="1" thickBot="1">
      <c r="A534" s="49" t="str">
        <f>INDEX!S$5</f>
        <v>FWD</v>
      </c>
      <c r="B534" s="70" t="s">
        <v>1275</v>
      </c>
      <c r="C534" s="40" t="s">
        <v>25</v>
      </c>
      <c r="D534" s="62">
        <v>211</v>
      </c>
      <c r="E534" s="60">
        <v>0.192</v>
      </c>
      <c r="F534" s="61">
        <v>292.7</v>
      </c>
      <c r="G534" s="63">
        <v>10.4</v>
      </c>
      <c r="H534" s="261">
        <f>IF(ISBLANK(I534),0,1)</f>
        <v>1</v>
      </c>
      <c r="I534" s="57" t="s">
        <v>1980</v>
      </c>
      <c r="J534" s="58">
        <v>1</v>
      </c>
      <c r="K534" s="64" t="s">
        <v>425</v>
      </c>
      <c r="L534" s="64" t="s">
        <v>274</v>
      </c>
      <c r="M534" cm="1">
        <f t="array" ref="M534">_xlfn.XLOOKUP(Matrix[[#This Row],[TEAM]]&amp;Matrix[[#Headers],[1]],FDR[FDR]&amp;FDR[[#Headers],[1]],FDR[1],"",0,1)</f>
        <v>3</v>
      </c>
      <c r="N534" cm="1">
        <f t="array" ref="N534">_xlfn.XLOOKUP(Matrix[[#This Row],[TEAM]]&amp;Matrix[[#Headers],[2]],FDR[FDR]&amp;FDR[[#Headers],[2]],FDR[2],"",0,1)</f>
        <v>3</v>
      </c>
      <c r="O534" cm="1">
        <f t="array" ref="O534">_xlfn.XLOOKUP(Matrix[[#This Row],[TEAM]]&amp;Matrix[[#Headers],[3]],FDR[FDR]&amp;FDR[[#Headers],[3]],FDR[3],"",0,1)</f>
        <v>1</v>
      </c>
      <c r="P534" cm="1">
        <f t="array" ref="P534">_xlfn.XLOOKUP(Matrix[[#This Row],[TEAM]]&amp;Matrix[[#Headers],[4]],FDR[FDR]&amp;FDR[[#Headers],[4]],FDR[4],"",0,1)</f>
        <v>1</v>
      </c>
      <c r="Q534" cm="1">
        <f t="array" ref="Q534">_xlfn.XLOOKUP(Matrix[[#This Row],[TEAM]]&amp;Matrix[[#Headers],[5]],FDR[FDR]&amp;FDR[[#Headers],[5]],FDR[5],"",0,1)</f>
        <v>2</v>
      </c>
      <c r="R534" cm="1">
        <f t="array" ref="R534">_xlfn.XLOOKUP(Matrix[[#This Row],[TEAM]]&amp;Matrix[[#Headers],[6]],FDR[FDR]&amp;FDR[[#Headers],[6]],FDR[6],"",0,1)</f>
        <v>3</v>
      </c>
      <c r="S534" cm="1">
        <f t="array" ref="S534">_xlfn.XLOOKUP(Matrix[[#This Row],[TEAM]]&amp;Matrix[[#Headers],[7]],FDR[FDR]&amp;FDR[[#Headers],[7]],FDR[7],"",0,1)</f>
        <v>2</v>
      </c>
      <c r="T534" cm="1">
        <f t="array" ref="T534">_xlfn.XLOOKUP(Matrix[[#This Row],[TEAM]]&amp;Matrix[[#Headers],[8]],FDR[FDR]&amp;FDR[[#Headers],[8]],FDR[8],"",0,1)</f>
        <v>2</v>
      </c>
      <c r="U534" cm="1">
        <f t="array" ref="U534">_xlfn.XLOOKUP(Matrix[[#This Row],[TEAM]]&amp;Matrix[[#Headers],[9]],FDR[FDR]&amp;FDR[[#Headers],[9]],FDR[9],"",0,1)</f>
        <v>2</v>
      </c>
      <c r="V534" cm="1">
        <f t="array" ref="V534">_xlfn.XLOOKUP(Matrix[[#This Row],[TEAM]]&amp;Matrix[[#Headers],[10]],FDR[FDR]&amp;FDR[[#Headers],[10]],FDR[10],"",0,1)</f>
        <v>2</v>
      </c>
      <c r="W534" cm="1">
        <f t="array" ref="W534">_xlfn.XLOOKUP(Matrix[[#This Row],[TEAM]]&amp;Matrix[[#Headers],[11]],FDR[FDR]&amp;FDR[[#Headers],[11]],FDR[11],"",0,1)</f>
        <v>2</v>
      </c>
      <c r="X534" cm="1">
        <f t="array" ref="X534">_xlfn.XLOOKUP(Matrix[[#This Row],[TEAM]]&amp;Matrix[[#Headers],[12]],FDR[FDR]&amp;FDR[[#Headers],[12]],FDR[12],"",0,1)</f>
        <v>3</v>
      </c>
      <c r="Y534" cm="1">
        <f t="array" ref="Y534">_xlfn.XLOOKUP(Matrix[[#This Row],[TEAM]]&amp;Matrix[[#Headers],[13]],FDR[FDR]&amp;FDR[[#Headers],[13]],FDR[13],"",0,1)</f>
        <v>2</v>
      </c>
      <c r="Z534" cm="1">
        <f t="array" ref="Z534">_xlfn.XLOOKUP(Matrix[[#This Row],[TEAM]]&amp;Matrix[[#Headers],[14]],FDR[FDR]&amp;FDR[[#Headers],[14]],FDR[14],"",0,1)</f>
        <v>3</v>
      </c>
      <c r="AA534" cm="1">
        <f t="array" ref="AA534">_xlfn.XLOOKUP(Matrix[[#This Row],[TEAM]]&amp;Matrix[[#Headers],[15]],FDR[FDR]&amp;FDR[[#Headers],[15]],FDR[15],"",0,1)</f>
        <v>1</v>
      </c>
      <c r="AB534" cm="1">
        <f t="array" ref="AB534">_xlfn.XLOOKUP(Matrix[[#This Row],[TEAM]]&amp;Matrix[[#Headers],[16]],FDR[FDR]&amp;FDR[[#Headers],[16]],FDR[16],"",0,1)</f>
        <v>1</v>
      </c>
      <c r="AC534" cm="1">
        <f t="array" ref="AC534">_xlfn.XLOOKUP(Matrix[[#This Row],[TEAM]]&amp;Matrix[[#Headers],[17]],FDR[FDR]&amp;FDR[[#Headers],[17]],FDR[17],"",0,1)</f>
        <v>3</v>
      </c>
      <c r="AD534" cm="1">
        <f t="array" ref="AD534">_xlfn.XLOOKUP(Matrix[[#This Row],[TEAM]]&amp;Matrix[[#Headers],[18]],FDR[FDR]&amp;FDR[[#Headers],[18]],FDR[18],"",0,1)</f>
        <v>4</v>
      </c>
      <c r="AE534" cm="1">
        <f t="array" ref="AE534">_xlfn.XLOOKUP(Matrix[[#This Row],[TEAM]]&amp;Matrix[[#Headers],[19]],FDR[FDR]&amp;FDR[[#Headers],[19]],FDR[19],"",0,1)</f>
        <v>1</v>
      </c>
      <c r="AF534" cm="1">
        <f t="array" ref="AF534">_xlfn.XLOOKUP(Matrix[[#This Row],[TEAM]]&amp;Matrix[[#Headers],[20]],FDR[FDR]&amp;FDR[[#Headers],[20]],FDR[20],"",0,1)</f>
        <v>1</v>
      </c>
      <c r="AG534" cm="1">
        <f t="array" ref="AG534">_xlfn.XLOOKUP(Matrix[[#This Row],[TEAM]]&amp;Matrix[[#Headers],[21]],FDR[FDR]&amp;FDR[[#Headers],[21]],FDR[21],"",0,1)</f>
        <v>1</v>
      </c>
      <c r="AH534" cm="1">
        <f t="array" ref="AH534">_xlfn.XLOOKUP(Matrix[[#This Row],[TEAM]]&amp;Matrix[[#Headers],[22]],FDR[FDR]&amp;FDR[[#Headers],[22]],FDR[22],"",0,1)</f>
        <v>1</v>
      </c>
      <c r="AI534" cm="1">
        <f t="array" ref="AI534">_xlfn.XLOOKUP(Matrix[[#This Row],[TEAM]]&amp;Matrix[[#Headers],[23]],FDR[FDR]&amp;FDR[[#Headers],[23]],FDR[23],"",0,1)</f>
        <v>2</v>
      </c>
      <c r="AJ534" cm="1">
        <f t="array" ref="AJ534">_xlfn.XLOOKUP(Matrix[[#This Row],[TEAM]]&amp;Matrix[[#Headers],[24]],FDR[FDR]&amp;FDR[[#Headers],[24]],FDR[24],"",0,1)</f>
        <v>4</v>
      </c>
      <c r="AK534" cm="1">
        <f t="array" ref="AK534">_xlfn.XLOOKUP(Matrix[[#This Row],[TEAM]]&amp;Matrix[[#Headers],[25]],FDR[FDR]&amp;FDR[[#Headers],[25]],FDR[25],"",0,1)</f>
        <v>1</v>
      </c>
      <c r="AL534" cm="1">
        <f t="array" ref="AL534">_xlfn.XLOOKUP(Matrix[[#This Row],[TEAM]]&amp;Matrix[[#Headers],[26]],FDR[FDR]&amp;FDR[[#Headers],[26]],FDR[26],"",0,1)</f>
        <v>4</v>
      </c>
      <c r="AM534" cm="1">
        <f t="array" ref="AM534">_xlfn.XLOOKUP(Matrix[[#This Row],[TEAM]]&amp;Matrix[[#Headers],[27]],FDR[FDR]&amp;FDR[[#Headers],[27]],FDR[27],"",0,1)</f>
        <v>4</v>
      </c>
      <c r="AN534" cm="1">
        <f t="array" ref="AN534">_xlfn.XLOOKUP(Matrix[[#This Row],[TEAM]]&amp;Matrix[[#Headers],[28]],FDR[FDR]&amp;FDR[[#Headers],[28]],FDR[28],"",0,1)</f>
        <v>1</v>
      </c>
      <c r="AO534" cm="1">
        <f t="array" ref="AO534">_xlfn.XLOOKUP(Matrix[[#This Row],[TEAM]]&amp;Matrix[[#Headers],[29]],FDR[FDR]&amp;FDR[[#Headers],[29]],FDR[29],"",0,1)</f>
        <v>3</v>
      </c>
      <c r="AP534" cm="1">
        <f t="array" ref="AP534">_xlfn.XLOOKUP(Matrix[[#This Row],[TEAM]]&amp;Matrix[[#Headers],[30]],FDR[FDR]&amp;FDR[[#Headers],[30]],FDR[30],"",0,1)</f>
        <v>4</v>
      </c>
      <c r="AQ534" cm="1">
        <f t="array" ref="AQ534">_xlfn.XLOOKUP(Matrix[[#This Row],[TEAM]]&amp;Matrix[[#Headers],[31]],FDR[FDR]&amp;FDR[[#Headers],[31]],FDR[31],"",0,1)</f>
        <v>1</v>
      </c>
      <c r="AR534" cm="1">
        <f t="array" ref="AR534">_xlfn.XLOOKUP(Matrix[[#This Row],[TEAM]]&amp;Matrix[[#Headers],[32]],FDR[FDR]&amp;FDR[[#Headers],[32]],FDR[32],"",0,1)</f>
        <v>2</v>
      </c>
      <c r="AS534" cm="1">
        <f t="array" ref="AS534">_xlfn.XLOOKUP(Matrix[[#This Row],[TEAM]]&amp;Matrix[[#Headers],[33]],FDR[FDR]&amp;FDR[[#Headers],[33]],FDR[33],"",0,1)</f>
        <v>2</v>
      </c>
      <c r="AT534" cm="1">
        <f t="array" ref="AT534">_xlfn.XLOOKUP(Matrix[[#This Row],[TEAM]]&amp;Matrix[[#Headers],[34]],FDR[FDR]&amp;FDR[[#Headers],[34]],FDR[34],"",0,1)</f>
        <v>4</v>
      </c>
      <c r="AU534" cm="1">
        <f t="array" ref="AU534">_xlfn.XLOOKUP(Matrix[[#This Row],[TEAM]]&amp;Matrix[[#Headers],[35]],FDR[FDR]&amp;FDR[[#Headers],[35]],FDR[35],"",0,1)</f>
        <v>2</v>
      </c>
      <c r="AV534" cm="1">
        <f t="array" ref="AV534">_xlfn.XLOOKUP(Matrix[[#This Row],[TEAM]]&amp;Matrix[[#Headers],[36]],FDR[FDR]&amp;FDR[[#Headers],[36]],FDR[36],"",0,1)</f>
        <v>2</v>
      </c>
      <c r="AW534" cm="1">
        <f t="array" ref="AW534">_xlfn.XLOOKUP(Matrix[[#This Row],[TEAM]]&amp;Matrix[[#Headers],[37]],FDR[FDR]&amp;FDR[[#Headers],[37]],FDR[37],"",0,1)</f>
        <v>1</v>
      </c>
      <c r="AX534" cm="1">
        <f t="array" ref="AX534">_xlfn.XLOOKUP(Matrix[[#This Row],[TEAM]]&amp;Matrix[[#Headers],[38]],FDR[FDR]&amp;FDR[[#Headers],[38]],FDR[38],"",0,1)</f>
        <v>2</v>
      </c>
    </row>
    <row r="535" spans="1:50" ht="22" thickTop="1" thickBot="1">
      <c r="A535" s="50" t="str">
        <f>INDEX!S$4</f>
        <v>MID</v>
      </c>
      <c r="B535" s="70" t="s">
        <v>1276</v>
      </c>
      <c r="C535" s="40" t="s">
        <v>20</v>
      </c>
      <c r="D535" s="62">
        <v>127</v>
      </c>
      <c r="E535" s="60">
        <v>0.17299999999999999</v>
      </c>
      <c r="F535" s="61">
        <v>227.9</v>
      </c>
      <c r="G535" s="63">
        <v>10</v>
      </c>
      <c r="H535" s="261">
        <f>IF(ISBLANK(I535),0,1)</f>
        <v>1</v>
      </c>
      <c r="I535" s="57" t="s">
        <v>894</v>
      </c>
      <c r="J535" s="58">
        <v>0.75</v>
      </c>
      <c r="K535" s="59" t="s">
        <v>355</v>
      </c>
      <c r="L535" s="59" t="s">
        <v>59</v>
      </c>
      <c r="M535" cm="1">
        <f t="array" ref="M535">_xlfn.XLOOKUP(Matrix[[#This Row],[TEAM]]&amp;Matrix[[#Headers],[1]],FDR[FDR]&amp;FDR[[#Headers],[1]],FDR[1],"",0,1)</f>
        <v>3</v>
      </c>
      <c r="N535" cm="1">
        <f t="array" ref="N535">_xlfn.XLOOKUP(Matrix[[#This Row],[TEAM]]&amp;Matrix[[#Headers],[2]],FDR[FDR]&amp;FDR[[#Headers],[2]],FDR[2],"",0,1)</f>
        <v>1</v>
      </c>
      <c r="O535" cm="1">
        <f t="array" ref="O535">_xlfn.XLOOKUP(Matrix[[#This Row],[TEAM]]&amp;Matrix[[#Headers],[3]],FDR[FDR]&amp;FDR[[#Headers],[3]],FDR[3],"",0,1)</f>
        <v>4</v>
      </c>
      <c r="P535" cm="1">
        <f t="array" ref="P535">_xlfn.XLOOKUP(Matrix[[#This Row],[TEAM]]&amp;Matrix[[#Headers],[4]],FDR[FDR]&amp;FDR[[#Headers],[4]],FDR[4],"",0,1)</f>
        <v>1</v>
      </c>
      <c r="Q535" cm="1">
        <f t="array" ref="Q535">_xlfn.XLOOKUP(Matrix[[#This Row],[TEAM]]&amp;Matrix[[#Headers],[5]],FDR[FDR]&amp;FDR[[#Headers],[5]],FDR[5],"",0,1)</f>
        <v>3</v>
      </c>
      <c r="R535" cm="1">
        <f t="array" ref="R535">_xlfn.XLOOKUP(Matrix[[#This Row],[TEAM]]&amp;Matrix[[#Headers],[6]],FDR[FDR]&amp;FDR[[#Headers],[6]],FDR[6],"",0,1)</f>
        <v>3</v>
      </c>
      <c r="S535" cm="1">
        <f t="array" ref="S535">_xlfn.XLOOKUP(Matrix[[#This Row],[TEAM]]&amp;Matrix[[#Headers],[7]],FDR[FDR]&amp;FDR[[#Headers],[7]],FDR[7],"",0,1)</f>
        <v>1</v>
      </c>
      <c r="T535" cm="1">
        <f t="array" ref="T535">_xlfn.XLOOKUP(Matrix[[#This Row],[TEAM]]&amp;Matrix[[#Headers],[8]],FDR[FDR]&amp;FDR[[#Headers],[8]],FDR[8],"",0,1)</f>
        <v>2</v>
      </c>
      <c r="U535" cm="1">
        <f t="array" ref="U535">_xlfn.XLOOKUP(Matrix[[#This Row],[TEAM]]&amp;Matrix[[#Headers],[9]],FDR[FDR]&amp;FDR[[#Headers],[9]],FDR[9],"",0,1)</f>
        <v>1</v>
      </c>
      <c r="V535" cm="1">
        <f t="array" ref="V535">_xlfn.XLOOKUP(Matrix[[#This Row],[TEAM]]&amp;Matrix[[#Headers],[10]],FDR[FDR]&amp;FDR[[#Headers],[10]],FDR[10],"",0,1)</f>
        <v>1</v>
      </c>
      <c r="W535" cm="1">
        <f t="array" ref="W535">_xlfn.XLOOKUP(Matrix[[#This Row],[TEAM]]&amp;Matrix[[#Headers],[11]],FDR[FDR]&amp;FDR[[#Headers],[11]],FDR[11],"",0,1)</f>
        <v>1</v>
      </c>
      <c r="X535" cm="1">
        <f t="array" ref="X535">_xlfn.XLOOKUP(Matrix[[#This Row],[TEAM]]&amp;Matrix[[#Headers],[12]],FDR[FDR]&amp;FDR[[#Headers],[12]],FDR[12],"",0,1)</f>
        <v>2</v>
      </c>
      <c r="Y535" cm="1">
        <f t="array" ref="Y535">_xlfn.XLOOKUP(Matrix[[#This Row],[TEAM]]&amp;Matrix[[#Headers],[13]],FDR[FDR]&amp;FDR[[#Headers],[13]],FDR[13],"",0,1)</f>
        <v>3</v>
      </c>
      <c r="Z535" cm="1">
        <f t="array" ref="Z535">_xlfn.XLOOKUP(Matrix[[#This Row],[TEAM]]&amp;Matrix[[#Headers],[14]],FDR[FDR]&amp;FDR[[#Headers],[14]],FDR[14],"",0,1)</f>
        <v>1</v>
      </c>
      <c r="AA535" cm="1">
        <f t="array" ref="AA535">_xlfn.XLOOKUP(Matrix[[#This Row],[TEAM]]&amp;Matrix[[#Headers],[15]],FDR[FDR]&amp;FDR[[#Headers],[15]],FDR[15],"",0,1)</f>
        <v>3</v>
      </c>
      <c r="AB535" cm="1">
        <f t="array" ref="AB535">_xlfn.XLOOKUP(Matrix[[#This Row],[TEAM]]&amp;Matrix[[#Headers],[16]],FDR[FDR]&amp;FDR[[#Headers],[16]],FDR[16],"",0,1)</f>
        <v>1</v>
      </c>
      <c r="AC535" cm="1">
        <f t="array" ref="AC535">_xlfn.XLOOKUP(Matrix[[#This Row],[TEAM]]&amp;Matrix[[#Headers],[17]],FDR[FDR]&amp;FDR[[#Headers],[17]],FDR[17],"",0,1)</f>
        <v>2</v>
      </c>
      <c r="AD535" cm="1">
        <f t="array" ref="AD535">_xlfn.XLOOKUP(Matrix[[#This Row],[TEAM]]&amp;Matrix[[#Headers],[18]],FDR[FDR]&amp;FDR[[#Headers],[18]],FDR[18],"",0,1)</f>
        <v>1</v>
      </c>
      <c r="AE535" cm="1">
        <f t="array" ref="AE535">_xlfn.XLOOKUP(Matrix[[#This Row],[TEAM]]&amp;Matrix[[#Headers],[19]],FDR[FDR]&amp;FDR[[#Headers],[19]],FDR[19],"",0,1)</f>
        <v>2</v>
      </c>
      <c r="AF535" cm="1">
        <f t="array" ref="AF535">_xlfn.XLOOKUP(Matrix[[#This Row],[TEAM]]&amp;Matrix[[#Headers],[20]],FDR[FDR]&amp;FDR[[#Headers],[20]],FDR[20],"",0,1)</f>
        <v>2</v>
      </c>
      <c r="AG535" cm="1">
        <f t="array" ref="AG535">_xlfn.XLOOKUP(Matrix[[#This Row],[TEAM]]&amp;Matrix[[#Headers],[21]],FDR[FDR]&amp;FDR[[#Headers],[21]],FDR[21],"",0,1)</f>
        <v>3</v>
      </c>
      <c r="AH535" cm="1">
        <f t="array" ref="AH535">_xlfn.XLOOKUP(Matrix[[#This Row],[TEAM]]&amp;Matrix[[#Headers],[22]],FDR[FDR]&amp;FDR[[#Headers],[22]],FDR[22],"",0,1)</f>
        <v>2</v>
      </c>
      <c r="AI535" cm="1">
        <f t="array" ref="AI535">_xlfn.XLOOKUP(Matrix[[#This Row],[TEAM]]&amp;Matrix[[#Headers],[23]],FDR[FDR]&amp;FDR[[#Headers],[23]],FDR[23],"",0,1)</f>
        <v>2</v>
      </c>
      <c r="AJ535" cm="1">
        <f t="array" ref="AJ535">_xlfn.XLOOKUP(Matrix[[#This Row],[TEAM]]&amp;Matrix[[#Headers],[24]],FDR[FDR]&amp;FDR[[#Headers],[24]],FDR[24],"",0,1)</f>
        <v>1</v>
      </c>
      <c r="AK535" cm="1">
        <f t="array" ref="AK535">_xlfn.XLOOKUP(Matrix[[#This Row],[TEAM]]&amp;Matrix[[#Headers],[25]],FDR[FDR]&amp;FDR[[#Headers],[25]],FDR[25],"",0,1)</f>
        <v>1</v>
      </c>
      <c r="AL535" cm="1">
        <f t="array" ref="AL535">_xlfn.XLOOKUP(Matrix[[#This Row],[TEAM]]&amp;Matrix[[#Headers],[26]],FDR[FDR]&amp;FDR[[#Headers],[26]],FDR[26],"",0,1)</f>
        <v>2</v>
      </c>
      <c r="AM535" cm="1">
        <f t="array" ref="AM535">_xlfn.XLOOKUP(Matrix[[#This Row],[TEAM]]&amp;Matrix[[#Headers],[27]],FDR[FDR]&amp;FDR[[#Headers],[27]],FDR[27],"",0,1)</f>
        <v>3</v>
      </c>
      <c r="AN535" cm="1">
        <f t="array" ref="AN535">_xlfn.XLOOKUP(Matrix[[#This Row],[TEAM]]&amp;Matrix[[#Headers],[28]],FDR[FDR]&amp;FDR[[#Headers],[28]],FDR[28],"",0,1)</f>
        <v>2</v>
      </c>
      <c r="AO535" cm="1">
        <f t="array" ref="AO535">_xlfn.XLOOKUP(Matrix[[#This Row],[TEAM]]&amp;Matrix[[#Headers],[29]],FDR[FDR]&amp;FDR[[#Headers],[29]],FDR[29],"",0,1)</f>
        <v>2</v>
      </c>
      <c r="AP535" cm="1">
        <f t="array" ref="AP535">_xlfn.XLOOKUP(Matrix[[#This Row],[TEAM]]&amp;Matrix[[#Headers],[30]],FDR[FDR]&amp;FDR[[#Headers],[30]],FDR[30],"",0,1)</f>
        <v>1</v>
      </c>
      <c r="AQ535" cm="1">
        <f t="array" ref="AQ535">_xlfn.XLOOKUP(Matrix[[#This Row],[TEAM]]&amp;Matrix[[#Headers],[31]],FDR[FDR]&amp;FDR[[#Headers],[31]],FDR[31],"",0,1)</f>
        <v>1</v>
      </c>
      <c r="AR535" cm="1">
        <f t="array" ref="AR535">_xlfn.XLOOKUP(Matrix[[#This Row],[TEAM]]&amp;Matrix[[#Headers],[32]],FDR[FDR]&amp;FDR[[#Headers],[32]],FDR[32],"",0,1)</f>
        <v>1</v>
      </c>
      <c r="AS535" cm="1">
        <f t="array" ref="AS535">_xlfn.XLOOKUP(Matrix[[#This Row],[TEAM]]&amp;Matrix[[#Headers],[33]],FDR[FDR]&amp;FDR[[#Headers],[33]],FDR[33],"",0,1)</f>
        <v>3</v>
      </c>
      <c r="AT535" cm="1">
        <f t="array" ref="AT535">_xlfn.XLOOKUP(Matrix[[#This Row],[TEAM]]&amp;Matrix[[#Headers],[34]],FDR[FDR]&amp;FDR[[#Headers],[34]],FDR[34],"",0,1)</f>
        <v>2</v>
      </c>
      <c r="AU535" cm="1">
        <f t="array" ref="AU535">_xlfn.XLOOKUP(Matrix[[#This Row],[TEAM]]&amp;Matrix[[#Headers],[35]],FDR[FDR]&amp;FDR[[#Headers],[35]],FDR[35],"",0,1)</f>
        <v>1</v>
      </c>
      <c r="AV535" cm="1">
        <f t="array" ref="AV535">_xlfn.XLOOKUP(Matrix[[#This Row],[TEAM]]&amp;Matrix[[#Headers],[36]],FDR[FDR]&amp;FDR[[#Headers],[36]],FDR[36],"",0,1)</f>
        <v>2</v>
      </c>
      <c r="AW535" cm="1">
        <f t="array" ref="AW535">_xlfn.XLOOKUP(Matrix[[#This Row],[TEAM]]&amp;Matrix[[#Headers],[37]],FDR[FDR]&amp;FDR[[#Headers],[37]],FDR[37],"",0,1)</f>
        <v>1</v>
      </c>
      <c r="AX535" cm="1">
        <f t="array" ref="AX535">_xlfn.XLOOKUP(Matrix[[#This Row],[TEAM]]&amp;Matrix[[#Headers],[38]],FDR[FDR]&amp;FDR[[#Headers],[38]],FDR[38],"",0,1)</f>
        <v>2</v>
      </c>
    </row>
    <row r="536" spans="1:50" ht="22" thickTop="1" thickBot="1">
      <c r="A536" s="50" t="str">
        <f>INDEX!S$4</f>
        <v>MID</v>
      </c>
      <c r="B536" s="70" t="s">
        <v>1286</v>
      </c>
      <c r="C536" s="40" t="s">
        <v>20</v>
      </c>
      <c r="D536" s="62">
        <v>116</v>
      </c>
      <c r="E536" s="60">
        <v>3.3000000000000002E-2</v>
      </c>
      <c r="F536" s="61">
        <v>198.8</v>
      </c>
      <c r="G536" s="63">
        <v>8</v>
      </c>
      <c r="H536" s="261">
        <f>IF(ISBLANK(I536),0,1)</f>
        <v>1</v>
      </c>
      <c r="I536" s="57" t="s">
        <v>1193</v>
      </c>
      <c r="J536" s="58">
        <v>0.75</v>
      </c>
      <c r="K536" s="59" t="s">
        <v>353</v>
      </c>
      <c r="L536" s="59" t="s">
        <v>342</v>
      </c>
      <c r="M536" cm="1">
        <f t="array" ref="M536">_xlfn.XLOOKUP(Matrix[[#This Row],[TEAM]]&amp;Matrix[[#Headers],[1]],FDR[FDR]&amp;FDR[[#Headers],[1]],FDR[1],"",0,1)</f>
        <v>3</v>
      </c>
      <c r="N536" cm="1">
        <f t="array" ref="N536">_xlfn.XLOOKUP(Matrix[[#This Row],[TEAM]]&amp;Matrix[[#Headers],[2]],FDR[FDR]&amp;FDR[[#Headers],[2]],FDR[2],"",0,1)</f>
        <v>1</v>
      </c>
      <c r="O536" cm="1">
        <f t="array" ref="O536">_xlfn.XLOOKUP(Matrix[[#This Row],[TEAM]]&amp;Matrix[[#Headers],[3]],FDR[FDR]&amp;FDR[[#Headers],[3]],FDR[3],"",0,1)</f>
        <v>4</v>
      </c>
      <c r="P536" cm="1">
        <f t="array" ref="P536">_xlfn.XLOOKUP(Matrix[[#This Row],[TEAM]]&amp;Matrix[[#Headers],[4]],FDR[FDR]&amp;FDR[[#Headers],[4]],FDR[4],"",0,1)</f>
        <v>1</v>
      </c>
      <c r="Q536" cm="1">
        <f t="array" ref="Q536">_xlfn.XLOOKUP(Matrix[[#This Row],[TEAM]]&amp;Matrix[[#Headers],[5]],FDR[FDR]&amp;FDR[[#Headers],[5]],FDR[5],"",0,1)</f>
        <v>3</v>
      </c>
      <c r="R536" cm="1">
        <f t="array" ref="R536">_xlfn.XLOOKUP(Matrix[[#This Row],[TEAM]]&amp;Matrix[[#Headers],[6]],FDR[FDR]&amp;FDR[[#Headers],[6]],FDR[6],"",0,1)</f>
        <v>3</v>
      </c>
      <c r="S536" cm="1">
        <f t="array" ref="S536">_xlfn.XLOOKUP(Matrix[[#This Row],[TEAM]]&amp;Matrix[[#Headers],[7]],FDR[FDR]&amp;FDR[[#Headers],[7]],FDR[7],"",0,1)</f>
        <v>1</v>
      </c>
      <c r="T536" cm="1">
        <f t="array" ref="T536">_xlfn.XLOOKUP(Matrix[[#This Row],[TEAM]]&amp;Matrix[[#Headers],[8]],FDR[FDR]&amp;FDR[[#Headers],[8]],FDR[8],"",0,1)</f>
        <v>2</v>
      </c>
      <c r="U536" cm="1">
        <f t="array" ref="U536">_xlfn.XLOOKUP(Matrix[[#This Row],[TEAM]]&amp;Matrix[[#Headers],[9]],FDR[FDR]&amp;FDR[[#Headers],[9]],FDR[9],"",0,1)</f>
        <v>1</v>
      </c>
      <c r="V536" cm="1">
        <f t="array" ref="V536">_xlfn.XLOOKUP(Matrix[[#This Row],[TEAM]]&amp;Matrix[[#Headers],[10]],FDR[FDR]&amp;FDR[[#Headers],[10]],FDR[10],"",0,1)</f>
        <v>1</v>
      </c>
      <c r="W536" cm="1">
        <f t="array" ref="W536">_xlfn.XLOOKUP(Matrix[[#This Row],[TEAM]]&amp;Matrix[[#Headers],[11]],FDR[FDR]&amp;FDR[[#Headers],[11]],FDR[11],"",0,1)</f>
        <v>1</v>
      </c>
      <c r="X536" cm="1">
        <f t="array" ref="X536">_xlfn.XLOOKUP(Matrix[[#This Row],[TEAM]]&amp;Matrix[[#Headers],[12]],FDR[FDR]&amp;FDR[[#Headers],[12]],FDR[12],"",0,1)</f>
        <v>2</v>
      </c>
      <c r="Y536" cm="1">
        <f t="array" ref="Y536">_xlfn.XLOOKUP(Matrix[[#This Row],[TEAM]]&amp;Matrix[[#Headers],[13]],FDR[FDR]&amp;FDR[[#Headers],[13]],FDR[13],"",0,1)</f>
        <v>3</v>
      </c>
      <c r="Z536" cm="1">
        <f t="array" ref="Z536">_xlfn.XLOOKUP(Matrix[[#This Row],[TEAM]]&amp;Matrix[[#Headers],[14]],FDR[FDR]&amp;FDR[[#Headers],[14]],FDR[14],"",0,1)</f>
        <v>1</v>
      </c>
      <c r="AA536" cm="1">
        <f t="array" ref="AA536">_xlfn.XLOOKUP(Matrix[[#This Row],[TEAM]]&amp;Matrix[[#Headers],[15]],FDR[FDR]&amp;FDR[[#Headers],[15]],FDR[15],"",0,1)</f>
        <v>3</v>
      </c>
      <c r="AB536" cm="1">
        <f t="array" ref="AB536">_xlfn.XLOOKUP(Matrix[[#This Row],[TEAM]]&amp;Matrix[[#Headers],[16]],FDR[FDR]&amp;FDR[[#Headers],[16]],FDR[16],"",0,1)</f>
        <v>1</v>
      </c>
      <c r="AC536" cm="1">
        <f t="array" ref="AC536">_xlfn.XLOOKUP(Matrix[[#This Row],[TEAM]]&amp;Matrix[[#Headers],[17]],FDR[FDR]&amp;FDR[[#Headers],[17]],FDR[17],"",0,1)</f>
        <v>2</v>
      </c>
      <c r="AD536" cm="1">
        <f t="array" ref="AD536">_xlfn.XLOOKUP(Matrix[[#This Row],[TEAM]]&amp;Matrix[[#Headers],[18]],FDR[FDR]&amp;FDR[[#Headers],[18]],FDR[18],"",0,1)</f>
        <v>1</v>
      </c>
      <c r="AE536" cm="1">
        <f t="array" ref="AE536">_xlfn.XLOOKUP(Matrix[[#This Row],[TEAM]]&amp;Matrix[[#Headers],[19]],FDR[FDR]&amp;FDR[[#Headers],[19]],FDR[19],"",0,1)</f>
        <v>2</v>
      </c>
      <c r="AF536" cm="1">
        <f t="array" ref="AF536">_xlfn.XLOOKUP(Matrix[[#This Row],[TEAM]]&amp;Matrix[[#Headers],[20]],FDR[FDR]&amp;FDR[[#Headers],[20]],FDR[20],"",0,1)</f>
        <v>2</v>
      </c>
      <c r="AG536" cm="1">
        <f t="array" ref="AG536">_xlfn.XLOOKUP(Matrix[[#This Row],[TEAM]]&amp;Matrix[[#Headers],[21]],FDR[FDR]&amp;FDR[[#Headers],[21]],FDR[21],"",0,1)</f>
        <v>3</v>
      </c>
      <c r="AH536" cm="1">
        <f t="array" ref="AH536">_xlfn.XLOOKUP(Matrix[[#This Row],[TEAM]]&amp;Matrix[[#Headers],[22]],FDR[FDR]&amp;FDR[[#Headers],[22]],FDR[22],"",0,1)</f>
        <v>2</v>
      </c>
      <c r="AI536" cm="1">
        <f t="array" ref="AI536">_xlfn.XLOOKUP(Matrix[[#This Row],[TEAM]]&amp;Matrix[[#Headers],[23]],FDR[FDR]&amp;FDR[[#Headers],[23]],FDR[23],"",0,1)</f>
        <v>2</v>
      </c>
      <c r="AJ536" cm="1">
        <f t="array" ref="AJ536">_xlfn.XLOOKUP(Matrix[[#This Row],[TEAM]]&amp;Matrix[[#Headers],[24]],FDR[FDR]&amp;FDR[[#Headers],[24]],FDR[24],"",0,1)</f>
        <v>1</v>
      </c>
      <c r="AK536" cm="1">
        <f t="array" ref="AK536">_xlfn.XLOOKUP(Matrix[[#This Row],[TEAM]]&amp;Matrix[[#Headers],[25]],FDR[FDR]&amp;FDR[[#Headers],[25]],FDR[25],"",0,1)</f>
        <v>1</v>
      </c>
      <c r="AL536" cm="1">
        <f t="array" ref="AL536">_xlfn.XLOOKUP(Matrix[[#This Row],[TEAM]]&amp;Matrix[[#Headers],[26]],FDR[FDR]&amp;FDR[[#Headers],[26]],FDR[26],"",0,1)</f>
        <v>2</v>
      </c>
      <c r="AM536" cm="1">
        <f t="array" ref="AM536">_xlfn.XLOOKUP(Matrix[[#This Row],[TEAM]]&amp;Matrix[[#Headers],[27]],FDR[FDR]&amp;FDR[[#Headers],[27]],FDR[27],"",0,1)</f>
        <v>3</v>
      </c>
      <c r="AN536" cm="1">
        <f t="array" ref="AN536">_xlfn.XLOOKUP(Matrix[[#This Row],[TEAM]]&amp;Matrix[[#Headers],[28]],FDR[FDR]&amp;FDR[[#Headers],[28]],FDR[28],"",0,1)</f>
        <v>2</v>
      </c>
      <c r="AO536" cm="1">
        <f t="array" ref="AO536">_xlfn.XLOOKUP(Matrix[[#This Row],[TEAM]]&amp;Matrix[[#Headers],[29]],FDR[FDR]&amp;FDR[[#Headers],[29]],FDR[29],"",0,1)</f>
        <v>2</v>
      </c>
      <c r="AP536" cm="1">
        <f t="array" ref="AP536">_xlfn.XLOOKUP(Matrix[[#This Row],[TEAM]]&amp;Matrix[[#Headers],[30]],FDR[FDR]&amp;FDR[[#Headers],[30]],FDR[30],"",0,1)</f>
        <v>1</v>
      </c>
      <c r="AQ536" cm="1">
        <f t="array" ref="AQ536">_xlfn.XLOOKUP(Matrix[[#This Row],[TEAM]]&amp;Matrix[[#Headers],[31]],FDR[FDR]&amp;FDR[[#Headers],[31]],FDR[31],"",0,1)</f>
        <v>1</v>
      </c>
      <c r="AR536" cm="1">
        <f t="array" ref="AR536">_xlfn.XLOOKUP(Matrix[[#This Row],[TEAM]]&amp;Matrix[[#Headers],[32]],FDR[FDR]&amp;FDR[[#Headers],[32]],FDR[32],"",0,1)</f>
        <v>1</v>
      </c>
      <c r="AS536" cm="1">
        <f t="array" ref="AS536">_xlfn.XLOOKUP(Matrix[[#This Row],[TEAM]]&amp;Matrix[[#Headers],[33]],FDR[FDR]&amp;FDR[[#Headers],[33]],FDR[33],"",0,1)</f>
        <v>3</v>
      </c>
      <c r="AT536" cm="1">
        <f t="array" ref="AT536">_xlfn.XLOOKUP(Matrix[[#This Row],[TEAM]]&amp;Matrix[[#Headers],[34]],FDR[FDR]&amp;FDR[[#Headers],[34]],FDR[34],"",0,1)</f>
        <v>2</v>
      </c>
      <c r="AU536" cm="1">
        <f t="array" ref="AU536">_xlfn.XLOOKUP(Matrix[[#This Row],[TEAM]]&amp;Matrix[[#Headers],[35]],FDR[FDR]&amp;FDR[[#Headers],[35]],FDR[35],"",0,1)</f>
        <v>1</v>
      </c>
      <c r="AV536" cm="1">
        <f t="array" ref="AV536">_xlfn.XLOOKUP(Matrix[[#This Row],[TEAM]]&amp;Matrix[[#Headers],[36]],FDR[FDR]&amp;FDR[[#Headers],[36]],FDR[36],"",0,1)</f>
        <v>2</v>
      </c>
      <c r="AW536" cm="1">
        <f t="array" ref="AW536">_xlfn.XLOOKUP(Matrix[[#This Row],[TEAM]]&amp;Matrix[[#Headers],[37]],FDR[FDR]&amp;FDR[[#Headers],[37]],FDR[37],"",0,1)</f>
        <v>1</v>
      </c>
      <c r="AX536" cm="1">
        <f t="array" ref="AX536">_xlfn.XLOOKUP(Matrix[[#This Row],[TEAM]]&amp;Matrix[[#Headers],[38]],FDR[FDR]&amp;FDR[[#Headers],[38]],FDR[38],"",0,1)</f>
        <v>2</v>
      </c>
    </row>
    <row r="537" spans="1:50" ht="22" thickTop="1" thickBot="1">
      <c r="A537" s="49" t="str">
        <f>INDEX!S$5</f>
        <v>FWD</v>
      </c>
      <c r="B537" s="70" t="s">
        <v>1294</v>
      </c>
      <c r="C537" s="40" t="s">
        <v>21</v>
      </c>
      <c r="D537" s="62">
        <v>185</v>
      </c>
      <c r="E537" s="60">
        <v>5.8999999999999997E-2</v>
      </c>
      <c r="F537" s="61">
        <v>242.4</v>
      </c>
      <c r="G537" s="63">
        <v>7.5</v>
      </c>
      <c r="H537" s="261">
        <f>IF(ISBLANK(I537),0,1)</f>
        <v>1</v>
      </c>
      <c r="I537" s="57" t="s">
        <v>994</v>
      </c>
      <c r="J537" s="58">
        <v>0.75</v>
      </c>
      <c r="K537" s="64" t="s">
        <v>410</v>
      </c>
      <c r="L537" s="64" t="s">
        <v>280</v>
      </c>
      <c r="M537" cm="1">
        <f t="array" ref="M537">_xlfn.XLOOKUP(Matrix[[#This Row],[TEAM]]&amp;Matrix[[#Headers],[1]],FDR[FDR]&amp;FDR[[#Headers],[1]],FDR[1],"",0,1)</f>
        <v>4</v>
      </c>
      <c r="N537" cm="1">
        <f t="array" ref="N537">_xlfn.XLOOKUP(Matrix[[#This Row],[TEAM]]&amp;Matrix[[#Headers],[2]],FDR[FDR]&amp;FDR[[#Headers],[2]],FDR[2],"",0,1)</f>
        <v>4</v>
      </c>
      <c r="O537" cm="1">
        <f t="array" ref="O537">_xlfn.XLOOKUP(Matrix[[#This Row],[TEAM]]&amp;Matrix[[#Headers],[3]],FDR[FDR]&amp;FDR[[#Headers],[3]],FDR[3],"",0,1)</f>
        <v>2</v>
      </c>
      <c r="P537" cm="1">
        <f t="array" ref="P537">_xlfn.XLOOKUP(Matrix[[#This Row],[TEAM]]&amp;Matrix[[#Headers],[4]],FDR[FDR]&amp;FDR[[#Headers],[4]],FDR[4],"",0,1)</f>
        <v>4</v>
      </c>
      <c r="Q537" cm="1">
        <f t="array" ref="Q537">_xlfn.XLOOKUP(Matrix[[#This Row],[TEAM]]&amp;Matrix[[#Headers],[5]],FDR[FDR]&amp;FDR[[#Headers],[5]],FDR[5],"",0,1)</f>
        <v>4</v>
      </c>
      <c r="R537" cm="1">
        <f t="array" ref="R537">_xlfn.XLOOKUP(Matrix[[#This Row],[TEAM]]&amp;Matrix[[#Headers],[6]],FDR[FDR]&amp;FDR[[#Headers],[6]],FDR[6],"",0,1)</f>
        <v>4</v>
      </c>
      <c r="S537" cm="1">
        <f t="array" ref="S537">_xlfn.XLOOKUP(Matrix[[#This Row],[TEAM]]&amp;Matrix[[#Headers],[7]],FDR[FDR]&amp;FDR[[#Headers],[7]],FDR[7],"",0,1)</f>
        <v>4</v>
      </c>
      <c r="T537" cm="1">
        <f t="array" ref="T537">_xlfn.XLOOKUP(Matrix[[#This Row],[TEAM]]&amp;Matrix[[#Headers],[8]],FDR[FDR]&amp;FDR[[#Headers],[8]],FDR[8],"",0,1)</f>
        <v>4</v>
      </c>
      <c r="U537" cm="1">
        <f t="array" ref="U537">_xlfn.XLOOKUP(Matrix[[#This Row],[TEAM]]&amp;Matrix[[#Headers],[9]],FDR[FDR]&amp;FDR[[#Headers],[9]],FDR[9],"",0,1)</f>
        <v>4</v>
      </c>
      <c r="V537" cm="1">
        <f t="array" ref="V537">_xlfn.XLOOKUP(Matrix[[#This Row],[TEAM]]&amp;Matrix[[#Headers],[10]],FDR[FDR]&amp;FDR[[#Headers],[10]],FDR[10],"",0,1)</f>
        <v>4</v>
      </c>
      <c r="W537" cm="1">
        <f t="array" ref="W537">_xlfn.XLOOKUP(Matrix[[#This Row],[TEAM]]&amp;Matrix[[#Headers],[11]],FDR[FDR]&amp;FDR[[#Headers],[11]],FDR[11],"",0,1)</f>
        <v>4</v>
      </c>
      <c r="X537" cm="1">
        <f t="array" ref="X537">_xlfn.XLOOKUP(Matrix[[#This Row],[TEAM]]&amp;Matrix[[#Headers],[12]],FDR[FDR]&amp;FDR[[#Headers],[12]],FDR[12],"",0,1)</f>
        <v>4</v>
      </c>
      <c r="Y537" cm="1">
        <f t="array" ref="Y537">_xlfn.XLOOKUP(Matrix[[#This Row],[TEAM]]&amp;Matrix[[#Headers],[13]],FDR[FDR]&amp;FDR[[#Headers],[13]],FDR[13],"",0,1)</f>
        <v>1</v>
      </c>
      <c r="Z537" cm="1">
        <f t="array" ref="Z537">_xlfn.XLOOKUP(Matrix[[#This Row],[TEAM]]&amp;Matrix[[#Headers],[14]],FDR[FDR]&amp;FDR[[#Headers],[14]],FDR[14],"",0,1)</f>
        <v>5</v>
      </c>
      <c r="AA537" cm="1">
        <f t="array" ref="AA537">_xlfn.XLOOKUP(Matrix[[#This Row],[TEAM]]&amp;Matrix[[#Headers],[15]],FDR[FDR]&amp;FDR[[#Headers],[15]],FDR[15],"",0,1)</f>
        <v>5</v>
      </c>
      <c r="AB537" cm="1">
        <f t="array" ref="AB537">_xlfn.XLOOKUP(Matrix[[#This Row],[TEAM]]&amp;Matrix[[#Headers],[16]],FDR[FDR]&amp;FDR[[#Headers],[16]],FDR[16],"",0,1)</f>
        <v>1</v>
      </c>
      <c r="AC537" cm="1">
        <f t="array" ref="AC537">_xlfn.XLOOKUP(Matrix[[#This Row],[TEAM]]&amp;Matrix[[#Headers],[17]],FDR[FDR]&amp;FDR[[#Headers],[17]],FDR[17],"",0,1)</f>
        <v>2</v>
      </c>
      <c r="AD537" cm="1">
        <f t="array" ref="AD537">_xlfn.XLOOKUP(Matrix[[#This Row],[TEAM]]&amp;Matrix[[#Headers],[18]],FDR[FDR]&amp;FDR[[#Headers],[18]],FDR[18],"",0,1)</f>
        <v>3</v>
      </c>
      <c r="AE537" cm="1">
        <f t="array" ref="AE537">_xlfn.XLOOKUP(Matrix[[#This Row],[TEAM]]&amp;Matrix[[#Headers],[19]],FDR[FDR]&amp;FDR[[#Headers],[19]],FDR[19],"",0,1)</f>
        <v>4</v>
      </c>
      <c r="AF537" cm="1">
        <f t="array" ref="AF537">_xlfn.XLOOKUP(Matrix[[#This Row],[TEAM]]&amp;Matrix[[#Headers],[20]],FDR[FDR]&amp;FDR[[#Headers],[20]],FDR[20],"",0,1)</f>
        <v>4</v>
      </c>
      <c r="AG537" cm="1">
        <f t="array" ref="AG537">_xlfn.XLOOKUP(Matrix[[#This Row],[TEAM]]&amp;Matrix[[#Headers],[21]],FDR[FDR]&amp;FDR[[#Headers],[21]],FDR[21],"",0,1)</f>
        <v>1</v>
      </c>
      <c r="AH537" cm="1">
        <f t="array" ref="AH537">_xlfn.XLOOKUP(Matrix[[#This Row],[TEAM]]&amp;Matrix[[#Headers],[22]],FDR[FDR]&amp;FDR[[#Headers],[22]],FDR[22],"",0,1)</f>
        <v>5</v>
      </c>
      <c r="AI537" cm="1">
        <f t="array" ref="AI537">_xlfn.XLOOKUP(Matrix[[#This Row],[TEAM]]&amp;Matrix[[#Headers],[23]],FDR[FDR]&amp;FDR[[#Headers],[23]],FDR[23],"",0,1)</f>
        <v>3</v>
      </c>
      <c r="AJ537" cm="1">
        <f t="array" ref="AJ537">_xlfn.XLOOKUP(Matrix[[#This Row],[TEAM]]&amp;Matrix[[#Headers],[24]],FDR[FDR]&amp;FDR[[#Headers],[24]],FDR[24],"",0,1)</f>
        <v>5</v>
      </c>
      <c r="AK537" cm="1">
        <f t="array" ref="AK537">_xlfn.XLOOKUP(Matrix[[#This Row],[TEAM]]&amp;Matrix[[#Headers],[25]],FDR[FDR]&amp;FDR[[#Headers],[25]],FDR[25],"",0,1)</f>
        <v>5</v>
      </c>
      <c r="AL537" cm="1">
        <f t="array" ref="AL537">_xlfn.XLOOKUP(Matrix[[#This Row],[TEAM]]&amp;Matrix[[#Headers],[26]],FDR[FDR]&amp;FDR[[#Headers],[26]],FDR[26],"",0,1)</f>
        <v>4</v>
      </c>
      <c r="AM537" cm="1">
        <f t="array" ref="AM537">_xlfn.XLOOKUP(Matrix[[#This Row],[TEAM]]&amp;Matrix[[#Headers],[27]],FDR[FDR]&amp;FDR[[#Headers],[27]],FDR[27],"",0,1)</f>
        <v>3</v>
      </c>
      <c r="AN537" cm="1">
        <f t="array" ref="AN537">_xlfn.XLOOKUP(Matrix[[#This Row],[TEAM]]&amp;Matrix[[#Headers],[28]],FDR[FDR]&amp;FDR[[#Headers],[28]],FDR[28],"",0,1)</f>
        <v>2</v>
      </c>
      <c r="AO537" cm="1">
        <f t="array" ref="AO537">_xlfn.XLOOKUP(Matrix[[#This Row],[TEAM]]&amp;Matrix[[#Headers],[29]],FDR[FDR]&amp;FDR[[#Headers],[29]],FDR[29],"",0,1)</f>
        <v>4</v>
      </c>
      <c r="AP537" cm="1">
        <f t="array" ref="AP537">_xlfn.XLOOKUP(Matrix[[#This Row],[TEAM]]&amp;Matrix[[#Headers],[30]],FDR[FDR]&amp;FDR[[#Headers],[30]],FDR[30],"",0,1)</f>
        <v>2</v>
      </c>
      <c r="AQ537" cm="1">
        <f t="array" ref="AQ537">_xlfn.XLOOKUP(Matrix[[#This Row],[TEAM]]&amp;Matrix[[#Headers],[31]],FDR[FDR]&amp;FDR[[#Headers],[31]],FDR[31],"",0,1)</f>
        <v>2</v>
      </c>
      <c r="AR537" cm="1">
        <f t="array" ref="AR537">_xlfn.XLOOKUP(Matrix[[#This Row],[TEAM]]&amp;Matrix[[#Headers],[32]],FDR[FDR]&amp;FDR[[#Headers],[32]],FDR[32],"",0,1)</f>
        <v>3</v>
      </c>
      <c r="AS537" cm="1">
        <f t="array" ref="AS537">_xlfn.XLOOKUP(Matrix[[#This Row],[TEAM]]&amp;Matrix[[#Headers],[33]],FDR[FDR]&amp;FDR[[#Headers],[33]],FDR[33],"",0,1)</f>
        <v>3</v>
      </c>
      <c r="AT537" cm="1">
        <f t="array" ref="AT537">_xlfn.XLOOKUP(Matrix[[#This Row],[TEAM]]&amp;Matrix[[#Headers],[34]],FDR[FDR]&amp;FDR[[#Headers],[34]],FDR[34],"",0,1)</f>
        <v>5</v>
      </c>
      <c r="AU537" cm="1">
        <f t="array" ref="AU537">_xlfn.XLOOKUP(Matrix[[#This Row],[TEAM]]&amp;Matrix[[#Headers],[35]],FDR[FDR]&amp;FDR[[#Headers],[35]],FDR[35],"",0,1)</f>
        <v>3</v>
      </c>
      <c r="AV537" cm="1">
        <f t="array" ref="AV537">_xlfn.XLOOKUP(Matrix[[#This Row],[TEAM]]&amp;Matrix[[#Headers],[36]],FDR[FDR]&amp;FDR[[#Headers],[36]],FDR[36],"",0,1)</f>
        <v>5</v>
      </c>
      <c r="AW537" cm="1">
        <f t="array" ref="AW537">_xlfn.XLOOKUP(Matrix[[#This Row],[TEAM]]&amp;Matrix[[#Headers],[37]],FDR[FDR]&amp;FDR[[#Headers],[37]],FDR[37],"",0,1)</f>
        <v>3</v>
      </c>
      <c r="AX537" cm="1">
        <f t="array" ref="AX537">_xlfn.XLOOKUP(Matrix[[#This Row],[TEAM]]&amp;Matrix[[#Headers],[38]],FDR[FDR]&amp;FDR[[#Headers],[38]],FDR[38],"",0,1)</f>
        <v>5</v>
      </c>
    </row>
    <row r="538" spans="1:50" ht="22" thickTop="1" thickBot="1">
      <c r="A538" s="49" t="str">
        <f>INDEX!S$5</f>
        <v>FWD</v>
      </c>
      <c r="B538" s="70" t="s">
        <v>1298</v>
      </c>
      <c r="C538" s="40" t="s">
        <v>20</v>
      </c>
      <c r="D538" s="62">
        <v>97</v>
      </c>
      <c r="E538" s="60">
        <v>1.2999999999999999E-2</v>
      </c>
      <c r="F538" s="61">
        <v>144.80000000000001</v>
      </c>
      <c r="G538" s="63">
        <v>7.4</v>
      </c>
      <c r="H538" s="261">
        <f>IF(ISBLANK(I538),0,1)</f>
        <v>1</v>
      </c>
      <c r="I538" s="57" t="s">
        <v>891</v>
      </c>
      <c r="J538" s="58" t="s">
        <v>1981</v>
      </c>
      <c r="K538" s="64" t="s">
        <v>421</v>
      </c>
      <c r="L538" s="64" t="s">
        <v>422</v>
      </c>
      <c r="M538" cm="1">
        <f t="array" ref="M538">_xlfn.XLOOKUP(Matrix[[#This Row],[TEAM]]&amp;Matrix[[#Headers],[1]],FDR[FDR]&amp;FDR[[#Headers],[1]],FDR[1],"",0,1)</f>
        <v>3</v>
      </c>
      <c r="N538" cm="1">
        <f t="array" ref="N538">_xlfn.XLOOKUP(Matrix[[#This Row],[TEAM]]&amp;Matrix[[#Headers],[2]],FDR[FDR]&amp;FDR[[#Headers],[2]],FDR[2],"",0,1)</f>
        <v>1</v>
      </c>
      <c r="O538" cm="1">
        <f t="array" ref="O538">_xlfn.XLOOKUP(Matrix[[#This Row],[TEAM]]&amp;Matrix[[#Headers],[3]],FDR[FDR]&amp;FDR[[#Headers],[3]],FDR[3],"",0,1)</f>
        <v>4</v>
      </c>
      <c r="P538" cm="1">
        <f t="array" ref="P538">_xlfn.XLOOKUP(Matrix[[#This Row],[TEAM]]&amp;Matrix[[#Headers],[4]],FDR[FDR]&amp;FDR[[#Headers],[4]],FDR[4],"",0,1)</f>
        <v>1</v>
      </c>
      <c r="Q538" cm="1">
        <f t="array" ref="Q538">_xlfn.XLOOKUP(Matrix[[#This Row],[TEAM]]&amp;Matrix[[#Headers],[5]],FDR[FDR]&amp;FDR[[#Headers],[5]],FDR[5],"",0,1)</f>
        <v>3</v>
      </c>
      <c r="R538" cm="1">
        <f t="array" ref="R538">_xlfn.XLOOKUP(Matrix[[#This Row],[TEAM]]&amp;Matrix[[#Headers],[6]],FDR[FDR]&amp;FDR[[#Headers],[6]],FDR[6],"",0,1)</f>
        <v>3</v>
      </c>
      <c r="S538" cm="1">
        <f t="array" ref="S538">_xlfn.XLOOKUP(Matrix[[#This Row],[TEAM]]&amp;Matrix[[#Headers],[7]],FDR[FDR]&amp;FDR[[#Headers],[7]],FDR[7],"",0,1)</f>
        <v>1</v>
      </c>
      <c r="T538" cm="1">
        <f t="array" ref="T538">_xlfn.XLOOKUP(Matrix[[#This Row],[TEAM]]&amp;Matrix[[#Headers],[8]],FDR[FDR]&amp;FDR[[#Headers],[8]],FDR[8],"",0,1)</f>
        <v>2</v>
      </c>
      <c r="U538" cm="1">
        <f t="array" ref="U538">_xlfn.XLOOKUP(Matrix[[#This Row],[TEAM]]&amp;Matrix[[#Headers],[9]],FDR[FDR]&amp;FDR[[#Headers],[9]],FDR[9],"",0,1)</f>
        <v>1</v>
      </c>
      <c r="V538" cm="1">
        <f t="array" ref="V538">_xlfn.XLOOKUP(Matrix[[#This Row],[TEAM]]&amp;Matrix[[#Headers],[10]],FDR[FDR]&amp;FDR[[#Headers],[10]],FDR[10],"",0,1)</f>
        <v>1</v>
      </c>
      <c r="W538" cm="1">
        <f t="array" ref="W538">_xlfn.XLOOKUP(Matrix[[#This Row],[TEAM]]&amp;Matrix[[#Headers],[11]],FDR[FDR]&amp;FDR[[#Headers],[11]],FDR[11],"",0,1)</f>
        <v>1</v>
      </c>
      <c r="X538" cm="1">
        <f t="array" ref="X538">_xlfn.XLOOKUP(Matrix[[#This Row],[TEAM]]&amp;Matrix[[#Headers],[12]],FDR[FDR]&amp;FDR[[#Headers],[12]],FDR[12],"",0,1)</f>
        <v>2</v>
      </c>
      <c r="Y538" cm="1">
        <f t="array" ref="Y538">_xlfn.XLOOKUP(Matrix[[#This Row],[TEAM]]&amp;Matrix[[#Headers],[13]],FDR[FDR]&amp;FDR[[#Headers],[13]],FDR[13],"",0,1)</f>
        <v>3</v>
      </c>
      <c r="Z538" cm="1">
        <f t="array" ref="Z538">_xlfn.XLOOKUP(Matrix[[#This Row],[TEAM]]&amp;Matrix[[#Headers],[14]],FDR[FDR]&amp;FDR[[#Headers],[14]],FDR[14],"",0,1)</f>
        <v>1</v>
      </c>
      <c r="AA538" cm="1">
        <f t="array" ref="AA538">_xlfn.XLOOKUP(Matrix[[#This Row],[TEAM]]&amp;Matrix[[#Headers],[15]],FDR[FDR]&amp;FDR[[#Headers],[15]],FDR[15],"",0,1)</f>
        <v>3</v>
      </c>
      <c r="AB538" cm="1">
        <f t="array" ref="AB538">_xlfn.XLOOKUP(Matrix[[#This Row],[TEAM]]&amp;Matrix[[#Headers],[16]],FDR[FDR]&amp;FDR[[#Headers],[16]],FDR[16],"",0,1)</f>
        <v>1</v>
      </c>
      <c r="AC538" cm="1">
        <f t="array" ref="AC538">_xlfn.XLOOKUP(Matrix[[#This Row],[TEAM]]&amp;Matrix[[#Headers],[17]],FDR[FDR]&amp;FDR[[#Headers],[17]],FDR[17],"",0,1)</f>
        <v>2</v>
      </c>
      <c r="AD538" cm="1">
        <f t="array" ref="AD538">_xlfn.XLOOKUP(Matrix[[#This Row],[TEAM]]&amp;Matrix[[#Headers],[18]],FDR[FDR]&amp;FDR[[#Headers],[18]],FDR[18],"",0,1)</f>
        <v>1</v>
      </c>
      <c r="AE538" cm="1">
        <f t="array" ref="AE538">_xlfn.XLOOKUP(Matrix[[#This Row],[TEAM]]&amp;Matrix[[#Headers],[19]],FDR[FDR]&amp;FDR[[#Headers],[19]],FDR[19],"",0,1)</f>
        <v>2</v>
      </c>
      <c r="AF538" cm="1">
        <f t="array" ref="AF538">_xlfn.XLOOKUP(Matrix[[#This Row],[TEAM]]&amp;Matrix[[#Headers],[20]],FDR[FDR]&amp;FDR[[#Headers],[20]],FDR[20],"",0,1)</f>
        <v>2</v>
      </c>
      <c r="AG538" cm="1">
        <f t="array" ref="AG538">_xlfn.XLOOKUP(Matrix[[#This Row],[TEAM]]&amp;Matrix[[#Headers],[21]],FDR[FDR]&amp;FDR[[#Headers],[21]],FDR[21],"",0,1)</f>
        <v>3</v>
      </c>
      <c r="AH538" cm="1">
        <f t="array" ref="AH538">_xlfn.XLOOKUP(Matrix[[#This Row],[TEAM]]&amp;Matrix[[#Headers],[22]],FDR[FDR]&amp;FDR[[#Headers],[22]],FDR[22],"",0,1)</f>
        <v>2</v>
      </c>
      <c r="AI538" cm="1">
        <f t="array" ref="AI538">_xlfn.XLOOKUP(Matrix[[#This Row],[TEAM]]&amp;Matrix[[#Headers],[23]],FDR[FDR]&amp;FDR[[#Headers],[23]],FDR[23],"",0,1)</f>
        <v>2</v>
      </c>
      <c r="AJ538" cm="1">
        <f t="array" ref="AJ538">_xlfn.XLOOKUP(Matrix[[#This Row],[TEAM]]&amp;Matrix[[#Headers],[24]],FDR[FDR]&amp;FDR[[#Headers],[24]],FDR[24],"",0,1)</f>
        <v>1</v>
      </c>
      <c r="AK538" cm="1">
        <f t="array" ref="AK538">_xlfn.XLOOKUP(Matrix[[#This Row],[TEAM]]&amp;Matrix[[#Headers],[25]],FDR[FDR]&amp;FDR[[#Headers],[25]],FDR[25],"",0,1)</f>
        <v>1</v>
      </c>
      <c r="AL538" cm="1">
        <f t="array" ref="AL538">_xlfn.XLOOKUP(Matrix[[#This Row],[TEAM]]&amp;Matrix[[#Headers],[26]],FDR[FDR]&amp;FDR[[#Headers],[26]],FDR[26],"",0,1)</f>
        <v>2</v>
      </c>
      <c r="AM538" cm="1">
        <f t="array" ref="AM538">_xlfn.XLOOKUP(Matrix[[#This Row],[TEAM]]&amp;Matrix[[#Headers],[27]],FDR[FDR]&amp;FDR[[#Headers],[27]],FDR[27],"",0,1)</f>
        <v>3</v>
      </c>
      <c r="AN538" cm="1">
        <f t="array" ref="AN538">_xlfn.XLOOKUP(Matrix[[#This Row],[TEAM]]&amp;Matrix[[#Headers],[28]],FDR[FDR]&amp;FDR[[#Headers],[28]],FDR[28],"",0,1)</f>
        <v>2</v>
      </c>
      <c r="AO538" cm="1">
        <f t="array" ref="AO538">_xlfn.XLOOKUP(Matrix[[#This Row],[TEAM]]&amp;Matrix[[#Headers],[29]],FDR[FDR]&amp;FDR[[#Headers],[29]],FDR[29],"",0,1)</f>
        <v>2</v>
      </c>
      <c r="AP538" cm="1">
        <f t="array" ref="AP538">_xlfn.XLOOKUP(Matrix[[#This Row],[TEAM]]&amp;Matrix[[#Headers],[30]],FDR[FDR]&amp;FDR[[#Headers],[30]],FDR[30],"",0,1)</f>
        <v>1</v>
      </c>
      <c r="AQ538" cm="1">
        <f t="array" ref="AQ538">_xlfn.XLOOKUP(Matrix[[#This Row],[TEAM]]&amp;Matrix[[#Headers],[31]],FDR[FDR]&amp;FDR[[#Headers],[31]],FDR[31],"",0,1)</f>
        <v>1</v>
      </c>
      <c r="AR538" cm="1">
        <f t="array" ref="AR538">_xlfn.XLOOKUP(Matrix[[#This Row],[TEAM]]&amp;Matrix[[#Headers],[32]],FDR[FDR]&amp;FDR[[#Headers],[32]],FDR[32],"",0,1)</f>
        <v>1</v>
      </c>
      <c r="AS538" cm="1">
        <f t="array" ref="AS538">_xlfn.XLOOKUP(Matrix[[#This Row],[TEAM]]&amp;Matrix[[#Headers],[33]],FDR[FDR]&amp;FDR[[#Headers],[33]],FDR[33],"",0,1)</f>
        <v>3</v>
      </c>
      <c r="AT538" cm="1">
        <f t="array" ref="AT538">_xlfn.XLOOKUP(Matrix[[#This Row],[TEAM]]&amp;Matrix[[#Headers],[34]],FDR[FDR]&amp;FDR[[#Headers],[34]],FDR[34],"",0,1)</f>
        <v>2</v>
      </c>
      <c r="AU538" cm="1">
        <f t="array" ref="AU538">_xlfn.XLOOKUP(Matrix[[#This Row],[TEAM]]&amp;Matrix[[#Headers],[35]],FDR[FDR]&amp;FDR[[#Headers],[35]],FDR[35],"",0,1)</f>
        <v>1</v>
      </c>
      <c r="AV538" cm="1">
        <f t="array" ref="AV538">_xlfn.XLOOKUP(Matrix[[#This Row],[TEAM]]&amp;Matrix[[#Headers],[36]],FDR[FDR]&amp;FDR[[#Headers],[36]],FDR[36],"",0,1)</f>
        <v>2</v>
      </c>
      <c r="AW538" cm="1">
        <f t="array" ref="AW538">_xlfn.XLOOKUP(Matrix[[#This Row],[TEAM]]&amp;Matrix[[#Headers],[37]],FDR[FDR]&amp;FDR[[#Headers],[37]],FDR[37],"",0,1)</f>
        <v>1</v>
      </c>
      <c r="AX538" cm="1">
        <f t="array" ref="AX538">_xlfn.XLOOKUP(Matrix[[#This Row],[TEAM]]&amp;Matrix[[#Headers],[38]],FDR[FDR]&amp;FDR[[#Headers],[38]],FDR[38],"",0,1)</f>
        <v>2</v>
      </c>
    </row>
    <row r="539" spans="1:50" ht="22" thickTop="1" thickBot="1">
      <c r="A539" s="50" t="str">
        <f>INDEX!S$4</f>
        <v>MID</v>
      </c>
      <c r="B539" s="70" t="s">
        <v>1309</v>
      </c>
      <c r="C539" s="40" t="s">
        <v>19</v>
      </c>
      <c r="D539" s="62">
        <v>133</v>
      </c>
      <c r="E539" s="60">
        <v>1.2E-2</v>
      </c>
      <c r="F539" s="61">
        <v>187.8</v>
      </c>
      <c r="G539" s="63">
        <v>6.9</v>
      </c>
      <c r="H539" s="261">
        <f>IF(ISBLANK(I539),0,1)</f>
        <v>1</v>
      </c>
      <c r="I539" s="57" t="s">
        <v>1147</v>
      </c>
      <c r="J539" s="58" t="s">
        <v>1981</v>
      </c>
      <c r="K539" s="59" t="s">
        <v>111</v>
      </c>
      <c r="L539" s="59" t="s">
        <v>187</v>
      </c>
      <c r="M539" cm="1">
        <f t="array" ref="M539">_xlfn.XLOOKUP(Matrix[[#This Row],[TEAM]]&amp;Matrix[[#Headers],[1]],FDR[FDR]&amp;FDR[[#Headers],[1]],FDR[1],"",0,1)</f>
        <v>1</v>
      </c>
      <c r="N539" cm="1">
        <f t="array" ref="N539">_xlfn.XLOOKUP(Matrix[[#This Row],[TEAM]]&amp;Matrix[[#Headers],[2]],FDR[FDR]&amp;FDR[[#Headers],[2]],FDR[2],"",0,1)</f>
        <v>4</v>
      </c>
      <c r="O539" cm="1">
        <f t="array" ref="O539">_xlfn.XLOOKUP(Matrix[[#This Row],[TEAM]]&amp;Matrix[[#Headers],[3]],FDR[FDR]&amp;FDR[[#Headers],[3]],FDR[3],"",0,1)</f>
        <v>1</v>
      </c>
      <c r="P539" cm="1">
        <f t="array" ref="P539">_xlfn.XLOOKUP(Matrix[[#This Row],[TEAM]]&amp;Matrix[[#Headers],[4]],FDR[FDR]&amp;FDR[[#Headers],[4]],FDR[4],"",0,1)</f>
        <v>2</v>
      </c>
      <c r="Q539" cm="1">
        <f t="array" ref="Q539">_xlfn.XLOOKUP(Matrix[[#This Row],[TEAM]]&amp;Matrix[[#Headers],[5]],FDR[FDR]&amp;FDR[[#Headers],[5]],FDR[5],"",0,1)</f>
        <v>2</v>
      </c>
      <c r="R539" cm="1">
        <f t="array" ref="R539">_xlfn.XLOOKUP(Matrix[[#This Row],[TEAM]]&amp;Matrix[[#Headers],[6]],FDR[FDR]&amp;FDR[[#Headers],[6]],FDR[6],"",0,1)</f>
        <v>1</v>
      </c>
      <c r="S539" cm="1">
        <f t="array" ref="S539">_xlfn.XLOOKUP(Matrix[[#This Row],[TEAM]]&amp;Matrix[[#Headers],[7]],FDR[FDR]&amp;FDR[[#Headers],[7]],FDR[7],"",0,1)</f>
        <v>1</v>
      </c>
      <c r="T539" cm="1">
        <f t="array" ref="T539">_xlfn.XLOOKUP(Matrix[[#This Row],[TEAM]]&amp;Matrix[[#Headers],[8]],FDR[FDR]&amp;FDR[[#Headers],[8]],FDR[8],"",0,1)</f>
        <v>2</v>
      </c>
      <c r="U539" cm="1">
        <f t="array" ref="U539">_xlfn.XLOOKUP(Matrix[[#This Row],[TEAM]]&amp;Matrix[[#Headers],[9]],FDR[FDR]&amp;FDR[[#Headers],[9]],FDR[9],"",0,1)</f>
        <v>2</v>
      </c>
      <c r="V539" cm="1">
        <f t="array" ref="V539">_xlfn.XLOOKUP(Matrix[[#This Row],[TEAM]]&amp;Matrix[[#Headers],[10]],FDR[FDR]&amp;FDR[[#Headers],[10]],FDR[10],"",0,1)</f>
        <v>3</v>
      </c>
      <c r="W539" cm="1">
        <f t="array" ref="W539">_xlfn.XLOOKUP(Matrix[[#This Row],[TEAM]]&amp;Matrix[[#Headers],[11]],FDR[FDR]&amp;FDR[[#Headers],[11]],FDR[11],"",0,1)</f>
        <v>3</v>
      </c>
      <c r="X539" cm="1">
        <f t="array" ref="X539">_xlfn.XLOOKUP(Matrix[[#This Row],[TEAM]]&amp;Matrix[[#Headers],[12]],FDR[FDR]&amp;FDR[[#Headers],[12]],FDR[12],"",0,1)</f>
        <v>4</v>
      </c>
      <c r="Y539" cm="1">
        <f t="array" ref="Y539">_xlfn.XLOOKUP(Matrix[[#This Row],[TEAM]]&amp;Matrix[[#Headers],[13]],FDR[FDR]&amp;FDR[[#Headers],[13]],FDR[13],"",0,1)</f>
        <v>1</v>
      </c>
      <c r="Z539" cm="1">
        <f t="array" ref="Z539">_xlfn.XLOOKUP(Matrix[[#This Row],[TEAM]]&amp;Matrix[[#Headers],[14]],FDR[FDR]&amp;FDR[[#Headers],[14]],FDR[14],"",0,1)</f>
        <v>3</v>
      </c>
      <c r="AA539" cm="1">
        <f t="array" ref="AA539">_xlfn.XLOOKUP(Matrix[[#This Row],[TEAM]]&amp;Matrix[[#Headers],[15]],FDR[FDR]&amp;FDR[[#Headers],[15]],FDR[15],"",0,1)</f>
        <v>1</v>
      </c>
      <c r="AB539" cm="1">
        <f t="array" ref="AB539">_xlfn.XLOOKUP(Matrix[[#This Row],[TEAM]]&amp;Matrix[[#Headers],[16]],FDR[FDR]&amp;FDR[[#Headers],[16]],FDR[16],"",0,1)</f>
        <v>2</v>
      </c>
      <c r="AC539" cm="1">
        <f t="array" ref="AC539">_xlfn.XLOOKUP(Matrix[[#This Row],[TEAM]]&amp;Matrix[[#Headers],[17]],FDR[FDR]&amp;FDR[[#Headers],[17]],FDR[17],"",0,1)</f>
        <v>3</v>
      </c>
      <c r="AD539" cm="1">
        <f t="array" ref="AD539">_xlfn.XLOOKUP(Matrix[[#This Row],[TEAM]]&amp;Matrix[[#Headers],[18]],FDR[FDR]&amp;FDR[[#Headers],[18]],FDR[18],"",0,1)</f>
        <v>2</v>
      </c>
      <c r="AE539" cm="1">
        <f t="array" ref="AE539">_xlfn.XLOOKUP(Matrix[[#This Row],[TEAM]]&amp;Matrix[[#Headers],[19]],FDR[FDR]&amp;FDR[[#Headers],[19]],FDR[19],"",0,1)</f>
        <v>2</v>
      </c>
      <c r="AF539" cm="1">
        <f t="array" ref="AF539">_xlfn.XLOOKUP(Matrix[[#This Row],[TEAM]]&amp;Matrix[[#Headers],[20]],FDR[FDR]&amp;FDR[[#Headers],[20]],FDR[20],"",0,1)</f>
        <v>1</v>
      </c>
      <c r="AG539" cm="1">
        <f t="array" ref="AG539">_xlfn.XLOOKUP(Matrix[[#This Row],[TEAM]]&amp;Matrix[[#Headers],[21]],FDR[FDR]&amp;FDR[[#Headers],[21]],FDR[21],"",0,1)</f>
        <v>2</v>
      </c>
      <c r="AH539" cm="1">
        <f t="array" ref="AH539">_xlfn.XLOOKUP(Matrix[[#This Row],[TEAM]]&amp;Matrix[[#Headers],[22]],FDR[FDR]&amp;FDR[[#Headers],[22]],FDR[22],"",0,1)</f>
        <v>1</v>
      </c>
      <c r="AI539" cm="1">
        <f t="array" ref="AI539">_xlfn.XLOOKUP(Matrix[[#This Row],[TEAM]]&amp;Matrix[[#Headers],[23]],FDR[FDR]&amp;FDR[[#Headers],[23]],FDR[23],"",0,1)</f>
        <v>1</v>
      </c>
      <c r="AJ539" cm="1">
        <f t="array" ref="AJ539">_xlfn.XLOOKUP(Matrix[[#This Row],[TEAM]]&amp;Matrix[[#Headers],[24]],FDR[FDR]&amp;FDR[[#Headers],[24]],FDR[24],"",0,1)</f>
        <v>3</v>
      </c>
      <c r="AK539" cm="1">
        <f t="array" ref="AK539">_xlfn.XLOOKUP(Matrix[[#This Row],[TEAM]]&amp;Matrix[[#Headers],[25]],FDR[FDR]&amp;FDR[[#Headers],[25]],FDR[25],"",0,1)</f>
        <v>4</v>
      </c>
      <c r="AL539" cm="1">
        <f t="array" ref="AL539">_xlfn.XLOOKUP(Matrix[[#This Row],[TEAM]]&amp;Matrix[[#Headers],[26]],FDR[FDR]&amp;FDR[[#Headers],[26]],FDR[26],"",0,1)</f>
        <v>2</v>
      </c>
      <c r="AM539" cm="1">
        <f t="array" ref="AM539">_xlfn.XLOOKUP(Matrix[[#This Row],[TEAM]]&amp;Matrix[[#Headers],[27]],FDR[FDR]&amp;FDR[[#Headers],[27]],FDR[27],"",0,1)</f>
        <v>3</v>
      </c>
      <c r="AN539" cm="1">
        <f t="array" ref="AN539">_xlfn.XLOOKUP(Matrix[[#This Row],[TEAM]]&amp;Matrix[[#Headers],[28]],FDR[FDR]&amp;FDR[[#Headers],[28]],FDR[28],"",0,1)</f>
        <v>2</v>
      </c>
      <c r="AO539" cm="1">
        <f t="array" ref="AO539">_xlfn.XLOOKUP(Matrix[[#This Row],[TEAM]]&amp;Matrix[[#Headers],[29]],FDR[FDR]&amp;FDR[[#Headers],[29]],FDR[29],"",0,1)</f>
        <v>1</v>
      </c>
      <c r="AP539" cm="1">
        <f t="array" ref="AP539">_xlfn.XLOOKUP(Matrix[[#This Row],[TEAM]]&amp;Matrix[[#Headers],[30]],FDR[FDR]&amp;FDR[[#Headers],[30]],FDR[30],"",0,1)</f>
        <v>4</v>
      </c>
      <c r="AQ539" cm="1">
        <f t="array" ref="AQ539">_xlfn.XLOOKUP(Matrix[[#This Row],[TEAM]]&amp;Matrix[[#Headers],[31]],FDR[FDR]&amp;FDR[[#Headers],[31]],FDR[31],"",0,1)</f>
        <v>1</v>
      </c>
      <c r="AR539" cm="1">
        <f t="array" ref="AR539">_xlfn.XLOOKUP(Matrix[[#This Row],[TEAM]]&amp;Matrix[[#Headers],[32]],FDR[FDR]&amp;FDR[[#Headers],[32]],FDR[32],"",0,1)</f>
        <v>1</v>
      </c>
      <c r="AS539" cm="1">
        <f t="array" ref="AS539">_xlfn.XLOOKUP(Matrix[[#This Row],[TEAM]]&amp;Matrix[[#Headers],[33]],FDR[FDR]&amp;FDR[[#Headers],[33]],FDR[33],"",0,1)</f>
        <v>1</v>
      </c>
      <c r="AT539" cm="1">
        <f t="array" ref="AT539">_xlfn.XLOOKUP(Matrix[[#This Row],[TEAM]]&amp;Matrix[[#Headers],[34]],FDR[FDR]&amp;FDR[[#Headers],[34]],FDR[34],"",0,1)</f>
        <v>1</v>
      </c>
      <c r="AU539" cm="1">
        <f t="array" ref="AU539">_xlfn.XLOOKUP(Matrix[[#This Row],[TEAM]]&amp;Matrix[[#Headers],[35]],FDR[FDR]&amp;FDR[[#Headers],[35]],FDR[35],"",0,1)</f>
        <v>3</v>
      </c>
      <c r="AV539" cm="1">
        <f t="array" ref="AV539">_xlfn.XLOOKUP(Matrix[[#This Row],[TEAM]]&amp;Matrix[[#Headers],[36]],FDR[FDR]&amp;FDR[[#Headers],[36]],FDR[36],"",0,1)</f>
        <v>1</v>
      </c>
      <c r="AW539" cm="1">
        <f t="array" ref="AW539">_xlfn.XLOOKUP(Matrix[[#This Row],[TEAM]]&amp;Matrix[[#Headers],[37]],FDR[FDR]&amp;FDR[[#Headers],[37]],FDR[37],"",0,1)</f>
        <v>4</v>
      </c>
      <c r="AX539" cm="1">
        <f t="array" ref="AX539">_xlfn.XLOOKUP(Matrix[[#This Row],[TEAM]]&amp;Matrix[[#Headers],[38]],FDR[FDR]&amp;FDR[[#Headers],[38]],FDR[38],"",0,1)</f>
        <v>1</v>
      </c>
    </row>
    <row r="540" spans="1:50" ht="22" thickTop="1" thickBot="1">
      <c r="A540" s="50" t="str">
        <f>INDEX!S$4</f>
        <v>MID</v>
      </c>
      <c r="B540" s="70" t="s">
        <v>1306</v>
      </c>
      <c r="C540" s="40" t="s">
        <v>29</v>
      </c>
      <c r="D540" s="62">
        <v>106</v>
      </c>
      <c r="E540" s="60">
        <v>1.9E-2</v>
      </c>
      <c r="F540" s="61">
        <v>177.3</v>
      </c>
      <c r="G540" s="63">
        <v>6.9</v>
      </c>
      <c r="H540" s="261">
        <f>IF(ISBLANK(I540),0,1)</f>
        <v>1</v>
      </c>
      <c r="I540" s="57" t="s">
        <v>942</v>
      </c>
      <c r="J540" s="58" t="s">
        <v>1982</v>
      </c>
      <c r="K540" s="59" t="s">
        <v>510</v>
      </c>
      <c r="L540" s="59" t="s">
        <v>1095</v>
      </c>
      <c r="M540" cm="1">
        <f t="array" ref="M540">_xlfn.XLOOKUP(Matrix[[#This Row],[TEAM]]&amp;Matrix[[#Headers],[1]],FDR[FDR]&amp;FDR[[#Headers],[1]],FDR[1],"",0,1)</f>
        <v>1</v>
      </c>
      <c r="N540" cm="1">
        <f t="array" ref="N540">_xlfn.XLOOKUP(Matrix[[#This Row],[TEAM]]&amp;Matrix[[#Headers],[2]],FDR[FDR]&amp;FDR[[#Headers],[2]],FDR[2],"",0,1)</f>
        <v>2</v>
      </c>
      <c r="O540" cm="1">
        <f t="array" ref="O540">_xlfn.XLOOKUP(Matrix[[#This Row],[TEAM]]&amp;Matrix[[#Headers],[3]],FDR[FDR]&amp;FDR[[#Headers],[3]],FDR[3],"",0,1)</f>
        <v>2</v>
      </c>
      <c r="P540" cm="1">
        <f t="array" ref="P540">_xlfn.XLOOKUP(Matrix[[#This Row],[TEAM]]&amp;Matrix[[#Headers],[4]],FDR[FDR]&amp;FDR[[#Headers],[4]],FDR[4],"",0,1)</f>
        <v>2</v>
      </c>
      <c r="Q540" cm="1">
        <f t="array" ref="Q540">_xlfn.XLOOKUP(Matrix[[#This Row],[TEAM]]&amp;Matrix[[#Headers],[5]],FDR[FDR]&amp;FDR[[#Headers],[5]],FDR[5],"",0,1)</f>
        <v>4</v>
      </c>
      <c r="R540" cm="1">
        <f t="array" ref="R540">_xlfn.XLOOKUP(Matrix[[#This Row],[TEAM]]&amp;Matrix[[#Headers],[6]],FDR[FDR]&amp;FDR[[#Headers],[6]],FDR[6],"",0,1)</f>
        <v>1</v>
      </c>
      <c r="S540" cm="1">
        <f t="array" ref="S540">_xlfn.XLOOKUP(Matrix[[#This Row],[TEAM]]&amp;Matrix[[#Headers],[7]],FDR[FDR]&amp;FDR[[#Headers],[7]],FDR[7],"",0,1)</f>
        <v>2</v>
      </c>
      <c r="T540" cm="1">
        <f t="array" ref="T540">_xlfn.XLOOKUP(Matrix[[#This Row],[TEAM]]&amp;Matrix[[#Headers],[8]],FDR[FDR]&amp;FDR[[#Headers],[8]],FDR[8],"",0,1)</f>
        <v>1</v>
      </c>
      <c r="U540" cm="1">
        <f t="array" ref="U540">_xlfn.XLOOKUP(Matrix[[#This Row],[TEAM]]&amp;Matrix[[#Headers],[9]],FDR[FDR]&amp;FDR[[#Headers],[9]],FDR[9],"",0,1)</f>
        <v>3</v>
      </c>
      <c r="V540" cm="1">
        <f t="array" ref="V540">_xlfn.XLOOKUP(Matrix[[#This Row],[TEAM]]&amp;Matrix[[#Headers],[10]],FDR[FDR]&amp;FDR[[#Headers],[10]],FDR[10],"",0,1)</f>
        <v>1</v>
      </c>
      <c r="W540" cm="1">
        <f t="array" ref="W540">_xlfn.XLOOKUP(Matrix[[#This Row],[TEAM]]&amp;Matrix[[#Headers],[11]],FDR[FDR]&amp;FDR[[#Headers],[11]],FDR[11],"",0,1)</f>
        <v>3</v>
      </c>
      <c r="X540" cm="1">
        <f t="array" ref="X540">_xlfn.XLOOKUP(Matrix[[#This Row],[TEAM]]&amp;Matrix[[#Headers],[12]],FDR[FDR]&amp;FDR[[#Headers],[12]],FDR[12],"",0,1)</f>
        <v>3</v>
      </c>
      <c r="Y540" cm="1">
        <f t="array" ref="Y540">_xlfn.XLOOKUP(Matrix[[#This Row],[TEAM]]&amp;Matrix[[#Headers],[13]],FDR[FDR]&amp;FDR[[#Headers],[13]],FDR[13],"",0,1)</f>
        <v>1</v>
      </c>
      <c r="Z540" cm="1">
        <f t="array" ref="Z540">_xlfn.XLOOKUP(Matrix[[#This Row],[TEAM]]&amp;Matrix[[#Headers],[14]],FDR[FDR]&amp;FDR[[#Headers],[14]],FDR[14],"",0,1)</f>
        <v>2</v>
      </c>
      <c r="AA540" cm="1">
        <f t="array" ref="AA540">_xlfn.XLOOKUP(Matrix[[#This Row],[TEAM]]&amp;Matrix[[#Headers],[15]],FDR[FDR]&amp;FDR[[#Headers],[15]],FDR[15],"",0,1)</f>
        <v>1</v>
      </c>
      <c r="AB540" cm="1">
        <f t="array" ref="AB540">_xlfn.XLOOKUP(Matrix[[#This Row],[TEAM]]&amp;Matrix[[#Headers],[16]],FDR[FDR]&amp;FDR[[#Headers],[16]],FDR[16],"",0,1)</f>
        <v>2</v>
      </c>
      <c r="AC540" cm="1">
        <f t="array" ref="AC540">_xlfn.XLOOKUP(Matrix[[#This Row],[TEAM]]&amp;Matrix[[#Headers],[17]],FDR[FDR]&amp;FDR[[#Headers],[17]],FDR[17],"",0,1)</f>
        <v>1</v>
      </c>
      <c r="AD540" cm="1">
        <f t="array" ref="AD540">_xlfn.XLOOKUP(Matrix[[#This Row],[TEAM]]&amp;Matrix[[#Headers],[18]],FDR[FDR]&amp;FDR[[#Headers],[18]],FDR[18],"",0,1)</f>
        <v>2</v>
      </c>
      <c r="AE540" cm="1">
        <f t="array" ref="AE540">_xlfn.XLOOKUP(Matrix[[#This Row],[TEAM]]&amp;Matrix[[#Headers],[19]],FDR[FDR]&amp;FDR[[#Headers],[19]],FDR[19],"",0,1)</f>
        <v>1</v>
      </c>
      <c r="AF540" cm="1">
        <f t="array" ref="AF540">_xlfn.XLOOKUP(Matrix[[#This Row],[TEAM]]&amp;Matrix[[#Headers],[20]],FDR[FDR]&amp;FDR[[#Headers],[20]],FDR[20],"",0,1)</f>
        <v>2</v>
      </c>
      <c r="AG540" cm="1">
        <f t="array" ref="AG540">_xlfn.XLOOKUP(Matrix[[#This Row],[TEAM]]&amp;Matrix[[#Headers],[21]],FDR[FDR]&amp;FDR[[#Headers],[21]],FDR[21],"",0,1)</f>
        <v>1</v>
      </c>
      <c r="AH540" cm="1">
        <f t="array" ref="AH540">_xlfn.XLOOKUP(Matrix[[#This Row],[TEAM]]&amp;Matrix[[#Headers],[22]],FDR[FDR]&amp;FDR[[#Headers],[22]],FDR[22],"",0,1)</f>
        <v>3</v>
      </c>
      <c r="AI540" cm="1">
        <f t="array" ref="AI540">_xlfn.XLOOKUP(Matrix[[#This Row],[TEAM]]&amp;Matrix[[#Headers],[23]],FDR[FDR]&amp;FDR[[#Headers],[23]],FDR[23],"",0,1)</f>
        <v>1</v>
      </c>
      <c r="AJ540" cm="1">
        <f t="array" ref="AJ540">_xlfn.XLOOKUP(Matrix[[#This Row],[TEAM]]&amp;Matrix[[#Headers],[24]],FDR[FDR]&amp;FDR[[#Headers],[24]],FDR[24],"",0,1)</f>
        <v>3</v>
      </c>
      <c r="AK540" cm="1">
        <f t="array" ref="AK540">_xlfn.XLOOKUP(Matrix[[#This Row],[TEAM]]&amp;Matrix[[#Headers],[25]],FDR[FDR]&amp;FDR[[#Headers],[25]],FDR[25],"",0,1)</f>
        <v>4</v>
      </c>
      <c r="AL540" cm="1">
        <f t="array" ref="AL540">_xlfn.XLOOKUP(Matrix[[#This Row],[TEAM]]&amp;Matrix[[#Headers],[26]],FDR[FDR]&amp;FDR[[#Headers],[26]],FDR[26],"",0,1)</f>
        <v>1</v>
      </c>
      <c r="AM540" cm="1">
        <f t="array" ref="AM540">_xlfn.XLOOKUP(Matrix[[#This Row],[TEAM]]&amp;Matrix[[#Headers],[27]],FDR[FDR]&amp;FDR[[#Headers],[27]],FDR[27],"",0,1)</f>
        <v>2</v>
      </c>
      <c r="AN540" cm="1">
        <f t="array" ref="AN540">_xlfn.XLOOKUP(Matrix[[#This Row],[TEAM]]&amp;Matrix[[#Headers],[28]],FDR[FDR]&amp;FDR[[#Headers],[28]],FDR[28],"",0,1)</f>
        <v>1</v>
      </c>
      <c r="AO540" cm="1">
        <f t="array" ref="AO540">_xlfn.XLOOKUP(Matrix[[#This Row],[TEAM]]&amp;Matrix[[#Headers],[29]],FDR[FDR]&amp;FDR[[#Headers],[29]],FDR[29],"",0,1)</f>
        <v>1</v>
      </c>
      <c r="AP540" cm="1">
        <f t="array" ref="AP540">_xlfn.XLOOKUP(Matrix[[#This Row],[TEAM]]&amp;Matrix[[#Headers],[30]],FDR[FDR]&amp;FDR[[#Headers],[30]],FDR[30],"",0,1)</f>
        <v>2</v>
      </c>
      <c r="AQ540" cm="1">
        <f t="array" ref="AQ540">_xlfn.XLOOKUP(Matrix[[#This Row],[TEAM]]&amp;Matrix[[#Headers],[31]],FDR[FDR]&amp;FDR[[#Headers],[31]],FDR[31],"",0,1)</f>
        <v>1</v>
      </c>
      <c r="AR540" cm="1">
        <f t="array" ref="AR540">_xlfn.XLOOKUP(Matrix[[#This Row],[TEAM]]&amp;Matrix[[#Headers],[32]],FDR[FDR]&amp;FDR[[#Headers],[32]],FDR[32],"",0,1)</f>
        <v>3</v>
      </c>
      <c r="AS540" cm="1">
        <f t="array" ref="AS540">_xlfn.XLOOKUP(Matrix[[#This Row],[TEAM]]&amp;Matrix[[#Headers],[33]],FDR[FDR]&amp;FDR[[#Headers],[33]],FDR[33],"",0,1)</f>
        <v>3</v>
      </c>
      <c r="AT540" cm="1">
        <f t="array" ref="AT540">_xlfn.XLOOKUP(Matrix[[#This Row],[TEAM]]&amp;Matrix[[#Headers],[34]],FDR[FDR]&amp;FDR[[#Headers],[34]],FDR[34],"",0,1)</f>
        <v>1</v>
      </c>
      <c r="AU540" cm="1">
        <f t="array" ref="AU540">_xlfn.XLOOKUP(Matrix[[#This Row],[TEAM]]&amp;Matrix[[#Headers],[35]],FDR[FDR]&amp;FDR[[#Headers],[35]],FDR[35],"",0,1)</f>
        <v>2</v>
      </c>
      <c r="AV540" cm="1">
        <f t="array" ref="AV540">_xlfn.XLOOKUP(Matrix[[#This Row],[TEAM]]&amp;Matrix[[#Headers],[36]],FDR[FDR]&amp;FDR[[#Headers],[36]],FDR[36],"",0,1)</f>
        <v>1</v>
      </c>
      <c r="AW540" cm="1">
        <f t="array" ref="AW540">_xlfn.XLOOKUP(Matrix[[#This Row],[TEAM]]&amp;Matrix[[#Headers],[37]],FDR[FDR]&amp;FDR[[#Headers],[37]],FDR[37],"",0,1)</f>
        <v>2</v>
      </c>
      <c r="AX540" cm="1">
        <f t="array" ref="AX540">_xlfn.XLOOKUP(Matrix[[#This Row],[TEAM]]&amp;Matrix[[#Headers],[38]],FDR[FDR]&amp;FDR[[#Headers],[38]],FDR[38],"",0,1)</f>
        <v>2</v>
      </c>
    </row>
    <row r="541" spans="1:50" ht="22" thickTop="1" thickBot="1">
      <c r="A541" s="50" t="str">
        <f>INDEX!S$4</f>
        <v>MID</v>
      </c>
      <c r="B541" s="70" t="s">
        <v>1345</v>
      </c>
      <c r="C541" s="40" t="s">
        <v>19</v>
      </c>
      <c r="D541" s="62">
        <v>117</v>
      </c>
      <c r="E541" s="60">
        <v>0</v>
      </c>
      <c r="F541" s="61">
        <v>218.7</v>
      </c>
      <c r="G541" s="63">
        <v>6.5</v>
      </c>
      <c r="H541" s="261">
        <f>IF(ISBLANK(I541),0,1)</f>
        <v>1</v>
      </c>
      <c r="I541" s="57" t="s">
        <v>891</v>
      </c>
      <c r="J541" s="58" t="s">
        <v>1981</v>
      </c>
      <c r="K541" s="59" t="s">
        <v>433</v>
      </c>
      <c r="L541" s="59" t="s">
        <v>190</v>
      </c>
      <c r="M541" cm="1">
        <f t="array" ref="M541">_xlfn.XLOOKUP(Matrix[[#This Row],[TEAM]]&amp;Matrix[[#Headers],[1]],FDR[FDR]&amp;FDR[[#Headers],[1]],FDR[1],"",0,1)</f>
        <v>1</v>
      </c>
      <c r="N541" cm="1">
        <f t="array" ref="N541">_xlfn.XLOOKUP(Matrix[[#This Row],[TEAM]]&amp;Matrix[[#Headers],[2]],FDR[FDR]&amp;FDR[[#Headers],[2]],FDR[2],"",0,1)</f>
        <v>4</v>
      </c>
      <c r="O541" cm="1">
        <f t="array" ref="O541">_xlfn.XLOOKUP(Matrix[[#This Row],[TEAM]]&amp;Matrix[[#Headers],[3]],FDR[FDR]&amp;FDR[[#Headers],[3]],FDR[3],"",0,1)</f>
        <v>1</v>
      </c>
      <c r="P541" cm="1">
        <f t="array" ref="P541">_xlfn.XLOOKUP(Matrix[[#This Row],[TEAM]]&amp;Matrix[[#Headers],[4]],FDR[FDR]&amp;FDR[[#Headers],[4]],FDR[4],"",0,1)</f>
        <v>2</v>
      </c>
      <c r="Q541" cm="1">
        <f t="array" ref="Q541">_xlfn.XLOOKUP(Matrix[[#This Row],[TEAM]]&amp;Matrix[[#Headers],[5]],FDR[FDR]&amp;FDR[[#Headers],[5]],FDR[5],"",0,1)</f>
        <v>2</v>
      </c>
      <c r="R541" cm="1">
        <f t="array" ref="R541">_xlfn.XLOOKUP(Matrix[[#This Row],[TEAM]]&amp;Matrix[[#Headers],[6]],FDR[FDR]&amp;FDR[[#Headers],[6]],FDR[6],"",0,1)</f>
        <v>1</v>
      </c>
      <c r="S541" cm="1">
        <f t="array" ref="S541">_xlfn.XLOOKUP(Matrix[[#This Row],[TEAM]]&amp;Matrix[[#Headers],[7]],FDR[FDR]&amp;FDR[[#Headers],[7]],FDR[7],"",0,1)</f>
        <v>1</v>
      </c>
      <c r="T541" cm="1">
        <f t="array" ref="T541">_xlfn.XLOOKUP(Matrix[[#This Row],[TEAM]]&amp;Matrix[[#Headers],[8]],FDR[FDR]&amp;FDR[[#Headers],[8]],FDR[8],"",0,1)</f>
        <v>2</v>
      </c>
      <c r="U541" cm="1">
        <f t="array" ref="U541">_xlfn.XLOOKUP(Matrix[[#This Row],[TEAM]]&amp;Matrix[[#Headers],[9]],FDR[FDR]&amp;FDR[[#Headers],[9]],FDR[9],"",0,1)</f>
        <v>2</v>
      </c>
      <c r="V541" cm="1">
        <f t="array" ref="V541">_xlfn.XLOOKUP(Matrix[[#This Row],[TEAM]]&amp;Matrix[[#Headers],[10]],FDR[FDR]&amp;FDR[[#Headers],[10]],FDR[10],"",0,1)</f>
        <v>3</v>
      </c>
      <c r="W541" cm="1">
        <f t="array" ref="W541">_xlfn.XLOOKUP(Matrix[[#This Row],[TEAM]]&amp;Matrix[[#Headers],[11]],FDR[FDR]&amp;FDR[[#Headers],[11]],FDR[11],"",0,1)</f>
        <v>3</v>
      </c>
      <c r="X541" cm="1">
        <f t="array" ref="X541">_xlfn.XLOOKUP(Matrix[[#This Row],[TEAM]]&amp;Matrix[[#Headers],[12]],FDR[FDR]&amp;FDR[[#Headers],[12]],FDR[12],"",0,1)</f>
        <v>4</v>
      </c>
      <c r="Y541" cm="1">
        <f t="array" ref="Y541">_xlfn.XLOOKUP(Matrix[[#This Row],[TEAM]]&amp;Matrix[[#Headers],[13]],FDR[FDR]&amp;FDR[[#Headers],[13]],FDR[13],"",0,1)</f>
        <v>1</v>
      </c>
      <c r="Z541" cm="1">
        <f t="array" ref="Z541">_xlfn.XLOOKUP(Matrix[[#This Row],[TEAM]]&amp;Matrix[[#Headers],[14]],FDR[FDR]&amp;FDR[[#Headers],[14]],FDR[14],"",0,1)</f>
        <v>3</v>
      </c>
      <c r="AA541" cm="1">
        <f t="array" ref="AA541">_xlfn.XLOOKUP(Matrix[[#This Row],[TEAM]]&amp;Matrix[[#Headers],[15]],FDR[FDR]&amp;FDR[[#Headers],[15]],FDR[15],"",0,1)</f>
        <v>1</v>
      </c>
      <c r="AB541" cm="1">
        <f t="array" ref="AB541">_xlfn.XLOOKUP(Matrix[[#This Row],[TEAM]]&amp;Matrix[[#Headers],[16]],FDR[FDR]&amp;FDR[[#Headers],[16]],FDR[16],"",0,1)</f>
        <v>2</v>
      </c>
      <c r="AC541" cm="1">
        <f t="array" ref="AC541">_xlfn.XLOOKUP(Matrix[[#This Row],[TEAM]]&amp;Matrix[[#Headers],[17]],FDR[FDR]&amp;FDR[[#Headers],[17]],FDR[17],"",0,1)</f>
        <v>3</v>
      </c>
      <c r="AD541" cm="1">
        <f t="array" ref="AD541">_xlfn.XLOOKUP(Matrix[[#This Row],[TEAM]]&amp;Matrix[[#Headers],[18]],FDR[FDR]&amp;FDR[[#Headers],[18]],FDR[18],"",0,1)</f>
        <v>2</v>
      </c>
      <c r="AE541" cm="1">
        <f t="array" ref="AE541">_xlfn.XLOOKUP(Matrix[[#This Row],[TEAM]]&amp;Matrix[[#Headers],[19]],FDR[FDR]&amp;FDR[[#Headers],[19]],FDR[19],"",0,1)</f>
        <v>2</v>
      </c>
      <c r="AF541" cm="1">
        <f t="array" ref="AF541">_xlfn.XLOOKUP(Matrix[[#This Row],[TEAM]]&amp;Matrix[[#Headers],[20]],FDR[FDR]&amp;FDR[[#Headers],[20]],FDR[20],"",0,1)</f>
        <v>1</v>
      </c>
      <c r="AG541" cm="1">
        <f t="array" ref="AG541">_xlfn.XLOOKUP(Matrix[[#This Row],[TEAM]]&amp;Matrix[[#Headers],[21]],FDR[FDR]&amp;FDR[[#Headers],[21]],FDR[21],"",0,1)</f>
        <v>2</v>
      </c>
      <c r="AH541" cm="1">
        <f t="array" ref="AH541">_xlfn.XLOOKUP(Matrix[[#This Row],[TEAM]]&amp;Matrix[[#Headers],[22]],FDR[FDR]&amp;FDR[[#Headers],[22]],FDR[22],"",0,1)</f>
        <v>1</v>
      </c>
      <c r="AI541" cm="1">
        <f t="array" ref="AI541">_xlfn.XLOOKUP(Matrix[[#This Row],[TEAM]]&amp;Matrix[[#Headers],[23]],FDR[FDR]&amp;FDR[[#Headers],[23]],FDR[23],"",0,1)</f>
        <v>1</v>
      </c>
      <c r="AJ541" cm="1">
        <f t="array" ref="AJ541">_xlfn.XLOOKUP(Matrix[[#This Row],[TEAM]]&amp;Matrix[[#Headers],[24]],FDR[FDR]&amp;FDR[[#Headers],[24]],FDR[24],"",0,1)</f>
        <v>3</v>
      </c>
      <c r="AK541" cm="1">
        <f t="array" ref="AK541">_xlfn.XLOOKUP(Matrix[[#This Row],[TEAM]]&amp;Matrix[[#Headers],[25]],FDR[FDR]&amp;FDR[[#Headers],[25]],FDR[25],"",0,1)</f>
        <v>4</v>
      </c>
      <c r="AL541" cm="1">
        <f t="array" ref="AL541">_xlfn.XLOOKUP(Matrix[[#This Row],[TEAM]]&amp;Matrix[[#Headers],[26]],FDR[FDR]&amp;FDR[[#Headers],[26]],FDR[26],"",0,1)</f>
        <v>2</v>
      </c>
      <c r="AM541" cm="1">
        <f t="array" ref="AM541">_xlfn.XLOOKUP(Matrix[[#This Row],[TEAM]]&amp;Matrix[[#Headers],[27]],FDR[FDR]&amp;FDR[[#Headers],[27]],FDR[27],"",0,1)</f>
        <v>3</v>
      </c>
      <c r="AN541" cm="1">
        <f t="array" ref="AN541">_xlfn.XLOOKUP(Matrix[[#This Row],[TEAM]]&amp;Matrix[[#Headers],[28]],FDR[FDR]&amp;FDR[[#Headers],[28]],FDR[28],"",0,1)</f>
        <v>2</v>
      </c>
      <c r="AO541" cm="1">
        <f t="array" ref="AO541">_xlfn.XLOOKUP(Matrix[[#This Row],[TEAM]]&amp;Matrix[[#Headers],[29]],FDR[FDR]&amp;FDR[[#Headers],[29]],FDR[29],"",0,1)</f>
        <v>1</v>
      </c>
      <c r="AP541" cm="1">
        <f t="array" ref="AP541">_xlfn.XLOOKUP(Matrix[[#This Row],[TEAM]]&amp;Matrix[[#Headers],[30]],FDR[FDR]&amp;FDR[[#Headers],[30]],FDR[30],"",0,1)</f>
        <v>4</v>
      </c>
      <c r="AQ541" cm="1">
        <f t="array" ref="AQ541">_xlfn.XLOOKUP(Matrix[[#This Row],[TEAM]]&amp;Matrix[[#Headers],[31]],FDR[FDR]&amp;FDR[[#Headers],[31]],FDR[31],"",0,1)</f>
        <v>1</v>
      </c>
      <c r="AR541" cm="1">
        <f t="array" ref="AR541">_xlfn.XLOOKUP(Matrix[[#This Row],[TEAM]]&amp;Matrix[[#Headers],[32]],FDR[FDR]&amp;FDR[[#Headers],[32]],FDR[32],"",0,1)</f>
        <v>1</v>
      </c>
      <c r="AS541" cm="1">
        <f t="array" ref="AS541">_xlfn.XLOOKUP(Matrix[[#This Row],[TEAM]]&amp;Matrix[[#Headers],[33]],FDR[FDR]&amp;FDR[[#Headers],[33]],FDR[33],"",0,1)</f>
        <v>1</v>
      </c>
      <c r="AT541" cm="1">
        <f t="array" ref="AT541">_xlfn.XLOOKUP(Matrix[[#This Row],[TEAM]]&amp;Matrix[[#Headers],[34]],FDR[FDR]&amp;FDR[[#Headers],[34]],FDR[34],"",0,1)</f>
        <v>1</v>
      </c>
      <c r="AU541" cm="1">
        <f t="array" ref="AU541">_xlfn.XLOOKUP(Matrix[[#This Row],[TEAM]]&amp;Matrix[[#Headers],[35]],FDR[FDR]&amp;FDR[[#Headers],[35]],FDR[35],"",0,1)</f>
        <v>3</v>
      </c>
      <c r="AV541" cm="1">
        <f t="array" ref="AV541">_xlfn.XLOOKUP(Matrix[[#This Row],[TEAM]]&amp;Matrix[[#Headers],[36]],FDR[FDR]&amp;FDR[[#Headers],[36]],FDR[36],"",0,1)</f>
        <v>1</v>
      </c>
      <c r="AW541" cm="1">
        <f t="array" ref="AW541">_xlfn.XLOOKUP(Matrix[[#This Row],[TEAM]]&amp;Matrix[[#Headers],[37]],FDR[FDR]&amp;FDR[[#Headers],[37]],FDR[37],"",0,1)</f>
        <v>4</v>
      </c>
      <c r="AX541" cm="1">
        <f t="array" ref="AX541">_xlfn.XLOOKUP(Matrix[[#This Row],[TEAM]]&amp;Matrix[[#Headers],[38]],FDR[FDR]&amp;FDR[[#Headers],[38]],FDR[38],"",0,1)</f>
        <v>1</v>
      </c>
    </row>
    <row r="542" spans="1:50" ht="22" thickTop="1" thickBot="1">
      <c r="A542" s="49" t="str">
        <f>INDEX!S$5</f>
        <v>FWD</v>
      </c>
      <c r="B542" s="70" t="s">
        <v>1342</v>
      </c>
      <c r="C542" s="40" t="s">
        <v>18</v>
      </c>
      <c r="D542" s="62">
        <v>121</v>
      </c>
      <c r="E542" s="60">
        <v>1E-3</v>
      </c>
      <c r="F542" s="61">
        <v>187.4</v>
      </c>
      <c r="G542" s="63">
        <v>6.5</v>
      </c>
      <c r="H542" s="261">
        <f>IF(ISBLANK(I542),0,1)</f>
        <v>1</v>
      </c>
      <c r="I542" s="57" t="s">
        <v>837</v>
      </c>
      <c r="J542" s="58" t="s">
        <v>1047</v>
      </c>
      <c r="K542" s="64" t="s">
        <v>568</v>
      </c>
      <c r="L542" s="64" t="s">
        <v>1048</v>
      </c>
      <c r="M542" cm="1">
        <f t="array" ref="M542">_xlfn.XLOOKUP(Matrix[[#This Row],[TEAM]]&amp;Matrix[[#Headers],[1]],FDR[FDR]&amp;FDR[[#Headers],[1]],FDR[1],"",0,1)</f>
        <v>1</v>
      </c>
      <c r="N542" cm="1">
        <f t="array" ref="N542">_xlfn.XLOOKUP(Matrix[[#This Row],[TEAM]]&amp;Matrix[[#Headers],[2]],FDR[FDR]&amp;FDR[[#Headers],[2]],FDR[2],"",0,1)</f>
        <v>2</v>
      </c>
      <c r="O542" cm="1">
        <f t="array" ref="O542">_xlfn.XLOOKUP(Matrix[[#This Row],[TEAM]]&amp;Matrix[[#Headers],[3]],FDR[FDR]&amp;FDR[[#Headers],[3]],FDR[3],"",0,1)</f>
        <v>1</v>
      </c>
      <c r="P542" cm="1">
        <f t="array" ref="P542">_xlfn.XLOOKUP(Matrix[[#This Row],[TEAM]]&amp;Matrix[[#Headers],[4]],FDR[FDR]&amp;FDR[[#Headers],[4]],FDR[4],"",0,1)</f>
        <v>2</v>
      </c>
      <c r="Q542" cm="1">
        <f t="array" ref="Q542">_xlfn.XLOOKUP(Matrix[[#This Row],[TEAM]]&amp;Matrix[[#Headers],[5]],FDR[FDR]&amp;FDR[[#Headers],[5]],FDR[5],"",0,1)</f>
        <v>3</v>
      </c>
      <c r="R542" cm="1">
        <f t="array" ref="R542">_xlfn.XLOOKUP(Matrix[[#This Row],[TEAM]]&amp;Matrix[[#Headers],[6]],FDR[FDR]&amp;FDR[[#Headers],[6]],FDR[6],"",0,1)</f>
        <v>1</v>
      </c>
      <c r="S542" cm="1">
        <f t="array" ref="S542">_xlfn.XLOOKUP(Matrix[[#This Row],[TEAM]]&amp;Matrix[[#Headers],[7]],FDR[FDR]&amp;FDR[[#Headers],[7]],FDR[7],"",0,1)</f>
        <v>3</v>
      </c>
      <c r="T542" cm="1">
        <f t="array" ref="T542">_xlfn.XLOOKUP(Matrix[[#This Row],[TEAM]]&amp;Matrix[[#Headers],[8]],FDR[FDR]&amp;FDR[[#Headers],[8]],FDR[8],"",0,1)</f>
        <v>2</v>
      </c>
      <c r="U542" cm="1">
        <f t="array" ref="U542">_xlfn.XLOOKUP(Matrix[[#This Row],[TEAM]]&amp;Matrix[[#Headers],[9]],FDR[FDR]&amp;FDR[[#Headers],[9]],FDR[9],"",0,1)</f>
        <v>1</v>
      </c>
      <c r="V542" cm="1">
        <f t="array" ref="V542">_xlfn.XLOOKUP(Matrix[[#This Row],[TEAM]]&amp;Matrix[[#Headers],[10]],FDR[FDR]&amp;FDR[[#Headers],[10]],FDR[10],"",0,1)</f>
        <v>3</v>
      </c>
      <c r="W542" cm="1">
        <f t="array" ref="W542">_xlfn.XLOOKUP(Matrix[[#This Row],[TEAM]]&amp;Matrix[[#Headers],[11]],FDR[FDR]&amp;FDR[[#Headers],[11]],FDR[11],"",0,1)</f>
        <v>1</v>
      </c>
      <c r="X542" cm="1">
        <f t="array" ref="X542">_xlfn.XLOOKUP(Matrix[[#This Row],[TEAM]]&amp;Matrix[[#Headers],[12]],FDR[FDR]&amp;FDR[[#Headers],[12]],FDR[12],"",0,1)</f>
        <v>1</v>
      </c>
      <c r="Y542" cm="1">
        <f t="array" ref="Y542">_xlfn.XLOOKUP(Matrix[[#This Row],[TEAM]]&amp;Matrix[[#Headers],[13]],FDR[FDR]&amp;FDR[[#Headers],[13]],FDR[13],"",0,1)</f>
        <v>3</v>
      </c>
      <c r="Z542" cm="1">
        <f t="array" ref="Z542">_xlfn.XLOOKUP(Matrix[[#This Row],[TEAM]]&amp;Matrix[[#Headers],[14]],FDR[FDR]&amp;FDR[[#Headers],[14]],FDR[14],"",0,1)</f>
        <v>1</v>
      </c>
      <c r="AA542" cm="1">
        <f t="array" ref="AA542">_xlfn.XLOOKUP(Matrix[[#This Row],[TEAM]]&amp;Matrix[[#Headers],[15]],FDR[FDR]&amp;FDR[[#Headers],[15]],FDR[15],"",0,1)</f>
        <v>2</v>
      </c>
      <c r="AB542" cm="1">
        <f t="array" ref="AB542">_xlfn.XLOOKUP(Matrix[[#This Row],[TEAM]]&amp;Matrix[[#Headers],[16]],FDR[FDR]&amp;FDR[[#Headers],[16]],FDR[16],"",0,1)</f>
        <v>1</v>
      </c>
      <c r="AC542" cm="1">
        <f t="array" ref="AC542">_xlfn.XLOOKUP(Matrix[[#This Row],[TEAM]]&amp;Matrix[[#Headers],[17]],FDR[FDR]&amp;FDR[[#Headers],[17]],FDR[17],"",0,1)</f>
        <v>3</v>
      </c>
      <c r="AD542" cm="1">
        <f t="array" ref="AD542">_xlfn.XLOOKUP(Matrix[[#This Row],[TEAM]]&amp;Matrix[[#Headers],[18]],FDR[FDR]&amp;FDR[[#Headers],[18]],FDR[18],"",0,1)</f>
        <v>2</v>
      </c>
      <c r="AE542" cm="1">
        <f t="array" ref="AE542">_xlfn.XLOOKUP(Matrix[[#This Row],[TEAM]]&amp;Matrix[[#Headers],[19]],FDR[FDR]&amp;FDR[[#Headers],[19]],FDR[19],"",0,1)</f>
        <v>1</v>
      </c>
      <c r="AF542" cm="1">
        <f t="array" ref="AF542">_xlfn.XLOOKUP(Matrix[[#This Row],[TEAM]]&amp;Matrix[[#Headers],[20]],FDR[FDR]&amp;FDR[[#Headers],[20]],FDR[20],"",0,1)</f>
        <v>4</v>
      </c>
      <c r="AG542" cm="1">
        <f t="array" ref="AG542">_xlfn.XLOOKUP(Matrix[[#This Row],[TEAM]]&amp;Matrix[[#Headers],[21]],FDR[FDR]&amp;FDR[[#Headers],[21]],FDR[21],"",0,1)</f>
        <v>2</v>
      </c>
      <c r="AH542" cm="1">
        <f t="array" ref="AH542">_xlfn.XLOOKUP(Matrix[[#This Row],[TEAM]]&amp;Matrix[[#Headers],[22]],FDR[FDR]&amp;FDR[[#Headers],[22]],FDR[22],"",0,1)</f>
        <v>1</v>
      </c>
      <c r="AI542" cm="1">
        <f t="array" ref="AI542">_xlfn.XLOOKUP(Matrix[[#This Row],[TEAM]]&amp;Matrix[[#Headers],[23]],FDR[FDR]&amp;FDR[[#Headers],[23]],FDR[23],"",0,1)</f>
        <v>2</v>
      </c>
      <c r="AJ542" cm="1">
        <f t="array" ref="AJ542">_xlfn.XLOOKUP(Matrix[[#This Row],[TEAM]]&amp;Matrix[[#Headers],[24]],FDR[FDR]&amp;FDR[[#Headers],[24]],FDR[24],"",0,1)</f>
        <v>1</v>
      </c>
      <c r="AK542" cm="1">
        <f t="array" ref="AK542">_xlfn.XLOOKUP(Matrix[[#This Row],[TEAM]]&amp;Matrix[[#Headers],[25]],FDR[FDR]&amp;FDR[[#Headers],[25]],FDR[25],"",0,1)</f>
        <v>1</v>
      </c>
      <c r="AL542" cm="1">
        <f t="array" ref="AL542">_xlfn.XLOOKUP(Matrix[[#This Row],[TEAM]]&amp;Matrix[[#Headers],[26]],FDR[FDR]&amp;FDR[[#Headers],[26]],FDR[26],"",0,1)</f>
        <v>1</v>
      </c>
      <c r="AM542" cm="1">
        <f t="array" ref="AM542">_xlfn.XLOOKUP(Matrix[[#This Row],[TEAM]]&amp;Matrix[[#Headers],[27]],FDR[FDR]&amp;FDR[[#Headers],[27]],FDR[27],"",0,1)</f>
        <v>1</v>
      </c>
      <c r="AN542" cm="1">
        <f t="array" ref="AN542">_xlfn.XLOOKUP(Matrix[[#This Row],[TEAM]]&amp;Matrix[[#Headers],[28]],FDR[FDR]&amp;FDR[[#Headers],[28]],FDR[28],"",0,1)</f>
        <v>4</v>
      </c>
      <c r="AO542" cm="1">
        <f t="array" ref="AO542">_xlfn.XLOOKUP(Matrix[[#This Row],[TEAM]]&amp;Matrix[[#Headers],[29]],FDR[FDR]&amp;FDR[[#Headers],[29]],FDR[29],"",0,1)</f>
        <v>3</v>
      </c>
      <c r="AP542" cm="1">
        <f t="array" ref="AP542">_xlfn.XLOOKUP(Matrix[[#This Row],[TEAM]]&amp;Matrix[[#Headers],[30]],FDR[FDR]&amp;FDR[[#Headers],[30]],FDR[30],"",0,1)</f>
        <v>2</v>
      </c>
      <c r="AQ542" cm="1">
        <f t="array" ref="AQ542">_xlfn.XLOOKUP(Matrix[[#This Row],[TEAM]]&amp;Matrix[[#Headers],[31]],FDR[FDR]&amp;FDR[[#Headers],[31]],FDR[31],"",0,1)</f>
        <v>2</v>
      </c>
      <c r="AR542" cm="1">
        <f t="array" ref="AR542">_xlfn.XLOOKUP(Matrix[[#This Row],[TEAM]]&amp;Matrix[[#Headers],[32]],FDR[FDR]&amp;FDR[[#Headers],[32]],FDR[32],"",0,1)</f>
        <v>3</v>
      </c>
      <c r="AS542" cm="1">
        <f t="array" ref="AS542">_xlfn.XLOOKUP(Matrix[[#This Row],[TEAM]]&amp;Matrix[[#Headers],[33]],FDR[FDR]&amp;FDR[[#Headers],[33]],FDR[33],"",0,1)</f>
        <v>2</v>
      </c>
      <c r="AT542" cm="1">
        <f t="array" ref="AT542">_xlfn.XLOOKUP(Matrix[[#This Row],[TEAM]]&amp;Matrix[[#Headers],[34]],FDR[FDR]&amp;FDR[[#Headers],[34]],FDR[34],"",0,1)</f>
        <v>2</v>
      </c>
      <c r="AU542" cm="1">
        <f t="array" ref="AU542">_xlfn.XLOOKUP(Matrix[[#This Row],[TEAM]]&amp;Matrix[[#Headers],[35]],FDR[FDR]&amp;FDR[[#Headers],[35]],FDR[35],"",0,1)</f>
        <v>1</v>
      </c>
      <c r="AV542" cm="1">
        <f t="array" ref="AV542">_xlfn.XLOOKUP(Matrix[[#This Row],[TEAM]]&amp;Matrix[[#Headers],[36]],FDR[FDR]&amp;FDR[[#Headers],[36]],FDR[36],"",0,1)</f>
        <v>4</v>
      </c>
      <c r="AW542" cm="1">
        <f t="array" ref="AW542">_xlfn.XLOOKUP(Matrix[[#This Row],[TEAM]]&amp;Matrix[[#Headers],[37]],FDR[FDR]&amp;FDR[[#Headers],[37]],FDR[37],"",0,1)</f>
        <v>2</v>
      </c>
      <c r="AX542" cm="1">
        <f t="array" ref="AX542">_xlfn.XLOOKUP(Matrix[[#This Row],[TEAM]]&amp;Matrix[[#Headers],[38]],FDR[FDR]&amp;FDR[[#Headers],[38]],FDR[38],"",0,1)</f>
        <v>1</v>
      </c>
    </row>
    <row r="543" spans="1:50" ht="22" thickTop="1" thickBot="1">
      <c r="A543" s="49" t="str">
        <f>INDEX!S$5</f>
        <v>FWD</v>
      </c>
      <c r="B543" s="70" t="s">
        <v>1344</v>
      </c>
      <c r="C543" s="40" t="s">
        <v>20</v>
      </c>
      <c r="D543" s="62">
        <v>42</v>
      </c>
      <c r="E543" s="60">
        <v>0</v>
      </c>
      <c r="F543" s="61">
        <v>52.6</v>
      </c>
      <c r="G543" s="63">
        <v>6.5</v>
      </c>
      <c r="H543" s="261">
        <f>IF(ISBLANK(I543),0,1)</f>
        <v>1</v>
      </c>
      <c r="I543" s="57" t="s">
        <v>891</v>
      </c>
      <c r="J543" s="58" t="s">
        <v>990</v>
      </c>
      <c r="K543" s="64" t="s">
        <v>934</v>
      </c>
      <c r="L543" s="64" t="s">
        <v>935</v>
      </c>
      <c r="M543" cm="1">
        <f t="array" ref="M543">_xlfn.XLOOKUP(Matrix[[#This Row],[TEAM]]&amp;Matrix[[#Headers],[1]],FDR[FDR]&amp;FDR[[#Headers],[1]],FDR[1],"",0,1)</f>
        <v>3</v>
      </c>
      <c r="N543" cm="1">
        <f t="array" ref="N543">_xlfn.XLOOKUP(Matrix[[#This Row],[TEAM]]&amp;Matrix[[#Headers],[2]],FDR[FDR]&amp;FDR[[#Headers],[2]],FDR[2],"",0,1)</f>
        <v>1</v>
      </c>
      <c r="O543" cm="1">
        <f t="array" ref="O543">_xlfn.XLOOKUP(Matrix[[#This Row],[TEAM]]&amp;Matrix[[#Headers],[3]],FDR[FDR]&amp;FDR[[#Headers],[3]],FDR[3],"",0,1)</f>
        <v>4</v>
      </c>
      <c r="P543" cm="1">
        <f t="array" ref="P543">_xlfn.XLOOKUP(Matrix[[#This Row],[TEAM]]&amp;Matrix[[#Headers],[4]],FDR[FDR]&amp;FDR[[#Headers],[4]],FDR[4],"",0,1)</f>
        <v>1</v>
      </c>
      <c r="Q543" cm="1">
        <f t="array" ref="Q543">_xlfn.XLOOKUP(Matrix[[#This Row],[TEAM]]&amp;Matrix[[#Headers],[5]],FDR[FDR]&amp;FDR[[#Headers],[5]],FDR[5],"",0,1)</f>
        <v>3</v>
      </c>
      <c r="R543" cm="1">
        <f t="array" ref="R543">_xlfn.XLOOKUP(Matrix[[#This Row],[TEAM]]&amp;Matrix[[#Headers],[6]],FDR[FDR]&amp;FDR[[#Headers],[6]],FDR[6],"",0,1)</f>
        <v>3</v>
      </c>
      <c r="S543" cm="1">
        <f t="array" ref="S543">_xlfn.XLOOKUP(Matrix[[#This Row],[TEAM]]&amp;Matrix[[#Headers],[7]],FDR[FDR]&amp;FDR[[#Headers],[7]],FDR[7],"",0,1)</f>
        <v>1</v>
      </c>
      <c r="T543" cm="1">
        <f t="array" ref="T543">_xlfn.XLOOKUP(Matrix[[#This Row],[TEAM]]&amp;Matrix[[#Headers],[8]],FDR[FDR]&amp;FDR[[#Headers],[8]],FDR[8],"",0,1)</f>
        <v>2</v>
      </c>
      <c r="U543" cm="1">
        <f t="array" ref="U543">_xlfn.XLOOKUP(Matrix[[#This Row],[TEAM]]&amp;Matrix[[#Headers],[9]],FDR[FDR]&amp;FDR[[#Headers],[9]],FDR[9],"",0,1)</f>
        <v>1</v>
      </c>
      <c r="V543" cm="1">
        <f t="array" ref="V543">_xlfn.XLOOKUP(Matrix[[#This Row],[TEAM]]&amp;Matrix[[#Headers],[10]],FDR[FDR]&amp;FDR[[#Headers],[10]],FDR[10],"",0,1)</f>
        <v>1</v>
      </c>
      <c r="W543" cm="1">
        <f t="array" ref="W543">_xlfn.XLOOKUP(Matrix[[#This Row],[TEAM]]&amp;Matrix[[#Headers],[11]],FDR[FDR]&amp;FDR[[#Headers],[11]],FDR[11],"",0,1)</f>
        <v>1</v>
      </c>
      <c r="X543" cm="1">
        <f t="array" ref="X543">_xlfn.XLOOKUP(Matrix[[#This Row],[TEAM]]&amp;Matrix[[#Headers],[12]],FDR[FDR]&amp;FDR[[#Headers],[12]],FDR[12],"",0,1)</f>
        <v>2</v>
      </c>
      <c r="Y543" cm="1">
        <f t="array" ref="Y543">_xlfn.XLOOKUP(Matrix[[#This Row],[TEAM]]&amp;Matrix[[#Headers],[13]],FDR[FDR]&amp;FDR[[#Headers],[13]],FDR[13],"",0,1)</f>
        <v>3</v>
      </c>
      <c r="Z543" cm="1">
        <f t="array" ref="Z543">_xlfn.XLOOKUP(Matrix[[#This Row],[TEAM]]&amp;Matrix[[#Headers],[14]],FDR[FDR]&amp;FDR[[#Headers],[14]],FDR[14],"",0,1)</f>
        <v>1</v>
      </c>
      <c r="AA543" cm="1">
        <f t="array" ref="AA543">_xlfn.XLOOKUP(Matrix[[#This Row],[TEAM]]&amp;Matrix[[#Headers],[15]],FDR[FDR]&amp;FDR[[#Headers],[15]],FDR[15],"",0,1)</f>
        <v>3</v>
      </c>
      <c r="AB543" cm="1">
        <f t="array" ref="AB543">_xlfn.XLOOKUP(Matrix[[#This Row],[TEAM]]&amp;Matrix[[#Headers],[16]],FDR[FDR]&amp;FDR[[#Headers],[16]],FDR[16],"",0,1)</f>
        <v>1</v>
      </c>
      <c r="AC543" cm="1">
        <f t="array" ref="AC543">_xlfn.XLOOKUP(Matrix[[#This Row],[TEAM]]&amp;Matrix[[#Headers],[17]],FDR[FDR]&amp;FDR[[#Headers],[17]],FDR[17],"",0,1)</f>
        <v>2</v>
      </c>
      <c r="AD543" cm="1">
        <f t="array" ref="AD543">_xlfn.XLOOKUP(Matrix[[#This Row],[TEAM]]&amp;Matrix[[#Headers],[18]],FDR[FDR]&amp;FDR[[#Headers],[18]],FDR[18],"",0,1)</f>
        <v>1</v>
      </c>
      <c r="AE543" cm="1">
        <f t="array" ref="AE543">_xlfn.XLOOKUP(Matrix[[#This Row],[TEAM]]&amp;Matrix[[#Headers],[19]],FDR[FDR]&amp;FDR[[#Headers],[19]],FDR[19],"",0,1)</f>
        <v>2</v>
      </c>
      <c r="AF543" cm="1">
        <f t="array" ref="AF543">_xlfn.XLOOKUP(Matrix[[#This Row],[TEAM]]&amp;Matrix[[#Headers],[20]],FDR[FDR]&amp;FDR[[#Headers],[20]],FDR[20],"",0,1)</f>
        <v>2</v>
      </c>
      <c r="AG543" cm="1">
        <f t="array" ref="AG543">_xlfn.XLOOKUP(Matrix[[#This Row],[TEAM]]&amp;Matrix[[#Headers],[21]],FDR[FDR]&amp;FDR[[#Headers],[21]],FDR[21],"",0,1)</f>
        <v>3</v>
      </c>
      <c r="AH543" cm="1">
        <f t="array" ref="AH543">_xlfn.XLOOKUP(Matrix[[#This Row],[TEAM]]&amp;Matrix[[#Headers],[22]],FDR[FDR]&amp;FDR[[#Headers],[22]],FDR[22],"",0,1)</f>
        <v>2</v>
      </c>
      <c r="AI543" cm="1">
        <f t="array" ref="AI543">_xlfn.XLOOKUP(Matrix[[#This Row],[TEAM]]&amp;Matrix[[#Headers],[23]],FDR[FDR]&amp;FDR[[#Headers],[23]],FDR[23],"",0,1)</f>
        <v>2</v>
      </c>
      <c r="AJ543" cm="1">
        <f t="array" ref="AJ543">_xlfn.XLOOKUP(Matrix[[#This Row],[TEAM]]&amp;Matrix[[#Headers],[24]],FDR[FDR]&amp;FDR[[#Headers],[24]],FDR[24],"",0,1)</f>
        <v>1</v>
      </c>
      <c r="AK543" cm="1">
        <f t="array" ref="AK543">_xlfn.XLOOKUP(Matrix[[#This Row],[TEAM]]&amp;Matrix[[#Headers],[25]],FDR[FDR]&amp;FDR[[#Headers],[25]],FDR[25],"",0,1)</f>
        <v>1</v>
      </c>
      <c r="AL543" cm="1">
        <f t="array" ref="AL543">_xlfn.XLOOKUP(Matrix[[#This Row],[TEAM]]&amp;Matrix[[#Headers],[26]],FDR[FDR]&amp;FDR[[#Headers],[26]],FDR[26],"",0,1)</f>
        <v>2</v>
      </c>
      <c r="AM543" cm="1">
        <f t="array" ref="AM543">_xlfn.XLOOKUP(Matrix[[#This Row],[TEAM]]&amp;Matrix[[#Headers],[27]],FDR[FDR]&amp;FDR[[#Headers],[27]],FDR[27],"",0,1)</f>
        <v>3</v>
      </c>
      <c r="AN543" cm="1">
        <f t="array" ref="AN543">_xlfn.XLOOKUP(Matrix[[#This Row],[TEAM]]&amp;Matrix[[#Headers],[28]],FDR[FDR]&amp;FDR[[#Headers],[28]],FDR[28],"",0,1)</f>
        <v>2</v>
      </c>
      <c r="AO543" cm="1">
        <f t="array" ref="AO543">_xlfn.XLOOKUP(Matrix[[#This Row],[TEAM]]&amp;Matrix[[#Headers],[29]],FDR[FDR]&amp;FDR[[#Headers],[29]],FDR[29],"",0,1)</f>
        <v>2</v>
      </c>
      <c r="AP543" cm="1">
        <f t="array" ref="AP543">_xlfn.XLOOKUP(Matrix[[#This Row],[TEAM]]&amp;Matrix[[#Headers],[30]],FDR[FDR]&amp;FDR[[#Headers],[30]],FDR[30],"",0,1)</f>
        <v>1</v>
      </c>
      <c r="AQ543" cm="1">
        <f t="array" ref="AQ543">_xlfn.XLOOKUP(Matrix[[#This Row],[TEAM]]&amp;Matrix[[#Headers],[31]],FDR[FDR]&amp;FDR[[#Headers],[31]],FDR[31],"",0,1)</f>
        <v>1</v>
      </c>
      <c r="AR543" cm="1">
        <f t="array" ref="AR543">_xlfn.XLOOKUP(Matrix[[#This Row],[TEAM]]&amp;Matrix[[#Headers],[32]],FDR[FDR]&amp;FDR[[#Headers],[32]],FDR[32],"",0,1)</f>
        <v>1</v>
      </c>
      <c r="AS543" cm="1">
        <f t="array" ref="AS543">_xlfn.XLOOKUP(Matrix[[#This Row],[TEAM]]&amp;Matrix[[#Headers],[33]],FDR[FDR]&amp;FDR[[#Headers],[33]],FDR[33],"",0,1)</f>
        <v>3</v>
      </c>
      <c r="AT543" cm="1">
        <f t="array" ref="AT543">_xlfn.XLOOKUP(Matrix[[#This Row],[TEAM]]&amp;Matrix[[#Headers],[34]],FDR[FDR]&amp;FDR[[#Headers],[34]],FDR[34],"",0,1)</f>
        <v>2</v>
      </c>
      <c r="AU543" cm="1">
        <f t="array" ref="AU543">_xlfn.XLOOKUP(Matrix[[#This Row],[TEAM]]&amp;Matrix[[#Headers],[35]],FDR[FDR]&amp;FDR[[#Headers],[35]],FDR[35],"",0,1)</f>
        <v>1</v>
      </c>
      <c r="AV543" cm="1">
        <f t="array" ref="AV543">_xlfn.XLOOKUP(Matrix[[#This Row],[TEAM]]&amp;Matrix[[#Headers],[36]],FDR[FDR]&amp;FDR[[#Headers],[36]],FDR[36],"",0,1)</f>
        <v>2</v>
      </c>
      <c r="AW543" cm="1">
        <f t="array" ref="AW543">_xlfn.XLOOKUP(Matrix[[#This Row],[TEAM]]&amp;Matrix[[#Headers],[37]],FDR[FDR]&amp;FDR[[#Headers],[37]],FDR[37],"",0,1)</f>
        <v>1</v>
      </c>
      <c r="AX543" cm="1">
        <f t="array" ref="AX543">_xlfn.XLOOKUP(Matrix[[#This Row],[TEAM]]&amp;Matrix[[#Headers],[38]],FDR[FDR]&amp;FDR[[#Headers],[38]],FDR[38],"",0,1)</f>
        <v>2</v>
      </c>
    </row>
    <row r="544" spans="1:50" ht="22" thickTop="1" thickBot="1">
      <c r="A544" s="50" t="str">
        <f>INDEX!S$4</f>
        <v>MID</v>
      </c>
      <c r="B544" s="70" t="s">
        <v>1333</v>
      </c>
      <c r="C544" s="40" t="s">
        <v>29</v>
      </c>
      <c r="D544" s="62">
        <v>3</v>
      </c>
      <c r="E544" s="60">
        <v>0.01</v>
      </c>
      <c r="F544" s="61">
        <v>3</v>
      </c>
      <c r="G544" s="63">
        <v>6.4</v>
      </c>
      <c r="H544" s="261">
        <f>IF(ISBLANK(I544),0,1)</f>
        <v>1</v>
      </c>
      <c r="I544" s="57" t="s">
        <v>994</v>
      </c>
      <c r="J544" s="58">
        <v>0.75</v>
      </c>
      <c r="K544" s="59" t="s">
        <v>413</v>
      </c>
      <c r="L544" s="59" t="s">
        <v>1979</v>
      </c>
      <c r="M544" cm="1">
        <f t="array" ref="M544">_xlfn.XLOOKUP(Matrix[[#This Row],[TEAM]]&amp;Matrix[[#Headers],[1]],FDR[FDR]&amp;FDR[[#Headers],[1]],FDR[1],"",0,1)</f>
        <v>1</v>
      </c>
      <c r="N544" cm="1">
        <f t="array" ref="N544">_xlfn.XLOOKUP(Matrix[[#This Row],[TEAM]]&amp;Matrix[[#Headers],[2]],FDR[FDR]&amp;FDR[[#Headers],[2]],FDR[2],"",0,1)</f>
        <v>2</v>
      </c>
      <c r="O544" cm="1">
        <f t="array" ref="O544">_xlfn.XLOOKUP(Matrix[[#This Row],[TEAM]]&amp;Matrix[[#Headers],[3]],FDR[FDR]&amp;FDR[[#Headers],[3]],FDR[3],"",0,1)</f>
        <v>2</v>
      </c>
      <c r="P544" cm="1">
        <f t="array" ref="P544">_xlfn.XLOOKUP(Matrix[[#This Row],[TEAM]]&amp;Matrix[[#Headers],[4]],FDR[FDR]&amp;FDR[[#Headers],[4]],FDR[4],"",0,1)</f>
        <v>2</v>
      </c>
      <c r="Q544" cm="1">
        <f t="array" ref="Q544">_xlfn.XLOOKUP(Matrix[[#This Row],[TEAM]]&amp;Matrix[[#Headers],[5]],FDR[FDR]&amp;FDR[[#Headers],[5]],FDR[5],"",0,1)</f>
        <v>4</v>
      </c>
      <c r="R544" cm="1">
        <f t="array" ref="R544">_xlfn.XLOOKUP(Matrix[[#This Row],[TEAM]]&amp;Matrix[[#Headers],[6]],FDR[FDR]&amp;FDR[[#Headers],[6]],FDR[6],"",0,1)</f>
        <v>1</v>
      </c>
      <c r="S544" cm="1">
        <f t="array" ref="S544">_xlfn.XLOOKUP(Matrix[[#This Row],[TEAM]]&amp;Matrix[[#Headers],[7]],FDR[FDR]&amp;FDR[[#Headers],[7]],FDR[7],"",0,1)</f>
        <v>2</v>
      </c>
      <c r="T544" cm="1">
        <f t="array" ref="T544">_xlfn.XLOOKUP(Matrix[[#This Row],[TEAM]]&amp;Matrix[[#Headers],[8]],FDR[FDR]&amp;FDR[[#Headers],[8]],FDR[8],"",0,1)</f>
        <v>1</v>
      </c>
      <c r="U544" cm="1">
        <f t="array" ref="U544">_xlfn.XLOOKUP(Matrix[[#This Row],[TEAM]]&amp;Matrix[[#Headers],[9]],FDR[FDR]&amp;FDR[[#Headers],[9]],FDR[9],"",0,1)</f>
        <v>3</v>
      </c>
      <c r="V544" cm="1">
        <f t="array" ref="V544">_xlfn.XLOOKUP(Matrix[[#This Row],[TEAM]]&amp;Matrix[[#Headers],[10]],FDR[FDR]&amp;FDR[[#Headers],[10]],FDR[10],"",0,1)</f>
        <v>1</v>
      </c>
      <c r="W544" cm="1">
        <f t="array" ref="W544">_xlfn.XLOOKUP(Matrix[[#This Row],[TEAM]]&amp;Matrix[[#Headers],[11]],FDR[FDR]&amp;FDR[[#Headers],[11]],FDR[11],"",0,1)</f>
        <v>3</v>
      </c>
      <c r="X544" cm="1">
        <f t="array" ref="X544">_xlfn.XLOOKUP(Matrix[[#This Row],[TEAM]]&amp;Matrix[[#Headers],[12]],FDR[FDR]&amp;FDR[[#Headers],[12]],FDR[12],"",0,1)</f>
        <v>3</v>
      </c>
      <c r="Y544" cm="1">
        <f t="array" ref="Y544">_xlfn.XLOOKUP(Matrix[[#This Row],[TEAM]]&amp;Matrix[[#Headers],[13]],FDR[FDR]&amp;FDR[[#Headers],[13]],FDR[13],"",0,1)</f>
        <v>1</v>
      </c>
      <c r="Z544" cm="1">
        <f t="array" ref="Z544">_xlfn.XLOOKUP(Matrix[[#This Row],[TEAM]]&amp;Matrix[[#Headers],[14]],FDR[FDR]&amp;FDR[[#Headers],[14]],FDR[14],"",0,1)</f>
        <v>2</v>
      </c>
      <c r="AA544" cm="1">
        <f t="array" ref="AA544">_xlfn.XLOOKUP(Matrix[[#This Row],[TEAM]]&amp;Matrix[[#Headers],[15]],FDR[FDR]&amp;FDR[[#Headers],[15]],FDR[15],"",0,1)</f>
        <v>1</v>
      </c>
      <c r="AB544" cm="1">
        <f t="array" ref="AB544">_xlfn.XLOOKUP(Matrix[[#This Row],[TEAM]]&amp;Matrix[[#Headers],[16]],FDR[FDR]&amp;FDR[[#Headers],[16]],FDR[16],"",0,1)</f>
        <v>2</v>
      </c>
      <c r="AC544" cm="1">
        <f t="array" ref="AC544">_xlfn.XLOOKUP(Matrix[[#This Row],[TEAM]]&amp;Matrix[[#Headers],[17]],FDR[FDR]&amp;FDR[[#Headers],[17]],FDR[17],"",0,1)</f>
        <v>1</v>
      </c>
      <c r="AD544" cm="1">
        <f t="array" ref="AD544">_xlfn.XLOOKUP(Matrix[[#This Row],[TEAM]]&amp;Matrix[[#Headers],[18]],FDR[FDR]&amp;FDR[[#Headers],[18]],FDR[18],"",0,1)</f>
        <v>2</v>
      </c>
      <c r="AE544" cm="1">
        <f t="array" ref="AE544">_xlfn.XLOOKUP(Matrix[[#This Row],[TEAM]]&amp;Matrix[[#Headers],[19]],FDR[FDR]&amp;FDR[[#Headers],[19]],FDR[19],"",0,1)</f>
        <v>1</v>
      </c>
      <c r="AF544" cm="1">
        <f t="array" ref="AF544">_xlfn.XLOOKUP(Matrix[[#This Row],[TEAM]]&amp;Matrix[[#Headers],[20]],FDR[FDR]&amp;FDR[[#Headers],[20]],FDR[20],"",0,1)</f>
        <v>2</v>
      </c>
      <c r="AG544" cm="1">
        <f t="array" ref="AG544">_xlfn.XLOOKUP(Matrix[[#This Row],[TEAM]]&amp;Matrix[[#Headers],[21]],FDR[FDR]&amp;FDR[[#Headers],[21]],FDR[21],"",0,1)</f>
        <v>1</v>
      </c>
      <c r="AH544" cm="1">
        <f t="array" ref="AH544">_xlfn.XLOOKUP(Matrix[[#This Row],[TEAM]]&amp;Matrix[[#Headers],[22]],FDR[FDR]&amp;FDR[[#Headers],[22]],FDR[22],"",0,1)</f>
        <v>3</v>
      </c>
      <c r="AI544" cm="1">
        <f t="array" ref="AI544">_xlfn.XLOOKUP(Matrix[[#This Row],[TEAM]]&amp;Matrix[[#Headers],[23]],FDR[FDR]&amp;FDR[[#Headers],[23]],FDR[23],"",0,1)</f>
        <v>1</v>
      </c>
      <c r="AJ544" cm="1">
        <f t="array" ref="AJ544">_xlfn.XLOOKUP(Matrix[[#This Row],[TEAM]]&amp;Matrix[[#Headers],[24]],FDR[FDR]&amp;FDR[[#Headers],[24]],FDR[24],"",0,1)</f>
        <v>3</v>
      </c>
      <c r="AK544" cm="1">
        <f t="array" ref="AK544">_xlfn.XLOOKUP(Matrix[[#This Row],[TEAM]]&amp;Matrix[[#Headers],[25]],FDR[FDR]&amp;FDR[[#Headers],[25]],FDR[25],"",0,1)</f>
        <v>4</v>
      </c>
      <c r="AL544" cm="1">
        <f t="array" ref="AL544">_xlfn.XLOOKUP(Matrix[[#This Row],[TEAM]]&amp;Matrix[[#Headers],[26]],FDR[FDR]&amp;FDR[[#Headers],[26]],FDR[26],"",0,1)</f>
        <v>1</v>
      </c>
      <c r="AM544" cm="1">
        <f t="array" ref="AM544">_xlfn.XLOOKUP(Matrix[[#This Row],[TEAM]]&amp;Matrix[[#Headers],[27]],FDR[FDR]&amp;FDR[[#Headers],[27]],FDR[27],"",0,1)</f>
        <v>2</v>
      </c>
      <c r="AN544" cm="1">
        <f t="array" ref="AN544">_xlfn.XLOOKUP(Matrix[[#This Row],[TEAM]]&amp;Matrix[[#Headers],[28]],FDR[FDR]&amp;FDR[[#Headers],[28]],FDR[28],"",0,1)</f>
        <v>1</v>
      </c>
      <c r="AO544" cm="1">
        <f t="array" ref="AO544">_xlfn.XLOOKUP(Matrix[[#This Row],[TEAM]]&amp;Matrix[[#Headers],[29]],FDR[FDR]&amp;FDR[[#Headers],[29]],FDR[29],"",0,1)</f>
        <v>1</v>
      </c>
      <c r="AP544" cm="1">
        <f t="array" ref="AP544">_xlfn.XLOOKUP(Matrix[[#This Row],[TEAM]]&amp;Matrix[[#Headers],[30]],FDR[FDR]&amp;FDR[[#Headers],[30]],FDR[30],"",0,1)</f>
        <v>2</v>
      </c>
      <c r="AQ544" cm="1">
        <f t="array" ref="AQ544">_xlfn.XLOOKUP(Matrix[[#This Row],[TEAM]]&amp;Matrix[[#Headers],[31]],FDR[FDR]&amp;FDR[[#Headers],[31]],FDR[31],"",0,1)</f>
        <v>1</v>
      </c>
      <c r="AR544" cm="1">
        <f t="array" ref="AR544">_xlfn.XLOOKUP(Matrix[[#This Row],[TEAM]]&amp;Matrix[[#Headers],[32]],FDR[FDR]&amp;FDR[[#Headers],[32]],FDR[32],"",0,1)</f>
        <v>3</v>
      </c>
      <c r="AS544" cm="1">
        <f t="array" ref="AS544">_xlfn.XLOOKUP(Matrix[[#This Row],[TEAM]]&amp;Matrix[[#Headers],[33]],FDR[FDR]&amp;FDR[[#Headers],[33]],FDR[33],"",0,1)</f>
        <v>3</v>
      </c>
      <c r="AT544" cm="1">
        <f t="array" ref="AT544">_xlfn.XLOOKUP(Matrix[[#This Row],[TEAM]]&amp;Matrix[[#Headers],[34]],FDR[FDR]&amp;FDR[[#Headers],[34]],FDR[34],"",0,1)</f>
        <v>1</v>
      </c>
      <c r="AU544" cm="1">
        <f t="array" ref="AU544">_xlfn.XLOOKUP(Matrix[[#This Row],[TEAM]]&amp;Matrix[[#Headers],[35]],FDR[FDR]&amp;FDR[[#Headers],[35]],FDR[35],"",0,1)</f>
        <v>2</v>
      </c>
      <c r="AV544" cm="1">
        <f t="array" ref="AV544">_xlfn.XLOOKUP(Matrix[[#This Row],[TEAM]]&amp;Matrix[[#Headers],[36]],FDR[FDR]&amp;FDR[[#Headers],[36]],FDR[36],"",0,1)</f>
        <v>1</v>
      </c>
      <c r="AW544" cm="1">
        <f t="array" ref="AW544">_xlfn.XLOOKUP(Matrix[[#This Row],[TEAM]]&amp;Matrix[[#Headers],[37]],FDR[FDR]&amp;FDR[[#Headers],[37]],FDR[37],"",0,1)</f>
        <v>2</v>
      </c>
      <c r="AX544" cm="1">
        <f t="array" ref="AX544">_xlfn.XLOOKUP(Matrix[[#This Row],[TEAM]]&amp;Matrix[[#Headers],[38]],FDR[FDR]&amp;FDR[[#Headers],[38]],FDR[38],"",0,1)</f>
        <v>2</v>
      </c>
    </row>
    <row r="545" spans="1:50" ht="22" thickTop="1" thickBot="1">
      <c r="A545" s="51" t="s">
        <v>657</v>
      </c>
      <c r="B545" s="70" t="s">
        <v>1348</v>
      </c>
      <c r="C545" s="40" t="s">
        <v>29</v>
      </c>
      <c r="D545" s="62">
        <v>125</v>
      </c>
      <c r="E545" s="60">
        <v>0.219</v>
      </c>
      <c r="F545" s="61">
        <v>191</v>
      </c>
      <c r="G545" s="63">
        <v>6.1</v>
      </c>
      <c r="H545" s="261">
        <f>IF(ISBLANK(I545),0,1)</f>
        <v>1</v>
      </c>
      <c r="I545" s="57" t="s">
        <v>988</v>
      </c>
      <c r="J545" s="58">
        <v>0.75</v>
      </c>
      <c r="K545" s="65" t="s">
        <v>516</v>
      </c>
      <c r="L545" s="65" t="s">
        <v>341</v>
      </c>
      <c r="M545" cm="1">
        <f t="array" ref="M545">_xlfn.XLOOKUP(Matrix[[#This Row],[TEAM]]&amp;Matrix[[#Headers],[1]],FDR[FDR]&amp;FDR[[#Headers],[1]],FDR[1],"",0,1)</f>
        <v>1</v>
      </c>
      <c r="N545" cm="1">
        <f t="array" ref="N545">_xlfn.XLOOKUP(Matrix[[#This Row],[TEAM]]&amp;Matrix[[#Headers],[2]],FDR[FDR]&amp;FDR[[#Headers],[2]],FDR[2],"",0,1)</f>
        <v>2</v>
      </c>
      <c r="O545" cm="1">
        <f t="array" ref="O545">_xlfn.XLOOKUP(Matrix[[#This Row],[TEAM]]&amp;Matrix[[#Headers],[3]],FDR[FDR]&amp;FDR[[#Headers],[3]],FDR[3],"",0,1)</f>
        <v>2</v>
      </c>
      <c r="P545" cm="1">
        <f t="array" ref="P545">_xlfn.XLOOKUP(Matrix[[#This Row],[TEAM]]&amp;Matrix[[#Headers],[4]],FDR[FDR]&amp;FDR[[#Headers],[4]],FDR[4],"",0,1)</f>
        <v>2</v>
      </c>
      <c r="Q545" cm="1">
        <f t="array" ref="Q545">_xlfn.XLOOKUP(Matrix[[#This Row],[TEAM]]&amp;Matrix[[#Headers],[5]],FDR[FDR]&amp;FDR[[#Headers],[5]],FDR[5],"",0,1)</f>
        <v>4</v>
      </c>
      <c r="R545" cm="1">
        <f t="array" ref="R545">_xlfn.XLOOKUP(Matrix[[#This Row],[TEAM]]&amp;Matrix[[#Headers],[6]],FDR[FDR]&amp;FDR[[#Headers],[6]],FDR[6],"",0,1)</f>
        <v>1</v>
      </c>
      <c r="S545" cm="1">
        <f t="array" ref="S545">_xlfn.XLOOKUP(Matrix[[#This Row],[TEAM]]&amp;Matrix[[#Headers],[7]],FDR[FDR]&amp;FDR[[#Headers],[7]],FDR[7],"",0,1)</f>
        <v>2</v>
      </c>
      <c r="T545" cm="1">
        <f t="array" ref="T545">_xlfn.XLOOKUP(Matrix[[#This Row],[TEAM]]&amp;Matrix[[#Headers],[8]],FDR[FDR]&amp;FDR[[#Headers],[8]],FDR[8],"",0,1)</f>
        <v>1</v>
      </c>
      <c r="U545" cm="1">
        <f t="array" ref="U545">_xlfn.XLOOKUP(Matrix[[#This Row],[TEAM]]&amp;Matrix[[#Headers],[9]],FDR[FDR]&amp;FDR[[#Headers],[9]],FDR[9],"",0,1)</f>
        <v>3</v>
      </c>
      <c r="V545" cm="1">
        <f t="array" ref="V545">_xlfn.XLOOKUP(Matrix[[#This Row],[TEAM]]&amp;Matrix[[#Headers],[10]],FDR[FDR]&amp;FDR[[#Headers],[10]],FDR[10],"",0,1)</f>
        <v>1</v>
      </c>
      <c r="W545" cm="1">
        <f t="array" ref="W545">_xlfn.XLOOKUP(Matrix[[#This Row],[TEAM]]&amp;Matrix[[#Headers],[11]],FDR[FDR]&amp;FDR[[#Headers],[11]],FDR[11],"",0,1)</f>
        <v>3</v>
      </c>
      <c r="X545" cm="1">
        <f t="array" ref="X545">_xlfn.XLOOKUP(Matrix[[#This Row],[TEAM]]&amp;Matrix[[#Headers],[12]],FDR[FDR]&amp;FDR[[#Headers],[12]],FDR[12],"",0,1)</f>
        <v>3</v>
      </c>
      <c r="Y545" cm="1">
        <f t="array" ref="Y545">_xlfn.XLOOKUP(Matrix[[#This Row],[TEAM]]&amp;Matrix[[#Headers],[13]],FDR[FDR]&amp;FDR[[#Headers],[13]],FDR[13],"",0,1)</f>
        <v>1</v>
      </c>
      <c r="Z545" cm="1">
        <f t="array" ref="Z545">_xlfn.XLOOKUP(Matrix[[#This Row],[TEAM]]&amp;Matrix[[#Headers],[14]],FDR[FDR]&amp;FDR[[#Headers],[14]],FDR[14],"",0,1)</f>
        <v>2</v>
      </c>
      <c r="AA545" cm="1">
        <f t="array" ref="AA545">_xlfn.XLOOKUP(Matrix[[#This Row],[TEAM]]&amp;Matrix[[#Headers],[15]],FDR[FDR]&amp;FDR[[#Headers],[15]],FDR[15],"",0,1)</f>
        <v>1</v>
      </c>
      <c r="AB545" cm="1">
        <f t="array" ref="AB545">_xlfn.XLOOKUP(Matrix[[#This Row],[TEAM]]&amp;Matrix[[#Headers],[16]],FDR[FDR]&amp;FDR[[#Headers],[16]],FDR[16],"",0,1)</f>
        <v>2</v>
      </c>
      <c r="AC545" cm="1">
        <f t="array" ref="AC545">_xlfn.XLOOKUP(Matrix[[#This Row],[TEAM]]&amp;Matrix[[#Headers],[17]],FDR[FDR]&amp;FDR[[#Headers],[17]],FDR[17],"",0,1)</f>
        <v>1</v>
      </c>
      <c r="AD545" cm="1">
        <f t="array" ref="AD545">_xlfn.XLOOKUP(Matrix[[#This Row],[TEAM]]&amp;Matrix[[#Headers],[18]],FDR[FDR]&amp;FDR[[#Headers],[18]],FDR[18],"",0,1)</f>
        <v>2</v>
      </c>
      <c r="AE545" cm="1">
        <f t="array" ref="AE545">_xlfn.XLOOKUP(Matrix[[#This Row],[TEAM]]&amp;Matrix[[#Headers],[19]],FDR[FDR]&amp;FDR[[#Headers],[19]],FDR[19],"",0,1)</f>
        <v>1</v>
      </c>
      <c r="AF545" cm="1">
        <f t="array" ref="AF545">_xlfn.XLOOKUP(Matrix[[#This Row],[TEAM]]&amp;Matrix[[#Headers],[20]],FDR[FDR]&amp;FDR[[#Headers],[20]],FDR[20],"",0,1)</f>
        <v>2</v>
      </c>
      <c r="AG545" cm="1">
        <f t="array" ref="AG545">_xlfn.XLOOKUP(Matrix[[#This Row],[TEAM]]&amp;Matrix[[#Headers],[21]],FDR[FDR]&amp;FDR[[#Headers],[21]],FDR[21],"",0,1)</f>
        <v>1</v>
      </c>
      <c r="AH545" cm="1">
        <f t="array" ref="AH545">_xlfn.XLOOKUP(Matrix[[#This Row],[TEAM]]&amp;Matrix[[#Headers],[22]],FDR[FDR]&amp;FDR[[#Headers],[22]],FDR[22],"",0,1)</f>
        <v>3</v>
      </c>
      <c r="AI545" cm="1">
        <f t="array" ref="AI545">_xlfn.XLOOKUP(Matrix[[#This Row],[TEAM]]&amp;Matrix[[#Headers],[23]],FDR[FDR]&amp;FDR[[#Headers],[23]],FDR[23],"",0,1)</f>
        <v>1</v>
      </c>
      <c r="AJ545" cm="1">
        <f t="array" ref="AJ545">_xlfn.XLOOKUP(Matrix[[#This Row],[TEAM]]&amp;Matrix[[#Headers],[24]],FDR[FDR]&amp;FDR[[#Headers],[24]],FDR[24],"",0,1)</f>
        <v>3</v>
      </c>
      <c r="AK545" cm="1">
        <f t="array" ref="AK545">_xlfn.XLOOKUP(Matrix[[#This Row],[TEAM]]&amp;Matrix[[#Headers],[25]],FDR[FDR]&amp;FDR[[#Headers],[25]],FDR[25],"",0,1)</f>
        <v>4</v>
      </c>
      <c r="AL545" cm="1">
        <f t="array" ref="AL545">_xlfn.XLOOKUP(Matrix[[#This Row],[TEAM]]&amp;Matrix[[#Headers],[26]],FDR[FDR]&amp;FDR[[#Headers],[26]],FDR[26],"",0,1)</f>
        <v>1</v>
      </c>
      <c r="AM545" cm="1">
        <f t="array" ref="AM545">_xlfn.XLOOKUP(Matrix[[#This Row],[TEAM]]&amp;Matrix[[#Headers],[27]],FDR[FDR]&amp;FDR[[#Headers],[27]],FDR[27],"",0,1)</f>
        <v>2</v>
      </c>
      <c r="AN545" cm="1">
        <f t="array" ref="AN545">_xlfn.XLOOKUP(Matrix[[#This Row],[TEAM]]&amp;Matrix[[#Headers],[28]],FDR[FDR]&amp;FDR[[#Headers],[28]],FDR[28],"",0,1)</f>
        <v>1</v>
      </c>
      <c r="AO545" cm="1">
        <f t="array" ref="AO545">_xlfn.XLOOKUP(Matrix[[#This Row],[TEAM]]&amp;Matrix[[#Headers],[29]],FDR[FDR]&amp;FDR[[#Headers],[29]],FDR[29],"",0,1)</f>
        <v>1</v>
      </c>
      <c r="AP545" cm="1">
        <f t="array" ref="AP545">_xlfn.XLOOKUP(Matrix[[#This Row],[TEAM]]&amp;Matrix[[#Headers],[30]],FDR[FDR]&amp;FDR[[#Headers],[30]],FDR[30],"",0,1)</f>
        <v>2</v>
      </c>
      <c r="AQ545" cm="1">
        <f t="array" ref="AQ545">_xlfn.XLOOKUP(Matrix[[#This Row],[TEAM]]&amp;Matrix[[#Headers],[31]],FDR[FDR]&amp;FDR[[#Headers],[31]],FDR[31],"",0,1)</f>
        <v>1</v>
      </c>
      <c r="AR545" cm="1">
        <f t="array" ref="AR545">_xlfn.XLOOKUP(Matrix[[#This Row],[TEAM]]&amp;Matrix[[#Headers],[32]],FDR[FDR]&amp;FDR[[#Headers],[32]],FDR[32],"",0,1)</f>
        <v>3</v>
      </c>
      <c r="AS545" cm="1">
        <f t="array" ref="AS545">_xlfn.XLOOKUP(Matrix[[#This Row],[TEAM]]&amp;Matrix[[#Headers],[33]],FDR[FDR]&amp;FDR[[#Headers],[33]],FDR[33],"",0,1)</f>
        <v>3</v>
      </c>
      <c r="AT545" cm="1">
        <f t="array" ref="AT545">_xlfn.XLOOKUP(Matrix[[#This Row],[TEAM]]&amp;Matrix[[#Headers],[34]],FDR[FDR]&amp;FDR[[#Headers],[34]],FDR[34],"",0,1)</f>
        <v>1</v>
      </c>
      <c r="AU545" cm="1">
        <f t="array" ref="AU545">_xlfn.XLOOKUP(Matrix[[#This Row],[TEAM]]&amp;Matrix[[#Headers],[35]],FDR[FDR]&amp;FDR[[#Headers],[35]],FDR[35],"",0,1)</f>
        <v>2</v>
      </c>
      <c r="AV545" cm="1">
        <f t="array" ref="AV545">_xlfn.XLOOKUP(Matrix[[#This Row],[TEAM]]&amp;Matrix[[#Headers],[36]],FDR[FDR]&amp;FDR[[#Headers],[36]],FDR[36],"",0,1)</f>
        <v>1</v>
      </c>
      <c r="AW545" cm="1">
        <f t="array" ref="AW545">_xlfn.XLOOKUP(Matrix[[#This Row],[TEAM]]&amp;Matrix[[#Headers],[37]],FDR[FDR]&amp;FDR[[#Headers],[37]],FDR[37],"",0,1)</f>
        <v>2</v>
      </c>
      <c r="AX545" cm="1">
        <f t="array" ref="AX545">_xlfn.XLOOKUP(Matrix[[#This Row],[TEAM]]&amp;Matrix[[#Headers],[38]],FDR[FDR]&amp;FDR[[#Headers],[38]],FDR[38],"",0,1)</f>
        <v>2</v>
      </c>
    </row>
    <row r="546" spans="1:50" ht="22" thickTop="1" thickBot="1">
      <c r="A546" s="54" t="s">
        <v>657</v>
      </c>
      <c r="B546" s="70" t="s">
        <v>1351</v>
      </c>
      <c r="C546" s="40" t="s">
        <v>29</v>
      </c>
      <c r="D546" s="62">
        <v>153</v>
      </c>
      <c r="E546" s="60">
        <v>0.17</v>
      </c>
      <c r="F546" s="61">
        <v>185</v>
      </c>
      <c r="G546" s="63">
        <v>6</v>
      </c>
      <c r="H546" s="261">
        <f>IF(ISBLANK(I546),0,1)</f>
        <v>1</v>
      </c>
      <c r="I546" s="57" t="s">
        <v>942</v>
      </c>
      <c r="J546" s="58" t="s">
        <v>1981</v>
      </c>
      <c r="K546" s="65" t="s">
        <v>752</v>
      </c>
      <c r="L546" s="65" t="s">
        <v>753</v>
      </c>
      <c r="M546" cm="1">
        <f t="array" ref="M546">_xlfn.XLOOKUP(Matrix[[#This Row],[TEAM]]&amp;Matrix[[#Headers],[1]],FDR[FDR]&amp;FDR[[#Headers],[1]],FDR[1],"",0,1)</f>
        <v>1</v>
      </c>
      <c r="N546" cm="1">
        <f t="array" ref="N546">_xlfn.XLOOKUP(Matrix[[#This Row],[TEAM]]&amp;Matrix[[#Headers],[2]],FDR[FDR]&amp;FDR[[#Headers],[2]],FDR[2],"",0,1)</f>
        <v>2</v>
      </c>
      <c r="O546" cm="1">
        <f t="array" ref="O546">_xlfn.XLOOKUP(Matrix[[#This Row],[TEAM]]&amp;Matrix[[#Headers],[3]],FDR[FDR]&amp;FDR[[#Headers],[3]],FDR[3],"",0,1)</f>
        <v>2</v>
      </c>
      <c r="P546" cm="1">
        <f t="array" ref="P546">_xlfn.XLOOKUP(Matrix[[#This Row],[TEAM]]&amp;Matrix[[#Headers],[4]],FDR[FDR]&amp;FDR[[#Headers],[4]],FDR[4],"",0,1)</f>
        <v>2</v>
      </c>
      <c r="Q546" cm="1">
        <f t="array" ref="Q546">_xlfn.XLOOKUP(Matrix[[#This Row],[TEAM]]&amp;Matrix[[#Headers],[5]],FDR[FDR]&amp;FDR[[#Headers],[5]],FDR[5],"",0,1)</f>
        <v>4</v>
      </c>
      <c r="R546" cm="1">
        <f t="array" ref="R546">_xlfn.XLOOKUP(Matrix[[#This Row],[TEAM]]&amp;Matrix[[#Headers],[6]],FDR[FDR]&amp;FDR[[#Headers],[6]],FDR[6],"",0,1)</f>
        <v>1</v>
      </c>
      <c r="S546" cm="1">
        <f t="array" ref="S546">_xlfn.XLOOKUP(Matrix[[#This Row],[TEAM]]&amp;Matrix[[#Headers],[7]],FDR[FDR]&amp;FDR[[#Headers],[7]],FDR[7],"",0,1)</f>
        <v>2</v>
      </c>
      <c r="T546" cm="1">
        <f t="array" ref="T546">_xlfn.XLOOKUP(Matrix[[#This Row],[TEAM]]&amp;Matrix[[#Headers],[8]],FDR[FDR]&amp;FDR[[#Headers],[8]],FDR[8],"",0,1)</f>
        <v>1</v>
      </c>
      <c r="U546" cm="1">
        <f t="array" ref="U546">_xlfn.XLOOKUP(Matrix[[#This Row],[TEAM]]&amp;Matrix[[#Headers],[9]],FDR[FDR]&amp;FDR[[#Headers],[9]],FDR[9],"",0,1)</f>
        <v>3</v>
      </c>
      <c r="V546" cm="1">
        <f t="array" ref="V546">_xlfn.XLOOKUP(Matrix[[#This Row],[TEAM]]&amp;Matrix[[#Headers],[10]],FDR[FDR]&amp;FDR[[#Headers],[10]],FDR[10],"",0,1)</f>
        <v>1</v>
      </c>
      <c r="W546" cm="1">
        <f t="array" ref="W546">_xlfn.XLOOKUP(Matrix[[#This Row],[TEAM]]&amp;Matrix[[#Headers],[11]],FDR[FDR]&amp;FDR[[#Headers],[11]],FDR[11],"",0,1)</f>
        <v>3</v>
      </c>
      <c r="X546" cm="1">
        <f t="array" ref="X546">_xlfn.XLOOKUP(Matrix[[#This Row],[TEAM]]&amp;Matrix[[#Headers],[12]],FDR[FDR]&amp;FDR[[#Headers],[12]],FDR[12],"",0,1)</f>
        <v>3</v>
      </c>
      <c r="Y546" cm="1">
        <f t="array" ref="Y546">_xlfn.XLOOKUP(Matrix[[#This Row],[TEAM]]&amp;Matrix[[#Headers],[13]],FDR[FDR]&amp;FDR[[#Headers],[13]],FDR[13],"",0,1)</f>
        <v>1</v>
      </c>
      <c r="Z546" cm="1">
        <f t="array" ref="Z546">_xlfn.XLOOKUP(Matrix[[#This Row],[TEAM]]&amp;Matrix[[#Headers],[14]],FDR[FDR]&amp;FDR[[#Headers],[14]],FDR[14],"",0,1)</f>
        <v>2</v>
      </c>
      <c r="AA546" cm="1">
        <f t="array" ref="AA546">_xlfn.XLOOKUP(Matrix[[#This Row],[TEAM]]&amp;Matrix[[#Headers],[15]],FDR[FDR]&amp;FDR[[#Headers],[15]],FDR[15],"",0,1)</f>
        <v>1</v>
      </c>
      <c r="AB546" cm="1">
        <f t="array" ref="AB546">_xlfn.XLOOKUP(Matrix[[#This Row],[TEAM]]&amp;Matrix[[#Headers],[16]],FDR[FDR]&amp;FDR[[#Headers],[16]],FDR[16],"",0,1)</f>
        <v>2</v>
      </c>
      <c r="AC546" cm="1">
        <f t="array" ref="AC546">_xlfn.XLOOKUP(Matrix[[#This Row],[TEAM]]&amp;Matrix[[#Headers],[17]],FDR[FDR]&amp;FDR[[#Headers],[17]],FDR[17],"",0,1)</f>
        <v>1</v>
      </c>
      <c r="AD546" cm="1">
        <f t="array" ref="AD546">_xlfn.XLOOKUP(Matrix[[#This Row],[TEAM]]&amp;Matrix[[#Headers],[18]],FDR[FDR]&amp;FDR[[#Headers],[18]],FDR[18],"",0,1)</f>
        <v>2</v>
      </c>
      <c r="AE546" cm="1">
        <f t="array" ref="AE546">_xlfn.XLOOKUP(Matrix[[#This Row],[TEAM]]&amp;Matrix[[#Headers],[19]],FDR[FDR]&amp;FDR[[#Headers],[19]],FDR[19],"",0,1)</f>
        <v>1</v>
      </c>
      <c r="AF546" cm="1">
        <f t="array" ref="AF546">_xlfn.XLOOKUP(Matrix[[#This Row],[TEAM]]&amp;Matrix[[#Headers],[20]],FDR[FDR]&amp;FDR[[#Headers],[20]],FDR[20],"",0,1)</f>
        <v>2</v>
      </c>
      <c r="AG546" cm="1">
        <f t="array" ref="AG546">_xlfn.XLOOKUP(Matrix[[#This Row],[TEAM]]&amp;Matrix[[#Headers],[21]],FDR[FDR]&amp;FDR[[#Headers],[21]],FDR[21],"",0,1)</f>
        <v>1</v>
      </c>
      <c r="AH546" cm="1">
        <f t="array" ref="AH546">_xlfn.XLOOKUP(Matrix[[#This Row],[TEAM]]&amp;Matrix[[#Headers],[22]],FDR[FDR]&amp;FDR[[#Headers],[22]],FDR[22],"",0,1)</f>
        <v>3</v>
      </c>
      <c r="AI546" cm="1">
        <f t="array" ref="AI546">_xlfn.XLOOKUP(Matrix[[#This Row],[TEAM]]&amp;Matrix[[#Headers],[23]],FDR[FDR]&amp;FDR[[#Headers],[23]],FDR[23],"",0,1)</f>
        <v>1</v>
      </c>
      <c r="AJ546" cm="1">
        <f t="array" ref="AJ546">_xlfn.XLOOKUP(Matrix[[#This Row],[TEAM]]&amp;Matrix[[#Headers],[24]],FDR[FDR]&amp;FDR[[#Headers],[24]],FDR[24],"",0,1)</f>
        <v>3</v>
      </c>
      <c r="AK546" cm="1">
        <f t="array" ref="AK546">_xlfn.XLOOKUP(Matrix[[#This Row],[TEAM]]&amp;Matrix[[#Headers],[25]],FDR[FDR]&amp;FDR[[#Headers],[25]],FDR[25],"",0,1)</f>
        <v>4</v>
      </c>
      <c r="AL546" cm="1">
        <f t="array" ref="AL546">_xlfn.XLOOKUP(Matrix[[#This Row],[TEAM]]&amp;Matrix[[#Headers],[26]],FDR[FDR]&amp;FDR[[#Headers],[26]],FDR[26],"",0,1)</f>
        <v>1</v>
      </c>
      <c r="AM546" cm="1">
        <f t="array" ref="AM546">_xlfn.XLOOKUP(Matrix[[#This Row],[TEAM]]&amp;Matrix[[#Headers],[27]],FDR[FDR]&amp;FDR[[#Headers],[27]],FDR[27],"",0,1)</f>
        <v>2</v>
      </c>
      <c r="AN546" cm="1">
        <f t="array" ref="AN546">_xlfn.XLOOKUP(Matrix[[#This Row],[TEAM]]&amp;Matrix[[#Headers],[28]],FDR[FDR]&amp;FDR[[#Headers],[28]],FDR[28],"",0,1)</f>
        <v>1</v>
      </c>
      <c r="AO546" cm="1">
        <f t="array" ref="AO546">_xlfn.XLOOKUP(Matrix[[#This Row],[TEAM]]&amp;Matrix[[#Headers],[29]],FDR[FDR]&amp;FDR[[#Headers],[29]],FDR[29],"",0,1)</f>
        <v>1</v>
      </c>
      <c r="AP546" cm="1">
        <f t="array" ref="AP546">_xlfn.XLOOKUP(Matrix[[#This Row],[TEAM]]&amp;Matrix[[#Headers],[30]],FDR[FDR]&amp;FDR[[#Headers],[30]],FDR[30],"",0,1)</f>
        <v>2</v>
      </c>
      <c r="AQ546" cm="1">
        <f t="array" ref="AQ546">_xlfn.XLOOKUP(Matrix[[#This Row],[TEAM]]&amp;Matrix[[#Headers],[31]],FDR[FDR]&amp;FDR[[#Headers],[31]],FDR[31],"",0,1)</f>
        <v>1</v>
      </c>
      <c r="AR546" cm="1">
        <f t="array" ref="AR546">_xlfn.XLOOKUP(Matrix[[#This Row],[TEAM]]&amp;Matrix[[#Headers],[32]],FDR[FDR]&amp;FDR[[#Headers],[32]],FDR[32],"",0,1)</f>
        <v>3</v>
      </c>
      <c r="AS546" cm="1">
        <f t="array" ref="AS546">_xlfn.XLOOKUP(Matrix[[#This Row],[TEAM]]&amp;Matrix[[#Headers],[33]],FDR[FDR]&amp;FDR[[#Headers],[33]],FDR[33],"",0,1)</f>
        <v>3</v>
      </c>
      <c r="AT546" cm="1">
        <f t="array" ref="AT546">_xlfn.XLOOKUP(Matrix[[#This Row],[TEAM]]&amp;Matrix[[#Headers],[34]],FDR[FDR]&amp;FDR[[#Headers],[34]],FDR[34],"",0,1)</f>
        <v>1</v>
      </c>
      <c r="AU546" cm="1">
        <f t="array" ref="AU546">_xlfn.XLOOKUP(Matrix[[#This Row],[TEAM]]&amp;Matrix[[#Headers],[35]],FDR[FDR]&amp;FDR[[#Headers],[35]],FDR[35],"",0,1)</f>
        <v>2</v>
      </c>
      <c r="AV546" cm="1">
        <f t="array" ref="AV546">_xlfn.XLOOKUP(Matrix[[#This Row],[TEAM]]&amp;Matrix[[#Headers],[36]],FDR[FDR]&amp;FDR[[#Headers],[36]],FDR[36],"",0,1)</f>
        <v>1</v>
      </c>
      <c r="AW546" cm="1">
        <f t="array" ref="AW546">_xlfn.XLOOKUP(Matrix[[#This Row],[TEAM]]&amp;Matrix[[#Headers],[37]],FDR[FDR]&amp;FDR[[#Headers],[37]],FDR[37],"",0,1)</f>
        <v>2</v>
      </c>
      <c r="AX546" cm="1">
        <f t="array" ref="AX546">_xlfn.XLOOKUP(Matrix[[#This Row],[TEAM]]&amp;Matrix[[#Headers],[38]],FDR[FDR]&amp;FDR[[#Headers],[38]],FDR[38],"",0,1)</f>
        <v>2</v>
      </c>
    </row>
    <row r="547" spans="1:50" ht="22" thickTop="1" thickBot="1">
      <c r="A547" s="53" t="str">
        <f>INDEX!S$4</f>
        <v>MID</v>
      </c>
      <c r="B547" s="70" t="s">
        <v>1381</v>
      </c>
      <c r="C547" s="40" t="s">
        <v>29</v>
      </c>
      <c r="D547" s="62">
        <v>109</v>
      </c>
      <c r="E547" s="60">
        <v>0</v>
      </c>
      <c r="F547" s="61">
        <v>139.1</v>
      </c>
      <c r="G547" s="63">
        <v>6</v>
      </c>
      <c r="H547" s="261">
        <f>IF(ISBLANK(I547),0,1)</f>
        <v>1</v>
      </c>
      <c r="I547" s="57" t="s">
        <v>1096</v>
      </c>
      <c r="J547" s="58" t="s">
        <v>1097</v>
      </c>
      <c r="K547" s="59" t="s">
        <v>493</v>
      </c>
      <c r="L547" s="59" t="s">
        <v>333</v>
      </c>
      <c r="M547" cm="1">
        <f t="array" ref="M547">_xlfn.XLOOKUP(Matrix[[#This Row],[TEAM]]&amp;Matrix[[#Headers],[1]],FDR[FDR]&amp;FDR[[#Headers],[1]],FDR[1],"",0,1)</f>
        <v>1</v>
      </c>
      <c r="N547" cm="1">
        <f t="array" ref="N547">_xlfn.XLOOKUP(Matrix[[#This Row],[TEAM]]&amp;Matrix[[#Headers],[2]],FDR[FDR]&amp;FDR[[#Headers],[2]],FDR[2],"",0,1)</f>
        <v>2</v>
      </c>
      <c r="O547" cm="1">
        <f t="array" ref="O547">_xlfn.XLOOKUP(Matrix[[#This Row],[TEAM]]&amp;Matrix[[#Headers],[3]],FDR[FDR]&amp;FDR[[#Headers],[3]],FDR[3],"",0,1)</f>
        <v>2</v>
      </c>
      <c r="P547" cm="1">
        <f t="array" ref="P547">_xlfn.XLOOKUP(Matrix[[#This Row],[TEAM]]&amp;Matrix[[#Headers],[4]],FDR[FDR]&amp;FDR[[#Headers],[4]],FDR[4],"",0,1)</f>
        <v>2</v>
      </c>
      <c r="Q547" cm="1">
        <f t="array" ref="Q547">_xlfn.XLOOKUP(Matrix[[#This Row],[TEAM]]&amp;Matrix[[#Headers],[5]],FDR[FDR]&amp;FDR[[#Headers],[5]],FDR[5],"",0,1)</f>
        <v>4</v>
      </c>
      <c r="R547" cm="1">
        <f t="array" ref="R547">_xlfn.XLOOKUP(Matrix[[#This Row],[TEAM]]&amp;Matrix[[#Headers],[6]],FDR[FDR]&amp;FDR[[#Headers],[6]],FDR[6],"",0,1)</f>
        <v>1</v>
      </c>
      <c r="S547" cm="1">
        <f t="array" ref="S547">_xlfn.XLOOKUP(Matrix[[#This Row],[TEAM]]&amp;Matrix[[#Headers],[7]],FDR[FDR]&amp;FDR[[#Headers],[7]],FDR[7],"",0,1)</f>
        <v>2</v>
      </c>
      <c r="T547" cm="1">
        <f t="array" ref="T547">_xlfn.XLOOKUP(Matrix[[#This Row],[TEAM]]&amp;Matrix[[#Headers],[8]],FDR[FDR]&amp;FDR[[#Headers],[8]],FDR[8],"",0,1)</f>
        <v>1</v>
      </c>
      <c r="U547" cm="1">
        <f t="array" ref="U547">_xlfn.XLOOKUP(Matrix[[#This Row],[TEAM]]&amp;Matrix[[#Headers],[9]],FDR[FDR]&amp;FDR[[#Headers],[9]],FDR[9],"",0,1)</f>
        <v>3</v>
      </c>
      <c r="V547" cm="1">
        <f t="array" ref="V547">_xlfn.XLOOKUP(Matrix[[#This Row],[TEAM]]&amp;Matrix[[#Headers],[10]],FDR[FDR]&amp;FDR[[#Headers],[10]],FDR[10],"",0,1)</f>
        <v>1</v>
      </c>
      <c r="W547" cm="1">
        <f t="array" ref="W547">_xlfn.XLOOKUP(Matrix[[#This Row],[TEAM]]&amp;Matrix[[#Headers],[11]],FDR[FDR]&amp;FDR[[#Headers],[11]],FDR[11],"",0,1)</f>
        <v>3</v>
      </c>
      <c r="X547" cm="1">
        <f t="array" ref="X547">_xlfn.XLOOKUP(Matrix[[#This Row],[TEAM]]&amp;Matrix[[#Headers],[12]],FDR[FDR]&amp;FDR[[#Headers],[12]],FDR[12],"",0,1)</f>
        <v>3</v>
      </c>
      <c r="Y547" cm="1">
        <f t="array" ref="Y547">_xlfn.XLOOKUP(Matrix[[#This Row],[TEAM]]&amp;Matrix[[#Headers],[13]],FDR[FDR]&amp;FDR[[#Headers],[13]],FDR[13],"",0,1)</f>
        <v>1</v>
      </c>
      <c r="Z547" cm="1">
        <f t="array" ref="Z547">_xlfn.XLOOKUP(Matrix[[#This Row],[TEAM]]&amp;Matrix[[#Headers],[14]],FDR[FDR]&amp;FDR[[#Headers],[14]],FDR[14],"",0,1)</f>
        <v>2</v>
      </c>
      <c r="AA547" cm="1">
        <f t="array" ref="AA547">_xlfn.XLOOKUP(Matrix[[#This Row],[TEAM]]&amp;Matrix[[#Headers],[15]],FDR[FDR]&amp;FDR[[#Headers],[15]],FDR[15],"",0,1)</f>
        <v>1</v>
      </c>
      <c r="AB547" cm="1">
        <f t="array" ref="AB547">_xlfn.XLOOKUP(Matrix[[#This Row],[TEAM]]&amp;Matrix[[#Headers],[16]],FDR[FDR]&amp;FDR[[#Headers],[16]],FDR[16],"",0,1)</f>
        <v>2</v>
      </c>
      <c r="AC547" cm="1">
        <f t="array" ref="AC547">_xlfn.XLOOKUP(Matrix[[#This Row],[TEAM]]&amp;Matrix[[#Headers],[17]],FDR[FDR]&amp;FDR[[#Headers],[17]],FDR[17],"",0,1)</f>
        <v>1</v>
      </c>
      <c r="AD547" cm="1">
        <f t="array" ref="AD547">_xlfn.XLOOKUP(Matrix[[#This Row],[TEAM]]&amp;Matrix[[#Headers],[18]],FDR[FDR]&amp;FDR[[#Headers],[18]],FDR[18],"",0,1)</f>
        <v>2</v>
      </c>
      <c r="AE547" cm="1">
        <f t="array" ref="AE547">_xlfn.XLOOKUP(Matrix[[#This Row],[TEAM]]&amp;Matrix[[#Headers],[19]],FDR[FDR]&amp;FDR[[#Headers],[19]],FDR[19],"",0,1)</f>
        <v>1</v>
      </c>
      <c r="AF547" cm="1">
        <f t="array" ref="AF547">_xlfn.XLOOKUP(Matrix[[#This Row],[TEAM]]&amp;Matrix[[#Headers],[20]],FDR[FDR]&amp;FDR[[#Headers],[20]],FDR[20],"",0,1)</f>
        <v>2</v>
      </c>
      <c r="AG547" cm="1">
        <f t="array" ref="AG547">_xlfn.XLOOKUP(Matrix[[#This Row],[TEAM]]&amp;Matrix[[#Headers],[21]],FDR[FDR]&amp;FDR[[#Headers],[21]],FDR[21],"",0,1)</f>
        <v>1</v>
      </c>
      <c r="AH547" cm="1">
        <f t="array" ref="AH547">_xlfn.XLOOKUP(Matrix[[#This Row],[TEAM]]&amp;Matrix[[#Headers],[22]],FDR[FDR]&amp;FDR[[#Headers],[22]],FDR[22],"",0,1)</f>
        <v>3</v>
      </c>
      <c r="AI547" cm="1">
        <f t="array" ref="AI547">_xlfn.XLOOKUP(Matrix[[#This Row],[TEAM]]&amp;Matrix[[#Headers],[23]],FDR[FDR]&amp;FDR[[#Headers],[23]],FDR[23],"",0,1)</f>
        <v>1</v>
      </c>
      <c r="AJ547" cm="1">
        <f t="array" ref="AJ547">_xlfn.XLOOKUP(Matrix[[#This Row],[TEAM]]&amp;Matrix[[#Headers],[24]],FDR[FDR]&amp;FDR[[#Headers],[24]],FDR[24],"",0,1)</f>
        <v>3</v>
      </c>
      <c r="AK547" cm="1">
        <f t="array" ref="AK547">_xlfn.XLOOKUP(Matrix[[#This Row],[TEAM]]&amp;Matrix[[#Headers],[25]],FDR[FDR]&amp;FDR[[#Headers],[25]],FDR[25],"",0,1)</f>
        <v>4</v>
      </c>
      <c r="AL547" cm="1">
        <f t="array" ref="AL547">_xlfn.XLOOKUP(Matrix[[#This Row],[TEAM]]&amp;Matrix[[#Headers],[26]],FDR[FDR]&amp;FDR[[#Headers],[26]],FDR[26],"",0,1)</f>
        <v>1</v>
      </c>
      <c r="AM547" cm="1">
        <f t="array" ref="AM547">_xlfn.XLOOKUP(Matrix[[#This Row],[TEAM]]&amp;Matrix[[#Headers],[27]],FDR[FDR]&amp;FDR[[#Headers],[27]],FDR[27],"",0,1)</f>
        <v>2</v>
      </c>
      <c r="AN547" cm="1">
        <f t="array" ref="AN547">_xlfn.XLOOKUP(Matrix[[#This Row],[TEAM]]&amp;Matrix[[#Headers],[28]],FDR[FDR]&amp;FDR[[#Headers],[28]],FDR[28],"",0,1)</f>
        <v>1</v>
      </c>
      <c r="AO547" cm="1">
        <f t="array" ref="AO547">_xlfn.XLOOKUP(Matrix[[#This Row],[TEAM]]&amp;Matrix[[#Headers],[29]],FDR[FDR]&amp;FDR[[#Headers],[29]],FDR[29],"",0,1)</f>
        <v>1</v>
      </c>
      <c r="AP547" cm="1">
        <f t="array" ref="AP547">_xlfn.XLOOKUP(Matrix[[#This Row],[TEAM]]&amp;Matrix[[#Headers],[30]],FDR[FDR]&amp;FDR[[#Headers],[30]],FDR[30],"",0,1)</f>
        <v>2</v>
      </c>
      <c r="AQ547" cm="1">
        <f t="array" ref="AQ547">_xlfn.XLOOKUP(Matrix[[#This Row],[TEAM]]&amp;Matrix[[#Headers],[31]],FDR[FDR]&amp;FDR[[#Headers],[31]],FDR[31],"",0,1)</f>
        <v>1</v>
      </c>
      <c r="AR547" cm="1">
        <f t="array" ref="AR547">_xlfn.XLOOKUP(Matrix[[#This Row],[TEAM]]&amp;Matrix[[#Headers],[32]],FDR[FDR]&amp;FDR[[#Headers],[32]],FDR[32],"",0,1)</f>
        <v>3</v>
      </c>
      <c r="AS547" cm="1">
        <f t="array" ref="AS547">_xlfn.XLOOKUP(Matrix[[#This Row],[TEAM]]&amp;Matrix[[#Headers],[33]],FDR[FDR]&amp;FDR[[#Headers],[33]],FDR[33],"",0,1)</f>
        <v>3</v>
      </c>
      <c r="AT547" cm="1">
        <f t="array" ref="AT547">_xlfn.XLOOKUP(Matrix[[#This Row],[TEAM]]&amp;Matrix[[#Headers],[34]],FDR[FDR]&amp;FDR[[#Headers],[34]],FDR[34],"",0,1)</f>
        <v>1</v>
      </c>
      <c r="AU547" cm="1">
        <f t="array" ref="AU547">_xlfn.XLOOKUP(Matrix[[#This Row],[TEAM]]&amp;Matrix[[#Headers],[35]],FDR[FDR]&amp;FDR[[#Headers],[35]],FDR[35],"",0,1)</f>
        <v>2</v>
      </c>
      <c r="AV547" cm="1">
        <f t="array" ref="AV547">_xlfn.XLOOKUP(Matrix[[#This Row],[TEAM]]&amp;Matrix[[#Headers],[36]],FDR[FDR]&amp;FDR[[#Headers],[36]],FDR[36],"",0,1)</f>
        <v>1</v>
      </c>
      <c r="AW547" cm="1">
        <f t="array" ref="AW547">_xlfn.XLOOKUP(Matrix[[#This Row],[TEAM]]&amp;Matrix[[#Headers],[37]],FDR[FDR]&amp;FDR[[#Headers],[37]],FDR[37],"",0,1)</f>
        <v>2</v>
      </c>
      <c r="AX547" cm="1">
        <f t="array" ref="AX547">_xlfn.XLOOKUP(Matrix[[#This Row],[TEAM]]&amp;Matrix[[#Headers],[38]],FDR[FDR]&amp;FDR[[#Headers],[38]],FDR[38],"",0,1)</f>
        <v>2</v>
      </c>
    </row>
    <row r="548" spans="1:50" ht="22" thickTop="1" thickBot="1">
      <c r="A548" s="53" t="str">
        <f>INDEX!S$4</f>
        <v>MID</v>
      </c>
      <c r="B548" s="70" t="s">
        <v>1374</v>
      </c>
      <c r="C548" s="40" t="s">
        <v>18</v>
      </c>
      <c r="D548" s="62">
        <v>60</v>
      </c>
      <c r="E548" s="60">
        <v>2E-3</v>
      </c>
      <c r="F548" s="61">
        <v>77.099999999999994</v>
      </c>
      <c r="G548" s="63">
        <v>6</v>
      </c>
      <c r="H548" s="261">
        <f>IF(ISBLANK(I548),0,1)</f>
        <v>1</v>
      </c>
      <c r="I548" s="57" t="s">
        <v>1983</v>
      </c>
      <c r="J548" s="58" t="s">
        <v>1981</v>
      </c>
      <c r="K548" s="59" t="s">
        <v>590</v>
      </c>
      <c r="L548" s="59" t="s">
        <v>276</v>
      </c>
      <c r="M548" cm="1">
        <f t="array" ref="M548">_xlfn.XLOOKUP(Matrix[[#This Row],[TEAM]]&amp;Matrix[[#Headers],[1]],FDR[FDR]&amp;FDR[[#Headers],[1]],FDR[1],"",0,1)</f>
        <v>1</v>
      </c>
      <c r="N548" cm="1">
        <f t="array" ref="N548">_xlfn.XLOOKUP(Matrix[[#This Row],[TEAM]]&amp;Matrix[[#Headers],[2]],FDR[FDR]&amp;FDR[[#Headers],[2]],FDR[2],"",0,1)</f>
        <v>2</v>
      </c>
      <c r="O548" cm="1">
        <f t="array" ref="O548">_xlfn.XLOOKUP(Matrix[[#This Row],[TEAM]]&amp;Matrix[[#Headers],[3]],FDR[FDR]&amp;FDR[[#Headers],[3]],FDR[3],"",0,1)</f>
        <v>1</v>
      </c>
      <c r="P548" cm="1">
        <f t="array" ref="P548">_xlfn.XLOOKUP(Matrix[[#This Row],[TEAM]]&amp;Matrix[[#Headers],[4]],FDR[FDR]&amp;FDR[[#Headers],[4]],FDR[4],"",0,1)</f>
        <v>2</v>
      </c>
      <c r="Q548" cm="1">
        <f t="array" ref="Q548">_xlfn.XLOOKUP(Matrix[[#This Row],[TEAM]]&amp;Matrix[[#Headers],[5]],FDR[FDR]&amp;FDR[[#Headers],[5]],FDR[5],"",0,1)</f>
        <v>3</v>
      </c>
      <c r="R548" cm="1">
        <f t="array" ref="R548">_xlfn.XLOOKUP(Matrix[[#This Row],[TEAM]]&amp;Matrix[[#Headers],[6]],FDR[FDR]&amp;FDR[[#Headers],[6]],FDR[6],"",0,1)</f>
        <v>1</v>
      </c>
      <c r="S548" cm="1">
        <f t="array" ref="S548">_xlfn.XLOOKUP(Matrix[[#This Row],[TEAM]]&amp;Matrix[[#Headers],[7]],FDR[FDR]&amp;FDR[[#Headers],[7]],FDR[7],"",0,1)</f>
        <v>3</v>
      </c>
      <c r="T548" cm="1">
        <f t="array" ref="T548">_xlfn.XLOOKUP(Matrix[[#This Row],[TEAM]]&amp;Matrix[[#Headers],[8]],FDR[FDR]&amp;FDR[[#Headers],[8]],FDR[8],"",0,1)</f>
        <v>2</v>
      </c>
      <c r="U548" cm="1">
        <f t="array" ref="U548">_xlfn.XLOOKUP(Matrix[[#This Row],[TEAM]]&amp;Matrix[[#Headers],[9]],FDR[FDR]&amp;FDR[[#Headers],[9]],FDR[9],"",0,1)</f>
        <v>1</v>
      </c>
      <c r="V548" cm="1">
        <f t="array" ref="V548">_xlfn.XLOOKUP(Matrix[[#This Row],[TEAM]]&amp;Matrix[[#Headers],[10]],FDR[FDR]&amp;FDR[[#Headers],[10]],FDR[10],"",0,1)</f>
        <v>3</v>
      </c>
      <c r="W548" cm="1">
        <f t="array" ref="W548">_xlfn.XLOOKUP(Matrix[[#This Row],[TEAM]]&amp;Matrix[[#Headers],[11]],FDR[FDR]&amp;FDR[[#Headers],[11]],FDR[11],"",0,1)</f>
        <v>1</v>
      </c>
      <c r="X548" cm="1">
        <f t="array" ref="X548">_xlfn.XLOOKUP(Matrix[[#This Row],[TEAM]]&amp;Matrix[[#Headers],[12]],FDR[FDR]&amp;FDR[[#Headers],[12]],FDR[12],"",0,1)</f>
        <v>1</v>
      </c>
      <c r="Y548" cm="1">
        <f t="array" ref="Y548">_xlfn.XLOOKUP(Matrix[[#This Row],[TEAM]]&amp;Matrix[[#Headers],[13]],FDR[FDR]&amp;FDR[[#Headers],[13]],FDR[13],"",0,1)</f>
        <v>3</v>
      </c>
      <c r="Z548" cm="1">
        <f t="array" ref="Z548">_xlfn.XLOOKUP(Matrix[[#This Row],[TEAM]]&amp;Matrix[[#Headers],[14]],FDR[FDR]&amp;FDR[[#Headers],[14]],FDR[14],"",0,1)</f>
        <v>1</v>
      </c>
      <c r="AA548" cm="1">
        <f t="array" ref="AA548">_xlfn.XLOOKUP(Matrix[[#This Row],[TEAM]]&amp;Matrix[[#Headers],[15]],FDR[FDR]&amp;FDR[[#Headers],[15]],FDR[15],"",0,1)</f>
        <v>2</v>
      </c>
      <c r="AB548" cm="1">
        <f t="array" ref="AB548">_xlfn.XLOOKUP(Matrix[[#This Row],[TEAM]]&amp;Matrix[[#Headers],[16]],FDR[FDR]&amp;FDR[[#Headers],[16]],FDR[16],"",0,1)</f>
        <v>1</v>
      </c>
      <c r="AC548" cm="1">
        <f t="array" ref="AC548">_xlfn.XLOOKUP(Matrix[[#This Row],[TEAM]]&amp;Matrix[[#Headers],[17]],FDR[FDR]&amp;FDR[[#Headers],[17]],FDR[17],"",0,1)</f>
        <v>3</v>
      </c>
      <c r="AD548" cm="1">
        <f t="array" ref="AD548">_xlfn.XLOOKUP(Matrix[[#This Row],[TEAM]]&amp;Matrix[[#Headers],[18]],FDR[FDR]&amp;FDR[[#Headers],[18]],FDR[18],"",0,1)</f>
        <v>2</v>
      </c>
      <c r="AE548" cm="1">
        <f t="array" ref="AE548">_xlfn.XLOOKUP(Matrix[[#This Row],[TEAM]]&amp;Matrix[[#Headers],[19]],FDR[FDR]&amp;FDR[[#Headers],[19]],FDR[19],"",0,1)</f>
        <v>1</v>
      </c>
      <c r="AF548" cm="1">
        <f t="array" ref="AF548">_xlfn.XLOOKUP(Matrix[[#This Row],[TEAM]]&amp;Matrix[[#Headers],[20]],FDR[FDR]&amp;FDR[[#Headers],[20]],FDR[20],"",0,1)</f>
        <v>4</v>
      </c>
      <c r="AG548" cm="1">
        <f t="array" ref="AG548">_xlfn.XLOOKUP(Matrix[[#This Row],[TEAM]]&amp;Matrix[[#Headers],[21]],FDR[FDR]&amp;FDR[[#Headers],[21]],FDR[21],"",0,1)</f>
        <v>2</v>
      </c>
      <c r="AH548" cm="1">
        <f t="array" ref="AH548">_xlfn.XLOOKUP(Matrix[[#This Row],[TEAM]]&amp;Matrix[[#Headers],[22]],FDR[FDR]&amp;FDR[[#Headers],[22]],FDR[22],"",0,1)</f>
        <v>1</v>
      </c>
      <c r="AI548" cm="1">
        <f t="array" ref="AI548">_xlfn.XLOOKUP(Matrix[[#This Row],[TEAM]]&amp;Matrix[[#Headers],[23]],FDR[FDR]&amp;FDR[[#Headers],[23]],FDR[23],"",0,1)</f>
        <v>2</v>
      </c>
      <c r="AJ548" cm="1">
        <f t="array" ref="AJ548">_xlfn.XLOOKUP(Matrix[[#This Row],[TEAM]]&amp;Matrix[[#Headers],[24]],FDR[FDR]&amp;FDR[[#Headers],[24]],FDR[24],"",0,1)</f>
        <v>1</v>
      </c>
      <c r="AK548" cm="1">
        <f t="array" ref="AK548">_xlfn.XLOOKUP(Matrix[[#This Row],[TEAM]]&amp;Matrix[[#Headers],[25]],FDR[FDR]&amp;FDR[[#Headers],[25]],FDR[25],"",0,1)</f>
        <v>1</v>
      </c>
      <c r="AL548" cm="1">
        <f t="array" ref="AL548">_xlfn.XLOOKUP(Matrix[[#This Row],[TEAM]]&amp;Matrix[[#Headers],[26]],FDR[FDR]&amp;FDR[[#Headers],[26]],FDR[26],"",0,1)</f>
        <v>1</v>
      </c>
      <c r="AM548" cm="1">
        <f t="array" ref="AM548">_xlfn.XLOOKUP(Matrix[[#This Row],[TEAM]]&amp;Matrix[[#Headers],[27]],FDR[FDR]&amp;FDR[[#Headers],[27]],FDR[27],"",0,1)</f>
        <v>1</v>
      </c>
      <c r="AN548" cm="1">
        <f t="array" ref="AN548">_xlfn.XLOOKUP(Matrix[[#This Row],[TEAM]]&amp;Matrix[[#Headers],[28]],FDR[FDR]&amp;FDR[[#Headers],[28]],FDR[28],"",0,1)</f>
        <v>4</v>
      </c>
      <c r="AO548" cm="1">
        <f t="array" ref="AO548">_xlfn.XLOOKUP(Matrix[[#This Row],[TEAM]]&amp;Matrix[[#Headers],[29]],FDR[FDR]&amp;FDR[[#Headers],[29]],FDR[29],"",0,1)</f>
        <v>3</v>
      </c>
      <c r="AP548" cm="1">
        <f t="array" ref="AP548">_xlfn.XLOOKUP(Matrix[[#This Row],[TEAM]]&amp;Matrix[[#Headers],[30]],FDR[FDR]&amp;FDR[[#Headers],[30]],FDR[30],"",0,1)</f>
        <v>2</v>
      </c>
      <c r="AQ548" cm="1">
        <f t="array" ref="AQ548">_xlfn.XLOOKUP(Matrix[[#This Row],[TEAM]]&amp;Matrix[[#Headers],[31]],FDR[FDR]&amp;FDR[[#Headers],[31]],FDR[31],"",0,1)</f>
        <v>2</v>
      </c>
      <c r="AR548" cm="1">
        <f t="array" ref="AR548">_xlfn.XLOOKUP(Matrix[[#This Row],[TEAM]]&amp;Matrix[[#Headers],[32]],FDR[FDR]&amp;FDR[[#Headers],[32]],FDR[32],"",0,1)</f>
        <v>3</v>
      </c>
      <c r="AS548" cm="1">
        <f t="array" ref="AS548">_xlfn.XLOOKUP(Matrix[[#This Row],[TEAM]]&amp;Matrix[[#Headers],[33]],FDR[FDR]&amp;FDR[[#Headers],[33]],FDR[33],"",0,1)</f>
        <v>2</v>
      </c>
      <c r="AT548" cm="1">
        <f t="array" ref="AT548">_xlfn.XLOOKUP(Matrix[[#This Row],[TEAM]]&amp;Matrix[[#Headers],[34]],FDR[FDR]&amp;FDR[[#Headers],[34]],FDR[34],"",0,1)</f>
        <v>2</v>
      </c>
      <c r="AU548" cm="1">
        <f t="array" ref="AU548">_xlfn.XLOOKUP(Matrix[[#This Row],[TEAM]]&amp;Matrix[[#Headers],[35]],FDR[FDR]&amp;FDR[[#Headers],[35]],FDR[35],"",0,1)</f>
        <v>1</v>
      </c>
      <c r="AV548" cm="1">
        <f t="array" ref="AV548">_xlfn.XLOOKUP(Matrix[[#This Row],[TEAM]]&amp;Matrix[[#Headers],[36]],FDR[FDR]&amp;FDR[[#Headers],[36]],FDR[36],"",0,1)</f>
        <v>4</v>
      </c>
      <c r="AW548" cm="1">
        <f t="array" ref="AW548">_xlfn.XLOOKUP(Matrix[[#This Row],[TEAM]]&amp;Matrix[[#Headers],[37]],FDR[FDR]&amp;FDR[[#Headers],[37]],FDR[37],"",0,1)</f>
        <v>2</v>
      </c>
      <c r="AX548" cm="1">
        <f t="array" ref="AX548">_xlfn.XLOOKUP(Matrix[[#This Row],[TEAM]]&amp;Matrix[[#Headers],[38]],FDR[FDR]&amp;FDR[[#Headers],[38]],FDR[38],"",0,1)</f>
        <v>1</v>
      </c>
    </row>
    <row r="549" spans="1:50" ht="22" thickTop="1" thickBot="1">
      <c r="A549" s="49" t="str">
        <f>INDEX!S$5</f>
        <v>FWD</v>
      </c>
      <c r="B549" s="70" t="s">
        <v>1367</v>
      </c>
      <c r="C549" s="40" t="s">
        <v>30</v>
      </c>
      <c r="D549" s="62">
        <v>64</v>
      </c>
      <c r="E549" s="60">
        <v>7.0000000000000001E-3</v>
      </c>
      <c r="F549" s="61">
        <v>78</v>
      </c>
      <c r="G549" s="63">
        <v>6</v>
      </c>
      <c r="H549" s="261">
        <f>IF(ISBLANK(I549),0,1)</f>
        <v>1</v>
      </c>
      <c r="I549" s="57" t="s">
        <v>942</v>
      </c>
      <c r="J549" s="58">
        <v>0.5</v>
      </c>
      <c r="K549" s="64" t="s">
        <v>756</v>
      </c>
      <c r="L549" s="64" t="s">
        <v>757</v>
      </c>
      <c r="M549" cm="1">
        <f t="array" ref="M549">_xlfn.XLOOKUP(Matrix[[#This Row],[TEAM]]&amp;Matrix[[#Headers],[1]],FDR[FDR]&amp;FDR[[#Headers],[1]],FDR[1],"",0,1)</f>
        <v>3</v>
      </c>
      <c r="N549" cm="1">
        <f t="array" ref="N549">_xlfn.XLOOKUP(Matrix[[#This Row],[TEAM]]&amp;Matrix[[#Headers],[2]],FDR[FDR]&amp;FDR[[#Headers],[2]],FDR[2],"",0,1)</f>
        <v>2</v>
      </c>
      <c r="O549" cm="1">
        <f t="array" ref="O549">_xlfn.XLOOKUP(Matrix[[#This Row],[TEAM]]&amp;Matrix[[#Headers],[3]],FDR[FDR]&amp;FDR[[#Headers],[3]],FDR[3],"",0,1)</f>
        <v>1</v>
      </c>
      <c r="P549" cm="1">
        <f t="array" ref="P549">_xlfn.XLOOKUP(Matrix[[#This Row],[TEAM]]&amp;Matrix[[#Headers],[4]],FDR[FDR]&amp;FDR[[#Headers],[4]],FDR[4],"",0,1)</f>
        <v>4</v>
      </c>
      <c r="Q549" cm="1">
        <f t="array" ref="Q549">_xlfn.XLOOKUP(Matrix[[#This Row],[TEAM]]&amp;Matrix[[#Headers],[5]],FDR[FDR]&amp;FDR[[#Headers],[5]],FDR[5],"",0,1)</f>
        <v>3</v>
      </c>
      <c r="R549" cm="1">
        <f t="array" ref="R549">_xlfn.XLOOKUP(Matrix[[#This Row],[TEAM]]&amp;Matrix[[#Headers],[6]],FDR[FDR]&amp;FDR[[#Headers],[6]],FDR[6],"",0,1)</f>
        <v>2</v>
      </c>
      <c r="S549" cm="1">
        <f t="array" ref="S549">_xlfn.XLOOKUP(Matrix[[#This Row],[TEAM]]&amp;Matrix[[#Headers],[7]],FDR[FDR]&amp;FDR[[#Headers],[7]],FDR[7],"",0,1)</f>
        <v>1</v>
      </c>
      <c r="T549" cm="1">
        <f t="array" ref="T549">_xlfn.XLOOKUP(Matrix[[#This Row],[TEAM]]&amp;Matrix[[#Headers],[8]],FDR[FDR]&amp;FDR[[#Headers],[8]],FDR[8],"",0,1)</f>
        <v>4</v>
      </c>
      <c r="U549" cm="1">
        <f t="array" ref="U549">_xlfn.XLOOKUP(Matrix[[#This Row],[TEAM]]&amp;Matrix[[#Headers],[9]],FDR[FDR]&amp;FDR[[#Headers],[9]],FDR[9],"",0,1)</f>
        <v>1</v>
      </c>
      <c r="V549" cm="1">
        <f t="array" ref="V549">_xlfn.XLOOKUP(Matrix[[#This Row],[TEAM]]&amp;Matrix[[#Headers],[10]],FDR[FDR]&amp;FDR[[#Headers],[10]],FDR[10],"",0,1)</f>
        <v>2</v>
      </c>
      <c r="W549" cm="1">
        <f t="array" ref="W549">_xlfn.XLOOKUP(Matrix[[#This Row],[TEAM]]&amp;Matrix[[#Headers],[11]],FDR[FDR]&amp;FDR[[#Headers],[11]],FDR[11],"",0,1)</f>
        <v>4</v>
      </c>
      <c r="X549" cm="1">
        <f t="array" ref="X549">_xlfn.XLOOKUP(Matrix[[#This Row],[TEAM]]&amp;Matrix[[#Headers],[12]],FDR[FDR]&amp;FDR[[#Headers],[12]],FDR[12],"",0,1)</f>
        <v>1</v>
      </c>
      <c r="Y549" cm="1">
        <f t="array" ref="Y549">_xlfn.XLOOKUP(Matrix[[#This Row],[TEAM]]&amp;Matrix[[#Headers],[13]],FDR[FDR]&amp;FDR[[#Headers],[13]],FDR[13],"",0,1)</f>
        <v>2</v>
      </c>
      <c r="Z549" cm="1">
        <f t="array" ref="Z549">_xlfn.XLOOKUP(Matrix[[#This Row],[TEAM]]&amp;Matrix[[#Headers],[14]],FDR[FDR]&amp;FDR[[#Headers],[14]],FDR[14],"",0,1)</f>
        <v>1</v>
      </c>
      <c r="AA549" cm="1">
        <f t="array" ref="AA549">_xlfn.XLOOKUP(Matrix[[#This Row],[TEAM]]&amp;Matrix[[#Headers],[15]],FDR[FDR]&amp;FDR[[#Headers],[15]],FDR[15],"",0,1)</f>
        <v>1</v>
      </c>
      <c r="AB549" cm="1">
        <f t="array" ref="AB549">_xlfn.XLOOKUP(Matrix[[#This Row],[TEAM]]&amp;Matrix[[#Headers],[16]],FDR[FDR]&amp;FDR[[#Headers],[16]],FDR[16],"",0,1)</f>
        <v>1</v>
      </c>
      <c r="AC549" cm="1">
        <f t="array" ref="AC549">_xlfn.XLOOKUP(Matrix[[#This Row],[TEAM]]&amp;Matrix[[#Headers],[17]],FDR[FDR]&amp;FDR[[#Headers],[17]],FDR[17],"",0,1)</f>
        <v>3</v>
      </c>
      <c r="AD549" cm="1">
        <f t="array" ref="AD549">_xlfn.XLOOKUP(Matrix[[#This Row],[TEAM]]&amp;Matrix[[#Headers],[18]],FDR[FDR]&amp;FDR[[#Headers],[18]],FDR[18],"",0,1)</f>
        <v>2</v>
      </c>
      <c r="AE549" cm="1">
        <f t="array" ref="AE549">_xlfn.XLOOKUP(Matrix[[#This Row],[TEAM]]&amp;Matrix[[#Headers],[19]],FDR[FDR]&amp;FDR[[#Headers],[19]],FDR[19],"",0,1)</f>
        <v>1</v>
      </c>
      <c r="AF549" cm="1">
        <f t="array" ref="AF549">_xlfn.XLOOKUP(Matrix[[#This Row],[TEAM]]&amp;Matrix[[#Headers],[20]],FDR[FDR]&amp;FDR[[#Headers],[20]],FDR[20],"",0,1)</f>
        <v>1</v>
      </c>
      <c r="AG549" cm="1">
        <f t="array" ref="AG549">_xlfn.XLOOKUP(Matrix[[#This Row],[TEAM]]&amp;Matrix[[#Headers],[21]],FDR[FDR]&amp;FDR[[#Headers],[21]],FDR[21],"",0,1)</f>
        <v>1</v>
      </c>
      <c r="AH549" cm="1">
        <f t="array" ref="AH549">_xlfn.XLOOKUP(Matrix[[#This Row],[TEAM]]&amp;Matrix[[#Headers],[22]],FDR[FDR]&amp;FDR[[#Headers],[22]],FDR[22],"",0,1)</f>
        <v>3</v>
      </c>
      <c r="AI549" cm="1">
        <f t="array" ref="AI549">_xlfn.XLOOKUP(Matrix[[#This Row],[TEAM]]&amp;Matrix[[#Headers],[23]],FDR[FDR]&amp;FDR[[#Headers],[23]],FDR[23],"",0,1)</f>
        <v>4</v>
      </c>
      <c r="AJ549" cm="1">
        <f t="array" ref="AJ549">_xlfn.XLOOKUP(Matrix[[#This Row],[TEAM]]&amp;Matrix[[#Headers],[24]],FDR[FDR]&amp;FDR[[#Headers],[24]],FDR[24],"",0,1)</f>
        <v>1</v>
      </c>
      <c r="AK549" cm="1">
        <f t="array" ref="AK549">_xlfn.XLOOKUP(Matrix[[#This Row],[TEAM]]&amp;Matrix[[#Headers],[25]],FDR[FDR]&amp;FDR[[#Headers],[25]],FDR[25],"",0,1)</f>
        <v>3</v>
      </c>
      <c r="AL549" cm="1">
        <f t="array" ref="AL549">_xlfn.XLOOKUP(Matrix[[#This Row],[TEAM]]&amp;Matrix[[#Headers],[26]],FDR[FDR]&amp;FDR[[#Headers],[26]],FDR[26],"",0,1)</f>
        <v>2</v>
      </c>
      <c r="AM549" cm="1">
        <f t="array" ref="AM549">_xlfn.XLOOKUP(Matrix[[#This Row],[TEAM]]&amp;Matrix[[#Headers],[27]],FDR[FDR]&amp;FDR[[#Headers],[27]],FDR[27],"",0,1)</f>
        <v>2</v>
      </c>
      <c r="AN549" cm="1">
        <f t="array" ref="AN549">_xlfn.XLOOKUP(Matrix[[#This Row],[TEAM]]&amp;Matrix[[#Headers],[28]],FDR[FDR]&amp;FDR[[#Headers],[28]],FDR[28],"",0,1)</f>
        <v>1</v>
      </c>
      <c r="AO549" cm="1">
        <f t="array" ref="AO549">_xlfn.XLOOKUP(Matrix[[#This Row],[TEAM]]&amp;Matrix[[#Headers],[29]],FDR[FDR]&amp;FDR[[#Headers],[29]],FDR[29],"",0,1)</f>
        <v>3</v>
      </c>
      <c r="AP549" cm="1">
        <f t="array" ref="AP549">_xlfn.XLOOKUP(Matrix[[#This Row],[TEAM]]&amp;Matrix[[#Headers],[30]],FDR[FDR]&amp;FDR[[#Headers],[30]],FDR[30],"",0,1)</f>
        <v>2</v>
      </c>
      <c r="AQ549" cm="1">
        <f t="array" ref="AQ549">_xlfn.XLOOKUP(Matrix[[#This Row],[TEAM]]&amp;Matrix[[#Headers],[31]],FDR[FDR]&amp;FDR[[#Headers],[31]],FDR[31],"",0,1)</f>
        <v>2</v>
      </c>
      <c r="AR549" cm="1">
        <f t="array" ref="AR549">_xlfn.XLOOKUP(Matrix[[#This Row],[TEAM]]&amp;Matrix[[#Headers],[32]],FDR[FDR]&amp;FDR[[#Headers],[32]],FDR[32],"",0,1)</f>
        <v>1</v>
      </c>
      <c r="AS549" cm="1">
        <f t="array" ref="AS549">_xlfn.XLOOKUP(Matrix[[#This Row],[TEAM]]&amp;Matrix[[#Headers],[33]],FDR[FDR]&amp;FDR[[#Headers],[33]],FDR[33],"",0,1)</f>
        <v>4</v>
      </c>
      <c r="AT549" cm="1">
        <f t="array" ref="AT549">_xlfn.XLOOKUP(Matrix[[#This Row],[TEAM]]&amp;Matrix[[#Headers],[34]],FDR[FDR]&amp;FDR[[#Headers],[34]],FDR[34],"",0,1)</f>
        <v>1</v>
      </c>
      <c r="AU549" cm="1">
        <f t="array" ref="AU549">_xlfn.XLOOKUP(Matrix[[#This Row],[TEAM]]&amp;Matrix[[#Headers],[35]],FDR[FDR]&amp;FDR[[#Headers],[35]],FDR[35],"",0,1)</f>
        <v>3</v>
      </c>
      <c r="AV549" cm="1">
        <f t="array" ref="AV549">_xlfn.XLOOKUP(Matrix[[#This Row],[TEAM]]&amp;Matrix[[#Headers],[36]],FDR[FDR]&amp;FDR[[#Headers],[36]],FDR[36],"",0,1)</f>
        <v>1</v>
      </c>
      <c r="AW549" cm="1">
        <f t="array" ref="AW549">_xlfn.XLOOKUP(Matrix[[#This Row],[TEAM]]&amp;Matrix[[#Headers],[37]],FDR[FDR]&amp;FDR[[#Headers],[37]],FDR[37],"",0,1)</f>
        <v>1</v>
      </c>
      <c r="AX549" cm="1">
        <f t="array" ref="AX549">_xlfn.XLOOKUP(Matrix[[#This Row],[TEAM]]&amp;Matrix[[#Headers],[38]],FDR[FDR]&amp;FDR[[#Headers],[38]],FDR[38],"",0,1)</f>
        <v>2</v>
      </c>
    </row>
    <row r="550" spans="1:50" ht="22" thickTop="1" thickBot="1">
      <c r="A550" s="51" t="s">
        <v>657</v>
      </c>
      <c r="B550" s="70" t="s">
        <v>1346</v>
      </c>
      <c r="C550" s="40" t="s">
        <v>17</v>
      </c>
      <c r="D550" s="62">
        <v>0</v>
      </c>
      <c r="E550" s="60">
        <v>0.29399999999999998</v>
      </c>
      <c r="F550" s="61">
        <v>0</v>
      </c>
      <c r="G550" s="63">
        <v>5.9</v>
      </c>
      <c r="H550" s="261">
        <f>IF(ISBLANK(I550),0,1)</f>
        <v>1</v>
      </c>
      <c r="I550" s="57" t="s">
        <v>894</v>
      </c>
      <c r="J550" s="58" t="s">
        <v>1982</v>
      </c>
      <c r="K550" s="65" t="s">
        <v>750</v>
      </c>
      <c r="L550" s="65" t="s">
        <v>751</v>
      </c>
      <c r="M550" cm="1">
        <f t="array" ref="M550">_xlfn.XLOOKUP(Matrix[[#This Row],[TEAM]]&amp;Matrix[[#Headers],[1]],FDR[FDR]&amp;FDR[[#Headers],[1]],FDR[1],"",0,1)</f>
        <v>1</v>
      </c>
      <c r="N550" cm="1">
        <f t="array" ref="N550">_xlfn.XLOOKUP(Matrix[[#This Row],[TEAM]]&amp;Matrix[[#Headers],[2]],FDR[FDR]&amp;FDR[[#Headers],[2]],FDR[2],"",0,1)</f>
        <v>3</v>
      </c>
      <c r="O550" cm="1">
        <f t="array" ref="O550">_xlfn.XLOOKUP(Matrix[[#This Row],[TEAM]]&amp;Matrix[[#Headers],[3]],FDR[FDR]&amp;FDR[[#Headers],[3]],FDR[3],"",0,1)</f>
        <v>3</v>
      </c>
      <c r="P550" cm="1">
        <f t="array" ref="P550">_xlfn.XLOOKUP(Matrix[[#This Row],[TEAM]]&amp;Matrix[[#Headers],[4]],FDR[FDR]&amp;FDR[[#Headers],[4]],FDR[4],"",0,1)</f>
        <v>1</v>
      </c>
      <c r="Q550" cm="1">
        <f t="array" ref="Q550">_xlfn.XLOOKUP(Matrix[[#This Row],[TEAM]]&amp;Matrix[[#Headers],[5]],FDR[FDR]&amp;FDR[[#Headers],[5]],FDR[5],"",0,1)</f>
        <v>1</v>
      </c>
      <c r="R550" cm="1">
        <f t="array" ref="R550">_xlfn.XLOOKUP(Matrix[[#This Row],[TEAM]]&amp;Matrix[[#Headers],[6]],FDR[FDR]&amp;FDR[[#Headers],[6]],FDR[6],"",0,1)</f>
        <v>2</v>
      </c>
      <c r="S550" cm="1">
        <f t="array" ref="S550">_xlfn.XLOOKUP(Matrix[[#This Row],[TEAM]]&amp;Matrix[[#Headers],[7]],FDR[FDR]&amp;FDR[[#Headers],[7]],FDR[7],"",0,1)</f>
        <v>3</v>
      </c>
      <c r="T550" cm="1">
        <f t="array" ref="T550">_xlfn.XLOOKUP(Matrix[[#This Row],[TEAM]]&amp;Matrix[[#Headers],[8]],FDR[FDR]&amp;FDR[[#Headers],[8]],FDR[8],"",0,1)</f>
        <v>2</v>
      </c>
      <c r="U550" cm="1">
        <f t="array" ref="U550">_xlfn.XLOOKUP(Matrix[[#This Row],[TEAM]]&amp;Matrix[[#Headers],[9]],FDR[FDR]&amp;FDR[[#Headers],[9]],FDR[9],"",0,1)</f>
        <v>2</v>
      </c>
      <c r="V550" cm="1">
        <f t="array" ref="V550">_xlfn.XLOOKUP(Matrix[[#This Row],[TEAM]]&amp;Matrix[[#Headers],[10]],FDR[FDR]&amp;FDR[[#Headers],[10]],FDR[10],"",0,1)</f>
        <v>2</v>
      </c>
      <c r="W550" cm="1">
        <f t="array" ref="W550">_xlfn.XLOOKUP(Matrix[[#This Row],[TEAM]]&amp;Matrix[[#Headers],[11]],FDR[FDR]&amp;FDR[[#Headers],[11]],FDR[11],"",0,1)</f>
        <v>3</v>
      </c>
      <c r="X550" cm="1">
        <f t="array" ref="X550">_xlfn.XLOOKUP(Matrix[[#This Row],[TEAM]]&amp;Matrix[[#Headers],[12]],FDR[FDR]&amp;FDR[[#Headers],[12]],FDR[12],"",0,1)</f>
        <v>1</v>
      </c>
      <c r="Y550" cm="1">
        <f t="array" ref="Y550">_xlfn.XLOOKUP(Matrix[[#This Row],[TEAM]]&amp;Matrix[[#Headers],[13]],FDR[FDR]&amp;FDR[[#Headers],[13]],FDR[13],"",0,1)</f>
        <v>2</v>
      </c>
      <c r="Z550" cm="1">
        <f t="array" ref="Z550">_xlfn.XLOOKUP(Matrix[[#This Row],[TEAM]]&amp;Matrix[[#Headers],[14]],FDR[FDR]&amp;FDR[[#Headers],[14]],FDR[14],"",0,1)</f>
        <v>1</v>
      </c>
      <c r="AA550" cm="1">
        <f t="array" ref="AA550">_xlfn.XLOOKUP(Matrix[[#This Row],[TEAM]]&amp;Matrix[[#Headers],[15]],FDR[FDR]&amp;FDR[[#Headers],[15]],FDR[15],"",0,1)</f>
        <v>1</v>
      </c>
      <c r="AB550" cm="1">
        <f t="array" ref="AB550">_xlfn.XLOOKUP(Matrix[[#This Row],[TEAM]]&amp;Matrix[[#Headers],[16]],FDR[FDR]&amp;FDR[[#Headers],[16]],FDR[16],"",0,1)</f>
        <v>1</v>
      </c>
      <c r="AC550" cm="1">
        <f t="array" ref="AC550">_xlfn.XLOOKUP(Matrix[[#This Row],[TEAM]]&amp;Matrix[[#Headers],[17]],FDR[FDR]&amp;FDR[[#Headers],[17]],FDR[17],"",0,1)</f>
        <v>3</v>
      </c>
      <c r="AD550" cm="1">
        <f t="array" ref="AD550">_xlfn.XLOOKUP(Matrix[[#This Row],[TEAM]]&amp;Matrix[[#Headers],[18]],FDR[FDR]&amp;FDR[[#Headers],[18]],FDR[18],"",0,1)</f>
        <v>1</v>
      </c>
      <c r="AE550" cm="1">
        <f t="array" ref="AE550">_xlfn.XLOOKUP(Matrix[[#This Row],[TEAM]]&amp;Matrix[[#Headers],[19]],FDR[FDR]&amp;FDR[[#Headers],[19]],FDR[19],"",0,1)</f>
        <v>1</v>
      </c>
      <c r="AF550" cm="1">
        <f t="array" ref="AF550">_xlfn.XLOOKUP(Matrix[[#This Row],[TEAM]]&amp;Matrix[[#Headers],[20]],FDR[FDR]&amp;FDR[[#Headers],[20]],FDR[20],"",0,1)</f>
        <v>2</v>
      </c>
      <c r="AG550" cm="1">
        <f t="array" ref="AG550">_xlfn.XLOOKUP(Matrix[[#This Row],[TEAM]]&amp;Matrix[[#Headers],[21]],FDR[FDR]&amp;FDR[[#Headers],[21]],FDR[21],"",0,1)</f>
        <v>3</v>
      </c>
      <c r="AH550" cm="1">
        <f t="array" ref="AH550">_xlfn.XLOOKUP(Matrix[[#This Row],[TEAM]]&amp;Matrix[[#Headers],[22]],FDR[FDR]&amp;FDR[[#Headers],[22]],FDR[22],"",0,1)</f>
        <v>1</v>
      </c>
      <c r="AI550" cm="1">
        <f t="array" ref="AI550">_xlfn.XLOOKUP(Matrix[[#This Row],[TEAM]]&amp;Matrix[[#Headers],[23]],FDR[FDR]&amp;FDR[[#Headers],[23]],FDR[23],"",0,1)</f>
        <v>2</v>
      </c>
      <c r="AJ550" cm="1">
        <f t="array" ref="AJ550">_xlfn.XLOOKUP(Matrix[[#This Row],[TEAM]]&amp;Matrix[[#Headers],[24]],FDR[FDR]&amp;FDR[[#Headers],[24]],FDR[24],"",0,1)</f>
        <v>2</v>
      </c>
      <c r="AK550" cm="1">
        <f t="array" ref="AK550">_xlfn.XLOOKUP(Matrix[[#This Row],[TEAM]]&amp;Matrix[[#Headers],[25]],FDR[FDR]&amp;FDR[[#Headers],[25]],FDR[25],"",0,1)</f>
        <v>3</v>
      </c>
      <c r="AL550" cm="1">
        <f t="array" ref="AL550">_xlfn.XLOOKUP(Matrix[[#This Row],[TEAM]]&amp;Matrix[[#Headers],[26]],FDR[FDR]&amp;FDR[[#Headers],[26]],FDR[26],"",0,1)</f>
        <v>1</v>
      </c>
      <c r="AM550" cm="1">
        <f t="array" ref="AM550">_xlfn.XLOOKUP(Matrix[[#This Row],[TEAM]]&amp;Matrix[[#Headers],[27]],FDR[FDR]&amp;FDR[[#Headers],[27]],FDR[27],"",0,1)</f>
        <v>2</v>
      </c>
      <c r="AN550" cm="1">
        <f t="array" ref="AN550">_xlfn.XLOOKUP(Matrix[[#This Row],[TEAM]]&amp;Matrix[[#Headers],[28]],FDR[FDR]&amp;FDR[[#Headers],[28]],FDR[28],"",0,1)</f>
        <v>1</v>
      </c>
      <c r="AO550" cm="1">
        <f t="array" ref="AO550">_xlfn.XLOOKUP(Matrix[[#This Row],[TEAM]]&amp;Matrix[[#Headers],[29]],FDR[FDR]&amp;FDR[[#Headers],[29]],FDR[29],"",0,1)</f>
        <v>1</v>
      </c>
      <c r="AP550" cm="1">
        <f t="array" ref="AP550">_xlfn.XLOOKUP(Matrix[[#This Row],[TEAM]]&amp;Matrix[[#Headers],[30]],FDR[FDR]&amp;FDR[[#Headers],[30]],FDR[30],"",0,1)</f>
        <v>2</v>
      </c>
      <c r="AQ550" cm="1">
        <f t="array" ref="AQ550">_xlfn.XLOOKUP(Matrix[[#This Row],[TEAM]]&amp;Matrix[[#Headers],[31]],FDR[FDR]&amp;FDR[[#Headers],[31]],FDR[31],"",0,1)</f>
        <v>2</v>
      </c>
      <c r="AR550" cm="1">
        <f t="array" ref="AR550">_xlfn.XLOOKUP(Matrix[[#This Row],[TEAM]]&amp;Matrix[[#Headers],[32]],FDR[FDR]&amp;FDR[[#Headers],[32]],FDR[32],"",0,1)</f>
        <v>1</v>
      </c>
      <c r="AS550" cm="1">
        <f t="array" ref="AS550">_xlfn.XLOOKUP(Matrix[[#This Row],[TEAM]]&amp;Matrix[[#Headers],[33]],FDR[FDR]&amp;FDR[[#Headers],[33]],FDR[33],"",0,1)</f>
        <v>2</v>
      </c>
      <c r="AT550" cm="1">
        <f t="array" ref="AT550">_xlfn.XLOOKUP(Matrix[[#This Row],[TEAM]]&amp;Matrix[[#Headers],[34]],FDR[FDR]&amp;FDR[[#Headers],[34]],FDR[34],"",0,1)</f>
        <v>1</v>
      </c>
      <c r="AU550" cm="1">
        <f t="array" ref="AU550">_xlfn.XLOOKUP(Matrix[[#This Row],[TEAM]]&amp;Matrix[[#Headers],[35]],FDR[FDR]&amp;FDR[[#Headers],[35]],FDR[35],"",0,1)</f>
        <v>3</v>
      </c>
      <c r="AV550" cm="1">
        <f t="array" ref="AV550">_xlfn.XLOOKUP(Matrix[[#This Row],[TEAM]]&amp;Matrix[[#Headers],[36]],FDR[FDR]&amp;FDR[[#Headers],[36]],FDR[36],"",0,1)</f>
        <v>2</v>
      </c>
      <c r="AW550" cm="1">
        <f t="array" ref="AW550">_xlfn.XLOOKUP(Matrix[[#This Row],[TEAM]]&amp;Matrix[[#Headers],[37]],FDR[FDR]&amp;FDR[[#Headers],[37]],FDR[37],"",0,1)</f>
        <v>3</v>
      </c>
      <c r="AX550" cm="1">
        <f t="array" ref="AX550">_xlfn.XLOOKUP(Matrix[[#This Row],[TEAM]]&amp;Matrix[[#Headers],[38]],FDR[FDR]&amp;FDR[[#Headers],[38]],FDR[38],"",0,1)</f>
        <v>1</v>
      </c>
    </row>
    <row r="551" spans="1:50" ht="22" thickTop="1" thickBot="1">
      <c r="A551" s="50" t="str">
        <f>INDEX!S$4</f>
        <v>MID</v>
      </c>
      <c r="B551" s="70" t="s">
        <v>1377</v>
      </c>
      <c r="C551" s="40" t="s">
        <v>33</v>
      </c>
      <c r="D551" s="62">
        <v>7</v>
      </c>
      <c r="E551" s="60">
        <v>1E-3</v>
      </c>
      <c r="F551" s="61">
        <v>10.1</v>
      </c>
      <c r="G551" s="63">
        <v>5.9</v>
      </c>
      <c r="H551" s="261">
        <f>IF(ISBLANK(I551),0,1)</f>
        <v>1</v>
      </c>
      <c r="I551" s="57" t="s">
        <v>891</v>
      </c>
      <c r="J551" s="58" t="s">
        <v>1981</v>
      </c>
      <c r="K551" s="59" t="s">
        <v>370</v>
      </c>
      <c r="L551" s="59" t="s">
        <v>71</v>
      </c>
      <c r="M551" cm="1">
        <f t="array" ref="M551">_xlfn.XLOOKUP(Matrix[[#This Row],[TEAM]]&amp;Matrix[[#Headers],[1]],FDR[FDR]&amp;FDR[[#Headers],[1]],FDR[1],"",0,1)</f>
        <v>3</v>
      </c>
      <c r="N551" cm="1">
        <f t="array" ref="N551">_xlfn.XLOOKUP(Matrix[[#This Row],[TEAM]]&amp;Matrix[[#Headers],[2]],FDR[FDR]&amp;FDR[[#Headers],[2]],FDR[2],"",0,1)</f>
        <v>3</v>
      </c>
      <c r="O551" cm="1">
        <f t="array" ref="O551">_xlfn.XLOOKUP(Matrix[[#This Row],[TEAM]]&amp;Matrix[[#Headers],[3]],FDR[FDR]&amp;FDR[[#Headers],[3]],FDR[3],"",0,1)</f>
        <v>4</v>
      </c>
      <c r="P551" cm="1">
        <f t="array" ref="P551">_xlfn.XLOOKUP(Matrix[[#This Row],[TEAM]]&amp;Matrix[[#Headers],[4]],FDR[FDR]&amp;FDR[[#Headers],[4]],FDR[4],"",0,1)</f>
        <v>4</v>
      </c>
      <c r="Q551" cm="1">
        <f t="array" ref="Q551">_xlfn.XLOOKUP(Matrix[[#This Row],[TEAM]]&amp;Matrix[[#Headers],[5]],FDR[FDR]&amp;FDR[[#Headers],[5]],FDR[5],"",0,1)</f>
        <v>4</v>
      </c>
      <c r="R551" cm="1">
        <f t="array" ref="R551">_xlfn.XLOOKUP(Matrix[[#This Row],[TEAM]]&amp;Matrix[[#Headers],[6]],FDR[FDR]&amp;FDR[[#Headers],[6]],FDR[6],"",0,1)</f>
        <v>5</v>
      </c>
      <c r="S551" cm="1">
        <f t="array" ref="S551">_xlfn.XLOOKUP(Matrix[[#This Row],[TEAM]]&amp;Matrix[[#Headers],[7]],FDR[FDR]&amp;FDR[[#Headers],[7]],FDR[7],"",0,1)</f>
        <v>2</v>
      </c>
      <c r="T551" cm="1">
        <f t="array" ref="T551">_xlfn.XLOOKUP(Matrix[[#This Row],[TEAM]]&amp;Matrix[[#Headers],[8]],FDR[FDR]&amp;FDR[[#Headers],[8]],FDR[8],"",0,1)</f>
        <v>4</v>
      </c>
      <c r="U551" cm="1">
        <f t="array" ref="U551">_xlfn.XLOOKUP(Matrix[[#This Row],[TEAM]]&amp;Matrix[[#Headers],[9]],FDR[FDR]&amp;FDR[[#Headers],[9]],FDR[9],"",0,1)</f>
        <v>5</v>
      </c>
      <c r="V551" cm="1">
        <f t="array" ref="V551">_xlfn.XLOOKUP(Matrix[[#This Row],[TEAM]]&amp;Matrix[[#Headers],[10]],FDR[FDR]&amp;FDR[[#Headers],[10]],FDR[10],"",0,1)</f>
        <v>1</v>
      </c>
      <c r="W551" cm="1">
        <f t="array" ref="W551">_xlfn.XLOOKUP(Matrix[[#This Row],[TEAM]]&amp;Matrix[[#Headers],[11]],FDR[FDR]&amp;FDR[[#Headers],[11]],FDR[11],"",0,1)</f>
        <v>3</v>
      </c>
      <c r="X551" cm="1">
        <f t="array" ref="X551">_xlfn.XLOOKUP(Matrix[[#This Row],[TEAM]]&amp;Matrix[[#Headers],[12]],FDR[FDR]&amp;FDR[[#Headers],[12]],FDR[12],"",0,1)</f>
        <v>2</v>
      </c>
      <c r="Y551" cm="1">
        <f t="array" ref="Y551">_xlfn.XLOOKUP(Matrix[[#This Row],[TEAM]]&amp;Matrix[[#Headers],[13]],FDR[FDR]&amp;FDR[[#Headers],[13]],FDR[13],"",0,1)</f>
        <v>4</v>
      </c>
      <c r="Z551" cm="1">
        <f t="array" ref="Z551">_xlfn.XLOOKUP(Matrix[[#This Row],[TEAM]]&amp;Matrix[[#Headers],[14]],FDR[FDR]&amp;FDR[[#Headers],[14]],FDR[14],"",0,1)</f>
        <v>3</v>
      </c>
      <c r="AA551" cm="1">
        <f t="array" ref="AA551">_xlfn.XLOOKUP(Matrix[[#This Row],[TEAM]]&amp;Matrix[[#Headers],[15]],FDR[FDR]&amp;FDR[[#Headers],[15]],FDR[15],"",0,1)</f>
        <v>2</v>
      </c>
      <c r="AB551" cm="1">
        <f t="array" ref="AB551">_xlfn.XLOOKUP(Matrix[[#This Row],[TEAM]]&amp;Matrix[[#Headers],[16]],FDR[FDR]&amp;FDR[[#Headers],[16]],FDR[16],"",0,1)</f>
        <v>5</v>
      </c>
      <c r="AC551" cm="1">
        <f t="array" ref="AC551">_xlfn.XLOOKUP(Matrix[[#This Row],[TEAM]]&amp;Matrix[[#Headers],[17]],FDR[FDR]&amp;FDR[[#Headers],[17]],FDR[17],"",0,1)</f>
        <v>1</v>
      </c>
      <c r="AD551" cm="1">
        <f t="array" ref="AD551">_xlfn.XLOOKUP(Matrix[[#This Row],[TEAM]]&amp;Matrix[[#Headers],[18]],FDR[FDR]&amp;FDR[[#Headers],[18]],FDR[18],"",0,1)</f>
        <v>5</v>
      </c>
      <c r="AE551" cm="1">
        <f t="array" ref="AE551">_xlfn.XLOOKUP(Matrix[[#This Row],[TEAM]]&amp;Matrix[[#Headers],[19]],FDR[FDR]&amp;FDR[[#Headers],[19]],FDR[19],"",0,1)</f>
        <v>3</v>
      </c>
      <c r="AF551" cm="1">
        <f t="array" ref="AF551">_xlfn.XLOOKUP(Matrix[[#This Row],[TEAM]]&amp;Matrix[[#Headers],[20]],FDR[FDR]&amp;FDR[[#Headers],[20]],FDR[20],"",0,1)</f>
        <v>1</v>
      </c>
      <c r="AG551" cm="1">
        <f t="array" ref="AG551">_xlfn.XLOOKUP(Matrix[[#This Row],[TEAM]]&amp;Matrix[[#Headers],[21]],FDR[FDR]&amp;FDR[[#Headers],[21]],FDR[21],"",0,1)</f>
        <v>5</v>
      </c>
      <c r="AH551" cm="1">
        <f t="array" ref="AH551">_xlfn.XLOOKUP(Matrix[[#This Row],[TEAM]]&amp;Matrix[[#Headers],[22]],FDR[FDR]&amp;FDR[[#Headers],[22]],FDR[22],"",0,1)</f>
        <v>3</v>
      </c>
      <c r="AI551" cm="1">
        <f t="array" ref="AI551">_xlfn.XLOOKUP(Matrix[[#This Row],[TEAM]]&amp;Matrix[[#Headers],[23]],FDR[FDR]&amp;FDR[[#Headers],[23]],FDR[23],"",0,1)</f>
        <v>4</v>
      </c>
      <c r="AJ551" cm="1">
        <f t="array" ref="AJ551">_xlfn.XLOOKUP(Matrix[[#This Row],[TEAM]]&amp;Matrix[[#Headers],[24]],FDR[FDR]&amp;FDR[[#Headers],[24]],FDR[24],"",0,1)</f>
        <v>2</v>
      </c>
      <c r="AK551" cm="1">
        <f t="array" ref="AK551">_xlfn.XLOOKUP(Matrix[[#This Row],[TEAM]]&amp;Matrix[[#Headers],[25]],FDR[FDR]&amp;FDR[[#Headers],[25]],FDR[25],"",0,1)</f>
        <v>2</v>
      </c>
      <c r="AL551" cm="1">
        <f t="array" ref="AL551">_xlfn.XLOOKUP(Matrix[[#This Row],[TEAM]]&amp;Matrix[[#Headers],[26]],FDR[FDR]&amp;FDR[[#Headers],[26]],FDR[26],"",0,1)</f>
        <v>5</v>
      </c>
      <c r="AM551" cm="1">
        <f t="array" ref="AM551">_xlfn.XLOOKUP(Matrix[[#This Row],[TEAM]]&amp;Matrix[[#Headers],[27]],FDR[FDR]&amp;FDR[[#Headers],[27]],FDR[27],"",0,1)</f>
        <v>3</v>
      </c>
      <c r="AN551" cm="1">
        <f t="array" ref="AN551">_xlfn.XLOOKUP(Matrix[[#This Row],[TEAM]]&amp;Matrix[[#Headers],[28]],FDR[FDR]&amp;FDR[[#Headers],[28]],FDR[28],"",0,1)</f>
        <v>3</v>
      </c>
      <c r="AO551" cm="1">
        <f t="array" ref="AO551">_xlfn.XLOOKUP(Matrix[[#This Row],[TEAM]]&amp;Matrix[[#Headers],[29]],FDR[FDR]&amp;FDR[[#Headers],[29]],FDR[29],"",0,1)</f>
        <v>4</v>
      </c>
      <c r="AP551" cm="1">
        <f t="array" ref="AP551">_xlfn.XLOOKUP(Matrix[[#This Row],[TEAM]]&amp;Matrix[[#Headers],[30]],FDR[FDR]&amp;FDR[[#Headers],[30]],FDR[30],"",0,1)</f>
        <v>2</v>
      </c>
      <c r="AQ551" cm="1">
        <f t="array" ref="AQ551">_xlfn.XLOOKUP(Matrix[[#This Row],[TEAM]]&amp;Matrix[[#Headers],[31]],FDR[FDR]&amp;FDR[[#Headers],[31]],FDR[31],"",0,1)</f>
        <v>4</v>
      </c>
      <c r="AR551" cm="1">
        <f t="array" ref="AR551">_xlfn.XLOOKUP(Matrix[[#This Row],[TEAM]]&amp;Matrix[[#Headers],[32]],FDR[FDR]&amp;FDR[[#Headers],[32]],FDR[32],"",0,1)</f>
        <v>2</v>
      </c>
      <c r="AS551" cm="1">
        <f t="array" ref="AS551">_xlfn.XLOOKUP(Matrix[[#This Row],[TEAM]]&amp;Matrix[[#Headers],[33]],FDR[FDR]&amp;FDR[[#Headers],[33]],FDR[33],"",0,1)</f>
        <v>5</v>
      </c>
      <c r="AT551" cm="1">
        <f t="array" ref="AT551">_xlfn.XLOOKUP(Matrix[[#This Row],[TEAM]]&amp;Matrix[[#Headers],[34]],FDR[FDR]&amp;FDR[[#Headers],[34]],FDR[34],"",0,1)</f>
        <v>4</v>
      </c>
      <c r="AU551" cm="1">
        <f t="array" ref="AU551">_xlfn.XLOOKUP(Matrix[[#This Row],[TEAM]]&amp;Matrix[[#Headers],[35]],FDR[FDR]&amp;FDR[[#Headers],[35]],FDR[35],"",0,1)</f>
        <v>5</v>
      </c>
      <c r="AV551" cm="1">
        <f t="array" ref="AV551">_xlfn.XLOOKUP(Matrix[[#This Row],[TEAM]]&amp;Matrix[[#Headers],[36]],FDR[FDR]&amp;FDR[[#Headers],[36]],FDR[36],"",0,1)</f>
        <v>1</v>
      </c>
      <c r="AW551" cm="1">
        <f t="array" ref="AW551">_xlfn.XLOOKUP(Matrix[[#This Row],[TEAM]]&amp;Matrix[[#Headers],[37]],FDR[FDR]&amp;FDR[[#Headers],[37]],FDR[37],"",0,1)</f>
        <v>2</v>
      </c>
      <c r="AX551" cm="1">
        <f t="array" ref="AX551">_xlfn.XLOOKUP(Matrix[[#This Row],[TEAM]]&amp;Matrix[[#Headers],[38]],FDR[FDR]&amp;FDR[[#Headers],[38]],FDR[38],"",0,1)</f>
        <v>4</v>
      </c>
    </row>
    <row r="552" spans="1:50" ht="22" thickTop="1" thickBot="1">
      <c r="A552" s="51" t="s">
        <v>657</v>
      </c>
      <c r="B552" s="70" t="s">
        <v>1412</v>
      </c>
      <c r="C552" s="40" t="s">
        <v>20</v>
      </c>
      <c r="D552" s="62">
        <v>50</v>
      </c>
      <c r="E552" s="60">
        <v>8.0000000000000002E-3</v>
      </c>
      <c r="F552" s="61">
        <v>51</v>
      </c>
      <c r="G552" s="63">
        <v>5.5</v>
      </c>
      <c r="H552" s="261">
        <f>IF(ISBLANK(I552),0,1)</f>
        <v>1</v>
      </c>
      <c r="I552" s="57" t="s">
        <v>942</v>
      </c>
      <c r="J552" s="58">
        <v>0.75</v>
      </c>
      <c r="K552" s="65" t="s">
        <v>366</v>
      </c>
      <c r="L552" s="65" t="s">
        <v>367</v>
      </c>
      <c r="M552" cm="1">
        <f t="array" ref="M552">_xlfn.XLOOKUP(Matrix[[#This Row],[TEAM]]&amp;Matrix[[#Headers],[1]],FDR[FDR]&amp;FDR[[#Headers],[1]],FDR[1],"",0,1)</f>
        <v>3</v>
      </c>
      <c r="N552" cm="1">
        <f t="array" ref="N552">_xlfn.XLOOKUP(Matrix[[#This Row],[TEAM]]&amp;Matrix[[#Headers],[2]],FDR[FDR]&amp;FDR[[#Headers],[2]],FDR[2],"",0,1)</f>
        <v>1</v>
      </c>
      <c r="O552" cm="1">
        <f t="array" ref="O552">_xlfn.XLOOKUP(Matrix[[#This Row],[TEAM]]&amp;Matrix[[#Headers],[3]],FDR[FDR]&amp;FDR[[#Headers],[3]],FDR[3],"",0,1)</f>
        <v>4</v>
      </c>
      <c r="P552" cm="1">
        <f t="array" ref="P552">_xlfn.XLOOKUP(Matrix[[#This Row],[TEAM]]&amp;Matrix[[#Headers],[4]],FDR[FDR]&amp;FDR[[#Headers],[4]],FDR[4],"",0,1)</f>
        <v>1</v>
      </c>
      <c r="Q552" cm="1">
        <f t="array" ref="Q552">_xlfn.XLOOKUP(Matrix[[#This Row],[TEAM]]&amp;Matrix[[#Headers],[5]],FDR[FDR]&amp;FDR[[#Headers],[5]],FDR[5],"",0,1)</f>
        <v>3</v>
      </c>
      <c r="R552" cm="1">
        <f t="array" ref="R552">_xlfn.XLOOKUP(Matrix[[#This Row],[TEAM]]&amp;Matrix[[#Headers],[6]],FDR[FDR]&amp;FDR[[#Headers],[6]],FDR[6],"",0,1)</f>
        <v>3</v>
      </c>
      <c r="S552" cm="1">
        <f t="array" ref="S552">_xlfn.XLOOKUP(Matrix[[#This Row],[TEAM]]&amp;Matrix[[#Headers],[7]],FDR[FDR]&amp;FDR[[#Headers],[7]],FDR[7],"",0,1)</f>
        <v>1</v>
      </c>
      <c r="T552" cm="1">
        <f t="array" ref="T552">_xlfn.XLOOKUP(Matrix[[#This Row],[TEAM]]&amp;Matrix[[#Headers],[8]],FDR[FDR]&amp;FDR[[#Headers],[8]],FDR[8],"",0,1)</f>
        <v>2</v>
      </c>
      <c r="U552" cm="1">
        <f t="array" ref="U552">_xlfn.XLOOKUP(Matrix[[#This Row],[TEAM]]&amp;Matrix[[#Headers],[9]],FDR[FDR]&amp;FDR[[#Headers],[9]],FDR[9],"",0,1)</f>
        <v>1</v>
      </c>
      <c r="V552" cm="1">
        <f t="array" ref="V552">_xlfn.XLOOKUP(Matrix[[#This Row],[TEAM]]&amp;Matrix[[#Headers],[10]],FDR[FDR]&amp;FDR[[#Headers],[10]],FDR[10],"",0,1)</f>
        <v>1</v>
      </c>
      <c r="W552" cm="1">
        <f t="array" ref="W552">_xlfn.XLOOKUP(Matrix[[#This Row],[TEAM]]&amp;Matrix[[#Headers],[11]],FDR[FDR]&amp;FDR[[#Headers],[11]],FDR[11],"",0,1)</f>
        <v>1</v>
      </c>
      <c r="X552" cm="1">
        <f t="array" ref="X552">_xlfn.XLOOKUP(Matrix[[#This Row],[TEAM]]&amp;Matrix[[#Headers],[12]],FDR[FDR]&amp;FDR[[#Headers],[12]],FDR[12],"",0,1)</f>
        <v>2</v>
      </c>
      <c r="Y552" cm="1">
        <f t="array" ref="Y552">_xlfn.XLOOKUP(Matrix[[#This Row],[TEAM]]&amp;Matrix[[#Headers],[13]],FDR[FDR]&amp;FDR[[#Headers],[13]],FDR[13],"",0,1)</f>
        <v>3</v>
      </c>
      <c r="Z552" cm="1">
        <f t="array" ref="Z552">_xlfn.XLOOKUP(Matrix[[#This Row],[TEAM]]&amp;Matrix[[#Headers],[14]],FDR[FDR]&amp;FDR[[#Headers],[14]],FDR[14],"",0,1)</f>
        <v>1</v>
      </c>
      <c r="AA552" cm="1">
        <f t="array" ref="AA552">_xlfn.XLOOKUP(Matrix[[#This Row],[TEAM]]&amp;Matrix[[#Headers],[15]],FDR[FDR]&amp;FDR[[#Headers],[15]],FDR[15],"",0,1)</f>
        <v>3</v>
      </c>
      <c r="AB552" cm="1">
        <f t="array" ref="AB552">_xlfn.XLOOKUP(Matrix[[#This Row],[TEAM]]&amp;Matrix[[#Headers],[16]],FDR[FDR]&amp;FDR[[#Headers],[16]],FDR[16],"",0,1)</f>
        <v>1</v>
      </c>
      <c r="AC552" cm="1">
        <f t="array" ref="AC552">_xlfn.XLOOKUP(Matrix[[#This Row],[TEAM]]&amp;Matrix[[#Headers],[17]],FDR[FDR]&amp;FDR[[#Headers],[17]],FDR[17],"",0,1)</f>
        <v>2</v>
      </c>
      <c r="AD552" cm="1">
        <f t="array" ref="AD552">_xlfn.XLOOKUP(Matrix[[#This Row],[TEAM]]&amp;Matrix[[#Headers],[18]],FDR[FDR]&amp;FDR[[#Headers],[18]],FDR[18],"",0,1)</f>
        <v>1</v>
      </c>
      <c r="AE552" cm="1">
        <f t="array" ref="AE552">_xlfn.XLOOKUP(Matrix[[#This Row],[TEAM]]&amp;Matrix[[#Headers],[19]],FDR[FDR]&amp;FDR[[#Headers],[19]],FDR[19],"",0,1)</f>
        <v>2</v>
      </c>
      <c r="AF552" cm="1">
        <f t="array" ref="AF552">_xlfn.XLOOKUP(Matrix[[#This Row],[TEAM]]&amp;Matrix[[#Headers],[20]],FDR[FDR]&amp;FDR[[#Headers],[20]],FDR[20],"",0,1)</f>
        <v>2</v>
      </c>
      <c r="AG552" cm="1">
        <f t="array" ref="AG552">_xlfn.XLOOKUP(Matrix[[#This Row],[TEAM]]&amp;Matrix[[#Headers],[21]],FDR[FDR]&amp;FDR[[#Headers],[21]],FDR[21],"",0,1)</f>
        <v>3</v>
      </c>
      <c r="AH552" cm="1">
        <f t="array" ref="AH552">_xlfn.XLOOKUP(Matrix[[#This Row],[TEAM]]&amp;Matrix[[#Headers],[22]],FDR[FDR]&amp;FDR[[#Headers],[22]],FDR[22],"",0,1)</f>
        <v>2</v>
      </c>
      <c r="AI552" cm="1">
        <f t="array" ref="AI552">_xlfn.XLOOKUP(Matrix[[#This Row],[TEAM]]&amp;Matrix[[#Headers],[23]],FDR[FDR]&amp;FDR[[#Headers],[23]],FDR[23],"",0,1)</f>
        <v>2</v>
      </c>
      <c r="AJ552" cm="1">
        <f t="array" ref="AJ552">_xlfn.XLOOKUP(Matrix[[#This Row],[TEAM]]&amp;Matrix[[#Headers],[24]],FDR[FDR]&amp;FDR[[#Headers],[24]],FDR[24],"",0,1)</f>
        <v>1</v>
      </c>
      <c r="AK552" cm="1">
        <f t="array" ref="AK552">_xlfn.XLOOKUP(Matrix[[#This Row],[TEAM]]&amp;Matrix[[#Headers],[25]],FDR[FDR]&amp;FDR[[#Headers],[25]],FDR[25],"",0,1)</f>
        <v>1</v>
      </c>
      <c r="AL552" cm="1">
        <f t="array" ref="AL552">_xlfn.XLOOKUP(Matrix[[#This Row],[TEAM]]&amp;Matrix[[#Headers],[26]],FDR[FDR]&amp;FDR[[#Headers],[26]],FDR[26],"",0,1)</f>
        <v>2</v>
      </c>
      <c r="AM552" cm="1">
        <f t="array" ref="AM552">_xlfn.XLOOKUP(Matrix[[#This Row],[TEAM]]&amp;Matrix[[#Headers],[27]],FDR[FDR]&amp;FDR[[#Headers],[27]],FDR[27],"",0,1)</f>
        <v>3</v>
      </c>
      <c r="AN552" cm="1">
        <f t="array" ref="AN552">_xlfn.XLOOKUP(Matrix[[#This Row],[TEAM]]&amp;Matrix[[#Headers],[28]],FDR[FDR]&amp;FDR[[#Headers],[28]],FDR[28],"",0,1)</f>
        <v>2</v>
      </c>
      <c r="AO552" cm="1">
        <f t="array" ref="AO552">_xlfn.XLOOKUP(Matrix[[#This Row],[TEAM]]&amp;Matrix[[#Headers],[29]],FDR[FDR]&amp;FDR[[#Headers],[29]],FDR[29],"",0,1)</f>
        <v>2</v>
      </c>
      <c r="AP552" cm="1">
        <f t="array" ref="AP552">_xlfn.XLOOKUP(Matrix[[#This Row],[TEAM]]&amp;Matrix[[#Headers],[30]],FDR[FDR]&amp;FDR[[#Headers],[30]],FDR[30],"",0,1)</f>
        <v>1</v>
      </c>
      <c r="AQ552" cm="1">
        <f t="array" ref="AQ552">_xlfn.XLOOKUP(Matrix[[#This Row],[TEAM]]&amp;Matrix[[#Headers],[31]],FDR[FDR]&amp;FDR[[#Headers],[31]],FDR[31],"",0,1)</f>
        <v>1</v>
      </c>
      <c r="AR552" cm="1">
        <f t="array" ref="AR552">_xlfn.XLOOKUP(Matrix[[#This Row],[TEAM]]&amp;Matrix[[#Headers],[32]],FDR[FDR]&amp;FDR[[#Headers],[32]],FDR[32],"",0,1)</f>
        <v>1</v>
      </c>
      <c r="AS552" cm="1">
        <f t="array" ref="AS552">_xlfn.XLOOKUP(Matrix[[#This Row],[TEAM]]&amp;Matrix[[#Headers],[33]],FDR[FDR]&amp;FDR[[#Headers],[33]],FDR[33],"",0,1)</f>
        <v>3</v>
      </c>
      <c r="AT552" cm="1">
        <f t="array" ref="AT552">_xlfn.XLOOKUP(Matrix[[#This Row],[TEAM]]&amp;Matrix[[#Headers],[34]],FDR[FDR]&amp;FDR[[#Headers],[34]],FDR[34],"",0,1)</f>
        <v>2</v>
      </c>
      <c r="AU552" cm="1">
        <f t="array" ref="AU552">_xlfn.XLOOKUP(Matrix[[#This Row],[TEAM]]&amp;Matrix[[#Headers],[35]],FDR[FDR]&amp;FDR[[#Headers],[35]],FDR[35],"",0,1)</f>
        <v>1</v>
      </c>
      <c r="AV552" cm="1">
        <f t="array" ref="AV552">_xlfn.XLOOKUP(Matrix[[#This Row],[TEAM]]&amp;Matrix[[#Headers],[36]],FDR[FDR]&amp;FDR[[#Headers],[36]],FDR[36],"",0,1)</f>
        <v>2</v>
      </c>
      <c r="AW552" cm="1">
        <f t="array" ref="AW552">_xlfn.XLOOKUP(Matrix[[#This Row],[TEAM]]&amp;Matrix[[#Headers],[37]],FDR[FDR]&amp;FDR[[#Headers],[37]],FDR[37],"",0,1)</f>
        <v>1</v>
      </c>
      <c r="AX552" cm="1">
        <f t="array" ref="AX552">_xlfn.XLOOKUP(Matrix[[#This Row],[TEAM]]&amp;Matrix[[#Headers],[38]],FDR[FDR]&amp;FDR[[#Headers],[38]],FDR[38],"",0,1)</f>
        <v>2</v>
      </c>
    </row>
    <row r="553" spans="1:50" ht="22" thickTop="1" thickBot="1">
      <c r="A553" s="50" t="str">
        <f>INDEX!S$4</f>
        <v>MID</v>
      </c>
      <c r="B553" s="70" t="s">
        <v>2102</v>
      </c>
      <c r="C553" s="40" t="s">
        <v>17</v>
      </c>
      <c r="D553" s="62">
        <v>6</v>
      </c>
      <c r="E553" s="60">
        <v>3.0000000000000001E-3</v>
      </c>
      <c r="F553" s="61">
        <v>5.0999999999999996</v>
      </c>
      <c r="G553" s="63">
        <v>4.5</v>
      </c>
      <c r="H553" s="261">
        <f>IF(ISBLANK(I553),0,1)</f>
        <v>0</v>
      </c>
      <c r="I553" s="57"/>
      <c r="J553" s="58"/>
      <c r="K553" s="59" t="s">
        <v>2100</v>
      </c>
      <c r="L553" s="59" t="s">
        <v>2101</v>
      </c>
      <c r="M553" cm="1">
        <f t="array" ref="M553">_xlfn.XLOOKUP(Matrix[[#This Row],[TEAM]]&amp;Matrix[[#Headers],[1]],FDR[FDR]&amp;FDR[[#Headers],[1]],FDR[1],"",0,1)</f>
        <v>1</v>
      </c>
      <c r="N553" cm="1">
        <f t="array" ref="N553">_xlfn.XLOOKUP(Matrix[[#This Row],[TEAM]]&amp;Matrix[[#Headers],[2]],FDR[FDR]&amp;FDR[[#Headers],[2]],FDR[2],"",0,1)</f>
        <v>3</v>
      </c>
      <c r="O553" cm="1">
        <f t="array" ref="O553">_xlfn.XLOOKUP(Matrix[[#This Row],[TEAM]]&amp;Matrix[[#Headers],[3]],FDR[FDR]&amp;FDR[[#Headers],[3]],FDR[3],"",0,1)</f>
        <v>3</v>
      </c>
      <c r="P553" cm="1">
        <f t="array" ref="P553">_xlfn.XLOOKUP(Matrix[[#This Row],[TEAM]]&amp;Matrix[[#Headers],[4]],FDR[FDR]&amp;FDR[[#Headers],[4]],FDR[4],"",0,1)</f>
        <v>1</v>
      </c>
      <c r="Q553" cm="1">
        <f t="array" ref="Q553">_xlfn.XLOOKUP(Matrix[[#This Row],[TEAM]]&amp;Matrix[[#Headers],[5]],FDR[FDR]&amp;FDR[[#Headers],[5]],FDR[5],"",0,1)</f>
        <v>1</v>
      </c>
      <c r="R553" cm="1">
        <f t="array" ref="R553">_xlfn.XLOOKUP(Matrix[[#This Row],[TEAM]]&amp;Matrix[[#Headers],[6]],FDR[FDR]&amp;FDR[[#Headers],[6]],FDR[6],"",0,1)</f>
        <v>2</v>
      </c>
      <c r="S553" cm="1">
        <f t="array" ref="S553">_xlfn.XLOOKUP(Matrix[[#This Row],[TEAM]]&amp;Matrix[[#Headers],[7]],FDR[FDR]&amp;FDR[[#Headers],[7]],FDR[7],"",0,1)</f>
        <v>3</v>
      </c>
      <c r="T553" cm="1">
        <f t="array" ref="T553">_xlfn.XLOOKUP(Matrix[[#This Row],[TEAM]]&amp;Matrix[[#Headers],[8]],FDR[FDR]&amp;FDR[[#Headers],[8]],FDR[8],"",0,1)</f>
        <v>2</v>
      </c>
      <c r="U553" cm="1">
        <f t="array" ref="U553">_xlfn.XLOOKUP(Matrix[[#This Row],[TEAM]]&amp;Matrix[[#Headers],[9]],FDR[FDR]&amp;FDR[[#Headers],[9]],FDR[9],"",0,1)</f>
        <v>2</v>
      </c>
      <c r="V553" cm="1">
        <f t="array" ref="V553">_xlfn.XLOOKUP(Matrix[[#This Row],[TEAM]]&amp;Matrix[[#Headers],[10]],FDR[FDR]&amp;FDR[[#Headers],[10]],FDR[10],"",0,1)</f>
        <v>2</v>
      </c>
      <c r="W553" cm="1">
        <f t="array" ref="W553">_xlfn.XLOOKUP(Matrix[[#This Row],[TEAM]]&amp;Matrix[[#Headers],[11]],FDR[FDR]&amp;FDR[[#Headers],[11]],FDR[11],"",0,1)</f>
        <v>3</v>
      </c>
      <c r="X553" cm="1">
        <f t="array" ref="X553">_xlfn.XLOOKUP(Matrix[[#This Row],[TEAM]]&amp;Matrix[[#Headers],[12]],FDR[FDR]&amp;FDR[[#Headers],[12]],FDR[12],"",0,1)</f>
        <v>1</v>
      </c>
      <c r="Y553" cm="1">
        <f t="array" ref="Y553">_xlfn.XLOOKUP(Matrix[[#This Row],[TEAM]]&amp;Matrix[[#Headers],[13]],FDR[FDR]&amp;FDR[[#Headers],[13]],FDR[13],"",0,1)</f>
        <v>2</v>
      </c>
      <c r="Z553" cm="1">
        <f t="array" ref="Z553">_xlfn.XLOOKUP(Matrix[[#This Row],[TEAM]]&amp;Matrix[[#Headers],[14]],FDR[FDR]&amp;FDR[[#Headers],[14]],FDR[14],"",0,1)</f>
        <v>1</v>
      </c>
      <c r="AA553" cm="1">
        <f t="array" ref="AA553">_xlfn.XLOOKUP(Matrix[[#This Row],[TEAM]]&amp;Matrix[[#Headers],[15]],FDR[FDR]&amp;FDR[[#Headers],[15]],FDR[15],"",0,1)</f>
        <v>1</v>
      </c>
      <c r="AB553" cm="1">
        <f t="array" ref="AB553">_xlfn.XLOOKUP(Matrix[[#This Row],[TEAM]]&amp;Matrix[[#Headers],[16]],FDR[FDR]&amp;FDR[[#Headers],[16]],FDR[16],"",0,1)</f>
        <v>1</v>
      </c>
      <c r="AC553" cm="1">
        <f t="array" ref="AC553">_xlfn.XLOOKUP(Matrix[[#This Row],[TEAM]]&amp;Matrix[[#Headers],[17]],FDR[FDR]&amp;FDR[[#Headers],[17]],FDR[17],"",0,1)</f>
        <v>3</v>
      </c>
      <c r="AD553" cm="1">
        <f t="array" ref="AD553">_xlfn.XLOOKUP(Matrix[[#This Row],[TEAM]]&amp;Matrix[[#Headers],[18]],FDR[FDR]&amp;FDR[[#Headers],[18]],FDR[18],"",0,1)</f>
        <v>1</v>
      </c>
      <c r="AE553" cm="1">
        <f t="array" ref="AE553">_xlfn.XLOOKUP(Matrix[[#This Row],[TEAM]]&amp;Matrix[[#Headers],[19]],FDR[FDR]&amp;FDR[[#Headers],[19]],FDR[19],"",0,1)</f>
        <v>1</v>
      </c>
      <c r="AF553" cm="1">
        <f t="array" ref="AF553">_xlfn.XLOOKUP(Matrix[[#This Row],[TEAM]]&amp;Matrix[[#Headers],[20]],FDR[FDR]&amp;FDR[[#Headers],[20]],FDR[20],"",0,1)</f>
        <v>2</v>
      </c>
      <c r="AG553" cm="1">
        <f t="array" ref="AG553">_xlfn.XLOOKUP(Matrix[[#This Row],[TEAM]]&amp;Matrix[[#Headers],[21]],FDR[FDR]&amp;FDR[[#Headers],[21]],FDR[21],"",0,1)</f>
        <v>3</v>
      </c>
      <c r="AH553" cm="1">
        <f t="array" ref="AH553">_xlfn.XLOOKUP(Matrix[[#This Row],[TEAM]]&amp;Matrix[[#Headers],[22]],FDR[FDR]&amp;FDR[[#Headers],[22]],FDR[22],"",0,1)</f>
        <v>1</v>
      </c>
      <c r="AI553" cm="1">
        <f t="array" ref="AI553">_xlfn.XLOOKUP(Matrix[[#This Row],[TEAM]]&amp;Matrix[[#Headers],[23]],FDR[FDR]&amp;FDR[[#Headers],[23]],FDR[23],"",0,1)</f>
        <v>2</v>
      </c>
      <c r="AJ553" cm="1">
        <f t="array" ref="AJ553">_xlfn.XLOOKUP(Matrix[[#This Row],[TEAM]]&amp;Matrix[[#Headers],[24]],FDR[FDR]&amp;FDR[[#Headers],[24]],FDR[24],"",0,1)</f>
        <v>2</v>
      </c>
      <c r="AK553" cm="1">
        <f t="array" ref="AK553">_xlfn.XLOOKUP(Matrix[[#This Row],[TEAM]]&amp;Matrix[[#Headers],[25]],FDR[FDR]&amp;FDR[[#Headers],[25]],FDR[25],"",0,1)</f>
        <v>3</v>
      </c>
      <c r="AL553" cm="1">
        <f t="array" ref="AL553">_xlfn.XLOOKUP(Matrix[[#This Row],[TEAM]]&amp;Matrix[[#Headers],[26]],FDR[FDR]&amp;FDR[[#Headers],[26]],FDR[26],"",0,1)</f>
        <v>1</v>
      </c>
      <c r="AM553" cm="1">
        <f t="array" ref="AM553">_xlfn.XLOOKUP(Matrix[[#This Row],[TEAM]]&amp;Matrix[[#Headers],[27]],FDR[FDR]&amp;FDR[[#Headers],[27]],FDR[27],"",0,1)</f>
        <v>2</v>
      </c>
      <c r="AN553" cm="1">
        <f t="array" ref="AN553">_xlfn.XLOOKUP(Matrix[[#This Row],[TEAM]]&amp;Matrix[[#Headers],[28]],FDR[FDR]&amp;FDR[[#Headers],[28]],FDR[28],"",0,1)</f>
        <v>1</v>
      </c>
      <c r="AO553" cm="1">
        <f t="array" ref="AO553">_xlfn.XLOOKUP(Matrix[[#This Row],[TEAM]]&amp;Matrix[[#Headers],[29]],FDR[FDR]&amp;FDR[[#Headers],[29]],FDR[29],"",0,1)</f>
        <v>1</v>
      </c>
      <c r="AP553" cm="1">
        <f t="array" ref="AP553">_xlfn.XLOOKUP(Matrix[[#This Row],[TEAM]]&amp;Matrix[[#Headers],[30]],FDR[FDR]&amp;FDR[[#Headers],[30]],FDR[30],"",0,1)</f>
        <v>2</v>
      </c>
      <c r="AQ553" cm="1">
        <f t="array" ref="AQ553">_xlfn.XLOOKUP(Matrix[[#This Row],[TEAM]]&amp;Matrix[[#Headers],[31]],FDR[FDR]&amp;FDR[[#Headers],[31]],FDR[31],"",0,1)</f>
        <v>2</v>
      </c>
      <c r="AR553" cm="1">
        <f t="array" ref="AR553">_xlfn.XLOOKUP(Matrix[[#This Row],[TEAM]]&amp;Matrix[[#Headers],[32]],FDR[FDR]&amp;FDR[[#Headers],[32]],FDR[32],"",0,1)</f>
        <v>1</v>
      </c>
      <c r="AS553" cm="1">
        <f t="array" ref="AS553">_xlfn.XLOOKUP(Matrix[[#This Row],[TEAM]]&amp;Matrix[[#Headers],[33]],FDR[FDR]&amp;FDR[[#Headers],[33]],FDR[33],"",0,1)</f>
        <v>2</v>
      </c>
      <c r="AT553" cm="1">
        <f t="array" ref="AT553">_xlfn.XLOOKUP(Matrix[[#This Row],[TEAM]]&amp;Matrix[[#Headers],[34]],FDR[FDR]&amp;FDR[[#Headers],[34]],FDR[34],"",0,1)</f>
        <v>1</v>
      </c>
      <c r="AU553" cm="1">
        <f t="array" ref="AU553">_xlfn.XLOOKUP(Matrix[[#This Row],[TEAM]]&amp;Matrix[[#Headers],[35]],FDR[FDR]&amp;FDR[[#Headers],[35]],FDR[35],"",0,1)</f>
        <v>3</v>
      </c>
      <c r="AV553" cm="1">
        <f t="array" ref="AV553">_xlfn.XLOOKUP(Matrix[[#This Row],[TEAM]]&amp;Matrix[[#Headers],[36]],FDR[FDR]&amp;FDR[[#Headers],[36]],FDR[36],"",0,1)</f>
        <v>2</v>
      </c>
      <c r="AW553" cm="1">
        <f t="array" ref="AW553">_xlfn.XLOOKUP(Matrix[[#This Row],[TEAM]]&amp;Matrix[[#Headers],[37]],FDR[FDR]&amp;FDR[[#Headers],[37]],FDR[37],"",0,1)</f>
        <v>3</v>
      </c>
      <c r="AX553" cm="1">
        <f t="array" ref="AX553">_xlfn.XLOOKUP(Matrix[[#This Row],[TEAM]]&amp;Matrix[[#Headers],[38]],FDR[FDR]&amp;FDR[[#Headers],[38]],FDR[38],"",0,1)</f>
        <v>1</v>
      </c>
    </row>
    <row r="554" spans="1:50" ht="22" thickTop="1" thickBot="1">
      <c r="A554" s="50" t="str">
        <f>INDEX!S$4</f>
        <v>MID</v>
      </c>
      <c r="B554" s="70" t="s">
        <v>1454</v>
      </c>
      <c r="C554" s="40" t="s">
        <v>17</v>
      </c>
      <c r="D554" s="62">
        <v>92</v>
      </c>
      <c r="E554" s="60">
        <v>1E-3</v>
      </c>
      <c r="F554" s="61">
        <v>114.7</v>
      </c>
      <c r="G554" s="63">
        <v>5.5</v>
      </c>
      <c r="H554" s="261">
        <f>IF(ISBLANK(I554),0,1)</f>
        <v>1</v>
      </c>
      <c r="I554" s="57" t="s">
        <v>837</v>
      </c>
      <c r="J554" s="58" t="s">
        <v>1080</v>
      </c>
      <c r="K554" s="59" t="s">
        <v>478</v>
      </c>
      <c r="L554" s="59" t="s">
        <v>788</v>
      </c>
      <c r="M554" cm="1">
        <f t="array" ref="M554">_xlfn.XLOOKUP(Matrix[[#This Row],[TEAM]]&amp;Matrix[[#Headers],[1]],FDR[FDR]&amp;FDR[[#Headers],[1]],FDR[1],"",0,1)</f>
        <v>1</v>
      </c>
      <c r="N554" cm="1">
        <f t="array" ref="N554">_xlfn.XLOOKUP(Matrix[[#This Row],[TEAM]]&amp;Matrix[[#Headers],[2]],FDR[FDR]&amp;FDR[[#Headers],[2]],FDR[2],"",0,1)</f>
        <v>3</v>
      </c>
      <c r="O554" cm="1">
        <f t="array" ref="O554">_xlfn.XLOOKUP(Matrix[[#This Row],[TEAM]]&amp;Matrix[[#Headers],[3]],FDR[FDR]&amp;FDR[[#Headers],[3]],FDR[3],"",0,1)</f>
        <v>3</v>
      </c>
      <c r="P554" cm="1">
        <f t="array" ref="P554">_xlfn.XLOOKUP(Matrix[[#This Row],[TEAM]]&amp;Matrix[[#Headers],[4]],FDR[FDR]&amp;FDR[[#Headers],[4]],FDR[4],"",0,1)</f>
        <v>1</v>
      </c>
      <c r="Q554" cm="1">
        <f t="array" ref="Q554">_xlfn.XLOOKUP(Matrix[[#This Row],[TEAM]]&amp;Matrix[[#Headers],[5]],FDR[FDR]&amp;FDR[[#Headers],[5]],FDR[5],"",0,1)</f>
        <v>1</v>
      </c>
      <c r="R554" cm="1">
        <f t="array" ref="R554">_xlfn.XLOOKUP(Matrix[[#This Row],[TEAM]]&amp;Matrix[[#Headers],[6]],FDR[FDR]&amp;FDR[[#Headers],[6]],FDR[6],"",0,1)</f>
        <v>2</v>
      </c>
      <c r="S554" cm="1">
        <f t="array" ref="S554">_xlfn.XLOOKUP(Matrix[[#This Row],[TEAM]]&amp;Matrix[[#Headers],[7]],FDR[FDR]&amp;FDR[[#Headers],[7]],FDR[7],"",0,1)</f>
        <v>3</v>
      </c>
      <c r="T554" cm="1">
        <f t="array" ref="T554">_xlfn.XLOOKUP(Matrix[[#This Row],[TEAM]]&amp;Matrix[[#Headers],[8]],FDR[FDR]&amp;FDR[[#Headers],[8]],FDR[8],"",0,1)</f>
        <v>2</v>
      </c>
      <c r="U554" cm="1">
        <f t="array" ref="U554">_xlfn.XLOOKUP(Matrix[[#This Row],[TEAM]]&amp;Matrix[[#Headers],[9]],FDR[FDR]&amp;FDR[[#Headers],[9]],FDR[9],"",0,1)</f>
        <v>2</v>
      </c>
      <c r="V554" cm="1">
        <f t="array" ref="V554">_xlfn.XLOOKUP(Matrix[[#This Row],[TEAM]]&amp;Matrix[[#Headers],[10]],FDR[FDR]&amp;FDR[[#Headers],[10]],FDR[10],"",0,1)</f>
        <v>2</v>
      </c>
      <c r="W554" cm="1">
        <f t="array" ref="W554">_xlfn.XLOOKUP(Matrix[[#This Row],[TEAM]]&amp;Matrix[[#Headers],[11]],FDR[FDR]&amp;FDR[[#Headers],[11]],FDR[11],"",0,1)</f>
        <v>3</v>
      </c>
      <c r="X554" cm="1">
        <f t="array" ref="X554">_xlfn.XLOOKUP(Matrix[[#This Row],[TEAM]]&amp;Matrix[[#Headers],[12]],FDR[FDR]&amp;FDR[[#Headers],[12]],FDR[12],"",0,1)</f>
        <v>1</v>
      </c>
      <c r="Y554" cm="1">
        <f t="array" ref="Y554">_xlfn.XLOOKUP(Matrix[[#This Row],[TEAM]]&amp;Matrix[[#Headers],[13]],FDR[FDR]&amp;FDR[[#Headers],[13]],FDR[13],"",0,1)</f>
        <v>2</v>
      </c>
      <c r="Z554" cm="1">
        <f t="array" ref="Z554">_xlfn.XLOOKUP(Matrix[[#This Row],[TEAM]]&amp;Matrix[[#Headers],[14]],FDR[FDR]&amp;FDR[[#Headers],[14]],FDR[14],"",0,1)</f>
        <v>1</v>
      </c>
      <c r="AA554" cm="1">
        <f t="array" ref="AA554">_xlfn.XLOOKUP(Matrix[[#This Row],[TEAM]]&amp;Matrix[[#Headers],[15]],FDR[FDR]&amp;FDR[[#Headers],[15]],FDR[15],"",0,1)</f>
        <v>1</v>
      </c>
      <c r="AB554" cm="1">
        <f t="array" ref="AB554">_xlfn.XLOOKUP(Matrix[[#This Row],[TEAM]]&amp;Matrix[[#Headers],[16]],FDR[FDR]&amp;FDR[[#Headers],[16]],FDR[16],"",0,1)</f>
        <v>1</v>
      </c>
      <c r="AC554" cm="1">
        <f t="array" ref="AC554">_xlfn.XLOOKUP(Matrix[[#This Row],[TEAM]]&amp;Matrix[[#Headers],[17]],FDR[FDR]&amp;FDR[[#Headers],[17]],FDR[17],"",0,1)</f>
        <v>3</v>
      </c>
      <c r="AD554" cm="1">
        <f t="array" ref="AD554">_xlfn.XLOOKUP(Matrix[[#This Row],[TEAM]]&amp;Matrix[[#Headers],[18]],FDR[FDR]&amp;FDR[[#Headers],[18]],FDR[18],"",0,1)</f>
        <v>1</v>
      </c>
      <c r="AE554" cm="1">
        <f t="array" ref="AE554">_xlfn.XLOOKUP(Matrix[[#This Row],[TEAM]]&amp;Matrix[[#Headers],[19]],FDR[FDR]&amp;FDR[[#Headers],[19]],FDR[19],"",0,1)</f>
        <v>1</v>
      </c>
      <c r="AF554" cm="1">
        <f t="array" ref="AF554">_xlfn.XLOOKUP(Matrix[[#This Row],[TEAM]]&amp;Matrix[[#Headers],[20]],FDR[FDR]&amp;FDR[[#Headers],[20]],FDR[20],"",0,1)</f>
        <v>2</v>
      </c>
      <c r="AG554" cm="1">
        <f t="array" ref="AG554">_xlfn.XLOOKUP(Matrix[[#This Row],[TEAM]]&amp;Matrix[[#Headers],[21]],FDR[FDR]&amp;FDR[[#Headers],[21]],FDR[21],"",0,1)</f>
        <v>3</v>
      </c>
      <c r="AH554" cm="1">
        <f t="array" ref="AH554">_xlfn.XLOOKUP(Matrix[[#This Row],[TEAM]]&amp;Matrix[[#Headers],[22]],FDR[FDR]&amp;FDR[[#Headers],[22]],FDR[22],"",0,1)</f>
        <v>1</v>
      </c>
      <c r="AI554" cm="1">
        <f t="array" ref="AI554">_xlfn.XLOOKUP(Matrix[[#This Row],[TEAM]]&amp;Matrix[[#Headers],[23]],FDR[FDR]&amp;FDR[[#Headers],[23]],FDR[23],"",0,1)</f>
        <v>2</v>
      </c>
      <c r="AJ554" cm="1">
        <f t="array" ref="AJ554">_xlfn.XLOOKUP(Matrix[[#This Row],[TEAM]]&amp;Matrix[[#Headers],[24]],FDR[FDR]&amp;FDR[[#Headers],[24]],FDR[24],"",0,1)</f>
        <v>2</v>
      </c>
      <c r="AK554" cm="1">
        <f t="array" ref="AK554">_xlfn.XLOOKUP(Matrix[[#This Row],[TEAM]]&amp;Matrix[[#Headers],[25]],FDR[FDR]&amp;FDR[[#Headers],[25]],FDR[25],"",0,1)</f>
        <v>3</v>
      </c>
      <c r="AL554" cm="1">
        <f t="array" ref="AL554">_xlfn.XLOOKUP(Matrix[[#This Row],[TEAM]]&amp;Matrix[[#Headers],[26]],FDR[FDR]&amp;FDR[[#Headers],[26]],FDR[26],"",0,1)</f>
        <v>1</v>
      </c>
      <c r="AM554" cm="1">
        <f t="array" ref="AM554">_xlfn.XLOOKUP(Matrix[[#This Row],[TEAM]]&amp;Matrix[[#Headers],[27]],FDR[FDR]&amp;FDR[[#Headers],[27]],FDR[27],"",0,1)</f>
        <v>2</v>
      </c>
      <c r="AN554" cm="1">
        <f t="array" ref="AN554">_xlfn.XLOOKUP(Matrix[[#This Row],[TEAM]]&amp;Matrix[[#Headers],[28]],FDR[FDR]&amp;FDR[[#Headers],[28]],FDR[28],"",0,1)</f>
        <v>1</v>
      </c>
      <c r="AO554" cm="1">
        <f t="array" ref="AO554">_xlfn.XLOOKUP(Matrix[[#This Row],[TEAM]]&amp;Matrix[[#Headers],[29]],FDR[FDR]&amp;FDR[[#Headers],[29]],FDR[29],"",0,1)</f>
        <v>1</v>
      </c>
      <c r="AP554" cm="1">
        <f t="array" ref="AP554">_xlfn.XLOOKUP(Matrix[[#This Row],[TEAM]]&amp;Matrix[[#Headers],[30]],FDR[FDR]&amp;FDR[[#Headers],[30]],FDR[30],"",0,1)</f>
        <v>2</v>
      </c>
      <c r="AQ554" cm="1">
        <f t="array" ref="AQ554">_xlfn.XLOOKUP(Matrix[[#This Row],[TEAM]]&amp;Matrix[[#Headers],[31]],FDR[FDR]&amp;FDR[[#Headers],[31]],FDR[31],"",0,1)</f>
        <v>2</v>
      </c>
      <c r="AR554" cm="1">
        <f t="array" ref="AR554">_xlfn.XLOOKUP(Matrix[[#This Row],[TEAM]]&amp;Matrix[[#Headers],[32]],FDR[FDR]&amp;FDR[[#Headers],[32]],FDR[32],"",0,1)</f>
        <v>1</v>
      </c>
      <c r="AS554" cm="1">
        <f t="array" ref="AS554">_xlfn.XLOOKUP(Matrix[[#This Row],[TEAM]]&amp;Matrix[[#Headers],[33]],FDR[FDR]&amp;FDR[[#Headers],[33]],FDR[33],"",0,1)</f>
        <v>2</v>
      </c>
      <c r="AT554" cm="1">
        <f t="array" ref="AT554">_xlfn.XLOOKUP(Matrix[[#This Row],[TEAM]]&amp;Matrix[[#Headers],[34]],FDR[FDR]&amp;FDR[[#Headers],[34]],FDR[34],"",0,1)</f>
        <v>1</v>
      </c>
      <c r="AU554" cm="1">
        <f t="array" ref="AU554">_xlfn.XLOOKUP(Matrix[[#This Row],[TEAM]]&amp;Matrix[[#Headers],[35]],FDR[FDR]&amp;FDR[[#Headers],[35]],FDR[35],"",0,1)</f>
        <v>3</v>
      </c>
      <c r="AV554" cm="1">
        <f t="array" ref="AV554">_xlfn.XLOOKUP(Matrix[[#This Row],[TEAM]]&amp;Matrix[[#Headers],[36]],FDR[FDR]&amp;FDR[[#Headers],[36]],FDR[36],"",0,1)</f>
        <v>2</v>
      </c>
      <c r="AW554" cm="1">
        <f t="array" ref="AW554">_xlfn.XLOOKUP(Matrix[[#This Row],[TEAM]]&amp;Matrix[[#Headers],[37]],FDR[FDR]&amp;FDR[[#Headers],[37]],FDR[37],"",0,1)</f>
        <v>3</v>
      </c>
      <c r="AX554" cm="1">
        <f t="array" ref="AX554">_xlfn.XLOOKUP(Matrix[[#This Row],[TEAM]]&amp;Matrix[[#Headers],[38]],FDR[FDR]&amp;FDR[[#Headers],[38]],FDR[38],"",0,1)</f>
        <v>1</v>
      </c>
    </row>
    <row r="555" spans="1:50" ht="22" thickTop="1" thickBot="1">
      <c r="A555" s="50" t="str">
        <f>INDEX!S$4</f>
        <v>MID</v>
      </c>
      <c r="B555" s="70" t="s">
        <v>1421</v>
      </c>
      <c r="C555" s="40" t="s">
        <v>28</v>
      </c>
      <c r="D555" s="62">
        <v>47</v>
      </c>
      <c r="E555" s="60">
        <v>5.0000000000000001E-3</v>
      </c>
      <c r="F555" s="61">
        <v>70.3</v>
      </c>
      <c r="G555" s="63">
        <v>5.5</v>
      </c>
      <c r="H555" s="261">
        <f>IF(ISBLANK(I555),0,1)</f>
        <v>1</v>
      </c>
      <c r="I555" s="57" t="s">
        <v>1985</v>
      </c>
      <c r="J555" s="58" t="s">
        <v>1984</v>
      </c>
      <c r="K555" s="59" t="s">
        <v>427</v>
      </c>
      <c r="L555" s="59" t="s">
        <v>210</v>
      </c>
      <c r="M555" cm="1">
        <f t="array" ref="M555">_xlfn.XLOOKUP(Matrix[[#This Row],[TEAM]]&amp;Matrix[[#Headers],[1]],FDR[FDR]&amp;FDR[[#Headers],[1]],FDR[1],"",0,1)</f>
        <v>3</v>
      </c>
      <c r="N555" cm="1">
        <f t="array" ref="N555">_xlfn.XLOOKUP(Matrix[[#This Row],[TEAM]]&amp;Matrix[[#Headers],[2]],FDR[FDR]&amp;FDR[[#Headers],[2]],FDR[2],"",0,1)</f>
        <v>2</v>
      </c>
      <c r="O555" cm="1">
        <f t="array" ref="O555">_xlfn.XLOOKUP(Matrix[[#This Row],[TEAM]]&amp;Matrix[[#Headers],[3]],FDR[FDR]&amp;FDR[[#Headers],[3]],FDR[3],"",0,1)</f>
        <v>1</v>
      </c>
      <c r="P555" cm="1">
        <f t="array" ref="P555">_xlfn.XLOOKUP(Matrix[[#This Row],[TEAM]]&amp;Matrix[[#Headers],[4]],FDR[FDR]&amp;FDR[[#Headers],[4]],FDR[4],"",0,1)</f>
        <v>2</v>
      </c>
      <c r="Q555" cm="1">
        <f t="array" ref="Q555">_xlfn.XLOOKUP(Matrix[[#This Row],[TEAM]]&amp;Matrix[[#Headers],[5]],FDR[FDR]&amp;FDR[[#Headers],[5]],FDR[5],"",0,1)</f>
        <v>1</v>
      </c>
      <c r="R555" cm="1">
        <f t="array" ref="R555">_xlfn.XLOOKUP(Matrix[[#This Row],[TEAM]]&amp;Matrix[[#Headers],[6]],FDR[FDR]&amp;FDR[[#Headers],[6]],FDR[6],"",0,1)</f>
        <v>2</v>
      </c>
      <c r="S555" cm="1">
        <f t="array" ref="S555">_xlfn.XLOOKUP(Matrix[[#This Row],[TEAM]]&amp;Matrix[[#Headers],[7]],FDR[FDR]&amp;FDR[[#Headers],[7]],FDR[7],"",0,1)</f>
        <v>1</v>
      </c>
      <c r="T555" cm="1">
        <f t="array" ref="T555">_xlfn.XLOOKUP(Matrix[[#This Row],[TEAM]]&amp;Matrix[[#Headers],[8]],FDR[FDR]&amp;FDR[[#Headers],[8]],FDR[8],"",0,1)</f>
        <v>4</v>
      </c>
      <c r="U555" cm="1">
        <f t="array" ref="U555">_xlfn.XLOOKUP(Matrix[[#This Row],[TEAM]]&amp;Matrix[[#Headers],[9]],FDR[FDR]&amp;FDR[[#Headers],[9]],FDR[9],"",0,1)</f>
        <v>3</v>
      </c>
      <c r="V555" cm="1">
        <f t="array" ref="V555">_xlfn.XLOOKUP(Matrix[[#This Row],[TEAM]]&amp;Matrix[[#Headers],[10]],FDR[FDR]&amp;FDR[[#Headers],[10]],FDR[10],"",0,1)</f>
        <v>4</v>
      </c>
      <c r="W555" cm="1">
        <f t="array" ref="W555">_xlfn.XLOOKUP(Matrix[[#This Row],[TEAM]]&amp;Matrix[[#Headers],[11]],FDR[FDR]&amp;FDR[[#Headers],[11]],FDR[11],"",0,1)</f>
        <v>2</v>
      </c>
      <c r="X555" cm="1">
        <f t="array" ref="X555">_xlfn.XLOOKUP(Matrix[[#This Row],[TEAM]]&amp;Matrix[[#Headers],[12]],FDR[FDR]&amp;FDR[[#Headers],[12]],FDR[12],"",0,1)</f>
        <v>1</v>
      </c>
      <c r="Y555" cm="1">
        <f t="array" ref="Y555">_xlfn.XLOOKUP(Matrix[[#This Row],[TEAM]]&amp;Matrix[[#Headers],[13]],FDR[FDR]&amp;FDR[[#Headers],[13]],FDR[13],"",0,1)</f>
        <v>1</v>
      </c>
      <c r="Z555" cm="1">
        <f t="array" ref="Z555">_xlfn.XLOOKUP(Matrix[[#This Row],[TEAM]]&amp;Matrix[[#Headers],[14]],FDR[FDR]&amp;FDR[[#Headers],[14]],FDR[14],"",0,1)</f>
        <v>3</v>
      </c>
      <c r="AA555" cm="1">
        <f t="array" ref="AA555">_xlfn.XLOOKUP(Matrix[[#This Row],[TEAM]]&amp;Matrix[[#Headers],[15]],FDR[FDR]&amp;FDR[[#Headers],[15]],FDR[15],"",0,1)</f>
        <v>3</v>
      </c>
      <c r="AB555" cm="1">
        <f t="array" ref="AB555">_xlfn.XLOOKUP(Matrix[[#This Row],[TEAM]]&amp;Matrix[[#Headers],[16]],FDR[FDR]&amp;FDR[[#Headers],[16]],FDR[16],"",0,1)</f>
        <v>2</v>
      </c>
      <c r="AC555" cm="1">
        <f t="array" ref="AC555">_xlfn.XLOOKUP(Matrix[[#This Row],[TEAM]]&amp;Matrix[[#Headers],[17]],FDR[FDR]&amp;FDR[[#Headers],[17]],FDR[17],"",0,1)</f>
        <v>3</v>
      </c>
      <c r="AD555" cm="1">
        <f t="array" ref="AD555">_xlfn.XLOOKUP(Matrix[[#This Row],[TEAM]]&amp;Matrix[[#Headers],[18]],FDR[FDR]&amp;FDR[[#Headers],[18]],FDR[18],"",0,1)</f>
        <v>4</v>
      </c>
      <c r="AE555" cm="1">
        <f t="array" ref="AE555">_xlfn.XLOOKUP(Matrix[[#This Row],[TEAM]]&amp;Matrix[[#Headers],[19]],FDR[FDR]&amp;FDR[[#Headers],[19]],FDR[19],"",0,1)</f>
        <v>4</v>
      </c>
      <c r="AF555" cm="1">
        <f t="array" ref="AF555">_xlfn.XLOOKUP(Matrix[[#This Row],[TEAM]]&amp;Matrix[[#Headers],[20]],FDR[FDR]&amp;FDR[[#Headers],[20]],FDR[20],"",0,1)</f>
        <v>2</v>
      </c>
      <c r="AG555" cm="1">
        <f t="array" ref="AG555">_xlfn.XLOOKUP(Matrix[[#This Row],[TEAM]]&amp;Matrix[[#Headers],[21]],FDR[FDR]&amp;FDR[[#Headers],[21]],FDR[21],"",0,1)</f>
        <v>2</v>
      </c>
      <c r="AH555" cm="1">
        <f t="array" ref="AH555">_xlfn.XLOOKUP(Matrix[[#This Row],[TEAM]]&amp;Matrix[[#Headers],[22]],FDR[FDR]&amp;FDR[[#Headers],[22]],FDR[22],"",0,1)</f>
        <v>1</v>
      </c>
      <c r="AI555" cm="1">
        <f t="array" ref="AI555">_xlfn.XLOOKUP(Matrix[[#This Row],[TEAM]]&amp;Matrix[[#Headers],[23]],FDR[FDR]&amp;FDR[[#Headers],[23]],FDR[23],"",0,1)</f>
        <v>4</v>
      </c>
      <c r="AJ555" cm="1">
        <f t="array" ref="AJ555">_xlfn.XLOOKUP(Matrix[[#This Row],[TEAM]]&amp;Matrix[[#Headers],[24]],FDR[FDR]&amp;FDR[[#Headers],[24]],FDR[24],"",0,1)</f>
        <v>1</v>
      </c>
      <c r="AK555" cm="1">
        <f t="array" ref="AK555">_xlfn.XLOOKUP(Matrix[[#This Row],[TEAM]]&amp;Matrix[[#Headers],[25]],FDR[FDR]&amp;FDR[[#Headers],[25]],FDR[25],"",0,1)</f>
        <v>3</v>
      </c>
      <c r="AL555" cm="1">
        <f t="array" ref="AL555">_xlfn.XLOOKUP(Matrix[[#This Row],[TEAM]]&amp;Matrix[[#Headers],[26]],FDR[FDR]&amp;FDR[[#Headers],[26]],FDR[26],"",0,1)</f>
        <v>2</v>
      </c>
      <c r="AM555" cm="1">
        <f t="array" ref="AM555">_xlfn.XLOOKUP(Matrix[[#This Row],[TEAM]]&amp;Matrix[[#Headers],[27]],FDR[FDR]&amp;FDR[[#Headers],[27]],FDR[27],"",0,1)</f>
        <v>1</v>
      </c>
      <c r="AN555" cm="1">
        <f t="array" ref="AN555">_xlfn.XLOOKUP(Matrix[[#This Row],[TEAM]]&amp;Matrix[[#Headers],[28]],FDR[FDR]&amp;FDR[[#Headers],[28]],FDR[28],"",0,1)</f>
        <v>1</v>
      </c>
      <c r="AO555" cm="1">
        <f t="array" ref="AO555">_xlfn.XLOOKUP(Matrix[[#This Row],[TEAM]]&amp;Matrix[[#Headers],[29]],FDR[FDR]&amp;FDR[[#Headers],[29]],FDR[29],"",0,1)</f>
        <v>3</v>
      </c>
      <c r="AP555" cm="1">
        <f t="array" ref="AP555">_xlfn.XLOOKUP(Matrix[[#This Row],[TEAM]]&amp;Matrix[[#Headers],[30]],FDR[FDR]&amp;FDR[[#Headers],[30]],FDR[30],"",0,1)</f>
        <v>4</v>
      </c>
      <c r="AQ555" cm="1">
        <f t="array" ref="AQ555">_xlfn.XLOOKUP(Matrix[[#This Row],[TEAM]]&amp;Matrix[[#Headers],[31]],FDR[FDR]&amp;FDR[[#Headers],[31]],FDR[31],"",0,1)</f>
        <v>1</v>
      </c>
      <c r="AR555" cm="1">
        <f t="array" ref="AR555">_xlfn.XLOOKUP(Matrix[[#This Row],[TEAM]]&amp;Matrix[[#Headers],[32]],FDR[FDR]&amp;FDR[[#Headers],[32]],FDR[32],"",0,1)</f>
        <v>3</v>
      </c>
      <c r="AS555" cm="1">
        <f t="array" ref="AS555">_xlfn.XLOOKUP(Matrix[[#This Row],[TEAM]]&amp;Matrix[[#Headers],[33]],FDR[FDR]&amp;FDR[[#Headers],[33]],FDR[33],"",0,1)</f>
        <v>1</v>
      </c>
      <c r="AT555" cm="1">
        <f t="array" ref="AT555">_xlfn.XLOOKUP(Matrix[[#This Row],[TEAM]]&amp;Matrix[[#Headers],[34]],FDR[FDR]&amp;FDR[[#Headers],[34]],FDR[34],"",0,1)</f>
        <v>3</v>
      </c>
      <c r="AU555" cm="1">
        <f t="array" ref="AU555">_xlfn.XLOOKUP(Matrix[[#This Row],[TEAM]]&amp;Matrix[[#Headers],[35]],FDR[FDR]&amp;FDR[[#Headers],[35]],FDR[35],"",0,1)</f>
        <v>3</v>
      </c>
      <c r="AV555" cm="1">
        <f t="array" ref="AV555">_xlfn.XLOOKUP(Matrix[[#This Row],[TEAM]]&amp;Matrix[[#Headers],[36]],FDR[FDR]&amp;FDR[[#Headers],[36]],FDR[36],"",0,1)</f>
        <v>1</v>
      </c>
      <c r="AW555" cm="1">
        <f t="array" ref="AW555">_xlfn.XLOOKUP(Matrix[[#This Row],[TEAM]]&amp;Matrix[[#Headers],[37]],FDR[FDR]&amp;FDR[[#Headers],[37]],FDR[37],"",0,1)</f>
        <v>3</v>
      </c>
      <c r="AX555" cm="1">
        <f t="array" ref="AX555">_xlfn.XLOOKUP(Matrix[[#This Row],[TEAM]]&amp;Matrix[[#Headers],[38]],FDR[FDR]&amp;FDR[[#Headers],[38]],FDR[38],"",0,1)</f>
        <v>4</v>
      </c>
    </row>
    <row r="556" spans="1:50" ht="22" thickTop="1" thickBot="1">
      <c r="A556" s="50" t="str">
        <f>INDEX!S$4</f>
        <v>MID</v>
      </c>
      <c r="B556" s="70" t="s">
        <v>1477</v>
      </c>
      <c r="C556" s="40" t="s">
        <v>27</v>
      </c>
      <c r="D556" s="62">
        <v>33</v>
      </c>
      <c r="E556" s="60">
        <v>0</v>
      </c>
      <c r="F556" s="61">
        <v>58.7</v>
      </c>
      <c r="G556" s="63">
        <v>5.5</v>
      </c>
      <c r="H556" s="261">
        <f>IF(ISBLANK(I556),0,1)</f>
        <v>1</v>
      </c>
      <c r="I556" s="57" t="s">
        <v>894</v>
      </c>
      <c r="J556" s="58" t="s">
        <v>1981</v>
      </c>
      <c r="K556" s="59" t="s">
        <v>805</v>
      </c>
      <c r="L556" s="59" t="s">
        <v>806</v>
      </c>
      <c r="M556" cm="1">
        <f t="array" ref="M556">_xlfn.XLOOKUP(Matrix[[#This Row],[TEAM]]&amp;Matrix[[#Headers],[1]],FDR[FDR]&amp;FDR[[#Headers],[1]],FDR[1],"",0,1)</f>
        <v>2</v>
      </c>
      <c r="N556" cm="1">
        <f t="array" ref="N556">_xlfn.XLOOKUP(Matrix[[#This Row],[TEAM]]&amp;Matrix[[#Headers],[2]],FDR[FDR]&amp;FDR[[#Headers],[2]],FDR[2],"",0,1)</f>
        <v>4</v>
      </c>
      <c r="O556" cm="1">
        <f t="array" ref="O556">_xlfn.XLOOKUP(Matrix[[#This Row],[TEAM]]&amp;Matrix[[#Headers],[3]],FDR[FDR]&amp;FDR[[#Headers],[3]],FDR[3],"",0,1)</f>
        <v>4</v>
      </c>
      <c r="P556" cm="1">
        <f t="array" ref="P556">_xlfn.XLOOKUP(Matrix[[#This Row],[TEAM]]&amp;Matrix[[#Headers],[4]],FDR[FDR]&amp;FDR[[#Headers],[4]],FDR[4],"",0,1)</f>
        <v>4</v>
      </c>
      <c r="Q556" cm="1">
        <f t="array" ref="Q556">_xlfn.XLOOKUP(Matrix[[#This Row],[TEAM]]&amp;Matrix[[#Headers],[5]],FDR[FDR]&amp;FDR[[#Headers],[5]],FDR[5],"",0,1)</f>
        <v>3</v>
      </c>
      <c r="R556" cm="1">
        <f t="array" ref="R556">_xlfn.XLOOKUP(Matrix[[#This Row],[TEAM]]&amp;Matrix[[#Headers],[6]],FDR[FDR]&amp;FDR[[#Headers],[6]],FDR[6],"",0,1)</f>
        <v>4</v>
      </c>
      <c r="S556" cm="1">
        <f t="array" ref="S556">_xlfn.XLOOKUP(Matrix[[#This Row],[TEAM]]&amp;Matrix[[#Headers],[7]],FDR[FDR]&amp;FDR[[#Headers],[7]],FDR[7],"",0,1)</f>
        <v>5</v>
      </c>
      <c r="T556" cm="1">
        <f t="array" ref="T556">_xlfn.XLOOKUP(Matrix[[#This Row],[TEAM]]&amp;Matrix[[#Headers],[8]],FDR[FDR]&amp;FDR[[#Headers],[8]],FDR[8],"",0,1)</f>
        <v>3</v>
      </c>
      <c r="U556" cm="1">
        <f t="array" ref="U556">_xlfn.XLOOKUP(Matrix[[#This Row],[TEAM]]&amp;Matrix[[#Headers],[9]],FDR[FDR]&amp;FDR[[#Headers],[9]],FDR[9],"",0,1)</f>
        <v>2</v>
      </c>
      <c r="V556" cm="1">
        <f t="array" ref="V556">_xlfn.XLOOKUP(Matrix[[#This Row],[TEAM]]&amp;Matrix[[#Headers],[10]],FDR[FDR]&amp;FDR[[#Headers],[10]],FDR[10],"",0,1)</f>
        <v>4</v>
      </c>
      <c r="W556" cm="1">
        <f t="array" ref="W556">_xlfn.XLOOKUP(Matrix[[#This Row],[TEAM]]&amp;Matrix[[#Headers],[11]],FDR[FDR]&amp;FDR[[#Headers],[11]],FDR[11],"",0,1)</f>
        <v>1</v>
      </c>
      <c r="X556" cm="1">
        <f t="array" ref="X556">_xlfn.XLOOKUP(Matrix[[#This Row],[TEAM]]&amp;Matrix[[#Headers],[12]],FDR[FDR]&amp;FDR[[#Headers],[12]],FDR[12],"",0,1)</f>
        <v>4</v>
      </c>
      <c r="Y556" cm="1">
        <f t="array" ref="Y556">_xlfn.XLOOKUP(Matrix[[#This Row],[TEAM]]&amp;Matrix[[#Headers],[13]],FDR[FDR]&amp;FDR[[#Headers],[13]],FDR[13],"",0,1)</f>
        <v>4</v>
      </c>
      <c r="Z556" cm="1">
        <f t="array" ref="Z556">_xlfn.XLOOKUP(Matrix[[#This Row],[TEAM]]&amp;Matrix[[#Headers],[14]],FDR[FDR]&amp;FDR[[#Headers],[14]],FDR[14],"",0,1)</f>
        <v>5</v>
      </c>
      <c r="AA556" cm="1">
        <f t="array" ref="AA556">_xlfn.XLOOKUP(Matrix[[#This Row],[TEAM]]&amp;Matrix[[#Headers],[15]],FDR[FDR]&amp;FDR[[#Headers],[15]],FDR[15],"",0,1)</f>
        <v>4</v>
      </c>
      <c r="AB556" cm="1">
        <f t="array" ref="AB556">_xlfn.XLOOKUP(Matrix[[#This Row],[TEAM]]&amp;Matrix[[#Headers],[16]],FDR[FDR]&amp;FDR[[#Headers],[16]],FDR[16],"",0,1)</f>
        <v>4</v>
      </c>
      <c r="AC556" cm="1">
        <f t="array" ref="AC556">_xlfn.XLOOKUP(Matrix[[#This Row],[TEAM]]&amp;Matrix[[#Headers],[17]],FDR[FDR]&amp;FDR[[#Headers],[17]],FDR[17],"",0,1)</f>
        <v>5</v>
      </c>
      <c r="AD556" cm="1">
        <f t="array" ref="AD556">_xlfn.XLOOKUP(Matrix[[#This Row],[TEAM]]&amp;Matrix[[#Headers],[18]],FDR[FDR]&amp;FDR[[#Headers],[18]],FDR[18],"",0,1)</f>
        <v>3</v>
      </c>
      <c r="AE556" cm="1">
        <f t="array" ref="AE556">_xlfn.XLOOKUP(Matrix[[#This Row],[TEAM]]&amp;Matrix[[#Headers],[19]],FDR[FDR]&amp;FDR[[#Headers],[19]],FDR[19],"",0,1)</f>
        <v>3</v>
      </c>
      <c r="AF556" cm="1">
        <f t="array" ref="AF556">_xlfn.XLOOKUP(Matrix[[#This Row],[TEAM]]&amp;Matrix[[#Headers],[20]],FDR[FDR]&amp;FDR[[#Headers],[20]],FDR[20],"",0,1)</f>
        <v>2</v>
      </c>
      <c r="AG556" cm="1">
        <f t="array" ref="AG556">_xlfn.XLOOKUP(Matrix[[#This Row],[TEAM]]&amp;Matrix[[#Headers],[21]],FDR[FDR]&amp;FDR[[#Headers],[21]],FDR[21],"",0,1)</f>
        <v>3</v>
      </c>
      <c r="AH556" cm="1">
        <f t="array" ref="AH556">_xlfn.XLOOKUP(Matrix[[#This Row],[TEAM]]&amp;Matrix[[#Headers],[22]],FDR[FDR]&amp;FDR[[#Headers],[22]],FDR[22],"",0,1)</f>
        <v>5</v>
      </c>
      <c r="AI556" cm="1">
        <f t="array" ref="AI556">_xlfn.XLOOKUP(Matrix[[#This Row],[TEAM]]&amp;Matrix[[#Headers],[23]],FDR[FDR]&amp;FDR[[#Headers],[23]],FDR[23],"",0,1)</f>
        <v>1</v>
      </c>
      <c r="AJ556" cm="1">
        <f t="array" ref="AJ556">_xlfn.XLOOKUP(Matrix[[#This Row],[TEAM]]&amp;Matrix[[#Headers],[24]],FDR[FDR]&amp;FDR[[#Headers],[24]],FDR[24],"",0,1)</f>
        <v>5</v>
      </c>
      <c r="AK556" cm="1">
        <f t="array" ref="AK556">_xlfn.XLOOKUP(Matrix[[#This Row],[TEAM]]&amp;Matrix[[#Headers],[25]],FDR[FDR]&amp;FDR[[#Headers],[25]],FDR[25],"",0,1)</f>
        <v>2</v>
      </c>
      <c r="AL556" cm="1">
        <f t="array" ref="AL556">_xlfn.XLOOKUP(Matrix[[#This Row],[TEAM]]&amp;Matrix[[#Headers],[26]],FDR[FDR]&amp;FDR[[#Headers],[26]],FDR[26],"",0,1)</f>
        <v>4</v>
      </c>
      <c r="AM556" cm="1">
        <f t="array" ref="AM556">_xlfn.XLOOKUP(Matrix[[#This Row],[TEAM]]&amp;Matrix[[#Headers],[27]],FDR[FDR]&amp;FDR[[#Headers],[27]],FDR[27],"",0,1)</f>
        <v>3</v>
      </c>
      <c r="AN556" cm="1">
        <f t="array" ref="AN556">_xlfn.XLOOKUP(Matrix[[#This Row],[TEAM]]&amp;Matrix[[#Headers],[28]],FDR[FDR]&amp;FDR[[#Headers],[28]],FDR[28],"",0,1)</f>
        <v>5</v>
      </c>
      <c r="AO556" cm="1">
        <f t="array" ref="AO556">_xlfn.XLOOKUP(Matrix[[#This Row],[TEAM]]&amp;Matrix[[#Headers],[29]],FDR[FDR]&amp;FDR[[#Headers],[29]],FDR[29],"",0,1)</f>
        <v>4</v>
      </c>
      <c r="AP556" cm="1">
        <f t="array" ref="AP556">_xlfn.XLOOKUP(Matrix[[#This Row],[TEAM]]&amp;Matrix[[#Headers],[30]],FDR[FDR]&amp;FDR[[#Headers],[30]],FDR[30],"",0,1)</f>
        <v>4</v>
      </c>
      <c r="AQ556" cm="1">
        <f t="array" ref="AQ556">_xlfn.XLOOKUP(Matrix[[#This Row],[TEAM]]&amp;Matrix[[#Headers],[31]],FDR[FDR]&amp;FDR[[#Headers],[31]],FDR[31],"",0,1)</f>
        <v>5</v>
      </c>
      <c r="AR556" cm="1">
        <f t="array" ref="AR556">_xlfn.XLOOKUP(Matrix[[#This Row],[TEAM]]&amp;Matrix[[#Headers],[32]],FDR[FDR]&amp;FDR[[#Headers],[32]],FDR[32],"",0,1)</f>
        <v>2</v>
      </c>
      <c r="AS556" cm="1">
        <f t="array" ref="AS556">_xlfn.XLOOKUP(Matrix[[#This Row],[TEAM]]&amp;Matrix[[#Headers],[33]],FDR[FDR]&amp;FDR[[#Headers],[33]],FDR[33],"",0,1)</f>
        <v>4</v>
      </c>
      <c r="AT556" cm="1">
        <f t="array" ref="AT556">_xlfn.XLOOKUP(Matrix[[#This Row],[TEAM]]&amp;Matrix[[#Headers],[34]],FDR[FDR]&amp;FDR[[#Headers],[34]],FDR[34],"",0,1)</f>
        <v>3</v>
      </c>
      <c r="AU556" cm="1">
        <f t="array" ref="AU556">_xlfn.XLOOKUP(Matrix[[#This Row],[TEAM]]&amp;Matrix[[#Headers],[35]],FDR[FDR]&amp;FDR[[#Headers],[35]],FDR[35],"",0,1)</f>
        <v>4</v>
      </c>
      <c r="AV556" cm="1">
        <f t="array" ref="AV556">_xlfn.XLOOKUP(Matrix[[#This Row],[TEAM]]&amp;Matrix[[#Headers],[36]],FDR[FDR]&amp;FDR[[#Headers],[36]],FDR[36],"",0,1)</f>
        <v>4</v>
      </c>
      <c r="AW556" cm="1">
        <f t="array" ref="AW556">_xlfn.XLOOKUP(Matrix[[#This Row],[TEAM]]&amp;Matrix[[#Headers],[37]],FDR[FDR]&amp;FDR[[#Headers],[37]],FDR[37],"",0,1)</f>
        <v>5</v>
      </c>
      <c r="AX556" cm="1">
        <f t="array" ref="AX556">_xlfn.XLOOKUP(Matrix[[#This Row],[TEAM]]&amp;Matrix[[#Headers],[38]],FDR[FDR]&amp;FDR[[#Headers],[38]],FDR[38],"",0,1)</f>
        <v>1</v>
      </c>
    </row>
    <row r="557" spans="1:50" ht="22" thickTop="1" thickBot="1">
      <c r="A557" s="49" t="str">
        <f>INDEX!S$5</f>
        <v>FWD</v>
      </c>
      <c r="B557" s="70" t="s">
        <v>1471</v>
      </c>
      <c r="C557" s="40" t="s">
        <v>43</v>
      </c>
      <c r="D557" s="62">
        <v>32</v>
      </c>
      <c r="E557" s="60">
        <v>0</v>
      </c>
      <c r="F557" s="61">
        <v>35.9</v>
      </c>
      <c r="G557" s="63">
        <v>5.5</v>
      </c>
      <c r="H557" s="261">
        <f>IF(ISBLANK(I557),0,1)</f>
        <v>1</v>
      </c>
      <c r="I557" s="57" t="s">
        <v>891</v>
      </c>
      <c r="J557" s="58" t="s">
        <v>1981</v>
      </c>
      <c r="K557" s="64" t="s">
        <v>767</v>
      </c>
      <c r="L557" s="64" t="s">
        <v>1986</v>
      </c>
      <c r="M557" cm="1">
        <f t="array" ref="M557">_xlfn.XLOOKUP(Matrix[[#This Row],[TEAM]]&amp;Matrix[[#Headers],[1]],FDR[FDR]&amp;FDR[[#Headers],[1]],FDR[1],"",0,1)</f>
        <v>5</v>
      </c>
      <c r="N557" cm="1">
        <f t="array" ref="N557">_xlfn.XLOOKUP(Matrix[[#This Row],[TEAM]]&amp;Matrix[[#Headers],[2]],FDR[FDR]&amp;FDR[[#Headers],[2]],FDR[2],"",0,1)</f>
        <v>1</v>
      </c>
      <c r="O557" cm="1">
        <f t="array" ref="O557">_xlfn.XLOOKUP(Matrix[[#This Row],[TEAM]]&amp;Matrix[[#Headers],[3]],FDR[FDR]&amp;FDR[[#Headers],[3]],FDR[3],"",0,1)</f>
        <v>5</v>
      </c>
      <c r="P557" cm="1">
        <f t="array" ref="P557">_xlfn.XLOOKUP(Matrix[[#This Row],[TEAM]]&amp;Matrix[[#Headers],[4]],FDR[FDR]&amp;FDR[[#Headers],[4]],FDR[4],"",0,1)</f>
        <v>3</v>
      </c>
      <c r="Q557" cm="1">
        <f t="array" ref="Q557">_xlfn.XLOOKUP(Matrix[[#This Row],[TEAM]]&amp;Matrix[[#Headers],[5]],FDR[FDR]&amp;FDR[[#Headers],[5]],FDR[5],"",0,1)</f>
        <v>4</v>
      </c>
      <c r="R557" cm="1">
        <f t="array" ref="R557">_xlfn.XLOOKUP(Matrix[[#This Row],[TEAM]]&amp;Matrix[[#Headers],[6]],FDR[FDR]&amp;FDR[[#Headers],[6]],FDR[6],"",0,1)</f>
        <v>2</v>
      </c>
      <c r="S557" cm="1">
        <f t="array" ref="S557">_xlfn.XLOOKUP(Matrix[[#This Row],[TEAM]]&amp;Matrix[[#Headers],[7]],FDR[FDR]&amp;FDR[[#Headers],[7]],FDR[7],"",0,1)</f>
        <v>3</v>
      </c>
      <c r="T557" cm="1">
        <f t="array" ref="T557">_xlfn.XLOOKUP(Matrix[[#This Row],[TEAM]]&amp;Matrix[[#Headers],[8]],FDR[FDR]&amp;FDR[[#Headers],[8]],FDR[8],"",0,1)</f>
        <v>3</v>
      </c>
      <c r="U557" cm="1">
        <f t="array" ref="U557">_xlfn.XLOOKUP(Matrix[[#This Row],[TEAM]]&amp;Matrix[[#Headers],[9]],FDR[FDR]&amp;FDR[[#Headers],[9]],FDR[9],"",0,1)</f>
        <v>3</v>
      </c>
      <c r="V557" cm="1">
        <f t="array" ref="V557">_xlfn.XLOOKUP(Matrix[[#This Row],[TEAM]]&amp;Matrix[[#Headers],[10]],FDR[FDR]&amp;FDR[[#Headers],[10]],FDR[10],"",0,1)</f>
        <v>5</v>
      </c>
      <c r="W557" cm="1">
        <f t="array" ref="W557">_xlfn.XLOOKUP(Matrix[[#This Row],[TEAM]]&amp;Matrix[[#Headers],[11]],FDR[FDR]&amp;FDR[[#Headers],[11]],FDR[11],"",0,1)</f>
        <v>5</v>
      </c>
      <c r="X557" cm="1">
        <f t="array" ref="X557">_xlfn.XLOOKUP(Matrix[[#This Row],[TEAM]]&amp;Matrix[[#Headers],[12]],FDR[FDR]&amp;FDR[[#Headers],[12]],FDR[12],"",0,1)</f>
        <v>2</v>
      </c>
      <c r="Y557" cm="1">
        <f t="array" ref="Y557">_xlfn.XLOOKUP(Matrix[[#This Row],[TEAM]]&amp;Matrix[[#Headers],[13]],FDR[FDR]&amp;FDR[[#Headers],[13]],FDR[13],"",0,1)</f>
        <v>2</v>
      </c>
      <c r="Z557" cm="1">
        <f t="array" ref="Z557">_xlfn.XLOOKUP(Matrix[[#This Row],[TEAM]]&amp;Matrix[[#Headers],[14]],FDR[FDR]&amp;FDR[[#Headers],[14]],FDR[14],"",0,1)</f>
        <v>2</v>
      </c>
      <c r="AA557" cm="1">
        <f t="array" ref="AA557">_xlfn.XLOOKUP(Matrix[[#This Row],[TEAM]]&amp;Matrix[[#Headers],[15]],FDR[FDR]&amp;FDR[[#Headers],[15]],FDR[15],"",0,1)</f>
        <v>4</v>
      </c>
      <c r="AB557" cm="1">
        <f t="array" ref="AB557">_xlfn.XLOOKUP(Matrix[[#This Row],[TEAM]]&amp;Matrix[[#Headers],[16]],FDR[FDR]&amp;FDR[[#Headers],[16]],FDR[16],"",0,1)</f>
        <v>5</v>
      </c>
      <c r="AC557" cm="1">
        <f t="array" ref="AC557">_xlfn.XLOOKUP(Matrix[[#This Row],[TEAM]]&amp;Matrix[[#Headers],[17]],FDR[FDR]&amp;FDR[[#Headers],[17]],FDR[17],"",0,1)</f>
        <v>1</v>
      </c>
      <c r="AD557" cm="1">
        <f t="array" ref="AD557">_xlfn.XLOOKUP(Matrix[[#This Row],[TEAM]]&amp;Matrix[[#Headers],[18]],FDR[FDR]&amp;FDR[[#Headers],[18]],FDR[18],"",0,1)</f>
        <v>3</v>
      </c>
      <c r="AE557" cm="1">
        <f t="array" ref="AE557">_xlfn.XLOOKUP(Matrix[[#This Row],[TEAM]]&amp;Matrix[[#Headers],[19]],FDR[FDR]&amp;FDR[[#Headers],[19]],FDR[19],"",0,1)</f>
        <v>5</v>
      </c>
      <c r="AF557" cm="1">
        <f t="array" ref="AF557">_xlfn.XLOOKUP(Matrix[[#This Row],[TEAM]]&amp;Matrix[[#Headers],[20]],FDR[FDR]&amp;FDR[[#Headers],[20]],FDR[20],"",0,1)</f>
        <v>4</v>
      </c>
      <c r="AG557" cm="1">
        <f t="array" ref="AG557">_xlfn.XLOOKUP(Matrix[[#This Row],[TEAM]]&amp;Matrix[[#Headers],[21]],FDR[FDR]&amp;FDR[[#Headers],[21]],FDR[21],"",0,1)</f>
        <v>4</v>
      </c>
      <c r="AH557" cm="1">
        <f t="array" ref="AH557">_xlfn.XLOOKUP(Matrix[[#This Row],[TEAM]]&amp;Matrix[[#Headers],[22]],FDR[FDR]&amp;FDR[[#Headers],[22]],FDR[22],"",0,1)</f>
        <v>4</v>
      </c>
      <c r="AI557" cm="1">
        <f t="array" ref="AI557">_xlfn.XLOOKUP(Matrix[[#This Row],[TEAM]]&amp;Matrix[[#Headers],[23]],FDR[FDR]&amp;FDR[[#Headers],[23]],FDR[23],"",0,1)</f>
        <v>4</v>
      </c>
      <c r="AJ557" cm="1">
        <f t="array" ref="AJ557">_xlfn.XLOOKUP(Matrix[[#This Row],[TEAM]]&amp;Matrix[[#Headers],[24]],FDR[FDR]&amp;FDR[[#Headers],[24]],FDR[24],"",0,1)</f>
        <v>2</v>
      </c>
      <c r="AK557" cm="1">
        <f t="array" ref="AK557">_xlfn.XLOOKUP(Matrix[[#This Row],[TEAM]]&amp;Matrix[[#Headers],[25]],FDR[FDR]&amp;FDR[[#Headers],[25]],FDR[25],"",0,1)</f>
        <v>3</v>
      </c>
      <c r="AL557" cm="1">
        <f t="array" ref="AL557">_xlfn.XLOOKUP(Matrix[[#This Row],[TEAM]]&amp;Matrix[[#Headers],[26]],FDR[FDR]&amp;FDR[[#Headers],[26]],FDR[26],"",0,1)</f>
        <v>3</v>
      </c>
      <c r="AM557" cm="1">
        <f t="array" ref="AM557">_xlfn.XLOOKUP(Matrix[[#This Row],[TEAM]]&amp;Matrix[[#Headers],[27]],FDR[FDR]&amp;FDR[[#Headers],[27]],FDR[27],"",0,1)</f>
        <v>3</v>
      </c>
      <c r="AN557" cm="1">
        <f t="array" ref="AN557">_xlfn.XLOOKUP(Matrix[[#This Row],[TEAM]]&amp;Matrix[[#Headers],[28]],FDR[FDR]&amp;FDR[[#Headers],[28]],FDR[28],"",0,1)</f>
        <v>1</v>
      </c>
      <c r="AO557" cm="1">
        <f t="array" ref="AO557">_xlfn.XLOOKUP(Matrix[[#This Row],[TEAM]]&amp;Matrix[[#Headers],[29]],FDR[FDR]&amp;FDR[[#Headers],[29]],FDR[29],"",0,1)</f>
        <v>2</v>
      </c>
      <c r="AP557" cm="1">
        <f t="array" ref="AP557">_xlfn.XLOOKUP(Matrix[[#This Row],[TEAM]]&amp;Matrix[[#Headers],[30]],FDR[FDR]&amp;FDR[[#Headers],[30]],FDR[30],"",0,1)</f>
        <v>2</v>
      </c>
      <c r="AQ557" cm="1">
        <f t="array" ref="AQ557">_xlfn.XLOOKUP(Matrix[[#This Row],[TEAM]]&amp;Matrix[[#Headers],[31]],FDR[FDR]&amp;FDR[[#Headers],[31]],FDR[31],"",0,1)</f>
        <v>4</v>
      </c>
      <c r="AR557" cm="1">
        <f t="array" ref="AR557">_xlfn.XLOOKUP(Matrix[[#This Row],[TEAM]]&amp;Matrix[[#Headers],[32]],FDR[FDR]&amp;FDR[[#Headers],[32]],FDR[32],"",0,1)</f>
        <v>5</v>
      </c>
      <c r="AS557" cm="1">
        <f t="array" ref="AS557">_xlfn.XLOOKUP(Matrix[[#This Row],[TEAM]]&amp;Matrix[[#Headers],[33]],FDR[FDR]&amp;FDR[[#Headers],[33]],FDR[33],"",0,1)</f>
        <v>5</v>
      </c>
      <c r="AT557" cm="1">
        <f t="array" ref="AT557">_xlfn.XLOOKUP(Matrix[[#This Row],[TEAM]]&amp;Matrix[[#Headers],[34]],FDR[FDR]&amp;FDR[[#Headers],[34]],FDR[34],"",0,1)</f>
        <v>1</v>
      </c>
      <c r="AU557" cm="1">
        <f t="array" ref="AU557">_xlfn.XLOOKUP(Matrix[[#This Row],[TEAM]]&amp;Matrix[[#Headers],[35]],FDR[FDR]&amp;FDR[[#Headers],[35]],FDR[35],"",0,1)</f>
        <v>2</v>
      </c>
      <c r="AV557" cm="1">
        <f t="array" ref="AV557">_xlfn.XLOOKUP(Matrix[[#This Row],[TEAM]]&amp;Matrix[[#Headers],[36]],FDR[FDR]&amp;FDR[[#Headers],[36]],FDR[36],"",0,1)</f>
        <v>4</v>
      </c>
      <c r="AW557" cm="1">
        <f t="array" ref="AW557">_xlfn.XLOOKUP(Matrix[[#This Row],[TEAM]]&amp;Matrix[[#Headers],[37]],FDR[FDR]&amp;FDR[[#Headers],[37]],FDR[37],"",0,1)</f>
        <v>4</v>
      </c>
      <c r="AX557" cm="1">
        <f t="array" ref="AX557">_xlfn.XLOOKUP(Matrix[[#This Row],[TEAM]]&amp;Matrix[[#Headers],[38]],FDR[FDR]&amp;FDR[[#Headers],[38]],FDR[38],"",0,1)</f>
        <v>4</v>
      </c>
    </row>
    <row r="558" spans="1:50" ht="22" thickTop="1" thickBot="1">
      <c r="A558" s="49" t="str">
        <f>INDEX!S$5</f>
        <v>FWD</v>
      </c>
      <c r="B558" s="70" t="s">
        <v>1473</v>
      </c>
      <c r="C558" s="40" t="s">
        <v>22</v>
      </c>
      <c r="D558" s="62">
        <v>0</v>
      </c>
      <c r="E558" s="60">
        <v>0</v>
      </c>
      <c r="F558" s="61">
        <v>0</v>
      </c>
      <c r="G558" s="63">
        <v>5.5</v>
      </c>
      <c r="H558" s="261">
        <f>IF(ISBLANK(I558),0,1)</f>
        <v>1</v>
      </c>
      <c r="I558" s="57" t="s">
        <v>994</v>
      </c>
      <c r="J558" s="58">
        <v>0.75</v>
      </c>
      <c r="K558" s="64" t="s">
        <v>542</v>
      </c>
      <c r="L558" s="64" t="s">
        <v>289</v>
      </c>
      <c r="M558" cm="1">
        <f t="array" ref="M558">_xlfn.XLOOKUP(Matrix[[#This Row],[TEAM]]&amp;Matrix[[#Headers],[1]],FDR[FDR]&amp;FDR[[#Headers],[1]],FDR[1],"",0,1)</f>
        <v>5</v>
      </c>
      <c r="N558" cm="1">
        <f t="array" ref="N558">_xlfn.XLOOKUP(Matrix[[#This Row],[TEAM]]&amp;Matrix[[#Headers],[2]],FDR[FDR]&amp;FDR[[#Headers],[2]],FDR[2],"",0,1)</f>
        <v>3</v>
      </c>
      <c r="O558" cm="1">
        <f t="array" ref="O558">_xlfn.XLOOKUP(Matrix[[#This Row],[TEAM]]&amp;Matrix[[#Headers],[3]],FDR[FDR]&amp;FDR[[#Headers],[3]],FDR[3],"",0,1)</f>
        <v>5</v>
      </c>
      <c r="P558" cm="1">
        <f t="array" ref="P558">_xlfn.XLOOKUP(Matrix[[#This Row],[TEAM]]&amp;Matrix[[#Headers],[4]],FDR[FDR]&amp;FDR[[#Headers],[4]],FDR[4],"",0,1)</f>
        <v>5</v>
      </c>
      <c r="Q558" cm="1">
        <f t="array" ref="Q558">_xlfn.XLOOKUP(Matrix[[#This Row],[TEAM]]&amp;Matrix[[#Headers],[5]],FDR[FDR]&amp;FDR[[#Headers],[5]],FDR[5],"",0,1)</f>
        <v>5</v>
      </c>
      <c r="R558" cm="1">
        <f t="array" ref="R558">_xlfn.XLOOKUP(Matrix[[#This Row],[TEAM]]&amp;Matrix[[#Headers],[6]],FDR[FDR]&amp;FDR[[#Headers],[6]],FDR[6],"",0,1)</f>
        <v>5</v>
      </c>
      <c r="S558" cm="1">
        <f t="array" ref="S558">_xlfn.XLOOKUP(Matrix[[#This Row],[TEAM]]&amp;Matrix[[#Headers],[7]],FDR[FDR]&amp;FDR[[#Headers],[7]],FDR[7],"",0,1)</f>
        <v>5</v>
      </c>
      <c r="T558" cm="1">
        <f t="array" ref="T558">_xlfn.XLOOKUP(Matrix[[#This Row],[TEAM]]&amp;Matrix[[#Headers],[8]],FDR[FDR]&amp;FDR[[#Headers],[8]],FDR[8],"",0,1)</f>
        <v>3</v>
      </c>
      <c r="U558" cm="1">
        <f t="array" ref="U558">_xlfn.XLOOKUP(Matrix[[#This Row],[TEAM]]&amp;Matrix[[#Headers],[9]],FDR[FDR]&amp;FDR[[#Headers],[9]],FDR[9],"",0,1)</f>
        <v>4</v>
      </c>
      <c r="V558" cm="1">
        <f t="array" ref="V558">_xlfn.XLOOKUP(Matrix[[#This Row],[TEAM]]&amp;Matrix[[#Headers],[10]],FDR[FDR]&amp;FDR[[#Headers],[10]],FDR[10],"",0,1)</f>
        <v>5</v>
      </c>
      <c r="W558" cm="1">
        <f t="array" ref="W558">_xlfn.XLOOKUP(Matrix[[#This Row],[TEAM]]&amp;Matrix[[#Headers],[11]],FDR[FDR]&amp;FDR[[#Headers],[11]],FDR[11],"",0,1)</f>
        <v>5</v>
      </c>
      <c r="X558" cm="1">
        <f t="array" ref="X558">_xlfn.XLOOKUP(Matrix[[#This Row],[TEAM]]&amp;Matrix[[#Headers],[12]],FDR[FDR]&amp;FDR[[#Headers],[12]],FDR[12],"",0,1)</f>
        <v>5</v>
      </c>
      <c r="Y558" cm="1">
        <f t="array" ref="Y558">_xlfn.XLOOKUP(Matrix[[#This Row],[TEAM]]&amp;Matrix[[#Headers],[13]],FDR[FDR]&amp;FDR[[#Headers],[13]],FDR[13],"",0,1)</f>
        <v>5</v>
      </c>
      <c r="Z558" cm="1">
        <f t="array" ref="Z558">_xlfn.XLOOKUP(Matrix[[#This Row],[TEAM]]&amp;Matrix[[#Headers],[14]],FDR[FDR]&amp;FDR[[#Headers],[14]],FDR[14],"",0,1)</f>
        <v>4</v>
      </c>
      <c r="AA558" cm="1">
        <f t="array" ref="AA558">_xlfn.XLOOKUP(Matrix[[#This Row],[TEAM]]&amp;Matrix[[#Headers],[15]],FDR[FDR]&amp;FDR[[#Headers],[15]],FDR[15],"",0,1)</f>
        <v>5</v>
      </c>
      <c r="AB558" cm="1">
        <f t="array" ref="AB558">_xlfn.XLOOKUP(Matrix[[#This Row],[TEAM]]&amp;Matrix[[#Headers],[16]],FDR[FDR]&amp;FDR[[#Headers],[16]],FDR[16],"",0,1)</f>
        <v>5</v>
      </c>
      <c r="AC558" cm="1">
        <f t="array" ref="AC558">_xlfn.XLOOKUP(Matrix[[#This Row],[TEAM]]&amp;Matrix[[#Headers],[17]],FDR[FDR]&amp;FDR[[#Headers],[17]],FDR[17],"",0,1)</f>
        <v>5</v>
      </c>
      <c r="AD558" cm="1">
        <f t="array" ref="AD558">_xlfn.XLOOKUP(Matrix[[#This Row],[TEAM]]&amp;Matrix[[#Headers],[18]],FDR[FDR]&amp;FDR[[#Headers],[18]],FDR[18],"",0,1)</f>
        <v>4</v>
      </c>
      <c r="AE558" cm="1">
        <f t="array" ref="AE558">_xlfn.XLOOKUP(Matrix[[#This Row],[TEAM]]&amp;Matrix[[#Headers],[19]],FDR[FDR]&amp;FDR[[#Headers],[19]],FDR[19],"",0,1)</f>
        <v>5</v>
      </c>
      <c r="AF558" cm="1">
        <f t="array" ref="AF558">_xlfn.XLOOKUP(Matrix[[#This Row],[TEAM]]&amp;Matrix[[#Headers],[20]],FDR[FDR]&amp;FDR[[#Headers],[20]],FDR[20],"",0,1)</f>
        <v>5</v>
      </c>
      <c r="AG558" cm="1">
        <f t="array" ref="AG558">_xlfn.XLOOKUP(Matrix[[#This Row],[TEAM]]&amp;Matrix[[#Headers],[21]],FDR[FDR]&amp;FDR[[#Headers],[21]],FDR[21],"",0,1)</f>
        <v>5</v>
      </c>
      <c r="AH558" cm="1">
        <f t="array" ref="AH558">_xlfn.XLOOKUP(Matrix[[#This Row],[TEAM]]&amp;Matrix[[#Headers],[22]],FDR[FDR]&amp;FDR[[#Headers],[22]],FDR[22],"",0,1)</f>
        <v>5</v>
      </c>
      <c r="AI558" cm="1">
        <f t="array" ref="AI558">_xlfn.XLOOKUP(Matrix[[#This Row],[TEAM]]&amp;Matrix[[#Headers],[23]],FDR[FDR]&amp;FDR[[#Headers],[23]],FDR[23],"",0,1)</f>
        <v>5</v>
      </c>
      <c r="AJ558" cm="1">
        <f t="array" ref="AJ558">_xlfn.XLOOKUP(Matrix[[#This Row],[TEAM]]&amp;Matrix[[#Headers],[24]],FDR[FDR]&amp;FDR[[#Headers],[24]],FDR[24],"",0,1)</f>
        <v>4</v>
      </c>
      <c r="AK558" cm="1">
        <f t="array" ref="AK558">_xlfn.XLOOKUP(Matrix[[#This Row],[TEAM]]&amp;Matrix[[#Headers],[25]],FDR[FDR]&amp;FDR[[#Headers],[25]],FDR[25],"",0,1)</f>
        <v>4</v>
      </c>
      <c r="AL558" cm="1">
        <f t="array" ref="AL558">_xlfn.XLOOKUP(Matrix[[#This Row],[TEAM]]&amp;Matrix[[#Headers],[26]],FDR[FDR]&amp;FDR[[#Headers],[26]],FDR[26],"",0,1)</f>
        <v>5</v>
      </c>
      <c r="AM558" cm="1">
        <f t="array" ref="AM558">_xlfn.XLOOKUP(Matrix[[#This Row],[TEAM]]&amp;Matrix[[#Headers],[27]],FDR[FDR]&amp;FDR[[#Headers],[27]],FDR[27],"",0,1)</f>
        <v>5</v>
      </c>
      <c r="AN558" cm="1">
        <f t="array" ref="AN558">_xlfn.XLOOKUP(Matrix[[#This Row],[TEAM]]&amp;Matrix[[#Headers],[28]],FDR[FDR]&amp;FDR[[#Headers],[28]],FDR[28],"",0,1)</f>
        <v>4</v>
      </c>
      <c r="AO558" cm="1">
        <f t="array" ref="AO558">_xlfn.XLOOKUP(Matrix[[#This Row],[TEAM]]&amp;Matrix[[#Headers],[29]],FDR[FDR]&amp;FDR[[#Headers],[29]],FDR[29],"",0,1)</f>
        <v>5</v>
      </c>
      <c r="AP558" cm="1">
        <f t="array" ref="AP558">_xlfn.XLOOKUP(Matrix[[#This Row],[TEAM]]&amp;Matrix[[#Headers],[30]],FDR[FDR]&amp;FDR[[#Headers],[30]],FDR[30],"",0,1)</f>
        <v>5</v>
      </c>
      <c r="AQ558" cm="1">
        <f t="array" ref="AQ558">_xlfn.XLOOKUP(Matrix[[#This Row],[TEAM]]&amp;Matrix[[#Headers],[31]],FDR[FDR]&amp;FDR[[#Headers],[31]],FDR[31],"",0,1)</f>
        <v>5</v>
      </c>
      <c r="AR558" cm="1">
        <f t="array" ref="AR558">_xlfn.XLOOKUP(Matrix[[#This Row],[TEAM]]&amp;Matrix[[#Headers],[32]],FDR[FDR]&amp;FDR[[#Headers],[32]],FDR[32],"",0,1)</f>
        <v>5</v>
      </c>
      <c r="AS558" cm="1">
        <f t="array" ref="AS558">_xlfn.XLOOKUP(Matrix[[#This Row],[TEAM]]&amp;Matrix[[#Headers],[33]],FDR[FDR]&amp;FDR[[#Headers],[33]],FDR[33],"",0,1)</f>
        <v>5</v>
      </c>
      <c r="AT558" cm="1">
        <f t="array" ref="AT558">_xlfn.XLOOKUP(Matrix[[#This Row],[TEAM]]&amp;Matrix[[#Headers],[34]],FDR[FDR]&amp;FDR[[#Headers],[34]],FDR[34],"",0,1)</f>
        <v>5</v>
      </c>
      <c r="AU558" cm="1">
        <f t="array" ref="AU558">_xlfn.XLOOKUP(Matrix[[#This Row],[TEAM]]&amp;Matrix[[#Headers],[35]],FDR[FDR]&amp;FDR[[#Headers],[35]],FDR[35],"",0,1)</f>
        <v>4</v>
      </c>
      <c r="AV558" cm="1">
        <f t="array" ref="AV558">_xlfn.XLOOKUP(Matrix[[#This Row],[TEAM]]&amp;Matrix[[#Headers],[36]],FDR[FDR]&amp;FDR[[#Headers],[36]],FDR[36],"",0,1)</f>
        <v>5</v>
      </c>
      <c r="AW558" cm="1">
        <f t="array" ref="AW558">_xlfn.XLOOKUP(Matrix[[#This Row],[TEAM]]&amp;Matrix[[#Headers],[37]],FDR[FDR]&amp;FDR[[#Headers],[37]],FDR[37],"",0,1)</f>
        <v>5</v>
      </c>
      <c r="AX558" cm="1">
        <f t="array" ref="AX558">_xlfn.XLOOKUP(Matrix[[#This Row],[TEAM]]&amp;Matrix[[#Headers],[38]],FDR[FDR]&amp;FDR[[#Headers],[38]],FDR[38],"",0,1)</f>
        <v>3</v>
      </c>
    </row>
    <row r="559" spans="1:50" ht="22" thickTop="1" thickBot="1">
      <c r="A559" s="49" t="str">
        <f>INDEX!S$5</f>
        <v>FWD</v>
      </c>
      <c r="B559" s="70" t="s">
        <v>1987</v>
      </c>
      <c r="C559" s="40" t="s">
        <v>633</v>
      </c>
      <c r="D559" s="62">
        <v>0</v>
      </c>
      <c r="E559" s="60">
        <v>1E-3</v>
      </c>
      <c r="F559" s="61">
        <v>0</v>
      </c>
      <c r="G559" s="63">
        <v>5.5</v>
      </c>
      <c r="H559" s="261">
        <f>IF(ISBLANK(I559),0,1)</f>
        <v>1</v>
      </c>
      <c r="I559" s="57" t="s">
        <v>994</v>
      </c>
      <c r="J559" s="58">
        <v>0.75</v>
      </c>
      <c r="K559" s="64" t="s">
        <v>388</v>
      </c>
      <c r="L559" s="64" t="s">
        <v>1988</v>
      </c>
      <c r="M559" cm="1">
        <f t="array" ref="M559">_xlfn.XLOOKUP(Matrix[[#This Row],[TEAM]]&amp;Matrix[[#Headers],[1]],FDR[FDR]&amp;FDR[[#Headers],[1]],FDR[1],"",0,1)</f>
        <v>4</v>
      </c>
      <c r="N559" cm="1">
        <f t="array" ref="N559">_xlfn.XLOOKUP(Matrix[[#This Row],[TEAM]]&amp;Matrix[[#Headers],[2]],FDR[FDR]&amp;FDR[[#Headers],[2]],FDR[2],"",0,1)</f>
        <v>5</v>
      </c>
      <c r="O559" cm="1">
        <f t="array" ref="O559">_xlfn.XLOOKUP(Matrix[[#This Row],[TEAM]]&amp;Matrix[[#Headers],[3]],FDR[FDR]&amp;FDR[[#Headers],[3]],FDR[3],"",0,1)</f>
        <v>5</v>
      </c>
      <c r="P559" cm="1">
        <f t="array" ref="P559">_xlfn.XLOOKUP(Matrix[[#This Row],[TEAM]]&amp;Matrix[[#Headers],[4]],FDR[FDR]&amp;FDR[[#Headers],[4]],FDR[4],"",0,1)</f>
        <v>5</v>
      </c>
      <c r="Q559" cm="1">
        <f t="array" ref="Q559">_xlfn.XLOOKUP(Matrix[[#This Row],[TEAM]]&amp;Matrix[[#Headers],[5]],FDR[FDR]&amp;FDR[[#Headers],[5]],FDR[5],"",0,1)</f>
        <v>4</v>
      </c>
      <c r="R559" cm="1">
        <f t="array" ref="R559">_xlfn.XLOOKUP(Matrix[[#This Row],[TEAM]]&amp;Matrix[[#Headers],[6]],FDR[FDR]&amp;FDR[[#Headers],[6]],FDR[6],"",0,1)</f>
        <v>5</v>
      </c>
      <c r="S559" cm="1">
        <f t="array" ref="S559">_xlfn.XLOOKUP(Matrix[[#This Row],[TEAM]]&amp;Matrix[[#Headers],[7]],FDR[FDR]&amp;FDR[[#Headers],[7]],FDR[7],"",0,1)</f>
        <v>5</v>
      </c>
      <c r="T559" cm="1">
        <f t="array" ref="T559">_xlfn.XLOOKUP(Matrix[[#This Row],[TEAM]]&amp;Matrix[[#Headers],[8]],FDR[FDR]&amp;FDR[[#Headers],[8]],FDR[8],"",0,1)</f>
        <v>4</v>
      </c>
      <c r="U559" cm="1">
        <f t="array" ref="U559">_xlfn.XLOOKUP(Matrix[[#This Row],[TEAM]]&amp;Matrix[[#Headers],[9]],FDR[FDR]&amp;FDR[[#Headers],[9]],FDR[9],"",0,1)</f>
        <v>4</v>
      </c>
      <c r="V559" cm="1">
        <f t="array" ref="V559">_xlfn.XLOOKUP(Matrix[[#This Row],[TEAM]]&amp;Matrix[[#Headers],[10]],FDR[FDR]&amp;FDR[[#Headers],[10]],FDR[10],"",0,1)</f>
        <v>5</v>
      </c>
      <c r="W559" cm="1">
        <f t="array" ref="W559">_xlfn.XLOOKUP(Matrix[[#This Row],[TEAM]]&amp;Matrix[[#Headers],[11]],FDR[FDR]&amp;FDR[[#Headers],[11]],FDR[11],"",0,1)</f>
        <v>5</v>
      </c>
      <c r="X559" cm="1">
        <f t="array" ref="X559">_xlfn.XLOOKUP(Matrix[[#This Row],[TEAM]]&amp;Matrix[[#Headers],[12]],FDR[FDR]&amp;FDR[[#Headers],[12]],FDR[12],"",0,1)</f>
        <v>5</v>
      </c>
      <c r="Y559" cm="1">
        <f t="array" ref="Y559">_xlfn.XLOOKUP(Matrix[[#This Row],[TEAM]]&amp;Matrix[[#Headers],[13]],FDR[FDR]&amp;FDR[[#Headers],[13]],FDR[13],"",0,1)</f>
        <v>5</v>
      </c>
      <c r="Z559" cm="1">
        <f t="array" ref="Z559">_xlfn.XLOOKUP(Matrix[[#This Row],[TEAM]]&amp;Matrix[[#Headers],[14]],FDR[FDR]&amp;FDR[[#Headers],[14]],FDR[14],"",0,1)</f>
        <v>5</v>
      </c>
      <c r="AA559" cm="1">
        <f t="array" ref="AA559">_xlfn.XLOOKUP(Matrix[[#This Row],[TEAM]]&amp;Matrix[[#Headers],[15]],FDR[FDR]&amp;FDR[[#Headers],[15]],FDR[15],"",0,1)</f>
        <v>5</v>
      </c>
      <c r="AB559" cm="1">
        <f t="array" ref="AB559">_xlfn.XLOOKUP(Matrix[[#This Row],[TEAM]]&amp;Matrix[[#Headers],[16]],FDR[FDR]&amp;FDR[[#Headers],[16]],FDR[16],"",0,1)</f>
        <v>5</v>
      </c>
      <c r="AC559" cm="1">
        <f t="array" ref="AC559">_xlfn.XLOOKUP(Matrix[[#This Row],[TEAM]]&amp;Matrix[[#Headers],[17]],FDR[FDR]&amp;FDR[[#Headers],[17]],FDR[17],"",0,1)</f>
        <v>4</v>
      </c>
      <c r="AD559" cm="1">
        <f t="array" ref="AD559">_xlfn.XLOOKUP(Matrix[[#This Row],[TEAM]]&amp;Matrix[[#Headers],[18]],FDR[FDR]&amp;FDR[[#Headers],[18]],FDR[18],"",0,1)</f>
        <v>4</v>
      </c>
      <c r="AE559" cm="1">
        <f t="array" ref="AE559">_xlfn.XLOOKUP(Matrix[[#This Row],[TEAM]]&amp;Matrix[[#Headers],[19]],FDR[FDR]&amp;FDR[[#Headers],[19]],FDR[19],"",0,1)</f>
        <v>5</v>
      </c>
      <c r="AF559" cm="1">
        <f t="array" ref="AF559">_xlfn.XLOOKUP(Matrix[[#This Row],[TEAM]]&amp;Matrix[[#Headers],[20]],FDR[FDR]&amp;FDR[[#Headers],[20]],FDR[20],"",0,1)</f>
        <v>5</v>
      </c>
      <c r="AG559" cm="1">
        <f t="array" ref="AG559">_xlfn.XLOOKUP(Matrix[[#This Row],[TEAM]]&amp;Matrix[[#Headers],[21]],FDR[FDR]&amp;FDR[[#Headers],[21]],FDR[21],"",0,1)</f>
        <v>5</v>
      </c>
      <c r="AH559" cm="1">
        <f t="array" ref="AH559">_xlfn.XLOOKUP(Matrix[[#This Row],[TEAM]]&amp;Matrix[[#Headers],[22]],FDR[FDR]&amp;FDR[[#Headers],[22]],FDR[22],"",0,1)</f>
        <v>5</v>
      </c>
      <c r="AI559" cm="1">
        <f t="array" ref="AI559">_xlfn.XLOOKUP(Matrix[[#This Row],[TEAM]]&amp;Matrix[[#Headers],[23]],FDR[FDR]&amp;FDR[[#Headers],[23]],FDR[23],"",0,1)</f>
        <v>5</v>
      </c>
      <c r="AJ559" cm="1">
        <f t="array" ref="AJ559">_xlfn.XLOOKUP(Matrix[[#This Row],[TEAM]]&amp;Matrix[[#Headers],[24]],FDR[FDR]&amp;FDR[[#Headers],[24]],FDR[24],"",0,1)</f>
        <v>5</v>
      </c>
      <c r="AK559" cm="1">
        <f t="array" ref="AK559">_xlfn.XLOOKUP(Matrix[[#This Row],[TEAM]]&amp;Matrix[[#Headers],[25]],FDR[FDR]&amp;FDR[[#Headers],[25]],FDR[25],"",0,1)</f>
        <v>5</v>
      </c>
      <c r="AL559" cm="1">
        <f t="array" ref="AL559">_xlfn.XLOOKUP(Matrix[[#This Row],[TEAM]]&amp;Matrix[[#Headers],[26]],FDR[FDR]&amp;FDR[[#Headers],[26]],FDR[26],"",0,1)</f>
        <v>5</v>
      </c>
      <c r="AM559" cm="1">
        <f t="array" ref="AM559">_xlfn.XLOOKUP(Matrix[[#This Row],[TEAM]]&amp;Matrix[[#Headers],[27]],FDR[FDR]&amp;FDR[[#Headers],[27]],FDR[27],"",0,1)</f>
        <v>5</v>
      </c>
      <c r="AN559" cm="1">
        <f t="array" ref="AN559">_xlfn.XLOOKUP(Matrix[[#This Row],[TEAM]]&amp;Matrix[[#Headers],[28]],FDR[FDR]&amp;FDR[[#Headers],[28]],FDR[28],"",0,1)</f>
        <v>5</v>
      </c>
      <c r="AO559" cm="1">
        <f t="array" ref="AO559">_xlfn.XLOOKUP(Matrix[[#This Row],[TEAM]]&amp;Matrix[[#Headers],[29]],FDR[FDR]&amp;FDR[[#Headers],[29]],FDR[29],"",0,1)</f>
        <v>3</v>
      </c>
      <c r="AP559" cm="1">
        <f t="array" ref="AP559">_xlfn.XLOOKUP(Matrix[[#This Row],[TEAM]]&amp;Matrix[[#Headers],[30]],FDR[FDR]&amp;FDR[[#Headers],[30]],FDR[30],"",0,1)</f>
        <v>5</v>
      </c>
      <c r="AQ559" cm="1">
        <f t="array" ref="AQ559">_xlfn.XLOOKUP(Matrix[[#This Row],[TEAM]]&amp;Matrix[[#Headers],[31]],FDR[FDR]&amp;FDR[[#Headers],[31]],FDR[31],"",0,1)</f>
        <v>4</v>
      </c>
      <c r="AR559" cm="1">
        <f t="array" ref="AR559">_xlfn.XLOOKUP(Matrix[[#This Row],[TEAM]]&amp;Matrix[[#Headers],[32]],FDR[FDR]&amp;FDR[[#Headers],[32]],FDR[32],"",0,1)</f>
        <v>5</v>
      </c>
      <c r="AS559" cm="1">
        <f t="array" ref="AS559">_xlfn.XLOOKUP(Matrix[[#This Row],[TEAM]]&amp;Matrix[[#Headers],[33]],FDR[FDR]&amp;FDR[[#Headers],[33]],FDR[33],"",0,1)</f>
        <v>3</v>
      </c>
      <c r="AT559" cm="1">
        <f t="array" ref="AT559">_xlfn.XLOOKUP(Matrix[[#This Row],[TEAM]]&amp;Matrix[[#Headers],[34]],FDR[FDR]&amp;FDR[[#Headers],[34]],FDR[34],"",0,1)</f>
        <v>5</v>
      </c>
      <c r="AU559" cm="1">
        <f t="array" ref="AU559">_xlfn.XLOOKUP(Matrix[[#This Row],[TEAM]]&amp;Matrix[[#Headers],[35]],FDR[FDR]&amp;FDR[[#Headers],[35]],FDR[35],"",0,1)</f>
        <v>3</v>
      </c>
      <c r="AV559" cm="1">
        <f t="array" ref="AV559">_xlfn.XLOOKUP(Matrix[[#This Row],[TEAM]]&amp;Matrix[[#Headers],[36]],FDR[FDR]&amp;FDR[[#Headers],[36]],FDR[36],"",0,1)</f>
        <v>5</v>
      </c>
      <c r="AW559" cm="1">
        <f t="array" ref="AW559">_xlfn.XLOOKUP(Matrix[[#This Row],[TEAM]]&amp;Matrix[[#Headers],[37]],FDR[FDR]&amp;FDR[[#Headers],[37]],FDR[37],"",0,1)</f>
        <v>5</v>
      </c>
      <c r="AX559" cm="1">
        <f t="array" ref="AX559">_xlfn.XLOOKUP(Matrix[[#This Row],[TEAM]]&amp;Matrix[[#Headers],[38]],FDR[FDR]&amp;FDR[[#Headers],[38]],FDR[38],"",0,1)</f>
        <v>5</v>
      </c>
    </row>
    <row r="560" spans="1:50" ht="22" thickTop="1" thickBot="1">
      <c r="A560" s="54" t="s">
        <v>657</v>
      </c>
      <c r="B560" s="70" t="s">
        <v>1408</v>
      </c>
      <c r="C560" s="40" t="s">
        <v>24</v>
      </c>
      <c r="D560" s="62">
        <v>88</v>
      </c>
      <c r="E560" s="60">
        <v>1.9E-2</v>
      </c>
      <c r="F560" s="61">
        <v>81.3</v>
      </c>
      <c r="G560" s="63">
        <v>5.4</v>
      </c>
      <c r="H560" s="261">
        <f>IF(ISBLANK(I560),0,1)</f>
        <v>1</v>
      </c>
      <c r="I560" s="57" t="s">
        <v>894</v>
      </c>
      <c r="J560" s="58" t="s">
        <v>1981</v>
      </c>
      <c r="K560" s="65" t="s">
        <v>594</v>
      </c>
      <c r="L560" s="65" t="s">
        <v>179</v>
      </c>
      <c r="M560" cm="1">
        <f t="array" ref="M560">_xlfn.XLOOKUP(Matrix[[#This Row],[TEAM]]&amp;Matrix[[#Headers],[1]],FDR[FDR]&amp;FDR[[#Headers],[1]],FDR[1],"",0,1)</f>
        <v>2</v>
      </c>
      <c r="N560" cm="1">
        <f t="array" ref="N560">_xlfn.XLOOKUP(Matrix[[#This Row],[TEAM]]&amp;Matrix[[#Headers],[2]],FDR[FDR]&amp;FDR[[#Headers],[2]],FDR[2],"",0,1)</f>
        <v>3</v>
      </c>
      <c r="O560" cm="1">
        <f t="array" ref="O560">_xlfn.XLOOKUP(Matrix[[#This Row],[TEAM]]&amp;Matrix[[#Headers],[3]],FDR[FDR]&amp;FDR[[#Headers],[3]],FDR[3],"",0,1)</f>
        <v>2</v>
      </c>
      <c r="P560" cm="1">
        <f t="array" ref="P560">_xlfn.XLOOKUP(Matrix[[#This Row],[TEAM]]&amp;Matrix[[#Headers],[4]],FDR[FDR]&amp;FDR[[#Headers],[4]],FDR[4],"",0,1)</f>
        <v>4</v>
      </c>
      <c r="Q560" cm="1">
        <f t="array" ref="Q560">_xlfn.XLOOKUP(Matrix[[#This Row],[TEAM]]&amp;Matrix[[#Headers],[5]],FDR[FDR]&amp;FDR[[#Headers],[5]],FDR[5],"",0,1)</f>
        <v>5</v>
      </c>
      <c r="R560" cm="1">
        <f t="array" ref="R560">_xlfn.XLOOKUP(Matrix[[#This Row],[TEAM]]&amp;Matrix[[#Headers],[6]],FDR[FDR]&amp;FDR[[#Headers],[6]],FDR[6],"",0,1)</f>
        <v>3</v>
      </c>
      <c r="S560" cm="1">
        <f t="array" ref="S560">_xlfn.XLOOKUP(Matrix[[#This Row],[TEAM]]&amp;Matrix[[#Headers],[7]],FDR[FDR]&amp;FDR[[#Headers],[7]],FDR[7],"",0,1)</f>
        <v>3</v>
      </c>
      <c r="T560" cm="1">
        <f t="array" ref="T560">_xlfn.XLOOKUP(Matrix[[#This Row],[TEAM]]&amp;Matrix[[#Headers],[8]],FDR[FDR]&amp;FDR[[#Headers],[8]],FDR[8],"",0,1)</f>
        <v>5</v>
      </c>
      <c r="U560" cm="1">
        <f t="array" ref="U560">_xlfn.XLOOKUP(Matrix[[#This Row],[TEAM]]&amp;Matrix[[#Headers],[9]],FDR[FDR]&amp;FDR[[#Headers],[9]],FDR[9],"",0,1)</f>
        <v>4</v>
      </c>
      <c r="V560" cm="1">
        <f t="array" ref="V560">_xlfn.XLOOKUP(Matrix[[#This Row],[TEAM]]&amp;Matrix[[#Headers],[10]],FDR[FDR]&amp;FDR[[#Headers],[10]],FDR[10],"",0,1)</f>
        <v>2</v>
      </c>
      <c r="W560" cm="1">
        <f t="array" ref="W560">_xlfn.XLOOKUP(Matrix[[#This Row],[TEAM]]&amp;Matrix[[#Headers],[11]],FDR[FDR]&amp;FDR[[#Headers],[11]],FDR[11],"",0,1)</f>
        <v>3</v>
      </c>
      <c r="X560" cm="1">
        <f t="array" ref="X560">_xlfn.XLOOKUP(Matrix[[#This Row],[TEAM]]&amp;Matrix[[#Headers],[12]],FDR[FDR]&amp;FDR[[#Headers],[12]],FDR[12],"",0,1)</f>
        <v>5</v>
      </c>
      <c r="Y560" cm="1">
        <f t="array" ref="Y560">_xlfn.XLOOKUP(Matrix[[#This Row],[TEAM]]&amp;Matrix[[#Headers],[13]],FDR[FDR]&amp;FDR[[#Headers],[13]],FDR[13],"",0,1)</f>
        <v>4</v>
      </c>
      <c r="Z560" cm="1">
        <f t="array" ref="Z560">_xlfn.XLOOKUP(Matrix[[#This Row],[TEAM]]&amp;Matrix[[#Headers],[14]],FDR[FDR]&amp;FDR[[#Headers],[14]],FDR[14],"",0,1)</f>
        <v>4</v>
      </c>
      <c r="AA560" cm="1">
        <f t="array" ref="AA560">_xlfn.XLOOKUP(Matrix[[#This Row],[TEAM]]&amp;Matrix[[#Headers],[15]],FDR[FDR]&amp;FDR[[#Headers],[15]],FDR[15],"",0,1)</f>
        <v>3</v>
      </c>
      <c r="AB560" cm="1">
        <f t="array" ref="AB560">_xlfn.XLOOKUP(Matrix[[#This Row],[TEAM]]&amp;Matrix[[#Headers],[16]],FDR[FDR]&amp;FDR[[#Headers],[16]],FDR[16],"",0,1)</f>
        <v>5</v>
      </c>
      <c r="AC560" cm="1">
        <f t="array" ref="AC560">_xlfn.XLOOKUP(Matrix[[#This Row],[TEAM]]&amp;Matrix[[#Headers],[17]],FDR[FDR]&amp;FDR[[#Headers],[17]],FDR[17],"",0,1)</f>
        <v>4</v>
      </c>
      <c r="AD560" cm="1">
        <f t="array" ref="AD560">_xlfn.XLOOKUP(Matrix[[#This Row],[TEAM]]&amp;Matrix[[#Headers],[18]],FDR[FDR]&amp;FDR[[#Headers],[18]],FDR[18],"",0,1)</f>
        <v>2</v>
      </c>
      <c r="AE560" cm="1">
        <f t="array" ref="AE560">_xlfn.XLOOKUP(Matrix[[#This Row],[TEAM]]&amp;Matrix[[#Headers],[19]],FDR[FDR]&amp;FDR[[#Headers],[19]],FDR[19],"",0,1)</f>
        <v>4</v>
      </c>
      <c r="AF560" cm="1">
        <f t="array" ref="AF560">_xlfn.XLOOKUP(Matrix[[#This Row],[TEAM]]&amp;Matrix[[#Headers],[20]],FDR[FDR]&amp;FDR[[#Headers],[20]],FDR[20],"",0,1)</f>
        <v>3</v>
      </c>
      <c r="AG560" cm="1">
        <f t="array" ref="AG560">_xlfn.XLOOKUP(Matrix[[#This Row],[TEAM]]&amp;Matrix[[#Headers],[21]],FDR[FDR]&amp;FDR[[#Headers],[21]],FDR[21],"",0,1)</f>
        <v>2</v>
      </c>
      <c r="AH560" cm="1">
        <f t="array" ref="AH560">_xlfn.XLOOKUP(Matrix[[#This Row],[TEAM]]&amp;Matrix[[#Headers],[22]],FDR[FDR]&amp;FDR[[#Headers],[22]],FDR[22],"",0,1)</f>
        <v>5</v>
      </c>
      <c r="AI560" cm="1">
        <f t="array" ref="AI560">_xlfn.XLOOKUP(Matrix[[#This Row],[TEAM]]&amp;Matrix[[#Headers],[23]],FDR[FDR]&amp;FDR[[#Headers],[23]],FDR[23],"",0,1)</f>
        <v>1</v>
      </c>
      <c r="AJ560" cm="1">
        <f t="array" ref="AJ560">_xlfn.XLOOKUP(Matrix[[#This Row],[TEAM]]&amp;Matrix[[#Headers],[24]],FDR[FDR]&amp;FDR[[#Headers],[24]],FDR[24],"",0,1)</f>
        <v>4</v>
      </c>
      <c r="AK560" cm="1">
        <f t="array" ref="AK560">_xlfn.XLOOKUP(Matrix[[#This Row],[TEAM]]&amp;Matrix[[#Headers],[25]],FDR[FDR]&amp;FDR[[#Headers],[25]],FDR[25],"",0,1)</f>
        <v>4</v>
      </c>
      <c r="AL560" cm="1">
        <f t="array" ref="AL560">_xlfn.XLOOKUP(Matrix[[#This Row],[TEAM]]&amp;Matrix[[#Headers],[26]],FDR[FDR]&amp;FDR[[#Headers],[26]],FDR[26],"",0,1)</f>
        <v>3</v>
      </c>
      <c r="AM560" cm="1">
        <f t="array" ref="AM560">_xlfn.XLOOKUP(Matrix[[#This Row],[TEAM]]&amp;Matrix[[#Headers],[27]],FDR[FDR]&amp;FDR[[#Headers],[27]],FDR[27],"",0,1)</f>
        <v>4</v>
      </c>
      <c r="AN560" cm="1">
        <f t="array" ref="AN560">_xlfn.XLOOKUP(Matrix[[#This Row],[TEAM]]&amp;Matrix[[#Headers],[28]],FDR[FDR]&amp;FDR[[#Headers],[28]],FDR[28],"",0,1)</f>
        <v>5</v>
      </c>
      <c r="AO560" cm="1">
        <f t="array" ref="AO560">_xlfn.XLOOKUP(Matrix[[#This Row],[TEAM]]&amp;Matrix[[#Headers],[29]],FDR[FDR]&amp;FDR[[#Headers],[29]],FDR[29],"",0,1)</f>
        <v>1</v>
      </c>
      <c r="AP560" cm="1">
        <f t="array" ref="AP560">_xlfn.XLOOKUP(Matrix[[#This Row],[TEAM]]&amp;Matrix[[#Headers],[30]],FDR[FDR]&amp;FDR[[#Headers],[30]],FDR[30],"",0,1)</f>
        <v>5</v>
      </c>
      <c r="AQ560" cm="1">
        <f t="array" ref="AQ560">_xlfn.XLOOKUP(Matrix[[#This Row],[TEAM]]&amp;Matrix[[#Headers],[31]],FDR[FDR]&amp;FDR[[#Headers],[31]],FDR[31],"",0,1)</f>
        <v>4</v>
      </c>
      <c r="AR560" cm="1">
        <f t="array" ref="AR560">_xlfn.XLOOKUP(Matrix[[#This Row],[TEAM]]&amp;Matrix[[#Headers],[32]],FDR[FDR]&amp;FDR[[#Headers],[32]],FDR[32],"",0,1)</f>
        <v>4</v>
      </c>
      <c r="AS560" cm="1">
        <f t="array" ref="AS560">_xlfn.XLOOKUP(Matrix[[#This Row],[TEAM]]&amp;Matrix[[#Headers],[33]],FDR[FDR]&amp;FDR[[#Headers],[33]],FDR[33],"",0,1)</f>
        <v>4</v>
      </c>
      <c r="AT560" cm="1">
        <f t="array" ref="AT560">_xlfn.XLOOKUP(Matrix[[#This Row],[TEAM]]&amp;Matrix[[#Headers],[34]],FDR[FDR]&amp;FDR[[#Headers],[34]],FDR[34],"",0,1)</f>
        <v>4</v>
      </c>
      <c r="AU560" cm="1">
        <f t="array" ref="AU560">_xlfn.XLOOKUP(Matrix[[#This Row],[TEAM]]&amp;Matrix[[#Headers],[35]],FDR[FDR]&amp;FDR[[#Headers],[35]],FDR[35],"",0,1)</f>
        <v>4</v>
      </c>
      <c r="AV560" cm="1">
        <f t="array" ref="AV560">_xlfn.XLOOKUP(Matrix[[#This Row],[TEAM]]&amp;Matrix[[#Headers],[36]],FDR[FDR]&amp;FDR[[#Headers],[36]],FDR[36],"",0,1)</f>
        <v>4</v>
      </c>
      <c r="AW560" cm="1">
        <f t="array" ref="AW560">_xlfn.XLOOKUP(Matrix[[#This Row],[TEAM]]&amp;Matrix[[#Headers],[37]],FDR[FDR]&amp;FDR[[#Headers],[37]],FDR[37],"",0,1)</f>
        <v>1</v>
      </c>
      <c r="AX560" cm="1">
        <f t="array" ref="AX560">_xlfn.XLOOKUP(Matrix[[#This Row],[TEAM]]&amp;Matrix[[#Headers],[38]],FDR[FDR]&amp;FDR[[#Headers],[38]],FDR[38],"",0,1)</f>
        <v>5</v>
      </c>
    </row>
    <row r="561" spans="1:50" ht="22" thickTop="1" thickBot="1">
      <c r="A561" s="53" t="str">
        <f>INDEX!S$4</f>
        <v>MID</v>
      </c>
      <c r="B561" s="70" t="s">
        <v>2099</v>
      </c>
      <c r="C561" s="40" t="s">
        <v>20</v>
      </c>
      <c r="D561" s="62">
        <v>4</v>
      </c>
      <c r="E561" s="60">
        <v>2E-3</v>
      </c>
      <c r="F561" s="61">
        <v>1.7</v>
      </c>
      <c r="G561" s="63">
        <v>4.5</v>
      </c>
      <c r="H561" s="261">
        <f>IF(ISBLANK(I561),0,1)</f>
        <v>0</v>
      </c>
      <c r="I561" s="57"/>
      <c r="J561" s="58"/>
      <c r="K561" s="59" t="s">
        <v>412</v>
      </c>
      <c r="L561" s="59" t="s">
        <v>2098</v>
      </c>
      <c r="M561" cm="1">
        <f t="array" ref="M561">_xlfn.XLOOKUP(Matrix[[#This Row],[TEAM]]&amp;Matrix[[#Headers],[1]],FDR[FDR]&amp;FDR[[#Headers],[1]],FDR[1],"",0,1)</f>
        <v>3</v>
      </c>
      <c r="N561" cm="1">
        <f t="array" ref="N561">_xlfn.XLOOKUP(Matrix[[#This Row],[TEAM]]&amp;Matrix[[#Headers],[2]],FDR[FDR]&amp;FDR[[#Headers],[2]],FDR[2],"",0,1)</f>
        <v>1</v>
      </c>
      <c r="O561" cm="1">
        <f t="array" ref="O561">_xlfn.XLOOKUP(Matrix[[#This Row],[TEAM]]&amp;Matrix[[#Headers],[3]],FDR[FDR]&amp;FDR[[#Headers],[3]],FDR[3],"",0,1)</f>
        <v>4</v>
      </c>
      <c r="P561" cm="1">
        <f t="array" ref="P561">_xlfn.XLOOKUP(Matrix[[#This Row],[TEAM]]&amp;Matrix[[#Headers],[4]],FDR[FDR]&amp;FDR[[#Headers],[4]],FDR[4],"",0,1)</f>
        <v>1</v>
      </c>
      <c r="Q561" cm="1">
        <f t="array" ref="Q561">_xlfn.XLOOKUP(Matrix[[#This Row],[TEAM]]&amp;Matrix[[#Headers],[5]],FDR[FDR]&amp;FDR[[#Headers],[5]],FDR[5],"",0,1)</f>
        <v>3</v>
      </c>
      <c r="R561" cm="1">
        <f t="array" ref="R561">_xlfn.XLOOKUP(Matrix[[#This Row],[TEAM]]&amp;Matrix[[#Headers],[6]],FDR[FDR]&amp;FDR[[#Headers],[6]],FDR[6],"",0,1)</f>
        <v>3</v>
      </c>
      <c r="S561" cm="1">
        <f t="array" ref="S561">_xlfn.XLOOKUP(Matrix[[#This Row],[TEAM]]&amp;Matrix[[#Headers],[7]],FDR[FDR]&amp;FDR[[#Headers],[7]],FDR[7],"",0,1)</f>
        <v>1</v>
      </c>
      <c r="T561" cm="1">
        <f t="array" ref="T561">_xlfn.XLOOKUP(Matrix[[#This Row],[TEAM]]&amp;Matrix[[#Headers],[8]],FDR[FDR]&amp;FDR[[#Headers],[8]],FDR[8],"",0,1)</f>
        <v>2</v>
      </c>
      <c r="U561" cm="1">
        <f t="array" ref="U561">_xlfn.XLOOKUP(Matrix[[#This Row],[TEAM]]&amp;Matrix[[#Headers],[9]],FDR[FDR]&amp;FDR[[#Headers],[9]],FDR[9],"",0,1)</f>
        <v>1</v>
      </c>
      <c r="V561" cm="1">
        <f t="array" ref="V561">_xlfn.XLOOKUP(Matrix[[#This Row],[TEAM]]&amp;Matrix[[#Headers],[10]],FDR[FDR]&amp;FDR[[#Headers],[10]],FDR[10],"",0,1)</f>
        <v>1</v>
      </c>
      <c r="W561" cm="1">
        <f t="array" ref="W561">_xlfn.XLOOKUP(Matrix[[#This Row],[TEAM]]&amp;Matrix[[#Headers],[11]],FDR[FDR]&amp;FDR[[#Headers],[11]],FDR[11],"",0,1)</f>
        <v>1</v>
      </c>
      <c r="X561" cm="1">
        <f t="array" ref="X561">_xlfn.XLOOKUP(Matrix[[#This Row],[TEAM]]&amp;Matrix[[#Headers],[12]],FDR[FDR]&amp;FDR[[#Headers],[12]],FDR[12],"",0,1)</f>
        <v>2</v>
      </c>
      <c r="Y561" cm="1">
        <f t="array" ref="Y561">_xlfn.XLOOKUP(Matrix[[#This Row],[TEAM]]&amp;Matrix[[#Headers],[13]],FDR[FDR]&amp;FDR[[#Headers],[13]],FDR[13],"",0,1)</f>
        <v>3</v>
      </c>
      <c r="Z561" cm="1">
        <f t="array" ref="Z561">_xlfn.XLOOKUP(Matrix[[#This Row],[TEAM]]&amp;Matrix[[#Headers],[14]],FDR[FDR]&amp;FDR[[#Headers],[14]],FDR[14],"",0,1)</f>
        <v>1</v>
      </c>
      <c r="AA561" cm="1">
        <f t="array" ref="AA561">_xlfn.XLOOKUP(Matrix[[#This Row],[TEAM]]&amp;Matrix[[#Headers],[15]],FDR[FDR]&amp;FDR[[#Headers],[15]],FDR[15],"",0,1)</f>
        <v>3</v>
      </c>
      <c r="AB561" cm="1">
        <f t="array" ref="AB561">_xlfn.XLOOKUP(Matrix[[#This Row],[TEAM]]&amp;Matrix[[#Headers],[16]],FDR[FDR]&amp;FDR[[#Headers],[16]],FDR[16],"",0,1)</f>
        <v>1</v>
      </c>
      <c r="AC561" cm="1">
        <f t="array" ref="AC561">_xlfn.XLOOKUP(Matrix[[#This Row],[TEAM]]&amp;Matrix[[#Headers],[17]],FDR[FDR]&amp;FDR[[#Headers],[17]],FDR[17],"",0,1)</f>
        <v>2</v>
      </c>
      <c r="AD561" cm="1">
        <f t="array" ref="AD561">_xlfn.XLOOKUP(Matrix[[#This Row],[TEAM]]&amp;Matrix[[#Headers],[18]],FDR[FDR]&amp;FDR[[#Headers],[18]],FDR[18],"",0,1)</f>
        <v>1</v>
      </c>
      <c r="AE561" cm="1">
        <f t="array" ref="AE561">_xlfn.XLOOKUP(Matrix[[#This Row],[TEAM]]&amp;Matrix[[#Headers],[19]],FDR[FDR]&amp;FDR[[#Headers],[19]],FDR[19],"",0,1)</f>
        <v>2</v>
      </c>
      <c r="AF561" cm="1">
        <f t="array" ref="AF561">_xlfn.XLOOKUP(Matrix[[#This Row],[TEAM]]&amp;Matrix[[#Headers],[20]],FDR[FDR]&amp;FDR[[#Headers],[20]],FDR[20],"",0,1)</f>
        <v>2</v>
      </c>
      <c r="AG561" cm="1">
        <f t="array" ref="AG561">_xlfn.XLOOKUP(Matrix[[#This Row],[TEAM]]&amp;Matrix[[#Headers],[21]],FDR[FDR]&amp;FDR[[#Headers],[21]],FDR[21],"",0,1)</f>
        <v>3</v>
      </c>
      <c r="AH561" cm="1">
        <f t="array" ref="AH561">_xlfn.XLOOKUP(Matrix[[#This Row],[TEAM]]&amp;Matrix[[#Headers],[22]],FDR[FDR]&amp;FDR[[#Headers],[22]],FDR[22],"",0,1)</f>
        <v>2</v>
      </c>
      <c r="AI561" cm="1">
        <f t="array" ref="AI561">_xlfn.XLOOKUP(Matrix[[#This Row],[TEAM]]&amp;Matrix[[#Headers],[23]],FDR[FDR]&amp;FDR[[#Headers],[23]],FDR[23],"",0,1)</f>
        <v>2</v>
      </c>
      <c r="AJ561" cm="1">
        <f t="array" ref="AJ561">_xlfn.XLOOKUP(Matrix[[#This Row],[TEAM]]&amp;Matrix[[#Headers],[24]],FDR[FDR]&amp;FDR[[#Headers],[24]],FDR[24],"",0,1)</f>
        <v>1</v>
      </c>
      <c r="AK561" cm="1">
        <f t="array" ref="AK561">_xlfn.XLOOKUP(Matrix[[#This Row],[TEAM]]&amp;Matrix[[#Headers],[25]],FDR[FDR]&amp;FDR[[#Headers],[25]],FDR[25],"",0,1)</f>
        <v>1</v>
      </c>
      <c r="AL561" cm="1">
        <f t="array" ref="AL561">_xlfn.XLOOKUP(Matrix[[#This Row],[TEAM]]&amp;Matrix[[#Headers],[26]],FDR[FDR]&amp;FDR[[#Headers],[26]],FDR[26],"",0,1)</f>
        <v>2</v>
      </c>
      <c r="AM561" cm="1">
        <f t="array" ref="AM561">_xlfn.XLOOKUP(Matrix[[#This Row],[TEAM]]&amp;Matrix[[#Headers],[27]],FDR[FDR]&amp;FDR[[#Headers],[27]],FDR[27],"",0,1)</f>
        <v>3</v>
      </c>
      <c r="AN561" cm="1">
        <f t="array" ref="AN561">_xlfn.XLOOKUP(Matrix[[#This Row],[TEAM]]&amp;Matrix[[#Headers],[28]],FDR[FDR]&amp;FDR[[#Headers],[28]],FDR[28],"",0,1)</f>
        <v>2</v>
      </c>
      <c r="AO561" cm="1">
        <f t="array" ref="AO561">_xlfn.XLOOKUP(Matrix[[#This Row],[TEAM]]&amp;Matrix[[#Headers],[29]],FDR[FDR]&amp;FDR[[#Headers],[29]],FDR[29],"",0,1)</f>
        <v>2</v>
      </c>
      <c r="AP561" cm="1">
        <f t="array" ref="AP561">_xlfn.XLOOKUP(Matrix[[#This Row],[TEAM]]&amp;Matrix[[#Headers],[30]],FDR[FDR]&amp;FDR[[#Headers],[30]],FDR[30],"",0,1)</f>
        <v>1</v>
      </c>
      <c r="AQ561" cm="1">
        <f t="array" ref="AQ561">_xlfn.XLOOKUP(Matrix[[#This Row],[TEAM]]&amp;Matrix[[#Headers],[31]],FDR[FDR]&amp;FDR[[#Headers],[31]],FDR[31],"",0,1)</f>
        <v>1</v>
      </c>
      <c r="AR561" cm="1">
        <f t="array" ref="AR561">_xlfn.XLOOKUP(Matrix[[#This Row],[TEAM]]&amp;Matrix[[#Headers],[32]],FDR[FDR]&amp;FDR[[#Headers],[32]],FDR[32],"",0,1)</f>
        <v>1</v>
      </c>
      <c r="AS561" cm="1">
        <f t="array" ref="AS561">_xlfn.XLOOKUP(Matrix[[#This Row],[TEAM]]&amp;Matrix[[#Headers],[33]],FDR[FDR]&amp;FDR[[#Headers],[33]],FDR[33],"",0,1)</f>
        <v>3</v>
      </c>
      <c r="AT561" cm="1">
        <f t="array" ref="AT561">_xlfn.XLOOKUP(Matrix[[#This Row],[TEAM]]&amp;Matrix[[#Headers],[34]],FDR[FDR]&amp;FDR[[#Headers],[34]],FDR[34],"",0,1)</f>
        <v>2</v>
      </c>
      <c r="AU561" cm="1">
        <f t="array" ref="AU561">_xlfn.XLOOKUP(Matrix[[#This Row],[TEAM]]&amp;Matrix[[#Headers],[35]],FDR[FDR]&amp;FDR[[#Headers],[35]],FDR[35],"",0,1)</f>
        <v>1</v>
      </c>
      <c r="AV561" cm="1">
        <f t="array" ref="AV561">_xlfn.XLOOKUP(Matrix[[#This Row],[TEAM]]&amp;Matrix[[#Headers],[36]],FDR[FDR]&amp;FDR[[#Headers],[36]],FDR[36],"",0,1)</f>
        <v>2</v>
      </c>
      <c r="AW561" cm="1">
        <f t="array" ref="AW561">_xlfn.XLOOKUP(Matrix[[#This Row],[TEAM]]&amp;Matrix[[#Headers],[37]],FDR[FDR]&amp;FDR[[#Headers],[37]],FDR[37],"",0,1)</f>
        <v>1</v>
      </c>
      <c r="AX561" cm="1">
        <f t="array" ref="AX561">_xlfn.XLOOKUP(Matrix[[#This Row],[TEAM]]&amp;Matrix[[#Headers],[38]],FDR[FDR]&amp;FDR[[#Headers],[38]],FDR[38],"",0,1)</f>
        <v>2</v>
      </c>
    </row>
    <row r="562" spans="1:50" ht="22" thickTop="1" thickBot="1">
      <c r="A562" s="53" t="str">
        <f>INDEX!S$4</f>
        <v>MID</v>
      </c>
      <c r="B562" s="70" t="s">
        <v>1414</v>
      </c>
      <c r="C562" s="40" t="s">
        <v>20</v>
      </c>
      <c r="D562" s="62">
        <v>107</v>
      </c>
      <c r="E562" s="60">
        <v>7.0000000000000001E-3</v>
      </c>
      <c r="F562" s="61">
        <v>147.9</v>
      </c>
      <c r="G562" s="63">
        <v>5.4</v>
      </c>
      <c r="H562" s="261">
        <f>IF(ISBLANK(I562),0,1)</f>
        <v>1</v>
      </c>
      <c r="I562" s="57" t="s">
        <v>942</v>
      </c>
      <c r="J562" s="58" t="s">
        <v>1097</v>
      </c>
      <c r="K562" s="59" t="s">
        <v>420</v>
      </c>
      <c r="L562" s="59" t="s">
        <v>343</v>
      </c>
      <c r="M562" cm="1">
        <f t="array" ref="M562">_xlfn.XLOOKUP(Matrix[[#This Row],[TEAM]]&amp;Matrix[[#Headers],[1]],FDR[FDR]&amp;FDR[[#Headers],[1]],FDR[1],"",0,1)</f>
        <v>3</v>
      </c>
      <c r="N562" cm="1">
        <f t="array" ref="N562">_xlfn.XLOOKUP(Matrix[[#This Row],[TEAM]]&amp;Matrix[[#Headers],[2]],FDR[FDR]&amp;FDR[[#Headers],[2]],FDR[2],"",0,1)</f>
        <v>1</v>
      </c>
      <c r="O562" cm="1">
        <f t="array" ref="O562">_xlfn.XLOOKUP(Matrix[[#This Row],[TEAM]]&amp;Matrix[[#Headers],[3]],FDR[FDR]&amp;FDR[[#Headers],[3]],FDR[3],"",0,1)</f>
        <v>4</v>
      </c>
      <c r="P562" cm="1">
        <f t="array" ref="P562">_xlfn.XLOOKUP(Matrix[[#This Row],[TEAM]]&amp;Matrix[[#Headers],[4]],FDR[FDR]&amp;FDR[[#Headers],[4]],FDR[4],"",0,1)</f>
        <v>1</v>
      </c>
      <c r="Q562" cm="1">
        <f t="array" ref="Q562">_xlfn.XLOOKUP(Matrix[[#This Row],[TEAM]]&amp;Matrix[[#Headers],[5]],FDR[FDR]&amp;FDR[[#Headers],[5]],FDR[5],"",0,1)</f>
        <v>3</v>
      </c>
      <c r="R562" cm="1">
        <f t="array" ref="R562">_xlfn.XLOOKUP(Matrix[[#This Row],[TEAM]]&amp;Matrix[[#Headers],[6]],FDR[FDR]&amp;FDR[[#Headers],[6]],FDR[6],"",0,1)</f>
        <v>3</v>
      </c>
      <c r="S562" cm="1">
        <f t="array" ref="S562">_xlfn.XLOOKUP(Matrix[[#This Row],[TEAM]]&amp;Matrix[[#Headers],[7]],FDR[FDR]&amp;FDR[[#Headers],[7]],FDR[7],"",0,1)</f>
        <v>1</v>
      </c>
      <c r="T562" cm="1">
        <f t="array" ref="T562">_xlfn.XLOOKUP(Matrix[[#This Row],[TEAM]]&amp;Matrix[[#Headers],[8]],FDR[FDR]&amp;FDR[[#Headers],[8]],FDR[8],"",0,1)</f>
        <v>2</v>
      </c>
      <c r="U562" cm="1">
        <f t="array" ref="U562">_xlfn.XLOOKUP(Matrix[[#This Row],[TEAM]]&amp;Matrix[[#Headers],[9]],FDR[FDR]&amp;FDR[[#Headers],[9]],FDR[9],"",0,1)</f>
        <v>1</v>
      </c>
      <c r="V562" cm="1">
        <f t="array" ref="V562">_xlfn.XLOOKUP(Matrix[[#This Row],[TEAM]]&amp;Matrix[[#Headers],[10]],FDR[FDR]&amp;FDR[[#Headers],[10]],FDR[10],"",0,1)</f>
        <v>1</v>
      </c>
      <c r="W562" cm="1">
        <f t="array" ref="W562">_xlfn.XLOOKUP(Matrix[[#This Row],[TEAM]]&amp;Matrix[[#Headers],[11]],FDR[FDR]&amp;FDR[[#Headers],[11]],FDR[11],"",0,1)</f>
        <v>1</v>
      </c>
      <c r="X562" cm="1">
        <f t="array" ref="X562">_xlfn.XLOOKUP(Matrix[[#This Row],[TEAM]]&amp;Matrix[[#Headers],[12]],FDR[FDR]&amp;FDR[[#Headers],[12]],FDR[12],"",0,1)</f>
        <v>2</v>
      </c>
      <c r="Y562" cm="1">
        <f t="array" ref="Y562">_xlfn.XLOOKUP(Matrix[[#This Row],[TEAM]]&amp;Matrix[[#Headers],[13]],FDR[FDR]&amp;FDR[[#Headers],[13]],FDR[13],"",0,1)</f>
        <v>3</v>
      </c>
      <c r="Z562" cm="1">
        <f t="array" ref="Z562">_xlfn.XLOOKUP(Matrix[[#This Row],[TEAM]]&amp;Matrix[[#Headers],[14]],FDR[FDR]&amp;FDR[[#Headers],[14]],FDR[14],"",0,1)</f>
        <v>1</v>
      </c>
      <c r="AA562" cm="1">
        <f t="array" ref="AA562">_xlfn.XLOOKUP(Matrix[[#This Row],[TEAM]]&amp;Matrix[[#Headers],[15]],FDR[FDR]&amp;FDR[[#Headers],[15]],FDR[15],"",0,1)</f>
        <v>3</v>
      </c>
      <c r="AB562" cm="1">
        <f t="array" ref="AB562">_xlfn.XLOOKUP(Matrix[[#This Row],[TEAM]]&amp;Matrix[[#Headers],[16]],FDR[FDR]&amp;FDR[[#Headers],[16]],FDR[16],"",0,1)</f>
        <v>1</v>
      </c>
      <c r="AC562" cm="1">
        <f t="array" ref="AC562">_xlfn.XLOOKUP(Matrix[[#This Row],[TEAM]]&amp;Matrix[[#Headers],[17]],FDR[FDR]&amp;FDR[[#Headers],[17]],FDR[17],"",0,1)</f>
        <v>2</v>
      </c>
      <c r="AD562" cm="1">
        <f t="array" ref="AD562">_xlfn.XLOOKUP(Matrix[[#This Row],[TEAM]]&amp;Matrix[[#Headers],[18]],FDR[FDR]&amp;FDR[[#Headers],[18]],FDR[18],"",0,1)</f>
        <v>1</v>
      </c>
      <c r="AE562" cm="1">
        <f t="array" ref="AE562">_xlfn.XLOOKUP(Matrix[[#This Row],[TEAM]]&amp;Matrix[[#Headers],[19]],FDR[FDR]&amp;FDR[[#Headers],[19]],FDR[19],"",0,1)</f>
        <v>2</v>
      </c>
      <c r="AF562" cm="1">
        <f t="array" ref="AF562">_xlfn.XLOOKUP(Matrix[[#This Row],[TEAM]]&amp;Matrix[[#Headers],[20]],FDR[FDR]&amp;FDR[[#Headers],[20]],FDR[20],"",0,1)</f>
        <v>2</v>
      </c>
      <c r="AG562" cm="1">
        <f t="array" ref="AG562">_xlfn.XLOOKUP(Matrix[[#This Row],[TEAM]]&amp;Matrix[[#Headers],[21]],FDR[FDR]&amp;FDR[[#Headers],[21]],FDR[21],"",0,1)</f>
        <v>3</v>
      </c>
      <c r="AH562" cm="1">
        <f t="array" ref="AH562">_xlfn.XLOOKUP(Matrix[[#This Row],[TEAM]]&amp;Matrix[[#Headers],[22]],FDR[FDR]&amp;FDR[[#Headers],[22]],FDR[22],"",0,1)</f>
        <v>2</v>
      </c>
      <c r="AI562" cm="1">
        <f t="array" ref="AI562">_xlfn.XLOOKUP(Matrix[[#This Row],[TEAM]]&amp;Matrix[[#Headers],[23]],FDR[FDR]&amp;FDR[[#Headers],[23]],FDR[23],"",0,1)</f>
        <v>2</v>
      </c>
      <c r="AJ562" cm="1">
        <f t="array" ref="AJ562">_xlfn.XLOOKUP(Matrix[[#This Row],[TEAM]]&amp;Matrix[[#Headers],[24]],FDR[FDR]&amp;FDR[[#Headers],[24]],FDR[24],"",0,1)</f>
        <v>1</v>
      </c>
      <c r="AK562" cm="1">
        <f t="array" ref="AK562">_xlfn.XLOOKUP(Matrix[[#This Row],[TEAM]]&amp;Matrix[[#Headers],[25]],FDR[FDR]&amp;FDR[[#Headers],[25]],FDR[25],"",0,1)</f>
        <v>1</v>
      </c>
      <c r="AL562" cm="1">
        <f t="array" ref="AL562">_xlfn.XLOOKUP(Matrix[[#This Row],[TEAM]]&amp;Matrix[[#Headers],[26]],FDR[FDR]&amp;FDR[[#Headers],[26]],FDR[26],"",0,1)</f>
        <v>2</v>
      </c>
      <c r="AM562" cm="1">
        <f t="array" ref="AM562">_xlfn.XLOOKUP(Matrix[[#This Row],[TEAM]]&amp;Matrix[[#Headers],[27]],FDR[FDR]&amp;FDR[[#Headers],[27]],FDR[27],"",0,1)</f>
        <v>3</v>
      </c>
      <c r="AN562" cm="1">
        <f t="array" ref="AN562">_xlfn.XLOOKUP(Matrix[[#This Row],[TEAM]]&amp;Matrix[[#Headers],[28]],FDR[FDR]&amp;FDR[[#Headers],[28]],FDR[28],"",0,1)</f>
        <v>2</v>
      </c>
      <c r="AO562" cm="1">
        <f t="array" ref="AO562">_xlfn.XLOOKUP(Matrix[[#This Row],[TEAM]]&amp;Matrix[[#Headers],[29]],FDR[FDR]&amp;FDR[[#Headers],[29]],FDR[29],"",0,1)</f>
        <v>2</v>
      </c>
      <c r="AP562" cm="1">
        <f t="array" ref="AP562">_xlfn.XLOOKUP(Matrix[[#This Row],[TEAM]]&amp;Matrix[[#Headers],[30]],FDR[FDR]&amp;FDR[[#Headers],[30]],FDR[30],"",0,1)</f>
        <v>1</v>
      </c>
      <c r="AQ562" cm="1">
        <f t="array" ref="AQ562">_xlfn.XLOOKUP(Matrix[[#This Row],[TEAM]]&amp;Matrix[[#Headers],[31]],FDR[FDR]&amp;FDR[[#Headers],[31]],FDR[31],"",0,1)</f>
        <v>1</v>
      </c>
      <c r="AR562" cm="1">
        <f t="array" ref="AR562">_xlfn.XLOOKUP(Matrix[[#This Row],[TEAM]]&amp;Matrix[[#Headers],[32]],FDR[FDR]&amp;FDR[[#Headers],[32]],FDR[32],"",0,1)</f>
        <v>1</v>
      </c>
      <c r="AS562" cm="1">
        <f t="array" ref="AS562">_xlfn.XLOOKUP(Matrix[[#This Row],[TEAM]]&amp;Matrix[[#Headers],[33]],FDR[FDR]&amp;FDR[[#Headers],[33]],FDR[33],"",0,1)</f>
        <v>3</v>
      </c>
      <c r="AT562" cm="1">
        <f t="array" ref="AT562">_xlfn.XLOOKUP(Matrix[[#This Row],[TEAM]]&amp;Matrix[[#Headers],[34]],FDR[FDR]&amp;FDR[[#Headers],[34]],FDR[34],"",0,1)</f>
        <v>2</v>
      </c>
      <c r="AU562" cm="1">
        <f t="array" ref="AU562">_xlfn.XLOOKUP(Matrix[[#This Row],[TEAM]]&amp;Matrix[[#Headers],[35]],FDR[FDR]&amp;FDR[[#Headers],[35]],FDR[35],"",0,1)</f>
        <v>1</v>
      </c>
      <c r="AV562" cm="1">
        <f t="array" ref="AV562">_xlfn.XLOOKUP(Matrix[[#This Row],[TEAM]]&amp;Matrix[[#Headers],[36]],FDR[FDR]&amp;FDR[[#Headers],[36]],FDR[36],"",0,1)</f>
        <v>2</v>
      </c>
      <c r="AW562" cm="1">
        <f t="array" ref="AW562">_xlfn.XLOOKUP(Matrix[[#This Row],[TEAM]]&amp;Matrix[[#Headers],[37]],FDR[FDR]&amp;FDR[[#Headers],[37]],FDR[37],"",0,1)</f>
        <v>1</v>
      </c>
      <c r="AX562" cm="1">
        <f t="array" ref="AX562">_xlfn.XLOOKUP(Matrix[[#This Row],[TEAM]]&amp;Matrix[[#Headers],[38]],FDR[FDR]&amp;FDR[[#Headers],[38]],FDR[38],"",0,1)</f>
        <v>2</v>
      </c>
    </row>
    <row r="563" spans="1:50" ht="22" thickTop="1" thickBot="1">
      <c r="A563" s="50" t="str">
        <f>INDEX!S$4</f>
        <v>MID</v>
      </c>
      <c r="B563" s="70" t="s">
        <v>1445</v>
      </c>
      <c r="C563" s="40" t="s">
        <v>33</v>
      </c>
      <c r="D563" s="62">
        <v>59</v>
      </c>
      <c r="E563" s="60">
        <v>1E-3</v>
      </c>
      <c r="F563" s="61">
        <v>87.7</v>
      </c>
      <c r="G563" s="63">
        <v>5.4</v>
      </c>
      <c r="H563" s="261">
        <f>IF(ISBLANK(I563),0,1)</f>
        <v>1</v>
      </c>
      <c r="I563" s="57" t="s">
        <v>891</v>
      </c>
      <c r="J563" s="58" t="s">
        <v>1026</v>
      </c>
      <c r="K563" s="59" t="s">
        <v>489</v>
      </c>
      <c r="L563" s="59" t="s">
        <v>219</v>
      </c>
      <c r="M563" cm="1">
        <f t="array" ref="M563">_xlfn.XLOOKUP(Matrix[[#This Row],[TEAM]]&amp;Matrix[[#Headers],[1]],FDR[FDR]&amp;FDR[[#Headers],[1]],FDR[1],"",0,1)</f>
        <v>3</v>
      </c>
      <c r="N563" cm="1">
        <f t="array" ref="N563">_xlfn.XLOOKUP(Matrix[[#This Row],[TEAM]]&amp;Matrix[[#Headers],[2]],FDR[FDR]&amp;FDR[[#Headers],[2]],FDR[2],"",0,1)</f>
        <v>3</v>
      </c>
      <c r="O563" cm="1">
        <f t="array" ref="O563">_xlfn.XLOOKUP(Matrix[[#This Row],[TEAM]]&amp;Matrix[[#Headers],[3]],FDR[FDR]&amp;FDR[[#Headers],[3]],FDR[3],"",0,1)</f>
        <v>4</v>
      </c>
      <c r="P563" cm="1">
        <f t="array" ref="P563">_xlfn.XLOOKUP(Matrix[[#This Row],[TEAM]]&amp;Matrix[[#Headers],[4]],FDR[FDR]&amp;FDR[[#Headers],[4]],FDR[4],"",0,1)</f>
        <v>4</v>
      </c>
      <c r="Q563" cm="1">
        <f t="array" ref="Q563">_xlfn.XLOOKUP(Matrix[[#This Row],[TEAM]]&amp;Matrix[[#Headers],[5]],FDR[FDR]&amp;FDR[[#Headers],[5]],FDR[5],"",0,1)</f>
        <v>4</v>
      </c>
      <c r="R563" cm="1">
        <f t="array" ref="R563">_xlfn.XLOOKUP(Matrix[[#This Row],[TEAM]]&amp;Matrix[[#Headers],[6]],FDR[FDR]&amp;FDR[[#Headers],[6]],FDR[6],"",0,1)</f>
        <v>5</v>
      </c>
      <c r="S563" cm="1">
        <f t="array" ref="S563">_xlfn.XLOOKUP(Matrix[[#This Row],[TEAM]]&amp;Matrix[[#Headers],[7]],FDR[FDR]&amp;FDR[[#Headers],[7]],FDR[7],"",0,1)</f>
        <v>2</v>
      </c>
      <c r="T563" cm="1">
        <f t="array" ref="T563">_xlfn.XLOOKUP(Matrix[[#This Row],[TEAM]]&amp;Matrix[[#Headers],[8]],FDR[FDR]&amp;FDR[[#Headers],[8]],FDR[8],"",0,1)</f>
        <v>4</v>
      </c>
      <c r="U563" cm="1">
        <f t="array" ref="U563">_xlfn.XLOOKUP(Matrix[[#This Row],[TEAM]]&amp;Matrix[[#Headers],[9]],FDR[FDR]&amp;FDR[[#Headers],[9]],FDR[9],"",0,1)</f>
        <v>5</v>
      </c>
      <c r="V563" cm="1">
        <f t="array" ref="V563">_xlfn.XLOOKUP(Matrix[[#This Row],[TEAM]]&amp;Matrix[[#Headers],[10]],FDR[FDR]&amp;FDR[[#Headers],[10]],FDR[10],"",0,1)</f>
        <v>1</v>
      </c>
      <c r="W563" cm="1">
        <f t="array" ref="W563">_xlfn.XLOOKUP(Matrix[[#This Row],[TEAM]]&amp;Matrix[[#Headers],[11]],FDR[FDR]&amp;FDR[[#Headers],[11]],FDR[11],"",0,1)</f>
        <v>3</v>
      </c>
      <c r="X563" cm="1">
        <f t="array" ref="X563">_xlfn.XLOOKUP(Matrix[[#This Row],[TEAM]]&amp;Matrix[[#Headers],[12]],FDR[FDR]&amp;FDR[[#Headers],[12]],FDR[12],"",0,1)</f>
        <v>2</v>
      </c>
      <c r="Y563" cm="1">
        <f t="array" ref="Y563">_xlfn.XLOOKUP(Matrix[[#This Row],[TEAM]]&amp;Matrix[[#Headers],[13]],FDR[FDR]&amp;FDR[[#Headers],[13]],FDR[13],"",0,1)</f>
        <v>4</v>
      </c>
      <c r="Z563" cm="1">
        <f t="array" ref="Z563">_xlfn.XLOOKUP(Matrix[[#This Row],[TEAM]]&amp;Matrix[[#Headers],[14]],FDR[FDR]&amp;FDR[[#Headers],[14]],FDR[14],"",0,1)</f>
        <v>3</v>
      </c>
      <c r="AA563" cm="1">
        <f t="array" ref="AA563">_xlfn.XLOOKUP(Matrix[[#This Row],[TEAM]]&amp;Matrix[[#Headers],[15]],FDR[FDR]&amp;FDR[[#Headers],[15]],FDR[15],"",0,1)</f>
        <v>2</v>
      </c>
      <c r="AB563" cm="1">
        <f t="array" ref="AB563">_xlfn.XLOOKUP(Matrix[[#This Row],[TEAM]]&amp;Matrix[[#Headers],[16]],FDR[FDR]&amp;FDR[[#Headers],[16]],FDR[16],"",0,1)</f>
        <v>5</v>
      </c>
      <c r="AC563" cm="1">
        <f t="array" ref="AC563">_xlfn.XLOOKUP(Matrix[[#This Row],[TEAM]]&amp;Matrix[[#Headers],[17]],FDR[FDR]&amp;FDR[[#Headers],[17]],FDR[17],"",0,1)</f>
        <v>1</v>
      </c>
      <c r="AD563" cm="1">
        <f t="array" ref="AD563">_xlfn.XLOOKUP(Matrix[[#This Row],[TEAM]]&amp;Matrix[[#Headers],[18]],FDR[FDR]&amp;FDR[[#Headers],[18]],FDR[18],"",0,1)</f>
        <v>5</v>
      </c>
      <c r="AE563" cm="1">
        <f t="array" ref="AE563">_xlfn.XLOOKUP(Matrix[[#This Row],[TEAM]]&amp;Matrix[[#Headers],[19]],FDR[FDR]&amp;FDR[[#Headers],[19]],FDR[19],"",0,1)</f>
        <v>3</v>
      </c>
      <c r="AF563" cm="1">
        <f t="array" ref="AF563">_xlfn.XLOOKUP(Matrix[[#This Row],[TEAM]]&amp;Matrix[[#Headers],[20]],FDR[FDR]&amp;FDR[[#Headers],[20]],FDR[20],"",0,1)</f>
        <v>1</v>
      </c>
      <c r="AG563" cm="1">
        <f t="array" ref="AG563">_xlfn.XLOOKUP(Matrix[[#This Row],[TEAM]]&amp;Matrix[[#Headers],[21]],FDR[FDR]&amp;FDR[[#Headers],[21]],FDR[21],"",0,1)</f>
        <v>5</v>
      </c>
      <c r="AH563" cm="1">
        <f t="array" ref="AH563">_xlfn.XLOOKUP(Matrix[[#This Row],[TEAM]]&amp;Matrix[[#Headers],[22]],FDR[FDR]&amp;FDR[[#Headers],[22]],FDR[22],"",0,1)</f>
        <v>3</v>
      </c>
      <c r="AI563" cm="1">
        <f t="array" ref="AI563">_xlfn.XLOOKUP(Matrix[[#This Row],[TEAM]]&amp;Matrix[[#Headers],[23]],FDR[FDR]&amp;FDR[[#Headers],[23]],FDR[23],"",0,1)</f>
        <v>4</v>
      </c>
      <c r="AJ563" cm="1">
        <f t="array" ref="AJ563">_xlfn.XLOOKUP(Matrix[[#This Row],[TEAM]]&amp;Matrix[[#Headers],[24]],FDR[FDR]&amp;FDR[[#Headers],[24]],FDR[24],"",0,1)</f>
        <v>2</v>
      </c>
      <c r="AK563" cm="1">
        <f t="array" ref="AK563">_xlfn.XLOOKUP(Matrix[[#This Row],[TEAM]]&amp;Matrix[[#Headers],[25]],FDR[FDR]&amp;FDR[[#Headers],[25]],FDR[25],"",0,1)</f>
        <v>2</v>
      </c>
      <c r="AL563" cm="1">
        <f t="array" ref="AL563">_xlfn.XLOOKUP(Matrix[[#This Row],[TEAM]]&amp;Matrix[[#Headers],[26]],FDR[FDR]&amp;FDR[[#Headers],[26]],FDR[26],"",0,1)</f>
        <v>5</v>
      </c>
      <c r="AM563" cm="1">
        <f t="array" ref="AM563">_xlfn.XLOOKUP(Matrix[[#This Row],[TEAM]]&amp;Matrix[[#Headers],[27]],FDR[FDR]&amp;FDR[[#Headers],[27]],FDR[27],"",0,1)</f>
        <v>3</v>
      </c>
      <c r="AN563" cm="1">
        <f t="array" ref="AN563">_xlfn.XLOOKUP(Matrix[[#This Row],[TEAM]]&amp;Matrix[[#Headers],[28]],FDR[FDR]&amp;FDR[[#Headers],[28]],FDR[28],"",0,1)</f>
        <v>3</v>
      </c>
      <c r="AO563" cm="1">
        <f t="array" ref="AO563">_xlfn.XLOOKUP(Matrix[[#This Row],[TEAM]]&amp;Matrix[[#Headers],[29]],FDR[FDR]&amp;FDR[[#Headers],[29]],FDR[29],"",0,1)</f>
        <v>4</v>
      </c>
      <c r="AP563" cm="1">
        <f t="array" ref="AP563">_xlfn.XLOOKUP(Matrix[[#This Row],[TEAM]]&amp;Matrix[[#Headers],[30]],FDR[FDR]&amp;FDR[[#Headers],[30]],FDR[30],"",0,1)</f>
        <v>2</v>
      </c>
      <c r="AQ563" cm="1">
        <f t="array" ref="AQ563">_xlfn.XLOOKUP(Matrix[[#This Row],[TEAM]]&amp;Matrix[[#Headers],[31]],FDR[FDR]&amp;FDR[[#Headers],[31]],FDR[31],"",0,1)</f>
        <v>4</v>
      </c>
      <c r="AR563" cm="1">
        <f t="array" ref="AR563">_xlfn.XLOOKUP(Matrix[[#This Row],[TEAM]]&amp;Matrix[[#Headers],[32]],FDR[FDR]&amp;FDR[[#Headers],[32]],FDR[32],"",0,1)</f>
        <v>2</v>
      </c>
      <c r="AS563" cm="1">
        <f t="array" ref="AS563">_xlfn.XLOOKUP(Matrix[[#This Row],[TEAM]]&amp;Matrix[[#Headers],[33]],FDR[FDR]&amp;FDR[[#Headers],[33]],FDR[33],"",0,1)</f>
        <v>5</v>
      </c>
      <c r="AT563" cm="1">
        <f t="array" ref="AT563">_xlfn.XLOOKUP(Matrix[[#This Row],[TEAM]]&amp;Matrix[[#Headers],[34]],FDR[FDR]&amp;FDR[[#Headers],[34]],FDR[34],"",0,1)</f>
        <v>4</v>
      </c>
      <c r="AU563" cm="1">
        <f t="array" ref="AU563">_xlfn.XLOOKUP(Matrix[[#This Row],[TEAM]]&amp;Matrix[[#Headers],[35]],FDR[FDR]&amp;FDR[[#Headers],[35]],FDR[35],"",0,1)</f>
        <v>5</v>
      </c>
      <c r="AV563" cm="1">
        <f t="array" ref="AV563">_xlfn.XLOOKUP(Matrix[[#This Row],[TEAM]]&amp;Matrix[[#Headers],[36]],FDR[FDR]&amp;FDR[[#Headers],[36]],FDR[36],"",0,1)</f>
        <v>1</v>
      </c>
      <c r="AW563" cm="1">
        <f t="array" ref="AW563">_xlfn.XLOOKUP(Matrix[[#This Row],[TEAM]]&amp;Matrix[[#Headers],[37]],FDR[FDR]&amp;FDR[[#Headers],[37]],FDR[37],"",0,1)</f>
        <v>2</v>
      </c>
      <c r="AX563" cm="1">
        <f t="array" ref="AX563">_xlfn.XLOOKUP(Matrix[[#This Row],[TEAM]]&amp;Matrix[[#Headers],[38]],FDR[FDR]&amp;FDR[[#Headers],[38]],FDR[38],"",0,1)</f>
        <v>4</v>
      </c>
    </row>
    <row r="564" spans="1:50" ht="22" thickTop="1" thickBot="1">
      <c r="A564" s="50" t="str">
        <f>INDEX!S$4</f>
        <v>MID</v>
      </c>
      <c r="B564" s="70" t="s">
        <v>1452</v>
      </c>
      <c r="C564" s="40" t="s">
        <v>23</v>
      </c>
      <c r="D564" s="62">
        <v>57</v>
      </c>
      <c r="E564" s="60">
        <v>1E-3</v>
      </c>
      <c r="F564" s="61">
        <v>67.099999999999994</v>
      </c>
      <c r="G564" s="63">
        <v>5.4</v>
      </c>
      <c r="H564" s="261">
        <f>IF(ISBLANK(I564),0,1)</f>
        <v>1</v>
      </c>
      <c r="I564" s="57" t="s">
        <v>1050</v>
      </c>
      <c r="J564" s="58">
        <v>0.75</v>
      </c>
      <c r="K564" s="59" t="s">
        <v>478</v>
      </c>
      <c r="L564" s="59" t="s">
        <v>157</v>
      </c>
      <c r="M564" cm="1">
        <f t="array" ref="M564">_xlfn.XLOOKUP(Matrix[[#This Row],[TEAM]]&amp;Matrix[[#Headers],[1]],FDR[FDR]&amp;FDR[[#Headers],[1]],FDR[1],"",0,1)</f>
        <v>4</v>
      </c>
      <c r="N564" cm="1">
        <f t="array" ref="N564">_xlfn.XLOOKUP(Matrix[[#This Row],[TEAM]]&amp;Matrix[[#Headers],[2]],FDR[FDR]&amp;FDR[[#Headers],[2]],FDR[2],"",0,1)</f>
        <v>4</v>
      </c>
      <c r="O564" cm="1">
        <f t="array" ref="O564">_xlfn.XLOOKUP(Matrix[[#This Row],[TEAM]]&amp;Matrix[[#Headers],[3]],FDR[FDR]&amp;FDR[[#Headers],[3]],FDR[3],"",0,1)</f>
        <v>5</v>
      </c>
      <c r="P564" cm="1">
        <f t="array" ref="P564">_xlfn.XLOOKUP(Matrix[[#This Row],[TEAM]]&amp;Matrix[[#Headers],[4]],FDR[FDR]&amp;FDR[[#Headers],[4]],FDR[4],"",0,1)</f>
        <v>1</v>
      </c>
      <c r="Q564" cm="1">
        <f t="array" ref="Q564">_xlfn.XLOOKUP(Matrix[[#This Row],[TEAM]]&amp;Matrix[[#Headers],[5]],FDR[FDR]&amp;FDR[[#Headers],[5]],FDR[5],"",0,1)</f>
        <v>2</v>
      </c>
      <c r="R564" cm="1">
        <f t="array" ref="R564">_xlfn.XLOOKUP(Matrix[[#This Row],[TEAM]]&amp;Matrix[[#Headers],[6]],FDR[FDR]&amp;FDR[[#Headers],[6]],FDR[6],"",0,1)</f>
        <v>5</v>
      </c>
      <c r="S564" cm="1">
        <f t="array" ref="S564">_xlfn.XLOOKUP(Matrix[[#This Row],[TEAM]]&amp;Matrix[[#Headers],[7]],FDR[FDR]&amp;FDR[[#Headers],[7]],FDR[7],"",0,1)</f>
        <v>4</v>
      </c>
      <c r="T564" cm="1">
        <f t="array" ref="T564">_xlfn.XLOOKUP(Matrix[[#This Row],[TEAM]]&amp;Matrix[[#Headers],[8]],FDR[FDR]&amp;FDR[[#Headers],[8]],FDR[8],"",0,1)</f>
        <v>4</v>
      </c>
      <c r="U564" cm="1">
        <f t="array" ref="U564">_xlfn.XLOOKUP(Matrix[[#This Row],[TEAM]]&amp;Matrix[[#Headers],[9]],FDR[FDR]&amp;FDR[[#Headers],[9]],FDR[9],"",0,1)</f>
        <v>5</v>
      </c>
      <c r="V564" cm="1">
        <f t="array" ref="V564">_xlfn.XLOOKUP(Matrix[[#This Row],[TEAM]]&amp;Matrix[[#Headers],[10]],FDR[FDR]&amp;FDR[[#Headers],[10]],FDR[10],"",0,1)</f>
        <v>1</v>
      </c>
      <c r="W564" cm="1">
        <f t="array" ref="W564">_xlfn.XLOOKUP(Matrix[[#This Row],[TEAM]]&amp;Matrix[[#Headers],[11]],FDR[FDR]&amp;FDR[[#Headers],[11]],FDR[11],"",0,1)</f>
        <v>3</v>
      </c>
      <c r="X564" cm="1">
        <f t="array" ref="X564">_xlfn.XLOOKUP(Matrix[[#This Row],[TEAM]]&amp;Matrix[[#Headers],[12]],FDR[FDR]&amp;FDR[[#Headers],[12]],FDR[12],"",0,1)</f>
        <v>1</v>
      </c>
      <c r="Y564" cm="1">
        <f t="array" ref="Y564">_xlfn.XLOOKUP(Matrix[[#This Row],[TEAM]]&amp;Matrix[[#Headers],[13]],FDR[FDR]&amp;FDR[[#Headers],[13]],FDR[13],"",0,1)</f>
        <v>5</v>
      </c>
      <c r="Z564" cm="1">
        <f t="array" ref="Z564">_xlfn.XLOOKUP(Matrix[[#This Row],[TEAM]]&amp;Matrix[[#Headers],[14]],FDR[FDR]&amp;FDR[[#Headers],[14]],FDR[14],"",0,1)</f>
        <v>4</v>
      </c>
      <c r="AA564" cm="1">
        <f t="array" ref="AA564">_xlfn.XLOOKUP(Matrix[[#This Row],[TEAM]]&amp;Matrix[[#Headers],[15]],FDR[FDR]&amp;FDR[[#Headers],[15]],FDR[15],"",0,1)</f>
        <v>2</v>
      </c>
      <c r="AB564" cm="1">
        <f t="array" ref="AB564">_xlfn.XLOOKUP(Matrix[[#This Row],[TEAM]]&amp;Matrix[[#Headers],[16]],FDR[FDR]&amp;FDR[[#Headers],[16]],FDR[16],"",0,1)</f>
        <v>2</v>
      </c>
      <c r="AC564" cm="1">
        <f t="array" ref="AC564">_xlfn.XLOOKUP(Matrix[[#This Row],[TEAM]]&amp;Matrix[[#Headers],[17]],FDR[FDR]&amp;FDR[[#Headers],[17]],FDR[17],"",0,1)</f>
        <v>3</v>
      </c>
      <c r="AD564" cm="1">
        <f t="array" ref="AD564">_xlfn.XLOOKUP(Matrix[[#This Row],[TEAM]]&amp;Matrix[[#Headers],[18]],FDR[FDR]&amp;FDR[[#Headers],[18]],FDR[18],"",0,1)</f>
        <v>3</v>
      </c>
      <c r="AE564" cm="1">
        <f t="array" ref="AE564">_xlfn.XLOOKUP(Matrix[[#This Row],[TEAM]]&amp;Matrix[[#Headers],[19]],FDR[FDR]&amp;FDR[[#Headers],[19]],FDR[19],"",0,1)</f>
        <v>3</v>
      </c>
      <c r="AF564" cm="1">
        <f t="array" ref="AF564">_xlfn.XLOOKUP(Matrix[[#This Row],[TEAM]]&amp;Matrix[[#Headers],[20]],FDR[FDR]&amp;FDR[[#Headers],[20]],FDR[20],"",0,1)</f>
        <v>4</v>
      </c>
      <c r="AG564" cm="1">
        <f t="array" ref="AG564">_xlfn.XLOOKUP(Matrix[[#This Row],[TEAM]]&amp;Matrix[[#Headers],[21]],FDR[FDR]&amp;FDR[[#Headers],[21]],FDR[21],"",0,1)</f>
        <v>4</v>
      </c>
      <c r="AH564" cm="1">
        <f t="array" ref="AH564">_xlfn.XLOOKUP(Matrix[[#This Row],[TEAM]]&amp;Matrix[[#Headers],[22]],FDR[FDR]&amp;FDR[[#Headers],[22]],FDR[22],"",0,1)</f>
        <v>2</v>
      </c>
      <c r="AI564" cm="1">
        <f t="array" ref="AI564">_xlfn.XLOOKUP(Matrix[[#This Row],[TEAM]]&amp;Matrix[[#Headers],[23]],FDR[FDR]&amp;FDR[[#Headers],[23]],FDR[23],"",0,1)</f>
        <v>3</v>
      </c>
      <c r="AJ564" cm="1">
        <f t="array" ref="AJ564">_xlfn.XLOOKUP(Matrix[[#This Row],[TEAM]]&amp;Matrix[[#Headers],[24]],FDR[FDR]&amp;FDR[[#Headers],[24]],FDR[24],"",0,1)</f>
        <v>5</v>
      </c>
      <c r="AK564" cm="1">
        <f t="array" ref="AK564">_xlfn.XLOOKUP(Matrix[[#This Row],[TEAM]]&amp;Matrix[[#Headers],[25]],FDR[FDR]&amp;FDR[[#Headers],[25]],FDR[25],"",0,1)</f>
        <v>2</v>
      </c>
      <c r="AL564" cm="1">
        <f t="array" ref="AL564">_xlfn.XLOOKUP(Matrix[[#This Row],[TEAM]]&amp;Matrix[[#Headers],[26]],FDR[FDR]&amp;FDR[[#Headers],[26]],FDR[26],"",0,1)</f>
        <v>5</v>
      </c>
      <c r="AM564" cm="1">
        <f t="array" ref="AM564">_xlfn.XLOOKUP(Matrix[[#This Row],[TEAM]]&amp;Matrix[[#Headers],[27]],FDR[FDR]&amp;FDR[[#Headers],[27]],FDR[27],"",0,1)</f>
        <v>2</v>
      </c>
      <c r="AN564" cm="1">
        <f t="array" ref="AN564">_xlfn.XLOOKUP(Matrix[[#This Row],[TEAM]]&amp;Matrix[[#Headers],[28]],FDR[FDR]&amp;FDR[[#Headers],[28]],FDR[28],"",0,1)</f>
        <v>4</v>
      </c>
      <c r="AO564" cm="1">
        <f t="array" ref="AO564">_xlfn.XLOOKUP(Matrix[[#This Row],[TEAM]]&amp;Matrix[[#Headers],[29]],FDR[FDR]&amp;FDR[[#Headers],[29]],FDR[29],"",0,1)</f>
        <v>2</v>
      </c>
      <c r="AP564" cm="1">
        <f t="array" ref="AP564">_xlfn.XLOOKUP(Matrix[[#This Row],[TEAM]]&amp;Matrix[[#Headers],[30]],FDR[FDR]&amp;FDR[[#Headers],[30]],FDR[30],"",0,1)</f>
        <v>4</v>
      </c>
      <c r="AQ564" cm="1">
        <f t="array" ref="AQ564">_xlfn.XLOOKUP(Matrix[[#This Row],[TEAM]]&amp;Matrix[[#Headers],[31]],FDR[FDR]&amp;FDR[[#Headers],[31]],FDR[31],"",0,1)</f>
        <v>1</v>
      </c>
      <c r="AR564" cm="1">
        <f t="array" ref="AR564">_xlfn.XLOOKUP(Matrix[[#This Row],[TEAM]]&amp;Matrix[[#Headers],[32]],FDR[FDR]&amp;FDR[[#Headers],[32]],FDR[32],"",0,1)</f>
        <v>5</v>
      </c>
      <c r="AS564" cm="1">
        <f t="array" ref="AS564">_xlfn.XLOOKUP(Matrix[[#This Row],[TEAM]]&amp;Matrix[[#Headers],[33]],FDR[FDR]&amp;FDR[[#Headers],[33]],FDR[33],"",0,1)</f>
        <v>3</v>
      </c>
      <c r="AT564" cm="1">
        <f t="array" ref="AT564">_xlfn.XLOOKUP(Matrix[[#This Row],[TEAM]]&amp;Matrix[[#Headers],[34]],FDR[FDR]&amp;FDR[[#Headers],[34]],FDR[34],"",0,1)</f>
        <v>3</v>
      </c>
      <c r="AU564" cm="1">
        <f t="array" ref="AU564">_xlfn.XLOOKUP(Matrix[[#This Row],[TEAM]]&amp;Matrix[[#Headers],[35]],FDR[FDR]&amp;FDR[[#Headers],[35]],FDR[35],"",0,1)</f>
        <v>5</v>
      </c>
      <c r="AV564" cm="1">
        <f t="array" ref="AV564">_xlfn.XLOOKUP(Matrix[[#This Row],[TEAM]]&amp;Matrix[[#Headers],[36]],FDR[FDR]&amp;FDR[[#Headers],[36]],FDR[36],"",0,1)</f>
        <v>3</v>
      </c>
      <c r="AW564" cm="1">
        <f t="array" ref="AW564">_xlfn.XLOOKUP(Matrix[[#This Row],[TEAM]]&amp;Matrix[[#Headers],[37]],FDR[FDR]&amp;FDR[[#Headers],[37]],FDR[37],"",0,1)</f>
        <v>2</v>
      </c>
      <c r="AX564" cm="1">
        <f t="array" ref="AX564">_xlfn.XLOOKUP(Matrix[[#This Row],[TEAM]]&amp;Matrix[[#Headers],[38]],FDR[FDR]&amp;FDR[[#Headers],[38]],FDR[38],"",0,1)</f>
        <v>4</v>
      </c>
    </row>
    <row r="565" spans="1:50" ht="22" thickTop="1" thickBot="1">
      <c r="A565" s="53" t="str">
        <f>INDEX!S$4</f>
        <v>MID</v>
      </c>
      <c r="B565" s="70" t="s">
        <v>1461</v>
      </c>
      <c r="C565" s="40" t="s">
        <v>19</v>
      </c>
      <c r="D565" s="62">
        <v>50</v>
      </c>
      <c r="E565" s="60">
        <v>1E-3</v>
      </c>
      <c r="F565" s="61">
        <v>48</v>
      </c>
      <c r="G565" s="63">
        <v>5.4</v>
      </c>
      <c r="H565" s="261">
        <f>IF(ISBLANK(I565),0,1)</f>
        <v>1</v>
      </c>
      <c r="I565" s="57" t="s">
        <v>942</v>
      </c>
      <c r="J565" s="58" t="s">
        <v>1981</v>
      </c>
      <c r="K565" s="59" t="s">
        <v>534</v>
      </c>
      <c r="L565" s="59" t="s">
        <v>244</v>
      </c>
      <c r="M565" cm="1">
        <f t="array" ref="M565">_xlfn.XLOOKUP(Matrix[[#This Row],[TEAM]]&amp;Matrix[[#Headers],[1]],FDR[FDR]&amp;FDR[[#Headers],[1]],FDR[1],"",0,1)</f>
        <v>1</v>
      </c>
      <c r="N565" cm="1">
        <f t="array" ref="N565">_xlfn.XLOOKUP(Matrix[[#This Row],[TEAM]]&amp;Matrix[[#Headers],[2]],FDR[FDR]&amp;FDR[[#Headers],[2]],FDR[2],"",0,1)</f>
        <v>4</v>
      </c>
      <c r="O565" cm="1">
        <f t="array" ref="O565">_xlfn.XLOOKUP(Matrix[[#This Row],[TEAM]]&amp;Matrix[[#Headers],[3]],FDR[FDR]&amp;FDR[[#Headers],[3]],FDR[3],"",0,1)</f>
        <v>1</v>
      </c>
      <c r="P565" cm="1">
        <f t="array" ref="P565">_xlfn.XLOOKUP(Matrix[[#This Row],[TEAM]]&amp;Matrix[[#Headers],[4]],FDR[FDR]&amp;FDR[[#Headers],[4]],FDR[4],"",0,1)</f>
        <v>2</v>
      </c>
      <c r="Q565" cm="1">
        <f t="array" ref="Q565">_xlfn.XLOOKUP(Matrix[[#This Row],[TEAM]]&amp;Matrix[[#Headers],[5]],FDR[FDR]&amp;FDR[[#Headers],[5]],FDR[5],"",0,1)</f>
        <v>2</v>
      </c>
      <c r="R565" cm="1">
        <f t="array" ref="R565">_xlfn.XLOOKUP(Matrix[[#This Row],[TEAM]]&amp;Matrix[[#Headers],[6]],FDR[FDR]&amp;FDR[[#Headers],[6]],FDR[6],"",0,1)</f>
        <v>1</v>
      </c>
      <c r="S565" cm="1">
        <f t="array" ref="S565">_xlfn.XLOOKUP(Matrix[[#This Row],[TEAM]]&amp;Matrix[[#Headers],[7]],FDR[FDR]&amp;FDR[[#Headers],[7]],FDR[7],"",0,1)</f>
        <v>1</v>
      </c>
      <c r="T565" cm="1">
        <f t="array" ref="T565">_xlfn.XLOOKUP(Matrix[[#This Row],[TEAM]]&amp;Matrix[[#Headers],[8]],FDR[FDR]&amp;FDR[[#Headers],[8]],FDR[8],"",0,1)</f>
        <v>2</v>
      </c>
      <c r="U565" cm="1">
        <f t="array" ref="U565">_xlfn.XLOOKUP(Matrix[[#This Row],[TEAM]]&amp;Matrix[[#Headers],[9]],FDR[FDR]&amp;FDR[[#Headers],[9]],FDR[9],"",0,1)</f>
        <v>2</v>
      </c>
      <c r="V565" cm="1">
        <f t="array" ref="V565">_xlfn.XLOOKUP(Matrix[[#This Row],[TEAM]]&amp;Matrix[[#Headers],[10]],FDR[FDR]&amp;FDR[[#Headers],[10]],FDR[10],"",0,1)</f>
        <v>3</v>
      </c>
      <c r="W565" cm="1">
        <f t="array" ref="W565">_xlfn.XLOOKUP(Matrix[[#This Row],[TEAM]]&amp;Matrix[[#Headers],[11]],FDR[FDR]&amp;FDR[[#Headers],[11]],FDR[11],"",0,1)</f>
        <v>3</v>
      </c>
      <c r="X565" cm="1">
        <f t="array" ref="X565">_xlfn.XLOOKUP(Matrix[[#This Row],[TEAM]]&amp;Matrix[[#Headers],[12]],FDR[FDR]&amp;FDR[[#Headers],[12]],FDR[12],"",0,1)</f>
        <v>4</v>
      </c>
      <c r="Y565" cm="1">
        <f t="array" ref="Y565">_xlfn.XLOOKUP(Matrix[[#This Row],[TEAM]]&amp;Matrix[[#Headers],[13]],FDR[FDR]&amp;FDR[[#Headers],[13]],FDR[13],"",0,1)</f>
        <v>1</v>
      </c>
      <c r="Z565" cm="1">
        <f t="array" ref="Z565">_xlfn.XLOOKUP(Matrix[[#This Row],[TEAM]]&amp;Matrix[[#Headers],[14]],FDR[FDR]&amp;FDR[[#Headers],[14]],FDR[14],"",0,1)</f>
        <v>3</v>
      </c>
      <c r="AA565" cm="1">
        <f t="array" ref="AA565">_xlfn.XLOOKUP(Matrix[[#This Row],[TEAM]]&amp;Matrix[[#Headers],[15]],FDR[FDR]&amp;FDR[[#Headers],[15]],FDR[15],"",0,1)</f>
        <v>1</v>
      </c>
      <c r="AB565" cm="1">
        <f t="array" ref="AB565">_xlfn.XLOOKUP(Matrix[[#This Row],[TEAM]]&amp;Matrix[[#Headers],[16]],FDR[FDR]&amp;FDR[[#Headers],[16]],FDR[16],"",0,1)</f>
        <v>2</v>
      </c>
      <c r="AC565" cm="1">
        <f t="array" ref="AC565">_xlfn.XLOOKUP(Matrix[[#This Row],[TEAM]]&amp;Matrix[[#Headers],[17]],FDR[FDR]&amp;FDR[[#Headers],[17]],FDR[17],"",0,1)</f>
        <v>3</v>
      </c>
      <c r="AD565" cm="1">
        <f t="array" ref="AD565">_xlfn.XLOOKUP(Matrix[[#This Row],[TEAM]]&amp;Matrix[[#Headers],[18]],FDR[FDR]&amp;FDR[[#Headers],[18]],FDR[18],"",0,1)</f>
        <v>2</v>
      </c>
      <c r="AE565" cm="1">
        <f t="array" ref="AE565">_xlfn.XLOOKUP(Matrix[[#This Row],[TEAM]]&amp;Matrix[[#Headers],[19]],FDR[FDR]&amp;FDR[[#Headers],[19]],FDR[19],"",0,1)</f>
        <v>2</v>
      </c>
      <c r="AF565" cm="1">
        <f t="array" ref="AF565">_xlfn.XLOOKUP(Matrix[[#This Row],[TEAM]]&amp;Matrix[[#Headers],[20]],FDR[FDR]&amp;FDR[[#Headers],[20]],FDR[20],"",0,1)</f>
        <v>1</v>
      </c>
      <c r="AG565" cm="1">
        <f t="array" ref="AG565">_xlfn.XLOOKUP(Matrix[[#This Row],[TEAM]]&amp;Matrix[[#Headers],[21]],FDR[FDR]&amp;FDR[[#Headers],[21]],FDR[21],"",0,1)</f>
        <v>2</v>
      </c>
      <c r="AH565" cm="1">
        <f t="array" ref="AH565">_xlfn.XLOOKUP(Matrix[[#This Row],[TEAM]]&amp;Matrix[[#Headers],[22]],FDR[FDR]&amp;FDR[[#Headers],[22]],FDR[22],"",0,1)</f>
        <v>1</v>
      </c>
      <c r="AI565" cm="1">
        <f t="array" ref="AI565">_xlfn.XLOOKUP(Matrix[[#This Row],[TEAM]]&amp;Matrix[[#Headers],[23]],FDR[FDR]&amp;FDR[[#Headers],[23]],FDR[23],"",0,1)</f>
        <v>1</v>
      </c>
      <c r="AJ565" cm="1">
        <f t="array" ref="AJ565">_xlfn.XLOOKUP(Matrix[[#This Row],[TEAM]]&amp;Matrix[[#Headers],[24]],FDR[FDR]&amp;FDR[[#Headers],[24]],FDR[24],"",0,1)</f>
        <v>3</v>
      </c>
      <c r="AK565" cm="1">
        <f t="array" ref="AK565">_xlfn.XLOOKUP(Matrix[[#This Row],[TEAM]]&amp;Matrix[[#Headers],[25]],FDR[FDR]&amp;FDR[[#Headers],[25]],FDR[25],"",0,1)</f>
        <v>4</v>
      </c>
      <c r="AL565" cm="1">
        <f t="array" ref="AL565">_xlfn.XLOOKUP(Matrix[[#This Row],[TEAM]]&amp;Matrix[[#Headers],[26]],FDR[FDR]&amp;FDR[[#Headers],[26]],FDR[26],"",0,1)</f>
        <v>2</v>
      </c>
      <c r="AM565" cm="1">
        <f t="array" ref="AM565">_xlfn.XLOOKUP(Matrix[[#This Row],[TEAM]]&amp;Matrix[[#Headers],[27]],FDR[FDR]&amp;FDR[[#Headers],[27]],FDR[27],"",0,1)</f>
        <v>3</v>
      </c>
      <c r="AN565" cm="1">
        <f t="array" ref="AN565">_xlfn.XLOOKUP(Matrix[[#This Row],[TEAM]]&amp;Matrix[[#Headers],[28]],FDR[FDR]&amp;FDR[[#Headers],[28]],FDR[28],"",0,1)</f>
        <v>2</v>
      </c>
      <c r="AO565" cm="1">
        <f t="array" ref="AO565">_xlfn.XLOOKUP(Matrix[[#This Row],[TEAM]]&amp;Matrix[[#Headers],[29]],FDR[FDR]&amp;FDR[[#Headers],[29]],FDR[29],"",0,1)</f>
        <v>1</v>
      </c>
      <c r="AP565" cm="1">
        <f t="array" ref="AP565">_xlfn.XLOOKUP(Matrix[[#This Row],[TEAM]]&amp;Matrix[[#Headers],[30]],FDR[FDR]&amp;FDR[[#Headers],[30]],FDR[30],"",0,1)</f>
        <v>4</v>
      </c>
      <c r="AQ565" cm="1">
        <f t="array" ref="AQ565">_xlfn.XLOOKUP(Matrix[[#This Row],[TEAM]]&amp;Matrix[[#Headers],[31]],FDR[FDR]&amp;FDR[[#Headers],[31]],FDR[31],"",0,1)</f>
        <v>1</v>
      </c>
      <c r="AR565" cm="1">
        <f t="array" ref="AR565">_xlfn.XLOOKUP(Matrix[[#This Row],[TEAM]]&amp;Matrix[[#Headers],[32]],FDR[FDR]&amp;FDR[[#Headers],[32]],FDR[32],"",0,1)</f>
        <v>1</v>
      </c>
      <c r="AS565" cm="1">
        <f t="array" ref="AS565">_xlfn.XLOOKUP(Matrix[[#This Row],[TEAM]]&amp;Matrix[[#Headers],[33]],FDR[FDR]&amp;FDR[[#Headers],[33]],FDR[33],"",0,1)</f>
        <v>1</v>
      </c>
      <c r="AT565" cm="1">
        <f t="array" ref="AT565">_xlfn.XLOOKUP(Matrix[[#This Row],[TEAM]]&amp;Matrix[[#Headers],[34]],FDR[FDR]&amp;FDR[[#Headers],[34]],FDR[34],"",0,1)</f>
        <v>1</v>
      </c>
      <c r="AU565" cm="1">
        <f t="array" ref="AU565">_xlfn.XLOOKUP(Matrix[[#This Row],[TEAM]]&amp;Matrix[[#Headers],[35]],FDR[FDR]&amp;FDR[[#Headers],[35]],FDR[35],"",0,1)</f>
        <v>3</v>
      </c>
      <c r="AV565" cm="1">
        <f t="array" ref="AV565">_xlfn.XLOOKUP(Matrix[[#This Row],[TEAM]]&amp;Matrix[[#Headers],[36]],FDR[FDR]&amp;FDR[[#Headers],[36]],FDR[36],"",0,1)</f>
        <v>1</v>
      </c>
      <c r="AW565" cm="1">
        <f t="array" ref="AW565">_xlfn.XLOOKUP(Matrix[[#This Row],[TEAM]]&amp;Matrix[[#Headers],[37]],FDR[FDR]&amp;FDR[[#Headers],[37]],FDR[37],"",0,1)</f>
        <v>4</v>
      </c>
      <c r="AX565" cm="1">
        <f t="array" ref="AX565">_xlfn.XLOOKUP(Matrix[[#This Row],[TEAM]]&amp;Matrix[[#Headers],[38]],FDR[FDR]&amp;FDR[[#Headers],[38]],FDR[38],"",0,1)</f>
        <v>1</v>
      </c>
    </row>
    <row r="566" spans="1:50" ht="22" thickTop="1" thickBot="1">
      <c r="A566" s="50" t="str">
        <f>INDEX!S$4</f>
        <v>MID</v>
      </c>
      <c r="B566" s="70" t="s">
        <v>1475</v>
      </c>
      <c r="C566" s="40" t="s">
        <v>29</v>
      </c>
      <c r="D566" s="62">
        <v>1</v>
      </c>
      <c r="E566" s="60">
        <v>0</v>
      </c>
      <c r="F566" s="61">
        <v>0.3</v>
      </c>
      <c r="G566" s="63">
        <v>5.4</v>
      </c>
      <c r="H566" s="261">
        <f>IF(ISBLANK(I566),0,1)</f>
        <v>1</v>
      </c>
      <c r="I566" s="57" t="s">
        <v>1985</v>
      </c>
      <c r="J566" s="58" t="s">
        <v>1989</v>
      </c>
      <c r="K566" s="59" t="s">
        <v>791</v>
      </c>
      <c r="L566" s="59" t="s">
        <v>792</v>
      </c>
      <c r="M566" cm="1">
        <f t="array" ref="M566">_xlfn.XLOOKUP(Matrix[[#This Row],[TEAM]]&amp;Matrix[[#Headers],[1]],FDR[FDR]&amp;FDR[[#Headers],[1]],FDR[1],"",0,1)</f>
        <v>1</v>
      </c>
      <c r="N566" cm="1">
        <f t="array" ref="N566">_xlfn.XLOOKUP(Matrix[[#This Row],[TEAM]]&amp;Matrix[[#Headers],[2]],FDR[FDR]&amp;FDR[[#Headers],[2]],FDR[2],"",0,1)</f>
        <v>2</v>
      </c>
      <c r="O566" cm="1">
        <f t="array" ref="O566">_xlfn.XLOOKUP(Matrix[[#This Row],[TEAM]]&amp;Matrix[[#Headers],[3]],FDR[FDR]&amp;FDR[[#Headers],[3]],FDR[3],"",0,1)</f>
        <v>2</v>
      </c>
      <c r="P566" cm="1">
        <f t="array" ref="P566">_xlfn.XLOOKUP(Matrix[[#This Row],[TEAM]]&amp;Matrix[[#Headers],[4]],FDR[FDR]&amp;FDR[[#Headers],[4]],FDR[4],"",0,1)</f>
        <v>2</v>
      </c>
      <c r="Q566" cm="1">
        <f t="array" ref="Q566">_xlfn.XLOOKUP(Matrix[[#This Row],[TEAM]]&amp;Matrix[[#Headers],[5]],FDR[FDR]&amp;FDR[[#Headers],[5]],FDR[5],"",0,1)</f>
        <v>4</v>
      </c>
      <c r="R566" cm="1">
        <f t="array" ref="R566">_xlfn.XLOOKUP(Matrix[[#This Row],[TEAM]]&amp;Matrix[[#Headers],[6]],FDR[FDR]&amp;FDR[[#Headers],[6]],FDR[6],"",0,1)</f>
        <v>1</v>
      </c>
      <c r="S566" cm="1">
        <f t="array" ref="S566">_xlfn.XLOOKUP(Matrix[[#This Row],[TEAM]]&amp;Matrix[[#Headers],[7]],FDR[FDR]&amp;FDR[[#Headers],[7]],FDR[7],"",0,1)</f>
        <v>2</v>
      </c>
      <c r="T566" cm="1">
        <f t="array" ref="T566">_xlfn.XLOOKUP(Matrix[[#This Row],[TEAM]]&amp;Matrix[[#Headers],[8]],FDR[FDR]&amp;FDR[[#Headers],[8]],FDR[8],"",0,1)</f>
        <v>1</v>
      </c>
      <c r="U566" cm="1">
        <f t="array" ref="U566">_xlfn.XLOOKUP(Matrix[[#This Row],[TEAM]]&amp;Matrix[[#Headers],[9]],FDR[FDR]&amp;FDR[[#Headers],[9]],FDR[9],"",0,1)</f>
        <v>3</v>
      </c>
      <c r="V566" cm="1">
        <f t="array" ref="V566">_xlfn.XLOOKUP(Matrix[[#This Row],[TEAM]]&amp;Matrix[[#Headers],[10]],FDR[FDR]&amp;FDR[[#Headers],[10]],FDR[10],"",0,1)</f>
        <v>1</v>
      </c>
      <c r="W566" cm="1">
        <f t="array" ref="W566">_xlfn.XLOOKUP(Matrix[[#This Row],[TEAM]]&amp;Matrix[[#Headers],[11]],FDR[FDR]&amp;FDR[[#Headers],[11]],FDR[11],"",0,1)</f>
        <v>3</v>
      </c>
      <c r="X566" cm="1">
        <f t="array" ref="X566">_xlfn.XLOOKUP(Matrix[[#This Row],[TEAM]]&amp;Matrix[[#Headers],[12]],FDR[FDR]&amp;FDR[[#Headers],[12]],FDR[12],"",0,1)</f>
        <v>3</v>
      </c>
      <c r="Y566" cm="1">
        <f t="array" ref="Y566">_xlfn.XLOOKUP(Matrix[[#This Row],[TEAM]]&amp;Matrix[[#Headers],[13]],FDR[FDR]&amp;FDR[[#Headers],[13]],FDR[13],"",0,1)</f>
        <v>1</v>
      </c>
      <c r="Z566" cm="1">
        <f t="array" ref="Z566">_xlfn.XLOOKUP(Matrix[[#This Row],[TEAM]]&amp;Matrix[[#Headers],[14]],FDR[FDR]&amp;FDR[[#Headers],[14]],FDR[14],"",0,1)</f>
        <v>2</v>
      </c>
      <c r="AA566" cm="1">
        <f t="array" ref="AA566">_xlfn.XLOOKUP(Matrix[[#This Row],[TEAM]]&amp;Matrix[[#Headers],[15]],FDR[FDR]&amp;FDR[[#Headers],[15]],FDR[15],"",0,1)</f>
        <v>1</v>
      </c>
      <c r="AB566" cm="1">
        <f t="array" ref="AB566">_xlfn.XLOOKUP(Matrix[[#This Row],[TEAM]]&amp;Matrix[[#Headers],[16]],FDR[FDR]&amp;FDR[[#Headers],[16]],FDR[16],"",0,1)</f>
        <v>2</v>
      </c>
      <c r="AC566" cm="1">
        <f t="array" ref="AC566">_xlfn.XLOOKUP(Matrix[[#This Row],[TEAM]]&amp;Matrix[[#Headers],[17]],FDR[FDR]&amp;FDR[[#Headers],[17]],FDR[17],"",0,1)</f>
        <v>1</v>
      </c>
      <c r="AD566" cm="1">
        <f t="array" ref="AD566">_xlfn.XLOOKUP(Matrix[[#This Row],[TEAM]]&amp;Matrix[[#Headers],[18]],FDR[FDR]&amp;FDR[[#Headers],[18]],FDR[18],"",0,1)</f>
        <v>2</v>
      </c>
      <c r="AE566" cm="1">
        <f t="array" ref="AE566">_xlfn.XLOOKUP(Matrix[[#This Row],[TEAM]]&amp;Matrix[[#Headers],[19]],FDR[FDR]&amp;FDR[[#Headers],[19]],FDR[19],"",0,1)</f>
        <v>1</v>
      </c>
      <c r="AF566" cm="1">
        <f t="array" ref="AF566">_xlfn.XLOOKUP(Matrix[[#This Row],[TEAM]]&amp;Matrix[[#Headers],[20]],FDR[FDR]&amp;FDR[[#Headers],[20]],FDR[20],"",0,1)</f>
        <v>2</v>
      </c>
      <c r="AG566" cm="1">
        <f t="array" ref="AG566">_xlfn.XLOOKUP(Matrix[[#This Row],[TEAM]]&amp;Matrix[[#Headers],[21]],FDR[FDR]&amp;FDR[[#Headers],[21]],FDR[21],"",0,1)</f>
        <v>1</v>
      </c>
      <c r="AH566" cm="1">
        <f t="array" ref="AH566">_xlfn.XLOOKUP(Matrix[[#This Row],[TEAM]]&amp;Matrix[[#Headers],[22]],FDR[FDR]&amp;FDR[[#Headers],[22]],FDR[22],"",0,1)</f>
        <v>3</v>
      </c>
      <c r="AI566" cm="1">
        <f t="array" ref="AI566">_xlfn.XLOOKUP(Matrix[[#This Row],[TEAM]]&amp;Matrix[[#Headers],[23]],FDR[FDR]&amp;FDR[[#Headers],[23]],FDR[23],"",0,1)</f>
        <v>1</v>
      </c>
      <c r="AJ566" cm="1">
        <f t="array" ref="AJ566">_xlfn.XLOOKUP(Matrix[[#This Row],[TEAM]]&amp;Matrix[[#Headers],[24]],FDR[FDR]&amp;FDR[[#Headers],[24]],FDR[24],"",0,1)</f>
        <v>3</v>
      </c>
      <c r="AK566" cm="1">
        <f t="array" ref="AK566">_xlfn.XLOOKUP(Matrix[[#This Row],[TEAM]]&amp;Matrix[[#Headers],[25]],FDR[FDR]&amp;FDR[[#Headers],[25]],FDR[25],"",0,1)</f>
        <v>4</v>
      </c>
      <c r="AL566" cm="1">
        <f t="array" ref="AL566">_xlfn.XLOOKUP(Matrix[[#This Row],[TEAM]]&amp;Matrix[[#Headers],[26]],FDR[FDR]&amp;FDR[[#Headers],[26]],FDR[26],"",0,1)</f>
        <v>1</v>
      </c>
      <c r="AM566" cm="1">
        <f t="array" ref="AM566">_xlfn.XLOOKUP(Matrix[[#This Row],[TEAM]]&amp;Matrix[[#Headers],[27]],FDR[FDR]&amp;FDR[[#Headers],[27]],FDR[27],"",0,1)</f>
        <v>2</v>
      </c>
      <c r="AN566" cm="1">
        <f t="array" ref="AN566">_xlfn.XLOOKUP(Matrix[[#This Row],[TEAM]]&amp;Matrix[[#Headers],[28]],FDR[FDR]&amp;FDR[[#Headers],[28]],FDR[28],"",0,1)</f>
        <v>1</v>
      </c>
      <c r="AO566" cm="1">
        <f t="array" ref="AO566">_xlfn.XLOOKUP(Matrix[[#This Row],[TEAM]]&amp;Matrix[[#Headers],[29]],FDR[FDR]&amp;FDR[[#Headers],[29]],FDR[29],"",0,1)</f>
        <v>1</v>
      </c>
      <c r="AP566" cm="1">
        <f t="array" ref="AP566">_xlfn.XLOOKUP(Matrix[[#This Row],[TEAM]]&amp;Matrix[[#Headers],[30]],FDR[FDR]&amp;FDR[[#Headers],[30]],FDR[30],"",0,1)</f>
        <v>2</v>
      </c>
      <c r="AQ566" cm="1">
        <f t="array" ref="AQ566">_xlfn.XLOOKUP(Matrix[[#This Row],[TEAM]]&amp;Matrix[[#Headers],[31]],FDR[FDR]&amp;FDR[[#Headers],[31]],FDR[31],"",0,1)</f>
        <v>1</v>
      </c>
      <c r="AR566" cm="1">
        <f t="array" ref="AR566">_xlfn.XLOOKUP(Matrix[[#This Row],[TEAM]]&amp;Matrix[[#Headers],[32]],FDR[FDR]&amp;FDR[[#Headers],[32]],FDR[32],"",0,1)</f>
        <v>3</v>
      </c>
      <c r="AS566" cm="1">
        <f t="array" ref="AS566">_xlfn.XLOOKUP(Matrix[[#This Row],[TEAM]]&amp;Matrix[[#Headers],[33]],FDR[FDR]&amp;FDR[[#Headers],[33]],FDR[33],"",0,1)</f>
        <v>3</v>
      </c>
      <c r="AT566" cm="1">
        <f t="array" ref="AT566">_xlfn.XLOOKUP(Matrix[[#This Row],[TEAM]]&amp;Matrix[[#Headers],[34]],FDR[FDR]&amp;FDR[[#Headers],[34]],FDR[34],"",0,1)</f>
        <v>1</v>
      </c>
      <c r="AU566" cm="1">
        <f t="array" ref="AU566">_xlfn.XLOOKUP(Matrix[[#This Row],[TEAM]]&amp;Matrix[[#Headers],[35]],FDR[FDR]&amp;FDR[[#Headers],[35]],FDR[35],"",0,1)</f>
        <v>2</v>
      </c>
      <c r="AV566" cm="1">
        <f t="array" ref="AV566">_xlfn.XLOOKUP(Matrix[[#This Row],[TEAM]]&amp;Matrix[[#Headers],[36]],FDR[FDR]&amp;FDR[[#Headers],[36]],FDR[36],"",0,1)</f>
        <v>1</v>
      </c>
      <c r="AW566" cm="1">
        <f t="array" ref="AW566">_xlfn.XLOOKUP(Matrix[[#This Row],[TEAM]]&amp;Matrix[[#Headers],[37]],FDR[FDR]&amp;FDR[[#Headers],[37]],FDR[37],"",0,1)</f>
        <v>2</v>
      </c>
      <c r="AX566" cm="1">
        <f t="array" ref="AX566">_xlfn.XLOOKUP(Matrix[[#This Row],[TEAM]]&amp;Matrix[[#Headers],[38]],FDR[FDR]&amp;FDR[[#Headers],[38]],FDR[38],"",0,1)</f>
        <v>2</v>
      </c>
    </row>
    <row r="567" spans="1:50" ht="22" thickTop="1" thickBot="1">
      <c r="A567" s="50" t="s">
        <v>656</v>
      </c>
      <c r="B567" s="70" t="s">
        <v>1476</v>
      </c>
      <c r="C567" s="40" t="s">
        <v>19</v>
      </c>
      <c r="D567" s="62">
        <v>0</v>
      </c>
      <c r="E567" s="60">
        <v>0</v>
      </c>
      <c r="F567" s="61">
        <v>0</v>
      </c>
      <c r="G567" s="63">
        <v>5.4</v>
      </c>
      <c r="H567" s="261">
        <f>IF(ISBLANK(I567),0,1)</f>
        <v>1</v>
      </c>
      <c r="I567" s="57" t="s">
        <v>992</v>
      </c>
      <c r="J567" s="58">
        <v>0.5</v>
      </c>
      <c r="K567" s="59" t="s">
        <v>505</v>
      </c>
      <c r="L567" s="59" t="s">
        <v>332</v>
      </c>
      <c r="M567" cm="1">
        <f t="array" ref="M567">_xlfn.XLOOKUP(Matrix[[#This Row],[TEAM]]&amp;Matrix[[#Headers],[1]],FDR[FDR]&amp;FDR[[#Headers],[1]],FDR[1],"",0,1)</f>
        <v>1</v>
      </c>
      <c r="N567" cm="1">
        <f t="array" ref="N567">_xlfn.XLOOKUP(Matrix[[#This Row],[TEAM]]&amp;Matrix[[#Headers],[2]],FDR[FDR]&amp;FDR[[#Headers],[2]],FDR[2],"",0,1)</f>
        <v>4</v>
      </c>
      <c r="O567" cm="1">
        <f t="array" ref="O567">_xlfn.XLOOKUP(Matrix[[#This Row],[TEAM]]&amp;Matrix[[#Headers],[3]],FDR[FDR]&amp;FDR[[#Headers],[3]],FDR[3],"",0,1)</f>
        <v>1</v>
      </c>
      <c r="P567" cm="1">
        <f t="array" ref="P567">_xlfn.XLOOKUP(Matrix[[#This Row],[TEAM]]&amp;Matrix[[#Headers],[4]],FDR[FDR]&amp;FDR[[#Headers],[4]],FDR[4],"",0,1)</f>
        <v>2</v>
      </c>
      <c r="Q567" cm="1">
        <f t="array" ref="Q567">_xlfn.XLOOKUP(Matrix[[#This Row],[TEAM]]&amp;Matrix[[#Headers],[5]],FDR[FDR]&amp;FDR[[#Headers],[5]],FDR[5],"",0,1)</f>
        <v>2</v>
      </c>
      <c r="R567" cm="1">
        <f t="array" ref="R567">_xlfn.XLOOKUP(Matrix[[#This Row],[TEAM]]&amp;Matrix[[#Headers],[6]],FDR[FDR]&amp;FDR[[#Headers],[6]],FDR[6],"",0,1)</f>
        <v>1</v>
      </c>
      <c r="S567" cm="1">
        <f t="array" ref="S567">_xlfn.XLOOKUP(Matrix[[#This Row],[TEAM]]&amp;Matrix[[#Headers],[7]],FDR[FDR]&amp;FDR[[#Headers],[7]],FDR[7],"",0,1)</f>
        <v>1</v>
      </c>
      <c r="T567" cm="1">
        <f t="array" ref="T567">_xlfn.XLOOKUP(Matrix[[#This Row],[TEAM]]&amp;Matrix[[#Headers],[8]],FDR[FDR]&amp;FDR[[#Headers],[8]],FDR[8],"",0,1)</f>
        <v>2</v>
      </c>
      <c r="U567" cm="1">
        <f t="array" ref="U567">_xlfn.XLOOKUP(Matrix[[#This Row],[TEAM]]&amp;Matrix[[#Headers],[9]],FDR[FDR]&amp;FDR[[#Headers],[9]],FDR[9],"",0,1)</f>
        <v>2</v>
      </c>
      <c r="V567" cm="1">
        <f t="array" ref="V567">_xlfn.XLOOKUP(Matrix[[#This Row],[TEAM]]&amp;Matrix[[#Headers],[10]],FDR[FDR]&amp;FDR[[#Headers],[10]],FDR[10],"",0,1)</f>
        <v>3</v>
      </c>
      <c r="W567" cm="1">
        <f t="array" ref="W567">_xlfn.XLOOKUP(Matrix[[#This Row],[TEAM]]&amp;Matrix[[#Headers],[11]],FDR[FDR]&amp;FDR[[#Headers],[11]],FDR[11],"",0,1)</f>
        <v>3</v>
      </c>
      <c r="X567" cm="1">
        <f t="array" ref="X567">_xlfn.XLOOKUP(Matrix[[#This Row],[TEAM]]&amp;Matrix[[#Headers],[12]],FDR[FDR]&amp;FDR[[#Headers],[12]],FDR[12],"",0,1)</f>
        <v>4</v>
      </c>
      <c r="Y567" cm="1">
        <f t="array" ref="Y567">_xlfn.XLOOKUP(Matrix[[#This Row],[TEAM]]&amp;Matrix[[#Headers],[13]],FDR[FDR]&amp;FDR[[#Headers],[13]],FDR[13],"",0,1)</f>
        <v>1</v>
      </c>
      <c r="Z567" cm="1">
        <f t="array" ref="Z567">_xlfn.XLOOKUP(Matrix[[#This Row],[TEAM]]&amp;Matrix[[#Headers],[14]],FDR[FDR]&amp;FDR[[#Headers],[14]],FDR[14],"",0,1)</f>
        <v>3</v>
      </c>
      <c r="AA567" cm="1">
        <f t="array" ref="AA567">_xlfn.XLOOKUP(Matrix[[#This Row],[TEAM]]&amp;Matrix[[#Headers],[15]],FDR[FDR]&amp;FDR[[#Headers],[15]],FDR[15],"",0,1)</f>
        <v>1</v>
      </c>
      <c r="AB567" cm="1">
        <f t="array" ref="AB567">_xlfn.XLOOKUP(Matrix[[#This Row],[TEAM]]&amp;Matrix[[#Headers],[16]],FDR[FDR]&amp;FDR[[#Headers],[16]],FDR[16],"",0,1)</f>
        <v>2</v>
      </c>
      <c r="AC567" cm="1">
        <f t="array" ref="AC567">_xlfn.XLOOKUP(Matrix[[#This Row],[TEAM]]&amp;Matrix[[#Headers],[17]],FDR[FDR]&amp;FDR[[#Headers],[17]],FDR[17],"",0,1)</f>
        <v>3</v>
      </c>
      <c r="AD567" cm="1">
        <f t="array" ref="AD567">_xlfn.XLOOKUP(Matrix[[#This Row],[TEAM]]&amp;Matrix[[#Headers],[18]],FDR[FDR]&amp;FDR[[#Headers],[18]],FDR[18],"",0,1)</f>
        <v>2</v>
      </c>
      <c r="AE567" cm="1">
        <f t="array" ref="AE567">_xlfn.XLOOKUP(Matrix[[#This Row],[TEAM]]&amp;Matrix[[#Headers],[19]],FDR[FDR]&amp;FDR[[#Headers],[19]],FDR[19],"",0,1)</f>
        <v>2</v>
      </c>
      <c r="AF567" cm="1">
        <f t="array" ref="AF567">_xlfn.XLOOKUP(Matrix[[#This Row],[TEAM]]&amp;Matrix[[#Headers],[20]],FDR[FDR]&amp;FDR[[#Headers],[20]],FDR[20],"",0,1)</f>
        <v>1</v>
      </c>
      <c r="AG567" cm="1">
        <f t="array" ref="AG567">_xlfn.XLOOKUP(Matrix[[#This Row],[TEAM]]&amp;Matrix[[#Headers],[21]],FDR[FDR]&amp;FDR[[#Headers],[21]],FDR[21],"",0,1)</f>
        <v>2</v>
      </c>
      <c r="AH567" cm="1">
        <f t="array" ref="AH567">_xlfn.XLOOKUP(Matrix[[#This Row],[TEAM]]&amp;Matrix[[#Headers],[22]],FDR[FDR]&amp;FDR[[#Headers],[22]],FDR[22],"",0,1)</f>
        <v>1</v>
      </c>
      <c r="AI567" cm="1">
        <f t="array" ref="AI567">_xlfn.XLOOKUP(Matrix[[#This Row],[TEAM]]&amp;Matrix[[#Headers],[23]],FDR[FDR]&amp;FDR[[#Headers],[23]],FDR[23],"",0,1)</f>
        <v>1</v>
      </c>
      <c r="AJ567" cm="1">
        <f t="array" ref="AJ567">_xlfn.XLOOKUP(Matrix[[#This Row],[TEAM]]&amp;Matrix[[#Headers],[24]],FDR[FDR]&amp;FDR[[#Headers],[24]],FDR[24],"",0,1)</f>
        <v>3</v>
      </c>
      <c r="AK567" cm="1">
        <f t="array" ref="AK567">_xlfn.XLOOKUP(Matrix[[#This Row],[TEAM]]&amp;Matrix[[#Headers],[25]],FDR[FDR]&amp;FDR[[#Headers],[25]],FDR[25],"",0,1)</f>
        <v>4</v>
      </c>
      <c r="AL567" cm="1">
        <f t="array" ref="AL567">_xlfn.XLOOKUP(Matrix[[#This Row],[TEAM]]&amp;Matrix[[#Headers],[26]],FDR[FDR]&amp;FDR[[#Headers],[26]],FDR[26],"",0,1)</f>
        <v>2</v>
      </c>
      <c r="AM567" cm="1">
        <f t="array" ref="AM567">_xlfn.XLOOKUP(Matrix[[#This Row],[TEAM]]&amp;Matrix[[#Headers],[27]],FDR[FDR]&amp;FDR[[#Headers],[27]],FDR[27],"",0,1)</f>
        <v>3</v>
      </c>
      <c r="AN567" cm="1">
        <f t="array" ref="AN567">_xlfn.XLOOKUP(Matrix[[#This Row],[TEAM]]&amp;Matrix[[#Headers],[28]],FDR[FDR]&amp;FDR[[#Headers],[28]],FDR[28],"",0,1)</f>
        <v>2</v>
      </c>
      <c r="AO567" cm="1">
        <f t="array" ref="AO567">_xlfn.XLOOKUP(Matrix[[#This Row],[TEAM]]&amp;Matrix[[#Headers],[29]],FDR[FDR]&amp;FDR[[#Headers],[29]],FDR[29],"",0,1)</f>
        <v>1</v>
      </c>
      <c r="AP567" cm="1">
        <f t="array" ref="AP567">_xlfn.XLOOKUP(Matrix[[#This Row],[TEAM]]&amp;Matrix[[#Headers],[30]],FDR[FDR]&amp;FDR[[#Headers],[30]],FDR[30],"",0,1)</f>
        <v>4</v>
      </c>
      <c r="AQ567" cm="1">
        <f t="array" ref="AQ567">_xlfn.XLOOKUP(Matrix[[#This Row],[TEAM]]&amp;Matrix[[#Headers],[31]],FDR[FDR]&amp;FDR[[#Headers],[31]],FDR[31],"",0,1)</f>
        <v>1</v>
      </c>
      <c r="AR567" cm="1">
        <f t="array" ref="AR567">_xlfn.XLOOKUP(Matrix[[#This Row],[TEAM]]&amp;Matrix[[#Headers],[32]],FDR[FDR]&amp;FDR[[#Headers],[32]],FDR[32],"",0,1)</f>
        <v>1</v>
      </c>
      <c r="AS567" cm="1">
        <f t="array" ref="AS567">_xlfn.XLOOKUP(Matrix[[#This Row],[TEAM]]&amp;Matrix[[#Headers],[33]],FDR[FDR]&amp;FDR[[#Headers],[33]],FDR[33],"",0,1)</f>
        <v>1</v>
      </c>
      <c r="AT567" cm="1">
        <f t="array" ref="AT567">_xlfn.XLOOKUP(Matrix[[#This Row],[TEAM]]&amp;Matrix[[#Headers],[34]],FDR[FDR]&amp;FDR[[#Headers],[34]],FDR[34],"",0,1)</f>
        <v>1</v>
      </c>
      <c r="AU567" cm="1">
        <f t="array" ref="AU567">_xlfn.XLOOKUP(Matrix[[#This Row],[TEAM]]&amp;Matrix[[#Headers],[35]],FDR[FDR]&amp;FDR[[#Headers],[35]],FDR[35],"",0,1)</f>
        <v>3</v>
      </c>
      <c r="AV567" cm="1">
        <f t="array" ref="AV567">_xlfn.XLOOKUP(Matrix[[#This Row],[TEAM]]&amp;Matrix[[#Headers],[36]],FDR[FDR]&amp;FDR[[#Headers],[36]],FDR[36],"",0,1)</f>
        <v>1</v>
      </c>
      <c r="AW567" cm="1">
        <f t="array" ref="AW567">_xlfn.XLOOKUP(Matrix[[#This Row],[TEAM]]&amp;Matrix[[#Headers],[37]],FDR[FDR]&amp;FDR[[#Headers],[37]],FDR[37],"",0,1)</f>
        <v>4</v>
      </c>
      <c r="AX567" cm="1">
        <f t="array" ref="AX567">_xlfn.XLOOKUP(Matrix[[#This Row],[TEAM]]&amp;Matrix[[#Headers],[38]],FDR[FDR]&amp;FDR[[#Headers],[38]],FDR[38],"",0,1)</f>
        <v>1</v>
      </c>
    </row>
    <row r="568" spans="1:50" ht="22" thickTop="1" thickBot="1">
      <c r="A568" s="49" t="str">
        <f>INDEX!S$5</f>
        <v>FWD</v>
      </c>
      <c r="B568" s="70" t="s">
        <v>1410</v>
      </c>
      <c r="C568" s="40" t="s">
        <v>26</v>
      </c>
      <c r="D568" s="62">
        <v>53</v>
      </c>
      <c r="E568" s="60">
        <v>1.0999999999999999E-2</v>
      </c>
      <c r="F568" s="61">
        <v>82.5</v>
      </c>
      <c r="G568" s="63">
        <v>5.4</v>
      </c>
      <c r="H568" s="261">
        <f>IF(ISBLANK(I568),0,1)</f>
        <v>1</v>
      </c>
      <c r="I568" s="57" t="s">
        <v>894</v>
      </c>
      <c r="J568" s="58" t="s">
        <v>1026</v>
      </c>
      <c r="K568" s="64" t="s">
        <v>479</v>
      </c>
      <c r="L568" s="64" t="s">
        <v>283</v>
      </c>
      <c r="M568" cm="1">
        <f t="array" ref="M568">_xlfn.XLOOKUP(Matrix[[#This Row],[TEAM]]&amp;Matrix[[#Headers],[1]],FDR[FDR]&amp;FDR[[#Headers],[1]],FDR[1],"",0,1)</f>
        <v>5</v>
      </c>
      <c r="N568" cm="1">
        <f t="array" ref="N568">_xlfn.XLOOKUP(Matrix[[#This Row],[TEAM]]&amp;Matrix[[#Headers],[2]],FDR[FDR]&amp;FDR[[#Headers],[2]],FDR[2],"",0,1)</f>
        <v>3</v>
      </c>
      <c r="O568" cm="1">
        <f t="array" ref="O568">_xlfn.XLOOKUP(Matrix[[#This Row],[TEAM]]&amp;Matrix[[#Headers],[3]],FDR[FDR]&amp;FDR[[#Headers],[3]],FDR[3],"",0,1)</f>
        <v>5</v>
      </c>
      <c r="P568" cm="1">
        <f t="array" ref="P568">_xlfn.XLOOKUP(Matrix[[#This Row],[TEAM]]&amp;Matrix[[#Headers],[4]],FDR[FDR]&amp;FDR[[#Headers],[4]],FDR[4],"",0,1)</f>
        <v>1</v>
      </c>
      <c r="Q568" cm="1">
        <f t="array" ref="Q568">_xlfn.XLOOKUP(Matrix[[#This Row],[TEAM]]&amp;Matrix[[#Headers],[5]],FDR[FDR]&amp;FDR[[#Headers],[5]],FDR[5],"",0,1)</f>
        <v>4</v>
      </c>
      <c r="R568" cm="1">
        <f t="array" ref="R568">_xlfn.XLOOKUP(Matrix[[#This Row],[TEAM]]&amp;Matrix[[#Headers],[6]],FDR[FDR]&amp;FDR[[#Headers],[6]],FDR[6],"",0,1)</f>
        <v>4</v>
      </c>
      <c r="S568" cm="1">
        <f t="array" ref="S568">_xlfn.XLOOKUP(Matrix[[#This Row],[TEAM]]&amp;Matrix[[#Headers],[7]],FDR[FDR]&amp;FDR[[#Headers],[7]],FDR[7],"",0,1)</f>
        <v>4</v>
      </c>
      <c r="T568" cm="1">
        <f t="array" ref="T568">_xlfn.XLOOKUP(Matrix[[#This Row],[TEAM]]&amp;Matrix[[#Headers],[8]],FDR[FDR]&amp;FDR[[#Headers],[8]],FDR[8],"",0,1)</f>
        <v>3</v>
      </c>
      <c r="U568" cm="1">
        <f t="array" ref="U568">_xlfn.XLOOKUP(Matrix[[#This Row],[TEAM]]&amp;Matrix[[#Headers],[9]],FDR[FDR]&amp;FDR[[#Headers],[9]],FDR[9],"",0,1)</f>
        <v>5</v>
      </c>
      <c r="V568" cm="1">
        <f t="array" ref="V568">_xlfn.XLOOKUP(Matrix[[#This Row],[TEAM]]&amp;Matrix[[#Headers],[10]],FDR[FDR]&amp;FDR[[#Headers],[10]],FDR[10],"",0,1)</f>
        <v>3</v>
      </c>
      <c r="W568" cm="1">
        <f t="array" ref="W568">_xlfn.XLOOKUP(Matrix[[#This Row],[TEAM]]&amp;Matrix[[#Headers],[11]],FDR[FDR]&amp;FDR[[#Headers],[11]],FDR[11],"",0,1)</f>
        <v>3</v>
      </c>
      <c r="X568" cm="1">
        <f t="array" ref="X568">_xlfn.XLOOKUP(Matrix[[#This Row],[TEAM]]&amp;Matrix[[#Headers],[12]],FDR[FDR]&amp;FDR[[#Headers],[12]],FDR[12],"",0,1)</f>
        <v>2</v>
      </c>
      <c r="Y568" cm="1">
        <f t="array" ref="Y568">_xlfn.XLOOKUP(Matrix[[#This Row],[TEAM]]&amp;Matrix[[#Headers],[13]],FDR[FDR]&amp;FDR[[#Headers],[13]],FDR[13],"",0,1)</f>
        <v>4</v>
      </c>
      <c r="Z568" cm="1">
        <f t="array" ref="Z568">_xlfn.XLOOKUP(Matrix[[#This Row],[TEAM]]&amp;Matrix[[#Headers],[14]],FDR[FDR]&amp;FDR[[#Headers],[14]],FDR[14],"",0,1)</f>
        <v>2</v>
      </c>
      <c r="AA568" cm="1">
        <f t="array" ref="AA568">_xlfn.XLOOKUP(Matrix[[#This Row],[TEAM]]&amp;Matrix[[#Headers],[15]],FDR[FDR]&amp;FDR[[#Headers],[15]],FDR[15],"",0,1)</f>
        <v>4</v>
      </c>
      <c r="AB568" cm="1">
        <f t="array" ref="AB568">_xlfn.XLOOKUP(Matrix[[#This Row],[TEAM]]&amp;Matrix[[#Headers],[16]],FDR[FDR]&amp;FDR[[#Headers],[16]],FDR[16],"",0,1)</f>
        <v>4</v>
      </c>
      <c r="AC568" cm="1">
        <f t="array" ref="AC568">_xlfn.XLOOKUP(Matrix[[#This Row],[TEAM]]&amp;Matrix[[#Headers],[17]],FDR[FDR]&amp;FDR[[#Headers],[17]],FDR[17],"",0,1)</f>
        <v>2</v>
      </c>
      <c r="AD568" cm="1">
        <f t="array" ref="AD568">_xlfn.XLOOKUP(Matrix[[#This Row],[TEAM]]&amp;Matrix[[#Headers],[18]],FDR[FDR]&amp;FDR[[#Headers],[18]],FDR[18],"",0,1)</f>
        <v>4</v>
      </c>
      <c r="AE568" cm="1">
        <f t="array" ref="AE568">_xlfn.XLOOKUP(Matrix[[#This Row],[TEAM]]&amp;Matrix[[#Headers],[19]],FDR[FDR]&amp;FDR[[#Headers],[19]],FDR[19],"",0,1)</f>
        <v>3</v>
      </c>
      <c r="AF568" cm="1">
        <f t="array" ref="AF568">_xlfn.XLOOKUP(Matrix[[#This Row],[TEAM]]&amp;Matrix[[#Headers],[20]],FDR[FDR]&amp;FDR[[#Headers],[20]],FDR[20],"",0,1)</f>
        <v>5</v>
      </c>
      <c r="AG568" cm="1">
        <f t="array" ref="AG568">_xlfn.XLOOKUP(Matrix[[#This Row],[TEAM]]&amp;Matrix[[#Headers],[21]],FDR[FDR]&amp;FDR[[#Headers],[21]],FDR[21],"",0,1)</f>
        <v>4</v>
      </c>
      <c r="AH568" cm="1">
        <f t="array" ref="AH568">_xlfn.XLOOKUP(Matrix[[#This Row],[TEAM]]&amp;Matrix[[#Headers],[22]],FDR[FDR]&amp;FDR[[#Headers],[22]],FDR[22],"",0,1)</f>
        <v>2</v>
      </c>
      <c r="AI568" cm="1">
        <f t="array" ref="AI568">_xlfn.XLOOKUP(Matrix[[#This Row],[TEAM]]&amp;Matrix[[#Headers],[23]],FDR[FDR]&amp;FDR[[#Headers],[23]],FDR[23],"",0,1)</f>
        <v>4</v>
      </c>
      <c r="AJ568" cm="1">
        <f t="array" ref="AJ568">_xlfn.XLOOKUP(Matrix[[#This Row],[TEAM]]&amp;Matrix[[#Headers],[24]],FDR[FDR]&amp;FDR[[#Headers],[24]],FDR[24],"",0,1)</f>
        <v>4</v>
      </c>
      <c r="AK568" cm="1">
        <f t="array" ref="AK568">_xlfn.XLOOKUP(Matrix[[#This Row],[TEAM]]&amp;Matrix[[#Headers],[25]],FDR[FDR]&amp;FDR[[#Headers],[25]],FDR[25],"",0,1)</f>
        <v>4</v>
      </c>
      <c r="AL568" cm="1">
        <f t="array" ref="AL568">_xlfn.XLOOKUP(Matrix[[#This Row],[TEAM]]&amp;Matrix[[#Headers],[26]],FDR[FDR]&amp;FDR[[#Headers],[26]],FDR[26],"",0,1)</f>
        <v>1</v>
      </c>
      <c r="AM568" cm="1">
        <f t="array" ref="AM568">_xlfn.XLOOKUP(Matrix[[#This Row],[TEAM]]&amp;Matrix[[#Headers],[27]],FDR[FDR]&amp;FDR[[#Headers],[27]],FDR[27],"",0,1)</f>
        <v>2</v>
      </c>
      <c r="AN568" cm="1">
        <f t="array" ref="AN568">_xlfn.XLOOKUP(Matrix[[#This Row],[TEAM]]&amp;Matrix[[#Headers],[28]],FDR[FDR]&amp;FDR[[#Headers],[28]],FDR[28],"",0,1)</f>
        <v>5</v>
      </c>
      <c r="AO568" cm="1">
        <f t="array" ref="AO568">_xlfn.XLOOKUP(Matrix[[#This Row],[TEAM]]&amp;Matrix[[#Headers],[29]],FDR[FDR]&amp;FDR[[#Headers],[29]],FDR[29],"",0,1)</f>
        <v>5</v>
      </c>
      <c r="AP568" cm="1">
        <f t="array" ref="AP568">_xlfn.XLOOKUP(Matrix[[#This Row],[TEAM]]&amp;Matrix[[#Headers],[30]],FDR[FDR]&amp;FDR[[#Headers],[30]],FDR[30],"",0,1)</f>
        <v>1</v>
      </c>
      <c r="AQ568" cm="1">
        <f t="array" ref="AQ568">_xlfn.XLOOKUP(Matrix[[#This Row],[TEAM]]&amp;Matrix[[#Headers],[31]],FDR[FDR]&amp;FDR[[#Headers],[31]],FDR[31],"",0,1)</f>
        <v>5</v>
      </c>
      <c r="AR568" cm="1">
        <f t="array" ref="AR568">_xlfn.XLOOKUP(Matrix[[#This Row],[TEAM]]&amp;Matrix[[#Headers],[32]],FDR[FDR]&amp;FDR[[#Headers],[32]],FDR[32],"",0,1)</f>
        <v>4</v>
      </c>
      <c r="AS568" cm="1">
        <f t="array" ref="AS568">_xlfn.XLOOKUP(Matrix[[#This Row],[TEAM]]&amp;Matrix[[#Headers],[33]],FDR[FDR]&amp;FDR[[#Headers],[33]],FDR[33],"",0,1)</f>
        <v>3</v>
      </c>
      <c r="AT568" cm="1">
        <f t="array" ref="AT568">_xlfn.XLOOKUP(Matrix[[#This Row],[TEAM]]&amp;Matrix[[#Headers],[34]],FDR[FDR]&amp;FDR[[#Headers],[34]],FDR[34],"",0,1)</f>
        <v>5</v>
      </c>
      <c r="AU568" cm="1">
        <f t="array" ref="AU568">_xlfn.XLOOKUP(Matrix[[#This Row],[TEAM]]&amp;Matrix[[#Headers],[35]],FDR[FDR]&amp;FDR[[#Headers],[35]],FDR[35],"",0,1)</f>
        <v>4</v>
      </c>
      <c r="AV568" cm="1">
        <f t="array" ref="AV568">_xlfn.XLOOKUP(Matrix[[#This Row],[TEAM]]&amp;Matrix[[#Headers],[36]],FDR[FDR]&amp;FDR[[#Headers],[36]],FDR[36],"",0,1)</f>
        <v>3</v>
      </c>
      <c r="AW568" cm="1">
        <f t="array" ref="AW568">_xlfn.XLOOKUP(Matrix[[#This Row],[TEAM]]&amp;Matrix[[#Headers],[37]],FDR[FDR]&amp;FDR[[#Headers],[37]],FDR[37],"",0,1)</f>
        <v>4</v>
      </c>
      <c r="AX568" cm="1">
        <f t="array" ref="AX568">_xlfn.XLOOKUP(Matrix[[#This Row],[TEAM]]&amp;Matrix[[#Headers],[38]],FDR[FDR]&amp;FDR[[#Headers],[38]],FDR[38],"",0,1)</f>
        <v>4</v>
      </c>
    </row>
    <row r="569" spans="1:50" ht="22" thickTop="1" thickBot="1">
      <c r="A569" s="52" t="s">
        <v>658</v>
      </c>
      <c r="B569" s="70" t="s">
        <v>1512</v>
      </c>
      <c r="C569" s="40" t="s">
        <v>28</v>
      </c>
      <c r="D569" s="68">
        <v>111</v>
      </c>
      <c r="E569" s="60">
        <v>5.0000000000000001E-3</v>
      </c>
      <c r="F569" s="67">
        <v>86</v>
      </c>
      <c r="G569" s="63">
        <v>5</v>
      </c>
      <c r="H569" s="261">
        <f>IF(ISBLANK(I569),0,1)</f>
        <v>1</v>
      </c>
      <c r="I569" s="57" t="s">
        <v>837</v>
      </c>
      <c r="J569" s="58" t="s">
        <v>991</v>
      </c>
      <c r="K569" s="66" t="s">
        <v>385</v>
      </c>
      <c r="L569" s="66" t="s">
        <v>76</v>
      </c>
      <c r="M569" cm="1">
        <f t="array" ref="M569">_xlfn.XLOOKUP(Matrix[[#This Row],[TEAM]]&amp;Matrix[[#Headers],[1]],FDR[FDR]&amp;FDR[[#Headers],[1]],FDR[1],"",0,1)</f>
        <v>3</v>
      </c>
      <c r="N569" cm="1">
        <f t="array" ref="N569">_xlfn.XLOOKUP(Matrix[[#This Row],[TEAM]]&amp;Matrix[[#Headers],[2]],FDR[FDR]&amp;FDR[[#Headers],[2]],FDR[2],"",0,1)</f>
        <v>2</v>
      </c>
      <c r="O569" cm="1">
        <f t="array" ref="O569">_xlfn.XLOOKUP(Matrix[[#This Row],[TEAM]]&amp;Matrix[[#Headers],[3]],FDR[FDR]&amp;FDR[[#Headers],[3]],FDR[3],"",0,1)</f>
        <v>1</v>
      </c>
      <c r="P569" cm="1">
        <f t="array" ref="P569">_xlfn.XLOOKUP(Matrix[[#This Row],[TEAM]]&amp;Matrix[[#Headers],[4]],FDR[FDR]&amp;FDR[[#Headers],[4]],FDR[4],"",0,1)</f>
        <v>2</v>
      </c>
      <c r="Q569" cm="1">
        <f t="array" ref="Q569">_xlfn.XLOOKUP(Matrix[[#This Row],[TEAM]]&amp;Matrix[[#Headers],[5]],FDR[FDR]&amp;FDR[[#Headers],[5]],FDR[5],"",0,1)</f>
        <v>1</v>
      </c>
      <c r="R569" cm="1">
        <f t="array" ref="R569">_xlfn.XLOOKUP(Matrix[[#This Row],[TEAM]]&amp;Matrix[[#Headers],[6]],FDR[FDR]&amp;FDR[[#Headers],[6]],FDR[6],"",0,1)</f>
        <v>2</v>
      </c>
      <c r="S569" cm="1">
        <f t="array" ref="S569">_xlfn.XLOOKUP(Matrix[[#This Row],[TEAM]]&amp;Matrix[[#Headers],[7]],FDR[FDR]&amp;FDR[[#Headers],[7]],FDR[7],"",0,1)</f>
        <v>1</v>
      </c>
      <c r="T569" cm="1">
        <f t="array" ref="T569">_xlfn.XLOOKUP(Matrix[[#This Row],[TEAM]]&amp;Matrix[[#Headers],[8]],FDR[FDR]&amp;FDR[[#Headers],[8]],FDR[8],"",0,1)</f>
        <v>4</v>
      </c>
      <c r="U569" cm="1">
        <f t="array" ref="U569">_xlfn.XLOOKUP(Matrix[[#This Row],[TEAM]]&amp;Matrix[[#Headers],[9]],FDR[FDR]&amp;FDR[[#Headers],[9]],FDR[9],"",0,1)</f>
        <v>3</v>
      </c>
      <c r="V569" cm="1">
        <f t="array" ref="V569">_xlfn.XLOOKUP(Matrix[[#This Row],[TEAM]]&amp;Matrix[[#Headers],[10]],FDR[FDR]&amp;FDR[[#Headers],[10]],FDR[10],"",0,1)</f>
        <v>4</v>
      </c>
      <c r="W569" cm="1">
        <f t="array" ref="W569">_xlfn.XLOOKUP(Matrix[[#This Row],[TEAM]]&amp;Matrix[[#Headers],[11]],FDR[FDR]&amp;FDR[[#Headers],[11]],FDR[11],"",0,1)</f>
        <v>2</v>
      </c>
      <c r="X569" cm="1">
        <f t="array" ref="X569">_xlfn.XLOOKUP(Matrix[[#This Row],[TEAM]]&amp;Matrix[[#Headers],[12]],FDR[FDR]&amp;FDR[[#Headers],[12]],FDR[12],"",0,1)</f>
        <v>1</v>
      </c>
      <c r="Y569" cm="1">
        <f t="array" ref="Y569">_xlfn.XLOOKUP(Matrix[[#This Row],[TEAM]]&amp;Matrix[[#Headers],[13]],FDR[FDR]&amp;FDR[[#Headers],[13]],FDR[13],"",0,1)</f>
        <v>1</v>
      </c>
      <c r="Z569" cm="1">
        <f t="array" ref="Z569">_xlfn.XLOOKUP(Matrix[[#This Row],[TEAM]]&amp;Matrix[[#Headers],[14]],FDR[FDR]&amp;FDR[[#Headers],[14]],FDR[14],"",0,1)</f>
        <v>3</v>
      </c>
      <c r="AA569" cm="1">
        <f t="array" ref="AA569">_xlfn.XLOOKUP(Matrix[[#This Row],[TEAM]]&amp;Matrix[[#Headers],[15]],FDR[FDR]&amp;FDR[[#Headers],[15]],FDR[15],"",0,1)</f>
        <v>3</v>
      </c>
      <c r="AB569" cm="1">
        <f t="array" ref="AB569">_xlfn.XLOOKUP(Matrix[[#This Row],[TEAM]]&amp;Matrix[[#Headers],[16]],FDR[FDR]&amp;FDR[[#Headers],[16]],FDR[16],"",0,1)</f>
        <v>2</v>
      </c>
      <c r="AC569" cm="1">
        <f t="array" ref="AC569">_xlfn.XLOOKUP(Matrix[[#This Row],[TEAM]]&amp;Matrix[[#Headers],[17]],FDR[FDR]&amp;FDR[[#Headers],[17]],FDR[17],"",0,1)</f>
        <v>3</v>
      </c>
      <c r="AD569" cm="1">
        <f t="array" ref="AD569">_xlfn.XLOOKUP(Matrix[[#This Row],[TEAM]]&amp;Matrix[[#Headers],[18]],FDR[FDR]&amp;FDR[[#Headers],[18]],FDR[18],"",0,1)</f>
        <v>4</v>
      </c>
      <c r="AE569" cm="1">
        <f t="array" ref="AE569">_xlfn.XLOOKUP(Matrix[[#This Row],[TEAM]]&amp;Matrix[[#Headers],[19]],FDR[FDR]&amp;FDR[[#Headers],[19]],FDR[19],"",0,1)</f>
        <v>4</v>
      </c>
      <c r="AF569" cm="1">
        <f t="array" ref="AF569">_xlfn.XLOOKUP(Matrix[[#This Row],[TEAM]]&amp;Matrix[[#Headers],[20]],FDR[FDR]&amp;FDR[[#Headers],[20]],FDR[20],"",0,1)</f>
        <v>2</v>
      </c>
      <c r="AG569" cm="1">
        <f t="array" ref="AG569">_xlfn.XLOOKUP(Matrix[[#This Row],[TEAM]]&amp;Matrix[[#Headers],[21]],FDR[FDR]&amp;FDR[[#Headers],[21]],FDR[21],"",0,1)</f>
        <v>2</v>
      </c>
      <c r="AH569" cm="1">
        <f t="array" ref="AH569">_xlfn.XLOOKUP(Matrix[[#This Row],[TEAM]]&amp;Matrix[[#Headers],[22]],FDR[FDR]&amp;FDR[[#Headers],[22]],FDR[22],"",0,1)</f>
        <v>1</v>
      </c>
      <c r="AI569" cm="1">
        <f t="array" ref="AI569">_xlfn.XLOOKUP(Matrix[[#This Row],[TEAM]]&amp;Matrix[[#Headers],[23]],FDR[FDR]&amp;FDR[[#Headers],[23]],FDR[23],"",0,1)</f>
        <v>4</v>
      </c>
      <c r="AJ569" cm="1">
        <f t="array" ref="AJ569">_xlfn.XLOOKUP(Matrix[[#This Row],[TEAM]]&amp;Matrix[[#Headers],[24]],FDR[FDR]&amp;FDR[[#Headers],[24]],FDR[24],"",0,1)</f>
        <v>1</v>
      </c>
      <c r="AK569" cm="1">
        <f t="array" ref="AK569">_xlfn.XLOOKUP(Matrix[[#This Row],[TEAM]]&amp;Matrix[[#Headers],[25]],FDR[FDR]&amp;FDR[[#Headers],[25]],FDR[25],"",0,1)</f>
        <v>3</v>
      </c>
      <c r="AL569" cm="1">
        <f t="array" ref="AL569">_xlfn.XLOOKUP(Matrix[[#This Row],[TEAM]]&amp;Matrix[[#Headers],[26]],FDR[FDR]&amp;FDR[[#Headers],[26]],FDR[26],"",0,1)</f>
        <v>2</v>
      </c>
      <c r="AM569" cm="1">
        <f t="array" ref="AM569">_xlfn.XLOOKUP(Matrix[[#This Row],[TEAM]]&amp;Matrix[[#Headers],[27]],FDR[FDR]&amp;FDR[[#Headers],[27]],FDR[27],"",0,1)</f>
        <v>1</v>
      </c>
      <c r="AN569" cm="1">
        <f t="array" ref="AN569">_xlfn.XLOOKUP(Matrix[[#This Row],[TEAM]]&amp;Matrix[[#Headers],[28]],FDR[FDR]&amp;FDR[[#Headers],[28]],FDR[28],"",0,1)</f>
        <v>1</v>
      </c>
      <c r="AO569" cm="1">
        <f t="array" ref="AO569">_xlfn.XLOOKUP(Matrix[[#This Row],[TEAM]]&amp;Matrix[[#Headers],[29]],FDR[FDR]&amp;FDR[[#Headers],[29]],FDR[29],"",0,1)</f>
        <v>3</v>
      </c>
      <c r="AP569" cm="1">
        <f t="array" ref="AP569">_xlfn.XLOOKUP(Matrix[[#This Row],[TEAM]]&amp;Matrix[[#Headers],[30]],FDR[FDR]&amp;FDR[[#Headers],[30]],FDR[30],"",0,1)</f>
        <v>4</v>
      </c>
      <c r="AQ569" cm="1">
        <f t="array" ref="AQ569">_xlfn.XLOOKUP(Matrix[[#This Row],[TEAM]]&amp;Matrix[[#Headers],[31]],FDR[FDR]&amp;FDR[[#Headers],[31]],FDR[31],"",0,1)</f>
        <v>1</v>
      </c>
      <c r="AR569" cm="1">
        <f t="array" ref="AR569">_xlfn.XLOOKUP(Matrix[[#This Row],[TEAM]]&amp;Matrix[[#Headers],[32]],FDR[FDR]&amp;FDR[[#Headers],[32]],FDR[32],"",0,1)</f>
        <v>3</v>
      </c>
      <c r="AS569" cm="1">
        <f t="array" ref="AS569">_xlfn.XLOOKUP(Matrix[[#This Row],[TEAM]]&amp;Matrix[[#Headers],[33]],FDR[FDR]&amp;FDR[[#Headers],[33]],FDR[33],"",0,1)</f>
        <v>1</v>
      </c>
      <c r="AT569" cm="1">
        <f t="array" ref="AT569">_xlfn.XLOOKUP(Matrix[[#This Row],[TEAM]]&amp;Matrix[[#Headers],[34]],FDR[FDR]&amp;FDR[[#Headers],[34]],FDR[34],"",0,1)</f>
        <v>3</v>
      </c>
      <c r="AU569" cm="1">
        <f t="array" ref="AU569">_xlfn.XLOOKUP(Matrix[[#This Row],[TEAM]]&amp;Matrix[[#Headers],[35]],FDR[FDR]&amp;FDR[[#Headers],[35]],FDR[35],"",0,1)</f>
        <v>3</v>
      </c>
      <c r="AV569" cm="1">
        <f t="array" ref="AV569">_xlfn.XLOOKUP(Matrix[[#This Row],[TEAM]]&amp;Matrix[[#Headers],[36]],FDR[FDR]&amp;FDR[[#Headers],[36]],FDR[36],"",0,1)</f>
        <v>1</v>
      </c>
      <c r="AW569" cm="1">
        <f t="array" ref="AW569">_xlfn.XLOOKUP(Matrix[[#This Row],[TEAM]]&amp;Matrix[[#Headers],[37]],FDR[FDR]&amp;FDR[[#Headers],[37]],FDR[37],"",0,1)</f>
        <v>3</v>
      </c>
      <c r="AX569" cm="1">
        <f t="array" ref="AX569">_xlfn.XLOOKUP(Matrix[[#This Row],[TEAM]]&amp;Matrix[[#Headers],[38]],FDR[FDR]&amp;FDR[[#Headers],[38]],FDR[38],"",0,1)</f>
        <v>4</v>
      </c>
    </row>
    <row r="570" spans="1:50" ht="22" thickTop="1" thickBot="1">
      <c r="A570" s="51" t="s">
        <v>657</v>
      </c>
      <c r="B570" s="70" t="s">
        <v>1488</v>
      </c>
      <c r="C570" s="40" t="s">
        <v>24</v>
      </c>
      <c r="D570" s="62">
        <v>121</v>
      </c>
      <c r="E570" s="60">
        <v>2.8000000000000001E-2</v>
      </c>
      <c r="F570" s="61">
        <v>115.2</v>
      </c>
      <c r="G570" s="63">
        <v>5</v>
      </c>
      <c r="H570" s="261">
        <f>IF(ISBLANK(I570),0,1)</f>
        <v>1</v>
      </c>
      <c r="I570" s="57" t="s">
        <v>1050</v>
      </c>
      <c r="J570" s="58" t="s">
        <v>1981</v>
      </c>
      <c r="K570" s="65" t="s">
        <v>471</v>
      </c>
      <c r="L570" s="65" t="s">
        <v>132</v>
      </c>
      <c r="M570" cm="1">
        <f t="array" ref="M570">_xlfn.XLOOKUP(Matrix[[#This Row],[TEAM]]&amp;Matrix[[#Headers],[1]],FDR[FDR]&amp;FDR[[#Headers],[1]],FDR[1],"",0,1)</f>
        <v>2</v>
      </c>
      <c r="N570" cm="1">
        <f t="array" ref="N570">_xlfn.XLOOKUP(Matrix[[#This Row],[TEAM]]&amp;Matrix[[#Headers],[2]],FDR[FDR]&amp;FDR[[#Headers],[2]],FDR[2],"",0,1)</f>
        <v>3</v>
      </c>
      <c r="O570" cm="1">
        <f t="array" ref="O570">_xlfn.XLOOKUP(Matrix[[#This Row],[TEAM]]&amp;Matrix[[#Headers],[3]],FDR[FDR]&amp;FDR[[#Headers],[3]],FDR[3],"",0,1)</f>
        <v>2</v>
      </c>
      <c r="P570" cm="1">
        <f t="array" ref="P570">_xlfn.XLOOKUP(Matrix[[#This Row],[TEAM]]&amp;Matrix[[#Headers],[4]],FDR[FDR]&amp;FDR[[#Headers],[4]],FDR[4],"",0,1)</f>
        <v>4</v>
      </c>
      <c r="Q570" cm="1">
        <f t="array" ref="Q570">_xlfn.XLOOKUP(Matrix[[#This Row],[TEAM]]&amp;Matrix[[#Headers],[5]],FDR[FDR]&amp;FDR[[#Headers],[5]],FDR[5],"",0,1)</f>
        <v>5</v>
      </c>
      <c r="R570" cm="1">
        <f t="array" ref="R570">_xlfn.XLOOKUP(Matrix[[#This Row],[TEAM]]&amp;Matrix[[#Headers],[6]],FDR[FDR]&amp;FDR[[#Headers],[6]],FDR[6],"",0,1)</f>
        <v>3</v>
      </c>
      <c r="S570" cm="1">
        <f t="array" ref="S570">_xlfn.XLOOKUP(Matrix[[#This Row],[TEAM]]&amp;Matrix[[#Headers],[7]],FDR[FDR]&amp;FDR[[#Headers],[7]],FDR[7],"",0,1)</f>
        <v>3</v>
      </c>
      <c r="T570" cm="1">
        <f t="array" ref="T570">_xlfn.XLOOKUP(Matrix[[#This Row],[TEAM]]&amp;Matrix[[#Headers],[8]],FDR[FDR]&amp;FDR[[#Headers],[8]],FDR[8],"",0,1)</f>
        <v>5</v>
      </c>
      <c r="U570" cm="1">
        <f t="array" ref="U570">_xlfn.XLOOKUP(Matrix[[#This Row],[TEAM]]&amp;Matrix[[#Headers],[9]],FDR[FDR]&amp;FDR[[#Headers],[9]],FDR[9],"",0,1)</f>
        <v>4</v>
      </c>
      <c r="V570" cm="1">
        <f t="array" ref="V570">_xlfn.XLOOKUP(Matrix[[#This Row],[TEAM]]&amp;Matrix[[#Headers],[10]],FDR[FDR]&amp;FDR[[#Headers],[10]],FDR[10],"",0,1)</f>
        <v>2</v>
      </c>
      <c r="W570" cm="1">
        <f t="array" ref="W570">_xlfn.XLOOKUP(Matrix[[#This Row],[TEAM]]&amp;Matrix[[#Headers],[11]],FDR[FDR]&amp;FDR[[#Headers],[11]],FDR[11],"",0,1)</f>
        <v>3</v>
      </c>
      <c r="X570" cm="1">
        <f t="array" ref="X570">_xlfn.XLOOKUP(Matrix[[#This Row],[TEAM]]&amp;Matrix[[#Headers],[12]],FDR[FDR]&amp;FDR[[#Headers],[12]],FDR[12],"",0,1)</f>
        <v>5</v>
      </c>
      <c r="Y570" cm="1">
        <f t="array" ref="Y570">_xlfn.XLOOKUP(Matrix[[#This Row],[TEAM]]&amp;Matrix[[#Headers],[13]],FDR[FDR]&amp;FDR[[#Headers],[13]],FDR[13],"",0,1)</f>
        <v>4</v>
      </c>
      <c r="Z570" cm="1">
        <f t="array" ref="Z570">_xlfn.XLOOKUP(Matrix[[#This Row],[TEAM]]&amp;Matrix[[#Headers],[14]],FDR[FDR]&amp;FDR[[#Headers],[14]],FDR[14],"",0,1)</f>
        <v>4</v>
      </c>
      <c r="AA570" cm="1">
        <f t="array" ref="AA570">_xlfn.XLOOKUP(Matrix[[#This Row],[TEAM]]&amp;Matrix[[#Headers],[15]],FDR[FDR]&amp;FDR[[#Headers],[15]],FDR[15],"",0,1)</f>
        <v>3</v>
      </c>
      <c r="AB570" cm="1">
        <f t="array" ref="AB570">_xlfn.XLOOKUP(Matrix[[#This Row],[TEAM]]&amp;Matrix[[#Headers],[16]],FDR[FDR]&amp;FDR[[#Headers],[16]],FDR[16],"",0,1)</f>
        <v>5</v>
      </c>
      <c r="AC570" cm="1">
        <f t="array" ref="AC570">_xlfn.XLOOKUP(Matrix[[#This Row],[TEAM]]&amp;Matrix[[#Headers],[17]],FDR[FDR]&amp;FDR[[#Headers],[17]],FDR[17],"",0,1)</f>
        <v>4</v>
      </c>
      <c r="AD570" cm="1">
        <f t="array" ref="AD570">_xlfn.XLOOKUP(Matrix[[#This Row],[TEAM]]&amp;Matrix[[#Headers],[18]],FDR[FDR]&amp;FDR[[#Headers],[18]],FDR[18],"",0,1)</f>
        <v>2</v>
      </c>
      <c r="AE570" cm="1">
        <f t="array" ref="AE570">_xlfn.XLOOKUP(Matrix[[#This Row],[TEAM]]&amp;Matrix[[#Headers],[19]],FDR[FDR]&amp;FDR[[#Headers],[19]],FDR[19],"",0,1)</f>
        <v>4</v>
      </c>
      <c r="AF570" cm="1">
        <f t="array" ref="AF570">_xlfn.XLOOKUP(Matrix[[#This Row],[TEAM]]&amp;Matrix[[#Headers],[20]],FDR[FDR]&amp;FDR[[#Headers],[20]],FDR[20],"",0,1)</f>
        <v>3</v>
      </c>
      <c r="AG570" cm="1">
        <f t="array" ref="AG570">_xlfn.XLOOKUP(Matrix[[#This Row],[TEAM]]&amp;Matrix[[#Headers],[21]],FDR[FDR]&amp;FDR[[#Headers],[21]],FDR[21],"",0,1)</f>
        <v>2</v>
      </c>
      <c r="AH570" cm="1">
        <f t="array" ref="AH570">_xlfn.XLOOKUP(Matrix[[#This Row],[TEAM]]&amp;Matrix[[#Headers],[22]],FDR[FDR]&amp;FDR[[#Headers],[22]],FDR[22],"",0,1)</f>
        <v>5</v>
      </c>
      <c r="AI570" cm="1">
        <f t="array" ref="AI570">_xlfn.XLOOKUP(Matrix[[#This Row],[TEAM]]&amp;Matrix[[#Headers],[23]],FDR[FDR]&amp;FDR[[#Headers],[23]],FDR[23],"",0,1)</f>
        <v>1</v>
      </c>
      <c r="AJ570" cm="1">
        <f t="array" ref="AJ570">_xlfn.XLOOKUP(Matrix[[#This Row],[TEAM]]&amp;Matrix[[#Headers],[24]],FDR[FDR]&amp;FDR[[#Headers],[24]],FDR[24],"",0,1)</f>
        <v>4</v>
      </c>
      <c r="AK570" cm="1">
        <f t="array" ref="AK570">_xlfn.XLOOKUP(Matrix[[#This Row],[TEAM]]&amp;Matrix[[#Headers],[25]],FDR[FDR]&amp;FDR[[#Headers],[25]],FDR[25],"",0,1)</f>
        <v>4</v>
      </c>
      <c r="AL570" cm="1">
        <f t="array" ref="AL570">_xlfn.XLOOKUP(Matrix[[#This Row],[TEAM]]&amp;Matrix[[#Headers],[26]],FDR[FDR]&amp;FDR[[#Headers],[26]],FDR[26],"",0,1)</f>
        <v>3</v>
      </c>
      <c r="AM570" cm="1">
        <f t="array" ref="AM570">_xlfn.XLOOKUP(Matrix[[#This Row],[TEAM]]&amp;Matrix[[#Headers],[27]],FDR[FDR]&amp;FDR[[#Headers],[27]],FDR[27],"",0,1)</f>
        <v>4</v>
      </c>
      <c r="AN570" cm="1">
        <f t="array" ref="AN570">_xlfn.XLOOKUP(Matrix[[#This Row],[TEAM]]&amp;Matrix[[#Headers],[28]],FDR[FDR]&amp;FDR[[#Headers],[28]],FDR[28],"",0,1)</f>
        <v>5</v>
      </c>
      <c r="AO570" cm="1">
        <f t="array" ref="AO570">_xlfn.XLOOKUP(Matrix[[#This Row],[TEAM]]&amp;Matrix[[#Headers],[29]],FDR[FDR]&amp;FDR[[#Headers],[29]],FDR[29],"",0,1)</f>
        <v>1</v>
      </c>
      <c r="AP570" cm="1">
        <f t="array" ref="AP570">_xlfn.XLOOKUP(Matrix[[#This Row],[TEAM]]&amp;Matrix[[#Headers],[30]],FDR[FDR]&amp;FDR[[#Headers],[30]],FDR[30],"",0,1)</f>
        <v>5</v>
      </c>
      <c r="AQ570" cm="1">
        <f t="array" ref="AQ570">_xlfn.XLOOKUP(Matrix[[#This Row],[TEAM]]&amp;Matrix[[#Headers],[31]],FDR[FDR]&amp;FDR[[#Headers],[31]],FDR[31],"",0,1)</f>
        <v>4</v>
      </c>
      <c r="AR570" cm="1">
        <f t="array" ref="AR570">_xlfn.XLOOKUP(Matrix[[#This Row],[TEAM]]&amp;Matrix[[#Headers],[32]],FDR[FDR]&amp;FDR[[#Headers],[32]],FDR[32],"",0,1)</f>
        <v>4</v>
      </c>
      <c r="AS570" cm="1">
        <f t="array" ref="AS570">_xlfn.XLOOKUP(Matrix[[#This Row],[TEAM]]&amp;Matrix[[#Headers],[33]],FDR[FDR]&amp;FDR[[#Headers],[33]],FDR[33],"",0,1)</f>
        <v>4</v>
      </c>
      <c r="AT570" cm="1">
        <f t="array" ref="AT570">_xlfn.XLOOKUP(Matrix[[#This Row],[TEAM]]&amp;Matrix[[#Headers],[34]],FDR[FDR]&amp;FDR[[#Headers],[34]],FDR[34],"",0,1)</f>
        <v>4</v>
      </c>
      <c r="AU570" cm="1">
        <f t="array" ref="AU570">_xlfn.XLOOKUP(Matrix[[#This Row],[TEAM]]&amp;Matrix[[#Headers],[35]],FDR[FDR]&amp;FDR[[#Headers],[35]],FDR[35],"",0,1)</f>
        <v>4</v>
      </c>
      <c r="AV570" cm="1">
        <f t="array" ref="AV570">_xlfn.XLOOKUP(Matrix[[#This Row],[TEAM]]&amp;Matrix[[#Headers],[36]],FDR[FDR]&amp;FDR[[#Headers],[36]],FDR[36],"",0,1)</f>
        <v>4</v>
      </c>
      <c r="AW570" cm="1">
        <f t="array" ref="AW570">_xlfn.XLOOKUP(Matrix[[#This Row],[TEAM]]&amp;Matrix[[#Headers],[37]],FDR[FDR]&amp;FDR[[#Headers],[37]],FDR[37],"",0,1)</f>
        <v>1</v>
      </c>
      <c r="AX570" cm="1">
        <f t="array" ref="AX570">_xlfn.XLOOKUP(Matrix[[#This Row],[TEAM]]&amp;Matrix[[#Headers],[38]],FDR[FDR]&amp;FDR[[#Headers],[38]],FDR[38],"",0,1)</f>
        <v>5</v>
      </c>
    </row>
    <row r="571" spans="1:50" ht="22" thickTop="1" thickBot="1">
      <c r="A571" s="51" t="s">
        <v>657</v>
      </c>
      <c r="B571" s="70" t="s">
        <v>1484</v>
      </c>
      <c r="C571" s="40" t="s">
        <v>23</v>
      </c>
      <c r="D571" s="62">
        <v>106</v>
      </c>
      <c r="E571" s="60">
        <v>3.6999999999999998E-2</v>
      </c>
      <c r="F571" s="61">
        <v>185.5</v>
      </c>
      <c r="G571" s="63">
        <v>5</v>
      </c>
      <c r="H571" s="261">
        <f>IF(ISBLANK(I571),0,1)</f>
        <v>1</v>
      </c>
      <c r="I571" s="57" t="s">
        <v>994</v>
      </c>
      <c r="J571" s="58">
        <v>0.75</v>
      </c>
      <c r="K571" s="65" t="s">
        <v>440</v>
      </c>
      <c r="L571" s="65" t="s">
        <v>128</v>
      </c>
      <c r="M571" cm="1">
        <f t="array" ref="M571">_xlfn.XLOOKUP(Matrix[[#This Row],[TEAM]]&amp;Matrix[[#Headers],[1]],FDR[FDR]&amp;FDR[[#Headers],[1]],FDR[1],"",0,1)</f>
        <v>4</v>
      </c>
      <c r="N571" cm="1">
        <f t="array" ref="N571">_xlfn.XLOOKUP(Matrix[[#This Row],[TEAM]]&amp;Matrix[[#Headers],[2]],FDR[FDR]&amp;FDR[[#Headers],[2]],FDR[2],"",0,1)</f>
        <v>4</v>
      </c>
      <c r="O571" cm="1">
        <f t="array" ref="O571">_xlfn.XLOOKUP(Matrix[[#This Row],[TEAM]]&amp;Matrix[[#Headers],[3]],FDR[FDR]&amp;FDR[[#Headers],[3]],FDR[3],"",0,1)</f>
        <v>5</v>
      </c>
      <c r="P571" cm="1">
        <f t="array" ref="P571">_xlfn.XLOOKUP(Matrix[[#This Row],[TEAM]]&amp;Matrix[[#Headers],[4]],FDR[FDR]&amp;FDR[[#Headers],[4]],FDR[4],"",0,1)</f>
        <v>1</v>
      </c>
      <c r="Q571" cm="1">
        <f t="array" ref="Q571">_xlfn.XLOOKUP(Matrix[[#This Row],[TEAM]]&amp;Matrix[[#Headers],[5]],FDR[FDR]&amp;FDR[[#Headers],[5]],FDR[5],"",0,1)</f>
        <v>2</v>
      </c>
      <c r="R571" cm="1">
        <f t="array" ref="R571">_xlfn.XLOOKUP(Matrix[[#This Row],[TEAM]]&amp;Matrix[[#Headers],[6]],FDR[FDR]&amp;FDR[[#Headers],[6]],FDR[6],"",0,1)</f>
        <v>5</v>
      </c>
      <c r="S571" cm="1">
        <f t="array" ref="S571">_xlfn.XLOOKUP(Matrix[[#This Row],[TEAM]]&amp;Matrix[[#Headers],[7]],FDR[FDR]&amp;FDR[[#Headers],[7]],FDR[7],"",0,1)</f>
        <v>4</v>
      </c>
      <c r="T571" cm="1">
        <f t="array" ref="T571">_xlfn.XLOOKUP(Matrix[[#This Row],[TEAM]]&amp;Matrix[[#Headers],[8]],FDR[FDR]&amp;FDR[[#Headers],[8]],FDR[8],"",0,1)</f>
        <v>4</v>
      </c>
      <c r="U571" cm="1">
        <f t="array" ref="U571">_xlfn.XLOOKUP(Matrix[[#This Row],[TEAM]]&amp;Matrix[[#Headers],[9]],FDR[FDR]&amp;FDR[[#Headers],[9]],FDR[9],"",0,1)</f>
        <v>5</v>
      </c>
      <c r="V571" cm="1">
        <f t="array" ref="V571">_xlfn.XLOOKUP(Matrix[[#This Row],[TEAM]]&amp;Matrix[[#Headers],[10]],FDR[FDR]&amp;FDR[[#Headers],[10]],FDR[10],"",0,1)</f>
        <v>1</v>
      </c>
      <c r="W571" cm="1">
        <f t="array" ref="W571">_xlfn.XLOOKUP(Matrix[[#This Row],[TEAM]]&amp;Matrix[[#Headers],[11]],FDR[FDR]&amp;FDR[[#Headers],[11]],FDR[11],"",0,1)</f>
        <v>3</v>
      </c>
      <c r="X571" cm="1">
        <f t="array" ref="X571">_xlfn.XLOOKUP(Matrix[[#This Row],[TEAM]]&amp;Matrix[[#Headers],[12]],FDR[FDR]&amp;FDR[[#Headers],[12]],FDR[12],"",0,1)</f>
        <v>1</v>
      </c>
      <c r="Y571" cm="1">
        <f t="array" ref="Y571">_xlfn.XLOOKUP(Matrix[[#This Row],[TEAM]]&amp;Matrix[[#Headers],[13]],FDR[FDR]&amp;FDR[[#Headers],[13]],FDR[13],"",0,1)</f>
        <v>5</v>
      </c>
      <c r="Z571" cm="1">
        <f t="array" ref="Z571">_xlfn.XLOOKUP(Matrix[[#This Row],[TEAM]]&amp;Matrix[[#Headers],[14]],FDR[FDR]&amp;FDR[[#Headers],[14]],FDR[14],"",0,1)</f>
        <v>4</v>
      </c>
      <c r="AA571" cm="1">
        <f t="array" ref="AA571">_xlfn.XLOOKUP(Matrix[[#This Row],[TEAM]]&amp;Matrix[[#Headers],[15]],FDR[FDR]&amp;FDR[[#Headers],[15]],FDR[15],"",0,1)</f>
        <v>2</v>
      </c>
      <c r="AB571" cm="1">
        <f t="array" ref="AB571">_xlfn.XLOOKUP(Matrix[[#This Row],[TEAM]]&amp;Matrix[[#Headers],[16]],FDR[FDR]&amp;FDR[[#Headers],[16]],FDR[16],"",0,1)</f>
        <v>2</v>
      </c>
      <c r="AC571" cm="1">
        <f t="array" ref="AC571">_xlfn.XLOOKUP(Matrix[[#This Row],[TEAM]]&amp;Matrix[[#Headers],[17]],FDR[FDR]&amp;FDR[[#Headers],[17]],FDR[17],"",0,1)</f>
        <v>3</v>
      </c>
      <c r="AD571" cm="1">
        <f t="array" ref="AD571">_xlfn.XLOOKUP(Matrix[[#This Row],[TEAM]]&amp;Matrix[[#Headers],[18]],FDR[FDR]&amp;FDR[[#Headers],[18]],FDR[18],"",0,1)</f>
        <v>3</v>
      </c>
      <c r="AE571" cm="1">
        <f t="array" ref="AE571">_xlfn.XLOOKUP(Matrix[[#This Row],[TEAM]]&amp;Matrix[[#Headers],[19]],FDR[FDR]&amp;FDR[[#Headers],[19]],FDR[19],"",0,1)</f>
        <v>3</v>
      </c>
      <c r="AF571" cm="1">
        <f t="array" ref="AF571">_xlfn.XLOOKUP(Matrix[[#This Row],[TEAM]]&amp;Matrix[[#Headers],[20]],FDR[FDR]&amp;FDR[[#Headers],[20]],FDR[20],"",0,1)</f>
        <v>4</v>
      </c>
      <c r="AG571" cm="1">
        <f t="array" ref="AG571">_xlfn.XLOOKUP(Matrix[[#This Row],[TEAM]]&amp;Matrix[[#Headers],[21]],FDR[FDR]&amp;FDR[[#Headers],[21]],FDR[21],"",0,1)</f>
        <v>4</v>
      </c>
      <c r="AH571" cm="1">
        <f t="array" ref="AH571">_xlfn.XLOOKUP(Matrix[[#This Row],[TEAM]]&amp;Matrix[[#Headers],[22]],FDR[FDR]&amp;FDR[[#Headers],[22]],FDR[22],"",0,1)</f>
        <v>2</v>
      </c>
      <c r="AI571" cm="1">
        <f t="array" ref="AI571">_xlfn.XLOOKUP(Matrix[[#This Row],[TEAM]]&amp;Matrix[[#Headers],[23]],FDR[FDR]&amp;FDR[[#Headers],[23]],FDR[23],"",0,1)</f>
        <v>3</v>
      </c>
      <c r="AJ571" cm="1">
        <f t="array" ref="AJ571">_xlfn.XLOOKUP(Matrix[[#This Row],[TEAM]]&amp;Matrix[[#Headers],[24]],FDR[FDR]&amp;FDR[[#Headers],[24]],FDR[24],"",0,1)</f>
        <v>5</v>
      </c>
      <c r="AK571" cm="1">
        <f t="array" ref="AK571">_xlfn.XLOOKUP(Matrix[[#This Row],[TEAM]]&amp;Matrix[[#Headers],[25]],FDR[FDR]&amp;FDR[[#Headers],[25]],FDR[25],"",0,1)</f>
        <v>2</v>
      </c>
      <c r="AL571" cm="1">
        <f t="array" ref="AL571">_xlfn.XLOOKUP(Matrix[[#This Row],[TEAM]]&amp;Matrix[[#Headers],[26]],FDR[FDR]&amp;FDR[[#Headers],[26]],FDR[26],"",0,1)</f>
        <v>5</v>
      </c>
      <c r="AM571" cm="1">
        <f t="array" ref="AM571">_xlfn.XLOOKUP(Matrix[[#This Row],[TEAM]]&amp;Matrix[[#Headers],[27]],FDR[FDR]&amp;FDR[[#Headers],[27]],FDR[27],"",0,1)</f>
        <v>2</v>
      </c>
      <c r="AN571" cm="1">
        <f t="array" ref="AN571">_xlfn.XLOOKUP(Matrix[[#This Row],[TEAM]]&amp;Matrix[[#Headers],[28]],FDR[FDR]&amp;FDR[[#Headers],[28]],FDR[28],"",0,1)</f>
        <v>4</v>
      </c>
      <c r="AO571" cm="1">
        <f t="array" ref="AO571">_xlfn.XLOOKUP(Matrix[[#This Row],[TEAM]]&amp;Matrix[[#Headers],[29]],FDR[FDR]&amp;FDR[[#Headers],[29]],FDR[29],"",0,1)</f>
        <v>2</v>
      </c>
      <c r="AP571" cm="1">
        <f t="array" ref="AP571">_xlfn.XLOOKUP(Matrix[[#This Row],[TEAM]]&amp;Matrix[[#Headers],[30]],FDR[FDR]&amp;FDR[[#Headers],[30]],FDR[30],"",0,1)</f>
        <v>4</v>
      </c>
      <c r="AQ571" cm="1">
        <f t="array" ref="AQ571">_xlfn.XLOOKUP(Matrix[[#This Row],[TEAM]]&amp;Matrix[[#Headers],[31]],FDR[FDR]&amp;FDR[[#Headers],[31]],FDR[31],"",0,1)</f>
        <v>1</v>
      </c>
      <c r="AR571" cm="1">
        <f t="array" ref="AR571">_xlfn.XLOOKUP(Matrix[[#This Row],[TEAM]]&amp;Matrix[[#Headers],[32]],FDR[FDR]&amp;FDR[[#Headers],[32]],FDR[32],"",0,1)</f>
        <v>5</v>
      </c>
      <c r="AS571" cm="1">
        <f t="array" ref="AS571">_xlfn.XLOOKUP(Matrix[[#This Row],[TEAM]]&amp;Matrix[[#Headers],[33]],FDR[FDR]&amp;FDR[[#Headers],[33]],FDR[33],"",0,1)</f>
        <v>3</v>
      </c>
      <c r="AT571" cm="1">
        <f t="array" ref="AT571">_xlfn.XLOOKUP(Matrix[[#This Row],[TEAM]]&amp;Matrix[[#Headers],[34]],FDR[FDR]&amp;FDR[[#Headers],[34]],FDR[34],"",0,1)</f>
        <v>3</v>
      </c>
      <c r="AU571" cm="1">
        <f t="array" ref="AU571">_xlfn.XLOOKUP(Matrix[[#This Row],[TEAM]]&amp;Matrix[[#Headers],[35]],FDR[FDR]&amp;FDR[[#Headers],[35]],FDR[35],"",0,1)</f>
        <v>5</v>
      </c>
      <c r="AV571" cm="1">
        <f t="array" ref="AV571">_xlfn.XLOOKUP(Matrix[[#This Row],[TEAM]]&amp;Matrix[[#Headers],[36]],FDR[FDR]&amp;FDR[[#Headers],[36]],FDR[36],"",0,1)</f>
        <v>3</v>
      </c>
      <c r="AW571" cm="1">
        <f t="array" ref="AW571">_xlfn.XLOOKUP(Matrix[[#This Row],[TEAM]]&amp;Matrix[[#Headers],[37]],FDR[FDR]&amp;FDR[[#Headers],[37]],FDR[37],"",0,1)</f>
        <v>2</v>
      </c>
      <c r="AX571" cm="1">
        <f t="array" ref="AX571">_xlfn.XLOOKUP(Matrix[[#This Row],[TEAM]]&amp;Matrix[[#Headers],[38]],FDR[FDR]&amp;FDR[[#Headers],[38]],FDR[38],"",0,1)</f>
        <v>4</v>
      </c>
    </row>
    <row r="572" spans="1:50" ht="22" thickTop="1" thickBot="1">
      <c r="A572" s="51" t="s">
        <v>657</v>
      </c>
      <c r="B572" s="70" t="s">
        <v>1520</v>
      </c>
      <c r="C572" s="40" t="s">
        <v>17</v>
      </c>
      <c r="D572" s="62">
        <v>41</v>
      </c>
      <c r="E572" s="60">
        <v>4.0000000000000001E-3</v>
      </c>
      <c r="F572" s="61">
        <v>42.8</v>
      </c>
      <c r="G572" s="63">
        <v>5</v>
      </c>
      <c r="H572" s="261">
        <f>IF(ISBLANK(I572),0,1)</f>
        <v>1</v>
      </c>
      <c r="I572" s="57" t="s">
        <v>994</v>
      </c>
      <c r="J572" s="58">
        <v>0.5</v>
      </c>
      <c r="K572" s="65" t="s">
        <v>476</v>
      </c>
      <c r="L572" s="65" t="s">
        <v>866</v>
      </c>
      <c r="M572" cm="1">
        <f t="array" ref="M572">_xlfn.XLOOKUP(Matrix[[#This Row],[TEAM]]&amp;Matrix[[#Headers],[1]],FDR[FDR]&amp;FDR[[#Headers],[1]],FDR[1],"",0,1)</f>
        <v>1</v>
      </c>
      <c r="N572" cm="1">
        <f t="array" ref="N572">_xlfn.XLOOKUP(Matrix[[#This Row],[TEAM]]&amp;Matrix[[#Headers],[2]],FDR[FDR]&amp;FDR[[#Headers],[2]],FDR[2],"",0,1)</f>
        <v>3</v>
      </c>
      <c r="O572" cm="1">
        <f t="array" ref="O572">_xlfn.XLOOKUP(Matrix[[#This Row],[TEAM]]&amp;Matrix[[#Headers],[3]],FDR[FDR]&amp;FDR[[#Headers],[3]],FDR[3],"",0,1)</f>
        <v>3</v>
      </c>
      <c r="P572" cm="1">
        <f t="array" ref="P572">_xlfn.XLOOKUP(Matrix[[#This Row],[TEAM]]&amp;Matrix[[#Headers],[4]],FDR[FDR]&amp;FDR[[#Headers],[4]],FDR[4],"",0,1)</f>
        <v>1</v>
      </c>
      <c r="Q572" cm="1">
        <f t="array" ref="Q572">_xlfn.XLOOKUP(Matrix[[#This Row],[TEAM]]&amp;Matrix[[#Headers],[5]],FDR[FDR]&amp;FDR[[#Headers],[5]],FDR[5],"",0,1)</f>
        <v>1</v>
      </c>
      <c r="R572" cm="1">
        <f t="array" ref="R572">_xlfn.XLOOKUP(Matrix[[#This Row],[TEAM]]&amp;Matrix[[#Headers],[6]],FDR[FDR]&amp;FDR[[#Headers],[6]],FDR[6],"",0,1)</f>
        <v>2</v>
      </c>
      <c r="S572" cm="1">
        <f t="array" ref="S572">_xlfn.XLOOKUP(Matrix[[#This Row],[TEAM]]&amp;Matrix[[#Headers],[7]],FDR[FDR]&amp;FDR[[#Headers],[7]],FDR[7],"",0,1)</f>
        <v>3</v>
      </c>
      <c r="T572" cm="1">
        <f t="array" ref="T572">_xlfn.XLOOKUP(Matrix[[#This Row],[TEAM]]&amp;Matrix[[#Headers],[8]],FDR[FDR]&amp;FDR[[#Headers],[8]],FDR[8],"",0,1)</f>
        <v>2</v>
      </c>
      <c r="U572" cm="1">
        <f t="array" ref="U572">_xlfn.XLOOKUP(Matrix[[#This Row],[TEAM]]&amp;Matrix[[#Headers],[9]],FDR[FDR]&amp;FDR[[#Headers],[9]],FDR[9],"",0,1)</f>
        <v>2</v>
      </c>
      <c r="V572" cm="1">
        <f t="array" ref="V572">_xlfn.XLOOKUP(Matrix[[#This Row],[TEAM]]&amp;Matrix[[#Headers],[10]],FDR[FDR]&amp;FDR[[#Headers],[10]],FDR[10],"",0,1)</f>
        <v>2</v>
      </c>
      <c r="W572" cm="1">
        <f t="array" ref="W572">_xlfn.XLOOKUP(Matrix[[#This Row],[TEAM]]&amp;Matrix[[#Headers],[11]],FDR[FDR]&amp;FDR[[#Headers],[11]],FDR[11],"",0,1)</f>
        <v>3</v>
      </c>
      <c r="X572" cm="1">
        <f t="array" ref="X572">_xlfn.XLOOKUP(Matrix[[#This Row],[TEAM]]&amp;Matrix[[#Headers],[12]],FDR[FDR]&amp;FDR[[#Headers],[12]],FDR[12],"",0,1)</f>
        <v>1</v>
      </c>
      <c r="Y572" cm="1">
        <f t="array" ref="Y572">_xlfn.XLOOKUP(Matrix[[#This Row],[TEAM]]&amp;Matrix[[#Headers],[13]],FDR[FDR]&amp;FDR[[#Headers],[13]],FDR[13],"",0,1)</f>
        <v>2</v>
      </c>
      <c r="Z572" cm="1">
        <f t="array" ref="Z572">_xlfn.XLOOKUP(Matrix[[#This Row],[TEAM]]&amp;Matrix[[#Headers],[14]],FDR[FDR]&amp;FDR[[#Headers],[14]],FDR[14],"",0,1)</f>
        <v>1</v>
      </c>
      <c r="AA572" cm="1">
        <f t="array" ref="AA572">_xlfn.XLOOKUP(Matrix[[#This Row],[TEAM]]&amp;Matrix[[#Headers],[15]],FDR[FDR]&amp;FDR[[#Headers],[15]],FDR[15],"",0,1)</f>
        <v>1</v>
      </c>
      <c r="AB572" cm="1">
        <f t="array" ref="AB572">_xlfn.XLOOKUP(Matrix[[#This Row],[TEAM]]&amp;Matrix[[#Headers],[16]],FDR[FDR]&amp;FDR[[#Headers],[16]],FDR[16],"",0,1)</f>
        <v>1</v>
      </c>
      <c r="AC572" cm="1">
        <f t="array" ref="AC572">_xlfn.XLOOKUP(Matrix[[#This Row],[TEAM]]&amp;Matrix[[#Headers],[17]],FDR[FDR]&amp;FDR[[#Headers],[17]],FDR[17],"",0,1)</f>
        <v>3</v>
      </c>
      <c r="AD572" cm="1">
        <f t="array" ref="AD572">_xlfn.XLOOKUP(Matrix[[#This Row],[TEAM]]&amp;Matrix[[#Headers],[18]],FDR[FDR]&amp;FDR[[#Headers],[18]],FDR[18],"",0,1)</f>
        <v>1</v>
      </c>
      <c r="AE572" cm="1">
        <f t="array" ref="AE572">_xlfn.XLOOKUP(Matrix[[#This Row],[TEAM]]&amp;Matrix[[#Headers],[19]],FDR[FDR]&amp;FDR[[#Headers],[19]],FDR[19],"",0,1)</f>
        <v>1</v>
      </c>
      <c r="AF572" cm="1">
        <f t="array" ref="AF572">_xlfn.XLOOKUP(Matrix[[#This Row],[TEAM]]&amp;Matrix[[#Headers],[20]],FDR[FDR]&amp;FDR[[#Headers],[20]],FDR[20],"",0,1)</f>
        <v>2</v>
      </c>
      <c r="AG572" cm="1">
        <f t="array" ref="AG572">_xlfn.XLOOKUP(Matrix[[#This Row],[TEAM]]&amp;Matrix[[#Headers],[21]],FDR[FDR]&amp;FDR[[#Headers],[21]],FDR[21],"",0,1)</f>
        <v>3</v>
      </c>
      <c r="AH572" cm="1">
        <f t="array" ref="AH572">_xlfn.XLOOKUP(Matrix[[#This Row],[TEAM]]&amp;Matrix[[#Headers],[22]],FDR[FDR]&amp;FDR[[#Headers],[22]],FDR[22],"",0,1)</f>
        <v>1</v>
      </c>
      <c r="AI572" cm="1">
        <f t="array" ref="AI572">_xlfn.XLOOKUP(Matrix[[#This Row],[TEAM]]&amp;Matrix[[#Headers],[23]],FDR[FDR]&amp;FDR[[#Headers],[23]],FDR[23],"",0,1)</f>
        <v>2</v>
      </c>
      <c r="AJ572" cm="1">
        <f t="array" ref="AJ572">_xlfn.XLOOKUP(Matrix[[#This Row],[TEAM]]&amp;Matrix[[#Headers],[24]],FDR[FDR]&amp;FDR[[#Headers],[24]],FDR[24],"",0,1)</f>
        <v>2</v>
      </c>
      <c r="AK572" cm="1">
        <f t="array" ref="AK572">_xlfn.XLOOKUP(Matrix[[#This Row],[TEAM]]&amp;Matrix[[#Headers],[25]],FDR[FDR]&amp;FDR[[#Headers],[25]],FDR[25],"",0,1)</f>
        <v>3</v>
      </c>
      <c r="AL572" cm="1">
        <f t="array" ref="AL572">_xlfn.XLOOKUP(Matrix[[#This Row],[TEAM]]&amp;Matrix[[#Headers],[26]],FDR[FDR]&amp;FDR[[#Headers],[26]],FDR[26],"",0,1)</f>
        <v>1</v>
      </c>
      <c r="AM572" cm="1">
        <f t="array" ref="AM572">_xlfn.XLOOKUP(Matrix[[#This Row],[TEAM]]&amp;Matrix[[#Headers],[27]],FDR[FDR]&amp;FDR[[#Headers],[27]],FDR[27],"",0,1)</f>
        <v>2</v>
      </c>
      <c r="AN572" cm="1">
        <f t="array" ref="AN572">_xlfn.XLOOKUP(Matrix[[#This Row],[TEAM]]&amp;Matrix[[#Headers],[28]],FDR[FDR]&amp;FDR[[#Headers],[28]],FDR[28],"",0,1)</f>
        <v>1</v>
      </c>
      <c r="AO572" cm="1">
        <f t="array" ref="AO572">_xlfn.XLOOKUP(Matrix[[#This Row],[TEAM]]&amp;Matrix[[#Headers],[29]],FDR[FDR]&amp;FDR[[#Headers],[29]],FDR[29],"",0,1)</f>
        <v>1</v>
      </c>
      <c r="AP572" cm="1">
        <f t="array" ref="AP572">_xlfn.XLOOKUP(Matrix[[#This Row],[TEAM]]&amp;Matrix[[#Headers],[30]],FDR[FDR]&amp;FDR[[#Headers],[30]],FDR[30],"",0,1)</f>
        <v>2</v>
      </c>
      <c r="AQ572" cm="1">
        <f t="array" ref="AQ572">_xlfn.XLOOKUP(Matrix[[#This Row],[TEAM]]&amp;Matrix[[#Headers],[31]],FDR[FDR]&amp;FDR[[#Headers],[31]],FDR[31],"",0,1)</f>
        <v>2</v>
      </c>
      <c r="AR572" cm="1">
        <f t="array" ref="AR572">_xlfn.XLOOKUP(Matrix[[#This Row],[TEAM]]&amp;Matrix[[#Headers],[32]],FDR[FDR]&amp;FDR[[#Headers],[32]],FDR[32],"",0,1)</f>
        <v>1</v>
      </c>
      <c r="AS572" cm="1">
        <f t="array" ref="AS572">_xlfn.XLOOKUP(Matrix[[#This Row],[TEAM]]&amp;Matrix[[#Headers],[33]],FDR[FDR]&amp;FDR[[#Headers],[33]],FDR[33],"",0,1)</f>
        <v>2</v>
      </c>
      <c r="AT572" cm="1">
        <f t="array" ref="AT572">_xlfn.XLOOKUP(Matrix[[#This Row],[TEAM]]&amp;Matrix[[#Headers],[34]],FDR[FDR]&amp;FDR[[#Headers],[34]],FDR[34],"",0,1)</f>
        <v>1</v>
      </c>
      <c r="AU572" cm="1">
        <f t="array" ref="AU572">_xlfn.XLOOKUP(Matrix[[#This Row],[TEAM]]&amp;Matrix[[#Headers],[35]],FDR[FDR]&amp;FDR[[#Headers],[35]],FDR[35],"",0,1)</f>
        <v>3</v>
      </c>
      <c r="AV572" cm="1">
        <f t="array" ref="AV572">_xlfn.XLOOKUP(Matrix[[#This Row],[TEAM]]&amp;Matrix[[#Headers],[36]],FDR[FDR]&amp;FDR[[#Headers],[36]],FDR[36],"",0,1)</f>
        <v>2</v>
      </c>
      <c r="AW572" cm="1">
        <f t="array" ref="AW572">_xlfn.XLOOKUP(Matrix[[#This Row],[TEAM]]&amp;Matrix[[#Headers],[37]],FDR[FDR]&amp;FDR[[#Headers],[37]],FDR[37],"",0,1)</f>
        <v>3</v>
      </c>
      <c r="AX572" cm="1">
        <f t="array" ref="AX572">_xlfn.XLOOKUP(Matrix[[#This Row],[TEAM]]&amp;Matrix[[#Headers],[38]],FDR[FDR]&amp;FDR[[#Headers],[38]],FDR[38],"",0,1)</f>
        <v>1</v>
      </c>
    </row>
    <row r="573" spans="1:50" ht="22" thickTop="1" thickBot="1">
      <c r="A573" s="51" t="s">
        <v>657</v>
      </c>
      <c r="B573" s="70" t="s">
        <v>1581</v>
      </c>
      <c r="C573" s="40" t="s">
        <v>17</v>
      </c>
      <c r="D573" s="62">
        <v>14</v>
      </c>
      <c r="E573" s="60">
        <v>1E-3</v>
      </c>
      <c r="F573" s="61">
        <v>22.8</v>
      </c>
      <c r="G573" s="63">
        <v>5</v>
      </c>
      <c r="H573" s="261">
        <f>IF(ISBLANK(I573),0,1)</f>
        <v>1</v>
      </c>
      <c r="I573" s="57" t="s">
        <v>942</v>
      </c>
      <c r="J573" s="58">
        <v>0.75</v>
      </c>
      <c r="K573" s="65" t="s">
        <v>435</v>
      </c>
      <c r="L573" s="65" t="s">
        <v>135</v>
      </c>
      <c r="M573" cm="1">
        <f t="array" ref="M573">_xlfn.XLOOKUP(Matrix[[#This Row],[TEAM]]&amp;Matrix[[#Headers],[1]],FDR[FDR]&amp;FDR[[#Headers],[1]],FDR[1],"",0,1)</f>
        <v>1</v>
      </c>
      <c r="N573" cm="1">
        <f t="array" ref="N573">_xlfn.XLOOKUP(Matrix[[#This Row],[TEAM]]&amp;Matrix[[#Headers],[2]],FDR[FDR]&amp;FDR[[#Headers],[2]],FDR[2],"",0,1)</f>
        <v>3</v>
      </c>
      <c r="O573" cm="1">
        <f t="array" ref="O573">_xlfn.XLOOKUP(Matrix[[#This Row],[TEAM]]&amp;Matrix[[#Headers],[3]],FDR[FDR]&amp;FDR[[#Headers],[3]],FDR[3],"",0,1)</f>
        <v>3</v>
      </c>
      <c r="P573" cm="1">
        <f t="array" ref="P573">_xlfn.XLOOKUP(Matrix[[#This Row],[TEAM]]&amp;Matrix[[#Headers],[4]],FDR[FDR]&amp;FDR[[#Headers],[4]],FDR[4],"",0,1)</f>
        <v>1</v>
      </c>
      <c r="Q573" cm="1">
        <f t="array" ref="Q573">_xlfn.XLOOKUP(Matrix[[#This Row],[TEAM]]&amp;Matrix[[#Headers],[5]],FDR[FDR]&amp;FDR[[#Headers],[5]],FDR[5],"",0,1)</f>
        <v>1</v>
      </c>
      <c r="R573" cm="1">
        <f t="array" ref="R573">_xlfn.XLOOKUP(Matrix[[#This Row],[TEAM]]&amp;Matrix[[#Headers],[6]],FDR[FDR]&amp;FDR[[#Headers],[6]],FDR[6],"",0,1)</f>
        <v>2</v>
      </c>
      <c r="S573" cm="1">
        <f t="array" ref="S573">_xlfn.XLOOKUP(Matrix[[#This Row],[TEAM]]&amp;Matrix[[#Headers],[7]],FDR[FDR]&amp;FDR[[#Headers],[7]],FDR[7],"",0,1)</f>
        <v>3</v>
      </c>
      <c r="T573" cm="1">
        <f t="array" ref="T573">_xlfn.XLOOKUP(Matrix[[#This Row],[TEAM]]&amp;Matrix[[#Headers],[8]],FDR[FDR]&amp;FDR[[#Headers],[8]],FDR[8],"",0,1)</f>
        <v>2</v>
      </c>
      <c r="U573" cm="1">
        <f t="array" ref="U573">_xlfn.XLOOKUP(Matrix[[#This Row],[TEAM]]&amp;Matrix[[#Headers],[9]],FDR[FDR]&amp;FDR[[#Headers],[9]],FDR[9],"",0,1)</f>
        <v>2</v>
      </c>
      <c r="V573" cm="1">
        <f t="array" ref="V573">_xlfn.XLOOKUP(Matrix[[#This Row],[TEAM]]&amp;Matrix[[#Headers],[10]],FDR[FDR]&amp;FDR[[#Headers],[10]],FDR[10],"",0,1)</f>
        <v>2</v>
      </c>
      <c r="W573" cm="1">
        <f t="array" ref="W573">_xlfn.XLOOKUP(Matrix[[#This Row],[TEAM]]&amp;Matrix[[#Headers],[11]],FDR[FDR]&amp;FDR[[#Headers],[11]],FDR[11],"",0,1)</f>
        <v>3</v>
      </c>
      <c r="X573" cm="1">
        <f t="array" ref="X573">_xlfn.XLOOKUP(Matrix[[#This Row],[TEAM]]&amp;Matrix[[#Headers],[12]],FDR[FDR]&amp;FDR[[#Headers],[12]],FDR[12],"",0,1)</f>
        <v>1</v>
      </c>
      <c r="Y573" cm="1">
        <f t="array" ref="Y573">_xlfn.XLOOKUP(Matrix[[#This Row],[TEAM]]&amp;Matrix[[#Headers],[13]],FDR[FDR]&amp;FDR[[#Headers],[13]],FDR[13],"",0,1)</f>
        <v>2</v>
      </c>
      <c r="Z573" cm="1">
        <f t="array" ref="Z573">_xlfn.XLOOKUP(Matrix[[#This Row],[TEAM]]&amp;Matrix[[#Headers],[14]],FDR[FDR]&amp;FDR[[#Headers],[14]],FDR[14],"",0,1)</f>
        <v>1</v>
      </c>
      <c r="AA573" cm="1">
        <f t="array" ref="AA573">_xlfn.XLOOKUP(Matrix[[#This Row],[TEAM]]&amp;Matrix[[#Headers],[15]],FDR[FDR]&amp;FDR[[#Headers],[15]],FDR[15],"",0,1)</f>
        <v>1</v>
      </c>
      <c r="AB573" cm="1">
        <f t="array" ref="AB573">_xlfn.XLOOKUP(Matrix[[#This Row],[TEAM]]&amp;Matrix[[#Headers],[16]],FDR[FDR]&amp;FDR[[#Headers],[16]],FDR[16],"",0,1)</f>
        <v>1</v>
      </c>
      <c r="AC573" cm="1">
        <f t="array" ref="AC573">_xlfn.XLOOKUP(Matrix[[#This Row],[TEAM]]&amp;Matrix[[#Headers],[17]],FDR[FDR]&amp;FDR[[#Headers],[17]],FDR[17],"",0,1)</f>
        <v>3</v>
      </c>
      <c r="AD573" cm="1">
        <f t="array" ref="AD573">_xlfn.XLOOKUP(Matrix[[#This Row],[TEAM]]&amp;Matrix[[#Headers],[18]],FDR[FDR]&amp;FDR[[#Headers],[18]],FDR[18],"",0,1)</f>
        <v>1</v>
      </c>
      <c r="AE573" cm="1">
        <f t="array" ref="AE573">_xlfn.XLOOKUP(Matrix[[#This Row],[TEAM]]&amp;Matrix[[#Headers],[19]],FDR[FDR]&amp;FDR[[#Headers],[19]],FDR[19],"",0,1)</f>
        <v>1</v>
      </c>
      <c r="AF573" cm="1">
        <f t="array" ref="AF573">_xlfn.XLOOKUP(Matrix[[#This Row],[TEAM]]&amp;Matrix[[#Headers],[20]],FDR[FDR]&amp;FDR[[#Headers],[20]],FDR[20],"",0,1)</f>
        <v>2</v>
      </c>
      <c r="AG573" cm="1">
        <f t="array" ref="AG573">_xlfn.XLOOKUP(Matrix[[#This Row],[TEAM]]&amp;Matrix[[#Headers],[21]],FDR[FDR]&amp;FDR[[#Headers],[21]],FDR[21],"",0,1)</f>
        <v>3</v>
      </c>
      <c r="AH573" cm="1">
        <f t="array" ref="AH573">_xlfn.XLOOKUP(Matrix[[#This Row],[TEAM]]&amp;Matrix[[#Headers],[22]],FDR[FDR]&amp;FDR[[#Headers],[22]],FDR[22],"",0,1)</f>
        <v>1</v>
      </c>
      <c r="AI573" cm="1">
        <f t="array" ref="AI573">_xlfn.XLOOKUP(Matrix[[#This Row],[TEAM]]&amp;Matrix[[#Headers],[23]],FDR[FDR]&amp;FDR[[#Headers],[23]],FDR[23],"",0,1)</f>
        <v>2</v>
      </c>
      <c r="AJ573" cm="1">
        <f t="array" ref="AJ573">_xlfn.XLOOKUP(Matrix[[#This Row],[TEAM]]&amp;Matrix[[#Headers],[24]],FDR[FDR]&amp;FDR[[#Headers],[24]],FDR[24],"",0,1)</f>
        <v>2</v>
      </c>
      <c r="AK573" cm="1">
        <f t="array" ref="AK573">_xlfn.XLOOKUP(Matrix[[#This Row],[TEAM]]&amp;Matrix[[#Headers],[25]],FDR[FDR]&amp;FDR[[#Headers],[25]],FDR[25],"",0,1)</f>
        <v>3</v>
      </c>
      <c r="AL573" cm="1">
        <f t="array" ref="AL573">_xlfn.XLOOKUP(Matrix[[#This Row],[TEAM]]&amp;Matrix[[#Headers],[26]],FDR[FDR]&amp;FDR[[#Headers],[26]],FDR[26],"",0,1)</f>
        <v>1</v>
      </c>
      <c r="AM573" cm="1">
        <f t="array" ref="AM573">_xlfn.XLOOKUP(Matrix[[#This Row],[TEAM]]&amp;Matrix[[#Headers],[27]],FDR[FDR]&amp;FDR[[#Headers],[27]],FDR[27],"",0,1)</f>
        <v>2</v>
      </c>
      <c r="AN573" cm="1">
        <f t="array" ref="AN573">_xlfn.XLOOKUP(Matrix[[#This Row],[TEAM]]&amp;Matrix[[#Headers],[28]],FDR[FDR]&amp;FDR[[#Headers],[28]],FDR[28],"",0,1)</f>
        <v>1</v>
      </c>
      <c r="AO573" cm="1">
        <f t="array" ref="AO573">_xlfn.XLOOKUP(Matrix[[#This Row],[TEAM]]&amp;Matrix[[#Headers],[29]],FDR[FDR]&amp;FDR[[#Headers],[29]],FDR[29],"",0,1)</f>
        <v>1</v>
      </c>
      <c r="AP573" cm="1">
        <f t="array" ref="AP573">_xlfn.XLOOKUP(Matrix[[#This Row],[TEAM]]&amp;Matrix[[#Headers],[30]],FDR[FDR]&amp;FDR[[#Headers],[30]],FDR[30],"",0,1)</f>
        <v>2</v>
      </c>
      <c r="AQ573" cm="1">
        <f t="array" ref="AQ573">_xlfn.XLOOKUP(Matrix[[#This Row],[TEAM]]&amp;Matrix[[#Headers],[31]],FDR[FDR]&amp;FDR[[#Headers],[31]],FDR[31],"",0,1)</f>
        <v>2</v>
      </c>
      <c r="AR573" cm="1">
        <f t="array" ref="AR573">_xlfn.XLOOKUP(Matrix[[#This Row],[TEAM]]&amp;Matrix[[#Headers],[32]],FDR[FDR]&amp;FDR[[#Headers],[32]],FDR[32],"",0,1)</f>
        <v>1</v>
      </c>
      <c r="AS573" cm="1">
        <f t="array" ref="AS573">_xlfn.XLOOKUP(Matrix[[#This Row],[TEAM]]&amp;Matrix[[#Headers],[33]],FDR[FDR]&amp;FDR[[#Headers],[33]],FDR[33],"",0,1)</f>
        <v>2</v>
      </c>
      <c r="AT573" cm="1">
        <f t="array" ref="AT573">_xlfn.XLOOKUP(Matrix[[#This Row],[TEAM]]&amp;Matrix[[#Headers],[34]],FDR[FDR]&amp;FDR[[#Headers],[34]],FDR[34],"",0,1)</f>
        <v>1</v>
      </c>
      <c r="AU573" cm="1">
        <f t="array" ref="AU573">_xlfn.XLOOKUP(Matrix[[#This Row],[TEAM]]&amp;Matrix[[#Headers],[35]],FDR[FDR]&amp;FDR[[#Headers],[35]],FDR[35],"",0,1)</f>
        <v>3</v>
      </c>
      <c r="AV573" cm="1">
        <f t="array" ref="AV573">_xlfn.XLOOKUP(Matrix[[#This Row],[TEAM]]&amp;Matrix[[#Headers],[36]],FDR[FDR]&amp;FDR[[#Headers],[36]],FDR[36],"",0,1)</f>
        <v>2</v>
      </c>
      <c r="AW573" cm="1">
        <f t="array" ref="AW573">_xlfn.XLOOKUP(Matrix[[#This Row],[TEAM]]&amp;Matrix[[#Headers],[37]],FDR[FDR]&amp;FDR[[#Headers],[37]],FDR[37],"",0,1)</f>
        <v>3</v>
      </c>
      <c r="AX573" cm="1">
        <f t="array" ref="AX573">_xlfn.XLOOKUP(Matrix[[#This Row],[TEAM]]&amp;Matrix[[#Headers],[38]],FDR[FDR]&amp;FDR[[#Headers],[38]],FDR[38],"",0,1)</f>
        <v>1</v>
      </c>
    </row>
    <row r="574" spans="1:50" ht="22" thickTop="1" thickBot="1">
      <c r="A574" s="50" t="str">
        <f>INDEX!S$4</f>
        <v>MID</v>
      </c>
      <c r="B574" s="70" t="s">
        <v>1596</v>
      </c>
      <c r="C574" s="40" t="s">
        <v>43</v>
      </c>
      <c r="D574" s="62">
        <v>82</v>
      </c>
      <c r="E574" s="60">
        <v>0</v>
      </c>
      <c r="F574" s="61">
        <v>144.9</v>
      </c>
      <c r="G574" s="63">
        <v>5</v>
      </c>
      <c r="H574" s="261">
        <f>IF(ISBLANK(I574),0,1)</f>
        <v>1</v>
      </c>
      <c r="I574" s="57" t="s">
        <v>891</v>
      </c>
      <c r="J574" s="58" t="s">
        <v>1097</v>
      </c>
      <c r="K574" s="59" t="s">
        <v>407</v>
      </c>
      <c r="L574" s="59" t="s">
        <v>162</v>
      </c>
      <c r="M574" cm="1">
        <f t="array" ref="M574">_xlfn.XLOOKUP(Matrix[[#This Row],[TEAM]]&amp;Matrix[[#Headers],[1]],FDR[FDR]&amp;FDR[[#Headers],[1]],FDR[1],"",0,1)</f>
        <v>5</v>
      </c>
      <c r="N574" cm="1">
        <f t="array" ref="N574">_xlfn.XLOOKUP(Matrix[[#This Row],[TEAM]]&amp;Matrix[[#Headers],[2]],FDR[FDR]&amp;FDR[[#Headers],[2]],FDR[2],"",0,1)</f>
        <v>1</v>
      </c>
      <c r="O574" cm="1">
        <f t="array" ref="O574">_xlfn.XLOOKUP(Matrix[[#This Row],[TEAM]]&amp;Matrix[[#Headers],[3]],FDR[FDR]&amp;FDR[[#Headers],[3]],FDR[3],"",0,1)</f>
        <v>5</v>
      </c>
      <c r="P574" cm="1">
        <f t="array" ref="P574">_xlfn.XLOOKUP(Matrix[[#This Row],[TEAM]]&amp;Matrix[[#Headers],[4]],FDR[FDR]&amp;FDR[[#Headers],[4]],FDR[4],"",0,1)</f>
        <v>3</v>
      </c>
      <c r="Q574" cm="1">
        <f t="array" ref="Q574">_xlfn.XLOOKUP(Matrix[[#This Row],[TEAM]]&amp;Matrix[[#Headers],[5]],FDR[FDR]&amp;FDR[[#Headers],[5]],FDR[5],"",0,1)</f>
        <v>4</v>
      </c>
      <c r="R574" cm="1">
        <f t="array" ref="R574">_xlfn.XLOOKUP(Matrix[[#This Row],[TEAM]]&amp;Matrix[[#Headers],[6]],FDR[FDR]&amp;FDR[[#Headers],[6]],FDR[6],"",0,1)</f>
        <v>2</v>
      </c>
      <c r="S574" cm="1">
        <f t="array" ref="S574">_xlfn.XLOOKUP(Matrix[[#This Row],[TEAM]]&amp;Matrix[[#Headers],[7]],FDR[FDR]&amp;FDR[[#Headers],[7]],FDR[7],"",0,1)</f>
        <v>3</v>
      </c>
      <c r="T574" cm="1">
        <f t="array" ref="T574">_xlfn.XLOOKUP(Matrix[[#This Row],[TEAM]]&amp;Matrix[[#Headers],[8]],FDR[FDR]&amp;FDR[[#Headers],[8]],FDR[8],"",0,1)</f>
        <v>3</v>
      </c>
      <c r="U574" cm="1">
        <f t="array" ref="U574">_xlfn.XLOOKUP(Matrix[[#This Row],[TEAM]]&amp;Matrix[[#Headers],[9]],FDR[FDR]&amp;FDR[[#Headers],[9]],FDR[9],"",0,1)</f>
        <v>3</v>
      </c>
      <c r="V574" cm="1">
        <f t="array" ref="V574">_xlfn.XLOOKUP(Matrix[[#This Row],[TEAM]]&amp;Matrix[[#Headers],[10]],FDR[FDR]&amp;FDR[[#Headers],[10]],FDR[10],"",0,1)</f>
        <v>5</v>
      </c>
      <c r="W574" cm="1">
        <f t="array" ref="W574">_xlfn.XLOOKUP(Matrix[[#This Row],[TEAM]]&amp;Matrix[[#Headers],[11]],FDR[FDR]&amp;FDR[[#Headers],[11]],FDR[11],"",0,1)</f>
        <v>5</v>
      </c>
      <c r="X574" cm="1">
        <f t="array" ref="X574">_xlfn.XLOOKUP(Matrix[[#This Row],[TEAM]]&amp;Matrix[[#Headers],[12]],FDR[FDR]&amp;FDR[[#Headers],[12]],FDR[12],"",0,1)</f>
        <v>2</v>
      </c>
      <c r="Y574" cm="1">
        <f t="array" ref="Y574">_xlfn.XLOOKUP(Matrix[[#This Row],[TEAM]]&amp;Matrix[[#Headers],[13]],FDR[FDR]&amp;FDR[[#Headers],[13]],FDR[13],"",0,1)</f>
        <v>2</v>
      </c>
      <c r="Z574" cm="1">
        <f t="array" ref="Z574">_xlfn.XLOOKUP(Matrix[[#This Row],[TEAM]]&amp;Matrix[[#Headers],[14]],FDR[FDR]&amp;FDR[[#Headers],[14]],FDR[14],"",0,1)</f>
        <v>2</v>
      </c>
      <c r="AA574" cm="1">
        <f t="array" ref="AA574">_xlfn.XLOOKUP(Matrix[[#This Row],[TEAM]]&amp;Matrix[[#Headers],[15]],FDR[FDR]&amp;FDR[[#Headers],[15]],FDR[15],"",0,1)</f>
        <v>4</v>
      </c>
      <c r="AB574" cm="1">
        <f t="array" ref="AB574">_xlfn.XLOOKUP(Matrix[[#This Row],[TEAM]]&amp;Matrix[[#Headers],[16]],FDR[FDR]&amp;FDR[[#Headers],[16]],FDR[16],"",0,1)</f>
        <v>5</v>
      </c>
      <c r="AC574" cm="1">
        <f t="array" ref="AC574">_xlfn.XLOOKUP(Matrix[[#This Row],[TEAM]]&amp;Matrix[[#Headers],[17]],FDR[FDR]&amp;FDR[[#Headers],[17]],FDR[17],"",0,1)</f>
        <v>1</v>
      </c>
      <c r="AD574" cm="1">
        <f t="array" ref="AD574">_xlfn.XLOOKUP(Matrix[[#This Row],[TEAM]]&amp;Matrix[[#Headers],[18]],FDR[FDR]&amp;FDR[[#Headers],[18]],FDR[18],"",0,1)</f>
        <v>3</v>
      </c>
      <c r="AE574" cm="1">
        <f t="array" ref="AE574">_xlfn.XLOOKUP(Matrix[[#This Row],[TEAM]]&amp;Matrix[[#Headers],[19]],FDR[FDR]&amp;FDR[[#Headers],[19]],FDR[19],"",0,1)</f>
        <v>5</v>
      </c>
      <c r="AF574" cm="1">
        <f t="array" ref="AF574">_xlfn.XLOOKUP(Matrix[[#This Row],[TEAM]]&amp;Matrix[[#Headers],[20]],FDR[FDR]&amp;FDR[[#Headers],[20]],FDR[20],"",0,1)</f>
        <v>4</v>
      </c>
      <c r="AG574" cm="1">
        <f t="array" ref="AG574">_xlfn.XLOOKUP(Matrix[[#This Row],[TEAM]]&amp;Matrix[[#Headers],[21]],FDR[FDR]&amp;FDR[[#Headers],[21]],FDR[21],"",0,1)</f>
        <v>4</v>
      </c>
      <c r="AH574" cm="1">
        <f t="array" ref="AH574">_xlfn.XLOOKUP(Matrix[[#This Row],[TEAM]]&amp;Matrix[[#Headers],[22]],FDR[FDR]&amp;FDR[[#Headers],[22]],FDR[22],"",0,1)</f>
        <v>4</v>
      </c>
      <c r="AI574" cm="1">
        <f t="array" ref="AI574">_xlfn.XLOOKUP(Matrix[[#This Row],[TEAM]]&amp;Matrix[[#Headers],[23]],FDR[FDR]&amp;FDR[[#Headers],[23]],FDR[23],"",0,1)</f>
        <v>4</v>
      </c>
      <c r="AJ574" cm="1">
        <f t="array" ref="AJ574">_xlfn.XLOOKUP(Matrix[[#This Row],[TEAM]]&amp;Matrix[[#Headers],[24]],FDR[FDR]&amp;FDR[[#Headers],[24]],FDR[24],"",0,1)</f>
        <v>2</v>
      </c>
      <c r="AK574" cm="1">
        <f t="array" ref="AK574">_xlfn.XLOOKUP(Matrix[[#This Row],[TEAM]]&amp;Matrix[[#Headers],[25]],FDR[FDR]&amp;FDR[[#Headers],[25]],FDR[25],"",0,1)</f>
        <v>3</v>
      </c>
      <c r="AL574" cm="1">
        <f t="array" ref="AL574">_xlfn.XLOOKUP(Matrix[[#This Row],[TEAM]]&amp;Matrix[[#Headers],[26]],FDR[FDR]&amp;FDR[[#Headers],[26]],FDR[26],"",0,1)</f>
        <v>3</v>
      </c>
      <c r="AM574" cm="1">
        <f t="array" ref="AM574">_xlfn.XLOOKUP(Matrix[[#This Row],[TEAM]]&amp;Matrix[[#Headers],[27]],FDR[FDR]&amp;FDR[[#Headers],[27]],FDR[27],"",0,1)</f>
        <v>3</v>
      </c>
      <c r="AN574" cm="1">
        <f t="array" ref="AN574">_xlfn.XLOOKUP(Matrix[[#This Row],[TEAM]]&amp;Matrix[[#Headers],[28]],FDR[FDR]&amp;FDR[[#Headers],[28]],FDR[28],"",0,1)</f>
        <v>1</v>
      </c>
      <c r="AO574" cm="1">
        <f t="array" ref="AO574">_xlfn.XLOOKUP(Matrix[[#This Row],[TEAM]]&amp;Matrix[[#Headers],[29]],FDR[FDR]&amp;FDR[[#Headers],[29]],FDR[29],"",0,1)</f>
        <v>2</v>
      </c>
      <c r="AP574" cm="1">
        <f t="array" ref="AP574">_xlfn.XLOOKUP(Matrix[[#This Row],[TEAM]]&amp;Matrix[[#Headers],[30]],FDR[FDR]&amp;FDR[[#Headers],[30]],FDR[30],"",0,1)</f>
        <v>2</v>
      </c>
      <c r="AQ574" cm="1">
        <f t="array" ref="AQ574">_xlfn.XLOOKUP(Matrix[[#This Row],[TEAM]]&amp;Matrix[[#Headers],[31]],FDR[FDR]&amp;FDR[[#Headers],[31]],FDR[31],"",0,1)</f>
        <v>4</v>
      </c>
      <c r="AR574" cm="1">
        <f t="array" ref="AR574">_xlfn.XLOOKUP(Matrix[[#This Row],[TEAM]]&amp;Matrix[[#Headers],[32]],FDR[FDR]&amp;FDR[[#Headers],[32]],FDR[32],"",0,1)</f>
        <v>5</v>
      </c>
      <c r="AS574" cm="1">
        <f t="array" ref="AS574">_xlfn.XLOOKUP(Matrix[[#This Row],[TEAM]]&amp;Matrix[[#Headers],[33]],FDR[FDR]&amp;FDR[[#Headers],[33]],FDR[33],"",0,1)</f>
        <v>5</v>
      </c>
      <c r="AT574" cm="1">
        <f t="array" ref="AT574">_xlfn.XLOOKUP(Matrix[[#This Row],[TEAM]]&amp;Matrix[[#Headers],[34]],FDR[FDR]&amp;FDR[[#Headers],[34]],FDR[34],"",0,1)</f>
        <v>1</v>
      </c>
      <c r="AU574" cm="1">
        <f t="array" ref="AU574">_xlfn.XLOOKUP(Matrix[[#This Row],[TEAM]]&amp;Matrix[[#Headers],[35]],FDR[FDR]&amp;FDR[[#Headers],[35]],FDR[35],"",0,1)</f>
        <v>2</v>
      </c>
      <c r="AV574" cm="1">
        <f t="array" ref="AV574">_xlfn.XLOOKUP(Matrix[[#This Row],[TEAM]]&amp;Matrix[[#Headers],[36]],FDR[FDR]&amp;FDR[[#Headers],[36]],FDR[36],"",0,1)</f>
        <v>4</v>
      </c>
      <c r="AW574" cm="1">
        <f t="array" ref="AW574">_xlfn.XLOOKUP(Matrix[[#This Row],[TEAM]]&amp;Matrix[[#Headers],[37]],FDR[FDR]&amp;FDR[[#Headers],[37]],FDR[37],"",0,1)</f>
        <v>4</v>
      </c>
      <c r="AX574" cm="1">
        <f t="array" ref="AX574">_xlfn.XLOOKUP(Matrix[[#This Row],[TEAM]]&amp;Matrix[[#Headers],[38]],FDR[FDR]&amp;FDR[[#Headers],[38]],FDR[38],"",0,1)</f>
        <v>4</v>
      </c>
    </row>
    <row r="575" spans="1:50" ht="22" thickTop="1" thickBot="1">
      <c r="A575" s="50" t="str">
        <f>INDEX!S$4</f>
        <v>MID</v>
      </c>
      <c r="B575" s="70" t="s">
        <v>1523</v>
      </c>
      <c r="C575" s="40" t="s">
        <v>43</v>
      </c>
      <c r="D575" s="62">
        <v>76</v>
      </c>
      <c r="E575" s="60">
        <v>3.0000000000000001E-3</v>
      </c>
      <c r="F575" s="61">
        <v>139.6</v>
      </c>
      <c r="G575" s="63">
        <v>5</v>
      </c>
      <c r="H575" s="261">
        <f>IF(ISBLANK(I575),0,1)</f>
        <v>1</v>
      </c>
      <c r="I575" s="57" t="s">
        <v>994</v>
      </c>
      <c r="J575" s="58">
        <v>0.75</v>
      </c>
      <c r="K575" s="59" t="s">
        <v>478</v>
      </c>
      <c r="L575" s="59" t="s">
        <v>232</v>
      </c>
      <c r="M575" cm="1">
        <f t="array" ref="M575">_xlfn.XLOOKUP(Matrix[[#This Row],[TEAM]]&amp;Matrix[[#Headers],[1]],FDR[FDR]&amp;FDR[[#Headers],[1]],FDR[1],"",0,1)</f>
        <v>5</v>
      </c>
      <c r="N575" cm="1">
        <f t="array" ref="N575">_xlfn.XLOOKUP(Matrix[[#This Row],[TEAM]]&amp;Matrix[[#Headers],[2]],FDR[FDR]&amp;FDR[[#Headers],[2]],FDR[2],"",0,1)</f>
        <v>1</v>
      </c>
      <c r="O575" cm="1">
        <f t="array" ref="O575">_xlfn.XLOOKUP(Matrix[[#This Row],[TEAM]]&amp;Matrix[[#Headers],[3]],FDR[FDR]&amp;FDR[[#Headers],[3]],FDR[3],"",0,1)</f>
        <v>5</v>
      </c>
      <c r="P575" cm="1">
        <f t="array" ref="P575">_xlfn.XLOOKUP(Matrix[[#This Row],[TEAM]]&amp;Matrix[[#Headers],[4]],FDR[FDR]&amp;FDR[[#Headers],[4]],FDR[4],"",0,1)</f>
        <v>3</v>
      </c>
      <c r="Q575" cm="1">
        <f t="array" ref="Q575">_xlfn.XLOOKUP(Matrix[[#This Row],[TEAM]]&amp;Matrix[[#Headers],[5]],FDR[FDR]&amp;FDR[[#Headers],[5]],FDR[5],"",0,1)</f>
        <v>4</v>
      </c>
      <c r="R575" cm="1">
        <f t="array" ref="R575">_xlfn.XLOOKUP(Matrix[[#This Row],[TEAM]]&amp;Matrix[[#Headers],[6]],FDR[FDR]&amp;FDR[[#Headers],[6]],FDR[6],"",0,1)</f>
        <v>2</v>
      </c>
      <c r="S575" cm="1">
        <f t="array" ref="S575">_xlfn.XLOOKUP(Matrix[[#This Row],[TEAM]]&amp;Matrix[[#Headers],[7]],FDR[FDR]&amp;FDR[[#Headers],[7]],FDR[7],"",0,1)</f>
        <v>3</v>
      </c>
      <c r="T575" cm="1">
        <f t="array" ref="T575">_xlfn.XLOOKUP(Matrix[[#This Row],[TEAM]]&amp;Matrix[[#Headers],[8]],FDR[FDR]&amp;FDR[[#Headers],[8]],FDR[8],"",0,1)</f>
        <v>3</v>
      </c>
      <c r="U575" cm="1">
        <f t="array" ref="U575">_xlfn.XLOOKUP(Matrix[[#This Row],[TEAM]]&amp;Matrix[[#Headers],[9]],FDR[FDR]&amp;FDR[[#Headers],[9]],FDR[9],"",0,1)</f>
        <v>3</v>
      </c>
      <c r="V575" cm="1">
        <f t="array" ref="V575">_xlfn.XLOOKUP(Matrix[[#This Row],[TEAM]]&amp;Matrix[[#Headers],[10]],FDR[FDR]&amp;FDR[[#Headers],[10]],FDR[10],"",0,1)</f>
        <v>5</v>
      </c>
      <c r="W575" cm="1">
        <f t="array" ref="W575">_xlfn.XLOOKUP(Matrix[[#This Row],[TEAM]]&amp;Matrix[[#Headers],[11]],FDR[FDR]&amp;FDR[[#Headers],[11]],FDR[11],"",0,1)</f>
        <v>5</v>
      </c>
      <c r="X575" cm="1">
        <f t="array" ref="X575">_xlfn.XLOOKUP(Matrix[[#This Row],[TEAM]]&amp;Matrix[[#Headers],[12]],FDR[FDR]&amp;FDR[[#Headers],[12]],FDR[12],"",0,1)</f>
        <v>2</v>
      </c>
      <c r="Y575" cm="1">
        <f t="array" ref="Y575">_xlfn.XLOOKUP(Matrix[[#This Row],[TEAM]]&amp;Matrix[[#Headers],[13]],FDR[FDR]&amp;FDR[[#Headers],[13]],FDR[13],"",0,1)</f>
        <v>2</v>
      </c>
      <c r="Z575" cm="1">
        <f t="array" ref="Z575">_xlfn.XLOOKUP(Matrix[[#This Row],[TEAM]]&amp;Matrix[[#Headers],[14]],FDR[FDR]&amp;FDR[[#Headers],[14]],FDR[14],"",0,1)</f>
        <v>2</v>
      </c>
      <c r="AA575" cm="1">
        <f t="array" ref="AA575">_xlfn.XLOOKUP(Matrix[[#This Row],[TEAM]]&amp;Matrix[[#Headers],[15]],FDR[FDR]&amp;FDR[[#Headers],[15]],FDR[15],"",0,1)</f>
        <v>4</v>
      </c>
      <c r="AB575" cm="1">
        <f t="array" ref="AB575">_xlfn.XLOOKUP(Matrix[[#This Row],[TEAM]]&amp;Matrix[[#Headers],[16]],FDR[FDR]&amp;FDR[[#Headers],[16]],FDR[16],"",0,1)</f>
        <v>5</v>
      </c>
      <c r="AC575" cm="1">
        <f t="array" ref="AC575">_xlfn.XLOOKUP(Matrix[[#This Row],[TEAM]]&amp;Matrix[[#Headers],[17]],FDR[FDR]&amp;FDR[[#Headers],[17]],FDR[17],"",0,1)</f>
        <v>1</v>
      </c>
      <c r="AD575" cm="1">
        <f t="array" ref="AD575">_xlfn.XLOOKUP(Matrix[[#This Row],[TEAM]]&amp;Matrix[[#Headers],[18]],FDR[FDR]&amp;FDR[[#Headers],[18]],FDR[18],"",0,1)</f>
        <v>3</v>
      </c>
      <c r="AE575" cm="1">
        <f t="array" ref="AE575">_xlfn.XLOOKUP(Matrix[[#This Row],[TEAM]]&amp;Matrix[[#Headers],[19]],FDR[FDR]&amp;FDR[[#Headers],[19]],FDR[19],"",0,1)</f>
        <v>5</v>
      </c>
      <c r="AF575" cm="1">
        <f t="array" ref="AF575">_xlfn.XLOOKUP(Matrix[[#This Row],[TEAM]]&amp;Matrix[[#Headers],[20]],FDR[FDR]&amp;FDR[[#Headers],[20]],FDR[20],"",0,1)</f>
        <v>4</v>
      </c>
      <c r="AG575" cm="1">
        <f t="array" ref="AG575">_xlfn.XLOOKUP(Matrix[[#This Row],[TEAM]]&amp;Matrix[[#Headers],[21]],FDR[FDR]&amp;FDR[[#Headers],[21]],FDR[21],"",0,1)</f>
        <v>4</v>
      </c>
      <c r="AH575" cm="1">
        <f t="array" ref="AH575">_xlfn.XLOOKUP(Matrix[[#This Row],[TEAM]]&amp;Matrix[[#Headers],[22]],FDR[FDR]&amp;FDR[[#Headers],[22]],FDR[22],"",0,1)</f>
        <v>4</v>
      </c>
      <c r="AI575" cm="1">
        <f t="array" ref="AI575">_xlfn.XLOOKUP(Matrix[[#This Row],[TEAM]]&amp;Matrix[[#Headers],[23]],FDR[FDR]&amp;FDR[[#Headers],[23]],FDR[23],"",0,1)</f>
        <v>4</v>
      </c>
      <c r="AJ575" cm="1">
        <f t="array" ref="AJ575">_xlfn.XLOOKUP(Matrix[[#This Row],[TEAM]]&amp;Matrix[[#Headers],[24]],FDR[FDR]&amp;FDR[[#Headers],[24]],FDR[24],"",0,1)</f>
        <v>2</v>
      </c>
      <c r="AK575" cm="1">
        <f t="array" ref="AK575">_xlfn.XLOOKUP(Matrix[[#This Row],[TEAM]]&amp;Matrix[[#Headers],[25]],FDR[FDR]&amp;FDR[[#Headers],[25]],FDR[25],"",0,1)</f>
        <v>3</v>
      </c>
      <c r="AL575" cm="1">
        <f t="array" ref="AL575">_xlfn.XLOOKUP(Matrix[[#This Row],[TEAM]]&amp;Matrix[[#Headers],[26]],FDR[FDR]&amp;FDR[[#Headers],[26]],FDR[26],"",0,1)</f>
        <v>3</v>
      </c>
      <c r="AM575" cm="1">
        <f t="array" ref="AM575">_xlfn.XLOOKUP(Matrix[[#This Row],[TEAM]]&amp;Matrix[[#Headers],[27]],FDR[FDR]&amp;FDR[[#Headers],[27]],FDR[27],"",0,1)</f>
        <v>3</v>
      </c>
      <c r="AN575" cm="1">
        <f t="array" ref="AN575">_xlfn.XLOOKUP(Matrix[[#This Row],[TEAM]]&amp;Matrix[[#Headers],[28]],FDR[FDR]&amp;FDR[[#Headers],[28]],FDR[28],"",0,1)</f>
        <v>1</v>
      </c>
      <c r="AO575" cm="1">
        <f t="array" ref="AO575">_xlfn.XLOOKUP(Matrix[[#This Row],[TEAM]]&amp;Matrix[[#Headers],[29]],FDR[FDR]&amp;FDR[[#Headers],[29]],FDR[29],"",0,1)</f>
        <v>2</v>
      </c>
      <c r="AP575" cm="1">
        <f t="array" ref="AP575">_xlfn.XLOOKUP(Matrix[[#This Row],[TEAM]]&amp;Matrix[[#Headers],[30]],FDR[FDR]&amp;FDR[[#Headers],[30]],FDR[30],"",0,1)</f>
        <v>2</v>
      </c>
      <c r="AQ575" cm="1">
        <f t="array" ref="AQ575">_xlfn.XLOOKUP(Matrix[[#This Row],[TEAM]]&amp;Matrix[[#Headers],[31]],FDR[FDR]&amp;FDR[[#Headers],[31]],FDR[31],"",0,1)</f>
        <v>4</v>
      </c>
      <c r="AR575" cm="1">
        <f t="array" ref="AR575">_xlfn.XLOOKUP(Matrix[[#This Row],[TEAM]]&amp;Matrix[[#Headers],[32]],FDR[FDR]&amp;FDR[[#Headers],[32]],FDR[32],"",0,1)</f>
        <v>5</v>
      </c>
      <c r="AS575" cm="1">
        <f t="array" ref="AS575">_xlfn.XLOOKUP(Matrix[[#This Row],[TEAM]]&amp;Matrix[[#Headers],[33]],FDR[FDR]&amp;FDR[[#Headers],[33]],FDR[33],"",0,1)</f>
        <v>5</v>
      </c>
      <c r="AT575" cm="1">
        <f t="array" ref="AT575">_xlfn.XLOOKUP(Matrix[[#This Row],[TEAM]]&amp;Matrix[[#Headers],[34]],FDR[FDR]&amp;FDR[[#Headers],[34]],FDR[34],"",0,1)</f>
        <v>1</v>
      </c>
      <c r="AU575" cm="1">
        <f t="array" ref="AU575">_xlfn.XLOOKUP(Matrix[[#This Row],[TEAM]]&amp;Matrix[[#Headers],[35]],FDR[FDR]&amp;FDR[[#Headers],[35]],FDR[35],"",0,1)</f>
        <v>2</v>
      </c>
      <c r="AV575" cm="1">
        <f t="array" ref="AV575">_xlfn.XLOOKUP(Matrix[[#This Row],[TEAM]]&amp;Matrix[[#Headers],[36]],FDR[FDR]&amp;FDR[[#Headers],[36]],FDR[36],"",0,1)</f>
        <v>4</v>
      </c>
      <c r="AW575" cm="1">
        <f t="array" ref="AW575">_xlfn.XLOOKUP(Matrix[[#This Row],[TEAM]]&amp;Matrix[[#Headers],[37]],FDR[FDR]&amp;FDR[[#Headers],[37]],FDR[37],"",0,1)</f>
        <v>4</v>
      </c>
      <c r="AX575" cm="1">
        <f t="array" ref="AX575">_xlfn.XLOOKUP(Matrix[[#This Row],[TEAM]]&amp;Matrix[[#Headers],[38]],FDR[FDR]&amp;FDR[[#Headers],[38]],FDR[38],"",0,1)</f>
        <v>4</v>
      </c>
    </row>
    <row r="576" spans="1:50" ht="22" thickTop="1" thickBot="1">
      <c r="A576" s="50" t="str">
        <f>INDEX!S$4</f>
        <v>MID</v>
      </c>
      <c r="B576" s="70" t="s">
        <v>1554</v>
      </c>
      <c r="C576" s="40" t="s">
        <v>21</v>
      </c>
      <c r="D576" s="62">
        <v>73</v>
      </c>
      <c r="E576" s="60">
        <v>1E-3</v>
      </c>
      <c r="F576" s="61">
        <v>77.2</v>
      </c>
      <c r="G576" s="63">
        <v>5</v>
      </c>
      <c r="H576" s="261">
        <f>IF(ISBLANK(I576),0,1)</f>
        <v>1</v>
      </c>
      <c r="I576" s="57" t="s">
        <v>943</v>
      </c>
      <c r="J576" s="58" t="s">
        <v>1097</v>
      </c>
      <c r="K576" s="59" t="s">
        <v>449</v>
      </c>
      <c r="L576" s="59" t="s">
        <v>215</v>
      </c>
      <c r="M576" cm="1">
        <f t="array" ref="M576">_xlfn.XLOOKUP(Matrix[[#This Row],[TEAM]]&amp;Matrix[[#Headers],[1]],FDR[FDR]&amp;FDR[[#Headers],[1]],FDR[1],"",0,1)</f>
        <v>4</v>
      </c>
      <c r="N576" cm="1">
        <f t="array" ref="N576">_xlfn.XLOOKUP(Matrix[[#This Row],[TEAM]]&amp;Matrix[[#Headers],[2]],FDR[FDR]&amp;FDR[[#Headers],[2]],FDR[2],"",0,1)</f>
        <v>4</v>
      </c>
      <c r="O576" cm="1">
        <f t="array" ref="O576">_xlfn.XLOOKUP(Matrix[[#This Row],[TEAM]]&amp;Matrix[[#Headers],[3]],FDR[FDR]&amp;FDR[[#Headers],[3]],FDR[3],"",0,1)</f>
        <v>2</v>
      </c>
      <c r="P576" cm="1">
        <f t="array" ref="P576">_xlfn.XLOOKUP(Matrix[[#This Row],[TEAM]]&amp;Matrix[[#Headers],[4]],FDR[FDR]&amp;FDR[[#Headers],[4]],FDR[4],"",0,1)</f>
        <v>4</v>
      </c>
      <c r="Q576" cm="1">
        <f t="array" ref="Q576">_xlfn.XLOOKUP(Matrix[[#This Row],[TEAM]]&amp;Matrix[[#Headers],[5]],FDR[FDR]&amp;FDR[[#Headers],[5]],FDR[5],"",0,1)</f>
        <v>4</v>
      </c>
      <c r="R576" cm="1">
        <f t="array" ref="R576">_xlfn.XLOOKUP(Matrix[[#This Row],[TEAM]]&amp;Matrix[[#Headers],[6]],FDR[FDR]&amp;FDR[[#Headers],[6]],FDR[6],"",0,1)</f>
        <v>4</v>
      </c>
      <c r="S576" cm="1">
        <f t="array" ref="S576">_xlfn.XLOOKUP(Matrix[[#This Row],[TEAM]]&amp;Matrix[[#Headers],[7]],FDR[FDR]&amp;FDR[[#Headers],[7]],FDR[7],"",0,1)</f>
        <v>4</v>
      </c>
      <c r="T576" cm="1">
        <f t="array" ref="T576">_xlfn.XLOOKUP(Matrix[[#This Row],[TEAM]]&amp;Matrix[[#Headers],[8]],FDR[FDR]&amp;FDR[[#Headers],[8]],FDR[8],"",0,1)</f>
        <v>4</v>
      </c>
      <c r="U576" cm="1">
        <f t="array" ref="U576">_xlfn.XLOOKUP(Matrix[[#This Row],[TEAM]]&amp;Matrix[[#Headers],[9]],FDR[FDR]&amp;FDR[[#Headers],[9]],FDR[9],"",0,1)</f>
        <v>4</v>
      </c>
      <c r="V576" cm="1">
        <f t="array" ref="V576">_xlfn.XLOOKUP(Matrix[[#This Row],[TEAM]]&amp;Matrix[[#Headers],[10]],FDR[FDR]&amp;FDR[[#Headers],[10]],FDR[10],"",0,1)</f>
        <v>4</v>
      </c>
      <c r="W576" cm="1">
        <f t="array" ref="W576">_xlfn.XLOOKUP(Matrix[[#This Row],[TEAM]]&amp;Matrix[[#Headers],[11]],FDR[FDR]&amp;FDR[[#Headers],[11]],FDR[11],"",0,1)</f>
        <v>4</v>
      </c>
      <c r="X576" cm="1">
        <f t="array" ref="X576">_xlfn.XLOOKUP(Matrix[[#This Row],[TEAM]]&amp;Matrix[[#Headers],[12]],FDR[FDR]&amp;FDR[[#Headers],[12]],FDR[12],"",0,1)</f>
        <v>4</v>
      </c>
      <c r="Y576" cm="1">
        <f t="array" ref="Y576">_xlfn.XLOOKUP(Matrix[[#This Row],[TEAM]]&amp;Matrix[[#Headers],[13]],FDR[FDR]&amp;FDR[[#Headers],[13]],FDR[13],"",0,1)</f>
        <v>1</v>
      </c>
      <c r="Z576" cm="1">
        <f t="array" ref="Z576">_xlfn.XLOOKUP(Matrix[[#This Row],[TEAM]]&amp;Matrix[[#Headers],[14]],FDR[FDR]&amp;FDR[[#Headers],[14]],FDR[14],"",0,1)</f>
        <v>5</v>
      </c>
      <c r="AA576" cm="1">
        <f t="array" ref="AA576">_xlfn.XLOOKUP(Matrix[[#This Row],[TEAM]]&amp;Matrix[[#Headers],[15]],FDR[FDR]&amp;FDR[[#Headers],[15]],FDR[15],"",0,1)</f>
        <v>5</v>
      </c>
      <c r="AB576" cm="1">
        <f t="array" ref="AB576">_xlfn.XLOOKUP(Matrix[[#This Row],[TEAM]]&amp;Matrix[[#Headers],[16]],FDR[FDR]&amp;FDR[[#Headers],[16]],FDR[16],"",0,1)</f>
        <v>1</v>
      </c>
      <c r="AC576" cm="1">
        <f t="array" ref="AC576">_xlfn.XLOOKUP(Matrix[[#This Row],[TEAM]]&amp;Matrix[[#Headers],[17]],FDR[FDR]&amp;FDR[[#Headers],[17]],FDR[17],"",0,1)</f>
        <v>2</v>
      </c>
      <c r="AD576" cm="1">
        <f t="array" ref="AD576">_xlfn.XLOOKUP(Matrix[[#This Row],[TEAM]]&amp;Matrix[[#Headers],[18]],FDR[FDR]&amp;FDR[[#Headers],[18]],FDR[18],"",0,1)</f>
        <v>3</v>
      </c>
      <c r="AE576" cm="1">
        <f t="array" ref="AE576">_xlfn.XLOOKUP(Matrix[[#This Row],[TEAM]]&amp;Matrix[[#Headers],[19]],FDR[FDR]&amp;FDR[[#Headers],[19]],FDR[19],"",0,1)</f>
        <v>4</v>
      </c>
      <c r="AF576" cm="1">
        <f t="array" ref="AF576">_xlfn.XLOOKUP(Matrix[[#This Row],[TEAM]]&amp;Matrix[[#Headers],[20]],FDR[FDR]&amp;FDR[[#Headers],[20]],FDR[20],"",0,1)</f>
        <v>4</v>
      </c>
      <c r="AG576" cm="1">
        <f t="array" ref="AG576">_xlfn.XLOOKUP(Matrix[[#This Row],[TEAM]]&amp;Matrix[[#Headers],[21]],FDR[FDR]&amp;FDR[[#Headers],[21]],FDR[21],"",0,1)</f>
        <v>1</v>
      </c>
      <c r="AH576" cm="1">
        <f t="array" ref="AH576">_xlfn.XLOOKUP(Matrix[[#This Row],[TEAM]]&amp;Matrix[[#Headers],[22]],FDR[FDR]&amp;FDR[[#Headers],[22]],FDR[22],"",0,1)</f>
        <v>5</v>
      </c>
      <c r="AI576" cm="1">
        <f t="array" ref="AI576">_xlfn.XLOOKUP(Matrix[[#This Row],[TEAM]]&amp;Matrix[[#Headers],[23]],FDR[FDR]&amp;FDR[[#Headers],[23]],FDR[23],"",0,1)</f>
        <v>3</v>
      </c>
      <c r="AJ576" cm="1">
        <f t="array" ref="AJ576">_xlfn.XLOOKUP(Matrix[[#This Row],[TEAM]]&amp;Matrix[[#Headers],[24]],FDR[FDR]&amp;FDR[[#Headers],[24]],FDR[24],"",0,1)</f>
        <v>5</v>
      </c>
      <c r="AK576" cm="1">
        <f t="array" ref="AK576">_xlfn.XLOOKUP(Matrix[[#This Row],[TEAM]]&amp;Matrix[[#Headers],[25]],FDR[FDR]&amp;FDR[[#Headers],[25]],FDR[25],"",0,1)</f>
        <v>5</v>
      </c>
      <c r="AL576" cm="1">
        <f t="array" ref="AL576">_xlfn.XLOOKUP(Matrix[[#This Row],[TEAM]]&amp;Matrix[[#Headers],[26]],FDR[FDR]&amp;FDR[[#Headers],[26]],FDR[26],"",0,1)</f>
        <v>4</v>
      </c>
      <c r="AM576" cm="1">
        <f t="array" ref="AM576">_xlfn.XLOOKUP(Matrix[[#This Row],[TEAM]]&amp;Matrix[[#Headers],[27]],FDR[FDR]&amp;FDR[[#Headers],[27]],FDR[27],"",0,1)</f>
        <v>3</v>
      </c>
      <c r="AN576" cm="1">
        <f t="array" ref="AN576">_xlfn.XLOOKUP(Matrix[[#This Row],[TEAM]]&amp;Matrix[[#Headers],[28]],FDR[FDR]&amp;FDR[[#Headers],[28]],FDR[28],"",0,1)</f>
        <v>2</v>
      </c>
      <c r="AO576" cm="1">
        <f t="array" ref="AO576">_xlfn.XLOOKUP(Matrix[[#This Row],[TEAM]]&amp;Matrix[[#Headers],[29]],FDR[FDR]&amp;FDR[[#Headers],[29]],FDR[29],"",0,1)</f>
        <v>4</v>
      </c>
      <c r="AP576" cm="1">
        <f t="array" ref="AP576">_xlfn.XLOOKUP(Matrix[[#This Row],[TEAM]]&amp;Matrix[[#Headers],[30]],FDR[FDR]&amp;FDR[[#Headers],[30]],FDR[30],"",0,1)</f>
        <v>2</v>
      </c>
      <c r="AQ576" cm="1">
        <f t="array" ref="AQ576">_xlfn.XLOOKUP(Matrix[[#This Row],[TEAM]]&amp;Matrix[[#Headers],[31]],FDR[FDR]&amp;FDR[[#Headers],[31]],FDR[31],"",0,1)</f>
        <v>2</v>
      </c>
      <c r="AR576" cm="1">
        <f t="array" ref="AR576">_xlfn.XLOOKUP(Matrix[[#This Row],[TEAM]]&amp;Matrix[[#Headers],[32]],FDR[FDR]&amp;FDR[[#Headers],[32]],FDR[32],"",0,1)</f>
        <v>3</v>
      </c>
      <c r="AS576" cm="1">
        <f t="array" ref="AS576">_xlfn.XLOOKUP(Matrix[[#This Row],[TEAM]]&amp;Matrix[[#Headers],[33]],FDR[FDR]&amp;FDR[[#Headers],[33]],FDR[33],"",0,1)</f>
        <v>3</v>
      </c>
      <c r="AT576" cm="1">
        <f t="array" ref="AT576">_xlfn.XLOOKUP(Matrix[[#This Row],[TEAM]]&amp;Matrix[[#Headers],[34]],FDR[FDR]&amp;FDR[[#Headers],[34]],FDR[34],"",0,1)</f>
        <v>5</v>
      </c>
      <c r="AU576" cm="1">
        <f t="array" ref="AU576">_xlfn.XLOOKUP(Matrix[[#This Row],[TEAM]]&amp;Matrix[[#Headers],[35]],FDR[FDR]&amp;FDR[[#Headers],[35]],FDR[35],"",0,1)</f>
        <v>3</v>
      </c>
      <c r="AV576" cm="1">
        <f t="array" ref="AV576">_xlfn.XLOOKUP(Matrix[[#This Row],[TEAM]]&amp;Matrix[[#Headers],[36]],FDR[FDR]&amp;FDR[[#Headers],[36]],FDR[36],"",0,1)</f>
        <v>5</v>
      </c>
      <c r="AW576" cm="1">
        <f t="array" ref="AW576">_xlfn.XLOOKUP(Matrix[[#This Row],[TEAM]]&amp;Matrix[[#Headers],[37]],FDR[FDR]&amp;FDR[[#Headers],[37]],FDR[37],"",0,1)</f>
        <v>3</v>
      </c>
      <c r="AX576" cm="1">
        <f t="array" ref="AX576">_xlfn.XLOOKUP(Matrix[[#This Row],[TEAM]]&amp;Matrix[[#Headers],[38]],FDR[FDR]&amp;FDR[[#Headers],[38]],FDR[38],"",0,1)</f>
        <v>5</v>
      </c>
    </row>
    <row r="577" spans="1:50" ht="22" thickTop="1" thickBot="1">
      <c r="A577" s="50" t="str">
        <f>INDEX!S$4</f>
        <v>MID</v>
      </c>
      <c r="B577" s="70" t="s">
        <v>1533</v>
      </c>
      <c r="C577" s="40" t="s">
        <v>28</v>
      </c>
      <c r="D577" s="62">
        <v>57</v>
      </c>
      <c r="E577" s="60">
        <v>2E-3</v>
      </c>
      <c r="F577" s="61">
        <v>60.2</v>
      </c>
      <c r="G577" s="63">
        <v>5</v>
      </c>
      <c r="H577" s="261">
        <f>IF(ISBLANK(I577),0,1)</f>
        <v>1</v>
      </c>
      <c r="I577" s="57" t="s">
        <v>894</v>
      </c>
      <c r="J577" s="58">
        <v>0.75</v>
      </c>
      <c r="K577" s="59" t="s">
        <v>506</v>
      </c>
      <c r="L577" s="59" t="s">
        <v>237</v>
      </c>
      <c r="M577" cm="1">
        <f t="array" ref="M577">_xlfn.XLOOKUP(Matrix[[#This Row],[TEAM]]&amp;Matrix[[#Headers],[1]],FDR[FDR]&amp;FDR[[#Headers],[1]],FDR[1],"",0,1)</f>
        <v>3</v>
      </c>
      <c r="N577" cm="1">
        <f t="array" ref="N577">_xlfn.XLOOKUP(Matrix[[#This Row],[TEAM]]&amp;Matrix[[#Headers],[2]],FDR[FDR]&amp;FDR[[#Headers],[2]],FDR[2],"",0,1)</f>
        <v>2</v>
      </c>
      <c r="O577" cm="1">
        <f t="array" ref="O577">_xlfn.XLOOKUP(Matrix[[#This Row],[TEAM]]&amp;Matrix[[#Headers],[3]],FDR[FDR]&amp;FDR[[#Headers],[3]],FDR[3],"",0,1)</f>
        <v>1</v>
      </c>
      <c r="P577" cm="1">
        <f t="array" ref="P577">_xlfn.XLOOKUP(Matrix[[#This Row],[TEAM]]&amp;Matrix[[#Headers],[4]],FDR[FDR]&amp;FDR[[#Headers],[4]],FDR[4],"",0,1)</f>
        <v>2</v>
      </c>
      <c r="Q577" cm="1">
        <f t="array" ref="Q577">_xlfn.XLOOKUP(Matrix[[#This Row],[TEAM]]&amp;Matrix[[#Headers],[5]],FDR[FDR]&amp;FDR[[#Headers],[5]],FDR[5],"",0,1)</f>
        <v>1</v>
      </c>
      <c r="R577" cm="1">
        <f t="array" ref="R577">_xlfn.XLOOKUP(Matrix[[#This Row],[TEAM]]&amp;Matrix[[#Headers],[6]],FDR[FDR]&amp;FDR[[#Headers],[6]],FDR[6],"",0,1)</f>
        <v>2</v>
      </c>
      <c r="S577" cm="1">
        <f t="array" ref="S577">_xlfn.XLOOKUP(Matrix[[#This Row],[TEAM]]&amp;Matrix[[#Headers],[7]],FDR[FDR]&amp;FDR[[#Headers],[7]],FDR[7],"",0,1)</f>
        <v>1</v>
      </c>
      <c r="T577" cm="1">
        <f t="array" ref="T577">_xlfn.XLOOKUP(Matrix[[#This Row],[TEAM]]&amp;Matrix[[#Headers],[8]],FDR[FDR]&amp;FDR[[#Headers],[8]],FDR[8],"",0,1)</f>
        <v>4</v>
      </c>
      <c r="U577" cm="1">
        <f t="array" ref="U577">_xlfn.XLOOKUP(Matrix[[#This Row],[TEAM]]&amp;Matrix[[#Headers],[9]],FDR[FDR]&amp;FDR[[#Headers],[9]],FDR[9],"",0,1)</f>
        <v>3</v>
      </c>
      <c r="V577" cm="1">
        <f t="array" ref="V577">_xlfn.XLOOKUP(Matrix[[#This Row],[TEAM]]&amp;Matrix[[#Headers],[10]],FDR[FDR]&amp;FDR[[#Headers],[10]],FDR[10],"",0,1)</f>
        <v>4</v>
      </c>
      <c r="W577" cm="1">
        <f t="array" ref="W577">_xlfn.XLOOKUP(Matrix[[#This Row],[TEAM]]&amp;Matrix[[#Headers],[11]],FDR[FDR]&amp;FDR[[#Headers],[11]],FDR[11],"",0,1)</f>
        <v>2</v>
      </c>
      <c r="X577" cm="1">
        <f t="array" ref="X577">_xlfn.XLOOKUP(Matrix[[#This Row],[TEAM]]&amp;Matrix[[#Headers],[12]],FDR[FDR]&amp;FDR[[#Headers],[12]],FDR[12],"",0,1)</f>
        <v>1</v>
      </c>
      <c r="Y577" cm="1">
        <f t="array" ref="Y577">_xlfn.XLOOKUP(Matrix[[#This Row],[TEAM]]&amp;Matrix[[#Headers],[13]],FDR[FDR]&amp;FDR[[#Headers],[13]],FDR[13],"",0,1)</f>
        <v>1</v>
      </c>
      <c r="Z577" cm="1">
        <f t="array" ref="Z577">_xlfn.XLOOKUP(Matrix[[#This Row],[TEAM]]&amp;Matrix[[#Headers],[14]],FDR[FDR]&amp;FDR[[#Headers],[14]],FDR[14],"",0,1)</f>
        <v>3</v>
      </c>
      <c r="AA577" cm="1">
        <f t="array" ref="AA577">_xlfn.XLOOKUP(Matrix[[#This Row],[TEAM]]&amp;Matrix[[#Headers],[15]],FDR[FDR]&amp;FDR[[#Headers],[15]],FDR[15],"",0,1)</f>
        <v>3</v>
      </c>
      <c r="AB577" cm="1">
        <f t="array" ref="AB577">_xlfn.XLOOKUP(Matrix[[#This Row],[TEAM]]&amp;Matrix[[#Headers],[16]],FDR[FDR]&amp;FDR[[#Headers],[16]],FDR[16],"",0,1)</f>
        <v>2</v>
      </c>
      <c r="AC577" cm="1">
        <f t="array" ref="AC577">_xlfn.XLOOKUP(Matrix[[#This Row],[TEAM]]&amp;Matrix[[#Headers],[17]],FDR[FDR]&amp;FDR[[#Headers],[17]],FDR[17],"",0,1)</f>
        <v>3</v>
      </c>
      <c r="AD577" cm="1">
        <f t="array" ref="AD577">_xlfn.XLOOKUP(Matrix[[#This Row],[TEAM]]&amp;Matrix[[#Headers],[18]],FDR[FDR]&amp;FDR[[#Headers],[18]],FDR[18],"",0,1)</f>
        <v>4</v>
      </c>
      <c r="AE577" cm="1">
        <f t="array" ref="AE577">_xlfn.XLOOKUP(Matrix[[#This Row],[TEAM]]&amp;Matrix[[#Headers],[19]],FDR[FDR]&amp;FDR[[#Headers],[19]],FDR[19],"",0,1)</f>
        <v>4</v>
      </c>
      <c r="AF577" cm="1">
        <f t="array" ref="AF577">_xlfn.XLOOKUP(Matrix[[#This Row],[TEAM]]&amp;Matrix[[#Headers],[20]],FDR[FDR]&amp;FDR[[#Headers],[20]],FDR[20],"",0,1)</f>
        <v>2</v>
      </c>
      <c r="AG577" cm="1">
        <f t="array" ref="AG577">_xlfn.XLOOKUP(Matrix[[#This Row],[TEAM]]&amp;Matrix[[#Headers],[21]],FDR[FDR]&amp;FDR[[#Headers],[21]],FDR[21],"",0,1)</f>
        <v>2</v>
      </c>
      <c r="AH577" cm="1">
        <f t="array" ref="AH577">_xlfn.XLOOKUP(Matrix[[#This Row],[TEAM]]&amp;Matrix[[#Headers],[22]],FDR[FDR]&amp;FDR[[#Headers],[22]],FDR[22],"",0,1)</f>
        <v>1</v>
      </c>
      <c r="AI577" cm="1">
        <f t="array" ref="AI577">_xlfn.XLOOKUP(Matrix[[#This Row],[TEAM]]&amp;Matrix[[#Headers],[23]],FDR[FDR]&amp;FDR[[#Headers],[23]],FDR[23],"",0,1)</f>
        <v>4</v>
      </c>
      <c r="AJ577" cm="1">
        <f t="array" ref="AJ577">_xlfn.XLOOKUP(Matrix[[#This Row],[TEAM]]&amp;Matrix[[#Headers],[24]],FDR[FDR]&amp;FDR[[#Headers],[24]],FDR[24],"",0,1)</f>
        <v>1</v>
      </c>
      <c r="AK577" cm="1">
        <f t="array" ref="AK577">_xlfn.XLOOKUP(Matrix[[#This Row],[TEAM]]&amp;Matrix[[#Headers],[25]],FDR[FDR]&amp;FDR[[#Headers],[25]],FDR[25],"",0,1)</f>
        <v>3</v>
      </c>
      <c r="AL577" cm="1">
        <f t="array" ref="AL577">_xlfn.XLOOKUP(Matrix[[#This Row],[TEAM]]&amp;Matrix[[#Headers],[26]],FDR[FDR]&amp;FDR[[#Headers],[26]],FDR[26],"",0,1)</f>
        <v>2</v>
      </c>
      <c r="AM577" cm="1">
        <f t="array" ref="AM577">_xlfn.XLOOKUP(Matrix[[#This Row],[TEAM]]&amp;Matrix[[#Headers],[27]],FDR[FDR]&amp;FDR[[#Headers],[27]],FDR[27],"",0,1)</f>
        <v>1</v>
      </c>
      <c r="AN577" cm="1">
        <f t="array" ref="AN577">_xlfn.XLOOKUP(Matrix[[#This Row],[TEAM]]&amp;Matrix[[#Headers],[28]],FDR[FDR]&amp;FDR[[#Headers],[28]],FDR[28],"",0,1)</f>
        <v>1</v>
      </c>
      <c r="AO577" cm="1">
        <f t="array" ref="AO577">_xlfn.XLOOKUP(Matrix[[#This Row],[TEAM]]&amp;Matrix[[#Headers],[29]],FDR[FDR]&amp;FDR[[#Headers],[29]],FDR[29],"",0,1)</f>
        <v>3</v>
      </c>
      <c r="AP577" cm="1">
        <f t="array" ref="AP577">_xlfn.XLOOKUP(Matrix[[#This Row],[TEAM]]&amp;Matrix[[#Headers],[30]],FDR[FDR]&amp;FDR[[#Headers],[30]],FDR[30],"",0,1)</f>
        <v>4</v>
      </c>
      <c r="AQ577" cm="1">
        <f t="array" ref="AQ577">_xlfn.XLOOKUP(Matrix[[#This Row],[TEAM]]&amp;Matrix[[#Headers],[31]],FDR[FDR]&amp;FDR[[#Headers],[31]],FDR[31],"",0,1)</f>
        <v>1</v>
      </c>
      <c r="AR577" cm="1">
        <f t="array" ref="AR577">_xlfn.XLOOKUP(Matrix[[#This Row],[TEAM]]&amp;Matrix[[#Headers],[32]],FDR[FDR]&amp;FDR[[#Headers],[32]],FDR[32],"",0,1)</f>
        <v>3</v>
      </c>
      <c r="AS577" cm="1">
        <f t="array" ref="AS577">_xlfn.XLOOKUP(Matrix[[#This Row],[TEAM]]&amp;Matrix[[#Headers],[33]],FDR[FDR]&amp;FDR[[#Headers],[33]],FDR[33],"",0,1)</f>
        <v>1</v>
      </c>
      <c r="AT577" cm="1">
        <f t="array" ref="AT577">_xlfn.XLOOKUP(Matrix[[#This Row],[TEAM]]&amp;Matrix[[#Headers],[34]],FDR[FDR]&amp;FDR[[#Headers],[34]],FDR[34],"",0,1)</f>
        <v>3</v>
      </c>
      <c r="AU577" cm="1">
        <f t="array" ref="AU577">_xlfn.XLOOKUP(Matrix[[#This Row],[TEAM]]&amp;Matrix[[#Headers],[35]],FDR[FDR]&amp;FDR[[#Headers],[35]],FDR[35],"",0,1)</f>
        <v>3</v>
      </c>
      <c r="AV577" cm="1">
        <f t="array" ref="AV577">_xlfn.XLOOKUP(Matrix[[#This Row],[TEAM]]&amp;Matrix[[#Headers],[36]],FDR[FDR]&amp;FDR[[#Headers],[36]],FDR[36],"",0,1)</f>
        <v>1</v>
      </c>
      <c r="AW577" cm="1">
        <f t="array" ref="AW577">_xlfn.XLOOKUP(Matrix[[#This Row],[TEAM]]&amp;Matrix[[#Headers],[37]],FDR[FDR]&amp;FDR[[#Headers],[37]],FDR[37],"",0,1)</f>
        <v>3</v>
      </c>
      <c r="AX577" cm="1">
        <f t="array" ref="AX577">_xlfn.XLOOKUP(Matrix[[#This Row],[TEAM]]&amp;Matrix[[#Headers],[38]],FDR[FDR]&amp;FDR[[#Headers],[38]],FDR[38],"",0,1)</f>
        <v>4</v>
      </c>
    </row>
    <row r="578" spans="1:50" ht="22" thickTop="1" thickBot="1">
      <c r="A578" s="50" t="str">
        <f>INDEX!S$4</f>
        <v>MID</v>
      </c>
      <c r="B578" s="70" t="s">
        <v>1608</v>
      </c>
      <c r="C578" s="40" t="s">
        <v>52</v>
      </c>
      <c r="D578" s="62">
        <v>54</v>
      </c>
      <c r="E578" s="60">
        <v>0</v>
      </c>
      <c r="F578" s="61">
        <v>89.4</v>
      </c>
      <c r="G578" s="63">
        <v>5</v>
      </c>
      <c r="H578" s="261">
        <f>IF(ISBLANK(I578),0,1)</f>
        <v>1</v>
      </c>
      <c r="I578" s="57" t="s">
        <v>891</v>
      </c>
      <c r="J578" s="58" t="s">
        <v>1134</v>
      </c>
      <c r="K578" s="59" t="s">
        <v>568</v>
      </c>
      <c r="L578" s="59" t="s">
        <v>883</v>
      </c>
      <c r="M578" cm="1">
        <f t="array" ref="M578">_xlfn.XLOOKUP(Matrix[[#This Row],[TEAM]]&amp;Matrix[[#Headers],[1]],FDR[FDR]&amp;FDR[[#Headers],[1]],FDR[1],"",0,1)</f>
        <v>2</v>
      </c>
      <c r="N578" cm="1">
        <f t="array" ref="N578">_xlfn.XLOOKUP(Matrix[[#This Row],[TEAM]]&amp;Matrix[[#Headers],[2]],FDR[FDR]&amp;FDR[[#Headers],[2]],FDR[2],"",0,1)</f>
        <v>3</v>
      </c>
      <c r="O578" cm="1">
        <f t="array" ref="O578">_xlfn.XLOOKUP(Matrix[[#This Row],[TEAM]]&amp;Matrix[[#Headers],[3]],FDR[FDR]&amp;FDR[[#Headers],[3]],FDR[3],"",0,1)</f>
        <v>2</v>
      </c>
      <c r="P578" cm="1">
        <f t="array" ref="P578">_xlfn.XLOOKUP(Matrix[[#This Row],[TEAM]]&amp;Matrix[[#Headers],[4]],FDR[FDR]&amp;FDR[[#Headers],[4]],FDR[4],"",0,1)</f>
        <v>5</v>
      </c>
      <c r="Q578" cm="1">
        <f t="array" ref="Q578">_xlfn.XLOOKUP(Matrix[[#This Row],[TEAM]]&amp;Matrix[[#Headers],[5]],FDR[FDR]&amp;FDR[[#Headers],[5]],FDR[5],"",0,1)</f>
        <v>2</v>
      </c>
      <c r="R578" cm="1">
        <f t="array" ref="R578">_xlfn.XLOOKUP(Matrix[[#This Row],[TEAM]]&amp;Matrix[[#Headers],[6]],FDR[FDR]&amp;FDR[[#Headers],[6]],FDR[6],"",0,1)</f>
        <v>1</v>
      </c>
      <c r="S578" cm="1">
        <f t="array" ref="S578">_xlfn.XLOOKUP(Matrix[[#This Row],[TEAM]]&amp;Matrix[[#Headers],[7]],FDR[FDR]&amp;FDR[[#Headers],[7]],FDR[7],"",0,1)</f>
        <v>5</v>
      </c>
      <c r="T578" cm="1">
        <f t="array" ref="T578">_xlfn.XLOOKUP(Matrix[[#This Row],[TEAM]]&amp;Matrix[[#Headers],[8]],FDR[FDR]&amp;FDR[[#Headers],[8]],FDR[8],"",0,1)</f>
        <v>4</v>
      </c>
      <c r="U578" cm="1">
        <f t="array" ref="U578">_xlfn.XLOOKUP(Matrix[[#This Row],[TEAM]]&amp;Matrix[[#Headers],[9]],FDR[FDR]&amp;FDR[[#Headers],[9]],FDR[9],"",0,1)</f>
        <v>4</v>
      </c>
      <c r="V578" cm="1">
        <f t="array" ref="V578">_xlfn.XLOOKUP(Matrix[[#This Row],[TEAM]]&amp;Matrix[[#Headers],[10]],FDR[FDR]&amp;FDR[[#Headers],[10]],FDR[10],"",0,1)</f>
        <v>4</v>
      </c>
      <c r="W578" cm="1">
        <f t="array" ref="W578">_xlfn.XLOOKUP(Matrix[[#This Row],[TEAM]]&amp;Matrix[[#Headers],[11]],FDR[FDR]&amp;FDR[[#Headers],[11]],FDR[11],"",0,1)</f>
        <v>1</v>
      </c>
      <c r="X578" cm="1">
        <f t="array" ref="X578">_xlfn.XLOOKUP(Matrix[[#This Row],[TEAM]]&amp;Matrix[[#Headers],[12]],FDR[FDR]&amp;FDR[[#Headers],[12]],FDR[12],"",0,1)</f>
        <v>5</v>
      </c>
      <c r="Y578" cm="1">
        <f t="array" ref="Y578">_xlfn.XLOOKUP(Matrix[[#This Row],[TEAM]]&amp;Matrix[[#Headers],[13]],FDR[FDR]&amp;FDR[[#Headers],[13]],FDR[13],"",0,1)</f>
        <v>3</v>
      </c>
      <c r="Z578" cm="1">
        <f t="array" ref="Z578">_xlfn.XLOOKUP(Matrix[[#This Row],[TEAM]]&amp;Matrix[[#Headers],[14]],FDR[FDR]&amp;FDR[[#Headers],[14]],FDR[14],"",0,1)</f>
        <v>2</v>
      </c>
      <c r="AA578" cm="1">
        <f t="array" ref="AA578">_xlfn.XLOOKUP(Matrix[[#This Row],[TEAM]]&amp;Matrix[[#Headers],[15]],FDR[FDR]&amp;FDR[[#Headers],[15]],FDR[15],"",0,1)</f>
        <v>3</v>
      </c>
      <c r="AB578" cm="1">
        <f t="array" ref="AB578">_xlfn.XLOOKUP(Matrix[[#This Row],[TEAM]]&amp;Matrix[[#Headers],[16]],FDR[FDR]&amp;FDR[[#Headers],[16]],FDR[16],"",0,1)</f>
        <v>4</v>
      </c>
      <c r="AC578" cm="1">
        <f t="array" ref="AC578">_xlfn.XLOOKUP(Matrix[[#This Row],[TEAM]]&amp;Matrix[[#Headers],[17]],FDR[FDR]&amp;FDR[[#Headers],[17]],FDR[17],"",0,1)</f>
        <v>4</v>
      </c>
      <c r="AD578" cm="1">
        <f t="array" ref="AD578">_xlfn.XLOOKUP(Matrix[[#This Row],[TEAM]]&amp;Matrix[[#Headers],[18]],FDR[FDR]&amp;FDR[[#Headers],[18]],FDR[18],"",0,1)</f>
        <v>4</v>
      </c>
      <c r="AE578" cm="1">
        <f t="array" ref="AE578">_xlfn.XLOOKUP(Matrix[[#This Row],[TEAM]]&amp;Matrix[[#Headers],[19]],FDR[FDR]&amp;FDR[[#Headers],[19]],FDR[19],"",0,1)</f>
        <v>2</v>
      </c>
      <c r="AF578" cm="1">
        <f t="array" ref="AF578">_xlfn.XLOOKUP(Matrix[[#This Row],[TEAM]]&amp;Matrix[[#Headers],[20]],FDR[FDR]&amp;FDR[[#Headers],[20]],FDR[20],"",0,1)</f>
        <v>5</v>
      </c>
      <c r="AG578" cm="1">
        <f t="array" ref="AG578">_xlfn.XLOOKUP(Matrix[[#This Row],[TEAM]]&amp;Matrix[[#Headers],[21]],FDR[FDR]&amp;FDR[[#Headers],[21]],FDR[21],"",0,1)</f>
        <v>3</v>
      </c>
      <c r="AH578" cm="1">
        <f t="array" ref="AH578">_xlfn.XLOOKUP(Matrix[[#This Row],[TEAM]]&amp;Matrix[[#Headers],[22]],FDR[FDR]&amp;FDR[[#Headers],[22]],FDR[22],"",0,1)</f>
        <v>4</v>
      </c>
      <c r="AI578" cm="1">
        <f t="array" ref="AI578">_xlfn.XLOOKUP(Matrix[[#This Row],[TEAM]]&amp;Matrix[[#Headers],[23]],FDR[FDR]&amp;FDR[[#Headers],[23]],FDR[23],"",0,1)</f>
        <v>3</v>
      </c>
      <c r="AJ578" cm="1">
        <f t="array" ref="AJ578">_xlfn.XLOOKUP(Matrix[[#This Row],[TEAM]]&amp;Matrix[[#Headers],[24]],FDR[FDR]&amp;FDR[[#Headers],[24]],FDR[24],"",0,1)</f>
        <v>2</v>
      </c>
      <c r="AK578" cm="1">
        <f t="array" ref="AK578">_xlfn.XLOOKUP(Matrix[[#This Row],[TEAM]]&amp;Matrix[[#Headers],[25]],FDR[FDR]&amp;FDR[[#Headers],[25]],FDR[25],"",0,1)</f>
        <v>2</v>
      </c>
      <c r="AL578" cm="1">
        <f t="array" ref="AL578">_xlfn.XLOOKUP(Matrix[[#This Row],[TEAM]]&amp;Matrix[[#Headers],[26]],FDR[FDR]&amp;FDR[[#Headers],[26]],FDR[26],"",0,1)</f>
        <v>1</v>
      </c>
      <c r="AM578" cm="1">
        <f t="array" ref="AM578">_xlfn.XLOOKUP(Matrix[[#This Row],[TEAM]]&amp;Matrix[[#Headers],[27]],FDR[FDR]&amp;FDR[[#Headers],[27]],FDR[27],"",0,1)</f>
        <v>4</v>
      </c>
      <c r="AN578" cm="1">
        <f t="array" ref="AN578">_xlfn.XLOOKUP(Matrix[[#This Row],[TEAM]]&amp;Matrix[[#Headers],[28]],FDR[FDR]&amp;FDR[[#Headers],[28]],FDR[28],"",0,1)</f>
        <v>4</v>
      </c>
      <c r="AO578" cm="1">
        <f t="array" ref="AO578">_xlfn.XLOOKUP(Matrix[[#This Row],[TEAM]]&amp;Matrix[[#Headers],[29]],FDR[FDR]&amp;FDR[[#Headers],[29]],FDR[29],"",0,1)</f>
        <v>5</v>
      </c>
      <c r="AP578" cm="1">
        <f t="array" ref="AP578">_xlfn.XLOOKUP(Matrix[[#This Row],[TEAM]]&amp;Matrix[[#Headers],[30]],FDR[FDR]&amp;FDR[[#Headers],[30]],FDR[30],"",0,1)</f>
        <v>3</v>
      </c>
      <c r="AQ578" cm="1">
        <f t="array" ref="AQ578">_xlfn.XLOOKUP(Matrix[[#This Row],[TEAM]]&amp;Matrix[[#Headers],[31]],FDR[FDR]&amp;FDR[[#Headers],[31]],FDR[31],"",0,1)</f>
        <v>5</v>
      </c>
      <c r="AR578" cm="1">
        <f t="array" ref="AR578">_xlfn.XLOOKUP(Matrix[[#This Row],[TEAM]]&amp;Matrix[[#Headers],[32]],FDR[FDR]&amp;FDR[[#Headers],[32]],FDR[32],"",0,1)</f>
        <v>3</v>
      </c>
      <c r="AS578" cm="1">
        <f t="array" ref="AS578">_xlfn.XLOOKUP(Matrix[[#This Row],[TEAM]]&amp;Matrix[[#Headers],[33]],FDR[FDR]&amp;FDR[[#Headers],[33]],FDR[33],"",0,1)</f>
        <v>1</v>
      </c>
      <c r="AT578" cm="1">
        <f t="array" ref="AT578">_xlfn.XLOOKUP(Matrix[[#This Row],[TEAM]]&amp;Matrix[[#Headers],[34]],FDR[FDR]&amp;FDR[[#Headers],[34]],FDR[34],"",0,1)</f>
        <v>2</v>
      </c>
      <c r="AU578" cm="1">
        <f t="array" ref="AU578">_xlfn.XLOOKUP(Matrix[[#This Row],[TEAM]]&amp;Matrix[[#Headers],[35]],FDR[FDR]&amp;FDR[[#Headers],[35]],FDR[35],"",0,1)</f>
        <v>5</v>
      </c>
      <c r="AV578" cm="1">
        <f t="array" ref="AV578">_xlfn.XLOOKUP(Matrix[[#This Row],[TEAM]]&amp;Matrix[[#Headers],[36]],FDR[FDR]&amp;FDR[[#Headers],[36]],FDR[36],"",0,1)</f>
        <v>4</v>
      </c>
      <c r="AW578" cm="1">
        <f t="array" ref="AW578">_xlfn.XLOOKUP(Matrix[[#This Row],[TEAM]]&amp;Matrix[[#Headers],[37]],FDR[FDR]&amp;FDR[[#Headers],[37]],FDR[37],"",0,1)</f>
        <v>5</v>
      </c>
      <c r="AX578" cm="1">
        <f t="array" ref="AX578">_xlfn.XLOOKUP(Matrix[[#This Row],[TEAM]]&amp;Matrix[[#Headers],[38]],FDR[FDR]&amp;FDR[[#Headers],[38]],FDR[38],"",0,1)</f>
        <v>3</v>
      </c>
    </row>
    <row r="579" spans="1:50" ht="22" thickTop="1" thickBot="1">
      <c r="A579" s="50" t="str">
        <f>INDEX!S$4</f>
        <v>MID</v>
      </c>
      <c r="B579" s="70" t="s">
        <v>1585</v>
      </c>
      <c r="C579" s="40" t="s">
        <v>25</v>
      </c>
      <c r="D579" s="62">
        <v>46</v>
      </c>
      <c r="E579" s="60">
        <v>1E-3</v>
      </c>
      <c r="F579" s="61">
        <v>63.9</v>
      </c>
      <c r="G579" s="63">
        <v>5</v>
      </c>
      <c r="H579" s="261">
        <f>IF(ISBLANK(I579),0,1)</f>
        <v>1</v>
      </c>
      <c r="I579" s="57" t="s">
        <v>992</v>
      </c>
      <c r="J579" s="58" t="s">
        <v>1097</v>
      </c>
      <c r="K579" s="59" t="s">
        <v>399</v>
      </c>
      <c r="L579" s="59" t="s">
        <v>207</v>
      </c>
      <c r="M579" cm="1">
        <f t="array" ref="M579">_xlfn.XLOOKUP(Matrix[[#This Row],[TEAM]]&amp;Matrix[[#Headers],[1]],FDR[FDR]&amp;FDR[[#Headers],[1]],FDR[1],"",0,1)</f>
        <v>3</v>
      </c>
      <c r="N579" cm="1">
        <f t="array" ref="N579">_xlfn.XLOOKUP(Matrix[[#This Row],[TEAM]]&amp;Matrix[[#Headers],[2]],FDR[FDR]&amp;FDR[[#Headers],[2]],FDR[2],"",0,1)</f>
        <v>3</v>
      </c>
      <c r="O579" cm="1">
        <f t="array" ref="O579">_xlfn.XLOOKUP(Matrix[[#This Row],[TEAM]]&amp;Matrix[[#Headers],[3]],FDR[FDR]&amp;FDR[[#Headers],[3]],FDR[3],"",0,1)</f>
        <v>1</v>
      </c>
      <c r="P579" cm="1">
        <f t="array" ref="P579">_xlfn.XLOOKUP(Matrix[[#This Row],[TEAM]]&amp;Matrix[[#Headers],[4]],FDR[FDR]&amp;FDR[[#Headers],[4]],FDR[4],"",0,1)</f>
        <v>1</v>
      </c>
      <c r="Q579" cm="1">
        <f t="array" ref="Q579">_xlfn.XLOOKUP(Matrix[[#This Row],[TEAM]]&amp;Matrix[[#Headers],[5]],FDR[FDR]&amp;FDR[[#Headers],[5]],FDR[5],"",0,1)</f>
        <v>2</v>
      </c>
      <c r="R579" cm="1">
        <f t="array" ref="R579">_xlfn.XLOOKUP(Matrix[[#This Row],[TEAM]]&amp;Matrix[[#Headers],[6]],FDR[FDR]&amp;FDR[[#Headers],[6]],FDR[6],"",0,1)</f>
        <v>3</v>
      </c>
      <c r="S579" cm="1">
        <f t="array" ref="S579">_xlfn.XLOOKUP(Matrix[[#This Row],[TEAM]]&amp;Matrix[[#Headers],[7]],FDR[FDR]&amp;FDR[[#Headers],[7]],FDR[7],"",0,1)</f>
        <v>2</v>
      </c>
      <c r="T579" cm="1">
        <f t="array" ref="T579">_xlfn.XLOOKUP(Matrix[[#This Row],[TEAM]]&amp;Matrix[[#Headers],[8]],FDR[FDR]&amp;FDR[[#Headers],[8]],FDR[8],"",0,1)</f>
        <v>2</v>
      </c>
      <c r="U579" cm="1">
        <f t="array" ref="U579">_xlfn.XLOOKUP(Matrix[[#This Row],[TEAM]]&amp;Matrix[[#Headers],[9]],FDR[FDR]&amp;FDR[[#Headers],[9]],FDR[9],"",0,1)</f>
        <v>2</v>
      </c>
      <c r="V579" cm="1">
        <f t="array" ref="V579">_xlfn.XLOOKUP(Matrix[[#This Row],[TEAM]]&amp;Matrix[[#Headers],[10]],FDR[FDR]&amp;FDR[[#Headers],[10]],FDR[10],"",0,1)</f>
        <v>2</v>
      </c>
      <c r="W579" cm="1">
        <f t="array" ref="W579">_xlfn.XLOOKUP(Matrix[[#This Row],[TEAM]]&amp;Matrix[[#Headers],[11]],FDR[FDR]&amp;FDR[[#Headers],[11]],FDR[11],"",0,1)</f>
        <v>2</v>
      </c>
      <c r="X579" cm="1">
        <f t="array" ref="X579">_xlfn.XLOOKUP(Matrix[[#This Row],[TEAM]]&amp;Matrix[[#Headers],[12]],FDR[FDR]&amp;FDR[[#Headers],[12]],FDR[12],"",0,1)</f>
        <v>3</v>
      </c>
      <c r="Y579" cm="1">
        <f t="array" ref="Y579">_xlfn.XLOOKUP(Matrix[[#This Row],[TEAM]]&amp;Matrix[[#Headers],[13]],FDR[FDR]&amp;FDR[[#Headers],[13]],FDR[13],"",0,1)</f>
        <v>2</v>
      </c>
      <c r="Z579" cm="1">
        <f t="array" ref="Z579">_xlfn.XLOOKUP(Matrix[[#This Row],[TEAM]]&amp;Matrix[[#Headers],[14]],FDR[FDR]&amp;FDR[[#Headers],[14]],FDR[14],"",0,1)</f>
        <v>3</v>
      </c>
      <c r="AA579" cm="1">
        <f t="array" ref="AA579">_xlfn.XLOOKUP(Matrix[[#This Row],[TEAM]]&amp;Matrix[[#Headers],[15]],FDR[FDR]&amp;FDR[[#Headers],[15]],FDR[15],"",0,1)</f>
        <v>1</v>
      </c>
      <c r="AB579" cm="1">
        <f t="array" ref="AB579">_xlfn.XLOOKUP(Matrix[[#This Row],[TEAM]]&amp;Matrix[[#Headers],[16]],FDR[FDR]&amp;FDR[[#Headers],[16]],FDR[16],"",0,1)</f>
        <v>1</v>
      </c>
      <c r="AC579" cm="1">
        <f t="array" ref="AC579">_xlfn.XLOOKUP(Matrix[[#This Row],[TEAM]]&amp;Matrix[[#Headers],[17]],FDR[FDR]&amp;FDR[[#Headers],[17]],FDR[17],"",0,1)</f>
        <v>3</v>
      </c>
      <c r="AD579" cm="1">
        <f t="array" ref="AD579">_xlfn.XLOOKUP(Matrix[[#This Row],[TEAM]]&amp;Matrix[[#Headers],[18]],FDR[FDR]&amp;FDR[[#Headers],[18]],FDR[18],"",0,1)</f>
        <v>4</v>
      </c>
      <c r="AE579" cm="1">
        <f t="array" ref="AE579">_xlfn.XLOOKUP(Matrix[[#This Row],[TEAM]]&amp;Matrix[[#Headers],[19]],FDR[FDR]&amp;FDR[[#Headers],[19]],FDR[19],"",0,1)</f>
        <v>1</v>
      </c>
      <c r="AF579" cm="1">
        <f t="array" ref="AF579">_xlfn.XLOOKUP(Matrix[[#This Row],[TEAM]]&amp;Matrix[[#Headers],[20]],FDR[FDR]&amp;FDR[[#Headers],[20]],FDR[20],"",0,1)</f>
        <v>1</v>
      </c>
      <c r="AG579" cm="1">
        <f t="array" ref="AG579">_xlfn.XLOOKUP(Matrix[[#This Row],[TEAM]]&amp;Matrix[[#Headers],[21]],FDR[FDR]&amp;FDR[[#Headers],[21]],FDR[21],"",0,1)</f>
        <v>1</v>
      </c>
      <c r="AH579" cm="1">
        <f t="array" ref="AH579">_xlfn.XLOOKUP(Matrix[[#This Row],[TEAM]]&amp;Matrix[[#Headers],[22]],FDR[FDR]&amp;FDR[[#Headers],[22]],FDR[22],"",0,1)</f>
        <v>1</v>
      </c>
      <c r="AI579" cm="1">
        <f t="array" ref="AI579">_xlfn.XLOOKUP(Matrix[[#This Row],[TEAM]]&amp;Matrix[[#Headers],[23]],FDR[FDR]&amp;FDR[[#Headers],[23]],FDR[23],"",0,1)</f>
        <v>2</v>
      </c>
      <c r="AJ579" cm="1">
        <f t="array" ref="AJ579">_xlfn.XLOOKUP(Matrix[[#This Row],[TEAM]]&amp;Matrix[[#Headers],[24]],FDR[FDR]&amp;FDR[[#Headers],[24]],FDR[24],"",0,1)</f>
        <v>4</v>
      </c>
      <c r="AK579" cm="1">
        <f t="array" ref="AK579">_xlfn.XLOOKUP(Matrix[[#This Row],[TEAM]]&amp;Matrix[[#Headers],[25]],FDR[FDR]&amp;FDR[[#Headers],[25]],FDR[25],"",0,1)</f>
        <v>1</v>
      </c>
      <c r="AL579" cm="1">
        <f t="array" ref="AL579">_xlfn.XLOOKUP(Matrix[[#This Row],[TEAM]]&amp;Matrix[[#Headers],[26]],FDR[FDR]&amp;FDR[[#Headers],[26]],FDR[26],"",0,1)</f>
        <v>4</v>
      </c>
      <c r="AM579" cm="1">
        <f t="array" ref="AM579">_xlfn.XLOOKUP(Matrix[[#This Row],[TEAM]]&amp;Matrix[[#Headers],[27]],FDR[FDR]&amp;FDR[[#Headers],[27]],FDR[27],"",0,1)</f>
        <v>4</v>
      </c>
      <c r="AN579" cm="1">
        <f t="array" ref="AN579">_xlfn.XLOOKUP(Matrix[[#This Row],[TEAM]]&amp;Matrix[[#Headers],[28]],FDR[FDR]&amp;FDR[[#Headers],[28]],FDR[28],"",0,1)</f>
        <v>1</v>
      </c>
      <c r="AO579" cm="1">
        <f t="array" ref="AO579">_xlfn.XLOOKUP(Matrix[[#This Row],[TEAM]]&amp;Matrix[[#Headers],[29]],FDR[FDR]&amp;FDR[[#Headers],[29]],FDR[29],"",0,1)</f>
        <v>3</v>
      </c>
      <c r="AP579" cm="1">
        <f t="array" ref="AP579">_xlfn.XLOOKUP(Matrix[[#This Row],[TEAM]]&amp;Matrix[[#Headers],[30]],FDR[FDR]&amp;FDR[[#Headers],[30]],FDR[30],"",0,1)</f>
        <v>4</v>
      </c>
      <c r="AQ579" cm="1">
        <f t="array" ref="AQ579">_xlfn.XLOOKUP(Matrix[[#This Row],[TEAM]]&amp;Matrix[[#Headers],[31]],FDR[FDR]&amp;FDR[[#Headers],[31]],FDR[31],"",0,1)</f>
        <v>1</v>
      </c>
      <c r="AR579" cm="1">
        <f t="array" ref="AR579">_xlfn.XLOOKUP(Matrix[[#This Row],[TEAM]]&amp;Matrix[[#Headers],[32]],FDR[FDR]&amp;FDR[[#Headers],[32]],FDR[32],"",0,1)</f>
        <v>2</v>
      </c>
      <c r="AS579" cm="1">
        <f t="array" ref="AS579">_xlfn.XLOOKUP(Matrix[[#This Row],[TEAM]]&amp;Matrix[[#Headers],[33]],FDR[FDR]&amp;FDR[[#Headers],[33]],FDR[33],"",0,1)</f>
        <v>2</v>
      </c>
      <c r="AT579" cm="1">
        <f t="array" ref="AT579">_xlfn.XLOOKUP(Matrix[[#This Row],[TEAM]]&amp;Matrix[[#Headers],[34]],FDR[FDR]&amp;FDR[[#Headers],[34]],FDR[34],"",0,1)</f>
        <v>4</v>
      </c>
      <c r="AU579" cm="1">
        <f t="array" ref="AU579">_xlfn.XLOOKUP(Matrix[[#This Row],[TEAM]]&amp;Matrix[[#Headers],[35]],FDR[FDR]&amp;FDR[[#Headers],[35]],FDR[35],"",0,1)</f>
        <v>2</v>
      </c>
      <c r="AV579" cm="1">
        <f t="array" ref="AV579">_xlfn.XLOOKUP(Matrix[[#This Row],[TEAM]]&amp;Matrix[[#Headers],[36]],FDR[FDR]&amp;FDR[[#Headers],[36]],FDR[36],"",0,1)</f>
        <v>2</v>
      </c>
      <c r="AW579" cm="1">
        <f t="array" ref="AW579">_xlfn.XLOOKUP(Matrix[[#This Row],[TEAM]]&amp;Matrix[[#Headers],[37]],FDR[FDR]&amp;FDR[[#Headers],[37]],FDR[37],"",0,1)</f>
        <v>1</v>
      </c>
      <c r="AX579" cm="1">
        <f t="array" ref="AX579">_xlfn.XLOOKUP(Matrix[[#This Row],[TEAM]]&amp;Matrix[[#Headers],[38]],FDR[FDR]&amp;FDR[[#Headers],[38]],FDR[38],"",0,1)</f>
        <v>2</v>
      </c>
    </row>
    <row r="580" spans="1:50" ht="22" thickTop="1" thickBot="1">
      <c r="A580" s="50" t="str">
        <f>INDEX!S$4</f>
        <v>MID</v>
      </c>
      <c r="B580" s="70" t="s">
        <v>1569</v>
      </c>
      <c r="C580" s="40" t="s">
        <v>26</v>
      </c>
      <c r="D580" s="62">
        <v>45</v>
      </c>
      <c r="E580" s="60">
        <v>1E-3</v>
      </c>
      <c r="F580" s="61">
        <v>68.2</v>
      </c>
      <c r="G580" s="63">
        <v>5</v>
      </c>
      <c r="H580" s="261">
        <f>IF(ISBLANK(I580),0,1)</f>
        <v>1</v>
      </c>
      <c r="I580" s="57" t="s">
        <v>891</v>
      </c>
      <c r="J580" s="58">
        <v>0.25</v>
      </c>
      <c r="K580" s="59" t="s">
        <v>849</v>
      </c>
      <c r="L580" s="59" t="s">
        <v>850</v>
      </c>
      <c r="M580" cm="1">
        <f t="array" ref="M580">_xlfn.XLOOKUP(Matrix[[#This Row],[TEAM]]&amp;Matrix[[#Headers],[1]],FDR[FDR]&amp;FDR[[#Headers],[1]],FDR[1],"",0,1)</f>
        <v>5</v>
      </c>
      <c r="N580" cm="1">
        <f t="array" ref="N580">_xlfn.XLOOKUP(Matrix[[#This Row],[TEAM]]&amp;Matrix[[#Headers],[2]],FDR[FDR]&amp;FDR[[#Headers],[2]],FDR[2],"",0,1)</f>
        <v>3</v>
      </c>
      <c r="O580" cm="1">
        <f t="array" ref="O580">_xlfn.XLOOKUP(Matrix[[#This Row],[TEAM]]&amp;Matrix[[#Headers],[3]],FDR[FDR]&amp;FDR[[#Headers],[3]],FDR[3],"",0,1)</f>
        <v>5</v>
      </c>
      <c r="P580" cm="1">
        <f t="array" ref="P580">_xlfn.XLOOKUP(Matrix[[#This Row],[TEAM]]&amp;Matrix[[#Headers],[4]],FDR[FDR]&amp;FDR[[#Headers],[4]],FDR[4],"",0,1)</f>
        <v>1</v>
      </c>
      <c r="Q580" cm="1">
        <f t="array" ref="Q580">_xlfn.XLOOKUP(Matrix[[#This Row],[TEAM]]&amp;Matrix[[#Headers],[5]],FDR[FDR]&amp;FDR[[#Headers],[5]],FDR[5],"",0,1)</f>
        <v>4</v>
      </c>
      <c r="R580" cm="1">
        <f t="array" ref="R580">_xlfn.XLOOKUP(Matrix[[#This Row],[TEAM]]&amp;Matrix[[#Headers],[6]],FDR[FDR]&amp;FDR[[#Headers],[6]],FDR[6],"",0,1)</f>
        <v>4</v>
      </c>
      <c r="S580" cm="1">
        <f t="array" ref="S580">_xlfn.XLOOKUP(Matrix[[#This Row],[TEAM]]&amp;Matrix[[#Headers],[7]],FDR[FDR]&amp;FDR[[#Headers],[7]],FDR[7],"",0,1)</f>
        <v>4</v>
      </c>
      <c r="T580" cm="1">
        <f t="array" ref="T580">_xlfn.XLOOKUP(Matrix[[#This Row],[TEAM]]&amp;Matrix[[#Headers],[8]],FDR[FDR]&amp;FDR[[#Headers],[8]],FDR[8],"",0,1)</f>
        <v>3</v>
      </c>
      <c r="U580" cm="1">
        <f t="array" ref="U580">_xlfn.XLOOKUP(Matrix[[#This Row],[TEAM]]&amp;Matrix[[#Headers],[9]],FDR[FDR]&amp;FDR[[#Headers],[9]],FDR[9],"",0,1)</f>
        <v>5</v>
      </c>
      <c r="V580" cm="1">
        <f t="array" ref="V580">_xlfn.XLOOKUP(Matrix[[#This Row],[TEAM]]&amp;Matrix[[#Headers],[10]],FDR[FDR]&amp;FDR[[#Headers],[10]],FDR[10],"",0,1)</f>
        <v>3</v>
      </c>
      <c r="W580" cm="1">
        <f t="array" ref="W580">_xlfn.XLOOKUP(Matrix[[#This Row],[TEAM]]&amp;Matrix[[#Headers],[11]],FDR[FDR]&amp;FDR[[#Headers],[11]],FDR[11],"",0,1)</f>
        <v>3</v>
      </c>
      <c r="X580" cm="1">
        <f t="array" ref="X580">_xlfn.XLOOKUP(Matrix[[#This Row],[TEAM]]&amp;Matrix[[#Headers],[12]],FDR[FDR]&amp;FDR[[#Headers],[12]],FDR[12],"",0,1)</f>
        <v>2</v>
      </c>
      <c r="Y580" cm="1">
        <f t="array" ref="Y580">_xlfn.XLOOKUP(Matrix[[#This Row],[TEAM]]&amp;Matrix[[#Headers],[13]],FDR[FDR]&amp;FDR[[#Headers],[13]],FDR[13],"",0,1)</f>
        <v>4</v>
      </c>
      <c r="Z580" cm="1">
        <f t="array" ref="Z580">_xlfn.XLOOKUP(Matrix[[#This Row],[TEAM]]&amp;Matrix[[#Headers],[14]],FDR[FDR]&amp;FDR[[#Headers],[14]],FDR[14],"",0,1)</f>
        <v>2</v>
      </c>
      <c r="AA580" cm="1">
        <f t="array" ref="AA580">_xlfn.XLOOKUP(Matrix[[#This Row],[TEAM]]&amp;Matrix[[#Headers],[15]],FDR[FDR]&amp;FDR[[#Headers],[15]],FDR[15],"",0,1)</f>
        <v>4</v>
      </c>
      <c r="AB580" cm="1">
        <f t="array" ref="AB580">_xlfn.XLOOKUP(Matrix[[#This Row],[TEAM]]&amp;Matrix[[#Headers],[16]],FDR[FDR]&amp;FDR[[#Headers],[16]],FDR[16],"",0,1)</f>
        <v>4</v>
      </c>
      <c r="AC580" cm="1">
        <f t="array" ref="AC580">_xlfn.XLOOKUP(Matrix[[#This Row],[TEAM]]&amp;Matrix[[#Headers],[17]],FDR[FDR]&amp;FDR[[#Headers],[17]],FDR[17],"",0,1)</f>
        <v>2</v>
      </c>
      <c r="AD580" cm="1">
        <f t="array" ref="AD580">_xlfn.XLOOKUP(Matrix[[#This Row],[TEAM]]&amp;Matrix[[#Headers],[18]],FDR[FDR]&amp;FDR[[#Headers],[18]],FDR[18],"",0,1)</f>
        <v>4</v>
      </c>
      <c r="AE580" cm="1">
        <f t="array" ref="AE580">_xlfn.XLOOKUP(Matrix[[#This Row],[TEAM]]&amp;Matrix[[#Headers],[19]],FDR[FDR]&amp;FDR[[#Headers],[19]],FDR[19],"",0,1)</f>
        <v>3</v>
      </c>
      <c r="AF580" cm="1">
        <f t="array" ref="AF580">_xlfn.XLOOKUP(Matrix[[#This Row],[TEAM]]&amp;Matrix[[#Headers],[20]],FDR[FDR]&amp;FDR[[#Headers],[20]],FDR[20],"",0,1)</f>
        <v>5</v>
      </c>
      <c r="AG580" cm="1">
        <f t="array" ref="AG580">_xlfn.XLOOKUP(Matrix[[#This Row],[TEAM]]&amp;Matrix[[#Headers],[21]],FDR[FDR]&amp;FDR[[#Headers],[21]],FDR[21],"",0,1)</f>
        <v>4</v>
      </c>
      <c r="AH580" cm="1">
        <f t="array" ref="AH580">_xlfn.XLOOKUP(Matrix[[#This Row],[TEAM]]&amp;Matrix[[#Headers],[22]],FDR[FDR]&amp;FDR[[#Headers],[22]],FDR[22],"",0,1)</f>
        <v>2</v>
      </c>
      <c r="AI580" cm="1">
        <f t="array" ref="AI580">_xlfn.XLOOKUP(Matrix[[#This Row],[TEAM]]&amp;Matrix[[#Headers],[23]],FDR[FDR]&amp;FDR[[#Headers],[23]],FDR[23],"",0,1)</f>
        <v>4</v>
      </c>
      <c r="AJ580" cm="1">
        <f t="array" ref="AJ580">_xlfn.XLOOKUP(Matrix[[#This Row],[TEAM]]&amp;Matrix[[#Headers],[24]],FDR[FDR]&amp;FDR[[#Headers],[24]],FDR[24],"",0,1)</f>
        <v>4</v>
      </c>
      <c r="AK580" cm="1">
        <f t="array" ref="AK580">_xlfn.XLOOKUP(Matrix[[#This Row],[TEAM]]&amp;Matrix[[#Headers],[25]],FDR[FDR]&amp;FDR[[#Headers],[25]],FDR[25],"",0,1)</f>
        <v>4</v>
      </c>
      <c r="AL580" cm="1">
        <f t="array" ref="AL580">_xlfn.XLOOKUP(Matrix[[#This Row],[TEAM]]&amp;Matrix[[#Headers],[26]],FDR[FDR]&amp;FDR[[#Headers],[26]],FDR[26],"",0,1)</f>
        <v>1</v>
      </c>
      <c r="AM580" cm="1">
        <f t="array" ref="AM580">_xlfn.XLOOKUP(Matrix[[#This Row],[TEAM]]&amp;Matrix[[#Headers],[27]],FDR[FDR]&amp;FDR[[#Headers],[27]],FDR[27],"",0,1)</f>
        <v>2</v>
      </c>
      <c r="AN580" cm="1">
        <f t="array" ref="AN580">_xlfn.XLOOKUP(Matrix[[#This Row],[TEAM]]&amp;Matrix[[#Headers],[28]],FDR[FDR]&amp;FDR[[#Headers],[28]],FDR[28],"",0,1)</f>
        <v>5</v>
      </c>
      <c r="AO580" cm="1">
        <f t="array" ref="AO580">_xlfn.XLOOKUP(Matrix[[#This Row],[TEAM]]&amp;Matrix[[#Headers],[29]],FDR[FDR]&amp;FDR[[#Headers],[29]],FDR[29],"",0,1)</f>
        <v>5</v>
      </c>
      <c r="AP580" cm="1">
        <f t="array" ref="AP580">_xlfn.XLOOKUP(Matrix[[#This Row],[TEAM]]&amp;Matrix[[#Headers],[30]],FDR[FDR]&amp;FDR[[#Headers],[30]],FDR[30],"",0,1)</f>
        <v>1</v>
      </c>
      <c r="AQ580" cm="1">
        <f t="array" ref="AQ580">_xlfn.XLOOKUP(Matrix[[#This Row],[TEAM]]&amp;Matrix[[#Headers],[31]],FDR[FDR]&amp;FDR[[#Headers],[31]],FDR[31],"",0,1)</f>
        <v>5</v>
      </c>
      <c r="AR580" cm="1">
        <f t="array" ref="AR580">_xlfn.XLOOKUP(Matrix[[#This Row],[TEAM]]&amp;Matrix[[#Headers],[32]],FDR[FDR]&amp;FDR[[#Headers],[32]],FDR[32],"",0,1)</f>
        <v>4</v>
      </c>
      <c r="AS580" cm="1">
        <f t="array" ref="AS580">_xlfn.XLOOKUP(Matrix[[#This Row],[TEAM]]&amp;Matrix[[#Headers],[33]],FDR[FDR]&amp;FDR[[#Headers],[33]],FDR[33],"",0,1)</f>
        <v>3</v>
      </c>
      <c r="AT580" cm="1">
        <f t="array" ref="AT580">_xlfn.XLOOKUP(Matrix[[#This Row],[TEAM]]&amp;Matrix[[#Headers],[34]],FDR[FDR]&amp;FDR[[#Headers],[34]],FDR[34],"",0,1)</f>
        <v>5</v>
      </c>
      <c r="AU580" cm="1">
        <f t="array" ref="AU580">_xlfn.XLOOKUP(Matrix[[#This Row],[TEAM]]&amp;Matrix[[#Headers],[35]],FDR[FDR]&amp;FDR[[#Headers],[35]],FDR[35],"",0,1)</f>
        <v>4</v>
      </c>
      <c r="AV580" cm="1">
        <f t="array" ref="AV580">_xlfn.XLOOKUP(Matrix[[#This Row],[TEAM]]&amp;Matrix[[#Headers],[36]],FDR[FDR]&amp;FDR[[#Headers],[36]],FDR[36],"",0,1)</f>
        <v>3</v>
      </c>
      <c r="AW580" cm="1">
        <f t="array" ref="AW580">_xlfn.XLOOKUP(Matrix[[#This Row],[TEAM]]&amp;Matrix[[#Headers],[37]],FDR[FDR]&amp;FDR[[#Headers],[37]],FDR[37],"",0,1)</f>
        <v>4</v>
      </c>
      <c r="AX580" cm="1">
        <f t="array" ref="AX580">_xlfn.XLOOKUP(Matrix[[#This Row],[TEAM]]&amp;Matrix[[#Headers],[38]],FDR[FDR]&amp;FDR[[#Headers],[38]],FDR[38],"",0,1)</f>
        <v>4</v>
      </c>
    </row>
    <row r="581" spans="1:50" ht="22" thickTop="1" thickBot="1">
      <c r="A581" s="50" t="str">
        <f>INDEX!S$4</f>
        <v>MID</v>
      </c>
      <c r="B581" s="70" t="s">
        <v>1552</v>
      </c>
      <c r="C581" s="40" t="s">
        <v>43</v>
      </c>
      <c r="D581" s="62">
        <v>23</v>
      </c>
      <c r="E581" s="60">
        <v>1E-3</v>
      </c>
      <c r="F581" s="61">
        <v>42.3</v>
      </c>
      <c r="G581" s="63">
        <v>5</v>
      </c>
      <c r="H581" s="261">
        <f>IF(ISBLANK(I581),0,1)</f>
        <v>1</v>
      </c>
      <c r="I581" s="57" t="s">
        <v>994</v>
      </c>
      <c r="J581" s="58">
        <v>0.75</v>
      </c>
      <c r="K581" s="59" t="s">
        <v>481</v>
      </c>
      <c r="L581" s="59" t="s">
        <v>825</v>
      </c>
      <c r="M581" cm="1">
        <f t="array" ref="M581">_xlfn.XLOOKUP(Matrix[[#This Row],[TEAM]]&amp;Matrix[[#Headers],[1]],FDR[FDR]&amp;FDR[[#Headers],[1]],FDR[1],"",0,1)</f>
        <v>5</v>
      </c>
      <c r="N581" cm="1">
        <f t="array" ref="N581">_xlfn.XLOOKUP(Matrix[[#This Row],[TEAM]]&amp;Matrix[[#Headers],[2]],FDR[FDR]&amp;FDR[[#Headers],[2]],FDR[2],"",0,1)</f>
        <v>1</v>
      </c>
      <c r="O581" cm="1">
        <f t="array" ref="O581">_xlfn.XLOOKUP(Matrix[[#This Row],[TEAM]]&amp;Matrix[[#Headers],[3]],FDR[FDR]&amp;FDR[[#Headers],[3]],FDR[3],"",0,1)</f>
        <v>5</v>
      </c>
      <c r="P581" cm="1">
        <f t="array" ref="P581">_xlfn.XLOOKUP(Matrix[[#This Row],[TEAM]]&amp;Matrix[[#Headers],[4]],FDR[FDR]&amp;FDR[[#Headers],[4]],FDR[4],"",0,1)</f>
        <v>3</v>
      </c>
      <c r="Q581" cm="1">
        <f t="array" ref="Q581">_xlfn.XLOOKUP(Matrix[[#This Row],[TEAM]]&amp;Matrix[[#Headers],[5]],FDR[FDR]&amp;FDR[[#Headers],[5]],FDR[5],"",0,1)</f>
        <v>4</v>
      </c>
      <c r="R581" cm="1">
        <f t="array" ref="R581">_xlfn.XLOOKUP(Matrix[[#This Row],[TEAM]]&amp;Matrix[[#Headers],[6]],FDR[FDR]&amp;FDR[[#Headers],[6]],FDR[6],"",0,1)</f>
        <v>2</v>
      </c>
      <c r="S581" cm="1">
        <f t="array" ref="S581">_xlfn.XLOOKUP(Matrix[[#This Row],[TEAM]]&amp;Matrix[[#Headers],[7]],FDR[FDR]&amp;FDR[[#Headers],[7]],FDR[7],"",0,1)</f>
        <v>3</v>
      </c>
      <c r="T581" cm="1">
        <f t="array" ref="T581">_xlfn.XLOOKUP(Matrix[[#This Row],[TEAM]]&amp;Matrix[[#Headers],[8]],FDR[FDR]&amp;FDR[[#Headers],[8]],FDR[8],"",0,1)</f>
        <v>3</v>
      </c>
      <c r="U581" cm="1">
        <f t="array" ref="U581">_xlfn.XLOOKUP(Matrix[[#This Row],[TEAM]]&amp;Matrix[[#Headers],[9]],FDR[FDR]&amp;FDR[[#Headers],[9]],FDR[9],"",0,1)</f>
        <v>3</v>
      </c>
      <c r="V581" cm="1">
        <f t="array" ref="V581">_xlfn.XLOOKUP(Matrix[[#This Row],[TEAM]]&amp;Matrix[[#Headers],[10]],FDR[FDR]&amp;FDR[[#Headers],[10]],FDR[10],"",0,1)</f>
        <v>5</v>
      </c>
      <c r="W581" cm="1">
        <f t="array" ref="W581">_xlfn.XLOOKUP(Matrix[[#This Row],[TEAM]]&amp;Matrix[[#Headers],[11]],FDR[FDR]&amp;FDR[[#Headers],[11]],FDR[11],"",0,1)</f>
        <v>5</v>
      </c>
      <c r="X581" cm="1">
        <f t="array" ref="X581">_xlfn.XLOOKUP(Matrix[[#This Row],[TEAM]]&amp;Matrix[[#Headers],[12]],FDR[FDR]&amp;FDR[[#Headers],[12]],FDR[12],"",0,1)</f>
        <v>2</v>
      </c>
      <c r="Y581" cm="1">
        <f t="array" ref="Y581">_xlfn.XLOOKUP(Matrix[[#This Row],[TEAM]]&amp;Matrix[[#Headers],[13]],FDR[FDR]&amp;FDR[[#Headers],[13]],FDR[13],"",0,1)</f>
        <v>2</v>
      </c>
      <c r="Z581" cm="1">
        <f t="array" ref="Z581">_xlfn.XLOOKUP(Matrix[[#This Row],[TEAM]]&amp;Matrix[[#Headers],[14]],FDR[FDR]&amp;FDR[[#Headers],[14]],FDR[14],"",0,1)</f>
        <v>2</v>
      </c>
      <c r="AA581" cm="1">
        <f t="array" ref="AA581">_xlfn.XLOOKUP(Matrix[[#This Row],[TEAM]]&amp;Matrix[[#Headers],[15]],FDR[FDR]&amp;FDR[[#Headers],[15]],FDR[15],"",0,1)</f>
        <v>4</v>
      </c>
      <c r="AB581" cm="1">
        <f t="array" ref="AB581">_xlfn.XLOOKUP(Matrix[[#This Row],[TEAM]]&amp;Matrix[[#Headers],[16]],FDR[FDR]&amp;FDR[[#Headers],[16]],FDR[16],"",0,1)</f>
        <v>5</v>
      </c>
      <c r="AC581" cm="1">
        <f t="array" ref="AC581">_xlfn.XLOOKUP(Matrix[[#This Row],[TEAM]]&amp;Matrix[[#Headers],[17]],FDR[FDR]&amp;FDR[[#Headers],[17]],FDR[17],"",0,1)</f>
        <v>1</v>
      </c>
      <c r="AD581" cm="1">
        <f t="array" ref="AD581">_xlfn.XLOOKUP(Matrix[[#This Row],[TEAM]]&amp;Matrix[[#Headers],[18]],FDR[FDR]&amp;FDR[[#Headers],[18]],FDR[18],"",0,1)</f>
        <v>3</v>
      </c>
      <c r="AE581" cm="1">
        <f t="array" ref="AE581">_xlfn.XLOOKUP(Matrix[[#This Row],[TEAM]]&amp;Matrix[[#Headers],[19]],FDR[FDR]&amp;FDR[[#Headers],[19]],FDR[19],"",0,1)</f>
        <v>5</v>
      </c>
      <c r="AF581" cm="1">
        <f t="array" ref="AF581">_xlfn.XLOOKUP(Matrix[[#This Row],[TEAM]]&amp;Matrix[[#Headers],[20]],FDR[FDR]&amp;FDR[[#Headers],[20]],FDR[20],"",0,1)</f>
        <v>4</v>
      </c>
      <c r="AG581" cm="1">
        <f t="array" ref="AG581">_xlfn.XLOOKUP(Matrix[[#This Row],[TEAM]]&amp;Matrix[[#Headers],[21]],FDR[FDR]&amp;FDR[[#Headers],[21]],FDR[21],"",0,1)</f>
        <v>4</v>
      </c>
      <c r="AH581" cm="1">
        <f t="array" ref="AH581">_xlfn.XLOOKUP(Matrix[[#This Row],[TEAM]]&amp;Matrix[[#Headers],[22]],FDR[FDR]&amp;FDR[[#Headers],[22]],FDR[22],"",0,1)</f>
        <v>4</v>
      </c>
      <c r="AI581" cm="1">
        <f t="array" ref="AI581">_xlfn.XLOOKUP(Matrix[[#This Row],[TEAM]]&amp;Matrix[[#Headers],[23]],FDR[FDR]&amp;FDR[[#Headers],[23]],FDR[23],"",0,1)</f>
        <v>4</v>
      </c>
      <c r="AJ581" cm="1">
        <f t="array" ref="AJ581">_xlfn.XLOOKUP(Matrix[[#This Row],[TEAM]]&amp;Matrix[[#Headers],[24]],FDR[FDR]&amp;FDR[[#Headers],[24]],FDR[24],"",0,1)</f>
        <v>2</v>
      </c>
      <c r="AK581" cm="1">
        <f t="array" ref="AK581">_xlfn.XLOOKUP(Matrix[[#This Row],[TEAM]]&amp;Matrix[[#Headers],[25]],FDR[FDR]&amp;FDR[[#Headers],[25]],FDR[25],"",0,1)</f>
        <v>3</v>
      </c>
      <c r="AL581" cm="1">
        <f t="array" ref="AL581">_xlfn.XLOOKUP(Matrix[[#This Row],[TEAM]]&amp;Matrix[[#Headers],[26]],FDR[FDR]&amp;FDR[[#Headers],[26]],FDR[26],"",0,1)</f>
        <v>3</v>
      </c>
      <c r="AM581" cm="1">
        <f t="array" ref="AM581">_xlfn.XLOOKUP(Matrix[[#This Row],[TEAM]]&amp;Matrix[[#Headers],[27]],FDR[FDR]&amp;FDR[[#Headers],[27]],FDR[27],"",0,1)</f>
        <v>3</v>
      </c>
      <c r="AN581" cm="1">
        <f t="array" ref="AN581">_xlfn.XLOOKUP(Matrix[[#This Row],[TEAM]]&amp;Matrix[[#Headers],[28]],FDR[FDR]&amp;FDR[[#Headers],[28]],FDR[28],"",0,1)</f>
        <v>1</v>
      </c>
      <c r="AO581" cm="1">
        <f t="array" ref="AO581">_xlfn.XLOOKUP(Matrix[[#This Row],[TEAM]]&amp;Matrix[[#Headers],[29]],FDR[FDR]&amp;FDR[[#Headers],[29]],FDR[29],"",0,1)</f>
        <v>2</v>
      </c>
      <c r="AP581" cm="1">
        <f t="array" ref="AP581">_xlfn.XLOOKUP(Matrix[[#This Row],[TEAM]]&amp;Matrix[[#Headers],[30]],FDR[FDR]&amp;FDR[[#Headers],[30]],FDR[30],"",0,1)</f>
        <v>2</v>
      </c>
      <c r="AQ581" cm="1">
        <f t="array" ref="AQ581">_xlfn.XLOOKUP(Matrix[[#This Row],[TEAM]]&amp;Matrix[[#Headers],[31]],FDR[FDR]&amp;FDR[[#Headers],[31]],FDR[31],"",0,1)</f>
        <v>4</v>
      </c>
      <c r="AR581" cm="1">
        <f t="array" ref="AR581">_xlfn.XLOOKUP(Matrix[[#This Row],[TEAM]]&amp;Matrix[[#Headers],[32]],FDR[FDR]&amp;FDR[[#Headers],[32]],FDR[32],"",0,1)</f>
        <v>5</v>
      </c>
      <c r="AS581" cm="1">
        <f t="array" ref="AS581">_xlfn.XLOOKUP(Matrix[[#This Row],[TEAM]]&amp;Matrix[[#Headers],[33]],FDR[FDR]&amp;FDR[[#Headers],[33]],FDR[33],"",0,1)</f>
        <v>5</v>
      </c>
      <c r="AT581" cm="1">
        <f t="array" ref="AT581">_xlfn.XLOOKUP(Matrix[[#This Row],[TEAM]]&amp;Matrix[[#Headers],[34]],FDR[FDR]&amp;FDR[[#Headers],[34]],FDR[34],"",0,1)</f>
        <v>1</v>
      </c>
      <c r="AU581" cm="1">
        <f t="array" ref="AU581">_xlfn.XLOOKUP(Matrix[[#This Row],[TEAM]]&amp;Matrix[[#Headers],[35]],FDR[FDR]&amp;FDR[[#Headers],[35]],FDR[35],"",0,1)</f>
        <v>2</v>
      </c>
      <c r="AV581" cm="1">
        <f t="array" ref="AV581">_xlfn.XLOOKUP(Matrix[[#This Row],[TEAM]]&amp;Matrix[[#Headers],[36]],FDR[FDR]&amp;FDR[[#Headers],[36]],FDR[36],"",0,1)</f>
        <v>4</v>
      </c>
      <c r="AW581" cm="1">
        <f t="array" ref="AW581">_xlfn.XLOOKUP(Matrix[[#This Row],[TEAM]]&amp;Matrix[[#Headers],[37]],FDR[FDR]&amp;FDR[[#Headers],[37]],FDR[37],"",0,1)</f>
        <v>4</v>
      </c>
      <c r="AX581" cm="1">
        <f t="array" ref="AX581">_xlfn.XLOOKUP(Matrix[[#This Row],[TEAM]]&amp;Matrix[[#Headers],[38]],FDR[FDR]&amp;FDR[[#Headers],[38]],FDR[38],"",0,1)</f>
        <v>4</v>
      </c>
    </row>
    <row r="582" spans="1:50" ht="22" thickTop="1" thickBot="1">
      <c r="A582" s="50" t="str">
        <f>INDEX!S$4</f>
        <v>MID</v>
      </c>
      <c r="B582" s="70" t="s">
        <v>1605</v>
      </c>
      <c r="C582" s="40" t="s">
        <v>26</v>
      </c>
      <c r="D582" s="62">
        <v>19</v>
      </c>
      <c r="E582" s="60">
        <v>0</v>
      </c>
      <c r="F582" s="61">
        <v>10.8</v>
      </c>
      <c r="G582" s="63">
        <v>5</v>
      </c>
      <c r="H582" s="261">
        <f>IF(ISBLANK(I582),0,1)</f>
        <v>1</v>
      </c>
      <c r="I582" s="57" t="s">
        <v>891</v>
      </c>
      <c r="J582" s="58" t="s">
        <v>1981</v>
      </c>
      <c r="K582" s="59" t="s">
        <v>472</v>
      </c>
      <c r="L582" s="59" t="s">
        <v>469</v>
      </c>
      <c r="M582" cm="1">
        <f t="array" ref="M582">_xlfn.XLOOKUP(Matrix[[#This Row],[TEAM]]&amp;Matrix[[#Headers],[1]],FDR[FDR]&amp;FDR[[#Headers],[1]],FDR[1],"",0,1)</f>
        <v>5</v>
      </c>
      <c r="N582" cm="1">
        <f t="array" ref="N582">_xlfn.XLOOKUP(Matrix[[#This Row],[TEAM]]&amp;Matrix[[#Headers],[2]],FDR[FDR]&amp;FDR[[#Headers],[2]],FDR[2],"",0,1)</f>
        <v>3</v>
      </c>
      <c r="O582" cm="1">
        <f t="array" ref="O582">_xlfn.XLOOKUP(Matrix[[#This Row],[TEAM]]&amp;Matrix[[#Headers],[3]],FDR[FDR]&amp;FDR[[#Headers],[3]],FDR[3],"",0,1)</f>
        <v>5</v>
      </c>
      <c r="P582" cm="1">
        <f t="array" ref="P582">_xlfn.XLOOKUP(Matrix[[#This Row],[TEAM]]&amp;Matrix[[#Headers],[4]],FDR[FDR]&amp;FDR[[#Headers],[4]],FDR[4],"",0,1)</f>
        <v>1</v>
      </c>
      <c r="Q582" cm="1">
        <f t="array" ref="Q582">_xlfn.XLOOKUP(Matrix[[#This Row],[TEAM]]&amp;Matrix[[#Headers],[5]],FDR[FDR]&amp;FDR[[#Headers],[5]],FDR[5],"",0,1)</f>
        <v>4</v>
      </c>
      <c r="R582" cm="1">
        <f t="array" ref="R582">_xlfn.XLOOKUP(Matrix[[#This Row],[TEAM]]&amp;Matrix[[#Headers],[6]],FDR[FDR]&amp;FDR[[#Headers],[6]],FDR[6],"",0,1)</f>
        <v>4</v>
      </c>
      <c r="S582" cm="1">
        <f t="array" ref="S582">_xlfn.XLOOKUP(Matrix[[#This Row],[TEAM]]&amp;Matrix[[#Headers],[7]],FDR[FDR]&amp;FDR[[#Headers],[7]],FDR[7],"",0,1)</f>
        <v>4</v>
      </c>
      <c r="T582" cm="1">
        <f t="array" ref="T582">_xlfn.XLOOKUP(Matrix[[#This Row],[TEAM]]&amp;Matrix[[#Headers],[8]],FDR[FDR]&amp;FDR[[#Headers],[8]],FDR[8],"",0,1)</f>
        <v>3</v>
      </c>
      <c r="U582" cm="1">
        <f t="array" ref="U582">_xlfn.XLOOKUP(Matrix[[#This Row],[TEAM]]&amp;Matrix[[#Headers],[9]],FDR[FDR]&amp;FDR[[#Headers],[9]],FDR[9],"",0,1)</f>
        <v>5</v>
      </c>
      <c r="V582" cm="1">
        <f t="array" ref="V582">_xlfn.XLOOKUP(Matrix[[#This Row],[TEAM]]&amp;Matrix[[#Headers],[10]],FDR[FDR]&amp;FDR[[#Headers],[10]],FDR[10],"",0,1)</f>
        <v>3</v>
      </c>
      <c r="W582" cm="1">
        <f t="array" ref="W582">_xlfn.XLOOKUP(Matrix[[#This Row],[TEAM]]&amp;Matrix[[#Headers],[11]],FDR[FDR]&amp;FDR[[#Headers],[11]],FDR[11],"",0,1)</f>
        <v>3</v>
      </c>
      <c r="X582" cm="1">
        <f t="array" ref="X582">_xlfn.XLOOKUP(Matrix[[#This Row],[TEAM]]&amp;Matrix[[#Headers],[12]],FDR[FDR]&amp;FDR[[#Headers],[12]],FDR[12],"",0,1)</f>
        <v>2</v>
      </c>
      <c r="Y582" cm="1">
        <f t="array" ref="Y582">_xlfn.XLOOKUP(Matrix[[#This Row],[TEAM]]&amp;Matrix[[#Headers],[13]],FDR[FDR]&amp;FDR[[#Headers],[13]],FDR[13],"",0,1)</f>
        <v>4</v>
      </c>
      <c r="Z582" cm="1">
        <f t="array" ref="Z582">_xlfn.XLOOKUP(Matrix[[#This Row],[TEAM]]&amp;Matrix[[#Headers],[14]],FDR[FDR]&amp;FDR[[#Headers],[14]],FDR[14],"",0,1)</f>
        <v>2</v>
      </c>
      <c r="AA582" cm="1">
        <f t="array" ref="AA582">_xlfn.XLOOKUP(Matrix[[#This Row],[TEAM]]&amp;Matrix[[#Headers],[15]],FDR[FDR]&amp;FDR[[#Headers],[15]],FDR[15],"",0,1)</f>
        <v>4</v>
      </c>
      <c r="AB582" cm="1">
        <f t="array" ref="AB582">_xlfn.XLOOKUP(Matrix[[#This Row],[TEAM]]&amp;Matrix[[#Headers],[16]],FDR[FDR]&amp;FDR[[#Headers],[16]],FDR[16],"",0,1)</f>
        <v>4</v>
      </c>
      <c r="AC582" cm="1">
        <f t="array" ref="AC582">_xlfn.XLOOKUP(Matrix[[#This Row],[TEAM]]&amp;Matrix[[#Headers],[17]],FDR[FDR]&amp;FDR[[#Headers],[17]],FDR[17],"",0,1)</f>
        <v>2</v>
      </c>
      <c r="AD582" cm="1">
        <f t="array" ref="AD582">_xlfn.XLOOKUP(Matrix[[#This Row],[TEAM]]&amp;Matrix[[#Headers],[18]],FDR[FDR]&amp;FDR[[#Headers],[18]],FDR[18],"",0,1)</f>
        <v>4</v>
      </c>
      <c r="AE582" cm="1">
        <f t="array" ref="AE582">_xlfn.XLOOKUP(Matrix[[#This Row],[TEAM]]&amp;Matrix[[#Headers],[19]],FDR[FDR]&amp;FDR[[#Headers],[19]],FDR[19],"",0,1)</f>
        <v>3</v>
      </c>
      <c r="AF582" cm="1">
        <f t="array" ref="AF582">_xlfn.XLOOKUP(Matrix[[#This Row],[TEAM]]&amp;Matrix[[#Headers],[20]],FDR[FDR]&amp;FDR[[#Headers],[20]],FDR[20],"",0,1)</f>
        <v>5</v>
      </c>
      <c r="AG582" cm="1">
        <f t="array" ref="AG582">_xlfn.XLOOKUP(Matrix[[#This Row],[TEAM]]&amp;Matrix[[#Headers],[21]],FDR[FDR]&amp;FDR[[#Headers],[21]],FDR[21],"",0,1)</f>
        <v>4</v>
      </c>
      <c r="AH582" cm="1">
        <f t="array" ref="AH582">_xlfn.XLOOKUP(Matrix[[#This Row],[TEAM]]&amp;Matrix[[#Headers],[22]],FDR[FDR]&amp;FDR[[#Headers],[22]],FDR[22],"",0,1)</f>
        <v>2</v>
      </c>
      <c r="AI582" cm="1">
        <f t="array" ref="AI582">_xlfn.XLOOKUP(Matrix[[#This Row],[TEAM]]&amp;Matrix[[#Headers],[23]],FDR[FDR]&amp;FDR[[#Headers],[23]],FDR[23],"",0,1)</f>
        <v>4</v>
      </c>
      <c r="AJ582" cm="1">
        <f t="array" ref="AJ582">_xlfn.XLOOKUP(Matrix[[#This Row],[TEAM]]&amp;Matrix[[#Headers],[24]],FDR[FDR]&amp;FDR[[#Headers],[24]],FDR[24],"",0,1)</f>
        <v>4</v>
      </c>
      <c r="AK582" cm="1">
        <f t="array" ref="AK582">_xlfn.XLOOKUP(Matrix[[#This Row],[TEAM]]&amp;Matrix[[#Headers],[25]],FDR[FDR]&amp;FDR[[#Headers],[25]],FDR[25],"",0,1)</f>
        <v>4</v>
      </c>
      <c r="AL582" cm="1">
        <f t="array" ref="AL582">_xlfn.XLOOKUP(Matrix[[#This Row],[TEAM]]&amp;Matrix[[#Headers],[26]],FDR[FDR]&amp;FDR[[#Headers],[26]],FDR[26],"",0,1)</f>
        <v>1</v>
      </c>
      <c r="AM582" cm="1">
        <f t="array" ref="AM582">_xlfn.XLOOKUP(Matrix[[#This Row],[TEAM]]&amp;Matrix[[#Headers],[27]],FDR[FDR]&amp;FDR[[#Headers],[27]],FDR[27],"",0,1)</f>
        <v>2</v>
      </c>
      <c r="AN582" cm="1">
        <f t="array" ref="AN582">_xlfn.XLOOKUP(Matrix[[#This Row],[TEAM]]&amp;Matrix[[#Headers],[28]],FDR[FDR]&amp;FDR[[#Headers],[28]],FDR[28],"",0,1)</f>
        <v>5</v>
      </c>
      <c r="AO582" cm="1">
        <f t="array" ref="AO582">_xlfn.XLOOKUP(Matrix[[#This Row],[TEAM]]&amp;Matrix[[#Headers],[29]],FDR[FDR]&amp;FDR[[#Headers],[29]],FDR[29],"",0,1)</f>
        <v>5</v>
      </c>
      <c r="AP582" cm="1">
        <f t="array" ref="AP582">_xlfn.XLOOKUP(Matrix[[#This Row],[TEAM]]&amp;Matrix[[#Headers],[30]],FDR[FDR]&amp;FDR[[#Headers],[30]],FDR[30],"",0,1)</f>
        <v>1</v>
      </c>
      <c r="AQ582" cm="1">
        <f t="array" ref="AQ582">_xlfn.XLOOKUP(Matrix[[#This Row],[TEAM]]&amp;Matrix[[#Headers],[31]],FDR[FDR]&amp;FDR[[#Headers],[31]],FDR[31],"",0,1)</f>
        <v>5</v>
      </c>
      <c r="AR582" cm="1">
        <f t="array" ref="AR582">_xlfn.XLOOKUP(Matrix[[#This Row],[TEAM]]&amp;Matrix[[#Headers],[32]],FDR[FDR]&amp;FDR[[#Headers],[32]],FDR[32],"",0,1)</f>
        <v>4</v>
      </c>
      <c r="AS582" cm="1">
        <f t="array" ref="AS582">_xlfn.XLOOKUP(Matrix[[#This Row],[TEAM]]&amp;Matrix[[#Headers],[33]],FDR[FDR]&amp;FDR[[#Headers],[33]],FDR[33],"",0,1)</f>
        <v>3</v>
      </c>
      <c r="AT582" cm="1">
        <f t="array" ref="AT582">_xlfn.XLOOKUP(Matrix[[#This Row],[TEAM]]&amp;Matrix[[#Headers],[34]],FDR[FDR]&amp;FDR[[#Headers],[34]],FDR[34],"",0,1)</f>
        <v>5</v>
      </c>
      <c r="AU582" cm="1">
        <f t="array" ref="AU582">_xlfn.XLOOKUP(Matrix[[#This Row],[TEAM]]&amp;Matrix[[#Headers],[35]],FDR[FDR]&amp;FDR[[#Headers],[35]],FDR[35],"",0,1)</f>
        <v>4</v>
      </c>
      <c r="AV582" cm="1">
        <f t="array" ref="AV582">_xlfn.XLOOKUP(Matrix[[#This Row],[TEAM]]&amp;Matrix[[#Headers],[36]],FDR[FDR]&amp;FDR[[#Headers],[36]],FDR[36],"",0,1)</f>
        <v>3</v>
      </c>
      <c r="AW582" cm="1">
        <f t="array" ref="AW582">_xlfn.XLOOKUP(Matrix[[#This Row],[TEAM]]&amp;Matrix[[#Headers],[37]],FDR[FDR]&amp;FDR[[#Headers],[37]],FDR[37],"",0,1)</f>
        <v>4</v>
      </c>
      <c r="AX582" cm="1">
        <f t="array" ref="AX582">_xlfn.XLOOKUP(Matrix[[#This Row],[TEAM]]&amp;Matrix[[#Headers],[38]],FDR[FDR]&amp;FDR[[#Headers],[38]],FDR[38],"",0,1)</f>
        <v>4</v>
      </c>
    </row>
    <row r="583" spans="1:50" ht="22" thickTop="1" thickBot="1">
      <c r="A583" s="50" t="str">
        <f>INDEX!S$4</f>
        <v>MID</v>
      </c>
      <c r="B583" s="70" t="s">
        <v>1594</v>
      </c>
      <c r="C583" s="40" t="s">
        <v>27</v>
      </c>
      <c r="D583" s="62">
        <v>12</v>
      </c>
      <c r="E583" s="60">
        <v>1E-3</v>
      </c>
      <c r="F583" s="61">
        <v>10.8</v>
      </c>
      <c r="G583" s="63">
        <v>5</v>
      </c>
      <c r="H583" s="261">
        <f>IF(ISBLANK(I583),0,1)</f>
        <v>1</v>
      </c>
      <c r="I583" s="57" t="s">
        <v>1193</v>
      </c>
      <c r="J583" s="58" t="s">
        <v>1981</v>
      </c>
      <c r="K583" s="59" t="s">
        <v>481</v>
      </c>
      <c r="L583" s="59" t="s">
        <v>1993</v>
      </c>
      <c r="M583" cm="1">
        <f t="array" ref="M583">_xlfn.XLOOKUP(Matrix[[#This Row],[TEAM]]&amp;Matrix[[#Headers],[1]],FDR[FDR]&amp;FDR[[#Headers],[1]],FDR[1],"",0,1)</f>
        <v>2</v>
      </c>
      <c r="N583" cm="1">
        <f t="array" ref="N583">_xlfn.XLOOKUP(Matrix[[#This Row],[TEAM]]&amp;Matrix[[#Headers],[2]],FDR[FDR]&amp;FDR[[#Headers],[2]],FDR[2],"",0,1)</f>
        <v>4</v>
      </c>
      <c r="O583" cm="1">
        <f t="array" ref="O583">_xlfn.XLOOKUP(Matrix[[#This Row],[TEAM]]&amp;Matrix[[#Headers],[3]],FDR[FDR]&amp;FDR[[#Headers],[3]],FDR[3],"",0,1)</f>
        <v>4</v>
      </c>
      <c r="P583" cm="1">
        <f t="array" ref="P583">_xlfn.XLOOKUP(Matrix[[#This Row],[TEAM]]&amp;Matrix[[#Headers],[4]],FDR[FDR]&amp;FDR[[#Headers],[4]],FDR[4],"",0,1)</f>
        <v>4</v>
      </c>
      <c r="Q583" cm="1">
        <f t="array" ref="Q583">_xlfn.XLOOKUP(Matrix[[#This Row],[TEAM]]&amp;Matrix[[#Headers],[5]],FDR[FDR]&amp;FDR[[#Headers],[5]],FDR[5],"",0,1)</f>
        <v>3</v>
      </c>
      <c r="R583" cm="1">
        <f t="array" ref="R583">_xlfn.XLOOKUP(Matrix[[#This Row],[TEAM]]&amp;Matrix[[#Headers],[6]],FDR[FDR]&amp;FDR[[#Headers],[6]],FDR[6],"",0,1)</f>
        <v>4</v>
      </c>
      <c r="S583" cm="1">
        <f t="array" ref="S583">_xlfn.XLOOKUP(Matrix[[#This Row],[TEAM]]&amp;Matrix[[#Headers],[7]],FDR[FDR]&amp;FDR[[#Headers],[7]],FDR[7],"",0,1)</f>
        <v>5</v>
      </c>
      <c r="T583" cm="1">
        <f t="array" ref="T583">_xlfn.XLOOKUP(Matrix[[#This Row],[TEAM]]&amp;Matrix[[#Headers],[8]],FDR[FDR]&amp;FDR[[#Headers],[8]],FDR[8],"",0,1)</f>
        <v>3</v>
      </c>
      <c r="U583" cm="1">
        <f t="array" ref="U583">_xlfn.XLOOKUP(Matrix[[#This Row],[TEAM]]&amp;Matrix[[#Headers],[9]],FDR[FDR]&amp;FDR[[#Headers],[9]],FDR[9],"",0,1)</f>
        <v>2</v>
      </c>
      <c r="V583" cm="1">
        <f t="array" ref="V583">_xlfn.XLOOKUP(Matrix[[#This Row],[TEAM]]&amp;Matrix[[#Headers],[10]],FDR[FDR]&amp;FDR[[#Headers],[10]],FDR[10],"",0,1)</f>
        <v>4</v>
      </c>
      <c r="W583" cm="1">
        <f t="array" ref="W583">_xlfn.XLOOKUP(Matrix[[#This Row],[TEAM]]&amp;Matrix[[#Headers],[11]],FDR[FDR]&amp;FDR[[#Headers],[11]],FDR[11],"",0,1)</f>
        <v>1</v>
      </c>
      <c r="X583" cm="1">
        <f t="array" ref="X583">_xlfn.XLOOKUP(Matrix[[#This Row],[TEAM]]&amp;Matrix[[#Headers],[12]],FDR[FDR]&amp;FDR[[#Headers],[12]],FDR[12],"",0,1)</f>
        <v>4</v>
      </c>
      <c r="Y583" cm="1">
        <f t="array" ref="Y583">_xlfn.XLOOKUP(Matrix[[#This Row],[TEAM]]&amp;Matrix[[#Headers],[13]],FDR[FDR]&amp;FDR[[#Headers],[13]],FDR[13],"",0,1)</f>
        <v>4</v>
      </c>
      <c r="Z583" cm="1">
        <f t="array" ref="Z583">_xlfn.XLOOKUP(Matrix[[#This Row],[TEAM]]&amp;Matrix[[#Headers],[14]],FDR[FDR]&amp;FDR[[#Headers],[14]],FDR[14],"",0,1)</f>
        <v>5</v>
      </c>
      <c r="AA583" cm="1">
        <f t="array" ref="AA583">_xlfn.XLOOKUP(Matrix[[#This Row],[TEAM]]&amp;Matrix[[#Headers],[15]],FDR[FDR]&amp;FDR[[#Headers],[15]],FDR[15],"",0,1)</f>
        <v>4</v>
      </c>
      <c r="AB583" cm="1">
        <f t="array" ref="AB583">_xlfn.XLOOKUP(Matrix[[#This Row],[TEAM]]&amp;Matrix[[#Headers],[16]],FDR[FDR]&amp;FDR[[#Headers],[16]],FDR[16],"",0,1)</f>
        <v>4</v>
      </c>
      <c r="AC583" cm="1">
        <f t="array" ref="AC583">_xlfn.XLOOKUP(Matrix[[#This Row],[TEAM]]&amp;Matrix[[#Headers],[17]],FDR[FDR]&amp;FDR[[#Headers],[17]],FDR[17],"",0,1)</f>
        <v>5</v>
      </c>
      <c r="AD583" cm="1">
        <f t="array" ref="AD583">_xlfn.XLOOKUP(Matrix[[#This Row],[TEAM]]&amp;Matrix[[#Headers],[18]],FDR[FDR]&amp;FDR[[#Headers],[18]],FDR[18],"",0,1)</f>
        <v>3</v>
      </c>
      <c r="AE583" cm="1">
        <f t="array" ref="AE583">_xlfn.XLOOKUP(Matrix[[#This Row],[TEAM]]&amp;Matrix[[#Headers],[19]],FDR[FDR]&amp;FDR[[#Headers],[19]],FDR[19],"",0,1)</f>
        <v>3</v>
      </c>
      <c r="AF583" cm="1">
        <f t="array" ref="AF583">_xlfn.XLOOKUP(Matrix[[#This Row],[TEAM]]&amp;Matrix[[#Headers],[20]],FDR[FDR]&amp;FDR[[#Headers],[20]],FDR[20],"",0,1)</f>
        <v>2</v>
      </c>
      <c r="AG583" cm="1">
        <f t="array" ref="AG583">_xlfn.XLOOKUP(Matrix[[#This Row],[TEAM]]&amp;Matrix[[#Headers],[21]],FDR[FDR]&amp;FDR[[#Headers],[21]],FDR[21],"",0,1)</f>
        <v>3</v>
      </c>
      <c r="AH583" cm="1">
        <f t="array" ref="AH583">_xlfn.XLOOKUP(Matrix[[#This Row],[TEAM]]&amp;Matrix[[#Headers],[22]],FDR[FDR]&amp;FDR[[#Headers],[22]],FDR[22],"",0,1)</f>
        <v>5</v>
      </c>
      <c r="AI583" cm="1">
        <f t="array" ref="AI583">_xlfn.XLOOKUP(Matrix[[#This Row],[TEAM]]&amp;Matrix[[#Headers],[23]],FDR[FDR]&amp;FDR[[#Headers],[23]],FDR[23],"",0,1)</f>
        <v>1</v>
      </c>
      <c r="AJ583" cm="1">
        <f t="array" ref="AJ583">_xlfn.XLOOKUP(Matrix[[#This Row],[TEAM]]&amp;Matrix[[#Headers],[24]],FDR[FDR]&amp;FDR[[#Headers],[24]],FDR[24],"",0,1)</f>
        <v>5</v>
      </c>
      <c r="AK583" cm="1">
        <f t="array" ref="AK583">_xlfn.XLOOKUP(Matrix[[#This Row],[TEAM]]&amp;Matrix[[#Headers],[25]],FDR[FDR]&amp;FDR[[#Headers],[25]],FDR[25],"",0,1)</f>
        <v>2</v>
      </c>
      <c r="AL583" cm="1">
        <f t="array" ref="AL583">_xlfn.XLOOKUP(Matrix[[#This Row],[TEAM]]&amp;Matrix[[#Headers],[26]],FDR[FDR]&amp;FDR[[#Headers],[26]],FDR[26],"",0,1)</f>
        <v>4</v>
      </c>
      <c r="AM583" cm="1">
        <f t="array" ref="AM583">_xlfn.XLOOKUP(Matrix[[#This Row],[TEAM]]&amp;Matrix[[#Headers],[27]],FDR[FDR]&amp;FDR[[#Headers],[27]],FDR[27],"",0,1)</f>
        <v>3</v>
      </c>
      <c r="AN583" cm="1">
        <f t="array" ref="AN583">_xlfn.XLOOKUP(Matrix[[#This Row],[TEAM]]&amp;Matrix[[#Headers],[28]],FDR[FDR]&amp;FDR[[#Headers],[28]],FDR[28],"",0,1)</f>
        <v>5</v>
      </c>
      <c r="AO583" cm="1">
        <f t="array" ref="AO583">_xlfn.XLOOKUP(Matrix[[#This Row],[TEAM]]&amp;Matrix[[#Headers],[29]],FDR[FDR]&amp;FDR[[#Headers],[29]],FDR[29],"",0,1)</f>
        <v>4</v>
      </c>
      <c r="AP583" cm="1">
        <f t="array" ref="AP583">_xlfn.XLOOKUP(Matrix[[#This Row],[TEAM]]&amp;Matrix[[#Headers],[30]],FDR[FDR]&amp;FDR[[#Headers],[30]],FDR[30],"",0,1)</f>
        <v>4</v>
      </c>
      <c r="AQ583" cm="1">
        <f t="array" ref="AQ583">_xlfn.XLOOKUP(Matrix[[#This Row],[TEAM]]&amp;Matrix[[#Headers],[31]],FDR[FDR]&amp;FDR[[#Headers],[31]],FDR[31],"",0,1)</f>
        <v>5</v>
      </c>
      <c r="AR583" cm="1">
        <f t="array" ref="AR583">_xlfn.XLOOKUP(Matrix[[#This Row],[TEAM]]&amp;Matrix[[#Headers],[32]],FDR[FDR]&amp;FDR[[#Headers],[32]],FDR[32],"",0,1)</f>
        <v>2</v>
      </c>
      <c r="AS583" cm="1">
        <f t="array" ref="AS583">_xlfn.XLOOKUP(Matrix[[#This Row],[TEAM]]&amp;Matrix[[#Headers],[33]],FDR[FDR]&amp;FDR[[#Headers],[33]],FDR[33],"",0,1)</f>
        <v>4</v>
      </c>
      <c r="AT583" cm="1">
        <f t="array" ref="AT583">_xlfn.XLOOKUP(Matrix[[#This Row],[TEAM]]&amp;Matrix[[#Headers],[34]],FDR[FDR]&amp;FDR[[#Headers],[34]],FDR[34],"",0,1)</f>
        <v>3</v>
      </c>
      <c r="AU583" cm="1">
        <f t="array" ref="AU583">_xlfn.XLOOKUP(Matrix[[#This Row],[TEAM]]&amp;Matrix[[#Headers],[35]],FDR[FDR]&amp;FDR[[#Headers],[35]],FDR[35],"",0,1)</f>
        <v>4</v>
      </c>
      <c r="AV583" cm="1">
        <f t="array" ref="AV583">_xlfn.XLOOKUP(Matrix[[#This Row],[TEAM]]&amp;Matrix[[#Headers],[36]],FDR[FDR]&amp;FDR[[#Headers],[36]],FDR[36],"",0,1)</f>
        <v>4</v>
      </c>
      <c r="AW583" cm="1">
        <f t="array" ref="AW583">_xlfn.XLOOKUP(Matrix[[#This Row],[TEAM]]&amp;Matrix[[#Headers],[37]],FDR[FDR]&amp;FDR[[#Headers],[37]],FDR[37],"",0,1)</f>
        <v>5</v>
      </c>
      <c r="AX583" cm="1">
        <f t="array" ref="AX583">_xlfn.XLOOKUP(Matrix[[#This Row],[TEAM]]&amp;Matrix[[#Headers],[38]],FDR[FDR]&amp;FDR[[#Headers],[38]],FDR[38],"",0,1)</f>
        <v>1</v>
      </c>
    </row>
    <row r="584" spans="1:50" ht="22" thickTop="1" thickBot="1">
      <c r="A584" s="50" t="str">
        <f>INDEX!S$4</f>
        <v>MID</v>
      </c>
      <c r="B584" s="70" t="s">
        <v>1604</v>
      </c>
      <c r="C584" s="40" t="s">
        <v>18</v>
      </c>
      <c r="D584" s="62">
        <v>7</v>
      </c>
      <c r="E584" s="60">
        <v>0</v>
      </c>
      <c r="F584" s="61">
        <v>8.5</v>
      </c>
      <c r="G584" s="63">
        <v>5</v>
      </c>
      <c r="H584" s="261">
        <f>IF(ISBLANK(I584),0,1)</f>
        <v>1</v>
      </c>
      <c r="I584" s="57" t="s">
        <v>837</v>
      </c>
      <c r="J584" s="58" t="s">
        <v>1981</v>
      </c>
      <c r="K584" s="59" t="s">
        <v>538</v>
      </c>
      <c r="L584" s="59" t="s">
        <v>197</v>
      </c>
      <c r="M584" cm="1">
        <f t="array" ref="M584">_xlfn.XLOOKUP(Matrix[[#This Row],[TEAM]]&amp;Matrix[[#Headers],[1]],FDR[FDR]&amp;FDR[[#Headers],[1]],FDR[1],"",0,1)</f>
        <v>1</v>
      </c>
      <c r="N584" cm="1">
        <f t="array" ref="N584">_xlfn.XLOOKUP(Matrix[[#This Row],[TEAM]]&amp;Matrix[[#Headers],[2]],FDR[FDR]&amp;FDR[[#Headers],[2]],FDR[2],"",0,1)</f>
        <v>2</v>
      </c>
      <c r="O584" cm="1">
        <f t="array" ref="O584">_xlfn.XLOOKUP(Matrix[[#This Row],[TEAM]]&amp;Matrix[[#Headers],[3]],FDR[FDR]&amp;FDR[[#Headers],[3]],FDR[3],"",0,1)</f>
        <v>1</v>
      </c>
      <c r="P584" cm="1">
        <f t="array" ref="P584">_xlfn.XLOOKUP(Matrix[[#This Row],[TEAM]]&amp;Matrix[[#Headers],[4]],FDR[FDR]&amp;FDR[[#Headers],[4]],FDR[4],"",0,1)</f>
        <v>2</v>
      </c>
      <c r="Q584" cm="1">
        <f t="array" ref="Q584">_xlfn.XLOOKUP(Matrix[[#This Row],[TEAM]]&amp;Matrix[[#Headers],[5]],FDR[FDR]&amp;FDR[[#Headers],[5]],FDR[5],"",0,1)</f>
        <v>3</v>
      </c>
      <c r="R584" cm="1">
        <f t="array" ref="R584">_xlfn.XLOOKUP(Matrix[[#This Row],[TEAM]]&amp;Matrix[[#Headers],[6]],FDR[FDR]&amp;FDR[[#Headers],[6]],FDR[6],"",0,1)</f>
        <v>1</v>
      </c>
      <c r="S584" cm="1">
        <f t="array" ref="S584">_xlfn.XLOOKUP(Matrix[[#This Row],[TEAM]]&amp;Matrix[[#Headers],[7]],FDR[FDR]&amp;FDR[[#Headers],[7]],FDR[7],"",0,1)</f>
        <v>3</v>
      </c>
      <c r="T584" cm="1">
        <f t="array" ref="T584">_xlfn.XLOOKUP(Matrix[[#This Row],[TEAM]]&amp;Matrix[[#Headers],[8]],FDR[FDR]&amp;FDR[[#Headers],[8]],FDR[8],"",0,1)</f>
        <v>2</v>
      </c>
      <c r="U584" cm="1">
        <f t="array" ref="U584">_xlfn.XLOOKUP(Matrix[[#This Row],[TEAM]]&amp;Matrix[[#Headers],[9]],FDR[FDR]&amp;FDR[[#Headers],[9]],FDR[9],"",0,1)</f>
        <v>1</v>
      </c>
      <c r="V584" cm="1">
        <f t="array" ref="V584">_xlfn.XLOOKUP(Matrix[[#This Row],[TEAM]]&amp;Matrix[[#Headers],[10]],FDR[FDR]&amp;FDR[[#Headers],[10]],FDR[10],"",0,1)</f>
        <v>3</v>
      </c>
      <c r="W584" cm="1">
        <f t="array" ref="W584">_xlfn.XLOOKUP(Matrix[[#This Row],[TEAM]]&amp;Matrix[[#Headers],[11]],FDR[FDR]&amp;FDR[[#Headers],[11]],FDR[11],"",0,1)</f>
        <v>1</v>
      </c>
      <c r="X584" cm="1">
        <f t="array" ref="X584">_xlfn.XLOOKUP(Matrix[[#This Row],[TEAM]]&amp;Matrix[[#Headers],[12]],FDR[FDR]&amp;FDR[[#Headers],[12]],FDR[12],"",0,1)</f>
        <v>1</v>
      </c>
      <c r="Y584" cm="1">
        <f t="array" ref="Y584">_xlfn.XLOOKUP(Matrix[[#This Row],[TEAM]]&amp;Matrix[[#Headers],[13]],FDR[FDR]&amp;FDR[[#Headers],[13]],FDR[13],"",0,1)</f>
        <v>3</v>
      </c>
      <c r="Z584" cm="1">
        <f t="array" ref="Z584">_xlfn.XLOOKUP(Matrix[[#This Row],[TEAM]]&amp;Matrix[[#Headers],[14]],FDR[FDR]&amp;FDR[[#Headers],[14]],FDR[14],"",0,1)</f>
        <v>1</v>
      </c>
      <c r="AA584" cm="1">
        <f t="array" ref="AA584">_xlfn.XLOOKUP(Matrix[[#This Row],[TEAM]]&amp;Matrix[[#Headers],[15]],FDR[FDR]&amp;FDR[[#Headers],[15]],FDR[15],"",0,1)</f>
        <v>2</v>
      </c>
      <c r="AB584" cm="1">
        <f t="array" ref="AB584">_xlfn.XLOOKUP(Matrix[[#This Row],[TEAM]]&amp;Matrix[[#Headers],[16]],FDR[FDR]&amp;FDR[[#Headers],[16]],FDR[16],"",0,1)</f>
        <v>1</v>
      </c>
      <c r="AC584" cm="1">
        <f t="array" ref="AC584">_xlfn.XLOOKUP(Matrix[[#This Row],[TEAM]]&amp;Matrix[[#Headers],[17]],FDR[FDR]&amp;FDR[[#Headers],[17]],FDR[17],"",0,1)</f>
        <v>3</v>
      </c>
      <c r="AD584" cm="1">
        <f t="array" ref="AD584">_xlfn.XLOOKUP(Matrix[[#This Row],[TEAM]]&amp;Matrix[[#Headers],[18]],FDR[FDR]&amp;FDR[[#Headers],[18]],FDR[18],"",0,1)</f>
        <v>2</v>
      </c>
      <c r="AE584" cm="1">
        <f t="array" ref="AE584">_xlfn.XLOOKUP(Matrix[[#This Row],[TEAM]]&amp;Matrix[[#Headers],[19]],FDR[FDR]&amp;FDR[[#Headers],[19]],FDR[19],"",0,1)</f>
        <v>1</v>
      </c>
      <c r="AF584" cm="1">
        <f t="array" ref="AF584">_xlfn.XLOOKUP(Matrix[[#This Row],[TEAM]]&amp;Matrix[[#Headers],[20]],FDR[FDR]&amp;FDR[[#Headers],[20]],FDR[20],"",0,1)</f>
        <v>4</v>
      </c>
      <c r="AG584" cm="1">
        <f t="array" ref="AG584">_xlfn.XLOOKUP(Matrix[[#This Row],[TEAM]]&amp;Matrix[[#Headers],[21]],FDR[FDR]&amp;FDR[[#Headers],[21]],FDR[21],"",0,1)</f>
        <v>2</v>
      </c>
      <c r="AH584" cm="1">
        <f t="array" ref="AH584">_xlfn.XLOOKUP(Matrix[[#This Row],[TEAM]]&amp;Matrix[[#Headers],[22]],FDR[FDR]&amp;FDR[[#Headers],[22]],FDR[22],"",0,1)</f>
        <v>1</v>
      </c>
      <c r="AI584" cm="1">
        <f t="array" ref="AI584">_xlfn.XLOOKUP(Matrix[[#This Row],[TEAM]]&amp;Matrix[[#Headers],[23]],FDR[FDR]&amp;FDR[[#Headers],[23]],FDR[23],"",0,1)</f>
        <v>2</v>
      </c>
      <c r="AJ584" cm="1">
        <f t="array" ref="AJ584">_xlfn.XLOOKUP(Matrix[[#This Row],[TEAM]]&amp;Matrix[[#Headers],[24]],FDR[FDR]&amp;FDR[[#Headers],[24]],FDR[24],"",0,1)</f>
        <v>1</v>
      </c>
      <c r="AK584" cm="1">
        <f t="array" ref="AK584">_xlfn.XLOOKUP(Matrix[[#This Row],[TEAM]]&amp;Matrix[[#Headers],[25]],FDR[FDR]&amp;FDR[[#Headers],[25]],FDR[25],"",0,1)</f>
        <v>1</v>
      </c>
      <c r="AL584" cm="1">
        <f t="array" ref="AL584">_xlfn.XLOOKUP(Matrix[[#This Row],[TEAM]]&amp;Matrix[[#Headers],[26]],FDR[FDR]&amp;FDR[[#Headers],[26]],FDR[26],"",0,1)</f>
        <v>1</v>
      </c>
      <c r="AM584" cm="1">
        <f t="array" ref="AM584">_xlfn.XLOOKUP(Matrix[[#This Row],[TEAM]]&amp;Matrix[[#Headers],[27]],FDR[FDR]&amp;FDR[[#Headers],[27]],FDR[27],"",0,1)</f>
        <v>1</v>
      </c>
      <c r="AN584" cm="1">
        <f t="array" ref="AN584">_xlfn.XLOOKUP(Matrix[[#This Row],[TEAM]]&amp;Matrix[[#Headers],[28]],FDR[FDR]&amp;FDR[[#Headers],[28]],FDR[28],"",0,1)</f>
        <v>4</v>
      </c>
      <c r="AO584" cm="1">
        <f t="array" ref="AO584">_xlfn.XLOOKUP(Matrix[[#This Row],[TEAM]]&amp;Matrix[[#Headers],[29]],FDR[FDR]&amp;FDR[[#Headers],[29]],FDR[29],"",0,1)</f>
        <v>3</v>
      </c>
      <c r="AP584" cm="1">
        <f t="array" ref="AP584">_xlfn.XLOOKUP(Matrix[[#This Row],[TEAM]]&amp;Matrix[[#Headers],[30]],FDR[FDR]&amp;FDR[[#Headers],[30]],FDR[30],"",0,1)</f>
        <v>2</v>
      </c>
      <c r="AQ584" cm="1">
        <f t="array" ref="AQ584">_xlfn.XLOOKUP(Matrix[[#This Row],[TEAM]]&amp;Matrix[[#Headers],[31]],FDR[FDR]&amp;FDR[[#Headers],[31]],FDR[31],"",0,1)</f>
        <v>2</v>
      </c>
      <c r="AR584" cm="1">
        <f t="array" ref="AR584">_xlfn.XLOOKUP(Matrix[[#This Row],[TEAM]]&amp;Matrix[[#Headers],[32]],FDR[FDR]&amp;FDR[[#Headers],[32]],FDR[32],"",0,1)</f>
        <v>3</v>
      </c>
      <c r="AS584" cm="1">
        <f t="array" ref="AS584">_xlfn.XLOOKUP(Matrix[[#This Row],[TEAM]]&amp;Matrix[[#Headers],[33]],FDR[FDR]&amp;FDR[[#Headers],[33]],FDR[33],"",0,1)</f>
        <v>2</v>
      </c>
      <c r="AT584" cm="1">
        <f t="array" ref="AT584">_xlfn.XLOOKUP(Matrix[[#This Row],[TEAM]]&amp;Matrix[[#Headers],[34]],FDR[FDR]&amp;FDR[[#Headers],[34]],FDR[34],"",0,1)</f>
        <v>2</v>
      </c>
      <c r="AU584" cm="1">
        <f t="array" ref="AU584">_xlfn.XLOOKUP(Matrix[[#This Row],[TEAM]]&amp;Matrix[[#Headers],[35]],FDR[FDR]&amp;FDR[[#Headers],[35]],FDR[35],"",0,1)</f>
        <v>1</v>
      </c>
      <c r="AV584" cm="1">
        <f t="array" ref="AV584">_xlfn.XLOOKUP(Matrix[[#This Row],[TEAM]]&amp;Matrix[[#Headers],[36]],FDR[FDR]&amp;FDR[[#Headers],[36]],FDR[36],"",0,1)</f>
        <v>4</v>
      </c>
      <c r="AW584" cm="1">
        <f t="array" ref="AW584">_xlfn.XLOOKUP(Matrix[[#This Row],[TEAM]]&amp;Matrix[[#Headers],[37]],FDR[FDR]&amp;FDR[[#Headers],[37]],FDR[37],"",0,1)</f>
        <v>2</v>
      </c>
      <c r="AX584" cm="1">
        <f t="array" ref="AX584">_xlfn.XLOOKUP(Matrix[[#This Row],[TEAM]]&amp;Matrix[[#Headers],[38]],FDR[FDR]&amp;FDR[[#Headers],[38]],FDR[38],"",0,1)</f>
        <v>1</v>
      </c>
    </row>
    <row r="585" spans="1:50" ht="22" thickTop="1" thickBot="1">
      <c r="A585" s="50" t="str">
        <f>INDEX!S$4</f>
        <v>MID</v>
      </c>
      <c r="B585" s="70" t="s">
        <v>1597</v>
      </c>
      <c r="C585" s="40" t="s">
        <v>21</v>
      </c>
      <c r="D585" s="62">
        <v>3</v>
      </c>
      <c r="E585" s="60">
        <v>0</v>
      </c>
      <c r="F585" s="61">
        <v>1.2</v>
      </c>
      <c r="G585" s="63">
        <v>5</v>
      </c>
      <c r="H585" s="261">
        <f>IF(ISBLANK(I585),0,1)</f>
        <v>1</v>
      </c>
      <c r="I585" s="57" t="s">
        <v>894</v>
      </c>
      <c r="J585" s="58" t="s">
        <v>1981</v>
      </c>
      <c r="K585" s="59" t="s">
        <v>944</v>
      </c>
      <c r="L585" s="59" t="s">
        <v>463</v>
      </c>
      <c r="M585" cm="1">
        <f t="array" ref="M585">_xlfn.XLOOKUP(Matrix[[#This Row],[TEAM]]&amp;Matrix[[#Headers],[1]],FDR[FDR]&amp;FDR[[#Headers],[1]],FDR[1],"",0,1)</f>
        <v>4</v>
      </c>
      <c r="N585" cm="1">
        <f t="array" ref="N585">_xlfn.XLOOKUP(Matrix[[#This Row],[TEAM]]&amp;Matrix[[#Headers],[2]],FDR[FDR]&amp;FDR[[#Headers],[2]],FDR[2],"",0,1)</f>
        <v>4</v>
      </c>
      <c r="O585" cm="1">
        <f t="array" ref="O585">_xlfn.XLOOKUP(Matrix[[#This Row],[TEAM]]&amp;Matrix[[#Headers],[3]],FDR[FDR]&amp;FDR[[#Headers],[3]],FDR[3],"",0,1)</f>
        <v>2</v>
      </c>
      <c r="P585" cm="1">
        <f t="array" ref="P585">_xlfn.XLOOKUP(Matrix[[#This Row],[TEAM]]&amp;Matrix[[#Headers],[4]],FDR[FDR]&amp;FDR[[#Headers],[4]],FDR[4],"",0,1)</f>
        <v>4</v>
      </c>
      <c r="Q585" cm="1">
        <f t="array" ref="Q585">_xlfn.XLOOKUP(Matrix[[#This Row],[TEAM]]&amp;Matrix[[#Headers],[5]],FDR[FDR]&amp;FDR[[#Headers],[5]],FDR[5],"",0,1)</f>
        <v>4</v>
      </c>
      <c r="R585" cm="1">
        <f t="array" ref="R585">_xlfn.XLOOKUP(Matrix[[#This Row],[TEAM]]&amp;Matrix[[#Headers],[6]],FDR[FDR]&amp;FDR[[#Headers],[6]],FDR[6],"",0,1)</f>
        <v>4</v>
      </c>
      <c r="S585" cm="1">
        <f t="array" ref="S585">_xlfn.XLOOKUP(Matrix[[#This Row],[TEAM]]&amp;Matrix[[#Headers],[7]],FDR[FDR]&amp;FDR[[#Headers],[7]],FDR[7],"",0,1)</f>
        <v>4</v>
      </c>
      <c r="T585" cm="1">
        <f t="array" ref="T585">_xlfn.XLOOKUP(Matrix[[#This Row],[TEAM]]&amp;Matrix[[#Headers],[8]],FDR[FDR]&amp;FDR[[#Headers],[8]],FDR[8],"",0,1)</f>
        <v>4</v>
      </c>
      <c r="U585" cm="1">
        <f t="array" ref="U585">_xlfn.XLOOKUP(Matrix[[#This Row],[TEAM]]&amp;Matrix[[#Headers],[9]],FDR[FDR]&amp;FDR[[#Headers],[9]],FDR[9],"",0,1)</f>
        <v>4</v>
      </c>
      <c r="V585" cm="1">
        <f t="array" ref="V585">_xlfn.XLOOKUP(Matrix[[#This Row],[TEAM]]&amp;Matrix[[#Headers],[10]],FDR[FDR]&amp;FDR[[#Headers],[10]],FDR[10],"",0,1)</f>
        <v>4</v>
      </c>
      <c r="W585" cm="1">
        <f t="array" ref="W585">_xlfn.XLOOKUP(Matrix[[#This Row],[TEAM]]&amp;Matrix[[#Headers],[11]],FDR[FDR]&amp;FDR[[#Headers],[11]],FDR[11],"",0,1)</f>
        <v>4</v>
      </c>
      <c r="X585" cm="1">
        <f t="array" ref="X585">_xlfn.XLOOKUP(Matrix[[#This Row],[TEAM]]&amp;Matrix[[#Headers],[12]],FDR[FDR]&amp;FDR[[#Headers],[12]],FDR[12],"",0,1)</f>
        <v>4</v>
      </c>
      <c r="Y585" cm="1">
        <f t="array" ref="Y585">_xlfn.XLOOKUP(Matrix[[#This Row],[TEAM]]&amp;Matrix[[#Headers],[13]],FDR[FDR]&amp;FDR[[#Headers],[13]],FDR[13],"",0,1)</f>
        <v>1</v>
      </c>
      <c r="Z585" cm="1">
        <f t="array" ref="Z585">_xlfn.XLOOKUP(Matrix[[#This Row],[TEAM]]&amp;Matrix[[#Headers],[14]],FDR[FDR]&amp;FDR[[#Headers],[14]],FDR[14],"",0,1)</f>
        <v>5</v>
      </c>
      <c r="AA585" cm="1">
        <f t="array" ref="AA585">_xlfn.XLOOKUP(Matrix[[#This Row],[TEAM]]&amp;Matrix[[#Headers],[15]],FDR[FDR]&amp;FDR[[#Headers],[15]],FDR[15],"",0,1)</f>
        <v>5</v>
      </c>
      <c r="AB585" cm="1">
        <f t="array" ref="AB585">_xlfn.XLOOKUP(Matrix[[#This Row],[TEAM]]&amp;Matrix[[#Headers],[16]],FDR[FDR]&amp;FDR[[#Headers],[16]],FDR[16],"",0,1)</f>
        <v>1</v>
      </c>
      <c r="AC585" cm="1">
        <f t="array" ref="AC585">_xlfn.XLOOKUP(Matrix[[#This Row],[TEAM]]&amp;Matrix[[#Headers],[17]],FDR[FDR]&amp;FDR[[#Headers],[17]],FDR[17],"",0,1)</f>
        <v>2</v>
      </c>
      <c r="AD585" cm="1">
        <f t="array" ref="AD585">_xlfn.XLOOKUP(Matrix[[#This Row],[TEAM]]&amp;Matrix[[#Headers],[18]],FDR[FDR]&amp;FDR[[#Headers],[18]],FDR[18],"",0,1)</f>
        <v>3</v>
      </c>
      <c r="AE585" cm="1">
        <f t="array" ref="AE585">_xlfn.XLOOKUP(Matrix[[#This Row],[TEAM]]&amp;Matrix[[#Headers],[19]],FDR[FDR]&amp;FDR[[#Headers],[19]],FDR[19],"",0,1)</f>
        <v>4</v>
      </c>
      <c r="AF585" cm="1">
        <f t="array" ref="AF585">_xlfn.XLOOKUP(Matrix[[#This Row],[TEAM]]&amp;Matrix[[#Headers],[20]],FDR[FDR]&amp;FDR[[#Headers],[20]],FDR[20],"",0,1)</f>
        <v>4</v>
      </c>
      <c r="AG585" cm="1">
        <f t="array" ref="AG585">_xlfn.XLOOKUP(Matrix[[#This Row],[TEAM]]&amp;Matrix[[#Headers],[21]],FDR[FDR]&amp;FDR[[#Headers],[21]],FDR[21],"",0,1)</f>
        <v>1</v>
      </c>
      <c r="AH585" cm="1">
        <f t="array" ref="AH585">_xlfn.XLOOKUP(Matrix[[#This Row],[TEAM]]&amp;Matrix[[#Headers],[22]],FDR[FDR]&amp;FDR[[#Headers],[22]],FDR[22],"",0,1)</f>
        <v>5</v>
      </c>
      <c r="AI585" cm="1">
        <f t="array" ref="AI585">_xlfn.XLOOKUP(Matrix[[#This Row],[TEAM]]&amp;Matrix[[#Headers],[23]],FDR[FDR]&amp;FDR[[#Headers],[23]],FDR[23],"",0,1)</f>
        <v>3</v>
      </c>
      <c r="AJ585" cm="1">
        <f t="array" ref="AJ585">_xlfn.XLOOKUP(Matrix[[#This Row],[TEAM]]&amp;Matrix[[#Headers],[24]],FDR[FDR]&amp;FDR[[#Headers],[24]],FDR[24],"",0,1)</f>
        <v>5</v>
      </c>
      <c r="AK585" cm="1">
        <f t="array" ref="AK585">_xlfn.XLOOKUP(Matrix[[#This Row],[TEAM]]&amp;Matrix[[#Headers],[25]],FDR[FDR]&amp;FDR[[#Headers],[25]],FDR[25],"",0,1)</f>
        <v>5</v>
      </c>
      <c r="AL585" cm="1">
        <f t="array" ref="AL585">_xlfn.XLOOKUP(Matrix[[#This Row],[TEAM]]&amp;Matrix[[#Headers],[26]],FDR[FDR]&amp;FDR[[#Headers],[26]],FDR[26],"",0,1)</f>
        <v>4</v>
      </c>
      <c r="AM585" cm="1">
        <f t="array" ref="AM585">_xlfn.XLOOKUP(Matrix[[#This Row],[TEAM]]&amp;Matrix[[#Headers],[27]],FDR[FDR]&amp;FDR[[#Headers],[27]],FDR[27],"",0,1)</f>
        <v>3</v>
      </c>
      <c r="AN585" cm="1">
        <f t="array" ref="AN585">_xlfn.XLOOKUP(Matrix[[#This Row],[TEAM]]&amp;Matrix[[#Headers],[28]],FDR[FDR]&amp;FDR[[#Headers],[28]],FDR[28],"",0,1)</f>
        <v>2</v>
      </c>
      <c r="AO585" cm="1">
        <f t="array" ref="AO585">_xlfn.XLOOKUP(Matrix[[#This Row],[TEAM]]&amp;Matrix[[#Headers],[29]],FDR[FDR]&amp;FDR[[#Headers],[29]],FDR[29],"",0,1)</f>
        <v>4</v>
      </c>
      <c r="AP585" cm="1">
        <f t="array" ref="AP585">_xlfn.XLOOKUP(Matrix[[#This Row],[TEAM]]&amp;Matrix[[#Headers],[30]],FDR[FDR]&amp;FDR[[#Headers],[30]],FDR[30],"",0,1)</f>
        <v>2</v>
      </c>
      <c r="AQ585" cm="1">
        <f t="array" ref="AQ585">_xlfn.XLOOKUP(Matrix[[#This Row],[TEAM]]&amp;Matrix[[#Headers],[31]],FDR[FDR]&amp;FDR[[#Headers],[31]],FDR[31],"",0,1)</f>
        <v>2</v>
      </c>
      <c r="AR585" cm="1">
        <f t="array" ref="AR585">_xlfn.XLOOKUP(Matrix[[#This Row],[TEAM]]&amp;Matrix[[#Headers],[32]],FDR[FDR]&amp;FDR[[#Headers],[32]],FDR[32],"",0,1)</f>
        <v>3</v>
      </c>
      <c r="AS585" cm="1">
        <f t="array" ref="AS585">_xlfn.XLOOKUP(Matrix[[#This Row],[TEAM]]&amp;Matrix[[#Headers],[33]],FDR[FDR]&amp;FDR[[#Headers],[33]],FDR[33],"",0,1)</f>
        <v>3</v>
      </c>
      <c r="AT585" cm="1">
        <f t="array" ref="AT585">_xlfn.XLOOKUP(Matrix[[#This Row],[TEAM]]&amp;Matrix[[#Headers],[34]],FDR[FDR]&amp;FDR[[#Headers],[34]],FDR[34],"",0,1)</f>
        <v>5</v>
      </c>
      <c r="AU585" cm="1">
        <f t="array" ref="AU585">_xlfn.XLOOKUP(Matrix[[#This Row],[TEAM]]&amp;Matrix[[#Headers],[35]],FDR[FDR]&amp;FDR[[#Headers],[35]],FDR[35],"",0,1)</f>
        <v>3</v>
      </c>
      <c r="AV585" cm="1">
        <f t="array" ref="AV585">_xlfn.XLOOKUP(Matrix[[#This Row],[TEAM]]&amp;Matrix[[#Headers],[36]],FDR[FDR]&amp;FDR[[#Headers],[36]],FDR[36],"",0,1)</f>
        <v>5</v>
      </c>
      <c r="AW585" cm="1">
        <f t="array" ref="AW585">_xlfn.XLOOKUP(Matrix[[#This Row],[TEAM]]&amp;Matrix[[#Headers],[37]],FDR[FDR]&amp;FDR[[#Headers],[37]],FDR[37],"",0,1)</f>
        <v>3</v>
      </c>
      <c r="AX585" cm="1">
        <f t="array" ref="AX585">_xlfn.XLOOKUP(Matrix[[#This Row],[TEAM]]&amp;Matrix[[#Headers],[38]],FDR[FDR]&amp;FDR[[#Headers],[38]],FDR[38],"",0,1)</f>
        <v>5</v>
      </c>
    </row>
    <row r="586" spans="1:50" ht="22" thickTop="1" thickBot="1">
      <c r="A586" s="50" t="str">
        <f>INDEX!S$4</f>
        <v>MID</v>
      </c>
      <c r="B586" s="70" t="s">
        <v>1598</v>
      </c>
      <c r="C586" s="40" t="s">
        <v>33</v>
      </c>
      <c r="D586" s="62">
        <v>0</v>
      </c>
      <c r="E586" s="60">
        <v>0</v>
      </c>
      <c r="F586" s="61">
        <v>0</v>
      </c>
      <c r="G586" s="63">
        <v>5</v>
      </c>
      <c r="H586" s="261">
        <f>IF(ISBLANK(I586),0,1)</f>
        <v>1</v>
      </c>
      <c r="I586" s="57" t="s">
        <v>1985</v>
      </c>
      <c r="J586" s="58" t="s">
        <v>1990</v>
      </c>
      <c r="K586" s="59" t="s">
        <v>833</v>
      </c>
      <c r="L586" s="59" t="s">
        <v>834</v>
      </c>
      <c r="M586" cm="1">
        <f t="array" ref="M586">_xlfn.XLOOKUP(Matrix[[#This Row],[TEAM]]&amp;Matrix[[#Headers],[1]],FDR[FDR]&amp;FDR[[#Headers],[1]],FDR[1],"",0,1)</f>
        <v>3</v>
      </c>
      <c r="N586" cm="1">
        <f t="array" ref="N586">_xlfn.XLOOKUP(Matrix[[#This Row],[TEAM]]&amp;Matrix[[#Headers],[2]],FDR[FDR]&amp;FDR[[#Headers],[2]],FDR[2],"",0,1)</f>
        <v>3</v>
      </c>
      <c r="O586" cm="1">
        <f t="array" ref="O586">_xlfn.XLOOKUP(Matrix[[#This Row],[TEAM]]&amp;Matrix[[#Headers],[3]],FDR[FDR]&amp;FDR[[#Headers],[3]],FDR[3],"",0,1)</f>
        <v>4</v>
      </c>
      <c r="P586" cm="1">
        <f t="array" ref="P586">_xlfn.XLOOKUP(Matrix[[#This Row],[TEAM]]&amp;Matrix[[#Headers],[4]],FDR[FDR]&amp;FDR[[#Headers],[4]],FDR[4],"",0,1)</f>
        <v>4</v>
      </c>
      <c r="Q586" cm="1">
        <f t="array" ref="Q586">_xlfn.XLOOKUP(Matrix[[#This Row],[TEAM]]&amp;Matrix[[#Headers],[5]],FDR[FDR]&amp;FDR[[#Headers],[5]],FDR[5],"",0,1)</f>
        <v>4</v>
      </c>
      <c r="R586" cm="1">
        <f t="array" ref="R586">_xlfn.XLOOKUP(Matrix[[#This Row],[TEAM]]&amp;Matrix[[#Headers],[6]],FDR[FDR]&amp;FDR[[#Headers],[6]],FDR[6],"",0,1)</f>
        <v>5</v>
      </c>
      <c r="S586" cm="1">
        <f t="array" ref="S586">_xlfn.XLOOKUP(Matrix[[#This Row],[TEAM]]&amp;Matrix[[#Headers],[7]],FDR[FDR]&amp;FDR[[#Headers],[7]],FDR[7],"",0,1)</f>
        <v>2</v>
      </c>
      <c r="T586" cm="1">
        <f t="array" ref="T586">_xlfn.XLOOKUP(Matrix[[#This Row],[TEAM]]&amp;Matrix[[#Headers],[8]],FDR[FDR]&amp;FDR[[#Headers],[8]],FDR[8],"",0,1)</f>
        <v>4</v>
      </c>
      <c r="U586" cm="1">
        <f t="array" ref="U586">_xlfn.XLOOKUP(Matrix[[#This Row],[TEAM]]&amp;Matrix[[#Headers],[9]],FDR[FDR]&amp;FDR[[#Headers],[9]],FDR[9],"",0,1)</f>
        <v>5</v>
      </c>
      <c r="V586" cm="1">
        <f t="array" ref="V586">_xlfn.XLOOKUP(Matrix[[#This Row],[TEAM]]&amp;Matrix[[#Headers],[10]],FDR[FDR]&amp;FDR[[#Headers],[10]],FDR[10],"",0,1)</f>
        <v>1</v>
      </c>
      <c r="W586" cm="1">
        <f t="array" ref="W586">_xlfn.XLOOKUP(Matrix[[#This Row],[TEAM]]&amp;Matrix[[#Headers],[11]],FDR[FDR]&amp;FDR[[#Headers],[11]],FDR[11],"",0,1)</f>
        <v>3</v>
      </c>
      <c r="X586" cm="1">
        <f t="array" ref="X586">_xlfn.XLOOKUP(Matrix[[#This Row],[TEAM]]&amp;Matrix[[#Headers],[12]],FDR[FDR]&amp;FDR[[#Headers],[12]],FDR[12],"",0,1)</f>
        <v>2</v>
      </c>
      <c r="Y586" cm="1">
        <f t="array" ref="Y586">_xlfn.XLOOKUP(Matrix[[#This Row],[TEAM]]&amp;Matrix[[#Headers],[13]],FDR[FDR]&amp;FDR[[#Headers],[13]],FDR[13],"",0,1)</f>
        <v>4</v>
      </c>
      <c r="Z586" cm="1">
        <f t="array" ref="Z586">_xlfn.XLOOKUP(Matrix[[#This Row],[TEAM]]&amp;Matrix[[#Headers],[14]],FDR[FDR]&amp;FDR[[#Headers],[14]],FDR[14],"",0,1)</f>
        <v>3</v>
      </c>
      <c r="AA586" cm="1">
        <f t="array" ref="AA586">_xlfn.XLOOKUP(Matrix[[#This Row],[TEAM]]&amp;Matrix[[#Headers],[15]],FDR[FDR]&amp;FDR[[#Headers],[15]],FDR[15],"",0,1)</f>
        <v>2</v>
      </c>
      <c r="AB586" cm="1">
        <f t="array" ref="AB586">_xlfn.XLOOKUP(Matrix[[#This Row],[TEAM]]&amp;Matrix[[#Headers],[16]],FDR[FDR]&amp;FDR[[#Headers],[16]],FDR[16],"",0,1)</f>
        <v>5</v>
      </c>
      <c r="AC586" cm="1">
        <f t="array" ref="AC586">_xlfn.XLOOKUP(Matrix[[#This Row],[TEAM]]&amp;Matrix[[#Headers],[17]],FDR[FDR]&amp;FDR[[#Headers],[17]],FDR[17],"",0,1)</f>
        <v>1</v>
      </c>
      <c r="AD586" cm="1">
        <f t="array" ref="AD586">_xlfn.XLOOKUP(Matrix[[#This Row],[TEAM]]&amp;Matrix[[#Headers],[18]],FDR[FDR]&amp;FDR[[#Headers],[18]],FDR[18],"",0,1)</f>
        <v>5</v>
      </c>
      <c r="AE586" cm="1">
        <f t="array" ref="AE586">_xlfn.XLOOKUP(Matrix[[#This Row],[TEAM]]&amp;Matrix[[#Headers],[19]],FDR[FDR]&amp;FDR[[#Headers],[19]],FDR[19],"",0,1)</f>
        <v>3</v>
      </c>
      <c r="AF586" cm="1">
        <f t="array" ref="AF586">_xlfn.XLOOKUP(Matrix[[#This Row],[TEAM]]&amp;Matrix[[#Headers],[20]],FDR[FDR]&amp;FDR[[#Headers],[20]],FDR[20],"",0,1)</f>
        <v>1</v>
      </c>
      <c r="AG586" cm="1">
        <f t="array" ref="AG586">_xlfn.XLOOKUP(Matrix[[#This Row],[TEAM]]&amp;Matrix[[#Headers],[21]],FDR[FDR]&amp;FDR[[#Headers],[21]],FDR[21],"",0,1)</f>
        <v>5</v>
      </c>
      <c r="AH586" cm="1">
        <f t="array" ref="AH586">_xlfn.XLOOKUP(Matrix[[#This Row],[TEAM]]&amp;Matrix[[#Headers],[22]],FDR[FDR]&amp;FDR[[#Headers],[22]],FDR[22],"",0,1)</f>
        <v>3</v>
      </c>
      <c r="AI586" cm="1">
        <f t="array" ref="AI586">_xlfn.XLOOKUP(Matrix[[#This Row],[TEAM]]&amp;Matrix[[#Headers],[23]],FDR[FDR]&amp;FDR[[#Headers],[23]],FDR[23],"",0,1)</f>
        <v>4</v>
      </c>
      <c r="AJ586" cm="1">
        <f t="array" ref="AJ586">_xlfn.XLOOKUP(Matrix[[#This Row],[TEAM]]&amp;Matrix[[#Headers],[24]],FDR[FDR]&amp;FDR[[#Headers],[24]],FDR[24],"",0,1)</f>
        <v>2</v>
      </c>
      <c r="AK586" cm="1">
        <f t="array" ref="AK586">_xlfn.XLOOKUP(Matrix[[#This Row],[TEAM]]&amp;Matrix[[#Headers],[25]],FDR[FDR]&amp;FDR[[#Headers],[25]],FDR[25],"",0,1)</f>
        <v>2</v>
      </c>
      <c r="AL586" cm="1">
        <f t="array" ref="AL586">_xlfn.XLOOKUP(Matrix[[#This Row],[TEAM]]&amp;Matrix[[#Headers],[26]],FDR[FDR]&amp;FDR[[#Headers],[26]],FDR[26],"",0,1)</f>
        <v>5</v>
      </c>
      <c r="AM586" cm="1">
        <f t="array" ref="AM586">_xlfn.XLOOKUP(Matrix[[#This Row],[TEAM]]&amp;Matrix[[#Headers],[27]],FDR[FDR]&amp;FDR[[#Headers],[27]],FDR[27],"",0,1)</f>
        <v>3</v>
      </c>
      <c r="AN586" cm="1">
        <f t="array" ref="AN586">_xlfn.XLOOKUP(Matrix[[#This Row],[TEAM]]&amp;Matrix[[#Headers],[28]],FDR[FDR]&amp;FDR[[#Headers],[28]],FDR[28],"",0,1)</f>
        <v>3</v>
      </c>
      <c r="AO586" cm="1">
        <f t="array" ref="AO586">_xlfn.XLOOKUP(Matrix[[#This Row],[TEAM]]&amp;Matrix[[#Headers],[29]],FDR[FDR]&amp;FDR[[#Headers],[29]],FDR[29],"",0,1)</f>
        <v>4</v>
      </c>
      <c r="AP586" cm="1">
        <f t="array" ref="AP586">_xlfn.XLOOKUP(Matrix[[#This Row],[TEAM]]&amp;Matrix[[#Headers],[30]],FDR[FDR]&amp;FDR[[#Headers],[30]],FDR[30],"",0,1)</f>
        <v>2</v>
      </c>
      <c r="AQ586" cm="1">
        <f t="array" ref="AQ586">_xlfn.XLOOKUP(Matrix[[#This Row],[TEAM]]&amp;Matrix[[#Headers],[31]],FDR[FDR]&amp;FDR[[#Headers],[31]],FDR[31],"",0,1)</f>
        <v>4</v>
      </c>
      <c r="AR586" cm="1">
        <f t="array" ref="AR586">_xlfn.XLOOKUP(Matrix[[#This Row],[TEAM]]&amp;Matrix[[#Headers],[32]],FDR[FDR]&amp;FDR[[#Headers],[32]],FDR[32],"",0,1)</f>
        <v>2</v>
      </c>
      <c r="AS586" cm="1">
        <f t="array" ref="AS586">_xlfn.XLOOKUP(Matrix[[#This Row],[TEAM]]&amp;Matrix[[#Headers],[33]],FDR[FDR]&amp;FDR[[#Headers],[33]],FDR[33],"",0,1)</f>
        <v>5</v>
      </c>
      <c r="AT586" cm="1">
        <f t="array" ref="AT586">_xlfn.XLOOKUP(Matrix[[#This Row],[TEAM]]&amp;Matrix[[#Headers],[34]],FDR[FDR]&amp;FDR[[#Headers],[34]],FDR[34],"",0,1)</f>
        <v>4</v>
      </c>
      <c r="AU586" cm="1">
        <f t="array" ref="AU586">_xlfn.XLOOKUP(Matrix[[#This Row],[TEAM]]&amp;Matrix[[#Headers],[35]],FDR[FDR]&amp;FDR[[#Headers],[35]],FDR[35],"",0,1)</f>
        <v>5</v>
      </c>
      <c r="AV586" cm="1">
        <f t="array" ref="AV586">_xlfn.XLOOKUP(Matrix[[#This Row],[TEAM]]&amp;Matrix[[#Headers],[36]],FDR[FDR]&amp;FDR[[#Headers],[36]],FDR[36],"",0,1)</f>
        <v>1</v>
      </c>
      <c r="AW586" cm="1">
        <f t="array" ref="AW586">_xlfn.XLOOKUP(Matrix[[#This Row],[TEAM]]&amp;Matrix[[#Headers],[37]],FDR[FDR]&amp;FDR[[#Headers],[37]],FDR[37],"",0,1)</f>
        <v>2</v>
      </c>
      <c r="AX586" cm="1">
        <f t="array" ref="AX586">_xlfn.XLOOKUP(Matrix[[#This Row],[TEAM]]&amp;Matrix[[#Headers],[38]],FDR[FDR]&amp;FDR[[#Headers],[38]],FDR[38],"",0,1)</f>
        <v>4</v>
      </c>
    </row>
    <row r="587" spans="1:50" ht="22" thickTop="1" thickBot="1">
      <c r="A587" s="50" t="str">
        <f>INDEX!S$4</f>
        <v>MID</v>
      </c>
      <c r="B587" s="70" t="s">
        <v>1599</v>
      </c>
      <c r="C587" s="40" t="s">
        <v>33</v>
      </c>
      <c r="D587" s="62">
        <v>0</v>
      </c>
      <c r="E587" s="60">
        <v>0</v>
      </c>
      <c r="F587" s="61">
        <v>0</v>
      </c>
      <c r="G587" s="63">
        <v>5</v>
      </c>
      <c r="H587" s="261">
        <f>IF(ISBLANK(I587),0,1)</f>
        <v>1</v>
      </c>
      <c r="I587" s="57" t="s">
        <v>942</v>
      </c>
      <c r="J587" s="58">
        <v>0.5</v>
      </c>
      <c r="K587" s="59" t="s">
        <v>492</v>
      </c>
      <c r="L587" s="59" t="s">
        <v>268</v>
      </c>
      <c r="M587" cm="1">
        <f t="array" ref="M587">_xlfn.XLOOKUP(Matrix[[#This Row],[TEAM]]&amp;Matrix[[#Headers],[1]],FDR[FDR]&amp;FDR[[#Headers],[1]],FDR[1],"",0,1)</f>
        <v>3</v>
      </c>
      <c r="N587" cm="1">
        <f t="array" ref="N587">_xlfn.XLOOKUP(Matrix[[#This Row],[TEAM]]&amp;Matrix[[#Headers],[2]],FDR[FDR]&amp;FDR[[#Headers],[2]],FDR[2],"",0,1)</f>
        <v>3</v>
      </c>
      <c r="O587" cm="1">
        <f t="array" ref="O587">_xlfn.XLOOKUP(Matrix[[#This Row],[TEAM]]&amp;Matrix[[#Headers],[3]],FDR[FDR]&amp;FDR[[#Headers],[3]],FDR[3],"",0,1)</f>
        <v>4</v>
      </c>
      <c r="P587" cm="1">
        <f t="array" ref="P587">_xlfn.XLOOKUP(Matrix[[#This Row],[TEAM]]&amp;Matrix[[#Headers],[4]],FDR[FDR]&amp;FDR[[#Headers],[4]],FDR[4],"",0,1)</f>
        <v>4</v>
      </c>
      <c r="Q587" cm="1">
        <f t="array" ref="Q587">_xlfn.XLOOKUP(Matrix[[#This Row],[TEAM]]&amp;Matrix[[#Headers],[5]],FDR[FDR]&amp;FDR[[#Headers],[5]],FDR[5],"",0,1)</f>
        <v>4</v>
      </c>
      <c r="R587" cm="1">
        <f t="array" ref="R587">_xlfn.XLOOKUP(Matrix[[#This Row],[TEAM]]&amp;Matrix[[#Headers],[6]],FDR[FDR]&amp;FDR[[#Headers],[6]],FDR[6],"",0,1)</f>
        <v>5</v>
      </c>
      <c r="S587" cm="1">
        <f t="array" ref="S587">_xlfn.XLOOKUP(Matrix[[#This Row],[TEAM]]&amp;Matrix[[#Headers],[7]],FDR[FDR]&amp;FDR[[#Headers],[7]],FDR[7],"",0,1)</f>
        <v>2</v>
      </c>
      <c r="T587" cm="1">
        <f t="array" ref="T587">_xlfn.XLOOKUP(Matrix[[#This Row],[TEAM]]&amp;Matrix[[#Headers],[8]],FDR[FDR]&amp;FDR[[#Headers],[8]],FDR[8],"",0,1)</f>
        <v>4</v>
      </c>
      <c r="U587" cm="1">
        <f t="array" ref="U587">_xlfn.XLOOKUP(Matrix[[#This Row],[TEAM]]&amp;Matrix[[#Headers],[9]],FDR[FDR]&amp;FDR[[#Headers],[9]],FDR[9],"",0,1)</f>
        <v>5</v>
      </c>
      <c r="V587" cm="1">
        <f t="array" ref="V587">_xlfn.XLOOKUP(Matrix[[#This Row],[TEAM]]&amp;Matrix[[#Headers],[10]],FDR[FDR]&amp;FDR[[#Headers],[10]],FDR[10],"",0,1)</f>
        <v>1</v>
      </c>
      <c r="W587" cm="1">
        <f t="array" ref="W587">_xlfn.XLOOKUP(Matrix[[#This Row],[TEAM]]&amp;Matrix[[#Headers],[11]],FDR[FDR]&amp;FDR[[#Headers],[11]],FDR[11],"",0,1)</f>
        <v>3</v>
      </c>
      <c r="X587" cm="1">
        <f t="array" ref="X587">_xlfn.XLOOKUP(Matrix[[#This Row],[TEAM]]&amp;Matrix[[#Headers],[12]],FDR[FDR]&amp;FDR[[#Headers],[12]],FDR[12],"",0,1)</f>
        <v>2</v>
      </c>
      <c r="Y587" cm="1">
        <f t="array" ref="Y587">_xlfn.XLOOKUP(Matrix[[#This Row],[TEAM]]&amp;Matrix[[#Headers],[13]],FDR[FDR]&amp;FDR[[#Headers],[13]],FDR[13],"",0,1)</f>
        <v>4</v>
      </c>
      <c r="Z587" cm="1">
        <f t="array" ref="Z587">_xlfn.XLOOKUP(Matrix[[#This Row],[TEAM]]&amp;Matrix[[#Headers],[14]],FDR[FDR]&amp;FDR[[#Headers],[14]],FDR[14],"",0,1)</f>
        <v>3</v>
      </c>
      <c r="AA587" cm="1">
        <f t="array" ref="AA587">_xlfn.XLOOKUP(Matrix[[#This Row],[TEAM]]&amp;Matrix[[#Headers],[15]],FDR[FDR]&amp;FDR[[#Headers],[15]],FDR[15],"",0,1)</f>
        <v>2</v>
      </c>
      <c r="AB587" cm="1">
        <f t="array" ref="AB587">_xlfn.XLOOKUP(Matrix[[#This Row],[TEAM]]&amp;Matrix[[#Headers],[16]],FDR[FDR]&amp;FDR[[#Headers],[16]],FDR[16],"",0,1)</f>
        <v>5</v>
      </c>
      <c r="AC587" cm="1">
        <f t="array" ref="AC587">_xlfn.XLOOKUP(Matrix[[#This Row],[TEAM]]&amp;Matrix[[#Headers],[17]],FDR[FDR]&amp;FDR[[#Headers],[17]],FDR[17],"",0,1)</f>
        <v>1</v>
      </c>
      <c r="AD587" cm="1">
        <f t="array" ref="AD587">_xlfn.XLOOKUP(Matrix[[#This Row],[TEAM]]&amp;Matrix[[#Headers],[18]],FDR[FDR]&amp;FDR[[#Headers],[18]],FDR[18],"",0,1)</f>
        <v>5</v>
      </c>
      <c r="AE587" cm="1">
        <f t="array" ref="AE587">_xlfn.XLOOKUP(Matrix[[#This Row],[TEAM]]&amp;Matrix[[#Headers],[19]],FDR[FDR]&amp;FDR[[#Headers],[19]],FDR[19],"",0,1)</f>
        <v>3</v>
      </c>
      <c r="AF587" cm="1">
        <f t="array" ref="AF587">_xlfn.XLOOKUP(Matrix[[#This Row],[TEAM]]&amp;Matrix[[#Headers],[20]],FDR[FDR]&amp;FDR[[#Headers],[20]],FDR[20],"",0,1)</f>
        <v>1</v>
      </c>
      <c r="AG587" cm="1">
        <f t="array" ref="AG587">_xlfn.XLOOKUP(Matrix[[#This Row],[TEAM]]&amp;Matrix[[#Headers],[21]],FDR[FDR]&amp;FDR[[#Headers],[21]],FDR[21],"",0,1)</f>
        <v>5</v>
      </c>
      <c r="AH587" cm="1">
        <f t="array" ref="AH587">_xlfn.XLOOKUP(Matrix[[#This Row],[TEAM]]&amp;Matrix[[#Headers],[22]],FDR[FDR]&amp;FDR[[#Headers],[22]],FDR[22],"",0,1)</f>
        <v>3</v>
      </c>
      <c r="AI587" cm="1">
        <f t="array" ref="AI587">_xlfn.XLOOKUP(Matrix[[#This Row],[TEAM]]&amp;Matrix[[#Headers],[23]],FDR[FDR]&amp;FDR[[#Headers],[23]],FDR[23],"",0,1)</f>
        <v>4</v>
      </c>
      <c r="AJ587" cm="1">
        <f t="array" ref="AJ587">_xlfn.XLOOKUP(Matrix[[#This Row],[TEAM]]&amp;Matrix[[#Headers],[24]],FDR[FDR]&amp;FDR[[#Headers],[24]],FDR[24],"",0,1)</f>
        <v>2</v>
      </c>
      <c r="AK587" cm="1">
        <f t="array" ref="AK587">_xlfn.XLOOKUP(Matrix[[#This Row],[TEAM]]&amp;Matrix[[#Headers],[25]],FDR[FDR]&amp;FDR[[#Headers],[25]],FDR[25],"",0,1)</f>
        <v>2</v>
      </c>
      <c r="AL587" cm="1">
        <f t="array" ref="AL587">_xlfn.XLOOKUP(Matrix[[#This Row],[TEAM]]&amp;Matrix[[#Headers],[26]],FDR[FDR]&amp;FDR[[#Headers],[26]],FDR[26],"",0,1)</f>
        <v>5</v>
      </c>
      <c r="AM587" cm="1">
        <f t="array" ref="AM587">_xlfn.XLOOKUP(Matrix[[#This Row],[TEAM]]&amp;Matrix[[#Headers],[27]],FDR[FDR]&amp;FDR[[#Headers],[27]],FDR[27],"",0,1)</f>
        <v>3</v>
      </c>
      <c r="AN587" cm="1">
        <f t="array" ref="AN587">_xlfn.XLOOKUP(Matrix[[#This Row],[TEAM]]&amp;Matrix[[#Headers],[28]],FDR[FDR]&amp;FDR[[#Headers],[28]],FDR[28],"",0,1)</f>
        <v>3</v>
      </c>
      <c r="AO587" cm="1">
        <f t="array" ref="AO587">_xlfn.XLOOKUP(Matrix[[#This Row],[TEAM]]&amp;Matrix[[#Headers],[29]],FDR[FDR]&amp;FDR[[#Headers],[29]],FDR[29],"",0,1)</f>
        <v>4</v>
      </c>
      <c r="AP587" cm="1">
        <f t="array" ref="AP587">_xlfn.XLOOKUP(Matrix[[#This Row],[TEAM]]&amp;Matrix[[#Headers],[30]],FDR[FDR]&amp;FDR[[#Headers],[30]],FDR[30],"",0,1)</f>
        <v>2</v>
      </c>
      <c r="AQ587" cm="1">
        <f t="array" ref="AQ587">_xlfn.XLOOKUP(Matrix[[#This Row],[TEAM]]&amp;Matrix[[#Headers],[31]],FDR[FDR]&amp;FDR[[#Headers],[31]],FDR[31],"",0,1)</f>
        <v>4</v>
      </c>
      <c r="AR587" cm="1">
        <f t="array" ref="AR587">_xlfn.XLOOKUP(Matrix[[#This Row],[TEAM]]&amp;Matrix[[#Headers],[32]],FDR[FDR]&amp;FDR[[#Headers],[32]],FDR[32],"",0,1)</f>
        <v>2</v>
      </c>
      <c r="AS587" cm="1">
        <f t="array" ref="AS587">_xlfn.XLOOKUP(Matrix[[#This Row],[TEAM]]&amp;Matrix[[#Headers],[33]],FDR[FDR]&amp;FDR[[#Headers],[33]],FDR[33],"",0,1)</f>
        <v>5</v>
      </c>
      <c r="AT587" cm="1">
        <f t="array" ref="AT587">_xlfn.XLOOKUP(Matrix[[#This Row],[TEAM]]&amp;Matrix[[#Headers],[34]],FDR[FDR]&amp;FDR[[#Headers],[34]],FDR[34],"",0,1)</f>
        <v>4</v>
      </c>
      <c r="AU587" cm="1">
        <f t="array" ref="AU587">_xlfn.XLOOKUP(Matrix[[#This Row],[TEAM]]&amp;Matrix[[#Headers],[35]],FDR[FDR]&amp;FDR[[#Headers],[35]],FDR[35],"",0,1)</f>
        <v>5</v>
      </c>
      <c r="AV587" cm="1">
        <f t="array" ref="AV587">_xlfn.XLOOKUP(Matrix[[#This Row],[TEAM]]&amp;Matrix[[#Headers],[36]],FDR[FDR]&amp;FDR[[#Headers],[36]],FDR[36],"",0,1)</f>
        <v>1</v>
      </c>
      <c r="AW587" cm="1">
        <f t="array" ref="AW587">_xlfn.XLOOKUP(Matrix[[#This Row],[TEAM]]&amp;Matrix[[#Headers],[37]],FDR[FDR]&amp;FDR[[#Headers],[37]],FDR[37],"",0,1)</f>
        <v>2</v>
      </c>
      <c r="AX587" cm="1">
        <f t="array" ref="AX587">_xlfn.XLOOKUP(Matrix[[#This Row],[TEAM]]&amp;Matrix[[#Headers],[38]],FDR[FDR]&amp;FDR[[#Headers],[38]],FDR[38],"",0,1)</f>
        <v>4</v>
      </c>
    </row>
    <row r="588" spans="1:50" ht="22" thickTop="1" thickBot="1">
      <c r="A588" s="50" t="str">
        <f>INDEX!S$4</f>
        <v>MID</v>
      </c>
      <c r="B588" s="70" t="s">
        <v>1562</v>
      </c>
      <c r="C588" s="40" t="s">
        <v>22</v>
      </c>
      <c r="D588" s="62">
        <v>0</v>
      </c>
      <c r="E588" s="60">
        <v>1E-3</v>
      </c>
      <c r="F588" s="61">
        <v>0</v>
      </c>
      <c r="G588" s="63">
        <v>5</v>
      </c>
      <c r="H588" s="261">
        <f>IF(ISBLANK(I588),0,1)</f>
        <v>1</v>
      </c>
      <c r="I588" s="57" t="s">
        <v>1985</v>
      </c>
      <c r="J588" s="58" t="s">
        <v>1991</v>
      </c>
      <c r="K588" s="59" t="s">
        <v>816</v>
      </c>
      <c r="L588" s="59" t="s">
        <v>817</v>
      </c>
      <c r="M588" cm="1">
        <f t="array" ref="M588">_xlfn.XLOOKUP(Matrix[[#This Row],[TEAM]]&amp;Matrix[[#Headers],[1]],FDR[FDR]&amp;FDR[[#Headers],[1]],FDR[1],"",0,1)</f>
        <v>5</v>
      </c>
      <c r="N588" cm="1">
        <f t="array" ref="N588">_xlfn.XLOOKUP(Matrix[[#This Row],[TEAM]]&amp;Matrix[[#Headers],[2]],FDR[FDR]&amp;FDR[[#Headers],[2]],FDR[2],"",0,1)</f>
        <v>3</v>
      </c>
      <c r="O588" cm="1">
        <f t="array" ref="O588">_xlfn.XLOOKUP(Matrix[[#This Row],[TEAM]]&amp;Matrix[[#Headers],[3]],FDR[FDR]&amp;FDR[[#Headers],[3]],FDR[3],"",0,1)</f>
        <v>5</v>
      </c>
      <c r="P588" cm="1">
        <f t="array" ref="P588">_xlfn.XLOOKUP(Matrix[[#This Row],[TEAM]]&amp;Matrix[[#Headers],[4]],FDR[FDR]&amp;FDR[[#Headers],[4]],FDR[4],"",0,1)</f>
        <v>5</v>
      </c>
      <c r="Q588" cm="1">
        <f t="array" ref="Q588">_xlfn.XLOOKUP(Matrix[[#This Row],[TEAM]]&amp;Matrix[[#Headers],[5]],FDR[FDR]&amp;FDR[[#Headers],[5]],FDR[5],"",0,1)</f>
        <v>5</v>
      </c>
      <c r="R588" cm="1">
        <f t="array" ref="R588">_xlfn.XLOOKUP(Matrix[[#This Row],[TEAM]]&amp;Matrix[[#Headers],[6]],FDR[FDR]&amp;FDR[[#Headers],[6]],FDR[6],"",0,1)</f>
        <v>5</v>
      </c>
      <c r="S588" cm="1">
        <f t="array" ref="S588">_xlfn.XLOOKUP(Matrix[[#This Row],[TEAM]]&amp;Matrix[[#Headers],[7]],FDR[FDR]&amp;FDR[[#Headers],[7]],FDR[7],"",0,1)</f>
        <v>5</v>
      </c>
      <c r="T588" cm="1">
        <f t="array" ref="T588">_xlfn.XLOOKUP(Matrix[[#This Row],[TEAM]]&amp;Matrix[[#Headers],[8]],FDR[FDR]&amp;FDR[[#Headers],[8]],FDR[8],"",0,1)</f>
        <v>3</v>
      </c>
      <c r="U588" cm="1">
        <f t="array" ref="U588">_xlfn.XLOOKUP(Matrix[[#This Row],[TEAM]]&amp;Matrix[[#Headers],[9]],FDR[FDR]&amp;FDR[[#Headers],[9]],FDR[9],"",0,1)</f>
        <v>4</v>
      </c>
      <c r="V588" cm="1">
        <f t="array" ref="V588">_xlfn.XLOOKUP(Matrix[[#This Row],[TEAM]]&amp;Matrix[[#Headers],[10]],FDR[FDR]&amp;FDR[[#Headers],[10]],FDR[10],"",0,1)</f>
        <v>5</v>
      </c>
      <c r="W588" cm="1">
        <f t="array" ref="W588">_xlfn.XLOOKUP(Matrix[[#This Row],[TEAM]]&amp;Matrix[[#Headers],[11]],FDR[FDR]&amp;FDR[[#Headers],[11]],FDR[11],"",0,1)</f>
        <v>5</v>
      </c>
      <c r="X588" cm="1">
        <f t="array" ref="X588">_xlfn.XLOOKUP(Matrix[[#This Row],[TEAM]]&amp;Matrix[[#Headers],[12]],FDR[FDR]&amp;FDR[[#Headers],[12]],FDR[12],"",0,1)</f>
        <v>5</v>
      </c>
      <c r="Y588" cm="1">
        <f t="array" ref="Y588">_xlfn.XLOOKUP(Matrix[[#This Row],[TEAM]]&amp;Matrix[[#Headers],[13]],FDR[FDR]&amp;FDR[[#Headers],[13]],FDR[13],"",0,1)</f>
        <v>5</v>
      </c>
      <c r="Z588" cm="1">
        <f t="array" ref="Z588">_xlfn.XLOOKUP(Matrix[[#This Row],[TEAM]]&amp;Matrix[[#Headers],[14]],FDR[FDR]&amp;FDR[[#Headers],[14]],FDR[14],"",0,1)</f>
        <v>4</v>
      </c>
      <c r="AA588" cm="1">
        <f t="array" ref="AA588">_xlfn.XLOOKUP(Matrix[[#This Row],[TEAM]]&amp;Matrix[[#Headers],[15]],FDR[FDR]&amp;FDR[[#Headers],[15]],FDR[15],"",0,1)</f>
        <v>5</v>
      </c>
      <c r="AB588" cm="1">
        <f t="array" ref="AB588">_xlfn.XLOOKUP(Matrix[[#This Row],[TEAM]]&amp;Matrix[[#Headers],[16]],FDR[FDR]&amp;FDR[[#Headers],[16]],FDR[16],"",0,1)</f>
        <v>5</v>
      </c>
      <c r="AC588" cm="1">
        <f t="array" ref="AC588">_xlfn.XLOOKUP(Matrix[[#This Row],[TEAM]]&amp;Matrix[[#Headers],[17]],FDR[FDR]&amp;FDR[[#Headers],[17]],FDR[17],"",0,1)</f>
        <v>5</v>
      </c>
      <c r="AD588" cm="1">
        <f t="array" ref="AD588">_xlfn.XLOOKUP(Matrix[[#This Row],[TEAM]]&amp;Matrix[[#Headers],[18]],FDR[FDR]&amp;FDR[[#Headers],[18]],FDR[18],"",0,1)</f>
        <v>4</v>
      </c>
      <c r="AE588" cm="1">
        <f t="array" ref="AE588">_xlfn.XLOOKUP(Matrix[[#This Row],[TEAM]]&amp;Matrix[[#Headers],[19]],FDR[FDR]&amp;FDR[[#Headers],[19]],FDR[19],"",0,1)</f>
        <v>5</v>
      </c>
      <c r="AF588" cm="1">
        <f t="array" ref="AF588">_xlfn.XLOOKUP(Matrix[[#This Row],[TEAM]]&amp;Matrix[[#Headers],[20]],FDR[FDR]&amp;FDR[[#Headers],[20]],FDR[20],"",0,1)</f>
        <v>5</v>
      </c>
      <c r="AG588" cm="1">
        <f t="array" ref="AG588">_xlfn.XLOOKUP(Matrix[[#This Row],[TEAM]]&amp;Matrix[[#Headers],[21]],FDR[FDR]&amp;FDR[[#Headers],[21]],FDR[21],"",0,1)</f>
        <v>5</v>
      </c>
      <c r="AH588" cm="1">
        <f t="array" ref="AH588">_xlfn.XLOOKUP(Matrix[[#This Row],[TEAM]]&amp;Matrix[[#Headers],[22]],FDR[FDR]&amp;FDR[[#Headers],[22]],FDR[22],"",0,1)</f>
        <v>5</v>
      </c>
      <c r="AI588" cm="1">
        <f t="array" ref="AI588">_xlfn.XLOOKUP(Matrix[[#This Row],[TEAM]]&amp;Matrix[[#Headers],[23]],FDR[FDR]&amp;FDR[[#Headers],[23]],FDR[23],"",0,1)</f>
        <v>5</v>
      </c>
      <c r="AJ588" cm="1">
        <f t="array" ref="AJ588">_xlfn.XLOOKUP(Matrix[[#This Row],[TEAM]]&amp;Matrix[[#Headers],[24]],FDR[FDR]&amp;FDR[[#Headers],[24]],FDR[24],"",0,1)</f>
        <v>4</v>
      </c>
      <c r="AK588" cm="1">
        <f t="array" ref="AK588">_xlfn.XLOOKUP(Matrix[[#This Row],[TEAM]]&amp;Matrix[[#Headers],[25]],FDR[FDR]&amp;FDR[[#Headers],[25]],FDR[25],"",0,1)</f>
        <v>4</v>
      </c>
      <c r="AL588" cm="1">
        <f t="array" ref="AL588">_xlfn.XLOOKUP(Matrix[[#This Row],[TEAM]]&amp;Matrix[[#Headers],[26]],FDR[FDR]&amp;FDR[[#Headers],[26]],FDR[26],"",0,1)</f>
        <v>5</v>
      </c>
      <c r="AM588" cm="1">
        <f t="array" ref="AM588">_xlfn.XLOOKUP(Matrix[[#This Row],[TEAM]]&amp;Matrix[[#Headers],[27]],FDR[FDR]&amp;FDR[[#Headers],[27]],FDR[27],"",0,1)</f>
        <v>5</v>
      </c>
      <c r="AN588" cm="1">
        <f t="array" ref="AN588">_xlfn.XLOOKUP(Matrix[[#This Row],[TEAM]]&amp;Matrix[[#Headers],[28]],FDR[FDR]&amp;FDR[[#Headers],[28]],FDR[28],"",0,1)</f>
        <v>4</v>
      </c>
      <c r="AO588" cm="1">
        <f t="array" ref="AO588">_xlfn.XLOOKUP(Matrix[[#This Row],[TEAM]]&amp;Matrix[[#Headers],[29]],FDR[FDR]&amp;FDR[[#Headers],[29]],FDR[29],"",0,1)</f>
        <v>5</v>
      </c>
      <c r="AP588" cm="1">
        <f t="array" ref="AP588">_xlfn.XLOOKUP(Matrix[[#This Row],[TEAM]]&amp;Matrix[[#Headers],[30]],FDR[FDR]&amp;FDR[[#Headers],[30]],FDR[30],"",0,1)</f>
        <v>5</v>
      </c>
      <c r="AQ588" cm="1">
        <f t="array" ref="AQ588">_xlfn.XLOOKUP(Matrix[[#This Row],[TEAM]]&amp;Matrix[[#Headers],[31]],FDR[FDR]&amp;FDR[[#Headers],[31]],FDR[31],"",0,1)</f>
        <v>5</v>
      </c>
      <c r="AR588" cm="1">
        <f t="array" ref="AR588">_xlfn.XLOOKUP(Matrix[[#This Row],[TEAM]]&amp;Matrix[[#Headers],[32]],FDR[FDR]&amp;FDR[[#Headers],[32]],FDR[32],"",0,1)</f>
        <v>5</v>
      </c>
      <c r="AS588" cm="1">
        <f t="array" ref="AS588">_xlfn.XLOOKUP(Matrix[[#This Row],[TEAM]]&amp;Matrix[[#Headers],[33]],FDR[FDR]&amp;FDR[[#Headers],[33]],FDR[33],"",0,1)</f>
        <v>5</v>
      </c>
      <c r="AT588" cm="1">
        <f t="array" ref="AT588">_xlfn.XLOOKUP(Matrix[[#This Row],[TEAM]]&amp;Matrix[[#Headers],[34]],FDR[FDR]&amp;FDR[[#Headers],[34]],FDR[34],"",0,1)</f>
        <v>5</v>
      </c>
      <c r="AU588" cm="1">
        <f t="array" ref="AU588">_xlfn.XLOOKUP(Matrix[[#This Row],[TEAM]]&amp;Matrix[[#Headers],[35]],FDR[FDR]&amp;FDR[[#Headers],[35]],FDR[35],"",0,1)</f>
        <v>4</v>
      </c>
      <c r="AV588" cm="1">
        <f t="array" ref="AV588">_xlfn.XLOOKUP(Matrix[[#This Row],[TEAM]]&amp;Matrix[[#Headers],[36]],FDR[FDR]&amp;FDR[[#Headers],[36]],FDR[36],"",0,1)</f>
        <v>5</v>
      </c>
      <c r="AW588" cm="1">
        <f t="array" ref="AW588">_xlfn.XLOOKUP(Matrix[[#This Row],[TEAM]]&amp;Matrix[[#Headers],[37]],FDR[FDR]&amp;FDR[[#Headers],[37]],FDR[37],"",0,1)</f>
        <v>5</v>
      </c>
      <c r="AX588" cm="1">
        <f t="array" ref="AX588">_xlfn.XLOOKUP(Matrix[[#This Row],[TEAM]]&amp;Matrix[[#Headers],[38]],FDR[FDR]&amp;FDR[[#Headers],[38]],FDR[38],"",0,1)</f>
        <v>3</v>
      </c>
    </row>
    <row r="589" spans="1:50" ht="22" thickTop="1" thickBot="1">
      <c r="A589" s="50" t="str">
        <f>INDEX!S$4</f>
        <v>MID</v>
      </c>
      <c r="B589" s="70" t="s">
        <v>1600</v>
      </c>
      <c r="C589" s="40" t="s">
        <v>22</v>
      </c>
      <c r="D589" s="62">
        <v>0</v>
      </c>
      <c r="E589" s="60">
        <v>0</v>
      </c>
      <c r="F589" s="61">
        <v>0</v>
      </c>
      <c r="G589" s="63">
        <v>5</v>
      </c>
      <c r="H589" s="261">
        <f>IF(ISBLANK(I589),0,1)</f>
        <v>1</v>
      </c>
      <c r="I589" s="57" t="s">
        <v>994</v>
      </c>
      <c r="J589" s="58">
        <v>0.75</v>
      </c>
      <c r="K589" s="59" t="s">
        <v>821</v>
      </c>
      <c r="L589" s="59" t="s">
        <v>822</v>
      </c>
      <c r="M589" cm="1">
        <f t="array" ref="M589">_xlfn.XLOOKUP(Matrix[[#This Row],[TEAM]]&amp;Matrix[[#Headers],[1]],FDR[FDR]&amp;FDR[[#Headers],[1]],FDR[1],"",0,1)</f>
        <v>5</v>
      </c>
      <c r="N589" cm="1">
        <f t="array" ref="N589">_xlfn.XLOOKUP(Matrix[[#This Row],[TEAM]]&amp;Matrix[[#Headers],[2]],FDR[FDR]&amp;FDR[[#Headers],[2]],FDR[2],"",0,1)</f>
        <v>3</v>
      </c>
      <c r="O589" cm="1">
        <f t="array" ref="O589">_xlfn.XLOOKUP(Matrix[[#This Row],[TEAM]]&amp;Matrix[[#Headers],[3]],FDR[FDR]&amp;FDR[[#Headers],[3]],FDR[3],"",0,1)</f>
        <v>5</v>
      </c>
      <c r="P589" cm="1">
        <f t="array" ref="P589">_xlfn.XLOOKUP(Matrix[[#This Row],[TEAM]]&amp;Matrix[[#Headers],[4]],FDR[FDR]&amp;FDR[[#Headers],[4]],FDR[4],"",0,1)</f>
        <v>5</v>
      </c>
      <c r="Q589" cm="1">
        <f t="array" ref="Q589">_xlfn.XLOOKUP(Matrix[[#This Row],[TEAM]]&amp;Matrix[[#Headers],[5]],FDR[FDR]&amp;FDR[[#Headers],[5]],FDR[5],"",0,1)</f>
        <v>5</v>
      </c>
      <c r="R589" cm="1">
        <f t="array" ref="R589">_xlfn.XLOOKUP(Matrix[[#This Row],[TEAM]]&amp;Matrix[[#Headers],[6]],FDR[FDR]&amp;FDR[[#Headers],[6]],FDR[6],"",0,1)</f>
        <v>5</v>
      </c>
      <c r="S589" cm="1">
        <f t="array" ref="S589">_xlfn.XLOOKUP(Matrix[[#This Row],[TEAM]]&amp;Matrix[[#Headers],[7]],FDR[FDR]&amp;FDR[[#Headers],[7]],FDR[7],"",0,1)</f>
        <v>5</v>
      </c>
      <c r="T589" cm="1">
        <f t="array" ref="T589">_xlfn.XLOOKUP(Matrix[[#This Row],[TEAM]]&amp;Matrix[[#Headers],[8]],FDR[FDR]&amp;FDR[[#Headers],[8]],FDR[8],"",0,1)</f>
        <v>3</v>
      </c>
      <c r="U589" cm="1">
        <f t="array" ref="U589">_xlfn.XLOOKUP(Matrix[[#This Row],[TEAM]]&amp;Matrix[[#Headers],[9]],FDR[FDR]&amp;FDR[[#Headers],[9]],FDR[9],"",0,1)</f>
        <v>4</v>
      </c>
      <c r="V589" cm="1">
        <f t="array" ref="V589">_xlfn.XLOOKUP(Matrix[[#This Row],[TEAM]]&amp;Matrix[[#Headers],[10]],FDR[FDR]&amp;FDR[[#Headers],[10]],FDR[10],"",0,1)</f>
        <v>5</v>
      </c>
      <c r="W589" cm="1">
        <f t="array" ref="W589">_xlfn.XLOOKUP(Matrix[[#This Row],[TEAM]]&amp;Matrix[[#Headers],[11]],FDR[FDR]&amp;FDR[[#Headers],[11]],FDR[11],"",0,1)</f>
        <v>5</v>
      </c>
      <c r="X589" cm="1">
        <f t="array" ref="X589">_xlfn.XLOOKUP(Matrix[[#This Row],[TEAM]]&amp;Matrix[[#Headers],[12]],FDR[FDR]&amp;FDR[[#Headers],[12]],FDR[12],"",0,1)</f>
        <v>5</v>
      </c>
      <c r="Y589" cm="1">
        <f t="array" ref="Y589">_xlfn.XLOOKUP(Matrix[[#This Row],[TEAM]]&amp;Matrix[[#Headers],[13]],FDR[FDR]&amp;FDR[[#Headers],[13]],FDR[13],"",0,1)</f>
        <v>5</v>
      </c>
      <c r="Z589" cm="1">
        <f t="array" ref="Z589">_xlfn.XLOOKUP(Matrix[[#This Row],[TEAM]]&amp;Matrix[[#Headers],[14]],FDR[FDR]&amp;FDR[[#Headers],[14]],FDR[14],"",0,1)</f>
        <v>4</v>
      </c>
      <c r="AA589" cm="1">
        <f t="array" ref="AA589">_xlfn.XLOOKUP(Matrix[[#This Row],[TEAM]]&amp;Matrix[[#Headers],[15]],FDR[FDR]&amp;FDR[[#Headers],[15]],FDR[15],"",0,1)</f>
        <v>5</v>
      </c>
      <c r="AB589" cm="1">
        <f t="array" ref="AB589">_xlfn.XLOOKUP(Matrix[[#This Row],[TEAM]]&amp;Matrix[[#Headers],[16]],FDR[FDR]&amp;FDR[[#Headers],[16]],FDR[16],"",0,1)</f>
        <v>5</v>
      </c>
      <c r="AC589" cm="1">
        <f t="array" ref="AC589">_xlfn.XLOOKUP(Matrix[[#This Row],[TEAM]]&amp;Matrix[[#Headers],[17]],FDR[FDR]&amp;FDR[[#Headers],[17]],FDR[17],"",0,1)</f>
        <v>5</v>
      </c>
      <c r="AD589" cm="1">
        <f t="array" ref="AD589">_xlfn.XLOOKUP(Matrix[[#This Row],[TEAM]]&amp;Matrix[[#Headers],[18]],FDR[FDR]&amp;FDR[[#Headers],[18]],FDR[18],"",0,1)</f>
        <v>4</v>
      </c>
      <c r="AE589" cm="1">
        <f t="array" ref="AE589">_xlfn.XLOOKUP(Matrix[[#This Row],[TEAM]]&amp;Matrix[[#Headers],[19]],FDR[FDR]&amp;FDR[[#Headers],[19]],FDR[19],"",0,1)</f>
        <v>5</v>
      </c>
      <c r="AF589" cm="1">
        <f t="array" ref="AF589">_xlfn.XLOOKUP(Matrix[[#This Row],[TEAM]]&amp;Matrix[[#Headers],[20]],FDR[FDR]&amp;FDR[[#Headers],[20]],FDR[20],"",0,1)</f>
        <v>5</v>
      </c>
      <c r="AG589" cm="1">
        <f t="array" ref="AG589">_xlfn.XLOOKUP(Matrix[[#This Row],[TEAM]]&amp;Matrix[[#Headers],[21]],FDR[FDR]&amp;FDR[[#Headers],[21]],FDR[21],"",0,1)</f>
        <v>5</v>
      </c>
      <c r="AH589" cm="1">
        <f t="array" ref="AH589">_xlfn.XLOOKUP(Matrix[[#This Row],[TEAM]]&amp;Matrix[[#Headers],[22]],FDR[FDR]&amp;FDR[[#Headers],[22]],FDR[22],"",0,1)</f>
        <v>5</v>
      </c>
      <c r="AI589" cm="1">
        <f t="array" ref="AI589">_xlfn.XLOOKUP(Matrix[[#This Row],[TEAM]]&amp;Matrix[[#Headers],[23]],FDR[FDR]&amp;FDR[[#Headers],[23]],FDR[23],"",0,1)</f>
        <v>5</v>
      </c>
      <c r="AJ589" cm="1">
        <f t="array" ref="AJ589">_xlfn.XLOOKUP(Matrix[[#This Row],[TEAM]]&amp;Matrix[[#Headers],[24]],FDR[FDR]&amp;FDR[[#Headers],[24]],FDR[24],"",0,1)</f>
        <v>4</v>
      </c>
      <c r="AK589" cm="1">
        <f t="array" ref="AK589">_xlfn.XLOOKUP(Matrix[[#This Row],[TEAM]]&amp;Matrix[[#Headers],[25]],FDR[FDR]&amp;FDR[[#Headers],[25]],FDR[25],"",0,1)</f>
        <v>4</v>
      </c>
      <c r="AL589" cm="1">
        <f t="array" ref="AL589">_xlfn.XLOOKUP(Matrix[[#This Row],[TEAM]]&amp;Matrix[[#Headers],[26]],FDR[FDR]&amp;FDR[[#Headers],[26]],FDR[26],"",0,1)</f>
        <v>5</v>
      </c>
      <c r="AM589" cm="1">
        <f t="array" ref="AM589">_xlfn.XLOOKUP(Matrix[[#This Row],[TEAM]]&amp;Matrix[[#Headers],[27]],FDR[FDR]&amp;FDR[[#Headers],[27]],FDR[27],"",0,1)</f>
        <v>5</v>
      </c>
      <c r="AN589" cm="1">
        <f t="array" ref="AN589">_xlfn.XLOOKUP(Matrix[[#This Row],[TEAM]]&amp;Matrix[[#Headers],[28]],FDR[FDR]&amp;FDR[[#Headers],[28]],FDR[28],"",0,1)</f>
        <v>4</v>
      </c>
      <c r="AO589" cm="1">
        <f t="array" ref="AO589">_xlfn.XLOOKUP(Matrix[[#This Row],[TEAM]]&amp;Matrix[[#Headers],[29]],FDR[FDR]&amp;FDR[[#Headers],[29]],FDR[29],"",0,1)</f>
        <v>5</v>
      </c>
      <c r="AP589" cm="1">
        <f t="array" ref="AP589">_xlfn.XLOOKUP(Matrix[[#This Row],[TEAM]]&amp;Matrix[[#Headers],[30]],FDR[FDR]&amp;FDR[[#Headers],[30]],FDR[30],"",0,1)</f>
        <v>5</v>
      </c>
      <c r="AQ589" cm="1">
        <f t="array" ref="AQ589">_xlfn.XLOOKUP(Matrix[[#This Row],[TEAM]]&amp;Matrix[[#Headers],[31]],FDR[FDR]&amp;FDR[[#Headers],[31]],FDR[31],"",0,1)</f>
        <v>5</v>
      </c>
      <c r="AR589" cm="1">
        <f t="array" ref="AR589">_xlfn.XLOOKUP(Matrix[[#This Row],[TEAM]]&amp;Matrix[[#Headers],[32]],FDR[FDR]&amp;FDR[[#Headers],[32]],FDR[32],"",0,1)</f>
        <v>5</v>
      </c>
      <c r="AS589" cm="1">
        <f t="array" ref="AS589">_xlfn.XLOOKUP(Matrix[[#This Row],[TEAM]]&amp;Matrix[[#Headers],[33]],FDR[FDR]&amp;FDR[[#Headers],[33]],FDR[33],"",0,1)</f>
        <v>5</v>
      </c>
      <c r="AT589" cm="1">
        <f t="array" ref="AT589">_xlfn.XLOOKUP(Matrix[[#This Row],[TEAM]]&amp;Matrix[[#Headers],[34]],FDR[FDR]&amp;FDR[[#Headers],[34]],FDR[34],"",0,1)</f>
        <v>5</v>
      </c>
      <c r="AU589" cm="1">
        <f t="array" ref="AU589">_xlfn.XLOOKUP(Matrix[[#This Row],[TEAM]]&amp;Matrix[[#Headers],[35]],FDR[FDR]&amp;FDR[[#Headers],[35]],FDR[35],"",0,1)</f>
        <v>4</v>
      </c>
      <c r="AV589" cm="1">
        <f t="array" ref="AV589">_xlfn.XLOOKUP(Matrix[[#This Row],[TEAM]]&amp;Matrix[[#Headers],[36]],FDR[FDR]&amp;FDR[[#Headers],[36]],FDR[36],"",0,1)</f>
        <v>5</v>
      </c>
      <c r="AW589" cm="1">
        <f t="array" ref="AW589">_xlfn.XLOOKUP(Matrix[[#This Row],[TEAM]]&amp;Matrix[[#Headers],[37]],FDR[FDR]&amp;FDR[[#Headers],[37]],FDR[37],"",0,1)</f>
        <v>5</v>
      </c>
      <c r="AX589" cm="1">
        <f t="array" ref="AX589">_xlfn.XLOOKUP(Matrix[[#This Row],[TEAM]]&amp;Matrix[[#Headers],[38]],FDR[FDR]&amp;FDR[[#Headers],[38]],FDR[38],"",0,1)</f>
        <v>3</v>
      </c>
    </row>
    <row r="590" spans="1:50" ht="22" thickTop="1" thickBot="1">
      <c r="A590" s="50" t="str">
        <f>INDEX!S$4</f>
        <v>MID</v>
      </c>
      <c r="B590" s="70" t="s">
        <v>1530</v>
      </c>
      <c r="C590" s="40" t="s">
        <v>633</v>
      </c>
      <c r="D590" s="62">
        <v>0</v>
      </c>
      <c r="E590" s="60">
        <v>3.0000000000000001E-3</v>
      </c>
      <c r="F590" s="61">
        <v>0</v>
      </c>
      <c r="G590" s="63">
        <v>5</v>
      </c>
      <c r="H590" s="261">
        <f>IF(ISBLANK(I590),0,1)</f>
        <v>1</v>
      </c>
      <c r="I590" s="57" t="s">
        <v>891</v>
      </c>
      <c r="J590" s="58">
        <v>0.75</v>
      </c>
      <c r="K590" s="59" t="s">
        <v>860</v>
      </c>
      <c r="L590" s="59" t="s">
        <v>859</v>
      </c>
      <c r="M590" cm="1">
        <f t="array" ref="M590">_xlfn.XLOOKUP(Matrix[[#This Row],[TEAM]]&amp;Matrix[[#Headers],[1]],FDR[FDR]&amp;FDR[[#Headers],[1]],FDR[1],"",0,1)</f>
        <v>4</v>
      </c>
      <c r="N590" cm="1">
        <f t="array" ref="N590">_xlfn.XLOOKUP(Matrix[[#This Row],[TEAM]]&amp;Matrix[[#Headers],[2]],FDR[FDR]&amp;FDR[[#Headers],[2]],FDR[2],"",0,1)</f>
        <v>5</v>
      </c>
      <c r="O590" cm="1">
        <f t="array" ref="O590">_xlfn.XLOOKUP(Matrix[[#This Row],[TEAM]]&amp;Matrix[[#Headers],[3]],FDR[FDR]&amp;FDR[[#Headers],[3]],FDR[3],"",0,1)</f>
        <v>5</v>
      </c>
      <c r="P590" cm="1">
        <f t="array" ref="P590">_xlfn.XLOOKUP(Matrix[[#This Row],[TEAM]]&amp;Matrix[[#Headers],[4]],FDR[FDR]&amp;FDR[[#Headers],[4]],FDR[4],"",0,1)</f>
        <v>5</v>
      </c>
      <c r="Q590" cm="1">
        <f t="array" ref="Q590">_xlfn.XLOOKUP(Matrix[[#This Row],[TEAM]]&amp;Matrix[[#Headers],[5]],FDR[FDR]&amp;FDR[[#Headers],[5]],FDR[5],"",0,1)</f>
        <v>4</v>
      </c>
      <c r="R590" cm="1">
        <f t="array" ref="R590">_xlfn.XLOOKUP(Matrix[[#This Row],[TEAM]]&amp;Matrix[[#Headers],[6]],FDR[FDR]&amp;FDR[[#Headers],[6]],FDR[6],"",0,1)</f>
        <v>5</v>
      </c>
      <c r="S590" cm="1">
        <f t="array" ref="S590">_xlfn.XLOOKUP(Matrix[[#This Row],[TEAM]]&amp;Matrix[[#Headers],[7]],FDR[FDR]&amp;FDR[[#Headers],[7]],FDR[7],"",0,1)</f>
        <v>5</v>
      </c>
      <c r="T590" cm="1">
        <f t="array" ref="T590">_xlfn.XLOOKUP(Matrix[[#This Row],[TEAM]]&amp;Matrix[[#Headers],[8]],FDR[FDR]&amp;FDR[[#Headers],[8]],FDR[8],"",0,1)</f>
        <v>4</v>
      </c>
      <c r="U590" cm="1">
        <f t="array" ref="U590">_xlfn.XLOOKUP(Matrix[[#This Row],[TEAM]]&amp;Matrix[[#Headers],[9]],FDR[FDR]&amp;FDR[[#Headers],[9]],FDR[9],"",0,1)</f>
        <v>4</v>
      </c>
      <c r="V590" cm="1">
        <f t="array" ref="V590">_xlfn.XLOOKUP(Matrix[[#This Row],[TEAM]]&amp;Matrix[[#Headers],[10]],FDR[FDR]&amp;FDR[[#Headers],[10]],FDR[10],"",0,1)</f>
        <v>5</v>
      </c>
      <c r="W590" cm="1">
        <f t="array" ref="W590">_xlfn.XLOOKUP(Matrix[[#This Row],[TEAM]]&amp;Matrix[[#Headers],[11]],FDR[FDR]&amp;FDR[[#Headers],[11]],FDR[11],"",0,1)</f>
        <v>5</v>
      </c>
      <c r="X590" cm="1">
        <f t="array" ref="X590">_xlfn.XLOOKUP(Matrix[[#This Row],[TEAM]]&amp;Matrix[[#Headers],[12]],FDR[FDR]&amp;FDR[[#Headers],[12]],FDR[12],"",0,1)</f>
        <v>5</v>
      </c>
      <c r="Y590" cm="1">
        <f t="array" ref="Y590">_xlfn.XLOOKUP(Matrix[[#This Row],[TEAM]]&amp;Matrix[[#Headers],[13]],FDR[FDR]&amp;FDR[[#Headers],[13]],FDR[13],"",0,1)</f>
        <v>5</v>
      </c>
      <c r="Z590" cm="1">
        <f t="array" ref="Z590">_xlfn.XLOOKUP(Matrix[[#This Row],[TEAM]]&amp;Matrix[[#Headers],[14]],FDR[FDR]&amp;FDR[[#Headers],[14]],FDR[14],"",0,1)</f>
        <v>5</v>
      </c>
      <c r="AA590" cm="1">
        <f t="array" ref="AA590">_xlfn.XLOOKUP(Matrix[[#This Row],[TEAM]]&amp;Matrix[[#Headers],[15]],FDR[FDR]&amp;FDR[[#Headers],[15]],FDR[15],"",0,1)</f>
        <v>5</v>
      </c>
      <c r="AB590" cm="1">
        <f t="array" ref="AB590">_xlfn.XLOOKUP(Matrix[[#This Row],[TEAM]]&amp;Matrix[[#Headers],[16]],FDR[FDR]&amp;FDR[[#Headers],[16]],FDR[16],"",0,1)</f>
        <v>5</v>
      </c>
      <c r="AC590" cm="1">
        <f t="array" ref="AC590">_xlfn.XLOOKUP(Matrix[[#This Row],[TEAM]]&amp;Matrix[[#Headers],[17]],FDR[FDR]&amp;FDR[[#Headers],[17]],FDR[17],"",0,1)</f>
        <v>4</v>
      </c>
      <c r="AD590" cm="1">
        <f t="array" ref="AD590">_xlfn.XLOOKUP(Matrix[[#This Row],[TEAM]]&amp;Matrix[[#Headers],[18]],FDR[FDR]&amp;FDR[[#Headers],[18]],FDR[18],"",0,1)</f>
        <v>4</v>
      </c>
      <c r="AE590" cm="1">
        <f t="array" ref="AE590">_xlfn.XLOOKUP(Matrix[[#This Row],[TEAM]]&amp;Matrix[[#Headers],[19]],FDR[FDR]&amp;FDR[[#Headers],[19]],FDR[19],"",0,1)</f>
        <v>5</v>
      </c>
      <c r="AF590" cm="1">
        <f t="array" ref="AF590">_xlfn.XLOOKUP(Matrix[[#This Row],[TEAM]]&amp;Matrix[[#Headers],[20]],FDR[FDR]&amp;FDR[[#Headers],[20]],FDR[20],"",0,1)</f>
        <v>5</v>
      </c>
      <c r="AG590" cm="1">
        <f t="array" ref="AG590">_xlfn.XLOOKUP(Matrix[[#This Row],[TEAM]]&amp;Matrix[[#Headers],[21]],FDR[FDR]&amp;FDR[[#Headers],[21]],FDR[21],"",0,1)</f>
        <v>5</v>
      </c>
      <c r="AH590" cm="1">
        <f t="array" ref="AH590">_xlfn.XLOOKUP(Matrix[[#This Row],[TEAM]]&amp;Matrix[[#Headers],[22]],FDR[FDR]&amp;FDR[[#Headers],[22]],FDR[22],"",0,1)</f>
        <v>5</v>
      </c>
      <c r="AI590" cm="1">
        <f t="array" ref="AI590">_xlfn.XLOOKUP(Matrix[[#This Row],[TEAM]]&amp;Matrix[[#Headers],[23]],FDR[FDR]&amp;FDR[[#Headers],[23]],FDR[23],"",0,1)</f>
        <v>5</v>
      </c>
      <c r="AJ590" cm="1">
        <f t="array" ref="AJ590">_xlfn.XLOOKUP(Matrix[[#This Row],[TEAM]]&amp;Matrix[[#Headers],[24]],FDR[FDR]&amp;FDR[[#Headers],[24]],FDR[24],"",0,1)</f>
        <v>5</v>
      </c>
      <c r="AK590" cm="1">
        <f t="array" ref="AK590">_xlfn.XLOOKUP(Matrix[[#This Row],[TEAM]]&amp;Matrix[[#Headers],[25]],FDR[FDR]&amp;FDR[[#Headers],[25]],FDR[25],"",0,1)</f>
        <v>5</v>
      </c>
      <c r="AL590" cm="1">
        <f t="array" ref="AL590">_xlfn.XLOOKUP(Matrix[[#This Row],[TEAM]]&amp;Matrix[[#Headers],[26]],FDR[FDR]&amp;FDR[[#Headers],[26]],FDR[26],"",0,1)</f>
        <v>5</v>
      </c>
      <c r="AM590" cm="1">
        <f t="array" ref="AM590">_xlfn.XLOOKUP(Matrix[[#This Row],[TEAM]]&amp;Matrix[[#Headers],[27]],FDR[FDR]&amp;FDR[[#Headers],[27]],FDR[27],"",0,1)</f>
        <v>5</v>
      </c>
      <c r="AN590" cm="1">
        <f t="array" ref="AN590">_xlfn.XLOOKUP(Matrix[[#This Row],[TEAM]]&amp;Matrix[[#Headers],[28]],FDR[FDR]&amp;FDR[[#Headers],[28]],FDR[28],"",0,1)</f>
        <v>5</v>
      </c>
      <c r="AO590" cm="1">
        <f t="array" ref="AO590">_xlfn.XLOOKUP(Matrix[[#This Row],[TEAM]]&amp;Matrix[[#Headers],[29]],FDR[FDR]&amp;FDR[[#Headers],[29]],FDR[29],"",0,1)</f>
        <v>3</v>
      </c>
      <c r="AP590" cm="1">
        <f t="array" ref="AP590">_xlfn.XLOOKUP(Matrix[[#This Row],[TEAM]]&amp;Matrix[[#Headers],[30]],FDR[FDR]&amp;FDR[[#Headers],[30]],FDR[30],"",0,1)</f>
        <v>5</v>
      </c>
      <c r="AQ590" cm="1">
        <f t="array" ref="AQ590">_xlfn.XLOOKUP(Matrix[[#This Row],[TEAM]]&amp;Matrix[[#Headers],[31]],FDR[FDR]&amp;FDR[[#Headers],[31]],FDR[31],"",0,1)</f>
        <v>4</v>
      </c>
      <c r="AR590" cm="1">
        <f t="array" ref="AR590">_xlfn.XLOOKUP(Matrix[[#This Row],[TEAM]]&amp;Matrix[[#Headers],[32]],FDR[FDR]&amp;FDR[[#Headers],[32]],FDR[32],"",0,1)</f>
        <v>5</v>
      </c>
      <c r="AS590" cm="1">
        <f t="array" ref="AS590">_xlfn.XLOOKUP(Matrix[[#This Row],[TEAM]]&amp;Matrix[[#Headers],[33]],FDR[FDR]&amp;FDR[[#Headers],[33]],FDR[33],"",0,1)</f>
        <v>3</v>
      </c>
      <c r="AT590" cm="1">
        <f t="array" ref="AT590">_xlfn.XLOOKUP(Matrix[[#This Row],[TEAM]]&amp;Matrix[[#Headers],[34]],FDR[FDR]&amp;FDR[[#Headers],[34]],FDR[34],"",0,1)</f>
        <v>5</v>
      </c>
      <c r="AU590" cm="1">
        <f t="array" ref="AU590">_xlfn.XLOOKUP(Matrix[[#This Row],[TEAM]]&amp;Matrix[[#Headers],[35]],FDR[FDR]&amp;FDR[[#Headers],[35]],FDR[35],"",0,1)</f>
        <v>3</v>
      </c>
      <c r="AV590" cm="1">
        <f t="array" ref="AV590">_xlfn.XLOOKUP(Matrix[[#This Row],[TEAM]]&amp;Matrix[[#Headers],[36]],FDR[FDR]&amp;FDR[[#Headers],[36]],FDR[36],"",0,1)</f>
        <v>5</v>
      </c>
      <c r="AW590" cm="1">
        <f t="array" ref="AW590">_xlfn.XLOOKUP(Matrix[[#This Row],[TEAM]]&amp;Matrix[[#Headers],[37]],FDR[FDR]&amp;FDR[[#Headers],[37]],FDR[37],"",0,1)</f>
        <v>5</v>
      </c>
      <c r="AX590" cm="1">
        <f t="array" ref="AX590">_xlfn.XLOOKUP(Matrix[[#This Row],[TEAM]]&amp;Matrix[[#Headers],[38]],FDR[FDR]&amp;FDR[[#Headers],[38]],FDR[38],"",0,1)</f>
        <v>5</v>
      </c>
    </row>
    <row r="591" spans="1:50" ht="22" thickTop="1" thickBot="1">
      <c r="A591" s="50" t="str">
        <f>INDEX!S$4</f>
        <v>MID</v>
      </c>
      <c r="B591" s="70" t="s">
        <v>1578</v>
      </c>
      <c r="C591" s="40" t="s">
        <v>633</v>
      </c>
      <c r="D591" s="62">
        <v>0</v>
      </c>
      <c r="E591" s="60">
        <v>1E-3</v>
      </c>
      <c r="F591" s="61">
        <v>0</v>
      </c>
      <c r="G591" s="63">
        <v>5</v>
      </c>
      <c r="H591" s="261">
        <f>IF(ISBLANK(I591),0,1)</f>
        <v>1</v>
      </c>
      <c r="I591" s="57" t="s">
        <v>891</v>
      </c>
      <c r="J591" s="58" t="s">
        <v>1097</v>
      </c>
      <c r="K591" s="59" t="s">
        <v>409</v>
      </c>
      <c r="L591" s="59" t="s">
        <v>176</v>
      </c>
      <c r="M591" cm="1">
        <f t="array" ref="M591">_xlfn.XLOOKUP(Matrix[[#This Row],[TEAM]]&amp;Matrix[[#Headers],[1]],FDR[FDR]&amp;FDR[[#Headers],[1]],FDR[1],"",0,1)</f>
        <v>4</v>
      </c>
      <c r="N591" cm="1">
        <f t="array" ref="N591">_xlfn.XLOOKUP(Matrix[[#This Row],[TEAM]]&amp;Matrix[[#Headers],[2]],FDR[FDR]&amp;FDR[[#Headers],[2]],FDR[2],"",0,1)</f>
        <v>5</v>
      </c>
      <c r="O591" cm="1">
        <f t="array" ref="O591">_xlfn.XLOOKUP(Matrix[[#This Row],[TEAM]]&amp;Matrix[[#Headers],[3]],FDR[FDR]&amp;FDR[[#Headers],[3]],FDR[3],"",0,1)</f>
        <v>5</v>
      </c>
      <c r="P591" cm="1">
        <f t="array" ref="P591">_xlfn.XLOOKUP(Matrix[[#This Row],[TEAM]]&amp;Matrix[[#Headers],[4]],FDR[FDR]&amp;FDR[[#Headers],[4]],FDR[4],"",0,1)</f>
        <v>5</v>
      </c>
      <c r="Q591" cm="1">
        <f t="array" ref="Q591">_xlfn.XLOOKUP(Matrix[[#This Row],[TEAM]]&amp;Matrix[[#Headers],[5]],FDR[FDR]&amp;FDR[[#Headers],[5]],FDR[5],"",0,1)</f>
        <v>4</v>
      </c>
      <c r="R591" cm="1">
        <f t="array" ref="R591">_xlfn.XLOOKUP(Matrix[[#This Row],[TEAM]]&amp;Matrix[[#Headers],[6]],FDR[FDR]&amp;FDR[[#Headers],[6]],FDR[6],"",0,1)</f>
        <v>5</v>
      </c>
      <c r="S591" cm="1">
        <f t="array" ref="S591">_xlfn.XLOOKUP(Matrix[[#This Row],[TEAM]]&amp;Matrix[[#Headers],[7]],FDR[FDR]&amp;FDR[[#Headers],[7]],FDR[7],"",0,1)</f>
        <v>5</v>
      </c>
      <c r="T591" cm="1">
        <f t="array" ref="T591">_xlfn.XLOOKUP(Matrix[[#This Row],[TEAM]]&amp;Matrix[[#Headers],[8]],FDR[FDR]&amp;FDR[[#Headers],[8]],FDR[8],"",0,1)</f>
        <v>4</v>
      </c>
      <c r="U591" cm="1">
        <f t="array" ref="U591">_xlfn.XLOOKUP(Matrix[[#This Row],[TEAM]]&amp;Matrix[[#Headers],[9]],FDR[FDR]&amp;FDR[[#Headers],[9]],FDR[9],"",0,1)</f>
        <v>4</v>
      </c>
      <c r="V591" cm="1">
        <f t="array" ref="V591">_xlfn.XLOOKUP(Matrix[[#This Row],[TEAM]]&amp;Matrix[[#Headers],[10]],FDR[FDR]&amp;FDR[[#Headers],[10]],FDR[10],"",0,1)</f>
        <v>5</v>
      </c>
      <c r="W591" cm="1">
        <f t="array" ref="W591">_xlfn.XLOOKUP(Matrix[[#This Row],[TEAM]]&amp;Matrix[[#Headers],[11]],FDR[FDR]&amp;FDR[[#Headers],[11]],FDR[11],"",0,1)</f>
        <v>5</v>
      </c>
      <c r="X591" cm="1">
        <f t="array" ref="X591">_xlfn.XLOOKUP(Matrix[[#This Row],[TEAM]]&amp;Matrix[[#Headers],[12]],FDR[FDR]&amp;FDR[[#Headers],[12]],FDR[12],"",0,1)</f>
        <v>5</v>
      </c>
      <c r="Y591" cm="1">
        <f t="array" ref="Y591">_xlfn.XLOOKUP(Matrix[[#This Row],[TEAM]]&amp;Matrix[[#Headers],[13]],FDR[FDR]&amp;FDR[[#Headers],[13]],FDR[13],"",0,1)</f>
        <v>5</v>
      </c>
      <c r="Z591" cm="1">
        <f t="array" ref="Z591">_xlfn.XLOOKUP(Matrix[[#This Row],[TEAM]]&amp;Matrix[[#Headers],[14]],FDR[FDR]&amp;FDR[[#Headers],[14]],FDR[14],"",0,1)</f>
        <v>5</v>
      </c>
      <c r="AA591" cm="1">
        <f t="array" ref="AA591">_xlfn.XLOOKUP(Matrix[[#This Row],[TEAM]]&amp;Matrix[[#Headers],[15]],FDR[FDR]&amp;FDR[[#Headers],[15]],FDR[15],"",0,1)</f>
        <v>5</v>
      </c>
      <c r="AB591" cm="1">
        <f t="array" ref="AB591">_xlfn.XLOOKUP(Matrix[[#This Row],[TEAM]]&amp;Matrix[[#Headers],[16]],FDR[FDR]&amp;FDR[[#Headers],[16]],FDR[16],"",0,1)</f>
        <v>5</v>
      </c>
      <c r="AC591" cm="1">
        <f t="array" ref="AC591">_xlfn.XLOOKUP(Matrix[[#This Row],[TEAM]]&amp;Matrix[[#Headers],[17]],FDR[FDR]&amp;FDR[[#Headers],[17]],FDR[17],"",0,1)</f>
        <v>4</v>
      </c>
      <c r="AD591" cm="1">
        <f t="array" ref="AD591">_xlfn.XLOOKUP(Matrix[[#This Row],[TEAM]]&amp;Matrix[[#Headers],[18]],FDR[FDR]&amp;FDR[[#Headers],[18]],FDR[18],"",0,1)</f>
        <v>4</v>
      </c>
      <c r="AE591" cm="1">
        <f t="array" ref="AE591">_xlfn.XLOOKUP(Matrix[[#This Row],[TEAM]]&amp;Matrix[[#Headers],[19]],FDR[FDR]&amp;FDR[[#Headers],[19]],FDR[19],"",0,1)</f>
        <v>5</v>
      </c>
      <c r="AF591" cm="1">
        <f t="array" ref="AF591">_xlfn.XLOOKUP(Matrix[[#This Row],[TEAM]]&amp;Matrix[[#Headers],[20]],FDR[FDR]&amp;FDR[[#Headers],[20]],FDR[20],"",0,1)</f>
        <v>5</v>
      </c>
      <c r="AG591" cm="1">
        <f t="array" ref="AG591">_xlfn.XLOOKUP(Matrix[[#This Row],[TEAM]]&amp;Matrix[[#Headers],[21]],FDR[FDR]&amp;FDR[[#Headers],[21]],FDR[21],"",0,1)</f>
        <v>5</v>
      </c>
      <c r="AH591" cm="1">
        <f t="array" ref="AH591">_xlfn.XLOOKUP(Matrix[[#This Row],[TEAM]]&amp;Matrix[[#Headers],[22]],FDR[FDR]&amp;FDR[[#Headers],[22]],FDR[22],"",0,1)</f>
        <v>5</v>
      </c>
      <c r="AI591" cm="1">
        <f t="array" ref="AI591">_xlfn.XLOOKUP(Matrix[[#This Row],[TEAM]]&amp;Matrix[[#Headers],[23]],FDR[FDR]&amp;FDR[[#Headers],[23]],FDR[23],"",0,1)</f>
        <v>5</v>
      </c>
      <c r="AJ591" cm="1">
        <f t="array" ref="AJ591">_xlfn.XLOOKUP(Matrix[[#This Row],[TEAM]]&amp;Matrix[[#Headers],[24]],FDR[FDR]&amp;FDR[[#Headers],[24]],FDR[24],"",0,1)</f>
        <v>5</v>
      </c>
      <c r="AK591" cm="1">
        <f t="array" ref="AK591">_xlfn.XLOOKUP(Matrix[[#This Row],[TEAM]]&amp;Matrix[[#Headers],[25]],FDR[FDR]&amp;FDR[[#Headers],[25]],FDR[25],"",0,1)</f>
        <v>5</v>
      </c>
      <c r="AL591" cm="1">
        <f t="array" ref="AL591">_xlfn.XLOOKUP(Matrix[[#This Row],[TEAM]]&amp;Matrix[[#Headers],[26]],FDR[FDR]&amp;FDR[[#Headers],[26]],FDR[26],"",0,1)</f>
        <v>5</v>
      </c>
      <c r="AM591" cm="1">
        <f t="array" ref="AM591">_xlfn.XLOOKUP(Matrix[[#This Row],[TEAM]]&amp;Matrix[[#Headers],[27]],FDR[FDR]&amp;FDR[[#Headers],[27]],FDR[27],"",0,1)</f>
        <v>5</v>
      </c>
      <c r="AN591" cm="1">
        <f t="array" ref="AN591">_xlfn.XLOOKUP(Matrix[[#This Row],[TEAM]]&amp;Matrix[[#Headers],[28]],FDR[FDR]&amp;FDR[[#Headers],[28]],FDR[28],"",0,1)</f>
        <v>5</v>
      </c>
      <c r="AO591" cm="1">
        <f t="array" ref="AO591">_xlfn.XLOOKUP(Matrix[[#This Row],[TEAM]]&amp;Matrix[[#Headers],[29]],FDR[FDR]&amp;FDR[[#Headers],[29]],FDR[29],"",0,1)</f>
        <v>3</v>
      </c>
      <c r="AP591" cm="1">
        <f t="array" ref="AP591">_xlfn.XLOOKUP(Matrix[[#This Row],[TEAM]]&amp;Matrix[[#Headers],[30]],FDR[FDR]&amp;FDR[[#Headers],[30]],FDR[30],"",0,1)</f>
        <v>5</v>
      </c>
      <c r="AQ591" cm="1">
        <f t="array" ref="AQ591">_xlfn.XLOOKUP(Matrix[[#This Row],[TEAM]]&amp;Matrix[[#Headers],[31]],FDR[FDR]&amp;FDR[[#Headers],[31]],FDR[31],"",0,1)</f>
        <v>4</v>
      </c>
      <c r="AR591" cm="1">
        <f t="array" ref="AR591">_xlfn.XLOOKUP(Matrix[[#This Row],[TEAM]]&amp;Matrix[[#Headers],[32]],FDR[FDR]&amp;FDR[[#Headers],[32]],FDR[32],"",0,1)</f>
        <v>5</v>
      </c>
      <c r="AS591" cm="1">
        <f t="array" ref="AS591">_xlfn.XLOOKUP(Matrix[[#This Row],[TEAM]]&amp;Matrix[[#Headers],[33]],FDR[FDR]&amp;FDR[[#Headers],[33]],FDR[33],"",0,1)</f>
        <v>3</v>
      </c>
      <c r="AT591" cm="1">
        <f t="array" ref="AT591">_xlfn.XLOOKUP(Matrix[[#This Row],[TEAM]]&amp;Matrix[[#Headers],[34]],FDR[FDR]&amp;FDR[[#Headers],[34]],FDR[34],"",0,1)</f>
        <v>5</v>
      </c>
      <c r="AU591" cm="1">
        <f t="array" ref="AU591">_xlfn.XLOOKUP(Matrix[[#This Row],[TEAM]]&amp;Matrix[[#Headers],[35]],FDR[FDR]&amp;FDR[[#Headers],[35]],FDR[35],"",0,1)</f>
        <v>3</v>
      </c>
      <c r="AV591" cm="1">
        <f t="array" ref="AV591">_xlfn.XLOOKUP(Matrix[[#This Row],[TEAM]]&amp;Matrix[[#Headers],[36]],FDR[FDR]&amp;FDR[[#Headers],[36]],FDR[36],"",0,1)</f>
        <v>5</v>
      </c>
      <c r="AW591" cm="1">
        <f t="array" ref="AW591">_xlfn.XLOOKUP(Matrix[[#This Row],[TEAM]]&amp;Matrix[[#Headers],[37]],FDR[FDR]&amp;FDR[[#Headers],[37]],FDR[37],"",0,1)</f>
        <v>5</v>
      </c>
      <c r="AX591" cm="1">
        <f t="array" ref="AX591">_xlfn.XLOOKUP(Matrix[[#This Row],[TEAM]]&amp;Matrix[[#Headers],[38]],FDR[FDR]&amp;FDR[[#Headers],[38]],FDR[38],"",0,1)</f>
        <v>5</v>
      </c>
    </row>
    <row r="592" spans="1:50" ht="22" thickTop="1" thickBot="1">
      <c r="A592" s="50" t="str">
        <f>INDEX!S$4</f>
        <v>MID</v>
      </c>
      <c r="B592" s="70" t="s">
        <v>1583</v>
      </c>
      <c r="C592" s="40" t="s">
        <v>29</v>
      </c>
      <c r="D592" s="62">
        <v>0</v>
      </c>
      <c r="E592" s="60">
        <v>1E-3</v>
      </c>
      <c r="F592" s="61">
        <v>0</v>
      </c>
      <c r="G592" s="63">
        <v>5</v>
      </c>
      <c r="H592" s="261">
        <f>IF(ISBLANK(I592),0,1)</f>
        <v>1</v>
      </c>
      <c r="I592" s="57" t="s">
        <v>1985</v>
      </c>
      <c r="J592" s="58" t="s">
        <v>1992</v>
      </c>
      <c r="K592" s="59" t="s">
        <v>892</v>
      </c>
      <c r="L592" s="59" t="s">
        <v>893</v>
      </c>
      <c r="M592" cm="1">
        <f t="array" ref="M592">_xlfn.XLOOKUP(Matrix[[#This Row],[TEAM]]&amp;Matrix[[#Headers],[1]],FDR[FDR]&amp;FDR[[#Headers],[1]],FDR[1],"",0,1)</f>
        <v>1</v>
      </c>
      <c r="N592" cm="1">
        <f t="array" ref="N592">_xlfn.XLOOKUP(Matrix[[#This Row],[TEAM]]&amp;Matrix[[#Headers],[2]],FDR[FDR]&amp;FDR[[#Headers],[2]],FDR[2],"",0,1)</f>
        <v>2</v>
      </c>
      <c r="O592" cm="1">
        <f t="array" ref="O592">_xlfn.XLOOKUP(Matrix[[#This Row],[TEAM]]&amp;Matrix[[#Headers],[3]],FDR[FDR]&amp;FDR[[#Headers],[3]],FDR[3],"",0,1)</f>
        <v>2</v>
      </c>
      <c r="P592" cm="1">
        <f t="array" ref="P592">_xlfn.XLOOKUP(Matrix[[#This Row],[TEAM]]&amp;Matrix[[#Headers],[4]],FDR[FDR]&amp;FDR[[#Headers],[4]],FDR[4],"",0,1)</f>
        <v>2</v>
      </c>
      <c r="Q592" cm="1">
        <f t="array" ref="Q592">_xlfn.XLOOKUP(Matrix[[#This Row],[TEAM]]&amp;Matrix[[#Headers],[5]],FDR[FDR]&amp;FDR[[#Headers],[5]],FDR[5],"",0,1)</f>
        <v>4</v>
      </c>
      <c r="R592" cm="1">
        <f t="array" ref="R592">_xlfn.XLOOKUP(Matrix[[#This Row],[TEAM]]&amp;Matrix[[#Headers],[6]],FDR[FDR]&amp;FDR[[#Headers],[6]],FDR[6],"",0,1)</f>
        <v>1</v>
      </c>
      <c r="S592" cm="1">
        <f t="array" ref="S592">_xlfn.XLOOKUP(Matrix[[#This Row],[TEAM]]&amp;Matrix[[#Headers],[7]],FDR[FDR]&amp;FDR[[#Headers],[7]],FDR[7],"",0,1)</f>
        <v>2</v>
      </c>
      <c r="T592" cm="1">
        <f t="array" ref="T592">_xlfn.XLOOKUP(Matrix[[#This Row],[TEAM]]&amp;Matrix[[#Headers],[8]],FDR[FDR]&amp;FDR[[#Headers],[8]],FDR[8],"",0,1)</f>
        <v>1</v>
      </c>
      <c r="U592" cm="1">
        <f t="array" ref="U592">_xlfn.XLOOKUP(Matrix[[#This Row],[TEAM]]&amp;Matrix[[#Headers],[9]],FDR[FDR]&amp;FDR[[#Headers],[9]],FDR[9],"",0,1)</f>
        <v>3</v>
      </c>
      <c r="V592" cm="1">
        <f t="array" ref="V592">_xlfn.XLOOKUP(Matrix[[#This Row],[TEAM]]&amp;Matrix[[#Headers],[10]],FDR[FDR]&amp;FDR[[#Headers],[10]],FDR[10],"",0,1)</f>
        <v>1</v>
      </c>
      <c r="W592" cm="1">
        <f t="array" ref="W592">_xlfn.XLOOKUP(Matrix[[#This Row],[TEAM]]&amp;Matrix[[#Headers],[11]],FDR[FDR]&amp;FDR[[#Headers],[11]],FDR[11],"",0,1)</f>
        <v>3</v>
      </c>
      <c r="X592" cm="1">
        <f t="array" ref="X592">_xlfn.XLOOKUP(Matrix[[#This Row],[TEAM]]&amp;Matrix[[#Headers],[12]],FDR[FDR]&amp;FDR[[#Headers],[12]],FDR[12],"",0,1)</f>
        <v>3</v>
      </c>
      <c r="Y592" cm="1">
        <f t="array" ref="Y592">_xlfn.XLOOKUP(Matrix[[#This Row],[TEAM]]&amp;Matrix[[#Headers],[13]],FDR[FDR]&amp;FDR[[#Headers],[13]],FDR[13],"",0,1)</f>
        <v>1</v>
      </c>
      <c r="Z592" cm="1">
        <f t="array" ref="Z592">_xlfn.XLOOKUP(Matrix[[#This Row],[TEAM]]&amp;Matrix[[#Headers],[14]],FDR[FDR]&amp;FDR[[#Headers],[14]],FDR[14],"",0,1)</f>
        <v>2</v>
      </c>
      <c r="AA592" cm="1">
        <f t="array" ref="AA592">_xlfn.XLOOKUP(Matrix[[#This Row],[TEAM]]&amp;Matrix[[#Headers],[15]],FDR[FDR]&amp;FDR[[#Headers],[15]],FDR[15],"",0,1)</f>
        <v>1</v>
      </c>
      <c r="AB592" cm="1">
        <f t="array" ref="AB592">_xlfn.XLOOKUP(Matrix[[#This Row],[TEAM]]&amp;Matrix[[#Headers],[16]],FDR[FDR]&amp;FDR[[#Headers],[16]],FDR[16],"",0,1)</f>
        <v>2</v>
      </c>
      <c r="AC592" cm="1">
        <f t="array" ref="AC592">_xlfn.XLOOKUP(Matrix[[#This Row],[TEAM]]&amp;Matrix[[#Headers],[17]],FDR[FDR]&amp;FDR[[#Headers],[17]],FDR[17],"",0,1)</f>
        <v>1</v>
      </c>
      <c r="AD592" cm="1">
        <f t="array" ref="AD592">_xlfn.XLOOKUP(Matrix[[#This Row],[TEAM]]&amp;Matrix[[#Headers],[18]],FDR[FDR]&amp;FDR[[#Headers],[18]],FDR[18],"",0,1)</f>
        <v>2</v>
      </c>
      <c r="AE592" cm="1">
        <f t="array" ref="AE592">_xlfn.XLOOKUP(Matrix[[#This Row],[TEAM]]&amp;Matrix[[#Headers],[19]],FDR[FDR]&amp;FDR[[#Headers],[19]],FDR[19],"",0,1)</f>
        <v>1</v>
      </c>
      <c r="AF592" cm="1">
        <f t="array" ref="AF592">_xlfn.XLOOKUP(Matrix[[#This Row],[TEAM]]&amp;Matrix[[#Headers],[20]],FDR[FDR]&amp;FDR[[#Headers],[20]],FDR[20],"",0,1)</f>
        <v>2</v>
      </c>
      <c r="AG592" cm="1">
        <f t="array" ref="AG592">_xlfn.XLOOKUP(Matrix[[#This Row],[TEAM]]&amp;Matrix[[#Headers],[21]],FDR[FDR]&amp;FDR[[#Headers],[21]],FDR[21],"",0,1)</f>
        <v>1</v>
      </c>
      <c r="AH592" cm="1">
        <f t="array" ref="AH592">_xlfn.XLOOKUP(Matrix[[#This Row],[TEAM]]&amp;Matrix[[#Headers],[22]],FDR[FDR]&amp;FDR[[#Headers],[22]],FDR[22],"",0,1)</f>
        <v>3</v>
      </c>
      <c r="AI592" cm="1">
        <f t="array" ref="AI592">_xlfn.XLOOKUP(Matrix[[#This Row],[TEAM]]&amp;Matrix[[#Headers],[23]],FDR[FDR]&amp;FDR[[#Headers],[23]],FDR[23],"",0,1)</f>
        <v>1</v>
      </c>
      <c r="AJ592" cm="1">
        <f t="array" ref="AJ592">_xlfn.XLOOKUP(Matrix[[#This Row],[TEAM]]&amp;Matrix[[#Headers],[24]],FDR[FDR]&amp;FDR[[#Headers],[24]],FDR[24],"",0,1)</f>
        <v>3</v>
      </c>
      <c r="AK592" cm="1">
        <f t="array" ref="AK592">_xlfn.XLOOKUP(Matrix[[#This Row],[TEAM]]&amp;Matrix[[#Headers],[25]],FDR[FDR]&amp;FDR[[#Headers],[25]],FDR[25],"",0,1)</f>
        <v>4</v>
      </c>
      <c r="AL592" cm="1">
        <f t="array" ref="AL592">_xlfn.XLOOKUP(Matrix[[#This Row],[TEAM]]&amp;Matrix[[#Headers],[26]],FDR[FDR]&amp;FDR[[#Headers],[26]],FDR[26],"",0,1)</f>
        <v>1</v>
      </c>
      <c r="AM592" cm="1">
        <f t="array" ref="AM592">_xlfn.XLOOKUP(Matrix[[#This Row],[TEAM]]&amp;Matrix[[#Headers],[27]],FDR[FDR]&amp;FDR[[#Headers],[27]],FDR[27],"",0,1)</f>
        <v>2</v>
      </c>
      <c r="AN592" cm="1">
        <f t="array" ref="AN592">_xlfn.XLOOKUP(Matrix[[#This Row],[TEAM]]&amp;Matrix[[#Headers],[28]],FDR[FDR]&amp;FDR[[#Headers],[28]],FDR[28],"",0,1)</f>
        <v>1</v>
      </c>
      <c r="AO592" cm="1">
        <f t="array" ref="AO592">_xlfn.XLOOKUP(Matrix[[#This Row],[TEAM]]&amp;Matrix[[#Headers],[29]],FDR[FDR]&amp;FDR[[#Headers],[29]],FDR[29],"",0,1)</f>
        <v>1</v>
      </c>
      <c r="AP592" cm="1">
        <f t="array" ref="AP592">_xlfn.XLOOKUP(Matrix[[#This Row],[TEAM]]&amp;Matrix[[#Headers],[30]],FDR[FDR]&amp;FDR[[#Headers],[30]],FDR[30],"",0,1)</f>
        <v>2</v>
      </c>
      <c r="AQ592" cm="1">
        <f t="array" ref="AQ592">_xlfn.XLOOKUP(Matrix[[#This Row],[TEAM]]&amp;Matrix[[#Headers],[31]],FDR[FDR]&amp;FDR[[#Headers],[31]],FDR[31],"",0,1)</f>
        <v>1</v>
      </c>
      <c r="AR592" cm="1">
        <f t="array" ref="AR592">_xlfn.XLOOKUP(Matrix[[#This Row],[TEAM]]&amp;Matrix[[#Headers],[32]],FDR[FDR]&amp;FDR[[#Headers],[32]],FDR[32],"",0,1)</f>
        <v>3</v>
      </c>
      <c r="AS592" cm="1">
        <f t="array" ref="AS592">_xlfn.XLOOKUP(Matrix[[#This Row],[TEAM]]&amp;Matrix[[#Headers],[33]],FDR[FDR]&amp;FDR[[#Headers],[33]],FDR[33],"",0,1)</f>
        <v>3</v>
      </c>
      <c r="AT592" cm="1">
        <f t="array" ref="AT592">_xlfn.XLOOKUP(Matrix[[#This Row],[TEAM]]&amp;Matrix[[#Headers],[34]],FDR[FDR]&amp;FDR[[#Headers],[34]],FDR[34],"",0,1)</f>
        <v>1</v>
      </c>
      <c r="AU592" cm="1">
        <f t="array" ref="AU592">_xlfn.XLOOKUP(Matrix[[#This Row],[TEAM]]&amp;Matrix[[#Headers],[35]],FDR[FDR]&amp;FDR[[#Headers],[35]],FDR[35],"",0,1)</f>
        <v>2</v>
      </c>
      <c r="AV592" cm="1">
        <f t="array" ref="AV592">_xlfn.XLOOKUP(Matrix[[#This Row],[TEAM]]&amp;Matrix[[#Headers],[36]],FDR[FDR]&amp;FDR[[#Headers],[36]],FDR[36],"",0,1)</f>
        <v>1</v>
      </c>
      <c r="AW592" cm="1">
        <f t="array" ref="AW592">_xlfn.XLOOKUP(Matrix[[#This Row],[TEAM]]&amp;Matrix[[#Headers],[37]],FDR[FDR]&amp;FDR[[#Headers],[37]],FDR[37],"",0,1)</f>
        <v>2</v>
      </c>
      <c r="AX592" cm="1">
        <f t="array" ref="AX592">_xlfn.XLOOKUP(Matrix[[#This Row],[TEAM]]&amp;Matrix[[#Headers],[38]],FDR[FDR]&amp;FDR[[#Headers],[38]],FDR[38],"",0,1)</f>
        <v>2</v>
      </c>
    </row>
    <row r="593" spans="1:50" ht="22" thickTop="1" thickBot="1">
      <c r="A593" s="53" t="str">
        <f>INDEX!S$4</f>
        <v>MID</v>
      </c>
      <c r="B593" s="70" t="s">
        <v>1610</v>
      </c>
      <c r="C593" s="40" t="s">
        <v>634</v>
      </c>
      <c r="D593" s="62">
        <v>0</v>
      </c>
      <c r="E593" s="60">
        <v>0</v>
      </c>
      <c r="F593" s="61">
        <v>0</v>
      </c>
      <c r="G593" s="63">
        <v>5</v>
      </c>
      <c r="H593" s="261">
        <f>IF(ISBLANK(I593),0,1)</f>
        <v>1</v>
      </c>
      <c r="I593" s="57" t="s">
        <v>894</v>
      </c>
      <c r="J593" s="58" t="s">
        <v>1026</v>
      </c>
      <c r="K593" s="59" t="s">
        <v>888</v>
      </c>
      <c r="L593" s="59" t="s">
        <v>889</v>
      </c>
      <c r="M593" cm="1">
        <f t="array" ref="M593">_xlfn.XLOOKUP(Matrix[[#This Row],[TEAM]]&amp;Matrix[[#Headers],[1]],FDR[FDR]&amp;FDR[[#Headers],[1]],FDR[1],"",0,1)</f>
        <v>4</v>
      </c>
      <c r="N593" cm="1">
        <f t="array" ref="N593">_xlfn.XLOOKUP(Matrix[[#This Row],[TEAM]]&amp;Matrix[[#Headers],[2]],FDR[FDR]&amp;FDR[[#Headers],[2]],FDR[2],"",0,1)</f>
        <v>4</v>
      </c>
      <c r="O593" cm="1">
        <f t="array" ref="O593">_xlfn.XLOOKUP(Matrix[[#This Row],[TEAM]]&amp;Matrix[[#Headers],[3]],FDR[FDR]&amp;FDR[[#Headers],[3]],FDR[3],"",0,1)</f>
        <v>4</v>
      </c>
      <c r="P593" cm="1">
        <f t="array" ref="P593">_xlfn.XLOOKUP(Matrix[[#This Row],[TEAM]]&amp;Matrix[[#Headers],[4]],FDR[FDR]&amp;FDR[[#Headers],[4]],FDR[4],"",0,1)</f>
        <v>5</v>
      </c>
      <c r="Q593" cm="1">
        <f t="array" ref="Q593">_xlfn.XLOOKUP(Matrix[[#This Row],[TEAM]]&amp;Matrix[[#Headers],[5]],FDR[FDR]&amp;FDR[[#Headers],[5]],FDR[5],"",0,1)</f>
        <v>5</v>
      </c>
      <c r="R593" cm="1">
        <f t="array" ref="R593">_xlfn.XLOOKUP(Matrix[[#This Row],[TEAM]]&amp;Matrix[[#Headers],[6]],FDR[FDR]&amp;FDR[[#Headers],[6]],FDR[6],"",0,1)</f>
        <v>5</v>
      </c>
      <c r="S593" cm="1">
        <f t="array" ref="S593">_xlfn.XLOOKUP(Matrix[[#This Row],[TEAM]]&amp;Matrix[[#Headers],[7]],FDR[FDR]&amp;FDR[[#Headers],[7]],FDR[7],"",0,1)</f>
        <v>5</v>
      </c>
      <c r="T593" cm="1">
        <f t="array" ref="T593">_xlfn.XLOOKUP(Matrix[[#This Row],[TEAM]]&amp;Matrix[[#Headers],[8]],FDR[FDR]&amp;FDR[[#Headers],[8]],FDR[8],"",0,1)</f>
        <v>3</v>
      </c>
      <c r="U593" cm="1">
        <f t="array" ref="U593">_xlfn.XLOOKUP(Matrix[[#This Row],[TEAM]]&amp;Matrix[[#Headers],[9]],FDR[FDR]&amp;FDR[[#Headers],[9]],FDR[9],"",0,1)</f>
        <v>5</v>
      </c>
      <c r="V593" cm="1">
        <f t="array" ref="V593">_xlfn.XLOOKUP(Matrix[[#This Row],[TEAM]]&amp;Matrix[[#Headers],[10]],FDR[FDR]&amp;FDR[[#Headers],[10]],FDR[10],"",0,1)</f>
        <v>4</v>
      </c>
      <c r="W593" cm="1">
        <f t="array" ref="W593">_xlfn.XLOOKUP(Matrix[[#This Row],[TEAM]]&amp;Matrix[[#Headers],[11]],FDR[FDR]&amp;FDR[[#Headers],[11]],FDR[11],"",0,1)</f>
        <v>5</v>
      </c>
      <c r="X593" cm="1">
        <f t="array" ref="X593">_xlfn.XLOOKUP(Matrix[[#This Row],[TEAM]]&amp;Matrix[[#Headers],[12]],FDR[FDR]&amp;FDR[[#Headers],[12]],FDR[12],"",0,1)</f>
        <v>5</v>
      </c>
      <c r="Y593" cm="1">
        <f t="array" ref="Y593">_xlfn.XLOOKUP(Matrix[[#This Row],[TEAM]]&amp;Matrix[[#Headers],[13]],FDR[FDR]&amp;FDR[[#Headers],[13]],FDR[13],"",0,1)</f>
        <v>5</v>
      </c>
      <c r="Z593" cm="1">
        <f t="array" ref="Z593">_xlfn.XLOOKUP(Matrix[[#This Row],[TEAM]]&amp;Matrix[[#Headers],[14]],FDR[FDR]&amp;FDR[[#Headers],[14]],FDR[14],"",0,1)</f>
        <v>5</v>
      </c>
      <c r="AA593" cm="1">
        <f t="array" ref="AA593">_xlfn.XLOOKUP(Matrix[[#This Row],[TEAM]]&amp;Matrix[[#Headers],[15]],FDR[FDR]&amp;FDR[[#Headers],[15]],FDR[15],"",0,1)</f>
        <v>5</v>
      </c>
      <c r="AB593" cm="1">
        <f t="array" ref="AB593">_xlfn.XLOOKUP(Matrix[[#This Row],[TEAM]]&amp;Matrix[[#Headers],[16]],FDR[FDR]&amp;FDR[[#Headers],[16]],FDR[16],"",0,1)</f>
        <v>5</v>
      </c>
      <c r="AC593" cm="1">
        <f t="array" ref="AC593">_xlfn.XLOOKUP(Matrix[[#This Row],[TEAM]]&amp;Matrix[[#Headers],[17]],FDR[FDR]&amp;FDR[[#Headers],[17]],FDR[17],"",0,1)</f>
        <v>5</v>
      </c>
      <c r="AD593" cm="1">
        <f t="array" ref="AD593">_xlfn.XLOOKUP(Matrix[[#This Row],[TEAM]]&amp;Matrix[[#Headers],[18]],FDR[FDR]&amp;FDR[[#Headers],[18]],FDR[18],"",0,1)</f>
        <v>3</v>
      </c>
      <c r="AE593" cm="1">
        <f t="array" ref="AE593">_xlfn.XLOOKUP(Matrix[[#This Row],[TEAM]]&amp;Matrix[[#Headers],[19]],FDR[FDR]&amp;FDR[[#Headers],[19]],FDR[19],"",0,1)</f>
        <v>5</v>
      </c>
      <c r="AF593" cm="1">
        <f t="array" ref="AF593">_xlfn.XLOOKUP(Matrix[[#This Row],[TEAM]]&amp;Matrix[[#Headers],[20]],FDR[FDR]&amp;FDR[[#Headers],[20]],FDR[20],"",0,1)</f>
        <v>5</v>
      </c>
      <c r="AG593" cm="1">
        <f t="array" ref="AG593">_xlfn.XLOOKUP(Matrix[[#This Row],[TEAM]]&amp;Matrix[[#Headers],[21]],FDR[FDR]&amp;FDR[[#Headers],[21]],FDR[21],"",0,1)</f>
        <v>5</v>
      </c>
      <c r="AH593" cm="1">
        <f t="array" ref="AH593">_xlfn.XLOOKUP(Matrix[[#This Row],[TEAM]]&amp;Matrix[[#Headers],[22]],FDR[FDR]&amp;FDR[[#Headers],[22]],FDR[22],"",0,1)</f>
        <v>4</v>
      </c>
      <c r="AI593" cm="1">
        <f t="array" ref="AI593">_xlfn.XLOOKUP(Matrix[[#This Row],[TEAM]]&amp;Matrix[[#Headers],[23]],FDR[FDR]&amp;FDR[[#Headers],[23]],FDR[23],"",0,1)</f>
        <v>5</v>
      </c>
      <c r="AJ593" cm="1">
        <f t="array" ref="AJ593">_xlfn.XLOOKUP(Matrix[[#This Row],[TEAM]]&amp;Matrix[[#Headers],[24]],FDR[FDR]&amp;FDR[[#Headers],[24]],FDR[24],"",0,1)</f>
        <v>3</v>
      </c>
      <c r="AK593" cm="1">
        <f t="array" ref="AK593">_xlfn.XLOOKUP(Matrix[[#This Row],[TEAM]]&amp;Matrix[[#Headers],[25]],FDR[FDR]&amp;FDR[[#Headers],[25]],FDR[25],"",0,1)</f>
        <v>5</v>
      </c>
      <c r="AL593" cm="1">
        <f t="array" ref="AL593">_xlfn.XLOOKUP(Matrix[[#This Row],[TEAM]]&amp;Matrix[[#Headers],[26]],FDR[FDR]&amp;FDR[[#Headers],[26]],FDR[26],"",0,1)</f>
        <v>5</v>
      </c>
      <c r="AM593" cm="1">
        <f t="array" ref="AM593">_xlfn.XLOOKUP(Matrix[[#This Row],[TEAM]]&amp;Matrix[[#Headers],[27]],FDR[FDR]&amp;FDR[[#Headers],[27]],FDR[27],"",0,1)</f>
        <v>5</v>
      </c>
      <c r="AN593" cm="1">
        <f t="array" ref="AN593">_xlfn.XLOOKUP(Matrix[[#This Row],[TEAM]]&amp;Matrix[[#Headers],[28]],FDR[FDR]&amp;FDR[[#Headers],[28]],FDR[28],"",0,1)</f>
        <v>5</v>
      </c>
      <c r="AO593" cm="1">
        <f t="array" ref="AO593">_xlfn.XLOOKUP(Matrix[[#This Row],[TEAM]]&amp;Matrix[[#Headers],[29]],FDR[FDR]&amp;FDR[[#Headers],[29]],FDR[29],"",0,1)</f>
        <v>4</v>
      </c>
      <c r="AP593" cm="1">
        <f t="array" ref="AP593">_xlfn.XLOOKUP(Matrix[[#This Row],[TEAM]]&amp;Matrix[[#Headers],[30]],FDR[FDR]&amp;FDR[[#Headers],[30]],FDR[30],"",0,1)</f>
        <v>5</v>
      </c>
      <c r="AQ593" cm="1">
        <f t="array" ref="AQ593">_xlfn.XLOOKUP(Matrix[[#This Row],[TEAM]]&amp;Matrix[[#Headers],[31]],FDR[FDR]&amp;FDR[[#Headers],[31]],FDR[31],"",0,1)</f>
        <v>5</v>
      </c>
      <c r="AR593" cm="1">
        <f t="array" ref="AR593">_xlfn.XLOOKUP(Matrix[[#This Row],[TEAM]]&amp;Matrix[[#Headers],[32]],FDR[FDR]&amp;FDR[[#Headers],[32]],FDR[32],"",0,1)</f>
        <v>5</v>
      </c>
      <c r="AS593" cm="1">
        <f t="array" ref="AS593">_xlfn.XLOOKUP(Matrix[[#This Row],[TEAM]]&amp;Matrix[[#Headers],[33]],FDR[FDR]&amp;FDR[[#Headers],[33]],FDR[33],"",0,1)</f>
        <v>5</v>
      </c>
      <c r="AT593" cm="1">
        <f t="array" ref="AT593">_xlfn.XLOOKUP(Matrix[[#This Row],[TEAM]]&amp;Matrix[[#Headers],[34]],FDR[FDR]&amp;FDR[[#Headers],[34]],FDR[34],"",0,1)</f>
        <v>5</v>
      </c>
      <c r="AU593" cm="1">
        <f t="array" ref="AU593">_xlfn.XLOOKUP(Matrix[[#This Row],[TEAM]]&amp;Matrix[[#Headers],[35]],FDR[FDR]&amp;FDR[[#Headers],[35]],FDR[35],"",0,1)</f>
        <v>4</v>
      </c>
      <c r="AV593" cm="1">
        <f t="array" ref="AV593">_xlfn.XLOOKUP(Matrix[[#This Row],[TEAM]]&amp;Matrix[[#Headers],[36]],FDR[FDR]&amp;FDR[[#Headers],[36]],FDR[36],"",0,1)</f>
        <v>5</v>
      </c>
      <c r="AW593" cm="1">
        <f t="array" ref="AW593">_xlfn.XLOOKUP(Matrix[[#This Row],[TEAM]]&amp;Matrix[[#Headers],[37]],FDR[FDR]&amp;FDR[[#Headers],[37]],FDR[37],"",0,1)</f>
        <v>5</v>
      </c>
      <c r="AX593" cm="1">
        <f t="array" ref="AX593">_xlfn.XLOOKUP(Matrix[[#This Row],[TEAM]]&amp;Matrix[[#Headers],[38]],FDR[FDR]&amp;FDR[[#Headers],[38]],FDR[38],"",0,1)</f>
        <v>5</v>
      </c>
    </row>
    <row r="594" spans="1:50" ht="22" thickTop="1" thickBot="1">
      <c r="A594" s="49" t="s">
        <v>655</v>
      </c>
      <c r="B594" s="70" t="s">
        <v>1539</v>
      </c>
      <c r="C594" s="40" t="s">
        <v>22</v>
      </c>
      <c r="D594" s="62">
        <v>0</v>
      </c>
      <c r="E594" s="60">
        <v>2E-3</v>
      </c>
      <c r="F594" s="61">
        <v>0</v>
      </c>
      <c r="G594" s="63">
        <v>5</v>
      </c>
      <c r="H594" s="261">
        <f>IF(ISBLANK(I594),0,1)</f>
        <v>1</v>
      </c>
      <c r="I594" s="57" t="s">
        <v>891</v>
      </c>
      <c r="J594" s="58" t="s">
        <v>1981</v>
      </c>
      <c r="K594" s="64" t="s">
        <v>580</v>
      </c>
      <c r="L594" s="64" t="s">
        <v>330</v>
      </c>
      <c r="M594" cm="1">
        <f t="array" ref="M594">_xlfn.XLOOKUP(Matrix[[#This Row],[TEAM]]&amp;Matrix[[#Headers],[1]],FDR[FDR]&amp;FDR[[#Headers],[1]],FDR[1],"",0,1)</f>
        <v>5</v>
      </c>
      <c r="N594" cm="1">
        <f t="array" ref="N594">_xlfn.XLOOKUP(Matrix[[#This Row],[TEAM]]&amp;Matrix[[#Headers],[2]],FDR[FDR]&amp;FDR[[#Headers],[2]],FDR[2],"",0,1)</f>
        <v>3</v>
      </c>
      <c r="O594" cm="1">
        <f t="array" ref="O594">_xlfn.XLOOKUP(Matrix[[#This Row],[TEAM]]&amp;Matrix[[#Headers],[3]],FDR[FDR]&amp;FDR[[#Headers],[3]],FDR[3],"",0,1)</f>
        <v>5</v>
      </c>
      <c r="P594" cm="1">
        <f t="array" ref="P594">_xlfn.XLOOKUP(Matrix[[#This Row],[TEAM]]&amp;Matrix[[#Headers],[4]],FDR[FDR]&amp;FDR[[#Headers],[4]],FDR[4],"",0,1)</f>
        <v>5</v>
      </c>
      <c r="Q594" cm="1">
        <f t="array" ref="Q594">_xlfn.XLOOKUP(Matrix[[#This Row],[TEAM]]&amp;Matrix[[#Headers],[5]],FDR[FDR]&amp;FDR[[#Headers],[5]],FDR[5],"",0,1)</f>
        <v>5</v>
      </c>
      <c r="R594" cm="1">
        <f t="array" ref="R594">_xlfn.XLOOKUP(Matrix[[#This Row],[TEAM]]&amp;Matrix[[#Headers],[6]],FDR[FDR]&amp;FDR[[#Headers],[6]],FDR[6],"",0,1)</f>
        <v>5</v>
      </c>
      <c r="S594" cm="1">
        <f t="array" ref="S594">_xlfn.XLOOKUP(Matrix[[#This Row],[TEAM]]&amp;Matrix[[#Headers],[7]],FDR[FDR]&amp;FDR[[#Headers],[7]],FDR[7],"",0,1)</f>
        <v>5</v>
      </c>
      <c r="T594" cm="1">
        <f t="array" ref="T594">_xlfn.XLOOKUP(Matrix[[#This Row],[TEAM]]&amp;Matrix[[#Headers],[8]],FDR[FDR]&amp;FDR[[#Headers],[8]],FDR[8],"",0,1)</f>
        <v>3</v>
      </c>
      <c r="U594" cm="1">
        <f t="array" ref="U594">_xlfn.XLOOKUP(Matrix[[#This Row],[TEAM]]&amp;Matrix[[#Headers],[9]],FDR[FDR]&amp;FDR[[#Headers],[9]],FDR[9],"",0,1)</f>
        <v>4</v>
      </c>
      <c r="V594" cm="1">
        <f t="array" ref="V594">_xlfn.XLOOKUP(Matrix[[#This Row],[TEAM]]&amp;Matrix[[#Headers],[10]],FDR[FDR]&amp;FDR[[#Headers],[10]],FDR[10],"",0,1)</f>
        <v>5</v>
      </c>
      <c r="W594" cm="1">
        <f t="array" ref="W594">_xlfn.XLOOKUP(Matrix[[#This Row],[TEAM]]&amp;Matrix[[#Headers],[11]],FDR[FDR]&amp;FDR[[#Headers],[11]],FDR[11],"",0,1)</f>
        <v>5</v>
      </c>
      <c r="X594" cm="1">
        <f t="array" ref="X594">_xlfn.XLOOKUP(Matrix[[#This Row],[TEAM]]&amp;Matrix[[#Headers],[12]],FDR[FDR]&amp;FDR[[#Headers],[12]],FDR[12],"",0,1)</f>
        <v>5</v>
      </c>
      <c r="Y594" cm="1">
        <f t="array" ref="Y594">_xlfn.XLOOKUP(Matrix[[#This Row],[TEAM]]&amp;Matrix[[#Headers],[13]],FDR[FDR]&amp;FDR[[#Headers],[13]],FDR[13],"",0,1)</f>
        <v>5</v>
      </c>
      <c r="Z594" cm="1">
        <f t="array" ref="Z594">_xlfn.XLOOKUP(Matrix[[#This Row],[TEAM]]&amp;Matrix[[#Headers],[14]],FDR[FDR]&amp;FDR[[#Headers],[14]],FDR[14],"",0,1)</f>
        <v>4</v>
      </c>
      <c r="AA594" cm="1">
        <f t="array" ref="AA594">_xlfn.XLOOKUP(Matrix[[#This Row],[TEAM]]&amp;Matrix[[#Headers],[15]],FDR[FDR]&amp;FDR[[#Headers],[15]],FDR[15],"",0,1)</f>
        <v>5</v>
      </c>
      <c r="AB594" cm="1">
        <f t="array" ref="AB594">_xlfn.XLOOKUP(Matrix[[#This Row],[TEAM]]&amp;Matrix[[#Headers],[16]],FDR[FDR]&amp;FDR[[#Headers],[16]],FDR[16],"",0,1)</f>
        <v>5</v>
      </c>
      <c r="AC594" cm="1">
        <f t="array" ref="AC594">_xlfn.XLOOKUP(Matrix[[#This Row],[TEAM]]&amp;Matrix[[#Headers],[17]],FDR[FDR]&amp;FDR[[#Headers],[17]],FDR[17],"",0,1)</f>
        <v>5</v>
      </c>
      <c r="AD594" cm="1">
        <f t="array" ref="AD594">_xlfn.XLOOKUP(Matrix[[#This Row],[TEAM]]&amp;Matrix[[#Headers],[18]],FDR[FDR]&amp;FDR[[#Headers],[18]],FDR[18],"",0,1)</f>
        <v>4</v>
      </c>
      <c r="AE594" cm="1">
        <f t="array" ref="AE594">_xlfn.XLOOKUP(Matrix[[#This Row],[TEAM]]&amp;Matrix[[#Headers],[19]],FDR[FDR]&amp;FDR[[#Headers],[19]],FDR[19],"",0,1)</f>
        <v>5</v>
      </c>
      <c r="AF594" cm="1">
        <f t="array" ref="AF594">_xlfn.XLOOKUP(Matrix[[#This Row],[TEAM]]&amp;Matrix[[#Headers],[20]],FDR[FDR]&amp;FDR[[#Headers],[20]],FDR[20],"",0,1)</f>
        <v>5</v>
      </c>
      <c r="AG594" cm="1">
        <f t="array" ref="AG594">_xlfn.XLOOKUP(Matrix[[#This Row],[TEAM]]&amp;Matrix[[#Headers],[21]],FDR[FDR]&amp;FDR[[#Headers],[21]],FDR[21],"",0,1)</f>
        <v>5</v>
      </c>
      <c r="AH594" cm="1">
        <f t="array" ref="AH594">_xlfn.XLOOKUP(Matrix[[#This Row],[TEAM]]&amp;Matrix[[#Headers],[22]],FDR[FDR]&amp;FDR[[#Headers],[22]],FDR[22],"",0,1)</f>
        <v>5</v>
      </c>
      <c r="AI594" cm="1">
        <f t="array" ref="AI594">_xlfn.XLOOKUP(Matrix[[#This Row],[TEAM]]&amp;Matrix[[#Headers],[23]],FDR[FDR]&amp;FDR[[#Headers],[23]],FDR[23],"",0,1)</f>
        <v>5</v>
      </c>
      <c r="AJ594" cm="1">
        <f t="array" ref="AJ594">_xlfn.XLOOKUP(Matrix[[#This Row],[TEAM]]&amp;Matrix[[#Headers],[24]],FDR[FDR]&amp;FDR[[#Headers],[24]],FDR[24],"",0,1)</f>
        <v>4</v>
      </c>
      <c r="AK594" cm="1">
        <f t="array" ref="AK594">_xlfn.XLOOKUP(Matrix[[#This Row],[TEAM]]&amp;Matrix[[#Headers],[25]],FDR[FDR]&amp;FDR[[#Headers],[25]],FDR[25],"",0,1)</f>
        <v>4</v>
      </c>
      <c r="AL594" cm="1">
        <f t="array" ref="AL594">_xlfn.XLOOKUP(Matrix[[#This Row],[TEAM]]&amp;Matrix[[#Headers],[26]],FDR[FDR]&amp;FDR[[#Headers],[26]],FDR[26],"",0,1)</f>
        <v>5</v>
      </c>
      <c r="AM594" cm="1">
        <f t="array" ref="AM594">_xlfn.XLOOKUP(Matrix[[#This Row],[TEAM]]&amp;Matrix[[#Headers],[27]],FDR[FDR]&amp;FDR[[#Headers],[27]],FDR[27],"",0,1)</f>
        <v>5</v>
      </c>
      <c r="AN594" cm="1">
        <f t="array" ref="AN594">_xlfn.XLOOKUP(Matrix[[#This Row],[TEAM]]&amp;Matrix[[#Headers],[28]],FDR[FDR]&amp;FDR[[#Headers],[28]],FDR[28],"",0,1)</f>
        <v>4</v>
      </c>
      <c r="AO594" cm="1">
        <f t="array" ref="AO594">_xlfn.XLOOKUP(Matrix[[#This Row],[TEAM]]&amp;Matrix[[#Headers],[29]],FDR[FDR]&amp;FDR[[#Headers],[29]],FDR[29],"",0,1)</f>
        <v>5</v>
      </c>
      <c r="AP594" cm="1">
        <f t="array" ref="AP594">_xlfn.XLOOKUP(Matrix[[#This Row],[TEAM]]&amp;Matrix[[#Headers],[30]],FDR[FDR]&amp;FDR[[#Headers],[30]],FDR[30],"",0,1)</f>
        <v>5</v>
      </c>
      <c r="AQ594" cm="1">
        <f t="array" ref="AQ594">_xlfn.XLOOKUP(Matrix[[#This Row],[TEAM]]&amp;Matrix[[#Headers],[31]],FDR[FDR]&amp;FDR[[#Headers],[31]],FDR[31],"",0,1)</f>
        <v>5</v>
      </c>
      <c r="AR594" cm="1">
        <f t="array" ref="AR594">_xlfn.XLOOKUP(Matrix[[#This Row],[TEAM]]&amp;Matrix[[#Headers],[32]],FDR[FDR]&amp;FDR[[#Headers],[32]],FDR[32],"",0,1)</f>
        <v>5</v>
      </c>
      <c r="AS594" cm="1">
        <f t="array" ref="AS594">_xlfn.XLOOKUP(Matrix[[#This Row],[TEAM]]&amp;Matrix[[#Headers],[33]],FDR[FDR]&amp;FDR[[#Headers],[33]],FDR[33],"",0,1)</f>
        <v>5</v>
      </c>
      <c r="AT594" cm="1">
        <f t="array" ref="AT594">_xlfn.XLOOKUP(Matrix[[#This Row],[TEAM]]&amp;Matrix[[#Headers],[34]],FDR[FDR]&amp;FDR[[#Headers],[34]],FDR[34],"",0,1)</f>
        <v>5</v>
      </c>
      <c r="AU594" cm="1">
        <f t="array" ref="AU594">_xlfn.XLOOKUP(Matrix[[#This Row],[TEAM]]&amp;Matrix[[#Headers],[35]],FDR[FDR]&amp;FDR[[#Headers],[35]],FDR[35],"",0,1)</f>
        <v>4</v>
      </c>
      <c r="AV594" cm="1">
        <f t="array" ref="AV594">_xlfn.XLOOKUP(Matrix[[#This Row],[TEAM]]&amp;Matrix[[#Headers],[36]],FDR[FDR]&amp;FDR[[#Headers],[36]],FDR[36],"",0,1)</f>
        <v>5</v>
      </c>
      <c r="AW594" cm="1">
        <f t="array" ref="AW594">_xlfn.XLOOKUP(Matrix[[#This Row],[TEAM]]&amp;Matrix[[#Headers],[37]],FDR[FDR]&amp;FDR[[#Headers],[37]],FDR[37],"",0,1)</f>
        <v>5</v>
      </c>
      <c r="AX594" cm="1">
        <f t="array" ref="AX594">_xlfn.XLOOKUP(Matrix[[#This Row],[TEAM]]&amp;Matrix[[#Headers],[38]],FDR[FDR]&amp;FDR[[#Headers],[38]],FDR[38],"",0,1)</f>
        <v>3</v>
      </c>
    </row>
    <row r="595" spans="1:50" ht="22" thickTop="1" thickBot="1">
      <c r="A595" s="55" t="s">
        <v>659</v>
      </c>
      <c r="B595" s="70" t="s">
        <v>1584</v>
      </c>
      <c r="C595" s="40" t="s">
        <v>30</v>
      </c>
      <c r="D595" s="62">
        <v>120</v>
      </c>
      <c r="E595" s="60">
        <v>1E-3</v>
      </c>
      <c r="F595" s="61">
        <v>74.7</v>
      </c>
      <c r="G595" s="63">
        <v>5</v>
      </c>
      <c r="H595" s="261">
        <f>IF(ISBLANK(I595),0,1)</f>
        <v>1</v>
      </c>
      <c r="I595" s="57" t="s">
        <v>894</v>
      </c>
      <c r="J595" s="58">
        <v>0.5</v>
      </c>
      <c r="K595" s="66" t="s">
        <v>579</v>
      </c>
      <c r="L595" s="66" t="s">
        <v>231</v>
      </c>
      <c r="M595" cm="1">
        <f t="array" ref="M595">_xlfn.XLOOKUP(Matrix[[#This Row],[TEAM]]&amp;Matrix[[#Headers],[1]],FDR[FDR]&amp;FDR[[#Headers],[1]],FDR[1],"",0,1)</f>
        <v>3</v>
      </c>
      <c r="N595" cm="1">
        <f t="array" ref="N595">_xlfn.XLOOKUP(Matrix[[#This Row],[TEAM]]&amp;Matrix[[#Headers],[2]],FDR[FDR]&amp;FDR[[#Headers],[2]],FDR[2],"",0,1)</f>
        <v>2</v>
      </c>
      <c r="O595" cm="1">
        <f t="array" ref="O595">_xlfn.XLOOKUP(Matrix[[#This Row],[TEAM]]&amp;Matrix[[#Headers],[3]],FDR[FDR]&amp;FDR[[#Headers],[3]],FDR[3],"",0,1)</f>
        <v>1</v>
      </c>
      <c r="P595" cm="1">
        <f t="array" ref="P595">_xlfn.XLOOKUP(Matrix[[#This Row],[TEAM]]&amp;Matrix[[#Headers],[4]],FDR[FDR]&amp;FDR[[#Headers],[4]],FDR[4],"",0,1)</f>
        <v>4</v>
      </c>
      <c r="Q595" cm="1">
        <f t="array" ref="Q595">_xlfn.XLOOKUP(Matrix[[#This Row],[TEAM]]&amp;Matrix[[#Headers],[5]],FDR[FDR]&amp;FDR[[#Headers],[5]],FDR[5],"",0,1)</f>
        <v>3</v>
      </c>
      <c r="R595" cm="1">
        <f t="array" ref="R595">_xlfn.XLOOKUP(Matrix[[#This Row],[TEAM]]&amp;Matrix[[#Headers],[6]],FDR[FDR]&amp;FDR[[#Headers],[6]],FDR[6],"",0,1)</f>
        <v>2</v>
      </c>
      <c r="S595" cm="1">
        <f t="array" ref="S595">_xlfn.XLOOKUP(Matrix[[#This Row],[TEAM]]&amp;Matrix[[#Headers],[7]],FDR[FDR]&amp;FDR[[#Headers],[7]],FDR[7],"",0,1)</f>
        <v>1</v>
      </c>
      <c r="T595" cm="1">
        <f t="array" ref="T595">_xlfn.XLOOKUP(Matrix[[#This Row],[TEAM]]&amp;Matrix[[#Headers],[8]],FDR[FDR]&amp;FDR[[#Headers],[8]],FDR[8],"",0,1)</f>
        <v>4</v>
      </c>
      <c r="U595" cm="1">
        <f t="array" ref="U595">_xlfn.XLOOKUP(Matrix[[#This Row],[TEAM]]&amp;Matrix[[#Headers],[9]],FDR[FDR]&amp;FDR[[#Headers],[9]],FDR[9],"",0,1)</f>
        <v>1</v>
      </c>
      <c r="V595" cm="1">
        <f t="array" ref="V595">_xlfn.XLOOKUP(Matrix[[#This Row],[TEAM]]&amp;Matrix[[#Headers],[10]],FDR[FDR]&amp;FDR[[#Headers],[10]],FDR[10],"",0,1)</f>
        <v>2</v>
      </c>
      <c r="W595" cm="1">
        <f t="array" ref="W595">_xlfn.XLOOKUP(Matrix[[#This Row],[TEAM]]&amp;Matrix[[#Headers],[11]],FDR[FDR]&amp;FDR[[#Headers],[11]],FDR[11],"",0,1)</f>
        <v>4</v>
      </c>
      <c r="X595" cm="1">
        <f t="array" ref="X595">_xlfn.XLOOKUP(Matrix[[#This Row],[TEAM]]&amp;Matrix[[#Headers],[12]],FDR[FDR]&amp;FDR[[#Headers],[12]],FDR[12],"",0,1)</f>
        <v>1</v>
      </c>
      <c r="Y595" cm="1">
        <f t="array" ref="Y595">_xlfn.XLOOKUP(Matrix[[#This Row],[TEAM]]&amp;Matrix[[#Headers],[13]],FDR[FDR]&amp;FDR[[#Headers],[13]],FDR[13],"",0,1)</f>
        <v>2</v>
      </c>
      <c r="Z595" cm="1">
        <f t="array" ref="Z595">_xlfn.XLOOKUP(Matrix[[#This Row],[TEAM]]&amp;Matrix[[#Headers],[14]],FDR[FDR]&amp;FDR[[#Headers],[14]],FDR[14],"",0,1)</f>
        <v>1</v>
      </c>
      <c r="AA595" cm="1">
        <f t="array" ref="AA595">_xlfn.XLOOKUP(Matrix[[#This Row],[TEAM]]&amp;Matrix[[#Headers],[15]],FDR[FDR]&amp;FDR[[#Headers],[15]],FDR[15],"",0,1)</f>
        <v>1</v>
      </c>
      <c r="AB595" cm="1">
        <f t="array" ref="AB595">_xlfn.XLOOKUP(Matrix[[#This Row],[TEAM]]&amp;Matrix[[#Headers],[16]],FDR[FDR]&amp;FDR[[#Headers],[16]],FDR[16],"",0,1)</f>
        <v>1</v>
      </c>
      <c r="AC595" cm="1">
        <f t="array" ref="AC595">_xlfn.XLOOKUP(Matrix[[#This Row],[TEAM]]&amp;Matrix[[#Headers],[17]],FDR[FDR]&amp;FDR[[#Headers],[17]],FDR[17],"",0,1)</f>
        <v>3</v>
      </c>
      <c r="AD595" cm="1">
        <f t="array" ref="AD595">_xlfn.XLOOKUP(Matrix[[#This Row],[TEAM]]&amp;Matrix[[#Headers],[18]],FDR[FDR]&amp;FDR[[#Headers],[18]],FDR[18],"",0,1)</f>
        <v>2</v>
      </c>
      <c r="AE595" cm="1">
        <f t="array" ref="AE595">_xlfn.XLOOKUP(Matrix[[#This Row],[TEAM]]&amp;Matrix[[#Headers],[19]],FDR[FDR]&amp;FDR[[#Headers],[19]],FDR[19],"",0,1)</f>
        <v>1</v>
      </c>
      <c r="AF595" cm="1">
        <f t="array" ref="AF595">_xlfn.XLOOKUP(Matrix[[#This Row],[TEAM]]&amp;Matrix[[#Headers],[20]],FDR[FDR]&amp;FDR[[#Headers],[20]],FDR[20],"",0,1)</f>
        <v>1</v>
      </c>
      <c r="AG595" cm="1">
        <f t="array" ref="AG595">_xlfn.XLOOKUP(Matrix[[#This Row],[TEAM]]&amp;Matrix[[#Headers],[21]],FDR[FDR]&amp;FDR[[#Headers],[21]],FDR[21],"",0,1)</f>
        <v>1</v>
      </c>
      <c r="AH595" cm="1">
        <f t="array" ref="AH595">_xlfn.XLOOKUP(Matrix[[#This Row],[TEAM]]&amp;Matrix[[#Headers],[22]],FDR[FDR]&amp;FDR[[#Headers],[22]],FDR[22],"",0,1)</f>
        <v>3</v>
      </c>
      <c r="AI595" cm="1">
        <f t="array" ref="AI595">_xlfn.XLOOKUP(Matrix[[#This Row],[TEAM]]&amp;Matrix[[#Headers],[23]],FDR[FDR]&amp;FDR[[#Headers],[23]],FDR[23],"",0,1)</f>
        <v>4</v>
      </c>
      <c r="AJ595" cm="1">
        <f t="array" ref="AJ595">_xlfn.XLOOKUP(Matrix[[#This Row],[TEAM]]&amp;Matrix[[#Headers],[24]],FDR[FDR]&amp;FDR[[#Headers],[24]],FDR[24],"",0,1)</f>
        <v>1</v>
      </c>
      <c r="AK595" cm="1">
        <f t="array" ref="AK595">_xlfn.XLOOKUP(Matrix[[#This Row],[TEAM]]&amp;Matrix[[#Headers],[25]],FDR[FDR]&amp;FDR[[#Headers],[25]],FDR[25],"",0,1)</f>
        <v>3</v>
      </c>
      <c r="AL595" cm="1">
        <f t="array" ref="AL595">_xlfn.XLOOKUP(Matrix[[#This Row],[TEAM]]&amp;Matrix[[#Headers],[26]],FDR[FDR]&amp;FDR[[#Headers],[26]],FDR[26],"",0,1)</f>
        <v>2</v>
      </c>
      <c r="AM595" cm="1">
        <f t="array" ref="AM595">_xlfn.XLOOKUP(Matrix[[#This Row],[TEAM]]&amp;Matrix[[#Headers],[27]],FDR[FDR]&amp;FDR[[#Headers],[27]],FDR[27],"",0,1)</f>
        <v>2</v>
      </c>
      <c r="AN595" cm="1">
        <f t="array" ref="AN595">_xlfn.XLOOKUP(Matrix[[#This Row],[TEAM]]&amp;Matrix[[#Headers],[28]],FDR[FDR]&amp;FDR[[#Headers],[28]],FDR[28],"",0,1)</f>
        <v>1</v>
      </c>
      <c r="AO595" cm="1">
        <f t="array" ref="AO595">_xlfn.XLOOKUP(Matrix[[#This Row],[TEAM]]&amp;Matrix[[#Headers],[29]],FDR[FDR]&amp;FDR[[#Headers],[29]],FDR[29],"",0,1)</f>
        <v>3</v>
      </c>
      <c r="AP595" cm="1">
        <f t="array" ref="AP595">_xlfn.XLOOKUP(Matrix[[#This Row],[TEAM]]&amp;Matrix[[#Headers],[30]],FDR[FDR]&amp;FDR[[#Headers],[30]],FDR[30],"",0,1)</f>
        <v>2</v>
      </c>
      <c r="AQ595" cm="1">
        <f t="array" ref="AQ595">_xlfn.XLOOKUP(Matrix[[#This Row],[TEAM]]&amp;Matrix[[#Headers],[31]],FDR[FDR]&amp;FDR[[#Headers],[31]],FDR[31],"",0,1)</f>
        <v>2</v>
      </c>
      <c r="AR595" cm="1">
        <f t="array" ref="AR595">_xlfn.XLOOKUP(Matrix[[#This Row],[TEAM]]&amp;Matrix[[#Headers],[32]],FDR[FDR]&amp;FDR[[#Headers],[32]],FDR[32],"",0,1)</f>
        <v>1</v>
      </c>
      <c r="AS595" cm="1">
        <f t="array" ref="AS595">_xlfn.XLOOKUP(Matrix[[#This Row],[TEAM]]&amp;Matrix[[#Headers],[33]],FDR[FDR]&amp;FDR[[#Headers],[33]],FDR[33],"",0,1)</f>
        <v>4</v>
      </c>
      <c r="AT595" cm="1">
        <f t="array" ref="AT595">_xlfn.XLOOKUP(Matrix[[#This Row],[TEAM]]&amp;Matrix[[#Headers],[34]],FDR[FDR]&amp;FDR[[#Headers],[34]],FDR[34],"",0,1)</f>
        <v>1</v>
      </c>
      <c r="AU595" cm="1">
        <f t="array" ref="AU595">_xlfn.XLOOKUP(Matrix[[#This Row],[TEAM]]&amp;Matrix[[#Headers],[35]],FDR[FDR]&amp;FDR[[#Headers],[35]],FDR[35],"",0,1)</f>
        <v>3</v>
      </c>
      <c r="AV595" cm="1">
        <f t="array" ref="AV595">_xlfn.XLOOKUP(Matrix[[#This Row],[TEAM]]&amp;Matrix[[#Headers],[36]],FDR[FDR]&amp;FDR[[#Headers],[36]],FDR[36],"",0,1)</f>
        <v>1</v>
      </c>
      <c r="AW595" cm="1">
        <f t="array" ref="AW595">_xlfn.XLOOKUP(Matrix[[#This Row],[TEAM]]&amp;Matrix[[#Headers],[37]],FDR[FDR]&amp;FDR[[#Headers],[37]],FDR[37],"",0,1)</f>
        <v>1</v>
      </c>
      <c r="AX595" cm="1">
        <f t="array" ref="AX595">_xlfn.XLOOKUP(Matrix[[#This Row],[TEAM]]&amp;Matrix[[#Headers],[38]],FDR[FDR]&amp;FDR[[#Headers],[38]],FDR[38],"",0,1)</f>
        <v>2</v>
      </c>
    </row>
    <row r="596" spans="1:50" ht="22" thickTop="1" thickBot="1">
      <c r="A596" s="54" t="s">
        <v>657</v>
      </c>
      <c r="B596" s="70" t="s">
        <v>1499</v>
      </c>
      <c r="C596" s="40" t="s">
        <v>18</v>
      </c>
      <c r="D596" s="62">
        <v>109</v>
      </c>
      <c r="E596" s="60">
        <v>1.4E-2</v>
      </c>
      <c r="F596" s="61">
        <v>109.4</v>
      </c>
      <c r="G596" s="63">
        <v>4.9000000000000004</v>
      </c>
      <c r="H596" s="261">
        <f>IF(ISBLANK(I596),0,1)</f>
        <v>1</v>
      </c>
      <c r="I596" s="57" t="s">
        <v>1049</v>
      </c>
      <c r="J596" s="58" t="s">
        <v>1981</v>
      </c>
      <c r="K596" s="65" t="s">
        <v>502</v>
      </c>
      <c r="L596" s="65" t="s">
        <v>148</v>
      </c>
      <c r="M596" cm="1">
        <f t="array" ref="M596">_xlfn.XLOOKUP(Matrix[[#This Row],[TEAM]]&amp;Matrix[[#Headers],[1]],FDR[FDR]&amp;FDR[[#Headers],[1]],FDR[1],"",0,1)</f>
        <v>1</v>
      </c>
      <c r="N596" cm="1">
        <f t="array" ref="N596">_xlfn.XLOOKUP(Matrix[[#This Row],[TEAM]]&amp;Matrix[[#Headers],[2]],FDR[FDR]&amp;FDR[[#Headers],[2]],FDR[2],"",0,1)</f>
        <v>2</v>
      </c>
      <c r="O596" cm="1">
        <f t="array" ref="O596">_xlfn.XLOOKUP(Matrix[[#This Row],[TEAM]]&amp;Matrix[[#Headers],[3]],FDR[FDR]&amp;FDR[[#Headers],[3]],FDR[3],"",0,1)</f>
        <v>1</v>
      </c>
      <c r="P596" cm="1">
        <f t="array" ref="P596">_xlfn.XLOOKUP(Matrix[[#This Row],[TEAM]]&amp;Matrix[[#Headers],[4]],FDR[FDR]&amp;FDR[[#Headers],[4]],FDR[4],"",0,1)</f>
        <v>2</v>
      </c>
      <c r="Q596" cm="1">
        <f t="array" ref="Q596">_xlfn.XLOOKUP(Matrix[[#This Row],[TEAM]]&amp;Matrix[[#Headers],[5]],FDR[FDR]&amp;FDR[[#Headers],[5]],FDR[5],"",0,1)</f>
        <v>3</v>
      </c>
      <c r="R596" cm="1">
        <f t="array" ref="R596">_xlfn.XLOOKUP(Matrix[[#This Row],[TEAM]]&amp;Matrix[[#Headers],[6]],FDR[FDR]&amp;FDR[[#Headers],[6]],FDR[6],"",0,1)</f>
        <v>1</v>
      </c>
      <c r="S596" cm="1">
        <f t="array" ref="S596">_xlfn.XLOOKUP(Matrix[[#This Row],[TEAM]]&amp;Matrix[[#Headers],[7]],FDR[FDR]&amp;FDR[[#Headers],[7]],FDR[7],"",0,1)</f>
        <v>3</v>
      </c>
      <c r="T596" cm="1">
        <f t="array" ref="T596">_xlfn.XLOOKUP(Matrix[[#This Row],[TEAM]]&amp;Matrix[[#Headers],[8]],FDR[FDR]&amp;FDR[[#Headers],[8]],FDR[8],"",0,1)</f>
        <v>2</v>
      </c>
      <c r="U596" cm="1">
        <f t="array" ref="U596">_xlfn.XLOOKUP(Matrix[[#This Row],[TEAM]]&amp;Matrix[[#Headers],[9]],FDR[FDR]&amp;FDR[[#Headers],[9]],FDR[9],"",0,1)</f>
        <v>1</v>
      </c>
      <c r="V596" cm="1">
        <f t="array" ref="V596">_xlfn.XLOOKUP(Matrix[[#This Row],[TEAM]]&amp;Matrix[[#Headers],[10]],FDR[FDR]&amp;FDR[[#Headers],[10]],FDR[10],"",0,1)</f>
        <v>3</v>
      </c>
      <c r="W596" cm="1">
        <f t="array" ref="W596">_xlfn.XLOOKUP(Matrix[[#This Row],[TEAM]]&amp;Matrix[[#Headers],[11]],FDR[FDR]&amp;FDR[[#Headers],[11]],FDR[11],"",0,1)</f>
        <v>1</v>
      </c>
      <c r="X596" cm="1">
        <f t="array" ref="X596">_xlfn.XLOOKUP(Matrix[[#This Row],[TEAM]]&amp;Matrix[[#Headers],[12]],FDR[FDR]&amp;FDR[[#Headers],[12]],FDR[12],"",0,1)</f>
        <v>1</v>
      </c>
      <c r="Y596" cm="1">
        <f t="array" ref="Y596">_xlfn.XLOOKUP(Matrix[[#This Row],[TEAM]]&amp;Matrix[[#Headers],[13]],FDR[FDR]&amp;FDR[[#Headers],[13]],FDR[13],"",0,1)</f>
        <v>3</v>
      </c>
      <c r="Z596" cm="1">
        <f t="array" ref="Z596">_xlfn.XLOOKUP(Matrix[[#This Row],[TEAM]]&amp;Matrix[[#Headers],[14]],FDR[FDR]&amp;FDR[[#Headers],[14]],FDR[14],"",0,1)</f>
        <v>1</v>
      </c>
      <c r="AA596" cm="1">
        <f t="array" ref="AA596">_xlfn.XLOOKUP(Matrix[[#This Row],[TEAM]]&amp;Matrix[[#Headers],[15]],FDR[FDR]&amp;FDR[[#Headers],[15]],FDR[15],"",0,1)</f>
        <v>2</v>
      </c>
      <c r="AB596" cm="1">
        <f t="array" ref="AB596">_xlfn.XLOOKUP(Matrix[[#This Row],[TEAM]]&amp;Matrix[[#Headers],[16]],FDR[FDR]&amp;FDR[[#Headers],[16]],FDR[16],"",0,1)</f>
        <v>1</v>
      </c>
      <c r="AC596" cm="1">
        <f t="array" ref="AC596">_xlfn.XLOOKUP(Matrix[[#This Row],[TEAM]]&amp;Matrix[[#Headers],[17]],FDR[FDR]&amp;FDR[[#Headers],[17]],FDR[17],"",0,1)</f>
        <v>3</v>
      </c>
      <c r="AD596" cm="1">
        <f t="array" ref="AD596">_xlfn.XLOOKUP(Matrix[[#This Row],[TEAM]]&amp;Matrix[[#Headers],[18]],FDR[FDR]&amp;FDR[[#Headers],[18]],FDR[18],"",0,1)</f>
        <v>2</v>
      </c>
      <c r="AE596" cm="1">
        <f t="array" ref="AE596">_xlfn.XLOOKUP(Matrix[[#This Row],[TEAM]]&amp;Matrix[[#Headers],[19]],FDR[FDR]&amp;FDR[[#Headers],[19]],FDR[19],"",0,1)</f>
        <v>1</v>
      </c>
      <c r="AF596" cm="1">
        <f t="array" ref="AF596">_xlfn.XLOOKUP(Matrix[[#This Row],[TEAM]]&amp;Matrix[[#Headers],[20]],FDR[FDR]&amp;FDR[[#Headers],[20]],FDR[20],"",0,1)</f>
        <v>4</v>
      </c>
      <c r="AG596" cm="1">
        <f t="array" ref="AG596">_xlfn.XLOOKUP(Matrix[[#This Row],[TEAM]]&amp;Matrix[[#Headers],[21]],FDR[FDR]&amp;FDR[[#Headers],[21]],FDR[21],"",0,1)</f>
        <v>2</v>
      </c>
      <c r="AH596" cm="1">
        <f t="array" ref="AH596">_xlfn.XLOOKUP(Matrix[[#This Row],[TEAM]]&amp;Matrix[[#Headers],[22]],FDR[FDR]&amp;FDR[[#Headers],[22]],FDR[22],"",0,1)</f>
        <v>1</v>
      </c>
      <c r="AI596" cm="1">
        <f t="array" ref="AI596">_xlfn.XLOOKUP(Matrix[[#This Row],[TEAM]]&amp;Matrix[[#Headers],[23]],FDR[FDR]&amp;FDR[[#Headers],[23]],FDR[23],"",0,1)</f>
        <v>2</v>
      </c>
      <c r="AJ596" cm="1">
        <f t="array" ref="AJ596">_xlfn.XLOOKUP(Matrix[[#This Row],[TEAM]]&amp;Matrix[[#Headers],[24]],FDR[FDR]&amp;FDR[[#Headers],[24]],FDR[24],"",0,1)</f>
        <v>1</v>
      </c>
      <c r="AK596" cm="1">
        <f t="array" ref="AK596">_xlfn.XLOOKUP(Matrix[[#This Row],[TEAM]]&amp;Matrix[[#Headers],[25]],FDR[FDR]&amp;FDR[[#Headers],[25]],FDR[25],"",0,1)</f>
        <v>1</v>
      </c>
      <c r="AL596" cm="1">
        <f t="array" ref="AL596">_xlfn.XLOOKUP(Matrix[[#This Row],[TEAM]]&amp;Matrix[[#Headers],[26]],FDR[FDR]&amp;FDR[[#Headers],[26]],FDR[26],"",0,1)</f>
        <v>1</v>
      </c>
      <c r="AM596" cm="1">
        <f t="array" ref="AM596">_xlfn.XLOOKUP(Matrix[[#This Row],[TEAM]]&amp;Matrix[[#Headers],[27]],FDR[FDR]&amp;FDR[[#Headers],[27]],FDR[27],"",0,1)</f>
        <v>1</v>
      </c>
      <c r="AN596" cm="1">
        <f t="array" ref="AN596">_xlfn.XLOOKUP(Matrix[[#This Row],[TEAM]]&amp;Matrix[[#Headers],[28]],FDR[FDR]&amp;FDR[[#Headers],[28]],FDR[28],"",0,1)</f>
        <v>4</v>
      </c>
      <c r="AO596" cm="1">
        <f t="array" ref="AO596">_xlfn.XLOOKUP(Matrix[[#This Row],[TEAM]]&amp;Matrix[[#Headers],[29]],FDR[FDR]&amp;FDR[[#Headers],[29]],FDR[29],"",0,1)</f>
        <v>3</v>
      </c>
      <c r="AP596" cm="1">
        <f t="array" ref="AP596">_xlfn.XLOOKUP(Matrix[[#This Row],[TEAM]]&amp;Matrix[[#Headers],[30]],FDR[FDR]&amp;FDR[[#Headers],[30]],FDR[30],"",0,1)</f>
        <v>2</v>
      </c>
      <c r="AQ596" cm="1">
        <f t="array" ref="AQ596">_xlfn.XLOOKUP(Matrix[[#This Row],[TEAM]]&amp;Matrix[[#Headers],[31]],FDR[FDR]&amp;FDR[[#Headers],[31]],FDR[31],"",0,1)</f>
        <v>2</v>
      </c>
      <c r="AR596" cm="1">
        <f t="array" ref="AR596">_xlfn.XLOOKUP(Matrix[[#This Row],[TEAM]]&amp;Matrix[[#Headers],[32]],FDR[FDR]&amp;FDR[[#Headers],[32]],FDR[32],"",0,1)</f>
        <v>3</v>
      </c>
      <c r="AS596" cm="1">
        <f t="array" ref="AS596">_xlfn.XLOOKUP(Matrix[[#This Row],[TEAM]]&amp;Matrix[[#Headers],[33]],FDR[FDR]&amp;FDR[[#Headers],[33]],FDR[33],"",0,1)</f>
        <v>2</v>
      </c>
      <c r="AT596" cm="1">
        <f t="array" ref="AT596">_xlfn.XLOOKUP(Matrix[[#This Row],[TEAM]]&amp;Matrix[[#Headers],[34]],FDR[FDR]&amp;FDR[[#Headers],[34]],FDR[34],"",0,1)</f>
        <v>2</v>
      </c>
      <c r="AU596" cm="1">
        <f t="array" ref="AU596">_xlfn.XLOOKUP(Matrix[[#This Row],[TEAM]]&amp;Matrix[[#Headers],[35]],FDR[FDR]&amp;FDR[[#Headers],[35]],FDR[35],"",0,1)</f>
        <v>1</v>
      </c>
      <c r="AV596" cm="1">
        <f t="array" ref="AV596">_xlfn.XLOOKUP(Matrix[[#This Row],[TEAM]]&amp;Matrix[[#Headers],[36]],FDR[FDR]&amp;FDR[[#Headers],[36]],FDR[36],"",0,1)</f>
        <v>4</v>
      </c>
      <c r="AW596" cm="1">
        <f t="array" ref="AW596">_xlfn.XLOOKUP(Matrix[[#This Row],[TEAM]]&amp;Matrix[[#Headers],[37]],FDR[FDR]&amp;FDR[[#Headers],[37]],FDR[37],"",0,1)</f>
        <v>2</v>
      </c>
      <c r="AX596" cm="1">
        <f t="array" ref="AX596">_xlfn.XLOOKUP(Matrix[[#This Row],[TEAM]]&amp;Matrix[[#Headers],[38]],FDR[FDR]&amp;FDR[[#Headers],[38]],FDR[38],"",0,1)</f>
        <v>1</v>
      </c>
    </row>
    <row r="597" spans="1:50" ht="22" thickTop="1" thickBot="1">
      <c r="A597" s="51" t="s">
        <v>657</v>
      </c>
      <c r="B597" s="70" t="s">
        <v>1506</v>
      </c>
      <c r="C597" s="40" t="s">
        <v>30</v>
      </c>
      <c r="D597" s="62">
        <v>88</v>
      </c>
      <c r="E597" s="60">
        <v>8.0000000000000002E-3</v>
      </c>
      <c r="F597" s="61">
        <v>107.5</v>
      </c>
      <c r="G597" s="63">
        <v>4.9000000000000004</v>
      </c>
      <c r="H597" s="261">
        <f>IF(ISBLANK(I597),0,1)</f>
        <v>1</v>
      </c>
      <c r="I597" s="57" t="s">
        <v>942</v>
      </c>
      <c r="J597" s="58" t="s">
        <v>1981</v>
      </c>
      <c r="K597" s="65" t="s">
        <v>875</v>
      </c>
      <c r="L597" s="65" t="s">
        <v>876</v>
      </c>
      <c r="M597" cm="1">
        <f t="array" ref="M597">_xlfn.XLOOKUP(Matrix[[#This Row],[TEAM]]&amp;Matrix[[#Headers],[1]],FDR[FDR]&amp;FDR[[#Headers],[1]],FDR[1],"",0,1)</f>
        <v>3</v>
      </c>
      <c r="N597" cm="1">
        <f t="array" ref="N597">_xlfn.XLOOKUP(Matrix[[#This Row],[TEAM]]&amp;Matrix[[#Headers],[2]],FDR[FDR]&amp;FDR[[#Headers],[2]],FDR[2],"",0,1)</f>
        <v>2</v>
      </c>
      <c r="O597" cm="1">
        <f t="array" ref="O597">_xlfn.XLOOKUP(Matrix[[#This Row],[TEAM]]&amp;Matrix[[#Headers],[3]],FDR[FDR]&amp;FDR[[#Headers],[3]],FDR[3],"",0,1)</f>
        <v>1</v>
      </c>
      <c r="P597" cm="1">
        <f t="array" ref="P597">_xlfn.XLOOKUP(Matrix[[#This Row],[TEAM]]&amp;Matrix[[#Headers],[4]],FDR[FDR]&amp;FDR[[#Headers],[4]],FDR[4],"",0,1)</f>
        <v>4</v>
      </c>
      <c r="Q597" cm="1">
        <f t="array" ref="Q597">_xlfn.XLOOKUP(Matrix[[#This Row],[TEAM]]&amp;Matrix[[#Headers],[5]],FDR[FDR]&amp;FDR[[#Headers],[5]],FDR[5],"",0,1)</f>
        <v>3</v>
      </c>
      <c r="R597" cm="1">
        <f t="array" ref="R597">_xlfn.XLOOKUP(Matrix[[#This Row],[TEAM]]&amp;Matrix[[#Headers],[6]],FDR[FDR]&amp;FDR[[#Headers],[6]],FDR[6],"",0,1)</f>
        <v>2</v>
      </c>
      <c r="S597" cm="1">
        <f t="array" ref="S597">_xlfn.XLOOKUP(Matrix[[#This Row],[TEAM]]&amp;Matrix[[#Headers],[7]],FDR[FDR]&amp;FDR[[#Headers],[7]],FDR[7],"",0,1)</f>
        <v>1</v>
      </c>
      <c r="T597" cm="1">
        <f t="array" ref="T597">_xlfn.XLOOKUP(Matrix[[#This Row],[TEAM]]&amp;Matrix[[#Headers],[8]],FDR[FDR]&amp;FDR[[#Headers],[8]],FDR[8],"",0,1)</f>
        <v>4</v>
      </c>
      <c r="U597" cm="1">
        <f t="array" ref="U597">_xlfn.XLOOKUP(Matrix[[#This Row],[TEAM]]&amp;Matrix[[#Headers],[9]],FDR[FDR]&amp;FDR[[#Headers],[9]],FDR[9],"",0,1)</f>
        <v>1</v>
      </c>
      <c r="V597" cm="1">
        <f t="array" ref="V597">_xlfn.XLOOKUP(Matrix[[#This Row],[TEAM]]&amp;Matrix[[#Headers],[10]],FDR[FDR]&amp;FDR[[#Headers],[10]],FDR[10],"",0,1)</f>
        <v>2</v>
      </c>
      <c r="W597" cm="1">
        <f t="array" ref="W597">_xlfn.XLOOKUP(Matrix[[#This Row],[TEAM]]&amp;Matrix[[#Headers],[11]],FDR[FDR]&amp;FDR[[#Headers],[11]],FDR[11],"",0,1)</f>
        <v>4</v>
      </c>
      <c r="X597" cm="1">
        <f t="array" ref="X597">_xlfn.XLOOKUP(Matrix[[#This Row],[TEAM]]&amp;Matrix[[#Headers],[12]],FDR[FDR]&amp;FDR[[#Headers],[12]],FDR[12],"",0,1)</f>
        <v>1</v>
      </c>
      <c r="Y597" cm="1">
        <f t="array" ref="Y597">_xlfn.XLOOKUP(Matrix[[#This Row],[TEAM]]&amp;Matrix[[#Headers],[13]],FDR[FDR]&amp;FDR[[#Headers],[13]],FDR[13],"",0,1)</f>
        <v>2</v>
      </c>
      <c r="Z597" cm="1">
        <f t="array" ref="Z597">_xlfn.XLOOKUP(Matrix[[#This Row],[TEAM]]&amp;Matrix[[#Headers],[14]],FDR[FDR]&amp;FDR[[#Headers],[14]],FDR[14],"",0,1)</f>
        <v>1</v>
      </c>
      <c r="AA597" cm="1">
        <f t="array" ref="AA597">_xlfn.XLOOKUP(Matrix[[#This Row],[TEAM]]&amp;Matrix[[#Headers],[15]],FDR[FDR]&amp;FDR[[#Headers],[15]],FDR[15],"",0,1)</f>
        <v>1</v>
      </c>
      <c r="AB597" cm="1">
        <f t="array" ref="AB597">_xlfn.XLOOKUP(Matrix[[#This Row],[TEAM]]&amp;Matrix[[#Headers],[16]],FDR[FDR]&amp;FDR[[#Headers],[16]],FDR[16],"",0,1)</f>
        <v>1</v>
      </c>
      <c r="AC597" cm="1">
        <f t="array" ref="AC597">_xlfn.XLOOKUP(Matrix[[#This Row],[TEAM]]&amp;Matrix[[#Headers],[17]],FDR[FDR]&amp;FDR[[#Headers],[17]],FDR[17],"",0,1)</f>
        <v>3</v>
      </c>
      <c r="AD597" cm="1">
        <f t="array" ref="AD597">_xlfn.XLOOKUP(Matrix[[#This Row],[TEAM]]&amp;Matrix[[#Headers],[18]],FDR[FDR]&amp;FDR[[#Headers],[18]],FDR[18],"",0,1)</f>
        <v>2</v>
      </c>
      <c r="AE597" cm="1">
        <f t="array" ref="AE597">_xlfn.XLOOKUP(Matrix[[#This Row],[TEAM]]&amp;Matrix[[#Headers],[19]],FDR[FDR]&amp;FDR[[#Headers],[19]],FDR[19],"",0,1)</f>
        <v>1</v>
      </c>
      <c r="AF597" cm="1">
        <f t="array" ref="AF597">_xlfn.XLOOKUP(Matrix[[#This Row],[TEAM]]&amp;Matrix[[#Headers],[20]],FDR[FDR]&amp;FDR[[#Headers],[20]],FDR[20],"",0,1)</f>
        <v>1</v>
      </c>
      <c r="AG597" cm="1">
        <f t="array" ref="AG597">_xlfn.XLOOKUP(Matrix[[#This Row],[TEAM]]&amp;Matrix[[#Headers],[21]],FDR[FDR]&amp;FDR[[#Headers],[21]],FDR[21],"",0,1)</f>
        <v>1</v>
      </c>
      <c r="AH597" cm="1">
        <f t="array" ref="AH597">_xlfn.XLOOKUP(Matrix[[#This Row],[TEAM]]&amp;Matrix[[#Headers],[22]],FDR[FDR]&amp;FDR[[#Headers],[22]],FDR[22],"",0,1)</f>
        <v>3</v>
      </c>
      <c r="AI597" cm="1">
        <f t="array" ref="AI597">_xlfn.XLOOKUP(Matrix[[#This Row],[TEAM]]&amp;Matrix[[#Headers],[23]],FDR[FDR]&amp;FDR[[#Headers],[23]],FDR[23],"",0,1)</f>
        <v>4</v>
      </c>
      <c r="AJ597" cm="1">
        <f t="array" ref="AJ597">_xlfn.XLOOKUP(Matrix[[#This Row],[TEAM]]&amp;Matrix[[#Headers],[24]],FDR[FDR]&amp;FDR[[#Headers],[24]],FDR[24],"",0,1)</f>
        <v>1</v>
      </c>
      <c r="AK597" cm="1">
        <f t="array" ref="AK597">_xlfn.XLOOKUP(Matrix[[#This Row],[TEAM]]&amp;Matrix[[#Headers],[25]],FDR[FDR]&amp;FDR[[#Headers],[25]],FDR[25],"",0,1)</f>
        <v>3</v>
      </c>
      <c r="AL597" cm="1">
        <f t="array" ref="AL597">_xlfn.XLOOKUP(Matrix[[#This Row],[TEAM]]&amp;Matrix[[#Headers],[26]],FDR[FDR]&amp;FDR[[#Headers],[26]],FDR[26],"",0,1)</f>
        <v>2</v>
      </c>
      <c r="AM597" cm="1">
        <f t="array" ref="AM597">_xlfn.XLOOKUP(Matrix[[#This Row],[TEAM]]&amp;Matrix[[#Headers],[27]],FDR[FDR]&amp;FDR[[#Headers],[27]],FDR[27],"",0,1)</f>
        <v>2</v>
      </c>
      <c r="AN597" cm="1">
        <f t="array" ref="AN597">_xlfn.XLOOKUP(Matrix[[#This Row],[TEAM]]&amp;Matrix[[#Headers],[28]],FDR[FDR]&amp;FDR[[#Headers],[28]],FDR[28],"",0,1)</f>
        <v>1</v>
      </c>
      <c r="AO597" cm="1">
        <f t="array" ref="AO597">_xlfn.XLOOKUP(Matrix[[#This Row],[TEAM]]&amp;Matrix[[#Headers],[29]],FDR[FDR]&amp;FDR[[#Headers],[29]],FDR[29],"",0,1)</f>
        <v>3</v>
      </c>
      <c r="AP597" cm="1">
        <f t="array" ref="AP597">_xlfn.XLOOKUP(Matrix[[#This Row],[TEAM]]&amp;Matrix[[#Headers],[30]],FDR[FDR]&amp;FDR[[#Headers],[30]],FDR[30],"",0,1)</f>
        <v>2</v>
      </c>
      <c r="AQ597" cm="1">
        <f t="array" ref="AQ597">_xlfn.XLOOKUP(Matrix[[#This Row],[TEAM]]&amp;Matrix[[#Headers],[31]],FDR[FDR]&amp;FDR[[#Headers],[31]],FDR[31],"",0,1)</f>
        <v>2</v>
      </c>
      <c r="AR597" cm="1">
        <f t="array" ref="AR597">_xlfn.XLOOKUP(Matrix[[#This Row],[TEAM]]&amp;Matrix[[#Headers],[32]],FDR[FDR]&amp;FDR[[#Headers],[32]],FDR[32],"",0,1)</f>
        <v>1</v>
      </c>
      <c r="AS597" cm="1">
        <f t="array" ref="AS597">_xlfn.XLOOKUP(Matrix[[#This Row],[TEAM]]&amp;Matrix[[#Headers],[33]],FDR[FDR]&amp;FDR[[#Headers],[33]],FDR[33],"",0,1)</f>
        <v>4</v>
      </c>
      <c r="AT597" cm="1">
        <f t="array" ref="AT597">_xlfn.XLOOKUP(Matrix[[#This Row],[TEAM]]&amp;Matrix[[#Headers],[34]],FDR[FDR]&amp;FDR[[#Headers],[34]],FDR[34],"",0,1)</f>
        <v>1</v>
      </c>
      <c r="AU597" cm="1">
        <f t="array" ref="AU597">_xlfn.XLOOKUP(Matrix[[#This Row],[TEAM]]&amp;Matrix[[#Headers],[35]],FDR[FDR]&amp;FDR[[#Headers],[35]],FDR[35],"",0,1)</f>
        <v>3</v>
      </c>
      <c r="AV597" cm="1">
        <f t="array" ref="AV597">_xlfn.XLOOKUP(Matrix[[#This Row],[TEAM]]&amp;Matrix[[#Headers],[36]],FDR[FDR]&amp;FDR[[#Headers],[36]],FDR[36],"",0,1)</f>
        <v>1</v>
      </c>
      <c r="AW597" cm="1">
        <f t="array" ref="AW597">_xlfn.XLOOKUP(Matrix[[#This Row],[TEAM]]&amp;Matrix[[#Headers],[37]],FDR[FDR]&amp;FDR[[#Headers],[37]],FDR[37],"",0,1)</f>
        <v>1</v>
      </c>
      <c r="AX597" cm="1">
        <f t="array" ref="AX597">_xlfn.XLOOKUP(Matrix[[#This Row],[TEAM]]&amp;Matrix[[#Headers],[38]],FDR[FDR]&amp;FDR[[#Headers],[38]],FDR[38],"",0,1)</f>
        <v>2</v>
      </c>
    </row>
    <row r="598" spans="1:50" ht="22" thickTop="1" thickBot="1">
      <c r="A598" s="51" t="s">
        <v>657</v>
      </c>
      <c r="B598" s="70" t="s">
        <v>1517</v>
      </c>
      <c r="C598" s="40" t="s">
        <v>30</v>
      </c>
      <c r="D598" s="62">
        <v>68</v>
      </c>
      <c r="E598" s="60">
        <v>5.0000000000000001E-3</v>
      </c>
      <c r="F598" s="61">
        <v>73.8</v>
      </c>
      <c r="G598" s="63">
        <v>4.9000000000000004</v>
      </c>
      <c r="H598" s="261">
        <f>IF(ISBLANK(I598),0,1)</f>
        <v>1</v>
      </c>
      <c r="I598" s="57" t="s">
        <v>891</v>
      </c>
      <c r="J598" s="58" t="s">
        <v>1981</v>
      </c>
      <c r="K598" s="65" t="s">
        <v>457</v>
      </c>
      <c r="L598" s="65" t="s">
        <v>76</v>
      </c>
      <c r="M598" cm="1">
        <f t="array" ref="M598">_xlfn.XLOOKUP(Matrix[[#This Row],[TEAM]]&amp;Matrix[[#Headers],[1]],FDR[FDR]&amp;FDR[[#Headers],[1]],FDR[1],"",0,1)</f>
        <v>3</v>
      </c>
      <c r="N598" cm="1">
        <f t="array" ref="N598">_xlfn.XLOOKUP(Matrix[[#This Row],[TEAM]]&amp;Matrix[[#Headers],[2]],FDR[FDR]&amp;FDR[[#Headers],[2]],FDR[2],"",0,1)</f>
        <v>2</v>
      </c>
      <c r="O598" cm="1">
        <f t="array" ref="O598">_xlfn.XLOOKUP(Matrix[[#This Row],[TEAM]]&amp;Matrix[[#Headers],[3]],FDR[FDR]&amp;FDR[[#Headers],[3]],FDR[3],"",0,1)</f>
        <v>1</v>
      </c>
      <c r="P598" cm="1">
        <f t="array" ref="P598">_xlfn.XLOOKUP(Matrix[[#This Row],[TEAM]]&amp;Matrix[[#Headers],[4]],FDR[FDR]&amp;FDR[[#Headers],[4]],FDR[4],"",0,1)</f>
        <v>4</v>
      </c>
      <c r="Q598" cm="1">
        <f t="array" ref="Q598">_xlfn.XLOOKUP(Matrix[[#This Row],[TEAM]]&amp;Matrix[[#Headers],[5]],FDR[FDR]&amp;FDR[[#Headers],[5]],FDR[5],"",0,1)</f>
        <v>3</v>
      </c>
      <c r="R598" cm="1">
        <f t="array" ref="R598">_xlfn.XLOOKUP(Matrix[[#This Row],[TEAM]]&amp;Matrix[[#Headers],[6]],FDR[FDR]&amp;FDR[[#Headers],[6]],FDR[6],"",0,1)</f>
        <v>2</v>
      </c>
      <c r="S598" cm="1">
        <f t="array" ref="S598">_xlfn.XLOOKUP(Matrix[[#This Row],[TEAM]]&amp;Matrix[[#Headers],[7]],FDR[FDR]&amp;FDR[[#Headers],[7]],FDR[7],"",0,1)</f>
        <v>1</v>
      </c>
      <c r="T598" cm="1">
        <f t="array" ref="T598">_xlfn.XLOOKUP(Matrix[[#This Row],[TEAM]]&amp;Matrix[[#Headers],[8]],FDR[FDR]&amp;FDR[[#Headers],[8]],FDR[8],"",0,1)</f>
        <v>4</v>
      </c>
      <c r="U598" cm="1">
        <f t="array" ref="U598">_xlfn.XLOOKUP(Matrix[[#This Row],[TEAM]]&amp;Matrix[[#Headers],[9]],FDR[FDR]&amp;FDR[[#Headers],[9]],FDR[9],"",0,1)</f>
        <v>1</v>
      </c>
      <c r="V598" cm="1">
        <f t="array" ref="V598">_xlfn.XLOOKUP(Matrix[[#This Row],[TEAM]]&amp;Matrix[[#Headers],[10]],FDR[FDR]&amp;FDR[[#Headers],[10]],FDR[10],"",0,1)</f>
        <v>2</v>
      </c>
      <c r="W598" cm="1">
        <f t="array" ref="W598">_xlfn.XLOOKUP(Matrix[[#This Row],[TEAM]]&amp;Matrix[[#Headers],[11]],FDR[FDR]&amp;FDR[[#Headers],[11]],FDR[11],"",0,1)</f>
        <v>4</v>
      </c>
      <c r="X598" cm="1">
        <f t="array" ref="X598">_xlfn.XLOOKUP(Matrix[[#This Row],[TEAM]]&amp;Matrix[[#Headers],[12]],FDR[FDR]&amp;FDR[[#Headers],[12]],FDR[12],"",0,1)</f>
        <v>1</v>
      </c>
      <c r="Y598" cm="1">
        <f t="array" ref="Y598">_xlfn.XLOOKUP(Matrix[[#This Row],[TEAM]]&amp;Matrix[[#Headers],[13]],FDR[FDR]&amp;FDR[[#Headers],[13]],FDR[13],"",0,1)</f>
        <v>2</v>
      </c>
      <c r="Z598" cm="1">
        <f t="array" ref="Z598">_xlfn.XLOOKUP(Matrix[[#This Row],[TEAM]]&amp;Matrix[[#Headers],[14]],FDR[FDR]&amp;FDR[[#Headers],[14]],FDR[14],"",0,1)</f>
        <v>1</v>
      </c>
      <c r="AA598" cm="1">
        <f t="array" ref="AA598">_xlfn.XLOOKUP(Matrix[[#This Row],[TEAM]]&amp;Matrix[[#Headers],[15]],FDR[FDR]&amp;FDR[[#Headers],[15]],FDR[15],"",0,1)</f>
        <v>1</v>
      </c>
      <c r="AB598" cm="1">
        <f t="array" ref="AB598">_xlfn.XLOOKUP(Matrix[[#This Row],[TEAM]]&amp;Matrix[[#Headers],[16]],FDR[FDR]&amp;FDR[[#Headers],[16]],FDR[16],"",0,1)</f>
        <v>1</v>
      </c>
      <c r="AC598" cm="1">
        <f t="array" ref="AC598">_xlfn.XLOOKUP(Matrix[[#This Row],[TEAM]]&amp;Matrix[[#Headers],[17]],FDR[FDR]&amp;FDR[[#Headers],[17]],FDR[17],"",0,1)</f>
        <v>3</v>
      </c>
      <c r="AD598" cm="1">
        <f t="array" ref="AD598">_xlfn.XLOOKUP(Matrix[[#This Row],[TEAM]]&amp;Matrix[[#Headers],[18]],FDR[FDR]&amp;FDR[[#Headers],[18]],FDR[18],"",0,1)</f>
        <v>2</v>
      </c>
      <c r="AE598" cm="1">
        <f t="array" ref="AE598">_xlfn.XLOOKUP(Matrix[[#This Row],[TEAM]]&amp;Matrix[[#Headers],[19]],FDR[FDR]&amp;FDR[[#Headers],[19]],FDR[19],"",0,1)</f>
        <v>1</v>
      </c>
      <c r="AF598" cm="1">
        <f t="array" ref="AF598">_xlfn.XLOOKUP(Matrix[[#This Row],[TEAM]]&amp;Matrix[[#Headers],[20]],FDR[FDR]&amp;FDR[[#Headers],[20]],FDR[20],"",0,1)</f>
        <v>1</v>
      </c>
      <c r="AG598" cm="1">
        <f t="array" ref="AG598">_xlfn.XLOOKUP(Matrix[[#This Row],[TEAM]]&amp;Matrix[[#Headers],[21]],FDR[FDR]&amp;FDR[[#Headers],[21]],FDR[21],"",0,1)</f>
        <v>1</v>
      </c>
      <c r="AH598" cm="1">
        <f t="array" ref="AH598">_xlfn.XLOOKUP(Matrix[[#This Row],[TEAM]]&amp;Matrix[[#Headers],[22]],FDR[FDR]&amp;FDR[[#Headers],[22]],FDR[22],"",0,1)</f>
        <v>3</v>
      </c>
      <c r="AI598" cm="1">
        <f t="array" ref="AI598">_xlfn.XLOOKUP(Matrix[[#This Row],[TEAM]]&amp;Matrix[[#Headers],[23]],FDR[FDR]&amp;FDR[[#Headers],[23]],FDR[23],"",0,1)</f>
        <v>4</v>
      </c>
      <c r="AJ598" cm="1">
        <f t="array" ref="AJ598">_xlfn.XLOOKUP(Matrix[[#This Row],[TEAM]]&amp;Matrix[[#Headers],[24]],FDR[FDR]&amp;FDR[[#Headers],[24]],FDR[24],"",0,1)</f>
        <v>1</v>
      </c>
      <c r="AK598" cm="1">
        <f t="array" ref="AK598">_xlfn.XLOOKUP(Matrix[[#This Row],[TEAM]]&amp;Matrix[[#Headers],[25]],FDR[FDR]&amp;FDR[[#Headers],[25]],FDR[25],"",0,1)</f>
        <v>3</v>
      </c>
      <c r="AL598" cm="1">
        <f t="array" ref="AL598">_xlfn.XLOOKUP(Matrix[[#This Row],[TEAM]]&amp;Matrix[[#Headers],[26]],FDR[FDR]&amp;FDR[[#Headers],[26]],FDR[26],"",0,1)</f>
        <v>2</v>
      </c>
      <c r="AM598" cm="1">
        <f t="array" ref="AM598">_xlfn.XLOOKUP(Matrix[[#This Row],[TEAM]]&amp;Matrix[[#Headers],[27]],FDR[FDR]&amp;FDR[[#Headers],[27]],FDR[27],"",0,1)</f>
        <v>2</v>
      </c>
      <c r="AN598" cm="1">
        <f t="array" ref="AN598">_xlfn.XLOOKUP(Matrix[[#This Row],[TEAM]]&amp;Matrix[[#Headers],[28]],FDR[FDR]&amp;FDR[[#Headers],[28]],FDR[28],"",0,1)</f>
        <v>1</v>
      </c>
      <c r="AO598" cm="1">
        <f t="array" ref="AO598">_xlfn.XLOOKUP(Matrix[[#This Row],[TEAM]]&amp;Matrix[[#Headers],[29]],FDR[FDR]&amp;FDR[[#Headers],[29]],FDR[29],"",0,1)</f>
        <v>3</v>
      </c>
      <c r="AP598" cm="1">
        <f t="array" ref="AP598">_xlfn.XLOOKUP(Matrix[[#This Row],[TEAM]]&amp;Matrix[[#Headers],[30]],FDR[FDR]&amp;FDR[[#Headers],[30]],FDR[30],"",0,1)</f>
        <v>2</v>
      </c>
      <c r="AQ598" cm="1">
        <f t="array" ref="AQ598">_xlfn.XLOOKUP(Matrix[[#This Row],[TEAM]]&amp;Matrix[[#Headers],[31]],FDR[FDR]&amp;FDR[[#Headers],[31]],FDR[31],"",0,1)</f>
        <v>2</v>
      </c>
      <c r="AR598" cm="1">
        <f t="array" ref="AR598">_xlfn.XLOOKUP(Matrix[[#This Row],[TEAM]]&amp;Matrix[[#Headers],[32]],FDR[FDR]&amp;FDR[[#Headers],[32]],FDR[32],"",0,1)</f>
        <v>1</v>
      </c>
      <c r="AS598" cm="1">
        <f t="array" ref="AS598">_xlfn.XLOOKUP(Matrix[[#This Row],[TEAM]]&amp;Matrix[[#Headers],[33]],FDR[FDR]&amp;FDR[[#Headers],[33]],FDR[33],"",0,1)</f>
        <v>4</v>
      </c>
      <c r="AT598" cm="1">
        <f t="array" ref="AT598">_xlfn.XLOOKUP(Matrix[[#This Row],[TEAM]]&amp;Matrix[[#Headers],[34]],FDR[FDR]&amp;FDR[[#Headers],[34]],FDR[34],"",0,1)</f>
        <v>1</v>
      </c>
      <c r="AU598" cm="1">
        <f t="array" ref="AU598">_xlfn.XLOOKUP(Matrix[[#This Row],[TEAM]]&amp;Matrix[[#Headers],[35]],FDR[FDR]&amp;FDR[[#Headers],[35]],FDR[35],"",0,1)</f>
        <v>3</v>
      </c>
      <c r="AV598" cm="1">
        <f t="array" ref="AV598">_xlfn.XLOOKUP(Matrix[[#This Row],[TEAM]]&amp;Matrix[[#Headers],[36]],FDR[FDR]&amp;FDR[[#Headers],[36]],FDR[36],"",0,1)</f>
        <v>1</v>
      </c>
      <c r="AW598" cm="1">
        <f t="array" ref="AW598">_xlfn.XLOOKUP(Matrix[[#This Row],[TEAM]]&amp;Matrix[[#Headers],[37]],FDR[FDR]&amp;FDR[[#Headers],[37]],FDR[37],"",0,1)</f>
        <v>1</v>
      </c>
      <c r="AX598" cm="1">
        <f t="array" ref="AX598">_xlfn.XLOOKUP(Matrix[[#This Row],[TEAM]]&amp;Matrix[[#Headers],[38]],FDR[FDR]&amp;FDR[[#Headers],[38]],FDR[38],"",0,1)</f>
        <v>2</v>
      </c>
    </row>
    <row r="599" spans="1:50" ht="22" thickTop="1" thickBot="1">
      <c r="A599" s="50" t="str">
        <f>INDEX!S$4</f>
        <v>MID</v>
      </c>
      <c r="B599" s="70" t="s">
        <v>1534</v>
      </c>
      <c r="C599" s="40" t="s">
        <v>28</v>
      </c>
      <c r="D599" s="62">
        <v>44</v>
      </c>
      <c r="E599" s="60">
        <v>2E-3</v>
      </c>
      <c r="F599" s="61">
        <v>54.8</v>
      </c>
      <c r="G599" s="63">
        <v>4.9000000000000004</v>
      </c>
      <c r="H599" s="261">
        <f>IF(ISBLANK(I599),0,1)</f>
        <v>1</v>
      </c>
      <c r="I599" s="57" t="s">
        <v>942</v>
      </c>
      <c r="J599" s="58">
        <v>0.25</v>
      </c>
      <c r="K599" s="59" t="s">
        <v>812</v>
      </c>
      <c r="L599" s="59" t="s">
        <v>813</v>
      </c>
      <c r="M599" cm="1">
        <f t="array" ref="M599">_xlfn.XLOOKUP(Matrix[[#This Row],[TEAM]]&amp;Matrix[[#Headers],[1]],FDR[FDR]&amp;FDR[[#Headers],[1]],FDR[1],"",0,1)</f>
        <v>3</v>
      </c>
      <c r="N599" cm="1">
        <f t="array" ref="N599">_xlfn.XLOOKUP(Matrix[[#This Row],[TEAM]]&amp;Matrix[[#Headers],[2]],FDR[FDR]&amp;FDR[[#Headers],[2]],FDR[2],"",0,1)</f>
        <v>2</v>
      </c>
      <c r="O599" cm="1">
        <f t="array" ref="O599">_xlfn.XLOOKUP(Matrix[[#This Row],[TEAM]]&amp;Matrix[[#Headers],[3]],FDR[FDR]&amp;FDR[[#Headers],[3]],FDR[3],"",0,1)</f>
        <v>1</v>
      </c>
      <c r="P599" cm="1">
        <f t="array" ref="P599">_xlfn.XLOOKUP(Matrix[[#This Row],[TEAM]]&amp;Matrix[[#Headers],[4]],FDR[FDR]&amp;FDR[[#Headers],[4]],FDR[4],"",0,1)</f>
        <v>2</v>
      </c>
      <c r="Q599" cm="1">
        <f t="array" ref="Q599">_xlfn.XLOOKUP(Matrix[[#This Row],[TEAM]]&amp;Matrix[[#Headers],[5]],FDR[FDR]&amp;FDR[[#Headers],[5]],FDR[5],"",0,1)</f>
        <v>1</v>
      </c>
      <c r="R599" cm="1">
        <f t="array" ref="R599">_xlfn.XLOOKUP(Matrix[[#This Row],[TEAM]]&amp;Matrix[[#Headers],[6]],FDR[FDR]&amp;FDR[[#Headers],[6]],FDR[6],"",0,1)</f>
        <v>2</v>
      </c>
      <c r="S599" cm="1">
        <f t="array" ref="S599">_xlfn.XLOOKUP(Matrix[[#This Row],[TEAM]]&amp;Matrix[[#Headers],[7]],FDR[FDR]&amp;FDR[[#Headers],[7]],FDR[7],"",0,1)</f>
        <v>1</v>
      </c>
      <c r="T599" cm="1">
        <f t="array" ref="T599">_xlfn.XLOOKUP(Matrix[[#This Row],[TEAM]]&amp;Matrix[[#Headers],[8]],FDR[FDR]&amp;FDR[[#Headers],[8]],FDR[8],"",0,1)</f>
        <v>4</v>
      </c>
      <c r="U599" cm="1">
        <f t="array" ref="U599">_xlfn.XLOOKUP(Matrix[[#This Row],[TEAM]]&amp;Matrix[[#Headers],[9]],FDR[FDR]&amp;FDR[[#Headers],[9]],FDR[9],"",0,1)</f>
        <v>3</v>
      </c>
      <c r="V599" cm="1">
        <f t="array" ref="V599">_xlfn.XLOOKUP(Matrix[[#This Row],[TEAM]]&amp;Matrix[[#Headers],[10]],FDR[FDR]&amp;FDR[[#Headers],[10]],FDR[10],"",0,1)</f>
        <v>4</v>
      </c>
      <c r="W599" cm="1">
        <f t="array" ref="W599">_xlfn.XLOOKUP(Matrix[[#This Row],[TEAM]]&amp;Matrix[[#Headers],[11]],FDR[FDR]&amp;FDR[[#Headers],[11]],FDR[11],"",0,1)</f>
        <v>2</v>
      </c>
      <c r="X599" cm="1">
        <f t="array" ref="X599">_xlfn.XLOOKUP(Matrix[[#This Row],[TEAM]]&amp;Matrix[[#Headers],[12]],FDR[FDR]&amp;FDR[[#Headers],[12]],FDR[12],"",0,1)</f>
        <v>1</v>
      </c>
      <c r="Y599" cm="1">
        <f t="array" ref="Y599">_xlfn.XLOOKUP(Matrix[[#This Row],[TEAM]]&amp;Matrix[[#Headers],[13]],FDR[FDR]&amp;FDR[[#Headers],[13]],FDR[13],"",0,1)</f>
        <v>1</v>
      </c>
      <c r="Z599" cm="1">
        <f t="array" ref="Z599">_xlfn.XLOOKUP(Matrix[[#This Row],[TEAM]]&amp;Matrix[[#Headers],[14]],FDR[FDR]&amp;FDR[[#Headers],[14]],FDR[14],"",0,1)</f>
        <v>3</v>
      </c>
      <c r="AA599" cm="1">
        <f t="array" ref="AA599">_xlfn.XLOOKUP(Matrix[[#This Row],[TEAM]]&amp;Matrix[[#Headers],[15]],FDR[FDR]&amp;FDR[[#Headers],[15]],FDR[15],"",0,1)</f>
        <v>3</v>
      </c>
      <c r="AB599" cm="1">
        <f t="array" ref="AB599">_xlfn.XLOOKUP(Matrix[[#This Row],[TEAM]]&amp;Matrix[[#Headers],[16]],FDR[FDR]&amp;FDR[[#Headers],[16]],FDR[16],"",0,1)</f>
        <v>2</v>
      </c>
      <c r="AC599" cm="1">
        <f t="array" ref="AC599">_xlfn.XLOOKUP(Matrix[[#This Row],[TEAM]]&amp;Matrix[[#Headers],[17]],FDR[FDR]&amp;FDR[[#Headers],[17]],FDR[17],"",0,1)</f>
        <v>3</v>
      </c>
      <c r="AD599" cm="1">
        <f t="array" ref="AD599">_xlfn.XLOOKUP(Matrix[[#This Row],[TEAM]]&amp;Matrix[[#Headers],[18]],FDR[FDR]&amp;FDR[[#Headers],[18]],FDR[18],"",0,1)</f>
        <v>4</v>
      </c>
      <c r="AE599" cm="1">
        <f t="array" ref="AE599">_xlfn.XLOOKUP(Matrix[[#This Row],[TEAM]]&amp;Matrix[[#Headers],[19]],FDR[FDR]&amp;FDR[[#Headers],[19]],FDR[19],"",0,1)</f>
        <v>4</v>
      </c>
      <c r="AF599" cm="1">
        <f t="array" ref="AF599">_xlfn.XLOOKUP(Matrix[[#This Row],[TEAM]]&amp;Matrix[[#Headers],[20]],FDR[FDR]&amp;FDR[[#Headers],[20]],FDR[20],"",0,1)</f>
        <v>2</v>
      </c>
      <c r="AG599" cm="1">
        <f t="array" ref="AG599">_xlfn.XLOOKUP(Matrix[[#This Row],[TEAM]]&amp;Matrix[[#Headers],[21]],FDR[FDR]&amp;FDR[[#Headers],[21]],FDR[21],"",0,1)</f>
        <v>2</v>
      </c>
      <c r="AH599" cm="1">
        <f t="array" ref="AH599">_xlfn.XLOOKUP(Matrix[[#This Row],[TEAM]]&amp;Matrix[[#Headers],[22]],FDR[FDR]&amp;FDR[[#Headers],[22]],FDR[22],"",0,1)</f>
        <v>1</v>
      </c>
      <c r="AI599" cm="1">
        <f t="array" ref="AI599">_xlfn.XLOOKUP(Matrix[[#This Row],[TEAM]]&amp;Matrix[[#Headers],[23]],FDR[FDR]&amp;FDR[[#Headers],[23]],FDR[23],"",0,1)</f>
        <v>4</v>
      </c>
      <c r="AJ599" cm="1">
        <f t="array" ref="AJ599">_xlfn.XLOOKUP(Matrix[[#This Row],[TEAM]]&amp;Matrix[[#Headers],[24]],FDR[FDR]&amp;FDR[[#Headers],[24]],FDR[24],"",0,1)</f>
        <v>1</v>
      </c>
      <c r="AK599" cm="1">
        <f t="array" ref="AK599">_xlfn.XLOOKUP(Matrix[[#This Row],[TEAM]]&amp;Matrix[[#Headers],[25]],FDR[FDR]&amp;FDR[[#Headers],[25]],FDR[25],"",0,1)</f>
        <v>3</v>
      </c>
      <c r="AL599" cm="1">
        <f t="array" ref="AL599">_xlfn.XLOOKUP(Matrix[[#This Row],[TEAM]]&amp;Matrix[[#Headers],[26]],FDR[FDR]&amp;FDR[[#Headers],[26]],FDR[26],"",0,1)</f>
        <v>2</v>
      </c>
      <c r="AM599" cm="1">
        <f t="array" ref="AM599">_xlfn.XLOOKUP(Matrix[[#This Row],[TEAM]]&amp;Matrix[[#Headers],[27]],FDR[FDR]&amp;FDR[[#Headers],[27]],FDR[27],"",0,1)</f>
        <v>1</v>
      </c>
      <c r="AN599" cm="1">
        <f t="array" ref="AN599">_xlfn.XLOOKUP(Matrix[[#This Row],[TEAM]]&amp;Matrix[[#Headers],[28]],FDR[FDR]&amp;FDR[[#Headers],[28]],FDR[28],"",0,1)</f>
        <v>1</v>
      </c>
      <c r="AO599" cm="1">
        <f t="array" ref="AO599">_xlfn.XLOOKUP(Matrix[[#This Row],[TEAM]]&amp;Matrix[[#Headers],[29]],FDR[FDR]&amp;FDR[[#Headers],[29]],FDR[29],"",0,1)</f>
        <v>3</v>
      </c>
      <c r="AP599" cm="1">
        <f t="array" ref="AP599">_xlfn.XLOOKUP(Matrix[[#This Row],[TEAM]]&amp;Matrix[[#Headers],[30]],FDR[FDR]&amp;FDR[[#Headers],[30]],FDR[30],"",0,1)</f>
        <v>4</v>
      </c>
      <c r="AQ599" cm="1">
        <f t="array" ref="AQ599">_xlfn.XLOOKUP(Matrix[[#This Row],[TEAM]]&amp;Matrix[[#Headers],[31]],FDR[FDR]&amp;FDR[[#Headers],[31]],FDR[31],"",0,1)</f>
        <v>1</v>
      </c>
      <c r="AR599" cm="1">
        <f t="array" ref="AR599">_xlfn.XLOOKUP(Matrix[[#This Row],[TEAM]]&amp;Matrix[[#Headers],[32]],FDR[FDR]&amp;FDR[[#Headers],[32]],FDR[32],"",0,1)</f>
        <v>3</v>
      </c>
      <c r="AS599" cm="1">
        <f t="array" ref="AS599">_xlfn.XLOOKUP(Matrix[[#This Row],[TEAM]]&amp;Matrix[[#Headers],[33]],FDR[FDR]&amp;FDR[[#Headers],[33]],FDR[33],"",0,1)</f>
        <v>1</v>
      </c>
      <c r="AT599" cm="1">
        <f t="array" ref="AT599">_xlfn.XLOOKUP(Matrix[[#This Row],[TEAM]]&amp;Matrix[[#Headers],[34]],FDR[FDR]&amp;FDR[[#Headers],[34]],FDR[34],"",0,1)</f>
        <v>3</v>
      </c>
      <c r="AU599" cm="1">
        <f t="array" ref="AU599">_xlfn.XLOOKUP(Matrix[[#This Row],[TEAM]]&amp;Matrix[[#Headers],[35]],FDR[FDR]&amp;FDR[[#Headers],[35]],FDR[35],"",0,1)</f>
        <v>3</v>
      </c>
      <c r="AV599" cm="1">
        <f t="array" ref="AV599">_xlfn.XLOOKUP(Matrix[[#This Row],[TEAM]]&amp;Matrix[[#Headers],[36]],FDR[FDR]&amp;FDR[[#Headers],[36]],FDR[36],"",0,1)</f>
        <v>1</v>
      </c>
      <c r="AW599" cm="1">
        <f t="array" ref="AW599">_xlfn.XLOOKUP(Matrix[[#This Row],[TEAM]]&amp;Matrix[[#Headers],[37]],FDR[FDR]&amp;FDR[[#Headers],[37]],FDR[37],"",0,1)</f>
        <v>3</v>
      </c>
      <c r="AX599" cm="1">
        <f t="array" ref="AX599">_xlfn.XLOOKUP(Matrix[[#This Row],[TEAM]]&amp;Matrix[[#Headers],[38]],FDR[FDR]&amp;FDR[[#Headers],[38]],FDR[38],"",0,1)</f>
        <v>4</v>
      </c>
    </row>
    <row r="600" spans="1:50" ht="22" thickTop="1" thickBot="1">
      <c r="A600" s="50" t="str">
        <f>INDEX!S$4</f>
        <v>MID</v>
      </c>
      <c r="B600" s="70" t="s">
        <v>1565</v>
      </c>
      <c r="C600" s="40" t="s">
        <v>18</v>
      </c>
      <c r="D600" s="62">
        <v>26</v>
      </c>
      <c r="E600" s="60">
        <v>1E-3</v>
      </c>
      <c r="F600" s="61">
        <v>24.4</v>
      </c>
      <c r="G600" s="63">
        <v>4.9000000000000004</v>
      </c>
      <c r="H600" s="261">
        <f>IF(ISBLANK(I600),0,1)</f>
        <v>1</v>
      </c>
      <c r="I600" s="57" t="s">
        <v>1050</v>
      </c>
      <c r="J600" s="58" t="s">
        <v>1981</v>
      </c>
      <c r="K600" s="59" t="s">
        <v>841</v>
      </c>
      <c r="L600" s="59" t="s">
        <v>842</v>
      </c>
      <c r="M600" cm="1">
        <f t="array" ref="M600">_xlfn.XLOOKUP(Matrix[[#This Row],[TEAM]]&amp;Matrix[[#Headers],[1]],FDR[FDR]&amp;FDR[[#Headers],[1]],FDR[1],"",0,1)</f>
        <v>1</v>
      </c>
      <c r="N600" cm="1">
        <f t="array" ref="N600">_xlfn.XLOOKUP(Matrix[[#This Row],[TEAM]]&amp;Matrix[[#Headers],[2]],FDR[FDR]&amp;FDR[[#Headers],[2]],FDR[2],"",0,1)</f>
        <v>2</v>
      </c>
      <c r="O600" cm="1">
        <f t="array" ref="O600">_xlfn.XLOOKUP(Matrix[[#This Row],[TEAM]]&amp;Matrix[[#Headers],[3]],FDR[FDR]&amp;FDR[[#Headers],[3]],FDR[3],"",0,1)</f>
        <v>1</v>
      </c>
      <c r="P600" cm="1">
        <f t="array" ref="P600">_xlfn.XLOOKUP(Matrix[[#This Row],[TEAM]]&amp;Matrix[[#Headers],[4]],FDR[FDR]&amp;FDR[[#Headers],[4]],FDR[4],"",0,1)</f>
        <v>2</v>
      </c>
      <c r="Q600" cm="1">
        <f t="array" ref="Q600">_xlfn.XLOOKUP(Matrix[[#This Row],[TEAM]]&amp;Matrix[[#Headers],[5]],FDR[FDR]&amp;FDR[[#Headers],[5]],FDR[5],"",0,1)</f>
        <v>3</v>
      </c>
      <c r="R600" cm="1">
        <f t="array" ref="R600">_xlfn.XLOOKUP(Matrix[[#This Row],[TEAM]]&amp;Matrix[[#Headers],[6]],FDR[FDR]&amp;FDR[[#Headers],[6]],FDR[6],"",0,1)</f>
        <v>1</v>
      </c>
      <c r="S600" cm="1">
        <f t="array" ref="S600">_xlfn.XLOOKUP(Matrix[[#This Row],[TEAM]]&amp;Matrix[[#Headers],[7]],FDR[FDR]&amp;FDR[[#Headers],[7]],FDR[7],"",0,1)</f>
        <v>3</v>
      </c>
      <c r="T600" cm="1">
        <f t="array" ref="T600">_xlfn.XLOOKUP(Matrix[[#This Row],[TEAM]]&amp;Matrix[[#Headers],[8]],FDR[FDR]&amp;FDR[[#Headers],[8]],FDR[8],"",0,1)</f>
        <v>2</v>
      </c>
      <c r="U600" cm="1">
        <f t="array" ref="U600">_xlfn.XLOOKUP(Matrix[[#This Row],[TEAM]]&amp;Matrix[[#Headers],[9]],FDR[FDR]&amp;FDR[[#Headers],[9]],FDR[9],"",0,1)</f>
        <v>1</v>
      </c>
      <c r="V600" cm="1">
        <f t="array" ref="V600">_xlfn.XLOOKUP(Matrix[[#This Row],[TEAM]]&amp;Matrix[[#Headers],[10]],FDR[FDR]&amp;FDR[[#Headers],[10]],FDR[10],"",0,1)</f>
        <v>3</v>
      </c>
      <c r="W600" cm="1">
        <f t="array" ref="W600">_xlfn.XLOOKUP(Matrix[[#This Row],[TEAM]]&amp;Matrix[[#Headers],[11]],FDR[FDR]&amp;FDR[[#Headers],[11]],FDR[11],"",0,1)</f>
        <v>1</v>
      </c>
      <c r="X600" cm="1">
        <f t="array" ref="X600">_xlfn.XLOOKUP(Matrix[[#This Row],[TEAM]]&amp;Matrix[[#Headers],[12]],FDR[FDR]&amp;FDR[[#Headers],[12]],FDR[12],"",0,1)</f>
        <v>1</v>
      </c>
      <c r="Y600" cm="1">
        <f t="array" ref="Y600">_xlfn.XLOOKUP(Matrix[[#This Row],[TEAM]]&amp;Matrix[[#Headers],[13]],FDR[FDR]&amp;FDR[[#Headers],[13]],FDR[13],"",0,1)</f>
        <v>3</v>
      </c>
      <c r="Z600" cm="1">
        <f t="array" ref="Z600">_xlfn.XLOOKUP(Matrix[[#This Row],[TEAM]]&amp;Matrix[[#Headers],[14]],FDR[FDR]&amp;FDR[[#Headers],[14]],FDR[14],"",0,1)</f>
        <v>1</v>
      </c>
      <c r="AA600" cm="1">
        <f t="array" ref="AA600">_xlfn.XLOOKUP(Matrix[[#This Row],[TEAM]]&amp;Matrix[[#Headers],[15]],FDR[FDR]&amp;FDR[[#Headers],[15]],FDR[15],"",0,1)</f>
        <v>2</v>
      </c>
      <c r="AB600" cm="1">
        <f t="array" ref="AB600">_xlfn.XLOOKUP(Matrix[[#This Row],[TEAM]]&amp;Matrix[[#Headers],[16]],FDR[FDR]&amp;FDR[[#Headers],[16]],FDR[16],"",0,1)</f>
        <v>1</v>
      </c>
      <c r="AC600" cm="1">
        <f t="array" ref="AC600">_xlfn.XLOOKUP(Matrix[[#This Row],[TEAM]]&amp;Matrix[[#Headers],[17]],FDR[FDR]&amp;FDR[[#Headers],[17]],FDR[17],"",0,1)</f>
        <v>3</v>
      </c>
      <c r="AD600" cm="1">
        <f t="array" ref="AD600">_xlfn.XLOOKUP(Matrix[[#This Row],[TEAM]]&amp;Matrix[[#Headers],[18]],FDR[FDR]&amp;FDR[[#Headers],[18]],FDR[18],"",0,1)</f>
        <v>2</v>
      </c>
      <c r="AE600" cm="1">
        <f t="array" ref="AE600">_xlfn.XLOOKUP(Matrix[[#This Row],[TEAM]]&amp;Matrix[[#Headers],[19]],FDR[FDR]&amp;FDR[[#Headers],[19]],FDR[19],"",0,1)</f>
        <v>1</v>
      </c>
      <c r="AF600" cm="1">
        <f t="array" ref="AF600">_xlfn.XLOOKUP(Matrix[[#This Row],[TEAM]]&amp;Matrix[[#Headers],[20]],FDR[FDR]&amp;FDR[[#Headers],[20]],FDR[20],"",0,1)</f>
        <v>4</v>
      </c>
      <c r="AG600" cm="1">
        <f t="array" ref="AG600">_xlfn.XLOOKUP(Matrix[[#This Row],[TEAM]]&amp;Matrix[[#Headers],[21]],FDR[FDR]&amp;FDR[[#Headers],[21]],FDR[21],"",0,1)</f>
        <v>2</v>
      </c>
      <c r="AH600" cm="1">
        <f t="array" ref="AH600">_xlfn.XLOOKUP(Matrix[[#This Row],[TEAM]]&amp;Matrix[[#Headers],[22]],FDR[FDR]&amp;FDR[[#Headers],[22]],FDR[22],"",0,1)</f>
        <v>1</v>
      </c>
      <c r="AI600" cm="1">
        <f t="array" ref="AI600">_xlfn.XLOOKUP(Matrix[[#This Row],[TEAM]]&amp;Matrix[[#Headers],[23]],FDR[FDR]&amp;FDR[[#Headers],[23]],FDR[23],"",0,1)</f>
        <v>2</v>
      </c>
      <c r="AJ600" cm="1">
        <f t="array" ref="AJ600">_xlfn.XLOOKUP(Matrix[[#This Row],[TEAM]]&amp;Matrix[[#Headers],[24]],FDR[FDR]&amp;FDR[[#Headers],[24]],FDR[24],"",0,1)</f>
        <v>1</v>
      </c>
      <c r="AK600" cm="1">
        <f t="array" ref="AK600">_xlfn.XLOOKUP(Matrix[[#This Row],[TEAM]]&amp;Matrix[[#Headers],[25]],FDR[FDR]&amp;FDR[[#Headers],[25]],FDR[25],"",0,1)</f>
        <v>1</v>
      </c>
      <c r="AL600" cm="1">
        <f t="array" ref="AL600">_xlfn.XLOOKUP(Matrix[[#This Row],[TEAM]]&amp;Matrix[[#Headers],[26]],FDR[FDR]&amp;FDR[[#Headers],[26]],FDR[26],"",0,1)</f>
        <v>1</v>
      </c>
      <c r="AM600" cm="1">
        <f t="array" ref="AM600">_xlfn.XLOOKUP(Matrix[[#This Row],[TEAM]]&amp;Matrix[[#Headers],[27]],FDR[FDR]&amp;FDR[[#Headers],[27]],FDR[27],"",0,1)</f>
        <v>1</v>
      </c>
      <c r="AN600" cm="1">
        <f t="array" ref="AN600">_xlfn.XLOOKUP(Matrix[[#This Row],[TEAM]]&amp;Matrix[[#Headers],[28]],FDR[FDR]&amp;FDR[[#Headers],[28]],FDR[28],"",0,1)</f>
        <v>4</v>
      </c>
      <c r="AO600" cm="1">
        <f t="array" ref="AO600">_xlfn.XLOOKUP(Matrix[[#This Row],[TEAM]]&amp;Matrix[[#Headers],[29]],FDR[FDR]&amp;FDR[[#Headers],[29]],FDR[29],"",0,1)</f>
        <v>3</v>
      </c>
      <c r="AP600" cm="1">
        <f t="array" ref="AP600">_xlfn.XLOOKUP(Matrix[[#This Row],[TEAM]]&amp;Matrix[[#Headers],[30]],FDR[FDR]&amp;FDR[[#Headers],[30]],FDR[30],"",0,1)</f>
        <v>2</v>
      </c>
      <c r="AQ600" cm="1">
        <f t="array" ref="AQ600">_xlfn.XLOOKUP(Matrix[[#This Row],[TEAM]]&amp;Matrix[[#Headers],[31]],FDR[FDR]&amp;FDR[[#Headers],[31]],FDR[31],"",0,1)</f>
        <v>2</v>
      </c>
      <c r="AR600" cm="1">
        <f t="array" ref="AR600">_xlfn.XLOOKUP(Matrix[[#This Row],[TEAM]]&amp;Matrix[[#Headers],[32]],FDR[FDR]&amp;FDR[[#Headers],[32]],FDR[32],"",0,1)</f>
        <v>3</v>
      </c>
      <c r="AS600" cm="1">
        <f t="array" ref="AS600">_xlfn.XLOOKUP(Matrix[[#This Row],[TEAM]]&amp;Matrix[[#Headers],[33]],FDR[FDR]&amp;FDR[[#Headers],[33]],FDR[33],"",0,1)</f>
        <v>2</v>
      </c>
      <c r="AT600" cm="1">
        <f t="array" ref="AT600">_xlfn.XLOOKUP(Matrix[[#This Row],[TEAM]]&amp;Matrix[[#Headers],[34]],FDR[FDR]&amp;FDR[[#Headers],[34]],FDR[34],"",0,1)</f>
        <v>2</v>
      </c>
      <c r="AU600" cm="1">
        <f t="array" ref="AU600">_xlfn.XLOOKUP(Matrix[[#This Row],[TEAM]]&amp;Matrix[[#Headers],[35]],FDR[FDR]&amp;FDR[[#Headers],[35]],FDR[35],"",0,1)</f>
        <v>1</v>
      </c>
      <c r="AV600" cm="1">
        <f t="array" ref="AV600">_xlfn.XLOOKUP(Matrix[[#This Row],[TEAM]]&amp;Matrix[[#Headers],[36]],FDR[FDR]&amp;FDR[[#Headers],[36]],FDR[36],"",0,1)</f>
        <v>4</v>
      </c>
      <c r="AW600" cm="1">
        <f t="array" ref="AW600">_xlfn.XLOOKUP(Matrix[[#This Row],[TEAM]]&amp;Matrix[[#Headers],[37]],FDR[FDR]&amp;FDR[[#Headers],[37]],FDR[37],"",0,1)</f>
        <v>2</v>
      </c>
      <c r="AX600" cm="1">
        <f t="array" ref="AX600">_xlfn.XLOOKUP(Matrix[[#This Row],[TEAM]]&amp;Matrix[[#Headers],[38]],FDR[FDR]&amp;FDR[[#Headers],[38]],FDR[38],"",0,1)</f>
        <v>1</v>
      </c>
    </row>
    <row r="601" spans="1:50" ht="22" thickTop="1" thickBot="1">
      <c r="A601" s="52" t="s">
        <v>658</v>
      </c>
      <c r="B601" s="70" t="s">
        <v>1614</v>
      </c>
      <c r="C601" s="40" t="s">
        <v>21</v>
      </c>
      <c r="D601" s="62">
        <v>45</v>
      </c>
      <c r="E601" s="60">
        <v>0.21099999999999999</v>
      </c>
      <c r="F601" s="61">
        <v>22.4</v>
      </c>
      <c r="G601" s="63">
        <v>4.5</v>
      </c>
      <c r="H601" s="261">
        <f>IF(ISBLANK(I601),0,1)</f>
        <v>1</v>
      </c>
      <c r="I601" s="57" t="s">
        <v>942</v>
      </c>
      <c r="J601" s="58">
        <v>0.75</v>
      </c>
      <c r="K601" s="66" t="s">
        <v>565</v>
      </c>
      <c r="L601" s="66" t="s">
        <v>94</v>
      </c>
      <c r="M601" cm="1">
        <f t="array" ref="M601">_xlfn.XLOOKUP(Matrix[[#This Row],[TEAM]]&amp;Matrix[[#Headers],[1]],FDR[FDR]&amp;FDR[[#Headers],[1]],FDR[1],"",0,1)</f>
        <v>4</v>
      </c>
      <c r="N601" cm="1">
        <f t="array" ref="N601">_xlfn.XLOOKUP(Matrix[[#This Row],[TEAM]]&amp;Matrix[[#Headers],[2]],FDR[FDR]&amp;FDR[[#Headers],[2]],FDR[2],"",0,1)</f>
        <v>4</v>
      </c>
      <c r="O601" cm="1">
        <f t="array" ref="O601">_xlfn.XLOOKUP(Matrix[[#This Row],[TEAM]]&amp;Matrix[[#Headers],[3]],FDR[FDR]&amp;FDR[[#Headers],[3]],FDR[3],"",0,1)</f>
        <v>2</v>
      </c>
      <c r="P601" cm="1">
        <f t="array" ref="P601">_xlfn.XLOOKUP(Matrix[[#This Row],[TEAM]]&amp;Matrix[[#Headers],[4]],FDR[FDR]&amp;FDR[[#Headers],[4]],FDR[4],"",0,1)</f>
        <v>4</v>
      </c>
      <c r="Q601" cm="1">
        <f t="array" ref="Q601">_xlfn.XLOOKUP(Matrix[[#This Row],[TEAM]]&amp;Matrix[[#Headers],[5]],FDR[FDR]&amp;FDR[[#Headers],[5]],FDR[5],"",0,1)</f>
        <v>4</v>
      </c>
      <c r="R601" cm="1">
        <f t="array" ref="R601">_xlfn.XLOOKUP(Matrix[[#This Row],[TEAM]]&amp;Matrix[[#Headers],[6]],FDR[FDR]&amp;FDR[[#Headers],[6]],FDR[6],"",0,1)</f>
        <v>4</v>
      </c>
      <c r="S601" cm="1">
        <f t="array" ref="S601">_xlfn.XLOOKUP(Matrix[[#This Row],[TEAM]]&amp;Matrix[[#Headers],[7]],FDR[FDR]&amp;FDR[[#Headers],[7]],FDR[7],"",0,1)</f>
        <v>4</v>
      </c>
      <c r="T601" cm="1">
        <f t="array" ref="T601">_xlfn.XLOOKUP(Matrix[[#This Row],[TEAM]]&amp;Matrix[[#Headers],[8]],FDR[FDR]&amp;FDR[[#Headers],[8]],FDR[8],"",0,1)</f>
        <v>4</v>
      </c>
      <c r="U601" cm="1">
        <f t="array" ref="U601">_xlfn.XLOOKUP(Matrix[[#This Row],[TEAM]]&amp;Matrix[[#Headers],[9]],FDR[FDR]&amp;FDR[[#Headers],[9]],FDR[9],"",0,1)</f>
        <v>4</v>
      </c>
      <c r="V601" cm="1">
        <f t="array" ref="V601">_xlfn.XLOOKUP(Matrix[[#This Row],[TEAM]]&amp;Matrix[[#Headers],[10]],FDR[FDR]&amp;FDR[[#Headers],[10]],FDR[10],"",0,1)</f>
        <v>4</v>
      </c>
      <c r="W601" cm="1">
        <f t="array" ref="W601">_xlfn.XLOOKUP(Matrix[[#This Row],[TEAM]]&amp;Matrix[[#Headers],[11]],FDR[FDR]&amp;FDR[[#Headers],[11]],FDR[11],"",0,1)</f>
        <v>4</v>
      </c>
      <c r="X601" cm="1">
        <f t="array" ref="X601">_xlfn.XLOOKUP(Matrix[[#This Row],[TEAM]]&amp;Matrix[[#Headers],[12]],FDR[FDR]&amp;FDR[[#Headers],[12]],FDR[12],"",0,1)</f>
        <v>4</v>
      </c>
      <c r="Y601" cm="1">
        <f t="array" ref="Y601">_xlfn.XLOOKUP(Matrix[[#This Row],[TEAM]]&amp;Matrix[[#Headers],[13]],FDR[FDR]&amp;FDR[[#Headers],[13]],FDR[13],"",0,1)</f>
        <v>1</v>
      </c>
      <c r="Z601" cm="1">
        <f t="array" ref="Z601">_xlfn.XLOOKUP(Matrix[[#This Row],[TEAM]]&amp;Matrix[[#Headers],[14]],FDR[FDR]&amp;FDR[[#Headers],[14]],FDR[14],"",0,1)</f>
        <v>5</v>
      </c>
      <c r="AA601" cm="1">
        <f t="array" ref="AA601">_xlfn.XLOOKUP(Matrix[[#This Row],[TEAM]]&amp;Matrix[[#Headers],[15]],FDR[FDR]&amp;FDR[[#Headers],[15]],FDR[15],"",0,1)</f>
        <v>5</v>
      </c>
      <c r="AB601" cm="1">
        <f t="array" ref="AB601">_xlfn.XLOOKUP(Matrix[[#This Row],[TEAM]]&amp;Matrix[[#Headers],[16]],FDR[FDR]&amp;FDR[[#Headers],[16]],FDR[16],"",0,1)</f>
        <v>1</v>
      </c>
      <c r="AC601" cm="1">
        <f t="array" ref="AC601">_xlfn.XLOOKUP(Matrix[[#This Row],[TEAM]]&amp;Matrix[[#Headers],[17]],FDR[FDR]&amp;FDR[[#Headers],[17]],FDR[17],"",0,1)</f>
        <v>2</v>
      </c>
      <c r="AD601" cm="1">
        <f t="array" ref="AD601">_xlfn.XLOOKUP(Matrix[[#This Row],[TEAM]]&amp;Matrix[[#Headers],[18]],FDR[FDR]&amp;FDR[[#Headers],[18]],FDR[18],"",0,1)</f>
        <v>3</v>
      </c>
      <c r="AE601" cm="1">
        <f t="array" ref="AE601">_xlfn.XLOOKUP(Matrix[[#This Row],[TEAM]]&amp;Matrix[[#Headers],[19]],FDR[FDR]&amp;FDR[[#Headers],[19]],FDR[19],"",0,1)</f>
        <v>4</v>
      </c>
      <c r="AF601" cm="1">
        <f t="array" ref="AF601">_xlfn.XLOOKUP(Matrix[[#This Row],[TEAM]]&amp;Matrix[[#Headers],[20]],FDR[FDR]&amp;FDR[[#Headers],[20]],FDR[20],"",0,1)</f>
        <v>4</v>
      </c>
      <c r="AG601" cm="1">
        <f t="array" ref="AG601">_xlfn.XLOOKUP(Matrix[[#This Row],[TEAM]]&amp;Matrix[[#Headers],[21]],FDR[FDR]&amp;FDR[[#Headers],[21]],FDR[21],"",0,1)</f>
        <v>1</v>
      </c>
      <c r="AH601" cm="1">
        <f t="array" ref="AH601">_xlfn.XLOOKUP(Matrix[[#This Row],[TEAM]]&amp;Matrix[[#Headers],[22]],FDR[FDR]&amp;FDR[[#Headers],[22]],FDR[22],"",0,1)</f>
        <v>5</v>
      </c>
      <c r="AI601" cm="1">
        <f t="array" ref="AI601">_xlfn.XLOOKUP(Matrix[[#This Row],[TEAM]]&amp;Matrix[[#Headers],[23]],FDR[FDR]&amp;FDR[[#Headers],[23]],FDR[23],"",0,1)</f>
        <v>3</v>
      </c>
      <c r="AJ601" cm="1">
        <f t="array" ref="AJ601">_xlfn.XLOOKUP(Matrix[[#This Row],[TEAM]]&amp;Matrix[[#Headers],[24]],FDR[FDR]&amp;FDR[[#Headers],[24]],FDR[24],"",0,1)</f>
        <v>5</v>
      </c>
      <c r="AK601" cm="1">
        <f t="array" ref="AK601">_xlfn.XLOOKUP(Matrix[[#This Row],[TEAM]]&amp;Matrix[[#Headers],[25]],FDR[FDR]&amp;FDR[[#Headers],[25]],FDR[25],"",0,1)</f>
        <v>5</v>
      </c>
      <c r="AL601" cm="1">
        <f t="array" ref="AL601">_xlfn.XLOOKUP(Matrix[[#This Row],[TEAM]]&amp;Matrix[[#Headers],[26]],FDR[FDR]&amp;FDR[[#Headers],[26]],FDR[26],"",0,1)</f>
        <v>4</v>
      </c>
      <c r="AM601" cm="1">
        <f t="array" ref="AM601">_xlfn.XLOOKUP(Matrix[[#This Row],[TEAM]]&amp;Matrix[[#Headers],[27]],FDR[FDR]&amp;FDR[[#Headers],[27]],FDR[27],"",0,1)</f>
        <v>3</v>
      </c>
      <c r="AN601" cm="1">
        <f t="array" ref="AN601">_xlfn.XLOOKUP(Matrix[[#This Row],[TEAM]]&amp;Matrix[[#Headers],[28]],FDR[FDR]&amp;FDR[[#Headers],[28]],FDR[28],"",0,1)</f>
        <v>2</v>
      </c>
      <c r="AO601" cm="1">
        <f t="array" ref="AO601">_xlfn.XLOOKUP(Matrix[[#This Row],[TEAM]]&amp;Matrix[[#Headers],[29]],FDR[FDR]&amp;FDR[[#Headers],[29]],FDR[29],"",0,1)</f>
        <v>4</v>
      </c>
      <c r="AP601" cm="1">
        <f t="array" ref="AP601">_xlfn.XLOOKUP(Matrix[[#This Row],[TEAM]]&amp;Matrix[[#Headers],[30]],FDR[FDR]&amp;FDR[[#Headers],[30]],FDR[30],"",0,1)</f>
        <v>2</v>
      </c>
      <c r="AQ601" cm="1">
        <f t="array" ref="AQ601">_xlfn.XLOOKUP(Matrix[[#This Row],[TEAM]]&amp;Matrix[[#Headers],[31]],FDR[FDR]&amp;FDR[[#Headers],[31]],FDR[31],"",0,1)</f>
        <v>2</v>
      </c>
      <c r="AR601" cm="1">
        <f t="array" ref="AR601">_xlfn.XLOOKUP(Matrix[[#This Row],[TEAM]]&amp;Matrix[[#Headers],[32]],FDR[FDR]&amp;FDR[[#Headers],[32]],FDR[32],"",0,1)</f>
        <v>3</v>
      </c>
      <c r="AS601" cm="1">
        <f t="array" ref="AS601">_xlfn.XLOOKUP(Matrix[[#This Row],[TEAM]]&amp;Matrix[[#Headers],[33]],FDR[FDR]&amp;FDR[[#Headers],[33]],FDR[33],"",0,1)</f>
        <v>3</v>
      </c>
      <c r="AT601" cm="1">
        <f t="array" ref="AT601">_xlfn.XLOOKUP(Matrix[[#This Row],[TEAM]]&amp;Matrix[[#Headers],[34]],FDR[FDR]&amp;FDR[[#Headers],[34]],FDR[34],"",0,1)</f>
        <v>5</v>
      </c>
      <c r="AU601" cm="1">
        <f t="array" ref="AU601">_xlfn.XLOOKUP(Matrix[[#This Row],[TEAM]]&amp;Matrix[[#Headers],[35]],FDR[FDR]&amp;FDR[[#Headers],[35]],FDR[35],"",0,1)</f>
        <v>3</v>
      </c>
      <c r="AV601" cm="1">
        <f t="array" ref="AV601">_xlfn.XLOOKUP(Matrix[[#This Row],[TEAM]]&amp;Matrix[[#Headers],[36]],FDR[FDR]&amp;FDR[[#Headers],[36]],FDR[36],"",0,1)</f>
        <v>5</v>
      </c>
      <c r="AW601" cm="1">
        <f t="array" ref="AW601">_xlfn.XLOOKUP(Matrix[[#This Row],[TEAM]]&amp;Matrix[[#Headers],[37]],FDR[FDR]&amp;FDR[[#Headers],[37]],FDR[37],"",0,1)</f>
        <v>3</v>
      </c>
      <c r="AX601" cm="1">
        <f t="array" ref="AX601">_xlfn.XLOOKUP(Matrix[[#This Row],[TEAM]]&amp;Matrix[[#Headers],[38]],FDR[FDR]&amp;FDR[[#Headers],[38]],FDR[38],"",0,1)</f>
        <v>5</v>
      </c>
    </row>
    <row r="602" spans="1:50" ht="22" thickTop="1" thickBot="1">
      <c r="A602" s="51" t="s">
        <v>657</v>
      </c>
      <c r="B602" s="70" t="s">
        <v>1678</v>
      </c>
      <c r="C602" s="40" t="s">
        <v>21</v>
      </c>
      <c r="D602" s="62">
        <v>47</v>
      </c>
      <c r="E602" s="60">
        <v>3.0000000000000001E-3</v>
      </c>
      <c r="F602" s="61">
        <v>83.6</v>
      </c>
      <c r="G602" s="63">
        <v>4.5</v>
      </c>
      <c r="H602" s="261">
        <f>IF(ISBLANK(I602),0,1)</f>
        <v>1</v>
      </c>
      <c r="I602" s="57" t="s">
        <v>1050</v>
      </c>
      <c r="J602" s="58">
        <v>0.75</v>
      </c>
      <c r="K602" s="65" t="s">
        <v>409</v>
      </c>
      <c r="L602" s="65" t="s">
        <v>122</v>
      </c>
      <c r="M602" cm="1">
        <f t="array" ref="M602">_xlfn.XLOOKUP(Matrix[[#This Row],[TEAM]]&amp;Matrix[[#Headers],[1]],FDR[FDR]&amp;FDR[[#Headers],[1]],FDR[1],"",0,1)</f>
        <v>4</v>
      </c>
      <c r="N602" cm="1">
        <f t="array" ref="N602">_xlfn.XLOOKUP(Matrix[[#This Row],[TEAM]]&amp;Matrix[[#Headers],[2]],FDR[FDR]&amp;FDR[[#Headers],[2]],FDR[2],"",0,1)</f>
        <v>4</v>
      </c>
      <c r="O602" cm="1">
        <f t="array" ref="O602">_xlfn.XLOOKUP(Matrix[[#This Row],[TEAM]]&amp;Matrix[[#Headers],[3]],FDR[FDR]&amp;FDR[[#Headers],[3]],FDR[3],"",0,1)</f>
        <v>2</v>
      </c>
      <c r="P602" cm="1">
        <f t="array" ref="P602">_xlfn.XLOOKUP(Matrix[[#This Row],[TEAM]]&amp;Matrix[[#Headers],[4]],FDR[FDR]&amp;FDR[[#Headers],[4]],FDR[4],"",0,1)</f>
        <v>4</v>
      </c>
      <c r="Q602" cm="1">
        <f t="array" ref="Q602">_xlfn.XLOOKUP(Matrix[[#This Row],[TEAM]]&amp;Matrix[[#Headers],[5]],FDR[FDR]&amp;FDR[[#Headers],[5]],FDR[5],"",0,1)</f>
        <v>4</v>
      </c>
      <c r="R602" cm="1">
        <f t="array" ref="R602">_xlfn.XLOOKUP(Matrix[[#This Row],[TEAM]]&amp;Matrix[[#Headers],[6]],FDR[FDR]&amp;FDR[[#Headers],[6]],FDR[6],"",0,1)</f>
        <v>4</v>
      </c>
      <c r="S602" cm="1">
        <f t="array" ref="S602">_xlfn.XLOOKUP(Matrix[[#This Row],[TEAM]]&amp;Matrix[[#Headers],[7]],FDR[FDR]&amp;FDR[[#Headers],[7]],FDR[7],"",0,1)</f>
        <v>4</v>
      </c>
      <c r="T602" cm="1">
        <f t="array" ref="T602">_xlfn.XLOOKUP(Matrix[[#This Row],[TEAM]]&amp;Matrix[[#Headers],[8]],FDR[FDR]&amp;FDR[[#Headers],[8]],FDR[8],"",0,1)</f>
        <v>4</v>
      </c>
      <c r="U602" cm="1">
        <f t="array" ref="U602">_xlfn.XLOOKUP(Matrix[[#This Row],[TEAM]]&amp;Matrix[[#Headers],[9]],FDR[FDR]&amp;FDR[[#Headers],[9]],FDR[9],"",0,1)</f>
        <v>4</v>
      </c>
      <c r="V602" cm="1">
        <f t="array" ref="V602">_xlfn.XLOOKUP(Matrix[[#This Row],[TEAM]]&amp;Matrix[[#Headers],[10]],FDR[FDR]&amp;FDR[[#Headers],[10]],FDR[10],"",0,1)</f>
        <v>4</v>
      </c>
      <c r="W602" cm="1">
        <f t="array" ref="W602">_xlfn.XLOOKUP(Matrix[[#This Row],[TEAM]]&amp;Matrix[[#Headers],[11]],FDR[FDR]&amp;FDR[[#Headers],[11]],FDR[11],"",0,1)</f>
        <v>4</v>
      </c>
      <c r="X602" cm="1">
        <f t="array" ref="X602">_xlfn.XLOOKUP(Matrix[[#This Row],[TEAM]]&amp;Matrix[[#Headers],[12]],FDR[FDR]&amp;FDR[[#Headers],[12]],FDR[12],"",0,1)</f>
        <v>4</v>
      </c>
      <c r="Y602" cm="1">
        <f t="array" ref="Y602">_xlfn.XLOOKUP(Matrix[[#This Row],[TEAM]]&amp;Matrix[[#Headers],[13]],FDR[FDR]&amp;FDR[[#Headers],[13]],FDR[13],"",0,1)</f>
        <v>1</v>
      </c>
      <c r="Z602" cm="1">
        <f t="array" ref="Z602">_xlfn.XLOOKUP(Matrix[[#This Row],[TEAM]]&amp;Matrix[[#Headers],[14]],FDR[FDR]&amp;FDR[[#Headers],[14]],FDR[14],"",0,1)</f>
        <v>5</v>
      </c>
      <c r="AA602" cm="1">
        <f t="array" ref="AA602">_xlfn.XLOOKUP(Matrix[[#This Row],[TEAM]]&amp;Matrix[[#Headers],[15]],FDR[FDR]&amp;FDR[[#Headers],[15]],FDR[15],"",0,1)</f>
        <v>5</v>
      </c>
      <c r="AB602" cm="1">
        <f t="array" ref="AB602">_xlfn.XLOOKUP(Matrix[[#This Row],[TEAM]]&amp;Matrix[[#Headers],[16]],FDR[FDR]&amp;FDR[[#Headers],[16]],FDR[16],"",0,1)</f>
        <v>1</v>
      </c>
      <c r="AC602" cm="1">
        <f t="array" ref="AC602">_xlfn.XLOOKUP(Matrix[[#This Row],[TEAM]]&amp;Matrix[[#Headers],[17]],FDR[FDR]&amp;FDR[[#Headers],[17]],FDR[17],"",0,1)</f>
        <v>2</v>
      </c>
      <c r="AD602" cm="1">
        <f t="array" ref="AD602">_xlfn.XLOOKUP(Matrix[[#This Row],[TEAM]]&amp;Matrix[[#Headers],[18]],FDR[FDR]&amp;FDR[[#Headers],[18]],FDR[18],"",0,1)</f>
        <v>3</v>
      </c>
      <c r="AE602" cm="1">
        <f t="array" ref="AE602">_xlfn.XLOOKUP(Matrix[[#This Row],[TEAM]]&amp;Matrix[[#Headers],[19]],FDR[FDR]&amp;FDR[[#Headers],[19]],FDR[19],"",0,1)</f>
        <v>4</v>
      </c>
      <c r="AF602" cm="1">
        <f t="array" ref="AF602">_xlfn.XLOOKUP(Matrix[[#This Row],[TEAM]]&amp;Matrix[[#Headers],[20]],FDR[FDR]&amp;FDR[[#Headers],[20]],FDR[20],"",0,1)</f>
        <v>4</v>
      </c>
      <c r="AG602" cm="1">
        <f t="array" ref="AG602">_xlfn.XLOOKUP(Matrix[[#This Row],[TEAM]]&amp;Matrix[[#Headers],[21]],FDR[FDR]&amp;FDR[[#Headers],[21]],FDR[21],"",0,1)</f>
        <v>1</v>
      </c>
      <c r="AH602" cm="1">
        <f t="array" ref="AH602">_xlfn.XLOOKUP(Matrix[[#This Row],[TEAM]]&amp;Matrix[[#Headers],[22]],FDR[FDR]&amp;FDR[[#Headers],[22]],FDR[22],"",0,1)</f>
        <v>5</v>
      </c>
      <c r="AI602" cm="1">
        <f t="array" ref="AI602">_xlfn.XLOOKUP(Matrix[[#This Row],[TEAM]]&amp;Matrix[[#Headers],[23]],FDR[FDR]&amp;FDR[[#Headers],[23]],FDR[23],"",0,1)</f>
        <v>3</v>
      </c>
      <c r="AJ602" cm="1">
        <f t="array" ref="AJ602">_xlfn.XLOOKUP(Matrix[[#This Row],[TEAM]]&amp;Matrix[[#Headers],[24]],FDR[FDR]&amp;FDR[[#Headers],[24]],FDR[24],"",0,1)</f>
        <v>5</v>
      </c>
      <c r="AK602" cm="1">
        <f t="array" ref="AK602">_xlfn.XLOOKUP(Matrix[[#This Row],[TEAM]]&amp;Matrix[[#Headers],[25]],FDR[FDR]&amp;FDR[[#Headers],[25]],FDR[25],"",0,1)</f>
        <v>5</v>
      </c>
      <c r="AL602" cm="1">
        <f t="array" ref="AL602">_xlfn.XLOOKUP(Matrix[[#This Row],[TEAM]]&amp;Matrix[[#Headers],[26]],FDR[FDR]&amp;FDR[[#Headers],[26]],FDR[26],"",0,1)</f>
        <v>4</v>
      </c>
      <c r="AM602" cm="1">
        <f t="array" ref="AM602">_xlfn.XLOOKUP(Matrix[[#This Row],[TEAM]]&amp;Matrix[[#Headers],[27]],FDR[FDR]&amp;FDR[[#Headers],[27]],FDR[27],"",0,1)</f>
        <v>3</v>
      </c>
      <c r="AN602" cm="1">
        <f t="array" ref="AN602">_xlfn.XLOOKUP(Matrix[[#This Row],[TEAM]]&amp;Matrix[[#Headers],[28]],FDR[FDR]&amp;FDR[[#Headers],[28]],FDR[28],"",0,1)</f>
        <v>2</v>
      </c>
      <c r="AO602" cm="1">
        <f t="array" ref="AO602">_xlfn.XLOOKUP(Matrix[[#This Row],[TEAM]]&amp;Matrix[[#Headers],[29]],FDR[FDR]&amp;FDR[[#Headers],[29]],FDR[29],"",0,1)</f>
        <v>4</v>
      </c>
      <c r="AP602" cm="1">
        <f t="array" ref="AP602">_xlfn.XLOOKUP(Matrix[[#This Row],[TEAM]]&amp;Matrix[[#Headers],[30]],FDR[FDR]&amp;FDR[[#Headers],[30]],FDR[30],"",0,1)</f>
        <v>2</v>
      </c>
      <c r="AQ602" cm="1">
        <f t="array" ref="AQ602">_xlfn.XLOOKUP(Matrix[[#This Row],[TEAM]]&amp;Matrix[[#Headers],[31]],FDR[FDR]&amp;FDR[[#Headers],[31]],FDR[31],"",0,1)</f>
        <v>2</v>
      </c>
      <c r="AR602" cm="1">
        <f t="array" ref="AR602">_xlfn.XLOOKUP(Matrix[[#This Row],[TEAM]]&amp;Matrix[[#Headers],[32]],FDR[FDR]&amp;FDR[[#Headers],[32]],FDR[32],"",0,1)</f>
        <v>3</v>
      </c>
      <c r="AS602" cm="1">
        <f t="array" ref="AS602">_xlfn.XLOOKUP(Matrix[[#This Row],[TEAM]]&amp;Matrix[[#Headers],[33]],FDR[FDR]&amp;FDR[[#Headers],[33]],FDR[33],"",0,1)</f>
        <v>3</v>
      </c>
      <c r="AT602" cm="1">
        <f t="array" ref="AT602">_xlfn.XLOOKUP(Matrix[[#This Row],[TEAM]]&amp;Matrix[[#Headers],[34]],FDR[FDR]&amp;FDR[[#Headers],[34]],FDR[34],"",0,1)</f>
        <v>5</v>
      </c>
      <c r="AU602" cm="1">
        <f t="array" ref="AU602">_xlfn.XLOOKUP(Matrix[[#This Row],[TEAM]]&amp;Matrix[[#Headers],[35]],FDR[FDR]&amp;FDR[[#Headers],[35]],FDR[35],"",0,1)</f>
        <v>3</v>
      </c>
      <c r="AV602" cm="1">
        <f t="array" ref="AV602">_xlfn.XLOOKUP(Matrix[[#This Row],[TEAM]]&amp;Matrix[[#Headers],[36]],FDR[FDR]&amp;FDR[[#Headers],[36]],FDR[36],"",0,1)</f>
        <v>5</v>
      </c>
      <c r="AW602" cm="1">
        <f t="array" ref="AW602">_xlfn.XLOOKUP(Matrix[[#This Row],[TEAM]]&amp;Matrix[[#Headers],[37]],FDR[FDR]&amp;FDR[[#Headers],[37]],FDR[37],"",0,1)</f>
        <v>3</v>
      </c>
      <c r="AX602" cm="1">
        <f t="array" ref="AX602">_xlfn.XLOOKUP(Matrix[[#This Row],[TEAM]]&amp;Matrix[[#Headers],[38]],FDR[FDR]&amp;FDR[[#Headers],[38]],FDR[38],"",0,1)</f>
        <v>5</v>
      </c>
    </row>
    <row r="603" spans="1:50" ht="22" thickTop="1" thickBot="1">
      <c r="A603" s="51" t="s">
        <v>657</v>
      </c>
      <c r="B603" s="70" t="s">
        <v>1736</v>
      </c>
      <c r="C603" s="40" t="s">
        <v>18</v>
      </c>
      <c r="D603" s="62">
        <v>40</v>
      </c>
      <c r="E603" s="60">
        <v>1E-3</v>
      </c>
      <c r="F603" s="61">
        <v>7.9</v>
      </c>
      <c r="G603" s="63">
        <v>4.5</v>
      </c>
      <c r="H603" s="261">
        <f>IF(ISBLANK(I603),0,1)</f>
        <v>1</v>
      </c>
      <c r="I603" s="57" t="s">
        <v>942</v>
      </c>
      <c r="J603" s="58" t="s">
        <v>1981</v>
      </c>
      <c r="K603" s="65" t="s">
        <v>518</v>
      </c>
      <c r="L603" s="65" t="s">
        <v>296</v>
      </c>
      <c r="M603" cm="1">
        <f t="array" ref="M603">_xlfn.XLOOKUP(Matrix[[#This Row],[TEAM]]&amp;Matrix[[#Headers],[1]],FDR[FDR]&amp;FDR[[#Headers],[1]],FDR[1],"",0,1)</f>
        <v>1</v>
      </c>
      <c r="N603" cm="1">
        <f t="array" ref="N603">_xlfn.XLOOKUP(Matrix[[#This Row],[TEAM]]&amp;Matrix[[#Headers],[2]],FDR[FDR]&amp;FDR[[#Headers],[2]],FDR[2],"",0,1)</f>
        <v>2</v>
      </c>
      <c r="O603" cm="1">
        <f t="array" ref="O603">_xlfn.XLOOKUP(Matrix[[#This Row],[TEAM]]&amp;Matrix[[#Headers],[3]],FDR[FDR]&amp;FDR[[#Headers],[3]],FDR[3],"",0,1)</f>
        <v>1</v>
      </c>
      <c r="P603" cm="1">
        <f t="array" ref="P603">_xlfn.XLOOKUP(Matrix[[#This Row],[TEAM]]&amp;Matrix[[#Headers],[4]],FDR[FDR]&amp;FDR[[#Headers],[4]],FDR[4],"",0,1)</f>
        <v>2</v>
      </c>
      <c r="Q603" cm="1">
        <f t="array" ref="Q603">_xlfn.XLOOKUP(Matrix[[#This Row],[TEAM]]&amp;Matrix[[#Headers],[5]],FDR[FDR]&amp;FDR[[#Headers],[5]],FDR[5],"",0,1)</f>
        <v>3</v>
      </c>
      <c r="R603" cm="1">
        <f t="array" ref="R603">_xlfn.XLOOKUP(Matrix[[#This Row],[TEAM]]&amp;Matrix[[#Headers],[6]],FDR[FDR]&amp;FDR[[#Headers],[6]],FDR[6],"",0,1)</f>
        <v>1</v>
      </c>
      <c r="S603" cm="1">
        <f t="array" ref="S603">_xlfn.XLOOKUP(Matrix[[#This Row],[TEAM]]&amp;Matrix[[#Headers],[7]],FDR[FDR]&amp;FDR[[#Headers],[7]],FDR[7],"",0,1)</f>
        <v>3</v>
      </c>
      <c r="T603" cm="1">
        <f t="array" ref="T603">_xlfn.XLOOKUP(Matrix[[#This Row],[TEAM]]&amp;Matrix[[#Headers],[8]],FDR[FDR]&amp;FDR[[#Headers],[8]],FDR[8],"",0,1)</f>
        <v>2</v>
      </c>
      <c r="U603" cm="1">
        <f t="array" ref="U603">_xlfn.XLOOKUP(Matrix[[#This Row],[TEAM]]&amp;Matrix[[#Headers],[9]],FDR[FDR]&amp;FDR[[#Headers],[9]],FDR[9],"",0,1)</f>
        <v>1</v>
      </c>
      <c r="V603" cm="1">
        <f t="array" ref="V603">_xlfn.XLOOKUP(Matrix[[#This Row],[TEAM]]&amp;Matrix[[#Headers],[10]],FDR[FDR]&amp;FDR[[#Headers],[10]],FDR[10],"",0,1)</f>
        <v>3</v>
      </c>
      <c r="W603" cm="1">
        <f t="array" ref="W603">_xlfn.XLOOKUP(Matrix[[#This Row],[TEAM]]&amp;Matrix[[#Headers],[11]],FDR[FDR]&amp;FDR[[#Headers],[11]],FDR[11],"",0,1)</f>
        <v>1</v>
      </c>
      <c r="X603" cm="1">
        <f t="array" ref="X603">_xlfn.XLOOKUP(Matrix[[#This Row],[TEAM]]&amp;Matrix[[#Headers],[12]],FDR[FDR]&amp;FDR[[#Headers],[12]],FDR[12],"",0,1)</f>
        <v>1</v>
      </c>
      <c r="Y603" cm="1">
        <f t="array" ref="Y603">_xlfn.XLOOKUP(Matrix[[#This Row],[TEAM]]&amp;Matrix[[#Headers],[13]],FDR[FDR]&amp;FDR[[#Headers],[13]],FDR[13],"",0,1)</f>
        <v>3</v>
      </c>
      <c r="Z603" cm="1">
        <f t="array" ref="Z603">_xlfn.XLOOKUP(Matrix[[#This Row],[TEAM]]&amp;Matrix[[#Headers],[14]],FDR[FDR]&amp;FDR[[#Headers],[14]],FDR[14],"",0,1)</f>
        <v>1</v>
      </c>
      <c r="AA603" cm="1">
        <f t="array" ref="AA603">_xlfn.XLOOKUP(Matrix[[#This Row],[TEAM]]&amp;Matrix[[#Headers],[15]],FDR[FDR]&amp;FDR[[#Headers],[15]],FDR[15],"",0,1)</f>
        <v>2</v>
      </c>
      <c r="AB603" cm="1">
        <f t="array" ref="AB603">_xlfn.XLOOKUP(Matrix[[#This Row],[TEAM]]&amp;Matrix[[#Headers],[16]],FDR[FDR]&amp;FDR[[#Headers],[16]],FDR[16],"",0,1)</f>
        <v>1</v>
      </c>
      <c r="AC603" cm="1">
        <f t="array" ref="AC603">_xlfn.XLOOKUP(Matrix[[#This Row],[TEAM]]&amp;Matrix[[#Headers],[17]],FDR[FDR]&amp;FDR[[#Headers],[17]],FDR[17],"",0,1)</f>
        <v>3</v>
      </c>
      <c r="AD603" cm="1">
        <f t="array" ref="AD603">_xlfn.XLOOKUP(Matrix[[#This Row],[TEAM]]&amp;Matrix[[#Headers],[18]],FDR[FDR]&amp;FDR[[#Headers],[18]],FDR[18],"",0,1)</f>
        <v>2</v>
      </c>
      <c r="AE603" cm="1">
        <f t="array" ref="AE603">_xlfn.XLOOKUP(Matrix[[#This Row],[TEAM]]&amp;Matrix[[#Headers],[19]],FDR[FDR]&amp;FDR[[#Headers],[19]],FDR[19],"",0,1)</f>
        <v>1</v>
      </c>
      <c r="AF603" cm="1">
        <f t="array" ref="AF603">_xlfn.XLOOKUP(Matrix[[#This Row],[TEAM]]&amp;Matrix[[#Headers],[20]],FDR[FDR]&amp;FDR[[#Headers],[20]],FDR[20],"",0,1)</f>
        <v>4</v>
      </c>
      <c r="AG603" cm="1">
        <f t="array" ref="AG603">_xlfn.XLOOKUP(Matrix[[#This Row],[TEAM]]&amp;Matrix[[#Headers],[21]],FDR[FDR]&amp;FDR[[#Headers],[21]],FDR[21],"",0,1)</f>
        <v>2</v>
      </c>
      <c r="AH603" cm="1">
        <f t="array" ref="AH603">_xlfn.XLOOKUP(Matrix[[#This Row],[TEAM]]&amp;Matrix[[#Headers],[22]],FDR[FDR]&amp;FDR[[#Headers],[22]],FDR[22],"",0,1)</f>
        <v>1</v>
      </c>
      <c r="AI603" cm="1">
        <f t="array" ref="AI603">_xlfn.XLOOKUP(Matrix[[#This Row],[TEAM]]&amp;Matrix[[#Headers],[23]],FDR[FDR]&amp;FDR[[#Headers],[23]],FDR[23],"",0,1)</f>
        <v>2</v>
      </c>
      <c r="AJ603" cm="1">
        <f t="array" ref="AJ603">_xlfn.XLOOKUP(Matrix[[#This Row],[TEAM]]&amp;Matrix[[#Headers],[24]],FDR[FDR]&amp;FDR[[#Headers],[24]],FDR[24],"",0,1)</f>
        <v>1</v>
      </c>
      <c r="AK603" cm="1">
        <f t="array" ref="AK603">_xlfn.XLOOKUP(Matrix[[#This Row],[TEAM]]&amp;Matrix[[#Headers],[25]],FDR[FDR]&amp;FDR[[#Headers],[25]],FDR[25],"",0,1)</f>
        <v>1</v>
      </c>
      <c r="AL603" cm="1">
        <f t="array" ref="AL603">_xlfn.XLOOKUP(Matrix[[#This Row],[TEAM]]&amp;Matrix[[#Headers],[26]],FDR[FDR]&amp;FDR[[#Headers],[26]],FDR[26],"",0,1)</f>
        <v>1</v>
      </c>
      <c r="AM603" cm="1">
        <f t="array" ref="AM603">_xlfn.XLOOKUP(Matrix[[#This Row],[TEAM]]&amp;Matrix[[#Headers],[27]],FDR[FDR]&amp;FDR[[#Headers],[27]],FDR[27],"",0,1)</f>
        <v>1</v>
      </c>
      <c r="AN603" cm="1">
        <f t="array" ref="AN603">_xlfn.XLOOKUP(Matrix[[#This Row],[TEAM]]&amp;Matrix[[#Headers],[28]],FDR[FDR]&amp;FDR[[#Headers],[28]],FDR[28],"",0,1)</f>
        <v>4</v>
      </c>
      <c r="AO603" cm="1">
        <f t="array" ref="AO603">_xlfn.XLOOKUP(Matrix[[#This Row],[TEAM]]&amp;Matrix[[#Headers],[29]],FDR[FDR]&amp;FDR[[#Headers],[29]],FDR[29],"",0,1)</f>
        <v>3</v>
      </c>
      <c r="AP603" cm="1">
        <f t="array" ref="AP603">_xlfn.XLOOKUP(Matrix[[#This Row],[TEAM]]&amp;Matrix[[#Headers],[30]],FDR[FDR]&amp;FDR[[#Headers],[30]],FDR[30],"",0,1)</f>
        <v>2</v>
      </c>
      <c r="AQ603" cm="1">
        <f t="array" ref="AQ603">_xlfn.XLOOKUP(Matrix[[#This Row],[TEAM]]&amp;Matrix[[#Headers],[31]],FDR[FDR]&amp;FDR[[#Headers],[31]],FDR[31],"",0,1)</f>
        <v>2</v>
      </c>
      <c r="AR603" cm="1">
        <f t="array" ref="AR603">_xlfn.XLOOKUP(Matrix[[#This Row],[TEAM]]&amp;Matrix[[#Headers],[32]],FDR[FDR]&amp;FDR[[#Headers],[32]],FDR[32],"",0,1)</f>
        <v>3</v>
      </c>
      <c r="AS603" cm="1">
        <f t="array" ref="AS603">_xlfn.XLOOKUP(Matrix[[#This Row],[TEAM]]&amp;Matrix[[#Headers],[33]],FDR[FDR]&amp;FDR[[#Headers],[33]],FDR[33],"",0,1)</f>
        <v>2</v>
      </c>
      <c r="AT603" cm="1">
        <f t="array" ref="AT603">_xlfn.XLOOKUP(Matrix[[#This Row],[TEAM]]&amp;Matrix[[#Headers],[34]],FDR[FDR]&amp;FDR[[#Headers],[34]],FDR[34],"",0,1)</f>
        <v>2</v>
      </c>
      <c r="AU603" cm="1">
        <f t="array" ref="AU603">_xlfn.XLOOKUP(Matrix[[#This Row],[TEAM]]&amp;Matrix[[#Headers],[35]],FDR[FDR]&amp;FDR[[#Headers],[35]],FDR[35],"",0,1)</f>
        <v>1</v>
      </c>
      <c r="AV603" cm="1">
        <f t="array" ref="AV603">_xlfn.XLOOKUP(Matrix[[#This Row],[TEAM]]&amp;Matrix[[#Headers],[36]],FDR[FDR]&amp;FDR[[#Headers],[36]],FDR[36],"",0,1)</f>
        <v>4</v>
      </c>
      <c r="AW603" cm="1">
        <f t="array" ref="AW603">_xlfn.XLOOKUP(Matrix[[#This Row],[TEAM]]&amp;Matrix[[#Headers],[37]],FDR[FDR]&amp;FDR[[#Headers],[37]],FDR[37],"",0,1)</f>
        <v>2</v>
      </c>
      <c r="AX603" cm="1">
        <f t="array" ref="AX603">_xlfn.XLOOKUP(Matrix[[#This Row],[TEAM]]&amp;Matrix[[#Headers],[38]],FDR[FDR]&amp;FDR[[#Headers],[38]],FDR[38],"",0,1)</f>
        <v>1</v>
      </c>
    </row>
    <row r="604" spans="1:50" ht="22" thickTop="1" thickBot="1">
      <c r="A604" s="51" t="s">
        <v>657</v>
      </c>
      <c r="B604" s="70" t="s">
        <v>1775</v>
      </c>
      <c r="C604" s="40" t="s">
        <v>33</v>
      </c>
      <c r="D604" s="62">
        <v>39</v>
      </c>
      <c r="E604" s="60">
        <v>0</v>
      </c>
      <c r="F604" s="61">
        <v>30.2</v>
      </c>
      <c r="G604" s="63">
        <v>4.5</v>
      </c>
      <c r="H604" s="261">
        <f>IF(ISBLANK(I604),0,1)</f>
        <v>1</v>
      </c>
      <c r="I604" s="57" t="s">
        <v>891</v>
      </c>
      <c r="J604" s="58" t="s">
        <v>1981</v>
      </c>
      <c r="K604" s="65" t="s">
        <v>470</v>
      </c>
      <c r="L604" s="65" t="s">
        <v>131</v>
      </c>
      <c r="M604" cm="1">
        <f t="array" ref="M604">_xlfn.XLOOKUP(Matrix[[#This Row],[TEAM]]&amp;Matrix[[#Headers],[1]],FDR[FDR]&amp;FDR[[#Headers],[1]],FDR[1],"",0,1)</f>
        <v>3</v>
      </c>
      <c r="N604" cm="1">
        <f t="array" ref="N604">_xlfn.XLOOKUP(Matrix[[#This Row],[TEAM]]&amp;Matrix[[#Headers],[2]],FDR[FDR]&amp;FDR[[#Headers],[2]],FDR[2],"",0,1)</f>
        <v>3</v>
      </c>
      <c r="O604" cm="1">
        <f t="array" ref="O604">_xlfn.XLOOKUP(Matrix[[#This Row],[TEAM]]&amp;Matrix[[#Headers],[3]],FDR[FDR]&amp;FDR[[#Headers],[3]],FDR[3],"",0,1)</f>
        <v>4</v>
      </c>
      <c r="P604" cm="1">
        <f t="array" ref="P604">_xlfn.XLOOKUP(Matrix[[#This Row],[TEAM]]&amp;Matrix[[#Headers],[4]],FDR[FDR]&amp;FDR[[#Headers],[4]],FDR[4],"",0,1)</f>
        <v>4</v>
      </c>
      <c r="Q604" cm="1">
        <f t="array" ref="Q604">_xlfn.XLOOKUP(Matrix[[#This Row],[TEAM]]&amp;Matrix[[#Headers],[5]],FDR[FDR]&amp;FDR[[#Headers],[5]],FDR[5],"",0,1)</f>
        <v>4</v>
      </c>
      <c r="R604" cm="1">
        <f t="array" ref="R604">_xlfn.XLOOKUP(Matrix[[#This Row],[TEAM]]&amp;Matrix[[#Headers],[6]],FDR[FDR]&amp;FDR[[#Headers],[6]],FDR[6],"",0,1)</f>
        <v>5</v>
      </c>
      <c r="S604" cm="1">
        <f t="array" ref="S604">_xlfn.XLOOKUP(Matrix[[#This Row],[TEAM]]&amp;Matrix[[#Headers],[7]],FDR[FDR]&amp;FDR[[#Headers],[7]],FDR[7],"",0,1)</f>
        <v>2</v>
      </c>
      <c r="T604" cm="1">
        <f t="array" ref="T604">_xlfn.XLOOKUP(Matrix[[#This Row],[TEAM]]&amp;Matrix[[#Headers],[8]],FDR[FDR]&amp;FDR[[#Headers],[8]],FDR[8],"",0,1)</f>
        <v>4</v>
      </c>
      <c r="U604" cm="1">
        <f t="array" ref="U604">_xlfn.XLOOKUP(Matrix[[#This Row],[TEAM]]&amp;Matrix[[#Headers],[9]],FDR[FDR]&amp;FDR[[#Headers],[9]],FDR[9],"",0,1)</f>
        <v>5</v>
      </c>
      <c r="V604" cm="1">
        <f t="array" ref="V604">_xlfn.XLOOKUP(Matrix[[#This Row],[TEAM]]&amp;Matrix[[#Headers],[10]],FDR[FDR]&amp;FDR[[#Headers],[10]],FDR[10],"",0,1)</f>
        <v>1</v>
      </c>
      <c r="W604" cm="1">
        <f t="array" ref="W604">_xlfn.XLOOKUP(Matrix[[#This Row],[TEAM]]&amp;Matrix[[#Headers],[11]],FDR[FDR]&amp;FDR[[#Headers],[11]],FDR[11],"",0,1)</f>
        <v>3</v>
      </c>
      <c r="X604" cm="1">
        <f t="array" ref="X604">_xlfn.XLOOKUP(Matrix[[#This Row],[TEAM]]&amp;Matrix[[#Headers],[12]],FDR[FDR]&amp;FDR[[#Headers],[12]],FDR[12],"",0,1)</f>
        <v>2</v>
      </c>
      <c r="Y604" cm="1">
        <f t="array" ref="Y604">_xlfn.XLOOKUP(Matrix[[#This Row],[TEAM]]&amp;Matrix[[#Headers],[13]],FDR[FDR]&amp;FDR[[#Headers],[13]],FDR[13],"",0,1)</f>
        <v>4</v>
      </c>
      <c r="Z604" cm="1">
        <f t="array" ref="Z604">_xlfn.XLOOKUP(Matrix[[#This Row],[TEAM]]&amp;Matrix[[#Headers],[14]],FDR[FDR]&amp;FDR[[#Headers],[14]],FDR[14],"",0,1)</f>
        <v>3</v>
      </c>
      <c r="AA604" cm="1">
        <f t="array" ref="AA604">_xlfn.XLOOKUP(Matrix[[#This Row],[TEAM]]&amp;Matrix[[#Headers],[15]],FDR[FDR]&amp;FDR[[#Headers],[15]],FDR[15],"",0,1)</f>
        <v>2</v>
      </c>
      <c r="AB604" cm="1">
        <f t="array" ref="AB604">_xlfn.XLOOKUP(Matrix[[#This Row],[TEAM]]&amp;Matrix[[#Headers],[16]],FDR[FDR]&amp;FDR[[#Headers],[16]],FDR[16],"",0,1)</f>
        <v>5</v>
      </c>
      <c r="AC604" cm="1">
        <f t="array" ref="AC604">_xlfn.XLOOKUP(Matrix[[#This Row],[TEAM]]&amp;Matrix[[#Headers],[17]],FDR[FDR]&amp;FDR[[#Headers],[17]],FDR[17],"",0,1)</f>
        <v>1</v>
      </c>
      <c r="AD604" cm="1">
        <f t="array" ref="AD604">_xlfn.XLOOKUP(Matrix[[#This Row],[TEAM]]&amp;Matrix[[#Headers],[18]],FDR[FDR]&amp;FDR[[#Headers],[18]],FDR[18],"",0,1)</f>
        <v>5</v>
      </c>
      <c r="AE604" cm="1">
        <f t="array" ref="AE604">_xlfn.XLOOKUP(Matrix[[#This Row],[TEAM]]&amp;Matrix[[#Headers],[19]],FDR[FDR]&amp;FDR[[#Headers],[19]],FDR[19],"",0,1)</f>
        <v>3</v>
      </c>
      <c r="AF604" cm="1">
        <f t="array" ref="AF604">_xlfn.XLOOKUP(Matrix[[#This Row],[TEAM]]&amp;Matrix[[#Headers],[20]],FDR[FDR]&amp;FDR[[#Headers],[20]],FDR[20],"",0,1)</f>
        <v>1</v>
      </c>
      <c r="AG604" cm="1">
        <f t="array" ref="AG604">_xlfn.XLOOKUP(Matrix[[#This Row],[TEAM]]&amp;Matrix[[#Headers],[21]],FDR[FDR]&amp;FDR[[#Headers],[21]],FDR[21],"",0,1)</f>
        <v>5</v>
      </c>
      <c r="AH604" cm="1">
        <f t="array" ref="AH604">_xlfn.XLOOKUP(Matrix[[#This Row],[TEAM]]&amp;Matrix[[#Headers],[22]],FDR[FDR]&amp;FDR[[#Headers],[22]],FDR[22],"",0,1)</f>
        <v>3</v>
      </c>
      <c r="AI604" cm="1">
        <f t="array" ref="AI604">_xlfn.XLOOKUP(Matrix[[#This Row],[TEAM]]&amp;Matrix[[#Headers],[23]],FDR[FDR]&amp;FDR[[#Headers],[23]],FDR[23],"",0,1)</f>
        <v>4</v>
      </c>
      <c r="AJ604" cm="1">
        <f t="array" ref="AJ604">_xlfn.XLOOKUP(Matrix[[#This Row],[TEAM]]&amp;Matrix[[#Headers],[24]],FDR[FDR]&amp;FDR[[#Headers],[24]],FDR[24],"",0,1)</f>
        <v>2</v>
      </c>
      <c r="AK604" cm="1">
        <f t="array" ref="AK604">_xlfn.XLOOKUP(Matrix[[#This Row],[TEAM]]&amp;Matrix[[#Headers],[25]],FDR[FDR]&amp;FDR[[#Headers],[25]],FDR[25],"",0,1)</f>
        <v>2</v>
      </c>
      <c r="AL604" cm="1">
        <f t="array" ref="AL604">_xlfn.XLOOKUP(Matrix[[#This Row],[TEAM]]&amp;Matrix[[#Headers],[26]],FDR[FDR]&amp;FDR[[#Headers],[26]],FDR[26],"",0,1)</f>
        <v>5</v>
      </c>
      <c r="AM604" cm="1">
        <f t="array" ref="AM604">_xlfn.XLOOKUP(Matrix[[#This Row],[TEAM]]&amp;Matrix[[#Headers],[27]],FDR[FDR]&amp;FDR[[#Headers],[27]],FDR[27],"",0,1)</f>
        <v>3</v>
      </c>
      <c r="AN604" cm="1">
        <f t="array" ref="AN604">_xlfn.XLOOKUP(Matrix[[#This Row],[TEAM]]&amp;Matrix[[#Headers],[28]],FDR[FDR]&amp;FDR[[#Headers],[28]],FDR[28],"",0,1)</f>
        <v>3</v>
      </c>
      <c r="AO604" cm="1">
        <f t="array" ref="AO604">_xlfn.XLOOKUP(Matrix[[#This Row],[TEAM]]&amp;Matrix[[#Headers],[29]],FDR[FDR]&amp;FDR[[#Headers],[29]],FDR[29],"",0,1)</f>
        <v>4</v>
      </c>
      <c r="AP604" cm="1">
        <f t="array" ref="AP604">_xlfn.XLOOKUP(Matrix[[#This Row],[TEAM]]&amp;Matrix[[#Headers],[30]],FDR[FDR]&amp;FDR[[#Headers],[30]],FDR[30],"",0,1)</f>
        <v>2</v>
      </c>
      <c r="AQ604" cm="1">
        <f t="array" ref="AQ604">_xlfn.XLOOKUP(Matrix[[#This Row],[TEAM]]&amp;Matrix[[#Headers],[31]],FDR[FDR]&amp;FDR[[#Headers],[31]],FDR[31],"",0,1)</f>
        <v>4</v>
      </c>
      <c r="AR604" cm="1">
        <f t="array" ref="AR604">_xlfn.XLOOKUP(Matrix[[#This Row],[TEAM]]&amp;Matrix[[#Headers],[32]],FDR[FDR]&amp;FDR[[#Headers],[32]],FDR[32],"",0,1)</f>
        <v>2</v>
      </c>
      <c r="AS604" cm="1">
        <f t="array" ref="AS604">_xlfn.XLOOKUP(Matrix[[#This Row],[TEAM]]&amp;Matrix[[#Headers],[33]],FDR[FDR]&amp;FDR[[#Headers],[33]],FDR[33],"",0,1)</f>
        <v>5</v>
      </c>
      <c r="AT604" cm="1">
        <f t="array" ref="AT604">_xlfn.XLOOKUP(Matrix[[#This Row],[TEAM]]&amp;Matrix[[#Headers],[34]],FDR[FDR]&amp;FDR[[#Headers],[34]],FDR[34],"",0,1)</f>
        <v>4</v>
      </c>
      <c r="AU604" cm="1">
        <f t="array" ref="AU604">_xlfn.XLOOKUP(Matrix[[#This Row],[TEAM]]&amp;Matrix[[#Headers],[35]],FDR[FDR]&amp;FDR[[#Headers],[35]],FDR[35],"",0,1)</f>
        <v>5</v>
      </c>
      <c r="AV604" cm="1">
        <f t="array" ref="AV604">_xlfn.XLOOKUP(Matrix[[#This Row],[TEAM]]&amp;Matrix[[#Headers],[36]],FDR[FDR]&amp;FDR[[#Headers],[36]],FDR[36],"",0,1)</f>
        <v>1</v>
      </c>
      <c r="AW604" cm="1">
        <f t="array" ref="AW604">_xlfn.XLOOKUP(Matrix[[#This Row],[TEAM]]&amp;Matrix[[#Headers],[37]],FDR[FDR]&amp;FDR[[#Headers],[37]],FDR[37],"",0,1)</f>
        <v>2</v>
      </c>
      <c r="AX604" cm="1">
        <f t="array" ref="AX604">_xlfn.XLOOKUP(Matrix[[#This Row],[TEAM]]&amp;Matrix[[#Headers],[38]],FDR[FDR]&amp;FDR[[#Headers],[38]],FDR[38],"",0,1)</f>
        <v>4</v>
      </c>
    </row>
    <row r="605" spans="1:50" ht="22" thickTop="1" thickBot="1">
      <c r="A605" s="51" t="s">
        <v>657</v>
      </c>
      <c r="B605" s="70" t="s">
        <v>1787</v>
      </c>
      <c r="C605" s="40" t="s">
        <v>19</v>
      </c>
      <c r="D605" s="62">
        <v>24</v>
      </c>
      <c r="E605" s="60">
        <v>0</v>
      </c>
      <c r="F605" s="61">
        <v>36.200000000000003</v>
      </c>
      <c r="G605" s="63">
        <v>4.5</v>
      </c>
      <c r="H605" s="261">
        <f>IF(ISBLANK(I605),0,1)</f>
        <v>1</v>
      </c>
      <c r="I605" s="57" t="s">
        <v>891</v>
      </c>
      <c r="J605" s="58" t="s">
        <v>990</v>
      </c>
      <c r="K605" s="65" t="s">
        <v>898</v>
      </c>
      <c r="L605" s="65" t="s">
        <v>899</v>
      </c>
      <c r="M605" cm="1">
        <f t="array" ref="M605">_xlfn.XLOOKUP(Matrix[[#This Row],[TEAM]]&amp;Matrix[[#Headers],[1]],FDR[FDR]&amp;FDR[[#Headers],[1]],FDR[1],"",0,1)</f>
        <v>1</v>
      </c>
      <c r="N605" cm="1">
        <f t="array" ref="N605">_xlfn.XLOOKUP(Matrix[[#This Row],[TEAM]]&amp;Matrix[[#Headers],[2]],FDR[FDR]&amp;FDR[[#Headers],[2]],FDR[2],"",0,1)</f>
        <v>4</v>
      </c>
      <c r="O605" cm="1">
        <f t="array" ref="O605">_xlfn.XLOOKUP(Matrix[[#This Row],[TEAM]]&amp;Matrix[[#Headers],[3]],FDR[FDR]&amp;FDR[[#Headers],[3]],FDR[3],"",0,1)</f>
        <v>1</v>
      </c>
      <c r="P605" cm="1">
        <f t="array" ref="P605">_xlfn.XLOOKUP(Matrix[[#This Row],[TEAM]]&amp;Matrix[[#Headers],[4]],FDR[FDR]&amp;FDR[[#Headers],[4]],FDR[4],"",0,1)</f>
        <v>2</v>
      </c>
      <c r="Q605" cm="1">
        <f t="array" ref="Q605">_xlfn.XLOOKUP(Matrix[[#This Row],[TEAM]]&amp;Matrix[[#Headers],[5]],FDR[FDR]&amp;FDR[[#Headers],[5]],FDR[5],"",0,1)</f>
        <v>2</v>
      </c>
      <c r="R605" cm="1">
        <f t="array" ref="R605">_xlfn.XLOOKUP(Matrix[[#This Row],[TEAM]]&amp;Matrix[[#Headers],[6]],FDR[FDR]&amp;FDR[[#Headers],[6]],FDR[6],"",0,1)</f>
        <v>1</v>
      </c>
      <c r="S605" cm="1">
        <f t="array" ref="S605">_xlfn.XLOOKUP(Matrix[[#This Row],[TEAM]]&amp;Matrix[[#Headers],[7]],FDR[FDR]&amp;FDR[[#Headers],[7]],FDR[7],"",0,1)</f>
        <v>1</v>
      </c>
      <c r="T605" cm="1">
        <f t="array" ref="T605">_xlfn.XLOOKUP(Matrix[[#This Row],[TEAM]]&amp;Matrix[[#Headers],[8]],FDR[FDR]&amp;FDR[[#Headers],[8]],FDR[8],"",0,1)</f>
        <v>2</v>
      </c>
      <c r="U605" cm="1">
        <f t="array" ref="U605">_xlfn.XLOOKUP(Matrix[[#This Row],[TEAM]]&amp;Matrix[[#Headers],[9]],FDR[FDR]&amp;FDR[[#Headers],[9]],FDR[9],"",0,1)</f>
        <v>2</v>
      </c>
      <c r="V605" cm="1">
        <f t="array" ref="V605">_xlfn.XLOOKUP(Matrix[[#This Row],[TEAM]]&amp;Matrix[[#Headers],[10]],FDR[FDR]&amp;FDR[[#Headers],[10]],FDR[10],"",0,1)</f>
        <v>3</v>
      </c>
      <c r="W605" cm="1">
        <f t="array" ref="W605">_xlfn.XLOOKUP(Matrix[[#This Row],[TEAM]]&amp;Matrix[[#Headers],[11]],FDR[FDR]&amp;FDR[[#Headers],[11]],FDR[11],"",0,1)</f>
        <v>3</v>
      </c>
      <c r="X605" cm="1">
        <f t="array" ref="X605">_xlfn.XLOOKUP(Matrix[[#This Row],[TEAM]]&amp;Matrix[[#Headers],[12]],FDR[FDR]&amp;FDR[[#Headers],[12]],FDR[12],"",0,1)</f>
        <v>4</v>
      </c>
      <c r="Y605" cm="1">
        <f t="array" ref="Y605">_xlfn.XLOOKUP(Matrix[[#This Row],[TEAM]]&amp;Matrix[[#Headers],[13]],FDR[FDR]&amp;FDR[[#Headers],[13]],FDR[13],"",0,1)</f>
        <v>1</v>
      </c>
      <c r="Z605" cm="1">
        <f t="array" ref="Z605">_xlfn.XLOOKUP(Matrix[[#This Row],[TEAM]]&amp;Matrix[[#Headers],[14]],FDR[FDR]&amp;FDR[[#Headers],[14]],FDR[14],"",0,1)</f>
        <v>3</v>
      </c>
      <c r="AA605" cm="1">
        <f t="array" ref="AA605">_xlfn.XLOOKUP(Matrix[[#This Row],[TEAM]]&amp;Matrix[[#Headers],[15]],FDR[FDR]&amp;FDR[[#Headers],[15]],FDR[15],"",0,1)</f>
        <v>1</v>
      </c>
      <c r="AB605" cm="1">
        <f t="array" ref="AB605">_xlfn.XLOOKUP(Matrix[[#This Row],[TEAM]]&amp;Matrix[[#Headers],[16]],FDR[FDR]&amp;FDR[[#Headers],[16]],FDR[16],"",0,1)</f>
        <v>2</v>
      </c>
      <c r="AC605" cm="1">
        <f t="array" ref="AC605">_xlfn.XLOOKUP(Matrix[[#This Row],[TEAM]]&amp;Matrix[[#Headers],[17]],FDR[FDR]&amp;FDR[[#Headers],[17]],FDR[17],"",0,1)</f>
        <v>3</v>
      </c>
      <c r="AD605" cm="1">
        <f t="array" ref="AD605">_xlfn.XLOOKUP(Matrix[[#This Row],[TEAM]]&amp;Matrix[[#Headers],[18]],FDR[FDR]&amp;FDR[[#Headers],[18]],FDR[18],"",0,1)</f>
        <v>2</v>
      </c>
      <c r="AE605" cm="1">
        <f t="array" ref="AE605">_xlfn.XLOOKUP(Matrix[[#This Row],[TEAM]]&amp;Matrix[[#Headers],[19]],FDR[FDR]&amp;FDR[[#Headers],[19]],FDR[19],"",0,1)</f>
        <v>2</v>
      </c>
      <c r="AF605" cm="1">
        <f t="array" ref="AF605">_xlfn.XLOOKUP(Matrix[[#This Row],[TEAM]]&amp;Matrix[[#Headers],[20]],FDR[FDR]&amp;FDR[[#Headers],[20]],FDR[20],"",0,1)</f>
        <v>1</v>
      </c>
      <c r="AG605" cm="1">
        <f t="array" ref="AG605">_xlfn.XLOOKUP(Matrix[[#This Row],[TEAM]]&amp;Matrix[[#Headers],[21]],FDR[FDR]&amp;FDR[[#Headers],[21]],FDR[21],"",0,1)</f>
        <v>2</v>
      </c>
      <c r="AH605" cm="1">
        <f t="array" ref="AH605">_xlfn.XLOOKUP(Matrix[[#This Row],[TEAM]]&amp;Matrix[[#Headers],[22]],FDR[FDR]&amp;FDR[[#Headers],[22]],FDR[22],"",0,1)</f>
        <v>1</v>
      </c>
      <c r="AI605" cm="1">
        <f t="array" ref="AI605">_xlfn.XLOOKUP(Matrix[[#This Row],[TEAM]]&amp;Matrix[[#Headers],[23]],FDR[FDR]&amp;FDR[[#Headers],[23]],FDR[23],"",0,1)</f>
        <v>1</v>
      </c>
      <c r="AJ605" cm="1">
        <f t="array" ref="AJ605">_xlfn.XLOOKUP(Matrix[[#This Row],[TEAM]]&amp;Matrix[[#Headers],[24]],FDR[FDR]&amp;FDR[[#Headers],[24]],FDR[24],"",0,1)</f>
        <v>3</v>
      </c>
      <c r="AK605" cm="1">
        <f t="array" ref="AK605">_xlfn.XLOOKUP(Matrix[[#This Row],[TEAM]]&amp;Matrix[[#Headers],[25]],FDR[FDR]&amp;FDR[[#Headers],[25]],FDR[25],"",0,1)</f>
        <v>4</v>
      </c>
      <c r="AL605" cm="1">
        <f t="array" ref="AL605">_xlfn.XLOOKUP(Matrix[[#This Row],[TEAM]]&amp;Matrix[[#Headers],[26]],FDR[FDR]&amp;FDR[[#Headers],[26]],FDR[26],"",0,1)</f>
        <v>2</v>
      </c>
      <c r="AM605" cm="1">
        <f t="array" ref="AM605">_xlfn.XLOOKUP(Matrix[[#This Row],[TEAM]]&amp;Matrix[[#Headers],[27]],FDR[FDR]&amp;FDR[[#Headers],[27]],FDR[27],"",0,1)</f>
        <v>3</v>
      </c>
      <c r="AN605" cm="1">
        <f t="array" ref="AN605">_xlfn.XLOOKUP(Matrix[[#This Row],[TEAM]]&amp;Matrix[[#Headers],[28]],FDR[FDR]&amp;FDR[[#Headers],[28]],FDR[28],"",0,1)</f>
        <v>2</v>
      </c>
      <c r="AO605" cm="1">
        <f t="array" ref="AO605">_xlfn.XLOOKUP(Matrix[[#This Row],[TEAM]]&amp;Matrix[[#Headers],[29]],FDR[FDR]&amp;FDR[[#Headers],[29]],FDR[29],"",0,1)</f>
        <v>1</v>
      </c>
      <c r="AP605" cm="1">
        <f t="array" ref="AP605">_xlfn.XLOOKUP(Matrix[[#This Row],[TEAM]]&amp;Matrix[[#Headers],[30]],FDR[FDR]&amp;FDR[[#Headers],[30]],FDR[30],"",0,1)</f>
        <v>4</v>
      </c>
      <c r="AQ605" cm="1">
        <f t="array" ref="AQ605">_xlfn.XLOOKUP(Matrix[[#This Row],[TEAM]]&amp;Matrix[[#Headers],[31]],FDR[FDR]&amp;FDR[[#Headers],[31]],FDR[31],"",0,1)</f>
        <v>1</v>
      </c>
      <c r="AR605" cm="1">
        <f t="array" ref="AR605">_xlfn.XLOOKUP(Matrix[[#This Row],[TEAM]]&amp;Matrix[[#Headers],[32]],FDR[FDR]&amp;FDR[[#Headers],[32]],FDR[32],"",0,1)</f>
        <v>1</v>
      </c>
      <c r="AS605" cm="1">
        <f t="array" ref="AS605">_xlfn.XLOOKUP(Matrix[[#This Row],[TEAM]]&amp;Matrix[[#Headers],[33]],FDR[FDR]&amp;FDR[[#Headers],[33]],FDR[33],"",0,1)</f>
        <v>1</v>
      </c>
      <c r="AT605" cm="1">
        <f t="array" ref="AT605">_xlfn.XLOOKUP(Matrix[[#This Row],[TEAM]]&amp;Matrix[[#Headers],[34]],FDR[FDR]&amp;FDR[[#Headers],[34]],FDR[34],"",0,1)</f>
        <v>1</v>
      </c>
      <c r="AU605" cm="1">
        <f t="array" ref="AU605">_xlfn.XLOOKUP(Matrix[[#This Row],[TEAM]]&amp;Matrix[[#Headers],[35]],FDR[FDR]&amp;FDR[[#Headers],[35]],FDR[35],"",0,1)</f>
        <v>3</v>
      </c>
      <c r="AV605" cm="1">
        <f t="array" ref="AV605">_xlfn.XLOOKUP(Matrix[[#This Row],[TEAM]]&amp;Matrix[[#Headers],[36]],FDR[FDR]&amp;FDR[[#Headers],[36]],FDR[36],"",0,1)</f>
        <v>1</v>
      </c>
      <c r="AW605" cm="1">
        <f t="array" ref="AW605">_xlfn.XLOOKUP(Matrix[[#This Row],[TEAM]]&amp;Matrix[[#Headers],[37]],FDR[FDR]&amp;FDR[[#Headers],[37]],FDR[37],"",0,1)</f>
        <v>4</v>
      </c>
      <c r="AX605" cm="1">
        <f t="array" ref="AX605">_xlfn.XLOOKUP(Matrix[[#This Row],[TEAM]]&amp;Matrix[[#Headers],[38]],FDR[FDR]&amp;FDR[[#Headers],[38]],FDR[38],"",0,1)</f>
        <v>1</v>
      </c>
    </row>
    <row r="606" spans="1:50" ht="22" thickTop="1" thickBot="1">
      <c r="A606" s="51" t="s">
        <v>657</v>
      </c>
      <c r="B606" s="70" t="s">
        <v>1728</v>
      </c>
      <c r="C606" s="40" t="s">
        <v>33</v>
      </c>
      <c r="D606" s="62">
        <v>18</v>
      </c>
      <c r="E606" s="60">
        <v>1E-3</v>
      </c>
      <c r="F606" s="61">
        <v>24.9</v>
      </c>
      <c r="G606" s="63">
        <v>4.5</v>
      </c>
      <c r="H606" s="261">
        <f>IF(ISBLANK(I606),0,1)</f>
        <v>1</v>
      </c>
      <c r="I606" s="57" t="s">
        <v>942</v>
      </c>
      <c r="J606" s="58">
        <v>0.5</v>
      </c>
      <c r="K606" s="65" t="s">
        <v>1027</v>
      </c>
      <c r="L606" s="65" t="s">
        <v>711</v>
      </c>
      <c r="M606" cm="1">
        <f t="array" ref="M606">_xlfn.XLOOKUP(Matrix[[#This Row],[TEAM]]&amp;Matrix[[#Headers],[1]],FDR[FDR]&amp;FDR[[#Headers],[1]],FDR[1],"",0,1)</f>
        <v>3</v>
      </c>
      <c r="N606" cm="1">
        <f t="array" ref="N606">_xlfn.XLOOKUP(Matrix[[#This Row],[TEAM]]&amp;Matrix[[#Headers],[2]],FDR[FDR]&amp;FDR[[#Headers],[2]],FDR[2],"",0,1)</f>
        <v>3</v>
      </c>
      <c r="O606" cm="1">
        <f t="array" ref="O606">_xlfn.XLOOKUP(Matrix[[#This Row],[TEAM]]&amp;Matrix[[#Headers],[3]],FDR[FDR]&amp;FDR[[#Headers],[3]],FDR[3],"",0,1)</f>
        <v>4</v>
      </c>
      <c r="P606" cm="1">
        <f t="array" ref="P606">_xlfn.XLOOKUP(Matrix[[#This Row],[TEAM]]&amp;Matrix[[#Headers],[4]],FDR[FDR]&amp;FDR[[#Headers],[4]],FDR[4],"",0,1)</f>
        <v>4</v>
      </c>
      <c r="Q606" cm="1">
        <f t="array" ref="Q606">_xlfn.XLOOKUP(Matrix[[#This Row],[TEAM]]&amp;Matrix[[#Headers],[5]],FDR[FDR]&amp;FDR[[#Headers],[5]],FDR[5],"",0,1)</f>
        <v>4</v>
      </c>
      <c r="R606" cm="1">
        <f t="array" ref="R606">_xlfn.XLOOKUP(Matrix[[#This Row],[TEAM]]&amp;Matrix[[#Headers],[6]],FDR[FDR]&amp;FDR[[#Headers],[6]],FDR[6],"",0,1)</f>
        <v>5</v>
      </c>
      <c r="S606" cm="1">
        <f t="array" ref="S606">_xlfn.XLOOKUP(Matrix[[#This Row],[TEAM]]&amp;Matrix[[#Headers],[7]],FDR[FDR]&amp;FDR[[#Headers],[7]],FDR[7],"",0,1)</f>
        <v>2</v>
      </c>
      <c r="T606" cm="1">
        <f t="array" ref="T606">_xlfn.XLOOKUP(Matrix[[#This Row],[TEAM]]&amp;Matrix[[#Headers],[8]],FDR[FDR]&amp;FDR[[#Headers],[8]],FDR[8],"",0,1)</f>
        <v>4</v>
      </c>
      <c r="U606" cm="1">
        <f t="array" ref="U606">_xlfn.XLOOKUP(Matrix[[#This Row],[TEAM]]&amp;Matrix[[#Headers],[9]],FDR[FDR]&amp;FDR[[#Headers],[9]],FDR[9],"",0,1)</f>
        <v>5</v>
      </c>
      <c r="V606" cm="1">
        <f t="array" ref="V606">_xlfn.XLOOKUP(Matrix[[#This Row],[TEAM]]&amp;Matrix[[#Headers],[10]],FDR[FDR]&amp;FDR[[#Headers],[10]],FDR[10],"",0,1)</f>
        <v>1</v>
      </c>
      <c r="W606" cm="1">
        <f t="array" ref="W606">_xlfn.XLOOKUP(Matrix[[#This Row],[TEAM]]&amp;Matrix[[#Headers],[11]],FDR[FDR]&amp;FDR[[#Headers],[11]],FDR[11],"",0,1)</f>
        <v>3</v>
      </c>
      <c r="X606" cm="1">
        <f t="array" ref="X606">_xlfn.XLOOKUP(Matrix[[#This Row],[TEAM]]&amp;Matrix[[#Headers],[12]],FDR[FDR]&amp;FDR[[#Headers],[12]],FDR[12],"",0,1)</f>
        <v>2</v>
      </c>
      <c r="Y606" cm="1">
        <f t="array" ref="Y606">_xlfn.XLOOKUP(Matrix[[#This Row],[TEAM]]&amp;Matrix[[#Headers],[13]],FDR[FDR]&amp;FDR[[#Headers],[13]],FDR[13],"",0,1)</f>
        <v>4</v>
      </c>
      <c r="Z606" cm="1">
        <f t="array" ref="Z606">_xlfn.XLOOKUP(Matrix[[#This Row],[TEAM]]&amp;Matrix[[#Headers],[14]],FDR[FDR]&amp;FDR[[#Headers],[14]],FDR[14],"",0,1)</f>
        <v>3</v>
      </c>
      <c r="AA606" cm="1">
        <f t="array" ref="AA606">_xlfn.XLOOKUP(Matrix[[#This Row],[TEAM]]&amp;Matrix[[#Headers],[15]],FDR[FDR]&amp;FDR[[#Headers],[15]],FDR[15],"",0,1)</f>
        <v>2</v>
      </c>
      <c r="AB606" cm="1">
        <f t="array" ref="AB606">_xlfn.XLOOKUP(Matrix[[#This Row],[TEAM]]&amp;Matrix[[#Headers],[16]],FDR[FDR]&amp;FDR[[#Headers],[16]],FDR[16],"",0,1)</f>
        <v>5</v>
      </c>
      <c r="AC606" cm="1">
        <f t="array" ref="AC606">_xlfn.XLOOKUP(Matrix[[#This Row],[TEAM]]&amp;Matrix[[#Headers],[17]],FDR[FDR]&amp;FDR[[#Headers],[17]],FDR[17],"",0,1)</f>
        <v>1</v>
      </c>
      <c r="AD606" cm="1">
        <f t="array" ref="AD606">_xlfn.XLOOKUP(Matrix[[#This Row],[TEAM]]&amp;Matrix[[#Headers],[18]],FDR[FDR]&amp;FDR[[#Headers],[18]],FDR[18],"",0,1)</f>
        <v>5</v>
      </c>
      <c r="AE606" cm="1">
        <f t="array" ref="AE606">_xlfn.XLOOKUP(Matrix[[#This Row],[TEAM]]&amp;Matrix[[#Headers],[19]],FDR[FDR]&amp;FDR[[#Headers],[19]],FDR[19],"",0,1)</f>
        <v>3</v>
      </c>
      <c r="AF606" cm="1">
        <f t="array" ref="AF606">_xlfn.XLOOKUP(Matrix[[#This Row],[TEAM]]&amp;Matrix[[#Headers],[20]],FDR[FDR]&amp;FDR[[#Headers],[20]],FDR[20],"",0,1)</f>
        <v>1</v>
      </c>
      <c r="AG606" cm="1">
        <f t="array" ref="AG606">_xlfn.XLOOKUP(Matrix[[#This Row],[TEAM]]&amp;Matrix[[#Headers],[21]],FDR[FDR]&amp;FDR[[#Headers],[21]],FDR[21],"",0,1)</f>
        <v>5</v>
      </c>
      <c r="AH606" cm="1">
        <f t="array" ref="AH606">_xlfn.XLOOKUP(Matrix[[#This Row],[TEAM]]&amp;Matrix[[#Headers],[22]],FDR[FDR]&amp;FDR[[#Headers],[22]],FDR[22],"",0,1)</f>
        <v>3</v>
      </c>
      <c r="AI606" cm="1">
        <f t="array" ref="AI606">_xlfn.XLOOKUP(Matrix[[#This Row],[TEAM]]&amp;Matrix[[#Headers],[23]],FDR[FDR]&amp;FDR[[#Headers],[23]],FDR[23],"",0,1)</f>
        <v>4</v>
      </c>
      <c r="AJ606" cm="1">
        <f t="array" ref="AJ606">_xlfn.XLOOKUP(Matrix[[#This Row],[TEAM]]&amp;Matrix[[#Headers],[24]],FDR[FDR]&amp;FDR[[#Headers],[24]],FDR[24],"",0,1)</f>
        <v>2</v>
      </c>
      <c r="AK606" cm="1">
        <f t="array" ref="AK606">_xlfn.XLOOKUP(Matrix[[#This Row],[TEAM]]&amp;Matrix[[#Headers],[25]],FDR[FDR]&amp;FDR[[#Headers],[25]],FDR[25],"",0,1)</f>
        <v>2</v>
      </c>
      <c r="AL606" cm="1">
        <f t="array" ref="AL606">_xlfn.XLOOKUP(Matrix[[#This Row],[TEAM]]&amp;Matrix[[#Headers],[26]],FDR[FDR]&amp;FDR[[#Headers],[26]],FDR[26],"",0,1)</f>
        <v>5</v>
      </c>
      <c r="AM606" cm="1">
        <f t="array" ref="AM606">_xlfn.XLOOKUP(Matrix[[#This Row],[TEAM]]&amp;Matrix[[#Headers],[27]],FDR[FDR]&amp;FDR[[#Headers],[27]],FDR[27],"",0,1)</f>
        <v>3</v>
      </c>
      <c r="AN606" cm="1">
        <f t="array" ref="AN606">_xlfn.XLOOKUP(Matrix[[#This Row],[TEAM]]&amp;Matrix[[#Headers],[28]],FDR[FDR]&amp;FDR[[#Headers],[28]],FDR[28],"",0,1)</f>
        <v>3</v>
      </c>
      <c r="AO606" cm="1">
        <f t="array" ref="AO606">_xlfn.XLOOKUP(Matrix[[#This Row],[TEAM]]&amp;Matrix[[#Headers],[29]],FDR[FDR]&amp;FDR[[#Headers],[29]],FDR[29],"",0,1)</f>
        <v>4</v>
      </c>
      <c r="AP606" cm="1">
        <f t="array" ref="AP606">_xlfn.XLOOKUP(Matrix[[#This Row],[TEAM]]&amp;Matrix[[#Headers],[30]],FDR[FDR]&amp;FDR[[#Headers],[30]],FDR[30],"",0,1)</f>
        <v>2</v>
      </c>
      <c r="AQ606" cm="1">
        <f t="array" ref="AQ606">_xlfn.XLOOKUP(Matrix[[#This Row],[TEAM]]&amp;Matrix[[#Headers],[31]],FDR[FDR]&amp;FDR[[#Headers],[31]],FDR[31],"",0,1)</f>
        <v>4</v>
      </c>
      <c r="AR606" cm="1">
        <f t="array" ref="AR606">_xlfn.XLOOKUP(Matrix[[#This Row],[TEAM]]&amp;Matrix[[#Headers],[32]],FDR[FDR]&amp;FDR[[#Headers],[32]],FDR[32],"",0,1)</f>
        <v>2</v>
      </c>
      <c r="AS606" cm="1">
        <f t="array" ref="AS606">_xlfn.XLOOKUP(Matrix[[#This Row],[TEAM]]&amp;Matrix[[#Headers],[33]],FDR[FDR]&amp;FDR[[#Headers],[33]],FDR[33],"",0,1)</f>
        <v>5</v>
      </c>
      <c r="AT606" cm="1">
        <f t="array" ref="AT606">_xlfn.XLOOKUP(Matrix[[#This Row],[TEAM]]&amp;Matrix[[#Headers],[34]],FDR[FDR]&amp;FDR[[#Headers],[34]],FDR[34],"",0,1)</f>
        <v>4</v>
      </c>
      <c r="AU606" cm="1">
        <f t="array" ref="AU606">_xlfn.XLOOKUP(Matrix[[#This Row],[TEAM]]&amp;Matrix[[#Headers],[35]],FDR[FDR]&amp;FDR[[#Headers],[35]],FDR[35],"",0,1)</f>
        <v>5</v>
      </c>
      <c r="AV606" cm="1">
        <f t="array" ref="AV606">_xlfn.XLOOKUP(Matrix[[#This Row],[TEAM]]&amp;Matrix[[#Headers],[36]],FDR[FDR]&amp;FDR[[#Headers],[36]],FDR[36],"",0,1)</f>
        <v>1</v>
      </c>
      <c r="AW606" cm="1">
        <f t="array" ref="AW606">_xlfn.XLOOKUP(Matrix[[#This Row],[TEAM]]&amp;Matrix[[#Headers],[37]],FDR[FDR]&amp;FDR[[#Headers],[37]],FDR[37],"",0,1)</f>
        <v>2</v>
      </c>
      <c r="AX606" cm="1">
        <f t="array" ref="AX606">_xlfn.XLOOKUP(Matrix[[#This Row],[TEAM]]&amp;Matrix[[#Headers],[38]],FDR[FDR]&amp;FDR[[#Headers],[38]],FDR[38],"",0,1)</f>
        <v>4</v>
      </c>
    </row>
    <row r="607" spans="1:50" ht="22" thickTop="1" thickBot="1">
      <c r="A607" s="51" t="s">
        <v>657</v>
      </c>
      <c r="B607" s="70" t="s">
        <v>1741</v>
      </c>
      <c r="C607" s="40" t="s">
        <v>24</v>
      </c>
      <c r="D607" s="62">
        <v>14</v>
      </c>
      <c r="E607" s="60">
        <v>1E-3</v>
      </c>
      <c r="F607" s="61">
        <v>15.5</v>
      </c>
      <c r="G607" s="63">
        <v>4.5</v>
      </c>
      <c r="H607" s="261">
        <f>IF(ISBLANK(I607),0,1)</f>
        <v>1</v>
      </c>
      <c r="I607" s="57" t="s">
        <v>1056</v>
      </c>
      <c r="J607" s="58" t="s">
        <v>1981</v>
      </c>
      <c r="K607" s="65" t="s">
        <v>442</v>
      </c>
      <c r="L607" s="65" t="s">
        <v>158</v>
      </c>
      <c r="M607" cm="1">
        <f t="array" ref="M607">_xlfn.XLOOKUP(Matrix[[#This Row],[TEAM]]&amp;Matrix[[#Headers],[1]],FDR[FDR]&amp;FDR[[#Headers],[1]],FDR[1],"",0,1)</f>
        <v>2</v>
      </c>
      <c r="N607" cm="1">
        <f t="array" ref="N607">_xlfn.XLOOKUP(Matrix[[#This Row],[TEAM]]&amp;Matrix[[#Headers],[2]],FDR[FDR]&amp;FDR[[#Headers],[2]],FDR[2],"",0,1)</f>
        <v>3</v>
      </c>
      <c r="O607" cm="1">
        <f t="array" ref="O607">_xlfn.XLOOKUP(Matrix[[#This Row],[TEAM]]&amp;Matrix[[#Headers],[3]],FDR[FDR]&amp;FDR[[#Headers],[3]],FDR[3],"",0,1)</f>
        <v>2</v>
      </c>
      <c r="P607" cm="1">
        <f t="array" ref="P607">_xlfn.XLOOKUP(Matrix[[#This Row],[TEAM]]&amp;Matrix[[#Headers],[4]],FDR[FDR]&amp;FDR[[#Headers],[4]],FDR[4],"",0,1)</f>
        <v>4</v>
      </c>
      <c r="Q607" cm="1">
        <f t="array" ref="Q607">_xlfn.XLOOKUP(Matrix[[#This Row],[TEAM]]&amp;Matrix[[#Headers],[5]],FDR[FDR]&amp;FDR[[#Headers],[5]],FDR[5],"",0,1)</f>
        <v>5</v>
      </c>
      <c r="R607" cm="1">
        <f t="array" ref="R607">_xlfn.XLOOKUP(Matrix[[#This Row],[TEAM]]&amp;Matrix[[#Headers],[6]],FDR[FDR]&amp;FDR[[#Headers],[6]],FDR[6],"",0,1)</f>
        <v>3</v>
      </c>
      <c r="S607" cm="1">
        <f t="array" ref="S607">_xlfn.XLOOKUP(Matrix[[#This Row],[TEAM]]&amp;Matrix[[#Headers],[7]],FDR[FDR]&amp;FDR[[#Headers],[7]],FDR[7],"",0,1)</f>
        <v>3</v>
      </c>
      <c r="T607" cm="1">
        <f t="array" ref="T607">_xlfn.XLOOKUP(Matrix[[#This Row],[TEAM]]&amp;Matrix[[#Headers],[8]],FDR[FDR]&amp;FDR[[#Headers],[8]],FDR[8],"",0,1)</f>
        <v>5</v>
      </c>
      <c r="U607" cm="1">
        <f t="array" ref="U607">_xlfn.XLOOKUP(Matrix[[#This Row],[TEAM]]&amp;Matrix[[#Headers],[9]],FDR[FDR]&amp;FDR[[#Headers],[9]],FDR[9],"",0,1)</f>
        <v>4</v>
      </c>
      <c r="V607" cm="1">
        <f t="array" ref="V607">_xlfn.XLOOKUP(Matrix[[#This Row],[TEAM]]&amp;Matrix[[#Headers],[10]],FDR[FDR]&amp;FDR[[#Headers],[10]],FDR[10],"",0,1)</f>
        <v>2</v>
      </c>
      <c r="W607" cm="1">
        <f t="array" ref="W607">_xlfn.XLOOKUP(Matrix[[#This Row],[TEAM]]&amp;Matrix[[#Headers],[11]],FDR[FDR]&amp;FDR[[#Headers],[11]],FDR[11],"",0,1)</f>
        <v>3</v>
      </c>
      <c r="X607" cm="1">
        <f t="array" ref="X607">_xlfn.XLOOKUP(Matrix[[#This Row],[TEAM]]&amp;Matrix[[#Headers],[12]],FDR[FDR]&amp;FDR[[#Headers],[12]],FDR[12],"",0,1)</f>
        <v>5</v>
      </c>
      <c r="Y607" cm="1">
        <f t="array" ref="Y607">_xlfn.XLOOKUP(Matrix[[#This Row],[TEAM]]&amp;Matrix[[#Headers],[13]],FDR[FDR]&amp;FDR[[#Headers],[13]],FDR[13],"",0,1)</f>
        <v>4</v>
      </c>
      <c r="Z607" cm="1">
        <f t="array" ref="Z607">_xlfn.XLOOKUP(Matrix[[#This Row],[TEAM]]&amp;Matrix[[#Headers],[14]],FDR[FDR]&amp;FDR[[#Headers],[14]],FDR[14],"",0,1)</f>
        <v>4</v>
      </c>
      <c r="AA607" cm="1">
        <f t="array" ref="AA607">_xlfn.XLOOKUP(Matrix[[#This Row],[TEAM]]&amp;Matrix[[#Headers],[15]],FDR[FDR]&amp;FDR[[#Headers],[15]],FDR[15],"",0,1)</f>
        <v>3</v>
      </c>
      <c r="AB607" cm="1">
        <f t="array" ref="AB607">_xlfn.XLOOKUP(Matrix[[#This Row],[TEAM]]&amp;Matrix[[#Headers],[16]],FDR[FDR]&amp;FDR[[#Headers],[16]],FDR[16],"",0,1)</f>
        <v>5</v>
      </c>
      <c r="AC607" cm="1">
        <f t="array" ref="AC607">_xlfn.XLOOKUP(Matrix[[#This Row],[TEAM]]&amp;Matrix[[#Headers],[17]],FDR[FDR]&amp;FDR[[#Headers],[17]],FDR[17],"",0,1)</f>
        <v>4</v>
      </c>
      <c r="AD607" cm="1">
        <f t="array" ref="AD607">_xlfn.XLOOKUP(Matrix[[#This Row],[TEAM]]&amp;Matrix[[#Headers],[18]],FDR[FDR]&amp;FDR[[#Headers],[18]],FDR[18],"",0,1)</f>
        <v>2</v>
      </c>
      <c r="AE607" cm="1">
        <f t="array" ref="AE607">_xlfn.XLOOKUP(Matrix[[#This Row],[TEAM]]&amp;Matrix[[#Headers],[19]],FDR[FDR]&amp;FDR[[#Headers],[19]],FDR[19],"",0,1)</f>
        <v>4</v>
      </c>
      <c r="AF607" cm="1">
        <f t="array" ref="AF607">_xlfn.XLOOKUP(Matrix[[#This Row],[TEAM]]&amp;Matrix[[#Headers],[20]],FDR[FDR]&amp;FDR[[#Headers],[20]],FDR[20],"",0,1)</f>
        <v>3</v>
      </c>
      <c r="AG607" cm="1">
        <f t="array" ref="AG607">_xlfn.XLOOKUP(Matrix[[#This Row],[TEAM]]&amp;Matrix[[#Headers],[21]],FDR[FDR]&amp;FDR[[#Headers],[21]],FDR[21],"",0,1)</f>
        <v>2</v>
      </c>
      <c r="AH607" cm="1">
        <f t="array" ref="AH607">_xlfn.XLOOKUP(Matrix[[#This Row],[TEAM]]&amp;Matrix[[#Headers],[22]],FDR[FDR]&amp;FDR[[#Headers],[22]],FDR[22],"",0,1)</f>
        <v>5</v>
      </c>
      <c r="AI607" cm="1">
        <f t="array" ref="AI607">_xlfn.XLOOKUP(Matrix[[#This Row],[TEAM]]&amp;Matrix[[#Headers],[23]],FDR[FDR]&amp;FDR[[#Headers],[23]],FDR[23],"",0,1)</f>
        <v>1</v>
      </c>
      <c r="AJ607" cm="1">
        <f t="array" ref="AJ607">_xlfn.XLOOKUP(Matrix[[#This Row],[TEAM]]&amp;Matrix[[#Headers],[24]],FDR[FDR]&amp;FDR[[#Headers],[24]],FDR[24],"",0,1)</f>
        <v>4</v>
      </c>
      <c r="AK607" cm="1">
        <f t="array" ref="AK607">_xlfn.XLOOKUP(Matrix[[#This Row],[TEAM]]&amp;Matrix[[#Headers],[25]],FDR[FDR]&amp;FDR[[#Headers],[25]],FDR[25],"",0,1)</f>
        <v>4</v>
      </c>
      <c r="AL607" cm="1">
        <f t="array" ref="AL607">_xlfn.XLOOKUP(Matrix[[#This Row],[TEAM]]&amp;Matrix[[#Headers],[26]],FDR[FDR]&amp;FDR[[#Headers],[26]],FDR[26],"",0,1)</f>
        <v>3</v>
      </c>
      <c r="AM607" cm="1">
        <f t="array" ref="AM607">_xlfn.XLOOKUP(Matrix[[#This Row],[TEAM]]&amp;Matrix[[#Headers],[27]],FDR[FDR]&amp;FDR[[#Headers],[27]],FDR[27],"",0,1)</f>
        <v>4</v>
      </c>
      <c r="AN607" cm="1">
        <f t="array" ref="AN607">_xlfn.XLOOKUP(Matrix[[#This Row],[TEAM]]&amp;Matrix[[#Headers],[28]],FDR[FDR]&amp;FDR[[#Headers],[28]],FDR[28],"",0,1)</f>
        <v>5</v>
      </c>
      <c r="AO607" cm="1">
        <f t="array" ref="AO607">_xlfn.XLOOKUP(Matrix[[#This Row],[TEAM]]&amp;Matrix[[#Headers],[29]],FDR[FDR]&amp;FDR[[#Headers],[29]],FDR[29],"",0,1)</f>
        <v>1</v>
      </c>
      <c r="AP607" cm="1">
        <f t="array" ref="AP607">_xlfn.XLOOKUP(Matrix[[#This Row],[TEAM]]&amp;Matrix[[#Headers],[30]],FDR[FDR]&amp;FDR[[#Headers],[30]],FDR[30],"",0,1)</f>
        <v>5</v>
      </c>
      <c r="AQ607" cm="1">
        <f t="array" ref="AQ607">_xlfn.XLOOKUP(Matrix[[#This Row],[TEAM]]&amp;Matrix[[#Headers],[31]],FDR[FDR]&amp;FDR[[#Headers],[31]],FDR[31],"",0,1)</f>
        <v>4</v>
      </c>
      <c r="AR607" cm="1">
        <f t="array" ref="AR607">_xlfn.XLOOKUP(Matrix[[#This Row],[TEAM]]&amp;Matrix[[#Headers],[32]],FDR[FDR]&amp;FDR[[#Headers],[32]],FDR[32],"",0,1)</f>
        <v>4</v>
      </c>
      <c r="AS607" cm="1">
        <f t="array" ref="AS607">_xlfn.XLOOKUP(Matrix[[#This Row],[TEAM]]&amp;Matrix[[#Headers],[33]],FDR[FDR]&amp;FDR[[#Headers],[33]],FDR[33],"",0,1)</f>
        <v>4</v>
      </c>
      <c r="AT607" cm="1">
        <f t="array" ref="AT607">_xlfn.XLOOKUP(Matrix[[#This Row],[TEAM]]&amp;Matrix[[#Headers],[34]],FDR[FDR]&amp;FDR[[#Headers],[34]],FDR[34],"",0,1)</f>
        <v>4</v>
      </c>
      <c r="AU607" cm="1">
        <f t="array" ref="AU607">_xlfn.XLOOKUP(Matrix[[#This Row],[TEAM]]&amp;Matrix[[#Headers],[35]],FDR[FDR]&amp;FDR[[#Headers],[35]],FDR[35],"",0,1)</f>
        <v>4</v>
      </c>
      <c r="AV607" cm="1">
        <f t="array" ref="AV607">_xlfn.XLOOKUP(Matrix[[#This Row],[TEAM]]&amp;Matrix[[#Headers],[36]],FDR[FDR]&amp;FDR[[#Headers],[36]],FDR[36],"",0,1)</f>
        <v>4</v>
      </c>
      <c r="AW607" cm="1">
        <f t="array" ref="AW607">_xlfn.XLOOKUP(Matrix[[#This Row],[TEAM]]&amp;Matrix[[#Headers],[37]],FDR[FDR]&amp;FDR[[#Headers],[37]],FDR[37],"",0,1)</f>
        <v>1</v>
      </c>
      <c r="AX607" cm="1">
        <f t="array" ref="AX607">_xlfn.XLOOKUP(Matrix[[#This Row],[TEAM]]&amp;Matrix[[#Headers],[38]],FDR[FDR]&amp;FDR[[#Headers],[38]],FDR[38],"",0,1)</f>
        <v>5</v>
      </c>
    </row>
    <row r="608" spans="1:50" ht="22" thickTop="1" thickBot="1">
      <c r="A608" s="51" t="s">
        <v>657</v>
      </c>
      <c r="B608" s="70" t="s">
        <v>1734</v>
      </c>
      <c r="C608" s="40" t="s">
        <v>22</v>
      </c>
      <c r="D608" s="62">
        <v>0</v>
      </c>
      <c r="E608" s="60">
        <v>1E-3</v>
      </c>
      <c r="F608" s="61">
        <v>0</v>
      </c>
      <c r="G608" s="63">
        <v>4.5</v>
      </c>
      <c r="H608" s="261">
        <f>IF(ISBLANK(I608),0,1)</f>
        <v>1</v>
      </c>
      <c r="I608" s="57" t="s">
        <v>942</v>
      </c>
      <c r="J608" s="58" t="s">
        <v>1982</v>
      </c>
      <c r="K608" s="65" t="s">
        <v>583</v>
      </c>
      <c r="L608" s="65" t="s">
        <v>165</v>
      </c>
      <c r="M608" cm="1">
        <f t="array" ref="M608">_xlfn.XLOOKUP(Matrix[[#This Row],[TEAM]]&amp;Matrix[[#Headers],[1]],FDR[FDR]&amp;FDR[[#Headers],[1]],FDR[1],"",0,1)</f>
        <v>5</v>
      </c>
      <c r="N608" cm="1">
        <f t="array" ref="N608">_xlfn.XLOOKUP(Matrix[[#This Row],[TEAM]]&amp;Matrix[[#Headers],[2]],FDR[FDR]&amp;FDR[[#Headers],[2]],FDR[2],"",0,1)</f>
        <v>3</v>
      </c>
      <c r="O608" cm="1">
        <f t="array" ref="O608">_xlfn.XLOOKUP(Matrix[[#This Row],[TEAM]]&amp;Matrix[[#Headers],[3]],FDR[FDR]&amp;FDR[[#Headers],[3]],FDR[3],"",0,1)</f>
        <v>5</v>
      </c>
      <c r="P608" cm="1">
        <f t="array" ref="P608">_xlfn.XLOOKUP(Matrix[[#This Row],[TEAM]]&amp;Matrix[[#Headers],[4]],FDR[FDR]&amp;FDR[[#Headers],[4]],FDR[4],"",0,1)</f>
        <v>5</v>
      </c>
      <c r="Q608" cm="1">
        <f t="array" ref="Q608">_xlfn.XLOOKUP(Matrix[[#This Row],[TEAM]]&amp;Matrix[[#Headers],[5]],FDR[FDR]&amp;FDR[[#Headers],[5]],FDR[5],"",0,1)</f>
        <v>5</v>
      </c>
      <c r="R608" cm="1">
        <f t="array" ref="R608">_xlfn.XLOOKUP(Matrix[[#This Row],[TEAM]]&amp;Matrix[[#Headers],[6]],FDR[FDR]&amp;FDR[[#Headers],[6]],FDR[6],"",0,1)</f>
        <v>5</v>
      </c>
      <c r="S608" cm="1">
        <f t="array" ref="S608">_xlfn.XLOOKUP(Matrix[[#This Row],[TEAM]]&amp;Matrix[[#Headers],[7]],FDR[FDR]&amp;FDR[[#Headers],[7]],FDR[7],"",0,1)</f>
        <v>5</v>
      </c>
      <c r="T608" cm="1">
        <f t="array" ref="T608">_xlfn.XLOOKUP(Matrix[[#This Row],[TEAM]]&amp;Matrix[[#Headers],[8]],FDR[FDR]&amp;FDR[[#Headers],[8]],FDR[8],"",0,1)</f>
        <v>3</v>
      </c>
      <c r="U608" cm="1">
        <f t="array" ref="U608">_xlfn.XLOOKUP(Matrix[[#This Row],[TEAM]]&amp;Matrix[[#Headers],[9]],FDR[FDR]&amp;FDR[[#Headers],[9]],FDR[9],"",0,1)</f>
        <v>4</v>
      </c>
      <c r="V608" cm="1">
        <f t="array" ref="V608">_xlfn.XLOOKUP(Matrix[[#This Row],[TEAM]]&amp;Matrix[[#Headers],[10]],FDR[FDR]&amp;FDR[[#Headers],[10]],FDR[10],"",0,1)</f>
        <v>5</v>
      </c>
      <c r="W608" cm="1">
        <f t="array" ref="W608">_xlfn.XLOOKUP(Matrix[[#This Row],[TEAM]]&amp;Matrix[[#Headers],[11]],FDR[FDR]&amp;FDR[[#Headers],[11]],FDR[11],"",0,1)</f>
        <v>5</v>
      </c>
      <c r="X608" cm="1">
        <f t="array" ref="X608">_xlfn.XLOOKUP(Matrix[[#This Row],[TEAM]]&amp;Matrix[[#Headers],[12]],FDR[FDR]&amp;FDR[[#Headers],[12]],FDR[12],"",0,1)</f>
        <v>5</v>
      </c>
      <c r="Y608" cm="1">
        <f t="array" ref="Y608">_xlfn.XLOOKUP(Matrix[[#This Row],[TEAM]]&amp;Matrix[[#Headers],[13]],FDR[FDR]&amp;FDR[[#Headers],[13]],FDR[13],"",0,1)</f>
        <v>5</v>
      </c>
      <c r="Z608" cm="1">
        <f t="array" ref="Z608">_xlfn.XLOOKUP(Matrix[[#This Row],[TEAM]]&amp;Matrix[[#Headers],[14]],FDR[FDR]&amp;FDR[[#Headers],[14]],FDR[14],"",0,1)</f>
        <v>4</v>
      </c>
      <c r="AA608" cm="1">
        <f t="array" ref="AA608">_xlfn.XLOOKUP(Matrix[[#This Row],[TEAM]]&amp;Matrix[[#Headers],[15]],FDR[FDR]&amp;FDR[[#Headers],[15]],FDR[15],"",0,1)</f>
        <v>5</v>
      </c>
      <c r="AB608" cm="1">
        <f t="array" ref="AB608">_xlfn.XLOOKUP(Matrix[[#This Row],[TEAM]]&amp;Matrix[[#Headers],[16]],FDR[FDR]&amp;FDR[[#Headers],[16]],FDR[16],"",0,1)</f>
        <v>5</v>
      </c>
      <c r="AC608" cm="1">
        <f t="array" ref="AC608">_xlfn.XLOOKUP(Matrix[[#This Row],[TEAM]]&amp;Matrix[[#Headers],[17]],FDR[FDR]&amp;FDR[[#Headers],[17]],FDR[17],"",0,1)</f>
        <v>5</v>
      </c>
      <c r="AD608" cm="1">
        <f t="array" ref="AD608">_xlfn.XLOOKUP(Matrix[[#This Row],[TEAM]]&amp;Matrix[[#Headers],[18]],FDR[FDR]&amp;FDR[[#Headers],[18]],FDR[18],"",0,1)</f>
        <v>4</v>
      </c>
      <c r="AE608" cm="1">
        <f t="array" ref="AE608">_xlfn.XLOOKUP(Matrix[[#This Row],[TEAM]]&amp;Matrix[[#Headers],[19]],FDR[FDR]&amp;FDR[[#Headers],[19]],FDR[19],"",0,1)</f>
        <v>5</v>
      </c>
      <c r="AF608" cm="1">
        <f t="array" ref="AF608">_xlfn.XLOOKUP(Matrix[[#This Row],[TEAM]]&amp;Matrix[[#Headers],[20]],FDR[FDR]&amp;FDR[[#Headers],[20]],FDR[20],"",0,1)</f>
        <v>5</v>
      </c>
      <c r="AG608" cm="1">
        <f t="array" ref="AG608">_xlfn.XLOOKUP(Matrix[[#This Row],[TEAM]]&amp;Matrix[[#Headers],[21]],FDR[FDR]&amp;FDR[[#Headers],[21]],FDR[21],"",0,1)</f>
        <v>5</v>
      </c>
      <c r="AH608" cm="1">
        <f t="array" ref="AH608">_xlfn.XLOOKUP(Matrix[[#This Row],[TEAM]]&amp;Matrix[[#Headers],[22]],FDR[FDR]&amp;FDR[[#Headers],[22]],FDR[22],"",0,1)</f>
        <v>5</v>
      </c>
      <c r="AI608" cm="1">
        <f t="array" ref="AI608">_xlfn.XLOOKUP(Matrix[[#This Row],[TEAM]]&amp;Matrix[[#Headers],[23]],FDR[FDR]&amp;FDR[[#Headers],[23]],FDR[23],"",0,1)</f>
        <v>5</v>
      </c>
      <c r="AJ608" cm="1">
        <f t="array" ref="AJ608">_xlfn.XLOOKUP(Matrix[[#This Row],[TEAM]]&amp;Matrix[[#Headers],[24]],FDR[FDR]&amp;FDR[[#Headers],[24]],FDR[24],"",0,1)</f>
        <v>4</v>
      </c>
      <c r="AK608" cm="1">
        <f t="array" ref="AK608">_xlfn.XLOOKUP(Matrix[[#This Row],[TEAM]]&amp;Matrix[[#Headers],[25]],FDR[FDR]&amp;FDR[[#Headers],[25]],FDR[25],"",0,1)</f>
        <v>4</v>
      </c>
      <c r="AL608" cm="1">
        <f t="array" ref="AL608">_xlfn.XLOOKUP(Matrix[[#This Row],[TEAM]]&amp;Matrix[[#Headers],[26]],FDR[FDR]&amp;FDR[[#Headers],[26]],FDR[26],"",0,1)</f>
        <v>5</v>
      </c>
      <c r="AM608" cm="1">
        <f t="array" ref="AM608">_xlfn.XLOOKUP(Matrix[[#This Row],[TEAM]]&amp;Matrix[[#Headers],[27]],FDR[FDR]&amp;FDR[[#Headers],[27]],FDR[27],"",0,1)</f>
        <v>5</v>
      </c>
      <c r="AN608" cm="1">
        <f t="array" ref="AN608">_xlfn.XLOOKUP(Matrix[[#This Row],[TEAM]]&amp;Matrix[[#Headers],[28]],FDR[FDR]&amp;FDR[[#Headers],[28]],FDR[28],"",0,1)</f>
        <v>4</v>
      </c>
      <c r="AO608" cm="1">
        <f t="array" ref="AO608">_xlfn.XLOOKUP(Matrix[[#This Row],[TEAM]]&amp;Matrix[[#Headers],[29]],FDR[FDR]&amp;FDR[[#Headers],[29]],FDR[29],"",0,1)</f>
        <v>5</v>
      </c>
      <c r="AP608" cm="1">
        <f t="array" ref="AP608">_xlfn.XLOOKUP(Matrix[[#This Row],[TEAM]]&amp;Matrix[[#Headers],[30]],FDR[FDR]&amp;FDR[[#Headers],[30]],FDR[30],"",0,1)</f>
        <v>5</v>
      </c>
      <c r="AQ608" cm="1">
        <f t="array" ref="AQ608">_xlfn.XLOOKUP(Matrix[[#This Row],[TEAM]]&amp;Matrix[[#Headers],[31]],FDR[FDR]&amp;FDR[[#Headers],[31]],FDR[31],"",0,1)</f>
        <v>5</v>
      </c>
      <c r="AR608" cm="1">
        <f t="array" ref="AR608">_xlfn.XLOOKUP(Matrix[[#This Row],[TEAM]]&amp;Matrix[[#Headers],[32]],FDR[FDR]&amp;FDR[[#Headers],[32]],FDR[32],"",0,1)</f>
        <v>5</v>
      </c>
      <c r="AS608" cm="1">
        <f t="array" ref="AS608">_xlfn.XLOOKUP(Matrix[[#This Row],[TEAM]]&amp;Matrix[[#Headers],[33]],FDR[FDR]&amp;FDR[[#Headers],[33]],FDR[33],"",0,1)</f>
        <v>5</v>
      </c>
      <c r="AT608" cm="1">
        <f t="array" ref="AT608">_xlfn.XLOOKUP(Matrix[[#This Row],[TEAM]]&amp;Matrix[[#Headers],[34]],FDR[FDR]&amp;FDR[[#Headers],[34]],FDR[34],"",0,1)</f>
        <v>5</v>
      </c>
      <c r="AU608" cm="1">
        <f t="array" ref="AU608">_xlfn.XLOOKUP(Matrix[[#This Row],[TEAM]]&amp;Matrix[[#Headers],[35]],FDR[FDR]&amp;FDR[[#Headers],[35]],FDR[35],"",0,1)</f>
        <v>4</v>
      </c>
      <c r="AV608" cm="1">
        <f t="array" ref="AV608">_xlfn.XLOOKUP(Matrix[[#This Row],[TEAM]]&amp;Matrix[[#Headers],[36]],FDR[FDR]&amp;FDR[[#Headers],[36]],FDR[36],"",0,1)</f>
        <v>5</v>
      </c>
      <c r="AW608" cm="1">
        <f t="array" ref="AW608">_xlfn.XLOOKUP(Matrix[[#This Row],[TEAM]]&amp;Matrix[[#Headers],[37]],FDR[FDR]&amp;FDR[[#Headers],[37]],FDR[37],"",0,1)</f>
        <v>5</v>
      </c>
      <c r="AX608" cm="1">
        <f t="array" ref="AX608">_xlfn.XLOOKUP(Matrix[[#This Row],[TEAM]]&amp;Matrix[[#Headers],[38]],FDR[FDR]&amp;FDR[[#Headers],[38]],FDR[38],"",0,1)</f>
        <v>3</v>
      </c>
    </row>
    <row r="609" spans="1:50" ht="22" thickTop="1" thickBot="1">
      <c r="A609" s="54" t="s">
        <v>657</v>
      </c>
      <c r="B609" s="70" t="s">
        <v>1742</v>
      </c>
      <c r="C609" s="40" t="s">
        <v>24</v>
      </c>
      <c r="D609" s="62">
        <v>0</v>
      </c>
      <c r="E609" s="60">
        <v>1E-3</v>
      </c>
      <c r="F609" s="61">
        <v>0</v>
      </c>
      <c r="G609" s="63">
        <v>4.5</v>
      </c>
      <c r="H609" s="261">
        <f>IF(ISBLANK(I609),0,1)</f>
        <v>1</v>
      </c>
      <c r="I609" s="57" t="s">
        <v>994</v>
      </c>
      <c r="J609" s="58">
        <v>0.75</v>
      </c>
      <c r="K609" s="65" t="s">
        <v>470</v>
      </c>
      <c r="L609" s="65" t="s">
        <v>977</v>
      </c>
      <c r="M609" cm="1">
        <f t="array" ref="M609">_xlfn.XLOOKUP(Matrix[[#This Row],[TEAM]]&amp;Matrix[[#Headers],[1]],FDR[FDR]&amp;FDR[[#Headers],[1]],FDR[1],"",0,1)</f>
        <v>2</v>
      </c>
      <c r="N609" cm="1">
        <f t="array" ref="N609">_xlfn.XLOOKUP(Matrix[[#This Row],[TEAM]]&amp;Matrix[[#Headers],[2]],FDR[FDR]&amp;FDR[[#Headers],[2]],FDR[2],"",0,1)</f>
        <v>3</v>
      </c>
      <c r="O609" cm="1">
        <f t="array" ref="O609">_xlfn.XLOOKUP(Matrix[[#This Row],[TEAM]]&amp;Matrix[[#Headers],[3]],FDR[FDR]&amp;FDR[[#Headers],[3]],FDR[3],"",0,1)</f>
        <v>2</v>
      </c>
      <c r="P609" cm="1">
        <f t="array" ref="P609">_xlfn.XLOOKUP(Matrix[[#This Row],[TEAM]]&amp;Matrix[[#Headers],[4]],FDR[FDR]&amp;FDR[[#Headers],[4]],FDR[4],"",0,1)</f>
        <v>4</v>
      </c>
      <c r="Q609" cm="1">
        <f t="array" ref="Q609">_xlfn.XLOOKUP(Matrix[[#This Row],[TEAM]]&amp;Matrix[[#Headers],[5]],FDR[FDR]&amp;FDR[[#Headers],[5]],FDR[5],"",0,1)</f>
        <v>5</v>
      </c>
      <c r="R609" cm="1">
        <f t="array" ref="R609">_xlfn.XLOOKUP(Matrix[[#This Row],[TEAM]]&amp;Matrix[[#Headers],[6]],FDR[FDR]&amp;FDR[[#Headers],[6]],FDR[6],"",0,1)</f>
        <v>3</v>
      </c>
      <c r="S609" cm="1">
        <f t="array" ref="S609">_xlfn.XLOOKUP(Matrix[[#This Row],[TEAM]]&amp;Matrix[[#Headers],[7]],FDR[FDR]&amp;FDR[[#Headers],[7]],FDR[7],"",0,1)</f>
        <v>3</v>
      </c>
      <c r="T609" cm="1">
        <f t="array" ref="T609">_xlfn.XLOOKUP(Matrix[[#This Row],[TEAM]]&amp;Matrix[[#Headers],[8]],FDR[FDR]&amp;FDR[[#Headers],[8]],FDR[8],"",0,1)</f>
        <v>5</v>
      </c>
      <c r="U609" cm="1">
        <f t="array" ref="U609">_xlfn.XLOOKUP(Matrix[[#This Row],[TEAM]]&amp;Matrix[[#Headers],[9]],FDR[FDR]&amp;FDR[[#Headers],[9]],FDR[9],"",0,1)</f>
        <v>4</v>
      </c>
      <c r="V609" cm="1">
        <f t="array" ref="V609">_xlfn.XLOOKUP(Matrix[[#This Row],[TEAM]]&amp;Matrix[[#Headers],[10]],FDR[FDR]&amp;FDR[[#Headers],[10]],FDR[10],"",0,1)</f>
        <v>2</v>
      </c>
      <c r="W609" cm="1">
        <f t="array" ref="W609">_xlfn.XLOOKUP(Matrix[[#This Row],[TEAM]]&amp;Matrix[[#Headers],[11]],FDR[FDR]&amp;FDR[[#Headers],[11]],FDR[11],"",0,1)</f>
        <v>3</v>
      </c>
      <c r="X609" cm="1">
        <f t="array" ref="X609">_xlfn.XLOOKUP(Matrix[[#This Row],[TEAM]]&amp;Matrix[[#Headers],[12]],FDR[FDR]&amp;FDR[[#Headers],[12]],FDR[12],"",0,1)</f>
        <v>5</v>
      </c>
      <c r="Y609" cm="1">
        <f t="array" ref="Y609">_xlfn.XLOOKUP(Matrix[[#This Row],[TEAM]]&amp;Matrix[[#Headers],[13]],FDR[FDR]&amp;FDR[[#Headers],[13]],FDR[13],"",0,1)</f>
        <v>4</v>
      </c>
      <c r="Z609" cm="1">
        <f t="array" ref="Z609">_xlfn.XLOOKUP(Matrix[[#This Row],[TEAM]]&amp;Matrix[[#Headers],[14]],FDR[FDR]&amp;FDR[[#Headers],[14]],FDR[14],"",0,1)</f>
        <v>4</v>
      </c>
      <c r="AA609" cm="1">
        <f t="array" ref="AA609">_xlfn.XLOOKUP(Matrix[[#This Row],[TEAM]]&amp;Matrix[[#Headers],[15]],FDR[FDR]&amp;FDR[[#Headers],[15]],FDR[15],"",0,1)</f>
        <v>3</v>
      </c>
      <c r="AB609" cm="1">
        <f t="array" ref="AB609">_xlfn.XLOOKUP(Matrix[[#This Row],[TEAM]]&amp;Matrix[[#Headers],[16]],FDR[FDR]&amp;FDR[[#Headers],[16]],FDR[16],"",0,1)</f>
        <v>5</v>
      </c>
      <c r="AC609" cm="1">
        <f t="array" ref="AC609">_xlfn.XLOOKUP(Matrix[[#This Row],[TEAM]]&amp;Matrix[[#Headers],[17]],FDR[FDR]&amp;FDR[[#Headers],[17]],FDR[17],"",0,1)</f>
        <v>4</v>
      </c>
      <c r="AD609" cm="1">
        <f t="array" ref="AD609">_xlfn.XLOOKUP(Matrix[[#This Row],[TEAM]]&amp;Matrix[[#Headers],[18]],FDR[FDR]&amp;FDR[[#Headers],[18]],FDR[18],"",0,1)</f>
        <v>2</v>
      </c>
      <c r="AE609" cm="1">
        <f t="array" ref="AE609">_xlfn.XLOOKUP(Matrix[[#This Row],[TEAM]]&amp;Matrix[[#Headers],[19]],FDR[FDR]&amp;FDR[[#Headers],[19]],FDR[19],"",0,1)</f>
        <v>4</v>
      </c>
      <c r="AF609" cm="1">
        <f t="array" ref="AF609">_xlfn.XLOOKUP(Matrix[[#This Row],[TEAM]]&amp;Matrix[[#Headers],[20]],FDR[FDR]&amp;FDR[[#Headers],[20]],FDR[20],"",0,1)</f>
        <v>3</v>
      </c>
      <c r="AG609" cm="1">
        <f t="array" ref="AG609">_xlfn.XLOOKUP(Matrix[[#This Row],[TEAM]]&amp;Matrix[[#Headers],[21]],FDR[FDR]&amp;FDR[[#Headers],[21]],FDR[21],"",0,1)</f>
        <v>2</v>
      </c>
      <c r="AH609" cm="1">
        <f t="array" ref="AH609">_xlfn.XLOOKUP(Matrix[[#This Row],[TEAM]]&amp;Matrix[[#Headers],[22]],FDR[FDR]&amp;FDR[[#Headers],[22]],FDR[22],"",0,1)</f>
        <v>5</v>
      </c>
      <c r="AI609" cm="1">
        <f t="array" ref="AI609">_xlfn.XLOOKUP(Matrix[[#This Row],[TEAM]]&amp;Matrix[[#Headers],[23]],FDR[FDR]&amp;FDR[[#Headers],[23]],FDR[23],"",0,1)</f>
        <v>1</v>
      </c>
      <c r="AJ609" cm="1">
        <f t="array" ref="AJ609">_xlfn.XLOOKUP(Matrix[[#This Row],[TEAM]]&amp;Matrix[[#Headers],[24]],FDR[FDR]&amp;FDR[[#Headers],[24]],FDR[24],"",0,1)</f>
        <v>4</v>
      </c>
      <c r="AK609" cm="1">
        <f t="array" ref="AK609">_xlfn.XLOOKUP(Matrix[[#This Row],[TEAM]]&amp;Matrix[[#Headers],[25]],FDR[FDR]&amp;FDR[[#Headers],[25]],FDR[25],"",0,1)</f>
        <v>4</v>
      </c>
      <c r="AL609" cm="1">
        <f t="array" ref="AL609">_xlfn.XLOOKUP(Matrix[[#This Row],[TEAM]]&amp;Matrix[[#Headers],[26]],FDR[FDR]&amp;FDR[[#Headers],[26]],FDR[26],"",0,1)</f>
        <v>3</v>
      </c>
      <c r="AM609" cm="1">
        <f t="array" ref="AM609">_xlfn.XLOOKUP(Matrix[[#This Row],[TEAM]]&amp;Matrix[[#Headers],[27]],FDR[FDR]&amp;FDR[[#Headers],[27]],FDR[27],"",0,1)</f>
        <v>4</v>
      </c>
      <c r="AN609" cm="1">
        <f t="array" ref="AN609">_xlfn.XLOOKUP(Matrix[[#This Row],[TEAM]]&amp;Matrix[[#Headers],[28]],FDR[FDR]&amp;FDR[[#Headers],[28]],FDR[28],"",0,1)</f>
        <v>5</v>
      </c>
      <c r="AO609" cm="1">
        <f t="array" ref="AO609">_xlfn.XLOOKUP(Matrix[[#This Row],[TEAM]]&amp;Matrix[[#Headers],[29]],FDR[FDR]&amp;FDR[[#Headers],[29]],FDR[29],"",0,1)</f>
        <v>1</v>
      </c>
      <c r="AP609" cm="1">
        <f t="array" ref="AP609">_xlfn.XLOOKUP(Matrix[[#This Row],[TEAM]]&amp;Matrix[[#Headers],[30]],FDR[FDR]&amp;FDR[[#Headers],[30]],FDR[30],"",0,1)</f>
        <v>5</v>
      </c>
      <c r="AQ609" cm="1">
        <f t="array" ref="AQ609">_xlfn.XLOOKUP(Matrix[[#This Row],[TEAM]]&amp;Matrix[[#Headers],[31]],FDR[FDR]&amp;FDR[[#Headers],[31]],FDR[31],"",0,1)</f>
        <v>4</v>
      </c>
      <c r="AR609" cm="1">
        <f t="array" ref="AR609">_xlfn.XLOOKUP(Matrix[[#This Row],[TEAM]]&amp;Matrix[[#Headers],[32]],FDR[FDR]&amp;FDR[[#Headers],[32]],FDR[32],"",0,1)</f>
        <v>4</v>
      </c>
      <c r="AS609" cm="1">
        <f t="array" ref="AS609">_xlfn.XLOOKUP(Matrix[[#This Row],[TEAM]]&amp;Matrix[[#Headers],[33]],FDR[FDR]&amp;FDR[[#Headers],[33]],FDR[33],"",0,1)</f>
        <v>4</v>
      </c>
      <c r="AT609" cm="1">
        <f t="array" ref="AT609">_xlfn.XLOOKUP(Matrix[[#This Row],[TEAM]]&amp;Matrix[[#Headers],[34]],FDR[FDR]&amp;FDR[[#Headers],[34]],FDR[34],"",0,1)</f>
        <v>4</v>
      </c>
      <c r="AU609" cm="1">
        <f t="array" ref="AU609">_xlfn.XLOOKUP(Matrix[[#This Row],[TEAM]]&amp;Matrix[[#Headers],[35]],FDR[FDR]&amp;FDR[[#Headers],[35]],FDR[35],"",0,1)</f>
        <v>4</v>
      </c>
      <c r="AV609" cm="1">
        <f t="array" ref="AV609">_xlfn.XLOOKUP(Matrix[[#This Row],[TEAM]]&amp;Matrix[[#Headers],[36]],FDR[FDR]&amp;FDR[[#Headers],[36]],FDR[36],"",0,1)</f>
        <v>4</v>
      </c>
      <c r="AW609" cm="1">
        <f t="array" ref="AW609">_xlfn.XLOOKUP(Matrix[[#This Row],[TEAM]]&amp;Matrix[[#Headers],[37]],FDR[FDR]&amp;FDR[[#Headers],[37]],FDR[37],"",0,1)</f>
        <v>1</v>
      </c>
      <c r="AX609" cm="1">
        <f t="array" ref="AX609">_xlfn.XLOOKUP(Matrix[[#This Row],[TEAM]]&amp;Matrix[[#Headers],[38]],FDR[FDR]&amp;FDR[[#Headers],[38]],FDR[38],"",0,1)</f>
        <v>5</v>
      </c>
    </row>
    <row r="610" spans="1:50" ht="22" thickTop="1" thickBot="1">
      <c r="A610" s="54" t="s">
        <v>657</v>
      </c>
      <c r="B610" s="70" t="s">
        <v>1670</v>
      </c>
      <c r="C610" s="40" t="s">
        <v>633</v>
      </c>
      <c r="D610" s="62">
        <v>0</v>
      </c>
      <c r="E610" s="60">
        <v>4.0000000000000001E-3</v>
      </c>
      <c r="F610" s="61">
        <v>0</v>
      </c>
      <c r="G610" s="63">
        <v>4.5</v>
      </c>
      <c r="H610" s="261">
        <f>IF(ISBLANK(I610),0,1)</f>
        <v>1</v>
      </c>
      <c r="I610" s="57" t="s">
        <v>1065</v>
      </c>
      <c r="J610" s="58">
        <v>0.75</v>
      </c>
      <c r="K610" s="65" t="s">
        <v>607</v>
      </c>
      <c r="L610" s="65" t="s">
        <v>166</v>
      </c>
      <c r="M610" cm="1">
        <f t="array" ref="M610">_xlfn.XLOOKUP(Matrix[[#This Row],[TEAM]]&amp;Matrix[[#Headers],[1]],FDR[FDR]&amp;FDR[[#Headers],[1]],FDR[1],"",0,1)</f>
        <v>4</v>
      </c>
      <c r="N610" cm="1">
        <f t="array" ref="N610">_xlfn.XLOOKUP(Matrix[[#This Row],[TEAM]]&amp;Matrix[[#Headers],[2]],FDR[FDR]&amp;FDR[[#Headers],[2]],FDR[2],"",0,1)</f>
        <v>5</v>
      </c>
      <c r="O610" cm="1">
        <f t="array" ref="O610">_xlfn.XLOOKUP(Matrix[[#This Row],[TEAM]]&amp;Matrix[[#Headers],[3]],FDR[FDR]&amp;FDR[[#Headers],[3]],FDR[3],"",0,1)</f>
        <v>5</v>
      </c>
      <c r="P610" cm="1">
        <f t="array" ref="P610">_xlfn.XLOOKUP(Matrix[[#This Row],[TEAM]]&amp;Matrix[[#Headers],[4]],FDR[FDR]&amp;FDR[[#Headers],[4]],FDR[4],"",0,1)</f>
        <v>5</v>
      </c>
      <c r="Q610" cm="1">
        <f t="array" ref="Q610">_xlfn.XLOOKUP(Matrix[[#This Row],[TEAM]]&amp;Matrix[[#Headers],[5]],FDR[FDR]&amp;FDR[[#Headers],[5]],FDR[5],"",0,1)</f>
        <v>4</v>
      </c>
      <c r="R610" cm="1">
        <f t="array" ref="R610">_xlfn.XLOOKUP(Matrix[[#This Row],[TEAM]]&amp;Matrix[[#Headers],[6]],FDR[FDR]&amp;FDR[[#Headers],[6]],FDR[6],"",0,1)</f>
        <v>5</v>
      </c>
      <c r="S610" cm="1">
        <f t="array" ref="S610">_xlfn.XLOOKUP(Matrix[[#This Row],[TEAM]]&amp;Matrix[[#Headers],[7]],FDR[FDR]&amp;FDR[[#Headers],[7]],FDR[7],"",0,1)</f>
        <v>5</v>
      </c>
      <c r="T610" cm="1">
        <f t="array" ref="T610">_xlfn.XLOOKUP(Matrix[[#This Row],[TEAM]]&amp;Matrix[[#Headers],[8]],FDR[FDR]&amp;FDR[[#Headers],[8]],FDR[8],"",0,1)</f>
        <v>4</v>
      </c>
      <c r="U610" cm="1">
        <f t="array" ref="U610">_xlfn.XLOOKUP(Matrix[[#This Row],[TEAM]]&amp;Matrix[[#Headers],[9]],FDR[FDR]&amp;FDR[[#Headers],[9]],FDR[9],"",0,1)</f>
        <v>4</v>
      </c>
      <c r="V610" cm="1">
        <f t="array" ref="V610">_xlfn.XLOOKUP(Matrix[[#This Row],[TEAM]]&amp;Matrix[[#Headers],[10]],FDR[FDR]&amp;FDR[[#Headers],[10]],FDR[10],"",0,1)</f>
        <v>5</v>
      </c>
      <c r="W610" cm="1">
        <f t="array" ref="W610">_xlfn.XLOOKUP(Matrix[[#This Row],[TEAM]]&amp;Matrix[[#Headers],[11]],FDR[FDR]&amp;FDR[[#Headers],[11]],FDR[11],"",0,1)</f>
        <v>5</v>
      </c>
      <c r="X610" cm="1">
        <f t="array" ref="X610">_xlfn.XLOOKUP(Matrix[[#This Row],[TEAM]]&amp;Matrix[[#Headers],[12]],FDR[FDR]&amp;FDR[[#Headers],[12]],FDR[12],"",0,1)</f>
        <v>5</v>
      </c>
      <c r="Y610" cm="1">
        <f t="array" ref="Y610">_xlfn.XLOOKUP(Matrix[[#This Row],[TEAM]]&amp;Matrix[[#Headers],[13]],FDR[FDR]&amp;FDR[[#Headers],[13]],FDR[13],"",0,1)</f>
        <v>5</v>
      </c>
      <c r="Z610" cm="1">
        <f t="array" ref="Z610">_xlfn.XLOOKUP(Matrix[[#This Row],[TEAM]]&amp;Matrix[[#Headers],[14]],FDR[FDR]&amp;FDR[[#Headers],[14]],FDR[14],"",0,1)</f>
        <v>5</v>
      </c>
      <c r="AA610" cm="1">
        <f t="array" ref="AA610">_xlfn.XLOOKUP(Matrix[[#This Row],[TEAM]]&amp;Matrix[[#Headers],[15]],FDR[FDR]&amp;FDR[[#Headers],[15]],FDR[15],"",0,1)</f>
        <v>5</v>
      </c>
      <c r="AB610" cm="1">
        <f t="array" ref="AB610">_xlfn.XLOOKUP(Matrix[[#This Row],[TEAM]]&amp;Matrix[[#Headers],[16]],FDR[FDR]&amp;FDR[[#Headers],[16]],FDR[16],"",0,1)</f>
        <v>5</v>
      </c>
      <c r="AC610" cm="1">
        <f t="array" ref="AC610">_xlfn.XLOOKUP(Matrix[[#This Row],[TEAM]]&amp;Matrix[[#Headers],[17]],FDR[FDR]&amp;FDR[[#Headers],[17]],FDR[17],"",0,1)</f>
        <v>4</v>
      </c>
      <c r="AD610" cm="1">
        <f t="array" ref="AD610">_xlfn.XLOOKUP(Matrix[[#This Row],[TEAM]]&amp;Matrix[[#Headers],[18]],FDR[FDR]&amp;FDR[[#Headers],[18]],FDR[18],"",0,1)</f>
        <v>4</v>
      </c>
      <c r="AE610" cm="1">
        <f t="array" ref="AE610">_xlfn.XLOOKUP(Matrix[[#This Row],[TEAM]]&amp;Matrix[[#Headers],[19]],FDR[FDR]&amp;FDR[[#Headers],[19]],FDR[19],"",0,1)</f>
        <v>5</v>
      </c>
      <c r="AF610" cm="1">
        <f t="array" ref="AF610">_xlfn.XLOOKUP(Matrix[[#This Row],[TEAM]]&amp;Matrix[[#Headers],[20]],FDR[FDR]&amp;FDR[[#Headers],[20]],FDR[20],"",0,1)</f>
        <v>5</v>
      </c>
      <c r="AG610" cm="1">
        <f t="array" ref="AG610">_xlfn.XLOOKUP(Matrix[[#This Row],[TEAM]]&amp;Matrix[[#Headers],[21]],FDR[FDR]&amp;FDR[[#Headers],[21]],FDR[21],"",0,1)</f>
        <v>5</v>
      </c>
      <c r="AH610" cm="1">
        <f t="array" ref="AH610">_xlfn.XLOOKUP(Matrix[[#This Row],[TEAM]]&amp;Matrix[[#Headers],[22]],FDR[FDR]&amp;FDR[[#Headers],[22]],FDR[22],"",0,1)</f>
        <v>5</v>
      </c>
      <c r="AI610" cm="1">
        <f t="array" ref="AI610">_xlfn.XLOOKUP(Matrix[[#This Row],[TEAM]]&amp;Matrix[[#Headers],[23]],FDR[FDR]&amp;FDR[[#Headers],[23]],FDR[23],"",0,1)</f>
        <v>5</v>
      </c>
      <c r="AJ610" cm="1">
        <f t="array" ref="AJ610">_xlfn.XLOOKUP(Matrix[[#This Row],[TEAM]]&amp;Matrix[[#Headers],[24]],FDR[FDR]&amp;FDR[[#Headers],[24]],FDR[24],"",0,1)</f>
        <v>5</v>
      </c>
      <c r="AK610" cm="1">
        <f t="array" ref="AK610">_xlfn.XLOOKUP(Matrix[[#This Row],[TEAM]]&amp;Matrix[[#Headers],[25]],FDR[FDR]&amp;FDR[[#Headers],[25]],FDR[25],"",0,1)</f>
        <v>5</v>
      </c>
      <c r="AL610" cm="1">
        <f t="array" ref="AL610">_xlfn.XLOOKUP(Matrix[[#This Row],[TEAM]]&amp;Matrix[[#Headers],[26]],FDR[FDR]&amp;FDR[[#Headers],[26]],FDR[26],"",0,1)</f>
        <v>5</v>
      </c>
      <c r="AM610" cm="1">
        <f t="array" ref="AM610">_xlfn.XLOOKUP(Matrix[[#This Row],[TEAM]]&amp;Matrix[[#Headers],[27]],FDR[FDR]&amp;FDR[[#Headers],[27]],FDR[27],"",0,1)</f>
        <v>5</v>
      </c>
      <c r="AN610" cm="1">
        <f t="array" ref="AN610">_xlfn.XLOOKUP(Matrix[[#This Row],[TEAM]]&amp;Matrix[[#Headers],[28]],FDR[FDR]&amp;FDR[[#Headers],[28]],FDR[28],"",0,1)</f>
        <v>5</v>
      </c>
      <c r="AO610" cm="1">
        <f t="array" ref="AO610">_xlfn.XLOOKUP(Matrix[[#This Row],[TEAM]]&amp;Matrix[[#Headers],[29]],FDR[FDR]&amp;FDR[[#Headers],[29]],FDR[29],"",0,1)</f>
        <v>3</v>
      </c>
      <c r="AP610" cm="1">
        <f t="array" ref="AP610">_xlfn.XLOOKUP(Matrix[[#This Row],[TEAM]]&amp;Matrix[[#Headers],[30]],FDR[FDR]&amp;FDR[[#Headers],[30]],FDR[30],"",0,1)</f>
        <v>5</v>
      </c>
      <c r="AQ610" cm="1">
        <f t="array" ref="AQ610">_xlfn.XLOOKUP(Matrix[[#This Row],[TEAM]]&amp;Matrix[[#Headers],[31]],FDR[FDR]&amp;FDR[[#Headers],[31]],FDR[31],"",0,1)</f>
        <v>4</v>
      </c>
      <c r="AR610" cm="1">
        <f t="array" ref="AR610">_xlfn.XLOOKUP(Matrix[[#This Row],[TEAM]]&amp;Matrix[[#Headers],[32]],FDR[FDR]&amp;FDR[[#Headers],[32]],FDR[32],"",0,1)</f>
        <v>5</v>
      </c>
      <c r="AS610" cm="1">
        <f t="array" ref="AS610">_xlfn.XLOOKUP(Matrix[[#This Row],[TEAM]]&amp;Matrix[[#Headers],[33]],FDR[FDR]&amp;FDR[[#Headers],[33]],FDR[33],"",0,1)</f>
        <v>3</v>
      </c>
      <c r="AT610" cm="1">
        <f t="array" ref="AT610">_xlfn.XLOOKUP(Matrix[[#This Row],[TEAM]]&amp;Matrix[[#Headers],[34]],FDR[FDR]&amp;FDR[[#Headers],[34]],FDR[34],"",0,1)</f>
        <v>5</v>
      </c>
      <c r="AU610" cm="1">
        <f t="array" ref="AU610">_xlfn.XLOOKUP(Matrix[[#This Row],[TEAM]]&amp;Matrix[[#Headers],[35]],FDR[FDR]&amp;FDR[[#Headers],[35]],FDR[35],"",0,1)</f>
        <v>3</v>
      </c>
      <c r="AV610" cm="1">
        <f t="array" ref="AV610">_xlfn.XLOOKUP(Matrix[[#This Row],[TEAM]]&amp;Matrix[[#Headers],[36]],FDR[FDR]&amp;FDR[[#Headers],[36]],FDR[36],"",0,1)</f>
        <v>5</v>
      </c>
      <c r="AW610" cm="1">
        <f t="array" ref="AW610">_xlfn.XLOOKUP(Matrix[[#This Row],[TEAM]]&amp;Matrix[[#Headers],[37]],FDR[FDR]&amp;FDR[[#Headers],[37]],FDR[37],"",0,1)</f>
        <v>5</v>
      </c>
      <c r="AX610" cm="1">
        <f t="array" ref="AX610">_xlfn.XLOOKUP(Matrix[[#This Row],[TEAM]]&amp;Matrix[[#Headers],[38]],FDR[FDR]&amp;FDR[[#Headers],[38]],FDR[38],"",0,1)</f>
        <v>5</v>
      </c>
    </row>
    <row r="611" spans="1:50" ht="22" thickTop="1" thickBot="1">
      <c r="A611" s="54" t="s">
        <v>657</v>
      </c>
      <c r="B611" s="70" t="s">
        <v>1715</v>
      </c>
      <c r="C611" s="40" t="s">
        <v>634</v>
      </c>
      <c r="D611" s="62">
        <v>0</v>
      </c>
      <c r="E611" s="60">
        <v>2E-3</v>
      </c>
      <c r="F611" s="61">
        <v>0</v>
      </c>
      <c r="G611" s="63">
        <v>4.5</v>
      </c>
      <c r="H611" s="261">
        <f>IF(ISBLANK(I611),0,1)</f>
        <v>1</v>
      </c>
      <c r="I611" s="57" t="s">
        <v>982</v>
      </c>
      <c r="J611" s="58">
        <v>0.75</v>
      </c>
      <c r="K611" s="65" t="s">
        <v>441</v>
      </c>
      <c r="L611" s="65" t="s">
        <v>1161</v>
      </c>
      <c r="M611" cm="1">
        <f t="array" ref="M611">_xlfn.XLOOKUP(Matrix[[#This Row],[TEAM]]&amp;Matrix[[#Headers],[1]],FDR[FDR]&amp;FDR[[#Headers],[1]],FDR[1],"",0,1)</f>
        <v>4</v>
      </c>
      <c r="N611" cm="1">
        <f t="array" ref="N611">_xlfn.XLOOKUP(Matrix[[#This Row],[TEAM]]&amp;Matrix[[#Headers],[2]],FDR[FDR]&amp;FDR[[#Headers],[2]],FDR[2],"",0,1)</f>
        <v>4</v>
      </c>
      <c r="O611" cm="1">
        <f t="array" ref="O611">_xlfn.XLOOKUP(Matrix[[#This Row],[TEAM]]&amp;Matrix[[#Headers],[3]],FDR[FDR]&amp;FDR[[#Headers],[3]],FDR[3],"",0,1)</f>
        <v>4</v>
      </c>
      <c r="P611" cm="1">
        <f t="array" ref="P611">_xlfn.XLOOKUP(Matrix[[#This Row],[TEAM]]&amp;Matrix[[#Headers],[4]],FDR[FDR]&amp;FDR[[#Headers],[4]],FDR[4],"",0,1)</f>
        <v>5</v>
      </c>
      <c r="Q611" cm="1">
        <f t="array" ref="Q611">_xlfn.XLOOKUP(Matrix[[#This Row],[TEAM]]&amp;Matrix[[#Headers],[5]],FDR[FDR]&amp;FDR[[#Headers],[5]],FDR[5],"",0,1)</f>
        <v>5</v>
      </c>
      <c r="R611" cm="1">
        <f t="array" ref="R611">_xlfn.XLOOKUP(Matrix[[#This Row],[TEAM]]&amp;Matrix[[#Headers],[6]],FDR[FDR]&amp;FDR[[#Headers],[6]],FDR[6],"",0,1)</f>
        <v>5</v>
      </c>
      <c r="S611" cm="1">
        <f t="array" ref="S611">_xlfn.XLOOKUP(Matrix[[#This Row],[TEAM]]&amp;Matrix[[#Headers],[7]],FDR[FDR]&amp;FDR[[#Headers],[7]],FDR[7],"",0,1)</f>
        <v>5</v>
      </c>
      <c r="T611" cm="1">
        <f t="array" ref="T611">_xlfn.XLOOKUP(Matrix[[#This Row],[TEAM]]&amp;Matrix[[#Headers],[8]],FDR[FDR]&amp;FDR[[#Headers],[8]],FDR[8],"",0,1)</f>
        <v>3</v>
      </c>
      <c r="U611" cm="1">
        <f t="array" ref="U611">_xlfn.XLOOKUP(Matrix[[#This Row],[TEAM]]&amp;Matrix[[#Headers],[9]],FDR[FDR]&amp;FDR[[#Headers],[9]],FDR[9],"",0,1)</f>
        <v>5</v>
      </c>
      <c r="V611" cm="1">
        <f t="array" ref="V611">_xlfn.XLOOKUP(Matrix[[#This Row],[TEAM]]&amp;Matrix[[#Headers],[10]],FDR[FDR]&amp;FDR[[#Headers],[10]],FDR[10],"",0,1)</f>
        <v>4</v>
      </c>
      <c r="W611" cm="1">
        <f t="array" ref="W611">_xlfn.XLOOKUP(Matrix[[#This Row],[TEAM]]&amp;Matrix[[#Headers],[11]],FDR[FDR]&amp;FDR[[#Headers],[11]],FDR[11],"",0,1)</f>
        <v>5</v>
      </c>
      <c r="X611" cm="1">
        <f t="array" ref="X611">_xlfn.XLOOKUP(Matrix[[#This Row],[TEAM]]&amp;Matrix[[#Headers],[12]],FDR[FDR]&amp;FDR[[#Headers],[12]],FDR[12],"",0,1)</f>
        <v>5</v>
      </c>
      <c r="Y611" cm="1">
        <f t="array" ref="Y611">_xlfn.XLOOKUP(Matrix[[#This Row],[TEAM]]&amp;Matrix[[#Headers],[13]],FDR[FDR]&amp;FDR[[#Headers],[13]],FDR[13],"",0,1)</f>
        <v>5</v>
      </c>
      <c r="Z611" cm="1">
        <f t="array" ref="Z611">_xlfn.XLOOKUP(Matrix[[#This Row],[TEAM]]&amp;Matrix[[#Headers],[14]],FDR[FDR]&amp;FDR[[#Headers],[14]],FDR[14],"",0,1)</f>
        <v>5</v>
      </c>
      <c r="AA611" cm="1">
        <f t="array" ref="AA611">_xlfn.XLOOKUP(Matrix[[#This Row],[TEAM]]&amp;Matrix[[#Headers],[15]],FDR[FDR]&amp;FDR[[#Headers],[15]],FDR[15],"",0,1)</f>
        <v>5</v>
      </c>
      <c r="AB611" cm="1">
        <f t="array" ref="AB611">_xlfn.XLOOKUP(Matrix[[#This Row],[TEAM]]&amp;Matrix[[#Headers],[16]],FDR[FDR]&amp;FDR[[#Headers],[16]],FDR[16],"",0,1)</f>
        <v>5</v>
      </c>
      <c r="AC611" cm="1">
        <f t="array" ref="AC611">_xlfn.XLOOKUP(Matrix[[#This Row],[TEAM]]&amp;Matrix[[#Headers],[17]],FDR[FDR]&amp;FDR[[#Headers],[17]],FDR[17],"",0,1)</f>
        <v>5</v>
      </c>
      <c r="AD611" cm="1">
        <f t="array" ref="AD611">_xlfn.XLOOKUP(Matrix[[#This Row],[TEAM]]&amp;Matrix[[#Headers],[18]],FDR[FDR]&amp;FDR[[#Headers],[18]],FDR[18],"",0,1)</f>
        <v>3</v>
      </c>
      <c r="AE611" cm="1">
        <f t="array" ref="AE611">_xlfn.XLOOKUP(Matrix[[#This Row],[TEAM]]&amp;Matrix[[#Headers],[19]],FDR[FDR]&amp;FDR[[#Headers],[19]],FDR[19],"",0,1)</f>
        <v>5</v>
      </c>
      <c r="AF611" cm="1">
        <f t="array" ref="AF611">_xlfn.XLOOKUP(Matrix[[#This Row],[TEAM]]&amp;Matrix[[#Headers],[20]],FDR[FDR]&amp;FDR[[#Headers],[20]],FDR[20],"",0,1)</f>
        <v>5</v>
      </c>
      <c r="AG611" cm="1">
        <f t="array" ref="AG611">_xlfn.XLOOKUP(Matrix[[#This Row],[TEAM]]&amp;Matrix[[#Headers],[21]],FDR[FDR]&amp;FDR[[#Headers],[21]],FDR[21],"",0,1)</f>
        <v>5</v>
      </c>
      <c r="AH611" cm="1">
        <f t="array" ref="AH611">_xlfn.XLOOKUP(Matrix[[#This Row],[TEAM]]&amp;Matrix[[#Headers],[22]],FDR[FDR]&amp;FDR[[#Headers],[22]],FDR[22],"",0,1)</f>
        <v>4</v>
      </c>
      <c r="AI611" cm="1">
        <f t="array" ref="AI611">_xlfn.XLOOKUP(Matrix[[#This Row],[TEAM]]&amp;Matrix[[#Headers],[23]],FDR[FDR]&amp;FDR[[#Headers],[23]],FDR[23],"",0,1)</f>
        <v>5</v>
      </c>
      <c r="AJ611" cm="1">
        <f t="array" ref="AJ611">_xlfn.XLOOKUP(Matrix[[#This Row],[TEAM]]&amp;Matrix[[#Headers],[24]],FDR[FDR]&amp;FDR[[#Headers],[24]],FDR[24],"",0,1)</f>
        <v>3</v>
      </c>
      <c r="AK611" cm="1">
        <f t="array" ref="AK611">_xlfn.XLOOKUP(Matrix[[#This Row],[TEAM]]&amp;Matrix[[#Headers],[25]],FDR[FDR]&amp;FDR[[#Headers],[25]],FDR[25],"",0,1)</f>
        <v>5</v>
      </c>
      <c r="AL611" cm="1">
        <f t="array" ref="AL611">_xlfn.XLOOKUP(Matrix[[#This Row],[TEAM]]&amp;Matrix[[#Headers],[26]],FDR[FDR]&amp;FDR[[#Headers],[26]],FDR[26],"",0,1)</f>
        <v>5</v>
      </c>
      <c r="AM611" cm="1">
        <f t="array" ref="AM611">_xlfn.XLOOKUP(Matrix[[#This Row],[TEAM]]&amp;Matrix[[#Headers],[27]],FDR[FDR]&amp;FDR[[#Headers],[27]],FDR[27],"",0,1)</f>
        <v>5</v>
      </c>
      <c r="AN611" cm="1">
        <f t="array" ref="AN611">_xlfn.XLOOKUP(Matrix[[#This Row],[TEAM]]&amp;Matrix[[#Headers],[28]],FDR[FDR]&amp;FDR[[#Headers],[28]],FDR[28],"",0,1)</f>
        <v>5</v>
      </c>
      <c r="AO611" cm="1">
        <f t="array" ref="AO611">_xlfn.XLOOKUP(Matrix[[#This Row],[TEAM]]&amp;Matrix[[#Headers],[29]],FDR[FDR]&amp;FDR[[#Headers],[29]],FDR[29],"",0,1)</f>
        <v>4</v>
      </c>
      <c r="AP611" cm="1">
        <f t="array" ref="AP611">_xlfn.XLOOKUP(Matrix[[#This Row],[TEAM]]&amp;Matrix[[#Headers],[30]],FDR[FDR]&amp;FDR[[#Headers],[30]],FDR[30],"",0,1)</f>
        <v>5</v>
      </c>
      <c r="AQ611" cm="1">
        <f t="array" ref="AQ611">_xlfn.XLOOKUP(Matrix[[#This Row],[TEAM]]&amp;Matrix[[#Headers],[31]],FDR[FDR]&amp;FDR[[#Headers],[31]],FDR[31],"",0,1)</f>
        <v>5</v>
      </c>
      <c r="AR611" cm="1">
        <f t="array" ref="AR611">_xlfn.XLOOKUP(Matrix[[#This Row],[TEAM]]&amp;Matrix[[#Headers],[32]],FDR[FDR]&amp;FDR[[#Headers],[32]],FDR[32],"",0,1)</f>
        <v>5</v>
      </c>
      <c r="AS611" cm="1">
        <f t="array" ref="AS611">_xlfn.XLOOKUP(Matrix[[#This Row],[TEAM]]&amp;Matrix[[#Headers],[33]],FDR[FDR]&amp;FDR[[#Headers],[33]],FDR[33],"",0,1)</f>
        <v>5</v>
      </c>
      <c r="AT611" cm="1">
        <f t="array" ref="AT611">_xlfn.XLOOKUP(Matrix[[#This Row],[TEAM]]&amp;Matrix[[#Headers],[34]],FDR[FDR]&amp;FDR[[#Headers],[34]],FDR[34],"",0,1)</f>
        <v>5</v>
      </c>
      <c r="AU611" cm="1">
        <f t="array" ref="AU611">_xlfn.XLOOKUP(Matrix[[#This Row],[TEAM]]&amp;Matrix[[#Headers],[35]],FDR[FDR]&amp;FDR[[#Headers],[35]],FDR[35],"",0,1)</f>
        <v>4</v>
      </c>
      <c r="AV611" cm="1">
        <f t="array" ref="AV611">_xlfn.XLOOKUP(Matrix[[#This Row],[TEAM]]&amp;Matrix[[#Headers],[36]],FDR[FDR]&amp;FDR[[#Headers],[36]],FDR[36],"",0,1)</f>
        <v>5</v>
      </c>
      <c r="AW611" cm="1">
        <f t="array" ref="AW611">_xlfn.XLOOKUP(Matrix[[#This Row],[TEAM]]&amp;Matrix[[#Headers],[37]],FDR[FDR]&amp;FDR[[#Headers],[37]],FDR[37],"",0,1)</f>
        <v>5</v>
      </c>
      <c r="AX611" cm="1">
        <f t="array" ref="AX611">_xlfn.XLOOKUP(Matrix[[#This Row],[TEAM]]&amp;Matrix[[#Headers],[38]],FDR[FDR]&amp;FDR[[#Headers],[38]],FDR[38],"",0,1)</f>
        <v>5</v>
      </c>
    </row>
    <row r="612" spans="1:50" ht="22" thickTop="1" thickBot="1">
      <c r="A612" s="53" t="str">
        <f>INDEX!S$4</f>
        <v>MID</v>
      </c>
      <c r="B612" s="70" t="s">
        <v>1738</v>
      </c>
      <c r="C612" s="40" t="s">
        <v>26</v>
      </c>
      <c r="D612" s="62">
        <v>9</v>
      </c>
      <c r="E612" s="60">
        <v>1E-3</v>
      </c>
      <c r="F612" s="61">
        <v>11.5</v>
      </c>
      <c r="G612" s="63">
        <v>4.5</v>
      </c>
      <c r="H612" s="261">
        <f>IF(ISBLANK(I612),0,1)</f>
        <v>1</v>
      </c>
      <c r="I612" s="57" t="s">
        <v>1050</v>
      </c>
      <c r="J612" s="58" t="s">
        <v>1996</v>
      </c>
      <c r="K612" s="59" t="s">
        <v>510</v>
      </c>
      <c r="L612" s="59" t="s">
        <v>958</v>
      </c>
      <c r="M612" cm="1">
        <f t="array" ref="M612">_xlfn.XLOOKUP(Matrix[[#This Row],[TEAM]]&amp;Matrix[[#Headers],[1]],FDR[FDR]&amp;FDR[[#Headers],[1]],FDR[1],"",0,1)</f>
        <v>5</v>
      </c>
      <c r="N612" cm="1">
        <f t="array" ref="N612">_xlfn.XLOOKUP(Matrix[[#This Row],[TEAM]]&amp;Matrix[[#Headers],[2]],FDR[FDR]&amp;FDR[[#Headers],[2]],FDR[2],"",0,1)</f>
        <v>3</v>
      </c>
      <c r="O612" cm="1">
        <f t="array" ref="O612">_xlfn.XLOOKUP(Matrix[[#This Row],[TEAM]]&amp;Matrix[[#Headers],[3]],FDR[FDR]&amp;FDR[[#Headers],[3]],FDR[3],"",0,1)</f>
        <v>5</v>
      </c>
      <c r="P612" cm="1">
        <f t="array" ref="P612">_xlfn.XLOOKUP(Matrix[[#This Row],[TEAM]]&amp;Matrix[[#Headers],[4]],FDR[FDR]&amp;FDR[[#Headers],[4]],FDR[4],"",0,1)</f>
        <v>1</v>
      </c>
      <c r="Q612" cm="1">
        <f t="array" ref="Q612">_xlfn.XLOOKUP(Matrix[[#This Row],[TEAM]]&amp;Matrix[[#Headers],[5]],FDR[FDR]&amp;FDR[[#Headers],[5]],FDR[5],"",0,1)</f>
        <v>4</v>
      </c>
      <c r="R612" cm="1">
        <f t="array" ref="R612">_xlfn.XLOOKUP(Matrix[[#This Row],[TEAM]]&amp;Matrix[[#Headers],[6]],FDR[FDR]&amp;FDR[[#Headers],[6]],FDR[6],"",0,1)</f>
        <v>4</v>
      </c>
      <c r="S612" cm="1">
        <f t="array" ref="S612">_xlfn.XLOOKUP(Matrix[[#This Row],[TEAM]]&amp;Matrix[[#Headers],[7]],FDR[FDR]&amp;FDR[[#Headers],[7]],FDR[7],"",0,1)</f>
        <v>4</v>
      </c>
      <c r="T612" cm="1">
        <f t="array" ref="T612">_xlfn.XLOOKUP(Matrix[[#This Row],[TEAM]]&amp;Matrix[[#Headers],[8]],FDR[FDR]&amp;FDR[[#Headers],[8]],FDR[8],"",0,1)</f>
        <v>3</v>
      </c>
      <c r="U612" cm="1">
        <f t="array" ref="U612">_xlfn.XLOOKUP(Matrix[[#This Row],[TEAM]]&amp;Matrix[[#Headers],[9]],FDR[FDR]&amp;FDR[[#Headers],[9]],FDR[9],"",0,1)</f>
        <v>5</v>
      </c>
      <c r="V612" cm="1">
        <f t="array" ref="V612">_xlfn.XLOOKUP(Matrix[[#This Row],[TEAM]]&amp;Matrix[[#Headers],[10]],FDR[FDR]&amp;FDR[[#Headers],[10]],FDR[10],"",0,1)</f>
        <v>3</v>
      </c>
      <c r="W612" cm="1">
        <f t="array" ref="W612">_xlfn.XLOOKUP(Matrix[[#This Row],[TEAM]]&amp;Matrix[[#Headers],[11]],FDR[FDR]&amp;FDR[[#Headers],[11]],FDR[11],"",0,1)</f>
        <v>3</v>
      </c>
      <c r="X612" cm="1">
        <f t="array" ref="X612">_xlfn.XLOOKUP(Matrix[[#This Row],[TEAM]]&amp;Matrix[[#Headers],[12]],FDR[FDR]&amp;FDR[[#Headers],[12]],FDR[12],"",0,1)</f>
        <v>2</v>
      </c>
      <c r="Y612" cm="1">
        <f t="array" ref="Y612">_xlfn.XLOOKUP(Matrix[[#This Row],[TEAM]]&amp;Matrix[[#Headers],[13]],FDR[FDR]&amp;FDR[[#Headers],[13]],FDR[13],"",0,1)</f>
        <v>4</v>
      </c>
      <c r="Z612" cm="1">
        <f t="array" ref="Z612">_xlfn.XLOOKUP(Matrix[[#This Row],[TEAM]]&amp;Matrix[[#Headers],[14]],FDR[FDR]&amp;FDR[[#Headers],[14]],FDR[14],"",0,1)</f>
        <v>2</v>
      </c>
      <c r="AA612" cm="1">
        <f t="array" ref="AA612">_xlfn.XLOOKUP(Matrix[[#This Row],[TEAM]]&amp;Matrix[[#Headers],[15]],FDR[FDR]&amp;FDR[[#Headers],[15]],FDR[15],"",0,1)</f>
        <v>4</v>
      </c>
      <c r="AB612" cm="1">
        <f t="array" ref="AB612">_xlfn.XLOOKUP(Matrix[[#This Row],[TEAM]]&amp;Matrix[[#Headers],[16]],FDR[FDR]&amp;FDR[[#Headers],[16]],FDR[16],"",0,1)</f>
        <v>4</v>
      </c>
      <c r="AC612" cm="1">
        <f t="array" ref="AC612">_xlfn.XLOOKUP(Matrix[[#This Row],[TEAM]]&amp;Matrix[[#Headers],[17]],FDR[FDR]&amp;FDR[[#Headers],[17]],FDR[17],"",0,1)</f>
        <v>2</v>
      </c>
      <c r="AD612" cm="1">
        <f t="array" ref="AD612">_xlfn.XLOOKUP(Matrix[[#This Row],[TEAM]]&amp;Matrix[[#Headers],[18]],FDR[FDR]&amp;FDR[[#Headers],[18]],FDR[18],"",0,1)</f>
        <v>4</v>
      </c>
      <c r="AE612" cm="1">
        <f t="array" ref="AE612">_xlfn.XLOOKUP(Matrix[[#This Row],[TEAM]]&amp;Matrix[[#Headers],[19]],FDR[FDR]&amp;FDR[[#Headers],[19]],FDR[19],"",0,1)</f>
        <v>3</v>
      </c>
      <c r="AF612" cm="1">
        <f t="array" ref="AF612">_xlfn.XLOOKUP(Matrix[[#This Row],[TEAM]]&amp;Matrix[[#Headers],[20]],FDR[FDR]&amp;FDR[[#Headers],[20]],FDR[20],"",0,1)</f>
        <v>5</v>
      </c>
      <c r="AG612" cm="1">
        <f t="array" ref="AG612">_xlfn.XLOOKUP(Matrix[[#This Row],[TEAM]]&amp;Matrix[[#Headers],[21]],FDR[FDR]&amp;FDR[[#Headers],[21]],FDR[21],"",0,1)</f>
        <v>4</v>
      </c>
      <c r="AH612" cm="1">
        <f t="array" ref="AH612">_xlfn.XLOOKUP(Matrix[[#This Row],[TEAM]]&amp;Matrix[[#Headers],[22]],FDR[FDR]&amp;FDR[[#Headers],[22]],FDR[22],"",0,1)</f>
        <v>2</v>
      </c>
      <c r="AI612" cm="1">
        <f t="array" ref="AI612">_xlfn.XLOOKUP(Matrix[[#This Row],[TEAM]]&amp;Matrix[[#Headers],[23]],FDR[FDR]&amp;FDR[[#Headers],[23]],FDR[23],"",0,1)</f>
        <v>4</v>
      </c>
      <c r="AJ612" cm="1">
        <f t="array" ref="AJ612">_xlfn.XLOOKUP(Matrix[[#This Row],[TEAM]]&amp;Matrix[[#Headers],[24]],FDR[FDR]&amp;FDR[[#Headers],[24]],FDR[24],"",0,1)</f>
        <v>4</v>
      </c>
      <c r="AK612" cm="1">
        <f t="array" ref="AK612">_xlfn.XLOOKUP(Matrix[[#This Row],[TEAM]]&amp;Matrix[[#Headers],[25]],FDR[FDR]&amp;FDR[[#Headers],[25]],FDR[25],"",0,1)</f>
        <v>4</v>
      </c>
      <c r="AL612" cm="1">
        <f t="array" ref="AL612">_xlfn.XLOOKUP(Matrix[[#This Row],[TEAM]]&amp;Matrix[[#Headers],[26]],FDR[FDR]&amp;FDR[[#Headers],[26]],FDR[26],"",0,1)</f>
        <v>1</v>
      </c>
      <c r="AM612" cm="1">
        <f t="array" ref="AM612">_xlfn.XLOOKUP(Matrix[[#This Row],[TEAM]]&amp;Matrix[[#Headers],[27]],FDR[FDR]&amp;FDR[[#Headers],[27]],FDR[27],"",0,1)</f>
        <v>2</v>
      </c>
      <c r="AN612" cm="1">
        <f t="array" ref="AN612">_xlfn.XLOOKUP(Matrix[[#This Row],[TEAM]]&amp;Matrix[[#Headers],[28]],FDR[FDR]&amp;FDR[[#Headers],[28]],FDR[28],"",0,1)</f>
        <v>5</v>
      </c>
      <c r="AO612" cm="1">
        <f t="array" ref="AO612">_xlfn.XLOOKUP(Matrix[[#This Row],[TEAM]]&amp;Matrix[[#Headers],[29]],FDR[FDR]&amp;FDR[[#Headers],[29]],FDR[29],"",0,1)</f>
        <v>5</v>
      </c>
      <c r="AP612" cm="1">
        <f t="array" ref="AP612">_xlfn.XLOOKUP(Matrix[[#This Row],[TEAM]]&amp;Matrix[[#Headers],[30]],FDR[FDR]&amp;FDR[[#Headers],[30]],FDR[30],"",0,1)</f>
        <v>1</v>
      </c>
      <c r="AQ612" cm="1">
        <f t="array" ref="AQ612">_xlfn.XLOOKUP(Matrix[[#This Row],[TEAM]]&amp;Matrix[[#Headers],[31]],FDR[FDR]&amp;FDR[[#Headers],[31]],FDR[31],"",0,1)</f>
        <v>5</v>
      </c>
      <c r="AR612" cm="1">
        <f t="array" ref="AR612">_xlfn.XLOOKUP(Matrix[[#This Row],[TEAM]]&amp;Matrix[[#Headers],[32]],FDR[FDR]&amp;FDR[[#Headers],[32]],FDR[32],"",0,1)</f>
        <v>4</v>
      </c>
      <c r="AS612" cm="1">
        <f t="array" ref="AS612">_xlfn.XLOOKUP(Matrix[[#This Row],[TEAM]]&amp;Matrix[[#Headers],[33]],FDR[FDR]&amp;FDR[[#Headers],[33]],FDR[33],"",0,1)</f>
        <v>3</v>
      </c>
      <c r="AT612" cm="1">
        <f t="array" ref="AT612">_xlfn.XLOOKUP(Matrix[[#This Row],[TEAM]]&amp;Matrix[[#Headers],[34]],FDR[FDR]&amp;FDR[[#Headers],[34]],FDR[34],"",0,1)</f>
        <v>5</v>
      </c>
      <c r="AU612" cm="1">
        <f t="array" ref="AU612">_xlfn.XLOOKUP(Matrix[[#This Row],[TEAM]]&amp;Matrix[[#Headers],[35]],FDR[FDR]&amp;FDR[[#Headers],[35]],FDR[35],"",0,1)</f>
        <v>4</v>
      </c>
      <c r="AV612" cm="1">
        <f t="array" ref="AV612">_xlfn.XLOOKUP(Matrix[[#This Row],[TEAM]]&amp;Matrix[[#Headers],[36]],FDR[FDR]&amp;FDR[[#Headers],[36]],FDR[36],"",0,1)</f>
        <v>3</v>
      </c>
      <c r="AW612" cm="1">
        <f t="array" ref="AW612">_xlfn.XLOOKUP(Matrix[[#This Row],[TEAM]]&amp;Matrix[[#Headers],[37]],FDR[FDR]&amp;FDR[[#Headers],[37]],FDR[37],"",0,1)</f>
        <v>4</v>
      </c>
      <c r="AX612" cm="1">
        <f t="array" ref="AX612">_xlfn.XLOOKUP(Matrix[[#This Row],[TEAM]]&amp;Matrix[[#Headers],[38]],FDR[FDR]&amp;FDR[[#Headers],[38]],FDR[38],"",0,1)</f>
        <v>4</v>
      </c>
    </row>
    <row r="613" spans="1:50" ht="22" thickTop="1" thickBot="1">
      <c r="A613" s="53" t="str">
        <f>INDEX!S$4</f>
        <v>MID</v>
      </c>
      <c r="B613" s="70" t="s">
        <v>1726</v>
      </c>
      <c r="C613" s="40" t="s">
        <v>21</v>
      </c>
      <c r="D613" s="62">
        <v>8</v>
      </c>
      <c r="E613" s="60">
        <v>1E-3</v>
      </c>
      <c r="F613" s="61">
        <v>5.4</v>
      </c>
      <c r="G613" s="63">
        <v>4.5</v>
      </c>
      <c r="H613" s="261">
        <f>IF(ISBLANK(I613),0,1)</f>
        <v>1</v>
      </c>
      <c r="I613" s="57" t="s">
        <v>894</v>
      </c>
      <c r="J613" s="58">
        <v>0.75</v>
      </c>
      <c r="K613" s="59" t="s">
        <v>1017</v>
      </c>
      <c r="L613" s="59" t="s">
        <v>1018</v>
      </c>
      <c r="M613" cm="1">
        <f t="array" ref="M613">_xlfn.XLOOKUP(Matrix[[#This Row],[TEAM]]&amp;Matrix[[#Headers],[1]],FDR[FDR]&amp;FDR[[#Headers],[1]],FDR[1],"",0,1)</f>
        <v>4</v>
      </c>
      <c r="N613" cm="1">
        <f t="array" ref="N613">_xlfn.XLOOKUP(Matrix[[#This Row],[TEAM]]&amp;Matrix[[#Headers],[2]],FDR[FDR]&amp;FDR[[#Headers],[2]],FDR[2],"",0,1)</f>
        <v>4</v>
      </c>
      <c r="O613" cm="1">
        <f t="array" ref="O613">_xlfn.XLOOKUP(Matrix[[#This Row],[TEAM]]&amp;Matrix[[#Headers],[3]],FDR[FDR]&amp;FDR[[#Headers],[3]],FDR[3],"",0,1)</f>
        <v>2</v>
      </c>
      <c r="P613" cm="1">
        <f t="array" ref="P613">_xlfn.XLOOKUP(Matrix[[#This Row],[TEAM]]&amp;Matrix[[#Headers],[4]],FDR[FDR]&amp;FDR[[#Headers],[4]],FDR[4],"",0,1)</f>
        <v>4</v>
      </c>
      <c r="Q613" cm="1">
        <f t="array" ref="Q613">_xlfn.XLOOKUP(Matrix[[#This Row],[TEAM]]&amp;Matrix[[#Headers],[5]],FDR[FDR]&amp;FDR[[#Headers],[5]],FDR[5],"",0,1)</f>
        <v>4</v>
      </c>
      <c r="R613" cm="1">
        <f t="array" ref="R613">_xlfn.XLOOKUP(Matrix[[#This Row],[TEAM]]&amp;Matrix[[#Headers],[6]],FDR[FDR]&amp;FDR[[#Headers],[6]],FDR[6],"",0,1)</f>
        <v>4</v>
      </c>
      <c r="S613" cm="1">
        <f t="array" ref="S613">_xlfn.XLOOKUP(Matrix[[#This Row],[TEAM]]&amp;Matrix[[#Headers],[7]],FDR[FDR]&amp;FDR[[#Headers],[7]],FDR[7],"",0,1)</f>
        <v>4</v>
      </c>
      <c r="T613" cm="1">
        <f t="array" ref="T613">_xlfn.XLOOKUP(Matrix[[#This Row],[TEAM]]&amp;Matrix[[#Headers],[8]],FDR[FDR]&amp;FDR[[#Headers],[8]],FDR[8],"",0,1)</f>
        <v>4</v>
      </c>
      <c r="U613" cm="1">
        <f t="array" ref="U613">_xlfn.XLOOKUP(Matrix[[#This Row],[TEAM]]&amp;Matrix[[#Headers],[9]],FDR[FDR]&amp;FDR[[#Headers],[9]],FDR[9],"",0,1)</f>
        <v>4</v>
      </c>
      <c r="V613" cm="1">
        <f t="array" ref="V613">_xlfn.XLOOKUP(Matrix[[#This Row],[TEAM]]&amp;Matrix[[#Headers],[10]],FDR[FDR]&amp;FDR[[#Headers],[10]],FDR[10],"",0,1)</f>
        <v>4</v>
      </c>
      <c r="W613" cm="1">
        <f t="array" ref="W613">_xlfn.XLOOKUP(Matrix[[#This Row],[TEAM]]&amp;Matrix[[#Headers],[11]],FDR[FDR]&amp;FDR[[#Headers],[11]],FDR[11],"",0,1)</f>
        <v>4</v>
      </c>
      <c r="X613" cm="1">
        <f t="array" ref="X613">_xlfn.XLOOKUP(Matrix[[#This Row],[TEAM]]&amp;Matrix[[#Headers],[12]],FDR[FDR]&amp;FDR[[#Headers],[12]],FDR[12],"",0,1)</f>
        <v>4</v>
      </c>
      <c r="Y613" cm="1">
        <f t="array" ref="Y613">_xlfn.XLOOKUP(Matrix[[#This Row],[TEAM]]&amp;Matrix[[#Headers],[13]],FDR[FDR]&amp;FDR[[#Headers],[13]],FDR[13],"",0,1)</f>
        <v>1</v>
      </c>
      <c r="Z613" cm="1">
        <f t="array" ref="Z613">_xlfn.XLOOKUP(Matrix[[#This Row],[TEAM]]&amp;Matrix[[#Headers],[14]],FDR[FDR]&amp;FDR[[#Headers],[14]],FDR[14],"",0,1)</f>
        <v>5</v>
      </c>
      <c r="AA613" cm="1">
        <f t="array" ref="AA613">_xlfn.XLOOKUP(Matrix[[#This Row],[TEAM]]&amp;Matrix[[#Headers],[15]],FDR[FDR]&amp;FDR[[#Headers],[15]],FDR[15],"",0,1)</f>
        <v>5</v>
      </c>
      <c r="AB613" cm="1">
        <f t="array" ref="AB613">_xlfn.XLOOKUP(Matrix[[#This Row],[TEAM]]&amp;Matrix[[#Headers],[16]],FDR[FDR]&amp;FDR[[#Headers],[16]],FDR[16],"",0,1)</f>
        <v>1</v>
      </c>
      <c r="AC613" cm="1">
        <f t="array" ref="AC613">_xlfn.XLOOKUP(Matrix[[#This Row],[TEAM]]&amp;Matrix[[#Headers],[17]],FDR[FDR]&amp;FDR[[#Headers],[17]],FDR[17],"",0,1)</f>
        <v>2</v>
      </c>
      <c r="AD613" cm="1">
        <f t="array" ref="AD613">_xlfn.XLOOKUP(Matrix[[#This Row],[TEAM]]&amp;Matrix[[#Headers],[18]],FDR[FDR]&amp;FDR[[#Headers],[18]],FDR[18],"",0,1)</f>
        <v>3</v>
      </c>
      <c r="AE613" cm="1">
        <f t="array" ref="AE613">_xlfn.XLOOKUP(Matrix[[#This Row],[TEAM]]&amp;Matrix[[#Headers],[19]],FDR[FDR]&amp;FDR[[#Headers],[19]],FDR[19],"",0,1)</f>
        <v>4</v>
      </c>
      <c r="AF613" cm="1">
        <f t="array" ref="AF613">_xlfn.XLOOKUP(Matrix[[#This Row],[TEAM]]&amp;Matrix[[#Headers],[20]],FDR[FDR]&amp;FDR[[#Headers],[20]],FDR[20],"",0,1)</f>
        <v>4</v>
      </c>
      <c r="AG613" cm="1">
        <f t="array" ref="AG613">_xlfn.XLOOKUP(Matrix[[#This Row],[TEAM]]&amp;Matrix[[#Headers],[21]],FDR[FDR]&amp;FDR[[#Headers],[21]],FDR[21],"",0,1)</f>
        <v>1</v>
      </c>
      <c r="AH613" cm="1">
        <f t="array" ref="AH613">_xlfn.XLOOKUP(Matrix[[#This Row],[TEAM]]&amp;Matrix[[#Headers],[22]],FDR[FDR]&amp;FDR[[#Headers],[22]],FDR[22],"",0,1)</f>
        <v>5</v>
      </c>
      <c r="AI613" cm="1">
        <f t="array" ref="AI613">_xlfn.XLOOKUP(Matrix[[#This Row],[TEAM]]&amp;Matrix[[#Headers],[23]],FDR[FDR]&amp;FDR[[#Headers],[23]],FDR[23],"",0,1)</f>
        <v>3</v>
      </c>
      <c r="AJ613" cm="1">
        <f t="array" ref="AJ613">_xlfn.XLOOKUP(Matrix[[#This Row],[TEAM]]&amp;Matrix[[#Headers],[24]],FDR[FDR]&amp;FDR[[#Headers],[24]],FDR[24],"",0,1)</f>
        <v>5</v>
      </c>
      <c r="AK613" cm="1">
        <f t="array" ref="AK613">_xlfn.XLOOKUP(Matrix[[#This Row],[TEAM]]&amp;Matrix[[#Headers],[25]],FDR[FDR]&amp;FDR[[#Headers],[25]],FDR[25],"",0,1)</f>
        <v>5</v>
      </c>
      <c r="AL613" cm="1">
        <f t="array" ref="AL613">_xlfn.XLOOKUP(Matrix[[#This Row],[TEAM]]&amp;Matrix[[#Headers],[26]],FDR[FDR]&amp;FDR[[#Headers],[26]],FDR[26],"",0,1)</f>
        <v>4</v>
      </c>
      <c r="AM613" cm="1">
        <f t="array" ref="AM613">_xlfn.XLOOKUP(Matrix[[#This Row],[TEAM]]&amp;Matrix[[#Headers],[27]],FDR[FDR]&amp;FDR[[#Headers],[27]],FDR[27],"",0,1)</f>
        <v>3</v>
      </c>
      <c r="AN613" cm="1">
        <f t="array" ref="AN613">_xlfn.XLOOKUP(Matrix[[#This Row],[TEAM]]&amp;Matrix[[#Headers],[28]],FDR[FDR]&amp;FDR[[#Headers],[28]],FDR[28],"",0,1)</f>
        <v>2</v>
      </c>
      <c r="AO613" cm="1">
        <f t="array" ref="AO613">_xlfn.XLOOKUP(Matrix[[#This Row],[TEAM]]&amp;Matrix[[#Headers],[29]],FDR[FDR]&amp;FDR[[#Headers],[29]],FDR[29],"",0,1)</f>
        <v>4</v>
      </c>
      <c r="AP613" cm="1">
        <f t="array" ref="AP613">_xlfn.XLOOKUP(Matrix[[#This Row],[TEAM]]&amp;Matrix[[#Headers],[30]],FDR[FDR]&amp;FDR[[#Headers],[30]],FDR[30],"",0,1)</f>
        <v>2</v>
      </c>
      <c r="AQ613" cm="1">
        <f t="array" ref="AQ613">_xlfn.XLOOKUP(Matrix[[#This Row],[TEAM]]&amp;Matrix[[#Headers],[31]],FDR[FDR]&amp;FDR[[#Headers],[31]],FDR[31],"",0,1)</f>
        <v>2</v>
      </c>
      <c r="AR613" cm="1">
        <f t="array" ref="AR613">_xlfn.XLOOKUP(Matrix[[#This Row],[TEAM]]&amp;Matrix[[#Headers],[32]],FDR[FDR]&amp;FDR[[#Headers],[32]],FDR[32],"",0,1)</f>
        <v>3</v>
      </c>
      <c r="AS613" cm="1">
        <f t="array" ref="AS613">_xlfn.XLOOKUP(Matrix[[#This Row],[TEAM]]&amp;Matrix[[#Headers],[33]],FDR[FDR]&amp;FDR[[#Headers],[33]],FDR[33],"",0,1)</f>
        <v>3</v>
      </c>
      <c r="AT613" cm="1">
        <f t="array" ref="AT613">_xlfn.XLOOKUP(Matrix[[#This Row],[TEAM]]&amp;Matrix[[#Headers],[34]],FDR[FDR]&amp;FDR[[#Headers],[34]],FDR[34],"",0,1)</f>
        <v>5</v>
      </c>
      <c r="AU613" cm="1">
        <f t="array" ref="AU613">_xlfn.XLOOKUP(Matrix[[#This Row],[TEAM]]&amp;Matrix[[#Headers],[35]],FDR[FDR]&amp;FDR[[#Headers],[35]],FDR[35],"",0,1)</f>
        <v>3</v>
      </c>
      <c r="AV613" cm="1">
        <f t="array" ref="AV613">_xlfn.XLOOKUP(Matrix[[#This Row],[TEAM]]&amp;Matrix[[#Headers],[36]],FDR[FDR]&amp;FDR[[#Headers],[36]],FDR[36],"",0,1)</f>
        <v>5</v>
      </c>
      <c r="AW613" cm="1">
        <f t="array" ref="AW613">_xlfn.XLOOKUP(Matrix[[#This Row],[TEAM]]&amp;Matrix[[#Headers],[37]],FDR[FDR]&amp;FDR[[#Headers],[37]],FDR[37],"",0,1)</f>
        <v>3</v>
      </c>
      <c r="AX613" cm="1">
        <f t="array" ref="AX613">_xlfn.XLOOKUP(Matrix[[#This Row],[TEAM]]&amp;Matrix[[#Headers],[38]],FDR[FDR]&amp;FDR[[#Headers],[38]],FDR[38],"",0,1)</f>
        <v>5</v>
      </c>
    </row>
    <row r="614" spans="1:50" ht="22" thickTop="1" thickBot="1">
      <c r="A614" s="50" t="str">
        <f>INDEX!S$4</f>
        <v>MID</v>
      </c>
      <c r="B614" s="70" t="s">
        <v>1708</v>
      </c>
      <c r="C614" s="40" t="s">
        <v>30</v>
      </c>
      <c r="D614" s="62">
        <v>6</v>
      </c>
      <c r="E614" s="60">
        <v>2E-3</v>
      </c>
      <c r="F614" s="61">
        <v>7.9</v>
      </c>
      <c r="G614" s="63">
        <v>4.5</v>
      </c>
      <c r="H614" s="261">
        <f>IF(ISBLANK(I614),0,1)</f>
        <v>1</v>
      </c>
      <c r="I614" s="57" t="s">
        <v>1985</v>
      </c>
      <c r="J614" s="58" t="s">
        <v>1997</v>
      </c>
      <c r="K614" s="59" t="s">
        <v>1107</v>
      </c>
      <c r="L614" s="59" t="s">
        <v>1108</v>
      </c>
      <c r="M614" cm="1">
        <f t="array" ref="M614">_xlfn.XLOOKUP(Matrix[[#This Row],[TEAM]]&amp;Matrix[[#Headers],[1]],FDR[FDR]&amp;FDR[[#Headers],[1]],FDR[1],"",0,1)</f>
        <v>3</v>
      </c>
      <c r="N614" cm="1">
        <f t="array" ref="N614">_xlfn.XLOOKUP(Matrix[[#This Row],[TEAM]]&amp;Matrix[[#Headers],[2]],FDR[FDR]&amp;FDR[[#Headers],[2]],FDR[2],"",0,1)</f>
        <v>2</v>
      </c>
      <c r="O614" cm="1">
        <f t="array" ref="O614">_xlfn.XLOOKUP(Matrix[[#This Row],[TEAM]]&amp;Matrix[[#Headers],[3]],FDR[FDR]&amp;FDR[[#Headers],[3]],FDR[3],"",0,1)</f>
        <v>1</v>
      </c>
      <c r="P614" cm="1">
        <f t="array" ref="P614">_xlfn.XLOOKUP(Matrix[[#This Row],[TEAM]]&amp;Matrix[[#Headers],[4]],FDR[FDR]&amp;FDR[[#Headers],[4]],FDR[4],"",0,1)</f>
        <v>4</v>
      </c>
      <c r="Q614" cm="1">
        <f t="array" ref="Q614">_xlfn.XLOOKUP(Matrix[[#This Row],[TEAM]]&amp;Matrix[[#Headers],[5]],FDR[FDR]&amp;FDR[[#Headers],[5]],FDR[5],"",0,1)</f>
        <v>3</v>
      </c>
      <c r="R614" cm="1">
        <f t="array" ref="R614">_xlfn.XLOOKUP(Matrix[[#This Row],[TEAM]]&amp;Matrix[[#Headers],[6]],FDR[FDR]&amp;FDR[[#Headers],[6]],FDR[6],"",0,1)</f>
        <v>2</v>
      </c>
      <c r="S614" cm="1">
        <f t="array" ref="S614">_xlfn.XLOOKUP(Matrix[[#This Row],[TEAM]]&amp;Matrix[[#Headers],[7]],FDR[FDR]&amp;FDR[[#Headers],[7]],FDR[7],"",0,1)</f>
        <v>1</v>
      </c>
      <c r="T614" cm="1">
        <f t="array" ref="T614">_xlfn.XLOOKUP(Matrix[[#This Row],[TEAM]]&amp;Matrix[[#Headers],[8]],FDR[FDR]&amp;FDR[[#Headers],[8]],FDR[8],"",0,1)</f>
        <v>4</v>
      </c>
      <c r="U614" cm="1">
        <f t="array" ref="U614">_xlfn.XLOOKUP(Matrix[[#This Row],[TEAM]]&amp;Matrix[[#Headers],[9]],FDR[FDR]&amp;FDR[[#Headers],[9]],FDR[9],"",0,1)</f>
        <v>1</v>
      </c>
      <c r="V614" cm="1">
        <f t="array" ref="V614">_xlfn.XLOOKUP(Matrix[[#This Row],[TEAM]]&amp;Matrix[[#Headers],[10]],FDR[FDR]&amp;FDR[[#Headers],[10]],FDR[10],"",0,1)</f>
        <v>2</v>
      </c>
      <c r="W614" cm="1">
        <f t="array" ref="W614">_xlfn.XLOOKUP(Matrix[[#This Row],[TEAM]]&amp;Matrix[[#Headers],[11]],FDR[FDR]&amp;FDR[[#Headers],[11]],FDR[11],"",0,1)</f>
        <v>4</v>
      </c>
      <c r="X614" cm="1">
        <f t="array" ref="X614">_xlfn.XLOOKUP(Matrix[[#This Row],[TEAM]]&amp;Matrix[[#Headers],[12]],FDR[FDR]&amp;FDR[[#Headers],[12]],FDR[12],"",0,1)</f>
        <v>1</v>
      </c>
      <c r="Y614" cm="1">
        <f t="array" ref="Y614">_xlfn.XLOOKUP(Matrix[[#This Row],[TEAM]]&amp;Matrix[[#Headers],[13]],FDR[FDR]&amp;FDR[[#Headers],[13]],FDR[13],"",0,1)</f>
        <v>2</v>
      </c>
      <c r="Z614" cm="1">
        <f t="array" ref="Z614">_xlfn.XLOOKUP(Matrix[[#This Row],[TEAM]]&amp;Matrix[[#Headers],[14]],FDR[FDR]&amp;FDR[[#Headers],[14]],FDR[14],"",0,1)</f>
        <v>1</v>
      </c>
      <c r="AA614" cm="1">
        <f t="array" ref="AA614">_xlfn.XLOOKUP(Matrix[[#This Row],[TEAM]]&amp;Matrix[[#Headers],[15]],FDR[FDR]&amp;FDR[[#Headers],[15]],FDR[15],"",0,1)</f>
        <v>1</v>
      </c>
      <c r="AB614" cm="1">
        <f t="array" ref="AB614">_xlfn.XLOOKUP(Matrix[[#This Row],[TEAM]]&amp;Matrix[[#Headers],[16]],FDR[FDR]&amp;FDR[[#Headers],[16]],FDR[16],"",0,1)</f>
        <v>1</v>
      </c>
      <c r="AC614" cm="1">
        <f t="array" ref="AC614">_xlfn.XLOOKUP(Matrix[[#This Row],[TEAM]]&amp;Matrix[[#Headers],[17]],FDR[FDR]&amp;FDR[[#Headers],[17]],FDR[17],"",0,1)</f>
        <v>3</v>
      </c>
      <c r="AD614" cm="1">
        <f t="array" ref="AD614">_xlfn.XLOOKUP(Matrix[[#This Row],[TEAM]]&amp;Matrix[[#Headers],[18]],FDR[FDR]&amp;FDR[[#Headers],[18]],FDR[18],"",0,1)</f>
        <v>2</v>
      </c>
      <c r="AE614" cm="1">
        <f t="array" ref="AE614">_xlfn.XLOOKUP(Matrix[[#This Row],[TEAM]]&amp;Matrix[[#Headers],[19]],FDR[FDR]&amp;FDR[[#Headers],[19]],FDR[19],"",0,1)</f>
        <v>1</v>
      </c>
      <c r="AF614" cm="1">
        <f t="array" ref="AF614">_xlfn.XLOOKUP(Matrix[[#This Row],[TEAM]]&amp;Matrix[[#Headers],[20]],FDR[FDR]&amp;FDR[[#Headers],[20]],FDR[20],"",0,1)</f>
        <v>1</v>
      </c>
      <c r="AG614" cm="1">
        <f t="array" ref="AG614">_xlfn.XLOOKUP(Matrix[[#This Row],[TEAM]]&amp;Matrix[[#Headers],[21]],FDR[FDR]&amp;FDR[[#Headers],[21]],FDR[21],"",0,1)</f>
        <v>1</v>
      </c>
      <c r="AH614" cm="1">
        <f t="array" ref="AH614">_xlfn.XLOOKUP(Matrix[[#This Row],[TEAM]]&amp;Matrix[[#Headers],[22]],FDR[FDR]&amp;FDR[[#Headers],[22]],FDR[22],"",0,1)</f>
        <v>3</v>
      </c>
      <c r="AI614" cm="1">
        <f t="array" ref="AI614">_xlfn.XLOOKUP(Matrix[[#This Row],[TEAM]]&amp;Matrix[[#Headers],[23]],FDR[FDR]&amp;FDR[[#Headers],[23]],FDR[23],"",0,1)</f>
        <v>4</v>
      </c>
      <c r="AJ614" cm="1">
        <f t="array" ref="AJ614">_xlfn.XLOOKUP(Matrix[[#This Row],[TEAM]]&amp;Matrix[[#Headers],[24]],FDR[FDR]&amp;FDR[[#Headers],[24]],FDR[24],"",0,1)</f>
        <v>1</v>
      </c>
      <c r="AK614" cm="1">
        <f t="array" ref="AK614">_xlfn.XLOOKUP(Matrix[[#This Row],[TEAM]]&amp;Matrix[[#Headers],[25]],FDR[FDR]&amp;FDR[[#Headers],[25]],FDR[25],"",0,1)</f>
        <v>3</v>
      </c>
      <c r="AL614" cm="1">
        <f t="array" ref="AL614">_xlfn.XLOOKUP(Matrix[[#This Row],[TEAM]]&amp;Matrix[[#Headers],[26]],FDR[FDR]&amp;FDR[[#Headers],[26]],FDR[26],"",0,1)</f>
        <v>2</v>
      </c>
      <c r="AM614" cm="1">
        <f t="array" ref="AM614">_xlfn.XLOOKUP(Matrix[[#This Row],[TEAM]]&amp;Matrix[[#Headers],[27]],FDR[FDR]&amp;FDR[[#Headers],[27]],FDR[27],"",0,1)</f>
        <v>2</v>
      </c>
      <c r="AN614" cm="1">
        <f t="array" ref="AN614">_xlfn.XLOOKUP(Matrix[[#This Row],[TEAM]]&amp;Matrix[[#Headers],[28]],FDR[FDR]&amp;FDR[[#Headers],[28]],FDR[28],"",0,1)</f>
        <v>1</v>
      </c>
      <c r="AO614" cm="1">
        <f t="array" ref="AO614">_xlfn.XLOOKUP(Matrix[[#This Row],[TEAM]]&amp;Matrix[[#Headers],[29]],FDR[FDR]&amp;FDR[[#Headers],[29]],FDR[29],"",0,1)</f>
        <v>3</v>
      </c>
      <c r="AP614" cm="1">
        <f t="array" ref="AP614">_xlfn.XLOOKUP(Matrix[[#This Row],[TEAM]]&amp;Matrix[[#Headers],[30]],FDR[FDR]&amp;FDR[[#Headers],[30]],FDR[30],"",0,1)</f>
        <v>2</v>
      </c>
      <c r="AQ614" cm="1">
        <f t="array" ref="AQ614">_xlfn.XLOOKUP(Matrix[[#This Row],[TEAM]]&amp;Matrix[[#Headers],[31]],FDR[FDR]&amp;FDR[[#Headers],[31]],FDR[31],"",0,1)</f>
        <v>2</v>
      </c>
      <c r="AR614" cm="1">
        <f t="array" ref="AR614">_xlfn.XLOOKUP(Matrix[[#This Row],[TEAM]]&amp;Matrix[[#Headers],[32]],FDR[FDR]&amp;FDR[[#Headers],[32]],FDR[32],"",0,1)</f>
        <v>1</v>
      </c>
      <c r="AS614" cm="1">
        <f t="array" ref="AS614">_xlfn.XLOOKUP(Matrix[[#This Row],[TEAM]]&amp;Matrix[[#Headers],[33]],FDR[FDR]&amp;FDR[[#Headers],[33]],FDR[33],"",0,1)</f>
        <v>4</v>
      </c>
      <c r="AT614" cm="1">
        <f t="array" ref="AT614">_xlfn.XLOOKUP(Matrix[[#This Row],[TEAM]]&amp;Matrix[[#Headers],[34]],FDR[FDR]&amp;FDR[[#Headers],[34]],FDR[34],"",0,1)</f>
        <v>1</v>
      </c>
      <c r="AU614" cm="1">
        <f t="array" ref="AU614">_xlfn.XLOOKUP(Matrix[[#This Row],[TEAM]]&amp;Matrix[[#Headers],[35]],FDR[FDR]&amp;FDR[[#Headers],[35]],FDR[35],"",0,1)</f>
        <v>3</v>
      </c>
      <c r="AV614" cm="1">
        <f t="array" ref="AV614">_xlfn.XLOOKUP(Matrix[[#This Row],[TEAM]]&amp;Matrix[[#Headers],[36]],FDR[FDR]&amp;FDR[[#Headers],[36]],FDR[36],"",0,1)</f>
        <v>1</v>
      </c>
      <c r="AW614" cm="1">
        <f t="array" ref="AW614">_xlfn.XLOOKUP(Matrix[[#This Row],[TEAM]]&amp;Matrix[[#Headers],[37]],FDR[FDR]&amp;FDR[[#Headers],[37]],FDR[37],"",0,1)</f>
        <v>1</v>
      </c>
      <c r="AX614" cm="1">
        <f t="array" ref="AX614">_xlfn.XLOOKUP(Matrix[[#This Row],[TEAM]]&amp;Matrix[[#Headers],[38]],FDR[FDR]&amp;FDR[[#Headers],[38]],FDR[38],"",0,1)</f>
        <v>2</v>
      </c>
    </row>
    <row r="615" spans="1:50" ht="22" thickTop="1" thickBot="1">
      <c r="A615" s="50" t="str">
        <f>INDEX!S$4</f>
        <v>MID</v>
      </c>
      <c r="B615" s="70" t="s">
        <v>1683</v>
      </c>
      <c r="C615" s="40" t="s">
        <v>24</v>
      </c>
      <c r="D615" s="62">
        <v>2</v>
      </c>
      <c r="E615" s="60">
        <v>3.0000000000000001E-3</v>
      </c>
      <c r="F615" s="61">
        <v>2.2000000000000002</v>
      </c>
      <c r="G615" s="63">
        <v>4.5</v>
      </c>
      <c r="H615" s="261">
        <f>IF(ISBLANK(I615),0,1)</f>
        <v>1</v>
      </c>
      <c r="I615" s="57" t="s">
        <v>1042</v>
      </c>
      <c r="J615" s="58">
        <v>0.75</v>
      </c>
      <c r="K615" s="59" t="s">
        <v>415</v>
      </c>
      <c r="L615" s="59" t="s">
        <v>972</v>
      </c>
      <c r="M615" cm="1">
        <f t="array" ref="M615">_xlfn.XLOOKUP(Matrix[[#This Row],[TEAM]]&amp;Matrix[[#Headers],[1]],FDR[FDR]&amp;FDR[[#Headers],[1]],FDR[1],"",0,1)</f>
        <v>2</v>
      </c>
      <c r="N615" cm="1">
        <f t="array" ref="N615">_xlfn.XLOOKUP(Matrix[[#This Row],[TEAM]]&amp;Matrix[[#Headers],[2]],FDR[FDR]&amp;FDR[[#Headers],[2]],FDR[2],"",0,1)</f>
        <v>3</v>
      </c>
      <c r="O615" cm="1">
        <f t="array" ref="O615">_xlfn.XLOOKUP(Matrix[[#This Row],[TEAM]]&amp;Matrix[[#Headers],[3]],FDR[FDR]&amp;FDR[[#Headers],[3]],FDR[3],"",0,1)</f>
        <v>2</v>
      </c>
      <c r="P615" cm="1">
        <f t="array" ref="P615">_xlfn.XLOOKUP(Matrix[[#This Row],[TEAM]]&amp;Matrix[[#Headers],[4]],FDR[FDR]&amp;FDR[[#Headers],[4]],FDR[4],"",0,1)</f>
        <v>4</v>
      </c>
      <c r="Q615" cm="1">
        <f t="array" ref="Q615">_xlfn.XLOOKUP(Matrix[[#This Row],[TEAM]]&amp;Matrix[[#Headers],[5]],FDR[FDR]&amp;FDR[[#Headers],[5]],FDR[5],"",0,1)</f>
        <v>5</v>
      </c>
      <c r="R615" cm="1">
        <f t="array" ref="R615">_xlfn.XLOOKUP(Matrix[[#This Row],[TEAM]]&amp;Matrix[[#Headers],[6]],FDR[FDR]&amp;FDR[[#Headers],[6]],FDR[6],"",0,1)</f>
        <v>3</v>
      </c>
      <c r="S615" cm="1">
        <f t="array" ref="S615">_xlfn.XLOOKUP(Matrix[[#This Row],[TEAM]]&amp;Matrix[[#Headers],[7]],FDR[FDR]&amp;FDR[[#Headers],[7]],FDR[7],"",0,1)</f>
        <v>3</v>
      </c>
      <c r="T615" cm="1">
        <f t="array" ref="T615">_xlfn.XLOOKUP(Matrix[[#This Row],[TEAM]]&amp;Matrix[[#Headers],[8]],FDR[FDR]&amp;FDR[[#Headers],[8]],FDR[8],"",0,1)</f>
        <v>5</v>
      </c>
      <c r="U615" cm="1">
        <f t="array" ref="U615">_xlfn.XLOOKUP(Matrix[[#This Row],[TEAM]]&amp;Matrix[[#Headers],[9]],FDR[FDR]&amp;FDR[[#Headers],[9]],FDR[9],"",0,1)</f>
        <v>4</v>
      </c>
      <c r="V615" cm="1">
        <f t="array" ref="V615">_xlfn.XLOOKUP(Matrix[[#This Row],[TEAM]]&amp;Matrix[[#Headers],[10]],FDR[FDR]&amp;FDR[[#Headers],[10]],FDR[10],"",0,1)</f>
        <v>2</v>
      </c>
      <c r="W615" cm="1">
        <f t="array" ref="W615">_xlfn.XLOOKUP(Matrix[[#This Row],[TEAM]]&amp;Matrix[[#Headers],[11]],FDR[FDR]&amp;FDR[[#Headers],[11]],FDR[11],"",0,1)</f>
        <v>3</v>
      </c>
      <c r="X615" cm="1">
        <f t="array" ref="X615">_xlfn.XLOOKUP(Matrix[[#This Row],[TEAM]]&amp;Matrix[[#Headers],[12]],FDR[FDR]&amp;FDR[[#Headers],[12]],FDR[12],"",0,1)</f>
        <v>5</v>
      </c>
      <c r="Y615" cm="1">
        <f t="array" ref="Y615">_xlfn.XLOOKUP(Matrix[[#This Row],[TEAM]]&amp;Matrix[[#Headers],[13]],FDR[FDR]&amp;FDR[[#Headers],[13]],FDR[13],"",0,1)</f>
        <v>4</v>
      </c>
      <c r="Z615" cm="1">
        <f t="array" ref="Z615">_xlfn.XLOOKUP(Matrix[[#This Row],[TEAM]]&amp;Matrix[[#Headers],[14]],FDR[FDR]&amp;FDR[[#Headers],[14]],FDR[14],"",0,1)</f>
        <v>4</v>
      </c>
      <c r="AA615" cm="1">
        <f t="array" ref="AA615">_xlfn.XLOOKUP(Matrix[[#This Row],[TEAM]]&amp;Matrix[[#Headers],[15]],FDR[FDR]&amp;FDR[[#Headers],[15]],FDR[15],"",0,1)</f>
        <v>3</v>
      </c>
      <c r="AB615" cm="1">
        <f t="array" ref="AB615">_xlfn.XLOOKUP(Matrix[[#This Row],[TEAM]]&amp;Matrix[[#Headers],[16]],FDR[FDR]&amp;FDR[[#Headers],[16]],FDR[16],"",0,1)</f>
        <v>5</v>
      </c>
      <c r="AC615" cm="1">
        <f t="array" ref="AC615">_xlfn.XLOOKUP(Matrix[[#This Row],[TEAM]]&amp;Matrix[[#Headers],[17]],FDR[FDR]&amp;FDR[[#Headers],[17]],FDR[17],"",0,1)</f>
        <v>4</v>
      </c>
      <c r="AD615" cm="1">
        <f t="array" ref="AD615">_xlfn.XLOOKUP(Matrix[[#This Row],[TEAM]]&amp;Matrix[[#Headers],[18]],FDR[FDR]&amp;FDR[[#Headers],[18]],FDR[18],"",0,1)</f>
        <v>2</v>
      </c>
      <c r="AE615" cm="1">
        <f t="array" ref="AE615">_xlfn.XLOOKUP(Matrix[[#This Row],[TEAM]]&amp;Matrix[[#Headers],[19]],FDR[FDR]&amp;FDR[[#Headers],[19]],FDR[19],"",0,1)</f>
        <v>4</v>
      </c>
      <c r="AF615" cm="1">
        <f t="array" ref="AF615">_xlfn.XLOOKUP(Matrix[[#This Row],[TEAM]]&amp;Matrix[[#Headers],[20]],FDR[FDR]&amp;FDR[[#Headers],[20]],FDR[20],"",0,1)</f>
        <v>3</v>
      </c>
      <c r="AG615" cm="1">
        <f t="array" ref="AG615">_xlfn.XLOOKUP(Matrix[[#This Row],[TEAM]]&amp;Matrix[[#Headers],[21]],FDR[FDR]&amp;FDR[[#Headers],[21]],FDR[21],"",0,1)</f>
        <v>2</v>
      </c>
      <c r="AH615" cm="1">
        <f t="array" ref="AH615">_xlfn.XLOOKUP(Matrix[[#This Row],[TEAM]]&amp;Matrix[[#Headers],[22]],FDR[FDR]&amp;FDR[[#Headers],[22]],FDR[22],"",0,1)</f>
        <v>5</v>
      </c>
      <c r="AI615" cm="1">
        <f t="array" ref="AI615">_xlfn.XLOOKUP(Matrix[[#This Row],[TEAM]]&amp;Matrix[[#Headers],[23]],FDR[FDR]&amp;FDR[[#Headers],[23]],FDR[23],"",0,1)</f>
        <v>1</v>
      </c>
      <c r="AJ615" cm="1">
        <f t="array" ref="AJ615">_xlfn.XLOOKUP(Matrix[[#This Row],[TEAM]]&amp;Matrix[[#Headers],[24]],FDR[FDR]&amp;FDR[[#Headers],[24]],FDR[24],"",0,1)</f>
        <v>4</v>
      </c>
      <c r="AK615" cm="1">
        <f t="array" ref="AK615">_xlfn.XLOOKUP(Matrix[[#This Row],[TEAM]]&amp;Matrix[[#Headers],[25]],FDR[FDR]&amp;FDR[[#Headers],[25]],FDR[25],"",0,1)</f>
        <v>4</v>
      </c>
      <c r="AL615" cm="1">
        <f t="array" ref="AL615">_xlfn.XLOOKUP(Matrix[[#This Row],[TEAM]]&amp;Matrix[[#Headers],[26]],FDR[FDR]&amp;FDR[[#Headers],[26]],FDR[26],"",0,1)</f>
        <v>3</v>
      </c>
      <c r="AM615" cm="1">
        <f t="array" ref="AM615">_xlfn.XLOOKUP(Matrix[[#This Row],[TEAM]]&amp;Matrix[[#Headers],[27]],FDR[FDR]&amp;FDR[[#Headers],[27]],FDR[27],"",0,1)</f>
        <v>4</v>
      </c>
      <c r="AN615" cm="1">
        <f t="array" ref="AN615">_xlfn.XLOOKUP(Matrix[[#This Row],[TEAM]]&amp;Matrix[[#Headers],[28]],FDR[FDR]&amp;FDR[[#Headers],[28]],FDR[28],"",0,1)</f>
        <v>5</v>
      </c>
      <c r="AO615" cm="1">
        <f t="array" ref="AO615">_xlfn.XLOOKUP(Matrix[[#This Row],[TEAM]]&amp;Matrix[[#Headers],[29]],FDR[FDR]&amp;FDR[[#Headers],[29]],FDR[29],"",0,1)</f>
        <v>1</v>
      </c>
      <c r="AP615" cm="1">
        <f t="array" ref="AP615">_xlfn.XLOOKUP(Matrix[[#This Row],[TEAM]]&amp;Matrix[[#Headers],[30]],FDR[FDR]&amp;FDR[[#Headers],[30]],FDR[30],"",0,1)</f>
        <v>5</v>
      </c>
      <c r="AQ615" cm="1">
        <f t="array" ref="AQ615">_xlfn.XLOOKUP(Matrix[[#This Row],[TEAM]]&amp;Matrix[[#Headers],[31]],FDR[FDR]&amp;FDR[[#Headers],[31]],FDR[31],"",0,1)</f>
        <v>4</v>
      </c>
      <c r="AR615" cm="1">
        <f t="array" ref="AR615">_xlfn.XLOOKUP(Matrix[[#This Row],[TEAM]]&amp;Matrix[[#Headers],[32]],FDR[FDR]&amp;FDR[[#Headers],[32]],FDR[32],"",0,1)</f>
        <v>4</v>
      </c>
      <c r="AS615" cm="1">
        <f t="array" ref="AS615">_xlfn.XLOOKUP(Matrix[[#This Row],[TEAM]]&amp;Matrix[[#Headers],[33]],FDR[FDR]&amp;FDR[[#Headers],[33]],FDR[33],"",0,1)</f>
        <v>4</v>
      </c>
      <c r="AT615" cm="1">
        <f t="array" ref="AT615">_xlfn.XLOOKUP(Matrix[[#This Row],[TEAM]]&amp;Matrix[[#Headers],[34]],FDR[FDR]&amp;FDR[[#Headers],[34]],FDR[34],"",0,1)</f>
        <v>4</v>
      </c>
      <c r="AU615" cm="1">
        <f t="array" ref="AU615">_xlfn.XLOOKUP(Matrix[[#This Row],[TEAM]]&amp;Matrix[[#Headers],[35]],FDR[FDR]&amp;FDR[[#Headers],[35]],FDR[35],"",0,1)</f>
        <v>4</v>
      </c>
      <c r="AV615" cm="1">
        <f t="array" ref="AV615">_xlfn.XLOOKUP(Matrix[[#This Row],[TEAM]]&amp;Matrix[[#Headers],[36]],FDR[FDR]&amp;FDR[[#Headers],[36]],FDR[36],"",0,1)</f>
        <v>4</v>
      </c>
      <c r="AW615" cm="1">
        <f t="array" ref="AW615">_xlfn.XLOOKUP(Matrix[[#This Row],[TEAM]]&amp;Matrix[[#Headers],[37]],FDR[FDR]&amp;FDR[[#Headers],[37]],FDR[37],"",0,1)</f>
        <v>1</v>
      </c>
      <c r="AX615" cm="1">
        <f t="array" ref="AX615">_xlfn.XLOOKUP(Matrix[[#This Row],[TEAM]]&amp;Matrix[[#Headers],[38]],FDR[FDR]&amp;FDR[[#Headers],[38]],FDR[38],"",0,1)</f>
        <v>5</v>
      </c>
    </row>
    <row r="616" spans="1:50" ht="22" thickTop="1" thickBot="1">
      <c r="A616" s="50" t="str">
        <f>INDEX!S$4</f>
        <v>MID</v>
      </c>
      <c r="B616" s="70" t="s">
        <v>1729</v>
      </c>
      <c r="C616" s="40" t="s">
        <v>33</v>
      </c>
      <c r="D616" s="62">
        <v>0</v>
      </c>
      <c r="E616" s="60">
        <v>1E-3</v>
      </c>
      <c r="F616" s="61">
        <v>0</v>
      </c>
      <c r="G616" s="63">
        <v>4.5</v>
      </c>
      <c r="H616" s="261">
        <f>IF(ISBLANK(I616),0,1)</f>
        <v>1</v>
      </c>
      <c r="I616" s="57" t="s">
        <v>1985</v>
      </c>
      <c r="J616" s="58" t="s">
        <v>1994</v>
      </c>
      <c r="K616" s="59" t="s">
        <v>402</v>
      </c>
      <c r="L616" s="59" t="s">
        <v>947</v>
      </c>
      <c r="M616" cm="1">
        <f t="array" ref="M616">_xlfn.XLOOKUP(Matrix[[#This Row],[TEAM]]&amp;Matrix[[#Headers],[1]],FDR[FDR]&amp;FDR[[#Headers],[1]],FDR[1],"",0,1)</f>
        <v>3</v>
      </c>
      <c r="N616" cm="1">
        <f t="array" ref="N616">_xlfn.XLOOKUP(Matrix[[#This Row],[TEAM]]&amp;Matrix[[#Headers],[2]],FDR[FDR]&amp;FDR[[#Headers],[2]],FDR[2],"",0,1)</f>
        <v>3</v>
      </c>
      <c r="O616" cm="1">
        <f t="array" ref="O616">_xlfn.XLOOKUP(Matrix[[#This Row],[TEAM]]&amp;Matrix[[#Headers],[3]],FDR[FDR]&amp;FDR[[#Headers],[3]],FDR[3],"",0,1)</f>
        <v>4</v>
      </c>
      <c r="P616" cm="1">
        <f t="array" ref="P616">_xlfn.XLOOKUP(Matrix[[#This Row],[TEAM]]&amp;Matrix[[#Headers],[4]],FDR[FDR]&amp;FDR[[#Headers],[4]],FDR[4],"",0,1)</f>
        <v>4</v>
      </c>
      <c r="Q616" cm="1">
        <f t="array" ref="Q616">_xlfn.XLOOKUP(Matrix[[#This Row],[TEAM]]&amp;Matrix[[#Headers],[5]],FDR[FDR]&amp;FDR[[#Headers],[5]],FDR[5],"",0,1)</f>
        <v>4</v>
      </c>
      <c r="R616" cm="1">
        <f t="array" ref="R616">_xlfn.XLOOKUP(Matrix[[#This Row],[TEAM]]&amp;Matrix[[#Headers],[6]],FDR[FDR]&amp;FDR[[#Headers],[6]],FDR[6],"",0,1)</f>
        <v>5</v>
      </c>
      <c r="S616" cm="1">
        <f t="array" ref="S616">_xlfn.XLOOKUP(Matrix[[#This Row],[TEAM]]&amp;Matrix[[#Headers],[7]],FDR[FDR]&amp;FDR[[#Headers],[7]],FDR[7],"",0,1)</f>
        <v>2</v>
      </c>
      <c r="T616" cm="1">
        <f t="array" ref="T616">_xlfn.XLOOKUP(Matrix[[#This Row],[TEAM]]&amp;Matrix[[#Headers],[8]],FDR[FDR]&amp;FDR[[#Headers],[8]],FDR[8],"",0,1)</f>
        <v>4</v>
      </c>
      <c r="U616" cm="1">
        <f t="array" ref="U616">_xlfn.XLOOKUP(Matrix[[#This Row],[TEAM]]&amp;Matrix[[#Headers],[9]],FDR[FDR]&amp;FDR[[#Headers],[9]],FDR[9],"",0,1)</f>
        <v>5</v>
      </c>
      <c r="V616" cm="1">
        <f t="array" ref="V616">_xlfn.XLOOKUP(Matrix[[#This Row],[TEAM]]&amp;Matrix[[#Headers],[10]],FDR[FDR]&amp;FDR[[#Headers],[10]],FDR[10],"",0,1)</f>
        <v>1</v>
      </c>
      <c r="W616" cm="1">
        <f t="array" ref="W616">_xlfn.XLOOKUP(Matrix[[#This Row],[TEAM]]&amp;Matrix[[#Headers],[11]],FDR[FDR]&amp;FDR[[#Headers],[11]],FDR[11],"",0,1)</f>
        <v>3</v>
      </c>
      <c r="X616" cm="1">
        <f t="array" ref="X616">_xlfn.XLOOKUP(Matrix[[#This Row],[TEAM]]&amp;Matrix[[#Headers],[12]],FDR[FDR]&amp;FDR[[#Headers],[12]],FDR[12],"",0,1)</f>
        <v>2</v>
      </c>
      <c r="Y616" cm="1">
        <f t="array" ref="Y616">_xlfn.XLOOKUP(Matrix[[#This Row],[TEAM]]&amp;Matrix[[#Headers],[13]],FDR[FDR]&amp;FDR[[#Headers],[13]],FDR[13],"",0,1)</f>
        <v>4</v>
      </c>
      <c r="Z616" cm="1">
        <f t="array" ref="Z616">_xlfn.XLOOKUP(Matrix[[#This Row],[TEAM]]&amp;Matrix[[#Headers],[14]],FDR[FDR]&amp;FDR[[#Headers],[14]],FDR[14],"",0,1)</f>
        <v>3</v>
      </c>
      <c r="AA616" cm="1">
        <f t="array" ref="AA616">_xlfn.XLOOKUP(Matrix[[#This Row],[TEAM]]&amp;Matrix[[#Headers],[15]],FDR[FDR]&amp;FDR[[#Headers],[15]],FDR[15],"",0,1)</f>
        <v>2</v>
      </c>
      <c r="AB616" cm="1">
        <f t="array" ref="AB616">_xlfn.XLOOKUP(Matrix[[#This Row],[TEAM]]&amp;Matrix[[#Headers],[16]],FDR[FDR]&amp;FDR[[#Headers],[16]],FDR[16],"",0,1)</f>
        <v>5</v>
      </c>
      <c r="AC616" cm="1">
        <f t="array" ref="AC616">_xlfn.XLOOKUP(Matrix[[#This Row],[TEAM]]&amp;Matrix[[#Headers],[17]],FDR[FDR]&amp;FDR[[#Headers],[17]],FDR[17],"",0,1)</f>
        <v>1</v>
      </c>
      <c r="AD616" cm="1">
        <f t="array" ref="AD616">_xlfn.XLOOKUP(Matrix[[#This Row],[TEAM]]&amp;Matrix[[#Headers],[18]],FDR[FDR]&amp;FDR[[#Headers],[18]],FDR[18],"",0,1)</f>
        <v>5</v>
      </c>
      <c r="AE616" cm="1">
        <f t="array" ref="AE616">_xlfn.XLOOKUP(Matrix[[#This Row],[TEAM]]&amp;Matrix[[#Headers],[19]],FDR[FDR]&amp;FDR[[#Headers],[19]],FDR[19],"",0,1)</f>
        <v>3</v>
      </c>
      <c r="AF616" cm="1">
        <f t="array" ref="AF616">_xlfn.XLOOKUP(Matrix[[#This Row],[TEAM]]&amp;Matrix[[#Headers],[20]],FDR[FDR]&amp;FDR[[#Headers],[20]],FDR[20],"",0,1)</f>
        <v>1</v>
      </c>
      <c r="AG616" cm="1">
        <f t="array" ref="AG616">_xlfn.XLOOKUP(Matrix[[#This Row],[TEAM]]&amp;Matrix[[#Headers],[21]],FDR[FDR]&amp;FDR[[#Headers],[21]],FDR[21],"",0,1)</f>
        <v>5</v>
      </c>
      <c r="AH616" cm="1">
        <f t="array" ref="AH616">_xlfn.XLOOKUP(Matrix[[#This Row],[TEAM]]&amp;Matrix[[#Headers],[22]],FDR[FDR]&amp;FDR[[#Headers],[22]],FDR[22],"",0,1)</f>
        <v>3</v>
      </c>
      <c r="AI616" cm="1">
        <f t="array" ref="AI616">_xlfn.XLOOKUP(Matrix[[#This Row],[TEAM]]&amp;Matrix[[#Headers],[23]],FDR[FDR]&amp;FDR[[#Headers],[23]],FDR[23],"",0,1)</f>
        <v>4</v>
      </c>
      <c r="AJ616" cm="1">
        <f t="array" ref="AJ616">_xlfn.XLOOKUP(Matrix[[#This Row],[TEAM]]&amp;Matrix[[#Headers],[24]],FDR[FDR]&amp;FDR[[#Headers],[24]],FDR[24],"",0,1)</f>
        <v>2</v>
      </c>
      <c r="AK616" cm="1">
        <f t="array" ref="AK616">_xlfn.XLOOKUP(Matrix[[#This Row],[TEAM]]&amp;Matrix[[#Headers],[25]],FDR[FDR]&amp;FDR[[#Headers],[25]],FDR[25],"",0,1)</f>
        <v>2</v>
      </c>
      <c r="AL616" cm="1">
        <f t="array" ref="AL616">_xlfn.XLOOKUP(Matrix[[#This Row],[TEAM]]&amp;Matrix[[#Headers],[26]],FDR[FDR]&amp;FDR[[#Headers],[26]],FDR[26],"",0,1)</f>
        <v>5</v>
      </c>
      <c r="AM616" cm="1">
        <f t="array" ref="AM616">_xlfn.XLOOKUP(Matrix[[#This Row],[TEAM]]&amp;Matrix[[#Headers],[27]],FDR[FDR]&amp;FDR[[#Headers],[27]],FDR[27],"",0,1)</f>
        <v>3</v>
      </c>
      <c r="AN616" cm="1">
        <f t="array" ref="AN616">_xlfn.XLOOKUP(Matrix[[#This Row],[TEAM]]&amp;Matrix[[#Headers],[28]],FDR[FDR]&amp;FDR[[#Headers],[28]],FDR[28],"",0,1)</f>
        <v>3</v>
      </c>
      <c r="AO616" cm="1">
        <f t="array" ref="AO616">_xlfn.XLOOKUP(Matrix[[#This Row],[TEAM]]&amp;Matrix[[#Headers],[29]],FDR[FDR]&amp;FDR[[#Headers],[29]],FDR[29],"",0,1)</f>
        <v>4</v>
      </c>
      <c r="AP616" cm="1">
        <f t="array" ref="AP616">_xlfn.XLOOKUP(Matrix[[#This Row],[TEAM]]&amp;Matrix[[#Headers],[30]],FDR[FDR]&amp;FDR[[#Headers],[30]],FDR[30],"",0,1)</f>
        <v>2</v>
      </c>
      <c r="AQ616" cm="1">
        <f t="array" ref="AQ616">_xlfn.XLOOKUP(Matrix[[#This Row],[TEAM]]&amp;Matrix[[#Headers],[31]],FDR[FDR]&amp;FDR[[#Headers],[31]],FDR[31],"",0,1)</f>
        <v>4</v>
      </c>
      <c r="AR616" cm="1">
        <f t="array" ref="AR616">_xlfn.XLOOKUP(Matrix[[#This Row],[TEAM]]&amp;Matrix[[#Headers],[32]],FDR[FDR]&amp;FDR[[#Headers],[32]],FDR[32],"",0,1)</f>
        <v>2</v>
      </c>
      <c r="AS616" cm="1">
        <f t="array" ref="AS616">_xlfn.XLOOKUP(Matrix[[#This Row],[TEAM]]&amp;Matrix[[#Headers],[33]],FDR[FDR]&amp;FDR[[#Headers],[33]],FDR[33],"",0,1)</f>
        <v>5</v>
      </c>
      <c r="AT616" cm="1">
        <f t="array" ref="AT616">_xlfn.XLOOKUP(Matrix[[#This Row],[TEAM]]&amp;Matrix[[#Headers],[34]],FDR[FDR]&amp;FDR[[#Headers],[34]],FDR[34],"",0,1)</f>
        <v>4</v>
      </c>
      <c r="AU616" cm="1">
        <f t="array" ref="AU616">_xlfn.XLOOKUP(Matrix[[#This Row],[TEAM]]&amp;Matrix[[#Headers],[35]],FDR[FDR]&amp;FDR[[#Headers],[35]],FDR[35],"",0,1)</f>
        <v>5</v>
      </c>
      <c r="AV616" cm="1">
        <f t="array" ref="AV616">_xlfn.XLOOKUP(Matrix[[#This Row],[TEAM]]&amp;Matrix[[#Headers],[36]],FDR[FDR]&amp;FDR[[#Headers],[36]],FDR[36],"",0,1)</f>
        <v>1</v>
      </c>
      <c r="AW616" cm="1">
        <f t="array" ref="AW616">_xlfn.XLOOKUP(Matrix[[#This Row],[TEAM]]&amp;Matrix[[#Headers],[37]],FDR[FDR]&amp;FDR[[#Headers],[37]],FDR[37],"",0,1)</f>
        <v>2</v>
      </c>
      <c r="AX616" cm="1">
        <f t="array" ref="AX616">_xlfn.XLOOKUP(Matrix[[#This Row],[TEAM]]&amp;Matrix[[#Headers],[38]],FDR[FDR]&amp;FDR[[#Headers],[38]],FDR[38],"",0,1)</f>
        <v>4</v>
      </c>
    </row>
    <row r="617" spans="1:50" ht="22" thickTop="1" thickBot="1">
      <c r="A617" s="50" t="str">
        <f>INDEX!S$4</f>
        <v>MID</v>
      </c>
      <c r="B617" s="70" t="s">
        <v>1735</v>
      </c>
      <c r="C617" s="40" t="s">
        <v>22</v>
      </c>
      <c r="D617" s="62">
        <v>0</v>
      </c>
      <c r="E617" s="60">
        <v>1E-3</v>
      </c>
      <c r="F617" s="61">
        <v>0</v>
      </c>
      <c r="G617" s="63">
        <v>4.5</v>
      </c>
      <c r="H617" s="261">
        <f>IF(ISBLANK(I617),0,1)</f>
        <v>1</v>
      </c>
      <c r="I617" s="57" t="s">
        <v>1985</v>
      </c>
      <c r="J617" s="58" t="s">
        <v>1995</v>
      </c>
      <c r="K617" s="59" t="s">
        <v>1032</v>
      </c>
      <c r="L617" s="59" t="s">
        <v>1033</v>
      </c>
      <c r="M617" cm="1">
        <f t="array" ref="M617">_xlfn.XLOOKUP(Matrix[[#This Row],[TEAM]]&amp;Matrix[[#Headers],[1]],FDR[FDR]&amp;FDR[[#Headers],[1]],FDR[1],"",0,1)</f>
        <v>5</v>
      </c>
      <c r="N617" cm="1">
        <f t="array" ref="N617">_xlfn.XLOOKUP(Matrix[[#This Row],[TEAM]]&amp;Matrix[[#Headers],[2]],FDR[FDR]&amp;FDR[[#Headers],[2]],FDR[2],"",0,1)</f>
        <v>3</v>
      </c>
      <c r="O617" cm="1">
        <f t="array" ref="O617">_xlfn.XLOOKUP(Matrix[[#This Row],[TEAM]]&amp;Matrix[[#Headers],[3]],FDR[FDR]&amp;FDR[[#Headers],[3]],FDR[3],"",0,1)</f>
        <v>5</v>
      </c>
      <c r="P617" cm="1">
        <f t="array" ref="P617">_xlfn.XLOOKUP(Matrix[[#This Row],[TEAM]]&amp;Matrix[[#Headers],[4]],FDR[FDR]&amp;FDR[[#Headers],[4]],FDR[4],"",0,1)</f>
        <v>5</v>
      </c>
      <c r="Q617" cm="1">
        <f t="array" ref="Q617">_xlfn.XLOOKUP(Matrix[[#This Row],[TEAM]]&amp;Matrix[[#Headers],[5]],FDR[FDR]&amp;FDR[[#Headers],[5]],FDR[5],"",0,1)</f>
        <v>5</v>
      </c>
      <c r="R617" cm="1">
        <f t="array" ref="R617">_xlfn.XLOOKUP(Matrix[[#This Row],[TEAM]]&amp;Matrix[[#Headers],[6]],FDR[FDR]&amp;FDR[[#Headers],[6]],FDR[6],"",0,1)</f>
        <v>5</v>
      </c>
      <c r="S617" cm="1">
        <f t="array" ref="S617">_xlfn.XLOOKUP(Matrix[[#This Row],[TEAM]]&amp;Matrix[[#Headers],[7]],FDR[FDR]&amp;FDR[[#Headers],[7]],FDR[7],"",0,1)</f>
        <v>5</v>
      </c>
      <c r="T617" cm="1">
        <f t="array" ref="T617">_xlfn.XLOOKUP(Matrix[[#This Row],[TEAM]]&amp;Matrix[[#Headers],[8]],FDR[FDR]&amp;FDR[[#Headers],[8]],FDR[8],"",0,1)</f>
        <v>3</v>
      </c>
      <c r="U617" cm="1">
        <f t="array" ref="U617">_xlfn.XLOOKUP(Matrix[[#This Row],[TEAM]]&amp;Matrix[[#Headers],[9]],FDR[FDR]&amp;FDR[[#Headers],[9]],FDR[9],"",0,1)</f>
        <v>4</v>
      </c>
      <c r="V617" cm="1">
        <f t="array" ref="V617">_xlfn.XLOOKUP(Matrix[[#This Row],[TEAM]]&amp;Matrix[[#Headers],[10]],FDR[FDR]&amp;FDR[[#Headers],[10]],FDR[10],"",0,1)</f>
        <v>5</v>
      </c>
      <c r="W617" cm="1">
        <f t="array" ref="W617">_xlfn.XLOOKUP(Matrix[[#This Row],[TEAM]]&amp;Matrix[[#Headers],[11]],FDR[FDR]&amp;FDR[[#Headers],[11]],FDR[11],"",0,1)</f>
        <v>5</v>
      </c>
      <c r="X617" cm="1">
        <f t="array" ref="X617">_xlfn.XLOOKUP(Matrix[[#This Row],[TEAM]]&amp;Matrix[[#Headers],[12]],FDR[FDR]&amp;FDR[[#Headers],[12]],FDR[12],"",0,1)</f>
        <v>5</v>
      </c>
      <c r="Y617" cm="1">
        <f t="array" ref="Y617">_xlfn.XLOOKUP(Matrix[[#This Row],[TEAM]]&amp;Matrix[[#Headers],[13]],FDR[FDR]&amp;FDR[[#Headers],[13]],FDR[13],"",0,1)</f>
        <v>5</v>
      </c>
      <c r="Z617" cm="1">
        <f t="array" ref="Z617">_xlfn.XLOOKUP(Matrix[[#This Row],[TEAM]]&amp;Matrix[[#Headers],[14]],FDR[FDR]&amp;FDR[[#Headers],[14]],FDR[14],"",0,1)</f>
        <v>4</v>
      </c>
      <c r="AA617" cm="1">
        <f t="array" ref="AA617">_xlfn.XLOOKUP(Matrix[[#This Row],[TEAM]]&amp;Matrix[[#Headers],[15]],FDR[FDR]&amp;FDR[[#Headers],[15]],FDR[15],"",0,1)</f>
        <v>5</v>
      </c>
      <c r="AB617" cm="1">
        <f t="array" ref="AB617">_xlfn.XLOOKUP(Matrix[[#This Row],[TEAM]]&amp;Matrix[[#Headers],[16]],FDR[FDR]&amp;FDR[[#Headers],[16]],FDR[16],"",0,1)</f>
        <v>5</v>
      </c>
      <c r="AC617" cm="1">
        <f t="array" ref="AC617">_xlfn.XLOOKUP(Matrix[[#This Row],[TEAM]]&amp;Matrix[[#Headers],[17]],FDR[FDR]&amp;FDR[[#Headers],[17]],FDR[17],"",0,1)</f>
        <v>5</v>
      </c>
      <c r="AD617" cm="1">
        <f t="array" ref="AD617">_xlfn.XLOOKUP(Matrix[[#This Row],[TEAM]]&amp;Matrix[[#Headers],[18]],FDR[FDR]&amp;FDR[[#Headers],[18]],FDR[18],"",0,1)</f>
        <v>4</v>
      </c>
      <c r="AE617" cm="1">
        <f t="array" ref="AE617">_xlfn.XLOOKUP(Matrix[[#This Row],[TEAM]]&amp;Matrix[[#Headers],[19]],FDR[FDR]&amp;FDR[[#Headers],[19]],FDR[19],"",0,1)</f>
        <v>5</v>
      </c>
      <c r="AF617" cm="1">
        <f t="array" ref="AF617">_xlfn.XLOOKUP(Matrix[[#This Row],[TEAM]]&amp;Matrix[[#Headers],[20]],FDR[FDR]&amp;FDR[[#Headers],[20]],FDR[20],"",0,1)</f>
        <v>5</v>
      </c>
      <c r="AG617" cm="1">
        <f t="array" ref="AG617">_xlfn.XLOOKUP(Matrix[[#This Row],[TEAM]]&amp;Matrix[[#Headers],[21]],FDR[FDR]&amp;FDR[[#Headers],[21]],FDR[21],"",0,1)</f>
        <v>5</v>
      </c>
      <c r="AH617" cm="1">
        <f t="array" ref="AH617">_xlfn.XLOOKUP(Matrix[[#This Row],[TEAM]]&amp;Matrix[[#Headers],[22]],FDR[FDR]&amp;FDR[[#Headers],[22]],FDR[22],"",0,1)</f>
        <v>5</v>
      </c>
      <c r="AI617" cm="1">
        <f t="array" ref="AI617">_xlfn.XLOOKUP(Matrix[[#This Row],[TEAM]]&amp;Matrix[[#Headers],[23]],FDR[FDR]&amp;FDR[[#Headers],[23]],FDR[23],"",0,1)</f>
        <v>5</v>
      </c>
      <c r="AJ617" cm="1">
        <f t="array" ref="AJ617">_xlfn.XLOOKUP(Matrix[[#This Row],[TEAM]]&amp;Matrix[[#Headers],[24]],FDR[FDR]&amp;FDR[[#Headers],[24]],FDR[24],"",0,1)</f>
        <v>4</v>
      </c>
      <c r="AK617" cm="1">
        <f t="array" ref="AK617">_xlfn.XLOOKUP(Matrix[[#This Row],[TEAM]]&amp;Matrix[[#Headers],[25]],FDR[FDR]&amp;FDR[[#Headers],[25]],FDR[25],"",0,1)</f>
        <v>4</v>
      </c>
      <c r="AL617" cm="1">
        <f t="array" ref="AL617">_xlfn.XLOOKUP(Matrix[[#This Row],[TEAM]]&amp;Matrix[[#Headers],[26]],FDR[FDR]&amp;FDR[[#Headers],[26]],FDR[26],"",0,1)</f>
        <v>5</v>
      </c>
      <c r="AM617" cm="1">
        <f t="array" ref="AM617">_xlfn.XLOOKUP(Matrix[[#This Row],[TEAM]]&amp;Matrix[[#Headers],[27]],FDR[FDR]&amp;FDR[[#Headers],[27]],FDR[27],"",0,1)</f>
        <v>5</v>
      </c>
      <c r="AN617" cm="1">
        <f t="array" ref="AN617">_xlfn.XLOOKUP(Matrix[[#This Row],[TEAM]]&amp;Matrix[[#Headers],[28]],FDR[FDR]&amp;FDR[[#Headers],[28]],FDR[28],"",0,1)</f>
        <v>4</v>
      </c>
      <c r="AO617" cm="1">
        <f t="array" ref="AO617">_xlfn.XLOOKUP(Matrix[[#This Row],[TEAM]]&amp;Matrix[[#Headers],[29]],FDR[FDR]&amp;FDR[[#Headers],[29]],FDR[29],"",0,1)</f>
        <v>5</v>
      </c>
      <c r="AP617" cm="1">
        <f t="array" ref="AP617">_xlfn.XLOOKUP(Matrix[[#This Row],[TEAM]]&amp;Matrix[[#Headers],[30]],FDR[FDR]&amp;FDR[[#Headers],[30]],FDR[30],"",0,1)</f>
        <v>5</v>
      </c>
      <c r="AQ617" cm="1">
        <f t="array" ref="AQ617">_xlfn.XLOOKUP(Matrix[[#This Row],[TEAM]]&amp;Matrix[[#Headers],[31]],FDR[FDR]&amp;FDR[[#Headers],[31]],FDR[31],"",0,1)</f>
        <v>5</v>
      </c>
      <c r="AR617" cm="1">
        <f t="array" ref="AR617">_xlfn.XLOOKUP(Matrix[[#This Row],[TEAM]]&amp;Matrix[[#Headers],[32]],FDR[FDR]&amp;FDR[[#Headers],[32]],FDR[32],"",0,1)</f>
        <v>5</v>
      </c>
      <c r="AS617" cm="1">
        <f t="array" ref="AS617">_xlfn.XLOOKUP(Matrix[[#This Row],[TEAM]]&amp;Matrix[[#Headers],[33]],FDR[FDR]&amp;FDR[[#Headers],[33]],FDR[33],"",0,1)</f>
        <v>5</v>
      </c>
      <c r="AT617" cm="1">
        <f t="array" ref="AT617">_xlfn.XLOOKUP(Matrix[[#This Row],[TEAM]]&amp;Matrix[[#Headers],[34]],FDR[FDR]&amp;FDR[[#Headers],[34]],FDR[34],"",0,1)</f>
        <v>5</v>
      </c>
      <c r="AU617" cm="1">
        <f t="array" ref="AU617">_xlfn.XLOOKUP(Matrix[[#This Row],[TEAM]]&amp;Matrix[[#Headers],[35]],FDR[FDR]&amp;FDR[[#Headers],[35]],FDR[35],"",0,1)</f>
        <v>4</v>
      </c>
      <c r="AV617" cm="1">
        <f t="array" ref="AV617">_xlfn.XLOOKUP(Matrix[[#This Row],[TEAM]]&amp;Matrix[[#Headers],[36]],FDR[FDR]&amp;FDR[[#Headers],[36]],FDR[36],"",0,1)</f>
        <v>5</v>
      </c>
      <c r="AW617" cm="1">
        <f t="array" ref="AW617">_xlfn.XLOOKUP(Matrix[[#This Row],[TEAM]]&amp;Matrix[[#Headers],[37]],FDR[FDR]&amp;FDR[[#Headers],[37]],FDR[37],"",0,1)</f>
        <v>5</v>
      </c>
      <c r="AX617" cm="1">
        <f t="array" ref="AX617">_xlfn.XLOOKUP(Matrix[[#This Row],[TEAM]]&amp;Matrix[[#Headers],[38]],FDR[FDR]&amp;FDR[[#Headers],[38]],FDR[38],"",0,1)</f>
        <v>3</v>
      </c>
    </row>
    <row r="618" spans="1:50" ht="22" thickTop="1" thickBot="1">
      <c r="A618" s="49" t="str">
        <f>INDEX!S$5</f>
        <v>FWD</v>
      </c>
      <c r="B618" s="70" t="s">
        <v>1616</v>
      </c>
      <c r="C618" s="40" t="s">
        <v>634</v>
      </c>
      <c r="D618" s="62">
        <v>3</v>
      </c>
      <c r="E618" s="60">
        <v>0.13300000000000001</v>
      </c>
      <c r="F618" s="61">
        <v>2.2000000000000002</v>
      </c>
      <c r="G618" s="63">
        <v>4.5</v>
      </c>
      <c r="H618" s="261">
        <f>IF(ISBLANK(I618),0,1)</f>
        <v>1</v>
      </c>
      <c r="I618" s="57" t="s">
        <v>994</v>
      </c>
      <c r="J618" s="58">
        <v>0.75</v>
      </c>
      <c r="K618" s="64" t="s">
        <v>1159</v>
      </c>
      <c r="L618" s="64" t="s">
        <v>1160</v>
      </c>
      <c r="M618" cm="1">
        <f t="array" ref="M618">_xlfn.XLOOKUP(Matrix[[#This Row],[TEAM]]&amp;Matrix[[#Headers],[1]],FDR[FDR]&amp;FDR[[#Headers],[1]],FDR[1],"",0,1)</f>
        <v>4</v>
      </c>
      <c r="N618" cm="1">
        <f t="array" ref="N618">_xlfn.XLOOKUP(Matrix[[#This Row],[TEAM]]&amp;Matrix[[#Headers],[2]],FDR[FDR]&amp;FDR[[#Headers],[2]],FDR[2],"",0,1)</f>
        <v>4</v>
      </c>
      <c r="O618" cm="1">
        <f t="array" ref="O618">_xlfn.XLOOKUP(Matrix[[#This Row],[TEAM]]&amp;Matrix[[#Headers],[3]],FDR[FDR]&amp;FDR[[#Headers],[3]],FDR[3],"",0,1)</f>
        <v>4</v>
      </c>
      <c r="P618" cm="1">
        <f t="array" ref="P618">_xlfn.XLOOKUP(Matrix[[#This Row],[TEAM]]&amp;Matrix[[#Headers],[4]],FDR[FDR]&amp;FDR[[#Headers],[4]],FDR[4],"",0,1)</f>
        <v>5</v>
      </c>
      <c r="Q618" cm="1">
        <f t="array" ref="Q618">_xlfn.XLOOKUP(Matrix[[#This Row],[TEAM]]&amp;Matrix[[#Headers],[5]],FDR[FDR]&amp;FDR[[#Headers],[5]],FDR[5],"",0,1)</f>
        <v>5</v>
      </c>
      <c r="R618" cm="1">
        <f t="array" ref="R618">_xlfn.XLOOKUP(Matrix[[#This Row],[TEAM]]&amp;Matrix[[#Headers],[6]],FDR[FDR]&amp;FDR[[#Headers],[6]],FDR[6],"",0,1)</f>
        <v>5</v>
      </c>
      <c r="S618" cm="1">
        <f t="array" ref="S618">_xlfn.XLOOKUP(Matrix[[#This Row],[TEAM]]&amp;Matrix[[#Headers],[7]],FDR[FDR]&amp;FDR[[#Headers],[7]],FDR[7],"",0,1)</f>
        <v>5</v>
      </c>
      <c r="T618" cm="1">
        <f t="array" ref="T618">_xlfn.XLOOKUP(Matrix[[#This Row],[TEAM]]&amp;Matrix[[#Headers],[8]],FDR[FDR]&amp;FDR[[#Headers],[8]],FDR[8],"",0,1)</f>
        <v>3</v>
      </c>
      <c r="U618" cm="1">
        <f t="array" ref="U618">_xlfn.XLOOKUP(Matrix[[#This Row],[TEAM]]&amp;Matrix[[#Headers],[9]],FDR[FDR]&amp;FDR[[#Headers],[9]],FDR[9],"",0,1)</f>
        <v>5</v>
      </c>
      <c r="V618" cm="1">
        <f t="array" ref="V618">_xlfn.XLOOKUP(Matrix[[#This Row],[TEAM]]&amp;Matrix[[#Headers],[10]],FDR[FDR]&amp;FDR[[#Headers],[10]],FDR[10],"",0,1)</f>
        <v>4</v>
      </c>
      <c r="W618" cm="1">
        <f t="array" ref="W618">_xlfn.XLOOKUP(Matrix[[#This Row],[TEAM]]&amp;Matrix[[#Headers],[11]],FDR[FDR]&amp;FDR[[#Headers],[11]],FDR[11],"",0,1)</f>
        <v>5</v>
      </c>
      <c r="X618" cm="1">
        <f t="array" ref="X618">_xlfn.XLOOKUP(Matrix[[#This Row],[TEAM]]&amp;Matrix[[#Headers],[12]],FDR[FDR]&amp;FDR[[#Headers],[12]],FDR[12],"",0,1)</f>
        <v>5</v>
      </c>
      <c r="Y618" cm="1">
        <f t="array" ref="Y618">_xlfn.XLOOKUP(Matrix[[#This Row],[TEAM]]&amp;Matrix[[#Headers],[13]],FDR[FDR]&amp;FDR[[#Headers],[13]],FDR[13],"",0,1)</f>
        <v>5</v>
      </c>
      <c r="Z618" cm="1">
        <f t="array" ref="Z618">_xlfn.XLOOKUP(Matrix[[#This Row],[TEAM]]&amp;Matrix[[#Headers],[14]],FDR[FDR]&amp;FDR[[#Headers],[14]],FDR[14],"",0,1)</f>
        <v>5</v>
      </c>
      <c r="AA618" cm="1">
        <f t="array" ref="AA618">_xlfn.XLOOKUP(Matrix[[#This Row],[TEAM]]&amp;Matrix[[#Headers],[15]],FDR[FDR]&amp;FDR[[#Headers],[15]],FDR[15],"",0,1)</f>
        <v>5</v>
      </c>
      <c r="AB618" cm="1">
        <f t="array" ref="AB618">_xlfn.XLOOKUP(Matrix[[#This Row],[TEAM]]&amp;Matrix[[#Headers],[16]],FDR[FDR]&amp;FDR[[#Headers],[16]],FDR[16],"",0,1)</f>
        <v>5</v>
      </c>
      <c r="AC618" cm="1">
        <f t="array" ref="AC618">_xlfn.XLOOKUP(Matrix[[#This Row],[TEAM]]&amp;Matrix[[#Headers],[17]],FDR[FDR]&amp;FDR[[#Headers],[17]],FDR[17],"",0,1)</f>
        <v>5</v>
      </c>
      <c r="AD618" cm="1">
        <f t="array" ref="AD618">_xlfn.XLOOKUP(Matrix[[#This Row],[TEAM]]&amp;Matrix[[#Headers],[18]],FDR[FDR]&amp;FDR[[#Headers],[18]],FDR[18],"",0,1)</f>
        <v>3</v>
      </c>
      <c r="AE618" cm="1">
        <f t="array" ref="AE618">_xlfn.XLOOKUP(Matrix[[#This Row],[TEAM]]&amp;Matrix[[#Headers],[19]],FDR[FDR]&amp;FDR[[#Headers],[19]],FDR[19],"",0,1)</f>
        <v>5</v>
      </c>
      <c r="AF618" cm="1">
        <f t="array" ref="AF618">_xlfn.XLOOKUP(Matrix[[#This Row],[TEAM]]&amp;Matrix[[#Headers],[20]],FDR[FDR]&amp;FDR[[#Headers],[20]],FDR[20],"",0,1)</f>
        <v>5</v>
      </c>
      <c r="AG618" cm="1">
        <f t="array" ref="AG618">_xlfn.XLOOKUP(Matrix[[#This Row],[TEAM]]&amp;Matrix[[#Headers],[21]],FDR[FDR]&amp;FDR[[#Headers],[21]],FDR[21],"",0,1)</f>
        <v>5</v>
      </c>
      <c r="AH618" cm="1">
        <f t="array" ref="AH618">_xlfn.XLOOKUP(Matrix[[#This Row],[TEAM]]&amp;Matrix[[#Headers],[22]],FDR[FDR]&amp;FDR[[#Headers],[22]],FDR[22],"",0,1)</f>
        <v>4</v>
      </c>
      <c r="AI618" cm="1">
        <f t="array" ref="AI618">_xlfn.XLOOKUP(Matrix[[#This Row],[TEAM]]&amp;Matrix[[#Headers],[23]],FDR[FDR]&amp;FDR[[#Headers],[23]],FDR[23],"",0,1)</f>
        <v>5</v>
      </c>
      <c r="AJ618" cm="1">
        <f t="array" ref="AJ618">_xlfn.XLOOKUP(Matrix[[#This Row],[TEAM]]&amp;Matrix[[#Headers],[24]],FDR[FDR]&amp;FDR[[#Headers],[24]],FDR[24],"",0,1)</f>
        <v>3</v>
      </c>
      <c r="AK618" cm="1">
        <f t="array" ref="AK618">_xlfn.XLOOKUP(Matrix[[#This Row],[TEAM]]&amp;Matrix[[#Headers],[25]],FDR[FDR]&amp;FDR[[#Headers],[25]],FDR[25],"",0,1)</f>
        <v>5</v>
      </c>
      <c r="AL618" cm="1">
        <f t="array" ref="AL618">_xlfn.XLOOKUP(Matrix[[#This Row],[TEAM]]&amp;Matrix[[#Headers],[26]],FDR[FDR]&amp;FDR[[#Headers],[26]],FDR[26],"",0,1)</f>
        <v>5</v>
      </c>
      <c r="AM618" cm="1">
        <f t="array" ref="AM618">_xlfn.XLOOKUP(Matrix[[#This Row],[TEAM]]&amp;Matrix[[#Headers],[27]],FDR[FDR]&amp;FDR[[#Headers],[27]],FDR[27],"",0,1)</f>
        <v>5</v>
      </c>
      <c r="AN618" cm="1">
        <f t="array" ref="AN618">_xlfn.XLOOKUP(Matrix[[#This Row],[TEAM]]&amp;Matrix[[#Headers],[28]],FDR[FDR]&amp;FDR[[#Headers],[28]],FDR[28],"",0,1)</f>
        <v>5</v>
      </c>
      <c r="AO618" cm="1">
        <f t="array" ref="AO618">_xlfn.XLOOKUP(Matrix[[#This Row],[TEAM]]&amp;Matrix[[#Headers],[29]],FDR[FDR]&amp;FDR[[#Headers],[29]],FDR[29],"",0,1)</f>
        <v>4</v>
      </c>
      <c r="AP618" cm="1">
        <f t="array" ref="AP618">_xlfn.XLOOKUP(Matrix[[#This Row],[TEAM]]&amp;Matrix[[#Headers],[30]],FDR[FDR]&amp;FDR[[#Headers],[30]],FDR[30],"",0,1)</f>
        <v>5</v>
      </c>
      <c r="AQ618" cm="1">
        <f t="array" ref="AQ618">_xlfn.XLOOKUP(Matrix[[#This Row],[TEAM]]&amp;Matrix[[#Headers],[31]],FDR[FDR]&amp;FDR[[#Headers],[31]],FDR[31],"",0,1)</f>
        <v>5</v>
      </c>
      <c r="AR618" cm="1">
        <f t="array" ref="AR618">_xlfn.XLOOKUP(Matrix[[#This Row],[TEAM]]&amp;Matrix[[#Headers],[32]],FDR[FDR]&amp;FDR[[#Headers],[32]],FDR[32],"",0,1)</f>
        <v>5</v>
      </c>
      <c r="AS618" cm="1">
        <f t="array" ref="AS618">_xlfn.XLOOKUP(Matrix[[#This Row],[TEAM]]&amp;Matrix[[#Headers],[33]],FDR[FDR]&amp;FDR[[#Headers],[33]],FDR[33],"",0,1)</f>
        <v>5</v>
      </c>
      <c r="AT618" cm="1">
        <f t="array" ref="AT618">_xlfn.XLOOKUP(Matrix[[#This Row],[TEAM]]&amp;Matrix[[#Headers],[34]],FDR[FDR]&amp;FDR[[#Headers],[34]],FDR[34],"",0,1)</f>
        <v>5</v>
      </c>
      <c r="AU618" cm="1">
        <f t="array" ref="AU618">_xlfn.XLOOKUP(Matrix[[#This Row],[TEAM]]&amp;Matrix[[#Headers],[35]],FDR[FDR]&amp;FDR[[#Headers],[35]],FDR[35],"",0,1)</f>
        <v>4</v>
      </c>
      <c r="AV618" cm="1">
        <f t="array" ref="AV618">_xlfn.XLOOKUP(Matrix[[#This Row],[TEAM]]&amp;Matrix[[#Headers],[36]],FDR[FDR]&amp;FDR[[#Headers],[36]],FDR[36],"",0,1)</f>
        <v>5</v>
      </c>
      <c r="AW618" cm="1">
        <f t="array" ref="AW618">_xlfn.XLOOKUP(Matrix[[#This Row],[TEAM]]&amp;Matrix[[#Headers],[37]],FDR[FDR]&amp;FDR[[#Headers],[37]],FDR[37],"",0,1)</f>
        <v>5</v>
      </c>
      <c r="AX618" cm="1">
        <f t="array" ref="AX618">_xlfn.XLOOKUP(Matrix[[#This Row],[TEAM]]&amp;Matrix[[#Headers],[38]],FDR[FDR]&amp;FDR[[#Headers],[38]],FDR[38],"",0,1)</f>
        <v>5</v>
      </c>
    </row>
    <row r="619" spans="1:50" ht="22" thickTop="1" thickBot="1">
      <c r="A619" s="49" t="str">
        <f>INDEX!S$5</f>
        <v>FWD</v>
      </c>
      <c r="B619" s="70" t="s">
        <v>1656</v>
      </c>
      <c r="C619" s="40" t="s">
        <v>22</v>
      </c>
      <c r="D619" s="62">
        <v>0</v>
      </c>
      <c r="E619" s="60">
        <v>6.0000000000000001E-3</v>
      </c>
      <c r="F619" s="61">
        <v>0</v>
      </c>
      <c r="G619" s="63">
        <v>4.5</v>
      </c>
      <c r="H619" s="261">
        <f>IF(ISBLANK(I619),0,1)</f>
        <v>1</v>
      </c>
      <c r="I619" s="57" t="s">
        <v>938</v>
      </c>
      <c r="J619" s="58"/>
      <c r="K619" s="64" t="s">
        <v>386</v>
      </c>
      <c r="L619" s="64" t="s">
        <v>292</v>
      </c>
      <c r="M619" cm="1">
        <f t="array" ref="M619">_xlfn.XLOOKUP(Matrix[[#This Row],[TEAM]]&amp;Matrix[[#Headers],[1]],FDR[FDR]&amp;FDR[[#Headers],[1]],FDR[1],"",0,1)</f>
        <v>5</v>
      </c>
      <c r="N619" cm="1">
        <f t="array" ref="N619">_xlfn.XLOOKUP(Matrix[[#This Row],[TEAM]]&amp;Matrix[[#Headers],[2]],FDR[FDR]&amp;FDR[[#Headers],[2]],FDR[2],"",0,1)</f>
        <v>3</v>
      </c>
      <c r="O619" cm="1">
        <f t="array" ref="O619">_xlfn.XLOOKUP(Matrix[[#This Row],[TEAM]]&amp;Matrix[[#Headers],[3]],FDR[FDR]&amp;FDR[[#Headers],[3]],FDR[3],"",0,1)</f>
        <v>5</v>
      </c>
      <c r="P619" cm="1">
        <f t="array" ref="P619">_xlfn.XLOOKUP(Matrix[[#This Row],[TEAM]]&amp;Matrix[[#Headers],[4]],FDR[FDR]&amp;FDR[[#Headers],[4]],FDR[4],"",0,1)</f>
        <v>5</v>
      </c>
      <c r="Q619" cm="1">
        <f t="array" ref="Q619">_xlfn.XLOOKUP(Matrix[[#This Row],[TEAM]]&amp;Matrix[[#Headers],[5]],FDR[FDR]&amp;FDR[[#Headers],[5]],FDR[5],"",0,1)</f>
        <v>5</v>
      </c>
      <c r="R619" cm="1">
        <f t="array" ref="R619">_xlfn.XLOOKUP(Matrix[[#This Row],[TEAM]]&amp;Matrix[[#Headers],[6]],FDR[FDR]&amp;FDR[[#Headers],[6]],FDR[6],"",0,1)</f>
        <v>5</v>
      </c>
      <c r="S619" cm="1">
        <f t="array" ref="S619">_xlfn.XLOOKUP(Matrix[[#This Row],[TEAM]]&amp;Matrix[[#Headers],[7]],FDR[FDR]&amp;FDR[[#Headers],[7]],FDR[7],"",0,1)</f>
        <v>5</v>
      </c>
      <c r="T619" cm="1">
        <f t="array" ref="T619">_xlfn.XLOOKUP(Matrix[[#This Row],[TEAM]]&amp;Matrix[[#Headers],[8]],FDR[FDR]&amp;FDR[[#Headers],[8]],FDR[8],"",0,1)</f>
        <v>3</v>
      </c>
      <c r="U619" cm="1">
        <f t="array" ref="U619">_xlfn.XLOOKUP(Matrix[[#This Row],[TEAM]]&amp;Matrix[[#Headers],[9]],FDR[FDR]&amp;FDR[[#Headers],[9]],FDR[9],"",0,1)</f>
        <v>4</v>
      </c>
      <c r="V619" cm="1">
        <f t="array" ref="V619">_xlfn.XLOOKUP(Matrix[[#This Row],[TEAM]]&amp;Matrix[[#Headers],[10]],FDR[FDR]&amp;FDR[[#Headers],[10]],FDR[10],"",0,1)</f>
        <v>5</v>
      </c>
      <c r="W619" cm="1">
        <f t="array" ref="W619">_xlfn.XLOOKUP(Matrix[[#This Row],[TEAM]]&amp;Matrix[[#Headers],[11]],FDR[FDR]&amp;FDR[[#Headers],[11]],FDR[11],"",0,1)</f>
        <v>5</v>
      </c>
      <c r="X619" cm="1">
        <f t="array" ref="X619">_xlfn.XLOOKUP(Matrix[[#This Row],[TEAM]]&amp;Matrix[[#Headers],[12]],FDR[FDR]&amp;FDR[[#Headers],[12]],FDR[12],"",0,1)</f>
        <v>5</v>
      </c>
      <c r="Y619" cm="1">
        <f t="array" ref="Y619">_xlfn.XLOOKUP(Matrix[[#This Row],[TEAM]]&amp;Matrix[[#Headers],[13]],FDR[FDR]&amp;FDR[[#Headers],[13]],FDR[13],"",0,1)</f>
        <v>5</v>
      </c>
      <c r="Z619" cm="1">
        <f t="array" ref="Z619">_xlfn.XLOOKUP(Matrix[[#This Row],[TEAM]]&amp;Matrix[[#Headers],[14]],FDR[FDR]&amp;FDR[[#Headers],[14]],FDR[14],"",0,1)</f>
        <v>4</v>
      </c>
      <c r="AA619" cm="1">
        <f t="array" ref="AA619">_xlfn.XLOOKUP(Matrix[[#This Row],[TEAM]]&amp;Matrix[[#Headers],[15]],FDR[FDR]&amp;FDR[[#Headers],[15]],FDR[15],"",0,1)</f>
        <v>5</v>
      </c>
      <c r="AB619" cm="1">
        <f t="array" ref="AB619">_xlfn.XLOOKUP(Matrix[[#This Row],[TEAM]]&amp;Matrix[[#Headers],[16]],FDR[FDR]&amp;FDR[[#Headers],[16]],FDR[16],"",0,1)</f>
        <v>5</v>
      </c>
      <c r="AC619" cm="1">
        <f t="array" ref="AC619">_xlfn.XLOOKUP(Matrix[[#This Row],[TEAM]]&amp;Matrix[[#Headers],[17]],FDR[FDR]&amp;FDR[[#Headers],[17]],FDR[17],"",0,1)</f>
        <v>5</v>
      </c>
      <c r="AD619" cm="1">
        <f t="array" ref="AD619">_xlfn.XLOOKUP(Matrix[[#This Row],[TEAM]]&amp;Matrix[[#Headers],[18]],FDR[FDR]&amp;FDR[[#Headers],[18]],FDR[18],"",0,1)</f>
        <v>4</v>
      </c>
      <c r="AE619" cm="1">
        <f t="array" ref="AE619">_xlfn.XLOOKUP(Matrix[[#This Row],[TEAM]]&amp;Matrix[[#Headers],[19]],FDR[FDR]&amp;FDR[[#Headers],[19]],FDR[19],"",0,1)</f>
        <v>5</v>
      </c>
      <c r="AF619" cm="1">
        <f t="array" ref="AF619">_xlfn.XLOOKUP(Matrix[[#This Row],[TEAM]]&amp;Matrix[[#Headers],[20]],FDR[FDR]&amp;FDR[[#Headers],[20]],FDR[20],"",0,1)</f>
        <v>5</v>
      </c>
      <c r="AG619" cm="1">
        <f t="array" ref="AG619">_xlfn.XLOOKUP(Matrix[[#This Row],[TEAM]]&amp;Matrix[[#Headers],[21]],FDR[FDR]&amp;FDR[[#Headers],[21]],FDR[21],"",0,1)</f>
        <v>5</v>
      </c>
      <c r="AH619" cm="1">
        <f t="array" ref="AH619">_xlfn.XLOOKUP(Matrix[[#This Row],[TEAM]]&amp;Matrix[[#Headers],[22]],FDR[FDR]&amp;FDR[[#Headers],[22]],FDR[22],"",0,1)</f>
        <v>5</v>
      </c>
      <c r="AI619" cm="1">
        <f t="array" ref="AI619">_xlfn.XLOOKUP(Matrix[[#This Row],[TEAM]]&amp;Matrix[[#Headers],[23]],FDR[FDR]&amp;FDR[[#Headers],[23]],FDR[23],"",0,1)</f>
        <v>5</v>
      </c>
      <c r="AJ619" cm="1">
        <f t="array" ref="AJ619">_xlfn.XLOOKUP(Matrix[[#This Row],[TEAM]]&amp;Matrix[[#Headers],[24]],FDR[FDR]&amp;FDR[[#Headers],[24]],FDR[24],"",0,1)</f>
        <v>4</v>
      </c>
      <c r="AK619" cm="1">
        <f t="array" ref="AK619">_xlfn.XLOOKUP(Matrix[[#This Row],[TEAM]]&amp;Matrix[[#Headers],[25]],FDR[FDR]&amp;FDR[[#Headers],[25]],FDR[25],"",0,1)</f>
        <v>4</v>
      </c>
      <c r="AL619" cm="1">
        <f t="array" ref="AL619">_xlfn.XLOOKUP(Matrix[[#This Row],[TEAM]]&amp;Matrix[[#Headers],[26]],FDR[FDR]&amp;FDR[[#Headers],[26]],FDR[26],"",0,1)</f>
        <v>5</v>
      </c>
      <c r="AM619" cm="1">
        <f t="array" ref="AM619">_xlfn.XLOOKUP(Matrix[[#This Row],[TEAM]]&amp;Matrix[[#Headers],[27]],FDR[FDR]&amp;FDR[[#Headers],[27]],FDR[27],"",0,1)</f>
        <v>5</v>
      </c>
      <c r="AN619" cm="1">
        <f t="array" ref="AN619">_xlfn.XLOOKUP(Matrix[[#This Row],[TEAM]]&amp;Matrix[[#Headers],[28]],FDR[FDR]&amp;FDR[[#Headers],[28]],FDR[28],"",0,1)</f>
        <v>4</v>
      </c>
      <c r="AO619" cm="1">
        <f t="array" ref="AO619">_xlfn.XLOOKUP(Matrix[[#This Row],[TEAM]]&amp;Matrix[[#Headers],[29]],FDR[FDR]&amp;FDR[[#Headers],[29]],FDR[29],"",0,1)</f>
        <v>5</v>
      </c>
      <c r="AP619" cm="1">
        <f t="array" ref="AP619">_xlfn.XLOOKUP(Matrix[[#This Row],[TEAM]]&amp;Matrix[[#Headers],[30]],FDR[FDR]&amp;FDR[[#Headers],[30]],FDR[30],"",0,1)</f>
        <v>5</v>
      </c>
      <c r="AQ619" cm="1">
        <f t="array" ref="AQ619">_xlfn.XLOOKUP(Matrix[[#This Row],[TEAM]]&amp;Matrix[[#Headers],[31]],FDR[FDR]&amp;FDR[[#Headers],[31]],FDR[31],"",0,1)</f>
        <v>5</v>
      </c>
      <c r="AR619" cm="1">
        <f t="array" ref="AR619">_xlfn.XLOOKUP(Matrix[[#This Row],[TEAM]]&amp;Matrix[[#Headers],[32]],FDR[FDR]&amp;FDR[[#Headers],[32]],FDR[32],"",0,1)</f>
        <v>5</v>
      </c>
      <c r="AS619" cm="1">
        <f t="array" ref="AS619">_xlfn.XLOOKUP(Matrix[[#This Row],[TEAM]]&amp;Matrix[[#Headers],[33]],FDR[FDR]&amp;FDR[[#Headers],[33]],FDR[33],"",0,1)</f>
        <v>5</v>
      </c>
      <c r="AT619" cm="1">
        <f t="array" ref="AT619">_xlfn.XLOOKUP(Matrix[[#This Row],[TEAM]]&amp;Matrix[[#Headers],[34]],FDR[FDR]&amp;FDR[[#Headers],[34]],FDR[34],"",0,1)</f>
        <v>5</v>
      </c>
      <c r="AU619" cm="1">
        <f t="array" ref="AU619">_xlfn.XLOOKUP(Matrix[[#This Row],[TEAM]]&amp;Matrix[[#Headers],[35]],FDR[FDR]&amp;FDR[[#Headers],[35]],FDR[35],"",0,1)</f>
        <v>4</v>
      </c>
      <c r="AV619" cm="1">
        <f t="array" ref="AV619">_xlfn.XLOOKUP(Matrix[[#This Row],[TEAM]]&amp;Matrix[[#Headers],[36]],FDR[FDR]&amp;FDR[[#Headers],[36]],FDR[36],"",0,1)</f>
        <v>5</v>
      </c>
      <c r="AW619" cm="1">
        <f t="array" ref="AW619">_xlfn.XLOOKUP(Matrix[[#This Row],[TEAM]]&amp;Matrix[[#Headers],[37]],FDR[FDR]&amp;FDR[[#Headers],[37]],FDR[37],"",0,1)</f>
        <v>5</v>
      </c>
      <c r="AX619" cm="1">
        <f t="array" ref="AX619">_xlfn.XLOOKUP(Matrix[[#This Row],[TEAM]]&amp;Matrix[[#Headers],[38]],FDR[FDR]&amp;FDR[[#Headers],[38]],FDR[38],"",0,1)</f>
        <v>3</v>
      </c>
    </row>
    <row r="620" spans="1:50" ht="22" thickTop="1" thickBot="1">
      <c r="A620" s="49" t="str">
        <f>INDEX!S$5</f>
        <v>FWD</v>
      </c>
      <c r="B620" s="70" t="s">
        <v>1789</v>
      </c>
      <c r="C620" s="40" t="s">
        <v>51</v>
      </c>
      <c r="D620" s="62">
        <v>0</v>
      </c>
      <c r="E620" s="60">
        <v>0</v>
      </c>
      <c r="F620" s="61">
        <v>0</v>
      </c>
      <c r="G620" s="63">
        <v>4.5</v>
      </c>
      <c r="H620" s="261">
        <f>IF(ISBLANK(I620),0,1)</f>
        <v>1</v>
      </c>
      <c r="I620" s="57" t="s">
        <v>891</v>
      </c>
      <c r="J620" s="58" t="s">
        <v>1981</v>
      </c>
      <c r="K620" s="64" t="s">
        <v>427</v>
      </c>
      <c r="L620" s="64" t="s">
        <v>1216</v>
      </c>
      <c r="M620" cm="1">
        <f t="array" ref="M620">_xlfn.XLOOKUP(Matrix[[#This Row],[TEAM]]&amp;Matrix[[#Headers],[1]],FDR[FDR]&amp;FDR[[#Headers],[1]],FDR[1],"",0,1)</f>
        <v>5</v>
      </c>
      <c r="N620" cm="1">
        <f t="array" ref="N620">_xlfn.XLOOKUP(Matrix[[#This Row],[TEAM]]&amp;Matrix[[#Headers],[2]],FDR[FDR]&amp;FDR[[#Headers],[2]],FDR[2],"",0,1)</f>
        <v>5</v>
      </c>
      <c r="O620" cm="1">
        <f t="array" ref="O620">_xlfn.XLOOKUP(Matrix[[#This Row],[TEAM]]&amp;Matrix[[#Headers],[3]],FDR[FDR]&amp;FDR[[#Headers],[3]],FDR[3],"",0,1)</f>
        <v>4</v>
      </c>
      <c r="P620" cm="1">
        <f t="array" ref="P620">_xlfn.XLOOKUP(Matrix[[#This Row],[TEAM]]&amp;Matrix[[#Headers],[4]],FDR[FDR]&amp;FDR[[#Headers],[4]],FDR[4],"",0,1)</f>
        <v>5</v>
      </c>
      <c r="Q620" cm="1">
        <f t="array" ref="Q620">_xlfn.XLOOKUP(Matrix[[#This Row],[TEAM]]&amp;Matrix[[#Headers],[5]],FDR[FDR]&amp;FDR[[#Headers],[5]],FDR[5],"",0,1)</f>
        <v>2</v>
      </c>
      <c r="R620" cm="1">
        <f t="array" ref="R620">_xlfn.XLOOKUP(Matrix[[#This Row],[TEAM]]&amp;Matrix[[#Headers],[6]],FDR[FDR]&amp;FDR[[#Headers],[6]],FDR[6],"",0,1)</f>
        <v>5</v>
      </c>
      <c r="S620" cm="1">
        <f t="array" ref="S620">_xlfn.XLOOKUP(Matrix[[#This Row],[TEAM]]&amp;Matrix[[#Headers],[7]],FDR[FDR]&amp;FDR[[#Headers],[7]],FDR[7],"",0,1)</f>
        <v>4</v>
      </c>
      <c r="T620" cm="1">
        <f t="array" ref="T620">_xlfn.XLOOKUP(Matrix[[#This Row],[TEAM]]&amp;Matrix[[#Headers],[8]],FDR[FDR]&amp;FDR[[#Headers],[8]],FDR[8],"",0,1)</f>
        <v>3</v>
      </c>
      <c r="U620" cm="1">
        <f t="array" ref="U620">_xlfn.XLOOKUP(Matrix[[#This Row],[TEAM]]&amp;Matrix[[#Headers],[9]],FDR[FDR]&amp;FDR[[#Headers],[9]],FDR[9],"",0,1)</f>
        <v>2</v>
      </c>
      <c r="V620" cm="1">
        <f t="array" ref="V620">_xlfn.XLOOKUP(Matrix[[#This Row],[TEAM]]&amp;Matrix[[#Headers],[10]],FDR[FDR]&amp;FDR[[#Headers],[10]],FDR[10],"",0,1)</f>
        <v>5</v>
      </c>
      <c r="W620" cm="1">
        <f t="array" ref="W620">_xlfn.XLOOKUP(Matrix[[#This Row],[TEAM]]&amp;Matrix[[#Headers],[11]],FDR[FDR]&amp;FDR[[#Headers],[11]],FDR[11],"",0,1)</f>
        <v>5</v>
      </c>
      <c r="X620" cm="1">
        <f t="array" ref="X620">_xlfn.XLOOKUP(Matrix[[#This Row],[TEAM]]&amp;Matrix[[#Headers],[12]],FDR[FDR]&amp;FDR[[#Headers],[12]],FDR[12],"",0,1)</f>
        <v>4</v>
      </c>
      <c r="Y620" cm="1">
        <f t="array" ref="Y620">_xlfn.XLOOKUP(Matrix[[#This Row],[TEAM]]&amp;Matrix[[#Headers],[13]],FDR[FDR]&amp;FDR[[#Headers],[13]],FDR[13],"",0,1)</f>
        <v>5</v>
      </c>
      <c r="Z620" cm="1">
        <f t="array" ref="Z620">_xlfn.XLOOKUP(Matrix[[#This Row],[TEAM]]&amp;Matrix[[#Headers],[14]],FDR[FDR]&amp;FDR[[#Headers],[14]],FDR[14],"",0,1)</f>
        <v>4</v>
      </c>
      <c r="AA620" cm="1">
        <f t="array" ref="AA620">_xlfn.XLOOKUP(Matrix[[#This Row],[TEAM]]&amp;Matrix[[#Headers],[15]],FDR[FDR]&amp;FDR[[#Headers],[15]],FDR[15],"",0,1)</f>
        <v>5</v>
      </c>
      <c r="AB620" cm="1">
        <f t="array" ref="AB620">_xlfn.XLOOKUP(Matrix[[#This Row],[TEAM]]&amp;Matrix[[#Headers],[16]],FDR[FDR]&amp;FDR[[#Headers],[16]],FDR[16],"",0,1)</f>
        <v>5</v>
      </c>
      <c r="AC620" cm="1">
        <f t="array" ref="AC620">_xlfn.XLOOKUP(Matrix[[#This Row],[TEAM]]&amp;Matrix[[#Headers],[17]],FDR[FDR]&amp;FDR[[#Headers],[17]],FDR[17],"",0,1)</f>
        <v>4</v>
      </c>
      <c r="AD620" cm="1">
        <f t="array" ref="AD620">_xlfn.XLOOKUP(Matrix[[#This Row],[TEAM]]&amp;Matrix[[#Headers],[18]],FDR[FDR]&amp;FDR[[#Headers],[18]],FDR[18],"",0,1)</f>
        <v>5</v>
      </c>
      <c r="AE620" cm="1">
        <f t="array" ref="AE620">_xlfn.XLOOKUP(Matrix[[#This Row],[TEAM]]&amp;Matrix[[#Headers],[19]],FDR[FDR]&amp;FDR[[#Headers],[19]],FDR[19],"",0,1)</f>
        <v>5</v>
      </c>
      <c r="AF620" cm="1">
        <f t="array" ref="AF620">_xlfn.XLOOKUP(Matrix[[#This Row],[TEAM]]&amp;Matrix[[#Headers],[20]],FDR[FDR]&amp;FDR[[#Headers],[20]],FDR[20],"",0,1)</f>
        <v>4</v>
      </c>
      <c r="AG620" cm="1">
        <f t="array" ref="AG620">_xlfn.XLOOKUP(Matrix[[#This Row],[TEAM]]&amp;Matrix[[#Headers],[21]],FDR[FDR]&amp;FDR[[#Headers],[21]],FDR[21],"",0,1)</f>
        <v>5</v>
      </c>
      <c r="AH620" cm="1">
        <f t="array" ref="AH620">_xlfn.XLOOKUP(Matrix[[#This Row],[TEAM]]&amp;Matrix[[#Headers],[22]],FDR[FDR]&amp;FDR[[#Headers],[22]],FDR[22],"",0,1)</f>
        <v>5</v>
      </c>
      <c r="AI620" cm="1">
        <f t="array" ref="AI620">_xlfn.XLOOKUP(Matrix[[#This Row],[TEAM]]&amp;Matrix[[#Headers],[23]],FDR[FDR]&amp;FDR[[#Headers],[23]],FDR[23],"",0,1)</f>
        <v>5</v>
      </c>
      <c r="AJ620" cm="1">
        <f t="array" ref="AJ620">_xlfn.XLOOKUP(Matrix[[#This Row],[TEAM]]&amp;Matrix[[#Headers],[24]],FDR[FDR]&amp;FDR[[#Headers],[24]],FDR[24],"",0,1)</f>
        <v>4</v>
      </c>
      <c r="AK620" cm="1">
        <f t="array" ref="AK620">_xlfn.XLOOKUP(Matrix[[#This Row],[TEAM]]&amp;Matrix[[#Headers],[25]],FDR[FDR]&amp;FDR[[#Headers],[25]],FDR[25],"",0,1)</f>
        <v>5</v>
      </c>
      <c r="AL620" cm="1">
        <f t="array" ref="AL620">_xlfn.XLOOKUP(Matrix[[#This Row],[TEAM]]&amp;Matrix[[#Headers],[26]],FDR[FDR]&amp;FDR[[#Headers],[26]],FDR[26],"",0,1)</f>
        <v>5</v>
      </c>
      <c r="AM620" cm="1">
        <f t="array" ref="AM620">_xlfn.XLOOKUP(Matrix[[#This Row],[TEAM]]&amp;Matrix[[#Headers],[27]],FDR[FDR]&amp;FDR[[#Headers],[27]],FDR[27],"",0,1)</f>
        <v>5</v>
      </c>
      <c r="AN620" cm="1">
        <f t="array" ref="AN620">_xlfn.XLOOKUP(Matrix[[#This Row],[TEAM]]&amp;Matrix[[#Headers],[28]],FDR[FDR]&amp;FDR[[#Headers],[28]],FDR[28],"",0,1)</f>
        <v>5</v>
      </c>
      <c r="AO620" cm="1">
        <f t="array" ref="AO620">_xlfn.XLOOKUP(Matrix[[#This Row],[TEAM]]&amp;Matrix[[#Headers],[29]],FDR[FDR]&amp;FDR[[#Headers],[29]],FDR[29],"",0,1)</f>
        <v>5</v>
      </c>
      <c r="AP620" cm="1">
        <f t="array" ref="AP620">_xlfn.XLOOKUP(Matrix[[#This Row],[TEAM]]&amp;Matrix[[#Headers],[30]],FDR[FDR]&amp;FDR[[#Headers],[30]],FDR[30],"",0,1)</f>
        <v>5</v>
      </c>
      <c r="AQ620" cm="1">
        <f t="array" ref="AQ620">_xlfn.XLOOKUP(Matrix[[#This Row],[TEAM]]&amp;Matrix[[#Headers],[31]],FDR[FDR]&amp;FDR[[#Headers],[31]],FDR[31],"",0,1)</f>
        <v>5</v>
      </c>
      <c r="AR620" cm="1">
        <f t="array" ref="AR620">_xlfn.XLOOKUP(Matrix[[#This Row],[TEAM]]&amp;Matrix[[#Headers],[32]],FDR[FDR]&amp;FDR[[#Headers],[32]],FDR[32],"",0,1)</f>
        <v>5</v>
      </c>
      <c r="AS620" cm="1">
        <f t="array" ref="AS620">_xlfn.XLOOKUP(Matrix[[#This Row],[TEAM]]&amp;Matrix[[#Headers],[33]],FDR[FDR]&amp;FDR[[#Headers],[33]],FDR[33],"",0,1)</f>
        <v>3</v>
      </c>
      <c r="AT620" cm="1">
        <f t="array" ref="AT620">_xlfn.XLOOKUP(Matrix[[#This Row],[TEAM]]&amp;Matrix[[#Headers],[34]],FDR[FDR]&amp;FDR[[#Headers],[34]],FDR[34],"",0,1)</f>
        <v>5</v>
      </c>
      <c r="AU620" cm="1">
        <f t="array" ref="AU620">_xlfn.XLOOKUP(Matrix[[#This Row],[TEAM]]&amp;Matrix[[#Headers],[35]],FDR[FDR]&amp;FDR[[#Headers],[35]],FDR[35],"",0,1)</f>
        <v>2</v>
      </c>
      <c r="AV620" cm="1">
        <f t="array" ref="AV620">_xlfn.XLOOKUP(Matrix[[#This Row],[TEAM]]&amp;Matrix[[#Headers],[36]],FDR[FDR]&amp;FDR[[#Headers],[36]],FDR[36],"",0,1)</f>
        <v>5</v>
      </c>
      <c r="AW620" cm="1">
        <f t="array" ref="AW620">_xlfn.XLOOKUP(Matrix[[#This Row],[TEAM]]&amp;Matrix[[#Headers],[37]],FDR[FDR]&amp;FDR[[#Headers],[37]],FDR[37],"",0,1)</f>
        <v>4</v>
      </c>
      <c r="AX620" cm="1">
        <f t="array" ref="AX620">_xlfn.XLOOKUP(Matrix[[#This Row],[TEAM]]&amp;Matrix[[#Headers],[38]],FDR[FDR]&amp;FDR[[#Headers],[38]],FDR[38],"",0,1)</f>
        <v>3</v>
      </c>
    </row>
    <row r="621" spans="1:50" ht="22" thickTop="1" thickBot="1">
      <c r="A621" s="51" t="s">
        <v>657</v>
      </c>
      <c r="B621" s="70" t="s">
        <v>1623</v>
      </c>
      <c r="C621" s="40" t="s">
        <v>19</v>
      </c>
      <c r="D621" s="62">
        <v>43</v>
      </c>
      <c r="E621" s="60">
        <v>0.04</v>
      </c>
      <c r="F621" s="61">
        <v>74.5</v>
      </c>
      <c r="G621" s="63">
        <v>4.4000000000000004</v>
      </c>
      <c r="H621" s="261">
        <f>IF(ISBLANK(I621),0,1)</f>
        <v>1</v>
      </c>
      <c r="I621" s="57" t="s">
        <v>891</v>
      </c>
      <c r="J621" s="58" t="s">
        <v>1998</v>
      </c>
      <c r="K621" s="65" t="s">
        <v>615</v>
      </c>
      <c r="L621" s="65" t="s">
        <v>167</v>
      </c>
      <c r="M621" cm="1">
        <f t="array" ref="M621">_xlfn.XLOOKUP(Matrix[[#This Row],[TEAM]]&amp;Matrix[[#Headers],[1]],FDR[FDR]&amp;FDR[[#Headers],[1]],FDR[1],"",0,1)</f>
        <v>1</v>
      </c>
      <c r="N621" cm="1">
        <f t="array" ref="N621">_xlfn.XLOOKUP(Matrix[[#This Row],[TEAM]]&amp;Matrix[[#Headers],[2]],FDR[FDR]&amp;FDR[[#Headers],[2]],FDR[2],"",0,1)</f>
        <v>4</v>
      </c>
      <c r="O621" cm="1">
        <f t="array" ref="O621">_xlfn.XLOOKUP(Matrix[[#This Row],[TEAM]]&amp;Matrix[[#Headers],[3]],FDR[FDR]&amp;FDR[[#Headers],[3]],FDR[3],"",0,1)</f>
        <v>1</v>
      </c>
      <c r="P621" cm="1">
        <f t="array" ref="P621">_xlfn.XLOOKUP(Matrix[[#This Row],[TEAM]]&amp;Matrix[[#Headers],[4]],FDR[FDR]&amp;FDR[[#Headers],[4]],FDR[4],"",0,1)</f>
        <v>2</v>
      </c>
      <c r="Q621" cm="1">
        <f t="array" ref="Q621">_xlfn.XLOOKUP(Matrix[[#This Row],[TEAM]]&amp;Matrix[[#Headers],[5]],FDR[FDR]&amp;FDR[[#Headers],[5]],FDR[5],"",0,1)</f>
        <v>2</v>
      </c>
      <c r="R621" cm="1">
        <f t="array" ref="R621">_xlfn.XLOOKUP(Matrix[[#This Row],[TEAM]]&amp;Matrix[[#Headers],[6]],FDR[FDR]&amp;FDR[[#Headers],[6]],FDR[6],"",0,1)</f>
        <v>1</v>
      </c>
      <c r="S621" cm="1">
        <f t="array" ref="S621">_xlfn.XLOOKUP(Matrix[[#This Row],[TEAM]]&amp;Matrix[[#Headers],[7]],FDR[FDR]&amp;FDR[[#Headers],[7]],FDR[7],"",0,1)</f>
        <v>1</v>
      </c>
      <c r="T621" cm="1">
        <f t="array" ref="T621">_xlfn.XLOOKUP(Matrix[[#This Row],[TEAM]]&amp;Matrix[[#Headers],[8]],FDR[FDR]&amp;FDR[[#Headers],[8]],FDR[8],"",0,1)</f>
        <v>2</v>
      </c>
      <c r="U621" cm="1">
        <f t="array" ref="U621">_xlfn.XLOOKUP(Matrix[[#This Row],[TEAM]]&amp;Matrix[[#Headers],[9]],FDR[FDR]&amp;FDR[[#Headers],[9]],FDR[9],"",0,1)</f>
        <v>2</v>
      </c>
      <c r="V621" cm="1">
        <f t="array" ref="V621">_xlfn.XLOOKUP(Matrix[[#This Row],[TEAM]]&amp;Matrix[[#Headers],[10]],FDR[FDR]&amp;FDR[[#Headers],[10]],FDR[10],"",0,1)</f>
        <v>3</v>
      </c>
      <c r="W621" cm="1">
        <f t="array" ref="W621">_xlfn.XLOOKUP(Matrix[[#This Row],[TEAM]]&amp;Matrix[[#Headers],[11]],FDR[FDR]&amp;FDR[[#Headers],[11]],FDR[11],"",0,1)</f>
        <v>3</v>
      </c>
      <c r="X621" cm="1">
        <f t="array" ref="X621">_xlfn.XLOOKUP(Matrix[[#This Row],[TEAM]]&amp;Matrix[[#Headers],[12]],FDR[FDR]&amp;FDR[[#Headers],[12]],FDR[12],"",0,1)</f>
        <v>4</v>
      </c>
      <c r="Y621" cm="1">
        <f t="array" ref="Y621">_xlfn.XLOOKUP(Matrix[[#This Row],[TEAM]]&amp;Matrix[[#Headers],[13]],FDR[FDR]&amp;FDR[[#Headers],[13]],FDR[13],"",0,1)</f>
        <v>1</v>
      </c>
      <c r="Z621" cm="1">
        <f t="array" ref="Z621">_xlfn.XLOOKUP(Matrix[[#This Row],[TEAM]]&amp;Matrix[[#Headers],[14]],FDR[FDR]&amp;FDR[[#Headers],[14]],FDR[14],"",0,1)</f>
        <v>3</v>
      </c>
      <c r="AA621" cm="1">
        <f t="array" ref="AA621">_xlfn.XLOOKUP(Matrix[[#This Row],[TEAM]]&amp;Matrix[[#Headers],[15]],FDR[FDR]&amp;FDR[[#Headers],[15]],FDR[15],"",0,1)</f>
        <v>1</v>
      </c>
      <c r="AB621" cm="1">
        <f t="array" ref="AB621">_xlfn.XLOOKUP(Matrix[[#This Row],[TEAM]]&amp;Matrix[[#Headers],[16]],FDR[FDR]&amp;FDR[[#Headers],[16]],FDR[16],"",0,1)</f>
        <v>2</v>
      </c>
      <c r="AC621" cm="1">
        <f t="array" ref="AC621">_xlfn.XLOOKUP(Matrix[[#This Row],[TEAM]]&amp;Matrix[[#Headers],[17]],FDR[FDR]&amp;FDR[[#Headers],[17]],FDR[17],"",0,1)</f>
        <v>3</v>
      </c>
      <c r="AD621" cm="1">
        <f t="array" ref="AD621">_xlfn.XLOOKUP(Matrix[[#This Row],[TEAM]]&amp;Matrix[[#Headers],[18]],FDR[FDR]&amp;FDR[[#Headers],[18]],FDR[18],"",0,1)</f>
        <v>2</v>
      </c>
      <c r="AE621" cm="1">
        <f t="array" ref="AE621">_xlfn.XLOOKUP(Matrix[[#This Row],[TEAM]]&amp;Matrix[[#Headers],[19]],FDR[FDR]&amp;FDR[[#Headers],[19]],FDR[19],"",0,1)</f>
        <v>2</v>
      </c>
      <c r="AF621" cm="1">
        <f t="array" ref="AF621">_xlfn.XLOOKUP(Matrix[[#This Row],[TEAM]]&amp;Matrix[[#Headers],[20]],FDR[FDR]&amp;FDR[[#Headers],[20]],FDR[20],"",0,1)</f>
        <v>1</v>
      </c>
      <c r="AG621" cm="1">
        <f t="array" ref="AG621">_xlfn.XLOOKUP(Matrix[[#This Row],[TEAM]]&amp;Matrix[[#Headers],[21]],FDR[FDR]&amp;FDR[[#Headers],[21]],FDR[21],"",0,1)</f>
        <v>2</v>
      </c>
      <c r="AH621" cm="1">
        <f t="array" ref="AH621">_xlfn.XLOOKUP(Matrix[[#This Row],[TEAM]]&amp;Matrix[[#Headers],[22]],FDR[FDR]&amp;FDR[[#Headers],[22]],FDR[22],"",0,1)</f>
        <v>1</v>
      </c>
      <c r="AI621" cm="1">
        <f t="array" ref="AI621">_xlfn.XLOOKUP(Matrix[[#This Row],[TEAM]]&amp;Matrix[[#Headers],[23]],FDR[FDR]&amp;FDR[[#Headers],[23]],FDR[23],"",0,1)</f>
        <v>1</v>
      </c>
      <c r="AJ621" cm="1">
        <f t="array" ref="AJ621">_xlfn.XLOOKUP(Matrix[[#This Row],[TEAM]]&amp;Matrix[[#Headers],[24]],FDR[FDR]&amp;FDR[[#Headers],[24]],FDR[24],"",0,1)</f>
        <v>3</v>
      </c>
      <c r="AK621" cm="1">
        <f t="array" ref="AK621">_xlfn.XLOOKUP(Matrix[[#This Row],[TEAM]]&amp;Matrix[[#Headers],[25]],FDR[FDR]&amp;FDR[[#Headers],[25]],FDR[25],"",0,1)</f>
        <v>4</v>
      </c>
      <c r="AL621" cm="1">
        <f t="array" ref="AL621">_xlfn.XLOOKUP(Matrix[[#This Row],[TEAM]]&amp;Matrix[[#Headers],[26]],FDR[FDR]&amp;FDR[[#Headers],[26]],FDR[26],"",0,1)</f>
        <v>2</v>
      </c>
      <c r="AM621" cm="1">
        <f t="array" ref="AM621">_xlfn.XLOOKUP(Matrix[[#This Row],[TEAM]]&amp;Matrix[[#Headers],[27]],FDR[FDR]&amp;FDR[[#Headers],[27]],FDR[27],"",0,1)</f>
        <v>3</v>
      </c>
      <c r="AN621" cm="1">
        <f t="array" ref="AN621">_xlfn.XLOOKUP(Matrix[[#This Row],[TEAM]]&amp;Matrix[[#Headers],[28]],FDR[FDR]&amp;FDR[[#Headers],[28]],FDR[28],"",0,1)</f>
        <v>2</v>
      </c>
      <c r="AO621" cm="1">
        <f t="array" ref="AO621">_xlfn.XLOOKUP(Matrix[[#This Row],[TEAM]]&amp;Matrix[[#Headers],[29]],FDR[FDR]&amp;FDR[[#Headers],[29]],FDR[29],"",0,1)</f>
        <v>1</v>
      </c>
      <c r="AP621" cm="1">
        <f t="array" ref="AP621">_xlfn.XLOOKUP(Matrix[[#This Row],[TEAM]]&amp;Matrix[[#Headers],[30]],FDR[FDR]&amp;FDR[[#Headers],[30]],FDR[30],"",0,1)</f>
        <v>4</v>
      </c>
      <c r="AQ621" cm="1">
        <f t="array" ref="AQ621">_xlfn.XLOOKUP(Matrix[[#This Row],[TEAM]]&amp;Matrix[[#Headers],[31]],FDR[FDR]&amp;FDR[[#Headers],[31]],FDR[31],"",0,1)</f>
        <v>1</v>
      </c>
      <c r="AR621" cm="1">
        <f t="array" ref="AR621">_xlfn.XLOOKUP(Matrix[[#This Row],[TEAM]]&amp;Matrix[[#Headers],[32]],FDR[FDR]&amp;FDR[[#Headers],[32]],FDR[32],"",0,1)</f>
        <v>1</v>
      </c>
      <c r="AS621" cm="1">
        <f t="array" ref="AS621">_xlfn.XLOOKUP(Matrix[[#This Row],[TEAM]]&amp;Matrix[[#Headers],[33]],FDR[FDR]&amp;FDR[[#Headers],[33]],FDR[33],"",0,1)</f>
        <v>1</v>
      </c>
      <c r="AT621" cm="1">
        <f t="array" ref="AT621">_xlfn.XLOOKUP(Matrix[[#This Row],[TEAM]]&amp;Matrix[[#Headers],[34]],FDR[FDR]&amp;FDR[[#Headers],[34]],FDR[34],"",0,1)</f>
        <v>1</v>
      </c>
      <c r="AU621" cm="1">
        <f t="array" ref="AU621">_xlfn.XLOOKUP(Matrix[[#This Row],[TEAM]]&amp;Matrix[[#Headers],[35]],FDR[FDR]&amp;FDR[[#Headers],[35]],FDR[35],"",0,1)</f>
        <v>3</v>
      </c>
      <c r="AV621" cm="1">
        <f t="array" ref="AV621">_xlfn.XLOOKUP(Matrix[[#This Row],[TEAM]]&amp;Matrix[[#Headers],[36]],FDR[FDR]&amp;FDR[[#Headers],[36]],FDR[36],"",0,1)</f>
        <v>1</v>
      </c>
      <c r="AW621" cm="1">
        <f t="array" ref="AW621">_xlfn.XLOOKUP(Matrix[[#This Row],[TEAM]]&amp;Matrix[[#Headers],[37]],FDR[FDR]&amp;FDR[[#Headers],[37]],FDR[37],"",0,1)</f>
        <v>4</v>
      </c>
      <c r="AX621" cm="1">
        <f t="array" ref="AX621">_xlfn.XLOOKUP(Matrix[[#This Row],[TEAM]]&amp;Matrix[[#Headers],[38]],FDR[FDR]&amp;FDR[[#Headers],[38]],FDR[38],"",0,1)</f>
        <v>1</v>
      </c>
    </row>
    <row r="622" spans="1:50" ht="22" thickTop="1" thickBot="1">
      <c r="A622" s="52" t="s">
        <v>658</v>
      </c>
      <c r="B622" s="70" t="s">
        <v>1790</v>
      </c>
      <c r="C622" s="40" t="s">
        <v>22</v>
      </c>
      <c r="D622" s="62">
        <v>44</v>
      </c>
      <c r="E622" s="60">
        <v>0.27500000000000002</v>
      </c>
      <c r="F622" s="61">
        <v>22</v>
      </c>
      <c r="G622" s="63">
        <v>4</v>
      </c>
      <c r="H622" s="261">
        <f>IF(ISBLANK(I622),0,1)</f>
        <v>1</v>
      </c>
      <c r="I622" s="57" t="s">
        <v>994</v>
      </c>
      <c r="J622" s="58">
        <v>0.75</v>
      </c>
      <c r="K622" s="66" t="s">
        <v>353</v>
      </c>
      <c r="L622" s="66" t="s">
        <v>91</v>
      </c>
      <c r="M622" cm="1">
        <f t="array" ref="M622">_xlfn.XLOOKUP(Matrix[[#This Row],[TEAM]]&amp;Matrix[[#Headers],[1]],FDR[FDR]&amp;FDR[[#Headers],[1]],FDR[1],"",0,1)</f>
        <v>5</v>
      </c>
      <c r="N622" cm="1">
        <f t="array" ref="N622">_xlfn.XLOOKUP(Matrix[[#This Row],[TEAM]]&amp;Matrix[[#Headers],[2]],FDR[FDR]&amp;FDR[[#Headers],[2]],FDR[2],"",0,1)</f>
        <v>3</v>
      </c>
      <c r="O622" cm="1">
        <f t="array" ref="O622">_xlfn.XLOOKUP(Matrix[[#This Row],[TEAM]]&amp;Matrix[[#Headers],[3]],FDR[FDR]&amp;FDR[[#Headers],[3]],FDR[3],"",0,1)</f>
        <v>5</v>
      </c>
      <c r="P622" cm="1">
        <f t="array" ref="P622">_xlfn.XLOOKUP(Matrix[[#This Row],[TEAM]]&amp;Matrix[[#Headers],[4]],FDR[FDR]&amp;FDR[[#Headers],[4]],FDR[4],"",0,1)</f>
        <v>5</v>
      </c>
      <c r="Q622" cm="1">
        <f t="array" ref="Q622">_xlfn.XLOOKUP(Matrix[[#This Row],[TEAM]]&amp;Matrix[[#Headers],[5]],FDR[FDR]&amp;FDR[[#Headers],[5]],FDR[5],"",0,1)</f>
        <v>5</v>
      </c>
      <c r="R622" cm="1">
        <f t="array" ref="R622">_xlfn.XLOOKUP(Matrix[[#This Row],[TEAM]]&amp;Matrix[[#Headers],[6]],FDR[FDR]&amp;FDR[[#Headers],[6]],FDR[6],"",0,1)</f>
        <v>5</v>
      </c>
      <c r="S622" cm="1">
        <f t="array" ref="S622">_xlfn.XLOOKUP(Matrix[[#This Row],[TEAM]]&amp;Matrix[[#Headers],[7]],FDR[FDR]&amp;FDR[[#Headers],[7]],FDR[7],"",0,1)</f>
        <v>5</v>
      </c>
      <c r="T622" cm="1">
        <f t="array" ref="T622">_xlfn.XLOOKUP(Matrix[[#This Row],[TEAM]]&amp;Matrix[[#Headers],[8]],FDR[FDR]&amp;FDR[[#Headers],[8]],FDR[8],"",0,1)</f>
        <v>3</v>
      </c>
      <c r="U622" cm="1">
        <f t="array" ref="U622">_xlfn.XLOOKUP(Matrix[[#This Row],[TEAM]]&amp;Matrix[[#Headers],[9]],FDR[FDR]&amp;FDR[[#Headers],[9]],FDR[9],"",0,1)</f>
        <v>4</v>
      </c>
      <c r="V622" cm="1">
        <f t="array" ref="V622">_xlfn.XLOOKUP(Matrix[[#This Row],[TEAM]]&amp;Matrix[[#Headers],[10]],FDR[FDR]&amp;FDR[[#Headers],[10]],FDR[10],"",0,1)</f>
        <v>5</v>
      </c>
      <c r="W622" cm="1">
        <f t="array" ref="W622">_xlfn.XLOOKUP(Matrix[[#This Row],[TEAM]]&amp;Matrix[[#Headers],[11]],FDR[FDR]&amp;FDR[[#Headers],[11]],FDR[11],"",0,1)</f>
        <v>5</v>
      </c>
      <c r="X622" cm="1">
        <f t="array" ref="X622">_xlfn.XLOOKUP(Matrix[[#This Row],[TEAM]]&amp;Matrix[[#Headers],[12]],FDR[FDR]&amp;FDR[[#Headers],[12]],FDR[12],"",0,1)</f>
        <v>5</v>
      </c>
      <c r="Y622" cm="1">
        <f t="array" ref="Y622">_xlfn.XLOOKUP(Matrix[[#This Row],[TEAM]]&amp;Matrix[[#Headers],[13]],FDR[FDR]&amp;FDR[[#Headers],[13]],FDR[13],"",0,1)</f>
        <v>5</v>
      </c>
      <c r="Z622" cm="1">
        <f t="array" ref="Z622">_xlfn.XLOOKUP(Matrix[[#This Row],[TEAM]]&amp;Matrix[[#Headers],[14]],FDR[FDR]&amp;FDR[[#Headers],[14]],FDR[14],"",0,1)</f>
        <v>4</v>
      </c>
      <c r="AA622" cm="1">
        <f t="array" ref="AA622">_xlfn.XLOOKUP(Matrix[[#This Row],[TEAM]]&amp;Matrix[[#Headers],[15]],FDR[FDR]&amp;FDR[[#Headers],[15]],FDR[15],"",0,1)</f>
        <v>5</v>
      </c>
      <c r="AB622" cm="1">
        <f t="array" ref="AB622">_xlfn.XLOOKUP(Matrix[[#This Row],[TEAM]]&amp;Matrix[[#Headers],[16]],FDR[FDR]&amp;FDR[[#Headers],[16]],FDR[16],"",0,1)</f>
        <v>5</v>
      </c>
      <c r="AC622" cm="1">
        <f t="array" ref="AC622">_xlfn.XLOOKUP(Matrix[[#This Row],[TEAM]]&amp;Matrix[[#Headers],[17]],FDR[FDR]&amp;FDR[[#Headers],[17]],FDR[17],"",0,1)</f>
        <v>5</v>
      </c>
      <c r="AD622" cm="1">
        <f t="array" ref="AD622">_xlfn.XLOOKUP(Matrix[[#This Row],[TEAM]]&amp;Matrix[[#Headers],[18]],FDR[FDR]&amp;FDR[[#Headers],[18]],FDR[18],"",0,1)</f>
        <v>4</v>
      </c>
      <c r="AE622" cm="1">
        <f t="array" ref="AE622">_xlfn.XLOOKUP(Matrix[[#This Row],[TEAM]]&amp;Matrix[[#Headers],[19]],FDR[FDR]&amp;FDR[[#Headers],[19]],FDR[19],"",0,1)</f>
        <v>5</v>
      </c>
      <c r="AF622" cm="1">
        <f t="array" ref="AF622">_xlfn.XLOOKUP(Matrix[[#This Row],[TEAM]]&amp;Matrix[[#Headers],[20]],FDR[FDR]&amp;FDR[[#Headers],[20]],FDR[20],"",0,1)</f>
        <v>5</v>
      </c>
      <c r="AG622" cm="1">
        <f t="array" ref="AG622">_xlfn.XLOOKUP(Matrix[[#This Row],[TEAM]]&amp;Matrix[[#Headers],[21]],FDR[FDR]&amp;FDR[[#Headers],[21]],FDR[21],"",0,1)</f>
        <v>5</v>
      </c>
      <c r="AH622" cm="1">
        <f t="array" ref="AH622">_xlfn.XLOOKUP(Matrix[[#This Row],[TEAM]]&amp;Matrix[[#Headers],[22]],FDR[FDR]&amp;FDR[[#Headers],[22]],FDR[22],"",0,1)</f>
        <v>5</v>
      </c>
      <c r="AI622" cm="1">
        <f t="array" ref="AI622">_xlfn.XLOOKUP(Matrix[[#This Row],[TEAM]]&amp;Matrix[[#Headers],[23]],FDR[FDR]&amp;FDR[[#Headers],[23]],FDR[23],"",0,1)</f>
        <v>5</v>
      </c>
      <c r="AJ622" cm="1">
        <f t="array" ref="AJ622">_xlfn.XLOOKUP(Matrix[[#This Row],[TEAM]]&amp;Matrix[[#Headers],[24]],FDR[FDR]&amp;FDR[[#Headers],[24]],FDR[24],"",0,1)</f>
        <v>4</v>
      </c>
      <c r="AK622" cm="1">
        <f t="array" ref="AK622">_xlfn.XLOOKUP(Matrix[[#This Row],[TEAM]]&amp;Matrix[[#Headers],[25]],FDR[FDR]&amp;FDR[[#Headers],[25]],FDR[25],"",0,1)</f>
        <v>4</v>
      </c>
      <c r="AL622" cm="1">
        <f t="array" ref="AL622">_xlfn.XLOOKUP(Matrix[[#This Row],[TEAM]]&amp;Matrix[[#Headers],[26]],FDR[FDR]&amp;FDR[[#Headers],[26]],FDR[26],"",0,1)</f>
        <v>5</v>
      </c>
      <c r="AM622" cm="1">
        <f t="array" ref="AM622">_xlfn.XLOOKUP(Matrix[[#This Row],[TEAM]]&amp;Matrix[[#Headers],[27]],FDR[FDR]&amp;FDR[[#Headers],[27]],FDR[27],"",0,1)</f>
        <v>5</v>
      </c>
      <c r="AN622" cm="1">
        <f t="array" ref="AN622">_xlfn.XLOOKUP(Matrix[[#This Row],[TEAM]]&amp;Matrix[[#Headers],[28]],FDR[FDR]&amp;FDR[[#Headers],[28]],FDR[28],"",0,1)</f>
        <v>4</v>
      </c>
      <c r="AO622" cm="1">
        <f t="array" ref="AO622">_xlfn.XLOOKUP(Matrix[[#This Row],[TEAM]]&amp;Matrix[[#Headers],[29]],FDR[FDR]&amp;FDR[[#Headers],[29]],FDR[29],"",0,1)</f>
        <v>5</v>
      </c>
      <c r="AP622" cm="1">
        <f t="array" ref="AP622">_xlfn.XLOOKUP(Matrix[[#This Row],[TEAM]]&amp;Matrix[[#Headers],[30]],FDR[FDR]&amp;FDR[[#Headers],[30]],FDR[30],"",0,1)</f>
        <v>5</v>
      </c>
      <c r="AQ622" cm="1">
        <f t="array" ref="AQ622">_xlfn.XLOOKUP(Matrix[[#This Row],[TEAM]]&amp;Matrix[[#Headers],[31]],FDR[FDR]&amp;FDR[[#Headers],[31]],FDR[31],"",0,1)</f>
        <v>5</v>
      </c>
      <c r="AR622" cm="1">
        <f t="array" ref="AR622">_xlfn.XLOOKUP(Matrix[[#This Row],[TEAM]]&amp;Matrix[[#Headers],[32]],FDR[FDR]&amp;FDR[[#Headers],[32]],FDR[32],"",0,1)</f>
        <v>5</v>
      </c>
      <c r="AS622" cm="1">
        <f t="array" ref="AS622">_xlfn.XLOOKUP(Matrix[[#This Row],[TEAM]]&amp;Matrix[[#Headers],[33]],FDR[FDR]&amp;FDR[[#Headers],[33]],FDR[33],"",0,1)</f>
        <v>5</v>
      </c>
      <c r="AT622" cm="1">
        <f t="array" ref="AT622">_xlfn.XLOOKUP(Matrix[[#This Row],[TEAM]]&amp;Matrix[[#Headers],[34]],FDR[FDR]&amp;FDR[[#Headers],[34]],FDR[34],"",0,1)</f>
        <v>5</v>
      </c>
      <c r="AU622" cm="1">
        <f t="array" ref="AU622">_xlfn.XLOOKUP(Matrix[[#This Row],[TEAM]]&amp;Matrix[[#Headers],[35]],FDR[FDR]&amp;FDR[[#Headers],[35]],FDR[35],"",0,1)</f>
        <v>4</v>
      </c>
      <c r="AV622" cm="1">
        <f t="array" ref="AV622">_xlfn.XLOOKUP(Matrix[[#This Row],[TEAM]]&amp;Matrix[[#Headers],[36]],FDR[FDR]&amp;FDR[[#Headers],[36]],FDR[36],"",0,1)</f>
        <v>5</v>
      </c>
      <c r="AW622" cm="1">
        <f t="array" ref="AW622">_xlfn.XLOOKUP(Matrix[[#This Row],[TEAM]]&amp;Matrix[[#Headers],[37]],FDR[FDR]&amp;FDR[[#Headers],[37]],FDR[37],"",0,1)</f>
        <v>5</v>
      </c>
      <c r="AX622" cm="1">
        <f t="array" ref="AX622">_xlfn.XLOOKUP(Matrix[[#This Row],[TEAM]]&amp;Matrix[[#Headers],[38]],FDR[FDR]&amp;FDR[[#Headers],[38]],FDR[38],"",0,1)</f>
        <v>3</v>
      </c>
    </row>
    <row r="623" spans="1:50" ht="22" thickTop="1" thickBot="1">
      <c r="A623" s="52" t="s">
        <v>658</v>
      </c>
      <c r="B623" s="70" t="s">
        <v>1870</v>
      </c>
      <c r="C623" s="40" t="s">
        <v>29</v>
      </c>
      <c r="D623" s="62">
        <v>0</v>
      </c>
      <c r="E623" s="60">
        <v>2E-3</v>
      </c>
      <c r="F623" s="61">
        <v>0</v>
      </c>
      <c r="G623" s="63">
        <v>4</v>
      </c>
      <c r="H623" s="261">
        <f>IF(ISBLANK(I623),0,1)</f>
        <v>1</v>
      </c>
      <c r="I623" s="57" t="s">
        <v>942</v>
      </c>
      <c r="J623" s="58" t="s">
        <v>1981</v>
      </c>
      <c r="K623" s="66" t="s">
        <v>354</v>
      </c>
      <c r="L623" s="66" t="s">
        <v>98</v>
      </c>
      <c r="M623" cm="1">
        <f t="array" ref="M623">_xlfn.XLOOKUP(Matrix[[#This Row],[TEAM]]&amp;Matrix[[#Headers],[1]],FDR[FDR]&amp;FDR[[#Headers],[1]],FDR[1],"",0,1)</f>
        <v>1</v>
      </c>
      <c r="N623" cm="1">
        <f t="array" ref="N623">_xlfn.XLOOKUP(Matrix[[#This Row],[TEAM]]&amp;Matrix[[#Headers],[2]],FDR[FDR]&amp;FDR[[#Headers],[2]],FDR[2],"",0,1)</f>
        <v>2</v>
      </c>
      <c r="O623" cm="1">
        <f t="array" ref="O623">_xlfn.XLOOKUP(Matrix[[#This Row],[TEAM]]&amp;Matrix[[#Headers],[3]],FDR[FDR]&amp;FDR[[#Headers],[3]],FDR[3],"",0,1)</f>
        <v>2</v>
      </c>
      <c r="P623" cm="1">
        <f t="array" ref="P623">_xlfn.XLOOKUP(Matrix[[#This Row],[TEAM]]&amp;Matrix[[#Headers],[4]],FDR[FDR]&amp;FDR[[#Headers],[4]],FDR[4],"",0,1)</f>
        <v>2</v>
      </c>
      <c r="Q623" cm="1">
        <f t="array" ref="Q623">_xlfn.XLOOKUP(Matrix[[#This Row],[TEAM]]&amp;Matrix[[#Headers],[5]],FDR[FDR]&amp;FDR[[#Headers],[5]],FDR[5],"",0,1)</f>
        <v>4</v>
      </c>
      <c r="R623" cm="1">
        <f t="array" ref="R623">_xlfn.XLOOKUP(Matrix[[#This Row],[TEAM]]&amp;Matrix[[#Headers],[6]],FDR[FDR]&amp;FDR[[#Headers],[6]],FDR[6],"",0,1)</f>
        <v>1</v>
      </c>
      <c r="S623" cm="1">
        <f t="array" ref="S623">_xlfn.XLOOKUP(Matrix[[#This Row],[TEAM]]&amp;Matrix[[#Headers],[7]],FDR[FDR]&amp;FDR[[#Headers],[7]],FDR[7],"",0,1)</f>
        <v>2</v>
      </c>
      <c r="T623" cm="1">
        <f t="array" ref="T623">_xlfn.XLOOKUP(Matrix[[#This Row],[TEAM]]&amp;Matrix[[#Headers],[8]],FDR[FDR]&amp;FDR[[#Headers],[8]],FDR[8],"",0,1)</f>
        <v>1</v>
      </c>
      <c r="U623" cm="1">
        <f t="array" ref="U623">_xlfn.XLOOKUP(Matrix[[#This Row],[TEAM]]&amp;Matrix[[#Headers],[9]],FDR[FDR]&amp;FDR[[#Headers],[9]],FDR[9],"",0,1)</f>
        <v>3</v>
      </c>
      <c r="V623" cm="1">
        <f t="array" ref="V623">_xlfn.XLOOKUP(Matrix[[#This Row],[TEAM]]&amp;Matrix[[#Headers],[10]],FDR[FDR]&amp;FDR[[#Headers],[10]],FDR[10],"",0,1)</f>
        <v>1</v>
      </c>
      <c r="W623" cm="1">
        <f t="array" ref="W623">_xlfn.XLOOKUP(Matrix[[#This Row],[TEAM]]&amp;Matrix[[#Headers],[11]],FDR[FDR]&amp;FDR[[#Headers],[11]],FDR[11],"",0,1)</f>
        <v>3</v>
      </c>
      <c r="X623" cm="1">
        <f t="array" ref="X623">_xlfn.XLOOKUP(Matrix[[#This Row],[TEAM]]&amp;Matrix[[#Headers],[12]],FDR[FDR]&amp;FDR[[#Headers],[12]],FDR[12],"",0,1)</f>
        <v>3</v>
      </c>
      <c r="Y623" cm="1">
        <f t="array" ref="Y623">_xlfn.XLOOKUP(Matrix[[#This Row],[TEAM]]&amp;Matrix[[#Headers],[13]],FDR[FDR]&amp;FDR[[#Headers],[13]],FDR[13],"",0,1)</f>
        <v>1</v>
      </c>
      <c r="Z623" cm="1">
        <f t="array" ref="Z623">_xlfn.XLOOKUP(Matrix[[#This Row],[TEAM]]&amp;Matrix[[#Headers],[14]],FDR[FDR]&amp;FDR[[#Headers],[14]],FDR[14],"",0,1)</f>
        <v>2</v>
      </c>
      <c r="AA623" cm="1">
        <f t="array" ref="AA623">_xlfn.XLOOKUP(Matrix[[#This Row],[TEAM]]&amp;Matrix[[#Headers],[15]],FDR[FDR]&amp;FDR[[#Headers],[15]],FDR[15],"",0,1)</f>
        <v>1</v>
      </c>
      <c r="AB623" cm="1">
        <f t="array" ref="AB623">_xlfn.XLOOKUP(Matrix[[#This Row],[TEAM]]&amp;Matrix[[#Headers],[16]],FDR[FDR]&amp;FDR[[#Headers],[16]],FDR[16],"",0,1)</f>
        <v>2</v>
      </c>
      <c r="AC623" cm="1">
        <f t="array" ref="AC623">_xlfn.XLOOKUP(Matrix[[#This Row],[TEAM]]&amp;Matrix[[#Headers],[17]],FDR[FDR]&amp;FDR[[#Headers],[17]],FDR[17],"",0,1)</f>
        <v>1</v>
      </c>
      <c r="AD623" cm="1">
        <f t="array" ref="AD623">_xlfn.XLOOKUP(Matrix[[#This Row],[TEAM]]&amp;Matrix[[#Headers],[18]],FDR[FDR]&amp;FDR[[#Headers],[18]],FDR[18],"",0,1)</f>
        <v>2</v>
      </c>
      <c r="AE623" cm="1">
        <f t="array" ref="AE623">_xlfn.XLOOKUP(Matrix[[#This Row],[TEAM]]&amp;Matrix[[#Headers],[19]],FDR[FDR]&amp;FDR[[#Headers],[19]],FDR[19],"",0,1)</f>
        <v>1</v>
      </c>
      <c r="AF623" cm="1">
        <f t="array" ref="AF623">_xlfn.XLOOKUP(Matrix[[#This Row],[TEAM]]&amp;Matrix[[#Headers],[20]],FDR[FDR]&amp;FDR[[#Headers],[20]],FDR[20],"",0,1)</f>
        <v>2</v>
      </c>
      <c r="AG623" cm="1">
        <f t="array" ref="AG623">_xlfn.XLOOKUP(Matrix[[#This Row],[TEAM]]&amp;Matrix[[#Headers],[21]],FDR[FDR]&amp;FDR[[#Headers],[21]],FDR[21],"",0,1)</f>
        <v>1</v>
      </c>
      <c r="AH623" cm="1">
        <f t="array" ref="AH623">_xlfn.XLOOKUP(Matrix[[#This Row],[TEAM]]&amp;Matrix[[#Headers],[22]],FDR[FDR]&amp;FDR[[#Headers],[22]],FDR[22],"",0,1)</f>
        <v>3</v>
      </c>
      <c r="AI623" cm="1">
        <f t="array" ref="AI623">_xlfn.XLOOKUP(Matrix[[#This Row],[TEAM]]&amp;Matrix[[#Headers],[23]],FDR[FDR]&amp;FDR[[#Headers],[23]],FDR[23],"",0,1)</f>
        <v>1</v>
      </c>
      <c r="AJ623" cm="1">
        <f t="array" ref="AJ623">_xlfn.XLOOKUP(Matrix[[#This Row],[TEAM]]&amp;Matrix[[#Headers],[24]],FDR[FDR]&amp;FDR[[#Headers],[24]],FDR[24],"",0,1)</f>
        <v>3</v>
      </c>
      <c r="AK623" cm="1">
        <f t="array" ref="AK623">_xlfn.XLOOKUP(Matrix[[#This Row],[TEAM]]&amp;Matrix[[#Headers],[25]],FDR[FDR]&amp;FDR[[#Headers],[25]],FDR[25],"",0,1)</f>
        <v>4</v>
      </c>
      <c r="AL623" cm="1">
        <f t="array" ref="AL623">_xlfn.XLOOKUP(Matrix[[#This Row],[TEAM]]&amp;Matrix[[#Headers],[26]],FDR[FDR]&amp;FDR[[#Headers],[26]],FDR[26],"",0,1)</f>
        <v>1</v>
      </c>
      <c r="AM623" cm="1">
        <f t="array" ref="AM623">_xlfn.XLOOKUP(Matrix[[#This Row],[TEAM]]&amp;Matrix[[#Headers],[27]],FDR[FDR]&amp;FDR[[#Headers],[27]],FDR[27],"",0,1)</f>
        <v>2</v>
      </c>
      <c r="AN623" cm="1">
        <f t="array" ref="AN623">_xlfn.XLOOKUP(Matrix[[#This Row],[TEAM]]&amp;Matrix[[#Headers],[28]],FDR[FDR]&amp;FDR[[#Headers],[28]],FDR[28],"",0,1)</f>
        <v>1</v>
      </c>
      <c r="AO623" cm="1">
        <f t="array" ref="AO623">_xlfn.XLOOKUP(Matrix[[#This Row],[TEAM]]&amp;Matrix[[#Headers],[29]],FDR[FDR]&amp;FDR[[#Headers],[29]],FDR[29],"",0,1)</f>
        <v>1</v>
      </c>
      <c r="AP623" cm="1">
        <f t="array" ref="AP623">_xlfn.XLOOKUP(Matrix[[#This Row],[TEAM]]&amp;Matrix[[#Headers],[30]],FDR[FDR]&amp;FDR[[#Headers],[30]],FDR[30],"",0,1)</f>
        <v>2</v>
      </c>
      <c r="AQ623" cm="1">
        <f t="array" ref="AQ623">_xlfn.XLOOKUP(Matrix[[#This Row],[TEAM]]&amp;Matrix[[#Headers],[31]],FDR[FDR]&amp;FDR[[#Headers],[31]],FDR[31],"",0,1)</f>
        <v>1</v>
      </c>
      <c r="AR623" cm="1">
        <f t="array" ref="AR623">_xlfn.XLOOKUP(Matrix[[#This Row],[TEAM]]&amp;Matrix[[#Headers],[32]],FDR[FDR]&amp;FDR[[#Headers],[32]],FDR[32],"",0,1)</f>
        <v>3</v>
      </c>
      <c r="AS623" cm="1">
        <f t="array" ref="AS623">_xlfn.XLOOKUP(Matrix[[#This Row],[TEAM]]&amp;Matrix[[#Headers],[33]],FDR[FDR]&amp;FDR[[#Headers],[33]],FDR[33],"",0,1)</f>
        <v>3</v>
      </c>
      <c r="AT623" cm="1">
        <f t="array" ref="AT623">_xlfn.XLOOKUP(Matrix[[#This Row],[TEAM]]&amp;Matrix[[#Headers],[34]],FDR[FDR]&amp;FDR[[#Headers],[34]],FDR[34],"",0,1)</f>
        <v>1</v>
      </c>
      <c r="AU623" cm="1">
        <f t="array" ref="AU623">_xlfn.XLOOKUP(Matrix[[#This Row],[TEAM]]&amp;Matrix[[#Headers],[35]],FDR[FDR]&amp;FDR[[#Headers],[35]],FDR[35],"",0,1)</f>
        <v>2</v>
      </c>
      <c r="AV623" cm="1">
        <f t="array" ref="AV623">_xlfn.XLOOKUP(Matrix[[#This Row],[TEAM]]&amp;Matrix[[#Headers],[36]],FDR[FDR]&amp;FDR[[#Headers],[36]],FDR[36],"",0,1)</f>
        <v>1</v>
      </c>
      <c r="AW623" cm="1">
        <f t="array" ref="AW623">_xlfn.XLOOKUP(Matrix[[#This Row],[TEAM]]&amp;Matrix[[#Headers],[37]],FDR[FDR]&amp;FDR[[#Headers],[37]],FDR[37],"",0,1)</f>
        <v>2</v>
      </c>
      <c r="AX623" cm="1">
        <f t="array" ref="AX623">_xlfn.XLOOKUP(Matrix[[#This Row],[TEAM]]&amp;Matrix[[#Headers],[38]],FDR[FDR]&amp;FDR[[#Headers],[38]],FDR[38],"",0,1)</f>
        <v>2</v>
      </c>
    </row>
    <row r="624" spans="1:50" ht="22" thickTop="1" thickBot="1">
      <c r="A624" s="52" t="s">
        <v>658</v>
      </c>
      <c r="B624" s="70" t="s">
        <v>1888</v>
      </c>
      <c r="C624" s="40" t="s">
        <v>25</v>
      </c>
      <c r="D624" s="68">
        <v>0</v>
      </c>
      <c r="E624" s="60">
        <v>1E-3</v>
      </c>
      <c r="F624" s="67">
        <v>0</v>
      </c>
      <c r="G624" s="63">
        <v>4</v>
      </c>
      <c r="H624" s="261">
        <f>IF(ISBLANK(I624),0,1)</f>
        <v>1</v>
      </c>
      <c r="I624" s="57" t="s">
        <v>1985</v>
      </c>
      <c r="J624" s="58" t="s">
        <v>2001</v>
      </c>
      <c r="K624" s="66" t="s">
        <v>1127</v>
      </c>
      <c r="L624" s="66" t="s">
        <v>1126</v>
      </c>
      <c r="M624" cm="1">
        <f t="array" ref="M624">_xlfn.XLOOKUP(Matrix[[#This Row],[TEAM]]&amp;Matrix[[#Headers],[1]],FDR[FDR]&amp;FDR[[#Headers],[1]],FDR[1],"",0,1)</f>
        <v>3</v>
      </c>
      <c r="N624" cm="1">
        <f t="array" ref="N624">_xlfn.XLOOKUP(Matrix[[#This Row],[TEAM]]&amp;Matrix[[#Headers],[2]],FDR[FDR]&amp;FDR[[#Headers],[2]],FDR[2],"",0,1)</f>
        <v>3</v>
      </c>
      <c r="O624" cm="1">
        <f t="array" ref="O624">_xlfn.XLOOKUP(Matrix[[#This Row],[TEAM]]&amp;Matrix[[#Headers],[3]],FDR[FDR]&amp;FDR[[#Headers],[3]],FDR[3],"",0,1)</f>
        <v>1</v>
      </c>
      <c r="P624" cm="1">
        <f t="array" ref="P624">_xlfn.XLOOKUP(Matrix[[#This Row],[TEAM]]&amp;Matrix[[#Headers],[4]],FDR[FDR]&amp;FDR[[#Headers],[4]],FDR[4],"",0,1)</f>
        <v>1</v>
      </c>
      <c r="Q624" cm="1">
        <f t="array" ref="Q624">_xlfn.XLOOKUP(Matrix[[#This Row],[TEAM]]&amp;Matrix[[#Headers],[5]],FDR[FDR]&amp;FDR[[#Headers],[5]],FDR[5],"",0,1)</f>
        <v>2</v>
      </c>
      <c r="R624" cm="1">
        <f t="array" ref="R624">_xlfn.XLOOKUP(Matrix[[#This Row],[TEAM]]&amp;Matrix[[#Headers],[6]],FDR[FDR]&amp;FDR[[#Headers],[6]],FDR[6],"",0,1)</f>
        <v>3</v>
      </c>
      <c r="S624" cm="1">
        <f t="array" ref="S624">_xlfn.XLOOKUP(Matrix[[#This Row],[TEAM]]&amp;Matrix[[#Headers],[7]],FDR[FDR]&amp;FDR[[#Headers],[7]],FDR[7],"",0,1)</f>
        <v>2</v>
      </c>
      <c r="T624" cm="1">
        <f t="array" ref="T624">_xlfn.XLOOKUP(Matrix[[#This Row],[TEAM]]&amp;Matrix[[#Headers],[8]],FDR[FDR]&amp;FDR[[#Headers],[8]],FDR[8],"",0,1)</f>
        <v>2</v>
      </c>
      <c r="U624" cm="1">
        <f t="array" ref="U624">_xlfn.XLOOKUP(Matrix[[#This Row],[TEAM]]&amp;Matrix[[#Headers],[9]],FDR[FDR]&amp;FDR[[#Headers],[9]],FDR[9],"",0,1)</f>
        <v>2</v>
      </c>
      <c r="V624" cm="1">
        <f t="array" ref="V624">_xlfn.XLOOKUP(Matrix[[#This Row],[TEAM]]&amp;Matrix[[#Headers],[10]],FDR[FDR]&amp;FDR[[#Headers],[10]],FDR[10],"",0,1)</f>
        <v>2</v>
      </c>
      <c r="W624" cm="1">
        <f t="array" ref="W624">_xlfn.XLOOKUP(Matrix[[#This Row],[TEAM]]&amp;Matrix[[#Headers],[11]],FDR[FDR]&amp;FDR[[#Headers],[11]],FDR[11],"",0,1)</f>
        <v>2</v>
      </c>
      <c r="X624" cm="1">
        <f t="array" ref="X624">_xlfn.XLOOKUP(Matrix[[#This Row],[TEAM]]&amp;Matrix[[#Headers],[12]],FDR[FDR]&amp;FDR[[#Headers],[12]],FDR[12],"",0,1)</f>
        <v>3</v>
      </c>
      <c r="Y624" cm="1">
        <f t="array" ref="Y624">_xlfn.XLOOKUP(Matrix[[#This Row],[TEAM]]&amp;Matrix[[#Headers],[13]],FDR[FDR]&amp;FDR[[#Headers],[13]],FDR[13],"",0,1)</f>
        <v>2</v>
      </c>
      <c r="Z624" cm="1">
        <f t="array" ref="Z624">_xlfn.XLOOKUP(Matrix[[#This Row],[TEAM]]&amp;Matrix[[#Headers],[14]],FDR[FDR]&amp;FDR[[#Headers],[14]],FDR[14],"",0,1)</f>
        <v>3</v>
      </c>
      <c r="AA624" cm="1">
        <f t="array" ref="AA624">_xlfn.XLOOKUP(Matrix[[#This Row],[TEAM]]&amp;Matrix[[#Headers],[15]],FDR[FDR]&amp;FDR[[#Headers],[15]],FDR[15],"",0,1)</f>
        <v>1</v>
      </c>
      <c r="AB624" cm="1">
        <f t="array" ref="AB624">_xlfn.XLOOKUP(Matrix[[#This Row],[TEAM]]&amp;Matrix[[#Headers],[16]],FDR[FDR]&amp;FDR[[#Headers],[16]],FDR[16],"",0,1)</f>
        <v>1</v>
      </c>
      <c r="AC624" cm="1">
        <f t="array" ref="AC624">_xlfn.XLOOKUP(Matrix[[#This Row],[TEAM]]&amp;Matrix[[#Headers],[17]],FDR[FDR]&amp;FDR[[#Headers],[17]],FDR[17],"",0,1)</f>
        <v>3</v>
      </c>
      <c r="AD624" cm="1">
        <f t="array" ref="AD624">_xlfn.XLOOKUP(Matrix[[#This Row],[TEAM]]&amp;Matrix[[#Headers],[18]],FDR[FDR]&amp;FDR[[#Headers],[18]],FDR[18],"",0,1)</f>
        <v>4</v>
      </c>
      <c r="AE624" cm="1">
        <f t="array" ref="AE624">_xlfn.XLOOKUP(Matrix[[#This Row],[TEAM]]&amp;Matrix[[#Headers],[19]],FDR[FDR]&amp;FDR[[#Headers],[19]],FDR[19],"",0,1)</f>
        <v>1</v>
      </c>
      <c r="AF624" cm="1">
        <f t="array" ref="AF624">_xlfn.XLOOKUP(Matrix[[#This Row],[TEAM]]&amp;Matrix[[#Headers],[20]],FDR[FDR]&amp;FDR[[#Headers],[20]],FDR[20],"",0,1)</f>
        <v>1</v>
      </c>
      <c r="AG624" cm="1">
        <f t="array" ref="AG624">_xlfn.XLOOKUP(Matrix[[#This Row],[TEAM]]&amp;Matrix[[#Headers],[21]],FDR[FDR]&amp;FDR[[#Headers],[21]],FDR[21],"",0,1)</f>
        <v>1</v>
      </c>
      <c r="AH624" cm="1">
        <f t="array" ref="AH624">_xlfn.XLOOKUP(Matrix[[#This Row],[TEAM]]&amp;Matrix[[#Headers],[22]],FDR[FDR]&amp;FDR[[#Headers],[22]],FDR[22],"",0,1)</f>
        <v>1</v>
      </c>
      <c r="AI624" cm="1">
        <f t="array" ref="AI624">_xlfn.XLOOKUP(Matrix[[#This Row],[TEAM]]&amp;Matrix[[#Headers],[23]],FDR[FDR]&amp;FDR[[#Headers],[23]],FDR[23],"",0,1)</f>
        <v>2</v>
      </c>
      <c r="AJ624" cm="1">
        <f t="array" ref="AJ624">_xlfn.XLOOKUP(Matrix[[#This Row],[TEAM]]&amp;Matrix[[#Headers],[24]],FDR[FDR]&amp;FDR[[#Headers],[24]],FDR[24],"",0,1)</f>
        <v>4</v>
      </c>
      <c r="AK624" cm="1">
        <f t="array" ref="AK624">_xlfn.XLOOKUP(Matrix[[#This Row],[TEAM]]&amp;Matrix[[#Headers],[25]],FDR[FDR]&amp;FDR[[#Headers],[25]],FDR[25],"",0,1)</f>
        <v>1</v>
      </c>
      <c r="AL624" cm="1">
        <f t="array" ref="AL624">_xlfn.XLOOKUP(Matrix[[#This Row],[TEAM]]&amp;Matrix[[#Headers],[26]],FDR[FDR]&amp;FDR[[#Headers],[26]],FDR[26],"",0,1)</f>
        <v>4</v>
      </c>
      <c r="AM624" cm="1">
        <f t="array" ref="AM624">_xlfn.XLOOKUP(Matrix[[#This Row],[TEAM]]&amp;Matrix[[#Headers],[27]],FDR[FDR]&amp;FDR[[#Headers],[27]],FDR[27],"",0,1)</f>
        <v>4</v>
      </c>
      <c r="AN624" cm="1">
        <f t="array" ref="AN624">_xlfn.XLOOKUP(Matrix[[#This Row],[TEAM]]&amp;Matrix[[#Headers],[28]],FDR[FDR]&amp;FDR[[#Headers],[28]],FDR[28],"",0,1)</f>
        <v>1</v>
      </c>
      <c r="AO624" cm="1">
        <f t="array" ref="AO624">_xlfn.XLOOKUP(Matrix[[#This Row],[TEAM]]&amp;Matrix[[#Headers],[29]],FDR[FDR]&amp;FDR[[#Headers],[29]],FDR[29],"",0,1)</f>
        <v>3</v>
      </c>
      <c r="AP624" cm="1">
        <f t="array" ref="AP624">_xlfn.XLOOKUP(Matrix[[#This Row],[TEAM]]&amp;Matrix[[#Headers],[30]],FDR[FDR]&amp;FDR[[#Headers],[30]],FDR[30],"",0,1)</f>
        <v>4</v>
      </c>
      <c r="AQ624" cm="1">
        <f t="array" ref="AQ624">_xlfn.XLOOKUP(Matrix[[#This Row],[TEAM]]&amp;Matrix[[#Headers],[31]],FDR[FDR]&amp;FDR[[#Headers],[31]],FDR[31],"",0,1)</f>
        <v>1</v>
      </c>
      <c r="AR624" cm="1">
        <f t="array" ref="AR624">_xlfn.XLOOKUP(Matrix[[#This Row],[TEAM]]&amp;Matrix[[#Headers],[32]],FDR[FDR]&amp;FDR[[#Headers],[32]],FDR[32],"",0,1)</f>
        <v>2</v>
      </c>
      <c r="AS624" cm="1">
        <f t="array" ref="AS624">_xlfn.XLOOKUP(Matrix[[#This Row],[TEAM]]&amp;Matrix[[#Headers],[33]],FDR[FDR]&amp;FDR[[#Headers],[33]],FDR[33],"",0,1)</f>
        <v>2</v>
      </c>
      <c r="AT624" cm="1">
        <f t="array" ref="AT624">_xlfn.XLOOKUP(Matrix[[#This Row],[TEAM]]&amp;Matrix[[#Headers],[34]],FDR[FDR]&amp;FDR[[#Headers],[34]],FDR[34],"",0,1)</f>
        <v>4</v>
      </c>
      <c r="AU624" cm="1">
        <f t="array" ref="AU624">_xlfn.XLOOKUP(Matrix[[#This Row],[TEAM]]&amp;Matrix[[#Headers],[35]],FDR[FDR]&amp;FDR[[#Headers],[35]],FDR[35],"",0,1)</f>
        <v>2</v>
      </c>
      <c r="AV624" cm="1">
        <f t="array" ref="AV624">_xlfn.XLOOKUP(Matrix[[#This Row],[TEAM]]&amp;Matrix[[#Headers],[36]],FDR[FDR]&amp;FDR[[#Headers],[36]],FDR[36],"",0,1)</f>
        <v>2</v>
      </c>
      <c r="AW624" cm="1">
        <f t="array" ref="AW624">_xlfn.XLOOKUP(Matrix[[#This Row],[TEAM]]&amp;Matrix[[#Headers],[37]],FDR[FDR]&amp;FDR[[#Headers],[37]],FDR[37],"",0,1)</f>
        <v>1</v>
      </c>
      <c r="AX624" cm="1">
        <f t="array" ref="AX624">_xlfn.XLOOKUP(Matrix[[#This Row],[TEAM]]&amp;Matrix[[#Headers],[38]],FDR[FDR]&amp;FDR[[#Headers],[38]],FDR[38],"",0,1)</f>
        <v>2</v>
      </c>
    </row>
    <row r="625" spans="1:50" ht="22" thickTop="1" thickBot="1">
      <c r="A625" s="51" t="s">
        <v>657</v>
      </c>
      <c r="B625" s="70" t="s">
        <v>1813</v>
      </c>
      <c r="C625" s="40" t="s">
        <v>28</v>
      </c>
      <c r="D625" s="62">
        <v>8</v>
      </c>
      <c r="E625" s="60">
        <v>7.0000000000000001E-3</v>
      </c>
      <c r="F625" s="61">
        <v>12</v>
      </c>
      <c r="G625" s="63">
        <v>4</v>
      </c>
      <c r="H625" s="261">
        <f>IF(ISBLANK(I625),0,1)</f>
        <v>1</v>
      </c>
      <c r="I625" s="57" t="s">
        <v>942</v>
      </c>
      <c r="J625" s="58">
        <v>0.25</v>
      </c>
      <c r="K625" s="65" t="s">
        <v>695</v>
      </c>
      <c r="L625" s="65" t="s">
        <v>983</v>
      </c>
      <c r="M625" cm="1">
        <f t="array" ref="M625">_xlfn.XLOOKUP(Matrix[[#This Row],[TEAM]]&amp;Matrix[[#Headers],[1]],FDR[FDR]&amp;FDR[[#Headers],[1]],FDR[1],"",0,1)</f>
        <v>3</v>
      </c>
      <c r="N625" cm="1">
        <f t="array" ref="N625">_xlfn.XLOOKUP(Matrix[[#This Row],[TEAM]]&amp;Matrix[[#Headers],[2]],FDR[FDR]&amp;FDR[[#Headers],[2]],FDR[2],"",0,1)</f>
        <v>2</v>
      </c>
      <c r="O625" cm="1">
        <f t="array" ref="O625">_xlfn.XLOOKUP(Matrix[[#This Row],[TEAM]]&amp;Matrix[[#Headers],[3]],FDR[FDR]&amp;FDR[[#Headers],[3]],FDR[3],"",0,1)</f>
        <v>1</v>
      </c>
      <c r="P625" cm="1">
        <f t="array" ref="P625">_xlfn.XLOOKUP(Matrix[[#This Row],[TEAM]]&amp;Matrix[[#Headers],[4]],FDR[FDR]&amp;FDR[[#Headers],[4]],FDR[4],"",0,1)</f>
        <v>2</v>
      </c>
      <c r="Q625" cm="1">
        <f t="array" ref="Q625">_xlfn.XLOOKUP(Matrix[[#This Row],[TEAM]]&amp;Matrix[[#Headers],[5]],FDR[FDR]&amp;FDR[[#Headers],[5]],FDR[5],"",0,1)</f>
        <v>1</v>
      </c>
      <c r="R625" cm="1">
        <f t="array" ref="R625">_xlfn.XLOOKUP(Matrix[[#This Row],[TEAM]]&amp;Matrix[[#Headers],[6]],FDR[FDR]&amp;FDR[[#Headers],[6]],FDR[6],"",0,1)</f>
        <v>2</v>
      </c>
      <c r="S625" cm="1">
        <f t="array" ref="S625">_xlfn.XLOOKUP(Matrix[[#This Row],[TEAM]]&amp;Matrix[[#Headers],[7]],FDR[FDR]&amp;FDR[[#Headers],[7]],FDR[7],"",0,1)</f>
        <v>1</v>
      </c>
      <c r="T625" cm="1">
        <f t="array" ref="T625">_xlfn.XLOOKUP(Matrix[[#This Row],[TEAM]]&amp;Matrix[[#Headers],[8]],FDR[FDR]&amp;FDR[[#Headers],[8]],FDR[8],"",0,1)</f>
        <v>4</v>
      </c>
      <c r="U625" cm="1">
        <f t="array" ref="U625">_xlfn.XLOOKUP(Matrix[[#This Row],[TEAM]]&amp;Matrix[[#Headers],[9]],FDR[FDR]&amp;FDR[[#Headers],[9]],FDR[9],"",0,1)</f>
        <v>3</v>
      </c>
      <c r="V625" cm="1">
        <f t="array" ref="V625">_xlfn.XLOOKUP(Matrix[[#This Row],[TEAM]]&amp;Matrix[[#Headers],[10]],FDR[FDR]&amp;FDR[[#Headers],[10]],FDR[10],"",0,1)</f>
        <v>4</v>
      </c>
      <c r="W625" cm="1">
        <f t="array" ref="W625">_xlfn.XLOOKUP(Matrix[[#This Row],[TEAM]]&amp;Matrix[[#Headers],[11]],FDR[FDR]&amp;FDR[[#Headers],[11]],FDR[11],"",0,1)</f>
        <v>2</v>
      </c>
      <c r="X625" cm="1">
        <f t="array" ref="X625">_xlfn.XLOOKUP(Matrix[[#This Row],[TEAM]]&amp;Matrix[[#Headers],[12]],FDR[FDR]&amp;FDR[[#Headers],[12]],FDR[12],"",0,1)</f>
        <v>1</v>
      </c>
      <c r="Y625" cm="1">
        <f t="array" ref="Y625">_xlfn.XLOOKUP(Matrix[[#This Row],[TEAM]]&amp;Matrix[[#Headers],[13]],FDR[FDR]&amp;FDR[[#Headers],[13]],FDR[13],"",0,1)</f>
        <v>1</v>
      </c>
      <c r="Z625" cm="1">
        <f t="array" ref="Z625">_xlfn.XLOOKUP(Matrix[[#This Row],[TEAM]]&amp;Matrix[[#Headers],[14]],FDR[FDR]&amp;FDR[[#Headers],[14]],FDR[14],"",0,1)</f>
        <v>3</v>
      </c>
      <c r="AA625" cm="1">
        <f t="array" ref="AA625">_xlfn.XLOOKUP(Matrix[[#This Row],[TEAM]]&amp;Matrix[[#Headers],[15]],FDR[FDR]&amp;FDR[[#Headers],[15]],FDR[15],"",0,1)</f>
        <v>3</v>
      </c>
      <c r="AB625" cm="1">
        <f t="array" ref="AB625">_xlfn.XLOOKUP(Matrix[[#This Row],[TEAM]]&amp;Matrix[[#Headers],[16]],FDR[FDR]&amp;FDR[[#Headers],[16]],FDR[16],"",0,1)</f>
        <v>2</v>
      </c>
      <c r="AC625" cm="1">
        <f t="array" ref="AC625">_xlfn.XLOOKUP(Matrix[[#This Row],[TEAM]]&amp;Matrix[[#Headers],[17]],FDR[FDR]&amp;FDR[[#Headers],[17]],FDR[17],"",0,1)</f>
        <v>3</v>
      </c>
      <c r="AD625" cm="1">
        <f t="array" ref="AD625">_xlfn.XLOOKUP(Matrix[[#This Row],[TEAM]]&amp;Matrix[[#Headers],[18]],FDR[FDR]&amp;FDR[[#Headers],[18]],FDR[18],"",0,1)</f>
        <v>4</v>
      </c>
      <c r="AE625" cm="1">
        <f t="array" ref="AE625">_xlfn.XLOOKUP(Matrix[[#This Row],[TEAM]]&amp;Matrix[[#Headers],[19]],FDR[FDR]&amp;FDR[[#Headers],[19]],FDR[19],"",0,1)</f>
        <v>4</v>
      </c>
      <c r="AF625" cm="1">
        <f t="array" ref="AF625">_xlfn.XLOOKUP(Matrix[[#This Row],[TEAM]]&amp;Matrix[[#Headers],[20]],FDR[FDR]&amp;FDR[[#Headers],[20]],FDR[20],"",0,1)</f>
        <v>2</v>
      </c>
      <c r="AG625" cm="1">
        <f t="array" ref="AG625">_xlfn.XLOOKUP(Matrix[[#This Row],[TEAM]]&amp;Matrix[[#Headers],[21]],FDR[FDR]&amp;FDR[[#Headers],[21]],FDR[21],"",0,1)</f>
        <v>2</v>
      </c>
      <c r="AH625" cm="1">
        <f t="array" ref="AH625">_xlfn.XLOOKUP(Matrix[[#This Row],[TEAM]]&amp;Matrix[[#Headers],[22]],FDR[FDR]&amp;FDR[[#Headers],[22]],FDR[22],"",0,1)</f>
        <v>1</v>
      </c>
      <c r="AI625" cm="1">
        <f t="array" ref="AI625">_xlfn.XLOOKUP(Matrix[[#This Row],[TEAM]]&amp;Matrix[[#Headers],[23]],FDR[FDR]&amp;FDR[[#Headers],[23]],FDR[23],"",0,1)</f>
        <v>4</v>
      </c>
      <c r="AJ625" cm="1">
        <f t="array" ref="AJ625">_xlfn.XLOOKUP(Matrix[[#This Row],[TEAM]]&amp;Matrix[[#Headers],[24]],FDR[FDR]&amp;FDR[[#Headers],[24]],FDR[24],"",0,1)</f>
        <v>1</v>
      </c>
      <c r="AK625" cm="1">
        <f t="array" ref="AK625">_xlfn.XLOOKUP(Matrix[[#This Row],[TEAM]]&amp;Matrix[[#Headers],[25]],FDR[FDR]&amp;FDR[[#Headers],[25]],FDR[25],"",0,1)</f>
        <v>3</v>
      </c>
      <c r="AL625" cm="1">
        <f t="array" ref="AL625">_xlfn.XLOOKUP(Matrix[[#This Row],[TEAM]]&amp;Matrix[[#Headers],[26]],FDR[FDR]&amp;FDR[[#Headers],[26]],FDR[26],"",0,1)</f>
        <v>2</v>
      </c>
      <c r="AM625" cm="1">
        <f t="array" ref="AM625">_xlfn.XLOOKUP(Matrix[[#This Row],[TEAM]]&amp;Matrix[[#Headers],[27]],FDR[FDR]&amp;FDR[[#Headers],[27]],FDR[27],"",0,1)</f>
        <v>1</v>
      </c>
      <c r="AN625" cm="1">
        <f t="array" ref="AN625">_xlfn.XLOOKUP(Matrix[[#This Row],[TEAM]]&amp;Matrix[[#Headers],[28]],FDR[FDR]&amp;FDR[[#Headers],[28]],FDR[28],"",0,1)</f>
        <v>1</v>
      </c>
      <c r="AO625" cm="1">
        <f t="array" ref="AO625">_xlfn.XLOOKUP(Matrix[[#This Row],[TEAM]]&amp;Matrix[[#Headers],[29]],FDR[FDR]&amp;FDR[[#Headers],[29]],FDR[29],"",0,1)</f>
        <v>3</v>
      </c>
      <c r="AP625" cm="1">
        <f t="array" ref="AP625">_xlfn.XLOOKUP(Matrix[[#This Row],[TEAM]]&amp;Matrix[[#Headers],[30]],FDR[FDR]&amp;FDR[[#Headers],[30]],FDR[30],"",0,1)</f>
        <v>4</v>
      </c>
      <c r="AQ625" cm="1">
        <f t="array" ref="AQ625">_xlfn.XLOOKUP(Matrix[[#This Row],[TEAM]]&amp;Matrix[[#Headers],[31]],FDR[FDR]&amp;FDR[[#Headers],[31]],FDR[31],"",0,1)</f>
        <v>1</v>
      </c>
      <c r="AR625" cm="1">
        <f t="array" ref="AR625">_xlfn.XLOOKUP(Matrix[[#This Row],[TEAM]]&amp;Matrix[[#Headers],[32]],FDR[FDR]&amp;FDR[[#Headers],[32]],FDR[32],"",0,1)</f>
        <v>3</v>
      </c>
      <c r="AS625" cm="1">
        <f t="array" ref="AS625">_xlfn.XLOOKUP(Matrix[[#This Row],[TEAM]]&amp;Matrix[[#Headers],[33]],FDR[FDR]&amp;FDR[[#Headers],[33]],FDR[33],"",0,1)</f>
        <v>1</v>
      </c>
      <c r="AT625" cm="1">
        <f t="array" ref="AT625">_xlfn.XLOOKUP(Matrix[[#This Row],[TEAM]]&amp;Matrix[[#Headers],[34]],FDR[FDR]&amp;FDR[[#Headers],[34]],FDR[34],"",0,1)</f>
        <v>3</v>
      </c>
      <c r="AU625" cm="1">
        <f t="array" ref="AU625">_xlfn.XLOOKUP(Matrix[[#This Row],[TEAM]]&amp;Matrix[[#Headers],[35]],FDR[FDR]&amp;FDR[[#Headers],[35]],FDR[35],"",0,1)</f>
        <v>3</v>
      </c>
      <c r="AV625" cm="1">
        <f t="array" ref="AV625">_xlfn.XLOOKUP(Matrix[[#This Row],[TEAM]]&amp;Matrix[[#Headers],[36]],FDR[FDR]&amp;FDR[[#Headers],[36]],FDR[36],"",0,1)</f>
        <v>1</v>
      </c>
      <c r="AW625" cm="1">
        <f t="array" ref="AW625">_xlfn.XLOOKUP(Matrix[[#This Row],[TEAM]]&amp;Matrix[[#Headers],[37]],FDR[FDR]&amp;FDR[[#Headers],[37]],FDR[37],"",0,1)</f>
        <v>3</v>
      </c>
      <c r="AX625" cm="1">
        <f t="array" ref="AX625">_xlfn.XLOOKUP(Matrix[[#This Row],[TEAM]]&amp;Matrix[[#Headers],[38]],FDR[FDR]&amp;FDR[[#Headers],[38]],FDR[38],"",0,1)</f>
        <v>4</v>
      </c>
    </row>
    <row r="626" spans="1:50" ht="22" thickTop="1" thickBot="1">
      <c r="A626" s="51" t="s">
        <v>657</v>
      </c>
      <c r="B626" s="70" t="s">
        <v>1880</v>
      </c>
      <c r="C626" s="40" t="s">
        <v>26</v>
      </c>
      <c r="D626" s="62">
        <v>2</v>
      </c>
      <c r="E626" s="60">
        <v>1E-3</v>
      </c>
      <c r="F626" s="61">
        <v>1.3</v>
      </c>
      <c r="G626" s="63">
        <v>4</v>
      </c>
      <c r="H626" s="261">
        <f>IF(ISBLANK(I626),0,1)</f>
        <v>1</v>
      </c>
      <c r="I626" s="57" t="s">
        <v>1055</v>
      </c>
      <c r="J626" s="58" t="s">
        <v>1981</v>
      </c>
      <c r="K626" s="65" t="s">
        <v>966</v>
      </c>
      <c r="L626" s="65" t="s">
        <v>965</v>
      </c>
      <c r="M626" cm="1">
        <f t="array" ref="M626">_xlfn.XLOOKUP(Matrix[[#This Row],[TEAM]]&amp;Matrix[[#Headers],[1]],FDR[FDR]&amp;FDR[[#Headers],[1]],FDR[1],"",0,1)</f>
        <v>5</v>
      </c>
      <c r="N626" cm="1">
        <f t="array" ref="N626">_xlfn.XLOOKUP(Matrix[[#This Row],[TEAM]]&amp;Matrix[[#Headers],[2]],FDR[FDR]&amp;FDR[[#Headers],[2]],FDR[2],"",0,1)</f>
        <v>3</v>
      </c>
      <c r="O626" cm="1">
        <f t="array" ref="O626">_xlfn.XLOOKUP(Matrix[[#This Row],[TEAM]]&amp;Matrix[[#Headers],[3]],FDR[FDR]&amp;FDR[[#Headers],[3]],FDR[3],"",0,1)</f>
        <v>5</v>
      </c>
      <c r="P626" cm="1">
        <f t="array" ref="P626">_xlfn.XLOOKUP(Matrix[[#This Row],[TEAM]]&amp;Matrix[[#Headers],[4]],FDR[FDR]&amp;FDR[[#Headers],[4]],FDR[4],"",0,1)</f>
        <v>1</v>
      </c>
      <c r="Q626" cm="1">
        <f t="array" ref="Q626">_xlfn.XLOOKUP(Matrix[[#This Row],[TEAM]]&amp;Matrix[[#Headers],[5]],FDR[FDR]&amp;FDR[[#Headers],[5]],FDR[5],"",0,1)</f>
        <v>4</v>
      </c>
      <c r="R626" cm="1">
        <f t="array" ref="R626">_xlfn.XLOOKUP(Matrix[[#This Row],[TEAM]]&amp;Matrix[[#Headers],[6]],FDR[FDR]&amp;FDR[[#Headers],[6]],FDR[6],"",0,1)</f>
        <v>4</v>
      </c>
      <c r="S626" cm="1">
        <f t="array" ref="S626">_xlfn.XLOOKUP(Matrix[[#This Row],[TEAM]]&amp;Matrix[[#Headers],[7]],FDR[FDR]&amp;FDR[[#Headers],[7]],FDR[7],"",0,1)</f>
        <v>4</v>
      </c>
      <c r="T626" cm="1">
        <f t="array" ref="T626">_xlfn.XLOOKUP(Matrix[[#This Row],[TEAM]]&amp;Matrix[[#Headers],[8]],FDR[FDR]&amp;FDR[[#Headers],[8]],FDR[8],"",0,1)</f>
        <v>3</v>
      </c>
      <c r="U626" cm="1">
        <f t="array" ref="U626">_xlfn.XLOOKUP(Matrix[[#This Row],[TEAM]]&amp;Matrix[[#Headers],[9]],FDR[FDR]&amp;FDR[[#Headers],[9]],FDR[9],"",0,1)</f>
        <v>5</v>
      </c>
      <c r="V626" cm="1">
        <f t="array" ref="V626">_xlfn.XLOOKUP(Matrix[[#This Row],[TEAM]]&amp;Matrix[[#Headers],[10]],FDR[FDR]&amp;FDR[[#Headers],[10]],FDR[10],"",0,1)</f>
        <v>3</v>
      </c>
      <c r="W626" cm="1">
        <f t="array" ref="W626">_xlfn.XLOOKUP(Matrix[[#This Row],[TEAM]]&amp;Matrix[[#Headers],[11]],FDR[FDR]&amp;FDR[[#Headers],[11]],FDR[11],"",0,1)</f>
        <v>3</v>
      </c>
      <c r="X626" cm="1">
        <f t="array" ref="X626">_xlfn.XLOOKUP(Matrix[[#This Row],[TEAM]]&amp;Matrix[[#Headers],[12]],FDR[FDR]&amp;FDR[[#Headers],[12]],FDR[12],"",0,1)</f>
        <v>2</v>
      </c>
      <c r="Y626" cm="1">
        <f t="array" ref="Y626">_xlfn.XLOOKUP(Matrix[[#This Row],[TEAM]]&amp;Matrix[[#Headers],[13]],FDR[FDR]&amp;FDR[[#Headers],[13]],FDR[13],"",0,1)</f>
        <v>4</v>
      </c>
      <c r="Z626" cm="1">
        <f t="array" ref="Z626">_xlfn.XLOOKUP(Matrix[[#This Row],[TEAM]]&amp;Matrix[[#Headers],[14]],FDR[FDR]&amp;FDR[[#Headers],[14]],FDR[14],"",0,1)</f>
        <v>2</v>
      </c>
      <c r="AA626" cm="1">
        <f t="array" ref="AA626">_xlfn.XLOOKUP(Matrix[[#This Row],[TEAM]]&amp;Matrix[[#Headers],[15]],FDR[FDR]&amp;FDR[[#Headers],[15]],FDR[15],"",0,1)</f>
        <v>4</v>
      </c>
      <c r="AB626" cm="1">
        <f t="array" ref="AB626">_xlfn.XLOOKUP(Matrix[[#This Row],[TEAM]]&amp;Matrix[[#Headers],[16]],FDR[FDR]&amp;FDR[[#Headers],[16]],FDR[16],"",0,1)</f>
        <v>4</v>
      </c>
      <c r="AC626" cm="1">
        <f t="array" ref="AC626">_xlfn.XLOOKUP(Matrix[[#This Row],[TEAM]]&amp;Matrix[[#Headers],[17]],FDR[FDR]&amp;FDR[[#Headers],[17]],FDR[17],"",0,1)</f>
        <v>2</v>
      </c>
      <c r="AD626" cm="1">
        <f t="array" ref="AD626">_xlfn.XLOOKUP(Matrix[[#This Row],[TEAM]]&amp;Matrix[[#Headers],[18]],FDR[FDR]&amp;FDR[[#Headers],[18]],FDR[18],"",0,1)</f>
        <v>4</v>
      </c>
      <c r="AE626" cm="1">
        <f t="array" ref="AE626">_xlfn.XLOOKUP(Matrix[[#This Row],[TEAM]]&amp;Matrix[[#Headers],[19]],FDR[FDR]&amp;FDR[[#Headers],[19]],FDR[19],"",0,1)</f>
        <v>3</v>
      </c>
      <c r="AF626" cm="1">
        <f t="array" ref="AF626">_xlfn.XLOOKUP(Matrix[[#This Row],[TEAM]]&amp;Matrix[[#Headers],[20]],FDR[FDR]&amp;FDR[[#Headers],[20]],FDR[20],"",0,1)</f>
        <v>5</v>
      </c>
      <c r="AG626" cm="1">
        <f t="array" ref="AG626">_xlfn.XLOOKUP(Matrix[[#This Row],[TEAM]]&amp;Matrix[[#Headers],[21]],FDR[FDR]&amp;FDR[[#Headers],[21]],FDR[21],"",0,1)</f>
        <v>4</v>
      </c>
      <c r="AH626" cm="1">
        <f t="array" ref="AH626">_xlfn.XLOOKUP(Matrix[[#This Row],[TEAM]]&amp;Matrix[[#Headers],[22]],FDR[FDR]&amp;FDR[[#Headers],[22]],FDR[22],"",0,1)</f>
        <v>2</v>
      </c>
      <c r="AI626" cm="1">
        <f t="array" ref="AI626">_xlfn.XLOOKUP(Matrix[[#This Row],[TEAM]]&amp;Matrix[[#Headers],[23]],FDR[FDR]&amp;FDR[[#Headers],[23]],FDR[23],"",0,1)</f>
        <v>4</v>
      </c>
      <c r="AJ626" cm="1">
        <f t="array" ref="AJ626">_xlfn.XLOOKUP(Matrix[[#This Row],[TEAM]]&amp;Matrix[[#Headers],[24]],FDR[FDR]&amp;FDR[[#Headers],[24]],FDR[24],"",0,1)</f>
        <v>4</v>
      </c>
      <c r="AK626" cm="1">
        <f t="array" ref="AK626">_xlfn.XLOOKUP(Matrix[[#This Row],[TEAM]]&amp;Matrix[[#Headers],[25]],FDR[FDR]&amp;FDR[[#Headers],[25]],FDR[25],"",0,1)</f>
        <v>4</v>
      </c>
      <c r="AL626" cm="1">
        <f t="array" ref="AL626">_xlfn.XLOOKUP(Matrix[[#This Row],[TEAM]]&amp;Matrix[[#Headers],[26]],FDR[FDR]&amp;FDR[[#Headers],[26]],FDR[26],"",0,1)</f>
        <v>1</v>
      </c>
      <c r="AM626" cm="1">
        <f t="array" ref="AM626">_xlfn.XLOOKUP(Matrix[[#This Row],[TEAM]]&amp;Matrix[[#Headers],[27]],FDR[FDR]&amp;FDR[[#Headers],[27]],FDR[27],"",0,1)</f>
        <v>2</v>
      </c>
      <c r="AN626" cm="1">
        <f t="array" ref="AN626">_xlfn.XLOOKUP(Matrix[[#This Row],[TEAM]]&amp;Matrix[[#Headers],[28]],FDR[FDR]&amp;FDR[[#Headers],[28]],FDR[28],"",0,1)</f>
        <v>5</v>
      </c>
      <c r="AO626" cm="1">
        <f t="array" ref="AO626">_xlfn.XLOOKUP(Matrix[[#This Row],[TEAM]]&amp;Matrix[[#Headers],[29]],FDR[FDR]&amp;FDR[[#Headers],[29]],FDR[29],"",0,1)</f>
        <v>5</v>
      </c>
      <c r="AP626" cm="1">
        <f t="array" ref="AP626">_xlfn.XLOOKUP(Matrix[[#This Row],[TEAM]]&amp;Matrix[[#Headers],[30]],FDR[FDR]&amp;FDR[[#Headers],[30]],FDR[30],"",0,1)</f>
        <v>1</v>
      </c>
      <c r="AQ626" cm="1">
        <f t="array" ref="AQ626">_xlfn.XLOOKUP(Matrix[[#This Row],[TEAM]]&amp;Matrix[[#Headers],[31]],FDR[FDR]&amp;FDR[[#Headers],[31]],FDR[31],"",0,1)</f>
        <v>5</v>
      </c>
      <c r="AR626" cm="1">
        <f t="array" ref="AR626">_xlfn.XLOOKUP(Matrix[[#This Row],[TEAM]]&amp;Matrix[[#Headers],[32]],FDR[FDR]&amp;FDR[[#Headers],[32]],FDR[32],"",0,1)</f>
        <v>4</v>
      </c>
      <c r="AS626" cm="1">
        <f t="array" ref="AS626">_xlfn.XLOOKUP(Matrix[[#This Row],[TEAM]]&amp;Matrix[[#Headers],[33]],FDR[FDR]&amp;FDR[[#Headers],[33]],FDR[33],"",0,1)</f>
        <v>3</v>
      </c>
      <c r="AT626" cm="1">
        <f t="array" ref="AT626">_xlfn.XLOOKUP(Matrix[[#This Row],[TEAM]]&amp;Matrix[[#Headers],[34]],FDR[FDR]&amp;FDR[[#Headers],[34]],FDR[34],"",0,1)</f>
        <v>5</v>
      </c>
      <c r="AU626" cm="1">
        <f t="array" ref="AU626">_xlfn.XLOOKUP(Matrix[[#This Row],[TEAM]]&amp;Matrix[[#Headers],[35]],FDR[FDR]&amp;FDR[[#Headers],[35]],FDR[35],"",0,1)</f>
        <v>4</v>
      </c>
      <c r="AV626" cm="1">
        <f t="array" ref="AV626">_xlfn.XLOOKUP(Matrix[[#This Row],[TEAM]]&amp;Matrix[[#Headers],[36]],FDR[FDR]&amp;FDR[[#Headers],[36]],FDR[36],"",0,1)</f>
        <v>3</v>
      </c>
      <c r="AW626" cm="1">
        <f t="array" ref="AW626">_xlfn.XLOOKUP(Matrix[[#This Row],[TEAM]]&amp;Matrix[[#Headers],[37]],FDR[FDR]&amp;FDR[[#Headers],[37]],FDR[37],"",0,1)</f>
        <v>4</v>
      </c>
      <c r="AX626" cm="1">
        <f t="array" ref="AX626">_xlfn.XLOOKUP(Matrix[[#This Row],[TEAM]]&amp;Matrix[[#Headers],[38]],FDR[FDR]&amp;FDR[[#Headers],[38]],FDR[38],"",0,1)</f>
        <v>4</v>
      </c>
    </row>
    <row r="627" spans="1:50" ht="22" thickTop="1" thickBot="1">
      <c r="A627" s="51" t="s">
        <v>657</v>
      </c>
      <c r="B627" s="70" t="s">
        <v>1851</v>
      </c>
      <c r="C627" s="40" t="s">
        <v>21</v>
      </c>
      <c r="D627" s="62">
        <v>1</v>
      </c>
      <c r="E627" s="60">
        <v>2E-3</v>
      </c>
      <c r="F627" s="61">
        <v>0.1</v>
      </c>
      <c r="G627" s="63">
        <v>4</v>
      </c>
      <c r="H627" s="261">
        <f>IF(ISBLANK(I627),0,1)</f>
        <v>1</v>
      </c>
      <c r="I627" s="57" t="s">
        <v>1985</v>
      </c>
      <c r="J627" s="58" t="s">
        <v>1999</v>
      </c>
      <c r="K627" s="65" t="s">
        <v>607</v>
      </c>
      <c r="L627" s="65" t="s">
        <v>1025</v>
      </c>
      <c r="M627" cm="1">
        <f t="array" ref="M627">_xlfn.XLOOKUP(Matrix[[#This Row],[TEAM]]&amp;Matrix[[#Headers],[1]],FDR[FDR]&amp;FDR[[#Headers],[1]],FDR[1],"",0,1)</f>
        <v>4</v>
      </c>
      <c r="N627" cm="1">
        <f t="array" ref="N627">_xlfn.XLOOKUP(Matrix[[#This Row],[TEAM]]&amp;Matrix[[#Headers],[2]],FDR[FDR]&amp;FDR[[#Headers],[2]],FDR[2],"",0,1)</f>
        <v>4</v>
      </c>
      <c r="O627" cm="1">
        <f t="array" ref="O627">_xlfn.XLOOKUP(Matrix[[#This Row],[TEAM]]&amp;Matrix[[#Headers],[3]],FDR[FDR]&amp;FDR[[#Headers],[3]],FDR[3],"",0,1)</f>
        <v>2</v>
      </c>
      <c r="P627" cm="1">
        <f t="array" ref="P627">_xlfn.XLOOKUP(Matrix[[#This Row],[TEAM]]&amp;Matrix[[#Headers],[4]],FDR[FDR]&amp;FDR[[#Headers],[4]],FDR[4],"",0,1)</f>
        <v>4</v>
      </c>
      <c r="Q627" cm="1">
        <f t="array" ref="Q627">_xlfn.XLOOKUP(Matrix[[#This Row],[TEAM]]&amp;Matrix[[#Headers],[5]],FDR[FDR]&amp;FDR[[#Headers],[5]],FDR[5],"",0,1)</f>
        <v>4</v>
      </c>
      <c r="R627" cm="1">
        <f t="array" ref="R627">_xlfn.XLOOKUP(Matrix[[#This Row],[TEAM]]&amp;Matrix[[#Headers],[6]],FDR[FDR]&amp;FDR[[#Headers],[6]],FDR[6],"",0,1)</f>
        <v>4</v>
      </c>
      <c r="S627" cm="1">
        <f t="array" ref="S627">_xlfn.XLOOKUP(Matrix[[#This Row],[TEAM]]&amp;Matrix[[#Headers],[7]],FDR[FDR]&amp;FDR[[#Headers],[7]],FDR[7],"",0,1)</f>
        <v>4</v>
      </c>
      <c r="T627" cm="1">
        <f t="array" ref="T627">_xlfn.XLOOKUP(Matrix[[#This Row],[TEAM]]&amp;Matrix[[#Headers],[8]],FDR[FDR]&amp;FDR[[#Headers],[8]],FDR[8],"",0,1)</f>
        <v>4</v>
      </c>
      <c r="U627" cm="1">
        <f t="array" ref="U627">_xlfn.XLOOKUP(Matrix[[#This Row],[TEAM]]&amp;Matrix[[#Headers],[9]],FDR[FDR]&amp;FDR[[#Headers],[9]],FDR[9],"",0,1)</f>
        <v>4</v>
      </c>
      <c r="V627" cm="1">
        <f t="array" ref="V627">_xlfn.XLOOKUP(Matrix[[#This Row],[TEAM]]&amp;Matrix[[#Headers],[10]],FDR[FDR]&amp;FDR[[#Headers],[10]],FDR[10],"",0,1)</f>
        <v>4</v>
      </c>
      <c r="W627" cm="1">
        <f t="array" ref="W627">_xlfn.XLOOKUP(Matrix[[#This Row],[TEAM]]&amp;Matrix[[#Headers],[11]],FDR[FDR]&amp;FDR[[#Headers],[11]],FDR[11],"",0,1)</f>
        <v>4</v>
      </c>
      <c r="X627" cm="1">
        <f t="array" ref="X627">_xlfn.XLOOKUP(Matrix[[#This Row],[TEAM]]&amp;Matrix[[#Headers],[12]],FDR[FDR]&amp;FDR[[#Headers],[12]],FDR[12],"",0,1)</f>
        <v>4</v>
      </c>
      <c r="Y627" cm="1">
        <f t="array" ref="Y627">_xlfn.XLOOKUP(Matrix[[#This Row],[TEAM]]&amp;Matrix[[#Headers],[13]],FDR[FDR]&amp;FDR[[#Headers],[13]],FDR[13],"",0,1)</f>
        <v>1</v>
      </c>
      <c r="Z627" cm="1">
        <f t="array" ref="Z627">_xlfn.XLOOKUP(Matrix[[#This Row],[TEAM]]&amp;Matrix[[#Headers],[14]],FDR[FDR]&amp;FDR[[#Headers],[14]],FDR[14],"",0,1)</f>
        <v>5</v>
      </c>
      <c r="AA627" cm="1">
        <f t="array" ref="AA627">_xlfn.XLOOKUP(Matrix[[#This Row],[TEAM]]&amp;Matrix[[#Headers],[15]],FDR[FDR]&amp;FDR[[#Headers],[15]],FDR[15],"",0,1)</f>
        <v>5</v>
      </c>
      <c r="AB627" cm="1">
        <f t="array" ref="AB627">_xlfn.XLOOKUP(Matrix[[#This Row],[TEAM]]&amp;Matrix[[#Headers],[16]],FDR[FDR]&amp;FDR[[#Headers],[16]],FDR[16],"",0,1)</f>
        <v>1</v>
      </c>
      <c r="AC627" cm="1">
        <f t="array" ref="AC627">_xlfn.XLOOKUP(Matrix[[#This Row],[TEAM]]&amp;Matrix[[#Headers],[17]],FDR[FDR]&amp;FDR[[#Headers],[17]],FDR[17],"",0,1)</f>
        <v>2</v>
      </c>
      <c r="AD627" cm="1">
        <f t="array" ref="AD627">_xlfn.XLOOKUP(Matrix[[#This Row],[TEAM]]&amp;Matrix[[#Headers],[18]],FDR[FDR]&amp;FDR[[#Headers],[18]],FDR[18],"",0,1)</f>
        <v>3</v>
      </c>
      <c r="AE627" cm="1">
        <f t="array" ref="AE627">_xlfn.XLOOKUP(Matrix[[#This Row],[TEAM]]&amp;Matrix[[#Headers],[19]],FDR[FDR]&amp;FDR[[#Headers],[19]],FDR[19],"",0,1)</f>
        <v>4</v>
      </c>
      <c r="AF627" cm="1">
        <f t="array" ref="AF627">_xlfn.XLOOKUP(Matrix[[#This Row],[TEAM]]&amp;Matrix[[#Headers],[20]],FDR[FDR]&amp;FDR[[#Headers],[20]],FDR[20],"",0,1)</f>
        <v>4</v>
      </c>
      <c r="AG627" cm="1">
        <f t="array" ref="AG627">_xlfn.XLOOKUP(Matrix[[#This Row],[TEAM]]&amp;Matrix[[#Headers],[21]],FDR[FDR]&amp;FDR[[#Headers],[21]],FDR[21],"",0,1)</f>
        <v>1</v>
      </c>
      <c r="AH627" cm="1">
        <f t="array" ref="AH627">_xlfn.XLOOKUP(Matrix[[#This Row],[TEAM]]&amp;Matrix[[#Headers],[22]],FDR[FDR]&amp;FDR[[#Headers],[22]],FDR[22],"",0,1)</f>
        <v>5</v>
      </c>
      <c r="AI627" cm="1">
        <f t="array" ref="AI627">_xlfn.XLOOKUP(Matrix[[#This Row],[TEAM]]&amp;Matrix[[#Headers],[23]],FDR[FDR]&amp;FDR[[#Headers],[23]],FDR[23],"",0,1)</f>
        <v>3</v>
      </c>
      <c r="AJ627" cm="1">
        <f t="array" ref="AJ627">_xlfn.XLOOKUP(Matrix[[#This Row],[TEAM]]&amp;Matrix[[#Headers],[24]],FDR[FDR]&amp;FDR[[#Headers],[24]],FDR[24],"",0,1)</f>
        <v>5</v>
      </c>
      <c r="AK627" cm="1">
        <f t="array" ref="AK627">_xlfn.XLOOKUP(Matrix[[#This Row],[TEAM]]&amp;Matrix[[#Headers],[25]],FDR[FDR]&amp;FDR[[#Headers],[25]],FDR[25],"",0,1)</f>
        <v>5</v>
      </c>
      <c r="AL627" cm="1">
        <f t="array" ref="AL627">_xlfn.XLOOKUP(Matrix[[#This Row],[TEAM]]&amp;Matrix[[#Headers],[26]],FDR[FDR]&amp;FDR[[#Headers],[26]],FDR[26],"",0,1)</f>
        <v>4</v>
      </c>
      <c r="AM627" cm="1">
        <f t="array" ref="AM627">_xlfn.XLOOKUP(Matrix[[#This Row],[TEAM]]&amp;Matrix[[#Headers],[27]],FDR[FDR]&amp;FDR[[#Headers],[27]],FDR[27],"",0,1)</f>
        <v>3</v>
      </c>
      <c r="AN627" cm="1">
        <f t="array" ref="AN627">_xlfn.XLOOKUP(Matrix[[#This Row],[TEAM]]&amp;Matrix[[#Headers],[28]],FDR[FDR]&amp;FDR[[#Headers],[28]],FDR[28],"",0,1)</f>
        <v>2</v>
      </c>
      <c r="AO627" cm="1">
        <f t="array" ref="AO627">_xlfn.XLOOKUP(Matrix[[#This Row],[TEAM]]&amp;Matrix[[#Headers],[29]],FDR[FDR]&amp;FDR[[#Headers],[29]],FDR[29],"",0,1)</f>
        <v>4</v>
      </c>
      <c r="AP627" cm="1">
        <f t="array" ref="AP627">_xlfn.XLOOKUP(Matrix[[#This Row],[TEAM]]&amp;Matrix[[#Headers],[30]],FDR[FDR]&amp;FDR[[#Headers],[30]],FDR[30],"",0,1)</f>
        <v>2</v>
      </c>
      <c r="AQ627" cm="1">
        <f t="array" ref="AQ627">_xlfn.XLOOKUP(Matrix[[#This Row],[TEAM]]&amp;Matrix[[#Headers],[31]],FDR[FDR]&amp;FDR[[#Headers],[31]],FDR[31],"",0,1)</f>
        <v>2</v>
      </c>
      <c r="AR627" cm="1">
        <f t="array" ref="AR627">_xlfn.XLOOKUP(Matrix[[#This Row],[TEAM]]&amp;Matrix[[#Headers],[32]],FDR[FDR]&amp;FDR[[#Headers],[32]],FDR[32],"",0,1)</f>
        <v>3</v>
      </c>
      <c r="AS627" cm="1">
        <f t="array" ref="AS627">_xlfn.XLOOKUP(Matrix[[#This Row],[TEAM]]&amp;Matrix[[#Headers],[33]],FDR[FDR]&amp;FDR[[#Headers],[33]],FDR[33],"",0,1)</f>
        <v>3</v>
      </c>
      <c r="AT627" cm="1">
        <f t="array" ref="AT627">_xlfn.XLOOKUP(Matrix[[#This Row],[TEAM]]&amp;Matrix[[#Headers],[34]],FDR[FDR]&amp;FDR[[#Headers],[34]],FDR[34],"",0,1)</f>
        <v>5</v>
      </c>
      <c r="AU627" cm="1">
        <f t="array" ref="AU627">_xlfn.XLOOKUP(Matrix[[#This Row],[TEAM]]&amp;Matrix[[#Headers],[35]],FDR[FDR]&amp;FDR[[#Headers],[35]],FDR[35],"",0,1)</f>
        <v>3</v>
      </c>
      <c r="AV627" cm="1">
        <f t="array" ref="AV627">_xlfn.XLOOKUP(Matrix[[#This Row],[TEAM]]&amp;Matrix[[#Headers],[36]],FDR[FDR]&amp;FDR[[#Headers],[36]],FDR[36],"",0,1)</f>
        <v>5</v>
      </c>
      <c r="AW627" cm="1">
        <f t="array" ref="AW627">_xlfn.XLOOKUP(Matrix[[#This Row],[TEAM]]&amp;Matrix[[#Headers],[37]],FDR[FDR]&amp;FDR[[#Headers],[37]],FDR[37],"",0,1)</f>
        <v>3</v>
      </c>
      <c r="AX627" cm="1">
        <f t="array" ref="AX627">_xlfn.XLOOKUP(Matrix[[#This Row],[TEAM]]&amp;Matrix[[#Headers],[38]],FDR[FDR]&amp;FDR[[#Headers],[38]],FDR[38],"",0,1)</f>
        <v>5</v>
      </c>
    </row>
    <row r="628" spans="1:50" ht="22" thickTop="1" thickBot="1">
      <c r="A628" s="51" t="s">
        <v>657</v>
      </c>
      <c r="B628" s="70" t="s">
        <v>1892</v>
      </c>
      <c r="C628" s="40" t="s">
        <v>26</v>
      </c>
      <c r="D628" s="62">
        <v>1</v>
      </c>
      <c r="E628" s="60">
        <v>0</v>
      </c>
      <c r="F628" s="61">
        <v>2</v>
      </c>
      <c r="G628" s="63">
        <v>4</v>
      </c>
      <c r="H628" s="261">
        <f>IF(ISBLANK(I628),0,1)</f>
        <v>1</v>
      </c>
      <c r="I628" s="57" t="s">
        <v>891</v>
      </c>
      <c r="J628" s="58" t="s">
        <v>1981</v>
      </c>
      <c r="K628" s="65" t="s">
        <v>964</v>
      </c>
      <c r="L628" s="65" t="s">
        <v>963</v>
      </c>
      <c r="M628" cm="1">
        <f t="array" ref="M628">_xlfn.XLOOKUP(Matrix[[#This Row],[TEAM]]&amp;Matrix[[#Headers],[1]],FDR[FDR]&amp;FDR[[#Headers],[1]],FDR[1],"",0,1)</f>
        <v>5</v>
      </c>
      <c r="N628" cm="1">
        <f t="array" ref="N628">_xlfn.XLOOKUP(Matrix[[#This Row],[TEAM]]&amp;Matrix[[#Headers],[2]],FDR[FDR]&amp;FDR[[#Headers],[2]],FDR[2],"",0,1)</f>
        <v>3</v>
      </c>
      <c r="O628" cm="1">
        <f t="array" ref="O628">_xlfn.XLOOKUP(Matrix[[#This Row],[TEAM]]&amp;Matrix[[#Headers],[3]],FDR[FDR]&amp;FDR[[#Headers],[3]],FDR[3],"",0,1)</f>
        <v>5</v>
      </c>
      <c r="P628" cm="1">
        <f t="array" ref="P628">_xlfn.XLOOKUP(Matrix[[#This Row],[TEAM]]&amp;Matrix[[#Headers],[4]],FDR[FDR]&amp;FDR[[#Headers],[4]],FDR[4],"",0,1)</f>
        <v>1</v>
      </c>
      <c r="Q628" cm="1">
        <f t="array" ref="Q628">_xlfn.XLOOKUP(Matrix[[#This Row],[TEAM]]&amp;Matrix[[#Headers],[5]],FDR[FDR]&amp;FDR[[#Headers],[5]],FDR[5],"",0,1)</f>
        <v>4</v>
      </c>
      <c r="R628" cm="1">
        <f t="array" ref="R628">_xlfn.XLOOKUP(Matrix[[#This Row],[TEAM]]&amp;Matrix[[#Headers],[6]],FDR[FDR]&amp;FDR[[#Headers],[6]],FDR[6],"",0,1)</f>
        <v>4</v>
      </c>
      <c r="S628" cm="1">
        <f t="array" ref="S628">_xlfn.XLOOKUP(Matrix[[#This Row],[TEAM]]&amp;Matrix[[#Headers],[7]],FDR[FDR]&amp;FDR[[#Headers],[7]],FDR[7],"",0,1)</f>
        <v>4</v>
      </c>
      <c r="T628" cm="1">
        <f t="array" ref="T628">_xlfn.XLOOKUP(Matrix[[#This Row],[TEAM]]&amp;Matrix[[#Headers],[8]],FDR[FDR]&amp;FDR[[#Headers],[8]],FDR[8],"",0,1)</f>
        <v>3</v>
      </c>
      <c r="U628" cm="1">
        <f t="array" ref="U628">_xlfn.XLOOKUP(Matrix[[#This Row],[TEAM]]&amp;Matrix[[#Headers],[9]],FDR[FDR]&amp;FDR[[#Headers],[9]],FDR[9],"",0,1)</f>
        <v>5</v>
      </c>
      <c r="V628" cm="1">
        <f t="array" ref="V628">_xlfn.XLOOKUP(Matrix[[#This Row],[TEAM]]&amp;Matrix[[#Headers],[10]],FDR[FDR]&amp;FDR[[#Headers],[10]],FDR[10],"",0,1)</f>
        <v>3</v>
      </c>
      <c r="W628" cm="1">
        <f t="array" ref="W628">_xlfn.XLOOKUP(Matrix[[#This Row],[TEAM]]&amp;Matrix[[#Headers],[11]],FDR[FDR]&amp;FDR[[#Headers],[11]],FDR[11],"",0,1)</f>
        <v>3</v>
      </c>
      <c r="X628" cm="1">
        <f t="array" ref="X628">_xlfn.XLOOKUP(Matrix[[#This Row],[TEAM]]&amp;Matrix[[#Headers],[12]],FDR[FDR]&amp;FDR[[#Headers],[12]],FDR[12],"",0,1)</f>
        <v>2</v>
      </c>
      <c r="Y628" cm="1">
        <f t="array" ref="Y628">_xlfn.XLOOKUP(Matrix[[#This Row],[TEAM]]&amp;Matrix[[#Headers],[13]],FDR[FDR]&amp;FDR[[#Headers],[13]],FDR[13],"",0,1)</f>
        <v>4</v>
      </c>
      <c r="Z628" cm="1">
        <f t="array" ref="Z628">_xlfn.XLOOKUP(Matrix[[#This Row],[TEAM]]&amp;Matrix[[#Headers],[14]],FDR[FDR]&amp;FDR[[#Headers],[14]],FDR[14],"",0,1)</f>
        <v>2</v>
      </c>
      <c r="AA628" cm="1">
        <f t="array" ref="AA628">_xlfn.XLOOKUP(Matrix[[#This Row],[TEAM]]&amp;Matrix[[#Headers],[15]],FDR[FDR]&amp;FDR[[#Headers],[15]],FDR[15],"",0,1)</f>
        <v>4</v>
      </c>
      <c r="AB628" cm="1">
        <f t="array" ref="AB628">_xlfn.XLOOKUP(Matrix[[#This Row],[TEAM]]&amp;Matrix[[#Headers],[16]],FDR[FDR]&amp;FDR[[#Headers],[16]],FDR[16],"",0,1)</f>
        <v>4</v>
      </c>
      <c r="AC628" cm="1">
        <f t="array" ref="AC628">_xlfn.XLOOKUP(Matrix[[#This Row],[TEAM]]&amp;Matrix[[#Headers],[17]],FDR[FDR]&amp;FDR[[#Headers],[17]],FDR[17],"",0,1)</f>
        <v>2</v>
      </c>
      <c r="AD628" cm="1">
        <f t="array" ref="AD628">_xlfn.XLOOKUP(Matrix[[#This Row],[TEAM]]&amp;Matrix[[#Headers],[18]],FDR[FDR]&amp;FDR[[#Headers],[18]],FDR[18],"",0,1)</f>
        <v>4</v>
      </c>
      <c r="AE628" cm="1">
        <f t="array" ref="AE628">_xlfn.XLOOKUP(Matrix[[#This Row],[TEAM]]&amp;Matrix[[#Headers],[19]],FDR[FDR]&amp;FDR[[#Headers],[19]],FDR[19],"",0,1)</f>
        <v>3</v>
      </c>
      <c r="AF628" cm="1">
        <f t="array" ref="AF628">_xlfn.XLOOKUP(Matrix[[#This Row],[TEAM]]&amp;Matrix[[#Headers],[20]],FDR[FDR]&amp;FDR[[#Headers],[20]],FDR[20],"",0,1)</f>
        <v>5</v>
      </c>
      <c r="AG628" cm="1">
        <f t="array" ref="AG628">_xlfn.XLOOKUP(Matrix[[#This Row],[TEAM]]&amp;Matrix[[#Headers],[21]],FDR[FDR]&amp;FDR[[#Headers],[21]],FDR[21],"",0,1)</f>
        <v>4</v>
      </c>
      <c r="AH628" cm="1">
        <f t="array" ref="AH628">_xlfn.XLOOKUP(Matrix[[#This Row],[TEAM]]&amp;Matrix[[#Headers],[22]],FDR[FDR]&amp;FDR[[#Headers],[22]],FDR[22],"",0,1)</f>
        <v>2</v>
      </c>
      <c r="AI628" cm="1">
        <f t="array" ref="AI628">_xlfn.XLOOKUP(Matrix[[#This Row],[TEAM]]&amp;Matrix[[#Headers],[23]],FDR[FDR]&amp;FDR[[#Headers],[23]],FDR[23],"",0,1)</f>
        <v>4</v>
      </c>
      <c r="AJ628" cm="1">
        <f t="array" ref="AJ628">_xlfn.XLOOKUP(Matrix[[#This Row],[TEAM]]&amp;Matrix[[#Headers],[24]],FDR[FDR]&amp;FDR[[#Headers],[24]],FDR[24],"",0,1)</f>
        <v>4</v>
      </c>
      <c r="AK628" cm="1">
        <f t="array" ref="AK628">_xlfn.XLOOKUP(Matrix[[#This Row],[TEAM]]&amp;Matrix[[#Headers],[25]],FDR[FDR]&amp;FDR[[#Headers],[25]],FDR[25],"",0,1)</f>
        <v>4</v>
      </c>
      <c r="AL628" cm="1">
        <f t="array" ref="AL628">_xlfn.XLOOKUP(Matrix[[#This Row],[TEAM]]&amp;Matrix[[#Headers],[26]],FDR[FDR]&amp;FDR[[#Headers],[26]],FDR[26],"",0,1)</f>
        <v>1</v>
      </c>
      <c r="AM628" cm="1">
        <f t="array" ref="AM628">_xlfn.XLOOKUP(Matrix[[#This Row],[TEAM]]&amp;Matrix[[#Headers],[27]],FDR[FDR]&amp;FDR[[#Headers],[27]],FDR[27],"",0,1)</f>
        <v>2</v>
      </c>
      <c r="AN628" cm="1">
        <f t="array" ref="AN628">_xlfn.XLOOKUP(Matrix[[#This Row],[TEAM]]&amp;Matrix[[#Headers],[28]],FDR[FDR]&amp;FDR[[#Headers],[28]],FDR[28],"",0,1)</f>
        <v>5</v>
      </c>
      <c r="AO628" cm="1">
        <f t="array" ref="AO628">_xlfn.XLOOKUP(Matrix[[#This Row],[TEAM]]&amp;Matrix[[#Headers],[29]],FDR[FDR]&amp;FDR[[#Headers],[29]],FDR[29],"",0,1)</f>
        <v>5</v>
      </c>
      <c r="AP628" cm="1">
        <f t="array" ref="AP628">_xlfn.XLOOKUP(Matrix[[#This Row],[TEAM]]&amp;Matrix[[#Headers],[30]],FDR[FDR]&amp;FDR[[#Headers],[30]],FDR[30],"",0,1)</f>
        <v>1</v>
      </c>
      <c r="AQ628" cm="1">
        <f t="array" ref="AQ628">_xlfn.XLOOKUP(Matrix[[#This Row],[TEAM]]&amp;Matrix[[#Headers],[31]],FDR[FDR]&amp;FDR[[#Headers],[31]],FDR[31],"",0,1)</f>
        <v>5</v>
      </c>
      <c r="AR628" cm="1">
        <f t="array" ref="AR628">_xlfn.XLOOKUP(Matrix[[#This Row],[TEAM]]&amp;Matrix[[#Headers],[32]],FDR[FDR]&amp;FDR[[#Headers],[32]],FDR[32],"",0,1)</f>
        <v>4</v>
      </c>
      <c r="AS628" cm="1">
        <f t="array" ref="AS628">_xlfn.XLOOKUP(Matrix[[#This Row],[TEAM]]&amp;Matrix[[#Headers],[33]],FDR[FDR]&amp;FDR[[#Headers],[33]],FDR[33],"",0,1)</f>
        <v>3</v>
      </c>
      <c r="AT628" cm="1">
        <f t="array" ref="AT628">_xlfn.XLOOKUP(Matrix[[#This Row],[TEAM]]&amp;Matrix[[#Headers],[34]],FDR[FDR]&amp;FDR[[#Headers],[34]],FDR[34],"",0,1)</f>
        <v>5</v>
      </c>
      <c r="AU628" cm="1">
        <f t="array" ref="AU628">_xlfn.XLOOKUP(Matrix[[#This Row],[TEAM]]&amp;Matrix[[#Headers],[35]],FDR[FDR]&amp;FDR[[#Headers],[35]],FDR[35],"",0,1)</f>
        <v>4</v>
      </c>
      <c r="AV628" cm="1">
        <f t="array" ref="AV628">_xlfn.XLOOKUP(Matrix[[#This Row],[TEAM]]&amp;Matrix[[#Headers],[36]],FDR[FDR]&amp;FDR[[#Headers],[36]],FDR[36],"",0,1)</f>
        <v>3</v>
      </c>
      <c r="AW628" cm="1">
        <f t="array" ref="AW628">_xlfn.XLOOKUP(Matrix[[#This Row],[TEAM]]&amp;Matrix[[#Headers],[37]],FDR[FDR]&amp;FDR[[#Headers],[37]],FDR[37],"",0,1)</f>
        <v>4</v>
      </c>
      <c r="AX628" cm="1">
        <f t="array" ref="AX628">_xlfn.XLOOKUP(Matrix[[#This Row],[TEAM]]&amp;Matrix[[#Headers],[38]],FDR[FDR]&amp;FDR[[#Headers],[38]],FDR[38],"",0,1)</f>
        <v>4</v>
      </c>
    </row>
    <row r="629" spans="1:50" ht="22" thickTop="1" thickBot="1">
      <c r="A629" s="51" t="s">
        <v>657</v>
      </c>
      <c r="B629" s="70" t="s">
        <v>1861</v>
      </c>
      <c r="C629" s="40" t="s">
        <v>22</v>
      </c>
      <c r="D629" s="62">
        <v>0</v>
      </c>
      <c r="E629" s="60">
        <v>2E-3</v>
      </c>
      <c r="F629" s="61">
        <v>0</v>
      </c>
      <c r="G629" s="63">
        <v>4</v>
      </c>
      <c r="H629" s="261">
        <f>IF(ISBLANK(I629),0,1)</f>
        <v>1</v>
      </c>
      <c r="I629" s="57" t="s">
        <v>1042</v>
      </c>
      <c r="J629" s="58">
        <v>0.25</v>
      </c>
      <c r="K629" s="65" t="s">
        <v>1040</v>
      </c>
      <c r="L629" s="65" t="s">
        <v>1041</v>
      </c>
      <c r="M629" cm="1">
        <f t="array" ref="M629">_xlfn.XLOOKUP(Matrix[[#This Row],[TEAM]]&amp;Matrix[[#Headers],[1]],FDR[FDR]&amp;FDR[[#Headers],[1]],FDR[1],"",0,1)</f>
        <v>5</v>
      </c>
      <c r="N629" cm="1">
        <f t="array" ref="N629">_xlfn.XLOOKUP(Matrix[[#This Row],[TEAM]]&amp;Matrix[[#Headers],[2]],FDR[FDR]&amp;FDR[[#Headers],[2]],FDR[2],"",0,1)</f>
        <v>3</v>
      </c>
      <c r="O629" cm="1">
        <f t="array" ref="O629">_xlfn.XLOOKUP(Matrix[[#This Row],[TEAM]]&amp;Matrix[[#Headers],[3]],FDR[FDR]&amp;FDR[[#Headers],[3]],FDR[3],"",0,1)</f>
        <v>5</v>
      </c>
      <c r="P629" cm="1">
        <f t="array" ref="P629">_xlfn.XLOOKUP(Matrix[[#This Row],[TEAM]]&amp;Matrix[[#Headers],[4]],FDR[FDR]&amp;FDR[[#Headers],[4]],FDR[4],"",0,1)</f>
        <v>5</v>
      </c>
      <c r="Q629" cm="1">
        <f t="array" ref="Q629">_xlfn.XLOOKUP(Matrix[[#This Row],[TEAM]]&amp;Matrix[[#Headers],[5]],FDR[FDR]&amp;FDR[[#Headers],[5]],FDR[5],"",0,1)</f>
        <v>5</v>
      </c>
      <c r="R629" cm="1">
        <f t="array" ref="R629">_xlfn.XLOOKUP(Matrix[[#This Row],[TEAM]]&amp;Matrix[[#Headers],[6]],FDR[FDR]&amp;FDR[[#Headers],[6]],FDR[6],"",0,1)</f>
        <v>5</v>
      </c>
      <c r="S629" cm="1">
        <f t="array" ref="S629">_xlfn.XLOOKUP(Matrix[[#This Row],[TEAM]]&amp;Matrix[[#Headers],[7]],FDR[FDR]&amp;FDR[[#Headers],[7]],FDR[7],"",0,1)</f>
        <v>5</v>
      </c>
      <c r="T629" cm="1">
        <f t="array" ref="T629">_xlfn.XLOOKUP(Matrix[[#This Row],[TEAM]]&amp;Matrix[[#Headers],[8]],FDR[FDR]&amp;FDR[[#Headers],[8]],FDR[8],"",0,1)</f>
        <v>3</v>
      </c>
      <c r="U629" cm="1">
        <f t="array" ref="U629">_xlfn.XLOOKUP(Matrix[[#This Row],[TEAM]]&amp;Matrix[[#Headers],[9]],FDR[FDR]&amp;FDR[[#Headers],[9]],FDR[9],"",0,1)</f>
        <v>4</v>
      </c>
      <c r="V629" cm="1">
        <f t="array" ref="V629">_xlfn.XLOOKUP(Matrix[[#This Row],[TEAM]]&amp;Matrix[[#Headers],[10]],FDR[FDR]&amp;FDR[[#Headers],[10]],FDR[10],"",0,1)</f>
        <v>5</v>
      </c>
      <c r="W629" cm="1">
        <f t="array" ref="W629">_xlfn.XLOOKUP(Matrix[[#This Row],[TEAM]]&amp;Matrix[[#Headers],[11]],FDR[FDR]&amp;FDR[[#Headers],[11]],FDR[11],"",0,1)</f>
        <v>5</v>
      </c>
      <c r="X629" cm="1">
        <f t="array" ref="X629">_xlfn.XLOOKUP(Matrix[[#This Row],[TEAM]]&amp;Matrix[[#Headers],[12]],FDR[FDR]&amp;FDR[[#Headers],[12]],FDR[12],"",0,1)</f>
        <v>5</v>
      </c>
      <c r="Y629" cm="1">
        <f t="array" ref="Y629">_xlfn.XLOOKUP(Matrix[[#This Row],[TEAM]]&amp;Matrix[[#Headers],[13]],FDR[FDR]&amp;FDR[[#Headers],[13]],FDR[13],"",0,1)</f>
        <v>5</v>
      </c>
      <c r="Z629" cm="1">
        <f t="array" ref="Z629">_xlfn.XLOOKUP(Matrix[[#This Row],[TEAM]]&amp;Matrix[[#Headers],[14]],FDR[FDR]&amp;FDR[[#Headers],[14]],FDR[14],"",0,1)</f>
        <v>4</v>
      </c>
      <c r="AA629" cm="1">
        <f t="array" ref="AA629">_xlfn.XLOOKUP(Matrix[[#This Row],[TEAM]]&amp;Matrix[[#Headers],[15]],FDR[FDR]&amp;FDR[[#Headers],[15]],FDR[15],"",0,1)</f>
        <v>5</v>
      </c>
      <c r="AB629" cm="1">
        <f t="array" ref="AB629">_xlfn.XLOOKUP(Matrix[[#This Row],[TEAM]]&amp;Matrix[[#Headers],[16]],FDR[FDR]&amp;FDR[[#Headers],[16]],FDR[16],"",0,1)</f>
        <v>5</v>
      </c>
      <c r="AC629" cm="1">
        <f t="array" ref="AC629">_xlfn.XLOOKUP(Matrix[[#This Row],[TEAM]]&amp;Matrix[[#Headers],[17]],FDR[FDR]&amp;FDR[[#Headers],[17]],FDR[17],"",0,1)</f>
        <v>5</v>
      </c>
      <c r="AD629" cm="1">
        <f t="array" ref="AD629">_xlfn.XLOOKUP(Matrix[[#This Row],[TEAM]]&amp;Matrix[[#Headers],[18]],FDR[FDR]&amp;FDR[[#Headers],[18]],FDR[18],"",0,1)</f>
        <v>4</v>
      </c>
      <c r="AE629" cm="1">
        <f t="array" ref="AE629">_xlfn.XLOOKUP(Matrix[[#This Row],[TEAM]]&amp;Matrix[[#Headers],[19]],FDR[FDR]&amp;FDR[[#Headers],[19]],FDR[19],"",0,1)</f>
        <v>5</v>
      </c>
      <c r="AF629" cm="1">
        <f t="array" ref="AF629">_xlfn.XLOOKUP(Matrix[[#This Row],[TEAM]]&amp;Matrix[[#Headers],[20]],FDR[FDR]&amp;FDR[[#Headers],[20]],FDR[20],"",0,1)</f>
        <v>5</v>
      </c>
      <c r="AG629" cm="1">
        <f t="array" ref="AG629">_xlfn.XLOOKUP(Matrix[[#This Row],[TEAM]]&amp;Matrix[[#Headers],[21]],FDR[FDR]&amp;FDR[[#Headers],[21]],FDR[21],"",0,1)</f>
        <v>5</v>
      </c>
      <c r="AH629" cm="1">
        <f t="array" ref="AH629">_xlfn.XLOOKUP(Matrix[[#This Row],[TEAM]]&amp;Matrix[[#Headers],[22]],FDR[FDR]&amp;FDR[[#Headers],[22]],FDR[22],"",0,1)</f>
        <v>5</v>
      </c>
      <c r="AI629" cm="1">
        <f t="array" ref="AI629">_xlfn.XLOOKUP(Matrix[[#This Row],[TEAM]]&amp;Matrix[[#Headers],[23]],FDR[FDR]&amp;FDR[[#Headers],[23]],FDR[23],"",0,1)</f>
        <v>5</v>
      </c>
      <c r="AJ629" cm="1">
        <f t="array" ref="AJ629">_xlfn.XLOOKUP(Matrix[[#This Row],[TEAM]]&amp;Matrix[[#Headers],[24]],FDR[FDR]&amp;FDR[[#Headers],[24]],FDR[24],"",0,1)</f>
        <v>4</v>
      </c>
      <c r="AK629" cm="1">
        <f t="array" ref="AK629">_xlfn.XLOOKUP(Matrix[[#This Row],[TEAM]]&amp;Matrix[[#Headers],[25]],FDR[FDR]&amp;FDR[[#Headers],[25]],FDR[25],"",0,1)</f>
        <v>4</v>
      </c>
      <c r="AL629" cm="1">
        <f t="array" ref="AL629">_xlfn.XLOOKUP(Matrix[[#This Row],[TEAM]]&amp;Matrix[[#Headers],[26]],FDR[FDR]&amp;FDR[[#Headers],[26]],FDR[26],"",0,1)</f>
        <v>5</v>
      </c>
      <c r="AM629" cm="1">
        <f t="array" ref="AM629">_xlfn.XLOOKUP(Matrix[[#This Row],[TEAM]]&amp;Matrix[[#Headers],[27]],FDR[FDR]&amp;FDR[[#Headers],[27]],FDR[27],"",0,1)</f>
        <v>5</v>
      </c>
      <c r="AN629" cm="1">
        <f t="array" ref="AN629">_xlfn.XLOOKUP(Matrix[[#This Row],[TEAM]]&amp;Matrix[[#Headers],[28]],FDR[FDR]&amp;FDR[[#Headers],[28]],FDR[28],"",0,1)</f>
        <v>4</v>
      </c>
      <c r="AO629" cm="1">
        <f t="array" ref="AO629">_xlfn.XLOOKUP(Matrix[[#This Row],[TEAM]]&amp;Matrix[[#Headers],[29]],FDR[FDR]&amp;FDR[[#Headers],[29]],FDR[29],"",0,1)</f>
        <v>5</v>
      </c>
      <c r="AP629" cm="1">
        <f t="array" ref="AP629">_xlfn.XLOOKUP(Matrix[[#This Row],[TEAM]]&amp;Matrix[[#Headers],[30]],FDR[FDR]&amp;FDR[[#Headers],[30]],FDR[30],"",0,1)</f>
        <v>5</v>
      </c>
      <c r="AQ629" cm="1">
        <f t="array" ref="AQ629">_xlfn.XLOOKUP(Matrix[[#This Row],[TEAM]]&amp;Matrix[[#Headers],[31]],FDR[FDR]&amp;FDR[[#Headers],[31]],FDR[31],"",0,1)</f>
        <v>5</v>
      </c>
      <c r="AR629" cm="1">
        <f t="array" ref="AR629">_xlfn.XLOOKUP(Matrix[[#This Row],[TEAM]]&amp;Matrix[[#Headers],[32]],FDR[FDR]&amp;FDR[[#Headers],[32]],FDR[32],"",0,1)</f>
        <v>5</v>
      </c>
      <c r="AS629" cm="1">
        <f t="array" ref="AS629">_xlfn.XLOOKUP(Matrix[[#This Row],[TEAM]]&amp;Matrix[[#Headers],[33]],FDR[FDR]&amp;FDR[[#Headers],[33]],FDR[33],"",0,1)</f>
        <v>5</v>
      </c>
      <c r="AT629" cm="1">
        <f t="array" ref="AT629">_xlfn.XLOOKUP(Matrix[[#This Row],[TEAM]]&amp;Matrix[[#Headers],[34]],FDR[FDR]&amp;FDR[[#Headers],[34]],FDR[34],"",0,1)</f>
        <v>5</v>
      </c>
      <c r="AU629" cm="1">
        <f t="array" ref="AU629">_xlfn.XLOOKUP(Matrix[[#This Row],[TEAM]]&amp;Matrix[[#Headers],[35]],FDR[FDR]&amp;FDR[[#Headers],[35]],FDR[35],"",0,1)</f>
        <v>4</v>
      </c>
      <c r="AV629" cm="1">
        <f t="array" ref="AV629">_xlfn.XLOOKUP(Matrix[[#This Row],[TEAM]]&amp;Matrix[[#Headers],[36]],FDR[FDR]&amp;FDR[[#Headers],[36]],FDR[36],"",0,1)</f>
        <v>5</v>
      </c>
      <c r="AW629" cm="1">
        <f t="array" ref="AW629">_xlfn.XLOOKUP(Matrix[[#This Row],[TEAM]]&amp;Matrix[[#Headers],[37]],FDR[FDR]&amp;FDR[[#Headers],[37]],FDR[37],"",0,1)</f>
        <v>5</v>
      </c>
      <c r="AX629" cm="1">
        <f t="array" ref="AX629">_xlfn.XLOOKUP(Matrix[[#This Row],[TEAM]]&amp;Matrix[[#Headers],[38]],FDR[FDR]&amp;FDR[[#Headers],[38]],FDR[38],"",0,1)</f>
        <v>3</v>
      </c>
    </row>
    <row r="630" spans="1:50" ht="22" thickTop="1" thickBot="1">
      <c r="A630" s="51" t="s">
        <v>657</v>
      </c>
      <c r="B630" s="70" t="s">
        <v>1860</v>
      </c>
      <c r="C630" s="40" t="s">
        <v>22</v>
      </c>
      <c r="D630" s="62">
        <v>0</v>
      </c>
      <c r="E630" s="60">
        <v>2E-3</v>
      </c>
      <c r="F630" s="61">
        <v>0</v>
      </c>
      <c r="G630" s="63">
        <v>4</v>
      </c>
      <c r="H630" s="261">
        <f>IF(ISBLANK(I630),0,1)</f>
        <v>1</v>
      </c>
      <c r="I630" s="57" t="s">
        <v>891</v>
      </c>
      <c r="J630" s="58" t="s">
        <v>1982</v>
      </c>
      <c r="K630" s="65" t="s">
        <v>174</v>
      </c>
      <c r="L630" s="65" t="s">
        <v>398</v>
      </c>
      <c r="M630" cm="1">
        <f t="array" ref="M630">_xlfn.XLOOKUP(Matrix[[#This Row],[TEAM]]&amp;Matrix[[#Headers],[1]],FDR[FDR]&amp;FDR[[#Headers],[1]],FDR[1],"",0,1)</f>
        <v>5</v>
      </c>
      <c r="N630" cm="1">
        <f t="array" ref="N630">_xlfn.XLOOKUP(Matrix[[#This Row],[TEAM]]&amp;Matrix[[#Headers],[2]],FDR[FDR]&amp;FDR[[#Headers],[2]],FDR[2],"",0,1)</f>
        <v>3</v>
      </c>
      <c r="O630" cm="1">
        <f t="array" ref="O630">_xlfn.XLOOKUP(Matrix[[#This Row],[TEAM]]&amp;Matrix[[#Headers],[3]],FDR[FDR]&amp;FDR[[#Headers],[3]],FDR[3],"",0,1)</f>
        <v>5</v>
      </c>
      <c r="P630" cm="1">
        <f t="array" ref="P630">_xlfn.XLOOKUP(Matrix[[#This Row],[TEAM]]&amp;Matrix[[#Headers],[4]],FDR[FDR]&amp;FDR[[#Headers],[4]],FDR[4],"",0,1)</f>
        <v>5</v>
      </c>
      <c r="Q630" cm="1">
        <f t="array" ref="Q630">_xlfn.XLOOKUP(Matrix[[#This Row],[TEAM]]&amp;Matrix[[#Headers],[5]],FDR[FDR]&amp;FDR[[#Headers],[5]],FDR[5],"",0,1)</f>
        <v>5</v>
      </c>
      <c r="R630" cm="1">
        <f t="array" ref="R630">_xlfn.XLOOKUP(Matrix[[#This Row],[TEAM]]&amp;Matrix[[#Headers],[6]],FDR[FDR]&amp;FDR[[#Headers],[6]],FDR[6],"",0,1)</f>
        <v>5</v>
      </c>
      <c r="S630" cm="1">
        <f t="array" ref="S630">_xlfn.XLOOKUP(Matrix[[#This Row],[TEAM]]&amp;Matrix[[#Headers],[7]],FDR[FDR]&amp;FDR[[#Headers],[7]],FDR[7],"",0,1)</f>
        <v>5</v>
      </c>
      <c r="T630" cm="1">
        <f t="array" ref="T630">_xlfn.XLOOKUP(Matrix[[#This Row],[TEAM]]&amp;Matrix[[#Headers],[8]],FDR[FDR]&amp;FDR[[#Headers],[8]],FDR[8],"",0,1)</f>
        <v>3</v>
      </c>
      <c r="U630" cm="1">
        <f t="array" ref="U630">_xlfn.XLOOKUP(Matrix[[#This Row],[TEAM]]&amp;Matrix[[#Headers],[9]],FDR[FDR]&amp;FDR[[#Headers],[9]],FDR[9],"",0,1)</f>
        <v>4</v>
      </c>
      <c r="V630" cm="1">
        <f t="array" ref="V630">_xlfn.XLOOKUP(Matrix[[#This Row],[TEAM]]&amp;Matrix[[#Headers],[10]],FDR[FDR]&amp;FDR[[#Headers],[10]],FDR[10],"",0,1)</f>
        <v>5</v>
      </c>
      <c r="W630" cm="1">
        <f t="array" ref="W630">_xlfn.XLOOKUP(Matrix[[#This Row],[TEAM]]&amp;Matrix[[#Headers],[11]],FDR[FDR]&amp;FDR[[#Headers],[11]],FDR[11],"",0,1)</f>
        <v>5</v>
      </c>
      <c r="X630" cm="1">
        <f t="array" ref="X630">_xlfn.XLOOKUP(Matrix[[#This Row],[TEAM]]&amp;Matrix[[#Headers],[12]],FDR[FDR]&amp;FDR[[#Headers],[12]],FDR[12],"",0,1)</f>
        <v>5</v>
      </c>
      <c r="Y630" cm="1">
        <f t="array" ref="Y630">_xlfn.XLOOKUP(Matrix[[#This Row],[TEAM]]&amp;Matrix[[#Headers],[13]],FDR[FDR]&amp;FDR[[#Headers],[13]],FDR[13],"",0,1)</f>
        <v>5</v>
      </c>
      <c r="Z630" cm="1">
        <f t="array" ref="Z630">_xlfn.XLOOKUP(Matrix[[#This Row],[TEAM]]&amp;Matrix[[#Headers],[14]],FDR[FDR]&amp;FDR[[#Headers],[14]],FDR[14],"",0,1)</f>
        <v>4</v>
      </c>
      <c r="AA630" cm="1">
        <f t="array" ref="AA630">_xlfn.XLOOKUP(Matrix[[#This Row],[TEAM]]&amp;Matrix[[#Headers],[15]],FDR[FDR]&amp;FDR[[#Headers],[15]],FDR[15],"",0,1)</f>
        <v>5</v>
      </c>
      <c r="AB630" cm="1">
        <f t="array" ref="AB630">_xlfn.XLOOKUP(Matrix[[#This Row],[TEAM]]&amp;Matrix[[#Headers],[16]],FDR[FDR]&amp;FDR[[#Headers],[16]],FDR[16],"",0,1)</f>
        <v>5</v>
      </c>
      <c r="AC630" cm="1">
        <f t="array" ref="AC630">_xlfn.XLOOKUP(Matrix[[#This Row],[TEAM]]&amp;Matrix[[#Headers],[17]],FDR[FDR]&amp;FDR[[#Headers],[17]],FDR[17],"",0,1)</f>
        <v>5</v>
      </c>
      <c r="AD630" cm="1">
        <f t="array" ref="AD630">_xlfn.XLOOKUP(Matrix[[#This Row],[TEAM]]&amp;Matrix[[#Headers],[18]],FDR[FDR]&amp;FDR[[#Headers],[18]],FDR[18],"",0,1)</f>
        <v>4</v>
      </c>
      <c r="AE630" cm="1">
        <f t="array" ref="AE630">_xlfn.XLOOKUP(Matrix[[#This Row],[TEAM]]&amp;Matrix[[#Headers],[19]],FDR[FDR]&amp;FDR[[#Headers],[19]],FDR[19],"",0,1)</f>
        <v>5</v>
      </c>
      <c r="AF630" cm="1">
        <f t="array" ref="AF630">_xlfn.XLOOKUP(Matrix[[#This Row],[TEAM]]&amp;Matrix[[#Headers],[20]],FDR[FDR]&amp;FDR[[#Headers],[20]],FDR[20],"",0,1)</f>
        <v>5</v>
      </c>
      <c r="AG630" cm="1">
        <f t="array" ref="AG630">_xlfn.XLOOKUP(Matrix[[#This Row],[TEAM]]&amp;Matrix[[#Headers],[21]],FDR[FDR]&amp;FDR[[#Headers],[21]],FDR[21],"",0,1)</f>
        <v>5</v>
      </c>
      <c r="AH630" cm="1">
        <f t="array" ref="AH630">_xlfn.XLOOKUP(Matrix[[#This Row],[TEAM]]&amp;Matrix[[#Headers],[22]],FDR[FDR]&amp;FDR[[#Headers],[22]],FDR[22],"",0,1)</f>
        <v>5</v>
      </c>
      <c r="AI630" cm="1">
        <f t="array" ref="AI630">_xlfn.XLOOKUP(Matrix[[#This Row],[TEAM]]&amp;Matrix[[#Headers],[23]],FDR[FDR]&amp;FDR[[#Headers],[23]],FDR[23],"",0,1)</f>
        <v>5</v>
      </c>
      <c r="AJ630" cm="1">
        <f t="array" ref="AJ630">_xlfn.XLOOKUP(Matrix[[#This Row],[TEAM]]&amp;Matrix[[#Headers],[24]],FDR[FDR]&amp;FDR[[#Headers],[24]],FDR[24],"",0,1)</f>
        <v>4</v>
      </c>
      <c r="AK630" cm="1">
        <f t="array" ref="AK630">_xlfn.XLOOKUP(Matrix[[#This Row],[TEAM]]&amp;Matrix[[#Headers],[25]],FDR[FDR]&amp;FDR[[#Headers],[25]],FDR[25],"",0,1)</f>
        <v>4</v>
      </c>
      <c r="AL630" cm="1">
        <f t="array" ref="AL630">_xlfn.XLOOKUP(Matrix[[#This Row],[TEAM]]&amp;Matrix[[#Headers],[26]],FDR[FDR]&amp;FDR[[#Headers],[26]],FDR[26],"",0,1)</f>
        <v>5</v>
      </c>
      <c r="AM630" cm="1">
        <f t="array" ref="AM630">_xlfn.XLOOKUP(Matrix[[#This Row],[TEAM]]&amp;Matrix[[#Headers],[27]],FDR[FDR]&amp;FDR[[#Headers],[27]],FDR[27],"",0,1)</f>
        <v>5</v>
      </c>
      <c r="AN630" cm="1">
        <f t="array" ref="AN630">_xlfn.XLOOKUP(Matrix[[#This Row],[TEAM]]&amp;Matrix[[#Headers],[28]],FDR[FDR]&amp;FDR[[#Headers],[28]],FDR[28],"",0,1)</f>
        <v>4</v>
      </c>
      <c r="AO630" cm="1">
        <f t="array" ref="AO630">_xlfn.XLOOKUP(Matrix[[#This Row],[TEAM]]&amp;Matrix[[#Headers],[29]],FDR[FDR]&amp;FDR[[#Headers],[29]],FDR[29],"",0,1)</f>
        <v>5</v>
      </c>
      <c r="AP630" cm="1">
        <f t="array" ref="AP630">_xlfn.XLOOKUP(Matrix[[#This Row],[TEAM]]&amp;Matrix[[#Headers],[30]],FDR[FDR]&amp;FDR[[#Headers],[30]],FDR[30],"",0,1)</f>
        <v>5</v>
      </c>
      <c r="AQ630" cm="1">
        <f t="array" ref="AQ630">_xlfn.XLOOKUP(Matrix[[#This Row],[TEAM]]&amp;Matrix[[#Headers],[31]],FDR[FDR]&amp;FDR[[#Headers],[31]],FDR[31],"",0,1)</f>
        <v>5</v>
      </c>
      <c r="AR630" cm="1">
        <f t="array" ref="AR630">_xlfn.XLOOKUP(Matrix[[#This Row],[TEAM]]&amp;Matrix[[#Headers],[32]],FDR[FDR]&amp;FDR[[#Headers],[32]],FDR[32],"",0,1)</f>
        <v>5</v>
      </c>
      <c r="AS630" cm="1">
        <f t="array" ref="AS630">_xlfn.XLOOKUP(Matrix[[#This Row],[TEAM]]&amp;Matrix[[#Headers],[33]],FDR[FDR]&amp;FDR[[#Headers],[33]],FDR[33],"",0,1)</f>
        <v>5</v>
      </c>
      <c r="AT630" cm="1">
        <f t="array" ref="AT630">_xlfn.XLOOKUP(Matrix[[#This Row],[TEAM]]&amp;Matrix[[#Headers],[34]],FDR[FDR]&amp;FDR[[#Headers],[34]],FDR[34],"",0,1)</f>
        <v>5</v>
      </c>
      <c r="AU630" cm="1">
        <f t="array" ref="AU630">_xlfn.XLOOKUP(Matrix[[#This Row],[TEAM]]&amp;Matrix[[#Headers],[35]],FDR[FDR]&amp;FDR[[#Headers],[35]],FDR[35],"",0,1)</f>
        <v>4</v>
      </c>
      <c r="AV630" cm="1">
        <f t="array" ref="AV630">_xlfn.XLOOKUP(Matrix[[#This Row],[TEAM]]&amp;Matrix[[#Headers],[36]],FDR[FDR]&amp;FDR[[#Headers],[36]],FDR[36],"",0,1)</f>
        <v>5</v>
      </c>
      <c r="AW630" cm="1">
        <f t="array" ref="AW630">_xlfn.XLOOKUP(Matrix[[#This Row],[TEAM]]&amp;Matrix[[#Headers],[37]],FDR[FDR]&amp;FDR[[#Headers],[37]],FDR[37],"",0,1)</f>
        <v>5</v>
      </c>
      <c r="AX630" cm="1">
        <f t="array" ref="AX630">_xlfn.XLOOKUP(Matrix[[#This Row],[TEAM]]&amp;Matrix[[#Headers],[38]],FDR[FDR]&amp;FDR[[#Headers],[38]],FDR[38],"",0,1)</f>
        <v>3</v>
      </c>
    </row>
    <row r="631" spans="1:50" ht="22" thickTop="1" thickBot="1">
      <c r="A631" s="51" t="s">
        <v>657</v>
      </c>
      <c r="B631" s="70" t="s">
        <v>1858</v>
      </c>
      <c r="C631" s="40" t="s">
        <v>22</v>
      </c>
      <c r="D631" s="62">
        <v>0</v>
      </c>
      <c r="E631" s="60">
        <v>2E-3</v>
      </c>
      <c r="F631" s="61">
        <v>0</v>
      </c>
      <c r="G631" s="63">
        <v>4</v>
      </c>
      <c r="H631" s="261">
        <f>IF(ISBLANK(I631),0,1)</f>
        <v>1</v>
      </c>
      <c r="I631" s="57" t="s">
        <v>1985</v>
      </c>
      <c r="J631" s="58" t="s">
        <v>2000</v>
      </c>
      <c r="K631" s="65" t="s">
        <v>1044</v>
      </c>
      <c r="L631" s="65" t="s">
        <v>1045</v>
      </c>
      <c r="M631" cm="1">
        <f t="array" ref="M631">_xlfn.XLOOKUP(Matrix[[#This Row],[TEAM]]&amp;Matrix[[#Headers],[1]],FDR[FDR]&amp;FDR[[#Headers],[1]],FDR[1],"",0,1)</f>
        <v>5</v>
      </c>
      <c r="N631" cm="1">
        <f t="array" ref="N631">_xlfn.XLOOKUP(Matrix[[#This Row],[TEAM]]&amp;Matrix[[#Headers],[2]],FDR[FDR]&amp;FDR[[#Headers],[2]],FDR[2],"",0,1)</f>
        <v>3</v>
      </c>
      <c r="O631" cm="1">
        <f t="array" ref="O631">_xlfn.XLOOKUP(Matrix[[#This Row],[TEAM]]&amp;Matrix[[#Headers],[3]],FDR[FDR]&amp;FDR[[#Headers],[3]],FDR[3],"",0,1)</f>
        <v>5</v>
      </c>
      <c r="P631" cm="1">
        <f t="array" ref="P631">_xlfn.XLOOKUP(Matrix[[#This Row],[TEAM]]&amp;Matrix[[#Headers],[4]],FDR[FDR]&amp;FDR[[#Headers],[4]],FDR[4],"",0,1)</f>
        <v>5</v>
      </c>
      <c r="Q631" cm="1">
        <f t="array" ref="Q631">_xlfn.XLOOKUP(Matrix[[#This Row],[TEAM]]&amp;Matrix[[#Headers],[5]],FDR[FDR]&amp;FDR[[#Headers],[5]],FDR[5],"",0,1)</f>
        <v>5</v>
      </c>
      <c r="R631" cm="1">
        <f t="array" ref="R631">_xlfn.XLOOKUP(Matrix[[#This Row],[TEAM]]&amp;Matrix[[#Headers],[6]],FDR[FDR]&amp;FDR[[#Headers],[6]],FDR[6],"",0,1)</f>
        <v>5</v>
      </c>
      <c r="S631" cm="1">
        <f t="array" ref="S631">_xlfn.XLOOKUP(Matrix[[#This Row],[TEAM]]&amp;Matrix[[#Headers],[7]],FDR[FDR]&amp;FDR[[#Headers],[7]],FDR[7],"",0,1)</f>
        <v>5</v>
      </c>
      <c r="T631" cm="1">
        <f t="array" ref="T631">_xlfn.XLOOKUP(Matrix[[#This Row],[TEAM]]&amp;Matrix[[#Headers],[8]],FDR[FDR]&amp;FDR[[#Headers],[8]],FDR[8],"",0,1)</f>
        <v>3</v>
      </c>
      <c r="U631" cm="1">
        <f t="array" ref="U631">_xlfn.XLOOKUP(Matrix[[#This Row],[TEAM]]&amp;Matrix[[#Headers],[9]],FDR[FDR]&amp;FDR[[#Headers],[9]],FDR[9],"",0,1)</f>
        <v>4</v>
      </c>
      <c r="V631" cm="1">
        <f t="array" ref="V631">_xlfn.XLOOKUP(Matrix[[#This Row],[TEAM]]&amp;Matrix[[#Headers],[10]],FDR[FDR]&amp;FDR[[#Headers],[10]],FDR[10],"",0,1)</f>
        <v>5</v>
      </c>
      <c r="W631" cm="1">
        <f t="array" ref="W631">_xlfn.XLOOKUP(Matrix[[#This Row],[TEAM]]&amp;Matrix[[#Headers],[11]],FDR[FDR]&amp;FDR[[#Headers],[11]],FDR[11],"",0,1)</f>
        <v>5</v>
      </c>
      <c r="X631" cm="1">
        <f t="array" ref="X631">_xlfn.XLOOKUP(Matrix[[#This Row],[TEAM]]&amp;Matrix[[#Headers],[12]],FDR[FDR]&amp;FDR[[#Headers],[12]],FDR[12],"",0,1)</f>
        <v>5</v>
      </c>
      <c r="Y631" cm="1">
        <f t="array" ref="Y631">_xlfn.XLOOKUP(Matrix[[#This Row],[TEAM]]&amp;Matrix[[#Headers],[13]],FDR[FDR]&amp;FDR[[#Headers],[13]],FDR[13],"",0,1)</f>
        <v>5</v>
      </c>
      <c r="Z631" cm="1">
        <f t="array" ref="Z631">_xlfn.XLOOKUP(Matrix[[#This Row],[TEAM]]&amp;Matrix[[#Headers],[14]],FDR[FDR]&amp;FDR[[#Headers],[14]],FDR[14],"",0,1)</f>
        <v>4</v>
      </c>
      <c r="AA631" cm="1">
        <f t="array" ref="AA631">_xlfn.XLOOKUP(Matrix[[#This Row],[TEAM]]&amp;Matrix[[#Headers],[15]],FDR[FDR]&amp;FDR[[#Headers],[15]],FDR[15],"",0,1)</f>
        <v>5</v>
      </c>
      <c r="AB631" cm="1">
        <f t="array" ref="AB631">_xlfn.XLOOKUP(Matrix[[#This Row],[TEAM]]&amp;Matrix[[#Headers],[16]],FDR[FDR]&amp;FDR[[#Headers],[16]],FDR[16],"",0,1)</f>
        <v>5</v>
      </c>
      <c r="AC631" cm="1">
        <f t="array" ref="AC631">_xlfn.XLOOKUP(Matrix[[#This Row],[TEAM]]&amp;Matrix[[#Headers],[17]],FDR[FDR]&amp;FDR[[#Headers],[17]],FDR[17],"",0,1)</f>
        <v>5</v>
      </c>
      <c r="AD631" cm="1">
        <f t="array" ref="AD631">_xlfn.XLOOKUP(Matrix[[#This Row],[TEAM]]&amp;Matrix[[#Headers],[18]],FDR[FDR]&amp;FDR[[#Headers],[18]],FDR[18],"",0,1)</f>
        <v>4</v>
      </c>
      <c r="AE631" cm="1">
        <f t="array" ref="AE631">_xlfn.XLOOKUP(Matrix[[#This Row],[TEAM]]&amp;Matrix[[#Headers],[19]],FDR[FDR]&amp;FDR[[#Headers],[19]],FDR[19],"",0,1)</f>
        <v>5</v>
      </c>
      <c r="AF631" cm="1">
        <f t="array" ref="AF631">_xlfn.XLOOKUP(Matrix[[#This Row],[TEAM]]&amp;Matrix[[#Headers],[20]],FDR[FDR]&amp;FDR[[#Headers],[20]],FDR[20],"",0,1)</f>
        <v>5</v>
      </c>
      <c r="AG631" cm="1">
        <f t="array" ref="AG631">_xlfn.XLOOKUP(Matrix[[#This Row],[TEAM]]&amp;Matrix[[#Headers],[21]],FDR[FDR]&amp;FDR[[#Headers],[21]],FDR[21],"",0,1)</f>
        <v>5</v>
      </c>
      <c r="AH631" cm="1">
        <f t="array" ref="AH631">_xlfn.XLOOKUP(Matrix[[#This Row],[TEAM]]&amp;Matrix[[#Headers],[22]],FDR[FDR]&amp;FDR[[#Headers],[22]],FDR[22],"",0,1)</f>
        <v>5</v>
      </c>
      <c r="AI631" cm="1">
        <f t="array" ref="AI631">_xlfn.XLOOKUP(Matrix[[#This Row],[TEAM]]&amp;Matrix[[#Headers],[23]],FDR[FDR]&amp;FDR[[#Headers],[23]],FDR[23],"",0,1)</f>
        <v>5</v>
      </c>
      <c r="AJ631" cm="1">
        <f t="array" ref="AJ631">_xlfn.XLOOKUP(Matrix[[#This Row],[TEAM]]&amp;Matrix[[#Headers],[24]],FDR[FDR]&amp;FDR[[#Headers],[24]],FDR[24],"",0,1)</f>
        <v>4</v>
      </c>
      <c r="AK631" cm="1">
        <f t="array" ref="AK631">_xlfn.XLOOKUP(Matrix[[#This Row],[TEAM]]&amp;Matrix[[#Headers],[25]],FDR[FDR]&amp;FDR[[#Headers],[25]],FDR[25],"",0,1)</f>
        <v>4</v>
      </c>
      <c r="AL631" cm="1">
        <f t="array" ref="AL631">_xlfn.XLOOKUP(Matrix[[#This Row],[TEAM]]&amp;Matrix[[#Headers],[26]],FDR[FDR]&amp;FDR[[#Headers],[26]],FDR[26],"",0,1)</f>
        <v>5</v>
      </c>
      <c r="AM631" cm="1">
        <f t="array" ref="AM631">_xlfn.XLOOKUP(Matrix[[#This Row],[TEAM]]&amp;Matrix[[#Headers],[27]],FDR[FDR]&amp;FDR[[#Headers],[27]],FDR[27],"",0,1)</f>
        <v>5</v>
      </c>
      <c r="AN631" cm="1">
        <f t="array" ref="AN631">_xlfn.XLOOKUP(Matrix[[#This Row],[TEAM]]&amp;Matrix[[#Headers],[28]],FDR[FDR]&amp;FDR[[#Headers],[28]],FDR[28],"",0,1)</f>
        <v>4</v>
      </c>
      <c r="AO631" cm="1">
        <f t="array" ref="AO631">_xlfn.XLOOKUP(Matrix[[#This Row],[TEAM]]&amp;Matrix[[#Headers],[29]],FDR[FDR]&amp;FDR[[#Headers],[29]],FDR[29],"",0,1)</f>
        <v>5</v>
      </c>
      <c r="AP631" cm="1">
        <f t="array" ref="AP631">_xlfn.XLOOKUP(Matrix[[#This Row],[TEAM]]&amp;Matrix[[#Headers],[30]],FDR[FDR]&amp;FDR[[#Headers],[30]],FDR[30],"",0,1)</f>
        <v>5</v>
      </c>
      <c r="AQ631" cm="1">
        <f t="array" ref="AQ631">_xlfn.XLOOKUP(Matrix[[#This Row],[TEAM]]&amp;Matrix[[#Headers],[31]],FDR[FDR]&amp;FDR[[#Headers],[31]],FDR[31],"",0,1)</f>
        <v>5</v>
      </c>
      <c r="AR631" cm="1">
        <f t="array" ref="AR631">_xlfn.XLOOKUP(Matrix[[#This Row],[TEAM]]&amp;Matrix[[#Headers],[32]],FDR[FDR]&amp;FDR[[#Headers],[32]],FDR[32],"",0,1)</f>
        <v>5</v>
      </c>
      <c r="AS631" cm="1">
        <f t="array" ref="AS631">_xlfn.XLOOKUP(Matrix[[#This Row],[TEAM]]&amp;Matrix[[#Headers],[33]],FDR[FDR]&amp;FDR[[#Headers],[33]],FDR[33],"",0,1)</f>
        <v>5</v>
      </c>
      <c r="AT631" cm="1">
        <f t="array" ref="AT631">_xlfn.XLOOKUP(Matrix[[#This Row],[TEAM]]&amp;Matrix[[#Headers],[34]],FDR[FDR]&amp;FDR[[#Headers],[34]],FDR[34],"",0,1)</f>
        <v>5</v>
      </c>
      <c r="AU631" cm="1">
        <f t="array" ref="AU631">_xlfn.XLOOKUP(Matrix[[#This Row],[TEAM]]&amp;Matrix[[#Headers],[35]],FDR[FDR]&amp;FDR[[#Headers],[35]],FDR[35],"",0,1)</f>
        <v>4</v>
      </c>
      <c r="AV631" cm="1">
        <f t="array" ref="AV631">_xlfn.XLOOKUP(Matrix[[#This Row],[TEAM]]&amp;Matrix[[#Headers],[36]],FDR[FDR]&amp;FDR[[#Headers],[36]],FDR[36],"",0,1)</f>
        <v>5</v>
      </c>
      <c r="AW631" cm="1">
        <f t="array" ref="AW631">_xlfn.XLOOKUP(Matrix[[#This Row],[TEAM]]&amp;Matrix[[#Headers],[37]],FDR[FDR]&amp;FDR[[#Headers],[37]],FDR[37],"",0,1)</f>
        <v>5</v>
      </c>
      <c r="AX631" cm="1">
        <f t="array" ref="AX631">_xlfn.XLOOKUP(Matrix[[#This Row],[TEAM]]&amp;Matrix[[#Headers],[38]],FDR[FDR]&amp;FDR[[#Headers],[38]],FDR[38],"",0,1)</f>
        <v>3</v>
      </c>
    </row>
    <row r="632" spans="1:50" ht="22" thickTop="1" thickBot="1">
      <c r="A632" s="51" t="s">
        <v>657</v>
      </c>
      <c r="B632" s="70" t="s">
        <v>1867</v>
      </c>
      <c r="C632" s="40" t="s">
        <v>633</v>
      </c>
      <c r="D632" s="62">
        <v>0</v>
      </c>
      <c r="E632" s="60">
        <v>2E-3</v>
      </c>
      <c r="F632" s="61">
        <v>0</v>
      </c>
      <c r="G632" s="63">
        <v>4</v>
      </c>
      <c r="H632" s="261">
        <f>IF(ISBLANK(I632),0,1)</f>
        <v>1</v>
      </c>
      <c r="I632" s="57" t="s">
        <v>992</v>
      </c>
      <c r="J632" s="58">
        <v>0.75</v>
      </c>
      <c r="K632" s="65" t="s">
        <v>1073</v>
      </c>
      <c r="L632" s="65" t="s">
        <v>1074</v>
      </c>
      <c r="M632" cm="1">
        <f t="array" ref="M632">_xlfn.XLOOKUP(Matrix[[#This Row],[TEAM]]&amp;Matrix[[#Headers],[1]],FDR[FDR]&amp;FDR[[#Headers],[1]],FDR[1],"",0,1)</f>
        <v>4</v>
      </c>
      <c r="N632" cm="1">
        <f t="array" ref="N632">_xlfn.XLOOKUP(Matrix[[#This Row],[TEAM]]&amp;Matrix[[#Headers],[2]],FDR[FDR]&amp;FDR[[#Headers],[2]],FDR[2],"",0,1)</f>
        <v>5</v>
      </c>
      <c r="O632" cm="1">
        <f t="array" ref="O632">_xlfn.XLOOKUP(Matrix[[#This Row],[TEAM]]&amp;Matrix[[#Headers],[3]],FDR[FDR]&amp;FDR[[#Headers],[3]],FDR[3],"",0,1)</f>
        <v>5</v>
      </c>
      <c r="P632" cm="1">
        <f t="array" ref="P632">_xlfn.XLOOKUP(Matrix[[#This Row],[TEAM]]&amp;Matrix[[#Headers],[4]],FDR[FDR]&amp;FDR[[#Headers],[4]],FDR[4],"",0,1)</f>
        <v>5</v>
      </c>
      <c r="Q632" cm="1">
        <f t="array" ref="Q632">_xlfn.XLOOKUP(Matrix[[#This Row],[TEAM]]&amp;Matrix[[#Headers],[5]],FDR[FDR]&amp;FDR[[#Headers],[5]],FDR[5],"",0,1)</f>
        <v>4</v>
      </c>
      <c r="R632" cm="1">
        <f t="array" ref="R632">_xlfn.XLOOKUP(Matrix[[#This Row],[TEAM]]&amp;Matrix[[#Headers],[6]],FDR[FDR]&amp;FDR[[#Headers],[6]],FDR[6],"",0,1)</f>
        <v>5</v>
      </c>
      <c r="S632" cm="1">
        <f t="array" ref="S632">_xlfn.XLOOKUP(Matrix[[#This Row],[TEAM]]&amp;Matrix[[#Headers],[7]],FDR[FDR]&amp;FDR[[#Headers],[7]],FDR[7],"",0,1)</f>
        <v>5</v>
      </c>
      <c r="T632" cm="1">
        <f t="array" ref="T632">_xlfn.XLOOKUP(Matrix[[#This Row],[TEAM]]&amp;Matrix[[#Headers],[8]],FDR[FDR]&amp;FDR[[#Headers],[8]],FDR[8],"",0,1)</f>
        <v>4</v>
      </c>
      <c r="U632" cm="1">
        <f t="array" ref="U632">_xlfn.XLOOKUP(Matrix[[#This Row],[TEAM]]&amp;Matrix[[#Headers],[9]],FDR[FDR]&amp;FDR[[#Headers],[9]],FDR[9],"",0,1)</f>
        <v>4</v>
      </c>
      <c r="V632" cm="1">
        <f t="array" ref="V632">_xlfn.XLOOKUP(Matrix[[#This Row],[TEAM]]&amp;Matrix[[#Headers],[10]],FDR[FDR]&amp;FDR[[#Headers],[10]],FDR[10],"",0,1)</f>
        <v>5</v>
      </c>
      <c r="W632" cm="1">
        <f t="array" ref="W632">_xlfn.XLOOKUP(Matrix[[#This Row],[TEAM]]&amp;Matrix[[#Headers],[11]],FDR[FDR]&amp;FDR[[#Headers],[11]],FDR[11],"",0,1)</f>
        <v>5</v>
      </c>
      <c r="X632" cm="1">
        <f t="array" ref="X632">_xlfn.XLOOKUP(Matrix[[#This Row],[TEAM]]&amp;Matrix[[#Headers],[12]],FDR[FDR]&amp;FDR[[#Headers],[12]],FDR[12],"",0,1)</f>
        <v>5</v>
      </c>
      <c r="Y632" cm="1">
        <f t="array" ref="Y632">_xlfn.XLOOKUP(Matrix[[#This Row],[TEAM]]&amp;Matrix[[#Headers],[13]],FDR[FDR]&amp;FDR[[#Headers],[13]],FDR[13],"",0,1)</f>
        <v>5</v>
      </c>
      <c r="Z632" cm="1">
        <f t="array" ref="Z632">_xlfn.XLOOKUP(Matrix[[#This Row],[TEAM]]&amp;Matrix[[#Headers],[14]],FDR[FDR]&amp;FDR[[#Headers],[14]],FDR[14],"",0,1)</f>
        <v>5</v>
      </c>
      <c r="AA632" cm="1">
        <f t="array" ref="AA632">_xlfn.XLOOKUP(Matrix[[#This Row],[TEAM]]&amp;Matrix[[#Headers],[15]],FDR[FDR]&amp;FDR[[#Headers],[15]],FDR[15],"",0,1)</f>
        <v>5</v>
      </c>
      <c r="AB632" cm="1">
        <f t="array" ref="AB632">_xlfn.XLOOKUP(Matrix[[#This Row],[TEAM]]&amp;Matrix[[#Headers],[16]],FDR[FDR]&amp;FDR[[#Headers],[16]],FDR[16],"",0,1)</f>
        <v>5</v>
      </c>
      <c r="AC632" cm="1">
        <f t="array" ref="AC632">_xlfn.XLOOKUP(Matrix[[#This Row],[TEAM]]&amp;Matrix[[#Headers],[17]],FDR[FDR]&amp;FDR[[#Headers],[17]],FDR[17],"",0,1)</f>
        <v>4</v>
      </c>
      <c r="AD632" cm="1">
        <f t="array" ref="AD632">_xlfn.XLOOKUP(Matrix[[#This Row],[TEAM]]&amp;Matrix[[#Headers],[18]],FDR[FDR]&amp;FDR[[#Headers],[18]],FDR[18],"",0,1)</f>
        <v>4</v>
      </c>
      <c r="AE632" cm="1">
        <f t="array" ref="AE632">_xlfn.XLOOKUP(Matrix[[#This Row],[TEAM]]&amp;Matrix[[#Headers],[19]],FDR[FDR]&amp;FDR[[#Headers],[19]],FDR[19],"",0,1)</f>
        <v>5</v>
      </c>
      <c r="AF632" cm="1">
        <f t="array" ref="AF632">_xlfn.XLOOKUP(Matrix[[#This Row],[TEAM]]&amp;Matrix[[#Headers],[20]],FDR[FDR]&amp;FDR[[#Headers],[20]],FDR[20],"",0,1)</f>
        <v>5</v>
      </c>
      <c r="AG632" cm="1">
        <f t="array" ref="AG632">_xlfn.XLOOKUP(Matrix[[#This Row],[TEAM]]&amp;Matrix[[#Headers],[21]],FDR[FDR]&amp;FDR[[#Headers],[21]],FDR[21],"",0,1)</f>
        <v>5</v>
      </c>
      <c r="AH632" cm="1">
        <f t="array" ref="AH632">_xlfn.XLOOKUP(Matrix[[#This Row],[TEAM]]&amp;Matrix[[#Headers],[22]],FDR[FDR]&amp;FDR[[#Headers],[22]],FDR[22],"",0,1)</f>
        <v>5</v>
      </c>
      <c r="AI632" cm="1">
        <f t="array" ref="AI632">_xlfn.XLOOKUP(Matrix[[#This Row],[TEAM]]&amp;Matrix[[#Headers],[23]],FDR[FDR]&amp;FDR[[#Headers],[23]],FDR[23],"",0,1)</f>
        <v>5</v>
      </c>
      <c r="AJ632" cm="1">
        <f t="array" ref="AJ632">_xlfn.XLOOKUP(Matrix[[#This Row],[TEAM]]&amp;Matrix[[#Headers],[24]],FDR[FDR]&amp;FDR[[#Headers],[24]],FDR[24],"",0,1)</f>
        <v>5</v>
      </c>
      <c r="AK632" cm="1">
        <f t="array" ref="AK632">_xlfn.XLOOKUP(Matrix[[#This Row],[TEAM]]&amp;Matrix[[#Headers],[25]],FDR[FDR]&amp;FDR[[#Headers],[25]],FDR[25],"",0,1)</f>
        <v>5</v>
      </c>
      <c r="AL632" cm="1">
        <f t="array" ref="AL632">_xlfn.XLOOKUP(Matrix[[#This Row],[TEAM]]&amp;Matrix[[#Headers],[26]],FDR[FDR]&amp;FDR[[#Headers],[26]],FDR[26],"",0,1)</f>
        <v>5</v>
      </c>
      <c r="AM632" cm="1">
        <f t="array" ref="AM632">_xlfn.XLOOKUP(Matrix[[#This Row],[TEAM]]&amp;Matrix[[#Headers],[27]],FDR[FDR]&amp;FDR[[#Headers],[27]],FDR[27],"",0,1)</f>
        <v>5</v>
      </c>
      <c r="AN632" cm="1">
        <f t="array" ref="AN632">_xlfn.XLOOKUP(Matrix[[#This Row],[TEAM]]&amp;Matrix[[#Headers],[28]],FDR[FDR]&amp;FDR[[#Headers],[28]],FDR[28],"",0,1)</f>
        <v>5</v>
      </c>
      <c r="AO632" cm="1">
        <f t="array" ref="AO632">_xlfn.XLOOKUP(Matrix[[#This Row],[TEAM]]&amp;Matrix[[#Headers],[29]],FDR[FDR]&amp;FDR[[#Headers],[29]],FDR[29],"",0,1)</f>
        <v>3</v>
      </c>
      <c r="AP632" cm="1">
        <f t="array" ref="AP632">_xlfn.XLOOKUP(Matrix[[#This Row],[TEAM]]&amp;Matrix[[#Headers],[30]],FDR[FDR]&amp;FDR[[#Headers],[30]],FDR[30],"",0,1)</f>
        <v>5</v>
      </c>
      <c r="AQ632" cm="1">
        <f t="array" ref="AQ632">_xlfn.XLOOKUP(Matrix[[#This Row],[TEAM]]&amp;Matrix[[#Headers],[31]],FDR[FDR]&amp;FDR[[#Headers],[31]],FDR[31],"",0,1)</f>
        <v>4</v>
      </c>
      <c r="AR632" cm="1">
        <f t="array" ref="AR632">_xlfn.XLOOKUP(Matrix[[#This Row],[TEAM]]&amp;Matrix[[#Headers],[32]],FDR[FDR]&amp;FDR[[#Headers],[32]],FDR[32],"",0,1)</f>
        <v>5</v>
      </c>
      <c r="AS632" cm="1">
        <f t="array" ref="AS632">_xlfn.XLOOKUP(Matrix[[#This Row],[TEAM]]&amp;Matrix[[#Headers],[33]],FDR[FDR]&amp;FDR[[#Headers],[33]],FDR[33],"",0,1)</f>
        <v>3</v>
      </c>
      <c r="AT632" cm="1">
        <f t="array" ref="AT632">_xlfn.XLOOKUP(Matrix[[#This Row],[TEAM]]&amp;Matrix[[#Headers],[34]],FDR[FDR]&amp;FDR[[#Headers],[34]],FDR[34],"",0,1)</f>
        <v>5</v>
      </c>
      <c r="AU632" cm="1">
        <f t="array" ref="AU632">_xlfn.XLOOKUP(Matrix[[#This Row],[TEAM]]&amp;Matrix[[#Headers],[35]],FDR[FDR]&amp;FDR[[#Headers],[35]],FDR[35],"",0,1)</f>
        <v>3</v>
      </c>
      <c r="AV632" cm="1">
        <f t="array" ref="AV632">_xlfn.XLOOKUP(Matrix[[#This Row],[TEAM]]&amp;Matrix[[#Headers],[36]],FDR[FDR]&amp;FDR[[#Headers],[36]],FDR[36],"",0,1)</f>
        <v>5</v>
      </c>
      <c r="AW632" cm="1">
        <f t="array" ref="AW632">_xlfn.XLOOKUP(Matrix[[#This Row],[TEAM]]&amp;Matrix[[#Headers],[37]],FDR[FDR]&amp;FDR[[#Headers],[37]],FDR[37],"",0,1)</f>
        <v>5</v>
      </c>
      <c r="AX632" cm="1">
        <f t="array" ref="AX632">_xlfn.XLOOKUP(Matrix[[#This Row],[TEAM]]&amp;Matrix[[#Headers],[38]],FDR[FDR]&amp;FDR[[#Headers],[38]],FDR[38],"",0,1)</f>
        <v>5</v>
      </c>
    </row>
    <row r="633" spans="1:50" ht="22" thickTop="1" thickBot="1">
      <c r="A633" s="51" t="s">
        <v>657</v>
      </c>
      <c r="B633" s="70" t="s">
        <v>1883</v>
      </c>
      <c r="C633" s="40" t="s">
        <v>633</v>
      </c>
      <c r="D633" s="62">
        <v>0</v>
      </c>
      <c r="E633" s="60">
        <v>1E-3</v>
      </c>
      <c r="F633" s="61">
        <v>0</v>
      </c>
      <c r="G633" s="63">
        <v>4</v>
      </c>
      <c r="H633" s="261">
        <f>IF(ISBLANK(I633),0,1)</f>
        <v>1</v>
      </c>
      <c r="I633" s="57" t="s">
        <v>837</v>
      </c>
      <c r="J633" s="58" t="s">
        <v>991</v>
      </c>
      <c r="K633" s="65" t="s">
        <v>1071</v>
      </c>
      <c r="L633" s="65" t="s">
        <v>1072</v>
      </c>
      <c r="M633" cm="1">
        <f t="array" ref="M633">_xlfn.XLOOKUP(Matrix[[#This Row],[TEAM]]&amp;Matrix[[#Headers],[1]],FDR[FDR]&amp;FDR[[#Headers],[1]],FDR[1],"",0,1)</f>
        <v>4</v>
      </c>
      <c r="N633" cm="1">
        <f t="array" ref="N633">_xlfn.XLOOKUP(Matrix[[#This Row],[TEAM]]&amp;Matrix[[#Headers],[2]],FDR[FDR]&amp;FDR[[#Headers],[2]],FDR[2],"",0,1)</f>
        <v>5</v>
      </c>
      <c r="O633" cm="1">
        <f t="array" ref="O633">_xlfn.XLOOKUP(Matrix[[#This Row],[TEAM]]&amp;Matrix[[#Headers],[3]],FDR[FDR]&amp;FDR[[#Headers],[3]],FDR[3],"",0,1)</f>
        <v>5</v>
      </c>
      <c r="P633" cm="1">
        <f t="array" ref="P633">_xlfn.XLOOKUP(Matrix[[#This Row],[TEAM]]&amp;Matrix[[#Headers],[4]],FDR[FDR]&amp;FDR[[#Headers],[4]],FDR[4],"",0,1)</f>
        <v>5</v>
      </c>
      <c r="Q633" cm="1">
        <f t="array" ref="Q633">_xlfn.XLOOKUP(Matrix[[#This Row],[TEAM]]&amp;Matrix[[#Headers],[5]],FDR[FDR]&amp;FDR[[#Headers],[5]],FDR[5],"",0,1)</f>
        <v>4</v>
      </c>
      <c r="R633" cm="1">
        <f t="array" ref="R633">_xlfn.XLOOKUP(Matrix[[#This Row],[TEAM]]&amp;Matrix[[#Headers],[6]],FDR[FDR]&amp;FDR[[#Headers],[6]],FDR[6],"",0,1)</f>
        <v>5</v>
      </c>
      <c r="S633" cm="1">
        <f t="array" ref="S633">_xlfn.XLOOKUP(Matrix[[#This Row],[TEAM]]&amp;Matrix[[#Headers],[7]],FDR[FDR]&amp;FDR[[#Headers],[7]],FDR[7],"",0,1)</f>
        <v>5</v>
      </c>
      <c r="T633" cm="1">
        <f t="array" ref="T633">_xlfn.XLOOKUP(Matrix[[#This Row],[TEAM]]&amp;Matrix[[#Headers],[8]],FDR[FDR]&amp;FDR[[#Headers],[8]],FDR[8],"",0,1)</f>
        <v>4</v>
      </c>
      <c r="U633" cm="1">
        <f t="array" ref="U633">_xlfn.XLOOKUP(Matrix[[#This Row],[TEAM]]&amp;Matrix[[#Headers],[9]],FDR[FDR]&amp;FDR[[#Headers],[9]],FDR[9],"",0,1)</f>
        <v>4</v>
      </c>
      <c r="V633" cm="1">
        <f t="array" ref="V633">_xlfn.XLOOKUP(Matrix[[#This Row],[TEAM]]&amp;Matrix[[#Headers],[10]],FDR[FDR]&amp;FDR[[#Headers],[10]],FDR[10],"",0,1)</f>
        <v>5</v>
      </c>
      <c r="W633" cm="1">
        <f t="array" ref="W633">_xlfn.XLOOKUP(Matrix[[#This Row],[TEAM]]&amp;Matrix[[#Headers],[11]],FDR[FDR]&amp;FDR[[#Headers],[11]],FDR[11],"",0,1)</f>
        <v>5</v>
      </c>
      <c r="X633" cm="1">
        <f t="array" ref="X633">_xlfn.XLOOKUP(Matrix[[#This Row],[TEAM]]&amp;Matrix[[#Headers],[12]],FDR[FDR]&amp;FDR[[#Headers],[12]],FDR[12],"",0,1)</f>
        <v>5</v>
      </c>
      <c r="Y633" cm="1">
        <f t="array" ref="Y633">_xlfn.XLOOKUP(Matrix[[#This Row],[TEAM]]&amp;Matrix[[#Headers],[13]],FDR[FDR]&amp;FDR[[#Headers],[13]],FDR[13],"",0,1)</f>
        <v>5</v>
      </c>
      <c r="Z633" cm="1">
        <f t="array" ref="Z633">_xlfn.XLOOKUP(Matrix[[#This Row],[TEAM]]&amp;Matrix[[#Headers],[14]],FDR[FDR]&amp;FDR[[#Headers],[14]],FDR[14],"",0,1)</f>
        <v>5</v>
      </c>
      <c r="AA633" cm="1">
        <f t="array" ref="AA633">_xlfn.XLOOKUP(Matrix[[#This Row],[TEAM]]&amp;Matrix[[#Headers],[15]],FDR[FDR]&amp;FDR[[#Headers],[15]],FDR[15],"",0,1)</f>
        <v>5</v>
      </c>
      <c r="AB633" cm="1">
        <f t="array" ref="AB633">_xlfn.XLOOKUP(Matrix[[#This Row],[TEAM]]&amp;Matrix[[#Headers],[16]],FDR[FDR]&amp;FDR[[#Headers],[16]],FDR[16],"",0,1)</f>
        <v>5</v>
      </c>
      <c r="AC633" cm="1">
        <f t="array" ref="AC633">_xlfn.XLOOKUP(Matrix[[#This Row],[TEAM]]&amp;Matrix[[#Headers],[17]],FDR[FDR]&amp;FDR[[#Headers],[17]],FDR[17],"",0,1)</f>
        <v>4</v>
      </c>
      <c r="AD633" cm="1">
        <f t="array" ref="AD633">_xlfn.XLOOKUP(Matrix[[#This Row],[TEAM]]&amp;Matrix[[#Headers],[18]],FDR[FDR]&amp;FDR[[#Headers],[18]],FDR[18],"",0,1)</f>
        <v>4</v>
      </c>
      <c r="AE633" cm="1">
        <f t="array" ref="AE633">_xlfn.XLOOKUP(Matrix[[#This Row],[TEAM]]&amp;Matrix[[#Headers],[19]],FDR[FDR]&amp;FDR[[#Headers],[19]],FDR[19],"",0,1)</f>
        <v>5</v>
      </c>
      <c r="AF633" cm="1">
        <f t="array" ref="AF633">_xlfn.XLOOKUP(Matrix[[#This Row],[TEAM]]&amp;Matrix[[#Headers],[20]],FDR[FDR]&amp;FDR[[#Headers],[20]],FDR[20],"",0,1)</f>
        <v>5</v>
      </c>
      <c r="AG633" cm="1">
        <f t="array" ref="AG633">_xlfn.XLOOKUP(Matrix[[#This Row],[TEAM]]&amp;Matrix[[#Headers],[21]],FDR[FDR]&amp;FDR[[#Headers],[21]],FDR[21],"",0,1)</f>
        <v>5</v>
      </c>
      <c r="AH633" cm="1">
        <f t="array" ref="AH633">_xlfn.XLOOKUP(Matrix[[#This Row],[TEAM]]&amp;Matrix[[#Headers],[22]],FDR[FDR]&amp;FDR[[#Headers],[22]],FDR[22],"",0,1)</f>
        <v>5</v>
      </c>
      <c r="AI633" cm="1">
        <f t="array" ref="AI633">_xlfn.XLOOKUP(Matrix[[#This Row],[TEAM]]&amp;Matrix[[#Headers],[23]],FDR[FDR]&amp;FDR[[#Headers],[23]],FDR[23],"",0,1)</f>
        <v>5</v>
      </c>
      <c r="AJ633" cm="1">
        <f t="array" ref="AJ633">_xlfn.XLOOKUP(Matrix[[#This Row],[TEAM]]&amp;Matrix[[#Headers],[24]],FDR[FDR]&amp;FDR[[#Headers],[24]],FDR[24],"",0,1)</f>
        <v>5</v>
      </c>
      <c r="AK633" cm="1">
        <f t="array" ref="AK633">_xlfn.XLOOKUP(Matrix[[#This Row],[TEAM]]&amp;Matrix[[#Headers],[25]],FDR[FDR]&amp;FDR[[#Headers],[25]],FDR[25],"",0,1)</f>
        <v>5</v>
      </c>
      <c r="AL633" cm="1">
        <f t="array" ref="AL633">_xlfn.XLOOKUP(Matrix[[#This Row],[TEAM]]&amp;Matrix[[#Headers],[26]],FDR[FDR]&amp;FDR[[#Headers],[26]],FDR[26],"",0,1)</f>
        <v>5</v>
      </c>
      <c r="AM633" cm="1">
        <f t="array" ref="AM633">_xlfn.XLOOKUP(Matrix[[#This Row],[TEAM]]&amp;Matrix[[#Headers],[27]],FDR[FDR]&amp;FDR[[#Headers],[27]],FDR[27],"",0,1)</f>
        <v>5</v>
      </c>
      <c r="AN633" cm="1">
        <f t="array" ref="AN633">_xlfn.XLOOKUP(Matrix[[#This Row],[TEAM]]&amp;Matrix[[#Headers],[28]],FDR[FDR]&amp;FDR[[#Headers],[28]],FDR[28],"",0,1)</f>
        <v>5</v>
      </c>
      <c r="AO633" cm="1">
        <f t="array" ref="AO633">_xlfn.XLOOKUP(Matrix[[#This Row],[TEAM]]&amp;Matrix[[#Headers],[29]],FDR[FDR]&amp;FDR[[#Headers],[29]],FDR[29],"",0,1)</f>
        <v>3</v>
      </c>
      <c r="AP633" cm="1">
        <f t="array" ref="AP633">_xlfn.XLOOKUP(Matrix[[#This Row],[TEAM]]&amp;Matrix[[#Headers],[30]],FDR[FDR]&amp;FDR[[#Headers],[30]],FDR[30],"",0,1)</f>
        <v>5</v>
      </c>
      <c r="AQ633" cm="1">
        <f t="array" ref="AQ633">_xlfn.XLOOKUP(Matrix[[#This Row],[TEAM]]&amp;Matrix[[#Headers],[31]],FDR[FDR]&amp;FDR[[#Headers],[31]],FDR[31],"",0,1)</f>
        <v>4</v>
      </c>
      <c r="AR633" cm="1">
        <f t="array" ref="AR633">_xlfn.XLOOKUP(Matrix[[#This Row],[TEAM]]&amp;Matrix[[#Headers],[32]],FDR[FDR]&amp;FDR[[#Headers],[32]],FDR[32],"",0,1)</f>
        <v>5</v>
      </c>
      <c r="AS633" cm="1">
        <f t="array" ref="AS633">_xlfn.XLOOKUP(Matrix[[#This Row],[TEAM]]&amp;Matrix[[#Headers],[33]],FDR[FDR]&amp;FDR[[#Headers],[33]],FDR[33],"",0,1)</f>
        <v>3</v>
      </c>
      <c r="AT633" cm="1">
        <f t="array" ref="AT633">_xlfn.XLOOKUP(Matrix[[#This Row],[TEAM]]&amp;Matrix[[#Headers],[34]],FDR[FDR]&amp;FDR[[#Headers],[34]],FDR[34],"",0,1)</f>
        <v>5</v>
      </c>
      <c r="AU633" cm="1">
        <f t="array" ref="AU633">_xlfn.XLOOKUP(Matrix[[#This Row],[TEAM]]&amp;Matrix[[#Headers],[35]],FDR[FDR]&amp;FDR[[#Headers],[35]],FDR[35],"",0,1)</f>
        <v>3</v>
      </c>
      <c r="AV633" cm="1">
        <f t="array" ref="AV633">_xlfn.XLOOKUP(Matrix[[#This Row],[TEAM]]&amp;Matrix[[#Headers],[36]],FDR[FDR]&amp;FDR[[#Headers],[36]],FDR[36],"",0,1)</f>
        <v>5</v>
      </c>
      <c r="AW633" cm="1">
        <f t="array" ref="AW633">_xlfn.XLOOKUP(Matrix[[#This Row],[TEAM]]&amp;Matrix[[#Headers],[37]],FDR[FDR]&amp;FDR[[#Headers],[37]],FDR[37],"",0,1)</f>
        <v>5</v>
      </c>
      <c r="AX633" cm="1">
        <f t="array" ref="AX633">_xlfn.XLOOKUP(Matrix[[#This Row],[TEAM]]&amp;Matrix[[#Headers],[38]],FDR[FDR]&amp;FDR[[#Headers],[38]],FDR[38],"",0,1)</f>
        <v>5</v>
      </c>
    </row>
    <row r="634" spans="1:50" ht="22" thickTop="1" thickBot="1">
      <c r="A634" s="51" t="s">
        <v>657</v>
      </c>
      <c r="B634" s="70" t="s">
        <v>1890</v>
      </c>
      <c r="C634" s="40" t="s">
        <v>634</v>
      </c>
      <c r="D634" s="62">
        <v>0</v>
      </c>
      <c r="E634" s="60">
        <v>1E-3</v>
      </c>
      <c r="F634" s="61">
        <v>0</v>
      </c>
      <c r="G634" s="63">
        <v>4</v>
      </c>
      <c r="H634" s="261">
        <f>IF(ISBLANK(I634),0,1)</f>
        <v>1</v>
      </c>
      <c r="I634" s="57" t="s">
        <v>994</v>
      </c>
      <c r="J634" s="58">
        <v>0.75</v>
      </c>
      <c r="K634" s="65" t="s">
        <v>1021</v>
      </c>
      <c r="L634" s="65" t="s">
        <v>1182</v>
      </c>
      <c r="M634" cm="1">
        <f t="array" ref="M634">_xlfn.XLOOKUP(Matrix[[#This Row],[TEAM]]&amp;Matrix[[#Headers],[1]],FDR[FDR]&amp;FDR[[#Headers],[1]],FDR[1],"",0,1)</f>
        <v>4</v>
      </c>
      <c r="N634" cm="1">
        <f t="array" ref="N634">_xlfn.XLOOKUP(Matrix[[#This Row],[TEAM]]&amp;Matrix[[#Headers],[2]],FDR[FDR]&amp;FDR[[#Headers],[2]],FDR[2],"",0,1)</f>
        <v>4</v>
      </c>
      <c r="O634" cm="1">
        <f t="array" ref="O634">_xlfn.XLOOKUP(Matrix[[#This Row],[TEAM]]&amp;Matrix[[#Headers],[3]],FDR[FDR]&amp;FDR[[#Headers],[3]],FDR[3],"",0,1)</f>
        <v>4</v>
      </c>
      <c r="P634" cm="1">
        <f t="array" ref="P634">_xlfn.XLOOKUP(Matrix[[#This Row],[TEAM]]&amp;Matrix[[#Headers],[4]],FDR[FDR]&amp;FDR[[#Headers],[4]],FDR[4],"",0,1)</f>
        <v>5</v>
      </c>
      <c r="Q634" cm="1">
        <f t="array" ref="Q634">_xlfn.XLOOKUP(Matrix[[#This Row],[TEAM]]&amp;Matrix[[#Headers],[5]],FDR[FDR]&amp;FDR[[#Headers],[5]],FDR[5],"",0,1)</f>
        <v>5</v>
      </c>
      <c r="R634" cm="1">
        <f t="array" ref="R634">_xlfn.XLOOKUP(Matrix[[#This Row],[TEAM]]&amp;Matrix[[#Headers],[6]],FDR[FDR]&amp;FDR[[#Headers],[6]],FDR[6],"",0,1)</f>
        <v>5</v>
      </c>
      <c r="S634" cm="1">
        <f t="array" ref="S634">_xlfn.XLOOKUP(Matrix[[#This Row],[TEAM]]&amp;Matrix[[#Headers],[7]],FDR[FDR]&amp;FDR[[#Headers],[7]],FDR[7],"",0,1)</f>
        <v>5</v>
      </c>
      <c r="T634" cm="1">
        <f t="array" ref="T634">_xlfn.XLOOKUP(Matrix[[#This Row],[TEAM]]&amp;Matrix[[#Headers],[8]],FDR[FDR]&amp;FDR[[#Headers],[8]],FDR[8],"",0,1)</f>
        <v>3</v>
      </c>
      <c r="U634" cm="1">
        <f t="array" ref="U634">_xlfn.XLOOKUP(Matrix[[#This Row],[TEAM]]&amp;Matrix[[#Headers],[9]],FDR[FDR]&amp;FDR[[#Headers],[9]],FDR[9],"",0,1)</f>
        <v>5</v>
      </c>
      <c r="V634" cm="1">
        <f t="array" ref="V634">_xlfn.XLOOKUP(Matrix[[#This Row],[TEAM]]&amp;Matrix[[#Headers],[10]],FDR[FDR]&amp;FDR[[#Headers],[10]],FDR[10],"",0,1)</f>
        <v>4</v>
      </c>
      <c r="W634" cm="1">
        <f t="array" ref="W634">_xlfn.XLOOKUP(Matrix[[#This Row],[TEAM]]&amp;Matrix[[#Headers],[11]],FDR[FDR]&amp;FDR[[#Headers],[11]],FDR[11],"",0,1)</f>
        <v>5</v>
      </c>
      <c r="X634" cm="1">
        <f t="array" ref="X634">_xlfn.XLOOKUP(Matrix[[#This Row],[TEAM]]&amp;Matrix[[#Headers],[12]],FDR[FDR]&amp;FDR[[#Headers],[12]],FDR[12],"",0,1)</f>
        <v>5</v>
      </c>
      <c r="Y634" cm="1">
        <f t="array" ref="Y634">_xlfn.XLOOKUP(Matrix[[#This Row],[TEAM]]&amp;Matrix[[#Headers],[13]],FDR[FDR]&amp;FDR[[#Headers],[13]],FDR[13],"",0,1)</f>
        <v>5</v>
      </c>
      <c r="Z634" cm="1">
        <f t="array" ref="Z634">_xlfn.XLOOKUP(Matrix[[#This Row],[TEAM]]&amp;Matrix[[#Headers],[14]],FDR[FDR]&amp;FDR[[#Headers],[14]],FDR[14],"",0,1)</f>
        <v>5</v>
      </c>
      <c r="AA634" cm="1">
        <f t="array" ref="AA634">_xlfn.XLOOKUP(Matrix[[#This Row],[TEAM]]&amp;Matrix[[#Headers],[15]],FDR[FDR]&amp;FDR[[#Headers],[15]],FDR[15],"",0,1)</f>
        <v>5</v>
      </c>
      <c r="AB634" cm="1">
        <f t="array" ref="AB634">_xlfn.XLOOKUP(Matrix[[#This Row],[TEAM]]&amp;Matrix[[#Headers],[16]],FDR[FDR]&amp;FDR[[#Headers],[16]],FDR[16],"",0,1)</f>
        <v>5</v>
      </c>
      <c r="AC634" cm="1">
        <f t="array" ref="AC634">_xlfn.XLOOKUP(Matrix[[#This Row],[TEAM]]&amp;Matrix[[#Headers],[17]],FDR[FDR]&amp;FDR[[#Headers],[17]],FDR[17],"",0,1)</f>
        <v>5</v>
      </c>
      <c r="AD634" cm="1">
        <f t="array" ref="AD634">_xlfn.XLOOKUP(Matrix[[#This Row],[TEAM]]&amp;Matrix[[#Headers],[18]],FDR[FDR]&amp;FDR[[#Headers],[18]],FDR[18],"",0,1)</f>
        <v>3</v>
      </c>
      <c r="AE634" cm="1">
        <f t="array" ref="AE634">_xlfn.XLOOKUP(Matrix[[#This Row],[TEAM]]&amp;Matrix[[#Headers],[19]],FDR[FDR]&amp;FDR[[#Headers],[19]],FDR[19],"",0,1)</f>
        <v>5</v>
      </c>
      <c r="AF634" cm="1">
        <f t="array" ref="AF634">_xlfn.XLOOKUP(Matrix[[#This Row],[TEAM]]&amp;Matrix[[#Headers],[20]],FDR[FDR]&amp;FDR[[#Headers],[20]],FDR[20],"",0,1)</f>
        <v>5</v>
      </c>
      <c r="AG634" cm="1">
        <f t="array" ref="AG634">_xlfn.XLOOKUP(Matrix[[#This Row],[TEAM]]&amp;Matrix[[#Headers],[21]],FDR[FDR]&amp;FDR[[#Headers],[21]],FDR[21],"",0,1)</f>
        <v>5</v>
      </c>
      <c r="AH634" cm="1">
        <f t="array" ref="AH634">_xlfn.XLOOKUP(Matrix[[#This Row],[TEAM]]&amp;Matrix[[#Headers],[22]],FDR[FDR]&amp;FDR[[#Headers],[22]],FDR[22],"",0,1)</f>
        <v>4</v>
      </c>
      <c r="AI634" cm="1">
        <f t="array" ref="AI634">_xlfn.XLOOKUP(Matrix[[#This Row],[TEAM]]&amp;Matrix[[#Headers],[23]],FDR[FDR]&amp;FDR[[#Headers],[23]],FDR[23],"",0,1)</f>
        <v>5</v>
      </c>
      <c r="AJ634" cm="1">
        <f t="array" ref="AJ634">_xlfn.XLOOKUP(Matrix[[#This Row],[TEAM]]&amp;Matrix[[#Headers],[24]],FDR[FDR]&amp;FDR[[#Headers],[24]],FDR[24],"",0,1)</f>
        <v>3</v>
      </c>
      <c r="AK634" cm="1">
        <f t="array" ref="AK634">_xlfn.XLOOKUP(Matrix[[#This Row],[TEAM]]&amp;Matrix[[#Headers],[25]],FDR[FDR]&amp;FDR[[#Headers],[25]],FDR[25],"",0,1)</f>
        <v>5</v>
      </c>
      <c r="AL634" cm="1">
        <f t="array" ref="AL634">_xlfn.XLOOKUP(Matrix[[#This Row],[TEAM]]&amp;Matrix[[#Headers],[26]],FDR[FDR]&amp;FDR[[#Headers],[26]],FDR[26],"",0,1)</f>
        <v>5</v>
      </c>
      <c r="AM634" cm="1">
        <f t="array" ref="AM634">_xlfn.XLOOKUP(Matrix[[#This Row],[TEAM]]&amp;Matrix[[#Headers],[27]],FDR[FDR]&amp;FDR[[#Headers],[27]],FDR[27],"",0,1)</f>
        <v>5</v>
      </c>
      <c r="AN634" cm="1">
        <f t="array" ref="AN634">_xlfn.XLOOKUP(Matrix[[#This Row],[TEAM]]&amp;Matrix[[#Headers],[28]],FDR[FDR]&amp;FDR[[#Headers],[28]],FDR[28],"",0,1)</f>
        <v>5</v>
      </c>
      <c r="AO634" cm="1">
        <f t="array" ref="AO634">_xlfn.XLOOKUP(Matrix[[#This Row],[TEAM]]&amp;Matrix[[#Headers],[29]],FDR[FDR]&amp;FDR[[#Headers],[29]],FDR[29],"",0,1)</f>
        <v>4</v>
      </c>
      <c r="AP634" cm="1">
        <f t="array" ref="AP634">_xlfn.XLOOKUP(Matrix[[#This Row],[TEAM]]&amp;Matrix[[#Headers],[30]],FDR[FDR]&amp;FDR[[#Headers],[30]],FDR[30],"",0,1)</f>
        <v>5</v>
      </c>
      <c r="AQ634" cm="1">
        <f t="array" ref="AQ634">_xlfn.XLOOKUP(Matrix[[#This Row],[TEAM]]&amp;Matrix[[#Headers],[31]],FDR[FDR]&amp;FDR[[#Headers],[31]],FDR[31],"",0,1)</f>
        <v>5</v>
      </c>
      <c r="AR634" cm="1">
        <f t="array" ref="AR634">_xlfn.XLOOKUP(Matrix[[#This Row],[TEAM]]&amp;Matrix[[#Headers],[32]],FDR[FDR]&amp;FDR[[#Headers],[32]],FDR[32],"",0,1)</f>
        <v>5</v>
      </c>
      <c r="AS634" cm="1">
        <f t="array" ref="AS634">_xlfn.XLOOKUP(Matrix[[#This Row],[TEAM]]&amp;Matrix[[#Headers],[33]],FDR[FDR]&amp;FDR[[#Headers],[33]],FDR[33],"",0,1)</f>
        <v>5</v>
      </c>
      <c r="AT634" cm="1">
        <f t="array" ref="AT634">_xlfn.XLOOKUP(Matrix[[#This Row],[TEAM]]&amp;Matrix[[#Headers],[34]],FDR[FDR]&amp;FDR[[#Headers],[34]],FDR[34],"",0,1)</f>
        <v>5</v>
      </c>
      <c r="AU634" cm="1">
        <f t="array" ref="AU634">_xlfn.XLOOKUP(Matrix[[#This Row],[TEAM]]&amp;Matrix[[#Headers],[35]],FDR[FDR]&amp;FDR[[#Headers],[35]],FDR[35],"",0,1)</f>
        <v>4</v>
      </c>
      <c r="AV634" cm="1">
        <f t="array" ref="AV634">_xlfn.XLOOKUP(Matrix[[#This Row],[TEAM]]&amp;Matrix[[#Headers],[36]],FDR[FDR]&amp;FDR[[#Headers],[36]],FDR[36],"",0,1)</f>
        <v>5</v>
      </c>
      <c r="AW634" cm="1">
        <f t="array" ref="AW634">_xlfn.XLOOKUP(Matrix[[#This Row],[TEAM]]&amp;Matrix[[#Headers],[37]],FDR[FDR]&amp;FDR[[#Headers],[37]],FDR[37],"",0,1)</f>
        <v>5</v>
      </c>
      <c r="AX634" cm="1">
        <f t="array" ref="AX634">_xlfn.XLOOKUP(Matrix[[#This Row],[TEAM]]&amp;Matrix[[#Headers],[38]],FDR[FDR]&amp;FDR[[#Headers],[38]],FDR[38],"",0,1)</f>
        <v>5</v>
      </c>
    </row>
    <row r="635" spans="1:50" ht="22" thickTop="1" thickBot="1">
      <c r="A635" s="51" t="s">
        <v>657</v>
      </c>
      <c r="B635" s="70" t="s">
        <v>1891</v>
      </c>
      <c r="C635" s="40" t="s">
        <v>634</v>
      </c>
      <c r="D635" s="62">
        <v>0</v>
      </c>
      <c r="E635" s="60">
        <v>1E-3</v>
      </c>
      <c r="F635" s="61">
        <v>0</v>
      </c>
      <c r="G635" s="63">
        <v>4</v>
      </c>
      <c r="H635" s="261">
        <f>IF(ISBLANK(I635),0,1)</f>
        <v>1</v>
      </c>
      <c r="I635" s="57" t="s">
        <v>1194</v>
      </c>
      <c r="J635" s="58" t="s">
        <v>1097</v>
      </c>
      <c r="K635" s="65" t="s">
        <v>288</v>
      </c>
      <c r="L635" s="65" t="s">
        <v>1175</v>
      </c>
      <c r="M635" cm="1">
        <f t="array" ref="M635">_xlfn.XLOOKUP(Matrix[[#This Row],[TEAM]]&amp;Matrix[[#Headers],[1]],FDR[FDR]&amp;FDR[[#Headers],[1]],FDR[1],"",0,1)</f>
        <v>4</v>
      </c>
      <c r="N635" cm="1">
        <f t="array" ref="N635">_xlfn.XLOOKUP(Matrix[[#This Row],[TEAM]]&amp;Matrix[[#Headers],[2]],FDR[FDR]&amp;FDR[[#Headers],[2]],FDR[2],"",0,1)</f>
        <v>4</v>
      </c>
      <c r="O635" cm="1">
        <f t="array" ref="O635">_xlfn.XLOOKUP(Matrix[[#This Row],[TEAM]]&amp;Matrix[[#Headers],[3]],FDR[FDR]&amp;FDR[[#Headers],[3]],FDR[3],"",0,1)</f>
        <v>4</v>
      </c>
      <c r="P635" cm="1">
        <f t="array" ref="P635">_xlfn.XLOOKUP(Matrix[[#This Row],[TEAM]]&amp;Matrix[[#Headers],[4]],FDR[FDR]&amp;FDR[[#Headers],[4]],FDR[4],"",0,1)</f>
        <v>5</v>
      </c>
      <c r="Q635" cm="1">
        <f t="array" ref="Q635">_xlfn.XLOOKUP(Matrix[[#This Row],[TEAM]]&amp;Matrix[[#Headers],[5]],FDR[FDR]&amp;FDR[[#Headers],[5]],FDR[5],"",0,1)</f>
        <v>5</v>
      </c>
      <c r="R635" cm="1">
        <f t="array" ref="R635">_xlfn.XLOOKUP(Matrix[[#This Row],[TEAM]]&amp;Matrix[[#Headers],[6]],FDR[FDR]&amp;FDR[[#Headers],[6]],FDR[6],"",0,1)</f>
        <v>5</v>
      </c>
      <c r="S635" cm="1">
        <f t="array" ref="S635">_xlfn.XLOOKUP(Matrix[[#This Row],[TEAM]]&amp;Matrix[[#Headers],[7]],FDR[FDR]&amp;FDR[[#Headers],[7]],FDR[7],"",0,1)</f>
        <v>5</v>
      </c>
      <c r="T635" cm="1">
        <f t="array" ref="T635">_xlfn.XLOOKUP(Matrix[[#This Row],[TEAM]]&amp;Matrix[[#Headers],[8]],FDR[FDR]&amp;FDR[[#Headers],[8]],FDR[8],"",0,1)</f>
        <v>3</v>
      </c>
      <c r="U635" cm="1">
        <f t="array" ref="U635">_xlfn.XLOOKUP(Matrix[[#This Row],[TEAM]]&amp;Matrix[[#Headers],[9]],FDR[FDR]&amp;FDR[[#Headers],[9]],FDR[9],"",0,1)</f>
        <v>5</v>
      </c>
      <c r="V635" cm="1">
        <f t="array" ref="V635">_xlfn.XLOOKUP(Matrix[[#This Row],[TEAM]]&amp;Matrix[[#Headers],[10]],FDR[FDR]&amp;FDR[[#Headers],[10]],FDR[10],"",0,1)</f>
        <v>4</v>
      </c>
      <c r="W635" cm="1">
        <f t="array" ref="W635">_xlfn.XLOOKUP(Matrix[[#This Row],[TEAM]]&amp;Matrix[[#Headers],[11]],FDR[FDR]&amp;FDR[[#Headers],[11]],FDR[11],"",0,1)</f>
        <v>5</v>
      </c>
      <c r="X635" cm="1">
        <f t="array" ref="X635">_xlfn.XLOOKUP(Matrix[[#This Row],[TEAM]]&amp;Matrix[[#Headers],[12]],FDR[FDR]&amp;FDR[[#Headers],[12]],FDR[12],"",0,1)</f>
        <v>5</v>
      </c>
      <c r="Y635" cm="1">
        <f t="array" ref="Y635">_xlfn.XLOOKUP(Matrix[[#This Row],[TEAM]]&amp;Matrix[[#Headers],[13]],FDR[FDR]&amp;FDR[[#Headers],[13]],FDR[13],"",0,1)</f>
        <v>5</v>
      </c>
      <c r="Z635" cm="1">
        <f t="array" ref="Z635">_xlfn.XLOOKUP(Matrix[[#This Row],[TEAM]]&amp;Matrix[[#Headers],[14]],FDR[FDR]&amp;FDR[[#Headers],[14]],FDR[14],"",0,1)</f>
        <v>5</v>
      </c>
      <c r="AA635" cm="1">
        <f t="array" ref="AA635">_xlfn.XLOOKUP(Matrix[[#This Row],[TEAM]]&amp;Matrix[[#Headers],[15]],FDR[FDR]&amp;FDR[[#Headers],[15]],FDR[15],"",0,1)</f>
        <v>5</v>
      </c>
      <c r="AB635" cm="1">
        <f t="array" ref="AB635">_xlfn.XLOOKUP(Matrix[[#This Row],[TEAM]]&amp;Matrix[[#Headers],[16]],FDR[FDR]&amp;FDR[[#Headers],[16]],FDR[16],"",0,1)</f>
        <v>5</v>
      </c>
      <c r="AC635" cm="1">
        <f t="array" ref="AC635">_xlfn.XLOOKUP(Matrix[[#This Row],[TEAM]]&amp;Matrix[[#Headers],[17]],FDR[FDR]&amp;FDR[[#Headers],[17]],FDR[17],"",0,1)</f>
        <v>5</v>
      </c>
      <c r="AD635" cm="1">
        <f t="array" ref="AD635">_xlfn.XLOOKUP(Matrix[[#This Row],[TEAM]]&amp;Matrix[[#Headers],[18]],FDR[FDR]&amp;FDR[[#Headers],[18]],FDR[18],"",0,1)</f>
        <v>3</v>
      </c>
      <c r="AE635" cm="1">
        <f t="array" ref="AE635">_xlfn.XLOOKUP(Matrix[[#This Row],[TEAM]]&amp;Matrix[[#Headers],[19]],FDR[FDR]&amp;FDR[[#Headers],[19]],FDR[19],"",0,1)</f>
        <v>5</v>
      </c>
      <c r="AF635" cm="1">
        <f t="array" ref="AF635">_xlfn.XLOOKUP(Matrix[[#This Row],[TEAM]]&amp;Matrix[[#Headers],[20]],FDR[FDR]&amp;FDR[[#Headers],[20]],FDR[20],"",0,1)</f>
        <v>5</v>
      </c>
      <c r="AG635" cm="1">
        <f t="array" ref="AG635">_xlfn.XLOOKUP(Matrix[[#This Row],[TEAM]]&amp;Matrix[[#Headers],[21]],FDR[FDR]&amp;FDR[[#Headers],[21]],FDR[21],"",0,1)</f>
        <v>5</v>
      </c>
      <c r="AH635" cm="1">
        <f t="array" ref="AH635">_xlfn.XLOOKUP(Matrix[[#This Row],[TEAM]]&amp;Matrix[[#Headers],[22]],FDR[FDR]&amp;FDR[[#Headers],[22]],FDR[22],"",0,1)</f>
        <v>4</v>
      </c>
      <c r="AI635" cm="1">
        <f t="array" ref="AI635">_xlfn.XLOOKUP(Matrix[[#This Row],[TEAM]]&amp;Matrix[[#Headers],[23]],FDR[FDR]&amp;FDR[[#Headers],[23]],FDR[23],"",0,1)</f>
        <v>5</v>
      </c>
      <c r="AJ635" cm="1">
        <f t="array" ref="AJ635">_xlfn.XLOOKUP(Matrix[[#This Row],[TEAM]]&amp;Matrix[[#Headers],[24]],FDR[FDR]&amp;FDR[[#Headers],[24]],FDR[24],"",0,1)</f>
        <v>3</v>
      </c>
      <c r="AK635" cm="1">
        <f t="array" ref="AK635">_xlfn.XLOOKUP(Matrix[[#This Row],[TEAM]]&amp;Matrix[[#Headers],[25]],FDR[FDR]&amp;FDR[[#Headers],[25]],FDR[25],"",0,1)</f>
        <v>5</v>
      </c>
      <c r="AL635" cm="1">
        <f t="array" ref="AL635">_xlfn.XLOOKUP(Matrix[[#This Row],[TEAM]]&amp;Matrix[[#Headers],[26]],FDR[FDR]&amp;FDR[[#Headers],[26]],FDR[26],"",0,1)</f>
        <v>5</v>
      </c>
      <c r="AM635" cm="1">
        <f t="array" ref="AM635">_xlfn.XLOOKUP(Matrix[[#This Row],[TEAM]]&amp;Matrix[[#Headers],[27]],FDR[FDR]&amp;FDR[[#Headers],[27]],FDR[27],"",0,1)</f>
        <v>5</v>
      </c>
      <c r="AN635" cm="1">
        <f t="array" ref="AN635">_xlfn.XLOOKUP(Matrix[[#This Row],[TEAM]]&amp;Matrix[[#Headers],[28]],FDR[FDR]&amp;FDR[[#Headers],[28]],FDR[28],"",0,1)</f>
        <v>5</v>
      </c>
      <c r="AO635" cm="1">
        <f t="array" ref="AO635">_xlfn.XLOOKUP(Matrix[[#This Row],[TEAM]]&amp;Matrix[[#Headers],[29]],FDR[FDR]&amp;FDR[[#Headers],[29]],FDR[29],"",0,1)</f>
        <v>4</v>
      </c>
      <c r="AP635" cm="1">
        <f t="array" ref="AP635">_xlfn.XLOOKUP(Matrix[[#This Row],[TEAM]]&amp;Matrix[[#Headers],[30]],FDR[FDR]&amp;FDR[[#Headers],[30]],FDR[30],"",0,1)</f>
        <v>5</v>
      </c>
      <c r="AQ635" cm="1">
        <f t="array" ref="AQ635">_xlfn.XLOOKUP(Matrix[[#This Row],[TEAM]]&amp;Matrix[[#Headers],[31]],FDR[FDR]&amp;FDR[[#Headers],[31]],FDR[31],"",0,1)</f>
        <v>5</v>
      </c>
      <c r="AR635" cm="1">
        <f t="array" ref="AR635">_xlfn.XLOOKUP(Matrix[[#This Row],[TEAM]]&amp;Matrix[[#Headers],[32]],FDR[FDR]&amp;FDR[[#Headers],[32]],FDR[32],"",0,1)</f>
        <v>5</v>
      </c>
      <c r="AS635" cm="1">
        <f t="array" ref="AS635">_xlfn.XLOOKUP(Matrix[[#This Row],[TEAM]]&amp;Matrix[[#Headers],[33]],FDR[FDR]&amp;FDR[[#Headers],[33]],FDR[33],"",0,1)</f>
        <v>5</v>
      </c>
      <c r="AT635" cm="1">
        <f t="array" ref="AT635">_xlfn.XLOOKUP(Matrix[[#This Row],[TEAM]]&amp;Matrix[[#Headers],[34]],FDR[FDR]&amp;FDR[[#Headers],[34]],FDR[34],"",0,1)</f>
        <v>5</v>
      </c>
      <c r="AU635" cm="1">
        <f t="array" ref="AU635">_xlfn.XLOOKUP(Matrix[[#This Row],[TEAM]]&amp;Matrix[[#Headers],[35]],FDR[FDR]&amp;FDR[[#Headers],[35]],FDR[35],"",0,1)</f>
        <v>4</v>
      </c>
      <c r="AV635" cm="1">
        <f t="array" ref="AV635">_xlfn.XLOOKUP(Matrix[[#This Row],[TEAM]]&amp;Matrix[[#Headers],[36]],FDR[FDR]&amp;FDR[[#Headers],[36]],FDR[36],"",0,1)</f>
        <v>5</v>
      </c>
      <c r="AW635" cm="1">
        <f t="array" ref="AW635">_xlfn.XLOOKUP(Matrix[[#This Row],[TEAM]]&amp;Matrix[[#Headers],[37]],FDR[FDR]&amp;FDR[[#Headers],[37]],FDR[37],"",0,1)</f>
        <v>5</v>
      </c>
      <c r="AX635" cm="1">
        <f t="array" ref="AX635">_xlfn.XLOOKUP(Matrix[[#This Row],[TEAM]]&amp;Matrix[[#Headers],[38]],FDR[FDR]&amp;FDR[[#Headers],[38]],FDR[38],"",0,1)</f>
        <v>5</v>
      </c>
    </row>
    <row r="636" spans="1:50" ht="22" thickTop="1" thickBot="1">
      <c r="A636" s="51" t="s">
        <v>657</v>
      </c>
      <c r="B636" s="70" t="s">
        <v>1895</v>
      </c>
      <c r="C636" s="40" t="s">
        <v>634</v>
      </c>
      <c r="D636" s="62">
        <v>0</v>
      </c>
      <c r="E636" s="60">
        <v>0</v>
      </c>
      <c r="F636" s="61">
        <v>0</v>
      </c>
      <c r="G636" s="63">
        <v>4</v>
      </c>
      <c r="H636" s="261">
        <f>IF(ISBLANK(I636),0,1)</f>
        <v>1</v>
      </c>
      <c r="I636" s="57" t="s">
        <v>1193</v>
      </c>
      <c r="J636" s="58" t="s">
        <v>1097</v>
      </c>
      <c r="K636" s="65" t="s">
        <v>1192</v>
      </c>
      <c r="L636" s="65" t="s">
        <v>1174</v>
      </c>
      <c r="M636" cm="1">
        <f t="array" ref="M636">_xlfn.XLOOKUP(Matrix[[#This Row],[TEAM]]&amp;Matrix[[#Headers],[1]],FDR[FDR]&amp;FDR[[#Headers],[1]],FDR[1],"",0,1)</f>
        <v>4</v>
      </c>
      <c r="N636" cm="1">
        <f t="array" ref="N636">_xlfn.XLOOKUP(Matrix[[#This Row],[TEAM]]&amp;Matrix[[#Headers],[2]],FDR[FDR]&amp;FDR[[#Headers],[2]],FDR[2],"",0,1)</f>
        <v>4</v>
      </c>
      <c r="O636" cm="1">
        <f t="array" ref="O636">_xlfn.XLOOKUP(Matrix[[#This Row],[TEAM]]&amp;Matrix[[#Headers],[3]],FDR[FDR]&amp;FDR[[#Headers],[3]],FDR[3],"",0,1)</f>
        <v>4</v>
      </c>
      <c r="P636" cm="1">
        <f t="array" ref="P636">_xlfn.XLOOKUP(Matrix[[#This Row],[TEAM]]&amp;Matrix[[#Headers],[4]],FDR[FDR]&amp;FDR[[#Headers],[4]],FDR[4],"",0,1)</f>
        <v>5</v>
      </c>
      <c r="Q636" cm="1">
        <f t="array" ref="Q636">_xlfn.XLOOKUP(Matrix[[#This Row],[TEAM]]&amp;Matrix[[#Headers],[5]],FDR[FDR]&amp;FDR[[#Headers],[5]],FDR[5],"",0,1)</f>
        <v>5</v>
      </c>
      <c r="R636" cm="1">
        <f t="array" ref="R636">_xlfn.XLOOKUP(Matrix[[#This Row],[TEAM]]&amp;Matrix[[#Headers],[6]],FDR[FDR]&amp;FDR[[#Headers],[6]],FDR[6],"",0,1)</f>
        <v>5</v>
      </c>
      <c r="S636" cm="1">
        <f t="array" ref="S636">_xlfn.XLOOKUP(Matrix[[#This Row],[TEAM]]&amp;Matrix[[#Headers],[7]],FDR[FDR]&amp;FDR[[#Headers],[7]],FDR[7],"",0,1)</f>
        <v>5</v>
      </c>
      <c r="T636" cm="1">
        <f t="array" ref="T636">_xlfn.XLOOKUP(Matrix[[#This Row],[TEAM]]&amp;Matrix[[#Headers],[8]],FDR[FDR]&amp;FDR[[#Headers],[8]],FDR[8],"",0,1)</f>
        <v>3</v>
      </c>
      <c r="U636" cm="1">
        <f t="array" ref="U636">_xlfn.XLOOKUP(Matrix[[#This Row],[TEAM]]&amp;Matrix[[#Headers],[9]],FDR[FDR]&amp;FDR[[#Headers],[9]],FDR[9],"",0,1)</f>
        <v>5</v>
      </c>
      <c r="V636" cm="1">
        <f t="array" ref="V636">_xlfn.XLOOKUP(Matrix[[#This Row],[TEAM]]&amp;Matrix[[#Headers],[10]],FDR[FDR]&amp;FDR[[#Headers],[10]],FDR[10],"",0,1)</f>
        <v>4</v>
      </c>
      <c r="W636" cm="1">
        <f t="array" ref="W636">_xlfn.XLOOKUP(Matrix[[#This Row],[TEAM]]&amp;Matrix[[#Headers],[11]],FDR[FDR]&amp;FDR[[#Headers],[11]],FDR[11],"",0,1)</f>
        <v>5</v>
      </c>
      <c r="X636" cm="1">
        <f t="array" ref="X636">_xlfn.XLOOKUP(Matrix[[#This Row],[TEAM]]&amp;Matrix[[#Headers],[12]],FDR[FDR]&amp;FDR[[#Headers],[12]],FDR[12],"",0,1)</f>
        <v>5</v>
      </c>
      <c r="Y636" cm="1">
        <f t="array" ref="Y636">_xlfn.XLOOKUP(Matrix[[#This Row],[TEAM]]&amp;Matrix[[#Headers],[13]],FDR[FDR]&amp;FDR[[#Headers],[13]],FDR[13],"",0,1)</f>
        <v>5</v>
      </c>
      <c r="Z636" cm="1">
        <f t="array" ref="Z636">_xlfn.XLOOKUP(Matrix[[#This Row],[TEAM]]&amp;Matrix[[#Headers],[14]],FDR[FDR]&amp;FDR[[#Headers],[14]],FDR[14],"",0,1)</f>
        <v>5</v>
      </c>
      <c r="AA636" cm="1">
        <f t="array" ref="AA636">_xlfn.XLOOKUP(Matrix[[#This Row],[TEAM]]&amp;Matrix[[#Headers],[15]],FDR[FDR]&amp;FDR[[#Headers],[15]],FDR[15],"",0,1)</f>
        <v>5</v>
      </c>
      <c r="AB636" cm="1">
        <f t="array" ref="AB636">_xlfn.XLOOKUP(Matrix[[#This Row],[TEAM]]&amp;Matrix[[#Headers],[16]],FDR[FDR]&amp;FDR[[#Headers],[16]],FDR[16],"",0,1)</f>
        <v>5</v>
      </c>
      <c r="AC636" cm="1">
        <f t="array" ref="AC636">_xlfn.XLOOKUP(Matrix[[#This Row],[TEAM]]&amp;Matrix[[#Headers],[17]],FDR[FDR]&amp;FDR[[#Headers],[17]],FDR[17],"",0,1)</f>
        <v>5</v>
      </c>
      <c r="AD636" cm="1">
        <f t="array" ref="AD636">_xlfn.XLOOKUP(Matrix[[#This Row],[TEAM]]&amp;Matrix[[#Headers],[18]],FDR[FDR]&amp;FDR[[#Headers],[18]],FDR[18],"",0,1)</f>
        <v>3</v>
      </c>
      <c r="AE636" cm="1">
        <f t="array" ref="AE636">_xlfn.XLOOKUP(Matrix[[#This Row],[TEAM]]&amp;Matrix[[#Headers],[19]],FDR[FDR]&amp;FDR[[#Headers],[19]],FDR[19],"",0,1)</f>
        <v>5</v>
      </c>
      <c r="AF636" cm="1">
        <f t="array" ref="AF636">_xlfn.XLOOKUP(Matrix[[#This Row],[TEAM]]&amp;Matrix[[#Headers],[20]],FDR[FDR]&amp;FDR[[#Headers],[20]],FDR[20],"",0,1)</f>
        <v>5</v>
      </c>
      <c r="AG636" cm="1">
        <f t="array" ref="AG636">_xlfn.XLOOKUP(Matrix[[#This Row],[TEAM]]&amp;Matrix[[#Headers],[21]],FDR[FDR]&amp;FDR[[#Headers],[21]],FDR[21],"",0,1)</f>
        <v>5</v>
      </c>
      <c r="AH636" cm="1">
        <f t="array" ref="AH636">_xlfn.XLOOKUP(Matrix[[#This Row],[TEAM]]&amp;Matrix[[#Headers],[22]],FDR[FDR]&amp;FDR[[#Headers],[22]],FDR[22],"",0,1)</f>
        <v>4</v>
      </c>
      <c r="AI636" cm="1">
        <f t="array" ref="AI636">_xlfn.XLOOKUP(Matrix[[#This Row],[TEAM]]&amp;Matrix[[#Headers],[23]],FDR[FDR]&amp;FDR[[#Headers],[23]],FDR[23],"",0,1)</f>
        <v>5</v>
      </c>
      <c r="AJ636" cm="1">
        <f t="array" ref="AJ636">_xlfn.XLOOKUP(Matrix[[#This Row],[TEAM]]&amp;Matrix[[#Headers],[24]],FDR[FDR]&amp;FDR[[#Headers],[24]],FDR[24],"",0,1)</f>
        <v>3</v>
      </c>
      <c r="AK636" cm="1">
        <f t="array" ref="AK636">_xlfn.XLOOKUP(Matrix[[#This Row],[TEAM]]&amp;Matrix[[#Headers],[25]],FDR[FDR]&amp;FDR[[#Headers],[25]],FDR[25],"",0,1)</f>
        <v>5</v>
      </c>
      <c r="AL636" cm="1">
        <f t="array" ref="AL636">_xlfn.XLOOKUP(Matrix[[#This Row],[TEAM]]&amp;Matrix[[#Headers],[26]],FDR[FDR]&amp;FDR[[#Headers],[26]],FDR[26],"",0,1)</f>
        <v>5</v>
      </c>
      <c r="AM636" cm="1">
        <f t="array" ref="AM636">_xlfn.XLOOKUP(Matrix[[#This Row],[TEAM]]&amp;Matrix[[#Headers],[27]],FDR[FDR]&amp;FDR[[#Headers],[27]],FDR[27],"",0,1)</f>
        <v>5</v>
      </c>
      <c r="AN636" cm="1">
        <f t="array" ref="AN636">_xlfn.XLOOKUP(Matrix[[#This Row],[TEAM]]&amp;Matrix[[#Headers],[28]],FDR[FDR]&amp;FDR[[#Headers],[28]],FDR[28],"",0,1)</f>
        <v>5</v>
      </c>
      <c r="AO636" cm="1">
        <f t="array" ref="AO636">_xlfn.XLOOKUP(Matrix[[#This Row],[TEAM]]&amp;Matrix[[#Headers],[29]],FDR[FDR]&amp;FDR[[#Headers],[29]],FDR[29],"",0,1)</f>
        <v>4</v>
      </c>
      <c r="AP636" cm="1">
        <f t="array" ref="AP636">_xlfn.XLOOKUP(Matrix[[#This Row],[TEAM]]&amp;Matrix[[#Headers],[30]],FDR[FDR]&amp;FDR[[#Headers],[30]],FDR[30],"",0,1)</f>
        <v>5</v>
      </c>
      <c r="AQ636" cm="1">
        <f t="array" ref="AQ636">_xlfn.XLOOKUP(Matrix[[#This Row],[TEAM]]&amp;Matrix[[#Headers],[31]],FDR[FDR]&amp;FDR[[#Headers],[31]],FDR[31],"",0,1)</f>
        <v>5</v>
      </c>
      <c r="AR636" cm="1">
        <f t="array" ref="AR636">_xlfn.XLOOKUP(Matrix[[#This Row],[TEAM]]&amp;Matrix[[#Headers],[32]],FDR[FDR]&amp;FDR[[#Headers],[32]],FDR[32],"",0,1)</f>
        <v>5</v>
      </c>
      <c r="AS636" cm="1">
        <f t="array" ref="AS636">_xlfn.XLOOKUP(Matrix[[#This Row],[TEAM]]&amp;Matrix[[#Headers],[33]],FDR[FDR]&amp;FDR[[#Headers],[33]],FDR[33],"",0,1)</f>
        <v>5</v>
      </c>
      <c r="AT636" cm="1">
        <f t="array" ref="AT636">_xlfn.XLOOKUP(Matrix[[#This Row],[TEAM]]&amp;Matrix[[#Headers],[34]],FDR[FDR]&amp;FDR[[#Headers],[34]],FDR[34],"",0,1)</f>
        <v>5</v>
      </c>
      <c r="AU636" cm="1">
        <f t="array" ref="AU636">_xlfn.XLOOKUP(Matrix[[#This Row],[TEAM]]&amp;Matrix[[#Headers],[35]],FDR[FDR]&amp;FDR[[#Headers],[35]],FDR[35],"",0,1)</f>
        <v>4</v>
      </c>
      <c r="AV636" cm="1">
        <f t="array" ref="AV636">_xlfn.XLOOKUP(Matrix[[#This Row],[TEAM]]&amp;Matrix[[#Headers],[36]],FDR[FDR]&amp;FDR[[#Headers],[36]],FDR[36],"",0,1)</f>
        <v>5</v>
      </c>
      <c r="AW636" cm="1">
        <f t="array" ref="AW636">_xlfn.XLOOKUP(Matrix[[#This Row],[TEAM]]&amp;Matrix[[#Headers],[37]],FDR[FDR]&amp;FDR[[#Headers],[37]],FDR[37],"",0,1)</f>
        <v>5</v>
      </c>
      <c r="AX636" cm="1">
        <f t="array" ref="AX636">_xlfn.XLOOKUP(Matrix[[#This Row],[TEAM]]&amp;Matrix[[#Headers],[38]],FDR[FDR]&amp;FDR[[#Headers],[38]],FDR[38],"",0,1)</f>
        <v>5</v>
      </c>
    </row>
    <row r="637" spans="1:50" ht="22" thickTop="1" thickBot="1">
      <c r="A637" s="51" t="s">
        <v>657</v>
      </c>
      <c r="B637" s="70" t="s">
        <v>1894</v>
      </c>
      <c r="C637" s="40" t="s">
        <v>634</v>
      </c>
      <c r="D637" s="62">
        <v>0</v>
      </c>
      <c r="E637" s="60">
        <v>0</v>
      </c>
      <c r="F637" s="61">
        <v>0</v>
      </c>
      <c r="G637" s="63">
        <v>4</v>
      </c>
      <c r="H637" s="261">
        <f>IF(ISBLANK(I637),0,1)</f>
        <v>1</v>
      </c>
      <c r="I637" s="57" t="s">
        <v>1096</v>
      </c>
      <c r="J637" s="58" t="s">
        <v>1097</v>
      </c>
      <c r="K637" s="65" t="s">
        <v>1195</v>
      </c>
      <c r="L637" s="65" t="s">
        <v>1176</v>
      </c>
      <c r="M637" cm="1">
        <f t="array" ref="M637">_xlfn.XLOOKUP(Matrix[[#This Row],[TEAM]]&amp;Matrix[[#Headers],[1]],FDR[FDR]&amp;FDR[[#Headers],[1]],FDR[1],"",0,1)</f>
        <v>4</v>
      </c>
      <c r="N637" cm="1">
        <f t="array" ref="N637">_xlfn.XLOOKUP(Matrix[[#This Row],[TEAM]]&amp;Matrix[[#Headers],[2]],FDR[FDR]&amp;FDR[[#Headers],[2]],FDR[2],"",0,1)</f>
        <v>4</v>
      </c>
      <c r="O637" cm="1">
        <f t="array" ref="O637">_xlfn.XLOOKUP(Matrix[[#This Row],[TEAM]]&amp;Matrix[[#Headers],[3]],FDR[FDR]&amp;FDR[[#Headers],[3]],FDR[3],"",0,1)</f>
        <v>4</v>
      </c>
      <c r="P637" cm="1">
        <f t="array" ref="P637">_xlfn.XLOOKUP(Matrix[[#This Row],[TEAM]]&amp;Matrix[[#Headers],[4]],FDR[FDR]&amp;FDR[[#Headers],[4]],FDR[4],"",0,1)</f>
        <v>5</v>
      </c>
      <c r="Q637" cm="1">
        <f t="array" ref="Q637">_xlfn.XLOOKUP(Matrix[[#This Row],[TEAM]]&amp;Matrix[[#Headers],[5]],FDR[FDR]&amp;FDR[[#Headers],[5]],FDR[5],"",0,1)</f>
        <v>5</v>
      </c>
      <c r="R637" cm="1">
        <f t="array" ref="R637">_xlfn.XLOOKUP(Matrix[[#This Row],[TEAM]]&amp;Matrix[[#Headers],[6]],FDR[FDR]&amp;FDR[[#Headers],[6]],FDR[6],"",0,1)</f>
        <v>5</v>
      </c>
      <c r="S637" cm="1">
        <f t="array" ref="S637">_xlfn.XLOOKUP(Matrix[[#This Row],[TEAM]]&amp;Matrix[[#Headers],[7]],FDR[FDR]&amp;FDR[[#Headers],[7]],FDR[7],"",0,1)</f>
        <v>5</v>
      </c>
      <c r="T637" cm="1">
        <f t="array" ref="T637">_xlfn.XLOOKUP(Matrix[[#This Row],[TEAM]]&amp;Matrix[[#Headers],[8]],FDR[FDR]&amp;FDR[[#Headers],[8]],FDR[8],"",0,1)</f>
        <v>3</v>
      </c>
      <c r="U637" cm="1">
        <f t="array" ref="U637">_xlfn.XLOOKUP(Matrix[[#This Row],[TEAM]]&amp;Matrix[[#Headers],[9]],FDR[FDR]&amp;FDR[[#Headers],[9]],FDR[9],"",0,1)</f>
        <v>5</v>
      </c>
      <c r="V637" cm="1">
        <f t="array" ref="V637">_xlfn.XLOOKUP(Matrix[[#This Row],[TEAM]]&amp;Matrix[[#Headers],[10]],FDR[FDR]&amp;FDR[[#Headers],[10]],FDR[10],"",0,1)</f>
        <v>4</v>
      </c>
      <c r="W637" cm="1">
        <f t="array" ref="W637">_xlfn.XLOOKUP(Matrix[[#This Row],[TEAM]]&amp;Matrix[[#Headers],[11]],FDR[FDR]&amp;FDR[[#Headers],[11]],FDR[11],"",0,1)</f>
        <v>5</v>
      </c>
      <c r="X637" cm="1">
        <f t="array" ref="X637">_xlfn.XLOOKUP(Matrix[[#This Row],[TEAM]]&amp;Matrix[[#Headers],[12]],FDR[FDR]&amp;FDR[[#Headers],[12]],FDR[12],"",0,1)</f>
        <v>5</v>
      </c>
      <c r="Y637" cm="1">
        <f t="array" ref="Y637">_xlfn.XLOOKUP(Matrix[[#This Row],[TEAM]]&amp;Matrix[[#Headers],[13]],FDR[FDR]&amp;FDR[[#Headers],[13]],FDR[13],"",0,1)</f>
        <v>5</v>
      </c>
      <c r="Z637" cm="1">
        <f t="array" ref="Z637">_xlfn.XLOOKUP(Matrix[[#This Row],[TEAM]]&amp;Matrix[[#Headers],[14]],FDR[FDR]&amp;FDR[[#Headers],[14]],FDR[14],"",0,1)</f>
        <v>5</v>
      </c>
      <c r="AA637" cm="1">
        <f t="array" ref="AA637">_xlfn.XLOOKUP(Matrix[[#This Row],[TEAM]]&amp;Matrix[[#Headers],[15]],FDR[FDR]&amp;FDR[[#Headers],[15]],FDR[15],"",0,1)</f>
        <v>5</v>
      </c>
      <c r="AB637" cm="1">
        <f t="array" ref="AB637">_xlfn.XLOOKUP(Matrix[[#This Row],[TEAM]]&amp;Matrix[[#Headers],[16]],FDR[FDR]&amp;FDR[[#Headers],[16]],FDR[16],"",0,1)</f>
        <v>5</v>
      </c>
      <c r="AC637" cm="1">
        <f t="array" ref="AC637">_xlfn.XLOOKUP(Matrix[[#This Row],[TEAM]]&amp;Matrix[[#Headers],[17]],FDR[FDR]&amp;FDR[[#Headers],[17]],FDR[17],"",0,1)</f>
        <v>5</v>
      </c>
      <c r="AD637" cm="1">
        <f t="array" ref="AD637">_xlfn.XLOOKUP(Matrix[[#This Row],[TEAM]]&amp;Matrix[[#Headers],[18]],FDR[FDR]&amp;FDR[[#Headers],[18]],FDR[18],"",0,1)</f>
        <v>3</v>
      </c>
      <c r="AE637" cm="1">
        <f t="array" ref="AE637">_xlfn.XLOOKUP(Matrix[[#This Row],[TEAM]]&amp;Matrix[[#Headers],[19]],FDR[FDR]&amp;FDR[[#Headers],[19]],FDR[19],"",0,1)</f>
        <v>5</v>
      </c>
      <c r="AF637" cm="1">
        <f t="array" ref="AF637">_xlfn.XLOOKUP(Matrix[[#This Row],[TEAM]]&amp;Matrix[[#Headers],[20]],FDR[FDR]&amp;FDR[[#Headers],[20]],FDR[20],"",0,1)</f>
        <v>5</v>
      </c>
      <c r="AG637" cm="1">
        <f t="array" ref="AG637">_xlfn.XLOOKUP(Matrix[[#This Row],[TEAM]]&amp;Matrix[[#Headers],[21]],FDR[FDR]&amp;FDR[[#Headers],[21]],FDR[21],"",0,1)</f>
        <v>5</v>
      </c>
      <c r="AH637" cm="1">
        <f t="array" ref="AH637">_xlfn.XLOOKUP(Matrix[[#This Row],[TEAM]]&amp;Matrix[[#Headers],[22]],FDR[FDR]&amp;FDR[[#Headers],[22]],FDR[22],"",0,1)</f>
        <v>4</v>
      </c>
      <c r="AI637" cm="1">
        <f t="array" ref="AI637">_xlfn.XLOOKUP(Matrix[[#This Row],[TEAM]]&amp;Matrix[[#Headers],[23]],FDR[FDR]&amp;FDR[[#Headers],[23]],FDR[23],"",0,1)</f>
        <v>5</v>
      </c>
      <c r="AJ637" cm="1">
        <f t="array" ref="AJ637">_xlfn.XLOOKUP(Matrix[[#This Row],[TEAM]]&amp;Matrix[[#Headers],[24]],FDR[FDR]&amp;FDR[[#Headers],[24]],FDR[24],"",0,1)</f>
        <v>3</v>
      </c>
      <c r="AK637" cm="1">
        <f t="array" ref="AK637">_xlfn.XLOOKUP(Matrix[[#This Row],[TEAM]]&amp;Matrix[[#Headers],[25]],FDR[FDR]&amp;FDR[[#Headers],[25]],FDR[25],"",0,1)</f>
        <v>5</v>
      </c>
      <c r="AL637" cm="1">
        <f t="array" ref="AL637">_xlfn.XLOOKUP(Matrix[[#This Row],[TEAM]]&amp;Matrix[[#Headers],[26]],FDR[FDR]&amp;FDR[[#Headers],[26]],FDR[26],"",0,1)</f>
        <v>5</v>
      </c>
      <c r="AM637" cm="1">
        <f t="array" ref="AM637">_xlfn.XLOOKUP(Matrix[[#This Row],[TEAM]]&amp;Matrix[[#Headers],[27]],FDR[FDR]&amp;FDR[[#Headers],[27]],FDR[27],"",0,1)</f>
        <v>5</v>
      </c>
      <c r="AN637" cm="1">
        <f t="array" ref="AN637">_xlfn.XLOOKUP(Matrix[[#This Row],[TEAM]]&amp;Matrix[[#Headers],[28]],FDR[FDR]&amp;FDR[[#Headers],[28]],FDR[28],"",0,1)</f>
        <v>5</v>
      </c>
      <c r="AO637" cm="1">
        <f t="array" ref="AO637">_xlfn.XLOOKUP(Matrix[[#This Row],[TEAM]]&amp;Matrix[[#Headers],[29]],FDR[FDR]&amp;FDR[[#Headers],[29]],FDR[29],"",0,1)</f>
        <v>4</v>
      </c>
      <c r="AP637" cm="1">
        <f t="array" ref="AP637">_xlfn.XLOOKUP(Matrix[[#This Row],[TEAM]]&amp;Matrix[[#Headers],[30]],FDR[FDR]&amp;FDR[[#Headers],[30]],FDR[30],"",0,1)</f>
        <v>5</v>
      </c>
      <c r="AQ637" cm="1">
        <f t="array" ref="AQ637">_xlfn.XLOOKUP(Matrix[[#This Row],[TEAM]]&amp;Matrix[[#Headers],[31]],FDR[FDR]&amp;FDR[[#Headers],[31]],FDR[31],"",0,1)</f>
        <v>5</v>
      </c>
      <c r="AR637" cm="1">
        <f t="array" ref="AR637">_xlfn.XLOOKUP(Matrix[[#This Row],[TEAM]]&amp;Matrix[[#Headers],[32]],FDR[FDR]&amp;FDR[[#Headers],[32]],FDR[32],"",0,1)</f>
        <v>5</v>
      </c>
      <c r="AS637" cm="1">
        <f t="array" ref="AS637">_xlfn.XLOOKUP(Matrix[[#This Row],[TEAM]]&amp;Matrix[[#Headers],[33]],FDR[FDR]&amp;FDR[[#Headers],[33]],FDR[33],"",0,1)</f>
        <v>5</v>
      </c>
      <c r="AT637" cm="1">
        <f t="array" ref="AT637">_xlfn.XLOOKUP(Matrix[[#This Row],[TEAM]]&amp;Matrix[[#Headers],[34]],FDR[FDR]&amp;FDR[[#Headers],[34]],FDR[34],"",0,1)</f>
        <v>5</v>
      </c>
      <c r="AU637" cm="1">
        <f t="array" ref="AU637">_xlfn.XLOOKUP(Matrix[[#This Row],[TEAM]]&amp;Matrix[[#Headers],[35]],FDR[FDR]&amp;FDR[[#Headers],[35]],FDR[35],"",0,1)</f>
        <v>4</v>
      </c>
      <c r="AV637" cm="1">
        <f t="array" ref="AV637">_xlfn.XLOOKUP(Matrix[[#This Row],[TEAM]]&amp;Matrix[[#Headers],[36]],FDR[FDR]&amp;FDR[[#Headers],[36]],FDR[36],"",0,1)</f>
        <v>5</v>
      </c>
      <c r="AW637" cm="1">
        <f t="array" ref="AW637">_xlfn.XLOOKUP(Matrix[[#This Row],[TEAM]]&amp;Matrix[[#Headers],[37]],FDR[FDR]&amp;FDR[[#Headers],[37]],FDR[37],"",0,1)</f>
        <v>5</v>
      </c>
      <c r="AX637" cm="1">
        <f t="array" ref="AX637">_xlfn.XLOOKUP(Matrix[[#This Row],[TEAM]]&amp;Matrix[[#Headers],[38]],FDR[FDR]&amp;FDR[[#Headers],[38]],FDR[38],"",0,1)</f>
        <v>5</v>
      </c>
    </row>
    <row r="638" spans="1:50" ht="22" thickTop="1" thickBot="1">
      <c r="A638" s="27" t="s">
        <v>657</v>
      </c>
      <c r="B638" s="70" t="s">
        <v>1893</v>
      </c>
      <c r="C638" s="40" t="s">
        <v>634</v>
      </c>
      <c r="D638" s="62">
        <v>0</v>
      </c>
      <c r="E638" s="60">
        <v>0</v>
      </c>
      <c r="F638" s="61">
        <v>0</v>
      </c>
      <c r="G638" s="63">
        <v>4</v>
      </c>
      <c r="H638" s="261">
        <f>IF(ISBLANK(I638),0,1)</f>
        <v>1</v>
      </c>
      <c r="I638" s="57" t="s">
        <v>1193</v>
      </c>
      <c r="J638" s="58" t="s">
        <v>1097</v>
      </c>
      <c r="K638" s="65" t="s">
        <v>397</v>
      </c>
      <c r="L638" s="65" t="s">
        <v>1178</v>
      </c>
      <c r="M638" cm="1">
        <f t="array" ref="M638">_xlfn.XLOOKUP(Matrix[[#This Row],[TEAM]]&amp;Matrix[[#Headers],[1]],FDR[FDR]&amp;FDR[[#Headers],[1]],FDR[1],"",0,1)</f>
        <v>4</v>
      </c>
      <c r="N638" cm="1">
        <f t="array" ref="N638">_xlfn.XLOOKUP(Matrix[[#This Row],[TEAM]]&amp;Matrix[[#Headers],[2]],FDR[FDR]&amp;FDR[[#Headers],[2]],FDR[2],"",0,1)</f>
        <v>4</v>
      </c>
      <c r="O638" cm="1">
        <f t="array" ref="O638">_xlfn.XLOOKUP(Matrix[[#This Row],[TEAM]]&amp;Matrix[[#Headers],[3]],FDR[FDR]&amp;FDR[[#Headers],[3]],FDR[3],"",0,1)</f>
        <v>4</v>
      </c>
      <c r="P638" cm="1">
        <f t="array" ref="P638">_xlfn.XLOOKUP(Matrix[[#This Row],[TEAM]]&amp;Matrix[[#Headers],[4]],FDR[FDR]&amp;FDR[[#Headers],[4]],FDR[4],"",0,1)</f>
        <v>5</v>
      </c>
      <c r="Q638" cm="1">
        <f t="array" ref="Q638">_xlfn.XLOOKUP(Matrix[[#This Row],[TEAM]]&amp;Matrix[[#Headers],[5]],FDR[FDR]&amp;FDR[[#Headers],[5]],FDR[5],"",0,1)</f>
        <v>5</v>
      </c>
      <c r="R638" cm="1">
        <f t="array" ref="R638">_xlfn.XLOOKUP(Matrix[[#This Row],[TEAM]]&amp;Matrix[[#Headers],[6]],FDR[FDR]&amp;FDR[[#Headers],[6]],FDR[6],"",0,1)</f>
        <v>5</v>
      </c>
      <c r="S638" cm="1">
        <f t="array" ref="S638">_xlfn.XLOOKUP(Matrix[[#This Row],[TEAM]]&amp;Matrix[[#Headers],[7]],FDR[FDR]&amp;FDR[[#Headers],[7]],FDR[7],"",0,1)</f>
        <v>5</v>
      </c>
      <c r="T638" cm="1">
        <f t="array" ref="T638">_xlfn.XLOOKUP(Matrix[[#This Row],[TEAM]]&amp;Matrix[[#Headers],[8]],FDR[FDR]&amp;FDR[[#Headers],[8]],FDR[8],"",0,1)</f>
        <v>3</v>
      </c>
      <c r="U638" cm="1">
        <f t="array" ref="U638">_xlfn.XLOOKUP(Matrix[[#This Row],[TEAM]]&amp;Matrix[[#Headers],[9]],FDR[FDR]&amp;FDR[[#Headers],[9]],FDR[9],"",0,1)</f>
        <v>5</v>
      </c>
      <c r="V638" cm="1">
        <f t="array" ref="V638">_xlfn.XLOOKUP(Matrix[[#This Row],[TEAM]]&amp;Matrix[[#Headers],[10]],FDR[FDR]&amp;FDR[[#Headers],[10]],FDR[10],"",0,1)</f>
        <v>4</v>
      </c>
      <c r="W638" cm="1">
        <f t="array" ref="W638">_xlfn.XLOOKUP(Matrix[[#This Row],[TEAM]]&amp;Matrix[[#Headers],[11]],FDR[FDR]&amp;FDR[[#Headers],[11]],FDR[11],"",0,1)</f>
        <v>5</v>
      </c>
      <c r="X638" cm="1">
        <f t="array" ref="X638">_xlfn.XLOOKUP(Matrix[[#This Row],[TEAM]]&amp;Matrix[[#Headers],[12]],FDR[FDR]&amp;FDR[[#Headers],[12]],FDR[12],"",0,1)</f>
        <v>5</v>
      </c>
      <c r="Y638" cm="1">
        <f t="array" ref="Y638">_xlfn.XLOOKUP(Matrix[[#This Row],[TEAM]]&amp;Matrix[[#Headers],[13]],FDR[FDR]&amp;FDR[[#Headers],[13]],FDR[13],"",0,1)</f>
        <v>5</v>
      </c>
      <c r="Z638" cm="1">
        <f t="array" ref="Z638">_xlfn.XLOOKUP(Matrix[[#This Row],[TEAM]]&amp;Matrix[[#Headers],[14]],FDR[FDR]&amp;FDR[[#Headers],[14]],FDR[14],"",0,1)</f>
        <v>5</v>
      </c>
      <c r="AA638" cm="1">
        <f t="array" ref="AA638">_xlfn.XLOOKUP(Matrix[[#This Row],[TEAM]]&amp;Matrix[[#Headers],[15]],FDR[FDR]&amp;FDR[[#Headers],[15]],FDR[15],"",0,1)</f>
        <v>5</v>
      </c>
      <c r="AB638" cm="1">
        <f t="array" ref="AB638">_xlfn.XLOOKUP(Matrix[[#This Row],[TEAM]]&amp;Matrix[[#Headers],[16]],FDR[FDR]&amp;FDR[[#Headers],[16]],FDR[16],"",0,1)</f>
        <v>5</v>
      </c>
      <c r="AC638" cm="1">
        <f t="array" ref="AC638">_xlfn.XLOOKUP(Matrix[[#This Row],[TEAM]]&amp;Matrix[[#Headers],[17]],FDR[FDR]&amp;FDR[[#Headers],[17]],FDR[17],"",0,1)</f>
        <v>5</v>
      </c>
      <c r="AD638" cm="1">
        <f t="array" ref="AD638">_xlfn.XLOOKUP(Matrix[[#This Row],[TEAM]]&amp;Matrix[[#Headers],[18]],FDR[FDR]&amp;FDR[[#Headers],[18]],FDR[18],"",0,1)</f>
        <v>3</v>
      </c>
      <c r="AE638" cm="1">
        <f t="array" ref="AE638">_xlfn.XLOOKUP(Matrix[[#This Row],[TEAM]]&amp;Matrix[[#Headers],[19]],FDR[FDR]&amp;FDR[[#Headers],[19]],FDR[19],"",0,1)</f>
        <v>5</v>
      </c>
      <c r="AF638" cm="1">
        <f t="array" ref="AF638">_xlfn.XLOOKUP(Matrix[[#This Row],[TEAM]]&amp;Matrix[[#Headers],[20]],FDR[FDR]&amp;FDR[[#Headers],[20]],FDR[20],"",0,1)</f>
        <v>5</v>
      </c>
      <c r="AG638" cm="1">
        <f t="array" ref="AG638">_xlfn.XLOOKUP(Matrix[[#This Row],[TEAM]]&amp;Matrix[[#Headers],[21]],FDR[FDR]&amp;FDR[[#Headers],[21]],FDR[21],"",0,1)</f>
        <v>5</v>
      </c>
      <c r="AH638" cm="1">
        <f t="array" ref="AH638">_xlfn.XLOOKUP(Matrix[[#This Row],[TEAM]]&amp;Matrix[[#Headers],[22]],FDR[FDR]&amp;FDR[[#Headers],[22]],FDR[22],"",0,1)</f>
        <v>4</v>
      </c>
      <c r="AI638" cm="1">
        <f t="array" ref="AI638">_xlfn.XLOOKUP(Matrix[[#This Row],[TEAM]]&amp;Matrix[[#Headers],[23]],FDR[FDR]&amp;FDR[[#Headers],[23]],FDR[23],"",0,1)</f>
        <v>5</v>
      </c>
      <c r="AJ638" cm="1">
        <f t="array" ref="AJ638">_xlfn.XLOOKUP(Matrix[[#This Row],[TEAM]]&amp;Matrix[[#Headers],[24]],FDR[FDR]&amp;FDR[[#Headers],[24]],FDR[24],"",0,1)</f>
        <v>3</v>
      </c>
      <c r="AK638" cm="1">
        <f t="array" ref="AK638">_xlfn.XLOOKUP(Matrix[[#This Row],[TEAM]]&amp;Matrix[[#Headers],[25]],FDR[FDR]&amp;FDR[[#Headers],[25]],FDR[25],"",0,1)</f>
        <v>5</v>
      </c>
      <c r="AL638" cm="1">
        <f t="array" ref="AL638">_xlfn.XLOOKUP(Matrix[[#This Row],[TEAM]]&amp;Matrix[[#Headers],[26]],FDR[FDR]&amp;FDR[[#Headers],[26]],FDR[26],"",0,1)</f>
        <v>5</v>
      </c>
      <c r="AM638" cm="1">
        <f t="array" ref="AM638">_xlfn.XLOOKUP(Matrix[[#This Row],[TEAM]]&amp;Matrix[[#Headers],[27]],FDR[FDR]&amp;FDR[[#Headers],[27]],FDR[27],"",0,1)</f>
        <v>5</v>
      </c>
      <c r="AN638" cm="1">
        <f t="array" ref="AN638">_xlfn.XLOOKUP(Matrix[[#This Row],[TEAM]]&amp;Matrix[[#Headers],[28]],FDR[FDR]&amp;FDR[[#Headers],[28]],FDR[28],"",0,1)</f>
        <v>5</v>
      </c>
      <c r="AO638" cm="1">
        <f t="array" ref="AO638">_xlfn.XLOOKUP(Matrix[[#This Row],[TEAM]]&amp;Matrix[[#Headers],[29]],FDR[FDR]&amp;FDR[[#Headers],[29]],FDR[29],"",0,1)</f>
        <v>4</v>
      </c>
      <c r="AP638" cm="1">
        <f t="array" ref="AP638">_xlfn.XLOOKUP(Matrix[[#This Row],[TEAM]]&amp;Matrix[[#Headers],[30]],FDR[FDR]&amp;FDR[[#Headers],[30]],FDR[30],"",0,1)</f>
        <v>5</v>
      </c>
      <c r="AQ638" cm="1">
        <f t="array" ref="AQ638">_xlfn.XLOOKUP(Matrix[[#This Row],[TEAM]]&amp;Matrix[[#Headers],[31]],FDR[FDR]&amp;FDR[[#Headers],[31]],FDR[31],"",0,1)</f>
        <v>5</v>
      </c>
      <c r="AR638" cm="1">
        <f t="array" ref="AR638">_xlfn.XLOOKUP(Matrix[[#This Row],[TEAM]]&amp;Matrix[[#Headers],[32]],FDR[FDR]&amp;FDR[[#Headers],[32]],FDR[32],"",0,1)</f>
        <v>5</v>
      </c>
      <c r="AS638" cm="1">
        <f t="array" ref="AS638">_xlfn.XLOOKUP(Matrix[[#This Row],[TEAM]]&amp;Matrix[[#Headers],[33]],FDR[FDR]&amp;FDR[[#Headers],[33]],FDR[33],"",0,1)</f>
        <v>5</v>
      </c>
      <c r="AT638" cm="1">
        <f t="array" ref="AT638">_xlfn.XLOOKUP(Matrix[[#This Row],[TEAM]]&amp;Matrix[[#Headers],[34]],FDR[FDR]&amp;FDR[[#Headers],[34]],FDR[34],"",0,1)</f>
        <v>5</v>
      </c>
      <c r="AU638" cm="1">
        <f t="array" ref="AU638">_xlfn.XLOOKUP(Matrix[[#This Row],[TEAM]]&amp;Matrix[[#Headers],[35]],FDR[FDR]&amp;FDR[[#Headers],[35]],FDR[35],"",0,1)</f>
        <v>4</v>
      </c>
      <c r="AV638" cm="1">
        <f t="array" ref="AV638">_xlfn.XLOOKUP(Matrix[[#This Row],[TEAM]]&amp;Matrix[[#Headers],[36]],FDR[FDR]&amp;FDR[[#Headers],[36]],FDR[36],"",0,1)</f>
        <v>5</v>
      </c>
      <c r="AW638" cm="1">
        <f t="array" ref="AW638">_xlfn.XLOOKUP(Matrix[[#This Row],[TEAM]]&amp;Matrix[[#Headers],[37]],FDR[FDR]&amp;FDR[[#Headers],[37]],FDR[37],"",0,1)</f>
        <v>5</v>
      </c>
      <c r="AX638" cm="1">
        <f t="array" ref="AX638">_xlfn.XLOOKUP(Matrix[[#This Row],[TEAM]]&amp;Matrix[[#Headers],[38]],FDR[FDR]&amp;FDR[[#Headers],[38]],FDR[38],"",0,1)</f>
        <v>5</v>
      </c>
    </row>
    <row r="639" spans="1:50" ht="22" thickTop="1" thickBot="1">
      <c r="A639" s="51" t="s">
        <v>657</v>
      </c>
      <c r="B639" s="70" t="s">
        <v>1847</v>
      </c>
      <c r="C639" s="40" t="s">
        <v>19</v>
      </c>
      <c r="D639" s="62">
        <v>0</v>
      </c>
      <c r="E639" s="60">
        <v>3.0000000000000001E-3</v>
      </c>
      <c r="F639" s="61">
        <v>0</v>
      </c>
      <c r="G639" s="63">
        <v>4</v>
      </c>
      <c r="H639" s="261">
        <f>IF(ISBLANK(I639),0,1)</f>
        <v>1</v>
      </c>
      <c r="I639" s="57" t="s">
        <v>1156</v>
      </c>
      <c r="J639" s="58" t="s">
        <v>1981</v>
      </c>
      <c r="K639" s="65" t="s">
        <v>1155</v>
      </c>
      <c r="L639" s="65" t="s">
        <v>1153</v>
      </c>
      <c r="M639" cm="1">
        <f t="array" ref="M639">_xlfn.XLOOKUP(Matrix[[#This Row],[TEAM]]&amp;Matrix[[#Headers],[1]],FDR[FDR]&amp;FDR[[#Headers],[1]],FDR[1],"",0,1)</f>
        <v>1</v>
      </c>
      <c r="N639" cm="1">
        <f t="array" ref="N639">_xlfn.XLOOKUP(Matrix[[#This Row],[TEAM]]&amp;Matrix[[#Headers],[2]],FDR[FDR]&amp;FDR[[#Headers],[2]],FDR[2],"",0,1)</f>
        <v>4</v>
      </c>
      <c r="O639" cm="1">
        <f t="array" ref="O639">_xlfn.XLOOKUP(Matrix[[#This Row],[TEAM]]&amp;Matrix[[#Headers],[3]],FDR[FDR]&amp;FDR[[#Headers],[3]],FDR[3],"",0,1)</f>
        <v>1</v>
      </c>
      <c r="P639" cm="1">
        <f t="array" ref="P639">_xlfn.XLOOKUP(Matrix[[#This Row],[TEAM]]&amp;Matrix[[#Headers],[4]],FDR[FDR]&amp;FDR[[#Headers],[4]],FDR[4],"",0,1)</f>
        <v>2</v>
      </c>
      <c r="Q639" cm="1">
        <f t="array" ref="Q639">_xlfn.XLOOKUP(Matrix[[#This Row],[TEAM]]&amp;Matrix[[#Headers],[5]],FDR[FDR]&amp;FDR[[#Headers],[5]],FDR[5],"",0,1)</f>
        <v>2</v>
      </c>
      <c r="R639" cm="1">
        <f t="array" ref="R639">_xlfn.XLOOKUP(Matrix[[#This Row],[TEAM]]&amp;Matrix[[#Headers],[6]],FDR[FDR]&amp;FDR[[#Headers],[6]],FDR[6],"",0,1)</f>
        <v>1</v>
      </c>
      <c r="S639" cm="1">
        <f t="array" ref="S639">_xlfn.XLOOKUP(Matrix[[#This Row],[TEAM]]&amp;Matrix[[#Headers],[7]],FDR[FDR]&amp;FDR[[#Headers],[7]],FDR[7],"",0,1)</f>
        <v>1</v>
      </c>
      <c r="T639" cm="1">
        <f t="array" ref="T639">_xlfn.XLOOKUP(Matrix[[#This Row],[TEAM]]&amp;Matrix[[#Headers],[8]],FDR[FDR]&amp;FDR[[#Headers],[8]],FDR[8],"",0,1)</f>
        <v>2</v>
      </c>
      <c r="U639" cm="1">
        <f t="array" ref="U639">_xlfn.XLOOKUP(Matrix[[#This Row],[TEAM]]&amp;Matrix[[#Headers],[9]],FDR[FDR]&amp;FDR[[#Headers],[9]],FDR[9],"",0,1)</f>
        <v>2</v>
      </c>
      <c r="V639" cm="1">
        <f t="array" ref="V639">_xlfn.XLOOKUP(Matrix[[#This Row],[TEAM]]&amp;Matrix[[#Headers],[10]],FDR[FDR]&amp;FDR[[#Headers],[10]],FDR[10],"",0,1)</f>
        <v>3</v>
      </c>
      <c r="W639" cm="1">
        <f t="array" ref="W639">_xlfn.XLOOKUP(Matrix[[#This Row],[TEAM]]&amp;Matrix[[#Headers],[11]],FDR[FDR]&amp;FDR[[#Headers],[11]],FDR[11],"",0,1)</f>
        <v>3</v>
      </c>
      <c r="X639" cm="1">
        <f t="array" ref="X639">_xlfn.XLOOKUP(Matrix[[#This Row],[TEAM]]&amp;Matrix[[#Headers],[12]],FDR[FDR]&amp;FDR[[#Headers],[12]],FDR[12],"",0,1)</f>
        <v>4</v>
      </c>
      <c r="Y639" cm="1">
        <f t="array" ref="Y639">_xlfn.XLOOKUP(Matrix[[#This Row],[TEAM]]&amp;Matrix[[#Headers],[13]],FDR[FDR]&amp;FDR[[#Headers],[13]],FDR[13],"",0,1)</f>
        <v>1</v>
      </c>
      <c r="Z639" cm="1">
        <f t="array" ref="Z639">_xlfn.XLOOKUP(Matrix[[#This Row],[TEAM]]&amp;Matrix[[#Headers],[14]],FDR[FDR]&amp;FDR[[#Headers],[14]],FDR[14],"",0,1)</f>
        <v>3</v>
      </c>
      <c r="AA639" cm="1">
        <f t="array" ref="AA639">_xlfn.XLOOKUP(Matrix[[#This Row],[TEAM]]&amp;Matrix[[#Headers],[15]],FDR[FDR]&amp;FDR[[#Headers],[15]],FDR[15],"",0,1)</f>
        <v>1</v>
      </c>
      <c r="AB639" cm="1">
        <f t="array" ref="AB639">_xlfn.XLOOKUP(Matrix[[#This Row],[TEAM]]&amp;Matrix[[#Headers],[16]],FDR[FDR]&amp;FDR[[#Headers],[16]],FDR[16],"",0,1)</f>
        <v>2</v>
      </c>
      <c r="AC639" cm="1">
        <f t="array" ref="AC639">_xlfn.XLOOKUP(Matrix[[#This Row],[TEAM]]&amp;Matrix[[#Headers],[17]],FDR[FDR]&amp;FDR[[#Headers],[17]],FDR[17],"",0,1)</f>
        <v>3</v>
      </c>
      <c r="AD639" cm="1">
        <f t="array" ref="AD639">_xlfn.XLOOKUP(Matrix[[#This Row],[TEAM]]&amp;Matrix[[#Headers],[18]],FDR[FDR]&amp;FDR[[#Headers],[18]],FDR[18],"",0,1)</f>
        <v>2</v>
      </c>
      <c r="AE639" cm="1">
        <f t="array" ref="AE639">_xlfn.XLOOKUP(Matrix[[#This Row],[TEAM]]&amp;Matrix[[#Headers],[19]],FDR[FDR]&amp;FDR[[#Headers],[19]],FDR[19],"",0,1)</f>
        <v>2</v>
      </c>
      <c r="AF639" cm="1">
        <f t="array" ref="AF639">_xlfn.XLOOKUP(Matrix[[#This Row],[TEAM]]&amp;Matrix[[#Headers],[20]],FDR[FDR]&amp;FDR[[#Headers],[20]],FDR[20],"",0,1)</f>
        <v>1</v>
      </c>
      <c r="AG639" cm="1">
        <f t="array" ref="AG639">_xlfn.XLOOKUP(Matrix[[#This Row],[TEAM]]&amp;Matrix[[#Headers],[21]],FDR[FDR]&amp;FDR[[#Headers],[21]],FDR[21],"",0,1)</f>
        <v>2</v>
      </c>
      <c r="AH639" cm="1">
        <f t="array" ref="AH639">_xlfn.XLOOKUP(Matrix[[#This Row],[TEAM]]&amp;Matrix[[#Headers],[22]],FDR[FDR]&amp;FDR[[#Headers],[22]],FDR[22],"",0,1)</f>
        <v>1</v>
      </c>
      <c r="AI639" cm="1">
        <f t="array" ref="AI639">_xlfn.XLOOKUP(Matrix[[#This Row],[TEAM]]&amp;Matrix[[#Headers],[23]],FDR[FDR]&amp;FDR[[#Headers],[23]],FDR[23],"",0,1)</f>
        <v>1</v>
      </c>
      <c r="AJ639" cm="1">
        <f t="array" ref="AJ639">_xlfn.XLOOKUP(Matrix[[#This Row],[TEAM]]&amp;Matrix[[#Headers],[24]],FDR[FDR]&amp;FDR[[#Headers],[24]],FDR[24],"",0,1)</f>
        <v>3</v>
      </c>
      <c r="AK639" cm="1">
        <f t="array" ref="AK639">_xlfn.XLOOKUP(Matrix[[#This Row],[TEAM]]&amp;Matrix[[#Headers],[25]],FDR[FDR]&amp;FDR[[#Headers],[25]],FDR[25],"",0,1)</f>
        <v>4</v>
      </c>
      <c r="AL639" cm="1">
        <f t="array" ref="AL639">_xlfn.XLOOKUP(Matrix[[#This Row],[TEAM]]&amp;Matrix[[#Headers],[26]],FDR[FDR]&amp;FDR[[#Headers],[26]],FDR[26],"",0,1)</f>
        <v>2</v>
      </c>
      <c r="AM639" cm="1">
        <f t="array" ref="AM639">_xlfn.XLOOKUP(Matrix[[#This Row],[TEAM]]&amp;Matrix[[#Headers],[27]],FDR[FDR]&amp;FDR[[#Headers],[27]],FDR[27],"",0,1)</f>
        <v>3</v>
      </c>
      <c r="AN639" cm="1">
        <f t="array" ref="AN639">_xlfn.XLOOKUP(Matrix[[#This Row],[TEAM]]&amp;Matrix[[#Headers],[28]],FDR[FDR]&amp;FDR[[#Headers],[28]],FDR[28],"",0,1)</f>
        <v>2</v>
      </c>
      <c r="AO639" cm="1">
        <f t="array" ref="AO639">_xlfn.XLOOKUP(Matrix[[#This Row],[TEAM]]&amp;Matrix[[#Headers],[29]],FDR[FDR]&amp;FDR[[#Headers],[29]],FDR[29],"",0,1)</f>
        <v>1</v>
      </c>
      <c r="AP639" cm="1">
        <f t="array" ref="AP639">_xlfn.XLOOKUP(Matrix[[#This Row],[TEAM]]&amp;Matrix[[#Headers],[30]],FDR[FDR]&amp;FDR[[#Headers],[30]],FDR[30],"",0,1)</f>
        <v>4</v>
      </c>
      <c r="AQ639" cm="1">
        <f t="array" ref="AQ639">_xlfn.XLOOKUP(Matrix[[#This Row],[TEAM]]&amp;Matrix[[#Headers],[31]],FDR[FDR]&amp;FDR[[#Headers],[31]],FDR[31],"",0,1)</f>
        <v>1</v>
      </c>
      <c r="AR639" cm="1">
        <f t="array" ref="AR639">_xlfn.XLOOKUP(Matrix[[#This Row],[TEAM]]&amp;Matrix[[#Headers],[32]],FDR[FDR]&amp;FDR[[#Headers],[32]],FDR[32],"",0,1)</f>
        <v>1</v>
      </c>
      <c r="AS639" cm="1">
        <f t="array" ref="AS639">_xlfn.XLOOKUP(Matrix[[#This Row],[TEAM]]&amp;Matrix[[#Headers],[33]],FDR[FDR]&amp;FDR[[#Headers],[33]],FDR[33],"",0,1)</f>
        <v>1</v>
      </c>
      <c r="AT639" cm="1">
        <f t="array" ref="AT639">_xlfn.XLOOKUP(Matrix[[#This Row],[TEAM]]&amp;Matrix[[#Headers],[34]],FDR[FDR]&amp;FDR[[#Headers],[34]],FDR[34],"",0,1)</f>
        <v>1</v>
      </c>
      <c r="AU639" cm="1">
        <f t="array" ref="AU639">_xlfn.XLOOKUP(Matrix[[#This Row],[TEAM]]&amp;Matrix[[#Headers],[35]],FDR[FDR]&amp;FDR[[#Headers],[35]],FDR[35],"",0,1)</f>
        <v>3</v>
      </c>
      <c r="AV639" cm="1">
        <f t="array" ref="AV639">_xlfn.XLOOKUP(Matrix[[#This Row],[TEAM]]&amp;Matrix[[#Headers],[36]],FDR[FDR]&amp;FDR[[#Headers],[36]],FDR[36],"",0,1)</f>
        <v>1</v>
      </c>
      <c r="AW639" cm="1">
        <f t="array" ref="AW639">_xlfn.XLOOKUP(Matrix[[#This Row],[TEAM]]&amp;Matrix[[#Headers],[37]],FDR[FDR]&amp;FDR[[#Headers],[37]],FDR[37],"",0,1)</f>
        <v>4</v>
      </c>
      <c r="AX639" cm="1">
        <f t="array" ref="AX639">_xlfn.XLOOKUP(Matrix[[#This Row],[TEAM]]&amp;Matrix[[#Headers],[38]],FDR[FDR]&amp;FDR[[#Headers],[38]],FDR[38],"",0,1)</f>
        <v>1</v>
      </c>
    </row>
    <row r="640" spans="1:50" ht="22" thickTop="1" thickBot="1">
      <c r="A640" s="51" t="s">
        <v>657</v>
      </c>
      <c r="B640" s="70" t="s">
        <v>1797</v>
      </c>
      <c r="C640" s="40" t="s">
        <v>51</v>
      </c>
      <c r="D640" s="62">
        <v>0</v>
      </c>
      <c r="E640" s="60">
        <v>2.5999999999999999E-2</v>
      </c>
      <c r="F640" s="61">
        <v>0</v>
      </c>
      <c r="G640" s="63">
        <v>4</v>
      </c>
      <c r="H640" s="261">
        <f>IF(ISBLANK(I640),0,1)</f>
        <v>1</v>
      </c>
      <c r="I640" s="57" t="s">
        <v>942</v>
      </c>
      <c r="J640" s="58">
        <v>0.75</v>
      </c>
      <c r="K640" s="65" t="s">
        <v>617</v>
      </c>
      <c r="L640" s="65" t="s">
        <v>185</v>
      </c>
      <c r="M640" cm="1">
        <f t="array" ref="M640">_xlfn.XLOOKUP(Matrix[[#This Row],[TEAM]]&amp;Matrix[[#Headers],[1]],FDR[FDR]&amp;FDR[[#Headers],[1]],FDR[1],"",0,1)</f>
        <v>5</v>
      </c>
      <c r="N640" cm="1">
        <f t="array" ref="N640">_xlfn.XLOOKUP(Matrix[[#This Row],[TEAM]]&amp;Matrix[[#Headers],[2]],FDR[FDR]&amp;FDR[[#Headers],[2]],FDR[2],"",0,1)</f>
        <v>5</v>
      </c>
      <c r="O640" cm="1">
        <f t="array" ref="O640">_xlfn.XLOOKUP(Matrix[[#This Row],[TEAM]]&amp;Matrix[[#Headers],[3]],FDR[FDR]&amp;FDR[[#Headers],[3]],FDR[3],"",0,1)</f>
        <v>4</v>
      </c>
      <c r="P640" cm="1">
        <f t="array" ref="P640">_xlfn.XLOOKUP(Matrix[[#This Row],[TEAM]]&amp;Matrix[[#Headers],[4]],FDR[FDR]&amp;FDR[[#Headers],[4]],FDR[4],"",0,1)</f>
        <v>5</v>
      </c>
      <c r="Q640" cm="1">
        <f t="array" ref="Q640">_xlfn.XLOOKUP(Matrix[[#This Row],[TEAM]]&amp;Matrix[[#Headers],[5]],FDR[FDR]&amp;FDR[[#Headers],[5]],FDR[5],"",0,1)</f>
        <v>2</v>
      </c>
      <c r="R640" cm="1">
        <f t="array" ref="R640">_xlfn.XLOOKUP(Matrix[[#This Row],[TEAM]]&amp;Matrix[[#Headers],[6]],FDR[FDR]&amp;FDR[[#Headers],[6]],FDR[6],"",0,1)</f>
        <v>5</v>
      </c>
      <c r="S640" cm="1">
        <f t="array" ref="S640">_xlfn.XLOOKUP(Matrix[[#This Row],[TEAM]]&amp;Matrix[[#Headers],[7]],FDR[FDR]&amp;FDR[[#Headers],[7]],FDR[7],"",0,1)</f>
        <v>4</v>
      </c>
      <c r="T640" cm="1">
        <f t="array" ref="T640">_xlfn.XLOOKUP(Matrix[[#This Row],[TEAM]]&amp;Matrix[[#Headers],[8]],FDR[FDR]&amp;FDR[[#Headers],[8]],FDR[8],"",0,1)</f>
        <v>3</v>
      </c>
      <c r="U640" cm="1">
        <f t="array" ref="U640">_xlfn.XLOOKUP(Matrix[[#This Row],[TEAM]]&amp;Matrix[[#Headers],[9]],FDR[FDR]&amp;FDR[[#Headers],[9]],FDR[9],"",0,1)</f>
        <v>2</v>
      </c>
      <c r="V640" cm="1">
        <f t="array" ref="V640">_xlfn.XLOOKUP(Matrix[[#This Row],[TEAM]]&amp;Matrix[[#Headers],[10]],FDR[FDR]&amp;FDR[[#Headers],[10]],FDR[10],"",0,1)</f>
        <v>5</v>
      </c>
      <c r="W640" cm="1">
        <f t="array" ref="W640">_xlfn.XLOOKUP(Matrix[[#This Row],[TEAM]]&amp;Matrix[[#Headers],[11]],FDR[FDR]&amp;FDR[[#Headers],[11]],FDR[11],"",0,1)</f>
        <v>5</v>
      </c>
      <c r="X640" cm="1">
        <f t="array" ref="X640">_xlfn.XLOOKUP(Matrix[[#This Row],[TEAM]]&amp;Matrix[[#Headers],[12]],FDR[FDR]&amp;FDR[[#Headers],[12]],FDR[12],"",0,1)</f>
        <v>4</v>
      </c>
      <c r="Y640" cm="1">
        <f t="array" ref="Y640">_xlfn.XLOOKUP(Matrix[[#This Row],[TEAM]]&amp;Matrix[[#Headers],[13]],FDR[FDR]&amp;FDR[[#Headers],[13]],FDR[13],"",0,1)</f>
        <v>5</v>
      </c>
      <c r="Z640" cm="1">
        <f t="array" ref="Z640">_xlfn.XLOOKUP(Matrix[[#This Row],[TEAM]]&amp;Matrix[[#Headers],[14]],FDR[FDR]&amp;FDR[[#Headers],[14]],FDR[14],"",0,1)</f>
        <v>4</v>
      </c>
      <c r="AA640" cm="1">
        <f t="array" ref="AA640">_xlfn.XLOOKUP(Matrix[[#This Row],[TEAM]]&amp;Matrix[[#Headers],[15]],FDR[FDR]&amp;FDR[[#Headers],[15]],FDR[15],"",0,1)</f>
        <v>5</v>
      </c>
      <c r="AB640" cm="1">
        <f t="array" ref="AB640">_xlfn.XLOOKUP(Matrix[[#This Row],[TEAM]]&amp;Matrix[[#Headers],[16]],FDR[FDR]&amp;FDR[[#Headers],[16]],FDR[16],"",0,1)</f>
        <v>5</v>
      </c>
      <c r="AC640" cm="1">
        <f t="array" ref="AC640">_xlfn.XLOOKUP(Matrix[[#This Row],[TEAM]]&amp;Matrix[[#Headers],[17]],FDR[FDR]&amp;FDR[[#Headers],[17]],FDR[17],"",0,1)</f>
        <v>4</v>
      </c>
      <c r="AD640" cm="1">
        <f t="array" ref="AD640">_xlfn.XLOOKUP(Matrix[[#This Row],[TEAM]]&amp;Matrix[[#Headers],[18]],FDR[FDR]&amp;FDR[[#Headers],[18]],FDR[18],"",0,1)</f>
        <v>5</v>
      </c>
      <c r="AE640" cm="1">
        <f t="array" ref="AE640">_xlfn.XLOOKUP(Matrix[[#This Row],[TEAM]]&amp;Matrix[[#Headers],[19]],FDR[FDR]&amp;FDR[[#Headers],[19]],FDR[19],"",0,1)</f>
        <v>5</v>
      </c>
      <c r="AF640" cm="1">
        <f t="array" ref="AF640">_xlfn.XLOOKUP(Matrix[[#This Row],[TEAM]]&amp;Matrix[[#Headers],[20]],FDR[FDR]&amp;FDR[[#Headers],[20]],FDR[20],"",0,1)</f>
        <v>4</v>
      </c>
      <c r="AG640" cm="1">
        <f t="array" ref="AG640">_xlfn.XLOOKUP(Matrix[[#This Row],[TEAM]]&amp;Matrix[[#Headers],[21]],FDR[FDR]&amp;FDR[[#Headers],[21]],FDR[21],"",0,1)</f>
        <v>5</v>
      </c>
      <c r="AH640" cm="1">
        <f t="array" ref="AH640">_xlfn.XLOOKUP(Matrix[[#This Row],[TEAM]]&amp;Matrix[[#Headers],[22]],FDR[FDR]&amp;FDR[[#Headers],[22]],FDR[22],"",0,1)</f>
        <v>5</v>
      </c>
      <c r="AI640" cm="1">
        <f t="array" ref="AI640">_xlfn.XLOOKUP(Matrix[[#This Row],[TEAM]]&amp;Matrix[[#Headers],[23]],FDR[FDR]&amp;FDR[[#Headers],[23]],FDR[23],"",0,1)</f>
        <v>5</v>
      </c>
      <c r="AJ640" cm="1">
        <f t="array" ref="AJ640">_xlfn.XLOOKUP(Matrix[[#This Row],[TEAM]]&amp;Matrix[[#Headers],[24]],FDR[FDR]&amp;FDR[[#Headers],[24]],FDR[24],"",0,1)</f>
        <v>4</v>
      </c>
      <c r="AK640" cm="1">
        <f t="array" ref="AK640">_xlfn.XLOOKUP(Matrix[[#This Row],[TEAM]]&amp;Matrix[[#Headers],[25]],FDR[FDR]&amp;FDR[[#Headers],[25]],FDR[25],"",0,1)</f>
        <v>5</v>
      </c>
      <c r="AL640" cm="1">
        <f t="array" ref="AL640">_xlfn.XLOOKUP(Matrix[[#This Row],[TEAM]]&amp;Matrix[[#Headers],[26]],FDR[FDR]&amp;FDR[[#Headers],[26]],FDR[26],"",0,1)</f>
        <v>5</v>
      </c>
      <c r="AM640" cm="1">
        <f t="array" ref="AM640">_xlfn.XLOOKUP(Matrix[[#This Row],[TEAM]]&amp;Matrix[[#Headers],[27]],FDR[FDR]&amp;FDR[[#Headers],[27]],FDR[27],"",0,1)</f>
        <v>5</v>
      </c>
      <c r="AN640" cm="1">
        <f t="array" ref="AN640">_xlfn.XLOOKUP(Matrix[[#This Row],[TEAM]]&amp;Matrix[[#Headers],[28]],FDR[FDR]&amp;FDR[[#Headers],[28]],FDR[28],"",0,1)</f>
        <v>5</v>
      </c>
      <c r="AO640" cm="1">
        <f t="array" ref="AO640">_xlfn.XLOOKUP(Matrix[[#This Row],[TEAM]]&amp;Matrix[[#Headers],[29]],FDR[FDR]&amp;FDR[[#Headers],[29]],FDR[29],"",0,1)</f>
        <v>5</v>
      </c>
      <c r="AP640" cm="1">
        <f t="array" ref="AP640">_xlfn.XLOOKUP(Matrix[[#This Row],[TEAM]]&amp;Matrix[[#Headers],[30]],FDR[FDR]&amp;FDR[[#Headers],[30]],FDR[30],"",0,1)</f>
        <v>5</v>
      </c>
      <c r="AQ640" cm="1">
        <f t="array" ref="AQ640">_xlfn.XLOOKUP(Matrix[[#This Row],[TEAM]]&amp;Matrix[[#Headers],[31]],FDR[FDR]&amp;FDR[[#Headers],[31]],FDR[31],"",0,1)</f>
        <v>5</v>
      </c>
      <c r="AR640" cm="1">
        <f t="array" ref="AR640">_xlfn.XLOOKUP(Matrix[[#This Row],[TEAM]]&amp;Matrix[[#Headers],[32]],FDR[FDR]&amp;FDR[[#Headers],[32]],FDR[32],"",0,1)</f>
        <v>5</v>
      </c>
      <c r="AS640" cm="1">
        <f t="array" ref="AS640">_xlfn.XLOOKUP(Matrix[[#This Row],[TEAM]]&amp;Matrix[[#Headers],[33]],FDR[FDR]&amp;FDR[[#Headers],[33]],FDR[33],"",0,1)</f>
        <v>3</v>
      </c>
      <c r="AT640" cm="1">
        <f t="array" ref="AT640">_xlfn.XLOOKUP(Matrix[[#This Row],[TEAM]]&amp;Matrix[[#Headers],[34]],FDR[FDR]&amp;FDR[[#Headers],[34]],FDR[34],"",0,1)</f>
        <v>5</v>
      </c>
      <c r="AU640" cm="1">
        <f t="array" ref="AU640">_xlfn.XLOOKUP(Matrix[[#This Row],[TEAM]]&amp;Matrix[[#Headers],[35]],FDR[FDR]&amp;FDR[[#Headers],[35]],FDR[35],"",0,1)</f>
        <v>2</v>
      </c>
      <c r="AV640" cm="1">
        <f t="array" ref="AV640">_xlfn.XLOOKUP(Matrix[[#This Row],[TEAM]]&amp;Matrix[[#Headers],[36]],FDR[FDR]&amp;FDR[[#Headers],[36]],FDR[36],"",0,1)</f>
        <v>5</v>
      </c>
      <c r="AW640" cm="1">
        <f t="array" ref="AW640">_xlfn.XLOOKUP(Matrix[[#This Row],[TEAM]]&amp;Matrix[[#Headers],[37]],FDR[FDR]&amp;FDR[[#Headers],[37]],FDR[37],"",0,1)</f>
        <v>4</v>
      </c>
      <c r="AX640" cm="1">
        <f t="array" ref="AX640">_xlfn.XLOOKUP(Matrix[[#This Row],[TEAM]]&amp;Matrix[[#Headers],[38]],FDR[FDR]&amp;FDR[[#Headers],[38]],FDR[38],"",0,1)</f>
        <v>3</v>
      </c>
    </row>
    <row r="641" ht="20" thickTop="1"/>
  </sheetData>
  <conditionalFormatting sqref="I566:K566">
    <cfRule type="expression" dxfId="1309" priority="207">
      <formula>CELL("color",A1048484)="3"</formula>
    </cfRule>
  </conditionalFormatting>
  <conditionalFormatting sqref="I590 I556:I557 I512:I513 I524">
    <cfRule type="expression" dxfId="1308" priority="206">
      <formula>CELL("color",A1048434)="3"</formula>
    </cfRule>
  </conditionalFormatting>
  <conditionalFormatting sqref="I511 I549:I553">
    <cfRule type="expression" dxfId="1307" priority="208">
      <formula>CELL("color",A1048435)="3"</formula>
    </cfRule>
  </conditionalFormatting>
  <conditionalFormatting sqref="J627:K627">
    <cfRule type="expression" dxfId="1306" priority="205">
      <formula>CELL("color",B1048530)="3"</formula>
    </cfRule>
  </conditionalFormatting>
  <conditionalFormatting sqref="I428:I429">
    <cfRule type="expression" dxfId="1305" priority="200">
      <formula>CELL("color",A1048553)="3"</formula>
    </cfRule>
  </conditionalFormatting>
  <conditionalFormatting sqref="I105:I106 I97:I102 I3 I5 I13 I115:K115 J109:K111">
    <cfRule type="expression" dxfId="1304" priority="194">
      <formula>CELL("color",A1048036)="3"</formula>
    </cfRule>
  </conditionalFormatting>
  <conditionalFormatting sqref="I619 J626:K626">
    <cfRule type="expression" dxfId="1303" priority="192">
      <formula>CELL("color",A1048519)="3"</formula>
    </cfRule>
  </conditionalFormatting>
  <conditionalFormatting sqref="J622:J625 I604:I607 I617:I618">
    <cfRule type="expression" dxfId="1302" priority="193">
      <formula>CELL("color",A1048503)="3"</formula>
    </cfRule>
  </conditionalFormatting>
  <conditionalFormatting sqref="I567">
    <cfRule type="expression" dxfId="1301" priority="210">
      <formula>CELL("color",A1048555)="3"</formula>
    </cfRule>
  </conditionalFormatting>
  <conditionalFormatting sqref="I86:I87 I49:I50 I43:I45 I52 J78:K79 J73:K73">
    <cfRule type="expression" dxfId="1300" priority="211">
      <formula>CELL("color",A1048079)="3"</formula>
    </cfRule>
  </conditionalFormatting>
  <conditionalFormatting sqref="F566">
    <cfRule type="expression" dxfId="1299" priority="184">
      <formula>CELL("color",B1048484)="3"</formula>
    </cfRule>
  </conditionalFormatting>
  <conditionalFormatting sqref="F514">
    <cfRule type="expression" dxfId="1298" priority="183">
      <formula>CELL("color",B1048435)="3"</formula>
    </cfRule>
  </conditionalFormatting>
  <conditionalFormatting sqref="J590 J556:K557 J512:K513">
    <cfRule type="expression" dxfId="1297" priority="185">
      <formula>CELL("color",A1048434)="3"</formula>
    </cfRule>
  </conditionalFormatting>
  <conditionalFormatting sqref="I627">
    <cfRule type="expression" dxfId="1296" priority="182">
      <formula>CELL("color",A1048530)="3"</formula>
    </cfRule>
  </conditionalFormatting>
  <conditionalFormatting sqref="F428:F429">
    <cfRule type="expression" dxfId="1295" priority="177">
      <formula>CELL("color",B1048553)="3"</formula>
    </cfRule>
  </conditionalFormatting>
  <conditionalFormatting sqref="I626">
    <cfRule type="expression" dxfId="1294" priority="169">
      <formula>CELL("color",A1048526)="3"</formula>
    </cfRule>
  </conditionalFormatting>
  <conditionalFormatting sqref="I622:I625">
    <cfRule type="expression" dxfId="1293" priority="170">
      <formula>CELL("color",A1048521)="3"</formula>
    </cfRule>
  </conditionalFormatting>
  <conditionalFormatting sqref="I74:I77 J37:K39 J31:K34">
    <cfRule type="expression" dxfId="1292" priority="187">
      <formula>CELL("color",A1048069)="3"</formula>
    </cfRule>
  </conditionalFormatting>
  <conditionalFormatting sqref="I78:I79">
    <cfRule type="expression" dxfId="1291" priority="188">
      <formula>CELL("color",A1048114)="3"</formula>
    </cfRule>
  </conditionalFormatting>
  <conditionalFormatting sqref="I81:I84 I53 I60:I62 I48 I46 J70:K70 J107:K108 J88:K92">
    <cfRule type="expression" dxfId="1290" priority="189">
      <formula>CELL("color",A1048081)="3"</formula>
    </cfRule>
  </conditionalFormatting>
  <conditionalFormatting sqref="L78:L79 L73 J85:K87 J43:K45 J49:K52">
    <cfRule type="expression" dxfId="1289" priority="167">
      <formula>CELL("color",A1048079)="3"</formula>
    </cfRule>
  </conditionalFormatting>
  <conditionalFormatting sqref="I95:I96 I66 I14:I26 J112:K114 J93:K96 J116:K122">
    <cfRule type="expression" dxfId="1288" priority="1070">
      <formula>CELL("color",A1048048)="3"</formula>
    </cfRule>
  </conditionalFormatting>
  <conditionalFormatting sqref="I292 I248:I249 I281:K282 I277:K279 I241:K244">
    <cfRule type="expression" dxfId="1287" priority="1075">
      <formula>CELL("color",A1048235)="3"</formula>
    </cfRule>
  </conditionalFormatting>
  <conditionalFormatting sqref="I73">
    <cfRule type="expression" dxfId="1286" priority="1077">
      <formula>CELL("color",A1048109)="3"</formula>
    </cfRule>
  </conditionalFormatting>
  <conditionalFormatting sqref="J437:K439 L411">
    <cfRule type="expression" dxfId="1285" priority="1093">
      <formula>CELL("color",A1048370)="3"</formula>
    </cfRule>
  </conditionalFormatting>
  <conditionalFormatting sqref="I596:K596 I522">
    <cfRule type="expression" dxfId="1284" priority="1103">
      <formula>CELL("color",A1048441)="3"</formula>
    </cfRule>
  </conditionalFormatting>
  <conditionalFormatting sqref="L566">
    <cfRule type="expression" dxfId="1283" priority="1113">
      <formula>CELL("color",C1048484)="3"</formula>
    </cfRule>
  </conditionalFormatting>
  <conditionalFormatting sqref="I582">
    <cfRule type="expression" dxfId="1282" priority="1126">
      <formula>CELL("color",A1048499)="3"</formula>
    </cfRule>
  </conditionalFormatting>
  <conditionalFormatting sqref="I569 I495">
    <cfRule type="expression" dxfId="1281" priority="1131">
      <formula>CELL("color",A1048422)="3"</formula>
    </cfRule>
  </conditionalFormatting>
  <conditionalFormatting sqref="J587 I585:J585">
    <cfRule type="expression" dxfId="1280" priority="1144">
      <formula>CELL("color",A1048505)="3"</formula>
    </cfRule>
  </conditionalFormatting>
  <conditionalFormatting sqref="J568">
    <cfRule type="expression" dxfId="1279" priority="1148">
      <formula>CELL("color",B1048490)="3"</formula>
    </cfRule>
  </conditionalFormatting>
  <conditionalFormatting sqref="I568">
    <cfRule type="expression" dxfId="1278" priority="1150">
      <formula>CELL("color",A1048490)="3"</formula>
    </cfRule>
  </conditionalFormatting>
  <conditionalFormatting sqref="I545 I498">
    <cfRule type="expression" dxfId="1277" priority="1165">
      <formula>CELL("color",A1048429)="3"</formula>
    </cfRule>
  </conditionalFormatting>
  <conditionalFormatting sqref="F558:F561">
    <cfRule type="expression" dxfId="1276" priority="1170">
      <formula>CELL("color",B1048479)="3"</formula>
    </cfRule>
  </conditionalFormatting>
  <conditionalFormatting sqref="I464:I470 I263:K270">
    <cfRule type="expression" dxfId="1275" priority="1178">
      <formula>CELL("color",A1048254)="3"</formula>
    </cfRule>
  </conditionalFormatting>
  <conditionalFormatting sqref="F464:F470">
    <cfRule type="expression" dxfId="1274" priority="1183">
      <formula>CELL("color",B1048455)="3"</formula>
    </cfRule>
  </conditionalFormatting>
  <conditionalFormatting sqref="I505">
    <cfRule type="expression" dxfId="1273" priority="1200">
      <formula>CELL("color",A1048432)="3"</formula>
    </cfRule>
  </conditionalFormatting>
  <conditionalFormatting sqref="J499:K499 J495:K497">
    <cfRule type="expression" dxfId="1272" priority="1202">
      <formula>CELL("color",A1048422)="3"</formula>
    </cfRule>
  </conditionalFormatting>
  <conditionalFormatting sqref="I542:J544 I537:K538">
    <cfRule type="expression" dxfId="1271" priority="1204">
      <formula>CELL("color",A1048469)="3"</formula>
    </cfRule>
  </conditionalFormatting>
  <conditionalFormatting sqref="I414:I416 I387:K387">
    <cfRule type="expression" dxfId="1270" priority="1209">
      <formula>CELL("color",A1048357)="3"</formula>
    </cfRule>
  </conditionalFormatting>
  <conditionalFormatting sqref="I558:I561 I514">
    <cfRule type="expression" dxfId="1269" priority="1217">
      <formula>CELL("color",A1048435)="3"</formula>
    </cfRule>
  </conditionalFormatting>
  <conditionalFormatting sqref="L596 J517:K520">
    <cfRule type="expression" dxfId="1268" priority="1222">
      <formula>CELL("color",A1048436)="3"</formula>
    </cfRule>
  </conditionalFormatting>
  <conditionalFormatting sqref="I432:I433">
    <cfRule type="expression" dxfId="1267" priority="1237">
      <formula>CELL("color",A1048396)="3"</formula>
    </cfRule>
  </conditionalFormatting>
  <conditionalFormatting sqref="J374:K374 L370 L384">
    <cfRule type="expression" dxfId="1266" priority="1274">
      <formula>CELL("color",A1048338)="3"</formula>
    </cfRule>
  </conditionalFormatting>
  <conditionalFormatting sqref="J426">
    <cfRule type="expression" dxfId="1265" priority="1295">
      <formula>CELL("color",A1048393)="3"</formula>
    </cfRule>
  </conditionalFormatting>
  <conditionalFormatting sqref="I67:I68">
    <cfRule type="expression" dxfId="1264" priority="1297">
      <formula>CELL("color",A1048100)="3"</formula>
    </cfRule>
  </conditionalFormatting>
  <conditionalFormatting sqref="J595:K595 L583">
    <cfRule type="expression" dxfId="1263" priority="1635">
      <formula>CELL("color",A1048504)="3"</formula>
    </cfRule>
  </conditionalFormatting>
  <conditionalFormatting sqref="J524">
    <cfRule type="expression" dxfId="1262" priority="1648">
      <formula>CELL("color",A1048446)="3"</formula>
    </cfRule>
  </conditionalFormatting>
  <conditionalFormatting sqref="J588">
    <cfRule type="expression" dxfId="1261" priority="1671">
      <formula>CELL("color",B1048508)="3"</formula>
    </cfRule>
  </conditionalFormatting>
  <conditionalFormatting sqref="I588">
    <cfRule type="expression" dxfId="1260" priority="1672">
      <formula>CELL("color",A1048508)="3"</formula>
    </cfRule>
  </conditionalFormatting>
  <conditionalFormatting sqref="I589">
    <cfRule type="expression" dxfId="1259" priority="1717">
      <formula>CELL("color",A1048511)="3"</formula>
    </cfRule>
  </conditionalFormatting>
  <conditionalFormatting sqref="I315:I318 I330:I331 I328">
    <cfRule type="expression" dxfId="1258" priority="1719">
      <formula>CELL("color",A1048297)="3"</formula>
    </cfRule>
  </conditionalFormatting>
  <conditionalFormatting sqref="J511:K511 J549:J553">
    <cfRule type="expression" dxfId="1257" priority="1820">
      <formula>CELL("color",A1048435)="3"</formula>
    </cfRule>
  </conditionalFormatting>
  <conditionalFormatting sqref="J40:K42 J27:K30 J36:K36 J2:K2 L71:L72 L54:L59 J35">
    <cfRule type="expression" dxfId="1256" priority="1823">
      <formula>CELL("color",A1048039)="3"</formula>
    </cfRule>
  </conditionalFormatting>
  <conditionalFormatting sqref="I132:I134 I137:I147 I8 J166:K166">
    <cfRule type="expression" dxfId="1255" priority="1845">
      <formula>CELL("color",A1048034)="3"</formula>
    </cfRule>
  </conditionalFormatting>
  <conditionalFormatting sqref="I166">
    <cfRule type="expression" dxfId="1254" priority="1847">
      <formula>CELL("color",A1048192)="3"</formula>
    </cfRule>
  </conditionalFormatting>
  <conditionalFormatting sqref="I149:I152 J160:K165">
    <cfRule type="expression" dxfId="1253" priority="1869">
      <formula>CELL("color",A1048176)="3"</formula>
    </cfRule>
  </conditionalFormatting>
  <conditionalFormatting sqref="I160:I165">
    <cfRule type="expression" dxfId="1252" priority="1871">
      <formula>CELL("color",A1048187)="3"</formula>
    </cfRule>
  </conditionalFormatting>
  <conditionalFormatting sqref="L70 L107:L108 L88:L92 J80:K84 J46:K48 J53:K53 J60:K63">
    <cfRule type="expression" dxfId="1251" priority="1922">
      <formula>CELL("color",A1048081)="3"</formula>
    </cfRule>
  </conditionalFormatting>
  <conditionalFormatting sqref="I88:I92">
    <cfRule type="expression" dxfId="1250" priority="1923">
      <formula>CELL("color",A1048123)="3"</formula>
    </cfRule>
  </conditionalFormatting>
  <conditionalFormatting sqref="I167 I154 I148 I130:I131 I156 I169:I170 I172 J158:K159 I394:J395">
    <cfRule type="expression" dxfId="1249" priority="2001">
      <formula>CELL("color",A1048155)="3"</formula>
    </cfRule>
  </conditionalFormatting>
  <conditionalFormatting sqref="I158:I159">
    <cfRule type="expression" dxfId="1248" priority="2004">
      <formula>CELL("color",A1048183)="3"</formula>
    </cfRule>
  </conditionalFormatting>
  <conditionalFormatting sqref="B70 B80:B84 B46:B48 B60:B63 B53 B88:B92">
    <cfRule type="expression" dxfId="1247" priority="2102">
      <formula>CELL("color",E1048081)="3"</formula>
    </cfRule>
  </conditionalFormatting>
  <conditionalFormatting sqref="I70">
    <cfRule type="expression" dxfId="1246" priority="2108">
      <formula>CELL("color",A1048105)="3"</formula>
    </cfRule>
  </conditionalFormatting>
  <conditionalFormatting sqref="I424:I425">
    <cfRule type="expression" dxfId="1245" priority="2119">
      <formula>CELL("color",A1048390)="3"</formula>
    </cfRule>
  </conditionalFormatting>
  <conditionalFormatting sqref="B71:B72 B27:B30 B35:B36 B40:B42 B2">
    <cfRule type="expression" dxfId="1244" priority="2249">
      <formula>CELL("color",E1048039)="3"</formula>
    </cfRule>
  </conditionalFormatting>
  <conditionalFormatting sqref="I27:I30 I35:I36 I2 I40:I42 I71:K72 J54:K59">
    <cfRule type="expression" dxfId="1243" priority="2250">
      <formula>CELL("color",A1048039)="3"</formula>
    </cfRule>
  </conditionalFormatting>
  <conditionalFormatting sqref="L37:L39 J74:K77 L31:L35">
    <cfRule type="expression" dxfId="1242" priority="2275">
      <formula>CELL("color",A1048069)="3"</formula>
    </cfRule>
  </conditionalFormatting>
  <conditionalFormatting sqref="I31:I34">
    <cfRule type="expression" dxfId="1241" priority="2276">
      <formula>CELL("color",A1048069)="3"</formula>
    </cfRule>
  </conditionalFormatting>
  <conditionalFormatting sqref="I491">
    <cfRule type="expression" dxfId="1240" priority="2299">
      <formula>CELL("color",A1048421)="3"</formula>
    </cfRule>
  </conditionalFormatting>
  <conditionalFormatting sqref="F489:F490 F498 F545">
    <cfRule type="expression" dxfId="1239" priority="2301">
      <formula>CELL("color",B1048420)="3"</formula>
    </cfRule>
  </conditionalFormatting>
  <conditionalFormatting sqref="C71:C72 C27:C30 C35:C36 C40:C42 B54:C59 B2:C2">
    <cfRule type="expression" dxfId="1238" priority="2316">
      <formula>CELL("color",C1048039)="3"</formula>
    </cfRule>
  </conditionalFormatting>
  <conditionalFormatting sqref="I55:I59">
    <cfRule type="expression" dxfId="1237" priority="2319">
      <formula>CELL("color",A1048092)="3"</formula>
    </cfRule>
  </conditionalFormatting>
  <conditionalFormatting sqref="L112:L114 L93:L96 L116:L122 J69:K69 J65:K66 J14:K26">
    <cfRule type="expression" dxfId="1236" priority="2321">
      <formula>CELL("color",A1048048)="3"</formula>
    </cfRule>
  </conditionalFormatting>
  <conditionalFormatting sqref="I112:I114">
    <cfRule type="expression" dxfId="1235" priority="2332">
      <formula>CELL("color",A1048146)="3"</formula>
    </cfRule>
  </conditionalFormatting>
  <conditionalFormatting sqref="B93:B96 B65:B66 B14:B26 B112:B114 B69">
    <cfRule type="expression" dxfId="1234" priority="2396">
      <formula>CELL("color",E1048048)="3"</formula>
    </cfRule>
  </conditionalFormatting>
  <conditionalFormatting sqref="I93">
    <cfRule type="expression" dxfId="1233" priority="2398">
      <formula>CELL("color",A1048127)="3"</formula>
    </cfRule>
  </conditionalFormatting>
  <conditionalFormatting sqref="L115 L109:L111 J105:K106 J67:K69 J97:K102 J5:K5 J13:K13 J3:K3 J64:K64">
    <cfRule type="expression" dxfId="1232" priority="2455">
      <formula>CELL("color",A1048036)="3"</formula>
    </cfRule>
  </conditionalFormatting>
  <conditionalFormatting sqref="I109:I111">
    <cfRule type="expression" dxfId="1231" priority="2456">
      <formula>CELL("color",A1048142)="3"</formula>
    </cfRule>
  </conditionalFormatting>
  <conditionalFormatting sqref="G136">
    <cfRule type="expression" dxfId="1230" priority="2526">
      <formula>CELL("color",E1048159)="3"</formula>
    </cfRule>
  </conditionalFormatting>
  <conditionalFormatting sqref="I136:K136">
    <cfRule type="expression" dxfId="1229" priority="2528">
      <formula>CELL("color",A1048159)="3"</formula>
    </cfRule>
  </conditionalFormatting>
  <conditionalFormatting sqref="C70 C80:C84 C46:C48 C60:C63 C53 B107:C108 B88:C92">
    <cfRule type="expression" dxfId="1228" priority="2559">
      <formula>CELL("color",C1048081)="3"</formula>
    </cfRule>
  </conditionalFormatting>
  <conditionalFormatting sqref="I107:I108">
    <cfRule type="expression" dxfId="1227" priority="2560">
      <formula>CELL("color",A1048142)="3"</formula>
    </cfRule>
  </conditionalFormatting>
  <conditionalFormatting sqref="L271:L276 L280 J283:K283 J250:K251">
    <cfRule type="expression" dxfId="1226" priority="2612">
      <formula>CELL("color",A1048243)="3"</formula>
    </cfRule>
  </conditionalFormatting>
  <conditionalFormatting sqref="I290:I291 I293:I294 I245:I247">
    <cfRule type="expression" dxfId="1225" priority="2614">
      <formula>CELL("color",A1048240)="3"</formula>
    </cfRule>
  </conditionalFormatting>
  <conditionalFormatting sqref="I327">
    <cfRule type="expression" dxfId="1224" priority="2628">
      <formula>CELL("color",A1048312)="3"</formula>
    </cfRule>
  </conditionalFormatting>
  <conditionalFormatting sqref="G184:G187">
    <cfRule type="expression" dxfId="1223" priority="2662">
      <formula>CELL("color",E1048199)="3"</formula>
    </cfRule>
  </conditionalFormatting>
  <conditionalFormatting sqref="I184:K187">
    <cfRule type="expression" dxfId="1222" priority="2675">
      <formula>CELL("color",A1048199)="3"</formula>
    </cfRule>
  </conditionalFormatting>
  <conditionalFormatting sqref="I283 J271:K276 I280:K280 I250:I251">
    <cfRule type="expression" dxfId="1221" priority="2702">
      <formula>CELL("color",A1048243)="3"</formula>
    </cfRule>
  </conditionalFormatting>
  <conditionalFormatting sqref="I271:I276">
    <cfRule type="expression" dxfId="1220" priority="2704">
      <formula>CELL("color",A1048264)="3"</formula>
    </cfRule>
  </conditionalFormatting>
  <conditionalFormatting sqref="J570:K572">
    <cfRule type="expression" dxfId="1219" priority="2710">
      <formula>CELL("color",A1048498)="3"</formula>
    </cfRule>
  </conditionalFormatting>
  <conditionalFormatting sqref="F537:F538">
    <cfRule type="expression" dxfId="1218" priority="2711">
      <formula>CELL("color",B1048469)="3"</formula>
    </cfRule>
  </conditionalFormatting>
  <conditionalFormatting sqref="B37:B39 B31:B34">
    <cfRule type="expression" dxfId="1217" priority="2767">
      <formula>CELL("color",E1048069)="3"</formula>
    </cfRule>
  </conditionalFormatting>
  <conditionalFormatting sqref="I38:I39">
    <cfRule type="expression" dxfId="1216" priority="2770">
      <formula>CELL("color",A1048076)="3"</formula>
    </cfRule>
  </conditionalFormatting>
  <conditionalFormatting sqref="G176">
    <cfRule type="expression" dxfId="1215" priority="2828">
      <formula>CELL("color",E1048193)="3"</formula>
    </cfRule>
  </conditionalFormatting>
  <conditionalFormatting sqref="I176:K176">
    <cfRule type="expression" dxfId="1214" priority="2829">
      <formula>CELL("color",A1048193)="3"</formula>
    </cfRule>
  </conditionalFormatting>
  <conditionalFormatting sqref="G177:G183">
    <cfRule type="expression" dxfId="1213" priority="2891">
      <formula>CELL("color",E1048193)="3"</formula>
    </cfRule>
  </conditionalFormatting>
  <conditionalFormatting sqref="I177:K183">
    <cfRule type="expression" dxfId="1212" priority="2892">
      <formula>CELL("color",A1048193)="3"</formula>
    </cfRule>
  </conditionalFormatting>
  <conditionalFormatting sqref="C65:C66 C14:C26 C112:C114 B93:C96 B116:C122 B69:C69">
    <cfRule type="expression" dxfId="1211" priority="3007">
      <formula>CELL("color",C1048048)="3"</formula>
    </cfRule>
  </conditionalFormatting>
  <conditionalFormatting sqref="I116:I122">
    <cfRule type="expression" dxfId="1210" priority="3009">
      <formula>CELL("color",A1048150)="3"</formula>
    </cfRule>
  </conditionalFormatting>
  <conditionalFormatting sqref="J567">
    <cfRule type="expression" dxfId="1209" priority="3015">
      <formula>CELL("color",A1048555)="3"</formula>
    </cfRule>
  </conditionalFormatting>
  <conditionalFormatting sqref="I188:K192">
    <cfRule type="expression" dxfId="1208" priority="3016">
      <formula>CELL("color",A1048201)="3"</formula>
    </cfRule>
  </conditionalFormatting>
  <conditionalFormatting sqref="G128:G129">
    <cfRule type="expression" dxfId="1207" priority="3066">
      <formula>CELL("color",E1048157)="3"</formula>
    </cfRule>
  </conditionalFormatting>
  <conditionalFormatting sqref="I128:K129">
    <cfRule type="expression" dxfId="1206" priority="3067">
      <formula>CELL("color",A1048157)="3"</formula>
    </cfRule>
  </conditionalFormatting>
  <conditionalFormatting sqref="G195:G196">
    <cfRule type="expression" dxfId="1205" priority="3129">
      <formula>CELL("color",E1048205)="3"</formula>
    </cfRule>
  </conditionalFormatting>
  <conditionalFormatting sqref="I195:K196">
    <cfRule type="expression" dxfId="1204" priority="3130">
      <formula>CELL("color",A1048205)="3"</formula>
    </cfRule>
  </conditionalFormatting>
  <conditionalFormatting sqref="I135 I157:K157 I396:J396">
    <cfRule type="expression" dxfId="1203" priority="3247">
      <formula>CELL("color",A1048159)="3"</formula>
    </cfRule>
  </conditionalFormatting>
  <conditionalFormatting sqref="I314">
    <cfRule type="expression" dxfId="1202" priority="3305">
      <formula>CELL("color",A1048295)="3"</formula>
    </cfRule>
  </conditionalFormatting>
  <conditionalFormatting sqref="B540:C540">
    <cfRule type="expression" dxfId="1201" priority="3308">
      <formula>CELL("color",C1048528)="3"</formula>
    </cfRule>
  </conditionalFormatting>
  <conditionalFormatting sqref="I203:K205">
    <cfRule type="expression" dxfId="1200" priority="3314">
      <formula>CELL("color",A1048210)="3"</formula>
    </cfRule>
  </conditionalFormatting>
  <conditionalFormatting sqref="G207:G210">
    <cfRule type="expression" dxfId="1199" priority="3315">
      <formula>CELL("color",E1048210)="3"</formula>
    </cfRule>
  </conditionalFormatting>
  <conditionalFormatting sqref="I207:K210">
    <cfRule type="expression" dxfId="1198" priority="3321">
      <formula>CELL("color",A1048210)="3"</formula>
    </cfRule>
  </conditionalFormatting>
  <conditionalFormatting sqref="J173">
    <cfRule type="expression" dxfId="1197" priority="3342">
      <formula>CELL("color",B1048192)="3"</formula>
    </cfRule>
  </conditionalFormatting>
  <conditionalFormatting sqref="I174:J175">
    <cfRule type="expression" dxfId="1196" priority="3343">
      <formula>CELL("color",A1048193)="3"</formula>
    </cfRule>
  </conditionalFormatting>
  <conditionalFormatting sqref="J594:L594 L263:L270 J295:K297">
    <cfRule type="expression" dxfId="1195" priority="3344">
      <formula>CELL("color",A1048254)="3"</formula>
    </cfRule>
  </conditionalFormatting>
  <conditionalFormatting sqref="I211:J212 J218:K220">
    <cfRule type="expression" dxfId="1194" priority="3349">
      <formula>CELL("color",A1048213)="3"</formula>
    </cfRule>
  </conditionalFormatting>
  <conditionalFormatting sqref="D458:F458">
    <cfRule type="expression" dxfId="1193" priority="3392">
      <formula>CELL("color",C1048413)="3"</formula>
    </cfRule>
  </conditionalFormatting>
  <conditionalFormatting sqref="I198:I199">
    <cfRule type="expression" dxfId="1192" priority="3395">
      <formula>CELL("color",A1048205)="3"</formula>
    </cfRule>
  </conditionalFormatting>
  <conditionalFormatting sqref="I202:K202">
    <cfRule type="expression" dxfId="1191" priority="3403">
      <formula>CELL("color",A1048210)="3"</formula>
    </cfRule>
  </conditionalFormatting>
  <conditionalFormatting sqref="G206">
    <cfRule type="expression" dxfId="1190" priority="3406">
      <formula>CELL("color",E1048211)="3"</formula>
    </cfRule>
  </conditionalFormatting>
  <conditionalFormatting sqref="I206:K206">
    <cfRule type="expression" dxfId="1189" priority="3417">
      <formula>CELL("color",A1048211)="3"</formula>
    </cfRule>
  </conditionalFormatting>
  <conditionalFormatting sqref="J315:K318 J328:K331">
    <cfRule type="expression" dxfId="1188" priority="3488">
      <formula>CELL("color",A1048297)="3"</formula>
    </cfRule>
  </conditionalFormatting>
  <conditionalFormatting sqref="I252:J262">
    <cfRule type="expression" dxfId="1187" priority="3490">
      <formula>CELL("color",A1048244)="3"</formula>
    </cfRule>
  </conditionalFormatting>
  <conditionalFormatting sqref="B218:B220 B211:B212">
    <cfRule type="expression" dxfId="1186" priority="3493">
      <formula>CELL("color",E1048213)="3"</formula>
    </cfRule>
  </conditionalFormatting>
  <conditionalFormatting sqref="I218:I220">
    <cfRule type="expression" dxfId="1185" priority="3502">
      <formula>CELL("color",A1048220)="3"</formula>
    </cfRule>
  </conditionalFormatting>
  <conditionalFormatting sqref="C590 B556:C557 C512:C513 B524:C524">
    <cfRule type="expression" dxfId="1184" priority="3504">
      <formula>CELL("color",C1048434)="3"</formula>
    </cfRule>
  </conditionalFormatting>
  <conditionalFormatting sqref="I224:K225">
    <cfRule type="expression" dxfId="1183" priority="3512">
      <formula>CELL("color",A1048223)="3"</formula>
    </cfRule>
  </conditionalFormatting>
  <conditionalFormatting sqref="I229:I232">
    <cfRule type="expression" dxfId="1182" priority="3520">
      <formula>CELL("color",A1048228)="3"</formula>
    </cfRule>
  </conditionalFormatting>
  <conditionalFormatting sqref="I227">
    <cfRule type="expression" dxfId="1181" priority="3521">
      <formula>CELL("color",A1048226)="3"</formula>
    </cfRule>
  </conditionalFormatting>
  <conditionalFormatting sqref="I226:K226">
    <cfRule type="expression" dxfId="1180" priority="3528">
      <formula>CELL("color",A1048224)="3"</formula>
    </cfRule>
  </conditionalFormatting>
  <conditionalFormatting sqref="I323:I326 I302:I303">
    <cfRule type="expression" dxfId="1179" priority="3530">
      <formula>CELL("color",A1048288)="3"</formula>
    </cfRule>
  </conditionalFormatting>
  <conditionalFormatting sqref="I233:K236">
    <cfRule type="expression" dxfId="1178" priority="3537">
      <formula>CELL("color",A1048229)="3"</formula>
    </cfRule>
  </conditionalFormatting>
  <conditionalFormatting sqref="I562:I565">
    <cfRule type="expression" dxfId="1177" priority="3581">
      <formula>CELL("color",A1048481)="3"</formula>
    </cfRule>
  </conditionalFormatting>
  <conditionalFormatting sqref="I426">
    <cfRule type="expression" dxfId="1176" priority="3582">
      <formula>CELL("color",A1048393)="3"</formula>
    </cfRule>
  </conditionalFormatting>
  <conditionalFormatting sqref="L626 J619:K619">
    <cfRule type="expression" dxfId="1175" priority="3586">
      <formula>CELL("color",A1048519)="3"</formula>
    </cfRule>
  </conditionalFormatting>
  <conditionalFormatting sqref="J617:K618 J604:K607">
    <cfRule type="expression" dxfId="1174" priority="3598">
      <formula>CELL("color",A1048503)="3"</formula>
    </cfRule>
  </conditionalFormatting>
  <conditionalFormatting sqref="J414:K416 L387">
    <cfRule type="expression" dxfId="1173" priority="3606">
      <formula>CELL("color",A1048357)="3"</formula>
    </cfRule>
  </conditionalFormatting>
  <conditionalFormatting sqref="I417:I419 I388:K390 I383:K383 I375:K375 I385:K386">
    <cfRule type="expression" dxfId="1172" priority="3615">
      <formula>CELL("color",A1048344)="3"</formula>
    </cfRule>
  </conditionalFormatting>
  <conditionalFormatting sqref="J558:K560 J561">
    <cfRule type="expression" dxfId="1171" priority="3617">
      <formula>CELL("color",A1048479)="3"</formula>
    </cfRule>
  </conditionalFormatting>
  <conditionalFormatting sqref="I284 I286:I289">
    <cfRule type="expression" dxfId="1170" priority="3872">
      <formula>CELL("color",A1048285)="3"</formula>
    </cfRule>
  </conditionalFormatting>
  <conditionalFormatting sqref="I221:K223">
    <cfRule type="expression" dxfId="1169" priority="3874">
      <formula>CELL("color",A1048221)="3"</formula>
    </cfRule>
  </conditionalFormatting>
  <conditionalFormatting sqref="L537:L538 J487:K487">
    <cfRule type="expression" dxfId="1168" priority="3975">
      <formula>CELL("color",A1048419)="3"</formula>
    </cfRule>
  </conditionalFormatting>
  <conditionalFormatting sqref="F541:F544">
    <cfRule type="expression" dxfId="1167" priority="3977">
      <formula>CELL("color",B1048473)="3"</formula>
    </cfRule>
  </conditionalFormatting>
  <conditionalFormatting sqref="I349:J349 J348">
    <cfRule type="expression" dxfId="1166" priority="4058">
      <formula>CELL("color",A1048325)="3"</formula>
    </cfRule>
  </conditionalFormatting>
  <conditionalFormatting sqref="I346:J347">
    <cfRule type="expression" dxfId="1165" priority="4059">
      <formula>CELL("color",A1048323)="3"</formula>
    </cfRule>
  </conditionalFormatting>
  <conditionalFormatting sqref="I595 I591:I592 I583:K583">
    <cfRule type="expression" dxfId="1164" priority="4180">
      <formula>CELL("color",A1048504)="3"</formula>
    </cfRule>
  </conditionalFormatting>
  <conditionalFormatting sqref="J591:J592">
    <cfRule type="expression" dxfId="1163" priority="4218">
      <formula>CELL("color",A1048512)="3"</formula>
    </cfRule>
  </conditionalFormatting>
  <conditionalFormatting sqref="F556:F557 F524">
    <cfRule type="expression" dxfId="1162" priority="4219">
      <formula>CELL("color",B1048446)="3"</formula>
    </cfRule>
  </conditionalFormatting>
  <conditionalFormatting sqref="J569:K569">
    <cfRule type="expression" dxfId="1161" priority="4263">
      <formula>CELL("color",A1048496)="3"</formula>
    </cfRule>
  </conditionalFormatting>
  <conditionalFormatting sqref="I437:I439 I411:K411">
    <cfRule type="expression" dxfId="1160" priority="4264">
      <formula>CELL("color",A1048370)="3"</formula>
    </cfRule>
  </conditionalFormatting>
  <conditionalFormatting sqref="I497">
    <cfRule type="expression" dxfId="1159" priority="4330">
      <formula>CELL("color",A1048424)="3"</formula>
    </cfRule>
  </conditionalFormatting>
  <conditionalFormatting sqref="I508:I509 I510:K510">
    <cfRule type="expression" dxfId="1158" priority="4387">
      <formula>CELL("color",A1048433)="3"</formula>
    </cfRule>
  </conditionalFormatting>
  <conditionalFormatting sqref="I515:I516">
    <cfRule type="expression" dxfId="1157" priority="4423">
      <formula>CELL("color",A1048435)="3"</formula>
    </cfRule>
  </conditionalFormatting>
  <conditionalFormatting sqref="F515:F516">
    <cfRule type="expression" dxfId="1156" priority="4425">
      <formula>CELL("color",B1048435)="3"</formula>
    </cfRule>
  </conditionalFormatting>
  <conditionalFormatting sqref="L158:L159 J167:K172 J130:K131 J154:K156 J148:K148">
    <cfRule type="expression" dxfId="1155" priority="4434">
      <formula>CELL("color",A1048155)="3"</formula>
    </cfRule>
  </conditionalFormatting>
  <conditionalFormatting sqref="F458">
    <cfRule type="expression" dxfId="1154" priority="4435">
      <formula>CELL("color",B1048413)="3"</formula>
    </cfRule>
  </conditionalFormatting>
  <conditionalFormatting sqref="J123:K127">
    <cfRule type="expression" dxfId="1153" priority="4535">
      <formula>CELL("color",B1048155)="3"</formula>
    </cfRule>
  </conditionalFormatting>
  <conditionalFormatting sqref="I123:I127">
    <cfRule type="expression" dxfId="1152" priority="4536">
      <formula>CELL("color",A1048155)="3"</formula>
    </cfRule>
  </conditionalFormatting>
  <conditionalFormatting sqref="J103:K104">
    <cfRule type="expression" dxfId="1151" priority="4564">
      <formula>CELL("color",B1048133)="3"</formula>
    </cfRule>
  </conditionalFormatting>
  <conditionalFormatting sqref="I103:I104">
    <cfRule type="expression" dxfId="1150" priority="4565">
      <formula>CELL("color",A1048133)="3"</formula>
    </cfRule>
  </conditionalFormatting>
  <conditionalFormatting sqref="G202">
    <cfRule type="expression" dxfId="1149" priority="4618">
      <formula>CELL("color",E1048210)="3"</formula>
    </cfRule>
  </conditionalFormatting>
  <conditionalFormatting sqref="I193:J194">
    <cfRule type="expression" dxfId="1148" priority="4620">
      <formula>CELL("color",A1048202)="3"</formula>
    </cfRule>
  </conditionalFormatting>
  <conditionalFormatting sqref="G103:G104">
    <cfRule type="expression" dxfId="1147" priority="4685">
      <formula>CELL("color",E1048133)="3"</formula>
    </cfRule>
  </conditionalFormatting>
  <conditionalFormatting sqref="J9:K9 J4:K4">
    <cfRule type="expression" dxfId="1146" priority="4689">
      <formula>CELL("color",A1048035)="3"</formula>
    </cfRule>
  </conditionalFormatting>
  <conditionalFormatting sqref="G10:G11">
    <cfRule type="expression" dxfId="1145" priority="4704">
      <formula>CELL("color",E1048042)="3"</formula>
    </cfRule>
  </conditionalFormatting>
  <conditionalFormatting sqref="I10:J12">
    <cfRule type="expression" dxfId="1144" priority="4705">
      <formula>CELL("color",A1048042)="3"</formula>
    </cfRule>
  </conditionalFormatting>
  <conditionalFormatting sqref="J302:K303">
    <cfRule type="expression" dxfId="1143" priority="4720">
      <formula>CELL("color",A1048288)="3"</formula>
    </cfRule>
  </conditionalFormatting>
  <conditionalFormatting sqref="F2">
    <cfRule type="expression" dxfId="1142" priority="4726">
      <formula>CELL("color",B1048039)="3"</formula>
    </cfRule>
  </conditionalFormatting>
  <conditionalFormatting sqref="J310:K313">
    <cfRule type="expression" dxfId="1141" priority="4772">
      <formula>CELL("color",A1048290)="3"</formula>
    </cfRule>
  </conditionalFormatting>
  <conditionalFormatting sqref="F328:F331">
    <cfRule type="expression" dxfId="1140" priority="4774">
      <formula>CELL("color",B1048310)="3"</formula>
    </cfRule>
  </conditionalFormatting>
  <conditionalFormatting sqref="F69">
    <cfRule type="expression" dxfId="1139" priority="4794">
      <formula>CELL("color",B1048103)="3"</formula>
    </cfRule>
  </conditionalFormatting>
  <conditionalFormatting sqref="F327">
    <cfRule type="expression" dxfId="1138" priority="4797">
      <formula>CELL("color",B1048312)="3"</formula>
    </cfRule>
  </conditionalFormatting>
  <conditionalFormatting sqref="F511 F549:F553">
    <cfRule type="expression" dxfId="1137" priority="4832">
      <formula>CELL("color",B1048435)="3"</formula>
    </cfRule>
  </conditionalFormatting>
  <conditionalFormatting sqref="I332 I310:I313">
    <cfRule type="expression" dxfId="1136" priority="4874">
      <formula>CELL("color",A1048290)="3"</formula>
    </cfRule>
  </conditionalFormatting>
  <conditionalFormatting sqref="G627">
    <cfRule type="expression" dxfId="1135" priority="4924">
      <formula>CELL("color",E1048530)="3"</formula>
    </cfRule>
  </conditionalFormatting>
  <conditionalFormatting sqref="I213:I217">
    <cfRule type="expression" dxfId="1134" priority="166">
      <formula>CELL("color",A1048217)="3"</formula>
    </cfRule>
  </conditionalFormatting>
  <conditionalFormatting sqref="I339:I343 I335:I336 I350:I354">
    <cfRule type="expression" dxfId="1133" priority="4962">
      <formula>CELL("color",A1048310)="3"</formula>
    </cfRule>
  </conditionalFormatting>
  <conditionalFormatting sqref="B570">
    <cfRule type="expression" dxfId="1132" priority="5061">
      <formula>CELL("color",E1048498)="3"</formula>
    </cfRule>
  </conditionalFormatting>
  <conditionalFormatting sqref="F562:F565 F517:F520">
    <cfRule type="expression" dxfId="1131" priority="5088">
      <formula>CELL("color",B1048436)="3"</formula>
    </cfRule>
  </conditionalFormatting>
  <conditionalFormatting sqref="F426 F420">
    <cfRule type="expression" dxfId="1130" priority="5107">
      <formula>CELL("color",B1048387)="3"</formula>
    </cfRule>
  </conditionalFormatting>
  <conditionalFormatting sqref="F414:F416">
    <cfRule type="expression" dxfId="1129" priority="5197">
      <formula>CELL("color",B1048384)="3"</formula>
    </cfRule>
  </conditionalFormatting>
  <conditionalFormatting sqref="F417:F419">
    <cfRule type="expression" dxfId="1128" priority="5310">
      <formula>CELL("color",B1048386)="3"</formula>
    </cfRule>
  </conditionalFormatting>
  <conditionalFormatting sqref="F427 F423">
    <cfRule type="expression" dxfId="1127" priority="5339">
      <formula>CELL("color",B1048388)="3"</formula>
    </cfRule>
  </conditionalFormatting>
  <conditionalFormatting sqref="F432:F433">
    <cfRule type="expression" dxfId="1126" priority="5363">
      <formula>CELL("color",B1048396)="3"</formula>
    </cfRule>
  </conditionalFormatting>
  <conditionalFormatting sqref="J432:K433">
    <cfRule type="expression" dxfId="1125" priority="165">
      <formula>CELL("color",A1048396)="3"</formula>
    </cfRule>
  </conditionalFormatting>
  <conditionalFormatting sqref="F567">
    <cfRule type="expression" dxfId="1124" priority="5392">
      <formula>CELL("color",B1048555)="3"</formula>
    </cfRule>
  </conditionalFormatting>
  <conditionalFormatting sqref="J406:K406">
    <cfRule type="expression" dxfId="1123" priority="5410">
      <formula>CELL("color",A1048367)="3"</formula>
    </cfRule>
  </conditionalFormatting>
  <conditionalFormatting sqref="J582">
    <cfRule type="expression" dxfId="1122" priority="164">
      <formula>CELL("color",A1048499)="3"</formula>
    </cfRule>
  </conditionalFormatting>
  <conditionalFormatting sqref="J400:K404 J440:K440">
    <cfRule type="expression" dxfId="1121" priority="5433">
      <formula>CELL("color",A1048360)="3"</formula>
    </cfRule>
  </conditionalFormatting>
  <conditionalFormatting sqref="J539:K539 J498:K498">
    <cfRule type="expression" dxfId="1120" priority="5469">
      <formula>CELL("color",A1048429)="3"</formula>
    </cfRule>
  </conditionalFormatting>
  <conditionalFormatting sqref="J589">
    <cfRule type="expression" dxfId="1119" priority="163">
      <formula>CELL("color",A1048511)="3"</formula>
    </cfRule>
  </conditionalFormatting>
  <conditionalFormatting sqref="J412">
    <cfRule type="expression" dxfId="1118" priority="162">
      <formula>CELL("color",A1048373)="3"</formula>
    </cfRule>
  </conditionalFormatting>
  <conditionalFormatting sqref="B566">
    <cfRule type="expression" dxfId="1117" priority="5499">
      <formula>CELL("color",E1048484)="3"</formula>
    </cfRule>
  </conditionalFormatting>
  <conditionalFormatting sqref="J428:K429">
    <cfRule type="expression" dxfId="1116" priority="5503">
      <formula>CELL("color",A1048553)="3"</formula>
    </cfRule>
  </conditionalFormatting>
  <conditionalFormatting sqref="J399">
    <cfRule type="expression" dxfId="1115" priority="5525">
      <formula>CELL("color",A1048358)="3"</formula>
    </cfRule>
  </conditionalFormatting>
  <conditionalFormatting sqref="J545">
    <cfRule type="expression" dxfId="1114" priority="5547">
      <formula>CELL("color",A1048476)="3"</formula>
    </cfRule>
  </conditionalFormatting>
  <conditionalFormatting sqref="C568">
    <cfRule type="expression" dxfId="1113" priority="5552">
      <formula>CELL("color",D1048490)="3"</formula>
    </cfRule>
  </conditionalFormatting>
  <conditionalFormatting sqref="J464:K470">
    <cfRule type="expression" dxfId="1112" priority="5557">
      <formula>CELL("color",A1048455)="3"</formula>
    </cfRule>
  </conditionalFormatting>
  <conditionalFormatting sqref="B584:B585 B587:B588 B515:B516">
    <cfRule type="expression" dxfId="1111" priority="5577">
      <formula>CELL("color",E1048435)="3"</formula>
    </cfRule>
  </conditionalFormatting>
  <conditionalFormatting sqref="C589">
    <cfRule type="expression" dxfId="1110" priority="5581">
      <formula>CELL("color",D1048511)="3"</formula>
    </cfRule>
  </conditionalFormatting>
  <conditionalFormatting sqref="L166 J137:K147 J132:K134 J8:K8">
    <cfRule type="expression" dxfId="1109" priority="5584">
      <formula>CELL("color",A1048034)="3"</formula>
    </cfRule>
  </conditionalFormatting>
  <conditionalFormatting sqref="L160:L165 J149:K153">
    <cfRule type="expression" dxfId="1108" priority="5588">
      <formula>CELL("color",A1048176)="3"</formula>
    </cfRule>
  </conditionalFormatting>
  <conditionalFormatting sqref="J424:K425 J422:K422">
    <cfRule type="expression" dxfId="1107" priority="5600">
      <formula>CELL("color",A1048388)="3"</formula>
    </cfRule>
  </conditionalFormatting>
  <conditionalFormatting sqref="J562:J565">
    <cfRule type="expression" dxfId="1106" priority="5606">
      <formula>CELL("color",A1048481)="3"</formula>
    </cfRule>
  </conditionalFormatting>
  <conditionalFormatting sqref="B619 B626">
    <cfRule type="expression" dxfId="1105" priority="5614">
      <formula>CELL("color",E1048519)="3"</formula>
    </cfRule>
  </conditionalFormatting>
  <conditionalFormatting sqref="J327:K327">
    <cfRule type="expression" dxfId="1104" priority="5619">
      <formula>CELL("color",A1048312)="3"</formula>
    </cfRule>
  </conditionalFormatting>
  <conditionalFormatting sqref="B283 B271:B276 B250:B251 B280">
    <cfRule type="expression" dxfId="1103" priority="5624">
      <formula>CELL("color",E1048243)="3"</formula>
    </cfRule>
  </conditionalFormatting>
  <conditionalFormatting sqref="J452:K452">
    <cfRule type="expression" dxfId="1102" priority="5636">
      <formula>CELL("color",A1048405)="3"</formula>
    </cfRule>
  </conditionalFormatting>
  <conditionalFormatting sqref="J314:K314">
    <cfRule type="expression" dxfId="1101" priority="5639">
      <formula>CELL("color",A1048295)="3"</formula>
    </cfRule>
  </conditionalFormatting>
  <conditionalFormatting sqref="L203:L205 J198:K199">
    <cfRule type="expression" dxfId="1100" priority="5642">
      <formula>CELL("color",A1048205)="3"</formula>
    </cfRule>
  </conditionalFormatting>
  <conditionalFormatting sqref="B198:B199 B203:B205">
    <cfRule type="expression" dxfId="1099" priority="5648">
      <formula>CELL("color",E1048205)="3"</formula>
    </cfRule>
  </conditionalFormatting>
  <conditionalFormatting sqref="L224:L225 J227:K232">
    <cfRule type="expression" dxfId="1098" priority="5655">
      <formula>CELL("color",A1048223)="3"</formula>
    </cfRule>
  </conditionalFormatting>
  <conditionalFormatting sqref="J323:J326">
    <cfRule type="expression" dxfId="1097" priority="5657">
      <formula>CELL("color",A1048309)="3"</formula>
    </cfRule>
  </conditionalFormatting>
  <conditionalFormatting sqref="B562:B565 B596 B517:B520">
    <cfRule type="expression" dxfId="1096" priority="5660">
      <formula>CELL("color",E1048436)="3"</formula>
    </cfRule>
  </conditionalFormatting>
  <conditionalFormatting sqref="J284:K289">
    <cfRule type="expression" dxfId="1095" priority="5665">
      <formula>CELL("color",A1048285)="3"</formula>
    </cfRule>
  </conditionalFormatting>
  <conditionalFormatting sqref="J629:K632">
    <cfRule type="expression" dxfId="1094" priority="5674">
      <formula>CELL("color",A1048511)="3"</formula>
    </cfRule>
  </conditionalFormatting>
  <conditionalFormatting sqref="B123:B127 B10:B11">
    <cfRule type="expression" dxfId="1093" priority="5675">
      <formula>CELL("color",E1048042)="3"</formula>
    </cfRule>
  </conditionalFormatting>
  <conditionalFormatting sqref="J332:J333">
    <cfRule type="expression" dxfId="1092" priority="5693">
      <formula>CELL("color",A1048312)="3"</formula>
    </cfRule>
  </conditionalFormatting>
  <conditionalFormatting sqref="J293:K294 J245:K247 J290:K291">
    <cfRule type="expression" dxfId="1091" priority="5694">
      <formula>CELL("color",A1048240)="3"</formula>
    </cfRule>
  </conditionalFormatting>
  <conditionalFormatting sqref="J593:K593">
    <cfRule type="expression" dxfId="1090" priority="5696">
      <formula>CELL("color",A1048560)="3"</formula>
    </cfRule>
  </conditionalFormatting>
  <conditionalFormatting sqref="C74:C77 C37:C39 B31:C34">
    <cfRule type="expression" dxfId="1089" priority="5795">
      <formula>CELL("color",C1048069)="3"</formula>
    </cfRule>
  </conditionalFormatting>
  <conditionalFormatting sqref="G226">
    <cfRule type="expression" dxfId="1088" priority="5809">
      <formula>CELL("color",E1048224)="3"</formula>
    </cfRule>
  </conditionalFormatting>
  <conditionalFormatting sqref="L218:L220">
    <cfRule type="expression" dxfId="1087" priority="5811">
      <formula>CELL("color",C1048220)="3"</formula>
    </cfRule>
  </conditionalFormatting>
  <conditionalFormatting sqref="J213:K217">
    <cfRule type="expression" dxfId="1086" priority="5818">
      <formula>CELL("color",A1048217)="3"</formula>
    </cfRule>
  </conditionalFormatting>
  <conditionalFormatting sqref="I344:I345">
    <cfRule type="expression" dxfId="1085" priority="5819">
      <formula>CELL("color",A1048320)="3"</formula>
    </cfRule>
  </conditionalFormatting>
  <conditionalFormatting sqref="J344:K345">
    <cfRule type="expression" dxfId="1084" priority="5964">
      <formula>CELL("color",A1048320)="3"</formula>
    </cfRule>
  </conditionalFormatting>
  <conditionalFormatting sqref="I337:I338 I334">
    <cfRule type="expression" dxfId="1083" priority="6146">
      <formula>CELL("color",A1048308)="3"</formula>
    </cfRule>
  </conditionalFormatting>
  <conditionalFormatting sqref="J337:K338 J334:K334">
    <cfRule type="expression" dxfId="1082" priority="6224">
      <formula>CELL("color",A1048308)="3"</formula>
    </cfRule>
  </conditionalFormatting>
  <conditionalFormatting sqref="B426 B420">
    <cfRule type="expression" dxfId="1081" priority="6251">
      <formula>CELL("color",E1048387)="3"</formula>
    </cfRule>
  </conditionalFormatting>
  <conditionalFormatting sqref="B148 B394:B395 B158:B159 B167:B172 B130:B131">
    <cfRule type="expression" dxfId="1080" priority="160">
      <formula>CELL("color",E1048155)="3"</formula>
    </cfRule>
  </conditionalFormatting>
  <conditionalFormatting sqref="J525:K526">
    <cfRule type="expression" dxfId="1079" priority="6272">
      <formula>CELL("color",A1048460)="3"</formula>
    </cfRule>
  </conditionalFormatting>
  <conditionalFormatting sqref="I427">
    <cfRule type="expression" dxfId="1078" priority="6304">
      <formula>CELL("color",A1048392)="3"</formula>
    </cfRule>
  </conditionalFormatting>
  <conditionalFormatting sqref="I442">
    <cfRule type="expression" dxfId="1077" priority="6310">
      <formula>CELL("color",A1048400)="3"</formula>
    </cfRule>
  </conditionalFormatting>
  <conditionalFormatting sqref="I413 I407:I410">
    <cfRule type="expression" dxfId="1076" priority="6339">
      <formula>CELL("color",A1048369)="3"</formula>
    </cfRule>
  </conditionalFormatting>
  <conditionalFormatting sqref="J417:K419 L375 L385:L386 J371:K373 L383">
    <cfRule type="expression" dxfId="1075" priority="6393">
      <formula>CELL("color",A1048340)="3"</formula>
    </cfRule>
  </conditionalFormatting>
  <conditionalFormatting sqref="J427:K427 J423:K423">
    <cfRule type="expression" dxfId="1074" priority="6462">
      <formula>CELL("color",A1048388)="3"</formula>
    </cfRule>
  </conditionalFormatting>
  <conditionalFormatting sqref="J442">
    <cfRule type="expression" dxfId="1073" priority="6468">
      <formula>CELL("color",A1048400)="3"</formula>
    </cfRule>
  </conditionalFormatting>
  <conditionalFormatting sqref="J407:K410 J413:K413">
    <cfRule type="expression" dxfId="1072" priority="6471">
      <formula>CELL("color",A1048369)="3"</formula>
    </cfRule>
  </conditionalFormatting>
  <conditionalFormatting sqref="F474">
    <cfRule type="expression" dxfId="1071" priority="6493">
      <formula>CELL("color",B1048415)="3"</formula>
    </cfRule>
  </conditionalFormatting>
  <conditionalFormatting sqref="I406 I412">
    <cfRule type="expression" dxfId="1070" priority="6563">
      <formula>CELL("color",A1048367)="3"</formula>
    </cfRule>
  </conditionalFormatting>
  <conditionalFormatting sqref="B412 B436 B434 B405:B406 B444:B445">
    <cfRule type="expression" dxfId="1069" priority="6681">
      <formula>CELL("color",E1048366)="3"</formula>
    </cfRule>
  </conditionalFormatting>
  <conditionalFormatting sqref="I434:I436">
    <cfRule type="expression" dxfId="1068" priority="6752">
      <formula>CELL("color",A1048395)="3"</formula>
    </cfRule>
  </conditionalFormatting>
  <conditionalFormatting sqref="J573:J579">
    <cfRule type="expression" dxfId="1067" priority="6869">
      <formula>CELL("color",A1048505)="3"</formula>
    </cfRule>
  </conditionalFormatting>
  <conditionalFormatting sqref="J434:J436">
    <cfRule type="expression" dxfId="1066" priority="6874">
      <formula>CELL("color",A1048395)="3"</formula>
    </cfRule>
  </conditionalFormatting>
  <conditionalFormatting sqref="I546:J546">
    <cfRule type="expression" dxfId="1065" priority="157">
      <formula>CELL("color",A1048491)="3"</formula>
    </cfRule>
  </conditionalFormatting>
  <conditionalFormatting sqref="G546:G548">
    <cfRule type="expression" dxfId="1064" priority="158">
      <formula>CELL("color",E1048491)="3"</formula>
    </cfRule>
  </conditionalFormatting>
  <conditionalFormatting sqref="I547:J547">
    <cfRule type="expression" dxfId="1063" priority="156">
      <formula>CELL("color",A1048492)="3"</formula>
    </cfRule>
  </conditionalFormatting>
  <conditionalFormatting sqref="I548:J548">
    <cfRule type="expression" dxfId="1062" priority="155">
      <formula>CELL("color",A1048493)="3"</formula>
    </cfRule>
  </conditionalFormatting>
  <conditionalFormatting sqref="B411 B437:B439 B442">
    <cfRule type="expression" dxfId="1061" priority="7070">
      <formula>CELL("color",E1048370)="3"</formula>
    </cfRule>
  </conditionalFormatting>
  <conditionalFormatting sqref="I440 I400:I404">
    <cfRule type="expression" dxfId="1060" priority="7132">
      <formula>CELL("color",A1048360)="3"</formula>
    </cfRule>
  </conditionalFormatting>
  <conditionalFormatting sqref="I629:I632">
    <cfRule type="expression" dxfId="1059" priority="152">
      <formula>CELL("color",A1048511)="3"</formula>
    </cfRule>
  </conditionalFormatting>
  <conditionalFormatting sqref="F629:F632 F637">
    <cfRule type="expression" dxfId="1058" priority="153">
      <formula>CELL("color",B1048511)="3"</formula>
    </cfRule>
  </conditionalFormatting>
  <conditionalFormatting sqref="B637:C637 B629:B632">
    <cfRule type="expression" dxfId="1057" priority="154">
      <formula>CELL("color",E1048511)="3"</formula>
    </cfRule>
  </conditionalFormatting>
  <conditionalFormatting sqref="C301 C394:C395 C148 B158:C159 C167:C172 C130:C131">
    <cfRule type="expression" dxfId="1056" priority="7368">
      <formula>CELL("color",C1048155)="3"</formula>
    </cfRule>
  </conditionalFormatting>
  <conditionalFormatting sqref="I357:I360 I376:J381">
    <cfRule type="expression" dxfId="1055" priority="7408">
      <formula>CELL("color",A1048329)="3"</formula>
    </cfRule>
  </conditionalFormatting>
  <conditionalFormatting sqref="J357:J360">
    <cfRule type="expression" dxfId="1054" priority="7482">
      <formula>CELL("color",A1048329)="3"</formula>
    </cfRule>
  </conditionalFormatting>
  <conditionalFormatting sqref="F8">
    <cfRule type="expression" dxfId="1053" priority="7487">
      <formula>CELL("color",B1048034)="3"</formula>
    </cfRule>
  </conditionalFormatting>
  <conditionalFormatting sqref="I361">
    <cfRule type="expression" dxfId="1052" priority="7521">
      <formula>CELL("color",A1048332)="3"</formula>
    </cfRule>
  </conditionalFormatting>
  <conditionalFormatting sqref="J361">
    <cfRule type="expression" dxfId="1051" priority="7588">
      <formula>CELL("color",A1048332)="3"</formula>
    </cfRule>
  </conditionalFormatting>
  <conditionalFormatting sqref="I362:I368">
    <cfRule type="expression" dxfId="1050" priority="7589">
      <formula>CELL("color",A1048332)="3"</formula>
    </cfRule>
  </conditionalFormatting>
  <conditionalFormatting sqref="J362:J368">
    <cfRule type="expression" dxfId="1049" priority="7660">
      <formula>CELL("color",A1048332)="3"</formula>
    </cfRule>
  </conditionalFormatting>
  <conditionalFormatting sqref="I382:J382">
    <cfRule type="expression" dxfId="1048" priority="151">
      <formula>CELL("color",A1048354)="3"</formula>
    </cfRule>
  </conditionalFormatting>
  <conditionalFormatting sqref="I531:J535 J536 I527:K529">
    <cfRule type="expression" dxfId="1047" priority="7696">
      <formula>CELL("color",A1048464)="3"</formula>
    </cfRule>
  </conditionalFormatting>
  <conditionalFormatting sqref="F441">
    <cfRule type="expression" dxfId="1046" priority="7843">
      <formula>CELL("color",B1048399)="3"</formula>
    </cfRule>
  </conditionalFormatting>
  <conditionalFormatting sqref="F527:F536">
    <cfRule type="expression" dxfId="1045" priority="8103">
      <formula>CELL("color",B1048464)="3"</formula>
    </cfRule>
  </conditionalFormatting>
  <conditionalFormatting sqref="I539">
    <cfRule type="expression" dxfId="1044" priority="146">
      <formula>CELL("color",A1048470)="3"</formula>
    </cfRule>
  </conditionalFormatting>
  <conditionalFormatting sqref="F539">
    <cfRule type="expression" dxfId="1043" priority="149">
      <formula>CELL("color",B1048470)="3"</formula>
    </cfRule>
  </conditionalFormatting>
  <conditionalFormatting sqref="B539 B545 B489:B490 B494 B498">
    <cfRule type="expression" dxfId="1042" priority="150">
      <formula>CELL("color",E1048420)="3"</formula>
    </cfRule>
  </conditionalFormatting>
  <conditionalFormatting sqref="I540:K540">
    <cfRule type="expression" dxfId="1041" priority="142">
      <formula>CELL("color",A1048528)="3"</formula>
    </cfRule>
  </conditionalFormatting>
  <conditionalFormatting sqref="L540">
    <cfRule type="expression" dxfId="1040" priority="143">
      <formula>CELL("color",C1048528)="3"</formula>
    </cfRule>
  </conditionalFormatting>
  <conditionalFormatting sqref="F540">
    <cfRule type="expression" dxfId="1039" priority="144">
      <formula>CELL("color",B1048528)="3"</formula>
    </cfRule>
  </conditionalFormatting>
  <conditionalFormatting sqref="I541:J541">
    <cfRule type="expression" dxfId="1038" priority="141">
      <formula>CELL("color",A1048473)="3"</formula>
    </cfRule>
  </conditionalFormatting>
  <conditionalFormatting sqref="I413 I430:I431">
    <cfRule type="expression" dxfId="1037" priority="8317">
      <formula>CELL("color",A1048376)="3"</formula>
    </cfRule>
  </conditionalFormatting>
  <conditionalFormatting sqref="I423">
    <cfRule type="expression" dxfId="1036" priority="8334">
      <formula>CELL("color",A1048388)="3"</formula>
    </cfRule>
  </conditionalFormatting>
  <conditionalFormatting sqref="J413:K413 J430:K431">
    <cfRule type="expression" dxfId="1035" priority="8417">
      <formula>CELL("color",A1048376)="3"</formula>
    </cfRule>
  </conditionalFormatting>
  <conditionalFormatting sqref="I399">
    <cfRule type="expression" dxfId="1034" priority="8477">
      <formula>CELL("color",A1048358)="3"</formula>
    </cfRule>
  </conditionalFormatting>
  <conditionalFormatting sqref="C399 C411 C442 B437:C439">
    <cfRule type="expression" dxfId="1033" priority="8478">
      <formula>CELL("color",C1048358)="3"</formula>
    </cfRule>
  </conditionalFormatting>
  <conditionalFormatting sqref="F424:F425">
    <cfRule type="expression" dxfId="1032" priority="8614">
      <formula>CELL("color",B1048390)="3"</formula>
    </cfRule>
  </conditionalFormatting>
  <conditionalFormatting sqref="I391:I393 I384:K384 I370:K370">
    <cfRule type="expression" dxfId="1031" priority="8671">
      <formula>CELL("color",A1048338)="3"</formula>
    </cfRule>
  </conditionalFormatting>
  <conditionalFormatting sqref="J391:J393">
    <cfRule type="expression" dxfId="1030" priority="8755">
      <formula>CELL("color",A1048359)="3"</formula>
    </cfRule>
  </conditionalFormatting>
  <conditionalFormatting sqref="I422">
    <cfRule type="expression" dxfId="1029" priority="135">
      <formula>CELL("color",A1048388)="3"</formula>
    </cfRule>
  </conditionalFormatting>
  <conditionalFormatting sqref="F421">
    <cfRule type="expression" dxfId="1028" priority="136">
      <formula>CELL("color",B1048386)="3"</formula>
    </cfRule>
  </conditionalFormatting>
  <conditionalFormatting sqref="B422 B424:B425">
    <cfRule type="expression" dxfId="1027" priority="137">
      <formula>CELL("color",E1048388)="3"</formula>
    </cfRule>
  </conditionalFormatting>
  <conditionalFormatting sqref="J421">
    <cfRule type="expression" dxfId="1026" priority="138">
      <formula>CELL("color",A1048386)="3"</formula>
    </cfRule>
  </conditionalFormatting>
  <conditionalFormatting sqref="I421">
    <cfRule type="expression" dxfId="1025" priority="139">
      <formula>CELL("color",A1048386)="3"</formula>
    </cfRule>
  </conditionalFormatting>
  <conditionalFormatting sqref="F422">
    <cfRule type="expression" dxfId="1024" priority="140">
      <formula>CELL("color",B1048388)="3"</formula>
    </cfRule>
  </conditionalFormatting>
  <conditionalFormatting sqref="F430:F431">
    <cfRule type="expression" dxfId="1023" priority="8898">
      <formula>CELL("color",B1048393)="3"</formula>
    </cfRule>
  </conditionalFormatting>
  <conditionalFormatting sqref="B567:C567">
    <cfRule type="expression" dxfId="1022" priority="8951">
      <formula>CELL("color",C1048555)="3"</formula>
    </cfRule>
  </conditionalFormatting>
  <conditionalFormatting sqref="I441">
    <cfRule type="expression" dxfId="1021" priority="9000">
      <formula>CELL("color",A1048399)="3"</formula>
    </cfRule>
  </conditionalFormatting>
  <conditionalFormatting sqref="J441">
    <cfRule type="expression" dxfId="1020" priority="9099">
      <formula>CELL("color",A1048399)="3"</formula>
    </cfRule>
  </conditionalFormatting>
  <conditionalFormatting sqref="J515:J516">
    <cfRule type="expression" dxfId="1019" priority="9122">
      <formula>CELL("color",A1048435)="3"</formula>
    </cfRule>
  </conditionalFormatting>
  <conditionalFormatting sqref="I443:I445">
    <cfRule type="expression" dxfId="1018" priority="9161">
      <formula>CELL("color",A1048399)="3"</formula>
    </cfRule>
  </conditionalFormatting>
  <conditionalFormatting sqref="F442:F445">
    <cfRule type="expression" dxfId="1017" priority="9272">
      <formula>CELL("color",B1048400)="3"</formula>
    </cfRule>
  </conditionalFormatting>
  <conditionalFormatting sqref="J443:K445">
    <cfRule type="expression" dxfId="1016" priority="9279">
      <formula>CELL("color",A1048399)="3"</formula>
    </cfRule>
  </conditionalFormatting>
  <conditionalFormatting sqref="I452">
    <cfRule type="expression" dxfId="1015" priority="133">
      <formula>CELL("color",A1048405)="3"</formula>
    </cfRule>
  </conditionalFormatting>
  <conditionalFormatting sqref="J446:K447 J453:K457 J462:K463">
    <cfRule type="expression" dxfId="1014" priority="134">
      <formula>CELL("color",A1048398)="3"</formula>
    </cfRule>
  </conditionalFormatting>
  <conditionalFormatting sqref="F633:F634">
    <cfRule type="expression" dxfId="1013" priority="9474">
      <formula>CELL("color",I1)="3"</formula>
    </cfRule>
  </conditionalFormatting>
  <conditionalFormatting sqref="G449:G451">
    <cfRule type="expression" dxfId="1012" priority="9674">
      <formula>CELL("color",E1048406)="3"</formula>
    </cfRule>
  </conditionalFormatting>
  <conditionalFormatting sqref="L281:L282 L277:L279 L241:L244 J292:K292 J248:K249">
    <cfRule type="expression" dxfId="1011" priority="9750">
      <formula>CELL("color",A1048235)="3"</formula>
    </cfRule>
  </conditionalFormatting>
  <conditionalFormatting sqref="J307">
    <cfRule type="expression" dxfId="1010" priority="9824">
      <formula>CELL("color",A1048301)="3"</formula>
    </cfRule>
  </conditionalFormatting>
  <conditionalFormatting sqref="D527:F536">
    <cfRule type="expression" dxfId="1009" priority="9944">
      <formula>CELL("color",C1048464)="3"</formula>
    </cfRule>
  </conditionalFormatting>
  <conditionalFormatting sqref="F573:F579">
    <cfRule type="expression" dxfId="1008" priority="126">
      <formula>CELL("color",B1048505)="3"</formula>
    </cfRule>
  </conditionalFormatting>
  <conditionalFormatting sqref="I573:I579">
    <cfRule type="expression" dxfId="1007" priority="127">
      <formula>CELL("color",A1048505)="3"</formula>
    </cfRule>
  </conditionalFormatting>
  <conditionalFormatting sqref="B573:B579 B537:B538">
    <cfRule type="expression" dxfId="1006" priority="128">
      <formula>CELL("color",E1048469)="3"</formula>
    </cfRule>
  </conditionalFormatting>
  <conditionalFormatting sqref="I580:I581">
    <cfRule type="expression" dxfId="1005" priority="125">
      <formula>CELL("color",A1048497)="3"</formula>
    </cfRule>
  </conditionalFormatting>
  <conditionalFormatting sqref="J580:J581">
    <cfRule type="expression" dxfId="1004" priority="124">
      <formula>CELL("color",A1048497)="3"</formula>
    </cfRule>
  </conditionalFormatting>
  <conditionalFormatting sqref="J505">
    <cfRule type="expression" dxfId="1003" priority="10120">
      <formula>CELL("color",A1048432)="3"</formula>
    </cfRule>
  </conditionalFormatting>
  <conditionalFormatting sqref="G188:G192">
    <cfRule type="expression" dxfId="1002" priority="10202">
      <formula>CELL("color",E1048201)="3"</formula>
    </cfRule>
  </conditionalFormatting>
  <conditionalFormatting sqref="B540">
    <cfRule type="expression" dxfId="1001" priority="10211">
      <formula>CELL("color",E1048528)="3"</formula>
    </cfRule>
  </conditionalFormatting>
  <conditionalFormatting sqref="G233:G236">
    <cfRule type="expression" dxfId="1000" priority="10240">
      <formula>CELL("color",E1048229)="3"</formula>
    </cfRule>
  </conditionalFormatting>
  <conditionalFormatting sqref="I237:I240">
    <cfRule type="expression" dxfId="999" priority="10277">
      <formula>CELL("color",A1048232)="3"</formula>
    </cfRule>
  </conditionalFormatting>
  <conditionalFormatting sqref="I295:I297">
    <cfRule type="expression" dxfId="998" priority="10280">
      <formula>CELL("color",A1048286)="3"</formula>
    </cfRule>
  </conditionalFormatting>
  <conditionalFormatting sqref="C295:C297 B263:C270">
    <cfRule type="expression" dxfId="997" priority="10329">
      <formula>CELL("color",C1048254)="3"</formula>
    </cfRule>
  </conditionalFormatting>
  <conditionalFormatting sqref="J237:J240">
    <cfRule type="expression" dxfId="996" priority="10359">
      <formula>CELL("color",A1048232)="3"</formula>
    </cfRule>
  </conditionalFormatting>
  <conditionalFormatting sqref="J300">
    <cfRule type="expression" dxfId="995" priority="116">
      <formula>CELL("color",B1048326)="3"</formula>
    </cfRule>
  </conditionalFormatting>
  <conditionalFormatting sqref="I300">
    <cfRule type="expression" dxfId="994" priority="117">
      <formula>CELL("color",A1048326)="3"</formula>
    </cfRule>
  </conditionalFormatting>
  <conditionalFormatting sqref="J298">
    <cfRule type="expression" dxfId="993" priority="118">
      <formula>CELL("color",B1048326)="3"</formula>
    </cfRule>
  </conditionalFormatting>
  <conditionalFormatting sqref="I298">
    <cfRule type="expression" dxfId="992" priority="119">
      <formula>CELL("color",A1048326)="3"</formula>
    </cfRule>
  </conditionalFormatting>
  <conditionalFormatting sqref="I301">
    <cfRule type="expression" dxfId="991" priority="120">
      <formula>CELL("color",A1048326)="3"</formula>
    </cfRule>
  </conditionalFormatting>
  <conditionalFormatting sqref="J301">
    <cfRule type="expression" dxfId="990" priority="121">
      <formula>CELL("color",A1048326)="3"</formula>
    </cfRule>
  </conditionalFormatting>
  <conditionalFormatting sqref="B300 B166 B8 B132:B134 B137:B147">
    <cfRule type="expression" dxfId="989" priority="122">
      <formula>CELL("color",E1048034)="3"</formula>
    </cfRule>
  </conditionalFormatting>
  <conditionalFormatting sqref="J319:K322">
    <cfRule type="expression" dxfId="988" priority="115">
      <formula>CELL("color",A1048306)="3"</formula>
    </cfRule>
  </conditionalFormatting>
  <conditionalFormatting sqref="J299">
    <cfRule type="expression" dxfId="987" priority="110">
      <formula>CELL("color",B1048327)="3"</formula>
    </cfRule>
  </conditionalFormatting>
  <conditionalFormatting sqref="I299">
    <cfRule type="expression" dxfId="986" priority="111">
      <formula>CELL("color",A1048327)="3"</formula>
    </cfRule>
  </conditionalFormatting>
  <conditionalFormatting sqref="B299">
    <cfRule type="expression" dxfId="985" priority="112">
      <formula>CELL("color",E1048327)="3"</formula>
    </cfRule>
  </conditionalFormatting>
  <conditionalFormatting sqref="C304 C300 C166 C132:C134 B8:C8 C137:C147">
    <cfRule type="expression" dxfId="984" priority="108">
      <formula>CELL("color",C1048034)="3"</formula>
    </cfRule>
  </conditionalFormatting>
  <conditionalFormatting sqref="I304:J304">
    <cfRule type="expression" dxfId="983" priority="109">
      <formula>CELL("color",A1048330)="3"</formula>
    </cfRule>
  </conditionalFormatting>
  <conditionalFormatting sqref="J305:K306">
    <cfRule type="expression" dxfId="982" priority="105">
      <formula>CELL("color",B1048332)="3"</formula>
    </cfRule>
  </conditionalFormatting>
  <conditionalFormatting sqref="I305:I306">
    <cfRule type="expression" dxfId="981" priority="106">
      <formula>CELL("color",A1048332)="3"</formula>
    </cfRule>
  </conditionalFormatting>
  <conditionalFormatting sqref="G305:G306 G149:G153">
    <cfRule type="expression" dxfId="980" priority="107">
      <formula>CELL("color",E1048176)="3"</formula>
    </cfRule>
  </conditionalFormatting>
  <conditionalFormatting sqref="I307">
    <cfRule type="expression" dxfId="979" priority="100">
      <formula>CELL("color",A1048301)="3"</formula>
    </cfRule>
  </conditionalFormatting>
  <conditionalFormatting sqref="B307 B277:B279 B241:B244 B248:B249 B292">
    <cfRule type="expression" dxfId="978" priority="101">
      <formula>CELL("color",E1048235)="3"</formula>
    </cfRule>
  </conditionalFormatting>
  <conditionalFormatting sqref="J308:K309">
    <cfRule type="expression" dxfId="977" priority="102">
      <formula>CELL("color",A1048298)="3"</formula>
    </cfRule>
  </conditionalFormatting>
  <conditionalFormatting sqref="I308:I309">
    <cfRule type="expression" dxfId="976" priority="103">
      <formula>CELL("color",A1048298)="3"</formula>
    </cfRule>
  </conditionalFormatting>
  <conditionalFormatting sqref="B308:B309">
    <cfRule type="expression" dxfId="975" priority="104">
      <formula>CELL("color",E1048298)="3"</formula>
    </cfRule>
  </conditionalFormatting>
  <conditionalFormatting sqref="F446:F447">
    <cfRule type="expression" dxfId="974" priority="10603">
      <formula>CELL("color",B1048400)="3"</formula>
    </cfRule>
  </conditionalFormatting>
  <conditionalFormatting sqref="I4 I9 I6:I7">
    <cfRule type="expression" dxfId="973" priority="10645">
      <formula>CELL("color",A1048035)="3"</formula>
    </cfRule>
  </conditionalFormatting>
  <conditionalFormatting sqref="J6:J7">
    <cfRule type="expression" dxfId="972" priority="10648">
      <formula>CELL("color",A1048037)="3"</formula>
    </cfRule>
  </conditionalFormatting>
  <conditionalFormatting sqref="I64">
    <cfRule type="expression" dxfId="971" priority="98">
      <formula>CELL("color",A1048097)="3"</formula>
    </cfRule>
  </conditionalFormatting>
  <conditionalFormatting sqref="B64 B105:B106 B67:B69 B115 B97:B102 B3 B5 B13 B109:B111">
    <cfRule type="expression" dxfId="970" priority="99">
      <formula>CELL("color",E1048036)="3"</formula>
    </cfRule>
  </conditionalFormatting>
  <conditionalFormatting sqref="F451">
    <cfRule type="expression" dxfId="969" priority="11021">
      <formula>CELL("color",B1048400)="3"</formula>
    </cfRule>
  </conditionalFormatting>
  <conditionalFormatting sqref="F453:F457 F462:F463">
    <cfRule type="expression" dxfId="968" priority="11132">
      <formula>CELL("color",B1048405)="3"</formula>
    </cfRule>
  </conditionalFormatting>
  <conditionalFormatting sqref="I458">
    <cfRule type="expression" dxfId="967" priority="11278">
      <formula>CELL("color",A1048413)="3"</formula>
    </cfRule>
  </conditionalFormatting>
  <conditionalFormatting sqref="J458:K458">
    <cfRule type="expression" dxfId="966" priority="11423">
      <formula>CELL("color",A1048413)="3"</formula>
    </cfRule>
  </conditionalFormatting>
  <conditionalFormatting sqref="I449:I450 I461:K461">
    <cfRule type="expression" dxfId="965" priority="92">
      <formula>CELL("color",A1048400)="3"</formula>
    </cfRule>
  </conditionalFormatting>
  <conditionalFormatting sqref="I459:I460 I453:I457 I462:I463 I446:I447">
    <cfRule type="expression" dxfId="964" priority="93">
      <formula>CELL("color",A1048398)="3"</formula>
    </cfRule>
  </conditionalFormatting>
  <conditionalFormatting sqref="J459:J460">
    <cfRule type="expression" dxfId="963" priority="94">
      <formula>CELL("color",A1048411)="3"</formula>
    </cfRule>
  </conditionalFormatting>
  <conditionalFormatting sqref="F459:F460">
    <cfRule type="expression" dxfId="962" priority="95">
      <formula>CELL("color",B1048411)="3"</formula>
    </cfRule>
  </conditionalFormatting>
  <conditionalFormatting sqref="F461">
    <cfRule type="expression" dxfId="961" priority="96">
      <formula>CELL("color",B1048412)="3"</formula>
    </cfRule>
  </conditionalFormatting>
  <conditionalFormatting sqref="J448:K448">
    <cfRule type="expression" dxfId="960" priority="97">
      <formula>CELL("color",A1048398)="3"</formula>
    </cfRule>
  </conditionalFormatting>
  <conditionalFormatting sqref="F449:F450">
    <cfRule type="expression" dxfId="959" priority="11618">
      <formula>CELL("color",B1048402)="3"</formula>
    </cfRule>
  </conditionalFormatting>
  <conditionalFormatting sqref="I584:J584">
    <cfRule type="expression" dxfId="958" priority="88">
      <formula>CELL("color",A1048504)="3"</formula>
    </cfRule>
  </conditionalFormatting>
  <conditionalFormatting sqref="I451">
    <cfRule type="expression" dxfId="957" priority="11841">
      <formula>CELL("color",A1048400)="3"</formula>
    </cfRule>
  </conditionalFormatting>
  <conditionalFormatting sqref="J451:K451">
    <cfRule type="expression" dxfId="956" priority="11862">
      <formula>CELL("color",A1048400)="3"</formula>
    </cfRule>
  </conditionalFormatting>
  <conditionalFormatting sqref="I570:I572">
    <cfRule type="expression" dxfId="955" priority="85">
      <formula>CELL("color",A1048498)="3"</formula>
    </cfRule>
  </conditionalFormatting>
  <conditionalFormatting sqref="F471:F473">
    <cfRule type="expression" dxfId="954" priority="86">
      <formula>CELL("color",B1048412)="3"</formula>
    </cfRule>
  </conditionalFormatting>
  <conditionalFormatting sqref="I471:J472">
    <cfRule type="expression" dxfId="953" priority="87">
      <formula>CELL("color",A1048412)="3"</formula>
    </cfRule>
  </conditionalFormatting>
  <conditionalFormatting sqref="I474:J474">
    <cfRule type="expression" dxfId="952" priority="84">
      <formula>CELL("color",A1048415)="3"</formula>
    </cfRule>
  </conditionalFormatting>
  <conditionalFormatting sqref="I473:J473">
    <cfRule type="expression" dxfId="951" priority="83">
      <formula>CELL("color",A1048414)="3"</formula>
    </cfRule>
  </conditionalFormatting>
  <conditionalFormatting sqref="I476:K476">
    <cfRule type="expression" dxfId="950" priority="12092">
      <formula>CELL("color",A1048414)="3"</formula>
    </cfRule>
  </conditionalFormatting>
  <conditionalFormatting sqref="G476">
    <cfRule type="expression" dxfId="949" priority="12094">
      <formula>CELL("color",E1048414)="3"</formula>
    </cfRule>
  </conditionalFormatting>
  <conditionalFormatting sqref="F476">
    <cfRule type="expression" dxfId="948" priority="12096">
      <formula>CELL("color",B1048414)="3"</formula>
    </cfRule>
  </conditionalFormatting>
  <conditionalFormatting sqref="J491:K491">
    <cfRule type="expression" dxfId="947" priority="12282">
      <formula>CELL("color",A1048421)="3"</formula>
    </cfRule>
  </conditionalFormatting>
  <conditionalFormatting sqref="I477:J483 I475:K475">
    <cfRule type="expression" dxfId="946" priority="12291">
      <formula>CELL("color",A1048414)="3"</formula>
    </cfRule>
  </conditionalFormatting>
  <conditionalFormatting sqref="B527:B536">
    <cfRule type="expression" dxfId="945" priority="12424">
      <formula>CELL("color",E1048464)="3"</formula>
    </cfRule>
  </conditionalFormatting>
  <conditionalFormatting sqref="F512:F513">
    <cfRule type="expression" dxfId="944" priority="12456">
      <formula>CELL("color",B1048434)="3"</formula>
    </cfRule>
  </conditionalFormatting>
  <conditionalFormatting sqref="I319:I322">
    <cfRule type="expression" dxfId="943" priority="12493">
      <formula>CELL("color",A1048306)="3"</formula>
    </cfRule>
  </conditionalFormatting>
  <conditionalFormatting sqref="F319:F322">
    <cfRule type="expression" dxfId="942" priority="12494">
      <formula>CELL("color",B1048306)="3"</formula>
    </cfRule>
  </conditionalFormatting>
  <conditionalFormatting sqref="I608:I612">
    <cfRule type="expression" dxfId="941" priority="12612">
      <formula>CELL("color",A1)="3"</formula>
    </cfRule>
  </conditionalFormatting>
  <conditionalFormatting sqref="J608:J612">
    <cfRule type="expression" dxfId="940" priority="12614">
      <formula>CELL("color",A1)="3"</formula>
    </cfRule>
  </conditionalFormatting>
  <conditionalFormatting sqref="I523">
    <cfRule type="expression" dxfId="939" priority="12615">
      <formula>CELL("color",A1048440)="3"</formula>
    </cfRule>
  </conditionalFormatting>
  <conditionalFormatting sqref="F523">
    <cfRule type="expression" dxfId="938" priority="12629">
      <formula>CELL("color",B1048440)="3"</formula>
    </cfRule>
  </conditionalFormatting>
  <conditionalFormatting sqref="J523:K523">
    <cfRule type="expression" dxfId="937" priority="12653">
      <formula>CELL("color",A1048440)="3"</formula>
    </cfRule>
  </conditionalFormatting>
  <conditionalFormatting sqref="I517:I520">
    <cfRule type="expression" dxfId="936" priority="12655">
      <formula>CELL("color",A1048436)="3"</formula>
    </cfRule>
  </conditionalFormatting>
  <conditionalFormatting sqref="F522">
    <cfRule type="expression" dxfId="935" priority="12657">
      <formula>CELL("color",B1048441)="3"</formula>
    </cfRule>
  </conditionalFormatting>
  <conditionalFormatting sqref="I521">
    <cfRule type="expression" dxfId="934" priority="12665">
      <formula>CELL("color",A1048439)="3"</formula>
    </cfRule>
  </conditionalFormatting>
  <conditionalFormatting sqref="F639">
    <cfRule type="expression" dxfId="933" priority="12666">
      <formula>CELL("color",B1048554)="3"</formula>
    </cfRule>
  </conditionalFormatting>
  <conditionalFormatting sqref="J521:K521">
    <cfRule type="expression" dxfId="932" priority="12668">
      <formula>CELL("color",A1048439)="3"</formula>
    </cfRule>
  </conditionalFormatting>
  <conditionalFormatting sqref="J522:K522">
    <cfRule type="expression" dxfId="931" priority="12762">
      <formula>CELL("color",A1048441)="3"</formula>
    </cfRule>
  </conditionalFormatting>
  <conditionalFormatting sqref="I593">
    <cfRule type="expression" dxfId="930" priority="79">
      <formula>CELL("color",A1048560)="3"</formula>
    </cfRule>
  </conditionalFormatting>
  <conditionalFormatting sqref="B593">
    <cfRule type="expression" dxfId="929" priority="80">
      <formula>CELL("color",E1048560)="3"</formula>
    </cfRule>
  </conditionalFormatting>
  <conditionalFormatting sqref="I594">
    <cfRule type="expression" dxfId="928" priority="77">
      <formula>CELL("color",A9)="3"</formula>
    </cfRule>
  </conditionalFormatting>
  <conditionalFormatting sqref="J339:K343 J335:K336 J350:K354">
    <cfRule type="expression" dxfId="927" priority="12946">
      <formula>CELL("color",A1048310)="3"</formula>
    </cfRule>
  </conditionalFormatting>
  <conditionalFormatting sqref="I485:J485">
    <cfRule type="expression" dxfId="926" priority="74">
      <formula>CELL("color",A1048424)="3"</formula>
    </cfRule>
  </conditionalFormatting>
  <conditionalFormatting sqref="B527:C536">
    <cfRule type="expression" dxfId="925" priority="75">
      <formula>CELL("color",C1048464)="3"</formula>
    </cfRule>
  </conditionalFormatting>
  <conditionalFormatting sqref="F485 F477:F483 F475">
    <cfRule type="expression" dxfId="924" priority="76">
      <formula>CELL("color",B1048414)="3"</formula>
    </cfRule>
  </conditionalFormatting>
  <conditionalFormatting sqref="B488">
    <cfRule type="expression" dxfId="923" priority="72">
      <formula>CELL("color",E1048503)="3"</formula>
    </cfRule>
  </conditionalFormatting>
  <conditionalFormatting sqref="I488:J488">
    <cfRule type="expression" dxfId="922" priority="73">
      <formula>CELL("color",A1048503)="3"</formula>
    </cfRule>
  </conditionalFormatting>
  <conditionalFormatting sqref="I586:L586 I613:L613 I628:L628 I635:L636 I638:L638 F606:G607 F586:G586 F613:G613 D635:G636 B613:C616 B633:C636 B628:G628 B638:G638 B606:C607 B586:C586">
    <cfRule type="expression" dxfId="921" priority="13276">
      <formula>CELL("color",#REF!)="3"</formula>
    </cfRule>
  </conditionalFormatting>
  <conditionalFormatting sqref="J597:K603">
    <cfRule type="expression" dxfId="920" priority="71">
      <formula>CELL("color",A1048495)="3"</formula>
    </cfRule>
  </conditionalFormatting>
  <conditionalFormatting sqref="B601">
    <cfRule type="expression" dxfId="919" priority="60">
      <formula>CELL("color",E1048572)="3"</formula>
    </cfRule>
  </conditionalFormatting>
  <conditionalFormatting sqref="B600 B362:B369 B387">
    <cfRule type="expression" dxfId="918" priority="61">
      <formula>CELL("color",E1048332)="3"</formula>
    </cfRule>
  </conditionalFormatting>
  <conditionalFormatting sqref="B603 B583 B591:B592 B595 B558:B561 B514">
    <cfRule type="expression" dxfId="917" priority="59">
      <formula>CELL("color",E1048435)="3"</formula>
    </cfRule>
  </conditionalFormatting>
  <conditionalFormatting sqref="C609">
    <cfRule type="expression" dxfId="916" priority="55">
      <formula>CELL("color",D1048531)="3"</formula>
    </cfRule>
  </conditionalFormatting>
  <conditionalFormatting sqref="C622:C625 C610:C612 C604:C605">
    <cfRule type="expression" dxfId="915" priority="53">
      <formula>CELL("color",D1048503)="3"</formula>
    </cfRule>
  </conditionalFormatting>
  <conditionalFormatting sqref="I371:I373">
    <cfRule type="expression" dxfId="914" priority="51">
      <formula>CELL("color",A1048340)="3"</formula>
    </cfRule>
  </conditionalFormatting>
  <conditionalFormatting sqref="C616">
    <cfRule type="expression" dxfId="913" priority="50">
      <formula>CELL("color",D1048538)="3"</formula>
    </cfRule>
  </conditionalFormatting>
  <conditionalFormatting sqref="C617:C618">
    <cfRule type="expression" dxfId="912" priority="48">
      <formula>CELL("color",D1048516)="3"</formula>
    </cfRule>
  </conditionalFormatting>
  <conditionalFormatting sqref="I484 I486">
    <cfRule type="expression" dxfId="911" priority="13360">
      <formula>CELL("color",A1048418)="3"</formula>
    </cfRule>
  </conditionalFormatting>
  <conditionalFormatting sqref="J486 J484:K484">
    <cfRule type="expression" dxfId="910" priority="13562">
      <formula>CELL("color",A1048418)="3"</formula>
    </cfRule>
  </conditionalFormatting>
  <conditionalFormatting sqref="I487">
    <cfRule type="expression" dxfId="909" priority="13643">
      <formula>CELL("color",A1048419)="3"</formula>
    </cfRule>
  </conditionalFormatting>
  <conditionalFormatting sqref="F487">
    <cfRule type="expression" dxfId="908" priority="13644">
      <formula>CELL("color",B1048419)="3"</formula>
    </cfRule>
  </conditionalFormatting>
  <conditionalFormatting sqref="C570">
    <cfRule type="expression" dxfId="907" priority="13830">
      <formula>CELL("color",D1048498)="3"</formula>
    </cfRule>
  </conditionalFormatting>
  <conditionalFormatting sqref="I489:I490">
    <cfRule type="expression" dxfId="906" priority="13907">
      <formula>CELL("color",A1048420)="3"</formula>
    </cfRule>
  </conditionalFormatting>
  <conditionalFormatting sqref="J489:J490">
    <cfRule type="expression" dxfId="905" priority="14102">
      <formula>CELL("color",A1048420)="3"</formula>
    </cfRule>
  </conditionalFormatting>
  <conditionalFormatting sqref="I492 I506:I507">
    <cfRule type="expression" dxfId="904" priority="44">
      <formula>CELL("color",A1048418)="3"</formula>
    </cfRule>
  </conditionalFormatting>
  <conditionalFormatting sqref="F492:F493 F506:F507">
    <cfRule type="expression" dxfId="903" priority="45">
      <formula>CELL("color",B1048418)="3"</formula>
    </cfRule>
  </conditionalFormatting>
  <conditionalFormatting sqref="J492:J493 J506:K507">
    <cfRule type="expression" dxfId="902" priority="46">
      <formula>CELL("color",A1048418)="3"</formula>
    </cfRule>
  </conditionalFormatting>
  <conditionalFormatting sqref="I494">
    <cfRule type="expression" dxfId="901" priority="41">
      <formula>CELL("color",A1048425)="3"</formula>
    </cfRule>
  </conditionalFormatting>
  <conditionalFormatting sqref="F494">
    <cfRule type="expression" dxfId="900" priority="42">
      <formula>CELL("color",B1048425)="3"</formula>
    </cfRule>
  </conditionalFormatting>
  <conditionalFormatting sqref="J494">
    <cfRule type="expression" dxfId="899" priority="43">
      <formula>CELL("color",A1048425)="3"</formula>
    </cfRule>
  </conditionalFormatting>
  <conditionalFormatting sqref="I502:I504">
    <cfRule type="expression" dxfId="898" priority="14182">
      <formula>CELL("color",A1048430)="3"</formula>
    </cfRule>
  </conditionalFormatting>
  <conditionalFormatting sqref="F502:F504">
    <cfRule type="expression" dxfId="897" priority="14184">
      <formula>CELL("color",B1048430)="3"</formula>
    </cfRule>
  </conditionalFormatting>
  <conditionalFormatting sqref="J500:K504">
    <cfRule type="expression" dxfId="896" priority="14376">
      <formula>CELL("color",A1048428)="3"</formula>
    </cfRule>
  </conditionalFormatting>
  <conditionalFormatting sqref="J355:K356">
    <cfRule type="expression" dxfId="895" priority="14387">
      <formula>CELL("color",A1048328)="3"</formula>
    </cfRule>
  </conditionalFormatting>
  <conditionalFormatting sqref="I500:I501">
    <cfRule type="expression" dxfId="894" priority="38">
      <formula>CELL("color",A1048428)="3"</formula>
    </cfRule>
  </conditionalFormatting>
  <conditionalFormatting sqref="F500:F501">
    <cfRule type="expression" dxfId="893" priority="39">
      <formula>CELL("color",B1048428)="3"</formula>
    </cfRule>
  </conditionalFormatting>
  <conditionalFormatting sqref="B500:B504">
    <cfRule type="expression" dxfId="892" priority="40">
      <formula>CELL("color",E1048428)="3"</formula>
    </cfRule>
  </conditionalFormatting>
  <conditionalFormatting sqref="J620:J621">
    <cfRule type="expression" dxfId="891" priority="36">
      <formula>CELL("color",B1048519)="3"</formula>
    </cfRule>
  </conditionalFormatting>
  <conditionalFormatting sqref="I620:I621">
    <cfRule type="expression" dxfId="890" priority="35">
      <formula>CELL("color",A1048519)="3"</formula>
    </cfRule>
  </conditionalFormatting>
  <conditionalFormatting sqref="C620:C621">
    <cfRule type="expression" dxfId="889" priority="37">
      <formula>CELL("color",D1048519)="3"</formula>
    </cfRule>
  </conditionalFormatting>
  <conditionalFormatting sqref="F499 F495:F497 F505">
    <cfRule type="expression" dxfId="888" priority="32">
      <formula>CELL("color",B1048422)="3"</formula>
    </cfRule>
  </conditionalFormatting>
  <conditionalFormatting sqref="I499">
    <cfRule type="expression" dxfId="887" priority="33">
      <formula>CELL("color",A1048426)="3"</formula>
    </cfRule>
  </conditionalFormatting>
  <conditionalFormatting sqref="B499 B495:B497 B505">
    <cfRule type="expression" dxfId="886" priority="34">
      <formula>CELL("color",E1048422)="3"</formula>
    </cfRule>
  </conditionalFormatting>
  <conditionalFormatting sqref="I200:I201">
    <cfRule type="expression" dxfId="885" priority="14472">
      <formula>CELL("color",A1048206)="3"</formula>
    </cfRule>
  </conditionalFormatting>
  <conditionalFormatting sqref="J200:K201">
    <cfRule type="expression" dxfId="884" priority="14493">
      <formula>CELL("color",A1048206)="3"</formula>
    </cfRule>
  </conditionalFormatting>
  <conditionalFormatting sqref="L157 J135:K135">
    <cfRule type="expression" dxfId="883" priority="14645">
      <formula>CELL("color",A1048159)="3"</formula>
    </cfRule>
  </conditionalFormatting>
  <conditionalFormatting sqref="B464:B470 B263:B270">
    <cfRule type="expression" dxfId="882" priority="14733">
      <formula>CELL("color",E1048254)="3"</formula>
    </cfRule>
  </conditionalFormatting>
  <conditionalFormatting sqref="I374">
    <cfRule type="expression" dxfId="881" priority="14852">
      <formula>CELL("color",A1048342)="3"</formula>
    </cfRule>
  </conditionalFormatting>
  <conditionalFormatting sqref="L388:L390">
    <cfRule type="expression" dxfId="880" priority="14896">
      <formula>CELL("color",C1048357)="3"</formula>
    </cfRule>
  </conditionalFormatting>
  <conditionalFormatting sqref="I397:I398">
    <cfRule type="expression" dxfId="879" priority="14901">
      <formula>CELL("color",A1048357)="3"</formula>
    </cfRule>
  </conditionalFormatting>
  <conditionalFormatting sqref="J397:J398">
    <cfRule type="expression" dxfId="878" priority="14903">
      <formula>CELL("color",A1048357)="3"</formula>
    </cfRule>
  </conditionalFormatting>
  <conditionalFormatting sqref="F437:F439">
    <cfRule type="expression" dxfId="877" priority="15038">
      <formula>CELL("color",B1048396)="3"</formula>
    </cfRule>
  </conditionalFormatting>
  <conditionalFormatting sqref="G221:G223">
    <cfRule type="expression" dxfId="876" priority="15260">
      <formula>CELL("color",E1048221)="3"</formula>
    </cfRule>
  </conditionalFormatting>
  <conditionalFormatting sqref="B85:B87 B78:B79 B49:B52 B43:B45 B73">
    <cfRule type="expression" dxfId="875" priority="15276">
      <formula>CELL("color",E1048079)="3"</formula>
    </cfRule>
  </conditionalFormatting>
  <conditionalFormatting sqref="B315:B318 B328:B331">
    <cfRule type="expression" dxfId="874" priority="15346">
      <formula>CELL("color",E1048297)="3"</formula>
    </cfRule>
  </conditionalFormatting>
  <conditionalFormatting sqref="B417:B419 B371:B373 B385:B386 B383 B375">
    <cfRule type="expression" dxfId="873" priority="15356">
      <formula>CELL("color",E1048340)="3"</formula>
    </cfRule>
  </conditionalFormatting>
  <conditionalFormatting sqref="B571:B572 B569">
    <cfRule type="expression" dxfId="872" priority="15371">
      <formula>CELL("color",E1048496)="3"</formula>
    </cfRule>
  </conditionalFormatting>
  <conditionalFormatting sqref="B154:B156">
    <cfRule type="expression" dxfId="871" priority="15377">
      <formula>CELL("color",E1048179)="3"</formula>
    </cfRule>
  </conditionalFormatting>
  <conditionalFormatting sqref="B435 B432:B433">
    <cfRule type="expression" dxfId="870" priority="15389">
      <formula>CELL("color",E1048396)="3"</formula>
    </cfRule>
  </conditionalFormatting>
  <conditionalFormatting sqref="B580:B582">
    <cfRule type="expression" dxfId="869" priority="15391">
      <formula>CELL("color",E1048497)="3"</formula>
    </cfRule>
  </conditionalFormatting>
  <conditionalFormatting sqref="B428:B429">
    <cfRule type="expression" dxfId="868" priority="15398">
      <formula>CELL("color",E1048553)="3"</formula>
    </cfRule>
  </conditionalFormatting>
  <conditionalFormatting sqref="B302:B303">
    <cfRule type="expression" dxfId="867" priority="15409">
      <formula>CELL("color",E1048288)="3"</formula>
    </cfRule>
  </conditionalFormatting>
  <conditionalFormatting sqref="B452">
    <cfRule type="expression" dxfId="866" priority="15411">
      <formula>CELL("color",E1048405)="3"</formula>
    </cfRule>
  </conditionalFormatting>
  <conditionalFormatting sqref="B314">
    <cfRule type="expression" dxfId="865" priority="15412">
      <formula>CELL("color",E1048295)="3"</formula>
    </cfRule>
  </conditionalFormatting>
  <conditionalFormatting sqref="C323:C326 C302:C303">
    <cfRule type="expression" dxfId="864" priority="15415">
      <formula>CELL("color",D1048288)="3"</formula>
    </cfRule>
  </conditionalFormatting>
  <conditionalFormatting sqref="B284:B289">
    <cfRule type="expression" dxfId="863" priority="15416">
      <formula>CELL("color",E1048285)="3"</formula>
    </cfRule>
  </conditionalFormatting>
  <conditionalFormatting sqref="B310:B313 B332:B333">
    <cfRule type="expression" dxfId="862" priority="15418">
      <formula>CELL("color",E1048290)="3"</formula>
    </cfRule>
  </conditionalFormatting>
  <conditionalFormatting sqref="B213:B217">
    <cfRule type="expression" dxfId="861" priority="15426">
      <formula>CELL("color",E1048217)="3"</formula>
    </cfRule>
  </conditionalFormatting>
  <conditionalFormatting sqref="C601">
    <cfRule type="expression" dxfId="860" priority="15427">
      <formula>CELL("color",D1048572)="3"</formula>
    </cfRule>
  </conditionalFormatting>
  <conditionalFormatting sqref="B337:B338 B334">
    <cfRule type="expression" dxfId="859" priority="15428">
      <formula>CELL("color",E1048308)="3"</formula>
    </cfRule>
  </conditionalFormatting>
  <conditionalFormatting sqref="B421 B427 B423">
    <cfRule type="expression" dxfId="858" priority="15432">
      <formula>CELL("color",E1048386)="3"</formula>
    </cfRule>
  </conditionalFormatting>
  <conditionalFormatting sqref="B441 B446:B448">
    <cfRule type="expression" dxfId="857" priority="15435">
      <formula>CELL("color",E1048399)="3"</formula>
    </cfRule>
  </conditionalFormatting>
  <conditionalFormatting sqref="B407:B410 B413">
    <cfRule type="expression" dxfId="856" priority="15437">
      <formula>CELL("color",E1048369)="3"</formula>
    </cfRule>
  </conditionalFormatting>
  <conditionalFormatting sqref="B413 B430:B431">
    <cfRule type="expression" dxfId="855" priority="15454">
      <formula>CELL("color",E1048376)="3"</formula>
    </cfRule>
  </conditionalFormatting>
  <conditionalFormatting sqref="B443">
    <cfRule type="expression" dxfId="854" priority="15460">
      <formula>CELL("color",E1048399)="3"</formula>
    </cfRule>
  </conditionalFormatting>
  <conditionalFormatting sqref="C281:C282 C307 C248:C249 C292 B277:C279 B241:C244">
    <cfRule type="expression" dxfId="853" priority="15462">
      <formula>CELL("color",C1048235)="3"</formula>
    </cfRule>
  </conditionalFormatting>
  <conditionalFormatting sqref="B319:B322">
    <cfRule type="expression" dxfId="852" priority="15479">
      <formula>CELL("color",E1048306)="3"</formula>
    </cfRule>
  </conditionalFormatting>
  <conditionalFormatting sqref="B6:B7 B12 B9 B4">
    <cfRule type="expression" dxfId="851" priority="15485">
      <formula>CELL("color",E1048035)="3"</formula>
    </cfRule>
  </conditionalFormatting>
  <conditionalFormatting sqref="B453:B457 B462:B463 B459:B460">
    <cfRule type="expression" dxfId="850" priority="15492">
      <formula>CELL("color",E1048405)="3"</formula>
    </cfRule>
  </conditionalFormatting>
  <conditionalFormatting sqref="L461 J449:K450">
    <cfRule type="expression" dxfId="849" priority="15496">
      <formula>CELL("color",A1048400)="3"</formula>
    </cfRule>
  </conditionalFormatting>
  <conditionalFormatting sqref="B523">
    <cfRule type="expression" dxfId="848" priority="15506">
      <formula>CELL("color",E1048440)="3"</formula>
    </cfRule>
  </conditionalFormatting>
  <conditionalFormatting sqref="B639:C639">
    <cfRule type="expression" dxfId="847" priority="15508">
      <formula>CELL("color",E1048554)="3"</formula>
    </cfRule>
  </conditionalFormatting>
  <conditionalFormatting sqref="B522">
    <cfRule type="expression" dxfId="846" priority="15510">
      <formula>CELL("color",E1048441)="3"</formula>
    </cfRule>
  </conditionalFormatting>
  <conditionalFormatting sqref="C600 B387:C387 C362:C369">
    <cfRule type="expression" dxfId="845" priority="15512">
      <formula>CELL("color",C1048332)="3"</formula>
    </cfRule>
  </conditionalFormatting>
  <conditionalFormatting sqref="B200:B201">
    <cfRule type="expression" dxfId="844" priority="15522">
      <formula>CELL("color",E1048206)="3"</formula>
    </cfRule>
  </conditionalFormatting>
  <conditionalFormatting sqref="B541:B544">
    <cfRule type="expression" dxfId="843" priority="15524">
      <formula>CELL("color",E1048473)="3"</formula>
    </cfRule>
  </conditionalFormatting>
  <conditionalFormatting sqref="B157 B396 B135">
    <cfRule type="expression" dxfId="842" priority="15532">
      <formula>CELL("color",E1048159)="3"</formula>
    </cfRule>
  </conditionalFormatting>
  <conditionalFormatting sqref="B420:C420 B426:C426">
    <cfRule type="expression" dxfId="841" priority="15535">
      <formula>CELL("color",C1048387)="3"</formula>
    </cfRule>
  </conditionalFormatting>
  <conditionalFormatting sqref="B400:B404 B440 B397:B398">
    <cfRule type="expression" dxfId="840" priority="15539">
      <formula>CELL("color",E1048357)="3"</formula>
    </cfRule>
  </conditionalFormatting>
  <conditionalFormatting sqref="F452">
    <cfRule type="expression" dxfId="839" priority="15724">
      <formula>CELL("color",B1048405)="3"</formula>
    </cfRule>
  </conditionalFormatting>
  <conditionalFormatting sqref="J637">
    <cfRule type="expression" dxfId="838" priority="29">
      <formula>CELL("color",A1048519)="3"</formula>
    </cfRule>
  </conditionalFormatting>
  <conditionalFormatting sqref="I637">
    <cfRule type="expression" dxfId="837" priority="26">
      <formula>CELL("color",A1048519)="3"</formula>
    </cfRule>
  </conditionalFormatting>
  <conditionalFormatting sqref="C637 B629:C632">
    <cfRule type="expression" dxfId="836" priority="28">
      <formula>CELL("color",C1048511)="3"</formula>
    </cfRule>
  </conditionalFormatting>
  <conditionalFormatting sqref="I639">
    <cfRule type="expression" dxfId="835" priority="22">
      <formula>CELL("color",A1048554)="3"</formula>
    </cfRule>
  </conditionalFormatting>
  <conditionalFormatting sqref="J639">
    <cfRule type="expression" dxfId="834" priority="24">
      <formula>CELL("color",A1048554)="3"</formula>
    </cfRule>
  </conditionalFormatting>
  <conditionalFormatting sqref="C639">
    <cfRule type="expression" dxfId="833" priority="25">
      <formula>CELL("color",D1048554)="3"</formula>
    </cfRule>
  </conditionalFormatting>
  <conditionalFormatting sqref="I640:K640">
    <cfRule type="expression" dxfId="832" priority="19">
      <formula>CELL("color",A1048576)="3"</formula>
    </cfRule>
  </conditionalFormatting>
  <conditionalFormatting sqref="F640">
    <cfRule type="expression" dxfId="831" priority="20">
      <formula>CELL("color",B1048576)="3"</formula>
    </cfRule>
  </conditionalFormatting>
  <conditionalFormatting sqref="D640:F640">
    <cfRule type="expression" dxfId="830" priority="21">
      <formula>CELL("color",C1048576)="3"</formula>
    </cfRule>
  </conditionalFormatting>
  <conditionalFormatting sqref="M2:AX640">
    <cfRule type="iconSet" priority="11">
      <iconSet iconSet="5Arrows" reverse="1">
        <cfvo type="percent" val="0"/>
        <cfvo type="num" val="2"/>
        <cfvo type="num" val="3"/>
        <cfvo type="num" val="4"/>
        <cfvo type="num" val="5"/>
      </iconSet>
    </cfRule>
    <cfRule type="cellIs" dxfId="829" priority="13" operator="equal">
      <formula>5</formula>
    </cfRule>
    <cfRule type="cellIs" dxfId="828" priority="14" operator="equal">
      <formula>4</formula>
    </cfRule>
    <cfRule type="cellIs" dxfId="827" priority="15" operator="equal">
      <formula>3</formula>
    </cfRule>
    <cfRule type="cellIs" dxfId="826" priority="17" operator="equal">
      <formula>2</formula>
    </cfRule>
    <cfRule type="cellIs" dxfId="825" priority="18" operator="equal">
      <formula>1</formula>
    </cfRule>
  </conditionalFormatting>
  <conditionalFormatting sqref="G298">
    <cfRule type="expression" dxfId="824" priority="15910">
      <formula>CELL("color",E1048286)="3"</formula>
    </cfRule>
  </conditionalFormatting>
  <conditionalFormatting sqref="I448">
    <cfRule type="expression" dxfId="823" priority="15928">
      <formula>CELL("color",A1048398)="3"</formula>
    </cfRule>
  </conditionalFormatting>
  <conditionalFormatting sqref="F448">
    <cfRule type="expression" dxfId="822" priority="15931">
      <formula>CELL("color",B1048398)="3"</formula>
    </cfRule>
  </conditionalFormatting>
  <conditionalFormatting sqref="F491">
    <cfRule type="expression" dxfId="821" priority="16009">
      <formula>CELL("color",B1048421)="3"</formula>
    </cfRule>
  </conditionalFormatting>
  <conditionalFormatting sqref="I597:I603">
    <cfRule type="expression" dxfId="820" priority="16019">
      <formula>CELL("color",A1048495)="3"</formula>
    </cfRule>
  </conditionalFormatting>
  <conditionalFormatting sqref="I355:I356">
    <cfRule type="expression" dxfId="819" priority="16296">
      <formula>CELL("color",A1048328)="3"</formula>
    </cfRule>
  </conditionalFormatting>
  <conditionalFormatting sqref="D566:F566">
    <cfRule type="expression" dxfId="818" priority="16298">
      <formula>CELL("color",C1048484)="3"</formula>
    </cfRule>
  </conditionalFormatting>
  <conditionalFormatting sqref="D554:F555">
    <cfRule type="expression" dxfId="817" priority="16300">
      <formula>CELL("color",C1048477)="3"</formula>
    </cfRule>
  </conditionalFormatting>
  <conditionalFormatting sqref="D428:F429">
    <cfRule type="expression" dxfId="816" priority="16302">
      <formula>CELL("color",C1048553)="3"</formula>
    </cfRule>
  </conditionalFormatting>
  <conditionalFormatting sqref="D558:F561">
    <cfRule type="expression" dxfId="815" priority="16304">
      <formula>CELL("color",C1048479)="3"</formula>
    </cfRule>
  </conditionalFormatting>
  <conditionalFormatting sqref="D464:F470">
    <cfRule type="expression" dxfId="814" priority="16306">
      <formula>CELL("color",C1048455)="3"</formula>
    </cfRule>
  </conditionalFormatting>
  <conditionalFormatting sqref="D505:F505 D495:F497">
    <cfRule type="expression" dxfId="813" priority="16308">
      <formula>CELL("color",C1048422)="3"</formula>
    </cfRule>
  </conditionalFormatting>
  <conditionalFormatting sqref="G596">
    <cfRule type="expression" dxfId="812" priority="16312">
      <formula>CELL("color",E1048515)="3"</formula>
    </cfRule>
  </conditionalFormatting>
  <conditionalFormatting sqref="G420">
    <cfRule type="expression" dxfId="811" priority="16314">
      <formula>CELL("color",E1048387)="3"</formula>
    </cfRule>
  </conditionalFormatting>
  <conditionalFormatting sqref="G583 G591:G592 G595 G558:G561">
    <cfRule type="expression" dxfId="810" priority="16316">
      <formula>CELL("color",E1048479)="3"</formula>
    </cfRule>
  </conditionalFormatting>
  <conditionalFormatting sqref="G494 G489:G490 G498">
    <cfRule type="expression" dxfId="809" priority="16318">
      <formula>CELL("color",E1048420)="3"</formula>
    </cfRule>
  </conditionalFormatting>
  <conditionalFormatting sqref="D537:F538">
    <cfRule type="expression" dxfId="808" priority="16320">
      <formula>CELL("color",C1048469)="3"</formula>
    </cfRule>
  </conditionalFormatting>
  <conditionalFormatting sqref="D515:F516">
    <cfRule type="expression" dxfId="807" priority="16324">
      <formula>CELL("color",C1048435)="3"</formula>
    </cfRule>
  </conditionalFormatting>
  <conditionalFormatting sqref="D6:F7 D4:F4">
    <cfRule type="expression" dxfId="806" priority="16328">
      <formula>CELL("color",C1048035)="3"</formula>
    </cfRule>
  </conditionalFormatting>
  <conditionalFormatting sqref="D323:F326">
    <cfRule type="expression" dxfId="805" priority="16332">
      <formula>CELL("color",C1048309)="3"</formula>
    </cfRule>
  </conditionalFormatting>
  <conditionalFormatting sqref="G40:G42 G2 G27:G30">
    <cfRule type="expression" dxfId="804" priority="16334">
      <formula>CELL("color",E1048039)="3"</formula>
    </cfRule>
  </conditionalFormatting>
  <conditionalFormatting sqref="D332:F333">
    <cfRule type="expression" dxfId="803" priority="16336">
      <formula>CELL("color",C1048312)="3"</formula>
    </cfRule>
  </conditionalFormatting>
  <conditionalFormatting sqref="D328:F331">
    <cfRule type="expression" dxfId="802" priority="16338">
      <formula>CELL("color",C1048310)="3"</formula>
    </cfRule>
  </conditionalFormatting>
  <conditionalFormatting sqref="G112:G114 G69 G65:G66">
    <cfRule type="expression" dxfId="801" priority="16340">
      <formula>CELL("color",E1048099)="3"</formula>
    </cfRule>
  </conditionalFormatting>
  <conditionalFormatting sqref="D327:F327">
    <cfRule type="expression" dxfId="800" priority="16342">
      <formula>CELL("color",C1048312)="3"</formula>
    </cfRule>
  </conditionalFormatting>
  <conditionalFormatting sqref="D414:F416">
    <cfRule type="expression" dxfId="799" priority="16344">
      <formula>CELL("color",C1048384)="3"</formula>
    </cfRule>
  </conditionalFormatting>
  <conditionalFormatting sqref="G417:G419 G385:G386 G383 G388:G390 G375">
    <cfRule type="expression" dxfId="798" priority="16346">
      <formula>CELL("color",E1048344)="3"</formula>
    </cfRule>
  </conditionalFormatting>
  <conditionalFormatting sqref="D427:F427 D423:F423">
    <cfRule type="expression" dxfId="797" priority="16348">
      <formula>CELL("color",C1048388)="3"</formula>
    </cfRule>
  </conditionalFormatting>
  <conditionalFormatting sqref="D432:F433">
    <cfRule type="expression" dxfId="796" priority="16352">
      <formula>CELL("color",C1048396)="3"</formula>
    </cfRule>
  </conditionalFormatting>
  <conditionalFormatting sqref="D434:F436">
    <cfRule type="expression" dxfId="795" priority="16354">
      <formula>CELL("color",C1048395)="3"</formula>
    </cfRule>
  </conditionalFormatting>
  <conditionalFormatting sqref="G440 G397:G398">
    <cfRule type="expression" dxfId="794" priority="16356">
      <formula>CELL("color",E1048357)="3"</formula>
    </cfRule>
  </conditionalFormatting>
  <conditionalFormatting sqref="D545:F545 D489:F490">
    <cfRule type="expression" dxfId="793" priority="16358">
      <formula>CELL("color",C1048420)="3"</formula>
    </cfRule>
  </conditionalFormatting>
  <conditionalFormatting sqref="D525:F526">
    <cfRule type="expression" dxfId="792" priority="16360">
      <formula>CELL("color",C1048460)="3"</formula>
    </cfRule>
  </conditionalFormatting>
  <conditionalFormatting sqref="D629:F632 D637:F637">
    <cfRule type="expression" dxfId="791" priority="16362">
      <formula>CELL("color",C1048511)="3"</formula>
    </cfRule>
  </conditionalFormatting>
  <conditionalFormatting sqref="G8 G166 G132:G134 G137:G147">
    <cfRule type="expression" dxfId="790" priority="16364">
      <formula>CELL("color",E1048034)="3"</formula>
    </cfRule>
  </conditionalFormatting>
  <conditionalFormatting sqref="D540:F540">
    <cfRule type="expression" dxfId="789" priority="16370">
      <formula>CELL("color",C1048528)="3"</formula>
    </cfRule>
  </conditionalFormatting>
  <conditionalFormatting sqref="D424:F425">
    <cfRule type="expression" dxfId="788" priority="16372">
      <formula>CELL("color",C1048390)="3"</formula>
    </cfRule>
  </conditionalFormatting>
  <conditionalFormatting sqref="D430:F431">
    <cfRule type="expression" dxfId="787" priority="16374">
      <formula>CELL("color",C1048393)="3"</formula>
    </cfRule>
  </conditionalFormatting>
  <conditionalFormatting sqref="D451:F451">
    <cfRule type="expression" dxfId="786" priority="16378">
      <formula>CELL("color",C1048400)="3"</formula>
    </cfRule>
  </conditionalFormatting>
  <conditionalFormatting sqref="D453:F457 D462:F463">
    <cfRule type="expression" dxfId="785" priority="16380">
      <formula>CELL("color",C1048405)="3"</formula>
    </cfRule>
  </conditionalFormatting>
  <conditionalFormatting sqref="D461:F461">
    <cfRule type="expression" dxfId="784" priority="16384">
      <formula>CELL("color",C1048412)="3"</formula>
    </cfRule>
  </conditionalFormatting>
  <conditionalFormatting sqref="D449:F450">
    <cfRule type="expression" dxfId="783" priority="16386">
      <formula>CELL("color",C1048402)="3"</formula>
    </cfRule>
  </conditionalFormatting>
  <conditionalFormatting sqref="D319:F322">
    <cfRule type="expression" dxfId="782" priority="16388">
      <formula>CELL("color",C1048306)="3"</formula>
    </cfRule>
  </conditionalFormatting>
  <conditionalFormatting sqref="D523:F523">
    <cfRule type="expression" dxfId="781" priority="16390">
      <formula>CELL("color",C1048440)="3"</formula>
    </cfRule>
  </conditionalFormatting>
  <conditionalFormatting sqref="D517:F520 D522:F522">
    <cfRule type="expression" dxfId="780" priority="16392">
      <formula>CELL("color",C1048436)="3"</formula>
    </cfRule>
  </conditionalFormatting>
  <conditionalFormatting sqref="D639:F639">
    <cfRule type="expression" dxfId="779" priority="16396">
      <formula>CELL("color",C1048554)="3"</formula>
    </cfRule>
  </conditionalFormatting>
  <conditionalFormatting sqref="G437:G439 G442">
    <cfRule type="expression" dxfId="778" priority="16410">
      <formula>CELL("color",E1048396)="3"</formula>
    </cfRule>
  </conditionalFormatting>
  <conditionalFormatting sqref="D448:F448">
    <cfRule type="expression" dxfId="777" priority="16418">
      <formula>CELL("color",C1048398)="3"</formula>
    </cfRule>
  </conditionalFormatting>
  <conditionalFormatting sqref="D491:F491">
    <cfRule type="expression" dxfId="776" priority="16420">
      <formula>CELL("color",C1048421)="3"</formula>
    </cfRule>
  </conditionalFormatting>
  <conditionalFormatting sqref="B446:C447">
    <cfRule type="expression" dxfId="775" priority="16552">
      <formula>CELL("color",C1048400)="3"</formula>
    </cfRule>
  </conditionalFormatting>
  <conditionalFormatting sqref="B136">
    <cfRule type="expression" dxfId="774" priority="16629">
      <formula>CELL("color",E1048159)="3"</formula>
    </cfRule>
  </conditionalFormatting>
  <conditionalFormatting sqref="B184:B187">
    <cfRule type="expression" dxfId="773" priority="16637">
      <formula>CELL("color",E1048199)="3"</formula>
    </cfRule>
  </conditionalFormatting>
  <conditionalFormatting sqref="B177:B183">
    <cfRule type="expression" dxfId="772" priority="16641">
      <formula>CELL("color",E1048193)="3"</formula>
    </cfRule>
  </conditionalFormatting>
  <conditionalFormatting sqref="B195:B196">
    <cfRule type="expression" dxfId="771" priority="16645">
      <formula>CELL("color",E1048205)="3"</formula>
    </cfRule>
  </conditionalFormatting>
  <conditionalFormatting sqref="B207:B210">
    <cfRule type="expression" dxfId="770" priority="16647">
      <formula>CELL("color",E1048210)="3"</formula>
    </cfRule>
  </conditionalFormatting>
  <conditionalFormatting sqref="B173:B175">
    <cfRule type="expression" dxfId="769" priority="16649">
      <formula>CELL("color",E1048192)="3"</formula>
    </cfRule>
  </conditionalFormatting>
  <conditionalFormatting sqref="B458">
    <cfRule type="expression" dxfId="768" priority="16653">
      <formula>CELL("color",E1048413)="3"</formula>
    </cfRule>
  </conditionalFormatting>
  <conditionalFormatting sqref="B206">
    <cfRule type="expression" dxfId="767" priority="16656">
      <formula>CELL("color",E1048211)="3"</formula>
    </cfRule>
  </conditionalFormatting>
  <conditionalFormatting sqref="B224:B225 B227:B232">
    <cfRule type="expression" dxfId="766" priority="16660">
      <formula>CELL("color",E1048223)="3"</formula>
    </cfRule>
  </conditionalFormatting>
  <conditionalFormatting sqref="B414:B416">
    <cfRule type="expression" dxfId="765" priority="16669">
      <formula>CELL("color",E1048384)="3"</formula>
    </cfRule>
  </conditionalFormatting>
  <conditionalFormatting sqref="B346:B349">
    <cfRule type="expression" dxfId="764" priority="16681">
      <formula>CELL("color",E1048323)="3"</formula>
    </cfRule>
  </conditionalFormatting>
  <conditionalFormatting sqref="B202">
    <cfRule type="expression" dxfId="763" priority="16709">
      <formula>CELL("color",E1048210)="3"</formula>
    </cfRule>
  </conditionalFormatting>
  <conditionalFormatting sqref="B103:B104">
    <cfRule type="expression" dxfId="762" priority="16713">
      <formula>CELL("color",E1048133)="3"</formula>
    </cfRule>
  </conditionalFormatting>
  <conditionalFormatting sqref="B627">
    <cfRule type="expression" dxfId="761" priority="16717">
      <formula>CELL("color",E1048530)="3"</formula>
    </cfRule>
  </conditionalFormatting>
  <conditionalFormatting sqref="B327">
    <cfRule type="expression" dxfId="760" priority="16749">
      <formula>CELL("color",E1048312)="3"</formula>
    </cfRule>
  </conditionalFormatting>
  <conditionalFormatting sqref="B360:B361 B290:B291 B245:B247 B237:B240 B293:B294">
    <cfRule type="expression" dxfId="759" priority="16755">
      <formula>CELL("color",E1048232)="3"</formula>
    </cfRule>
  </conditionalFormatting>
  <conditionalFormatting sqref="B226">
    <cfRule type="expression" dxfId="758" priority="16769">
      <formula>CELL("color",E1048224)="3"</formula>
    </cfRule>
  </conditionalFormatting>
  <conditionalFormatting sqref="B546:B548">
    <cfRule type="expression" dxfId="757" priority="16787">
      <formula>CELL("color",E1048491)="3"</formula>
    </cfRule>
  </conditionalFormatting>
  <conditionalFormatting sqref="B449:B451">
    <cfRule type="expression" dxfId="756" priority="16799">
      <formula>CELL("color",E1048406)="3"</formula>
    </cfRule>
  </conditionalFormatting>
  <conditionalFormatting sqref="B188:B192">
    <cfRule type="expression" dxfId="755" priority="16817">
      <formula>CELL("color",E1048201)="3"</formula>
    </cfRule>
  </conditionalFormatting>
  <conditionalFormatting sqref="B233:B236">
    <cfRule type="expression" dxfId="754" priority="16819">
      <formula>CELL("color",E1048229)="3"</formula>
    </cfRule>
  </conditionalFormatting>
  <conditionalFormatting sqref="B305:B306 B149:B153 B160:B165">
    <cfRule type="expression" dxfId="753" priority="16821">
      <formula>CELL("color",E1048176)="3"</formula>
    </cfRule>
  </conditionalFormatting>
  <conditionalFormatting sqref="B471:B474">
    <cfRule type="expression" dxfId="752" priority="16829">
      <formula>CELL("color",E1048412)="3"</formula>
    </cfRule>
  </conditionalFormatting>
  <conditionalFormatting sqref="B476">
    <cfRule type="expression" dxfId="751" priority="16831">
      <formula>CELL("color",E1048414)="3"</formula>
    </cfRule>
  </conditionalFormatting>
  <conditionalFormatting sqref="B491">
    <cfRule type="expression" dxfId="750" priority="16833">
      <formula>CELL("color",E1048421)="3"</formula>
    </cfRule>
  </conditionalFormatting>
  <conditionalFormatting sqref="B597:B599">
    <cfRule type="expression" dxfId="749" priority="16855">
      <formula>CELL("color",E1048495)="3"</formula>
    </cfRule>
  </conditionalFormatting>
  <conditionalFormatting sqref="B355:B356">
    <cfRule type="expression" dxfId="748" priority="16863">
      <formula>CELL("color",E1048328)="3"</formula>
    </cfRule>
  </conditionalFormatting>
  <conditionalFormatting sqref="B388:B390">
    <cfRule type="expression" dxfId="747" priority="16867">
      <formula>CELL("color",E1048357)="3"</formula>
    </cfRule>
  </conditionalFormatting>
  <conditionalFormatting sqref="B221:B223">
    <cfRule type="expression" dxfId="746" priority="16881">
      <formula>CELL("color",E1048221)="3"</formula>
    </cfRule>
  </conditionalFormatting>
  <conditionalFormatting sqref="B461">
    <cfRule type="expression" dxfId="745" priority="16883">
      <formula>CELL("color",E1048412)="3"</formula>
    </cfRule>
  </conditionalFormatting>
  <conditionalFormatting sqref="B640">
    <cfRule type="expression" dxfId="744" priority="16885">
      <formula>CELL("color",E1048576)="3"</formula>
    </cfRule>
  </conditionalFormatting>
  <conditionalFormatting sqref="B298">
    <cfRule type="expression" dxfId="743" priority="16887">
      <formula>CELL("color",E1048286)="3"</formula>
    </cfRule>
  </conditionalFormatting>
  <conditionalFormatting sqref="G566">
    <cfRule type="expression" dxfId="742" priority="16892">
      <formula>CELL("color",E1048484)="3"</formula>
    </cfRule>
  </conditionalFormatting>
  <conditionalFormatting sqref="G492:G493">
    <cfRule type="expression" dxfId="741" priority="16893">
      <formula>CELL("color",E1048418)="3"</formula>
    </cfRule>
  </conditionalFormatting>
  <conditionalFormatting sqref="G115 G97:G102 G3 G5 G13 G109:G111 G105:G106 G67:G69">
    <cfRule type="expression" dxfId="740" priority="16894">
      <formula>CELL("color",E1048036)="3"</formula>
    </cfRule>
  </conditionalFormatting>
  <conditionalFormatting sqref="G626">
    <cfRule type="expression" dxfId="739" priority="16902">
      <formula>CELL("color",E1048526)="3"</formula>
    </cfRule>
  </conditionalFormatting>
  <conditionalFormatting sqref="G604:G605">
    <cfRule type="expression" dxfId="738" priority="16903">
      <formula>CELL("color",E1048503)="3"</formula>
    </cfRule>
  </conditionalFormatting>
  <conditionalFormatting sqref="G280 G271:G276 G250:G251">
    <cfRule type="expression" dxfId="737" priority="16904">
      <formula>CELL("color",E1048243)="3"</formula>
    </cfRule>
  </conditionalFormatting>
  <conditionalFormatting sqref="G43:G45 G73 G78:G79 G49:G52">
    <cfRule type="expression" dxfId="736" priority="16907">
      <formula>CELL("color",E1048079)="3"</formula>
    </cfRule>
  </conditionalFormatting>
  <conditionalFormatting sqref="G31:G34">
    <cfRule type="expression" dxfId="735" priority="16911">
      <formula>CELL("color",E1048069)="3"</formula>
    </cfRule>
  </conditionalFormatting>
  <conditionalFormatting sqref="G60:G63 G53 G88:G92 G80:G84 G46:G48">
    <cfRule type="expression" dxfId="734" priority="16912">
      <formula>CELL("color",E1048081)="3"</formula>
    </cfRule>
  </conditionalFormatting>
  <conditionalFormatting sqref="G14:G26">
    <cfRule type="expression" dxfId="733" priority="16917">
      <formula>CELL("color",E1048048)="3"</formula>
    </cfRule>
  </conditionalFormatting>
  <conditionalFormatting sqref="G248:G249 G292 G277:G279 G241:G244">
    <cfRule type="expression" dxfId="732" priority="16921">
      <formula>CELL("color",E1048235)="3"</formula>
    </cfRule>
  </conditionalFormatting>
  <conditionalFormatting sqref="G580:G582">
    <cfRule type="expression" dxfId="731" priority="16928">
      <formula>CELL("color",E1048497)="3"</formula>
    </cfRule>
  </conditionalFormatting>
  <conditionalFormatting sqref="G569 G505">
    <cfRule type="expression" dxfId="730" priority="16929">
      <formula>CELL("color",E1048432)="3"</formula>
    </cfRule>
  </conditionalFormatting>
  <conditionalFormatting sqref="G587:G588">
    <cfRule type="expression" dxfId="729" priority="16933">
      <formula>CELL("color",E1048507)="3"</formula>
    </cfRule>
  </conditionalFormatting>
  <conditionalFormatting sqref="G545">
    <cfRule type="expression" dxfId="728" priority="16935">
      <formula>CELL("color",E1048476)="3"</formula>
    </cfRule>
  </conditionalFormatting>
  <conditionalFormatting sqref="G464:G470">
    <cfRule type="expression" dxfId="727" priority="16936">
      <formula>CELL("color",E1048455)="3"</formula>
    </cfRule>
  </conditionalFormatting>
  <conditionalFormatting sqref="G495:G497">
    <cfRule type="expression" dxfId="726" priority="16937">
      <formula>CELL("color",E1048422)="3"</formula>
    </cfRule>
  </conditionalFormatting>
  <conditionalFormatting sqref="G414:G416 G387">
    <cfRule type="expression" dxfId="725" priority="16943">
      <formula>CELL("color",E1048357)="3"</formula>
    </cfRule>
  </conditionalFormatting>
  <conditionalFormatting sqref="G435">
    <cfRule type="expression" dxfId="724" priority="16944">
      <formula>CELL("color",E1048399)="3"</formula>
    </cfRule>
  </conditionalFormatting>
  <conditionalFormatting sqref="G315:G318">
    <cfRule type="expression" dxfId="723" priority="16945">
      <formula>CELL("color",E1048297)="3"</formula>
    </cfRule>
  </conditionalFormatting>
  <conditionalFormatting sqref="G160:G165">
    <cfRule type="expression" dxfId="722" priority="16950">
      <formula>CELL("color",E1048187)="3"</formula>
    </cfRule>
  </conditionalFormatting>
  <conditionalFormatting sqref="G167:G172 G130:G131 G148 G158:G159">
    <cfRule type="expression" dxfId="721" priority="16952">
      <formula>CELL("color",E1048155)="3"</formula>
    </cfRule>
  </conditionalFormatting>
  <conditionalFormatting sqref="G424:G425">
    <cfRule type="expression" dxfId="720" priority="16956">
      <formula>CELL("color",E1048390)="3"</formula>
    </cfRule>
  </conditionalFormatting>
  <conditionalFormatting sqref="G35:G36">
    <cfRule type="expression" dxfId="719" priority="16957">
      <formula>CELL("color",E1048072)="3"</formula>
    </cfRule>
  </conditionalFormatting>
  <conditionalFormatting sqref="G491">
    <cfRule type="expression" dxfId="718" priority="16961">
      <formula>CELL("color",E1048421)="3"</formula>
    </cfRule>
  </conditionalFormatting>
  <conditionalFormatting sqref="G245:G247 G237:G240 G293:G294 G360:G361 G290:G291">
    <cfRule type="expression" dxfId="717" priority="16963">
      <formula>CELL("color",E1048232)="3"</formula>
    </cfRule>
  </conditionalFormatting>
  <conditionalFormatting sqref="G327">
    <cfRule type="expression" dxfId="716" priority="16968">
      <formula>CELL("color",E1048312)="3"</formula>
    </cfRule>
  </conditionalFormatting>
  <conditionalFormatting sqref="G135">
    <cfRule type="expression" dxfId="715" priority="16971">
      <formula>CELL("color",E1048159)="3"</formula>
    </cfRule>
  </conditionalFormatting>
  <conditionalFormatting sqref="G540">
    <cfRule type="expression" dxfId="714" priority="16972">
      <formula>CELL("color",E1048528)="3"</formula>
    </cfRule>
  </conditionalFormatting>
  <conditionalFormatting sqref="G173:G175">
    <cfRule type="expression" dxfId="713" priority="16974">
      <formula>CELL("color",E1048192)="3"</formula>
    </cfRule>
  </conditionalFormatting>
  <conditionalFormatting sqref="G227:G232 G224:G225">
    <cfRule type="expression" dxfId="712" priority="16977">
      <formula>CELL("color",E1048223)="3"</formula>
    </cfRule>
  </conditionalFormatting>
  <conditionalFormatting sqref="G370 G391:G393 G384">
    <cfRule type="expression" dxfId="711" priority="16979">
      <formula>CELL("color",E1048338)="3"</formula>
    </cfRule>
  </conditionalFormatting>
  <conditionalFormatting sqref="G346:G349">
    <cfRule type="expression" dxfId="710" priority="16987">
      <formula>CELL("color",E1048323)="3"</formula>
    </cfRule>
  </conditionalFormatting>
  <conditionalFormatting sqref="G310:G313">
    <cfRule type="expression" dxfId="709" priority="16997">
      <formula>CELL("color",E1048290)="3"</formula>
    </cfRule>
  </conditionalFormatting>
  <conditionalFormatting sqref="G335:G336 G350:G354">
    <cfRule type="expression" dxfId="708" priority="16998">
      <formula>CELL("color",E1048310)="3"</formula>
    </cfRule>
  </conditionalFormatting>
  <conditionalFormatting sqref="G427 G423">
    <cfRule type="expression" dxfId="707" priority="17003">
      <formula>CELL("color",E1048388)="3"</formula>
    </cfRule>
  </conditionalFormatting>
  <conditionalFormatting sqref="G446:G448">
    <cfRule type="expression" dxfId="706" priority="17005">
      <formula>CELL("color",E1048404)="3"</formula>
    </cfRule>
  </conditionalFormatting>
  <conditionalFormatting sqref="G413">
    <cfRule type="expression" dxfId="705" priority="17006">
      <formula>CELL("color",E1048375)="3"</formula>
    </cfRule>
  </conditionalFormatting>
  <conditionalFormatting sqref="G405:G406 G434 G444:G445 G436">
    <cfRule type="expression" dxfId="704" priority="17008">
      <formula>CELL("color",E1048366)="3"</formula>
    </cfRule>
  </conditionalFormatting>
  <conditionalFormatting sqref="G357:G359 G376:G382">
    <cfRule type="expression" dxfId="703" priority="17015">
      <formula>CELL("color",E1048329)="3"</formula>
    </cfRule>
  </conditionalFormatting>
  <conditionalFormatting sqref="G430:G431">
    <cfRule type="expression" dxfId="702" priority="17020">
      <formula>CELL("color",E1048393)="3"</formula>
    </cfRule>
  </conditionalFormatting>
  <conditionalFormatting sqref="G525:G526">
    <cfRule type="expression" dxfId="701" priority="17023">
      <formula>CELL("color",E1048460)="3"</formula>
    </cfRule>
  </conditionalFormatting>
  <conditionalFormatting sqref="G461">
    <cfRule type="expression" dxfId="700" priority="17030">
      <formula>CELL("color",E1048412)="3"</formula>
    </cfRule>
  </conditionalFormatting>
  <conditionalFormatting sqref="G471:G474">
    <cfRule type="expression" dxfId="699" priority="17033">
      <formula>CELL("color",E1048412)="3"</formula>
    </cfRule>
  </conditionalFormatting>
  <conditionalFormatting sqref="G522">
    <cfRule type="expression" dxfId="698" priority="17034">
      <formula>CELL("color",E1048441)="3"</formula>
    </cfRule>
  </conditionalFormatting>
  <conditionalFormatting sqref="G371:G373">
    <cfRule type="expression" dxfId="697" priority="17039">
      <formula>CELL("color",E1048340)="3"</formula>
    </cfRule>
  </conditionalFormatting>
  <conditionalFormatting sqref="G597:G599">
    <cfRule type="expression" dxfId="696" priority="17044">
      <formula>CELL("color",E1048495)="3"</formula>
    </cfRule>
  </conditionalFormatting>
  <conditionalFormatting sqref="G355:G356">
    <cfRule type="expression" dxfId="695" priority="17045">
      <formula>CELL("color",E1048328)="3"</formula>
    </cfRule>
  </conditionalFormatting>
  <conditionalFormatting sqref="D633:D634 F633:F634">
    <cfRule type="expression" dxfId="694" priority="17310">
      <formula>CELL("color",J1)="3"</formula>
    </cfRule>
  </conditionalFormatting>
  <conditionalFormatting sqref="G566">
    <cfRule type="expression" dxfId="693" priority="17491">
      <formula>CELL("color",D1048484)="3"</formula>
    </cfRule>
  </conditionalFormatting>
  <conditionalFormatting sqref="G554:G555">
    <cfRule type="expression" dxfId="692" priority="17493">
      <formula>CELL("color",D1048477)="3"</formula>
    </cfRule>
  </conditionalFormatting>
  <conditionalFormatting sqref="G428:G429">
    <cfRule type="expression" dxfId="691" priority="17495">
      <formula>CELL("color",D1048553)="3"</formula>
    </cfRule>
  </conditionalFormatting>
  <conditionalFormatting sqref="G558:G561">
    <cfRule type="expression" dxfId="690" priority="17497">
      <formula>CELL("color",D1048479)="3"</formula>
    </cfRule>
  </conditionalFormatting>
  <conditionalFormatting sqref="G464:G470">
    <cfRule type="expression" dxfId="689" priority="17499">
      <formula>CELL("color",D1048455)="3"</formula>
    </cfRule>
  </conditionalFormatting>
  <conditionalFormatting sqref="G505 G495:G497">
    <cfRule type="expression" dxfId="688" priority="17501">
      <formula>CELL("color",D1048422)="3"</formula>
    </cfRule>
  </conditionalFormatting>
  <conditionalFormatting sqref="G524">
    <cfRule type="expression" dxfId="687" priority="17505">
      <formula>CELL("color",D1048446)="3"</formula>
    </cfRule>
  </conditionalFormatting>
  <conditionalFormatting sqref="G420">
    <cfRule type="expression" dxfId="686" priority="17507">
      <formula>CELL("color",D1048387)="3"</formula>
    </cfRule>
  </conditionalFormatting>
  <conditionalFormatting sqref="G511 G549:G553">
    <cfRule type="expression" dxfId="685" priority="17509">
      <formula>CELL("color",D1048435)="3"</formula>
    </cfRule>
  </conditionalFormatting>
  <conditionalFormatting sqref="G498 G489:G490">
    <cfRule type="expression" dxfId="684" priority="17511">
      <formula>CELL("color",D1048420)="3"</formula>
    </cfRule>
  </conditionalFormatting>
  <conditionalFormatting sqref="G537:G538">
    <cfRule type="expression" dxfId="683" priority="17515">
      <formula>CELL("color",D1048469)="3"</formula>
    </cfRule>
  </conditionalFormatting>
  <conditionalFormatting sqref="G515:G516">
    <cfRule type="expression" dxfId="682" priority="17521">
      <formula>CELL("color",D1048435)="3"</formula>
    </cfRule>
  </conditionalFormatting>
  <conditionalFormatting sqref="G458">
    <cfRule type="expression" dxfId="681" priority="17523">
      <formula>CELL("color",D1048413)="3"</formula>
    </cfRule>
  </conditionalFormatting>
  <conditionalFormatting sqref="G6:G7 G4">
    <cfRule type="expression" dxfId="680" priority="17525">
      <formula>CELL("color",D1048035)="3"</formula>
    </cfRule>
  </conditionalFormatting>
  <conditionalFormatting sqref="G323:G326">
    <cfRule type="expression" dxfId="679" priority="17529">
      <formula>CELL("color",D1048309)="3"</formula>
    </cfRule>
  </conditionalFormatting>
  <conditionalFormatting sqref="G2">
    <cfRule type="expression" dxfId="678" priority="17531">
      <formula>CELL("color",D1048039)="3"</formula>
    </cfRule>
  </conditionalFormatting>
  <conditionalFormatting sqref="G332:G333">
    <cfRule type="expression" dxfId="677" priority="17533">
      <formula>CELL("color",D1048312)="3"</formula>
    </cfRule>
  </conditionalFormatting>
  <conditionalFormatting sqref="G328:G331">
    <cfRule type="expression" dxfId="676" priority="17535">
      <formula>CELL("color",D1048310)="3"</formula>
    </cfRule>
  </conditionalFormatting>
  <conditionalFormatting sqref="G69">
    <cfRule type="expression" dxfId="675" priority="17537">
      <formula>CELL("color",D1048103)="3"</formula>
    </cfRule>
  </conditionalFormatting>
  <conditionalFormatting sqref="G327">
    <cfRule type="expression" dxfId="674" priority="17539">
      <formula>CELL("color",D1048312)="3"</formula>
    </cfRule>
  </conditionalFormatting>
  <conditionalFormatting sqref="G414:G416">
    <cfRule type="expression" dxfId="673" priority="17541">
      <formula>CELL("color",D1048384)="3"</formula>
    </cfRule>
  </conditionalFormatting>
  <conditionalFormatting sqref="G417:G419">
    <cfRule type="expression" dxfId="672" priority="17543">
      <formula>CELL("color",D1048386)="3"</formula>
    </cfRule>
  </conditionalFormatting>
  <conditionalFormatting sqref="G427 G423">
    <cfRule type="expression" dxfId="671" priority="17545">
      <formula>CELL("color",D1048388)="3"</formula>
    </cfRule>
  </conditionalFormatting>
  <conditionalFormatting sqref="G432:G433">
    <cfRule type="expression" dxfId="670" priority="17549">
      <formula>CELL("color",D1048396)="3"</formula>
    </cfRule>
  </conditionalFormatting>
  <conditionalFormatting sqref="G434:G436">
    <cfRule type="expression" dxfId="669" priority="17551">
      <formula>CELL("color",D1048395)="3"</formula>
    </cfRule>
  </conditionalFormatting>
  <conditionalFormatting sqref="G440">
    <cfRule type="expression" dxfId="668" priority="17553">
      <formula>CELL("color",D1048400)="3"</formula>
    </cfRule>
  </conditionalFormatting>
  <conditionalFormatting sqref="G545">
    <cfRule type="expression" dxfId="667" priority="17555">
      <formula>CELL("color",D1048476)="3"</formula>
    </cfRule>
  </conditionalFormatting>
  <conditionalFormatting sqref="G525:G526">
    <cfRule type="expression" dxfId="666" priority="17557">
      <formula>CELL("color",D1048460)="3"</formula>
    </cfRule>
  </conditionalFormatting>
  <conditionalFormatting sqref="G629:G632 G637">
    <cfRule type="expression" dxfId="665" priority="17559">
      <formula>CELL("color",D1048511)="3"</formula>
    </cfRule>
  </conditionalFormatting>
  <conditionalFormatting sqref="G8">
    <cfRule type="expression" dxfId="664" priority="17563">
      <formula>CELL("color",D1048034)="3"</formula>
    </cfRule>
  </conditionalFormatting>
  <conditionalFormatting sqref="G527:G536">
    <cfRule type="expression" dxfId="663" priority="17565">
      <formula>CELL("color",D1048464)="3"</formula>
    </cfRule>
  </conditionalFormatting>
  <conditionalFormatting sqref="G540">
    <cfRule type="expression" dxfId="662" priority="17571">
      <formula>CELL("color",D1048528)="3"</formula>
    </cfRule>
  </conditionalFormatting>
  <conditionalFormatting sqref="G424:G425">
    <cfRule type="expression" dxfId="661" priority="17573">
      <formula>CELL("color",D1048390)="3"</formula>
    </cfRule>
  </conditionalFormatting>
  <conditionalFormatting sqref="G430:G431">
    <cfRule type="expression" dxfId="660" priority="17575">
      <formula>CELL("color",D1048393)="3"</formula>
    </cfRule>
  </conditionalFormatting>
  <conditionalFormatting sqref="G451">
    <cfRule type="expression" dxfId="659" priority="17577">
      <formula>CELL("color",D1048400)="3"</formula>
    </cfRule>
  </conditionalFormatting>
  <conditionalFormatting sqref="G453:G457 G462:G463">
    <cfRule type="expression" dxfId="658" priority="17579">
      <formula>CELL("color",D1048405)="3"</formula>
    </cfRule>
  </conditionalFormatting>
  <conditionalFormatting sqref="G461">
    <cfRule type="expression" dxfId="657" priority="17583">
      <formula>CELL("color",D1048412)="3"</formula>
    </cfRule>
  </conditionalFormatting>
  <conditionalFormatting sqref="G449:G450">
    <cfRule type="expression" dxfId="656" priority="17585">
      <formula>CELL("color",D1048402)="3"</formula>
    </cfRule>
  </conditionalFormatting>
  <conditionalFormatting sqref="G319:G322">
    <cfRule type="expression" dxfId="655" priority="17587">
      <formula>CELL("color",D1048306)="3"</formula>
    </cfRule>
  </conditionalFormatting>
  <conditionalFormatting sqref="G523">
    <cfRule type="expression" dxfId="654" priority="17589">
      <formula>CELL("color",D1048440)="3"</formula>
    </cfRule>
  </conditionalFormatting>
  <conditionalFormatting sqref="G517:G520 G522">
    <cfRule type="expression" dxfId="653" priority="17591">
      <formula>CELL("color",D1048436)="3"</formula>
    </cfRule>
  </conditionalFormatting>
  <conditionalFormatting sqref="G639">
    <cfRule type="expression" dxfId="652" priority="17595">
      <formula>CELL("color",D1048554)="3"</formula>
    </cfRule>
  </conditionalFormatting>
  <conditionalFormatting sqref="G437:G439">
    <cfRule type="expression" dxfId="651" priority="17599">
      <formula>CELL("color",D1048396)="3"</formula>
    </cfRule>
  </conditionalFormatting>
  <conditionalFormatting sqref="G640">
    <cfRule type="expression" dxfId="650" priority="17601">
      <formula>CELL("color",D1048576)="3"</formula>
    </cfRule>
  </conditionalFormatting>
  <conditionalFormatting sqref="G448">
    <cfRule type="expression" dxfId="649" priority="17603">
      <formula>CELL("color",D1048398)="3"</formula>
    </cfRule>
  </conditionalFormatting>
  <conditionalFormatting sqref="G491">
    <cfRule type="expression" dxfId="648" priority="17605">
      <formula>CELL("color",D1048421)="3"</formula>
    </cfRule>
  </conditionalFormatting>
  <conditionalFormatting sqref="F4 F6:F7">
    <cfRule type="expression" dxfId="647" priority="17619">
      <formula>CELL("color",B1048035)="3"</formula>
    </cfRule>
  </conditionalFormatting>
  <conditionalFormatting sqref="F323:F326">
    <cfRule type="expression" dxfId="646" priority="17621">
      <formula>CELL("color",B1048309)="3"</formula>
    </cfRule>
  </conditionalFormatting>
  <conditionalFormatting sqref="F332:F333">
    <cfRule type="expression" dxfId="645" priority="17622">
      <formula>CELL("color",B1048312)="3"</formula>
    </cfRule>
  </conditionalFormatting>
  <conditionalFormatting sqref="F434:F436">
    <cfRule type="expression" dxfId="644" priority="17625">
      <formula>CELL("color",B1048395)="3"</formula>
    </cfRule>
  </conditionalFormatting>
  <conditionalFormatting sqref="F440">
    <cfRule type="expression" dxfId="643" priority="17627">
      <formula>CELL("color",B1048400)="3"</formula>
    </cfRule>
  </conditionalFormatting>
  <conditionalFormatting sqref="D420:F420">
    <cfRule type="expression" dxfId="642" priority="17821">
      <formula>CELL("color",C1048387)="3"</formula>
    </cfRule>
  </conditionalFormatting>
  <conditionalFormatting sqref="D498:F498">
    <cfRule type="expression" dxfId="641" priority="17827">
      <formula>CELL("color",C1048429)="3"</formula>
    </cfRule>
  </conditionalFormatting>
  <conditionalFormatting sqref="D2:F2">
    <cfRule type="expression" dxfId="640" priority="17838">
      <formula>CELL("color",C1048039)="3"</formula>
    </cfRule>
  </conditionalFormatting>
  <conditionalFormatting sqref="D69:F69">
    <cfRule type="expression" dxfId="639" priority="17843">
      <formula>CELL("color",C1048103)="3"</formula>
    </cfRule>
  </conditionalFormatting>
  <conditionalFormatting sqref="G203:G205">
    <cfRule type="expression" dxfId="638" priority="18070">
      <formula>CELL("color",E1048210)="3"</formula>
    </cfRule>
  </conditionalFormatting>
  <conditionalFormatting sqref="G211:G212">
    <cfRule type="expression" dxfId="637" priority="18071">
      <formula>CELL("color",E1048213)="3"</formula>
    </cfRule>
  </conditionalFormatting>
  <conditionalFormatting sqref="G334">
    <cfRule type="expression" dxfId="636" priority="18080">
      <formula>CELL("color",E1048308)="3"</formula>
    </cfRule>
  </conditionalFormatting>
  <conditionalFormatting sqref="B458">
    <cfRule type="expression" dxfId="635" priority="18082">
      <formula>CELL("color",E1048413)="3"</formula>
    </cfRule>
  </conditionalFormatting>
  <conditionalFormatting sqref="B527:B536">
    <cfRule type="expression" dxfId="634" priority="18084">
      <formula>CELL("color",E1048464)="3"</formula>
    </cfRule>
  </conditionalFormatting>
  <conditionalFormatting sqref="B640">
    <cfRule type="expression" dxfId="633" priority="18096">
      <formula>CELL("color",E1048576)="3"</formula>
    </cfRule>
  </conditionalFormatting>
  <conditionalFormatting sqref="B566">
    <cfRule type="expression" dxfId="632" priority="18098">
      <formula>CELL("color",E1048484)="3"</formula>
    </cfRule>
  </conditionalFormatting>
  <conditionalFormatting sqref="B511 B549:B553">
    <cfRule type="expression" dxfId="631" priority="18100">
      <formula>CELL("color",E1048435)="3"</formula>
    </cfRule>
  </conditionalFormatting>
  <conditionalFormatting sqref="B428:B429">
    <cfRule type="expression" dxfId="630" priority="18102">
      <formula>CELL("color",E1048553)="3"</formula>
    </cfRule>
  </conditionalFormatting>
  <conditionalFormatting sqref="B558:B561">
    <cfRule type="expression" dxfId="629" priority="18104">
      <formula>CELL("color",E1048479)="3"</formula>
    </cfRule>
  </conditionalFormatting>
  <conditionalFormatting sqref="B464:B470">
    <cfRule type="expression" dxfId="628" priority="18106">
      <formula>CELL("color",E1048455)="3"</formula>
    </cfRule>
  </conditionalFormatting>
  <conditionalFormatting sqref="B505">
    <cfRule type="expression" dxfId="627" priority="18108">
      <formula>CELL("color",E1048432)="3"</formula>
    </cfRule>
  </conditionalFormatting>
  <conditionalFormatting sqref="B537:B538">
    <cfRule type="expression" dxfId="626" priority="18112">
      <formula>CELL("color",E1048469)="3"</formula>
    </cfRule>
  </conditionalFormatting>
  <conditionalFormatting sqref="B515:B516">
    <cfRule type="expression" dxfId="625" priority="18114">
      <formula>CELL("color",E1048435)="3"</formula>
    </cfRule>
  </conditionalFormatting>
  <conditionalFormatting sqref="B323:B326">
    <cfRule type="expression" dxfId="624" priority="18116">
      <formula>CELL("color",E1048309)="3"</formula>
    </cfRule>
  </conditionalFormatting>
  <conditionalFormatting sqref="B332:B333">
    <cfRule type="expression" dxfId="623" priority="18118">
      <formula>CELL("color",E1048312)="3"</formula>
    </cfRule>
  </conditionalFormatting>
  <conditionalFormatting sqref="B328:B331">
    <cfRule type="expression" dxfId="622" priority="18120">
      <formula>CELL("color",E1048310)="3"</formula>
    </cfRule>
  </conditionalFormatting>
  <conditionalFormatting sqref="B327">
    <cfRule type="expression" dxfId="621" priority="18122">
      <formula>CELL("color",E1048312)="3"</formula>
    </cfRule>
  </conditionalFormatting>
  <conditionalFormatting sqref="B414:B416">
    <cfRule type="expression" dxfId="620" priority="18124">
      <formula>CELL("color",E1048384)="3"</formula>
    </cfRule>
  </conditionalFormatting>
  <conditionalFormatting sqref="B423">
    <cfRule type="expression" dxfId="619" priority="18126">
      <formula>CELL("color",E1048388)="3"</formula>
    </cfRule>
  </conditionalFormatting>
  <conditionalFormatting sqref="B432:B433">
    <cfRule type="expression" dxfId="618" priority="18130">
      <formula>CELL("color",E1048396)="3"</formula>
    </cfRule>
  </conditionalFormatting>
  <conditionalFormatting sqref="B545">
    <cfRule type="expression" dxfId="617" priority="18132">
      <formula>CELL("color",E1048476)="3"</formula>
    </cfRule>
  </conditionalFormatting>
  <conditionalFormatting sqref="B525:B526">
    <cfRule type="expression" dxfId="616" priority="18134">
      <formula>CELL("color",E1048460)="3"</formula>
    </cfRule>
  </conditionalFormatting>
  <conditionalFormatting sqref="B629:B632">
    <cfRule type="expression" dxfId="615" priority="18136">
      <formula>CELL("color",E1048511)="3"</formula>
    </cfRule>
  </conditionalFormatting>
  <conditionalFormatting sqref="B540">
    <cfRule type="expression" dxfId="614" priority="18140">
      <formula>CELL("color",E1048528)="3"</formula>
    </cfRule>
  </conditionalFormatting>
  <conditionalFormatting sqref="B424:B425">
    <cfRule type="expression" dxfId="613" priority="18142">
      <formula>CELL("color",E1048390)="3"</formula>
    </cfRule>
  </conditionalFormatting>
  <conditionalFormatting sqref="B430:B431">
    <cfRule type="expression" dxfId="612" priority="18144">
      <formula>CELL("color",E1048393)="3"</formula>
    </cfRule>
  </conditionalFormatting>
  <conditionalFormatting sqref="B451:C451">
    <cfRule type="expression" dxfId="611" priority="18146">
      <formula>CELL("color",E1048400)="3"</formula>
    </cfRule>
  </conditionalFormatting>
  <conditionalFormatting sqref="B461">
    <cfRule type="expression" dxfId="610" priority="18148">
      <formula>CELL("color",E1048412)="3"</formula>
    </cfRule>
  </conditionalFormatting>
  <conditionalFormatting sqref="B449:B450">
    <cfRule type="expression" dxfId="609" priority="18150">
      <formula>CELL("color",E1048402)="3"</formula>
    </cfRule>
  </conditionalFormatting>
  <conditionalFormatting sqref="B319:B322">
    <cfRule type="expression" dxfId="608" priority="18152">
      <formula>CELL("color",E1048306)="3"</formula>
    </cfRule>
  </conditionalFormatting>
  <conditionalFormatting sqref="B523">
    <cfRule type="expression" dxfId="607" priority="18154">
      <formula>CELL("color",E1048440)="3"</formula>
    </cfRule>
  </conditionalFormatting>
  <conditionalFormatting sqref="B517:B520">
    <cfRule type="expression" dxfId="606" priority="18156">
      <formula>CELL("color",E1048436)="3"</formula>
    </cfRule>
  </conditionalFormatting>
  <conditionalFormatting sqref="B521">
    <cfRule type="expression" dxfId="605" priority="18160">
      <formula>CELL("color",E1048439)="3"</formula>
    </cfRule>
  </conditionalFormatting>
  <conditionalFormatting sqref="B448:C448">
    <cfRule type="expression" dxfId="604" priority="18164">
      <formula>CELL("color",E1048398)="3"</formula>
    </cfRule>
  </conditionalFormatting>
  <conditionalFormatting sqref="B491">
    <cfRule type="expression" dxfId="603" priority="18166">
      <formula>CELL("color",E1048421)="3"</formula>
    </cfRule>
  </conditionalFormatting>
  <conditionalFormatting sqref="B524:C524">
    <cfRule type="expression" dxfId="602" priority="18168">
      <formula>CELL("color",D1048446)="3"</formula>
    </cfRule>
  </conditionalFormatting>
  <conditionalFormatting sqref="B484:C484">
    <cfRule type="expression" dxfId="601" priority="18170">
      <formula>CELL("color",D1048418)="3"</formula>
    </cfRule>
  </conditionalFormatting>
  <conditionalFormatting sqref="B8:C8">
    <cfRule type="expression" dxfId="600" priority="18172">
      <formula>CELL("color",D1048034)="3"</formula>
    </cfRule>
  </conditionalFormatting>
  <conditionalFormatting sqref="B417:C419">
    <cfRule type="expression" dxfId="599" priority="18174">
      <formula>CELL("color",D1048386)="3"</formula>
    </cfRule>
  </conditionalFormatting>
  <conditionalFormatting sqref="B511:C511">
    <cfRule type="expression" dxfId="598" priority="18176">
      <formula>CELL("color",D1048435)="3"</formula>
    </cfRule>
  </conditionalFormatting>
  <conditionalFormatting sqref="B437:C439">
    <cfRule type="expression" dxfId="597" priority="18178">
      <formula>CELL("color",D1048396)="3"</formula>
    </cfRule>
  </conditionalFormatting>
  <conditionalFormatting sqref="B440:C440">
    <cfRule type="expression" dxfId="596" priority="18180">
      <formula>CELL("color",D1048400)="3"</formula>
    </cfRule>
  </conditionalFormatting>
  <conditionalFormatting sqref="B4:C4">
    <cfRule type="expression" dxfId="595" priority="18182">
      <formula>CELL("color",D1048035)="3"</formula>
    </cfRule>
  </conditionalFormatting>
  <conditionalFormatting sqref="B462:C463">
    <cfRule type="expression" dxfId="594" priority="18184">
      <formula>CELL("color",D1048414)="3"</formula>
    </cfRule>
  </conditionalFormatting>
  <conditionalFormatting sqref="B420">
    <cfRule type="expression" dxfId="593" priority="18186">
      <formula>CELL("color",E1048387)="3"</formula>
    </cfRule>
  </conditionalFormatting>
  <conditionalFormatting sqref="B489:B490">
    <cfRule type="expression" dxfId="592" priority="18188">
      <formula>CELL("color",E1048420)="3"</formula>
    </cfRule>
  </conditionalFormatting>
  <conditionalFormatting sqref="B2">
    <cfRule type="expression" dxfId="591" priority="18192">
      <formula>CELL("color",E1048039)="3"</formula>
    </cfRule>
  </conditionalFormatting>
  <conditionalFormatting sqref="B69">
    <cfRule type="expression" dxfId="590" priority="18194">
      <formula>CELL("color",E1048103)="3"</formula>
    </cfRule>
  </conditionalFormatting>
  <conditionalFormatting sqref="B136:C136">
    <cfRule type="expression" dxfId="589" priority="18208">
      <formula>CELL("color",G1048159)="3"</formula>
    </cfRule>
  </conditionalFormatting>
  <conditionalFormatting sqref="B184:C187">
    <cfRule type="expression" dxfId="588" priority="18210">
      <formula>CELL("color",G1048199)="3"</formula>
    </cfRule>
  </conditionalFormatting>
  <conditionalFormatting sqref="B176:C176">
    <cfRule type="expression" dxfId="587" priority="18218">
      <formula>CELL("color",G1048193)="3"</formula>
    </cfRule>
  </conditionalFormatting>
  <conditionalFormatting sqref="B177:C183">
    <cfRule type="expression" dxfId="586" priority="18220">
      <formula>CELL("color",G1048193)="3"</formula>
    </cfRule>
  </conditionalFormatting>
  <conditionalFormatting sqref="B128:C129">
    <cfRule type="expression" dxfId="585" priority="18222">
      <formula>CELL("color",G1048157)="3"</formula>
    </cfRule>
  </conditionalFormatting>
  <conditionalFormatting sqref="B195:C196">
    <cfRule type="expression" dxfId="584" priority="18224">
      <formula>CELL("color",G1048205)="3"</formula>
    </cfRule>
  </conditionalFormatting>
  <conditionalFormatting sqref="B207:C210">
    <cfRule type="expression" dxfId="583" priority="18226">
      <formula>CELL("color",G1048210)="3"</formula>
    </cfRule>
  </conditionalFormatting>
  <conditionalFormatting sqref="B206:C206">
    <cfRule type="expression" dxfId="582" priority="18228">
      <formula>CELL("color",G1048211)="3"</formula>
    </cfRule>
  </conditionalFormatting>
  <conditionalFormatting sqref="B193:C194">
    <cfRule type="expression" dxfId="581" priority="18238">
      <formula>CELL("color",G1048202)="3"</formula>
    </cfRule>
  </conditionalFormatting>
  <conditionalFormatting sqref="B103:C104">
    <cfRule type="expression" dxfId="580" priority="18240">
      <formula>CELL("color",G1048133)="3"</formula>
    </cfRule>
  </conditionalFormatting>
  <conditionalFormatting sqref="B10:C11">
    <cfRule type="expression" dxfId="579" priority="18242">
      <formula>CELL("color",G1048042)="3"</formula>
    </cfRule>
  </conditionalFormatting>
  <conditionalFormatting sqref="B627:C627">
    <cfRule type="expression" dxfId="578" priority="18256">
      <formula>CELL("color",G1048530)="3"</formula>
    </cfRule>
  </conditionalFormatting>
  <conditionalFormatting sqref="B226:C226">
    <cfRule type="expression" dxfId="577" priority="18278">
      <formula>CELL("color",G1048224)="3"</formula>
    </cfRule>
  </conditionalFormatting>
  <conditionalFormatting sqref="B546:C548">
    <cfRule type="expression" dxfId="576" priority="18280">
      <formula>CELL("color",G1048491)="3"</formula>
    </cfRule>
  </conditionalFormatting>
  <conditionalFormatting sqref="B633:C634">
    <cfRule type="expression" dxfId="575" priority="18304">
      <formula>CELL("color",J1)="3"</formula>
    </cfRule>
  </conditionalFormatting>
  <conditionalFormatting sqref="B449:C451">
    <cfRule type="expression" dxfId="574" priority="18306">
      <formula>CELL("color",G1048406)="3"</formula>
    </cfRule>
  </conditionalFormatting>
  <conditionalFormatting sqref="B188:C192">
    <cfRule type="expression" dxfId="573" priority="18314">
      <formula>CELL("color",G1048201)="3"</formula>
    </cfRule>
  </conditionalFormatting>
  <conditionalFormatting sqref="B233:C236">
    <cfRule type="expression" dxfId="572" priority="18316">
      <formula>CELL("color",G1048229)="3"</formula>
    </cfRule>
  </conditionalFormatting>
  <conditionalFormatting sqref="B305:C306 B149:C153">
    <cfRule type="expression" dxfId="571" priority="18318">
      <formula>CELL("color",G1048176)="3"</formula>
    </cfRule>
  </conditionalFormatting>
  <conditionalFormatting sqref="B221:C223">
    <cfRule type="expression" dxfId="570" priority="18370">
      <formula>CELL("color",G1048221)="3"</formula>
    </cfRule>
  </conditionalFormatting>
  <conditionalFormatting sqref="B298:C298">
    <cfRule type="expression" dxfId="569" priority="18374">
      <formula>CELL("color",G1048286)="3"</formula>
    </cfRule>
  </conditionalFormatting>
  <conditionalFormatting sqref="B115:C115 B97:C102 B3:C3 B5:C5 B13:C13 B109:C111 B105:C106 B67:C69">
    <cfRule type="expression" dxfId="568" priority="18432">
      <formula>CELL("color",G1048036)="3"</formula>
    </cfRule>
  </conditionalFormatting>
  <conditionalFormatting sqref="B626:C626">
    <cfRule type="expression" dxfId="567" priority="18448">
      <formula>CELL("color",G1048526)="3"</formula>
    </cfRule>
  </conditionalFormatting>
  <conditionalFormatting sqref="B604:C605">
    <cfRule type="expression" dxfId="566" priority="18450">
      <formula>CELL("color",G1048503)="3"</formula>
    </cfRule>
  </conditionalFormatting>
  <conditionalFormatting sqref="B43:C45 B73:C73 B78:C79 B49:C52">
    <cfRule type="expression" dxfId="565" priority="18458">
      <formula>CELL("color",G1048079)="3"</formula>
    </cfRule>
  </conditionalFormatting>
  <conditionalFormatting sqref="B31:C34">
    <cfRule type="expression" dxfId="564" priority="18466">
      <formula>CELL("color",G1048069)="3"</formula>
    </cfRule>
  </conditionalFormatting>
  <conditionalFormatting sqref="B60:C63 B53:C53 B88:C92 B80:C84 B46:C48">
    <cfRule type="expression" dxfId="563" priority="18468">
      <formula>CELL("color",G1048081)="3"</formula>
    </cfRule>
  </conditionalFormatting>
  <conditionalFormatting sqref="B248:C249 B292:C292 B277:C279 B241:C244">
    <cfRule type="expression" dxfId="562" priority="18478">
      <formula>CELL("color",G1048235)="3"</formula>
    </cfRule>
  </conditionalFormatting>
  <conditionalFormatting sqref="B160:C165">
    <cfRule type="expression" dxfId="561" priority="18492">
      <formula>CELL("color",G1048187)="3"</formula>
    </cfRule>
  </conditionalFormatting>
  <conditionalFormatting sqref="B167:C172 B130:C131 B148:C148 B158:C159">
    <cfRule type="expression" dxfId="560" priority="18496">
      <formula>CELL("color",G1048155)="3"</formula>
    </cfRule>
  </conditionalFormatting>
  <conditionalFormatting sqref="B245:C247 B237:C240 B293:C294 B360:C361 B290:C291">
    <cfRule type="expression" dxfId="559" priority="18504">
      <formula>CELL("color",G1048232)="3"</formula>
    </cfRule>
  </conditionalFormatting>
  <conditionalFormatting sqref="B135:C135">
    <cfRule type="expression" dxfId="558" priority="18514">
      <formula>CELL("color",G1048159)="3"</formula>
    </cfRule>
  </conditionalFormatting>
  <conditionalFormatting sqref="B602:C602">
    <cfRule type="expression" dxfId="557" priority="18516">
      <formula>CELL("color",E22)="3"</formula>
    </cfRule>
  </conditionalFormatting>
  <conditionalFormatting sqref="B173:C175">
    <cfRule type="expression" dxfId="556" priority="18518">
      <formula>CELL("color",G1048192)="3"</formula>
    </cfRule>
  </conditionalFormatting>
  <conditionalFormatting sqref="B594:C594">
    <cfRule type="expression" dxfId="555" priority="18520">
      <formula>CELL("color",E9)="3"</formula>
    </cfRule>
  </conditionalFormatting>
  <conditionalFormatting sqref="B227:C232 B224:C225">
    <cfRule type="expression" dxfId="554" priority="18522">
      <formula>CELL("color",G1048223)="3"</formula>
    </cfRule>
  </conditionalFormatting>
  <conditionalFormatting sqref="B346:C349">
    <cfRule type="expression" dxfId="553" priority="18528">
      <formula>CELL("color",G1048323)="3"</formula>
    </cfRule>
  </conditionalFormatting>
  <conditionalFormatting sqref="B335:C336 B350:C354">
    <cfRule type="expression" dxfId="552" priority="18534">
      <formula>CELL("color",G1048310)="3"</formula>
    </cfRule>
  </conditionalFormatting>
  <conditionalFormatting sqref="B614:C614">
    <cfRule type="expression" dxfId="551" priority="18538">
      <formula>CELL("color",E1)="3"</formula>
    </cfRule>
  </conditionalFormatting>
  <conditionalFormatting sqref="B413:C413">
    <cfRule type="expression" dxfId="550" priority="18542">
      <formula>CELL("color",G1048375)="3"</formula>
    </cfRule>
  </conditionalFormatting>
  <conditionalFormatting sqref="B357:C359 B376:C382">
    <cfRule type="expression" dxfId="549" priority="18546">
      <formula>CELL("color",G1048329)="3"</formula>
    </cfRule>
  </conditionalFormatting>
  <conditionalFormatting sqref="B371:C373 B385:C386 B383:C383 B388:C390 B375:C375">
    <cfRule type="expression" dxfId="548" priority="18556">
      <formula>CELL("color",G1048340)="3"</formula>
    </cfRule>
  </conditionalFormatting>
  <conditionalFormatting sqref="B597:C599">
    <cfRule type="expression" dxfId="547" priority="18566">
      <formula>CELL("color",G1048495)="3"</formula>
    </cfRule>
  </conditionalFormatting>
  <conditionalFormatting sqref="B355:C356">
    <cfRule type="expression" dxfId="546" priority="18568">
      <formula>CELL("color",G1048328)="3"</formula>
    </cfRule>
  </conditionalFormatting>
  <conditionalFormatting sqref="B633:C634">
    <cfRule type="expression" dxfId="545" priority="18570">
      <formula>CELL("color",D1)="3"</formula>
    </cfRule>
  </conditionalFormatting>
  <conditionalFormatting sqref="B633:C634">
    <cfRule type="expression" dxfId="544" priority="18572">
      <formula>CELL("color",E1)="3"</formula>
    </cfRule>
  </conditionalFormatting>
  <conditionalFormatting sqref="B566:C566">
    <cfRule type="expression" dxfId="543" priority="18574">
      <formula>CELL("color",F1048484)="3"</formula>
    </cfRule>
  </conditionalFormatting>
  <conditionalFormatting sqref="B554:C555">
    <cfRule type="expression" dxfId="542" priority="18576">
      <formula>CELL("color",F1048477)="3"</formula>
    </cfRule>
  </conditionalFormatting>
  <conditionalFormatting sqref="B428:C429">
    <cfRule type="expression" dxfId="541" priority="18578">
      <formula>CELL("color",F1048553)="3"</formula>
    </cfRule>
  </conditionalFormatting>
  <conditionalFormatting sqref="B558:C561">
    <cfRule type="expression" dxfId="540" priority="18580">
      <formula>CELL("color",F1048479)="3"</formula>
    </cfRule>
  </conditionalFormatting>
  <conditionalFormatting sqref="B464:C470">
    <cfRule type="expression" dxfId="539" priority="18582">
      <formula>CELL("color",F1048455)="3"</formula>
    </cfRule>
  </conditionalFormatting>
  <conditionalFormatting sqref="B505:C505 B495:C497">
    <cfRule type="expression" dxfId="538" priority="18584">
      <formula>CELL("color",F1048422)="3"</formula>
    </cfRule>
  </conditionalFormatting>
  <conditionalFormatting sqref="B524:C524">
    <cfRule type="expression" dxfId="537" priority="18588">
      <formula>CELL("color",F1048446)="3"</formula>
    </cfRule>
  </conditionalFormatting>
  <conditionalFormatting sqref="B420:C420">
    <cfRule type="expression" dxfId="536" priority="18590">
      <formula>CELL("color",F1048387)="3"</formula>
    </cfRule>
  </conditionalFormatting>
  <conditionalFormatting sqref="B511:C511 B549:C553">
    <cfRule type="expression" dxfId="535" priority="18592">
      <formula>CELL("color",F1048435)="3"</formula>
    </cfRule>
  </conditionalFormatting>
  <conditionalFormatting sqref="B498:C498 B489:C490">
    <cfRule type="expression" dxfId="534" priority="18594">
      <formula>CELL("color",F1048420)="3"</formula>
    </cfRule>
  </conditionalFormatting>
  <conditionalFormatting sqref="B537:C538">
    <cfRule type="expression" dxfId="533" priority="18598">
      <formula>CELL("color",F1048469)="3"</formula>
    </cfRule>
  </conditionalFormatting>
  <conditionalFormatting sqref="B515:C516">
    <cfRule type="expression" dxfId="532" priority="18604">
      <formula>CELL("color",F1048435)="3"</formula>
    </cfRule>
  </conditionalFormatting>
  <conditionalFormatting sqref="B458:C458">
    <cfRule type="expression" dxfId="531" priority="18606">
      <formula>CELL("color",F1048413)="3"</formula>
    </cfRule>
  </conditionalFormatting>
  <conditionalFormatting sqref="B6:C7 B4:C4">
    <cfRule type="expression" dxfId="530" priority="18608">
      <formula>CELL("color",F1048035)="3"</formula>
    </cfRule>
  </conditionalFormatting>
  <conditionalFormatting sqref="B323:C326">
    <cfRule type="expression" dxfId="529" priority="18612">
      <formula>CELL("color",F1048309)="3"</formula>
    </cfRule>
  </conditionalFormatting>
  <conditionalFormatting sqref="B2:C2">
    <cfRule type="expression" dxfId="528" priority="18614">
      <formula>CELL("color",F1048039)="3"</formula>
    </cfRule>
  </conditionalFormatting>
  <conditionalFormatting sqref="B332:C333">
    <cfRule type="expression" dxfId="527" priority="18616">
      <formula>CELL("color",F1048312)="3"</formula>
    </cfRule>
  </conditionalFormatting>
  <conditionalFormatting sqref="B328:C331">
    <cfRule type="expression" dxfId="526" priority="18618">
      <formula>CELL("color",F1048310)="3"</formula>
    </cfRule>
  </conditionalFormatting>
  <conditionalFormatting sqref="B69:C69">
    <cfRule type="expression" dxfId="525" priority="18620">
      <formula>CELL("color",F1048103)="3"</formula>
    </cfRule>
  </conditionalFormatting>
  <conditionalFormatting sqref="B327:C327">
    <cfRule type="expression" dxfId="524" priority="18622">
      <formula>CELL("color",F1048312)="3"</formula>
    </cfRule>
  </conditionalFormatting>
  <conditionalFormatting sqref="B414:C416">
    <cfRule type="expression" dxfId="523" priority="18624">
      <formula>CELL("color",F1048384)="3"</formula>
    </cfRule>
  </conditionalFormatting>
  <conditionalFormatting sqref="B417:C419">
    <cfRule type="expression" dxfId="522" priority="18626">
      <formula>CELL("color",F1048386)="3"</formula>
    </cfRule>
  </conditionalFormatting>
  <conditionalFormatting sqref="B427:C427 B423:C423">
    <cfRule type="expression" dxfId="521" priority="18628">
      <formula>CELL("color",F1048388)="3"</formula>
    </cfRule>
  </conditionalFormatting>
  <conditionalFormatting sqref="B432:C433">
    <cfRule type="expression" dxfId="520" priority="18632">
      <formula>CELL("color",F1048396)="3"</formula>
    </cfRule>
  </conditionalFormatting>
  <conditionalFormatting sqref="B434:C436">
    <cfRule type="expression" dxfId="519" priority="18634">
      <formula>CELL("color",F1048395)="3"</formula>
    </cfRule>
  </conditionalFormatting>
  <conditionalFormatting sqref="B440:C440">
    <cfRule type="expression" dxfId="518" priority="18636">
      <formula>CELL("color",F1048400)="3"</formula>
    </cfRule>
  </conditionalFormatting>
  <conditionalFormatting sqref="B545:C545">
    <cfRule type="expression" dxfId="517" priority="18638">
      <formula>CELL("color",F1048476)="3"</formula>
    </cfRule>
  </conditionalFormatting>
  <conditionalFormatting sqref="B525:C526">
    <cfRule type="expression" dxfId="516" priority="18640">
      <formula>CELL("color",F1048460)="3"</formula>
    </cfRule>
  </conditionalFormatting>
  <conditionalFormatting sqref="B629:C632 B637:C637">
    <cfRule type="expression" dxfId="515" priority="18642">
      <formula>CELL("color",F1048511)="3"</formula>
    </cfRule>
  </conditionalFormatting>
  <conditionalFormatting sqref="B8:C8">
    <cfRule type="expression" dxfId="514" priority="18646">
      <formula>CELL("color",F1048034)="3"</formula>
    </cfRule>
  </conditionalFormatting>
  <conditionalFormatting sqref="B527:C536">
    <cfRule type="expression" dxfId="513" priority="18648">
      <formula>CELL("color",F1048464)="3"</formula>
    </cfRule>
  </conditionalFormatting>
  <conditionalFormatting sqref="B540:C540">
    <cfRule type="expression" dxfId="512" priority="18654">
      <formula>CELL("color",F1048528)="3"</formula>
    </cfRule>
  </conditionalFormatting>
  <conditionalFormatting sqref="B424:C425">
    <cfRule type="expression" dxfId="511" priority="18656">
      <formula>CELL("color",F1048390)="3"</formula>
    </cfRule>
  </conditionalFormatting>
  <conditionalFormatting sqref="B430:C431">
    <cfRule type="expression" dxfId="510" priority="18658">
      <formula>CELL("color",F1048393)="3"</formula>
    </cfRule>
  </conditionalFormatting>
  <conditionalFormatting sqref="B451:C451">
    <cfRule type="expression" dxfId="509" priority="18660">
      <formula>CELL("color",F1048400)="3"</formula>
    </cfRule>
  </conditionalFormatting>
  <conditionalFormatting sqref="B453:C457 B462:C463">
    <cfRule type="expression" dxfId="508" priority="18662">
      <formula>CELL("color",F1048405)="3"</formula>
    </cfRule>
  </conditionalFormatting>
  <conditionalFormatting sqref="B461:C461">
    <cfRule type="expression" dxfId="507" priority="18666">
      <formula>CELL("color",F1048412)="3"</formula>
    </cfRule>
  </conditionalFormatting>
  <conditionalFormatting sqref="B449:C450">
    <cfRule type="expression" dxfId="506" priority="18668">
      <formula>CELL("color",F1048402)="3"</formula>
    </cfRule>
  </conditionalFormatting>
  <conditionalFormatting sqref="B319:C322">
    <cfRule type="expression" dxfId="505" priority="18670">
      <formula>CELL("color",F1048306)="3"</formula>
    </cfRule>
  </conditionalFormatting>
  <conditionalFormatting sqref="B523:C523">
    <cfRule type="expression" dxfId="504" priority="18672">
      <formula>CELL("color",F1048440)="3"</formula>
    </cfRule>
  </conditionalFormatting>
  <conditionalFormatting sqref="B517:C520 B522:C522">
    <cfRule type="expression" dxfId="503" priority="18674">
      <formula>CELL("color",F1048436)="3"</formula>
    </cfRule>
  </conditionalFormatting>
  <conditionalFormatting sqref="B639:C639">
    <cfRule type="expression" dxfId="502" priority="18678">
      <formula>CELL("color",F1048554)="3"</formula>
    </cfRule>
  </conditionalFormatting>
  <conditionalFormatting sqref="B437:C439">
    <cfRule type="expression" dxfId="501" priority="18682">
      <formula>CELL("color",F1048396)="3"</formula>
    </cfRule>
  </conditionalFormatting>
  <conditionalFormatting sqref="B640:C640">
    <cfRule type="expression" dxfId="500" priority="18684">
      <formula>CELL("color",F1048576)="3"</formula>
    </cfRule>
  </conditionalFormatting>
  <conditionalFormatting sqref="B448:C448">
    <cfRule type="expression" dxfId="499" priority="18686">
      <formula>CELL("color",F1048398)="3"</formula>
    </cfRule>
  </conditionalFormatting>
  <conditionalFormatting sqref="B491:C491">
    <cfRule type="expression" dxfId="498" priority="18688">
      <formula>CELL("color",F1048421)="3"</formula>
    </cfRule>
  </conditionalFormatting>
  <conditionalFormatting sqref="B202">
    <cfRule type="expression" dxfId="497" priority="18708">
      <formula>CELL("color",G1048210)="3"</formula>
    </cfRule>
  </conditionalFormatting>
  <conditionalFormatting sqref="B203:C205">
    <cfRule type="expression" dxfId="496" priority="18712">
      <formula>CELL("color",G1048210)="3"</formula>
    </cfRule>
  </conditionalFormatting>
  <conditionalFormatting sqref="B211:C212">
    <cfRule type="expression" dxfId="495" priority="18714">
      <formula>CELL("color",G1048213)="3"</formula>
    </cfRule>
  </conditionalFormatting>
  <conditionalFormatting sqref="B334:C334">
    <cfRule type="expression" dxfId="494" priority="18716">
      <formula>CELL("color",G1048308)="3"</formula>
    </cfRule>
  </conditionalFormatting>
  <conditionalFormatting sqref="B558:C561">
    <cfRule type="expression" dxfId="493" priority="18774">
      <formula>CELL("color",G1048479)="3"</formula>
    </cfRule>
  </conditionalFormatting>
  <conditionalFormatting sqref="B489:C490 B498:C498 B494:C494">
    <cfRule type="expression" dxfId="492" priority="18818">
      <formula>CELL("color",G1048420)="3"</formula>
    </cfRule>
  </conditionalFormatting>
  <conditionalFormatting sqref="B537:C538 B541:C544">
    <cfRule type="expression" dxfId="491" priority="18834">
      <formula>CELL("color",G1048469)="3"</formula>
    </cfRule>
  </conditionalFormatting>
  <conditionalFormatting sqref="B591:C592 B595:C595 B583:C583">
    <cfRule type="expression" dxfId="490" priority="18857">
      <formula>CELL("color",G1048504)="3"</formula>
    </cfRule>
  </conditionalFormatting>
  <conditionalFormatting sqref="B458:C458">
    <cfRule type="expression" dxfId="489" priority="18867">
      <formula>CELL("color",G1048413)="3"</formula>
    </cfRule>
  </conditionalFormatting>
  <conditionalFormatting sqref="B2:C2 B27:C30 B40:C42">
    <cfRule type="expression" dxfId="488" priority="18869">
      <formula>CELL("color",G1048039)="3"</formula>
    </cfRule>
  </conditionalFormatting>
  <conditionalFormatting sqref="B69:C69 B65:C66 B112:C114">
    <cfRule type="expression" dxfId="487" priority="18872">
      <formula>CELL("color",G1048099)="3"</formula>
    </cfRule>
  </conditionalFormatting>
  <conditionalFormatting sqref="B596:C596">
    <cfRule type="expression" dxfId="486" priority="18879">
      <formula>CELL("color",G1048515)="3"</formula>
    </cfRule>
  </conditionalFormatting>
  <conditionalFormatting sqref="B420:C420">
    <cfRule type="expression" dxfId="485" priority="18881">
      <formula>CELL("color",G1048387)="3"</formula>
    </cfRule>
  </conditionalFormatting>
  <conditionalFormatting sqref="B387:C387">
    <cfRule type="expression" dxfId="484" priority="18884">
      <formula>CELL("color",G1048357)="3"</formula>
    </cfRule>
  </conditionalFormatting>
  <conditionalFormatting sqref="B423:C423">
    <cfRule type="expression" dxfId="483" priority="18885">
      <formula>CELL("color",G1048388)="3"</formula>
    </cfRule>
  </conditionalFormatting>
  <conditionalFormatting sqref="B271:C276 B250:C251 B280:C280">
    <cfRule type="expression" dxfId="482" priority="18886">
      <formula>CELL("color",G1048243)="3"</formula>
    </cfRule>
  </conditionalFormatting>
  <conditionalFormatting sqref="B471:C474">
    <cfRule type="expression" dxfId="481" priority="18902">
      <formula>CELL("color",G1048412)="3"</formula>
    </cfRule>
  </conditionalFormatting>
  <conditionalFormatting sqref="B132:C134 B137:C147 B166:C166">
    <cfRule type="expression" dxfId="480" priority="18910">
      <formula>CELL("color",G1048158)="3"</formula>
    </cfRule>
  </conditionalFormatting>
  <conditionalFormatting sqref="B446:C448">
    <cfRule type="expression" dxfId="479" priority="18918">
      <formula>CELL("color",G1048404)="3"</formula>
    </cfRule>
  </conditionalFormatting>
  <conditionalFormatting sqref="B527:C536">
    <cfRule type="expression" dxfId="478" priority="18919">
      <formula>CELL("color",G1048464)="3"</formula>
    </cfRule>
  </conditionalFormatting>
  <conditionalFormatting sqref="B459:C460">
    <cfRule type="expression" dxfId="477" priority="18935">
      <formula>CELL("color",G1048411)="3"</formula>
    </cfRule>
  </conditionalFormatting>
  <conditionalFormatting sqref="B476:C476">
    <cfRule type="expression" dxfId="476" priority="18945">
      <formula>CELL("color",G1048414)="3"</formula>
    </cfRule>
  </conditionalFormatting>
  <conditionalFormatting sqref="B505:C505">
    <cfRule type="expression" dxfId="475" priority="18960">
      <formula>CELL("color",G1048432)="3"</formula>
    </cfRule>
  </conditionalFormatting>
  <conditionalFormatting sqref="B442:C442">
    <cfRule type="expression" dxfId="474" priority="18961">
      <formula>CELL("color",G1048401)="3"</formula>
    </cfRule>
  </conditionalFormatting>
  <conditionalFormatting sqref="B640:C640">
    <cfRule type="expression" dxfId="473" priority="18962">
      <formula>CELL("color",G1048576)="3"</formula>
    </cfRule>
  </conditionalFormatting>
  <conditionalFormatting sqref="B9:C9 B12:C12">
    <cfRule type="expression" dxfId="472" priority="18965">
      <formula>CELL("color",G1048040)="3"</formula>
    </cfRule>
  </conditionalFormatting>
  <conditionalFormatting sqref="B434:C434 B444:C445 B436:C436">
    <cfRule type="expression" dxfId="471" priority="18967">
      <formula>CELL("color",G1048395)="3"</formula>
    </cfRule>
  </conditionalFormatting>
  <conditionalFormatting sqref="B397:C398">
    <cfRule type="expression" dxfId="470" priority="18970">
      <formula>CELL("color",G1048357)="3"</formula>
    </cfRule>
  </conditionalFormatting>
  <conditionalFormatting sqref="B566:C566">
    <cfRule type="expression" dxfId="469" priority="18972">
      <formula>CELL("color",C1048484)="3"</formula>
    </cfRule>
  </conditionalFormatting>
  <conditionalFormatting sqref="B511:C511 B549:C553">
    <cfRule type="expression" dxfId="468" priority="18974">
      <formula>CELL("color",C1048435)="3"</formula>
    </cfRule>
  </conditionalFormatting>
  <conditionalFormatting sqref="B627:C627">
    <cfRule type="expression" dxfId="467" priority="18978">
      <formula>CELL("color",C1048530)="3"</formula>
    </cfRule>
  </conditionalFormatting>
  <conditionalFormatting sqref="B428:C429">
    <cfRule type="expression" dxfId="466" priority="18979">
      <formula>CELL("color",C1048553)="3"</formula>
    </cfRule>
  </conditionalFormatting>
  <conditionalFormatting sqref="C64 C105:C106 C67:C69 B115:C115 C97:C102 C3 C5 C13 B109:C111">
    <cfRule type="expression" dxfId="465" priority="18981">
      <formula>CELL("color",C1048036)="3"</formula>
    </cfRule>
  </conditionalFormatting>
  <conditionalFormatting sqref="C619 B626:C626">
    <cfRule type="expression" dxfId="464" priority="18985">
      <formula>CELL("color",C1048519)="3"</formula>
    </cfRule>
  </conditionalFormatting>
  <conditionalFormatting sqref="B271:C276 C250:C251 B280:C280 C283">
    <cfRule type="expression" dxfId="463" priority="18987">
      <formula>CELL("color",C1048243)="3"</formula>
    </cfRule>
  </conditionalFormatting>
  <conditionalFormatting sqref="C85:C87 B78:C79 C49:C52 C43:C45 B73:C73">
    <cfRule type="expression" dxfId="462" priority="18992">
      <formula>CELL("color",C1048079)="3"</formula>
    </cfRule>
  </conditionalFormatting>
  <conditionalFormatting sqref="B508:C509">
    <cfRule type="expression" dxfId="461" priority="18996">
      <formula>CELL("color",B1048433)="3"</formula>
    </cfRule>
  </conditionalFormatting>
  <conditionalFormatting sqref="B37:B39">
    <cfRule type="expression" dxfId="460" priority="18998">
      <formula>CELL("color",C1048075)="3"</formula>
    </cfRule>
  </conditionalFormatting>
  <conditionalFormatting sqref="B70">
    <cfRule type="expression" dxfId="459" priority="19002">
      <formula>CELL("color",C1048105)="3"</formula>
    </cfRule>
  </conditionalFormatting>
  <conditionalFormatting sqref="F73 F78:F79 F49:F52 F43:F45 B85:C87 B43:C45 B49:C52">
    <cfRule type="expression" dxfId="458" priority="19008">
      <formula>CELL("color",B1048079)="3"</formula>
    </cfRule>
  </conditionalFormatting>
  <conditionalFormatting sqref="B112:B114">
    <cfRule type="expression" dxfId="457" priority="19014">
      <formula>CELL("color",C1048146)="3"</formula>
    </cfRule>
  </conditionalFormatting>
  <conditionalFormatting sqref="B281:B282">
    <cfRule type="expression" dxfId="456" priority="19021">
      <formula>CELL("color",C1048275)="3"</formula>
    </cfRule>
  </conditionalFormatting>
  <conditionalFormatting sqref="B437:C439 F442">
    <cfRule type="expression" dxfId="455" priority="19027">
      <formula>CELL("color",B1048396)="3"</formula>
    </cfRule>
  </conditionalFormatting>
  <conditionalFormatting sqref="B562:C565 B596:C596 B517:C520">
    <cfRule type="expression" dxfId="454" priority="19029">
      <formula>CELL("color",C1048436)="3"</formula>
    </cfRule>
  </conditionalFormatting>
  <conditionalFormatting sqref="B514:C514">
    <cfRule type="expression" dxfId="453" priority="19033">
      <formula>CELL("color",B1048435)="3"</formula>
    </cfRule>
  </conditionalFormatting>
  <conditionalFormatting sqref="C580:C582">
    <cfRule type="expression" dxfId="452" priority="19034">
      <formula>CELL("color",D1048497)="3"</formula>
    </cfRule>
  </conditionalFormatting>
  <conditionalFormatting sqref="C571:C572 C569 B495:C497 B505:C505">
    <cfRule type="expression" dxfId="451" priority="19035">
      <formula>CELL("color",C1048422)="3"</formula>
    </cfRule>
  </conditionalFormatting>
  <conditionalFormatting sqref="C584:C585 C587:C588 B515:C516">
    <cfRule type="expression" dxfId="450" priority="19037">
      <formula>CELL("color",C1048435)="3"</formula>
    </cfRule>
  </conditionalFormatting>
  <conditionalFormatting sqref="B539:C539 B545:C545 B489:C490 C494 B498:C498">
    <cfRule type="expression" dxfId="449" priority="19038">
      <formula>CELL("color",C1048420)="3"</formula>
    </cfRule>
  </conditionalFormatting>
  <conditionalFormatting sqref="B464:C470">
    <cfRule type="expression" dxfId="448" priority="19040">
      <formula>CELL("color",C1048455)="3"</formula>
    </cfRule>
  </conditionalFormatting>
  <conditionalFormatting sqref="B499:C499">
    <cfRule type="expression" dxfId="447" priority="19041">
      <formula>CELL("color",C1048426)="3"</formula>
    </cfRule>
  </conditionalFormatting>
  <conditionalFormatting sqref="F505 B499:C499 B495:C497">
    <cfRule type="expression" dxfId="446" priority="19045">
      <formula>CELL("color",B1048422)="3"</formula>
    </cfRule>
  </conditionalFormatting>
  <conditionalFormatting sqref="C541:C544 B537:C538 C487">
    <cfRule type="expression" dxfId="445" priority="19049">
      <formula>CELL("color",C1048419)="3"</formula>
    </cfRule>
  </conditionalFormatting>
  <conditionalFormatting sqref="B414:C416">
    <cfRule type="expression" dxfId="444" priority="19052">
      <formula>CELL("color",C1048384)="3"</formula>
    </cfRule>
  </conditionalFormatting>
  <conditionalFormatting sqref="F596 B517:C520">
    <cfRule type="expression" dxfId="443" priority="19054">
      <formula>CELL("color",B1048436)="3"</formula>
    </cfRule>
  </conditionalFormatting>
  <conditionalFormatting sqref="C435 B432:C433">
    <cfRule type="expression" dxfId="442" priority="19055">
      <formula>CELL("color",C1048396)="3"</formula>
    </cfRule>
  </conditionalFormatting>
  <conditionalFormatting sqref="F420">
    <cfRule type="expression" dxfId="441" priority="19057">
      <formula>CELL("color",F1048387)="3"</formula>
    </cfRule>
  </conditionalFormatting>
  <conditionalFormatting sqref="B595:C595 F591:F592 F595 F583 B558:C561">
    <cfRule type="expression" dxfId="440" priority="19059">
      <formula>CELL("color",B1048479)="3"</formula>
    </cfRule>
  </conditionalFormatting>
  <conditionalFormatting sqref="C315:C318 B328:C331">
    <cfRule type="expression" dxfId="439" priority="19064">
      <formula>CELL("color",C1048297)="3"</formula>
    </cfRule>
  </conditionalFormatting>
  <conditionalFormatting sqref="B40:C42 B27:C30 B35:C36 F2 F27:F30 B2:C2 F40:F42">
    <cfRule type="expression" dxfId="438" priority="19066">
      <formula>CELL("color",B1048039)="3"</formula>
    </cfRule>
  </conditionalFormatting>
  <conditionalFormatting sqref="B166">
    <cfRule type="expression" dxfId="437" priority="19074">
      <formula>CELL("color",C1048192)="3"</formula>
    </cfRule>
  </conditionalFormatting>
  <conditionalFormatting sqref="C149:C153 B160:C165">
    <cfRule type="expression" dxfId="436" priority="19077">
      <formula>CELL("color",C1048176)="3"</formula>
    </cfRule>
  </conditionalFormatting>
  <conditionalFormatting sqref="F53 F88:F92 F80:F84 F46:F48 F60:F63 B80:C84 B46:C48 B53:C53 B60:C63">
    <cfRule type="expression" dxfId="435" priority="19079">
      <formula>CELL("color",B1048081)="3"</formula>
    </cfRule>
  </conditionalFormatting>
  <conditionalFormatting sqref="C154:C156">
    <cfRule type="expression" dxfId="434" priority="19087">
      <formula>CELL("color",D1048179)="3"</formula>
    </cfRule>
  </conditionalFormatting>
  <conditionalFormatting sqref="C422 B424:C425">
    <cfRule type="expression" dxfId="433" priority="19088">
      <formula>CELL("color",C1048388)="3"</formula>
    </cfRule>
  </conditionalFormatting>
  <conditionalFormatting sqref="B71:B72">
    <cfRule type="expression" dxfId="432" priority="19090">
      <formula>CELL("color",C1048108)="3"</formula>
    </cfRule>
  </conditionalFormatting>
  <conditionalFormatting sqref="F31:F34 B74:C77">
    <cfRule type="expression" dxfId="431" priority="19095">
      <formula>CELL("color",B1048069)="3"</formula>
    </cfRule>
  </conditionalFormatting>
  <conditionalFormatting sqref="B491:C491">
    <cfRule type="expression" dxfId="430" priority="19096">
      <formula>CELL("color",C1048421)="3"</formula>
    </cfRule>
  </conditionalFormatting>
  <conditionalFormatting sqref="F69 F65:F66 F112:F114 B69:C69 B65:C66 B14:C26">
    <cfRule type="expression" dxfId="429" priority="19099">
      <formula>CELL("color",B1048048)="3"</formula>
    </cfRule>
  </conditionalFormatting>
  <conditionalFormatting sqref="F97:F102 F3 F5 F13 F109:F111 F105:F106 F67:F69 F115 B105:C106 B67:C69 B97:C102 B5:C5 B13:C13 B3:C3 B64:C64">
    <cfRule type="expression" dxfId="428" priority="19105">
      <formula>CELL("color",B1048036)="3"</formula>
    </cfRule>
  </conditionalFormatting>
  <conditionalFormatting sqref="B136:C136">
    <cfRule type="expression" dxfId="427" priority="19119">
      <formula>CELL("color",C1048159)="3"</formula>
    </cfRule>
  </conditionalFormatting>
  <conditionalFormatting sqref="F271:F276 F250:F251 F280 B283:C283 B250:C251">
    <cfRule type="expression" dxfId="426" priority="19121">
      <formula>CELL("color",B1048243)="3"</formula>
    </cfRule>
  </conditionalFormatting>
  <conditionalFormatting sqref="B327:C327">
    <cfRule type="expression" dxfId="425" priority="19124">
      <formula>CELL("color",C1048312)="3"</formula>
    </cfRule>
  </conditionalFormatting>
  <conditionalFormatting sqref="B184:C187">
    <cfRule type="expression" dxfId="424" priority="19126">
      <formula>CELL("color",C1048199)="3"</formula>
    </cfRule>
  </conditionalFormatting>
  <conditionalFormatting sqref="B570:C572">
    <cfRule type="expression" dxfId="423" priority="19128">
      <formula>CELL("color",B1048498)="3"</formula>
    </cfRule>
  </conditionalFormatting>
  <conditionalFormatting sqref="C488">
    <cfRule type="expression" dxfId="422" priority="19134">
      <formula>CELL("color",D1048503)="3"</formula>
    </cfRule>
  </conditionalFormatting>
  <conditionalFormatting sqref="B177:C183">
    <cfRule type="expression" dxfId="421" priority="19136">
      <formula>CELL("color",C1048193)="3"</formula>
    </cfRule>
  </conditionalFormatting>
  <conditionalFormatting sqref="B188:C192">
    <cfRule type="expression" dxfId="420" priority="19138">
      <formula>CELL("color",C1048201)="3"</formula>
    </cfRule>
  </conditionalFormatting>
  <conditionalFormatting sqref="C299">
    <cfRule type="expression" dxfId="419" priority="19140">
      <formula>CELL("color",D1048327)="3"</formula>
    </cfRule>
  </conditionalFormatting>
  <conditionalFormatting sqref="B195:C196">
    <cfRule type="expression" dxfId="418" priority="19142">
      <formula>CELL("color",C1048205)="3"</formula>
    </cfRule>
  </conditionalFormatting>
  <conditionalFormatting sqref="B157:C157 C396 C135">
    <cfRule type="expression" dxfId="417" priority="19144">
      <formula>CELL("color",C1048159)="3"</formula>
    </cfRule>
  </conditionalFormatting>
  <conditionalFormatting sqref="C198:C199 B203:C205">
    <cfRule type="expression" dxfId="416" priority="19148">
      <formula>CELL("color",C1048205)="3"</formula>
    </cfRule>
  </conditionalFormatting>
  <conditionalFormatting sqref="B207:C210">
    <cfRule type="expression" dxfId="415" priority="19150">
      <formula>CELL("color",C1048210)="3"</formula>
    </cfRule>
  </conditionalFormatting>
  <conditionalFormatting sqref="B218:C220 C211:C212">
    <cfRule type="expression" dxfId="414" priority="19152">
      <formula>CELL("color",C1048213)="3"</formula>
    </cfRule>
  </conditionalFormatting>
  <conditionalFormatting sqref="B202:C202">
    <cfRule type="expression" dxfId="413" priority="19154">
      <formula>CELL("color",C1048210)="3"</formula>
    </cfRule>
  </conditionalFormatting>
  <conditionalFormatting sqref="B206:C206">
    <cfRule type="expression" dxfId="412" priority="19158">
      <formula>CELL("color",C1048211)="3"</formula>
    </cfRule>
  </conditionalFormatting>
  <conditionalFormatting sqref="B315:C318 B328:C331">
    <cfRule type="expression" dxfId="411" priority="19160">
      <formula>CELL("color",B1048297)="3"</formula>
    </cfRule>
  </conditionalFormatting>
  <conditionalFormatting sqref="B224:C225 C227:C232">
    <cfRule type="expression" dxfId="410" priority="19164">
      <formula>CELL("color",C1048223)="3"</formula>
    </cfRule>
  </conditionalFormatting>
  <conditionalFormatting sqref="B226:C226">
    <cfRule type="expression" dxfId="409" priority="19166">
      <formula>CELL("color",C1048224)="3"</formula>
    </cfRule>
  </conditionalFormatting>
  <conditionalFormatting sqref="B323:C326">
    <cfRule type="expression" dxfId="408" priority="19167">
      <formula>CELL("color",C1048309)="3"</formula>
    </cfRule>
  </conditionalFormatting>
  <conditionalFormatting sqref="B233:C236">
    <cfRule type="expression" dxfId="407" priority="19169">
      <formula>CELL("color",C1048229)="3"</formula>
    </cfRule>
  </conditionalFormatting>
  <conditionalFormatting sqref="C391:C393 B370:C370 B384:C384 C374">
    <cfRule type="expression" dxfId="406" priority="19171">
      <formula>CELL("color",C1048338)="3"</formula>
    </cfRule>
  </conditionalFormatting>
  <conditionalFormatting sqref="F626 B619:C619">
    <cfRule type="expression" dxfId="405" priority="19177">
      <formula>CELL("color",B1048519)="3"</formula>
    </cfRule>
  </conditionalFormatting>
  <conditionalFormatting sqref="B617:C618 B604:C607">
    <cfRule type="expression" dxfId="404" priority="19179">
      <formula>CELL("color",B1048503)="3"</formula>
    </cfRule>
  </conditionalFormatting>
  <conditionalFormatting sqref="B414:C416 F387">
    <cfRule type="expression" dxfId="403" priority="19183">
      <formula>CELL("color",B1048357)="3"</formula>
    </cfRule>
  </conditionalFormatting>
  <conditionalFormatting sqref="B417:C419 B375:C375 C371:C373 B385:C386 B383:C383">
    <cfRule type="expression" dxfId="402" priority="19185">
      <formula>CELL("color",C1048340)="3"</formula>
    </cfRule>
  </conditionalFormatting>
  <conditionalFormatting sqref="F558:F561">
    <cfRule type="expression" dxfId="401" priority="19188">
      <formula>CELL("color",F1048479)="3"</formula>
    </cfRule>
  </conditionalFormatting>
  <conditionalFormatting sqref="B221:C223">
    <cfRule type="expression" dxfId="400" priority="19190">
      <formula>CELL("color",C1048221)="3"</formula>
    </cfRule>
  </conditionalFormatting>
  <conditionalFormatting sqref="F541:F544 F537:F538 B487:C487">
    <cfRule type="expression" dxfId="399" priority="19192">
      <formula>CELL("color",B1048419)="3"</formula>
    </cfRule>
  </conditionalFormatting>
  <conditionalFormatting sqref="C603 B583:C583 C591:C592 C595 B558:C561 C514">
    <cfRule type="expression" dxfId="398" priority="19194">
      <formula>CELL("color",C1048435)="3"</formula>
    </cfRule>
  </conditionalFormatting>
  <conditionalFormatting sqref="B569:C569">
    <cfRule type="expression" dxfId="397" priority="19198">
      <formula>CELL("color",B1048496)="3"</formula>
    </cfRule>
  </conditionalFormatting>
  <conditionalFormatting sqref="B411">
    <cfRule type="expression" dxfId="396" priority="19202">
      <formula>CELL("color",C1048370)="3"</formula>
    </cfRule>
  </conditionalFormatting>
  <conditionalFormatting sqref="F130:F131 F148 F158:F159 F167:F172 B167:C172 B130:C131 B154:C156 B148:C148 B197:C197">
    <cfRule type="expression" dxfId="395" priority="19205">
      <formula>CELL("color",B1048155)="3"</formula>
    </cfRule>
  </conditionalFormatting>
  <conditionalFormatting sqref="B123:C127 C10:C11">
    <cfRule type="expression" dxfId="394" priority="19213">
      <formula>CELL("color",C1048042)="3"</formula>
    </cfRule>
  </conditionalFormatting>
  <conditionalFormatting sqref="B103:C104">
    <cfRule type="expression" dxfId="393" priority="19215">
      <formula>CELL("color",C1048133)="3"</formula>
    </cfRule>
  </conditionalFormatting>
  <conditionalFormatting sqref="B9:C9 F12 B4:C4 F9">
    <cfRule type="expression" dxfId="392" priority="19217">
      <formula>CELL("color",B1048035)="3"</formula>
    </cfRule>
  </conditionalFormatting>
  <conditionalFormatting sqref="B302:C303">
    <cfRule type="expression" dxfId="391" priority="19221">
      <formula>CELL("color",B1048288)="3"</formula>
    </cfRule>
  </conditionalFormatting>
  <conditionalFormatting sqref="B310:C313">
    <cfRule type="expression" dxfId="390" priority="19223">
      <formula>CELL("color",B1048290)="3"</formula>
    </cfRule>
  </conditionalFormatting>
  <conditionalFormatting sqref="C310:C313 B332:C333">
    <cfRule type="expression" dxfId="389" priority="19224">
      <formula>CELL("color",C1048290)="3"</formula>
    </cfRule>
  </conditionalFormatting>
  <conditionalFormatting sqref="B432:C433">
    <cfRule type="expression" dxfId="388" priority="19227">
      <formula>CELL("color",B1048396)="3"</formula>
    </cfRule>
  </conditionalFormatting>
  <conditionalFormatting sqref="B406:C406 F444:F445 F436 F434">
    <cfRule type="expression" dxfId="387" priority="19229">
      <formula>CELL("color",B1048367)="3"</formula>
    </cfRule>
  </conditionalFormatting>
  <conditionalFormatting sqref="B400:C404 B440:C440 F397:F398">
    <cfRule type="expression" dxfId="386" priority="19231">
      <formula>CELL("color",B1048357)="3"</formula>
    </cfRule>
  </conditionalFormatting>
  <conditionalFormatting sqref="B539:C539 F494 B498:C498 F489:F490 F498">
    <cfRule type="expression" dxfId="385" priority="19235">
      <formula>CELL("color",B1048420)="3"</formula>
    </cfRule>
  </conditionalFormatting>
  <conditionalFormatting sqref="B428:C429">
    <cfRule type="expression" dxfId="384" priority="19237">
      <formula>CELL("color",B1048553)="3"</formula>
    </cfRule>
  </conditionalFormatting>
  <conditionalFormatting sqref="B464:C470">
    <cfRule type="expression" dxfId="383" priority="19239">
      <formula>CELL("color",B1048455)="3"</formula>
    </cfRule>
  </conditionalFormatting>
  <conditionalFormatting sqref="F132:F134 F137:F147 F166 B8:C8 B137:C147 B132:C134">
    <cfRule type="expression" dxfId="382" priority="19241">
      <formula>CELL("color",B1048034)="3"</formula>
    </cfRule>
  </conditionalFormatting>
  <conditionalFormatting sqref="F149:F153 F160:F165 B149:C153">
    <cfRule type="expression" dxfId="381" priority="19247">
      <formula>CELL("color",B1048176)="3"</formula>
    </cfRule>
  </conditionalFormatting>
  <conditionalFormatting sqref="B424:C425 B422:C422">
    <cfRule type="expression" dxfId="380" priority="19249">
      <formula>CELL("color",B1048388)="3"</formula>
    </cfRule>
  </conditionalFormatting>
  <conditionalFormatting sqref="B327:C327">
    <cfRule type="expression" dxfId="379" priority="19253">
      <formula>CELL("color",B1048312)="3"</formula>
    </cfRule>
  </conditionalFormatting>
  <conditionalFormatting sqref="B452:C452">
    <cfRule type="expression" dxfId="378" priority="19255">
      <formula>CELL("color",B1048405)="3"</formula>
    </cfRule>
  </conditionalFormatting>
  <conditionalFormatting sqref="B314:C314">
    <cfRule type="expression" dxfId="377" priority="19257">
      <formula>CELL("color",B1048295)="3"</formula>
    </cfRule>
  </conditionalFormatting>
  <conditionalFormatting sqref="F203:F205 B198:C199">
    <cfRule type="expression" dxfId="376" priority="19259">
      <formula>CELL("color",B1048205)="3"</formula>
    </cfRule>
  </conditionalFormatting>
  <conditionalFormatting sqref="F224:F225 F227:F232 B227:C232">
    <cfRule type="expression" dxfId="375" priority="19261">
      <formula>CELL("color",B1048223)="3"</formula>
    </cfRule>
  </conditionalFormatting>
  <conditionalFormatting sqref="B284:C289">
    <cfRule type="expression" dxfId="374" priority="19263">
      <formula>CELL("color",B1048285)="3"</formula>
    </cfRule>
  </conditionalFormatting>
  <conditionalFormatting sqref="B629:C632">
    <cfRule type="expression" dxfId="373" priority="19265">
      <formula>CELL("color",B1048511)="3"</formula>
    </cfRule>
  </conditionalFormatting>
  <conditionalFormatting sqref="B293:C294 B245:C247 B290:C291 F237:F240 F293:F294 F360:F361 F290:F291">
    <cfRule type="expression" dxfId="372" priority="19267">
      <formula>CELL("color",B1048232)="3"</formula>
    </cfRule>
  </conditionalFormatting>
  <conditionalFormatting sqref="B593:C593">
    <cfRule type="expression" dxfId="371" priority="19273">
      <formula>CELL("color",B1048560)="3"</formula>
    </cfRule>
  </conditionalFormatting>
  <conditionalFormatting sqref="F211:F212">
    <cfRule type="expression" dxfId="370" priority="19275">
      <formula>CELL("color",F1048213)="3"</formula>
    </cfRule>
  </conditionalFormatting>
  <conditionalFormatting sqref="B213:C217">
    <cfRule type="expression" dxfId="369" priority="19277">
      <formula>CELL("color",B1048217)="3"</formula>
    </cfRule>
  </conditionalFormatting>
  <conditionalFormatting sqref="B344:C345">
    <cfRule type="expression" dxfId="368" priority="19279">
      <formula>CELL("color",B1048320)="3"</formula>
    </cfRule>
  </conditionalFormatting>
  <conditionalFormatting sqref="B337:C338 B334:C334">
    <cfRule type="expression" dxfId="367" priority="19281">
      <formula>CELL("color",B1048308)="3"</formula>
    </cfRule>
  </conditionalFormatting>
  <conditionalFormatting sqref="B525:C526">
    <cfRule type="expression" dxfId="366" priority="19285">
      <formula>CELL("color",B1048460)="3"</formula>
    </cfRule>
  </conditionalFormatting>
  <conditionalFormatting sqref="C421 B427:C427 B423:C423">
    <cfRule type="expression" dxfId="365" priority="19286">
      <formula>CELL("color",C1048386)="3"</formula>
    </cfRule>
  </conditionalFormatting>
  <conditionalFormatting sqref="B417:C419 F388:F390 F375 F371:F373 B371:C373 F383">
    <cfRule type="expression" dxfId="364" priority="19289">
      <formula>CELL("color",B1048340)="3"</formula>
    </cfRule>
  </conditionalFormatting>
  <conditionalFormatting sqref="F423 B427:C427 B423:C423">
    <cfRule type="expression" dxfId="363" priority="19291">
      <formula>CELL("color",B1048388)="3"</formula>
    </cfRule>
  </conditionalFormatting>
  <conditionalFormatting sqref="B407:C410 B413:C413">
    <cfRule type="expression" dxfId="362" priority="19295">
      <formula>CELL("color",B1048369)="3"</formula>
    </cfRule>
  </conditionalFormatting>
  <conditionalFormatting sqref="B434:B436 C412 C436 C434 C405:C406 C444:C445">
    <cfRule type="expression" dxfId="361" priority="19298">
      <formula>CELL("color",C1048366)="3"</formula>
    </cfRule>
  </conditionalFormatting>
  <conditionalFormatting sqref="C400:C404 B440:C440 C397:C398">
    <cfRule type="expression" dxfId="360" priority="19299">
      <formula>CELL("color",C1048357)="3"</formula>
    </cfRule>
  </conditionalFormatting>
  <conditionalFormatting sqref="B637:C637">
    <cfRule type="expression" dxfId="359" priority="19300">
      <formula>CELL("color",C1048519)="3"</formula>
    </cfRule>
  </conditionalFormatting>
  <conditionalFormatting sqref="B475:C475 B477:C483 C485">
    <cfRule type="expression" dxfId="358" priority="19304">
      <formula>CELL("color",C1048414)="3"</formula>
    </cfRule>
  </conditionalFormatting>
  <conditionalFormatting sqref="B295:C297">
    <cfRule type="expression" dxfId="357" priority="19312">
      <formula>CELL("color",B1048286)="3"</formula>
    </cfRule>
  </conditionalFormatting>
  <conditionalFormatting sqref="C413 B430:C431">
    <cfRule type="expression" dxfId="356" priority="19313">
      <formula>CELL("color",C1048376)="3"</formula>
    </cfRule>
  </conditionalFormatting>
  <conditionalFormatting sqref="B413:C413 B430:C431">
    <cfRule type="expression" dxfId="355" priority="19315">
      <formula>CELL("color",B1048376)="3"</formula>
    </cfRule>
  </conditionalFormatting>
  <conditionalFormatting sqref="B443:C445">
    <cfRule type="expression" dxfId="354" priority="19319">
      <formula>CELL("color",B1048399)="3"</formula>
    </cfRule>
  </conditionalFormatting>
  <conditionalFormatting sqref="B449:C450 C452">
    <cfRule type="expression" dxfId="353" priority="19320">
      <formula>CELL("color",C1048402)="3"</formula>
    </cfRule>
  </conditionalFormatting>
  <conditionalFormatting sqref="B446:C447 B462:C463 B453:C457 F459:F460">
    <cfRule type="expression" dxfId="352" priority="19322">
      <formula>CELL("color",B1048398)="3"</formula>
    </cfRule>
  </conditionalFormatting>
  <conditionalFormatting sqref="F292 F277:F279 F241:F244 F248:F249 B292:C292 B248:C249">
    <cfRule type="expression" dxfId="351" priority="19328">
      <formula>CELL("color",B1048235)="3"</formula>
    </cfRule>
  </conditionalFormatting>
  <conditionalFormatting sqref="B573:C579">
    <cfRule type="expression" dxfId="350" priority="19331">
      <formula>CELL("color",C1048505)="3"</formula>
    </cfRule>
  </conditionalFormatting>
  <conditionalFormatting sqref="B319:C322">
    <cfRule type="expression" dxfId="349" priority="19334">
      <formula>CELL("color",B1048306)="3"</formula>
    </cfRule>
  </conditionalFormatting>
  <conditionalFormatting sqref="B305:C306">
    <cfRule type="expression" dxfId="348" priority="19336">
      <formula>CELL("color",C1048332)="3"</formula>
    </cfRule>
  </conditionalFormatting>
  <conditionalFormatting sqref="B308:C309">
    <cfRule type="expression" dxfId="347" priority="19338">
      <formula>CELL("color",B1048298)="3"</formula>
    </cfRule>
  </conditionalFormatting>
  <conditionalFormatting sqref="B6:C7 C12 C9 B4:C4">
    <cfRule type="expression" dxfId="346" priority="19339">
      <formula>CELL("color",C1048035)="3"</formula>
    </cfRule>
  </conditionalFormatting>
  <conditionalFormatting sqref="B458:C458">
    <cfRule type="expression" dxfId="345" priority="19342">
      <formula>CELL("color",C1048413)="3"</formula>
    </cfRule>
  </conditionalFormatting>
  <conditionalFormatting sqref="F458 B458:C458">
    <cfRule type="expression" dxfId="344" priority="19344">
      <formula>CELL("color",B1048413)="3"</formula>
    </cfRule>
  </conditionalFormatting>
  <conditionalFormatting sqref="B461:C461">
    <cfRule type="expression" dxfId="343" priority="19346">
      <formula>CELL("color",C1048412)="3"</formula>
    </cfRule>
  </conditionalFormatting>
  <conditionalFormatting sqref="B453:C457 B462:C463 C459:C460">
    <cfRule type="expression" dxfId="342" priority="19347">
      <formula>CELL("color",C1048405)="3"</formula>
    </cfRule>
  </conditionalFormatting>
  <conditionalFormatting sqref="B448:C448">
    <cfRule type="expression" dxfId="341" priority="19350">
      <formula>CELL("color",B1048398)="3"</formula>
    </cfRule>
  </conditionalFormatting>
  <conditionalFormatting sqref="B451:C451">
    <cfRule type="expression" dxfId="340" priority="19351">
      <formula>CELL("color",C1048400)="3"</formula>
    </cfRule>
  </conditionalFormatting>
  <conditionalFormatting sqref="B451:C451">
    <cfRule type="expression" dxfId="339" priority="19353">
      <formula>CELL("color",B1048400)="3"</formula>
    </cfRule>
  </conditionalFormatting>
  <conditionalFormatting sqref="B487:C487">
    <cfRule type="expression" dxfId="338" priority="19354">
      <formula>CELL("color",C1048419)="3"</formula>
    </cfRule>
  </conditionalFormatting>
  <conditionalFormatting sqref="B476:C476">
    <cfRule type="expression" dxfId="337" priority="19356">
      <formula>CELL("color",C1048414)="3"</formula>
    </cfRule>
  </conditionalFormatting>
  <conditionalFormatting sqref="B491:C491">
    <cfRule type="expression" dxfId="336" priority="19358">
      <formula>CELL("color",B1048421)="3"</formula>
    </cfRule>
  </conditionalFormatting>
  <conditionalFormatting sqref="B319:C322">
    <cfRule type="expression" dxfId="335" priority="19359">
      <formula>CELL("color",C1048306)="3"</formula>
    </cfRule>
  </conditionalFormatting>
  <conditionalFormatting sqref="B523:C523">
    <cfRule type="expression" dxfId="334" priority="19360">
      <formula>CELL("color",C1048440)="3"</formula>
    </cfRule>
  </conditionalFormatting>
  <conditionalFormatting sqref="B523:C523">
    <cfRule type="expression" dxfId="333" priority="19362">
      <formula>CELL("color",B1048440)="3"</formula>
    </cfRule>
  </conditionalFormatting>
  <conditionalFormatting sqref="B522:C522">
    <cfRule type="expression" dxfId="332" priority="19363">
      <formula>CELL("color",C1048441)="3"</formula>
    </cfRule>
  </conditionalFormatting>
  <conditionalFormatting sqref="B639:C639">
    <cfRule type="expression" dxfId="331" priority="19366">
      <formula>CELL("color",C1048554)="3"</formula>
    </cfRule>
  </conditionalFormatting>
  <conditionalFormatting sqref="B521:C521">
    <cfRule type="expression" dxfId="330" priority="19370">
      <formula>CELL("color",B1048439)="3"</formula>
    </cfRule>
  </conditionalFormatting>
  <conditionalFormatting sqref="B522:C522">
    <cfRule type="expression" dxfId="329" priority="19372">
      <formula>CELL("color",B1048441)="3"</formula>
    </cfRule>
  </conditionalFormatting>
  <conditionalFormatting sqref="B339:C343 B335:C336 B350:C354 F350:F354">
    <cfRule type="expression" dxfId="328" priority="19376">
      <formula>CELL("color",B1048310)="3"</formula>
    </cfRule>
  </conditionalFormatting>
  <conditionalFormatting sqref="B597:C603">
    <cfRule type="expression" dxfId="327" priority="19392">
      <formula>CELL("color",B1048495)="3"</formula>
    </cfRule>
  </conditionalFormatting>
  <conditionalFormatting sqref="B388:C390">
    <cfRule type="expression" dxfId="326" priority="19394">
      <formula>CELL("color",C1048357)="3"</formula>
    </cfRule>
  </conditionalFormatting>
  <conditionalFormatting sqref="B500:C504">
    <cfRule type="expression" dxfId="325" priority="19402">
      <formula>CELL("color",B1048428)="3"</formula>
    </cfRule>
  </conditionalFormatting>
  <conditionalFormatting sqref="B355:C356">
    <cfRule type="expression" dxfId="324" priority="19404">
      <formula>CELL("color",B1048328)="3"</formula>
    </cfRule>
  </conditionalFormatting>
  <conditionalFormatting sqref="B200:C201">
    <cfRule type="expression" dxfId="323" priority="19407">
      <formula>CELL("color",B1048206)="3"</formula>
    </cfRule>
  </conditionalFormatting>
  <conditionalFormatting sqref="F135 B135:C135">
    <cfRule type="expression" dxfId="322" priority="19409">
      <formula>CELL("color",B1048159)="3"</formula>
    </cfRule>
  </conditionalFormatting>
  <conditionalFormatting sqref="F385:F386">
    <cfRule type="expression" dxfId="321" priority="19411">
      <formula>CELL("color",F1048354)="3"</formula>
    </cfRule>
  </conditionalFormatting>
  <conditionalFormatting sqref="B449:C450">
    <cfRule type="expression" dxfId="320" priority="19413">
      <formula>CELL("color",B1048400)="3"</formula>
    </cfRule>
  </conditionalFormatting>
  <conditionalFormatting sqref="B640:C640">
    <cfRule type="expression" dxfId="319" priority="19415">
      <formula>CELL("color",C1048576)="3"</formula>
    </cfRule>
  </conditionalFormatting>
  <conditionalFormatting sqref="B448:C448">
    <cfRule type="expression" dxfId="318" priority="19416">
      <formula>CELL("color",C1048398)="3"</formula>
    </cfRule>
  </conditionalFormatting>
  <conditionalFormatting sqref="B608:C608">
    <cfRule type="expression" dxfId="317" priority="19418">
      <formula>CELL("color",E29)="3"</formula>
    </cfRule>
  </conditionalFormatting>
  <conditionalFormatting sqref="G633:G634">
    <cfRule type="expression" dxfId="316" priority="19435">
      <formula>CELL("color",L1)="3"</formula>
    </cfRule>
  </conditionalFormatting>
  <conditionalFormatting sqref="G608">
    <cfRule type="expression" dxfId="315" priority="19437">
      <formula>CELL("color",L29)="3"</formula>
    </cfRule>
  </conditionalFormatting>
  <conditionalFormatting sqref="B633:B634">
    <cfRule type="expression" dxfId="314" priority="19438">
      <formula>CELL("color",L1)="3"</formula>
    </cfRule>
  </conditionalFormatting>
  <conditionalFormatting sqref="G602">
    <cfRule type="expression" dxfId="313" priority="19440">
      <formula>CELL("color",L22)="3"</formula>
    </cfRule>
  </conditionalFormatting>
  <conditionalFormatting sqref="G594">
    <cfRule type="expression" dxfId="312" priority="19442">
      <formula>CELL("color",L9)="3"</formula>
    </cfRule>
  </conditionalFormatting>
  <conditionalFormatting sqref="G614">
    <cfRule type="expression" dxfId="311" priority="19444">
      <formula>CELL("color",L1)="3"</formula>
    </cfRule>
  </conditionalFormatting>
  <conditionalFormatting sqref="B594">
    <cfRule type="expression" dxfId="310" priority="19445">
      <formula>CELL("color",L9)="3"</formula>
    </cfRule>
  </conditionalFormatting>
  <conditionalFormatting sqref="B602">
    <cfRule type="expression" dxfId="309" priority="19446">
      <formula>CELL("color",L22)="3"</formula>
    </cfRule>
  </conditionalFormatting>
  <conditionalFormatting sqref="B614">
    <cfRule type="expression" dxfId="308" priority="19447">
      <formula>CELL("color",L1)="3"</formula>
    </cfRule>
  </conditionalFormatting>
  <conditionalFormatting sqref="C615 C608">
    <cfRule type="expression" dxfId="307" priority="19448">
      <formula>CELL("color",K29)="3"</formula>
    </cfRule>
  </conditionalFormatting>
  <conditionalFormatting sqref="L627">
    <cfRule type="expression" dxfId="306" priority="19454">
      <formula>CELL("color",C1048530)="3"</formula>
    </cfRule>
  </conditionalFormatting>
  <conditionalFormatting sqref="L508:L509">
    <cfRule type="expression" dxfId="305" priority="19471">
      <formula>CELL("color",B1048433)="3"</formula>
    </cfRule>
  </conditionalFormatting>
  <conditionalFormatting sqref="L85:L87 L43:L45 L49:L52">
    <cfRule type="expression" dxfId="304" priority="19484">
      <formula>CELL("color",B1048079)="3"</formula>
    </cfRule>
  </conditionalFormatting>
  <conditionalFormatting sqref="L437:L439">
    <cfRule type="expression" dxfId="303" priority="19502">
      <formula>CELL("color",B1048396)="3"</formula>
    </cfRule>
  </conditionalFormatting>
  <conditionalFormatting sqref="L514">
    <cfRule type="expression" dxfId="302" priority="19506">
      <formula>CELL("color",B1048435)="3"</formula>
    </cfRule>
  </conditionalFormatting>
  <conditionalFormatting sqref="L499 L495:L497">
    <cfRule type="expression" dxfId="301" priority="19510">
      <formula>CELL("color",B1048422)="3"</formula>
    </cfRule>
  </conditionalFormatting>
  <conditionalFormatting sqref="L512:L513">
    <cfRule type="expression" dxfId="300" priority="19517">
      <formula>CELL("color",B1048434)="3"</formula>
    </cfRule>
  </conditionalFormatting>
  <conditionalFormatting sqref="L374">
    <cfRule type="expression" dxfId="299" priority="19519">
      <formula>CELL("color",B1048342)="3"</formula>
    </cfRule>
  </conditionalFormatting>
  <conditionalFormatting sqref="L595">
    <cfRule type="expression" dxfId="298" priority="19522">
      <formula>CELL("color",B1048516)="3"</formula>
    </cfRule>
  </conditionalFormatting>
  <conditionalFormatting sqref="L40:L42 L27:L30 L36 L2">
    <cfRule type="expression" dxfId="297" priority="19531">
      <formula>CELL("color",B1048039)="3"</formula>
    </cfRule>
  </conditionalFormatting>
  <conditionalFormatting sqref="L80:L84 L46:L48 L53 L60:L63">
    <cfRule type="expression" dxfId="296" priority="19543">
      <formula>CELL("color",B1048081)="3"</formula>
    </cfRule>
  </conditionalFormatting>
  <conditionalFormatting sqref="L74:L77">
    <cfRule type="expression" dxfId="295" priority="19557">
      <formula>CELL("color",B1048112)="3"</formula>
    </cfRule>
  </conditionalFormatting>
  <conditionalFormatting sqref="L69 L65:L66 L14:L26">
    <cfRule type="expression" dxfId="294" priority="19559">
      <formula>CELL("color",B1048048)="3"</formula>
    </cfRule>
  </conditionalFormatting>
  <conditionalFormatting sqref="L105:L106 L67:L69 L97:L102 L5 L13 L3 L64">
    <cfRule type="expression" dxfId="293" priority="19565">
      <formula>CELL("color",B1048036)="3"</formula>
    </cfRule>
  </conditionalFormatting>
  <conditionalFormatting sqref="L136">
    <cfRule type="expression" dxfId="292" priority="19579">
      <formula>CELL("color",C1048159)="3"</formula>
    </cfRule>
  </conditionalFormatting>
  <conditionalFormatting sqref="L283 L250:L251">
    <cfRule type="expression" dxfId="291" priority="19581">
      <formula>CELL("color",B1048243)="3"</formula>
    </cfRule>
  </conditionalFormatting>
  <conditionalFormatting sqref="L184:L187">
    <cfRule type="expression" dxfId="290" priority="19585">
      <formula>CELL("color",C1048199)="3"</formula>
    </cfRule>
  </conditionalFormatting>
  <conditionalFormatting sqref="L570:L572">
    <cfRule type="expression" dxfId="289" priority="19587">
      <formula>CELL("color",B1048498)="3"</formula>
    </cfRule>
  </conditionalFormatting>
  <conditionalFormatting sqref="L176">
    <cfRule type="expression" dxfId="288" priority="19591">
      <formula>CELL("color",C1048193)="3"</formula>
    </cfRule>
  </conditionalFormatting>
  <conditionalFormatting sqref="L177:L183">
    <cfRule type="expression" dxfId="287" priority="19593">
      <formula>CELL("color",C1048193)="3"</formula>
    </cfRule>
  </conditionalFormatting>
  <conditionalFormatting sqref="L188:L192">
    <cfRule type="expression" dxfId="286" priority="19596">
      <formula>CELL("color",C1048201)="3"</formula>
    </cfRule>
  </conditionalFormatting>
  <conditionalFormatting sqref="L128:L129">
    <cfRule type="expression" dxfId="285" priority="19598">
      <formula>CELL("color",C1048157)="3"</formula>
    </cfRule>
  </conditionalFormatting>
  <conditionalFormatting sqref="L195:L196">
    <cfRule type="expression" dxfId="284" priority="19600">
      <formula>CELL("color",C1048205)="3"</formula>
    </cfRule>
  </conditionalFormatting>
  <conditionalFormatting sqref="L207:L210">
    <cfRule type="expression" dxfId="283" priority="19606">
      <formula>CELL("color",C1048210)="3"</formula>
    </cfRule>
  </conditionalFormatting>
  <conditionalFormatting sqref="L614:L616">
    <cfRule type="expression" dxfId="282" priority="19613">
      <formula>CELL("color",B35)="3"</formula>
    </cfRule>
  </conditionalFormatting>
  <conditionalFormatting sqref="L206">
    <cfRule type="expression" dxfId="281" priority="19617">
      <formula>CELL("color",C1048211)="3"</formula>
    </cfRule>
  </conditionalFormatting>
  <conditionalFormatting sqref="L315:L318 L328:L331">
    <cfRule type="expression" dxfId="280" priority="19619">
      <formula>CELL("color",B1048297)="3"</formula>
    </cfRule>
  </conditionalFormatting>
  <conditionalFormatting sqref="L226">
    <cfRule type="expression" dxfId="279" priority="19626">
      <formula>CELL("color",C1048224)="3"</formula>
    </cfRule>
  </conditionalFormatting>
  <conditionalFormatting sqref="L233:L236">
    <cfRule type="expression" dxfId="278" priority="19628">
      <formula>CELL("color",C1048229)="3"</formula>
    </cfRule>
  </conditionalFormatting>
  <conditionalFormatting sqref="L619">
    <cfRule type="expression" dxfId="277" priority="19634">
      <formula>CELL("color",B1048519)="3"</formula>
    </cfRule>
  </conditionalFormatting>
  <conditionalFormatting sqref="L617:L618 L604:L607">
    <cfRule type="expression" dxfId="276" priority="19636">
      <formula>CELL("color",B1048503)="3"</formula>
    </cfRule>
  </conditionalFormatting>
  <conditionalFormatting sqref="L414:L416">
    <cfRule type="expression" dxfId="275" priority="19640">
      <formula>CELL("color",B1048384)="3"</formula>
    </cfRule>
  </conditionalFormatting>
  <conditionalFormatting sqref="L558:L560">
    <cfRule type="expression" dxfId="274" priority="19644">
      <formula>CELL("color",B1048479)="3"</formula>
    </cfRule>
  </conditionalFormatting>
  <conditionalFormatting sqref="L221:L223">
    <cfRule type="expression" dxfId="273" priority="19646">
      <formula>CELL("color",C1048221)="3"</formula>
    </cfRule>
  </conditionalFormatting>
  <conditionalFormatting sqref="L484">
    <cfRule type="expression" dxfId="272" priority="19648">
      <formula>CELL("color",B1048418)="3"</formula>
    </cfRule>
  </conditionalFormatting>
  <conditionalFormatting sqref="L569">
    <cfRule type="expression" dxfId="271" priority="19655">
      <formula>CELL("color",B1048496)="3"</formula>
    </cfRule>
  </conditionalFormatting>
  <conditionalFormatting sqref="L167:L172 L130:L131 L154:L156 L148">
    <cfRule type="expression" dxfId="270" priority="19661">
      <formula>CELL("color",B1048155)="3"</formula>
    </cfRule>
  </conditionalFormatting>
  <conditionalFormatting sqref="L123:L127">
    <cfRule type="expression" dxfId="269" priority="19669">
      <formula>CELL("color",C1048155)="3"</formula>
    </cfRule>
  </conditionalFormatting>
  <conditionalFormatting sqref="L103:L104">
    <cfRule type="expression" dxfId="268" priority="19671">
      <formula>CELL("color",C1048133)="3"</formula>
    </cfRule>
  </conditionalFormatting>
  <conditionalFormatting sqref="L9 L4">
    <cfRule type="expression" dxfId="267" priority="19674">
      <formula>CELL("color",B1048035)="3"</formula>
    </cfRule>
  </conditionalFormatting>
  <conditionalFormatting sqref="L302:L303">
    <cfRule type="expression" dxfId="266" priority="19679">
      <formula>CELL("color",B1048288)="3"</formula>
    </cfRule>
  </conditionalFormatting>
  <conditionalFormatting sqref="L310:L313">
    <cfRule type="expression" dxfId="265" priority="19681">
      <formula>CELL("color",B1048290)="3"</formula>
    </cfRule>
  </conditionalFormatting>
  <conditionalFormatting sqref="L432:L433">
    <cfRule type="expression" dxfId="264" priority="19683">
      <formula>CELL("color",B1048396)="3"</formula>
    </cfRule>
  </conditionalFormatting>
  <conditionalFormatting sqref="L406">
    <cfRule type="expression" dxfId="263" priority="19685">
      <formula>CELL("color",B1048367)="3"</formula>
    </cfRule>
  </conditionalFormatting>
  <conditionalFormatting sqref="L400:L404 L440">
    <cfRule type="expression" dxfId="262" priority="19688">
      <formula>CELL("color",B1048360)="3"</formula>
    </cfRule>
  </conditionalFormatting>
  <conditionalFormatting sqref="L539 L498">
    <cfRule type="expression" dxfId="261" priority="19692">
      <formula>CELL("color",B1048429)="3"</formula>
    </cfRule>
  </conditionalFormatting>
  <conditionalFormatting sqref="L428:L429">
    <cfRule type="expression" dxfId="260" priority="19696">
      <formula>CELL("color",B1048553)="3"</formula>
    </cfRule>
  </conditionalFormatting>
  <conditionalFormatting sqref="L464:L470">
    <cfRule type="expression" dxfId="259" priority="19700">
      <formula>CELL("color",B1048455)="3"</formula>
    </cfRule>
  </conditionalFormatting>
  <conditionalFormatting sqref="L137:L147 L132:L134 L8">
    <cfRule type="expression" dxfId="258" priority="19702">
      <formula>CELL("color",B1048034)="3"</formula>
    </cfRule>
  </conditionalFormatting>
  <conditionalFormatting sqref="L149:L153">
    <cfRule type="expression" dxfId="257" priority="19708">
      <formula>CELL("color",B1048176)="3"</formula>
    </cfRule>
  </conditionalFormatting>
  <conditionalFormatting sqref="L424:L425 L422">
    <cfRule type="expression" dxfId="256" priority="19710">
      <formula>CELL("color",B1048388)="3"</formula>
    </cfRule>
  </conditionalFormatting>
  <conditionalFormatting sqref="L327">
    <cfRule type="expression" dxfId="255" priority="19715">
      <formula>CELL("color",B1048312)="3"</formula>
    </cfRule>
  </conditionalFormatting>
  <conditionalFormatting sqref="L452">
    <cfRule type="expression" dxfId="254" priority="19717">
      <formula>CELL("color",B1048405)="3"</formula>
    </cfRule>
  </conditionalFormatting>
  <conditionalFormatting sqref="L314">
    <cfRule type="expression" dxfId="253" priority="19719">
      <formula>CELL("color",B1048295)="3"</formula>
    </cfRule>
  </conditionalFormatting>
  <conditionalFormatting sqref="L198:L199">
    <cfRule type="expression" dxfId="252" priority="19721">
      <formula>CELL("color",B1048205)="3"</formula>
    </cfRule>
  </conditionalFormatting>
  <conditionalFormatting sqref="L227:L232">
    <cfRule type="expression" dxfId="251" priority="19723">
      <formula>CELL("color",B1048226)="3"</formula>
    </cfRule>
  </conditionalFormatting>
  <conditionalFormatting sqref="L284:L289">
    <cfRule type="expression" dxfId="250" priority="19726">
      <formula>CELL("color",B1048285)="3"</formula>
    </cfRule>
  </conditionalFormatting>
  <conditionalFormatting sqref="L629:L632">
    <cfRule type="expression" dxfId="249" priority="19728">
      <formula>CELL("color",B1048511)="3"</formula>
    </cfRule>
  </conditionalFormatting>
  <conditionalFormatting sqref="L293:L294 L245:L247 L290:L291">
    <cfRule type="expression" dxfId="248" priority="19731">
      <formula>CELL("color",B1048240)="3"</formula>
    </cfRule>
  </conditionalFormatting>
  <conditionalFormatting sqref="L593">
    <cfRule type="expression" dxfId="247" priority="19737">
      <formula>CELL("color",B1048560)="3"</formula>
    </cfRule>
  </conditionalFormatting>
  <conditionalFormatting sqref="L213:L217">
    <cfRule type="expression" dxfId="246" priority="19741">
      <formula>CELL("color",B1048217)="3"</formula>
    </cfRule>
  </conditionalFormatting>
  <conditionalFormatting sqref="L344:L345">
    <cfRule type="expression" dxfId="245" priority="19743">
      <formula>CELL("color",B1048320)="3"</formula>
    </cfRule>
  </conditionalFormatting>
  <conditionalFormatting sqref="L337:L338 L334">
    <cfRule type="expression" dxfId="244" priority="19745">
      <formula>CELL("color",B1048308)="3"</formula>
    </cfRule>
  </conditionalFormatting>
  <conditionalFormatting sqref="L525:L526">
    <cfRule type="expression" dxfId="243" priority="19750">
      <formula>CELL("color",B1048460)="3"</formula>
    </cfRule>
  </conditionalFormatting>
  <conditionalFormatting sqref="L417:L419">
    <cfRule type="expression" dxfId="242" priority="19752">
      <formula>CELL("color",B1048386)="3"</formula>
    </cfRule>
  </conditionalFormatting>
  <conditionalFormatting sqref="L427 L423">
    <cfRule type="expression" dxfId="241" priority="19754">
      <formula>CELL("color",B1048388)="3"</formula>
    </cfRule>
  </conditionalFormatting>
  <conditionalFormatting sqref="L407:L410 L413">
    <cfRule type="expression" dxfId="240" priority="19759">
      <formula>CELL("color",B1048369)="3"</formula>
    </cfRule>
  </conditionalFormatting>
  <conditionalFormatting sqref="L527:L529">
    <cfRule type="expression" dxfId="239" priority="19773">
      <formula>CELL("color",C1048464)="3"</formula>
    </cfRule>
  </conditionalFormatting>
  <conditionalFormatting sqref="L295:L297">
    <cfRule type="expression" dxfId="238" priority="19782">
      <formula>CELL("color",B1048286)="3"</formula>
    </cfRule>
  </conditionalFormatting>
  <conditionalFormatting sqref="L413 L430:L431">
    <cfRule type="expression" dxfId="237" priority="19785">
      <formula>CELL("color",B1048376)="3"</formula>
    </cfRule>
  </conditionalFormatting>
  <conditionalFormatting sqref="L443:L445">
    <cfRule type="expression" dxfId="236" priority="19793">
      <formula>CELL("color",B1048399)="3"</formula>
    </cfRule>
  </conditionalFormatting>
  <conditionalFormatting sqref="L446:L447 L453:L457 L462:L463">
    <cfRule type="expression" dxfId="235" priority="19795">
      <formula>CELL("color",B1048398)="3"</formula>
    </cfRule>
  </conditionalFormatting>
  <conditionalFormatting sqref="L292 L248:L249">
    <cfRule type="expression" dxfId="234" priority="19801">
      <formula>CELL("color",B1048242)="3"</formula>
    </cfRule>
  </conditionalFormatting>
  <conditionalFormatting sqref="L319:L322">
    <cfRule type="expression" dxfId="233" priority="19812">
      <formula>CELL("color",B1048306)="3"</formula>
    </cfRule>
  </conditionalFormatting>
  <conditionalFormatting sqref="L305:L306">
    <cfRule type="expression" dxfId="232" priority="19816">
      <formula>CELL("color",C1048332)="3"</formula>
    </cfRule>
  </conditionalFormatting>
  <conditionalFormatting sqref="L308:L309">
    <cfRule type="expression" dxfId="231" priority="19818">
      <formula>CELL("color",B1048298)="3"</formula>
    </cfRule>
  </conditionalFormatting>
  <conditionalFormatting sqref="L458">
    <cfRule type="expression" dxfId="230" priority="19821">
      <formula>CELL("color",B1048413)="3"</formula>
    </cfRule>
  </conditionalFormatting>
  <conditionalFormatting sqref="L448">
    <cfRule type="expression" dxfId="229" priority="19826">
      <formula>CELL("color",B1048398)="3"</formula>
    </cfRule>
  </conditionalFormatting>
  <conditionalFormatting sqref="L451">
    <cfRule type="expression" dxfId="228" priority="19829">
      <formula>CELL("color",B1048400)="3"</formula>
    </cfRule>
  </conditionalFormatting>
  <conditionalFormatting sqref="L476">
    <cfRule type="expression" dxfId="227" priority="19834">
      <formula>CELL("color",C1048414)="3"</formula>
    </cfRule>
  </conditionalFormatting>
  <conditionalFormatting sqref="L491">
    <cfRule type="expression" dxfId="226" priority="19836">
      <formula>CELL("color",B1048421)="3"</formula>
    </cfRule>
  </conditionalFormatting>
  <conditionalFormatting sqref="L523">
    <cfRule type="expression" dxfId="225" priority="19840">
      <formula>CELL("color",B1048440)="3"</formula>
    </cfRule>
  </conditionalFormatting>
  <conditionalFormatting sqref="L521">
    <cfRule type="expression" dxfId="224" priority="19842">
      <formula>CELL("color",B1048439)="3"</formula>
    </cfRule>
  </conditionalFormatting>
  <conditionalFormatting sqref="L522 L517:L520">
    <cfRule type="expression" dxfId="223" priority="19844">
      <formula>CELL("color",B1048436)="3"</formula>
    </cfRule>
  </conditionalFormatting>
  <conditionalFormatting sqref="L339:L343 L335:L336 L350:L354">
    <cfRule type="expression" dxfId="222" priority="19848">
      <formula>CELL("color",B1048310)="3"</formula>
    </cfRule>
  </conditionalFormatting>
  <conditionalFormatting sqref="L597:L603">
    <cfRule type="expression" dxfId="221" priority="19866">
      <formula>CELL("color",B1048495)="3"</formula>
    </cfRule>
  </conditionalFormatting>
  <conditionalFormatting sqref="L500:L504">
    <cfRule type="expression" dxfId="220" priority="19880">
      <formula>CELL("color",B1048428)="3"</formula>
    </cfRule>
  </conditionalFormatting>
  <conditionalFormatting sqref="L355:L356">
    <cfRule type="expression" dxfId="219" priority="19882">
      <formula>CELL("color",B1048328)="3"</formula>
    </cfRule>
  </conditionalFormatting>
  <conditionalFormatting sqref="L200:L201">
    <cfRule type="expression" dxfId="218" priority="19885">
      <formula>CELL("color",B1048206)="3"</formula>
    </cfRule>
  </conditionalFormatting>
  <conditionalFormatting sqref="L135">
    <cfRule type="expression" dxfId="217" priority="19887">
      <formula>CELL("color",B1048159)="3"</formula>
    </cfRule>
  </conditionalFormatting>
  <conditionalFormatting sqref="L371:L373">
    <cfRule type="expression" dxfId="216" priority="19889">
      <formula>CELL("color",B1048340)="3"</formula>
    </cfRule>
  </conditionalFormatting>
  <conditionalFormatting sqref="L449:L450">
    <cfRule type="expression" dxfId="215" priority="19892">
      <formula>CELL("color",B1048400)="3"</formula>
    </cfRule>
  </conditionalFormatting>
  <conditionalFormatting sqref="L640">
    <cfRule type="expression" dxfId="214" priority="19896">
      <formula>CELL("color",C1048576)="3"</formula>
    </cfRule>
  </conditionalFormatting>
  <conditionalFormatting sqref="L633:L634">
    <cfRule type="expression" dxfId="213" priority="19898">
      <formula>CELL("color",B1)="3"</formula>
    </cfRule>
  </conditionalFormatting>
  <conditionalFormatting sqref="G633:G634">
    <cfRule type="expression" dxfId="212" priority="19905">
      <formula>CELL("color",K1)="3"</formula>
    </cfRule>
  </conditionalFormatting>
  <conditionalFormatting sqref="G458">
    <cfRule type="expression" dxfId="211" priority="20020">
      <formula>CELL("color",E1048413)="3"</formula>
    </cfRule>
  </conditionalFormatting>
  <conditionalFormatting sqref="G527:G536">
    <cfRule type="expression" dxfId="210" priority="20090">
      <formula>CELL("color",E1048464)="3"</formula>
    </cfRule>
  </conditionalFormatting>
  <conditionalFormatting sqref="G640">
    <cfRule type="expression" dxfId="209" priority="20128">
      <formula>CELL("color",E1048576)="3"</formula>
    </cfRule>
  </conditionalFormatting>
  <conditionalFormatting sqref="G537:G538 G541:G544">
    <cfRule type="expression" dxfId="208" priority="20152">
      <formula>CELL("color",E1048469)="3"</formula>
    </cfRule>
  </conditionalFormatting>
  <conditionalFormatting sqref="G4 G9 G12">
    <cfRule type="expression" dxfId="207" priority="20158">
      <formula>CELL("color",E1048035)="3"</formula>
    </cfRule>
  </conditionalFormatting>
  <conditionalFormatting sqref="G462:G463 G459:G460">
    <cfRule type="expression" dxfId="206" priority="20193">
      <formula>CELL("color",E1048411)="3"</formula>
    </cfRule>
  </conditionalFormatting>
  <conditionalFormatting sqref="F546:F548">
    <cfRule type="expression" dxfId="205" priority="20231">
      <formula>CELL("color",F1048491)="3"</formula>
    </cfRule>
  </conditionalFormatting>
  <conditionalFormatting sqref="F449:F451">
    <cfRule type="expression" dxfId="204" priority="20237">
      <formula>CELL("color",F1048406)="3"</formula>
    </cfRule>
  </conditionalFormatting>
  <conditionalFormatting sqref="F298">
    <cfRule type="expression" dxfId="203" priority="20268">
      <formula>CELL("color",F1048286)="3"</formula>
    </cfRule>
  </conditionalFormatting>
  <conditionalFormatting sqref="F604:F605">
    <cfRule type="expression" dxfId="202" priority="20337">
      <formula>CELL("color",F1048503)="3"</formula>
    </cfRule>
  </conditionalFormatting>
  <conditionalFormatting sqref="F245:F247">
    <cfRule type="expression" dxfId="201" priority="20389">
      <formula>CELL("color",F1048240)="3"</formula>
    </cfRule>
  </conditionalFormatting>
  <conditionalFormatting sqref="F173:F175">
    <cfRule type="expression" dxfId="200" priority="20401">
      <formula>CELL("color",F1048192)="3"</formula>
    </cfRule>
  </conditionalFormatting>
  <conditionalFormatting sqref="F346:F349">
    <cfRule type="expression" dxfId="199" priority="20407">
      <formula>CELL("color",F1048323)="3"</formula>
    </cfRule>
  </conditionalFormatting>
  <conditionalFormatting sqref="F335:F336">
    <cfRule type="expression" dxfId="198" priority="20409">
      <formula>CELL("color",F1048310)="3"</formula>
    </cfRule>
  </conditionalFormatting>
  <conditionalFormatting sqref="F446:F448">
    <cfRule type="expression" dxfId="197" priority="20415">
      <formula>CELL("color",F1048404)="3"</formula>
    </cfRule>
  </conditionalFormatting>
  <conditionalFormatting sqref="F413">
    <cfRule type="expression" dxfId="196" priority="20417">
      <formula>CELL("color",F1048375)="3"</formula>
    </cfRule>
  </conditionalFormatting>
  <conditionalFormatting sqref="F357:F359 F376:F382">
    <cfRule type="expression" dxfId="195" priority="20425">
      <formula>CELL("color",F1048329)="3"</formula>
    </cfRule>
  </conditionalFormatting>
  <conditionalFormatting sqref="F471:F474">
    <cfRule type="expression" dxfId="194" priority="20429">
      <formula>CELL("color",F1048412)="3"</formula>
    </cfRule>
  </conditionalFormatting>
  <conditionalFormatting sqref="F597:F599">
    <cfRule type="expression" dxfId="193" priority="20441">
      <formula>CELL("color",F1048495)="3"</formula>
    </cfRule>
  </conditionalFormatting>
  <conditionalFormatting sqref="F355:F356">
    <cfRule type="expression" dxfId="192" priority="20443">
      <formula>CELL("color",F1048328)="3"</formula>
    </cfRule>
  </conditionalFormatting>
  <conditionalFormatting sqref="F334">
    <cfRule type="expression" dxfId="191" priority="20568">
      <formula>CELL("color",F1048308)="3"</formula>
    </cfRule>
  </conditionalFormatting>
  <conditionalFormatting sqref="F608">
    <cfRule type="expression" dxfId="190" priority="20760">
      <formula>CELL("color",I29)="3"</formula>
    </cfRule>
  </conditionalFormatting>
  <conditionalFormatting sqref="F602">
    <cfRule type="expression" dxfId="189" priority="20761">
      <formula>CELL("color",I22)="3"</formula>
    </cfRule>
  </conditionalFormatting>
  <conditionalFormatting sqref="F594">
    <cfRule type="expression" dxfId="188" priority="20762">
      <formula>CELL("color",I9)="3"</formula>
    </cfRule>
  </conditionalFormatting>
  <conditionalFormatting sqref="F614">
    <cfRule type="expression" dxfId="187" priority="20763">
      <formula>CELL("color",I1)="3"</formula>
    </cfRule>
  </conditionalFormatting>
  <conditionalFormatting sqref="F627">
    <cfRule type="expression" dxfId="186" priority="21329">
      <formula>CELL("color",F1048530)="3"</formula>
    </cfRule>
  </conditionalFormatting>
  <conditionalFormatting sqref="D437:F439">
    <cfRule type="expression" dxfId="185" priority="21363">
      <formula>CELL("color",C1048396)="3"</formula>
    </cfRule>
  </conditionalFormatting>
  <conditionalFormatting sqref="D524:F524">
    <cfRule type="expression" dxfId="184" priority="21379">
      <formula>CELL("color",C1048446)="3"</formula>
    </cfRule>
  </conditionalFormatting>
  <conditionalFormatting sqref="D511:F511 D549:F553">
    <cfRule type="expression" dxfId="183" priority="21383">
      <formula>CELL("color",C1048435)="3"</formula>
    </cfRule>
  </conditionalFormatting>
  <conditionalFormatting sqref="F136">
    <cfRule type="expression" dxfId="182" priority="21405">
      <formula>CELL("color",F1048159)="3"</formula>
    </cfRule>
  </conditionalFormatting>
  <conditionalFormatting sqref="F184:F187">
    <cfRule type="expression" dxfId="181" priority="21408">
      <formula>CELL("color",F1048199)="3"</formula>
    </cfRule>
  </conditionalFormatting>
  <conditionalFormatting sqref="F176">
    <cfRule type="expression" dxfId="180" priority="21410">
      <formula>CELL("color",F1048193)="3"</formula>
    </cfRule>
  </conditionalFormatting>
  <conditionalFormatting sqref="F177:F183">
    <cfRule type="expression" dxfId="179" priority="21411">
      <formula>CELL("color",F1048193)="3"</formula>
    </cfRule>
  </conditionalFormatting>
  <conditionalFormatting sqref="F188:F192">
    <cfRule type="expression" dxfId="178" priority="21412">
      <formula>CELL("color",F1048201)="3"</formula>
    </cfRule>
  </conditionalFormatting>
  <conditionalFormatting sqref="F128:F129">
    <cfRule type="expression" dxfId="177" priority="21413">
      <formula>CELL("color",F1048157)="3"</formula>
    </cfRule>
  </conditionalFormatting>
  <conditionalFormatting sqref="F195:F196">
    <cfRule type="expression" dxfId="176" priority="21414">
      <formula>CELL("color",F1048205)="3"</formula>
    </cfRule>
  </conditionalFormatting>
  <conditionalFormatting sqref="F207:F210">
    <cfRule type="expression" dxfId="175" priority="21417">
      <formula>CELL("color",F1048210)="3"</formula>
    </cfRule>
  </conditionalFormatting>
  <conditionalFormatting sqref="F202">
    <cfRule type="expression" dxfId="174" priority="21419">
      <formula>CELL("color",F1048210)="3"</formula>
    </cfRule>
  </conditionalFormatting>
  <conditionalFormatting sqref="F206">
    <cfRule type="expression" dxfId="173" priority="21421">
      <formula>CELL("color",F1048211)="3"</formula>
    </cfRule>
  </conditionalFormatting>
  <conditionalFormatting sqref="F226">
    <cfRule type="expression" dxfId="172" priority="21425">
      <formula>CELL("color",F1048224)="3"</formula>
    </cfRule>
  </conditionalFormatting>
  <conditionalFormatting sqref="F233:F236">
    <cfRule type="expression" dxfId="171" priority="21427">
      <formula>CELL("color",F1048229)="3"</formula>
    </cfRule>
  </conditionalFormatting>
  <conditionalFormatting sqref="F221:F223">
    <cfRule type="expression" dxfId="170" priority="21436">
      <formula>CELL("color",F1048221)="3"</formula>
    </cfRule>
  </conditionalFormatting>
  <conditionalFormatting sqref="F10:F11">
    <cfRule type="expression" dxfId="169" priority="21445">
      <formula>CELL("color",F1048042)="3"</formula>
    </cfRule>
  </conditionalFormatting>
  <conditionalFormatting sqref="F103:F104">
    <cfRule type="expression" dxfId="168" priority="21446">
      <formula>CELL("color",F1048133)="3"</formula>
    </cfRule>
  </conditionalFormatting>
  <conditionalFormatting sqref="D440:F440">
    <cfRule type="expression" dxfId="167" priority="21454">
      <formula>CELL("color",C1048400)="3"</formula>
    </cfRule>
  </conditionalFormatting>
  <conditionalFormatting sqref="D8:F8">
    <cfRule type="expression" dxfId="166" priority="21460">
      <formula>CELL("color",C1048034)="3"</formula>
    </cfRule>
  </conditionalFormatting>
  <conditionalFormatting sqref="D417:F419">
    <cfRule type="expression" dxfId="165" priority="21480">
      <formula>CELL("color",C1048386)="3"</formula>
    </cfRule>
  </conditionalFormatting>
  <conditionalFormatting sqref="F527:F536">
    <cfRule type="expression" dxfId="164" priority="21488">
      <formula>CELL("color",F1048464)="3"</formula>
    </cfRule>
  </conditionalFormatting>
  <conditionalFormatting sqref="F305:F306">
    <cfRule type="expression" dxfId="163" priority="21499">
      <formula>CELL("color",F1048332)="3"</formula>
    </cfRule>
  </conditionalFormatting>
  <conditionalFormatting sqref="F476">
    <cfRule type="expression" dxfId="162" priority="21511">
      <formula>CELL("color",F1048414)="3"</formula>
    </cfRule>
  </conditionalFormatting>
  <conditionalFormatting sqref="F640">
    <cfRule type="expression" dxfId="161" priority="21533">
      <formula>CELL("color",F1048576)="3"</formula>
    </cfRule>
  </conditionalFormatting>
  <conditionalFormatting sqref="C308:C309">
    <cfRule type="expression" dxfId="160" priority="21695">
      <formula>CELL("color",D1048298)="3"</formula>
    </cfRule>
  </conditionalFormatting>
  <conditionalFormatting sqref="C593">
    <cfRule type="expression" dxfId="159" priority="21721">
      <formula>CELL("color",D1048560)="3"</formula>
    </cfRule>
  </conditionalFormatting>
  <conditionalFormatting sqref="B610:B612 B604:B605">
    <cfRule type="expression" dxfId="158" priority="21762">
      <formula>CELL("color",E1048503)="3"</formula>
    </cfRule>
  </conditionalFormatting>
  <conditionalFormatting sqref="C500:C504">
    <cfRule type="expression" dxfId="157" priority="21767">
      <formula>CELL("color",D1048428)="3"</formula>
    </cfRule>
  </conditionalFormatting>
  <conditionalFormatting sqref="C314">
    <cfRule type="expression" dxfId="156" priority="21833">
      <formula>CELL("color",D1048295)="3"</formula>
    </cfRule>
  </conditionalFormatting>
  <conditionalFormatting sqref="C284:C289">
    <cfRule type="expression" dxfId="155" priority="21835">
      <formula>CELL("color",D1048285)="3"</formula>
    </cfRule>
  </conditionalFormatting>
  <conditionalFormatting sqref="C213:C217">
    <cfRule type="expression" dxfId="154" priority="21841">
      <formula>CELL("color",D1048217)="3"</formula>
    </cfRule>
  </conditionalFormatting>
  <conditionalFormatting sqref="C337:C338 C334">
    <cfRule type="expression" dxfId="153" priority="21843">
      <formula>CELL("color",D1048308)="3"</formula>
    </cfRule>
  </conditionalFormatting>
  <conditionalFormatting sqref="C441 C446:C448">
    <cfRule type="expression" dxfId="152" priority="21853">
      <formula>CELL("color",D1048399)="3"</formula>
    </cfRule>
  </conditionalFormatting>
  <conditionalFormatting sqref="C407:C410 C413">
    <cfRule type="expression" dxfId="151" priority="21857">
      <formula>CELL("color",D1048369)="3"</formula>
    </cfRule>
  </conditionalFormatting>
  <conditionalFormatting sqref="C443">
    <cfRule type="expression" dxfId="150" priority="21865">
      <formula>CELL("color",D1048399)="3"</formula>
    </cfRule>
  </conditionalFormatting>
  <conditionalFormatting sqref="C200:C201">
    <cfRule type="expression" dxfId="149" priority="21891">
      <formula>CELL("color",D1048206)="3"</formula>
    </cfRule>
  </conditionalFormatting>
  <conditionalFormatting sqref="C173:C175">
    <cfRule type="expression" dxfId="148" priority="21921">
      <formula>CELL("color",D1048192)="3"</formula>
    </cfRule>
  </conditionalFormatting>
  <conditionalFormatting sqref="C346:C349">
    <cfRule type="expression" dxfId="147" priority="21933">
      <formula>CELL("color",D1048323)="3"</formula>
    </cfRule>
  </conditionalFormatting>
  <conditionalFormatting sqref="C360:C361 C290:C291 C245:C247 C237:C240 C293:C294">
    <cfRule type="expression" dxfId="146" priority="21945">
      <formula>CELL("color",D1048232)="3"</formula>
    </cfRule>
  </conditionalFormatting>
  <conditionalFormatting sqref="C546:C548">
    <cfRule type="expression" dxfId="145" priority="21957">
      <formula>CELL("color",D1048491)="3"</formula>
    </cfRule>
  </conditionalFormatting>
  <conditionalFormatting sqref="C449:C451">
    <cfRule type="expression" dxfId="144" priority="21959">
      <formula>CELL("color",D1048406)="3"</formula>
    </cfRule>
  </conditionalFormatting>
  <conditionalFormatting sqref="C471:C474">
    <cfRule type="expression" dxfId="143" priority="21967">
      <formula>CELL("color",D1048412)="3"</formula>
    </cfRule>
  </conditionalFormatting>
  <conditionalFormatting sqref="C597:C599">
    <cfRule type="expression" dxfId="142" priority="21973">
      <formula>CELL("color",D1048495)="3"</formula>
    </cfRule>
  </conditionalFormatting>
  <conditionalFormatting sqref="C355:C356">
    <cfRule type="expression" dxfId="141" priority="21975">
      <formula>CELL("color",D1048328)="3"</formula>
    </cfRule>
  </conditionalFormatting>
  <conditionalFormatting sqref="C298">
    <cfRule type="expression" dxfId="140" priority="21993">
      <formula>CELL("color",D1048286)="3"</formula>
    </cfRule>
  </conditionalFormatting>
  <conditionalFormatting sqref="B594">
    <cfRule type="expression" dxfId="139" priority="21994">
      <formula>CELL("color",C9)="3"</formula>
    </cfRule>
  </conditionalFormatting>
  <conditionalFormatting sqref="C594">
    <cfRule type="expression" dxfId="138" priority="21999">
      <formula>CELL("color",K9)="3"</formula>
    </cfRule>
  </conditionalFormatting>
  <conditionalFormatting sqref="C602">
    <cfRule type="expression" dxfId="137" priority="22001">
      <formula>CELL("color",K22)="3"</formula>
    </cfRule>
  </conditionalFormatting>
  <conditionalFormatting sqref="C614">
    <cfRule type="expression" dxfId="136" priority="22003">
      <formula>CELL("color",K1)="3"</formula>
    </cfRule>
  </conditionalFormatting>
  <conditionalFormatting sqref="B608">
    <cfRule type="expression" dxfId="135" priority="22004">
      <formula>CELL("color",L29)="3"</formula>
    </cfRule>
  </conditionalFormatting>
  <conditionalFormatting sqref="I633:K634">
    <cfRule type="expression" dxfId="134" priority="22773">
      <formula>CELL("color",A1)="3"</formula>
    </cfRule>
  </conditionalFormatting>
  <conditionalFormatting sqref="L202">
    <cfRule type="expression" dxfId="133" priority="22795">
      <formula>CELL("color",C1048210)="3"</formula>
    </cfRule>
  </conditionalFormatting>
  <conditionalFormatting sqref="G193:G194">
    <cfRule type="expression" dxfId="132" priority="22903">
      <formula>CELL("color",E1048202)="3"</formula>
    </cfRule>
  </conditionalFormatting>
  <conditionalFormatting sqref="B128:B129">
    <cfRule type="expression" dxfId="131" priority="22922">
      <formula>CELL("color",E1048157)="3"</formula>
    </cfRule>
  </conditionalFormatting>
  <conditionalFormatting sqref="B176">
    <cfRule type="expression" dxfId="130" priority="22935">
      <formula>CELL("color",E1048193)="3"</formula>
    </cfRule>
  </conditionalFormatting>
  <conditionalFormatting sqref="B193:B194">
    <cfRule type="expression" dxfId="129" priority="22957">
      <formula>CELL("color",E1048202)="3"</formula>
    </cfRule>
  </conditionalFormatting>
  <conditionalFormatting sqref="B176:C176">
    <cfRule type="expression" dxfId="128" priority="23061">
      <formula>CELL("color",C1048193)="3"</formula>
    </cfRule>
  </conditionalFormatting>
  <conditionalFormatting sqref="B128:C129">
    <cfRule type="expression" dxfId="127" priority="23062">
      <formula>CELL("color",C1048157)="3"</formula>
    </cfRule>
  </conditionalFormatting>
  <conditionalFormatting sqref="C193:C194">
    <cfRule type="expression" dxfId="126" priority="23064">
      <formula>CELL("color",D1048202)="3"</formula>
    </cfRule>
  </conditionalFormatting>
  <conditionalFormatting sqref="F193:F194">
    <cfRule type="expression" dxfId="125" priority="23112">
      <formula>CELL("color",F1048202)="3"</formula>
    </cfRule>
  </conditionalFormatting>
  <conditionalFormatting sqref="B197">
    <cfRule type="expression" dxfId="124" priority="6">
      <formula>CELL("color",E1048222)="3"</formula>
    </cfRule>
  </conditionalFormatting>
  <conditionalFormatting sqref="C197">
    <cfRule type="expression" dxfId="123" priority="7">
      <formula>CELL("color",D1048222)="3"</formula>
    </cfRule>
  </conditionalFormatting>
  <conditionalFormatting sqref="G197">
    <cfRule type="expression" dxfId="122" priority="8">
      <formula>CELL("color",E1048222)="3"</formula>
    </cfRule>
  </conditionalFormatting>
  <conditionalFormatting sqref="B197:C197">
    <cfRule type="expression" dxfId="121" priority="9">
      <formula>CELL("color",G1048222)="3"</formula>
    </cfRule>
  </conditionalFormatting>
  <conditionalFormatting sqref="F197">
    <cfRule type="expression" dxfId="120" priority="10">
      <formula>CELL("color",F1048222)="3"</formula>
    </cfRule>
  </conditionalFormatting>
  <conditionalFormatting sqref="H197">
    <cfRule type="expression" dxfId="119" priority="3">
      <formula>CELL("color",XFD1048222)="3"</formula>
    </cfRule>
  </conditionalFormatting>
  <conditionalFormatting sqref="I197:J197">
    <cfRule type="expression" dxfId="118" priority="4">
      <formula>CELL("color",XFD1048222)="3"</formula>
    </cfRule>
  </conditionalFormatting>
  <conditionalFormatting sqref="K197">
    <cfRule type="expression" dxfId="117" priority="5">
      <formula>CELL("color",A1048222)="3"</formula>
    </cfRule>
  </conditionalFormatting>
  <conditionalFormatting sqref="L197">
    <cfRule type="expression" dxfId="116" priority="2">
      <formula>CELL("color",B1048222)="3"</formula>
    </cfRule>
  </conditionalFormatting>
  <conditionalFormatting sqref="B370 B391:B393 B384">
    <cfRule type="expression" dxfId="115" priority="23267">
      <formula>CELL("color",E1048338)="3"</formula>
    </cfRule>
  </conditionalFormatting>
  <conditionalFormatting sqref="B376:B382 B357:B359">
    <cfRule type="expression" dxfId="114" priority="23323">
      <formula>CELL("color",E1048329)="3"</formula>
    </cfRule>
  </conditionalFormatting>
  <conditionalFormatting sqref="B252:B262">
    <cfRule type="expression" dxfId="113" priority="23334">
      <formula>CELL("color",E1048244)="3"</formula>
    </cfRule>
  </conditionalFormatting>
  <conditionalFormatting sqref="C344:C345">
    <cfRule type="expression" dxfId="112" priority="23348">
      <formula>CELL("color",D1048320)="3"</formula>
    </cfRule>
  </conditionalFormatting>
  <conditionalFormatting sqref="B384:C384 B391:C393">
    <cfRule type="expression" dxfId="111" priority="23461">
      <formula>CELL("color",G1048352)="3"</formula>
    </cfRule>
  </conditionalFormatting>
  <conditionalFormatting sqref="F391:F393 B374:C374 F384">
    <cfRule type="expression" dxfId="110" priority="23487">
      <formula>CELL("color",B1048342)="3"</formula>
    </cfRule>
  </conditionalFormatting>
  <conditionalFormatting sqref="C376:C382 C357:C359">
    <cfRule type="expression" dxfId="109" priority="23622">
      <formula>CELL("color",D1048329)="3"</formula>
    </cfRule>
  </conditionalFormatting>
  <conditionalFormatting sqref="F484 F486">
    <cfRule type="expression" dxfId="108" priority="23746">
      <formula>CELL("color",B1048418)="3"</formula>
    </cfRule>
  </conditionalFormatting>
  <conditionalFormatting sqref="C492:C493 B506:C507">
    <cfRule type="expression" dxfId="107" priority="23761">
      <formula>CELL("color",C1048418)="3"</formula>
    </cfRule>
  </conditionalFormatting>
  <conditionalFormatting sqref="C252:C262">
    <cfRule type="expression" dxfId="106" priority="23848">
      <formula>CELL("color",D1048244)="3"</formula>
    </cfRule>
  </conditionalFormatting>
  <conditionalFormatting sqref="B335:B336 B350:B354">
    <cfRule type="expression" dxfId="105" priority="23894">
      <formula>CELL("color",E1048310)="3"</formula>
    </cfRule>
  </conditionalFormatting>
  <conditionalFormatting sqref="C350:C354 C339:C343 C335:C336">
    <cfRule type="expression" dxfId="104" priority="23919">
      <formula>CELL("color",D1048310)="3"</formula>
    </cfRule>
  </conditionalFormatting>
  <conditionalFormatting sqref="B484 B486">
    <cfRule type="expression" dxfId="103" priority="23939">
      <formula>CELL("color",E1048418)="3"</formula>
    </cfRule>
  </conditionalFormatting>
  <conditionalFormatting sqref="D484:F484 D486:F486">
    <cfRule type="expression" dxfId="102" priority="23949">
      <formula>CELL("color",C1048418)="3"</formula>
    </cfRule>
  </conditionalFormatting>
  <conditionalFormatting sqref="G484 G486">
    <cfRule type="expression" dxfId="101" priority="24016">
      <formula>CELL("color",D1048418)="3"</formula>
    </cfRule>
  </conditionalFormatting>
  <conditionalFormatting sqref="B492:B493">
    <cfRule type="expression" dxfId="100" priority="24025">
      <formula>CELL("color",E1048418)="3"</formula>
    </cfRule>
  </conditionalFormatting>
  <conditionalFormatting sqref="B486:C486 B484:C484">
    <cfRule type="expression" dxfId="99" priority="24060">
      <formula>CELL("color",F1048418)="3"</formula>
    </cfRule>
  </conditionalFormatting>
  <conditionalFormatting sqref="B506:C507">
    <cfRule type="expression" dxfId="98" priority="24096">
      <formula>CELL("color",B1048432)="3"</formula>
    </cfRule>
  </conditionalFormatting>
  <conditionalFormatting sqref="B484:C484 B486:C486">
    <cfRule type="expression" dxfId="97" priority="24112">
      <formula>CELL("color",C1048418)="3"</formula>
    </cfRule>
  </conditionalFormatting>
  <conditionalFormatting sqref="B484:C484">
    <cfRule type="expression" dxfId="96" priority="24173">
      <formula>CELL("color",B1048418)="3"</formula>
    </cfRule>
  </conditionalFormatting>
  <conditionalFormatting sqref="L506:L507">
    <cfRule type="expression" dxfId="95" priority="24253">
      <formula>CELL("color",B1048432)="3"</formula>
    </cfRule>
  </conditionalFormatting>
  <conditionalFormatting sqref="G484">
    <cfRule type="expression" dxfId="94" priority="24297">
      <formula>CELL("color",E1048418)="3"</formula>
    </cfRule>
  </conditionalFormatting>
  <conditionalFormatting sqref="K35">
    <cfRule type="expression" dxfId="93" priority="1">
      <formula>CELL("color",C1048073)="3"</formula>
    </cfRule>
  </conditionalFormatting>
  <conditionalFormatting sqref="J508:K509 L510">
    <cfRule type="expression" dxfId="92" priority="24313">
      <formula>CELL("color",A1048433)="3"</formula>
    </cfRule>
  </conditionalFormatting>
  <conditionalFormatting sqref="B508:C510">
    <cfRule type="expression" dxfId="91" priority="24441">
      <formula>CELL("color",C1048433)="3"</formula>
    </cfRule>
  </conditionalFormatting>
  <conditionalFormatting sqref="F508:F509">
    <cfRule type="expression" dxfId="90" priority="24458">
      <formula>CELL("color",B1048433)="3"</formula>
    </cfRule>
  </conditionalFormatting>
  <conditionalFormatting sqref="F525:F526">
    <cfRule type="expression" dxfId="89" priority="24532">
      <formula>CELL("color",B1048460)="3"</formula>
    </cfRule>
  </conditionalFormatting>
  <conditionalFormatting sqref="I525:I526">
    <cfRule type="expression" dxfId="88" priority="24533">
      <formula>CELL("color",A1048460)="3"</formula>
    </cfRule>
  </conditionalFormatting>
  <conditionalFormatting sqref="F521">
    <cfRule type="expression" dxfId="87" priority="24570">
      <formula>CELL("color",B1048439)="3"</formula>
    </cfRule>
  </conditionalFormatting>
  <conditionalFormatting sqref="B521:C521">
    <cfRule type="expression" dxfId="86" priority="24629">
      <formula>CELL("color",C1048439)="3"</formula>
    </cfRule>
  </conditionalFormatting>
  <conditionalFormatting sqref="D475:F475 D477:F483">
    <cfRule type="expression" dxfId="85" priority="24630">
      <formula>CELL("color",C1048414)="3"</formula>
    </cfRule>
  </conditionalFormatting>
  <conditionalFormatting sqref="G511">
    <cfRule type="expression" dxfId="84" priority="24635">
      <formula>CELL("color",E1048435)="3"</formula>
    </cfRule>
  </conditionalFormatting>
  <conditionalFormatting sqref="D521:F521">
    <cfRule type="expression" dxfId="83" priority="24654">
      <formula>CELL("color",C1048439)="3"</formula>
    </cfRule>
  </conditionalFormatting>
  <conditionalFormatting sqref="B475 B477:B483">
    <cfRule type="expression" dxfId="82" priority="24663">
      <formula>CELL("color",E1048414)="3"</formula>
    </cfRule>
  </conditionalFormatting>
  <conditionalFormatting sqref="G521">
    <cfRule type="expression" dxfId="81" priority="24709">
      <formula>CELL("color",D1048439)="3"</formula>
    </cfRule>
  </conditionalFormatting>
  <conditionalFormatting sqref="G475 G477:G483">
    <cfRule type="expression" dxfId="80" priority="24710">
      <formula>CELL("color",D1048414)="3"</formula>
    </cfRule>
  </conditionalFormatting>
  <conditionalFormatting sqref="B521:C521">
    <cfRule type="expression" dxfId="79" priority="24752">
      <formula>CELL("color",F1048439)="3"</formula>
    </cfRule>
  </conditionalFormatting>
  <conditionalFormatting sqref="B477:C483 B475:C475">
    <cfRule type="expression" dxfId="78" priority="24753">
      <formula>CELL("color",F1048414)="3"</formula>
    </cfRule>
  </conditionalFormatting>
  <conditionalFormatting sqref="B475:C475">
    <cfRule type="expression" dxfId="77" priority="24766">
      <formula>CELL("color",G1048414)="3"</formula>
    </cfRule>
  </conditionalFormatting>
  <conditionalFormatting sqref="B511:C511">
    <cfRule type="expression" dxfId="76" priority="24806">
      <formula>CELL("color",B1048435)="3"</formula>
    </cfRule>
  </conditionalFormatting>
  <conditionalFormatting sqref="B525:C526">
    <cfRule type="expression" dxfId="75" priority="24934">
      <formula>CELL("color",C1048460)="3"</formula>
    </cfRule>
  </conditionalFormatting>
  <conditionalFormatting sqref="L511">
    <cfRule type="expression" dxfId="74" priority="24951">
      <formula>CELL("color",B1048435)="3"</formula>
    </cfRule>
  </conditionalFormatting>
  <conditionalFormatting sqref="L487">
    <cfRule type="expression" dxfId="73" priority="24974">
      <formula>CELL("color",B1048419)="3"</formula>
    </cfRule>
  </conditionalFormatting>
  <conditionalFormatting sqref="L475">
    <cfRule type="expression" dxfId="72" priority="24990">
      <formula>CELL("color",C1048414)="3"</formula>
    </cfRule>
  </conditionalFormatting>
  <conditionalFormatting sqref="G475">
    <cfRule type="expression" dxfId="71" priority="24991">
      <formula>CELL("color",E1048414)="3"</formula>
    </cfRule>
  </conditionalFormatting>
  <conditionalFormatting sqref="F475">
    <cfRule type="expression" dxfId="70" priority="24996">
      <formula>CELL("color",F1048414)="3"</formula>
    </cfRule>
  </conditionalFormatting>
  <conditionalFormatting sqref="J514:K514">
    <cfRule type="expression" dxfId="69" priority="25044">
      <formula>CELL("color",A1048435)="3"</formula>
    </cfRule>
  </conditionalFormatting>
  <conditionalFormatting sqref="B556:B557 B512:B513 B524">
    <cfRule type="expression" dxfId="68" priority="25285">
      <formula>CELL("color",E1048434)="3"</formula>
    </cfRule>
  </conditionalFormatting>
  <conditionalFormatting sqref="G556:G557 G524 G512:G513">
    <cfRule type="expression" dxfId="67" priority="25329">
      <formula>CELL("color",E1048434)="3"</formula>
    </cfRule>
  </conditionalFormatting>
  <conditionalFormatting sqref="B556:C557 B512:C513">
    <cfRule type="expression" dxfId="66" priority="25450">
      <formula>CELL("color",G1048434)="3"</formula>
    </cfRule>
  </conditionalFormatting>
  <conditionalFormatting sqref="B556:C557 F556:F557 B512:B513 F512:F513">
    <cfRule type="expression" dxfId="65" priority="25503">
      <formula>CELL("color",B1048434)="3"</formula>
    </cfRule>
  </conditionalFormatting>
  <conditionalFormatting sqref="L556:L557">
    <cfRule type="expression" dxfId="64" priority="25652">
      <formula>CELL("color",B1048478)="3"</formula>
    </cfRule>
  </conditionalFormatting>
  <conditionalFormatting sqref="I554:I555">
    <cfRule type="expression" dxfId="63" priority="25655">
      <formula>CELL("color",A1048477)="3"</formula>
    </cfRule>
  </conditionalFormatting>
  <conditionalFormatting sqref="J554:J555">
    <cfRule type="expression" dxfId="62" priority="25708">
      <formula>CELL("color",A1048477)="3"</formula>
    </cfRule>
  </conditionalFormatting>
  <conditionalFormatting sqref="I614:K616">
    <cfRule type="expression" dxfId="61" priority="25798">
      <formula>CELL("color",A35)="3"</formula>
    </cfRule>
  </conditionalFormatting>
  <conditionalFormatting sqref="F554:F555">
    <cfRule type="expression" dxfId="60" priority="25816">
      <formula>CELL("color",B1048477)="3"</formula>
    </cfRule>
  </conditionalFormatting>
  <conditionalFormatting sqref="B554:B555">
    <cfRule type="expression" dxfId="59" priority="26062">
      <formula>CELL("color",E1048477)="3"</formula>
    </cfRule>
  </conditionalFormatting>
  <conditionalFormatting sqref="B554:C555">
    <cfRule type="expression" dxfId="58" priority="26120">
      <formula>CELL("color",C1048477)="3"</formula>
    </cfRule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73E97-39C7-B24A-A3E1-C2555579BDDB}">
  <sheetPr codeName="Sheet10">
    <tabColor rgb="FF7030A0"/>
  </sheetPr>
  <dimension ref="A1:P642"/>
  <sheetViews>
    <sheetView topLeftCell="A16" zoomScale="150" workbookViewId="0">
      <selection activeCell="D23" sqref="D23"/>
    </sheetView>
  </sheetViews>
  <sheetFormatPr baseColWidth="10" defaultColWidth="10.83203125" defaultRowHeight="16"/>
  <cols>
    <col min="1" max="1" width="17.83203125" customWidth="1"/>
    <col min="2" max="2" width="23.83203125" customWidth="1"/>
    <col min="3" max="3" width="17" bestFit="1" customWidth="1"/>
    <col min="4" max="4" width="16.6640625" bestFit="1" customWidth="1"/>
    <col min="5" max="5" width="19.33203125" bestFit="1" customWidth="1"/>
    <col min="6" max="6" width="22.6640625" bestFit="1" customWidth="1"/>
    <col min="7" max="7" width="17.6640625" bestFit="1" customWidth="1"/>
    <col min="8" max="8" width="20.6640625" bestFit="1" customWidth="1"/>
    <col min="9" max="9" width="27.5" customWidth="1"/>
    <col min="10" max="10" width="13.33203125" bestFit="1" customWidth="1"/>
    <col min="11" max="11" width="26.83203125" customWidth="1"/>
    <col min="12" max="12" width="20.83203125" customWidth="1"/>
    <col min="13" max="13" width="16.6640625" customWidth="1"/>
    <col min="15" max="15" width="7.6640625" bestFit="1" customWidth="1"/>
    <col min="16" max="16" width="17.1640625" bestFit="1" customWidth="1"/>
  </cols>
  <sheetData>
    <row r="1" spans="1:15" ht="21" thickBot="1">
      <c r="A1" s="46" t="s">
        <v>328</v>
      </c>
      <c r="B1" s="44" t="s">
        <v>1897</v>
      </c>
      <c r="C1" s="45" t="s">
        <v>622</v>
      </c>
      <c r="D1" s="45" t="s">
        <v>1271</v>
      </c>
      <c r="E1" s="45" t="s">
        <v>1219</v>
      </c>
      <c r="F1" s="45" t="s">
        <v>632</v>
      </c>
      <c r="G1" s="45" t="s">
        <v>623</v>
      </c>
    </row>
    <row r="2" spans="1:15" ht="22" thickTop="1" thickBot="1">
      <c r="A2" s="33" t="s">
        <v>658</v>
      </c>
      <c r="B2" s="41" t="s">
        <v>1486</v>
      </c>
      <c r="C2" s="41" t="str">
        <f>IFERROR(VLOOKUP(B2,Matrix[[FULL]:[PRICE]],2,FALSE),"")</f>
        <v>Tottenham</v>
      </c>
      <c r="D2" s="265">
        <f>IFERROR(VLOOKUP(B2, Matrix[[FULL]:[PRICE]], 4, FALSE), "")</f>
        <v>3.5000000000000003E-2</v>
      </c>
      <c r="E2" s="41">
        <f>IFERROR(VLOOKUP(B2,Matrix[[FULL]:[PRICE]],5,FALSE),"")</f>
        <v>58.5</v>
      </c>
      <c r="F2" s="41">
        <f>IFERROR(VLOOKUP(B2,Matrix[[FULL]:[PRICE]],3,FALSE),"")</f>
        <v>66</v>
      </c>
      <c r="G2" s="41">
        <f>IFERROR(VLOOKUP(B2,Matrix[[FULL]:[PRICE]],6,FALSE),"")</f>
        <v>5</v>
      </c>
      <c r="H2" s="28"/>
    </row>
    <row r="3" spans="1:15" ht="22" thickTop="1" thickBot="1">
      <c r="A3" s="33" t="s">
        <v>658</v>
      </c>
      <c r="B3" s="41" t="s">
        <v>1790</v>
      </c>
      <c r="C3" s="41" t="str">
        <f>IFERROR(VLOOKUP(B3,Matrix[[FULL]:[PRICE]],2,FALSE),"")</f>
        <v>Burnley</v>
      </c>
      <c r="D3" s="265">
        <f>IFERROR(VLOOKUP(B3, Matrix[[FULL]:[PRICE]], 4, FALSE), "")</f>
        <v>0.27500000000000002</v>
      </c>
      <c r="E3" s="41">
        <f>IFERROR(VLOOKUP(B3,Matrix[[FULL]:[PRICE]],5,FALSE),"")</f>
        <v>22</v>
      </c>
      <c r="F3" s="41">
        <f>IFERROR(VLOOKUP(B3,Matrix[[FULL]:[PRICE]],3,FALSE),"")</f>
        <v>44</v>
      </c>
      <c r="G3" s="41">
        <f>IFERROR(VLOOKUP(B3,Matrix[[FULL]:[PRICE]],6,FALSE),"")</f>
        <v>4</v>
      </c>
      <c r="H3" s="28"/>
      <c r="K3" s="14"/>
      <c r="L3" s="14"/>
      <c r="M3" s="6"/>
      <c r="N3" s="15"/>
    </row>
    <row r="4" spans="1:15" ht="22" thickTop="1" thickBot="1">
      <c r="A4" s="34" t="s">
        <v>657</v>
      </c>
      <c r="B4" s="41" t="s">
        <v>1349</v>
      </c>
      <c r="C4" s="41" t="str">
        <f>IFERROR(VLOOKUP(B4,Matrix[[FULL]:[PRICE]],2,FALSE),"")</f>
        <v>Arsenal</v>
      </c>
      <c r="D4" s="265">
        <f>IFERROR(VLOOKUP(B4, Matrix[[FULL]:[PRICE]], 4, FALSE), "")</f>
        <v>0.20499999999999999</v>
      </c>
      <c r="E4" s="41">
        <f>IFERROR(VLOOKUP(B4,Matrix[[FULL]:[PRICE]],5,FALSE),"")</f>
        <v>108.2</v>
      </c>
      <c r="F4" s="41">
        <f>IFERROR(VLOOKUP(B4,Matrix[[FULL]:[PRICE]],3,FALSE),"")</f>
        <v>117</v>
      </c>
      <c r="G4" s="41">
        <f>IFERROR(VLOOKUP(B4,Matrix[[FULL]:[PRICE]],6,FALSE),"")</f>
        <v>6.1</v>
      </c>
      <c r="H4" s="29"/>
      <c r="K4" s="14"/>
      <c r="L4" s="14"/>
      <c r="M4" s="6"/>
      <c r="N4" s="15"/>
    </row>
    <row r="5" spans="1:15" ht="22" thickTop="1" thickBot="1">
      <c r="A5" s="34" t="s">
        <v>657</v>
      </c>
      <c r="B5" s="41" t="s">
        <v>1504</v>
      </c>
      <c r="C5" s="41" t="str">
        <f>IFERROR(VLOOKUP(B5,Matrix[[FULL]:[PRICE]],2,FALSE),"")</f>
        <v>Chelsea</v>
      </c>
      <c r="D5" s="265">
        <f>IFERROR(VLOOKUP(B5, Matrix[[FULL]:[PRICE]], 4, FALSE), "")</f>
        <v>8.9999999999999993E-3</v>
      </c>
      <c r="E5" s="41">
        <f>IFERROR(VLOOKUP(B5,Matrix[[FULL]:[PRICE]],5,FALSE),"")</f>
        <v>84.6</v>
      </c>
      <c r="F5" s="41">
        <f>IFERROR(VLOOKUP(B5,Matrix[[FULL]:[PRICE]],3,FALSE),"")</f>
        <v>93</v>
      </c>
      <c r="G5" s="41">
        <f>IFERROR(VLOOKUP(B5,Matrix[[FULL]:[PRICE]],6,FALSE),"")</f>
        <v>5</v>
      </c>
      <c r="H5" s="29"/>
      <c r="K5" s="14"/>
      <c r="L5" s="14"/>
      <c r="M5" s="6"/>
      <c r="N5" s="16"/>
    </row>
    <row r="6" spans="1:15" ht="22" thickTop="1" thickBot="1">
      <c r="A6" s="34" t="s">
        <v>657</v>
      </c>
      <c r="B6" s="41" t="s">
        <v>1392</v>
      </c>
      <c r="C6" s="41" t="str">
        <f>IFERROR(VLOOKUP(B6,Matrix[[FULL]:[PRICE]],2,FALSE),"")</f>
        <v>Everton</v>
      </c>
      <c r="D6" s="265">
        <f>IFERROR(VLOOKUP(B6, Matrix[[FULL]:[PRICE]], 4, FALSE), "")</f>
        <v>6.0999999999999999E-2</v>
      </c>
      <c r="E6" s="41">
        <f>IFERROR(VLOOKUP(B6,Matrix[[FULL]:[PRICE]],5,FALSE),"")</f>
        <v>126.9</v>
      </c>
      <c r="F6" s="41">
        <f>IFERROR(VLOOKUP(B6,Matrix[[FULL]:[PRICE]],3,FALSE),"")</f>
        <v>105</v>
      </c>
      <c r="G6" s="41">
        <f>IFERROR(VLOOKUP(B6,Matrix[[FULL]:[PRICE]],6,FALSE),"")</f>
        <v>5.5</v>
      </c>
      <c r="H6" s="29"/>
      <c r="K6" s="14"/>
      <c r="L6" s="14"/>
      <c r="M6" s="6"/>
      <c r="N6" s="16"/>
    </row>
    <row r="7" spans="1:15" ht="22" thickTop="1" thickBot="1">
      <c r="A7" s="34" t="s">
        <v>657</v>
      </c>
      <c r="B7" s="41" t="s">
        <v>1389</v>
      </c>
      <c r="C7" s="41" t="str">
        <f>IFERROR(VLOOKUP(B7,Matrix[[FULL]:[PRICE]],2,FALSE),"")</f>
        <v>Crystal Palace</v>
      </c>
      <c r="D7" s="265">
        <f>IFERROR(VLOOKUP(B7, Matrix[[FULL]:[PRICE]], 4, FALSE), "")</f>
        <v>9.1999999999999998E-2</v>
      </c>
      <c r="E7" s="41">
        <f>IFERROR(VLOOKUP(B7,Matrix[[FULL]:[PRICE]],5,FALSE),"")</f>
        <v>197.6</v>
      </c>
      <c r="F7" s="41">
        <f>IFERROR(VLOOKUP(B7,Matrix[[FULL]:[PRICE]],3,FALSE),"")</f>
        <v>142</v>
      </c>
      <c r="G7" s="41">
        <f>IFERROR(VLOOKUP(B7,Matrix[[FULL]:[PRICE]],6,FALSE),"")</f>
        <v>5.5</v>
      </c>
      <c r="H7" s="29"/>
      <c r="K7" s="14"/>
      <c r="L7" s="14"/>
      <c r="M7" s="6"/>
      <c r="N7" s="16"/>
    </row>
    <row r="8" spans="1:15" ht="22" thickTop="1" thickBot="1">
      <c r="A8" s="34" t="s">
        <v>657</v>
      </c>
      <c r="B8" s="41" t="s">
        <v>1619</v>
      </c>
      <c r="C8" s="41" t="str">
        <f>IFERROR(VLOOKUP(B8,Matrix[[FULL]:[PRICE]],2,FALSE),"")</f>
        <v>Brighton</v>
      </c>
      <c r="D8" s="265">
        <f>IFERROR(VLOOKUP(B8, Matrix[[FULL]:[PRICE]], 4, FALSE), "")</f>
        <v>7.3999999999999996E-2</v>
      </c>
      <c r="E8" s="41">
        <f>IFERROR(VLOOKUP(B8,Matrix[[FULL]:[PRICE]],5,FALSE),"")</f>
        <v>0</v>
      </c>
      <c r="F8" s="41">
        <f>IFERROR(VLOOKUP(B8,Matrix[[FULL]:[PRICE]],3,FALSE),"")</f>
        <v>0</v>
      </c>
      <c r="G8" s="41">
        <f>IFERROR(VLOOKUP(B8,Matrix[[FULL]:[PRICE]],6,FALSE),"")</f>
        <v>4.5</v>
      </c>
      <c r="H8" s="29"/>
    </row>
    <row r="9" spans="1:15" ht="22" thickTop="1" thickBot="1">
      <c r="A9" s="35" t="s">
        <v>656</v>
      </c>
      <c r="B9" s="41" t="s">
        <v>1272</v>
      </c>
      <c r="C9" s="41" t="str">
        <f>IFERROR(VLOOKUP(B9,Matrix[[FULL]:[PRICE]],2,FALSE),"")</f>
        <v>Liverpool</v>
      </c>
      <c r="D9" s="265">
        <f>IFERROR(VLOOKUP(B9, Matrix[[FULL]:[PRICE]], 4, FALSE), "")</f>
        <v>0.53700000000000003</v>
      </c>
      <c r="E9" s="41">
        <f>IFERROR(VLOOKUP(B9,Matrix[[FULL]:[PRICE]],5,FALSE),"")</f>
        <v>476</v>
      </c>
      <c r="F9" s="41">
        <f>IFERROR(VLOOKUP(B9,Matrix[[FULL]:[PRICE]],3,FALSE),"")</f>
        <v>344</v>
      </c>
      <c r="G9" s="41">
        <f>IFERROR(VLOOKUP(B9,Matrix[[FULL]:[PRICE]],6,FALSE),"")</f>
        <v>14.5</v>
      </c>
      <c r="H9" s="30"/>
      <c r="J9" s="20"/>
      <c r="K9" s="20"/>
      <c r="L9" s="20"/>
      <c r="M9" s="20"/>
      <c r="N9" s="20"/>
      <c r="O9" s="20"/>
    </row>
    <row r="10" spans="1:15" ht="22" thickTop="1" thickBot="1">
      <c r="A10" s="35" t="s">
        <v>656</v>
      </c>
      <c r="B10" s="41" t="s">
        <v>1293</v>
      </c>
      <c r="C10" s="41" t="str">
        <f>IFERROR(VLOOKUP(B10,Matrix[[FULL]:[PRICE]],2,FALSE),"")</f>
        <v>Liverpool</v>
      </c>
      <c r="D10" s="265">
        <f>IFERROR(VLOOKUP(B10, Matrix[[FULL]:[PRICE]], 4, FALSE), "")</f>
        <v>6.0999999999999999E-2</v>
      </c>
      <c r="E10" s="41">
        <f>IFERROR(VLOOKUP(B10,Matrix[[FULL]:[PRICE]],5,FALSE),"")</f>
        <v>180.3</v>
      </c>
      <c r="F10" s="41">
        <f>IFERROR(VLOOKUP(B10,Matrix[[FULL]:[PRICE]],3,FALSE),"")</f>
        <v>127</v>
      </c>
      <c r="G10" s="41">
        <f>IFERROR(VLOOKUP(B10,Matrix[[FULL]:[PRICE]],6,FALSE),"")</f>
        <v>7.5</v>
      </c>
      <c r="H10" s="30"/>
      <c r="J10" s="13"/>
      <c r="K10" s="14"/>
      <c r="L10" s="14"/>
      <c r="M10" s="6"/>
      <c r="N10" s="16"/>
      <c r="O10" s="16"/>
    </row>
    <row r="11" spans="1:15" ht="22" thickTop="1" thickBot="1">
      <c r="A11" s="35" t="s">
        <v>656</v>
      </c>
      <c r="B11" s="41" t="s">
        <v>1312</v>
      </c>
      <c r="C11" s="41" t="str">
        <f>IFERROR(VLOOKUP(B11,Matrix[[FULL]:[PRICE]],2,FALSE),"")</f>
        <v>Tottenham</v>
      </c>
      <c r="D11" s="265">
        <f>IFERROR(VLOOKUP(B11, Matrix[[FULL]:[PRICE]], 4, FALSE), "")</f>
        <v>0.23799999999999999</v>
      </c>
      <c r="E11" s="41">
        <f>IFERROR(VLOOKUP(B11,Matrix[[FULL]:[PRICE]],5,FALSE),"")</f>
        <v>177.5</v>
      </c>
      <c r="F11" s="41">
        <f>IFERROR(VLOOKUP(B11,Matrix[[FULL]:[PRICE]],3,FALSE),"")</f>
        <v>106</v>
      </c>
      <c r="G11" s="41">
        <f>IFERROR(VLOOKUP(B11,Matrix[[FULL]:[PRICE]],6,FALSE),"")</f>
        <v>6.6</v>
      </c>
      <c r="H11" s="30"/>
      <c r="J11" s="13"/>
      <c r="K11" s="14"/>
      <c r="L11" s="14"/>
      <c r="M11" s="6"/>
      <c r="N11" s="16"/>
      <c r="O11" s="16"/>
    </row>
    <row r="12" spans="1:15" ht="22" thickTop="1" thickBot="1">
      <c r="A12" s="35" t="s">
        <v>656</v>
      </c>
      <c r="B12" s="41" t="s">
        <v>1387</v>
      </c>
      <c r="C12" s="41" t="str">
        <f>IFERROR(VLOOKUP(B12,Matrix[[FULL]:[PRICE]],2,FALSE),"")</f>
        <v>Man City</v>
      </c>
      <c r="D12" s="265">
        <f>IFERROR(VLOOKUP(B12, Matrix[[FULL]:[PRICE]], 4, FALSE), "")</f>
        <v>0.11</v>
      </c>
      <c r="E12" s="41">
        <f>IFERROR(VLOOKUP(B12,Matrix[[FULL]:[PRICE]],5,FALSE),"")</f>
        <v>0</v>
      </c>
      <c r="F12" s="41">
        <f>IFERROR(VLOOKUP(B12,Matrix[[FULL]:[PRICE]],3,FALSE),"")</f>
        <v>0</v>
      </c>
      <c r="G12" s="41">
        <f>IFERROR(VLOOKUP(B12,Matrix[[FULL]:[PRICE]],6,FALSE),"")</f>
        <v>5.7</v>
      </c>
      <c r="H12" s="30"/>
      <c r="J12" s="13"/>
      <c r="K12" s="14"/>
      <c r="L12" s="14"/>
      <c r="M12" s="6"/>
      <c r="N12" s="16"/>
      <c r="O12" s="16"/>
    </row>
    <row r="13" spans="1:15" ht="22" thickTop="1" thickBot="1">
      <c r="A13" s="35" t="s">
        <v>656</v>
      </c>
      <c r="B13" s="41" t="s">
        <v>1301</v>
      </c>
      <c r="C13" s="41" t="str">
        <f>IFERROR(VLOOKUP(B13,Matrix[[FULL]:[PRICE]],2,FALSE),"")</f>
        <v>Bournemouth</v>
      </c>
      <c r="D13" s="265">
        <f>IFERROR(VLOOKUP(B13, Matrix[[FULL]:[PRICE]], 4, FALSE), "")</f>
        <v>5.2999999999999999E-2</v>
      </c>
      <c r="E13" s="41">
        <f>IFERROR(VLOOKUP(B13,Matrix[[FULL]:[PRICE]],5,FALSE),"")</f>
        <v>267.8</v>
      </c>
      <c r="F13" s="41">
        <f>IFERROR(VLOOKUP(B13,Matrix[[FULL]:[PRICE]],3,FALSE),"")</f>
        <v>165</v>
      </c>
      <c r="G13" s="41">
        <f>IFERROR(VLOOKUP(B13,Matrix[[FULL]:[PRICE]],6,FALSE),"")</f>
        <v>7.2</v>
      </c>
      <c r="H13" s="30"/>
      <c r="J13" s="13"/>
      <c r="K13" s="14"/>
      <c r="L13" s="14"/>
      <c r="M13" s="6"/>
      <c r="N13" s="15"/>
      <c r="O13" s="15"/>
    </row>
    <row r="14" spans="1:15" ht="22" thickTop="1" thickBot="1">
      <c r="A14" s="36" t="s">
        <v>655</v>
      </c>
      <c r="B14" s="41" t="s">
        <v>1288</v>
      </c>
      <c r="C14" s="41" t="str">
        <f>IFERROR(VLOOKUP(B14,Matrix[[FULL]:[PRICE]],2,FALSE),"")</f>
        <v>Chelsea</v>
      </c>
      <c r="D14" s="265">
        <f>IFERROR(VLOOKUP(B14, Matrix[[FULL]:[PRICE]], 4, FALSE), "")</f>
        <v>0.54500000000000004</v>
      </c>
      <c r="E14" s="41">
        <f>IFERROR(VLOOKUP(B14,Matrix[[FULL]:[PRICE]],5,FALSE),"")</f>
        <v>166</v>
      </c>
      <c r="F14" s="41">
        <f>IFERROR(VLOOKUP(B14,Matrix[[FULL]:[PRICE]],3,FALSE),"")</f>
        <v>126</v>
      </c>
      <c r="G14" s="41">
        <f>IFERROR(VLOOKUP(B14,Matrix[[FULL]:[PRICE]],6,FALSE),"")</f>
        <v>7.5</v>
      </c>
      <c r="H14" s="31"/>
      <c r="J14" s="13"/>
      <c r="K14" s="14"/>
      <c r="L14" s="14"/>
      <c r="M14" s="6"/>
      <c r="N14" s="16"/>
      <c r="O14" s="16"/>
    </row>
    <row r="15" spans="1:15" ht="22" thickTop="1" thickBot="1">
      <c r="A15" s="36" t="s">
        <v>655</v>
      </c>
      <c r="B15" s="41" t="s">
        <v>1277</v>
      </c>
      <c r="C15" s="41" t="str">
        <f>IFERROR(VLOOKUP(B15,Matrix[[FULL]:[PRICE]],2,FALSE),"")</f>
        <v>Arsenal</v>
      </c>
      <c r="D15" s="265">
        <f>IFERROR(VLOOKUP(B15, Matrix[[FULL]:[PRICE]], 4, FALSE), "")</f>
        <v>0.25900000000000001</v>
      </c>
      <c r="E15" s="41">
        <f>IFERROR(VLOOKUP(B15,Matrix[[FULL]:[PRICE]],5,FALSE),"")</f>
        <v>0</v>
      </c>
      <c r="F15" s="41">
        <f>IFERROR(VLOOKUP(B15,Matrix[[FULL]:[PRICE]],3,FALSE),"")</f>
        <v>0</v>
      </c>
      <c r="G15" s="41">
        <f>IFERROR(VLOOKUP(B15,Matrix[[FULL]:[PRICE]],6,FALSE),"")</f>
        <v>9</v>
      </c>
      <c r="H15" s="32"/>
      <c r="J15" s="13"/>
      <c r="K15" s="14"/>
      <c r="L15" s="14"/>
      <c r="M15" s="6"/>
      <c r="N15" s="15"/>
      <c r="O15" s="15"/>
    </row>
    <row r="16" spans="1:15" ht="22" thickTop="1" thickBot="1">
      <c r="A16" s="43" t="s">
        <v>655</v>
      </c>
      <c r="B16" s="41" t="s">
        <v>1332</v>
      </c>
      <c r="C16" s="47" t="str">
        <f>IFERROR(VLOOKUP(B16,Matrix[[FULL]:[PRICE]],2,FALSE),"")</f>
        <v>Tottenham</v>
      </c>
      <c r="D16" s="266">
        <f>IFERROR(VLOOKUP(B16, Matrix[[FULL]:[PRICE]], 4, FALSE), "")</f>
        <v>1.0999999999999999E-2</v>
      </c>
      <c r="E16" s="47">
        <f>IFERROR(VLOOKUP(B16,Matrix[[FULL]:[PRICE]],5,FALSE),"")</f>
        <v>47.4</v>
      </c>
      <c r="F16" s="47">
        <f>IFERROR(VLOOKUP(B16,Matrix[[FULL]:[PRICE]],3,FALSE),"")</f>
        <v>35</v>
      </c>
      <c r="G16" s="47">
        <f>IFERROR(VLOOKUP(B16,Matrix[[FULL]:[PRICE]],6,FALSE),"")</f>
        <v>6.6</v>
      </c>
      <c r="H16" s="31"/>
      <c r="J16" s="13"/>
      <c r="K16" s="14"/>
      <c r="L16" s="14"/>
      <c r="M16" s="6"/>
      <c r="N16" s="23"/>
      <c r="O16" s="23"/>
    </row>
    <row r="17" spans="1:16" ht="25" thickTop="1" thickBot="1">
      <c r="D17" s="82" t="s">
        <v>625</v>
      </c>
      <c r="G17" s="81" t="s">
        <v>624</v>
      </c>
      <c r="K17" s="13"/>
      <c r="L17" s="14"/>
      <c r="M17" s="14"/>
      <c r="N17" s="6"/>
      <c r="O17" s="16"/>
      <c r="P17" s="16"/>
    </row>
    <row r="18" spans="1:16" ht="23" thickBot="1">
      <c r="B18" s="17"/>
      <c r="D18" s="71">
        <v>100</v>
      </c>
      <c r="E18" s="14"/>
      <c r="G18" s="71">
        <f>D18-SUM(G2:G16)</f>
        <v>-0.20000000000000284</v>
      </c>
      <c r="K18" s="13"/>
      <c r="L18" s="14"/>
      <c r="M18" s="14"/>
      <c r="N18" s="6"/>
      <c r="O18" s="15"/>
      <c r="P18" s="15"/>
    </row>
    <row r="19" spans="1:16" ht="20" thickBot="1">
      <c r="A19" s="20"/>
      <c r="B19" s="72"/>
      <c r="D19" s="13"/>
      <c r="E19" s="14"/>
      <c r="G19" s="6"/>
      <c r="H19" s="16"/>
      <c r="J19" s="22"/>
      <c r="K19" s="13"/>
      <c r="L19" s="14"/>
      <c r="M19" s="14"/>
      <c r="N19" s="6"/>
      <c r="O19" s="15"/>
      <c r="P19" s="15"/>
    </row>
    <row r="20" spans="1:16" ht="21" thickBot="1">
      <c r="A20" s="20"/>
      <c r="B20" s="77" t="s">
        <v>1899</v>
      </c>
      <c r="C20" s="78" t="s">
        <v>1900</v>
      </c>
      <c r="D20" s="78"/>
      <c r="E20" s="78" t="s">
        <v>1901</v>
      </c>
      <c r="F20" s="14"/>
      <c r="G20" s="6"/>
      <c r="H20" s="16"/>
      <c r="J20" s="22"/>
      <c r="K20" s="13"/>
      <c r="L20" s="14"/>
      <c r="M20" s="14"/>
      <c r="N20" s="6"/>
      <c r="O20" s="15"/>
      <c r="P20" s="15"/>
    </row>
    <row r="21" spans="1:16" ht="22" thickTop="1" thickBot="1">
      <c r="A21" s="73" t="s">
        <v>658</v>
      </c>
      <c r="B21" t="s">
        <v>1486</v>
      </c>
      <c r="C21" t="s">
        <v>1479</v>
      </c>
      <c r="D21" s="13"/>
      <c r="E21" t="s">
        <v>1384</v>
      </c>
      <c r="F21" s="14"/>
      <c r="G21" s="6"/>
      <c r="H21" s="16"/>
      <c r="J21" s="21"/>
      <c r="K21" s="13"/>
      <c r="L21" s="14"/>
      <c r="M21" s="14"/>
      <c r="N21" s="6"/>
      <c r="O21" s="16"/>
      <c r="P21" s="16"/>
    </row>
    <row r="22" spans="1:16" ht="21" thickTop="1" thickBot="1">
      <c r="A22" s="73"/>
      <c r="B22" t="s">
        <v>1790</v>
      </c>
      <c r="C22" t="s">
        <v>1624</v>
      </c>
      <c r="D22" s="13"/>
      <c r="E22" t="s">
        <v>1479</v>
      </c>
      <c r="F22" s="14"/>
      <c r="G22" s="6"/>
      <c r="H22" s="16"/>
      <c r="J22" s="21"/>
      <c r="K22" s="13"/>
      <c r="L22" s="14"/>
      <c r="M22" s="14"/>
      <c r="N22" s="6"/>
      <c r="O22" s="16"/>
      <c r="P22" s="16"/>
    </row>
    <row r="23" spans="1:16" ht="22" thickTop="1" thickBot="1">
      <c r="A23" s="74" t="s">
        <v>657</v>
      </c>
      <c r="B23" t="s">
        <v>1349</v>
      </c>
      <c r="C23" t="s">
        <v>2013</v>
      </c>
      <c r="D23" s="13"/>
      <c r="E23" t="s">
        <v>1346</v>
      </c>
      <c r="F23" s="14"/>
      <c r="G23" s="6"/>
      <c r="H23" s="16"/>
      <c r="J23" s="21"/>
      <c r="K23" s="13"/>
      <c r="L23" s="14"/>
      <c r="M23" s="14"/>
      <c r="N23" s="6"/>
      <c r="O23" s="16"/>
      <c r="P23" s="16"/>
    </row>
    <row r="24" spans="1:16" ht="21" thickTop="1" thickBot="1">
      <c r="A24" s="74"/>
      <c r="B24" t="s">
        <v>1504</v>
      </c>
      <c r="C24" t="s">
        <v>1619</v>
      </c>
      <c r="D24" s="13"/>
      <c r="E24" t="s">
        <v>1348</v>
      </c>
      <c r="F24" s="14"/>
      <c r="G24" s="6"/>
      <c r="H24" s="16"/>
      <c r="J24" s="22"/>
      <c r="K24" s="13"/>
      <c r="L24" s="14"/>
      <c r="M24" s="14"/>
      <c r="N24" s="6"/>
      <c r="O24" s="15"/>
      <c r="P24" s="15"/>
    </row>
    <row r="25" spans="1:16" ht="21" thickTop="1" thickBot="1">
      <c r="A25" s="74"/>
      <c r="B25" t="s">
        <v>1392</v>
      </c>
      <c r="C25" t="s">
        <v>1392</v>
      </c>
      <c r="E25" t="s">
        <v>1383</v>
      </c>
    </row>
    <row r="26" spans="1:16" ht="21" thickTop="1" thickBot="1">
      <c r="A26" s="74"/>
      <c r="B26" t="s">
        <v>1389</v>
      </c>
      <c r="C26" t="s">
        <v>1389</v>
      </c>
      <c r="E26" t="s">
        <v>1902</v>
      </c>
    </row>
    <row r="27" spans="1:16" ht="21" thickTop="1" thickBot="1">
      <c r="A27" s="74"/>
      <c r="B27" t="s">
        <v>1619</v>
      </c>
      <c r="C27" t="s">
        <v>1611</v>
      </c>
      <c r="E27" t="s">
        <v>1612</v>
      </c>
    </row>
    <row r="28" spans="1:16" ht="22" thickTop="1" thickBot="1">
      <c r="A28" s="75" t="s">
        <v>656</v>
      </c>
      <c r="B28" t="s">
        <v>1272</v>
      </c>
      <c r="C28" t="s">
        <v>1312</v>
      </c>
      <c r="E28" t="s">
        <v>1387</v>
      </c>
    </row>
    <row r="29" spans="1:16" ht="21" thickTop="1" thickBot="1">
      <c r="A29" s="75"/>
      <c r="B29" t="s">
        <v>1293</v>
      </c>
      <c r="C29" t="s">
        <v>1272</v>
      </c>
      <c r="E29" t="s">
        <v>1274</v>
      </c>
    </row>
    <row r="30" spans="1:16" ht="21" thickTop="1" thickBot="1">
      <c r="A30" s="75"/>
      <c r="B30" t="s">
        <v>1312</v>
      </c>
      <c r="C30" t="s">
        <v>1313</v>
      </c>
      <c r="E30" t="s">
        <v>1293</v>
      </c>
    </row>
    <row r="31" spans="1:16" ht="21" thickTop="1" thickBot="1">
      <c r="A31" s="75"/>
      <c r="B31" t="s">
        <v>1387</v>
      </c>
      <c r="C31" t="s">
        <v>1274</v>
      </c>
      <c r="E31" t="s">
        <v>1312</v>
      </c>
    </row>
    <row r="32" spans="1:16" ht="21" thickTop="1" thickBot="1">
      <c r="A32" s="75"/>
      <c r="B32" t="s">
        <v>1301</v>
      </c>
      <c r="C32" t="s">
        <v>1409</v>
      </c>
      <c r="E32" t="s">
        <v>1409</v>
      </c>
    </row>
    <row r="33" spans="1:5" ht="22" thickTop="1" thickBot="1">
      <c r="A33" s="76" t="s">
        <v>655</v>
      </c>
      <c r="B33" t="s">
        <v>1288</v>
      </c>
      <c r="C33" t="s">
        <v>1288</v>
      </c>
      <c r="E33" t="s">
        <v>1273</v>
      </c>
    </row>
    <row r="34" spans="1:5" ht="21" thickTop="1" thickBot="1">
      <c r="A34" s="76"/>
      <c r="B34" t="s">
        <v>1277</v>
      </c>
      <c r="C34" t="s">
        <v>1317</v>
      </c>
      <c r="E34" t="s">
        <v>1288</v>
      </c>
    </row>
    <row r="35" spans="1:5" ht="21" thickTop="1" thickBot="1">
      <c r="A35" s="76"/>
      <c r="B35" t="s">
        <v>1332</v>
      </c>
      <c r="C35" t="s">
        <v>1283</v>
      </c>
      <c r="E35" t="s">
        <v>1385</v>
      </c>
    </row>
    <row r="36" spans="1:5" ht="17" thickTop="1"/>
    <row r="38" spans="1:5" ht="19">
      <c r="D38" s="26"/>
    </row>
    <row r="39" spans="1:5" ht="19">
      <c r="D39" s="13"/>
    </row>
    <row r="40" spans="1:5" ht="19">
      <c r="D40" s="13"/>
    </row>
    <row r="41" spans="1:5" ht="19">
      <c r="D41" s="13"/>
    </row>
    <row r="42" spans="1:5" ht="19">
      <c r="D42" s="13"/>
    </row>
    <row r="43" spans="1:5" ht="19">
      <c r="D43" s="13"/>
    </row>
    <row r="44" spans="1:5" ht="19">
      <c r="D44" s="13"/>
    </row>
    <row r="45" spans="1:5" ht="19">
      <c r="D45" s="13"/>
    </row>
    <row r="46" spans="1:5" ht="19">
      <c r="D46" s="13"/>
    </row>
    <row r="47" spans="1:5" ht="19">
      <c r="D47" s="13"/>
    </row>
    <row r="48" spans="1:5" ht="19">
      <c r="D48" s="13"/>
    </row>
    <row r="49" spans="4:4" ht="19">
      <c r="D49" s="13"/>
    </row>
    <row r="50" spans="4:4" ht="19">
      <c r="D50" s="13"/>
    </row>
    <row r="51" spans="4:4" ht="19">
      <c r="D51" s="13"/>
    </row>
    <row r="52" spans="4:4" ht="19">
      <c r="D52" s="13"/>
    </row>
    <row r="53" spans="4:4" ht="19">
      <c r="D53" s="13"/>
    </row>
    <row r="54" spans="4:4" ht="19">
      <c r="D54" s="13"/>
    </row>
    <row r="55" spans="4:4" ht="19">
      <c r="D55" s="13"/>
    </row>
    <row r="56" spans="4:4" ht="19">
      <c r="D56" s="13"/>
    </row>
    <row r="57" spans="4:4" ht="19">
      <c r="D57" s="13"/>
    </row>
    <row r="58" spans="4:4" ht="19">
      <c r="D58" s="13"/>
    </row>
    <row r="59" spans="4:4" ht="19">
      <c r="D59" s="13"/>
    </row>
    <row r="60" spans="4:4" ht="19">
      <c r="D60" s="13"/>
    </row>
    <row r="61" spans="4:4" ht="19">
      <c r="D61" s="13"/>
    </row>
    <row r="62" spans="4:4" ht="19">
      <c r="D62" s="13"/>
    </row>
    <row r="63" spans="4:4" ht="19">
      <c r="D63" s="13"/>
    </row>
    <row r="64" spans="4:4" ht="19">
      <c r="D64" s="13"/>
    </row>
    <row r="65" spans="4:4" ht="19">
      <c r="D65" s="13"/>
    </row>
    <row r="66" spans="4:4" ht="19">
      <c r="D66" s="13"/>
    </row>
    <row r="67" spans="4:4" ht="19">
      <c r="D67" s="13"/>
    </row>
    <row r="68" spans="4:4" ht="19">
      <c r="D68" s="13"/>
    </row>
    <row r="69" spans="4:4" ht="19">
      <c r="D69" s="13"/>
    </row>
    <row r="70" spans="4:4" ht="19">
      <c r="D70" s="13"/>
    </row>
    <row r="71" spans="4:4" ht="19">
      <c r="D71" s="13"/>
    </row>
    <row r="72" spans="4:4" ht="19">
      <c r="D72" s="13"/>
    </row>
    <row r="73" spans="4:4" ht="19">
      <c r="D73" s="13"/>
    </row>
    <row r="74" spans="4:4" ht="19">
      <c r="D74" s="13"/>
    </row>
    <row r="75" spans="4:4" ht="19">
      <c r="D75" s="13"/>
    </row>
    <row r="76" spans="4:4" ht="19">
      <c r="D76" s="13"/>
    </row>
    <row r="77" spans="4:4" ht="19">
      <c r="D77" s="13"/>
    </row>
    <row r="78" spans="4:4" ht="19">
      <c r="D78" s="13"/>
    </row>
    <row r="79" spans="4:4" ht="19">
      <c r="D79" s="13"/>
    </row>
    <row r="80" spans="4:4" ht="19">
      <c r="D80" s="13"/>
    </row>
    <row r="81" spans="4:4" ht="19">
      <c r="D81" s="13"/>
    </row>
    <row r="82" spans="4:4" ht="19">
      <c r="D82" s="13"/>
    </row>
    <row r="83" spans="4:4" ht="19">
      <c r="D83" s="13"/>
    </row>
    <row r="84" spans="4:4" ht="19">
      <c r="D84" s="13"/>
    </row>
    <row r="85" spans="4:4" ht="19">
      <c r="D85" s="13"/>
    </row>
    <row r="86" spans="4:4" ht="19">
      <c r="D86" s="13"/>
    </row>
    <row r="87" spans="4:4" ht="19">
      <c r="D87" s="13"/>
    </row>
    <row r="88" spans="4:4" ht="19">
      <c r="D88" s="13"/>
    </row>
    <row r="89" spans="4:4" ht="19">
      <c r="D89" s="13"/>
    </row>
    <row r="90" spans="4:4" ht="19">
      <c r="D90" s="13"/>
    </row>
    <row r="91" spans="4:4" ht="19">
      <c r="D91" s="13"/>
    </row>
    <row r="92" spans="4:4" ht="19">
      <c r="D92" s="13"/>
    </row>
    <row r="93" spans="4:4" ht="19">
      <c r="D93" s="13"/>
    </row>
    <row r="94" spans="4:4" ht="19">
      <c r="D94" s="13"/>
    </row>
    <row r="95" spans="4:4" ht="19">
      <c r="D95" s="13"/>
    </row>
    <row r="96" spans="4:4" ht="19">
      <c r="D96" s="13"/>
    </row>
    <row r="97" spans="4:4" ht="19">
      <c r="D97" s="13"/>
    </row>
    <row r="98" spans="4:4" ht="19">
      <c r="D98" s="13"/>
    </row>
    <row r="99" spans="4:4" ht="19">
      <c r="D99" s="13"/>
    </row>
    <row r="100" spans="4:4" ht="19">
      <c r="D100" s="13"/>
    </row>
    <row r="101" spans="4:4" ht="19">
      <c r="D101" s="13"/>
    </row>
    <row r="102" spans="4:4" ht="19">
      <c r="D102" s="13"/>
    </row>
    <row r="103" spans="4:4" ht="19">
      <c r="D103" s="13"/>
    </row>
    <row r="104" spans="4:4" ht="19">
      <c r="D104" s="13"/>
    </row>
    <row r="105" spans="4:4" ht="19">
      <c r="D105" s="13"/>
    </row>
    <row r="106" spans="4:4" ht="19">
      <c r="D106" s="13"/>
    </row>
    <row r="107" spans="4:4" ht="19">
      <c r="D107" s="13"/>
    </row>
    <row r="108" spans="4:4" ht="19">
      <c r="D108" s="13"/>
    </row>
    <row r="109" spans="4:4" ht="19">
      <c r="D109" s="13"/>
    </row>
    <row r="110" spans="4:4" ht="19">
      <c r="D110" s="13"/>
    </row>
    <row r="111" spans="4:4" ht="19">
      <c r="D111" s="13"/>
    </row>
    <row r="112" spans="4:4" ht="19">
      <c r="D112" s="13"/>
    </row>
    <row r="113" spans="4:4" ht="19">
      <c r="D113" s="13"/>
    </row>
    <row r="114" spans="4:4" ht="19">
      <c r="D114" s="13"/>
    </row>
    <row r="115" spans="4:4" ht="19">
      <c r="D115" s="13"/>
    </row>
    <row r="116" spans="4:4" ht="19">
      <c r="D116" s="13"/>
    </row>
    <row r="117" spans="4:4" ht="19">
      <c r="D117" s="13"/>
    </row>
    <row r="118" spans="4:4" ht="19">
      <c r="D118" s="13"/>
    </row>
    <row r="119" spans="4:4" ht="19">
      <c r="D119" s="13"/>
    </row>
    <row r="120" spans="4:4" ht="19">
      <c r="D120" s="13"/>
    </row>
    <row r="121" spans="4:4" ht="19">
      <c r="D121" s="13"/>
    </row>
    <row r="122" spans="4:4" ht="19">
      <c r="D122" s="13"/>
    </row>
    <row r="123" spans="4:4" ht="19">
      <c r="D123" s="13"/>
    </row>
    <row r="124" spans="4:4" ht="19">
      <c r="D124" s="13"/>
    </row>
    <row r="125" spans="4:4" ht="19">
      <c r="D125" s="13"/>
    </row>
    <row r="126" spans="4:4" ht="19">
      <c r="D126" s="13"/>
    </row>
    <row r="127" spans="4:4" ht="19">
      <c r="D127" s="13"/>
    </row>
    <row r="128" spans="4:4" ht="19">
      <c r="D128" s="13"/>
    </row>
    <row r="129" spans="4:4" ht="19">
      <c r="D129" s="13"/>
    </row>
    <row r="130" spans="4:4" ht="19">
      <c r="D130" s="13"/>
    </row>
    <row r="131" spans="4:4" ht="19">
      <c r="D131" s="13"/>
    </row>
    <row r="132" spans="4:4" ht="19">
      <c r="D132" s="13"/>
    </row>
    <row r="133" spans="4:4" ht="19">
      <c r="D133" s="13"/>
    </row>
    <row r="134" spans="4:4" ht="19">
      <c r="D134" s="13"/>
    </row>
    <row r="135" spans="4:4" ht="19">
      <c r="D135" s="13"/>
    </row>
    <row r="136" spans="4:4" ht="19">
      <c r="D136" s="13"/>
    </row>
    <row r="137" spans="4:4" ht="19">
      <c r="D137" s="13"/>
    </row>
    <row r="138" spans="4:4" ht="19">
      <c r="D138" s="13"/>
    </row>
    <row r="139" spans="4:4" ht="19">
      <c r="D139" s="13"/>
    </row>
    <row r="140" spans="4:4" ht="19">
      <c r="D140" s="13"/>
    </row>
    <row r="141" spans="4:4" ht="19">
      <c r="D141" s="13"/>
    </row>
    <row r="142" spans="4:4" ht="19">
      <c r="D142" s="13"/>
    </row>
    <row r="143" spans="4:4" ht="19">
      <c r="D143" s="13"/>
    </row>
    <row r="144" spans="4:4" ht="19">
      <c r="D144" s="13"/>
    </row>
    <row r="145" spans="4:4" ht="19">
      <c r="D145" s="13"/>
    </row>
    <row r="146" spans="4:4" ht="19">
      <c r="D146" s="13"/>
    </row>
    <row r="147" spans="4:4" ht="19">
      <c r="D147" s="13"/>
    </row>
    <row r="148" spans="4:4" ht="19">
      <c r="D148" s="13"/>
    </row>
    <row r="149" spans="4:4" ht="19">
      <c r="D149" s="13"/>
    </row>
    <row r="150" spans="4:4" ht="19">
      <c r="D150" s="13"/>
    </row>
    <row r="151" spans="4:4" ht="19">
      <c r="D151" s="13"/>
    </row>
    <row r="152" spans="4:4" ht="19">
      <c r="D152" s="13"/>
    </row>
    <row r="153" spans="4:4" ht="19">
      <c r="D153" s="13"/>
    </row>
    <row r="154" spans="4:4" ht="19">
      <c r="D154" s="13"/>
    </row>
    <row r="155" spans="4:4" ht="19">
      <c r="D155" s="13"/>
    </row>
    <row r="156" spans="4:4" ht="19">
      <c r="D156" s="13"/>
    </row>
    <row r="157" spans="4:4" ht="19">
      <c r="D157" s="13"/>
    </row>
    <row r="158" spans="4:4" ht="19">
      <c r="D158" s="13"/>
    </row>
    <row r="159" spans="4:4" ht="19">
      <c r="D159" s="13"/>
    </row>
    <row r="160" spans="4:4" ht="19">
      <c r="D160" s="13"/>
    </row>
    <row r="161" spans="4:4" ht="19">
      <c r="D161" s="13"/>
    </row>
    <row r="162" spans="4:4" ht="19">
      <c r="D162" s="13"/>
    </row>
    <row r="163" spans="4:4" ht="19">
      <c r="D163" s="13"/>
    </row>
    <row r="164" spans="4:4" ht="19">
      <c r="D164" s="13"/>
    </row>
    <row r="165" spans="4:4" ht="19">
      <c r="D165" s="13"/>
    </row>
    <row r="166" spans="4:4" ht="19">
      <c r="D166" s="13"/>
    </row>
    <row r="167" spans="4:4" ht="19">
      <c r="D167" s="13"/>
    </row>
    <row r="168" spans="4:4" ht="19">
      <c r="D168" s="13"/>
    </row>
    <row r="169" spans="4:4" ht="19">
      <c r="D169" s="13"/>
    </row>
    <row r="170" spans="4:4" ht="19">
      <c r="D170" s="13"/>
    </row>
    <row r="171" spans="4:4" ht="19">
      <c r="D171" s="13"/>
    </row>
    <row r="172" spans="4:4" ht="19">
      <c r="D172" s="13"/>
    </row>
    <row r="173" spans="4:4" ht="19">
      <c r="D173" s="13"/>
    </row>
    <row r="174" spans="4:4" ht="19">
      <c r="D174" s="13"/>
    </row>
    <row r="175" spans="4:4" ht="19">
      <c r="D175" s="13"/>
    </row>
    <row r="176" spans="4:4" ht="19">
      <c r="D176" s="13"/>
    </row>
    <row r="177" spans="4:4" ht="19">
      <c r="D177" s="13"/>
    </row>
    <row r="178" spans="4:4" ht="19">
      <c r="D178" s="13"/>
    </row>
    <row r="179" spans="4:4" ht="19">
      <c r="D179" s="13"/>
    </row>
    <row r="180" spans="4:4" ht="19">
      <c r="D180" s="13"/>
    </row>
    <row r="181" spans="4:4" ht="19">
      <c r="D181" s="13"/>
    </row>
    <row r="182" spans="4:4" ht="19">
      <c r="D182" s="13"/>
    </row>
    <row r="183" spans="4:4" ht="19">
      <c r="D183" s="13"/>
    </row>
    <row r="184" spans="4:4" ht="19">
      <c r="D184" s="13"/>
    </row>
    <row r="185" spans="4:4" ht="19">
      <c r="D185" s="13"/>
    </row>
    <row r="186" spans="4:4" ht="19">
      <c r="D186" s="13"/>
    </row>
    <row r="187" spans="4:4" ht="19">
      <c r="D187" s="13"/>
    </row>
    <row r="188" spans="4:4" ht="19">
      <c r="D188" s="13"/>
    </row>
    <row r="189" spans="4:4" ht="19">
      <c r="D189" s="13"/>
    </row>
    <row r="190" spans="4:4" ht="19">
      <c r="D190" s="13"/>
    </row>
    <row r="191" spans="4:4" ht="19">
      <c r="D191" s="13"/>
    </row>
    <row r="192" spans="4:4" ht="19">
      <c r="D192" s="13"/>
    </row>
    <row r="193" spans="4:4" ht="19">
      <c r="D193" s="13"/>
    </row>
    <row r="194" spans="4:4" ht="19">
      <c r="D194" s="13"/>
    </row>
    <row r="195" spans="4:4" ht="19">
      <c r="D195" s="13"/>
    </row>
    <row r="196" spans="4:4" ht="19">
      <c r="D196" s="13"/>
    </row>
    <row r="197" spans="4:4" ht="19">
      <c r="D197" s="13"/>
    </row>
    <row r="198" spans="4:4" ht="19">
      <c r="D198" s="13"/>
    </row>
    <row r="199" spans="4:4" ht="19">
      <c r="D199" s="13"/>
    </row>
    <row r="200" spans="4:4" ht="19">
      <c r="D200" s="13"/>
    </row>
    <row r="201" spans="4:4" ht="19">
      <c r="D201" s="13"/>
    </row>
    <row r="202" spans="4:4" ht="19">
      <c r="D202" s="13"/>
    </row>
    <row r="203" spans="4:4" ht="19">
      <c r="D203" s="13"/>
    </row>
    <row r="204" spans="4:4" ht="19">
      <c r="D204" s="13"/>
    </row>
    <row r="205" spans="4:4" ht="19">
      <c r="D205" s="13"/>
    </row>
    <row r="206" spans="4:4" ht="19">
      <c r="D206" s="13"/>
    </row>
    <row r="207" spans="4:4" ht="19">
      <c r="D207" s="13"/>
    </row>
    <row r="208" spans="4:4" ht="19">
      <c r="D208" s="13"/>
    </row>
    <row r="209" spans="4:4" ht="19">
      <c r="D209" s="13"/>
    </row>
    <row r="210" spans="4:4" ht="19">
      <c r="D210" s="13"/>
    </row>
    <row r="211" spans="4:4" ht="19">
      <c r="D211" s="13"/>
    </row>
    <row r="212" spans="4:4" ht="19">
      <c r="D212" s="13"/>
    </row>
    <row r="213" spans="4:4" ht="19">
      <c r="D213" s="13"/>
    </row>
    <row r="214" spans="4:4" ht="19">
      <c r="D214" s="13"/>
    </row>
    <row r="215" spans="4:4" ht="19">
      <c r="D215" s="13"/>
    </row>
    <row r="216" spans="4:4" ht="19">
      <c r="D216" s="13"/>
    </row>
    <row r="217" spans="4:4" ht="19">
      <c r="D217" s="13"/>
    </row>
    <row r="218" spans="4:4" ht="19">
      <c r="D218" s="13"/>
    </row>
    <row r="219" spans="4:4" ht="19">
      <c r="D219" s="13"/>
    </row>
    <row r="220" spans="4:4" ht="19">
      <c r="D220" s="13"/>
    </row>
    <row r="221" spans="4:4" ht="19">
      <c r="D221" s="13"/>
    </row>
    <row r="222" spans="4:4" ht="19">
      <c r="D222" s="13"/>
    </row>
    <row r="223" spans="4:4" ht="19">
      <c r="D223" s="13"/>
    </row>
    <row r="224" spans="4:4" ht="19">
      <c r="D224" s="13"/>
    </row>
    <row r="225" spans="4:4" ht="19">
      <c r="D225" s="13"/>
    </row>
    <row r="226" spans="4:4" ht="19">
      <c r="D226" s="13"/>
    </row>
    <row r="227" spans="4:4" ht="19">
      <c r="D227" s="13"/>
    </row>
    <row r="228" spans="4:4" ht="19">
      <c r="D228" s="13"/>
    </row>
    <row r="229" spans="4:4" ht="19">
      <c r="D229" s="13"/>
    </row>
    <row r="230" spans="4:4" ht="19">
      <c r="D230" s="13"/>
    </row>
    <row r="231" spans="4:4" ht="19">
      <c r="D231" s="13"/>
    </row>
    <row r="232" spans="4:4" ht="19">
      <c r="D232" s="13"/>
    </row>
    <row r="233" spans="4:4" ht="19">
      <c r="D233" s="13"/>
    </row>
    <row r="234" spans="4:4" ht="19">
      <c r="D234" s="13"/>
    </row>
    <row r="235" spans="4:4" ht="19">
      <c r="D235" s="13"/>
    </row>
    <row r="236" spans="4:4" ht="19">
      <c r="D236" s="13"/>
    </row>
    <row r="237" spans="4:4" ht="19">
      <c r="D237" s="13"/>
    </row>
    <row r="238" spans="4:4" ht="19">
      <c r="D238" s="13"/>
    </row>
    <row r="239" spans="4:4" ht="19">
      <c r="D239" s="13"/>
    </row>
    <row r="240" spans="4:4" ht="19">
      <c r="D240" s="13"/>
    </row>
    <row r="241" spans="4:4" ht="19">
      <c r="D241" s="13"/>
    </row>
    <row r="242" spans="4:4" ht="19">
      <c r="D242" s="13"/>
    </row>
    <row r="243" spans="4:4" ht="19">
      <c r="D243" s="13"/>
    </row>
    <row r="244" spans="4:4" ht="19">
      <c r="D244" s="13"/>
    </row>
    <row r="245" spans="4:4" ht="19">
      <c r="D245" s="13"/>
    </row>
    <row r="246" spans="4:4" ht="19">
      <c r="D246" s="13"/>
    </row>
    <row r="247" spans="4:4" ht="19">
      <c r="D247" s="13"/>
    </row>
    <row r="248" spans="4:4" ht="19">
      <c r="D248" s="13"/>
    </row>
    <row r="249" spans="4:4" ht="19">
      <c r="D249" s="13"/>
    </row>
    <row r="250" spans="4:4" ht="19">
      <c r="D250" s="13"/>
    </row>
    <row r="251" spans="4:4" ht="19">
      <c r="D251" s="13"/>
    </row>
    <row r="252" spans="4:4" ht="19">
      <c r="D252" s="13"/>
    </row>
    <row r="253" spans="4:4" ht="19">
      <c r="D253" s="13"/>
    </row>
    <row r="254" spans="4:4" ht="19">
      <c r="D254" s="13"/>
    </row>
    <row r="255" spans="4:4" ht="19">
      <c r="D255" s="13"/>
    </row>
    <row r="256" spans="4:4" ht="19">
      <c r="D256" s="13"/>
    </row>
    <row r="257" spans="4:4" ht="19">
      <c r="D257" s="13"/>
    </row>
    <row r="258" spans="4:4" ht="19">
      <c r="D258" s="13"/>
    </row>
    <row r="259" spans="4:4" ht="19">
      <c r="D259" s="13"/>
    </row>
    <row r="260" spans="4:4" ht="19">
      <c r="D260" s="13"/>
    </row>
    <row r="261" spans="4:4" ht="19">
      <c r="D261" s="13"/>
    </row>
    <row r="262" spans="4:4" ht="19">
      <c r="D262" s="13"/>
    </row>
    <row r="263" spans="4:4" ht="19">
      <c r="D263" s="13"/>
    </row>
    <row r="264" spans="4:4" ht="19">
      <c r="D264" s="13"/>
    </row>
    <row r="265" spans="4:4" ht="19">
      <c r="D265" s="13"/>
    </row>
    <row r="266" spans="4:4" ht="19">
      <c r="D266" s="13"/>
    </row>
    <row r="267" spans="4:4" ht="19">
      <c r="D267" s="13"/>
    </row>
    <row r="268" spans="4:4" ht="19">
      <c r="D268" s="13"/>
    </row>
    <row r="269" spans="4:4" ht="19">
      <c r="D269" s="13"/>
    </row>
    <row r="270" spans="4:4" ht="19">
      <c r="D270" s="13"/>
    </row>
    <row r="271" spans="4:4" ht="19">
      <c r="D271" s="13"/>
    </row>
    <row r="272" spans="4:4" ht="19">
      <c r="D272" s="13"/>
    </row>
    <row r="273" spans="4:4" ht="19">
      <c r="D273" s="13"/>
    </row>
    <row r="274" spans="4:4" ht="19">
      <c r="D274" s="13"/>
    </row>
    <row r="275" spans="4:4" ht="19">
      <c r="D275" s="13"/>
    </row>
    <row r="276" spans="4:4" ht="19">
      <c r="D276" s="13"/>
    </row>
    <row r="277" spans="4:4" ht="19">
      <c r="D277" s="13"/>
    </row>
    <row r="278" spans="4:4" ht="19">
      <c r="D278" s="13"/>
    </row>
    <row r="279" spans="4:4" ht="19">
      <c r="D279" s="13"/>
    </row>
    <row r="280" spans="4:4" ht="19">
      <c r="D280" s="13"/>
    </row>
    <row r="281" spans="4:4" ht="19">
      <c r="D281" s="13"/>
    </row>
    <row r="282" spans="4:4" ht="19">
      <c r="D282" s="13"/>
    </row>
    <row r="283" spans="4:4" ht="19">
      <c r="D283" s="13"/>
    </row>
    <row r="284" spans="4:4" ht="19">
      <c r="D284" s="13"/>
    </row>
    <row r="285" spans="4:4" ht="19">
      <c r="D285" s="13"/>
    </row>
    <row r="286" spans="4:4" ht="19">
      <c r="D286" s="13"/>
    </row>
    <row r="287" spans="4:4" ht="19">
      <c r="D287" s="13"/>
    </row>
    <row r="288" spans="4:4" ht="19">
      <c r="D288" s="13"/>
    </row>
    <row r="289" spans="4:4" ht="19">
      <c r="D289" s="13"/>
    </row>
    <row r="290" spans="4:4" ht="19">
      <c r="D290" s="13"/>
    </row>
    <row r="291" spans="4:4" ht="19">
      <c r="D291" s="13"/>
    </row>
    <row r="292" spans="4:4" ht="19">
      <c r="D292" s="13"/>
    </row>
    <row r="293" spans="4:4" ht="19">
      <c r="D293" s="13"/>
    </row>
    <row r="294" spans="4:4" ht="19">
      <c r="D294" s="13"/>
    </row>
    <row r="295" spans="4:4" ht="19">
      <c r="D295" s="13"/>
    </row>
    <row r="296" spans="4:4" ht="19">
      <c r="D296" s="13"/>
    </row>
    <row r="297" spans="4:4" ht="19">
      <c r="D297" s="13"/>
    </row>
    <row r="298" spans="4:4" ht="19">
      <c r="D298" s="13"/>
    </row>
    <row r="299" spans="4:4" ht="19">
      <c r="D299" s="13"/>
    </row>
    <row r="300" spans="4:4" ht="19">
      <c r="D300" s="13"/>
    </row>
    <row r="301" spans="4:4" ht="19">
      <c r="D301" s="13"/>
    </row>
    <row r="302" spans="4:4" ht="19">
      <c r="D302" s="13"/>
    </row>
    <row r="303" spans="4:4" ht="19">
      <c r="D303" s="13"/>
    </row>
    <row r="304" spans="4:4" ht="19">
      <c r="D304" s="13"/>
    </row>
    <row r="305" spans="4:4" ht="19">
      <c r="D305" s="13"/>
    </row>
    <row r="306" spans="4:4" ht="19">
      <c r="D306" s="13"/>
    </row>
    <row r="307" spans="4:4" ht="19">
      <c r="D307" s="13"/>
    </row>
    <row r="308" spans="4:4" ht="19">
      <c r="D308" s="13"/>
    </row>
    <row r="309" spans="4:4" ht="19">
      <c r="D309" s="13"/>
    </row>
    <row r="310" spans="4:4" ht="19">
      <c r="D310" s="13"/>
    </row>
    <row r="311" spans="4:4" ht="19">
      <c r="D311" s="13"/>
    </row>
    <row r="312" spans="4:4" ht="19">
      <c r="D312" s="13"/>
    </row>
    <row r="313" spans="4:4" ht="19">
      <c r="D313" s="13"/>
    </row>
    <row r="314" spans="4:4" ht="19">
      <c r="D314" s="13"/>
    </row>
    <row r="315" spans="4:4" ht="19">
      <c r="D315" s="13"/>
    </row>
    <row r="316" spans="4:4" ht="19">
      <c r="D316" s="13"/>
    </row>
    <row r="317" spans="4:4" ht="19">
      <c r="D317" s="13"/>
    </row>
    <row r="318" spans="4:4" ht="19">
      <c r="D318" s="13"/>
    </row>
    <row r="319" spans="4:4" ht="19">
      <c r="D319" s="13"/>
    </row>
    <row r="320" spans="4:4" ht="19">
      <c r="D320" s="13"/>
    </row>
    <row r="321" spans="4:4" ht="19">
      <c r="D321" s="13"/>
    </row>
    <row r="322" spans="4:4" ht="19">
      <c r="D322" s="13"/>
    </row>
    <row r="323" spans="4:4" ht="19">
      <c r="D323" s="13"/>
    </row>
    <row r="324" spans="4:4" ht="19">
      <c r="D324" s="13"/>
    </row>
    <row r="325" spans="4:4" ht="19">
      <c r="D325" s="13"/>
    </row>
    <row r="326" spans="4:4" ht="19">
      <c r="D326" s="13"/>
    </row>
    <row r="327" spans="4:4" ht="19">
      <c r="D327" s="13"/>
    </row>
    <row r="328" spans="4:4" ht="19">
      <c r="D328" s="13"/>
    </row>
    <row r="329" spans="4:4" ht="19">
      <c r="D329" s="13"/>
    </row>
    <row r="330" spans="4:4" ht="19">
      <c r="D330" s="13"/>
    </row>
    <row r="331" spans="4:4" ht="19">
      <c r="D331" s="13"/>
    </row>
    <row r="332" spans="4:4" ht="19">
      <c r="D332" s="13"/>
    </row>
    <row r="333" spans="4:4" ht="19">
      <c r="D333" s="13"/>
    </row>
    <row r="334" spans="4:4" ht="19">
      <c r="D334" s="13"/>
    </row>
    <row r="335" spans="4:4" ht="19">
      <c r="D335" s="13"/>
    </row>
    <row r="336" spans="4:4" ht="19">
      <c r="D336" s="13"/>
    </row>
    <row r="337" spans="4:4" ht="19">
      <c r="D337" s="13"/>
    </row>
    <row r="338" spans="4:4" ht="19">
      <c r="D338" s="13"/>
    </row>
    <row r="339" spans="4:4" ht="19">
      <c r="D339" s="13"/>
    </row>
    <row r="340" spans="4:4" ht="19">
      <c r="D340" s="13"/>
    </row>
    <row r="341" spans="4:4" ht="19">
      <c r="D341" s="13"/>
    </row>
    <row r="342" spans="4:4" ht="19">
      <c r="D342" s="13"/>
    </row>
    <row r="343" spans="4:4" ht="19">
      <c r="D343" s="13"/>
    </row>
    <row r="344" spans="4:4" ht="19">
      <c r="D344" s="13"/>
    </row>
    <row r="345" spans="4:4" ht="19">
      <c r="D345" s="13"/>
    </row>
    <row r="346" spans="4:4" ht="19">
      <c r="D346" s="13"/>
    </row>
    <row r="347" spans="4:4" ht="19">
      <c r="D347" s="13"/>
    </row>
    <row r="348" spans="4:4" ht="19">
      <c r="D348" s="13"/>
    </row>
    <row r="349" spans="4:4" ht="19">
      <c r="D349" s="13"/>
    </row>
    <row r="350" spans="4:4" ht="19">
      <c r="D350" s="13"/>
    </row>
    <row r="351" spans="4:4" ht="19">
      <c r="D351" s="13"/>
    </row>
    <row r="352" spans="4:4" ht="19">
      <c r="D352" s="13"/>
    </row>
    <row r="353" spans="4:4" ht="19">
      <c r="D353" s="13"/>
    </row>
    <row r="354" spans="4:4" ht="19">
      <c r="D354" s="13"/>
    </row>
    <row r="355" spans="4:4" ht="19">
      <c r="D355" s="13"/>
    </row>
    <row r="356" spans="4:4" ht="19">
      <c r="D356" s="13"/>
    </row>
    <row r="357" spans="4:4" ht="19">
      <c r="D357" s="13"/>
    </row>
    <row r="358" spans="4:4" ht="19">
      <c r="D358" s="13"/>
    </row>
    <row r="359" spans="4:4" ht="19">
      <c r="D359" s="13"/>
    </row>
    <row r="360" spans="4:4" ht="19">
      <c r="D360" s="13"/>
    </row>
    <row r="361" spans="4:4" ht="19">
      <c r="D361" s="13"/>
    </row>
    <row r="362" spans="4:4" ht="19">
      <c r="D362" s="13"/>
    </row>
    <row r="363" spans="4:4" ht="19">
      <c r="D363" s="13"/>
    </row>
    <row r="364" spans="4:4" ht="19">
      <c r="D364" s="13"/>
    </row>
    <row r="365" spans="4:4" ht="19">
      <c r="D365" s="13"/>
    </row>
    <row r="366" spans="4:4" ht="19">
      <c r="D366" s="13"/>
    </row>
    <row r="367" spans="4:4" ht="19">
      <c r="D367" s="13"/>
    </row>
    <row r="368" spans="4:4" ht="19">
      <c r="D368" s="13"/>
    </row>
    <row r="369" spans="4:4" ht="19">
      <c r="D369" s="13"/>
    </row>
    <row r="370" spans="4:4" ht="19">
      <c r="D370" s="13"/>
    </row>
    <row r="371" spans="4:4" ht="19">
      <c r="D371" s="13"/>
    </row>
    <row r="372" spans="4:4" ht="19">
      <c r="D372" s="13"/>
    </row>
    <row r="373" spans="4:4" ht="19">
      <c r="D373" s="13"/>
    </row>
    <row r="374" spans="4:4" ht="19">
      <c r="D374" s="13"/>
    </row>
    <row r="375" spans="4:4" ht="19">
      <c r="D375" s="13"/>
    </row>
    <row r="376" spans="4:4" ht="19">
      <c r="D376" s="13"/>
    </row>
    <row r="377" spans="4:4" ht="19">
      <c r="D377" s="13"/>
    </row>
    <row r="378" spans="4:4" ht="19">
      <c r="D378" s="13"/>
    </row>
    <row r="379" spans="4:4" ht="19">
      <c r="D379" s="13"/>
    </row>
    <row r="380" spans="4:4" ht="19">
      <c r="D380" s="13"/>
    </row>
    <row r="381" spans="4:4" ht="19">
      <c r="D381" s="13"/>
    </row>
    <row r="382" spans="4:4" ht="19">
      <c r="D382" s="13"/>
    </row>
    <row r="383" spans="4:4" ht="19">
      <c r="D383" s="13"/>
    </row>
    <row r="384" spans="4:4" ht="19">
      <c r="D384" s="13"/>
    </row>
    <row r="385" spans="4:4" ht="19">
      <c r="D385" s="13"/>
    </row>
    <row r="386" spans="4:4" ht="19">
      <c r="D386" s="13"/>
    </row>
    <row r="387" spans="4:4" ht="19">
      <c r="D387" s="13"/>
    </row>
    <row r="388" spans="4:4" ht="19">
      <c r="D388" s="13"/>
    </row>
    <row r="389" spans="4:4" ht="19">
      <c r="D389" s="13"/>
    </row>
    <row r="390" spans="4:4" ht="19">
      <c r="D390" s="13"/>
    </row>
    <row r="391" spans="4:4" ht="19">
      <c r="D391" s="13"/>
    </row>
    <row r="392" spans="4:4" ht="19">
      <c r="D392" s="13"/>
    </row>
    <row r="393" spans="4:4" ht="19">
      <c r="D393" s="13"/>
    </row>
    <row r="394" spans="4:4" ht="19">
      <c r="D394" s="13"/>
    </row>
    <row r="395" spans="4:4" ht="19">
      <c r="D395" s="13"/>
    </row>
    <row r="396" spans="4:4" ht="19">
      <c r="D396" s="13"/>
    </row>
    <row r="397" spans="4:4" ht="19">
      <c r="D397" s="13"/>
    </row>
    <row r="398" spans="4:4" ht="19">
      <c r="D398" s="13"/>
    </row>
    <row r="399" spans="4:4" ht="19">
      <c r="D399" s="13"/>
    </row>
    <row r="400" spans="4:4" ht="19">
      <c r="D400" s="13"/>
    </row>
    <row r="401" spans="4:4" ht="19">
      <c r="D401" s="13"/>
    </row>
    <row r="402" spans="4:4" ht="19">
      <c r="D402" s="13"/>
    </row>
    <row r="403" spans="4:4" ht="19">
      <c r="D403" s="13"/>
    </row>
    <row r="404" spans="4:4" ht="19">
      <c r="D404" s="13"/>
    </row>
    <row r="405" spans="4:4" ht="19">
      <c r="D405" s="13"/>
    </row>
    <row r="406" spans="4:4" ht="19">
      <c r="D406" s="13"/>
    </row>
    <row r="407" spans="4:4" ht="19">
      <c r="D407" s="13"/>
    </row>
    <row r="408" spans="4:4" ht="19">
      <c r="D408" s="13"/>
    </row>
    <row r="409" spans="4:4" ht="19">
      <c r="D409" s="13"/>
    </row>
    <row r="410" spans="4:4" ht="19">
      <c r="D410" s="13"/>
    </row>
    <row r="411" spans="4:4" ht="19">
      <c r="D411" s="13"/>
    </row>
    <row r="412" spans="4:4" ht="19">
      <c r="D412" s="13"/>
    </row>
    <row r="413" spans="4:4" ht="19">
      <c r="D413" s="13"/>
    </row>
    <row r="414" spans="4:4" ht="19">
      <c r="D414" s="13"/>
    </row>
    <row r="415" spans="4:4" ht="19">
      <c r="D415" s="13"/>
    </row>
    <row r="416" spans="4:4" ht="19">
      <c r="D416" s="13"/>
    </row>
    <row r="417" spans="4:4" ht="19">
      <c r="D417" s="13"/>
    </row>
    <row r="418" spans="4:4" ht="19">
      <c r="D418" s="13"/>
    </row>
    <row r="419" spans="4:4" ht="19">
      <c r="D419" s="13"/>
    </row>
    <row r="420" spans="4:4" ht="19">
      <c r="D420" s="13"/>
    </row>
    <row r="421" spans="4:4" ht="19">
      <c r="D421" s="13"/>
    </row>
    <row r="422" spans="4:4" ht="19">
      <c r="D422" s="13"/>
    </row>
    <row r="423" spans="4:4" ht="19">
      <c r="D423" s="13"/>
    </row>
    <row r="424" spans="4:4" ht="19">
      <c r="D424" s="13"/>
    </row>
    <row r="425" spans="4:4" ht="19">
      <c r="D425" s="13"/>
    </row>
    <row r="426" spans="4:4" ht="19">
      <c r="D426" s="13"/>
    </row>
    <row r="427" spans="4:4" ht="19">
      <c r="D427" s="13"/>
    </row>
    <row r="428" spans="4:4" ht="19">
      <c r="D428" s="13"/>
    </row>
    <row r="429" spans="4:4" ht="19">
      <c r="D429" s="13"/>
    </row>
    <row r="430" spans="4:4" ht="19">
      <c r="D430" s="13"/>
    </row>
    <row r="431" spans="4:4" ht="19">
      <c r="D431" s="13"/>
    </row>
    <row r="432" spans="4:4" ht="19">
      <c r="D432" s="13"/>
    </row>
    <row r="433" spans="4:4" ht="19">
      <c r="D433" s="13"/>
    </row>
    <row r="434" spans="4:4" ht="19">
      <c r="D434" s="13"/>
    </row>
    <row r="435" spans="4:4" ht="19">
      <c r="D435" s="13"/>
    </row>
    <row r="436" spans="4:4" ht="19">
      <c r="D436" s="13"/>
    </row>
    <row r="437" spans="4:4" ht="19">
      <c r="D437" s="13"/>
    </row>
    <row r="438" spans="4:4" ht="19">
      <c r="D438" s="13"/>
    </row>
    <row r="439" spans="4:4" ht="19">
      <c r="D439" s="13"/>
    </row>
    <row r="440" spans="4:4" ht="19">
      <c r="D440" s="13"/>
    </row>
    <row r="441" spans="4:4" ht="19">
      <c r="D441" s="13"/>
    </row>
    <row r="442" spans="4:4" ht="19">
      <c r="D442" s="13"/>
    </row>
    <row r="443" spans="4:4" ht="19">
      <c r="D443" s="13"/>
    </row>
    <row r="444" spans="4:4" ht="19">
      <c r="D444" s="13"/>
    </row>
    <row r="445" spans="4:4" ht="19">
      <c r="D445" s="13"/>
    </row>
    <row r="446" spans="4:4" ht="19">
      <c r="D446" s="13"/>
    </row>
    <row r="447" spans="4:4" ht="19">
      <c r="D447" s="13"/>
    </row>
    <row r="448" spans="4:4" ht="19">
      <c r="D448" s="13"/>
    </row>
    <row r="449" spans="4:4" ht="19">
      <c r="D449" s="13"/>
    </row>
    <row r="450" spans="4:4" ht="19">
      <c r="D450" s="13"/>
    </row>
    <row r="451" spans="4:4" ht="19">
      <c r="D451" s="13"/>
    </row>
    <row r="452" spans="4:4" ht="19">
      <c r="D452" s="13"/>
    </row>
    <row r="453" spans="4:4" ht="19">
      <c r="D453" s="13"/>
    </row>
    <row r="454" spans="4:4" ht="19">
      <c r="D454" s="13"/>
    </row>
    <row r="455" spans="4:4" ht="19">
      <c r="D455" s="13"/>
    </row>
    <row r="456" spans="4:4" ht="19">
      <c r="D456" s="13"/>
    </row>
    <row r="457" spans="4:4" ht="19">
      <c r="D457" s="13"/>
    </row>
    <row r="458" spans="4:4" ht="19">
      <c r="D458" s="13"/>
    </row>
    <row r="459" spans="4:4" ht="19">
      <c r="D459" s="13"/>
    </row>
    <row r="460" spans="4:4" ht="19">
      <c r="D460" s="13"/>
    </row>
    <row r="461" spans="4:4" ht="19">
      <c r="D461" s="13"/>
    </row>
    <row r="462" spans="4:4" ht="19">
      <c r="D462" s="13"/>
    </row>
    <row r="463" spans="4:4" ht="19">
      <c r="D463" s="13"/>
    </row>
    <row r="464" spans="4:4" ht="19">
      <c r="D464" s="13"/>
    </row>
    <row r="465" spans="4:4" ht="19">
      <c r="D465" s="13"/>
    </row>
    <row r="466" spans="4:4" ht="19">
      <c r="D466" s="13"/>
    </row>
    <row r="467" spans="4:4" ht="19">
      <c r="D467" s="13"/>
    </row>
    <row r="468" spans="4:4" ht="19">
      <c r="D468" s="13"/>
    </row>
    <row r="469" spans="4:4" ht="19">
      <c r="D469" s="13"/>
    </row>
    <row r="470" spans="4:4" ht="19">
      <c r="D470" s="13"/>
    </row>
    <row r="471" spans="4:4" ht="19">
      <c r="D471" s="13"/>
    </row>
    <row r="472" spans="4:4" ht="19">
      <c r="D472" s="13"/>
    </row>
    <row r="473" spans="4:4" ht="19">
      <c r="D473" s="13"/>
    </row>
    <row r="474" spans="4:4" ht="19">
      <c r="D474" s="13"/>
    </row>
    <row r="475" spans="4:4" ht="19">
      <c r="D475" s="13"/>
    </row>
    <row r="476" spans="4:4" ht="19">
      <c r="D476" s="13"/>
    </row>
    <row r="477" spans="4:4" ht="19">
      <c r="D477" s="13"/>
    </row>
    <row r="478" spans="4:4" ht="19">
      <c r="D478" s="13"/>
    </row>
    <row r="479" spans="4:4" ht="19">
      <c r="D479" s="13"/>
    </row>
    <row r="480" spans="4:4" ht="19">
      <c r="D480" s="13"/>
    </row>
    <row r="481" spans="4:4" ht="19">
      <c r="D481" s="13"/>
    </row>
    <row r="482" spans="4:4" ht="19">
      <c r="D482" s="13"/>
    </row>
    <row r="483" spans="4:4" ht="19">
      <c r="D483" s="13"/>
    </row>
    <row r="484" spans="4:4" ht="19">
      <c r="D484" s="13"/>
    </row>
    <row r="485" spans="4:4" ht="19">
      <c r="D485" s="13"/>
    </row>
    <row r="486" spans="4:4" ht="19">
      <c r="D486" s="13"/>
    </row>
    <row r="487" spans="4:4" ht="19">
      <c r="D487" s="13"/>
    </row>
    <row r="488" spans="4:4" ht="19">
      <c r="D488" s="13"/>
    </row>
    <row r="489" spans="4:4" ht="19">
      <c r="D489" s="13"/>
    </row>
    <row r="490" spans="4:4" ht="19">
      <c r="D490" s="13"/>
    </row>
    <row r="491" spans="4:4" ht="19">
      <c r="D491" s="13"/>
    </row>
    <row r="492" spans="4:4" ht="19">
      <c r="D492" s="13"/>
    </row>
    <row r="493" spans="4:4" ht="19">
      <c r="D493" s="13"/>
    </row>
    <row r="494" spans="4:4" ht="19">
      <c r="D494" s="13"/>
    </row>
    <row r="495" spans="4:4" ht="19">
      <c r="D495" s="13"/>
    </row>
    <row r="496" spans="4:4" ht="19">
      <c r="D496" s="13"/>
    </row>
    <row r="497" spans="4:4" ht="19">
      <c r="D497" s="13"/>
    </row>
    <row r="498" spans="4:4" ht="19">
      <c r="D498" s="13"/>
    </row>
    <row r="499" spans="4:4" ht="19">
      <c r="D499" s="13"/>
    </row>
    <row r="500" spans="4:4" ht="19">
      <c r="D500" s="13"/>
    </row>
    <row r="501" spans="4:4" ht="19">
      <c r="D501" s="13"/>
    </row>
    <row r="502" spans="4:4" ht="19">
      <c r="D502" s="13"/>
    </row>
    <row r="503" spans="4:4" ht="19">
      <c r="D503" s="13"/>
    </row>
    <row r="504" spans="4:4" ht="19">
      <c r="D504" s="13"/>
    </row>
    <row r="505" spans="4:4" ht="19">
      <c r="D505" s="13"/>
    </row>
    <row r="506" spans="4:4" ht="19">
      <c r="D506" s="13"/>
    </row>
    <row r="507" spans="4:4" ht="19">
      <c r="D507" s="13"/>
    </row>
    <row r="508" spans="4:4" ht="19">
      <c r="D508" s="13"/>
    </row>
    <row r="509" spans="4:4" ht="19">
      <c r="D509" s="13"/>
    </row>
    <row r="510" spans="4:4" ht="19">
      <c r="D510" s="13"/>
    </row>
    <row r="511" spans="4:4" ht="19">
      <c r="D511" s="13"/>
    </row>
    <row r="512" spans="4:4" ht="19">
      <c r="D512" s="13"/>
    </row>
    <row r="513" spans="4:4" ht="19">
      <c r="D513" s="13"/>
    </row>
    <row r="514" spans="4:4" ht="19">
      <c r="D514" s="13"/>
    </row>
    <row r="515" spans="4:4" ht="19">
      <c r="D515" s="13"/>
    </row>
    <row r="516" spans="4:4" ht="19">
      <c r="D516" s="13"/>
    </row>
    <row r="517" spans="4:4" ht="19">
      <c r="D517" s="13"/>
    </row>
    <row r="518" spans="4:4" ht="19">
      <c r="D518" s="13"/>
    </row>
    <row r="519" spans="4:4" ht="19">
      <c r="D519" s="13"/>
    </row>
    <row r="520" spans="4:4" ht="19">
      <c r="D520" s="13"/>
    </row>
    <row r="521" spans="4:4" ht="19">
      <c r="D521" s="13"/>
    </row>
    <row r="522" spans="4:4" ht="19">
      <c r="D522" s="13"/>
    </row>
    <row r="523" spans="4:4" ht="19">
      <c r="D523" s="13"/>
    </row>
    <row r="524" spans="4:4" ht="19">
      <c r="D524" s="13"/>
    </row>
    <row r="525" spans="4:4" ht="19">
      <c r="D525" s="13"/>
    </row>
    <row r="526" spans="4:4" ht="19">
      <c r="D526" s="13"/>
    </row>
    <row r="527" spans="4:4" ht="19">
      <c r="D527" s="13"/>
    </row>
    <row r="528" spans="4:4" ht="19">
      <c r="D528" s="13"/>
    </row>
    <row r="529" spans="4:4" ht="19">
      <c r="D529" s="13"/>
    </row>
    <row r="530" spans="4:4" ht="19">
      <c r="D530" s="13"/>
    </row>
    <row r="531" spans="4:4" ht="19">
      <c r="D531" s="13"/>
    </row>
    <row r="532" spans="4:4" ht="19">
      <c r="D532" s="13"/>
    </row>
    <row r="533" spans="4:4" ht="19">
      <c r="D533" s="13"/>
    </row>
    <row r="534" spans="4:4" ht="19">
      <c r="D534" s="13"/>
    </row>
    <row r="535" spans="4:4" ht="19">
      <c r="D535" s="13"/>
    </row>
    <row r="536" spans="4:4" ht="19">
      <c r="D536" s="13"/>
    </row>
    <row r="537" spans="4:4" ht="19">
      <c r="D537" s="13"/>
    </row>
    <row r="538" spans="4:4" ht="19">
      <c r="D538" s="13"/>
    </row>
    <row r="539" spans="4:4" ht="19">
      <c r="D539" s="13"/>
    </row>
    <row r="540" spans="4:4" ht="19">
      <c r="D540" s="13"/>
    </row>
    <row r="541" spans="4:4" ht="19">
      <c r="D541" s="13"/>
    </row>
    <row r="542" spans="4:4" ht="19">
      <c r="D542" s="13"/>
    </row>
    <row r="543" spans="4:4" ht="19">
      <c r="D543" s="13"/>
    </row>
    <row r="544" spans="4:4" ht="19">
      <c r="D544" s="13"/>
    </row>
    <row r="545" spans="4:4" ht="19">
      <c r="D545" s="13"/>
    </row>
    <row r="546" spans="4:4" ht="19">
      <c r="D546" s="13"/>
    </row>
    <row r="547" spans="4:4" ht="19">
      <c r="D547" s="13"/>
    </row>
    <row r="548" spans="4:4" ht="19">
      <c r="D548" s="13"/>
    </row>
    <row r="549" spans="4:4" ht="19">
      <c r="D549" s="13"/>
    </row>
    <row r="550" spans="4:4" ht="19">
      <c r="D550" s="13"/>
    </row>
    <row r="551" spans="4:4" ht="19">
      <c r="D551" s="13"/>
    </row>
    <row r="552" spans="4:4" ht="19">
      <c r="D552" s="13"/>
    </row>
    <row r="553" spans="4:4" ht="19">
      <c r="D553" s="13"/>
    </row>
    <row r="554" spans="4:4" ht="19">
      <c r="D554" s="13"/>
    </row>
    <row r="555" spans="4:4" ht="19">
      <c r="D555" s="13"/>
    </row>
    <row r="556" spans="4:4" ht="19">
      <c r="D556" s="13"/>
    </row>
    <row r="557" spans="4:4" ht="19">
      <c r="D557" s="13"/>
    </row>
    <row r="558" spans="4:4" ht="19">
      <c r="D558" s="13"/>
    </row>
    <row r="559" spans="4:4" ht="19">
      <c r="D559" s="13"/>
    </row>
    <row r="560" spans="4:4" ht="19">
      <c r="D560" s="13"/>
    </row>
    <row r="561" spans="4:4" ht="19">
      <c r="D561" s="13"/>
    </row>
    <row r="562" spans="4:4" ht="19">
      <c r="D562" s="13"/>
    </row>
    <row r="563" spans="4:4" ht="19">
      <c r="D563" s="13"/>
    </row>
    <row r="564" spans="4:4" ht="19">
      <c r="D564" s="13"/>
    </row>
    <row r="565" spans="4:4" ht="19">
      <c r="D565" s="13"/>
    </row>
    <row r="566" spans="4:4" ht="19">
      <c r="D566" s="13"/>
    </row>
    <row r="567" spans="4:4" ht="19">
      <c r="D567" s="13"/>
    </row>
    <row r="568" spans="4:4" ht="19">
      <c r="D568" s="13"/>
    </row>
    <row r="569" spans="4:4" ht="19">
      <c r="D569" s="13"/>
    </row>
    <row r="570" spans="4:4" ht="19">
      <c r="D570" s="13"/>
    </row>
    <row r="571" spans="4:4" ht="19">
      <c r="D571" s="13"/>
    </row>
    <row r="572" spans="4:4" ht="19">
      <c r="D572" s="13"/>
    </row>
    <row r="573" spans="4:4" ht="19">
      <c r="D573" s="13"/>
    </row>
    <row r="574" spans="4:4" ht="19">
      <c r="D574" s="13"/>
    </row>
    <row r="575" spans="4:4" ht="19">
      <c r="D575" s="13"/>
    </row>
    <row r="576" spans="4:4" ht="19">
      <c r="D576" s="13"/>
    </row>
    <row r="577" spans="4:4" ht="19">
      <c r="D577" s="13"/>
    </row>
    <row r="578" spans="4:4" ht="19">
      <c r="D578" s="13"/>
    </row>
    <row r="579" spans="4:4" ht="19">
      <c r="D579" s="13"/>
    </row>
    <row r="580" spans="4:4" ht="19">
      <c r="D580" s="13"/>
    </row>
    <row r="581" spans="4:4" ht="19">
      <c r="D581" s="13"/>
    </row>
    <row r="582" spans="4:4" ht="19">
      <c r="D582" s="13"/>
    </row>
    <row r="583" spans="4:4" ht="19">
      <c r="D583" s="13"/>
    </row>
    <row r="584" spans="4:4" ht="19">
      <c r="D584" s="13"/>
    </row>
    <row r="585" spans="4:4" ht="19">
      <c r="D585" s="13"/>
    </row>
    <row r="586" spans="4:4" ht="19">
      <c r="D586" s="13"/>
    </row>
    <row r="587" spans="4:4" ht="19">
      <c r="D587" s="13"/>
    </row>
    <row r="588" spans="4:4" ht="19">
      <c r="D588" s="13"/>
    </row>
    <row r="589" spans="4:4" ht="19">
      <c r="D589" s="13"/>
    </row>
    <row r="590" spans="4:4" ht="19">
      <c r="D590" s="13"/>
    </row>
    <row r="591" spans="4:4" ht="19">
      <c r="D591" s="13"/>
    </row>
    <row r="592" spans="4:4" ht="19">
      <c r="D592" s="13"/>
    </row>
    <row r="593" spans="4:4" ht="19">
      <c r="D593" s="13"/>
    </row>
    <row r="594" spans="4:4" ht="19">
      <c r="D594" s="13"/>
    </row>
    <row r="595" spans="4:4" ht="19">
      <c r="D595" s="13"/>
    </row>
    <row r="596" spans="4:4" ht="19">
      <c r="D596" s="13"/>
    </row>
    <row r="597" spans="4:4" ht="19">
      <c r="D597" s="13"/>
    </row>
    <row r="598" spans="4:4" ht="19">
      <c r="D598" s="13"/>
    </row>
    <row r="599" spans="4:4" ht="19">
      <c r="D599" s="13"/>
    </row>
    <row r="600" spans="4:4" ht="19">
      <c r="D600" s="13"/>
    </row>
    <row r="601" spans="4:4" ht="19">
      <c r="D601" s="13"/>
    </row>
    <row r="602" spans="4:4" ht="19">
      <c r="D602" s="13"/>
    </row>
    <row r="603" spans="4:4" ht="19">
      <c r="D603" s="13"/>
    </row>
    <row r="604" spans="4:4" ht="19">
      <c r="D604" s="13"/>
    </row>
    <row r="605" spans="4:4" ht="19">
      <c r="D605" s="13"/>
    </row>
    <row r="606" spans="4:4" ht="19">
      <c r="D606" s="13"/>
    </row>
    <row r="607" spans="4:4" ht="19">
      <c r="D607" s="13"/>
    </row>
    <row r="608" spans="4:4" ht="19">
      <c r="D608" s="13"/>
    </row>
    <row r="609" spans="4:4" ht="19">
      <c r="D609" s="13"/>
    </row>
    <row r="610" spans="4:4" ht="19">
      <c r="D610" s="13"/>
    </row>
    <row r="611" spans="4:4" ht="19">
      <c r="D611" s="13"/>
    </row>
    <row r="612" spans="4:4" ht="19">
      <c r="D612" s="13"/>
    </row>
    <row r="613" spans="4:4" ht="19">
      <c r="D613" s="13"/>
    </row>
    <row r="614" spans="4:4" ht="19">
      <c r="D614" s="13"/>
    </row>
    <row r="615" spans="4:4" ht="19">
      <c r="D615" s="13"/>
    </row>
    <row r="616" spans="4:4" ht="19">
      <c r="D616" s="13"/>
    </row>
    <row r="617" spans="4:4" ht="19">
      <c r="D617" s="13"/>
    </row>
    <row r="618" spans="4:4" ht="19">
      <c r="D618" s="13"/>
    </row>
    <row r="619" spans="4:4" ht="19">
      <c r="D619" s="13"/>
    </row>
    <row r="620" spans="4:4" ht="19">
      <c r="D620" s="13"/>
    </row>
    <row r="621" spans="4:4" ht="19">
      <c r="D621" s="13"/>
    </row>
    <row r="622" spans="4:4" ht="19">
      <c r="D622" s="13"/>
    </row>
    <row r="623" spans="4:4" ht="19">
      <c r="D623" s="13"/>
    </row>
    <row r="624" spans="4:4" ht="19">
      <c r="D624" s="13"/>
    </row>
    <row r="625" spans="4:12" ht="19">
      <c r="D625" s="13"/>
    </row>
    <row r="626" spans="4:12" ht="19">
      <c r="D626" s="13"/>
    </row>
    <row r="627" spans="4:12" ht="19">
      <c r="D627" s="13"/>
    </row>
    <row r="628" spans="4:12" ht="19">
      <c r="D628" s="13"/>
    </row>
    <row r="629" spans="4:12" ht="19">
      <c r="D629" s="13"/>
    </row>
    <row r="630" spans="4:12" ht="19">
      <c r="D630" s="13"/>
    </row>
    <row r="631" spans="4:12" ht="19">
      <c r="D631" s="13"/>
    </row>
    <row r="632" spans="4:12" ht="19">
      <c r="D632" s="13"/>
    </row>
    <row r="633" spans="4:12" ht="19">
      <c r="D633" s="13"/>
    </row>
    <row r="634" spans="4:12" ht="19">
      <c r="D634" s="13"/>
    </row>
    <row r="635" spans="4:12" ht="19">
      <c r="D635" s="13"/>
    </row>
    <row r="636" spans="4:12" ht="19">
      <c r="D636" s="13"/>
    </row>
    <row r="637" spans="4:12" ht="19">
      <c r="L637" s="13"/>
    </row>
    <row r="638" spans="4:12" ht="19">
      <c r="L638" s="13"/>
    </row>
    <row r="639" spans="4:12" ht="19">
      <c r="L639" s="13"/>
    </row>
    <row r="640" spans="4:12" ht="19">
      <c r="L640" s="13"/>
    </row>
    <row r="641" spans="12:12" ht="19">
      <c r="L641" s="13"/>
    </row>
    <row r="642" spans="12:12" ht="19">
      <c r="L642" s="13"/>
    </row>
  </sheetData>
  <dataConsolidate/>
  <conditionalFormatting sqref="D24 K24 D19 K17:K19">
    <cfRule type="expression" dxfId="57" priority="92">
      <formula>CELL("color",C1048013)="3"</formula>
    </cfRule>
  </conditionalFormatting>
  <conditionalFormatting sqref="J10:J14">
    <cfRule type="expression" dxfId="56" priority="94">
      <formula>CELL("color",J1048004)="3"</formula>
    </cfRule>
  </conditionalFormatting>
  <conditionalFormatting sqref="G2:G16">
    <cfRule type="expression" dxfId="55" priority="91">
      <formula>CELL("color",F1047998)="3"</formula>
    </cfRule>
  </conditionalFormatting>
  <conditionalFormatting sqref="F2:F16">
    <cfRule type="expression" dxfId="54" priority="21">
      <formula>CELL("color",E1047998)="3"</formula>
    </cfRule>
  </conditionalFormatting>
  <conditionalFormatting sqref="A2:A16">
    <cfRule type="expression" dxfId="53" priority="15231">
      <formula>CELL("color",G1047998)="3"</formula>
    </cfRule>
  </conditionalFormatting>
  <conditionalFormatting sqref="E2:E16">
    <cfRule type="expression" dxfId="52" priority="15233">
      <formula>CELL("color",F1047998)="3"</formula>
    </cfRule>
  </conditionalFormatting>
  <conditionalFormatting sqref="J15:J16 B2:E16">
    <cfRule type="expression" dxfId="51" priority="15235">
      <formula>CELL("color",B1047998)="3"</formula>
    </cfRule>
  </conditionalFormatting>
  <conditionalFormatting sqref="D23 K23">
    <cfRule type="expression" dxfId="50" priority="15698">
      <formula>CELL("color",C1048020)="3"</formula>
    </cfRule>
  </conditionalFormatting>
  <conditionalFormatting sqref="D21:D22 K20:K22">
    <cfRule type="expression" dxfId="49" priority="15702">
      <formula>CELL("color",C1048018)="3"</formula>
    </cfRule>
  </conditionalFormatting>
  <conditionalFormatting sqref="A21:A35">
    <cfRule type="expression" dxfId="48" priority="1">
      <formula>CELL("color",G1048017)="3"</formula>
    </cfRule>
  </conditionalFormatting>
  <dataValidations count="4">
    <dataValidation type="list" allowBlank="1" showInputMessage="1" showErrorMessage="1" sqref="B2:B3" xr:uid="{51010D9C-95B1-744B-BDE8-26964C1D23C8}">
      <formula1>GKP</formula1>
    </dataValidation>
    <dataValidation type="list" allowBlank="1" showInputMessage="1" showErrorMessage="1" sqref="B4:B8" xr:uid="{727AA471-A47E-0240-B367-FDBA03F38BE2}">
      <formula1>DEF</formula1>
    </dataValidation>
    <dataValidation type="list" allowBlank="1" showInputMessage="1" showErrorMessage="1" sqref="B9:B13" xr:uid="{4304CEE3-B194-8A47-AFFD-20E5DDCDA360}">
      <formula1>MID</formula1>
    </dataValidation>
    <dataValidation type="list" allowBlank="1" showInputMessage="1" showErrorMessage="1" sqref="B14:B16" xr:uid="{CBE9D08F-2F2F-9240-87BF-A3A351B17062}">
      <formula1>FWD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055F25-2226-7D4B-8FF8-A2C02D0F5ECB}">
          <x14:formula1>
            <xm:f>INDEX!$S$1:$S$5</xm:f>
          </x14:formula1>
          <xm:sqref>A2:A16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1F4A-09E8-3841-8749-553BF4C83F3C}">
  <sheetPr codeName="Sheet9"/>
  <dimension ref="A1:AH933"/>
  <sheetViews>
    <sheetView topLeftCell="Z513" zoomScale="160" workbookViewId="0">
      <selection activeCell="AG526" sqref="AG526"/>
    </sheetView>
  </sheetViews>
  <sheetFormatPr baseColWidth="10" defaultColWidth="10.83203125" defaultRowHeight="19"/>
  <cols>
    <col min="1" max="1" width="12.5" bestFit="1" customWidth="1"/>
    <col min="2" max="2" width="15.1640625" style="139" bestFit="1" customWidth="1"/>
    <col min="3" max="3" width="16.5" style="139" bestFit="1" customWidth="1"/>
    <col min="4" max="4" width="16.1640625" style="192" bestFit="1" customWidth="1"/>
    <col min="5" max="5" width="5.1640625" bestFit="1" customWidth="1"/>
    <col min="6" max="6" width="2.83203125" customWidth="1"/>
    <col min="7" max="7" width="20" bestFit="1" customWidth="1"/>
    <col min="8" max="8" width="2.83203125" customWidth="1"/>
    <col min="9" max="9" width="23" bestFit="1" customWidth="1"/>
    <col min="10" max="10" width="2.83203125" customWidth="1"/>
    <col min="11" max="11" width="23.5" bestFit="1" customWidth="1"/>
    <col min="12" max="12" width="2.83203125" customWidth="1"/>
    <col min="13" max="13" width="22" bestFit="1" customWidth="1"/>
    <col min="14" max="14" width="2.83203125" customWidth="1"/>
    <col min="15" max="15" width="12.83203125" style="12" bestFit="1" customWidth="1"/>
    <col min="16" max="16" width="2.83203125" customWidth="1"/>
    <col min="17" max="17" width="7.5" bestFit="1" customWidth="1"/>
    <col min="18" max="18" width="2.83203125" customWidth="1"/>
    <col min="19" max="19" width="11.83203125" bestFit="1" customWidth="1"/>
    <col min="20" max="20" width="2.83203125" customWidth="1"/>
    <col min="21" max="21" width="24" bestFit="1" customWidth="1"/>
    <col min="22" max="22" width="2.83203125" customWidth="1"/>
    <col min="23" max="23" width="12.5" bestFit="1" customWidth="1"/>
    <col min="24" max="24" width="5.83203125" customWidth="1"/>
    <col min="25" max="25" width="2.83203125" customWidth="1"/>
    <col min="26" max="26" width="12.5" bestFit="1" customWidth="1"/>
    <col min="27" max="27" width="5.83203125" customWidth="1"/>
    <col min="31" max="31" width="16.5" style="6" bestFit="1" customWidth="1"/>
    <col min="33" max="33" width="23.5" bestFit="1" customWidth="1"/>
    <col min="34" max="34" width="12.5" bestFit="1" customWidth="1"/>
  </cols>
  <sheetData>
    <row r="1" spans="1:34" ht="21" thickTop="1" thickBot="1">
      <c r="A1" s="120" t="s">
        <v>622</v>
      </c>
      <c r="B1" s="119" t="s">
        <v>1911</v>
      </c>
      <c r="C1" s="119" t="s">
        <v>1908</v>
      </c>
      <c r="D1" s="119" t="s">
        <v>1907</v>
      </c>
      <c r="E1" s="124" t="s">
        <v>1914</v>
      </c>
      <c r="G1" s="8" t="s">
        <v>658</v>
      </c>
      <c r="I1" s="10" t="s">
        <v>657</v>
      </c>
      <c r="J1" s="12"/>
      <c r="K1" s="7" t="s">
        <v>656</v>
      </c>
      <c r="M1" s="5" t="s">
        <v>655</v>
      </c>
      <c r="O1" s="11" t="s">
        <v>622</v>
      </c>
      <c r="Q1" s="19" t="s">
        <v>623</v>
      </c>
      <c r="S1" s="11" t="s">
        <v>631</v>
      </c>
      <c r="U1" s="193" t="s">
        <v>1896</v>
      </c>
      <c r="W1" s="194" t="s">
        <v>1972</v>
      </c>
      <c r="X1" s="194" t="s">
        <v>1910</v>
      </c>
      <c r="Z1" s="195" t="s">
        <v>1973</v>
      </c>
      <c r="AA1" s="194" t="s">
        <v>1909</v>
      </c>
      <c r="AC1" s="202" t="s">
        <v>1977</v>
      </c>
      <c r="AE1" s="6" t="s">
        <v>619</v>
      </c>
    </row>
    <row r="2" spans="1:34" s="188" customFormat="1" ht="16" customHeight="1" thickTop="1" thickBot="1">
      <c r="A2" s="121" t="s">
        <v>20</v>
      </c>
      <c r="B2" s="6" t="s">
        <v>6</v>
      </c>
      <c r="C2" s="6">
        <v>99960</v>
      </c>
      <c r="D2" s="150">
        <f t="shared" ref="D2:D21" si="0">C2/$E$2</f>
        <v>95200</v>
      </c>
      <c r="E2" s="125">
        <v>1.05</v>
      </c>
      <c r="G2" s="190"/>
      <c r="I2" s="190"/>
      <c r="J2" s="189"/>
      <c r="K2" s="190"/>
      <c r="M2" s="190"/>
      <c r="O2" s="25" t="s">
        <v>20</v>
      </c>
      <c r="Q2" s="18">
        <v>14.5</v>
      </c>
      <c r="S2" s="8" t="s">
        <v>658</v>
      </c>
      <c r="U2" s="269" t="s">
        <v>1617</v>
      </c>
      <c r="W2" s="188" t="s">
        <v>17</v>
      </c>
      <c r="X2" s="188" t="s">
        <v>0</v>
      </c>
      <c r="Z2" s="188" t="s">
        <v>43</v>
      </c>
      <c r="AA2" s="188" t="s">
        <v>32</v>
      </c>
      <c r="AC2" s="123">
        <v>1</v>
      </c>
      <c r="AE2" s="6"/>
      <c r="AG2" s="188" t="s">
        <v>1617</v>
      </c>
      <c r="AH2" s="188" t="s">
        <v>22</v>
      </c>
    </row>
    <row r="3" spans="1:34" s="188" customFormat="1" ht="16" customHeight="1" thickTop="1" thickBot="1">
      <c r="A3" s="121" t="s">
        <v>28</v>
      </c>
      <c r="B3" s="6" t="s">
        <v>16</v>
      </c>
      <c r="C3" s="6">
        <v>93600</v>
      </c>
      <c r="D3" s="150">
        <f t="shared" si="0"/>
        <v>89142.857142857145</v>
      </c>
      <c r="E3"/>
      <c r="G3" s="190" t="s">
        <v>1508</v>
      </c>
      <c r="I3" s="190" t="s">
        <v>1863</v>
      </c>
      <c r="J3" s="189"/>
      <c r="K3" s="190" t="s">
        <v>1617</v>
      </c>
      <c r="M3" s="190" t="s">
        <v>1647</v>
      </c>
      <c r="O3" s="24" t="s">
        <v>28</v>
      </c>
      <c r="Q3" s="18">
        <v>14</v>
      </c>
      <c r="S3" s="10" t="s">
        <v>657</v>
      </c>
      <c r="U3" s="269" t="s">
        <v>1863</v>
      </c>
      <c r="W3" s="188" t="s">
        <v>28</v>
      </c>
      <c r="X3" s="188" t="s">
        <v>16</v>
      </c>
      <c r="Z3" s="188" t="s">
        <v>25</v>
      </c>
      <c r="AA3" s="188" t="s">
        <v>11</v>
      </c>
      <c r="AC3" s="91">
        <v>2</v>
      </c>
      <c r="AE3" s="260" t="s">
        <v>1096</v>
      </c>
      <c r="AG3" s="188" t="s">
        <v>1863</v>
      </c>
      <c r="AH3" s="188" t="s">
        <v>18</v>
      </c>
    </row>
    <row r="4" spans="1:34" s="188" customFormat="1" ht="16" customHeight="1" thickTop="1" thickBot="1">
      <c r="A4" s="121" t="s">
        <v>43</v>
      </c>
      <c r="B4" s="6" t="s">
        <v>32</v>
      </c>
      <c r="C4" s="6">
        <v>85200</v>
      </c>
      <c r="D4" s="150">
        <f t="shared" si="0"/>
        <v>81142.857142857145</v>
      </c>
      <c r="E4"/>
      <c r="G4" s="190" t="s">
        <v>1842</v>
      </c>
      <c r="I4" s="190" t="s">
        <v>1816</v>
      </c>
      <c r="J4" s="189"/>
      <c r="K4" s="190" t="s">
        <v>1472</v>
      </c>
      <c r="M4" s="190" t="s">
        <v>1275</v>
      </c>
      <c r="O4" s="25" t="s">
        <v>43</v>
      </c>
      <c r="Q4" s="18">
        <v>10.5</v>
      </c>
      <c r="S4" s="7" t="s">
        <v>656</v>
      </c>
      <c r="U4" s="269" t="s">
        <v>1816</v>
      </c>
      <c r="W4" s="188" t="s">
        <v>33</v>
      </c>
      <c r="X4" s="188" t="s">
        <v>13</v>
      </c>
      <c r="Z4" s="188" t="s">
        <v>23</v>
      </c>
      <c r="AA4" s="188" t="s">
        <v>9</v>
      </c>
      <c r="AC4" s="122">
        <v>3</v>
      </c>
      <c r="AE4" s="260" t="s">
        <v>988</v>
      </c>
      <c r="AG4" s="188" t="s">
        <v>1816</v>
      </c>
      <c r="AH4" s="188" t="s">
        <v>21</v>
      </c>
    </row>
    <row r="5" spans="1:34" s="188" customFormat="1" ht="16" customHeight="1" thickTop="1" thickBot="1">
      <c r="A5" s="121" t="s">
        <v>21</v>
      </c>
      <c r="B5" s="6" t="s">
        <v>7</v>
      </c>
      <c r="C5" s="6">
        <v>83200</v>
      </c>
      <c r="D5" s="150">
        <f t="shared" si="0"/>
        <v>79238.095238095237</v>
      </c>
      <c r="E5"/>
      <c r="G5" s="190" t="s">
        <v>1877</v>
      </c>
      <c r="I5" s="190" t="s">
        <v>1611</v>
      </c>
      <c r="J5" s="189"/>
      <c r="K5" s="190" t="s">
        <v>1690</v>
      </c>
      <c r="M5" s="190" t="s">
        <v>1332</v>
      </c>
      <c r="O5" s="24" t="s">
        <v>21</v>
      </c>
      <c r="Q5" s="18">
        <v>10</v>
      </c>
      <c r="S5" s="5" t="s">
        <v>655</v>
      </c>
      <c r="U5" s="269" t="s">
        <v>1508</v>
      </c>
      <c r="W5" s="188" t="s">
        <v>19</v>
      </c>
      <c r="X5" s="188" t="s">
        <v>4</v>
      </c>
      <c r="Z5" s="188" t="s">
        <v>22</v>
      </c>
      <c r="AA5" s="188" t="s">
        <v>8</v>
      </c>
      <c r="AC5" s="127">
        <v>4</v>
      </c>
      <c r="AE5" s="260" t="s">
        <v>1049</v>
      </c>
      <c r="AG5" s="188" t="s">
        <v>1508</v>
      </c>
      <c r="AH5" s="188" t="s">
        <v>25</v>
      </c>
    </row>
    <row r="6" spans="1:34" s="188" customFormat="1" ht="16" customHeight="1" thickTop="1" thickBot="1">
      <c r="A6" s="121" t="s">
        <v>33</v>
      </c>
      <c r="B6" s="6" t="s">
        <v>13</v>
      </c>
      <c r="C6" s="6">
        <v>85200</v>
      </c>
      <c r="D6" s="150">
        <f t="shared" si="0"/>
        <v>81142.857142857145</v>
      </c>
      <c r="E6" s="6"/>
      <c r="G6" s="190" t="s">
        <v>1386</v>
      </c>
      <c r="I6" s="190" t="s">
        <v>1428</v>
      </c>
      <c r="J6" s="189"/>
      <c r="K6" s="190" t="s">
        <v>1510</v>
      </c>
      <c r="M6" s="190" t="s">
        <v>1473</v>
      </c>
      <c r="O6" s="25" t="s">
        <v>33</v>
      </c>
      <c r="Q6" s="18">
        <v>9</v>
      </c>
      <c r="U6" s="269" t="s">
        <v>1611</v>
      </c>
      <c r="W6" s="188" t="s">
        <v>634</v>
      </c>
      <c r="X6" s="188" t="s">
        <v>1220</v>
      </c>
      <c r="Z6" s="188" t="s">
        <v>27</v>
      </c>
      <c r="AA6" s="188" t="s">
        <v>14</v>
      </c>
      <c r="AC6" s="93">
        <v>5</v>
      </c>
      <c r="AE6" s="260" t="s">
        <v>1055</v>
      </c>
      <c r="AG6" s="188" t="s">
        <v>1611</v>
      </c>
      <c r="AH6" s="188" t="s">
        <v>27</v>
      </c>
    </row>
    <row r="7" spans="1:34" s="188" customFormat="1" ht="16" customHeight="1" thickTop="1" thickBot="1">
      <c r="A7" s="121" t="s">
        <v>22</v>
      </c>
      <c r="B7" s="6" t="s">
        <v>8</v>
      </c>
      <c r="C7" s="6">
        <v>70200</v>
      </c>
      <c r="D7" s="150">
        <f t="shared" si="0"/>
        <v>66857.142857142855</v>
      </c>
      <c r="E7" s="6"/>
      <c r="G7" s="190" t="s">
        <v>1622</v>
      </c>
      <c r="I7" s="190" t="s">
        <v>1742</v>
      </c>
      <c r="J7" s="189"/>
      <c r="K7" s="190" t="s">
        <v>1776</v>
      </c>
      <c r="M7" s="190" t="s">
        <v>1625</v>
      </c>
      <c r="O7" s="24" t="s">
        <v>22</v>
      </c>
      <c r="Q7" s="18">
        <v>8.5</v>
      </c>
      <c r="U7" s="269" t="s">
        <v>1472</v>
      </c>
      <c r="W7" s="188" t="s">
        <v>51</v>
      </c>
      <c r="X7" s="188" t="s">
        <v>5</v>
      </c>
      <c r="Z7" s="188" t="s">
        <v>29</v>
      </c>
      <c r="AA7" s="188" t="s">
        <v>1</v>
      </c>
      <c r="AE7" s="260" t="s">
        <v>992</v>
      </c>
      <c r="AG7" s="188" t="s">
        <v>1472</v>
      </c>
      <c r="AH7" s="188" t="s">
        <v>33</v>
      </c>
    </row>
    <row r="8" spans="1:34" s="188" customFormat="1" ht="16" customHeight="1" thickTop="1" thickBot="1">
      <c r="A8" s="121" t="s">
        <v>18</v>
      </c>
      <c r="B8" s="6" t="s">
        <v>3</v>
      </c>
      <c r="C8" s="6">
        <v>99400</v>
      </c>
      <c r="D8" s="150">
        <f t="shared" si="0"/>
        <v>94666.666666666657</v>
      </c>
      <c r="E8" s="6"/>
      <c r="G8" s="190" t="s">
        <v>1518</v>
      </c>
      <c r="I8" s="190" t="s">
        <v>1694</v>
      </c>
      <c r="J8" s="189"/>
      <c r="K8" s="190" t="s">
        <v>1762</v>
      </c>
      <c r="M8" s="190" t="s">
        <v>1296</v>
      </c>
      <c r="O8" s="25" t="s">
        <v>18</v>
      </c>
      <c r="Q8" s="18">
        <v>8</v>
      </c>
      <c r="U8" s="269" t="s">
        <v>1690</v>
      </c>
      <c r="W8" s="188" t="s">
        <v>18</v>
      </c>
      <c r="X8" s="188" t="s">
        <v>3</v>
      </c>
      <c r="Z8" s="188" t="s">
        <v>26</v>
      </c>
      <c r="AA8" s="188" t="s">
        <v>12</v>
      </c>
      <c r="AE8" s="260" t="s">
        <v>1147</v>
      </c>
      <c r="AG8" s="188" t="s">
        <v>1690</v>
      </c>
      <c r="AH8" s="188" t="s">
        <v>634</v>
      </c>
    </row>
    <row r="9" spans="1:34" s="188" customFormat="1" ht="16" customHeight="1" thickTop="1" thickBot="1">
      <c r="A9" s="121" t="s">
        <v>26</v>
      </c>
      <c r="B9" s="6" t="s">
        <v>12</v>
      </c>
      <c r="C9" s="6">
        <v>83200</v>
      </c>
      <c r="D9" s="150">
        <f t="shared" si="0"/>
        <v>79238.095238095237</v>
      </c>
      <c r="E9"/>
      <c r="G9" s="190" t="s">
        <v>1584</v>
      </c>
      <c r="I9" s="190" t="s">
        <v>1775</v>
      </c>
      <c r="J9" s="189"/>
      <c r="K9" s="190" t="s">
        <v>1339</v>
      </c>
      <c r="M9" s="190" t="s">
        <v>1650</v>
      </c>
      <c r="O9" s="24" t="s">
        <v>26</v>
      </c>
      <c r="Q9" s="18">
        <v>7.5</v>
      </c>
      <c r="U9" s="269" t="s">
        <v>1428</v>
      </c>
      <c r="W9" s="188" t="s">
        <v>52</v>
      </c>
      <c r="X9" s="188" t="s">
        <v>15</v>
      </c>
      <c r="Z9" s="188" t="s">
        <v>21</v>
      </c>
      <c r="AA9" s="188" t="s">
        <v>7</v>
      </c>
      <c r="AE9" s="260" t="s">
        <v>1156</v>
      </c>
      <c r="AG9" s="188" t="s">
        <v>1428</v>
      </c>
      <c r="AH9" s="188" t="s">
        <v>29</v>
      </c>
    </row>
    <row r="10" spans="1:34" s="188" customFormat="1" ht="16" customHeight="1" thickTop="1" thickBot="1">
      <c r="A10" s="121" t="s">
        <v>24</v>
      </c>
      <c r="B10" s="6" t="s">
        <v>10</v>
      </c>
      <c r="C10" s="6">
        <v>83200</v>
      </c>
      <c r="D10" s="150">
        <f t="shared" si="0"/>
        <v>79238.095238095237</v>
      </c>
      <c r="E10"/>
      <c r="G10" s="190" t="s">
        <v>1809</v>
      </c>
      <c r="I10" s="190" t="s">
        <v>1651</v>
      </c>
      <c r="J10" s="189"/>
      <c r="K10" s="190" t="s">
        <v>1327</v>
      </c>
      <c r="M10" s="190" t="s">
        <v>1371</v>
      </c>
      <c r="O10" s="25" t="s">
        <v>24</v>
      </c>
      <c r="Q10" s="18">
        <v>7</v>
      </c>
      <c r="U10" s="269" t="s">
        <v>1742</v>
      </c>
      <c r="W10" s="188" t="s">
        <v>30</v>
      </c>
      <c r="X10" s="188" t="s">
        <v>2</v>
      </c>
      <c r="Z10" s="188" t="s">
        <v>20</v>
      </c>
      <c r="AA10" s="188" t="s">
        <v>6</v>
      </c>
      <c r="AE10" s="260" t="s">
        <v>982</v>
      </c>
      <c r="AG10" s="188" t="s">
        <v>1742</v>
      </c>
      <c r="AH10" s="188" t="s">
        <v>24</v>
      </c>
    </row>
    <row r="11" spans="1:34" s="188" customFormat="1" ht="16" customHeight="1" thickTop="1" thickBot="1">
      <c r="A11" s="121" t="s">
        <v>23</v>
      </c>
      <c r="B11" s="6" t="s">
        <v>9</v>
      </c>
      <c r="C11" s="6">
        <v>85200</v>
      </c>
      <c r="D11" s="150">
        <f t="shared" si="0"/>
        <v>81142.857142857145</v>
      </c>
      <c r="E11"/>
      <c r="G11" s="190" t="s">
        <v>1671</v>
      </c>
      <c r="I11" s="190" t="s">
        <v>1643</v>
      </c>
      <c r="J11" s="189"/>
      <c r="K11" s="190" t="s">
        <v>1551</v>
      </c>
      <c r="M11" s="190" t="s">
        <v>1514</v>
      </c>
      <c r="O11" s="24" t="s">
        <v>23</v>
      </c>
      <c r="Q11" s="18">
        <v>6.5</v>
      </c>
      <c r="U11" s="269" t="s">
        <v>1694</v>
      </c>
      <c r="W11" s="188" t="s">
        <v>633</v>
      </c>
      <c r="X11" s="188" t="s">
        <v>1221</v>
      </c>
      <c r="Z11" s="188" t="s">
        <v>24</v>
      </c>
      <c r="AA11" s="188" t="s">
        <v>10</v>
      </c>
      <c r="AE11" s="260" t="s">
        <v>894</v>
      </c>
      <c r="AG11" s="188" t="s">
        <v>1694</v>
      </c>
      <c r="AH11" s="188" t="s">
        <v>43</v>
      </c>
    </row>
    <row r="12" spans="1:34" s="188" customFormat="1" ht="16" customHeight="1" thickTop="1" thickBot="1">
      <c r="A12" s="121" t="s">
        <v>633</v>
      </c>
      <c r="B12" s="6" t="s">
        <v>1221</v>
      </c>
      <c r="C12" s="6">
        <v>70200</v>
      </c>
      <c r="D12" s="150">
        <f t="shared" si="0"/>
        <v>66857.142857142855</v>
      </c>
      <c r="E12"/>
      <c r="G12" s="190" t="s">
        <v>1795</v>
      </c>
      <c r="I12" s="190" t="s">
        <v>1895</v>
      </c>
      <c r="J12" s="189"/>
      <c r="K12" s="190" t="s">
        <v>1329</v>
      </c>
      <c r="M12" s="190" t="s">
        <v>1289</v>
      </c>
      <c r="O12" s="25" t="s">
        <v>633</v>
      </c>
      <c r="Q12" s="18">
        <v>6</v>
      </c>
      <c r="U12" s="269" t="s">
        <v>1775</v>
      </c>
      <c r="W12" s="188" t="s">
        <v>27</v>
      </c>
      <c r="X12" s="188" t="s">
        <v>14</v>
      </c>
      <c r="Z12" s="188" t="s">
        <v>18</v>
      </c>
      <c r="AA12" s="188" t="s">
        <v>3</v>
      </c>
      <c r="AE12" s="260" t="s">
        <v>943</v>
      </c>
      <c r="AG12" s="188" t="s">
        <v>1775</v>
      </c>
      <c r="AH12" s="188" t="s">
        <v>33</v>
      </c>
    </row>
    <row r="13" spans="1:34" s="188" customFormat="1" ht="16" customHeight="1" thickTop="1" thickBot="1">
      <c r="A13" s="121" t="s">
        <v>17</v>
      </c>
      <c r="B13" s="6" t="s">
        <v>0</v>
      </c>
      <c r="C13" s="6">
        <v>100000</v>
      </c>
      <c r="D13" s="150">
        <f t="shared" si="0"/>
        <v>95238.095238095237</v>
      </c>
      <c r="E13"/>
      <c r="G13" s="190" t="s">
        <v>1885</v>
      </c>
      <c r="I13" s="190" t="s">
        <v>1812</v>
      </c>
      <c r="J13" s="189"/>
      <c r="K13" s="190" t="s">
        <v>1498</v>
      </c>
      <c r="M13" s="190" t="s">
        <v>1648</v>
      </c>
      <c r="O13" s="25" t="s">
        <v>17</v>
      </c>
      <c r="Q13" s="18">
        <v>5.5</v>
      </c>
      <c r="U13" s="269" t="s">
        <v>1510</v>
      </c>
      <c r="W13" s="188" t="s">
        <v>29</v>
      </c>
      <c r="X13" s="188" t="s">
        <v>1</v>
      </c>
      <c r="Z13" s="188" t="s">
        <v>19</v>
      </c>
      <c r="AA13" s="188" t="s">
        <v>4</v>
      </c>
      <c r="AE13" s="260" t="s">
        <v>1056</v>
      </c>
      <c r="AG13" s="188" t="s">
        <v>1510</v>
      </c>
      <c r="AH13" s="188" t="s">
        <v>26</v>
      </c>
    </row>
    <row r="14" spans="1:34" s="188" customFormat="1" ht="16" customHeight="1" thickTop="1" thickBot="1">
      <c r="A14" s="121" t="s">
        <v>29</v>
      </c>
      <c r="B14" s="6" t="s">
        <v>1</v>
      </c>
      <c r="C14" s="6">
        <v>99900</v>
      </c>
      <c r="D14" s="150">
        <f t="shared" si="0"/>
        <v>95142.857142857145</v>
      </c>
      <c r="E14"/>
      <c r="G14" s="190" t="s">
        <v>1618</v>
      </c>
      <c r="I14" s="190" t="s">
        <v>1800</v>
      </c>
      <c r="J14" s="189"/>
      <c r="K14" s="190" t="s">
        <v>1729</v>
      </c>
      <c r="M14" s="190" t="s">
        <v>1665</v>
      </c>
      <c r="O14" s="25" t="s">
        <v>29</v>
      </c>
      <c r="Q14" s="18">
        <v>5</v>
      </c>
      <c r="U14" s="269" t="s">
        <v>1651</v>
      </c>
      <c r="W14" s="188" t="s">
        <v>43</v>
      </c>
      <c r="X14" s="188" t="s">
        <v>32</v>
      </c>
      <c r="Z14" s="188" t="s">
        <v>51</v>
      </c>
      <c r="AA14" s="188" t="s">
        <v>5</v>
      </c>
      <c r="AE14" s="260" t="s">
        <v>1065</v>
      </c>
      <c r="AG14" s="188" t="s">
        <v>1651</v>
      </c>
      <c r="AH14" s="188" t="s">
        <v>18</v>
      </c>
    </row>
    <row r="15" spans="1:34" s="188" customFormat="1" ht="16" customHeight="1" thickTop="1" thickBot="1">
      <c r="A15" s="121" t="s">
        <v>30</v>
      </c>
      <c r="B15" s="6" t="s">
        <v>2</v>
      </c>
      <c r="C15" s="6">
        <v>97400</v>
      </c>
      <c r="D15" s="150">
        <f t="shared" si="0"/>
        <v>92761.904761904763</v>
      </c>
      <c r="E15"/>
      <c r="G15" s="190" t="s">
        <v>1807</v>
      </c>
      <c r="I15" s="190" t="s">
        <v>1886</v>
      </c>
      <c r="J15" s="189"/>
      <c r="K15" s="190" t="s">
        <v>1691</v>
      </c>
      <c r="M15" s="190" t="s">
        <v>1317</v>
      </c>
      <c r="O15" s="24" t="s">
        <v>84</v>
      </c>
      <c r="Q15" s="18">
        <v>4.5</v>
      </c>
      <c r="U15" s="269" t="s">
        <v>1776</v>
      </c>
      <c r="W15" s="188" t="s">
        <v>21</v>
      </c>
      <c r="X15" s="188" t="s">
        <v>7</v>
      </c>
      <c r="Z15" s="188" t="s">
        <v>28</v>
      </c>
      <c r="AA15" s="188" t="s">
        <v>16</v>
      </c>
      <c r="AE15" s="260" t="s">
        <v>891</v>
      </c>
      <c r="AG15" s="188" t="s">
        <v>1776</v>
      </c>
      <c r="AH15" s="188" t="s">
        <v>33</v>
      </c>
    </row>
    <row r="16" spans="1:34" s="188" customFormat="1" ht="16" customHeight="1" thickTop="1" thickBot="1">
      <c r="A16" s="121" t="s">
        <v>25</v>
      </c>
      <c r="B16" s="6" t="s">
        <v>11</v>
      </c>
      <c r="C16" s="6">
        <v>95200</v>
      </c>
      <c r="D16" s="150">
        <f t="shared" si="0"/>
        <v>90666.666666666657</v>
      </c>
      <c r="E16"/>
      <c r="G16" s="190" t="s">
        <v>1496</v>
      </c>
      <c r="I16" s="190" t="s">
        <v>1813</v>
      </c>
      <c r="J16" s="189"/>
      <c r="K16" s="190" t="s">
        <v>1300</v>
      </c>
      <c r="M16" s="190" t="s">
        <v>1987</v>
      </c>
      <c r="O16" s="25" t="s">
        <v>25</v>
      </c>
      <c r="Q16" s="18">
        <v>4</v>
      </c>
      <c r="U16" s="269" t="s">
        <v>1643</v>
      </c>
      <c r="W16" s="188" t="s">
        <v>22</v>
      </c>
      <c r="X16" s="188" t="s">
        <v>8</v>
      </c>
      <c r="Z16" s="188" t="s">
        <v>634</v>
      </c>
      <c r="AA16" s="188" t="s">
        <v>1220</v>
      </c>
      <c r="AE16" s="260" t="s">
        <v>942</v>
      </c>
      <c r="AG16" s="188" t="s">
        <v>1643</v>
      </c>
      <c r="AH16" s="188" t="s">
        <v>43</v>
      </c>
    </row>
    <row r="17" spans="1:34" s="188" customFormat="1" ht="16" customHeight="1" thickTop="1" thickBot="1">
      <c r="A17" s="121" t="s">
        <v>52</v>
      </c>
      <c r="B17" s="6" t="s">
        <v>15</v>
      </c>
      <c r="C17" s="6">
        <v>85200</v>
      </c>
      <c r="D17" s="150">
        <f t="shared" si="0"/>
        <v>81142.857142857145</v>
      </c>
      <c r="E17"/>
      <c r="G17" s="190" t="s">
        <v>1876</v>
      </c>
      <c r="I17" s="190" t="s">
        <v>1356</v>
      </c>
      <c r="J17" s="189"/>
      <c r="K17" s="190" t="s">
        <v>1297</v>
      </c>
      <c r="M17" s="190" t="s">
        <v>1292</v>
      </c>
      <c r="O17" s="24" t="s">
        <v>88</v>
      </c>
      <c r="Q17" s="189"/>
      <c r="U17" s="269" t="s">
        <v>1647</v>
      </c>
      <c r="W17" s="188" t="s">
        <v>20</v>
      </c>
      <c r="X17" s="188" t="s">
        <v>6</v>
      </c>
      <c r="Z17" s="188" t="s">
        <v>633</v>
      </c>
      <c r="AA17" s="188" t="s">
        <v>1221</v>
      </c>
      <c r="AE17" s="260" t="s">
        <v>994</v>
      </c>
      <c r="AG17" s="188" t="s">
        <v>1647</v>
      </c>
      <c r="AH17" s="188" t="s">
        <v>634</v>
      </c>
    </row>
    <row r="18" spans="1:34" s="188" customFormat="1" ht="16" customHeight="1" thickTop="1" thickBot="1">
      <c r="A18" s="121" t="s">
        <v>634</v>
      </c>
      <c r="B18" s="6" t="s">
        <v>1220</v>
      </c>
      <c r="C18" s="6">
        <v>70200</v>
      </c>
      <c r="D18" s="150">
        <f t="shared" si="0"/>
        <v>66857.142857142855</v>
      </c>
      <c r="E18"/>
      <c r="G18" s="190" t="s">
        <v>1846</v>
      </c>
      <c r="I18" s="190" t="s">
        <v>1484</v>
      </c>
      <c r="J18" s="189"/>
      <c r="K18" s="190" t="s">
        <v>1301</v>
      </c>
      <c r="M18" s="190" t="s">
        <v>1410</v>
      </c>
      <c r="O18" s="25" t="s">
        <v>634</v>
      </c>
      <c r="Q18" s="189"/>
      <c r="U18" s="269" t="s">
        <v>1895</v>
      </c>
      <c r="W18" s="188" t="s">
        <v>26</v>
      </c>
      <c r="X18" s="188" t="s">
        <v>12</v>
      </c>
      <c r="Z18" s="188" t="s">
        <v>52</v>
      </c>
      <c r="AA18" s="188" t="s">
        <v>15</v>
      </c>
      <c r="AE18" s="260" t="s">
        <v>1985</v>
      </c>
      <c r="AG18" s="188" t="s">
        <v>1895</v>
      </c>
      <c r="AH18" s="188" t="s">
        <v>634</v>
      </c>
    </row>
    <row r="19" spans="1:34" s="188" customFormat="1" ht="16" customHeight="1" thickTop="1" thickBot="1">
      <c r="A19" s="121" t="s">
        <v>19</v>
      </c>
      <c r="B19" s="6" t="s">
        <v>4</v>
      </c>
      <c r="C19" s="6">
        <v>97400</v>
      </c>
      <c r="D19" s="150">
        <f t="shared" si="0"/>
        <v>92761.904761904763</v>
      </c>
      <c r="E19"/>
      <c r="G19" s="190" t="s">
        <v>1848</v>
      </c>
      <c r="I19" s="190" t="s">
        <v>1890</v>
      </c>
      <c r="J19" s="189"/>
      <c r="K19" s="190" t="s">
        <v>1531</v>
      </c>
      <c r="M19" s="190" t="s">
        <v>1640</v>
      </c>
      <c r="O19" s="24" t="s">
        <v>19</v>
      </c>
      <c r="Q19" s="189"/>
      <c r="U19" s="269" t="s">
        <v>1762</v>
      </c>
      <c r="W19" s="188" t="s">
        <v>24</v>
      </c>
      <c r="X19" s="188" t="s">
        <v>10</v>
      </c>
      <c r="Z19" s="188" t="s">
        <v>33</v>
      </c>
      <c r="AA19" s="188" t="s">
        <v>13</v>
      </c>
      <c r="AE19" s="260" t="s">
        <v>1050</v>
      </c>
      <c r="AG19" s="188" t="s">
        <v>1762</v>
      </c>
      <c r="AH19" s="188" t="s">
        <v>634</v>
      </c>
    </row>
    <row r="20" spans="1:34" s="188" customFormat="1" ht="16" customHeight="1" thickTop="1" thickBot="1">
      <c r="A20" s="121" t="s">
        <v>27</v>
      </c>
      <c r="B20" s="6" t="s">
        <v>14</v>
      </c>
      <c r="C20" s="6">
        <v>83200</v>
      </c>
      <c r="D20" s="150">
        <f t="shared" si="0"/>
        <v>79238.095238095237</v>
      </c>
      <c r="E20"/>
      <c r="G20" s="190" t="s">
        <v>1614</v>
      </c>
      <c r="I20" s="190" t="s">
        <v>1796</v>
      </c>
      <c r="J20" s="189"/>
      <c r="K20" s="190" t="s">
        <v>1443</v>
      </c>
      <c r="M20" s="190" t="s">
        <v>1429</v>
      </c>
      <c r="O20" s="25" t="s">
        <v>27</v>
      </c>
      <c r="Q20" s="189"/>
      <c r="U20" s="269" t="s">
        <v>1339</v>
      </c>
      <c r="W20" s="188" t="s">
        <v>23</v>
      </c>
      <c r="X20" s="188" t="s">
        <v>9</v>
      </c>
      <c r="Z20" s="188" t="s">
        <v>30</v>
      </c>
      <c r="AA20" s="188" t="s">
        <v>2</v>
      </c>
      <c r="AE20" s="260" t="s">
        <v>1983</v>
      </c>
      <c r="AG20" s="188" t="s">
        <v>1339</v>
      </c>
      <c r="AH20" s="188" t="s">
        <v>30</v>
      </c>
    </row>
    <row r="21" spans="1:34" s="188" customFormat="1" ht="16" customHeight="1" thickTop="1" thickBot="1">
      <c r="A21" s="121" t="s">
        <v>51</v>
      </c>
      <c r="B21" s="6" t="s">
        <v>5</v>
      </c>
      <c r="C21" s="6">
        <v>75200</v>
      </c>
      <c r="D21" s="150">
        <f t="shared" si="0"/>
        <v>71619.047619047618</v>
      </c>
      <c r="E21"/>
      <c r="G21" s="190" t="s">
        <v>1808</v>
      </c>
      <c r="I21" s="190" t="s">
        <v>1801</v>
      </c>
      <c r="J21" s="189"/>
      <c r="K21" s="190" t="s">
        <v>1530</v>
      </c>
      <c r="M21" s="190" t="s">
        <v>1471</v>
      </c>
      <c r="O21" s="24" t="s">
        <v>51</v>
      </c>
      <c r="Q21" s="189"/>
      <c r="U21" s="269" t="s">
        <v>1842</v>
      </c>
      <c r="W21" s="188" t="s">
        <v>25</v>
      </c>
      <c r="X21" s="188" t="s">
        <v>11</v>
      </c>
      <c r="Z21" s="188" t="s">
        <v>17</v>
      </c>
      <c r="AA21" s="188" t="s">
        <v>0</v>
      </c>
      <c r="AE21" s="260" t="s">
        <v>938</v>
      </c>
      <c r="AG21" s="188" t="s">
        <v>1842</v>
      </c>
      <c r="AH21" s="188" t="s">
        <v>633</v>
      </c>
    </row>
    <row r="22" spans="1:34" s="188" customFormat="1" ht="16" customHeight="1" thickTop="1" thickBot="1">
      <c r="B22" s="6"/>
      <c r="C22" s="6"/>
      <c r="D22" s="9"/>
      <c r="G22" s="190" t="s">
        <v>1382</v>
      </c>
      <c r="I22" s="190" t="s">
        <v>1745</v>
      </c>
      <c r="J22" s="189"/>
      <c r="K22" s="190" t="s">
        <v>1546</v>
      </c>
      <c r="M22" s="190" t="s">
        <v>1273</v>
      </c>
      <c r="U22" s="269" t="s">
        <v>1327</v>
      </c>
      <c r="W22" s="188" t="s">
        <v>18</v>
      </c>
      <c r="X22" s="188" t="s">
        <v>3</v>
      </c>
      <c r="Z22" s="188" t="s">
        <v>23</v>
      </c>
      <c r="AA22" s="188" t="s">
        <v>9</v>
      </c>
      <c r="AE22" s="260" t="s">
        <v>1193</v>
      </c>
      <c r="AG22" s="188" t="s">
        <v>1327</v>
      </c>
      <c r="AH22" s="188" t="s">
        <v>23</v>
      </c>
    </row>
    <row r="23" spans="1:34" s="188" customFormat="1" ht="16" customHeight="1" thickTop="1" thickBot="1">
      <c r="B23" s="6"/>
      <c r="C23" s="6"/>
      <c r="D23" s="9"/>
      <c r="G23" s="190" t="s">
        <v>1481</v>
      </c>
      <c r="I23" s="190" t="s">
        <v>1861</v>
      </c>
      <c r="J23" s="189"/>
      <c r="K23" s="190" t="s">
        <v>1739</v>
      </c>
      <c r="M23" s="190" t="s">
        <v>1344</v>
      </c>
      <c r="U23" s="269" t="s">
        <v>1812</v>
      </c>
      <c r="W23" s="188" t="s">
        <v>30</v>
      </c>
      <c r="X23" s="188" t="s">
        <v>2</v>
      </c>
      <c r="Z23" s="188" t="s">
        <v>22</v>
      </c>
      <c r="AA23" s="188" t="s">
        <v>8</v>
      </c>
      <c r="AE23" s="260" t="s">
        <v>837</v>
      </c>
      <c r="AG23" s="188" t="s">
        <v>1812</v>
      </c>
      <c r="AH23" s="188" t="s">
        <v>25</v>
      </c>
    </row>
    <row r="24" spans="1:34" s="188" customFormat="1" ht="16" customHeight="1" thickTop="1" thickBot="1">
      <c r="B24" s="6"/>
      <c r="C24" s="6"/>
      <c r="D24" s="9"/>
      <c r="G24" s="190" t="s">
        <v>1887</v>
      </c>
      <c r="I24" s="190" t="s">
        <v>1763</v>
      </c>
      <c r="J24" s="189"/>
      <c r="K24" s="190" t="s">
        <v>1676</v>
      </c>
      <c r="M24" s="190" t="s">
        <v>1305</v>
      </c>
      <c r="U24" s="269" t="s">
        <v>1877</v>
      </c>
      <c r="W24" s="188" t="s">
        <v>634</v>
      </c>
      <c r="X24" s="188" t="s">
        <v>1220</v>
      </c>
      <c r="Z24" s="188" t="s">
        <v>21</v>
      </c>
      <c r="AA24" s="188" t="s">
        <v>7</v>
      </c>
      <c r="AE24" s="260" t="s">
        <v>1042</v>
      </c>
      <c r="AG24" s="188" t="s">
        <v>1877</v>
      </c>
      <c r="AH24" s="188" t="s">
        <v>43</v>
      </c>
    </row>
    <row r="25" spans="1:34" s="188" customFormat="1" ht="16" customHeight="1" thickTop="1" thickBot="1">
      <c r="B25" s="6"/>
      <c r="C25" s="6"/>
      <c r="D25" s="9"/>
      <c r="G25" s="190" t="s">
        <v>1624</v>
      </c>
      <c r="I25" s="190" t="s">
        <v>1835</v>
      </c>
      <c r="J25" s="189"/>
      <c r="K25" s="190" t="s">
        <v>1607</v>
      </c>
      <c r="M25" s="190" t="s">
        <v>1282</v>
      </c>
      <c r="U25" s="269" t="s">
        <v>1551</v>
      </c>
      <c r="W25" s="188" t="s">
        <v>19</v>
      </c>
      <c r="X25" s="188" t="s">
        <v>4</v>
      </c>
      <c r="Z25" s="188" t="s">
        <v>43</v>
      </c>
      <c r="AA25" s="188" t="s">
        <v>32</v>
      </c>
      <c r="AE25" s="260" t="s">
        <v>1980</v>
      </c>
      <c r="AG25" s="188" t="s">
        <v>1551</v>
      </c>
      <c r="AH25" s="188" t="s">
        <v>43</v>
      </c>
    </row>
    <row r="26" spans="1:34" s="188" customFormat="1" ht="16" customHeight="1" thickTop="1" thickBot="1">
      <c r="B26" s="6"/>
      <c r="C26" s="6"/>
      <c r="D26" s="9"/>
      <c r="G26" s="190" t="s">
        <v>1836</v>
      </c>
      <c r="I26" s="190" t="s">
        <v>1852</v>
      </c>
      <c r="J26" s="189"/>
      <c r="K26" s="190" t="s">
        <v>1724</v>
      </c>
      <c r="M26" s="190" t="s">
        <v>743</v>
      </c>
      <c r="U26" s="269" t="s">
        <v>1275</v>
      </c>
      <c r="W26" s="188" t="s">
        <v>51</v>
      </c>
      <c r="X26" s="188" t="s">
        <v>5</v>
      </c>
      <c r="Z26" s="188" t="s">
        <v>24</v>
      </c>
      <c r="AA26" s="188" t="s">
        <v>10</v>
      </c>
      <c r="AE26" s="260" t="s">
        <v>1194</v>
      </c>
      <c r="AG26" s="188" t="s">
        <v>1275</v>
      </c>
      <c r="AH26" s="188" t="s">
        <v>25</v>
      </c>
    </row>
    <row r="27" spans="1:34" s="188" customFormat="1" ht="16" customHeight="1" thickTop="1" thickBot="1">
      <c r="B27" s="6"/>
      <c r="C27" s="6"/>
      <c r="D27" s="9"/>
      <c r="G27" s="190" t="s">
        <v>1512</v>
      </c>
      <c r="I27" s="190" t="s">
        <v>1412</v>
      </c>
      <c r="J27" s="189"/>
      <c r="K27" s="190" t="s">
        <v>1553</v>
      </c>
      <c r="M27" s="190" t="s">
        <v>1661</v>
      </c>
      <c r="U27" s="269" t="s">
        <v>1329</v>
      </c>
      <c r="W27" s="188" t="s">
        <v>633</v>
      </c>
      <c r="X27" s="188" t="s">
        <v>1221</v>
      </c>
      <c r="Z27" s="188" t="s">
        <v>25</v>
      </c>
      <c r="AA27" s="188" t="s">
        <v>11</v>
      </c>
      <c r="AE27" s="6"/>
      <c r="AG27" s="188" t="s">
        <v>1329</v>
      </c>
      <c r="AH27" s="188" t="s">
        <v>17</v>
      </c>
    </row>
    <row r="28" spans="1:34" s="188" customFormat="1" ht="16" customHeight="1" thickTop="1" thickBot="1">
      <c r="B28" s="6"/>
      <c r="C28" s="6"/>
      <c r="D28" s="9"/>
      <c r="G28" s="190" t="s">
        <v>1824</v>
      </c>
      <c r="I28" s="190" t="s">
        <v>1736</v>
      </c>
      <c r="J28" s="189"/>
      <c r="K28" s="190" t="s">
        <v>1533</v>
      </c>
      <c r="M28" s="190" t="s">
        <v>1283</v>
      </c>
      <c r="U28" s="269" t="s">
        <v>1800</v>
      </c>
      <c r="W28" s="188" t="s">
        <v>33</v>
      </c>
      <c r="X28" s="188" t="s">
        <v>13</v>
      </c>
      <c r="Z28" s="188" t="s">
        <v>29</v>
      </c>
      <c r="AA28" s="188" t="s">
        <v>1</v>
      </c>
      <c r="AE28" s="6"/>
      <c r="AG28" s="188" t="s">
        <v>1800</v>
      </c>
      <c r="AH28" s="188" t="s">
        <v>51</v>
      </c>
    </row>
    <row r="29" spans="1:34" s="188" customFormat="1" ht="16" customHeight="1" thickTop="1" thickBot="1">
      <c r="B29" s="6"/>
      <c r="C29" s="6"/>
      <c r="D29" s="9"/>
      <c r="G29" s="190" t="s">
        <v>1702</v>
      </c>
      <c r="I29" s="190" t="s">
        <v>1860</v>
      </c>
      <c r="J29" s="189"/>
      <c r="K29" s="190" t="s">
        <v>1447</v>
      </c>
      <c r="M29" s="190" t="s">
        <v>1707</v>
      </c>
      <c r="U29" s="269" t="s">
        <v>1386</v>
      </c>
      <c r="W29" s="188" t="s">
        <v>52</v>
      </c>
      <c r="X29" s="188" t="s">
        <v>15</v>
      </c>
      <c r="Z29" s="188" t="s">
        <v>27</v>
      </c>
      <c r="AA29" s="188" t="s">
        <v>14</v>
      </c>
      <c r="AE29" s="6"/>
      <c r="AG29" s="188" t="s">
        <v>1386</v>
      </c>
      <c r="AH29" s="188" t="s">
        <v>17</v>
      </c>
    </row>
    <row r="30" spans="1:34" s="188" customFormat="1" ht="16" customHeight="1" thickTop="1" thickBot="1">
      <c r="B30" s="6"/>
      <c r="C30" s="6"/>
      <c r="D30" s="9"/>
      <c r="G30" s="190" t="s">
        <v>1884</v>
      </c>
      <c r="I30" s="190" t="s">
        <v>1751</v>
      </c>
      <c r="J30" s="189"/>
      <c r="K30" s="190" t="s">
        <v>1453</v>
      </c>
      <c r="M30" s="190" t="s">
        <v>1291</v>
      </c>
      <c r="U30" s="269" t="s">
        <v>1622</v>
      </c>
      <c r="W30" s="188" t="s">
        <v>17</v>
      </c>
      <c r="X30" s="188" t="s">
        <v>0</v>
      </c>
      <c r="Z30" s="188" t="s">
        <v>20</v>
      </c>
      <c r="AA30" s="188" t="s">
        <v>6</v>
      </c>
      <c r="AE30" s="6"/>
      <c r="AG30" s="188" t="s">
        <v>1622</v>
      </c>
      <c r="AH30" s="188" t="s">
        <v>27</v>
      </c>
    </row>
    <row r="31" spans="1:34" s="188" customFormat="1" ht="16" customHeight="1" thickTop="1" thickBot="1">
      <c r="B31" s="6"/>
      <c r="C31" s="6"/>
      <c r="D31" s="9"/>
      <c r="G31" s="190" t="s">
        <v>1879</v>
      </c>
      <c r="I31" s="190" t="s">
        <v>1570</v>
      </c>
      <c r="J31" s="189"/>
      <c r="K31" s="190" t="s">
        <v>1303</v>
      </c>
      <c r="M31" s="190" t="s">
        <v>1324</v>
      </c>
      <c r="U31" s="269" t="s">
        <v>1518</v>
      </c>
      <c r="W31" s="188" t="s">
        <v>28</v>
      </c>
      <c r="X31" s="188" t="s">
        <v>16</v>
      </c>
      <c r="Z31" s="188" t="s">
        <v>26</v>
      </c>
      <c r="AA31" s="188" t="s">
        <v>12</v>
      </c>
      <c r="AE31" s="6"/>
      <c r="AG31" s="188" t="s">
        <v>1518</v>
      </c>
      <c r="AH31" s="188" t="s">
        <v>30</v>
      </c>
    </row>
    <row r="32" spans="1:34" s="188" customFormat="1" ht="16" customHeight="1" thickTop="1" thickBot="1">
      <c r="B32" s="6"/>
      <c r="C32" s="6"/>
      <c r="D32" s="9"/>
      <c r="G32" s="190" t="s">
        <v>1658</v>
      </c>
      <c r="I32" s="190" t="s">
        <v>1880</v>
      </c>
      <c r="J32" s="189"/>
      <c r="K32" s="190" t="s">
        <v>1279</v>
      </c>
      <c r="M32" s="190" t="s">
        <v>1288</v>
      </c>
      <c r="U32" s="269" t="s">
        <v>1498</v>
      </c>
      <c r="W32" s="188" t="s">
        <v>20</v>
      </c>
      <c r="X32" s="188" t="s">
        <v>6</v>
      </c>
      <c r="Z32" s="188" t="s">
        <v>52</v>
      </c>
      <c r="AA32" s="188" t="s">
        <v>15</v>
      </c>
      <c r="AE32" s="6"/>
      <c r="AG32" s="188" t="s">
        <v>1498</v>
      </c>
      <c r="AH32" s="188" t="s">
        <v>28</v>
      </c>
    </row>
    <row r="33" spans="2:34" s="188" customFormat="1" ht="16" customHeight="1" thickTop="1" thickBot="1">
      <c r="B33" s="6"/>
      <c r="C33" s="6"/>
      <c r="D33" s="9"/>
      <c r="G33" s="190" t="s">
        <v>1486</v>
      </c>
      <c r="I33" s="190" t="s">
        <v>1663</v>
      </c>
      <c r="J33" s="189"/>
      <c r="K33" s="190" t="s">
        <v>1284</v>
      </c>
      <c r="M33" s="190" t="s">
        <v>1399</v>
      </c>
      <c r="U33" s="269" t="s">
        <v>1886</v>
      </c>
      <c r="W33" s="188" t="s">
        <v>43</v>
      </c>
      <c r="X33" s="188" t="s">
        <v>32</v>
      </c>
      <c r="Z33" s="188" t="s">
        <v>33</v>
      </c>
      <c r="AA33" s="188" t="s">
        <v>13</v>
      </c>
      <c r="AE33" s="6"/>
      <c r="AG33" s="188" t="s">
        <v>1886</v>
      </c>
      <c r="AH33" s="188" t="s">
        <v>17</v>
      </c>
    </row>
    <row r="34" spans="2:34" s="188" customFormat="1" ht="16" customHeight="1" thickTop="1" thickBot="1">
      <c r="B34" s="6"/>
      <c r="C34" s="6"/>
      <c r="D34" s="9"/>
      <c r="G34" s="190" t="s">
        <v>1804</v>
      </c>
      <c r="I34" s="190" t="s">
        <v>1868</v>
      </c>
      <c r="J34" s="189"/>
      <c r="K34" s="190" t="s">
        <v>1276</v>
      </c>
      <c r="M34" s="190" t="s">
        <v>1318</v>
      </c>
      <c r="U34" s="269" t="s">
        <v>1332</v>
      </c>
      <c r="W34" s="188" t="s">
        <v>26</v>
      </c>
      <c r="X34" s="188" t="s">
        <v>12</v>
      </c>
      <c r="Z34" s="188" t="s">
        <v>634</v>
      </c>
      <c r="AA34" s="188" t="s">
        <v>1220</v>
      </c>
      <c r="AE34" s="6"/>
      <c r="AG34" s="188" t="s">
        <v>1332</v>
      </c>
      <c r="AH34" s="188" t="s">
        <v>19</v>
      </c>
    </row>
    <row r="35" spans="2:34" s="188" customFormat="1" ht="16" customHeight="1" thickTop="1" thickBot="1">
      <c r="B35" s="6"/>
      <c r="C35" s="6"/>
      <c r="D35" s="9"/>
      <c r="G35" s="190" t="s">
        <v>1882</v>
      </c>
      <c r="I35" s="190" t="s">
        <v>1806</v>
      </c>
      <c r="J35" s="189"/>
      <c r="K35" s="190" t="s">
        <v>1743</v>
      </c>
      <c r="M35" s="190" t="s">
        <v>1367</v>
      </c>
      <c r="U35" s="269" t="s">
        <v>1584</v>
      </c>
      <c r="W35" s="188" t="s">
        <v>24</v>
      </c>
      <c r="X35" s="188" t="s">
        <v>10</v>
      </c>
      <c r="Z35" s="188" t="s">
        <v>28</v>
      </c>
      <c r="AA35" s="188" t="s">
        <v>16</v>
      </c>
      <c r="AE35" s="6"/>
      <c r="AG35" s="188" t="s">
        <v>1584</v>
      </c>
      <c r="AH35" s="188" t="s">
        <v>30</v>
      </c>
    </row>
    <row r="36" spans="2:34" s="188" customFormat="1" ht="16" customHeight="1" thickTop="1" thickBot="1">
      <c r="B36" s="6"/>
      <c r="C36" s="6"/>
      <c r="D36" s="9"/>
      <c r="G36" s="190" t="s">
        <v>1644</v>
      </c>
      <c r="I36" s="190" t="s">
        <v>1854</v>
      </c>
      <c r="J36" s="189"/>
      <c r="K36" s="190" t="s">
        <v>1357</v>
      </c>
      <c r="M36" s="190" t="s">
        <v>1298</v>
      </c>
      <c r="U36" s="269" t="s">
        <v>1813</v>
      </c>
      <c r="W36" s="188" t="s">
        <v>23</v>
      </c>
      <c r="X36" s="188" t="s">
        <v>9</v>
      </c>
      <c r="Z36" s="188" t="s">
        <v>633</v>
      </c>
      <c r="AA36" s="188" t="s">
        <v>1221</v>
      </c>
      <c r="AE36" s="6"/>
      <c r="AG36" s="188" t="s">
        <v>1813</v>
      </c>
      <c r="AH36" s="188" t="s">
        <v>28</v>
      </c>
    </row>
    <row r="37" spans="2:34" s="188" customFormat="1" ht="16" customHeight="1" thickTop="1" thickBot="1">
      <c r="B37" s="6"/>
      <c r="C37" s="6"/>
      <c r="D37" s="9"/>
      <c r="G37" s="190" t="s">
        <v>1491</v>
      </c>
      <c r="I37" s="190" t="s">
        <v>1834</v>
      </c>
      <c r="J37" s="189"/>
      <c r="K37" s="190" t="s">
        <v>1716</v>
      </c>
      <c r="M37" s="190" t="s">
        <v>1789</v>
      </c>
      <c r="U37" s="269" t="s">
        <v>1729</v>
      </c>
      <c r="W37" s="188" t="s">
        <v>25</v>
      </c>
      <c r="X37" s="188" t="s">
        <v>11</v>
      </c>
      <c r="Z37" s="188" t="s">
        <v>51</v>
      </c>
      <c r="AA37" s="188" t="s">
        <v>5</v>
      </c>
      <c r="AE37" s="6"/>
      <c r="AG37" s="188" t="s">
        <v>1729</v>
      </c>
      <c r="AH37" s="188" t="s">
        <v>33</v>
      </c>
    </row>
    <row r="38" spans="2:34" s="188" customFormat="1" ht="16" customHeight="1" thickTop="1" thickBot="1">
      <c r="B38" s="6"/>
      <c r="C38" s="6"/>
      <c r="D38" s="9"/>
      <c r="G38" s="190" t="s">
        <v>1662</v>
      </c>
      <c r="I38" s="190" t="s">
        <v>1637</v>
      </c>
      <c r="J38" s="189"/>
      <c r="K38" s="190" t="s">
        <v>1586</v>
      </c>
      <c r="M38" s="190" t="s">
        <v>1320</v>
      </c>
      <c r="U38" s="269" t="s">
        <v>1356</v>
      </c>
      <c r="W38" s="188" t="s">
        <v>27</v>
      </c>
      <c r="X38" s="188" t="s">
        <v>14</v>
      </c>
      <c r="Z38" s="188" t="s">
        <v>19</v>
      </c>
      <c r="AA38" s="188" t="s">
        <v>4</v>
      </c>
      <c r="AE38" s="6"/>
      <c r="AG38" s="188" t="s">
        <v>1356</v>
      </c>
      <c r="AH38" s="188" t="s">
        <v>17</v>
      </c>
    </row>
    <row r="39" spans="2:34" s="188" customFormat="1" ht="16" customHeight="1" thickTop="1" thickBot="1">
      <c r="B39" s="6"/>
      <c r="C39" s="6"/>
      <c r="D39" s="9"/>
      <c r="G39" s="190" t="s">
        <v>1384</v>
      </c>
      <c r="I39" s="190" t="s">
        <v>1734</v>
      </c>
      <c r="J39" s="189"/>
      <c r="K39" s="190" t="s">
        <v>1435</v>
      </c>
      <c r="M39" s="190" t="s">
        <v>1516</v>
      </c>
      <c r="U39" s="269" t="s">
        <v>1691</v>
      </c>
      <c r="W39" s="188" t="s">
        <v>21</v>
      </c>
      <c r="X39" s="188" t="s">
        <v>7</v>
      </c>
      <c r="Z39" s="188" t="s">
        <v>18</v>
      </c>
      <c r="AA39" s="188" t="s">
        <v>3</v>
      </c>
      <c r="AE39" s="6"/>
      <c r="AG39" s="188" t="s">
        <v>1691</v>
      </c>
      <c r="AH39" s="188" t="s">
        <v>27</v>
      </c>
    </row>
    <row r="40" spans="2:34" s="188" customFormat="1" ht="16" customHeight="1" thickTop="1" thickBot="1">
      <c r="B40" s="6"/>
      <c r="C40" s="6"/>
      <c r="D40" s="9"/>
      <c r="G40" s="190" t="s">
        <v>1878</v>
      </c>
      <c r="I40" s="190" t="s">
        <v>1520</v>
      </c>
      <c r="J40" s="189"/>
      <c r="K40" s="190" t="s">
        <v>1482</v>
      </c>
      <c r="M40" s="190" t="s">
        <v>1527</v>
      </c>
      <c r="U40" s="269" t="s">
        <v>1809</v>
      </c>
      <c r="W40" s="188" t="s">
        <v>22</v>
      </c>
      <c r="X40" s="188" t="s">
        <v>8</v>
      </c>
      <c r="Z40" s="188" t="s">
        <v>17</v>
      </c>
      <c r="AA40" s="188" t="s">
        <v>0</v>
      </c>
      <c r="AE40" s="6"/>
      <c r="AG40" s="188" t="s">
        <v>1809</v>
      </c>
      <c r="AH40" s="188" t="s">
        <v>52</v>
      </c>
    </row>
    <row r="41" spans="2:34" s="188" customFormat="1" ht="16" customHeight="1" thickTop="1" thickBot="1">
      <c r="B41" s="6"/>
      <c r="C41" s="6"/>
      <c r="D41" s="9"/>
      <c r="G41" s="190" t="s">
        <v>1794</v>
      </c>
      <c r="I41" s="190" t="s">
        <v>1442</v>
      </c>
      <c r="J41" s="189"/>
      <c r="K41" s="190" t="s">
        <v>1438</v>
      </c>
      <c r="M41" s="190" t="s">
        <v>1362</v>
      </c>
      <c r="U41" s="269" t="s">
        <v>1300</v>
      </c>
      <c r="W41" s="188" t="s">
        <v>29</v>
      </c>
      <c r="X41" s="188" t="s">
        <v>1</v>
      </c>
      <c r="Z41" s="188" t="s">
        <v>30</v>
      </c>
      <c r="AA41" s="188" t="s">
        <v>2</v>
      </c>
      <c r="AE41" s="6"/>
      <c r="AG41" s="188" t="s">
        <v>1300</v>
      </c>
      <c r="AH41" s="188" t="s">
        <v>25</v>
      </c>
    </row>
    <row r="42" spans="2:34" s="188" customFormat="1" ht="16" customHeight="1" thickTop="1" thickBot="1">
      <c r="B42" s="6"/>
      <c r="C42" s="6"/>
      <c r="D42" s="9"/>
      <c r="G42" s="190" t="s">
        <v>1642</v>
      </c>
      <c r="I42" s="190" t="s">
        <v>2013</v>
      </c>
      <c r="J42" s="189"/>
      <c r="K42" s="190" t="s">
        <v>1605</v>
      </c>
      <c r="M42" s="190" t="s">
        <v>1684</v>
      </c>
      <c r="U42" s="269" t="s">
        <v>1297</v>
      </c>
      <c r="W42" s="188" t="s">
        <v>17</v>
      </c>
      <c r="X42" s="188" t="s">
        <v>0</v>
      </c>
      <c r="Z42" s="188" t="s">
        <v>24</v>
      </c>
      <c r="AA42" s="188" t="s">
        <v>10</v>
      </c>
      <c r="AE42" s="6"/>
      <c r="AG42" s="188" t="s">
        <v>1297</v>
      </c>
      <c r="AH42" s="188" t="s">
        <v>25</v>
      </c>
    </row>
    <row r="43" spans="2:34" s="188" customFormat="1" ht="16" customHeight="1" thickTop="1" thickBot="1">
      <c r="B43" s="6"/>
      <c r="C43" s="6"/>
      <c r="D43" s="9"/>
      <c r="G43" s="190" t="s">
        <v>1829</v>
      </c>
      <c r="I43" s="190" t="s">
        <v>1487</v>
      </c>
      <c r="J43" s="189"/>
      <c r="K43" s="190" t="s">
        <v>1545</v>
      </c>
      <c r="M43" s="190" t="s">
        <v>1656</v>
      </c>
      <c r="U43" s="269" t="s">
        <v>1671</v>
      </c>
      <c r="W43" s="188" t="s">
        <v>43</v>
      </c>
      <c r="X43" s="188" t="s">
        <v>32</v>
      </c>
      <c r="Z43" s="188" t="s">
        <v>25</v>
      </c>
      <c r="AA43" s="188" t="s">
        <v>11</v>
      </c>
      <c r="AE43" s="6"/>
      <c r="AG43" s="188" t="s">
        <v>1671</v>
      </c>
      <c r="AH43" s="188" t="s">
        <v>634</v>
      </c>
    </row>
    <row r="44" spans="2:34" s="188" customFormat="1" ht="16" customHeight="1" thickTop="1" thickBot="1">
      <c r="B44" s="6"/>
      <c r="C44" s="6"/>
      <c r="D44" s="9"/>
      <c r="G44" s="190" t="s">
        <v>1686</v>
      </c>
      <c r="I44" s="190" t="s">
        <v>1715</v>
      </c>
      <c r="J44" s="189"/>
      <c r="K44" s="190" t="s">
        <v>1626</v>
      </c>
      <c r="M44" s="190" t="s">
        <v>1629</v>
      </c>
      <c r="U44" s="269" t="s">
        <v>1301</v>
      </c>
      <c r="W44" s="188" t="s">
        <v>33</v>
      </c>
      <c r="X44" s="188" t="s">
        <v>13</v>
      </c>
      <c r="Z44" s="188" t="s">
        <v>19</v>
      </c>
      <c r="AA44" s="188" t="s">
        <v>4</v>
      </c>
      <c r="AE44" s="6"/>
      <c r="AG44" s="188" t="s">
        <v>1301</v>
      </c>
      <c r="AH44" s="188" t="s">
        <v>43</v>
      </c>
    </row>
    <row r="45" spans="2:34" s="188" customFormat="1" ht="16" customHeight="1" thickTop="1" thickBot="1">
      <c r="B45" s="6"/>
      <c r="C45" s="6"/>
      <c r="D45" s="9"/>
      <c r="G45" s="190" t="s">
        <v>1767</v>
      </c>
      <c r="I45" s="190" t="s">
        <v>1389</v>
      </c>
      <c r="J45" s="189"/>
      <c r="K45" s="190" t="s">
        <v>1589</v>
      </c>
      <c r="M45" s="190" t="s">
        <v>1688</v>
      </c>
      <c r="U45" s="269" t="s">
        <v>1531</v>
      </c>
      <c r="W45" s="188" t="s">
        <v>22</v>
      </c>
      <c r="X45" s="188" t="s">
        <v>8</v>
      </c>
      <c r="Z45" s="188" t="s">
        <v>52</v>
      </c>
      <c r="AA45" s="188" t="s">
        <v>15</v>
      </c>
      <c r="AE45" s="6"/>
      <c r="AG45" s="188" t="s">
        <v>1531</v>
      </c>
      <c r="AH45" s="188" t="s">
        <v>633</v>
      </c>
    </row>
    <row r="46" spans="2:34" s="188" customFormat="1" ht="16" customHeight="1" thickTop="1" thickBot="1">
      <c r="B46" s="6"/>
      <c r="C46" s="6"/>
      <c r="D46" s="9"/>
      <c r="G46" s="190" t="s">
        <v>1630</v>
      </c>
      <c r="I46" s="190" t="s">
        <v>1891</v>
      </c>
      <c r="J46" s="189"/>
      <c r="K46" s="190" t="s">
        <v>1414</v>
      </c>
      <c r="M46" s="190" t="s">
        <v>1354</v>
      </c>
      <c r="U46" s="269" t="s">
        <v>1484</v>
      </c>
      <c r="W46" s="188" t="s">
        <v>27</v>
      </c>
      <c r="X46" s="188" t="s">
        <v>14</v>
      </c>
      <c r="Z46" s="188" t="s">
        <v>26</v>
      </c>
      <c r="AA46" s="188" t="s">
        <v>12</v>
      </c>
      <c r="AE46" s="6"/>
      <c r="AG46" s="188" t="s">
        <v>1484</v>
      </c>
      <c r="AH46" s="188" t="s">
        <v>23</v>
      </c>
    </row>
    <row r="47" spans="2:34" s="188" customFormat="1" ht="16" customHeight="1" thickTop="1" thickBot="1">
      <c r="B47" s="6"/>
      <c r="C47" s="6"/>
      <c r="D47" s="9"/>
      <c r="G47" s="190" t="s">
        <v>1675</v>
      </c>
      <c r="I47" s="190" t="s">
        <v>1623</v>
      </c>
      <c r="J47" s="189"/>
      <c r="K47" s="190" t="s">
        <v>1374</v>
      </c>
      <c r="M47" s="190" t="s">
        <v>1342</v>
      </c>
      <c r="U47" s="269" t="s">
        <v>1443</v>
      </c>
      <c r="W47" s="188" t="s">
        <v>51</v>
      </c>
      <c r="X47" s="188" t="s">
        <v>5</v>
      </c>
      <c r="Z47" s="188" t="s">
        <v>633</v>
      </c>
      <c r="AA47" s="188" t="s">
        <v>1221</v>
      </c>
      <c r="AE47" s="6"/>
      <c r="AG47" s="188" t="s">
        <v>1443</v>
      </c>
      <c r="AH47" s="188" t="s">
        <v>21</v>
      </c>
    </row>
    <row r="48" spans="2:34" s="188" customFormat="1" ht="16" customHeight="1" thickTop="1" thickBot="1">
      <c r="B48" s="6"/>
      <c r="C48" s="6"/>
      <c r="D48" s="9"/>
      <c r="G48" s="190" t="s">
        <v>1870</v>
      </c>
      <c r="I48" s="190" t="s">
        <v>1400</v>
      </c>
      <c r="J48" s="189"/>
      <c r="K48" s="190" t="s">
        <v>1475</v>
      </c>
      <c r="M48" s="190" t="s">
        <v>1385</v>
      </c>
      <c r="U48" s="269" t="s">
        <v>1795</v>
      </c>
      <c r="W48" s="188" t="s">
        <v>30</v>
      </c>
      <c r="X48" s="188" t="s">
        <v>2</v>
      </c>
      <c r="Z48" s="188" t="s">
        <v>18</v>
      </c>
      <c r="AA48" s="188" t="s">
        <v>3</v>
      </c>
      <c r="AE48" s="6"/>
      <c r="AG48" s="188" t="s">
        <v>1795</v>
      </c>
      <c r="AH48" s="188" t="s">
        <v>19</v>
      </c>
    </row>
    <row r="49" spans="2:34" s="188" customFormat="1" ht="16" customHeight="1" thickTop="1" thickBot="1">
      <c r="B49" s="6"/>
      <c r="C49" s="6"/>
      <c r="D49" s="9"/>
      <c r="G49" s="190" t="s">
        <v>1889</v>
      </c>
      <c r="I49" s="190" t="s">
        <v>1731</v>
      </c>
      <c r="J49" s="189"/>
      <c r="K49" s="190" t="s">
        <v>1782</v>
      </c>
      <c r="M49" s="190" t="s">
        <v>1503</v>
      </c>
      <c r="U49" s="269" t="s">
        <v>1530</v>
      </c>
      <c r="W49" s="188" t="s">
        <v>23</v>
      </c>
      <c r="X49" s="188" t="s">
        <v>9</v>
      </c>
      <c r="Z49" s="188" t="s">
        <v>21</v>
      </c>
      <c r="AA49" s="188" t="s">
        <v>7</v>
      </c>
      <c r="AE49" s="6"/>
      <c r="AG49" s="188" t="s">
        <v>1530</v>
      </c>
      <c r="AH49" s="188" t="s">
        <v>633</v>
      </c>
    </row>
    <row r="50" spans="2:34" s="188" customFormat="1" ht="16" customHeight="1" thickTop="1" thickBot="1">
      <c r="B50" s="6"/>
      <c r="C50" s="6"/>
      <c r="D50" s="9"/>
      <c r="G50" s="190" t="s">
        <v>1703</v>
      </c>
      <c r="I50" s="190" t="s">
        <v>1628</v>
      </c>
      <c r="J50" s="189"/>
      <c r="K50" s="190" t="s">
        <v>1293</v>
      </c>
      <c r="M50" s="190" t="s">
        <v>1278</v>
      </c>
      <c r="U50" s="269" t="s">
        <v>1546</v>
      </c>
      <c r="W50" s="188" t="s">
        <v>634</v>
      </c>
      <c r="X50" s="188" t="s">
        <v>1220</v>
      </c>
      <c r="Z50" s="188" t="s">
        <v>28</v>
      </c>
      <c r="AA50" s="188" t="s">
        <v>16</v>
      </c>
      <c r="AE50" s="6"/>
      <c r="AG50" s="188" t="s">
        <v>1546</v>
      </c>
      <c r="AH50" s="188" t="s">
        <v>19</v>
      </c>
    </row>
    <row r="51" spans="2:34" s="188" customFormat="1" ht="16" customHeight="1" thickTop="1" thickBot="1">
      <c r="B51" s="6"/>
      <c r="C51" s="6"/>
      <c r="D51" s="9"/>
      <c r="G51" s="190" t="s">
        <v>1790</v>
      </c>
      <c r="I51" s="190" t="s">
        <v>1659</v>
      </c>
      <c r="J51" s="189"/>
      <c r="K51" s="190" t="s">
        <v>1274</v>
      </c>
      <c r="M51" s="190" t="s">
        <v>1490</v>
      </c>
      <c r="U51" s="269" t="s">
        <v>1473</v>
      </c>
      <c r="W51" s="188" t="s">
        <v>20</v>
      </c>
      <c r="X51" s="188" t="s">
        <v>6</v>
      </c>
      <c r="Z51" s="188" t="s">
        <v>29</v>
      </c>
      <c r="AA51" s="188" t="s">
        <v>1</v>
      </c>
      <c r="AE51" s="6"/>
      <c r="AG51" s="188" t="s">
        <v>1473</v>
      </c>
      <c r="AH51" s="188" t="s">
        <v>22</v>
      </c>
    </row>
    <row r="52" spans="2:34" s="188" customFormat="1" ht="16" customHeight="1" thickTop="1" thickBot="1">
      <c r="B52" s="6"/>
      <c r="C52" s="6"/>
      <c r="D52" s="9"/>
      <c r="G52" s="190" t="s">
        <v>1853</v>
      </c>
      <c r="I52" s="190" t="s">
        <v>1892</v>
      </c>
      <c r="J52" s="189"/>
      <c r="K52" s="190" t="s">
        <v>1477</v>
      </c>
      <c r="M52" s="190" t="s">
        <v>1616</v>
      </c>
      <c r="U52" s="269" t="s">
        <v>1885</v>
      </c>
      <c r="W52" s="188" t="s">
        <v>21</v>
      </c>
      <c r="X52" s="188" t="s">
        <v>7</v>
      </c>
      <c r="Z52" s="188" t="s">
        <v>30</v>
      </c>
      <c r="AA52" s="188" t="s">
        <v>2</v>
      </c>
      <c r="AE52" s="6"/>
      <c r="AG52" s="188" t="s">
        <v>1885</v>
      </c>
      <c r="AH52" s="188" t="s">
        <v>17</v>
      </c>
    </row>
    <row r="53" spans="2:34" s="188" customFormat="1" ht="16" customHeight="1" thickTop="1" thickBot="1">
      <c r="B53" s="6"/>
      <c r="C53" s="6"/>
      <c r="D53" s="9"/>
      <c r="G53" s="190" t="s">
        <v>1478</v>
      </c>
      <c r="I53" s="190" t="s">
        <v>1621</v>
      </c>
      <c r="J53" s="189"/>
      <c r="K53" s="190" t="s">
        <v>1455</v>
      </c>
      <c r="M53" s="190" t="s">
        <v>1541</v>
      </c>
      <c r="U53" s="269" t="s">
        <v>1890</v>
      </c>
      <c r="W53" s="188" t="s">
        <v>28</v>
      </c>
      <c r="X53" s="188" t="s">
        <v>16</v>
      </c>
      <c r="Z53" s="188" t="s">
        <v>23</v>
      </c>
      <c r="AA53" s="188" t="s">
        <v>9</v>
      </c>
      <c r="AE53" s="6"/>
      <c r="AG53" s="188" t="s">
        <v>1890</v>
      </c>
      <c r="AH53" s="188" t="s">
        <v>634</v>
      </c>
    </row>
    <row r="54" spans="2:34" s="188" customFormat="1" ht="16" customHeight="1" thickTop="1" thickBot="1">
      <c r="B54" s="6"/>
      <c r="C54" s="6"/>
      <c r="D54" s="9"/>
      <c r="G54" s="190" t="s">
        <v>1701</v>
      </c>
      <c r="I54" s="190" t="s">
        <v>2010</v>
      </c>
      <c r="J54" s="189"/>
      <c r="K54" s="190" t="s">
        <v>1569</v>
      </c>
      <c r="M54" s="190" t="s">
        <v>1334</v>
      </c>
      <c r="U54" s="269" t="s">
        <v>1739</v>
      </c>
      <c r="W54" s="188" t="s">
        <v>18</v>
      </c>
      <c r="X54" s="188" t="s">
        <v>3</v>
      </c>
      <c r="Z54" s="188" t="s">
        <v>33</v>
      </c>
      <c r="AA54" s="188" t="s">
        <v>13</v>
      </c>
      <c r="AE54" s="6"/>
      <c r="AG54" s="188" t="s">
        <v>1739</v>
      </c>
      <c r="AH54" s="188" t="s">
        <v>26</v>
      </c>
    </row>
    <row r="55" spans="2:34" s="188" customFormat="1" ht="16" customHeight="1" thickTop="1" thickBot="1">
      <c r="B55" s="6"/>
      <c r="C55" s="6"/>
      <c r="D55" s="9"/>
      <c r="G55" s="190" t="s">
        <v>1396</v>
      </c>
      <c r="I55" s="190" t="s">
        <v>1753</v>
      </c>
      <c r="J55" s="189"/>
      <c r="K55" s="190" t="s">
        <v>1372</v>
      </c>
      <c r="M55" s="190" t="s">
        <v>1404</v>
      </c>
      <c r="U55" s="269" t="s">
        <v>1625</v>
      </c>
      <c r="W55" s="188" t="s">
        <v>26</v>
      </c>
      <c r="X55" s="188" t="s">
        <v>12</v>
      </c>
      <c r="Z55" s="188" t="s">
        <v>17</v>
      </c>
      <c r="AA55" s="188" t="s">
        <v>0</v>
      </c>
      <c r="AE55" s="6"/>
      <c r="AG55" s="188" t="s">
        <v>1625</v>
      </c>
      <c r="AH55" s="188" t="s">
        <v>22</v>
      </c>
    </row>
    <row r="56" spans="2:34" s="188" customFormat="1" ht="16" customHeight="1" thickTop="1" thickBot="1">
      <c r="B56" s="6"/>
      <c r="C56" s="6"/>
      <c r="D56" s="9"/>
      <c r="G56" s="190" t="s">
        <v>1485</v>
      </c>
      <c r="I56" s="190" t="s">
        <v>1692</v>
      </c>
      <c r="J56" s="189"/>
      <c r="K56" s="190" t="s">
        <v>1590</v>
      </c>
      <c r="M56" s="190" t="s">
        <v>1548</v>
      </c>
      <c r="U56" s="269" t="s">
        <v>1796</v>
      </c>
      <c r="W56" s="188" t="s">
        <v>633</v>
      </c>
      <c r="X56" s="188" t="s">
        <v>1221</v>
      </c>
      <c r="Z56" s="188" t="s">
        <v>43</v>
      </c>
      <c r="AA56" s="188" t="s">
        <v>32</v>
      </c>
      <c r="AE56" s="6"/>
      <c r="AG56" s="188" t="s">
        <v>1796</v>
      </c>
      <c r="AH56" s="188" t="s">
        <v>22</v>
      </c>
    </row>
    <row r="57" spans="2:34" s="188" customFormat="1" ht="16" customHeight="1" thickTop="1" thickBot="1">
      <c r="B57" s="6"/>
      <c r="C57" s="6"/>
      <c r="D57" s="9"/>
      <c r="G57" s="190" t="s">
        <v>1881</v>
      </c>
      <c r="I57" s="190" t="s">
        <v>1678</v>
      </c>
      <c r="J57" s="189"/>
      <c r="K57" s="190" t="s">
        <v>1416</v>
      </c>
      <c r="M57" s="190" t="s">
        <v>1687</v>
      </c>
      <c r="U57" s="269" t="s">
        <v>1801</v>
      </c>
      <c r="W57" s="188" t="s">
        <v>29</v>
      </c>
      <c r="X57" s="188" t="s">
        <v>1</v>
      </c>
      <c r="Z57" s="188" t="s">
        <v>22</v>
      </c>
      <c r="AA57" s="188" t="s">
        <v>8</v>
      </c>
      <c r="AE57" s="6"/>
      <c r="AG57" s="188" t="s">
        <v>1801</v>
      </c>
      <c r="AH57" s="188" t="s">
        <v>30</v>
      </c>
    </row>
    <row r="58" spans="2:34" s="188" customFormat="1" ht="16" customHeight="1" thickTop="1" thickBot="1">
      <c r="B58" s="6"/>
      <c r="C58" s="6"/>
      <c r="D58" s="9"/>
      <c r="G58" s="190" t="s">
        <v>1479</v>
      </c>
      <c r="I58" s="190" t="s">
        <v>1612</v>
      </c>
      <c r="J58" s="189"/>
      <c r="K58" s="190" t="s">
        <v>1603</v>
      </c>
      <c r="M58" s="190" t="s">
        <v>1713</v>
      </c>
      <c r="U58" s="269" t="s">
        <v>1745</v>
      </c>
      <c r="W58" s="188" t="s">
        <v>52</v>
      </c>
      <c r="X58" s="188" t="s">
        <v>15</v>
      </c>
      <c r="Z58" s="188" t="s">
        <v>634</v>
      </c>
      <c r="AA58" s="188" t="s">
        <v>1220</v>
      </c>
      <c r="AE58" s="6"/>
      <c r="AG58" s="188" t="s">
        <v>1745</v>
      </c>
      <c r="AH58" s="188" t="s">
        <v>23</v>
      </c>
    </row>
    <row r="59" spans="2:34" s="188" customFormat="1" ht="16" customHeight="1" thickTop="1" thickBot="1">
      <c r="B59" s="6"/>
      <c r="C59" s="6"/>
      <c r="D59" s="9"/>
      <c r="G59" s="190" t="s">
        <v>1712</v>
      </c>
      <c r="I59" s="190" t="s">
        <v>1402</v>
      </c>
      <c r="J59" s="189"/>
      <c r="K59" s="190" t="s">
        <v>1747</v>
      </c>
      <c r="M59" s="190" t="s">
        <v>1511</v>
      </c>
      <c r="U59" s="269" t="s">
        <v>1618</v>
      </c>
      <c r="W59" s="188" t="s">
        <v>19</v>
      </c>
      <c r="X59" s="188" t="s">
        <v>4</v>
      </c>
      <c r="Z59" s="188" t="s">
        <v>51</v>
      </c>
      <c r="AA59" s="188" t="s">
        <v>5</v>
      </c>
      <c r="AE59" s="6"/>
      <c r="AG59" s="188" t="s">
        <v>1618</v>
      </c>
      <c r="AH59" s="188" t="s">
        <v>33</v>
      </c>
    </row>
    <row r="60" spans="2:34" s="188" customFormat="1" ht="16" customHeight="1" thickTop="1" thickBot="1">
      <c r="B60" s="6"/>
      <c r="C60" s="6"/>
      <c r="D60" s="9"/>
      <c r="G60" s="190" t="s">
        <v>1721</v>
      </c>
      <c r="I60" s="190" t="s">
        <v>1700</v>
      </c>
      <c r="J60" s="189"/>
      <c r="K60" s="190" t="s">
        <v>1550</v>
      </c>
      <c r="M60" s="190" t="s">
        <v>1448</v>
      </c>
      <c r="U60" s="269" t="s">
        <v>1861</v>
      </c>
      <c r="W60" s="188" t="s">
        <v>25</v>
      </c>
      <c r="X60" s="188" t="s">
        <v>11</v>
      </c>
      <c r="Z60" s="188" t="s">
        <v>20</v>
      </c>
      <c r="AA60" s="188" t="s">
        <v>6</v>
      </c>
      <c r="AE60" s="6"/>
      <c r="AG60" s="188" t="s">
        <v>1861</v>
      </c>
      <c r="AH60" s="188" t="s">
        <v>22</v>
      </c>
    </row>
    <row r="61" spans="2:34" s="188" customFormat="1" ht="16" customHeight="1" thickTop="1" thickBot="1">
      <c r="B61" s="6"/>
      <c r="C61" s="6"/>
      <c r="D61" s="9"/>
      <c r="G61" s="190" t="s">
        <v>1820</v>
      </c>
      <c r="I61" s="190" t="s">
        <v>1757</v>
      </c>
      <c r="J61" s="189"/>
      <c r="K61" s="190" t="s">
        <v>1315</v>
      </c>
      <c r="M61" s="190" t="s">
        <v>1413</v>
      </c>
      <c r="U61" s="269" t="s">
        <v>1676</v>
      </c>
      <c r="W61" s="188" t="s">
        <v>24</v>
      </c>
      <c r="X61" s="188" t="s">
        <v>10</v>
      </c>
      <c r="Z61" s="188" t="s">
        <v>27</v>
      </c>
      <c r="AA61" s="188" t="s">
        <v>14</v>
      </c>
      <c r="AE61" s="6"/>
      <c r="AG61" s="188" t="s">
        <v>1676</v>
      </c>
      <c r="AH61" s="188" t="s">
        <v>28</v>
      </c>
    </row>
    <row r="62" spans="2:34" s="188" customFormat="1" ht="16" customHeight="1" thickTop="1" thickBot="1">
      <c r="B62" s="6"/>
      <c r="C62" s="6"/>
      <c r="D62" s="9"/>
      <c r="G62" s="190" t="s">
        <v>1521</v>
      </c>
      <c r="I62" s="190" t="s">
        <v>1798</v>
      </c>
      <c r="J62" s="189"/>
      <c r="K62" s="190" t="s">
        <v>1345</v>
      </c>
      <c r="M62" s="190" t="s">
        <v>1364</v>
      </c>
      <c r="U62" s="269" t="s">
        <v>1763</v>
      </c>
      <c r="W62" s="188" t="s">
        <v>43</v>
      </c>
      <c r="X62" s="188" t="s">
        <v>32</v>
      </c>
      <c r="Z62" s="188" t="s">
        <v>23</v>
      </c>
      <c r="AA62" s="188" t="s">
        <v>9</v>
      </c>
      <c r="AE62" s="6"/>
      <c r="AG62" s="188" t="s">
        <v>1763</v>
      </c>
      <c r="AH62" s="188" t="s">
        <v>19</v>
      </c>
    </row>
    <row r="63" spans="2:34" s="188" customFormat="1" ht="16" customHeight="1" thickTop="1" thickBot="1">
      <c r="B63" s="6"/>
      <c r="C63" s="6"/>
      <c r="D63" s="9"/>
      <c r="G63" s="190" t="s">
        <v>1827</v>
      </c>
      <c r="I63" s="190" t="s">
        <v>1720</v>
      </c>
      <c r="J63" s="189"/>
      <c r="K63" s="190" t="s">
        <v>1322</v>
      </c>
      <c r="M63" s="190" t="s">
        <v>1277</v>
      </c>
      <c r="U63" s="269" t="s">
        <v>1607</v>
      </c>
      <c r="W63" s="188" t="s">
        <v>20</v>
      </c>
      <c r="X63" s="188" t="s">
        <v>6</v>
      </c>
      <c r="Z63" s="188" t="s">
        <v>27</v>
      </c>
      <c r="AA63" s="188" t="s">
        <v>14</v>
      </c>
      <c r="AE63" s="6"/>
      <c r="AG63" s="188" t="s">
        <v>1607</v>
      </c>
      <c r="AH63" s="188" t="s">
        <v>17</v>
      </c>
    </row>
    <row r="64" spans="2:34" s="188" customFormat="1" ht="16" customHeight="1" thickTop="1" thickBot="1">
      <c r="B64" s="6"/>
      <c r="C64" s="6"/>
      <c r="D64" s="9"/>
      <c r="G64" s="190" t="s">
        <v>1799</v>
      </c>
      <c r="I64" s="190" t="s">
        <v>1823</v>
      </c>
      <c r="J64" s="189"/>
      <c r="K64" s="190" t="s">
        <v>1559</v>
      </c>
      <c r="M64" s="190" t="s">
        <v>1439</v>
      </c>
      <c r="U64" s="269" t="s">
        <v>1724</v>
      </c>
      <c r="W64" s="188" t="s">
        <v>28</v>
      </c>
      <c r="X64" s="188" t="s">
        <v>16</v>
      </c>
      <c r="Z64" s="188" t="s">
        <v>22</v>
      </c>
      <c r="AA64" s="188" t="s">
        <v>8</v>
      </c>
      <c r="AE64" s="6"/>
      <c r="AG64" s="188" t="s">
        <v>1724</v>
      </c>
      <c r="AH64" s="188" t="s">
        <v>43</v>
      </c>
    </row>
    <row r="65" spans="2:34" s="188" customFormat="1" ht="16" customHeight="1" thickTop="1" thickBot="1">
      <c r="B65" s="6"/>
      <c r="C65" s="6"/>
      <c r="D65" s="9"/>
      <c r="G65" s="190" t="s">
        <v>1837</v>
      </c>
      <c r="I65" s="190" t="s">
        <v>1874</v>
      </c>
      <c r="J65" s="189"/>
      <c r="K65" s="190" t="s">
        <v>1725</v>
      </c>
      <c r="M65" s="190" t="s">
        <v>1431</v>
      </c>
      <c r="U65" s="269" t="s">
        <v>1835</v>
      </c>
      <c r="W65" s="188" t="s">
        <v>21</v>
      </c>
      <c r="X65" s="188" t="s">
        <v>7</v>
      </c>
      <c r="Z65" s="188" t="s">
        <v>29</v>
      </c>
      <c r="AA65" s="188" t="s">
        <v>1</v>
      </c>
      <c r="AE65" s="6"/>
      <c r="AG65" s="188" t="s">
        <v>1835</v>
      </c>
      <c r="AH65" s="188" t="s">
        <v>21</v>
      </c>
    </row>
    <row r="66" spans="2:34" s="188" customFormat="1" ht="16" customHeight="1" thickTop="1" thickBot="1">
      <c r="B66" s="6"/>
      <c r="C66" s="6"/>
      <c r="D66" s="9"/>
      <c r="G66" s="190" t="s">
        <v>1838</v>
      </c>
      <c r="I66" s="190" t="s">
        <v>1871</v>
      </c>
      <c r="J66" s="189"/>
      <c r="K66" s="190" t="s">
        <v>1325</v>
      </c>
      <c r="M66" s="190" t="s">
        <v>1294</v>
      </c>
      <c r="U66" s="269" t="s">
        <v>1852</v>
      </c>
      <c r="W66" s="188" t="s">
        <v>18</v>
      </c>
      <c r="X66" s="188" t="s">
        <v>3</v>
      </c>
      <c r="Z66" s="188" t="s">
        <v>17</v>
      </c>
      <c r="AA66" s="188" t="s">
        <v>0</v>
      </c>
      <c r="AE66" s="6"/>
      <c r="AG66" s="188" t="s">
        <v>1852</v>
      </c>
      <c r="AH66" s="188" t="s">
        <v>21</v>
      </c>
    </row>
    <row r="67" spans="2:34" s="188" customFormat="1" ht="16" customHeight="1" thickTop="1" thickBot="1">
      <c r="B67" s="6"/>
      <c r="C67" s="6"/>
      <c r="D67" s="9"/>
      <c r="G67" s="190" t="s">
        <v>1888</v>
      </c>
      <c r="I67" s="190" t="s">
        <v>1652</v>
      </c>
      <c r="J67" s="189"/>
      <c r="K67" s="190" t="s">
        <v>1398</v>
      </c>
      <c r="M67" s="190" t="s">
        <v>1539</v>
      </c>
      <c r="U67" s="269" t="s">
        <v>1807</v>
      </c>
      <c r="W67" s="188" t="s">
        <v>24</v>
      </c>
      <c r="X67" s="188" t="s">
        <v>10</v>
      </c>
      <c r="Z67" s="188" t="s">
        <v>26</v>
      </c>
      <c r="AA67" s="188" t="s">
        <v>12</v>
      </c>
      <c r="AE67" s="6"/>
      <c r="AG67" s="188" t="s">
        <v>1807</v>
      </c>
      <c r="AH67" s="188" t="s">
        <v>23</v>
      </c>
    </row>
    <row r="68" spans="2:34" s="188" customFormat="1" ht="16" customHeight="1" thickTop="1" thickBot="1">
      <c r="B68" s="6"/>
      <c r="C68" s="6"/>
      <c r="D68" s="9"/>
      <c r="G68" s="190" t="s">
        <v>1825</v>
      </c>
      <c r="I68" s="190" t="s">
        <v>1862</v>
      </c>
      <c r="J68" s="189"/>
      <c r="K68" s="190" t="s">
        <v>1368</v>
      </c>
      <c r="M68" s="191" t="s">
        <v>1646</v>
      </c>
      <c r="U68" s="269" t="s">
        <v>1296</v>
      </c>
      <c r="W68" s="188" t="s">
        <v>633</v>
      </c>
      <c r="X68" s="188" t="s">
        <v>1221</v>
      </c>
      <c r="Z68" s="188" t="s">
        <v>19</v>
      </c>
      <c r="AA68" s="188" t="s">
        <v>4</v>
      </c>
      <c r="AE68" s="6"/>
      <c r="AG68" s="188" t="s">
        <v>1296</v>
      </c>
      <c r="AH68" s="188" t="s">
        <v>30</v>
      </c>
    </row>
    <row r="69" spans="2:34" s="188" customFormat="1" ht="16" customHeight="1" thickTop="1" thickBot="1">
      <c r="B69" s="6"/>
      <c r="C69" s="6"/>
      <c r="D69" s="9"/>
      <c r="G69" s="190" t="s">
        <v>1815</v>
      </c>
      <c r="I69" s="190" t="s">
        <v>1645</v>
      </c>
      <c r="J69" s="189"/>
      <c r="K69" s="190" t="s">
        <v>1290</v>
      </c>
      <c r="M69" s="267" t="s">
        <v>1434</v>
      </c>
      <c r="U69" s="269" t="s">
        <v>1412</v>
      </c>
      <c r="W69" s="188" t="s">
        <v>30</v>
      </c>
      <c r="X69" s="188" t="s">
        <v>2</v>
      </c>
      <c r="Z69" s="188" t="s">
        <v>634</v>
      </c>
      <c r="AA69" s="188" t="s">
        <v>1220</v>
      </c>
      <c r="AE69" s="6"/>
      <c r="AG69" s="188" t="s">
        <v>1412</v>
      </c>
      <c r="AH69" s="188" t="s">
        <v>20</v>
      </c>
    </row>
    <row r="70" spans="2:34" s="188" customFormat="1" ht="16" customHeight="1" thickTop="1" thickBot="1">
      <c r="B70" s="6"/>
      <c r="C70" s="6"/>
      <c r="D70" s="9"/>
      <c r="G70" s="190" t="s">
        <v>1811</v>
      </c>
      <c r="I70" s="190" t="s">
        <v>1397</v>
      </c>
      <c r="J70" s="189"/>
      <c r="K70" s="190" t="s">
        <v>1547</v>
      </c>
      <c r="M70" s="267" t="s">
        <v>1681</v>
      </c>
      <c r="U70" s="269" t="s">
        <v>1736</v>
      </c>
      <c r="W70" s="188" t="s">
        <v>25</v>
      </c>
      <c r="X70" s="188" t="s">
        <v>11</v>
      </c>
      <c r="Z70" s="188" t="s">
        <v>52</v>
      </c>
      <c r="AA70" s="188" t="s">
        <v>15</v>
      </c>
      <c r="AE70" s="6"/>
      <c r="AG70" s="188" t="s">
        <v>1736</v>
      </c>
      <c r="AH70" s="188" t="s">
        <v>18</v>
      </c>
    </row>
    <row r="71" spans="2:34" s="188" customFormat="1" ht="16" customHeight="1" thickTop="1" thickBot="1">
      <c r="B71" s="6"/>
      <c r="C71" s="6"/>
      <c r="D71" s="9"/>
      <c r="G71" s="191"/>
      <c r="I71" s="190" t="s">
        <v>1769</v>
      </c>
      <c r="J71" s="189"/>
      <c r="K71" s="190" t="s">
        <v>1391</v>
      </c>
      <c r="M71" s="267"/>
      <c r="U71" s="269" t="s">
        <v>1496</v>
      </c>
      <c r="W71" s="188" t="s">
        <v>51</v>
      </c>
      <c r="X71" s="188" t="s">
        <v>5</v>
      </c>
      <c r="Z71" s="188" t="s">
        <v>33</v>
      </c>
      <c r="AA71" s="188" t="s">
        <v>13</v>
      </c>
      <c r="AE71" s="6"/>
      <c r="AG71" s="188" t="s">
        <v>1496</v>
      </c>
      <c r="AH71" s="188" t="s">
        <v>23</v>
      </c>
    </row>
    <row r="72" spans="2:34" s="188" customFormat="1" ht="16" customHeight="1" thickTop="1" thickBot="1">
      <c r="B72" s="6"/>
      <c r="C72" s="6"/>
      <c r="D72" s="9"/>
      <c r="I72" s="190" t="s">
        <v>1744</v>
      </c>
      <c r="J72" s="189"/>
      <c r="K72" s="190" t="s">
        <v>1360</v>
      </c>
      <c r="U72" s="269" t="s">
        <v>1860</v>
      </c>
      <c r="W72" s="188" t="s">
        <v>33</v>
      </c>
      <c r="X72" s="188" t="s">
        <v>13</v>
      </c>
      <c r="Z72" s="188" t="s">
        <v>25</v>
      </c>
      <c r="AA72" s="188" t="s">
        <v>11</v>
      </c>
      <c r="AE72" s="6"/>
      <c r="AG72" s="188" t="s">
        <v>1860</v>
      </c>
      <c r="AH72" s="188" t="s">
        <v>22</v>
      </c>
    </row>
    <row r="73" spans="2:34" s="188" customFormat="1" ht="16" customHeight="1" thickTop="1" thickBot="1">
      <c r="B73" s="6"/>
      <c r="C73" s="6"/>
      <c r="D73" s="9"/>
      <c r="I73" s="190" t="s">
        <v>1866</v>
      </c>
      <c r="J73" s="189"/>
      <c r="K73" s="190" t="s">
        <v>1433</v>
      </c>
      <c r="U73" s="269" t="s">
        <v>1553</v>
      </c>
      <c r="W73" s="188" t="s">
        <v>22</v>
      </c>
      <c r="X73" s="188" t="s">
        <v>8</v>
      </c>
      <c r="Z73" s="188" t="s">
        <v>633</v>
      </c>
      <c r="AA73" s="188" t="s">
        <v>1221</v>
      </c>
      <c r="AE73" s="6"/>
      <c r="AG73" s="188" t="s">
        <v>1553</v>
      </c>
      <c r="AH73" s="188" t="s">
        <v>43</v>
      </c>
    </row>
    <row r="74" spans="2:34" s="188" customFormat="1" ht="16" customHeight="1" thickTop="1" thickBot="1">
      <c r="B74" s="6"/>
      <c r="C74" s="6"/>
      <c r="D74" s="9"/>
      <c r="I74" s="190" t="s">
        <v>1855</v>
      </c>
      <c r="J74" s="189"/>
      <c r="K74" s="190" t="s">
        <v>1564</v>
      </c>
      <c r="U74" s="269" t="s">
        <v>1751</v>
      </c>
      <c r="W74" s="188" t="s">
        <v>26</v>
      </c>
      <c r="X74" s="188" t="s">
        <v>12</v>
      </c>
      <c r="Z74" s="188" t="s">
        <v>43</v>
      </c>
      <c r="AA74" s="188" t="s">
        <v>32</v>
      </c>
      <c r="AE74" s="6"/>
      <c r="AG74" s="188" t="s">
        <v>1751</v>
      </c>
      <c r="AH74" s="188" t="s">
        <v>30</v>
      </c>
    </row>
    <row r="75" spans="2:34" s="188" customFormat="1" ht="16" customHeight="1" thickTop="1" thickBot="1">
      <c r="B75" s="6"/>
      <c r="C75" s="6"/>
      <c r="D75" s="9"/>
      <c r="I75" s="190" t="s">
        <v>1883</v>
      </c>
      <c r="J75" s="189"/>
      <c r="K75" s="190" t="s">
        <v>1636</v>
      </c>
      <c r="U75" s="269" t="s">
        <v>1876</v>
      </c>
      <c r="W75" s="188" t="s">
        <v>23</v>
      </c>
      <c r="X75" s="188" t="s">
        <v>9</v>
      </c>
      <c r="Z75" s="188" t="s">
        <v>20</v>
      </c>
      <c r="AA75" s="188" t="s">
        <v>6</v>
      </c>
      <c r="AE75" s="6"/>
      <c r="AG75" s="188" t="s">
        <v>1876</v>
      </c>
      <c r="AH75" s="188" t="s">
        <v>634</v>
      </c>
    </row>
    <row r="76" spans="2:34" s="188" customFormat="1" ht="16" customHeight="1" thickTop="1" thickBot="1">
      <c r="B76" s="6"/>
      <c r="C76" s="6"/>
      <c r="D76" s="9"/>
      <c r="I76" s="190" t="s">
        <v>1515</v>
      </c>
      <c r="J76" s="189"/>
      <c r="K76" s="190" t="s">
        <v>1509</v>
      </c>
      <c r="U76" s="269" t="s">
        <v>1570</v>
      </c>
      <c r="W76" s="188" t="s">
        <v>17</v>
      </c>
      <c r="X76" s="188" t="s">
        <v>0</v>
      </c>
      <c r="Z76" s="188" t="s">
        <v>30</v>
      </c>
      <c r="AA76" s="188" t="s">
        <v>2</v>
      </c>
      <c r="AE76" s="6"/>
      <c r="AG76" s="188" t="s">
        <v>1570</v>
      </c>
      <c r="AH76" s="188" t="s">
        <v>26</v>
      </c>
    </row>
    <row r="77" spans="2:34" s="188" customFormat="1" ht="16" customHeight="1" thickTop="1" thickBot="1">
      <c r="B77" s="6"/>
      <c r="C77" s="6"/>
      <c r="D77" s="9"/>
      <c r="I77" s="190" t="s">
        <v>1441</v>
      </c>
      <c r="J77" s="189"/>
      <c r="K77" s="190" t="s">
        <v>1711</v>
      </c>
      <c r="U77" s="269" t="s">
        <v>1533</v>
      </c>
      <c r="W77" s="188" t="s">
        <v>29</v>
      </c>
      <c r="X77" s="188" t="s">
        <v>1</v>
      </c>
      <c r="Z77" s="188" t="s">
        <v>24</v>
      </c>
      <c r="AA77" s="188" t="s">
        <v>10</v>
      </c>
      <c r="AE77" s="6"/>
      <c r="AG77" s="188" t="s">
        <v>1533</v>
      </c>
      <c r="AH77" s="188" t="s">
        <v>28</v>
      </c>
    </row>
    <row r="78" spans="2:34" s="188" customFormat="1" ht="16" customHeight="1" thickTop="1" thickBot="1">
      <c r="B78" s="6"/>
      <c r="C78" s="6"/>
      <c r="D78" s="9"/>
      <c r="I78" s="190" t="s">
        <v>1752</v>
      </c>
      <c r="J78" s="189"/>
      <c r="K78" s="190" t="s">
        <v>1578</v>
      </c>
      <c r="U78" s="269" t="s">
        <v>1447</v>
      </c>
      <c r="W78" s="188" t="s">
        <v>52</v>
      </c>
      <c r="X78" s="188" t="s">
        <v>15</v>
      </c>
      <c r="Z78" s="188" t="s">
        <v>18</v>
      </c>
      <c r="AA78" s="188" t="s">
        <v>3</v>
      </c>
      <c r="AE78" s="6"/>
      <c r="AG78" s="188" t="s">
        <v>1447</v>
      </c>
      <c r="AH78" s="188" t="s">
        <v>33</v>
      </c>
    </row>
    <row r="79" spans="2:34" s="188" customFormat="1" ht="16" customHeight="1" thickTop="1" thickBot="1">
      <c r="B79" s="6"/>
      <c r="C79" s="6"/>
      <c r="D79" s="9"/>
      <c r="I79" s="190" t="s">
        <v>1810</v>
      </c>
      <c r="J79" s="189"/>
      <c r="K79" s="190" t="s">
        <v>1425</v>
      </c>
      <c r="U79" s="269" t="s">
        <v>1846</v>
      </c>
      <c r="W79" s="188" t="s">
        <v>634</v>
      </c>
      <c r="X79" s="188" t="s">
        <v>1220</v>
      </c>
      <c r="Z79" s="188" t="s">
        <v>51</v>
      </c>
      <c r="AA79" s="188" t="s">
        <v>5</v>
      </c>
      <c r="AE79" s="6"/>
      <c r="AG79" s="188" t="s">
        <v>1846</v>
      </c>
      <c r="AH79" s="188" t="s">
        <v>19</v>
      </c>
    </row>
    <row r="80" spans="2:34" s="188" customFormat="1" ht="16" customHeight="1" thickTop="1" thickBot="1">
      <c r="B80" s="6"/>
      <c r="C80" s="6"/>
      <c r="D80" s="9"/>
      <c r="I80" s="190" t="s">
        <v>1392</v>
      </c>
      <c r="J80" s="189"/>
      <c r="K80" s="190" t="s">
        <v>1710</v>
      </c>
      <c r="U80" s="269" t="s">
        <v>1453</v>
      </c>
      <c r="W80" s="188" t="s">
        <v>19</v>
      </c>
      <c r="X80" s="188" t="s">
        <v>4</v>
      </c>
      <c r="Z80" s="188" t="s">
        <v>28</v>
      </c>
      <c r="AA80" s="188" t="s">
        <v>16</v>
      </c>
      <c r="AE80" s="6"/>
      <c r="AG80" s="188" t="s">
        <v>1453</v>
      </c>
      <c r="AH80" s="188" t="s">
        <v>633</v>
      </c>
    </row>
    <row r="81" spans="2:34" s="188" customFormat="1" ht="16" customHeight="1" thickTop="1" thickBot="1">
      <c r="B81" s="6"/>
      <c r="C81" s="6"/>
      <c r="D81" s="9"/>
      <c r="I81" s="190" t="s">
        <v>1639</v>
      </c>
      <c r="J81" s="189"/>
      <c r="K81" s="190" t="s">
        <v>1341</v>
      </c>
      <c r="U81" s="269" t="s">
        <v>1303</v>
      </c>
      <c r="W81" s="188" t="s">
        <v>27</v>
      </c>
      <c r="X81" s="188" t="s">
        <v>14</v>
      </c>
      <c r="Z81" s="188" t="s">
        <v>21</v>
      </c>
      <c r="AA81" s="188" t="s">
        <v>7</v>
      </c>
      <c r="AE81" s="6"/>
      <c r="AG81" s="188" t="s">
        <v>1303</v>
      </c>
      <c r="AH81" s="188" t="s">
        <v>19</v>
      </c>
    </row>
    <row r="82" spans="2:34" s="188" customFormat="1" ht="16" customHeight="1" thickTop="1" thickBot="1">
      <c r="B82" s="6"/>
      <c r="C82" s="6"/>
      <c r="D82" s="9"/>
      <c r="I82" s="190" t="s">
        <v>1408</v>
      </c>
      <c r="J82" s="189"/>
      <c r="K82" s="190" t="s">
        <v>1524</v>
      </c>
      <c r="U82" s="269" t="s">
        <v>1279</v>
      </c>
      <c r="W82" s="188" t="s">
        <v>43</v>
      </c>
      <c r="X82" s="188" t="s">
        <v>32</v>
      </c>
      <c r="Z82" s="188" t="s">
        <v>52</v>
      </c>
      <c r="AA82" s="188" t="s">
        <v>15</v>
      </c>
      <c r="AE82" s="6"/>
      <c r="AG82" s="188" t="s">
        <v>1279</v>
      </c>
      <c r="AH82" s="188" t="s">
        <v>30</v>
      </c>
    </row>
    <row r="83" spans="2:34" s="188" customFormat="1" ht="16" customHeight="1" thickTop="1" thickBot="1">
      <c r="B83" s="6"/>
      <c r="C83" s="6"/>
      <c r="D83" s="9"/>
      <c r="I83" s="190" t="s">
        <v>1670</v>
      </c>
      <c r="J83" s="189"/>
      <c r="K83" s="190" t="s">
        <v>1526</v>
      </c>
      <c r="U83" s="269" t="s">
        <v>1284</v>
      </c>
      <c r="W83" s="188" t="s">
        <v>20</v>
      </c>
      <c r="X83" s="188" t="s">
        <v>6</v>
      </c>
      <c r="Z83" s="188" t="s">
        <v>26</v>
      </c>
      <c r="AA83" s="188" t="s">
        <v>12</v>
      </c>
      <c r="AE83" s="6"/>
      <c r="AG83" s="188" t="s">
        <v>1284</v>
      </c>
      <c r="AH83" s="188" t="s">
        <v>30</v>
      </c>
    </row>
    <row r="84" spans="2:34" s="188" customFormat="1" ht="16" customHeight="1" thickTop="1" thickBot="1">
      <c r="B84" s="6"/>
      <c r="C84" s="6"/>
      <c r="D84" s="9"/>
      <c r="I84" s="190" t="s">
        <v>1851</v>
      </c>
      <c r="J84" s="189"/>
      <c r="K84" s="190" t="s">
        <v>1343</v>
      </c>
      <c r="U84" s="269" t="s">
        <v>1276</v>
      </c>
      <c r="W84" s="188" t="s">
        <v>28</v>
      </c>
      <c r="X84" s="188" t="s">
        <v>16</v>
      </c>
      <c r="Z84" s="188" t="s">
        <v>29</v>
      </c>
      <c r="AA84" s="188" t="s">
        <v>1</v>
      </c>
      <c r="AE84" s="6"/>
      <c r="AG84" s="188" t="s">
        <v>1276</v>
      </c>
      <c r="AH84" s="188" t="s">
        <v>20</v>
      </c>
    </row>
    <row r="85" spans="2:34" s="188" customFormat="1" ht="16" customHeight="1" thickTop="1" thickBot="1">
      <c r="B85" s="6"/>
      <c r="C85" s="6"/>
      <c r="D85" s="9"/>
      <c r="I85" s="190" t="s">
        <v>1765</v>
      </c>
      <c r="J85" s="189"/>
      <c r="K85" s="190" t="s">
        <v>1321</v>
      </c>
      <c r="U85" s="269" t="s">
        <v>1880</v>
      </c>
      <c r="W85" s="188" t="s">
        <v>21</v>
      </c>
      <c r="X85" s="188" t="s">
        <v>7</v>
      </c>
      <c r="Z85" s="188" t="s">
        <v>17</v>
      </c>
      <c r="AA85" s="188" t="s">
        <v>0</v>
      </c>
      <c r="AE85" s="6"/>
      <c r="AG85" s="188" t="s">
        <v>1880</v>
      </c>
      <c r="AH85" s="188" t="s">
        <v>26</v>
      </c>
    </row>
    <row r="86" spans="2:34" s="188" customFormat="1" ht="16" customHeight="1" thickTop="1" thickBot="1">
      <c r="B86" s="6"/>
      <c r="C86" s="6"/>
      <c r="D86" s="9"/>
      <c r="I86" s="190" t="s">
        <v>1828</v>
      </c>
      <c r="J86" s="189"/>
      <c r="K86" s="190" t="s">
        <v>1458</v>
      </c>
      <c r="U86" s="269" t="s">
        <v>1848</v>
      </c>
      <c r="W86" s="188" t="s">
        <v>18</v>
      </c>
      <c r="X86" s="188" t="s">
        <v>3</v>
      </c>
      <c r="Z86" s="188" t="s">
        <v>634</v>
      </c>
      <c r="AA86" s="188" t="s">
        <v>1220</v>
      </c>
      <c r="AE86" s="6"/>
      <c r="AG86" s="188" t="s">
        <v>1848</v>
      </c>
      <c r="AH86" s="188" t="s">
        <v>43</v>
      </c>
    </row>
    <row r="87" spans="2:34" s="188" customFormat="1" ht="16" customHeight="1" thickTop="1" thickBot="1">
      <c r="B87" s="6"/>
      <c r="C87" s="6"/>
      <c r="D87" s="9"/>
      <c r="I87" s="190" t="s">
        <v>1346</v>
      </c>
      <c r="J87" s="189"/>
      <c r="K87" s="190" t="s">
        <v>1469</v>
      </c>
      <c r="U87" s="269" t="s">
        <v>1743</v>
      </c>
      <c r="W87" s="188" t="s">
        <v>24</v>
      </c>
      <c r="X87" s="188" t="s">
        <v>10</v>
      </c>
      <c r="Z87" s="188" t="s">
        <v>19</v>
      </c>
      <c r="AA87" s="188" t="s">
        <v>4</v>
      </c>
      <c r="AE87" s="6"/>
      <c r="AG87" s="188" t="s">
        <v>1743</v>
      </c>
      <c r="AH87" s="188" t="s">
        <v>24</v>
      </c>
    </row>
    <row r="88" spans="2:34" s="188" customFormat="1" ht="16" customHeight="1" thickTop="1" thickBot="1">
      <c r="B88" s="6"/>
      <c r="C88" s="6"/>
      <c r="D88" s="9"/>
      <c r="I88" s="190" t="s">
        <v>1635</v>
      </c>
      <c r="J88" s="189"/>
      <c r="K88" s="190" t="s">
        <v>1280</v>
      </c>
      <c r="U88" s="269" t="s">
        <v>1357</v>
      </c>
      <c r="W88" s="188" t="s">
        <v>633</v>
      </c>
      <c r="X88" s="188" t="s">
        <v>1221</v>
      </c>
      <c r="Z88" s="188" t="s">
        <v>27</v>
      </c>
      <c r="AA88" s="188" t="s">
        <v>14</v>
      </c>
      <c r="AE88" s="6"/>
      <c r="AG88" s="188" t="s">
        <v>1357</v>
      </c>
      <c r="AH88" s="188" t="s">
        <v>52</v>
      </c>
    </row>
    <row r="89" spans="2:34" s="188" customFormat="1" ht="16" customHeight="1" thickTop="1" thickBot="1">
      <c r="B89" s="6"/>
      <c r="C89" s="6"/>
      <c r="D89" s="9"/>
      <c r="I89" s="190" t="s">
        <v>1819</v>
      </c>
      <c r="J89" s="189"/>
      <c r="K89" s="190" t="s">
        <v>1778</v>
      </c>
      <c r="U89" s="269" t="s">
        <v>1650</v>
      </c>
      <c r="W89" s="188" t="s">
        <v>30</v>
      </c>
      <c r="X89" s="188" t="s">
        <v>2</v>
      </c>
      <c r="Z89" s="188" t="s">
        <v>33</v>
      </c>
      <c r="AA89" s="188" t="s">
        <v>13</v>
      </c>
      <c r="AE89" s="6"/>
      <c r="AG89" s="188" t="s">
        <v>1650</v>
      </c>
      <c r="AH89" s="188" t="s">
        <v>27</v>
      </c>
    </row>
    <row r="90" spans="2:34" s="188" customFormat="1" ht="16" customHeight="1" thickTop="1" thickBot="1">
      <c r="B90" s="6"/>
      <c r="C90" s="6"/>
      <c r="D90" s="9"/>
      <c r="I90" s="190" t="s">
        <v>1802</v>
      </c>
      <c r="J90" s="189"/>
      <c r="K90" s="190" t="s">
        <v>1557</v>
      </c>
      <c r="U90" s="269" t="s">
        <v>1716</v>
      </c>
      <c r="W90" s="188" t="s">
        <v>25</v>
      </c>
      <c r="X90" s="188" t="s">
        <v>11</v>
      </c>
      <c r="Z90" s="188" t="s">
        <v>23</v>
      </c>
      <c r="AA90" s="188" t="s">
        <v>9</v>
      </c>
      <c r="AE90" s="6"/>
      <c r="AG90" s="188" t="s">
        <v>1716</v>
      </c>
      <c r="AH90" s="188" t="s">
        <v>19</v>
      </c>
    </row>
    <row r="91" spans="2:34" s="188" customFormat="1" ht="16" customHeight="1" thickTop="1" thickBot="1">
      <c r="B91" s="6"/>
      <c r="C91" s="6"/>
      <c r="D91" s="9"/>
      <c r="I91" s="190" t="s">
        <v>1581</v>
      </c>
      <c r="J91" s="189"/>
      <c r="K91" s="190" t="s">
        <v>1649</v>
      </c>
      <c r="U91" s="269" t="s">
        <v>1371</v>
      </c>
      <c r="W91" s="188" t="s">
        <v>51</v>
      </c>
      <c r="X91" s="188" t="s">
        <v>5</v>
      </c>
      <c r="Z91" s="188" t="s">
        <v>22</v>
      </c>
      <c r="AA91" s="188" t="s">
        <v>8</v>
      </c>
      <c r="AE91" s="6"/>
      <c r="AG91" s="188" t="s">
        <v>1371</v>
      </c>
      <c r="AH91" s="188" t="s">
        <v>27</v>
      </c>
    </row>
    <row r="92" spans="2:34" s="188" customFormat="1" ht="16" customHeight="1" thickTop="1" thickBot="1">
      <c r="B92" s="6"/>
      <c r="C92" s="6"/>
      <c r="D92" s="9"/>
      <c r="I92" s="190" t="s">
        <v>1679</v>
      </c>
      <c r="J92" s="189"/>
      <c r="K92" s="190" t="s">
        <v>1307</v>
      </c>
      <c r="U92" s="269" t="s">
        <v>1663</v>
      </c>
      <c r="W92" s="188" t="s">
        <v>33</v>
      </c>
      <c r="X92" s="188" t="s">
        <v>13</v>
      </c>
      <c r="Z92" s="188" t="s">
        <v>633</v>
      </c>
      <c r="AA92" s="188" t="s">
        <v>1221</v>
      </c>
      <c r="AE92" s="6"/>
      <c r="AG92" s="188" t="s">
        <v>1663</v>
      </c>
      <c r="AH92" s="188" t="s">
        <v>23</v>
      </c>
    </row>
    <row r="93" spans="2:34" s="188" customFormat="1" ht="16" customHeight="1" thickTop="1" thickBot="1">
      <c r="B93" s="6"/>
      <c r="C93" s="6"/>
      <c r="D93" s="9"/>
      <c r="I93" s="190" t="s">
        <v>1856</v>
      </c>
      <c r="J93" s="189"/>
      <c r="K93" s="190" t="s">
        <v>1754</v>
      </c>
      <c r="U93" s="269" t="s">
        <v>1868</v>
      </c>
      <c r="W93" s="188" t="s">
        <v>22</v>
      </c>
      <c r="X93" s="188" t="s">
        <v>8</v>
      </c>
      <c r="Z93" s="188" t="s">
        <v>20</v>
      </c>
      <c r="AA93" s="188" t="s">
        <v>6</v>
      </c>
      <c r="AE93" s="6"/>
      <c r="AG93" s="188" t="s">
        <v>1868</v>
      </c>
      <c r="AH93" s="188" t="s">
        <v>17</v>
      </c>
    </row>
    <row r="94" spans="2:34" s="188" customFormat="1" ht="16" customHeight="1" thickTop="1" thickBot="1">
      <c r="B94" s="6"/>
      <c r="C94" s="6"/>
      <c r="D94" s="9"/>
      <c r="I94" s="190" t="s">
        <v>1424</v>
      </c>
      <c r="J94" s="189"/>
      <c r="K94" s="190" t="s">
        <v>1719</v>
      </c>
      <c r="U94" s="269" t="s">
        <v>1586</v>
      </c>
      <c r="W94" s="188" t="s">
        <v>26</v>
      </c>
      <c r="X94" s="188" t="s">
        <v>12</v>
      </c>
      <c r="Z94" s="188" t="s">
        <v>21</v>
      </c>
      <c r="AA94" s="188" t="s">
        <v>7</v>
      </c>
      <c r="AE94" s="6"/>
      <c r="AG94" s="188" t="s">
        <v>1586</v>
      </c>
      <c r="AH94" s="188" t="s">
        <v>25</v>
      </c>
    </row>
    <row r="95" spans="2:34" s="188" customFormat="1" ht="16" customHeight="1" thickTop="1" thickBot="1">
      <c r="B95" s="6"/>
      <c r="C95" s="6"/>
      <c r="D95" s="9"/>
      <c r="I95" s="190" t="s">
        <v>1528</v>
      </c>
      <c r="J95" s="189"/>
      <c r="K95" s="190" t="s">
        <v>1592</v>
      </c>
      <c r="U95" s="269" t="s">
        <v>1614</v>
      </c>
      <c r="W95" s="188" t="s">
        <v>23</v>
      </c>
      <c r="X95" s="188" t="s">
        <v>9</v>
      </c>
      <c r="Z95" s="188" t="s">
        <v>51</v>
      </c>
      <c r="AA95" s="188" t="s">
        <v>5</v>
      </c>
      <c r="AE95" s="6"/>
      <c r="AG95" s="188" t="s">
        <v>1614</v>
      </c>
      <c r="AH95" s="188" t="s">
        <v>21</v>
      </c>
    </row>
    <row r="96" spans="2:34" s="188" customFormat="1" ht="16" customHeight="1" thickTop="1" thickBot="1">
      <c r="B96" s="6"/>
      <c r="C96" s="6"/>
      <c r="D96" s="9"/>
      <c r="I96" s="190" t="s">
        <v>1839</v>
      </c>
      <c r="J96" s="189"/>
      <c r="K96" s="190" t="s">
        <v>1326</v>
      </c>
      <c r="U96" s="269" t="s">
        <v>1806</v>
      </c>
      <c r="W96" s="188" t="s">
        <v>17</v>
      </c>
      <c r="X96" s="188" t="s">
        <v>0</v>
      </c>
      <c r="Z96" s="188" t="s">
        <v>28</v>
      </c>
      <c r="AA96" s="188" t="s">
        <v>16</v>
      </c>
      <c r="AE96" s="6"/>
      <c r="AG96" s="188" t="s">
        <v>1806</v>
      </c>
      <c r="AH96" s="188" t="s">
        <v>51</v>
      </c>
    </row>
    <row r="97" spans="2:34" s="188" customFormat="1" ht="16" customHeight="1" thickTop="1" thickBot="1">
      <c r="B97" s="6"/>
      <c r="C97" s="6"/>
      <c r="D97" s="9"/>
      <c r="I97" s="190" t="s">
        <v>1351</v>
      </c>
      <c r="J97" s="189"/>
      <c r="K97" s="190" t="s">
        <v>1432</v>
      </c>
      <c r="U97" s="269" t="s">
        <v>1435</v>
      </c>
      <c r="W97" s="188" t="s">
        <v>29</v>
      </c>
      <c r="X97" s="188" t="s">
        <v>1</v>
      </c>
      <c r="Z97" s="188" t="s">
        <v>43</v>
      </c>
      <c r="AA97" s="188" t="s">
        <v>32</v>
      </c>
      <c r="AE97" s="6"/>
      <c r="AG97" s="188" t="s">
        <v>1435</v>
      </c>
      <c r="AH97" s="188" t="s">
        <v>24</v>
      </c>
    </row>
    <row r="98" spans="2:34" s="188" customFormat="1" ht="16" customHeight="1" thickTop="1" thickBot="1">
      <c r="B98" s="6"/>
      <c r="C98" s="6"/>
      <c r="D98" s="9"/>
      <c r="I98" s="190" t="s">
        <v>1728</v>
      </c>
      <c r="J98" s="189"/>
      <c r="K98" s="190" t="s">
        <v>1468</v>
      </c>
      <c r="U98" s="269" t="s">
        <v>1482</v>
      </c>
      <c r="W98" s="188" t="s">
        <v>52</v>
      </c>
      <c r="X98" s="188" t="s">
        <v>15</v>
      </c>
      <c r="Z98" s="188" t="s">
        <v>30</v>
      </c>
      <c r="AA98" s="188" t="s">
        <v>2</v>
      </c>
      <c r="AE98" s="6"/>
      <c r="AG98" s="188" t="s">
        <v>1482</v>
      </c>
      <c r="AH98" s="188" t="s">
        <v>33</v>
      </c>
    </row>
    <row r="99" spans="2:34" s="188" customFormat="1" ht="16" customHeight="1" thickTop="1" thickBot="1">
      <c r="B99" s="6"/>
      <c r="C99" s="6"/>
      <c r="D99" s="9"/>
      <c r="I99" s="190" t="s">
        <v>1833</v>
      </c>
      <c r="J99" s="189"/>
      <c r="K99" s="190" t="s">
        <v>1492</v>
      </c>
      <c r="U99" s="269" t="s">
        <v>1438</v>
      </c>
      <c r="W99" s="188" t="s">
        <v>634</v>
      </c>
      <c r="X99" s="188" t="s">
        <v>1220</v>
      </c>
      <c r="Z99" s="188" t="s">
        <v>24</v>
      </c>
      <c r="AA99" s="188" t="s">
        <v>10</v>
      </c>
      <c r="AE99" s="6"/>
      <c r="AG99" s="188" t="s">
        <v>1438</v>
      </c>
      <c r="AH99" s="188" t="s">
        <v>30</v>
      </c>
    </row>
    <row r="100" spans="2:34" s="188" customFormat="1" ht="16" customHeight="1" thickTop="1" thickBot="1">
      <c r="B100" s="6"/>
      <c r="C100" s="6"/>
      <c r="D100" s="9"/>
      <c r="I100" s="190" t="s">
        <v>1403</v>
      </c>
      <c r="J100" s="189"/>
      <c r="K100" s="190" t="s">
        <v>1593</v>
      </c>
      <c r="U100" s="269" t="s">
        <v>1514</v>
      </c>
      <c r="W100" s="188" t="s">
        <v>19</v>
      </c>
      <c r="X100" s="188" t="s">
        <v>4</v>
      </c>
      <c r="Z100" s="188" t="s">
        <v>18</v>
      </c>
      <c r="AA100" s="188" t="s">
        <v>3</v>
      </c>
      <c r="AE100" s="6"/>
      <c r="AG100" s="188" t="s">
        <v>1514</v>
      </c>
      <c r="AH100" s="188" t="s">
        <v>33</v>
      </c>
    </row>
    <row r="101" spans="2:34" s="188" customFormat="1" ht="16" customHeight="1" thickTop="1" thickBot="1">
      <c r="B101" s="6"/>
      <c r="C101" s="6"/>
      <c r="D101" s="9"/>
      <c r="I101" s="190" t="s">
        <v>1513</v>
      </c>
      <c r="J101" s="189"/>
      <c r="K101" s="190" t="s">
        <v>1597</v>
      </c>
      <c r="U101" s="269" t="s">
        <v>1854</v>
      </c>
      <c r="W101" s="188" t="s">
        <v>27</v>
      </c>
      <c r="X101" s="188" t="s">
        <v>14</v>
      </c>
      <c r="Z101" s="188" t="s">
        <v>25</v>
      </c>
      <c r="AA101" s="188" t="s">
        <v>11</v>
      </c>
      <c r="AE101" s="6"/>
      <c r="AG101" s="188" t="s">
        <v>1854</v>
      </c>
      <c r="AH101" s="188" t="s">
        <v>33</v>
      </c>
    </row>
    <row r="102" spans="2:34" s="188" customFormat="1" ht="16" customHeight="1" thickTop="1" thickBot="1">
      <c r="B102" s="6"/>
      <c r="C102" s="6"/>
      <c r="D102" s="9"/>
      <c r="I102" s="190" t="s">
        <v>1705</v>
      </c>
      <c r="J102" s="189"/>
      <c r="K102" s="190" t="s">
        <v>1460</v>
      </c>
      <c r="U102" s="269" t="s">
        <v>1605</v>
      </c>
      <c r="W102" s="188" t="s">
        <v>28</v>
      </c>
      <c r="X102" s="188" t="s">
        <v>16</v>
      </c>
      <c r="Z102" s="188" t="s">
        <v>43</v>
      </c>
      <c r="AA102" s="188" t="s">
        <v>32</v>
      </c>
      <c r="AE102" s="6"/>
      <c r="AG102" s="188" t="s">
        <v>1605</v>
      </c>
      <c r="AH102" s="188" t="s">
        <v>26</v>
      </c>
    </row>
    <row r="103" spans="2:34" s="188" customFormat="1" ht="16" customHeight="1" thickTop="1" thickBot="1">
      <c r="B103" s="6"/>
      <c r="C103" s="6"/>
      <c r="D103" s="9"/>
      <c r="I103" s="190" t="s">
        <v>1764</v>
      </c>
      <c r="J103" s="189"/>
      <c r="K103" s="190" t="s">
        <v>1677</v>
      </c>
      <c r="U103" s="269" t="s">
        <v>1545</v>
      </c>
      <c r="W103" s="188" t="s">
        <v>21</v>
      </c>
      <c r="X103" s="188" t="s">
        <v>7</v>
      </c>
      <c r="Z103" s="188" t="s">
        <v>25</v>
      </c>
      <c r="AA103" s="188" t="s">
        <v>11</v>
      </c>
      <c r="AE103" s="6"/>
      <c r="AG103" s="188" t="s">
        <v>1545</v>
      </c>
      <c r="AH103" s="188" t="s">
        <v>634</v>
      </c>
    </row>
    <row r="104" spans="2:34" s="188" customFormat="1" ht="16" customHeight="1" thickTop="1" thickBot="1">
      <c r="B104" s="6"/>
      <c r="C104" s="6"/>
      <c r="D104" s="9"/>
      <c r="I104" s="190" t="s">
        <v>1797</v>
      </c>
      <c r="J104" s="189"/>
      <c r="K104" s="190" t="s">
        <v>1683</v>
      </c>
      <c r="U104" s="269" t="s">
        <v>1626</v>
      </c>
      <c r="W104" s="188" t="s">
        <v>18</v>
      </c>
      <c r="X104" s="188" t="s">
        <v>3</v>
      </c>
      <c r="Z104" s="188" t="s">
        <v>51</v>
      </c>
      <c r="AA104" s="188" t="s">
        <v>5</v>
      </c>
      <c r="AE104" s="6"/>
      <c r="AG104" s="188" t="s">
        <v>1626</v>
      </c>
      <c r="AH104" s="188" t="s">
        <v>30</v>
      </c>
    </row>
    <row r="105" spans="2:34" s="188" customFormat="1" ht="16" customHeight="1" thickTop="1" thickBot="1">
      <c r="B105" s="6"/>
      <c r="C105" s="6"/>
      <c r="D105" s="9"/>
      <c r="I105" s="190" t="s">
        <v>1497</v>
      </c>
      <c r="J105" s="189"/>
      <c r="K105" s="190" t="s">
        <v>1760</v>
      </c>
      <c r="U105" s="269" t="s">
        <v>1834</v>
      </c>
      <c r="W105" s="188" t="s">
        <v>26</v>
      </c>
      <c r="X105" s="188" t="s">
        <v>12</v>
      </c>
      <c r="Z105" s="188" t="s">
        <v>33</v>
      </c>
      <c r="AA105" s="188" t="s">
        <v>13</v>
      </c>
      <c r="AE105" s="6"/>
      <c r="AG105" s="188" t="s">
        <v>1834</v>
      </c>
      <c r="AH105" s="188" t="s">
        <v>43</v>
      </c>
    </row>
    <row r="106" spans="2:34" s="188" customFormat="1" ht="16" customHeight="1" thickTop="1" thickBot="1">
      <c r="B106" s="6"/>
      <c r="C106" s="6"/>
      <c r="D106" s="9"/>
      <c r="I106" s="190" t="s">
        <v>1850</v>
      </c>
      <c r="J106" s="189"/>
      <c r="K106" s="190" t="s">
        <v>1685</v>
      </c>
      <c r="U106" s="269" t="s">
        <v>1637</v>
      </c>
      <c r="W106" s="188" t="s">
        <v>24</v>
      </c>
      <c r="X106" s="188" t="s">
        <v>10</v>
      </c>
      <c r="Z106" s="188" t="s">
        <v>23</v>
      </c>
      <c r="AA106" s="188" t="s">
        <v>9</v>
      </c>
      <c r="AE106" s="6"/>
      <c r="AG106" s="188" t="s">
        <v>1637</v>
      </c>
      <c r="AH106" s="188" t="s">
        <v>26</v>
      </c>
    </row>
    <row r="107" spans="2:34" s="188" customFormat="1" ht="16" customHeight="1" thickTop="1" thickBot="1">
      <c r="B107" s="6"/>
      <c r="C107" s="6"/>
      <c r="D107" s="9"/>
      <c r="I107" s="190" t="s">
        <v>1766</v>
      </c>
      <c r="J107" s="189"/>
      <c r="K107" s="190" t="s">
        <v>1409</v>
      </c>
      <c r="U107" s="269" t="s">
        <v>1589</v>
      </c>
      <c r="W107" s="188" t="s">
        <v>29</v>
      </c>
      <c r="X107" s="188" t="s">
        <v>1</v>
      </c>
      <c r="Z107" s="188" t="s">
        <v>17</v>
      </c>
      <c r="AA107" s="188" t="s">
        <v>0</v>
      </c>
      <c r="AE107" s="6"/>
      <c r="AG107" s="188" t="s">
        <v>1589</v>
      </c>
      <c r="AH107" s="188" t="s">
        <v>634</v>
      </c>
    </row>
    <row r="108" spans="2:34" s="188" customFormat="1" ht="16" customHeight="1" thickTop="1" thickBot="1">
      <c r="B108" s="6"/>
      <c r="C108" s="6"/>
      <c r="D108" s="9"/>
      <c r="I108" s="190" t="s">
        <v>1579</v>
      </c>
      <c r="J108" s="189"/>
      <c r="K108" s="190" t="s">
        <v>1336</v>
      </c>
      <c r="U108" s="269" t="s">
        <v>1289</v>
      </c>
      <c r="W108" s="188" t="s">
        <v>52</v>
      </c>
      <c r="X108" s="188" t="s">
        <v>15</v>
      </c>
      <c r="Z108" s="188" t="s">
        <v>633</v>
      </c>
      <c r="AA108" s="188" t="s">
        <v>1221</v>
      </c>
      <c r="AE108" s="6"/>
      <c r="AG108" s="188" t="s">
        <v>1289</v>
      </c>
      <c r="AH108" s="188" t="s">
        <v>52</v>
      </c>
    </row>
    <row r="109" spans="2:34" s="188" customFormat="1" ht="16" customHeight="1" thickTop="1" thickBot="1">
      <c r="B109" s="6"/>
      <c r="C109" s="6"/>
      <c r="D109" s="9"/>
      <c r="I109" s="190" t="s">
        <v>1847</v>
      </c>
      <c r="J109" s="189"/>
      <c r="K109" s="190" t="s">
        <v>1437</v>
      </c>
      <c r="U109" s="269" t="s">
        <v>1414</v>
      </c>
      <c r="W109" s="188" t="s">
        <v>634</v>
      </c>
      <c r="X109" s="188" t="s">
        <v>1220</v>
      </c>
      <c r="Z109" s="188" t="s">
        <v>20</v>
      </c>
      <c r="AA109" s="188" t="s">
        <v>6</v>
      </c>
      <c r="AE109" s="6"/>
      <c r="AG109" s="188" t="s">
        <v>1414</v>
      </c>
      <c r="AH109" s="188" t="s">
        <v>20</v>
      </c>
    </row>
    <row r="110" spans="2:34" s="188" customFormat="1" ht="16" customHeight="1" thickTop="1" thickBot="1">
      <c r="B110" s="6"/>
      <c r="C110" s="6"/>
      <c r="D110" s="9"/>
      <c r="I110" s="190" t="s">
        <v>1696</v>
      </c>
      <c r="J110" s="189"/>
      <c r="K110" s="190" t="s">
        <v>1333</v>
      </c>
      <c r="U110" s="269" t="s">
        <v>1374</v>
      </c>
      <c r="W110" s="188" t="s">
        <v>19</v>
      </c>
      <c r="X110" s="188" t="s">
        <v>4</v>
      </c>
      <c r="Z110" s="188" t="s">
        <v>30</v>
      </c>
      <c r="AA110" s="188" t="s">
        <v>2</v>
      </c>
      <c r="AE110" s="6"/>
      <c r="AG110" s="188" t="s">
        <v>1374</v>
      </c>
      <c r="AH110" s="188" t="s">
        <v>18</v>
      </c>
    </row>
    <row r="111" spans="2:34" s="188" customFormat="1" ht="16" customHeight="1" thickTop="1" thickBot="1">
      <c r="B111" s="6"/>
      <c r="C111" s="6"/>
      <c r="D111" s="9"/>
      <c r="I111" s="190" t="s">
        <v>1631</v>
      </c>
      <c r="J111" s="189"/>
      <c r="K111" s="190" t="s">
        <v>1376</v>
      </c>
      <c r="U111" s="269" t="s">
        <v>1475</v>
      </c>
      <c r="W111" s="188" t="s">
        <v>27</v>
      </c>
      <c r="X111" s="188" t="s">
        <v>14</v>
      </c>
      <c r="Z111" s="188" t="s">
        <v>22</v>
      </c>
      <c r="AA111" s="188" t="s">
        <v>8</v>
      </c>
      <c r="AE111" s="6"/>
      <c r="AG111" s="188" t="s">
        <v>1475</v>
      </c>
      <c r="AH111" s="188" t="s">
        <v>29</v>
      </c>
    </row>
    <row r="112" spans="2:34" s="188" customFormat="1" ht="16" customHeight="1" thickTop="1" thickBot="1">
      <c r="B112" s="6"/>
      <c r="C112" s="6"/>
      <c r="D112" s="9"/>
      <c r="I112" s="190" t="s">
        <v>1664</v>
      </c>
      <c r="J112" s="189"/>
      <c r="K112" s="190" t="s">
        <v>1609</v>
      </c>
      <c r="U112" s="269" t="s">
        <v>1782</v>
      </c>
      <c r="W112" s="188" t="s">
        <v>43</v>
      </c>
      <c r="X112" s="188" t="s">
        <v>32</v>
      </c>
      <c r="Z112" s="188" t="s">
        <v>27</v>
      </c>
      <c r="AA112" s="188" t="s">
        <v>14</v>
      </c>
      <c r="AE112" s="6"/>
      <c r="AG112" s="188" t="s">
        <v>1782</v>
      </c>
      <c r="AH112" s="188" t="s">
        <v>24</v>
      </c>
    </row>
    <row r="113" spans="2:34" s="188" customFormat="1" ht="16" customHeight="1" thickTop="1" thickBot="1">
      <c r="B113" s="6"/>
      <c r="C113" s="6"/>
      <c r="D113" s="9"/>
      <c r="I113" s="190" t="s">
        <v>1830</v>
      </c>
      <c r="J113" s="189"/>
      <c r="K113" s="190" t="s">
        <v>1587</v>
      </c>
      <c r="U113" s="269" t="s">
        <v>1293</v>
      </c>
      <c r="W113" s="188" t="s">
        <v>20</v>
      </c>
      <c r="X113" s="188" t="s">
        <v>6</v>
      </c>
      <c r="Z113" s="188" t="s">
        <v>19</v>
      </c>
      <c r="AA113" s="188" t="s">
        <v>4</v>
      </c>
      <c r="AE113" s="6"/>
      <c r="AG113" s="188" t="s">
        <v>1293</v>
      </c>
      <c r="AH113" s="188" t="s">
        <v>17</v>
      </c>
    </row>
    <row r="114" spans="2:34" s="188" customFormat="1" ht="16" customHeight="1" thickTop="1" thickBot="1">
      <c r="B114" s="6"/>
      <c r="C114" s="6"/>
      <c r="D114" s="9"/>
      <c r="I114" s="190" t="s">
        <v>1638</v>
      </c>
      <c r="J114" s="189"/>
      <c r="K114" s="190" t="s">
        <v>1451</v>
      </c>
      <c r="U114" s="269" t="s">
        <v>1274</v>
      </c>
      <c r="W114" s="188" t="s">
        <v>33</v>
      </c>
      <c r="X114" s="188" t="s">
        <v>13</v>
      </c>
      <c r="Z114" s="188" t="s">
        <v>21</v>
      </c>
      <c r="AA114" s="188" t="s">
        <v>7</v>
      </c>
      <c r="AE114" s="6"/>
      <c r="AG114" s="188" t="s">
        <v>1274</v>
      </c>
      <c r="AH114" s="188" t="s">
        <v>18</v>
      </c>
    </row>
    <row r="115" spans="2:34" s="188" customFormat="1" ht="16" customHeight="1" thickTop="1" thickBot="1">
      <c r="B115" s="6"/>
      <c r="C115" s="6"/>
      <c r="D115" s="9"/>
      <c r="I115" s="190" t="s">
        <v>1894</v>
      </c>
      <c r="J115" s="189"/>
      <c r="K115" s="190" t="s">
        <v>1576</v>
      </c>
      <c r="U115" s="269" t="s">
        <v>1734</v>
      </c>
      <c r="W115" s="188" t="s">
        <v>22</v>
      </c>
      <c r="X115" s="188" t="s">
        <v>8</v>
      </c>
      <c r="Z115" s="188" t="s">
        <v>18</v>
      </c>
      <c r="AA115" s="188" t="s">
        <v>3</v>
      </c>
      <c r="AE115" s="6"/>
      <c r="AG115" s="188" t="s">
        <v>1734</v>
      </c>
      <c r="AH115" s="188" t="s">
        <v>22</v>
      </c>
    </row>
    <row r="116" spans="2:34" s="188" customFormat="1" ht="16" customHeight="1" thickTop="1" thickBot="1">
      <c r="B116" s="6"/>
      <c r="C116" s="6"/>
      <c r="D116" s="9"/>
      <c r="I116" s="190" t="s">
        <v>1499</v>
      </c>
      <c r="J116" s="189"/>
      <c r="K116" s="190" t="s">
        <v>1313</v>
      </c>
      <c r="U116" s="269" t="s">
        <v>1520</v>
      </c>
      <c r="W116" s="188" t="s">
        <v>23</v>
      </c>
      <c r="X116" s="188" t="s">
        <v>9</v>
      </c>
      <c r="Z116" s="188" t="s">
        <v>634</v>
      </c>
      <c r="AA116" s="188" t="s">
        <v>1220</v>
      </c>
      <c r="AE116" s="6"/>
      <c r="AG116" s="188" t="s">
        <v>1520</v>
      </c>
      <c r="AH116" s="188" t="s">
        <v>17</v>
      </c>
    </row>
    <row r="117" spans="2:34" s="188" customFormat="1" ht="16" customHeight="1" thickTop="1" thickBot="1">
      <c r="B117" s="6"/>
      <c r="C117" s="6"/>
      <c r="D117" s="9"/>
      <c r="I117" s="190" t="s">
        <v>1641</v>
      </c>
      <c r="J117" s="189"/>
      <c r="K117" s="190" t="s">
        <v>1338</v>
      </c>
      <c r="U117" s="269" t="s">
        <v>1442</v>
      </c>
      <c r="W117" s="188" t="s">
        <v>633</v>
      </c>
      <c r="X117" s="188" t="s">
        <v>1221</v>
      </c>
      <c r="Z117" s="188" t="s">
        <v>28</v>
      </c>
      <c r="AA117" s="188" t="s">
        <v>16</v>
      </c>
      <c r="AE117" s="6"/>
      <c r="AG117" s="188" t="s">
        <v>1442</v>
      </c>
      <c r="AH117" s="188" t="s">
        <v>20</v>
      </c>
    </row>
    <row r="118" spans="2:34" s="188" customFormat="1" ht="16" customHeight="1" thickTop="1" thickBot="1">
      <c r="B118" s="6"/>
      <c r="C118" s="6"/>
      <c r="D118" s="9"/>
      <c r="I118" s="190" t="s">
        <v>1401</v>
      </c>
      <c r="J118" s="189"/>
      <c r="K118" s="190" t="s">
        <v>1781</v>
      </c>
      <c r="U118" s="269" t="s">
        <v>2013</v>
      </c>
      <c r="W118" s="188" t="s">
        <v>17</v>
      </c>
      <c r="X118" s="188" t="s">
        <v>0</v>
      </c>
      <c r="Z118" s="188" t="s">
        <v>52</v>
      </c>
      <c r="AA118" s="188" t="s">
        <v>15</v>
      </c>
      <c r="AE118" s="6"/>
      <c r="AG118" s="188" t="s">
        <v>2013</v>
      </c>
      <c r="AH118" s="188" t="s">
        <v>19</v>
      </c>
    </row>
    <row r="119" spans="2:34" s="188" customFormat="1" ht="16" customHeight="1" thickTop="1" thickBot="1">
      <c r="B119" s="6"/>
      <c r="C119" s="6"/>
      <c r="D119" s="9"/>
      <c r="I119" s="190" t="s">
        <v>1832</v>
      </c>
      <c r="J119" s="189"/>
      <c r="K119" s="190" t="s">
        <v>1319</v>
      </c>
      <c r="U119" s="269" t="s">
        <v>1477</v>
      </c>
      <c r="W119" s="188" t="s">
        <v>30</v>
      </c>
      <c r="X119" s="188" t="s">
        <v>2</v>
      </c>
      <c r="Z119" s="188" t="s">
        <v>24</v>
      </c>
      <c r="AA119" s="188" t="s">
        <v>10</v>
      </c>
      <c r="AE119" s="6"/>
      <c r="AG119" s="188" t="s">
        <v>1477</v>
      </c>
      <c r="AH119" s="188" t="s">
        <v>27</v>
      </c>
    </row>
    <row r="120" spans="2:34" s="188" customFormat="1" ht="16" customHeight="1" thickTop="1" thickBot="1">
      <c r="B120" s="6"/>
      <c r="C120" s="6"/>
      <c r="D120" s="9"/>
      <c r="I120" s="190" t="s">
        <v>1517</v>
      </c>
      <c r="J120" s="189"/>
      <c r="K120" s="190" t="s">
        <v>1674</v>
      </c>
      <c r="U120" s="269" t="s">
        <v>1455</v>
      </c>
      <c r="W120" s="188" t="s">
        <v>25</v>
      </c>
      <c r="X120" s="188" t="s">
        <v>11</v>
      </c>
      <c r="Z120" s="188" t="s">
        <v>29</v>
      </c>
      <c r="AA120" s="188" t="s">
        <v>1</v>
      </c>
      <c r="AE120" s="6"/>
      <c r="AG120" s="188" t="s">
        <v>1455</v>
      </c>
      <c r="AH120" s="188" t="s">
        <v>17</v>
      </c>
    </row>
    <row r="121" spans="2:34" s="188" customFormat="1" ht="16" customHeight="1" thickTop="1" thickBot="1">
      <c r="B121" s="6"/>
      <c r="C121" s="6"/>
      <c r="D121" s="9"/>
      <c r="I121" s="190" t="s">
        <v>1792</v>
      </c>
      <c r="J121" s="189"/>
      <c r="K121" s="190" t="s">
        <v>1330</v>
      </c>
      <c r="U121" s="269" t="s">
        <v>1569</v>
      </c>
      <c r="W121" s="188" t="s">
        <v>51</v>
      </c>
      <c r="X121" s="188" t="s">
        <v>5</v>
      </c>
      <c r="Z121" s="188" t="s">
        <v>26</v>
      </c>
      <c r="AA121" s="188" t="s">
        <v>12</v>
      </c>
      <c r="AE121" s="6"/>
      <c r="AG121" s="188" t="s">
        <v>1569</v>
      </c>
      <c r="AH121" s="188" t="s">
        <v>26</v>
      </c>
    </row>
    <row r="122" spans="2:34" s="188" customFormat="1" ht="16" customHeight="1" thickTop="1" thickBot="1">
      <c r="B122" s="6"/>
      <c r="C122" s="6"/>
      <c r="D122" s="9"/>
      <c r="I122" s="190" t="s">
        <v>1772</v>
      </c>
      <c r="J122" s="189"/>
      <c r="K122" s="190" t="s">
        <v>1436</v>
      </c>
      <c r="U122" s="269" t="s">
        <v>1487</v>
      </c>
      <c r="W122" s="188" t="s">
        <v>28</v>
      </c>
      <c r="X122" s="188" t="s">
        <v>16</v>
      </c>
      <c r="Z122" s="188" t="s">
        <v>51</v>
      </c>
      <c r="AA122" s="188" t="s">
        <v>5</v>
      </c>
      <c r="AE122" s="6"/>
      <c r="AG122" s="188" t="s">
        <v>1487</v>
      </c>
      <c r="AH122" s="188" t="s">
        <v>25</v>
      </c>
    </row>
    <row r="123" spans="2:34" s="188" customFormat="1" ht="16" customHeight="1" thickTop="1" thickBot="1">
      <c r="B123" s="6"/>
      <c r="C123" s="6"/>
      <c r="D123" s="9"/>
      <c r="I123" s="190" t="s">
        <v>1632</v>
      </c>
      <c r="J123" s="189"/>
      <c r="K123" s="190" t="s">
        <v>1444</v>
      </c>
      <c r="U123" s="269" t="s">
        <v>1372</v>
      </c>
      <c r="W123" s="188" t="s">
        <v>21</v>
      </c>
      <c r="X123" s="188" t="s">
        <v>7</v>
      </c>
      <c r="Z123" s="188" t="s">
        <v>22</v>
      </c>
      <c r="AA123" s="188" t="s">
        <v>8</v>
      </c>
      <c r="AE123" s="6"/>
      <c r="AG123" s="188" t="s">
        <v>1372</v>
      </c>
      <c r="AH123" s="188" t="s">
        <v>52</v>
      </c>
    </row>
    <row r="124" spans="2:34" s="188" customFormat="1" ht="16" customHeight="1" thickTop="1" thickBot="1">
      <c r="B124" s="6"/>
      <c r="C124" s="6"/>
      <c r="D124" s="9"/>
      <c r="I124" s="190" t="s">
        <v>1803</v>
      </c>
      <c r="J124" s="189"/>
      <c r="K124" s="190" t="s">
        <v>1785</v>
      </c>
      <c r="U124" s="269" t="s">
        <v>1590</v>
      </c>
      <c r="W124" s="188" t="s">
        <v>18</v>
      </c>
      <c r="X124" s="188" t="s">
        <v>3</v>
      </c>
      <c r="Z124" s="188" t="s">
        <v>20</v>
      </c>
      <c r="AA124" s="188" t="s">
        <v>6</v>
      </c>
      <c r="AE124" s="6"/>
      <c r="AG124" s="188" t="s">
        <v>1590</v>
      </c>
      <c r="AH124" s="188" t="s">
        <v>634</v>
      </c>
    </row>
    <row r="125" spans="2:34" s="188" customFormat="1" ht="16" customHeight="1" thickTop="1" thickBot="1">
      <c r="B125" s="6"/>
      <c r="C125" s="6"/>
      <c r="D125" s="9"/>
      <c r="I125" s="190" t="s">
        <v>1893</v>
      </c>
      <c r="J125" s="189"/>
      <c r="K125" s="190" t="s">
        <v>1784</v>
      </c>
      <c r="U125" s="269" t="s">
        <v>1648</v>
      </c>
      <c r="W125" s="188" t="s">
        <v>26</v>
      </c>
      <c r="X125" s="188" t="s">
        <v>12</v>
      </c>
      <c r="Z125" s="188" t="s">
        <v>30</v>
      </c>
      <c r="AA125" s="188" t="s">
        <v>2</v>
      </c>
      <c r="AE125" s="6"/>
      <c r="AG125" s="188" t="s">
        <v>1648</v>
      </c>
      <c r="AH125" s="188" t="s">
        <v>19</v>
      </c>
    </row>
    <row r="126" spans="2:34" s="188" customFormat="1" ht="16" customHeight="1" thickTop="1" thickBot="1">
      <c r="B126" s="6"/>
      <c r="C126" s="6"/>
      <c r="D126" s="9"/>
      <c r="I126" s="190" t="s">
        <v>1709</v>
      </c>
      <c r="J126" s="189"/>
      <c r="K126" s="190" t="s">
        <v>1449</v>
      </c>
      <c r="U126" s="269" t="s">
        <v>1665</v>
      </c>
      <c r="W126" s="188" t="s">
        <v>24</v>
      </c>
      <c r="X126" s="188" t="s">
        <v>10</v>
      </c>
      <c r="Z126" s="188" t="s">
        <v>25</v>
      </c>
      <c r="AA126" s="188" t="s">
        <v>11</v>
      </c>
      <c r="AE126" s="6"/>
      <c r="AG126" s="188" t="s">
        <v>1665</v>
      </c>
      <c r="AH126" s="188" t="s">
        <v>43</v>
      </c>
    </row>
    <row r="127" spans="2:34" s="188" customFormat="1" ht="16" customHeight="1" thickTop="1" thickBot="1">
      <c r="B127" s="6"/>
      <c r="C127" s="6"/>
      <c r="D127" s="9"/>
      <c r="I127" s="190" t="s">
        <v>1349</v>
      </c>
      <c r="J127" s="189"/>
      <c r="K127" s="190" t="s">
        <v>1323</v>
      </c>
      <c r="U127" s="269" t="s">
        <v>1715</v>
      </c>
      <c r="W127" s="188" t="s">
        <v>29</v>
      </c>
      <c r="X127" s="188" t="s">
        <v>1</v>
      </c>
      <c r="Z127" s="188" t="s">
        <v>633</v>
      </c>
      <c r="AA127" s="188" t="s">
        <v>1221</v>
      </c>
      <c r="AE127" s="6"/>
      <c r="AG127" s="188" t="s">
        <v>1715</v>
      </c>
      <c r="AH127" s="188" t="s">
        <v>634</v>
      </c>
    </row>
    <row r="128" spans="2:34" s="188" customFormat="1" ht="16" customHeight="1" thickTop="1" thickBot="1">
      <c r="B128" s="6"/>
      <c r="C128" s="6"/>
      <c r="D128" s="9"/>
      <c r="I128" s="190" t="s">
        <v>1494</v>
      </c>
      <c r="J128" s="189"/>
      <c r="K128" s="190" t="s">
        <v>1419</v>
      </c>
      <c r="U128" s="269" t="s">
        <v>1808</v>
      </c>
      <c r="W128" s="188" t="s">
        <v>52</v>
      </c>
      <c r="X128" s="188" t="s">
        <v>15</v>
      </c>
      <c r="Z128" s="188" t="s">
        <v>33</v>
      </c>
      <c r="AA128" s="188" t="s">
        <v>13</v>
      </c>
      <c r="AE128" s="6"/>
      <c r="AG128" s="188" t="s">
        <v>1808</v>
      </c>
      <c r="AH128" s="188" t="s">
        <v>51</v>
      </c>
    </row>
    <row r="129" spans="2:34" s="188" customFormat="1" ht="16" customHeight="1" thickTop="1" thickBot="1">
      <c r="B129" s="6"/>
      <c r="C129" s="6"/>
      <c r="D129" s="9"/>
      <c r="I129" s="190" t="s">
        <v>1793</v>
      </c>
      <c r="J129" s="189"/>
      <c r="K129" s="190" t="s">
        <v>1379</v>
      </c>
      <c r="U129" s="269" t="s">
        <v>1416</v>
      </c>
      <c r="W129" s="188" t="s">
        <v>634</v>
      </c>
      <c r="X129" s="188" t="s">
        <v>1220</v>
      </c>
      <c r="Z129" s="188" t="s">
        <v>43</v>
      </c>
      <c r="AA129" s="188" t="s">
        <v>32</v>
      </c>
      <c r="AE129" s="6"/>
      <c r="AG129" s="188" t="s">
        <v>1416</v>
      </c>
      <c r="AH129" s="188" t="s">
        <v>633</v>
      </c>
    </row>
    <row r="130" spans="2:34" s="188" customFormat="1" ht="16" customHeight="1" thickTop="1" thickBot="1">
      <c r="B130" s="6"/>
      <c r="C130" s="6"/>
      <c r="D130" s="9"/>
      <c r="I130" s="190" t="s">
        <v>1417</v>
      </c>
      <c r="J130" s="189"/>
      <c r="K130" s="190" t="s">
        <v>1450</v>
      </c>
      <c r="U130" s="269" t="s">
        <v>1389</v>
      </c>
      <c r="W130" s="188" t="s">
        <v>19</v>
      </c>
      <c r="X130" s="188" t="s">
        <v>4</v>
      </c>
      <c r="Z130" s="188" t="s">
        <v>23</v>
      </c>
      <c r="AA130" s="188" t="s">
        <v>9</v>
      </c>
      <c r="AE130" s="6"/>
      <c r="AG130" s="188" t="s">
        <v>1389</v>
      </c>
      <c r="AH130" s="188" t="s">
        <v>26</v>
      </c>
    </row>
    <row r="131" spans="2:34" s="188" customFormat="1" ht="16" customHeight="1" thickTop="1" thickBot="1">
      <c r="B131" s="6"/>
      <c r="C131" s="6"/>
      <c r="D131" s="9"/>
      <c r="I131" s="190" t="s">
        <v>1350</v>
      </c>
      <c r="J131" s="189"/>
      <c r="K131" s="190" t="s">
        <v>1337</v>
      </c>
      <c r="U131" s="269" t="s">
        <v>1317</v>
      </c>
      <c r="W131" s="188" t="s">
        <v>27</v>
      </c>
      <c r="X131" s="188" t="s">
        <v>14</v>
      </c>
      <c r="Z131" s="188" t="s">
        <v>17</v>
      </c>
      <c r="AA131" s="188" t="s">
        <v>0</v>
      </c>
      <c r="AE131" s="6"/>
      <c r="AG131" s="188" t="s">
        <v>1317</v>
      </c>
      <c r="AH131" s="188" t="s">
        <v>33</v>
      </c>
    </row>
    <row r="132" spans="2:34" s="188" customFormat="1" ht="16" customHeight="1" thickTop="1" thickBot="1">
      <c r="B132" s="6"/>
      <c r="C132" s="6"/>
      <c r="D132" s="9"/>
      <c r="I132" s="190" t="s">
        <v>1615</v>
      </c>
      <c r="J132" s="189"/>
      <c r="K132" s="190" t="s">
        <v>1723</v>
      </c>
      <c r="U132" s="269" t="s">
        <v>1603</v>
      </c>
      <c r="W132" s="188" t="s">
        <v>43</v>
      </c>
      <c r="X132" s="188" t="s">
        <v>32</v>
      </c>
      <c r="Z132" s="188" t="s">
        <v>24</v>
      </c>
      <c r="AA132" s="188" t="s">
        <v>10</v>
      </c>
      <c r="AE132" s="6"/>
      <c r="AG132" s="188" t="s">
        <v>1603</v>
      </c>
      <c r="AH132" s="188" t="s">
        <v>22</v>
      </c>
    </row>
    <row r="133" spans="2:34" s="188" customFormat="1" ht="16" customHeight="1" thickTop="1" thickBot="1">
      <c r="B133" s="6"/>
      <c r="C133" s="6"/>
      <c r="D133" s="9"/>
      <c r="I133" s="190" t="s">
        <v>1655</v>
      </c>
      <c r="J133" s="189"/>
      <c r="K133" s="190" t="s">
        <v>1571</v>
      </c>
      <c r="U133" s="269" t="s">
        <v>1747</v>
      </c>
      <c r="W133" s="188" t="s">
        <v>20</v>
      </c>
      <c r="X133" s="188" t="s">
        <v>6</v>
      </c>
      <c r="Z133" s="188" t="s">
        <v>21</v>
      </c>
      <c r="AA133" s="188" t="s">
        <v>7</v>
      </c>
      <c r="AE133" s="6"/>
      <c r="AG133" s="188" t="s">
        <v>1747</v>
      </c>
      <c r="AH133" s="188" t="s">
        <v>633</v>
      </c>
    </row>
    <row r="134" spans="2:34" s="188" customFormat="1" ht="16" customHeight="1" thickTop="1" thickBot="1">
      <c r="B134" s="6"/>
      <c r="C134" s="6"/>
      <c r="D134" s="9"/>
      <c r="I134" s="190" t="s">
        <v>1770</v>
      </c>
      <c r="J134" s="189"/>
      <c r="K134" s="190" t="s">
        <v>1309</v>
      </c>
      <c r="U134" s="269" t="s">
        <v>1550</v>
      </c>
      <c r="W134" s="188" t="s">
        <v>33</v>
      </c>
      <c r="X134" s="188" t="s">
        <v>13</v>
      </c>
      <c r="Z134" s="188" t="s">
        <v>28</v>
      </c>
      <c r="AA134" s="188" t="s">
        <v>16</v>
      </c>
      <c r="AE134" s="6"/>
      <c r="AG134" s="188" t="s">
        <v>1550</v>
      </c>
      <c r="AH134" s="188" t="s">
        <v>43</v>
      </c>
    </row>
    <row r="135" spans="2:34" s="188" customFormat="1" ht="16" customHeight="1" thickTop="1" thickBot="1">
      <c r="B135" s="6"/>
      <c r="C135" s="6"/>
      <c r="D135" s="9"/>
      <c r="I135" s="190" t="s">
        <v>1821</v>
      </c>
      <c r="J135" s="189"/>
      <c r="K135" s="190" t="s">
        <v>1456</v>
      </c>
      <c r="U135" s="269" t="s">
        <v>1382</v>
      </c>
      <c r="W135" s="188" t="s">
        <v>22</v>
      </c>
      <c r="X135" s="188" t="s">
        <v>8</v>
      </c>
      <c r="Z135" s="188" t="s">
        <v>26</v>
      </c>
      <c r="AA135" s="188" t="s">
        <v>12</v>
      </c>
      <c r="AE135" s="6"/>
      <c r="AG135" s="188" t="s">
        <v>1382</v>
      </c>
      <c r="AH135" s="188" t="s">
        <v>20</v>
      </c>
    </row>
    <row r="136" spans="2:34" s="188" customFormat="1" ht="16" customHeight="1" thickTop="1" thickBot="1">
      <c r="B136" s="6"/>
      <c r="C136" s="6"/>
      <c r="D136" s="9"/>
      <c r="I136" s="190" t="s">
        <v>349</v>
      </c>
      <c r="J136" s="189"/>
      <c r="K136" s="190" t="s">
        <v>1783</v>
      </c>
      <c r="U136" s="269" t="s">
        <v>1481</v>
      </c>
      <c r="W136" s="188" t="s">
        <v>23</v>
      </c>
      <c r="X136" s="188" t="s">
        <v>9</v>
      </c>
      <c r="Z136" s="188" t="s">
        <v>29</v>
      </c>
      <c r="AA136" s="188" t="s">
        <v>1</v>
      </c>
      <c r="AE136" s="6"/>
      <c r="AG136" s="188" t="s">
        <v>1481</v>
      </c>
      <c r="AH136" s="188" t="s">
        <v>26</v>
      </c>
    </row>
    <row r="137" spans="2:34" s="188" customFormat="1" ht="16" customHeight="1" thickTop="1" thickBot="1">
      <c r="B137" s="6"/>
      <c r="C137" s="6"/>
      <c r="D137" s="9"/>
      <c r="I137" s="190" t="s">
        <v>1817</v>
      </c>
      <c r="J137" s="189"/>
      <c r="K137" s="190" t="s">
        <v>1560</v>
      </c>
      <c r="U137" s="269" t="s">
        <v>1315</v>
      </c>
      <c r="W137" s="188" t="s">
        <v>633</v>
      </c>
      <c r="X137" s="188" t="s">
        <v>1221</v>
      </c>
      <c r="Z137" s="188" t="s">
        <v>18</v>
      </c>
      <c r="AA137" s="188" t="s">
        <v>3</v>
      </c>
      <c r="AE137" s="6"/>
      <c r="AG137" s="188" t="s">
        <v>1315</v>
      </c>
      <c r="AH137" s="188" t="s">
        <v>20</v>
      </c>
    </row>
    <row r="138" spans="2:34" s="188" customFormat="1" ht="16" customHeight="1" thickTop="1" thickBot="1">
      <c r="B138" s="6"/>
      <c r="C138" s="6"/>
      <c r="D138" s="9"/>
      <c r="I138" s="190" t="s">
        <v>1500</v>
      </c>
      <c r="J138" s="189"/>
      <c r="K138" s="190" t="s">
        <v>1370</v>
      </c>
      <c r="U138" s="269" t="s">
        <v>1345</v>
      </c>
      <c r="W138" s="188" t="s">
        <v>17</v>
      </c>
      <c r="X138" s="188" t="s">
        <v>0</v>
      </c>
      <c r="Z138" s="188" t="s">
        <v>634</v>
      </c>
      <c r="AA138" s="188" t="s">
        <v>1220</v>
      </c>
      <c r="AE138" s="6"/>
      <c r="AG138" s="188" t="s">
        <v>1345</v>
      </c>
      <c r="AH138" s="188" t="s">
        <v>19</v>
      </c>
    </row>
    <row r="139" spans="2:34" s="188" customFormat="1" ht="16" customHeight="1" thickTop="1" thickBot="1">
      <c r="B139" s="6"/>
      <c r="C139" s="6"/>
      <c r="D139" s="9"/>
      <c r="I139" s="190" t="s">
        <v>1634</v>
      </c>
      <c r="J139" s="189"/>
      <c r="K139" s="190" t="s">
        <v>1689</v>
      </c>
      <c r="U139" s="269" t="s">
        <v>1891</v>
      </c>
      <c r="W139" s="188" t="s">
        <v>30</v>
      </c>
      <c r="X139" s="188" t="s">
        <v>2</v>
      </c>
      <c r="Z139" s="188" t="s">
        <v>27</v>
      </c>
      <c r="AA139" s="188" t="s">
        <v>14</v>
      </c>
      <c r="AE139" s="6"/>
      <c r="AG139" s="188" t="s">
        <v>1891</v>
      </c>
      <c r="AH139" s="188" t="s">
        <v>634</v>
      </c>
    </row>
    <row r="140" spans="2:34" s="188" customFormat="1" ht="16" customHeight="1" thickTop="1" thickBot="1">
      <c r="B140" s="6"/>
      <c r="C140" s="6"/>
      <c r="D140" s="9"/>
      <c r="I140" s="190" t="s">
        <v>1672</v>
      </c>
      <c r="J140" s="189"/>
      <c r="K140" s="268" t="s">
        <v>1786</v>
      </c>
      <c r="U140" s="269" t="s">
        <v>1887</v>
      </c>
      <c r="W140" s="188" t="s">
        <v>25</v>
      </c>
      <c r="X140" s="188" t="s">
        <v>11</v>
      </c>
      <c r="Z140" s="188" t="s">
        <v>19</v>
      </c>
      <c r="AA140" s="188" t="s">
        <v>4</v>
      </c>
      <c r="AE140" s="6"/>
      <c r="AG140" s="188" t="s">
        <v>1887</v>
      </c>
      <c r="AH140" s="188" t="s">
        <v>30</v>
      </c>
    </row>
    <row r="141" spans="2:34" s="188" customFormat="1" ht="16" customHeight="1" thickTop="1" thickBot="1">
      <c r="B141" s="6"/>
      <c r="C141" s="6"/>
      <c r="D141" s="9"/>
      <c r="I141" s="190" t="s">
        <v>1502</v>
      </c>
      <c r="J141" s="189"/>
      <c r="K141" s="190" t="s">
        <v>1777</v>
      </c>
      <c r="U141" s="269" t="s">
        <v>1623</v>
      </c>
      <c r="W141" s="188" t="s">
        <v>51</v>
      </c>
      <c r="X141" s="188" t="s">
        <v>5</v>
      </c>
      <c r="Z141" s="188" t="s">
        <v>52</v>
      </c>
      <c r="AA141" s="188" t="s">
        <v>15</v>
      </c>
      <c r="AE141" s="6"/>
      <c r="AG141" s="188" t="s">
        <v>1623</v>
      </c>
      <c r="AH141" s="188" t="s">
        <v>19</v>
      </c>
    </row>
    <row r="142" spans="2:34" s="188" customFormat="1" ht="16" customHeight="1" thickTop="1" thickBot="1">
      <c r="B142" s="6"/>
      <c r="C142" s="6"/>
      <c r="D142" s="9"/>
      <c r="I142" s="190" t="s">
        <v>1619</v>
      </c>
      <c r="J142" s="189"/>
      <c r="K142" s="190" t="s">
        <v>1464</v>
      </c>
      <c r="U142" s="269" t="s">
        <v>1322</v>
      </c>
      <c r="W142" s="188" t="s">
        <v>43</v>
      </c>
      <c r="X142" s="188" t="s">
        <v>32</v>
      </c>
      <c r="Z142" s="188" t="s">
        <v>18</v>
      </c>
      <c r="AA142" s="188" t="s">
        <v>3</v>
      </c>
      <c r="AE142" s="6"/>
      <c r="AG142" s="188" t="s">
        <v>1322</v>
      </c>
      <c r="AH142" s="188" t="s">
        <v>30</v>
      </c>
    </row>
    <row r="143" spans="2:34" s="188" customFormat="1" ht="16" customHeight="1" thickTop="1" thickBot="1">
      <c r="B143" s="6"/>
      <c r="C143" s="6"/>
      <c r="D143" s="9"/>
      <c r="I143" s="190" t="s">
        <v>1791</v>
      </c>
      <c r="J143" s="189"/>
      <c r="K143" s="190" t="s">
        <v>1568</v>
      </c>
      <c r="U143" s="269" t="s">
        <v>1400</v>
      </c>
      <c r="W143" s="188" t="s">
        <v>28</v>
      </c>
      <c r="X143" s="188" t="s">
        <v>16</v>
      </c>
      <c r="Z143" s="188" t="s">
        <v>20</v>
      </c>
      <c r="AA143" s="188" t="s">
        <v>6</v>
      </c>
      <c r="AE143" s="6"/>
      <c r="AG143" s="188" t="s">
        <v>1400</v>
      </c>
      <c r="AH143" s="188" t="s">
        <v>29</v>
      </c>
    </row>
    <row r="144" spans="2:34" s="188" customFormat="1" ht="16" customHeight="1" thickTop="1" thickBot="1">
      <c r="B144" s="6"/>
      <c r="C144" s="6"/>
      <c r="D144" s="9"/>
      <c r="I144" s="190" t="s">
        <v>1697</v>
      </c>
      <c r="J144" s="189"/>
      <c r="K144" s="190" t="s">
        <v>1331</v>
      </c>
      <c r="U144" s="269" t="s">
        <v>1559</v>
      </c>
      <c r="W144" s="188" t="s">
        <v>33</v>
      </c>
      <c r="X144" s="188" t="s">
        <v>13</v>
      </c>
      <c r="Z144" s="188" t="s">
        <v>27</v>
      </c>
      <c r="AA144" s="188" t="s">
        <v>14</v>
      </c>
      <c r="AE144" s="6"/>
      <c r="AG144" s="188" t="s">
        <v>1559</v>
      </c>
      <c r="AH144" s="188" t="s">
        <v>33</v>
      </c>
    </row>
    <row r="145" spans="2:34" s="188" customFormat="1" ht="16" customHeight="1" thickTop="1" thickBot="1">
      <c r="B145" s="6"/>
      <c r="C145" s="6"/>
      <c r="D145" s="9"/>
      <c r="I145" s="190" t="s">
        <v>1682</v>
      </c>
      <c r="J145" s="189"/>
      <c r="K145" s="190" t="s">
        <v>1561</v>
      </c>
      <c r="U145" s="269" t="s">
        <v>1731</v>
      </c>
      <c r="W145" s="188" t="s">
        <v>24</v>
      </c>
      <c r="X145" s="188" t="s">
        <v>10</v>
      </c>
      <c r="Z145" s="188" t="s">
        <v>52</v>
      </c>
      <c r="AA145" s="188" t="s">
        <v>15</v>
      </c>
      <c r="AE145" s="6"/>
      <c r="AG145" s="188" t="s">
        <v>1731</v>
      </c>
      <c r="AH145" s="188" t="s">
        <v>33</v>
      </c>
    </row>
    <row r="146" spans="2:34" s="188" customFormat="1" ht="16" customHeight="1" thickTop="1" thickBot="1">
      <c r="B146" s="6"/>
      <c r="C146" s="6"/>
      <c r="D146" s="9"/>
      <c r="I146" s="190" t="s">
        <v>1613</v>
      </c>
      <c r="J146" s="189"/>
      <c r="K146" s="190" t="s">
        <v>1740</v>
      </c>
      <c r="U146" s="269" t="s">
        <v>1628</v>
      </c>
      <c r="W146" s="188" t="s">
        <v>23</v>
      </c>
      <c r="X146" s="188" t="s">
        <v>9</v>
      </c>
      <c r="Z146" s="188" t="s">
        <v>26</v>
      </c>
      <c r="AA146" s="188" t="s">
        <v>12</v>
      </c>
      <c r="AE146" s="6"/>
      <c r="AG146" s="188" t="s">
        <v>1628</v>
      </c>
      <c r="AH146" s="188" t="s">
        <v>30</v>
      </c>
    </row>
    <row r="147" spans="2:34" s="188" customFormat="1" ht="16" customHeight="1" thickTop="1" thickBot="1">
      <c r="B147" s="6"/>
      <c r="C147" s="6"/>
      <c r="D147" s="9"/>
      <c r="I147" s="190" t="s">
        <v>1353</v>
      </c>
      <c r="J147" s="189"/>
      <c r="K147" s="190" t="s">
        <v>1411</v>
      </c>
      <c r="U147" s="269" t="s">
        <v>1659</v>
      </c>
      <c r="W147" s="188" t="s">
        <v>633</v>
      </c>
      <c r="X147" s="188" t="s">
        <v>1221</v>
      </c>
      <c r="Z147" s="188" t="s">
        <v>17</v>
      </c>
      <c r="AA147" s="188" t="s">
        <v>0</v>
      </c>
      <c r="AE147" s="6"/>
      <c r="AG147" s="188" t="s">
        <v>1659</v>
      </c>
      <c r="AH147" s="188" t="s">
        <v>19</v>
      </c>
    </row>
    <row r="148" spans="2:34" s="188" customFormat="1" ht="16" customHeight="1" thickTop="1" thickBot="1">
      <c r="B148" s="6"/>
      <c r="C148" s="6"/>
      <c r="D148" s="9"/>
      <c r="I148" s="190" t="s">
        <v>1873</v>
      </c>
      <c r="J148" s="189"/>
      <c r="K148" s="190" t="s">
        <v>1465</v>
      </c>
      <c r="U148" s="269" t="s">
        <v>1892</v>
      </c>
      <c r="W148" s="188" t="s">
        <v>29</v>
      </c>
      <c r="X148" s="188" t="s">
        <v>1</v>
      </c>
      <c r="Z148" s="188" t="s">
        <v>634</v>
      </c>
      <c r="AA148" s="188" t="s">
        <v>1220</v>
      </c>
      <c r="AE148" s="6"/>
      <c r="AG148" s="188" t="s">
        <v>1892</v>
      </c>
      <c r="AH148" s="188" t="s">
        <v>26</v>
      </c>
    </row>
    <row r="149" spans="2:34" s="188" customFormat="1" ht="16" customHeight="1" thickTop="1" thickBot="1">
      <c r="B149" s="6"/>
      <c r="C149" s="6"/>
      <c r="D149" s="9"/>
      <c r="I149" s="190" t="s">
        <v>1758</v>
      </c>
      <c r="J149" s="189"/>
      <c r="K149" s="190" t="s">
        <v>1730</v>
      </c>
      <c r="U149" s="269" t="s">
        <v>1987</v>
      </c>
      <c r="W149" s="188" t="s">
        <v>25</v>
      </c>
      <c r="X149" s="188" t="s">
        <v>11</v>
      </c>
      <c r="Z149" s="188" t="s">
        <v>22</v>
      </c>
      <c r="AA149" s="188" t="s">
        <v>8</v>
      </c>
      <c r="AE149" s="6"/>
      <c r="AG149" s="188" t="s">
        <v>1987</v>
      </c>
      <c r="AH149" s="188" t="s">
        <v>633</v>
      </c>
    </row>
    <row r="150" spans="2:34" s="188" customFormat="1" ht="16" customHeight="1" thickTop="1" thickBot="1">
      <c r="B150" s="6"/>
      <c r="C150" s="6"/>
      <c r="D150" s="9"/>
      <c r="I150" s="190" t="s">
        <v>1394</v>
      </c>
      <c r="J150" s="189"/>
      <c r="K150" s="190" t="s">
        <v>1585</v>
      </c>
      <c r="U150" s="269" t="s">
        <v>1725</v>
      </c>
      <c r="W150" s="188" t="s">
        <v>19</v>
      </c>
      <c r="X150" s="188" t="s">
        <v>4</v>
      </c>
      <c r="Z150" s="188" t="s">
        <v>21</v>
      </c>
      <c r="AA150" s="188" t="s">
        <v>7</v>
      </c>
      <c r="AE150" s="6"/>
      <c r="AG150" s="188" t="s">
        <v>1725</v>
      </c>
      <c r="AH150" s="188" t="s">
        <v>43</v>
      </c>
    </row>
    <row r="151" spans="2:34" s="188" customFormat="1" ht="16" customHeight="1" thickTop="1" thickBot="1">
      <c r="B151" s="6"/>
      <c r="C151" s="6"/>
      <c r="D151" s="9"/>
      <c r="I151" s="190" t="s">
        <v>1420</v>
      </c>
      <c r="J151" s="189"/>
      <c r="K151" s="190" t="s">
        <v>1418</v>
      </c>
      <c r="U151" s="269" t="s">
        <v>1292</v>
      </c>
      <c r="W151" s="188" t="s">
        <v>51</v>
      </c>
      <c r="X151" s="188" t="s">
        <v>5</v>
      </c>
      <c r="Z151" s="188" t="s">
        <v>30</v>
      </c>
      <c r="AA151" s="188" t="s">
        <v>2</v>
      </c>
      <c r="AE151" s="6"/>
      <c r="AG151" s="188" t="s">
        <v>1292</v>
      </c>
      <c r="AH151" s="188" t="s">
        <v>19</v>
      </c>
    </row>
    <row r="152" spans="2:34" s="188" customFormat="1" ht="16" customHeight="1" thickTop="1" thickBot="1">
      <c r="B152" s="6"/>
      <c r="C152" s="6"/>
      <c r="D152" s="9"/>
      <c r="I152" s="190" t="s">
        <v>1495</v>
      </c>
      <c r="J152" s="189"/>
      <c r="K152" s="190" t="s">
        <v>1525</v>
      </c>
      <c r="U152" s="269" t="s">
        <v>1325</v>
      </c>
      <c r="W152" s="188" t="s">
        <v>20</v>
      </c>
      <c r="X152" s="188" t="s">
        <v>6</v>
      </c>
      <c r="Z152" s="188" t="s">
        <v>51</v>
      </c>
      <c r="AA152" s="188" t="s">
        <v>5</v>
      </c>
      <c r="AE152" s="6"/>
      <c r="AG152" s="188" t="s">
        <v>1325</v>
      </c>
      <c r="AH152" s="188" t="s">
        <v>17</v>
      </c>
    </row>
    <row r="153" spans="2:34" s="188" customFormat="1" ht="16" customHeight="1" thickTop="1" thickBot="1">
      <c r="B153" s="6"/>
      <c r="C153" s="6"/>
      <c r="D153" s="9"/>
      <c r="I153" s="190" t="s">
        <v>1741</v>
      </c>
      <c r="J153" s="189"/>
      <c r="K153" s="190" t="s">
        <v>1563</v>
      </c>
      <c r="U153" s="269" t="s">
        <v>1398</v>
      </c>
      <c r="W153" s="188" t="s">
        <v>21</v>
      </c>
      <c r="X153" s="188" t="s">
        <v>7</v>
      </c>
      <c r="Z153" s="188" t="s">
        <v>633</v>
      </c>
      <c r="AA153" s="188" t="s">
        <v>1221</v>
      </c>
      <c r="AE153" s="6"/>
      <c r="AG153" s="188" t="s">
        <v>1398</v>
      </c>
      <c r="AH153" s="188" t="s">
        <v>28</v>
      </c>
    </row>
    <row r="154" spans="2:34" s="188" customFormat="1" ht="16" customHeight="1" thickTop="1" thickBot="1">
      <c r="B154" s="6"/>
      <c r="C154" s="6"/>
      <c r="D154" s="9"/>
      <c r="I154" s="190" t="s">
        <v>1814</v>
      </c>
      <c r="J154" s="189"/>
      <c r="K154" s="190" t="s">
        <v>1657</v>
      </c>
      <c r="U154" s="269" t="s">
        <v>1624</v>
      </c>
      <c r="W154" s="188" t="s">
        <v>22</v>
      </c>
      <c r="X154" s="188" t="s">
        <v>8</v>
      </c>
      <c r="Z154" s="188" t="s">
        <v>23</v>
      </c>
      <c r="AA154" s="188" t="s">
        <v>9</v>
      </c>
      <c r="AE154" s="6"/>
      <c r="AG154" s="188" t="s">
        <v>1624</v>
      </c>
      <c r="AH154" s="188" t="s">
        <v>43</v>
      </c>
    </row>
    <row r="155" spans="2:34" s="188" customFormat="1" ht="16" customHeight="1" thickTop="1" thickBot="1">
      <c r="B155" s="6"/>
      <c r="C155" s="6"/>
      <c r="D155" s="9"/>
      <c r="I155" s="190" t="s">
        <v>1768</v>
      </c>
      <c r="J155" s="189"/>
      <c r="K155" s="190" t="s">
        <v>1602</v>
      </c>
      <c r="U155" s="269" t="s">
        <v>1368</v>
      </c>
      <c r="W155" s="188" t="s">
        <v>18</v>
      </c>
      <c r="X155" s="188" t="s">
        <v>3</v>
      </c>
      <c r="Z155" s="188" t="s">
        <v>24</v>
      </c>
      <c r="AA155" s="188" t="s">
        <v>10</v>
      </c>
      <c r="AE155" s="6"/>
      <c r="AG155" s="188" t="s">
        <v>1368</v>
      </c>
      <c r="AH155" s="188" t="s">
        <v>24</v>
      </c>
    </row>
    <row r="156" spans="2:34" s="188" customFormat="1" ht="16" customHeight="1" thickTop="1" thickBot="1">
      <c r="B156" s="6"/>
      <c r="C156" s="6"/>
      <c r="D156" s="9"/>
      <c r="I156" s="190" t="s">
        <v>1480</v>
      </c>
      <c r="J156" s="189"/>
      <c r="K156" s="190" t="s">
        <v>1445</v>
      </c>
      <c r="U156" s="269" t="s">
        <v>1290</v>
      </c>
      <c r="W156" s="188" t="s">
        <v>26</v>
      </c>
      <c r="X156" s="188" t="s">
        <v>12</v>
      </c>
      <c r="Z156" s="188" t="s">
        <v>29</v>
      </c>
      <c r="AA156" s="188" t="s">
        <v>1</v>
      </c>
      <c r="AE156" s="6"/>
      <c r="AG156" s="188" t="s">
        <v>1290</v>
      </c>
      <c r="AH156" s="188" t="s">
        <v>20</v>
      </c>
    </row>
    <row r="157" spans="2:34" s="188" customFormat="1" ht="16" customHeight="1" thickTop="1" thickBot="1">
      <c r="B157" s="6"/>
      <c r="C157" s="6"/>
      <c r="D157" s="9"/>
      <c r="I157" s="190" t="s">
        <v>1845</v>
      </c>
      <c r="J157" s="189"/>
      <c r="K157" s="190" t="s">
        <v>1633</v>
      </c>
      <c r="U157" s="269" t="s">
        <v>1410</v>
      </c>
      <c r="W157" s="188" t="s">
        <v>17</v>
      </c>
      <c r="X157" s="188" t="s">
        <v>0</v>
      </c>
      <c r="Z157" s="188" t="s">
        <v>33</v>
      </c>
      <c r="AA157" s="188" t="s">
        <v>13</v>
      </c>
      <c r="AE157" s="6"/>
      <c r="AG157" s="188" t="s">
        <v>1410</v>
      </c>
      <c r="AH157" s="188" t="s">
        <v>26</v>
      </c>
    </row>
    <row r="158" spans="2:34" s="188" customFormat="1" ht="16" customHeight="1" thickTop="1" thickBot="1">
      <c r="B158" s="6"/>
      <c r="C158" s="6"/>
      <c r="D158" s="9"/>
      <c r="I158" s="190" t="s">
        <v>1542</v>
      </c>
      <c r="J158" s="189"/>
      <c r="K158" s="190" t="s">
        <v>1304</v>
      </c>
      <c r="U158" s="269" t="s">
        <v>1547</v>
      </c>
      <c r="W158" s="188" t="s">
        <v>30</v>
      </c>
      <c r="X158" s="188" t="s">
        <v>2</v>
      </c>
      <c r="Z158" s="188" t="s">
        <v>43</v>
      </c>
      <c r="AA158" s="188" t="s">
        <v>32</v>
      </c>
      <c r="AE158" s="6"/>
      <c r="AG158" s="188" t="s">
        <v>1547</v>
      </c>
      <c r="AH158" s="188" t="s">
        <v>27</v>
      </c>
    </row>
    <row r="159" spans="2:34" s="188" customFormat="1" ht="16" customHeight="1" thickTop="1" thickBot="1">
      <c r="B159" s="6"/>
      <c r="C159" s="6"/>
      <c r="D159" s="9"/>
      <c r="I159" s="190" t="s">
        <v>1388</v>
      </c>
      <c r="J159" s="189"/>
      <c r="K159" s="190" t="s">
        <v>1654</v>
      </c>
      <c r="U159" s="269" t="s">
        <v>1621</v>
      </c>
      <c r="W159" s="188" t="s">
        <v>52</v>
      </c>
      <c r="X159" s="188" t="s">
        <v>15</v>
      </c>
      <c r="Z159" s="188" t="s">
        <v>19</v>
      </c>
      <c r="AA159" s="188" t="s">
        <v>4</v>
      </c>
      <c r="AE159" s="6"/>
      <c r="AG159" s="188" t="s">
        <v>1621</v>
      </c>
      <c r="AH159" s="188" t="s">
        <v>27</v>
      </c>
    </row>
    <row r="160" spans="2:34" s="188" customFormat="1" ht="16" customHeight="1" thickTop="1" thickBot="1">
      <c r="B160" s="6"/>
      <c r="C160" s="6"/>
      <c r="D160" s="9"/>
      <c r="I160" s="190" t="s">
        <v>1506</v>
      </c>
      <c r="J160" s="189"/>
      <c r="K160" s="190" t="s">
        <v>1779</v>
      </c>
      <c r="U160" s="269" t="s">
        <v>1640</v>
      </c>
      <c r="W160" s="188" t="s">
        <v>634</v>
      </c>
      <c r="X160" s="188" t="s">
        <v>1220</v>
      </c>
      <c r="Z160" s="188" t="s">
        <v>25</v>
      </c>
      <c r="AA160" s="188" t="s">
        <v>11</v>
      </c>
      <c r="AE160" s="6"/>
      <c r="AG160" s="188" t="s">
        <v>1640</v>
      </c>
      <c r="AH160" s="188" t="s">
        <v>43</v>
      </c>
    </row>
    <row r="161" spans="2:34" s="188" customFormat="1" ht="16" customHeight="1" thickTop="1" thickBot="1">
      <c r="B161" s="6"/>
      <c r="C161" s="6"/>
      <c r="D161" s="9"/>
      <c r="I161" s="190" t="s">
        <v>1423</v>
      </c>
      <c r="J161" s="189"/>
      <c r="K161" s="190" t="s">
        <v>1582</v>
      </c>
      <c r="U161" s="269" t="s">
        <v>1429</v>
      </c>
      <c r="W161" s="188" t="s">
        <v>27</v>
      </c>
      <c r="X161" s="188" t="s">
        <v>14</v>
      </c>
      <c r="Z161" s="188" t="s">
        <v>28</v>
      </c>
      <c r="AA161" s="188" t="s">
        <v>16</v>
      </c>
      <c r="AE161" s="6"/>
      <c r="AG161" s="188" t="s">
        <v>1429</v>
      </c>
      <c r="AH161" s="188" t="s">
        <v>634</v>
      </c>
    </row>
    <row r="162" spans="2:34" s="188" customFormat="1" ht="16" customHeight="1" thickTop="1" thickBot="1">
      <c r="B162" s="6"/>
      <c r="C162" s="6"/>
      <c r="D162" s="9"/>
      <c r="I162" s="190" t="s">
        <v>1902</v>
      </c>
      <c r="J162" s="189"/>
      <c r="K162" s="190" t="s">
        <v>1316</v>
      </c>
      <c r="U162" s="269" t="s">
        <v>2010</v>
      </c>
      <c r="W162" s="188" t="s">
        <v>43</v>
      </c>
      <c r="X162" s="188" t="s">
        <v>32</v>
      </c>
      <c r="Z162" s="188" t="s">
        <v>22</v>
      </c>
      <c r="AA162" s="188" t="s">
        <v>8</v>
      </c>
      <c r="AE162" s="6"/>
      <c r="AG162" s="188" t="s">
        <v>2010</v>
      </c>
      <c r="AH162" s="188" t="s">
        <v>24</v>
      </c>
    </row>
    <row r="163" spans="2:34" s="188" customFormat="1" ht="16" customHeight="1" thickTop="1" thickBot="1">
      <c r="B163" s="6"/>
      <c r="C163" s="6"/>
      <c r="D163" s="9"/>
      <c r="I163" s="190" t="s">
        <v>1522</v>
      </c>
      <c r="J163" s="189"/>
      <c r="K163" s="190" t="s">
        <v>1311</v>
      </c>
      <c r="U163" s="269" t="s">
        <v>1836</v>
      </c>
      <c r="W163" s="188" t="s">
        <v>28</v>
      </c>
      <c r="X163" s="188" t="s">
        <v>16</v>
      </c>
      <c r="Z163" s="188" t="s">
        <v>30</v>
      </c>
      <c r="AA163" s="188" t="s">
        <v>2</v>
      </c>
      <c r="AE163" s="6"/>
      <c r="AG163" s="188" t="s">
        <v>1836</v>
      </c>
      <c r="AH163" s="188" t="s">
        <v>21</v>
      </c>
    </row>
    <row r="164" spans="2:34" s="188" customFormat="1" ht="16" customHeight="1" thickTop="1" thickBot="1">
      <c r="B164" s="6"/>
      <c r="C164" s="6"/>
      <c r="D164" s="9"/>
      <c r="I164" s="190" t="s">
        <v>1857</v>
      </c>
      <c r="J164" s="189"/>
      <c r="K164" s="190" t="s">
        <v>1489</v>
      </c>
      <c r="U164" s="269" t="s">
        <v>1391</v>
      </c>
      <c r="W164" s="188" t="s">
        <v>33</v>
      </c>
      <c r="X164" s="188" t="s">
        <v>13</v>
      </c>
      <c r="Z164" s="188" t="s">
        <v>634</v>
      </c>
      <c r="AA164" s="188" t="s">
        <v>1220</v>
      </c>
      <c r="AE164" s="6"/>
      <c r="AG164" s="188" t="s">
        <v>1391</v>
      </c>
      <c r="AH164" s="188" t="s">
        <v>52</v>
      </c>
    </row>
    <row r="165" spans="2:34" s="188" customFormat="1" ht="16" customHeight="1" thickTop="1" thickBot="1">
      <c r="B165" s="6"/>
      <c r="C165" s="6"/>
      <c r="D165" s="9"/>
      <c r="I165" s="190" t="s">
        <v>1732</v>
      </c>
      <c r="J165" s="189"/>
      <c r="K165" s="190" t="s">
        <v>1505</v>
      </c>
      <c r="U165" s="269" t="s">
        <v>1753</v>
      </c>
      <c r="W165" s="188" t="s">
        <v>24</v>
      </c>
      <c r="X165" s="188" t="s">
        <v>10</v>
      </c>
      <c r="Z165" s="188" t="s">
        <v>20</v>
      </c>
      <c r="AA165" s="188" t="s">
        <v>6</v>
      </c>
      <c r="AE165" s="6"/>
      <c r="AG165" s="188" t="s">
        <v>1753</v>
      </c>
      <c r="AH165" s="188" t="s">
        <v>25</v>
      </c>
    </row>
    <row r="166" spans="2:34" s="188" customFormat="1" ht="16" customHeight="1" thickTop="1" thickBot="1">
      <c r="B166" s="6"/>
      <c r="C166" s="6"/>
      <c r="D166" s="9"/>
      <c r="I166" s="190" t="s">
        <v>1788</v>
      </c>
      <c r="J166" s="189"/>
      <c r="K166" s="190" t="s">
        <v>1575</v>
      </c>
      <c r="U166" s="269" t="s">
        <v>1360</v>
      </c>
      <c r="W166" s="188" t="s">
        <v>23</v>
      </c>
      <c r="X166" s="188" t="s">
        <v>9</v>
      </c>
      <c r="Z166" s="188" t="s">
        <v>52</v>
      </c>
      <c r="AA166" s="188" t="s">
        <v>15</v>
      </c>
      <c r="AE166" s="6"/>
      <c r="AG166" s="188" t="s">
        <v>1360</v>
      </c>
      <c r="AH166" s="188" t="s">
        <v>23</v>
      </c>
    </row>
    <row r="167" spans="2:34" s="188" customFormat="1" ht="16" customHeight="1" thickTop="1" thickBot="1">
      <c r="B167" s="6"/>
      <c r="C167" s="6"/>
      <c r="D167" s="9"/>
      <c r="I167" s="190" t="s">
        <v>2096</v>
      </c>
      <c r="J167" s="189"/>
      <c r="K167" s="190" t="s">
        <v>1310</v>
      </c>
      <c r="U167" s="269" t="s">
        <v>1433</v>
      </c>
      <c r="W167" s="188" t="s">
        <v>633</v>
      </c>
      <c r="X167" s="188" t="s">
        <v>1221</v>
      </c>
      <c r="Z167" s="188" t="s">
        <v>26</v>
      </c>
      <c r="AA167" s="188" t="s">
        <v>12</v>
      </c>
      <c r="AE167" s="6"/>
      <c r="AG167" s="188" t="s">
        <v>1433</v>
      </c>
      <c r="AH167" s="188" t="s">
        <v>28</v>
      </c>
    </row>
    <row r="168" spans="2:34" s="188" customFormat="1" ht="16" customHeight="1" thickTop="1" thickBot="1">
      <c r="B168" s="6"/>
      <c r="C168" s="6"/>
      <c r="D168" s="9"/>
      <c r="I168" s="190" t="s">
        <v>1756</v>
      </c>
      <c r="J168" s="189"/>
      <c r="K168" s="190" t="s">
        <v>1421</v>
      </c>
      <c r="U168" s="269" t="s">
        <v>1512</v>
      </c>
      <c r="W168" s="188" t="s">
        <v>29</v>
      </c>
      <c r="X168" s="188" t="s">
        <v>1</v>
      </c>
      <c r="Z168" s="188" t="s">
        <v>27</v>
      </c>
      <c r="AA168" s="188" t="s">
        <v>14</v>
      </c>
      <c r="AE168" s="6"/>
      <c r="AG168" s="188" t="s">
        <v>1512</v>
      </c>
      <c r="AH168" s="188" t="s">
        <v>28</v>
      </c>
    </row>
    <row r="169" spans="2:34" s="188" customFormat="1" ht="16" customHeight="1" thickTop="1" thickBot="1">
      <c r="B169" s="6"/>
      <c r="C169" s="6"/>
      <c r="D169" s="9"/>
      <c r="I169" s="190" t="s">
        <v>1849</v>
      </c>
      <c r="J169" s="189"/>
      <c r="K169" s="190" t="s">
        <v>1600</v>
      </c>
      <c r="U169" s="269" t="s">
        <v>1692</v>
      </c>
      <c r="W169" s="188" t="s">
        <v>25</v>
      </c>
      <c r="X169" s="188" t="s">
        <v>11</v>
      </c>
      <c r="Z169" s="188" t="s">
        <v>18</v>
      </c>
      <c r="AA169" s="188" t="s">
        <v>3</v>
      </c>
      <c r="AE169" s="6"/>
      <c r="AG169" s="188" t="s">
        <v>1692</v>
      </c>
      <c r="AH169" s="188" t="s">
        <v>51</v>
      </c>
    </row>
    <row r="170" spans="2:34" s="188" customFormat="1" ht="16" customHeight="1" thickTop="1" thickBot="1">
      <c r="B170" s="6"/>
      <c r="C170" s="6"/>
      <c r="D170" s="9"/>
      <c r="I170" s="190" t="s">
        <v>1831</v>
      </c>
      <c r="J170" s="189"/>
      <c r="K170" s="190" t="s">
        <v>1596</v>
      </c>
      <c r="U170" s="269" t="s">
        <v>1471</v>
      </c>
      <c r="W170" s="188" t="s">
        <v>19</v>
      </c>
      <c r="X170" s="188" t="s">
        <v>4</v>
      </c>
      <c r="Z170" s="188" t="s">
        <v>17</v>
      </c>
      <c r="AA170" s="188" t="s">
        <v>0</v>
      </c>
      <c r="AE170" s="6"/>
      <c r="AG170" s="188" t="s">
        <v>1471</v>
      </c>
      <c r="AH170" s="188" t="s">
        <v>43</v>
      </c>
    </row>
    <row r="171" spans="2:34" s="188" customFormat="1" ht="16" customHeight="1" thickTop="1" thickBot="1">
      <c r="B171" s="6"/>
      <c r="C171" s="6"/>
      <c r="D171" s="9"/>
      <c r="I171" s="190" t="s">
        <v>1669</v>
      </c>
      <c r="J171" s="189"/>
      <c r="K171" s="190" t="s">
        <v>1549</v>
      </c>
      <c r="U171" s="269" t="s">
        <v>1564</v>
      </c>
      <c r="W171" s="188" t="s">
        <v>51</v>
      </c>
      <c r="X171" s="188" t="s">
        <v>5</v>
      </c>
      <c r="Z171" s="188" t="s">
        <v>21</v>
      </c>
      <c r="AA171" s="188" t="s">
        <v>7</v>
      </c>
      <c r="AE171" s="6"/>
      <c r="AG171" s="188" t="s">
        <v>1564</v>
      </c>
      <c r="AH171" s="188" t="s">
        <v>22</v>
      </c>
    </row>
    <row r="172" spans="2:34" s="188" customFormat="1" ht="16" customHeight="1" thickTop="1" thickBot="1">
      <c r="B172" s="6"/>
      <c r="C172" s="6"/>
      <c r="D172" s="9"/>
      <c r="I172" s="190" t="s">
        <v>1620</v>
      </c>
      <c r="J172" s="189"/>
      <c r="K172" s="190" t="s">
        <v>1627</v>
      </c>
      <c r="U172" s="269" t="s">
        <v>1636</v>
      </c>
      <c r="W172" s="188" t="s">
        <v>20</v>
      </c>
      <c r="X172" s="188" t="s">
        <v>6</v>
      </c>
      <c r="Z172" s="188" t="s">
        <v>33</v>
      </c>
      <c r="AA172" s="188" t="s">
        <v>13</v>
      </c>
      <c r="AE172" s="6"/>
      <c r="AG172" s="188" t="s">
        <v>1636</v>
      </c>
      <c r="AH172" s="188" t="s">
        <v>51</v>
      </c>
    </row>
    <row r="173" spans="2:34" s="188" customFormat="1" ht="16" customHeight="1" thickTop="1" thickBot="1">
      <c r="B173" s="6"/>
      <c r="C173" s="6"/>
      <c r="D173" s="9"/>
      <c r="I173" s="190" t="s">
        <v>1383</v>
      </c>
      <c r="J173" s="189"/>
      <c r="K173" s="190" t="s">
        <v>1718</v>
      </c>
      <c r="U173" s="269" t="s">
        <v>1509</v>
      </c>
      <c r="W173" s="188" t="s">
        <v>21</v>
      </c>
      <c r="X173" s="188" t="s">
        <v>7</v>
      </c>
      <c r="Z173" s="188" t="s">
        <v>43</v>
      </c>
      <c r="AA173" s="188" t="s">
        <v>32</v>
      </c>
      <c r="AE173" s="6"/>
      <c r="AG173" s="188" t="s">
        <v>1509</v>
      </c>
      <c r="AH173" s="188" t="s">
        <v>634</v>
      </c>
    </row>
    <row r="174" spans="2:34" s="188" customFormat="1" ht="16" customHeight="1" thickTop="1" thickBot="1">
      <c r="B174" s="6"/>
      <c r="C174" s="6"/>
      <c r="D174" s="9"/>
      <c r="I174" s="190" t="s">
        <v>1822</v>
      </c>
      <c r="J174" s="189"/>
      <c r="K174" s="190" t="s">
        <v>1369</v>
      </c>
      <c r="U174" s="269" t="s">
        <v>1711</v>
      </c>
      <c r="W174" s="188" t="s">
        <v>22</v>
      </c>
      <c r="X174" s="188" t="s">
        <v>8</v>
      </c>
      <c r="Z174" s="188" t="s">
        <v>24</v>
      </c>
      <c r="AA174" s="188" t="s">
        <v>10</v>
      </c>
      <c r="AE174" s="6"/>
      <c r="AG174" s="188" t="s">
        <v>1711</v>
      </c>
      <c r="AH174" s="188" t="s">
        <v>52</v>
      </c>
    </row>
    <row r="175" spans="2:34" s="188" customFormat="1" ht="16" customHeight="1" thickTop="1" thickBot="1">
      <c r="B175" s="6"/>
      <c r="C175" s="6"/>
      <c r="D175" s="9"/>
      <c r="I175" s="190" t="s">
        <v>1787</v>
      </c>
      <c r="J175" s="189"/>
      <c r="K175" s="190" t="s">
        <v>1722</v>
      </c>
      <c r="U175" s="269" t="s">
        <v>1273</v>
      </c>
      <c r="W175" s="188" t="s">
        <v>18</v>
      </c>
      <c r="X175" s="188" t="s">
        <v>3</v>
      </c>
      <c r="Z175" s="188" t="s">
        <v>28</v>
      </c>
      <c r="AA175" s="188" t="s">
        <v>16</v>
      </c>
      <c r="AE175" s="6"/>
      <c r="AG175" s="188" t="s">
        <v>1273</v>
      </c>
      <c r="AH175" s="188" t="s">
        <v>29</v>
      </c>
    </row>
    <row r="176" spans="2:34" s="188" customFormat="1" ht="16" customHeight="1" thickTop="1" thickBot="1">
      <c r="B176" s="6"/>
      <c r="C176" s="6"/>
      <c r="D176" s="9"/>
      <c r="I176" s="190" t="s">
        <v>1348</v>
      </c>
      <c r="J176" s="189"/>
      <c r="K176" s="190" t="s">
        <v>1601</v>
      </c>
      <c r="U176" s="269" t="s">
        <v>1578</v>
      </c>
      <c r="W176" s="188" t="s">
        <v>26</v>
      </c>
      <c r="X176" s="188" t="s">
        <v>12</v>
      </c>
      <c r="Z176" s="188" t="s">
        <v>19</v>
      </c>
      <c r="AA176" s="188" t="s">
        <v>4</v>
      </c>
      <c r="AE176" s="6"/>
      <c r="AG176" s="188" t="s">
        <v>1578</v>
      </c>
      <c r="AH176" s="188" t="s">
        <v>633</v>
      </c>
    </row>
    <row r="177" spans="2:34" s="188" customFormat="1" ht="16" customHeight="1" thickTop="1" thickBot="1">
      <c r="B177" s="6"/>
      <c r="C177" s="6"/>
      <c r="D177" s="9"/>
      <c r="I177" s="190" t="s">
        <v>1395</v>
      </c>
      <c r="J177" s="189"/>
      <c r="K177" s="190" t="s">
        <v>1562</v>
      </c>
      <c r="U177" s="269" t="s">
        <v>1425</v>
      </c>
      <c r="W177" s="188" t="s">
        <v>17</v>
      </c>
      <c r="X177" s="188" t="s">
        <v>0</v>
      </c>
      <c r="Z177" s="188" t="s">
        <v>51</v>
      </c>
      <c r="AA177" s="188" t="s">
        <v>5</v>
      </c>
      <c r="AE177" s="6"/>
      <c r="AG177" s="188" t="s">
        <v>1425</v>
      </c>
      <c r="AH177" s="188" t="s">
        <v>20</v>
      </c>
    </row>
    <row r="178" spans="2:34" s="188" customFormat="1" ht="16" customHeight="1" thickTop="1" thickBot="1">
      <c r="B178" s="6"/>
      <c r="C178" s="6"/>
      <c r="D178" s="9"/>
      <c r="I178" s="190" t="s">
        <v>1864</v>
      </c>
      <c r="J178" s="189"/>
      <c r="K178" s="190" t="s">
        <v>1440</v>
      </c>
      <c r="U178" s="269" t="s">
        <v>1678</v>
      </c>
      <c r="W178" s="188" t="s">
        <v>30</v>
      </c>
      <c r="X178" s="188" t="s">
        <v>2</v>
      </c>
      <c r="Z178" s="188" t="s">
        <v>25</v>
      </c>
      <c r="AA178" s="188" t="s">
        <v>11</v>
      </c>
      <c r="AE178" s="6"/>
      <c r="AG178" s="188" t="s">
        <v>1678</v>
      </c>
      <c r="AH178" s="188" t="s">
        <v>21</v>
      </c>
    </row>
    <row r="179" spans="2:34" s="188" customFormat="1" ht="16" customHeight="1" thickTop="1" thickBot="1">
      <c r="B179" s="6"/>
      <c r="C179" s="6"/>
      <c r="D179" s="9"/>
      <c r="I179" s="190" t="s">
        <v>1869</v>
      </c>
      <c r="J179" s="189"/>
      <c r="K179" s="190" t="s">
        <v>1361</v>
      </c>
      <c r="U179" s="269" t="s">
        <v>1710</v>
      </c>
      <c r="W179" s="188" t="s">
        <v>52</v>
      </c>
      <c r="X179" s="188" t="s">
        <v>15</v>
      </c>
      <c r="Z179" s="188" t="s">
        <v>29</v>
      </c>
      <c r="AA179" s="188" t="s">
        <v>1</v>
      </c>
      <c r="AE179" s="6"/>
      <c r="AG179" s="188" t="s">
        <v>1710</v>
      </c>
      <c r="AH179" s="188" t="s">
        <v>30</v>
      </c>
    </row>
    <row r="180" spans="2:34" s="188" customFormat="1" ht="16" customHeight="1" thickTop="1" thickBot="1">
      <c r="B180" s="6"/>
      <c r="C180" s="6"/>
      <c r="D180" s="9"/>
      <c r="I180" s="190" t="s">
        <v>1415</v>
      </c>
      <c r="J180" s="189"/>
      <c r="K180" s="190" t="s">
        <v>1737</v>
      </c>
      <c r="U180" s="269" t="s">
        <v>1824</v>
      </c>
      <c r="W180" s="188" t="s">
        <v>634</v>
      </c>
      <c r="X180" s="188" t="s">
        <v>1220</v>
      </c>
      <c r="Z180" s="188" t="s">
        <v>633</v>
      </c>
      <c r="AA180" s="188" t="s">
        <v>1221</v>
      </c>
      <c r="AE180" s="6"/>
      <c r="AG180" s="188" t="s">
        <v>1824</v>
      </c>
      <c r="AH180" s="188" t="s">
        <v>22</v>
      </c>
    </row>
    <row r="181" spans="2:34" s="188" customFormat="1" ht="16" customHeight="1" thickTop="1" thickBot="1">
      <c r="B181" s="6"/>
      <c r="C181" s="6"/>
      <c r="D181" s="9"/>
      <c r="I181" s="190" t="s">
        <v>1699</v>
      </c>
      <c r="J181" s="189"/>
      <c r="K181" s="190" t="s">
        <v>1594</v>
      </c>
      <c r="U181" s="269" t="s">
        <v>1341</v>
      </c>
      <c r="W181" s="188" t="s">
        <v>27</v>
      </c>
      <c r="X181" s="188" t="s">
        <v>14</v>
      </c>
      <c r="Z181" s="188" t="s">
        <v>23</v>
      </c>
      <c r="AA181" s="188" t="s">
        <v>9</v>
      </c>
      <c r="AE181" s="6"/>
      <c r="AG181" s="188" t="s">
        <v>1341</v>
      </c>
      <c r="AH181" s="188" t="s">
        <v>28</v>
      </c>
    </row>
    <row r="182" spans="2:34" s="188" customFormat="1" ht="16" customHeight="1" thickTop="1" thickBot="1">
      <c r="B182" s="6"/>
      <c r="C182" s="6"/>
      <c r="D182" s="9"/>
      <c r="I182" s="190" t="s">
        <v>1507</v>
      </c>
      <c r="J182" s="189"/>
      <c r="K182" s="190" t="s">
        <v>1552</v>
      </c>
      <c r="U182" s="269" t="s">
        <v>1612</v>
      </c>
      <c r="W182" s="188" t="s">
        <v>20</v>
      </c>
      <c r="X182" s="188" t="s">
        <v>6</v>
      </c>
      <c r="Z182" s="188" t="s">
        <v>28</v>
      </c>
      <c r="AA182" s="188" t="s">
        <v>16</v>
      </c>
      <c r="AE182" s="6"/>
      <c r="AG182" s="188" t="s">
        <v>1612</v>
      </c>
      <c r="AH182" s="188" t="s">
        <v>28</v>
      </c>
    </row>
    <row r="183" spans="2:34" s="188" customFormat="1" ht="16" customHeight="1" thickTop="1" thickBot="1">
      <c r="B183" s="6"/>
      <c r="C183" s="6"/>
      <c r="D183" s="9"/>
      <c r="I183" s="190" t="s">
        <v>1755</v>
      </c>
      <c r="J183" s="189"/>
      <c r="K183" s="190" t="s">
        <v>1598</v>
      </c>
      <c r="U183" s="269" t="s">
        <v>1402</v>
      </c>
      <c r="W183" s="188" t="s">
        <v>21</v>
      </c>
      <c r="X183" s="188" t="s">
        <v>7</v>
      </c>
      <c r="Z183" s="188" t="s">
        <v>19</v>
      </c>
      <c r="AA183" s="188" t="s">
        <v>4</v>
      </c>
      <c r="AE183" s="6"/>
      <c r="AG183" s="188" t="s">
        <v>1402</v>
      </c>
      <c r="AH183" s="188" t="s">
        <v>25</v>
      </c>
    </row>
    <row r="184" spans="2:34" s="188" customFormat="1" ht="16" customHeight="1" thickTop="1" thickBot="1">
      <c r="B184" s="6"/>
      <c r="C184" s="6"/>
      <c r="D184" s="9"/>
      <c r="I184" s="190" t="s">
        <v>1840</v>
      </c>
      <c r="J184" s="189"/>
      <c r="K184" s="190" t="s">
        <v>1476</v>
      </c>
      <c r="U184" s="269" t="s">
        <v>1524</v>
      </c>
      <c r="W184" s="188" t="s">
        <v>22</v>
      </c>
      <c r="X184" s="188" t="s">
        <v>8</v>
      </c>
      <c r="Z184" s="188" t="s">
        <v>25</v>
      </c>
      <c r="AA184" s="188" t="s">
        <v>11</v>
      </c>
      <c r="AE184" s="6"/>
      <c r="AG184" s="188" t="s">
        <v>1524</v>
      </c>
      <c r="AH184" s="188" t="s">
        <v>21</v>
      </c>
    </row>
    <row r="185" spans="2:34" s="188" customFormat="1" ht="16" customHeight="1" thickTop="1" thickBot="1">
      <c r="B185" s="6"/>
      <c r="C185" s="6"/>
      <c r="D185" s="9"/>
      <c r="I185" s="190" t="s">
        <v>1841</v>
      </c>
      <c r="J185" s="189"/>
      <c r="K185" s="190" t="s">
        <v>1474</v>
      </c>
      <c r="U185" s="269" t="s">
        <v>1526</v>
      </c>
      <c r="W185" s="188" t="s">
        <v>18</v>
      </c>
      <c r="X185" s="188" t="s">
        <v>3</v>
      </c>
      <c r="Z185" s="188" t="s">
        <v>43</v>
      </c>
      <c r="AA185" s="188" t="s">
        <v>32</v>
      </c>
      <c r="AE185" s="6"/>
      <c r="AG185" s="188" t="s">
        <v>1526</v>
      </c>
      <c r="AH185" s="188" t="s">
        <v>33</v>
      </c>
    </row>
    <row r="186" spans="2:34" s="188" customFormat="1" ht="16" customHeight="1" thickTop="1" thickBot="1">
      <c r="B186" s="6"/>
      <c r="C186" s="6"/>
      <c r="D186" s="9"/>
      <c r="I186" s="190" t="s">
        <v>1865</v>
      </c>
      <c r="J186" s="189"/>
      <c r="K186" s="190" t="s">
        <v>1543</v>
      </c>
      <c r="U186" s="269" t="s">
        <v>1343</v>
      </c>
      <c r="W186" s="188" t="s">
        <v>26</v>
      </c>
      <c r="X186" s="188" t="s">
        <v>12</v>
      </c>
      <c r="Z186" s="188" t="s">
        <v>23</v>
      </c>
      <c r="AA186" s="188" t="s">
        <v>9</v>
      </c>
      <c r="AE186" s="6"/>
      <c r="AG186" s="188" t="s">
        <v>1343</v>
      </c>
      <c r="AH186" s="188" t="s">
        <v>17</v>
      </c>
    </row>
    <row r="187" spans="2:34" s="188" customFormat="1" ht="16" customHeight="1" thickTop="1" thickBot="1">
      <c r="B187" s="6"/>
      <c r="C187" s="6"/>
      <c r="D187" s="9"/>
      <c r="I187" s="190" t="s">
        <v>1717</v>
      </c>
      <c r="J187" s="189"/>
      <c r="K187" s="190" t="s">
        <v>1538</v>
      </c>
      <c r="U187" s="269" t="s">
        <v>1700</v>
      </c>
      <c r="W187" s="188" t="s">
        <v>17</v>
      </c>
      <c r="X187" s="188" t="s">
        <v>0</v>
      </c>
      <c r="Z187" s="188" t="s">
        <v>633</v>
      </c>
      <c r="AA187" s="188" t="s">
        <v>1221</v>
      </c>
      <c r="AE187" s="6"/>
      <c r="AG187" s="188" t="s">
        <v>1700</v>
      </c>
      <c r="AH187" s="188" t="s">
        <v>33</v>
      </c>
    </row>
    <row r="188" spans="2:34" s="188" customFormat="1" ht="16" customHeight="1" thickTop="1" thickBot="1">
      <c r="B188" s="6"/>
      <c r="C188" s="6"/>
      <c r="D188" s="9"/>
      <c r="I188" s="190" t="s">
        <v>1393</v>
      </c>
      <c r="J188" s="189"/>
      <c r="K188" s="190" t="s">
        <v>1426</v>
      </c>
      <c r="U188" s="269" t="s">
        <v>1321</v>
      </c>
      <c r="W188" s="188" t="s">
        <v>30</v>
      </c>
      <c r="X188" s="188" t="s">
        <v>2</v>
      </c>
      <c r="Z188" s="188" t="s">
        <v>51</v>
      </c>
      <c r="AA188" s="188" t="s">
        <v>5</v>
      </c>
      <c r="AE188" s="6"/>
      <c r="AG188" s="188" t="s">
        <v>1321</v>
      </c>
      <c r="AH188" s="188" t="s">
        <v>18</v>
      </c>
    </row>
    <row r="189" spans="2:34" s="188" customFormat="1" ht="16" customHeight="1" thickTop="1" thickBot="1">
      <c r="B189" s="6"/>
      <c r="C189" s="6"/>
      <c r="D189" s="9"/>
      <c r="I189" s="190" t="s">
        <v>1704</v>
      </c>
      <c r="J189" s="189"/>
      <c r="K189" s="190" t="s">
        <v>1467</v>
      </c>
      <c r="U189" s="269" t="s">
        <v>1344</v>
      </c>
      <c r="W189" s="188" t="s">
        <v>52</v>
      </c>
      <c r="X189" s="188" t="s">
        <v>15</v>
      </c>
      <c r="Z189" s="188" t="s">
        <v>24</v>
      </c>
      <c r="AA189" s="188" t="s">
        <v>10</v>
      </c>
      <c r="AE189" s="6"/>
      <c r="AG189" s="188" t="s">
        <v>1344</v>
      </c>
      <c r="AH189" s="188" t="s">
        <v>20</v>
      </c>
    </row>
    <row r="190" spans="2:34" s="188" customFormat="1" ht="16" customHeight="1" thickTop="1" thickBot="1">
      <c r="B190" s="6"/>
      <c r="C190" s="6"/>
      <c r="D190" s="9"/>
      <c r="I190" s="190" t="s">
        <v>1867</v>
      </c>
      <c r="J190" s="189"/>
      <c r="K190" s="190" t="s">
        <v>1746</v>
      </c>
      <c r="U190" s="269" t="s">
        <v>1458</v>
      </c>
      <c r="W190" s="188" t="s">
        <v>634</v>
      </c>
      <c r="X190" s="188" t="s">
        <v>1220</v>
      </c>
      <c r="Z190" s="188" t="s">
        <v>29</v>
      </c>
      <c r="AA190" s="188" t="s">
        <v>1</v>
      </c>
      <c r="AE190" s="6"/>
      <c r="AG190" s="188" t="s">
        <v>1458</v>
      </c>
      <c r="AH190" s="188" t="s">
        <v>52</v>
      </c>
    </row>
    <row r="191" spans="2:34" s="188" customFormat="1" ht="16" customHeight="1" thickTop="1" thickBot="1">
      <c r="B191" s="6"/>
      <c r="C191" s="6"/>
      <c r="D191" s="9"/>
      <c r="I191" s="190" t="s">
        <v>1666</v>
      </c>
      <c r="J191" s="189"/>
      <c r="K191" s="190" t="s">
        <v>1286</v>
      </c>
      <c r="U191" s="269" t="s">
        <v>1469</v>
      </c>
      <c r="W191" s="188" t="s">
        <v>27</v>
      </c>
      <c r="X191" s="188" t="s">
        <v>14</v>
      </c>
      <c r="Z191" s="188" t="s">
        <v>33</v>
      </c>
      <c r="AA191" s="188" t="s">
        <v>13</v>
      </c>
      <c r="AE191" s="6"/>
      <c r="AG191" s="188" t="s">
        <v>1469</v>
      </c>
      <c r="AH191" s="188" t="s">
        <v>20</v>
      </c>
    </row>
    <row r="192" spans="2:34" s="188" customFormat="1" ht="16" customHeight="1" thickTop="1" thickBot="1">
      <c r="B192" s="6"/>
      <c r="C192" s="6"/>
      <c r="D192" s="9"/>
      <c r="I192" s="190" t="s">
        <v>1858</v>
      </c>
      <c r="J192" s="189"/>
      <c r="K192" s="190" t="s">
        <v>1407</v>
      </c>
      <c r="U192" s="269" t="s">
        <v>1757</v>
      </c>
      <c r="W192" s="188" t="s">
        <v>43</v>
      </c>
      <c r="X192" s="188" t="s">
        <v>32</v>
      </c>
      <c r="Z192" s="188" t="s">
        <v>20</v>
      </c>
      <c r="AA192" s="188" t="s">
        <v>6</v>
      </c>
      <c r="AE192" s="6"/>
      <c r="AG192" s="188" t="s">
        <v>1757</v>
      </c>
      <c r="AH192" s="188" t="s">
        <v>52</v>
      </c>
    </row>
    <row r="193" spans="2:34" s="188" customFormat="1" ht="16" customHeight="1" thickTop="1" thickBot="1">
      <c r="B193" s="6"/>
      <c r="C193" s="6"/>
      <c r="D193" s="9"/>
      <c r="I193" s="190" t="s">
        <v>1859</v>
      </c>
      <c r="J193" s="189"/>
      <c r="K193" s="190" t="s">
        <v>1375</v>
      </c>
      <c r="U193" s="269" t="s">
        <v>1702</v>
      </c>
      <c r="W193" s="188" t="s">
        <v>28</v>
      </c>
      <c r="X193" s="188" t="s">
        <v>16</v>
      </c>
      <c r="Z193" s="188" t="s">
        <v>52</v>
      </c>
      <c r="AA193" s="188" t="s">
        <v>15</v>
      </c>
      <c r="AE193" s="6"/>
      <c r="AG193" s="188" t="s">
        <v>1702</v>
      </c>
      <c r="AH193" s="188" t="s">
        <v>18</v>
      </c>
    </row>
    <row r="194" spans="2:34" s="188" customFormat="1" ht="16" customHeight="1" thickTop="1" thickBot="1">
      <c r="B194" s="6"/>
      <c r="C194" s="6"/>
      <c r="D194" s="9"/>
      <c r="I194" s="190" t="s">
        <v>1519</v>
      </c>
      <c r="J194" s="189"/>
      <c r="K194" s="190" t="s">
        <v>1381</v>
      </c>
      <c r="U194" s="269" t="s">
        <v>1280</v>
      </c>
      <c r="W194" s="188" t="s">
        <v>33</v>
      </c>
      <c r="X194" s="188" t="s">
        <v>13</v>
      </c>
      <c r="Z194" s="188" t="s">
        <v>22</v>
      </c>
      <c r="AA194" s="188" t="s">
        <v>8</v>
      </c>
      <c r="AE194" s="6"/>
      <c r="AG194" s="188" t="s">
        <v>1280</v>
      </c>
      <c r="AH194" s="188" t="s">
        <v>17</v>
      </c>
    </row>
    <row r="195" spans="2:34" s="188" customFormat="1" ht="16" customHeight="1" thickTop="1" thickBot="1">
      <c r="B195" s="6"/>
      <c r="C195" s="6"/>
      <c r="D195" s="9"/>
      <c r="I195" s="190" t="s">
        <v>1667</v>
      </c>
      <c r="J195" s="189"/>
      <c r="K195" s="190" t="s">
        <v>1285</v>
      </c>
      <c r="U195" s="269" t="s">
        <v>1305</v>
      </c>
      <c r="W195" s="188" t="s">
        <v>24</v>
      </c>
      <c r="X195" s="188" t="s">
        <v>10</v>
      </c>
      <c r="Z195" s="188" t="s">
        <v>21</v>
      </c>
      <c r="AA195" s="188" t="s">
        <v>7</v>
      </c>
      <c r="AE195" s="6"/>
      <c r="AG195" s="188" t="s">
        <v>1305</v>
      </c>
      <c r="AH195" s="188" t="s">
        <v>43</v>
      </c>
    </row>
    <row r="196" spans="2:34" s="188" customFormat="1" ht="16" customHeight="1" thickTop="1" thickBot="1">
      <c r="B196" s="6"/>
      <c r="C196" s="6"/>
      <c r="D196" s="9"/>
      <c r="I196" s="190" t="s">
        <v>1843</v>
      </c>
      <c r="J196" s="189"/>
      <c r="K196" s="190" t="s">
        <v>1556</v>
      </c>
      <c r="U196" s="269" t="s">
        <v>1778</v>
      </c>
      <c r="W196" s="188" t="s">
        <v>23</v>
      </c>
      <c r="X196" s="188" t="s">
        <v>9</v>
      </c>
      <c r="Z196" s="188" t="s">
        <v>17</v>
      </c>
      <c r="AA196" s="188" t="s">
        <v>0</v>
      </c>
      <c r="AE196" s="6"/>
      <c r="AG196" s="188" t="s">
        <v>1778</v>
      </c>
      <c r="AH196" s="188" t="s">
        <v>26</v>
      </c>
    </row>
    <row r="197" spans="2:34" s="188" customFormat="1" ht="16" customHeight="1" thickTop="1" thickBot="1">
      <c r="B197" s="6"/>
      <c r="C197" s="6"/>
      <c r="D197" s="9"/>
      <c r="I197" s="190" t="s">
        <v>1706</v>
      </c>
      <c r="J197" s="189"/>
      <c r="K197" s="190" t="s">
        <v>1340</v>
      </c>
      <c r="U197" s="269" t="s">
        <v>1557</v>
      </c>
      <c r="W197" s="188" t="s">
        <v>633</v>
      </c>
      <c r="X197" s="188" t="s">
        <v>1221</v>
      </c>
      <c r="Z197" s="188" t="s">
        <v>30</v>
      </c>
      <c r="AA197" s="188" t="s">
        <v>2</v>
      </c>
      <c r="AE197" s="6"/>
      <c r="AG197" s="188" t="s">
        <v>1557</v>
      </c>
      <c r="AH197" s="188" t="s">
        <v>21</v>
      </c>
    </row>
    <row r="198" spans="2:34" s="188" customFormat="1" ht="16" customHeight="1" thickTop="1" thickBot="1">
      <c r="B198" s="6"/>
      <c r="C198" s="6"/>
      <c r="D198" s="9"/>
      <c r="I198" s="190" t="s">
        <v>1483</v>
      </c>
      <c r="J198" s="189"/>
      <c r="K198" s="190" t="s">
        <v>1558</v>
      </c>
      <c r="U198" s="269" t="s">
        <v>1649</v>
      </c>
      <c r="W198" s="188" t="s">
        <v>29</v>
      </c>
      <c r="X198" s="188" t="s">
        <v>1</v>
      </c>
      <c r="Z198" s="188" t="s">
        <v>18</v>
      </c>
      <c r="AA198" s="188" t="s">
        <v>3</v>
      </c>
      <c r="AE198" s="6"/>
      <c r="AG198" s="188" t="s">
        <v>1649</v>
      </c>
      <c r="AH198" s="188" t="s">
        <v>27</v>
      </c>
    </row>
    <row r="199" spans="2:34" s="188" customFormat="1" ht="16" customHeight="1" thickTop="1" thickBot="1">
      <c r="B199" s="6"/>
      <c r="C199" s="6"/>
      <c r="D199" s="9"/>
      <c r="I199" s="190" t="s">
        <v>1660</v>
      </c>
      <c r="J199" s="189"/>
      <c r="K199" s="190" t="s">
        <v>1446</v>
      </c>
      <c r="U199" s="269" t="s">
        <v>1884</v>
      </c>
      <c r="W199" s="188" t="s">
        <v>25</v>
      </c>
      <c r="X199" s="188" t="s">
        <v>11</v>
      </c>
      <c r="Z199" s="188" t="s">
        <v>26</v>
      </c>
      <c r="AA199" s="188" t="s">
        <v>12</v>
      </c>
      <c r="AE199" s="6"/>
      <c r="AG199" s="188" t="s">
        <v>1884</v>
      </c>
      <c r="AH199" s="188" t="s">
        <v>17</v>
      </c>
    </row>
    <row r="200" spans="2:34" s="188" customFormat="1" ht="16" customHeight="1" thickTop="1" thickBot="1">
      <c r="B200" s="6"/>
      <c r="C200" s="6"/>
      <c r="D200" s="9"/>
      <c r="I200" s="190" t="s">
        <v>1714</v>
      </c>
      <c r="J200" s="189"/>
      <c r="K200" s="190" t="s">
        <v>1595</v>
      </c>
      <c r="U200" s="269" t="s">
        <v>1798</v>
      </c>
      <c r="W200" s="188" t="s">
        <v>19</v>
      </c>
      <c r="X200" s="188" t="s">
        <v>4</v>
      </c>
      <c r="Z200" s="188" t="s">
        <v>634</v>
      </c>
      <c r="AA200" s="188" t="s">
        <v>1220</v>
      </c>
      <c r="AE200" s="6"/>
      <c r="AG200" s="188" t="s">
        <v>1798</v>
      </c>
      <c r="AH200" s="188" t="s">
        <v>633</v>
      </c>
    </row>
    <row r="201" spans="2:34" s="188" customFormat="1" ht="16" customHeight="1" thickTop="1" thickBot="1">
      <c r="B201" s="6"/>
      <c r="C201" s="6"/>
      <c r="D201" s="9"/>
      <c r="I201" s="190" t="s">
        <v>1504</v>
      </c>
      <c r="J201" s="189"/>
      <c r="K201" s="190" t="s">
        <v>1537</v>
      </c>
      <c r="U201" s="269" t="s">
        <v>1307</v>
      </c>
      <c r="W201" s="188" t="s">
        <v>51</v>
      </c>
      <c r="X201" s="188" t="s">
        <v>5</v>
      </c>
      <c r="Z201" s="188" t="s">
        <v>27</v>
      </c>
      <c r="AA201" s="188" t="s">
        <v>14</v>
      </c>
      <c r="AE201" s="6"/>
      <c r="AG201" s="188" t="s">
        <v>1307</v>
      </c>
      <c r="AH201" s="188" t="s">
        <v>20</v>
      </c>
    </row>
    <row r="202" spans="2:34" s="188" customFormat="1" ht="16" customHeight="1" thickTop="1" thickBot="1">
      <c r="B202" s="6"/>
      <c r="C202" s="6"/>
      <c r="D202" s="9"/>
      <c r="I202" s="190" t="s">
        <v>1872</v>
      </c>
      <c r="J202" s="189"/>
      <c r="K202" s="190" t="s">
        <v>1365</v>
      </c>
      <c r="U202" s="269" t="s">
        <v>1879</v>
      </c>
      <c r="W202" s="188" t="s">
        <v>43</v>
      </c>
      <c r="X202" s="188" t="s">
        <v>32</v>
      </c>
      <c r="Z202" s="188" t="s">
        <v>19</v>
      </c>
      <c r="AA202" s="188" t="s">
        <v>4</v>
      </c>
      <c r="AE202" s="6"/>
      <c r="AG202" s="188" t="s">
        <v>1879</v>
      </c>
      <c r="AH202" s="188" t="s">
        <v>18</v>
      </c>
    </row>
    <row r="203" spans="2:34" s="188" customFormat="1" ht="16" customHeight="1" thickTop="1" thickBot="1">
      <c r="B203" s="6"/>
      <c r="C203" s="6"/>
      <c r="D203" s="9"/>
      <c r="I203" s="190" t="s">
        <v>1826</v>
      </c>
      <c r="J203" s="189"/>
      <c r="K203" s="190" t="s">
        <v>1359</v>
      </c>
      <c r="U203" s="269" t="s">
        <v>1754</v>
      </c>
      <c r="W203" s="188" t="s">
        <v>20</v>
      </c>
      <c r="X203" s="188" t="s">
        <v>6</v>
      </c>
      <c r="Z203" s="188" t="s">
        <v>17</v>
      </c>
      <c r="AA203" s="188" t="s">
        <v>0</v>
      </c>
      <c r="AE203" s="6"/>
      <c r="AG203" s="188" t="s">
        <v>1754</v>
      </c>
      <c r="AH203" s="188" t="s">
        <v>25</v>
      </c>
    </row>
    <row r="204" spans="2:34" s="188" customFormat="1" ht="16" customHeight="1" thickTop="1" thickBot="1">
      <c r="B204" s="6"/>
      <c r="C204" s="6"/>
      <c r="D204" s="9"/>
      <c r="I204" s="190" t="s">
        <v>1501</v>
      </c>
      <c r="J204" s="189"/>
      <c r="K204" s="190" t="s">
        <v>1591</v>
      </c>
      <c r="U204" s="269" t="s">
        <v>1719</v>
      </c>
      <c r="W204" s="188" t="s">
        <v>21</v>
      </c>
      <c r="X204" s="188" t="s">
        <v>7</v>
      </c>
      <c r="Z204" s="188" t="s">
        <v>634</v>
      </c>
      <c r="AA204" s="188" t="s">
        <v>1220</v>
      </c>
      <c r="AE204" s="6"/>
      <c r="AG204" s="188" t="s">
        <v>1719</v>
      </c>
      <c r="AH204" s="188" t="s">
        <v>27</v>
      </c>
    </row>
    <row r="205" spans="2:34" s="188" customFormat="1" ht="16" customHeight="1" thickTop="1" thickBot="1">
      <c r="B205" s="6"/>
      <c r="C205" s="6"/>
      <c r="D205" s="9"/>
      <c r="I205" s="190" t="s">
        <v>1653</v>
      </c>
      <c r="J205" s="189"/>
      <c r="K205" s="190" t="s">
        <v>1312</v>
      </c>
      <c r="U205" s="269" t="s">
        <v>1592</v>
      </c>
      <c r="W205" s="188" t="s">
        <v>22</v>
      </c>
      <c r="X205" s="188" t="s">
        <v>8</v>
      </c>
      <c r="Z205" s="188" t="s">
        <v>30</v>
      </c>
      <c r="AA205" s="188" t="s">
        <v>2</v>
      </c>
      <c r="AE205" s="6"/>
      <c r="AG205" s="188" t="s">
        <v>1592</v>
      </c>
      <c r="AH205" s="188" t="s">
        <v>19</v>
      </c>
    </row>
    <row r="206" spans="2:34" s="188" customFormat="1" ht="16" customHeight="1" thickTop="1" thickBot="1">
      <c r="B206" s="6"/>
      <c r="C206" s="6"/>
      <c r="D206" s="9"/>
      <c r="I206" s="190" t="s">
        <v>1347</v>
      </c>
      <c r="J206" s="189"/>
      <c r="K206" s="190" t="s">
        <v>1272</v>
      </c>
      <c r="U206" s="269" t="s">
        <v>1658</v>
      </c>
      <c r="W206" s="188" t="s">
        <v>26</v>
      </c>
      <c r="X206" s="188" t="s">
        <v>12</v>
      </c>
      <c r="Z206" s="188" t="s">
        <v>28</v>
      </c>
      <c r="AA206" s="188" t="s">
        <v>16</v>
      </c>
      <c r="AE206" s="6"/>
      <c r="AG206" s="188" t="s">
        <v>1658</v>
      </c>
      <c r="AH206" s="188" t="s">
        <v>17</v>
      </c>
    </row>
    <row r="207" spans="2:34" s="188" customFormat="1" ht="16" customHeight="1" thickTop="1" thickBot="1">
      <c r="B207" s="6"/>
      <c r="C207" s="6"/>
      <c r="D207" s="9"/>
      <c r="I207" s="190" t="s">
        <v>1488</v>
      </c>
      <c r="J207" s="189"/>
      <c r="K207" s="190" t="s">
        <v>1390</v>
      </c>
      <c r="U207" s="269" t="s">
        <v>1720</v>
      </c>
      <c r="W207" s="188" t="s">
        <v>24</v>
      </c>
      <c r="X207" s="188" t="s">
        <v>10</v>
      </c>
      <c r="Z207" s="188" t="s">
        <v>51</v>
      </c>
      <c r="AA207" s="188" t="s">
        <v>5</v>
      </c>
      <c r="AE207" s="6"/>
      <c r="AG207" s="188" t="s">
        <v>1720</v>
      </c>
      <c r="AH207" s="188" t="s">
        <v>51</v>
      </c>
    </row>
    <row r="208" spans="2:34" s="188" customFormat="1" ht="16" customHeight="1" thickTop="1" thickBot="1">
      <c r="B208" s="6"/>
      <c r="C208" s="6"/>
      <c r="D208" s="9"/>
      <c r="I208" s="190" t="s">
        <v>1680</v>
      </c>
      <c r="J208" s="189"/>
      <c r="K208" s="190" t="s">
        <v>1295</v>
      </c>
      <c r="U208" s="269" t="s">
        <v>1326</v>
      </c>
      <c r="W208" s="188" t="s">
        <v>23</v>
      </c>
      <c r="X208" s="188" t="s">
        <v>9</v>
      </c>
      <c r="Z208" s="188" t="s">
        <v>18</v>
      </c>
      <c r="AA208" s="188" t="s">
        <v>3</v>
      </c>
      <c r="AE208" s="6"/>
      <c r="AG208" s="188" t="s">
        <v>1326</v>
      </c>
      <c r="AH208" s="188" t="s">
        <v>18</v>
      </c>
    </row>
    <row r="209" spans="2:34" s="188" customFormat="1" ht="16" customHeight="1" thickTop="1" thickBot="1">
      <c r="B209" s="6"/>
      <c r="C209" s="6"/>
      <c r="D209" s="9"/>
      <c r="I209" s="190" t="s">
        <v>1352</v>
      </c>
      <c r="J209" s="189"/>
      <c r="K209" s="190" t="s">
        <v>1299</v>
      </c>
      <c r="U209" s="269" t="s">
        <v>1432</v>
      </c>
      <c r="W209" s="188" t="s">
        <v>29</v>
      </c>
      <c r="X209" s="188" t="s">
        <v>1</v>
      </c>
      <c r="Z209" s="188" t="s">
        <v>33</v>
      </c>
      <c r="AA209" s="188" t="s">
        <v>13</v>
      </c>
      <c r="AE209" s="6"/>
      <c r="AG209" s="188" t="s">
        <v>1432</v>
      </c>
      <c r="AH209" s="188" t="s">
        <v>19</v>
      </c>
    </row>
    <row r="210" spans="2:34" s="188" customFormat="1" ht="16" customHeight="1" thickTop="1" thickBot="1">
      <c r="B210" s="6"/>
      <c r="C210" s="6"/>
      <c r="D210" s="9"/>
      <c r="I210" s="190" t="s">
        <v>1818</v>
      </c>
      <c r="J210" s="189"/>
      <c r="K210" s="190" t="s">
        <v>1328</v>
      </c>
      <c r="U210" s="269" t="s">
        <v>1468</v>
      </c>
      <c r="W210" s="188" t="s">
        <v>25</v>
      </c>
      <c r="X210" s="188" t="s">
        <v>11</v>
      </c>
      <c r="Z210" s="188" t="s">
        <v>633</v>
      </c>
      <c r="AA210" s="188" t="s">
        <v>1221</v>
      </c>
      <c r="AE210" s="6"/>
      <c r="AG210" s="188" t="s">
        <v>1468</v>
      </c>
      <c r="AH210" s="188" t="s">
        <v>51</v>
      </c>
    </row>
    <row r="211" spans="2:34" s="188" customFormat="1" ht="16" customHeight="1" thickTop="1" thickBot="1">
      <c r="B211" s="6"/>
      <c r="C211" s="6"/>
      <c r="D211" s="9"/>
      <c r="I211" s="190" t="s">
        <v>1771</v>
      </c>
      <c r="J211" s="189"/>
      <c r="K211" s="190" t="s">
        <v>1604</v>
      </c>
      <c r="U211" s="269" t="s">
        <v>1492</v>
      </c>
      <c r="W211" s="188" t="s">
        <v>27</v>
      </c>
      <c r="X211" s="188" t="s">
        <v>14</v>
      </c>
      <c r="Z211" s="188" t="s">
        <v>52</v>
      </c>
      <c r="AA211" s="188" t="s">
        <v>15</v>
      </c>
      <c r="AE211" s="6"/>
      <c r="AG211" s="188" t="s">
        <v>1492</v>
      </c>
      <c r="AH211" s="188" t="s">
        <v>634</v>
      </c>
    </row>
    <row r="212" spans="2:34" s="188" customFormat="1" ht="16" customHeight="1" thickTop="1" thickBot="1">
      <c r="B212" s="6"/>
      <c r="C212" s="6"/>
      <c r="D212" s="9"/>
      <c r="I212" s="190" t="s">
        <v>1875</v>
      </c>
      <c r="J212" s="189"/>
      <c r="K212" s="190" t="s">
        <v>1774</v>
      </c>
      <c r="U212" s="269" t="s">
        <v>1486</v>
      </c>
      <c r="W212" s="188" t="s">
        <v>28</v>
      </c>
      <c r="X212" s="188" t="s">
        <v>16</v>
      </c>
      <c r="Z212" s="188" t="s">
        <v>24</v>
      </c>
      <c r="AA212" s="188" t="s">
        <v>10</v>
      </c>
      <c r="AE212" s="6"/>
      <c r="AG212" s="188" t="s">
        <v>1486</v>
      </c>
      <c r="AH212" s="188" t="s">
        <v>19</v>
      </c>
    </row>
    <row r="213" spans="2:34" s="188" customFormat="1" ht="16" customHeight="1" thickTop="1" thickBot="1">
      <c r="B213" s="6"/>
      <c r="C213" s="6"/>
      <c r="D213" s="9"/>
      <c r="I213" s="191" t="s">
        <v>1844</v>
      </c>
      <c r="J213" s="189"/>
      <c r="K213" s="190" t="s">
        <v>1780</v>
      </c>
      <c r="U213" s="269" t="s">
        <v>1593</v>
      </c>
      <c r="W213" s="188" t="s">
        <v>33</v>
      </c>
      <c r="X213" s="188" t="s">
        <v>13</v>
      </c>
      <c r="Z213" s="188" t="s">
        <v>43</v>
      </c>
      <c r="AA213" s="188" t="s">
        <v>32</v>
      </c>
      <c r="AE213" s="6"/>
      <c r="AG213" s="188" t="s">
        <v>1593</v>
      </c>
      <c r="AH213" s="188" t="s">
        <v>27</v>
      </c>
    </row>
    <row r="214" spans="2:34" s="188" customFormat="1" ht="16" customHeight="1" thickTop="1" thickBot="1">
      <c r="B214" s="6"/>
      <c r="C214" s="6"/>
      <c r="D214" s="9"/>
      <c r="I214" s="267" t="s">
        <v>1805</v>
      </c>
      <c r="J214" s="189"/>
      <c r="K214" s="190" t="s">
        <v>1668</v>
      </c>
      <c r="U214" s="269" t="s">
        <v>1597</v>
      </c>
      <c r="W214" s="188" t="s">
        <v>18</v>
      </c>
      <c r="X214" s="188" t="s">
        <v>3</v>
      </c>
      <c r="Z214" s="188" t="s">
        <v>21</v>
      </c>
      <c r="AA214" s="188" t="s">
        <v>7</v>
      </c>
      <c r="AE214" s="6"/>
      <c r="AG214" s="188" t="s">
        <v>1597</v>
      </c>
      <c r="AH214" s="188" t="s">
        <v>21</v>
      </c>
    </row>
    <row r="215" spans="2:34" s="188" customFormat="1" ht="16" customHeight="1" thickTop="1" thickBot="1">
      <c r="B215" s="6"/>
      <c r="C215" s="6"/>
      <c r="D215" s="9"/>
      <c r="I215" s="267"/>
      <c r="J215" s="189"/>
      <c r="K215" s="190" t="s">
        <v>1733</v>
      </c>
      <c r="U215" s="269" t="s">
        <v>1460</v>
      </c>
      <c r="W215" s="188" t="s">
        <v>633</v>
      </c>
      <c r="X215" s="188" t="s">
        <v>1221</v>
      </c>
      <c r="Z215" s="188" t="s">
        <v>23</v>
      </c>
      <c r="AA215" s="188" t="s">
        <v>9</v>
      </c>
      <c r="AE215" s="6"/>
      <c r="AG215" s="188" t="s">
        <v>1460</v>
      </c>
      <c r="AH215" s="188" t="s">
        <v>634</v>
      </c>
    </row>
    <row r="216" spans="2:34" s="188" customFormat="1" ht="16" customHeight="1" thickTop="1" thickBot="1">
      <c r="B216" s="6"/>
      <c r="C216" s="6"/>
      <c r="D216" s="9"/>
      <c r="J216" s="189"/>
      <c r="K216" s="190" t="s">
        <v>1759</v>
      </c>
      <c r="U216" s="269" t="s">
        <v>1804</v>
      </c>
      <c r="W216" s="188" t="s">
        <v>17</v>
      </c>
      <c r="X216" s="188" t="s">
        <v>0</v>
      </c>
      <c r="Z216" s="188" t="s">
        <v>22</v>
      </c>
      <c r="AA216" s="188" t="s">
        <v>8</v>
      </c>
      <c r="AE216" s="6"/>
      <c r="AG216" s="188" t="s">
        <v>1804</v>
      </c>
      <c r="AH216" s="188" t="s">
        <v>21</v>
      </c>
    </row>
    <row r="217" spans="2:34" s="188" customFormat="1" ht="16" customHeight="1" thickTop="1" thickBot="1">
      <c r="B217" s="6"/>
      <c r="C217" s="6"/>
      <c r="D217" s="9"/>
      <c r="J217" s="189"/>
      <c r="K217" s="190" t="s">
        <v>1466</v>
      </c>
      <c r="U217" s="269" t="s">
        <v>1677</v>
      </c>
      <c r="W217" s="188" t="s">
        <v>30</v>
      </c>
      <c r="X217" s="188" t="s">
        <v>2</v>
      </c>
      <c r="Z217" s="188" t="s">
        <v>29</v>
      </c>
      <c r="AA217" s="188" t="s">
        <v>1</v>
      </c>
      <c r="AE217" s="6"/>
      <c r="AG217" s="188" t="s">
        <v>1677</v>
      </c>
      <c r="AH217" s="188" t="s">
        <v>43</v>
      </c>
    </row>
    <row r="218" spans="2:34" s="188" customFormat="1" ht="16" customHeight="1" thickTop="1" thickBot="1">
      <c r="B218" s="6"/>
      <c r="C218" s="6"/>
      <c r="D218" s="9"/>
      <c r="J218" s="189"/>
      <c r="K218" s="190" t="s">
        <v>1378</v>
      </c>
      <c r="U218" s="269" t="s">
        <v>1823</v>
      </c>
      <c r="W218" s="188" t="s">
        <v>52</v>
      </c>
      <c r="X218" s="188" t="s">
        <v>15</v>
      </c>
      <c r="Z218" s="188" t="s">
        <v>20</v>
      </c>
      <c r="AA218" s="188" t="s">
        <v>6</v>
      </c>
      <c r="AE218" s="6"/>
      <c r="AG218" s="188" t="s">
        <v>1823</v>
      </c>
      <c r="AH218" s="188" t="s">
        <v>22</v>
      </c>
    </row>
    <row r="219" spans="2:34" s="188" customFormat="1" ht="16" customHeight="1" thickTop="1" thickBot="1">
      <c r="B219" s="6"/>
      <c r="C219" s="6"/>
      <c r="D219" s="9"/>
      <c r="J219" s="189"/>
      <c r="K219" s="190" t="s">
        <v>1608</v>
      </c>
      <c r="U219" s="269" t="s">
        <v>1683</v>
      </c>
      <c r="W219" s="188" t="s">
        <v>634</v>
      </c>
      <c r="X219" s="188" t="s">
        <v>1220</v>
      </c>
      <c r="Z219" s="188" t="s">
        <v>26</v>
      </c>
      <c r="AA219" s="188" t="s">
        <v>12</v>
      </c>
      <c r="AE219" s="6"/>
      <c r="AG219" s="188" t="s">
        <v>1683</v>
      </c>
      <c r="AH219" s="188" t="s">
        <v>24</v>
      </c>
    </row>
    <row r="220" spans="2:34" s="188" customFormat="1" ht="16" customHeight="1" thickTop="1" thickBot="1">
      <c r="B220" s="6"/>
      <c r="C220" s="6"/>
      <c r="D220" s="9"/>
      <c r="J220" s="189"/>
      <c r="K220" s="190" t="s">
        <v>2006</v>
      </c>
      <c r="U220" s="269" t="s">
        <v>1874</v>
      </c>
      <c r="W220" s="188" t="s">
        <v>19</v>
      </c>
      <c r="X220" s="188" t="s">
        <v>4</v>
      </c>
      <c r="Z220" s="188" t="s">
        <v>27</v>
      </c>
      <c r="AA220" s="188" t="s">
        <v>14</v>
      </c>
      <c r="AE220" s="6"/>
      <c r="AG220" s="188" t="s">
        <v>1874</v>
      </c>
      <c r="AH220" s="188" t="s">
        <v>25</v>
      </c>
    </row>
    <row r="221" spans="2:34" s="188" customFormat="1" ht="16" customHeight="1" thickTop="1" thickBot="1">
      <c r="B221" s="6"/>
      <c r="C221" s="6"/>
      <c r="D221" s="9"/>
      <c r="J221" s="189"/>
      <c r="K221" s="190" t="s">
        <v>1588</v>
      </c>
      <c r="U221" s="269" t="s">
        <v>1760</v>
      </c>
      <c r="W221" s="188" t="s">
        <v>51</v>
      </c>
      <c r="X221" s="188" t="s">
        <v>5</v>
      </c>
      <c r="Z221" s="188" t="s">
        <v>25</v>
      </c>
      <c r="AA221" s="188" t="s">
        <v>11</v>
      </c>
      <c r="AE221" s="6"/>
      <c r="AG221" s="188" t="s">
        <v>1760</v>
      </c>
      <c r="AH221" s="188" t="s">
        <v>634</v>
      </c>
    </row>
    <row r="222" spans="2:34" s="188" customFormat="1" ht="16" customHeight="1" thickTop="1" thickBot="1">
      <c r="B222" s="6"/>
      <c r="C222" s="6"/>
      <c r="D222" s="9"/>
      <c r="J222" s="189"/>
      <c r="K222" s="190" t="s">
        <v>1308</v>
      </c>
      <c r="U222" s="269" t="s">
        <v>1685</v>
      </c>
      <c r="W222" s="188" t="s">
        <v>43</v>
      </c>
      <c r="X222" s="188" t="s">
        <v>32</v>
      </c>
      <c r="Z222" s="188" t="s">
        <v>17</v>
      </c>
      <c r="AA222" s="188" t="s">
        <v>0</v>
      </c>
      <c r="AE222" s="6"/>
      <c r="AG222" s="188" t="s">
        <v>1685</v>
      </c>
      <c r="AH222" s="188" t="s">
        <v>23</v>
      </c>
    </row>
    <row r="223" spans="2:34" s="188" customFormat="1" ht="16" customHeight="1" thickTop="1" thickBot="1">
      <c r="B223" s="6"/>
      <c r="C223" s="6"/>
      <c r="D223" s="9"/>
      <c r="J223" s="189"/>
      <c r="K223" s="190" t="s">
        <v>1738</v>
      </c>
      <c r="U223" s="269" t="s">
        <v>1871</v>
      </c>
      <c r="W223" s="188" t="s">
        <v>20</v>
      </c>
      <c r="X223" s="188" t="s">
        <v>6</v>
      </c>
      <c r="Z223" s="188" t="s">
        <v>30</v>
      </c>
      <c r="AA223" s="188" t="s">
        <v>2</v>
      </c>
      <c r="AE223" s="6"/>
      <c r="AG223" s="188" t="s">
        <v>1871</v>
      </c>
      <c r="AH223" s="188" t="s">
        <v>30</v>
      </c>
    </row>
    <row r="224" spans="2:34" s="188" customFormat="1" ht="16" customHeight="1" thickTop="1" thickBot="1">
      <c r="B224" s="6"/>
      <c r="C224" s="6"/>
      <c r="D224" s="9"/>
      <c r="J224" s="189"/>
      <c r="K224" s="190" t="s">
        <v>1306</v>
      </c>
      <c r="U224" s="269" t="s">
        <v>1652</v>
      </c>
      <c r="W224" s="188" t="s">
        <v>21</v>
      </c>
      <c r="X224" s="188" t="s">
        <v>7</v>
      </c>
      <c r="Z224" s="188" t="s">
        <v>52</v>
      </c>
      <c r="AA224" s="188" t="s">
        <v>15</v>
      </c>
      <c r="AE224" s="6"/>
      <c r="AG224" s="188" t="s">
        <v>1652</v>
      </c>
      <c r="AH224" s="188" t="s">
        <v>30</v>
      </c>
    </row>
    <row r="225" spans="2:34" s="188" customFormat="1" ht="16" customHeight="1" thickTop="1" thickBot="1">
      <c r="B225" s="6"/>
      <c r="C225" s="6"/>
      <c r="D225" s="9"/>
      <c r="J225" s="189"/>
      <c r="K225" s="190" t="s">
        <v>1735</v>
      </c>
      <c r="U225" s="269" t="s">
        <v>1882</v>
      </c>
      <c r="W225" s="188" t="s">
        <v>22</v>
      </c>
      <c r="X225" s="188" t="s">
        <v>8</v>
      </c>
      <c r="Z225" s="188" t="s">
        <v>19</v>
      </c>
      <c r="AA225" s="188" t="s">
        <v>4</v>
      </c>
      <c r="AE225" s="6"/>
      <c r="AG225" s="188" t="s">
        <v>1882</v>
      </c>
      <c r="AH225" s="188" t="s">
        <v>24</v>
      </c>
    </row>
    <row r="226" spans="2:34" s="188" customFormat="1" ht="16" customHeight="1" thickTop="1" thickBot="1">
      <c r="B226" s="6"/>
      <c r="C226" s="6"/>
      <c r="D226" s="9"/>
      <c r="J226" s="189"/>
      <c r="K226" s="190" t="s">
        <v>1281</v>
      </c>
      <c r="U226" s="269" t="s">
        <v>1409</v>
      </c>
      <c r="W226" s="188" t="s">
        <v>26</v>
      </c>
      <c r="X226" s="188" t="s">
        <v>12</v>
      </c>
      <c r="Z226" s="188" t="s">
        <v>18</v>
      </c>
      <c r="AA226" s="188" t="s">
        <v>3</v>
      </c>
      <c r="AE226" s="6"/>
      <c r="AG226" s="188" t="s">
        <v>1409</v>
      </c>
      <c r="AH226" s="188" t="s">
        <v>23</v>
      </c>
    </row>
    <row r="227" spans="2:34" s="188" customFormat="1" ht="16" customHeight="1" thickTop="1" thickBot="1">
      <c r="B227" s="6"/>
      <c r="C227" s="6"/>
      <c r="D227" s="9"/>
      <c r="J227" s="189"/>
      <c r="K227" s="190" t="s">
        <v>1457</v>
      </c>
      <c r="U227" s="269" t="s">
        <v>1336</v>
      </c>
      <c r="W227" s="188" t="s">
        <v>24</v>
      </c>
      <c r="X227" s="188" t="s">
        <v>10</v>
      </c>
      <c r="Z227" s="188" t="s">
        <v>633</v>
      </c>
      <c r="AA227" s="188" t="s">
        <v>1221</v>
      </c>
      <c r="AE227" s="6"/>
      <c r="AG227" s="188" t="s">
        <v>1336</v>
      </c>
      <c r="AH227" s="188" t="s">
        <v>25</v>
      </c>
    </row>
    <row r="228" spans="2:34" s="188" customFormat="1" ht="16" customHeight="1" thickTop="1" thickBot="1">
      <c r="B228" s="6"/>
      <c r="C228" s="6"/>
      <c r="D228" s="9"/>
      <c r="J228" s="189"/>
      <c r="K228" s="190" t="s">
        <v>1373</v>
      </c>
      <c r="U228" s="269" t="s">
        <v>1437</v>
      </c>
      <c r="W228" s="188" t="s">
        <v>23</v>
      </c>
      <c r="X228" s="188" t="s">
        <v>9</v>
      </c>
      <c r="Z228" s="188" t="s">
        <v>33</v>
      </c>
      <c r="AA228" s="188" t="s">
        <v>13</v>
      </c>
      <c r="AE228" s="6"/>
      <c r="AG228" s="188" t="s">
        <v>1437</v>
      </c>
      <c r="AH228" s="188" t="s">
        <v>17</v>
      </c>
    </row>
    <row r="229" spans="2:34" s="188" customFormat="1" ht="16" customHeight="1" thickTop="1" thickBot="1">
      <c r="B229" s="6"/>
      <c r="C229" s="6"/>
      <c r="D229" s="9"/>
      <c r="J229" s="189"/>
      <c r="K229" s="190" t="s">
        <v>1493</v>
      </c>
      <c r="U229" s="269" t="s">
        <v>1333</v>
      </c>
      <c r="W229" s="188" t="s">
        <v>29</v>
      </c>
      <c r="X229" s="188" t="s">
        <v>1</v>
      </c>
      <c r="Z229" s="188" t="s">
        <v>51</v>
      </c>
      <c r="AA229" s="188" t="s">
        <v>5</v>
      </c>
      <c r="AE229" s="6"/>
      <c r="AG229" s="188" t="s">
        <v>1333</v>
      </c>
      <c r="AH229" s="188" t="s">
        <v>29</v>
      </c>
    </row>
    <row r="230" spans="2:34" s="188" customFormat="1" ht="16" customHeight="1" thickTop="1" thickBot="1">
      <c r="B230" s="6"/>
      <c r="C230" s="6"/>
      <c r="D230" s="9"/>
      <c r="J230" s="189"/>
      <c r="K230" s="190" t="s">
        <v>1726</v>
      </c>
      <c r="U230" s="269" t="s">
        <v>1862</v>
      </c>
      <c r="W230" s="188" t="s">
        <v>25</v>
      </c>
      <c r="X230" s="188" t="s">
        <v>11</v>
      </c>
      <c r="Z230" s="188" t="s">
        <v>28</v>
      </c>
      <c r="AA230" s="188" t="s">
        <v>16</v>
      </c>
      <c r="AE230" s="6"/>
      <c r="AG230" s="188" t="s">
        <v>1862</v>
      </c>
      <c r="AH230" s="188" t="s">
        <v>22</v>
      </c>
    </row>
    <row r="231" spans="2:34" s="188" customFormat="1" ht="16" customHeight="1" thickTop="1" thickBot="1">
      <c r="B231" s="6"/>
      <c r="C231" s="6"/>
      <c r="D231" s="9"/>
      <c r="J231" s="189"/>
      <c r="K231" s="190" t="s">
        <v>1459</v>
      </c>
      <c r="U231" s="269" t="s">
        <v>1282</v>
      </c>
      <c r="W231" s="188" t="s">
        <v>27</v>
      </c>
      <c r="X231" s="188" t="s">
        <v>14</v>
      </c>
      <c r="Z231" s="188" t="s">
        <v>634</v>
      </c>
      <c r="AA231" s="188" t="s">
        <v>1220</v>
      </c>
      <c r="AE231" s="6"/>
      <c r="AG231" s="188" t="s">
        <v>1282</v>
      </c>
      <c r="AH231" s="188" t="s">
        <v>17</v>
      </c>
    </row>
    <row r="232" spans="2:34" s="188" customFormat="1" ht="16" customHeight="1" thickTop="1" thickBot="1">
      <c r="B232" s="6"/>
      <c r="C232" s="6"/>
      <c r="D232" s="9"/>
      <c r="J232" s="189"/>
      <c r="K232" s="190" t="s">
        <v>1302</v>
      </c>
      <c r="U232" s="269" t="s">
        <v>1376</v>
      </c>
      <c r="W232" s="188" t="s">
        <v>28</v>
      </c>
      <c r="X232" s="188" t="s">
        <v>16</v>
      </c>
      <c r="Z232" s="188" t="s">
        <v>21</v>
      </c>
      <c r="AA232" s="188" t="s">
        <v>7</v>
      </c>
      <c r="AE232" s="6"/>
      <c r="AG232" s="188" t="s">
        <v>1376</v>
      </c>
      <c r="AH232" s="188" t="s">
        <v>51</v>
      </c>
    </row>
    <row r="233" spans="2:34" s="188" customFormat="1" ht="16" customHeight="1" thickTop="1" thickBot="1">
      <c r="B233" s="6"/>
      <c r="C233" s="6"/>
      <c r="D233" s="9"/>
      <c r="J233" s="189"/>
      <c r="K233" s="190" t="s">
        <v>1427</v>
      </c>
      <c r="U233" s="269" t="s">
        <v>1645</v>
      </c>
      <c r="W233" s="188" t="s">
        <v>33</v>
      </c>
      <c r="X233" s="188" t="s">
        <v>13</v>
      </c>
      <c r="Z233" s="188" t="s">
        <v>24</v>
      </c>
      <c r="AA233" s="188" t="s">
        <v>10</v>
      </c>
      <c r="AE233" s="6"/>
      <c r="AG233" s="188" t="s">
        <v>1645</v>
      </c>
      <c r="AH233" s="188" t="s">
        <v>28</v>
      </c>
    </row>
    <row r="234" spans="2:34" s="188" customFormat="1" ht="16" customHeight="1" thickTop="1" thickBot="1">
      <c r="B234" s="6"/>
      <c r="C234" s="6"/>
      <c r="D234" s="9"/>
      <c r="J234" s="189"/>
      <c r="K234" s="190" t="s">
        <v>1287</v>
      </c>
      <c r="U234" s="269" t="s">
        <v>1609</v>
      </c>
      <c r="W234" s="188" t="s">
        <v>18</v>
      </c>
      <c r="X234" s="188" t="s">
        <v>3</v>
      </c>
      <c r="Z234" s="188" t="s">
        <v>27</v>
      </c>
      <c r="AA234" s="188" t="s">
        <v>14</v>
      </c>
      <c r="AE234" s="6"/>
      <c r="AG234" s="188" t="s">
        <v>1609</v>
      </c>
      <c r="AH234" s="188" t="s">
        <v>634</v>
      </c>
    </row>
    <row r="235" spans="2:34" s="188" customFormat="1" ht="16" customHeight="1" thickTop="1" thickBot="1">
      <c r="B235" s="6"/>
      <c r="C235" s="6"/>
      <c r="D235" s="9"/>
      <c r="J235" s="189"/>
      <c r="K235" s="190" t="s">
        <v>1761</v>
      </c>
      <c r="U235" s="269" t="s">
        <v>1587</v>
      </c>
      <c r="W235" s="188" t="s">
        <v>633</v>
      </c>
      <c r="X235" s="188" t="s">
        <v>1221</v>
      </c>
      <c r="Z235" s="188" t="s">
        <v>20</v>
      </c>
      <c r="AA235" s="188" t="s">
        <v>6</v>
      </c>
      <c r="AE235" s="6"/>
      <c r="AG235" s="188" t="s">
        <v>1587</v>
      </c>
      <c r="AH235" s="188" t="s">
        <v>52</v>
      </c>
    </row>
    <row r="236" spans="2:34" s="188" customFormat="1" ht="16" customHeight="1" thickTop="1" thickBot="1">
      <c r="B236" s="6"/>
      <c r="C236" s="6"/>
      <c r="D236" s="9"/>
      <c r="J236" s="189"/>
      <c r="K236" s="190" t="s">
        <v>1314</v>
      </c>
      <c r="U236" s="269" t="s">
        <v>1397</v>
      </c>
      <c r="W236" s="188" t="s">
        <v>17</v>
      </c>
      <c r="X236" s="188" t="s">
        <v>0</v>
      </c>
      <c r="Z236" s="188" t="s">
        <v>25</v>
      </c>
      <c r="AA236" s="188" t="s">
        <v>11</v>
      </c>
      <c r="AE236" s="6"/>
      <c r="AG236" s="188" t="s">
        <v>1397</v>
      </c>
      <c r="AH236" s="188" t="s">
        <v>17</v>
      </c>
    </row>
    <row r="237" spans="2:34" s="188" customFormat="1" ht="16" customHeight="1" thickTop="1" thickBot="1">
      <c r="B237" s="6"/>
      <c r="C237" s="6"/>
      <c r="D237" s="9"/>
      <c r="J237" s="189"/>
      <c r="K237" s="190" t="s">
        <v>1532</v>
      </c>
      <c r="U237" s="269" t="s">
        <v>1451</v>
      </c>
      <c r="W237" s="188" t="s">
        <v>30</v>
      </c>
      <c r="X237" s="188" t="s">
        <v>2</v>
      </c>
      <c r="Z237" s="188" t="s">
        <v>23</v>
      </c>
      <c r="AA237" s="188" t="s">
        <v>9</v>
      </c>
      <c r="AE237" s="6"/>
      <c r="AG237" s="188" t="s">
        <v>1451</v>
      </c>
      <c r="AH237" s="188" t="s">
        <v>24</v>
      </c>
    </row>
    <row r="238" spans="2:34" s="188" customFormat="1" ht="16" customHeight="1" thickTop="1" thickBot="1">
      <c r="B238" s="6"/>
      <c r="C238" s="6"/>
      <c r="D238" s="9"/>
      <c r="J238" s="189"/>
      <c r="K238" s="190" t="s">
        <v>1462</v>
      </c>
      <c r="U238" s="269" t="s">
        <v>1769</v>
      </c>
      <c r="W238" s="188" t="s">
        <v>52</v>
      </c>
      <c r="X238" s="188" t="s">
        <v>15</v>
      </c>
      <c r="Z238" s="188" t="s">
        <v>26</v>
      </c>
      <c r="AA238" s="188" t="s">
        <v>12</v>
      </c>
      <c r="AE238" s="6"/>
      <c r="AG238" s="188" t="s">
        <v>1769</v>
      </c>
      <c r="AH238" s="188" t="s">
        <v>51</v>
      </c>
    </row>
    <row r="239" spans="2:34" s="188" customFormat="1" ht="16" customHeight="1" thickTop="1" thickBot="1">
      <c r="B239" s="6"/>
      <c r="C239" s="6"/>
      <c r="D239" s="9"/>
      <c r="J239" s="189"/>
      <c r="K239" s="190" t="s">
        <v>1540</v>
      </c>
      <c r="U239" s="269" t="s">
        <v>743</v>
      </c>
      <c r="W239" s="188" t="s">
        <v>634</v>
      </c>
      <c r="X239" s="188" t="s">
        <v>1220</v>
      </c>
      <c r="Z239" s="188" t="s">
        <v>22</v>
      </c>
      <c r="AA239" s="188" t="s">
        <v>8</v>
      </c>
      <c r="AE239" s="6"/>
      <c r="AG239" s="188" t="s">
        <v>743</v>
      </c>
      <c r="AH239" s="188" t="s">
        <v>21</v>
      </c>
    </row>
    <row r="240" spans="2:34" s="188" customFormat="1" ht="16" customHeight="1" thickTop="1" thickBot="1">
      <c r="B240" s="6"/>
      <c r="C240" s="6"/>
      <c r="D240" s="9"/>
      <c r="J240" s="189"/>
      <c r="K240" s="190" t="s">
        <v>1773</v>
      </c>
      <c r="U240" s="269" t="s">
        <v>1576</v>
      </c>
      <c r="W240" s="188" t="s">
        <v>19</v>
      </c>
      <c r="X240" s="188" t="s">
        <v>4</v>
      </c>
      <c r="Z240" s="188" t="s">
        <v>29</v>
      </c>
      <c r="AA240" s="188" t="s">
        <v>1</v>
      </c>
      <c r="AE240" s="6"/>
      <c r="AG240" s="188" t="s">
        <v>1576</v>
      </c>
      <c r="AH240" s="188" t="s">
        <v>633</v>
      </c>
    </row>
    <row r="241" spans="2:34" s="188" customFormat="1" ht="16" customHeight="1" thickTop="1" thickBot="1">
      <c r="B241" s="6"/>
      <c r="C241" s="6"/>
      <c r="D241" s="9"/>
      <c r="J241" s="189"/>
      <c r="K241" s="190" t="s">
        <v>1610</v>
      </c>
      <c r="U241" s="269" t="s">
        <v>1313</v>
      </c>
      <c r="W241" s="188" t="s">
        <v>51</v>
      </c>
      <c r="X241" s="188" t="s">
        <v>5</v>
      </c>
      <c r="Z241" s="188" t="s">
        <v>43</v>
      </c>
      <c r="AA241" s="188" t="s">
        <v>32</v>
      </c>
      <c r="AE241" s="6"/>
      <c r="AG241" s="188" t="s">
        <v>1313</v>
      </c>
      <c r="AH241" s="188" t="s">
        <v>24</v>
      </c>
    </row>
    <row r="242" spans="2:34" s="188" customFormat="1" ht="16" customHeight="1" thickTop="1" thickBot="1">
      <c r="B242" s="6"/>
      <c r="C242" s="6"/>
      <c r="D242" s="9"/>
      <c r="J242" s="189"/>
      <c r="K242" s="190" t="s">
        <v>1727</v>
      </c>
      <c r="U242" s="269" t="s">
        <v>1338</v>
      </c>
      <c r="W242" s="188" t="s">
        <v>43</v>
      </c>
      <c r="X242" s="188" t="s">
        <v>32</v>
      </c>
      <c r="Z242" s="188" t="s">
        <v>28</v>
      </c>
      <c r="AA242" s="188" t="s">
        <v>16</v>
      </c>
      <c r="AE242" s="6"/>
      <c r="AG242" s="188" t="s">
        <v>1338</v>
      </c>
      <c r="AH242" s="188" t="s">
        <v>29</v>
      </c>
    </row>
    <row r="243" spans="2:34" s="188" customFormat="1" ht="16" customHeight="1" thickTop="1" thickBot="1">
      <c r="B243" s="6"/>
      <c r="C243" s="6"/>
      <c r="D243" s="9"/>
      <c r="J243" s="189"/>
      <c r="K243" s="190" t="s">
        <v>1565</v>
      </c>
      <c r="U243" s="269" t="s">
        <v>1644</v>
      </c>
      <c r="W243" s="188" t="s">
        <v>20</v>
      </c>
      <c r="X243" s="188" t="s">
        <v>6</v>
      </c>
      <c r="Z243" s="188" t="s">
        <v>634</v>
      </c>
      <c r="AA243" s="188" t="s">
        <v>1220</v>
      </c>
      <c r="AE243" s="6"/>
      <c r="AG243" s="188" t="s">
        <v>1644</v>
      </c>
      <c r="AH243" s="188" t="s">
        <v>633</v>
      </c>
    </row>
    <row r="244" spans="2:34" s="188" customFormat="1" ht="16" customHeight="1" thickTop="1" thickBot="1">
      <c r="B244" s="6"/>
      <c r="C244" s="6"/>
      <c r="D244" s="9"/>
      <c r="J244" s="189"/>
      <c r="K244" s="190" t="s">
        <v>1534</v>
      </c>
      <c r="U244" s="269" t="s">
        <v>1781</v>
      </c>
      <c r="W244" s="188" t="s">
        <v>33</v>
      </c>
      <c r="X244" s="188" t="s">
        <v>13</v>
      </c>
      <c r="Z244" s="188" t="s">
        <v>26</v>
      </c>
      <c r="AA244" s="188" t="s">
        <v>12</v>
      </c>
      <c r="AE244" s="6"/>
      <c r="AG244" s="188" t="s">
        <v>1781</v>
      </c>
      <c r="AH244" s="188" t="s">
        <v>24</v>
      </c>
    </row>
    <row r="245" spans="2:34" s="188" customFormat="1" ht="16" customHeight="1" thickTop="1" thickBot="1">
      <c r="B245" s="6"/>
      <c r="C245" s="6"/>
      <c r="D245" s="9"/>
      <c r="J245" s="189"/>
      <c r="K245" s="190" t="s">
        <v>1366</v>
      </c>
      <c r="U245" s="269" t="s">
        <v>1319</v>
      </c>
      <c r="W245" s="188" t="s">
        <v>22</v>
      </c>
      <c r="X245" s="188" t="s">
        <v>8</v>
      </c>
      <c r="Z245" s="188" t="s">
        <v>27</v>
      </c>
      <c r="AA245" s="188" t="s">
        <v>14</v>
      </c>
      <c r="AE245" s="6"/>
      <c r="AG245" s="188" t="s">
        <v>1319</v>
      </c>
      <c r="AH245" s="188" t="s">
        <v>26</v>
      </c>
    </row>
    <row r="246" spans="2:34" s="188" customFormat="1" ht="16" customHeight="1" thickTop="1" thickBot="1">
      <c r="B246" s="6"/>
      <c r="C246" s="6"/>
      <c r="D246" s="9"/>
      <c r="J246" s="189"/>
      <c r="K246" s="190" t="s">
        <v>1523</v>
      </c>
      <c r="U246" s="269" t="s">
        <v>1674</v>
      </c>
      <c r="W246" s="188" t="s">
        <v>23</v>
      </c>
      <c r="X246" s="188" t="s">
        <v>9</v>
      </c>
      <c r="Z246" s="188" t="s">
        <v>24</v>
      </c>
      <c r="AA246" s="188" t="s">
        <v>10</v>
      </c>
      <c r="AE246" s="6"/>
      <c r="AG246" s="188" t="s">
        <v>1674</v>
      </c>
      <c r="AH246" s="188" t="s">
        <v>20</v>
      </c>
    </row>
    <row r="247" spans="2:34" s="188" customFormat="1" ht="16" customHeight="1" thickTop="1" thickBot="1">
      <c r="B247" s="6"/>
      <c r="C247" s="6"/>
      <c r="D247" s="9"/>
      <c r="J247" s="189"/>
      <c r="K247" s="190" t="s">
        <v>1454</v>
      </c>
      <c r="U247" s="269" t="s">
        <v>1744</v>
      </c>
      <c r="W247" s="188" t="s">
        <v>633</v>
      </c>
      <c r="X247" s="188" t="s">
        <v>1221</v>
      </c>
      <c r="Z247" s="188" t="s">
        <v>52</v>
      </c>
      <c r="AA247" s="188" t="s">
        <v>15</v>
      </c>
      <c r="AE247" s="6"/>
      <c r="AG247" s="188" t="s">
        <v>1744</v>
      </c>
      <c r="AH247" s="188" t="s">
        <v>23</v>
      </c>
    </row>
    <row r="248" spans="2:34" s="188" customFormat="1" ht="16" customHeight="1" thickTop="1" thickBot="1">
      <c r="B248" s="6"/>
      <c r="C248" s="6"/>
      <c r="D248" s="9"/>
      <c r="J248" s="189"/>
      <c r="K248" s="190" t="s">
        <v>1452</v>
      </c>
      <c r="U248" s="269" t="s">
        <v>1866</v>
      </c>
      <c r="W248" s="188" t="s">
        <v>17</v>
      </c>
      <c r="X248" s="188" t="s">
        <v>0</v>
      </c>
      <c r="Z248" s="188" t="s">
        <v>29</v>
      </c>
      <c r="AA248" s="188" t="s">
        <v>1</v>
      </c>
      <c r="AE248" s="6"/>
      <c r="AG248" s="188" t="s">
        <v>1866</v>
      </c>
      <c r="AH248" s="188" t="s">
        <v>633</v>
      </c>
    </row>
    <row r="249" spans="2:34" s="188" customFormat="1" ht="16" customHeight="1" thickTop="1" thickBot="1">
      <c r="B249" s="6"/>
      <c r="C249" s="6"/>
      <c r="D249" s="9"/>
      <c r="J249" s="189"/>
      <c r="K249" s="190" t="s">
        <v>1544</v>
      </c>
      <c r="U249" s="269" t="s">
        <v>1661</v>
      </c>
      <c r="W249" s="188" t="s">
        <v>30</v>
      </c>
      <c r="X249" s="188" t="s">
        <v>2</v>
      </c>
      <c r="Z249" s="188" t="s">
        <v>19</v>
      </c>
      <c r="AA249" s="188" t="s">
        <v>4</v>
      </c>
      <c r="AE249" s="6"/>
      <c r="AG249" s="188" t="s">
        <v>1661</v>
      </c>
      <c r="AH249" s="188" t="s">
        <v>21</v>
      </c>
    </row>
    <row r="250" spans="2:34" s="188" customFormat="1" ht="16" customHeight="1" thickTop="1" thickBot="1">
      <c r="B250" s="6"/>
      <c r="C250" s="6"/>
      <c r="D250" s="9"/>
      <c r="J250" s="189"/>
      <c r="K250" s="190" t="s">
        <v>1577</v>
      </c>
      <c r="U250" s="269" t="s">
        <v>1330</v>
      </c>
      <c r="W250" s="188" t="s">
        <v>25</v>
      </c>
      <c r="X250" s="188" t="s">
        <v>11</v>
      </c>
      <c r="Z250" s="188" t="s">
        <v>21</v>
      </c>
      <c r="AA250" s="188" t="s">
        <v>7</v>
      </c>
      <c r="AE250" s="6"/>
      <c r="AG250" s="188" t="s">
        <v>1330</v>
      </c>
      <c r="AH250" s="188" t="s">
        <v>24</v>
      </c>
    </row>
    <row r="251" spans="2:34" s="188" customFormat="1" ht="16" customHeight="1" thickTop="1" thickBot="1">
      <c r="B251" s="6"/>
      <c r="C251" s="6"/>
      <c r="D251" s="9"/>
      <c r="J251" s="189"/>
      <c r="K251" s="190" t="s">
        <v>1470</v>
      </c>
      <c r="U251" s="269" t="s">
        <v>1436</v>
      </c>
      <c r="W251" s="188" t="s">
        <v>51</v>
      </c>
      <c r="X251" s="188" t="s">
        <v>5</v>
      </c>
      <c r="Z251" s="188" t="s">
        <v>18</v>
      </c>
      <c r="AA251" s="188" t="s">
        <v>3</v>
      </c>
      <c r="AE251" s="6"/>
      <c r="AG251" s="188" t="s">
        <v>1436</v>
      </c>
      <c r="AH251" s="188" t="s">
        <v>633</v>
      </c>
    </row>
    <row r="252" spans="2:34" s="188" customFormat="1" ht="16" customHeight="1" thickTop="1" thickBot="1">
      <c r="B252" s="6"/>
      <c r="C252" s="6"/>
      <c r="D252" s="9"/>
      <c r="J252" s="189"/>
      <c r="K252" s="190" t="s">
        <v>1573</v>
      </c>
      <c r="U252" s="269" t="s">
        <v>1444</v>
      </c>
      <c r="W252" s="188" t="s">
        <v>28</v>
      </c>
      <c r="X252" s="188" t="s">
        <v>16</v>
      </c>
      <c r="Z252" s="188" t="s">
        <v>33</v>
      </c>
      <c r="AA252" s="188" t="s">
        <v>13</v>
      </c>
      <c r="AE252" s="6"/>
      <c r="AG252" s="188" t="s">
        <v>1444</v>
      </c>
      <c r="AH252" s="188" t="s">
        <v>33</v>
      </c>
    </row>
    <row r="253" spans="2:34" s="188" customFormat="1" ht="16" customHeight="1" thickTop="1" thickBot="1">
      <c r="B253" s="6"/>
      <c r="C253" s="6"/>
      <c r="D253" s="9"/>
      <c r="J253" s="189"/>
      <c r="K253" s="190" t="s">
        <v>1405</v>
      </c>
      <c r="U253" s="269" t="s">
        <v>1785</v>
      </c>
      <c r="W253" s="188" t="s">
        <v>21</v>
      </c>
      <c r="X253" s="188" t="s">
        <v>7</v>
      </c>
      <c r="Z253" s="188" t="s">
        <v>20</v>
      </c>
      <c r="AA253" s="188" t="s">
        <v>6</v>
      </c>
      <c r="AE253" s="6"/>
      <c r="AG253" s="188" t="s">
        <v>1785</v>
      </c>
      <c r="AH253" s="188" t="s">
        <v>30</v>
      </c>
    </row>
    <row r="254" spans="2:34" s="188" customFormat="1" ht="16" customHeight="1" thickTop="1" thickBot="1">
      <c r="B254" s="6"/>
      <c r="C254" s="6"/>
      <c r="D254" s="9"/>
      <c r="J254" s="189"/>
      <c r="K254" s="190" t="s">
        <v>1380</v>
      </c>
      <c r="U254" s="269" t="s">
        <v>1784</v>
      </c>
      <c r="W254" s="188" t="s">
        <v>18</v>
      </c>
      <c r="X254" s="188" t="s">
        <v>3</v>
      </c>
      <c r="Z254" s="188" t="s">
        <v>633</v>
      </c>
      <c r="AA254" s="188" t="s">
        <v>1221</v>
      </c>
      <c r="AE254" s="6"/>
      <c r="AG254" s="188" t="s">
        <v>1784</v>
      </c>
      <c r="AH254" s="188" t="s">
        <v>30</v>
      </c>
    </row>
    <row r="255" spans="2:34" s="188" customFormat="1" ht="16" customHeight="1" thickTop="1" thickBot="1">
      <c r="B255" s="6"/>
      <c r="C255" s="6"/>
      <c r="D255" s="9"/>
      <c r="J255" s="189"/>
      <c r="K255" s="190" t="s">
        <v>1572</v>
      </c>
      <c r="U255" s="269" t="s">
        <v>1449</v>
      </c>
      <c r="W255" s="188" t="s">
        <v>26</v>
      </c>
      <c r="X255" s="188" t="s">
        <v>12</v>
      </c>
      <c r="Z255" s="188" t="s">
        <v>22</v>
      </c>
      <c r="AA255" s="188" t="s">
        <v>8</v>
      </c>
      <c r="AE255" s="6"/>
      <c r="AG255" s="188" t="s">
        <v>1449</v>
      </c>
      <c r="AH255" s="188" t="s">
        <v>22</v>
      </c>
    </row>
    <row r="256" spans="2:34" s="188" customFormat="1" ht="16" customHeight="1" thickTop="1" thickBot="1">
      <c r="B256" s="6"/>
      <c r="C256" s="6"/>
      <c r="D256" s="9"/>
      <c r="J256" s="189"/>
      <c r="K256" s="190" t="s">
        <v>1529</v>
      </c>
      <c r="U256" s="269" t="s">
        <v>1323</v>
      </c>
      <c r="W256" s="188" t="s">
        <v>24</v>
      </c>
      <c r="X256" s="188" t="s">
        <v>10</v>
      </c>
      <c r="Z256" s="188" t="s">
        <v>43</v>
      </c>
      <c r="AA256" s="188" t="s">
        <v>32</v>
      </c>
      <c r="AE256" s="6"/>
      <c r="AG256" s="188" t="s">
        <v>1323</v>
      </c>
      <c r="AH256" s="188" t="s">
        <v>25</v>
      </c>
    </row>
    <row r="257" spans="2:34" s="188" customFormat="1" ht="16" customHeight="1" thickTop="1" thickBot="1">
      <c r="B257" s="6"/>
      <c r="C257" s="6"/>
      <c r="D257" s="9"/>
      <c r="J257" s="189"/>
      <c r="K257" s="190" t="s">
        <v>1750</v>
      </c>
      <c r="U257" s="269" t="s">
        <v>1419</v>
      </c>
      <c r="W257" s="188" t="s">
        <v>29</v>
      </c>
      <c r="X257" s="188" t="s">
        <v>1</v>
      </c>
      <c r="Z257" s="188" t="s">
        <v>23</v>
      </c>
      <c r="AA257" s="188" t="s">
        <v>9</v>
      </c>
      <c r="AE257" s="6"/>
      <c r="AG257" s="188" t="s">
        <v>1419</v>
      </c>
      <c r="AH257" s="188" t="s">
        <v>28</v>
      </c>
    </row>
    <row r="258" spans="2:34" s="188" customFormat="1" ht="16" customHeight="1" thickTop="1" thickBot="1">
      <c r="B258" s="6"/>
      <c r="C258" s="6"/>
      <c r="D258" s="9"/>
      <c r="J258" s="189"/>
      <c r="K258" s="190" t="s">
        <v>1335</v>
      </c>
      <c r="U258" s="269" t="s">
        <v>1855</v>
      </c>
      <c r="W258" s="188" t="s">
        <v>52</v>
      </c>
      <c r="X258" s="188" t="s">
        <v>15</v>
      </c>
      <c r="Z258" s="188" t="s">
        <v>51</v>
      </c>
      <c r="AA258" s="188" t="s">
        <v>5</v>
      </c>
      <c r="AE258" s="6"/>
      <c r="AG258" s="188" t="s">
        <v>1855</v>
      </c>
      <c r="AH258" s="188" t="s">
        <v>33</v>
      </c>
    </row>
    <row r="259" spans="2:34" s="188" customFormat="1" ht="16" customHeight="1" thickTop="1" thickBot="1">
      <c r="B259" s="6"/>
      <c r="C259" s="6"/>
      <c r="D259" s="9"/>
      <c r="J259" s="189"/>
      <c r="K259" s="190" t="s">
        <v>1406</v>
      </c>
      <c r="U259" s="269" t="s">
        <v>1379</v>
      </c>
      <c r="W259" s="188" t="s">
        <v>634</v>
      </c>
      <c r="X259" s="188" t="s">
        <v>1220</v>
      </c>
      <c r="Z259" s="188" t="s">
        <v>17</v>
      </c>
      <c r="AA259" s="188" t="s">
        <v>0</v>
      </c>
      <c r="AE259" s="6"/>
      <c r="AG259" s="188" t="s">
        <v>1379</v>
      </c>
      <c r="AH259" s="188" t="s">
        <v>30</v>
      </c>
    </row>
    <row r="260" spans="2:34" s="188" customFormat="1" ht="16" customHeight="1" thickTop="1" thickBot="1">
      <c r="B260" s="6"/>
      <c r="C260" s="6"/>
      <c r="D260" s="9"/>
      <c r="J260" s="189"/>
      <c r="K260" s="190" t="s">
        <v>1377</v>
      </c>
      <c r="U260" s="269" t="s">
        <v>1450</v>
      </c>
      <c r="W260" s="188" t="s">
        <v>19</v>
      </c>
      <c r="X260" s="188" t="s">
        <v>4</v>
      </c>
      <c r="Z260" s="188" t="s">
        <v>25</v>
      </c>
      <c r="AA260" s="188" t="s">
        <v>11</v>
      </c>
      <c r="AE260" s="6"/>
      <c r="AG260" s="188" t="s">
        <v>1450</v>
      </c>
      <c r="AH260" s="188" t="s">
        <v>22</v>
      </c>
    </row>
    <row r="261" spans="2:34" s="188" customFormat="1" ht="16" customHeight="1" thickTop="1" thickBot="1">
      <c r="B261" s="6"/>
      <c r="C261" s="6"/>
      <c r="D261" s="9"/>
      <c r="J261" s="189"/>
      <c r="K261" s="190" t="s">
        <v>1749</v>
      </c>
      <c r="U261" s="269" t="s">
        <v>1337</v>
      </c>
      <c r="W261" s="188" t="s">
        <v>27</v>
      </c>
      <c r="X261" s="188" t="s">
        <v>14</v>
      </c>
      <c r="Z261" s="188" t="s">
        <v>30</v>
      </c>
      <c r="AA261" s="188" t="s">
        <v>2</v>
      </c>
      <c r="AE261" s="6"/>
      <c r="AG261" s="188" t="s">
        <v>1337</v>
      </c>
      <c r="AH261" s="188" t="s">
        <v>18</v>
      </c>
    </row>
    <row r="262" spans="2:34" s="188" customFormat="1" ht="16" customHeight="1" thickTop="1" thickBot="1">
      <c r="B262" s="6"/>
      <c r="C262" s="6"/>
      <c r="D262" s="9"/>
      <c r="J262" s="189"/>
      <c r="K262" s="190" t="s">
        <v>1583</v>
      </c>
      <c r="U262" s="269" t="s">
        <v>1883</v>
      </c>
      <c r="W262" s="188" t="s">
        <v>28</v>
      </c>
      <c r="X262" s="188" t="s">
        <v>16</v>
      </c>
      <c r="Z262" s="188" t="s">
        <v>633</v>
      </c>
      <c r="AA262" s="188" t="s">
        <v>1221</v>
      </c>
      <c r="AE262" s="6"/>
      <c r="AG262" s="188" t="s">
        <v>1883</v>
      </c>
      <c r="AH262" s="188" t="s">
        <v>633</v>
      </c>
    </row>
    <row r="263" spans="2:34" s="188" customFormat="1" ht="16" customHeight="1" thickTop="1" thickBot="1">
      <c r="B263" s="6"/>
      <c r="C263" s="6"/>
      <c r="D263" s="9"/>
      <c r="J263" s="189"/>
      <c r="K263" s="190" t="s">
        <v>1693</v>
      </c>
      <c r="U263" s="269" t="s">
        <v>1515</v>
      </c>
      <c r="W263" s="188" t="s">
        <v>21</v>
      </c>
      <c r="X263" s="188" t="s">
        <v>7</v>
      </c>
      <c r="Z263" s="188" t="s">
        <v>33</v>
      </c>
      <c r="AA263" s="188" t="s">
        <v>13</v>
      </c>
      <c r="AE263" s="6"/>
      <c r="AG263" s="188" t="s">
        <v>1515</v>
      </c>
      <c r="AH263" s="188" t="s">
        <v>24</v>
      </c>
    </row>
    <row r="264" spans="2:34" s="188" customFormat="1" ht="16" customHeight="1" thickTop="1" thickBot="1">
      <c r="B264" s="6"/>
      <c r="C264" s="6"/>
      <c r="D264" s="9"/>
      <c r="J264" s="189"/>
      <c r="K264" s="190" t="s">
        <v>1387</v>
      </c>
      <c r="U264" s="269" t="s">
        <v>1441</v>
      </c>
      <c r="W264" s="188" t="s">
        <v>18</v>
      </c>
      <c r="X264" s="188" t="s">
        <v>3</v>
      </c>
      <c r="Z264" s="188" t="s">
        <v>22</v>
      </c>
      <c r="AA264" s="188" t="s">
        <v>8</v>
      </c>
      <c r="AE264" s="6"/>
      <c r="AG264" s="188" t="s">
        <v>1441</v>
      </c>
      <c r="AH264" s="188" t="s">
        <v>20</v>
      </c>
    </row>
    <row r="265" spans="2:34" s="188" customFormat="1" ht="16" customHeight="1" thickTop="1" thickBot="1">
      <c r="B265" s="6"/>
      <c r="C265" s="6"/>
      <c r="D265" s="9"/>
      <c r="J265" s="189"/>
      <c r="K265" s="190" t="s">
        <v>1606</v>
      </c>
      <c r="U265" s="269" t="s">
        <v>1752</v>
      </c>
      <c r="W265" s="188" t="s">
        <v>26</v>
      </c>
      <c r="X265" s="188" t="s">
        <v>12</v>
      </c>
      <c r="Z265" s="188" t="s">
        <v>51</v>
      </c>
      <c r="AA265" s="188" t="s">
        <v>5</v>
      </c>
      <c r="AE265" s="6"/>
      <c r="AG265" s="188" t="s">
        <v>1752</v>
      </c>
      <c r="AH265" s="188" t="s">
        <v>25</v>
      </c>
    </row>
    <row r="266" spans="2:34" s="188" customFormat="1" ht="16" customHeight="1" thickTop="1" thickBot="1">
      <c r="B266" s="6"/>
      <c r="C266" s="6"/>
      <c r="D266" s="9"/>
      <c r="J266" s="189"/>
      <c r="K266" s="190" t="s">
        <v>1708</v>
      </c>
      <c r="U266" s="269" t="s">
        <v>1723</v>
      </c>
      <c r="W266" s="188" t="s">
        <v>24</v>
      </c>
      <c r="X266" s="188" t="s">
        <v>10</v>
      </c>
      <c r="Z266" s="188" t="s">
        <v>30</v>
      </c>
      <c r="AA266" s="188" t="s">
        <v>2</v>
      </c>
      <c r="AE266" s="6"/>
      <c r="AG266" s="188" t="s">
        <v>1723</v>
      </c>
      <c r="AH266" s="188" t="s">
        <v>28</v>
      </c>
    </row>
    <row r="267" spans="2:34" s="188" customFormat="1" ht="16" customHeight="1" thickTop="1" thickBot="1">
      <c r="B267" s="6"/>
      <c r="C267" s="6"/>
      <c r="D267" s="9"/>
      <c r="J267" s="189"/>
      <c r="K267" s="190" t="s">
        <v>1574</v>
      </c>
      <c r="U267" s="269" t="s">
        <v>1571</v>
      </c>
      <c r="W267" s="188" t="s">
        <v>29</v>
      </c>
      <c r="X267" s="188" t="s">
        <v>1</v>
      </c>
      <c r="Z267" s="188" t="s">
        <v>25</v>
      </c>
      <c r="AA267" s="188" t="s">
        <v>11</v>
      </c>
      <c r="AE267" s="6"/>
      <c r="AG267" s="188" t="s">
        <v>1571</v>
      </c>
      <c r="AH267" s="188" t="s">
        <v>24</v>
      </c>
    </row>
    <row r="268" spans="2:34" s="188" customFormat="1" ht="16" customHeight="1" thickTop="1" thickBot="1">
      <c r="B268" s="6"/>
      <c r="C268" s="6"/>
      <c r="D268" s="9"/>
      <c r="J268" s="189"/>
      <c r="K268" s="190" t="s">
        <v>1673</v>
      </c>
      <c r="U268" s="269" t="s">
        <v>1810</v>
      </c>
      <c r="W268" s="188" t="s">
        <v>52</v>
      </c>
      <c r="X268" s="188" t="s">
        <v>15</v>
      </c>
      <c r="Z268" s="188" t="s">
        <v>17</v>
      </c>
      <c r="AA268" s="188" t="s">
        <v>0</v>
      </c>
      <c r="AE268" s="6"/>
      <c r="AG268" s="188" t="s">
        <v>1810</v>
      </c>
      <c r="AH268" s="188" t="s">
        <v>43</v>
      </c>
    </row>
    <row r="269" spans="2:34" s="188" customFormat="1" ht="16" customHeight="1" thickTop="1" thickBot="1">
      <c r="B269" s="6"/>
      <c r="C269" s="6"/>
      <c r="D269" s="9"/>
      <c r="J269" s="189"/>
      <c r="K269" s="190" t="s">
        <v>1599</v>
      </c>
      <c r="U269" s="269" t="s">
        <v>1309</v>
      </c>
      <c r="W269" s="188" t="s">
        <v>634</v>
      </c>
      <c r="X269" s="188" t="s">
        <v>1220</v>
      </c>
      <c r="Z269" s="188" t="s">
        <v>23</v>
      </c>
      <c r="AA269" s="188" t="s">
        <v>9</v>
      </c>
      <c r="AE269" s="6"/>
      <c r="AG269" s="188" t="s">
        <v>1309</v>
      </c>
      <c r="AH269" s="188" t="s">
        <v>19</v>
      </c>
    </row>
    <row r="270" spans="2:34" s="188" customFormat="1" ht="16" customHeight="1" thickTop="1" thickBot="1">
      <c r="B270" s="6"/>
      <c r="C270" s="6"/>
      <c r="D270" s="9"/>
      <c r="J270" s="189"/>
      <c r="K270" s="190" t="s">
        <v>1363</v>
      </c>
      <c r="U270" s="269" t="s">
        <v>1456</v>
      </c>
      <c r="W270" s="188" t="s">
        <v>19</v>
      </c>
      <c r="X270" s="188" t="s">
        <v>4</v>
      </c>
      <c r="Z270" s="188" t="s">
        <v>20</v>
      </c>
      <c r="AA270" s="188" t="s">
        <v>6</v>
      </c>
      <c r="AE270" s="6"/>
      <c r="AG270" s="188" t="s">
        <v>1456</v>
      </c>
      <c r="AH270" s="188" t="s">
        <v>29</v>
      </c>
    </row>
    <row r="271" spans="2:34" s="188" customFormat="1" ht="16" customHeight="1" thickTop="1" thickBot="1">
      <c r="B271" s="6"/>
      <c r="C271" s="6"/>
      <c r="D271" s="9"/>
      <c r="J271" s="189"/>
      <c r="K271" s="190" t="s">
        <v>1430</v>
      </c>
      <c r="U271" s="269" t="s">
        <v>1783</v>
      </c>
      <c r="W271" s="188" t="s">
        <v>27</v>
      </c>
      <c r="X271" s="188" t="s">
        <v>14</v>
      </c>
      <c r="Z271" s="188" t="s">
        <v>43</v>
      </c>
      <c r="AA271" s="188" t="s">
        <v>32</v>
      </c>
      <c r="AE271" s="6"/>
      <c r="AG271" s="188" t="s">
        <v>1783</v>
      </c>
      <c r="AH271" s="188" t="s">
        <v>17</v>
      </c>
    </row>
    <row r="272" spans="2:34" s="188" customFormat="1" ht="16" customHeight="1" thickTop="1" thickBot="1">
      <c r="B272" s="6"/>
      <c r="C272" s="6"/>
      <c r="D272" s="9"/>
      <c r="J272" s="189"/>
      <c r="K272" s="190" t="s">
        <v>1748</v>
      </c>
      <c r="U272" s="269" t="s">
        <v>1560</v>
      </c>
      <c r="W272" s="188" t="s">
        <v>43</v>
      </c>
      <c r="X272" s="188" t="s">
        <v>32</v>
      </c>
      <c r="Z272" s="188" t="s">
        <v>634</v>
      </c>
      <c r="AA272" s="188" t="s">
        <v>1220</v>
      </c>
      <c r="AE272" s="6"/>
      <c r="AG272" s="188" t="s">
        <v>1560</v>
      </c>
      <c r="AH272" s="188" t="s">
        <v>33</v>
      </c>
    </row>
    <row r="273" spans="2:34" s="188" customFormat="1" ht="16" customHeight="1" thickTop="1" thickBot="1">
      <c r="B273" s="6"/>
      <c r="C273" s="6"/>
      <c r="D273" s="9"/>
      <c r="J273" s="189"/>
      <c r="K273" s="190" t="s">
        <v>1535</v>
      </c>
      <c r="U273" s="269" t="s">
        <v>1392</v>
      </c>
      <c r="W273" s="188" t="s">
        <v>20</v>
      </c>
      <c r="X273" s="188" t="s">
        <v>6</v>
      </c>
      <c r="Z273" s="188" t="s">
        <v>18</v>
      </c>
      <c r="AA273" s="188" t="s">
        <v>3</v>
      </c>
      <c r="AE273" s="6"/>
      <c r="AG273" s="188" t="s">
        <v>1392</v>
      </c>
      <c r="AH273" s="188" t="s">
        <v>24</v>
      </c>
    </row>
    <row r="274" spans="2:34" s="188" customFormat="1" ht="16" customHeight="1" thickTop="1" thickBot="1">
      <c r="B274" s="6"/>
      <c r="C274" s="6"/>
      <c r="D274" s="9"/>
      <c r="J274" s="189"/>
      <c r="K274" s="190" t="s">
        <v>2008</v>
      </c>
      <c r="U274" s="269" t="s">
        <v>1491</v>
      </c>
      <c r="W274" s="188" t="s">
        <v>33</v>
      </c>
      <c r="X274" s="188" t="s">
        <v>13</v>
      </c>
      <c r="Z274" s="188" t="s">
        <v>52</v>
      </c>
      <c r="AA274" s="188" t="s">
        <v>15</v>
      </c>
      <c r="AE274" s="6"/>
      <c r="AG274" s="188" t="s">
        <v>1491</v>
      </c>
      <c r="AH274" s="188" t="s">
        <v>29</v>
      </c>
    </row>
    <row r="275" spans="2:34" s="188" customFormat="1" ht="16" customHeight="1" thickTop="1" thickBot="1">
      <c r="B275" s="6"/>
      <c r="C275" s="6"/>
      <c r="D275" s="9"/>
      <c r="J275" s="189"/>
      <c r="K275" s="190" t="s">
        <v>1566</v>
      </c>
      <c r="U275" s="269" t="s">
        <v>1370</v>
      </c>
      <c r="W275" s="188" t="s">
        <v>22</v>
      </c>
      <c r="X275" s="188" t="s">
        <v>8</v>
      </c>
      <c r="Z275" s="188" t="s">
        <v>21</v>
      </c>
      <c r="AA275" s="188" t="s">
        <v>7</v>
      </c>
      <c r="AE275" s="6"/>
      <c r="AG275" s="188" t="s">
        <v>1370</v>
      </c>
      <c r="AH275" s="188" t="s">
        <v>27</v>
      </c>
    </row>
    <row r="276" spans="2:34" s="188" customFormat="1" ht="16" customHeight="1" thickTop="1" thickBot="1">
      <c r="B276" s="6"/>
      <c r="C276" s="6"/>
      <c r="D276" s="9"/>
      <c r="J276" s="189"/>
      <c r="K276" s="190" t="s">
        <v>1554</v>
      </c>
      <c r="U276" s="269" t="s">
        <v>1639</v>
      </c>
      <c r="W276" s="188" t="s">
        <v>23</v>
      </c>
      <c r="X276" s="188" t="s">
        <v>9</v>
      </c>
      <c r="Z276" s="188" t="s">
        <v>19</v>
      </c>
      <c r="AA276" s="188" t="s">
        <v>4</v>
      </c>
      <c r="AE276" s="6"/>
      <c r="AG276" s="188" t="s">
        <v>1639</v>
      </c>
      <c r="AH276" s="188" t="s">
        <v>33</v>
      </c>
    </row>
    <row r="277" spans="2:34" s="188" customFormat="1" ht="16" customHeight="1" thickTop="1" thickBot="1">
      <c r="B277" s="6"/>
      <c r="C277" s="6"/>
      <c r="D277" s="9"/>
      <c r="J277" s="189"/>
      <c r="K277" s="190" t="s">
        <v>1580</v>
      </c>
      <c r="U277" s="269" t="s">
        <v>1408</v>
      </c>
      <c r="W277" s="188" t="s">
        <v>633</v>
      </c>
      <c r="X277" s="188" t="s">
        <v>1221</v>
      </c>
      <c r="Z277" s="188" t="s">
        <v>29</v>
      </c>
      <c r="AA277" s="188" t="s">
        <v>1</v>
      </c>
      <c r="AE277" s="6"/>
      <c r="AG277" s="188" t="s">
        <v>1408</v>
      </c>
      <c r="AH277" s="188" t="s">
        <v>24</v>
      </c>
    </row>
    <row r="278" spans="2:34" s="188" customFormat="1" ht="16" customHeight="1" thickTop="1" thickBot="1">
      <c r="B278" s="6"/>
      <c r="C278" s="6"/>
      <c r="D278" s="9"/>
      <c r="J278" s="189"/>
      <c r="K278" s="190" t="s">
        <v>1422</v>
      </c>
      <c r="U278" s="269" t="s">
        <v>1283</v>
      </c>
      <c r="W278" s="188" t="s">
        <v>17</v>
      </c>
      <c r="X278" s="188" t="s">
        <v>0</v>
      </c>
      <c r="Z278" s="188" t="s">
        <v>27</v>
      </c>
      <c r="AA278" s="188" t="s">
        <v>14</v>
      </c>
      <c r="AE278" s="6"/>
      <c r="AG278" s="188" t="s">
        <v>1283</v>
      </c>
      <c r="AH278" s="188" t="s">
        <v>27</v>
      </c>
    </row>
    <row r="279" spans="2:34" s="188" customFormat="1" ht="16" customHeight="1" thickTop="1" thickBot="1">
      <c r="B279" s="6"/>
      <c r="C279" s="6"/>
      <c r="D279" s="9"/>
      <c r="J279" s="189"/>
      <c r="K279" s="190" t="s">
        <v>1567</v>
      </c>
      <c r="U279" s="269" t="s">
        <v>1662</v>
      </c>
      <c r="W279" s="188" t="s">
        <v>30</v>
      </c>
      <c r="X279" s="188" t="s">
        <v>2</v>
      </c>
      <c r="Z279" s="188" t="s">
        <v>26</v>
      </c>
      <c r="AA279" s="188" t="s">
        <v>12</v>
      </c>
      <c r="AE279" s="6"/>
      <c r="AG279" s="188" t="s">
        <v>1662</v>
      </c>
      <c r="AH279" s="188" t="s">
        <v>33</v>
      </c>
    </row>
    <row r="280" spans="2:34" s="188" customFormat="1" ht="16" customHeight="1" thickTop="1" thickBot="1">
      <c r="B280" s="6"/>
      <c r="C280" s="6"/>
      <c r="D280" s="9"/>
      <c r="J280" s="189"/>
      <c r="K280" s="190" t="s">
        <v>1463</v>
      </c>
      <c r="U280" s="269" t="s">
        <v>1689</v>
      </c>
      <c r="W280" s="188" t="s">
        <v>25</v>
      </c>
      <c r="X280" s="188" t="s">
        <v>11</v>
      </c>
      <c r="Z280" s="188" t="s">
        <v>24</v>
      </c>
      <c r="AA280" s="188" t="s">
        <v>10</v>
      </c>
      <c r="AE280" s="6"/>
      <c r="AG280" s="188" t="s">
        <v>1689</v>
      </c>
      <c r="AH280" s="188" t="s">
        <v>634</v>
      </c>
    </row>
    <row r="281" spans="2:34" s="188" customFormat="1" ht="16" customHeight="1" thickTop="1" thickBot="1">
      <c r="B281" s="6"/>
      <c r="C281" s="6"/>
      <c r="D281" s="9"/>
      <c r="J281" s="189"/>
      <c r="K281" s="190" t="s">
        <v>1358</v>
      </c>
      <c r="U281" s="269" t="s">
        <v>1786</v>
      </c>
      <c r="W281" s="188" t="s">
        <v>51</v>
      </c>
      <c r="X281" s="188" t="s">
        <v>5</v>
      </c>
      <c r="Z281" s="188" t="s">
        <v>28</v>
      </c>
      <c r="AA281" s="188" t="s">
        <v>16</v>
      </c>
      <c r="AE281" s="6"/>
      <c r="AG281" s="188" t="s">
        <v>1786</v>
      </c>
      <c r="AH281" s="188" t="s">
        <v>30</v>
      </c>
    </row>
    <row r="282" spans="2:34" s="188" customFormat="1" ht="16" customHeight="1" thickTop="1" thickBot="1">
      <c r="B282" s="6"/>
      <c r="C282" s="6"/>
      <c r="D282" s="9"/>
      <c r="J282" s="189"/>
      <c r="K282" s="190" t="s">
        <v>1536</v>
      </c>
      <c r="U282" s="269" t="s">
        <v>1670</v>
      </c>
      <c r="W282" s="188" t="s">
        <v>43</v>
      </c>
      <c r="X282" s="188" t="s">
        <v>32</v>
      </c>
      <c r="Z282" s="188" t="s">
        <v>21</v>
      </c>
      <c r="AA282" s="188" t="s">
        <v>7</v>
      </c>
      <c r="AE282" s="6"/>
      <c r="AG282" s="188" t="s">
        <v>1670</v>
      </c>
      <c r="AH282" s="188" t="s">
        <v>633</v>
      </c>
    </row>
    <row r="283" spans="2:34" s="188" customFormat="1" ht="16" customHeight="1" thickTop="1" thickBot="1">
      <c r="B283" s="6"/>
      <c r="C283" s="6"/>
      <c r="D283" s="9"/>
      <c r="J283" s="189"/>
      <c r="K283" s="190" t="s">
        <v>1555</v>
      </c>
      <c r="U283" s="269" t="s">
        <v>1707</v>
      </c>
      <c r="W283" s="188" t="s">
        <v>28</v>
      </c>
      <c r="X283" s="188" t="s">
        <v>16</v>
      </c>
      <c r="Z283" s="188" t="s">
        <v>18</v>
      </c>
      <c r="AA283" s="188" t="s">
        <v>3</v>
      </c>
      <c r="AE283" s="6"/>
      <c r="AG283" s="188" t="s">
        <v>1707</v>
      </c>
      <c r="AH283" s="188" t="s">
        <v>17</v>
      </c>
    </row>
    <row r="284" spans="2:34" s="188" customFormat="1" ht="16" customHeight="1" thickTop="1" thickBot="1">
      <c r="B284" s="6"/>
      <c r="C284" s="6"/>
      <c r="D284" s="9"/>
      <c r="J284" s="189"/>
      <c r="K284" s="190" t="s">
        <v>1355</v>
      </c>
      <c r="U284" s="269" t="s">
        <v>1851</v>
      </c>
      <c r="W284" s="188" t="s">
        <v>33</v>
      </c>
      <c r="X284" s="188" t="s">
        <v>13</v>
      </c>
      <c r="Z284" s="188" t="s">
        <v>20</v>
      </c>
      <c r="AA284" s="188" t="s">
        <v>6</v>
      </c>
      <c r="AE284" s="6"/>
      <c r="AG284" s="188" t="s">
        <v>1851</v>
      </c>
      <c r="AH284" s="188" t="s">
        <v>21</v>
      </c>
    </row>
    <row r="285" spans="2:34" s="188" customFormat="1" ht="16" customHeight="1" thickTop="1" thickBot="1">
      <c r="B285" s="6"/>
      <c r="C285" s="6"/>
      <c r="D285" s="9"/>
      <c r="J285" s="189"/>
      <c r="K285" s="190" t="s">
        <v>1698</v>
      </c>
      <c r="U285" s="269" t="s">
        <v>1777</v>
      </c>
      <c r="W285" s="188" t="s">
        <v>24</v>
      </c>
      <c r="X285" s="188" t="s">
        <v>10</v>
      </c>
      <c r="Z285" s="188" t="s">
        <v>22</v>
      </c>
      <c r="AA285" s="188" t="s">
        <v>8</v>
      </c>
      <c r="AE285" s="6"/>
      <c r="AG285" s="188" t="s">
        <v>1777</v>
      </c>
      <c r="AH285" s="188" t="s">
        <v>22</v>
      </c>
    </row>
    <row r="286" spans="2:34" s="188" customFormat="1" ht="16" customHeight="1" thickTop="1" thickBot="1">
      <c r="B286" s="6"/>
      <c r="C286" s="6"/>
      <c r="D286" s="9"/>
      <c r="J286" s="189"/>
      <c r="K286" s="190" t="s">
        <v>1461</v>
      </c>
      <c r="U286" s="269" t="s">
        <v>1765</v>
      </c>
      <c r="W286" s="188" t="s">
        <v>23</v>
      </c>
      <c r="X286" s="188" t="s">
        <v>9</v>
      </c>
      <c r="Z286" s="188" t="s">
        <v>27</v>
      </c>
      <c r="AA286" s="188" t="s">
        <v>14</v>
      </c>
      <c r="AE286" s="6"/>
      <c r="AG286" s="188" t="s">
        <v>1765</v>
      </c>
      <c r="AH286" s="188" t="s">
        <v>27</v>
      </c>
    </row>
    <row r="287" spans="2:34" s="188" customFormat="1" ht="16" customHeight="1" thickTop="1" thickBot="1">
      <c r="B287" s="6"/>
      <c r="C287" s="6"/>
      <c r="D287" s="9"/>
      <c r="J287" s="189"/>
      <c r="K287" s="190" t="s">
        <v>1695</v>
      </c>
      <c r="U287" s="269" t="s">
        <v>1291</v>
      </c>
      <c r="W287" s="188" t="s">
        <v>633</v>
      </c>
      <c r="X287" s="188" t="s">
        <v>1221</v>
      </c>
      <c r="Z287" s="188" t="s">
        <v>634</v>
      </c>
      <c r="AA287" s="188" t="s">
        <v>1220</v>
      </c>
      <c r="AE287" s="6"/>
      <c r="AG287" s="188" t="s">
        <v>1291</v>
      </c>
      <c r="AH287" s="188" t="s">
        <v>26</v>
      </c>
    </row>
    <row r="288" spans="2:34" s="188" customFormat="1" ht="16" customHeight="1" thickTop="1" thickBot="1">
      <c r="B288" s="6"/>
      <c r="C288" s="6"/>
      <c r="D288" s="9"/>
      <c r="J288" s="189"/>
      <c r="K288" s="191"/>
      <c r="U288" s="269" t="s">
        <v>1464</v>
      </c>
      <c r="W288" s="188" t="s">
        <v>29</v>
      </c>
      <c r="X288" s="188" t="s">
        <v>1</v>
      </c>
      <c r="Z288" s="188" t="s">
        <v>52</v>
      </c>
      <c r="AA288" s="188" t="s">
        <v>15</v>
      </c>
      <c r="AE288" s="6"/>
      <c r="AG288" s="188" t="s">
        <v>1464</v>
      </c>
      <c r="AH288" s="188" t="s">
        <v>51</v>
      </c>
    </row>
    <row r="289" spans="2:34" s="188" customFormat="1" ht="16" customHeight="1" thickTop="1">
      <c r="B289" s="6"/>
      <c r="C289" s="6"/>
      <c r="D289" s="9"/>
      <c r="J289" s="189"/>
      <c r="K289" s="267"/>
      <c r="U289" s="269" t="s">
        <v>1568</v>
      </c>
      <c r="W289" s="188" t="s">
        <v>25</v>
      </c>
      <c r="X289" s="188" t="s">
        <v>11</v>
      </c>
      <c r="Z289" s="188" t="s">
        <v>30</v>
      </c>
      <c r="AA289" s="188" t="s">
        <v>2</v>
      </c>
      <c r="AE289" s="6"/>
      <c r="AG289" s="188" t="s">
        <v>1568</v>
      </c>
      <c r="AH289" s="188" t="s">
        <v>26</v>
      </c>
    </row>
    <row r="290" spans="2:34" s="188" customFormat="1" ht="16" customHeight="1">
      <c r="B290" s="6"/>
      <c r="C290" s="6"/>
      <c r="D290" s="9"/>
      <c r="J290" s="189"/>
      <c r="K290" s="13"/>
      <c r="U290" s="269" t="s">
        <v>1828</v>
      </c>
      <c r="W290" s="188" t="s">
        <v>19</v>
      </c>
      <c r="X290" s="188" t="s">
        <v>4</v>
      </c>
      <c r="Z290" s="188" t="s">
        <v>26</v>
      </c>
      <c r="AA290" s="188" t="s">
        <v>12</v>
      </c>
      <c r="AE290" s="6"/>
      <c r="AG290" s="188" t="s">
        <v>1828</v>
      </c>
      <c r="AH290" s="188" t="s">
        <v>634</v>
      </c>
    </row>
    <row r="291" spans="2:34" s="188" customFormat="1" ht="16" customHeight="1">
      <c r="B291" s="6"/>
      <c r="C291" s="6"/>
      <c r="D291" s="9"/>
      <c r="J291" s="189"/>
      <c r="K291" s="13"/>
      <c r="U291" s="269" t="s">
        <v>1346</v>
      </c>
      <c r="W291" s="188" t="s">
        <v>51</v>
      </c>
      <c r="X291" s="188" t="s">
        <v>5</v>
      </c>
      <c r="Z291" s="188" t="s">
        <v>17</v>
      </c>
      <c r="AA291" s="188" t="s">
        <v>0</v>
      </c>
      <c r="AE291" s="6"/>
      <c r="AG291" s="188" t="s">
        <v>1346</v>
      </c>
      <c r="AH291" s="188" t="s">
        <v>17</v>
      </c>
    </row>
    <row r="292" spans="2:34" s="188" customFormat="1" ht="16" customHeight="1">
      <c r="B292" s="6"/>
      <c r="C292" s="6"/>
      <c r="D292" s="9"/>
      <c r="J292" s="189"/>
      <c r="K292" s="13"/>
      <c r="U292" s="269" t="s">
        <v>1331</v>
      </c>
      <c r="W292" s="188" t="s">
        <v>20</v>
      </c>
      <c r="X292" s="188" t="s">
        <v>6</v>
      </c>
      <c r="Z292" s="188" t="s">
        <v>24</v>
      </c>
      <c r="AA292" s="188" t="s">
        <v>10</v>
      </c>
      <c r="AE292" s="6"/>
      <c r="AG292" s="188" t="s">
        <v>1331</v>
      </c>
      <c r="AH292" s="188" t="s">
        <v>29</v>
      </c>
    </row>
    <row r="293" spans="2:34" s="188" customFormat="1" ht="16" customHeight="1">
      <c r="B293" s="6"/>
      <c r="C293" s="6"/>
      <c r="D293" s="9"/>
      <c r="J293" s="189"/>
      <c r="K293" s="13"/>
      <c r="U293" s="269" t="s">
        <v>1561</v>
      </c>
      <c r="W293" s="188" t="s">
        <v>21</v>
      </c>
      <c r="X293" s="188" t="s">
        <v>7</v>
      </c>
      <c r="Z293" s="188" t="s">
        <v>51</v>
      </c>
      <c r="AA293" s="188" t="s">
        <v>5</v>
      </c>
      <c r="AE293" s="6"/>
      <c r="AG293" s="188" t="s">
        <v>1561</v>
      </c>
      <c r="AH293" s="188" t="s">
        <v>33</v>
      </c>
    </row>
    <row r="294" spans="2:34" s="188" customFormat="1" ht="16" customHeight="1">
      <c r="B294" s="6"/>
      <c r="C294" s="6"/>
      <c r="D294" s="9"/>
      <c r="J294" s="189"/>
      <c r="K294" s="13"/>
      <c r="U294" s="269" t="s">
        <v>1740</v>
      </c>
      <c r="W294" s="188" t="s">
        <v>22</v>
      </c>
      <c r="X294" s="188" t="s">
        <v>8</v>
      </c>
      <c r="Z294" s="188" t="s">
        <v>43</v>
      </c>
      <c r="AA294" s="188" t="s">
        <v>32</v>
      </c>
      <c r="AE294" s="6"/>
      <c r="AG294" s="188" t="s">
        <v>1740</v>
      </c>
      <c r="AH294" s="188" t="s">
        <v>26</v>
      </c>
    </row>
    <row r="295" spans="2:34" s="188" customFormat="1" ht="16" customHeight="1">
      <c r="B295" s="6"/>
      <c r="C295" s="6"/>
      <c r="D295" s="9"/>
      <c r="J295" s="189"/>
      <c r="K295" s="13"/>
      <c r="U295" s="269" t="s">
        <v>1411</v>
      </c>
      <c r="W295" s="188" t="s">
        <v>18</v>
      </c>
      <c r="X295" s="188" t="s">
        <v>3</v>
      </c>
      <c r="Z295" s="188" t="s">
        <v>25</v>
      </c>
      <c r="AA295" s="188" t="s">
        <v>11</v>
      </c>
      <c r="AE295" s="6"/>
      <c r="AG295" s="188" t="s">
        <v>1411</v>
      </c>
      <c r="AH295" s="188" t="s">
        <v>51</v>
      </c>
    </row>
    <row r="296" spans="2:34" s="188" customFormat="1" ht="16" customHeight="1">
      <c r="B296" s="6"/>
      <c r="C296" s="6"/>
      <c r="D296" s="9"/>
      <c r="J296" s="189"/>
      <c r="K296" s="13"/>
      <c r="U296" s="269" t="s">
        <v>1324</v>
      </c>
      <c r="W296" s="188" t="s">
        <v>26</v>
      </c>
      <c r="X296" s="188" t="s">
        <v>12</v>
      </c>
      <c r="Z296" s="188" t="s">
        <v>633</v>
      </c>
      <c r="AA296" s="188" t="s">
        <v>1221</v>
      </c>
      <c r="AE296" s="6"/>
      <c r="AG296" s="188" t="s">
        <v>1324</v>
      </c>
      <c r="AH296" s="188" t="s">
        <v>23</v>
      </c>
    </row>
    <row r="297" spans="2:34" s="188" customFormat="1" ht="16" customHeight="1">
      <c r="B297" s="6"/>
      <c r="C297" s="6"/>
      <c r="D297" s="9"/>
      <c r="J297" s="189"/>
      <c r="K297" s="13"/>
      <c r="U297" s="269" t="s">
        <v>1635</v>
      </c>
      <c r="W297" s="188" t="s">
        <v>17</v>
      </c>
      <c r="X297" s="188" t="s">
        <v>0</v>
      </c>
      <c r="Z297" s="188" t="s">
        <v>19</v>
      </c>
      <c r="AA297" s="188" t="s">
        <v>4</v>
      </c>
      <c r="AE297" s="6"/>
      <c r="AG297" s="188" t="s">
        <v>1635</v>
      </c>
      <c r="AH297" s="188" t="s">
        <v>23</v>
      </c>
    </row>
    <row r="298" spans="2:34" s="188" customFormat="1" ht="16" customHeight="1">
      <c r="B298" s="6"/>
      <c r="C298" s="6"/>
      <c r="D298" s="9"/>
      <c r="J298" s="189"/>
      <c r="K298" s="13"/>
      <c r="U298" s="269" t="s">
        <v>1465</v>
      </c>
      <c r="W298" s="188" t="s">
        <v>30</v>
      </c>
      <c r="X298" s="188" t="s">
        <v>2</v>
      </c>
      <c r="Z298" s="188" t="s">
        <v>28</v>
      </c>
      <c r="AA298" s="188" t="s">
        <v>16</v>
      </c>
      <c r="AE298" s="6"/>
      <c r="AG298" s="188" t="s">
        <v>1465</v>
      </c>
      <c r="AH298" s="188" t="s">
        <v>51</v>
      </c>
    </row>
    <row r="299" spans="2:34" s="188" customFormat="1" ht="16" customHeight="1">
      <c r="B299" s="6"/>
      <c r="C299" s="6"/>
      <c r="D299" s="9"/>
      <c r="J299" s="189"/>
      <c r="K299" s="13"/>
      <c r="U299" s="269" t="s">
        <v>1288</v>
      </c>
      <c r="W299" s="188" t="s">
        <v>52</v>
      </c>
      <c r="X299" s="188" t="s">
        <v>15</v>
      </c>
      <c r="Z299" s="188" t="s">
        <v>23</v>
      </c>
      <c r="AA299" s="188" t="s">
        <v>9</v>
      </c>
      <c r="AE299" s="6"/>
      <c r="AG299" s="188" t="s">
        <v>1288</v>
      </c>
      <c r="AH299" s="188" t="s">
        <v>18</v>
      </c>
    </row>
    <row r="300" spans="2:34" s="188" customFormat="1" ht="16" customHeight="1">
      <c r="B300" s="6"/>
      <c r="C300" s="6"/>
      <c r="D300" s="9"/>
      <c r="J300" s="189"/>
      <c r="K300" s="13"/>
      <c r="U300" s="269" t="s">
        <v>1819</v>
      </c>
      <c r="W300" s="188" t="s">
        <v>634</v>
      </c>
      <c r="X300" s="188" t="s">
        <v>1220</v>
      </c>
      <c r="Z300" s="188" t="s">
        <v>33</v>
      </c>
      <c r="AA300" s="188" t="s">
        <v>13</v>
      </c>
      <c r="AE300" s="6"/>
      <c r="AG300" s="188" t="s">
        <v>1819</v>
      </c>
      <c r="AH300" s="188" t="s">
        <v>634</v>
      </c>
    </row>
    <row r="301" spans="2:34" s="188" customFormat="1" ht="16" customHeight="1">
      <c r="B301" s="6"/>
      <c r="C301" s="6"/>
      <c r="D301" s="9"/>
      <c r="J301" s="189"/>
      <c r="K301" s="13"/>
      <c r="U301" s="269" t="s">
        <v>1730</v>
      </c>
      <c r="W301" s="188" t="s">
        <v>27</v>
      </c>
      <c r="X301" s="188" t="s">
        <v>14</v>
      </c>
      <c r="Z301" s="188" t="s">
        <v>29</v>
      </c>
      <c r="AA301" s="188" t="s">
        <v>1</v>
      </c>
      <c r="AE301" s="6"/>
      <c r="AG301" t="s">
        <v>1730</v>
      </c>
      <c r="AH301" t="s">
        <v>33</v>
      </c>
    </row>
    <row r="302" spans="2:34" s="188" customFormat="1" ht="16" customHeight="1">
      <c r="B302" s="6"/>
      <c r="C302" s="6"/>
      <c r="D302" s="9"/>
      <c r="J302" s="189"/>
      <c r="K302" s="13"/>
      <c r="U302" s="269" t="s">
        <v>1802</v>
      </c>
      <c r="W302" s="188" t="s">
        <v>43</v>
      </c>
      <c r="X302" s="188" t="s">
        <v>32</v>
      </c>
      <c r="Z302" s="188" t="s">
        <v>30</v>
      </c>
      <c r="AA302" s="188" t="s">
        <v>2</v>
      </c>
      <c r="AE302" s="6"/>
      <c r="AG302" s="188" t="s">
        <v>1802</v>
      </c>
      <c r="AH302" s="188" t="s">
        <v>633</v>
      </c>
    </row>
    <row r="303" spans="2:34" s="188" customFormat="1" ht="16" customHeight="1">
      <c r="B303" s="6"/>
      <c r="C303" s="6"/>
      <c r="D303" s="9"/>
      <c r="J303" s="189"/>
      <c r="K303" s="13"/>
      <c r="U303" s="269" t="s">
        <v>1585</v>
      </c>
      <c r="W303" s="188" t="s">
        <v>28</v>
      </c>
      <c r="X303" s="188" t="s">
        <v>16</v>
      </c>
      <c r="Z303" s="188" t="s">
        <v>27</v>
      </c>
      <c r="AA303" s="188" t="s">
        <v>14</v>
      </c>
      <c r="AE303" s="6"/>
      <c r="AG303" s="188" t="s">
        <v>1585</v>
      </c>
      <c r="AH303" s="188" t="s">
        <v>25</v>
      </c>
    </row>
    <row r="304" spans="2:34" s="188" customFormat="1" ht="16" customHeight="1">
      <c r="B304" s="6"/>
      <c r="C304" s="6"/>
      <c r="D304" s="9"/>
      <c r="J304" s="189"/>
      <c r="K304" s="13"/>
      <c r="U304" s="269" t="s">
        <v>1581</v>
      </c>
      <c r="W304" s="188" t="s">
        <v>33</v>
      </c>
      <c r="X304" s="188" t="s">
        <v>13</v>
      </c>
      <c r="Z304" s="188" t="s">
        <v>17</v>
      </c>
      <c r="AA304" s="188" t="s">
        <v>0</v>
      </c>
      <c r="AE304" s="6"/>
      <c r="AG304" s="188" t="s">
        <v>1581</v>
      </c>
      <c r="AH304" s="188" t="s">
        <v>17</v>
      </c>
    </row>
    <row r="305" spans="2:34" s="188" customFormat="1" ht="16" customHeight="1">
      <c r="B305" s="6"/>
      <c r="C305" s="6"/>
      <c r="D305" s="9"/>
      <c r="J305" s="189"/>
      <c r="K305" s="13"/>
      <c r="U305" s="269" t="s">
        <v>1399</v>
      </c>
      <c r="W305" s="188" t="s">
        <v>24</v>
      </c>
      <c r="X305" s="188" t="s">
        <v>10</v>
      </c>
      <c r="Z305" s="188" t="s">
        <v>18</v>
      </c>
      <c r="AA305" s="188" t="s">
        <v>3</v>
      </c>
      <c r="AE305" s="6"/>
      <c r="AG305" s="188" t="s">
        <v>1399</v>
      </c>
      <c r="AH305" s="188" t="s">
        <v>633</v>
      </c>
    </row>
    <row r="306" spans="2:34" s="188" customFormat="1" ht="16" customHeight="1">
      <c r="B306" s="6"/>
      <c r="C306" s="6"/>
      <c r="D306" s="9"/>
      <c r="K306" s="13"/>
      <c r="U306" s="269" t="s">
        <v>1679</v>
      </c>
      <c r="W306" s="188" t="s">
        <v>23</v>
      </c>
      <c r="X306" s="188" t="s">
        <v>9</v>
      </c>
      <c r="Z306" s="188" t="s">
        <v>22</v>
      </c>
      <c r="AA306" s="188" t="s">
        <v>8</v>
      </c>
      <c r="AE306" s="6"/>
      <c r="AG306" s="188" t="s">
        <v>1679</v>
      </c>
      <c r="AH306" s="188" t="s">
        <v>33</v>
      </c>
    </row>
    <row r="307" spans="2:34" s="188" customFormat="1" ht="16" customHeight="1">
      <c r="B307" s="6"/>
      <c r="C307" s="6"/>
      <c r="D307" s="9"/>
      <c r="K307" s="13"/>
      <c r="U307" s="269" t="s">
        <v>1856</v>
      </c>
      <c r="W307" s="188" t="s">
        <v>633</v>
      </c>
      <c r="X307" s="188" t="s">
        <v>1221</v>
      </c>
      <c r="Z307" s="188" t="s">
        <v>21</v>
      </c>
      <c r="AA307" s="188" t="s">
        <v>7</v>
      </c>
      <c r="AE307" s="6"/>
      <c r="AG307" s="188" t="s">
        <v>1856</v>
      </c>
      <c r="AH307" s="188" t="s">
        <v>22</v>
      </c>
    </row>
    <row r="308" spans="2:34" s="188" customFormat="1" ht="16" customHeight="1">
      <c r="B308" s="6"/>
      <c r="C308" s="6"/>
      <c r="D308" s="9"/>
      <c r="K308" s="13"/>
      <c r="U308" s="269" t="s">
        <v>1418</v>
      </c>
      <c r="W308" s="188" t="s">
        <v>29</v>
      </c>
      <c r="X308" s="188" t="s">
        <v>1</v>
      </c>
      <c r="Z308" s="188" t="s">
        <v>26</v>
      </c>
      <c r="AA308" s="188" t="s">
        <v>12</v>
      </c>
      <c r="AE308" s="6"/>
      <c r="AG308" s="188" t="s">
        <v>1418</v>
      </c>
      <c r="AH308" s="188" t="s">
        <v>28</v>
      </c>
    </row>
    <row r="309" spans="2:34" s="188" customFormat="1" ht="16" customHeight="1">
      <c r="B309" s="6"/>
      <c r="C309" s="6"/>
      <c r="D309" s="9"/>
      <c r="K309" s="13"/>
      <c r="U309" s="269" t="s">
        <v>1424</v>
      </c>
      <c r="W309" s="188" t="s">
        <v>25</v>
      </c>
      <c r="X309" s="188" t="s">
        <v>11</v>
      </c>
      <c r="Z309" s="188" t="s">
        <v>634</v>
      </c>
      <c r="AA309" s="188" t="s">
        <v>1220</v>
      </c>
      <c r="AE309" s="6"/>
      <c r="AG309" s="188" t="s">
        <v>1424</v>
      </c>
      <c r="AH309" s="188" t="s">
        <v>29</v>
      </c>
    </row>
    <row r="310" spans="2:34" s="188" customFormat="1" ht="16" customHeight="1">
      <c r="B310" s="6"/>
      <c r="C310" s="6"/>
      <c r="D310" s="9"/>
      <c r="K310" s="13"/>
      <c r="U310" s="269" t="s">
        <v>1525</v>
      </c>
      <c r="W310" s="188" t="s">
        <v>19</v>
      </c>
      <c r="X310" s="188" t="s">
        <v>4</v>
      </c>
      <c r="Z310" s="188" t="s">
        <v>52</v>
      </c>
      <c r="AA310" s="188" t="s">
        <v>15</v>
      </c>
      <c r="AE310" s="6"/>
      <c r="AG310" s="188" t="s">
        <v>1525</v>
      </c>
      <c r="AH310" s="188" t="s">
        <v>21</v>
      </c>
    </row>
    <row r="311" spans="2:34" s="188" customFormat="1" ht="16" customHeight="1">
      <c r="B311" s="6"/>
      <c r="C311" s="6"/>
      <c r="D311" s="9"/>
      <c r="K311" s="13"/>
      <c r="U311" s="269" t="s">
        <v>1384</v>
      </c>
      <c r="W311" s="188" t="s">
        <v>51</v>
      </c>
      <c r="X311" s="188" t="s">
        <v>5</v>
      </c>
      <c r="Z311" s="188" t="s">
        <v>20</v>
      </c>
      <c r="AA311" s="188" t="s">
        <v>6</v>
      </c>
      <c r="AE311" s="6"/>
      <c r="AG311" s="188" t="s">
        <v>1384</v>
      </c>
      <c r="AH311" s="188" t="s">
        <v>24</v>
      </c>
    </row>
    <row r="312" spans="2:34" s="188" customFormat="1" ht="16" customHeight="1">
      <c r="B312" s="6"/>
      <c r="C312" s="6"/>
      <c r="D312" s="9"/>
      <c r="K312" s="13"/>
      <c r="U312" s="269" t="s">
        <v>1318</v>
      </c>
      <c r="W312" s="188" t="s">
        <v>20</v>
      </c>
      <c r="X312" s="188" t="s">
        <v>6</v>
      </c>
      <c r="Z312" s="188" t="s">
        <v>43</v>
      </c>
      <c r="AA312" s="188" t="s">
        <v>32</v>
      </c>
      <c r="AE312" s="6"/>
      <c r="AG312" s="188" t="s">
        <v>1318</v>
      </c>
      <c r="AH312" s="188" t="s">
        <v>51</v>
      </c>
    </row>
    <row r="313" spans="2:34" s="188" customFormat="1" ht="16" customHeight="1">
      <c r="B313" s="6"/>
      <c r="C313" s="6"/>
      <c r="D313" s="9"/>
      <c r="K313" s="13"/>
      <c r="U313" s="269" t="s">
        <v>1528</v>
      </c>
      <c r="W313" s="188" t="s">
        <v>21</v>
      </c>
      <c r="X313" s="188" t="s">
        <v>7</v>
      </c>
      <c r="Z313" s="188" t="s">
        <v>24</v>
      </c>
      <c r="AA313" s="188" t="s">
        <v>10</v>
      </c>
      <c r="AE313" s="6"/>
      <c r="AG313" s="188" t="s">
        <v>1528</v>
      </c>
      <c r="AH313" s="188" t="s">
        <v>18</v>
      </c>
    </row>
    <row r="314" spans="2:34" s="188" customFormat="1" ht="16" customHeight="1">
      <c r="B314" s="6"/>
      <c r="C314" s="6"/>
      <c r="D314" s="9"/>
      <c r="K314" s="13"/>
      <c r="U314" s="269" t="s">
        <v>1839</v>
      </c>
      <c r="W314" s="188" t="s">
        <v>22</v>
      </c>
      <c r="X314" s="188" t="s">
        <v>8</v>
      </c>
      <c r="Z314" s="188" t="s">
        <v>33</v>
      </c>
      <c r="AA314" s="188" t="s">
        <v>13</v>
      </c>
      <c r="AE314" s="6"/>
      <c r="AG314" s="188" t="s">
        <v>1839</v>
      </c>
      <c r="AH314" s="188" t="s">
        <v>18</v>
      </c>
    </row>
    <row r="315" spans="2:34" s="188" customFormat="1" ht="16" customHeight="1">
      <c r="B315" s="6"/>
      <c r="C315" s="6"/>
      <c r="D315" s="9"/>
      <c r="K315" s="13"/>
      <c r="U315" s="269" t="s">
        <v>1563</v>
      </c>
      <c r="W315" s="188" t="s">
        <v>18</v>
      </c>
      <c r="X315" s="188" t="s">
        <v>3</v>
      </c>
      <c r="Z315" s="188" t="s">
        <v>29</v>
      </c>
      <c r="AA315" s="188" t="s">
        <v>1</v>
      </c>
      <c r="AE315" s="6"/>
      <c r="AG315" s="188" t="s">
        <v>1563</v>
      </c>
      <c r="AH315" s="188" t="s">
        <v>22</v>
      </c>
    </row>
    <row r="316" spans="2:34" s="188" customFormat="1" ht="16" customHeight="1">
      <c r="B316" s="6"/>
      <c r="C316" s="6"/>
      <c r="D316" s="9"/>
      <c r="K316" s="13"/>
      <c r="U316" s="269" t="s">
        <v>1657</v>
      </c>
      <c r="W316" s="188" t="s">
        <v>26</v>
      </c>
      <c r="X316" s="188" t="s">
        <v>12</v>
      </c>
      <c r="Z316" s="188" t="s">
        <v>25</v>
      </c>
      <c r="AA316" s="188" t="s">
        <v>11</v>
      </c>
      <c r="AE316" s="6"/>
      <c r="AG316" s="188" t="s">
        <v>1657</v>
      </c>
      <c r="AH316" s="188" t="s">
        <v>23</v>
      </c>
    </row>
    <row r="317" spans="2:34" s="188" customFormat="1" ht="16" customHeight="1">
      <c r="B317" s="6"/>
      <c r="C317" s="6"/>
      <c r="D317" s="9"/>
      <c r="K317" s="13"/>
      <c r="U317" s="269" t="s">
        <v>1602</v>
      </c>
      <c r="W317" s="188" t="s">
        <v>17</v>
      </c>
      <c r="X317" s="188" t="s">
        <v>0</v>
      </c>
      <c r="Z317" s="188" t="s">
        <v>23</v>
      </c>
      <c r="AA317" s="188" t="s">
        <v>9</v>
      </c>
      <c r="AE317" s="6"/>
      <c r="AG317" s="188" t="s">
        <v>1602</v>
      </c>
      <c r="AH317" s="188" t="s">
        <v>22</v>
      </c>
    </row>
    <row r="318" spans="2:34" s="188" customFormat="1" ht="16" customHeight="1">
      <c r="B318" s="6"/>
      <c r="C318" s="6"/>
      <c r="D318" s="9"/>
      <c r="K318" s="13"/>
      <c r="U318" s="269" t="s">
        <v>1367</v>
      </c>
      <c r="W318" s="188" t="s">
        <v>30</v>
      </c>
      <c r="X318" s="188" t="s">
        <v>2</v>
      </c>
      <c r="Z318" s="188" t="s">
        <v>633</v>
      </c>
      <c r="AA318" s="188" t="s">
        <v>1221</v>
      </c>
      <c r="AE318" s="6"/>
      <c r="AG318" s="188" t="s">
        <v>1367</v>
      </c>
      <c r="AH318" s="188" t="s">
        <v>30</v>
      </c>
    </row>
    <row r="319" spans="2:34" s="188" customFormat="1" ht="16" customHeight="1">
      <c r="B319" s="6"/>
      <c r="C319" s="6"/>
      <c r="D319" s="9"/>
      <c r="K319" s="13"/>
      <c r="U319" s="269" t="s">
        <v>1351</v>
      </c>
      <c r="W319" s="188" t="s">
        <v>52</v>
      </c>
      <c r="X319" s="188" t="s">
        <v>15</v>
      </c>
      <c r="Z319" s="188" t="s">
        <v>28</v>
      </c>
      <c r="AA319" s="188" t="s">
        <v>16</v>
      </c>
      <c r="AE319" s="6"/>
      <c r="AG319" s="188" t="s">
        <v>1351</v>
      </c>
      <c r="AH319" s="188" t="s">
        <v>29</v>
      </c>
    </row>
    <row r="320" spans="2:34" s="188" customFormat="1" ht="16" customHeight="1">
      <c r="B320" s="6"/>
      <c r="C320" s="6"/>
      <c r="D320" s="9"/>
      <c r="K320" s="13"/>
      <c r="U320" s="269" t="s">
        <v>1878</v>
      </c>
      <c r="W320" s="188" t="s">
        <v>634</v>
      </c>
      <c r="X320" s="188" t="s">
        <v>1220</v>
      </c>
      <c r="Z320" s="188" t="s">
        <v>19</v>
      </c>
      <c r="AA320" s="188" t="s">
        <v>4</v>
      </c>
      <c r="AE320" s="6"/>
      <c r="AG320" s="188" t="s">
        <v>1878</v>
      </c>
      <c r="AH320" s="188" t="s">
        <v>21</v>
      </c>
    </row>
    <row r="321" spans="2:34" s="188" customFormat="1" ht="16" customHeight="1">
      <c r="B321" s="6"/>
      <c r="C321" s="6"/>
      <c r="D321" s="9"/>
      <c r="K321" s="13"/>
      <c r="U321" s="269" t="s">
        <v>1728</v>
      </c>
      <c r="W321" s="188" t="s">
        <v>27</v>
      </c>
      <c r="X321" s="188" t="s">
        <v>14</v>
      </c>
      <c r="Z321" s="188" t="s">
        <v>51</v>
      </c>
      <c r="AA321" s="188" t="s">
        <v>5</v>
      </c>
      <c r="AE321" s="6"/>
      <c r="AG321" s="188" t="s">
        <v>1728</v>
      </c>
      <c r="AH321" s="188" t="s">
        <v>33</v>
      </c>
    </row>
    <row r="322" spans="2:34" s="188" customFormat="1" ht="16" customHeight="1">
      <c r="B322" s="6"/>
      <c r="C322" s="6"/>
      <c r="D322" s="9"/>
      <c r="K322" s="13"/>
      <c r="U322" s="269" t="s">
        <v>1445</v>
      </c>
      <c r="W322" s="188" t="s">
        <v>28</v>
      </c>
      <c r="X322" s="188" t="s">
        <v>16</v>
      </c>
      <c r="Z322" s="188" t="s">
        <v>634</v>
      </c>
      <c r="AA322" s="188" t="s">
        <v>1220</v>
      </c>
      <c r="AE322" s="6"/>
      <c r="AG322" s="188" t="s">
        <v>1445</v>
      </c>
      <c r="AH322" s="188" t="s">
        <v>33</v>
      </c>
    </row>
    <row r="323" spans="2:34" s="188" customFormat="1" ht="16" customHeight="1">
      <c r="B323" s="6"/>
      <c r="C323" s="6"/>
      <c r="D323" s="9"/>
      <c r="K323" s="13"/>
      <c r="U323" s="269" t="s">
        <v>1833</v>
      </c>
      <c r="W323" s="188" t="s">
        <v>21</v>
      </c>
      <c r="X323" s="188" t="s">
        <v>7</v>
      </c>
      <c r="Z323" s="188" t="s">
        <v>23</v>
      </c>
      <c r="AA323" s="188" t="s">
        <v>9</v>
      </c>
      <c r="AE323" s="6"/>
      <c r="AG323" s="188" t="s">
        <v>1833</v>
      </c>
      <c r="AH323" s="188" t="s">
        <v>43</v>
      </c>
    </row>
    <row r="324" spans="2:34" s="188" customFormat="1" ht="16" customHeight="1">
      <c r="B324" s="6"/>
      <c r="C324" s="6"/>
      <c r="D324" s="9"/>
      <c r="K324" s="13"/>
      <c r="U324" s="269" t="s">
        <v>1403</v>
      </c>
      <c r="W324" s="188" t="s">
        <v>18</v>
      </c>
      <c r="X324" s="188" t="s">
        <v>3</v>
      </c>
      <c r="Z324" s="188" t="s">
        <v>30</v>
      </c>
      <c r="AA324" s="188" t="s">
        <v>2</v>
      </c>
      <c r="AE324" s="6"/>
      <c r="AG324" s="188" t="s">
        <v>1403</v>
      </c>
      <c r="AH324" s="188" t="s">
        <v>20</v>
      </c>
    </row>
    <row r="325" spans="2:34" s="188" customFormat="1" ht="16" customHeight="1">
      <c r="B325" s="6"/>
      <c r="C325" s="6"/>
      <c r="D325" s="9"/>
      <c r="K325" s="13"/>
      <c r="U325" s="269" t="s">
        <v>1633</v>
      </c>
      <c r="W325" s="188" t="s">
        <v>26</v>
      </c>
      <c r="X325" s="188" t="s">
        <v>12</v>
      </c>
      <c r="Z325" s="188" t="s">
        <v>27</v>
      </c>
      <c r="AA325" s="188" t="s">
        <v>14</v>
      </c>
      <c r="AE325" s="6"/>
      <c r="AG325" s="188" t="s">
        <v>1633</v>
      </c>
      <c r="AH325" s="188" t="s">
        <v>26</v>
      </c>
    </row>
    <row r="326" spans="2:34" s="188" customFormat="1" ht="16" customHeight="1">
      <c r="B326" s="6"/>
      <c r="C326" s="6"/>
      <c r="D326" s="9"/>
      <c r="K326" s="13"/>
      <c r="U326" s="269" t="s">
        <v>1304</v>
      </c>
      <c r="W326" s="188" t="s">
        <v>24</v>
      </c>
      <c r="X326" s="188" t="s">
        <v>10</v>
      </c>
      <c r="Z326" s="188" t="s">
        <v>17</v>
      </c>
      <c r="AA326" s="188" t="s">
        <v>0</v>
      </c>
      <c r="AE326" s="6"/>
      <c r="AG326" s="188" t="s">
        <v>1304</v>
      </c>
      <c r="AH326" s="188" t="s">
        <v>43</v>
      </c>
    </row>
    <row r="327" spans="2:34" s="188" customFormat="1" ht="16" customHeight="1">
      <c r="B327" s="6"/>
      <c r="C327" s="6"/>
      <c r="D327" s="9"/>
      <c r="K327" s="13"/>
      <c r="U327" s="269" t="s">
        <v>1654</v>
      </c>
      <c r="W327" s="188" t="s">
        <v>633</v>
      </c>
      <c r="X327" s="188" t="s">
        <v>1221</v>
      </c>
      <c r="Z327" s="188" t="s">
        <v>51</v>
      </c>
      <c r="AA327" s="188" t="s">
        <v>5</v>
      </c>
      <c r="AE327" s="6"/>
      <c r="AG327" s="188" t="s">
        <v>1654</v>
      </c>
      <c r="AH327" s="188" t="s">
        <v>28</v>
      </c>
    </row>
    <row r="328" spans="2:34" s="188" customFormat="1" ht="16" customHeight="1">
      <c r="B328" s="6"/>
      <c r="C328" s="6"/>
      <c r="D328" s="9"/>
      <c r="K328" s="13"/>
      <c r="U328" s="269" t="s">
        <v>1779</v>
      </c>
      <c r="W328" s="188" t="s">
        <v>29</v>
      </c>
      <c r="X328" s="188" t="s">
        <v>1</v>
      </c>
      <c r="Z328" s="188" t="s">
        <v>20</v>
      </c>
      <c r="AA328" s="188" t="s">
        <v>6</v>
      </c>
      <c r="AE328" s="6"/>
      <c r="AG328" s="188" t="s">
        <v>1779</v>
      </c>
      <c r="AH328" s="188" t="s">
        <v>26</v>
      </c>
    </row>
    <row r="329" spans="2:34" s="188" customFormat="1" ht="16" customHeight="1">
      <c r="B329" s="6"/>
      <c r="C329" s="6"/>
      <c r="D329" s="9"/>
      <c r="L329" s="26"/>
      <c r="U329" s="269" t="s">
        <v>1298</v>
      </c>
      <c r="W329" s="188" t="s">
        <v>25</v>
      </c>
      <c r="X329" s="188" t="s">
        <v>11</v>
      </c>
      <c r="Z329" s="188" t="s">
        <v>43</v>
      </c>
      <c r="AA329" s="188" t="s">
        <v>32</v>
      </c>
      <c r="AE329" s="6"/>
      <c r="AG329" s="188" t="s">
        <v>1298</v>
      </c>
      <c r="AH329" s="188" t="s">
        <v>20</v>
      </c>
    </row>
    <row r="330" spans="2:34" s="188" customFormat="1" ht="16" customHeight="1">
      <c r="B330" s="6"/>
      <c r="C330" s="6"/>
      <c r="D330" s="9"/>
      <c r="L330" s="42"/>
      <c r="U330" s="269" t="s">
        <v>1582</v>
      </c>
      <c r="W330" s="188" t="s">
        <v>52</v>
      </c>
      <c r="X330" s="188" t="s">
        <v>15</v>
      </c>
      <c r="Z330" s="188" t="s">
        <v>22</v>
      </c>
      <c r="AA330" s="188" t="s">
        <v>8</v>
      </c>
      <c r="AE330" s="6"/>
      <c r="AG330" s="188" t="s">
        <v>1582</v>
      </c>
      <c r="AH330" s="188" t="s">
        <v>29</v>
      </c>
    </row>
    <row r="331" spans="2:34" s="188" customFormat="1" ht="16" customHeight="1">
      <c r="B331" s="6"/>
      <c r="C331" s="6"/>
      <c r="D331" s="9"/>
      <c r="L331" s="42"/>
      <c r="U331" s="269" t="s">
        <v>1316</v>
      </c>
      <c r="W331" s="188" t="s">
        <v>19</v>
      </c>
      <c r="X331" s="188" t="s">
        <v>4</v>
      </c>
      <c r="Z331" s="188" t="s">
        <v>33</v>
      </c>
      <c r="AA331" s="188" t="s">
        <v>13</v>
      </c>
      <c r="AE331" s="6"/>
      <c r="AG331" s="188" t="s">
        <v>1316</v>
      </c>
      <c r="AH331" s="188" t="s">
        <v>33</v>
      </c>
    </row>
    <row r="332" spans="2:34" s="188" customFormat="1" ht="16" customHeight="1">
      <c r="B332" s="6"/>
      <c r="C332" s="6"/>
      <c r="D332" s="9"/>
      <c r="L332" s="42"/>
      <c r="U332" s="269" t="s">
        <v>1794</v>
      </c>
      <c r="W332" s="188" t="s">
        <v>43</v>
      </c>
      <c r="X332" s="188" t="s">
        <v>32</v>
      </c>
      <c r="Z332" s="188" t="s">
        <v>633</v>
      </c>
      <c r="AA332" s="188" t="s">
        <v>1221</v>
      </c>
      <c r="AE332" s="6"/>
      <c r="AG332" s="188" t="s">
        <v>1794</v>
      </c>
      <c r="AH332" s="188" t="s">
        <v>633</v>
      </c>
    </row>
    <row r="333" spans="2:34" s="188" customFormat="1" ht="16" customHeight="1">
      <c r="B333" s="6"/>
      <c r="C333" s="6"/>
      <c r="D333" s="9"/>
      <c r="L333" s="42"/>
      <c r="U333" s="269" t="s">
        <v>1513</v>
      </c>
      <c r="W333" s="188" t="s">
        <v>20</v>
      </c>
      <c r="X333" s="188" t="s">
        <v>6</v>
      </c>
      <c r="Z333" s="188" t="s">
        <v>25</v>
      </c>
      <c r="AA333" s="188" t="s">
        <v>11</v>
      </c>
      <c r="AE333" s="6"/>
      <c r="AG333" s="188" t="s">
        <v>1513</v>
      </c>
      <c r="AH333" s="188" t="s">
        <v>21</v>
      </c>
    </row>
    <row r="334" spans="2:34" s="188" customFormat="1" ht="16" customHeight="1">
      <c r="B334" s="6"/>
      <c r="C334" s="6"/>
      <c r="D334" s="9"/>
      <c r="L334" s="42"/>
      <c r="U334" s="269" t="s">
        <v>1705</v>
      </c>
      <c r="W334" s="188" t="s">
        <v>33</v>
      </c>
      <c r="X334" s="188" t="s">
        <v>13</v>
      </c>
      <c r="Z334" s="188" t="s">
        <v>18</v>
      </c>
      <c r="AA334" s="188" t="s">
        <v>3</v>
      </c>
      <c r="AE334" s="6"/>
      <c r="AG334" s="188" t="s">
        <v>1705</v>
      </c>
      <c r="AH334" s="188" t="s">
        <v>23</v>
      </c>
    </row>
    <row r="335" spans="2:34" s="188" customFormat="1" ht="16" customHeight="1">
      <c r="B335" s="6"/>
      <c r="C335" s="6"/>
      <c r="D335" s="9"/>
      <c r="L335" s="42"/>
      <c r="U335" s="269" t="s">
        <v>1642</v>
      </c>
      <c r="W335" s="188" t="s">
        <v>22</v>
      </c>
      <c r="X335" s="188" t="s">
        <v>8</v>
      </c>
      <c r="Z335" s="188" t="s">
        <v>29</v>
      </c>
      <c r="AA335" s="188" t="s">
        <v>1</v>
      </c>
      <c r="AE335" s="6"/>
      <c r="AG335" s="188" t="s">
        <v>1642</v>
      </c>
      <c r="AH335" s="188" t="s">
        <v>20</v>
      </c>
    </row>
    <row r="336" spans="2:34" s="188" customFormat="1" ht="16" customHeight="1">
      <c r="B336" s="6"/>
      <c r="C336" s="6"/>
      <c r="D336" s="9"/>
      <c r="L336" s="42"/>
      <c r="U336" s="269" t="s">
        <v>1764</v>
      </c>
      <c r="W336" s="188" t="s">
        <v>23</v>
      </c>
      <c r="X336" s="188" t="s">
        <v>9</v>
      </c>
      <c r="Z336" s="188" t="s">
        <v>28</v>
      </c>
      <c r="AA336" s="188" t="s">
        <v>16</v>
      </c>
      <c r="AE336" s="6"/>
      <c r="AG336" s="188" t="s">
        <v>1764</v>
      </c>
      <c r="AH336" s="188" t="s">
        <v>19</v>
      </c>
    </row>
    <row r="337" spans="2:34" s="188" customFormat="1" ht="16" customHeight="1">
      <c r="B337" s="6"/>
      <c r="C337" s="6"/>
      <c r="D337" s="9"/>
      <c r="L337" s="42"/>
      <c r="U337" s="269" t="s">
        <v>1311</v>
      </c>
      <c r="W337" s="188" t="s">
        <v>17</v>
      </c>
      <c r="X337" s="188" t="s">
        <v>0</v>
      </c>
      <c r="Z337" s="188" t="s">
        <v>26</v>
      </c>
      <c r="AA337" s="188" t="s">
        <v>12</v>
      </c>
      <c r="AE337" s="6"/>
      <c r="AG337" s="188" t="s">
        <v>1311</v>
      </c>
      <c r="AH337" s="188" t="s">
        <v>21</v>
      </c>
    </row>
    <row r="338" spans="2:34" s="188" customFormat="1" ht="16" customHeight="1">
      <c r="B338" s="6"/>
      <c r="C338" s="6"/>
      <c r="D338" s="9"/>
      <c r="L338" s="42"/>
      <c r="U338" s="271" t="s">
        <v>1797</v>
      </c>
      <c r="W338" s="188" t="s">
        <v>30</v>
      </c>
      <c r="X338" s="188" t="s">
        <v>2</v>
      </c>
      <c r="Z338" s="188" t="s">
        <v>21</v>
      </c>
      <c r="AA338" s="188" t="s">
        <v>7</v>
      </c>
      <c r="AE338" s="6"/>
      <c r="AG338" t="s">
        <v>1797</v>
      </c>
      <c r="AH338" t="s">
        <v>51</v>
      </c>
    </row>
    <row r="339" spans="2:34" s="188" customFormat="1" ht="16" customHeight="1">
      <c r="B339" s="6"/>
      <c r="C339" s="6"/>
      <c r="D339" s="9"/>
      <c r="L339" s="42"/>
      <c r="U339" s="269" t="s">
        <v>1497</v>
      </c>
      <c r="W339" s="188" t="s">
        <v>634</v>
      </c>
      <c r="X339" s="188" t="s">
        <v>1220</v>
      </c>
      <c r="Z339" s="188" t="s">
        <v>52</v>
      </c>
      <c r="AA339" s="188" t="s">
        <v>15</v>
      </c>
      <c r="AE339" s="6"/>
      <c r="AG339" s="188" t="s">
        <v>1497</v>
      </c>
      <c r="AH339" s="188" t="s">
        <v>25</v>
      </c>
    </row>
    <row r="340" spans="2:34" s="188" customFormat="1" ht="16" customHeight="1">
      <c r="B340" s="6"/>
      <c r="C340" s="6"/>
      <c r="D340" s="9"/>
      <c r="L340" s="42"/>
      <c r="U340" s="269" t="s">
        <v>1489</v>
      </c>
      <c r="W340" s="188" t="s">
        <v>27</v>
      </c>
      <c r="X340" s="188" t="s">
        <v>14</v>
      </c>
      <c r="Z340" s="188" t="s">
        <v>24</v>
      </c>
      <c r="AA340" s="188" t="s">
        <v>10</v>
      </c>
      <c r="AE340" s="6"/>
      <c r="AG340" s="188" t="s">
        <v>1489</v>
      </c>
      <c r="AH340" s="188" t="s">
        <v>24</v>
      </c>
    </row>
    <row r="341" spans="2:34" s="188" customFormat="1" ht="16" customHeight="1">
      <c r="B341" s="6"/>
      <c r="C341" s="6"/>
      <c r="D341" s="9"/>
      <c r="L341" s="42"/>
      <c r="U341" s="269" t="s">
        <v>1850</v>
      </c>
      <c r="W341" s="188" t="s">
        <v>51</v>
      </c>
      <c r="X341" s="188" t="s">
        <v>5</v>
      </c>
      <c r="Z341" s="188" t="s">
        <v>19</v>
      </c>
      <c r="AA341" s="188" t="s">
        <v>4</v>
      </c>
      <c r="AE341" s="6"/>
      <c r="AG341" s="188" t="s">
        <v>1850</v>
      </c>
      <c r="AH341" s="188" t="s">
        <v>21</v>
      </c>
    </row>
    <row r="342" spans="2:34" s="188" customFormat="1" ht="16" customHeight="1">
      <c r="B342" s="6"/>
      <c r="C342" s="6"/>
      <c r="D342" s="9"/>
      <c r="L342" s="42"/>
      <c r="U342" s="269" t="s">
        <v>1505</v>
      </c>
      <c r="W342" s="188" t="s">
        <v>43</v>
      </c>
      <c r="X342" s="188" t="s">
        <v>32</v>
      </c>
      <c r="Z342" s="188" t="s">
        <v>26</v>
      </c>
      <c r="AA342" s="188" t="s">
        <v>12</v>
      </c>
      <c r="AE342" s="6"/>
      <c r="AG342" s="188" t="s">
        <v>1505</v>
      </c>
      <c r="AH342" s="188" t="s">
        <v>30</v>
      </c>
    </row>
    <row r="343" spans="2:34" s="188" customFormat="1" ht="16" customHeight="1">
      <c r="B343" s="6"/>
      <c r="C343" s="6"/>
      <c r="D343" s="9"/>
      <c r="L343" s="42"/>
      <c r="U343" s="269" t="s">
        <v>1766</v>
      </c>
      <c r="W343" s="188" t="s">
        <v>20</v>
      </c>
      <c r="X343" s="188" t="s">
        <v>6</v>
      </c>
      <c r="Z343" s="188" t="s">
        <v>23</v>
      </c>
      <c r="AA343" s="188" t="s">
        <v>9</v>
      </c>
      <c r="AE343" s="6"/>
      <c r="AG343" s="188" t="s">
        <v>1766</v>
      </c>
      <c r="AH343" s="188" t="s">
        <v>27</v>
      </c>
    </row>
    <row r="344" spans="2:34" s="188" customFormat="1" ht="16" customHeight="1">
      <c r="B344" s="6"/>
      <c r="C344" s="6"/>
      <c r="D344" s="9"/>
      <c r="L344" s="42"/>
      <c r="U344" s="269" t="s">
        <v>1579</v>
      </c>
      <c r="W344" s="188" t="s">
        <v>28</v>
      </c>
      <c r="X344" s="188" t="s">
        <v>16</v>
      </c>
      <c r="Z344" s="188" t="s">
        <v>19</v>
      </c>
      <c r="AA344" s="188" t="s">
        <v>4</v>
      </c>
      <c r="AE344" s="6"/>
      <c r="AG344" s="188" t="s">
        <v>1579</v>
      </c>
      <c r="AH344" s="188" t="s">
        <v>17</v>
      </c>
    </row>
    <row r="345" spans="2:34" s="188" customFormat="1" ht="16" customHeight="1">
      <c r="B345" s="6"/>
      <c r="C345" s="6"/>
      <c r="D345" s="9"/>
      <c r="L345" s="42"/>
      <c r="U345" s="271" t="s">
        <v>1847</v>
      </c>
      <c r="W345" s="188" t="s">
        <v>21</v>
      </c>
      <c r="X345" s="188" t="s">
        <v>7</v>
      </c>
      <c r="Z345" s="188" t="s">
        <v>27</v>
      </c>
      <c r="AA345" s="188" t="s">
        <v>14</v>
      </c>
      <c r="AE345" s="6"/>
      <c r="AG345" s="188" t="s">
        <v>1847</v>
      </c>
      <c r="AH345" s="188" t="s">
        <v>19</v>
      </c>
    </row>
    <row r="346" spans="2:34" s="188" customFormat="1" ht="16" customHeight="1">
      <c r="B346" s="6"/>
      <c r="C346" s="6"/>
      <c r="D346" s="9"/>
      <c r="L346" s="42"/>
      <c r="U346" s="269" t="s">
        <v>1696</v>
      </c>
      <c r="W346" s="188" t="s">
        <v>18</v>
      </c>
      <c r="X346" s="188" t="s">
        <v>3</v>
      </c>
      <c r="Z346" s="188" t="s">
        <v>52</v>
      </c>
      <c r="AA346" s="188" t="s">
        <v>15</v>
      </c>
      <c r="AE346" s="6"/>
      <c r="AG346" s="188" t="s">
        <v>1696</v>
      </c>
      <c r="AH346" s="188" t="s">
        <v>21</v>
      </c>
    </row>
    <row r="347" spans="2:34" s="188" customFormat="1" ht="16" customHeight="1">
      <c r="B347" s="6"/>
      <c r="C347" s="6"/>
      <c r="D347" s="9"/>
      <c r="L347" s="42"/>
      <c r="U347" s="269" t="s">
        <v>1829</v>
      </c>
      <c r="W347" s="188" t="s">
        <v>24</v>
      </c>
      <c r="X347" s="188" t="s">
        <v>10</v>
      </c>
      <c r="Z347" s="188" t="s">
        <v>29</v>
      </c>
      <c r="AA347" s="188" t="s">
        <v>1</v>
      </c>
      <c r="AE347" s="6"/>
      <c r="AG347" s="188" t="s">
        <v>1829</v>
      </c>
      <c r="AH347" s="188" t="s">
        <v>27</v>
      </c>
    </row>
    <row r="348" spans="2:34" s="188" customFormat="1" ht="16" customHeight="1">
      <c r="B348" s="6"/>
      <c r="C348" s="6"/>
      <c r="D348" s="9"/>
      <c r="L348" s="42"/>
      <c r="U348" s="269" t="s">
        <v>1631</v>
      </c>
      <c r="W348" s="188" t="s">
        <v>633</v>
      </c>
      <c r="X348" s="188" t="s">
        <v>1221</v>
      </c>
      <c r="Z348" s="188" t="s">
        <v>22</v>
      </c>
      <c r="AA348" s="188" t="s">
        <v>8</v>
      </c>
      <c r="AE348" s="6"/>
      <c r="AG348" s="188" t="s">
        <v>1631</v>
      </c>
      <c r="AH348" s="188" t="s">
        <v>22</v>
      </c>
    </row>
    <row r="349" spans="2:34" s="188" customFormat="1" ht="16" customHeight="1">
      <c r="B349" s="6"/>
      <c r="C349" s="6"/>
      <c r="D349" s="9"/>
      <c r="L349" s="42"/>
      <c r="U349" s="269" t="s">
        <v>1664</v>
      </c>
      <c r="W349" s="188" t="s">
        <v>30</v>
      </c>
      <c r="X349" s="188" t="s">
        <v>2</v>
      </c>
      <c r="Z349" s="188" t="s">
        <v>17</v>
      </c>
      <c r="AA349" s="188" t="s">
        <v>0</v>
      </c>
      <c r="AE349" s="6"/>
      <c r="AG349" s="188" t="s">
        <v>1664</v>
      </c>
      <c r="AH349" s="188" t="s">
        <v>27</v>
      </c>
    </row>
    <row r="350" spans="2:34" s="188" customFormat="1" ht="16" customHeight="1">
      <c r="B350" s="6"/>
      <c r="C350" s="6"/>
      <c r="D350" s="9"/>
      <c r="L350" s="42"/>
      <c r="U350" s="269" t="s">
        <v>1830</v>
      </c>
      <c r="W350" s="188" t="s">
        <v>25</v>
      </c>
      <c r="X350" s="188" t="s">
        <v>11</v>
      </c>
      <c r="Z350" s="188" t="s">
        <v>33</v>
      </c>
      <c r="AA350" s="188" t="s">
        <v>13</v>
      </c>
      <c r="AE350" s="6"/>
      <c r="AG350" s="188" t="s">
        <v>1830</v>
      </c>
      <c r="AH350" s="188" t="s">
        <v>28</v>
      </c>
    </row>
    <row r="351" spans="2:34" s="188" customFormat="1" ht="16" customHeight="1">
      <c r="B351" s="6"/>
      <c r="C351" s="6"/>
      <c r="D351" s="9"/>
      <c r="L351" s="42"/>
      <c r="U351" s="269" t="s">
        <v>1575</v>
      </c>
      <c r="W351" s="188" t="s">
        <v>51</v>
      </c>
      <c r="X351" s="188" t="s">
        <v>5</v>
      </c>
      <c r="Z351" s="188" t="s">
        <v>634</v>
      </c>
      <c r="AA351" s="188" t="s">
        <v>1220</v>
      </c>
      <c r="AE351" s="6"/>
      <c r="AG351" s="188" t="s">
        <v>1575</v>
      </c>
      <c r="AH351" s="188" t="s">
        <v>633</v>
      </c>
    </row>
    <row r="352" spans="2:34" s="188" customFormat="1" ht="16" customHeight="1">
      <c r="B352" s="6"/>
      <c r="C352" s="6"/>
      <c r="D352" s="9"/>
      <c r="L352" s="42"/>
      <c r="U352" s="269" t="s">
        <v>1310</v>
      </c>
      <c r="W352" s="188" t="s">
        <v>33</v>
      </c>
      <c r="X352" s="188" t="s">
        <v>13</v>
      </c>
      <c r="Z352" s="188" t="s">
        <v>51</v>
      </c>
      <c r="AA352" s="188" t="s">
        <v>5</v>
      </c>
      <c r="AE352" s="6"/>
      <c r="AG352" s="188" t="s">
        <v>1310</v>
      </c>
      <c r="AH352" s="188" t="s">
        <v>20</v>
      </c>
    </row>
    <row r="353" spans="2:34" s="188" customFormat="1" ht="16" customHeight="1">
      <c r="B353" s="6"/>
      <c r="C353" s="6"/>
      <c r="D353" s="9"/>
      <c r="L353" s="42"/>
      <c r="U353" s="269" t="s">
        <v>1638</v>
      </c>
      <c r="W353" s="188" t="s">
        <v>22</v>
      </c>
      <c r="X353" s="188" t="s">
        <v>8</v>
      </c>
      <c r="Z353" s="188" t="s">
        <v>28</v>
      </c>
      <c r="AA353" s="188" t="s">
        <v>16</v>
      </c>
      <c r="AE353" s="6"/>
      <c r="AG353" s="188" t="s">
        <v>1638</v>
      </c>
      <c r="AH353" s="188" t="s">
        <v>30</v>
      </c>
    </row>
    <row r="354" spans="2:34" s="188" customFormat="1" ht="16" customHeight="1">
      <c r="B354" s="6"/>
      <c r="C354" s="6"/>
      <c r="D354" s="9"/>
      <c r="L354" s="42"/>
      <c r="U354" s="271" t="s">
        <v>1894</v>
      </c>
      <c r="W354" s="188" t="s">
        <v>26</v>
      </c>
      <c r="X354" s="188" t="s">
        <v>12</v>
      </c>
      <c r="Z354" s="188" t="s">
        <v>24</v>
      </c>
      <c r="AA354" s="188" t="s">
        <v>10</v>
      </c>
      <c r="AE354" s="6"/>
      <c r="AG354" s="188" t="s">
        <v>1894</v>
      </c>
      <c r="AH354" s="188" t="s">
        <v>634</v>
      </c>
    </row>
    <row r="355" spans="2:34" s="188" customFormat="1" ht="16" customHeight="1">
      <c r="B355" s="6"/>
      <c r="C355" s="6"/>
      <c r="D355" s="9"/>
      <c r="L355" s="42"/>
      <c r="U355" s="269" t="s">
        <v>1421</v>
      </c>
      <c r="W355" s="188" t="s">
        <v>23</v>
      </c>
      <c r="X355" s="188" t="s">
        <v>9</v>
      </c>
      <c r="Z355" s="188" t="s">
        <v>43</v>
      </c>
      <c r="AA355" s="188" t="s">
        <v>32</v>
      </c>
      <c r="AE355" s="6"/>
      <c r="AG355" s="188" t="s">
        <v>1421</v>
      </c>
      <c r="AH355" s="188" t="s">
        <v>28</v>
      </c>
    </row>
    <row r="356" spans="2:34" s="188" customFormat="1" ht="16" customHeight="1">
      <c r="B356" s="6"/>
      <c r="C356" s="6"/>
      <c r="D356" s="9"/>
      <c r="L356" s="42"/>
      <c r="U356" s="269" t="s">
        <v>1789</v>
      </c>
      <c r="W356" s="188" t="s">
        <v>17</v>
      </c>
      <c r="X356" s="188" t="s">
        <v>0</v>
      </c>
      <c r="Z356" s="188" t="s">
        <v>18</v>
      </c>
      <c r="AA356" s="188" t="s">
        <v>3</v>
      </c>
      <c r="AE356" s="6"/>
      <c r="AG356" s="188" t="s">
        <v>1789</v>
      </c>
      <c r="AH356" s="188" t="s">
        <v>51</v>
      </c>
    </row>
    <row r="357" spans="2:34" s="188" customFormat="1" ht="16" customHeight="1">
      <c r="B357" s="6"/>
      <c r="C357" s="6"/>
      <c r="D357" s="9"/>
      <c r="L357" s="42"/>
      <c r="U357" s="269" t="s">
        <v>1600</v>
      </c>
      <c r="W357" s="188" t="s">
        <v>29</v>
      </c>
      <c r="X357" s="188" t="s">
        <v>1</v>
      </c>
      <c r="Z357" s="188" t="s">
        <v>21</v>
      </c>
      <c r="AA357" s="188" t="s">
        <v>7</v>
      </c>
      <c r="AE357" s="6"/>
      <c r="AG357" s="188" t="s">
        <v>1600</v>
      </c>
      <c r="AH357" s="188" t="s">
        <v>22</v>
      </c>
    </row>
    <row r="358" spans="2:34" s="188" customFormat="1" ht="16" customHeight="1">
      <c r="B358" s="6"/>
      <c r="C358" s="6"/>
      <c r="D358" s="9"/>
      <c r="L358" s="42"/>
      <c r="U358" s="269" t="s">
        <v>1499</v>
      </c>
      <c r="W358" s="188" t="s">
        <v>52</v>
      </c>
      <c r="X358" s="188" t="s">
        <v>15</v>
      </c>
      <c r="Z358" s="188" t="s">
        <v>25</v>
      </c>
      <c r="AA358" s="188" t="s">
        <v>11</v>
      </c>
      <c r="AE358" s="6"/>
      <c r="AG358" s="188" t="s">
        <v>1499</v>
      </c>
      <c r="AH358" s="188" t="s">
        <v>18</v>
      </c>
    </row>
    <row r="359" spans="2:34" s="188" customFormat="1" ht="16" customHeight="1">
      <c r="B359" s="6"/>
      <c r="C359" s="6"/>
      <c r="D359" s="9"/>
      <c r="L359" s="42"/>
      <c r="U359" s="269" t="s">
        <v>1596</v>
      </c>
      <c r="W359" s="188" t="s">
        <v>634</v>
      </c>
      <c r="X359" s="188" t="s">
        <v>1220</v>
      </c>
      <c r="Z359" s="188" t="s">
        <v>30</v>
      </c>
      <c r="AA359" s="188" t="s">
        <v>2</v>
      </c>
      <c r="AE359" s="6"/>
      <c r="AG359" s="188" t="s">
        <v>1596</v>
      </c>
      <c r="AH359" s="188" t="s">
        <v>43</v>
      </c>
    </row>
    <row r="360" spans="2:34" s="188" customFormat="1" ht="16" customHeight="1">
      <c r="B360" s="6"/>
      <c r="C360" s="6"/>
      <c r="D360" s="9"/>
      <c r="L360" s="42"/>
      <c r="U360" s="269" t="s">
        <v>1549</v>
      </c>
      <c r="W360" s="188" t="s">
        <v>19</v>
      </c>
      <c r="X360" s="188" t="s">
        <v>4</v>
      </c>
      <c r="Z360" s="188" t="s">
        <v>633</v>
      </c>
      <c r="AA360" s="188" t="s">
        <v>1221</v>
      </c>
      <c r="AE360" s="6"/>
      <c r="AG360" s="188" t="s">
        <v>1549</v>
      </c>
      <c r="AH360" s="188" t="s">
        <v>28</v>
      </c>
    </row>
    <row r="361" spans="2:34" s="188" customFormat="1" ht="16" customHeight="1">
      <c r="B361" s="6"/>
      <c r="C361" s="6"/>
      <c r="D361" s="9"/>
      <c r="L361" s="42"/>
      <c r="U361" s="269" t="s">
        <v>1641</v>
      </c>
      <c r="W361" s="188" t="s">
        <v>27</v>
      </c>
      <c r="X361" s="188" t="s">
        <v>14</v>
      </c>
      <c r="Z361" s="188" t="s">
        <v>20</v>
      </c>
      <c r="AA361" s="188" t="s">
        <v>6</v>
      </c>
      <c r="AE361" s="6"/>
      <c r="AG361" s="188" t="s">
        <v>1641</v>
      </c>
      <c r="AH361" s="188" t="s">
        <v>33</v>
      </c>
    </row>
    <row r="362" spans="2:34" s="188" customFormat="1" ht="16" customHeight="1">
      <c r="B362" s="6"/>
      <c r="C362" s="6"/>
      <c r="D362" s="9"/>
      <c r="L362" s="42"/>
      <c r="U362" s="269" t="s">
        <v>1401</v>
      </c>
      <c r="W362" s="188" t="s">
        <v>43</v>
      </c>
      <c r="X362" s="188" t="s">
        <v>32</v>
      </c>
      <c r="Z362" s="188" t="s">
        <v>29</v>
      </c>
      <c r="AA362" s="188" t="s">
        <v>1</v>
      </c>
      <c r="AE362" s="6"/>
      <c r="AG362" s="188" t="s">
        <v>1401</v>
      </c>
      <c r="AH362" s="188" t="s">
        <v>25</v>
      </c>
    </row>
    <row r="363" spans="2:34" s="188" customFormat="1" ht="16" customHeight="1">
      <c r="B363" s="6"/>
      <c r="C363" s="6"/>
      <c r="D363" s="9"/>
      <c r="L363" s="42"/>
      <c r="U363" s="269" t="s">
        <v>1627</v>
      </c>
      <c r="W363" s="188" t="s">
        <v>20</v>
      </c>
      <c r="X363" s="188" t="s">
        <v>6</v>
      </c>
      <c r="Z363" s="188" t="s">
        <v>22</v>
      </c>
      <c r="AA363" s="188" t="s">
        <v>8</v>
      </c>
      <c r="AE363" s="6"/>
      <c r="AG363" s="188" t="s">
        <v>1627</v>
      </c>
      <c r="AH363" s="188" t="s">
        <v>25</v>
      </c>
    </row>
    <row r="364" spans="2:34" s="188" customFormat="1" ht="16" customHeight="1">
      <c r="B364" s="6"/>
      <c r="C364" s="6"/>
      <c r="D364" s="9"/>
      <c r="L364" s="42"/>
      <c r="U364" s="269" t="s">
        <v>1718</v>
      </c>
      <c r="W364" s="188" t="s">
        <v>28</v>
      </c>
      <c r="X364" s="188" t="s">
        <v>16</v>
      </c>
      <c r="Z364" s="188" t="s">
        <v>17</v>
      </c>
      <c r="AA364" s="188" t="s">
        <v>0</v>
      </c>
      <c r="AE364" s="6"/>
      <c r="AG364" s="188" t="s">
        <v>1718</v>
      </c>
      <c r="AH364" s="188" t="s">
        <v>27</v>
      </c>
    </row>
    <row r="365" spans="2:34" s="188" customFormat="1" ht="16" customHeight="1">
      <c r="B365" s="6"/>
      <c r="C365" s="6"/>
      <c r="D365" s="9"/>
      <c r="L365" s="42"/>
      <c r="U365" s="269" t="s">
        <v>1320</v>
      </c>
      <c r="W365" s="188" t="s">
        <v>21</v>
      </c>
      <c r="X365" s="188" t="s">
        <v>7</v>
      </c>
      <c r="Z365" s="188" t="s">
        <v>26</v>
      </c>
      <c r="AA365" s="188" t="s">
        <v>12</v>
      </c>
      <c r="AE365" s="6"/>
      <c r="AG365" s="188" t="s">
        <v>1320</v>
      </c>
      <c r="AH365" s="188" t="s">
        <v>18</v>
      </c>
    </row>
    <row r="366" spans="2:34" s="188" customFormat="1" ht="16" customHeight="1">
      <c r="B366" s="6"/>
      <c r="C366" s="6"/>
      <c r="D366" s="9"/>
      <c r="L366" s="42"/>
      <c r="U366" s="269" t="s">
        <v>1832</v>
      </c>
      <c r="W366" s="188" t="s">
        <v>18</v>
      </c>
      <c r="X366" s="188" t="s">
        <v>3</v>
      </c>
      <c r="Z366" s="188" t="s">
        <v>19</v>
      </c>
      <c r="AA366" s="188" t="s">
        <v>4</v>
      </c>
      <c r="AE366" s="6"/>
      <c r="AG366" s="188" t="s">
        <v>1832</v>
      </c>
      <c r="AH366" s="188" t="s">
        <v>28</v>
      </c>
    </row>
    <row r="367" spans="2:34" s="188" customFormat="1" ht="16" customHeight="1">
      <c r="B367" s="6"/>
      <c r="C367" s="6"/>
      <c r="D367" s="9"/>
      <c r="L367" s="42"/>
      <c r="U367" s="269" t="s">
        <v>1369</v>
      </c>
      <c r="W367" s="188" t="s">
        <v>24</v>
      </c>
      <c r="X367" s="188" t="s">
        <v>10</v>
      </c>
      <c r="Z367" s="188" t="s">
        <v>634</v>
      </c>
      <c r="AA367" s="188" t="s">
        <v>1220</v>
      </c>
      <c r="AE367" s="6"/>
      <c r="AG367" s="188" t="s">
        <v>1369</v>
      </c>
      <c r="AH367" s="188" t="s">
        <v>25</v>
      </c>
    </row>
    <row r="368" spans="2:34" s="188" customFormat="1" ht="16" customHeight="1">
      <c r="B368" s="6"/>
      <c r="C368" s="6"/>
      <c r="D368" s="9"/>
      <c r="L368" s="42"/>
      <c r="U368" s="269" t="s">
        <v>1517</v>
      </c>
      <c r="W368" s="188" t="s">
        <v>633</v>
      </c>
      <c r="X368" s="188" t="s">
        <v>1221</v>
      </c>
      <c r="Z368" s="188" t="s">
        <v>33</v>
      </c>
      <c r="AA368" s="188" t="s">
        <v>13</v>
      </c>
      <c r="AE368" s="6"/>
      <c r="AG368" s="188" t="s">
        <v>1517</v>
      </c>
      <c r="AH368" s="188" t="s">
        <v>30</v>
      </c>
    </row>
    <row r="369" spans="2:34" s="188" customFormat="1" ht="16" customHeight="1">
      <c r="B369" s="6"/>
      <c r="C369" s="6"/>
      <c r="D369" s="9"/>
      <c r="L369" s="42"/>
      <c r="U369" s="269" t="s">
        <v>1722</v>
      </c>
      <c r="W369" s="188" t="s">
        <v>30</v>
      </c>
      <c r="X369" s="188" t="s">
        <v>2</v>
      </c>
      <c r="Z369" s="188" t="s">
        <v>52</v>
      </c>
      <c r="AA369" s="188" t="s">
        <v>15</v>
      </c>
      <c r="AE369" s="6"/>
      <c r="AG369" s="188" t="s">
        <v>1722</v>
      </c>
      <c r="AH369" s="188" t="s">
        <v>20</v>
      </c>
    </row>
    <row r="370" spans="2:34" s="188" customFormat="1" ht="16" customHeight="1">
      <c r="B370" s="6"/>
      <c r="C370" s="6"/>
      <c r="D370" s="9"/>
      <c r="L370" s="42"/>
      <c r="U370" s="269" t="s">
        <v>1792</v>
      </c>
      <c r="W370" s="188" t="s">
        <v>25</v>
      </c>
      <c r="X370" s="188" t="s">
        <v>11</v>
      </c>
      <c r="Z370" s="188" t="s">
        <v>27</v>
      </c>
      <c r="AA370" s="188" t="s">
        <v>14</v>
      </c>
      <c r="AE370" s="6"/>
      <c r="AG370" s="188" t="s">
        <v>1792</v>
      </c>
      <c r="AH370" s="188" t="s">
        <v>28</v>
      </c>
    </row>
    <row r="371" spans="2:34" s="188" customFormat="1" ht="16" customHeight="1">
      <c r="B371" s="6"/>
      <c r="C371" s="6"/>
      <c r="D371" s="9"/>
      <c r="L371" s="42"/>
      <c r="U371" s="269" t="s">
        <v>1772</v>
      </c>
      <c r="W371" s="188" t="s">
        <v>51</v>
      </c>
      <c r="X371" s="188" t="s">
        <v>5</v>
      </c>
      <c r="Z371" s="188" t="s">
        <v>23</v>
      </c>
      <c r="AA371" s="188" t="s">
        <v>9</v>
      </c>
      <c r="AE371" s="6"/>
      <c r="AG371" s="188" t="s">
        <v>1772</v>
      </c>
      <c r="AH371" s="188" t="s">
        <v>51</v>
      </c>
    </row>
    <row r="372" spans="2:34" s="188" customFormat="1" ht="16" customHeight="1">
      <c r="B372" s="6"/>
      <c r="C372" s="6"/>
      <c r="D372" s="9"/>
      <c r="L372" s="42"/>
      <c r="U372" s="269" t="s">
        <v>1601</v>
      </c>
      <c r="W372" s="188" t="s">
        <v>33</v>
      </c>
      <c r="X372" s="188" t="s">
        <v>13</v>
      </c>
      <c r="Z372" s="188" t="s">
        <v>30</v>
      </c>
      <c r="AA372" s="188" t="s">
        <v>2</v>
      </c>
      <c r="AE372" s="6"/>
      <c r="AG372" s="188" t="s">
        <v>1601</v>
      </c>
      <c r="AH372" s="188" t="s">
        <v>22</v>
      </c>
    </row>
    <row r="373" spans="2:34" s="188" customFormat="1" ht="16" customHeight="1">
      <c r="B373" s="6"/>
      <c r="C373" s="6"/>
      <c r="D373" s="9"/>
      <c r="L373" s="42"/>
      <c r="U373" s="269" t="s">
        <v>1562</v>
      </c>
      <c r="W373" s="188" t="s">
        <v>22</v>
      </c>
      <c r="X373" s="188" t="s">
        <v>8</v>
      </c>
      <c r="Z373" s="188" t="s">
        <v>51</v>
      </c>
      <c r="AA373" s="188" t="s">
        <v>5</v>
      </c>
      <c r="AE373" s="6"/>
      <c r="AG373" s="188" t="s">
        <v>1562</v>
      </c>
      <c r="AH373" s="188" t="s">
        <v>22</v>
      </c>
    </row>
    <row r="374" spans="2:34" s="188" customFormat="1" ht="16" customHeight="1">
      <c r="B374" s="6"/>
      <c r="C374" s="6"/>
      <c r="D374" s="9"/>
      <c r="L374" s="42"/>
      <c r="U374" s="269" t="s">
        <v>1440</v>
      </c>
      <c r="W374" s="188" t="s">
        <v>26</v>
      </c>
      <c r="X374" s="188" t="s">
        <v>12</v>
      </c>
      <c r="Z374" s="188" t="s">
        <v>20</v>
      </c>
      <c r="AA374" s="188" t="s">
        <v>6</v>
      </c>
      <c r="AE374" s="6"/>
      <c r="AG374" s="188" t="s">
        <v>1440</v>
      </c>
      <c r="AH374" s="188" t="s">
        <v>19</v>
      </c>
    </row>
    <row r="375" spans="2:34" s="188" customFormat="1" ht="16" customHeight="1">
      <c r="B375" s="6"/>
      <c r="C375" s="6"/>
      <c r="D375" s="9"/>
      <c r="L375" s="42"/>
      <c r="U375" s="269" t="s">
        <v>1632</v>
      </c>
      <c r="W375" s="188" t="s">
        <v>23</v>
      </c>
      <c r="X375" s="188" t="s">
        <v>9</v>
      </c>
      <c r="Z375" s="188" t="s">
        <v>25</v>
      </c>
      <c r="AA375" s="188" t="s">
        <v>11</v>
      </c>
      <c r="AE375" s="6"/>
      <c r="AG375" s="188" t="s">
        <v>1632</v>
      </c>
      <c r="AH375" s="188" t="s">
        <v>28</v>
      </c>
    </row>
    <row r="376" spans="2:34" s="188" customFormat="1" ht="16" customHeight="1">
      <c r="B376" s="6"/>
      <c r="C376" s="6"/>
      <c r="D376" s="9"/>
      <c r="L376" s="42"/>
      <c r="U376" s="269" t="s">
        <v>1686</v>
      </c>
      <c r="W376" s="188" t="s">
        <v>17</v>
      </c>
      <c r="X376" s="188" t="s">
        <v>0</v>
      </c>
      <c r="Z376" s="188" t="s">
        <v>21</v>
      </c>
      <c r="AA376" s="188" t="s">
        <v>7</v>
      </c>
      <c r="AE376" s="6"/>
      <c r="AG376" s="188" t="s">
        <v>1686</v>
      </c>
      <c r="AH376" s="188" t="s">
        <v>633</v>
      </c>
    </row>
    <row r="377" spans="2:34" s="188" customFormat="1" ht="16" customHeight="1">
      <c r="B377" s="6"/>
      <c r="C377" s="6"/>
      <c r="D377" s="9"/>
      <c r="L377" s="42"/>
      <c r="U377" s="269" t="s">
        <v>1361</v>
      </c>
      <c r="W377" s="188" t="s">
        <v>29</v>
      </c>
      <c r="X377" s="188" t="s">
        <v>1</v>
      </c>
      <c r="Z377" s="188" t="s">
        <v>28</v>
      </c>
      <c r="AA377" s="188" t="s">
        <v>16</v>
      </c>
      <c r="AE377" s="6"/>
      <c r="AG377" s="188" t="s">
        <v>1361</v>
      </c>
      <c r="AH377" s="188" t="s">
        <v>27</v>
      </c>
    </row>
    <row r="378" spans="2:34" s="188" customFormat="1" ht="16" customHeight="1">
      <c r="B378" s="6"/>
      <c r="C378" s="6"/>
      <c r="D378" s="9"/>
      <c r="L378" s="42"/>
      <c r="U378" s="269" t="s">
        <v>1737</v>
      </c>
      <c r="W378" s="188" t="s">
        <v>52</v>
      </c>
      <c r="X378" s="188" t="s">
        <v>15</v>
      </c>
      <c r="Z378" s="188" t="s">
        <v>43</v>
      </c>
      <c r="AA378" s="188" t="s">
        <v>32</v>
      </c>
      <c r="AE378" s="6"/>
      <c r="AG378" s="188" t="s">
        <v>1737</v>
      </c>
      <c r="AH378" s="188" t="s">
        <v>18</v>
      </c>
    </row>
    <row r="379" spans="2:34" s="188" customFormat="1" ht="16" customHeight="1">
      <c r="B379" s="6"/>
      <c r="C379" s="6"/>
      <c r="D379" s="9"/>
      <c r="L379" s="42"/>
      <c r="U379" s="269" t="s">
        <v>1594</v>
      </c>
      <c r="W379" s="188" t="s">
        <v>634</v>
      </c>
      <c r="X379" s="188" t="s">
        <v>1220</v>
      </c>
      <c r="Z379" s="188" t="s">
        <v>18</v>
      </c>
      <c r="AA379" s="188" t="s">
        <v>3</v>
      </c>
      <c r="AE379" s="6"/>
      <c r="AG379" s="188" t="s">
        <v>1594</v>
      </c>
      <c r="AH379" s="188" t="s">
        <v>27</v>
      </c>
    </row>
    <row r="380" spans="2:34" s="188" customFormat="1" ht="16" customHeight="1">
      <c r="B380" s="6"/>
      <c r="C380" s="6"/>
      <c r="D380" s="9"/>
      <c r="L380" s="42"/>
      <c r="U380" s="269" t="s">
        <v>1552</v>
      </c>
      <c r="W380" s="188" t="s">
        <v>19</v>
      </c>
      <c r="X380" s="188" t="s">
        <v>4</v>
      </c>
      <c r="Z380" s="188" t="s">
        <v>24</v>
      </c>
      <c r="AA380" s="188" t="s">
        <v>10</v>
      </c>
      <c r="AE380" s="6"/>
      <c r="AG380" s="188" t="s">
        <v>1552</v>
      </c>
      <c r="AH380" s="188" t="s">
        <v>43</v>
      </c>
    </row>
    <row r="381" spans="2:34" s="188" customFormat="1" ht="16" customHeight="1">
      <c r="B381" s="6"/>
      <c r="C381" s="6"/>
      <c r="D381" s="9"/>
      <c r="L381" s="42"/>
      <c r="U381" s="269" t="s">
        <v>1803</v>
      </c>
      <c r="W381" s="188" t="s">
        <v>27</v>
      </c>
      <c r="X381" s="188" t="s">
        <v>14</v>
      </c>
      <c r="Z381" s="188" t="s">
        <v>633</v>
      </c>
      <c r="AA381" s="188" t="s">
        <v>1221</v>
      </c>
      <c r="AE381" s="6"/>
      <c r="AG381" s="188" t="s">
        <v>1803</v>
      </c>
      <c r="AH381" s="188" t="s">
        <v>19</v>
      </c>
    </row>
    <row r="382" spans="2:34" s="188" customFormat="1" ht="16" customHeight="1">
      <c r="B382" s="6"/>
      <c r="C382" s="6"/>
      <c r="D382" s="9"/>
      <c r="L382" s="42"/>
      <c r="U382" s="269" t="s">
        <v>1516</v>
      </c>
      <c r="AE382" s="6"/>
      <c r="AG382" s="188" t="s">
        <v>1516</v>
      </c>
      <c r="AH382" s="188" t="s">
        <v>633</v>
      </c>
    </row>
    <row r="383" spans="2:34" s="188" customFormat="1" ht="16" customHeight="1">
      <c r="B383" s="6"/>
      <c r="C383" s="6"/>
      <c r="D383" s="9"/>
      <c r="L383" s="42"/>
      <c r="U383" s="271" t="s">
        <v>1893</v>
      </c>
      <c r="AE383" s="6"/>
      <c r="AG383" s="188" t="s">
        <v>1893</v>
      </c>
      <c r="AH383" s="188" t="s">
        <v>634</v>
      </c>
    </row>
    <row r="384" spans="2:34" s="188" customFormat="1" ht="16" customHeight="1">
      <c r="B384" s="6"/>
      <c r="C384" s="6"/>
      <c r="D384" s="9"/>
      <c r="L384" s="42"/>
      <c r="U384" s="269" t="s">
        <v>1709</v>
      </c>
      <c r="AE384" s="6"/>
      <c r="AG384" s="188" t="s">
        <v>1709</v>
      </c>
      <c r="AH384" s="188" t="s">
        <v>30</v>
      </c>
    </row>
    <row r="385" spans="2:34" s="188" customFormat="1" ht="16" customHeight="1">
      <c r="B385" s="6"/>
      <c r="C385" s="6"/>
      <c r="D385" s="9"/>
      <c r="L385" s="42"/>
      <c r="U385" s="269" t="s">
        <v>1527</v>
      </c>
      <c r="AE385" s="6"/>
      <c r="AG385" s="188" t="s">
        <v>1527</v>
      </c>
      <c r="AH385" s="188" t="s">
        <v>22</v>
      </c>
    </row>
    <row r="386" spans="2:34" s="188" customFormat="1" ht="16" customHeight="1">
      <c r="B386" s="6"/>
      <c r="C386" s="6"/>
      <c r="D386" s="9"/>
      <c r="L386" s="42"/>
      <c r="U386" s="269" t="s">
        <v>1362</v>
      </c>
      <c r="AE386" s="6"/>
      <c r="AG386" s="188" t="s">
        <v>1362</v>
      </c>
      <c r="AH386" s="188" t="s">
        <v>52</v>
      </c>
    </row>
    <row r="387" spans="2:34" s="188" customFormat="1" ht="16" customHeight="1">
      <c r="B387" s="6"/>
      <c r="C387" s="6"/>
      <c r="D387" s="9"/>
      <c r="L387" s="42"/>
      <c r="U387" s="269" t="s">
        <v>1767</v>
      </c>
      <c r="AE387" s="6"/>
      <c r="AG387" s="188" t="s">
        <v>1767</v>
      </c>
      <c r="AH387" s="188" t="s">
        <v>27</v>
      </c>
    </row>
    <row r="388" spans="2:34" s="188" customFormat="1" ht="16" customHeight="1">
      <c r="B388" s="6"/>
      <c r="C388" s="6"/>
      <c r="D388" s="9"/>
      <c r="L388" s="42"/>
      <c r="U388" s="269" t="s">
        <v>1349</v>
      </c>
      <c r="AE388" s="6"/>
      <c r="AG388" s="188" t="s">
        <v>1349</v>
      </c>
      <c r="AH388" s="188" t="s">
        <v>20</v>
      </c>
    </row>
    <row r="389" spans="2:34" s="188" customFormat="1" ht="16" customHeight="1">
      <c r="B389" s="6"/>
      <c r="C389" s="6"/>
      <c r="D389" s="9"/>
      <c r="L389" s="42"/>
      <c r="U389" s="269" t="s">
        <v>1630</v>
      </c>
      <c r="AE389" s="6"/>
      <c r="AG389" s="188" t="s">
        <v>1630</v>
      </c>
      <c r="AH389" s="188" t="s">
        <v>51</v>
      </c>
    </row>
    <row r="390" spans="2:34" s="188" customFormat="1" ht="16" customHeight="1">
      <c r="B390" s="6"/>
      <c r="C390" s="6"/>
      <c r="D390" s="9"/>
      <c r="L390" s="42"/>
      <c r="U390" s="269" t="s">
        <v>1598</v>
      </c>
      <c r="AE390" s="6"/>
      <c r="AG390" s="188" t="s">
        <v>1598</v>
      </c>
      <c r="AH390" s="188" t="s">
        <v>33</v>
      </c>
    </row>
    <row r="391" spans="2:34" s="188" customFormat="1" ht="16" customHeight="1">
      <c r="B391" s="6"/>
      <c r="C391" s="6"/>
      <c r="D391" s="9"/>
      <c r="L391" s="42"/>
      <c r="U391" s="269" t="s">
        <v>1494</v>
      </c>
      <c r="AE391" s="6"/>
      <c r="AG391" s="188" t="s">
        <v>1494</v>
      </c>
      <c r="AH391" s="188" t="s">
        <v>18</v>
      </c>
    </row>
    <row r="392" spans="2:34" s="188" customFormat="1" ht="16" customHeight="1">
      <c r="B392" s="6"/>
      <c r="C392" s="6"/>
      <c r="D392" s="9"/>
      <c r="L392" s="42"/>
      <c r="U392" s="269" t="s">
        <v>1793</v>
      </c>
      <c r="AE392" s="6"/>
      <c r="AG392" s="188" t="s">
        <v>1793</v>
      </c>
      <c r="AH392" s="188" t="s">
        <v>634</v>
      </c>
    </row>
    <row r="393" spans="2:34" s="188" customFormat="1" ht="16" customHeight="1">
      <c r="B393" s="6"/>
      <c r="C393" s="6"/>
      <c r="D393" s="9"/>
      <c r="L393" s="42"/>
      <c r="U393" s="269" t="s">
        <v>1476</v>
      </c>
      <c r="AE393" s="6"/>
      <c r="AG393" s="188" t="s">
        <v>1476</v>
      </c>
      <c r="AH393" s="188" t="s">
        <v>19</v>
      </c>
    </row>
    <row r="394" spans="2:34" s="188" customFormat="1" ht="16" customHeight="1">
      <c r="B394" s="6"/>
      <c r="C394" s="6"/>
      <c r="D394" s="9"/>
      <c r="L394" s="42"/>
      <c r="U394" s="269" t="s">
        <v>1417</v>
      </c>
      <c r="AE394" s="6"/>
      <c r="AG394" s="188" t="s">
        <v>1417</v>
      </c>
      <c r="AH394" s="188" t="s">
        <v>29</v>
      </c>
    </row>
    <row r="395" spans="2:34" s="188" customFormat="1" ht="16" customHeight="1">
      <c r="B395" s="6"/>
      <c r="C395" s="6"/>
      <c r="D395" s="9"/>
      <c r="L395" s="42"/>
      <c r="U395" s="269" t="s">
        <v>1474</v>
      </c>
      <c r="AE395" s="6"/>
      <c r="AG395" s="188" t="s">
        <v>1474</v>
      </c>
      <c r="AH395" s="188" t="s">
        <v>22</v>
      </c>
    </row>
    <row r="396" spans="2:34" s="188" customFormat="1" ht="16" customHeight="1">
      <c r="B396" s="6"/>
      <c r="C396" s="6"/>
      <c r="D396" s="9"/>
      <c r="L396" s="42"/>
      <c r="U396" s="269" t="s">
        <v>1543</v>
      </c>
      <c r="AE396" s="6"/>
      <c r="AG396" s="188" t="s">
        <v>1543</v>
      </c>
      <c r="AH396" s="188" t="s">
        <v>30</v>
      </c>
    </row>
    <row r="397" spans="2:34" s="188" customFormat="1" ht="16" customHeight="1">
      <c r="B397" s="6"/>
      <c r="C397" s="6"/>
      <c r="D397" s="9"/>
      <c r="L397" s="42"/>
      <c r="U397" s="269" t="s">
        <v>1350</v>
      </c>
      <c r="AE397" s="6"/>
      <c r="AG397" s="188" t="s">
        <v>1350</v>
      </c>
      <c r="AH397" s="188" t="s">
        <v>18</v>
      </c>
    </row>
    <row r="398" spans="2:34" s="188" customFormat="1" ht="16" customHeight="1">
      <c r="B398" s="6"/>
      <c r="C398" s="6"/>
      <c r="D398" s="9"/>
      <c r="L398" s="42"/>
      <c r="U398" s="269" t="s">
        <v>1615</v>
      </c>
      <c r="AE398" s="6"/>
      <c r="AG398" s="188" t="s">
        <v>1615</v>
      </c>
      <c r="AH398" s="188" t="s">
        <v>26</v>
      </c>
    </row>
    <row r="399" spans="2:34" s="188" customFormat="1" ht="16" customHeight="1">
      <c r="B399" s="6"/>
      <c r="C399" s="6"/>
      <c r="D399" s="9"/>
      <c r="L399" s="42"/>
      <c r="U399" s="269" t="s">
        <v>1675</v>
      </c>
      <c r="AE399" s="6"/>
      <c r="AG399" s="188" t="s">
        <v>1675</v>
      </c>
      <c r="AH399" s="188" t="s">
        <v>28</v>
      </c>
    </row>
    <row r="400" spans="2:34" s="188" customFormat="1" ht="16" customHeight="1">
      <c r="B400" s="6"/>
      <c r="C400" s="6"/>
      <c r="D400" s="9"/>
      <c r="L400" s="42"/>
      <c r="U400" s="269" t="s">
        <v>1655</v>
      </c>
      <c r="AE400" s="6"/>
      <c r="AG400" s="188" t="s">
        <v>1655</v>
      </c>
      <c r="AH400" s="188" t="s">
        <v>43</v>
      </c>
    </row>
    <row r="401" spans="2:34" s="188" customFormat="1" ht="16" customHeight="1">
      <c r="B401" s="6"/>
      <c r="C401" s="6"/>
      <c r="D401" s="9"/>
      <c r="L401" s="42"/>
      <c r="U401" s="269" t="s">
        <v>1870</v>
      </c>
      <c r="AE401" s="6"/>
      <c r="AG401" s="188" t="s">
        <v>1870</v>
      </c>
      <c r="AH401" s="188" t="s">
        <v>29</v>
      </c>
    </row>
    <row r="402" spans="2:34" s="188" customFormat="1" ht="16" customHeight="1">
      <c r="B402" s="6"/>
      <c r="C402" s="6"/>
      <c r="D402" s="9"/>
      <c r="L402" s="42"/>
      <c r="U402" s="269" t="s">
        <v>1538</v>
      </c>
      <c r="AE402" s="6"/>
      <c r="AG402" s="188" t="s">
        <v>1538</v>
      </c>
      <c r="AH402" s="188" t="s">
        <v>22</v>
      </c>
    </row>
    <row r="403" spans="2:34" s="188" customFormat="1" ht="16" customHeight="1">
      <c r="B403" s="6"/>
      <c r="C403" s="6"/>
      <c r="D403" s="9"/>
      <c r="L403" s="42"/>
      <c r="U403" s="269" t="s">
        <v>1426</v>
      </c>
      <c r="AE403" s="6"/>
      <c r="AG403" s="188" t="s">
        <v>1426</v>
      </c>
      <c r="AH403" s="188" t="s">
        <v>43</v>
      </c>
    </row>
    <row r="404" spans="2:34" s="188" customFormat="1" ht="16" customHeight="1">
      <c r="B404" s="6"/>
      <c r="C404" s="6"/>
      <c r="D404" s="9"/>
      <c r="L404" s="42"/>
      <c r="U404" s="269" t="s">
        <v>1889</v>
      </c>
      <c r="AE404" s="6"/>
      <c r="AG404" s="188" t="s">
        <v>1889</v>
      </c>
      <c r="AH404" s="188" t="s">
        <v>25</v>
      </c>
    </row>
    <row r="405" spans="2:34" s="188" customFormat="1" ht="16" customHeight="1">
      <c r="B405" s="6"/>
      <c r="C405" s="6"/>
      <c r="D405" s="9"/>
      <c r="L405" s="42"/>
      <c r="U405" s="269" t="s">
        <v>1703</v>
      </c>
      <c r="AE405" s="6"/>
      <c r="AG405" s="188" t="s">
        <v>1703</v>
      </c>
      <c r="AH405" s="188" t="s">
        <v>24</v>
      </c>
    </row>
    <row r="406" spans="2:34" s="188" customFormat="1" ht="16" customHeight="1">
      <c r="B406" s="6"/>
      <c r="C406" s="6"/>
      <c r="D406" s="9"/>
      <c r="L406" s="42"/>
      <c r="U406" s="269" t="s">
        <v>1467</v>
      </c>
      <c r="AE406" s="6"/>
      <c r="AG406" s="188" t="s">
        <v>1467</v>
      </c>
      <c r="AH406" s="188" t="s">
        <v>51</v>
      </c>
    </row>
    <row r="407" spans="2:34" s="188" customFormat="1" ht="16" customHeight="1">
      <c r="B407" s="6"/>
      <c r="C407" s="6"/>
      <c r="D407" s="9"/>
      <c r="L407" s="42"/>
      <c r="U407" s="269" t="s">
        <v>1746</v>
      </c>
      <c r="AE407" s="6"/>
      <c r="AG407" s="188" t="s">
        <v>1746</v>
      </c>
      <c r="AH407" s="188" t="s">
        <v>23</v>
      </c>
    </row>
    <row r="408" spans="2:34" s="188" customFormat="1" ht="16" customHeight="1">
      <c r="B408" s="6"/>
      <c r="C408" s="6"/>
      <c r="D408" s="9"/>
      <c r="L408" s="42"/>
      <c r="U408" s="269" t="s">
        <v>1790</v>
      </c>
      <c r="AE408" s="6"/>
      <c r="AG408" s="188" t="s">
        <v>1790</v>
      </c>
      <c r="AH408" s="188" t="s">
        <v>22</v>
      </c>
    </row>
    <row r="409" spans="2:34" s="188" customFormat="1" ht="16" customHeight="1">
      <c r="B409" s="6"/>
      <c r="C409" s="6"/>
      <c r="D409" s="9"/>
      <c r="L409" s="17"/>
      <c r="U409" s="269" t="s">
        <v>1286</v>
      </c>
      <c r="AE409" s="6"/>
      <c r="AG409" s="188" t="s">
        <v>1286</v>
      </c>
      <c r="AH409" s="188" t="s">
        <v>20</v>
      </c>
    </row>
    <row r="410" spans="2:34" s="188" customFormat="1" ht="16" customHeight="1">
      <c r="B410" s="6"/>
      <c r="C410" s="6"/>
      <c r="D410" s="9"/>
      <c r="L410" s="17"/>
      <c r="U410" s="269" t="s">
        <v>1684</v>
      </c>
      <c r="AE410" s="6"/>
      <c r="AG410" s="188" t="s">
        <v>1684</v>
      </c>
      <c r="AH410" s="188" t="s">
        <v>24</v>
      </c>
    </row>
    <row r="411" spans="2:34" s="188" customFormat="1" ht="16" customHeight="1">
      <c r="B411" s="6"/>
      <c r="C411" s="6"/>
      <c r="D411" s="9"/>
      <c r="L411" s="42"/>
      <c r="U411" s="269" t="s">
        <v>1407</v>
      </c>
      <c r="AE411" s="6"/>
      <c r="AG411" s="188" t="s">
        <v>1407</v>
      </c>
      <c r="AH411" s="188" t="s">
        <v>20</v>
      </c>
    </row>
    <row r="412" spans="2:34" s="188" customFormat="1" ht="16" customHeight="1">
      <c r="B412" s="6"/>
      <c r="C412" s="6"/>
      <c r="D412" s="9"/>
      <c r="L412" s="42"/>
      <c r="U412" s="269" t="s">
        <v>1770</v>
      </c>
      <c r="AE412" s="6"/>
      <c r="AG412" s="188" t="s">
        <v>1770</v>
      </c>
      <c r="AH412" s="188" t="s">
        <v>51</v>
      </c>
    </row>
    <row r="413" spans="2:34" s="188" customFormat="1" ht="16" customHeight="1">
      <c r="B413" s="6"/>
      <c r="C413" s="6"/>
      <c r="D413" s="9"/>
      <c r="L413" s="42"/>
      <c r="U413" s="269" t="s">
        <v>1375</v>
      </c>
      <c r="AE413" s="6"/>
      <c r="AG413" s="188" t="s">
        <v>1375</v>
      </c>
      <c r="AH413" s="188" t="s">
        <v>30</v>
      </c>
    </row>
    <row r="414" spans="2:34" s="188" customFormat="1" ht="16" customHeight="1">
      <c r="B414" s="6"/>
      <c r="C414" s="6"/>
      <c r="D414" s="9"/>
      <c r="L414" s="42"/>
      <c r="U414" s="269" t="s">
        <v>1821</v>
      </c>
      <c r="AE414" s="6"/>
      <c r="AG414" s="188" t="s">
        <v>1821</v>
      </c>
      <c r="AH414" s="188" t="s">
        <v>43</v>
      </c>
    </row>
    <row r="415" spans="2:34" s="188" customFormat="1" ht="16" customHeight="1">
      <c r="B415" s="6"/>
      <c r="C415" s="6"/>
      <c r="D415" s="9"/>
      <c r="L415" s="42"/>
      <c r="U415" s="269" t="s">
        <v>1381</v>
      </c>
      <c r="AE415" s="6"/>
      <c r="AG415" s="188" t="s">
        <v>1381</v>
      </c>
      <c r="AH415" s="188" t="s">
        <v>29</v>
      </c>
    </row>
    <row r="416" spans="2:34" s="188" customFormat="1" ht="16" customHeight="1">
      <c r="B416" s="6"/>
      <c r="C416" s="6"/>
      <c r="D416" s="9"/>
      <c r="L416" s="42"/>
      <c r="U416" s="269" t="s">
        <v>1285</v>
      </c>
      <c r="AE416" s="6"/>
      <c r="AG416" s="188" t="s">
        <v>1285</v>
      </c>
      <c r="AH416" s="188" t="s">
        <v>30</v>
      </c>
    </row>
    <row r="417" spans="2:34" s="188" customFormat="1" ht="16" customHeight="1">
      <c r="B417" s="6"/>
      <c r="C417" s="6"/>
      <c r="D417" s="9"/>
      <c r="L417" s="42"/>
      <c r="U417" s="269" t="s">
        <v>1853</v>
      </c>
      <c r="AE417" s="6"/>
      <c r="AG417" s="188" t="s">
        <v>1853</v>
      </c>
      <c r="AH417" s="188" t="s">
        <v>21</v>
      </c>
    </row>
    <row r="418" spans="2:34" s="188" customFormat="1" ht="16" customHeight="1">
      <c r="B418" s="6"/>
      <c r="C418" s="6"/>
      <c r="D418" s="9"/>
      <c r="L418" s="42"/>
      <c r="U418" s="269" t="s">
        <v>1556</v>
      </c>
      <c r="AE418" s="6"/>
      <c r="AG418" s="188" t="s">
        <v>1556</v>
      </c>
      <c r="AH418" s="188" t="s">
        <v>21</v>
      </c>
    </row>
    <row r="419" spans="2:34" s="188" customFormat="1" ht="16" customHeight="1">
      <c r="B419" s="6"/>
      <c r="C419" s="6"/>
      <c r="D419" s="9"/>
      <c r="L419" s="42"/>
      <c r="U419" s="269" t="s">
        <v>1340</v>
      </c>
      <c r="AE419" s="6"/>
      <c r="AG419" s="188" t="s">
        <v>1340</v>
      </c>
      <c r="AH419" s="188" t="s">
        <v>19</v>
      </c>
    </row>
    <row r="420" spans="2:34" s="188" customFormat="1" ht="16" customHeight="1">
      <c r="B420" s="6"/>
      <c r="C420" s="6"/>
      <c r="D420" s="9"/>
      <c r="L420" s="17"/>
      <c r="U420" s="269" t="s">
        <v>1558</v>
      </c>
      <c r="AE420" s="6"/>
      <c r="AG420" s="188" t="s">
        <v>1558</v>
      </c>
      <c r="AH420" s="188" t="s">
        <v>33</v>
      </c>
    </row>
    <row r="421" spans="2:34" s="188" customFormat="1" ht="16" customHeight="1">
      <c r="B421" s="6"/>
      <c r="C421" s="6"/>
      <c r="D421" s="9"/>
      <c r="L421" s="42"/>
      <c r="U421" s="269" t="s">
        <v>349</v>
      </c>
      <c r="AE421" s="6"/>
      <c r="AG421" s="188" t="s">
        <v>349</v>
      </c>
      <c r="AH421" s="188" t="s">
        <v>51</v>
      </c>
    </row>
    <row r="422" spans="2:34" s="188" customFormat="1" ht="16" customHeight="1">
      <c r="B422" s="6"/>
      <c r="C422" s="6"/>
      <c r="D422" s="9"/>
      <c r="L422" s="42"/>
      <c r="U422" s="269" t="s">
        <v>1446</v>
      </c>
      <c r="AE422" s="6"/>
      <c r="AG422" s="188" t="s">
        <v>1446</v>
      </c>
      <c r="AH422" s="188" t="s">
        <v>33</v>
      </c>
    </row>
    <row r="423" spans="2:34" s="188" customFormat="1" ht="16" customHeight="1">
      <c r="B423" s="6"/>
      <c r="C423" s="6"/>
      <c r="D423" s="9"/>
      <c r="L423" s="42"/>
      <c r="U423" s="269" t="s">
        <v>1817</v>
      </c>
      <c r="AE423" s="6"/>
      <c r="AG423" s="188" t="s">
        <v>1817</v>
      </c>
      <c r="AH423" s="188" t="s">
        <v>25</v>
      </c>
    </row>
    <row r="424" spans="2:34" s="188" customFormat="1" ht="16" customHeight="1">
      <c r="B424" s="6"/>
      <c r="C424" s="6"/>
      <c r="D424" s="9"/>
      <c r="L424" s="42"/>
      <c r="U424" s="269" t="s">
        <v>1500</v>
      </c>
      <c r="AE424" s="6"/>
      <c r="AG424" s="188" t="s">
        <v>1500</v>
      </c>
      <c r="AH424" s="188" t="s">
        <v>30</v>
      </c>
    </row>
    <row r="425" spans="2:34" s="188" customFormat="1" ht="16" customHeight="1">
      <c r="B425" s="6"/>
      <c r="C425" s="6"/>
      <c r="D425" s="9"/>
      <c r="L425" s="42"/>
      <c r="U425" s="269" t="s">
        <v>1634</v>
      </c>
      <c r="AE425" s="6"/>
      <c r="AG425" s="188" t="s">
        <v>1634</v>
      </c>
      <c r="AH425" s="188" t="s">
        <v>28</v>
      </c>
    </row>
    <row r="426" spans="2:34" s="188" customFormat="1" ht="16" customHeight="1">
      <c r="B426" s="6"/>
      <c r="C426" s="6"/>
      <c r="D426" s="9"/>
      <c r="L426" s="42"/>
      <c r="U426" s="269" t="s">
        <v>1478</v>
      </c>
      <c r="AE426" s="6"/>
      <c r="AG426" s="188" t="s">
        <v>1478</v>
      </c>
      <c r="AH426" s="188" t="s">
        <v>52</v>
      </c>
    </row>
    <row r="427" spans="2:34" s="188" customFormat="1" ht="16" customHeight="1">
      <c r="B427" s="6"/>
      <c r="C427" s="6"/>
      <c r="D427" s="9"/>
      <c r="L427" s="42"/>
      <c r="U427" s="269" t="s">
        <v>1672</v>
      </c>
      <c r="AE427" s="6"/>
      <c r="AG427" s="188" t="s">
        <v>2099</v>
      </c>
      <c r="AH427" s="188" t="s">
        <v>20</v>
      </c>
    </row>
    <row r="428" spans="2:34" s="188" customFormat="1" ht="16" customHeight="1">
      <c r="B428" s="6"/>
      <c r="C428" s="6"/>
      <c r="D428" s="9"/>
      <c r="L428" s="42"/>
      <c r="U428" s="269" t="s">
        <v>1701</v>
      </c>
      <c r="AE428" s="6"/>
      <c r="AG428" s="188" t="s">
        <v>1672</v>
      </c>
      <c r="AH428" s="188" t="s">
        <v>27</v>
      </c>
    </row>
    <row r="429" spans="2:34" s="188" customFormat="1" ht="16" customHeight="1">
      <c r="B429" s="6"/>
      <c r="C429" s="6"/>
      <c r="D429" s="9"/>
      <c r="L429" s="42"/>
      <c r="U429" s="269" t="s">
        <v>1502</v>
      </c>
      <c r="AE429" s="6"/>
      <c r="AG429" s="188" t="s">
        <v>1701</v>
      </c>
      <c r="AH429" s="188" t="s">
        <v>22</v>
      </c>
    </row>
    <row r="430" spans="2:34" s="188" customFormat="1" ht="16" customHeight="1">
      <c r="B430" s="6"/>
      <c r="C430" s="6"/>
      <c r="D430" s="9"/>
      <c r="L430" s="42"/>
      <c r="U430" s="269" t="s">
        <v>1619</v>
      </c>
      <c r="AE430" s="6"/>
      <c r="AG430" s="188" t="s">
        <v>1502</v>
      </c>
      <c r="AH430" s="188" t="s">
        <v>26</v>
      </c>
    </row>
    <row r="431" spans="2:34" s="188" customFormat="1" ht="16" customHeight="1">
      <c r="B431" s="6"/>
      <c r="C431" s="6"/>
      <c r="D431" s="9"/>
      <c r="L431" s="42"/>
      <c r="U431" s="269" t="s">
        <v>1791</v>
      </c>
      <c r="AE431" s="6"/>
      <c r="AG431" s="188" t="s">
        <v>1619</v>
      </c>
      <c r="AH431" s="188" t="s">
        <v>33</v>
      </c>
    </row>
    <row r="432" spans="2:34" s="188" customFormat="1" ht="16" customHeight="1">
      <c r="B432" s="6"/>
      <c r="C432" s="6"/>
      <c r="D432" s="9"/>
      <c r="L432" s="42"/>
      <c r="U432" s="269" t="s">
        <v>1595</v>
      </c>
      <c r="AE432" s="6"/>
      <c r="AG432" s="188" t="s">
        <v>1791</v>
      </c>
      <c r="AH432" s="188" t="s">
        <v>22</v>
      </c>
    </row>
    <row r="433" spans="2:34" s="188" customFormat="1" ht="16" customHeight="1">
      <c r="B433" s="6"/>
      <c r="C433" s="6"/>
      <c r="D433" s="9"/>
      <c r="L433" s="42"/>
      <c r="U433" s="269" t="s">
        <v>1537</v>
      </c>
      <c r="AE433" s="6"/>
      <c r="AG433" s="188" t="s">
        <v>1595</v>
      </c>
      <c r="AH433" s="188" t="s">
        <v>27</v>
      </c>
    </row>
    <row r="434" spans="2:34" s="188" customFormat="1" ht="16" customHeight="1">
      <c r="B434" s="6"/>
      <c r="C434" s="6"/>
      <c r="D434" s="9"/>
      <c r="L434" s="42"/>
      <c r="U434" s="269" t="s">
        <v>1697</v>
      </c>
      <c r="AE434" s="6"/>
      <c r="AG434" s="188" t="s">
        <v>1537</v>
      </c>
      <c r="AH434" s="188" t="s">
        <v>22</v>
      </c>
    </row>
    <row r="435" spans="2:34" s="188" customFormat="1" ht="16" customHeight="1">
      <c r="B435" s="6"/>
      <c r="C435" s="6"/>
      <c r="D435" s="9"/>
      <c r="L435" s="42"/>
      <c r="U435" s="269" t="s">
        <v>1682</v>
      </c>
      <c r="AE435" s="6"/>
      <c r="AG435" s="188" t="s">
        <v>1697</v>
      </c>
      <c r="AH435" s="188" t="s">
        <v>21</v>
      </c>
    </row>
    <row r="436" spans="2:34" s="188" customFormat="1" ht="16" customHeight="1">
      <c r="B436" s="6"/>
      <c r="C436" s="6"/>
      <c r="D436" s="9"/>
      <c r="L436" s="42"/>
      <c r="U436" s="269" t="s">
        <v>1656</v>
      </c>
      <c r="AE436" s="6"/>
      <c r="AG436" s="188" t="s">
        <v>1682</v>
      </c>
      <c r="AH436" s="188" t="s">
        <v>24</v>
      </c>
    </row>
    <row r="437" spans="2:34" s="188" customFormat="1" ht="16" customHeight="1">
      <c r="B437" s="6"/>
      <c r="C437" s="6"/>
      <c r="D437" s="9"/>
      <c r="L437" s="42"/>
      <c r="U437" s="269" t="s">
        <v>1613</v>
      </c>
      <c r="AE437" s="6"/>
      <c r="AG437" s="188" t="s">
        <v>1656</v>
      </c>
      <c r="AH437" s="188" t="s">
        <v>22</v>
      </c>
    </row>
    <row r="438" spans="2:34" s="188" customFormat="1" ht="16" customHeight="1">
      <c r="B438" s="6"/>
      <c r="C438" s="6"/>
      <c r="D438" s="9"/>
      <c r="L438" s="42"/>
      <c r="U438" s="269" t="s">
        <v>1365</v>
      </c>
      <c r="AE438" s="6"/>
      <c r="AG438" s="188" t="s">
        <v>1613</v>
      </c>
      <c r="AH438" s="188" t="s">
        <v>19</v>
      </c>
    </row>
    <row r="439" spans="2:34" s="188" customFormat="1" ht="16" customHeight="1">
      <c r="B439" s="6"/>
      <c r="C439" s="6"/>
      <c r="D439" s="9"/>
      <c r="L439" s="42"/>
      <c r="U439" s="269" t="s">
        <v>1359</v>
      </c>
      <c r="AE439" s="6"/>
      <c r="AG439" s="188" t="s">
        <v>1365</v>
      </c>
      <c r="AH439" s="188" t="s">
        <v>20</v>
      </c>
    </row>
    <row r="440" spans="2:34" s="188" customFormat="1" ht="16" customHeight="1">
      <c r="B440" s="6"/>
      <c r="C440" s="6"/>
      <c r="D440" s="9"/>
      <c r="L440" s="42"/>
      <c r="U440" s="269" t="s">
        <v>1591</v>
      </c>
      <c r="AE440" s="6"/>
      <c r="AG440" s="188" t="s">
        <v>1359</v>
      </c>
      <c r="AH440" s="188" t="s">
        <v>21</v>
      </c>
    </row>
    <row r="441" spans="2:34" s="188" customFormat="1" ht="16" customHeight="1">
      <c r="B441" s="6"/>
      <c r="C441" s="6"/>
      <c r="D441" s="9"/>
      <c r="L441" s="42"/>
      <c r="U441" s="269" t="s">
        <v>1353</v>
      </c>
      <c r="AE441" s="6"/>
      <c r="AG441" s="188" t="s">
        <v>1591</v>
      </c>
      <c r="AH441" s="188" t="s">
        <v>634</v>
      </c>
    </row>
    <row r="442" spans="2:34" s="188" customFormat="1" ht="16" customHeight="1">
      <c r="B442" s="6"/>
      <c r="C442" s="6"/>
      <c r="D442" s="9"/>
      <c r="L442" s="42"/>
      <c r="U442" s="269" t="s">
        <v>1873</v>
      </c>
      <c r="AE442" s="6"/>
      <c r="AG442" s="188" t="s">
        <v>1353</v>
      </c>
      <c r="AH442" s="188" t="s">
        <v>17</v>
      </c>
    </row>
    <row r="443" spans="2:34" s="188" customFormat="1" ht="16" customHeight="1">
      <c r="B443" s="6"/>
      <c r="C443" s="6"/>
      <c r="D443" s="9"/>
      <c r="L443" s="42"/>
      <c r="U443" s="269" t="s">
        <v>1312</v>
      </c>
      <c r="AE443" s="6"/>
      <c r="AG443" s="188" t="s">
        <v>1873</v>
      </c>
      <c r="AH443" s="188" t="s">
        <v>25</v>
      </c>
    </row>
    <row r="444" spans="2:34" s="188" customFormat="1" ht="16" customHeight="1">
      <c r="B444" s="6"/>
      <c r="C444" s="6"/>
      <c r="D444" s="9"/>
      <c r="L444" s="42"/>
      <c r="U444" s="269" t="s">
        <v>1272</v>
      </c>
      <c r="AE444" s="6"/>
      <c r="AG444" s="188" t="s">
        <v>1312</v>
      </c>
      <c r="AH444" s="188" t="s">
        <v>19</v>
      </c>
    </row>
    <row r="445" spans="2:34" s="188" customFormat="1" ht="16" customHeight="1">
      <c r="B445" s="6"/>
      <c r="C445" s="6"/>
      <c r="D445" s="9"/>
      <c r="L445" s="42"/>
      <c r="U445" s="269" t="s">
        <v>1390</v>
      </c>
      <c r="AE445" s="6"/>
      <c r="AG445" s="188" t="s">
        <v>1272</v>
      </c>
      <c r="AH445" s="188" t="s">
        <v>17</v>
      </c>
    </row>
    <row r="446" spans="2:34" s="188" customFormat="1" ht="16" customHeight="1">
      <c r="B446" s="6"/>
      <c r="C446" s="6"/>
      <c r="D446" s="9"/>
      <c r="L446" s="42"/>
      <c r="U446" s="269" t="s">
        <v>1396</v>
      </c>
      <c r="AE446" s="6"/>
      <c r="AG446" s="188" t="s">
        <v>1390</v>
      </c>
      <c r="AH446" s="188" t="s">
        <v>18</v>
      </c>
    </row>
    <row r="447" spans="2:34" s="188" customFormat="1" ht="16" customHeight="1">
      <c r="B447" s="6"/>
      <c r="C447" s="6"/>
      <c r="D447" s="9"/>
      <c r="L447" s="42"/>
      <c r="U447" s="269" t="s">
        <v>1295</v>
      </c>
      <c r="AE447" s="6"/>
      <c r="AG447" s="188" t="s">
        <v>1396</v>
      </c>
      <c r="AH447" s="188" t="s">
        <v>29</v>
      </c>
    </row>
    <row r="448" spans="2:34" s="188" customFormat="1" ht="16" customHeight="1">
      <c r="B448" s="6"/>
      <c r="C448" s="6"/>
      <c r="D448" s="9"/>
      <c r="L448" s="42"/>
      <c r="U448" s="269" t="s">
        <v>1299</v>
      </c>
      <c r="AE448" s="6"/>
      <c r="AG448" s="188" t="s">
        <v>1295</v>
      </c>
      <c r="AH448" s="188" t="s">
        <v>52</v>
      </c>
    </row>
    <row r="449" spans="2:34" s="188" customFormat="1" ht="16" customHeight="1">
      <c r="B449" s="6"/>
      <c r="C449" s="6"/>
      <c r="D449" s="9"/>
      <c r="L449" s="42"/>
      <c r="U449" s="269" t="s">
        <v>1758</v>
      </c>
      <c r="AE449" s="6"/>
      <c r="AG449" s="188" t="s">
        <v>1299</v>
      </c>
      <c r="AH449" s="188" t="s">
        <v>28</v>
      </c>
    </row>
    <row r="450" spans="2:34" s="188" customFormat="1" ht="16" customHeight="1">
      <c r="B450" s="6"/>
      <c r="C450" s="6"/>
      <c r="D450" s="9"/>
      <c r="L450" s="42"/>
      <c r="U450" s="269" t="s">
        <v>1328</v>
      </c>
      <c r="AE450" s="6"/>
      <c r="AG450" t="s">
        <v>1758</v>
      </c>
      <c r="AH450" t="s">
        <v>52</v>
      </c>
    </row>
    <row r="451" spans="2:34" s="188" customFormat="1" ht="16" customHeight="1">
      <c r="B451" s="6"/>
      <c r="C451" s="6"/>
      <c r="D451" s="9"/>
      <c r="L451" s="42"/>
      <c r="U451" s="269" t="s">
        <v>1604</v>
      </c>
      <c r="AE451" s="6"/>
      <c r="AG451" s="188" t="s">
        <v>1328</v>
      </c>
      <c r="AH451" s="188" t="s">
        <v>25</v>
      </c>
    </row>
    <row r="452" spans="2:34" s="188" customFormat="1" ht="16" customHeight="1">
      <c r="B452" s="6"/>
      <c r="C452" s="6"/>
      <c r="D452" s="9"/>
      <c r="L452" s="42"/>
      <c r="U452" s="269" t="s">
        <v>1394</v>
      </c>
      <c r="AE452" s="6"/>
      <c r="AG452" s="188" t="s">
        <v>1604</v>
      </c>
      <c r="AH452" s="188" t="s">
        <v>18</v>
      </c>
    </row>
    <row r="453" spans="2:34" s="188" customFormat="1" ht="16" customHeight="1">
      <c r="B453" s="6"/>
      <c r="C453" s="6"/>
      <c r="D453" s="9"/>
      <c r="L453" s="42"/>
      <c r="U453" s="269" t="s">
        <v>1774</v>
      </c>
      <c r="AE453" s="6"/>
      <c r="AG453" s="188" t="s">
        <v>1394</v>
      </c>
      <c r="AH453" s="188" t="s">
        <v>20</v>
      </c>
    </row>
    <row r="454" spans="2:34" s="188" customFormat="1" ht="16" customHeight="1">
      <c r="B454" s="6"/>
      <c r="C454" s="6"/>
      <c r="D454" s="9"/>
      <c r="L454" s="42"/>
      <c r="U454" s="269" t="s">
        <v>1780</v>
      </c>
      <c r="AE454" s="6"/>
      <c r="AG454" s="188" t="s">
        <v>1774</v>
      </c>
      <c r="AH454" s="188" t="s">
        <v>21</v>
      </c>
    </row>
    <row r="455" spans="2:34" s="188" customFormat="1" ht="16" customHeight="1">
      <c r="B455" s="6"/>
      <c r="C455" s="6"/>
      <c r="D455" s="9"/>
      <c r="L455" s="42"/>
      <c r="U455" s="269" t="s">
        <v>1668</v>
      </c>
      <c r="AE455" s="6"/>
      <c r="AG455" s="188" t="s">
        <v>1780</v>
      </c>
      <c r="AH455" s="188" t="s">
        <v>26</v>
      </c>
    </row>
    <row r="456" spans="2:34" s="188" customFormat="1" ht="16" customHeight="1">
      <c r="B456" s="6"/>
      <c r="C456" s="6"/>
      <c r="D456" s="9"/>
      <c r="L456" s="42"/>
      <c r="U456" s="269" t="s">
        <v>1420</v>
      </c>
      <c r="AE456" s="6"/>
      <c r="AG456" s="188" t="s">
        <v>1668</v>
      </c>
      <c r="AH456" s="188" t="s">
        <v>18</v>
      </c>
    </row>
    <row r="457" spans="2:34" s="188" customFormat="1" ht="16" customHeight="1">
      <c r="B457" s="6"/>
      <c r="C457" s="6"/>
      <c r="D457" s="9"/>
      <c r="L457" s="42"/>
      <c r="U457" s="269" t="s">
        <v>1495</v>
      </c>
      <c r="AE457" s="6"/>
      <c r="AG457" s="188" t="s">
        <v>1420</v>
      </c>
      <c r="AH457" s="188" t="s">
        <v>29</v>
      </c>
    </row>
    <row r="458" spans="2:34" s="188" customFormat="1" ht="16" customHeight="1">
      <c r="B458" s="6"/>
      <c r="C458" s="6"/>
      <c r="D458" s="9"/>
      <c r="L458" s="42"/>
      <c r="U458" s="269" t="s">
        <v>1629</v>
      </c>
      <c r="AE458" s="6"/>
      <c r="AG458" s="188" t="s">
        <v>1495</v>
      </c>
      <c r="AH458" s="188" t="s">
        <v>21</v>
      </c>
    </row>
    <row r="459" spans="2:34" s="188" customFormat="1" ht="16" customHeight="1">
      <c r="B459" s="6"/>
      <c r="C459" s="6"/>
      <c r="D459" s="9"/>
      <c r="L459" s="42"/>
      <c r="U459" s="269" t="s">
        <v>1741</v>
      </c>
      <c r="AE459" s="6"/>
      <c r="AG459" s="188" t="s">
        <v>1629</v>
      </c>
      <c r="AH459" s="188" t="s">
        <v>51</v>
      </c>
    </row>
    <row r="460" spans="2:34" s="188" customFormat="1" ht="16" customHeight="1">
      <c r="B460" s="6"/>
      <c r="C460" s="6"/>
      <c r="D460" s="9"/>
      <c r="L460" s="42"/>
      <c r="U460" s="269" t="s">
        <v>1814</v>
      </c>
      <c r="AE460" s="6"/>
      <c r="AG460" s="188" t="s">
        <v>1741</v>
      </c>
      <c r="AH460" s="188" t="s">
        <v>24</v>
      </c>
    </row>
    <row r="461" spans="2:34" s="188" customFormat="1" ht="16" customHeight="1">
      <c r="B461" s="6"/>
      <c r="C461" s="6"/>
      <c r="D461" s="9"/>
      <c r="L461" s="42"/>
      <c r="U461" s="269" t="s">
        <v>1768</v>
      </c>
      <c r="AE461" s="6"/>
      <c r="AG461" s="188" t="s">
        <v>1814</v>
      </c>
      <c r="AH461" s="188" t="s">
        <v>26</v>
      </c>
    </row>
    <row r="462" spans="2:34" s="188" customFormat="1" ht="16" customHeight="1">
      <c r="B462" s="6"/>
      <c r="C462" s="6"/>
      <c r="D462" s="9"/>
      <c r="L462" s="42"/>
      <c r="U462" s="269" t="s">
        <v>1688</v>
      </c>
      <c r="AE462" s="6"/>
      <c r="AG462" s="188" t="s">
        <v>1768</v>
      </c>
      <c r="AH462" s="188" t="s">
        <v>27</v>
      </c>
    </row>
    <row r="463" spans="2:34" s="188" customFormat="1" ht="16" customHeight="1">
      <c r="B463" s="6"/>
      <c r="C463" s="6"/>
      <c r="D463" s="9"/>
      <c r="L463" s="42"/>
      <c r="U463" s="269" t="s">
        <v>1733</v>
      </c>
      <c r="AE463" s="6"/>
      <c r="AG463" s="188" t="s">
        <v>1688</v>
      </c>
      <c r="AH463" s="188" t="s">
        <v>634</v>
      </c>
    </row>
    <row r="464" spans="2:34" s="188" customFormat="1" ht="16" customHeight="1">
      <c r="B464" s="6"/>
      <c r="C464" s="6"/>
      <c r="D464" s="9"/>
      <c r="L464" s="42"/>
      <c r="U464" s="269" t="s">
        <v>1480</v>
      </c>
      <c r="AE464" s="6"/>
      <c r="AG464" s="188" t="s">
        <v>1733</v>
      </c>
      <c r="AH464" s="188" t="s">
        <v>22</v>
      </c>
    </row>
    <row r="465" spans="2:34" s="188" customFormat="1" ht="16" customHeight="1">
      <c r="B465" s="6"/>
      <c r="C465" s="6"/>
      <c r="D465" s="9"/>
      <c r="L465" s="42"/>
      <c r="U465" s="269" t="s">
        <v>1759</v>
      </c>
      <c r="AE465" s="6"/>
      <c r="AG465" s="188" t="s">
        <v>1480</v>
      </c>
      <c r="AH465" s="188" t="s">
        <v>52</v>
      </c>
    </row>
    <row r="466" spans="2:34" s="188" customFormat="1" ht="16" customHeight="1">
      <c r="B466" s="6"/>
      <c r="C466" s="6"/>
      <c r="D466" s="9"/>
      <c r="L466" s="42"/>
      <c r="U466" s="269" t="s">
        <v>1466</v>
      </c>
      <c r="AE466" s="6"/>
      <c r="AG466" s="188" t="s">
        <v>1759</v>
      </c>
      <c r="AH466" s="188" t="s">
        <v>634</v>
      </c>
    </row>
    <row r="467" spans="2:34" s="188" customFormat="1" ht="16" customHeight="1">
      <c r="B467" s="6"/>
      <c r="C467" s="6"/>
      <c r="D467" s="9"/>
      <c r="L467" s="42"/>
      <c r="U467" s="269" t="s">
        <v>1845</v>
      </c>
      <c r="AE467" s="6"/>
      <c r="AG467" s="188" t="s">
        <v>1466</v>
      </c>
      <c r="AH467" s="188" t="s">
        <v>51</v>
      </c>
    </row>
    <row r="468" spans="2:34" s="188" customFormat="1" ht="16" customHeight="1">
      <c r="B468" s="6"/>
      <c r="C468" s="6"/>
      <c r="D468" s="9"/>
      <c r="L468" s="42"/>
      <c r="U468" s="269" t="s">
        <v>1485</v>
      </c>
      <c r="AE468" s="6"/>
      <c r="AG468" s="188" t="s">
        <v>1845</v>
      </c>
      <c r="AH468" s="188" t="s">
        <v>634</v>
      </c>
    </row>
    <row r="469" spans="2:34" s="188" customFormat="1" ht="16" customHeight="1">
      <c r="B469" s="6"/>
      <c r="C469" s="6"/>
      <c r="D469" s="9"/>
      <c r="L469" s="42"/>
      <c r="U469" s="269" t="s">
        <v>1354</v>
      </c>
      <c r="AE469" s="6"/>
      <c r="AG469" s="188" t="s">
        <v>1485</v>
      </c>
      <c r="AH469" s="188" t="s">
        <v>25</v>
      </c>
    </row>
    <row r="470" spans="2:34" s="188" customFormat="1" ht="16" customHeight="1">
      <c r="B470" s="6"/>
      <c r="C470" s="6"/>
      <c r="D470" s="9"/>
      <c r="L470" s="42"/>
      <c r="U470" s="269" t="s">
        <v>1378</v>
      </c>
      <c r="AE470" s="6"/>
      <c r="AG470" s="188" t="s">
        <v>1354</v>
      </c>
      <c r="AH470" s="188" t="s">
        <v>27</v>
      </c>
    </row>
    <row r="471" spans="2:34" s="188" customFormat="1" ht="16" customHeight="1">
      <c r="B471" s="6"/>
      <c r="C471" s="6"/>
      <c r="D471" s="9"/>
      <c r="L471" s="42"/>
      <c r="U471" s="269" t="s">
        <v>1542</v>
      </c>
      <c r="AE471" s="6"/>
      <c r="AG471" s="188" t="s">
        <v>1378</v>
      </c>
      <c r="AH471" s="188" t="s">
        <v>29</v>
      </c>
    </row>
    <row r="472" spans="2:34" s="188" customFormat="1" ht="16" customHeight="1">
      <c r="B472" s="6"/>
      <c r="C472" s="6"/>
      <c r="D472" s="9"/>
      <c r="L472" s="42"/>
      <c r="U472" s="269" t="s">
        <v>1608</v>
      </c>
      <c r="AE472" s="6"/>
      <c r="AG472" s="188" t="s">
        <v>1542</v>
      </c>
      <c r="AH472" s="188" t="s">
        <v>29</v>
      </c>
    </row>
    <row r="473" spans="2:34" s="188" customFormat="1" ht="16" customHeight="1">
      <c r="B473" s="6"/>
      <c r="C473" s="6"/>
      <c r="D473" s="9"/>
      <c r="L473" s="42"/>
      <c r="U473" s="269" t="s">
        <v>1342</v>
      </c>
      <c r="AE473" s="6"/>
      <c r="AG473" s="188" t="s">
        <v>1608</v>
      </c>
      <c r="AH473" s="188" t="s">
        <v>52</v>
      </c>
    </row>
    <row r="474" spans="2:34" s="188" customFormat="1" ht="16" customHeight="1">
      <c r="B474" s="6"/>
      <c r="C474" s="6"/>
      <c r="D474" s="9"/>
      <c r="L474" s="42"/>
      <c r="U474" s="269" t="s">
        <v>1388</v>
      </c>
      <c r="AE474" s="6"/>
      <c r="AG474" s="188" t="s">
        <v>1342</v>
      </c>
      <c r="AH474" s="188" t="s">
        <v>18</v>
      </c>
    </row>
    <row r="475" spans="2:34" s="188" customFormat="1" ht="16" customHeight="1">
      <c r="B475" s="6"/>
      <c r="C475" s="6"/>
      <c r="D475" s="9"/>
      <c r="L475" s="17"/>
      <c r="U475" s="269" t="s">
        <v>2006</v>
      </c>
      <c r="AE475" s="6"/>
      <c r="AG475" s="188" t="s">
        <v>1388</v>
      </c>
      <c r="AH475" s="188" t="s">
        <v>52</v>
      </c>
    </row>
    <row r="476" spans="2:34" s="188" customFormat="1" ht="16" customHeight="1">
      <c r="B476" s="6"/>
      <c r="C476" s="6"/>
      <c r="D476" s="9"/>
      <c r="L476" s="17"/>
      <c r="U476" s="269" t="s">
        <v>1588</v>
      </c>
      <c r="AE476" s="6"/>
      <c r="AG476" s="188" t="s">
        <v>2006</v>
      </c>
      <c r="AH476" s="188" t="s">
        <v>633</v>
      </c>
    </row>
    <row r="477" spans="2:34" s="188" customFormat="1" ht="16" customHeight="1">
      <c r="B477" s="6"/>
      <c r="C477" s="6"/>
      <c r="D477" s="9"/>
      <c r="L477" s="42"/>
      <c r="U477" s="269" t="s">
        <v>1308</v>
      </c>
      <c r="AE477" s="6"/>
      <c r="AG477" s="188" t="s">
        <v>1588</v>
      </c>
      <c r="AH477" s="188" t="s">
        <v>634</v>
      </c>
    </row>
    <row r="478" spans="2:34" s="188" customFormat="1" ht="16" customHeight="1">
      <c r="B478" s="6"/>
      <c r="C478" s="6"/>
      <c r="D478" s="9"/>
      <c r="L478" s="17"/>
      <c r="U478" s="269" t="s">
        <v>1385</v>
      </c>
      <c r="AE478" s="6"/>
      <c r="AG478" s="188" t="s">
        <v>1308</v>
      </c>
      <c r="AH478" s="188" t="s">
        <v>20</v>
      </c>
    </row>
    <row r="479" spans="2:34" s="188" customFormat="1" ht="16" customHeight="1">
      <c r="B479" s="6"/>
      <c r="C479" s="6"/>
      <c r="D479" s="9"/>
      <c r="L479" s="42"/>
      <c r="U479" s="269" t="s">
        <v>1506</v>
      </c>
      <c r="AE479" s="6"/>
      <c r="AG479" s="188" t="s">
        <v>1385</v>
      </c>
      <c r="AH479" s="188" t="s">
        <v>24</v>
      </c>
    </row>
    <row r="480" spans="2:34" s="188" customFormat="1" ht="16" customHeight="1">
      <c r="B480" s="6"/>
      <c r="C480" s="6"/>
      <c r="D480" s="9"/>
      <c r="L480" s="42"/>
      <c r="U480" s="269" t="s">
        <v>1423</v>
      </c>
      <c r="AE480" s="6"/>
      <c r="AG480" s="188" t="s">
        <v>1506</v>
      </c>
      <c r="AH480" s="188" t="s">
        <v>30</v>
      </c>
    </row>
    <row r="481" spans="2:34" s="188" customFormat="1" ht="16" customHeight="1">
      <c r="B481" s="6"/>
      <c r="C481" s="6"/>
      <c r="D481" s="9"/>
      <c r="L481" s="17"/>
      <c r="U481" s="269" t="s">
        <v>1503</v>
      </c>
      <c r="AE481" s="6"/>
      <c r="AG481" s="188" t="s">
        <v>1423</v>
      </c>
      <c r="AH481" s="188" t="s">
        <v>29</v>
      </c>
    </row>
    <row r="482" spans="2:34" s="188" customFormat="1" ht="16" customHeight="1">
      <c r="B482" s="6"/>
      <c r="C482" s="6"/>
      <c r="D482" s="9"/>
      <c r="L482" s="42"/>
      <c r="U482" s="269" t="s">
        <v>1902</v>
      </c>
      <c r="AE482" s="6"/>
      <c r="AG482" s="188" t="s">
        <v>1503</v>
      </c>
      <c r="AH482" s="188" t="s">
        <v>26</v>
      </c>
    </row>
    <row r="483" spans="2:34" s="188" customFormat="1" ht="16" customHeight="1">
      <c r="B483" s="6"/>
      <c r="C483" s="6"/>
      <c r="D483" s="9"/>
      <c r="L483" s="17"/>
      <c r="U483" s="269" t="s">
        <v>1522</v>
      </c>
      <c r="AE483" s="6"/>
      <c r="AG483" s="188" t="s">
        <v>1902</v>
      </c>
      <c r="AH483" s="188" t="s">
        <v>52</v>
      </c>
    </row>
    <row r="484" spans="2:34" s="188" customFormat="1" ht="16" customHeight="1">
      <c r="B484" s="6"/>
      <c r="C484" s="6"/>
      <c r="D484" s="9"/>
      <c r="L484" s="42"/>
      <c r="U484" s="269" t="s">
        <v>1738</v>
      </c>
      <c r="AE484" s="6"/>
      <c r="AG484" s="188" t="s">
        <v>1522</v>
      </c>
      <c r="AH484" s="188" t="s">
        <v>20</v>
      </c>
    </row>
    <row r="485" spans="2:34" s="188" customFormat="1" ht="16" customHeight="1">
      <c r="B485" s="6"/>
      <c r="C485" s="6"/>
      <c r="D485" s="9"/>
      <c r="L485" s="42"/>
      <c r="U485" s="269" t="s">
        <v>1306</v>
      </c>
      <c r="AE485" s="6"/>
      <c r="AG485" s="188" t="s">
        <v>1738</v>
      </c>
      <c r="AH485" s="188" t="s">
        <v>26</v>
      </c>
    </row>
    <row r="486" spans="2:34" s="188" customFormat="1" ht="16" customHeight="1">
      <c r="B486" s="6"/>
      <c r="C486" s="6"/>
      <c r="D486" s="9"/>
      <c r="L486" s="42"/>
      <c r="U486" s="269" t="s">
        <v>1857</v>
      </c>
      <c r="AE486" s="6"/>
      <c r="AG486" s="188" t="s">
        <v>1306</v>
      </c>
      <c r="AH486" s="188" t="s">
        <v>29</v>
      </c>
    </row>
    <row r="487" spans="2:34" s="188" customFormat="1" ht="16" customHeight="1">
      <c r="B487" s="6"/>
      <c r="C487" s="6"/>
      <c r="D487" s="9"/>
      <c r="L487" s="42"/>
      <c r="U487" s="269" t="s">
        <v>1732</v>
      </c>
      <c r="AE487" s="6"/>
      <c r="AG487" s="188" t="s">
        <v>1857</v>
      </c>
      <c r="AH487" s="188" t="s">
        <v>22</v>
      </c>
    </row>
    <row r="488" spans="2:34" s="188" customFormat="1" ht="16" customHeight="1">
      <c r="B488" s="6"/>
      <c r="C488" s="6"/>
      <c r="D488" s="9"/>
      <c r="L488" s="42"/>
      <c r="U488" s="269" t="s">
        <v>1788</v>
      </c>
      <c r="AE488" s="6"/>
      <c r="AG488" s="188" t="s">
        <v>1732</v>
      </c>
      <c r="AH488" s="188" t="s">
        <v>33</v>
      </c>
    </row>
    <row r="489" spans="2:34" s="188" customFormat="1" ht="16" customHeight="1">
      <c r="B489" s="6"/>
      <c r="C489" s="6"/>
      <c r="D489" s="9"/>
      <c r="L489" s="42"/>
      <c r="U489" s="269" t="s">
        <v>1278</v>
      </c>
      <c r="AE489" s="6"/>
      <c r="AG489" s="188" t="s">
        <v>1788</v>
      </c>
      <c r="AH489" s="188" t="s">
        <v>27</v>
      </c>
    </row>
    <row r="490" spans="2:34" s="188" customFormat="1" ht="16" customHeight="1">
      <c r="B490" s="6"/>
      <c r="C490" s="6"/>
      <c r="D490" s="9"/>
      <c r="L490" s="42"/>
      <c r="U490" s="269" t="s">
        <v>1735</v>
      </c>
      <c r="AE490" s="6"/>
      <c r="AG490" s="188" t="s">
        <v>1278</v>
      </c>
      <c r="AH490" s="188" t="s">
        <v>28</v>
      </c>
    </row>
    <row r="491" spans="2:34" s="188" customFormat="1" ht="16" customHeight="1">
      <c r="B491" s="6"/>
      <c r="C491" s="6"/>
      <c r="D491" s="9"/>
      <c r="L491" s="42"/>
      <c r="U491" s="269" t="s">
        <v>1281</v>
      </c>
      <c r="AE491" s="6"/>
      <c r="AG491" s="188" t="s">
        <v>1735</v>
      </c>
      <c r="AH491" s="188" t="s">
        <v>22</v>
      </c>
    </row>
    <row r="492" spans="2:34" s="188" customFormat="1" ht="16" customHeight="1">
      <c r="B492" s="6"/>
      <c r="C492" s="6"/>
      <c r="D492" s="9"/>
      <c r="L492" s="42"/>
      <c r="U492" s="269" t="s">
        <v>1756</v>
      </c>
      <c r="AE492" s="6"/>
      <c r="AG492" s="188" t="s">
        <v>2096</v>
      </c>
      <c r="AH492" s="188" t="s">
        <v>634</v>
      </c>
    </row>
    <row r="493" spans="2:34" s="188" customFormat="1" ht="16" customHeight="1">
      <c r="B493" s="6"/>
      <c r="C493" s="6"/>
      <c r="D493" s="9"/>
      <c r="L493" s="42"/>
      <c r="U493" s="269" t="s">
        <v>1457</v>
      </c>
      <c r="AE493" s="6"/>
      <c r="AG493" s="188" t="s">
        <v>1281</v>
      </c>
      <c r="AH493" s="188" t="s">
        <v>29</v>
      </c>
    </row>
    <row r="494" spans="2:34" s="188" customFormat="1" ht="16" customHeight="1">
      <c r="B494" s="6"/>
      <c r="C494" s="6"/>
      <c r="D494" s="9"/>
      <c r="L494" s="42"/>
      <c r="U494" s="269" t="s">
        <v>1373</v>
      </c>
      <c r="AE494" s="6"/>
      <c r="AG494" s="188" t="s">
        <v>1756</v>
      </c>
      <c r="AH494" s="188" t="s">
        <v>52</v>
      </c>
    </row>
    <row r="495" spans="2:34" s="188" customFormat="1" ht="16" customHeight="1">
      <c r="B495" s="6"/>
      <c r="C495" s="6"/>
      <c r="D495" s="9"/>
      <c r="L495" s="17"/>
      <c r="U495" s="269" t="s">
        <v>1849</v>
      </c>
      <c r="AE495" s="6"/>
      <c r="AG495" s="188" t="s">
        <v>1457</v>
      </c>
      <c r="AH495" s="188" t="s">
        <v>29</v>
      </c>
    </row>
    <row r="496" spans="2:34" s="188" customFormat="1" ht="16" customHeight="1">
      <c r="B496" s="6"/>
      <c r="C496" s="6"/>
      <c r="D496" s="9"/>
      <c r="L496" s="42"/>
      <c r="U496" s="269" t="s">
        <v>1831</v>
      </c>
      <c r="AE496" s="6"/>
      <c r="AG496" s="188" t="s">
        <v>1373</v>
      </c>
      <c r="AH496" s="188" t="s">
        <v>43</v>
      </c>
    </row>
    <row r="497" spans="2:34" s="188" customFormat="1" ht="16" customHeight="1">
      <c r="B497" s="6"/>
      <c r="C497" s="6"/>
      <c r="D497" s="9"/>
      <c r="L497" s="42"/>
      <c r="U497" s="269" t="s">
        <v>1493</v>
      </c>
      <c r="AE497" s="6"/>
      <c r="AG497" s="188" t="s">
        <v>1849</v>
      </c>
      <c r="AH497" s="188" t="s">
        <v>43</v>
      </c>
    </row>
    <row r="498" spans="2:34" s="188" customFormat="1" ht="16" customHeight="1">
      <c r="B498" s="6"/>
      <c r="C498" s="6"/>
      <c r="D498" s="9"/>
      <c r="L498" s="42"/>
      <c r="U498" s="269" t="s">
        <v>1726</v>
      </c>
      <c r="AE498" s="6"/>
      <c r="AG498" s="188" t="s">
        <v>1831</v>
      </c>
      <c r="AH498" s="188" t="s">
        <v>28</v>
      </c>
    </row>
    <row r="499" spans="2:34" s="188" customFormat="1" ht="16" customHeight="1">
      <c r="B499" s="6"/>
      <c r="C499" s="6"/>
      <c r="D499" s="9"/>
      <c r="L499" s="42"/>
      <c r="U499" s="269" t="s">
        <v>1669</v>
      </c>
      <c r="AE499" s="6"/>
      <c r="AG499" s="188" t="s">
        <v>1493</v>
      </c>
      <c r="AH499" s="188" t="s">
        <v>19</v>
      </c>
    </row>
    <row r="500" spans="2:34" s="188" customFormat="1" ht="16" customHeight="1">
      <c r="B500" s="6"/>
      <c r="C500" s="6"/>
      <c r="D500" s="9"/>
      <c r="L500" s="42"/>
      <c r="U500" s="269" t="s">
        <v>1490</v>
      </c>
      <c r="AE500" s="6"/>
      <c r="AG500" s="188" t="s">
        <v>1726</v>
      </c>
      <c r="AH500" s="188" t="s">
        <v>21</v>
      </c>
    </row>
    <row r="501" spans="2:34" s="188" customFormat="1" ht="16" customHeight="1">
      <c r="B501" s="6"/>
      <c r="C501" s="6"/>
      <c r="D501" s="9"/>
      <c r="L501" s="42"/>
      <c r="U501" s="269" t="s">
        <v>1620</v>
      </c>
      <c r="AE501" s="6"/>
      <c r="AG501" s="188" t="s">
        <v>1669</v>
      </c>
      <c r="AH501" s="188" t="s">
        <v>633</v>
      </c>
    </row>
    <row r="502" spans="2:34" s="188" customFormat="1" ht="16" customHeight="1">
      <c r="B502" s="6"/>
      <c r="C502" s="6"/>
      <c r="D502" s="9"/>
      <c r="L502" s="42"/>
      <c r="U502" s="269" t="s">
        <v>1459</v>
      </c>
      <c r="AE502" s="6"/>
      <c r="AG502" s="188" t="s">
        <v>1490</v>
      </c>
      <c r="AH502" s="188" t="s">
        <v>633</v>
      </c>
    </row>
    <row r="503" spans="2:34" s="188" customFormat="1" ht="16" customHeight="1">
      <c r="B503" s="6"/>
      <c r="C503" s="6"/>
      <c r="D503" s="9"/>
      <c r="L503" s="42"/>
      <c r="U503" s="269" t="s">
        <v>1616</v>
      </c>
      <c r="AE503" s="6"/>
      <c r="AG503" t="s">
        <v>1620</v>
      </c>
      <c r="AH503" t="s">
        <v>30</v>
      </c>
    </row>
    <row r="504" spans="2:34" s="188" customFormat="1" ht="16" customHeight="1">
      <c r="B504" s="6"/>
      <c r="C504" s="6"/>
      <c r="D504" s="9"/>
      <c r="L504" s="42"/>
      <c r="U504" s="269" t="s">
        <v>1302</v>
      </c>
      <c r="AE504" s="6"/>
      <c r="AG504" s="188" t="s">
        <v>1459</v>
      </c>
      <c r="AH504" s="188" t="s">
        <v>634</v>
      </c>
    </row>
    <row r="505" spans="2:34" s="188" customFormat="1" ht="16" customHeight="1">
      <c r="B505" s="6"/>
      <c r="C505" s="6"/>
      <c r="D505" s="9"/>
      <c r="L505" s="42"/>
      <c r="U505" s="269" t="s">
        <v>1383</v>
      </c>
      <c r="AE505" s="6"/>
      <c r="AG505" s="188" t="s">
        <v>1616</v>
      </c>
      <c r="AH505" s="188" t="s">
        <v>634</v>
      </c>
    </row>
    <row r="506" spans="2:34" s="188" customFormat="1" ht="16" customHeight="1">
      <c r="B506" s="6"/>
      <c r="C506" s="6"/>
      <c r="D506" s="9"/>
      <c r="L506" s="42"/>
      <c r="U506" s="269" t="s">
        <v>1427</v>
      </c>
      <c r="AE506" s="6"/>
      <c r="AG506" s="188" t="s">
        <v>1302</v>
      </c>
      <c r="AH506" s="188" t="s">
        <v>18</v>
      </c>
    </row>
    <row r="507" spans="2:34" s="188" customFormat="1" ht="16" customHeight="1">
      <c r="B507" s="6"/>
      <c r="C507" s="6"/>
      <c r="D507" s="9"/>
      <c r="L507" s="42"/>
      <c r="U507" s="269" t="s">
        <v>1287</v>
      </c>
      <c r="AE507" s="6"/>
      <c r="AG507" s="188" t="s">
        <v>1383</v>
      </c>
      <c r="AH507" s="188" t="s">
        <v>19</v>
      </c>
    </row>
    <row r="508" spans="2:34" s="188" customFormat="1" ht="16" customHeight="1">
      <c r="B508" s="6"/>
      <c r="C508" s="6"/>
      <c r="D508" s="9"/>
      <c r="L508" s="42"/>
      <c r="U508" s="269" t="s">
        <v>1761</v>
      </c>
      <c r="AE508" s="6"/>
      <c r="AG508" s="188" t="s">
        <v>1427</v>
      </c>
      <c r="AH508" s="188" t="s">
        <v>23</v>
      </c>
    </row>
    <row r="509" spans="2:34" s="188" customFormat="1" ht="16" customHeight="1">
      <c r="B509" s="6"/>
      <c r="C509" s="6"/>
      <c r="D509" s="9"/>
      <c r="L509" s="42"/>
      <c r="U509" s="269" t="s">
        <v>1822</v>
      </c>
      <c r="AE509" s="6"/>
      <c r="AG509" s="188" t="s">
        <v>1287</v>
      </c>
      <c r="AH509" s="188" t="s">
        <v>29</v>
      </c>
    </row>
    <row r="510" spans="2:34" s="188" customFormat="1" ht="16" customHeight="1">
      <c r="B510" s="6"/>
      <c r="C510" s="6"/>
      <c r="D510" s="9"/>
      <c r="L510" s="42"/>
      <c r="U510" s="269" t="s">
        <v>1787</v>
      </c>
      <c r="AE510" s="6"/>
      <c r="AG510" s="188" t="s">
        <v>1761</v>
      </c>
      <c r="AH510" s="188" t="s">
        <v>634</v>
      </c>
    </row>
    <row r="511" spans="2:34" s="188" customFormat="1" ht="16" customHeight="1">
      <c r="B511" s="6"/>
      <c r="C511" s="6"/>
      <c r="D511" s="9"/>
      <c r="L511" s="42"/>
      <c r="U511" s="269" t="s">
        <v>1541</v>
      </c>
      <c r="AE511" s="6"/>
      <c r="AG511" s="188" t="s">
        <v>1822</v>
      </c>
      <c r="AH511" s="188" t="s">
        <v>22</v>
      </c>
    </row>
    <row r="512" spans="2:34" s="188" customFormat="1" ht="16" customHeight="1">
      <c r="B512" s="6"/>
      <c r="C512" s="6"/>
      <c r="D512" s="9"/>
      <c r="L512" s="42"/>
      <c r="U512" s="269" t="s">
        <v>1334</v>
      </c>
      <c r="AE512" s="6"/>
      <c r="AG512" s="188" t="s">
        <v>1787</v>
      </c>
      <c r="AH512" s="188" t="s">
        <v>19</v>
      </c>
    </row>
    <row r="513" spans="2:34" s="188" customFormat="1" ht="16" customHeight="1">
      <c r="B513" s="6"/>
      <c r="C513" s="6"/>
      <c r="D513" s="9"/>
      <c r="L513" s="42"/>
      <c r="U513" s="269" t="s">
        <v>1348</v>
      </c>
      <c r="AE513" s="6"/>
      <c r="AG513" s="188" t="s">
        <v>1541</v>
      </c>
      <c r="AH513" s="188" t="s">
        <v>24</v>
      </c>
    </row>
    <row r="514" spans="2:34" s="188" customFormat="1" ht="16" customHeight="1">
      <c r="B514" s="6"/>
      <c r="C514" s="6"/>
      <c r="D514" s="9"/>
      <c r="L514" s="42"/>
      <c r="U514" s="269" t="s">
        <v>1314</v>
      </c>
      <c r="AE514" s="6"/>
      <c r="AG514" s="188" t="s">
        <v>1334</v>
      </c>
      <c r="AH514" s="188" t="s">
        <v>30</v>
      </c>
    </row>
    <row r="515" spans="2:34" s="188" customFormat="1" ht="16" customHeight="1">
      <c r="B515" s="6"/>
      <c r="C515" s="6"/>
      <c r="D515" s="9"/>
      <c r="L515" s="42"/>
      <c r="U515" s="269" t="s">
        <v>1395</v>
      </c>
      <c r="AE515" s="6"/>
      <c r="AG515" s="188" t="s">
        <v>1348</v>
      </c>
      <c r="AH515" s="188" t="s">
        <v>29</v>
      </c>
    </row>
    <row r="516" spans="2:34" s="188" customFormat="1" ht="16" customHeight="1">
      <c r="B516" s="6"/>
      <c r="C516" s="6"/>
      <c r="D516" s="9"/>
      <c r="L516" s="42"/>
      <c r="U516" s="269" t="s">
        <v>1864</v>
      </c>
      <c r="AE516" s="6"/>
      <c r="AG516" s="188" t="s">
        <v>1314</v>
      </c>
      <c r="AH516" s="188" t="s">
        <v>29</v>
      </c>
    </row>
    <row r="517" spans="2:34" s="188" customFormat="1" ht="16" customHeight="1">
      <c r="B517" s="6"/>
      <c r="C517" s="6"/>
      <c r="D517" s="9"/>
      <c r="L517" s="42"/>
      <c r="U517" s="269" t="s">
        <v>1532</v>
      </c>
      <c r="AE517" s="6"/>
      <c r="AG517" s="188" t="s">
        <v>1395</v>
      </c>
      <c r="AH517" s="188" t="s">
        <v>18</v>
      </c>
    </row>
    <row r="518" spans="2:34" s="188" customFormat="1" ht="16" customHeight="1">
      <c r="B518" s="6"/>
      <c r="C518" s="6"/>
      <c r="D518" s="9"/>
      <c r="L518" s="42"/>
      <c r="U518" s="269" t="s">
        <v>1881</v>
      </c>
      <c r="AE518" s="6"/>
      <c r="AG518" s="188" t="s">
        <v>1864</v>
      </c>
      <c r="AH518" s="188" t="s">
        <v>24</v>
      </c>
    </row>
    <row r="519" spans="2:34" s="188" customFormat="1" ht="16" customHeight="1">
      <c r="B519" s="6"/>
      <c r="C519" s="6"/>
      <c r="D519" s="9"/>
      <c r="L519" s="42"/>
      <c r="U519" s="269" t="s">
        <v>1869</v>
      </c>
      <c r="AE519" s="6"/>
      <c r="AG519" s="188" t="s">
        <v>1532</v>
      </c>
      <c r="AH519" s="188" t="s">
        <v>20</v>
      </c>
    </row>
    <row r="520" spans="2:34" s="188" customFormat="1" ht="16" customHeight="1">
      <c r="B520" s="6"/>
      <c r="C520" s="6"/>
      <c r="D520" s="9"/>
      <c r="L520" s="42"/>
      <c r="U520" s="269" t="s">
        <v>1415</v>
      </c>
      <c r="AE520" s="6"/>
      <c r="AG520" s="188" t="s">
        <v>1881</v>
      </c>
      <c r="AH520" s="188" t="s">
        <v>26</v>
      </c>
    </row>
    <row r="521" spans="2:34" s="188" customFormat="1" ht="16" customHeight="1">
      <c r="B521" s="6"/>
      <c r="C521" s="6"/>
      <c r="D521" s="9"/>
      <c r="L521" s="42"/>
      <c r="U521" s="269" t="s">
        <v>1699</v>
      </c>
      <c r="AE521" s="6"/>
      <c r="AG521" s="188" t="s">
        <v>1869</v>
      </c>
      <c r="AH521" s="188" t="s">
        <v>17</v>
      </c>
    </row>
    <row r="522" spans="2:34" s="188" customFormat="1" ht="16" customHeight="1">
      <c r="B522" s="6"/>
      <c r="C522" s="6"/>
      <c r="D522" s="9"/>
      <c r="L522" s="42"/>
      <c r="U522" s="269" t="s">
        <v>1507</v>
      </c>
      <c r="AE522" s="6"/>
      <c r="AG522" s="188" t="s">
        <v>1415</v>
      </c>
      <c r="AH522" s="188" t="s">
        <v>20</v>
      </c>
    </row>
    <row r="523" spans="2:34" s="188" customFormat="1" ht="16" customHeight="1">
      <c r="B523" s="6"/>
      <c r="C523" s="6"/>
      <c r="D523" s="9"/>
      <c r="L523" s="42"/>
      <c r="U523" s="269" t="s">
        <v>1479</v>
      </c>
      <c r="AE523" s="6"/>
      <c r="AG523" s="188" t="s">
        <v>1699</v>
      </c>
      <c r="AH523" s="188" t="s">
        <v>21</v>
      </c>
    </row>
    <row r="524" spans="2:34" s="188" customFormat="1" ht="16" customHeight="1">
      <c r="B524" s="6"/>
      <c r="C524" s="6"/>
      <c r="D524" s="9"/>
      <c r="L524" s="42"/>
      <c r="U524" s="269" t="s">
        <v>1712</v>
      </c>
      <c r="AE524" s="6"/>
      <c r="AG524" s="188" t="s">
        <v>1507</v>
      </c>
      <c r="AH524" s="188" t="s">
        <v>29</v>
      </c>
    </row>
    <row r="525" spans="2:34" s="188" customFormat="1" ht="16" customHeight="1">
      <c r="B525" s="6"/>
      <c r="C525" s="6"/>
      <c r="D525" s="9"/>
      <c r="L525" s="42"/>
      <c r="U525" s="269" t="s">
        <v>1462</v>
      </c>
      <c r="AE525" s="6"/>
      <c r="AG525" s="188" t="s">
        <v>2102</v>
      </c>
      <c r="AH525" s="188" t="s">
        <v>17</v>
      </c>
    </row>
    <row r="526" spans="2:34" s="188" customFormat="1" ht="16" customHeight="1">
      <c r="B526" s="6"/>
      <c r="C526" s="6"/>
      <c r="D526" s="9"/>
      <c r="L526" s="42"/>
      <c r="U526" s="269" t="s">
        <v>1404</v>
      </c>
      <c r="AE526" s="6"/>
      <c r="AG526" s="188" t="s">
        <v>1479</v>
      </c>
      <c r="AH526" s="188" t="s">
        <v>18</v>
      </c>
    </row>
    <row r="527" spans="2:34" s="188" customFormat="1" ht="16" customHeight="1">
      <c r="B527" s="6"/>
      <c r="C527" s="6"/>
      <c r="D527" s="9"/>
      <c r="L527" s="42"/>
      <c r="U527" s="269" t="s">
        <v>1755</v>
      </c>
      <c r="AE527" s="6"/>
      <c r="AG527" s="188" t="s">
        <v>1712</v>
      </c>
      <c r="AH527" s="188" t="s">
        <v>634</v>
      </c>
    </row>
    <row r="528" spans="2:34" s="188" customFormat="1" ht="16" customHeight="1">
      <c r="B528" s="6"/>
      <c r="C528" s="6"/>
      <c r="D528" s="9"/>
      <c r="L528" s="42"/>
      <c r="U528" s="269" t="s">
        <v>1540</v>
      </c>
      <c r="AE528" s="6"/>
      <c r="AG528" s="188" t="s">
        <v>1462</v>
      </c>
      <c r="AH528" s="188" t="s">
        <v>19</v>
      </c>
    </row>
    <row r="529" spans="2:34" s="188" customFormat="1" ht="16" customHeight="1">
      <c r="B529" s="6"/>
      <c r="C529" s="6"/>
      <c r="D529" s="9"/>
      <c r="L529" s="42"/>
      <c r="U529" s="269" t="s">
        <v>1773</v>
      </c>
      <c r="AE529" s="6"/>
      <c r="AG529" s="188" t="s">
        <v>1404</v>
      </c>
      <c r="AH529" s="188" t="s">
        <v>23</v>
      </c>
    </row>
    <row r="530" spans="2:34" s="188" customFormat="1" ht="16" customHeight="1">
      <c r="B530" s="6"/>
      <c r="C530" s="6"/>
      <c r="D530" s="9"/>
      <c r="L530" s="42"/>
      <c r="U530" s="269" t="s">
        <v>1610</v>
      </c>
      <c r="AE530" s="6"/>
      <c r="AG530" s="188" t="s">
        <v>1755</v>
      </c>
      <c r="AH530" s="188" t="s">
        <v>52</v>
      </c>
    </row>
    <row r="531" spans="2:34" s="188" customFormat="1" ht="16" customHeight="1">
      <c r="B531" s="6"/>
      <c r="C531" s="6"/>
      <c r="D531" s="9"/>
      <c r="L531" s="42"/>
      <c r="U531" s="269" t="s">
        <v>1840</v>
      </c>
      <c r="AE531" s="6"/>
      <c r="AG531" s="188" t="s">
        <v>1540</v>
      </c>
      <c r="AH531" s="188" t="s">
        <v>26</v>
      </c>
    </row>
    <row r="532" spans="2:34" s="188" customFormat="1" ht="16" customHeight="1">
      <c r="B532" s="6"/>
      <c r="C532" s="6"/>
      <c r="D532" s="9"/>
      <c r="L532" s="42"/>
      <c r="U532" s="269" t="s">
        <v>1727</v>
      </c>
      <c r="AE532" s="6"/>
      <c r="AG532" s="188" t="s">
        <v>1773</v>
      </c>
      <c r="AH532" s="188" t="s">
        <v>43</v>
      </c>
    </row>
    <row r="533" spans="2:34" s="188" customFormat="1" ht="16" customHeight="1">
      <c r="B533" s="6"/>
      <c r="C533" s="6"/>
      <c r="D533" s="9"/>
      <c r="L533" s="42"/>
      <c r="U533" s="269" t="s">
        <v>1565</v>
      </c>
      <c r="AE533" s="6"/>
      <c r="AG533" s="188" t="s">
        <v>1610</v>
      </c>
      <c r="AH533" s="188" t="s">
        <v>634</v>
      </c>
    </row>
    <row r="534" spans="2:34" s="188" customFormat="1" ht="16" customHeight="1">
      <c r="B534" s="6"/>
      <c r="C534" s="6"/>
      <c r="D534" s="9"/>
      <c r="L534" s="42"/>
      <c r="U534" s="269" t="s">
        <v>1534</v>
      </c>
      <c r="AE534" s="6"/>
      <c r="AG534" s="188" t="s">
        <v>1840</v>
      </c>
      <c r="AH534" s="188" t="s">
        <v>24</v>
      </c>
    </row>
    <row r="535" spans="2:34" s="188" customFormat="1" ht="16" customHeight="1">
      <c r="B535" s="6"/>
      <c r="C535" s="6"/>
      <c r="D535" s="9"/>
      <c r="L535" s="42"/>
      <c r="U535" s="269" t="s">
        <v>1366</v>
      </c>
      <c r="AE535" s="6"/>
      <c r="AG535" s="188" t="s">
        <v>1727</v>
      </c>
      <c r="AH535" s="188" t="s">
        <v>21</v>
      </c>
    </row>
    <row r="536" spans="2:34" s="188" customFormat="1" ht="16" customHeight="1">
      <c r="B536" s="6"/>
      <c r="C536" s="6"/>
      <c r="D536" s="9"/>
      <c r="L536" s="42"/>
      <c r="U536" s="269" t="s">
        <v>1523</v>
      </c>
      <c r="AE536" s="6"/>
      <c r="AG536" s="188" t="s">
        <v>1565</v>
      </c>
      <c r="AH536" s="188" t="s">
        <v>18</v>
      </c>
    </row>
    <row r="537" spans="2:34" s="188" customFormat="1" ht="16" customHeight="1">
      <c r="B537" s="6"/>
      <c r="C537" s="6"/>
      <c r="D537" s="9"/>
      <c r="L537" s="42"/>
      <c r="U537" s="269" t="s">
        <v>1454</v>
      </c>
      <c r="AE537" s="6"/>
      <c r="AG537" s="188" t="s">
        <v>1534</v>
      </c>
      <c r="AH537" s="188" t="s">
        <v>28</v>
      </c>
    </row>
    <row r="538" spans="2:34" s="188" customFormat="1" ht="16" customHeight="1">
      <c r="B538" s="6"/>
      <c r="C538" s="6"/>
      <c r="D538" s="9"/>
      <c r="L538" s="42"/>
      <c r="U538" s="269" t="s">
        <v>1452</v>
      </c>
      <c r="AE538" s="6"/>
      <c r="AG538" s="188" t="s">
        <v>1366</v>
      </c>
      <c r="AH538" s="188" t="s">
        <v>33</v>
      </c>
    </row>
    <row r="539" spans="2:34" s="188" customFormat="1" ht="16" customHeight="1">
      <c r="B539" s="6"/>
      <c r="C539" s="6"/>
      <c r="D539" s="9"/>
      <c r="L539" s="42"/>
      <c r="U539" s="269" t="s">
        <v>1544</v>
      </c>
      <c r="AE539" s="6"/>
      <c r="AG539" s="188" t="s">
        <v>1523</v>
      </c>
      <c r="AH539" s="188" t="s">
        <v>43</v>
      </c>
    </row>
    <row r="540" spans="2:34" s="188" customFormat="1" ht="16" customHeight="1">
      <c r="B540" s="6"/>
      <c r="C540" s="6"/>
      <c r="D540" s="9"/>
      <c r="L540" s="42"/>
      <c r="U540" s="269" t="s">
        <v>1841</v>
      </c>
      <c r="AE540" s="6"/>
      <c r="AG540" s="188" t="s">
        <v>1454</v>
      </c>
      <c r="AH540" s="188" t="s">
        <v>17</v>
      </c>
    </row>
    <row r="541" spans="2:34" s="188" customFormat="1" ht="16" customHeight="1">
      <c r="B541" s="6"/>
      <c r="C541" s="6"/>
      <c r="D541" s="9"/>
      <c r="L541" s="42"/>
      <c r="U541" s="269" t="s">
        <v>1577</v>
      </c>
      <c r="AE541" s="6"/>
      <c r="AG541" s="188" t="s">
        <v>1452</v>
      </c>
      <c r="AH541" s="188" t="s">
        <v>23</v>
      </c>
    </row>
    <row r="542" spans="2:34" s="188" customFormat="1" ht="16" customHeight="1">
      <c r="B542" s="6"/>
      <c r="C542" s="6"/>
      <c r="D542" s="9"/>
      <c r="L542" s="42"/>
      <c r="U542" s="269" t="s">
        <v>1721</v>
      </c>
      <c r="AE542" s="6"/>
      <c r="AG542" s="188" t="s">
        <v>1544</v>
      </c>
      <c r="AH542" s="188" t="s">
        <v>52</v>
      </c>
    </row>
    <row r="543" spans="2:34" s="188" customFormat="1" ht="16" customHeight="1">
      <c r="B543" s="6"/>
      <c r="C543" s="6"/>
      <c r="D543" s="9"/>
      <c r="L543" s="42"/>
      <c r="U543" s="269" t="s">
        <v>1865</v>
      </c>
      <c r="AE543" s="6"/>
      <c r="AG543" s="188" t="s">
        <v>1841</v>
      </c>
      <c r="AH543" s="188" t="s">
        <v>633</v>
      </c>
    </row>
    <row r="544" spans="2:34" s="188" customFormat="1" ht="16" customHeight="1">
      <c r="B544" s="6"/>
      <c r="C544" s="6"/>
      <c r="D544" s="9"/>
      <c r="L544" s="42"/>
      <c r="U544" s="269" t="s">
        <v>1470</v>
      </c>
      <c r="AE544" s="6"/>
      <c r="AG544" s="188" t="s">
        <v>1577</v>
      </c>
      <c r="AH544" s="188" t="s">
        <v>633</v>
      </c>
    </row>
    <row r="545" spans="2:34" s="188" customFormat="1" ht="16" customHeight="1">
      <c r="B545" s="6"/>
      <c r="C545" s="6"/>
      <c r="D545" s="9"/>
      <c r="L545" s="42"/>
      <c r="U545" s="269" t="s">
        <v>1573</v>
      </c>
      <c r="AE545" s="6"/>
      <c r="AG545" s="188" t="s">
        <v>1721</v>
      </c>
      <c r="AH545" s="188" t="s">
        <v>51</v>
      </c>
    </row>
    <row r="546" spans="2:34" s="188" customFormat="1" ht="16" customHeight="1">
      <c r="B546" s="6"/>
      <c r="C546" s="6"/>
      <c r="D546" s="9"/>
      <c r="L546" s="42"/>
      <c r="U546" s="269" t="s">
        <v>1405</v>
      </c>
      <c r="AE546" s="6"/>
      <c r="AG546" s="188" t="s">
        <v>1865</v>
      </c>
      <c r="AH546" s="188" t="s">
        <v>23</v>
      </c>
    </row>
    <row r="547" spans="2:34" s="188" customFormat="1" ht="16" customHeight="1">
      <c r="B547" s="6"/>
      <c r="C547" s="6"/>
      <c r="D547" s="9"/>
      <c r="L547" s="42"/>
      <c r="U547" s="269" t="s">
        <v>1380</v>
      </c>
      <c r="AE547" s="6"/>
      <c r="AG547" s="188" t="s">
        <v>1470</v>
      </c>
      <c r="AH547" s="188" t="s">
        <v>28</v>
      </c>
    </row>
    <row r="548" spans="2:34" s="188" customFormat="1" ht="16" customHeight="1">
      <c r="B548" s="6"/>
      <c r="C548" s="6"/>
      <c r="D548" s="9"/>
      <c r="L548" s="42"/>
      <c r="U548" s="269" t="s">
        <v>1717</v>
      </c>
      <c r="AE548" s="6"/>
      <c r="AG548" s="188" t="s">
        <v>1573</v>
      </c>
      <c r="AH548" s="188" t="s">
        <v>23</v>
      </c>
    </row>
    <row r="549" spans="2:34" s="188" customFormat="1" ht="16" customHeight="1">
      <c r="B549" s="6"/>
      <c r="C549" s="6"/>
      <c r="D549" s="9"/>
      <c r="L549" s="42"/>
      <c r="U549" s="269" t="s">
        <v>1393</v>
      </c>
      <c r="AE549" s="6"/>
      <c r="AG549" s="188" t="s">
        <v>1405</v>
      </c>
      <c r="AH549" s="188" t="s">
        <v>25</v>
      </c>
    </row>
    <row r="550" spans="2:34" s="188" customFormat="1" ht="16" customHeight="1">
      <c r="B550" s="6"/>
      <c r="C550" s="6"/>
      <c r="D550" s="9"/>
      <c r="L550" s="42"/>
      <c r="U550" s="269" t="s">
        <v>1548</v>
      </c>
      <c r="AE550" s="6"/>
      <c r="AG550" s="188" t="s">
        <v>1380</v>
      </c>
      <c r="AH550" s="188" t="s">
        <v>30</v>
      </c>
    </row>
    <row r="551" spans="2:34" s="188" customFormat="1" ht="16" customHeight="1">
      <c r="B551" s="6"/>
      <c r="C551" s="6"/>
      <c r="D551" s="9"/>
      <c r="L551" s="42"/>
      <c r="U551" s="269" t="s">
        <v>1572</v>
      </c>
      <c r="AE551" s="6"/>
      <c r="AG551" s="188" t="s">
        <v>1717</v>
      </c>
      <c r="AH551" s="188" t="s">
        <v>27</v>
      </c>
    </row>
    <row r="552" spans="2:34" s="188" customFormat="1" ht="16" customHeight="1">
      <c r="B552" s="6"/>
      <c r="C552" s="6"/>
      <c r="D552" s="9"/>
      <c r="L552" s="42"/>
      <c r="U552" s="269" t="s">
        <v>1704</v>
      </c>
      <c r="AE552" s="6"/>
      <c r="AG552" s="188" t="s">
        <v>1393</v>
      </c>
      <c r="AH552" s="188" t="s">
        <v>52</v>
      </c>
    </row>
    <row r="553" spans="2:34" s="188" customFormat="1" ht="16" customHeight="1">
      <c r="B553" s="6"/>
      <c r="C553" s="6"/>
      <c r="D553" s="9"/>
      <c r="L553" s="42"/>
      <c r="U553" s="269" t="s">
        <v>1529</v>
      </c>
      <c r="AE553" s="6"/>
      <c r="AG553" s="188" t="s">
        <v>1548</v>
      </c>
      <c r="AH553" s="188" t="s">
        <v>51</v>
      </c>
    </row>
    <row r="554" spans="2:34" s="188" customFormat="1" ht="16" customHeight="1">
      <c r="B554" s="6"/>
      <c r="C554" s="6"/>
      <c r="D554" s="9"/>
      <c r="L554" s="42"/>
      <c r="U554" s="269" t="s">
        <v>1687</v>
      </c>
      <c r="AE554" s="6"/>
      <c r="AG554" s="188" t="s">
        <v>1572</v>
      </c>
      <c r="AH554" s="188" t="s">
        <v>23</v>
      </c>
    </row>
    <row r="555" spans="2:34" s="188" customFormat="1" ht="16" customHeight="1">
      <c r="B555" s="6"/>
      <c r="C555" s="6"/>
      <c r="D555" s="9"/>
      <c r="L555" s="42"/>
      <c r="U555" s="269" t="s">
        <v>1867</v>
      </c>
      <c r="AE555" s="6"/>
      <c r="AG555" s="188" t="s">
        <v>1704</v>
      </c>
      <c r="AH555" s="188" t="s">
        <v>24</v>
      </c>
    </row>
    <row r="556" spans="2:34" s="188" customFormat="1" ht="16" customHeight="1">
      <c r="B556" s="6"/>
      <c r="C556" s="6"/>
      <c r="D556" s="9"/>
      <c r="L556" s="42"/>
      <c r="U556" s="269" t="s">
        <v>1750</v>
      </c>
      <c r="AE556" s="6"/>
      <c r="AG556" s="188" t="s">
        <v>1529</v>
      </c>
      <c r="AH556" s="188" t="s">
        <v>633</v>
      </c>
    </row>
    <row r="557" spans="2:34" s="188" customFormat="1" ht="16" customHeight="1">
      <c r="B557" s="6"/>
      <c r="C557" s="6"/>
      <c r="D557" s="9"/>
      <c r="L557" s="42"/>
      <c r="U557" s="269" t="s">
        <v>1666</v>
      </c>
      <c r="AE557" s="6"/>
      <c r="AG557" s="188" t="s">
        <v>1687</v>
      </c>
      <c r="AH557" s="188" t="s">
        <v>25</v>
      </c>
    </row>
    <row r="558" spans="2:34" s="188" customFormat="1" ht="16" customHeight="1">
      <c r="B558" s="6"/>
      <c r="C558" s="6"/>
      <c r="D558" s="9"/>
      <c r="L558" s="42"/>
      <c r="U558" s="269" t="s">
        <v>1858</v>
      </c>
      <c r="AE558" s="6"/>
      <c r="AG558" s="188" t="s">
        <v>1867</v>
      </c>
      <c r="AH558" s="188" t="s">
        <v>633</v>
      </c>
    </row>
    <row r="559" spans="2:34" s="188" customFormat="1" ht="16" customHeight="1">
      <c r="B559" s="6"/>
      <c r="C559" s="6"/>
      <c r="D559" s="9"/>
      <c r="L559" s="42"/>
      <c r="U559" s="269" t="s">
        <v>1335</v>
      </c>
      <c r="AE559" s="6"/>
      <c r="AG559" s="188" t="s">
        <v>1750</v>
      </c>
      <c r="AH559" s="188" t="s">
        <v>30</v>
      </c>
    </row>
    <row r="560" spans="2:34" s="188" customFormat="1" ht="16" customHeight="1">
      <c r="B560" s="6"/>
      <c r="C560" s="6"/>
      <c r="D560" s="9"/>
      <c r="L560" s="42"/>
      <c r="U560" s="269" t="s">
        <v>1859</v>
      </c>
      <c r="AE560" s="6"/>
      <c r="AG560" s="188" t="s">
        <v>1666</v>
      </c>
      <c r="AH560" s="188" t="s">
        <v>21</v>
      </c>
    </row>
    <row r="561" spans="2:34" s="188" customFormat="1" ht="16" customHeight="1">
      <c r="B561" s="6"/>
      <c r="C561" s="6"/>
      <c r="D561" s="9"/>
      <c r="L561" s="42"/>
      <c r="U561" s="269" t="s">
        <v>1713</v>
      </c>
      <c r="AE561" s="6"/>
      <c r="AG561" s="188" t="s">
        <v>1858</v>
      </c>
      <c r="AH561" s="188" t="s">
        <v>22</v>
      </c>
    </row>
    <row r="562" spans="2:34" s="188" customFormat="1" ht="16" customHeight="1">
      <c r="B562" s="6"/>
      <c r="C562" s="6"/>
      <c r="D562" s="9"/>
      <c r="L562" s="42"/>
      <c r="U562" s="269" t="s">
        <v>1406</v>
      </c>
      <c r="AE562" s="6"/>
      <c r="AG562" s="188" t="s">
        <v>1335</v>
      </c>
      <c r="AH562" s="188" t="s">
        <v>29</v>
      </c>
    </row>
    <row r="563" spans="2:34" s="188" customFormat="1" ht="16" customHeight="1">
      <c r="B563" s="6"/>
      <c r="C563" s="6"/>
      <c r="D563" s="9"/>
      <c r="L563" s="42"/>
      <c r="U563" s="269" t="s">
        <v>1820</v>
      </c>
      <c r="AE563" s="6"/>
      <c r="AG563" s="188" t="s">
        <v>1859</v>
      </c>
      <c r="AH563" s="188" t="s">
        <v>22</v>
      </c>
    </row>
    <row r="564" spans="2:34" s="188" customFormat="1" ht="16" customHeight="1">
      <c r="B564" s="6"/>
      <c r="C564" s="6"/>
      <c r="D564" s="9"/>
      <c r="L564" s="42"/>
      <c r="U564" s="269" t="s">
        <v>1511</v>
      </c>
      <c r="AE564" s="6"/>
      <c r="AG564" s="188" t="s">
        <v>1713</v>
      </c>
      <c r="AH564" s="188" t="s">
        <v>634</v>
      </c>
    </row>
    <row r="565" spans="2:34" s="188" customFormat="1" ht="16" customHeight="1">
      <c r="B565" s="6"/>
      <c r="C565" s="6"/>
      <c r="D565" s="9"/>
      <c r="L565" s="42"/>
      <c r="U565" s="269" t="s">
        <v>1377</v>
      </c>
      <c r="AE565" s="6"/>
      <c r="AG565" s="188" t="s">
        <v>1406</v>
      </c>
      <c r="AH565" s="188" t="s">
        <v>634</v>
      </c>
    </row>
    <row r="566" spans="2:34" s="188" customFormat="1" ht="16" customHeight="1">
      <c r="B566" s="6"/>
      <c r="C566" s="6"/>
      <c r="D566" s="9"/>
      <c r="L566" s="42"/>
      <c r="U566" s="269" t="s">
        <v>1749</v>
      </c>
      <c r="AE566" s="6"/>
      <c r="AG566" s="188" t="s">
        <v>1820</v>
      </c>
      <c r="AH566" s="188" t="s">
        <v>634</v>
      </c>
    </row>
    <row r="567" spans="2:34" s="188" customFormat="1" ht="16" customHeight="1">
      <c r="B567" s="6"/>
      <c r="C567" s="6"/>
      <c r="D567" s="9"/>
      <c r="L567" s="42"/>
      <c r="U567" s="269" t="s">
        <v>1521</v>
      </c>
      <c r="AE567" s="6"/>
      <c r="AG567" s="188" t="s">
        <v>1511</v>
      </c>
      <c r="AH567" s="188" t="s">
        <v>51</v>
      </c>
    </row>
    <row r="568" spans="2:34" s="188" customFormat="1" ht="16" customHeight="1">
      <c r="B568" s="6"/>
      <c r="C568" s="6"/>
      <c r="D568" s="9"/>
      <c r="L568" s="42"/>
      <c r="U568" s="269" t="s">
        <v>1448</v>
      </c>
      <c r="AE568" s="6"/>
      <c r="AG568" s="188" t="s">
        <v>1377</v>
      </c>
      <c r="AH568" s="188" t="s">
        <v>33</v>
      </c>
    </row>
    <row r="569" spans="2:34" s="188" customFormat="1" ht="16" customHeight="1">
      <c r="B569" s="6"/>
      <c r="C569" s="6"/>
      <c r="D569" s="9"/>
      <c r="L569" s="42"/>
      <c r="U569" s="269" t="s">
        <v>1519</v>
      </c>
      <c r="AE569" s="6"/>
      <c r="AG569" s="188" t="s">
        <v>1749</v>
      </c>
      <c r="AH569" s="188" t="s">
        <v>17</v>
      </c>
    </row>
    <row r="570" spans="2:34" s="188" customFormat="1" ht="16" customHeight="1">
      <c r="B570" s="6"/>
      <c r="C570" s="6"/>
      <c r="D570" s="9"/>
      <c r="L570" s="42"/>
      <c r="U570" s="269" t="s">
        <v>1583</v>
      </c>
      <c r="AE570" s="6"/>
      <c r="AG570" s="188" t="s">
        <v>1521</v>
      </c>
      <c r="AH570" s="188" t="s">
        <v>29</v>
      </c>
    </row>
    <row r="571" spans="2:34" s="188" customFormat="1" ht="16" customHeight="1">
      <c r="B571" s="6"/>
      <c r="C571" s="6"/>
      <c r="D571" s="9"/>
      <c r="L571" s="42"/>
      <c r="U571" s="269" t="s">
        <v>1413</v>
      </c>
      <c r="AE571" s="6"/>
      <c r="AG571" s="188" t="s">
        <v>1448</v>
      </c>
      <c r="AH571" s="188" t="s">
        <v>33</v>
      </c>
    </row>
    <row r="572" spans="2:34" s="188" customFormat="1" ht="16" customHeight="1">
      <c r="B572" s="6"/>
      <c r="C572" s="6"/>
      <c r="D572" s="9"/>
      <c r="L572" s="42"/>
      <c r="U572" s="269" t="s">
        <v>1667</v>
      </c>
      <c r="AE572" s="6"/>
      <c r="AG572" s="188" t="s">
        <v>1519</v>
      </c>
      <c r="AH572" s="188" t="s">
        <v>25</v>
      </c>
    </row>
    <row r="573" spans="2:34" s="188" customFormat="1" ht="16" customHeight="1">
      <c r="B573" s="6"/>
      <c r="C573" s="6"/>
      <c r="D573" s="9"/>
      <c r="L573" s="42"/>
      <c r="U573" s="269" t="s">
        <v>1693</v>
      </c>
      <c r="AE573" s="6"/>
      <c r="AG573" s="188" t="s">
        <v>1583</v>
      </c>
      <c r="AH573" s="188" t="s">
        <v>29</v>
      </c>
    </row>
    <row r="574" spans="2:34" s="188" customFormat="1" ht="16" customHeight="1">
      <c r="B574" s="6"/>
      <c r="C574" s="6"/>
      <c r="D574" s="9"/>
      <c r="L574" s="42"/>
      <c r="U574" s="269" t="s">
        <v>1364</v>
      </c>
      <c r="AE574" s="6"/>
      <c r="AG574" s="188" t="s">
        <v>1413</v>
      </c>
      <c r="AH574" s="188" t="s">
        <v>52</v>
      </c>
    </row>
    <row r="575" spans="2:34" s="188" customFormat="1" ht="16" customHeight="1">
      <c r="B575" s="6"/>
      <c r="C575" s="6"/>
      <c r="D575" s="9"/>
      <c r="L575" s="42"/>
      <c r="U575" s="269" t="s">
        <v>1387</v>
      </c>
      <c r="AE575" s="6"/>
      <c r="AG575" s="188" t="s">
        <v>1667</v>
      </c>
      <c r="AH575" s="188" t="s">
        <v>33</v>
      </c>
    </row>
    <row r="576" spans="2:34" s="188" customFormat="1" ht="16" customHeight="1">
      <c r="B576" s="6"/>
      <c r="C576" s="6"/>
      <c r="D576" s="9"/>
      <c r="L576" s="42"/>
      <c r="U576" s="269" t="s">
        <v>1606</v>
      </c>
      <c r="AE576" s="6"/>
      <c r="AG576" s="188" t="s">
        <v>1693</v>
      </c>
      <c r="AH576" s="188" t="s">
        <v>51</v>
      </c>
    </row>
    <row r="577" spans="2:34" s="188" customFormat="1" ht="16" customHeight="1">
      <c r="B577" s="6"/>
      <c r="C577" s="6"/>
      <c r="D577" s="9"/>
      <c r="L577" s="42"/>
      <c r="U577" s="269" t="s">
        <v>1843</v>
      </c>
      <c r="AE577" s="6"/>
      <c r="AG577" s="188" t="s">
        <v>1364</v>
      </c>
      <c r="AH577" s="188" t="s">
        <v>24</v>
      </c>
    </row>
    <row r="578" spans="2:34" s="188" customFormat="1" ht="16" customHeight="1">
      <c r="B578" s="6"/>
      <c r="C578" s="6"/>
      <c r="D578" s="9"/>
      <c r="L578" s="42"/>
      <c r="U578" s="269" t="s">
        <v>1706</v>
      </c>
      <c r="AE578" s="6"/>
      <c r="AG578" s="188" t="s">
        <v>1387</v>
      </c>
      <c r="AH578" s="188" t="s">
        <v>29</v>
      </c>
    </row>
    <row r="579" spans="2:34" s="188" customFormat="1" ht="16" customHeight="1">
      <c r="B579" s="6"/>
      <c r="C579" s="6"/>
      <c r="D579" s="9"/>
      <c r="L579" s="42"/>
      <c r="U579" s="269" t="s">
        <v>1483</v>
      </c>
      <c r="AE579" s="6"/>
      <c r="AG579" s="188" t="s">
        <v>1606</v>
      </c>
      <c r="AH579" s="188" t="s">
        <v>24</v>
      </c>
    </row>
    <row r="580" spans="2:34" s="188" customFormat="1" ht="16" customHeight="1">
      <c r="B580" s="6"/>
      <c r="C580" s="6"/>
      <c r="D580" s="9"/>
      <c r="L580" s="42"/>
      <c r="U580" s="269" t="s">
        <v>1708</v>
      </c>
      <c r="AE580" s="6"/>
      <c r="AG580" s="188" t="s">
        <v>1843</v>
      </c>
      <c r="AH580" s="188" t="s">
        <v>634</v>
      </c>
    </row>
    <row r="581" spans="2:34" s="188" customFormat="1" ht="16" customHeight="1">
      <c r="B581" s="6"/>
      <c r="C581" s="6"/>
      <c r="D581" s="9"/>
      <c r="L581" s="42"/>
      <c r="U581" s="269" t="s">
        <v>1574</v>
      </c>
      <c r="AE581" s="6"/>
      <c r="AG581" s="188" t="s">
        <v>1706</v>
      </c>
      <c r="AH581" s="188" t="s">
        <v>23</v>
      </c>
    </row>
    <row r="582" spans="2:34" s="188" customFormat="1" ht="16" customHeight="1">
      <c r="B582" s="6"/>
      <c r="C582" s="6"/>
      <c r="D582" s="9"/>
      <c r="L582" s="42"/>
      <c r="U582" s="269" t="s">
        <v>1673</v>
      </c>
      <c r="AE582" s="6"/>
      <c r="AG582" s="188" t="s">
        <v>1483</v>
      </c>
      <c r="AH582" s="188" t="s">
        <v>25</v>
      </c>
    </row>
    <row r="583" spans="2:34" s="188" customFormat="1" ht="16" customHeight="1">
      <c r="B583" s="6"/>
      <c r="C583" s="6"/>
      <c r="D583" s="9"/>
      <c r="L583" s="42"/>
      <c r="U583" s="269" t="s">
        <v>1827</v>
      </c>
      <c r="AE583" s="6"/>
      <c r="AG583" s="188" t="s">
        <v>1708</v>
      </c>
      <c r="AH583" s="188" t="s">
        <v>30</v>
      </c>
    </row>
    <row r="584" spans="2:34" s="188" customFormat="1" ht="16" customHeight="1">
      <c r="B584" s="6"/>
      <c r="C584" s="6"/>
      <c r="D584" s="9"/>
      <c r="L584" s="42"/>
      <c r="U584" s="269" t="s">
        <v>1799</v>
      </c>
      <c r="AE584" s="6"/>
      <c r="AG584" s="188" t="s">
        <v>1574</v>
      </c>
      <c r="AH584" s="188" t="s">
        <v>23</v>
      </c>
    </row>
    <row r="585" spans="2:34" s="188" customFormat="1" ht="16" customHeight="1">
      <c r="B585" s="6"/>
      <c r="C585" s="6"/>
      <c r="D585" s="9"/>
      <c r="L585" s="42"/>
      <c r="U585" s="269" t="s">
        <v>1837</v>
      </c>
      <c r="AE585" s="6"/>
      <c r="AG585" s="188" t="s">
        <v>1673</v>
      </c>
      <c r="AH585" s="188" t="s">
        <v>51</v>
      </c>
    </row>
    <row r="586" spans="2:34" s="188" customFormat="1" ht="16" customHeight="1">
      <c r="B586" s="6"/>
      <c r="C586" s="6"/>
      <c r="D586" s="9"/>
      <c r="L586" s="42"/>
      <c r="U586" s="269" t="s">
        <v>1599</v>
      </c>
      <c r="AE586" s="6"/>
      <c r="AG586" s="188" t="s">
        <v>1827</v>
      </c>
      <c r="AH586" s="188" t="s">
        <v>30</v>
      </c>
    </row>
    <row r="587" spans="2:34" s="188" customFormat="1" ht="16" customHeight="1">
      <c r="B587" s="6"/>
      <c r="C587" s="6"/>
      <c r="D587" s="9"/>
      <c r="L587" s="42"/>
      <c r="U587" s="269" t="s">
        <v>1363</v>
      </c>
      <c r="AE587" s="6"/>
      <c r="AG587" s="188" t="s">
        <v>1799</v>
      </c>
      <c r="AH587" s="188" t="s">
        <v>24</v>
      </c>
    </row>
    <row r="588" spans="2:34" s="188" customFormat="1" ht="16" customHeight="1">
      <c r="B588" s="6"/>
      <c r="C588" s="6"/>
      <c r="D588" s="9"/>
      <c r="L588" s="42"/>
      <c r="U588" s="269" t="s">
        <v>1660</v>
      </c>
      <c r="AE588" s="6"/>
      <c r="AG588" s="188" t="s">
        <v>1837</v>
      </c>
      <c r="AH588" s="188" t="s">
        <v>33</v>
      </c>
    </row>
    <row r="589" spans="2:34" s="188" customFormat="1" ht="16" customHeight="1">
      <c r="B589" s="6"/>
      <c r="C589" s="6"/>
      <c r="D589" s="9"/>
      <c r="L589" s="42"/>
      <c r="U589" s="269" t="s">
        <v>1714</v>
      </c>
      <c r="AE589" s="6"/>
      <c r="AG589" s="188" t="s">
        <v>1599</v>
      </c>
      <c r="AH589" s="188" t="s">
        <v>33</v>
      </c>
    </row>
    <row r="590" spans="2:34" s="188" customFormat="1" ht="16" customHeight="1">
      <c r="B590" s="6"/>
      <c r="C590" s="6"/>
      <c r="D590" s="9"/>
      <c r="L590" s="42"/>
      <c r="U590" s="269" t="s">
        <v>1430</v>
      </c>
      <c r="AE590" s="6"/>
      <c r="AG590" s="188" t="s">
        <v>1363</v>
      </c>
      <c r="AH590" s="188" t="s">
        <v>27</v>
      </c>
    </row>
    <row r="591" spans="2:34" s="188" customFormat="1" ht="16" customHeight="1">
      <c r="B591" s="6"/>
      <c r="C591" s="6"/>
      <c r="D591" s="9"/>
      <c r="L591" s="42"/>
      <c r="U591" s="269" t="s">
        <v>1504</v>
      </c>
      <c r="AE591" s="6"/>
      <c r="AG591" s="188" t="s">
        <v>1660</v>
      </c>
      <c r="AH591" s="188" t="s">
        <v>28</v>
      </c>
    </row>
    <row r="592" spans="2:34" s="188" customFormat="1" ht="16" customHeight="1">
      <c r="B592" s="6"/>
      <c r="C592" s="6"/>
      <c r="D592" s="9"/>
      <c r="L592" s="42"/>
      <c r="U592" s="269" t="s">
        <v>1748</v>
      </c>
      <c r="AE592" s="6"/>
      <c r="AG592" s="188" t="s">
        <v>1714</v>
      </c>
      <c r="AH592" s="188" t="s">
        <v>634</v>
      </c>
    </row>
    <row r="593" spans="2:34" s="188" customFormat="1" ht="16" customHeight="1">
      <c r="B593" s="6"/>
      <c r="C593" s="6"/>
      <c r="D593" s="9"/>
      <c r="L593" s="42"/>
      <c r="U593" s="269" t="s">
        <v>1535</v>
      </c>
      <c r="AE593" s="6"/>
      <c r="AG593" s="188" t="s">
        <v>1430</v>
      </c>
      <c r="AH593" s="188" t="s">
        <v>23</v>
      </c>
    </row>
    <row r="594" spans="2:34" s="188" customFormat="1" ht="16" customHeight="1">
      <c r="B594" s="6"/>
      <c r="C594" s="6"/>
      <c r="D594" s="9"/>
      <c r="L594" s="42"/>
      <c r="U594" s="269" t="s">
        <v>1872</v>
      </c>
      <c r="AE594" s="6"/>
      <c r="AG594" s="188" t="s">
        <v>1504</v>
      </c>
      <c r="AH594" s="188" t="s">
        <v>18</v>
      </c>
    </row>
    <row r="595" spans="2:34" s="188" customFormat="1" ht="16" customHeight="1">
      <c r="B595" s="6"/>
      <c r="C595" s="6"/>
      <c r="D595" s="9"/>
      <c r="L595" s="42"/>
      <c r="U595" s="269" t="s">
        <v>2008</v>
      </c>
      <c r="AE595" s="6"/>
      <c r="AG595" s="188" t="s">
        <v>1748</v>
      </c>
      <c r="AH595" s="188" t="s">
        <v>17</v>
      </c>
    </row>
    <row r="596" spans="2:34" s="188" customFormat="1" ht="16" customHeight="1">
      <c r="B596" s="6"/>
      <c r="C596" s="6"/>
      <c r="D596" s="9"/>
      <c r="L596" s="42"/>
      <c r="U596" s="269" t="s">
        <v>1826</v>
      </c>
      <c r="AE596" s="6"/>
      <c r="AG596" s="188" t="s">
        <v>1535</v>
      </c>
      <c r="AH596" s="188" t="s">
        <v>43</v>
      </c>
    </row>
    <row r="597" spans="2:34" s="188" customFormat="1" ht="16" customHeight="1">
      <c r="B597" s="6"/>
      <c r="C597" s="6"/>
      <c r="D597" s="9"/>
      <c r="L597" s="42"/>
      <c r="U597" s="269" t="s">
        <v>1501</v>
      </c>
      <c r="AE597" s="6"/>
      <c r="AG597" s="188" t="s">
        <v>1872</v>
      </c>
      <c r="AH597" s="188" t="s">
        <v>30</v>
      </c>
    </row>
    <row r="598" spans="2:34" s="188" customFormat="1" ht="16" customHeight="1">
      <c r="B598" s="6"/>
      <c r="C598" s="6"/>
      <c r="D598" s="9"/>
      <c r="L598" s="42"/>
      <c r="U598" s="269" t="s">
        <v>1566</v>
      </c>
      <c r="AE598" s="6"/>
      <c r="AG598" s="188" t="s">
        <v>2008</v>
      </c>
      <c r="AH598" s="188" t="s">
        <v>24</v>
      </c>
    </row>
    <row r="599" spans="2:34" s="188" customFormat="1" ht="16" customHeight="1">
      <c r="B599" s="6"/>
      <c r="C599" s="6"/>
      <c r="D599" s="9"/>
      <c r="L599" s="42"/>
      <c r="U599" s="269" t="s">
        <v>1653</v>
      </c>
      <c r="AE599" s="6"/>
      <c r="AG599" s="188" t="s">
        <v>1826</v>
      </c>
      <c r="AH599" s="188" t="s">
        <v>30</v>
      </c>
    </row>
    <row r="600" spans="2:34" s="188" customFormat="1" ht="16" customHeight="1">
      <c r="B600" s="6"/>
      <c r="C600" s="6"/>
      <c r="D600" s="9"/>
      <c r="L600" s="42"/>
      <c r="U600" s="269" t="s">
        <v>1838</v>
      </c>
      <c r="AE600" s="6"/>
      <c r="AG600" s="188" t="s">
        <v>1501</v>
      </c>
      <c r="AH600" s="188" t="s">
        <v>26</v>
      </c>
    </row>
    <row r="601" spans="2:34" s="188" customFormat="1" ht="16" customHeight="1">
      <c r="B601" s="6"/>
      <c r="C601" s="6"/>
      <c r="D601" s="9"/>
      <c r="L601" s="42"/>
      <c r="U601" s="269" t="s">
        <v>1277</v>
      </c>
      <c r="AE601" s="6"/>
      <c r="AG601" s="188" t="s">
        <v>1566</v>
      </c>
      <c r="AH601" s="188" t="s">
        <v>18</v>
      </c>
    </row>
    <row r="602" spans="2:34" s="188" customFormat="1" ht="16" customHeight="1">
      <c r="B602" s="6"/>
      <c r="C602" s="6"/>
      <c r="D602" s="9"/>
      <c r="L602" s="42"/>
      <c r="U602" s="269" t="s">
        <v>1347</v>
      </c>
      <c r="AE602" s="6"/>
      <c r="AG602" s="188" t="s">
        <v>1653</v>
      </c>
      <c r="AH602" s="188" t="s">
        <v>28</v>
      </c>
    </row>
    <row r="603" spans="2:34" s="188" customFormat="1" ht="16" customHeight="1">
      <c r="B603" s="6"/>
      <c r="C603" s="6"/>
      <c r="D603" s="9"/>
      <c r="L603" s="42"/>
      <c r="U603" s="269" t="s">
        <v>1488</v>
      </c>
      <c r="AE603" s="6"/>
      <c r="AG603" s="188" t="s">
        <v>1838</v>
      </c>
      <c r="AH603" s="188" t="s">
        <v>22</v>
      </c>
    </row>
    <row r="604" spans="2:34" s="188" customFormat="1" ht="16" customHeight="1">
      <c r="B604" s="6"/>
      <c r="C604" s="6"/>
      <c r="D604" s="9"/>
      <c r="L604" s="42"/>
      <c r="U604" s="269" t="s">
        <v>1554</v>
      </c>
      <c r="AE604" s="6"/>
      <c r="AG604" s="188" t="s">
        <v>1277</v>
      </c>
      <c r="AH604" s="188" t="s">
        <v>20</v>
      </c>
    </row>
    <row r="605" spans="2:34" s="188" customFormat="1" ht="16" customHeight="1">
      <c r="B605" s="6"/>
      <c r="C605" s="6"/>
      <c r="D605" s="9"/>
      <c r="L605" s="42"/>
      <c r="U605" s="269" t="s">
        <v>1888</v>
      </c>
      <c r="AE605" s="6"/>
      <c r="AG605" s="188" t="s">
        <v>1347</v>
      </c>
      <c r="AH605" s="188" t="s">
        <v>17</v>
      </c>
    </row>
    <row r="606" spans="2:34" s="188" customFormat="1" ht="16" customHeight="1">
      <c r="B606" s="6"/>
      <c r="C606" s="6"/>
      <c r="D606" s="9"/>
      <c r="L606" s="42"/>
      <c r="U606" s="269" t="s">
        <v>1825</v>
      </c>
      <c r="AE606" s="6"/>
      <c r="AG606" s="188" t="s">
        <v>1488</v>
      </c>
      <c r="AH606" s="188" t="s">
        <v>24</v>
      </c>
    </row>
    <row r="607" spans="2:34" s="188" customFormat="1" ht="16" customHeight="1">
      <c r="B607" s="6"/>
      <c r="C607" s="6"/>
      <c r="D607" s="9"/>
      <c r="L607" s="42"/>
      <c r="U607" s="269" t="s">
        <v>1580</v>
      </c>
      <c r="AE607" s="6"/>
      <c r="AG607" s="188" t="s">
        <v>1554</v>
      </c>
      <c r="AH607" s="188" t="s">
        <v>21</v>
      </c>
    </row>
    <row r="608" spans="2:34" s="188" customFormat="1" ht="16" customHeight="1">
      <c r="B608" s="6"/>
      <c r="C608" s="6"/>
      <c r="D608" s="9"/>
      <c r="L608" s="42"/>
      <c r="U608" s="269" t="s">
        <v>1815</v>
      </c>
      <c r="AE608" s="6"/>
      <c r="AG608" s="188" t="s">
        <v>1888</v>
      </c>
      <c r="AH608" s="188" t="s">
        <v>25</v>
      </c>
    </row>
    <row r="609" spans="2:34" s="188" customFormat="1" ht="16" customHeight="1">
      <c r="B609" s="6"/>
      <c r="C609" s="6"/>
      <c r="D609" s="9"/>
      <c r="L609" s="42"/>
      <c r="U609" s="269" t="s">
        <v>1680</v>
      </c>
      <c r="AE609" s="6"/>
      <c r="AG609" s="188" t="s">
        <v>1825</v>
      </c>
      <c r="AH609" s="188" t="s">
        <v>26</v>
      </c>
    </row>
    <row r="610" spans="2:34" s="188" customFormat="1" ht="16" customHeight="1">
      <c r="B610" s="6"/>
      <c r="C610" s="6"/>
      <c r="D610" s="9"/>
      <c r="L610" s="42"/>
      <c r="U610" s="269" t="s">
        <v>1422</v>
      </c>
      <c r="AE610" s="6"/>
      <c r="AG610" s="188" t="s">
        <v>1580</v>
      </c>
      <c r="AH610" s="188" t="s">
        <v>17</v>
      </c>
    </row>
    <row r="611" spans="2:34" s="188" customFormat="1" ht="16" customHeight="1">
      <c r="B611" s="6"/>
      <c r="C611" s="6"/>
      <c r="D611" s="9"/>
      <c r="L611" s="17"/>
      <c r="U611" s="269" t="s">
        <v>1811</v>
      </c>
      <c r="AE611" s="6"/>
      <c r="AG611" s="188" t="s">
        <v>1815</v>
      </c>
      <c r="AH611" s="188" t="s">
        <v>27</v>
      </c>
    </row>
    <row r="612" spans="2:34" s="188" customFormat="1" ht="16" customHeight="1">
      <c r="B612" s="6"/>
      <c r="C612" s="6"/>
      <c r="D612" s="9"/>
      <c r="L612" s="42"/>
      <c r="U612" s="269" t="s">
        <v>1567</v>
      </c>
      <c r="AE612" s="6"/>
      <c r="AG612" s="188" t="s">
        <v>1680</v>
      </c>
      <c r="AH612" s="188" t="s">
        <v>18</v>
      </c>
    </row>
    <row r="613" spans="2:34" s="188" customFormat="1" ht="16" customHeight="1">
      <c r="B613" s="6"/>
      <c r="C613" s="6"/>
      <c r="D613" s="9"/>
      <c r="L613" s="42"/>
      <c r="U613" s="269" t="s">
        <v>1439</v>
      </c>
      <c r="AE613" s="6"/>
      <c r="AG613" s="188" t="s">
        <v>1422</v>
      </c>
      <c r="AH613" s="188" t="s">
        <v>633</v>
      </c>
    </row>
    <row r="614" spans="2:34" s="188" customFormat="1" ht="16" customHeight="1">
      <c r="B614" s="6"/>
      <c r="C614" s="6"/>
      <c r="D614" s="9"/>
      <c r="L614" s="42"/>
      <c r="U614" s="269" t="s">
        <v>1352</v>
      </c>
      <c r="AE614" s="6"/>
      <c r="AG614" s="188" t="s">
        <v>1811</v>
      </c>
      <c r="AH614" s="188" t="s">
        <v>43</v>
      </c>
    </row>
    <row r="615" spans="2:34" s="188" customFormat="1" ht="16" customHeight="1">
      <c r="B615" s="6"/>
      <c r="C615" s="6"/>
      <c r="D615" s="9"/>
      <c r="L615" s="42"/>
      <c r="U615" s="269" t="s">
        <v>1818</v>
      </c>
      <c r="AE615" s="6"/>
      <c r="AG615" s="188" t="s">
        <v>1567</v>
      </c>
      <c r="AH615" s="188" t="s">
        <v>26</v>
      </c>
    </row>
    <row r="616" spans="2:34" s="188" customFormat="1" ht="16" customHeight="1">
      <c r="B616" s="6"/>
      <c r="C616" s="6"/>
      <c r="D616" s="9"/>
      <c r="L616" s="42"/>
      <c r="U616" s="269" t="s">
        <v>1431</v>
      </c>
      <c r="AE616" s="6"/>
      <c r="AG616" s="188" t="s">
        <v>1439</v>
      </c>
      <c r="AH616" s="188" t="s">
        <v>25</v>
      </c>
    </row>
    <row r="617" spans="2:34" s="188" customFormat="1" ht="16" customHeight="1">
      <c r="B617" s="6"/>
      <c r="C617" s="6"/>
      <c r="D617" s="9"/>
      <c r="L617" s="42"/>
      <c r="U617" s="269" t="s">
        <v>1463</v>
      </c>
      <c r="AE617" s="6"/>
      <c r="AG617" s="188" t="s">
        <v>1352</v>
      </c>
      <c r="AH617" s="188" t="s">
        <v>20</v>
      </c>
    </row>
    <row r="618" spans="2:34" s="188" customFormat="1" ht="16" customHeight="1">
      <c r="B618" s="6"/>
      <c r="C618" s="6"/>
      <c r="D618" s="9"/>
      <c r="L618" s="42"/>
      <c r="U618" s="269" t="s">
        <v>1358</v>
      </c>
      <c r="AE618" s="6"/>
      <c r="AG618" s="188" t="s">
        <v>1818</v>
      </c>
      <c r="AH618" s="188" t="s">
        <v>52</v>
      </c>
    </row>
    <row r="619" spans="2:34" s="188" customFormat="1" ht="16" customHeight="1">
      <c r="B619" s="6"/>
      <c r="C619" s="6"/>
      <c r="D619" s="9"/>
      <c r="L619" s="42"/>
      <c r="U619" s="269" t="s">
        <v>1536</v>
      </c>
      <c r="AE619" s="6"/>
      <c r="AG619" s="188" t="s">
        <v>1431</v>
      </c>
      <c r="AH619" s="188" t="s">
        <v>634</v>
      </c>
    </row>
    <row r="620" spans="2:34" s="188" customFormat="1" ht="16" customHeight="1">
      <c r="B620" s="6"/>
      <c r="C620" s="6"/>
      <c r="D620" s="9"/>
      <c r="L620" s="17"/>
      <c r="U620" s="269" t="s">
        <v>1555</v>
      </c>
      <c r="AE620" s="6"/>
      <c r="AG620" s="188" t="s">
        <v>1463</v>
      </c>
      <c r="AH620" s="188" t="s">
        <v>19</v>
      </c>
    </row>
    <row r="621" spans="2:34" s="188" customFormat="1" ht="16" customHeight="1">
      <c r="B621" s="6"/>
      <c r="C621" s="6"/>
      <c r="D621" s="9"/>
      <c r="L621" s="42"/>
      <c r="U621" s="269" t="s">
        <v>1771</v>
      </c>
      <c r="AE621" s="6"/>
      <c r="AG621" s="188" t="s">
        <v>1358</v>
      </c>
      <c r="AH621" s="188" t="s">
        <v>33</v>
      </c>
    </row>
    <row r="622" spans="2:34" s="188" customFormat="1" ht="16" customHeight="1">
      <c r="B622" s="6"/>
      <c r="C622" s="6"/>
      <c r="D622" s="9"/>
      <c r="L622" s="42"/>
      <c r="U622" s="269" t="s">
        <v>1294</v>
      </c>
      <c r="AE622" s="6"/>
      <c r="AG622" s="188" t="s">
        <v>1536</v>
      </c>
      <c r="AH622" s="188" t="s">
        <v>33</v>
      </c>
    </row>
    <row r="623" spans="2:34" s="188" customFormat="1" ht="16" customHeight="1">
      <c r="B623" s="6"/>
      <c r="C623" s="6"/>
      <c r="D623" s="9"/>
      <c r="L623" s="42"/>
      <c r="U623" s="269" t="s">
        <v>1355</v>
      </c>
      <c r="AE623" s="6"/>
      <c r="AG623" s="188" t="s">
        <v>1555</v>
      </c>
      <c r="AH623" s="188" t="s">
        <v>21</v>
      </c>
    </row>
    <row r="624" spans="2:34" s="188" customFormat="1" ht="16" customHeight="1">
      <c r="B624" s="6"/>
      <c r="C624" s="6"/>
      <c r="D624" s="9"/>
      <c r="L624" s="17"/>
      <c r="U624" s="269" t="s">
        <v>1698</v>
      </c>
      <c r="AE624" s="6"/>
      <c r="AG624" t="s">
        <v>1771</v>
      </c>
      <c r="AH624" t="s">
        <v>51</v>
      </c>
    </row>
    <row r="625" spans="2:34" s="188" customFormat="1" ht="16" customHeight="1">
      <c r="B625" s="6"/>
      <c r="C625" s="6"/>
      <c r="D625" s="9"/>
      <c r="L625" s="17"/>
      <c r="U625" s="269" t="s">
        <v>1461</v>
      </c>
      <c r="AE625" s="6"/>
      <c r="AG625" s="188" t="s">
        <v>1294</v>
      </c>
      <c r="AH625" s="188" t="s">
        <v>21</v>
      </c>
    </row>
    <row r="626" spans="2:34" s="188" customFormat="1" ht="16" customHeight="1">
      <c r="B626" s="6"/>
      <c r="C626" s="6"/>
      <c r="D626" s="9"/>
      <c r="L626" s="42"/>
      <c r="U626" s="269" t="s">
        <v>1875</v>
      </c>
      <c r="AE626" s="6"/>
      <c r="AG626" s="188" t="s">
        <v>1355</v>
      </c>
      <c r="AH626" s="188" t="s">
        <v>28</v>
      </c>
    </row>
    <row r="627" spans="2:34" s="188" customFormat="1" ht="16" customHeight="1">
      <c r="B627" s="6"/>
      <c r="C627" s="6"/>
      <c r="D627" s="9"/>
      <c r="L627" s="42"/>
      <c r="U627" s="269" t="s">
        <v>1695</v>
      </c>
      <c r="AE627" s="6"/>
      <c r="AG627" s="188" t="s">
        <v>1698</v>
      </c>
      <c r="AH627" s="188" t="s">
        <v>21</v>
      </c>
    </row>
    <row r="628" spans="2:34" s="188" customFormat="1" ht="16" customHeight="1">
      <c r="B628" s="6"/>
      <c r="C628" s="6"/>
      <c r="D628" s="9"/>
      <c r="L628" s="42"/>
      <c r="U628" s="269" t="s">
        <v>1844</v>
      </c>
      <c r="AE628" s="6"/>
      <c r="AG628" s="188" t="s">
        <v>1461</v>
      </c>
      <c r="AH628" s="188" t="s">
        <v>19</v>
      </c>
    </row>
    <row r="629" spans="2:34" s="188" customFormat="1" ht="16" customHeight="1">
      <c r="B629" s="6"/>
      <c r="C629" s="6"/>
      <c r="D629" s="9"/>
      <c r="L629" s="42"/>
      <c r="U629" s="269" t="s">
        <v>1539</v>
      </c>
      <c r="AE629" s="6"/>
      <c r="AG629" s="188" t="s">
        <v>1875</v>
      </c>
      <c r="AH629" s="188" t="s">
        <v>52</v>
      </c>
    </row>
    <row r="630" spans="2:34" s="188" customFormat="1" ht="16" customHeight="1">
      <c r="B630" s="6"/>
      <c r="C630" s="6"/>
      <c r="D630" s="9"/>
      <c r="L630" s="42"/>
      <c r="U630" s="269" t="s">
        <v>1646</v>
      </c>
      <c r="AE630" s="6"/>
      <c r="AG630" s="188" t="s">
        <v>1695</v>
      </c>
      <c r="AH630" s="188" t="s">
        <v>43</v>
      </c>
    </row>
    <row r="631" spans="2:34" s="188" customFormat="1" ht="16" customHeight="1">
      <c r="B631" s="6"/>
      <c r="C631" s="6"/>
      <c r="D631" s="9"/>
      <c r="L631" s="17"/>
      <c r="U631" s="269" t="s">
        <v>1434</v>
      </c>
      <c r="AE631" s="6"/>
      <c r="AG631" s="188" t="s">
        <v>1844</v>
      </c>
      <c r="AH631" s="188" t="s">
        <v>634</v>
      </c>
    </row>
    <row r="632" spans="2:34" s="188" customFormat="1" ht="16" customHeight="1">
      <c r="B632" s="6"/>
      <c r="C632" s="6"/>
      <c r="D632" s="9"/>
      <c r="L632" s="42"/>
      <c r="U632" s="269" t="s">
        <v>1805</v>
      </c>
      <c r="AE632" s="6"/>
      <c r="AG632" s="188" t="s">
        <v>1539</v>
      </c>
      <c r="AH632" s="188" t="s">
        <v>22</v>
      </c>
    </row>
    <row r="633" spans="2:34" s="188" customFormat="1" ht="16" customHeight="1">
      <c r="B633" s="6"/>
      <c r="C633" s="6"/>
      <c r="D633" s="9"/>
      <c r="L633" s="42"/>
      <c r="U633" s="270" t="s">
        <v>1681</v>
      </c>
      <c r="AE633" s="6"/>
      <c r="AG633" s="188" t="s">
        <v>1646</v>
      </c>
      <c r="AH633" s="188" t="s">
        <v>28</v>
      </c>
    </row>
    <row r="634" spans="2:34">
      <c r="D634" s="139"/>
      <c r="F634" s="42"/>
      <c r="U634" s="272"/>
      <c r="AG634" s="188" t="s">
        <v>1434</v>
      </c>
      <c r="AH634" s="188" t="s">
        <v>22</v>
      </c>
    </row>
    <row r="635" spans="2:34">
      <c r="D635" s="139"/>
      <c r="F635" s="42"/>
      <c r="U635" s="272"/>
      <c r="AG635" s="188" t="s">
        <v>1805</v>
      </c>
      <c r="AH635" s="188" t="s">
        <v>43</v>
      </c>
    </row>
    <row r="636" spans="2:34">
      <c r="D636" s="139"/>
      <c r="F636" s="42"/>
      <c r="U636" s="272"/>
      <c r="AG636" s="188" t="s">
        <v>1681</v>
      </c>
      <c r="AH636" s="188" t="s">
        <v>26</v>
      </c>
    </row>
    <row r="637" spans="2:34">
      <c r="D637" s="139"/>
      <c r="F637" s="17"/>
      <c r="U637" s="272"/>
      <c r="AG637" s="188"/>
      <c r="AH637" s="188"/>
    </row>
    <row r="638" spans="2:34">
      <c r="D638" s="139"/>
      <c r="F638" s="42"/>
      <c r="AG638" s="188"/>
      <c r="AH638" s="188"/>
    </row>
    <row r="639" spans="2:34">
      <c r="D639" s="139"/>
      <c r="F639" s="42"/>
    </row>
    <row r="640" spans="2:34">
      <c r="D640" s="139"/>
      <c r="F640" s="42"/>
    </row>
    <row r="641" spans="4:6">
      <c r="D641" s="139"/>
      <c r="F641" s="42"/>
    </row>
    <row r="642" spans="4:6">
      <c r="D642" s="139"/>
      <c r="F642" s="42"/>
    </row>
    <row r="643" spans="4:6">
      <c r="D643" s="139"/>
      <c r="F643" s="17"/>
    </row>
    <row r="644" spans="4:6">
      <c r="D644" s="139"/>
      <c r="F644" s="17"/>
    </row>
    <row r="645" spans="4:6">
      <c r="D645" s="139"/>
      <c r="F645" s="42"/>
    </row>
    <row r="646" spans="4:6">
      <c r="D646" s="139"/>
      <c r="F646" s="42"/>
    </row>
    <row r="647" spans="4:6">
      <c r="D647" s="139"/>
      <c r="F647" s="42"/>
    </row>
    <row r="648" spans="4:6">
      <c r="D648" s="139"/>
      <c r="F648" s="42"/>
    </row>
    <row r="649" spans="4:6">
      <c r="D649" s="139"/>
      <c r="F649" s="42"/>
    </row>
    <row r="650" spans="4:6">
      <c r="D650" s="139"/>
      <c r="F650" s="42"/>
    </row>
    <row r="651" spans="4:6">
      <c r="D651" s="139"/>
      <c r="F651" s="42"/>
    </row>
    <row r="652" spans="4:6">
      <c r="D652" s="139"/>
      <c r="F652" s="42"/>
    </row>
    <row r="653" spans="4:6">
      <c r="D653" s="139"/>
      <c r="F653" s="42"/>
    </row>
    <row r="654" spans="4:6">
      <c r="D654" s="139"/>
      <c r="F654" s="42"/>
    </row>
    <row r="655" spans="4:6">
      <c r="D655" s="139"/>
      <c r="F655" s="42"/>
    </row>
    <row r="656" spans="4:6">
      <c r="D656" s="139"/>
      <c r="F656" s="42"/>
    </row>
    <row r="657" spans="4:6">
      <c r="D657" s="139"/>
      <c r="F657" s="42"/>
    </row>
    <row r="658" spans="4:6">
      <c r="D658" s="139"/>
      <c r="F658" s="42"/>
    </row>
    <row r="659" spans="4:6">
      <c r="D659" s="139"/>
      <c r="F659" s="42"/>
    </row>
    <row r="660" spans="4:6">
      <c r="D660" s="139"/>
      <c r="F660" s="17"/>
    </row>
    <row r="661" spans="4:6">
      <c r="D661" s="139"/>
      <c r="F661" s="42"/>
    </row>
    <row r="662" spans="4:6">
      <c r="D662" s="139"/>
      <c r="F662" s="42"/>
    </row>
    <row r="663" spans="4:6">
      <c r="D663" s="139"/>
      <c r="F663" s="42"/>
    </row>
    <row r="664" spans="4:6">
      <c r="D664" s="139"/>
      <c r="F664" s="42"/>
    </row>
    <row r="665" spans="4:6">
      <c r="D665" s="139"/>
      <c r="F665" s="42"/>
    </row>
    <row r="666" spans="4:6">
      <c r="D666" s="139"/>
      <c r="F666" s="42"/>
    </row>
    <row r="667" spans="4:6">
      <c r="D667" s="139"/>
      <c r="F667" s="42"/>
    </row>
    <row r="668" spans="4:6">
      <c r="D668" s="139"/>
      <c r="F668" s="42"/>
    </row>
    <row r="669" spans="4:6">
      <c r="D669" s="139"/>
      <c r="F669" s="42"/>
    </row>
    <row r="670" spans="4:6">
      <c r="D670" s="139"/>
      <c r="F670" s="42"/>
    </row>
    <row r="671" spans="4:6">
      <c r="D671" s="139"/>
      <c r="F671" s="42"/>
    </row>
    <row r="672" spans="4:6">
      <c r="D672" s="139"/>
      <c r="F672" s="42"/>
    </row>
    <row r="673" spans="4:6">
      <c r="D673" s="139"/>
      <c r="F673" s="42"/>
    </row>
    <row r="674" spans="4:6">
      <c r="D674" s="139"/>
      <c r="F674" s="42"/>
    </row>
    <row r="675" spans="4:6">
      <c r="D675" s="139"/>
      <c r="F675" s="42"/>
    </row>
    <row r="676" spans="4:6">
      <c r="D676" s="139"/>
      <c r="F676" s="42"/>
    </row>
    <row r="677" spans="4:6">
      <c r="D677" s="139"/>
      <c r="F677" s="42"/>
    </row>
    <row r="678" spans="4:6">
      <c r="D678" s="139"/>
      <c r="F678" s="42"/>
    </row>
    <row r="679" spans="4:6">
      <c r="D679" s="139"/>
      <c r="F679" s="42"/>
    </row>
    <row r="680" spans="4:6">
      <c r="D680" s="139"/>
      <c r="F680" s="42"/>
    </row>
    <row r="681" spans="4:6">
      <c r="D681" s="139"/>
      <c r="F681" s="42"/>
    </row>
    <row r="682" spans="4:6">
      <c r="D682" s="139"/>
      <c r="F682" s="42"/>
    </row>
    <row r="683" spans="4:6">
      <c r="D683" s="139"/>
      <c r="F683" s="42"/>
    </row>
    <row r="684" spans="4:6">
      <c r="D684" s="139"/>
      <c r="F684" s="42"/>
    </row>
    <row r="685" spans="4:6">
      <c r="D685" s="139"/>
      <c r="F685" s="42"/>
    </row>
    <row r="686" spans="4:6">
      <c r="D686" s="139"/>
      <c r="F686" s="42"/>
    </row>
    <row r="687" spans="4:6">
      <c r="D687" s="139"/>
      <c r="F687" s="42"/>
    </row>
    <row r="688" spans="4:6">
      <c r="D688" s="139"/>
      <c r="F688" s="42"/>
    </row>
    <row r="689" spans="4:6">
      <c r="D689" s="139"/>
      <c r="F689" s="42"/>
    </row>
    <row r="690" spans="4:6">
      <c r="D690" s="139"/>
      <c r="F690" s="42"/>
    </row>
    <row r="691" spans="4:6">
      <c r="D691" s="139"/>
      <c r="F691" s="42"/>
    </row>
    <row r="692" spans="4:6">
      <c r="D692" s="139"/>
      <c r="F692" s="42"/>
    </row>
    <row r="693" spans="4:6">
      <c r="D693" s="139"/>
      <c r="F693" s="42"/>
    </row>
    <row r="694" spans="4:6">
      <c r="D694" s="139"/>
      <c r="F694" s="17"/>
    </row>
    <row r="695" spans="4:6">
      <c r="D695" s="139"/>
      <c r="F695" s="42"/>
    </row>
    <row r="696" spans="4:6">
      <c r="D696" s="139"/>
      <c r="F696" s="42"/>
    </row>
    <row r="697" spans="4:6">
      <c r="D697" s="139"/>
      <c r="F697" s="42"/>
    </row>
    <row r="698" spans="4:6">
      <c r="D698" s="139"/>
      <c r="F698" s="42"/>
    </row>
    <row r="699" spans="4:6">
      <c r="D699" s="139"/>
      <c r="F699" s="42"/>
    </row>
    <row r="700" spans="4:6">
      <c r="D700" s="139"/>
      <c r="F700" s="42"/>
    </row>
    <row r="701" spans="4:6">
      <c r="D701" s="139"/>
      <c r="F701" s="42"/>
    </row>
    <row r="702" spans="4:6">
      <c r="D702" s="139"/>
      <c r="F702" s="42"/>
    </row>
    <row r="703" spans="4:6">
      <c r="D703" s="139"/>
      <c r="F703" s="42"/>
    </row>
    <row r="704" spans="4:6">
      <c r="D704" s="139"/>
      <c r="F704" s="42"/>
    </row>
    <row r="705" spans="4:6">
      <c r="D705" s="139"/>
      <c r="F705" s="42"/>
    </row>
    <row r="706" spans="4:6">
      <c r="D706" s="139"/>
      <c r="F706" s="42"/>
    </row>
    <row r="707" spans="4:6">
      <c r="D707" s="139"/>
      <c r="F707" s="42"/>
    </row>
    <row r="708" spans="4:6">
      <c r="D708" s="139"/>
      <c r="F708" s="42"/>
    </row>
    <row r="709" spans="4:6">
      <c r="D709" s="139"/>
      <c r="F709" s="42"/>
    </row>
    <row r="710" spans="4:6">
      <c r="D710" s="139"/>
      <c r="F710" s="42"/>
    </row>
    <row r="711" spans="4:6">
      <c r="D711" s="139"/>
      <c r="F711" s="42"/>
    </row>
    <row r="712" spans="4:6">
      <c r="D712" s="139"/>
      <c r="F712" s="42"/>
    </row>
    <row r="713" spans="4:6">
      <c r="D713" s="139"/>
      <c r="F713" s="42"/>
    </row>
    <row r="714" spans="4:6">
      <c r="D714" s="139"/>
      <c r="F714" s="42"/>
    </row>
    <row r="715" spans="4:6">
      <c r="D715" s="139"/>
      <c r="F715" s="42"/>
    </row>
    <row r="716" spans="4:6">
      <c r="D716" s="139"/>
      <c r="F716" s="42"/>
    </row>
    <row r="717" spans="4:6">
      <c r="D717" s="139"/>
      <c r="F717" s="42"/>
    </row>
    <row r="718" spans="4:6">
      <c r="D718" s="139"/>
      <c r="F718" s="42"/>
    </row>
    <row r="719" spans="4:6">
      <c r="D719" s="139"/>
      <c r="F719" s="42"/>
    </row>
    <row r="720" spans="4:6">
      <c r="D720" s="139"/>
      <c r="F720" s="42"/>
    </row>
    <row r="721" spans="4:6">
      <c r="D721" s="139"/>
      <c r="F721" s="42"/>
    </row>
    <row r="722" spans="4:6">
      <c r="D722" s="139"/>
      <c r="F722" s="42"/>
    </row>
    <row r="723" spans="4:6">
      <c r="D723" s="139"/>
      <c r="F723" s="42"/>
    </row>
    <row r="724" spans="4:6">
      <c r="D724" s="139"/>
      <c r="F724" s="42"/>
    </row>
    <row r="725" spans="4:6">
      <c r="D725" s="139"/>
      <c r="F725" s="42"/>
    </row>
    <row r="726" spans="4:6">
      <c r="D726" s="139"/>
      <c r="F726" s="42"/>
    </row>
    <row r="727" spans="4:6">
      <c r="D727" s="139"/>
      <c r="F727" s="42"/>
    </row>
    <row r="728" spans="4:6">
      <c r="D728" s="139"/>
      <c r="F728" s="42"/>
    </row>
    <row r="729" spans="4:6">
      <c r="D729" s="139"/>
      <c r="F729" s="42"/>
    </row>
    <row r="730" spans="4:6">
      <c r="D730" s="139"/>
      <c r="F730" s="42"/>
    </row>
    <row r="731" spans="4:6">
      <c r="D731" s="139"/>
      <c r="F731" s="42"/>
    </row>
    <row r="732" spans="4:6">
      <c r="D732" s="139"/>
      <c r="F732" s="42"/>
    </row>
    <row r="733" spans="4:6">
      <c r="D733" s="139"/>
      <c r="F733" s="42"/>
    </row>
    <row r="734" spans="4:6">
      <c r="D734" s="139"/>
      <c r="F734" s="42"/>
    </row>
    <row r="735" spans="4:6">
      <c r="D735" s="139"/>
      <c r="F735" s="42"/>
    </row>
    <row r="736" spans="4:6">
      <c r="D736" s="139"/>
      <c r="F736" s="42"/>
    </row>
    <row r="737" spans="4:6">
      <c r="D737" s="139"/>
      <c r="F737" s="42"/>
    </row>
    <row r="738" spans="4:6">
      <c r="D738" s="139"/>
      <c r="F738" s="42"/>
    </row>
    <row r="739" spans="4:6">
      <c r="D739" s="139"/>
      <c r="F739" s="42"/>
    </row>
    <row r="740" spans="4:6">
      <c r="D740" s="139"/>
      <c r="F740" s="42"/>
    </row>
    <row r="741" spans="4:6">
      <c r="D741" s="139"/>
      <c r="F741" s="42"/>
    </row>
    <row r="742" spans="4:6">
      <c r="D742" s="139"/>
      <c r="F742" s="42"/>
    </row>
    <row r="743" spans="4:6">
      <c r="D743" s="139"/>
      <c r="F743" s="42"/>
    </row>
    <row r="744" spans="4:6">
      <c r="D744" s="139"/>
      <c r="F744" s="42"/>
    </row>
    <row r="745" spans="4:6">
      <c r="D745" s="139"/>
      <c r="F745" s="42"/>
    </row>
    <row r="746" spans="4:6">
      <c r="D746" s="139"/>
      <c r="F746" s="42"/>
    </row>
    <row r="747" spans="4:6">
      <c r="D747" s="139"/>
      <c r="F747" s="42"/>
    </row>
    <row r="748" spans="4:6">
      <c r="D748" s="139"/>
      <c r="F748" s="42"/>
    </row>
    <row r="749" spans="4:6">
      <c r="D749" s="139"/>
      <c r="F749" s="42"/>
    </row>
    <row r="750" spans="4:6">
      <c r="D750" s="139"/>
      <c r="F750" s="42"/>
    </row>
    <row r="751" spans="4:6">
      <c r="D751" s="139"/>
      <c r="F751" s="42"/>
    </row>
    <row r="752" spans="4:6">
      <c r="D752" s="139"/>
      <c r="F752" s="42"/>
    </row>
    <row r="753" spans="4:6">
      <c r="D753" s="139"/>
      <c r="F753" s="17"/>
    </row>
    <row r="754" spans="4:6">
      <c r="D754" s="139"/>
      <c r="F754" s="42"/>
    </row>
    <row r="755" spans="4:6">
      <c r="D755" s="139"/>
      <c r="F755" s="42"/>
    </row>
    <row r="756" spans="4:6">
      <c r="D756" s="139"/>
      <c r="F756" s="42"/>
    </row>
    <row r="757" spans="4:6">
      <c r="D757" s="139"/>
      <c r="F757" s="42"/>
    </row>
    <row r="758" spans="4:6">
      <c r="D758" s="139"/>
      <c r="F758" s="42"/>
    </row>
    <row r="759" spans="4:6">
      <c r="D759" s="139"/>
      <c r="F759" s="42"/>
    </row>
    <row r="760" spans="4:6">
      <c r="D760" s="139"/>
      <c r="F760" s="17"/>
    </row>
    <row r="761" spans="4:6">
      <c r="D761" s="139"/>
      <c r="F761" s="42"/>
    </row>
    <row r="762" spans="4:6">
      <c r="D762" s="139"/>
      <c r="F762" s="42"/>
    </row>
    <row r="763" spans="4:6">
      <c r="D763" s="139"/>
      <c r="F763" s="42"/>
    </row>
    <row r="764" spans="4:6">
      <c r="D764" s="139"/>
      <c r="F764" s="42"/>
    </row>
    <row r="765" spans="4:6">
      <c r="D765" s="139"/>
      <c r="F765" s="17"/>
    </row>
    <row r="766" spans="4:6">
      <c r="D766" s="139"/>
      <c r="F766" s="42"/>
    </row>
    <row r="767" spans="4:6">
      <c r="D767" s="139"/>
      <c r="F767" s="42"/>
    </row>
    <row r="768" spans="4:6">
      <c r="D768" s="139"/>
      <c r="F768" s="42"/>
    </row>
    <row r="769" spans="4:6">
      <c r="D769" s="139"/>
      <c r="F769" s="42"/>
    </row>
    <row r="770" spans="4:6">
      <c r="D770" s="139"/>
      <c r="F770" s="42"/>
    </row>
    <row r="771" spans="4:6">
      <c r="D771" s="139"/>
      <c r="F771" s="42"/>
    </row>
    <row r="772" spans="4:6">
      <c r="D772" s="139"/>
      <c r="F772" s="42"/>
    </row>
    <row r="773" spans="4:6">
      <c r="D773" s="139"/>
      <c r="F773" s="42"/>
    </row>
    <row r="774" spans="4:6">
      <c r="D774" s="139"/>
      <c r="F774" s="42"/>
    </row>
    <row r="775" spans="4:6">
      <c r="D775" s="139"/>
      <c r="F775" s="42"/>
    </row>
    <row r="776" spans="4:6">
      <c r="D776" s="139"/>
      <c r="F776" s="42"/>
    </row>
    <row r="777" spans="4:6">
      <c r="D777" s="139"/>
      <c r="F777" s="42"/>
    </row>
    <row r="778" spans="4:6">
      <c r="D778" s="139"/>
      <c r="F778" s="42"/>
    </row>
    <row r="779" spans="4:6">
      <c r="D779" s="139"/>
      <c r="F779" s="42"/>
    </row>
    <row r="780" spans="4:6">
      <c r="D780" s="139"/>
      <c r="F780" s="42"/>
    </row>
    <row r="781" spans="4:6">
      <c r="D781" s="139"/>
      <c r="F781" s="42"/>
    </row>
    <row r="782" spans="4:6">
      <c r="D782" s="139"/>
      <c r="F782" s="42"/>
    </row>
    <row r="783" spans="4:6">
      <c r="D783" s="139"/>
      <c r="F783" s="42"/>
    </row>
    <row r="784" spans="4:6">
      <c r="D784" s="139"/>
      <c r="F784" s="17"/>
    </row>
    <row r="785" spans="4:6">
      <c r="D785" s="139"/>
      <c r="F785" s="42"/>
    </row>
    <row r="786" spans="4:6">
      <c r="D786" s="139"/>
      <c r="F786" s="42"/>
    </row>
    <row r="787" spans="4:6">
      <c r="D787" s="139"/>
      <c r="F787" s="42"/>
    </row>
    <row r="788" spans="4:6">
      <c r="D788" s="139"/>
      <c r="F788" s="42"/>
    </row>
    <row r="789" spans="4:6">
      <c r="D789" s="139"/>
      <c r="F789" s="42"/>
    </row>
    <row r="790" spans="4:6">
      <c r="D790" s="139"/>
      <c r="F790" s="42"/>
    </row>
    <row r="791" spans="4:6">
      <c r="D791" s="139"/>
      <c r="F791" s="42"/>
    </row>
    <row r="792" spans="4:6">
      <c r="D792" s="139"/>
      <c r="F792" s="42"/>
    </row>
    <row r="793" spans="4:6">
      <c r="D793" s="139"/>
      <c r="F793" s="42"/>
    </row>
    <row r="794" spans="4:6">
      <c r="D794" s="139"/>
      <c r="F794" s="42"/>
    </row>
    <row r="795" spans="4:6">
      <c r="D795" s="139"/>
      <c r="F795" s="42"/>
    </row>
    <row r="796" spans="4:6">
      <c r="D796" s="139"/>
      <c r="F796" s="42"/>
    </row>
    <row r="797" spans="4:6">
      <c r="D797" s="139"/>
      <c r="F797" s="42"/>
    </row>
    <row r="798" spans="4:6">
      <c r="D798" s="139"/>
      <c r="F798" s="42"/>
    </row>
    <row r="799" spans="4:6">
      <c r="D799" s="139"/>
      <c r="F799" s="42"/>
    </row>
    <row r="800" spans="4:6">
      <c r="D800" s="139"/>
      <c r="F800" s="42"/>
    </row>
    <row r="801" spans="4:6">
      <c r="D801" s="139"/>
      <c r="F801" s="42"/>
    </row>
    <row r="802" spans="4:6">
      <c r="D802" s="139"/>
      <c r="F802" s="17"/>
    </row>
    <row r="803" spans="4:6">
      <c r="D803" s="139"/>
      <c r="F803" s="42"/>
    </row>
    <row r="804" spans="4:6">
      <c r="D804" s="139"/>
      <c r="F804" s="42"/>
    </row>
    <row r="805" spans="4:6">
      <c r="D805" s="139"/>
      <c r="F805" s="42"/>
    </row>
    <row r="806" spans="4:6">
      <c r="D806" s="139"/>
      <c r="F806" s="42"/>
    </row>
    <row r="807" spans="4:6">
      <c r="D807" s="139"/>
      <c r="F807" s="42"/>
    </row>
    <row r="808" spans="4:6">
      <c r="D808" s="139"/>
      <c r="F808" s="42"/>
    </row>
    <row r="809" spans="4:6">
      <c r="D809" s="139"/>
      <c r="F809" s="42"/>
    </row>
    <row r="810" spans="4:6">
      <c r="D810" s="139"/>
      <c r="F810" s="42"/>
    </row>
    <row r="811" spans="4:6">
      <c r="D811" s="139"/>
      <c r="F811" s="17"/>
    </row>
    <row r="812" spans="4:6">
      <c r="D812" s="139"/>
      <c r="F812" s="42"/>
    </row>
    <row r="813" spans="4:6">
      <c r="D813" s="139"/>
      <c r="F813" s="42"/>
    </row>
    <row r="814" spans="4:6">
      <c r="D814" s="139"/>
      <c r="F814" s="42"/>
    </row>
    <row r="815" spans="4:6">
      <c r="D815" s="139"/>
      <c r="F815" s="42"/>
    </row>
    <row r="816" spans="4:6">
      <c r="D816" s="139"/>
      <c r="F816" s="42"/>
    </row>
    <row r="817" spans="4:6">
      <c r="D817" s="139"/>
      <c r="F817" s="42"/>
    </row>
    <row r="818" spans="4:6">
      <c r="D818" s="139"/>
      <c r="F818" s="42"/>
    </row>
    <row r="819" spans="4:6">
      <c r="D819" s="139"/>
      <c r="F819" s="42"/>
    </row>
    <row r="820" spans="4:6">
      <c r="D820" s="139"/>
      <c r="F820" s="42"/>
    </row>
    <row r="821" spans="4:6">
      <c r="D821" s="139"/>
      <c r="F821" s="42"/>
    </row>
    <row r="822" spans="4:6">
      <c r="D822" s="139"/>
      <c r="F822" s="42"/>
    </row>
    <row r="823" spans="4:6">
      <c r="D823" s="139"/>
      <c r="F823" s="42"/>
    </row>
    <row r="824" spans="4:6">
      <c r="D824" s="139"/>
      <c r="F824" s="42"/>
    </row>
    <row r="825" spans="4:6">
      <c r="D825" s="139"/>
      <c r="F825" s="42"/>
    </row>
    <row r="826" spans="4:6">
      <c r="D826" s="139"/>
      <c r="F826" s="42"/>
    </row>
    <row r="827" spans="4:6">
      <c r="D827" s="139"/>
      <c r="F827" s="42"/>
    </row>
    <row r="828" spans="4:6">
      <c r="D828" s="139"/>
      <c r="F828" s="42"/>
    </row>
    <row r="829" spans="4:6">
      <c r="D829" s="139"/>
      <c r="F829" s="42"/>
    </row>
    <row r="830" spans="4:6">
      <c r="D830" s="139"/>
      <c r="F830" s="42"/>
    </row>
    <row r="831" spans="4:6">
      <c r="D831" s="139"/>
      <c r="F831" s="42"/>
    </row>
    <row r="832" spans="4:6">
      <c r="D832" s="139"/>
      <c r="F832" s="42"/>
    </row>
    <row r="833" spans="4:6">
      <c r="D833" s="139"/>
      <c r="F833" s="17"/>
    </row>
    <row r="834" spans="4:6">
      <c r="D834" s="139"/>
      <c r="F834" s="17"/>
    </row>
    <row r="835" spans="4:6">
      <c r="D835" s="139"/>
      <c r="F835" s="42"/>
    </row>
    <row r="836" spans="4:6">
      <c r="D836" s="139"/>
      <c r="F836" s="17"/>
    </row>
    <row r="837" spans="4:6">
      <c r="D837" s="139"/>
      <c r="F837" s="42"/>
    </row>
    <row r="838" spans="4:6">
      <c r="D838" s="139"/>
      <c r="F838" s="42"/>
    </row>
    <row r="839" spans="4:6">
      <c r="D839" s="139"/>
      <c r="F839" s="42"/>
    </row>
    <row r="840" spans="4:6">
      <c r="D840" s="139"/>
      <c r="F840" s="42"/>
    </row>
    <row r="841" spans="4:6">
      <c r="D841" s="139"/>
      <c r="F841" s="17"/>
    </row>
    <row r="842" spans="4:6">
      <c r="D842" s="139"/>
      <c r="F842" s="42"/>
    </row>
    <row r="843" spans="4:6">
      <c r="D843" s="139"/>
      <c r="F843" s="17"/>
    </row>
    <row r="844" spans="4:6">
      <c r="D844" s="139"/>
      <c r="F844" s="42"/>
    </row>
    <row r="845" spans="4:6">
      <c r="D845" s="139"/>
      <c r="F845" s="17"/>
    </row>
    <row r="846" spans="4:6">
      <c r="D846" s="139"/>
      <c r="F846" s="42"/>
    </row>
    <row r="847" spans="4:6">
      <c r="D847" s="139"/>
      <c r="F847" s="17"/>
    </row>
    <row r="848" spans="4:6">
      <c r="D848" s="139"/>
      <c r="F848" s="17"/>
    </row>
    <row r="849" spans="4:6">
      <c r="D849" s="139"/>
      <c r="F849" s="42"/>
    </row>
    <row r="850" spans="4:6">
      <c r="D850" s="139"/>
      <c r="F850" s="17"/>
    </row>
    <row r="851" spans="4:6">
      <c r="D851" s="139"/>
      <c r="F851" s="42"/>
    </row>
    <row r="852" spans="4:6">
      <c r="D852" s="139"/>
      <c r="F852" s="42"/>
    </row>
    <row r="853" spans="4:6">
      <c r="D853" s="139"/>
      <c r="F853" s="42"/>
    </row>
    <row r="854" spans="4:6">
      <c r="D854" s="139"/>
      <c r="F854" s="42"/>
    </row>
    <row r="855" spans="4:6">
      <c r="D855" s="139"/>
      <c r="F855" s="42"/>
    </row>
    <row r="856" spans="4:6">
      <c r="D856" s="139"/>
      <c r="F856" s="42"/>
    </row>
    <row r="857" spans="4:6">
      <c r="D857" s="139"/>
      <c r="F857" s="42"/>
    </row>
    <row r="858" spans="4:6">
      <c r="D858" s="139"/>
      <c r="F858" s="42"/>
    </row>
    <row r="859" spans="4:6">
      <c r="D859" s="139"/>
      <c r="F859" s="42"/>
    </row>
    <row r="860" spans="4:6">
      <c r="D860" s="139"/>
      <c r="F860" s="42"/>
    </row>
    <row r="861" spans="4:6">
      <c r="D861" s="139"/>
      <c r="F861" s="42"/>
    </row>
    <row r="862" spans="4:6">
      <c r="D862" s="139"/>
      <c r="F862" s="42"/>
    </row>
    <row r="863" spans="4:6">
      <c r="D863" s="139"/>
      <c r="F863" s="42"/>
    </row>
    <row r="864" spans="4:6">
      <c r="D864" s="139"/>
      <c r="F864" s="42"/>
    </row>
    <row r="865" spans="4:6">
      <c r="D865" s="139"/>
      <c r="F865" s="42"/>
    </row>
    <row r="866" spans="4:6">
      <c r="D866" s="139"/>
      <c r="F866" s="42"/>
    </row>
    <row r="867" spans="4:6">
      <c r="D867" s="139"/>
      <c r="F867" s="42"/>
    </row>
    <row r="868" spans="4:6">
      <c r="D868" s="139"/>
      <c r="F868" s="42"/>
    </row>
    <row r="869" spans="4:6">
      <c r="D869" s="139"/>
      <c r="F869" s="42"/>
    </row>
    <row r="870" spans="4:6">
      <c r="D870" s="139"/>
      <c r="F870" s="42"/>
    </row>
    <row r="871" spans="4:6">
      <c r="D871" s="139"/>
      <c r="F871" s="42"/>
    </row>
    <row r="872" spans="4:6">
      <c r="D872" s="139"/>
      <c r="F872" s="42"/>
    </row>
    <row r="873" spans="4:6">
      <c r="D873" s="139"/>
      <c r="F873" s="42"/>
    </row>
    <row r="874" spans="4:6">
      <c r="D874" s="139"/>
      <c r="F874" s="42"/>
    </row>
    <row r="875" spans="4:6">
      <c r="D875" s="139"/>
      <c r="F875" s="42"/>
    </row>
    <row r="876" spans="4:6">
      <c r="D876" s="139"/>
      <c r="F876" s="42"/>
    </row>
    <row r="877" spans="4:6">
      <c r="D877" s="139"/>
      <c r="F877" s="42"/>
    </row>
    <row r="878" spans="4:6">
      <c r="D878" s="139"/>
      <c r="F878" s="42"/>
    </row>
    <row r="879" spans="4:6">
      <c r="D879" s="139"/>
      <c r="F879" s="42"/>
    </row>
    <row r="880" spans="4:6">
      <c r="D880" s="139"/>
      <c r="F880" s="42"/>
    </row>
    <row r="881" spans="4:6">
      <c r="D881" s="139"/>
      <c r="F881" s="42"/>
    </row>
    <row r="882" spans="4:6">
      <c r="D882" s="139"/>
      <c r="F882" s="42"/>
    </row>
    <row r="883" spans="4:6">
      <c r="D883" s="139"/>
      <c r="F883" s="42"/>
    </row>
    <row r="884" spans="4:6">
      <c r="D884" s="139"/>
      <c r="F884" s="42"/>
    </row>
    <row r="885" spans="4:6">
      <c r="D885" s="139"/>
      <c r="F885" s="42"/>
    </row>
    <row r="886" spans="4:6">
      <c r="D886" s="139"/>
      <c r="F886" s="42"/>
    </row>
    <row r="887" spans="4:6">
      <c r="D887" s="139"/>
      <c r="F887" s="42"/>
    </row>
    <row r="888" spans="4:6">
      <c r="D888" s="139"/>
      <c r="F888" s="42"/>
    </row>
    <row r="889" spans="4:6">
      <c r="D889" s="139"/>
      <c r="F889" s="42"/>
    </row>
    <row r="890" spans="4:6">
      <c r="D890" s="139"/>
      <c r="F890" s="42"/>
    </row>
    <row r="891" spans="4:6">
      <c r="D891" s="139"/>
      <c r="F891" s="42"/>
    </row>
    <row r="892" spans="4:6">
      <c r="D892" s="139"/>
      <c r="F892" s="42"/>
    </row>
    <row r="893" spans="4:6">
      <c r="D893" s="139"/>
      <c r="F893" s="42"/>
    </row>
    <row r="894" spans="4:6">
      <c r="D894" s="139"/>
      <c r="F894" s="42"/>
    </row>
    <row r="895" spans="4:6">
      <c r="D895" s="139"/>
      <c r="F895" s="42"/>
    </row>
    <row r="896" spans="4:6">
      <c r="D896" s="139"/>
      <c r="F896" s="42"/>
    </row>
    <row r="897" spans="4:6">
      <c r="D897" s="139"/>
      <c r="F897" s="42"/>
    </row>
    <row r="898" spans="4:6">
      <c r="D898" s="139"/>
      <c r="F898" s="42"/>
    </row>
    <row r="899" spans="4:6">
      <c r="D899" s="139"/>
      <c r="F899" s="42"/>
    </row>
    <row r="900" spans="4:6">
      <c r="D900" s="139"/>
      <c r="F900" s="42"/>
    </row>
    <row r="901" spans="4:6">
      <c r="D901" s="139"/>
      <c r="F901" s="42"/>
    </row>
    <row r="902" spans="4:6">
      <c r="D902" s="139"/>
      <c r="F902" s="42"/>
    </row>
    <row r="903" spans="4:6">
      <c r="D903" s="139"/>
      <c r="F903" s="42"/>
    </row>
    <row r="904" spans="4:6">
      <c r="D904" s="139"/>
      <c r="F904" s="42"/>
    </row>
    <row r="905" spans="4:6">
      <c r="D905" s="139"/>
      <c r="F905" s="42"/>
    </row>
    <row r="906" spans="4:6">
      <c r="D906" s="139"/>
      <c r="F906" s="42"/>
    </row>
    <row r="907" spans="4:6">
      <c r="D907" s="139"/>
      <c r="F907" s="42"/>
    </row>
    <row r="908" spans="4:6">
      <c r="D908" s="139"/>
      <c r="F908" s="42"/>
    </row>
    <row r="909" spans="4:6">
      <c r="D909" s="139"/>
      <c r="F909" s="42"/>
    </row>
    <row r="910" spans="4:6">
      <c r="D910" s="139"/>
      <c r="F910" s="42"/>
    </row>
    <row r="911" spans="4:6">
      <c r="D911" s="139"/>
      <c r="F911" s="42"/>
    </row>
    <row r="912" spans="4:6">
      <c r="F912" s="42"/>
    </row>
    <row r="913" spans="6:6">
      <c r="F913" s="42"/>
    </row>
    <row r="914" spans="6:6">
      <c r="F914" s="42"/>
    </row>
    <row r="915" spans="6:6">
      <c r="F915" s="42"/>
    </row>
    <row r="916" spans="6:6">
      <c r="F916" s="42"/>
    </row>
    <row r="917" spans="6:6">
      <c r="F917" s="42"/>
    </row>
    <row r="918" spans="6:6">
      <c r="F918" s="42"/>
    </row>
    <row r="919" spans="6:6">
      <c r="F919" s="42"/>
    </row>
    <row r="920" spans="6:6">
      <c r="F920" s="42"/>
    </row>
    <row r="921" spans="6:6">
      <c r="F921" s="42"/>
    </row>
    <row r="922" spans="6:6">
      <c r="F922" s="42"/>
    </row>
    <row r="923" spans="6:6">
      <c r="F923" s="42"/>
    </row>
    <row r="924" spans="6:6">
      <c r="F924" s="42"/>
    </row>
    <row r="925" spans="6:6">
      <c r="F925" s="42"/>
    </row>
    <row r="926" spans="6:6">
      <c r="F926" s="42"/>
    </row>
    <row r="927" spans="6:6">
      <c r="F927" s="42"/>
    </row>
    <row r="928" spans="6:6">
      <c r="F928" s="42"/>
    </row>
    <row r="929" spans="6:6">
      <c r="F929" s="42"/>
    </row>
    <row r="930" spans="6:6">
      <c r="F930" s="42"/>
    </row>
    <row r="931" spans="6:6">
      <c r="F931" s="42"/>
    </row>
    <row r="932" spans="6:6">
      <c r="F932" s="42"/>
    </row>
    <row r="933" spans="6:6">
      <c r="F933" s="42"/>
    </row>
  </sheetData>
  <sortState xmlns:xlrd2="http://schemas.microsoft.com/office/spreadsheetml/2017/richdata2" ref="AG2:AH638">
    <sortCondition ref="AG2:AG638"/>
  </sortState>
  <conditionalFormatting sqref="O3">
    <cfRule type="expression" dxfId="47" priority="121">
      <formula>CELL("color",A1047997)="3"</formula>
    </cfRule>
  </conditionalFormatting>
  <conditionalFormatting sqref="O15">
    <cfRule type="expression" dxfId="46" priority="111">
      <formula>CELL("color",A1048010)="3"</formula>
    </cfRule>
  </conditionalFormatting>
  <conditionalFormatting sqref="O18">
    <cfRule type="expression" dxfId="45" priority="104">
      <formula>CELL("color",A1048012)="3"</formula>
    </cfRule>
  </conditionalFormatting>
  <conditionalFormatting sqref="O2">
    <cfRule type="expression" dxfId="44" priority="103">
      <formula>CELL("color",A1047997)="3"</formula>
    </cfRule>
  </conditionalFormatting>
  <conditionalFormatting sqref="O4">
    <cfRule type="expression" dxfId="43" priority="102">
      <formula>CELL("color",A1047999)="3"</formula>
    </cfRule>
  </conditionalFormatting>
  <conditionalFormatting sqref="O6">
    <cfRule type="expression" dxfId="42" priority="101">
      <formula>CELL("color",A1048001)="3"</formula>
    </cfRule>
  </conditionalFormatting>
  <conditionalFormatting sqref="O8">
    <cfRule type="expression" dxfId="41" priority="100">
      <formula>CELL("color",A1048003)="3"</formula>
    </cfRule>
  </conditionalFormatting>
  <conditionalFormatting sqref="O10">
    <cfRule type="expression" dxfId="40" priority="99">
      <formula>CELL("color",A1048005)="3"</formula>
    </cfRule>
  </conditionalFormatting>
  <conditionalFormatting sqref="O12:O13">
    <cfRule type="expression" dxfId="39" priority="98">
      <formula>CELL("color",A1048007)="3"</formula>
    </cfRule>
  </conditionalFormatting>
  <conditionalFormatting sqref="O14">
    <cfRule type="expression" dxfId="38" priority="97">
      <formula>CELL("color",A1048009)="3"</formula>
    </cfRule>
  </conditionalFormatting>
  <conditionalFormatting sqref="O16">
    <cfRule type="expression" dxfId="37" priority="96">
      <formula>CELL("color",A1048011)="3"</formula>
    </cfRule>
  </conditionalFormatting>
  <conditionalFormatting sqref="O20">
    <cfRule type="expression" dxfId="36" priority="95">
      <formula>CELL("color",A1048014)="3"</formula>
    </cfRule>
  </conditionalFormatting>
  <conditionalFormatting sqref="O5">
    <cfRule type="expression" dxfId="35" priority="94">
      <formula>CELL("color",A1047999)="3"</formula>
    </cfRule>
  </conditionalFormatting>
  <conditionalFormatting sqref="O7">
    <cfRule type="expression" dxfId="34" priority="93">
      <formula>CELL("color",A1048001)="3"</formula>
    </cfRule>
  </conditionalFormatting>
  <conditionalFormatting sqref="O9">
    <cfRule type="expression" dxfId="33" priority="92">
      <formula>CELL("color",A1048003)="3"</formula>
    </cfRule>
  </conditionalFormatting>
  <conditionalFormatting sqref="O11">
    <cfRule type="expression" dxfId="32" priority="91">
      <formula>CELL("color",A1048005)="3"</formula>
    </cfRule>
  </conditionalFormatting>
  <conditionalFormatting sqref="O17">
    <cfRule type="expression" dxfId="31" priority="89">
      <formula>CELL("color",A1048012)="3"</formula>
    </cfRule>
  </conditionalFormatting>
  <conditionalFormatting sqref="O19">
    <cfRule type="expression" dxfId="30" priority="88">
      <formula>CELL("color",A1048014)="3"</formula>
    </cfRule>
  </conditionalFormatting>
  <conditionalFormatting sqref="O21">
    <cfRule type="expression" dxfId="29" priority="87">
      <formula>CELL("color",A1048016)="3"</formula>
    </cfRule>
  </conditionalFormatting>
  <conditionalFormatting sqref="K289:K328">
    <cfRule type="expression" dxfId="28" priority="15764">
      <formula>CELL("color",J1048196)="3"</formula>
    </cfRule>
  </conditionalFormatting>
  <conditionalFormatting sqref="AE19:AE20 AE4">
    <cfRule type="expression" dxfId="27" priority="67">
      <formula>CELL("color",AC1048029)="3"</formula>
    </cfRule>
  </conditionalFormatting>
  <conditionalFormatting sqref="AE3 AE5">
    <cfRule type="expression" dxfId="26" priority="68">
      <formula>CELL("color",AC1048026)="3"</formula>
    </cfRule>
  </conditionalFormatting>
  <conditionalFormatting sqref="AE6:AE7">
    <cfRule type="expression" dxfId="25" priority="66">
      <formula>CELL("color",AC1048032)="3"</formula>
    </cfRule>
  </conditionalFormatting>
  <conditionalFormatting sqref="AE14 AE8:AE10">
    <cfRule type="expression" dxfId="24" priority="65">
      <formula>CELL("color",AC1048037)="3"</formula>
    </cfRule>
  </conditionalFormatting>
  <conditionalFormatting sqref="AE11">
    <cfRule type="expression" dxfId="23" priority="64">
      <formula>CELL("color",AC1048040)="3"</formula>
    </cfRule>
  </conditionalFormatting>
  <conditionalFormatting sqref="AE12:AE13">
    <cfRule type="expression" dxfId="22" priority="63">
      <formula>CELL("color",AC1048037)="3"</formula>
    </cfRule>
  </conditionalFormatting>
  <conditionalFormatting sqref="AE15">
    <cfRule type="expression" dxfId="21" priority="62">
      <formula>CELL("color",AC1048043)="3"</formula>
    </cfRule>
  </conditionalFormatting>
  <conditionalFormatting sqref="AE17">
    <cfRule type="expression" dxfId="20" priority="61">
      <formula>CELL("color",AC1048045)="3"</formula>
    </cfRule>
  </conditionalFormatting>
  <conditionalFormatting sqref="AE18">
    <cfRule type="expression" dxfId="19" priority="60">
      <formula>CELL("color",AC1048044)="3"</formula>
    </cfRule>
  </conditionalFormatting>
  <conditionalFormatting sqref="AE21">
    <cfRule type="expression" dxfId="18" priority="59">
      <formula>CELL("color",AC1048046)="3"</formula>
    </cfRule>
  </conditionalFormatting>
  <conditionalFormatting sqref="AE22">
    <cfRule type="expression" dxfId="17" priority="58">
      <formula>CELL("color",AC1048043)="3"</formula>
    </cfRule>
  </conditionalFormatting>
  <conditionalFormatting sqref="AE23">
    <cfRule type="expression" dxfId="16" priority="57">
      <formula>CELL("color",AC1048041)="3"</formula>
    </cfRule>
  </conditionalFormatting>
  <conditionalFormatting sqref="AE25">
    <cfRule type="expression" dxfId="15" priority="56">
      <formula>CELL("color",AC1048041)="3"</formula>
    </cfRule>
  </conditionalFormatting>
  <conditionalFormatting sqref="AE26">
    <cfRule type="expression" dxfId="14" priority="55">
      <formula>CELL("color",AC1048035)="3"</formula>
    </cfRule>
  </conditionalFormatting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CLUBS</vt:lpstr>
      <vt:lpstr>Schedule</vt:lpstr>
      <vt:lpstr>Face-Off</vt:lpstr>
      <vt:lpstr>PlayerStats</vt:lpstr>
      <vt:lpstr>FDRating</vt:lpstr>
      <vt:lpstr>Table</vt:lpstr>
      <vt:lpstr>Cards</vt:lpstr>
      <vt:lpstr>PLYDEX</vt:lpstr>
      <vt:lpstr>Transfer_Market</vt:lpstr>
      <vt:lpstr>INDEX</vt:lpstr>
      <vt:lpstr>DEF</vt:lpstr>
      <vt:lpstr>FWD</vt:lpstr>
      <vt:lpstr>GKP</vt:lpstr>
      <vt:lpstr>MID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Karim Fox</dc:creator>
  <cp:lastModifiedBy>Fox, Karim [foxk7]</cp:lastModifiedBy>
  <dcterms:created xsi:type="dcterms:W3CDTF">2023-07-03T17:16:02Z</dcterms:created>
  <dcterms:modified xsi:type="dcterms:W3CDTF">2025-08-27T15:05:55Z</dcterms:modified>
</cp:coreProperties>
</file>